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185538654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48af8fdf349413f"/>
    <x:sheet xmlns:r="http://schemas.openxmlformats.org/officeDocument/2006/relationships" name="Controls" sheetId="2" r:id="R282c5f2e7fa34ace"/>
    <x:sheet xmlns:r="http://schemas.openxmlformats.org/officeDocument/2006/relationships" name="Activities" sheetId="3" r:id="Rb94edcee1f0d41e9"/>
    <x:sheet xmlns:r="http://schemas.openxmlformats.org/officeDocument/2006/relationships" name="Logic register" sheetId="4" r:id="R6e21f34d5fc84404"/>
    <x:sheet xmlns:r="http://schemas.openxmlformats.org/officeDocument/2006/relationships" name="Weekly Gantt" sheetId="5" r:id="Rd17fb112fcda47ba"/>
    <x:sheet xmlns:r="http://schemas.openxmlformats.org/officeDocument/2006/relationships" name="Workforce" sheetId="6" r:id="R964f8d5da9254669"/>
    <x:sheet xmlns:r="http://schemas.openxmlformats.org/officeDocument/2006/relationships" name="Cost curve" sheetId="7" r:id="R602f592692f04f4f"/>
    <x:sheet xmlns:r="http://schemas.openxmlformats.org/officeDocument/2006/relationships" name="Milestones" sheetId="8" r:id="R32af42a74bb0401d"/>
    <x:sheet xmlns:r="http://schemas.openxmlformats.org/officeDocument/2006/relationships" name="Risk register" sheetId="9" r:id="R2c5d24f393af4c54"/>
    <x:sheet xmlns:r="http://schemas.openxmlformats.org/officeDocument/2006/relationships" name="Checks" sheetId="10" r:id="Rf32a1c4777644fd6"/>
    <x:sheet xmlns:r="http://schemas.openxmlformats.org/officeDocument/2006/relationships" name="Calendar" sheetId="11" r:id="R77d8fe9250ed4a3f"/>
    <x:sheet xmlns:r="http://schemas.openxmlformats.org/officeDocument/2006/relationships" name="Basis" sheetId="12" r:id="Rfeab4fea9e28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-mmm-yyyy"/>
    <x:numFmt numFmtId="201" formatCode="#,##0.00"/>
    <x:numFmt numFmtId="202" formatCode="0"/>
    <x:numFmt numFmtId="203" formatCode="dd-mmm-yy"/>
    <x:numFmt numFmtId="204" formatCode="0;[Red](0);&quot;&quot;"/>
    <x:numFmt numFmtId="205" formatCode="0.0"/>
    <x:numFmt numFmtId="206" formatCode="#,##0"/>
    <x:numFmt numFmtId="207" formatCode="0.0%"/>
    <x:numFmt numFmtId="208" formatCode="&quot;$&quot;#,##0"/>
  </x:numFmts>
  <x:fonts count="6">
    <x:font>
      <x:sz val="11"/>
      <x:name val="Carlito"/>
    </x:font>
    <x:font>
      <x:sz val="10"/>
      <x:color rgb="FF18334B"/>
      <x:name val="Arial"/>
    </x:font>
    <x:font>
      <x:b/>
      <x:sz val="10"/>
      <x:color rgb="FFFFFFFF"/>
      <x:name val="Arial"/>
    </x:font>
    <x:font>
      <x:b/>
      <x:sz val="16"/>
      <x:color rgb="FF18334B"/>
      <x:name val="Arial"/>
    </x:font>
    <x:font>
      <x:sz val="10"/>
      <x:color rgb="FF526477"/>
      <x:name val="Arial"/>
    </x:font>
    <x:font>
      <x:sz val="10"/>
      <x:color rgb="FF1764A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B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6A34A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  <x:xf numFmtId="200" fontId="5" fillId="3" borderId="0" xfId="0" applyNumberFormat="1" applyFont="1" applyFill="1" applyBorder="1"/>
    <x:xf numFmtId="200" fontId="5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4" fontId="1" fillId="3" borderId="0" xfId="0" applyNumberFormat="1" applyFont="1" applyFill="1" applyBorder="1"/>
    <x:xf numFmtId="204" fontId="1" fillId="0" borderId="0" xfId="0" applyNumberFormat="1" applyFont="1" applyFill="1" applyBorder="1"/>
    <x:xf numFmtId="205" fontId="1" fillId="3" borderId="0" xfId="0" applyNumberFormat="1" applyFont="1" applyFill="1" applyBorder="1"/>
    <x:xf numFmtId="205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0" borderId="0" xfId="0" applyNumberFormat="1" applyFont="1" applyFill="1" applyBorder="1"/>
    <x:xf numFmtId="207" fontId="1" fillId="3" borderId="0" xfId="0" applyNumberFormat="1" applyFont="1" applyFill="1" applyBorder="1"/>
    <x:xf numFmtId="207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A4B0F"/>
      </x:font>
      <x:fill>
        <x:patternFill patternType="solid">
          <x:bgColor rgb="FFFAE6D0"/>
        </x:patternFill>
      </x:fill>
    </x:dxf>
    <x:dxf>
      <x:font>
        <x:color rgb="FFFFFFFF"/>
      </x:font>
      <x:fill>
        <x:patternFill patternType="solid">
          <x:bgColor rgb="FF255E91"/>
        </x:patternFill>
      </x:fill>
    </x:dxf>
    <x:dxf>
      <x:font>
        <x:b/>
        <x:color rgb="FFB9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c562d68894632" /><Relationship Type="http://schemas.openxmlformats.org/officeDocument/2006/relationships/theme" Target="/xl/theme/theme1.xml" Id="Rcab77ad7109a43d7" /><Relationship Type="http://schemas.openxmlformats.org/officeDocument/2006/relationships/sharedStrings" Target="/xl/sharedStrings.xml" Id="R248c5cac4d8b467d" /><Relationship Type="http://schemas.openxmlformats.org/officeDocument/2006/relationships/worksheet" Target="/xl/worksheets/sheet1.xml" Id="R448af8fdf349413f" /><Relationship Type="http://schemas.openxmlformats.org/officeDocument/2006/relationships/worksheet" Target="/xl/worksheets/sheet2.xml" Id="R282c5f2e7fa34ace" /><Relationship Type="http://schemas.openxmlformats.org/officeDocument/2006/relationships/worksheet" Target="/xl/worksheets/sheet3.xml" Id="Rb94edcee1f0d41e9" /><Relationship Type="http://schemas.openxmlformats.org/officeDocument/2006/relationships/worksheet" Target="/xl/worksheets/sheet4.xml" Id="R6e21f34d5fc84404" /><Relationship Type="http://schemas.openxmlformats.org/officeDocument/2006/relationships/worksheet" Target="/xl/worksheets/sheet5.xml" Id="Rd17fb112fcda47ba" /><Relationship Type="http://schemas.openxmlformats.org/officeDocument/2006/relationships/worksheet" Target="/xl/worksheets/sheet6.xml" Id="R964f8d5da9254669" /><Relationship Type="http://schemas.openxmlformats.org/officeDocument/2006/relationships/worksheet" Target="/xl/worksheets/sheet7.xml" Id="R602f592692f04f4f" /><Relationship Type="http://schemas.openxmlformats.org/officeDocument/2006/relationships/worksheet" Target="/xl/worksheets/sheet8.xml" Id="R32af42a74bb0401d" /><Relationship Type="http://schemas.openxmlformats.org/officeDocument/2006/relationships/worksheet" Target="/xl/worksheets/sheet9.xml" Id="R2c5d24f393af4c54" /><Relationship Type="http://schemas.openxmlformats.org/officeDocument/2006/relationships/worksheet" Target="/xl/worksheets/sheet10.xml" Id="Rf32a1c4777644fd6" /><Relationship Type="http://schemas.openxmlformats.org/officeDocument/2006/relationships/worksheet" Target="/xl/worksheets/sheet11.xml" Id="R77d8fe9250ed4a3f" /><Relationship Type="http://schemas.openxmlformats.org/officeDocument/2006/relationships/worksheet" Target="/xl/worksheets/sheet12.xml" Id="Rfeab4fea9e284d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65801307de4c14" /><Relationship Type="http://schemas.openxmlformats.org/officeDocument/2006/relationships/chart" Target="/xl/drawings/charts/chart2.xml" Id="R954220ba782b4f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Cumulative planned direct value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Cumulative %</c:v>
          </c:tx>
          <c:spPr>
            <a:solidFill xmlns:a="http://schemas.openxmlformats.org/drawingml/2006/main">
              <a:srgbClr val="255E91"/>
            </a:solidFill>
            <a:ln xmlns:a="http://schemas.openxmlformats.org/drawingml/2006/main" w="19050">
              <a:solidFill>
                <a:srgbClr val="255E91"/>
              </a:solidFill>
              <a:prstDash val="solid"/>
            </a:ln>
          </c:spPr>
          <c:marker>
            <c:symbol val="none"/>
          </c:marker>
          <c:cat>
            <c:strRef>
              <c:f>'Cost curve'!$A$8:$A$113</c:f>
              <c:strCache>
                <c:ptCount val="0"/>
              </c:strCache>
            </c:strRef>
          </c:cat>
          <c:val>
            <c:numRef>
              <c:f>'Cost curve'!$E$8:$E$113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Weekly average workforce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avg people</c:v>
          </c:tx>
          <c:spPr>
            <a:solidFill xmlns:a="http://schemas.openxmlformats.org/drawingml/2006/main">
              <a:srgbClr val="255E91"/>
            </a:solidFill>
          </c:spPr>
          <c:invertIfNegative val="0"/>
          <c:cat>
            <c:strRef>
              <c:f>'Workforce'!$A$8:$A$113</c:f>
              <c:strCache>
                <c:ptCount val="0"/>
              </c:strCache>
            </c:strRef>
          </c:cat>
          <c:val>
            <c:numRef>
              <c:f>'Workforce'!$L$8:$L$113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65801307de4c14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4220ba782b4f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102b6c96ea4cae" /></Relationships>
</file>

<file path=xl/worksheets/sheet1.xml><?xml version="1.0" encoding="utf-8"?>
<x:worksheet xmlns:x="http://schemas.openxmlformats.org/spreadsheetml/2006/main">
  <x:sheetPr>
    <x:tabColor rgb="FF18334B"/>
  </x:sheetPr>
  <x:sheetViews>
    <x:sheetView showGridLines="0" workbookViewId="0"/>
  </x:sheetViews>
  <x:sheetFormatPr defaultRowHeight="15"/>
  <x:cols>
    <x:col min="1" max="1" width="43" hidden="0" customWidth="1"/>
    <x:col min="2" max="2" width="26" hidden="0" customWidth="1"/>
  </x:cols>
  <x:sheetData>
    <x:row r="2">
      <x:c r="A2" s="7" t="str">
        <x:v>Residential development | programme and controls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CE-R01-PC / logic-linked baseline / 6 towers / 288 apartments / Rev 01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2" customHeight="1">
      <x:c r="A7" s="3" t="str">
        <x:v>PROGRAMME SUMMARY</x:v>
      </x:c>
      <x:c r="B7" s="3" t="str">
        <x:v>BASELINE</x:v>
      </x:c>
    </x:row>
    <x:row r="8" ht="27" customHeight="1">
      <x:c r="A8" s="1" t="str">
        <x:v>Activities</x:v>
      </x:c>
      <x:c r="B8" s="1" t="n">
        <x:v>809</x:v>
      </x:c>
    </x:row>
    <x:row r="9" ht="27" customHeight="1">
      <x:c r="A9" s="1" t="str">
        <x:v>Logic links</x:v>
      </x:c>
      <x:c r="B9" s="1" t="n">
        <x:v>972</x:v>
      </x:c>
    </x:row>
    <x:row r="10" ht="27" customHeight="1">
      <x:c r="A10" s="1" t="str">
        <x:v>Duration, working days</x:v>
      </x:c>
      <x:c r="B10" s="1" t="n">
        <x:f>'Activities'!L816</x:f>
        <x:v>502</x:v>
      </x:c>
    </x:row>
    <x:row r="11" ht="27" customHeight="1">
      <x:c r="A11" s="1" t="str">
        <x:v>Practical completion</x:v>
      </x:c>
      <x:c r="B11" s="21" t="n">
        <x:f>'Activities'!Q816</x:f>
        <x:v>46912</x:v>
      </x:c>
    </x:row>
    <x:row r="12" ht="27" customHeight="1">
      <x:c r="A12" s="1" t="str">
        <x:v>Target headroom, workdays</x:v>
      </x:c>
      <x:c r="B12" s="1" t="n">
        <x:f>'Controls'!$B$10-B10</x:f>
        <x:v>122</x:v>
      </x:c>
    </x:row>
    <x:row r="13" ht="27" customHeight="1">
      <x:c r="A13" s="1" t="str">
        <x:v>Critical activities</x:v>
      </x:c>
      <x:c r="B13" s="1" t="n">
        <x:f>COUNTIFS('Activities'!O8:O816,0)</x:f>
        <x:v>82</x:v>
      </x:c>
    </x:row>
    <x:row r="14" ht="27" customHeight="1">
      <x:c r="A14" s="1" t="str">
        <x:v>Direct budget, USD</x:v>
      </x:c>
      <x:c r="B14" s="32" t="n">
        <x:f>SUM('Activities'!R8:R816)</x:f>
        <x:v>22616875.39384413</x:v>
      </x:c>
    </x:row>
    <x:row r="15" ht="27" customHeight="1">
      <x:c r="A15" s="1" t="str">
        <x:v>Peak weekly average workforce</x:v>
      </x:c>
      <x:c r="B15" s="25" t="n">
        <x:f>MAX('Workforce'!L8:L113)</x:f>
        <x:v>213.66666666666666</x:v>
      </x:c>
    </x:row>
    <x:row r="16" ht="27" customHeight="1">
      <x:c r="A16" s="1" t="str">
        <x:v>Weeks exceeding crew thresholds</x:v>
      </x:c>
      <x:c r="B16" s="1" t="n">
        <x:f>COUNTIFS('Workforce'!M8:M113,"&gt;0")</x:f>
        <x:v>0</x:v>
      </x:c>
    </x:row>
    <x:row r="21" ht="24" customHeight="1">
      <x:c r="A21" s="1" t="str">
        <x:v>PLANNING BASIS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4" customHeight="1">
      <x:c r="A22" s="1" t="str">
        <x:v>Six-day working calendar. No site actuals or approved contract baseline are represented.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4" customHeight="1">
      <x:c r="A23" s="1" t="str">
        <x:v>CPM network is logic-linked. Weekly resource thresholds identify unlevelled overlaps.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4" customHeight="1">
      <x:c r="A24" s="1" t="str">
        <x:v>MEP and authority interfaces require integration before project execution.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4" customHeight="1">
      <x:c r="A25" s="1" t="str">
        <x:v>Same direct BOQ budget; detailed time loading is a separate baseline from the cashflow model.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</x:sheetData>
  <x:pageMargins left="0.7" right="0.7" top="0.75" bottom="0.75" header="0.3" footer="0.3"/>
  <x:drawing xmlns:r="http://schemas.openxmlformats.org/officeDocument/2006/relationships" r:id="R8d102b6c96ea4cae"/>
</x:worksheet>
</file>

<file path=xl/worksheets/sheet2.xml><?xml version="1.0" encoding="utf-8"?>
<x:worksheet xmlns:x="http://schemas.openxmlformats.org/spreadsheetml/2006/main">
  <x:sheetPr>
    <x:tabColor rgb="FF255E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0" hidden="0" customWidth="1"/>
    <x:col min="2" max="2" width="24" hidden="0" customWidth="1"/>
    <x:col min="3" max="3" width="16" hidden="0" customWidth="1"/>
    <x:col min="4" max="4" width="74" hidden="0" customWidth="1"/>
  </x:cols>
  <x:sheetData>
    <x:row r="2">
      <x:c r="A2" s="7" t="str">
        <x:v>Residential development | programme controls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CE-R01-PC / Rev 01 / six blocks / 288 apartments / 70,560 m2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Parameter</x:v>
      </x:c>
      <x:c r="B7" s="5" t="str">
        <x:v>Input</x:v>
      </x:c>
      <x:c r="C7" s="5" t="str">
        <x:v>Unit</x:v>
      </x:c>
      <x:c r="D7" s="5" t="str">
        <x:v>Basis</x:v>
      </x:c>
    </x:row>
    <x:row r="8" ht="23" customHeight="1">
      <x:c r="A8" s="6" t="str">
        <x:v>Baseline start</x:v>
      </x:c>
      <x:c r="B8" s="12" t="d">
        <x:v>2026-11-02T00:00:00.000Z</x:v>
      </x:c>
      <x:c r="C8" s="6" t="str">
        <x:v>date</x:v>
      </x:c>
      <x:c r="D8" s="6" t="str">
        <x:v>Six working days/week; Sunday excluded</x:v>
      </x:c>
    </x:row>
    <x:row r="9" ht="23" customHeight="1">
      <x:c r="A9" s="1" t="str">
        <x:v>Workdays per week</x:v>
      </x:c>
      <x:c r="B9" s="11" t="n">
        <x:v>6</x:v>
      </x:c>
      <x:c r="C9" s="1" t="str">
        <x:v>days</x:v>
      </x:c>
      <x:c r="D9" s="1" t="str">
        <x:v>Calendar table covers 900 working days</x:v>
      </x:c>
    </x:row>
    <x:row r="10" ht="23" customHeight="1">
      <x:c r="A10" s="6" t="str">
        <x:v>Target delivery</x:v>
      </x:c>
      <x:c r="B10" s="10" t="n">
        <x:v>624</x:v>
      </x:c>
      <x:c r="C10" s="6" t="str">
        <x:v>workdays</x:v>
      </x:c>
      <x:c r="D10" s="6" t="str">
        <x:v>24 months at nominal 26 workdays/month</x:v>
      </x:c>
    </x:row>
    <x:row r="11" ht="23" customHeight="1">
      <x:c r="A11" s="1" t="str">
        <x:v>Tower start offset</x:v>
      </x:c>
      <x:c r="B11" s="11" t="n">
        <x:v>12</x:v>
      </x:c>
      <x:c r="C11" s="1" t="str">
        <x:v>workdays</x:v>
      </x:c>
      <x:c r="D11" s="1" t="str">
        <x:v>Separate crews allow staggered tower starts</x:v>
      </x:c>
    </x:row>
    <x:row r="12" ht="23" customHeight="1">
      <x:c r="A12" s="6" t="str">
        <x:v>Earthworks workforce capacity</x:v>
      </x:c>
      <x:c r="B12" s="10" t="n">
        <x:v>40</x:v>
      </x:c>
      <x:c r="C12" s="6" t="str">
        <x:v>people</x:v>
      </x:c>
      <x:c r="D12" s="6" t="str">
        <x:v>Weekly average planning threshold</x:v>
      </x:c>
    </x:row>
    <x:row r="13" ht="23" customHeight="1">
      <x:c r="A13" s="1" t="str">
        <x:v>Formwork workforce capacity</x:v>
      </x:c>
      <x:c r="B13" s="11" t="n">
        <x:v>150</x:v>
      </x:c>
      <x:c r="C13" s="1" t="str">
        <x:v>people</x:v>
      </x:c>
      <x:c r="D13" s="1" t="str">
        <x:v>Weekly average planning threshold</x:v>
      </x:c>
    </x:row>
    <x:row r="14" ht="23" customHeight="1">
      <x:c r="A14" s="6" t="str">
        <x:v>Rebar workforce capacity</x:v>
      </x:c>
      <x:c r="B14" s="10" t="n">
        <x:v>120</x:v>
      </x:c>
      <x:c r="C14" s="6" t="str">
        <x:v>people</x:v>
      </x:c>
      <x:c r="D14" s="6" t="str">
        <x:v>Weekly average planning threshold</x:v>
      </x:c>
    </x:row>
    <x:row r="15" ht="23" customHeight="1">
      <x:c r="A15" s="1" t="str">
        <x:v>Concrete workforce capacity</x:v>
      </x:c>
      <x:c r="B15" s="11" t="n">
        <x:v>80</x:v>
      </x:c>
      <x:c r="C15" s="1" t="str">
        <x:v>people</x:v>
      </x:c>
      <x:c r="D15" s="1" t="str">
        <x:v>Weekly average planning threshold</x:v>
      </x:c>
    </x:row>
    <x:row r="16" ht="23" customHeight="1">
      <x:c r="A16" s="6" t="str">
        <x:v>Masonry workforce capacity</x:v>
      </x:c>
      <x:c r="B16" s="10" t="n">
        <x:v>120</x:v>
      </x:c>
      <x:c r="C16" s="6" t="str">
        <x:v>people</x:v>
      </x:c>
      <x:c r="D16" s="6" t="str">
        <x:v>Weekly average planning threshold</x:v>
      </x:c>
    </x:row>
    <x:row r="17" ht="23" customHeight="1">
      <x:c r="A17" s="1" t="str">
        <x:v>Finishes workforce capacity</x:v>
      </x:c>
      <x:c r="B17" s="11" t="n">
        <x:v>180</x:v>
      </x:c>
      <x:c r="C17" s="1" t="str">
        <x:v>people</x:v>
      </x:c>
      <x:c r="D17" s="1" t="str">
        <x:v>Weekly average planning threshold</x:v>
      </x:c>
    </x:row>
    <x:row r="18" ht="23" customHeight="1">
      <x:c r="A18" s="6" t="str">
        <x:v>Envelope workforce capacity</x:v>
      </x:c>
      <x:c r="B18" s="10" t="n">
        <x:v>100</x:v>
      </x:c>
      <x:c r="C18" s="6" t="str">
        <x:v>people</x:v>
      </x:c>
      <x:c r="D18" s="6" t="str">
        <x:v>Weekly average planning threshold</x:v>
      </x:c>
    </x:row>
    <x:row r="19" ht="23" customHeight="1">
      <x:c r="A19" s="1" t="str">
        <x:v>External workforce capacity</x:v>
      </x:c>
      <x:c r="B19" s="11" t="n">
        <x:v>50</x:v>
      </x:c>
      <x:c r="C19" s="1" t="str">
        <x:v>people</x:v>
      </x:c>
      <x:c r="D19" s="1" t="str">
        <x:v>Weekly average planning threshold</x:v>
      </x:c>
    </x:row>
    <x:row r="20" ht="23" customHeight="1">
      <x:c r="A20" s="6" t="str">
        <x:v>Site workforce capacity</x:v>
      </x:c>
      <x:c r="B20" s="10" t="n">
        <x:v>40</x:v>
      </x:c>
      <x:c r="C20" s="6" t="str">
        <x:v>people</x:v>
      </x:c>
      <x:c r="D20" s="6" t="str">
        <x:v>Weekly average planning threshold</x:v>
      </x:c>
    </x:row>
    <x:row r="21" ht="23" customHeight="1">
      <x:c r="A21" s="1" t="str">
        <x:v>Planning date</x:v>
      </x:c>
      <x:c r="B21" s="13" t="d">
        <x:v>2026-10-24T00:00:00.000Z</x:v>
      </x:c>
      <x:c r="C21" s="1" t="str">
        <x:v>date</x:v>
      </x:c>
      <x:c r="D21" s="1" t="str">
        <x:v>Forecast baseline issue; no actual progress recorded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1" hidden="0" customWidth="1"/>
    <x:col min="4" max="4" width="52" hidden="0" customWidth="1"/>
    <x:col min="5" max="5" width="19" hidden="0" customWidth="1"/>
    <x:col min="6" max="6" width="20" hidden="0" customWidth="1"/>
    <x:col min="7" max="7" width="13" hidden="0" customWidth="1"/>
    <x:col min="8" max="8" width="18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24" hidden="0" customWidth="1"/>
    <x:col min="19" max="19" width="20" hidden="0" customWidth="1"/>
    <x:col min="20" max="20" width="25" hidden="0" customWidth="1"/>
  </x:cols>
  <x:sheetData>
    <x:row r="2">
      <x:c r="A2" s="7" t="str">
        <x:v>Logic-linked construction baseline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Finish-to-start links with explicit lags. Day offsets use an exclusive finish convention.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Activity ID</x:v>
      </x:c>
      <x:c r="B7" s="5" t="str">
        <x:v>Zone</x:v>
      </x:c>
      <x:c r="C7" s="5" t="str">
        <x:v>Level</x:v>
      </x:c>
      <x:c r="D7" s="5" t="str">
        <x:v>Activity</x:v>
      </x:c>
      <x:c r="E7" s="5" t="str">
        <x:v>Trade</x:v>
      </x:c>
      <x:c r="F7" s="5" t="str">
        <x:v>Quantity</x:v>
      </x:c>
      <x:c r="G7" s="5" t="str">
        <x:v>Unit</x:v>
      </x:c>
      <x:c r="H7" s="5" t="str">
        <x:v>Daily output</x:v>
      </x:c>
      <x:c r="I7" s="5" t="str">
        <x:v>Crew</x:v>
      </x:c>
      <x:c r="J7" s="5" t="str">
        <x:v>Duration wd</x:v>
      </x:c>
      <x:c r="K7" s="5" t="str">
        <x:v>ES offset</x:v>
      </x:c>
      <x:c r="L7" s="5" t="str">
        <x:v>EF offset</x:v>
      </x:c>
      <x:c r="M7" s="5" t="str">
        <x:v>LS offset</x:v>
      </x:c>
      <x:c r="N7" s="5" t="str">
        <x:v>LF offset</x:v>
      </x:c>
      <x:c r="O7" s="5" t="str">
        <x:v>Total float wd</x:v>
      </x:c>
      <x:c r="P7" s="5" t="str">
        <x:v>Start date</x:v>
      </x:c>
      <x:c r="Q7" s="5" t="str">
        <x:v>Finish date</x:v>
      </x:c>
      <x:c r="R7" s="5" t="str">
        <x:v>Direct budget USD</x:v>
      </x:c>
      <x:c r="S7" s="5" t="str">
        <x:v>Fixed duration</x:v>
      </x:c>
      <x:c r="T7" s="5" t="str">
        <x:v>Daily direct value USD</x:v>
      </x:c>
    </x:row>
    <x:row r="8" ht="23" customHeight="1">
      <x:c r="A8" s="6" t="str">
        <x:v>P-001</x:v>
      </x:c>
      <x:c r="B8" s="6" t="str">
        <x:v>SITE</x:v>
      </x:c>
      <x:c r="C8" s="6" t="str">
        <x:v>ALL</x:v>
      </x:c>
      <x:c r="D8" s="6" t="str">
        <x:v>Mobilisation and temporary facilities</x:v>
      </x:c>
      <x:c r="E8" s="6" t="str">
        <x:v>Site</x:v>
      </x:c>
      <x:c r="F8" s="14" t="n">
        <x:v>1</x:v>
      </x:c>
      <x:c r="G8" s="6" t="str">
        <x:v>lot</x:v>
      </x:c>
      <x:c r="H8" s="16" t="n">
        <x:v>1</x:v>
      </x:c>
      <x:c r="I8" s="16" t="n">
        <x:v>20</x:v>
      </x:c>
      <x:c r="J8" s="16" t="n">
        <x:f>S8</x:f>
        <x:v>18</x:v>
      </x:c>
      <x:c r="K8" s="6" t="n">
        <x:f>0</x:f>
        <x:v>0</x:v>
      </x:c>
      <x:c r="L8" s="6" t="n">
        <x:f>K8+J8</x:f>
        <x:v>18</x:v>
      </x:c>
      <x:c r="M8" s="6" t="n">
        <x:f>N8-J8</x:f>
        <x:v>0</x:v>
      </x:c>
      <x:c r="N8" s="6" t="n">
        <x:f>MIN(M9-0)</x:f>
        <x:v>18</x:v>
      </x:c>
      <x:c r="O8" s="6" t="n">
        <x:f>M8-K8</x:f>
        <x:v>0</x:v>
      </x:c>
      <x:c r="P8" s="18" t="n">
        <x:f>INDEX('Calendar'!$C$8:$C$907,K8+1)</x:f>
        <x:v>46328</x:v>
      </x:c>
      <x:c r="Q8" s="18" t="n">
        <x:f>INDEX('Calendar'!$C$8:$C$907,MAX(K8+1,L8))</x:f>
        <x:v>46347</x:v>
      </x:c>
      <x:c r="R8" s="14" t="n">
        <x:v>0</x:v>
      </x:c>
      <x:c r="S8" s="14" t="n">
        <x:v>18</x:v>
      </x:c>
      <x:c r="T8" s="14" t="n">
        <x:f>R8/J8</x:f>
        <x:v>0</x:v>
      </x:c>
    </x:row>
    <x:row r="9" ht="23" customHeight="1">
      <x:c r="A9" s="1" t="str">
        <x:v>P-010</x:v>
      </x:c>
      <x:c r="B9" s="1" t="str">
        <x:v>POD</x:v>
      </x:c>
      <x:c r="C9" s="1" t="str">
        <x:v>B1</x:v>
      </x:c>
      <x:c r="D9" s="1" t="str">
        <x:v>Excavation and surplus disposal</x:v>
      </x:c>
      <x:c r="E9" s="1" t="str">
        <x:v>Earthworks</x:v>
      </x:c>
      <x:c r="F9" s="15" t="n">
        <x:v>69192</x:v>
      </x:c>
      <x:c r="G9" s="1" t="str">
        <x:v>m3</x:v>
      </x:c>
      <x:c r="H9" s="17" t="n">
        <x:v>1800</x:v>
      </x:c>
      <x:c r="I9" s="17" t="n">
        <x:v>24</x:v>
      </x:c>
      <x:c r="J9" s="17" t="n">
        <x:f>ROUNDUP(F9/H9,0)</x:f>
        <x:v>39</x:v>
      </x:c>
      <x:c r="K9" s="1" t="n">
        <x:f>MAX(L8+0)</x:f>
        <x:v>18</x:v>
      </x:c>
      <x:c r="L9" s="1" t="n">
        <x:f>K9+J9</x:f>
        <x:v>57</x:v>
      </x:c>
      <x:c r="M9" s="1" t="n">
        <x:f>N9-J9</x:f>
        <x:v>18</x:v>
      </x:c>
      <x:c r="N9" s="1" t="n">
        <x:f>MIN(M10-0)</x:f>
        <x:v>57</x:v>
      </x:c>
      <x:c r="O9" s="1" t="n">
        <x:f>M9-K9</x:f>
        <x:v>0</x:v>
      </x:c>
      <x:c r="P9" s="19" t="n">
        <x:f>INDEX('Calendar'!$C$8:$C$907,K9+1)</x:f>
        <x:v>46349</x:v>
      </x:c>
      <x:c r="Q9" s="19" t="n">
        <x:f>INDEX('Calendar'!$C$8:$C$907,MAX(K9+1,L9))</x:f>
        <x:v>46393</x:v>
      </x:c>
      <x:c r="R9" s="15" t="n">
        <x:v>1009684.8</x:v>
      </x:c>
      <x:c r="S9" s="15"/>
      <x:c r="T9" s="15" t="n">
        <x:f>R9/J9</x:f>
        <x:v>25889.35384615385</x:v>
      </x:c>
    </x:row>
    <x:row r="10" ht="23" customHeight="1">
      <x:c r="A10" s="6" t="str">
        <x:v>P-020</x:v>
      </x:c>
      <x:c r="B10" s="6" t="str">
        <x:v>POD</x:v>
      </x:c>
      <x:c r="C10" s="6" t="str">
        <x:v>B1</x:v>
      </x:c>
      <x:c r="D10" s="6" t="str">
        <x:v>Blinding and underslab membrane</x:v>
      </x:c>
      <x:c r="E10" s="6" t="str">
        <x:v>Concrete</x:v>
      </x:c>
      <x:c r="F10" s="14" t="n">
        <x:v>1440</x:v>
      </x:c>
      <x:c r="G10" s="6" t="str">
        <x:v>m3</x:v>
      </x:c>
      <x:c r="H10" s="16" t="n">
        <x:v>160</x:v>
      </x:c>
      <x:c r="I10" s="16" t="n">
        <x:v>18</x:v>
      </x:c>
      <x:c r="J10" s="16" t="n">
        <x:f>ROUNDUP(F10/H10,0)</x:f>
        <x:v>9</x:v>
      </x:c>
      <x:c r="K10" s="6" t="n">
        <x:f>MAX(L9+0)</x:f>
        <x:v>57</x:v>
      </x:c>
      <x:c r="L10" s="6" t="n">
        <x:f>K10+J10</x:f>
        <x:v>66</x:v>
      </x:c>
      <x:c r="M10" s="6" t="n">
        <x:f>N10-J10</x:f>
        <x:v>57</x:v>
      </x:c>
      <x:c r="N10" s="6" t="n">
        <x:f>MIN(M11-0)</x:f>
        <x:v>66</x:v>
      </x:c>
      <x:c r="O10" s="6" t="n">
        <x:f>M10-K10</x:f>
        <x:v>0</x:v>
      </x:c>
      <x:c r="P10" s="18" t="n">
        <x:f>INDEX('Calendar'!$C$8:$C$907,K10+1)</x:f>
        <x:v>46394</x:v>
      </x:c>
      <x:c r="Q10" s="18" t="n">
        <x:f>INDEX('Calendar'!$C$8:$C$907,MAX(K10+1,L10))</x:f>
        <x:v>46403</x:v>
      </x:c>
      <x:c r="R10" s="14" t="n">
        <x:v>424800</x:v>
      </x:c>
      <x:c r="S10" s="14"/>
      <x:c r="T10" s="14" t="n">
        <x:f>R10/J10</x:f>
        <x:v>47200</x:v>
      </x:c>
    </x:row>
    <x:row r="11" ht="23" customHeight="1">
      <x:c r="A11" s="1" t="str">
        <x:v>P-030</x:v>
      </x:c>
      <x:c r="B11" s="1" t="str">
        <x:v>POD</x:v>
      </x:c>
      <x:c r="C11" s="1" t="str">
        <x:v>B1</x:v>
      </x:c>
      <x:c r="D11" s="1" t="str">
        <x:v>Raft reinforcement and preparation</x:v>
      </x:c>
      <x:c r="E11" s="1" t="str">
        <x:v>Rebar</x:v>
      </x:c>
      <x:c r="F11" s="15" t="n">
        <x:v>2315.3628790818043</x:v>
      </x:c>
      <x:c r="G11" s="1" t="str">
        <x:v>t</x:v>
      </x:c>
      <x:c r="H11" s="17" t="n">
        <x:v>55</x:v>
      </x:c>
      <x:c r="I11" s="17" t="n">
        <x:v>55</x:v>
      </x:c>
      <x:c r="J11" s="17" t="n">
        <x:f>ROUNDUP(F11/H11,0)</x:f>
        <x:v>43</x:v>
      </x:c>
      <x:c r="K11" s="1" t="n">
        <x:f>MAX(L10+0)</x:f>
        <x:v>66</x:v>
      </x:c>
      <x:c r="L11" s="1" t="n">
        <x:f>K11+J11</x:f>
        <x:v>109</x:v>
      </x:c>
      <x:c r="M11" s="1" t="n">
        <x:f>N11-J11</x:f>
        <x:v>66</x:v>
      </x:c>
      <x:c r="N11" s="1" t="n">
        <x:f>MIN(M12-0)</x:f>
        <x:v>109</x:v>
      </x:c>
      <x:c r="O11" s="1" t="n">
        <x:f>M11-K11</x:f>
        <x:v>0</x:v>
      </x:c>
      <x:c r="P11" s="19" t="n">
        <x:f>INDEX('Calendar'!$C$8:$C$907,K11+1)</x:f>
        <x:v>46405</x:v>
      </x:c>
      <x:c r="Q11" s="19" t="n">
        <x:f>INDEX('Calendar'!$C$8:$C$907,MAX(K11+1,L11))</x:f>
        <x:v>46454</x:v>
      </x:c>
      <x:c r="R11" s="15" t="n">
        <x:v>2012050.3419220878</x:v>
      </x:c>
      <x:c r="S11" s="15"/>
      <x:c r="T11" s="15" t="n">
        <x:f>R11/J11</x:f>
        <x:v>46791.86841679274</x:v>
      </x:c>
    </x:row>
    <x:row r="12" ht="23" customHeight="1">
      <x:c r="A12" s="6" t="str">
        <x:v>P-040</x:v>
      </x:c>
      <x:c r="B12" s="6" t="str">
        <x:v>POD</x:v>
      </x:c>
      <x:c r="C12" s="6" t="str">
        <x:v>B1</x:v>
      </x:c>
      <x:c r="D12" s="6" t="str">
        <x:v>Raft base and tower thickening pours</x:v>
      </x:c>
      <x:c r="E12" s="6" t="str">
        <x:v>Concrete</x:v>
      </x:c>
      <x:c r="F12" s="14" t="n">
        <x:v>12240</x:v>
      </x:c>
      <x:c r="G12" s="6" t="str">
        <x:v>m3</x:v>
      </x:c>
      <x:c r="H12" s="16" t="n">
        <x:v>680</x:v>
      </x:c>
      <x:c r="I12" s="16" t="n">
        <x:v>28</x:v>
      </x:c>
      <x:c r="J12" s="16" t="n">
        <x:f>ROUNDUP(F12/H12,0)</x:f>
        <x:v>18</x:v>
      </x:c>
      <x:c r="K12" s="6" t="n">
        <x:f>MAX(L11+0)</x:f>
        <x:v>109</x:v>
      </x:c>
      <x:c r="L12" s="6" t="n">
        <x:f>K12+J12</x:f>
        <x:v>127</x:v>
      </x:c>
      <x:c r="M12" s="6" t="n">
        <x:f>N12-J12</x:f>
        <x:v>109</x:v>
      </x:c>
      <x:c r="N12" s="6" t="n">
        <x:f>MIN(M13-7,M16-(7+0*'Controls'!$B$11),M149-(7+1*'Controls'!$B$11),M282-(7+2*'Controls'!$B$11),M415-(7+3*'Controls'!$B$11),M548-(7+4*'Controls'!$B$11),M681-(7+5*'Controls'!$B$11))</x:f>
        <x:v>127</x:v>
      </x:c>
      <x:c r="O12" s="6" t="n">
        <x:f>M12-K12</x:f>
        <x:v>0</x:v>
      </x:c>
      <x:c r="P12" s="18" t="n">
        <x:f>INDEX('Calendar'!$C$8:$C$907,K12+1)</x:f>
        <x:v>46455</x:v>
      </x:c>
      <x:c r="Q12" s="18" t="n">
        <x:f>INDEX('Calendar'!$C$8:$C$907,MAX(K12+1,L12))</x:f>
        <x:v>46475</x:v>
      </x:c>
      <x:c r="R12" s="14" t="n">
        <x:v>1664640</x:v>
      </x:c>
      <x:c r="S12" s="14"/>
      <x:c r="T12" s="14" t="n">
        <x:f>R12/J12</x:f>
        <x:v>92480</x:v>
      </x:c>
    </x:row>
    <x:row r="13" ht="23" customHeight="1">
      <x:c r="A13" s="1" t="str">
        <x:v>P-050</x:v>
      </x:c>
      <x:c r="B13" s="1" t="str">
        <x:v>POD</x:v>
      </x:c>
      <x:c r="C13" s="1" t="str">
        <x:v>B1</x:v>
      </x:c>
      <x:c r="D13" s="1" t="str">
        <x:v>Basement perimeter walls</x:v>
      </x:c>
      <x:c r="E13" s="1" t="str">
        <x:v>Formwork</x:v>
      </x:c>
      <x:c r="F13" s="15" t="n">
        <x:v>502.73999999999995</x:v>
      </x:c>
      <x:c r="G13" s="1" t="str">
        <x:v>m3</x:v>
      </x:c>
      <x:c r="H13" s="17" t="n">
        <x:v>40</x:v>
      </x:c>
      <x:c r="I13" s="17" t="n">
        <x:v>24</x:v>
      </x:c>
      <x:c r="J13" s="17" t="n">
        <x:f>ROUNDUP(F13/H13,0)</x:f>
        <x:v>13</x:v>
      </x:c>
      <x:c r="K13" s="1" t="n">
        <x:f>MAX(L12+7)</x:f>
        <x:v>134</x:v>
      </x:c>
      <x:c r="L13" s="1" t="n">
        <x:f>K13+J13</x:f>
        <x:v>147</x:v>
      </x:c>
      <x:c r="M13" s="1" t="n">
        <x:f>N13-J13</x:f>
        <x:v>412</x:v>
      </x:c>
      <x:c r="N13" s="1" t="n">
        <x:f>MIN(M14-0,M15-7)</x:f>
        <x:v>425</x:v>
      </x:c>
      <x:c r="O13" s="1" t="n">
        <x:f>M13-K13</x:f>
        <x:v>278</x:v>
      </x:c>
      <x:c r="P13" s="19" t="n">
        <x:f>INDEX('Calendar'!$C$8:$C$907,K13+1)</x:f>
        <x:v>46484</x:v>
      </x:c>
      <x:c r="Q13" s="19" t="n">
        <x:f>INDEX('Calendar'!$C$8:$C$907,MAX(K13+1,L13))</x:f>
        <x:v>46498</x:v>
      </x:c>
      <x:c r="R13" s="15" t="n">
        <x:v>155011.5</x:v>
      </x:c>
      <x:c r="S13" s="15"/>
      <x:c r="T13" s="15" t="n">
        <x:f>R13/J13</x:f>
        <x:v>11923.961538461539</x:v>
      </x:c>
    </x:row>
    <x:row r="14" ht="23" customHeight="1">
      <x:c r="A14" s="6" t="str">
        <x:v>P-060</x:v>
      </x:c>
      <x:c r="B14" s="6" t="str">
        <x:v>POD</x:v>
      </x:c>
      <x:c r="C14" s="6" t="str">
        <x:v>L00</x:v>
      </x:c>
      <x:c r="D14" s="6" t="str">
        <x:v>Podium roof structural package</x:v>
      </x:c>
      <x:c r="E14" s="6" t="str">
        <x:v>Formwork</x:v>
      </x:c>
      <x:c r="F14" s="14" t="n">
        <x:v>2520</x:v>
      </x:c>
      <x:c r="G14" s="6" t="str">
        <x:v>m3</x:v>
      </x:c>
      <x:c r="H14" s="16" t="n">
        <x:v>180</x:v>
      </x:c>
      <x:c r="I14" s="16" t="n">
        <x:v>30</x:v>
      </x:c>
      <x:c r="J14" s="16" t="n">
        <x:f>ROUNDUP(F14/H14,0)</x:f>
        <x:v>14</x:v>
      </x:c>
      <x:c r="K14" s="6" t="n">
        <x:f>MAX(L13+0)</x:f>
        <x:v>147</x:v>
      </x:c>
      <x:c r="L14" s="6" t="n">
        <x:f>K14+J14</x:f>
        <x:v>161</x:v>
      </x:c>
      <x:c r="M14" s="6" t="n">
        <x:f>N14-J14</x:f>
        <x:v>445</x:v>
      </x:c>
      <x:c r="N14" s="6" t="n">
        <x:f>MIN(M815-0)</x:f>
        <x:v>459</x:v>
      </x:c>
      <x:c r="O14" s="6" t="n">
        <x:f>M14-K14</x:f>
        <x:v>298</x:v>
      </x:c>
      <x:c r="P14" s="18" t="n">
        <x:f>INDEX('Calendar'!$C$8:$C$907,K14+1)</x:f>
        <x:v>46499</x:v>
      </x:c>
      <x:c r="Q14" s="18" t="n">
        <x:f>INDEX('Calendar'!$C$8:$C$907,MAX(K14+1,L14))</x:f>
        <x:v>46514</x:v>
      </x:c>
      <x:c r="R14" s="14" t="n">
        <x:v>582120</x:v>
      </x:c>
      <x:c r="S14" s="14"/>
      <x:c r="T14" s="14" t="n">
        <x:f>R14/J14</x:f>
        <x:v>41580</x:v>
      </x:c>
    </x:row>
    <x:row r="15" ht="23" customHeight="1">
      <x:c r="A15" s="1" t="str">
        <x:v>P-070</x:v>
      </x:c>
      <x:c r="B15" s="1" t="str">
        <x:v>SITE</x:v>
      </x:c>
      <x:c r="C15" s="1" t="str">
        <x:v>B1</x:v>
      </x:c>
      <x:c r="D15" s="1" t="str">
        <x:v>Backfill and perimeter reinstatement</x:v>
      </x:c>
      <x:c r="E15" s="1" t="str">
        <x:v>Earthworks</x:v>
      </x:c>
      <x:c r="F15" s="15" t="n">
        <x:v>4392</x:v>
      </x:c>
      <x:c r="G15" s="1" t="str">
        <x:v>m3</x:v>
      </x:c>
      <x:c r="H15" s="17" t="n">
        <x:v>500</x:v>
      </x:c>
      <x:c r="I15" s="17" t="n">
        <x:v>16</x:v>
      </x:c>
      <x:c r="J15" s="17" t="n">
        <x:f>ROUNDUP(F15/H15,0)</x:f>
        <x:v>9</x:v>
      </x:c>
      <x:c r="K15" s="1" t="n">
        <x:f>MAX(L13+7)</x:f>
        <x:v>154</x:v>
      </x:c>
      <x:c r="L15" s="1" t="n">
        <x:f>K15+J15</x:f>
        <x:v>163</x:v>
      </x:c>
      <x:c r="M15" s="1" t="n">
        <x:f>N15-J15</x:f>
        <x:v>432</x:v>
      </x:c>
      <x:c r="N15" s="1" t="n">
        <x:f>MIN(M814-0)</x:f>
        <x:v>441</x:v>
      </x:c>
      <x:c r="O15" s="1" t="n">
        <x:f>M15-K15</x:f>
        <x:v>278</x:v>
      </x:c>
      <x:c r="P15" s="19" t="n">
        <x:f>INDEX('Calendar'!$C$8:$C$907,K15+1)</x:f>
        <x:v>46507</x:v>
      </x:c>
      <x:c r="Q15" s="19" t="n">
        <x:f>INDEX('Calendar'!$C$8:$C$907,MAX(K15+1,L15))</x:f>
        <x:v>46517</x:v>
      </x:c>
      <x:c r="R15" s="15" t="n">
        <x:v>67197.6</x:v>
      </x:c>
      <x:c r="S15" s="15"/>
      <x:c r="T15" s="15" t="n">
        <x:f>R15/J15</x:f>
        <x:v>7466.400000000001</x:v>
      </x:c>
    </x:row>
    <x:row r="16" ht="23" customHeight="1">
      <x:c r="A16" s="6" t="str">
        <x:v>T1-L00-F</x:v>
      </x:c>
      <x:c r="B16" s="6" t="str">
        <x:v>T1</x:v>
      </x:c>
      <x:c r="C16" s="6" t="str">
        <x:v>L00</x:v>
      </x:c>
      <x:c r="D16" s="6" t="str">
        <x:v>Columns, core and deck formwork</x:v>
      </x:c>
      <x:c r="E16" s="6" t="str">
        <x:v>Formwork</x:v>
      </x:c>
      <x:c r="F16" s="14" t="n">
        <x:v>1222.6600000000005</x:v>
      </x:c>
      <x:c r="G16" s="6" t="str">
        <x:v>m2</x:v>
      </x:c>
      <x:c r="H16" s="16" t="n">
        <x:v>220</x:v>
      </x:c>
      <x:c r="I16" s="16" t="n">
        <x:v>18</x:v>
      </x:c>
      <x:c r="J16" s="16" t="n">
        <x:f>ROUNDUP(F16/H16,0)</x:f>
        <x:v>6</x:v>
      </x:c>
      <x:c r="K16" s="6" t="n">
        <x:f>MAX(L12+(7+0*'Controls'!$B$11))</x:f>
        <x:v>134</x:v>
      </x:c>
      <x:c r="L16" s="6" t="n">
        <x:f>K16+J16</x:f>
        <x:v>140</x:v>
      </x:c>
      <x:c r="M16" s="6" t="n">
        <x:f>N16-J16</x:f>
        <x:v>194</x:v>
      </x:c>
      <x:c r="N16" s="6" t="n">
        <x:f>MIN(M17-0)</x:f>
        <x:v>200</x:v>
      </x:c>
      <x:c r="O16" s="6" t="n">
        <x:f>M16-K16</x:f>
        <x:v>60</x:v>
      </x:c>
      <x:c r="P16" s="18" t="n">
        <x:f>INDEX('Calendar'!$C$8:$C$907,K16+1)</x:f>
        <x:v>46484</x:v>
      </x:c>
      <x:c r="Q16" s="18" t="n">
        <x:f>INDEX('Calendar'!$C$8:$C$907,MAX(K16+1,L16))</x:f>
        <x:v>46490</x:v>
      </x:c>
      <x:c r="R16" s="14" t="n">
        <x:v>29364.320000000007</x:v>
      </x:c>
      <x:c r="S16" s="14"/>
      <x:c r="T16" s="14" t="n">
        <x:f>R16/J16</x:f>
        <x:v>4894.053333333334</x:v>
      </x:c>
    </x:row>
    <x:row r="17" ht="23" customHeight="1">
      <x:c r="A17" s="1" t="str">
        <x:v>T1-L00-R</x:v>
      </x:c>
      <x:c r="B17" s="1" t="str">
        <x:v>T1</x:v>
      </x:c>
      <x:c r="C17" s="1" t="str">
        <x:v>L00</x:v>
      </x:c>
      <x:c r="D17" s="1" t="str">
        <x:v>Column, wall, beam and slab reinforcement</x:v>
      </x:c>
      <x:c r="E17" s="1" t="str">
        <x:v>Rebar</x:v>
      </x:c>
      <x:c r="F17" s="15" t="n">
        <x:v>29.684139475407747</x:v>
      </x:c>
      <x:c r="G17" s="1" t="str">
        <x:v>t</x:v>
      </x:c>
      <x:c r="H17" s="17" t="n">
        <x:v>7</x:v>
      </x:c>
      <x:c r="I17" s="17" t="n">
        <x:v>14</x:v>
      </x:c>
      <x:c r="J17" s="17" t="n">
        <x:f>ROUNDUP(F17/H17,0)</x:f>
        <x:v>5</x:v>
      </x:c>
      <x:c r="K17" s="1" t="n">
        <x:f>MAX(L16+0)</x:f>
        <x:v>140</x:v>
      </x:c>
      <x:c r="L17" s="1" t="n">
        <x:f>K17+J17</x:f>
        <x:v>145</x:v>
      </x:c>
      <x:c r="M17" s="1" t="n">
        <x:f>N17-J17</x:f>
        <x:v>200</x:v>
      </x:c>
      <x:c r="N17" s="1" t="n">
        <x:f>MIN(M18-0)</x:f>
        <x:v>205</x:v>
      </x:c>
      <x:c r="O17" s="1" t="n">
        <x:f>M17-K17</x:f>
        <x:v>60</x:v>
      </x:c>
      <x:c r="P17" s="19" t="n">
        <x:f>INDEX('Calendar'!$C$8:$C$907,K17+1)</x:f>
        <x:v>46491</x:v>
      </x:c>
      <x:c r="Q17" s="19" t="n">
        <x:f>INDEX('Calendar'!$C$8:$C$907,MAX(K17+1,L17))</x:f>
        <x:v>46496</x:v>
      </x:c>
      <x:c r="R17" s="15" t="n">
        <x:v>25795.51720412933</x:v>
      </x:c>
      <x:c r="S17" s="15"/>
      <x:c r="T17" s="15" t="n">
        <x:f>R17/J17</x:f>
        <x:v>5159.103440825866</x:v>
      </x:c>
    </x:row>
    <x:row r="18" ht="23" customHeight="1">
      <x:c r="A18" s="6" t="str">
        <x:v>T1-L00-C</x:v>
      </x:c>
      <x:c r="B18" s="6" t="str">
        <x:v>T1</x:v>
      </x:c>
      <x:c r="C18" s="6" t="str">
        <x:v>L00</x:v>
      </x:c>
      <x:c r="D18" s="6" t="str">
        <x:v>Concrete placement and finishing</x:v>
      </x:c>
      <x:c r="E18" s="6" t="str">
        <x:v>Concrete</x:v>
      </x:c>
      <x:c r="F18" s="14" t="n">
        <x:v>226.70819999999958</x:v>
      </x:c>
      <x:c r="G18" s="6" t="str">
        <x:v>m3</x:v>
      </x:c>
      <x:c r="H18" s="16" t="n">
        <x:v>170</x:v>
      </x:c>
      <x:c r="I18" s="16" t="n">
        <x:v>12</x:v>
      </x:c>
      <x:c r="J18" s="16" t="n">
        <x:f>ROUNDUP(F18/H18,0)</x:f>
        <x:v>2</x:v>
      </x:c>
      <x:c r="K18" s="6" t="n">
        <x:f>MAX(L17+0)</x:f>
        <x:v>145</x:v>
      </x:c>
      <x:c r="L18" s="6" t="n">
        <x:f>K18+J18</x:f>
        <x:v>147</x:v>
      </x:c>
      <x:c r="M18" s="6" t="n">
        <x:f>N18-J18</x:f>
        <x:v>205</x:v>
      </x:c>
      <x:c r="N18" s="6" t="n">
        <x:f>MIN(M19-0)</x:f>
        <x:v>207</x:v>
      </x:c>
      <x:c r="O18" s="6" t="n">
        <x:f>M18-K18</x:f>
        <x:v>60</x:v>
      </x:c>
      <x:c r="P18" s="18" t="n">
        <x:f>INDEX('Calendar'!$C$8:$C$907,K18+1)</x:f>
        <x:v>46497</x:v>
      </x:c>
      <x:c r="Q18" s="18" t="n">
        <x:f>INDEX('Calendar'!$C$8:$C$907,MAX(K18+1,L18))</x:f>
        <x:v>46498</x:v>
      </x:c>
      <x:c r="R18" s="14" t="n">
        <x:v>33527.39699999994</x:v>
      </x:c>
      <x:c r="S18" s="14"/>
      <x:c r="T18" s="14" t="n">
        <x:f>R18/J18</x:f>
        <x:v>16763.69849999997</x:v>
      </x:c>
    </x:row>
    <x:row r="19" ht="23" customHeight="1">
      <x:c r="A19" s="1" t="str">
        <x:v>T1-L00-H</x:v>
      </x:c>
      <x:c r="B19" s="1" t="str">
        <x:v>T1</x:v>
      </x:c>
      <x:c r="C19" s="1" t="str">
        <x:v>L00</x:v>
      </x:c>
      <x:c r="D19" s="1" t="str">
        <x:v>Curing and release hold point</x:v>
      </x:c>
      <x:c r="E19" s="1" t="str">
        <x:v>Site</x:v>
      </x:c>
      <x:c r="F19" s="15" t="n">
        <x:v>1</x:v>
      </x:c>
      <x:c r="G19" s="1" t="str">
        <x:v>hold</x:v>
      </x:c>
      <x:c r="H19" s="17" t="n">
        <x:v>1</x:v>
      </x:c>
      <x:c r="I19" s="17" t="n">
        <x:v>0</x:v>
      </x:c>
      <x:c r="J19" s="17" t="n">
        <x:f>S19</x:f>
        <x:v>5</x:v>
      </x:c>
      <x:c r="K19" s="1" t="n">
        <x:f>MAX(L18+0)</x:f>
        <x:v>147</x:v>
      </x:c>
      <x:c r="L19" s="1" t="n">
        <x:f>K19+J19</x:f>
        <x:v>152</x:v>
      </x:c>
      <x:c r="M19" s="1" t="n">
        <x:f>N19-J19</x:f>
        <x:v>207</x:v>
      </x:c>
      <x:c r="N19" s="1" t="n">
        <x:f>MIN(M20-0)</x:f>
        <x:v>212</x:v>
      </x:c>
      <x:c r="O19" s="1" t="n">
        <x:f>M19-K19</x:f>
        <x:v>60</x:v>
      </x:c>
      <x:c r="P19" s="19" t="n">
        <x:f>INDEX('Calendar'!$C$8:$C$907,K19+1)</x:f>
        <x:v>46499</x:v>
      </x:c>
      <x:c r="Q19" s="19" t="n">
        <x:f>INDEX('Calendar'!$C$8:$C$907,MAX(K19+1,L19))</x:f>
        <x:v>46504</x:v>
      </x:c>
      <x:c r="R19" s="15" t="n">
        <x:v>0</x:v>
      </x:c>
      <x:c r="S19" s="15" t="n">
        <x:v>5</x:v>
      </x:c>
      <x:c r="T19" s="15" t="n">
        <x:f>R19/J19</x:f>
        <x:v>0</x:v>
      </x:c>
    </x:row>
    <x:row r="20" ht="23" customHeight="1">
      <x:c r="A20" s="6" t="str">
        <x:v>T1-L01-F</x:v>
      </x:c>
      <x:c r="B20" s="6" t="str">
        <x:v>T1</x:v>
      </x:c>
      <x:c r="C20" s="6" t="str">
        <x:v>L01</x:v>
      </x:c>
      <x:c r="D20" s="6" t="str">
        <x:v>Columns, core and deck formwork</x:v>
      </x:c>
      <x:c r="E20" s="6" t="str">
        <x:v>Formwork</x:v>
      </x:c>
      <x:c r="F20" s="14" t="n">
        <x:v>1222.6600000000005</x:v>
      </x:c>
      <x:c r="G20" s="6" t="str">
        <x:v>m2</x:v>
      </x:c>
      <x:c r="H20" s="16" t="n">
        <x:v>220</x:v>
      </x:c>
      <x:c r="I20" s="16" t="n">
        <x:v>18</x:v>
      </x:c>
      <x:c r="J20" s="16" t="n">
        <x:f>ROUNDUP(F20/H20,0)</x:f>
        <x:v>6</x:v>
      </x:c>
      <x:c r="K20" s="6" t="n">
        <x:f>MAX(L19+0)</x:f>
        <x:v>152</x:v>
      </x:c>
      <x:c r="L20" s="6" t="n">
        <x:f>K20+J20</x:f>
        <x:v>158</x:v>
      </x:c>
      <x:c r="M20" s="6" t="n">
        <x:f>N20-J20</x:f>
        <x:v>212</x:v>
      </x:c>
      <x:c r="N20" s="6" t="n">
        <x:f>MIN(M21-0)</x:f>
        <x:v>218</x:v>
      </x:c>
      <x:c r="O20" s="6" t="n">
        <x:f>M20-K20</x:f>
        <x:v>60</x:v>
      </x:c>
      <x:c r="P20" s="18" t="n">
        <x:f>INDEX('Calendar'!$C$8:$C$907,K20+1)</x:f>
        <x:v>46505</x:v>
      </x:c>
      <x:c r="Q20" s="18" t="n">
        <x:f>INDEX('Calendar'!$C$8:$C$907,MAX(K20+1,L20))</x:f>
        <x:v>46511</x:v>
      </x:c>
      <x:c r="R20" s="14" t="n">
        <x:v>29364.320000000007</x:v>
      </x:c>
      <x:c r="S20" s="14"/>
      <x:c r="T20" s="14" t="n">
        <x:f>R20/J20</x:f>
        <x:v>4894.053333333334</x:v>
      </x:c>
    </x:row>
    <x:row r="21" ht="23" customHeight="1">
      <x:c r="A21" s="1" t="str">
        <x:v>T1-L01-R</x:v>
      </x:c>
      <x:c r="B21" s="1" t="str">
        <x:v>T1</x:v>
      </x:c>
      <x:c r="C21" s="1" t="str">
        <x:v>L01</x:v>
      </x:c>
      <x:c r="D21" s="1" t="str">
        <x:v>Column, wall, beam and slab reinforcement</x:v>
      </x:c>
      <x:c r="E21" s="1" t="str">
        <x:v>Rebar</x:v>
      </x:c>
      <x:c r="F21" s="15" t="n">
        <x:v>29.684139475407747</x:v>
      </x:c>
      <x:c r="G21" s="1" t="str">
        <x:v>t</x:v>
      </x:c>
      <x:c r="H21" s="17" t="n">
        <x:v>7</x:v>
      </x:c>
      <x:c r="I21" s="17" t="n">
        <x:v>14</x:v>
      </x:c>
      <x:c r="J21" s="17" t="n">
        <x:f>ROUNDUP(F21/H21,0)</x:f>
        <x:v>5</x:v>
      </x:c>
      <x:c r="K21" s="1" t="n">
        <x:f>MAX(L20+0)</x:f>
        <x:v>158</x:v>
      </x:c>
      <x:c r="L21" s="1" t="n">
        <x:f>K21+J21</x:f>
        <x:v>163</x:v>
      </x:c>
      <x:c r="M21" s="1" t="n">
        <x:f>N21-J21</x:f>
        <x:v>218</x:v>
      </x:c>
      <x:c r="N21" s="1" t="n">
        <x:f>MIN(M22-0)</x:f>
        <x:v>223</x:v>
      </x:c>
      <x:c r="O21" s="1" t="n">
        <x:f>M21-K21</x:f>
        <x:v>60</x:v>
      </x:c>
      <x:c r="P21" s="19" t="n">
        <x:f>INDEX('Calendar'!$C$8:$C$907,K21+1)</x:f>
        <x:v>46512</x:v>
      </x:c>
      <x:c r="Q21" s="19" t="n">
        <x:f>INDEX('Calendar'!$C$8:$C$907,MAX(K21+1,L21))</x:f>
        <x:v>46517</x:v>
      </x:c>
      <x:c r="R21" s="15" t="n">
        <x:v>25795.51720412933</x:v>
      </x:c>
      <x:c r="S21" s="15"/>
      <x:c r="T21" s="15" t="n">
        <x:f>R21/J21</x:f>
        <x:v>5159.103440825866</x:v>
      </x:c>
    </x:row>
    <x:row r="22" ht="23" customHeight="1">
      <x:c r="A22" s="6" t="str">
        <x:v>T1-L01-C</x:v>
      </x:c>
      <x:c r="B22" s="6" t="str">
        <x:v>T1</x:v>
      </x:c>
      <x:c r="C22" s="6" t="str">
        <x:v>L01</x:v>
      </x:c>
      <x:c r="D22" s="6" t="str">
        <x:v>Concrete placement and finishing</x:v>
      </x:c>
      <x:c r="E22" s="6" t="str">
        <x:v>Concrete</x:v>
      </x:c>
      <x:c r="F22" s="14" t="n">
        <x:v>226.70819999999958</x:v>
      </x:c>
      <x:c r="G22" s="6" t="str">
        <x:v>m3</x:v>
      </x:c>
      <x:c r="H22" s="16" t="n">
        <x:v>170</x:v>
      </x:c>
      <x:c r="I22" s="16" t="n">
        <x:v>12</x:v>
      </x:c>
      <x:c r="J22" s="16" t="n">
        <x:f>ROUNDUP(F22/H22,0)</x:f>
        <x:v>2</x:v>
      </x:c>
      <x:c r="K22" s="6" t="n">
        <x:f>MAX(L21+0)</x:f>
        <x:v>163</x:v>
      </x:c>
      <x:c r="L22" s="6" t="n">
        <x:f>K22+J22</x:f>
        <x:v>165</x:v>
      </x:c>
      <x:c r="M22" s="6" t="n">
        <x:f>N22-J22</x:f>
        <x:v>223</x:v>
      </x:c>
      <x:c r="N22" s="6" t="n">
        <x:f>MIN(M23-0)</x:f>
        <x:v>225</x:v>
      </x:c>
      <x:c r="O22" s="6" t="n">
        <x:f>M22-K22</x:f>
        <x:v>60</x:v>
      </x:c>
      <x:c r="P22" s="18" t="n">
        <x:f>INDEX('Calendar'!$C$8:$C$907,K22+1)</x:f>
        <x:v>46518</x:v>
      </x:c>
      <x:c r="Q22" s="18" t="n">
        <x:f>INDEX('Calendar'!$C$8:$C$907,MAX(K22+1,L22))</x:f>
        <x:v>46519</x:v>
      </x:c>
      <x:c r="R22" s="14" t="n">
        <x:v>33527.39699999994</x:v>
      </x:c>
      <x:c r="S22" s="14"/>
      <x:c r="T22" s="14" t="n">
        <x:f>R22/J22</x:f>
        <x:v>16763.69849999997</x:v>
      </x:c>
    </x:row>
    <x:row r="23" ht="23" customHeight="1">
      <x:c r="A23" s="1" t="str">
        <x:v>T1-L01-H</x:v>
      </x:c>
      <x:c r="B23" s="1" t="str">
        <x:v>T1</x:v>
      </x:c>
      <x:c r="C23" s="1" t="str">
        <x:v>L01</x:v>
      </x:c>
      <x:c r="D23" s="1" t="str">
        <x:v>Curing and release hold point</x:v>
      </x:c>
      <x:c r="E23" s="1" t="str">
        <x:v>Site</x:v>
      </x:c>
      <x:c r="F23" s="15" t="n">
        <x:v>1</x:v>
      </x:c>
      <x:c r="G23" s="1" t="str">
        <x:v>hold</x:v>
      </x:c>
      <x:c r="H23" s="17" t="n">
        <x:v>1</x:v>
      </x:c>
      <x:c r="I23" s="17" t="n">
        <x:v>0</x:v>
      </x:c>
      <x:c r="J23" s="17" t="n">
        <x:f>S23</x:f>
        <x:v>5</x:v>
      </x:c>
      <x:c r="K23" s="1" t="n">
        <x:f>MAX(L22+0)</x:f>
        <x:v>165</x:v>
      </x:c>
      <x:c r="L23" s="1" t="n">
        <x:f>K23+J23</x:f>
        <x:v>170</x:v>
      </x:c>
      <x:c r="M23" s="1" t="n">
        <x:f>N23-J23</x:f>
        <x:v>225</x:v>
      </x:c>
      <x:c r="N23" s="1" t="n">
        <x:f>MIN(M24-0)</x:f>
        <x:v>230</x:v>
      </x:c>
      <x:c r="O23" s="1" t="n">
        <x:f>M23-K23</x:f>
        <x:v>60</x:v>
      </x:c>
      <x:c r="P23" s="19" t="n">
        <x:f>INDEX('Calendar'!$C$8:$C$907,K23+1)</x:f>
        <x:v>46520</x:v>
      </x:c>
      <x:c r="Q23" s="19" t="n">
        <x:f>INDEX('Calendar'!$C$8:$C$907,MAX(K23+1,L23))</x:f>
        <x:v>46525</x:v>
      </x:c>
      <x:c r="R23" s="15" t="n">
        <x:v>0</x:v>
      </x:c>
      <x:c r="S23" s="15" t="n">
        <x:v>5</x:v>
      </x:c>
      <x:c r="T23" s="15" t="n">
        <x:f>R23/J23</x:f>
        <x:v>0</x:v>
      </x:c>
    </x:row>
    <x:row r="24" ht="23" customHeight="1">
      <x:c r="A24" s="6" t="str">
        <x:v>T1-L02-F</x:v>
      </x:c>
      <x:c r="B24" s="6" t="str">
        <x:v>T1</x:v>
      </x:c>
      <x:c r="C24" s="6" t="str">
        <x:v>L02</x:v>
      </x:c>
      <x:c r="D24" s="6" t="str">
        <x:v>Columns, core and deck formwork</x:v>
      </x:c>
      <x:c r="E24" s="6" t="str">
        <x:v>Formwork</x:v>
      </x:c>
      <x:c r="F24" s="14" t="n">
        <x:v>1222.6600000000005</x:v>
      </x:c>
      <x:c r="G24" s="6" t="str">
        <x:v>m2</x:v>
      </x:c>
      <x:c r="H24" s="16" t="n">
        <x:v>220</x:v>
      </x:c>
      <x:c r="I24" s="16" t="n">
        <x:v>18</x:v>
      </x:c>
      <x:c r="J24" s="16" t="n">
        <x:f>ROUNDUP(F24/H24,0)</x:f>
        <x:v>6</x:v>
      </x:c>
      <x:c r="K24" s="6" t="n">
        <x:f>MAX(L23+0)</x:f>
        <x:v>170</x:v>
      </x:c>
      <x:c r="L24" s="6" t="n">
        <x:f>K24+J24</x:f>
        <x:v>176</x:v>
      </x:c>
      <x:c r="M24" s="6" t="n">
        <x:f>N24-J24</x:f>
        <x:v>230</x:v>
      </x:c>
      <x:c r="N24" s="6" t="n">
        <x:f>MIN(M25-0)</x:f>
        <x:v>236</x:v>
      </x:c>
      <x:c r="O24" s="6" t="n">
        <x:f>M24-K24</x:f>
        <x:v>60</x:v>
      </x:c>
      <x:c r="P24" s="18" t="n">
        <x:f>INDEX('Calendar'!$C$8:$C$907,K24+1)</x:f>
        <x:v>46526</x:v>
      </x:c>
      <x:c r="Q24" s="18" t="n">
        <x:f>INDEX('Calendar'!$C$8:$C$907,MAX(K24+1,L24))</x:f>
        <x:v>46532</x:v>
      </x:c>
      <x:c r="R24" s="14" t="n">
        <x:v>29364.320000000007</x:v>
      </x:c>
      <x:c r="S24" s="14"/>
      <x:c r="T24" s="14" t="n">
        <x:f>R24/J24</x:f>
        <x:v>4894.053333333334</x:v>
      </x:c>
    </x:row>
    <x:row r="25" ht="23" customHeight="1">
      <x:c r="A25" s="1" t="str">
        <x:v>T1-L02-R</x:v>
      </x:c>
      <x:c r="B25" s="1" t="str">
        <x:v>T1</x:v>
      </x:c>
      <x:c r="C25" s="1" t="str">
        <x:v>L02</x:v>
      </x:c>
      <x:c r="D25" s="1" t="str">
        <x:v>Column, wall, beam and slab reinforcement</x:v>
      </x:c>
      <x:c r="E25" s="1" t="str">
        <x:v>Rebar</x:v>
      </x:c>
      <x:c r="F25" s="15" t="n">
        <x:v>29.684139475407747</x:v>
      </x:c>
      <x:c r="G25" s="1" t="str">
        <x:v>t</x:v>
      </x:c>
      <x:c r="H25" s="17" t="n">
        <x:v>7</x:v>
      </x:c>
      <x:c r="I25" s="17" t="n">
        <x:v>14</x:v>
      </x:c>
      <x:c r="J25" s="17" t="n">
        <x:f>ROUNDUP(F25/H25,0)</x:f>
        <x:v>5</x:v>
      </x:c>
      <x:c r="K25" s="1" t="n">
        <x:f>MAX(L24+0)</x:f>
        <x:v>176</x:v>
      </x:c>
      <x:c r="L25" s="1" t="n">
        <x:f>K25+J25</x:f>
        <x:v>181</x:v>
      </x:c>
      <x:c r="M25" s="1" t="n">
        <x:f>N25-J25</x:f>
        <x:v>236</x:v>
      </x:c>
      <x:c r="N25" s="1" t="n">
        <x:f>MIN(M26-0)</x:f>
        <x:v>241</x:v>
      </x:c>
      <x:c r="O25" s="1" t="n">
        <x:f>M25-K25</x:f>
        <x:v>60</x:v>
      </x:c>
      <x:c r="P25" s="19" t="n">
        <x:f>INDEX('Calendar'!$C$8:$C$907,K25+1)</x:f>
        <x:v>46533</x:v>
      </x:c>
      <x:c r="Q25" s="19" t="n">
        <x:f>INDEX('Calendar'!$C$8:$C$907,MAX(K25+1,L25))</x:f>
        <x:v>46538</x:v>
      </x:c>
      <x:c r="R25" s="15" t="n">
        <x:v>25795.51720412933</x:v>
      </x:c>
      <x:c r="S25" s="15"/>
      <x:c r="T25" s="15" t="n">
        <x:f>R25/J25</x:f>
        <x:v>5159.103440825866</x:v>
      </x:c>
    </x:row>
    <x:row r="26" ht="23" customHeight="1">
      <x:c r="A26" s="6" t="str">
        <x:v>T1-L02-C</x:v>
      </x:c>
      <x:c r="B26" s="6" t="str">
        <x:v>T1</x:v>
      </x:c>
      <x:c r="C26" s="6" t="str">
        <x:v>L02</x:v>
      </x:c>
      <x:c r="D26" s="6" t="str">
        <x:v>Concrete placement and finishing</x:v>
      </x:c>
      <x:c r="E26" s="6" t="str">
        <x:v>Concrete</x:v>
      </x:c>
      <x:c r="F26" s="14" t="n">
        <x:v>226.70819999999958</x:v>
      </x:c>
      <x:c r="G26" s="6" t="str">
        <x:v>m3</x:v>
      </x:c>
      <x:c r="H26" s="16" t="n">
        <x:v>170</x:v>
      </x:c>
      <x:c r="I26" s="16" t="n">
        <x:v>12</x:v>
      </x:c>
      <x:c r="J26" s="16" t="n">
        <x:f>ROUNDUP(F26/H26,0)</x:f>
        <x:v>2</x:v>
      </x:c>
      <x:c r="K26" s="6" t="n">
        <x:f>MAX(L25+0)</x:f>
        <x:v>181</x:v>
      </x:c>
      <x:c r="L26" s="6" t="n">
        <x:f>K26+J26</x:f>
        <x:v>183</x:v>
      </x:c>
      <x:c r="M26" s="6" t="n">
        <x:f>N26-J26</x:f>
        <x:v>241</x:v>
      </x:c>
      <x:c r="N26" s="6" t="n">
        <x:f>MIN(M27-0)</x:f>
        <x:v>243</x:v>
      </x:c>
      <x:c r="O26" s="6" t="n">
        <x:f>M26-K26</x:f>
        <x:v>60</x:v>
      </x:c>
      <x:c r="P26" s="18" t="n">
        <x:f>INDEX('Calendar'!$C$8:$C$907,K26+1)</x:f>
        <x:v>46539</x:v>
      </x:c>
      <x:c r="Q26" s="18" t="n">
        <x:f>INDEX('Calendar'!$C$8:$C$907,MAX(K26+1,L26))</x:f>
        <x:v>46540</x:v>
      </x:c>
      <x:c r="R26" s="14" t="n">
        <x:v>33527.39699999994</x:v>
      </x:c>
      <x:c r="S26" s="14"/>
      <x:c r="T26" s="14" t="n">
        <x:f>R26/J26</x:f>
        <x:v>16763.69849999997</x:v>
      </x:c>
    </x:row>
    <x:row r="27" ht="23" customHeight="1">
      <x:c r="A27" s="1" t="str">
        <x:v>T1-L02-H</x:v>
      </x:c>
      <x:c r="B27" s="1" t="str">
        <x:v>T1</x:v>
      </x:c>
      <x:c r="C27" s="1" t="str">
        <x:v>L02</x:v>
      </x:c>
      <x:c r="D27" s="1" t="str">
        <x:v>Curing and release hold point</x:v>
      </x:c>
      <x:c r="E27" s="1" t="str">
        <x:v>Site</x:v>
      </x:c>
      <x:c r="F27" s="15" t="n">
        <x:v>1</x:v>
      </x:c>
      <x:c r="G27" s="1" t="str">
        <x:v>hold</x:v>
      </x:c>
      <x:c r="H27" s="17" t="n">
        <x:v>1</x:v>
      </x:c>
      <x:c r="I27" s="17" t="n">
        <x:v>0</x:v>
      </x:c>
      <x:c r="J27" s="17" t="n">
        <x:f>S27</x:f>
        <x:v>5</x:v>
      </x:c>
      <x:c r="K27" s="1" t="n">
        <x:f>MAX(L26+0)</x:f>
        <x:v>183</x:v>
      </x:c>
      <x:c r="L27" s="1" t="n">
        <x:f>K27+J27</x:f>
        <x:v>188</x:v>
      </x:c>
      <x:c r="M27" s="1" t="n">
        <x:f>N27-J27</x:f>
        <x:v>243</x:v>
      </x:c>
      <x:c r="N27" s="1" t="n">
        <x:f>MIN(M28-0)</x:f>
        <x:v>248</x:v>
      </x:c>
      <x:c r="O27" s="1" t="n">
        <x:f>M27-K27</x:f>
        <x:v>60</x:v>
      </x:c>
      <x:c r="P27" s="19" t="n">
        <x:f>INDEX('Calendar'!$C$8:$C$907,K27+1)</x:f>
        <x:v>46541</x:v>
      </x:c>
      <x:c r="Q27" s="19" t="n">
        <x:f>INDEX('Calendar'!$C$8:$C$907,MAX(K27+1,L27))</x:f>
        <x:v>46546</x:v>
      </x:c>
      <x:c r="R27" s="15" t="n">
        <x:v>0</x:v>
      </x:c>
      <x:c r="S27" s="15" t="n">
        <x:v>5</x:v>
      </x:c>
      <x:c r="T27" s="15" t="n">
        <x:f>R27/J27</x:f>
        <x:v>0</x:v>
      </x:c>
    </x:row>
    <x:row r="28" ht="23" customHeight="1">
      <x:c r="A28" s="6" t="str">
        <x:v>T1-L03-F</x:v>
      </x:c>
      <x:c r="B28" s="6" t="str">
        <x:v>T1</x:v>
      </x:c>
      <x:c r="C28" s="6" t="str">
        <x:v>L03</x:v>
      </x:c>
      <x:c r="D28" s="6" t="str">
        <x:v>Columns, core and deck formwork</x:v>
      </x:c>
      <x:c r="E28" s="6" t="str">
        <x:v>Formwork</x:v>
      </x:c>
      <x:c r="F28" s="14" t="n">
        <x:v>1222.6600000000005</x:v>
      </x:c>
      <x:c r="G28" s="6" t="str">
        <x:v>m2</x:v>
      </x:c>
      <x:c r="H28" s="16" t="n">
        <x:v>220</x:v>
      </x:c>
      <x:c r="I28" s="16" t="n">
        <x:v>18</x:v>
      </x:c>
      <x:c r="J28" s="16" t="n">
        <x:f>ROUNDUP(F28/H28,0)</x:f>
        <x:v>6</x:v>
      </x:c>
      <x:c r="K28" s="6" t="n">
        <x:f>MAX(L27+0)</x:f>
        <x:v>188</x:v>
      </x:c>
      <x:c r="L28" s="6" t="n">
        <x:f>K28+J28</x:f>
        <x:v>194</x:v>
      </x:c>
      <x:c r="M28" s="6" t="n">
        <x:f>N28-J28</x:f>
        <x:v>248</x:v>
      </x:c>
      <x:c r="N28" s="6" t="n">
        <x:f>MIN(M29-0)</x:f>
        <x:v>254</x:v>
      </x:c>
      <x:c r="O28" s="6" t="n">
        <x:f>M28-K28</x:f>
        <x:v>60</x:v>
      </x:c>
      <x:c r="P28" s="18" t="n">
        <x:f>INDEX('Calendar'!$C$8:$C$907,K28+1)</x:f>
        <x:v>46547</x:v>
      </x:c>
      <x:c r="Q28" s="18" t="n">
        <x:f>INDEX('Calendar'!$C$8:$C$907,MAX(K28+1,L28))</x:f>
        <x:v>46553</x:v>
      </x:c>
      <x:c r="R28" s="14" t="n">
        <x:v>29364.320000000007</x:v>
      </x:c>
      <x:c r="S28" s="14"/>
      <x:c r="T28" s="14" t="n">
        <x:f>R28/J28</x:f>
        <x:v>4894.053333333334</x:v>
      </x:c>
    </x:row>
    <x:row r="29" ht="23" customHeight="1">
      <x:c r="A29" s="1" t="str">
        <x:v>T1-L03-R</x:v>
      </x:c>
      <x:c r="B29" s="1" t="str">
        <x:v>T1</x:v>
      </x:c>
      <x:c r="C29" s="1" t="str">
        <x:v>L03</x:v>
      </x:c>
      <x:c r="D29" s="1" t="str">
        <x:v>Column, wall, beam and slab reinforcement</x:v>
      </x:c>
      <x:c r="E29" s="1" t="str">
        <x:v>Rebar</x:v>
      </x:c>
      <x:c r="F29" s="15" t="n">
        <x:v>29.684139475407747</x:v>
      </x:c>
      <x:c r="G29" s="1" t="str">
        <x:v>t</x:v>
      </x:c>
      <x:c r="H29" s="17" t="n">
        <x:v>7</x:v>
      </x:c>
      <x:c r="I29" s="17" t="n">
        <x:v>14</x:v>
      </x:c>
      <x:c r="J29" s="17" t="n">
        <x:f>ROUNDUP(F29/H29,0)</x:f>
        <x:v>5</x:v>
      </x:c>
      <x:c r="K29" s="1" t="n">
        <x:f>MAX(L28+0)</x:f>
        <x:v>194</x:v>
      </x:c>
      <x:c r="L29" s="1" t="n">
        <x:f>K29+J29</x:f>
        <x:v>199</x:v>
      </x:c>
      <x:c r="M29" s="1" t="n">
        <x:f>N29-J29</x:f>
        <x:v>254</x:v>
      </x:c>
      <x:c r="N29" s="1" t="n">
        <x:f>MIN(M30-0)</x:f>
        <x:v>259</x:v>
      </x:c>
      <x:c r="O29" s="1" t="n">
        <x:f>M29-K29</x:f>
        <x:v>60</x:v>
      </x:c>
      <x:c r="P29" s="19" t="n">
        <x:f>INDEX('Calendar'!$C$8:$C$907,K29+1)</x:f>
        <x:v>46554</x:v>
      </x:c>
      <x:c r="Q29" s="19" t="n">
        <x:f>INDEX('Calendar'!$C$8:$C$907,MAX(K29+1,L29))</x:f>
        <x:v>46559</x:v>
      </x:c>
      <x:c r="R29" s="15" t="n">
        <x:v>25795.51720412933</x:v>
      </x:c>
      <x:c r="S29" s="15"/>
      <x:c r="T29" s="15" t="n">
        <x:f>R29/J29</x:f>
        <x:v>5159.103440825866</x:v>
      </x:c>
    </x:row>
    <x:row r="30" ht="23" customHeight="1">
      <x:c r="A30" s="6" t="str">
        <x:v>T1-L03-C</x:v>
      </x:c>
      <x:c r="B30" s="6" t="str">
        <x:v>T1</x:v>
      </x:c>
      <x:c r="C30" s="6" t="str">
        <x:v>L03</x:v>
      </x:c>
      <x:c r="D30" s="6" t="str">
        <x:v>Concrete placement and finishing</x:v>
      </x:c>
      <x:c r="E30" s="6" t="str">
        <x:v>Concrete</x:v>
      </x:c>
      <x:c r="F30" s="14" t="n">
        <x:v>226.70819999999958</x:v>
      </x:c>
      <x:c r="G30" s="6" t="str">
        <x:v>m3</x:v>
      </x:c>
      <x:c r="H30" s="16" t="n">
        <x:v>170</x:v>
      </x:c>
      <x:c r="I30" s="16" t="n">
        <x:v>12</x:v>
      </x:c>
      <x:c r="J30" s="16" t="n">
        <x:f>ROUNDUP(F30/H30,0)</x:f>
        <x:v>2</x:v>
      </x:c>
      <x:c r="K30" s="6" t="n">
        <x:f>MAX(L29+0)</x:f>
        <x:v>199</x:v>
      </x:c>
      <x:c r="L30" s="6" t="n">
        <x:f>K30+J30</x:f>
        <x:v>201</x:v>
      </x:c>
      <x:c r="M30" s="6" t="n">
        <x:f>N30-J30</x:f>
        <x:v>259</x:v>
      </x:c>
      <x:c r="N30" s="6" t="n">
        <x:f>MIN(M31-0)</x:f>
        <x:v>261</x:v>
      </x:c>
      <x:c r="O30" s="6" t="n">
        <x:f>M30-K30</x:f>
        <x:v>60</x:v>
      </x:c>
      <x:c r="P30" s="18" t="n">
        <x:f>INDEX('Calendar'!$C$8:$C$907,K30+1)</x:f>
        <x:v>46560</x:v>
      </x:c>
      <x:c r="Q30" s="18" t="n">
        <x:f>INDEX('Calendar'!$C$8:$C$907,MAX(K30+1,L30))</x:f>
        <x:v>46561</x:v>
      </x:c>
      <x:c r="R30" s="14" t="n">
        <x:v>33527.39699999994</x:v>
      </x:c>
      <x:c r="S30" s="14"/>
      <x:c r="T30" s="14" t="n">
        <x:f>R30/J30</x:f>
        <x:v>16763.69849999997</x:v>
      </x:c>
    </x:row>
    <x:row r="31" ht="23" customHeight="1">
      <x:c r="A31" s="1" t="str">
        <x:v>T1-L03-H</x:v>
      </x:c>
      <x:c r="B31" s="1" t="str">
        <x:v>T1</x:v>
      </x:c>
      <x:c r="C31" s="1" t="str">
        <x:v>L03</x:v>
      </x:c>
      <x:c r="D31" s="1" t="str">
        <x:v>Curing and release hold point</x:v>
      </x:c>
      <x:c r="E31" s="1" t="str">
        <x:v>Site</x:v>
      </x:c>
      <x:c r="F31" s="15" t="n">
        <x:v>1</x:v>
      </x:c>
      <x:c r="G31" s="1" t="str">
        <x:v>hold</x:v>
      </x:c>
      <x:c r="H31" s="17" t="n">
        <x:v>1</x:v>
      </x:c>
      <x:c r="I31" s="17" t="n">
        <x:v>0</x:v>
      </x:c>
      <x:c r="J31" s="17" t="n">
        <x:f>S31</x:f>
        <x:v>5</x:v>
      </x:c>
      <x:c r="K31" s="1" t="n">
        <x:f>MAX(L30+0)</x:f>
        <x:v>201</x:v>
      </x:c>
      <x:c r="L31" s="1" t="n">
        <x:f>K31+J31</x:f>
        <x:v>206</x:v>
      </x:c>
      <x:c r="M31" s="1" t="n">
        <x:f>N31-J31</x:f>
        <x:v>261</x:v>
      </x:c>
      <x:c r="N31" s="1" t="n">
        <x:f>MIN(M32-0,M71-5)</x:f>
        <x:v>266</x:v>
      </x:c>
      <x:c r="O31" s="1" t="n">
        <x:f>M31-K31</x:f>
        <x:v>60</x:v>
      </x:c>
      <x:c r="P31" s="19" t="n">
        <x:f>INDEX('Calendar'!$C$8:$C$907,K31+1)</x:f>
        <x:v>46562</x:v>
      </x:c>
      <x:c r="Q31" s="19" t="n">
        <x:f>INDEX('Calendar'!$C$8:$C$907,MAX(K31+1,L31))</x:f>
        <x:v>46567</x:v>
      </x:c>
      <x:c r="R31" s="15" t="n">
        <x:v>0</x:v>
      </x:c>
      <x:c r="S31" s="15" t="n">
        <x:v>5</x:v>
      </x:c>
      <x:c r="T31" s="15" t="n">
        <x:f>R31/J31</x:f>
        <x:v>0</x:v>
      </x:c>
    </x:row>
    <x:row r="32" ht="23" customHeight="1">
      <x:c r="A32" s="6" t="str">
        <x:v>T1-L04-F</x:v>
      </x:c>
      <x:c r="B32" s="6" t="str">
        <x:v>T1</x:v>
      </x:c>
      <x:c r="C32" s="6" t="str">
        <x:v>L04</x:v>
      </x:c>
      <x:c r="D32" s="6" t="str">
        <x:v>Columns, core and deck formwork</x:v>
      </x:c>
      <x:c r="E32" s="6" t="str">
        <x:v>Formwork</x:v>
      </x:c>
      <x:c r="F32" s="14" t="n">
        <x:v>1222.6600000000005</x:v>
      </x:c>
      <x:c r="G32" s="6" t="str">
        <x:v>m2</x:v>
      </x:c>
      <x:c r="H32" s="16" t="n">
        <x:v>220</x:v>
      </x:c>
      <x:c r="I32" s="16" t="n">
        <x:v>18</x:v>
      </x:c>
      <x:c r="J32" s="16" t="n">
        <x:f>ROUNDUP(F32/H32,0)</x:f>
        <x:v>6</x:v>
      </x:c>
      <x:c r="K32" s="6" t="n">
        <x:f>MAX(L31+0)</x:f>
        <x:v>206</x:v>
      </x:c>
      <x:c r="L32" s="6" t="n">
        <x:f>K32+J32</x:f>
        <x:v>212</x:v>
      </x:c>
      <x:c r="M32" s="6" t="n">
        <x:f>N32-J32</x:f>
        <x:v>266</x:v>
      </x:c>
      <x:c r="N32" s="6" t="n">
        <x:f>MIN(M33-0)</x:f>
        <x:v>272</x:v>
      </x:c>
      <x:c r="O32" s="6" t="n">
        <x:f>M32-K32</x:f>
        <x:v>60</x:v>
      </x:c>
      <x:c r="P32" s="18" t="n">
        <x:f>INDEX('Calendar'!$C$8:$C$907,K32+1)</x:f>
        <x:v>46568</x:v>
      </x:c>
      <x:c r="Q32" s="18" t="n">
        <x:f>INDEX('Calendar'!$C$8:$C$907,MAX(K32+1,L32))</x:f>
        <x:v>46574</x:v>
      </x:c>
      <x:c r="R32" s="14" t="n">
        <x:v>29364.320000000007</x:v>
      </x:c>
      <x:c r="S32" s="14"/>
      <x:c r="T32" s="14" t="n">
        <x:f>R32/J32</x:f>
        <x:v>4894.053333333334</x:v>
      </x:c>
    </x:row>
    <x:row r="33" ht="23" customHeight="1">
      <x:c r="A33" s="1" t="str">
        <x:v>T1-L04-R</x:v>
      </x:c>
      <x:c r="B33" s="1" t="str">
        <x:v>T1</x:v>
      </x:c>
      <x:c r="C33" s="1" t="str">
        <x:v>L04</x:v>
      </x:c>
      <x:c r="D33" s="1" t="str">
        <x:v>Column, wall, beam and slab reinforcement</x:v>
      </x:c>
      <x:c r="E33" s="1" t="str">
        <x:v>Rebar</x:v>
      </x:c>
      <x:c r="F33" s="15" t="n">
        <x:v>29.684139475407747</x:v>
      </x:c>
      <x:c r="G33" s="1" t="str">
        <x:v>t</x:v>
      </x:c>
      <x:c r="H33" s="17" t="n">
        <x:v>7</x:v>
      </x:c>
      <x:c r="I33" s="17" t="n">
        <x:v>14</x:v>
      </x:c>
      <x:c r="J33" s="17" t="n">
        <x:f>ROUNDUP(F33/H33,0)</x:f>
        <x:v>5</x:v>
      </x:c>
      <x:c r="K33" s="1" t="n">
        <x:f>MAX(L32+0)</x:f>
        <x:v>212</x:v>
      </x:c>
      <x:c r="L33" s="1" t="n">
        <x:f>K33+J33</x:f>
        <x:v>217</x:v>
      </x:c>
      <x:c r="M33" s="1" t="n">
        <x:f>N33-J33</x:f>
        <x:v>272</x:v>
      </x:c>
      <x:c r="N33" s="1" t="n">
        <x:f>MIN(M34-0)</x:f>
        <x:v>277</x:v>
      </x:c>
      <x:c r="O33" s="1" t="n">
        <x:f>M33-K33</x:f>
        <x:v>60</x:v>
      </x:c>
      <x:c r="P33" s="19" t="n">
        <x:f>INDEX('Calendar'!$C$8:$C$907,K33+1)</x:f>
        <x:v>46575</x:v>
      </x:c>
      <x:c r="Q33" s="19" t="n">
        <x:f>INDEX('Calendar'!$C$8:$C$907,MAX(K33+1,L33))</x:f>
        <x:v>46580</x:v>
      </x:c>
      <x:c r="R33" s="15" t="n">
        <x:v>25795.51720412933</x:v>
      </x:c>
      <x:c r="S33" s="15"/>
      <x:c r="T33" s="15" t="n">
        <x:f>R33/J33</x:f>
        <x:v>5159.103440825866</x:v>
      </x:c>
    </x:row>
    <x:row r="34" ht="23" customHeight="1">
      <x:c r="A34" s="6" t="str">
        <x:v>T1-L04-C</x:v>
      </x:c>
      <x:c r="B34" s="6" t="str">
        <x:v>T1</x:v>
      </x:c>
      <x:c r="C34" s="6" t="str">
        <x:v>L04</x:v>
      </x:c>
      <x:c r="D34" s="6" t="str">
        <x:v>Concrete placement and finishing</x:v>
      </x:c>
      <x:c r="E34" s="6" t="str">
        <x:v>Concrete</x:v>
      </x:c>
      <x:c r="F34" s="14" t="n">
        <x:v>226.70819999999958</x:v>
      </x:c>
      <x:c r="G34" s="6" t="str">
        <x:v>m3</x:v>
      </x:c>
      <x:c r="H34" s="16" t="n">
        <x:v>170</x:v>
      </x:c>
      <x:c r="I34" s="16" t="n">
        <x:v>12</x:v>
      </x:c>
      <x:c r="J34" s="16" t="n">
        <x:f>ROUNDUP(F34/H34,0)</x:f>
        <x:v>2</x:v>
      </x:c>
      <x:c r="K34" s="6" t="n">
        <x:f>MAX(L33+0)</x:f>
        <x:v>217</x:v>
      </x:c>
      <x:c r="L34" s="6" t="n">
        <x:f>K34+J34</x:f>
        <x:v>219</x:v>
      </x:c>
      <x:c r="M34" s="6" t="n">
        <x:f>N34-J34</x:f>
        <x:v>277</x:v>
      </x:c>
      <x:c r="N34" s="6" t="n">
        <x:f>MIN(M35-0)</x:f>
        <x:v>279</x:v>
      </x:c>
      <x:c r="O34" s="6" t="n">
        <x:f>M34-K34</x:f>
        <x:v>60</x:v>
      </x:c>
      <x:c r="P34" s="18" t="n">
        <x:f>INDEX('Calendar'!$C$8:$C$907,K34+1)</x:f>
        <x:v>46581</x:v>
      </x:c>
      <x:c r="Q34" s="18" t="n">
        <x:f>INDEX('Calendar'!$C$8:$C$907,MAX(K34+1,L34))</x:f>
        <x:v>46582</x:v>
      </x:c>
      <x:c r="R34" s="14" t="n">
        <x:v>33527.39699999994</x:v>
      </x:c>
      <x:c r="S34" s="14"/>
      <x:c r="T34" s="14" t="n">
        <x:f>R34/J34</x:f>
        <x:v>16763.69849999997</x:v>
      </x:c>
    </x:row>
    <x:row r="35" ht="23" customHeight="1">
      <x:c r="A35" s="1" t="str">
        <x:v>T1-L04-H</x:v>
      </x:c>
      <x:c r="B35" s="1" t="str">
        <x:v>T1</x:v>
      </x:c>
      <x:c r="C35" s="1" t="str">
        <x:v>L04</x:v>
      </x:c>
      <x:c r="D35" s="1" t="str">
        <x:v>Curing and release hold point</x:v>
      </x:c>
      <x:c r="E35" s="1" t="str">
        <x:v>Site</x:v>
      </x:c>
      <x:c r="F35" s="15" t="n">
        <x:v>1</x:v>
      </x:c>
      <x:c r="G35" s="1" t="str">
        <x:v>hold</x:v>
      </x:c>
      <x:c r="H35" s="17" t="n">
        <x:v>1</x:v>
      </x:c>
      <x:c r="I35" s="17" t="n">
        <x:v>0</x:v>
      </x:c>
      <x:c r="J35" s="17" t="n">
        <x:f>S35</x:f>
        <x:v>5</x:v>
      </x:c>
      <x:c r="K35" s="1" t="n">
        <x:f>MAX(L34+0)</x:f>
        <x:v>219</x:v>
      </x:c>
      <x:c r="L35" s="1" t="n">
        <x:f>K35+J35</x:f>
        <x:v>224</x:v>
      </x:c>
      <x:c r="M35" s="1" t="n">
        <x:f>N35-J35</x:f>
        <x:v>279</x:v>
      </x:c>
      <x:c r="N35" s="1" t="n">
        <x:f>MIN(M36-0,M77-5)</x:f>
        <x:v>284</x:v>
      </x:c>
      <x:c r="O35" s="1" t="n">
        <x:f>M35-K35</x:f>
        <x:v>60</x:v>
      </x:c>
      <x:c r="P35" s="19" t="n">
        <x:f>INDEX('Calendar'!$C$8:$C$907,K35+1)</x:f>
        <x:v>46583</x:v>
      </x:c>
      <x:c r="Q35" s="19" t="n">
        <x:f>INDEX('Calendar'!$C$8:$C$907,MAX(K35+1,L35))</x:f>
        <x:v>46588</x:v>
      </x:c>
      <x:c r="R35" s="15" t="n">
        <x:v>0</x:v>
      </x:c>
      <x:c r="S35" s="15" t="n">
        <x:v>5</x:v>
      </x:c>
      <x:c r="T35" s="15" t="n">
        <x:f>R35/J35</x:f>
        <x:v>0</x:v>
      </x:c>
    </x:row>
    <x:row r="36" ht="23" customHeight="1">
      <x:c r="A36" s="6" t="str">
        <x:v>T1-L05-F</x:v>
      </x:c>
      <x:c r="B36" s="6" t="str">
        <x:v>T1</x:v>
      </x:c>
      <x:c r="C36" s="6" t="str">
        <x:v>L05</x:v>
      </x:c>
      <x:c r="D36" s="6" t="str">
        <x:v>Columns, core and deck formwork</x:v>
      </x:c>
      <x:c r="E36" s="6" t="str">
        <x:v>Formwork</x:v>
      </x:c>
      <x:c r="F36" s="14" t="n">
        <x:v>1222.6600000000005</x:v>
      </x:c>
      <x:c r="G36" s="6" t="str">
        <x:v>m2</x:v>
      </x:c>
      <x:c r="H36" s="16" t="n">
        <x:v>220</x:v>
      </x:c>
      <x:c r="I36" s="16" t="n">
        <x:v>18</x:v>
      </x:c>
      <x:c r="J36" s="16" t="n">
        <x:f>ROUNDUP(F36/H36,0)</x:f>
        <x:v>6</x:v>
      </x:c>
      <x:c r="K36" s="6" t="n">
        <x:f>MAX(L35+0)</x:f>
        <x:v>224</x:v>
      </x:c>
      <x:c r="L36" s="6" t="n">
        <x:f>K36+J36</x:f>
        <x:v>230</x:v>
      </x:c>
      <x:c r="M36" s="6" t="n">
        <x:f>N36-J36</x:f>
        <x:v>284</x:v>
      </x:c>
      <x:c r="N36" s="6" t="n">
        <x:f>MIN(M37-0)</x:f>
        <x:v>290</x:v>
      </x:c>
      <x:c r="O36" s="6" t="n">
        <x:f>M36-K36</x:f>
        <x:v>60</x:v>
      </x:c>
      <x:c r="P36" s="18" t="n">
        <x:f>INDEX('Calendar'!$C$8:$C$907,K36+1)</x:f>
        <x:v>46589</x:v>
      </x:c>
      <x:c r="Q36" s="18" t="n">
        <x:f>INDEX('Calendar'!$C$8:$C$907,MAX(K36+1,L36))</x:f>
        <x:v>46595</x:v>
      </x:c>
      <x:c r="R36" s="14" t="n">
        <x:v>29364.320000000007</x:v>
      </x:c>
      <x:c r="S36" s="14"/>
      <x:c r="T36" s="14" t="n">
        <x:f>R36/J36</x:f>
        <x:v>4894.053333333334</x:v>
      </x:c>
    </x:row>
    <x:row r="37" ht="23" customHeight="1">
      <x:c r="A37" s="1" t="str">
        <x:v>T1-L05-R</x:v>
      </x:c>
      <x:c r="B37" s="1" t="str">
        <x:v>T1</x:v>
      </x:c>
      <x:c r="C37" s="1" t="str">
        <x:v>L05</x:v>
      </x:c>
      <x:c r="D37" s="1" t="str">
        <x:v>Column, wall, beam and slab reinforcement</x:v>
      </x:c>
      <x:c r="E37" s="1" t="str">
        <x:v>Rebar</x:v>
      </x:c>
      <x:c r="F37" s="15" t="n">
        <x:v>29.684139475407747</x:v>
      </x:c>
      <x:c r="G37" s="1" t="str">
        <x:v>t</x:v>
      </x:c>
      <x:c r="H37" s="17" t="n">
        <x:v>7</x:v>
      </x:c>
      <x:c r="I37" s="17" t="n">
        <x:v>14</x:v>
      </x:c>
      <x:c r="J37" s="17" t="n">
        <x:f>ROUNDUP(F37/H37,0)</x:f>
        <x:v>5</x:v>
      </x:c>
      <x:c r="K37" s="1" t="n">
        <x:f>MAX(L36+0)</x:f>
        <x:v>230</x:v>
      </x:c>
      <x:c r="L37" s="1" t="n">
        <x:f>K37+J37</x:f>
        <x:v>235</x:v>
      </x:c>
      <x:c r="M37" s="1" t="n">
        <x:f>N37-J37</x:f>
        <x:v>290</x:v>
      </x:c>
      <x:c r="N37" s="1" t="n">
        <x:f>MIN(M38-0)</x:f>
        <x:v>295</x:v>
      </x:c>
      <x:c r="O37" s="1" t="n">
        <x:f>M37-K37</x:f>
        <x:v>60</x:v>
      </x:c>
      <x:c r="P37" s="19" t="n">
        <x:f>INDEX('Calendar'!$C$8:$C$907,K37+1)</x:f>
        <x:v>46596</x:v>
      </x:c>
      <x:c r="Q37" s="19" t="n">
        <x:f>INDEX('Calendar'!$C$8:$C$907,MAX(K37+1,L37))</x:f>
        <x:v>46601</x:v>
      </x:c>
      <x:c r="R37" s="15" t="n">
        <x:v>25795.51720412933</x:v>
      </x:c>
      <x:c r="S37" s="15"/>
      <x:c r="T37" s="15" t="n">
        <x:f>R37/J37</x:f>
        <x:v>5159.103440825866</x:v>
      </x:c>
    </x:row>
    <x:row r="38" ht="23" customHeight="1">
      <x:c r="A38" s="6" t="str">
        <x:v>T1-L05-C</x:v>
      </x:c>
      <x:c r="B38" s="6" t="str">
        <x:v>T1</x:v>
      </x:c>
      <x:c r="C38" s="6" t="str">
        <x:v>L05</x:v>
      </x:c>
      <x:c r="D38" s="6" t="str">
        <x:v>Concrete placement and finishing</x:v>
      </x:c>
      <x:c r="E38" s="6" t="str">
        <x:v>Concrete</x:v>
      </x:c>
      <x:c r="F38" s="14" t="n">
        <x:v>226.70819999999958</x:v>
      </x:c>
      <x:c r="G38" s="6" t="str">
        <x:v>m3</x:v>
      </x:c>
      <x:c r="H38" s="16" t="n">
        <x:v>170</x:v>
      </x:c>
      <x:c r="I38" s="16" t="n">
        <x:v>12</x:v>
      </x:c>
      <x:c r="J38" s="16" t="n">
        <x:f>ROUNDUP(F38/H38,0)</x:f>
        <x:v>2</x:v>
      </x:c>
      <x:c r="K38" s="6" t="n">
        <x:f>MAX(L37+0)</x:f>
        <x:v>235</x:v>
      </x:c>
      <x:c r="L38" s="6" t="n">
        <x:f>K38+J38</x:f>
        <x:v>237</x:v>
      </x:c>
      <x:c r="M38" s="6" t="n">
        <x:f>N38-J38</x:f>
        <x:v>295</x:v>
      </x:c>
      <x:c r="N38" s="6" t="n">
        <x:f>MIN(M39-0)</x:f>
        <x:v>297</x:v>
      </x:c>
      <x:c r="O38" s="6" t="n">
        <x:f>M38-K38</x:f>
        <x:v>60</x:v>
      </x:c>
      <x:c r="P38" s="18" t="n">
        <x:f>INDEX('Calendar'!$C$8:$C$907,K38+1)</x:f>
        <x:v>46602</x:v>
      </x:c>
      <x:c r="Q38" s="18" t="n">
        <x:f>INDEX('Calendar'!$C$8:$C$907,MAX(K38+1,L38))</x:f>
        <x:v>46603</x:v>
      </x:c>
      <x:c r="R38" s="14" t="n">
        <x:v>33527.39699999994</x:v>
      </x:c>
      <x:c r="S38" s="14"/>
      <x:c r="T38" s="14" t="n">
        <x:f>R38/J38</x:f>
        <x:v>16763.69849999997</x:v>
      </x:c>
    </x:row>
    <x:row r="39" ht="23" customHeight="1">
      <x:c r="A39" s="1" t="str">
        <x:v>T1-L05-H</x:v>
      </x:c>
      <x:c r="B39" s="1" t="str">
        <x:v>T1</x:v>
      </x:c>
      <x:c r="C39" s="1" t="str">
        <x:v>L05</x:v>
      </x:c>
      <x:c r="D39" s="1" t="str">
        <x:v>Curing and release hold point</x:v>
      </x:c>
      <x:c r="E39" s="1" t="str">
        <x:v>Site</x:v>
      </x:c>
      <x:c r="F39" s="15" t="n">
        <x:v>1</x:v>
      </x:c>
      <x:c r="G39" s="1" t="str">
        <x:v>hold</x:v>
      </x:c>
      <x:c r="H39" s="17" t="n">
        <x:v>1</x:v>
      </x:c>
      <x:c r="I39" s="17" t="n">
        <x:v>0</x:v>
      </x:c>
      <x:c r="J39" s="17" t="n">
        <x:f>S39</x:f>
        <x:v>5</x:v>
      </x:c>
      <x:c r="K39" s="1" t="n">
        <x:f>MAX(L38+0)</x:f>
        <x:v>237</x:v>
      </x:c>
      <x:c r="L39" s="1" t="n">
        <x:f>K39+J39</x:f>
        <x:v>242</x:v>
      </x:c>
      <x:c r="M39" s="1" t="n">
        <x:f>N39-J39</x:f>
        <x:v>297</x:v>
      </x:c>
      <x:c r="N39" s="1" t="n">
        <x:f>MIN(M40-0,M83-5)</x:f>
        <x:v>302</x:v>
      </x:c>
      <x:c r="O39" s="1" t="n">
        <x:f>M39-K39</x:f>
        <x:v>60</x:v>
      </x:c>
      <x:c r="P39" s="19" t="n">
        <x:f>INDEX('Calendar'!$C$8:$C$907,K39+1)</x:f>
        <x:v>46604</x:v>
      </x:c>
      <x:c r="Q39" s="19" t="n">
        <x:f>INDEX('Calendar'!$C$8:$C$907,MAX(K39+1,L39))</x:f>
        <x:v>46609</x:v>
      </x:c>
      <x:c r="R39" s="15" t="n">
        <x:v>0</x:v>
      </x:c>
      <x:c r="S39" s="15" t="n">
        <x:v>5</x:v>
      </x:c>
      <x:c r="T39" s="15" t="n">
        <x:f>R39/J39</x:f>
        <x:v>0</x:v>
      </x:c>
    </x:row>
    <x:row r="40" ht="23" customHeight="1">
      <x:c r="A40" s="6" t="str">
        <x:v>T1-L06-F</x:v>
      </x:c>
      <x:c r="B40" s="6" t="str">
        <x:v>T1</x:v>
      </x:c>
      <x:c r="C40" s="6" t="str">
        <x:v>L06</x:v>
      </x:c>
      <x:c r="D40" s="6" t="str">
        <x:v>Columns, core and deck formwork</x:v>
      </x:c>
      <x:c r="E40" s="6" t="str">
        <x:v>Formwork</x:v>
      </x:c>
      <x:c r="F40" s="14" t="n">
        <x:v>1222.6600000000005</x:v>
      </x:c>
      <x:c r="G40" s="6" t="str">
        <x:v>m2</x:v>
      </x:c>
      <x:c r="H40" s="16" t="n">
        <x:v>220</x:v>
      </x:c>
      <x:c r="I40" s="16" t="n">
        <x:v>18</x:v>
      </x:c>
      <x:c r="J40" s="16" t="n">
        <x:f>ROUNDUP(F40/H40,0)</x:f>
        <x:v>6</x:v>
      </x:c>
      <x:c r="K40" s="6" t="n">
        <x:f>MAX(L39+0)</x:f>
        <x:v>242</x:v>
      </x:c>
      <x:c r="L40" s="6" t="n">
        <x:f>K40+J40</x:f>
        <x:v>248</x:v>
      </x:c>
      <x:c r="M40" s="6" t="n">
        <x:f>N40-J40</x:f>
        <x:v>302</x:v>
      </x:c>
      <x:c r="N40" s="6" t="n">
        <x:f>MIN(M41-0)</x:f>
        <x:v>308</x:v>
      </x:c>
      <x:c r="O40" s="6" t="n">
        <x:f>M40-K40</x:f>
        <x:v>60</x:v>
      </x:c>
      <x:c r="P40" s="18" t="n">
        <x:f>INDEX('Calendar'!$C$8:$C$907,K40+1)</x:f>
        <x:v>46610</x:v>
      </x:c>
      <x:c r="Q40" s="18" t="n">
        <x:f>INDEX('Calendar'!$C$8:$C$907,MAX(K40+1,L40))</x:f>
        <x:v>46616</x:v>
      </x:c>
      <x:c r="R40" s="14" t="n">
        <x:v>29364.320000000007</x:v>
      </x:c>
      <x:c r="S40" s="14"/>
      <x:c r="T40" s="14" t="n">
        <x:f>R40/J40</x:f>
        <x:v>4894.053333333334</x:v>
      </x:c>
    </x:row>
    <x:row r="41" ht="23" customHeight="1">
      <x:c r="A41" s="1" t="str">
        <x:v>T1-L06-R</x:v>
      </x:c>
      <x:c r="B41" s="1" t="str">
        <x:v>T1</x:v>
      </x:c>
      <x:c r="C41" s="1" t="str">
        <x:v>L06</x:v>
      </x:c>
      <x:c r="D41" s="1" t="str">
        <x:v>Column, wall, beam and slab reinforcement</x:v>
      </x:c>
      <x:c r="E41" s="1" t="str">
        <x:v>Rebar</x:v>
      </x:c>
      <x:c r="F41" s="15" t="n">
        <x:v>29.684139475407747</x:v>
      </x:c>
      <x:c r="G41" s="1" t="str">
        <x:v>t</x:v>
      </x:c>
      <x:c r="H41" s="17" t="n">
        <x:v>7</x:v>
      </x:c>
      <x:c r="I41" s="17" t="n">
        <x:v>14</x:v>
      </x:c>
      <x:c r="J41" s="17" t="n">
        <x:f>ROUNDUP(F41/H41,0)</x:f>
        <x:v>5</x:v>
      </x:c>
      <x:c r="K41" s="1" t="n">
        <x:f>MAX(L40+0)</x:f>
        <x:v>248</x:v>
      </x:c>
      <x:c r="L41" s="1" t="n">
        <x:f>K41+J41</x:f>
        <x:v>253</x:v>
      </x:c>
      <x:c r="M41" s="1" t="n">
        <x:f>N41-J41</x:f>
        <x:v>308</x:v>
      </x:c>
      <x:c r="N41" s="1" t="n">
        <x:f>MIN(M42-0)</x:f>
        <x:v>313</x:v>
      </x:c>
      <x:c r="O41" s="1" t="n">
        <x:f>M41-K41</x:f>
        <x:v>60</x:v>
      </x:c>
      <x:c r="P41" s="19" t="n">
        <x:f>INDEX('Calendar'!$C$8:$C$907,K41+1)</x:f>
        <x:v>46617</x:v>
      </x:c>
      <x:c r="Q41" s="19" t="n">
        <x:f>INDEX('Calendar'!$C$8:$C$907,MAX(K41+1,L41))</x:f>
        <x:v>46622</x:v>
      </x:c>
      <x:c r="R41" s="15" t="n">
        <x:v>25795.51720412933</x:v>
      </x:c>
      <x:c r="S41" s="15"/>
      <x:c r="T41" s="15" t="n">
        <x:f>R41/J41</x:f>
        <x:v>5159.103440825866</x:v>
      </x:c>
    </x:row>
    <x:row r="42" ht="23" customHeight="1">
      <x:c r="A42" s="6" t="str">
        <x:v>T1-L06-C</x:v>
      </x:c>
      <x:c r="B42" s="6" t="str">
        <x:v>T1</x:v>
      </x:c>
      <x:c r="C42" s="6" t="str">
        <x:v>L06</x:v>
      </x:c>
      <x:c r="D42" s="6" t="str">
        <x:v>Concrete placement and finishing</x:v>
      </x:c>
      <x:c r="E42" s="6" t="str">
        <x:v>Concrete</x:v>
      </x:c>
      <x:c r="F42" s="14" t="n">
        <x:v>226.70819999999958</x:v>
      </x:c>
      <x:c r="G42" s="6" t="str">
        <x:v>m3</x:v>
      </x:c>
      <x:c r="H42" s="16" t="n">
        <x:v>170</x:v>
      </x:c>
      <x:c r="I42" s="16" t="n">
        <x:v>12</x:v>
      </x:c>
      <x:c r="J42" s="16" t="n">
        <x:f>ROUNDUP(F42/H42,0)</x:f>
        <x:v>2</x:v>
      </x:c>
      <x:c r="K42" s="6" t="n">
        <x:f>MAX(L41+0)</x:f>
        <x:v>253</x:v>
      </x:c>
      <x:c r="L42" s="6" t="n">
        <x:f>K42+J42</x:f>
        <x:v>255</x:v>
      </x:c>
      <x:c r="M42" s="6" t="n">
        <x:f>N42-J42</x:f>
        <x:v>313</x:v>
      </x:c>
      <x:c r="N42" s="6" t="n">
        <x:f>MIN(M43-0)</x:f>
        <x:v>315</x:v>
      </x:c>
      <x:c r="O42" s="6" t="n">
        <x:f>M42-K42</x:f>
        <x:v>60</x:v>
      </x:c>
      <x:c r="P42" s="18" t="n">
        <x:f>INDEX('Calendar'!$C$8:$C$907,K42+1)</x:f>
        <x:v>46623</x:v>
      </x:c>
      <x:c r="Q42" s="18" t="n">
        <x:f>INDEX('Calendar'!$C$8:$C$907,MAX(K42+1,L42))</x:f>
        <x:v>46624</x:v>
      </x:c>
      <x:c r="R42" s="14" t="n">
        <x:v>33527.39699999994</x:v>
      </x:c>
      <x:c r="S42" s="14"/>
      <x:c r="T42" s="14" t="n">
        <x:f>R42/J42</x:f>
        <x:v>16763.69849999997</x:v>
      </x:c>
    </x:row>
    <x:row r="43" ht="23" customHeight="1">
      <x:c r="A43" s="1" t="str">
        <x:v>T1-L06-H</x:v>
      </x:c>
      <x:c r="B43" s="1" t="str">
        <x:v>T1</x:v>
      </x:c>
      <x:c r="C43" s="1" t="str">
        <x:v>L06</x:v>
      </x:c>
      <x:c r="D43" s="1" t="str">
        <x:v>Curing and release hold point</x:v>
      </x:c>
      <x:c r="E43" s="1" t="str">
        <x:v>Site</x:v>
      </x:c>
      <x:c r="F43" s="15" t="n">
        <x:v>1</x:v>
      </x:c>
      <x:c r="G43" s="1" t="str">
        <x:v>hold</x:v>
      </x:c>
      <x:c r="H43" s="17" t="n">
        <x:v>1</x:v>
      </x:c>
      <x:c r="I43" s="17" t="n">
        <x:v>0</x:v>
      </x:c>
      <x:c r="J43" s="17" t="n">
        <x:f>S43</x:f>
        <x:v>5</x:v>
      </x:c>
      <x:c r="K43" s="1" t="n">
        <x:f>MAX(L42+0)</x:f>
        <x:v>255</x:v>
      </x:c>
      <x:c r="L43" s="1" t="n">
        <x:f>K43+J43</x:f>
        <x:v>260</x:v>
      </x:c>
      <x:c r="M43" s="1" t="n">
        <x:f>N43-J43</x:f>
        <x:v>315</x:v>
      </x:c>
      <x:c r="N43" s="1" t="n">
        <x:f>MIN(M44-0,M89-5)</x:f>
        <x:v>320</x:v>
      </x:c>
      <x:c r="O43" s="1" t="n">
        <x:f>M43-K43</x:f>
        <x:v>60</x:v>
      </x:c>
      <x:c r="P43" s="19" t="n">
        <x:f>INDEX('Calendar'!$C$8:$C$907,K43+1)</x:f>
        <x:v>46625</x:v>
      </x:c>
      <x:c r="Q43" s="19" t="n">
        <x:f>INDEX('Calendar'!$C$8:$C$907,MAX(K43+1,L43))</x:f>
        <x:v>46630</x:v>
      </x:c>
      <x:c r="R43" s="15" t="n">
        <x:v>0</x:v>
      </x:c>
      <x:c r="S43" s="15" t="n">
        <x:v>5</x:v>
      </x:c>
      <x:c r="T43" s="15" t="n">
        <x:f>R43/J43</x:f>
        <x:v>0</x:v>
      </x:c>
    </x:row>
    <x:row r="44" ht="23" customHeight="1">
      <x:c r="A44" s="6" t="str">
        <x:v>T1-L07-F</x:v>
      </x:c>
      <x:c r="B44" s="6" t="str">
        <x:v>T1</x:v>
      </x:c>
      <x:c r="C44" s="6" t="str">
        <x:v>L07</x:v>
      </x:c>
      <x:c r="D44" s="6" t="str">
        <x:v>Columns, core and deck formwork</x:v>
      </x:c>
      <x:c r="E44" s="6" t="str">
        <x:v>Formwork</x:v>
      </x:c>
      <x:c r="F44" s="14" t="n">
        <x:v>1222.6600000000005</x:v>
      </x:c>
      <x:c r="G44" s="6" t="str">
        <x:v>m2</x:v>
      </x:c>
      <x:c r="H44" s="16" t="n">
        <x:v>220</x:v>
      </x:c>
      <x:c r="I44" s="16" t="n">
        <x:v>18</x:v>
      </x:c>
      <x:c r="J44" s="16" t="n">
        <x:f>ROUNDUP(F44/H44,0)</x:f>
        <x:v>6</x:v>
      </x:c>
      <x:c r="K44" s="6" t="n">
        <x:f>MAX(L43+0)</x:f>
        <x:v>260</x:v>
      </x:c>
      <x:c r="L44" s="6" t="n">
        <x:f>K44+J44</x:f>
        <x:v>266</x:v>
      </x:c>
      <x:c r="M44" s="6" t="n">
        <x:f>N44-J44</x:f>
        <x:v>320</x:v>
      </x:c>
      <x:c r="N44" s="6" t="n">
        <x:f>MIN(M45-0)</x:f>
        <x:v>326</x:v>
      </x:c>
      <x:c r="O44" s="6" t="n">
        <x:f>M44-K44</x:f>
        <x:v>60</x:v>
      </x:c>
      <x:c r="P44" s="18" t="n">
        <x:f>INDEX('Calendar'!$C$8:$C$907,K44+1)</x:f>
        <x:v>46631</x:v>
      </x:c>
      <x:c r="Q44" s="18" t="n">
        <x:f>INDEX('Calendar'!$C$8:$C$907,MAX(K44+1,L44))</x:f>
        <x:v>46637</x:v>
      </x:c>
      <x:c r="R44" s="14" t="n">
        <x:v>29364.320000000007</x:v>
      </x:c>
      <x:c r="S44" s="14"/>
      <x:c r="T44" s="14" t="n">
        <x:f>R44/J44</x:f>
        <x:v>4894.053333333334</x:v>
      </x:c>
    </x:row>
    <x:row r="45" ht="23" customHeight="1">
      <x:c r="A45" s="1" t="str">
        <x:v>T1-L07-R</x:v>
      </x:c>
      <x:c r="B45" s="1" t="str">
        <x:v>T1</x:v>
      </x:c>
      <x:c r="C45" s="1" t="str">
        <x:v>L07</x:v>
      </x:c>
      <x:c r="D45" s="1" t="str">
        <x:v>Column, wall, beam and slab reinforcement</x:v>
      </x:c>
      <x:c r="E45" s="1" t="str">
        <x:v>Rebar</x:v>
      </x:c>
      <x:c r="F45" s="15" t="n">
        <x:v>29.684139475407747</x:v>
      </x:c>
      <x:c r="G45" s="1" t="str">
        <x:v>t</x:v>
      </x:c>
      <x:c r="H45" s="17" t="n">
        <x:v>7</x:v>
      </x:c>
      <x:c r="I45" s="17" t="n">
        <x:v>14</x:v>
      </x:c>
      <x:c r="J45" s="17" t="n">
        <x:f>ROUNDUP(F45/H45,0)</x:f>
        <x:v>5</x:v>
      </x:c>
      <x:c r="K45" s="1" t="n">
        <x:f>MAX(L44+0)</x:f>
        <x:v>266</x:v>
      </x:c>
      <x:c r="L45" s="1" t="n">
        <x:f>K45+J45</x:f>
        <x:v>271</x:v>
      </x:c>
      <x:c r="M45" s="1" t="n">
        <x:f>N45-J45</x:f>
        <x:v>326</x:v>
      </x:c>
      <x:c r="N45" s="1" t="n">
        <x:f>MIN(M46-0)</x:f>
        <x:v>331</x:v>
      </x:c>
      <x:c r="O45" s="1" t="n">
        <x:f>M45-K45</x:f>
        <x:v>60</x:v>
      </x:c>
      <x:c r="P45" s="19" t="n">
        <x:f>INDEX('Calendar'!$C$8:$C$907,K45+1)</x:f>
        <x:v>46638</x:v>
      </x:c>
      <x:c r="Q45" s="19" t="n">
        <x:f>INDEX('Calendar'!$C$8:$C$907,MAX(K45+1,L45))</x:f>
        <x:v>46643</x:v>
      </x:c>
      <x:c r="R45" s="15" t="n">
        <x:v>25795.51720412933</x:v>
      </x:c>
      <x:c r="S45" s="15"/>
      <x:c r="T45" s="15" t="n">
        <x:f>R45/J45</x:f>
        <x:v>5159.103440825866</x:v>
      </x:c>
    </x:row>
    <x:row r="46" ht="23" customHeight="1">
      <x:c r="A46" s="6" t="str">
        <x:v>T1-L07-C</x:v>
      </x:c>
      <x:c r="B46" s="6" t="str">
        <x:v>T1</x:v>
      </x:c>
      <x:c r="C46" s="6" t="str">
        <x:v>L07</x:v>
      </x:c>
      <x:c r="D46" s="6" t="str">
        <x:v>Concrete placement and finishing</x:v>
      </x:c>
      <x:c r="E46" s="6" t="str">
        <x:v>Concrete</x:v>
      </x:c>
      <x:c r="F46" s="14" t="n">
        <x:v>226.70819999999958</x:v>
      </x:c>
      <x:c r="G46" s="6" t="str">
        <x:v>m3</x:v>
      </x:c>
      <x:c r="H46" s="16" t="n">
        <x:v>170</x:v>
      </x:c>
      <x:c r="I46" s="16" t="n">
        <x:v>12</x:v>
      </x:c>
      <x:c r="J46" s="16" t="n">
        <x:f>ROUNDUP(F46/H46,0)</x:f>
        <x:v>2</x:v>
      </x:c>
      <x:c r="K46" s="6" t="n">
        <x:f>MAX(L45+0)</x:f>
        <x:v>271</x:v>
      </x:c>
      <x:c r="L46" s="6" t="n">
        <x:f>K46+J46</x:f>
        <x:v>273</x:v>
      </x:c>
      <x:c r="M46" s="6" t="n">
        <x:f>N46-J46</x:f>
        <x:v>331</x:v>
      </x:c>
      <x:c r="N46" s="6" t="n">
        <x:f>MIN(M47-0)</x:f>
        <x:v>333</x:v>
      </x:c>
      <x:c r="O46" s="6" t="n">
        <x:f>M46-K46</x:f>
        <x:v>60</x:v>
      </x:c>
      <x:c r="P46" s="18" t="n">
        <x:f>INDEX('Calendar'!$C$8:$C$907,K46+1)</x:f>
        <x:v>46644</x:v>
      </x:c>
      <x:c r="Q46" s="18" t="n">
        <x:f>INDEX('Calendar'!$C$8:$C$907,MAX(K46+1,L46))</x:f>
        <x:v>46645</x:v>
      </x:c>
      <x:c r="R46" s="14" t="n">
        <x:v>33527.39699999994</x:v>
      </x:c>
      <x:c r="S46" s="14"/>
      <x:c r="T46" s="14" t="n">
        <x:f>R46/J46</x:f>
        <x:v>16763.69849999997</x:v>
      </x:c>
    </x:row>
    <x:row r="47" ht="23" customHeight="1">
      <x:c r="A47" s="1" t="str">
        <x:v>T1-L07-H</x:v>
      </x:c>
      <x:c r="B47" s="1" t="str">
        <x:v>T1</x:v>
      </x:c>
      <x:c r="C47" s="1" t="str">
        <x:v>L07</x:v>
      </x:c>
      <x:c r="D47" s="1" t="str">
        <x:v>Curing and release hold point</x:v>
      </x:c>
      <x:c r="E47" s="1" t="str">
        <x:v>Site</x:v>
      </x:c>
      <x:c r="F47" s="15" t="n">
        <x:v>1</x:v>
      </x:c>
      <x:c r="G47" s="1" t="str">
        <x:v>hold</x:v>
      </x:c>
      <x:c r="H47" s="17" t="n">
        <x:v>1</x:v>
      </x:c>
      <x:c r="I47" s="17" t="n">
        <x:v>0</x:v>
      </x:c>
      <x:c r="J47" s="17" t="n">
        <x:f>S47</x:f>
        <x:v>5</x:v>
      </x:c>
      <x:c r="K47" s="1" t="n">
        <x:f>MAX(L46+0)</x:f>
        <x:v>273</x:v>
      </x:c>
      <x:c r="L47" s="1" t="n">
        <x:f>K47+J47</x:f>
        <x:v>278</x:v>
      </x:c>
      <x:c r="M47" s="1" t="n">
        <x:f>N47-J47</x:f>
        <x:v>333</x:v>
      </x:c>
      <x:c r="N47" s="1" t="n">
        <x:f>MIN(M48-0,M95-5)</x:f>
        <x:v>338</x:v>
      </x:c>
      <x:c r="O47" s="1" t="n">
        <x:f>M47-K47</x:f>
        <x:v>60</x:v>
      </x:c>
      <x:c r="P47" s="19" t="n">
        <x:f>INDEX('Calendar'!$C$8:$C$907,K47+1)</x:f>
        <x:v>46646</x:v>
      </x:c>
      <x:c r="Q47" s="19" t="n">
        <x:f>INDEX('Calendar'!$C$8:$C$907,MAX(K47+1,L47))</x:f>
        <x:v>46651</x:v>
      </x:c>
      <x:c r="R47" s="15" t="n">
        <x:v>0</x:v>
      </x:c>
      <x:c r="S47" s="15" t="n">
        <x:v>5</x:v>
      </x:c>
      <x:c r="T47" s="15" t="n">
        <x:f>R47/J47</x:f>
        <x:v>0</x:v>
      </x:c>
    </x:row>
    <x:row r="48" ht="23" customHeight="1">
      <x:c r="A48" s="6" t="str">
        <x:v>T1-L08-F</x:v>
      </x:c>
      <x:c r="B48" s="6" t="str">
        <x:v>T1</x:v>
      </x:c>
      <x:c r="C48" s="6" t="str">
        <x:v>L08</x:v>
      </x:c>
      <x:c r="D48" s="6" t="str">
        <x:v>Columns, core and deck formwork</x:v>
      </x:c>
      <x:c r="E48" s="6" t="str">
        <x:v>Formwork</x:v>
      </x:c>
      <x:c r="F48" s="14" t="n">
        <x:v>1222.6600000000005</x:v>
      </x:c>
      <x:c r="G48" s="6" t="str">
        <x:v>m2</x:v>
      </x:c>
      <x:c r="H48" s="16" t="n">
        <x:v>220</x:v>
      </x:c>
      <x:c r="I48" s="16" t="n">
        <x:v>18</x:v>
      </x:c>
      <x:c r="J48" s="16" t="n">
        <x:f>ROUNDUP(F48/H48,0)</x:f>
        <x:v>6</x:v>
      </x:c>
      <x:c r="K48" s="6" t="n">
        <x:f>MAX(L47+0)</x:f>
        <x:v>278</x:v>
      </x:c>
      <x:c r="L48" s="6" t="n">
        <x:f>K48+J48</x:f>
        <x:v>284</x:v>
      </x:c>
      <x:c r="M48" s="6" t="n">
        <x:f>N48-J48</x:f>
        <x:v>338</x:v>
      </x:c>
      <x:c r="N48" s="6" t="n">
        <x:f>MIN(M49-0)</x:f>
        <x:v>344</x:v>
      </x:c>
      <x:c r="O48" s="6" t="n">
        <x:f>M48-K48</x:f>
        <x:v>60</x:v>
      </x:c>
      <x:c r="P48" s="18" t="n">
        <x:f>INDEX('Calendar'!$C$8:$C$907,K48+1)</x:f>
        <x:v>46652</x:v>
      </x:c>
      <x:c r="Q48" s="18" t="n">
        <x:f>INDEX('Calendar'!$C$8:$C$907,MAX(K48+1,L48))</x:f>
        <x:v>46658</x:v>
      </x:c>
      <x:c r="R48" s="14" t="n">
        <x:v>29364.320000000007</x:v>
      </x:c>
      <x:c r="S48" s="14"/>
      <x:c r="T48" s="14" t="n">
        <x:f>R48/J48</x:f>
        <x:v>4894.053333333334</x:v>
      </x:c>
    </x:row>
    <x:row r="49" ht="23" customHeight="1">
      <x:c r="A49" s="1" t="str">
        <x:v>T1-L08-R</x:v>
      </x:c>
      <x:c r="B49" s="1" t="str">
        <x:v>T1</x:v>
      </x:c>
      <x:c r="C49" s="1" t="str">
        <x:v>L08</x:v>
      </x:c>
      <x:c r="D49" s="1" t="str">
        <x:v>Column, wall, beam and slab reinforcement</x:v>
      </x:c>
      <x:c r="E49" s="1" t="str">
        <x:v>Rebar</x:v>
      </x:c>
      <x:c r="F49" s="15" t="n">
        <x:v>29.684139475407747</x:v>
      </x:c>
      <x:c r="G49" s="1" t="str">
        <x:v>t</x:v>
      </x:c>
      <x:c r="H49" s="17" t="n">
        <x:v>7</x:v>
      </x:c>
      <x:c r="I49" s="17" t="n">
        <x:v>14</x:v>
      </x:c>
      <x:c r="J49" s="17" t="n">
        <x:f>ROUNDUP(F49/H49,0)</x:f>
        <x:v>5</x:v>
      </x:c>
      <x:c r="K49" s="1" t="n">
        <x:f>MAX(L48+0)</x:f>
        <x:v>284</x:v>
      </x:c>
      <x:c r="L49" s="1" t="n">
        <x:f>K49+J49</x:f>
        <x:v>289</x:v>
      </x:c>
      <x:c r="M49" s="1" t="n">
        <x:f>N49-J49</x:f>
        <x:v>344</x:v>
      </x:c>
      <x:c r="N49" s="1" t="n">
        <x:f>MIN(M50-0)</x:f>
        <x:v>349</x:v>
      </x:c>
      <x:c r="O49" s="1" t="n">
        <x:f>M49-K49</x:f>
        <x:v>60</x:v>
      </x:c>
      <x:c r="P49" s="19" t="n">
        <x:f>INDEX('Calendar'!$C$8:$C$907,K49+1)</x:f>
        <x:v>46659</x:v>
      </x:c>
      <x:c r="Q49" s="19" t="n">
        <x:f>INDEX('Calendar'!$C$8:$C$907,MAX(K49+1,L49))</x:f>
        <x:v>46664</x:v>
      </x:c>
      <x:c r="R49" s="15" t="n">
        <x:v>25795.51720412933</x:v>
      </x:c>
      <x:c r="S49" s="15"/>
      <x:c r="T49" s="15" t="n">
        <x:f>R49/J49</x:f>
        <x:v>5159.103440825866</x:v>
      </x:c>
    </x:row>
    <x:row r="50" ht="23" customHeight="1">
      <x:c r="A50" s="6" t="str">
        <x:v>T1-L08-C</x:v>
      </x:c>
      <x:c r="B50" s="6" t="str">
        <x:v>T1</x:v>
      </x:c>
      <x:c r="C50" s="6" t="str">
        <x:v>L08</x:v>
      </x:c>
      <x:c r="D50" s="6" t="str">
        <x:v>Concrete placement and finishing</x:v>
      </x:c>
      <x:c r="E50" s="6" t="str">
        <x:v>Concrete</x:v>
      </x:c>
      <x:c r="F50" s="14" t="n">
        <x:v>226.70819999999958</x:v>
      </x:c>
      <x:c r="G50" s="6" t="str">
        <x:v>m3</x:v>
      </x:c>
      <x:c r="H50" s="16" t="n">
        <x:v>170</x:v>
      </x:c>
      <x:c r="I50" s="16" t="n">
        <x:v>12</x:v>
      </x:c>
      <x:c r="J50" s="16" t="n">
        <x:f>ROUNDUP(F50/H50,0)</x:f>
        <x:v>2</x:v>
      </x:c>
      <x:c r="K50" s="6" t="n">
        <x:f>MAX(L49+0)</x:f>
        <x:v>289</x:v>
      </x:c>
      <x:c r="L50" s="6" t="n">
        <x:f>K50+J50</x:f>
        <x:v>291</x:v>
      </x:c>
      <x:c r="M50" s="6" t="n">
        <x:f>N50-J50</x:f>
        <x:v>349</x:v>
      </x:c>
      <x:c r="N50" s="6" t="n">
        <x:f>MIN(M51-0)</x:f>
        <x:v>351</x:v>
      </x:c>
      <x:c r="O50" s="6" t="n">
        <x:f>M50-K50</x:f>
        <x:v>60</x:v>
      </x:c>
      <x:c r="P50" s="18" t="n">
        <x:f>INDEX('Calendar'!$C$8:$C$907,K50+1)</x:f>
        <x:v>46665</x:v>
      </x:c>
      <x:c r="Q50" s="18" t="n">
        <x:f>INDEX('Calendar'!$C$8:$C$907,MAX(K50+1,L50))</x:f>
        <x:v>46666</x:v>
      </x:c>
      <x:c r="R50" s="14" t="n">
        <x:v>33527.39699999994</x:v>
      </x:c>
      <x:c r="S50" s="14"/>
      <x:c r="T50" s="14" t="n">
        <x:f>R50/J50</x:f>
        <x:v>16763.69849999997</x:v>
      </x:c>
    </x:row>
    <x:row r="51" ht="23" customHeight="1">
      <x:c r="A51" s="1" t="str">
        <x:v>T1-L08-H</x:v>
      </x:c>
      <x:c r="B51" s="1" t="str">
        <x:v>T1</x:v>
      </x:c>
      <x:c r="C51" s="1" t="str">
        <x:v>L08</x:v>
      </x:c>
      <x:c r="D51" s="1" t="str">
        <x:v>Curing and release hold point</x:v>
      </x:c>
      <x:c r="E51" s="1" t="str">
        <x:v>Site</x:v>
      </x:c>
      <x:c r="F51" s="15" t="n">
        <x:v>1</x:v>
      </x:c>
      <x:c r="G51" s="1" t="str">
        <x:v>hold</x:v>
      </x:c>
      <x:c r="H51" s="17" t="n">
        <x:v>1</x:v>
      </x:c>
      <x:c r="I51" s="17" t="n">
        <x:v>0</x:v>
      </x:c>
      <x:c r="J51" s="17" t="n">
        <x:f>S51</x:f>
        <x:v>5</x:v>
      </x:c>
      <x:c r="K51" s="1" t="n">
        <x:f>MAX(L50+0)</x:f>
        <x:v>291</x:v>
      </x:c>
      <x:c r="L51" s="1" t="n">
        <x:f>K51+J51</x:f>
        <x:v>296</x:v>
      </x:c>
      <x:c r="M51" s="1" t="n">
        <x:f>N51-J51</x:f>
        <x:v>351</x:v>
      </x:c>
      <x:c r="N51" s="1" t="n">
        <x:f>MIN(M52-0,M69-10,M101-5)</x:f>
        <x:v>356</x:v>
      </x:c>
      <x:c r="O51" s="1" t="n">
        <x:f>M51-K51</x:f>
        <x:v>60</x:v>
      </x:c>
      <x:c r="P51" s="19" t="n">
        <x:f>INDEX('Calendar'!$C$8:$C$907,K51+1)</x:f>
        <x:v>46667</x:v>
      </x:c>
      <x:c r="Q51" s="19" t="n">
        <x:f>INDEX('Calendar'!$C$8:$C$907,MAX(K51+1,L51))</x:f>
        <x:v>46672</x:v>
      </x:c>
      <x:c r="R51" s="15" t="n">
        <x:v>0</x:v>
      </x:c>
      <x:c r="S51" s="15" t="n">
        <x:v>5</x:v>
      </x:c>
      <x:c r="T51" s="15" t="n">
        <x:f>R51/J51</x:f>
        <x:v>0</x:v>
      </x:c>
    </x:row>
    <x:row r="52" ht="23" customHeight="1">
      <x:c r="A52" s="6" t="str">
        <x:v>T1-L09-F</x:v>
      </x:c>
      <x:c r="B52" s="6" t="str">
        <x:v>T1</x:v>
      </x:c>
      <x:c r="C52" s="6" t="str">
        <x:v>L09</x:v>
      </x:c>
      <x:c r="D52" s="6" t="str">
        <x:v>Columns, core and deck formwork</x:v>
      </x:c>
      <x:c r="E52" s="6" t="str">
        <x:v>Formwork</x:v>
      </x:c>
      <x:c r="F52" s="14" t="n">
        <x:v>1222.6600000000005</x:v>
      </x:c>
      <x:c r="G52" s="6" t="str">
        <x:v>m2</x:v>
      </x:c>
      <x:c r="H52" s="16" t="n">
        <x:v>220</x:v>
      </x:c>
      <x:c r="I52" s="16" t="n">
        <x:v>18</x:v>
      </x:c>
      <x:c r="J52" s="16" t="n">
        <x:f>ROUNDUP(F52/H52,0)</x:f>
        <x:v>6</x:v>
      </x:c>
      <x:c r="K52" s="6" t="n">
        <x:f>MAX(L51+0)</x:f>
        <x:v>296</x:v>
      </x:c>
      <x:c r="L52" s="6" t="n">
        <x:f>K52+J52</x:f>
        <x:v>302</x:v>
      </x:c>
      <x:c r="M52" s="6" t="n">
        <x:f>N52-J52</x:f>
        <x:v>356</x:v>
      </x:c>
      <x:c r="N52" s="6" t="n">
        <x:f>MIN(M53-0)</x:f>
        <x:v>362</x:v>
      </x:c>
      <x:c r="O52" s="6" t="n">
        <x:f>M52-K52</x:f>
        <x:v>60</x:v>
      </x:c>
      <x:c r="P52" s="18" t="n">
        <x:f>INDEX('Calendar'!$C$8:$C$907,K52+1)</x:f>
        <x:v>46673</x:v>
      </x:c>
      <x:c r="Q52" s="18" t="n">
        <x:f>INDEX('Calendar'!$C$8:$C$907,MAX(K52+1,L52))</x:f>
        <x:v>46679</x:v>
      </x:c>
      <x:c r="R52" s="14" t="n">
        <x:v>29364.320000000007</x:v>
      </x:c>
      <x:c r="S52" s="14"/>
      <x:c r="T52" s="14" t="n">
        <x:f>R52/J52</x:f>
        <x:v>4894.053333333334</x:v>
      </x:c>
    </x:row>
    <x:row r="53" ht="23" customHeight="1">
      <x:c r="A53" s="1" t="str">
        <x:v>T1-L09-R</x:v>
      </x:c>
      <x:c r="B53" s="1" t="str">
        <x:v>T1</x:v>
      </x:c>
      <x:c r="C53" s="1" t="str">
        <x:v>L09</x:v>
      </x:c>
      <x:c r="D53" s="1" t="str">
        <x:v>Column, wall, beam and slab reinforcement</x:v>
      </x:c>
      <x:c r="E53" s="1" t="str">
        <x:v>Rebar</x:v>
      </x:c>
      <x:c r="F53" s="15" t="n">
        <x:v>29.684139475407747</x:v>
      </x:c>
      <x:c r="G53" s="1" t="str">
        <x:v>t</x:v>
      </x:c>
      <x:c r="H53" s="17" t="n">
        <x:v>7</x:v>
      </x:c>
      <x:c r="I53" s="17" t="n">
        <x:v>14</x:v>
      </x:c>
      <x:c r="J53" s="17" t="n">
        <x:f>ROUNDUP(F53/H53,0)</x:f>
        <x:v>5</x:v>
      </x:c>
      <x:c r="K53" s="1" t="n">
        <x:f>MAX(L52+0)</x:f>
        <x:v>302</x:v>
      </x:c>
      <x:c r="L53" s="1" t="n">
        <x:f>K53+J53</x:f>
        <x:v>307</x:v>
      </x:c>
      <x:c r="M53" s="1" t="n">
        <x:f>N53-J53</x:f>
        <x:v>362</x:v>
      </x:c>
      <x:c r="N53" s="1" t="n">
        <x:f>MIN(M54-0)</x:f>
        <x:v>367</x:v>
      </x:c>
      <x:c r="O53" s="1" t="n">
        <x:f>M53-K53</x:f>
        <x:v>60</x:v>
      </x:c>
      <x:c r="P53" s="19" t="n">
        <x:f>INDEX('Calendar'!$C$8:$C$907,K53+1)</x:f>
        <x:v>46680</x:v>
      </x:c>
      <x:c r="Q53" s="19" t="n">
        <x:f>INDEX('Calendar'!$C$8:$C$907,MAX(K53+1,L53))</x:f>
        <x:v>46685</x:v>
      </x:c>
      <x:c r="R53" s="15" t="n">
        <x:v>25795.51720412933</x:v>
      </x:c>
      <x:c r="S53" s="15"/>
      <x:c r="T53" s="15" t="n">
        <x:f>R53/J53</x:f>
        <x:v>5159.103440825866</x:v>
      </x:c>
    </x:row>
    <x:row r="54" ht="23" customHeight="1">
      <x:c r="A54" s="6" t="str">
        <x:v>T1-L09-C</x:v>
      </x:c>
      <x:c r="B54" s="6" t="str">
        <x:v>T1</x:v>
      </x:c>
      <x:c r="C54" s="6" t="str">
        <x:v>L09</x:v>
      </x:c>
      <x:c r="D54" s="6" t="str">
        <x:v>Concrete placement and finishing</x:v>
      </x:c>
      <x:c r="E54" s="6" t="str">
        <x:v>Concrete</x:v>
      </x:c>
      <x:c r="F54" s="14" t="n">
        <x:v>226.70819999999958</x:v>
      </x:c>
      <x:c r="G54" s="6" t="str">
        <x:v>m3</x:v>
      </x:c>
      <x:c r="H54" s="16" t="n">
        <x:v>170</x:v>
      </x:c>
      <x:c r="I54" s="16" t="n">
        <x:v>12</x:v>
      </x:c>
      <x:c r="J54" s="16" t="n">
        <x:f>ROUNDUP(F54/H54,0)</x:f>
        <x:v>2</x:v>
      </x:c>
      <x:c r="K54" s="6" t="n">
        <x:f>MAX(L53+0)</x:f>
        <x:v>307</x:v>
      </x:c>
      <x:c r="L54" s="6" t="n">
        <x:f>K54+J54</x:f>
        <x:v>309</x:v>
      </x:c>
      <x:c r="M54" s="6" t="n">
        <x:f>N54-J54</x:f>
        <x:v>367</x:v>
      </x:c>
      <x:c r="N54" s="6" t="n">
        <x:f>MIN(M55-0)</x:f>
        <x:v>369</x:v>
      </x:c>
      <x:c r="O54" s="6" t="n">
        <x:f>M54-K54</x:f>
        <x:v>60</x:v>
      </x:c>
      <x:c r="P54" s="18" t="n">
        <x:f>INDEX('Calendar'!$C$8:$C$907,K54+1)</x:f>
        <x:v>46686</x:v>
      </x:c>
      <x:c r="Q54" s="18" t="n">
        <x:f>INDEX('Calendar'!$C$8:$C$907,MAX(K54+1,L54))</x:f>
        <x:v>46687</x:v>
      </x:c>
      <x:c r="R54" s="14" t="n">
        <x:v>33527.39699999994</x:v>
      </x:c>
      <x:c r="S54" s="14"/>
      <x:c r="T54" s="14" t="n">
        <x:f>R54/J54</x:f>
        <x:v>16763.69849999997</x:v>
      </x:c>
    </x:row>
    <x:row r="55" ht="23" customHeight="1">
      <x:c r="A55" s="1" t="str">
        <x:v>T1-L09-H</x:v>
      </x:c>
      <x:c r="B55" s="1" t="str">
        <x:v>T1</x:v>
      </x:c>
      <x:c r="C55" s="1" t="str">
        <x:v>L09</x:v>
      </x:c>
      <x:c r="D55" s="1" t="str">
        <x:v>Curing and release hold point</x:v>
      </x:c>
      <x:c r="E55" s="1" t="str">
        <x:v>Site</x:v>
      </x:c>
      <x:c r="F55" s="15" t="n">
        <x:v>1</x:v>
      </x:c>
      <x:c r="G55" s="1" t="str">
        <x:v>hold</x:v>
      </x:c>
      <x:c r="H55" s="17" t="n">
        <x:v>1</x:v>
      </x:c>
      <x:c r="I55" s="17" t="n">
        <x:v>0</x:v>
      </x:c>
      <x:c r="J55" s="17" t="n">
        <x:f>S55</x:f>
        <x:v>5</x:v>
      </x:c>
      <x:c r="K55" s="1" t="n">
        <x:f>MAX(L54+0)</x:f>
        <x:v>309</x:v>
      </x:c>
      <x:c r="L55" s="1" t="n">
        <x:f>K55+J55</x:f>
        <x:v>314</x:v>
      </x:c>
      <x:c r="M55" s="1" t="n">
        <x:f>N55-J55</x:f>
        <x:v>369</x:v>
      </x:c>
      <x:c r="N55" s="1" t="n">
        <x:f>MIN(M56-0,M107-5)</x:f>
        <x:v>374</x:v>
      </x:c>
      <x:c r="O55" s="1" t="n">
        <x:f>M55-K55</x:f>
        <x:v>60</x:v>
      </x:c>
      <x:c r="P55" s="19" t="n">
        <x:f>INDEX('Calendar'!$C$8:$C$907,K55+1)</x:f>
        <x:v>46688</x:v>
      </x:c>
      <x:c r="Q55" s="19" t="n">
        <x:f>INDEX('Calendar'!$C$8:$C$907,MAX(K55+1,L55))</x:f>
        <x:v>46693</x:v>
      </x:c>
      <x:c r="R55" s="15" t="n">
        <x:v>0</x:v>
      </x:c>
      <x:c r="S55" s="15" t="n">
        <x:v>5</x:v>
      </x:c>
      <x:c r="T55" s="15" t="n">
        <x:f>R55/J55</x:f>
        <x:v>0</x:v>
      </x:c>
    </x:row>
    <x:row r="56" ht="23" customHeight="1">
      <x:c r="A56" s="6" t="str">
        <x:v>T1-L10-F</x:v>
      </x:c>
      <x:c r="B56" s="6" t="str">
        <x:v>T1</x:v>
      </x:c>
      <x:c r="C56" s="6" t="str">
        <x:v>L10</x:v>
      </x:c>
      <x:c r="D56" s="6" t="str">
        <x:v>Columns, core and deck formwork</x:v>
      </x:c>
      <x:c r="E56" s="6" t="str">
        <x:v>Formwork</x:v>
      </x:c>
      <x:c r="F56" s="14" t="n">
        <x:v>1222.6600000000005</x:v>
      </x:c>
      <x:c r="G56" s="6" t="str">
        <x:v>m2</x:v>
      </x:c>
      <x:c r="H56" s="16" t="n">
        <x:v>220</x:v>
      </x:c>
      <x:c r="I56" s="16" t="n">
        <x:v>18</x:v>
      </x:c>
      <x:c r="J56" s="16" t="n">
        <x:f>ROUNDUP(F56/H56,0)</x:f>
        <x:v>6</x:v>
      </x:c>
      <x:c r="K56" s="6" t="n">
        <x:f>MAX(L55+0)</x:f>
        <x:v>314</x:v>
      </x:c>
      <x:c r="L56" s="6" t="n">
        <x:f>K56+J56</x:f>
        <x:v>320</x:v>
      </x:c>
      <x:c r="M56" s="6" t="n">
        <x:f>N56-J56</x:f>
        <x:v>374</x:v>
      </x:c>
      <x:c r="N56" s="6" t="n">
        <x:f>MIN(M57-0)</x:f>
        <x:v>380</x:v>
      </x:c>
      <x:c r="O56" s="6" t="n">
        <x:f>M56-K56</x:f>
        <x:v>60</x:v>
      </x:c>
      <x:c r="P56" s="18" t="n">
        <x:f>INDEX('Calendar'!$C$8:$C$907,K56+1)</x:f>
        <x:v>46694</x:v>
      </x:c>
      <x:c r="Q56" s="18" t="n">
        <x:f>INDEX('Calendar'!$C$8:$C$907,MAX(K56+1,L56))</x:f>
        <x:v>46700</x:v>
      </x:c>
      <x:c r="R56" s="14" t="n">
        <x:v>29364.320000000007</x:v>
      </x:c>
      <x:c r="S56" s="14"/>
      <x:c r="T56" s="14" t="n">
        <x:f>R56/J56</x:f>
        <x:v>4894.053333333334</x:v>
      </x:c>
    </x:row>
    <x:row r="57" ht="23" customHeight="1">
      <x:c r="A57" s="1" t="str">
        <x:v>T1-L10-R</x:v>
      </x:c>
      <x:c r="B57" s="1" t="str">
        <x:v>T1</x:v>
      </x:c>
      <x:c r="C57" s="1" t="str">
        <x:v>L10</x:v>
      </x:c>
      <x:c r="D57" s="1" t="str">
        <x:v>Column, wall, beam and slab reinforcement</x:v>
      </x:c>
      <x:c r="E57" s="1" t="str">
        <x:v>Rebar</x:v>
      </x:c>
      <x:c r="F57" s="15" t="n">
        <x:v>29.684139475407747</x:v>
      </x:c>
      <x:c r="G57" s="1" t="str">
        <x:v>t</x:v>
      </x:c>
      <x:c r="H57" s="17" t="n">
        <x:v>7</x:v>
      </x:c>
      <x:c r="I57" s="17" t="n">
        <x:v>14</x:v>
      </x:c>
      <x:c r="J57" s="17" t="n">
        <x:f>ROUNDUP(F57/H57,0)</x:f>
        <x:v>5</x:v>
      </x:c>
      <x:c r="K57" s="1" t="n">
        <x:f>MAX(L56+0)</x:f>
        <x:v>320</x:v>
      </x:c>
      <x:c r="L57" s="1" t="n">
        <x:f>K57+J57</x:f>
        <x:v>325</x:v>
      </x:c>
      <x:c r="M57" s="1" t="n">
        <x:f>N57-J57</x:f>
        <x:v>380</x:v>
      </x:c>
      <x:c r="N57" s="1" t="n">
        <x:f>MIN(M58-0)</x:f>
        <x:v>385</x:v>
      </x:c>
      <x:c r="O57" s="1" t="n">
        <x:f>M57-K57</x:f>
        <x:v>60</x:v>
      </x:c>
      <x:c r="P57" s="19" t="n">
        <x:f>INDEX('Calendar'!$C$8:$C$907,K57+1)</x:f>
        <x:v>46701</x:v>
      </x:c>
      <x:c r="Q57" s="19" t="n">
        <x:f>INDEX('Calendar'!$C$8:$C$907,MAX(K57+1,L57))</x:f>
        <x:v>46706</x:v>
      </x:c>
      <x:c r="R57" s="15" t="n">
        <x:v>25795.51720412933</x:v>
      </x:c>
      <x:c r="S57" s="15"/>
      <x:c r="T57" s="15" t="n">
        <x:f>R57/J57</x:f>
        <x:v>5159.103440825866</x:v>
      </x:c>
    </x:row>
    <x:row r="58" ht="23" customHeight="1">
      <x:c r="A58" s="6" t="str">
        <x:v>T1-L10-C</x:v>
      </x:c>
      <x:c r="B58" s="6" t="str">
        <x:v>T1</x:v>
      </x:c>
      <x:c r="C58" s="6" t="str">
        <x:v>L10</x:v>
      </x:c>
      <x:c r="D58" s="6" t="str">
        <x:v>Concrete placement and finishing</x:v>
      </x:c>
      <x:c r="E58" s="6" t="str">
        <x:v>Concrete</x:v>
      </x:c>
      <x:c r="F58" s="14" t="n">
        <x:v>226.70819999999958</x:v>
      </x:c>
      <x:c r="G58" s="6" t="str">
        <x:v>m3</x:v>
      </x:c>
      <x:c r="H58" s="16" t="n">
        <x:v>170</x:v>
      </x:c>
      <x:c r="I58" s="16" t="n">
        <x:v>12</x:v>
      </x:c>
      <x:c r="J58" s="16" t="n">
        <x:f>ROUNDUP(F58/H58,0)</x:f>
        <x:v>2</x:v>
      </x:c>
      <x:c r="K58" s="6" t="n">
        <x:f>MAX(L57+0)</x:f>
        <x:v>325</x:v>
      </x:c>
      <x:c r="L58" s="6" t="n">
        <x:f>K58+J58</x:f>
        <x:v>327</x:v>
      </x:c>
      <x:c r="M58" s="6" t="n">
        <x:f>N58-J58</x:f>
        <x:v>385</x:v>
      </x:c>
      <x:c r="N58" s="6" t="n">
        <x:f>MIN(M59-0)</x:f>
        <x:v>387</x:v>
      </x:c>
      <x:c r="O58" s="6" t="n">
        <x:f>M58-K58</x:f>
        <x:v>60</x:v>
      </x:c>
      <x:c r="P58" s="18" t="n">
        <x:f>INDEX('Calendar'!$C$8:$C$907,K58+1)</x:f>
        <x:v>46707</x:v>
      </x:c>
      <x:c r="Q58" s="18" t="n">
        <x:f>INDEX('Calendar'!$C$8:$C$907,MAX(K58+1,L58))</x:f>
        <x:v>46708</x:v>
      </x:c>
      <x:c r="R58" s="14" t="n">
        <x:v>33527.39699999994</x:v>
      </x:c>
      <x:c r="S58" s="14"/>
      <x:c r="T58" s="14" t="n">
        <x:f>R58/J58</x:f>
        <x:v>16763.69849999997</x:v>
      </x:c>
    </x:row>
    <x:row r="59" ht="23" customHeight="1">
      <x:c r="A59" s="1" t="str">
        <x:v>T1-L10-H</x:v>
      </x:c>
      <x:c r="B59" s="1" t="str">
        <x:v>T1</x:v>
      </x:c>
      <x:c r="C59" s="1" t="str">
        <x:v>L10</x:v>
      </x:c>
      <x:c r="D59" s="1" t="str">
        <x:v>Curing and release hold point</x:v>
      </x:c>
      <x:c r="E59" s="1" t="str">
        <x:v>Site</x:v>
      </x:c>
      <x:c r="F59" s="15" t="n">
        <x:v>1</x:v>
      </x:c>
      <x:c r="G59" s="1" t="str">
        <x:v>hold</x:v>
      </x:c>
      <x:c r="H59" s="17" t="n">
        <x:v>1</x:v>
      </x:c>
      <x:c r="I59" s="17" t="n">
        <x:v>0</x:v>
      </x:c>
      <x:c r="J59" s="17" t="n">
        <x:f>S59</x:f>
        <x:v>5</x:v>
      </x:c>
      <x:c r="K59" s="1" t="n">
        <x:f>MAX(L58+0)</x:f>
        <x:v>327</x:v>
      </x:c>
      <x:c r="L59" s="1" t="n">
        <x:f>K59+J59</x:f>
        <x:v>332</x:v>
      </x:c>
      <x:c r="M59" s="1" t="n">
        <x:f>N59-J59</x:f>
        <x:v>387</x:v>
      </x:c>
      <x:c r="N59" s="1" t="n">
        <x:f>MIN(M60-0,M113-5)</x:f>
        <x:v>392</x:v>
      </x:c>
      <x:c r="O59" s="1" t="n">
        <x:f>M59-K59</x:f>
        <x:v>60</x:v>
      </x:c>
      <x:c r="P59" s="19" t="n">
        <x:f>INDEX('Calendar'!$C$8:$C$907,K59+1)</x:f>
        <x:v>46709</x:v>
      </x:c>
      <x:c r="Q59" s="19" t="n">
        <x:f>INDEX('Calendar'!$C$8:$C$907,MAX(K59+1,L59))</x:f>
        <x:v>46714</x:v>
      </x:c>
      <x:c r="R59" s="15" t="n">
        <x:v>0</x:v>
      </x:c>
      <x:c r="S59" s="15" t="n">
        <x:v>5</x:v>
      </x:c>
      <x:c r="T59" s="15" t="n">
        <x:f>R59/J59</x:f>
        <x:v>0</x:v>
      </x:c>
    </x:row>
    <x:row r="60" ht="23" customHeight="1">
      <x:c r="A60" s="6" t="str">
        <x:v>T1-L11-F</x:v>
      </x:c>
      <x:c r="B60" s="6" t="str">
        <x:v>T1</x:v>
      </x:c>
      <x:c r="C60" s="6" t="str">
        <x:v>L11</x:v>
      </x:c>
      <x:c r="D60" s="6" t="str">
        <x:v>Columns, core and deck formwork</x:v>
      </x:c>
      <x:c r="E60" s="6" t="str">
        <x:v>Formwork</x:v>
      </x:c>
      <x:c r="F60" s="14" t="n">
        <x:v>1222.6600000000005</x:v>
      </x:c>
      <x:c r="G60" s="6" t="str">
        <x:v>m2</x:v>
      </x:c>
      <x:c r="H60" s="16" t="n">
        <x:v>220</x:v>
      </x:c>
      <x:c r="I60" s="16" t="n">
        <x:v>18</x:v>
      </x:c>
      <x:c r="J60" s="16" t="n">
        <x:f>ROUNDUP(F60/H60,0)</x:f>
        <x:v>6</x:v>
      </x:c>
      <x:c r="K60" s="6" t="n">
        <x:f>MAX(L59+0)</x:f>
        <x:v>332</x:v>
      </x:c>
      <x:c r="L60" s="6" t="n">
        <x:f>K60+J60</x:f>
        <x:v>338</x:v>
      </x:c>
      <x:c r="M60" s="6" t="n">
        <x:f>N60-J60</x:f>
        <x:v>392</x:v>
      </x:c>
      <x:c r="N60" s="6" t="n">
        <x:f>MIN(M61-0)</x:f>
        <x:v>398</x:v>
      </x:c>
      <x:c r="O60" s="6" t="n">
        <x:f>M60-K60</x:f>
        <x:v>60</x:v>
      </x:c>
      <x:c r="P60" s="18" t="n">
        <x:f>INDEX('Calendar'!$C$8:$C$907,K60+1)</x:f>
        <x:v>46715</x:v>
      </x:c>
      <x:c r="Q60" s="18" t="n">
        <x:f>INDEX('Calendar'!$C$8:$C$907,MAX(K60+1,L60))</x:f>
        <x:v>46721</x:v>
      </x:c>
      <x:c r="R60" s="14" t="n">
        <x:v>29364.320000000007</x:v>
      </x:c>
      <x:c r="S60" s="14"/>
      <x:c r="T60" s="14" t="n">
        <x:f>R60/J60</x:f>
        <x:v>4894.053333333334</x:v>
      </x:c>
    </x:row>
    <x:row r="61" ht="23" customHeight="1">
      <x:c r="A61" s="1" t="str">
        <x:v>T1-L11-R</x:v>
      </x:c>
      <x:c r="B61" s="1" t="str">
        <x:v>T1</x:v>
      </x:c>
      <x:c r="C61" s="1" t="str">
        <x:v>L11</x:v>
      </x:c>
      <x:c r="D61" s="1" t="str">
        <x:v>Column, wall, beam and slab reinforcement</x:v>
      </x:c>
      <x:c r="E61" s="1" t="str">
        <x:v>Rebar</x:v>
      </x:c>
      <x:c r="F61" s="15" t="n">
        <x:v>29.684139475407747</x:v>
      </x:c>
      <x:c r="G61" s="1" t="str">
        <x:v>t</x:v>
      </x:c>
      <x:c r="H61" s="17" t="n">
        <x:v>7</x:v>
      </x:c>
      <x:c r="I61" s="17" t="n">
        <x:v>14</x:v>
      </x:c>
      <x:c r="J61" s="17" t="n">
        <x:f>ROUNDUP(F61/H61,0)</x:f>
        <x:v>5</x:v>
      </x:c>
      <x:c r="K61" s="1" t="n">
        <x:f>MAX(L60+0)</x:f>
        <x:v>338</x:v>
      </x:c>
      <x:c r="L61" s="1" t="n">
        <x:f>K61+J61</x:f>
        <x:v>343</x:v>
      </x:c>
      <x:c r="M61" s="1" t="n">
        <x:f>N61-J61</x:f>
        <x:v>398</x:v>
      </x:c>
      <x:c r="N61" s="1" t="n">
        <x:f>MIN(M62-0)</x:f>
        <x:v>403</x:v>
      </x:c>
      <x:c r="O61" s="1" t="n">
        <x:f>M61-K61</x:f>
        <x:v>60</x:v>
      </x:c>
      <x:c r="P61" s="19" t="n">
        <x:f>INDEX('Calendar'!$C$8:$C$907,K61+1)</x:f>
        <x:v>46722</x:v>
      </x:c>
      <x:c r="Q61" s="19" t="n">
        <x:f>INDEX('Calendar'!$C$8:$C$907,MAX(K61+1,L61))</x:f>
        <x:v>46727</x:v>
      </x:c>
      <x:c r="R61" s="15" t="n">
        <x:v>25795.51720412933</x:v>
      </x:c>
      <x:c r="S61" s="15"/>
      <x:c r="T61" s="15" t="n">
        <x:f>R61/J61</x:f>
        <x:v>5159.103440825866</x:v>
      </x:c>
    </x:row>
    <x:row r="62" ht="23" customHeight="1">
      <x:c r="A62" s="6" t="str">
        <x:v>T1-L11-C</x:v>
      </x:c>
      <x:c r="B62" s="6" t="str">
        <x:v>T1</x:v>
      </x:c>
      <x:c r="C62" s="6" t="str">
        <x:v>L11</x:v>
      </x:c>
      <x:c r="D62" s="6" t="str">
        <x:v>Concrete placement and finishing</x:v>
      </x:c>
      <x:c r="E62" s="6" t="str">
        <x:v>Concrete</x:v>
      </x:c>
      <x:c r="F62" s="14" t="n">
        <x:v>226.70819999999958</x:v>
      </x:c>
      <x:c r="G62" s="6" t="str">
        <x:v>m3</x:v>
      </x:c>
      <x:c r="H62" s="16" t="n">
        <x:v>170</x:v>
      </x:c>
      <x:c r="I62" s="16" t="n">
        <x:v>12</x:v>
      </x:c>
      <x:c r="J62" s="16" t="n">
        <x:f>ROUNDUP(F62/H62,0)</x:f>
        <x:v>2</x:v>
      </x:c>
      <x:c r="K62" s="6" t="n">
        <x:f>MAX(L61+0)</x:f>
        <x:v>343</x:v>
      </x:c>
      <x:c r="L62" s="6" t="n">
        <x:f>K62+J62</x:f>
        <x:v>345</x:v>
      </x:c>
      <x:c r="M62" s="6" t="n">
        <x:f>N62-J62</x:f>
        <x:v>403</x:v>
      </x:c>
      <x:c r="N62" s="6" t="n">
        <x:f>MIN(M63-0)</x:f>
        <x:v>405</x:v>
      </x:c>
      <x:c r="O62" s="6" t="n">
        <x:f>M62-K62</x:f>
        <x:v>60</x:v>
      </x:c>
      <x:c r="P62" s="18" t="n">
        <x:f>INDEX('Calendar'!$C$8:$C$907,K62+1)</x:f>
        <x:v>46728</x:v>
      </x:c>
      <x:c r="Q62" s="18" t="n">
        <x:f>INDEX('Calendar'!$C$8:$C$907,MAX(K62+1,L62))</x:f>
        <x:v>46729</x:v>
      </x:c>
      <x:c r="R62" s="14" t="n">
        <x:v>33527.39699999994</x:v>
      </x:c>
      <x:c r="S62" s="14"/>
      <x:c r="T62" s="14" t="n">
        <x:f>R62/J62</x:f>
        <x:v>16763.69849999997</x:v>
      </x:c>
    </x:row>
    <x:row r="63" ht="23" customHeight="1">
      <x:c r="A63" s="1" t="str">
        <x:v>T1-L11-H</x:v>
      </x:c>
      <x:c r="B63" s="1" t="str">
        <x:v>T1</x:v>
      </x:c>
      <x:c r="C63" s="1" t="str">
        <x:v>L11</x:v>
      </x:c>
      <x:c r="D63" s="1" t="str">
        <x:v>Curing and release hold point</x:v>
      </x:c>
      <x:c r="E63" s="1" t="str">
        <x:v>Site</x:v>
      </x:c>
      <x:c r="F63" s="15" t="n">
        <x:v>1</x:v>
      </x:c>
      <x:c r="G63" s="1" t="str">
        <x:v>hold</x:v>
      </x:c>
      <x:c r="H63" s="17" t="n">
        <x:v>1</x:v>
      </x:c>
      <x:c r="I63" s="17" t="n">
        <x:v>0</x:v>
      </x:c>
      <x:c r="J63" s="17" t="n">
        <x:f>S63</x:f>
        <x:v>5</x:v>
      </x:c>
      <x:c r="K63" s="1" t="n">
        <x:f>MAX(L62+0)</x:f>
        <x:v>345</x:v>
      </x:c>
      <x:c r="L63" s="1" t="n">
        <x:f>K63+J63</x:f>
        <x:v>350</x:v>
      </x:c>
      <x:c r="M63" s="1" t="n">
        <x:f>N63-J63</x:f>
        <x:v>405</x:v>
      </x:c>
      <x:c r="N63" s="1" t="n">
        <x:f>MIN(M64-0,M119-5)</x:f>
        <x:v>410</x:v>
      </x:c>
      <x:c r="O63" s="1" t="n">
        <x:f>M63-K63</x:f>
        <x:v>60</x:v>
      </x:c>
      <x:c r="P63" s="19" t="n">
        <x:f>INDEX('Calendar'!$C$8:$C$907,K63+1)</x:f>
        <x:v>46730</x:v>
      </x:c>
      <x:c r="Q63" s="19" t="n">
        <x:f>INDEX('Calendar'!$C$8:$C$907,MAX(K63+1,L63))</x:f>
        <x:v>46735</x:v>
      </x:c>
      <x:c r="R63" s="15" t="n">
        <x:v>0</x:v>
      </x:c>
      <x:c r="S63" s="15" t="n">
        <x:v>5</x:v>
      </x:c>
      <x:c r="T63" s="15" t="n">
        <x:f>R63/J63</x:f>
        <x:v>0</x:v>
      </x:c>
    </x:row>
    <x:row r="64" ht="23" customHeight="1">
      <x:c r="A64" s="6" t="str">
        <x:v>T1-L12-F</x:v>
      </x:c>
      <x:c r="B64" s="6" t="str">
        <x:v>T1</x:v>
      </x:c>
      <x:c r="C64" s="6" t="str">
        <x:v>L12</x:v>
      </x:c>
      <x:c r="D64" s="6" t="str">
        <x:v>Columns, core and deck formwork</x:v>
      </x:c>
      <x:c r="E64" s="6" t="str">
        <x:v>Formwork</x:v>
      </x:c>
      <x:c r="F64" s="14" t="n">
        <x:v>1222.6600000000005</x:v>
      </x:c>
      <x:c r="G64" s="6" t="str">
        <x:v>m2</x:v>
      </x:c>
      <x:c r="H64" s="16" t="n">
        <x:v>220</x:v>
      </x:c>
      <x:c r="I64" s="16" t="n">
        <x:v>18</x:v>
      </x:c>
      <x:c r="J64" s="16" t="n">
        <x:f>ROUNDUP(F64/H64,0)</x:f>
        <x:v>6</x:v>
      </x:c>
      <x:c r="K64" s="6" t="n">
        <x:f>MAX(L63+0)</x:f>
        <x:v>350</x:v>
      </x:c>
      <x:c r="L64" s="6" t="n">
        <x:f>K64+J64</x:f>
        <x:v>356</x:v>
      </x:c>
      <x:c r="M64" s="6" t="n">
        <x:f>N64-J64</x:f>
        <x:v>410</x:v>
      </x:c>
      <x:c r="N64" s="6" t="n">
        <x:f>MIN(M65-0)</x:f>
        <x:v>416</x:v>
      </x:c>
      <x:c r="O64" s="6" t="n">
        <x:f>M64-K64</x:f>
        <x:v>60</x:v>
      </x:c>
      <x:c r="P64" s="18" t="n">
        <x:f>INDEX('Calendar'!$C$8:$C$907,K64+1)</x:f>
        <x:v>46736</x:v>
      </x:c>
      <x:c r="Q64" s="18" t="n">
        <x:f>INDEX('Calendar'!$C$8:$C$907,MAX(K64+1,L64))</x:f>
        <x:v>46742</x:v>
      </x:c>
      <x:c r="R64" s="14" t="n">
        <x:v>29364.320000000007</x:v>
      </x:c>
      <x:c r="S64" s="14"/>
      <x:c r="T64" s="14" t="n">
        <x:f>R64/J64</x:f>
        <x:v>4894.053333333334</x:v>
      </x:c>
    </x:row>
    <x:row r="65" ht="23" customHeight="1">
      <x:c r="A65" s="1" t="str">
        <x:v>T1-L12-R</x:v>
      </x:c>
      <x:c r="B65" s="1" t="str">
        <x:v>T1</x:v>
      </x:c>
      <x:c r="C65" s="1" t="str">
        <x:v>L12</x:v>
      </x:c>
      <x:c r="D65" s="1" t="str">
        <x:v>Column, wall, beam and slab reinforcement</x:v>
      </x:c>
      <x:c r="E65" s="1" t="str">
        <x:v>Rebar</x:v>
      </x:c>
      <x:c r="F65" s="15" t="n">
        <x:v>29.684139475407747</x:v>
      </x:c>
      <x:c r="G65" s="1" t="str">
        <x:v>t</x:v>
      </x:c>
      <x:c r="H65" s="17" t="n">
        <x:v>7</x:v>
      </x:c>
      <x:c r="I65" s="17" t="n">
        <x:v>14</x:v>
      </x:c>
      <x:c r="J65" s="17" t="n">
        <x:f>ROUNDUP(F65/H65,0)</x:f>
        <x:v>5</x:v>
      </x:c>
      <x:c r="K65" s="1" t="n">
        <x:f>MAX(L64+0)</x:f>
        <x:v>356</x:v>
      </x:c>
      <x:c r="L65" s="1" t="n">
        <x:f>K65+J65</x:f>
        <x:v>361</x:v>
      </x:c>
      <x:c r="M65" s="1" t="n">
        <x:f>N65-J65</x:f>
        <x:v>416</x:v>
      </x:c>
      <x:c r="N65" s="1" t="n">
        <x:f>MIN(M66-0)</x:f>
        <x:v>421</x:v>
      </x:c>
      <x:c r="O65" s="1" t="n">
        <x:f>M65-K65</x:f>
        <x:v>60</x:v>
      </x:c>
      <x:c r="P65" s="19" t="n">
        <x:f>INDEX('Calendar'!$C$8:$C$907,K65+1)</x:f>
        <x:v>46743</x:v>
      </x:c>
      <x:c r="Q65" s="19" t="n">
        <x:f>INDEX('Calendar'!$C$8:$C$907,MAX(K65+1,L65))</x:f>
        <x:v>46748</x:v>
      </x:c>
      <x:c r="R65" s="15" t="n">
        <x:v>25795.51720412933</x:v>
      </x:c>
      <x:c r="S65" s="15"/>
      <x:c r="T65" s="15" t="n">
        <x:f>R65/J65</x:f>
        <x:v>5159.103440825866</x:v>
      </x:c>
    </x:row>
    <x:row r="66" ht="23" customHeight="1">
      <x:c r="A66" s="6" t="str">
        <x:v>T1-L12-C</x:v>
      </x:c>
      <x:c r="B66" s="6" t="str">
        <x:v>T1</x:v>
      </x:c>
      <x:c r="C66" s="6" t="str">
        <x:v>L12</x:v>
      </x:c>
      <x:c r="D66" s="6" t="str">
        <x:v>Concrete placement and finishing</x:v>
      </x:c>
      <x:c r="E66" s="6" t="str">
        <x:v>Concrete</x:v>
      </x:c>
      <x:c r="F66" s="14" t="n">
        <x:v>226.70819999999958</x:v>
      </x:c>
      <x:c r="G66" s="6" t="str">
        <x:v>m3</x:v>
      </x:c>
      <x:c r="H66" s="16" t="n">
        <x:v>170</x:v>
      </x:c>
      <x:c r="I66" s="16" t="n">
        <x:v>12</x:v>
      </x:c>
      <x:c r="J66" s="16" t="n">
        <x:f>ROUNDUP(F66/H66,0)</x:f>
        <x:v>2</x:v>
      </x:c>
      <x:c r="K66" s="6" t="n">
        <x:f>MAX(L65+0)</x:f>
        <x:v>361</x:v>
      </x:c>
      <x:c r="L66" s="6" t="n">
        <x:f>K66+J66</x:f>
        <x:v>363</x:v>
      </x:c>
      <x:c r="M66" s="6" t="n">
        <x:f>N66-J66</x:f>
        <x:v>421</x:v>
      </x:c>
      <x:c r="N66" s="6" t="n">
        <x:f>MIN(M67-0)</x:f>
        <x:v>423</x:v>
      </x:c>
      <x:c r="O66" s="6" t="n">
        <x:f>M66-K66</x:f>
        <x:v>60</x:v>
      </x:c>
      <x:c r="P66" s="18" t="n">
        <x:f>INDEX('Calendar'!$C$8:$C$907,K66+1)</x:f>
        <x:v>46749</x:v>
      </x:c>
      <x:c r="Q66" s="18" t="n">
        <x:f>INDEX('Calendar'!$C$8:$C$907,MAX(K66+1,L66))</x:f>
        <x:v>46750</x:v>
      </x:c>
      <x:c r="R66" s="14" t="n">
        <x:v>33527.39699999994</x:v>
      </x:c>
      <x:c r="S66" s="14"/>
      <x:c r="T66" s="14" t="n">
        <x:f>R66/J66</x:f>
        <x:v>16763.69849999997</x:v>
      </x:c>
    </x:row>
    <x:row r="67" ht="23" customHeight="1">
      <x:c r="A67" s="1" t="str">
        <x:v>T1-L12-H</x:v>
      </x:c>
      <x:c r="B67" s="1" t="str">
        <x:v>T1</x:v>
      </x:c>
      <x:c r="C67" s="1" t="str">
        <x:v>L12</x:v>
      </x:c>
      <x:c r="D67" s="1" t="str">
        <x:v>Curing and release hold point</x:v>
      </x:c>
      <x:c r="E67" s="1" t="str">
        <x:v>Site</x:v>
      </x:c>
      <x:c r="F67" s="15" t="n">
        <x:v>1</x:v>
      </x:c>
      <x:c r="G67" s="1" t="str">
        <x:v>hold</x:v>
      </x:c>
      <x:c r="H67" s="17" t="n">
        <x:v>1</x:v>
      </x:c>
      <x:c r="I67" s="17" t="n">
        <x:v>0</x:v>
      </x:c>
      <x:c r="J67" s="17" t="n">
        <x:f>S67</x:f>
        <x:v>5</x:v>
      </x:c>
      <x:c r="K67" s="1" t="n">
        <x:f>MAX(L66+0)</x:f>
        <x:v>363</x:v>
      </x:c>
      <x:c r="L67" s="1" t="n">
        <x:f>K67+J67</x:f>
        <x:v>368</x:v>
      </x:c>
      <x:c r="M67" s="1" t="n">
        <x:f>N67-J67</x:f>
        <x:v>423</x:v>
      </x:c>
      <x:c r="N67" s="1" t="n">
        <x:f>MIN(M68-5,M125-5,M131-5,M137-5,M143-5)</x:f>
        <x:v>428</x:v>
      </x:c>
      <x:c r="O67" s="1" t="n">
        <x:f>M67-K67</x:f>
        <x:v>60</x:v>
      </x:c>
      <x:c r="P67" s="19" t="n">
        <x:f>INDEX('Calendar'!$C$8:$C$907,K67+1)</x:f>
        <x:v>46751</x:v>
      </x:c>
      <x:c r="Q67" s="19" t="n">
        <x:f>INDEX('Calendar'!$C$8:$C$907,MAX(K67+1,L67))</x:f>
        <x:v>46756</x:v>
      </x:c>
      <x:c r="R67" s="15" t="n">
        <x:v>0</x:v>
      </x:c>
      <x:c r="S67" s="15" t="n">
        <x:v>5</x:v>
      </x:c>
      <x:c r="T67" s="15" t="n">
        <x:f>R67/J67</x:f>
        <x:v>0</x:v>
      </x:c>
    </x:row>
    <x:row r="68" ht="23" customHeight="1">
      <x:c r="A68" s="6" t="str">
        <x:v>T1-RF</x:v>
      </x:c>
      <x:c r="B68" s="6" t="str">
        <x:v>T1</x:v>
      </x:c>
      <x:c r="C68" s="6" t="str">
        <x:v>ROOF</x:v>
      </x:c>
      <x:c r="D68" s="6" t="str">
        <x:v>Roof membrane and weatherproofing</x:v>
      </x:c>
      <x:c r="E68" s="6" t="str">
        <x:v>Envelope</x:v>
      </x:c>
      <x:c r="F68" s="14" t="n">
        <x:v>2400</x:v>
      </x:c>
      <x:c r="G68" s="6" t="str">
        <x:v>m2</x:v>
      </x:c>
      <x:c r="H68" s="16" t="n">
        <x:v>180</x:v>
      </x:c>
      <x:c r="I68" s="16" t="n">
        <x:v>10</x:v>
      </x:c>
      <x:c r="J68" s="16" t="n">
        <x:f>ROUNDUP(F68/H68,0)</x:f>
        <x:v>14</x:v>
      </x:c>
      <x:c r="K68" s="6" t="n">
        <x:f>MAX(L67+5)</x:f>
        <x:v>373</x:v>
      </x:c>
      <x:c r="L68" s="6" t="n">
        <x:f>K68+J68</x:f>
        <x:v>387</x:v>
      </x:c>
      <x:c r="M68" s="6" t="n">
        <x:f>N68-J68</x:f>
        <x:v>438</x:v>
      </x:c>
      <x:c r="N68" s="6" t="n">
        <x:f>MIN(M70-0)</x:f>
        <x:v>452</x:v>
      </x:c>
      <x:c r="O68" s="6" t="n">
        <x:f>M68-K68</x:f>
        <x:v>65</x:v>
      </x:c>
      <x:c r="P68" s="18" t="n">
        <x:f>INDEX('Calendar'!$C$8:$C$907,K68+1)</x:f>
        <x:v>46763</x:v>
      </x:c>
      <x:c r="Q68" s="18" t="n">
        <x:f>INDEX('Calendar'!$C$8:$C$907,MAX(K68+1,L68))</x:f>
        <x:v>46778</x:v>
      </x:c>
      <x:c r="R68" s="14" t="n">
        <x:v>48000</x:v>
      </x:c>
      <x:c r="S68" s="14"/>
      <x:c r="T68" s="14" t="n">
        <x:f>R68/J68</x:f>
        <x:v>3428.5714285714284</x:v>
      </x:c>
    </x:row>
    <x:row r="69" ht="23" customHeight="1">
      <x:c r="A69" s="1" t="str">
        <x:v>T1-FA</x:v>
      </x:c>
      <x:c r="B69" s="1" t="str">
        <x:v>T1</x:v>
      </x:c>
      <x:c r="C69" s="1" t="str">
        <x:v>ALL</x:v>
      </x:c>
      <x:c r="D69" s="1" t="str">
        <x:v>Insulated facade installation</x:v>
      </x:c>
      <x:c r="E69" s="1" t="str">
        <x:v>Envelope</x:v>
      </x:c>
      <x:c r="F69" s="15" t="n">
        <x:v>3234.8159999999993</x:v>
      </x:c>
      <x:c r="G69" s="1" t="str">
        <x:v>m2</x:v>
      </x:c>
      <x:c r="H69" s="17" t="n">
        <x:v>150</x:v>
      </x:c>
      <x:c r="I69" s="17" t="n">
        <x:v>16</x:v>
      </x:c>
      <x:c r="J69" s="17" t="n">
        <x:f>ROUNDUP(F69/H69,0)</x:f>
        <x:v>22</x:v>
      </x:c>
      <x:c r="K69" s="1" t="n">
        <x:f>MAX(L51+10)</x:f>
        <x:v>306</x:v>
      </x:c>
      <x:c r="L69" s="1" t="n">
        <x:f>K69+J69</x:f>
        <x:v>328</x:v>
      </x:c>
      <x:c r="M69" s="1" t="n">
        <x:f>N69-J69</x:f>
        <x:v>430</x:v>
      </x:c>
      <x:c r="N69" s="1" t="n">
        <x:f>MIN(M70-0)</x:f>
        <x:v>452</x:v>
      </x:c>
      <x:c r="O69" s="1" t="n">
        <x:f>M69-K69</x:f>
        <x:v>124</x:v>
      </x:c>
      <x:c r="P69" s="19" t="n">
        <x:f>INDEX('Calendar'!$C$8:$C$907,K69+1)</x:f>
        <x:v>46685</x:v>
      </x:c>
      <x:c r="Q69" s="19" t="n">
        <x:f>INDEX('Calendar'!$C$8:$C$907,MAX(K69+1,L69))</x:f>
        <x:v>46709</x:v>
      </x:c>
      <x:c r="R69" s="15" t="n">
        <x:v>271724.54399999994</x:v>
      </x:c>
      <x:c r="S69" s="15"/>
      <x:c r="T69" s="15" t="n">
        <x:f>R69/J69</x:f>
        <x:v>12351.115636363633</x:v>
      </x:c>
    </x:row>
    <x:row r="70" ht="23" customHeight="1">
      <x:c r="A70" s="6" t="str">
        <x:v>T1-GL</x:v>
      </x:c>
      <x:c r="B70" s="6" t="str">
        <x:v>T1</x:v>
      </x:c>
      <x:c r="C70" s="6" t="str">
        <x:v>ALL</x:v>
      </x:c>
      <x:c r="D70" s="6" t="str">
        <x:v>Glazing and frame installation</x:v>
      </x:c>
      <x:c r="E70" s="6" t="str">
        <x:v>Envelope</x:v>
      </x:c>
      <x:c r="F70" s="14" t="n">
        <x:v>1257.9840000000002</x:v>
      </x:c>
      <x:c r="G70" s="6" t="str">
        <x:v>m2</x:v>
      </x:c>
      <x:c r="H70" s="16" t="n">
        <x:v>90</x:v>
      </x:c>
      <x:c r="I70" s="16" t="n">
        <x:v>12</x:v>
      </x:c>
      <x:c r="J70" s="16" t="n">
        <x:f>ROUNDUP(F70/H70,0)</x:f>
        <x:v>14</x:v>
      </x:c>
      <x:c r="K70" s="6" t="n">
        <x:f>MAX(L69+0,L68+0)</x:f>
        <x:v>387</x:v>
      </x:c>
      <x:c r="L70" s="6" t="n">
        <x:f>K70+J70</x:f>
        <x:v>401</x:v>
      </x:c>
      <x:c r="M70" s="6" t="n">
        <x:f>N70-J70</x:f>
        <x:v>452</x:v>
      </x:c>
      <x:c r="N70" s="6" t="n">
        <x:f>MIN(M74-0,M80-0,M86-0,M92-0,M98-0,M104-0,M110-0,M116-0,M122-0,M128-0,M134-0,M140-0,M146-0)</x:f>
        <x:v>466</x:v>
      </x:c>
      <x:c r="O70" s="6" t="n">
        <x:f>M70-K70</x:f>
        <x:v>65</x:v>
      </x:c>
      <x:c r="P70" s="18" t="n">
        <x:f>INDEX('Calendar'!$C$8:$C$907,K70+1)</x:f>
        <x:v>46779</x:v>
      </x:c>
      <x:c r="Q70" s="18" t="n">
        <x:f>INDEX('Calendar'!$C$8:$C$907,MAX(K70+1,L70))</x:f>
        <x:v>46794</x:v>
      </x:c>
      <x:c r="R70" s="14" t="n">
        <x:v>276756.48000000004</x:v>
      </x:c>
      <x:c r="S70" s="14"/>
      <x:c r="T70" s="14" t="n">
        <x:f>R70/J70</x:f>
        <x:v>19768.320000000003</x:v>
      </x:c>
    </x:row>
    <x:row r="71" ht="23" customHeight="1">
      <x:c r="A71" s="1" t="str">
        <x:v>T1-L00-M</x:v>
      </x:c>
      <x:c r="B71" s="1" t="str">
        <x:v>T1</x:v>
      </x:c>
      <x:c r="C71" s="1" t="str">
        <x:v>L00</x:v>
      </x:c>
      <x:c r="D71" s="1" t="str">
        <x:v>Partition masonry</x:v>
      </x:c>
      <x:c r="E71" s="1" t="str">
        <x:v>Masonry</x:v>
      </x:c>
      <x:c r="F71" s="15" t="n">
        <x:v>90.40200000000002</x:v>
      </x:c>
      <x:c r="G71" s="1" t="str">
        <x:v>m3</x:v>
      </x:c>
      <x:c r="H71" s="17" t="n">
        <x:v>22</x:v>
      </x:c>
      <x:c r="I71" s="17" t="n">
        <x:v>10</x:v>
      </x:c>
      <x:c r="J71" s="17" t="n">
        <x:f>ROUNDUP(F71/H71,0)</x:f>
        <x:v>5</x:v>
      </x:c>
      <x:c r="K71" s="1" t="n">
        <x:f>MAX(L31+5)</x:f>
        <x:v>211</x:v>
      </x:c>
      <x:c r="L71" s="1" t="n">
        <x:f>K71+J71</x:f>
        <x:v>216</x:v>
      </x:c>
      <x:c r="M71" s="1" t="n">
        <x:f>N71-J71</x:f>
        <x:v>433</x:v>
      </x:c>
      <x:c r="N71" s="1" t="n">
        <x:f>MIN(M72-3)</x:f>
        <x:v>438</x:v>
      </x:c>
      <x:c r="O71" s="1" t="n">
        <x:f>M71-K71</x:f>
        <x:v>222</x:v>
      </x:c>
      <x:c r="P71" s="19" t="n">
        <x:f>INDEX('Calendar'!$C$8:$C$907,K71+1)</x:f>
        <x:v>46574</x:v>
      </x:c>
      <x:c r="Q71" s="19" t="n">
        <x:f>INDEX('Calendar'!$C$8:$C$907,MAX(K71+1,L71))</x:f>
        <x:v>46578</x:v>
      </x:c>
      <x:c r="R71" s="15" t="n">
        <x:v>12204.27</x:v>
      </x:c>
      <x:c r="S71" s="15"/>
      <x:c r="T71" s="15" t="n">
        <x:f>R71/J71</x:f>
        <x:v>2440.8540000000003</x:v>
      </x:c>
    </x:row>
    <x:row r="72" ht="23" customHeight="1">
      <x:c r="A72" s="6" t="str">
        <x:v>T1-L00-P</x:v>
      </x:c>
      <x:c r="B72" s="6" t="str">
        <x:v>T1</x:v>
      </x:c>
      <x:c r="C72" s="6" t="str">
        <x:v>L00</x:v>
      </x:c>
      <x:c r="D72" s="6" t="str">
        <x:v>Internal plaster</x:v>
      </x:c>
      <x:c r="E72" s="6" t="str">
        <x:v>Finishes</x:v>
      </x:c>
      <x:c r="F72" s="14" t="n">
        <x:v>1205.3600000000006</x:v>
      </x:c>
      <x:c r="G72" s="6" t="str">
        <x:v>m2</x:v>
      </x:c>
      <x:c r="H72" s="16" t="n">
        <x:v>220</x:v>
      </x:c>
      <x:c r="I72" s="16" t="n">
        <x:v>10</x:v>
      </x:c>
      <x:c r="J72" s="16" t="n">
        <x:f>ROUNDUP(F72/H72,0)</x:f>
        <x:v>6</x:v>
      </x:c>
      <x:c r="K72" s="6" t="n">
        <x:f>MAX(L71+3)</x:f>
        <x:v>219</x:v>
      </x:c>
      <x:c r="L72" s="6" t="n">
        <x:f>K72+J72</x:f>
        <x:v>225</x:v>
      </x:c>
      <x:c r="M72" s="6" t="n">
        <x:f>N72-J72</x:f>
        <x:v>441</x:v>
      </x:c>
      <x:c r="N72" s="6" t="n">
        <x:f>MIN(M73-2)</x:f>
        <x:v>447</x:v>
      </x:c>
      <x:c r="O72" s="6" t="n">
        <x:f>M72-K72</x:f>
        <x:v>222</x:v>
      </x:c>
      <x:c r="P72" s="18" t="n">
        <x:f>INDEX('Calendar'!$C$8:$C$907,K72+1)</x:f>
        <x:v>46583</x:v>
      </x:c>
      <x:c r="Q72" s="18" t="n">
        <x:f>INDEX('Calendar'!$C$8:$C$907,MAX(K72+1,L72))</x:f>
        <x:v>46589</x:v>
      </x:c>
      <x:c r="R72" s="14" t="n">
        <x:v>15067.000000000005</x:v>
      </x:c>
      <x:c r="S72" s="14"/>
      <x:c r="T72" s="14" t="n">
        <x:f>R72/J72</x:f>
        <x:v>2511.1666666666674</x:v>
      </x:c>
    </x:row>
    <x:row r="73" ht="23" customHeight="1">
      <x:c r="A73" s="1" t="str">
        <x:v>T1-L00-S</x:v>
      </x:c>
      <x:c r="B73" s="1" t="str">
        <x:v>T1</x:v>
      </x:c>
      <x:c r="C73" s="1" t="str">
        <x:v>L00</x:v>
      </x:c>
      <x:c r="D73" s="1" t="str">
        <x:v>Screed and substrate preparation</x:v>
      </x:c>
      <x:c r="E73" s="1" t="str">
        <x:v>Finishes</x:v>
      </x:c>
      <x:c r="F73" s="15" t="n">
        <x:v>696</x:v>
      </x:c>
      <x:c r="G73" s="1" t="str">
        <x:v>m2</x:v>
      </x:c>
      <x:c r="H73" s="17" t="n">
        <x:v>240</x:v>
      </x:c>
      <x:c r="I73" s="17" t="n">
        <x:v>8</x:v>
      </x:c>
      <x:c r="J73" s="17" t="n">
        <x:f>ROUNDUP(F73/H73,0)</x:f>
        <x:v>3</x:v>
      </x:c>
      <x:c r="K73" s="1" t="n">
        <x:f>MAX(L72+2)</x:f>
        <x:v>227</x:v>
      </x:c>
      <x:c r="L73" s="1" t="n">
        <x:f>K73+J73</x:f>
        <x:v>230</x:v>
      </x:c>
      <x:c r="M73" s="1" t="n">
        <x:f>N73-J73</x:f>
        <x:v>449</x:v>
      </x:c>
      <x:c r="N73" s="1" t="n">
        <x:f>MIN(M74-14)</x:f>
        <x:v>452</x:v>
      </x:c>
      <x:c r="O73" s="1" t="n">
        <x:f>M73-K73</x:f>
        <x:v>222</x:v>
      </x:c>
      <x:c r="P73" s="19" t="n">
        <x:f>INDEX('Calendar'!$C$8:$C$907,K73+1)</x:f>
        <x:v>46592</x:v>
      </x:c>
      <x:c r="Q73" s="19" t="n">
        <x:f>INDEX('Calendar'!$C$8:$C$907,MAX(K73+1,L73))</x:f>
        <x:v>46595</x:v>
      </x:c>
      <x:c r="R73" s="15" t="n">
        <x:v>9048</x:v>
      </x:c>
      <x:c r="S73" s="15"/>
      <x:c r="T73" s="15" t="n">
        <x:f>R73/J73</x:f>
        <x:v>3016</x:v>
      </x:c>
    </x:row>
    <x:row r="74" ht="23" customHeight="1">
      <x:c r="A74" s="6" t="str">
        <x:v>T1-L00-T</x:v>
      </x:c>
      <x:c r="B74" s="6" t="str">
        <x:v>T1</x:v>
      </x:c>
      <x:c r="C74" s="6" t="str">
        <x:v>L00</x:v>
      </x:c>
      <x:c r="D74" s="6" t="str">
        <x:v>Floor finishes and skirtings</x:v>
      </x:c>
      <x:c r="E74" s="6" t="str">
        <x:v>Finishes</x:v>
      </x:c>
      <x:c r="F74" s="14" t="n">
        <x:v>696</x:v>
      </x:c>
      <x:c r="G74" s="6" t="str">
        <x:v>m2</x:v>
      </x:c>
      <x:c r="H74" s="16" t="n">
        <x:v>130</x:v>
      </x:c>
      <x:c r="I74" s="16" t="n">
        <x:v>8</x:v>
      </x:c>
      <x:c r="J74" s="16" t="n">
        <x:f>ROUNDUP(F74/H74,0)</x:f>
        <x:v>6</x:v>
      </x:c>
      <x:c r="K74" s="6" t="n">
        <x:f>MAX(L73+14,L70+0)</x:f>
        <x:v>401</x:v>
      </x:c>
      <x:c r="L74" s="6" t="n">
        <x:f>K74+J74</x:f>
        <x:v>407</x:v>
      </x:c>
      <x:c r="M74" s="6" t="n">
        <x:f>N74-J74</x:f>
        <x:v>466</x:v>
      </x:c>
      <x:c r="N74" s="6" t="n">
        <x:f>MIN(M75-2)</x:f>
        <x:v>472</x:v>
      </x:c>
      <x:c r="O74" s="6" t="n">
        <x:f>M74-K74</x:f>
        <x:v>65</x:v>
      </x:c>
      <x:c r="P74" s="18" t="n">
        <x:f>INDEX('Calendar'!$C$8:$C$907,K74+1)</x:f>
        <x:v>46795</x:v>
      </x:c>
      <x:c r="Q74" s="18" t="n">
        <x:f>INDEX('Calendar'!$C$8:$C$907,MAX(K74+1,L74))</x:f>
        <x:v>46801</x:v>
      </x:c>
      <x:c r="R74" s="14" t="n">
        <x:v>24012</x:v>
      </x:c>
      <x:c r="S74" s="14"/>
      <x:c r="T74" s="14" t="n">
        <x:f>R74/J74</x:f>
        <x:v>4002</x:v>
      </x:c>
    </x:row>
    <x:row r="75" ht="23" customHeight="1">
      <x:c r="A75" s="1" t="str">
        <x:v>T1-L00-A</x:v>
      </x:c>
      <x:c r="B75" s="1" t="str">
        <x:v>T1</x:v>
      </x:c>
      <x:c r="C75" s="1" t="str">
        <x:v>L00</x:v>
      </x:c>
      <x:c r="D75" s="1" t="str">
        <x:v>Paint and final decorations</x:v>
      </x:c>
      <x:c r="E75" s="1" t="str">
        <x:v>Finishes</x:v>
      </x:c>
      <x:c r="F75" s="15" t="n">
        <x:v>1205.3600000000004</x:v>
      </x:c>
      <x:c r="G75" s="1" t="str">
        <x:v>m2</x:v>
      </x:c>
      <x:c r="H75" s="17" t="n">
        <x:v>270</x:v>
      </x:c>
      <x:c r="I75" s="17" t="n">
        <x:v>8</x:v>
      </x:c>
      <x:c r="J75" s="17" t="n">
        <x:f>ROUNDUP(F75/H75,0)</x:f>
        <x:v>5</x:v>
      </x:c>
      <x:c r="K75" s="1" t="n">
        <x:f>MAX(L74+2)</x:f>
        <x:v>409</x:v>
      </x:c>
      <x:c r="L75" s="1" t="n">
        <x:f>K75+J75</x:f>
        <x:v>414</x:v>
      </x:c>
      <x:c r="M75" s="1" t="n">
        <x:f>N75-J75</x:f>
        <x:v>474</x:v>
      </x:c>
      <x:c r="N75" s="1" t="n">
        <x:f>MIN(M76-0)</x:f>
        <x:v>479</x:v>
      </x:c>
      <x:c r="O75" s="1" t="n">
        <x:f>M75-K75</x:f>
        <x:v>65</x:v>
      </x:c>
      <x:c r="P75" s="19" t="n">
        <x:f>INDEX('Calendar'!$C$8:$C$907,K75+1)</x:f>
        <x:v>46805</x:v>
      </x:c>
      <x:c r="Q75" s="19" t="n">
        <x:f>INDEX('Calendar'!$C$8:$C$907,MAX(K75+1,L75))</x:f>
        <x:v>46809</x:v>
      </x:c>
      <x:c r="R75" s="15" t="n">
        <x:v>10245.560000000003</x:v>
      </x:c>
      <x:c r="S75" s="15"/>
      <x:c r="T75" s="15" t="n">
        <x:f>R75/J75</x:f>
        <x:v>2049.1120000000005</x:v>
      </x:c>
    </x:row>
    <x:row r="76" ht="23" customHeight="1">
      <x:c r="A76" s="6" t="str">
        <x:v>T1-L00-D</x:v>
      </x:c>
      <x:c r="B76" s="6" t="str">
        <x:v>T1</x:v>
      </x:c>
      <x:c r="C76" s="6" t="str">
        <x:v>L00</x:v>
      </x:c>
      <x:c r="D76" s="6" t="str">
        <x:v>Door sets and ironmongery</x:v>
      </x:c>
      <x:c r="E76" s="6" t="str">
        <x:v>Finishes</x:v>
      </x:c>
      <x:c r="F76" s="14" t="n">
        <x:v>28</x:v>
      </x:c>
      <x:c r="G76" s="6" t="str">
        <x:v>nr</x:v>
      </x:c>
      <x:c r="H76" s="16" t="n">
        <x:v>10</x:v>
      </x:c>
      <x:c r="I76" s="16" t="n">
        <x:v>4</x:v>
      </x:c>
      <x:c r="J76" s="16" t="n">
        <x:f>ROUNDUP(F76/H76,0)</x:f>
        <x:v>3</x:v>
      </x:c>
      <x:c r="K76" s="6" t="n">
        <x:f>MAX(L75+0)</x:f>
        <x:v>414</x:v>
      </x:c>
      <x:c r="L76" s="6" t="n">
        <x:f>K76+J76</x:f>
        <x:v>417</x:v>
      </x:c>
      <x:c r="M76" s="6" t="n">
        <x:f>N76-J76</x:f>
        <x:v>479</x:v>
      </x:c>
      <x:c r="N76" s="6" t="n">
        <x:f>MIN(M816-0)</x:f>
        <x:v>482</x:v>
      </x:c>
      <x:c r="O76" s="6" t="n">
        <x:f>M76-K76</x:f>
        <x:v>65</x:v>
      </x:c>
      <x:c r="P76" s="18" t="n">
        <x:f>INDEX('Calendar'!$C$8:$C$907,K76+1)</x:f>
        <x:v>46811</x:v>
      </x:c>
      <x:c r="Q76" s="18" t="n">
        <x:f>INDEX('Calendar'!$C$8:$C$907,MAX(K76+1,L76))</x:f>
        <x:v>46813</x:v>
      </x:c>
      <x:c r="R76" s="14" t="n">
        <x:v>5796</x:v>
      </x:c>
      <x:c r="S76" s="14"/>
      <x:c r="T76" s="14" t="n">
        <x:f>R76/J76</x:f>
        <x:v>1932</x:v>
      </x:c>
    </x:row>
    <x:row r="77" ht="23" customHeight="1">
      <x:c r="A77" s="1" t="str">
        <x:v>T1-L01-M</x:v>
      </x:c>
      <x:c r="B77" s="1" t="str">
        <x:v>T1</x:v>
      </x:c>
      <x:c r="C77" s="1" t="str">
        <x:v>L01</x:v>
      </x:c>
      <x:c r="D77" s="1" t="str">
        <x:v>Partition masonry</x:v>
      </x:c>
      <x:c r="E77" s="1" t="str">
        <x:v>Masonry</x:v>
      </x:c>
      <x:c r="F77" s="15" t="n">
        <x:v>90.40200000000002</x:v>
      </x:c>
      <x:c r="G77" s="1" t="str">
        <x:v>m3</x:v>
      </x:c>
      <x:c r="H77" s="17" t="n">
        <x:v>22</x:v>
      </x:c>
      <x:c r="I77" s="17" t="n">
        <x:v>10</x:v>
      </x:c>
      <x:c r="J77" s="17" t="n">
        <x:f>ROUNDUP(F77/H77,0)</x:f>
        <x:v>5</x:v>
      </x:c>
      <x:c r="K77" s="1" t="n">
        <x:f>MAX(L35+5)</x:f>
        <x:v>229</x:v>
      </x:c>
      <x:c r="L77" s="1" t="n">
        <x:f>K77+J77</x:f>
        <x:v>234</x:v>
      </x:c>
      <x:c r="M77" s="1" t="n">
        <x:f>N77-J77</x:f>
        <x:v>433</x:v>
      </x:c>
      <x:c r="N77" s="1" t="n">
        <x:f>MIN(M78-3)</x:f>
        <x:v>438</x:v>
      </x:c>
      <x:c r="O77" s="1" t="n">
        <x:f>M77-K77</x:f>
        <x:v>204</x:v>
      </x:c>
      <x:c r="P77" s="19" t="n">
        <x:f>INDEX('Calendar'!$C$8:$C$907,K77+1)</x:f>
        <x:v>46595</x:v>
      </x:c>
      <x:c r="Q77" s="19" t="n">
        <x:f>INDEX('Calendar'!$C$8:$C$907,MAX(K77+1,L77))</x:f>
        <x:v>46599</x:v>
      </x:c>
      <x:c r="R77" s="15" t="n">
        <x:v>12204.27</x:v>
      </x:c>
      <x:c r="S77" s="15"/>
      <x:c r="T77" s="15" t="n">
        <x:f>R77/J77</x:f>
        <x:v>2440.8540000000003</x:v>
      </x:c>
    </x:row>
    <x:row r="78" ht="23" customHeight="1">
      <x:c r="A78" s="6" t="str">
        <x:v>T1-L01-P</x:v>
      </x:c>
      <x:c r="B78" s="6" t="str">
        <x:v>T1</x:v>
      </x:c>
      <x:c r="C78" s="6" t="str">
        <x:v>L01</x:v>
      </x:c>
      <x:c r="D78" s="6" t="str">
        <x:v>Internal plaster</x:v>
      </x:c>
      <x:c r="E78" s="6" t="str">
        <x:v>Finishes</x:v>
      </x:c>
      <x:c r="F78" s="14" t="n">
        <x:v>1205.3600000000006</x:v>
      </x:c>
      <x:c r="G78" s="6" t="str">
        <x:v>m2</x:v>
      </x:c>
      <x:c r="H78" s="16" t="n">
        <x:v>220</x:v>
      </x:c>
      <x:c r="I78" s="16" t="n">
        <x:v>10</x:v>
      </x:c>
      <x:c r="J78" s="16" t="n">
        <x:f>ROUNDUP(F78/H78,0)</x:f>
        <x:v>6</x:v>
      </x:c>
      <x:c r="K78" s="6" t="n">
        <x:f>MAX(L77+3)</x:f>
        <x:v>237</x:v>
      </x:c>
      <x:c r="L78" s="6" t="n">
        <x:f>K78+J78</x:f>
        <x:v>243</x:v>
      </x:c>
      <x:c r="M78" s="6" t="n">
        <x:f>N78-J78</x:f>
        <x:v>441</x:v>
      </x:c>
      <x:c r="N78" s="6" t="n">
        <x:f>MIN(M79-2)</x:f>
        <x:v>447</x:v>
      </x:c>
      <x:c r="O78" s="6" t="n">
        <x:f>M78-K78</x:f>
        <x:v>204</x:v>
      </x:c>
      <x:c r="P78" s="18" t="n">
        <x:f>INDEX('Calendar'!$C$8:$C$907,K78+1)</x:f>
        <x:v>46604</x:v>
      </x:c>
      <x:c r="Q78" s="18" t="n">
        <x:f>INDEX('Calendar'!$C$8:$C$907,MAX(K78+1,L78))</x:f>
        <x:v>46610</x:v>
      </x:c>
      <x:c r="R78" s="14" t="n">
        <x:v>15067.000000000005</x:v>
      </x:c>
      <x:c r="S78" s="14"/>
      <x:c r="T78" s="14" t="n">
        <x:f>R78/J78</x:f>
        <x:v>2511.1666666666674</x:v>
      </x:c>
    </x:row>
    <x:row r="79" ht="23" customHeight="1">
      <x:c r="A79" s="1" t="str">
        <x:v>T1-L01-S</x:v>
      </x:c>
      <x:c r="B79" s="1" t="str">
        <x:v>T1</x:v>
      </x:c>
      <x:c r="C79" s="1" t="str">
        <x:v>L01</x:v>
      </x:c>
      <x:c r="D79" s="1" t="str">
        <x:v>Screed and substrate preparation</x:v>
      </x:c>
      <x:c r="E79" s="1" t="str">
        <x:v>Finishes</x:v>
      </x:c>
      <x:c r="F79" s="15" t="n">
        <x:v>696</x:v>
      </x:c>
      <x:c r="G79" s="1" t="str">
        <x:v>m2</x:v>
      </x:c>
      <x:c r="H79" s="17" t="n">
        <x:v>240</x:v>
      </x:c>
      <x:c r="I79" s="17" t="n">
        <x:v>8</x:v>
      </x:c>
      <x:c r="J79" s="17" t="n">
        <x:f>ROUNDUP(F79/H79,0)</x:f>
        <x:v>3</x:v>
      </x:c>
      <x:c r="K79" s="1" t="n">
        <x:f>MAX(L78+2)</x:f>
        <x:v>245</x:v>
      </x:c>
      <x:c r="L79" s="1" t="n">
        <x:f>K79+J79</x:f>
        <x:v>248</x:v>
      </x:c>
      <x:c r="M79" s="1" t="n">
        <x:f>N79-J79</x:f>
        <x:v>449</x:v>
      </x:c>
      <x:c r="N79" s="1" t="n">
        <x:f>MIN(M80-14)</x:f>
        <x:v>452</x:v>
      </x:c>
      <x:c r="O79" s="1" t="n">
        <x:f>M79-K79</x:f>
        <x:v>204</x:v>
      </x:c>
      <x:c r="P79" s="19" t="n">
        <x:f>INDEX('Calendar'!$C$8:$C$907,K79+1)</x:f>
        <x:v>46613</x:v>
      </x:c>
      <x:c r="Q79" s="19" t="n">
        <x:f>INDEX('Calendar'!$C$8:$C$907,MAX(K79+1,L79))</x:f>
        <x:v>46616</x:v>
      </x:c>
      <x:c r="R79" s="15" t="n">
        <x:v>9048</x:v>
      </x:c>
      <x:c r="S79" s="15"/>
      <x:c r="T79" s="15" t="n">
        <x:f>R79/J79</x:f>
        <x:v>3016</x:v>
      </x:c>
    </x:row>
    <x:row r="80" ht="23" customHeight="1">
      <x:c r="A80" s="6" t="str">
        <x:v>T1-L01-T</x:v>
      </x:c>
      <x:c r="B80" s="6" t="str">
        <x:v>T1</x:v>
      </x:c>
      <x:c r="C80" s="6" t="str">
        <x:v>L01</x:v>
      </x:c>
      <x:c r="D80" s="6" t="str">
        <x:v>Floor finishes and skirtings</x:v>
      </x:c>
      <x:c r="E80" s="6" t="str">
        <x:v>Finishes</x:v>
      </x:c>
      <x:c r="F80" s="14" t="n">
        <x:v>696</x:v>
      </x:c>
      <x:c r="G80" s="6" t="str">
        <x:v>m2</x:v>
      </x:c>
      <x:c r="H80" s="16" t="n">
        <x:v>130</x:v>
      </x:c>
      <x:c r="I80" s="16" t="n">
        <x:v>8</x:v>
      </x:c>
      <x:c r="J80" s="16" t="n">
        <x:f>ROUNDUP(F80/H80,0)</x:f>
        <x:v>6</x:v>
      </x:c>
      <x:c r="K80" s="6" t="n">
        <x:f>MAX(L79+14,L70+0)</x:f>
        <x:v>401</x:v>
      </x:c>
      <x:c r="L80" s="6" t="n">
        <x:f>K80+J80</x:f>
        <x:v>407</x:v>
      </x:c>
      <x:c r="M80" s="6" t="n">
        <x:f>N80-J80</x:f>
        <x:v>466</x:v>
      </x:c>
      <x:c r="N80" s="6" t="n">
        <x:f>MIN(M81-2)</x:f>
        <x:v>472</x:v>
      </x:c>
      <x:c r="O80" s="6" t="n">
        <x:f>M80-K80</x:f>
        <x:v>65</x:v>
      </x:c>
      <x:c r="P80" s="18" t="n">
        <x:f>INDEX('Calendar'!$C$8:$C$907,K80+1)</x:f>
        <x:v>46795</x:v>
      </x:c>
      <x:c r="Q80" s="18" t="n">
        <x:f>INDEX('Calendar'!$C$8:$C$907,MAX(K80+1,L80))</x:f>
        <x:v>46801</x:v>
      </x:c>
      <x:c r="R80" s="14" t="n">
        <x:v>24012</x:v>
      </x:c>
      <x:c r="S80" s="14"/>
      <x:c r="T80" s="14" t="n">
        <x:f>R80/J80</x:f>
        <x:v>4002</x:v>
      </x:c>
    </x:row>
    <x:row r="81" ht="23" customHeight="1">
      <x:c r="A81" s="1" t="str">
        <x:v>T1-L01-A</x:v>
      </x:c>
      <x:c r="B81" s="1" t="str">
        <x:v>T1</x:v>
      </x:c>
      <x:c r="C81" s="1" t="str">
        <x:v>L01</x:v>
      </x:c>
      <x:c r="D81" s="1" t="str">
        <x:v>Paint and final decorations</x:v>
      </x:c>
      <x:c r="E81" s="1" t="str">
        <x:v>Finishes</x:v>
      </x:c>
      <x:c r="F81" s="15" t="n">
        <x:v>1205.3600000000004</x:v>
      </x:c>
      <x:c r="G81" s="1" t="str">
        <x:v>m2</x:v>
      </x:c>
      <x:c r="H81" s="17" t="n">
        <x:v>270</x:v>
      </x:c>
      <x:c r="I81" s="17" t="n">
        <x:v>8</x:v>
      </x:c>
      <x:c r="J81" s="17" t="n">
        <x:f>ROUNDUP(F81/H81,0)</x:f>
        <x:v>5</x:v>
      </x:c>
      <x:c r="K81" s="1" t="n">
        <x:f>MAX(L80+2)</x:f>
        <x:v>409</x:v>
      </x:c>
      <x:c r="L81" s="1" t="n">
        <x:f>K81+J81</x:f>
        <x:v>414</x:v>
      </x:c>
      <x:c r="M81" s="1" t="n">
        <x:f>N81-J81</x:f>
        <x:v>474</x:v>
      </x:c>
      <x:c r="N81" s="1" t="n">
        <x:f>MIN(M82-0)</x:f>
        <x:v>479</x:v>
      </x:c>
      <x:c r="O81" s="1" t="n">
        <x:f>M81-K81</x:f>
        <x:v>65</x:v>
      </x:c>
      <x:c r="P81" s="19" t="n">
        <x:f>INDEX('Calendar'!$C$8:$C$907,K81+1)</x:f>
        <x:v>46805</x:v>
      </x:c>
      <x:c r="Q81" s="19" t="n">
        <x:f>INDEX('Calendar'!$C$8:$C$907,MAX(K81+1,L81))</x:f>
        <x:v>46809</x:v>
      </x:c>
      <x:c r="R81" s="15" t="n">
        <x:v>10245.560000000003</x:v>
      </x:c>
      <x:c r="S81" s="15"/>
      <x:c r="T81" s="15" t="n">
        <x:f>R81/J81</x:f>
        <x:v>2049.1120000000005</x:v>
      </x:c>
    </x:row>
    <x:row r="82" ht="23" customHeight="1">
      <x:c r="A82" s="6" t="str">
        <x:v>T1-L01-D</x:v>
      </x:c>
      <x:c r="B82" s="6" t="str">
        <x:v>T1</x:v>
      </x:c>
      <x:c r="C82" s="6" t="str">
        <x:v>L01</x:v>
      </x:c>
      <x:c r="D82" s="6" t="str">
        <x:v>Door sets and ironmongery</x:v>
      </x:c>
      <x:c r="E82" s="6" t="str">
        <x:v>Finishes</x:v>
      </x:c>
      <x:c r="F82" s="14" t="n">
        <x:v>28</x:v>
      </x:c>
      <x:c r="G82" s="6" t="str">
        <x:v>nr</x:v>
      </x:c>
      <x:c r="H82" s="16" t="n">
        <x:v>10</x:v>
      </x:c>
      <x:c r="I82" s="16" t="n">
        <x:v>4</x:v>
      </x:c>
      <x:c r="J82" s="16" t="n">
        <x:f>ROUNDUP(F82/H82,0)</x:f>
        <x:v>3</x:v>
      </x:c>
      <x:c r="K82" s="6" t="n">
        <x:f>MAX(L81+0)</x:f>
        <x:v>414</x:v>
      </x:c>
      <x:c r="L82" s="6" t="n">
        <x:f>K82+J82</x:f>
        <x:v>417</x:v>
      </x:c>
      <x:c r="M82" s="6" t="n">
        <x:f>N82-J82</x:f>
        <x:v>479</x:v>
      </x:c>
      <x:c r="N82" s="6" t="n">
        <x:f>MIN(M816-0)</x:f>
        <x:v>482</x:v>
      </x:c>
      <x:c r="O82" s="6" t="n">
        <x:f>M82-K82</x:f>
        <x:v>65</x:v>
      </x:c>
      <x:c r="P82" s="18" t="n">
        <x:f>INDEX('Calendar'!$C$8:$C$907,K82+1)</x:f>
        <x:v>46811</x:v>
      </x:c>
      <x:c r="Q82" s="18" t="n">
        <x:f>INDEX('Calendar'!$C$8:$C$907,MAX(K82+1,L82))</x:f>
        <x:v>46813</x:v>
      </x:c>
      <x:c r="R82" s="14" t="n">
        <x:v>5796</x:v>
      </x:c>
      <x:c r="S82" s="14"/>
      <x:c r="T82" s="14" t="n">
        <x:f>R82/J82</x:f>
        <x:v>1932</x:v>
      </x:c>
    </x:row>
    <x:row r="83" ht="23" customHeight="1">
      <x:c r="A83" s="1" t="str">
        <x:v>T1-L02-M</x:v>
      </x:c>
      <x:c r="B83" s="1" t="str">
        <x:v>T1</x:v>
      </x:c>
      <x:c r="C83" s="1" t="str">
        <x:v>L02</x:v>
      </x:c>
      <x:c r="D83" s="1" t="str">
        <x:v>Partition masonry</x:v>
      </x:c>
      <x:c r="E83" s="1" t="str">
        <x:v>Masonry</x:v>
      </x:c>
      <x:c r="F83" s="15" t="n">
        <x:v>90.40200000000002</x:v>
      </x:c>
      <x:c r="G83" s="1" t="str">
        <x:v>m3</x:v>
      </x:c>
      <x:c r="H83" s="17" t="n">
        <x:v>22</x:v>
      </x:c>
      <x:c r="I83" s="17" t="n">
        <x:v>10</x:v>
      </x:c>
      <x:c r="J83" s="17" t="n">
        <x:f>ROUNDUP(F83/H83,0)</x:f>
        <x:v>5</x:v>
      </x:c>
      <x:c r="K83" s="1" t="n">
        <x:f>MAX(L39+5)</x:f>
        <x:v>247</x:v>
      </x:c>
      <x:c r="L83" s="1" t="n">
        <x:f>K83+J83</x:f>
        <x:v>252</x:v>
      </x:c>
      <x:c r="M83" s="1" t="n">
        <x:f>N83-J83</x:f>
        <x:v>433</x:v>
      </x:c>
      <x:c r="N83" s="1" t="n">
        <x:f>MIN(M84-3)</x:f>
        <x:v>438</x:v>
      </x:c>
      <x:c r="O83" s="1" t="n">
        <x:f>M83-K83</x:f>
        <x:v>186</x:v>
      </x:c>
      <x:c r="P83" s="19" t="n">
        <x:f>INDEX('Calendar'!$C$8:$C$907,K83+1)</x:f>
        <x:v>46616</x:v>
      </x:c>
      <x:c r="Q83" s="19" t="n">
        <x:f>INDEX('Calendar'!$C$8:$C$907,MAX(K83+1,L83))</x:f>
        <x:v>46620</x:v>
      </x:c>
      <x:c r="R83" s="15" t="n">
        <x:v>12204.27</x:v>
      </x:c>
      <x:c r="S83" s="15"/>
      <x:c r="T83" s="15" t="n">
        <x:f>R83/J83</x:f>
        <x:v>2440.8540000000003</x:v>
      </x:c>
    </x:row>
    <x:row r="84" ht="23" customHeight="1">
      <x:c r="A84" s="6" t="str">
        <x:v>T1-L02-P</x:v>
      </x:c>
      <x:c r="B84" s="6" t="str">
        <x:v>T1</x:v>
      </x:c>
      <x:c r="C84" s="6" t="str">
        <x:v>L02</x:v>
      </x:c>
      <x:c r="D84" s="6" t="str">
        <x:v>Internal plaster</x:v>
      </x:c>
      <x:c r="E84" s="6" t="str">
        <x:v>Finishes</x:v>
      </x:c>
      <x:c r="F84" s="14" t="n">
        <x:v>1205.3600000000006</x:v>
      </x:c>
      <x:c r="G84" s="6" t="str">
        <x:v>m2</x:v>
      </x:c>
      <x:c r="H84" s="16" t="n">
        <x:v>220</x:v>
      </x:c>
      <x:c r="I84" s="16" t="n">
        <x:v>10</x:v>
      </x:c>
      <x:c r="J84" s="16" t="n">
        <x:f>ROUNDUP(F84/H84,0)</x:f>
        <x:v>6</x:v>
      </x:c>
      <x:c r="K84" s="6" t="n">
        <x:f>MAX(L83+3)</x:f>
        <x:v>255</x:v>
      </x:c>
      <x:c r="L84" s="6" t="n">
        <x:f>K84+J84</x:f>
        <x:v>261</x:v>
      </x:c>
      <x:c r="M84" s="6" t="n">
        <x:f>N84-J84</x:f>
        <x:v>441</x:v>
      </x:c>
      <x:c r="N84" s="6" t="n">
        <x:f>MIN(M85-2)</x:f>
        <x:v>447</x:v>
      </x:c>
      <x:c r="O84" s="6" t="n">
        <x:f>M84-K84</x:f>
        <x:v>186</x:v>
      </x:c>
      <x:c r="P84" s="18" t="n">
        <x:f>INDEX('Calendar'!$C$8:$C$907,K84+1)</x:f>
        <x:v>46625</x:v>
      </x:c>
      <x:c r="Q84" s="18" t="n">
        <x:f>INDEX('Calendar'!$C$8:$C$907,MAX(K84+1,L84))</x:f>
        <x:v>46631</x:v>
      </x:c>
      <x:c r="R84" s="14" t="n">
        <x:v>15067.000000000005</x:v>
      </x:c>
      <x:c r="S84" s="14"/>
      <x:c r="T84" s="14" t="n">
        <x:f>R84/J84</x:f>
        <x:v>2511.1666666666674</x:v>
      </x:c>
    </x:row>
    <x:row r="85" ht="23" customHeight="1">
      <x:c r="A85" s="1" t="str">
        <x:v>T1-L02-S</x:v>
      </x:c>
      <x:c r="B85" s="1" t="str">
        <x:v>T1</x:v>
      </x:c>
      <x:c r="C85" s="1" t="str">
        <x:v>L02</x:v>
      </x:c>
      <x:c r="D85" s="1" t="str">
        <x:v>Screed and substrate preparation</x:v>
      </x:c>
      <x:c r="E85" s="1" t="str">
        <x:v>Finishes</x:v>
      </x:c>
      <x:c r="F85" s="15" t="n">
        <x:v>696</x:v>
      </x:c>
      <x:c r="G85" s="1" t="str">
        <x:v>m2</x:v>
      </x:c>
      <x:c r="H85" s="17" t="n">
        <x:v>240</x:v>
      </x:c>
      <x:c r="I85" s="17" t="n">
        <x:v>8</x:v>
      </x:c>
      <x:c r="J85" s="17" t="n">
        <x:f>ROUNDUP(F85/H85,0)</x:f>
        <x:v>3</x:v>
      </x:c>
      <x:c r="K85" s="1" t="n">
        <x:f>MAX(L84+2)</x:f>
        <x:v>263</x:v>
      </x:c>
      <x:c r="L85" s="1" t="n">
        <x:f>K85+J85</x:f>
        <x:v>266</x:v>
      </x:c>
      <x:c r="M85" s="1" t="n">
        <x:f>N85-J85</x:f>
        <x:v>449</x:v>
      </x:c>
      <x:c r="N85" s="1" t="n">
        <x:f>MIN(M86-14)</x:f>
        <x:v>452</x:v>
      </x:c>
      <x:c r="O85" s="1" t="n">
        <x:f>M85-K85</x:f>
        <x:v>186</x:v>
      </x:c>
      <x:c r="P85" s="19" t="n">
        <x:f>INDEX('Calendar'!$C$8:$C$907,K85+1)</x:f>
        <x:v>46634</x:v>
      </x:c>
      <x:c r="Q85" s="19" t="n">
        <x:f>INDEX('Calendar'!$C$8:$C$907,MAX(K85+1,L85))</x:f>
        <x:v>46637</x:v>
      </x:c>
      <x:c r="R85" s="15" t="n">
        <x:v>9048</x:v>
      </x:c>
      <x:c r="S85" s="15"/>
      <x:c r="T85" s="15" t="n">
        <x:f>R85/J85</x:f>
        <x:v>3016</x:v>
      </x:c>
    </x:row>
    <x:row r="86" ht="23" customHeight="1">
      <x:c r="A86" s="6" t="str">
        <x:v>T1-L02-T</x:v>
      </x:c>
      <x:c r="B86" s="6" t="str">
        <x:v>T1</x:v>
      </x:c>
      <x:c r="C86" s="6" t="str">
        <x:v>L02</x:v>
      </x:c>
      <x:c r="D86" s="6" t="str">
        <x:v>Floor finishes and skirtings</x:v>
      </x:c>
      <x:c r="E86" s="6" t="str">
        <x:v>Finishes</x:v>
      </x:c>
      <x:c r="F86" s="14" t="n">
        <x:v>696</x:v>
      </x:c>
      <x:c r="G86" s="6" t="str">
        <x:v>m2</x:v>
      </x:c>
      <x:c r="H86" s="16" t="n">
        <x:v>130</x:v>
      </x:c>
      <x:c r="I86" s="16" t="n">
        <x:v>8</x:v>
      </x:c>
      <x:c r="J86" s="16" t="n">
        <x:f>ROUNDUP(F86/H86,0)</x:f>
        <x:v>6</x:v>
      </x:c>
      <x:c r="K86" s="6" t="n">
        <x:f>MAX(L85+14,L70+0)</x:f>
        <x:v>401</x:v>
      </x:c>
      <x:c r="L86" s="6" t="n">
        <x:f>K86+J86</x:f>
        <x:v>407</x:v>
      </x:c>
      <x:c r="M86" s="6" t="n">
        <x:f>N86-J86</x:f>
        <x:v>466</x:v>
      </x:c>
      <x:c r="N86" s="6" t="n">
        <x:f>MIN(M87-2)</x:f>
        <x:v>472</x:v>
      </x:c>
      <x:c r="O86" s="6" t="n">
        <x:f>M86-K86</x:f>
        <x:v>65</x:v>
      </x:c>
      <x:c r="P86" s="18" t="n">
        <x:f>INDEX('Calendar'!$C$8:$C$907,K86+1)</x:f>
        <x:v>46795</x:v>
      </x:c>
      <x:c r="Q86" s="18" t="n">
        <x:f>INDEX('Calendar'!$C$8:$C$907,MAX(K86+1,L86))</x:f>
        <x:v>46801</x:v>
      </x:c>
      <x:c r="R86" s="14" t="n">
        <x:v>24012</x:v>
      </x:c>
      <x:c r="S86" s="14"/>
      <x:c r="T86" s="14" t="n">
        <x:f>R86/J86</x:f>
        <x:v>4002</x:v>
      </x:c>
    </x:row>
    <x:row r="87" ht="23" customHeight="1">
      <x:c r="A87" s="1" t="str">
        <x:v>T1-L02-A</x:v>
      </x:c>
      <x:c r="B87" s="1" t="str">
        <x:v>T1</x:v>
      </x:c>
      <x:c r="C87" s="1" t="str">
        <x:v>L02</x:v>
      </x:c>
      <x:c r="D87" s="1" t="str">
        <x:v>Paint and final decorations</x:v>
      </x:c>
      <x:c r="E87" s="1" t="str">
        <x:v>Finishes</x:v>
      </x:c>
      <x:c r="F87" s="15" t="n">
        <x:v>1205.3600000000004</x:v>
      </x:c>
      <x:c r="G87" s="1" t="str">
        <x:v>m2</x:v>
      </x:c>
      <x:c r="H87" s="17" t="n">
        <x:v>270</x:v>
      </x:c>
      <x:c r="I87" s="17" t="n">
        <x:v>8</x:v>
      </x:c>
      <x:c r="J87" s="17" t="n">
        <x:f>ROUNDUP(F87/H87,0)</x:f>
        <x:v>5</x:v>
      </x:c>
      <x:c r="K87" s="1" t="n">
        <x:f>MAX(L86+2)</x:f>
        <x:v>409</x:v>
      </x:c>
      <x:c r="L87" s="1" t="n">
        <x:f>K87+J87</x:f>
        <x:v>414</x:v>
      </x:c>
      <x:c r="M87" s="1" t="n">
        <x:f>N87-J87</x:f>
        <x:v>474</x:v>
      </x:c>
      <x:c r="N87" s="1" t="n">
        <x:f>MIN(M88-0)</x:f>
        <x:v>479</x:v>
      </x:c>
      <x:c r="O87" s="1" t="n">
        <x:f>M87-K87</x:f>
        <x:v>65</x:v>
      </x:c>
      <x:c r="P87" s="19" t="n">
        <x:f>INDEX('Calendar'!$C$8:$C$907,K87+1)</x:f>
        <x:v>46805</x:v>
      </x:c>
      <x:c r="Q87" s="19" t="n">
        <x:f>INDEX('Calendar'!$C$8:$C$907,MAX(K87+1,L87))</x:f>
        <x:v>46809</x:v>
      </x:c>
      <x:c r="R87" s="15" t="n">
        <x:v>10245.560000000003</x:v>
      </x:c>
      <x:c r="S87" s="15"/>
      <x:c r="T87" s="15" t="n">
        <x:f>R87/J87</x:f>
        <x:v>2049.1120000000005</x:v>
      </x:c>
    </x:row>
    <x:row r="88" ht="23" customHeight="1">
      <x:c r="A88" s="6" t="str">
        <x:v>T1-L02-D</x:v>
      </x:c>
      <x:c r="B88" s="6" t="str">
        <x:v>T1</x:v>
      </x:c>
      <x:c r="C88" s="6" t="str">
        <x:v>L02</x:v>
      </x:c>
      <x:c r="D88" s="6" t="str">
        <x:v>Door sets and ironmongery</x:v>
      </x:c>
      <x:c r="E88" s="6" t="str">
        <x:v>Finishes</x:v>
      </x:c>
      <x:c r="F88" s="14" t="n">
        <x:v>28</x:v>
      </x:c>
      <x:c r="G88" s="6" t="str">
        <x:v>nr</x:v>
      </x:c>
      <x:c r="H88" s="16" t="n">
        <x:v>10</x:v>
      </x:c>
      <x:c r="I88" s="16" t="n">
        <x:v>4</x:v>
      </x:c>
      <x:c r="J88" s="16" t="n">
        <x:f>ROUNDUP(F88/H88,0)</x:f>
        <x:v>3</x:v>
      </x:c>
      <x:c r="K88" s="6" t="n">
        <x:f>MAX(L87+0)</x:f>
        <x:v>414</x:v>
      </x:c>
      <x:c r="L88" s="6" t="n">
        <x:f>K88+J88</x:f>
        <x:v>417</x:v>
      </x:c>
      <x:c r="M88" s="6" t="n">
        <x:f>N88-J88</x:f>
        <x:v>479</x:v>
      </x:c>
      <x:c r="N88" s="6" t="n">
        <x:f>MIN(M816-0)</x:f>
        <x:v>482</x:v>
      </x:c>
      <x:c r="O88" s="6" t="n">
        <x:f>M88-K88</x:f>
        <x:v>65</x:v>
      </x:c>
      <x:c r="P88" s="18" t="n">
        <x:f>INDEX('Calendar'!$C$8:$C$907,K88+1)</x:f>
        <x:v>46811</x:v>
      </x:c>
      <x:c r="Q88" s="18" t="n">
        <x:f>INDEX('Calendar'!$C$8:$C$907,MAX(K88+1,L88))</x:f>
        <x:v>46813</x:v>
      </x:c>
      <x:c r="R88" s="14" t="n">
        <x:v>5796</x:v>
      </x:c>
      <x:c r="S88" s="14"/>
      <x:c r="T88" s="14" t="n">
        <x:f>R88/J88</x:f>
        <x:v>1932</x:v>
      </x:c>
    </x:row>
    <x:row r="89" ht="23" customHeight="1">
      <x:c r="A89" s="1" t="str">
        <x:v>T1-L03-M</x:v>
      </x:c>
      <x:c r="B89" s="1" t="str">
        <x:v>T1</x:v>
      </x:c>
      <x:c r="C89" s="1" t="str">
        <x:v>L03</x:v>
      </x:c>
      <x:c r="D89" s="1" t="str">
        <x:v>Partition masonry</x:v>
      </x:c>
      <x:c r="E89" s="1" t="str">
        <x:v>Masonry</x:v>
      </x:c>
      <x:c r="F89" s="15" t="n">
        <x:v>90.40200000000002</x:v>
      </x:c>
      <x:c r="G89" s="1" t="str">
        <x:v>m3</x:v>
      </x:c>
      <x:c r="H89" s="17" t="n">
        <x:v>22</x:v>
      </x:c>
      <x:c r="I89" s="17" t="n">
        <x:v>10</x:v>
      </x:c>
      <x:c r="J89" s="17" t="n">
        <x:f>ROUNDUP(F89/H89,0)</x:f>
        <x:v>5</x:v>
      </x:c>
      <x:c r="K89" s="1" t="n">
        <x:f>MAX(L43+5)</x:f>
        <x:v>265</x:v>
      </x:c>
      <x:c r="L89" s="1" t="n">
        <x:f>K89+J89</x:f>
        <x:v>270</x:v>
      </x:c>
      <x:c r="M89" s="1" t="n">
        <x:f>N89-J89</x:f>
        <x:v>433</x:v>
      </x:c>
      <x:c r="N89" s="1" t="n">
        <x:f>MIN(M90-3)</x:f>
        <x:v>438</x:v>
      </x:c>
      <x:c r="O89" s="1" t="n">
        <x:f>M89-K89</x:f>
        <x:v>168</x:v>
      </x:c>
      <x:c r="P89" s="19" t="n">
        <x:f>INDEX('Calendar'!$C$8:$C$907,K89+1)</x:f>
        <x:v>46637</x:v>
      </x:c>
      <x:c r="Q89" s="19" t="n">
        <x:f>INDEX('Calendar'!$C$8:$C$907,MAX(K89+1,L89))</x:f>
        <x:v>46641</x:v>
      </x:c>
      <x:c r="R89" s="15" t="n">
        <x:v>12204.27</x:v>
      </x:c>
      <x:c r="S89" s="15"/>
      <x:c r="T89" s="15" t="n">
        <x:f>R89/J89</x:f>
        <x:v>2440.8540000000003</x:v>
      </x:c>
    </x:row>
    <x:row r="90" ht="23" customHeight="1">
      <x:c r="A90" s="6" t="str">
        <x:v>T1-L03-P</x:v>
      </x:c>
      <x:c r="B90" s="6" t="str">
        <x:v>T1</x:v>
      </x:c>
      <x:c r="C90" s="6" t="str">
        <x:v>L03</x:v>
      </x:c>
      <x:c r="D90" s="6" t="str">
        <x:v>Internal plaster</x:v>
      </x:c>
      <x:c r="E90" s="6" t="str">
        <x:v>Finishes</x:v>
      </x:c>
      <x:c r="F90" s="14" t="n">
        <x:v>1205.3600000000006</x:v>
      </x:c>
      <x:c r="G90" s="6" t="str">
        <x:v>m2</x:v>
      </x:c>
      <x:c r="H90" s="16" t="n">
        <x:v>220</x:v>
      </x:c>
      <x:c r="I90" s="16" t="n">
        <x:v>10</x:v>
      </x:c>
      <x:c r="J90" s="16" t="n">
        <x:f>ROUNDUP(F90/H90,0)</x:f>
        <x:v>6</x:v>
      </x:c>
      <x:c r="K90" s="6" t="n">
        <x:f>MAX(L89+3)</x:f>
        <x:v>273</x:v>
      </x:c>
      <x:c r="L90" s="6" t="n">
        <x:f>K90+J90</x:f>
        <x:v>279</x:v>
      </x:c>
      <x:c r="M90" s="6" t="n">
        <x:f>N90-J90</x:f>
        <x:v>441</x:v>
      </x:c>
      <x:c r="N90" s="6" t="n">
        <x:f>MIN(M91-2)</x:f>
        <x:v>447</x:v>
      </x:c>
      <x:c r="O90" s="6" t="n">
        <x:f>M90-K90</x:f>
        <x:v>168</x:v>
      </x:c>
      <x:c r="P90" s="18" t="n">
        <x:f>INDEX('Calendar'!$C$8:$C$907,K90+1)</x:f>
        <x:v>46646</x:v>
      </x:c>
      <x:c r="Q90" s="18" t="n">
        <x:f>INDEX('Calendar'!$C$8:$C$907,MAX(K90+1,L90))</x:f>
        <x:v>46652</x:v>
      </x:c>
      <x:c r="R90" s="14" t="n">
        <x:v>15067.000000000005</x:v>
      </x:c>
      <x:c r="S90" s="14"/>
      <x:c r="T90" s="14" t="n">
        <x:f>R90/J90</x:f>
        <x:v>2511.1666666666674</x:v>
      </x:c>
    </x:row>
    <x:row r="91" ht="23" customHeight="1">
      <x:c r="A91" s="1" t="str">
        <x:v>T1-L03-S</x:v>
      </x:c>
      <x:c r="B91" s="1" t="str">
        <x:v>T1</x:v>
      </x:c>
      <x:c r="C91" s="1" t="str">
        <x:v>L03</x:v>
      </x:c>
      <x:c r="D91" s="1" t="str">
        <x:v>Screed and substrate preparation</x:v>
      </x:c>
      <x:c r="E91" s="1" t="str">
        <x:v>Finishes</x:v>
      </x:c>
      <x:c r="F91" s="15" t="n">
        <x:v>696</x:v>
      </x:c>
      <x:c r="G91" s="1" t="str">
        <x:v>m2</x:v>
      </x:c>
      <x:c r="H91" s="17" t="n">
        <x:v>240</x:v>
      </x:c>
      <x:c r="I91" s="17" t="n">
        <x:v>8</x:v>
      </x:c>
      <x:c r="J91" s="17" t="n">
        <x:f>ROUNDUP(F91/H91,0)</x:f>
        <x:v>3</x:v>
      </x:c>
      <x:c r="K91" s="1" t="n">
        <x:f>MAX(L90+2)</x:f>
        <x:v>281</x:v>
      </x:c>
      <x:c r="L91" s="1" t="n">
        <x:f>K91+J91</x:f>
        <x:v>284</x:v>
      </x:c>
      <x:c r="M91" s="1" t="n">
        <x:f>N91-J91</x:f>
        <x:v>449</x:v>
      </x:c>
      <x:c r="N91" s="1" t="n">
        <x:f>MIN(M92-14)</x:f>
        <x:v>452</x:v>
      </x:c>
      <x:c r="O91" s="1" t="n">
        <x:f>M91-K91</x:f>
        <x:v>168</x:v>
      </x:c>
      <x:c r="P91" s="19" t="n">
        <x:f>INDEX('Calendar'!$C$8:$C$907,K91+1)</x:f>
        <x:v>46655</x:v>
      </x:c>
      <x:c r="Q91" s="19" t="n">
        <x:f>INDEX('Calendar'!$C$8:$C$907,MAX(K91+1,L91))</x:f>
        <x:v>46658</x:v>
      </x:c>
      <x:c r="R91" s="15" t="n">
        <x:v>9048</x:v>
      </x:c>
      <x:c r="S91" s="15"/>
      <x:c r="T91" s="15" t="n">
        <x:f>R91/J91</x:f>
        <x:v>3016</x:v>
      </x:c>
    </x:row>
    <x:row r="92" ht="23" customHeight="1">
      <x:c r="A92" s="6" t="str">
        <x:v>T1-L03-T</x:v>
      </x:c>
      <x:c r="B92" s="6" t="str">
        <x:v>T1</x:v>
      </x:c>
      <x:c r="C92" s="6" t="str">
        <x:v>L03</x:v>
      </x:c>
      <x:c r="D92" s="6" t="str">
        <x:v>Floor finishes and skirtings</x:v>
      </x:c>
      <x:c r="E92" s="6" t="str">
        <x:v>Finishes</x:v>
      </x:c>
      <x:c r="F92" s="14" t="n">
        <x:v>696</x:v>
      </x:c>
      <x:c r="G92" s="6" t="str">
        <x:v>m2</x:v>
      </x:c>
      <x:c r="H92" s="16" t="n">
        <x:v>130</x:v>
      </x:c>
      <x:c r="I92" s="16" t="n">
        <x:v>8</x:v>
      </x:c>
      <x:c r="J92" s="16" t="n">
        <x:f>ROUNDUP(F92/H92,0)</x:f>
        <x:v>6</x:v>
      </x:c>
      <x:c r="K92" s="6" t="n">
        <x:f>MAX(L91+14,L70+0)</x:f>
        <x:v>401</x:v>
      </x:c>
      <x:c r="L92" s="6" t="n">
        <x:f>K92+J92</x:f>
        <x:v>407</x:v>
      </x:c>
      <x:c r="M92" s="6" t="n">
        <x:f>N92-J92</x:f>
        <x:v>466</x:v>
      </x:c>
      <x:c r="N92" s="6" t="n">
        <x:f>MIN(M93-2)</x:f>
        <x:v>472</x:v>
      </x:c>
      <x:c r="O92" s="6" t="n">
        <x:f>M92-K92</x:f>
        <x:v>65</x:v>
      </x:c>
      <x:c r="P92" s="18" t="n">
        <x:f>INDEX('Calendar'!$C$8:$C$907,K92+1)</x:f>
        <x:v>46795</x:v>
      </x:c>
      <x:c r="Q92" s="18" t="n">
        <x:f>INDEX('Calendar'!$C$8:$C$907,MAX(K92+1,L92))</x:f>
        <x:v>46801</x:v>
      </x:c>
      <x:c r="R92" s="14" t="n">
        <x:v>24012</x:v>
      </x:c>
      <x:c r="S92" s="14"/>
      <x:c r="T92" s="14" t="n">
        <x:f>R92/J92</x:f>
        <x:v>4002</x:v>
      </x:c>
    </x:row>
    <x:row r="93" ht="23" customHeight="1">
      <x:c r="A93" s="1" t="str">
        <x:v>T1-L03-A</x:v>
      </x:c>
      <x:c r="B93" s="1" t="str">
        <x:v>T1</x:v>
      </x:c>
      <x:c r="C93" s="1" t="str">
        <x:v>L03</x:v>
      </x:c>
      <x:c r="D93" s="1" t="str">
        <x:v>Paint and final decorations</x:v>
      </x:c>
      <x:c r="E93" s="1" t="str">
        <x:v>Finishes</x:v>
      </x:c>
      <x:c r="F93" s="15" t="n">
        <x:v>1205.3600000000004</x:v>
      </x:c>
      <x:c r="G93" s="1" t="str">
        <x:v>m2</x:v>
      </x:c>
      <x:c r="H93" s="17" t="n">
        <x:v>270</x:v>
      </x:c>
      <x:c r="I93" s="17" t="n">
        <x:v>8</x:v>
      </x:c>
      <x:c r="J93" s="17" t="n">
        <x:f>ROUNDUP(F93/H93,0)</x:f>
        <x:v>5</x:v>
      </x:c>
      <x:c r="K93" s="1" t="n">
        <x:f>MAX(L92+2)</x:f>
        <x:v>409</x:v>
      </x:c>
      <x:c r="L93" s="1" t="n">
        <x:f>K93+J93</x:f>
        <x:v>414</x:v>
      </x:c>
      <x:c r="M93" s="1" t="n">
        <x:f>N93-J93</x:f>
        <x:v>474</x:v>
      </x:c>
      <x:c r="N93" s="1" t="n">
        <x:f>MIN(M94-0)</x:f>
        <x:v>479</x:v>
      </x:c>
      <x:c r="O93" s="1" t="n">
        <x:f>M93-K93</x:f>
        <x:v>65</x:v>
      </x:c>
      <x:c r="P93" s="19" t="n">
        <x:f>INDEX('Calendar'!$C$8:$C$907,K93+1)</x:f>
        <x:v>46805</x:v>
      </x:c>
      <x:c r="Q93" s="19" t="n">
        <x:f>INDEX('Calendar'!$C$8:$C$907,MAX(K93+1,L93))</x:f>
        <x:v>46809</x:v>
      </x:c>
      <x:c r="R93" s="15" t="n">
        <x:v>10245.560000000003</x:v>
      </x:c>
      <x:c r="S93" s="15"/>
      <x:c r="T93" s="15" t="n">
        <x:f>R93/J93</x:f>
        <x:v>2049.1120000000005</x:v>
      </x:c>
    </x:row>
    <x:row r="94" ht="23" customHeight="1">
      <x:c r="A94" s="6" t="str">
        <x:v>T1-L03-D</x:v>
      </x:c>
      <x:c r="B94" s="6" t="str">
        <x:v>T1</x:v>
      </x:c>
      <x:c r="C94" s="6" t="str">
        <x:v>L03</x:v>
      </x:c>
      <x:c r="D94" s="6" t="str">
        <x:v>Door sets and ironmongery</x:v>
      </x:c>
      <x:c r="E94" s="6" t="str">
        <x:v>Finishes</x:v>
      </x:c>
      <x:c r="F94" s="14" t="n">
        <x:v>28</x:v>
      </x:c>
      <x:c r="G94" s="6" t="str">
        <x:v>nr</x:v>
      </x:c>
      <x:c r="H94" s="16" t="n">
        <x:v>10</x:v>
      </x:c>
      <x:c r="I94" s="16" t="n">
        <x:v>4</x:v>
      </x:c>
      <x:c r="J94" s="16" t="n">
        <x:f>ROUNDUP(F94/H94,0)</x:f>
        <x:v>3</x:v>
      </x:c>
      <x:c r="K94" s="6" t="n">
        <x:f>MAX(L93+0)</x:f>
        <x:v>414</x:v>
      </x:c>
      <x:c r="L94" s="6" t="n">
        <x:f>K94+J94</x:f>
        <x:v>417</x:v>
      </x:c>
      <x:c r="M94" s="6" t="n">
        <x:f>N94-J94</x:f>
        <x:v>479</x:v>
      </x:c>
      <x:c r="N94" s="6" t="n">
        <x:f>MIN(M816-0)</x:f>
        <x:v>482</x:v>
      </x:c>
      <x:c r="O94" s="6" t="n">
        <x:f>M94-K94</x:f>
        <x:v>65</x:v>
      </x:c>
      <x:c r="P94" s="18" t="n">
        <x:f>INDEX('Calendar'!$C$8:$C$907,K94+1)</x:f>
        <x:v>46811</x:v>
      </x:c>
      <x:c r="Q94" s="18" t="n">
        <x:f>INDEX('Calendar'!$C$8:$C$907,MAX(K94+1,L94))</x:f>
        <x:v>46813</x:v>
      </x:c>
      <x:c r="R94" s="14" t="n">
        <x:v>5796</x:v>
      </x:c>
      <x:c r="S94" s="14"/>
      <x:c r="T94" s="14" t="n">
        <x:f>R94/J94</x:f>
        <x:v>1932</x:v>
      </x:c>
    </x:row>
    <x:row r="95" ht="23" customHeight="1">
      <x:c r="A95" s="1" t="str">
        <x:v>T1-L04-M</x:v>
      </x:c>
      <x:c r="B95" s="1" t="str">
        <x:v>T1</x:v>
      </x:c>
      <x:c r="C95" s="1" t="str">
        <x:v>L04</x:v>
      </x:c>
      <x:c r="D95" s="1" t="str">
        <x:v>Partition masonry</x:v>
      </x:c>
      <x:c r="E95" s="1" t="str">
        <x:v>Masonry</x:v>
      </x:c>
      <x:c r="F95" s="15" t="n">
        <x:v>90.40200000000002</x:v>
      </x:c>
      <x:c r="G95" s="1" t="str">
        <x:v>m3</x:v>
      </x:c>
      <x:c r="H95" s="17" t="n">
        <x:v>22</x:v>
      </x:c>
      <x:c r="I95" s="17" t="n">
        <x:v>10</x:v>
      </x:c>
      <x:c r="J95" s="17" t="n">
        <x:f>ROUNDUP(F95/H95,0)</x:f>
        <x:v>5</x:v>
      </x:c>
      <x:c r="K95" s="1" t="n">
        <x:f>MAX(L47+5)</x:f>
        <x:v>283</x:v>
      </x:c>
      <x:c r="L95" s="1" t="n">
        <x:f>K95+J95</x:f>
        <x:v>288</x:v>
      </x:c>
      <x:c r="M95" s="1" t="n">
        <x:f>N95-J95</x:f>
        <x:v>433</x:v>
      </x:c>
      <x:c r="N95" s="1" t="n">
        <x:f>MIN(M96-3)</x:f>
        <x:v>438</x:v>
      </x:c>
      <x:c r="O95" s="1" t="n">
        <x:f>M95-K95</x:f>
        <x:v>150</x:v>
      </x:c>
      <x:c r="P95" s="19" t="n">
        <x:f>INDEX('Calendar'!$C$8:$C$907,K95+1)</x:f>
        <x:v>46658</x:v>
      </x:c>
      <x:c r="Q95" s="19" t="n">
        <x:f>INDEX('Calendar'!$C$8:$C$907,MAX(K95+1,L95))</x:f>
        <x:v>46662</x:v>
      </x:c>
      <x:c r="R95" s="15" t="n">
        <x:v>12204.27</x:v>
      </x:c>
      <x:c r="S95" s="15"/>
      <x:c r="T95" s="15" t="n">
        <x:f>R95/J95</x:f>
        <x:v>2440.8540000000003</x:v>
      </x:c>
    </x:row>
    <x:row r="96" ht="23" customHeight="1">
      <x:c r="A96" s="6" t="str">
        <x:v>T1-L04-P</x:v>
      </x:c>
      <x:c r="B96" s="6" t="str">
        <x:v>T1</x:v>
      </x:c>
      <x:c r="C96" s="6" t="str">
        <x:v>L04</x:v>
      </x:c>
      <x:c r="D96" s="6" t="str">
        <x:v>Internal plaster</x:v>
      </x:c>
      <x:c r="E96" s="6" t="str">
        <x:v>Finishes</x:v>
      </x:c>
      <x:c r="F96" s="14" t="n">
        <x:v>1205.3600000000006</x:v>
      </x:c>
      <x:c r="G96" s="6" t="str">
        <x:v>m2</x:v>
      </x:c>
      <x:c r="H96" s="16" t="n">
        <x:v>220</x:v>
      </x:c>
      <x:c r="I96" s="16" t="n">
        <x:v>10</x:v>
      </x:c>
      <x:c r="J96" s="16" t="n">
        <x:f>ROUNDUP(F96/H96,0)</x:f>
        <x:v>6</x:v>
      </x:c>
      <x:c r="K96" s="6" t="n">
        <x:f>MAX(L95+3)</x:f>
        <x:v>291</x:v>
      </x:c>
      <x:c r="L96" s="6" t="n">
        <x:f>K96+J96</x:f>
        <x:v>297</x:v>
      </x:c>
      <x:c r="M96" s="6" t="n">
        <x:f>N96-J96</x:f>
        <x:v>441</x:v>
      </x:c>
      <x:c r="N96" s="6" t="n">
        <x:f>MIN(M97-2)</x:f>
        <x:v>447</x:v>
      </x:c>
      <x:c r="O96" s="6" t="n">
        <x:f>M96-K96</x:f>
        <x:v>150</x:v>
      </x:c>
      <x:c r="P96" s="18" t="n">
        <x:f>INDEX('Calendar'!$C$8:$C$907,K96+1)</x:f>
        <x:v>46667</x:v>
      </x:c>
      <x:c r="Q96" s="18" t="n">
        <x:f>INDEX('Calendar'!$C$8:$C$907,MAX(K96+1,L96))</x:f>
        <x:v>46673</x:v>
      </x:c>
      <x:c r="R96" s="14" t="n">
        <x:v>15067.000000000005</x:v>
      </x:c>
      <x:c r="S96" s="14"/>
      <x:c r="T96" s="14" t="n">
        <x:f>R96/J96</x:f>
        <x:v>2511.1666666666674</x:v>
      </x:c>
    </x:row>
    <x:row r="97" ht="23" customHeight="1">
      <x:c r="A97" s="1" t="str">
        <x:v>T1-L04-S</x:v>
      </x:c>
      <x:c r="B97" s="1" t="str">
        <x:v>T1</x:v>
      </x:c>
      <x:c r="C97" s="1" t="str">
        <x:v>L04</x:v>
      </x:c>
      <x:c r="D97" s="1" t="str">
        <x:v>Screed and substrate preparation</x:v>
      </x:c>
      <x:c r="E97" s="1" t="str">
        <x:v>Finishes</x:v>
      </x:c>
      <x:c r="F97" s="15" t="n">
        <x:v>696</x:v>
      </x:c>
      <x:c r="G97" s="1" t="str">
        <x:v>m2</x:v>
      </x:c>
      <x:c r="H97" s="17" t="n">
        <x:v>240</x:v>
      </x:c>
      <x:c r="I97" s="17" t="n">
        <x:v>8</x:v>
      </x:c>
      <x:c r="J97" s="17" t="n">
        <x:f>ROUNDUP(F97/H97,0)</x:f>
        <x:v>3</x:v>
      </x:c>
      <x:c r="K97" s="1" t="n">
        <x:f>MAX(L96+2)</x:f>
        <x:v>299</x:v>
      </x:c>
      <x:c r="L97" s="1" t="n">
        <x:f>K97+J97</x:f>
        <x:v>302</x:v>
      </x:c>
      <x:c r="M97" s="1" t="n">
        <x:f>N97-J97</x:f>
        <x:v>449</x:v>
      </x:c>
      <x:c r="N97" s="1" t="n">
        <x:f>MIN(M98-14)</x:f>
        <x:v>452</x:v>
      </x:c>
      <x:c r="O97" s="1" t="n">
        <x:f>M97-K97</x:f>
        <x:v>150</x:v>
      </x:c>
      <x:c r="P97" s="19" t="n">
        <x:f>INDEX('Calendar'!$C$8:$C$907,K97+1)</x:f>
        <x:v>46676</x:v>
      </x:c>
      <x:c r="Q97" s="19" t="n">
        <x:f>INDEX('Calendar'!$C$8:$C$907,MAX(K97+1,L97))</x:f>
        <x:v>46679</x:v>
      </x:c>
      <x:c r="R97" s="15" t="n">
        <x:v>9048</x:v>
      </x:c>
      <x:c r="S97" s="15"/>
      <x:c r="T97" s="15" t="n">
        <x:f>R97/J97</x:f>
        <x:v>3016</x:v>
      </x:c>
    </x:row>
    <x:row r="98" ht="23" customHeight="1">
      <x:c r="A98" s="6" t="str">
        <x:v>T1-L04-T</x:v>
      </x:c>
      <x:c r="B98" s="6" t="str">
        <x:v>T1</x:v>
      </x:c>
      <x:c r="C98" s="6" t="str">
        <x:v>L04</x:v>
      </x:c>
      <x:c r="D98" s="6" t="str">
        <x:v>Floor finishes and skirtings</x:v>
      </x:c>
      <x:c r="E98" s="6" t="str">
        <x:v>Finishes</x:v>
      </x:c>
      <x:c r="F98" s="14" t="n">
        <x:v>696</x:v>
      </x:c>
      <x:c r="G98" s="6" t="str">
        <x:v>m2</x:v>
      </x:c>
      <x:c r="H98" s="16" t="n">
        <x:v>130</x:v>
      </x:c>
      <x:c r="I98" s="16" t="n">
        <x:v>8</x:v>
      </x:c>
      <x:c r="J98" s="16" t="n">
        <x:f>ROUNDUP(F98/H98,0)</x:f>
        <x:v>6</x:v>
      </x:c>
      <x:c r="K98" s="6" t="n">
        <x:f>MAX(L97+14,L70+0)</x:f>
        <x:v>401</x:v>
      </x:c>
      <x:c r="L98" s="6" t="n">
        <x:f>K98+J98</x:f>
        <x:v>407</x:v>
      </x:c>
      <x:c r="M98" s="6" t="n">
        <x:f>N98-J98</x:f>
        <x:v>466</x:v>
      </x:c>
      <x:c r="N98" s="6" t="n">
        <x:f>MIN(M99-2)</x:f>
        <x:v>472</x:v>
      </x:c>
      <x:c r="O98" s="6" t="n">
        <x:f>M98-K98</x:f>
        <x:v>65</x:v>
      </x:c>
      <x:c r="P98" s="18" t="n">
        <x:f>INDEX('Calendar'!$C$8:$C$907,K98+1)</x:f>
        <x:v>46795</x:v>
      </x:c>
      <x:c r="Q98" s="18" t="n">
        <x:f>INDEX('Calendar'!$C$8:$C$907,MAX(K98+1,L98))</x:f>
        <x:v>46801</x:v>
      </x:c>
      <x:c r="R98" s="14" t="n">
        <x:v>24012</x:v>
      </x:c>
      <x:c r="S98" s="14"/>
      <x:c r="T98" s="14" t="n">
        <x:f>R98/J98</x:f>
        <x:v>4002</x:v>
      </x:c>
    </x:row>
    <x:row r="99" ht="23" customHeight="1">
      <x:c r="A99" s="1" t="str">
        <x:v>T1-L04-A</x:v>
      </x:c>
      <x:c r="B99" s="1" t="str">
        <x:v>T1</x:v>
      </x:c>
      <x:c r="C99" s="1" t="str">
        <x:v>L04</x:v>
      </x:c>
      <x:c r="D99" s="1" t="str">
        <x:v>Paint and final decorations</x:v>
      </x:c>
      <x:c r="E99" s="1" t="str">
        <x:v>Finishes</x:v>
      </x:c>
      <x:c r="F99" s="15" t="n">
        <x:v>1205.3600000000004</x:v>
      </x:c>
      <x:c r="G99" s="1" t="str">
        <x:v>m2</x:v>
      </x:c>
      <x:c r="H99" s="17" t="n">
        <x:v>270</x:v>
      </x:c>
      <x:c r="I99" s="17" t="n">
        <x:v>8</x:v>
      </x:c>
      <x:c r="J99" s="17" t="n">
        <x:f>ROUNDUP(F99/H99,0)</x:f>
        <x:v>5</x:v>
      </x:c>
      <x:c r="K99" s="1" t="n">
        <x:f>MAX(L98+2)</x:f>
        <x:v>409</x:v>
      </x:c>
      <x:c r="L99" s="1" t="n">
        <x:f>K99+J99</x:f>
        <x:v>414</x:v>
      </x:c>
      <x:c r="M99" s="1" t="n">
        <x:f>N99-J99</x:f>
        <x:v>474</x:v>
      </x:c>
      <x:c r="N99" s="1" t="n">
        <x:f>MIN(M100-0)</x:f>
        <x:v>479</x:v>
      </x:c>
      <x:c r="O99" s="1" t="n">
        <x:f>M99-K99</x:f>
        <x:v>65</x:v>
      </x:c>
      <x:c r="P99" s="19" t="n">
        <x:f>INDEX('Calendar'!$C$8:$C$907,K99+1)</x:f>
        <x:v>46805</x:v>
      </x:c>
      <x:c r="Q99" s="19" t="n">
        <x:f>INDEX('Calendar'!$C$8:$C$907,MAX(K99+1,L99))</x:f>
        <x:v>46809</x:v>
      </x:c>
      <x:c r="R99" s="15" t="n">
        <x:v>10245.560000000003</x:v>
      </x:c>
      <x:c r="S99" s="15"/>
      <x:c r="T99" s="15" t="n">
        <x:f>R99/J99</x:f>
        <x:v>2049.1120000000005</x:v>
      </x:c>
    </x:row>
    <x:row r="100" ht="23" customHeight="1">
      <x:c r="A100" s="6" t="str">
        <x:v>T1-L04-D</x:v>
      </x:c>
      <x:c r="B100" s="6" t="str">
        <x:v>T1</x:v>
      </x:c>
      <x:c r="C100" s="6" t="str">
        <x:v>L04</x:v>
      </x:c>
      <x:c r="D100" s="6" t="str">
        <x:v>Door sets and ironmongery</x:v>
      </x:c>
      <x:c r="E100" s="6" t="str">
        <x:v>Finishes</x:v>
      </x:c>
      <x:c r="F100" s="14" t="n">
        <x:v>28</x:v>
      </x:c>
      <x:c r="G100" s="6" t="str">
        <x:v>nr</x:v>
      </x:c>
      <x:c r="H100" s="16" t="n">
        <x:v>10</x:v>
      </x:c>
      <x:c r="I100" s="16" t="n">
        <x:v>4</x:v>
      </x:c>
      <x:c r="J100" s="16" t="n">
        <x:f>ROUNDUP(F100/H100,0)</x:f>
        <x:v>3</x:v>
      </x:c>
      <x:c r="K100" s="6" t="n">
        <x:f>MAX(L99+0)</x:f>
        <x:v>414</x:v>
      </x:c>
      <x:c r="L100" s="6" t="n">
        <x:f>K100+J100</x:f>
        <x:v>417</x:v>
      </x:c>
      <x:c r="M100" s="6" t="n">
        <x:f>N100-J100</x:f>
        <x:v>479</x:v>
      </x:c>
      <x:c r="N100" s="6" t="n">
        <x:f>MIN(M816-0)</x:f>
        <x:v>482</x:v>
      </x:c>
      <x:c r="O100" s="6" t="n">
        <x:f>M100-K100</x:f>
        <x:v>65</x:v>
      </x:c>
      <x:c r="P100" s="18" t="n">
        <x:f>INDEX('Calendar'!$C$8:$C$907,K100+1)</x:f>
        <x:v>46811</x:v>
      </x:c>
      <x:c r="Q100" s="18" t="n">
        <x:f>INDEX('Calendar'!$C$8:$C$907,MAX(K100+1,L100))</x:f>
        <x:v>46813</x:v>
      </x:c>
      <x:c r="R100" s="14" t="n">
        <x:v>5796</x:v>
      </x:c>
      <x:c r="S100" s="14"/>
      <x:c r="T100" s="14" t="n">
        <x:f>R100/J100</x:f>
        <x:v>1932</x:v>
      </x:c>
    </x:row>
    <x:row r="101" ht="23" customHeight="1">
      <x:c r="A101" s="1" t="str">
        <x:v>T1-L05-M</x:v>
      </x:c>
      <x:c r="B101" s="1" t="str">
        <x:v>T1</x:v>
      </x:c>
      <x:c r="C101" s="1" t="str">
        <x:v>L05</x:v>
      </x:c>
      <x:c r="D101" s="1" t="str">
        <x:v>Partition masonry</x:v>
      </x:c>
      <x:c r="E101" s="1" t="str">
        <x:v>Masonry</x:v>
      </x:c>
      <x:c r="F101" s="15" t="n">
        <x:v>90.40200000000002</x:v>
      </x:c>
      <x:c r="G101" s="1" t="str">
        <x:v>m3</x:v>
      </x:c>
      <x:c r="H101" s="17" t="n">
        <x:v>22</x:v>
      </x:c>
      <x:c r="I101" s="17" t="n">
        <x:v>10</x:v>
      </x:c>
      <x:c r="J101" s="17" t="n">
        <x:f>ROUNDUP(F101/H101,0)</x:f>
        <x:v>5</x:v>
      </x:c>
      <x:c r="K101" s="1" t="n">
        <x:f>MAX(L51+5)</x:f>
        <x:v>301</x:v>
      </x:c>
      <x:c r="L101" s="1" t="n">
        <x:f>K101+J101</x:f>
        <x:v>306</x:v>
      </x:c>
      <x:c r="M101" s="1" t="n">
        <x:f>N101-J101</x:f>
        <x:v>433</x:v>
      </x:c>
      <x:c r="N101" s="1" t="n">
        <x:f>MIN(M102-3)</x:f>
        <x:v>438</x:v>
      </x:c>
      <x:c r="O101" s="1" t="n">
        <x:f>M101-K101</x:f>
        <x:v>132</x:v>
      </x:c>
      <x:c r="P101" s="19" t="n">
        <x:f>INDEX('Calendar'!$C$8:$C$907,K101+1)</x:f>
        <x:v>46679</x:v>
      </x:c>
      <x:c r="Q101" s="19" t="n">
        <x:f>INDEX('Calendar'!$C$8:$C$907,MAX(K101+1,L101))</x:f>
        <x:v>46683</x:v>
      </x:c>
      <x:c r="R101" s="15" t="n">
        <x:v>12204.27</x:v>
      </x:c>
      <x:c r="S101" s="15"/>
      <x:c r="T101" s="15" t="n">
        <x:f>R101/J101</x:f>
        <x:v>2440.8540000000003</x:v>
      </x:c>
    </x:row>
    <x:row r="102" ht="23" customHeight="1">
      <x:c r="A102" s="6" t="str">
        <x:v>T1-L05-P</x:v>
      </x:c>
      <x:c r="B102" s="6" t="str">
        <x:v>T1</x:v>
      </x:c>
      <x:c r="C102" s="6" t="str">
        <x:v>L05</x:v>
      </x:c>
      <x:c r="D102" s="6" t="str">
        <x:v>Internal plaster</x:v>
      </x:c>
      <x:c r="E102" s="6" t="str">
        <x:v>Finishes</x:v>
      </x:c>
      <x:c r="F102" s="14" t="n">
        <x:v>1205.3600000000006</x:v>
      </x:c>
      <x:c r="G102" s="6" t="str">
        <x:v>m2</x:v>
      </x:c>
      <x:c r="H102" s="16" t="n">
        <x:v>220</x:v>
      </x:c>
      <x:c r="I102" s="16" t="n">
        <x:v>10</x:v>
      </x:c>
      <x:c r="J102" s="16" t="n">
        <x:f>ROUNDUP(F102/H102,0)</x:f>
        <x:v>6</x:v>
      </x:c>
      <x:c r="K102" s="6" t="n">
        <x:f>MAX(L101+3)</x:f>
        <x:v>309</x:v>
      </x:c>
      <x:c r="L102" s="6" t="n">
        <x:f>K102+J102</x:f>
        <x:v>315</x:v>
      </x:c>
      <x:c r="M102" s="6" t="n">
        <x:f>N102-J102</x:f>
        <x:v>441</x:v>
      </x:c>
      <x:c r="N102" s="6" t="n">
        <x:f>MIN(M103-2)</x:f>
        <x:v>447</x:v>
      </x:c>
      <x:c r="O102" s="6" t="n">
        <x:f>M102-K102</x:f>
        <x:v>132</x:v>
      </x:c>
      <x:c r="P102" s="18" t="n">
        <x:f>INDEX('Calendar'!$C$8:$C$907,K102+1)</x:f>
        <x:v>46688</x:v>
      </x:c>
      <x:c r="Q102" s="18" t="n">
        <x:f>INDEX('Calendar'!$C$8:$C$907,MAX(K102+1,L102))</x:f>
        <x:v>46694</x:v>
      </x:c>
      <x:c r="R102" s="14" t="n">
        <x:v>15067.000000000005</x:v>
      </x:c>
      <x:c r="S102" s="14"/>
      <x:c r="T102" s="14" t="n">
        <x:f>R102/J102</x:f>
        <x:v>2511.1666666666674</x:v>
      </x:c>
    </x:row>
    <x:row r="103" ht="23" customHeight="1">
      <x:c r="A103" s="1" t="str">
        <x:v>T1-L05-S</x:v>
      </x:c>
      <x:c r="B103" s="1" t="str">
        <x:v>T1</x:v>
      </x:c>
      <x:c r="C103" s="1" t="str">
        <x:v>L05</x:v>
      </x:c>
      <x:c r="D103" s="1" t="str">
        <x:v>Screed and substrate preparation</x:v>
      </x:c>
      <x:c r="E103" s="1" t="str">
        <x:v>Finishes</x:v>
      </x:c>
      <x:c r="F103" s="15" t="n">
        <x:v>696</x:v>
      </x:c>
      <x:c r="G103" s="1" t="str">
        <x:v>m2</x:v>
      </x:c>
      <x:c r="H103" s="17" t="n">
        <x:v>240</x:v>
      </x:c>
      <x:c r="I103" s="17" t="n">
        <x:v>8</x:v>
      </x:c>
      <x:c r="J103" s="17" t="n">
        <x:f>ROUNDUP(F103/H103,0)</x:f>
        <x:v>3</x:v>
      </x:c>
      <x:c r="K103" s="1" t="n">
        <x:f>MAX(L102+2)</x:f>
        <x:v>317</x:v>
      </x:c>
      <x:c r="L103" s="1" t="n">
        <x:f>K103+J103</x:f>
        <x:v>320</x:v>
      </x:c>
      <x:c r="M103" s="1" t="n">
        <x:f>N103-J103</x:f>
        <x:v>449</x:v>
      </x:c>
      <x:c r="N103" s="1" t="n">
        <x:f>MIN(M104-14)</x:f>
        <x:v>452</x:v>
      </x:c>
      <x:c r="O103" s="1" t="n">
        <x:f>M103-K103</x:f>
        <x:v>132</x:v>
      </x:c>
      <x:c r="P103" s="19" t="n">
        <x:f>INDEX('Calendar'!$C$8:$C$907,K103+1)</x:f>
        <x:v>46697</x:v>
      </x:c>
      <x:c r="Q103" s="19" t="n">
        <x:f>INDEX('Calendar'!$C$8:$C$907,MAX(K103+1,L103))</x:f>
        <x:v>46700</x:v>
      </x:c>
      <x:c r="R103" s="15" t="n">
        <x:v>9048</x:v>
      </x:c>
      <x:c r="S103" s="15"/>
      <x:c r="T103" s="15" t="n">
        <x:f>R103/J103</x:f>
        <x:v>3016</x:v>
      </x:c>
    </x:row>
    <x:row r="104" ht="23" customHeight="1">
      <x:c r="A104" s="6" t="str">
        <x:v>T1-L05-T</x:v>
      </x:c>
      <x:c r="B104" s="6" t="str">
        <x:v>T1</x:v>
      </x:c>
      <x:c r="C104" s="6" t="str">
        <x:v>L05</x:v>
      </x:c>
      <x:c r="D104" s="6" t="str">
        <x:v>Floor finishes and skirtings</x:v>
      </x:c>
      <x:c r="E104" s="6" t="str">
        <x:v>Finishes</x:v>
      </x:c>
      <x:c r="F104" s="14" t="n">
        <x:v>696</x:v>
      </x:c>
      <x:c r="G104" s="6" t="str">
        <x:v>m2</x:v>
      </x:c>
      <x:c r="H104" s="16" t="n">
        <x:v>130</x:v>
      </x:c>
      <x:c r="I104" s="16" t="n">
        <x:v>8</x:v>
      </x:c>
      <x:c r="J104" s="16" t="n">
        <x:f>ROUNDUP(F104/H104,0)</x:f>
        <x:v>6</x:v>
      </x:c>
      <x:c r="K104" s="6" t="n">
        <x:f>MAX(L103+14,L70+0)</x:f>
        <x:v>401</x:v>
      </x:c>
      <x:c r="L104" s="6" t="n">
        <x:f>K104+J104</x:f>
        <x:v>407</x:v>
      </x:c>
      <x:c r="M104" s="6" t="n">
        <x:f>N104-J104</x:f>
        <x:v>466</x:v>
      </x:c>
      <x:c r="N104" s="6" t="n">
        <x:f>MIN(M105-2)</x:f>
        <x:v>472</x:v>
      </x:c>
      <x:c r="O104" s="6" t="n">
        <x:f>M104-K104</x:f>
        <x:v>65</x:v>
      </x:c>
      <x:c r="P104" s="18" t="n">
        <x:f>INDEX('Calendar'!$C$8:$C$907,K104+1)</x:f>
        <x:v>46795</x:v>
      </x:c>
      <x:c r="Q104" s="18" t="n">
        <x:f>INDEX('Calendar'!$C$8:$C$907,MAX(K104+1,L104))</x:f>
        <x:v>46801</x:v>
      </x:c>
      <x:c r="R104" s="14" t="n">
        <x:v>24012</x:v>
      </x:c>
      <x:c r="S104" s="14"/>
      <x:c r="T104" s="14" t="n">
        <x:f>R104/J104</x:f>
        <x:v>4002</x:v>
      </x:c>
    </x:row>
    <x:row r="105" ht="23" customHeight="1">
      <x:c r="A105" s="1" t="str">
        <x:v>T1-L05-A</x:v>
      </x:c>
      <x:c r="B105" s="1" t="str">
        <x:v>T1</x:v>
      </x:c>
      <x:c r="C105" s="1" t="str">
        <x:v>L05</x:v>
      </x:c>
      <x:c r="D105" s="1" t="str">
        <x:v>Paint and final decorations</x:v>
      </x:c>
      <x:c r="E105" s="1" t="str">
        <x:v>Finishes</x:v>
      </x:c>
      <x:c r="F105" s="15" t="n">
        <x:v>1205.3600000000004</x:v>
      </x:c>
      <x:c r="G105" s="1" t="str">
        <x:v>m2</x:v>
      </x:c>
      <x:c r="H105" s="17" t="n">
        <x:v>270</x:v>
      </x:c>
      <x:c r="I105" s="17" t="n">
        <x:v>8</x:v>
      </x:c>
      <x:c r="J105" s="17" t="n">
        <x:f>ROUNDUP(F105/H105,0)</x:f>
        <x:v>5</x:v>
      </x:c>
      <x:c r="K105" s="1" t="n">
        <x:f>MAX(L104+2)</x:f>
        <x:v>409</x:v>
      </x:c>
      <x:c r="L105" s="1" t="n">
        <x:f>K105+J105</x:f>
        <x:v>414</x:v>
      </x:c>
      <x:c r="M105" s="1" t="n">
        <x:f>N105-J105</x:f>
        <x:v>474</x:v>
      </x:c>
      <x:c r="N105" s="1" t="n">
        <x:f>MIN(M106-0)</x:f>
        <x:v>479</x:v>
      </x:c>
      <x:c r="O105" s="1" t="n">
        <x:f>M105-K105</x:f>
        <x:v>65</x:v>
      </x:c>
      <x:c r="P105" s="19" t="n">
        <x:f>INDEX('Calendar'!$C$8:$C$907,K105+1)</x:f>
        <x:v>46805</x:v>
      </x:c>
      <x:c r="Q105" s="19" t="n">
        <x:f>INDEX('Calendar'!$C$8:$C$907,MAX(K105+1,L105))</x:f>
        <x:v>46809</x:v>
      </x:c>
      <x:c r="R105" s="15" t="n">
        <x:v>10245.560000000003</x:v>
      </x:c>
      <x:c r="S105" s="15"/>
      <x:c r="T105" s="15" t="n">
        <x:f>R105/J105</x:f>
        <x:v>2049.1120000000005</x:v>
      </x:c>
    </x:row>
    <x:row r="106" ht="23" customHeight="1">
      <x:c r="A106" s="6" t="str">
        <x:v>T1-L05-D</x:v>
      </x:c>
      <x:c r="B106" s="6" t="str">
        <x:v>T1</x:v>
      </x:c>
      <x:c r="C106" s="6" t="str">
        <x:v>L05</x:v>
      </x:c>
      <x:c r="D106" s="6" t="str">
        <x:v>Door sets and ironmongery</x:v>
      </x:c>
      <x:c r="E106" s="6" t="str">
        <x:v>Finishes</x:v>
      </x:c>
      <x:c r="F106" s="14" t="n">
        <x:v>28</x:v>
      </x:c>
      <x:c r="G106" s="6" t="str">
        <x:v>nr</x:v>
      </x:c>
      <x:c r="H106" s="16" t="n">
        <x:v>10</x:v>
      </x:c>
      <x:c r="I106" s="16" t="n">
        <x:v>4</x:v>
      </x:c>
      <x:c r="J106" s="16" t="n">
        <x:f>ROUNDUP(F106/H106,0)</x:f>
        <x:v>3</x:v>
      </x:c>
      <x:c r="K106" s="6" t="n">
        <x:f>MAX(L105+0)</x:f>
        <x:v>414</x:v>
      </x:c>
      <x:c r="L106" s="6" t="n">
        <x:f>K106+J106</x:f>
        <x:v>417</x:v>
      </x:c>
      <x:c r="M106" s="6" t="n">
        <x:f>N106-J106</x:f>
        <x:v>479</x:v>
      </x:c>
      <x:c r="N106" s="6" t="n">
        <x:f>MIN(M816-0)</x:f>
        <x:v>482</x:v>
      </x:c>
      <x:c r="O106" s="6" t="n">
        <x:f>M106-K106</x:f>
        <x:v>65</x:v>
      </x:c>
      <x:c r="P106" s="18" t="n">
        <x:f>INDEX('Calendar'!$C$8:$C$907,K106+1)</x:f>
        <x:v>46811</x:v>
      </x:c>
      <x:c r="Q106" s="18" t="n">
        <x:f>INDEX('Calendar'!$C$8:$C$907,MAX(K106+1,L106))</x:f>
        <x:v>46813</x:v>
      </x:c>
      <x:c r="R106" s="14" t="n">
        <x:v>5796</x:v>
      </x:c>
      <x:c r="S106" s="14"/>
      <x:c r="T106" s="14" t="n">
        <x:f>R106/J106</x:f>
        <x:v>1932</x:v>
      </x:c>
    </x:row>
    <x:row r="107" ht="23" customHeight="1">
      <x:c r="A107" s="1" t="str">
        <x:v>T1-L06-M</x:v>
      </x:c>
      <x:c r="B107" s="1" t="str">
        <x:v>T1</x:v>
      </x:c>
      <x:c r="C107" s="1" t="str">
        <x:v>L06</x:v>
      </x:c>
      <x:c r="D107" s="1" t="str">
        <x:v>Partition masonry</x:v>
      </x:c>
      <x:c r="E107" s="1" t="str">
        <x:v>Masonry</x:v>
      </x:c>
      <x:c r="F107" s="15" t="n">
        <x:v>90.40200000000002</x:v>
      </x:c>
      <x:c r="G107" s="1" t="str">
        <x:v>m3</x:v>
      </x:c>
      <x:c r="H107" s="17" t="n">
        <x:v>22</x:v>
      </x:c>
      <x:c r="I107" s="17" t="n">
        <x:v>10</x:v>
      </x:c>
      <x:c r="J107" s="17" t="n">
        <x:f>ROUNDUP(F107/H107,0)</x:f>
        <x:v>5</x:v>
      </x:c>
      <x:c r="K107" s="1" t="n">
        <x:f>MAX(L55+5)</x:f>
        <x:v>319</x:v>
      </x:c>
      <x:c r="L107" s="1" t="n">
        <x:f>K107+J107</x:f>
        <x:v>324</x:v>
      </x:c>
      <x:c r="M107" s="1" t="n">
        <x:f>N107-J107</x:f>
        <x:v>433</x:v>
      </x:c>
      <x:c r="N107" s="1" t="n">
        <x:f>MIN(M108-3)</x:f>
        <x:v>438</x:v>
      </x:c>
      <x:c r="O107" s="1" t="n">
        <x:f>M107-K107</x:f>
        <x:v>114</x:v>
      </x:c>
      <x:c r="P107" s="19" t="n">
        <x:f>INDEX('Calendar'!$C$8:$C$907,K107+1)</x:f>
        <x:v>46700</x:v>
      </x:c>
      <x:c r="Q107" s="19" t="n">
        <x:f>INDEX('Calendar'!$C$8:$C$907,MAX(K107+1,L107))</x:f>
        <x:v>46704</x:v>
      </x:c>
      <x:c r="R107" s="15" t="n">
        <x:v>12204.27</x:v>
      </x:c>
      <x:c r="S107" s="15"/>
      <x:c r="T107" s="15" t="n">
        <x:f>R107/J107</x:f>
        <x:v>2440.8540000000003</x:v>
      </x:c>
    </x:row>
    <x:row r="108" ht="23" customHeight="1">
      <x:c r="A108" s="6" t="str">
        <x:v>T1-L06-P</x:v>
      </x:c>
      <x:c r="B108" s="6" t="str">
        <x:v>T1</x:v>
      </x:c>
      <x:c r="C108" s="6" t="str">
        <x:v>L06</x:v>
      </x:c>
      <x:c r="D108" s="6" t="str">
        <x:v>Internal plaster</x:v>
      </x:c>
      <x:c r="E108" s="6" t="str">
        <x:v>Finishes</x:v>
      </x:c>
      <x:c r="F108" s="14" t="n">
        <x:v>1205.3600000000006</x:v>
      </x:c>
      <x:c r="G108" s="6" t="str">
        <x:v>m2</x:v>
      </x:c>
      <x:c r="H108" s="16" t="n">
        <x:v>220</x:v>
      </x:c>
      <x:c r="I108" s="16" t="n">
        <x:v>10</x:v>
      </x:c>
      <x:c r="J108" s="16" t="n">
        <x:f>ROUNDUP(F108/H108,0)</x:f>
        <x:v>6</x:v>
      </x:c>
      <x:c r="K108" s="6" t="n">
        <x:f>MAX(L107+3)</x:f>
        <x:v>327</x:v>
      </x:c>
      <x:c r="L108" s="6" t="n">
        <x:f>K108+J108</x:f>
        <x:v>333</x:v>
      </x:c>
      <x:c r="M108" s="6" t="n">
        <x:f>N108-J108</x:f>
        <x:v>441</x:v>
      </x:c>
      <x:c r="N108" s="6" t="n">
        <x:f>MIN(M109-2)</x:f>
        <x:v>447</x:v>
      </x:c>
      <x:c r="O108" s="6" t="n">
        <x:f>M108-K108</x:f>
        <x:v>114</x:v>
      </x:c>
      <x:c r="P108" s="18" t="n">
        <x:f>INDEX('Calendar'!$C$8:$C$907,K108+1)</x:f>
        <x:v>46709</x:v>
      </x:c>
      <x:c r="Q108" s="18" t="n">
        <x:f>INDEX('Calendar'!$C$8:$C$907,MAX(K108+1,L108))</x:f>
        <x:v>46715</x:v>
      </x:c>
      <x:c r="R108" s="14" t="n">
        <x:v>15067.000000000005</x:v>
      </x:c>
      <x:c r="S108" s="14"/>
      <x:c r="T108" s="14" t="n">
        <x:f>R108/J108</x:f>
        <x:v>2511.1666666666674</x:v>
      </x:c>
    </x:row>
    <x:row r="109" ht="23" customHeight="1">
      <x:c r="A109" s="1" t="str">
        <x:v>T1-L06-S</x:v>
      </x:c>
      <x:c r="B109" s="1" t="str">
        <x:v>T1</x:v>
      </x:c>
      <x:c r="C109" s="1" t="str">
        <x:v>L06</x:v>
      </x:c>
      <x:c r="D109" s="1" t="str">
        <x:v>Screed and substrate preparation</x:v>
      </x:c>
      <x:c r="E109" s="1" t="str">
        <x:v>Finishes</x:v>
      </x:c>
      <x:c r="F109" s="15" t="n">
        <x:v>696</x:v>
      </x:c>
      <x:c r="G109" s="1" t="str">
        <x:v>m2</x:v>
      </x:c>
      <x:c r="H109" s="17" t="n">
        <x:v>240</x:v>
      </x:c>
      <x:c r="I109" s="17" t="n">
        <x:v>8</x:v>
      </x:c>
      <x:c r="J109" s="17" t="n">
        <x:f>ROUNDUP(F109/H109,0)</x:f>
        <x:v>3</x:v>
      </x:c>
      <x:c r="K109" s="1" t="n">
        <x:f>MAX(L108+2)</x:f>
        <x:v>335</x:v>
      </x:c>
      <x:c r="L109" s="1" t="n">
        <x:f>K109+J109</x:f>
        <x:v>338</x:v>
      </x:c>
      <x:c r="M109" s="1" t="n">
        <x:f>N109-J109</x:f>
        <x:v>449</x:v>
      </x:c>
      <x:c r="N109" s="1" t="n">
        <x:f>MIN(M110-14)</x:f>
        <x:v>452</x:v>
      </x:c>
      <x:c r="O109" s="1" t="n">
        <x:f>M109-K109</x:f>
        <x:v>114</x:v>
      </x:c>
      <x:c r="P109" s="19" t="n">
        <x:f>INDEX('Calendar'!$C$8:$C$907,K109+1)</x:f>
        <x:v>46718</x:v>
      </x:c>
      <x:c r="Q109" s="19" t="n">
        <x:f>INDEX('Calendar'!$C$8:$C$907,MAX(K109+1,L109))</x:f>
        <x:v>46721</x:v>
      </x:c>
      <x:c r="R109" s="15" t="n">
        <x:v>9048</x:v>
      </x:c>
      <x:c r="S109" s="15"/>
      <x:c r="T109" s="15" t="n">
        <x:f>R109/J109</x:f>
        <x:v>3016</x:v>
      </x:c>
    </x:row>
    <x:row r="110" ht="23" customHeight="1">
      <x:c r="A110" s="6" t="str">
        <x:v>T1-L06-T</x:v>
      </x:c>
      <x:c r="B110" s="6" t="str">
        <x:v>T1</x:v>
      </x:c>
      <x:c r="C110" s="6" t="str">
        <x:v>L06</x:v>
      </x:c>
      <x:c r="D110" s="6" t="str">
        <x:v>Floor finishes and skirtings</x:v>
      </x:c>
      <x:c r="E110" s="6" t="str">
        <x:v>Finishes</x:v>
      </x:c>
      <x:c r="F110" s="14" t="n">
        <x:v>696</x:v>
      </x:c>
      <x:c r="G110" s="6" t="str">
        <x:v>m2</x:v>
      </x:c>
      <x:c r="H110" s="16" t="n">
        <x:v>130</x:v>
      </x:c>
      <x:c r="I110" s="16" t="n">
        <x:v>8</x:v>
      </x:c>
      <x:c r="J110" s="16" t="n">
        <x:f>ROUNDUP(F110/H110,0)</x:f>
        <x:v>6</x:v>
      </x:c>
      <x:c r="K110" s="6" t="n">
        <x:f>MAX(L109+14,L70+0)</x:f>
        <x:v>401</x:v>
      </x:c>
      <x:c r="L110" s="6" t="n">
        <x:f>K110+J110</x:f>
        <x:v>407</x:v>
      </x:c>
      <x:c r="M110" s="6" t="n">
        <x:f>N110-J110</x:f>
        <x:v>466</x:v>
      </x:c>
      <x:c r="N110" s="6" t="n">
        <x:f>MIN(M111-2)</x:f>
        <x:v>472</x:v>
      </x:c>
      <x:c r="O110" s="6" t="n">
        <x:f>M110-K110</x:f>
        <x:v>65</x:v>
      </x:c>
      <x:c r="P110" s="18" t="n">
        <x:f>INDEX('Calendar'!$C$8:$C$907,K110+1)</x:f>
        <x:v>46795</x:v>
      </x:c>
      <x:c r="Q110" s="18" t="n">
        <x:f>INDEX('Calendar'!$C$8:$C$907,MAX(K110+1,L110))</x:f>
        <x:v>46801</x:v>
      </x:c>
      <x:c r="R110" s="14" t="n">
        <x:v>24012</x:v>
      </x:c>
      <x:c r="S110" s="14"/>
      <x:c r="T110" s="14" t="n">
        <x:f>R110/J110</x:f>
        <x:v>4002</x:v>
      </x:c>
    </x:row>
    <x:row r="111" ht="23" customHeight="1">
      <x:c r="A111" s="1" t="str">
        <x:v>T1-L06-A</x:v>
      </x:c>
      <x:c r="B111" s="1" t="str">
        <x:v>T1</x:v>
      </x:c>
      <x:c r="C111" s="1" t="str">
        <x:v>L06</x:v>
      </x:c>
      <x:c r="D111" s="1" t="str">
        <x:v>Paint and final decorations</x:v>
      </x:c>
      <x:c r="E111" s="1" t="str">
        <x:v>Finishes</x:v>
      </x:c>
      <x:c r="F111" s="15" t="n">
        <x:v>1205.3600000000004</x:v>
      </x:c>
      <x:c r="G111" s="1" t="str">
        <x:v>m2</x:v>
      </x:c>
      <x:c r="H111" s="17" t="n">
        <x:v>270</x:v>
      </x:c>
      <x:c r="I111" s="17" t="n">
        <x:v>8</x:v>
      </x:c>
      <x:c r="J111" s="17" t="n">
        <x:f>ROUNDUP(F111/H111,0)</x:f>
        <x:v>5</x:v>
      </x:c>
      <x:c r="K111" s="1" t="n">
        <x:f>MAX(L110+2)</x:f>
        <x:v>409</x:v>
      </x:c>
      <x:c r="L111" s="1" t="n">
        <x:f>K111+J111</x:f>
        <x:v>414</x:v>
      </x:c>
      <x:c r="M111" s="1" t="n">
        <x:f>N111-J111</x:f>
        <x:v>474</x:v>
      </x:c>
      <x:c r="N111" s="1" t="n">
        <x:f>MIN(M112-0)</x:f>
        <x:v>479</x:v>
      </x:c>
      <x:c r="O111" s="1" t="n">
        <x:f>M111-K111</x:f>
        <x:v>65</x:v>
      </x:c>
      <x:c r="P111" s="19" t="n">
        <x:f>INDEX('Calendar'!$C$8:$C$907,K111+1)</x:f>
        <x:v>46805</x:v>
      </x:c>
      <x:c r="Q111" s="19" t="n">
        <x:f>INDEX('Calendar'!$C$8:$C$907,MAX(K111+1,L111))</x:f>
        <x:v>46809</x:v>
      </x:c>
      <x:c r="R111" s="15" t="n">
        <x:v>10245.560000000003</x:v>
      </x:c>
      <x:c r="S111" s="15"/>
      <x:c r="T111" s="15" t="n">
        <x:f>R111/J111</x:f>
        <x:v>2049.1120000000005</x:v>
      </x:c>
    </x:row>
    <x:row r="112" ht="23" customHeight="1">
      <x:c r="A112" s="6" t="str">
        <x:v>T1-L06-D</x:v>
      </x:c>
      <x:c r="B112" s="6" t="str">
        <x:v>T1</x:v>
      </x:c>
      <x:c r="C112" s="6" t="str">
        <x:v>L06</x:v>
      </x:c>
      <x:c r="D112" s="6" t="str">
        <x:v>Door sets and ironmongery</x:v>
      </x:c>
      <x:c r="E112" s="6" t="str">
        <x:v>Finishes</x:v>
      </x:c>
      <x:c r="F112" s="14" t="n">
        <x:v>28</x:v>
      </x:c>
      <x:c r="G112" s="6" t="str">
        <x:v>nr</x:v>
      </x:c>
      <x:c r="H112" s="16" t="n">
        <x:v>10</x:v>
      </x:c>
      <x:c r="I112" s="16" t="n">
        <x:v>4</x:v>
      </x:c>
      <x:c r="J112" s="16" t="n">
        <x:f>ROUNDUP(F112/H112,0)</x:f>
        <x:v>3</x:v>
      </x:c>
      <x:c r="K112" s="6" t="n">
        <x:f>MAX(L111+0)</x:f>
        <x:v>414</x:v>
      </x:c>
      <x:c r="L112" s="6" t="n">
        <x:f>K112+J112</x:f>
        <x:v>417</x:v>
      </x:c>
      <x:c r="M112" s="6" t="n">
        <x:f>N112-J112</x:f>
        <x:v>479</x:v>
      </x:c>
      <x:c r="N112" s="6" t="n">
        <x:f>MIN(M816-0)</x:f>
        <x:v>482</x:v>
      </x:c>
      <x:c r="O112" s="6" t="n">
        <x:f>M112-K112</x:f>
        <x:v>65</x:v>
      </x:c>
      <x:c r="P112" s="18" t="n">
        <x:f>INDEX('Calendar'!$C$8:$C$907,K112+1)</x:f>
        <x:v>46811</x:v>
      </x:c>
      <x:c r="Q112" s="18" t="n">
        <x:f>INDEX('Calendar'!$C$8:$C$907,MAX(K112+1,L112))</x:f>
        <x:v>46813</x:v>
      </x:c>
      <x:c r="R112" s="14" t="n">
        <x:v>5796</x:v>
      </x:c>
      <x:c r="S112" s="14"/>
      <x:c r="T112" s="14" t="n">
        <x:f>R112/J112</x:f>
        <x:v>1932</x:v>
      </x:c>
    </x:row>
    <x:row r="113" ht="23" customHeight="1">
      <x:c r="A113" s="1" t="str">
        <x:v>T1-L07-M</x:v>
      </x:c>
      <x:c r="B113" s="1" t="str">
        <x:v>T1</x:v>
      </x:c>
      <x:c r="C113" s="1" t="str">
        <x:v>L07</x:v>
      </x:c>
      <x:c r="D113" s="1" t="str">
        <x:v>Partition masonry</x:v>
      </x:c>
      <x:c r="E113" s="1" t="str">
        <x:v>Masonry</x:v>
      </x:c>
      <x:c r="F113" s="15" t="n">
        <x:v>90.40200000000002</x:v>
      </x:c>
      <x:c r="G113" s="1" t="str">
        <x:v>m3</x:v>
      </x:c>
      <x:c r="H113" s="17" t="n">
        <x:v>22</x:v>
      </x:c>
      <x:c r="I113" s="17" t="n">
        <x:v>10</x:v>
      </x:c>
      <x:c r="J113" s="17" t="n">
        <x:f>ROUNDUP(F113/H113,0)</x:f>
        <x:v>5</x:v>
      </x:c>
      <x:c r="K113" s="1" t="n">
        <x:f>MAX(L59+5)</x:f>
        <x:v>337</x:v>
      </x:c>
      <x:c r="L113" s="1" t="n">
        <x:f>K113+J113</x:f>
        <x:v>342</x:v>
      </x:c>
      <x:c r="M113" s="1" t="n">
        <x:f>N113-J113</x:f>
        <x:v>433</x:v>
      </x:c>
      <x:c r="N113" s="1" t="n">
        <x:f>MIN(M114-3)</x:f>
        <x:v>438</x:v>
      </x:c>
      <x:c r="O113" s="1" t="n">
        <x:f>M113-K113</x:f>
        <x:v>96</x:v>
      </x:c>
      <x:c r="P113" s="19" t="n">
        <x:f>INDEX('Calendar'!$C$8:$C$907,K113+1)</x:f>
        <x:v>46721</x:v>
      </x:c>
      <x:c r="Q113" s="19" t="n">
        <x:f>INDEX('Calendar'!$C$8:$C$907,MAX(K113+1,L113))</x:f>
        <x:v>46725</x:v>
      </x:c>
      <x:c r="R113" s="15" t="n">
        <x:v>12204.27</x:v>
      </x:c>
      <x:c r="S113" s="15"/>
      <x:c r="T113" s="15" t="n">
        <x:f>R113/J113</x:f>
        <x:v>2440.8540000000003</x:v>
      </x:c>
    </x:row>
    <x:row r="114" ht="23" customHeight="1">
      <x:c r="A114" s="6" t="str">
        <x:v>T1-L07-P</x:v>
      </x:c>
      <x:c r="B114" s="6" t="str">
        <x:v>T1</x:v>
      </x:c>
      <x:c r="C114" s="6" t="str">
        <x:v>L07</x:v>
      </x:c>
      <x:c r="D114" s="6" t="str">
        <x:v>Internal plaster</x:v>
      </x:c>
      <x:c r="E114" s="6" t="str">
        <x:v>Finishes</x:v>
      </x:c>
      <x:c r="F114" s="14" t="n">
        <x:v>1205.3600000000006</x:v>
      </x:c>
      <x:c r="G114" s="6" t="str">
        <x:v>m2</x:v>
      </x:c>
      <x:c r="H114" s="16" t="n">
        <x:v>220</x:v>
      </x:c>
      <x:c r="I114" s="16" t="n">
        <x:v>10</x:v>
      </x:c>
      <x:c r="J114" s="16" t="n">
        <x:f>ROUNDUP(F114/H114,0)</x:f>
        <x:v>6</x:v>
      </x:c>
      <x:c r="K114" s="6" t="n">
        <x:f>MAX(L113+3)</x:f>
        <x:v>345</x:v>
      </x:c>
      <x:c r="L114" s="6" t="n">
        <x:f>K114+J114</x:f>
        <x:v>351</x:v>
      </x:c>
      <x:c r="M114" s="6" t="n">
        <x:f>N114-J114</x:f>
        <x:v>441</x:v>
      </x:c>
      <x:c r="N114" s="6" t="n">
        <x:f>MIN(M115-2)</x:f>
        <x:v>447</x:v>
      </x:c>
      <x:c r="O114" s="6" t="n">
        <x:f>M114-K114</x:f>
        <x:v>96</x:v>
      </x:c>
      <x:c r="P114" s="18" t="n">
        <x:f>INDEX('Calendar'!$C$8:$C$907,K114+1)</x:f>
        <x:v>46730</x:v>
      </x:c>
      <x:c r="Q114" s="18" t="n">
        <x:f>INDEX('Calendar'!$C$8:$C$907,MAX(K114+1,L114))</x:f>
        <x:v>46736</x:v>
      </x:c>
      <x:c r="R114" s="14" t="n">
        <x:v>15067.000000000005</x:v>
      </x:c>
      <x:c r="S114" s="14"/>
      <x:c r="T114" s="14" t="n">
        <x:f>R114/J114</x:f>
        <x:v>2511.1666666666674</x:v>
      </x:c>
    </x:row>
    <x:row r="115" ht="23" customHeight="1">
      <x:c r="A115" s="1" t="str">
        <x:v>T1-L07-S</x:v>
      </x:c>
      <x:c r="B115" s="1" t="str">
        <x:v>T1</x:v>
      </x:c>
      <x:c r="C115" s="1" t="str">
        <x:v>L07</x:v>
      </x:c>
      <x:c r="D115" s="1" t="str">
        <x:v>Screed and substrate preparation</x:v>
      </x:c>
      <x:c r="E115" s="1" t="str">
        <x:v>Finishes</x:v>
      </x:c>
      <x:c r="F115" s="15" t="n">
        <x:v>696</x:v>
      </x:c>
      <x:c r="G115" s="1" t="str">
        <x:v>m2</x:v>
      </x:c>
      <x:c r="H115" s="17" t="n">
        <x:v>240</x:v>
      </x:c>
      <x:c r="I115" s="17" t="n">
        <x:v>8</x:v>
      </x:c>
      <x:c r="J115" s="17" t="n">
        <x:f>ROUNDUP(F115/H115,0)</x:f>
        <x:v>3</x:v>
      </x:c>
      <x:c r="K115" s="1" t="n">
        <x:f>MAX(L114+2)</x:f>
        <x:v>353</x:v>
      </x:c>
      <x:c r="L115" s="1" t="n">
        <x:f>K115+J115</x:f>
        <x:v>356</x:v>
      </x:c>
      <x:c r="M115" s="1" t="n">
        <x:f>N115-J115</x:f>
        <x:v>449</x:v>
      </x:c>
      <x:c r="N115" s="1" t="n">
        <x:f>MIN(M116-14)</x:f>
        <x:v>452</x:v>
      </x:c>
      <x:c r="O115" s="1" t="n">
        <x:f>M115-K115</x:f>
        <x:v>96</x:v>
      </x:c>
      <x:c r="P115" s="19" t="n">
        <x:f>INDEX('Calendar'!$C$8:$C$907,K115+1)</x:f>
        <x:v>46739</x:v>
      </x:c>
      <x:c r="Q115" s="19" t="n">
        <x:f>INDEX('Calendar'!$C$8:$C$907,MAX(K115+1,L115))</x:f>
        <x:v>46742</x:v>
      </x:c>
      <x:c r="R115" s="15" t="n">
        <x:v>9048</x:v>
      </x:c>
      <x:c r="S115" s="15"/>
      <x:c r="T115" s="15" t="n">
        <x:f>R115/J115</x:f>
        <x:v>3016</x:v>
      </x:c>
    </x:row>
    <x:row r="116" ht="23" customHeight="1">
      <x:c r="A116" s="6" t="str">
        <x:v>T1-L07-T</x:v>
      </x:c>
      <x:c r="B116" s="6" t="str">
        <x:v>T1</x:v>
      </x:c>
      <x:c r="C116" s="6" t="str">
        <x:v>L07</x:v>
      </x:c>
      <x:c r="D116" s="6" t="str">
        <x:v>Floor finishes and skirtings</x:v>
      </x:c>
      <x:c r="E116" s="6" t="str">
        <x:v>Finishes</x:v>
      </x:c>
      <x:c r="F116" s="14" t="n">
        <x:v>696</x:v>
      </x:c>
      <x:c r="G116" s="6" t="str">
        <x:v>m2</x:v>
      </x:c>
      <x:c r="H116" s="16" t="n">
        <x:v>130</x:v>
      </x:c>
      <x:c r="I116" s="16" t="n">
        <x:v>8</x:v>
      </x:c>
      <x:c r="J116" s="16" t="n">
        <x:f>ROUNDUP(F116/H116,0)</x:f>
        <x:v>6</x:v>
      </x:c>
      <x:c r="K116" s="6" t="n">
        <x:f>MAX(L115+14,L70+0)</x:f>
        <x:v>401</x:v>
      </x:c>
      <x:c r="L116" s="6" t="n">
        <x:f>K116+J116</x:f>
        <x:v>407</x:v>
      </x:c>
      <x:c r="M116" s="6" t="n">
        <x:f>N116-J116</x:f>
        <x:v>466</x:v>
      </x:c>
      <x:c r="N116" s="6" t="n">
        <x:f>MIN(M117-2)</x:f>
        <x:v>472</x:v>
      </x:c>
      <x:c r="O116" s="6" t="n">
        <x:f>M116-K116</x:f>
        <x:v>65</x:v>
      </x:c>
      <x:c r="P116" s="18" t="n">
        <x:f>INDEX('Calendar'!$C$8:$C$907,K116+1)</x:f>
        <x:v>46795</x:v>
      </x:c>
      <x:c r="Q116" s="18" t="n">
        <x:f>INDEX('Calendar'!$C$8:$C$907,MAX(K116+1,L116))</x:f>
        <x:v>46801</x:v>
      </x:c>
      <x:c r="R116" s="14" t="n">
        <x:v>24012</x:v>
      </x:c>
      <x:c r="S116" s="14"/>
      <x:c r="T116" s="14" t="n">
        <x:f>R116/J116</x:f>
        <x:v>4002</x:v>
      </x:c>
    </x:row>
    <x:row r="117" ht="23" customHeight="1">
      <x:c r="A117" s="1" t="str">
        <x:v>T1-L07-A</x:v>
      </x:c>
      <x:c r="B117" s="1" t="str">
        <x:v>T1</x:v>
      </x:c>
      <x:c r="C117" s="1" t="str">
        <x:v>L07</x:v>
      </x:c>
      <x:c r="D117" s="1" t="str">
        <x:v>Paint and final decorations</x:v>
      </x:c>
      <x:c r="E117" s="1" t="str">
        <x:v>Finishes</x:v>
      </x:c>
      <x:c r="F117" s="15" t="n">
        <x:v>1205.3600000000004</x:v>
      </x:c>
      <x:c r="G117" s="1" t="str">
        <x:v>m2</x:v>
      </x:c>
      <x:c r="H117" s="17" t="n">
        <x:v>270</x:v>
      </x:c>
      <x:c r="I117" s="17" t="n">
        <x:v>8</x:v>
      </x:c>
      <x:c r="J117" s="17" t="n">
        <x:f>ROUNDUP(F117/H117,0)</x:f>
        <x:v>5</x:v>
      </x:c>
      <x:c r="K117" s="1" t="n">
        <x:f>MAX(L116+2)</x:f>
        <x:v>409</x:v>
      </x:c>
      <x:c r="L117" s="1" t="n">
        <x:f>K117+J117</x:f>
        <x:v>414</x:v>
      </x:c>
      <x:c r="M117" s="1" t="n">
        <x:f>N117-J117</x:f>
        <x:v>474</x:v>
      </x:c>
      <x:c r="N117" s="1" t="n">
        <x:f>MIN(M118-0)</x:f>
        <x:v>479</x:v>
      </x:c>
      <x:c r="O117" s="1" t="n">
        <x:f>M117-K117</x:f>
        <x:v>65</x:v>
      </x:c>
      <x:c r="P117" s="19" t="n">
        <x:f>INDEX('Calendar'!$C$8:$C$907,K117+1)</x:f>
        <x:v>46805</x:v>
      </x:c>
      <x:c r="Q117" s="19" t="n">
        <x:f>INDEX('Calendar'!$C$8:$C$907,MAX(K117+1,L117))</x:f>
        <x:v>46809</x:v>
      </x:c>
      <x:c r="R117" s="15" t="n">
        <x:v>10245.560000000003</x:v>
      </x:c>
      <x:c r="S117" s="15"/>
      <x:c r="T117" s="15" t="n">
        <x:f>R117/J117</x:f>
        <x:v>2049.1120000000005</x:v>
      </x:c>
    </x:row>
    <x:row r="118" ht="23" customHeight="1">
      <x:c r="A118" s="6" t="str">
        <x:v>T1-L07-D</x:v>
      </x:c>
      <x:c r="B118" s="6" t="str">
        <x:v>T1</x:v>
      </x:c>
      <x:c r="C118" s="6" t="str">
        <x:v>L07</x:v>
      </x:c>
      <x:c r="D118" s="6" t="str">
        <x:v>Door sets and ironmongery</x:v>
      </x:c>
      <x:c r="E118" s="6" t="str">
        <x:v>Finishes</x:v>
      </x:c>
      <x:c r="F118" s="14" t="n">
        <x:v>28</x:v>
      </x:c>
      <x:c r="G118" s="6" t="str">
        <x:v>nr</x:v>
      </x:c>
      <x:c r="H118" s="16" t="n">
        <x:v>10</x:v>
      </x:c>
      <x:c r="I118" s="16" t="n">
        <x:v>4</x:v>
      </x:c>
      <x:c r="J118" s="16" t="n">
        <x:f>ROUNDUP(F118/H118,0)</x:f>
        <x:v>3</x:v>
      </x:c>
      <x:c r="K118" s="6" t="n">
        <x:f>MAX(L117+0)</x:f>
        <x:v>414</x:v>
      </x:c>
      <x:c r="L118" s="6" t="n">
        <x:f>K118+J118</x:f>
        <x:v>417</x:v>
      </x:c>
      <x:c r="M118" s="6" t="n">
        <x:f>N118-J118</x:f>
        <x:v>479</x:v>
      </x:c>
      <x:c r="N118" s="6" t="n">
        <x:f>MIN(M816-0)</x:f>
        <x:v>482</x:v>
      </x:c>
      <x:c r="O118" s="6" t="n">
        <x:f>M118-K118</x:f>
        <x:v>65</x:v>
      </x:c>
      <x:c r="P118" s="18" t="n">
        <x:f>INDEX('Calendar'!$C$8:$C$907,K118+1)</x:f>
        <x:v>46811</x:v>
      </x:c>
      <x:c r="Q118" s="18" t="n">
        <x:f>INDEX('Calendar'!$C$8:$C$907,MAX(K118+1,L118))</x:f>
        <x:v>46813</x:v>
      </x:c>
      <x:c r="R118" s="14" t="n">
        <x:v>5796</x:v>
      </x:c>
      <x:c r="S118" s="14"/>
      <x:c r="T118" s="14" t="n">
        <x:f>R118/J118</x:f>
        <x:v>1932</x:v>
      </x:c>
    </x:row>
    <x:row r="119" ht="23" customHeight="1">
      <x:c r="A119" s="1" t="str">
        <x:v>T1-L08-M</x:v>
      </x:c>
      <x:c r="B119" s="1" t="str">
        <x:v>T1</x:v>
      </x:c>
      <x:c r="C119" s="1" t="str">
        <x:v>L08</x:v>
      </x:c>
      <x:c r="D119" s="1" t="str">
        <x:v>Partition masonry</x:v>
      </x:c>
      <x:c r="E119" s="1" t="str">
        <x:v>Masonry</x:v>
      </x:c>
      <x:c r="F119" s="15" t="n">
        <x:v>90.40200000000002</x:v>
      </x:c>
      <x:c r="G119" s="1" t="str">
        <x:v>m3</x:v>
      </x:c>
      <x:c r="H119" s="17" t="n">
        <x:v>22</x:v>
      </x:c>
      <x:c r="I119" s="17" t="n">
        <x:v>10</x:v>
      </x:c>
      <x:c r="J119" s="17" t="n">
        <x:f>ROUNDUP(F119/H119,0)</x:f>
        <x:v>5</x:v>
      </x:c>
      <x:c r="K119" s="1" t="n">
        <x:f>MAX(L63+5)</x:f>
        <x:v>355</x:v>
      </x:c>
      <x:c r="L119" s="1" t="n">
        <x:f>K119+J119</x:f>
        <x:v>360</x:v>
      </x:c>
      <x:c r="M119" s="1" t="n">
        <x:f>N119-J119</x:f>
        <x:v>433</x:v>
      </x:c>
      <x:c r="N119" s="1" t="n">
        <x:f>MIN(M120-3)</x:f>
        <x:v>438</x:v>
      </x:c>
      <x:c r="O119" s="1" t="n">
        <x:f>M119-K119</x:f>
        <x:v>78</x:v>
      </x:c>
      <x:c r="P119" s="19" t="n">
        <x:f>INDEX('Calendar'!$C$8:$C$907,K119+1)</x:f>
        <x:v>46742</x:v>
      </x:c>
      <x:c r="Q119" s="19" t="n">
        <x:f>INDEX('Calendar'!$C$8:$C$907,MAX(K119+1,L119))</x:f>
        <x:v>46746</x:v>
      </x:c>
      <x:c r="R119" s="15" t="n">
        <x:v>12204.27</x:v>
      </x:c>
      <x:c r="S119" s="15"/>
      <x:c r="T119" s="15" t="n">
        <x:f>R119/J119</x:f>
        <x:v>2440.8540000000003</x:v>
      </x:c>
    </x:row>
    <x:row r="120" ht="23" customHeight="1">
      <x:c r="A120" s="6" t="str">
        <x:v>T1-L08-P</x:v>
      </x:c>
      <x:c r="B120" s="6" t="str">
        <x:v>T1</x:v>
      </x:c>
      <x:c r="C120" s="6" t="str">
        <x:v>L08</x:v>
      </x:c>
      <x:c r="D120" s="6" t="str">
        <x:v>Internal plaster</x:v>
      </x:c>
      <x:c r="E120" s="6" t="str">
        <x:v>Finishes</x:v>
      </x:c>
      <x:c r="F120" s="14" t="n">
        <x:v>1205.3600000000006</x:v>
      </x:c>
      <x:c r="G120" s="6" t="str">
        <x:v>m2</x:v>
      </x:c>
      <x:c r="H120" s="16" t="n">
        <x:v>220</x:v>
      </x:c>
      <x:c r="I120" s="16" t="n">
        <x:v>10</x:v>
      </x:c>
      <x:c r="J120" s="16" t="n">
        <x:f>ROUNDUP(F120/H120,0)</x:f>
        <x:v>6</x:v>
      </x:c>
      <x:c r="K120" s="6" t="n">
        <x:f>MAX(L119+3)</x:f>
        <x:v>363</x:v>
      </x:c>
      <x:c r="L120" s="6" t="n">
        <x:f>K120+J120</x:f>
        <x:v>369</x:v>
      </x:c>
      <x:c r="M120" s="6" t="n">
        <x:f>N120-J120</x:f>
        <x:v>441</x:v>
      </x:c>
      <x:c r="N120" s="6" t="n">
        <x:f>MIN(M121-2)</x:f>
        <x:v>447</x:v>
      </x:c>
      <x:c r="O120" s="6" t="n">
        <x:f>M120-K120</x:f>
        <x:v>78</x:v>
      </x:c>
      <x:c r="P120" s="18" t="n">
        <x:f>INDEX('Calendar'!$C$8:$C$907,K120+1)</x:f>
        <x:v>46751</x:v>
      </x:c>
      <x:c r="Q120" s="18" t="n">
        <x:f>INDEX('Calendar'!$C$8:$C$907,MAX(K120+1,L120))</x:f>
        <x:v>46757</x:v>
      </x:c>
      <x:c r="R120" s="14" t="n">
        <x:v>15067.000000000005</x:v>
      </x:c>
      <x:c r="S120" s="14"/>
      <x:c r="T120" s="14" t="n">
        <x:f>R120/J120</x:f>
        <x:v>2511.1666666666674</x:v>
      </x:c>
    </x:row>
    <x:row r="121" ht="23" customHeight="1">
      <x:c r="A121" s="1" t="str">
        <x:v>T1-L08-S</x:v>
      </x:c>
      <x:c r="B121" s="1" t="str">
        <x:v>T1</x:v>
      </x:c>
      <x:c r="C121" s="1" t="str">
        <x:v>L08</x:v>
      </x:c>
      <x:c r="D121" s="1" t="str">
        <x:v>Screed and substrate preparation</x:v>
      </x:c>
      <x:c r="E121" s="1" t="str">
        <x:v>Finishes</x:v>
      </x:c>
      <x:c r="F121" s="15" t="n">
        <x:v>696</x:v>
      </x:c>
      <x:c r="G121" s="1" t="str">
        <x:v>m2</x:v>
      </x:c>
      <x:c r="H121" s="17" t="n">
        <x:v>240</x:v>
      </x:c>
      <x:c r="I121" s="17" t="n">
        <x:v>8</x:v>
      </x:c>
      <x:c r="J121" s="17" t="n">
        <x:f>ROUNDUP(F121/H121,0)</x:f>
        <x:v>3</x:v>
      </x:c>
      <x:c r="K121" s="1" t="n">
        <x:f>MAX(L120+2)</x:f>
        <x:v>371</x:v>
      </x:c>
      <x:c r="L121" s="1" t="n">
        <x:f>K121+J121</x:f>
        <x:v>374</x:v>
      </x:c>
      <x:c r="M121" s="1" t="n">
        <x:f>N121-J121</x:f>
        <x:v>449</x:v>
      </x:c>
      <x:c r="N121" s="1" t="n">
        <x:f>MIN(M122-14)</x:f>
        <x:v>452</x:v>
      </x:c>
      <x:c r="O121" s="1" t="n">
        <x:f>M121-K121</x:f>
        <x:v>78</x:v>
      </x:c>
      <x:c r="P121" s="19" t="n">
        <x:f>INDEX('Calendar'!$C$8:$C$907,K121+1)</x:f>
        <x:v>46760</x:v>
      </x:c>
      <x:c r="Q121" s="19" t="n">
        <x:f>INDEX('Calendar'!$C$8:$C$907,MAX(K121+1,L121))</x:f>
        <x:v>46763</x:v>
      </x:c>
      <x:c r="R121" s="15" t="n">
        <x:v>9048</x:v>
      </x:c>
      <x:c r="S121" s="15"/>
      <x:c r="T121" s="15" t="n">
        <x:f>R121/J121</x:f>
        <x:v>3016</x:v>
      </x:c>
    </x:row>
    <x:row r="122" ht="23" customHeight="1">
      <x:c r="A122" s="6" t="str">
        <x:v>T1-L08-T</x:v>
      </x:c>
      <x:c r="B122" s="6" t="str">
        <x:v>T1</x:v>
      </x:c>
      <x:c r="C122" s="6" t="str">
        <x:v>L08</x:v>
      </x:c>
      <x:c r="D122" s="6" t="str">
        <x:v>Floor finishes and skirtings</x:v>
      </x:c>
      <x:c r="E122" s="6" t="str">
        <x:v>Finishes</x:v>
      </x:c>
      <x:c r="F122" s="14" t="n">
        <x:v>696</x:v>
      </x:c>
      <x:c r="G122" s="6" t="str">
        <x:v>m2</x:v>
      </x:c>
      <x:c r="H122" s="16" t="n">
        <x:v>130</x:v>
      </x:c>
      <x:c r="I122" s="16" t="n">
        <x:v>8</x:v>
      </x:c>
      <x:c r="J122" s="16" t="n">
        <x:f>ROUNDUP(F122/H122,0)</x:f>
        <x:v>6</x:v>
      </x:c>
      <x:c r="K122" s="6" t="n">
        <x:f>MAX(L121+14,L70+0)</x:f>
        <x:v>401</x:v>
      </x:c>
      <x:c r="L122" s="6" t="n">
        <x:f>K122+J122</x:f>
        <x:v>407</x:v>
      </x:c>
      <x:c r="M122" s="6" t="n">
        <x:f>N122-J122</x:f>
        <x:v>466</x:v>
      </x:c>
      <x:c r="N122" s="6" t="n">
        <x:f>MIN(M123-2)</x:f>
        <x:v>472</x:v>
      </x:c>
      <x:c r="O122" s="6" t="n">
        <x:f>M122-K122</x:f>
        <x:v>65</x:v>
      </x:c>
      <x:c r="P122" s="18" t="n">
        <x:f>INDEX('Calendar'!$C$8:$C$907,K122+1)</x:f>
        <x:v>46795</x:v>
      </x:c>
      <x:c r="Q122" s="18" t="n">
        <x:f>INDEX('Calendar'!$C$8:$C$907,MAX(K122+1,L122))</x:f>
        <x:v>46801</x:v>
      </x:c>
      <x:c r="R122" s="14" t="n">
        <x:v>24012</x:v>
      </x:c>
      <x:c r="S122" s="14"/>
      <x:c r="T122" s="14" t="n">
        <x:f>R122/J122</x:f>
        <x:v>4002</x:v>
      </x:c>
    </x:row>
    <x:row r="123" ht="23" customHeight="1">
      <x:c r="A123" s="1" t="str">
        <x:v>T1-L08-A</x:v>
      </x:c>
      <x:c r="B123" s="1" t="str">
        <x:v>T1</x:v>
      </x:c>
      <x:c r="C123" s="1" t="str">
        <x:v>L08</x:v>
      </x:c>
      <x:c r="D123" s="1" t="str">
        <x:v>Paint and final decorations</x:v>
      </x:c>
      <x:c r="E123" s="1" t="str">
        <x:v>Finishes</x:v>
      </x:c>
      <x:c r="F123" s="15" t="n">
        <x:v>1205.3600000000004</x:v>
      </x:c>
      <x:c r="G123" s="1" t="str">
        <x:v>m2</x:v>
      </x:c>
      <x:c r="H123" s="17" t="n">
        <x:v>270</x:v>
      </x:c>
      <x:c r="I123" s="17" t="n">
        <x:v>8</x:v>
      </x:c>
      <x:c r="J123" s="17" t="n">
        <x:f>ROUNDUP(F123/H123,0)</x:f>
        <x:v>5</x:v>
      </x:c>
      <x:c r="K123" s="1" t="n">
        <x:f>MAX(L122+2)</x:f>
        <x:v>409</x:v>
      </x:c>
      <x:c r="L123" s="1" t="n">
        <x:f>K123+J123</x:f>
        <x:v>414</x:v>
      </x:c>
      <x:c r="M123" s="1" t="n">
        <x:f>N123-J123</x:f>
        <x:v>474</x:v>
      </x:c>
      <x:c r="N123" s="1" t="n">
        <x:f>MIN(M124-0)</x:f>
        <x:v>479</x:v>
      </x:c>
      <x:c r="O123" s="1" t="n">
        <x:f>M123-K123</x:f>
        <x:v>65</x:v>
      </x:c>
      <x:c r="P123" s="19" t="n">
        <x:f>INDEX('Calendar'!$C$8:$C$907,K123+1)</x:f>
        <x:v>46805</x:v>
      </x:c>
      <x:c r="Q123" s="19" t="n">
        <x:f>INDEX('Calendar'!$C$8:$C$907,MAX(K123+1,L123))</x:f>
        <x:v>46809</x:v>
      </x:c>
      <x:c r="R123" s="15" t="n">
        <x:v>10245.560000000003</x:v>
      </x:c>
      <x:c r="S123" s="15"/>
      <x:c r="T123" s="15" t="n">
        <x:f>R123/J123</x:f>
        <x:v>2049.1120000000005</x:v>
      </x:c>
    </x:row>
    <x:row r="124" ht="23" customHeight="1">
      <x:c r="A124" s="6" t="str">
        <x:v>T1-L08-D</x:v>
      </x:c>
      <x:c r="B124" s="6" t="str">
        <x:v>T1</x:v>
      </x:c>
      <x:c r="C124" s="6" t="str">
        <x:v>L08</x:v>
      </x:c>
      <x:c r="D124" s="6" t="str">
        <x:v>Door sets and ironmongery</x:v>
      </x:c>
      <x:c r="E124" s="6" t="str">
        <x:v>Finishes</x:v>
      </x:c>
      <x:c r="F124" s="14" t="n">
        <x:v>28</x:v>
      </x:c>
      <x:c r="G124" s="6" t="str">
        <x:v>nr</x:v>
      </x:c>
      <x:c r="H124" s="16" t="n">
        <x:v>10</x:v>
      </x:c>
      <x:c r="I124" s="16" t="n">
        <x:v>4</x:v>
      </x:c>
      <x:c r="J124" s="16" t="n">
        <x:f>ROUNDUP(F124/H124,0)</x:f>
        <x:v>3</x:v>
      </x:c>
      <x:c r="K124" s="6" t="n">
        <x:f>MAX(L123+0)</x:f>
        <x:v>414</x:v>
      </x:c>
      <x:c r="L124" s="6" t="n">
        <x:f>K124+J124</x:f>
        <x:v>417</x:v>
      </x:c>
      <x:c r="M124" s="6" t="n">
        <x:f>N124-J124</x:f>
        <x:v>479</x:v>
      </x:c>
      <x:c r="N124" s="6" t="n">
        <x:f>MIN(M816-0)</x:f>
        <x:v>482</x:v>
      </x:c>
      <x:c r="O124" s="6" t="n">
        <x:f>M124-K124</x:f>
        <x:v>65</x:v>
      </x:c>
      <x:c r="P124" s="18" t="n">
        <x:f>INDEX('Calendar'!$C$8:$C$907,K124+1)</x:f>
        <x:v>46811</x:v>
      </x:c>
      <x:c r="Q124" s="18" t="n">
        <x:f>INDEX('Calendar'!$C$8:$C$907,MAX(K124+1,L124))</x:f>
        <x:v>46813</x:v>
      </x:c>
      <x:c r="R124" s="14" t="n">
        <x:v>5796</x:v>
      </x:c>
      <x:c r="S124" s="14"/>
      <x:c r="T124" s="14" t="n">
        <x:f>R124/J124</x:f>
        <x:v>1932</x:v>
      </x:c>
    </x:row>
    <x:row r="125" ht="23" customHeight="1">
      <x:c r="A125" s="1" t="str">
        <x:v>T1-L09-M</x:v>
      </x:c>
      <x:c r="B125" s="1" t="str">
        <x:v>T1</x:v>
      </x:c>
      <x:c r="C125" s="1" t="str">
        <x:v>L09</x:v>
      </x:c>
      <x:c r="D125" s="1" t="str">
        <x:v>Partition masonry</x:v>
      </x:c>
      <x:c r="E125" s="1" t="str">
        <x:v>Masonry</x:v>
      </x:c>
      <x:c r="F125" s="15" t="n">
        <x:v>90.40200000000002</x:v>
      </x:c>
      <x:c r="G125" s="1" t="str">
        <x:v>m3</x:v>
      </x:c>
      <x:c r="H125" s="17" t="n">
        <x:v>22</x:v>
      </x:c>
      <x:c r="I125" s="17" t="n">
        <x:v>10</x:v>
      </x:c>
      <x:c r="J125" s="17" t="n">
        <x:f>ROUNDUP(F125/H125,0)</x:f>
        <x:v>5</x:v>
      </x:c>
      <x:c r="K125" s="1" t="n">
        <x:f>MAX(L67+5)</x:f>
        <x:v>373</x:v>
      </x:c>
      <x:c r="L125" s="1" t="n">
        <x:f>K125+J125</x:f>
        <x:v>378</x:v>
      </x:c>
      <x:c r="M125" s="1" t="n">
        <x:f>N125-J125</x:f>
        <x:v>433</x:v>
      </x:c>
      <x:c r="N125" s="1" t="n">
        <x:f>MIN(M126-3)</x:f>
        <x:v>438</x:v>
      </x:c>
      <x:c r="O125" s="1" t="n">
        <x:f>M125-K125</x:f>
        <x:v>60</x:v>
      </x:c>
      <x:c r="P125" s="19" t="n">
        <x:f>INDEX('Calendar'!$C$8:$C$907,K125+1)</x:f>
        <x:v>46763</x:v>
      </x:c>
      <x:c r="Q125" s="19" t="n">
        <x:f>INDEX('Calendar'!$C$8:$C$907,MAX(K125+1,L125))</x:f>
        <x:v>46767</x:v>
      </x:c>
      <x:c r="R125" s="15" t="n">
        <x:v>12204.27</x:v>
      </x:c>
      <x:c r="S125" s="15"/>
      <x:c r="T125" s="15" t="n">
        <x:f>R125/J125</x:f>
        <x:v>2440.8540000000003</x:v>
      </x:c>
    </x:row>
    <x:row r="126" ht="23" customHeight="1">
      <x:c r="A126" s="6" t="str">
        <x:v>T1-L09-P</x:v>
      </x:c>
      <x:c r="B126" s="6" t="str">
        <x:v>T1</x:v>
      </x:c>
      <x:c r="C126" s="6" t="str">
        <x:v>L09</x:v>
      </x:c>
      <x:c r="D126" s="6" t="str">
        <x:v>Internal plaster</x:v>
      </x:c>
      <x:c r="E126" s="6" t="str">
        <x:v>Finishes</x:v>
      </x:c>
      <x:c r="F126" s="14" t="n">
        <x:v>1205.3600000000006</x:v>
      </x:c>
      <x:c r="G126" s="6" t="str">
        <x:v>m2</x:v>
      </x:c>
      <x:c r="H126" s="16" t="n">
        <x:v>220</x:v>
      </x:c>
      <x:c r="I126" s="16" t="n">
        <x:v>10</x:v>
      </x:c>
      <x:c r="J126" s="16" t="n">
        <x:f>ROUNDUP(F126/H126,0)</x:f>
        <x:v>6</x:v>
      </x:c>
      <x:c r="K126" s="6" t="n">
        <x:f>MAX(L125+3)</x:f>
        <x:v>381</x:v>
      </x:c>
      <x:c r="L126" s="6" t="n">
        <x:f>K126+J126</x:f>
        <x:v>387</x:v>
      </x:c>
      <x:c r="M126" s="6" t="n">
        <x:f>N126-J126</x:f>
        <x:v>441</x:v>
      </x:c>
      <x:c r="N126" s="6" t="n">
        <x:f>MIN(M127-2)</x:f>
        <x:v>447</x:v>
      </x:c>
      <x:c r="O126" s="6" t="n">
        <x:f>M126-K126</x:f>
        <x:v>60</x:v>
      </x:c>
      <x:c r="P126" s="18" t="n">
        <x:f>INDEX('Calendar'!$C$8:$C$907,K126+1)</x:f>
        <x:v>46772</x:v>
      </x:c>
      <x:c r="Q126" s="18" t="n">
        <x:f>INDEX('Calendar'!$C$8:$C$907,MAX(K126+1,L126))</x:f>
        <x:v>46778</x:v>
      </x:c>
      <x:c r="R126" s="14" t="n">
        <x:v>15067.000000000005</x:v>
      </x:c>
      <x:c r="S126" s="14"/>
      <x:c r="T126" s="14" t="n">
        <x:f>R126/J126</x:f>
        <x:v>2511.1666666666674</x:v>
      </x:c>
    </x:row>
    <x:row r="127" ht="23" customHeight="1">
      <x:c r="A127" s="1" t="str">
        <x:v>T1-L09-S</x:v>
      </x:c>
      <x:c r="B127" s="1" t="str">
        <x:v>T1</x:v>
      </x:c>
      <x:c r="C127" s="1" t="str">
        <x:v>L09</x:v>
      </x:c>
      <x:c r="D127" s="1" t="str">
        <x:v>Screed and substrate preparation</x:v>
      </x:c>
      <x:c r="E127" s="1" t="str">
        <x:v>Finishes</x:v>
      </x:c>
      <x:c r="F127" s="15" t="n">
        <x:v>696</x:v>
      </x:c>
      <x:c r="G127" s="1" t="str">
        <x:v>m2</x:v>
      </x:c>
      <x:c r="H127" s="17" t="n">
        <x:v>240</x:v>
      </x:c>
      <x:c r="I127" s="17" t="n">
        <x:v>8</x:v>
      </x:c>
      <x:c r="J127" s="17" t="n">
        <x:f>ROUNDUP(F127/H127,0)</x:f>
        <x:v>3</x:v>
      </x:c>
      <x:c r="K127" s="1" t="n">
        <x:f>MAX(L126+2)</x:f>
        <x:v>389</x:v>
      </x:c>
      <x:c r="L127" s="1" t="n">
        <x:f>K127+J127</x:f>
        <x:v>392</x:v>
      </x:c>
      <x:c r="M127" s="1" t="n">
        <x:f>N127-J127</x:f>
        <x:v>449</x:v>
      </x:c>
      <x:c r="N127" s="1" t="n">
        <x:f>MIN(M128-14)</x:f>
        <x:v>452</x:v>
      </x:c>
      <x:c r="O127" s="1" t="n">
        <x:f>M127-K127</x:f>
        <x:v>60</x:v>
      </x:c>
      <x:c r="P127" s="19" t="n">
        <x:f>INDEX('Calendar'!$C$8:$C$907,K127+1)</x:f>
        <x:v>46781</x:v>
      </x:c>
      <x:c r="Q127" s="19" t="n">
        <x:f>INDEX('Calendar'!$C$8:$C$907,MAX(K127+1,L127))</x:f>
        <x:v>46784</x:v>
      </x:c>
      <x:c r="R127" s="15" t="n">
        <x:v>9048</x:v>
      </x:c>
      <x:c r="S127" s="15"/>
      <x:c r="T127" s="15" t="n">
        <x:f>R127/J127</x:f>
        <x:v>3016</x:v>
      </x:c>
    </x:row>
    <x:row r="128" ht="23" customHeight="1">
      <x:c r="A128" s="6" t="str">
        <x:v>T1-L09-T</x:v>
      </x:c>
      <x:c r="B128" s="6" t="str">
        <x:v>T1</x:v>
      </x:c>
      <x:c r="C128" s="6" t="str">
        <x:v>L09</x:v>
      </x:c>
      <x:c r="D128" s="6" t="str">
        <x:v>Floor finishes and skirtings</x:v>
      </x:c>
      <x:c r="E128" s="6" t="str">
        <x:v>Finishes</x:v>
      </x:c>
      <x:c r="F128" s="14" t="n">
        <x:v>696</x:v>
      </x:c>
      <x:c r="G128" s="6" t="str">
        <x:v>m2</x:v>
      </x:c>
      <x:c r="H128" s="16" t="n">
        <x:v>130</x:v>
      </x:c>
      <x:c r="I128" s="16" t="n">
        <x:v>8</x:v>
      </x:c>
      <x:c r="J128" s="16" t="n">
        <x:f>ROUNDUP(F128/H128,0)</x:f>
        <x:v>6</x:v>
      </x:c>
      <x:c r="K128" s="6" t="n">
        <x:f>MAX(L127+14,L70+0)</x:f>
        <x:v>406</x:v>
      </x:c>
      <x:c r="L128" s="6" t="n">
        <x:f>K128+J128</x:f>
        <x:v>412</x:v>
      </x:c>
      <x:c r="M128" s="6" t="n">
        <x:f>N128-J128</x:f>
        <x:v>466</x:v>
      </x:c>
      <x:c r="N128" s="6" t="n">
        <x:f>MIN(M129-2)</x:f>
        <x:v>472</x:v>
      </x:c>
      <x:c r="O128" s="6" t="n">
        <x:f>M128-K128</x:f>
        <x:v>60</x:v>
      </x:c>
      <x:c r="P128" s="18" t="n">
        <x:f>INDEX('Calendar'!$C$8:$C$907,K128+1)</x:f>
        <x:v>46801</x:v>
      </x:c>
      <x:c r="Q128" s="18" t="n">
        <x:f>INDEX('Calendar'!$C$8:$C$907,MAX(K128+1,L128))</x:f>
        <x:v>46807</x:v>
      </x:c>
      <x:c r="R128" s="14" t="n">
        <x:v>24012</x:v>
      </x:c>
      <x:c r="S128" s="14"/>
      <x:c r="T128" s="14" t="n">
        <x:f>R128/J128</x:f>
        <x:v>4002</x:v>
      </x:c>
    </x:row>
    <x:row r="129" ht="23" customHeight="1">
      <x:c r="A129" s="1" t="str">
        <x:v>T1-L09-A</x:v>
      </x:c>
      <x:c r="B129" s="1" t="str">
        <x:v>T1</x:v>
      </x:c>
      <x:c r="C129" s="1" t="str">
        <x:v>L09</x:v>
      </x:c>
      <x:c r="D129" s="1" t="str">
        <x:v>Paint and final decorations</x:v>
      </x:c>
      <x:c r="E129" s="1" t="str">
        <x:v>Finishes</x:v>
      </x:c>
      <x:c r="F129" s="15" t="n">
        <x:v>1205.3600000000004</x:v>
      </x:c>
      <x:c r="G129" s="1" t="str">
        <x:v>m2</x:v>
      </x:c>
      <x:c r="H129" s="17" t="n">
        <x:v>270</x:v>
      </x:c>
      <x:c r="I129" s="17" t="n">
        <x:v>8</x:v>
      </x:c>
      <x:c r="J129" s="17" t="n">
        <x:f>ROUNDUP(F129/H129,0)</x:f>
        <x:v>5</x:v>
      </x:c>
      <x:c r="K129" s="1" t="n">
        <x:f>MAX(L128+2)</x:f>
        <x:v>414</x:v>
      </x:c>
      <x:c r="L129" s="1" t="n">
        <x:f>K129+J129</x:f>
        <x:v>419</x:v>
      </x:c>
      <x:c r="M129" s="1" t="n">
        <x:f>N129-J129</x:f>
        <x:v>474</x:v>
      </x:c>
      <x:c r="N129" s="1" t="n">
        <x:f>MIN(M130-0)</x:f>
        <x:v>479</x:v>
      </x:c>
      <x:c r="O129" s="1" t="n">
        <x:f>M129-K129</x:f>
        <x:v>60</x:v>
      </x:c>
      <x:c r="P129" s="19" t="n">
        <x:f>INDEX('Calendar'!$C$8:$C$907,K129+1)</x:f>
        <x:v>46811</x:v>
      </x:c>
      <x:c r="Q129" s="19" t="n">
        <x:f>INDEX('Calendar'!$C$8:$C$907,MAX(K129+1,L129))</x:f>
        <x:v>46815</x:v>
      </x:c>
      <x:c r="R129" s="15" t="n">
        <x:v>10245.560000000003</x:v>
      </x:c>
      <x:c r="S129" s="15"/>
      <x:c r="T129" s="15" t="n">
        <x:f>R129/J129</x:f>
        <x:v>2049.1120000000005</x:v>
      </x:c>
    </x:row>
    <x:row r="130" ht="23" customHeight="1">
      <x:c r="A130" s="6" t="str">
        <x:v>T1-L09-D</x:v>
      </x:c>
      <x:c r="B130" s="6" t="str">
        <x:v>T1</x:v>
      </x:c>
      <x:c r="C130" s="6" t="str">
        <x:v>L09</x:v>
      </x:c>
      <x:c r="D130" s="6" t="str">
        <x:v>Door sets and ironmongery</x:v>
      </x:c>
      <x:c r="E130" s="6" t="str">
        <x:v>Finishes</x:v>
      </x:c>
      <x:c r="F130" s="14" t="n">
        <x:v>28</x:v>
      </x:c>
      <x:c r="G130" s="6" t="str">
        <x:v>nr</x:v>
      </x:c>
      <x:c r="H130" s="16" t="n">
        <x:v>10</x:v>
      </x:c>
      <x:c r="I130" s="16" t="n">
        <x:v>4</x:v>
      </x:c>
      <x:c r="J130" s="16" t="n">
        <x:f>ROUNDUP(F130/H130,0)</x:f>
        <x:v>3</x:v>
      </x:c>
      <x:c r="K130" s="6" t="n">
        <x:f>MAX(L129+0)</x:f>
        <x:v>419</x:v>
      </x:c>
      <x:c r="L130" s="6" t="n">
        <x:f>K130+J130</x:f>
        <x:v>422</x:v>
      </x:c>
      <x:c r="M130" s="6" t="n">
        <x:f>N130-J130</x:f>
        <x:v>479</x:v>
      </x:c>
      <x:c r="N130" s="6" t="n">
        <x:f>MIN(M816-0)</x:f>
        <x:v>482</x:v>
      </x:c>
      <x:c r="O130" s="6" t="n">
        <x:f>M130-K130</x:f>
        <x:v>60</x:v>
      </x:c>
      <x:c r="P130" s="18" t="n">
        <x:f>INDEX('Calendar'!$C$8:$C$907,K130+1)</x:f>
        <x:v>46816</x:v>
      </x:c>
      <x:c r="Q130" s="18" t="n">
        <x:f>INDEX('Calendar'!$C$8:$C$907,MAX(K130+1,L130))</x:f>
        <x:v>46819</x:v>
      </x:c>
      <x:c r="R130" s="14" t="n">
        <x:v>5796</x:v>
      </x:c>
      <x:c r="S130" s="14"/>
      <x:c r="T130" s="14" t="n">
        <x:f>R130/J130</x:f>
        <x:v>1932</x:v>
      </x:c>
    </x:row>
    <x:row r="131" ht="23" customHeight="1">
      <x:c r="A131" s="1" t="str">
        <x:v>T1-L10-M</x:v>
      </x:c>
      <x:c r="B131" s="1" t="str">
        <x:v>T1</x:v>
      </x:c>
      <x:c r="C131" s="1" t="str">
        <x:v>L10</x:v>
      </x:c>
      <x:c r="D131" s="1" t="str">
        <x:v>Partition masonry</x:v>
      </x:c>
      <x:c r="E131" s="1" t="str">
        <x:v>Masonry</x:v>
      </x:c>
      <x:c r="F131" s="15" t="n">
        <x:v>90.40200000000002</x:v>
      </x:c>
      <x:c r="G131" s="1" t="str">
        <x:v>m3</x:v>
      </x:c>
      <x:c r="H131" s="17" t="n">
        <x:v>22</x:v>
      </x:c>
      <x:c r="I131" s="17" t="n">
        <x:v>10</x:v>
      </x:c>
      <x:c r="J131" s="17" t="n">
        <x:f>ROUNDUP(F131/H131,0)</x:f>
        <x:v>5</x:v>
      </x:c>
      <x:c r="K131" s="1" t="n">
        <x:f>MAX(L67+5)</x:f>
        <x:v>373</x:v>
      </x:c>
      <x:c r="L131" s="1" t="n">
        <x:f>K131+J131</x:f>
        <x:v>378</x:v>
      </x:c>
      <x:c r="M131" s="1" t="n">
        <x:f>N131-J131</x:f>
        <x:v>433</x:v>
      </x:c>
      <x:c r="N131" s="1" t="n">
        <x:f>MIN(M132-3)</x:f>
        <x:v>438</x:v>
      </x:c>
      <x:c r="O131" s="1" t="n">
        <x:f>M131-K131</x:f>
        <x:v>60</x:v>
      </x:c>
      <x:c r="P131" s="19" t="n">
        <x:f>INDEX('Calendar'!$C$8:$C$907,K131+1)</x:f>
        <x:v>46763</x:v>
      </x:c>
      <x:c r="Q131" s="19" t="n">
        <x:f>INDEX('Calendar'!$C$8:$C$907,MAX(K131+1,L131))</x:f>
        <x:v>46767</x:v>
      </x:c>
      <x:c r="R131" s="15" t="n">
        <x:v>12204.27</x:v>
      </x:c>
      <x:c r="S131" s="15"/>
      <x:c r="T131" s="15" t="n">
        <x:f>R131/J131</x:f>
        <x:v>2440.8540000000003</x:v>
      </x:c>
    </x:row>
    <x:row r="132" ht="23" customHeight="1">
      <x:c r="A132" s="6" t="str">
        <x:v>T1-L10-P</x:v>
      </x:c>
      <x:c r="B132" s="6" t="str">
        <x:v>T1</x:v>
      </x:c>
      <x:c r="C132" s="6" t="str">
        <x:v>L10</x:v>
      </x:c>
      <x:c r="D132" s="6" t="str">
        <x:v>Internal plaster</x:v>
      </x:c>
      <x:c r="E132" s="6" t="str">
        <x:v>Finishes</x:v>
      </x:c>
      <x:c r="F132" s="14" t="n">
        <x:v>1205.3600000000006</x:v>
      </x:c>
      <x:c r="G132" s="6" t="str">
        <x:v>m2</x:v>
      </x:c>
      <x:c r="H132" s="16" t="n">
        <x:v>220</x:v>
      </x:c>
      <x:c r="I132" s="16" t="n">
        <x:v>10</x:v>
      </x:c>
      <x:c r="J132" s="16" t="n">
        <x:f>ROUNDUP(F132/H132,0)</x:f>
        <x:v>6</x:v>
      </x:c>
      <x:c r="K132" s="6" t="n">
        <x:f>MAX(L131+3)</x:f>
        <x:v>381</x:v>
      </x:c>
      <x:c r="L132" s="6" t="n">
        <x:f>K132+J132</x:f>
        <x:v>387</x:v>
      </x:c>
      <x:c r="M132" s="6" t="n">
        <x:f>N132-J132</x:f>
        <x:v>441</x:v>
      </x:c>
      <x:c r="N132" s="6" t="n">
        <x:f>MIN(M133-2)</x:f>
        <x:v>447</x:v>
      </x:c>
      <x:c r="O132" s="6" t="n">
        <x:f>M132-K132</x:f>
        <x:v>60</x:v>
      </x:c>
      <x:c r="P132" s="18" t="n">
        <x:f>INDEX('Calendar'!$C$8:$C$907,K132+1)</x:f>
        <x:v>46772</x:v>
      </x:c>
      <x:c r="Q132" s="18" t="n">
        <x:f>INDEX('Calendar'!$C$8:$C$907,MAX(K132+1,L132))</x:f>
        <x:v>46778</x:v>
      </x:c>
      <x:c r="R132" s="14" t="n">
        <x:v>15067.000000000005</x:v>
      </x:c>
      <x:c r="S132" s="14"/>
      <x:c r="T132" s="14" t="n">
        <x:f>R132/J132</x:f>
        <x:v>2511.1666666666674</x:v>
      </x:c>
    </x:row>
    <x:row r="133" ht="23" customHeight="1">
      <x:c r="A133" s="1" t="str">
        <x:v>T1-L10-S</x:v>
      </x:c>
      <x:c r="B133" s="1" t="str">
        <x:v>T1</x:v>
      </x:c>
      <x:c r="C133" s="1" t="str">
        <x:v>L10</x:v>
      </x:c>
      <x:c r="D133" s="1" t="str">
        <x:v>Screed and substrate preparation</x:v>
      </x:c>
      <x:c r="E133" s="1" t="str">
        <x:v>Finishes</x:v>
      </x:c>
      <x:c r="F133" s="15" t="n">
        <x:v>696</x:v>
      </x:c>
      <x:c r="G133" s="1" t="str">
        <x:v>m2</x:v>
      </x:c>
      <x:c r="H133" s="17" t="n">
        <x:v>240</x:v>
      </x:c>
      <x:c r="I133" s="17" t="n">
        <x:v>8</x:v>
      </x:c>
      <x:c r="J133" s="17" t="n">
        <x:f>ROUNDUP(F133/H133,0)</x:f>
        <x:v>3</x:v>
      </x:c>
      <x:c r="K133" s="1" t="n">
        <x:f>MAX(L132+2)</x:f>
        <x:v>389</x:v>
      </x:c>
      <x:c r="L133" s="1" t="n">
        <x:f>K133+J133</x:f>
        <x:v>392</x:v>
      </x:c>
      <x:c r="M133" s="1" t="n">
        <x:f>N133-J133</x:f>
        <x:v>449</x:v>
      </x:c>
      <x:c r="N133" s="1" t="n">
        <x:f>MIN(M134-14)</x:f>
        <x:v>452</x:v>
      </x:c>
      <x:c r="O133" s="1" t="n">
        <x:f>M133-K133</x:f>
        <x:v>60</x:v>
      </x:c>
      <x:c r="P133" s="19" t="n">
        <x:f>INDEX('Calendar'!$C$8:$C$907,K133+1)</x:f>
        <x:v>46781</x:v>
      </x:c>
      <x:c r="Q133" s="19" t="n">
        <x:f>INDEX('Calendar'!$C$8:$C$907,MAX(K133+1,L133))</x:f>
        <x:v>46784</x:v>
      </x:c>
      <x:c r="R133" s="15" t="n">
        <x:v>9048</x:v>
      </x:c>
      <x:c r="S133" s="15"/>
      <x:c r="T133" s="15" t="n">
        <x:f>R133/J133</x:f>
        <x:v>3016</x:v>
      </x:c>
    </x:row>
    <x:row r="134" ht="23" customHeight="1">
      <x:c r="A134" s="6" t="str">
        <x:v>T1-L10-T</x:v>
      </x:c>
      <x:c r="B134" s="6" t="str">
        <x:v>T1</x:v>
      </x:c>
      <x:c r="C134" s="6" t="str">
        <x:v>L10</x:v>
      </x:c>
      <x:c r="D134" s="6" t="str">
        <x:v>Floor finishes and skirtings</x:v>
      </x:c>
      <x:c r="E134" s="6" t="str">
        <x:v>Finishes</x:v>
      </x:c>
      <x:c r="F134" s="14" t="n">
        <x:v>696</x:v>
      </x:c>
      <x:c r="G134" s="6" t="str">
        <x:v>m2</x:v>
      </x:c>
      <x:c r="H134" s="16" t="n">
        <x:v>130</x:v>
      </x:c>
      <x:c r="I134" s="16" t="n">
        <x:v>8</x:v>
      </x:c>
      <x:c r="J134" s="16" t="n">
        <x:f>ROUNDUP(F134/H134,0)</x:f>
        <x:v>6</x:v>
      </x:c>
      <x:c r="K134" s="6" t="n">
        <x:f>MAX(L133+14,L70+0)</x:f>
        <x:v>406</x:v>
      </x:c>
      <x:c r="L134" s="6" t="n">
        <x:f>K134+J134</x:f>
        <x:v>412</x:v>
      </x:c>
      <x:c r="M134" s="6" t="n">
        <x:f>N134-J134</x:f>
        <x:v>466</x:v>
      </x:c>
      <x:c r="N134" s="6" t="n">
        <x:f>MIN(M135-2)</x:f>
        <x:v>472</x:v>
      </x:c>
      <x:c r="O134" s="6" t="n">
        <x:f>M134-K134</x:f>
        <x:v>60</x:v>
      </x:c>
      <x:c r="P134" s="18" t="n">
        <x:f>INDEX('Calendar'!$C$8:$C$907,K134+1)</x:f>
        <x:v>46801</x:v>
      </x:c>
      <x:c r="Q134" s="18" t="n">
        <x:f>INDEX('Calendar'!$C$8:$C$907,MAX(K134+1,L134))</x:f>
        <x:v>46807</x:v>
      </x:c>
      <x:c r="R134" s="14" t="n">
        <x:v>24012</x:v>
      </x:c>
      <x:c r="S134" s="14"/>
      <x:c r="T134" s="14" t="n">
        <x:f>R134/J134</x:f>
        <x:v>4002</x:v>
      </x:c>
    </x:row>
    <x:row r="135" ht="23" customHeight="1">
      <x:c r="A135" s="1" t="str">
        <x:v>T1-L10-A</x:v>
      </x:c>
      <x:c r="B135" s="1" t="str">
        <x:v>T1</x:v>
      </x:c>
      <x:c r="C135" s="1" t="str">
        <x:v>L10</x:v>
      </x:c>
      <x:c r="D135" s="1" t="str">
        <x:v>Paint and final decorations</x:v>
      </x:c>
      <x:c r="E135" s="1" t="str">
        <x:v>Finishes</x:v>
      </x:c>
      <x:c r="F135" s="15" t="n">
        <x:v>1205.3600000000004</x:v>
      </x:c>
      <x:c r="G135" s="1" t="str">
        <x:v>m2</x:v>
      </x:c>
      <x:c r="H135" s="17" t="n">
        <x:v>270</x:v>
      </x:c>
      <x:c r="I135" s="17" t="n">
        <x:v>8</x:v>
      </x:c>
      <x:c r="J135" s="17" t="n">
        <x:f>ROUNDUP(F135/H135,0)</x:f>
        <x:v>5</x:v>
      </x:c>
      <x:c r="K135" s="1" t="n">
        <x:f>MAX(L134+2)</x:f>
        <x:v>414</x:v>
      </x:c>
      <x:c r="L135" s="1" t="n">
        <x:f>K135+J135</x:f>
        <x:v>419</x:v>
      </x:c>
      <x:c r="M135" s="1" t="n">
        <x:f>N135-J135</x:f>
        <x:v>474</x:v>
      </x:c>
      <x:c r="N135" s="1" t="n">
        <x:f>MIN(M136-0)</x:f>
        <x:v>479</x:v>
      </x:c>
      <x:c r="O135" s="1" t="n">
        <x:f>M135-K135</x:f>
        <x:v>60</x:v>
      </x:c>
      <x:c r="P135" s="19" t="n">
        <x:f>INDEX('Calendar'!$C$8:$C$907,K135+1)</x:f>
        <x:v>46811</x:v>
      </x:c>
      <x:c r="Q135" s="19" t="n">
        <x:f>INDEX('Calendar'!$C$8:$C$907,MAX(K135+1,L135))</x:f>
        <x:v>46815</x:v>
      </x:c>
      <x:c r="R135" s="15" t="n">
        <x:v>10245.560000000003</x:v>
      </x:c>
      <x:c r="S135" s="15"/>
      <x:c r="T135" s="15" t="n">
        <x:f>R135/J135</x:f>
        <x:v>2049.1120000000005</x:v>
      </x:c>
    </x:row>
    <x:row r="136" ht="23" customHeight="1">
      <x:c r="A136" s="6" t="str">
        <x:v>T1-L10-D</x:v>
      </x:c>
      <x:c r="B136" s="6" t="str">
        <x:v>T1</x:v>
      </x:c>
      <x:c r="C136" s="6" t="str">
        <x:v>L10</x:v>
      </x:c>
      <x:c r="D136" s="6" t="str">
        <x:v>Door sets and ironmongery</x:v>
      </x:c>
      <x:c r="E136" s="6" t="str">
        <x:v>Finishes</x:v>
      </x:c>
      <x:c r="F136" s="14" t="n">
        <x:v>28</x:v>
      </x:c>
      <x:c r="G136" s="6" t="str">
        <x:v>nr</x:v>
      </x:c>
      <x:c r="H136" s="16" t="n">
        <x:v>10</x:v>
      </x:c>
      <x:c r="I136" s="16" t="n">
        <x:v>4</x:v>
      </x:c>
      <x:c r="J136" s="16" t="n">
        <x:f>ROUNDUP(F136/H136,0)</x:f>
        <x:v>3</x:v>
      </x:c>
      <x:c r="K136" s="6" t="n">
        <x:f>MAX(L135+0)</x:f>
        <x:v>419</x:v>
      </x:c>
      <x:c r="L136" s="6" t="n">
        <x:f>K136+J136</x:f>
        <x:v>422</x:v>
      </x:c>
      <x:c r="M136" s="6" t="n">
        <x:f>N136-J136</x:f>
        <x:v>479</x:v>
      </x:c>
      <x:c r="N136" s="6" t="n">
        <x:f>MIN(M816-0)</x:f>
        <x:v>482</x:v>
      </x:c>
      <x:c r="O136" s="6" t="n">
        <x:f>M136-K136</x:f>
        <x:v>60</x:v>
      </x:c>
      <x:c r="P136" s="18" t="n">
        <x:f>INDEX('Calendar'!$C$8:$C$907,K136+1)</x:f>
        <x:v>46816</x:v>
      </x:c>
      <x:c r="Q136" s="18" t="n">
        <x:f>INDEX('Calendar'!$C$8:$C$907,MAX(K136+1,L136))</x:f>
        <x:v>46819</x:v>
      </x:c>
      <x:c r="R136" s="14" t="n">
        <x:v>5796</x:v>
      </x:c>
      <x:c r="S136" s="14"/>
      <x:c r="T136" s="14" t="n">
        <x:f>R136/J136</x:f>
        <x:v>1932</x:v>
      </x:c>
    </x:row>
    <x:row r="137" ht="23" customHeight="1">
      <x:c r="A137" s="1" t="str">
        <x:v>T1-L11-M</x:v>
      </x:c>
      <x:c r="B137" s="1" t="str">
        <x:v>T1</x:v>
      </x:c>
      <x:c r="C137" s="1" t="str">
        <x:v>L11</x:v>
      </x:c>
      <x:c r="D137" s="1" t="str">
        <x:v>Partition masonry</x:v>
      </x:c>
      <x:c r="E137" s="1" t="str">
        <x:v>Masonry</x:v>
      </x:c>
      <x:c r="F137" s="15" t="n">
        <x:v>90.40200000000002</x:v>
      </x:c>
      <x:c r="G137" s="1" t="str">
        <x:v>m3</x:v>
      </x:c>
      <x:c r="H137" s="17" t="n">
        <x:v>22</x:v>
      </x:c>
      <x:c r="I137" s="17" t="n">
        <x:v>10</x:v>
      </x:c>
      <x:c r="J137" s="17" t="n">
        <x:f>ROUNDUP(F137/H137,0)</x:f>
        <x:v>5</x:v>
      </x:c>
      <x:c r="K137" s="1" t="n">
        <x:f>MAX(L67+5)</x:f>
        <x:v>373</x:v>
      </x:c>
      <x:c r="L137" s="1" t="n">
        <x:f>K137+J137</x:f>
        <x:v>378</x:v>
      </x:c>
      <x:c r="M137" s="1" t="n">
        <x:f>N137-J137</x:f>
        <x:v>433</x:v>
      </x:c>
      <x:c r="N137" s="1" t="n">
        <x:f>MIN(M138-3)</x:f>
        <x:v>438</x:v>
      </x:c>
      <x:c r="O137" s="1" t="n">
        <x:f>M137-K137</x:f>
        <x:v>60</x:v>
      </x:c>
      <x:c r="P137" s="19" t="n">
        <x:f>INDEX('Calendar'!$C$8:$C$907,K137+1)</x:f>
        <x:v>46763</x:v>
      </x:c>
      <x:c r="Q137" s="19" t="n">
        <x:f>INDEX('Calendar'!$C$8:$C$907,MAX(K137+1,L137))</x:f>
        <x:v>46767</x:v>
      </x:c>
      <x:c r="R137" s="15" t="n">
        <x:v>12204.27</x:v>
      </x:c>
      <x:c r="S137" s="15"/>
      <x:c r="T137" s="15" t="n">
        <x:f>R137/J137</x:f>
        <x:v>2440.8540000000003</x:v>
      </x:c>
    </x:row>
    <x:row r="138" ht="23" customHeight="1">
      <x:c r="A138" s="6" t="str">
        <x:v>T1-L11-P</x:v>
      </x:c>
      <x:c r="B138" s="6" t="str">
        <x:v>T1</x:v>
      </x:c>
      <x:c r="C138" s="6" t="str">
        <x:v>L11</x:v>
      </x:c>
      <x:c r="D138" s="6" t="str">
        <x:v>Internal plaster</x:v>
      </x:c>
      <x:c r="E138" s="6" t="str">
        <x:v>Finishes</x:v>
      </x:c>
      <x:c r="F138" s="14" t="n">
        <x:v>1205.3600000000006</x:v>
      </x:c>
      <x:c r="G138" s="6" t="str">
        <x:v>m2</x:v>
      </x:c>
      <x:c r="H138" s="16" t="n">
        <x:v>220</x:v>
      </x:c>
      <x:c r="I138" s="16" t="n">
        <x:v>10</x:v>
      </x:c>
      <x:c r="J138" s="16" t="n">
        <x:f>ROUNDUP(F138/H138,0)</x:f>
        <x:v>6</x:v>
      </x:c>
      <x:c r="K138" s="6" t="n">
        <x:f>MAX(L137+3)</x:f>
        <x:v>381</x:v>
      </x:c>
      <x:c r="L138" s="6" t="n">
        <x:f>K138+J138</x:f>
        <x:v>387</x:v>
      </x:c>
      <x:c r="M138" s="6" t="n">
        <x:f>N138-J138</x:f>
        <x:v>441</x:v>
      </x:c>
      <x:c r="N138" s="6" t="n">
        <x:f>MIN(M139-2)</x:f>
        <x:v>447</x:v>
      </x:c>
      <x:c r="O138" s="6" t="n">
        <x:f>M138-K138</x:f>
        <x:v>60</x:v>
      </x:c>
      <x:c r="P138" s="18" t="n">
        <x:f>INDEX('Calendar'!$C$8:$C$907,K138+1)</x:f>
        <x:v>46772</x:v>
      </x:c>
      <x:c r="Q138" s="18" t="n">
        <x:f>INDEX('Calendar'!$C$8:$C$907,MAX(K138+1,L138))</x:f>
        <x:v>46778</x:v>
      </x:c>
      <x:c r="R138" s="14" t="n">
        <x:v>15067.000000000005</x:v>
      </x:c>
      <x:c r="S138" s="14"/>
      <x:c r="T138" s="14" t="n">
        <x:f>R138/J138</x:f>
        <x:v>2511.1666666666674</x:v>
      </x:c>
    </x:row>
    <x:row r="139" ht="23" customHeight="1">
      <x:c r="A139" s="1" t="str">
        <x:v>T1-L11-S</x:v>
      </x:c>
      <x:c r="B139" s="1" t="str">
        <x:v>T1</x:v>
      </x:c>
      <x:c r="C139" s="1" t="str">
        <x:v>L11</x:v>
      </x:c>
      <x:c r="D139" s="1" t="str">
        <x:v>Screed and substrate preparation</x:v>
      </x:c>
      <x:c r="E139" s="1" t="str">
        <x:v>Finishes</x:v>
      </x:c>
      <x:c r="F139" s="15" t="n">
        <x:v>696</x:v>
      </x:c>
      <x:c r="G139" s="1" t="str">
        <x:v>m2</x:v>
      </x:c>
      <x:c r="H139" s="17" t="n">
        <x:v>240</x:v>
      </x:c>
      <x:c r="I139" s="17" t="n">
        <x:v>8</x:v>
      </x:c>
      <x:c r="J139" s="17" t="n">
        <x:f>ROUNDUP(F139/H139,0)</x:f>
        <x:v>3</x:v>
      </x:c>
      <x:c r="K139" s="1" t="n">
        <x:f>MAX(L138+2)</x:f>
        <x:v>389</x:v>
      </x:c>
      <x:c r="L139" s="1" t="n">
        <x:f>K139+J139</x:f>
        <x:v>392</x:v>
      </x:c>
      <x:c r="M139" s="1" t="n">
        <x:f>N139-J139</x:f>
        <x:v>449</x:v>
      </x:c>
      <x:c r="N139" s="1" t="n">
        <x:f>MIN(M140-14)</x:f>
        <x:v>452</x:v>
      </x:c>
      <x:c r="O139" s="1" t="n">
        <x:f>M139-K139</x:f>
        <x:v>60</x:v>
      </x:c>
      <x:c r="P139" s="19" t="n">
        <x:f>INDEX('Calendar'!$C$8:$C$907,K139+1)</x:f>
        <x:v>46781</x:v>
      </x:c>
      <x:c r="Q139" s="19" t="n">
        <x:f>INDEX('Calendar'!$C$8:$C$907,MAX(K139+1,L139))</x:f>
        <x:v>46784</x:v>
      </x:c>
      <x:c r="R139" s="15" t="n">
        <x:v>9048</x:v>
      </x:c>
      <x:c r="S139" s="15"/>
      <x:c r="T139" s="15" t="n">
        <x:f>R139/J139</x:f>
        <x:v>3016</x:v>
      </x:c>
    </x:row>
    <x:row r="140" ht="23" customHeight="1">
      <x:c r="A140" s="6" t="str">
        <x:v>T1-L11-T</x:v>
      </x:c>
      <x:c r="B140" s="6" t="str">
        <x:v>T1</x:v>
      </x:c>
      <x:c r="C140" s="6" t="str">
        <x:v>L11</x:v>
      </x:c>
      <x:c r="D140" s="6" t="str">
        <x:v>Floor finishes and skirtings</x:v>
      </x:c>
      <x:c r="E140" s="6" t="str">
        <x:v>Finishes</x:v>
      </x:c>
      <x:c r="F140" s="14" t="n">
        <x:v>696</x:v>
      </x:c>
      <x:c r="G140" s="6" t="str">
        <x:v>m2</x:v>
      </x:c>
      <x:c r="H140" s="16" t="n">
        <x:v>130</x:v>
      </x:c>
      <x:c r="I140" s="16" t="n">
        <x:v>8</x:v>
      </x:c>
      <x:c r="J140" s="16" t="n">
        <x:f>ROUNDUP(F140/H140,0)</x:f>
        <x:v>6</x:v>
      </x:c>
      <x:c r="K140" s="6" t="n">
        <x:f>MAX(L139+14,L70+0)</x:f>
        <x:v>406</x:v>
      </x:c>
      <x:c r="L140" s="6" t="n">
        <x:f>K140+J140</x:f>
        <x:v>412</x:v>
      </x:c>
      <x:c r="M140" s="6" t="n">
        <x:f>N140-J140</x:f>
        <x:v>466</x:v>
      </x:c>
      <x:c r="N140" s="6" t="n">
        <x:f>MIN(M141-2)</x:f>
        <x:v>472</x:v>
      </x:c>
      <x:c r="O140" s="6" t="n">
        <x:f>M140-K140</x:f>
        <x:v>60</x:v>
      </x:c>
      <x:c r="P140" s="18" t="n">
        <x:f>INDEX('Calendar'!$C$8:$C$907,K140+1)</x:f>
        <x:v>46801</x:v>
      </x:c>
      <x:c r="Q140" s="18" t="n">
        <x:f>INDEX('Calendar'!$C$8:$C$907,MAX(K140+1,L140))</x:f>
        <x:v>46807</x:v>
      </x:c>
      <x:c r="R140" s="14" t="n">
        <x:v>24012</x:v>
      </x:c>
      <x:c r="S140" s="14"/>
      <x:c r="T140" s="14" t="n">
        <x:f>R140/J140</x:f>
        <x:v>4002</x:v>
      </x:c>
    </x:row>
    <x:row r="141" ht="23" customHeight="1">
      <x:c r="A141" s="1" t="str">
        <x:v>T1-L11-A</x:v>
      </x:c>
      <x:c r="B141" s="1" t="str">
        <x:v>T1</x:v>
      </x:c>
      <x:c r="C141" s="1" t="str">
        <x:v>L11</x:v>
      </x:c>
      <x:c r="D141" s="1" t="str">
        <x:v>Paint and final decorations</x:v>
      </x:c>
      <x:c r="E141" s="1" t="str">
        <x:v>Finishes</x:v>
      </x:c>
      <x:c r="F141" s="15" t="n">
        <x:v>1205.3600000000004</x:v>
      </x:c>
      <x:c r="G141" s="1" t="str">
        <x:v>m2</x:v>
      </x:c>
      <x:c r="H141" s="17" t="n">
        <x:v>270</x:v>
      </x:c>
      <x:c r="I141" s="17" t="n">
        <x:v>8</x:v>
      </x:c>
      <x:c r="J141" s="17" t="n">
        <x:f>ROUNDUP(F141/H141,0)</x:f>
        <x:v>5</x:v>
      </x:c>
      <x:c r="K141" s="1" t="n">
        <x:f>MAX(L140+2)</x:f>
        <x:v>414</x:v>
      </x:c>
      <x:c r="L141" s="1" t="n">
        <x:f>K141+J141</x:f>
        <x:v>419</x:v>
      </x:c>
      <x:c r="M141" s="1" t="n">
        <x:f>N141-J141</x:f>
        <x:v>474</x:v>
      </x:c>
      <x:c r="N141" s="1" t="n">
        <x:f>MIN(M142-0)</x:f>
        <x:v>479</x:v>
      </x:c>
      <x:c r="O141" s="1" t="n">
        <x:f>M141-K141</x:f>
        <x:v>60</x:v>
      </x:c>
      <x:c r="P141" s="19" t="n">
        <x:f>INDEX('Calendar'!$C$8:$C$907,K141+1)</x:f>
        <x:v>46811</x:v>
      </x:c>
      <x:c r="Q141" s="19" t="n">
        <x:f>INDEX('Calendar'!$C$8:$C$907,MAX(K141+1,L141))</x:f>
        <x:v>46815</x:v>
      </x:c>
      <x:c r="R141" s="15" t="n">
        <x:v>10245.560000000003</x:v>
      </x:c>
      <x:c r="S141" s="15"/>
      <x:c r="T141" s="15" t="n">
        <x:f>R141/J141</x:f>
        <x:v>2049.1120000000005</x:v>
      </x:c>
    </x:row>
    <x:row r="142" ht="23" customHeight="1">
      <x:c r="A142" s="6" t="str">
        <x:v>T1-L11-D</x:v>
      </x:c>
      <x:c r="B142" s="6" t="str">
        <x:v>T1</x:v>
      </x:c>
      <x:c r="C142" s="6" t="str">
        <x:v>L11</x:v>
      </x:c>
      <x:c r="D142" s="6" t="str">
        <x:v>Door sets and ironmongery</x:v>
      </x:c>
      <x:c r="E142" s="6" t="str">
        <x:v>Finishes</x:v>
      </x:c>
      <x:c r="F142" s="14" t="n">
        <x:v>28</x:v>
      </x:c>
      <x:c r="G142" s="6" t="str">
        <x:v>nr</x:v>
      </x:c>
      <x:c r="H142" s="16" t="n">
        <x:v>10</x:v>
      </x:c>
      <x:c r="I142" s="16" t="n">
        <x:v>4</x:v>
      </x:c>
      <x:c r="J142" s="16" t="n">
        <x:f>ROUNDUP(F142/H142,0)</x:f>
        <x:v>3</x:v>
      </x:c>
      <x:c r="K142" s="6" t="n">
        <x:f>MAX(L141+0)</x:f>
        <x:v>419</x:v>
      </x:c>
      <x:c r="L142" s="6" t="n">
        <x:f>K142+J142</x:f>
        <x:v>422</x:v>
      </x:c>
      <x:c r="M142" s="6" t="n">
        <x:f>N142-J142</x:f>
        <x:v>479</x:v>
      </x:c>
      <x:c r="N142" s="6" t="n">
        <x:f>MIN(M816-0)</x:f>
        <x:v>482</x:v>
      </x:c>
      <x:c r="O142" s="6" t="n">
        <x:f>M142-K142</x:f>
        <x:v>60</x:v>
      </x:c>
      <x:c r="P142" s="18" t="n">
        <x:f>INDEX('Calendar'!$C$8:$C$907,K142+1)</x:f>
        <x:v>46816</x:v>
      </x:c>
      <x:c r="Q142" s="18" t="n">
        <x:f>INDEX('Calendar'!$C$8:$C$907,MAX(K142+1,L142))</x:f>
        <x:v>46819</x:v>
      </x:c>
      <x:c r="R142" s="14" t="n">
        <x:v>5796</x:v>
      </x:c>
      <x:c r="S142" s="14"/>
      <x:c r="T142" s="14" t="n">
        <x:f>R142/J142</x:f>
        <x:v>1932</x:v>
      </x:c>
    </x:row>
    <x:row r="143" ht="23" customHeight="1">
      <x:c r="A143" s="1" t="str">
        <x:v>T1-L12-M</x:v>
      </x:c>
      <x:c r="B143" s="1" t="str">
        <x:v>T1</x:v>
      </x:c>
      <x:c r="C143" s="1" t="str">
        <x:v>L12</x:v>
      </x:c>
      <x:c r="D143" s="1" t="str">
        <x:v>Partition masonry</x:v>
      </x:c>
      <x:c r="E143" s="1" t="str">
        <x:v>Masonry</x:v>
      </x:c>
      <x:c r="F143" s="15" t="n">
        <x:v>90.40200000000002</x:v>
      </x:c>
      <x:c r="G143" s="1" t="str">
        <x:v>m3</x:v>
      </x:c>
      <x:c r="H143" s="17" t="n">
        <x:v>22</x:v>
      </x:c>
      <x:c r="I143" s="17" t="n">
        <x:v>10</x:v>
      </x:c>
      <x:c r="J143" s="17" t="n">
        <x:f>ROUNDUP(F143/H143,0)</x:f>
        <x:v>5</x:v>
      </x:c>
      <x:c r="K143" s="1" t="n">
        <x:f>MAX(L67+5)</x:f>
        <x:v>373</x:v>
      </x:c>
      <x:c r="L143" s="1" t="n">
        <x:f>K143+J143</x:f>
        <x:v>378</x:v>
      </x:c>
      <x:c r="M143" s="1" t="n">
        <x:f>N143-J143</x:f>
        <x:v>433</x:v>
      </x:c>
      <x:c r="N143" s="1" t="n">
        <x:f>MIN(M144-3)</x:f>
        <x:v>438</x:v>
      </x:c>
      <x:c r="O143" s="1" t="n">
        <x:f>M143-K143</x:f>
        <x:v>60</x:v>
      </x:c>
      <x:c r="P143" s="19" t="n">
        <x:f>INDEX('Calendar'!$C$8:$C$907,K143+1)</x:f>
        <x:v>46763</x:v>
      </x:c>
      <x:c r="Q143" s="19" t="n">
        <x:f>INDEX('Calendar'!$C$8:$C$907,MAX(K143+1,L143))</x:f>
        <x:v>46767</x:v>
      </x:c>
      <x:c r="R143" s="15" t="n">
        <x:v>12204.27</x:v>
      </x:c>
      <x:c r="S143" s="15"/>
      <x:c r="T143" s="15" t="n">
        <x:f>R143/J143</x:f>
        <x:v>2440.8540000000003</x:v>
      </x:c>
    </x:row>
    <x:row r="144" ht="23" customHeight="1">
      <x:c r="A144" s="6" t="str">
        <x:v>T1-L12-P</x:v>
      </x:c>
      <x:c r="B144" s="6" t="str">
        <x:v>T1</x:v>
      </x:c>
      <x:c r="C144" s="6" t="str">
        <x:v>L12</x:v>
      </x:c>
      <x:c r="D144" s="6" t="str">
        <x:v>Internal plaster</x:v>
      </x:c>
      <x:c r="E144" s="6" t="str">
        <x:v>Finishes</x:v>
      </x:c>
      <x:c r="F144" s="14" t="n">
        <x:v>1205.3600000000006</x:v>
      </x:c>
      <x:c r="G144" s="6" t="str">
        <x:v>m2</x:v>
      </x:c>
      <x:c r="H144" s="16" t="n">
        <x:v>220</x:v>
      </x:c>
      <x:c r="I144" s="16" t="n">
        <x:v>10</x:v>
      </x:c>
      <x:c r="J144" s="16" t="n">
        <x:f>ROUNDUP(F144/H144,0)</x:f>
        <x:v>6</x:v>
      </x:c>
      <x:c r="K144" s="6" t="n">
        <x:f>MAX(L143+3)</x:f>
        <x:v>381</x:v>
      </x:c>
      <x:c r="L144" s="6" t="n">
        <x:f>K144+J144</x:f>
        <x:v>387</x:v>
      </x:c>
      <x:c r="M144" s="6" t="n">
        <x:f>N144-J144</x:f>
        <x:v>441</x:v>
      </x:c>
      <x:c r="N144" s="6" t="n">
        <x:f>MIN(M145-2)</x:f>
        <x:v>447</x:v>
      </x:c>
      <x:c r="O144" s="6" t="n">
        <x:f>M144-K144</x:f>
        <x:v>60</x:v>
      </x:c>
      <x:c r="P144" s="18" t="n">
        <x:f>INDEX('Calendar'!$C$8:$C$907,K144+1)</x:f>
        <x:v>46772</x:v>
      </x:c>
      <x:c r="Q144" s="18" t="n">
        <x:f>INDEX('Calendar'!$C$8:$C$907,MAX(K144+1,L144))</x:f>
        <x:v>46778</x:v>
      </x:c>
      <x:c r="R144" s="14" t="n">
        <x:v>15067.000000000005</x:v>
      </x:c>
      <x:c r="S144" s="14"/>
      <x:c r="T144" s="14" t="n">
        <x:f>R144/J144</x:f>
        <x:v>2511.1666666666674</x:v>
      </x:c>
    </x:row>
    <x:row r="145" ht="23" customHeight="1">
      <x:c r="A145" s="1" t="str">
        <x:v>T1-L12-S</x:v>
      </x:c>
      <x:c r="B145" s="1" t="str">
        <x:v>T1</x:v>
      </x:c>
      <x:c r="C145" s="1" t="str">
        <x:v>L12</x:v>
      </x:c>
      <x:c r="D145" s="1" t="str">
        <x:v>Screed and substrate preparation</x:v>
      </x:c>
      <x:c r="E145" s="1" t="str">
        <x:v>Finishes</x:v>
      </x:c>
      <x:c r="F145" s="15" t="n">
        <x:v>696</x:v>
      </x:c>
      <x:c r="G145" s="1" t="str">
        <x:v>m2</x:v>
      </x:c>
      <x:c r="H145" s="17" t="n">
        <x:v>240</x:v>
      </x:c>
      <x:c r="I145" s="17" t="n">
        <x:v>8</x:v>
      </x:c>
      <x:c r="J145" s="17" t="n">
        <x:f>ROUNDUP(F145/H145,0)</x:f>
        <x:v>3</x:v>
      </x:c>
      <x:c r="K145" s="1" t="n">
        <x:f>MAX(L144+2)</x:f>
        <x:v>389</x:v>
      </x:c>
      <x:c r="L145" s="1" t="n">
        <x:f>K145+J145</x:f>
        <x:v>392</x:v>
      </x:c>
      <x:c r="M145" s="1" t="n">
        <x:f>N145-J145</x:f>
        <x:v>449</x:v>
      </x:c>
      <x:c r="N145" s="1" t="n">
        <x:f>MIN(M146-14)</x:f>
        <x:v>452</x:v>
      </x:c>
      <x:c r="O145" s="1" t="n">
        <x:f>M145-K145</x:f>
        <x:v>60</x:v>
      </x:c>
      <x:c r="P145" s="19" t="n">
        <x:f>INDEX('Calendar'!$C$8:$C$907,K145+1)</x:f>
        <x:v>46781</x:v>
      </x:c>
      <x:c r="Q145" s="19" t="n">
        <x:f>INDEX('Calendar'!$C$8:$C$907,MAX(K145+1,L145))</x:f>
        <x:v>46784</x:v>
      </x:c>
      <x:c r="R145" s="15" t="n">
        <x:v>9048</x:v>
      </x:c>
      <x:c r="S145" s="15"/>
      <x:c r="T145" s="15" t="n">
        <x:f>R145/J145</x:f>
        <x:v>3016</x:v>
      </x:c>
    </x:row>
    <x:row r="146" ht="23" customHeight="1">
      <x:c r="A146" s="6" t="str">
        <x:v>T1-L12-T</x:v>
      </x:c>
      <x:c r="B146" s="6" t="str">
        <x:v>T1</x:v>
      </x:c>
      <x:c r="C146" s="6" t="str">
        <x:v>L12</x:v>
      </x:c>
      <x:c r="D146" s="6" t="str">
        <x:v>Floor finishes and skirtings</x:v>
      </x:c>
      <x:c r="E146" s="6" t="str">
        <x:v>Finishes</x:v>
      </x:c>
      <x:c r="F146" s="14" t="n">
        <x:v>696</x:v>
      </x:c>
      <x:c r="G146" s="6" t="str">
        <x:v>m2</x:v>
      </x:c>
      <x:c r="H146" s="16" t="n">
        <x:v>130</x:v>
      </x:c>
      <x:c r="I146" s="16" t="n">
        <x:v>8</x:v>
      </x:c>
      <x:c r="J146" s="16" t="n">
        <x:f>ROUNDUP(F146/H146,0)</x:f>
        <x:v>6</x:v>
      </x:c>
      <x:c r="K146" s="6" t="n">
        <x:f>MAX(L145+14,L70+0)</x:f>
        <x:v>406</x:v>
      </x:c>
      <x:c r="L146" s="6" t="n">
        <x:f>K146+J146</x:f>
        <x:v>412</x:v>
      </x:c>
      <x:c r="M146" s="6" t="n">
        <x:f>N146-J146</x:f>
        <x:v>466</x:v>
      </x:c>
      <x:c r="N146" s="6" t="n">
        <x:f>MIN(M147-2)</x:f>
        <x:v>472</x:v>
      </x:c>
      <x:c r="O146" s="6" t="n">
        <x:f>M146-K146</x:f>
        <x:v>60</x:v>
      </x:c>
      <x:c r="P146" s="18" t="n">
        <x:f>INDEX('Calendar'!$C$8:$C$907,K146+1)</x:f>
        <x:v>46801</x:v>
      </x:c>
      <x:c r="Q146" s="18" t="n">
        <x:f>INDEX('Calendar'!$C$8:$C$907,MAX(K146+1,L146))</x:f>
        <x:v>46807</x:v>
      </x:c>
      <x:c r="R146" s="14" t="n">
        <x:v>24012</x:v>
      </x:c>
      <x:c r="S146" s="14"/>
      <x:c r="T146" s="14" t="n">
        <x:f>R146/J146</x:f>
        <x:v>4002</x:v>
      </x:c>
    </x:row>
    <x:row r="147" ht="23" customHeight="1">
      <x:c r="A147" s="1" t="str">
        <x:v>T1-L12-A</x:v>
      </x:c>
      <x:c r="B147" s="1" t="str">
        <x:v>T1</x:v>
      </x:c>
      <x:c r="C147" s="1" t="str">
        <x:v>L12</x:v>
      </x:c>
      <x:c r="D147" s="1" t="str">
        <x:v>Paint and final decorations</x:v>
      </x:c>
      <x:c r="E147" s="1" t="str">
        <x:v>Finishes</x:v>
      </x:c>
      <x:c r="F147" s="15" t="n">
        <x:v>1205.3600000000004</x:v>
      </x:c>
      <x:c r="G147" s="1" t="str">
        <x:v>m2</x:v>
      </x:c>
      <x:c r="H147" s="17" t="n">
        <x:v>270</x:v>
      </x:c>
      <x:c r="I147" s="17" t="n">
        <x:v>8</x:v>
      </x:c>
      <x:c r="J147" s="17" t="n">
        <x:f>ROUNDUP(F147/H147,0)</x:f>
        <x:v>5</x:v>
      </x:c>
      <x:c r="K147" s="1" t="n">
        <x:f>MAX(L146+2)</x:f>
        <x:v>414</x:v>
      </x:c>
      <x:c r="L147" s="1" t="n">
        <x:f>K147+J147</x:f>
        <x:v>419</x:v>
      </x:c>
      <x:c r="M147" s="1" t="n">
        <x:f>N147-J147</x:f>
        <x:v>474</x:v>
      </x:c>
      <x:c r="N147" s="1" t="n">
        <x:f>MIN(M148-0)</x:f>
        <x:v>479</x:v>
      </x:c>
      <x:c r="O147" s="1" t="n">
        <x:f>M147-K147</x:f>
        <x:v>60</x:v>
      </x:c>
      <x:c r="P147" s="19" t="n">
        <x:f>INDEX('Calendar'!$C$8:$C$907,K147+1)</x:f>
        <x:v>46811</x:v>
      </x:c>
      <x:c r="Q147" s="19" t="n">
        <x:f>INDEX('Calendar'!$C$8:$C$907,MAX(K147+1,L147))</x:f>
        <x:v>46815</x:v>
      </x:c>
      <x:c r="R147" s="15" t="n">
        <x:v>10245.560000000003</x:v>
      </x:c>
      <x:c r="S147" s="15"/>
      <x:c r="T147" s="15" t="n">
        <x:f>R147/J147</x:f>
        <x:v>2049.1120000000005</x:v>
      </x:c>
    </x:row>
    <x:row r="148" ht="23" customHeight="1">
      <x:c r="A148" s="6" t="str">
        <x:v>T1-L12-D</x:v>
      </x:c>
      <x:c r="B148" s="6" t="str">
        <x:v>T1</x:v>
      </x:c>
      <x:c r="C148" s="6" t="str">
        <x:v>L12</x:v>
      </x:c>
      <x:c r="D148" s="6" t="str">
        <x:v>Door sets and ironmongery</x:v>
      </x:c>
      <x:c r="E148" s="6" t="str">
        <x:v>Finishes</x:v>
      </x:c>
      <x:c r="F148" s="14" t="n">
        <x:v>28</x:v>
      </x:c>
      <x:c r="G148" s="6" t="str">
        <x:v>nr</x:v>
      </x:c>
      <x:c r="H148" s="16" t="n">
        <x:v>10</x:v>
      </x:c>
      <x:c r="I148" s="16" t="n">
        <x:v>4</x:v>
      </x:c>
      <x:c r="J148" s="16" t="n">
        <x:f>ROUNDUP(F148/H148,0)</x:f>
        <x:v>3</x:v>
      </x:c>
      <x:c r="K148" s="6" t="n">
        <x:f>MAX(L147+0)</x:f>
        <x:v>419</x:v>
      </x:c>
      <x:c r="L148" s="6" t="n">
        <x:f>K148+J148</x:f>
        <x:v>422</x:v>
      </x:c>
      <x:c r="M148" s="6" t="n">
        <x:f>N148-J148</x:f>
        <x:v>479</x:v>
      </x:c>
      <x:c r="N148" s="6" t="n">
        <x:f>MIN(M816-0)</x:f>
        <x:v>482</x:v>
      </x:c>
      <x:c r="O148" s="6" t="n">
        <x:f>M148-K148</x:f>
        <x:v>60</x:v>
      </x:c>
      <x:c r="P148" s="18" t="n">
        <x:f>INDEX('Calendar'!$C$8:$C$907,K148+1)</x:f>
        <x:v>46816</x:v>
      </x:c>
      <x:c r="Q148" s="18" t="n">
        <x:f>INDEX('Calendar'!$C$8:$C$907,MAX(K148+1,L148))</x:f>
        <x:v>46819</x:v>
      </x:c>
      <x:c r="R148" s="14" t="n">
        <x:v>5796</x:v>
      </x:c>
      <x:c r="S148" s="14"/>
      <x:c r="T148" s="14" t="n">
        <x:f>R148/J148</x:f>
        <x:v>1932</x:v>
      </x:c>
    </x:row>
    <x:row r="149" ht="23" customHeight="1">
      <x:c r="A149" s="1" t="str">
        <x:v>T2-L00-F</x:v>
      </x:c>
      <x:c r="B149" s="1" t="str">
        <x:v>T2</x:v>
      </x:c>
      <x:c r="C149" s="1" t="str">
        <x:v>L00</x:v>
      </x:c>
      <x:c r="D149" s="1" t="str">
        <x:v>Columns, core and deck formwork</x:v>
      </x:c>
      <x:c r="E149" s="1" t="str">
        <x:v>Formwork</x:v>
      </x:c>
      <x:c r="F149" s="15" t="n">
        <x:v>1222.6600000000005</x:v>
      </x:c>
      <x:c r="G149" s="1" t="str">
        <x:v>m2</x:v>
      </x:c>
      <x:c r="H149" s="17" t="n">
        <x:v>220</x:v>
      </x:c>
      <x:c r="I149" s="17" t="n">
        <x:v>18</x:v>
      </x:c>
      <x:c r="J149" s="17" t="n">
        <x:f>ROUNDUP(F149/H149,0)</x:f>
        <x:v>6</x:v>
      </x:c>
      <x:c r="K149" s="1" t="n">
        <x:f>MAX(L12+(7+1*'Controls'!$B$11))</x:f>
        <x:v>146</x:v>
      </x:c>
      <x:c r="L149" s="1" t="n">
        <x:f>K149+J149</x:f>
        <x:v>152</x:v>
      </x:c>
      <x:c r="M149" s="1" t="n">
        <x:f>N149-J149</x:f>
        <x:v>194</x:v>
      </x:c>
      <x:c r="N149" s="1" t="n">
        <x:f>MIN(M150-0)</x:f>
        <x:v>200</x:v>
      </x:c>
      <x:c r="O149" s="1" t="n">
        <x:f>M149-K149</x:f>
        <x:v>48</x:v>
      </x:c>
      <x:c r="P149" s="19" t="n">
        <x:f>INDEX('Calendar'!$C$8:$C$907,K149+1)</x:f>
        <x:v>46498</x:v>
      </x:c>
      <x:c r="Q149" s="19" t="n">
        <x:f>INDEX('Calendar'!$C$8:$C$907,MAX(K149+1,L149))</x:f>
        <x:v>46504</x:v>
      </x:c>
      <x:c r="R149" s="15" t="n">
        <x:v>29364.320000000007</x:v>
      </x:c>
      <x:c r="S149" s="15"/>
      <x:c r="T149" s="15" t="n">
        <x:f>R149/J149</x:f>
        <x:v>4894.053333333334</x:v>
      </x:c>
    </x:row>
    <x:row r="150" ht="23" customHeight="1">
      <x:c r="A150" s="6" t="str">
        <x:v>T2-L00-R</x:v>
      </x:c>
      <x:c r="B150" s="6" t="str">
        <x:v>T2</x:v>
      </x:c>
      <x:c r="C150" s="6" t="str">
        <x:v>L00</x:v>
      </x:c>
      <x:c r="D150" s="6" t="str">
        <x:v>Column, wall, beam and slab reinforcement</x:v>
      </x:c>
      <x:c r="E150" s="6" t="str">
        <x:v>Rebar</x:v>
      </x:c>
      <x:c r="F150" s="14" t="n">
        <x:v>29.684139475407747</x:v>
      </x:c>
      <x:c r="G150" s="6" t="str">
        <x:v>t</x:v>
      </x:c>
      <x:c r="H150" s="16" t="n">
        <x:v>7</x:v>
      </x:c>
      <x:c r="I150" s="16" t="n">
        <x:v>14</x:v>
      </x:c>
      <x:c r="J150" s="16" t="n">
        <x:f>ROUNDUP(F150/H150,0)</x:f>
        <x:v>5</x:v>
      </x:c>
      <x:c r="K150" s="6" t="n">
        <x:f>MAX(L149+0)</x:f>
        <x:v>152</x:v>
      </x:c>
      <x:c r="L150" s="6" t="n">
        <x:f>K150+J150</x:f>
        <x:v>157</x:v>
      </x:c>
      <x:c r="M150" s="6" t="n">
        <x:f>N150-J150</x:f>
        <x:v>200</x:v>
      </x:c>
      <x:c r="N150" s="6" t="n">
        <x:f>MIN(M151-0)</x:f>
        <x:v>205</x:v>
      </x:c>
      <x:c r="O150" s="6" t="n">
        <x:f>M150-K150</x:f>
        <x:v>48</x:v>
      </x:c>
      <x:c r="P150" s="18" t="n">
        <x:f>INDEX('Calendar'!$C$8:$C$907,K150+1)</x:f>
        <x:v>46505</x:v>
      </x:c>
      <x:c r="Q150" s="18" t="n">
        <x:f>INDEX('Calendar'!$C$8:$C$907,MAX(K150+1,L150))</x:f>
        <x:v>46510</x:v>
      </x:c>
      <x:c r="R150" s="14" t="n">
        <x:v>25795.51720412933</x:v>
      </x:c>
      <x:c r="S150" s="14"/>
      <x:c r="T150" s="14" t="n">
        <x:f>R150/J150</x:f>
        <x:v>5159.103440825866</x:v>
      </x:c>
    </x:row>
    <x:row r="151" ht="23" customHeight="1">
      <x:c r="A151" s="1" t="str">
        <x:v>T2-L00-C</x:v>
      </x:c>
      <x:c r="B151" s="1" t="str">
        <x:v>T2</x:v>
      </x:c>
      <x:c r="C151" s="1" t="str">
        <x:v>L00</x:v>
      </x:c>
      <x:c r="D151" s="1" t="str">
        <x:v>Concrete placement and finishing</x:v>
      </x:c>
      <x:c r="E151" s="1" t="str">
        <x:v>Concrete</x:v>
      </x:c>
      <x:c r="F151" s="15" t="n">
        <x:v>226.70819999999958</x:v>
      </x:c>
      <x:c r="G151" s="1" t="str">
        <x:v>m3</x:v>
      </x:c>
      <x:c r="H151" s="17" t="n">
        <x:v>170</x:v>
      </x:c>
      <x:c r="I151" s="17" t="n">
        <x:v>12</x:v>
      </x:c>
      <x:c r="J151" s="17" t="n">
        <x:f>ROUNDUP(F151/H151,0)</x:f>
        <x:v>2</x:v>
      </x:c>
      <x:c r="K151" s="1" t="n">
        <x:f>MAX(L150+0)</x:f>
        <x:v>157</x:v>
      </x:c>
      <x:c r="L151" s="1" t="n">
        <x:f>K151+J151</x:f>
        <x:v>159</x:v>
      </x:c>
      <x:c r="M151" s="1" t="n">
        <x:f>N151-J151</x:f>
        <x:v>205</x:v>
      </x:c>
      <x:c r="N151" s="1" t="n">
        <x:f>MIN(M152-0)</x:f>
        <x:v>207</x:v>
      </x:c>
      <x:c r="O151" s="1" t="n">
        <x:f>M151-K151</x:f>
        <x:v>48</x:v>
      </x:c>
      <x:c r="P151" s="19" t="n">
        <x:f>INDEX('Calendar'!$C$8:$C$907,K151+1)</x:f>
        <x:v>46511</x:v>
      </x:c>
      <x:c r="Q151" s="19" t="n">
        <x:f>INDEX('Calendar'!$C$8:$C$907,MAX(K151+1,L151))</x:f>
        <x:v>46512</x:v>
      </x:c>
      <x:c r="R151" s="15" t="n">
        <x:v>33527.39699999994</x:v>
      </x:c>
      <x:c r="S151" s="15"/>
      <x:c r="T151" s="15" t="n">
        <x:f>R151/J151</x:f>
        <x:v>16763.69849999997</x:v>
      </x:c>
    </x:row>
    <x:row r="152" ht="23" customHeight="1">
      <x:c r="A152" s="6" t="str">
        <x:v>T2-L00-H</x:v>
      </x:c>
      <x:c r="B152" s="6" t="str">
        <x:v>T2</x:v>
      </x:c>
      <x:c r="C152" s="6" t="str">
        <x:v>L00</x:v>
      </x:c>
      <x:c r="D152" s="6" t="str">
        <x:v>Curing and release hold point</x:v>
      </x:c>
      <x:c r="E152" s="6" t="str">
        <x:v>Site</x:v>
      </x:c>
      <x:c r="F152" s="14" t="n">
        <x:v>1</x:v>
      </x:c>
      <x:c r="G152" s="6" t="str">
        <x:v>hold</x:v>
      </x:c>
      <x:c r="H152" s="16" t="n">
        <x:v>1</x:v>
      </x:c>
      <x:c r="I152" s="16" t="n">
        <x:v>0</x:v>
      </x:c>
      <x:c r="J152" s="16" t="n">
        <x:f>S152</x:f>
        <x:v>5</x:v>
      </x:c>
      <x:c r="K152" s="6" t="n">
        <x:f>MAX(L151+0)</x:f>
        <x:v>159</x:v>
      </x:c>
      <x:c r="L152" s="6" t="n">
        <x:f>K152+J152</x:f>
        <x:v>164</x:v>
      </x:c>
      <x:c r="M152" s="6" t="n">
        <x:f>N152-J152</x:f>
        <x:v>207</x:v>
      </x:c>
      <x:c r="N152" s="6" t="n">
        <x:f>MIN(M153-0)</x:f>
        <x:v>212</x:v>
      </x:c>
      <x:c r="O152" s="6" t="n">
        <x:f>M152-K152</x:f>
        <x:v>48</x:v>
      </x:c>
      <x:c r="P152" s="18" t="n">
        <x:f>INDEX('Calendar'!$C$8:$C$907,K152+1)</x:f>
        <x:v>46513</x:v>
      </x:c>
      <x:c r="Q152" s="18" t="n">
        <x:f>INDEX('Calendar'!$C$8:$C$907,MAX(K152+1,L152))</x:f>
        <x:v>46518</x:v>
      </x:c>
      <x:c r="R152" s="14" t="n">
        <x:v>0</x:v>
      </x:c>
      <x:c r="S152" s="14" t="n">
        <x:v>5</x:v>
      </x:c>
      <x:c r="T152" s="14" t="n">
        <x:f>R152/J152</x:f>
        <x:v>0</x:v>
      </x:c>
    </x:row>
    <x:row r="153" ht="23" customHeight="1">
      <x:c r="A153" s="1" t="str">
        <x:v>T2-L01-F</x:v>
      </x:c>
      <x:c r="B153" s="1" t="str">
        <x:v>T2</x:v>
      </x:c>
      <x:c r="C153" s="1" t="str">
        <x:v>L01</x:v>
      </x:c>
      <x:c r="D153" s="1" t="str">
        <x:v>Columns, core and deck formwork</x:v>
      </x:c>
      <x:c r="E153" s="1" t="str">
        <x:v>Formwork</x:v>
      </x:c>
      <x:c r="F153" s="15" t="n">
        <x:v>1222.6600000000005</x:v>
      </x:c>
      <x:c r="G153" s="1" t="str">
        <x:v>m2</x:v>
      </x:c>
      <x:c r="H153" s="17" t="n">
        <x:v>220</x:v>
      </x:c>
      <x:c r="I153" s="17" t="n">
        <x:v>18</x:v>
      </x:c>
      <x:c r="J153" s="17" t="n">
        <x:f>ROUNDUP(F153/H153,0)</x:f>
        <x:v>6</x:v>
      </x:c>
      <x:c r="K153" s="1" t="n">
        <x:f>MAX(L152+0)</x:f>
        <x:v>164</x:v>
      </x:c>
      <x:c r="L153" s="1" t="n">
        <x:f>K153+J153</x:f>
        <x:v>170</x:v>
      </x:c>
      <x:c r="M153" s="1" t="n">
        <x:f>N153-J153</x:f>
        <x:v>212</x:v>
      </x:c>
      <x:c r="N153" s="1" t="n">
        <x:f>MIN(M154-0)</x:f>
        <x:v>218</x:v>
      </x:c>
      <x:c r="O153" s="1" t="n">
        <x:f>M153-K153</x:f>
        <x:v>48</x:v>
      </x:c>
      <x:c r="P153" s="19" t="n">
        <x:f>INDEX('Calendar'!$C$8:$C$907,K153+1)</x:f>
        <x:v>46519</x:v>
      </x:c>
      <x:c r="Q153" s="19" t="n">
        <x:f>INDEX('Calendar'!$C$8:$C$907,MAX(K153+1,L153))</x:f>
        <x:v>46525</x:v>
      </x:c>
      <x:c r="R153" s="15" t="n">
        <x:v>29364.320000000007</x:v>
      </x:c>
      <x:c r="S153" s="15"/>
      <x:c r="T153" s="15" t="n">
        <x:f>R153/J153</x:f>
        <x:v>4894.053333333334</x:v>
      </x:c>
    </x:row>
    <x:row r="154" ht="23" customHeight="1">
      <x:c r="A154" s="6" t="str">
        <x:v>T2-L01-R</x:v>
      </x:c>
      <x:c r="B154" s="6" t="str">
        <x:v>T2</x:v>
      </x:c>
      <x:c r="C154" s="6" t="str">
        <x:v>L01</x:v>
      </x:c>
      <x:c r="D154" s="6" t="str">
        <x:v>Column, wall, beam and slab reinforcement</x:v>
      </x:c>
      <x:c r="E154" s="6" t="str">
        <x:v>Rebar</x:v>
      </x:c>
      <x:c r="F154" s="14" t="n">
        <x:v>29.684139475407747</x:v>
      </x:c>
      <x:c r="G154" s="6" t="str">
        <x:v>t</x:v>
      </x:c>
      <x:c r="H154" s="16" t="n">
        <x:v>7</x:v>
      </x:c>
      <x:c r="I154" s="16" t="n">
        <x:v>14</x:v>
      </x:c>
      <x:c r="J154" s="16" t="n">
        <x:f>ROUNDUP(F154/H154,0)</x:f>
        <x:v>5</x:v>
      </x:c>
      <x:c r="K154" s="6" t="n">
        <x:f>MAX(L153+0)</x:f>
        <x:v>170</x:v>
      </x:c>
      <x:c r="L154" s="6" t="n">
        <x:f>K154+J154</x:f>
        <x:v>175</x:v>
      </x:c>
      <x:c r="M154" s="6" t="n">
        <x:f>N154-J154</x:f>
        <x:v>218</x:v>
      </x:c>
      <x:c r="N154" s="6" t="n">
        <x:f>MIN(M155-0)</x:f>
        <x:v>223</x:v>
      </x:c>
      <x:c r="O154" s="6" t="n">
        <x:f>M154-K154</x:f>
        <x:v>48</x:v>
      </x:c>
      <x:c r="P154" s="18" t="n">
        <x:f>INDEX('Calendar'!$C$8:$C$907,K154+1)</x:f>
        <x:v>46526</x:v>
      </x:c>
      <x:c r="Q154" s="18" t="n">
        <x:f>INDEX('Calendar'!$C$8:$C$907,MAX(K154+1,L154))</x:f>
        <x:v>46531</x:v>
      </x:c>
      <x:c r="R154" s="14" t="n">
        <x:v>25795.51720412933</x:v>
      </x:c>
      <x:c r="S154" s="14"/>
      <x:c r="T154" s="14" t="n">
        <x:f>R154/J154</x:f>
        <x:v>5159.103440825866</x:v>
      </x:c>
    </x:row>
    <x:row r="155" ht="23" customHeight="1">
      <x:c r="A155" s="1" t="str">
        <x:v>T2-L01-C</x:v>
      </x:c>
      <x:c r="B155" s="1" t="str">
        <x:v>T2</x:v>
      </x:c>
      <x:c r="C155" s="1" t="str">
        <x:v>L01</x:v>
      </x:c>
      <x:c r="D155" s="1" t="str">
        <x:v>Concrete placement and finishing</x:v>
      </x:c>
      <x:c r="E155" s="1" t="str">
        <x:v>Concrete</x:v>
      </x:c>
      <x:c r="F155" s="15" t="n">
        <x:v>226.70819999999958</x:v>
      </x:c>
      <x:c r="G155" s="1" t="str">
        <x:v>m3</x:v>
      </x:c>
      <x:c r="H155" s="17" t="n">
        <x:v>170</x:v>
      </x:c>
      <x:c r="I155" s="17" t="n">
        <x:v>12</x:v>
      </x:c>
      <x:c r="J155" s="17" t="n">
        <x:f>ROUNDUP(F155/H155,0)</x:f>
        <x:v>2</x:v>
      </x:c>
      <x:c r="K155" s="1" t="n">
        <x:f>MAX(L154+0)</x:f>
        <x:v>175</x:v>
      </x:c>
      <x:c r="L155" s="1" t="n">
        <x:f>K155+J155</x:f>
        <x:v>177</x:v>
      </x:c>
      <x:c r="M155" s="1" t="n">
        <x:f>N155-J155</x:f>
        <x:v>223</x:v>
      </x:c>
      <x:c r="N155" s="1" t="n">
        <x:f>MIN(M156-0)</x:f>
        <x:v>225</x:v>
      </x:c>
      <x:c r="O155" s="1" t="n">
        <x:f>M155-K155</x:f>
        <x:v>48</x:v>
      </x:c>
      <x:c r="P155" s="19" t="n">
        <x:f>INDEX('Calendar'!$C$8:$C$907,K155+1)</x:f>
        <x:v>46532</x:v>
      </x:c>
      <x:c r="Q155" s="19" t="n">
        <x:f>INDEX('Calendar'!$C$8:$C$907,MAX(K155+1,L155))</x:f>
        <x:v>46533</x:v>
      </x:c>
      <x:c r="R155" s="15" t="n">
        <x:v>33527.39699999994</x:v>
      </x:c>
      <x:c r="S155" s="15"/>
      <x:c r="T155" s="15" t="n">
        <x:f>R155/J155</x:f>
        <x:v>16763.69849999997</x:v>
      </x:c>
    </x:row>
    <x:row r="156" ht="23" customHeight="1">
      <x:c r="A156" s="6" t="str">
        <x:v>T2-L01-H</x:v>
      </x:c>
      <x:c r="B156" s="6" t="str">
        <x:v>T2</x:v>
      </x:c>
      <x:c r="C156" s="6" t="str">
        <x:v>L01</x:v>
      </x:c>
      <x:c r="D156" s="6" t="str">
        <x:v>Curing and release hold point</x:v>
      </x:c>
      <x:c r="E156" s="6" t="str">
        <x:v>Site</x:v>
      </x:c>
      <x:c r="F156" s="14" t="n">
        <x:v>1</x:v>
      </x:c>
      <x:c r="G156" s="6" t="str">
        <x:v>hold</x:v>
      </x:c>
      <x:c r="H156" s="16" t="n">
        <x:v>1</x:v>
      </x:c>
      <x:c r="I156" s="16" t="n">
        <x:v>0</x:v>
      </x:c>
      <x:c r="J156" s="16" t="n">
        <x:f>S156</x:f>
        <x:v>5</x:v>
      </x:c>
      <x:c r="K156" s="6" t="n">
        <x:f>MAX(L155+0)</x:f>
        <x:v>177</x:v>
      </x:c>
      <x:c r="L156" s="6" t="n">
        <x:f>K156+J156</x:f>
        <x:v>182</x:v>
      </x:c>
      <x:c r="M156" s="6" t="n">
        <x:f>N156-J156</x:f>
        <x:v>225</x:v>
      </x:c>
      <x:c r="N156" s="6" t="n">
        <x:f>MIN(M157-0)</x:f>
        <x:v>230</x:v>
      </x:c>
      <x:c r="O156" s="6" t="n">
        <x:f>M156-K156</x:f>
        <x:v>48</x:v>
      </x:c>
      <x:c r="P156" s="18" t="n">
        <x:f>INDEX('Calendar'!$C$8:$C$907,K156+1)</x:f>
        <x:v>46534</x:v>
      </x:c>
      <x:c r="Q156" s="18" t="n">
        <x:f>INDEX('Calendar'!$C$8:$C$907,MAX(K156+1,L156))</x:f>
        <x:v>46539</x:v>
      </x:c>
      <x:c r="R156" s="14" t="n">
        <x:v>0</x:v>
      </x:c>
      <x:c r="S156" s="14" t="n">
        <x:v>5</x:v>
      </x:c>
      <x:c r="T156" s="14" t="n">
        <x:f>R156/J156</x:f>
        <x:v>0</x:v>
      </x:c>
    </x:row>
    <x:row r="157" ht="23" customHeight="1">
      <x:c r="A157" s="1" t="str">
        <x:v>T2-L02-F</x:v>
      </x:c>
      <x:c r="B157" s="1" t="str">
        <x:v>T2</x:v>
      </x:c>
      <x:c r="C157" s="1" t="str">
        <x:v>L02</x:v>
      </x:c>
      <x:c r="D157" s="1" t="str">
        <x:v>Columns, core and deck formwork</x:v>
      </x:c>
      <x:c r="E157" s="1" t="str">
        <x:v>Formwork</x:v>
      </x:c>
      <x:c r="F157" s="15" t="n">
        <x:v>1222.6600000000005</x:v>
      </x:c>
      <x:c r="G157" s="1" t="str">
        <x:v>m2</x:v>
      </x:c>
      <x:c r="H157" s="17" t="n">
        <x:v>220</x:v>
      </x:c>
      <x:c r="I157" s="17" t="n">
        <x:v>18</x:v>
      </x:c>
      <x:c r="J157" s="17" t="n">
        <x:f>ROUNDUP(F157/H157,0)</x:f>
        <x:v>6</x:v>
      </x:c>
      <x:c r="K157" s="1" t="n">
        <x:f>MAX(L156+0)</x:f>
        <x:v>182</x:v>
      </x:c>
      <x:c r="L157" s="1" t="n">
        <x:f>K157+J157</x:f>
        <x:v>188</x:v>
      </x:c>
      <x:c r="M157" s="1" t="n">
        <x:f>N157-J157</x:f>
        <x:v>230</x:v>
      </x:c>
      <x:c r="N157" s="1" t="n">
        <x:f>MIN(M158-0)</x:f>
        <x:v>236</x:v>
      </x:c>
      <x:c r="O157" s="1" t="n">
        <x:f>M157-K157</x:f>
        <x:v>48</x:v>
      </x:c>
      <x:c r="P157" s="19" t="n">
        <x:f>INDEX('Calendar'!$C$8:$C$907,K157+1)</x:f>
        <x:v>46540</x:v>
      </x:c>
      <x:c r="Q157" s="19" t="n">
        <x:f>INDEX('Calendar'!$C$8:$C$907,MAX(K157+1,L157))</x:f>
        <x:v>46546</x:v>
      </x:c>
      <x:c r="R157" s="15" t="n">
        <x:v>29364.320000000007</x:v>
      </x:c>
      <x:c r="S157" s="15"/>
      <x:c r="T157" s="15" t="n">
        <x:f>R157/J157</x:f>
        <x:v>4894.053333333334</x:v>
      </x:c>
    </x:row>
    <x:row r="158" ht="23" customHeight="1">
      <x:c r="A158" s="6" t="str">
        <x:v>T2-L02-R</x:v>
      </x:c>
      <x:c r="B158" s="6" t="str">
        <x:v>T2</x:v>
      </x:c>
      <x:c r="C158" s="6" t="str">
        <x:v>L02</x:v>
      </x:c>
      <x:c r="D158" s="6" t="str">
        <x:v>Column, wall, beam and slab reinforcement</x:v>
      </x:c>
      <x:c r="E158" s="6" t="str">
        <x:v>Rebar</x:v>
      </x:c>
      <x:c r="F158" s="14" t="n">
        <x:v>29.684139475407747</x:v>
      </x:c>
      <x:c r="G158" s="6" t="str">
        <x:v>t</x:v>
      </x:c>
      <x:c r="H158" s="16" t="n">
        <x:v>7</x:v>
      </x:c>
      <x:c r="I158" s="16" t="n">
        <x:v>14</x:v>
      </x:c>
      <x:c r="J158" s="16" t="n">
        <x:f>ROUNDUP(F158/H158,0)</x:f>
        <x:v>5</x:v>
      </x:c>
      <x:c r="K158" s="6" t="n">
        <x:f>MAX(L157+0)</x:f>
        <x:v>188</x:v>
      </x:c>
      <x:c r="L158" s="6" t="n">
        <x:f>K158+J158</x:f>
        <x:v>193</x:v>
      </x:c>
      <x:c r="M158" s="6" t="n">
        <x:f>N158-J158</x:f>
        <x:v>236</x:v>
      </x:c>
      <x:c r="N158" s="6" t="n">
        <x:f>MIN(M159-0)</x:f>
        <x:v>241</x:v>
      </x:c>
      <x:c r="O158" s="6" t="n">
        <x:f>M158-K158</x:f>
        <x:v>48</x:v>
      </x:c>
      <x:c r="P158" s="18" t="n">
        <x:f>INDEX('Calendar'!$C$8:$C$907,K158+1)</x:f>
        <x:v>46547</x:v>
      </x:c>
      <x:c r="Q158" s="18" t="n">
        <x:f>INDEX('Calendar'!$C$8:$C$907,MAX(K158+1,L158))</x:f>
        <x:v>46552</x:v>
      </x:c>
      <x:c r="R158" s="14" t="n">
        <x:v>25795.51720412933</x:v>
      </x:c>
      <x:c r="S158" s="14"/>
      <x:c r="T158" s="14" t="n">
        <x:f>R158/J158</x:f>
        <x:v>5159.103440825866</x:v>
      </x:c>
    </x:row>
    <x:row r="159" ht="23" customHeight="1">
      <x:c r="A159" s="1" t="str">
        <x:v>T2-L02-C</x:v>
      </x:c>
      <x:c r="B159" s="1" t="str">
        <x:v>T2</x:v>
      </x:c>
      <x:c r="C159" s="1" t="str">
        <x:v>L02</x:v>
      </x:c>
      <x:c r="D159" s="1" t="str">
        <x:v>Concrete placement and finishing</x:v>
      </x:c>
      <x:c r="E159" s="1" t="str">
        <x:v>Concrete</x:v>
      </x:c>
      <x:c r="F159" s="15" t="n">
        <x:v>226.70819999999958</x:v>
      </x:c>
      <x:c r="G159" s="1" t="str">
        <x:v>m3</x:v>
      </x:c>
      <x:c r="H159" s="17" t="n">
        <x:v>170</x:v>
      </x:c>
      <x:c r="I159" s="17" t="n">
        <x:v>12</x:v>
      </x:c>
      <x:c r="J159" s="17" t="n">
        <x:f>ROUNDUP(F159/H159,0)</x:f>
        <x:v>2</x:v>
      </x:c>
      <x:c r="K159" s="1" t="n">
        <x:f>MAX(L158+0)</x:f>
        <x:v>193</x:v>
      </x:c>
      <x:c r="L159" s="1" t="n">
        <x:f>K159+J159</x:f>
        <x:v>195</x:v>
      </x:c>
      <x:c r="M159" s="1" t="n">
        <x:f>N159-J159</x:f>
        <x:v>241</x:v>
      </x:c>
      <x:c r="N159" s="1" t="n">
        <x:f>MIN(M160-0)</x:f>
        <x:v>243</x:v>
      </x:c>
      <x:c r="O159" s="1" t="n">
        <x:f>M159-K159</x:f>
        <x:v>48</x:v>
      </x:c>
      <x:c r="P159" s="19" t="n">
        <x:f>INDEX('Calendar'!$C$8:$C$907,K159+1)</x:f>
        <x:v>46553</x:v>
      </x:c>
      <x:c r="Q159" s="19" t="n">
        <x:f>INDEX('Calendar'!$C$8:$C$907,MAX(K159+1,L159))</x:f>
        <x:v>46554</x:v>
      </x:c>
      <x:c r="R159" s="15" t="n">
        <x:v>33527.39699999994</x:v>
      </x:c>
      <x:c r="S159" s="15"/>
      <x:c r="T159" s="15" t="n">
        <x:f>R159/J159</x:f>
        <x:v>16763.69849999997</x:v>
      </x:c>
    </x:row>
    <x:row r="160" ht="23" customHeight="1">
      <x:c r="A160" s="6" t="str">
        <x:v>T2-L02-H</x:v>
      </x:c>
      <x:c r="B160" s="6" t="str">
        <x:v>T2</x:v>
      </x:c>
      <x:c r="C160" s="6" t="str">
        <x:v>L02</x:v>
      </x:c>
      <x:c r="D160" s="6" t="str">
        <x:v>Curing and release hold point</x:v>
      </x:c>
      <x:c r="E160" s="6" t="str">
        <x:v>Site</x:v>
      </x:c>
      <x:c r="F160" s="14" t="n">
        <x:v>1</x:v>
      </x:c>
      <x:c r="G160" s="6" t="str">
        <x:v>hold</x:v>
      </x:c>
      <x:c r="H160" s="16" t="n">
        <x:v>1</x:v>
      </x:c>
      <x:c r="I160" s="16" t="n">
        <x:v>0</x:v>
      </x:c>
      <x:c r="J160" s="16" t="n">
        <x:f>S160</x:f>
        <x:v>5</x:v>
      </x:c>
      <x:c r="K160" s="6" t="n">
        <x:f>MAX(L159+0)</x:f>
        <x:v>195</x:v>
      </x:c>
      <x:c r="L160" s="6" t="n">
        <x:f>K160+J160</x:f>
        <x:v>200</x:v>
      </x:c>
      <x:c r="M160" s="6" t="n">
        <x:f>N160-J160</x:f>
        <x:v>243</x:v>
      </x:c>
      <x:c r="N160" s="6" t="n">
        <x:f>MIN(M161-0)</x:f>
        <x:v>248</x:v>
      </x:c>
      <x:c r="O160" s="6" t="n">
        <x:f>M160-K160</x:f>
        <x:v>48</x:v>
      </x:c>
      <x:c r="P160" s="18" t="n">
        <x:f>INDEX('Calendar'!$C$8:$C$907,K160+1)</x:f>
        <x:v>46555</x:v>
      </x:c>
      <x:c r="Q160" s="18" t="n">
        <x:f>INDEX('Calendar'!$C$8:$C$907,MAX(K160+1,L160))</x:f>
        <x:v>46560</x:v>
      </x:c>
      <x:c r="R160" s="14" t="n">
        <x:v>0</x:v>
      </x:c>
      <x:c r="S160" s="14" t="n">
        <x:v>5</x:v>
      </x:c>
      <x:c r="T160" s="14" t="n">
        <x:f>R160/J160</x:f>
        <x:v>0</x:v>
      </x:c>
    </x:row>
    <x:row r="161" ht="23" customHeight="1">
      <x:c r="A161" s="1" t="str">
        <x:v>T2-L03-F</x:v>
      </x:c>
      <x:c r="B161" s="1" t="str">
        <x:v>T2</x:v>
      </x:c>
      <x:c r="C161" s="1" t="str">
        <x:v>L03</x:v>
      </x:c>
      <x:c r="D161" s="1" t="str">
        <x:v>Columns, core and deck formwork</x:v>
      </x:c>
      <x:c r="E161" s="1" t="str">
        <x:v>Formwork</x:v>
      </x:c>
      <x:c r="F161" s="15" t="n">
        <x:v>1222.6600000000005</x:v>
      </x:c>
      <x:c r="G161" s="1" t="str">
        <x:v>m2</x:v>
      </x:c>
      <x:c r="H161" s="17" t="n">
        <x:v>220</x:v>
      </x:c>
      <x:c r="I161" s="17" t="n">
        <x:v>18</x:v>
      </x:c>
      <x:c r="J161" s="17" t="n">
        <x:f>ROUNDUP(F161/H161,0)</x:f>
        <x:v>6</x:v>
      </x:c>
      <x:c r="K161" s="1" t="n">
        <x:f>MAX(L160+0)</x:f>
        <x:v>200</x:v>
      </x:c>
      <x:c r="L161" s="1" t="n">
        <x:f>K161+J161</x:f>
        <x:v>206</x:v>
      </x:c>
      <x:c r="M161" s="1" t="n">
        <x:f>N161-J161</x:f>
        <x:v>248</x:v>
      </x:c>
      <x:c r="N161" s="1" t="n">
        <x:f>MIN(M162-0)</x:f>
        <x:v>254</x:v>
      </x:c>
      <x:c r="O161" s="1" t="n">
        <x:f>M161-K161</x:f>
        <x:v>48</x:v>
      </x:c>
      <x:c r="P161" s="19" t="n">
        <x:f>INDEX('Calendar'!$C$8:$C$907,K161+1)</x:f>
        <x:v>46561</x:v>
      </x:c>
      <x:c r="Q161" s="19" t="n">
        <x:f>INDEX('Calendar'!$C$8:$C$907,MAX(K161+1,L161))</x:f>
        <x:v>46567</x:v>
      </x:c>
      <x:c r="R161" s="15" t="n">
        <x:v>29364.320000000007</x:v>
      </x:c>
      <x:c r="S161" s="15"/>
      <x:c r="T161" s="15" t="n">
        <x:f>R161/J161</x:f>
        <x:v>4894.053333333334</x:v>
      </x:c>
    </x:row>
    <x:row r="162" ht="23" customHeight="1">
      <x:c r="A162" s="6" t="str">
        <x:v>T2-L03-R</x:v>
      </x:c>
      <x:c r="B162" s="6" t="str">
        <x:v>T2</x:v>
      </x:c>
      <x:c r="C162" s="6" t="str">
        <x:v>L03</x:v>
      </x:c>
      <x:c r="D162" s="6" t="str">
        <x:v>Column, wall, beam and slab reinforcement</x:v>
      </x:c>
      <x:c r="E162" s="6" t="str">
        <x:v>Rebar</x:v>
      </x:c>
      <x:c r="F162" s="14" t="n">
        <x:v>29.684139475407747</x:v>
      </x:c>
      <x:c r="G162" s="6" t="str">
        <x:v>t</x:v>
      </x:c>
      <x:c r="H162" s="16" t="n">
        <x:v>7</x:v>
      </x:c>
      <x:c r="I162" s="16" t="n">
        <x:v>14</x:v>
      </x:c>
      <x:c r="J162" s="16" t="n">
        <x:f>ROUNDUP(F162/H162,0)</x:f>
        <x:v>5</x:v>
      </x:c>
      <x:c r="K162" s="6" t="n">
        <x:f>MAX(L161+0)</x:f>
        <x:v>206</x:v>
      </x:c>
      <x:c r="L162" s="6" t="n">
        <x:f>K162+J162</x:f>
        <x:v>211</x:v>
      </x:c>
      <x:c r="M162" s="6" t="n">
        <x:f>N162-J162</x:f>
        <x:v>254</x:v>
      </x:c>
      <x:c r="N162" s="6" t="n">
        <x:f>MIN(M163-0)</x:f>
        <x:v>259</x:v>
      </x:c>
      <x:c r="O162" s="6" t="n">
        <x:f>M162-K162</x:f>
        <x:v>48</x:v>
      </x:c>
      <x:c r="P162" s="18" t="n">
        <x:f>INDEX('Calendar'!$C$8:$C$907,K162+1)</x:f>
        <x:v>46568</x:v>
      </x:c>
      <x:c r="Q162" s="18" t="n">
        <x:f>INDEX('Calendar'!$C$8:$C$907,MAX(K162+1,L162))</x:f>
        <x:v>46573</x:v>
      </x:c>
      <x:c r="R162" s="14" t="n">
        <x:v>25795.51720412933</x:v>
      </x:c>
      <x:c r="S162" s="14"/>
      <x:c r="T162" s="14" t="n">
        <x:f>R162/J162</x:f>
        <x:v>5159.103440825866</x:v>
      </x:c>
    </x:row>
    <x:row r="163" ht="23" customHeight="1">
      <x:c r="A163" s="1" t="str">
        <x:v>T2-L03-C</x:v>
      </x:c>
      <x:c r="B163" s="1" t="str">
        <x:v>T2</x:v>
      </x:c>
      <x:c r="C163" s="1" t="str">
        <x:v>L03</x:v>
      </x:c>
      <x:c r="D163" s="1" t="str">
        <x:v>Concrete placement and finishing</x:v>
      </x:c>
      <x:c r="E163" s="1" t="str">
        <x:v>Concrete</x:v>
      </x:c>
      <x:c r="F163" s="15" t="n">
        <x:v>226.70819999999958</x:v>
      </x:c>
      <x:c r="G163" s="1" t="str">
        <x:v>m3</x:v>
      </x:c>
      <x:c r="H163" s="17" t="n">
        <x:v>170</x:v>
      </x:c>
      <x:c r="I163" s="17" t="n">
        <x:v>12</x:v>
      </x:c>
      <x:c r="J163" s="17" t="n">
        <x:f>ROUNDUP(F163/H163,0)</x:f>
        <x:v>2</x:v>
      </x:c>
      <x:c r="K163" s="1" t="n">
        <x:f>MAX(L162+0)</x:f>
        <x:v>211</x:v>
      </x:c>
      <x:c r="L163" s="1" t="n">
        <x:f>K163+J163</x:f>
        <x:v>213</x:v>
      </x:c>
      <x:c r="M163" s="1" t="n">
        <x:f>N163-J163</x:f>
        <x:v>259</x:v>
      </x:c>
      <x:c r="N163" s="1" t="n">
        <x:f>MIN(M164-0)</x:f>
        <x:v>261</x:v>
      </x:c>
      <x:c r="O163" s="1" t="n">
        <x:f>M163-K163</x:f>
        <x:v>48</x:v>
      </x:c>
      <x:c r="P163" s="19" t="n">
        <x:f>INDEX('Calendar'!$C$8:$C$907,K163+1)</x:f>
        <x:v>46574</x:v>
      </x:c>
      <x:c r="Q163" s="19" t="n">
        <x:f>INDEX('Calendar'!$C$8:$C$907,MAX(K163+1,L163))</x:f>
        <x:v>46575</x:v>
      </x:c>
      <x:c r="R163" s="15" t="n">
        <x:v>33527.39699999994</x:v>
      </x:c>
      <x:c r="S163" s="15"/>
      <x:c r="T163" s="15" t="n">
        <x:f>R163/J163</x:f>
        <x:v>16763.69849999997</x:v>
      </x:c>
    </x:row>
    <x:row r="164" ht="23" customHeight="1">
      <x:c r="A164" s="6" t="str">
        <x:v>T2-L03-H</x:v>
      </x:c>
      <x:c r="B164" s="6" t="str">
        <x:v>T2</x:v>
      </x:c>
      <x:c r="C164" s="6" t="str">
        <x:v>L03</x:v>
      </x:c>
      <x:c r="D164" s="6" t="str">
        <x:v>Curing and release hold point</x:v>
      </x:c>
      <x:c r="E164" s="6" t="str">
        <x:v>Site</x:v>
      </x:c>
      <x:c r="F164" s="14" t="n">
        <x:v>1</x:v>
      </x:c>
      <x:c r="G164" s="6" t="str">
        <x:v>hold</x:v>
      </x:c>
      <x:c r="H164" s="16" t="n">
        <x:v>1</x:v>
      </x:c>
      <x:c r="I164" s="16" t="n">
        <x:v>0</x:v>
      </x:c>
      <x:c r="J164" s="16" t="n">
        <x:f>S164</x:f>
        <x:v>5</x:v>
      </x:c>
      <x:c r="K164" s="6" t="n">
        <x:f>MAX(L163+0)</x:f>
        <x:v>213</x:v>
      </x:c>
      <x:c r="L164" s="6" t="n">
        <x:f>K164+J164</x:f>
        <x:v>218</x:v>
      </x:c>
      <x:c r="M164" s="6" t="n">
        <x:f>N164-J164</x:f>
        <x:v>261</x:v>
      </x:c>
      <x:c r="N164" s="6" t="n">
        <x:f>MIN(M165-0,M204-5)</x:f>
        <x:v>266</x:v>
      </x:c>
      <x:c r="O164" s="6" t="n">
        <x:f>M164-K164</x:f>
        <x:v>48</x:v>
      </x:c>
      <x:c r="P164" s="18" t="n">
        <x:f>INDEX('Calendar'!$C$8:$C$907,K164+1)</x:f>
        <x:v>46576</x:v>
      </x:c>
      <x:c r="Q164" s="18" t="n">
        <x:f>INDEX('Calendar'!$C$8:$C$907,MAX(K164+1,L164))</x:f>
        <x:v>46581</x:v>
      </x:c>
      <x:c r="R164" s="14" t="n">
        <x:v>0</x:v>
      </x:c>
      <x:c r="S164" s="14" t="n">
        <x:v>5</x:v>
      </x:c>
      <x:c r="T164" s="14" t="n">
        <x:f>R164/J164</x:f>
        <x:v>0</x:v>
      </x:c>
    </x:row>
    <x:row r="165" ht="23" customHeight="1">
      <x:c r="A165" s="1" t="str">
        <x:v>T2-L04-F</x:v>
      </x:c>
      <x:c r="B165" s="1" t="str">
        <x:v>T2</x:v>
      </x:c>
      <x:c r="C165" s="1" t="str">
        <x:v>L04</x:v>
      </x:c>
      <x:c r="D165" s="1" t="str">
        <x:v>Columns, core and deck formwork</x:v>
      </x:c>
      <x:c r="E165" s="1" t="str">
        <x:v>Formwork</x:v>
      </x:c>
      <x:c r="F165" s="15" t="n">
        <x:v>1222.6600000000005</x:v>
      </x:c>
      <x:c r="G165" s="1" t="str">
        <x:v>m2</x:v>
      </x:c>
      <x:c r="H165" s="17" t="n">
        <x:v>220</x:v>
      </x:c>
      <x:c r="I165" s="17" t="n">
        <x:v>18</x:v>
      </x:c>
      <x:c r="J165" s="17" t="n">
        <x:f>ROUNDUP(F165/H165,0)</x:f>
        <x:v>6</x:v>
      </x:c>
      <x:c r="K165" s="1" t="n">
        <x:f>MAX(L164+0)</x:f>
        <x:v>218</x:v>
      </x:c>
      <x:c r="L165" s="1" t="n">
        <x:f>K165+J165</x:f>
        <x:v>224</x:v>
      </x:c>
      <x:c r="M165" s="1" t="n">
        <x:f>N165-J165</x:f>
        <x:v>266</x:v>
      </x:c>
      <x:c r="N165" s="1" t="n">
        <x:f>MIN(M166-0)</x:f>
        <x:v>272</x:v>
      </x:c>
      <x:c r="O165" s="1" t="n">
        <x:f>M165-K165</x:f>
        <x:v>48</x:v>
      </x:c>
      <x:c r="P165" s="19" t="n">
        <x:f>INDEX('Calendar'!$C$8:$C$907,K165+1)</x:f>
        <x:v>46582</x:v>
      </x:c>
      <x:c r="Q165" s="19" t="n">
        <x:f>INDEX('Calendar'!$C$8:$C$907,MAX(K165+1,L165))</x:f>
        <x:v>46588</x:v>
      </x:c>
      <x:c r="R165" s="15" t="n">
        <x:v>29364.320000000007</x:v>
      </x:c>
      <x:c r="S165" s="15"/>
      <x:c r="T165" s="15" t="n">
        <x:f>R165/J165</x:f>
        <x:v>4894.053333333334</x:v>
      </x:c>
    </x:row>
    <x:row r="166" ht="23" customHeight="1">
      <x:c r="A166" s="6" t="str">
        <x:v>T2-L04-R</x:v>
      </x:c>
      <x:c r="B166" s="6" t="str">
        <x:v>T2</x:v>
      </x:c>
      <x:c r="C166" s="6" t="str">
        <x:v>L04</x:v>
      </x:c>
      <x:c r="D166" s="6" t="str">
        <x:v>Column, wall, beam and slab reinforcement</x:v>
      </x:c>
      <x:c r="E166" s="6" t="str">
        <x:v>Rebar</x:v>
      </x:c>
      <x:c r="F166" s="14" t="n">
        <x:v>29.684139475407747</x:v>
      </x:c>
      <x:c r="G166" s="6" t="str">
        <x:v>t</x:v>
      </x:c>
      <x:c r="H166" s="16" t="n">
        <x:v>7</x:v>
      </x:c>
      <x:c r="I166" s="16" t="n">
        <x:v>14</x:v>
      </x:c>
      <x:c r="J166" s="16" t="n">
        <x:f>ROUNDUP(F166/H166,0)</x:f>
        <x:v>5</x:v>
      </x:c>
      <x:c r="K166" s="6" t="n">
        <x:f>MAX(L165+0)</x:f>
        <x:v>224</x:v>
      </x:c>
      <x:c r="L166" s="6" t="n">
        <x:f>K166+J166</x:f>
        <x:v>229</x:v>
      </x:c>
      <x:c r="M166" s="6" t="n">
        <x:f>N166-J166</x:f>
        <x:v>272</x:v>
      </x:c>
      <x:c r="N166" s="6" t="n">
        <x:f>MIN(M167-0)</x:f>
        <x:v>277</x:v>
      </x:c>
      <x:c r="O166" s="6" t="n">
        <x:f>M166-K166</x:f>
        <x:v>48</x:v>
      </x:c>
      <x:c r="P166" s="18" t="n">
        <x:f>INDEX('Calendar'!$C$8:$C$907,K166+1)</x:f>
        <x:v>46589</x:v>
      </x:c>
      <x:c r="Q166" s="18" t="n">
        <x:f>INDEX('Calendar'!$C$8:$C$907,MAX(K166+1,L166))</x:f>
        <x:v>46594</x:v>
      </x:c>
      <x:c r="R166" s="14" t="n">
        <x:v>25795.51720412933</x:v>
      </x:c>
      <x:c r="S166" s="14"/>
      <x:c r="T166" s="14" t="n">
        <x:f>R166/J166</x:f>
        <x:v>5159.103440825866</x:v>
      </x:c>
    </x:row>
    <x:row r="167" ht="23" customHeight="1">
      <x:c r="A167" s="1" t="str">
        <x:v>T2-L04-C</x:v>
      </x:c>
      <x:c r="B167" s="1" t="str">
        <x:v>T2</x:v>
      </x:c>
      <x:c r="C167" s="1" t="str">
        <x:v>L04</x:v>
      </x:c>
      <x:c r="D167" s="1" t="str">
        <x:v>Concrete placement and finishing</x:v>
      </x:c>
      <x:c r="E167" s="1" t="str">
        <x:v>Concrete</x:v>
      </x:c>
      <x:c r="F167" s="15" t="n">
        <x:v>226.70819999999958</x:v>
      </x:c>
      <x:c r="G167" s="1" t="str">
        <x:v>m3</x:v>
      </x:c>
      <x:c r="H167" s="17" t="n">
        <x:v>170</x:v>
      </x:c>
      <x:c r="I167" s="17" t="n">
        <x:v>12</x:v>
      </x:c>
      <x:c r="J167" s="17" t="n">
        <x:f>ROUNDUP(F167/H167,0)</x:f>
        <x:v>2</x:v>
      </x:c>
      <x:c r="K167" s="1" t="n">
        <x:f>MAX(L166+0)</x:f>
        <x:v>229</x:v>
      </x:c>
      <x:c r="L167" s="1" t="n">
        <x:f>K167+J167</x:f>
        <x:v>231</x:v>
      </x:c>
      <x:c r="M167" s="1" t="n">
        <x:f>N167-J167</x:f>
        <x:v>277</x:v>
      </x:c>
      <x:c r="N167" s="1" t="n">
        <x:f>MIN(M168-0)</x:f>
        <x:v>279</x:v>
      </x:c>
      <x:c r="O167" s="1" t="n">
        <x:f>M167-K167</x:f>
        <x:v>48</x:v>
      </x:c>
      <x:c r="P167" s="19" t="n">
        <x:f>INDEX('Calendar'!$C$8:$C$907,K167+1)</x:f>
        <x:v>46595</x:v>
      </x:c>
      <x:c r="Q167" s="19" t="n">
        <x:f>INDEX('Calendar'!$C$8:$C$907,MAX(K167+1,L167))</x:f>
        <x:v>46596</x:v>
      </x:c>
      <x:c r="R167" s="15" t="n">
        <x:v>33527.39699999994</x:v>
      </x:c>
      <x:c r="S167" s="15"/>
      <x:c r="T167" s="15" t="n">
        <x:f>R167/J167</x:f>
        <x:v>16763.69849999997</x:v>
      </x:c>
    </x:row>
    <x:row r="168" ht="23" customHeight="1">
      <x:c r="A168" s="6" t="str">
        <x:v>T2-L04-H</x:v>
      </x:c>
      <x:c r="B168" s="6" t="str">
        <x:v>T2</x:v>
      </x:c>
      <x:c r="C168" s="6" t="str">
        <x:v>L04</x:v>
      </x:c>
      <x:c r="D168" s="6" t="str">
        <x:v>Curing and release hold point</x:v>
      </x:c>
      <x:c r="E168" s="6" t="str">
        <x:v>Site</x:v>
      </x:c>
      <x:c r="F168" s="14" t="n">
        <x:v>1</x:v>
      </x:c>
      <x:c r="G168" s="6" t="str">
        <x:v>hold</x:v>
      </x:c>
      <x:c r="H168" s="16" t="n">
        <x:v>1</x:v>
      </x:c>
      <x:c r="I168" s="16" t="n">
        <x:v>0</x:v>
      </x:c>
      <x:c r="J168" s="16" t="n">
        <x:f>S168</x:f>
        <x:v>5</x:v>
      </x:c>
      <x:c r="K168" s="6" t="n">
        <x:f>MAX(L167+0)</x:f>
        <x:v>231</x:v>
      </x:c>
      <x:c r="L168" s="6" t="n">
        <x:f>K168+J168</x:f>
        <x:v>236</x:v>
      </x:c>
      <x:c r="M168" s="6" t="n">
        <x:f>N168-J168</x:f>
        <x:v>279</x:v>
      </x:c>
      <x:c r="N168" s="6" t="n">
        <x:f>MIN(M169-0,M210-5)</x:f>
        <x:v>284</x:v>
      </x:c>
      <x:c r="O168" s="6" t="n">
        <x:f>M168-K168</x:f>
        <x:v>48</x:v>
      </x:c>
      <x:c r="P168" s="18" t="n">
        <x:f>INDEX('Calendar'!$C$8:$C$907,K168+1)</x:f>
        <x:v>46597</x:v>
      </x:c>
      <x:c r="Q168" s="18" t="n">
        <x:f>INDEX('Calendar'!$C$8:$C$907,MAX(K168+1,L168))</x:f>
        <x:v>46602</x:v>
      </x:c>
      <x:c r="R168" s="14" t="n">
        <x:v>0</x:v>
      </x:c>
      <x:c r="S168" s="14" t="n">
        <x:v>5</x:v>
      </x:c>
      <x:c r="T168" s="14" t="n">
        <x:f>R168/J168</x:f>
        <x:v>0</x:v>
      </x:c>
    </x:row>
    <x:row r="169" ht="23" customHeight="1">
      <x:c r="A169" s="1" t="str">
        <x:v>T2-L05-F</x:v>
      </x:c>
      <x:c r="B169" s="1" t="str">
        <x:v>T2</x:v>
      </x:c>
      <x:c r="C169" s="1" t="str">
        <x:v>L05</x:v>
      </x:c>
      <x:c r="D169" s="1" t="str">
        <x:v>Columns, core and deck formwork</x:v>
      </x:c>
      <x:c r="E169" s="1" t="str">
        <x:v>Formwork</x:v>
      </x:c>
      <x:c r="F169" s="15" t="n">
        <x:v>1222.6600000000005</x:v>
      </x:c>
      <x:c r="G169" s="1" t="str">
        <x:v>m2</x:v>
      </x:c>
      <x:c r="H169" s="17" t="n">
        <x:v>220</x:v>
      </x:c>
      <x:c r="I169" s="17" t="n">
        <x:v>18</x:v>
      </x:c>
      <x:c r="J169" s="17" t="n">
        <x:f>ROUNDUP(F169/H169,0)</x:f>
        <x:v>6</x:v>
      </x:c>
      <x:c r="K169" s="1" t="n">
        <x:f>MAX(L168+0)</x:f>
        <x:v>236</x:v>
      </x:c>
      <x:c r="L169" s="1" t="n">
        <x:f>K169+J169</x:f>
        <x:v>242</x:v>
      </x:c>
      <x:c r="M169" s="1" t="n">
        <x:f>N169-J169</x:f>
        <x:v>284</x:v>
      </x:c>
      <x:c r="N169" s="1" t="n">
        <x:f>MIN(M170-0)</x:f>
        <x:v>290</x:v>
      </x:c>
      <x:c r="O169" s="1" t="n">
        <x:f>M169-K169</x:f>
        <x:v>48</x:v>
      </x:c>
      <x:c r="P169" s="19" t="n">
        <x:f>INDEX('Calendar'!$C$8:$C$907,K169+1)</x:f>
        <x:v>46603</x:v>
      </x:c>
      <x:c r="Q169" s="19" t="n">
        <x:f>INDEX('Calendar'!$C$8:$C$907,MAX(K169+1,L169))</x:f>
        <x:v>46609</x:v>
      </x:c>
      <x:c r="R169" s="15" t="n">
        <x:v>29364.320000000007</x:v>
      </x:c>
      <x:c r="S169" s="15"/>
      <x:c r="T169" s="15" t="n">
        <x:f>R169/J169</x:f>
        <x:v>4894.053333333334</x:v>
      </x:c>
    </x:row>
    <x:row r="170" ht="23" customHeight="1">
      <x:c r="A170" s="6" t="str">
        <x:v>T2-L05-R</x:v>
      </x:c>
      <x:c r="B170" s="6" t="str">
        <x:v>T2</x:v>
      </x:c>
      <x:c r="C170" s="6" t="str">
        <x:v>L05</x:v>
      </x:c>
      <x:c r="D170" s="6" t="str">
        <x:v>Column, wall, beam and slab reinforcement</x:v>
      </x:c>
      <x:c r="E170" s="6" t="str">
        <x:v>Rebar</x:v>
      </x:c>
      <x:c r="F170" s="14" t="n">
        <x:v>29.684139475407747</x:v>
      </x:c>
      <x:c r="G170" s="6" t="str">
        <x:v>t</x:v>
      </x:c>
      <x:c r="H170" s="16" t="n">
        <x:v>7</x:v>
      </x:c>
      <x:c r="I170" s="16" t="n">
        <x:v>14</x:v>
      </x:c>
      <x:c r="J170" s="16" t="n">
        <x:f>ROUNDUP(F170/H170,0)</x:f>
        <x:v>5</x:v>
      </x:c>
      <x:c r="K170" s="6" t="n">
        <x:f>MAX(L169+0)</x:f>
        <x:v>242</x:v>
      </x:c>
      <x:c r="L170" s="6" t="n">
        <x:f>K170+J170</x:f>
        <x:v>247</x:v>
      </x:c>
      <x:c r="M170" s="6" t="n">
        <x:f>N170-J170</x:f>
        <x:v>290</x:v>
      </x:c>
      <x:c r="N170" s="6" t="n">
        <x:f>MIN(M171-0)</x:f>
        <x:v>295</x:v>
      </x:c>
      <x:c r="O170" s="6" t="n">
        <x:f>M170-K170</x:f>
        <x:v>48</x:v>
      </x:c>
      <x:c r="P170" s="18" t="n">
        <x:f>INDEX('Calendar'!$C$8:$C$907,K170+1)</x:f>
        <x:v>46610</x:v>
      </x:c>
      <x:c r="Q170" s="18" t="n">
        <x:f>INDEX('Calendar'!$C$8:$C$907,MAX(K170+1,L170))</x:f>
        <x:v>46615</x:v>
      </x:c>
      <x:c r="R170" s="14" t="n">
        <x:v>25795.51720412933</x:v>
      </x:c>
      <x:c r="S170" s="14"/>
      <x:c r="T170" s="14" t="n">
        <x:f>R170/J170</x:f>
        <x:v>5159.103440825866</x:v>
      </x:c>
    </x:row>
    <x:row r="171" ht="23" customHeight="1">
      <x:c r="A171" s="1" t="str">
        <x:v>T2-L05-C</x:v>
      </x:c>
      <x:c r="B171" s="1" t="str">
        <x:v>T2</x:v>
      </x:c>
      <x:c r="C171" s="1" t="str">
        <x:v>L05</x:v>
      </x:c>
      <x:c r="D171" s="1" t="str">
        <x:v>Concrete placement and finishing</x:v>
      </x:c>
      <x:c r="E171" s="1" t="str">
        <x:v>Concrete</x:v>
      </x:c>
      <x:c r="F171" s="15" t="n">
        <x:v>226.70819999999958</x:v>
      </x:c>
      <x:c r="G171" s="1" t="str">
        <x:v>m3</x:v>
      </x:c>
      <x:c r="H171" s="17" t="n">
        <x:v>170</x:v>
      </x:c>
      <x:c r="I171" s="17" t="n">
        <x:v>12</x:v>
      </x:c>
      <x:c r="J171" s="17" t="n">
        <x:f>ROUNDUP(F171/H171,0)</x:f>
        <x:v>2</x:v>
      </x:c>
      <x:c r="K171" s="1" t="n">
        <x:f>MAX(L170+0)</x:f>
        <x:v>247</x:v>
      </x:c>
      <x:c r="L171" s="1" t="n">
        <x:f>K171+J171</x:f>
        <x:v>249</x:v>
      </x:c>
      <x:c r="M171" s="1" t="n">
        <x:f>N171-J171</x:f>
        <x:v>295</x:v>
      </x:c>
      <x:c r="N171" s="1" t="n">
        <x:f>MIN(M172-0)</x:f>
        <x:v>297</x:v>
      </x:c>
      <x:c r="O171" s="1" t="n">
        <x:f>M171-K171</x:f>
        <x:v>48</x:v>
      </x:c>
      <x:c r="P171" s="19" t="n">
        <x:f>INDEX('Calendar'!$C$8:$C$907,K171+1)</x:f>
        <x:v>46616</x:v>
      </x:c>
      <x:c r="Q171" s="19" t="n">
        <x:f>INDEX('Calendar'!$C$8:$C$907,MAX(K171+1,L171))</x:f>
        <x:v>46617</x:v>
      </x:c>
      <x:c r="R171" s="15" t="n">
        <x:v>33527.39699999994</x:v>
      </x:c>
      <x:c r="S171" s="15"/>
      <x:c r="T171" s="15" t="n">
        <x:f>R171/J171</x:f>
        <x:v>16763.69849999997</x:v>
      </x:c>
    </x:row>
    <x:row r="172" ht="23" customHeight="1">
      <x:c r="A172" s="6" t="str">
        <x:v>T2-L05-H</x:v>
      </x:c>
      <x:c r="B172" s="6" t="str">
        <x:v>T2</x:v>
      </x:c>
      <x:c r="C172" s="6" t="str">
        <x:v>L05</x:v>
      </x:c>
      <x:c r="D172" s="6" t="str">
        <x:v>Curing and release hold point</x:v>
      </x:c>
      <x:c r="E172" s="6" t="str">
        <x:v>Site</x:v>
      </x:c>
      <x:c r="F172" s="14" t="n">
        <x:v>1</x:v>
      </x:c>
      <x:c r="G172" s="6" t="str">
        <x:v>hold</x:v>
      </x:c>
      <x:c r="H172" s="16" t="n">
        <x:v>1</x:v>
      </x:c>
      <x:c r="I172" s="16" t="n">
        <x:v>0</x:v>
      </x:c>
      <x:c r="J172" s="16" t="n">
        <x:f>S172</x:f>
        <x:v>5</x:v>
      </x:c>
      <x:c r="K172" s="6" t="n">
        <x:f>MAX(L171+0)</x:f>
        <x:v>249</x:v>
      </x:c>
      <x:c r="L172" s="6" t="n">
        <x:f>K172+J172</x:f>
        <x:v>254</x:v>
      </x:c>
      <x:c r="M172" s="6" t="n">
        <x:f>N172-J172</x:f>
        <x:v>297</x:v>
      </x:c>
      <x:c r="N172" s="6" t="n">
        <x:f>MIN(M173-0,M216-5)</x:f>
        <x:v>302</x:v>
      </x:c>
      <x:c r="O172" s="6" t="n">
        <x:f>M172-K172</x:f>
        <x:v>48</x:v>
      </x:c>
      <x:c r="P172" s="18" t="n">
        <x:f>INDEX('Calendar'!$C$8:$C$907,K172+1)</x:f>
        <x:v>46618</x:v>
      </x:c>
      <x:c r="Q172" s="18" t="n">
        <x:f>INDEX('Calendar'!$C$8:$C$907,MAX(K172+1,L172))</x:f>
        <x:v>46623</x:v>
      </x:c>
      <x:c r="R172" s="14" t="n">
        <x:v>0</x:v>
      </x:c>
      <x:c r="S172" s="14" t="n">
        <x:v>5</x:v>
      </x:c>
      <x:c r="T172" s="14" t="n">
        <x:f>R172/J172</x:f>
        <x:v>0</x:v>
      </x:c>
    </x:row>
    <x:row r="173" ht="23" customHeight="1">
      <x:c r="A173" s="1" t="str">
        <x:v>T2-L06-F</x:v>
      </x:c>
      <x:c r="B173" s="1" t="str">
        <x:v>T2</x:v>
      </x:c>
      <x:c r="C173" s="1" t="str">
        <x:v>L06</x:v>
      </x:c>
      <x:c r="D173" s="1" t="str">
        <x:v>Columns, core and deck formwork</x:v>
      </x:c>
      <x:c r="E173" s="1" t="str">
        <x:v>Formwork</x:v>
      </x:c>
      <x:c r="F173" s="15" t="n">
        <x:v>1222.6600000000005</x:v>
      </x:c>
      <x:c r="G173" s="1" t="str">
        <x:v>m2</x:v>
      </x:c>
      <x:c r="H173" s="17" t="n">
        <x:v>220</x:v>
      </x:c>
      <x:c r="I173" s="17" t="n">
        <x:v>18</x:v>
      </x:c>
      <x:c r="J173" s="17" t="n">
        <x:f>ROUNDUP(F173/H173,0)</x:f>
        <x:v>6</x:v>
      </x:c>
      <x:c r="K173" s="1" t="n">
        <x:f>MAX(L172+0)</x:f>
        <x:v>254</x:v>
      </x:c>
      <x:c r="L173" s="1" t="n">
        <x:f>K173+J173</x:f>
        <x:v>260</x:v>
      </x:c>
      <x:c r="M173" s="1" t="n">
        <x:f>N173-J173</x:f>
        <x:v>302</x:v>
      </x:c>
      <x:c r="N173" s="1" t="n">
        <x:f>MIN(M174-0)</x:f>
        <x:v>308</x:v>
      </x:c>
      <x:c r="O173" s="1" t="n">
        <x:f>M173-K173</x:f>
        <x:v>48</x:v>
      </x:c>
      <x:c r="P173" s="19" t="n">
        <x:f>INDEX('Calendar'!$C$8:$C$907,K173+1)</x:f>
        <x:v>46624</x:v>
      </x:c>
      <x:c r="Q173" s="19" t="n">
        <x:f>INDEX('Calendar'!$C$8:$C$907,MAX(K173+1,L173))</x:f>
        <x:v>46630</x:v>
      </x:c>
      <x:c r="R173" s="15" t="n">
        <x:v>29364.320000000007</x:v>
      </x:c>
      <x:c r="S173" s="15"/>
      <x:c r="T173" s="15" t="n">
        <x:f>R173/J173</x:f>
        <x:v>4894.053333333334</x:v>
      </x:c>
    </x:row>
    <x:row r="174" ht="23" customHeight="1">
      <x:c r="A174" s="6" t="str">
        <x:v>T2-L06-R</x:v>
      </x:c>
      <x:c r="B174" s="6" t="str">
        <x:v>T2</x:v>
      </x:c>
      <x:c r="C174" s="6" t="str">
        <x:v>L06</x:v>
      </x:c>
      <x:c r="D174" s="6" t="str">
        <x:v>Column, wall, beam and slab reinforcement</x:v>
      </x:c>
      <x:c r="E174" s="6" t="str">
        <x:v>Rebar</x:v>
      </x:c>
      <x:c r="F174" s="14" t="n">
        <x:v>29.684139475407747</x:v>
      </x:c>
      <x:c r="G174" s="6" t="str">
        <x:v>t</x:v>
      </x:c>
      <x:c r="H174" s="16" t="n">
        <x:v>7</x:v>
      </x:c>
      <x:c r="I174" s="16" t="n">
        <x:v>14</x:v>
      </x:c>
      <x:c r="J174" s="16" t="n">
        <x:f>ROUNDUP(F174/H174,0)</x:f>
        <x:v>5</x:v>
      </x:c>
      <x:c r="K174" s="6" t="n">
        <x:f>MAX(L173+0)</x:f>
        <x:v>260</x:v>
      </x:c>
      <x:c r="L174" s="6" t="n">
        <x:f>K174+J174</x:f>
        <x:v>265</x:v>
      </x:c>
      <x:c r="M174" s="6" t="n">
        <x:f>N174-J174</x:f>
        <x:v>308</x:v>
      </x:c>
      <x:c r="N174" s="6" t="n">
        <x:f>MIN(M175-0)</x:f>
        <x:v>313</x:v>
      </x:c>
      <x:c r="O174" s="6" t="n">
        <x:f>M174-K174</x:f>
        <x:v>48</x:v>
      </x:c>
      <x:c r="P174" s="18" t="n">
        <x:f>INDEX('Calendar'!$C$8:$C$907,K174+1)</x:f>
        <x:v>46631</x:v>
      </x:c>
      <x:c r="Q174" s="18" t="n">
        <x:f>INDEX('Calendar'!$C$8:$C$907,MAX(K174+1,L174))</x:f>
        <x:v>46636</x:v>
      </x:c>
      <x:c r="R174" s="14" t="n">
        <x:v>25795.51720412933</x:v>
      </x:c>
      <x:c r="S174" s="14"/>
      <x:c r="T174" s="14" t="n">
        <x:f>R174/J174</x:f>
        <x:v>5159.103440825866</x:v>
      </x:c>
    </x:row>
    <x:row r="175" ht="23" customHeight="1">
      <x:c r="A175" s="1" t="str">
        <x:v>T2-L06-C</x:v>
      </x:c>
      <x:c r="B175" s="1" t="str">
        <x:v>T2</x:v>
      </x:c>
      <x:c r="C175" s="1" t="str">
        <x:v>L06</x:v>
      </x:c>
      <x:c r="D175" s="1" t="str">
        <x:v>Concrete placement and finishing</x:v>
      </x:c>
      <x:c r="E175" s="1" t="str">
        <x:v>Concrete</x:v>
      </x:c>
      <x:c r="F175" s="15" t="n">
        <x:v>226.70819999999958</x:v>
      </x:c>
      <x:c r="G175" s="1" t="str">
        <x:v>m3</x:v>
      </x:c>
      <x:c r="H175" s="17" t="n">
        <x:v>170</x:v>
      </x:c>
      <x:c r="I175" s="17" t="n">
        <x:v>12</x:v>
      </x:c>
      <x:c r="J175" s="17" t="n">
        <x:f>ROUNDUP(F175/H175,0)</x:f>
        <x:v>2</x:v>
      </x:c>
      <x:c r="K175" s="1" t="n">
        <x:f>MAX(L174+0)</x:f>
        <x:v>265</x:v>
      </x:c>
      <x:c r="L175" s="1" t="n">
        <x:f>K175+J175</x:f>
        <x:v>267</x:v>
      </x:c>
      <x:c r="M175" s="1" t="n">
        <x:f>N175-J175</x:f>
        <x:v>313</x:v>
      </x:c>
      <x:c r="N175" s="1" t="n">
        <x:f>MIN(M176-0)</x:f>
        <x:v>315</x:v>
      </x:c>
      <x:c r="O175" s="1" t="n">
        <x:f>M175-K175</x:f>
        <x:v>48</x:v>
      </x:c>
      <x:c r="P175" s="19" t="n">
        <x:f>INDEX('Calendar'!$C$8:$C$907,K175+1)</x:f>
        <x:v>46637</x:v>
      </x:c>
      <x:c r="Q175" s="19" t="n">
        <x:f>INDEX('Calendar'!$C$8:$C$907,MAX(K175+1,L175))</x:f>
        <x:v>46638</x:v>
      </x:c>
      <x:c r="R175" s="15" t="n">
        <x:v>33527.39699999994</x:v>
      </x:c>
      <x:c r="S175" s="15"/>
      <x:c r="T175" s="15" t="n">
        <x:f>R175/J175</x:f>
        <x:v>16763.69849999997</x:v>
      </x:c>
    </x:row>
    <x:row r="176" ht="23" customHeight="1">
      <x:c r="A176" s="6" t="str">
        <x:v>T2-L06-H</x:v>
      </x:c>
      <x:c r="B176" s="6" t="str">
        <x:v>T2</x:v>
      </x:c>
      <x:c r="C176" s="6" t="str">
        <x:v>L06</x:v>
      </x:c>
      <x:c r="D176" s="6" t="str">
        <x:v>Curing and release hold point</x:v>
      </x:c>
      <x:c r="E176" s="6" t="str">
        <x:v>Site</x:v>
      </x:c>
      <x:c r="F176" s="14" t="n">
        <x:v>1</x:v>
      </x:c>
      <x:c r="G176" s="6" t="str">
        <x:v>hold</x:v>
      </x:c>
      <x:c r="H176" s="16" t="n">
        <x:v>1</x:v>
      </x:c>
      <x:c r="I176" s="16" t="n">
        <x:v>0</x:v>
      </x:c>
      <x:c r="J176" s="16" t="n">
        <x:f>S176</x:f>
        <x:v>5</x:v>
      </x:c>
      <x:c r="K176" s="6" t="n">
        <x:f>MAX(L175+0)</x:f>
        <x:v>267</x:v>
      </x:c>
      <x:c r="L176" s="6" t="n">
        <x:f>K176+J176</x:f>
        <x:v>272</x:v>
      </x:c>
      <x:c r="M176" s="6" t="n">
        <x:f>N176-J176</x:f>
        <x:v>315</x:v>
      </x:c>
      <x:c r="N176" s="6" t="n">
        <x:f>MIN(M177-0,M222-5)</x:f>
        <x:v>320</x:v>
      </x:c>
      <x:c r="O176" s="6" t="n">
        <x:f>M176-K176</x:f>
        <x:v>48</x:v>
      </x:c>
      <x:c r="P176" s="18" t="n">
        <x:f>INDEX('Calendar'!$C$8:$C$907,K176+1)</x:f>
        <x:v>46639</x:v>
      </x:c>
      <x:c r="Q176" s="18" t="n">
        <x:f>INDEX('Calendar'!$C$8:$C$907,MAX(K176+1,L176))</x:f>
        <x:v>46644</x:v>
      </x:c>
      <x:c r="R176" s="14" t="n">
        <x:v>0</x:v>
      </x:c>
      <x:c r="S176" s="14" t="n">
        <x:v>5</x:v>
      </x:c>
      <x:c r="T176" s="14" t="n">
        <x:f>R176/J176</x:f>
        <x:v>0</x:v>
      </x:c>
    </x:row>
    <x:row r="177" ht="23" customHeight="1">
      <x:c r="A177" s="1" t="str">
        <x:v>T2-L07-F</x:v>
      </x:c>
      <x:c r="B177" s="1" t="str">
        <x:v>T2</x:v>
      </x:c>
      <x:c r="C177" s="1" t="str">
        <x:v>L07</x:v>
      </x:c>
      <x:c r="D177" s="1" t="str">
        <x:v>Columns, core and deck formwork</x:v>
      </x:c>
      <x:c r="E177" s="1" t="str">
        <x:v>Formwork</x:v>
      </x:c>
      <x:c r="F177" s="15" t="n">
        <x:v>1222.6600000000005</x:v>
      </x:c>
      <x:c r="G177" s="1" t="str">
        <x:v>m2</x:v>
      </x:c>
      <x:c r="H177" s="17" t="n">
        <x:v>220</x:v>
      </x:c>
      <x:c r="I177" s="17" t="n">
        <x:v>18</x:v>
      </x:c>
      <x:c r="J177" s="17" t="n">
        <x:f>ROUNDUP(F177/H177,0)</x:f>
        <x:v>6</x:v>
      </x:c>
      <x:c r="K177" s="1" t="n">
        <x:f>MAX(L176+0)</x:f>
        <x:v>272</x:v>
      </x:c>
      <x:c r="L177" s="1" t="n">
        <x:f>K177+J177</x:f>
        <x:v>278</x:v>
      </x:c>
      <x:c r="M177" s="1" t="n">
        <x:f>N177-J177</x:f>
        <x:v>320</x:v>
      </x:c>
      <x:c r="N177" s="1" t="n">
        <x:f>MIN(M178-0)</x:f>
        <x:v>326</x:v>
      </x:c>
      <x:c r="O177" s="1" t="n">
        <x:f>M177-K177</x:f>
        <x:v>48</x:v>
      </x:c>
      <x:c r="P177" s="19" t="n">
        <x:f>INDEX('Calendar'!$C$8:$C$907,K177+1)</x:f>
        <x:v>46645</x:v>
      </x:c>
      <x:c r="Q177" s="19" t="n">
        <x:f>INDEX('Calendar'!$C$8:$C$907,MAX(K177+1,L177))</x:f>
        <x:v>46651</x:v>
      </x:c>
      <x:c r="R177" s="15" t="n">
        <x:v>29364.320000000007</x:v>
      </x:c>
      <x:c r="S177" s="15"/>
      <x:c r="T177" s="15" t="n">
        <x:f>R177/J177</x:f>
        <x:v>4894.053333333334</x:v>
      </x:c>
    </x:row>
    <x:row r="178" ht="23" customHeight="1">
      <x:c r="A178" s="6" t="str">
        <x:v>T2-L07-R</x:v>
      </x:c>
      <x:c r="B178" s="6" t="str">
        <x:v>T2</x:v>
      </x:c>
      <x:c r="C178" s="6" t="str">
        <x:v>L07</x:v>
      </x:c>
      <x:c r="D178" s="6" t="str">
        <x:v>Column, wall, beam and slab reinforcement</x:v>
      </x:c>
      <x:c r="E178" s="6" t="str">
        <x:v>Rebar</x:v>
      </x:c>
      <x:c r="F178" s="14" t="n">
        <x:v>29.684139475407747</x:v>
      </x:c>
      <x:c r="G178" s="6" t="str">
        <x:v>t</x:v>
      </x:c>
      <x:c r="H178" s="16" t="n">
        <x:v>7</x:v>
      </x:c>
      <x:c r="I178" s="16" t="n">
        <x:v>14</x:v>
      </x:c>
      <x:c r="J178" s="16" t="n">
        <x:f>ROUNDUP(F178/H178,0)</x:f>
        <x:v>5</x:v>
      </x:c>
      <x:c r="K178" s="6" t="n">
        <x:f>MAX(L177+0)</x:f>
        <x:v>278</x:v>
      </x:c>
      <x:c r="L178" s="6" t="n">
        <x:f>K178+J178</x:f>
        <x:v>283</x:v>
      </x:c>
      <x:c r="M178" s="6" t="n">
        <x:f>N178-J178</x:f>
        <x:v>326</x:v>
      </x:c>
      <x:c r="N178" s="6" t="n">
        <x:f>MIN(M179-0)</x:f>
        <x:v>331</x:v>
      </x:c>
      <x:c r="O178" s="6" t="n">
        <x:f>M178-K178</x:f>
        <x:v>48</x:v>
      </x:c>
      <x:c r="P178" s="18" t="n">
        <x:f>INDEX('Calendar'!$C$8:$C$907,K178+1)</x:f>
        <x:v>46652</x:v>
      </x:c>
      <x:c r="Q178" s="18" t="n">
        <x:f>INDEX('Calendar'!$C$8:$C$907,MAX(K178+1,L178))</x:f>
        <x:v>46657</x:v>
      </x:c>
      <x:c r="R178" s="14" t="n">
        <x:v>25795.51720412933</x:v>
      </x:c>
      <x:c r="S178" s="14"/>
      <x:c r="T178" s="14" t="n">
        <x:f>R178/J178</x:f>
        <x:v>5159.103440825866</x:v>
      </x:c>
    </x:row>
    <x:row r="179" ht="23" customHeight="1">
      <x:c r="A179" s="1" t="str">
        <x:v>T2-L07-C</x:v>
      </x:c>
      <x:c r="B179" s="1" t="str">
        <x:v>T2</x:v>
      </x:c>
      <x:c r="C179" s="1" t="str">
        <x:v>L07</x:v>
      </x:c>
      <x:c r="D179" s="1" t="str">
        <x:v>Concrete placement and finishing</x:v>
      </x:c>
      <x:c r="E179" s="1" t="str">
        <x:v>Concrete</x:v>
      </x:c>
      <x:c r="F179" s="15" t="n">
        <x:v>226.70819999999958</x:v>
      </x:c>
      <x:c r="G179" s="1" t="str">
        <x:v>m3</x:v>
      </x:c>
      <x:c r="H179" s="17" t="n">
        <x:v>170</x:v>
      </x:c>
      <x:c r="I179" s="17" t="n">
        <x:v>12</x:v>
      </x:c>
      <x:c r="J179" s="17" t="n">
        <x:f>ROUNDUP(F179/H179,0)</x:f>
        <x:v>2</x:v>
      </x:c>
      <x:c r="K179" s="1" t="n">
        <x:f>MAX(L178+0)</x:f>
        <x:v>283</x:v>
      </x:c>
      <x:c r="L179" s="1" t="n">
        <x:f>K179+J179</x:f>
        <x:v>285</x:v>
      </x:c>
      <x:c r="M179" s="1" t="n">
        <x:f>N179-J179</x:f>
        <x:v>331</x:v>
      </x:c>
      <x:c r="N179" s="1" t="n">
        <x:f>MIN(M180-0)</x:f>
        <x:v>333</x:v>
      </x:c>
      <x:c r="O179" s="1" t="n">
        <x:f>M179-K179</x:f>
        <x:v>48</x:v>
      </x:c>
      <x:c r="P179" s="19" t="n">
        <x:f>INDEX('Calendar'!$C$8:$C$907,K179+1)</x:f>
        <x:v>46658</x:v>
      </x:c>
      <x:c r="Q179" s="19" t="n">
        <x:f>INDEX('Calendar'!$C$8:$C$907,MAX(K179+1,L179))</x:f>
        <x:v>46659</x:v>
      </x:c>
      <x:c r="R179" s="15" t="n">
        <x:v>33527.39699999994</x:v>
      </x:c>
      <x:c r="S179" s="15"/>
      <x:c r="T179" s="15" t="n">
        <x:f>R179/J179</x:f>
        <x:v>16763.69849999997</x:v>
      </x:c>
    </x:row>
    <x:row r="180" ht="23" customHeight="1">
      <x:c r="A180" s="6" t="str">
        <x:v>T2-L07-H</x:v>
      </x:c>
      <x:c r="B180" s="6" t="str">
        <x:v>T2</x:v>
      </x:c>
      <x:c r="C180" s="6" t="str">
        <x:v>L07</x:v>
      </x:c>
      <x:c r="D180" s="6" t="str">
        <x:v>Curing and release hold point</x:v>
      </x:c>
      <x:c r="E180" s="6" t="str">
        <x:v>Site</x:v>
      </x:c>
      <x:c r="F180" s="14" t="n">
        <x:v>1</x:v>
      </x:c>
      <x:c r="G180" s="6" t="str">
        <x:v>hold</x:v>
      </x:c>
      <x:c r="H180" s="16" t="n">
        <x:v>1</x:v>
      </x:c>
      <x:c r="I180" s="16" t="n">
        <x:v>0</x:v>
      </x:c>
      <x:c r="J180" s="16" t="n">
        <x:f>S180</x:f>
        <x:v>5</x:v>
      </x:c>
      <x:c r="K180" s="6" t="n">
        <x:f>MAX(L179+0)</x:f>
        <x:v>285</x:v>
      </x:c>
      <x:c r="L180" s="6" t="n">
        <x:f>K180+J180</x:f>
        <x:v>290</x:v>
      </x:c>
      <x:c r="M180" s="6" t="n">
        <x:f>N180-J180</x:f>
        <x:v>333</x:v>
      </x:c>
      <x:c r="N180" s="6" t="n">
        <x:f>MIN(M181-0,M228-5)</x:f>
        <x:v>338</x:v>
      </x:c>
      <x:c r="O180" s="6" t="n">
        <x:f>M180-K180</x:f>
        <x:v>48</x:v>
      </x:c>
      <x:c r="P180" s="18" t="n">
        <x:f>INDEX('Calendar'!$C$8:$C$907,K180+1)</x:f>
        <x:v>46660</x:v>
      </x:c>
      <x:c r="Q180" s="18" t="n">
        <x:f>INDEX('Calendar'!$C$8:$C$907,MAX(K180+1,L180))</x:f>
        <x:v>46665</x:v>
      </x:c>
      <x:c r="R180" s="14" t="n">
        <x:v>0</x:v>
      </x:c>
      <x:c r="S180" s="14" t="n">
        <x:v>5</x:v>
      </x:c>
      <x:c r="T180" s="14" t="n">
        <x:f>R180/J180</x:f>
        <x:v>0</x:v>
      </x:c>
    </x:row>
    <x:row r="181" ht="23" customHeight="1">
      <x:c r="A181" s="1" t="str">
        <x:v>T2-L08-F</x:v>
      </x:c>
      <x:c r="B181" s="1" t="str">
        <x:v>T2</x:v>
      </x:c>
      <x:c r="C181" s="1" t="str">
        <x:v>L08</x:v>
      </x:c>
      <x:c r="D181" s="1" t="str">
        <x:v>Columns, core and deck formwork</x:v>
      </x:c>
      <x:c r="E181" s="1" t="str">
        <x:v>Formwork</x:v>
      </x:c>
      <x:c r="F181" s="15" t="n">
        <x:v>1222.6600000000005</x:v>
      </x:c>
      <x:c r="G181" s="1" t="str">
        <x:v>m2</x:v>
      </x:c>
      <x:c r="H181" s="17" t="n">
        <x:v>220</x:v>
      </x:c>
      <x:c r="I181" s="17" t="n">
        <x:v>18</x:v>
      </x:c>
      <x:c r="J181" s="17" t="n">
        <x:f>ROUNDUP(F181/H181,0)</x:f>
        <x:v>6</x:v>
      </x:c>
      <x:c r="K181" s="1" t="n">
        <x:f>MAX(L180+0)</x:f>
        <x:v>290</x:v>
      </x:c>
      <x:c r="L181" s="1" t="n">
        <x:f>K181+J181</x:f>
        <x:v>296</x:v>
      </x:c>
      <x:c r="M181" s="1" t="n">
        <x:f>N181-J181</x:f>
        <x:v>338</x:v>
      </x:c>
      <x:c r="N181" s="1" t="n">
        <x:f>MIN(M182-0)</x:f>
        <x:v>344</x:v>
      </x:c>
      <x:c r="O181" s="1" t="n">
        <x:f>M181-K181</x:f>
        <x:v>48</x:v>
      </x:c>
      <x:c r="P181" s="19" t="n">
        <x:f>INDEX('Calendar'!$C$8:$C$907,K181+1)</x:f>
        <x:v>46666</x:v>
      </x:c>
      <x:c r="Q181" s="19" t="n">
        <x:f>INDEX('Calendar'!$C$8:$C$907,MAX(K181+1,L181))</x:f>
        <x:v>46672</x:v>
      </x:c>
      <x:c r="R181" s="15" t="n">
        <x:v>29364.320000000007</x:v>
      </x:c>
      <x:c r="S181" s="15"/>
      <x:c r="T181" s="15" t="n">
        <x:f>R181/J181</x:f>
        <x:v>4894.053333333334</x:v>
      </x:c>
    </x:row>
    <x:row r="182" ht="23" customHeight="1">
      <x:c r="A182" s="6" t="str">
        <x:v>T2-L08-R</x:v>
      </x:c>
      <x:c r="B182" s="6" t="str">
        <x:v>T2</x:v>
      </x:c>
      <x:c r="C182" s="6" t="str">
        <x:v>L08</x:v>
      </x:c>
      <x:c r="D182" s="6" t="str">
        <x:v>Column, wall, beam and slab reinforcement</x:v>
      </x:c>
      <x:c r="E182" s="6" t="str">
        <x:v>Rebar</x:v>
      </x:c>
      <x:c r="F182" s="14" t="n">
        <x:v>29.684139475407747</x:v>
      </x:c>
      <x:c r="G182" s="6" t="str">
        <x:v>t</x:v>
      </x:c>
      <x:c r="H182" s="16" t="n">
        <x:v>7</x:v>
      </x:c>
      <x:c r="I182" s="16" t="n">
        <x:v>14</x:v>
      </x:c>
      <x:c r="J182" s="16" t="n">
        <x:f>ROUNDUP(F182/H182,0)</x:f>
        <x:v>5</x:v>
      </x:c>
      <x:c r="K182" s="6" t="n">
        <x:f>MAX(L181+0)</x:f>
        <x:v>296</x:v>
      </x:c>
      <x:c r="L182" s="6" t="n">
        <x:f>K182+J182</x:f>
        <x:v>301</x:v>
      </x:c>
      <x:c r="M182" s="6" t="n">
        <x:f>N182-J182</x:f>
        <x:v>344</x:v>
      </x:c>
      <x:c r="N182" s="6" t="n">
        <x:f>MIN(M183-0)</x:f>
        <x:v>349</x:v>
      </x:c>
      <x:c r="O182" s="6" t="n">
        <x:f>M182-K182</x:f>
        <x:v>48</x:v>
      </x:c>
      <x:c r="P182" s="18" t="n">
        <x:f>INDEX('Calendar'!$C$8:$C$907,K182+1)</x:f>
        <x:v>46673</x:v>
      </x:c>
      <x:c r="Q182" s="18" t="n">
        <x:f>INDEX('Calendar'!$C$8:$C$907,MAX(K182+1,L182))</x:f>
        <x:v>46678</x:v>
      </x:c>
      <x:c r="R182" s="14" t="n">
        <x:v>25795.51720412933</x:v>
      </x:c>
      <x:c r="S182" s="14"/>
      <x:c r="T182" s="14" t="n">
        <x:f>R182/J182</x:f>
        <x:v>5159.103440825866</x:v>
      </x:c>
    </x:row>
    <x:row r="183" ht="23" customHeight="1">
      <x:c r="A183" s="1" t="str">
        <x:v>T2-L08-C</x:v>
      </x:c>
      <x:c r="B183" s="1" t="str">
        <x:v>T2</x:v>
      </x:c>
      <x:c r="C183" s="1" t="str">
        <x:v>L08</x:v>
      </x:c>
      <x:c r="D183" s="1" t="str">
        <x:v>Concrete placement and finishing</x:v>
      </x:c>
      <x:c r="E183" s="1" t="str">
        <x:v>Concrete</x:v>
      </x:c>
      <x:c r="F183" s="15" t="n">
        <x:v>226.70819999999958</x:v>
      </x:c>
      <x:c r="G183" s="1" t="str">
        <x:v>m3</x:v>
      </x:c>
      <x:c r="H183" s="17" t="n">
        <x:v>170</x:v>
      </x:c>
      <x:c r="I183" s="17" t="n">
        <x:v>12</x:v>
      </x:c>
      <x:c r="J183" s="17" t="n">
        <x:f>ROUNDUP(F183/H183,0)</x:f>
        <x:v>2</x:v>
      </x:c>
      <x:c r="K183" s="1" t="n">
        <x:f>MAX(L182+0)</x:f>
        <x:v>301</x:v>
      </x:c>
      <x:c r="L183" s="1" t="n">
        <x:f>K183+J183</x:f>
        <x:v>303</x:v>
      </x:c>
      <x:c r="M183" s="1" t="n">
        <x:f>N183-J183</x:f>
        <x:v>349</x:v>
      </x:c>
      <x:c r="N183" s="1" t="n">
        <x:f>MIN(M184-0)</x:f>
        <x:v>351</x:v>
      </x:c>
      <x:c r="O183" s="1" t="n">
        <x:f>M183-K183</x:f>
        <x:v>48</x:v>
      </x:c>
      <x:c r="P183" s="19" t="n">
        <x:f>INDEX('Calendar'!$C$8:$C$907,K183+1)</x:f>
        <x:v>46679</x:v>
      </x:c>
      <x:c r="Q183" s="19" t="n">
        <x:f>INDEX('Calendar'!$C$8:$C$907,MAX(K183+1,L183))</x:f>
        <x:v>46680</x:v>
      </x:c>
      <x:c r="R183" s="15" t="n">
        <x:v>33527.39699999994</x:v>
      </x:c>
      <x:c r="S183" s="15"/>
      <x:c r="T183" s="15" t="n">
        <x:f>R183/J183</x:f>
        <x:v>16763.69849999997</x:v>
      </x:c>
    </x:row>
    <x:row r="184" ht="23" customHeight="1">
      <x:c r="A184" s="6" t="str">
        <x:v>T2-L08-H</x:v>
      </x:c>
      <x:c r="B184" s="6" t="str">
        <x:v>T2</x:v>
      </x:c>
      <x:c r="C184" s="6" t="str">
        <x:v>L08</x:v>
      </x:c>
      <x:c r="D184" s="6" t="str">
        <x:v>Curing and release hold point</x:v>
      </x:c>
      <x:c r="E184" s="6" t="str">
        <x:v>Site</x:v>
      </x:c>
      <x:c r="F184" s="14" t="n">
        <x:v>1</x:v>
      </x:c>
      <x:c r="G184" s="6" t="str">
        <x:v>hold</x:v>
      </x:c>
      <x:c r="H184" s="16" t="n">
        <x:v>1</x:v>
      </x:c>
      <x:c r="I184" s="16" t="n">
        <x:v>0</x:v>
      </x:c>
      <x:c r="J184" s="16" t="n">
        <x:f>S184</x:f>
        <x:v>5</x:v>
      </x:c>
      <x:c r="K184" s="6" t="n">
        <x:f>MAX(L183+0)</x:f>
        <x:v>303</x:v>
      </x:c>
      <x:c r="L184" s="6" t="n">
        <x:f>K184+J184</x:f>
        <x:v>308</x:v>
      </x:c>
      <x:c r="M184" s="6" t="n">
        <x:f>N184-J184</x:f>
        <x:v>351</x:v>
      </x:c>
      <x:c r="N184" s="6" t="n">
        <x:f>MIN(M185-0,M202-10,M234-5)</x:f>
        <x:v>356</x:v>
      </x:c>
      <x:c r="O184" s="6" t="n">
        <x:f>M184-K184</x:f>
        <x:v>48</x:v>
      </x:c>
      <x:c r="P184" s="18" t="n">
        <x:f>INDEX('Calendar'!$C$8:$C$907,K184+1)</x:f>
        <x:v>46681</x:v>
      </x:c>
      <x:c r="Q184" s="18" t="n">
        <x:f>INDEX('Calendar'!$C$8:$C$907,MAX(K184+1,L184))</x:f>
        <x:v>46686</x:v>
      </x:c>
      <x:c r="R184" s="14" t="n">
        <x:v>0</x:v>
      </x:c>
      <x:c r="S184" s="14" t="n">
        <x:v>5</x:v>
      </x:c>
      <x:c r="T184" s="14" t="n">
        <x:f>R184/J184</x:f>
        <x:v>0</x:v>
      </x:c>
    </x:row>
    <x:row r="185" ht="23" customHeight="1">
      <x:c r="A185" s="1" t="str">
        <x:v>T2-L09-F</x:v>
      </x:c>
      <x:c r="B185" s="1" t="str">
        <x:v>T2</x:v>
      </x:c>
      <x:c r="C185" s="1" t="str">
        <x:v>L09</x:v>
      </x:c>
      <x:c r="D185" s="1" t="str">
        <x:v>Columns, core and deck formwork</x:v>
      </x:c>
      <x:c r="E185" s="1" t="str">
        <x:v>Formwork</x:v>
      </x:c>
      <x:c r="F185" s="15" t="n">
        <x:v>1222.6600000000005</x:v>
      </x:c>
      <x:c r="G185" s="1" t="str">
        <x:v>m2</x:v>
      </x:c>
      <x:c r="H185" s="17" t="n">
        <x:v>220</x:v>
      </x:c>
      <x:c r="I185" s="17" t="n">
        <x:v>18</x:v>
      </x:c>
      <x:c r="J185" s="17" t="n">
        <x:f>ROUNDUP(F185/H185,0)</x:f>
        <x:v>6</x:v>
      </x:c>
      <x:c r="K185" s="1" t="n">
        <x:f>MAX(L184+0)</x:f>
        <x:v>308</x:v>
      </x:c>
      <x:c r="L185" s="1" t="n">
        <x:f>K185+J185</x:f>
        <x:v>314</x:v>
      </x:c>
      <x:c r="M185" s="1" t="n">
        <x:f>N185-J185</x:f>
        <x:v>356</x:v>
      </x:c>
      <x:c r="N185" s="1" t="n">
        <x:f>MIN(M186-0)</x:f>
        <x:v>362</x:v>
      </x:c>
      <x:c r="O185" s="1" t="n">
        <x:f>M185-K185</x:f>
        <x:v>48</x:v>
      </x:c>
      <x:c r="P185" s="19" t="n">
        <x:f>INDEX('Calendar'!$C$8:$C$907,K185+1)</x:f>
        <x:v>46687</x:v>
      </x:c>
      <x:c r="Q185" s="19" t="n">
        <x:f>INDEX('Calendar'!$C$8:$C$907,MAX(K185+1,L185))</x:f>
        <x:v>46693</x:v>
      </x:c>
      <x:c r="R185" s="15" t="n">
        <x:v>29364.320000000007</x:v>
      </x:c>
      <x:c r="S185" s="15"/>
      <x:c r="T185" s="15" t="n">
        <x:f>R185/J185</x:f>
        <x:v>4894.053333333334</x:v>
      </x:c>
    </x:row>
    <x:row r="186" ht="23" customHeight="1">
      <x:c r="A186" s="6" t="str">
        <x:v>T2-L09-R</x:v>
      </x:c>
      <x:c r="B186" s="6" t="str">
        <x:v>T2</x:v>
      </x:c>
      <x:c r="C186" s="6" t="str">
        <x:v>L09</x:v>
      </x:c>
      <x:c r="D186" s="6" t="str">
        <x:v>Column, wall, beam and slab reinforcement</x:v>
      </x:c>
      <x:c r="E186" s="6" t="str">
        <x:v>Rebar</x:v>
      </x:c>
      <x:c r="F186" s="14" t="n">
        <x:v>29.684139475407747</x:v>
      </x:c>
      <x:c r="G186" s="6" t="str">
        <x:v>t</x:v>
      </x:c>
      <x:c r="H186" s="16" t="n">
        <x:v>7</x:v>
      </x:c>
      <x:c r="I186" s="16" t="n">
        <x:v>14</x:v>
      </x:c>
      <x:c r="J186" s="16" t="n">
        <x:f>ROUNDUP(F186/H186,0)</x:f>
        <x:v>5</x:v>
      </x:c>
      <x:c r="K186" s="6" t="n">
        <x:f>MAX(L185+0)</x:f>
        <x:v>314</x:v>
      </x:c>
      <x:c r="L186" s="6" t="n">
        <x:f>K186+J186</x:f>
        <x:v>319</x:v>
      </x:c>
      <x:c r="M186" s="6" t="n">
        <x:f>N186-J186</x:f>
        <x:v>362</x:v>
      </x:c>
      <x:c r="N186" s="6" t="n">
        <x:f>MIN(M187-0)</x:f>
        <x:v>367</x:v>
      </x:c>
      <x:c r="O186" s="6" t="n">
        <x:f>M186-K186</x:f>
        <x:v>48</x:v>
      </x:c>
      <x:c r="P186" s="18" t="n">
        <x:f>INDEX('Calendar'!$C$8:$C$907,K186+1)</x:f>
        <x:v>46694</x:v>
      </x:c>
      <x:c r="Q186" s="18" t="n">
        <x:f>INDEX('Calendar'!$C$8:$C$907,MAX(K186+1,L186))</x:f>
        <x:v>46699</x:v>
      </x:c>
      <x:c r="R186" s="14" t="n">
        <x:v>25795.51720412933</x:v>
      </x:c>
      <x:c r="S186" s="14"/>
      <x:c r="T186" s="14" t="n">
        <x:f>R186/J186</x:f>
        <x:v>5159.103440825866</x:v>
      </x:c>
    </x:row>
    <x:row r="187" ht="23" customHeight="1">
      <x:c r="A187" s="1" t="str">
        <x:v>T2-L09-C</x:v>
      </x:c>
      <x:c r="B187" s="1" t="str">
        <x:v>T2</x:v>
      </x:c>
      <x:c r="C187" s="1" t="str">
        <x:v>L09</x:v>
      </x:c>
      <x:c r="D187" s="1" t="str">
        <x:v>Concrete placement and finishing</x:v>
      </x:c>
      <x:c r="E187" s="1" t="str">
        <x:v>Concrete</x:v>
      </x:c>
      <x:c r="F187" s="15" t="n">
        <x:v>226.70819999999958</x:v>
      </x:c>
      <x:c r="G187" s="1" t="str">
        <x:v>m3</x:v>
      </x:c>
      <x:c r="H187" s="17" t="n">
        <x:v>170</x:v>
      </x:c>
      <x:c r="I187" s="17" t="n">
        <x:v>12</x:v>
      </x:c>
      <x:c r="J187" s="17" t="n">
        <x:f>ROUNDUP(F187/H187,0)</x:f>
        <x:v>2</x:v>
      </x:c>
      <x:c r="K187" s="1" t="n">
        <x:f>MAX(L186+0)</x:f>
        <x:v>319</x:v>
      </x:c>
      <x:c r="L187" s="1" t="n">
        <x:f>K187+J187</x:f>
        <x:v>321</x:v>
      </x:c>
      <x:c r="M187" s="1" t="n">
        <x:f>N187-J187</x:f>
        <x:v>367</x:v>
      </x:c>
      <x:c r="N187" s="1" t="n">
        <x:f>MIN(M188-0)</x:f>
        <x:v>369</x:v>
      </x:c>
      <x:c r="O187" s="1" t="n">
        <x:f>M187-K187</x:f>
        <x:v>48</x:v>
      </x:c>
      <x:c r="P187" s="19" t="n">
        <x:f>INDEX('Calendar'!$C$8:$C$907,K187+1)</x:f>
        <x:v>46700</x:v>
      </x:c>
      <x:c r="Q187" s="19" t="n">
        <x:f>INDEX('Calendar'!$C$8:$C$907,MAX(K187+1,L187))</x:f>
        <x:v>46701</x:v>
      </x:c>
      <x:c r="R187" s="15" t="n">
        <x:v>33527.39699999994</x:v>
      </x:c>
      <x:c r="S187" s="15"/>
      <x:c r="T187" s="15" t="n">
        <x:f>R187/J187</x:f>
        <x:v>16763.69849999997</x:v>
      </x:c>
    </x:row>
    <x:row r="188" ht="23" customHeight="1">
      <x:c r="A188" s="6" t="str">
        <x:v>T2-L09-H</x:v>
      </x:c>
      <x:c r="B188" s="6" t="str">
        <x:v>T2</x:v>
      </x:c>
      <x:c r="C188" s="6" t="str">
        <x:v>L09</x:v>
      </x:c>
      <x:c r="D188" s="6" t="str">
        <x:v>Curing and release hold point</x:v>
      </x:c>
      <x:c r="E188" s="6" t="str">
        <x:v>Site</x:v>
      </x:c>
      <x:c r="F188" s="14" t="n">
        <x:v>1</x:v>
      </x:c>
      <x:c r="G188" s="6" t="str">
        <x:v>hold</x:v>
      </x:c>
      <x:c r="H188" s="16" t="n">
        <x:v>1</x:v>
      </x:c>
      <x:c r="I188" s="16" t="n">
        <x:v>0</x:v>
      </x:c>
      <x:c r="J188" s="16" t="n">
        <x:f>S188</x:f>
        <x:v>5</x:v>
      </x:c>
      <x:c r="K188" s="6" t="n">
        <x:f>MAX(L187+0)</x:f>
        <x:v>321</x:v>
      </x:c>
      <x:c r="L188" s="6" t="n">
        <x:f>K188+J188</x:f>
        <x:v>326</x:v>
      </x:c>
      <x:c r="M188" s="6" t="n">
        <x:f>N188-J188</x:f>
        <x:v>369</x:v>
      </x:c>
      <x:c r="N188" s="6" t="n">
        <x:f>MIN(M189-0,M240-5)</x:f>
        <x:v>374</x:v>
      </x:c>
      <x:c r="O188" s="6" t="n">
        <x:f>M188-K188</x:f>
        <x:v>48</x:v>
      </x:c>
      <x:c r="P188" s="18" t="n">
        <x:f>INDEX('Calendar'!$C$8:$C$907,K188+1)</x:f>
        <x:v>46702</x:v>
      </x:c>
      <x:c r="Q188" s="18" t="n">
        <x:f>INDEX('Calendar'!$C$8:$C$907,MAX(K188+1,L188))</x:f>
        <x:v>46707</x:v>
      </x:c>
      <x:c r="R188" s="14" t="n">
        <x:v>0</x:v>
      </x:c>
      <x:c r="S188" s="14" t="n">
        <x:v>5</x:v>
      </x:c>
      <x:c r="T188" s="14" t="n">
        <x:f>R188/J188</x:f>
        <x:v>0</x:v>
      </x:c>
    </x:row>
    <x:row r="189" ht="23" customHeight="1">
      <x:c r="A189" s="1" t="str">
        <x:v>T2-L10-F</x:v>
      </x:c>
      <x:c r="B189" s="1" t="str">
        <x:v>T2</x:v>
      </x:c>
      <x:c r="C189" s="1" t="str">
        <x:v>L10</x:v>
      </x:c>
      <x:c r="D189" s="1" t="str">
        <x:v>Columns, core and deck formwork</x:v>
      </x:c>
      <x:c r="E189" s="1" t="str">
        <x:v>Formwork</x:v>
      </x:c>
      <x:c r="F189" s="15" t="n">
        <x:v>1222.6600000000005</x:v>
      </x:c>
      <x:c r="G189" s="1" t="str">
        <x:v>m2</x:v>
      </x:c>
      <x:c r="H189" s="17" t="n">
        <x:v>220</x:v>
      </x:c>
      <x:c r="I189" s="17" t="n">
        <x:v>18</x:v>
      </x:c>
      <x:c r="J189" s="17" t="n">
        <x:f>ROUNDUP(F189/H189,0)</x:f>
        <x:v>6</x:v>
      </x:c>
      <x:c r="K189" s="1" t="n">
        <x:f>MAX(L188+0)</x:f>
        <x:v>326</x:v>
      </x:c>
      <x:c r="L189" s="1" t="n">
        <x:f>K189+J189</x:f>
        <x:v>332</x:v>
      </x:c>
      <x:c r="M189" s="1" t="n">
        <x:f>N189-J189</x:f>
        <x:v>374</x:v>
      </x:c>
      <x:c r="N189" s="1" t="n">
        <x:f>MIN(M190-0)</x:f>
        <x:v>380</x:v>
      </x:c>
      <x:c r="O189" s="1" t="n">
        <x:f>M189-K189</x:f>
        <x:v>48</x:v>
      </x:c>
      <x:c r="P189" s="19" t="n">
        <x:f>INDEX('Calendar'!$C$8:$C$907,K189+1)</x:f>
        <x:v>46708</x:v>
      </x:c>
      <x:c r="Q189" s="19" t="n">
        <x:f>INDEX('Calendar'!$C$8:$C$907,MAX(K189+1,L189))</x:f>
        <x:v>46714</x:v>
      </x:c>
      <x:c r="R189" s="15" t="n">
        <x:v>29364.320000000007</x:v>
      </x:c>
      <x:c r="S189" s="15"/>
      <x:c r="T189" s="15" t="n">
        <x:f>R189/J189</x:f>
        <x:v>4894.053333333334</x:v>
      </x:c>
    </x:row>
    <x:row r="190" ht="23" customHeight="1">
      <x:c r="A190" s="6" t="str">
        <x:v>T2-L10-R</x:v>
      </x:c>
      <x:c r="B190" s="6" t="str">
        <x:v>T2</x:v>
      </x:c>
      <x:c r="C190" s="6" t="str">
        <x:v>L10</x:v>
      </x:c>
      <x:c r="D190" s="6" t="str">
        <x:v>Column, wall, beam and slab reinforcement</x:v>
      </x:c>
      <x:c r="E190" s="6" t="str">
        <x:v>Rebar</x:v>
      </x:c>
      <x:c r="F190" s="14" t="n">
        <x:v>29.684139475407747</x:v>
      </x:c>
      <x:c r="G190" s="6" t="str">
        <x:v>t</x:v>
      </x:c>
      <x:c r="H190" s="16" t="n">
        <x:v>7</x:v>
      </x:c>
      <x:c r="I190" s="16" t="n">
        <x:v>14</x:v>
      </x:c>
      <x:c r="J190" s="16" t="n">
        <x:f>ROUNDUP(F190/H190,0)</x:f>
        <x:v>5</x:v>
      </x:c>
      <x:c r="K190" s="6" t="n">
        <x:f>MAX(L189+0)</x:f>
        <x:v>332</x:v>
      </x:c>
      <x:c r="L190" s="6" t="n">
        <x:f>K190+J190</x:f>
        <x:v>337</x:v>
      </x:c>
      <x:c r="M190" s="6" t="n">
        <x:f>N190-J190</x:f>
        <x:v>380</x:v>
      </x:c>
      <x:c r="N190" s="6" t="n">
        <x:f>MIN(M191-0)</x:f>
        <x:v>385</x:v>
      </x:c>
      <x:c r="O190" s="6" t="n">
        <x:f>M190-K190</x:f>
        <x:v>48</x:v>
      </x:c>
      <x:c r="P190" s="18" t="n">
        <x:f>INDEX('Calendar'!$C$8:$C$907,K190+1)</x:f>
        <x:v>46715</x:v>
      </x:c>
      <x:c r="Q190" s="18" t="n">
        <x:f>INDEX('Calendar'!$C$8:$C$907,MAX(K190+1,L190))</x:f>
        <x:v>46720</x:v>
      </x:c>
      <x:c r="R190" s="14" t="n">
        <x:v>25795.51720412933</x:v>
      </x:c>
      <x:c r="S190" s="14"/>
      <x:c r="T190" s="14" t="n">
        <x:f>R190/J190</x:f>
        <x:v>5159.103440825866</x:v>
      </x:c>
    </x:row>
    <x:row r="191" ht="23" customHeight="1">
      <x:c r="A191" s="1" t="str">
        <x:v>T2-L10-C</x:v>
      </x:c>
      <x:c r="B191" s="1" t="str">
        <x:v>T2</x:v>
      </x:c>
      <x:c r="C191" s="1" t="str">
        <x:v>L10</x:v>
      </x:c>
      <x:c r="D191" s="1" t="str">
        <x:v>Concrete placement and finishing</x:v>
      </x:c>
      <x:c r="E191" s="1" t="str">
        <x:v>Concrete</x:v>
      </x:c>
      <x:c r="F191" s="15" t="n">
        <x:v>226.70819999999958</x:v>
      </x:c>
      <x:c r="G191" s="1" t="str">
        <x:v>m3</x:v>
      </x:c>
      <x:c r="H191" s="17" t="n">
        <x:v>170</x:v>
      </x:c>
      <x:c r="I191" s="17" t="n">
        <x:v>12</x:v>
      </x:c>
      <x:c r="J191" s="17" t="n">
        <x:f>ROUNDUP(F191/H191,0)</x:f>
        <x:v>2</x:v>
      </x:c>
      <x:c r="K191" s="1" t="n">
        <x:f>MAX(L190+0)</x:f>
        <x:v>337</x:v>
      </x:c>
      <x:c r="L191" s="1" t="n">
        <x:f>K191+J191</x:f>
        <x:v>339</x:v>
      </x:c>
      <x:c r="M191" s="1" t="n">
        <x:f>N191-J191</x:f>
        <x:v>385</x:v>
      </x:c>
      <x:c r="N191" s="1" t="n">
        <x:f>MIN(M192-0)</x:f>
        <x:v>387</x:v>
      </x:c>
      <x:c r="O191" s="1" t="n">
        <x:f>M191-K191</x:f>
        <x:v>48</x:v>
      </x:c>
      <x:c r="P191" s="19" t="n">
        <x:f>INDEX('Calendar'!$C$8:$C$907,K191+1)</x:f>
        <x:v>46721</x:v>
      </x:c>
      <x:c r="Q191" s="19" t="n">
        <x:f>INDEX('Calendar'!$C$8:$C$907,MAX(K191+1,L191))</x:f>
        <x:v>46722</x:v>
      </x:c>
      <x:c r="R191" s="15" t="n">
        <x:v>33527.39699999994</x:v>
      </x:c>
      <x:c r="S191" s="15"/>
      <x:c r="T191" s="15" t="n">
        <x:f>R191/J191</x:f>
        <x:v>16763.69849999997</x:v>
      </x:c>
    </x:row>
    <x:row r="192" ht="23" customHeight="1">
      <x:c r="A192" s="6" t="str">
        <x:v>T2-L10-H</x:v>
      </x:c>
      <x:c r="B192" s="6" t="str">
        <x:v>T2</x:v>
      </x:c>
      <x:c r="C192" s="6" t="str">
        <x:v>L10</x:v>
      </x:c>
      <x:c r="D192" s="6" t="str">
        <x:v>Curing and release hold point</x:v>
      </x:c>
      <x:c r="E192" s="6" t="str">
        <x:v>Site</x:v>
      </x:c>
      <x:c r="F192" s="14" t="n">
        <x:v>1</x:v>
      </x:c>
      <x:c r="G192" s="6" t="str">
        <x:v>hold</x:v>
      </x:c>
      <x:c r="H192" s="16" t="n">
        <x:v>1</x:v>
      </x:c>
      <x:c r="I192" s="16" t="n">
        <x:v>0</x:v>
      </x:c>
      <x:c r="J192" s="16" t="n">
        <x:f>S192</x:f>
        <x:v>5</x:v>
      </x:c>
      <x:c r="K192" s="6" t="n">
        <x:f>MAX(L191+0)</x:f>
        <x:v>339</x:v>
      </x:c>
      <x:c r="L192" s="6" t="n">
        <x:f>K192+J192</x:f>
        <x:v>344</x:v>
      </x:c>
      <x:c r="M192" s="6" t="n">
        <x:f>N192-J192</x:f>
        <x:v>387</x:v>
      </x:c>
      <x:c r="N192" s="6" t="n">
        <x:f>MIN(M193-0,M246-5)</x:f>
        <x:v>392</x:v>
      </x:c>
      <x:c r="O192" s="6" t="n">
        <x:f>M192-K192</x:f>
        <x:v>48</x:v>
      </x:c>
      <x:c r="P192" s="18" t="n">
        <x:f>INDEX('Calendar'!$C$8:$C$907,K192+1)</x:f>
        <x:v>46723</x:v>
      </x:c>
      <x:c r="Q192" s="18" t="n">
        <x:f>INDEX('Calendar'!$C$8:$C$907,MAX(K192+1,L192))</x:f>
        <x:v>46728</x:v>
      </x:c>
      <x:c r="R192" s="14" t="n">
        <x:v>0</x:v>
      </x:c>
      <x:c r="S192" s="14" t="n">
        <x:v>5</x:v>
      </x:c>
      <x:c r="T192" s="14" t="n">
        <x:f>R192/J192</x:f>
        <x:v>0</x:v>
      </x:c>
    </x:row>
    <x:row r="193" ht="23" customHeight="1">
      <x:c r="A193" s="1" t="str">
        <x:v>T2-L11-F</x:v>
      </x:c>
      <x:c r="B193" s="1" t="str">
        <x:v>T2</x:v>
      </x:c>
      <x:c r="C193" s="1" t="str">
        <x:v>L11</x:v>
      </x:c>
      <x:c r="D193" s="1" t="str">
        <x:v>Columns, core and deck formwork</x:v>
      </x:c>
      <x:c r="E193" s="1" t="str">
        <x:v>Formwork</x:v>
      </x:c>
      <x:c r="F193" s="15" t="n">
        <x:v>1222.6600000000005</x:v>
      </x:c>
      <x:c r="G193" s="1" t="str">
        <x:v>m2</x:v>
      </x:c>
      <x:c r="H193" s="17" t="n">
        <x:v>220</x:v>
      </x:c>
      <x:c r="I193" s="17" t="n">
        <x:v>18</x:v>
      </x:c>
      <x:c r="J193" s="17" t="n">
        <x:f>ROUNDUP(F193/H193,0)</x:f>
        <x:v>6</x:v>
      </x:c>
      <x:c r="K193" s="1" t="n">
        <x:f>MAX(L192+0)</x:f>
        <x:v>344</x:v>
      </x:c>
      <x:c r="L193" s="1" t="n">
        <x:f>K193+J193</x:f>
        <x:v>350</x:v>
      </x:c>
      <x:c r="M193" s="1" t="n">
        <x:f>N193-J193</x:f>
        <x:v>392</x:v>
      </x:c>
      <x:c r="N193" s="1" t="n">
        <x:f>MIN(M194-0)</x:f>
        <x:v>398</x:v>
      </x:c>
      <x:c r="O193" s="1" t="n">
        <x:f>M193-K193</x:f>
        <x:v>48</x:v>
      </x:c>
      <x:c r="P193" s="19" t="n">
        <x:f>INDEX('Calendar'!$C$8:$C$907,K193+1)</x:f>
        <x:v>46729</x:v>
      </x:c>
      <x:c r="Q193" s="19" t="n">
        <x:f>INDEX('Calendar'!$C$8:$C$907,MAX(K193+1,L193))</x:f>
        <x:v>46735</x:v>
      </x:c>
      <x:c r="R193" s="15" t="n">
        <x:v>29364.320000000007</x:v>
      </x:c>
      <x:c r="S193" s="15"/>
      <x:c r="T193" s="15" t="n">
        <x:f>R193/J193</x:f>
        <x:v>4894.053333333334</x:v>
      </x:c>
    </x:row>
    <x:row r="194" ht="23" customHeight="1">
      <x:c r="A194" s="6" t="str">
        <x:v>T2-L11-R</x:v>
      </x:c>
      <x:c r="B194" s="6" t="str">
        <x:v>T2</x:v>
      </x:c>
      <x:c r="C194" s="6" t="str">
        <x:v>L11</x:v>
      </x:c>
      <x:c r="D194" s="6" t="str">
        <x:v>Column, wall, beam and slab reinforcement</x:v>
      </x:c>
      <x:c r="E194" s="6" t="str">
        <x:v>Rebar</x:v>
      </x:c>
      <x:c r="F194" s="14" t="n">
        <x:v>29.684139475407747</x:v>
      </x:c>
      <x:c r="G194" s="6" t="str">
        <x:v>t</x:v>
      </x:c>
      <x:c r="H194" s="16" t="n">
        <x:v>7</x:v>
      </x:c>
      <x:c r="I194" s="16" t="n">
        <x:v>14</x:v>
      </x:c>
      <x:c r="J194" s="16" t="n">
        <x:f>ROUNDUP(F194/H194,0)</x:f>
        <x:v>5</x:v>
      </x:c>
      <x:c r="K194" s="6" t="n">
        <x:f>MAX(L193+0)</x:f>
        <x:v>350</x:v>
      </x:c>
      <x:c r="L194" s="6" t="n">
        <x:f>K194+J194</x:f>
        <x:v>355</x:v>
      </x:c>
      <x:c r="M194" s="6" t="n">
        <x:f>N194-J194</x:f>
        <x:v>398</x:v>
      </x:c>
      <x:c r="N194" s="6" t="n">
        <x:f>MIN(M195-0)</x:f>
        <x:v>403</x:v>
      </x:c>
      <x:c r="O194" s="6" t="n">
        <x:f>M194-K194</x:f>
        <x:v>48</x:v>
      </x:c>
      <x:c r="P194" s="18" t="n">
        <x:f>INDEX('Calendar'!$C$8:$C$907,K194+1)</x:f>
        <x:v>46736</x:v>
      </x:c>
      <x:c r="Q194" s="18" t="n">
        <x:f>INDEX('Calendar'!$C$8:$C$907,MAX(K194+1,L194))</x:f>
        <x:v>46741</x:v>
      </x:c>
      <x:c r="R194" s="14" t="n">
        <x:v>25795.51720412933</x:v>
      </x:c>
      <x:c r="S194" s="14"/>
      <x:c r="T194" s="14" t="n">
        <x:f>R194/J194</x:f>
        <x:v>5159.103440825866</x:v>
      </x:c>
    </x:row>
    <x:row r="195" ht="23" customHeight="1">
      <x:c r="A195" s="1" t="str">
        <x:v>T2-L11-C</x:v>
      </x:c>
      <x:c r="B195" s="1" t="str">
        <x:v>T2</x:v>
      </x:c>
      <x:c r="C195" s="1" t="str">
        <x:v>L11</x:v>
      </x:c>
      <x:c r="D195" s="1" t="str">
        <x:v>Concrete placement and finishing</x:v>
      </x:c>
      <x:c r="E195" s="1" t="str">
        <x:v>Concrete</x:v>
      </x:c>
      <x:c r="F195" s="15" t="n">
        <x:v>226.70819999999958</x:v>
      </x:c>
      <x:c r="G195" s="1" t="str">
        <x:v>m3</x:v>
      </x:c>
      <x:c r="H195" s="17" t="n">
        <x:v>170</x:v>
      </x:c>
      <x:c r="I195" s="17" t="n">
        <x:v>12</x:v>
      </x:c>
      <x:c r="J195" s="17" t="n">
        <x:f>ROUNDUP(F195/H195,0)</x:f>
        <x:v>2</x:v>
      </x:c>
      <x:c r="K195" s="1" t="n">
        <x:f>MAX(L194+0)</x:f>
        <x:v>355</x:v>
      </x:c>
      <x:c r="L195" s="1" t="n">
        <x:f>K195+J195</x:f>
        <x:v>357</x:v>
      </x:c>
      <x:c r="M195" s="1" t="n">
        <x:f>N195-J195</x:f>
        <x:v>403</x:v>
      </x:c>
      <x:c r="N195" s="1" t="n">
        <x:f>MIN(M196-0)</x:f>
        <x:v>405</x:v>
      </x:c>
      <x:c r="O195" s="1" t="n">
        <x:f>M195-K195</x:f>
        <x:v>48</x:v>
      </x:c>
      <x:c r="P195" s="19" t="n">
        <x:f>INDEX('Calendar'!$C$8:$C$907,K195+1)</x:f>
        <x:v>46742</x:v>
      </x:c>
      <x:c r="Q195" s="19" t="n">
        <x:f>INDEX('Calendar'!$C$8:$C$907,MAX(K195+1,L195))</x:f>
        <x:v>46743</x:v>
      </x:c>
      <x:c r="R195" s="15" t="n">
        <x:v>33527.39699999994</x:v>
      </x:c>
      <x:c r="S195" s="15"/>
      <x:c r="T195" s="15" t="n">
        <x:f>R195/J195</x:f>
        <x:v>16763.69849999997</x:v>
      </x:c>
    </x:row>
    <x:row r="196" ht="23" customHeight="1">
      <x:c r="A196" s="6" t="str">
        <x:v>T2-L11-H</x:v>
      </x:c>
      <x:c r="B196" s="6" t="str">
        <x:v>T2</x:v>
      </x:c>
      <x:c r="C196" s="6" t="str">
        <x:v>L11</x:v>
      </x:c>
      <x:c r="D196" s="6" t="str">
        <x:v>Curing and release hold point</x:v>
      </x:c>
      <x:c r="E196" s="6" t="str">
        <x:v>Site</x:v>
      </x:c>
      <x:c r="F196" s="14" t="n">
        <x:v>1</x:v>
      </x:c>
      <x:c r="G196" s="6" t="str">
        <x:v>hold</x:v>
      </x:c>
      <x:c r="H196" s="16" t="n">
        <x:v>1</x:v>
      </x:c>
      <x:c r="I196" s="16" t="n">
        <x:v>0</x:v>
      </x:c>
      <x:c r="J196" s="16" t="n">
        <x:f>S196</x:f>
        <x:v>5</x:v>
      </x:c>
      <x:c r="K196" s="6" t="n">
        <x:f>MAX(L195+0)</x:f>
        <x:v>357</x:v>
      </x:c>
      <x:c r="L196" s="6" t="n">
        <x:f>K196+J196</x:f>
        <x:v>362</x:v>
      </x:c>
      <x:c r="M196" s="6" t="n">
        <x:f>N196-J196</x:f>
        <x:v>405</x:v>
      </x:c>
      <x:c r="N196" s="6" t="n">
        <x:f>MIN(M197-0,M252-5)</x:f>
        <x:v>410</x:v>
      </x:c>
      <x:c r="O196" s="6" t="n">
        <x:f>M196-K196</x:f>
        <x:v>48</x:v>
      </x:c>
      <x:c r="P196" s="18" t="n">
        <x:f>INDEX('Calendar'!$C$8:$C$907,K196+1)</x:f>
        <x:v>46744</x:v>
      </x:c>
      <x:c r="Q196" s="18" t="n">
        <x:f>INDEX('Calendar'!$C$8:$C$907,MAX(K196+1,L196))</x:f>
        <x:v>46749</x:v>
      </x:c>
      <x:c r="R196" s="14" t="n">
        <x:v>0</x:v>
      </x:c>
      <x:c r="S196" s="14" t="n">
        <x:v>5</x:v>
      </x:c>
      <x:c r="T196" s="14" t="n">
        <x:f>R196/J196</x:f>
        <x:v>0</x:v>
      </x:c>
    </x:row>
    <x:row r="197" ht="23" customHeight="1">
      <x:c r="A197" s="1" t="str">
        <x:v>T2-L12-F</x:v>
      </x:c>
      <x:c r="B197" s="1" t="str">
        <x:v>T2</x:v>
      </x:c>
      <x:c r="C197" s="1" t="str">
        <x:v>L12</x:v>
      </x:c>
      <x:c r="D197" s="1" t="str">
        <x:v>Columns, core and deck formwork</x:v>
      </x:c>
      <x:c r="E197" s="1" t="str">
        <x:v>Formwork</x:v>
      </x:c>
      <x:c r="F197" s="15" t="n">
        <x:v>1222.6600000000005</x:v>
      </x:c>
      <x:c r="G197" s="1" t="str">
        <x:v>m2</x:v>
      </x:c>
      <x:c r="H197" s="17" t="n">
        <x:v>220</x:v>
      </x:c>
      <x:c r="I197" s="17" t="n">
        <x:v>18</x:v>
      </x:c>
      <x:c r="J197" s="17" t="n">
        <x:f>ROUNDUP(F197/H197,0)</x:f>
        <x:v>6</x:v>
      </x:c>
      <x:c r="K197" s="1" t="n">
        <x:f>MAX(L196+0)</x:f>
        <x:v>362</x:v>
      </x:c>
      <x:c r="L197" s="1" t="n">
        <x:f>K197+J197</x:f>
        <x:v>368</x:v>
      </x:c>
      <x:c r="M197" s="1" t="n">
        <x:f>N197-J197</x:f>
        <x:v>410</x:v>
      </x:c>
      <x:c r="N197" s="1" t="n">
        <x:f>MIN(M198-0)</x:f>
        <x:v>416</x:v>
      </x:c>
      <x:c r="O197" s="1" t="n">
        <x:f>M197-K197</x:f>
        <x:v>48</x:v>
      </x:c>
      <x:c r="P197" s="19" t="n">
        <x:f>INDEX('Calendar'!$C$8:$C$907,K197+1)</x:f>
        <x:v>46750</x:v>
      </x:c>
      <x:c r="Q197" s="19" t="n">
        <x:f>INDEX('Calendar'!$C$8:$C$907,MAX(K197+1,L197))</x:f>
        <x:v>46756</x:v>
      </x:c>
      <x:c r="R197" s="15" t="n">
        <x:v>29364.320000000007</x:v>
      </x:c>
      <x:c r="S197" s="15"/>
      <x:c r="T197" s="15" t="n">
        <x:f>R197/J197</x:f>
        <x:v>4894.053333333334</x:v>
      </x:c>
    </x:row>
    <x:row r="198" ht="23" customHeight="1">
      <x:c r="A198" s="6" t="str">
        <x:v>T2-L12-R</x:v>
      </x:c>
      <x:c r="B198" s="6" t="str">
        <x:v>T2</x:v>
      </x:c>
      <x:c r="C198" s="6" t="str">
        <x:v>L12</x:v>
      </x:c>
      <x:c r="D198" s="6" t="str">
        <x:v>Column, wall, beam and slab reinforcement</x:v>
      </x:c>
      <x:c r="E198" s="6" t="str">
        <x:v>Rebar</x:v>
      </x:c>
      <x:c r="F198" s="14" t="n">
        <x:v>29.684139475407747</x:v>
      </x:c>
      <x:c r="G198" s="6" t="str">
        <x:v>t</x:v>
      </x:c>
      <x:c r="H198" s="16" t="n">
        <x:v>7</x:v>
      </x:c>
      <x:c r="I198" s="16" t="n">
        <x:v>14</x:v>
      </x:c>
      <x:c r="J198" s="16" t="n">
        <x:f>ROUNDUP(F198/H198,0)</x:f>
        <x:v>5</x:v>
      </x:c>
      <x:c r="K198" s="6" t="n">
        <x:f>MAX(L197+0)</x:f>
        <x:v>368</x:v>
      </x:c>
      <x:c r="L198" s="6" t="n">
        <x:f>K198+J198</x:f>
        <x:v>373</x:v>
      </x:c>
      <x:c r="M198" s="6" t="n">
        <x:f>N198-J198</x:f>
        <x:v>416</x:v>
      </x:c>
      <x:c r="N198" s="6" t="n">
        <x:f>MIN(M199-0)</x:f>
        <x:v>421</x:v>
      </x:c>
      <x:c r="O198" s="6" t="n">
        <x:f>M198-K198</x:f>
        <x:v>48</x:v>
      </x:c>
      <x:c r="P198" s="18" t="n">
        <x:f>INDEX('Calendar'!$C$8:$C$907,K198+1)</x:f>
        <x:v>46757</x:v>
      </x:c>
      <x:c r="Q198" s="18" t="n">
        <x:f>INDEX('Calendar'!$C$8:$C$907,MAX(K198+1,L198))</x:f>
        <x:v>46762</x:v>
      </x:c>
      <x:c r="R198" s="14" t="n">
        <x:v>25795.51720412933</x:v>
      </x:c>
      <x:c r="S198" s="14"/>
      <x:c r="T198" s="14" t="n">
        <x:f>R198/J198</x:f>
        <x:v>5159.103440825866</x:v>
      </x:c>
    </x:row>
    <x:row r="199" ht="23" customHeight="1">
      <x:c r="A199" s="1" t="str">
        <x:v>T2-L12-C</x:v>
      </x:c>
      <x:c r="B199" s="1" t="str">
        <x:v>T2</x:v>
      </x:c>
      <x:c r="C199" s="1" t="str">
        <x:v>L12</x:v>
      </x:c>
      <x:c r="D199" s="1" t="str">
        <x:v>Concrete placement and finishing</x:v>
      </x:c>
      <x:c r="E199" s="1" t="str">
        <x:v>Concrete</x:v>
      </x:c>
      <x:c r="F199" s="15" t="n">
        <x:v>226.70819999999958</x:v>
      </x:c>
      <x:c r="G199" s="1" t="str">
        <x:v>m3</x:v>
      </x:c>
      <x:c r="H199" s="17" t="n">
        <x:v>170</x:v>
      </x:c>
      <x:c r="I199" s="17" t="n">
        <x:v>12</x:v>
      </x:c>
      <x:c r="J199" s="17" t="n">
        <x:f>ROUNDUP(F199/H199,0)</x:f>
        <x:v>2</x:v>
      </x:c>
      <x:c r="K199" s="1" t="n">
        <x:f>MAX(L198+0)</x:f>
        <x:v>373</x:v>
      </x:c>
      <x:c r="L199" s="1" t="n">
        <x:f>K199+J199</x:f>
        <x:v>375</x:v>
      </x:c>
      <x:c r="M199" s="1" t="n">
        <x:f>N199-J199</x:f>
        <x:v>421</x:v>
      </x:c>
      <x:c r="N199" s="1" t="n">
        <x:f>MIN(M200-0)</x:f>
        <x:v>423</x:v>
      </x:c>
      <x:c r="O199" s="1" t="n">
        <x:f>M199-K199</x:f>
        <x:v>48</x:v>
      </x:c>
      <x:c r="P199" s="19" t="n">
        <x:f>INDEX('Calendar'!$C$8:$C$907,K199+1)</x:f>
        <x:v>46763</x:v>
      </x:c>
      <x:c r="Q199" s="19" t="n">
        <x:f>INDEX('Calendar'!$C$8:$C$907,MAX(K199+1,L199))</x:f>
        <x:v>46764</x:v>
      </x:c>
      <x:c r="R199" s="15" t="n">
        <x:v>33527.39699999994</x:v>
      </x:c>
      <x:c r="S199" s="15"/>
      <x:c r="T199" s="15" t="n">
        <x:f>R199/J199</x:f>
        <x:v>16763.69849999997</x:v>
      </x:c>
    </x:row>
    <x:row r="200" ht="23" customHeight="1">
      <x:c r="A200" s="6" t="str">
        <x:v>T2-L12-H</x:v>
      </x:c>
      <x:c r="B200" s="6" t="str">
        <x:v>T2</x:v>
      </x:c>
      <x:c r="C200" s="6" t="str">
        <x:v>L12</x:v>
      </x:c>
      <x:c r="D200" s="6" t="str">
        <x:v>Curing and release hold point</x:v>
      </x:c>
      <x:c r="E200" s="6" t="str">
        <x:v>Site</x:v>
      </x:c>
      <x:c r="F200" s="14" t="n">
        <x:v>1</x:v>
      </x:c>
      <x:c r="G200" s="6" t="str">
        <x:v>hold</x:v>
      </x:c>
      <x:c r="H200" s="16" t="n">
        <x:v>1</x:v>
      </x:c>
      <x:c r="I200" s="16" t="n">
        <x:v>0</x:v>
      </x:c>
      <x:c r="J200" s="16" t="n">
        <x:f>S200</x:f>
        <x:v>5</x:v>
      </x:c>
      <x:c r="K200" s="6" t="n">
        <x:f>MAX(L199+0)</x:f>
        <x:v>375</x:v>
      </x:c>
      <x:c r="L200" s="6" t="n">
        <x:f>K200+J200</x:f>
        <x:v>380</x:v>
      </x:c>
      <x:c r="M200" s="6" t="n">
        <x:f>N200-J200</x:f>
        <x:v>423</x:v>
      </x:c>
      <x:c r="N200" s="6" t="n">
        <x:f>MIN(M201-5,M258-5,M264-5,M270-5,M276-5)</x:f>
        <x:v>428</x:v>
      </x:c>
      <x:c r="O200" s="6" t="n">
        <x:f>M200-K200</x:f>
        <x:v>48</x:v>
      </x:c>
      <x:c r="P200" s="18" t="n">
        <x:f>INDEX('Calendar'!$C$8:$C$907,K200+1)</x:f>
        <x:v>46765</x:v>
      </x:c>
      <x:c r="Q200" s="18" t="n">
        <x:f>INDEX('Calendar'!$C$8:$C$907,MAX(K200+1,L200))</x:f>
        <x:v>46770</x:v>
      </x:c>
      <x:c r="R200" s="14" t="n">
        <x:v>0</x:v>
      </x:c>
      <x:c r="S200" s="14" t="n">
        <x:v>5</x:v>
      </x:c>
      <x:c r="T200" s="14" t="n">
        <x:f>R200/J200</x:f>
        <x:v>0</x:v>
      </x:c>
    </x:row>
    <x:row r="201" ht="23" customHeight="1">
      <x:c r="A201" s="1" t="str">
        <x:v>T2-RF</x:v>
      </x:c>
      <x:c r="B201" s="1" t="str">
        <x:v>T2</x:v>
      </x:c>
      <x:c r="C201" s="1" t="str">
        <x:v>ROOF</x:v>
      </x:c>
      <x:c r="D201" s="1" t="str">
        <x:v>Roof membrane and weatherproofing</x:v>
      </x:c>
      <x:c r="E201" s="1" t="str">
        <x:v>Envelope</x:v>
      </x:c>
      <x:c r="F201" s="15" t="n">
        <x:v>2400</x:v>
      </x:c>
      <x:c r="G201" s="1" t="str">
        <x:v>m2</x:v>
      </x:c>
      <x:c r="H201" s="17" t="n">
        <x:v>180</x:v>
      </x:c>
      <x:c r="I201" s="17" t="n">
        <x:v>10</x:v>
      </x:c>
      <x:c r="J201" s="17" t="n">
        <x:f>ROUNDUP(F201/H201,0)</x:f>
        <x:v>14</x:v>
      </x:c>
      <x:c r="K201" s="1" t="n">
        <x:f>MAX(L200+5)</x:f>
        <x:v>385</x:v>
      </x:c>
      <x:c r="L201" s="1" t="n">
        <x:f>K201+J201</x:f>
        <x:v>399</x:v>
      </x:c>
      <x:c r="M201" s="1" t="n">
        <x:f>N201-J201</x:f>
        <x:v>438</x:v>
      </x:c>
      <x:c r="N201" s="1" t="n">
        <x:f>MIN(M203-0)</x:f>
        <x:v>452</x:v>
      </x:c>
      <x:c r="O201" s="1" t="n">
        <x:f>M201-K201</x:f>
        <x:v>53</x:v>
      </x:c>
      <x:c r="P201" s="19" t="n">
        <x:f>INDEX('Calendar'!$C$8:$C$907,K201+1)</x:f>
        <x:v>46777</x:v>
      </x:c>
      <x:c r="Q201" s="19" t="n">
        <x:f>INDEX('Calendar'!$C$8:$C$907,MAX(K201+1,L201))</x:f>
        <x:v>46792</x:v>
      </x:c>
      <x:c r="R201" s="15" t="n">
        <x:v>48000</x:v>
      </x:c>
      <x:c r="S201" s="15"/>
      <x:c r="T201" s="15" t="n">
        <x:f>R201/J201</x:f>
        <x:v>3428.5714285714284</x:v>
      </x:c>
    </x:row>
    <x:row r="202" ht="23" customHeight="1">
      <x:c r="A202" s="6" t="str">
        <x:v>T2-FA</x:v>
      </x:c>
      <x:c r="B202" s="6" t="str">
        <x:v>T2</x:v>
      </x:c>
      <x:c r="C202" s="6" t="str">
        <x:v>ALL</x:v>
      </x:c>
      <x:c r="D202" s="6" t="str">
        <x:v>Insulated facade installation</x:v>
      </x:c>
      <x:c r="E202" s="6" t="str">
        <x:v>Envelope</x:v>
      </x:c>
      <x:c r="F202" s="14" t="n">
        <x:v>3234.8159999999993</x:v>
      </x:c>
      <x:c r="G202" s="6" t="str">
        <x:v>m2</x:v>
      </x:c>
      <x:c r="H202" s="16" t="n">
        <x:v>150</x:v>
      </x:c>
      <x:c r="I202" s="16" t="n">
        <x:v>16</x:v>
      </x:c>
      <x:c r="J202" s="16" t="n">
        <x:f>ROUNDUP(F202/H202,0)</x:f>
        <x:v>22</x:v>
      </x:c>
      <x:c r="K202" s="6" t="n">
        <x:f>MAX(L184+10)</x:f>
        <x:v>318</x:v>
      </x:c>
      <x:c r="L202" s="6" t="n">
        <x:f>K202+J202</x:f>
        <x:v>340</x:v>
      </x:c>
      <x:c r="M202" s="6" t="n">
        <x:f>N202-J202</x:f>
        <x:v>430</x:v>
      </x:c>
      <x:c r="N202" s="6" t="n">
        <x:f>MIN(M203-0)</x:f>
        <x:v>452</x:v>
      </x:c>
      <x:c r="O202" s="6" t="n">
        <x:f>M202-K202</x:f>
        <x:v>112</x:v>
      </x:c>
      <x:c r="P202" s="18" t="n">
        <x:f>INDEX('Calendar'!$C$8:$C$907,K202+1)</x:f>
        <x:v>46699</x:v>
      </x:c>
      <x:c r="Q202" s="18" t="n">
        <x:f>INDEX('Calendar'!$C$8:$C$907,MAX(K202+1,L202))</x:f>
        <x:v>46723</x:v>
      </x:c>
      <x:c r="R202" s="14" t="n">
        <x:v>271724.54399999994</x:v>
      </x:c>
      <x:c r="S202" s="14"/>
      <x:c r="T202" s="14" t="n">
        <x:f>R202/J202</x:f>
        <x:v>12351.115636363633</x:v>
      </x:c>
    </x:row>
    <x:row r="203" ht="23" customHeight="1">
      <x:c r="A203" s="1" t="str">
        <x:v>T2-GL</x:v>
      </x:c>
      <x:c r="B203" s="1" t="str">
        <x:v>T2</x:v>
      </x:c>
      <x:c r="C203" s="1" t="str">
        <x:v>ALL</x:v>
      </x:c>
      <x:c r="D203" s="1" t="str">
        <x:v>Glazing and frame installation</x:v>
      </x:c>
      <x:c r="E203" s="1" t="str">
        <x:v>Envelope</x:v>
      </x:c>
      <x:c r="F203" s="15" t="n">
        <x:v>1257.9840000000002</x:v>
      </x:c>
      <x:c r="G203" s="1" t="str">
        <x:v>m2</x:v>
      </x:c>
      <x:c r="H203" s="17" t="n">
        <x:v>90</x:v>
      </x:c>
      <x:c r="I203" s="17" t="n">
        <x:v>12</x:v>
      </x:c>
      <x:c r="J203" s="17" t="n">
        <x:f>ROUNDUP(F203/H203,0)</x:f>
        <x:v>14</x:v>
      </x:c>
      <x:c r="K203" s="1" t="n">
        <x:f>MAX(L202+0,L201+0)</x:f>
        <x:v>399</x:v>
      </x:c>
      <x:c r="L203" s="1" t="n">
        <x:f>K203+J203</x:f>
        <x:v>413</x:v>
      </x:c>
      <x:c r="M203" s="1" t="n">
        <x:f>N203-J203</x:f>
        <x:v>452</x:v>
      </x:c>
      <x:c r="N203" s="1" t="n">
        <x:f>MIN(M207-0,M213-0,M219-0,M225-0,M231-0,M237-0,M243-0,M249-0,M255-0,M261-0,M267-0,M273-0,M279-0)</x:f>
        <x:v>466</x:v>
      </x:c>
      <x:c r="O203" s="1" t="n">
        <x:f>M203-K203</x:f>
        <x:v>53</x:v>
      </x:c>
      <x:c r="P203" s="19" t="n">
        <x:f>INDEX('Calendar'!$C$8:$C$907,K203+1)</x:f>
        <x:v>46793</x:v>
      </x:c>
      <x:c r="Q203" s="19" t="n">
        <x:f>INDEX('Calendar'!$C$8:$C$907,MAX(K203+1,L203))</x:f>
        <x:v>46808</x:v>
      </x:c>
      <x:c r="R203" s="15" t="n">
        <x:v>276756.48000000004</x:v>
      </x:c>
      <x:c r="S203" s="15"/>
      <x:c r="T203" s="15" t="n">
        <x:f>R203/J203</x:f>
        <x:v>19768.320000000003</x:v>
      </x:c>
    </x:row>
    <x:row r="204" ht="23" customHeight="1">
      <x:c r="A204" s="6" t="str">
        <x:v>T2-L00-M</x:v>
      </x:c>
      <x:c r="B204" s="6" t="str">
        <x:v>T2</x:v>
      </x:c>
      <x:c r="C204" s="6" t="str">
        <x:v>L00</x:v>
      </x:c>
      <x:c r="D204" s="6" t="str">
        <x:v>Partition masonry</x:v>
      </x:c>
      <x:c r="E204" s="6" t="str">
        <x:v>Masonry</x:v>
      </x:c>
      <x:c r="F204" s="14" t="n">
        <x:v>90.40200000000002</x:v>
      </x:c>
      <x:c r="G204" s="6" t="str">
        <x:v>m3</x:v>
      </x:c>
      <x:c r="H204" s="16" t="n">
        <x:v>22</x:v>
      </x:c>
      <x:c r="I204" s="16" t="n">
        <x:v>10</x:v>
      </x:c>
      <x:c r="J204" s="16" t="n">
        <x:f>ROUNDUP(F204/H204,0)</x:f>
        <x:v>5</x:v>
      </x:c>
      <x:c r="K204" s="6" t="n">
        <x:f>MAX(L164+5)</x:f>
        <x:v>223</x:v>
      </x:c>
      <x:c r="L204" s="6" t="n">
        <x:f>K204+J204</x:f>
        <x:v>228</x:v>
      </x:c>
      <x:c r="M204" s="6" t="n">
        <x:f>N204-J204</x:f>
        <x:v>433</x:v>
      </x:c>
      <x:c r="N204" s="6" t="n">
        <x:f>MIN(M205-3)</x:f>
        <x:v>438</x:v>
      </x:c>
      <x:c r="O204" s="6" t="n">
        <x:f>M204-K204</x:f>
        <x:v>210</x:v>
      </x:c>
      <x:c r="P204" s="18" t="n">
        <x:f>INDEX('Calendar'!$C$8:$C$907,K204+1)</x:f>
        <x:v>46588</x:v>
      </x:c>
      <x:c r="Q204" s="18" t="n">
        <x:f>INDEX('Calendar'!$C$8:$C$907,MAX(K204+1,L204))</x:f>
        <x:v>46592</x:v>
      </x:c>
      <x:c r="R204" s="14" t="n">
        <x:v>12204.27</x:v>
      </x:c>
      <x:c r="S204" s="14"/>
      <x:c r="T204" s="14" t="n">
        <x:f>R204/J204</x:f>
        <x:v>2440.8540000000003</x:v>
      </x:c>
    </x:row>
    <x:row r="205" ht="23" customHeight="1">
      <x:c r="A205" s="1" t="str">
        <x:v>T2-L00-P</x:v>
      </x:c>
      <x:c r="B205" s="1" t="str">
        <x:v>T2</x:v>
      </x:c>
      <x:c r="C205" s="1" t="str">
        <x:v>L00</x:v>
      </x:c>
      <x:c r="D205" s="1" t="str">
        <x:v>Internal plaster</x:v>
      </x:c>
      <x:c r="E205" s="1" t="str">
        <x:v>Finishes</x:v>
      </x:c>
      <x:c r="F205" s="15" t="n">
        <x:v>1205.3600000000006</x:v>
      </x:c>
      <x:c r="G205" s="1" t="str">
        <x:v>m2</x:v>
      </x:c>
      <x:c r="H205" s="17" t="n">
        <x:v>220</x:v>
      </x:c>
      <x:c r="I205" s="17" t="n">
        <x:v>10</x:v>
      </x:c>
      <x:c r="J205" s="17" t="n">
        <x:f>ROUNDUP(F205/H205,0)</x:f>
        <x:v>6</x:v>
      </x:c>
      <x:c r="K205" s="1" t="n">
        <x:f>MAX(L204+3)</x:f>
        <x:v>231</x:v>
      </x:c>
      <x:c r="L205" s="1" t="n">
        <x:f>K205+J205</x:f>
        <x:v>237</x:v>
      </x:c>
      <x:c r="M205" s="1" t="n">
        <x:f>N205-J205</x:f>
        <x:v>441</x:v>
      </x:c>
      <x:c r="N205" s="1" t="n">
        <x:f>MIN(M206-2)</x:f>
        <x:v>447</x:v>
      </x:c>
      <x:c r="O205" s="1" t="n">
        <x:f>M205-K205</x:f>
        <x:v>210</x:v>
      </x:c>
      <x:c r="P205" s="19" t="n">
        <x:f>INDEX('Calendar'!$C$8:$C$907,K205+1)</x:f>
        <x:v>46597</x:v>
      </x:c>
      <x:c r="Q205" s="19" t="n">
        <x:f>INDEX('Calendar'!$C$8:$C$907,MAX(K205+1,L205))</x:f>
        <x:v>46603</x:v>
      </x:c>
      <x:c r="R205" s="15" t="n">
        <x:v>15067.000000000005</x:v>
      </x:c>
      <x:c r="S205" s="15"/>
      <x:c r="T205" s="15" t="n">
        <x:f>R205/J205</x:f>
        <x:v>2511.1666666666674</x:v>
      </x:c>
    </x:row>
    <x:row r="206" ht="23" customHeight="1">
      <x:c r="A206" s="6" t="str">
        <x:v>T2-L00-S</x:v>
      </x:c>
      <x:c r="B206" s="6" t="str">
        <x:v>T2</x:v>
      </x:c>
      <x:c r="C206" s="6" t="str">
        <x:v>L00</x:v>
      </x:c>
      <x:c r="D206" s="6" t="str">
        <x:v>Screed and substrate preparation</x:v>
      </x:c>
      <x:c r="E206" s="6" t="str">
        <x:v>Finishes</x:v>
      </x:c>
      <x:c r="F206" s="14" t="n">
        <x:v>696</x:v>
      </x:c>
      <x:c r="G206" s="6" t="str">
        <x:v>m2</x:v>
      </x:c>
      <x:c r="H206" s="16" t="n">
        <x:v>240</x:v>
      </x:c>
      <x:c r="I206" s="16" t="n">
        <x:v>8</x:v>
      </x:c>
      <x:c r="J206" s="16" t="n">
        <x:f>ROUNDUP(F206/H206,0)</x:f>
        <x:v>3</x:v>
      </x:c>
      <x:c r="K206" s="6" t="n">
        <x:f>MAX(L205+2)</x:f>
        <x:v>239</x:v>
      </x:c>
      <x:c r="L206" s="6" t="n">
        <x:f>K206+J206</x:f>
        <x:v>242</x:v>
      </x:c>
      <x:c r="M206" s="6" t="n">
        <x:f>N206-J206</x:f>
        <x:v>449</x:v>
      </x:c>
      <x:c r="N206" s="6" t="n">
        <x:f>MIN(M207-14)</x:f>
        <x:v>452</x:v>
      </x:c>
      <x:c r="O206" s="6" t="n">
        <x:f>M206-K206</x:f>
        <x:v>210</x:v>
      </x:c>
      <x:c r="P206" s="18" t="n">
        <x:f>INDEX('Calendar'!$C$8:$C$907,K206+1)</x:f>
        <x:v>46606</x:v>
      </x:c>
      <x:c r="Q206" s="18" t="n">
        <x:f>INDEX('Calendar'!$C$8:$C$907,MAX(K206+1,L206))</x:f>
        <x:v>46609</x:v>
      </x:c>
      <x:c r="R206" s="14" t="n">
        <x:v>9048</x:v>
      </x:c>
      <x:c r="S206" s="14"/>
      <x:c r="T206" s="14" t="n">
        <x:f>R206/J206</x:f>
        <x:v>3016</x:v>
      </x:c>
    </x:row>
    <x:row r="207" ht="23" customHeight="1">
      <x:c r="A207" s="1" t="str">
        <x:v>T2-L00-T</x:v>
      </x:c>
      <x:c r="B207" s="1" t="str">
        <x:v>T2</x:v>
      </x:c>
      <x:c r="C207" s="1" t="str">
        <x:v>L00</x:v>
      </x:c>
      <x:c r="D207" s="1" t="str">
        <x:v>Floor finishes and skirtings</x:v>
      </x:c>
      <x:c r="E207" s="1" t="str">
        <x:v>Finishes</x:v>
      </x:c>
      <x:c r="F207" s="15" t="n">
        <x:v>696</x:v>
      </x:c>
      <x:c r="G207" s="1" t="str">
        <x:v>m2</x:v>
      </x:c>
      <x:c r="H207" s="17" t="n">
        <x:v>130</x:v>
      </x:c>
      <x:c r="I207" s="17" t="n">
        <x:v>8</x:v>
      </x:c>
      <x:c r="J207" s="17" t="n">
        <x:f>ROUNDUP(F207/H207,0)</x:f>
        <x:v>6</x:v>
      </x:c>
      <x:c r="K207" s="1" t="n">
        <x:f>MAX(L206+14,L203+0)</x:f>
        <x:v>413</x:v>
      </x:c>
      <x:c r="L207" s="1" t="n">
        <x:f>K207+J207</x:f>
        <x:v>419</x:v>
      </x:c>
      <x:c r="M207" s="1" t="n">
        <x:f>N207-J207</x:f>
        <x:v>466</x:v>
      </x:c>
      <x:c r="N207" s="1" t="n">
        <x:f>MIN(M208-2)</x:f>
        <x:v>472</x:v>
      </x:c>
      <x:c r="O207" s="1" t="n">
        <x:f>M207-K207</x:f>
        <x:v>53</x:v>
      </x:c>
      <x:c r="P207" s="19" t="n">
        <x:f>INDEX('Calendar'!$C$8:$C$907,K207+1)</x:f>
        <x:v>46809</x:v>
      </x:c>
      <x:c r="Q207" s="19" t="n">
        <x:f>INDEX('Calendar'!$C$8:$C$907,MAX(K207+1,L207))</x:f>
        <x:v>46815</x:v>
      </x:c>
      <x:c r="R207" s="15" t="n">
        <x:v>24012</x:v>
      </x:c>
      <x:c r="S207" s="15"/>
      <x:c r="T207" s="15" t="n">
        <x:f>R207/J207</x:f>
        <x:v>4002</x:v>
      </x:c>
    </x:row>
    <x:row r="208" ht="23" customHeight="1">
      <x:c r="A208" s="6" t="str">
        <x:v>T2-L00-A</x:v>
      </x:c>
      <x:c r="B208" s="6" t="str">
        <x:v>T2</x:v>
      </x:c>
      <x:c r="C208" s="6" t="str">
        <x:v>L00</x:v>
      </x:c>
      <x:c r="D208" s="6" t="str">
        <x:v>Paint and final decorations</x:v>
      </x:c>
      <x:c r="E208" s="6" t="str">
        <x:v>Finishes</x:v>
      </x:c>
      <x:c r="F208" s="14" t="n">
        <x:v>1205.3600000000004</x:v>
      </x:c>
      <x:c r="G208" s="6" t="str">
        <x:v>m2</x:v>
      </x:c>
      <x:c r="H208" s="16" t="n">
        <x:v>270</x:v>
      </x:c>
      <x:c r="I208" s="16" t="n">
        <x:v>8</x:v>
      </x:c>
      <x:c r="J208" s="16" t="n">
        <x:f>ROUNDUP(F208/H208,0)</x:f>
        <x:v>5</x:v>
      </x:c>
      <x:c r="K208" s="6" t="n">
        <x:f>MAX(L207+2)</x:f>
        <x:v>421</x:v>
      </x:c>
      <x:c r="L208" s="6" t="n">
        <x:f>K208+J208</x:f>
        <x:v>426</x:v>
      </x:c>
      <x:c r="M208" s="6" t="n">
        <x:f>N208-J208</x:f>
        <x:v>474</x:v>
      </x:c>
      <x:c r="N208" s="6" t="n">
        <x:f>MIN(M209-0)</x:f>
        <x:v>479</x:v>
      </x:c>
      <x:c r="O208" s="6" t="n">
        <x:f>M208-K208</x:f>
        <x:v>53</x:v>
      </x:c>
      <x:c r="P208" s="18" t="n">
        <x:f>INDEX('Calendar'!$C$8:$C$907,K208+1)</x:f>
        <x:v>46819</x:v>
      </x:c>
      <x:c r="Q208" s="18" t="n">
        <x:f>INDEX('Calendar'!$C$8:$C$907,MAX(K208+1,L208))</x:f>
        <x:v>46823</x:v>
      </x:c>
      <x:c r="R208" s="14" t="n">
        <x:v>10245.560000000003</x:v>
      </x:c>
      <x:c r="S208" s="14"/>
      <x:c r="T208" s="14" t="n">
        <x:f>R208/J208</x:f>
        <x:v>2049.1120000000005</x:v>
      </x:c>
    </x:row>
    <x:row r="209" ht="23" customHeight="1">
      <x:c r="A209" s="1" t="str">
        <x:v>T2-L00-D</x:v>
      </x:c>
      <x:c r="B209" s="1" t="str">
        <x:v>T2</x:v>
      </x:c>
      <x:c r="C209" s="1" t="str">
        <x:v>L00</x:v>
      </x:c>
      <x:c r="D209" s="1" t="str">
        <x:v>Door sets and ironmongery</x:v>
      </x:c>
      <x:c r="E209" s="1" t="str">
        <x:v>Finishes</x:v>
      </x:c>
      <x:c r="F209" s="15" t="n">
        <x:v>28</x:v>
      </x:c>
      <x:c r="G209" s="1" t="str">
        <x:v>nr</x:v>
      </x:c>
      <x:c r="H209" s="17" t="n">
        <x:v>10</x:v>
      </x:c>
      <x:c r="I209" s="17" t="n">
        <x:v>4</x:v>
      </x:c>
      <x:c r="J209" s="17" t="n">
        <x:f>ROUNDUP(F209/H209,0)</x:f>
        <x:v>3</x:v>
      </x:c>
      <x:c r="K209" s="1" t="n">
        <x:f>MAX(L208+0)</x:f>
        <x:v>426</x:v>
      </x:c>
      <x:c r="L209" s="1" t="n">
        <x:f>K209+J209</x:f>
        <x:v>429</x:v>
      </x:c>
      <x:c r="M209" s="1" t="n">
        <x:f>N209-J209</x:f>
        <x:v>479</x:v>
      </x:c>
      <x:c r="N209" s="1" t="n">
        <x:f>MIN(M816-0)</x:f>
        <x:v>482</x:v>
      </x:c>
      <x:c r="O209" s="1" t="n">
        <x:f>M209-K209</x:f>
        <x:v>53</x:v>
      </x:c>
      <x:c r="P209" s="19" t="n">
        <x:f>INDEX('Calendar'!$C$8:$C$907,K209+1)</x:f>
        <x:v>46825</x:v>
      </x:c>
      <x:c r="Q209" s="19" t="n">
        <x:f>INDEX('Calendar'!$C$8:$C$907,MAX(K209+1,L209))</x:f>
        <x:v>46827</x:v>
      </x:c>
      <x:c r="R209" s="15" t="n">
        <x:v>5796</x:v>
      </x:c>
      <x:c r="S209" s="15"/>
      <x:c r="T209" s="15" t="n">
        <x:f>R209/J209</x:f>
        <x:v>1932</x:v>
      </x:c>
    </x:row>
    <x:row r="210" ht="23" customHeight="1">
      <x:c r="A210" s="6" t="str">
        <x:v>T2-L01-M</x:v>
      </x:c>
      <x:c r="B210" s="6" t="str">
        <x:v>T2</x:v>
      </x:c>
      <x:c r="C210" s="6" t="str">
        <x:v>L01</x:v>
      </x:c>
      <x:c r="D210" s="6" t="str">
        <x:v>Partition masonry</x:v>
      </x:c>
      <x:c r="E210" s="6" t="str">
        <x:v>Masonry</x:v>
      </x:c>
      <x:c r="F210" s="14" t="n">
        <x:v>90.40200000000002</x:v>
      </x:c>
      <x:c r="G210" s="6" t="str">
        <x:v>m3</x:v>
      </x:c>
      <x:c r="H210" s="16" t="n">
        <x:v>22</x:v>
      </x:c>
      <x:c r="I210" s="16" t="n">
        <x:v>10</x:v>
      </x:c>
      <x:c r="J210" s="16" t="n">
        <x:f>ROUNDUP(F210/H210,0)</x:f>
        <x:v>5</x:v>
      </x:c>
      <x:c r="K210" s="6" t="n">
        <x:f>MAX(L168+5)</x:f>
        <x:v>241</x:v>
      </x:c>
      <x:c r="L210" s="6" t="n">
        <x:f>K210+J210</x:f>
        <x:v>246</x:v>
      </x:c>
      <x:c r="M210" s="6" t="n">
        <x:f>N210-J210</x:f>
        <x:v>433</x:v>
      </x:c>
      <x:c r="N210" s="6" t="n">
        <x:f>MIN(M211-3)</x:f>
        <x:v>438</x:v>
      </x:c>
      <x:c r="O210" s="6" t="n">
        <x:f>M210-K210</x:f>
        <x:v>192</x:v>
      </x:c>
      <x:c r="P210" s="18" t="n">
        <x:f>INDEX('Calendar'!$C$8:$C$907,K210+1)</x:f>
        <x:v>46609</x:v>
      </x:c>
      <x:c r="Q210" s="18" t="n">
        <x:f>INDEX('Calendar'!$C$8:$C$907,MAX(K210+1,L210))</x:f>
        <x:v>46613</x:v>
      </x:c>
      <x:c r="R210" s="14" t="n">
        <x:v>12204.27</x:v>
      </x:c>
      <x:c r="S210" s="14"/>
      <x:c r="T210" s="14" t="n">
        <x:f>R210/J210</x:f>
        <x:v>2440.8540000000003</x:v>
      </x:c>
    </x:row>
    <x:row r="211" ht="23" customHeight="1">
      <x:c r="A211" s="1" t="str">
        <x:v>T2-L01-P</x:v>
      </x:c>
      <x:c r="B211" s="1" t="str">
        <x:v>T2</x:v>
      </x:c>
      <x:c r="C211" s="1" t="str">
        <x:v>L01</x:v>
      </x:c>
      <x:c r="D211" s="1" t="str">
        <x:v>Internal plaster</x:v>
      </x:c>
      <x:c r="E211" s="1" t="str">
        <x:v>Finishes</x:v>
      </x:c>
      <x:c r="F211" s="15" t="n">
        <x:v>1205.3600000000006</x:v>
      </x:c>
      <x:c r="G211" s="1" t="str">
        <x:v>m2</x:v>
      </x:c>
      <x:c r="H211" s="17" t="n">
        <x:v>220</x:v>
      </x:c>
      <x:c r="I211" s="17" t="n">
        <x:v>10</x:v>
      </x:c>
      <x:c r="J211" s="17" t="n">
        <x:f>ROUNDUP(F211/H211,0)</x:f>
        <x:v>6</x:v>
      </x:c>
      <x:c r="K211" s="1" t="n">
        <x:f>MAX(L210+3)</x:f>
        <x:v>249</x:v>
      </x:c>
      <x:c r="L211" s="1" t="n">
        <x:f>K211+J211</x:f>
        <x:v>255</x:v>
      </x:c>
      <x:c r="M211" s="1" t="n">
        <x:f>N211-J211</x:f>
        <x:v>441</x:v>
      </x:c>
      <x:c r="N211" s="1" t="n">
        <x:f>MIN(M212-2)</x:f>
        <x:v>447</x:v>
      </x:c>
      <x:c r="O211" s="1" t="n">
        <x:f>M211-K211</x:f>
        <x:v>192</x:v>
      </x:c>
      <x:c r="P211" s="19" t="n">
        <x:f>INDEX('Calendar'!$C$8:$C$907,K211+1)</x:f>
        <x:v>46618</x:v>
      </x:c>
      <x:c r="Q211" s="19" t="n">
        <x:f>INDEX('Calendar'!$C$8:$C$907,MAX(K211+1,L211))</x:f>
        <x:v>46624</x:v>
      </x:c>
      <x:c r="R211" s="15" t="n">
        <x:v>15067.000000000005</x:v>
      </x:c>
      <x:c r="S211" s="15"/>
      <x:c r="T211" s="15" t="n">
        <x:f>R211/J211</x:f>
        <x:v>2511.1666666666674</x:v>
      </x:c>
    </x:row>
    <x:row r="212" ht="23" customHeight="1">
      <x:c r="A212" s="6" t="str">
        <x:v>T2-L01-S</x:v>
      </x:c>
      <x:c r="B212" s="6" t="str">
        <x:v>T2</x:v>
      </x:c>
      <x:c r="C212" s="6" t="str">
        <x:v>L01</x:v>
      </x:c>
      <x:c r="D212" s="6" t="str">
        <x:v>Screed and substrate preparation</x:v>
      </x:c>
      <x:c r="E212" s="6" t="str">
        <x:v>Finishes</x:v>
      </x:c>
      <x:c r="F212" s="14" t="n">
        <x:v>696</x:v>
      </x:c>
      <x:c r="G212" s="6" t="str">
        <x:v>m2</x:v>
      </x:c>
      <x:c r="H212" s="16" t="n">
        <x:v>240</x:v>
      </x:c>
      <x:c r="I212" s="16" t="n">
        <x:v>8</x:v>
      </x:c>
      <x:c r="J212" s="16" t="n">
        <x:f>ROUNDUP(F212/H212,0)</x:f>
        <x:v>3</x:v>
      </x:c>
      <x:c r="K212" s="6" t="n">
        <x:f>MAX(L211+2)</x:f>
        <x:v>257</x:v>
      </x:c>
      <x:c r="L212" s="6" t="n">
        <x:f>K212+J212</x:f>
        <x:v>260</x:v>
      </x:c>
      <x:c r="M212" s="6" t="n">
        <x:f>N212-J212</x:f>
        <x:v>449</x:v>
      </x:c>
      <x:c r="N212" s="6" t="n">
        <x:f>MIN(M213-14)</x:f>
        <x:v>452</x:v>
      </x:c>
      <x:c r="O212" s="6" t="n">
        <x:f>M212-K212</x:f>
        <x:v>192</x:v>
      </x:c>
      <x:c r="P212" s="18" t="n">
        <x:f>INDEX('Calendar'!$C$8:$C$907,K212+1)</x:f>
        <x:v>46627</x:v>
      </x:c>
      <x:c r="Q212" s="18" t="n">
        <x:f>INDEX('Calendar'!$C$8:$C$907,MAX(K212+1,L212))</x:f>
        <x:v>46630</x:v>
      </x:c>
      <x:c r="R212" s="14" t="n">
        <x:v>9048</x:v>
      </x:c>
      <x:c r="S212" s="14"/>
      <x:c r="T212" s="14" t="n">
        <x:f>R212/J212</x:f>
        <x:v>3016</x:v>
      </x:c>
    </x:row>
    <x:row r="213" ht="23" customHeight="1">
      <x:c r="A213" s="1" t="str">
        <x:v>T2-L01-T</x:v>
      </x:c>
      <x:c r="B213" s="1" t="str">
        <x:v>T2</x:v>
      </x:c>
      <x:c r="C213" s="1" t="str">
        <x:v>L01</x:v>
      </x:c>
      <x:c r="D213" s="1" t="str">
        <x:v>Floor finishes and skirtings</x:v>
      </x:c>
      <x:c r="E213" s="1" t="str">
        <x:v>Finishes</x:v>
      </x:c>
      <x:c r="F213" s="15" t="n">
        <x:v>696</x:v>
      </x:c>
      <x:c r="G213" s="1" t="str">
        <x:v>m2</x:v>
      </x:c>
      <x:c r="H213" s="17" t="n">
        <x:v>130</x:v>
      </x:c>
      <x:c r="I213" s="17" t="n">
        <x:v>8</x:v>
      </x:c>
      <x:c r="J213" s="17" t="n">
        <x:f>ROUNDUP(F213/H213,0)</x:f>
        <x:v>6</x:v>
      </x:c>
      <x:c r="K213" s="1" t="n">
        <x:f>MAX(L212+14,L203+0)</x:f>
        <x:v>413</x:v>
      </x:c>
      <x:c r="L213" s="1" t="n">
        <x:f>K213+J213</x:f>
        <x:v>419</x:v>
      </x:c>
      <x:c r="M213" s="1" t="n">
        <x:f>N213-J213</x:f>
        <x:v>466</x:v>
      </x:c>
      <x:c r="N213" s="1" t="n">
        <x:f>MIN(M214-2)</x:f>
        <x:v>472</x:v>
      </x:c>
      <x:c r="O213" s="1" t="n">
        <x:f>M213-K213</x:f>
        <x:v>53</x:v>
      </x:c>
      <x:c r="P213" s="19" t="n">
        <x:f>INDEX('Calendar'!$C$8:$C$907,K213+1)</x:f>
        <x:v>46809</x:v>
      </x:c>
      <x:c r="Q213" s="19" t="n">
        <x:f>INDEX('Calendar'!$C$8:$C$907,MAX(K213+1,L213))</x:f>
        <x:v>46815</x:v>
      </x:c>
      <x:c r="R213" s="15" t="n">
        <x:v>24012</x:v>
      </x:c>
      <x:c r="S213" s="15"/>
      <x:c r="T213" s="15" t="n">
        <x:f>R213/J213</x:f>
        <x:v>4002</x:v>
      </x:c>
    </x:row>
    <x:row r="214" ht="23" customHeight="1">
      <x:c r="A214" s="6" t="str">
        <x:v>T2-L01-A</x:v>
      </x:c>
      <x:c r="B214" s="6" t="str">
        <x:v>T2</x:v>
      </x:c>
      <x:c r="C214" s="6" t="str">
        <x:v>L01</x:v>
      </x:c>
      <x:c r="D214" s="6" t="str">
        <x:v>Paint and final decorations</x:v>
      </x:c>
      <x:c r="E214" s="6" t="str">
        <x:v>Finishes</x:v>
      </x:c>
      <x:c r="F214" s="14" t="n">
        <x:v>1205.3600000000004</x:v>
      </x:c>
      <x:c r="G214" s="6" t="str">
        <x:v>m2</x:v>
      </x:c>
      <x:c r="H214" s="16" t="n">
        <x:v>270</x:v>
      </x:c>
      <x:c r="I214" s="16" t="n">
        <x:v>8</x:v>
      </x:c>
      <x:c r="J214" s="16" t="n">
        <x:f>ROUNDUP(F214/H214,0)</x:f>
        <x:v>5</x:v>
      </x:c>
      <x:c r="K214" s="6" t="n">
        <x:f>MAX(L213+2)</x:f>
        <x:v>421</x:v>
      </x:c>
      <x:c r="L214" s="6" t="n">
        <x:f>K214+J214</x:f>
        <x:v>426</x:v>
      </x:c>
      <x:c r="M214" s="6" t="n">
        <x:f>N214-J214</x:f>
        <x:v>474</x:v>
      </x:c>
      <x:c r="N214" s="6" t="n">
        <x:f>MIN(M215-0)</x:f>
        <x:v>479</x:v>
      </x:c>
      <x:c r="O214" s="6" t="n">
        <x:f>M214-K214</x:f>
        <x:v>53</x:v>
      </x:c>
      <x:c r="P214" s="18" t="n">
        <x:f>INDEX('Calendar'!$C$8:$C$907,K214+1)</x:f>
        <x:v>46819</x:v>
      </x:c>
      <x:c r="Q214" s="18" t="n">
        <x:f>INDEX('Calendar'!$C$8:$C$907,MAX(K214+1,L214))</x:f>
        <x:v>46823</x:v>
      </x:c>
      <x:c r="R214" s="14" t="n">
        <x:v>10245.560000000003</x:v>
      </x:c>
      <x:c r="S214" s="14"/>
      <x:c r="T214" s="14" t="n">
        <x:f>R214/J214</x:f>
        <x:v>2049.1120000000005</x:v>
      </x:c>
    </x:row>
    <x:row r="215" ht="23" customHeight="1">
      <x:c r="A215" s="1" t="str">
        <x:v>T2-L01-D</x:v>
      </x:c>
      <x:c r="B215" s="1" t="str">
        <x:v>T2</x:v>
      </x:c>
      <x:c r="C215" s="1" t="str">
        <x:v>L01</x:v>
      </x:c>
      <x:c r="D215" s="1" t="str">
        <x:v>Door sets and ironmongery</x:v>
      </x:c>
      <x:c r="E215" s="1" t="str">
        <x:v>Finishes</x:v>
      </x:c>
      <x:c r="F215" s="15" t="n">
        <x:v>28</x:v>
      </x:c>
      <x:c r="G215" s="1" t="str">
        <x:v>nr</x:v>
      </x:c>
      <x:c r="H215" s="17" t="n">
        <x:v>10</x:v>
      </x:c>
      <x:c r="I215" s="17" t="n">
        <x:v>4</x:v>
      </x:c>
      <x:c r="J215" s="17" t="n">
        <x:f>ROUNDUP(F215/H215,0)</x:f>
        <x:v>3</x:v>
      </x:c>
      <x:c r="K215" s="1" t="n">
        <x:f>MAX(L214+0)</x:f>
        <x:v>426</x:v>
      </x:c>
      <x:c r="L215" s="1" t="n">
        <x:f>K215+J215</x:f>
        <x:v>429</x:v>
      </x:c>
      <x:c r="M215" s="1" t="n">
        <x:f>N215-J215</x:f>
        <x:v>479</x:v>
      </x:c>
      <x:c r="N215" s="1" t="n">
        <x:f>MIN(M816-0)</x:f>
        <x:v>482</x:v>
      </x:c>
      <x:c r="O215" s="1" t="n">
        <x:f>M215-K215</x:f>
        <x:v>53</x:v>
      </x:c>
      <x:c r="P215" s="19" t="n">
        <x:f>INDEX('Calendar'!$C$8:$C$907,K215+1)</x:f>
        <x:v>46825</x:v>
      </x:c>
      <x:c r="Q215" s="19" t="n">
        <x:f>INDEX('Calendar'!$C$8:$C$907,MAX(K215+1,L215))</x:f>
        <x:v>46827</x:v>
      </x:c>
      <x:c r="R215" s="15" t="n">
        <x:v>5796</x:v>
      </x:c>
      <x:c r="S215" s="15"/>
      <x:c r="T215" s="15" t="n">
        <x:f>R215/J215</x:f>
        <x:v>1932</x:v>
      </x:c>
    </x:row>
    <x:row r="216" ht="23" customHeight="1">
      <x:c r="A216" s="6" t="str">
        <x:v>T2-L02-M</x:v>
      </x:c>
      <x:c r="B216" s="6" t="str">
        <x:v>T2</x:v>
      </x:c>
      <x:c r="C216" s="6" t="str">
        <x:v>L02</x:v>
      </x:c>
      <x:c r="D216" s="6" t="str">
        <x:v>Partition masonry</x:v>
      </x:c>
      <x:c r="E216" s="6" t="str">
        <x:v>Masonry</x:v>
      </x:c>
      <x:c r="F216" s="14" t="n">
        <x:v>90.40200000000002</x:v>
      </x:c>
      <x:c r="G216" s="6" t="str">
        <x:v>m3</x:v>
      </x:c>
      <x:c r="H216" s="16" t="n">
        <x:v>22</x:v>
      </x:c>
      <x:c r="I216" s="16" t="n">
        <x:v>10</x:v>
      </x:c>
      <x:c r="J216" s="16" t="n">
        <x:f>ROUNDUP(F216/H216,0)</x:f>
        <x:v>5</x:v>
      </x:c>
      <x:c r="K216" s="6" t="n">
        <x:f>MAX(L172+5)</x:f>
        <x:v>259</x:v>
      </x:c>
      <x:c r="L216" s="6" t="n">
        <x:f>K216+J216</x:f>
        <x:v>264</x:v>
      </x:c>
      <x:c r="M216" s="6" t="n">
        <x:f>N216-J216</x:f>
        <x:v>433</x:v>
      </x:c>
      <x:c r="N216" s="6" t="n">
        <x:f>MIN(M217-3)</x:f>
        <x:v>438</x:v>
      </x:c>
      <x:c r="O216" s="6" t="n">
        <x:f>M216-K216</x:f>
        <x:v>174</x:v>
      </x:c>
      <x:c r="P216" s="18" t="n">
        <x:f>INDEX('Calendar'!$C$8:$C$907,K216+1)</x:f>
        <x:v>46630</x:v>
      </x:c>
      <x:c r="Q216" s="18" t="n">
        <x:f>INDEX('Calendar'!$C$8:$C$907,MAX(K216+1,L216))</x:f>
        <x:v>46634</x:v>
      </x:c>
      <x:c r="R216" s="14" t="n">
        <x:v>12204.27</x:v>
      </x:c>
      <x:c r="S216" s="14"/>
      <x:c r="T216" s="14" t="n">
        <x:f>R216/J216</x:f>
        <x:v>2440.8540000000003</x:v>
      </x:c>
    </x:row>
    <x:row r="217" ht="23" customHeight="1">
      <x:c r="A217" s="1" t="str">
        <x:v>T2-L02-P</x:v>
      </x:c>
      <x:c r="B217" s="1" t="str">
        <x:v>T2</x:v>
      </x:c>
      <x:c r="C217" s="1" t="str">
        <x:v>L02</x:v>
      </x:c>
      <x:c r="D217" s="1" t="str">
        <x:v>Internal plaster</x:v>
      </x:c>
      <x:c r="E217" s="1" t="str">
        <x:v>Finishes</x:v>
      </x:c>
      <x:c r="F217" s="15" t="n">
        <x:v>1205.3600000000006</x:v>
      </x:c>
      <x:c r="G217" s="1" t="str">
        <x:v>m2</x:v>
      </x:c>
      <x:c r="H217" s="17" t="n">
        <x:v>220</x:v>
      </x:c>
      <x:c r="I217" s="17" t="n">
        <x:v>10</x:v>
      </x:c>
      <x:c r="J217" s="17" t="n">
        <x:f>ROUNDUP(F217/H217,0)</x:f>
        <x:v>6</x:v>
      </x:c>
      <x:c r="K217" s="1" t="n">
        <x:f>MAX(L216+3)</x:f>
        <x:v>267</x:v>
      </x:c>
      <x:c r="L217" s="1" t="n">
        <x:f>K217+J217</x:f>
        <x:v>273</x:v>
      </x:c>
      <x:c r="M217" s="1" t="n">
        <x:f>N217-J217</x:f>
        <x:v>441</x:v>
      </x:c>
      <x:c r="N217" s="1" t="n">
        <x:f>MIN(M218-2)</x:f>
        <x:v>447</x:v>
      </x:c>
      <x:c r="O217" s="1" t="n">
        <x:f>M217-K217</x:f>
        <x:v>174</x:v>
      </x:c>
      <x:c r="P217" s="19" t="n">
        <x:f>INDEX('Calendar'!$C$8:$C$907,K217+1)</x:f>
        <x:v>46639</x:v>
      </x:c>
      <x:c r="Q217" s="19" t="n">
        <x:f>INDEX('Calendar'!$C$8:$C$907,MAX(K217+1,L217))</x:f>
        <x:v>46645</x:v>
      </x:c>
      <x:c r="R217" s="15" t="n">
        <x:v>15067.000000000005</x:v>
      </x:c>
      <x:c r="S217" s="15"/>
      <x:c r="T217" s="15" t="n">
        <x:f>R217/J217</x:f>
        <x:v>2511.1666666666674</x:v>
      </x:c>
    </x:row>
    <x:row r="218" ht="23" customHeight="1">
      <x:c r="A218" s="6" t="str">
        <x:v>T2-L02-S</x:v>
      </x:c>
      <x:c r="B218" s="6" t="str">
        <x:v>T2</x:v>
      </x:c>
      <x:c r="C218" s="6" t="str">
        <x:v>L02</x:v>
      </x:c>
      <x:c r="D218" s="6" t="str">
        <x:v>Screed and substrate preparation</x:v>
      </x:c>
      <x:c r="E218" s="6" t="str">
        <x:v>Finishes</x:v>
      </x:c>
      <x:c r="F218" s="14" t="n">
        <x:v>696</x:v>
      </x:c>
      <x:c r="G218" s="6" t="str">
        <x:v>m2</x:v>
      </x:c>
      <x:c r="H218" s="16" t="n">
        <x:v>240</x:v>
      </x:c>
      <x:c r="I218" s="16" t="n">
        <x:v>8</x:v>
      </x:c>
      <x:c r="J218" s="16" t="n">
        <x:f>ROUNDUP(F218/H218,0)</x:f>
        <x:v>3</x:v>
      </x:c>
      <x:c r="K218" s="6" t="n">
        <x:f>MAX(L217+2)</x:f>
        <x:v>275</x:v>
      </x:c>
      <x:c r="L218" s="6" t="n">
        <x:f>K218+J218</x:f>
        <x:v>278</x:v>
      </x:c>
      <x:c r="M218" s="6" t="n">
        <x:f>N218-J218</x:f>
        <x:v>449</x:v>
      </x:c>
      <x:c r="N218" s="6" t="n">
        <x:f>MIN(M219-14)</x:f>
        <x:v>452</x:v>
      </x:c>
      <x:c r="O218" s="6" t="n">
        <x:f>M218-K218</x:f>
        <x:v>174</x:v>
      </x:c>
      <x:c r="P218" s="18" t="n">
        <x:f>INDEX('Calendar'!$C$8:$C$907,K218+1)</x:f>
        <x:v>46648</x:v>
      </x:c>
      <x:c r="Q218" s="18" t="n">
        <x:f>INDEX('Calendar'!$C$8:$C$907,MAX(K218+1,L218))</x:f>
        <x:v>46651</x:v>
      </x:c>
      <x:c r="R218" s="14" t="n">
        <x:v>9048</x:v>
      </x:c>
      <x:c r="S218" s="14"/>
      <x:c r="T218" s="14" t="n">
        <x:f>R218/J218</x:f>
        <x:v>3016</x:v>
      </x:c>
    </x:row>
    <x:row r="219" ht="23" customHeight="1">
      <x:c r="A219" s="1" t="str">
        <x:v>T2-L02-T</x:v>
      </x:c>
      <x:c r="B219" s="1" t="str">
        <x:v>T2</x:v>
      </x:c>
      <x:c r="C219" s="1" t="str">
        <x:v>L02</x:v>
      </x:c>
      <x:c r="D219" s="1" t="str">
        <x:v>Floor finishes and skirtings</x:v>
      </x:c>
      <x:c r="E219" s="1" t="str">
        <x:v>Finishes</x:v>
      </x:c>
      <x:c r="F219" s="15" t="n">
        <x:v>696</x:v>
      </x:c>
      <x:c r="G219" s="1" t="str">
        <x:v>m2</x:v>
      </x:c>
      <x:c r="H219" s="17" t="n">
        <x:v>130</x:v>
      </x:c>
      <x:c r="I219" s="17" t="n">
        <x:v>8</x:v>
      </x:c>
      <x:c r="J219" s="17" t="n">
        <x:f>ROUNDUP(F219/H219,0)</x:f>
        <x:v>6</x:v>
      </x:c>
      <x:c r="K219" s="1" t="n">
        <x:f>MAX(L218+14,L203+0)</x:f>
        <x:v>413</x:v>
      </x:c>
      <x:c r="L219" s="1" t="n">
        <x:f>K219+J219</x:f>
        <x:v>419</x:v>
      </x:c>
      <x:c r="M219" s="1" t="n">
        <x:f>N219-J219</x:f>
        <x:v>466</x:v>
      </x:c>
      <x:c r="N219" s="1" t="n">
        <x:f>MIN(M220-2)</x:f>
        <x:v>472</x:v>
      </x:c>
      <x:c r="O219" s="1" t="n">
        <x:f>M219-K219</x:f>
        <x:v>53</x:v>
      </x:c>
      <x:c r="P219" s="19" t="n">
        <x:f>INDEX('Calendar'!$C$8:$C$907,K219+1)</x:f>
        <x:v>46809</x:v>
      </x:c>
      <x:c r="Q219" s="19" t="n">
        <x:f>INDEX('Calendar'!$C$8:$C$907,MAX(K219+1,L219))</x:f>
        <x:v>46815</x:v>
      </x:c>
      <x:c r="R219" s="15" t="n">
        <x:v>24012</x:v>
      </x:c>
      <x:c r="S219" s="15"/>
      <x:c r="T219" s="15" t="n">
        <x:f>R219/J219</x:f>
        <x:v>4002</x:v>
      </x:c>
    </x:row>
    <x:row r="220" ht="23" customHeight="1">
      <x:c r="A220" s="6" t="str">
        <x:v>T2-L02-A</x:v>
      </x:c>
      <x:c r="B220" s="6" t="str">
        <x:v>T2</x:v>
      </x:c>
      <x:c r="C220" s="6" t="str">
        <x:v>L02</x:v>
      </x:c>
      <x:c r="D220" s="6" t="str">
        <x:v>Paint and final decorations</x:v>
      </x:c>
      <x:c r="E220" s="6" t="str">
        <x:v>Finishes</x:v>
      </x:c>
      <x:c r="F220" s="14" t="n">
        <x:v>1205.3600000000004</x:v>
      </x:c>
      <x:c r="G220" s="6" t="str">
        <x:v>m2</x:v>
      </x:c>
      <x:c r="H220" s="16" t="n">
        <x:v>270</x:v>
      </x:c>
      <x:c r="I220" s="16" t="n">
        <x:v>8</x:v>
      </x:c>
      <x:c r="J220" s="16" t="n">
        <x:f>ROUNDUP(F220/H220,0)</x:f>
        <x:v>5</x:v>
      </x:c>
      <x:c r="K220" s="6" t="n">
        <x:f>MAX(L219+2)</x:f>
        <x:v>421</x:v>
      </x:c>
      <x:c r="L220" s="6" t="n">
        <x:f>K220+J220</x:f>
        <x:v>426</x:v>
      </x:c>
      <x:c r="M220" s="6" t="n">
        <x:f>N220-J220</x:f>
        <x:v>474</x:v>
      </x:c>
      <x:c r="N220" s="6" t="n">
        <x:f>MIN(M221-0)</x:f>
        <x:v>479</x:v>
      </x:c>
      <x:c r="O220" s="6" t="n">
        <x:f>M220-K220</x:f>
        <x:v>53</x:v>
      </x:c>
      <x:c r="P220" s="18" t="n">
        <x:f>INDEX('Calendar'!$C$8:$C$907,K220+1)</x:f>
        <x:v>46819</x:v>
      </x:c>
      <x:c r="Q220" s="18" t="n">
        <x:f>INDEX('Calendar'!$C$8:$C$907,MAX(K220+1,L220))</x:f>
        <x:v>46823</x:v>
      </x:c>
      <x:c r="R220" s="14" t="n">
        <x:v>10245.560000000003</x:v>
      </x:c>
      <x:c r="S220" s="14"/>
      <x:c r="T220" s="14" t="n">
        <x:f>R220/J220</x:f>
        <x:v>2049.1120000000005</x:v>
      </x:c>
    </x:row>
    <x:row r="221" ht="23" customHeight="1">
      <x:c r="A221" s="1" t="str">
        <x:v>T2-L02-D</x:v>
      </x:c>
      <x:c r="B221" s="1" t="str">
        <x:v>T2</x:v>
      </x:c>
      <x:c r="C221" s="1" t="str">
        <x:v>L02</x:v>
      </x:c>
      <x:c r="D221" s="1" t="str">
        <x:v>Door sets and ironmongery</x:v>
      </x:c>
      <x:c r="E221" s="1" t="str">
        <x:v>Finishes</x:v>
      </x:c>
      <x:c r="F221" s="15" t="n">
        <x:v>28</x:v>
      </x:c>
      <x:c r="G221" s="1" t="str">
        <x:v>nr</x:v>
      </x:c>
      <x:c r="H221" s="17" t="n">
        <x:v>10</x:v>
      </x:c>
      <x:c r="I221" s="17" t="n">
        <x:v>4</x:v>
      </x:c>
      <x:c r="J221" s="17" t="n">
        <x:f>ROUNDUP(F221/H221,0)</x:f>
        <x:v>3</x:v>
      </x:c>
      <x:c r="K221" s="1" t="n">
        <x:f>MAX(L220+0)</x:f>
        <x:v>426</x:v>
      </x:c>
      <x:c r="L221" s="1" t="n">
        <x:f>K221+J221</x:f>
        <x:v>429</x:v>
      </x:c>
      <x:c r="M221" s="1" t="n">
        <x:f>N221-J221</x:f>
        <x:v>479</x:v>
      </x:c>
      <x:c r="N221" s="1" t="n">
        <x:f>MIN(M816-0)</x:f>
        <x:v>482</x:v>
      </x:c>
      <x:c r="O221" s="1" t="n">
        <x:f>M221-K221</x:f>
        <x:v>53</x:v>
      </x:c>
      <x:c r="P221" s="19" t="n">
        <x:f>INDEX('Calendar'!$C$8:$C$907,K221+1)</x:f>
        <x:v>46825</x:v>
      </x:c>
      <x:c r="Q221" s="19" t="n">
        <x:f>INDEX('Calendar'!$C$8:$C$907,MAX(K221+1,L221))</x:f>
        <x:v>46827</x:v>
      </x:c>
      <x:c r="R221" s="15" t="n">
        <x:v>5796</x:v>
      </x:c>
      <x:c r="S221" s="15"/>
      <x:c r="T221" s="15" t="n">
        <x:f>R221/J221</x:f>
        <x:v>1932</x:v>
      </x:c>
    </x:row>
    <x:row r="222" ht="23" customHeight="1">
      <x:c r="A222" s="6" t="str">
        <x:v>T2-L03-M</x:v>
      </x:c>
      <x:c r="B222" s="6" t="str">
        <x:v>T2</x:v>
      </x:c>
      <x:c r="C222" s="6" t="str">
        <x:v>L03</x:v>
      </x:c>
      <x:c r="D222" s="6" t="str">
        <x:v>Partition masonry</x:v>
      </x:c>
      <x:c r="E222" s="6" t="str">
        <x:v>Masonry</x:v>
      </x:c>
      <x:c r="F222" s="14" t="n">
        <x:v>90.40200000000002</x:v>
      </x:c>
      <x:c r="G222" s="6" t="str">
        <x:v>m3</x:v>
      </x:c>
      <x:c r="H222" s="16" t="n">
        <x:v>22</x:v>
      </x:c>
      <x:c r="I222" s="16" t="n">
        <x:v>10</x:v>
      </x:c>
      <x:c r="J222" s="16" t="n">
        <x:f>ROUNDUP(F222/H222,0)</x:f>
        <x:v>5</x:v>
      </x:c>
      <x:c r="K222" s="6" t="n">
        <x:f>MAX(L176+5)</x:f>
        <x:v>277</x:v>
      </x:c>
      <x:c r="L222" s="6" t="n">
        <x:f>K222+J222</x:f>
        <x:v>282</x:v>
      </x:c>
      <x:c r="M222" s="6" t="n">
        <x:f>N222-J222</x:f>
        <x:v>433</x:v>
      </x:c>
      <x:c r="N222" s="6" t="n">
        <x:f>MIN(M223-3)</x:f>
        <x:v>438</x:v>
      </x:c>
      <x:c r="O222" s="6" t="n">
        <x:f>M222-K222</x:f>
        <x:v>156</x:v>
      </x:c>
      <x:c r="P222" s="18" t="n">
        <x:f>INDEX('Calendar'!$C$8:$C$907,K222+1)</x:f>
        <x:v>46651</x:v>
      </x:c>
      <x:c r="Q222" s="18" t="n">
        <x:f>INDEX('Calendar'!$C$8:$C$907,MAX(K222+1,L222))</x:f>
        <x:v>46655</x:v>
      </x:c>
      <x:c r="R222" s="14" t="n">
        <x:v>12204.27</x:v>
      </x:c>
      <x:c r="S222" s="14"/>
      <x:c r="T222" s="14" t="n">
        <x:f>R222/J222</x:f>
        <x:v>2440.8540000000003</x:v>
      </x:c>
    </x:row>
    <x:row r="223" ht="23" customHeight="1">
      <x:c r="A223" s="1" t="str">
        <x:v>T2-L03-P</x:v>
      </x:c>
      <x:c r="B223" s="1" t="str">
        <x:v>T2</x:v>
      </x:c>
      <x:c r="C223" s="1" t="str">
        <x:v>L03</x:v>
      </x:c>
      <x:c r="D223" s="1" t="str">
        <x:v>Internal plaster</x:v>
      </x:c>
      <x:c r="E223" s="1" t="str">
        <x:v>Finishes</x:v>
      </x:c>
      <x:c r="F223" s="15" t="n">
        <x:v>1205.3600000000006</x:v>
      </x:c>
      <x:c r="G223" s="1" t="str">
        <x:v>m2</x:v>
      </x:c>
      <x:c r="H223" s="17" t="n">
        <x:v>220</x:v>
      </x:c>
      <x:c r="I223" s="17" t="n">
        <x:v>10</x:v>
      </x:c>
      <x:c r="J223" s="17" t="n">
        <x:f>ROUNDUP(F223/H223,0)</x:f>
        <x:v>6</x:v>
      </x:c>
      <x:c r="K223" s="1" t="n">
        <x:f>MAX(L222+3)</x:f>
        <x:v>285</x:v>
      </x:c>
      <x:c r="L223" s="1" t="n">
        <x:f>K223+J223</x:f>
        <x:v>291</x:v>
      </x:c>
      <x:c r="M223" s="1" t="n">
        <x:f>N223-J223</x:f>
        <x:v>441</x:v>
      </x:c>
      <x:c r="N223" s="1" t="n">
        <x:f>MIN(M224-2)</x:f>
        <x:v>447</x:v>
      </x:c>
      <x:c r="O223" s="1" t="n">
        <x:f>M223-K223</x:f>
        <x:v>156</x:v>
      </x:c>
      <x:c r="P223" s="19" t="n">
        <x:f>INDEX('Calendar'!$C$8:$C$907,K223+1)</x:f>
        <x:v>46660</x:v>
      </x:c>
      <x:c r="Q223" s="19" t="n">
        <x:f>INDEX('Calendar'!$C$8:$C$907,MAX(K223+1,L223))</x:f>
        <x:v>46666</x:v>
      </x:c>
      <x:c r="R223" s="15" t="n">
        <x:v>15067.000000000005</x:v>
      </x:c>
      <x:c r="S223" s="15"/>
      <x:c r="T223" s="15" t="n">
        <x:f>R223/J223</x:f>
        <x:v>2511.1666666666674</x:v>
      </x:c>
    </x:row>
    <x:row r="224" ht="23" customHeight="1">
      <x:c r="A224" s="6" t="str">
        <x:v>T2-L03-S</x:v>
      </x:c>
      <x:c r="B224" s="6" t="str">
        <x:v>T2</x:v>
      </x:c>
      <x:c r="C224" s="6" t="str">
        <x:v>L03</x:v>
      </x:c>
      <x:c r="D224" s="6" t="str">
        <x:v>Screed and substrate preparation</x:v>
      </x:c>
      <x:c r="E224" s="6" t="str">
        <x:v>Finishes</x:v>
      </x:c>
      <x:c r="F224" s="14" t="n">
        <x:v>696</x:v>
      </x:c>
      <x:c r="G224" s="6" t="str">
        <x:v>m2</x:v>
      </x:c>
      <x:c r="H224" s="16" t="n">
        <x:v>240</x:v>
      </x:c>
      <x:c r="I224" s="16" t="n">
        <x:v>8</x:v>
      </x:c>
      <x:c r="J224" s="16" t="n">
        <x:f>ROUNDUP(F224/H224,0)</x:f>
        <x:v>3</x:v>
      </x:c>
      <x:c r="K224" s="6" t="n">
        <x:f>MAX(L223+2)</x:f>
        <x:v>293</x:v>
      </x:c>
      <x:c r="L224" s="6" t="n">
        <x:f>K224+J224</x:f>
        <x:v>296</x:v>
      </x:c>
      <x:c r="M224" s="6" t="n">
        <x:f>N224-J224</x:f>
        <x:v>449</x:v>
      </x:c>
      <x:c r="N224" s="6" t="n">
        <x:f>MIN(M225-14)</x:f>
        <x:v>452</x:v>
      </x:c>
      <x:c r="O224" s="6" t="n">
        <x:f>M224-K224</x:f>
        <x:v>156</x:v>
      </x:c>
      <x:c r="P224" s="18" t="n">
        <x:f>INDEX('Calendar'!$C$8:$C$907,K224+1)</x:f>
        <x:v>46669</x:v>
      </x:c>
      <x:c r="Q224" s="18" t="n">
        <x:f>INDEX('Calendar'!$C$8:$C$907,MAX(K224+1,L224))</x:f>
        <x:v>46672</x:v>
      </x:c>
      <x:c r="R224" s="14" t="n">
        <x:v>9048</x:v>
      </x:c>
      <x:c r="S224" s="14"/>
      <x:c r="T224" s="14" t="n">
        <x:f>R224/J224</x:f>
        <x:v>3016</x:v>
      </x:c>
    </x:row>
    <x:row r="225" ht="23" customHeight="1">
      <x:c r="A225" s="1" t="str">
        <x:v>T2-L03-T</x:v>
      </x:c>
      <x:c r="B225" s="1" t="str">
        <x:v>T2</x:v>
      </x:c>
      <x:c r="C225" s="1" t="str">
        <x:v>L03</x:v>
      </x:c>
      <x:c r="D225" s="1" t="str">
        <x:v>Floor finishes and skirtings</x:v>
      </x:c>
      <x:c r="E225" s="1" t="str">
        <x:v>Finishes</x:v>
      </x:c>
      <x:c r="F225" s="15" t="n">
        <x:v>696</x:v>
      </x:c>
      <x:c r="G225" s="1" t="str">
        <x:v>m2</x:v>
      </x:c>
      <x:c r="H225" s="17" t="n">
        <x:v>130</x:v>
      </x:c>
      <x:c r="I225" s="17" t="n">
        <x:v>8</x:v>
      </x:c>
      <x:c r="J225" s="17" t="n">
        <x:f>ROUNDUP(F225/H225,0)</x:f>
        <x:v>6</x:v>
      </x:c>
      <x:c r="K225" s="1" t="n">
        <x:f>MAX(L224+14,L203+0)</x:f>
        <x:v>413</x:v>
      </x:c>
      <x:c r="L225" s="1" t="n">
        <x:f>K225+J225</x:f>
        <x:v>419</x:v>
      </x:c>
      <x:c r="M225" s="1" t="n">
        <x:f>N225-J225</x:f>
        <x:v>466</x:v>
      </x:c>
      <x:c r="N225" s="1" t="n">
        <x:f>MIN(M226-2)</x:f>
        <x:v>472</x:v>
      </x:c>
      <x:c r="O225" s="1" t="n">
        <x:f>M225-K225</x:f>
        <x:v>53</x:v>
      </x:c>
      <x:c r="P225" s="19" t="n">
        <x:f>INDEX('Calendar'!$C$8:$C$907,K225+1)</x:f>
        <x:v>46809</x:v>
      </x:c>
      <x:c r="Q225" s="19" t="n">
        <x:f>INDEX('Calendar'!$C$8:$C$907,MAX(K225+1,L225))</x:f>
        <x:v>46815</x:v>
      </x:c>
      <x:c r="R225" s="15" t="n">
        <x:v>24012</x:v>
      </x:c>
      <x:c r="S225" s="15"/>
      <x:c r="T225" s="15" t="n">
        <x:f>R225/J225</x:f>
        <x:v>4002</x:v>
      </x:c>
    </x:row>
    <x:row r="226" ht="23" customHeight="1">
      <x:c r="A226" s="6" t="str">
        <x:v>T2-L03-A</x:v>
      </x:c>
      <x:c r="B226" s="6" t="str">
        <x:v>T2</x:v>
      </x:c>
      <x:c r="C226" s="6" t="str">
        <x:v>L03</x:v>
      </x:c>
      <x:c r="D226" s="6" t="str">
        <x:v>Paint and final decorations</x:v>
      </x:c>
      <x:c r="E226" s="6" t="str">
        <x:v>Finishes</x:v>
      </x:c>
      <x:c r="F226" s="14" t="n">
        <x:v>1205.3600000000004</x:v>
      </x:c>
      <x:c r="G226" s="6" t="str">
        <x:v>m2</x:v>
      </x:c>
      <x:c r="H226" s="16" t="n">
        <x:v>270</x:v>
      </x:c>
      <x:c r="I226" s="16" t="n">
        <x:v>8</x:v>
      </x:c>
      <x:c r="J226" s="16" t="n">
        <x:f>ROUNDUP(F226/H226,0)</x:f>
        <x:v>5</x:v>
      </x:c>
      <x:c r="K226" s="6" t="n">
        <x:f>MAX(L225+2)</x:f>
        <x:v>421</x:v>
      </x:c>
      <x:c r="L226" s="6" t="n">
        <x:f>K226+J226</x:f>
        <x:v>426</x:v>
      </x:c>
      <x:c r="M226" s="6" t="n">
        <x:f>N226-J226</x:f>
        <x:v>474</x:v>
      </x:c>
      <x:c r="N226" s="6" t="n">
        <x:f>MIN(M227-0)</x:f>
        <x:v>479</x:v>
      </x:c>
      <x:c r="O226" s="6" t="n">
        <x:f>M226-K226</x:f>
        <x:v>53</x:v>
      </x:c>
      <x:c r="P226" s="18" t="n">
        <x:f>INDEX('Calendar'!$C$8:$C$907,K226+1)</x:f>
        <x:v>46819</x:v>
      </x:c>
      <x:c r="Q226" s="18" t="n">
        <x:f>INDEX('Calendar'!$C$8:$C$907,MAX(K226+1,L226))</x:f>
        <x:v>46823</x:v>
      </x:c>
      <x:c r="R226" s="14" t="n">
        <x:v>10245.560000000003</x:v>
      </x:c>
      <x:c r="S226" s="14"/>
      <x:c r="T226" s="14" t="n">
        <x:f>R226/J226</x:f>
        <x:v>2049.1120000000005</x:v>
      </x:c>
    </x:row>
    <x:row r="227" ht="23" customHeight="1">
      <x:c r="A227" s="1" t="str">
        <x:v>T2-L03-D</x:v>
      </x:c>
      <x:c r="B227" s="1" t="str">
        <x:v>T2</x:v>
      </x:c>
      <x:c r="C227" s="1" t="str">
        <x:v>L03</x:v>
      </x:c>
      <x:c r="D227" s="1" t="str">
        <x:v>Door sets and ironmongery</x:v>
      </x:c>
      <x:c r="E227" s="1" t="str">
        <x:v>Finishes</x:v>
      </x:c>
      <x:c r="F227" s="15" t="n">
        <x:v>28</x:v>
      </x:c>
      <x:c r="G227" s="1" t="str">
        <x:v>nr</x:v>
      </x:c>
      <x:c r="H227" s="17" t="n">
        <x:v>10</x:v>
      </x:c>
      <x:c r="I227" s="17" t="n">
        <x:v>4</x:v>
      </x:c>
      <x:c r="J227" s="17" t="n">
        <x:f>ROUNDUP(F227/H227,0)</x:f>
        <x:v>3</x:v>
      </x:c>
      <x:c r="K227" s="1" t="n">
        <x:f>MAX(L226+0)</x:f>
        <x:v>426</x:v>
      </x:c>
      <x:c r="L227" s="1" t="n">
        <x:f>K227+J227</x:f>
        <x:v>429</x:v>
      </x:c>
      <x:c r="M227" s="1" t="n">
        <x:f>N227-J227</x:f>
        <x:v>479</x:v>
      </x:c>
      <x:c r="N227" s="1" t="n">
        <x:f>MIN(M816-0)</x:f>
        <x:v>482</x:v>
      </x:c>
      <x:c r="O227" s="1" t="n">
        <x:f>M227-K227</x:f>
        <x:v>53</x:v>
      </x:c>
      <x:c r="P227" s="19" t="n">
        <x:f>INDEX('Calendar'!$C$8:$C$907,K227+1)</x:f>
        <x:v>46825</x:v>
      </x:c>
      <x:c r="Q227" s="19" t="n">
        <x:f>INDEX('Calendar'!$C$8:$C$907,MAX(K227+1,L227))</x:f>
        <x:v>46827</x:v>
      </x:c>
      <x:c r="R227" s="15" t="n">
        <x:v>5796</x:v>
      </x:c>
      <x:c r="S227" s="15"/>
      <x:c r="T227" s="15" t="n">
        <x:f>R227/J227</x:f>
        <x:v>1932</x:v>
      </x:c>
    </x:row>
    <x:row r="228" ht="23" customHeight="1">
      <x:c r="A228" s="6" t="str">
        <x:v>T2-L04-M</x:v>
      </x:c>
      <x:c r="B228" s="6" t="str">
        <x:v>T2</x:v>
      </x:c>
      <x:c r="C228" s="6" t="str">
        <x:v>L04</x:v>
      </x:c>
      <x:c r="D228" s="6" t="str">
        <x:v>Partition masonry</x:v>
      </x:c>
      <x:c r="E228" s="6" t="str">
        <x:v>Masonry</x:v>
      </x:c>
      <x:c r="F228" s="14" t="n">
        <x:v>90.40200000000002</x:v>
      </x:c>
      <x:c r="G228" s="6" t="str">
        <x:v>m3</x:v>
      </x:c>
      <x:c r="H228" s="16" t="n">
        <x:v>22</x:v>
      </x:c>
      <x:c r="I228" s="16" t="n">
        <x:v>10</x:v>
      </x:c>
      <x:c r="J228" s="16" t="n">
        <x:f>ROUNDUP(F228/H228,0)</x:f>
        <x:v>5</x:v>
      </x:c>
      <x:c r="K228" s="6" t="n">
        <x:f>MAX(L180+5)</x:f>
        <x:v>295</x:v>
      </x:c>
      <x:c r="L228" s="6" t="n">
        <x:f>K228+J228</x:f>
        <x:v>300</x:v>
      </x:c>
      <x:c r="M228" s="6" t="n">
        <x:f>N228-J228</x:f>
        <x:v>433</x:v>
      </x:c>
      <x:c r="N228" s="6" t="n">
        <x:f>MIN(M229-3)</x:f>
        <x:v>438</x:v>
      </x:c>
      <x:c r="O228" s="6" t="n">
        <x:f>M228-K228</x:f>
        <x:v>138</x:v>
      </x:c>
      <x:c r="P228" s="18" t="n">
        <x:f>INDEX('Calendar'!$C$8:$C$907,K228+1)</x:f>
        <x:v>46672</x:v>
      </x:c>
      <x:c r="Q228" s="18" t="n">
        <x:f>INDEX('Calendar'!$C$8:$C$907,MAX(K228+1,L228))</x:f>
        <x:v>46676</x:v>
      </x:c>
      <x:c r="R228" s="14" t="n">
        <x:v>12204.27</x:v>
      </x:c>
      <x:c r="S228" s="14"/>
      <x:c r="T228" s="14" t="n">
        <x:f>R228/J228</x:f>
        <x:v>2440.8540000000003</x:v>
      </x:c>
    </x:row>
    <x:row r="229" ht="23" customHeight="1">
      <x:c r="A229" s="1" t="str">
        <x:v>T2-L04-P</x:v>
      </x:c>
      <x:c r="B229" s="1" t="str">
        <x:v>T2</x:v>
      </x:c>
      <x:c r="C229" s="1" t="str">
        <x:v>L04</x:v>
      </x:c>
      <x:c r="D229" s="1" t="str">
        <x:v>Internal plaster</x:v>
      </x:c>
      <x:c r="E229" s="1" t="str">
        <x:v>Finishes</x:v>
      </x:c>
      <x:c r="F229" s="15" t="n">
        <x:v>1205.3600000000006</x:v>
      </x:c>
      <x:c r="G229" s="1" t="str">
        <x:v>m2</x:v>
      </x:c>
      <x:c r="H229" s="17" t="n">
        <x:v>220</x:v>
      </x:c>
      <x:c r="I229" s="17" t="n">
        <x:v>10</x:v>
      </x:c>
      <x:c r="J229" s="17" t="n">
        <x:f>ROUNDUP(F229/H229,0)</x:f>
        <x:v>6</x:v>
      </x:c>
      <x:c r="K229" s="1" t="n">
        <x:f>MAX(L228+3)</x:f>
        <x:v>303</x:v>
      </x:c>
      <x:c r="L229" s="1" t="n">
        <x:f>K229+J229</x:f>
        <x:v>309</x:v>
      </x:c>
      <x:c r="M229" s="1" t="n">
        <x:f>N229-J229</x:f>
        <x:v>441</x:v>
      </x:c>
      <x:c r="N229" s="1" t="n">
        <x:f>MIN(M230-2)</x:f>
        <x:v>447</x:v>
      </x:c>
      <x:c r="O229" s="1" t="n">
        <x:f>M229-K229</x:f>
        <x:v>138</x:v>
      </x:c>
      <x:c r="P229" s="19" t="n">
        <x:f>INDEX('Calendar'!$C$8:$C$907,K229+1)</x:f>
        <x:v>46681</x:v>
      </x:c>
      <x:c r="Q229" s="19" t="n">
        <x:f>INDEX('Calendar'!$C$8:$C$907,MAX(K229+1,L229))</x:f>
        <x:v>46687</x:v>
      </x:c>
      <x:c r="R229" s="15" t="n">
        <x:v>15067.000000000005</x:v>
      </x:c>
      <x:c r="S229" s="15"/>
      <x:c r="T229" s="15" t="n">
        <x:f>R229/J229</x:f>
        <x:v>2511.1666666666674</x:v>
      </x:c>
    </x:row>
    <x:row r="230" ht="23" customHeight="1">
      <x:c r="A230" s="6" t="str">
        <x:v>T2-L04-S</x:v>
      </x:c>
      <x:c r="B230" s="6" t="str">
        <x:v>T2</x:v>
      </x:c>
      <x:c r="C230" s="6" t="str">
        <x:v>L04</x:v>
      </x:c>
      <x:c r="D230" s="6" t="str">
        <x:v>Screed and substrate preparation</x:v>
      </x:c>
      <x:c r="E230" s="6" t="str">
        <x:v>Finishes</x:v>
      </x:c>
      <x:c r="F230" s="14" t="n">
        <x:v>696</x:v>
      </x:c>
      <x:c r="G230" s="6" t="str">
        <x:v>m2</x:v>
      </x:c>
      <x:c r="H230" s="16" t="n">
        <x:v>240</x:v>
      </x:c>
      <x:c r="I230" s="16" t="n">
        <x:v>8</x:v>
      </x:c>
      <x:c r="J230" s="16" t="n">
        <x:f>ROUNDUP(F230/H230,0)</x:f>
        <x:v>3</x:v>
      </x:c>
      <x:c r="K230" s="6" t="n">
        <x:f>MAX(L229+2)</x:f>
        <x:v>311</x:v>
      </x:c>
      <x:c r="L230" s="6" t="n">
        <x:f>K230+J230</x:f>
        <x:v>314</x:v>
      </x:c>
      <x:c r="M230" s="6" t="n">
        <x:f>N230-J230</x:f>
        <x:v>449</x:v>
      </x:c>
      <x:c r="N230" s="6" t="n">
        <x:f>MIN(M231-14)</x:f>
        <x:v>452</x:v>
      </x:c>
      <x:c r="O230" s="6" t="n">
        <x:f>M230-K230</x:f>
        <x:v>138</x:v>
      </x:c>
      <x:c r="P230" s="18" t="n">
        <x:f>INDEX('Calendar'!$C$8:$C$907,K230+1)</x:f>
        <x:v>46690</x:v>
      </x:c>
      <x:c r="Q230" s="18" t="n">
        <x:f>INDEX('Calendar'!$C$8:$C$907,MAX(K230+1,L230))</x:f>
        <x:v>46693</x:v>
      </x:c>
      <x:c r="R230" s="14" t="n">
        <x:v>9048</x:v>
      </x:c>
      <x:c r="S230" s="14"/>
      <x:c r="T230" s="14" t="n">
        <x:f>R230/J230</x:f>
        <x:v>3016</x:v>
      </x:c>
    </x:row>
    <x:row r="231" ht="23" customHeight="1">
      <x:c r="A231" s="1" t="str">
        <x:v>T2-L04-T</x:v>
      </x:c>
      <x:c r="B231" s="1" t="str">
        <x:v>T2</x:v>
      </x:c>
      <x:c r="C231" s="1" t="str">
        <x:v>L04</x:v>
      </x:c>
      <x:c r="D231" s="1" t="str">
        <x:v>Floor finishes and skirtings</x:v>
      </x:c>
      <x:c r="E231" s="1" t="str">
        <x:v>Finishes</x:v>
      </x:c>
      <x:c r="F231" s="15" t="n">
        <x:v>696</x:v>
      </x:c>
      <x:c r="G231" s="1" t="str">
        <x:v>m2</x:v>
      </x:c>
      <x:c r="H231" s="17" t="n">
        <x:v>130</x:v>
      </x:c>
      <x:c r="I231" s="17" t="n">
        <x:v>8</x:v>
      </x:c>
      <x:c r="J231" s="17" t="n">
        <x:f>ROUNDUP(F231/H231,0)</x:f>
        <x:v>6</x:v>
      </x:c>
      <x:c r="K231" s="1" t="n">
        <x:f>MAX(L230+14,L203+0)</x:f>
        <x:v>413</x:v>
      </x:c>
      <x:c r="L231" s="1" t="n">
        <x:f>K231+J231</x:f>
        <x:v>419</x:v>
      </x:c>
      <x:c r="M231" s="1" t="n">
        <x:f>N231-J231</x:f>
        <x:v>466</x:v>
      </x:c>
      <x:c r="N231" s="1" t="n">
        <x:f>MIN(M232-2)</x:f>
        <x:v>472</x:v>
      </x:c>
      <x:c r="O231" s="1" t="n">
        <x:f>M231-K231</x:f>
        <x:v>53</x:v>
      </x:c>
      <x:c r="P231" s="19" t="n">
        <x:f>INDEX('Calendar'!$C$8:$C$907,K231+1)</x:f>
        <x:v>46809</x:v>
      </x:c>
      <x:c r="Q231" s="19" t="n">
        <x:f>INDEX('Calendar'!$C$8:$C$907,MAX(K231+1,L231))</x:f>
        <x:v>46815</x:v>
      </x:c>
      <x:c r="R231" s="15" t="n">
        <x:v>24012</x:v>
      </x:c>
      <x:c r="S231" s="15"/>
      <x:c r="T231" s="15" t="n">
        <x:f>R231/J231</x:f>
        <x:v>4002</x:v>
      </x:c>
    </x:row>
    <x:row r="232" ht="23" customHeight="1">
      <x:c r="A232" s="6" t="str">
        <x:v>T2-L04-A</x:v>
      </x:c>
      <x:c r="B232" s="6" t="str">
        <x:v>T2</x:v>
      </x:c>
      <x:c r="C232" s="6" t="str">
        <x:v>L04</x:v>
      </x:c>
      <x:c r="D232" s="6" t="str">
        <x:v>Paint and final decorations</x:v>
      </x:c>
      <x:c r="E232" s="6" t="str">
        <x:v>Finishes</x:v>
      </x:c>
      <x:c r="F232" s="14" t="n">
        <x:v>1205.3600000000004</x:v>
      </x:c>
      <x:c r="G232" s="6" t="str">
        <x:v>m2</x:v>
      </x:c>
      <x:c r="H232" s="16" t="n">
        <x:v>270</x:v>
      </x:c>
      <x:c r="I232" s="16" t="n">
        <x:v>8</x:v>
      </x:c>
      <x:c r="J232" s="16" t="n">
        <x:f>ROUNDUP(F232/H232,0)</x:f>
        <x:v>5</x:v>
      </x:c>
      <x:c r="K232" s="6" t="n">
        <x:f>MAX(L231+2)</x:f>
        <x:v>421</x:v>
      </x:c>
      <x:c r="L232" s="6" t="n">
        <x:f>K232+J232</x:f>
        <x:v>426</x:v>
      </x:c>
      <x:c r="M232" s="6" t="n">
        <x:f>N232-J232</x:f>
        <x:v>474</x:v>
      </x:c>
      <x:c r="N232" s="6" t="n">
        <x:f>MIN(M233-0)</x:f>
        <x:v>479</x:v>
      </x:c>
      <x:c r="O232" s="6" t="n">
        <x:f>M232-K232</x:f>
        <x:v>53</x:v>
      </x:c>
      <x:c r="P232" s="18" t="n">
        <x:f>INDEX('Calendar'!$C$8:$C$907,K232+1)</x:f>
        <x:v>46819</x:v>
      </x:c>
      <x:c r="Q232" s="18" t="n">
        <x:f>INDEX('Calendar'!$C$8:$C$907,MAX(K232+1,L232))</x:f>
        <x:v>46823</x:v>
      </x:c>
      <x:c r="R232" s="14" t="n">
        <x:v>10245.560000000003</x:v>
      </x:c>
      <x:c r="S232" s="14"/>
      <x:c r="T232" s="14" t="n">
        <x:f>R232/J232</x:f>
        <x:v>2049.1120000000005</x:v>
      </x:c>
    </x:row>
    <x:row r="233" ht="23" customHeight="1">
      <x:c r="A233" s="1" t="str">
        <x:v>T2-L04-D</x:v>
      </x:c>
      <x:c r="B233" s="1" t="str">
        <x:v>T2</x:v>
      </x:c>
      <x:c r="C233" s="1" t="str">
        <x:v>L04</x:v>
      </x:c>
      <x:c r="D233" s="1" t="str">
        <x:v>Door sets and ironmongery</x:v>
      </x:c>
      <x:c r="E233" s="1" t="str">
        <x:v>Finishes</x:v>
      </x:c>
      <x:c r="F233" s="15" t="n">
        <x:v>28</x:v>
      </x:c>
      <x:c r="G233" s="1" t="str">
        <x:v>nr</x:v>
      </x:c>
      <x:c r="H233" s="17" t="n">
        <x:v>10</x:v>
      </x:c>
      <x:c r="I233" s="17" t="n">
        <x:v>4</x:v>
      </x:c>
      <x:c r="J233" s="17" t="n">
        <x:f>ROUNDUP(F233/H233,0)</x:f>
        <x:v>3</x:v>
      </x:c>
      <x:c r="K233" s="1" t="n">
        <x:f>MAX(L232+0)</x:f>
        <x:v>426</x:v>
      </x:c>
      <x:c r="L233" s="1" t="n">
        <x:f>K233+J233</x:f>
        <x:v>429</x:v>
      </x:c>
      <x:c r="M233" s="1" t="n">
        <x:f>N233-J233</x:f>
        <x:v>479</x:v>
      </x:c>
      <x:c r="N233" s="1" t="n">
        <x:f>MIN(M816-0)</x:f>
        <x:v>482</x:v>
      </x:c>
      <x:c r="O233" s="1" t="n">
        <x:f>M233-K233</x:f>
        <x:v>53</x:v>
      </x:c>
      <x:c r="P233" s="19" t="n">
        <x:f>INDEX('Calendar'!$C$8:$C$907,K233+1)</x:f>
        <x:v>46825</x:v>
      </x:c>
      <x:c r="Q233" s="19" t="n">
        <x:f>INDEX('Calendar'!$C$8:$C$907,MAX(K233+1,L233))</x:f>
        <x:v>46827</x:v>
      </x:c>
      <x:c r="R233" s="15" t="n">
        <x:v>5796</x:v>
      </x:c>
      <x:c r="S233" s="15"/>
      <x:c r="T233" s="15" t="n">
        <x:f>R233/J233</x:f>
        <x:v>1932</x:v>
      </x:c>
    </x:row>
    <x:row r="234" ht="23" customHeight="1">
      <x:c r="A234" s="6" t="str">
        <x:v>T2-L05-M</x:v>
      </x:c>
      <x:c r="B234" s="6" t="str">
        <x:v>T2</x:v>
      </x:c>
      <x:c r="C234" s="6" t="str">
        <x:v>L05</x:v>
      </x:c>
      <x:c r="D234" s="6" t="str">
        <x:v>Partition masonry</x:v>
      </x:c>
      <x:c r="E234" s="6" t="str">
        <x:v>Masonry</x:v>
      </x:c>
      <x:c r="F234" s="14" t="n">
        <x:v>90.40200000000002</x:v>
      </x:c>
      <x:c r="G234" s="6" t="str">
        <x:v>m3</x:v>
      </x:c>
      <x:c r="H234" s="16" t="n">
        <x:v>22</x:v>
      </x:c>
      <x:c r="I234" s="16" t="n">
        <x:v>10</x:v>
      </x:c>
      <x:c r="J234" s="16" t="n">
        <x:f>ROUNDUP(F234/H234,0)</x:f>
        <x:v>5</x:v>
      </x:c>
      <x:c r="K234" s="6" t="n">
        <x:f>MAX(L184+5)</x:f>
        <x:v>313</x:v>
      </x:c>
      <x:c r="L234" s="6" t="n">
        <x:f>K234+J234</x:f>
        <x:v>318</x:v>
      </x:c>
      <x:c r="M234" s="6" t="n">
        <x:f>N234-J234</x:f>
        <x:v>433</x:v>
      </x:c>
      <x:c r="N234" s="6" t="n">
        <x:f>MIN(M235-3)</x:f>
        <x:v>438</x:v>
      </x:c>
      <x:c r="O234" s="6" t="n">
        <x:f>M234-K234</x:f>
        <x:v>120</x:v>
      </x:c>
      <x:c r="P234" s="18" t="n">
        <x:f>INDEX('Calendar'!$C$8:$C$907,K234+1)</x:f>
        <x:v>46693</x:v>
      </x:c>
      <x:c r="Q234" s="18" t="n">
        <x:f>INDEX('Calendar'!$C$8:$C$907,MAX(K234+1,L234))</x:f>
        <x:v>46697</x:v>
      </x:c>
      <x:c r="R234" s="14" t="n">
        <x:v>12204.27</x:v>
      </x:c>
      <x:c r="S234" s="14"/>
      <x:c r="T234" s="14" t="n">
        <x:f>R234/J234</x:f>
        <x:v>2440.8540000000003</x:v>
      </x:c>
    </x:row>
    <x:row r="235" ht="23" customHeight="1">
      <x:c r="A235" s="1" t="str">
        <x:v>T2-L05-P</x:v>
      </x:c>
      <x:c r="B235" s="1" t="str">
        <x:v>T2</x:v>
      </x:c>
      <x:c r="C235" s="1" t="str">
        <x:v>L05</x:v>
      </x:c>
      <x:c r="D235" s="1" t="str">
        <x:v>Internal plaster</x:v>
      </x:c>
      <x:c r="E235" s="1" t="str">
        <x:v>Finishes</x:v>
      </x:c>
      <x:c r="F235" s="15" t="n">
        <x:v>1205.3600000000006</x:v>
      </x:c>
      <x:c r="G235" s="1" t="str">
        <x:v>m2</x:v>
      </x:c>
      <x:c r="H235" s="17" t="n">
        <x:v>220</x:v>
      </x:c>
      <x:c r="I235" s="17" t="n">
        <x:v>10</x:v>
      </x:c>
      <x:c r="J235" s="17" t="n">
        <x:f>ROUNDUP(F235/H235,0)</x:f>
        <x:v>6</x:v>
      </x:c>
      <x:c r="K235" s="1" t="n">
        <x:f>MAX(L234+3)</x:f>
        <x:v>321</x:v>
      </x:c>
      <x:c r="L235" s="1" t="n">
        <x:f>K235+J235</x:f>
        <x:v>327</x:v>
      </x:c>
      <x:c r="M235" s="1" t="n">
        <x:f>N235-J235</x:f>
        <x:v>441</x:v>
      </x:c>
      <x:c r="N235" s="1" t="n">
        <x:f>MIN(M236-2)</x:f>
        <x:v>447</x:v>
      </x:c>
      <x:c r="O235" s="1" t="n">
        <x:f>M235-K235</x:f>
        <x:v>120</x:v>
      </x:c>
      <x:c r="P235" s="19" t="n">
        <x:f>INDEX('Calendar'!$C$8:$C$907,K235+1)</x:f>
        <x:v>46702</x:v>
      </x:c>
      <x:c r="Q235" s="19" t="n">
        <x:f>INDEX('Calendar'!$C$8:$C$907,MAX(K235+1,L235))</x:f>
        <x:v>46708</x:v>
      </x:c>
      <x:c r="R235" s="15" t="n">
        <x:v>15067.000000000005</x:v>
      </x:c>
      <x:c r="S235" s="15"/>
      <x:c r="T235" s="15" t="n">
        <x:f>R235/J235</x:f>
        <x:v>2511.1666666666674</x:v>
      </x:c>
    </x:row>
    <x:row r="236" ht="23" customHeight="1">
      <x:c r="A236" s="6" t="str">
        <x:v>T2-L05-S</x:v>
      </x:c>
      <x:c r="B236" s="6" t="str">
        <x:v>T2</x:v>
      </x:c>
      <x:c r="C236" s="6" t="str">
        <x:v>L05</x:v>
      </x:c>
      <x:c r="D236" s="6" t="str">
        <x:v>Screed and substrate preparation</x:v>
      </x:c>
      <x:c r="E236" s="6" t="str">
        <x:v>Finishes</x:v>
      </x:c>
      <x:c r="F236" s="14" t="n">
        <x:v>696</x:v>
      </x:c>
      <x:c r="G236" s="6" t="str">
        <x:v>m2</x:v>
      </x:c>
      <x:c r="H236" s="16" t="n">
        <x:v>240</x:v>
      </x:c>
      <x:c r="I236" s="16" t="n">
        <x:v>8</x:v>
      </x:c>
      <x:c r="J236" s="16" t="n">
        <x:f>ROUNDUP(F236/H236,0)</x:f>
        <x:v>3</x:v>
      </x:c>
      <x:c r="K236" s="6" t="n">
        <x:f>MAX(L235+2)</x:f>
        <x:v>329</x:v>
      </x:c>
      <x:c r="L236" s="6" t="n">
        <x:f>K236+J236</x:f>
        <x:v>332</x:v>
      </x:c>
      <x:c r="M236" s="6" t="n">
        <x:f>N236-J236</x:f>
        <x:v>449</x:v>
      </x:c>
      <x:c r="N236" s="6" t="n">
        <x:f>MIN(M237-14)</x:f>
        <x:v>452</x:v>
      </x:c>
      <x:c r="O236" s="6" t="n">
        <x:f>M236-K236</x:f>
        <x:v>120</x:v>
      </x:c>
      <x:c r="P236" s="18" t="n">
        <x:f>INDEX('Calendar'!$C$8:$C$907,K236+1)</x:f>
        <x:v>46711</x:v>
      </x:c>
      <x:c r="Q236" s="18" t="n">
        <x:f>INDEX('Calendar'!$C$8:$C$907,MAX(K236+1,L236))</x:f>
        <x:v>46714</x:v>
      </x:c>
      <x:c r="R236" s="14" t="n">
        <x:v>9048</x:v>
      </x:c>
      <x:c r="S236" s="14"/>
      <x:c r="T236" s="14" t="n">
        <x:f>R236/J236</x:f>
        <x:v>3016</x:v>
      </x:c>
    </x:row>
    <x:row r="237" ht="23" customHeight="1">
      <x:c r="A237" s="1" t="str">
        <x:v>T2-L05-T</x:v>
      </x:c>
      <x:c r="B237" s="1" t="str">
        <x:v>T2</x:v>
      </x:c>
      <x:c r="C237" s="1" t="str">
        <x:v>L05</x:v>
      </x:c>
      <x:c r="D237" s="1" t="str">
        <x:v>Floor finishes and skirtings</x:v>
      </x:c>
      <x:c r="E237" s="1" t="str">
        <x:v>Finishes</x:v>
      </x:c>
      <x:c r="F237" s="15" t="n">
        <x:v>696</x:v>
      </x:c>
      <x:c r="G237" s="1" t="str">
        <x:v>m2</x:v>
      </x:c>
      <x:c r="H237" s="17" t="n">
        <x:v>130</x:v>
      </x:c>
      <x:c r="I237" s="17" t="n">
        <x:v>8</x:v>
      </x:c>
      <x:c r="J237" s="17" t="n">
        <x:f>ROUNDUP(F237/H237,0)</x:f>
        <x:v>6</x:v>
      </x:c>
      <x:c r="K237" s="1" t="n">
        <x:f>MAX(L236+14,L203+0)</x:f>
        <x:v>413</x:v>
      </x:c>
      <x:c r="L237" s="1" t="n">
        <x:f>K237+J237</x:f>
        <x:v>419</x:v>
      </x:c>
      <x:c r="M237" s="1" t="n">
        <x:f>N237-J237</x:f>
        <x:v>466</x:v>
      </x:c>
      <x:c r="N237" s="1" t="n">
        <x:f>MIN(M238-2)</x:f>
        <x:v>472</x:v>
      </x:c>
      <x:c r="O237" s="1" t="n">
        <x:f>M237-K237</x:f>
        <x:v>53</x:v>
      </x:c>
      <x:c r="P237" s="19" t="n">
        <x:f>INDEX('Calendar'!$C$8:$C$907,K237+1)</x:f>
        <x:v>46809</x:v>
      </x:c>
      <x:c r="Q237" s="19" t="n">
        <x:f>INDEX('Calendar'!$C$8:$C$907,MAX(K237+1,L237))</x:f>
        <x:v>46815</x:v>
      </x:c>
      <x:c r="R237" s="15" t="n">
        <x:v>24012</x:v>
      </x:c>
      <x:c r="S237" s="15"/>
      <x:c r="T237" s="15" t="n">
        <x:f>R237/J237</x:f>
        <x:v>4002</x:v>
      </x:c>
    </x:row>
    <x:row r="238" ht="23" customHeight="1">
      <x:c r="A238" s="6" t="str">
        <x:v>T2-L05-A</x:v>
      </x:c>
      <x:c r="B238" s="6" t="str">
        <x:v>T2</x:v>
      </x:c>
      <x:c r="C238" s="6" t="str">
        <x:v>L05</x:v>
      </x:c>
      <x:c r="D238" s="6" t="str">
        <x:v>Paint and final decorations</x:v>
      </x:c>
      <x:c r="E238" s="6" t="str">
        <x:v>Finishes</x:v>
      </x:c>
      <x:c r="F238" s="14" t="n">
        <x:v>1205.3600000000004</x:v>
      </x:c>
      <x:c r="G238" s="6" t="str">
        <x:v>m2</x:v>
      </x:c>
      <x:c r="H238" s="16" t="n">
        <x:v>270</x:v>
      </x:c>
      <x:c r="I238" s="16" t="n">
        <x:v>8</x:v>
      </x:c>
      <x:c r="J238" s="16" t="n">
        <x:f>ROUNDUP(F238/H238,0)</x:f>
        <x:v>5</x:v>
      </x:c>
      <x:c r="K238" s="6" t="n">
        <x:f>MAX(L237+2)</x:f>
        <x:v>421</x:v>
      </x:c>
      <x:c r="L238" s="6" t="n">
        <x:f>K238+J238</x:f>
        <x:v>426</x:v>
      </x:c>
      <x:c r="M238" s="6" t="n">
        <x:f>N238-J238</x:f>
        <x:v>474</x:v>
      </x:c>
      <x:c r="N238" s="6" t="n">
        <x:f>MIN(M239-0)</x:f>
        <x:v>479</x:v>
      </x:c>
      <x:c r="O238" s="6" t="n">
        <x:f>M238-K238</x:f>
        <x:v>53</x:v>
      </x:c>
      <x:c r="P238" s="18" t="n">
        <x:f>INDEX('Calendar'!$C$8:$C$907,K238+1)</x:f>
        <x:v>46819</x:v>
      </x:c>
      <x:c r="Q238" s="18" t="n">
        <x:f>INDEX('Calendar'!$C$8:$C$907,MAX(K238+1,L238))</x:f>
        <x:v>46823</x:v>
      </x:c>
      <x:c r="R238" s="14" t="n">
        <x:v>10245.560000000003</x:v>
      </x:c>
      <x:c r="S238" s="14"/>
      <x:c r="T238" s="14" t="n">
        <x:f>R238/J238</x:f>
        <x:v>2049.1120000000005</x:v>
      </x:c>
    </x:row>
    <x:row r="239" ht="23" customHeight="1">
      <x:c r="A239" s="1" t="str">
        <x:v>T2-L05-D</x:v>
      </x:c>
      <x:c r="B239" s="1" t="str">
        <x:v>T2</x:v>
      </x:c>
      <x:c r="C239" s="1" t="str">
        <x:v>L05</x:v>
      </x:c>
      <x:c r="D239" s="1" t="str">
        <x:v>Door sets and ironmongery</x:v>
      </x:c>
      <x:c r="E239" s="1" t="str">
        <x:v>Finishes</x:v>
      </x:c>
      <x:c r="F239" s="15" t="n">
        <x:v>28</x:v>
      </x:c>
      <x:c r="G239" s="1" t="str">
        <x:v>nr</x:v>
      </x:c>
      <x:c r="H239" s="17" t="n">
        <x:v>10</x:v>
      </x:c>
      <x:c r="I239" s="17" t="n">
        <x:v>4</x:v>
      </x:c>
      <x:c r="J239" s="17" t="n">
        <x:f>ROUNDUP(F239/H239,0)</x:f>
        <x:v>3</x:v>
      </x:c>
      <x:c r="K239" s="1" t="n">
        <x:f>MAX(L238+0)</x:f>
        <x:v>426</x:v>
      </x:c>
      <x:c r="L239" s="1" t="n">
        <x:f>K239+J239</x:f>
        <x:v>429</x:v>
      </x:c>
      <x:c r="M239" s="1" t="n">
        <x:f>N239-J239</x:f>
        <x:v>479</x:v>
      </x:c>
      <x:c r="N239" s="1" t="n">
        <x:f>MIN(M816-0)</x:f>
        <x:v>482</x:v>
      </x:c>
      <x:c r="O239" s="1" t="n">
        <x:f>M239-K239</x:f>
        <x:v>53</x:v>
      </x:c>
      <x:c r="P239" s="19" t="n">
        <x:f>INDEX('Calendar'!$C$8:$C$907,K239+1)</x:f>
        <x:v>46825</x:v>
      </x:c>
      <x:c r="Q239" s="19" t="n">
        <x:f>INDEX('Calendar'!$C$8:$C$907,MAX(K239+1,L239))</x:f>
        <x:v>46827</x:v>
      </x:c>
      <x:c r="R239" s="15" t="n">
        <x:v>5796</x:v>
      </x:c>
      <x:c r="S239" s="15"/>
      <x:c r="T239" s="15" t="n">
        <x:f>R239/J239</x:f>
        <x:v>1932</x:v>
      </x:c>
    </x:row>
    <x:row r="240" ht="23" customHeight="1">
      <x:c r="A240" s="6" t="str">
        <x:v>T2-L06-M</x:v>
      </x:c>
      <x:c r="B240" s="6" t="str">
        <x:v>T2</x:v>
      </x:c>
      <x:c r="C240" s="6" t="str">
        <x:v>L06</x:v>
      </x:c>
      <x:c r="D240" s="6" t="str">
        <x:v>Partition masonry</x:v>
      </x:c>
      <x:c r="E240" s="6" t="str">
        <x:v>Masonry</x:v>
      </x:c>
      <x:c r="F240" s="14" t="n">
        <x:v>90.40200000000002</x:v>
      </x:c>
      <x:c r="G240" s="6" t="str">
        <x:v>m3</x:v>
      </x:c>
      <x:c r="H240" s="16" t="n">
        <x:v>22</x:v>
      </x:c>
      <x:c r="I240" s="16" t="n">
        <x:v>10</x:v>
      </x:c>
      <x:c r="J240" s="16" t="n">
        <x:f>ROUNDUP(F240/H240,0)</x:f>
        <x:v>5</x:v>
      </x:c>
      <x:c r="K240" s="6" t="n">
        <x:f>MAX(L188+5)</x:f>
        <x:v>331</x:v>
      </x:c>
      <x:c r="L240" s="6" t="n">
        <x:f>K240+J240</x:f>
        <x:v>336</x:v>
      </x:c>
      <x:c r="M240" s="6" t="n">
        <x:f>N240-J240</x:f>
        <x:v>433</x:v>
      </x:c>
      <x:c r="N240" s="6" t="n">
        <x:f>MIN(M241-3)</x:f>
        <x:v>438</x:v>
      </x:c>
      <x:c r="O240" s="6" t="n">
        <x:f>M240-K240</x:f>
        <x:v>102</x:v>
      </x:c>
      <x:c r="P240" s="18" t="n">
        <x:f>INDEX('Calendar'!$C$8:$C$907,K240+1)</x:f>
        <x:v>46714</x:v>
      </x:c>
      <x:c r="Q240" s="18" t="n">
        <x:f>INDEX('Calendar'!$C$8:$C$907,MAX(K240+1,L240))</x:f>
        <x:v>46718</x:v>
      </x:c>
      <x:c r="R240" s="14" t="n">
        <x:v>12204.27</x:v>
      </x:c>
      <x:c r="S240" s="14"/>
      <x:c r="T240" s="14" t="n">
        <x:f>R240/J240</x:f>
        <x:v>2440.8540000000003</x:v>
      </x:c>
    </x:row>
    <x:row r="241" ht="23" customHeight="1">
      <x:c r="A241" s="1" t="str">
        <x:v>T2-L06-P</x:v>
      </x:c>
      <x:c r="B241" s="1" t="str">
        <x:v>T2</x:v>
      </x:c>
      <x:c r="C241" s="1" t="str">
        <x:v>L06</x:v>
      </x:c>
      <x:c r="D241" s="1" t="str">
        <x:v>Internal plaster</x:v>
      </x:c>
      <x:c r="E241" s="1" t="str">
        <x:v>Finishes</x:v>
      </x:c>
      <x:c r="F241" s="15" t="n">
        <x:v>1205.3600000000006</x:v>
      </x:c>
      <x:c r="G241" s="1" t="str">
        <x:v>m2</x:v>
      </x:c>
      <x:c r="H241" s="17" t="n">
        <x:v>220</x:v>
      </x:c>
      <x:c r="I241" s="17" t="n">
        <x:v>10</x:v>
      </x:c>
      <x:c r="J241" s="17" t="n">
        <x:f>ROUNDUP(F241/H241,0)</x:f>
        <x:v>6</x:v>
      </x:c>
      <x:c r="K241" s="1" t="n">
        <x:f>MAX(L240+3)</x:f>
        <x:v>339</x:v>
      </x:c>
      <x:c r="L241" s="1" t="n">
        <x:f>K241+J241</x:f>
        <x:v>345</x:v>
      </x:c>
      <x:c r="M241" s="1" t="n">
        <x:f>N241-J241</x:f>
        <x:v>441</x:v>
      </x:c>
      <x:c r="N241" s="1" t="n">
        <x:f>MIN(M242-2)</x:f>
        <x:v>447</x:v>
      </x:c>
      <x:c r="O241" s="1" t="n">
        <x:f>M241-K241</x:f>
        <x:v>102</x:v>
      </x:c>
      <x:c r="P241" s="19" t="n">
        <x:f>INDEX('Calendar'!$C$8:$C$907,K241+1)</x:f>
        <x:v>46723</x:v>
      </x:c>
      <x:c r="Q241" s="19" t="n">
        <x:f>INDEX('Calendar'!$C$8:$C$907,MAX(K241+1,L241))</x:f>
        <x:v>46729</x:v>
      </x:c>
      <x:c r="R241" s="15" t="n">
        <x:v>15067.000000000005</x:v>
      </x:c>
      <x:c r="S241" s="15"/>
      <x:c r="T241" s="15" t="n">
        <x:f>R241/J241</x:f>
        <x:v>2511.1666666666674</x:v>
      </x:c>
    </x:row>
    <x:row r="242" ht="23" customHeight="1">
      <x:c r="A242" s="6" t="str">
        <x:v>T2-L06-S</x:v>
      </x:c>
      <x:c r="B242" s="6" t="str">
        <x:v>T2</x:v>
      </x:c>
      <x:c r="C242" s="6" t="str">
        <x:v>L06</x:v>
      </x:c>
      <x:c r="D242" s="6" t="str">
        <x:v>Screed and substrate preparation</x:v>
      </x:c>
      <x:c r="E242" s="6" t="str">
        <x:v>Finishes</x:v>
      </x:c>
      <x:c r="F242" s="14" t="n">
        <x:v>696</x:v>
      </x:c>
      <x:c r="G242" s="6" t="str">
        <x:v>m2</x:v>
      </x:c>
      <x:c r="H242" s="16" t="n">
        <x:v>240</x:v>
      </x:c>
      <x:c r="I242" s="16" t="n">
        <x:v>8</x:v>
      </x:c>
      <x:c r="J242" s="16" t="n">
        <x:f>ROUNDUP(F242/H242,0)</x:f>
        <x:v>3</x:v>
      </x:c>
      <x:c r="K242" s="6" t="n">
        <x:f>MAX(L241+2)</x:f>
        <x:v>347</x:v>
      </x:c>
      <x:c r="L242" s="6" t="n">
        <x:f>K242+J242</x:f>
        <x:v>350</x:v>
      </x:c>
      <x:c r="M242" s="6" t="n">
        <x:f>N242-J242</x:f>
        <x:v>449</x:v>
      </x:c>
      <x:c r="N242" s="6" t="n">
        <x:f>MIN(M243-14)</x:f>
        <x:v>452</x:v>
      </x:c>
      <x:c r="O242" s="6" t="n">
        <x:f>M242-K242</x:f>
        <x:v>102</x:v>
      </x:c>
      <x:c r="P242" s="18" t="n">
        <x:f>INDEX('Calendar'!$C$8:$C$907,K242+1)</x:f>
        <x:v>46732</x:v>
      </x:c>
      <x:c r="Q242" s="18" t="n">
        <x:f>INDEX('Calendar'!$C$8:$C$907,MAX(K242+1,L242))</x:f>
        <x:v>46735</x:v>
      </x:c>
      <x:c r="R242" s="14" t="n">
        <x:v>9048</x:v>
      </x:c>
      <x:c r="S242" s="14"/>
      <x:c r="T242" s="14" t="n">
        <x:f>R242/J242</x:f>
        <x:v>3016</x:v>
      </x:c>
    </x:row>
    <x:row r="243" ht="23" customHeight="1">
      <x:c r="A243" s="1" t="str">
        <x:v>T2-L06-T</x:v>
      </x:c>
      <x:c r="B243" s="1" t="str">
        <x:v>T2</x:v>
      </x:c>
      <x:c r="C243" s="1" t="str">
        <x:v>L06</x:v>
      </x:c>
      <x:c r="D243" s="1" t="str">
        <x:v>Floor finishes and skirtings</x:v>
      </x:c>
      <x:c r="E243" s="1" t="str">
        <x:v>Finishes</x:v>
      </x:c>
      <x:c r="F243" s="15" t="n">
        <x:v>696</x:v>
      </x:c>
      <x:c r="G243" s="1" t="str">
        <x:v>m2</x:v>
      </x:c>
      <x:c r="H243" s="17" t="n">
        <x:v>130</x:v>
      </x:c>
      <x:c r="I243" s="17" t="n">
        <x:v>8</x:v>
      </x:c>
      <x:c r="J243" s="17" t="n">
        <x:f>ROUNDUP(F243/H243,0)</x:f>
        <x:v>6</x:v>
      </x:c>
      <x:c r="K243" s="1" t="n">
        <x:f>MAX(L242+14,L203+0)</x:f>
        <x:v>413</x:v>
      </x:c>
      <x:c r="L243" s="1" t="n">
        <x:f>K243+J243</x:f>
        <x:v>419</x:v>
      </x:c>
      <x:c r="M243" s="1" t="n">
        <x:f>N243-J243</x:f>
        <x:v>466</x:v>
      </x:c>
      <x:c r="N243" s="1" t="n">
        <x:f>MIN(M244-2)</x:f>
        <x:v>472</x:v>
      </x:c>
      <x:c r="O243" s="1" t="n">
        <x:f>M243-K243</x:f>
        <x:v>53</x:v>
      </x:c>
      <x:c r="P243" s="19" t="n">
        <x:f>INDEX('Calendar'!$C$8:$C$907,K243+1)</x:f>
        <x:v>46809</x:v>
      </x:c>
      <x:c r="Q243" s="19" t="n">
        <x:f>INDEX('Calendar'!$C$8:$C$907,MAX(K243+1,L243))</x:f>
        <x:v>46815</x:v>
      </x:c>
      <x:c r="R243" s="15" t="n">
        <x:v>24012</x:v>
      </x:c>
      <x:c r="S243" s="15"/>
      <x:c r="T243" s="15" t="n">
        <x:f>R243/J243</x:f>
        <x:v>4002</x:v>
      </x:c>
    </x:row>
    <x:row r="244" ht="23" customHeight="1">
      <x:c r="A244" s="6" t="str">
        <x:v>T2-L06-A</x:v>
      </x:c>
      <x:c r="B244" s="6" t="str">
        <x:v>T2</x:v>
      </x:c>
      <x:c r="C244" s="6" t="str">
        <x:v>L06</x:v>
      </x:c>
      <x:c r="D244" s="6" t="str">
        <x:v>Paint and final decorations</x:v>
      </x:c>
      <x:c r="E244" s="6" t="str">
        <x:v>Finishes</x:v>
      </x:c>
      <x:c r="F244" s="14" t="n">
        <x:v>1205.3600000000004</x:v>
      </x:c>
      <x:c r="G244" s="6" t="str">
        <x:v>m2</x:v>
      </x:c>
      <x:c r="H244" s="16" t="n">
        <x:v>270</x:v>
      </x:c>
      <x:c r="I244" s="16" t="n">
        <x:v>8</x:v>
      </x:c>
      <x:c r="J244" s="16" t="n">
        <x:f>ROUNDUP(F244/H244,0)</x:f>
        <x:v>5</x:v>
      </x:c>
      <x:c r="K244" s="6" t="n">
        <x:f>MAX(L243+2)</x:f>
        <x:v>421</x:v>
      </x:c>
      <x:c r="L244" s="6" t="n">
        <x:f>K244+J244</x:f>
        <x:v>426</x:v>
      </x:c>
      <x:c r="M244" s="6" t="n">
        <x:f>N244-J244</x:f>
        <x:v>474</x:v>
      </x:c>
      <x:c r="N244" s="6" t="n">
        <x:f>MIN(M245-0)</x:f>
        <x:v>479</x:v>
      </x:c>
      <x:c r="O244" s="6" t="n">
        <x:f>M244-K244</x:f>
        <x:v>53</x:v>
      </x:c>
      <x:c r="P244" s="18" t="n">
        <x:f>INDEX('Calendar'!$C$8:$C$907,K244+1)</x:f>
        <x:v>46819</x:v>
      </x:c>
      <x:c r="Q244" s="18" t="n">
        <x:f>INDEX('Calendar'!$C$8:$C$907,MAX(K244+1,L244))</x:f>
        <x:v>46823</x:v>
      </x:c>
      <x:c r="R244" s="14" t="n">
        <x:v>10245.560000000003</x:v>
      </x:c>
      <x:c r="S244" s="14"/>
      <x:c r="T244" s="14" t="n">
        <x:f>R244/J244</x:f>
        <x:v>2049.1120000000005</x:v>
      </x:c>
    </x:row>
    <x:row r="245" ht="23" customHeight="1">
      <x:c r="A245" s="1" t="str">
        <x:v>T2-L06-D</x:v>
      </x:c>
      <x:c r="B245" s="1" t="str">
        <x:v>T2</x:v>
      </x:c>
      <x:c r="C245" s="1" t="str">
        <x:v>L06</x:v>
      </x:c>
      <x:c r="D245" s="1" t="str">
        <x:v>Door sets and ironmongery</x:v>
      </x:c>
      <x:c r="E245" s="1" t="str">
        <x:v>Finishes</x:v>
      </x:c>
      <x:c r="F245" s="15" t="n">
        <x:v>28</x:v>
      </x:c>
      <x:c r="G245" s="1" t="str">
        <x:v>nr</x:v>
      </x:c>
      <x:c r="H245" s="17" t="n">
        <x:v>10</x:v>
      </x:c>
      <x:c r="I245" s="17" t="n">
        <x:v>4</x:v>
      </x:c>
      <x:c r="J245" s="17" t="n">
        <x:f>ROUNDUP(F245/H245,0)</x:f>
        <x:v>3</x:v>
      </x:c>
      <x:c r="K245" s="1" t="n">
        <x:f>MAX(L244+0)</x:f>
        <x:v>426</x:v>
      </x:c>
      <x:c r="L245" s="1" t="n">
        <x:f>K245+J245</x:f>
        <x:v>429</x:v>
      </x:c>
      <x:c r="M245" s="1" t="n">
        <x:f>N245-J245</x:f>
        <x:v>479</x:v>
      </x:c>
      <x:c r="N245" s="1" t="n">
        <x:f>MIN(M816-0)</x:f>
        <x:v>482</x:v>
      </x:c>
      <x:c r="O245" s="1" t="n">
        <x:f>M245-K245</x:f>
        <x:v>53</x:v>
      </x:c>
      <x:c r="P245" s="19" t="n">
        <x:f>INDEX('Calendar'!$C$8:$C$907,K245+1)</x:f>
        <x:v>46825</x:v>
      </x:c>
      <x:c r="Q245" s="19" t="n">
        <x:f>INDEX('Calendar'!$C$8:$C$907,MAX(K245+1,L245))</x:f>
        <x:v>46827</x:v>
      </x:c>
      <x:c r="R245" s="15" t="n">
        <x:v>5796</x:v>
      </x:c>
      <x:c r="S245" s="15"/>
      <x:c r="T245" s="15" t="n">
        <x:f>R245/J245</x:f>
        <x:v>1932</x:v>
      </x:c>
    </x:row>
    <x:row r="246" ht="23" customHeight="1">
      <x:c r="A246" s="6" t="str">
        <x:v>T2-L07-M</x:v>
      </x:c>
      <x:c r="B246" s="6" t="str">
        <x:v>T2</x:v>
      </x:c>
      <x:c r="C246" s="6" t="str">
        <x:v>L07</x:v>
      </x:c>
      <x:c r="D246" s="6" t="str">
        <x:v>Partition masonry</x:v>
      </x:c>
      <x:c r="E246" s="6" t="str">
        <x:v>Masonry</x:v>
      </x:c>
      <x:c r="F246" s="14" t="n">
        <x:v>90.40200000000002</x:v>
      </x:c>
      <x:c r="G246" s="6" t="str">
        <x:v>m3</x:v>
      </x:c>
      <x:c r="H246" s="16" t="n">
        <x:v>22</x:v>
      </x:c>
      <x:c r="I246" s="16" t="n">
        <x:v>10</x:v>
      </x:c>
      <x:c r="J246" s="16" t="n">
        <x:f>ROUNDUP(F246/H246,0)</x:f>
        <x:v>5</x:v>
      </x:c>
      <x:c r="K246" s="6" t="n">
        <x:f>MAX(L192+5)</x:f>
        <x:v>349</x:v>
      </x:c>
      <x:c r="L246" s="6" t="n">
        <x:f>K246+J246</x:f>
        <x:v>354</x:v>
      </x:c>
      <x:c r="M246" s="6" t="n">
        <x:f>N246-J246</x:f>
        <x:v>433</x:v>
      </x:c>
      <x:c r="N246" s="6" t="n">
        <x:f>MIN(M247-3)</x:f>
        <x:v>438</x:v>
      </x:c>
      <x:c r="O246" s="6" t="n">
        <x:f>M246-K246</x:f>
        <x:v>84</x:v>
      </x:c>
      <x:c r="P246" s="18" t="n">
        <x:f>INDEX('Calendar'!$C$8:$C$907,K246+1)</x:f>
        <x:v>46735</x:v>
      </x:c>
      <x:c r="Q246" s="18" t="n">
        <x:f>INDEX('Calendar'!$C$8:$C$907,MAX(K246+1,L246))</x:f>
        <x:v>46739</x:v>
      </x:c>
      <x:c r="R246" s="14" t="n">
        <x:v>12204.27</x:v>
      </x:c>
      <x:c r="S246" s="14"/>
      <x:c r="T246" s="14" t="n">
        <x:f>R246/J246</x:f>
        <x:v>2440.8540000000003</x:v>
      </x:c>
    </x:row>
    <x:row r="247" ht="23" customHeight="1">
      <x:c r="A247" s="1" t="str">
        <x:v>T2-L07-P</x:v>
      </x:c>
      <x:c r="B247" s="1" t="str">
        <x:v>T2</x:v>
      </x:c>
      <x:c r="C247" s="1" t="str">
        <x:v>L07</x:v>
      </x:c>
      <x:c r="D247" s="1" t="str">
        <x:v>Internal plaster</x:v>
      </x:c>
      <x:c r="E247" s="1" t="str">
        <x:v>Finishes</x:v>
      </x:c>
      <x:c r="F247" s="15" t="n">
        <x:v>1205.3600000000006</x:v>
      </x:c>
      <x:c r="G247" s="1" t="str">
        <x:v>m2</x:v>
      </x:c>
      <x:c r="H247" s="17" t="n">
        <x:v>220</x:v>
      </x:c>
      <x:c r="I247" s="17" t="n">
        <x:v>10</x:v>
      </x:c>
      <x:c r="J247" s="17" t="n">
        <x:f>ROUNDUP(F247/H247,0)</x:f>
        <x:v>6</x:v>
      </x:c>
      <x:c r="K247" s="1" t="n">
        <x:f>MAX(L246+3)</x:f>
        <x:v>357</x:v>
      </x:c>
      <x:c r="L247" s="1" t="n">
        <x:f>K247+J247</x:f>
        <x:v>363</x:v>
      </x:c>
      <x:c r="M247" s="1" t="n">
        <x:f>N247-J247</x:f>
        <x:v>441</x:v>
      </x:c>
      <x:c r="N247" s="1" t="n">
        <x:f>MIN(M248-2)</x:f>
        <x:v>447</x:v>
      </x:c>
      <x:c r="O247" s="1" t="n">
        <x:f>M247-K247</x:f>
        <x:v>84</x:v>
      </x:c>
      <x:c r="P247" s="19" t="n">
        <x:f>INDEX('Calendar'!$C$8:$C$907,K247+1)</x:f>
        <x:v>46744</x:v>
      </x:c>
      <x:c r="Q247" s="19" t="n">
        <x:f>INDEX('Calendar'!$C$8:$C$907,MAX(K247+1,L247))</x:f>
        <x:v>46750</x:v>
      </x:c>
      <x:c r="R247" s="15" t="n">
        <x:v>15067.000000000005</x:v>
      </x:c>
      <x:c r="S247" s="15"/>
      <x:c r="T247" s="15" t="n">
        <x:f>R247/J247</x:f>
        <x:v>2511.1666666666674</x:v>
      </x:c>
    </x:row>
    <x:row r="248" ht="23" customHeight="1">
      <x:c r="A248" s="6" t="str">
        <x:v>T2-L07-S</x:v>
      </x:c>
      <x:c r="B248" s="6" t="str">
        <x:v>T2</x:v>
      </x:c>
      <x:c r="C248" s="6" t="str">
        <x:v>L07</x:v>
      </x:c>
      <x:c r="D248" s="6" t="str">
        <x:v>Screed and substrate preparation</x:v>
      </x:c>
      <x:c r="E248" s="6" t="str">
        <x:v>Finishes</x:v>
      </x:c>
      <x:c r="F248" s="14" t="n">
        <x:v>696</x:v>
      </x:c>
      <x:c r="G248" s="6" t="str">
        <x:v>m2</x:v>
      </x:c>
      <x:c r="H248" s="16" t="n">
        <x:v>240</x:v>
      </x:c>
      <x:c r="I248" s="16" t="n">
        <x:v>8</x:v>
      </x:c>
      <x:c r="J248" s="16" t="n">
        <x:f>ROUNDUP(F248/H248,0)</x:f>
        <x:v>3</x:v>
      </x:c>
      <x:c r="K248" s="6" t="n">
        <x:f>MAX(L247+2)</x:f>
        <x:v>365</x:v>
      </x:c>
      <x:c r="L248" s="6" t="n">
        <x:f>K248+J248</x:f>
        <x:v>368</x:v>
      </x:c>
      <x:c r="M248" s="6" t="n">
        <x:f>N248-J248</x:f>
        <x:v>449</x:v>
      </x:c>
      <x:c r="N248" s="6" t="n">
        <x:f>MIN(M249-14)</x:f>
        <x:v>452</x:v>
      </x:c>
      <x:c r="O248" s="6" t="n">
        <x:f>M248-K248</x:f>
        <x:v>84</x:v>
      </x:c>
      <x:c r="P248" s="18" t="n">
        <x:f>INDEX('Calendar'!$C$8:$C$907,K248+1)</x:f>
        <x:v>46753</x:v>
      </x:c>
      <x:c r="Q248" s="18" t="n">
        <x:f>INDEX('Calendar'!$C$8:$C$907,MAX(K248+1,L248))</x:f>
        <x:v>46756</x:v>
      </x:c>
      <x:c r="R248" s="14" t="n">
        <x:v>9048</x:v>
      </x:c>
      <x:c r="S248" s="14"/>
      <x:c r="T248" s="14" t="n">
        <x:f>R248/J248</x:f>
        <x:v>3016</x:v>
      </x:c>
    </x:row>
    <x:row r="249" ht="23" customHeight="1">
      <x:c r="A249" s="1" t="str">
        <x:v>T2-L07-T</x:v>
      </x:c>
      <x:c r="B249" s="1" t="str">
        <x:v>T2</x:v>
      </x:c>
      <x:c r="C249" s="1" t="str">
        <x:v>L07</x:v>
      </x:c>
      <x:c r="D249" s="1" t="str">
        <x:v>Floor finishes and skirtings</x:v>
      </x:c>
      <x:c r="E249" s="1" t="str">
        <x:v>Finishes</x:v>
      </x:c>
      <x:c r="F249" s="15" t="n">
        <x:v>696</x:v>
      </x:c>
      <x:c r="G249" s="1" t="str">
        <x:v>m2</x:v>
      </x:c>
      <x:c r="H249" s="17" t="n">
        <x:v>130</x:v>
      </x:c>
      <x:c r="I249" s="17" t="n">
        <x:v>8</x:v>
      </x:c>
      <x:c r="J249" s="17" t="n">
        <x:f>ROUNDUP(F249/H249,0)</x:f>
        <x:v>6</x:v>
      </x:c>
      <x:c r="K249" s="1" t="n">
        <x:f>MAX(L248+14,L203+0)</x:f>
        <x:v>413</x:v>
      </x:c>
      <x:c r="L249" s="1" t="n">
        <x:f>K249+J249</x:f>
        <x:v>419</x:v>
      </x:c>
      <x:c r="M249" s="1" t="n">
        <x:f>N249-J249</x:f>
        <x:v>466</x:v>
      </x:c>
      <x:c r="N249" s="1" t="n">
        <x:f>MIN(M250-2)</x:f>
        <x:v>472</x:v>
      </x:c>
      <x:c r="O249" s="1" t="n">
        <x:f>M249-K249</x:f>
        <x:v>53</x:v>
      </x:c>
      <x:c r="P249" s="19" t="n">
        <x:f>INDEX('Calendar'!$C$8:$C$907,K249+1)</x:f>
        <x:v>46809</x:v>
      </x:c>
      <x:c r="Q249" s="19" t="n">
        <x:f>INDEX('Calendar'!$C$8:$C$907,MAX(K249+1,L249))</x:f>
        <x:v>46815</x:v>
      </x:c>
      <x:c r="R249" s="15" t="n">
        <x:v>24012</x:v>
      </x:c>
      <x:c r="S249" s="15"/>
      <x:c r="T249" s="15" t="n">
        <x:f>R249/J249</x:f>
        <x:v>4002</x:v>
      </x:c>
    </x:row>
    <x:row r="250" ht="23" customHeight="1">
      <x:c r="A250" s="6" t="str">
        <x:v>T2-L07-A</x:v>
      </x:c>
      <x:c r="B250" s="6" t="str">
        <x:v>T2</x:v>
      </x:c>
      <x:c r="C250" s="6" t="str">
        <x:v>L07</x:v>
      </x:c>
      <x:c r="D250" s="6" t="str">
        <x:v>Paint and final decorations</x:v>
      </x:c>
      <x:c r="E250" s="6" t="str">
        <x:v>Finishes</x:v>
      </x:c>
      <x:c r="F250" s="14" t="n">
        <x:v>1205.3600000000004</x:v>
      </x:c>
      <x:c r="G250" s="6" t="str">
        <x:v>m2</x:v>
      </x:c>
      <x:c r="H250" s="16" t="n">
        <x:v>270</x:v>
      </x:c>
      <x:c r="I250" s="16" t="n">
        <x:v>8</x:v>
      </x:c>
      <x:c r="J250" s="16" t="n">
        <x:f>ROUNDUP(F250/H250,0)</x:f>
        <x:v>5</x:v>
      </x:c>
      <x:c r="K250" s="6" t="n">
        <x:f>MAX(L249+2)</x:f>
        <x:v>421</x:v>
      </x:c>
      <x:c r="L250" s="6" t="n">
        <x:f>K250+J250</x:f>
        <x:v>426</x:v>
      </x:c>
      <x:c r="M250" s="6" t="n">
        <x:f>N250-J250</x:f>
        <x:v>474</x:v>
      </x:c>
      <x:c r="N250" s="6" t="n">
        <x:f>MIN(M251-0)</x:f>
        <x:v>479</x:v>
      </x:c>
      <x:c r="O250" s="6" t="n">
        <x:f>M250-K250</x:f>
        <x:v>53</x:v>
      </x:c>
      <x:c r="P250" s="18" t="n">
        <x:f>INDEX('Calendar'!$C$8:$C$907,K250+1)</x:f>
        <x:v>46819</x:v>
      </x:c>
      <x:c r="Q250" s="18" t="n">
        <x:f>INDEX('Calendar'!$C$8:$C$907,MAX(K250+1,L250))</x:f>
        <x:v>46823</x:v>
      </x:c>
      <x:c r="R250" s="14" t="n">
        <x:v>10245.560000000003</x:v>
      </x:c>
      <x:c r="S250" s="14"/>
      <x:c r="T250" s="14" t="n">
        <x:f>R250/J250</x:f>
        <x:v>2049.1120000000005</x:v>
      </x:c>
    </x:row>
    <x:row r="251" ht="23" customHeight="1">
      <x:c r="A251" s="1" t="str">
        <x:v>T2-L07-D</x:v>
      </x:c>
      <x:c r="B251" s="1" t="str">
        <x:v>T2</x:v>
      </x:c>
      <x:c r="C251" s="1" t="str">
        <x:v>L07</x:v>
      </x:c>
      <x:c r="D251" s="1" t="str">
        <x:v>Door sets and ironmongery</x:v>
      </x:c>
      <x:c r="E251" s="1" t="str">
        <x:v>Finishes</x:v>
      </x:c>
      <x:c r="F251" s="15" t="n">
        <x:v>28</x:v>
      </x:c>
      <x:c r="G251" s="1" t="str">
        <x:v>nr</x:v>
      </x:c>
      <x:c r="H251" s="17" t="n">
        <x:v>10</x:v>
      </x:c>
      <x:c r="I251" s="17" t="n">
        <x:v>4</x:v>
      </x:c>
      <x:c r="J251" s="17" t="n">
        <x:f>ROUNDUP(F251/H251,0)</x:f>
        <x:v>3</x:v>
      </x:c>
      <x:c r="K251" s="1" t="n">
        <x:f>MAX(L250+0)</x:f>
        <x:v>426</x:v>
      </x:c>
      <x:c r="L251" s="1" t="n">
        <x:f>K251+J251</x:f>
        <x:v>429</x:v>
      </x:c>
      <x:c r="M251" s="1" t="n">
        <x:f>N251-J251</x:f>
        <x:v>479</x:v>
      </x:c>
      <x:c r="N251" s="1" t="n">
        <x:f>MIN(M816-0)</x:f>
        <x:v>482</x:v>
      </x:c>
      <x:c r="O251" s="1" t="n">
        <x:f>M251-K251</x:f>
        <x:v>53</x:v>
      </x:c>
      <x:c r="P251" s="19" t="n">
        <x:f>INDEX('Calendar'!$C$8:$C$907,K251+1)</x:f>
        <x:v>46825</x:v>
      </x:c>
      <x:c r="Q251" s="19" t="n">
        <x:f>INDEX('Calendar'!$C$8:$C$907,MAX(K251+1,L251))</x:f>
        <x:v>46827</x:v>
      </x:c>
      <x:c r="R251" s="15" t="n">
        <x:v>5796</x:v>
      </x:c>
      <x:c r="S251" s="15"/>
      <x:c r="T251" s="15" t="n">
        <x:f>R251/J251</x:f>
        <x:v>1932</x:v>
      </x:c>
    </x:row>
    <x:row r="252" ht="23" customHeight="1">
      <x:c r="A252" s="6" t="str">
        <x:v>T2-L08-M</x:v>
      </x:c>
      <x:c r="B252" s="6" t="str">
        <x:v>T2</x:v>
      </x:c>
      <x:c r="C252" s="6" t="str">
        <x:v>L08</x:v>
      </x:c>
      <x:c r="D252" s="6" t="str">
        <x:v>Partition masonry</x:v>
      </x:c>
      <x:c r="E252" s="6" t="str">
        <x:v>Masonry</x:v>
      </x:c>
      <x:c r="F252" s="14" t="n">
        <x:v>90.40200000000002</x:v>
      </x:c>
      <x:c r="G252" s="6" t="str">
        <x:v>m3</x:v>
      </x:c>
      <x:c r="H252" s="16" t="n">
        <x:v>22</x:v>
      </x:c>
      <x:c r="I252" s="16" t="n">
        <x:v>10</x:v>
      </x:c>
      <x:c r="J252" s="16" t="n">
        <x:f>ROUNDUP(F252/H252,0)</x:f>
        <x:v>5</x:v>
      </x:c>
      <x:c r="K252" s="6" t="n">
        <x:f>MAX(L196+5)</x:f>
        <x:v>367</x:v>
      </x:c>
      <x:c r="L252" s="6" t="n">
        <x:f>K252+J252</x:f>
        <x:v>372</x:v>
      </x:c>
      <x:c r="M252" s="6" t="n">
        <x:f>N252-J252</x:f>
        <x:v>433</x:v>
      </x:c>
      <x:c r="N252" s="6" t="n">
        <x:f>MIN(M253-3)</x:f>
        <x:v>438</x:v>
      </x:c>
      <x:c r="O252" s="6" t="n">
        <x:f>M252-K252</x:f>
        <x:v>66</x:v>
      </x:c>
      <x:c r="P252" s="18" t="n">
        <x:f>INDEX('Calendar'!$C$8:$C$907,K252+1)</x:f>
        <x:v>46756</x:v>
      </x:c>
      <x:c r="Q252" s="18" t="n">
        <x:f>INDEX('Calendar'!$C$8:$C$907,MAX(K252+1,L252))</x:f>
        <x:v>46760</x:v>
      </x:c>
      <x:c r="R252" s="14" t="n">
        <x:v>12204.27</x:v>
      </x:c>
      <x:c r="S252" s="14"/>
      <x:c r="T252" s="14" t="n">
        <x:f>R252/J252</x:f>
        <x:v>2440.8540000000003</x:v>
      </x:c>
    </x:row>
    <x:row r="253" ht="23" customHeight="1">
      <x:c r="A253" s="1" t="str">
        <x:v>T2-L08-P</x:v>
      </x:c>
      <x:c r="B253" s="1" t="str">
        <x:v>T2</x:v>
      </x:c>
      <x:c r="C253" s="1" t="str">
        <x:v>L08</x:v>
      </x:c>
      <x:c r="D253" s="1" t="str">
        <x:v>Internal plaster</x:v>
      </x:c>
      <x:c r="E253" s="1" t="str">
        <x:v>Finishes</x:v>
      </x:c>
      <x:c r="F253" s="15" t="n">
        <x:v>1205.3600000000006</x:v>
      </x:c>
      <x:c r="G253" s="1" t="str">
        <x:v>m2</x:v>
      </x:c>
      <x:c r="H253" s="17" t="n">
        <x:v>220</x:v>
      </x:c>
      <x:c r="I253" s="17" t="n">
        <x:v>10</x:v>
      </x:c>
      <x:c r="J253" s="17" t="n">
        <x:f>ROUNDUP(F253/H253,0)</x:f>
        <x:v>6</x:v>
      </x:c>
      <x:c r="K253" s="1" t="n">
        <x:f>MAX(L252+3)</x:f>
        <x:v>375</x:v>
      </x:c>
      <x:c r="L253" s="1" t="n">
        <x:f>K253+J253</x:f>
        <x:v>381</x:v>
      </x:c>
      <x:c r="M253" s="1" t="n">
        <x:f>N253-J253</x:f>
        <x:v>441</x:v>
      </x:c>
      <x:c r="N253" s="1" t="n">
        <x:f>MIN(M254-2)</x:f>
        <x:v>447</x:v>
      </x:c>
      <x:c r="O253" s="1" t="n">
        <x:f>M253-K253</x:f>
        <x:v>66</x:v>
      </x:c>
      <x:c r="P253" s="19" t="n">
        <x:f>INDEX('Calendar'!$C$8:$C$907,K253+1)</x:f>
        <x:v>46765</x:v>
      </x:c>
      <x:c r="Q253" s="19" t="n">
        <x:f>INDEX('Calendar'!$C$8:$C$907,MAX(K253+1,L253))</x:f>
        <x:v>46771</x:v>
      </x:c>
      <x:c r="R253" s="15" t="n">
        <x:v>15067.000000000005</x:v>
      </x:c>
      <x:c r="S253" s="15"/>
      <x:c r="T253" s="15" t="n">
        <x:f>R253/J253</x:f>
        <x:v>2511.1666666666674</x:v>
      </x:c>
    </x:row>
    <x:row r="254" ht="23" customHeight="1">
      <x:c r="A254" s="6" t="str">
        <x:v>T2-L08-S</x:v>
      </x:c>
      <x:c r="B254" s="6" t="str">
        <x:v>T2</x:v>
      </x:c>
      <x:c r="C254" s="6" t="str">
        <x:v>L08</x:v>
      </x:c>
      <x:c r="D254" s="6" t="str">
        <x:v>Screed and substrate preparation</x:v>
      </x:c>
      <x:c r="E254" s="6" t="str">
        <x:v>Finishes</x:v>
      </x:c>
      <x:c r="F254" s="14" t="n">
        <x:v>696</x:v>
      </x:c>
      <x:c r="G254" s="6" t="str">
        <x:v>m2</x:v>
      </x:c>
      <x:c r="H254" s="16" t="n">
        <x:v>240</x:v>
      </x:c>
      <x:c r="I254" s="16" t="n">
        <x:v>8</x:v>
      </x:c>
      <x:c r="J254" s="16" t="n">
        <x:f>ROUNDUP(F254/H254,0)</x:f>
        <x:v>3</x:v>
      </x:c>
      <x:c r="K254" s="6" t="n">
        <x:f>MAX(L253+2)</x:f>
        <x:v>383</x:v>
      </x:c>
      <x:c r="L254" s="6" t="n">
        <x:f>K254+J254</x:f>
        <x:v>386</x:v>
      </x:c>
      <x:c r="M254" s="6" t="n">
        <x:f>N254-J254</x:f>
        <x:v>449</x:v>
      </x:c>
      <x:c r="N254" s="6" t="n">
        <x:f>MIN(M255-14)</x:f>
        <x:v>452</x:v>
      </x:c>
      <x:c r="O254" s="6" t="n">
        <x:f>M254-K254</x:f>
        <x:v>66</x:v>
      </x:c>
      <x:c r="P254" s="18" t="n">
        <x:f>INDEX('Calendar'!$C$8:$C$907,K254+1)</x:f>
        <x:v>46774</x:v>
      </x:c>
      <x:c r="Q254" s="18" t="n">
        <x:f>INDEX('Calendar'!$C$8:$C$907,MAX(K254+1,L254))</x:f>
        <x:v>46777</x:v>
      </x:c>
      <x:c r="R254" s="14" t="n">
        <x:v>9048</x:v>
      </x:c>
      <x:c r="S254" s="14"/>
      <x:c r="T254" s="14" t="n">
        <x:f>R254/J254</x:f>
        <x:v>3016</x:v>
      </x:c>
    </x:row>
    <x:row r="255" ht="23" customHeight="1">
      <x:c r="A255" s="1" t="str">
        <x:v>T2-L08-T</x:v>
      </x:c>
      <x:c r="B255" s="1" t="str">
        <x:v>T2</x:v>
      </x:c>
      <x:c r="C255" s="1" t="str">
        <x:v>L08</x:v>
      </x:c>
      <x:c r="D255" s="1" t="str">
        <x:v>Floor finishes and skirtings</x:v>
      </x:c>
      <x:c r="E255" s="1" t="str">
        <x:v>Finishes</x:v>
      </x:c>
      <x:c r="F255" s="15" t="n">
        <x:v>696</x:v>
      </x:c>
      <x:c r="G255" s="1" t="str">
        <x:v>m2</x:v>
      </x:c>
      <x:c r="H255" s="17" t="n">
        <x:v>130</x:v>
      </x:c>
      <x:c r="I255" s="17" t="n">
        <x:v>8</x:v>
      </x:c>
      <x:c r="J255" s="17" t="n">
        <x:f>ROUNDUP(F255/H255,0)</x:f>
        <x:v>6</x:v>
      </x:c>
      <x:c r="K255" s="1" t="n">
        <x:f>MAX(L254+14,L203+0)</x:f>
        <x:v>413</x:v>
      </x:c>
      <x:c r="L255" s="1" t="n">
        <x:f>K255+J255</x:f>
        <x:v>419</x:v>
      </x:c>
      <x:c r="M255" s="1" t="n">
        <x:f>N255-J255</x:f>
        <x:v>466</x:v>
      </x:c>
      <x:c r="N255" s="1" t="n">
        <x:f>MIN(M256-2)</x:f>
        <x:v>472</x:v>
      </x:c>
      <x:c r="O255" s="1" t="n">
        <x:f>M255-K255</x:f>
        <x:v>53</x:v>
      </x:c>
      <x:c r="P255" s="19" t="n">
        <x:f>INDEX('Calendar'!$C$8:$C$907,K255+1)</x:f>
        <x:v>46809</x:v>
      </x:c>
      <x:c r="Q255" s="19" t="n">
        <x:f>INDEX('Calendar'!$C$8:$C$907,MAX(K255+1,L255))</x:f>
        <x:v>46815</x:v>
      </x:c>
      <x:c r="R255" s="15" t="n">
        <x:v>24012</x:v>
      </x:c>
      <x:c r="S255" s="15"/>
      <x:c r="T255" s="15" t="n">
        <x:f>R255/J255</x:f>
        <x:v>4002</x:v>
      </x:c>
    </x:row>
    <x:row r="256" ht="23" customHeight="1">
      <x:c r="A256" s="6" t="str">
        <x:v>T2-L08-A</x:v>
      </x:c>
      <x:c r="B256" s="6" t="str">
        <x:v>T2</x:v>
      </x:c>
      <x:c r="C256" s="6" t="str">
        <x:v>L08</x:v>
      </x:c>
      <x:c r="D256" s="6" t="str">
        <x:v>Paint and final decorations</x:v>
      </x:c>
      <x:c r="E256" s="6" t="str">
        <x:v>Finishes</x:v>
      </x:c>
      <x:c r="F256" s="14" t="n">
        <x:v>1205.3600000000004</x:v>
      </x:c>
      <x:c r="G256" s="6" t="str">
        <x:v>m2</x:v>
      </x:c>
      <x:c r="H256" s="16" t="n">
        <x:v>270</x:v>
      </x:c>
      <x:c r="I256" s="16" t="n">
        <x:v>8</x:v>
      </x:c>
      <x:c r="J256" s="16" t="n">
        <x:f>ROUNDUP(F256/H256,0)</x:f>
        <x:v>5</x:v>
      </x:c>
      <x:c r="K256" s="6" t="n">
        <x:f>MAX(L255+2)</x:f>
        <x:v>421</x:v>
      </x:c>
      <x:c r="L256" s="6" t="n">
        <x:f>K256+J256</x:f>
        <x:v>426</x:v>
      </x:c>
      <x:c r="M256" s="6" t="n">
        <x:f>N256-J256</x:f>
        <x:v>474</x:v>
      </x:c>
      <x:c r="N256" s="6" t="n">
        <x:f>MIN(M257-0)</x:f>
        <x:v>479</x:v>
      </x:c>
      <x:c r="O256" s="6" t="n">
        <x:f>M256-K256</x:f>
        <x:v>53</x:v>
      </x:c>
      <x:c r="P256" s="18" t="n">
        <x:f>INDEX('Calendar'!$C$8:$C$907,K256+1)</x:f>
        <x:v>46819</x:v>
      </x:c>
      <x:c r="Q256" s="18" t="n">
        <x:f>INDEX('Calendar'!$C$8:$C$907,MAX(K256+1,L256))</x:f>
        <x:v>46823</x:v>
      </x:c>
      <x:c r="R256" s="14" t="n">
        <x:v>10245.560000000003</x:v>
      </x:c>
      <x:c r="S256" s="14"/>
      <x:c r="T256" s="14" t="n">
        <x:f>R256/J256</x:f>
        <x:v>2049.1120000000005</x:v>
      </x:c>
    </x:row>
    <x:row r="257" ht="23" customHeight="1">
      <x:c r="A257" s="1" t="str">
        <x:v>T2-L08-D</x:v>
      </x:c>
      <x:c r="B257" s="1" t="str">
        <x:v>T2</x:v>
      </x:c>
      <x:c r="C257" s="1" t="str">
        <x:v>L08</x:v>
      </x:c>
      <x:c r="D257" s="1" t="str">
        <x:v>Door sets and ironmongery</x:v>
      </x:c>
      <x:c r="E257" s="1" t="str">
        <x:v>Finishes</x:v>
      </x:c>
      <x:c r="F257" s="15" t="n">
        <x:v>28</x:v>
      </x:c>
      <x:c r="G257" s="1" t="str">
        <x:v>nr</x:v>
      </x:c>
      <x:c r="H257" s="17" t="n">
        <x:v>10</x:v>
      </x:c>
      <x:c r="I257" s="17" t="n">
        <x:v>4</x:v>
      </x:c>
      <x:c r="J257" s="17" t="n">
        <x:f>ROUNDUP(F257/H257,0)</x:f>
        <x:v>3</x:v>
      </x:c>
      <x:c r="K257" s="1" t="n">
        <x:f>MAX(L256+0)</x:f>
        <x:v>426</x:v>
      </x:c>
      <x:c r="L257" s="1" t="n">
        <x:f>K257+J257</x:f>
        <x:v>429</x:v>
      </x:c>
      <x:c r="M257" s="1" t="n">
        <x:f>N257-J257</x:f>
        <x:v>479</x:v>
      </x:c>
      <x:c r="N257" s="1" t="n">
        <x:f>MIN(M816-0)</x:f>
        <x:v>482</x:v>
      </x:c>
      <x:c r="O257" s="1" t="n">
        <x:f>M257-K257</x:f>
        <x:v>53</x:v>
      </x:c>
      <x:c r="P257" s="19" t="n">
        <x:f>INDEX('Calendar'!$C$8:$C$907,K257+1)</x:f>
        <x:v>46825</x:v>
      </x:c>
      <x:c r="Q257" s="19" t="n">
        <x:f>INDEX('Calendar'!$C$8:$C$907,MAX(K257+1,L257))</x:f>
        <x:v>46827</x:v>
      </x:c>
      <x:c r="R257" s="15" t="n">
        <x:v>5796</x:v>
      </x:c>
      <x:c r="S257" s="15"/>
      <x:c r="T257" s="15" t="n">
        <x:f>R257/J257</x:f>
        <x:v>1932</x:v>
      </x:c>
    </x:row>
    <x:row r="258" ht="23" customHeight="1">
      <x:c r="A258" s="6" t="str">
        <x:v>T2-L09-M</x:v>
      </x:c>
      <x:c r="B258" s="6" t="str">
        <x:v>T2</x:v>
      </x:c>
      <x:c r="C258" s="6" t="str">
        <x:v>L09</x:v>
      </x:c>
      <x:c r="D258" s="6" t="str">
        <x:v>Partition masonry</x:v>
      </x:c>
      <x:c r="E258" s="6" t="str">
        <x:v>Masonry</x:v>
      </x:c>
      <x:c r="F258" s="14" t="n">
        <x:v>90.40200000000002</x:v>
      </x:c>
      <x:c r="G258" s="6" t="str">
        <x:v>m3</x:v>
      </x:c>
      <x:c r="H258" s="16" t="n">
        <x:v>22</x:v>
      </x:c>
      <x:c r="I258" s="16" t="n">
        <x:v>10</x:v>
      </x:c>
      <x:c r="J258" s="16" t="n">
        <x:f>ROUNDUP(F258/H258,0)</x:f>
        <x:v>5</x:v>
      </x:c>
      <x:c r="K258" s="6" t="n">
        <x:f>MAX(L200+5)</x:f>
        <x:v>385</x:v>
      </x:c>
      <x:c r="L258" s="6" t="n">
        <x:f>K258+J258</x:f>
        <x:v>390</x:v>
      </x:c>
      <x:c r="M258" s="6" t="n">
        <x:f>N258-J258</x:f>
        <x:v>433</x:v>
      </x:c>
      <x:c r="N258" s="6" t="n">
        <x:f>MIN(M259-3)</x:f>
        <x:v>438</x:v>
      </x:c>
      <x:c r="O258" s="6" t="n">
        <x:f>M258-K258</x:f>
        <x:v>48</x:v>
      </x:c>
      <x:c r="P258" s="18" t="n">
        <x:f>INDEX('Calendar'!$C$8:$C$907,K258+1)</x:f>
        <x:v>46777</x:v>
      </x:c>
      <x:c r="Q258" s="18" t="n">
        <x:f>INDEX('Calendar'!$C$8:$C$907,MAX(K258+1,L258))</x:f>
        <x:v>46781</x:v>
      </x:c>
      <x:c r="R258" s="14" t="n">
        <x:v>12204.27</x:v>
      </x:c>
      <x:c r="S258" s="14"/>
      <x:c r="T258" s="14" t="n">
        <x:f>R258/J258</x:f>
        <x:v>2440.8540000000003</x:v>
      </x:c>
    </x:row>
    <x:row r="259" ht="23" customHeight="1">
      <x:c r="A259" s="1" t="str">
        <x:v>T2-L09-P</x:v>
      </x:c>
      <x:c r="B259" s="1" t="str">
        <x:v>T2</x:v>
      </x:c>
      <x:c r="C259" s="1" t="str">
        <x:v>L09</x:v>
      </x:c>
      <x:c r="D259" s="1" t="str">
        <x:v>Internal plaster</x:v>
      </x:c>
      <x:c r="E259" s="1" t="str">
        <x:v>Finishes</x:v>
      </x:c>
      <x:c r="F259" s="15" t="n">
        <x:v>1205.3600000000006</x:v>
      </x:c>
      <x:c r="G259" s="1" t="str">
        <x:v>m2</x:v>
      </x:c>
      <x:c r="H259" s="17" t="n">
        <x:v>220</x:v>
      </x:c>
      <x:c r="I259" s="17" t="n">
        <x:v>10</x:v>
      </x:c>
      <x:c r="J259" s="17" t="n">
        <x:f>ROUNDUP(F259/H259,0)</x:f>
        <x:v>6</x:v>
      </x:c>
      <x:c r="K259" s="1" t="n">
        <x:f>MAX(L258+3)</x:f>
        <x:v>393</x:v>
      </x:c>
      <x:c r="L259" s="1" t="n">
        <x:f>K259+J259</x:f>
        <x:v>399</x:v>
      </x:c>
      <x:c r="M259" s="1" t="n">
        <x:f>N259-J259</x:f>
        <x:v>441</x:v>
      </x:c>
      <x:c r="N259" s="1" t="n">
        <x:f>MIN(M260-2)</x:f>
        <x:v>447</x:v>
      </x:c>
      <x:c r="O259" s="1" t="n">
        <x:f>M259-K259</x:f>
        <x:v>48</x:v>
      </x:c>
      <x:c r="P259" s="19" t="n">
        <x:f>INDEX('Calendar'!$C$8:$C$907,K259+1)</x:f>
        <x:v>46786</x:v>
      </x:c>
      <x:c r="Q259" s="19" t="n">
        <x:f>INDEX('Calendar'!$C$8:$C$907,MAX(K259+1,L259))</x:f>
        <x:v>46792</x:v>
      </x:c>
      <x:c r="R259" s="15" t="n">
        <x:v>15067.000000000005</x:v>
      </x:c>
      <x:c r="S259" s="15"/>
      <x:c r="T259" s="15" t="n">
        <x:f>R259/J259</x:f>
        <x:v>2511.1666666666674</x:v>
      </x:c>
    </x:row>
    <x:row r="260" ht="23" customHeight="1">
      <x:c r="A260" s="6" t="str">
        <x:v>T2-L09-S</x:v>
      </x:c>
      <x:c r="B260" s="6" t="str">
        <x:v>T2</x:v>
      </x:c>
      <x:c r="C260" s="6" t="str">
        <x:v>L09</x:v>
      </x:c>
      <x:c r="D260" s="6" t="str">
        <x:v>Screed and substrate preparation</x:v>
      </x:c>
      <x:c r="E260" s="6" t="str">
        <x:v>Finishes</x:v>
      </x:c>
      <x:c r="F260" s="14" t="n">
        <x:v>696</x:v>
      </x:c>
      <x:c r="G260" s="6" t="str">
        <x:v>m2</x:v>
      </x:c>
      <x:c r="H260" s="16" t="n">
        <x:v>240</x:v>
      </x:c>
      <x:c r="I260" s="16" t="n">
        <x:v>8</x:v>
      </x:c>
      <x:c r="J260" s="16" t="n">
        <x:f>ROUNDUP(F260/H260,0)</x:f>
        <x:v>3</x:v>
      </x:c>
      <x:c r="K260" s="6" t="n">
        <x:f>MAX(L259+2)</x:f>
        <x:v>401</x:v>
      </x:c>
      <x:c r="L260" s="6" t="n">
        <x:f>K260+J260</x:f>
        <x:v>404</x:v>
      </x:c>
      <x:c r="M260" s="6" t="n">
        <x:f>N260-J260</x:f>
        <x:v>449</x:v>
      </x:c>
      <x:c r="N260" s="6" t="n">
        <x:f>MIN(M261-14)</x:f>
        <x:v>452</x:v>
      </x:c>
      <x:c r="O260" s="6" t="n">
        <x:f>M260-K260</x:f>
        <x:v>48</x:v>
      </x:c>
      <x:c r="P260" s="18" t="n">
        <x:f>INDEX('Calendar'!$C$8:$C$907,K260+1)</x:f>
        <x:v>46795</x:v>
      </x:c>
      <x:c r="Q260" s="18" t="n">
        <x:f>INDEX('Calendar'!$C$8:$C$907,MAX(K260+1,L260))</x:f>
        <x:v>46798</x:v>
      </x:c>
      <x:c r="R260" s="14" t="n">
        <x:v>9048</x:v>
      </x:c>
      <x:c r="S260" s="14"/>
      <x:c r="T260" s="14" t="n">
        <x:f>R260/J260</x:f>
        <x:v>3016</x:v>
      </x:c>
    </x:row>
    <x:row r="261" ht="23" customHeight="1">
      <x:c r="A261" s="1" t="str">
        <x:v>T2-L09-T</x:v>
      </x:c>
      <x:c r="B261" s="1" t="str">
        <x:v>T2</x:v>
      </x:c>
      <x:c r="C261" s="1" t="str">
        <x:v>L09</x:v>
      </x:c>
      <x:c r="D261" s="1" t="str">
        <x:v>Floor finishes and skirtings</x:v>
      </x:c>
      <x:c r="E261" s="1" t="str">
        <x:v>Finishes</x:v>
      </x:c>
      <x:c r="F261" s="15" t="n">
        <x:v>696</x:v>
      </x:c>
      <x:c r="G261" s="1" t="str">
        <x:v>m2</x:v>
      </x:c>
      <x:c r="H261" s="17" t="n">
        <x:v>130</x:v>
      </x:c>
      <x:c r="I261" s="17" t="n">
        <x:v>8</x:v>
      </x:c>
      <x:c r="J261" s="17" t="n">
        <x:f>ROUNDUP(F261/H261,0)</x:f>
        <x:v>6</x:v>
      </x:c>
      <x:c r="K261" s="1" t="n">
        <x:f>MAX(L260+14,L203+0)</x:f>
        <x:v>418</x:v>
      </x:c>
      <x:c r="L261" s="1" t="n">
        <x:f>K261+J261</x:f>
        <x:v>424</x:v>
      </x:c>
      <x:c r="M261" s="1" t="n">
        <x:f>N261-J261</x:f>
        <x:v>466</x:v>
      </x:c>
      <x:c r="N261" s="1" t="n">
        <x:f>MIN(M262-2)</x:f>
        <x:v>472</x:v>
      </x:c>
      <x:c r="O261" s="1" t="n">
        <x:f>M261-K261</x:f>
        <x:v>48</x:v>
      </x:c>
      <x:c r="P261" s="19" t="n">
        <x:f>INDEX('Calendar'!$C$8:$C$907,K261+1)</x:f>
        <x:v>46815</x:v>
      </x:c>
      <x:c r="Q261" s="19" t="n">
        <x:f>INDEX('Calendar'!$C$8:$C$907,MAX(K261+1,L261))</x:f>
        <x:v>46821</x:v>
      </x:c>
      <x:c r="R261" s="15" t="n">
        <x:v>24012</x:v>
      </x:c>
      <x:c r="S261" s="15"/>
      <x:c r="T261" s="15" t="n">
        <x:f>R261/J261</x:f>
        <x:v>4002</x:v>
      </x:c>
    </x:row>
    <x:row r="262" ht="23" customHeight="1">
      <x:c r="A262" s="6" t="str">
        <x:v>T2-L09-A</x:v>
      </x:c>
      <x:c r="B262" s="6" t="str">
        <x:v>T2</x:v>
      </x:c>
      <x:c r="C262" s="6" t="str">
        <x:v>L09</x:v>
      </x:c>
      <x:c r="D262" s="6" t="str">
        <x:v>Paint and final decorations</x:v>
      </x:c>
      <x:c r="E262" s="6" t="str">
        <x:v>Finishes</x:v>
      </x:c>
      <x:c r="F262" s="14" t="n">
        <x:v>1205.3600000000004</x:v>
      </x:c>
      <x:c r="G262" s="6" t="str">
        <x:v>m2</x:v>
      </x:c>
      <x:c r="H262" s="16" t="n">
        <x:v>270</x:v>
      </x:c>
      <x:c r="I262" s="16" t="n">
        <x:v>8</x:v>
      </x:c>
      <x:c r="J262" s="16" t="n">
        <x:f>ROUNDUP(F262/H262,0)</x:f>
        <x:v>5</x:v>
      </x:c>
      <x:c r="K262" s="6" t="n">
        <x:f>MAX(L261+2)</x:f>
        <x:v>426</x:v>
      </x:c>
      <x:c r="L262" s="6" t="n">
        <x:f>K262+J262</x:f>
        <x:v>431</x:v>
      </x:c>
      <x:c r="M262" s="6" t="n">
        <x:f>N262-J262</x:f>
        <x:v>474</x:v>
      </x:c>
      <x:c r="N262" s="6" t="n">
        <x:f>MIN(M263-0)</x:f>
        <x:v>479</x:v>
      </x:c>
      <x:c r="O262" s="6" t="n">
        <x:f>M262-K262</x:f>
        <x:v>48</x:v>
      </x:c>
      <x:c r="P262" s="18" t="n">
        <x:f>INDEX('Calendar'!$C$8:$C$907,K262+1)</x:f>
        <x:v>46825</x:v>
      </x:c>
      <x:c r="Q262" s="18" t="n">
        <x:f>INDEX('Calendar'!$C$8:$C$907,MAX(K262+1,L262))</x:f>
        <x:v>46829</x:v>
      </x:c>
      <x:c r="R262" s="14" t="n">
        <x:v>10245.560000000003</x:v>
      </x:c>
      <x:c r="S262" s="14"/>
      <x:c r="T262" s="14" t="n">
        <x:f>R262/J262</x:f>
        <x:v>2049.1120000000005</x:v>
      </x:c>
    </x:row>
    <x:row r="263" ht="23" customHeight="1">
      <x:c r="A263" s="1" t="str">
        <x:v>T2-L09-D</x:v>
      </x:c>
      <x:c r="B263" s="1" t="str">
        <x:v>T2</x:v>
      </x:c>
      <x:c r="C263" s="1" t="str">
        <x:v>L09</x:v>
      </x:c>
      <x:c r="D263" s="1" t="str">
        <x:v>Door sets and ironmongery</x:v>
      </x:c>
      <x:c r="E263" s="1" t="str">
        <x:v>Finishes</x:v>
      </x:c>
      <x:c r="F263" s="15" t="n">
        <x:v>28</x:v>
      </x:c>
      <x:c r="G263" s="1" t="str">
        <x:v>nr</x:v>
      </x:c>
      <x:c r="H263" s="17" t="n">
        <x:v>10</x:v>
      </x:c>
      <x:c r="I263" s="17" t="n">
        <x:v>4</x:v>
      </x:c>
      <x:c r="J263" s="17" t="n">
        <x:f>ROUNDUP(F263/H263,0)</x:f>
        <x:v>3</x:v>
      </x:c>
      <x:c r="K263" s="1" t="n">
        <x:f>MAX(L262+0)</x:f>
        <x:v>431</x:v>
      </x:c>
      <x:c r="L263" s="1" t="n">
        <x:f>K263+J263</x:f>
        <x:v>434</x:v>
      </x:c>
      <x:c r="M263" s="1" t="n">
        <x:f>N263-J263</x:f>
        <x:v>479</x:v>
      </x:c>
      <x:c r="N263" s="1" t="n">
        <x:f>MIN(M816-0)</x:f>
        <x:v>482</x:v>
      </x:c>
      <x:c r="O263" s="1" t="n">
        <x:f>M263-K263</x:f>
        <x:v>48</x:v>
      </x:c>
      <x:c r="P263" s="19" t="n">
        <x:f>INDEX('Calendar'!$C$8:$C$907,K263+1)</x:f>
        <x:v>46830</x:v>
      </x:c>
      <x:c r="Q263" s="19" t="n">
        <x:f>INDEX('Calendar'!$C$8:$C$907,MAX(K263+1,L263))</x:f>
        <x:v>46833</x:v>
      </x:c>
      <x:c r="R263" s="15" t="n">
        <x:v>5796</x:v>
      </x:c>
      <x:c r="S263" s="15"/>
      <x:c r="T263" s="15" t="n">
        <x:f>R263/J263</x:f>
        <x:v>1932</x:v>
      </x:c>
    </x:row>
    <x:row r="264" ht="23" customHeight="1">
      <x:c r="A264" s="6" t="str">
        <x:v>T2-L10-M</x:v>
      </x:c>
      <x:c r="B264" s="6" t="str">
        <x:v>T2</x:v>
      </x:c>
      <x:c r="C264" s="6" t="str">
        <x:v>L10</x:v>
      </x:c>
      <x:c r="D264" s="6" t="str">
        <x:v>Partition masonry</x:v>
      </x:c>
      <x:c r="E264" s="6" t="str">
        <x:v>Masonry</x:v>
      </x:c>
      <x:c r="F264" s="14" t="n">
        <x:v>90.40200000000002</x:v>
      </x:c>
      <x:c r="G264" s="6" t="str">
        <x:v>m3</x:v>
      </x:c>
      <x:c r="H264" s="16" t="n">
        <x:v>22</x:v>
      </x:c>
      <x:c r="I264" s="16" t="n">
        <x:v>10</x:v>
      </x:c>
      <x:c r="J264" s="16" t="n">
        <x:f>ROUNDUP(F264/H264,0)</x:f>
        <x:v>5</x:v>
      </x:c>
      <x:c r="K264" s="6" t="n">
        <x:f>MAX(L200+5)</x:f>
        <x:v>385</x:v>
      </x:c>
      <x:c r="L264" s="6" t="n">
        <x:f>K264+J264</x:f>
        <x:v>390</x:v>
      </x:c>
      <x:c r="M264" s="6" t="n">
        <x:f>N264-J264</x:f>
        <x:v>433</x:v>
      </x:c>
      <x:c r="N264" s="6" t="n">
        <x:f>MIN(M265-3)</x:f>
        <x:v>438</x:v>
      </x:c>
      <x:c r="O264" s="6" t="n">
        <x:f>M264-K264</x:f>
        <x:v>48</x:v>
      </x:c>
      <x:c r="P264" s="18" t="n">
        <x:f>INDEX('Calendar'!$C$8:$C$907,K264+1)</x:f>
        <x:v>46777</x:v>
      </x:c>
      <x:c r="Q264" s="18" t="n">
        <x:f>INDEX('Calendar'!$C$8:$C$907,MAX(K264+1,L264))</x:f>
        <x:v>46781</x:v>
      </x:c>
      <x:c r="R264" s="14" t="n">
        <x:v>12204.27</x:v>
      </x:c>
      <x:c r="S264" s="14"/>
      <x:c r="T264" s="14" t="n">
        <x:f>R264/J264</x:f>
        <x:v>2440.8540000000003</x:v>
      </x:c>
    </x:row>
    <x:row r="265" ht="23" customHeight="1">
      <x:c r="A265" s="1" t="str">
        <x:v>T2-L10-P</x:v>
      </x:c>
      <x:c r="B265" s="1" t="str">
        <x:v>T2</x:v>
      </x:c>
      <x:c r="C265" s="1" t="str">
        <x:v>L10</x:v>
      </x:c>
      <x:c r="D265" s="1" t="str">
        <x:v>Internal plaster</x:v>
      </x:c>
      <x:c r="E265" s="1" t="str">
        <x:v>Finishes</x:v>
      </x:c>
      <x:c r="F265" s="15" t="n">
        <x:v>1205.3600000000006</x:v>
      </x:c>
      <x:c r="G265" s="1" t="str">
        <x:v>m2</x:v>
      </x:c>
      <x:c r="H265" s="17" t="n">
        <x:v>220</x:v>
      </x:c>
      <x:c r="I265" s="17" t="n">
        <x:v>10</x:v>
      </x:c>
      <x:c r="J265" s="17" t="n">
        <x:f>ROUNDUP(F265/H265,0)</x:f>
        <x:v>6</x:v>
      </x:c>
      <x:c r="K265" s="1" t="n">
        <x:f>MAX(L264+3)</x:f>
        <x:v>393</x:v>
      </x:c>
      <x:c r="L265" s="1" t="n">
        <x:f>K265+J265</x:f>
        <x:v>399</x:v>
      </x:c>
      <x:c r="M265" s="1" t="n">
        <x:f>N265-J265</x:f>
        <x:v>441</x:v>
      </x:c>
      <x:c r="N265" s="1" t="n">
        <x:f>MIN(M266-2)</x:f>
        <x:v>447</x:v>
      </x:c>
      <x:c r="O265" s="1" t="n">
        <x:f>M265-K265</x:f>
        <x:v>48</x:v>
      </x:c>
      <x:c r="P265" s="19" t="n">
        <x:f>INDEX('Calendar'!$C$8:$C$907,K265+1)</x:f>
        <x:v>46786</x:v>
      </x:c>
      <x:c r="Q265" s="19" t="n">
        <x:f>INDEX('Calendar'!$C$8:$C$907,MAX(K265+1,L265))</x:f>
        <x:v>46792</x:v>
      </x:c>
      <x:c r="R265" s="15" t="n">
        <x:v>15067.000000000005</x:v>
      </x:c>
      <x:c r="S265" s="15"/>
      <x:c r="T265" s="15" t="n">
        <x:f>R265/J265</x:f>
        <x:v>2511.1666666666674</x:v>
      </x:c>
    </x:row>
    <x:row r="266" ht="23" customHeight="1">
      <x:c r="A266" s="6" t="str">
        <x:v>T2-L10-S</x:v>
      </x:c>
      <x:c r="B266" s="6" t="str">
        <x:v>T2</x:v>
      </x:c>
      <x:c r="C266" s="6" t="str">
        <x:v>L10</x:v>
      </x:c>
      <x:c r="D266" s="6" t="str">
        <x:v>Screed and substrate preparation</x:v>
      </x:c>
      <x:c r="E266" s="6" t="str">
        <x:v>Finishes</x:v>
      </x:c>
      <x:c r="F266" s="14" t="n">
        <x:v>696</x:v>
      </x:c>
      <x:c r="G266" s="6" t="str">
        <x:v>m2</x:v>
      </x:c>
      <x:c r="H266" s="16" t="n">
        <x:v>240</x:v>
      </x:c>
      <x:c r="I266" s="16" t="n">
        <x:v>8</x:v>
      </x:c>
      <x:c r="J266" s="16" t="n">
        <x:f>ROUNDUP(F266/H266,0)</x:f>
        <x:v>3</x:v>
      </x:c>
      <x:c r="K266" s="6" t="n">
        <x:f>MAX(L265+2)</x:f>
        <x:v>401</x:v>
      </x:c>
      <x:c r="L266" s="6" t="n">
        <x:f>K266+J266</x:f>
        <x:v>404</x:v>
      </x:c>
      <x:c r="M266" s="6" t="n">
        <x:f>N266-J266</x:f>
        <x:v>449</x:v>
      </x:c>
      <x:c r="N266" s="6" t="n">
        <x:f>MIN(M267-14)</x:f>
        <x:v>452</x:v>
      </x:c>
      <x:c r="O266" s="6" t="n">
        <x:f>M266-K266</x:f>
        <x:v>48</x:v>
      </x:c>
      <x:c r="P266" s="18" t="n">
        <x:f>INDEX('Calendar'!$C$8:$C$907,K266+1)</x:f>
        <x:v>46795</x:v>
      </x:c>
      <x:c r="Q266" s="18" t="n">
        <x:f>INDEX('Calendar'!$C$8:$C$907,MAX(K266+1,L266))</x:f>
        <x:v>46798</x:v>
      </x:c>
      <x:c r="R266" s="14" t="n">
        <x:v>9048</x:v>
      </x:c>
      <x:c r="S266" s="14"/>
      <x:c r="T266" s="14" t="n">
        <x:f>R266/J266</x:f>
        <x:v>3016</x:v>
      </x:c>
    </x:row>
    <x:row r="267" ht="23" customHeight="1">
      <x:c r="A267" s="1" t="str">
        <x:v>T2-L10-T</x:v>
      </x:c>
      <x:c r="B267" s="1" t="str">
        <x:v>T2</x:v>
      </x:c>
      <x:c r="C267" s="1" t="str">
        <x:v>L10</x:v>
      </x:c>
      <x:c r="D267" s="1" t="str">
        <x:v>Floor finishes and skirtings</x:v>
      </x:c>
      <x:c r="E267" s="1" t="str">
        <x:v>Finishes</x:v>
      </x:c>
      <x:c r="F267" s="15" t="n">
        <x:v>696</x:v>
      </x:c>
      <x:c r="G267" s="1" t="str">
        <x:v>m2</x:v>
      </x:c>
      <x:c r="H267" s="17" t="n">
        <x:v>130</x:v>
      </x:c>
      <x:c r="I267" s="17" t="n">
        <x:v>8</x:v>
      </x:c>
      <x:c r="J267" s="17" t="n">
        <x:f>ROUNDUP(F267/H267,0)</x:f>
        <x:v>6</x:v>
      </x:c>
      <x:c r="K267" s="1" t="n">
        <x:f>MAX(L266+14,L203+0)</x:f>
        <x:v>418</x:v>
      </x:c>
      <x:c r="L267" s="1" t="n">
        <x:f>K267+J267</x:f>
        <x:v>424</x:v>
      </x:c>
      <x:c r="M267" s="1" t="n">
        <x:f>N267-J267</x:f>
        <x:v>466</x:v>
      </x:c>
      <x:c r="N267" s="1" t="n">
        <x:f>MIN(M268-2)</x:f>
        <x:v>472</x:v>
      </x:c>
      <x:c r="O267" s="1" t="n">
        <x:f>M267-K267</x:f>
        <x:v>48</x:v>
      </x:c>
      <x:c r="P267" s="19" t="n">
        <x:f>INDEX('Calendar'!$C$8:$C$907,K267+1)</x:f>
        <x:v>46815</x:v>
      </x:c>
      <x:c r="Q267" s="19" t="n">
        <x:f>INDEX('Calendar'!$C$8:$C$907,MAX(K267+1,L267))</x:f>
        <x:v>46821</x:v>
      </x:c>
      <x:c r="R267" s="15" t="n">
        <x:v>24012</x:v>
      </x:c>
      <x:c r="S267" s="15"/>
      <x:c r="T267" s="15" t="n">
        <x:f>R267/J267</x:f>
        <x:v>4002</x:v>
      </x:c>
    </x:row>
    <x:row r="268" ht="23" customHeight="1">
      <x:c r="A268" s="6" t="str">
        <x:v>T2-L10-A</x:v>
      </x:c>
      <x:c r="B268" s="6" t="str">
        <x:v>T2</x:v>
      </x:c>
      <x:c r="C268" s="6" t="str">
        <x:v>L10</x:v>
      </x:c>
      <x:c r="D268" s="6" t="str">
        <x:v>Paint and final decorations</x:v>
      </x:c>
      <x:c r="E268" s="6" t="str">
        <x:v>Finishes</x:v>
      </x:c>
      <x:c r="F268" s="14" t="n">
        <x:v>1205.3600000000004</x:v>
      </x:c>
      <x:c r="G268" s="6" t="str">
        <x:v>m2</x:v>
      </x:c>
      <x:c r="H268" s="16" t="n">
        <x:v>270</x:v>
      </x:c>
      <x:c r="I268" s="16" t="n">
        <x:v>8</x:v>
      </x:c>
      <x:c r="J268" s="16" t="n">
        <x:f>ROUNDUP(F268/H268,0)</x:f>
        <x:v>5</x:v>
      </x:c>
      <x:c r="K268" s="6" t="n">
        <x:f>MAX(L267+2)</x:f>
        <x:v>426</x:v>
      </x:c>
      <x:c r="L268" s="6" t="n">
        <x:f>K268+J268</x:f>
        <x:v>431</x:v>
      </x:c>
      <x:c r="M268" s="6" t="n">
        <x:f>N268-J268</x:f>
        <x:v>474</x:v>
      </x:c>
      <x:c r="N268" s="6" t="n">
        <x:f>MIN(M269-0)</x:f>
        <x:v>479</x:v>
      </x:c>
      <x:c r="O268" s="6" t="n">
        <x:f>M268-K268</x:f>
        <x:v>48</x:v>
      </x:c>
      <x:c r="P268" s="18" t="n">
        <x:f>INDEX('Calendar'!$C$8:$C$907,K268+1)</x:f>
        <x:v>46825</x:v>
      </x:c>
      <x:c r="Q268" s="18" t="n">
        <x:f>INDEX('Calendar'!$C$8:$C$907,MAX(K268+1,L268))</x:f>
        <x:v>46829</x:v>
      </x:c>
      <x:c r="R268" s="14" t="n">
        <x:v>10245.560000000003</x:v>
      </x:c>
      <x:c r="S268" s="14"/>
      <x:c r="T268" s="14" t="n">
        <x:f>R268/J268</x:f>
        <x:v>2049.1120000000005</x:v>
      </x:c>
    </x:row>
    <x:row r="269" ht="23" customHeight="1">
      <x:c r="A269" s="1" t="str">
        <x:v>T2-L10-D</x:v>
      </x:c>
      <x:c r="B269" s="1" t="str">
        <x:v>T2</x:v>
      </x:c>
      <x:c r="C269" s="1" t="str">
        <x:v>L10</x:v>
      </x:c>
      <x:c r="D269" s="1" t="str">
        <x:v>Door sets and ironmongery</x:v>
      </x:c>
      <x:c r="E269" s="1" t="str">
        <x:v>Finishes</x:v>
      </x:c>
      <x:c r="F269" s="15" t="n">
        <x:v>28</x:v>
      </x:c>
      <x:c r="G269" s="1" t="str">
        <x:v>nr</x:v>
      </x:c>
      <x:c r="H269" s="17" t="n">
        <x:v>10</x:v>
      </x:c>
      <x:c r="I269" s="17" t="n">
        <x:v>4</x:v>
      </x:c>
      <x:c r="J269" s="17" t="n">
        <x:f>ROUNDUP(F269/H269,0)</x:f>
        <x:v>3</x:v>
      </x:c>
      <x:c r="K269" s="1" t="n">
        <x:f>MAX(L268+0)</x:f>
        <x:v>431</x:v>
      </x:c>
      <x:c r="L269" s="1" t="n">
        <x:f>K269+J269</x:f>
        <x:v>434</x:v>
      </x:c>
      <x:c r="M269" s="1" t="n">
        <x:f>N269-J269</x:f>
        <x:v>479</x:v>
      </x:c>
      <x:c r="N269" s="1" t="n">
        <x:f>MIN(M816-0)</x:f>
        <x:v>482</x:v>
      </x:c>
      <x:c r="O269" s="1" t="n">
        <x:f>M269-K269</x:f>
        <x:v>48</x:v>
      </x:c>
      <x:c r="P269" s="19" t="n">
        <x:f>INDEX('Calendar'!$C$8:$C$907,K269+1)</x:f>
        <x:v>46830</x:v>
      </x:c>
      <x:c r="Q269" s="19" t="n">
        <x:f>INDEX('Calendar'!$C$8:$C$907,MAX(K269+1,L269))</x:f>
        <x:v>46833</x:v>
      </x:c>
      <x:c r="R269" s="15" t="n">
        <x:v>5796</x:v>
      </x:c>
      <x:c r="S269" s="15"/>
      <x:c r="T269" s="15" t="n">
        <x:f>R269/J269</x:f>
        <x:v>1932</x:v>
      </x:c>
    </x:row>
    <x:row r="270" ht="23" customHeight="1">
      <x:c r="A270" s="6" t="str">
        <x:v>T2-L11-M</x:v>
      </x:c>
      <x:c r="B270" s="6" t="str">
        <x:v>T2</x:v>
      </x:c>
      <x:c r="C270" s="6" t="str">
        <x:v>L11</x:v>
      </x:c>
      <x:c r="D270" s="6" t="str">
        <x:v>Partition masonry</x:v>
      </x:c>
      <x:c r="E270" s="6" t="str">
        <x:v>Masonry</x:v>
      </x:c>
      <x:c r="F270" s="14" t="n">
        <x:v>90.40200000000002</x:v>
      </x:c>
      <x:c r="G270" s="6" t="str">
        <x:v>m3</x:v>
      </x:c>
      <x:c r="H270" s="16" t="n">
        <x:v>22</x:v>
      </x:c>
      <x:c r="I270" s="16" t="n">
        <x:v>10</x:v>
      </x:c>
      <x:c r="J270" s="16" t="n">
        <x:f>ROUNDUP(F270/H270,0)</x:f>
        <x:v>5</x:v>
      </x:c>
      <x:c r="K270" s="6" t="n">
        <x:f>MAX(L200+5)</x:f>
        <x:v>385</x:v>
      </x:c>
      <x:c r="L270" s="6" t="n">
        <x:f>K270+J270</x:f>
        <x:v>390</x:v>
      </x:c>
      <x:c r="M270" s="6" t="n">
        <x:f>N270-J270</x:f>
        <x:v>433</x:v>
      </x:c>
      <x:c r="N270" s="6" t="n">
        <x:f>MIN(M271-3)</x:f>
        <x:v>438</x:v>
      </x:c>
      <x:c r="O270" s="6" t="n">
        <x:f>M270-K270</x:f>
        <x:v>48</x:v>
      </x:c>
      <x:c r="P270" s="18" t="n">
        <x:f>INDEX('Calendar'!$C$8:$C$907,K270+1)</x:f>
        <x:v>46777</x:v>
      </x:c>
      <x:c r="Q270" s="18" t="n">
        <x:f>INDEX('Calendar'!$C$8:$C$907,MAX(K270+1,L270))</x:f>
        <x:v>46781</x:v>
      </x:c>
      <x:c r="R270" s="14" t="n">
        <x:v>12204.27</x:v>
      </x:c>
      <x:c r="S270" s="14"/>
      <x:c r="T270" s="14" t="n">
        <x:f>R270/J270</x:f>
        <x:v>2440.8540000000003</x:v>
      </x:c>
    </x:row>
    <x:row r="271" ht="23" customHeight="1">
      <x:c r="A271" s="1" t="str">
        <x:v>T2-L11-P</x:v>
      </x:c>
      <x:c r="B271" s="1" t="str">
        <x:v>T2</x:v>
      </x:c>
      <x:c r="C271" s="1" t="str">
        <x:v>L11</x:v>
      </x:c>
      <x:c r="D271" s="1" t="str">
        <x:v>Internal plaster</x:v>
      </x:c>
      <x:c r="E271" s="1" t="str">
        <x:v>Finishes</x:v>
      </x:c>
      <x:c r="F271" s="15" t="n">
        <x:v>1205.3600000000006</x:v>
      </x:c>
      <x:c r="G271" s="1" t="str">
        <x:v>m2</x:v>
      </x:c>
      <x:c r="H271" s="17" t="n">
        <x:v>220</x:v>
      </x:c>
      <x:c r="I271" s="17" t="n">
        <x:v>10</x:v>
      </x:c>
      <x:c r="J271" s="17" t="n">
        <x:f>ROUNDUP(F271/H271,0)</x:f>
        <x:v>6</x:v>
      </x:c>
      <x:c r="K271" s="1" t="n">
        <x:f>MAX(L270+3)</x:f>
        <x:v>393</x:v>
      </x:c>
      <x:c r="L271" s="1" t="n">
        <x:f>K271+J271</x:f>
        <x:v>399</x:v>
      </x:c>
      <x:c r="M271" s="1" t="n">
        <x:f>N271-J271</x:f>
        <x:v>441</x:v>
      </x:c>
      <x:c r="N271" s="1" t="n">
        <x:f>MIN(M272-2)</x:f>
        <x:v>447</x:v>
      </x:c>
      <x:c r="O271" s="1" t="n">
        <x:f>M271-K271</x:f>
        <x:v>48</x:v>
      </x:c>
      <x:c r="P271" s="19" t="n">
        <x:f>INDEX('Calendar'!$C$8:$C$907,K271+1)</x:f>
        <x:v>46786</x:v>
      </x:c>
      <x:c r="Q271" s="19" t="n">
        <x:f>INDEX('Calendar'!$C$8:$C$907,MAX(K271+1,L271))</x:f>
        <x:v>46792</x:v>
      </x:c>
      <x:c r="R271" s="15" t="n">
        <x:v>15067.000000000005</x:v>
      </x:c>
      <x:c r="S271" s="15"/>
      <x:c r="T271" s="15" t="n">
        <x:f>R271/J271</x:f>
        <x:v>2511.1666666666674</x:v>
      </x:c>
    </x:row>
    <x:row r="272" ht="23" customHeight="1">
      <x:c r="A272" s="6" t="str">
        <x:v>T2-L11-S</x:v>
      </x:c>
      <x:c r="B272" s="6" t="str">
        <x:v>T2</x:v>
      </x:c>
      <x:c r="C272" s="6" t="str">
        <x:v>L11</x:v>
      </x:c>
      <x:c r="D272" s="6" t="str">
        <x:v>Screed and substrate preparation</x:v>
      </x:c>
      <x:c r="E272" s="6" t="str">
        <x:v>Finishes</x:v>
      </x:c>
      <x:c r="F272" s="14" t="n">
        <x:v>696</x:v>
      </x:c>
      <x:c r="G272" s="6" t="str">
        <x:v>m2</x:v>
      </x:c>
      <x:c r="H272" s="16" t="n">
        <x:v>240</x:v>
      </x:c>
      <x:c r="I272" s="16" t="n">
        <x:v>8</x:v>
      </x:c>
      <x:c r="J272" s="16" t="n">
        <x:f>ROUNDUP(F272/H272,0)</x:f>
        <x:v>3</x:v>
      </x:c>
      <x:c r="K272" s="6" t="n">
        <x:f>MAX(L271+2)</x:f>
        <x:v>401</x:v>
      </x:c>
      <x:c r="L272" s="6" t="n">
        <x:f>K272+J272</x:f>
        <x:v>404</x:v>
      </x:c>
      <x:c r="M272" s="6" t="n">
        <x:f>N272-J272</x:f>
        <x:v>449</x:v>
      </x:c>
      <x:c r="N272" s="6" t="n">
        <x:f>MIN(M273-14)</x:f>
        <x:v>452</x:v>
      </x:c>
      <x:c r="O272" s="6" t="n">
        <x:f>M272-K272</x:f>
        <x:v>48</x:v>
      </x:c>
      <x:c r="P272" s="18" t="n">
        <x:f>INDEX('Calendar'!$C$8:$C$907,K272+1)</x:f>
        <x:v>46795</x:v>
      </x:c>
      <x:c r="Q272" s="18" t="n">
        <x:f>INDEX('Calendar'!$C$8:$C$907,MAX(K272+1,L272))</x:f>
        <x:v>46798</x:v>
      </x:c>
      <x:c r="R272" s="14" t="n">
        <x:v>9048</x:v>
      </x:c>
      <x:c r="S272" s="14"/>
      <x:c r="T272" s="14" t="n">
        <x:f>R272/J272</x:f>
        <x:v>3016</x:v>
      </x:c>
    </x:row>
    <x:row r="273" ht="23" customHeight="1">
      <x:c r="A273" s="1" t="str">
        <x:v>T2-L11-T</x:v>
      </x:c>
      <x:c r="B273" s="1" t="str">
        <x:v>T2</x:v>
      </x:c>
      <x:c r="C273" s="1" t="str">
        <x:v>L11</x:v>
      </x:c>
      <x:c r="D273" s="1" t="str">
        <x:v>Floor finishes and skirtings</x:v>
      </x:c>
      <x:c r="E273" s="1" t="str">
        <x:v>Finishes</x:v>
      </x:c>
      <x:c r="F273" s="15" t="n">
        <x:v>696</x:v>
      </x:c>
      <x:c r="G273" s="1" t="str">
        <x:v>m2</x:v>
      </x:c>
      <x:c r="H273" s="17" t="n">
        <x:v>130</x:v>
      </x:c>
      <x:c r="I273" s="17" t="n">
        <x:v>8</x:v>
      </x:c>
      <x:c r="J273" s="17" t="n">
        <x:f>ROUNDUP(F273/H273,0)</x:f>
        <x:v>6</x:v>
      </x:c>
      <x:c r="K273" s="1" t="n">
        <x:f>MAX(L272+14,L203+0)</x:f>
        <x:v>418</x:v>
      </x:c>
      <x:c r="L273" s="1" t="n">
        <x:f>K273+J273</x:f>
        <x:v>424</x:v>
      </x:c>
      <x:c r="M273" s="1" t="n">
        <x:f>N273-J273</x:f>
        <x:v>466</x:v>
      </x:c>
      <x:c r="N273" s="1" t="n">
        <x:f>MIN(M274-2)</x:f>
        <x:v>472</x:v>
      </x:c>
      <x:c r="O273" s="1" t="n">
        <x:f>M273-K273</x:f>
        <x:v>48</x:v>
      </x:c>
      <x:c r="P273" s="19" t="n">
        <x:f>INDEX('Calendar'!$C$8:$C$907,K273+1)</x:f>
        <x:v>46815</x:v>
      </x:c>
      <x:c r="Q273" s="19" t="n">
        <x:f>INDEX('Calendar'!$C$8:$C$907,MAX(K273+1,L273))</x:f>
        <x:v>46821</x:v>
      </x:c>
      <x:c r="R273" s="15" t="n">
        <x:v>24012</x:v>
      </x:c>
      <x:c r="S273" s="15"/>
      <x:c r="T273" s="15" t="n">
        <x:f>R273/J273</x:f>
        <x:v>4002</x:v>
      </x:c>
    </x:row>
    <x:row r="274" ht="23" customHeight="1">
      <x:c r="A274" s="6" t="str">
        <x:v>T2-L11-A</x:v>
      </x:c>
      <x:c r="B274" s="6" t="str">
        <x:v>T2</x:v>
      </x:c>
      <x:c r="C274" s="6" t="str">
        <x:v>L11</x:v>
      </x:c>
      <x:c r="D274" s="6" t="str">
        <x:v>Paint and final decorations</x:v>
      </x:c>
      <x:c r="E274" s="6" t="str">
        <x:v>Finishes</x:v>
      </x:c>
      <x:c r="F274" s="14" t="n">
        <x:v>1205.3600000000004</x:v>
      </x:c>
      <x:c r="G274" s="6" t="str">
        <x:v>m2</x:v>
      </x:c>
      <x:c r="H274" s="16" t="n">
        <x:v>270</x:v>
      </x:c>
      <x:c r="I274" s="16" t="n">
        <x:v>8</x:v>
      </x:c>
      <x:c r="J274" s="16" t="n">
        <x:f>ROUNDUP(F274/H274,0)</x:f>
        <x:v>5</x:v>
      </x:c>
      <x:c r="K274" s="6" t="n">
        <x:f>MAX(L273+2)</x:f>
        <x:v>426</x:v>
      </x:c>
      <x:c r="L274" s="6" t="n">
        <x:f>K274+J274</x:f>
        <x:v>431</x:v>
      </x:c>
      <x:c r="M274" s="6" t="n">
        <x:f>N274-J274</x:f>
        <x:v>474</x:v>
      </x:c>
      <x:c r="N274" s="6" t="n">
        <x:f>MIN(M275-0)</x:f>
        <x:v>479</x:v>
      </x:c>
      <x:c r="O274" s="6" t="n">
        <x:f>M274-K274</x:f>
        <x:v>48</x:v>
      </x:c>
      <x:c r="P274" s="18" t="n">
        <x:f>INDEX('Calendar'!$C$8:$C$907,K274+1)</x:f>
        <x:v>46825</x:v>
      </x:c>
      <x:c r="Q274" s="18" t="n">
        <x:f>INDEX('Calendar'!$C$8:$C$907,MAX(K274+1,L274))</x:f>
        <x:v>46829</x:v>
      </x:c>
      <x:c r="R274" s="14" t="n">
        <x:v>10245.560000000003</x:v>
      </x:c>
      <x:c r="S274" s="14"/>
      <x:c r="T274" s="14" t="n">
        <x:f>R274/J274</x:f>
        <x:v>2049.1120000000005</x:v>
      </x:c>
    </x:row>
    <x:row r="275" ht="23" customHeight="1">
      <x:c r="A275" s="1" t="str">
        <x:v>T2-L11-D</x:v>
      </x:c>
      <x:c r="B275" s="1" t="str">
        <x:v>T2</x:v>
      </x:c>
      <x:c r="C275" s="1" t="str">
        <x:v>L11</x:v>
      </x:c>
      <x:c r="D275" s="1" t="str">
        <x:v>Door sets and ironmongery</x:v>
      </x:c>
      <x:c r="E275" s="1" t="str">
        <x:v>Finishes</x:v>
      </x:c>
      <x:c r="F275" s="15" t="n">
        <x:v>28</x:v>
      </x:c>
      <x:c r="G275" s="1" t="str">
        <x:v>nr</x:v>
      </x:c>
      <x:c r="H275" s="17" t="n">
        <x:v>10</x:v>
      </x:c>
      <x:c r="I275" s="17" t="n">
        <x:v>4</x:v>
      </x:c>
      <x:c r="J275" s="17" t="n">
        <x:f>ROUNDUP(F275/H275,0)</x:f>
        <x:v>3</x:v>
      </x:c>
      <x:c r="K275" s="1" t="n">
        <x:f>MAX(L274+0)</x:f>
        <x:v>431</x:v>
      </x:c>
      <x:c r="L275" s="1" t="n">
        <x:f>K275+J275</x:f>
        <x:v>434</x:v>
      </x:c>
      <x:c r="M275" s="1" t="n">
        <x:f>N275-J275</x:f>
        <x:v>479</x:v>
      </x:c>
      <x:c r="N275" s="1" t="n">
        <x:f>MIN(M816-0)</x:f>
        <x:v>482</x:v>
      </x:c>
      <x:c r="O275" s="1" t="n">
        <x:f>M275-K275</x:f>
        <x:v>48</x:v>
      </x:c>
      <x:c r="P275" s="19" t="n">
        <x:f>INDEX('Calendar'!$C$8:$C$907,K275+1)</x:f>
        <x:v>46830</x:v>
      </x:c>
      <x:c r="Q275" s="19" t="n">
        <x:f>INDEX('Calendar'!$C$8:$C$907,MAX(K275+1,L275))</x:f>
        <x:v>46833</x:v>
      </x:c>
      <x:c r="R275" s="15" t="n">
        <x:v>5796</x:v>
      </x:c>
      <x:c r="S275" s="15"/>
      <x:c r="T275" s="15" t="n">
        <x:f>R275/J275</x:f>
        <x:v>1932</x:v>
      </x:c>
    </x:row>
    <x:row r="276" ht="23" customHeight="1">
      <x:c r="A276" s="6" t="str">
        <x:v>T2-L12-M</x:v>
      </x:c>
      <x:c r="B276" s="6" t="str">
        <x:v>T2</x:v>
      </x:c>
      <x:c r="C276" s="6" t="str">
        <x:v>L12</x:v>
      </x:c>
      <x:c r="D276" s="6" t="str">
        <x:v>Partition masonry</x:v>
      </x:c>
      <x:c r="E276" s="6" t="str">
        <x:v>Masonry</x:v>
      </x:c>
      <x:c r="F276" s="14" t="n">
        <x:v>90.40200000000002</x:v>
      </x:c>
      <x:c r="G276" s="6" t="str">
        <x:v>m3</x:v>
      </x:c>
      <x:c r="H276" s="16" t="n">
        <x:v>22</x:v>
      </x:c>
      <x:c r="I276" s="16" t="n">
        <x:v>10</x:v>
      </x:c>
      <x:c r="J276" s="16" t="n">
        <x:f>ROUNDUP(F276/H276,0)</x:f>
        <x:v>5</x:v>
      </x:c>
      <x:c r="K276" s="6" t="n">
        <x:f>MAX(L200+5)</x:f>
        <x:v>385</x:v>
      </x:c>
      <x:c r="L276" s="6" t="n">
        <x:f>K276+J276</x:f>
        <x:v>390</x:v>
      </x:c>
      <x:c r="M276" s="6" t="n">
        <x:f>N276-J276</x:f>
        <x:v>433</x:v>
      </x:c>
      <x:c r="N276" s="6" t="n">
        <x:f>MIN(M277-3)</x:f>
        <x:v>438</x:v>
      </x:c>
      <x:c r="O276" s="6" t="n">
        <x:f>M276-K276</x:f>
        <x:v>48</x:v>
      </x:c>
      <x:c r="P276" s="18" t="n">
        <x:f>INDEX('Calendar'!$C$8:$C$907,K276+1)</x:f>
        <x:v>46777</x:v>
      </x:c>
      <x:c r="Q276" s="18" t="n">
        <x:f>INDEX('Calendar'!$C$8:$C$907,MAX(K276+1,L276))</x:f>
        <x:v>46781</x:v>
      </x:c>
      <x:c r="R276" s="14" t="n">
        <x:v>12204.27</x:v>
      </x:c>
      <x:c r="S276" s="14"/>
      <x:c r="T276" s="14" t="n">
        <x:f>R276/J276</x:f>
        <x:v>2440.8540000000003</x:v>
      </x:c>
    </x:row>
    <x:row r="277" ht="23" customHeight="1">
      <x:c r="A277" s="1" t="str">
        <x:v>T2-L12-P</x:v>
      </x:c>
      <x:c r="B277" s="1" t="str">
        <x:v>T2</x:v>
      </x:c>
      <x:c r="C277" s="1" t="str">
        <x:v>L12</x:v>
      </x:c>
      <x:c r="D277" s="1" t="str">
        <x:v>Internal plaster</x:v>
      </x:c>
      <x:c r="E277" s="1" t="str">
        <x:v>Finishes</x:v>
      </x:c>
      <x:c r="F277" s="15" t="n">
        <x:v>1205.3600000000006</x:v>
      </x:c>
      <x:c r="G277" s="1" t="str">
        <x:v>m2</x:v>
      </x:c>
      <x:c r="H277" s="17" t="n">
        <x:v>220</x:v>
      </x:c>
      <x:c r="I277" s="17" t="n">
        <x:v>10</x:v>
      </x:c>
      <x:c r="J277" s="17" t="n">
        <x:f>ROUNDUP(F277/H277,0)</x:f>
        <x:v>6</x:v>
      </x:c>
      <x:c r="K277" s="1" t="n">
        <x:f>MAX(L276+3)</x:f>
        <x:v>393</x:v>
      </x:c>
      <x:c r="L277" s="1" t="n">
        <x:f>K277+J277</x:f>
        <x:v>399</x:v>
      </x:c>
      <x:c r="M277" s="1" t="n">
        <x:f>N277-J277</x:f>
        <x:v>441</x:v>
      </x:c>
      <x:c r="N277" s="1" t="n">
        <x:f>MIN(M278-2)</x:f>
        <x:v>447</x:v>
      </x:c>
      <x:c r="O277" s="1" t="n">
        <x:f>M277-K277</x:f>
        <x:v>48</x:v>
      </x:c>
      <x:c r="P277" s="19" t="n">
        <x:f>INDEX('Calendar'!$C$8:$C$907,K277+1)</x:f>
        <x:v>46786</x:v>
      </x:c>
      <x:c r="Q277" s="19" t="n">
        <x:f>INDEX('Calendar'!$C$8:$C$907,MAX(K277+1,L277))</x:f>
        <x:v>46792</x:v>
      </x:c>
      <x:c r="R277" s="15" t="n">
        <x:v>15067.000000000005</x:v>
      </x:c>
      <x:c r="S277" s="15"/>
      <x:c r="T277" s="15" t="n">
        <x:f>R277/J277</x:f>
        <x:v>2511.1666666666674</x:v>
      </x:c>
    </x:row>
    <x:row r="278" ht="23" customHeight="1">
      <x:c r="A278" s="6" t="str">
        <x:v>T2-L12-S</x:v>
      </x:c>
      <x:c r="B278" s="6" t="str">
        <x:v>T2</x:v>
      </x:c>
      <x:c r="C278" s="6" t="str">
        <x:v>L12</x:v>
      </x:c>
      <x:c r="D278" s="6" t="str">
        <x:v>Screed and substrate preparation</x:v>
      </x:c>
      <x:c r="E278" s="6" t="str">
        <x:v>Finishes</x:v>
      </x:c>
      <x:c r="F278" s="14" t="n">
        <x:v>696</x:v>
      </x:c>
      <x:c r="G278" s="6" t="str">
        <x:v>m2</x:v>
      </x:c>
      <x:c r="H278" s="16" t="n">
        <x:v>240</x:v>
      </x:c>
      <x:c r="I278" s="16" t="n">
        <x:v>8</x:v>
      </x:c>
      <x:c r="J278" s="16" t="n">
        <x:f>ROUNDUP(F278/H278,0)</x:f>
        <x:v>3</x:v>
      </x:c>
      <x:c r="K278" s="6" t="n">
        <x:f>MAX(L277+2)</x:f>
        <x:v>401</x:v>
      </x:c>
      <x:c r="L278" s="6" t="n">
        <x:f>K278+J278</x:f>
        <x:v>404</x:v>
      </x:c>
      <x:c r="M278" s="6" t="n">
        <x:f>N278-J278</x:f>
        <x:v>449</x:v>
      </x:c>
      <x:c r="N278" s="6" t="n">
        <x:f>MIN(M279-14)</x:f>
        <x:v>452</x:v>
      </x:c>
      <x:c r="O278" s="6" t="n">
        <x:f>M278-K278</x:f>
        <x:v>48</x:v>
      </x:c>
      <x:c r="P278" s="18" t="n">
        <x:f>INDEX('Calendar'!$C$8:$C$907,K278+1)</x:f>
        <x:v>46795</x:v>
      </x:c>
      <x:c r="Q278" s="18" t="n">
        <x:f>INDEX('Calendar'!$C$8:$C$907,MAX(K278+1,L278))</x:f>
        <x:v>46798</x:v>
      </x:c>
      <x:c r="R278" s="14" t="n">
        <x:v>9048</x:v>
      </x:c>
      <x:c r="S278" s="14"/>
      <x:c r="T278" s="14" t="n">
        <x:f>R278/J278</x:f>
        <x:v>3016</x:v>
      </x:c>
    </x:row>
    <x:row r="279" ht="23" customHeight="1">
      <x:c r="A279" s="1" t="str">
        <x:v>T2-L12-T</x:v>
      </x:c>
      <x:c r="B279" s="1" t="str">
        <x:v>T2</x:v>
      </x:c>
      <x:c r="C279" s="1" t="str">
        <x:v>L12</x:v>
      </x:c>
      <x:c r="D279" s="1" t="str">
        <x:v>Floor finishes and skirtings</x:v>
      </x:c>
      <x:c r="E279" s="1" t="str">
        <x:v>Finishes</x:v>
      </x:c>
      <x:c r="F279" s="15" t="n">
        <x:v>696</x:v>
      </x:c>
      <x:c r="G279" s="1" t="str">
        <x:v>m2</x:v>
      </x:c>
      <x:c r="H279" s="17" t="n">
        <x:v>130</x:v>
      </x:c>
      <x:c r="I279" s="17" t="n">
        <x:v>8</x:v>
      </x:c>
      <x:c r="J279" s="17" t="n">
        <x:f>ROUNDUP(F279/H279,0)</x:f>
        <x:v>6</x:v>
      </x:c>
      <x:c r="K279" s="1" t="n">
        <x:f>MAX(L278+14,L203+0)</x:f>
        <x:v>418</x:v>
      </x:c>
      <x:c r="L279" s="1" t="n">
        <x:f>K279+J279</x:f>
        <x:v>424</x:v>
      </x:c>
      <x:c r="M279" s="1" t="n">
        <x:f>N279-J279</x:f>
        <x:v>466</x:v>
      </x:c>
      <x:c r="N279" s="1" t="n">
        <x:f>MIN(M280-2)</x:f>
        <x:v>472</x:v>
      </x:c>
      <x:c r="O279" s="1" t="n">
        <x:f>M279-K279</x:f>
        <x:v>48</x:v>
      </x:c>
      <x:c r="P279" s="19" t="n">
        <x:f>INDEX('Calendar'!$C$8:$C$907,K279+1)</x:f>
        <x:v>46815</x:v>
      </x:c>
      <x:c r="Q279" s="19" t="n">
        <x:f>INDEX('Calendar'!$C$8:$C$907,MAX(K279+1,L279))</x:f>
        <x:v>46821</x:v>
      </x:c>
      <x:c r="R279" s="15" t="n">
        <x:v>24012</x:v>
      </x:c>
      <x:c r="S279" s="15"/>
      <x:c r="T279" s="15" t="n">
        <x:f>R279/J279</x:f>
        <x:v>4002</x:v>
      </x:c>
    </x:row>
    <x:row r="280" ht="23" customHeight="1">
      <x:c r="A280" s="6" t="str">
        <x:v>T2-L12-A</x:v>
      </x:c>
      <x:c r="B280" s="6" t="str">
        <x:v>T2</x:v>
      </x:c>
      <x:c r="C280" s="6" t="str">
        <x:v>L12</x:v>
      </x:c>
      <x:c r="D280" s="6" t="str">
        <x:v>Paint and final decorations</x:v>
      </x:c>
      <x:c r="E280" s="6" t="str">
        <x:v>Finishes</x:v>
      </x:c>
      <x:c r="F280" s="14" t="n">
        <x:v>1205.3600000000004</x:v>
      </x:c>
      <x:c r="G280" s="6" t="str">
        <x:v>m2</x:v>
      </x:c>
      <x:c r="H280" s="16" t="n">
        <x:v>270</x:v>
      </x:c>
      <x:c r="I280" s="16" t="n">
        <x:v>8</x:v>
      </x:c>
      <x:c r="J280" s="16" t="n">
        <x:f>ROUNDUP(F280/H280,0)</x:f>
        <x:v>5</x:v>
      </x:c>
      <x:c r="K280" s="6" t="n">
        <x:f>MAX(L279+2)</x:f>
        <x:v>426</x:v>
      </x:c>
      <x:c r="L280" s="6" t="n">
        <x:f>K280+J280</x:f>
        <x:v>431</x:v>
      </x:c>
      <x:c r="M280" s="6" t="n">
        <x:f>N280-J280</x:f>
        <x:v>474</x:v>
      </x:c>
      <x:c r="N280" s="6" t="n">
        <x:f>MIN(M281-0)</x:f>
        <x:v>479</x:v>
      </x:c>
      <x:c r="O280" s="6" t="n">
        <x:f>M280-K280</x:f>
        <x:v>48</x:v>
      </x:c>
      <x:c r="P280" s="18" t="n">
        <x:f>INDEX('Calendar'!$C$8:$C$907,K280+1)</x:f>
        <x:v>46825</x:v>
      </x:c>
      <x:c r="Q280" s="18" t="n">
        <x:f>INDEX('Calendar'!$C$8:$C$907,MAX(K280+1,L280))</x:f>
        <x:v>46829</x:v>
      </x:c>
      <x:c r="R280" s="14" t="n">
        <x:v>10245.560000000003</x:v>
      </x:c>
      <x:c r="S280" s="14"/>
      <x:c r="T280" s="14" t="n">
        <x:f>R280/J280</x:f>
        <x:v>2049.1120000000005</x:v>
      </x:c>
    </x:row>
    <x:row r="281" ht="23" customHeight="1">
      <x:c r="A281" s="1" t="str">
        <x:v>T2-L12-D</x:v>
      </x:c>
      <x:c r="B281" s="1" t="str">
        <x:v>T2</x:v>
      </x:c>
      <x:c r="C281" s="1" t="str">
        <x:v>L12</x:v>
      </x:c>
      <x:c r="D281" s="1" t="str">
        <x:v>Door sets and ironmongery</x:v>
      </x:c>
      <x:c r="E281" s="1" t="str">
        <x:v>Finishes</x:v>
      </x:c>
      <x:c r="F281" s="15" t="n">
        <x:v>28</x:v>
      </x:c>
      <x:c r="G281" s="1" t="str">
        <x:v>nr</x:v>
      </x:c>
      <x:c r="H281" s="17" t="n">
        <x:v>10</x:v>
      </x:c>
      <x:c r="I281" s="17" t="n">
        <x:v>4</x:v>
      </x:c>
      <x:c r="J281" s="17" t="n">
        <x:f>ROUNDUP(F281/H281,0)</x:f>
        <x:v>3</x:v>
      </x:c>
      <x:c r="K281" s="1" t="n">
        <x:f>MAX(L280+0)</x:f>
        <x:v>431</x:v>
      </x:c>
      <x:c r="L281" s="1" t="n">
        <x:f>K281+J281</x:f>
        <x:v>434</x:v>
      </x:c>
      <x:c r="M281" s="1" t="n">
        <x:f>N281-J281</x:f>
        <x:v>479</x:v>
      </x:c>
      <x:c r="N281" s="1" t="n">
        <x:f>MIN(M816-0)</x:f>
        <x:v>482</x:v>
      </x:c>
      <x:c r="O281" s="1" t="n">
        <x:f>M281-K281</x:f>
        <x:v>48</x:v>
      </x:c>
      <x:c r="P281" s="19" t="n">
        <x:f>INDEX('Calendar'!$C$8:$C$907,K281+1)</x:f>
        <x:v>46830</x:v>
      </x:c>
      <x:c r="Q281" s="19" t="n">
        <x:f>INDEX('Calendar'!$C$8:$C$907,MAX(K281+1,L281))</x:f>
        <x:v>46833</x:v>
      </x:c>
      <x:c r="R281" s="15" t="n">
        <x:v>5796</x:v>
      </x:c>
      <x:c r="S281" s="15"/>
      <x:c r="T281" s="15" t="n">
        <x:f>R281/J281</x:f>
        <x:v>1932</x:v>
      </x:c>
    </x:row>
    <x:row r="282" ht="23" customHeight="1">
      <x:c r="A282" s="6" t="str">
        <x:v>T3-L00-F</x:v>
      </x:c>
      <x:c r="B282" s="6" t="str">
        <x:v>T3</x:v>
      </x:c>
      <x:c r="C282" s="6" t="str">
        <x:v>L00</x:v>
      </x:c>
      <x:c r="D282" s="6" t="str">
        <x:v>Columns, core and deck formwork</x:v>
      </x:c>
      <x:c r="E282" s="6" t="str">
        <x:v>Formwork</x:v>
      </x:c>
      <x:c r="F282" s="14" t="n">
        <x:v>1222.6600000000005</x:v>
      </x:c>
      <x:c r="G282" s="6" t="str">
        <x:v>m2</x:v>
      </x:c>
      <x:c r="H282" s="16" t="n">
        <x:v>220</x:v>
      </x:c>
      <x:c r="I282" s="16" t="n">
        <x:v>18</x:v>
      </x:c>
      <x:c r="J282" s="16" t="n">
        <x:f>ROUNDUP(F282/H282,0)</x:f>
        <x:v>6</x:v>
      </x:c>
      <x:c r="K282" s="6" t="n">
        <x:f>MAX(L12+(7+2*'Controls'!$B$11))</x:f>
        <x:v>158</x:v>
      </x:c>
      <x:c r="L282" s="6" t="n">
        <x:f>K282+J282</x:f>
        <x:v>164</x:v>
      </x:c>
      <x:c r="M282" s="6" t="n">
        <x:f>N282-J282</x:f>
        <x:v>194</x:v>
      </x:c>
      <x:c r="N282" s="6" t="n">
        <x:f>MIN(M283-0)</x:f>
        <x:v>200</x:v>
      </x:c>
      <x:c r="O282" s="6" t="n">
        <x:f>M282-K282</x:f>
        <x:v>36</x:v>
      </x:c>
      <x:c r="P282" s="18" t="n">
        <x:f>INDEX('Calendar'!$C$8:$C$907,K282+1)</x:f>
        <x:v>46512</x:v>
      </x:c>
      <x:c r="Q282" s="18" t="n">
        <x:f>INDEX('Calendar'!$C$8:$C$907,MAX(K282+1,L282))</x:f>
        <x:v>46518</x:v>
      </x:c>
      <x:c r="R282" s="14" t="n">
        <x:v>29364.320000000007</x:v>
      </x:c>
      <x:c r="S282" s="14"/>
      <x:c r="T282" s="14" t="n">
        <x:f>R282/J282</x:f>
        <x:v>4894.053333333334</x:v>
      </x:c>
    </x:row>
    <x:row r="283" ht="23" customHeight="1">
      <x:c r="A283" s="1" t="str">
        <x:v>T3-L00-R</x:v>
      </x:c>
      <x:c r="B283" s="1" t="str">
        <x:v>T3</x:v>
      </x:c>
      <x:c r="C283" s="1" t="str">
        <x:v>L00</x:v>
      </x:c>
      <x:c r="D283" s="1" t="str">
        <x:v>Column, wall, beam and slab reinforcement</x:v>
      </x:c>
      <x:c r="E283" s="1" t="str">
        <x:v>Rebar</x:v>
      </x:c>
      <x:c r="F283" s="15" t="n">
        <x:v>29.684139475407747</x:v>
      </x:c>
      <x:c r="G283" s="1" t="str">
        <x:v>t</x:v>
      </x:c>
      <x:c r="H283" s="17" t="n">
        <x:v>7</x:v>
      </x:c>
      <x:c r="I283" s="17" t="n">
        <x:v>14</x:v>
      </x:c>
      <x:c r="J283" s="17" t="n">
        <x:f>ROUNDUP(F283/H283,0)</x:f>
        <x:v>5</x:v>
      </x:c>
      <x:c r="K283" s="1" t="n">
        <x:f>MAX(L282+0)</x:f>
        <x:v>164</x:v>
      </x:c>
      <x:c r="L283" s="1" t="n">
        <x:f>K283+J283</x:f>
        <x:v>169</x:v>
      </x:c>
      <x:c r="M283" s="1" t="n">
        <x:f>N283-J283</x:f>
        <x:v>200</x:v>
      </x:c>
      <x:c r="N283" s="1" t="n">
        <x:f>MIN(M284-0)</x:f>
        <x:v>205</x:v>
      </x:c>
      <x:c r="O283" s="1" t="n">
        <x:f>M283-K283</x:f>
        <x:v>36</x:v>
      </x:c>
      <x:c r="P283" s="19" t="n">
        <x:f>INDEX('Calendar'!$C$8:$C$907,K283+1)</x:f>
        <x:v>46519</x:v>
      </x:c>
      <x:c r="Q283" s="19" t="n">
        <x:f>INDEX('Calendar'!$C$8:$C$907,MAX(K283+1,L283))</x:f>
        <x:v>46524</x:v>
      </x:c>
      <x:c r="R283" s="15" t="n">
        <x:v>25795.51720412933</x:v>
      </x:c>
      <x:c r="S283" s="15"/>
      <x:c r="T283" s="15" t="n">
        <x:f>R283/J283</x:f>
        <x:v>5159.103440825866</x:v>
      </x:c>
    </x:row>
    <x:row r="284" ht="23" customHeight="1">
      <x:c r="A284" s="6" t="str">
        <x:v>T3-L00-C</x:v>
      </x:c>
      <x:c r="B284" s="6" t="str">
        <x:v>T3</x:v>
      </x:c>
      <x:c r="C284" s="6" t="str">
        <x:v>L00</x:v>
      </x:c>
      <x:c r="D284" s="6" t="str">
        <x:v>Concrete placement and finishing</x:v>
      </x:c>
      <x:c r="E284" s="6" t="str">
        <x:v>Concrete</x:v>
      </x:c>
      <x:c r="F284" s="14" t="n">
        <x:v>226.70819999999958</x:v>
      </x:c>
      <x:c r="G284" s="6" t="str">
        <x:v>m3</x:v>
      </x:c>
      <x:c r="H284" s="16" t="n">
        <x:v>170</x:v>
      </x:c>
      <x:c r="I284" s="16" t="n">
        <x:v>12</x:v>
      </x:c>
      <x:c r="J284" s="16" t="n">
        <x:f>ROUNDUP(F284/H284,0)</x:f>
        <x:v>2</x:v>
      </x:c>
      <x:c r="K284" s="6" t="n">
        <x:f>MAX(L283+0)</x:f>
        <x:v>169</x:v>
      </x:c>
      <x:c r="L284" s="6" t="n">
        <x:f>K284+J284</x:f>
        <x:v>171</x:v>
      </x:c>
      <x:c r="M284" s="6" t="n">
        <x:f>N284-J284</x:f>
        <x:v>205</x:v>
      </x:c>
      <x:c r="N284" s="6" t="n">
        <x:f>MIN(M285-0)</x:f>
        <x:v>207</x:v>
      </x:c>
      <x:c r="O284" s="6" t="n">
        <x:f>M284-K284</x:f>
        <x:v>36</x:v>
      </x:c>
      <x:c r="P284" s="18" t="n">
        <x:f>INDEX('Calendar'!$C$8:$C$907,K284+1)</x:f>
        <x:v>46525</x:v>
      </x:c>
      <x:c r="Q284" s="18" t="n">
        <x:f>INDEX('Calendar'!$C$8:$C$907,MAX(K284+1,L284))</x:f>
        <x:v>46526</x:v>
      </x:c>
      <x:c r="R284" s="14" t="n">
        <x:v>33527.39699999994</x:v>
      </x:c>
      <x:c r="S284" s="14"/>
      <x:c r="T284" s="14" t="n">
        <x:f>R284/J284</x:f>
        <x:v>16763.69849999997</x:v>
      </x:c>
    </x:row>
    <x:row r="285" ht="23" customHeight="1">
      <x:c r="A285" s="1" t="str">
        <x:v>T3-L00-H</x:v>
      </x:c>
      <x:c r="B285" s="1" t="str">
        <x:v>T3</x:v>
      </x:c>
      <x:c r="C285" s="1" t="str">
        <x:v>L00</x:v>
      </x:c>
      <x:c r="D285" s="1" t="str">
        <x:v>Curing and release hold point</x:v>
      </x:c>
      <x:c r="E285" s="1" t="str">
        <x:v>Site</x:v>
      </x:c>
      <x:c r="F285" s="15" t="n">
        <x:v>1</x:v>
      </x:c>
      <x:c r="G285" s="1" t="str">
        <x:v>hold</x:v>
      </x:c>
      <x:c r="H285" s="17" t="n">
        <x:v>1</x:v>
      </x:c>
      <x:c r="I285" s="17" t="n">
        <x:v>0</x:v>
      </x:c>
      <x:c r="J285" s="17" t="n">
        <x:f>S285</x:f>
        <x:v>5</x:v>
      </x:c>
      <x:c r="K285" s="1" t="n">
        <x:f>MAX(L284+0)</x:f>
        <x:v>171</x:v>
      </x:c>
      <x:c r="L285" s="1" t="n">
        <x:f>K285+J285</x:f>
        <x:v>176</x:v>
      </x:c>
      <x:c r="M285" s="1" t="n">
        <x:f>N285-J285</x:f>
        <x:v>207</x:v>
      </x:c>
      <x:c r="N285" s="1" t="n">
        <x:f>MIN(M286-0)</x:f>
        <x:v>212</x:v>
      </x:c>
      <x:c r="O285" s="1" t="n">
        <x:f>M285-K285</x:f>
        <x:v>36</x:v>
      </x:c>
      <x:c r="P285" s="19" t="n">
        <x:f>INDEX('Calendar'!$C$8:$C$907,K285+1)</x:f>
        <x:v>46527</x:v>
      </x:c>
      <x:c r="Q285" s="19" t="n">
        <x:f>INDEX('Calendar'!$C$8:$C$907,MAX(K285+1,L285))</x:f>
        <x:v>46532</x:v>
      </x:c>
      <x:c r="R285" s="15" t="n">
        <x:v>0</x:v>
      </x:c>
      <x:c r="S285" s="15" t="n">
        <x:v>5</x:v>
      </x:c>
      <x:c r="T285" s="15" t="n">
        <x:f>R285/J285</x:f>
        <x:v>0</x:v>
      </x:c>
    </x:row>
    <x:row r="286" ht="23" customHeight="1">
      <x:c r="A286" s="6" t="str">
        <x:v>T3-L01-F</x:v>
      </x:c>
      <x:c r="B286" s="6" t="str">
        <x:v>T3</x:v>
      </x:c>
      <x:c r="C286" s="6" t="str">
        <x:v>L01</x:v>
      </x:c>
      <x:c r="D286" s="6" t="str">
        <x:v>Columns, core and deck formwork</x:v>
      </x:c>
      <x:c r="E286" s="6" t="str">
        <x:v>Formwork</x:v>
      </x:c>
      <x:c r="F286" s="14" t="n">
        <x:v>1222.6600000000005</x:v>
      </x:c>
      <x:c r="G286" s="6" t="str">
        <x:v>m2</x:v>
      </x:c>
      <x:c r="H286" s="16" t="n">
        <x:v>220</x:v>
      </x:c>
      <x:c r="I286" s="16" t="n">
        <x:v>18</x:v>
      </x:c>
      <x:c r="J286" s="16" t="n">
        <x:f>ROUNDUP(F286/H286,0)</x:f>
        <x:v>6</x:v>
      </x:c>
      <x:c r="K286" s="6" t="n">
        <x:f>MAX(L285+0)</x:f>
        <x:v>176</x:v>
      </x:c>
      <x:c r="L286" s="6" t="n">
        <x:f>K286+J286</x:f>
        <x:v>182</x:v>
      </x:c>
      <x:c r="M286" s="6" t="n">
        <x:f>N286-J286</x:f>
        <x:v>212</x:v>
      </x:c>
      <x:c r="N286" s="6" t="n">
        <x:f>MIN(M287-0)</x:f>
        <x:v>218</x:v>
      </x:c>
      <x:c r="O286" s="6" t="n">
        <x:f>M286-K286</x:f>
        <x:v>36</x:v>
      </x:c>
      <x:c r="P286" s="18" t="n">
        <x:f>INDEX('Calendar'!$C$8:$C$907,K286+1)</x:f>
        <x:v>46533</x:v>
      </x:c>
      <x:c r="Q286" s="18" t="n">
        <x:f>INDEX('Calendar'!$C$8:$C$907,MAX(K286+1,L286))</x:f>
        <x:v>46539</x:v>
      </x:c>
      <x:c r="R286" s="14" t="n">
        <x:v>29364.320000000007</x:v>
      </x:c>
      <x:c r="S286" s="14"/>
      <x:c r="T286" s="14" t="n">
        <x:f>R286/J286</x:f>
        <x:v>4894.053333333334</x:v>
      </x:c>
    </x:row>
    <x:row r="287" ht="23" customHeight="1">
      <x:c r="A287" s="1" t="str">
        <x:v>T3-L01-R</x:v>
      </x:c>
      <x:c r="B287" s="1" t="str">
        <x:v>T3</x:v>
      </x:c>
      <x:c r="C287" s="1" t="str">
        <x:v>L01</x:v>
      </x:c>
      <x:c r="D287" s="1" t="str">
        <x:v>Column, wall, beam and slab reinforcement</x:v>
      </x:c>
      <x:c r="E287" s="1" t="str">
        <x:v>Rebar</x:v>
      </x:c>
      <x:c r="F287" s="15" t="n">
        <x:v>29.684139475407747</x:v>
      </x:c>
      <x:c r="G287" s="1" t="str">
        <x:v>t</x:v>
      </x:c>
      <x:c r="H287" s="17" t="n">
        <x:v>7</x:v>
      </x:c>
      <x:c r="I287" s="17" t="n">
        <x:v>14</x:v>
      </x:c>
      <x:c r="J287" s="17" t="n">
        <x:f>ROUNDUP(F287/H287,0)</x:f>
        <x:v>5</x:v>
      </x:c>
      <x:c r="K287" s="1" t="n">
        <x:f>MAX(L286+0)</x:f>
        <x:v>182</x:v>
      </x:c>
      <x:c r="L287" s="1" t="n">
        <x:f>K287+J287</x:f>
        <x:v>187</x:v>
      </x:c>
      <x:c r="M287" s="1" t="n">
        <x:f>N287-J287</x:f>
        <x:v>218</x:v>
      </x:c>
      <x:c r="N287" s="1" t="n">
        <x:f>MIN(M288-0)</x:f>
        <x:v>223</x:v>
      </x:c>
      <x:c r="O287" s="1" t="n">
        <x:f>M287-K287</x:f>
        <x:v>36</x:v>
      </x:c>
      <x:c r="P287" s="19" t="n">
        <x:f>INDEX('Calendar'!$C$8:$C$907,K287+1)</x:f>
        <x:v>46540</x:v>
      </x:c>
      <x:c r="Q287" s="19" t="n">
        <x:f>INDEX('Calendar'!$C$8:$C$907,MAX(K287+1,L287))</x:f>
        <x:v>46545</x:v>
      </x:c>
      <x:c r="R287" s="15" t="n">
        <x:v>25795.51720412933</x:v>
      </x:c>
      <x:c r="S287" s="15"/>
      <x:c r="T287" s="15" t="n">
        <x:f>R287/J287</x:f>
        <x:v>5159.103440825866</x:v>
      </x:c>
    </x:row>
    <x:row r="288" ht="23" customHeight="1">
      <x:c r="A288" s="6" t="str">
        <x:v>T3-L01-C</x:v>
      </x:c>
      <x:c r="B288" s="6" t="str">
        <x:v>T3</x:v>
      </x:c>
      <x:c r="C288" s="6" t="str">
        <x:v>L01</x:v>
      </x:c>
      <x:c r="D288" s="6" t="str">
        <x:v>Concrete placement and finishing</x:v>
      </x:c>
      <x:c r="E288" s="6" t="str">
        <x:v>Concrete</x:v>
      </x:c>
      <x:c r="F288" s="14" t="n">
        <x:v>226.70819999999958</x:v>
      </x:c>
      <x:c r="G288" s="6" t="str">
        <x:v>m3</x:v>
      </x:c>
      <x:c r="H288" s="16" t="n">
        <x:v>170</x:v>
      </x:c>
      <x:c r="I288" s="16" t="n">
        <x:v>12</x:v>
      </x:c>
      <x:c r="J288" s="16" t="n">
        <x:f>ROUNDUP(F288/H288,0)</x:f>
        <x:v>2</x:v>
      </x:c>
      <x:c r="K288" s="6" t="n">
        <x:f>MAX(L287+0)</x:f>
        <x:v>187</x:v>
      </x:c>
      <x:c r="L288" s="6" t="n">
        <x:f>K288+J288</x:f>
        <x:v>189</x:v>
      </x:c>
      <x:c r="M288" s="6" t="n">
        <x:f>N288-J288</x:f>
        <x:v>223</x:v>
      </x:c>
      <x:c r="N288" s="6" t="n">
        <x:f>MIN(M289-0)</x:f>
        <x:v>225</x:v>
      </x:c>
      <x:c r="O288" s="6" t="n">
        <x:f>M288-K288</x:f>
        <x:v>36</x:v>
      </x:c>
      <x:c r="P288" s="18" t="n">
        <x:f>INDEX('Calendar'!$C$8:$C$907,K288+1)</x:f>
        <x:v>46546</x:v>
      </x:c>
      <x:c r="Q288" s="18" t="n">
        <x:f>INDEX('Calendar'!$C$8:$C$907,MAX(K288+1,L288))</x:f>
        <x:v>46547</x:v>
      </x:c>
      <x:c r="R288" s="14" t="n">
        <x:v>33527.39699999994</x:v>
      </x:c>
      <x:c r="S288" s="14"/>
      <x:c r="T288" s="14" t="n">
        <x:f>R288/J288</x:f>
        <x:v>16763.69849999997</x:v>
      </x:c>
    </x:row>
    <x:row r="289" ht="23" customHeight="1">
      <x:c r="A289" s="1" t="str">
        <x:v>T3-L01-H</x:v>
      </x:c>
      <x:c r="B289" s="1" t="str">
        <x:v>T3</x:v>
      </x:c>
      <x:c r="C289" s="1" t="str">
        <x:v>L01</x:v>
      </x:c>
      <x:c r="D289" s="1" t="str">
        <x:v>Curing and release hold point</x:v>
      </x:c>
      <x:c r="E289" s="1" t="str">
        <x:v>Site</x:v>
      </x:c>
      <x:c r="F289" s="15" t="n">
        <x:v>1</x:v>
      </x:c>
      <x:c r="G289" s="1" t="str">
        <x:v>hold</x:v>
      </x:c>
      <x:c r="H289" s="17" t="n">
        <x:v>1</x:v>
      </x:c>
      <x:c r="I289" s="17" t="n">
        <x:v>0</x:v>
      </x:c>
      <x:c r="J289" s="17" t="n">
        <x:f>S289</x:f>
        <x:v>5</x:v>
      </x:c>
      <x:c r="K289" s="1" t="n">
        <x:f>MAX(L288+0)</x:f>
        <x:v>189</x:v>
      </x:c>
      <x:c r="L289" s="1" t="n">
        <x:f>K289+J289</x:f>
        <x:v>194</x:v>
      </x:c>
      <x:c r="M289" s="1" t="n">
        <x:f>N289-J289</x:f>
        <x:v>225</x:v>
      </x:c>
      <x:c r="N289" s="1" t="n">
        <x:f>MIN(M290-0)</x:f>
        <x:v>230</x:v>
      </x:c>
      <x:c r="O289" s="1" t="n">
        <x:f>M289-K289</x:f>
        <x:v>36</x:v>
      </x:c>
      <x:c r="P289" s="19" t="n">
        <x:f>INDEX('Calendar'!$C$8:$C$907,K289+1)</x:f>
        <x:v>46548</x:v>
      </x:c>
      <x:c r="Q289" s="19" t="n">
        <x:f>INDEX('Calendar'!$C$8:$C$907,MAX(K289+1,L289))</x:f>
        <x:v>46553</x:v>
      </x:c>
      <x:c r="R289" s="15" t="n">
        <x:v>0</x:v>
      </x:c>
      <x:c r="S289" s="15" t="n">
        <x:v>5</x:v>
      </x:c>
      <x:c r="T289" s="15" t="n">
        <x:f>R289/J289</x:f>
        <x:v>0</x:v>
      </x:c>
    </x:row>
    <x:row r="290" ht="23" customHeight="1">
      <x:c r="A290" s="6" t="str">
        <x:v>T3-L02-F</x:v>
      </x:c>
      <x:c r="B290" s="6" t="str">
        <x:v>T3</x:v>
      </x:c>
      <x:c r="C290" s="6" t="str">
        <x:v>L02</x:v>
      </x:c>
      <x:c r="D290" s="6" t="str">
        <x:v>Columns, core and deck formwork</x:v>
      </x:c>
      <x:c r="E290" s="6" t="str">
        <x:v>Formwork</x:v>
      </x:c>
      <x:c r="F290" s="14" t="n">
        <x:v>1222.6600000000005</x:v>
      </x:c>
      <x:c r="G290" s="6" t="str">
        <x:v>m2</x:v>
      </x:c>
      <x:c r="H290" s="16" t="n">
        <x:v>220</x:v>
      </x:c>
      <x:c r="I290" s="16" t="n">
        <x:v>18</x:v>
      </x:c>
      <x:c r="J290" s="16" t="n">
        <x:f>ROUNDUP(F290/H290,0)</x:f>
        <x:v>6</x:v>
      </x:c>
      <x:c r="K290" s="6" t="n">
        <x:f>MAX(L289+0)</x:f>
        <x:v>194</x:v>
      </x:c>
      <x:c r="L290" s="6" t="n">
        <x:f>K290+J290</x:f>
        <x:v>200</x:v>
      </x:c>
      <x:c r="M290" s="6" t="n">
        <x:f>N290-J290</x:f>
        <x:v>230</x:v>
      </x:c>
      <x:c r="N290" s="6" t="n">
        <x:f>MIN(M291-0)</x:f>
        <x:v>236</x:v>
      </x:c>
      <x:c r="O290" s="6" t="n">
        <x:f>M290-K290</x:f>
        <x:v>36</x:v>
      </x:c>
      <x:c r="P290" s="18" t="n">
        <x:f>INDEX('Calendar'!$C$8:$C$907,K290+1)</x:f>
        <x:v>46554</x:v>
      </x:c>
      <x:c r="Q290" s="18" t="n">
        <x:f>INDEX('Calendar'!$C$8:$C$907,MAX(K290+1,L290))</x:f>
        <x:v>46560</x:v>
      </x:c>
      <x:c r="R290" s="14" t="n">
        <x:v>29364.320000000007</x:v>
      </x:c>
      <x:c r="S290" s="14"/>
      <x:c r="T290" s="14" t="n">
        <x:f>R290/J290</x:f>
        <x:v>4894.053333333334</x:v>
      </x:c>
    </x:row>
    <x:row r="291" ht="23" customHeight="1">
      <x:c r="A291" s="1" t="str">
        <x:v>T3-L02-R</x:v>
      </x:c>
      <x:c r="B291" s="1" t="str">
        <x:v>T3</x:v>
      </x:c>
      <x:c r="C291" s="1" t="str">
        <x:v>L02</x:v>
      </x:c>
      <x:c r="D291" s="1" t="str">
        <x:v>Column, wall, beam and slab reinforcement</x:v>
      </x:c>
      <x:c r="E291" s="1" t="str">
        <x:v>Rebar</x:v>
      </x:c>
      <x:c r="F291" s="15" t="n">
        <x:v>29.684139475407747</x:v>
      </x:c>
      <x:c r="G291" s="1" t="str">
        <x:v>t</x:v>
      </x:c>
      <x:c r="H291" s="17" t="n">
        <x:v>7</x:v>
      </x:c>
      <x:c r="I291" s="17" t="n">
        <x:v>14</x:v>
      </x:c>
      <x:c r="J291" s="17" t="n">
        <x:f>ROUNDUP(F291/H291,0)</x:f>
        <x:v>5</x:v>
      </x:c>
      <x:c r="K291" s="1" t="n">
        <x:f>MAX(L290+0)</x:f>
        <x:v>200</x:v>
      </x:c>
      <x:c r="L291" s="1" t="n">
        <x:f>K291+J291</x:f>
        <x:v>205</x:v>
      </x:c>
      <x:c r="M291" s="1" t="n">
        <x:f>N291-J291</x:f>
        <x:v>236</x:v>
      </x:c>
      <x:c r="N291" s="1" t="n">
        <x:f>MIN(M292-0)</x:f>
        <x:v>241</x:v>
      </x:c>
      <x:c r="O291" s="1" t="n">
        <x:f>M291-K291</x:f>
        <x:v>36</x:v>
      </x:c>
      <x:c r="P291" s="19" t="n">
        <x:f>INDEX('Calendar'!$C$8:$C$907,K291+1)</x:f>
        <x:v>46561</x:v>
      </x:c>
      <x:c r="Q291" s="19" t="n">
        <x:f>INDEX('Calendar'!$C$8:$C$907,MAX(K291+1,L291))</x:f>
        <x:v>46566</x:v>
      </x:c>
      <x:c r="R291" s="15" t="n">
        <x:v>25795.51720412933</x:v>
      </x:c>
      <x:c r="S291" s="15"/>
      <x:c r="T291" s="15" t="n">
        <x:f>R291/J291</x:f>
        <x:v>5159.103440825866</x:v>
      </x:c>
    </x:row>
    <x:row r="292" ht="23" customHeight="1">
      <x:c r="A292" s="6" t="str">
        <x:v>T3-L02-C</x:v>
      </x:c>
      <x:c r="B292" s="6" t="str">
        <x:v>T3</x:v>
      </x:c>
      <x:c r="C292" s="6" t="str">
        <x:v>L02</x:v>
      </x:c>
      <x:c r="D292" s="6" t="str">
        <x:v>Concrete placement and finishing</x:v>
      </x:c>
      <x:c r="E292" s="6" t="str">
        <x:v>Concrete</x:v>
      </x:c>
      <x:c r="F292" s="14" t="n">
        <x:v>226.70819999999958</x:v>
      </x:c>
      <x:c r="G292" s="6" t="str">
        <x:v>m3</x:v>
      </x:c>
      <x:c r="H292" s="16" t="n">
        <x:v>170</x:v>
      </x:c>
      <x:c r="I292" s="16" t="n">
        <x:v>12</x:v>
      </x:c>
      <x:c r="J292" s="16" t="n">
        <x:f>ROUNDUP(F292/H292,0)</x:f>
        <x:v>2</x:v>
      </x:c>
      <x:c r="K292" s="6" t="n">
        <x:f>MAX(L291+0)</x:f>
        <x:v>205</x:v>
      </x:c>
      <x:c r="L292" s="6" t="n">
        <x:f>K292+J292</x:f>
        <x:v>207</x:v>
      </x:c>
      <x:c r="M292" s="6" t="n">
        <x:f>N292-J292</x:f>
        <x:v>241</x:v>
      </x:c>
      <x:c r="N292" s="6" t="n">
        <x:f>MIN(M293-0)</x:f>
        <x:v>243</x:v>
      </x:c>
      <x:c r="O292" s="6" t="n">
        <x:f>M292-K292</x:f>
        <x:v>36</x:v>
      </x:c>
      <x:c r="P292" s="18" t="n">
        <x:f>INDEX('Calendar'!$C$8:$C$907,K292+1)</x:f>
        <x:v>46567</x:v>
      </x:c>
      <x:c r="Q292" s="18" t="n">
        <x:f>INDEX('Calendar'!$C$8:$C$907,MAX(K292+1,L292))</x:f>
        <x:v>46568</x:v>
      </x:c>
      <x:c r="R292" s="14" t="n">
        <x:v>33527.39699999994</x:v>
      </x:c>
      <x:c r="S292" s="14"/>
      <x:c r="T292" s="14" t="n">
        <x:f>R292/J292</x:f>
        <x:v>16763.69849999997</x:v>
      </x:c>
    </x:row>
    <x:row r="293" ht="23" customHeight="1">
      <x:c r="A293" s="1" t="str">
        <x:v>T3-L02-H</x:v>
      </x:c>
      <x:c r="B293" s="1" t="str">
        <x:v>T3</x:v>
      </x:c>
      <x:c r="C293" s="1" t="str">
        <x:v>L02</x:v>
      </x:c>
      <x:c r="D293" s="1" t="str">
        <x:v>Curing and release hold point</x:v>
      </x:c>
      <x:c r="E293" s="1" t="str">
        <x:v>Site</x:v>
      </x:c>
      <x:c r="F293" s="15" t="n">
        <x:v>1</x:v>
      </x:c>
      <x:c r="G293" s="1" t="str">
        <x:v>hold</x:v>
      </x:c>
      <x:c r="H293" s="17" t="n">
        <x:v>1</x:v>
      </x:c>
      <x:c r="I293" s="17" t="n">
        <x:v>0</x:v>
      </x:c>
      <x:c r="J293" s="17" t="n">
        <x:f>S293</x:f>
        <x:v>5</x:v>
      </x:c>
      <x:c r="K293" s="1" t="n">
        <x:f>MAX(L292+0)</x:f>
        <x:v>207</x:v>
      </x:c>
      <x:c r="L293" s="1" t="n">
        <x:f>K293+J293</x:f>
        <x:v>212</x:v>
      </x:c>
      <x:c r="M293" s="1" t="n">
        <x:f>N293-J293</x:f>
        <x:v>243</x:v>
      </x:c>
      <x:c r="N293" s="1" t="n">
        <x:f>MIN(M294-0)</x:f>
        <x:v>248</x:v>
      </x:c>
      <x:c r="O293" s="1" t="n">
        <x:f>M293-K293</x:f>
        <x:v>36</x:v>
      </x:c>
      <x:c r="P293" s="19" t="n">
        <x:f>INDEX('Calendar'!$C$8:$C$907,K293+1)</x:f>
        <x:v>46569</x:v>
      </x:c>
      <x:c r="Q293" s="19" t="n">
        <x:f>INDEX('Calendar'!$C$8:$C$907,MAX(K293+1,L293))</x:f>
        <x:v>46574</x:v>
      </x:c>
      <x:c r="R293" s="15" t="n">
        <x:v>0</x:v>
      </x:c>
      <x:c r="S293" s="15" t="n">
        <x:v>5</x:v>
      </x:c>
      <x:c r="T293" s="15" t="n">
        <x:f>R293/J293</x:f>
        <x:v>0</x:v>
      </x:c>
    </x:row>
    <x:row r="294" ht="23" customHeight="1">
      <x:c r="A294" s="6" t="str">
        <x:v>T3-L03-F</x:v>
      </x:c>
      <x:c r="B294" s="6" t="str">
        <x:v>T3</x:v>
      </x:c>
      <x:c r="C294" s="6" t="str">
        <x:v>L03</x:v>
      </x:c>
      <x:c r="D294" s="6" t="str">
        <x:v>Columns, core and deck formwork</x:v>
      </x:c>
      <x:c r="E294" s="6" t="str">
        <x:v>Formwork</x:v>
      </x:c>
      <x:c r="F294" s="14" t="n">
        <x:v>1222.6600000000005</x:v>
      </x:c>
      <x:c r="G294" s="6" t="str">
        <x:v>m2</x:v>
      </x:c>
      <x:c r="H294" s="16" t="n">
        <x:v>220</x:v>
      </x:c>
      <x:c r="I294" s="16" t="n">
        <x:v>18</x:v>
      </x:c>
      <x:c r="J294" s="16" t="n">
        <x:f>ROUNDUP(F294/H294,0)</x:f>
        <x:v>6</x:v>
      </x:c>
      <x:c r="K294" s="6" t="n">
        <x:f>MAX(L293+0)</x:f>
        <x:v>212</x:v>
      </x:c>
      <x:c r="L294" s="6" t="n">
        <x:f>K294+J294</x:f>
        <x:v>218</x:v>
      </x:c>
      <x:c r="M294" s="6" t="n">
        <x:f>N294-J294</x:f>
        <x:v>248</x:v>
      </x:c>
      <x:c r="N294" s="6" t="n">
        <x:f>MIN(M295-0)</x:f>
        <x:v>254</x:v>
      </x:c>
      <x:c r="O294" s="6" t="n">
        <x:f>M294-K294</x:f>
        <x:v>36</x:v>
      </x:c>
      <x:c r="P294" s="18" t="n">
        <x:f>INDEX('Calendar'!$C$8:$C$907,K294+1)</x:f>
        <x:v>46575</x:v>
      </x:c>
      <x:c r="Q294" s="18" t="n">
        <x:f>INDEX('Calendar'!$C$8:$C$907,MAX(K294+1,L294))</x:f>
        <x:v>46581</x:v>
      </x:c>
      <x:c r="R294" s="14" t="n">
        <x:v>29364.320000000007</x:v>
      </x:c>
      <x:c r="S294" s="14"/>
      <x:c r="T294" s="14" t="n">
        <x:f>R294/J294</x:f>
        <x:v>4894.053333333334</x:v>
      </x:c>
    </x:row>
    <x:row r="295" ht="23" customHeight="1">
      <x:c r="A295" s="1" t="str">
        <x:v>T3-L03-R</x:v>
      </x:c>
      <x:c r="B295" s="1" t="str">
        <x:v>T3</x:v>
      </x:c>
      <x:c r="C295" s="1" t="str">
        <x:v>L03</x:v>
      </x:c>
      <x:c r="D295" s="1" t="str">
        <x:v>Column, wall, beam and slab reinforcement</x:v>
      </x:c>
      <x:c r="E295" s="1" t="str">
        <x:v>Rebar</x:v>
      </x:c>
      <x:c r="F295" s="15" t="n">
        <x:v>29.684139475407747</x:v>
      </x:c>
      <x:c r="G295" s="1" t="str">
        <x:v>t</x:v>
      </x:c>
      <x:c r="H295" s="17" t="n">
        <x:v>7</x:v>
      </x:c>
      <x:c r="I295" s="17" t="n">
        <x:v>14</x:v>
      </x:c>
      <x:c r="J295" s="17" t="n">
        <x:f>ROUNDUP(F295/H295,0)</x:f>
        <x:v>5</x:v>
      </x:c>
      <x:c r="K295" s="1" t="n">
        <x:f>MAX(L294+0)</x:f>
        <x:v>218</x:v>
      </x:c>
      <x:c r="L295" s="1" t="n">
        <x:f>K295+J295</x:f>
        <x:v>223</x:v>
      </x:c>
      <x:c r="M295" s="1" t="n">
        <x:f>N295-J295</x:f>
        <x:v>254</x:v>
      </x:c>
      <x:c r="N295" s="1" t="n">
        <x:f>MIN(M296-0)</x:f>
        <x:v>259</x:v>
      </x:c>
      <x:c r="O295" s="1" t="n">
        <x:f>M295-K295</x:f>
        <x:v>36</x:v>
      </x:c>
      <x:c r="P295" s="19" t="n">
        <x:f>INDEX('Calendar'!$C$8:$C$907,K295+1)</x:f>
        <x:v>46582</x:v>
      </x:c>
      <x:c r="Q295" s="19" t="n">
        <x:f>INDEX('Calendar'!$C$8:$C$907,MAX(K295+1,L295))</x:f>
        <x:v>46587</x:v>
      </x:c>
      <x:c r="R295" s="15" t="n">
        <x:v>25795.51720412933</x:v>
      </x:c>
      <x:c r="S295" s="15"/>
      <x:c r="T295" s="15" t="n">
        <x:f>R295/J295</x:f>
        <x:v>5159.103440825866</x:v>
      </x:c>
    </x:row>
    <x:row r="296" ht="23" customHeight="1">
      <x:c r="A296" s="6" t="str">
        <x:v>T3-L03-C</x:v>
      </x:c>
      <x:c r="B296" s="6" t="str">
        <x:v>T3</x:v>
      </x:c>
      <x:c r="C296" s="6" t="str">
        <x:v>L03</x:v>
      </x:c>
      <x:c r="D296" s="6" t="str">
        <x:v>Concrete placement and finishing</x:v>
      </x:c>
      <x:c r="E296" s="6" t="str">
        <x:v>Concrete</x:v>
      </x:c>
      <x:c r="F296" s="14" t="n">
        <x:v>226.70819999999958</x:v>
      </x:c>
      <x:c r="G296" s="6" t="str">
        <x:v>m3</x:v>
      </x:c>
      <x:c r="H296" s="16" t="n">
        <x:v>170</x:v>
      </x:c>
      <x:c r="I296" s="16" t="n">
        <x:v>12</x:v>
      </x:c>
      <x:c r="J296" s="16" t="n">
        <x:f>ROUNDUP(F296/H296,0)</x:f>
        <x:v>2</x:v>
      </x:c>
      <x:c r="K296" s="6" t="n">
        <x:f>MAX(L295+0)</x:f>
        <x:v>223</x:v>
      </x:c>
      <x:c r="L296" s="6" t="n">
        <x:f>K296+J296</x:f>
        <x:v>225</x:v>
      </x:c>
      <x:c r="M296" s="6" t="n">
        <x:f>N296-J296</x:f>
        <x:v>259</x:v>
      </x:c>
      <x:c r="N296" s="6" t="n">
        <x:f>MIN(M297-0)</x:f>
        <x:v>261</x:v>
      </x:c>
      <x:c r="O296" s="6" t="n">
        <x:f>M296-K296</x:f>
        <x:v>36</x:v>
      </x:c>
      <x:c r="P296" s="18" t="n">
        <x:f>INDEX('Calendar'!$C$8:$C$907,K296+1)</x:f>
        <x:v>46588</x:v>
      </x:c>
      <x:c r="Q296" s="18" t="n">
        <x:f>INDEX('Calendar'!$C$8:$C$907,MAX(K296+1,L296))</x:f>
        <x:v>46589</x:v>
      </x:c>
      <x:c r="R296" s="14" t="n">
        <x:v>33527.39699999994</x:v>
      </x:c>
      <x:c r="S296" s="14"/>
      <x:c r="T296" s="14" t="n">
        <x:f>R296/J296</x:f>
        <x:v>16763.69849999997</x:v>
      </x:c>
    </x:row>
    <x:row r="297" ht="23" customHeight="1">
      <x:c r="A297" s="1" t="str">
        <x:v>T3-L03-H</x:v>
      </x:c>
      <x:c r="B297" s="1" t="str">
        <x:v>T3</x:v>
      </x:c>
      <x:c r="C297" s="1" t="str">
        <x:v>L03</x:v>
      </x:c>
      <x:c r="D297" s="1" t="str">
        <x:v>Curing and release hold point</x:v>
      </x:c>
      <x:c r="E297" s="1" t="str">
        <x:v>Site</x:v>
      </x:c>
      <x:c r="F297" s="15" t="n">
        <x:v>1</x:v>
      </x:c>
      <x:c r="G297" s="1" t="str">
        <x:v>hold</x:v>
      </x:c>
      <x:c r="H297" s="17" t="n">
        <x:v>1</x:v>
      </x:c>
      <x:c r="I297" s="17" t="n">
        <x:v>0</x:v>
      </x:c>
      <x:c r="J297" s="17" t="n">
        <x:f>S297</x:f>
        <x:v>5</x:v>
      </x:c>
      <x:c r="K297" s="1" t="n">
        <x:f>MAX(L296+0)</x:f>
        <x:v>225</x:v>
      </x:c>
      <x:c r="L297" s="1" t="n">
        <x:f>K297+J297</x:f>
        <x:v>230</x:v>
      </x:c>
      <x:c r="M297" s="1" t="n">
        <x:f>N297-J297</x:f>
        <x:v>261</x:v>
      </x:c>
      <x:c r="N297" s="1" t="n">
        <x:f>MIN(M298-0,M337-5)</x:f>
        <x:v>266</x:v>
      </x:c>
      <x:c r="O297" s="1" t="n">
        <x:f>M297-K297</x:f>
        <x:v>36</x:v>
      </x:c>
      <x:c r="P297" s="19" t="n">
        <x:f>INDEX('Calendar'!$C$8:$C$907,K297+1)</x:f>
        <x:v>46590</x:v>
      </x:c>
      <x:c r="Q297" s="19" t="n">
        <x:f>INDEX('Calendar'!$C$8:$C$907,MAX(K297+1,L297))</x:f>
        <x:v>46595</x:v>
      </x:c>
      <x:c r="R297" s="15" t="n">
        <x:v>0</x:v>
      </x:c>
      <x:c r="S297" s="15" t="n">
        <x:v>5</x:v>
      </x:c>
      <x:c r="T297" s="15" t="n">
        <x:f>R297/J297</x:f>
        <x:v>0</x:v>
      </x:c>
    </x:row>
    <x:row r="298" ht="23" customHeight="1">
      <x:c r="A298" s="6" t="str">
        <x:v>T3-L04-F</x:v>
      </x:c>
      <x:c r="B298" s="6" t="str">
        <x:v>T3</x:v>
      </x:c>
      <x:c r="C298" s="6" t="str">
        <x:v>L04</x:v>
      </x:c>
      <x:c r="D298" s="6" t="str">
        <x:v>Columns, core and deck formwork</x:v>
      </x:c>
      <x:c r="E298" s="6" t="str">
        <x:v>Formwork</x:v>
      </x:c>
      <x:c r="F298" s="14" t="n">
        <x:v>1222.6600000000005</x:v>
      </x:c>
      <x:c r="G298" s="6" t="str">
        <x:v>m2</x:v>
      </x:c>
      <x:c r="H298" s="16" t="n">
        <x:v>220</x:v>
      </x:c>
      <x:c r="I298" s="16" t="n">
        <x:v>18</x:v>
      </x:c>
      <x:c r="J298" s="16" t="n">
        <x:f>ROUNDUP(F298/H298,0)</x:f>
        <x:v>6</x:v>
      </x:c>
      <x:c r="K298" s="6" t="n">
        <x:f>MAX(L297+0)</x:f>
        <x:v>230</x:v>
      </x:c>
      <x:c r="L298" s="6" t="n">
        <x:f>K298+J298</x:f>
        <x:v>236</x:v>
      </x:c>
      <x:c r="M298" s="6" t="n">
        <x:f>N298-J298</x:f>
        <x:v>266</x:v>
      </x:c>
      <x:c r="N298" s="6" t="n">
        <x:f>MIN(M299-0)</x:f>
        <x:v>272</x:v>
      </x:c>
      <x:c r="O298" s="6" t="n">
        <x:f>M298-K298</x:f>
        <x:v>36</x:v>
      </x:c>
      <x:c r="P298" s="18" t="n">
        <x:f>INDEX('Calendar'!$C$8:$C$907,K298+1)</x:f>
        <x:v>46596</x:v>
      </x:c>
      <x:c r="Q298" s="18" t="n">
        <x:f>INDEX('Calendar'!$C$8:$C$907,MAX(K298+1,L298))</x:f>
        <x:v>46602</x:v>
      </x:c>
      <x:c r="R298" s="14" t="n">
        <x:v>29364.320000000007</x:v>
      </x:c>
      <x:c r="S298" s="14"/>
      <x:c r="T298" s="14" t="n">
        <x:f>R298/J298</x:f>
        <x:v>4894.053333333334</x:v>
      </x:c>
    </x:row>
    <x:row r="299" ht="23" customHeight="1">
      <x:c r="A299" s="1" t="str">
        <x:v>T3-L04-R</x:v>
      </x:c>
      <x:c r="B299" s="1" t="str">
        <x:v>T3</x:v>
      </x:c>
      <x:c r="C299" s="1" t="str">
        <x:v>L04</x:v>
      </x:c>
      <x:c r="D299" s="1" t="str">
        <x:v>Column, wall, beam and slab reinforcement</x:v>
      </x:c>
      <x:c r="E299" s="1" t="str">
        <x:v>Rebar</x:v>
      </x:c>
      <x:c r="F299" s="15" t="n">
        <x:v>29.684139475407747</x:v>
      </x:c>
      <x:c r="G299" s="1" t="str">
        <x:v>t</x:v>
      </x:c>
      <x:c r="H299" s="17" t="n">
        <x:v>7</x:v>
      </x:c>
      <x:c r="I299" s="17" t="n">
        <x:v>14</x:v>
      </x:c>
      <x:c r="J299" s="17" t="n">
        <x:f>ROUNDUP(F299/H299,0)</x:f>
        <x:v>5</x:v>
      </x:c>
      <x:c r="K299" s="1" t="n">
        <x:f>MAX(L298+0)</x:f>
        <x:v>236</x:v>
      </x:c>
      <x:c r="L299" s="1" t="n">
        <x:f>K299+J299</x:f>
        <x:v>241</x:v>
      </x:c>
      <x:c r="M299" s="1" t="n">
        <x:f>N299-J299</x:f>
        <x:v>272</x:v>
      </x:c>
      <x:c r="N299" s="1" t="n">
        <x:f>MIN(M300-0)</x:f>
        <x:v>277</x:v>
      </x:c>
      <x:c r="O299" s="1" t="n">
        <x:f>M299-K299</x:f>
        <x:v>36</x:v>
      </x:c>
      <x:c r="P299" s="19" t="n">
        <x:f>INDEX('Calendar'!$C$8:$C$907,K299+1)</x:f>
        <x:v>46603</x:v>
      </x:c>
      <x:c r="Q299" s="19" t="n">
        <x:f>INDEX('Calendar'!$C$8:$C$907,MAX(K299+1,L299))</x:f>
        <x:v>46608</x:v>
      </x:c>
      <x:c r="R299" s="15" t="n">
        <x:v>25795.51720412933</x:v>
      </x:c>
      <x:c r="S299" s="15"/>
      <x:c r="T299" s="15" t="n">
        <x:f>R299/J299</x:f>
        <x:v>5159.103440825866</x:v>
      </x:c>
    </x:row>
    <x:row r="300" ht="23" customHeight="1">
      <x:c r="A300" s="6" t="str">
        <x:v>T3-L04-C</x:v>
      </x:c>
      <x:c r="B300" s="6" t="str">
        <x:v>T3</x:v>
      </x:c>
      <x:c r="C300" s="6" t="str">
        <x:v>L04</x:v>
      </x:c>
      <x:c r="D300" s="6" t="str">
        <x:v>Concrete placement and finishing</x:v>
      </x:c>
      <x:c r="E300" s="6" t="str">
        <x:v>Concrete</x:v>
      </x:c>
      <x:c r="F300" s="14" t="n">
        <x:v>226.70819999999958</x:v>
      </x:c>
      <x:c r="G300" s="6" t="str">
        <x:v>m3</x:v>
      </x:c>
      <x:c r="H300" s="16" t="n">
        <x:v>170</x:v>
      </x:c>
      <x:c r="I300" s="16" t="n">
        <x:v>12</x:v>
      </x:c>
      <x:c r="J300" s="16" t="n">
        <x:f>ROUNDUP(F300/H300,0)</x:f>
        <x:v>2</x:v>
      </x:c>
      <x:c r="K300" s="6" t="n">
        <x:f>MAX(L299+0)</x:f>
        <x:v>241</x:v>
      </x:c>
      <x:c r="L300" s="6" t="n">
        <x:f>K300+J300</x:f>
        <x:v>243</x:v>
      </x:c>
      <x:c r="M300" s="6" t="n">
        <x:f>N300-J300</x:f>
        <x:v>277</x:v>
      </x:c>
      <x:c r="N300" s="6" t="n">
        <x:f>MIN(M301-0)</x:f>
        <x:v>279</x:v>
      </x:c>
      <x:c r="O300" s="6" t="n">
        <x:f>M300-K300</x:f>
        <x:v>36</x:v>
      </x:c>
      <x:c r="P300" s="18" t="n">
        <x:f>INDEX('Calendar'!$C$8:$C$907,K300+1)</x:f>
        <x:v>46609</x:v>
      </x:c>
      <x:c r="Q300" s="18" t="n">
        <x:f>INDEX('Calendar'!$C$8:$C$907,MAX(K300+1,L300))</x:f>
        <x:v>46610</x:v>
      </x:c>
      <x:c r="R300" s="14" t="n">
        <x:v>33527.39699999994</x:v>
      </x:c>
      <x:c r="S300" s="14"/>
      <x:c r="T300" s="14" t="n">
        <x:f>R300/J300</x:f>
        <x:v>16763.69849999997</x:v>
      </x:c>
    </x:row>
    <x:row r="301" ht="23" customHeight="1">
      <x:c r="A301" s="1" t="str">
        <x:v>T3-L04-H</x:v>
      </x:c>
      <x:c r="B301" s="1" t="str">
        <x:v>T3</x:v>
      </x:c>
      <x:c r="C301" s="1" t="str">
        <x:v>L04</x:v>
      </x:c>
      <x:c r="D301" s="1" t="str">
        <x:v>Curing and release hold point</x:v>
      </x:c>
      <x:c r="E301" s="1" t="str">
        <x:v>Site</x:v>
      </x:c>
      <x:c r="F301" s="15" t="n">
        <x:v>1</x:v>
      </x:c>
      <x:c r="G301" s="1" t="str">
        <x:v>hold</x:v>
      </x:c>
      <x:c r="H301" s="17" t="n">
        <x:v>1</x:v>
      </x:c>
      <x:c r="I301" s="17" t="n">
        <x:v>0</x:v>
      </x:c>
      <x:c r="J301" s="17" t="n">
        <x:f>S301</x:f>
        <x:v>5</x:v>
      </x:c>
      <x:c r="K301" s="1" t="n">
        <x:f>MAX(L300+0)</x:f>
        <x:v>243</x:v>
      </x:c>
      <x:c r="L301" s="1" t="n">
        <x:f>K301+J301</x:f>
        <x:v>248</x:v>
      </x:c>
      <x:c r="M301" s="1" t="n">
        <x:f>N301-J301</x:f>
        <x:v>279</x:v>
      </x:c>
      <x:c r="N301" s="1" t="n">
        <x:f>MIN(M302-0,M343-5)</x:f>
        <x:v>284</x:v>
      </x:c>
      <x:c r="O301" s="1" t="n">
        <x:f>M301-K301</x:f>
        <x:v>36</x:v>
      </x:c>
      <x:c r="P301" s="19" t="n">
        <x:f>INDEX('Calendar'!$C$8:$C$907,K301+1)</x:f>
        <x:v>46611</x:v>
      </x:c>
      <x:c r="Q301" s="19" t="n">
        <x:f>INDEX('Calendar'!$C$8:$C$907,MAX(K301+1,L301))</x:f>
        <x:v>46616</x:v>
      </x:c>
      <x:c r="R301" s="15" t="n">
        <x:v>0</x:v>
      </x:c>
      <x:c r="S301" s="15" t="n">
        <x:v>5</x:v>
      </x:c>
      <x:c r="T301" s="15" t="n">
        <x:f>R301/J301</x:f>
        <x:v>0</x:v>
      </x:c>
    </x:row>
    <x:row r="302" ht="23" customHeight="1">
      <x:c r="A302" s="6" t="str">
        <x:v>T3-L05-F</x:v>
      </x:c>
      <x:c r="B302" s="6" t="str">
        <x:v>T3</x:v>
      </x:c>
      <x:c r="C302" s="6" t="str">
        <x:v>L05</x:v>
      </x:c>
      <x:c r="D302" s="6" t="str">
        <x:v>Columns, core and deck formwork</x:v>
      </x:c>
      <x:c r="E302" s="6" t="str">
        <x:v>Formwork</x:v>
      </x:c>
      <x:c r="F302" s="14" t="n">
        <x:v>1222.6600000000005</x:v>
      </x:c>
      <x:c r="G302" s="6" t="str">
        <x:v>m2</x:v>
      </x:c>
      <x:c r="H302" s="16" t="n">
        <x:v>220</x:v>
      </x:c>
      <x:c r="I302" s="16" t="n">
        <x:v>18</x:v>
      </x:c>
      <x:c r="J302" s="16" t="n">
        <x:f>ROUNDUP(F302/H302,0)</x:f>
        <x:v>6</x:v>
      </x:c>
      <x:c r="K302" s="6" t="n">
        <x:f>MAX(L301+0)</x:f>
        <x:v>248</x:v>
      </x:c>
      <x:c r="L302" s="6" t="n">
        <x:f>K302+J302</x:f>
        <x:v>254</x:v>
      </x:c>
      <x:c r="M302" s="6" t="n">
        <x:f>N302-J302</x:f>
        <x:v>284</x:v>
      </x:c>
      <x:c r="N302" s="6" t="n">
        <x:f>MIN(M303-0)</x:f>
        <x:v>290</x:v>
      </x:c>
      <x:c r="O302" s="6" t="n">
        <x:f>M302-K302</x:f>
        <x:v>36</x:v>
      </x:c>
      <x:c r="P302" s="18" t="n">
        <x:f>INDEX('Calendar'!$C$8:$C$907,K302+1)</x:f>
        <x:v>46617</x:v>
      </x:c>
      <x:c r="Q302" s="18" t="n">
        <x:f>INDEX('Calendar'!$C$8:$C$907,MAX(K302+1,L302))</x:f>
        <x:v>46623</x:v>
      </x:c>
      <x:c r="R302" s="14" t="n">
        <x:v>29364.320000000007</x:v>
      </x:c>
      <x:c r="S302" s="14"/>
      <x:c r="T302" s="14" t="n">
        <x:f>R302/J302</x:f>
        <x:v>4894.053333333334</x:v>
      </x:c>
    </x:row>
    <x:row r="303" ht="23" customHeight="1">
      <x:c r="A303" s="1" t="str">
        <x:v>T3-L05-R</x:v>
      </x:c>
      <x:c r="B303" s="1" t="str">
        <x:v>T3</x:v>
      </x:c>
      <x:c r="C303" s="1" t="str">
        <x:v>L05</x:v>
      </x:c>
      <x:c r="D303" s="1" t="str">
        <x:v>Column, wall, beam and slab reinforcement</x:v>
      </x:c>
      <x:c r="E303" s="1" t="str">
        <x:v>Rebar</x:v>
      </x:c>
      <x:c r="F303" s="15" t="n">
        <x:v>29.684139475407747</x:v>
      </x:c>
      <x:c r="G303" s="1" t="str">
        <x:v>t</x:v>
      </x:c>
      <x:c r="H303" s="17" t="n">
        <x:v>7</x:v>
      </x:c>
      <x:c r="I303" s="17" t="n">
        <x:v>14</x:v>
      </x:c>
      <x:c r="J303" s="17" t="n">
        <x:f>ROUNDUP(F303/H303,0)</x:f>
        <x:v>5</x:v>
      </x:c>
      <x:c r="K303" s="1" t="n">
        <x:f>MAX(L302+0)</x:f>
        <x:v>254</x:v>
      </x:c>
      <x:c r="L303" s="1" t="n">
        <x:f>K303+J303</x:f>
        <x:v>259</x:v>
      </x:c>
      <x:c r="M303" s="1" t="n">
        <x:f>N303-J303</x:f>
        <x:v>290</x:v>
      </x:c>
      <x:c r="N303" s="1" t="n">
        <x:f>MIN(M304-0)</x:f>
        <x:v>295</x:v>
      </x:c>
      <x:c r="O303" s="1" t="n">
        <x:f>M303-K303</x:f>
        <x:v>36</x:v>
      </x:c>
      <x:c r="P303" s="19" t="n">
        <x:f>INDEX('Calendar'!$C$8:$C$907,K303+1)</x:f>
        <x:v>46624</x:v>
      </x:c>
      <x:c r="Q303" s="19" t="n">
        <x:f>INDEX('Calendar'!$C$8:$C$907,MAX(K303+1,L303))</x:f>
        <x:v>46629</x:v>
      </x:c>
      <x:c r="R303" s="15" t="n">
        <x:v>25795.51720412933</x:v>
      </x:c>
      <x:c r="S303" s="15"/>
      <x:c r="T303" s="15" t="n">
        <x:f>R303/J303</x:f>
        <x:v>5159.103440825866</x:v>
      </x:c>
    </x:row>
    <x:row r="304" ht="23" customHeight="1">
      <x:c r="A304" s="6" t="str">
        <x:v>T3-L05-C</x:v>
      </x:c>
      <x:c r="B304" s="6" t="str">
        <x:v>T3</x:v>
      </x:c>
      <x:c r="C304" s="6" t="str">
        <x:v>L05</x:v>
      </x:c>
      <x:c r="D304" s="6" t="str">
        <x:v>Concrete placement and finishing</x:v>
      </x:c>
      <x:c r="E304" s="6" t="str">
        <x:v>Concrete</x:v>
      </x:c>
      <x:c r="F304" s="14" t="n">
        <x:v>226.70819999999958</x:v>
      </x:c>
      <x:c r="G304" s="6" t="str">
        <x:v>m3</x:v>
      </x:c>
      <x:c r="H304" s="16" t="n">
        <x:v>170</x:v>
      </x:c>
      <x:c r="I304" s="16" t="n">
        <x:v>12</x:v>
      </x:c>
      <x:c r="J304" s="16" t="n">
        <x:f>ROUNDUP(F304/H304,0)</x:f>
        <x:v>2</x:v>
      </x:c>
      <x:c r="K304" s="6" t="n">
        <x:f>MAX(L303+0)</x:f>
        <x:v>259</x:v>
      </x:c>
      <x:c r="L304" s="6" t="n">
        <x:f>K304+J304</x:f>
        <x:v>261</x:v>
      </x:c>
      <x:c r="M304" s="6" t="n">
        <x:f>N304-J304</x:f>
        <x:v>295</x:v>
      </x:c>
      <x:c r="N304" s="6" t="n">
        <x:f>MIN(M305-0)</x:f>
        <x:v>297</x:v>
      </x:c>
      <x:c r="O304" s="6" t="n">
        <x:f>M304-K304</x:f>
        <x:v>36</x:v>
      </x:c>
      <x:c r="P304" s="18" t="n">
        <x:f>INDEX('Calendar'!$C$8:$C$907,K304+1)</x:f>
        <x:v>46630</x:v>
      </x:c>
      <x:c r="Q304" s="18" t="n">
        <x:f>INDEX('Calendar'!$C$8:$C$907,MAX(K304+1,L304))</x:f>
        <x:v>46631</x:v>
      </x:c>
      <x:c r="R304" s="14" t="n">
        <x:v>33527.39699999994</x:v>
      </x:c>
      <x:c r="S304" s="14"/>
      <x:c r="T304" s="14" t="n">
        <x:f>R304/J304</x:f>
        <x:v>16763.69849999997</x:v>
      </x:c>
    </x:row>
    <x:row r="305" ht="23" customHeight="1">
      <x:c r="A305" s="1" t="str">
        <x:v>T3-L05-H</x:v>
      </x:c>
      <x:c r="B305" s="1" t="str">
        <x:v>T3</x:v>
      </x:c>
      <x:c r="C305" s="1" t="str">
        <x:v>L05</x:v>
      </x:c>
      <x:c r="D305" s="1" t="str">
        <x:v>Curing and release hold point</x:v>
      </x:c>
      <x:c r="E305" s="1" t="str">
        <x:v>Site</x:v>
      </x:c>
      <x:c r="F305" s="15" t="n">
        <x:v>1</x:v>
      </x:c>
      <x:c r="G305" s="1" t="str">
        <x:v>hold</x:v>
      </x:c>
      <x:c r="H305" s="17" t="n">
        <x:v>1</x:v>
      </x:c>
      <x:c r="I305" s="17" t="n">
        <x:v>0</x:v>
      </x:c>
      <x:c r="J305" s="17" t="n">
        <x:f>S305</x:f>
        <x:v>5</x:v>
      </x:c>
      <x:c r="K305" s="1" t="n">
        <x:f>MAX(L304+0)</x:f>
        <x:v>261</x:v>
      </x:c>
      <x:c r="L305" s="1" t="n">
        <x:f>K305+J305</x:f>
        <x:v>266</x:v>
      </x:c>
      <x:c r="M305" s="1" t="n">
        <x:f>N305-J305</x:f>
        <x:v>297</x:v>
      </x:c>
      <x:c r="N305" s="1" t="n">
        <x:f>MIN(M306-0,M349-5)</x:f>
        <x:v>302</x:v>
      </x:c>
      <x:c r="O305" s="1" t="n">
        <x:f>M305-K305</x:f>
        <x:v>36</x:v>
      </x:c>
      <x:c r="P305" s="19" t="n">
        <x:f>INDEX('Calendar'!$C$8:$C$907,K305+1)</x:f>
        <x:v>46632</x:v>
      </x:c>
      <x:c r="Q305" s="19" t="n">
        <x:f>INDEX('Calendar'!$C$8:$C$907,MAX(K305+1,L305))</x:f>
        <x:v>46637</x:v>
      </x:c>
      <x:c r="R305" s="15" t="n">
        <x:v>0</x:v>
      </x:c>
      <x:c r="S305" s="15" t="n">
        <x:v>5</x:v>
      </x:c>
      <x:c r="T305" s="15" t="n">
        <x:f>R305/J305</x:f>
        <x:v>0</x:v>
      </x:c>
    </x:row>
    <x:row r="306" ht="23" customHeight="1">
      <x:c r="A306" s="6" t="str">
        <x:v>T3-L06-F</x:v>
      </x:c>
      <x:c r="B306" s="6" t="str">
        <x:v>T3</x:v>
      </x:c>
      <x:c r="C306" s="6" t="str">
        <x:v>L06</x:v>
      </x:c>
      <x:c r="D306" s="6" t="str">
        <x:v>Columns, core and deck formwork</x:v>
      </x:c>
      <x:c r="E306" s="6" t="str">
        <x:v>Formwork</x:v>
      </x:c>
      <x:c r="F306" s="14" t="n">
        <x:v>1222.6600000000005</x:v>
      </x:c>
      <x:c r="G306" s="6" t="str">
        <x:v>m2</x:v>
      </x:c>
      <x:c r="H306" s="16" t="n">
        <x:v>220</x:v>
      </x:c>
      <x:c r="I306" s="16" t="n">
        <x:v>18</x:v>
      </x:c>
      <x:c r="J306" s="16" t="n">
        <x:f>ROUNDUP(F306/H306,0)</x:f>
        <x:v>6</x:v>
      </x:c>
      <x:c r="K306" s="6" t="n">
        <x:f>MAX(L305+0)</x:f>
        <x:v>266</x:v>
      </x:c>
      <x:c r="L306" s="6" t="n">
        <x:f>K306+J306</x:f>
        <x:v>272</x:v>
      </x:c>
      <x:c r="M306" s="6" t="n">
        <x:f>N306-J306</x:f>
        <x:v>302</x:v>
      </x:c>
      <x:c r="N306" s="6" t="n">
        <x:f>MIN(M307-0)</x:f>
        <x:v>308</x:v>
      </x:c>
      <x:c r="O306" s="6" t="n">
        <x:f>M306-K306</x:f>
        <x:v>36</x:v>
      </x:c>
      <x:c r="P306" s="18" t="n">
        <x:f>INDEX('Calendar'!$C$8:$C$907,K306+1)</x:f>
        <x:v>46638</x:v>
      </x:c>
      <x:c r="Q306" s="18" t="n">
        <x:f>INDEX('Calendar'!$C$8:$C$907,MAX(K306+1,L306))</x:f>
        <x:v>46644</x:v>
      </x:c>
      <x:c r="R306" s="14" t="n">
        <x:v>29364.320000000007</x:v>
      </x:c>
      <x:c r="S306" s="14"/>
      <x:c r="T306" s="14" t="n">
        <x:f>R306/J306</x:f>
        <x:v>4894.053333333334</x:v>
      </x:c>
    </x:row>
    <x:row r="307" ht="23" customHeight="1">
      <x:c r="A307" s="1" t="str">
        <x:v>T3-L06-R</x:v>
      </x:c>
      <x:c r="B307" s="1" t="str">
        <x:v>T3</x:v>
      </x:c>
      <x:c r="C307" s="1" t="str">
        <x:v>L06</x:v>
      </x:c>
      <x:c r="D307" s="1" t="str">
        <x:v>Column, wall, beam and slab reinforcement</x:v>
      </x:c>
      <x:c r="E307" s="1" t="str">
        <x:v>Rebar</x:v>
      </x:c>
      <x:c r="F307" s="15" t="n">
        <x:v>29.684139475407747</x:v>
      </x:c>
      <x:c r="G307" s="1" t="str">
        <x:v>t</x:v>
      </x:c>
      <x:c r="H307" s="17" t="n">
        <x:v>7</x:v>
      </x:c>
      <x:c r="I307" s="17" t="n">
        <x:v>14</x:v>
      </x:c>
      <x:c r="J307" s="17" t="n">
        <x:f>ROUNDUP(F307/H307,0)</x:f>
        <x:v>5</x:v>
      </x:c>
      <x:c r="K307" s="1" t="n">
        <x:f>MAX(L306+0)</x:f>
        <x:v>272</x:v>
      </x:c>
      <x:c r="L307" s="1" t="n">
        <x:f>K307+J307</x:f>
        <x:v>277</x:v>
      </x:c>
      <x:c r="M307" s="1" t="n">
        <x:f>N307-J307</x:f>
        <x:v>308</x:v>
      </x:c>
      <x:c r="N307" s="1" t="n">
        <x:f>MIN(M308-0)</x:f>
        <x:v>313</x:v>
      </x:c>
      <x:c r="O307" s="1" t="n">
        <x:f>M307-K307</x:f>
        <x:v>36</x:v>
      </x:c>
      <x:c r="P307" s="19" t="n">
        <x:f>INDEX('Calendar'!$C$8:$C$907,K307+1)</x:f>
        <x:v>46645</x:v>
      </x:c>
      <x:c r="Q307" s="19" t="n">
        <x:f>INDEX('Calendar'!$C$8:$C$907,MAX(K307+1,L307))</x:f>
        <x:v>46650</x:v>
      </x:c>
      <x:c r="R307" s="15" t="n">
        <x:v>25795.51720412933</x:v>
      </x:c>
      <x:c r="S307" s="15"/>
      <x:c r="T307" s="15" t="n">
        <x:f>R307/J307</x:f>
        <x:v>5159.103440825866</x:v>
      </x:c>
    </x:row>
    <x:row r="308" ht="23" customHeight="1">
      <x:c r="A308" s="6" t="str">
        <x:v>T3-L06-C</x:v>
      </x:c>
      <x:c r="B308" s="6" t="str">
        <x:v>T3</x:v>
      </x:c>
      <x:c r="C308" s="6" t="str">
        <x:v>L06</x:v>
      </x:c>
      <x:c r="D308" s="6" t="str">
        <x:v>Concrete placement and finishing</x:v>
      </x:c>
      <x:c r="E308" s="6" t="str">
        <x:v>Concrete</x:v>
      </x:c>
      <x:c r="F308" s="14" t="n">
        <x:v>226.70819999999958</x:v>
      </x:c>
      <x:c r="G308" s="6" t="str">
        <x:v>m3</x:v>
      </x:c>
      <x:c r="H308" s="16" t="n">
        <x:v>170</x:v>
      </x:c>
      <x:c r="I308" s="16" t="n">
        <x:v>12</x:v>
      </x:c>
      <x:c r="J308" s="16" t="n">
        <x:f>ROUNDUP(F308/H308,0)</x:f>
        <x:v>2</x:v>
      </x:c>
      <x:c r="K308" s="6" t="n">
        <x:f>MAX(L307+0)</x:f>
        <x:v>277</x:v>
      </x:c>
      <x:c r="L308" s="6" t="n">
        <x:f>K308+J308</x:f>
        <x:v>279</x:v>
      </x:c>
      <x:c r="M308" s="6" t="n">
        <x:f>N308-J308</x:f>
        <x:v>313</x:v>
      </x:c>
      <x:c r="N308" s="6" t="n">
        <x:f>MIN(M309-0)</x:f>
        <x:v>315</x:v>
      </x:c>
      <x:c r="O308" s="6" t="n">
        <x:f>M308-K308</x:f>
        <x:v>36</x:v>
      </x:c>
      <x:c r="P308" s="18" t="n">
        <x:f>INDEX('Calendar'!$C$8:$C$907,K308+1)</x:f>
        <x:v>46651</x:v>
      </x:c>
      <x:c r="Q308" s="18" t="n">
        <x:f>INDEX('Calendar'!$C$8:$C$907,MAX(K308+1,L308))</x:f>
        <x:v>46652</x:v>
      </x:c>
      <x:c r="R308" s="14" t="n">
        <x:v>33527.39699999994</x:v>
      </x:c>
      <x:c r="S308" s="14"/>
      <x:c r="T308" s="14" t="n">
        <x:f>R308/J308</x:f>
        <x:v>16763.69849999997</x:v>
      </x:c>
    </x:row>
    <x:row r="309" ht="23" customHeight="1">
      <x:c r="A309" s="1" t="str">
        <x:v>T3-L06-H</x:v>
      </x:c>
      <x:c r="B309" s="1" t="str">
        <x:v>T3</x:v>
      </x:c>
      <x:c r="C309" s="1" t="str">
        <x:v>L06</x:v>
      </x:c>
      <x:c r="D309" s="1" t="str">
        <x:v>Curing and release hold point</x:v>
      </x:c>
      <x:c r="E309" s="1" t="str">
        <x:v>Site</x:v>
      </x:c>
      <x:c r="F309" s="15" t="n">
        <x:v>1</x:v>
      </x:c>
      <x:c r="G309" s="1" t="str">
        <x:v>hold</x:v>
      </x:c>
      <x:c r="H309" s="17" t="n">
        <x:v>1</x:v>
      </x:c>
      <x:c r="I309" s="17" t="n">
        <x:v>0</x:v>
      </x:c>
      <x:c r="J309" s="17" t="n">
        <x:f>S309</x:f>
        <x:v>5</x:v>
      </x:c>
      <x:c r="K309" s="1" t="n">
        <x:f>MAX(L308+0)</x:f>
        <x:v>279</x:v>
      </x:c>
      <x:c r="L309" s="1" t="n">
        <x:f>K309+J309</x:f>
        <x:v>284</x:v>
      </x:c>
      <x:c r="M309" s="1" t="n">
        <x:f>N309-J309</x:f>
        <x:v>315</x:v>
      </x:c>
      <x:c r="N309" s="1" t="n">
        <x:f>MIN(M310-0,M355-5)</x:f>
        <x:v>320</x:v>
      </x:c>
      <x:c r="O309" s="1" t="n">
        <x:f>M309-K309</x:f>
        <x:v>36</x:v>
      </x:c>
      <x:c r="P309" s="19" t="n">
        <x:f>INDEX('Calendar'!$C$8:$C$907,K309+1)</x:f>
        <x:v>46653</x:v>
      </x:c>
      <x:c r="Q309" s="19" t="n">
        <x:f>INDEX('Calendar'!$C$8:$C$907,MAX(K309+1,L309))</x:f>
        <x:v>46658</x:v>
      </x:c>
      <x:c r="R309" s="15" t="n">
        <x:v>0</x:v>
      </x:c>
      <x:c r="S309" s="15" t="n">
        <x:v>5</x:v>
      </x:c>
      <x:c r="T309" s="15" t="n">
        <x:f>R309/J309</x:f>
        <x:v>0</x:v>
      </x:c>
    </x:row>
    <x:row r="310" ht="23" customHeight="1">
      <x:c r="A310" s="6" t="str">
        <x:v>T3-L07-F</x:v>
      </x:c>
      <x:c r="B310" s="6" t="str">
        <x:v>T3</x:v>
      </x:c>
      <x:c r="C310" s="6" t="str">
        <x:v>L07</x:v>
      </x:c>
      <x:c r="D310" s="6" t="str">
        <x:v>Columns, core and deck formwork</x:v>
      </x:c>
      <x:c r="E310" s="6" t="str">
        <x:v>Formwork</x:v>
      </x:c>
      <x:c r="F310" s="14" t="n">
        <x:v>1222.6600000000005</x:v>
      </x:c>
      <x:c r="G310" s="6" t="str">
        <x:v>m2</x:v>
      </x:c>
      <x:c r="H310" s="16" t="n">
        <x:v>220</x:v>
      </x:c>
      <x:c r="I310" s="16" t="n">
        <x:v>18</x:v>
      </x:c>
      <x:c r="J310" s="16" t="n">
        <x:f>ROUNDUP(F310/H310,0)</x:f>
        <x:v>6</x:v>
      </x:c>
      <x:c r="K310" s="6" t="n">
        <x:f>MAX(L309+0)</x:f>
        <x:v>284</x:v>
      </x:c>
      <x:c r="L310" s="6" t="n">
        <x:f>K310+J310</x:f>
        <x:v>290</x:v>
      </x:c>
      <x:c r="M310" s="6" t="n">
        <x:f>N310-J310</x:f>
        <x:v>320</x:v>
      </x:c>
      <x:c r="N310" s="6" t="n">
        <x:f>MIN(M311-0)</x:f>
        <x:v>326</x:v>
      </x:c>
      <x:c r="O310" s="6" t="n">
        <x:f>M310-K310</x:f>
        <x:v>36</x:v>
      </x:c>
      <x:c r="P310" s="18" t="n">
        <x:f>INDEX('Calendar'!$C$8:$C$907,K310+1)</x:f>
        <x:v>46659</x:v>
      </x:c>
      <x:c r="Q310" s="18" t="n">
        <x:f>INDEX('Calendar'!$C$8:$C$907,MAX(K310+1,L310))</x:f>
        <x:v>46665</x:v>
      </x:c>
      <x:c r="R310" s="14" t="n">
        <x:v>29364.320000000007</x:v>
      </x:c>
      <x:c r="S310" s="14"/>
      <x:c r="T310" s="14" t="n">
        <x:f>R310/J310</x:f>
        <x:v>4894.053333333334</x:v>
      </x:c>
    </x:row>
    <x:row r="311" ht="23" customHeight="1">
      <x:c r="A311" s="1" t="str">
        <x:v>T3-L07-R</x:v>
      </x:c>
      <x:c r="B311" s="1" t="str">
        <x:v>T3</x:v>
      </x:c>
      <x:c r="C311" s="1" t="str">
        <x:v>L07</x:v>
      </x:c>
      <x:c r="D311" s="1" t="str">
        <x:v>Column, wall, beam and slab reinforcement</x:v>
      </x:c>
      <x:c r="E311" s="1" t="str">
        <x:v>Rebar</x:v>
      </x:c>
      <x:c r="F311" s="15" t="n">
        <x:v>29.684139475407747</x:v>
      </x:c>
      <x:c r="G311" s="1" t="str">
        <x:v>t</x:v>
      </x:c>
      <x:c r="H311" s="17" t="n">
        <x:v>7</x:v>
      </x:c>
      <x:c r="I311" s="17" t="n">
        <x:v>14</x:v>
      </x:c>
      <x:c r="J311" s="17" t="n">
        <x:f>ROUNDUP(F311/H311,0)</x:f>
        <x:v>5</x:v>
      </x:c>
      <x:c r="K311" s="1" t="n">
        <x:f>MAX(L310+0)</x:f>
        <x:v>290</x:v>
      </x:c>
      <x:c r="L311" s="1" t="n">
        <x:f>K311+J311</x:f>
        <x:v>295</x:v>
      </x:c>
      <x:c r="M311" s="1" t="n">
        <x:f>N311-J311</x:f>
        <x:v>326</x:v>
      </x:c>
      <x:c r="N311" s="1" t="n">
        <x:f>MIN(M312-0)</x:f>
        <x:v>331</x:v>
      </x:c>
      <x:c r="O311" s="1" t="n">
        <x:f>M311-K311</x:f>
        <x:v>36</x:v>
      </x:c>
      <x:c r="P311" s="19" t="n">
        <x:f>INDEX('Calendar'!$C$8:$C$907,K311+1)</x:f>
        <x:v>46666</x:v>
      </x:c>
      <x:c r="Q311" s="19" t="n">
        <x:f>INDEX('Calendar'!$C$8:$C$907,MAX(K311+1,L311))</x:f>
        <x:v>46671</x:v>
      </x:c>
      <x:c r="R311" s="15" t="n">
        <x:v>25795.51720412933</x:v>
      </x:c>
      <x:c r="S311" s="15"/>
      <x:c r="T311" s="15" t="n">
        <x:f>R311/J311</x:f>
        <x:v>5159.103440825866</x:v>
      </x:c>
    </x:row>
    <x:row r="312" ht="23" customHeight="1">
      <x:c r="A312" s="6" t="str">
        <x:v>T3-L07-C</x:v>
      </x:c>
      <x:c r="B312" s="6" t="str">
        <x:v>T3</x:v>
      </x:c>
      <x:c r="C312" s="6" t="str">
        <x:v>L07</x:v>
      </x:c>
      <x:c r="D312" s="6" t="str">
        <x:v>Concrete placement and finishing</x:v>
      </x:c>
      <x:c r="E312" s="6" t="str">
        <x:v>Concrete</x:v>
      </x:c>
      <x:c r="F312" s="14" t="n">
        <x:v>226.70819999999958</x:v>
      </x:c>
      <x:c r="G312" s="6" t="str">
        <x:v>m3</x:v>
      </x:c>
      <x:c r="H312" s="16" t="n">
        <x:v>170</x:v>
      </x:c>
      <x:c r="I312" s="16" t="n">
        <x:v>12</x:v>
      </x:c>
      <x:c r="J312" s="16" t="n">
        <x:f>ROUNDUP(F312/H312,0)</x:f>
        <x:v>2</x:v>
      </x:c>
      <x:c r="K312" s="6" t="n">
        <x:f>MAX(L311+0)</x:f>
        <x:v>295</x:v>
      </x:c>
      <x:c r="L312" s="6" t="n">
        <x:f>K312+J312</x:f>
        <x:v>297</x:v>
      </x:c>
      <x:c r="M312" s="6" t="n">
        <x:f>N312-J312</x:f>
        <x:v>331</x:v>
      </x:c>
      <x:c r="N312" s="6" t="n">
        <x:f>MIN(M313-0)</x:f>
        <x:v>333</x:v>
      </x:c>
      <x:c r="O312" s="6" t="n">
        <x:f>M312-K312</x:f>
        <x:v>36</x:v>
      </x:c>
      <x:c r="P312" s="18" t="n">
        <x:f>INDEX('Calendar'!$C$8:$C$907,K312+1)</x:f>
        <x:v>46672</x:v>
      </x:c>
      <x:c r="Q312" s="18" t="n">
        <x:f>INDEX('Calendar'!$C$8:$C$907,MAX(K312+1,L312))</x:f>
        <x:v>46673</x:v>
      </x:c>
      <x:c r="R312" s="14" t="n">
        <x:v>33527.39699999994</x:v>
      </x:c>
      <x:c r="S312" s="14"/>
      <x:c r="T312" s="14" t="n">
        <x:f>R312/J312</x:f>
        <x:v>16763.69849999997</x:v>
      </x:c>
    </x:row>
    <x:row r="313" ht="23" customHeight="1">
      <x:c r="A313" s="1" t="str">
        <x:v>T3-L07-H</x:v>
      </x:c>
      <x:c r="B313" s="1" t="str">
        <x:v>T3</x:v>
      </x:c>
      <x:c r="C313" s="1" t="str">
        <x:v>L07</x:v>
      </x:c>
      <x:c r="D313" s="1" t="str">
        <x:v>Curing and release hold point</x:v>
      </x:c>
      <x:c r="E313" s="1" t="str">
        <x:v>Site</x:v>
      </x:c>
      <x:c r="F313" s="15" t="n">
        <x:v>1</x:v>
      </x:c>
      <x:c r="G313" s="1" t="str">
        <x:v>hold</x:v>
      </x:c>
      <x:c r="H313" s="17" t="n">
        <x:v>1</x:v>
      </x:c>
      <x:c r="I313" s="17" t="n">
        <x:v>0</x:v>
      </x:c>
      <x:c r="J313" s="17" t="n">
        <x:f>S313</x:f>
        <x:v>5</x:v>
      </x:c>
      <x:c r="K313" s="1" t="n">
        <x:f>MAX(L312+0)</x:f>
        <x:v>297</x:v>
      </x:c>
      <x:c r="L313" s="1" t="n">
        <x:f>K313+J313</x:f>
        <x:v>302</x:v>
      </x:c>
      <x:c r="M313" s="1" t="n">
        <x:f>N313-J313</x:f>
        <x:v>333</x:v>
      </x:c>
      <x:c r="N313" s="1" t="n">
        <x:f>MIN(M314-0,M361-5)</x:f>
        <x:v>338</x:v>
      </x:c>
      <x:c r="O313" s="1" t="n">
        <x:f>M313-K313</x:f>
        <x:v>36</x:v>
      </x:c>
      <x:c r="P313" s="19" t="n">
        <x:f>INDEX('Calendar'!$C$8:$C$907,K313+1)</x:f>
        <x:v>46674</x:v>
      </x:c>
      <x:c r="Q313" s="19" t="n">
        <x:f>INDEX('Calendar'!$C$8:$C$907,MAX(K313+1,L313))</x:f>
        <x:v>46679</x:v>
      </x:c>
      <x:c r="R313" s="15" t="n">
        <x:v>0</x:v>
      </x:c>
      <x:c r="S313" s="15" t="n">
        <x:v>5</x:v>
      </x:c>
      <x:c r="T313" s="15" t="n">
        <x:f>R313/J313</x:f>
        <x:v>0</x:v>
      </x:c>
    </x:row>
    <x:row r="314" ht="23" customHeight="1">
      <x:c r="A314" s="6" t="str">
        <x:v>T3-L08-F</x:v>
      </x:c>
      <x:c r="B314" s="6" t="str">
        <x:v>T3</x:v>
      </x:c>
      <x:c r="C314" s="6" t="str">
        <x:v>L08</x:v>
      </x:c>
      <x:c r="D314" s="6" t="str">
        <x:v>Columns, core and deck formwork</x:v>
      </x:c>
      <x:c r="E314" s="6" t="str">
        <x:v>Formwork</x:v>
      </x:c>
      <x:c r="F314" s="14" t="n">
        <x:v>1222.6600000000005</x:v>
      </x:c>
      <x:c r="G314" s="6" t="str">
        <x:v>m2</x:v>
      </x:c>
      <x:c r="H314" s="16" t="n">
        <x:v>220</x:v>
      </x:c>
      <x:c r="I314" s="16" t="n">
        <x:v>18</x:v>
      </x:c>
      <x:c r="J314" s="16" t="n">
        <x:f>ROUNDUP(F314/H314,0)</x:f>
        <x:v>6</x:v>
      </x:c>
      <x:c r="K314" s="6" t="n">
        <x:f>MAX(L313+0)</x:f>
        <x:v>302</x:v>
      </x:c>
      <x:c r="L314" s="6" t="n">
        <x:f>K314+J314</x:f>
        <x:v>308</x:v>
      </x:c>
      <x:c r="M314" s="6" t="n">
        <x:f>N314-J314</x:f>
        <x:v>338</x:v>
      </x:c>
      <x:c r="N314" s="6" t="n">
        <x:f>MIN(M315-0)</x:f>
        <x:v>344</x:v>
      </x:c>
      <x:c r="O314" s="6" t="n">
        <x:f>M314-K314</x:f>
        <x:v>36</x:v>
      </x:c>
      <x:c r="P314" s="18" t="n">
        <x:f>INDEX('Calendar'!$C$8:$C$907,K314+1)</x:f>
        <x:v>46680</x:v>
      </x:c>
      <x:c r="Q314" s="18" t="n">
        <x:f>INDEX('Calendar'!$C$8:$C$907,MAX(K314+1,L314))</x:f>
        <x:v>46686</x:v>
      </x:c>
      <x:c r="R314" s="14" t="n">
        <x:v>29364.320000000007</x:v>
      </x:c>
      <x:c r="S314" s="14"/>
      <x:c r="T314" s="14" t="n">
        <x:f>R314/J314</x:f>
        <x:v>4894.053333333334</x:v>
      </x:c>
    </x:row>
    <x:row r="315" ht="23" customHeight="1">
      <x:c r="A315" s="1" t="str">
        <x:v>T3-L08-R</x:v>
      </x:c>
      <x:c r="B315" s="1" t="str">
        <x:v>T3</x:v>
      </x:c>
      <x:c r="C315" s="1" t="str">
        <x:v>L08</x:v>
      </x:c>
      <x:c r="D315" s="1" t="str">
        <x:v>Column, wall, beam and slab reinforcement</x:v>
      </x:c>
      <x:c r="E315" s="1" t="str">
        <x:v>Rebar</x:v>
      </x:c>
      <x:c r="F315" s="15" t="n">
        <x:v>29.684139475407747</x:v>
      </x:c>
      <x:c r="G315" s="1" t="str">
        <x:v>t</x:v>
      </x:c>
      <x:c r="H315" s="17" t="n">
        <x:v>7</x:v>
      </x:c>
      <x:c r="I315" s="17" t="n">
        <x:v>14</x:v>
      </x:c>
      <x:c r="J315" s="17" t="n">
        <x:f>ROUNDUP(F315/H315,0)</x:f>
        <x:v>5</x:v>
      </x:c>
      <x:c r="K315" s="1" t="n">
        <x:f>MAX(L314+0)</x:f>
        <x:v>308</x:v>
      </x:c>
      <x:c r="L315" s="1" t="n">
        <x:f>K315+J315</x:f>
        <x:v>313</x:v>
      </x:c>
      <x:c r="M315" s="1" t="n">
        <x:f>N315-J315</x:f>
        <x:v>344</x:v>
      </x:c>
      <x:c r="N315" s="1" t="n">
        <x:f>MIN(M316-0)</x:f>
        <x:v>349</x:v>
      </x:c>
      <x:c r="O315" s="1" t="n">
        <x:f>M315-K315</x:f>
        <x:v>36</x:v>
      </x:c>
      <x:c r="P315" s="19" t="n">
        <x:f>INDEX('Calendar'!$C$8:$C$907,K315+1)</x:f>
        <x:v>46687</x:v>
      </x:c>
      <x:c r="Q315" s="19" t="n">
        <x:f>INDEX('Calendar'!$C$8:$C$907,MAX(K315+1,L315))</x:f>
        <x:v>46692</x:v>
      </x:c>
      <x:c r="R315" s="15" t="n">
        <x:v>25795.51720412933</x:v>
      </x:c>
      <x:c r="S315" s="15"/>
      <x:c r="T315" s="15" t="n">
        <x:f>R315/J315</x:f>
        <x:v>5159.103440825866</x:v>
      </x:c>
    </x:row>
    <x:row r="316" ht="23" customHeight="1">
      <x:c r="A316" s="6" t="str">
        <x:v>T3-L08-C</x:v>
      </x:c>
      <x:c r="B316" s="6" t="str">
        <x:v>T3</x:v>
      </x:c>
      <x:c r="C316" s="6" t="str">
        <x:v>L08</x:v>
      </x:c>
      <x:c r="D316" s="6" t="str">
        <x:v>Concrete placement and finishing</x:v>
      </x:c>
      <x:c r="E316" s="6" t="str">
        <x:v>Concrete</x:v>
      </x:c>
      <x:c r="F316" s="14" t="n">
        <x:v>226.70819999999958</x:v>
      </x:c>
      <x:c r="G316" s="6" t="str">
        <x:v>m3</x:v>
      </x:c>
      <x:c r="H316" s="16" t="n">
        <x:v>170</x:v>
      </x:c>
      <x:c r="I316" s="16" t="n">
        <x:v>12</x:v>
      </x:c>
      <x:c r="J316" s="16" t="n">
        <x:f>ROUNDUP(F316/H316,0)</x:f>
        <x:v>2</x:v>
      </x:c>
      <x:c r="K316" s="6" t="n">
        <x:f>MAX(L315+0)</x:f>
        <x:v>313</x:v>
      </x:c>
      <x:c r="L316" s="6" t="n">
        <x:f>K316+J316</x:f>
        <x:v>315</x:v>
      </x:c>
      <x:c r="M316" s="6" t="n">
        <x:f>N316-J316</x:f>
        <x:v>349</x:v>
      </x:c>
      <x:c r="N316" s="6" t="n">
        <x:f>MIN(M317-0)</x:f>
        <x:v>351</x:v>
      </x:c>
      <x:c r="O316" s="6" t="n">
        <x:f>M316-K316</x:f>
        <x:v>36</x:v>
      </x:c>
      <x:c r="P316" s="18" t="n">
        <x:f>INDEX('Calendar'!$C$8:$C$907,K316+1)</x:f>
        <x:v>46693</x:v>
      </x:c>
      <x:c r="Q316" s="18" t="n">
        <x:f>INDEX('Calendar'!$C$8:$C$907,MAX(K316+1,L316))</x:f>
        <x:v>46694</x:v>
      </x:c>
      <x:c r="R316" s="14" t="n">
        <x:v>33527.39699999994</x:v>
      </x:c>
      <x:c r="S316" s="14"/>
      <x:c r="T316" s="14" t="n">
        <x:f>R316/J316</x:f>
        <x:v>16763.69849999997</x:v>
      </x:c>
    </x:row>
    <x:row r="317" ht="23" customHeight="1">
      <x:c r="A317" s="1" t="str">
        <x:v>T3-L08-H</x:v>
      </x:c>
      <x:c r="B317" s="1" t="str">
        <x:v>T3</x:v>
      </x:c>
      <x:c r="C317" s="1" t="str">
        <x:v>L08</x:v>
      </x:c>
      <x:c r="D317" s="1" t="str">
        <x:v>Curing and release hold point</x:v>
      </x:c>
      <x:c r="E317" s="1" t="str">
        <x:v>Site</x:v>
      </x:c>
      <x:c r="F317" s="15" t="n">
        <x:v>1</x:v>
      </x:c>
      <x:c r="G317" s="1" t="str">
        <x:v>hold</x:v>
      </x:c>
      <x:c r="H317" s="17" t="n">
        <x:v>1</x:v>
      </x:c>
      <x:c r="I317" s="17" t="n">
        <x:v>0</x:v>
      </x:c>
      <x:c r="J317" s="17" t="n">
        <x:f>S317</x:f>
        <x:v>5</x:v>
      </x:c>
      <x:c r="K317" s="1" t="n">
        <x:f>MAX(L316+0)</x:f>
        <x:v>315</x:v>
      </x:c>
      <x:c r="L317" s="1" t="n">
        <x:f>K317+J317</x:f>
        <x:v>320</x:v>
      </x:c>
      <x:c r="M317" s="1" t="n">
        <x:f>N317-J317</x:f>
        <x:v>351</x:v>
      </x:c>
      <x:c r="N317" s="1" t="n">
        <x:f>MIN(M318-0,M335-10,M367-5)</x:f>
        <x:v>356</x:v>
      </x:c>
      <x:c r="O317" s="1" t="n">
        <x:f>M317-K317</x:f>
        <x:v>36</x:v>
      </x:c>
      <x:c r="P317" s="19" t="n">
        <x:f>INDEX('Calendar'!$C$8:$C$907,K317+1)</x:f>
        <x:v>46695</x:v>
      </x:c>
      <x:c r="Q317" s="19" t="n">
        <x:f>INDEX('Calendar'!$C$8:$C$907,MAX(K317+1,L317))</x:f>
        <x:v>46700</x:v>
      </x:c>
      <x:c r="R317" s="15" t="n">
        <x:v>0</x:v>
      </x:c>
      <x:c r="S317" s="15" t="n">
        <x:v>5</x:v>
      </x:c>
      <x:c r="T317" s="15" t="n">
        <x:f>R317/J317</x:f>
        <x:v>0</x:v>
      </x:c>
    </x:row>
    <x:row r="318" ht="23" customHeight="1">
      <x:c r="A318" s="6" t="str">
        <x:v>T3-L09-F</x:v>
      </x:c>
      <x:c r="B318" s="6" t="str">
        <x:v>T3</x:v>
      </x:c>
      <x:c r="C318" s="6" t="str">
        <x:v>L09</x:v>
      </x:c>
      <x:c r="D318" s="6" t="str">
        <x:v>Columns, core and deck formwork</x:v>
      </x:c>
      <x:c r="E318" s="6" t="str">
        <x:v>Formwork</x:v>
      </x:c>
      <x:c r="F318" s="14" t="n">
        <x:v>1222.6600000000005</x:v>
      </x:c>
      <x:c r="G318" s="6" t="str">
        <x:v>m2</x:v>
      </x:c>
      <x:c r="H318" s="16" t="n">
        <x:v>220</x:v>
      </x:c>
      <x:c r="I318" s="16" t="n">
        <x:v>18</x:v>
      </x:c>
      <x:c r="J318" s="16" t="n">
        <x:f>ROUNDUP(F318/H318,0)</x:f>
        <x:v>6</x:v>
      </x:c>
      <x:c r="K318" s="6" t="n">
        <x:f>MAX(L317+0)</x:f>
        <x:v>320</x:v>
      </x:c>
      <x:c r="L318" s="6" t="n">
        <x:f>K318+J318</x:f>
        <x:v>326</x:v>
      </x:c>
      <x:c r="M318" s="6" t="n">
        <x:f>N318-J318</x:f>
        <x:v>356</x:v>
      </x:c>
      <x:c r="N318" s="6" t="n">
        <x:f>MIN(M319-0)</x:f>
        <x:v>362</x:v>
      </x:c>
      <x:c r="O318" s="6" t="n">
        <x:f>M318-K318</x:f>
        <x:v>36</x:v>
      </x:c>
      <x:c r="P318" s="18" t="n">
        <x:f>INDEX('Calendar'!$C$8:$C$907,K318+1)</x:f>
        <x:v>46701</x:v>
      </x:c>
      <x:c r="Q318" s="18" t="n">
        <x:f>INDEX('Calendar'!$C$8:$C$907,MAX(K318+1,L318))</x:f>
        <x:v>46707</x:v>
      </x:c>
      <x:c r="R318" s="14" t="n">
        <x:v>29364.320000000007</x:v>
      </x:c>
      <x:c r="S318" s="14"/>
      <x:c r="T318" s="14" t="n">
        <x:f>R318/J318</x:f>
        <x:v>4894.053333333334</x:v>
      </x:c>
    </x:row>
    <x:row r="319" ht="23" customHeight="1">
      <x:c r="A319" s="1" t="str">
        <x:v>T3-L09-R</x:v>
      </x:c>
      <x:c r="B319" s="1" t="str">
        <x:v>T3</x:v>
      </x:c>
      <x:c r="C319" s="1" t="str">
        <x:v>L09</x:v>
      </x:c>
      <x:c r="D319" s="1" t="str">
        <x:v>Column, wall, beam and slab reinforcement</x:v>
      </x:c>
      <x:c r="E319" s="1" t="str">
        <x:v>Rebar</x:v>
      </x:c>
      <x:c r="F319" s="15" t="n">
        <x:v>29.684139475407747</x:v>
      </x:c>
      <x:c r="G319" s="1" t="str">
        <x:v>t</x:v>
      </x:c>
      <x:c r="H319" s="17" t="n">
        <x:v>7</x:v>
      </x:c>
      <x:c r="I319" s="17" t="n">
        <x:v>14</x:v>
      </x:c>
      <x:c r="J319" s="17" t="n">
        <x:f>ROUNDUP(F319/H319,0)</x:f>
        <x:v>5</x:v>
      </x:c>
      <x:c r="K319" s="1" t="n">
        <x:f>MAX(L318+0)</x:f>
        <x:v>326</x:v>
      </x:c>
      <x:c r="L319" s="1" t="n">
        <x:f>K319+J319</x:f>
        <x:v>331</x:v>
      </x:c>
      <x:c r="M319" s="1" t="n">
        <x:f>N319-J319</x:f>
        <x:v>362</x:v>
      </x:c>
      <x:c r="N319" s="1" t="n">
        <x:f>MIN(M320-0)</x:f>
        <x:v>367</x:v>
      </x:c>
      <x:c r="O319" s="1" t="n">
        <x:f>M319-K319</x:f>
        <x:v>36</x:v>
      </x:c>
      <x:c r="P319" s="19" t="n">
        <x:f>INDEX('Calendar'!$C$8:$C$907,K319+1)</x:f>
        <x:v>46708</x:v>
      </x:c>
      <x:c r="Q319" s="19" t="n">
        <x:f>INDEX('Calendar'!$C$8:$C$907,MAX(K319+1,L319))</x:f>
        <x:v>46713</x:v>
      </x:c>
      <x:c r="R319" s="15" t="n">
        <x:v>25795.51720412933</x:v>
      </x:c>
      <x:c r="S319" s="15"/>
      <x:c r="T319" s="15" t="n">
        <x:f>R319/J319</x:f>
        <x:v>5159.103440825866</x:v>
      </x:c>
    </x:row>
    <x:row r="320" ht="23" customHeight="1">
      <x:c r="A320" s="6" t="str">
        <x:v>T3-L09-C</x:v>
      </x:c>
      <x:c r="B320" s="6" t="str">
        <x:v>T3</x:v>
      </x:c>
      <x:c r="C320" s="6" t="str">
        <x:v>L09</x:v>
      </x:c>
      <x:c r="D320" s="6" t="str">
        <x:v>Concrete placement and finishing</x:v>
      </x:c>
      <x:c r="E320" s="6" t="str">
        <x:v>Concrete</x:v>
      </x:c>
      <x:c r="F320" s="14" t="n">
        <x:v>226.70819999999958</x:v>
      </x:c>
      <x:c r="G320" s="6" t="str">
        <x:v>m3</x:v>
      </x:c>
      <x:c r="H320" s="16" t="n">
        <x:v>170</x:v>
      </x:c>
      <x:c r="I320" s="16" t="n">
        <x:v>12</x:v>
      </x:c>
      <x:c r="J320" s="16" t="n">
        <x:f>ROUNDUP(F320/H320,0)</x:f>
        <x:v>2</x:v>
      </x:c>
      <x:c r="K320" s="6" t="n">
        <x:f>MAX(L319+0)</x:f>
        <x:v>331</x:v>
      </x:c>
      <x:c r="L320" s="6" t="n">
        <x:f>K320+J320</x:f>
        <x:v>333</x:v>
      </x:c>
      <x:c r="M320" s="6" t="n">
        <x:f>N320-J320</x:f>
        <x:v>367</x:v>
      </x:c>
      <x:c r="N320" s="6" t="n">
        <x:f>MIN(M321-0)</x:f>
        <x:v>369</x:v>
      </x:c>
      <x:c r="O320" s="6" t="n">
        <x:f>M320-K320</x:f>
        <x:v>36</x:v>
      </x:c>
      <x:c r="P320" s="18" t="n">
        <x:f>INDEX('Calendar'!$C$8:$C$907,K320+1)</x:f>
        <x:v>46714</x:v>
      </x:c>
      <x:c r="Q320" s="18" t="n">
        <x:f>INDEX('Calendar'!$C$8:$C$907,MAX(K320+1,L320))</x:f>
        <x:v>46715</x:v>
      </x:c>
      <x:c r="R320" s="14" t="n">
        <x:v>33527.39699999994</x:v>
      </x:c>
      <x:c r="S320" s="14"/>
      <x:c r="T320" s="14" t="n">
        <x:f>R320/J320</x:f>
        <x:v>16763.69849999997</x:v>
      </x:c>
    </x:row>
    <x:row r="321" ht="23" customHeight="1">
      <x:c r="A321" s="1" t="str">
        <x:v>T3-L09-H</x:v>
      </x:c>
      <x:c r="B321" s="1" t="str">
        <x:v>T3</x:v>
      </x:c>
      <x:c r="C321" s="1" t="str">
        <x:v>L09</x:v>
      </x:c>
      <x:c r="D321" s="1" t="str">
        <x:v>Curing and release hold point</x:v>
      </x:c>
      <x:c r="E321" s="1" t="str">
        <x:v>Site</x:v>
      </x:c>
      <x:c r="F321" s="15" t="n">
        <x:v>1</x:v>
      </x:c>
      <x:c r="G321" s="1" t="str">
        <x:v>hold</x:v>
      </x:c>
      <x:c r="H321" s="17" t="n">
        <x:v>1</x:v>
      </x:c>
      <x:c r="I321" s="17" t="n">
        <x:v>0</x:v>
      </x:c>
      <x:c r="J321" s="17" t="n">
        <x:f>S321</x:f>
        <x:v>5</x:v>
      </x:c>
      <x:c r="K321" s="1" t="n">
        <x:f>MAX(L320+0)</x:f>
        <x:v>333</x:v>
      </x:c>
      <x:c r="L321" s="1" t="n">
        <x:f>K321+J321</x:f>
        <x:v>338</x:v>
      </x:c>
      <x:c r="M321" s="1" t="n">
        <x:f>N321-J321</x:f>
        <x:v>369</x:v>
      </x:c>
      <x:c r="N321" s="1" t="n">
        <x:f>MIN(M322-0,M373-5)</x:f>
        <x:v>374</x:v>
      </x:c>
      <x:c r="O321" s="1" t="n">
        <x:f>M321-K321</x:f>
        <x:v>36</x:v>
      </x:c>
      <x:c r="P321" s="19" t="n">
        <x:f>INDEX('Calendar'!$C$8:$C$907,K321+1)</x:f>
        <x:v>46716</x:v>
      </x:c>
      <x:c r="Q321" s="19" t="n">
        <x:f>INDEX('Calendar'!$C$8:$C$907,MAX(K321+1,L321))</x:f>
        <x:v>46721</x:v>
      </x:c>
      <x:c r="R321" s="15" t="n">
        <x:v>0</x:v>
      </x:c>
      <x:c r="S321" s="15" t="n">
        <x:v>5</x:v>
      </x:c>
      <x:c r="T321" s="15" t="n">
        <x:f>R321/J321</x:f>
        <x:v>0</x:v>
      </x:c>
    </x:row>
    <x:row r="322" ht="23" customHeight="1">
      <x:c r="A322" s="6" t="str">
        <x:v>T3-L10-F</x:v>
      </x:c>
      <x:c r="B322" s="6" t="str">
        <x:v>T3</x:v>
      </x:c>
      <x:c r="C322" s="6" t="str">
        <x:v>L10</x:v>
      </x:c>
      <x:c r="D322" s="6" t="str">
        <x:v>Columns, core and deck formwork</x:v>
      </x:c>
      <x:c r="E322" s="6" t="str">
        <x:v>Formwork</x:v>
      </x:c>
      <x:c r="F322" s="14" t="n">
        <x:v>1222.6600000000005</x:v>
      </x:c>
      <x:c r="G322" s="6" t="str">
        <x:v>m2</x:v>
      </x:c>
      <x:c r="H322" s="16" t="n">
        <x:v>220</x:v>
      </x:c>
      <x:c r="I322" s="16" t="n">
        <x:v>18</x:v>
      </x:c>
      <x:c r="J322" s="16" t="n">
        <x:f>ROUNDUP(F322/H322,0)</x:f>
        <x:v>6</x:v>
      </x:c>
      <x:c r="K322" s="6" t="n">
        <x:f>MAX(L321+0)</x:f>
        <x:v>338</x:v>
      </x:c>
      <x:c r="L322" s="6" t="n">
        <x:f>K322+J322</x:f>
        <x:v>344</x:v>
      </x:c>
      <x:c r="M322" s="6" t="n">
        <x:f>N322-J322</x:f>
        <x:v>374</x:v>
      </x:c>
      <x:c r="N322" s="6" t="n">
        <x:f>MIN(M323-0)</x:f>
        <x:v>380</x:v>
      </x:c>
      <x:c r="O322" s="6" t="n">
        <x:f>M322-K322</x:f>
        <x:v>36</x:v>
      </x:c>
      <x:c r="P322" s="18" t="n">
        <x:f>INDEX('Calendar'!$C$8:$C$907,K322+1)</x:f>
        <x:v>46722</x:v>
      </x:c>
      <x:c r="Q322" s="18" t="n">
        <x:f>INDEX('Calendar'!$C$8:$C$907,MAX(K322+1,L322))</x:f>
        <x:v>46728</x:v>
      </x:c>
      <x:c r="R322" s="14" t="n">
        <x:v>29364.320000000007</x:v>
      </x:c>
      <x:c r="S322" s="14"/>
      <x:c r="T322" s="14" t="n">
        <x:f>R322/J322</x:f>
        <x:v>4894.053333333334</x:v>
      </x:c>
    </x:row>
    <x:row r="323" ht="23" customHeight="1">
      <x:c r="A323" s="1" t="str">
        <x:v>T3-L10-R</x:v>
      </x:c>
      <x:c r="B323" s="1" t="str">
        <x:v>T3</x:v>
      </x:c>
      <x:c r="C323" s="1" t="str">
        <x:v>L10</x:v>
      </x:c>
      <x:c r="D323" s="1" t="str">
        <x:v>Column, wall, beam and slab reinforcement</x:v>
      </x:c>
      <x:c r="E323" s="1" t="str">
        <x:v>Rebar</x:v>
      </x:c>
      <x:c r="F323" s="15" t="n">
        <x:v>29.684139475407747</x:v>
      </x:c>
      <x:c r="G323" s="1" t="str">
        <x:v>t</x:v>
      </x:c>
      <x:c r="H323" s="17" t="n">
        <x:v>7</x:v>
      </x:c>
      <x:c r="I323" s="17" t="n">
        <x:v>14</x:v>
      </x:c>
      <x:c r="J323" s="17" t="n">
        <x:f>ROUNDUP(F323/H323,0)</x:f>
        <x:v>5</x:v>
      </x:c>
      <x:c r="K323" s="1" t="n">
        <x:f>MAX(L322+0)</x:f>
        <x:v>344</x:v>
      </x:c>
      <x:c r="L323" s="1" t="n">
        <x:f>K323+J323</x:f>
        <x:v>349</x:v>
      </x:c>
      <x:c r="M323" s="1" t="n">
        <x:f>N323-J323</x:f>
        <x:v>380</x:v>
      </x:c>
      <x:c r="N323" s="1" t="n">
        <x:f>MIN(M324-0)</x:f>
        <x:v>385</x:v>
      </x:c>
      <x:c r="O323" s="1" t="n">
        <x:f>M323-K323</x:f>
        <x:v>36</x:v>
      </x:c>
      <x:c r="P323" s="19" t="n">
        <x:f>INDEX('Calendar'!$C$8:$C$907,K323+1)</x:f>
        <x:v>46729</x:v>
      </x:c>
      <x:c r="Q323" s="19" t="n">
        <x:f>INDEX('Calendar'!$C$8:$C$907,MAX(K323+1,L323))</x:f>
        <x:v>46734</x:v>
      </x:c>
      <x:c r="R323" s="15" t="n">
        <x:v>25795.51720412933</x:v>
      </x:c>
      <x:c r="S323" s="15"/>
      <x:c r="T323" s="15" t="n">
        <x:f>R323/J323</x:f>
        <x:v>5159.103440825866</x:v>
      </x:c>
    </x:row>
    <x:row r="324" ht="23" customHeight="1">
      <x:c r="A324" s="6" t="str">
        <x:v>T3-L10-C</x:v>
      </x:c>
      <x:c r="B324" s="6" t="str">
        <x:v>T3</x:v>
      </x:c>
      <x:c r="C324" s="6" t="str">
        <x:v>L10</x:v>
      </x:c>
      <x:c r="D324" s="6" t="str">
        <x:v>Concrete placement and finishing</x:v>
      </x:c>
      <x:c r="E324" s="6" t="str">
        <x:v>Concrete</x:v>
      </x:c>
      <x:c r="F324" s="14" t="n">
        <x:v>226.70819999999958</x:v>
      </x:c>
      <x:c r="G324" s="6" t="str">
        <x:v>m3</x:v>
      </x:c>
      <x:c r="H324" s="16" t="n">
        <x:v>170</x:v>
      </x:c>
      <x:c r="I324" s="16" t="n">
        <x:v>12</x:v>
      </x:c>
      <x:c r="J324" s="16" t="n">
        <x:f>ROUNDUP(F324/H324,0)</x:f>
        <x:v>2</x:v>
      </x:c>
      <x:c r="K324" s="6" t="n">
        <x:f>MAX(L323+0)</x:f>
        <x:v>349</x:v>
      </x:c>
      <x:c r="L324" s="6" t="n">
        <x:f>K324+J324</x:f>
        <x:v>351</x:v>
      </x:c>
      <x:c r="M324" s="6" t="n">
        <x:f>N324-J324</x:f>
        <x:v>385</x:v>
      </x:c>
      <x:c r="N324" s="6" t="n">
        <x:f>MIN(M325-0)</x:f>
        <x:v>387</x:v>
      </x:c>
      <x:c r="O324" s="6" t="n">
        <x:f>M324-K324</x:f>
        <x:v>36</x:v>
      </x:c>
      <x:c r="P324" s="18" t="n">
        <x:f>INDEX('Calendar'!$C$8:$C$907,K324+1)</x:f>
        <x:v>46735</x:v>
      </x:c>
      <x:c r="Q324" s="18" t="n">
        <x:f>INDEX('Calendar'!$C$8:$C$907,MAX(K324+1,L324))</x:f>
        <x:v>46736</x:v>
      </x:c>
      <x:c r="R324" s="14" t="n">
        <x:v>33527.39699999994</x:v>
      </x:c>
      <x:c r="S324" s="14"/>
      <x:c r="T324" s="14" t="n">
        <x:f>R324/J324</x:f>
        <x:v>16763.69849999997</x:v>
      </x:c>
    </x:row>
    <x:row r="325" ht="23" customHeight="1">
      <x:c r="A325" s="1" t="str">
        <x:v>T3-L10-H</x:v>
      </x:c>
      <x:c r="B325" s="1" t="str">
        <x:v>T3</x:v>
      </x:c>
      <x:c r="C325" s="1" t="str">
        <x:v>L10</x:v>
      </x:c>
      <x:c r="D325" s="1" t="str">
        <x:v>Curing and release hold point</x:v>
      </x:c>
      <x:c r="E325" s="1" t="str">
        <x:v>Site</x:v>
      </x:c>
      <x:c r="F325" s="15" t="n">
        <x:v>1</x:v>
      </x:c>
      <x:c r="G325" s="1" t="str">
        <x:v>hold</x:v>
      </x:c>
      <x:c r="H325" s="17" t="n">
        <x:v>1</x:v>
      </x:c>
      <x:c r="I325" s="17" t="n">
        <x:v>0</x:v>
      </x:c>
      <x:c r="J325" s="17" t="n">
        <x:f>S325</x:f>
        <x:v>5</x:v>
      </x:c>
      <x:c r="K325" s="1" t="n">
        <x:f>MAX(L324+0)</x:f>
        <x:v>351</x:v>
      </x:c>
      <x:c r="L325" s="1" t="n">
        <x:f>K325+J325</x:f>
        <x:v>356</x:v>
      </x:c>
      <x:c r="M325" s="1" t="n">
        <x:f>N325-J325</x:f>
        <x:v>387</x:v>
      </x:c>
      <x:c r="N325" s="1" t="n">
        <x:f>MIN(M326-0,M379-5)</x:f>
        <x:v>392</x:v>
      </x:c>
      <x:c r="O325" s="1" t="n">
        <x:f>M325-K325</x:f>
        <x:v>36</x:v>
      </x:c>
      <x:c r="P325" s="19" t="n">
        <x:f>INDEX('Calendar'!$C$8:$C$907,K325+1)</x:f>
        <x:v>46737</x:v>
      </x:c>
      <x:c r="Q325" s="19" t="n">
        <x:f>INDEX('Calendar'!$C$8:$C$907,MAX(K325+1,L325))</x:f>
        <x:v>46742</x:v>
      </x:c>
      <x:c r="R325" s="15" t="n">
        <x:v>0</x:v>
      </x:c>
      <x:c r="S325" s="15" t="n">
        <x:v>5</x:v>
      </x:c>
      <x:c r="T325" s="15" t="n">
        <x:f>R325/J325</x:f>
        <x:v>0</x:v>
      </x:c>
    </x:row>
    <x:row r="326" ht="23" customHeight="1">
      <x:c r="A326" s="6" t="str">
        <x:v>T3-L11-F</x:v>
      </x:c>
      <x:c r="B326" s="6" t="str">
        <x:v>T3</x:v>
      </x:c>
      <x:c r="C326" s="6" t="str">
        <x:v>L11</x:v>
      </x:c>
      <x:c r="D326" s="6" t="str">
        <x:v>Columns, core and deck formwork</x:v>
      </x:c>
      <x:c r="E326" s="6" t="str">
        <x:v>Formwork</x:v>
      </x:c>
      <x:c r="F326" s="14" t="n">
        <x:v>1222.6600000000005</x:v>
      </x:c>
      <x:c r="G326" s="6" t="str">
        <x:v>m2</x:v>
      </x:c>
      <x:c r="H326" s="16" t="n">
        <x:v>220</x:v>
      </x:c>
      <x:c r="I326" s="16" t="n">
        <x:v>18</x:v>
      </x:c>
      <x:c r="J326" s="16" t="n">
        <x:f>ROUNDUP(F326/H326,0)</x:f>
        <x:v>6</x:v>
      </x:c>
      <x:c r="K326" s="6" t="n">
        <x:f>MAX(L325+0)</x:f>
        <x:v>356</x:v>
      </x:c>
      <x:c r="L326" s="6" t="n">
        <x:f>K326+J326</x:f>
        <x:v>362</x:v>
      </x:c>
      <x:c r="M326" s="6" t="n">
        <x:f>N326-J326</x:f>
        <x:v>392</x:v>
      </x:c>
      <x:c r="N326" s="6" t="n">
        <x:f>MIN(M327-0)</x:f>
        <x:v>398</x:v>
      </x:c>
      <x:c r="O326" s="6" t="n">
        <x:f>M326-K326</x:f>
        <x:v>36</x:v>
      </x:c>
      <x:c r="P326" s="18" t="n">
        <x:f>INDEX('Calendar'!$C$8:$C$907,K326+1)</x:f>
        <x:v>46743</x:v>
      </x:c>
      <x:c r="Q326" s="18" t="n">
        <x:f>INDEX('Calendar'!$C$8:$C$907,MAX(K326+1,L326))</x:f>
        <x:v>46749</x:v>
      </x:c>
      <x:c r="R326" s="14" t="n">
        <x:v>29364.320000000007</x:v>
      </x:c>
      <x:c r="S326" s="14"/>
      <x:c r="T326" s="14" t="n">
        <x:f>R326/J326</x:f>
        <x:v>4894.053333333334</x:v>
      </x:c>
    </x:row>
    <x:row r="327" ht="23" customHeight="1">
      <x:c r="A327" s="1" t="str">
        <x:v>T3-L11-R</x:v>
      </x:c>
      <x:c r="B327" s="1" t="str">
        <x:v>T3</x:v>
      </x:c>
      <x:c r="C327" s="1" t="str">
        <x:v>L11</x:v>
      </x:c>
      <x:c r="D327" s="1" t="str">
        <x:v>Column, wall, beam and slab reinforcement</x:v>
      </x:c>
      <x:c r="E327" s="1" t="str">
        <x:v>Rebar</x:v>
      </x:c>
      <x:c r="F327" s="15" t="n">
        <x:v>29.684139475407747</x:v>
      </x:c>
      <x:c r="G327" s="1" t="str">
        <x:v>t</x:v>
      </x:c>
      <x:c r="H327" s="17" t="n">
        <x:v>7</x:v>
      </x:c>
      <x:c r="I327" s="17" t="n">
        <x:v>14</x:v>
      </x:c>
      <x:c r="J327" s="17" t="n">
        <x:f>ROUNDUP(F327/H327,0)</x:f>
        <x:v>5</x:v>
      </x:c>
      <x:c r="K327" s="1" t="n">
        <x:f>MAX(L326+0)</x:f>
        <x:v>362</x:v>
      </x:c>
      <x:c r="L327" s="1" t="n">
        <x:f>K327+J327</x:f>
        <x:v>367</x:v>
      </x:c>
      <x:c r="M327" s="1" t="n">
        <x:f>N327-J327</x:f>
        <x:v>398</x:v>
      </x:c>
      <x:c r="N327" s="1" t="n">
        <x:f>MIN(M328-0)</x:f>
        <x:v>403</x:v>
      </x:c>
      <x:c r="O327" s="1" t="n">
        <x:f>M327-K327</x:f>
        <x:v>36</x:v>
      </x:c>
      <x:c r="P327" s="19" t="n">
        <x:f>INDEX('Calendar'!$C$8:$C$907,K327+1)</x:f>
        <x:v>46750</x:v>
      </x:c>
      <x:c r="Q327" s="19" t="n">
        <x:f>INDEX('Calendar'!$C$8:$C$907,MAX(K327+1,L327))</x:f>
        <x:v>46755</x:v>
      </x:c>
      <x:c r="R327" s="15" t="n">
        <x:v>25795.51720412933</x:v>
      </x:c>
      <x:c r="S327" s="15"/>
      <x:c r="T327" s="15" t="n">
        <x:f>R327/J327</x:f>
        <x:v>5159.103440825866</x:v>
      </x:c>
    </x:row>
    <x:row r="328" ht="23" customHeight="1">
      <x:c r="A328" s="6" t="str">
        <x:v>T3-L11-C</x:v>
      </x:c>
      <x:c r="B328" s="6" t="str">
        <x:v>T3</x:v>
      </x:c>
      <x:c r="C328" s="6" t="str">
        <x:v>L11</x:v>
      </x:c>
      <x:c r="D328" s="6" t="str">
        <x:v>Concrete placement and finishing</x:v>
      </x:c>
      <x:c r="E328" s="6" t="str">
        <x:v>Concrete</x:v>
      </x:c>
      <x:c r="F328" s="14" t="n">
        <x:v>226.70819999999958</x:v>
      </x:c>
      <x:c r="G328" s="6" t="str">
        <x:v>m3</x:v>
      </x:c>
      <x:c r="H328" s="16" t="n">
        <x:v>170</x:v>
      </x:c>
      <x:c r="I328" s="16" t="n">
        <x:v>12</x:v>
      </x:c>
      <x:c r="J328" s="16" t="n">
        <x:f>ROUNDUP(F328/H328,0)</x:f>
        <x:v>2</x:v>
      </x:c>
      <x:c r="K328" s="6" t="n">
        <x:f>MAX(L327+0)</x:f>
        <x:v>367</x:v>
      </x:c>
      <x:c r="L328" s="6" t="n">
        <x:f>K328+J328</x:f>
        <x:v>369</x:v>
      </x:c>
      <x:c r="M328" s="6" t="n">
        <x:f>N328-J328</x:f>
        <x:v>403</x:v>
      </x:c>
      <x:c r="N328" s="6" t="n">
        <x:f>MIN(M329-0)</x:f>
        <x:v>405</x:v>
      </x:c>
      <x:c r="O328" s="6" t="n">
        <x:f>M328-K328</x:f>
        <x:v>36</x:v>
      </x:c>
      <x:c r="P328" s="18" t="n">
        <x:f>INDEX('Calendar'!$C$8:$C$907,K328+1)</x:f>
        <x:v>46756</x:v>
      </x:c>
      <x:c r="Q328" s="18" t="n">
        <x:f>INDEX('Calendar'!$C$8:$C$907,MAX(K328+1,L328))</x:f>
        <x:v>46757</x:v>
      </x:c>
      <x:c r="R328" s="14" t="n">
        <x:v>33527.39699999994</x:v>
      </x:c>
      <x:c r="S328" s="14"/>
      <x:c r="T328" s="14" t="n">
        <x:f>R328/J328</x:f>
        <x:v>16763.69849999997</x:v>
      </x:c>
    </x:row>
    <x:row r="329" ht="23" customHeight="1">
      <x:c r="A329" s="1" t="str">
        <x:v>T3-L11-H</x:v>
      </x:c>
      <x:c r="B329" s="1" t="str">
        <x:v>T3</x:v>
      </x:c>
      <x:c r="C329" s="1" t="str">
        <x:v>L11</x:v>
      </x:c>
      <x:c r="D329" s="1" t="str">
        <x:v>Curing and release hold point</x:v>
      </x:c>
      <x:c r="E329" s="1" t="str">
        <x:v>Site</x:v>
      </x:c>
      <x:c r="F329" s="15" t="n">
        <x:v>1</x:v>
      </x:c>
      <x:c r="G329" s="1" t="str">
        <x:v>hold</x:v>
      </x:c>
      <x:c r="H329" s="17" t="n">
        <x:v>1</x:v>
      </x:c>
      <x:c r="I329" s="17" t="n">
        <x:v>0</x:v>
      </x:c>
      <x:c r="J329" s="17" t="n">
        <x:f>S329</x:f>
        <x:v>5</x:v>
      </x:c>
      <x:c r="K329" s="1" t="n">
        <x:f>MAX(L328+0)</x:f>
        <x:v>369</x:v>
      </x:c>
      <x:c r="L329" s="1" t="n">
        <x:f>K329+J329</x:f>
        <x:v>374</x:v>
      </x:c>
      <x:c r="M329" s="1" t="n">
        <x:f>N329-J329</x:f>
        <x:v>405</x:v>
      </x:c>
      <x:c r="N329" s="1" t="n">
        <x:f>MIN(M330-0,M385-5)</x:f>
        <x:v>410</x:v>
      </x:c>
      <x:c r="O329" s="1" t="n">
        <x:f>M329-K329</x:f>
        <x:v>36</x:v>
      </x:c>
      <x:c r="P329" s="19" t="n">
        <x:f>INDEX('Calendar'!$C$8:$C$907,K329+1)</x:f>
        <x:v>46758</x:v>
      </x:c>
      <x:c r="Q329" s="19" t="n">
        <x:f>INDEX('Calendar'!$C$8:$C$907,MAX(K329+1,L329))</x:f>
        <x:v>46763</x:v>
      </x:c>
      <x:c r="R329" s="15" t="n">
        <x:v>0</x:v>
      </x:c>
      <x:c r="S329" s="15" t="n">
        <x:v>5</x:v>
      </x:c>
      <x:c r="T329" s="15" t="n">
        <x:f>R329/J329</x:f>
        <x:v>0</x:v>
      </x:c>
    </x:row>
    <x:row r="330" ht="23" customHeight="1">
      <x:c r="A330" s="6" t="str">
        <x:v>T3-L12-F</x:v>
      </x:c>
      <x:c r="B330" s="6" t="str">
        <x:v>T3</x:v>
      </x:c>
      <x:c r="C330" s="6" t="str">
        <x:v>L12</x:v>
      </x:c>
      <x:c r="D330" s="6" t="str">
        <x:v>Columns, core and deck formwork</x:v>
      </x:c>
      <x:c r="E330" s="6" t="str">
        <x:v>Formwork</x:v>
      </x:c>
      <x:c r="F330" s="14" t="n">
        <x:v>1222.6600000000005</x:v>
      </x:c>
      <x:c r="G330" s="6" t="str">
        <x:v>m2</x:v>
      </x:c>
      <x:c r="H330" s="16" t="n">
        <x:v>220</x:v>
      </x:c>
      <x:c r="I330" s="16" t="n">
        <x:v>18</x:v>
      </x:c>
      <x:c r="J330" s="16" t="n">
        <x:f>ROUNDUP(F330/H330,0)</x:f>
        <x:v>6</x:v>
      </x:c>
      <x:c r="K330" s="6" t="n">
        <x:f>MAX(L329+0)</x:f>
        <x:v>374</x:v>
      </x:c>
      <x:c r="L330" s="6" t="n">
        <x:f>K330+J330</x:f>
        <x:v>380</x:v>
      </x:c>
      <x:c r="M330" s="6" t="n">
        <x:f>N330-J330</x:f>
        <x:v>410</x:v>
      </x:c>
      <x:c r="N330" s="6" t="n">
        <x:f>MIN(M331-0)</x:f>
        <x:v>416</x:v>
      </x:c>
      <x:c r="O330" s="6" t="n">
        <x:f>M330-K330</x:f>
        <x:v>36</x:v>
      </x:c>
      <x:c r="P330" s="18" t="n">
        <x:f>INDEX('Calendar'!$C$8:$C$907,K330+1)</x:f>
        <x:v>46764</x:v>
      </x:c>
      <x:c r="Q330" s="18" t="n">
        <x:f>INDEX('Calendar'!$C$8:$C$907,MAX(K330+1,L330))</x:f>
        <x:v>46770</x:v>
      </x:c>
      <x:c r="R330" s="14" t="n">
        <x:v>29364.320000000007</x:v>
      </x:c>
      <x:c r="S330" s="14"/>
      <x:c r="T330" s="14" t="n">
        <x:f>R330/J330</x:f>
        <x:v>4894.053333333334</x:v>
      </x:c>
    </x:row>
    <x:row r="331" ht="23" customHeight="1">
      <x:c r="A331" s="1" t="str">
        <x:v>T3-L12-R</x:v>
      </x:c>
      <x:c r="B331" s="1" t="str">
        <x:v>T3</x:v>
      </x:c>
      <x:c r="C331" s="1" t="str">
        <x:v>L12</x:v>
      </x:c>
      <x:c r="D331" s="1" t="str">
        <x:v>Column, wall, beam and slab reinforcement</x:v>
      </x:c>
      <x:c r="E331" s="1" t="str">
        <x:v>Rebar</x:v>
      </x:c>
      <x:c r="F331" s="15" t="n">
        <x:v>29.684139475407747</x:v>
      </x:c>
      <x:c r="G331" s="1" t="str">
        <x:v>t</x:v>
      </x:c>
      <x:c r="H331" s="17" t="n">
        <x:v>7</x:v>
      </x:c>
      <x:c r="I331" s="17" t="n">
        <x:v>14</x:v>
      </x:c>
      <x:c r="J331" s="17" t="n">
        <x:f>ROUNDUP(F331/H331,0)</x:f>
        <x:v>5</x:v>
      </x:c>
      <x:c r="K331" s="1" t="n">
        <x:f>MAX(L330+0)</x:f>
        <x:v>380</x:v>
      </x:c>
      <x:c r="L331" s="1" t="n">
        <x:f>K331+J331</x:f>
        <x:v>385</x:v>
      </x:c>
      <x:c r="M331" s="1" t="n">
        <x:f>N331-J331</x:f>
        <x:v>416</x:v>
      </x:c>
      <x:c r="N331" s="1" t="n">
        <x:f>MIN(M332-0)</x:f>
        <x:v>421</x:v>
      </x:c>
      <x:c r="O331" s="1" t="n">
        <x:f>M331-K331</x:f>
        <x:v>36</x:v>
      </x:c>
      <x:c r="P331" s="19" t="n">
        <x:f>INDEX('Calendar'!$C$8:$C$907,K331+1)</x:f>
        <x:v>46771</x:v>
      </x:c>
      <x:c r="Q331" s="19" t="n">
        <x:f>INDEX('Calendar'!$C$8:$C$907,MAX(K331+1,L331))</x:f>
        <x:v>46776</x:v>
      </x:c>
      <x:c r="R331" s="15" t="n">
        <x:v>25795.51720412933</x:v>
      </x:c>
      <x:c r="S331" s="15"/>
      <x:c r="T331" s="15" t="n">
        <x:f>R331/J331</x:f>
        <x:v>5159.103440825866</x:v>
      </x:c>
    </x:row>
    <x:row r="332" ht="23" customHeight="1">
      <x:c r="A332" s="6" t="str">
        <x:v>T3-L12-C</x:v>
      </x:c>
      <x:c r="B332" s="6" t="str">
        <x:v>T3</x:v>
      </x:c>
      <x:c r="C332" s="6" t="str">
        <x:v>L12</x:v>
      </x:c>
      <x:c r="D332" s="6" t="str">
        <x:v>Concrete placement and finishing</x:v>
      </x:c>
      <x:c r="E332" s="6" t="str">
        <x:v>Concrete</x:v>
      </x:c>
      <x:c r="F332" s="14" t="n">
        <x:v>226.70819999999958</x:v>
      </x:c>
      <x:c r="G332" s="6" t="str">
        <x:v>m3</x:v>
      </x:c>
      <x:c r="H332" s="16" t="n">
        <x:v>170</x:v>
      </x:c>
      <x:c r="I332" s="16" t="n">
        <x:v>12</x:v>
      </x:c>
      <x:c r="J332" s="16" t="n">
        <x:f>ROUNDUP(F332/H332,0)</x:f>
        <x:v>2</x:v>
      </x:c>
      <x:c r="K332" s="6" t="n">
        <x:f>MAX(L331+0)</x:f>
        <x:v>385</x:v>
      </x:c>
      <x:c r="L332" s="6" t="n">
        <x:f>K332+J332</x:f>
        <x:v>387</x:v>
      </x:c>
      <x:c r="M332" s="6" t="n">
        <x:f>N332-J332</x:f>
        <x:v>421</x:v>
      </x:c>
      <x:c r="N332" s="6" t="n">
        <x:f>MIN(M333-0)</x:f>
        <x:v>423</x:v>
      </x:c>
      <x:c r="O332" s="6" t="n">
        <x:f>M332-K332</x:f>
        <x:v>36</x:v>
      </x:c>
      <x:c r="P332" s="18" t="n">
        <x:f>INDEX('Calendar'!$C$8:$C$907,K332+1)</x:f>
        <x:v>46777</x:v>
      </x:c>
      <x:c r="Q332" s="18" t="n">
        <x:f>INDEX('Calendar'!$C$8:$C$907,MAX(K332+1,L332))</x:f>
        <x:v>46778</x:v>
      </x:c>
      <x:c r="R332" s="14" t="n">
        <x:v>33527.39699999994</x:v>
      </x:c>
      <x:c r="S332" s="14"/>
      <x:c r="T332" s="14" t="n">
        <x:f>R332/J332</x:f>
        <x:v>16763.69849999997</x:v>
      </x:c>
    </x:row>
    <x:row r="333" ht="23" customHeight="1">
      <x:c r="A333" s="1" t="str">
        <x:v>T3-L12-H</x:v>
      </x:c>
      <x:c r="B333" s="1" t="str">
        <x:v>T3</x:v>
      </x:c>
      <x:c r="C333" s="1" t="str">
        <x:v>L12</x:v>
      </x:c>
      <x:c r="D333" s="1" t="str">
        <x:v>Curing and release hold point</x:v>
      </x:c>
      <x:c r="E333" s="1" t="str">
        <x:v>Site</x:v>
      </x:c>
      <x:c r="F333" s="15" t="n">
        <x:v>1</x:v>
      </x:c>
      <x:c r="G333" s="1" t="str">
        <x:v>hold</x:v>
      </x:c>
      <x:c r="H333" s="17" t="n">
        <x:v>1</x:v>
      </x:c>
      <x:c r="I333" s="17" t="n">
        <x:v>0</x:v>
      </x:c>
      <x:c r="J333" s="17" t="n">
        <x:f>S333</x:f>
        <x:v>5</x:v>
      </x:c>
      <x:c r="K333" s="1" t="n">
        <x:f>MAX(L332+0)</x:f>
        <x:v>387</x:v>
      </x:c>
      <x:c r="L333" s="1" t="n">
        <x:f>K333+J333</x:f>
        <x:v>392</x:v>
      </x:c>
      <x:c r="M333" s="1" t="n">
        <x:f>N333-J333</x:f>
        <x:v>423</x:v>
      </x:c>
      <x:c r="N333" s="1" t="n">
        <x:f>MIN(M334-5,M391-5,M397-5,M403-5,M409-5)</x:f>
        <x:v>428</x:v>
      </x:c>
      <x:c r="O333" s="1" t="n">
        <x:f>M333-K333</x:f>
        <x:v>36</x:v>
      </x:c>
      <x:c r="P333" s="19" t="n">
        <x:f>INDEX('Calendar'!$C$8:$C$907,K333+1)</x:f>
        <x:v>46779</x:v>
      </x:c>
      <x:c r="Q333" s="19" t="n">
        <x:f>INDEX('Calendar'!$C$8:$C$907,MAX(K333+1,L333))</x:f>
        <x:v>46784</x:v>
      </x:c>
      <x:c r="R333" s="15" t="n">
        <x:v>0</x:v>
      </x:c>
      <x:c r="S333" s="15" t="n">
        <x:v>5</x:v>
      </x:c>
      <x:c r="T333" s="15" t="n">
        <x:f>R333/J333</x:f>
        <x:v>0</x:v>
      </x:c>
    </x:row>
    <x:row r="334" ht="23" customHeight="1">
      <x:c r="A334" s="6" t="str">
        <x:v>T3-RF</x:v>
      </x:c>
      <x:c r="B334" s="6" t="str">
        <x:v>T3</x:v>
      </x:c>
      <x:c r="C334" s="6" t="str">
        <x:v>ROOF</x:v>
      </x:c>
      <x:c r="D334" s="6" t="str">
        <x:v>Roof membrane and weatherproofing</x:v>
      </x:c>
      <x:c r="E334" s="6" t="str">
        <x:v>Envelope</x:v>
      </x:c>
      <x:c r="F334" s="14" t="n">
        <x:v>2400</x:v>
      </x:c>
      <x:c r="G334" s="6" t="str">
        <x:v>m2</x:v>
      </x:c>
      <x:c r="H334" s="16" t="n">
        <x:v>180</x:v>
      </x:c>
      <x:c r="I334" s="16" t="n">
        <x:v>10</x:v>
      </x:c>
      <x:c r="J334" s="16" t="n">
        <x:f>ROUNDUP(F334/H334,0)</x:f>
        <x:v>14</x:v>
      </x:c>
      <x:c r="K334" s="6" t="n">
        <x:f>MAX(L333+5)</x:f>
        <x:v>397</x:v>
      </x:c>
      <x:c r="L334" s="6" t="n">
        <x:f>K334+J334</x:f>
        <x:v>411</x:v>
      </x:c>
      <x:c r="M334" s="6" t="n">
        <x:f>N334-J334</x:f>
        <x:v>438</x:v>
      </x:c>
      <x:c r="N334" s="6" t="n">
        <x:f>MIN(M336-0)</x:f>
        <x:v>452</x:v>
      </x:c>
      <x:c r="O334" s="6" t="n">
        <x:f>M334-K334</x:f>
        <x:v>41</x:v>
      </x:c>
      <x:c r="P334" s="18" t="n">
        <x:f>INDEX('Calendar'!$C$8:$C$907,K334+1)</x:f>
        <x:v>46791</x:v>
      </x:c>
      <x:c r="Q334" s="18" t="n">
        <x:f>INDEX('Calendar'!$C$8:$C$907,MAX(K334+1,L334))</x:f>
        <x:v>46806</x:v>
      </x:c>
      <x:c r="R334" s="14" t="n">
        <x:v>48000</x:v>
      </x:c>
      <x:c r="S334" s="14"/>
      <x:c r="T334" s="14" t="n">
        <x:f>R334/J334</x:f>
        <x:v>3428.5714285714284</x:v>
      </x:c>
    </x:row>
    <x:row r="335" ht="23" customHeight="1">
      <x:c r="A335" s="1" t="str">
        <x:v>T3-FA</x:v>
      </x:c>
      <x:c r="B335" s="1" t="str">
        <x:v>T3</x:v>
      </x:c>
      <x:c r="C335" s="1" t="str">
        <x:v>ALL</x:v>
      </x:c>
      <x:c r="D335" s="1" t="str">
        <x:v>Insulated facade installation</x:v>
      </x:c>
      <x:c r="E335" s="1" t="str">
        <x:v>Envelope</x:v>
      </x:c>
      <x:c r="F335" s="15" t="n">
        <x:v>3234.8159999999993</x:v>
      </x:c>
      <x:c r="G335" s="1" t="str">
        <x:v>m2</x:v>
      </x:c>
      <x:c r="H335" s="17" t="n">
        <x:v>150</x:v>
      </x:c>
      <x:c r="I335" s="17" t="n">
        <x:v>16</x:v>
      </x:c>
      <x:c r="J335" s="17" t="n">
        <x:f>ROUNDUP(F335/H335,0)</x:f>
        <x:v>22</x:v>
      </x:c>
      <x:c r="K335" s="1" t="n">
        <x:f>MAX(L317+10)</x:f>
        <x:v>330</x:v>
      </x:c>
      <x:c r="L335" s="1" t="n">
        <x:f>K335+J335</x:f>
        <x:v>352</x:v>
      </x:c>
      <x:c r="M335" s="1" t="n">
        <x:f>N335-J335</x:f>
        <x:v>430</x:v>
      </x:c>
      <x:c r="N335" s="1" t="n">
        <x:f>MIN(M336-0)</x:f>
        <x:v>452</x:v>
      </x:c>
      <x:c r="O335" s="1" t="n">
        <x:f>M335-K335</x:f>
        <x:v>100</x:v>
      </x:c>
      <x:c r="P335" s="19" t="n">
        <x:f>INDEX('Calendar'!$C$8:$C$907,K335+1)</x:f>
        <x:v>46713</x:v>
      </x:c>
      <x:c r="Q335" s="19" t="n">
        <x:f>INDEX('Calendar'!$C$8:$C$907,MAX(K335+1,L335))</x:f>
        <x:v>46737</x:v>
      </x:c>
      <x:c r="R335" s="15" t="n">
        <x:v>271724.54399999994</x:v>
      </x:c>
      <x:c r="S335" s="15"/>
      <x:c r="T335" s="15" t="n">
        <x:f>R335/J335</x:f>
        <x:v>12351.115636363633</x:v>
      </x:c>
    </x:row>
    <x:row r="336" ht="23" customHeight="1">
      <x:c r="A336" s="6" t="str">
        <x:v>T3-GL</x:v>
      </x:c>
      <x:c r="B336" s="6" t="str">
        <x:v>T3</x:v>
      </x:c>
      <x:c r="C336" s="6" t="str">
        <x:v>ALL</x:v>
      </x:c>
      <x:c r="D336" s="6" t="str">
        <x:v>Glazing and frame installation</x:v>
      </x:c>
      <x:c r="E336" s="6" t="str">
        <x:v>Envelope</x:v>
      </x:c>
      <x:c r="F336" s="14" t="n">
        <x:v>1257.9840000000002</x:v>
      </x:c>
      <x:c r="G336" s="6" t="str">
        <x:v>m2</x:v>
      </x:c>
      <x:c r="H336" s="16" t="n">
        <x:v>90</x:v>
      </x:c>
      <x:c r="I336" s="16" t="n">
        <x:v>12</x:v>
      </x:c>
      <x:c r="J336" s="16" t="n">
        <x:f>ROUNDUP(F336/H336,0)</x:f>
        <x:v>14</x:v>
      </x:c>
      <x:c r="K336" s="6" t="n">
        <x:f>MAX(L335+0,L334+0)</x:f>
        <x:v>411</x:v>
      </x:c>
      <x:c r="L336" s="6" t="n">
        <x:f>K336+J336</x:f>
        <x:v>425</x:v>
      </x:c>
      <x:c r="M336" s="6" t="n">
        <x:f>N336-J336</x:f>
        <x:v>452</x:v>
      </x:c>
      <x:c r="N336" s="6" t="n">
        <x:f>MIN(M340-0,M346-0,M352-0,M358-0,M364-0,M370-0,M376-0,M382-0,M388-0,M394-0,M400-0,M406-0,M412-0)</x:f>
        <x:v>466</x:v>
      </x:c>
      <x:c r="O336" s="6" t="n">
        <x:f>M336-K336</x:f>
        <x:v>41</x:v>
      </x:c>
      <x:c r="P336" s="18" t="n">
        <x:f>INDEX('Calendar'!$C$8:$C$907,K336+1)</x:f>
        <x:v>46807</x:v>
      </x:c>
      <x:c r="Q336" s="18" t="n">
        <x:f>INDEX('Calendar'!$C$8:$C$907,MAX(K336+1,L336))</x:f>
        <x:v>46822</x:v>
      </x:c>
      <x:c r="R336" s="14" t="n">
        <x:v>276756.48000000004</x:v>
      </x:c>
      <x:c r="S336" s="14"/>
      <x:c r="T336" s="14" t="n">
        <x:f>R336/J336</x:f>
        <x:v>19768.320000000003</x:v>
      </x:c>
    </x:row>
    <x:row r="337" ht="23" customHeight="1">
      <x:c r="A337" s="1" t="str">
        <x:v>T3-L00-M</x:v>
      </x:c>
      <x:c r="B337" s="1" t="str">
        <x:v>T3</x:v>
      </x:c>
      <x:c r="C337" s="1" t="str">
        <x:v>L00</x:v>
      </x:c>
      <x:c r="D337" s="1" t="str">
        <x:v>Partition masonry</x:v>
      </x:c>
      <x:c r="E337" s="1" t="str">
        <x:v>Masonry</x:v>
      </x:c>
      <x:c r="F337" s="15" t="n">
        <x:v>90.40200000000002</x:v>
      </x:c>
      <x:c r="G337" s="1" t="str">
        <x:v>m3</x:v>
      </x:c>
      <x:c r="H337" s="17" t="n">
        <x:v>22</x:v>
      </x:c>
      <x:c r="I337" s="17" t="n">
        <x:v>10</x:v>
      </x:c>
      <x:c r="J337" s="17" t="n">
        <x:f>ROUNDUP(F337/H337,0)</x:f>
        <x:v>5</x:v>
      </x:c>
      <x:c r="K337" s="1" t="n">
        <x:f>MAX(L297+5)</x:f>
        <x:v>235</x:v>
      </x:c>
      <x:c r="L337" s="1" t="n">
        <x:f>K337+J337</x:f>
        <x:v>240</x:v>
      </x:c>
      <x:c r="M337" s="1" t="n">
        <x:f>N337-J337</x:f>
        <x:v>433</x:v>
      </x:c>
      <x:c r="N337" s="1" t="n">
        <x:f>MIN(M338-3)</x:f>
        <x:v>438</x:v>
      </x:c>
      <x:c r="O337" s="1" t="n">
        <x:f>M337-K337</x:f>
        <x:v>198</x:v>
      </x:c>
      <x:c r="P337" s="19" t="n">
        <x:f>INDEX('Calendar'!$C$8:$C$907,K337+1)</x:f>
        <x:v>46602</x:v>
      </x:c>
      <x:c r="Q337" s="19" t="n">
        <x:f>INDEX('Calendar'!$C$8:$C$907,MAX(K337+1,L337))</x:f>
        <x:v>46606</x:v>
      </x:c>
      <x:c r="R337" s="15" t="n">
        <x:v>12204.27</x:v>
      </x:c>
      <x:c r="S337" s="15"/>
      <x:c r="T337" s="15" t="n">
        <x:f>R337/J337</x:f>
        <x:v>2440.8540000000003</x:v>
      </x:c>
    </x:row>
    <x:row r="338" ht="23" customHeight="1">
      <x:c r="A338" s="6" t="str">
        <x:v>T3-L00-P</x:v>
      </x:c>
      <x:c r="B338" s="6" t="str">
        <x:v>T3</x:v>
      </x:c>
      <x:c r="C338" s="6" t="str">
        <x:v>L00</x:v>
      </x:c>
      <x:c r="D338" s="6" t="str">
        <x:v>Internal plaster</x:v>
      </x:c>
      <x:c r="E338" s="6" t="str">
        <x:v>Finishes</x:v>
      </x:c>
      <x:c r="F338" s="14" t="n">
        <x:v>1205.3600000000006</x:v>
      </x:c>
      <x:c r="G338" s="6" t="str">
        <x:v>m2</x:v>
      </x:c>
      <x:c r="H338" s="16" t="n">
        <x:v>220</x:v>
      </x:c>
      <x:c r="I338" s="16" t="n">
        <x:v>10</x:v>
      </x:c>
      <x:c r="J338" s="16" t="n">
        <x:f>ROUNDUP(F338/H338,0)</x:f>
        <x:v>6</x:v>
      </x:c>
      <x:c r="K338" s="6" t="n">
        <x:f>MAX(L337+3)</x:f>
        <x:v>243</x:v>
      </x:c>
      <x:c r="L338" s="6" t="n">
        <x:f>K338+J338</x:f>
        <x:v>249</x:v>
      </x:c>
      <x:c r="M338" s="6" t="n">
        <x:f>N338-J338</x:f>
        <x:v>441</x:v>
      </x:c>
      <x:c r="N338" s="6" t="n">
        <x:f>MIN(M339-2)</x:f>
        <x:v>447</x:v>
      </x:c>
      <x:c r="O338" s="6" t="n">
        <x:f>M338-K338</x:f>
        <x:v>198</x:v>
      </x:c>
      <x:c r="P338" s="18" t="n">
        <x:f>INDEX('Calendar'!$C$8:$C$907,K338+1)</x:f>
        <x:v>46611</x:v>
      </x:c>
      <x:c r="Q338" s="18" t="n">
        <x:f>INDEX('Calendar'!$C$8:$C$907,MAX(K338+1,L338))</x:f>
        <x:v>46617</x:v>
      </x:c>
      <x:c r="R338" s="14" t="n">
        <x:v>15067.000000000005</x:v>
      </x:c>
      <x:c r="S338" s="14"/>
      <x:c r="T338" s="14" t="n">
        <x:f>R338/J338</x:f>
        <x:v>2511.1666666666674</x:v>
      </x:c>
    </x:row>
    <x:row r="339" ht="23" customHeight="1">
      <x:c r="A339" s="1" t="str">
        <x:v>T3-L00-S</x:v>
      </x:c>
      <x:c r="B339" s="1" t="str">
        <x:v>T3</x:v>
      </x:c>
      <x:c r="C339" s="1" t="str">
        <x:v>L00</x:v>
      </x:c>
      <x:c r="D339" s="1" t="str">
        <x:v>Screed and substrate preparation</x:v>
      </x:c>
      <x:c r="E339" s="1" t="str">
        <x:v>Finishes</x:v>
      </x:c>
      <x:c r="F339" s="15" t="n">
        <x:v>696</x:v>
      </x:c>
      <x:c r="G339" s="1" t="str">
        <x:v>m2</x:v>
      </x:c>
      <x:c r="H339" s="17" t="n">
        <x:v>240</x:v>
      </x:c>
      <x:c r="I339" s="17" t="n">
        <x:v>8</x:v>
      </x:c>
      <x:c r="J339" s="17" t="n">
        <x:f>ROUNDUP(F339/H339,0)</x:f>
        <x:v>3</x:v>
      </x:c>
      <x:c r="K339" s="1" t="n">
        <x:f>MAX(L338+2)</x:f>
        <x:v>251</x:v>
      </x:c>
      <x:c r="L339" s="1" t="n">
        <x:f>K339+J339</x:f>
        <x:v>254</x:v>
      </x:c>
      <x:c r="M339" s="1" t="n">
        <x:f>N339-J339</x:f>
        <x:v>449</x:v>
      </x:c>
      <x:c r="N339" s="1" t="n">
        <x:f>MIN(M340-14)</x:f>
        <x:v>452</x:v>
      </x:c>
      <x:c r="O339" s="1" t="n">
        <x:f>M339-K339</x:f>
        <x:v>198</x:v>
      </x:c>
      <x:c r="P339" s="19" t="n">
        <x:f>INDEX('Calendar'!$C$8:$C$907,K339+1)</x:f>
        <x:v>46620</x:v>
      </x:c>
      <x:c r="Q339" s="19" t="n">
        <x:f>INDEX('Calendar'!$C$8:$C$907,MAX(K339+1,L339))</x:f>
        <x:v>46623</x:v>
      </x:c>
      <x:c r="R339" s="15" t="n">
        <x:v>9048</x:v>
      </x:c>
      <x:c r="S339" s="15"/>
      <x:c r="T339" s="15" t="n">
        <x:f>R339/J339</x:f>
        <x:v>3016</x:v>
      </x:c>
    </x:row>
    <x:row r="340" ht="23" customHeight="1">
      <x:c r="A340" s="6" t="str">
        <x:v>T3-L00-T</x:v>
      </x:c>
      <x:c r="B340" s="6" t="str">
        <x:v>T3</x:v>
      </x:c>
      <x:c r="C340" s="6" t="str">
        <x:v>L00</x:v>
      </x:c>
      <x:c r="D340" s="6" t="str">
        <x:v>Floor finishes and skirtings</x:v>
      </x:c>
      <x:c r="E340" s="6" t="str">
        <x:v>Finishes</x:v>
      </x:c>
      <x:c r="F340" s="14" t="n">
        <x:v>696</x:v>
      </x:c>
      <x:c r="G340" s="6" t="str">
        <x:v>m2</x:v>
      </x:c>
      <x:c r="H340" s="16" t="n">
        <x:v>130</x:v>
      </x:c>
      <x:c r="I340" s="16" t="n">
        <x:v>8</x:v>
      </x:c>
      <x:c r="J340" s="16" t="n">
        <x:f>ROUNDUP(F340/H340,0)</x:f>
        <x:v>6</x:v>
      </x:c>
      <x:c r="K340" s="6" t="n">
        <x:f>MAX(L339+14,L336+0)</x:f>
        <x:v>425</x:v>
      </x:c>
      <x:c r="L340" s="6" t="n">
        <x:f>K340+J340</x:f>
        <x:v>431</x:v>
      </x:c>
      <x:c r="M340" s="6" t="n">
        <x:f>N340-J340</x:f>
        <x:v>466</x:v>
      </x:c>
      <x:c r="N340" s="6" t="n">
        <x:f>MIN(M341-2)</x:f>
        <x:v>472</x:v>
      </x:c>
      <x:c r="O340" s="6" t="n">
        <x:f>M340-K340</x:f>
        <x:v>41</x:v>
      </x:c>
      <x:c r="P340" s="18" t="n">
        <x:f>INDEX('Calendar'!$C$8:$C$907,K340+1)</x:f>
        <x:v>46823</x:v>
      </x:c>
      <x:c r="Q340" s="18" t="n">
        <x:f>INDEX('Calendar'!$C$8:$C$907,MAX(K340+1,L340))</x:f>
        <x:v>46829</x:v>
      </x:c>
      <x:c r="R340" s="14" t="n">
        <x:v>24012</x:v>
      </x:c>
      <x:c r="S340" s="14"/>
      <x:c r="T340" s="14" t="n">
        <x:f>R340/J340</x:f>
        <x:v>4002</x:v>
      </x:c>
    </x:row>
    <x:row r="341" ht="23" customHeight="1">
      <x:c r="A341" s="1" t="str">
        <x:v>T3-L00-A</x:v>
      </x:c>
      <x:c r="B341" s="1" t="str">
        <x:v>T3</x:v>
      </x:c>
      <x:c r="C341" s="1" t="str">
        <x:v>L00</x:v>
      </x:c>
      <x:c r="D341" s="1" t="str">
        <x:v>Paint and final decorations</x:v>
      </x:c>
      <x:c r="E341" s="1" t="str">
        <x:v>Finishes</x:v>
      </x:c>
      <x:c r="F341" s="15" t="n">
        <x:v>1205.3600000000004</x:v>
      </x:c>
      <x:c r="G341" s="1" t="str">
        <x:v>m2</x:v>
      </x:c>
      <x:c r="H341" s="17" t="n">
        <x:v>270</x:v>
      </x:c>
      <x:c r="I341" s="17" t="n">
        <x:v>8</x:v>
      </x:c>
      <x:c r="J341" s="17" t="n">
        <x:f>ROUNDUP(F341/H341,0)</x:f>
        <x:v>5</x:v>
      </x:c>
      <x:c r="K341" s="1" t="n">
        <x:f>MAX(L340+2)</x:f>
        <x:v>433</x:v>
      </x:c>
      <x:c r="L341" s="1" t="n">
        <x:f>K341+J341</x:f>
        <x:v>438</x:v>
      </x:c>
      <x:c r="M341" s="1" t="n">
        <x:f>N341-J341</x:f>
        <x:v>474</x:v>
      </x:c>
      <x:c r="N341" s="1" t="n">
        <x:f>MIN(M342-0)</x:f>
        <x:v>479</x:v>
      </x:c>
      <x:c r="O341" s="1" t="n">
        <x:f>M341-K341</x:f>
        <x:v>41</x:v>
      </x:c>
      <x:c r="P341" s="19" t="n">
        <x:f>INDEX('Calendar'!$C$8:$C$907,K341+1)</x:f>
        <x:v>46833</x:v>
      </x:c>
      <x:c r="Q341" s="19" t="n">
        <x:f>INDEX('Calendar'!$C$8:$C$907,MAX(K341+1,L341))</x:f>
        <x:v>46837</x:v>
      </x:c>
      <x:c r="R341" s="15" t="n">
        <x:v>10245.560000000003</x:v>
      </x:c>
      <x:c r="S341" s="15"/>
      <x:c r="T341" s="15" t="n">
        <x:f>R341/J341</x:f>
        <x:v>2049.1120000000005</x:v>
      </x:c>
    </x:row>
    <x:row r="342" ht="23" customHeight="1">
      <x:c r="A342" s="6" t="str">
        <x:v>T3-L00-D</x:v>
      </x:c>
      <x:c r="B342" s="6" t="str">
        <x:v>T3</x:v>
      </x:c>
      <x:c r="C342" s="6" t="str">
        <x:v>L00</x:v>
      </x:c>
      <x:c r="D342" s="6" t="str">
        <x:v>Door sets and ironmongery</x:v>
      </x:c>
      <x:c r="E342" s="6" t="str">
        <x:v>Finishes</x:v>
      </x:c>
      <x:c r="F342" s="14" t="n">
        <x:v>28</x:v>
      </x:c>
      <x:c r="G342" s="6" t="str">
        <x:v>nr</x:v>
      </x:c>
      <x:c r="H342" s="16" t="n">
        <x:v>10</x:v>
      </x:c>
      <x:c r="I342" s="16" t="n">
        <x:v>4</x:v>
      </x:c>
      <x:c r="J342" s="16" t="n">
        <x:f>ROUNDUP(F342/H342,0)</x:f>
        <x:v>3</x:v>
      </x:c>
      <x:c r="K342" s="6" t="n">
        <x:f>MAX(L341+0)</x:f>
        <x:v>438</x:v>
      </x:c>
      <x:c r="L342" s="6" t="n">
        <x:f>K342+J342</x:f>
        <x:v>441</x:v>
      </x:c>
      <x:c r="M342" s="6" t="n">
        <x:f>N342-J342</x:f>
        <x:v>479</x:v>
      </x:c>
      <x:c r="N342" s="6" t="n">
        <x:f>MIN(M816-0)</x:f>
        <x:v>482</x:v>
      </x:c>
      <x:c r="O342" s="6" t="n">
        <x:f>M342-K342</x:f>
        <x:v>41</x:v>
      </x:c>
      <x:c r="P342" s="18" t="n">
        <x:f>INDEX('Calendar'!$C$8:$C$907,K342+1)</x:f>
        <x:v>46839</x:v>
      </x:c>
      <x:c r="Q342" s="18" t="n">
        <x:f>INDEX('Calendar'!$C$8:$C$907,MAX(K342+1,L342))</x:f>
        <x:v>46841</x:v>
      </x:c>
      <x:c r="R342" s="14" t="n">
        <x:v>5796</x:v>
      </x:c>
      <x:c r="S342" s="14"/>
      <x:c r="T342" s="14" t="n">
        <x:f>R342/J342</x:f>
        <x:v>1932</x:v>
      </x:c>
    </x:row>
    <x:row r="343" ht="23" customHeight="1">
      <x:c r="A343" s="1" t="str">
        <x:v>T3-L01-M</x:v>
      </x:c>
      <x:c r="B343" s="1" t="str">
        <x:v>T3</x:v>
      </x:c>
      <x:c r="C343" s="1" t="str">
        <x:v>L01</x:v>
      </x:c>
      <x:c r="D343" s="1" t="str">
        <x:v>Partition masonry</x:v>
      </x:c>
      <x:c r="E343" s="1" t="str">
        <x:v>Masonry</x:v>
      </x:c>
      <x:c r="F343" s="15" t="n">
        <x:v>90.40200000000002</x:v>
      </x:c>
      <x:c r="G343" s="1" t="str">
        <x:v>m3</x:v>
      </x:c>
      <x:c r="H343" s="17" t="n">
        <x:v>22</x:v>
      </x:c>
      <x:c r="I343" s="17" t="n">
        <x:v>10</x:v>
      </x:c>
      <x:c r="J343" s="17" t="n">
        <x:f>ROUNDUP(F343/H343,0)</x:f>
        <x:v>5</x:v>
      </x:c>
      <x:c r="K343" s="1" t="n">
        <x:f>MAX(L301+5)</x:f>
        <x:v>253</x:v>
      </x:c>
      <x:c r="L343" s="1" t="n">
        <x:f>K343+J343</x:f>
        <x:v>258</x:v>
      </x:c>
      <x:c r="M343" s="1" t="n">
        <x:f>N343-J343</x:f>
        <x:v>433</x:v>
      </x:c>
      <x:c r="N343" s="1" t="n">
        <x:f>MIN(M344-3)</x:f>
        <x:v>438</x:v>
      </x:c>
      <x:c r="O343" s="1" t="n">
        <x:f>M343-K343</x:f>
        <x:v>180</x:v>
      </x:c>
      <x:c r="P343" s="19" t="n">
        <x:f>INDEX('Calendar'!$C$8:$C$907,K343+1)</x:f>
        <x:v>46623</x:v>
      </x:c>
      <x:c r="Q343" s="19" t="n">
        <x:f>INDEX('Calendar'!$C$8:$C$907,MAX(K343+1,L343))</x:f>
        <x:v>46627</x:v>
      </x:c>
      <x:c r="R343" s="15" t="n">
        <x:v>12204.27</x:v>
      </x:c>
      <x:c r="S343" s="15"/>
      <x:c r="T343" s="15" t="n">
        <x:f>R343/J343</x:f>
        <x:v>2440.8540000000003</x:v>
      </x:c>
    </x:row>
    <x:row r="344" ht="23" customHeight="1">
      <x:c r="A344" s="6" t="str">
        <x:v>T3-L01-P</x:v>
      </x:c>
      <x:c r="B344" s="6" t="str">
        <x:v>T3</x:v>
      </x:c>
      <x:c r="C344" s="6" t="str">
        <x:v>L01</x:v>
      </x:c>
      <x:c r="D344" s="6" t="str">
        <x:v>Internal plaster</x:v>
      </x:c>
      <x:c r="E344" s="6" t="str">
        <x:v>Finishes</x:v>
      </x:c>
      <x:c r="F344" s="14" t="n">
        <x:v>1205.3600000000006</x:v>
      </x:c>
      <x:c r="G344" s="6" t="str">
        <x:v>m2</x:v>
      </x:c>
      <x:c r="H344" s="16" t="n">
        <x:v>220</x:v>
      </x:c>
      <x:c r="I344" s="16" t="n">
        <x:v>10</x:v>
      </x:c>
      <x:c r="J344" s="16" t="n">
        <x:f>ROUNDUP(F344/H344,0)</x:f>
        <x:v>6</x:v>
      </x:c>
      <x:c r="K344" s="6" t="n">
        <x:f>MAX(L343+3)</x:f>
        <x:v>261</x:v>
      </x:c>
      <x:c r="L344" s="6" t="n">
        <x:f>K344+J344</x:f>
        <x:v>267</x:v>
      </x:c>
      <x:c r="M344" s="6" t="n">
        <x:f>N344-J344</x:f>
        <x:v>441</x:v>
      </x:c>
      <x:c r="N344" s="6" t="n">
        <x:f>MIN(M345-2)</x:f>
        <x:v>447</x:v>
      </x:c>
      <x:c r="O344" s="6" t="n">
        <x:f>M344-K344</x:f>
        <x:v>180</x:v>
      </x:c>
      <x:c r="P344" s="18" t="n">
        <x:f>INDEX('Calendar'!$C$8:$C$907,K344+1)</x:f>
        <x:v>46632</x:v>
      </x:c>
      <x:c r="Q344" s="18" t="n">
        <x:f>INDEX('Calendar'!$C$8:$C$907,MAX(K344+1,L344))</x:f>
        <x:v>46638</x:v>
      </x:c>
      <x:c r="R344" s="14" t="n">
        <x:v>15067.000000000005</x:v>
      </x:c>
      <x:c r="S344" s="14"/>
      <x:c r="T344" s="14" t="n">
        <x:f>R344/J344</x:f>
        <x:v>2511.1666666666674</x:v>
      </x:c>
    </x:row>
    <x:row r="345" ht="23" customHeight="1">
      <x:c r="A345" s="1" t="str">
        <x:v>T3-L01-S</x:v>
      </x:c>
      <x:c r="B345" s="1" t="str">
        <x:v>T3</x:v>
      </x:c>
      <x:c r="C345" s="1" t="str">
        <x:v>L01</x:v>
      </x:c>
      <x:c r="D345" s="1" t="str">
        <x:v>Screed and substrate preparation</x:v>
      </x:c>
      <x:c r="E345" s="1" t="str">
        <x:v>Finishes</x:v>
      </x:c>
      <x:c r="F345" s="15" t="n">
        <x:v>696</x:v>
      </x:c>
      <x:c r="G345" s="1" t="str">
        <x:v>m2</x:v>
      </x:c>
      <x:c r="H345" s="17" t="n">
        <x:v>240</x:v>
      </x:c>
      <x:c r="I345" s="17" t="n">
        <x:v>8</x:v>
      </x:c>
      <x:c r="J345" s="17" t="n">
        <x:f>ROUNDUP(F345/H345,0)</x:f>
        <x:v>3</x:v>
      </x:c>
      <x:c r="K345" s="1" t="n">
        <x:f>MAX(L344+2)</x:f>
        <x:v>269</x:v>
      </x:c>
      <x:c r="L345" s="1" t="n">
        <x:f>K345+J345</x:f>
        <x:v>272</x:v>
      </x:c>
      <x:c r="M345" s="1" t="n">
        <x:f>N345-J345</x:f>
        <x:v>449</x:v>
      </x:c>
      <x:c r="N345" s="1" t="n">
        <x:f>MIN(M346-14)</x:f>
        <x:v>452</x:v>
      </x:c>
      <x:c r="O345" s="1" t="n">
        <x:f>M345-K345</x:f>
        <x:v>180</x:v>
      </x:c>
      <x:c r="P345" s="19" t="n">
        <x:f>INDEX('Calendar'!$C$8:$C$907,K345+1)</x:f>
        <x:v>46641</x:v>
      </x:c>
      <x:c r="Q345" s="19" t="n">
        <x:f>INDEX('Calendar'!$C$8:$C$907,MAX(K345+1,L345))</x:f>
        <x:v>46644</x:v>
      </x:c>
      <x:c r="R345" s="15" t="n">
        <x:v>9048</x:v>
      </x:c>
      <x:c r="S345" s="15"/>
      <x:c r="T345" s="15" t="n">
        <x:f>R345/J345</x:f>
        <x:v>3016</x:v>
      </x:c>
    </x:row>
    <x:row r="346" ht="23" customHeight="1">
      <x:c r="A346" s="6" t="str">
        <x:v>T3-L01-T</x:v>
      </x:c>
      <x:c r="B346" s="6" t="str">
        <x:v>T3</x:v>
      </x:c>
      <x:c r="C346" s="6" t="str">
        <x:v>L01</x:v>
      </x:c>
      <x:c r="D346" s="6" t="str">
        <x:v>Floor finishes and skirtings</x:v>
      </x:c>
      <x:c r="E346" s="6" t="str">
        <x:v>Finishes</x:v>
      </x:c>
      <x:c r="F346" s="14" t="n">
        <x:v>696</x:v>
      </x:c>
      <x:c r="G346" s="6" t="str">
        <x:v>m2</x:v>
      </x:c>
      <x:c r="H346" s="16" t="n">
        <x:v>130</x:v>
      </x:c>
      <x:c r="I346" s="16" t="n">
        <x:v>8</x:v>
      </x:c>
      <x:c r="J346" s="16" t="n">
        <x:f>ROUNDUP(F346/H346,0)</x:f>
        <x:v>6</x:v>
      </x:c>
      <x:c r="K346" s="6" t="n">
        <x:f>MAX(L345+14,L336+0)</x:f>
        <x:v>425</x:v>
      </x:c>
      <x:c r="L346" s="6" t="n">
        <x:f>K346+J346</x:f>
        <x:v>431</x:v>
      </x:c>
      <x:c r="M346" s="6" t="n">
        <x:f>N346-J346</x:f>
        <x:v>466</x:v>
      </x:c>
      <x:c r="N346" s="6" t="n">
        <x:f>MIN(M347-2)</x:f>
        <x:v>472</x:v>
      </x:c>
      <x:c r="O346" s="6" t="n">
        <x:f>M346-K346</x:f>
        <x:v>41</x:v>
      </x:c>
      <x:c r="P346" s="18" t="n">
        <x:f>INDEX('Calendar'!$C$8:$C$907,K346+1)</x:f>
        <x:v>46823</x:v>
      </x:c>
      <x:c r="Q346" s="18" t="n">
        <x:f>INDEX('Calendar'!$C$8:$C$907,MAX(K346+1,L346))</x:f>
        <x:v>46829</x:v>
      </x:c>
      <x:c r="R346" s="14" t="n">
        <x:v>24012</x:v>
      </x:c>
      <x:c r="S346" s="14"/>
      <x:c r="T346" s="14" t="n">
        <x:f>R346/J346</x:f>
        <x:v>4002</x:v>
      </x:c>
    </x:row>
    <x:row r="347" ht="23" customHeight="1">
      <x:c r="A347" s="1" t="str">
        <x:v>T3-L01-A</x:v>
      </x:c>
      <x:c r="B347" s="1" t="str">
        <x:v>T3</x:v>
      </x:c>
      <x:c r="C347" s="1" t="str">
        <x:v>L01</x:v>
      </x:c>
      <x:c r="D347" s="1" t="str">
        <x:v>Paint and final decorations</x:v>
      </x:c>
      <x:c r="E347" s="1" t="str">
        <x:v>Finishes</x:v>
      </x:c>
      <x:c r="F347" s="15" t="n">
        <x:v>1205.3600000000004</x:v>
      </x:c>
      <x:c r="G347" s="1" t="str">
        <x:v>m2</x:v>
      </x:c>
      <x:c r="H347" s="17" t="n">
        <x:v>270</x:v>
      </x:c>
      <x:c r="I347" s="17" t="n">
        <x:v>8</x:v>
      </x:c>
      <x:c r="J347" s="17" t="n">
        <x:f>ROUNDUP(F347/H347,0)</x:f>
        <x:v>5</x:v>
      </x:c>
      <x:c r="K347" s="1" t="n">
        <x:f>MAX(L346+2)</x:f>
        <x:v>433</x:v>
      </x:c>
      <x:c r="L347" s="1" t="n">
        <x:f>K347+J347</x:f>
        <x:v>438</x:v>
      </x:c>
      <x:c r="M347" s="1" t="n">
        <x:f>N347-J347</x:f>
        <x:v>474</x:v>
      </x:c>
      <x:c r="N347" s="1" t="n">
        <x:f>MIN(M348-0)</x:f>
        <x:v>479</x:v>
      </x:c>
      <x:c r="O347" s="1" t="n">
        <x:f>M347-K347</x:f>
        <x:v>41</x:v>
      </x:c>
      <x:c r="P347" s="19" t="n">
        <x:f>INDEX('Calendar'!$C$8:$C$907,K347+1)</x:f>
        <x:v>46833</x:v>
      </x:c>
      <x:c r="Q347" s="19" t="n">
        <x:f>INDEX('Calendar'!$C$8:$C$907,MAX(K347+1,L347))</x:f>
        <x:v>46837</x:v>
      </x:c>
      <x:c r="R347" s="15" t="n">
        <x:v>10245.560000000003</x:v>
      </x:c>
      <x:c r="S347" s="15"/>
      <x:c r="T347" s="15" t="n">
        <x:f>R347/J347</x:f>
        <x:v>2049.1120000000005</x:v>
      </x:c>
    </x:row>
    <x:row r="348" ht="23" customHeight="1">
      <x:c r="A348" s="6" t="str">
        <x:v>T3-L01-D</x:v>
      </x:c>
      <x:c r="B348" s="6" t="str">
        <x:v>T3</x:v>
      </x:c>
      <x:c r="C348" s="6" t="str">
        <x:v>L01</x:v>
      </x:c>
      <x:c r="D348" s="6" t="str">
        <x:v>Door sets and ironmongery</x:v>
      </x:c>
      <x:c r="E348" s="6" t="str">
        <x:v>Finishes</x:v>
      </x:c>
      <x:c r="F348" s="14" t="n">
        <x:v>28</x:v>
      </x:c>
      <x:c r="G348" s="6" t="str">
        <x:v>nr</x:v>
      </x:c>
      <x:c r="H348" s="16" t="n">
        <x:v>10</x:v>
      </x:c>
      <x:c r="I348" s="16" t="n">
        <x:v>4</x:v>
      </x:c>
      <x:c r="J348" s="16" t="n">
        <x:f>ROUNDUP(F348/H348,0)</x:f>
        <x:v>3</x:v>
      </x:c>
      <x:c r="K348" s="6" t="n">
        <x:f>MAX(L347+0)</x:f>
        <x:v>438</x:v>
      </x:c>
      <x:c r="L348" s="6" t="n">
        <x:f>K348+J348</x:f>
        <x:v>441</x:v>
      </x:c>
      <x:c r="M348" s="6" t="n">
        <x:f>N348-J348</x:f>
        <x:v>479</x:v>
      </x:c>
      <x:c r="N348" s="6" t="n">
        <x:f>MIN(M816-0)</x:f>
        <x:v>482</x:v>
      </x:c>
      <x:c r="O348" s="6" t="n">
        <x:f>M348-K348</x:f>
        <x:v>41</x:v>
      </x:c>
      <x:c r="P348" s="18" t="n">
        <x:f>INDEX('Calendar'!$C$8:$C$907,K348+1)</x:f>
        <x:v>46839</x:v>
      </x:c>
      <x:c r="Q348" s="18" t="n">
        <x:f>INDEX('Calendar'!$C$8:$C$907,MAX(K348+1,L348))</x:f>
        <x:v>46841</x:v>
      </x:c>
      <x:c r="R348" s="14" t="n">
        <x:v>5796</x:v>
      </x:c>
      <x:c r="S348" s="14"/>
      <x:c r="T348" s="14" t="n">
        <x:f>R348/J348</x:f>
        <x:v>1932</x:v>
      </x:c>
    </x:row>
    <x:row r="349" ht="23" customHeight="1">
      <x:c r="A349" s="1" t="str">
        <x:v>T3-L02-M</x:v>
      </x:c>
      <x:c r="B349" s="1" t="str">
        <x:v>T3</x:v>
      </x:c>
      <x:c r="C349" s="1" t="str">
        <x:v>L02</x:v>
      </x:c>
      <x:c r="D349" s="1" t="str">
        <x:v>Partition masonry</x:v>
      </x:c>
      <x:c r="E349" s="1" t="str">
        <x:v>Masonry</x:v>
      </x:c>
      <x:c r="F349" s="15" t="n">
        <x:v>90.40200000000002</x:v>
      </x:c>
      <x:c r="G349" s="1" t="str">
        <x:v>m3</x:v>
      </x:c>
      <x:c r="H349" s="17" t="n">
        <x:v>22</x:v>
      </x:c>
      <x:c r="I349" s="17" t="n">
        <x:v>10</x:v>
      </x:c>
      <x:c r="J349" s="17" t="n">
        <x:f>ROUNDUP(F349/H349,0)</x:f>
        <x:v>5</x:v>
      </x:c>
      <x:c r="K349" s="1" t="n">
        <x:f>MAX(L305+5)</x:f>
        <x:v>271</x:v>
      </x:c>
      <x:c r="L349" s="1" t="n">
        <x:f>K349+J349</x:f>
        <x:v>276</x:v>
      </x:c>
      <x:c r="M349" s="1" t="n">
        <x:f>N349-J349</x:f>
        <x:v>433</x:v>
      </x:c>
      <x:c r="N349" s="1" t="n">
        <x:f>MIN(M350-3)</x:f>
        <x:v>438</x:v>
      </x:c>
      <x:c r="O349" s="1" t="n">
        <x:f>M349-K349</x:f>
        <x:v>162</x:v>
      </x:c>
      <x:c r="P349" s="19" t="n">
        <x:f>INDEX('Calendar'!$C$8:$C$907,K349+1)</x:f>
        <x:v>46644</x:v>
      </x:c>
      <x:c r="Q349" s="19" t="n">
        <x:f>INDEX('Calendar'!$C$8:$C$907,MAX(K349+1,L349))</x:f>
        <x:v>46648</x:v>
      </x:c>
      <x:c r="R349" s="15" t="n">
        <x:v>12204.27</x:v>
      </x:c>
      <x:c r="S349" s="15"/>
      <x:c r="T349" s="15" t="n">
        <x:f>R349/J349</x:f>
        <x:v>2440.8540000000003</x:v>
      </x:c>
    </x:row>
    <x:row r="350" ht="23" customHeight="1">
      <x:c r="A350" s="6" t="str">
        <x:v>T3-L02-P</x:v>
      </x:c>
      <x:c r="B350" s="6" t="str">
        <x:v>T3</x:v>
      </x:c>
      <x:c r="C350" s="6" t="str">
        <x:v>L02</x:v>
      </x:c>
      <x:c r="D350" s="6" t="str">
        <x:v>Internal plaster</x:v>
      </x:c>
      <x:c r="E350" s="6" t="str">
        <x:v>Finishes</x:v>
      </x:c>
      <x:c r="F350" s="14" t="n">
        <x:v>1205.3600000000006</x:v>
      </x:c>
      <x:c r="G350" s="6" t="str">
        <x:v>m2</x:v>
      </x:c>
      <x:c r="H350" s="16" t="n">
        <x:v>220</x:v>
      </x:c>
      <x:c r="I350" s="16" t="n">
        <x:v>10</x:v>
      </x:c>
      <x:c r="J350" s="16" t="n">
        <x:f>ROUNDUP(F350/H350,0)</x:f>
        <x:v>6</x:v>
      </x:c>
      <x:c r="K350" s="6" t="n">
        <x:f>MAX(L349+3)</x:f>
        <x:v>279</x:v>
      </x:c>
      <x:c r="L350" s="6" t="n">
        <x:f>K350+J350</x:f>
        <x:v>285</x:v>
      </x:c>
      <x:c r="M350" s="6" t="n">
        <x:f>N350-J350</x:f>
        <x:v>441</x:v>
      </x:c>
      <x:c r="N350" s="6" t="n">
        <x:f>MIN(M351-2)</x:f>
        <x:v>447</x:v>
      </x:c>
      <x:c r="O350" s="6" t="n">
        <x:f>M350-K350</x:f>
        <x:v>162</x:v>
      </x:c>
      <x:c r="P350" s="18" t="n">
        <x:f>INDEX('Calendar'!$C$8:$C$907,K350+1)</x:f>
        <x:v>46653</x:v>
      </x:c>
      <x:c r="Q350" s="18" t="n">
        <x:f>INDEX('Calendar'!$C$8:$C$907,MAX(K350+1,L350))</x:f>
        <x:v>46659</x:v>
      </x:c>
      <x:c r="R350" s="14" t="n">
        <x:v>15067.000000000005</x:v>
      </x:c>
      <x:c r="S350" s="14"/>
      <x:c r="T350" s="14" t="n">
        <x:f>R350/J350</x:f>
        <x:v>2511.1666666666674</x:v>
      </x:c>
    </x:row>
    <x:row r="351" ht="23" customHeight="1">
      <x:c r="A351" s="1" t="str">
        <x:v>T3-L02-S</x:v>
      </x:c>
      <x:c r="B351" s="1" t="str">
        <x:v>T3</x:v>
      </x:c>
      <x:c r="C351" s="1" t="str">
        <x:v>L02</x:v>
      </x:c>
      <x:c r="D351" s="1" t="str">
        <x:v>Screed and substrate preparation</x:v>
      </x:c>
      <x:c r="E351" s="1" t="str">
        <x:v>Finishes</x:v>
      </x:c>
      <x:c r="F351" s="15" t="n">
        <x:v>696</x:v>
      </x:c>
      <x:c r="G351" s="1" t="str">
        <x:v>m2</x:v>
      </x:c>
      <x:c r="H351" s="17" t="n">
        <x:v>240</x:v>
      </x:c>
      <x:c r="I351" s="17" t="n">
        <x:v>8</x:v>
      </x:c>
      <x:c r="J351" s="17" t="n">
        <x:f>ROUNDUP(F351/H351,0)</x:f>
        <x:v>3</x:v>
      </x:c>
      <x:c r="K351" s="1" t="n">
        <x:f>MAX(L350+2)</x:f>
        <x:v>287</x:v>
      </x:c>
      <x:c r="L351" s="1" t="n">
        <x:f>K351+J351</x:f>
        <x:v>290</x:v>
      </x:c>
      <x:c r="M351" s="1" t="n">
        <x:f>N351-J351</x:f>
        <x:v>449</x:v>
      </x:c>
      <x:c r="N351" s="1" t="n">
        <x:f>MIN(M352-14)</x:f>
        <x:v>452</x:v>
      </x:c>
      <x:c r="O351" s="1" t="n">
        <x:f>M351-K351</x:f>
        <x:v>162</x:v>
      </x:c>
      <x:c r="P351" s="19" t="n">
        <x:f>INDEX('Calendar'!$C$8:$C$907,K351+1)</x:f>
        <x:v>46662</x:v>
      </x:c>
      <x:c r="Q351" s="19" t="n">
        <x:f>INDEX('Calendar'!$C$8:$C$907,MAX(K351+1,L351))</x:f>
        <x:v>46665</x:v>
      </x:c>
      <x:c r="R351" s="15" t="n">
        <x:v>9048</x:v>
      </x:c>
      <x:c r="S351" s="15"/>
      <x:c r="T351" s="15" t="n">
        <x:f>R351/J351</x:f>
        <x:v>3016</x:v>
      </x:c>
    </x:row>
    <x:row r="352" ht="23" customHeight="1">
      <x:c r="A352" s="6" t="str">
        <x:v>T3-L02-T</x:v>
      </x:c>
      <x:c r="B352" s="6" t="str">
        <x:v>T3</x:v>
      </x:c>
      <x:c r="C352" s="6" t="str">
        <x:v>L02</x:v>
      </x:c>
      <x:c r="D352" s="6" t="str">
        <x:v>Floor finishes and skirtings</x:v>
      </x:c>
      <x:c r="E352" s="6" t="str">
        <x:v>Finishes</x:v>
      </x:c>
      <x:c r="F352" s="14" t="n">
        <x:v>696</x:v>
      </x:c>
      <x:c r="G352" s="6" t="str">
        <x:v>m2</x:v>
      </x:c>
      <x:c r="H352" s="16" t="n">
        <x:v>130</x:v>
      </x:c>
      <x:c r="I352" s="16" t="n">
        <x:v>8</x:v>
      </x:c>
      <x:c r="J352" s="16" t="n">
        <x:f>ROUNDUP(F352/H352,0)</x:f>
        <x:v>6</x:v>
      </x:c>
      <x:c r="K352" s="6" t="n">
        <x:f>MAX(L351+14,L336+0)</x:f>
        <x:v>425</x:v>
      </x:c>
      <x:c r="L352" s="6" t="n">
        <x:f>K352+J352</x:f>
        <x:v>431</x:v>
      </x:c>
      <x:c r="M352" s="6" t="n">
        <x:f>N352-J352</x:f>
        <x:v>466</x:v>
      </x:c>
      <x:c r="N352" s="6" t="n">
        <x:f>MIN(M353-2)</x:f>
        <x:v>472</x:v>
      </x:c>
      <x:c r="O352" s="6" t="n">
        <x:f>M352-K352</x:f>
        <x:v>41</x:v>
      </x:c>
      <x:c r="P352" s="18" t="n">
        <x:f>INDEX('Calendar'!$C$8:$C$907,K352+1)</x:f>
        <x:v>46823</x:v>
      </x:c>
      <x:c r="Q352" s="18" t="n">
        <x:f>INDEX('Calendar'!$C$8:$C$907,MAX(K352+1,L352))</x:f>
        <x:v>46829</x:v>
      </x:c>
      <x:c r="R352" s="14" t="n">
        <x:v>24012</x:v>
      </x:c>
      <x:c r="S352" s="14"/>
      <x:c r="T352" s="14" t="n">
        <x:f>R352/J352</x:f>
        <x:v>4002</x:v>
      </x:c>
    </x:row>
    <x:row r="353" ht="23" customHeight="1">
      <x:c r="A353" s="1" t="str">
        <x:v>T3-L02-A</x:v>
      </x:c>
      <x:c r="B353" s="1" t="str">
        <x:v>T3</x:v>
      </x:c>
      <x:c r="C353" s="1" t="str">
        <x:v>L02</x:v>
      </x:c>
      <x:c r="D353" s="1" t="str">
        <x:v>Paint and final decorations</x:v>
      </x:c>
      <x:c r="E353" s="1" t="str">
        <x:v>Finishes</x:v>
      </x:c>
      <x:c r="F353" s="15" t="n">
        <x:v>1205.3600000000004</x:v>
      </x:c>
      <x:c r="G353" s="1" t="str">
        <x:v>m2</x:v>
      </x:c>
      <x:c r="H353" s="17" t="n">
        <x:v>270</x:v>
      </x:c>
      <x:c r="I353" s="17" t="n">
        <x:v>8</x:v>
      </x:c>
      <x:c r="J353" s="17" t="n">
        <x:f>ROUNDUP(F353/H353,0)</x:f>
        <x:v>5</x:v>
      </x:c>
      <x:c r="K353" s="1" t="n">
        <x:f>MAX(L352+2)</x:f>
        <x:v>433</x:v>
      </x:c>
      <x:c r="L353" s="1" t="n">
        <x:f>K353+J353</x:f>
        <x:v>438</x:v>
      </x:c>
      <x:c r="M353" s="1" t="n">
        <x:f>N353-J353</x:f>
        <x:v>474</x:v>
      </x:c>
      <x:c r="N353" s="1" t="n">
        <x:f>MIN(M354-0)</x:f>
        <x:v>479</x:v>
      </x:c>
      <x:c r="O353" s="1" t="n">
        <x:f>M353-K353</x:f>
        <x:v>41</x:v>
      </x:c>
      <x:c r="P353" s="19" t="n">
        <x:f>INDEX('Calendar'!$C$8:$C$907,K353+1)</x:f>
        <x:v>46833</x:v>
      </x:c>
      <x:c r="Q353" s="19" t="n">
        <x:f>INDEX('Calendar'!$C$8:$C$907,MAX(K353+1,L353))</x:f>
        <x:v>46837</x:v>
      </x:c>
      <x:c r="R353" s="15" t="n">
        <x:v>10245.560000000003</x:v>
      </x:c>
      <x:c r="S353" s="15"/>
      <x:c r="T353" s="15" t="n">
        <x:f>R353/J353</x:f>
        <x:v>2049.1120000000005</x:v>
      </x:c>
    </x:row>
    <x:row r="354" ht="23" customHeight="1">
      <x:c r="A354" s="6" t="str">
        <x:v>T3-L02-D</x:v>
      </x:c>
      <x:c r="B354" s="6" t="str">
        <x:v>T3</x:v>
      </x:c>
      <x:c r="C354" s="6" t="str">
        <x:v>L02</x:v>
      </x:c>
      <x:c r="D354" s="6" t="str">
        <x:v>Door sets and ironmongery</x:v>
      </x:c>
      <x:c r="E354" s="6" t="str">
        <x:v>Finishes</x:v>
      </x:c>
      <x:c r="F354" s="14" t="n">
        <x:v>28</x:v>
      </x:c>
      <x:c r="G354" s="6" t="str">
        <x:v>nr</x:v>
      </x:c>
      <x:c r="H354" s="16" t="n">
        <x:v>10</x:v>
      </x:c>
      <x:c r="I354" s="16" t="n">
        <x:v>4</x:v>
      </x:c>
      <x:c r="J354" s="16" t="n">
        <x:f>ROUNDUP(F354/H354,0)</x:f>
        <x:v>3</x:v>
      </x:c>
      <x:c r="K354" s="6" t="n">
        <x:f>MAX(L353+0)</x:f>
        <x:v>438</x:v>
      </x:c>
      <x:c r="L354" s="6" t="n">
        <x:f>K354+J354</x:f>
        <x:v>441</x:v>
      </x:c>
      <x:c r="M354" s="6" t="n">
        <x:f>N354-J354</x:f>
        <x:v>479</x:v>
      </x:c>
      <x:c r="N354" s="6" t="n">
        <x:f>MIN(M816-0)</x:f>
        <x:v>482</x:v>
      </x:c>
      <x:c r="O354" s="6" t="n">
        <x:f>M354-K354</x:f>
        <x:v>41</x:v>
      </x:c>
      <x:c r="P354" s="18" t="n">
        <x:f>INDEX('Calendar'!$C$8:$C$907,K354+1)</x:f>
        <x:v>46839</x:v>
      </x:c>
      <x:c r="Q354" s="18" t="n">
        <x:f>INDEX('Calendar'!$C$8:$C$907,MAX(K354+1,L354))</x:f>
        <x:v>46841</x:v>
      </x:c>
      <x:c r="R354" s="14" t="n">
        <x:v>5796</x:v>
      </x:c>
      <x:c r="S354" s="14"/>
      <x:c r="T354" s="14" t="n">
        <x:f>R354/J354</x:f>
        <x:v>1932</x:v>
      </x:c>
    </x:row>
    <x:row r="355" ht="23" customHeight="1">
      <x:c r="A355" s="1" t="str">
        <x:v>T3-L03-M</x:v>
      </x:c>
      <x:c r="B355" s="1" t="str">
        <x:v>T3</x:v>
      </x:c>
      <x:c r="C355" s="1" t="str">
        <x:v>L03</x:v>
      </x:c>
      <x:c r="D355" s="1" t="str">
        <x:v>Partition masonry</x:v>
      </x:c>
      <x:c r="E355" s="1" t="str">
        <x:v>Masonry</x:v>
      </x:c>
      <x:c r="F355" s="15" t="n">
        <x:v>90.40200000000002</x:v>
      </x:c>
      <x:c r="G355" s="1" t="str">
        <x:v>m3</x:v>
      </x:c>
      <x:c r="H355" s="17" t="n">
        <x:v>22</x:v>
      </x:c>
      <x:c r="I355" s="17" t="n">
        <x:v>10</x:v>
      </x:c>
      <x:c r="J355" s="17" t="n">
        <x:f>ROUNDUP(F355/H355,0)</x:f>
        <x:v>5</x:v>
      </x:c>
      <x:c r="K355" s="1" t="n">
        <x:f>MAX(L309+5)</x:f>
        <x:v>289</x:v>
      </x:c>
      <x:c r="L355" s="1" t="n">
        <x:f>K355+J355</x:f>
        <x:v>294</x:v>
      </x:c>
      <x:c r="M355" s="1" t="n">
        <x:f>N355-J355</x:f>
        <x:v>433</x:v>
      </x:c>
      <x:c r="N355" s="1" t="n">
        <x:f>MIN(M356-3)</x:f>
        <x:v>438</x:v>
      </x:c>
      <x:c r="O355" s="1" t="n">
        <x:f>M355-K355</x:f>
        <x:v>144</x:v>
      </x:c>
      <x:c r="P355" s="19" t="n">
        <x:f>INDEX('Calendar'!$C$8:$C$907,K355+1)</x:f>
        <x:v>46665</x:v>
      </x:c>
      <x:c r="Q355" s="19" t="n">
        <x:f>INDEX('Calendar'!$C$8:$C$907,MAX(K355+1,L355))</x:f>
        <x:v>46669</x:v>
      </x:c>
      <x:c r="R355" s="15" t="n">
        <x:v>12204.27</x:v>
      </x:c>
      <x:c r="S355" s="15"/>
      <x:c r="T355" s="15" t="n">
        <x:f>R355/J355</x:f>
        <x:v>2440.8540000000003</x:v>
      </x:c>
    </x:row>
    <x:row r="356" ht="23" customHeight="1">
      <x:c r="A356" s="6" t="str">
        <x:v>T3-L03-P</x:v>
      </x:c>
      <x:c r="B356" s="6" t="str">
        <x:v>T3</x:v>
      </x:c>
      <x:c r="C356" s="6" t="str">
        <x:v>L03</x:v>
      </x:c>
      <x:c r="D356" s="6" t="str">
        <x:v>Internal plaster</x:v>
      </x:c>
      <x:c r="E356" s="6" t="str">
        <x:v>Finishes</x:v>
      </x:c>
      <x:c r="F356" s="14" t="n">
        <x:v>1205.3600000000006</x:v>
      </x:c>
      <x:c r="G356" s="6" t="str">
        <x:v>m2</x:v>
      </x:c>
      <x:c r="H356" s="16" t="n">
        <x:v>220</x:v>
      </x:c>
      <x:c r="I356" s="16" t="n">
        <x:v>10</x:v>
      </x:c>
      <x:c r="J356" s="16" t="n">
        <x:f>ROUNDUP(F356/H356,0)</x:f>
        <x:v>6</x:v>
      </x:c>
      <x:c r="K356" s="6" t="n">
        <x:f>MAX(L355+3)</x:f>
        <x:v>297</x:v>
      </x:c>
      <x:c r="L356" s="6" t="n">
        <x:f>K356+J356</x:f>
        <x:v>303</x:v>
      </x:c>
      <x:c r="M356" s="6" t="n">
        <x:f>N356-J356</x:f>
        <x:v>441</x:v>
      </x:c>
      <x:c r="N356" s="6" t="n">
        <x:f>MIN(M357-2)</x:f>
        <x:v>447</x:v>
      </x:c>
      <x:c r="O356" s="6" t="n">
        <x:f>M356-K356</x:f>
        <x:v>144</x:v>
      </x:c>
      <x:c r="P356" s="18" t="n">
        <x:f>INDEX('Calendar'!$C$8:$C$907,K356+1)</x:f>
        <x:v>46674</x:v>
      </x:c>
      <x:c r="Q356" s="18" t="n">
        <x:f>INDEX('Calendar'!$C$8:$C$907,MAX(K356+1,L356))</x:f>
        <x:v>46680</x:v>
      </x:c>
      <x:c r="R356" s="14" t="n">
        <x:v>15067.000000000005</x:v>
      </x:c>
      <x:c r="S356" s="14"/>
      <x:c r="T356" s="14" t="n">
        <x:f>R356/J356</x:f>
        <x:v>2511.1666666666674</x:v>
      </x:c>
    </x:row>
    <x:row r="357" ht="23" customHeight="1">
      <x:c r="A357" s="1" t="str">
        <x:v>T3-L03-S</x:v>
      </x:c>
      <x:c r="B357" s="1" t="str">
        <x:v>T3</x:v>
      </x:c>
      <x:c r="C357" s="1" t="str">
        <x:v>L03</x:v>
      </x:c>
      <x:c r="D357" s="1" t="str">
        <x:v>Screed and substrate preparation</x:v>
      </x:c>
      <x:c r="E357" s="1" t="str">
        <x:v>Finishes</x:v>
      </x:c>
      <x:c r="F357" s="15" t="n">
        <x:v>696</x:v>
      </x:c>
      <x:c r="G357" s="1" t="str">
        <x:v>m2</x:v>
      </x:c>
      <x:c r="H357" s="17" t="n">
        <x:v>240</x:v>
      </x:c>
      <x:c r="I357" s="17" t="n">
        <x:v>8</x:v>
      </x:c>
      <x:c r="J357" s="17" t="n">
        <x:f>ROUNDUP(F357/H357,0)</x:f>
        <x:v>3</x:v>
      </x:c>
      <x:c r="K357" s="1" t="n">
        <x:f>MAX(L356+2)</x:f>
        <x:v>305</x:v>
      </x:c>
      <x:c r="L357" s="1" t="n">
        <x:f>K357+J357</x:f>
        <x:v>308</x:v>
      </x:c>
      <x:c r="M357" s="1" t="n">
        <x:f>N357-J357</x:f>
        <x:v>449</x:v>
      </x:c>
      <x:c r="N357" s="1" t="n">
        <x:f>MIN(M358-14)</x:f>
        <x:v>452</x:v>
      </x:c>
      <x:c r="O357" s="1" t="n">
        <x:f>M357-K357</x:f>
        <x:v>144</x:v>
      </x:c>
      <x:c r="P357" s="19" t="n">
        <x:f>INDEX('Calendar'!$C$8:$C$907,K357+1)</x:f>
        <x:v>46683</x:v>
      </x:c>
      <x:c r="Q357" s="19" t="n">
        <x:f>INDEX('Calendar'!$C$8:$C$907,MAX(K357+1,L357))</x:f>
        <x:v>46686</x:v>
      </x:c>
      <x:c r="R357" s="15" t="n">
        <x:v>9048</x:v>
      </x:c>
      <x:c r="S357" s="15"/>
      <x:c r="T357" s="15" t="n">
        <x:f>R357/J357</x:f>
        <x:v>3016</x:v>
      </x:c>
    </x:row>
    <x:row r="358" ht="23" customHeight="1">
      <x:c r="A358" s="6" t="str">
        <x:v>T3-L03-T</x:v>
      </x:c>
      <x:c r="B358" s="6" t="str">
        <x:v>T3</x:v>
      </x:c>
      <x:c r="C358" s="6" t="str">
        <x:v>L03</x:v>
      </x:c>
      <x:c r="D358" s="6" t="str">
        <x:v>Floor finishes and skirtings</x:v>
      </x:c>
      <x:c r="E358" s="6" t="str">
        <x:v>Finishes</x:v>
      </x:c>
      <x:c r="F358" s="14" t="n">
        <x:v>696</x:v>
      </x:c>
      <x:c r="G358" s="6" t="str">
        <x:v>m2</x:v>
      </x:c>
      <x:c r="H358" s="16" t="n">
        <x:v>130</x:v>
      </x:c>
      <x:c r="I358" s="16" t="n">
        <x:v>8</x:v>
      </x:c>
      <x:c r="J358" s="16" t="n">
        <x:f>ROUNDUP(F358/H358,0)</x:f>
        <x:v>6</x:v>
      </x:c>
      <x:c r="K358" s="6" t="n">
        <x:f>MAX(L357+14,L336+0)</x:f>
        <x:v>425</x:v>
      </x:c>
      <x:c r="L358" s="6" t="n">
        <x:f>K358+J358</x:f>
        <x:v>431</x:v>
      </x:c>
      <x:c r="M358" s="6" t="n">
        <x:f>N358-J358</x:f>
        <x:v>466</x:v>
      </x:c>
      <x:c r="N358" s="6" t="n">
        <x:f>MIN(M359-2)</x:f>
        <x:v>472</x:v>
      </x:c>
      <x:c r="O358" s="6" t="n">
        <x:f>M358-K358</x:f>
        <x:v>41</x:v>
      </x:c>
      <x:c r="P358" s="18" t="n">
        <x:f>INDEX('Calendar'!$C$8:$C$907,K358+1)</x:f>
        <x:v>46823</x:v>
      </x:c>
      <x:c r="Q358" s="18" t="n">
        <x:f>INDEX('Calendar'!$C$8:$C$907,MAX(K358+1,L358))</x:f>
        <x:v>46829</x:v>
      </x:c>
      <x:c r="R358" s="14" t="n">
        <x:v>24012</x:v>
      </x:c>
      <x:c r="S358" s="14"/>
      <x:c r="T358" s="14" t="n">
        <x:f>R358/J358</x:f>
        <x:v>4002</x:v>
      </x:c>
    </x:row>
    <x:row r="359" ht="23" customHeight="1">
      <x:c r="A359" s="1" t="str">
        <x:v>T3-L03-A</x:v>
      </x:c>
      <x:c r="B359" s="1" t="str">
        <x:v>T3</x:v>
      </x:c>
      <x:c r="C359" s="1" t="str">
        <x:v>L03</x:v>
      </x:c>
      <x:c r="D359" s="1" t="str">
        <x:v>Paint and final decorations</x:v>
      </x:c>
      <x:c r="E359" s="1" t="str">
        <x:v>Finishes</x:v>
      </x:c>
      <x:c r="F359" s="15" t="n">
        <x:v>1205.3600000000004</x:v>
      </x:c>
      <x:c r="G359" s="1" t="str">
        <x:v>m2</x:v>
      </x:c>
      <x:c r="H359" s="17" t="n">
        <x:v>270</x:v>
      </x:c>
      <x:c r="I359" s="17" t="n">
        <x:v>8</x:v>
      </x:c>
      <x:c r="J359" s="17" t="n">
        <x:f>ROUNDUP(F359/H359,0)</x:f>
        <x:v>5</x:v>
      </x:c>
      <x:c r="K359" s="1" t="n">
        <x:f>MAX(L358+2)</x:f>
        <x:v>433</x:v>
      </x:c>
      <x:c r="L359" s="1" t="n">
        <x:f>K359+J359</x:f>
        <x:v>438</x:v>
      </x:c>
      <x:c r="M359" s="1" t="n">
        <x:f>N359-J359</x:f>
        <x:v>474</x:v>
      </x:c>
      <x:c r="N359" s="1" t="n">
        <x:f>MIN(M360-0)</x:f>
        <x:v>479</x:v>
      </x:c>
      <x:c r="O359" s="1" t="n">
        <x:f>M359-K359</x:f>
        <x:v>41</x:v>
      </x:c>
      <x:c r="P359" s="19" t="n">
        <x:f>INDEX('Calendar'!$C$8:$C$907,K359+1)</x:f>
        <x:v>46833</x:v>
      </x:c>
      <x:c r="Q359" s="19" t="n">
        <x:f>INDEX('Calendar'!$C$8:$C$907,MAX(K359+1,L359))</x:f>
        <x:v>46837</x:v>
      </x:c>
      <x:c r="R359" s="15" t="n">
        <x:v>10245.560000000003</x:v>
      </x:c>
      <x:c r="S359" s="15"/>
      <x:c r="T359" s="15" t="n">
        <x:f>R359/J359</x:f>
        <x:v>2049.1120000000005</x:v>
      </x:c>
    </x:row>
    <x:row r="360" ht="23" customHeight="1">
      <x:c r="A360" s="6" t="str">
        <x:v>T3-L03-D</x:v>
      </x:c>
      <x:c r="B360" s="6" t="str">
        <x:v>T3</x:v>
      </x:c>
      <x:c r="C360" s="6" t="str">
        <x:v>L03</x:v>
      </x:c>
      <x:c r="D360" s="6" t="str">
        <x:v>Door sets and ironmongery</x:v>
      </x:c>
      <x:c r="E360" s="6" t="str">
        <x:v>Finishes</x:v>
      </x:c>
      <x:c r="F360" s="14" t="n">
        <x:v>28</x:v>
      </x:c>
      <x:c r="G360" s="6" t="str">
        <x:v>nr</x:v>
      </x:c>
      <x:c r="H360" s="16" t="n">
        <x:v>10</x:v>
      </x:c>
      <x:c r="I360" s="16" t="n">
        <x:v>4</x:v>
      </x:c>
      <x:c r="J360" s="16" t="n">
        <x:f>ROUNDUP(F360/H360,0)</x:f>
        <x:v>3</x:v>
      </x:c>
      <x:c r="K360" s="6" t="n">
        <x:f>MAX(L359+0)</x:f>
        <x:v>438</x:v>
      </x:c>
      <x:c r="L360" s="6" t="n">
        <x:f>K360+J360</x:f>
        <x:v>441</x:v>
      </x:c>
      <x:c r="M360" s="6" t="n">
        <x:f>N360-J360</x:f>
        <x:v>479</x:v>
      </x:c>
      <x:c r="N360" s="6" t="n">
        <x:f>MIN(M816-0)</x:f>
        <x:v>482</x:v>
      </x:c>
      <x:c r="O360" s="6" t="n">
        <x:f>M360-K360</x:f>
        <x:v>41</x:v>
      </x:c>
      <x:c r="P360" s="18" t="n">
        <x:f>INDEX('Calendar'!$C$8:$C$907,K360+1)</x:f>
        <x:v>46839</x:v>
      </x:c>
      <x:c r="Q360" s="18" t="n">
        <x:f>INDEX('Calendar'!$C$8:$C$907,MAX(K360+1,L360))</x:f>
        <x:v>46841</x:v>
      </x:c>
      <x:c r="R360" s="14" t="n">
        <x:v>5796</x:v>
      </x:c>
      <x:c r="S360" s="14"/>
      <x:c r="T360" s="14" t="n">
        <x:f>R360/J360</x:f>
        <x:v>1932</x:v>
      </x:c>
    </x:row>
    <x:row r="361" ht="23" customHeight="1">
      <x:c r="A361" s="1" t="str">
        <x:v>T3-L04-M</x:v>
      </x:c>
      <x:c r="B361" s="1" t="str">
        <x:v>T3</x:v>
      </x:c>
      <x:c r="C361" s="1" t="str">
        <x:v>L04</x:v>
      </x:c>
      <x:c r="D361" s="1" t="str">
        <x:v>Partition masonry</x:v>
      </x:c>
      <x:c r="E361" s="1" t="str">
        <x:v>Masonry</x:v>
      </x:c>
      <x:c r="F361" s="15" t="n">
        <x:v>90.40200000000002</x:v>
      </x:c>
      <x:c r="G361" s="1" t="str">
        <x:v>m3</x:v>
      </x:c>
      <x:c r="H361" s="17" t="n">
        <x:v>22</x:v>
      </x:c>
      <x:c r="I361" s="17" t="n">
        <x:v>10</x:v>
      </x:c>
      <x:c r="J361" s="17" t="n">
        <x:f>ROUNDUP(F361/H361,0)</x:f>
        <x:v>5</x:v>
      </x:c>
      <x:c r="K361" s="1" t="n">
        <x:f>MAX(L313+5)</x:f>
        <x:v>307</x:v>
      </x:c>
      <x:c r="L361" s="1" t="n">
        <x:f>K361+J361</x:f>
        <x:v>312</x:v>
      </x:c>
      <x:c r="M361" s="1" t="n">
        <x:f>N361-J361</x:f>
        <x:v>433</x:v>
      </x:c>
      <x:c r="N361" s="1" t="n">
        <x:f>MIN(M362-3)</x:f>
        <x:v>438</x:v>
      </x:c>
      <x:c r="O361" s="1" t="n">
        <x:f>M361-K361</x:f>
        <x:v>126</x:v>
      </x:c>
      <x:c r="P361" s="19" t="n">
        <x:f>INDEX('Calendar'!$C$8:$C$907,K361+1)</x:f>
        <x:v>46686</x:v>
      </x:c>
      <x:c r="Q361" s="19" t="n">
        <x:f>INDEX('Calendar'!$C$8:$C$907,MAX(K361+1,L361))</x:f>
        <x:v>46690</x:v>
      </x:c>
      <x:c r="R361" s="15" t="n">
        <x:v>12204.27</x:v>
      </x:c>
      <x:c r="S361" s="15"/>
      <x:c r="T361" s="15" t="n">
        <x:f>R361/J361</x:f>
        <x:v>2440.8540000000003</x:v>
      </x:c>
    </x:row>
    <x:row r="362" ht="23" customHeight="1">
      <x:c r="A362" s="6" t="str">
        <x:v>T3-L04-P</x:v>
      </x:c>
      <x:c r="B362" s="6" t="str">
        <x:v>T3</x:v>
      </x:c>
      <x:c r="C362" s="6" t="str">
        <x:v>L04</x:v>
      </x:c>
      <x:c r="D362" s="6" t="str">
        <x:v>Internal plaster</x:v>
      </x:c>
      <x:c r="E362" s="6" t="str">
        <x:v>Finishes</x:v>
      </x:c>
      <x:c r="F362" s="14" t="n">
        <x:v>1205.3600000000006</x:v>
      </x:c>
      <x:c r="G362" s="6" t="str">
        <x:v>m2</x:v>
      </x:c>
      <x:c r="H362" s="16" t="n">
        <x:v>220</x:v>
      </x:c>
      <x:c r="I362" s="16" t="n">
        <x:v>10</x:v>
      </x:c>
      <x:c r="J362" s="16" t="n">
        <x:f>ROUNDUP(F362/H362,0)</x:f>
        <x:v>6</x:v>
      </x:c>
      <x:c r="K362" s="6" t="n">
        <x:f>MAX(L361+3)</x:f>
        <x:v>315</x:v>
      </x:c>
      <x:c r="L362" s="6" t="n">
        <x:f>K362+J362</x:f>
        <x:v>321</x:v>
      </x:c>
      <x:c r="M362" s="6" t="n">
        <x:f>N362-J362</x:f>
        <x:v>441</x:v>
      </x:c>
      <x:c r="N362" s="6" t="n">
        <x:f>MIN(M363-2)</x:f>
        <x:v>447</x:v>
      </x:c>
      <x:c r="O362" s="6" t="n">
        <x:f>M362-K362</x:f>
        <x:v>126</x:v>
      </x:c>
      <x:c r="P362" s="18" t="n">
        <x:f>INDEX('Calendar'!$C$8:$C$907,K362+1)</x:f>
        <x:v>46695</x:v>
      </x:c>
      <x:c r="Q362" s="18" t="n">
        <x:f>INDEX('Calendar'!$C$8:$C$907,MAX(K362+1,L362))</x:f>
        <x:v>46701</x:v>
      </x:c>
      <x:c r="R362" s="14" t="n">
        <x:v>15067.000000000005</x:v>
      </x:c>
      <x:c r="S362" s="14"/>
      <x:c r="T362" s="14" t="n">
        <x:f>R362/J362</x:f>
        <x:v>2511.1666666666674</x:v>
      </x:c>
    </x:row>
    <x:row r="363" ht="23" customHeight="1">
      <x:c r="A363" s="1" t="str">
        <x:v>T3-L04-S</x:v>
      </x:c>
      <x:c r="B363" s="1" t="str">
        <x:v>T3</x:v>
      </x:c>
      <x:c r="C363" s="1" t="str">
        <x:v>L04</x:v>
      </x:c>
      <x:c r="D363" s="1" t="str">
        <x:v>Screed and substrate preparation</x:v>
      </x:c>
      <x:c r="E363" s="1" t="str">
        <x:v>Finishes</x:v>
      </x:c>
      <x:c r="F363" s="15" t="n">
        <x:v>696</x:v>
      </x:c>
      <x:c r="G363" s="1" t="str">
        <x:v>m2</x:v>
      </x:c>
      <x:c r="H363" s="17" t="n">
        <x:v>240</x:v>
      </x:c>
      <x:c r="I363" s="17" t="n">
        <x:v>8</x:v>
      </x:c>
      <x:c r="J363" s="17" t="n">
        <x:f>ROUNDUP(F363/H363,0)</x:f>
        <x:v>3</x:v>
      </x:c>
      <x:c r="K363" s="1" t="n">
        <x:f>MAX(L362+2)</x:f>
        <x:v>323</x:v>
      </x:c>
      <x:c r="L363" s="1" t="n">
        <x:f>K363+J363</x:f>
        <x:v>326</x:v>
      </x:c>
      <x:c r="M363" s="1" t="n">
        <x:f>N363-J363</x:f>
        <x:v>449</x:v>
      </x:c>
      <x:c r="N363" s="1" t="n">
        <x:f>MIN(M364-14)</x:f>
        <x:v>452</x:v>
      </x:c>
      <x:c r="O363" s="1" t="n">
        <x:f>M363-K363</x:f>
        <x:v>126</x:v>
      </x:c>
      <x:c r="P363" s="19" t="n">
        <x:f>INDEX('Calendar'!$C$8:$C$907,K363+1)</x:f>
        <x:v>46704</x:v>
      </x:c>
      <x:c r="Q363" s="19" t="n">
        <x:f>INDEX('Calendar'!$C$8:$C$907,MAX(K363+1,L363))</x:f>
        <x:v>46707</x:v>
      </x:c>
      <x:c r="R363" s="15" t="n">
        <x:v>9048</x:v>
      </x:c>
      <x:c r="S363" s="15"/>
      <x:c r="T363" s="15" t="n">
        <x:f>R363/J363</x:f>
        <x:v>3016</x:v>
      </x:c>
    </x:row>
    <x:row r="364" ht="23" customHeight="1">
      <x:c r="A364" s="6" t="str">
        <x:v>T3-L04-T</x:v>
      </x:c>
      <x:c r="B364" s="6" t="str">
        <x:v>T3</x:v>
      </x:c>
      <x:c r="C364" s="6" t="str">
        <x:v>L04</x:v>
      </x:c>
      <x:c r="D364" s="6" t="str">
        <x:v>Floor finishes and skirtings</x:v>
      </x:c>
      <x:c r="E364" s="6" t="str">
        <x:v>Finishes</x:v>
      </x:c>
      <x:c r="F364" s="14" t="n">
        <x:v>696</x:v>
      </x:c>
      <x:c r="G364" s="6" t="str">
        <x:v>m2</x:v>
      </x:c>
      <x:c r="H364" s="16" t="n">
        <x:v>130</x:v>
      </x:c>
      <x:c r="I364" s="16" t="n">
        <x:v>8</x:v>
      </x:c>
      <x:c r="J364" s="16" t="n">
        <x:f>ROUNDUP(F364/H364,0)</x:f>
        <x:v>6</x:v>
      </x:c>
      <x:c r="K364" s="6" t="n">
        <x:f>MAX(L363+14,L336+0)</x:f>
        <x:v>425</x:v>
      </x:c>
      <x:c r="L364" s="6" t="n">
        <x:f>K364+J364</x:f>
        <x:v>431</x:v>
      </x:c>
      <x:c r="M364" s="6" t="n">
        <x:f>N364-J364</x:f>
        <x:v>466</x:v>
      </x:c>
      <x:c r="N364" s="6" t="n">
        <x:f>MIN(M365-2)</x:f>
        <x:v>472</x:v>
      </x:c>
      <x:c r="O364" s="6" t="n">
        <x:f>M364-K364</x:f>
        <x:v>41</x:v>
      </x:c>
      <x:c r="P364" s="18" t="n">
        <x:f>INDEX('Calendar'!$C$8:$C$907,K364+1)</x:f>
        <x:v>46823</x:v>
      </x:c>
      <x:c r="Q364" s="18" t="n">
        <x:f>INDEX('Calendar'!$C$8:$C$907,MAX(K364+1,L364))</x:f>
        <x:v>46829</x:v>
      </x:c>
      <x:c r="R364" s="14" t="n">
        <x:v>24012</x:v>
      </x:c>
      <x:c r="S364" s="14"/>
      <x:c r="T364" s="14" t="n">
        <x:f>R364/J364</x:f>
        <x:v>4002</x:v>
      </x:c>
    </x:row>
    <x:row r="365" ht="23" customHeight="1">
      <x:c r="A365" s="1" t="str">
        <x:v>T3-L04-A</x:v>
      </x:c>
      <x:c r="B365" s="1" t="str">
        <x:v>T3</x:v>
      </x:c>
      <x:c r="C365" s="1" t="str">
        <x:v>L04</x:v>
      </x:c>
      <x:c r="D365" s="1" t="str">
        <x:v>Paint and final decorations</x:v>
      </x:c>
      <x:c r="E365" s="1" t="str">
        <x:v>Finishes</x:v>
      </x:c>
      <x:c r="F365" s="15" t="n">
        <x:v>1205.3600000000004</x:v>
      </x:c>
      <x:c r="G365" s="1" t="str">
        <x:v>m2</x:v>
      </x:c>
      <x:c r="H365" s="17" t="n">
        <x:v>270</x:v>
      </x:c>
      <x:c r="I365" s="17" t="n">
        <x:v>8</x:v>
      </x:c>
      <x:c r="J365" s="17" t="n">
        <x:f>ROUNDUP(F365/H365,0)</x:f>
        <x:v>5</x:v>
      </x:c>
      <x:c r="K365" s="1" t="n">
        <x:f>MAX(L364+2)</x:f>
        <x:v>433</x:v>
      </x:c>
      <x:c r="L365" s="1" t="n">
        <x:f>K365+J365</x:f>
        <x:v>438</x:v>
      </x:c>
      <x:c r="M365" s="1" t="n">
        <x:f>N365-J365</x:f>
        <x:v>474</x:v>
      </x:c>
      <x:c r="N365" s="1" t="n">
        <x:f>MIN(M366-0)</x:f>
        <x:v>479</x:v>
      </x:c>
      <x:c r="O365" s="1" t="n">
        <x:f>M365-K365</x:f>
        <x:v>41</x:v>
      </x:c>
      <x:c r="P365" s="19" t="n">
        <x:f>INDEX('Calendar'!$C$8:$C$907,K365+1)</x:f>
        <x:v>46833</x:v>
      </x:c>
      <x:c r="Q365" s="19" t="n">
        <x:f>INDEX('Calendar'!$C$8:$C$907,MAX(K365+1,L365))</x:f>
        <x:v>46837</x:v>
      </x:c>
      <x:c r="R365" s="15" t="n">
        <x:v>10245.560000000003</x:v>
      </x:c>
      <x:c r="S365" s="15"/>
      <x:c r="T365" s="15" t="n">
        <x:f>R365/J365</x:f>
        <x:v>2049.1120000000005</x:v>
      </x:c>
    </x:row>
    <x:row r="366" ht="23" customHeight="1">
      <x:c r="A366" s="6" t="str">
        <x:v>T3-L04-D</x:v>
      </x:c>
      <x:c r="B366" s="6" t="str">
        <x:v>T3</x:v>
      </x:c>
      <x:c r="C366" s="6" t="str">
        <x:v>L04</x:v>
      </x:c>
      <x:c r="D366" s="6" t="str">
        <x:v>Door sets and ironmongery</x:v>
      </x:c>
      <x:c r="E366" s="6" t="str">
        <x:v>Finishes</x:v>
      </x:c>
      <x:c r="F366" s="14" t="n">
        <x:v>28</x:v>
      </x:c>
      <x:c r="G366" s="6" t="str">
        <x:v>nr</x:v>
      </x:c>
      <x:c r="H366" s="16" t="n">
        <x:v>10</x:v>
      </x:c>
      <x:c r="I366" s="16" t="n">
        <x:v>4</x:v>
      </x:c>
      <x:c r="J366" s="16" t="n">
        <x:f>ROUNDUP(F366/H366,0)</x:f>
        <x:v>3</x:v>
      </x:c>
      <x:c r="K366" s="6" t="n">
        <x:f>MAX(L365+0)</x:f>
        <x:v>438</x:v>
      </x:c>
      <x:c r="L366" s="6" t="n">
        <x:f>K366+J366</x:f>
        <x:v>441</x:v>
      </x:c>
      <x:c r="M366" s="6" t="n">
        <x:f>N366-J366</x:f>
        <x:v>479</x:v>
      </x:c>
      <x:c r="N366" s="6" t="n">
        <x:f>MIN(M816-0)</x:f>
        <x:v>482</x:v>
      </x:c>
      <x:c r="O366" s="6" t="n">
        <x:f>M366-K366</x:f>
        <x:v>41</x:v>
      </x:c>
      <x:c r="P366" s="18" t="n">
        <x:f>INDEX('Calendar'!$C$8:$C$907,K366+1)</x:f>
        <x:v>46839</x:v>
      </x:c>
      <x:c r="Q366" s="18" t="n">
        <x:f>INDEX('Calendar'!$C$8:$C$907,MAX(K366+1,L366))</x:f>
        <x:v>46841</x:v>
      </x:c>
      <x:c r="R366" s="14" t="n">
        <x:v>5796</x:v>
      </x:c>
      <x:c r="S366" s="14"/>
      <x:c r="T366" s="14" t="n">
        <x:f>R366/J366</x:f>
        <x:v>1932</x:v>
      </x:c>
    </x:row>
    <x:row r="367" ht="23" customHeight="1">
      <x:c r="A367" s="1" t="str">
        <x:v>T3-L05-M</x:v>
      </x:c>
      <x:c r="B367" s="1" t="str">
        <x:v>T3</x:v>
      </x:c>
      <x:c r="C367" s="1" t="str">
        <x:v>L05</x:v>
      </x:c>
      <x:c r="D367" s="1" t="str">
        <x:v>Partition masonry</x:v>
      </x:c>
      <x:c r="E367" s="1" t="str">
        <x:v>Masonry</x:v>
      </x:c>
      <x:c r="F367" s="15" t="n">
        <x:v>90.40200000000002</x:v>
      </x:c>
      <x:c r="G367" s="1" t="str">
        <x:v>m3</x:v>
      </x:c>
      <x:c r="H367" s="17" t="n">
        <x:v>22</x:v>
      </x:c>
      <x:c r="I367" s="17" t="n">
        <x:v>10</x:v>
      </x:c>
      <x:c r="J367" s="17" t="n">
        <x:f>ROUNDUP(F367/H367,0)</x:f>
        <x:v>5</x:v>
      </x:c>
      <x:c r="K367" s="1" t="n">
        <x:f>MAX(L317+5)</x:f>
        <x:v>325</x:v>
      </x:c>
      <x:c r="L367" s="1" t="n">
        <x:f>K367+J367</x:f>
        <x:v>330</x:v>
      </x:c>
      <x:c r="M367" s="1" t="n">
        <x:f>N367-J367</x:f>
        <x:v>433</x:v>
      </x:c>
      <x:c r="N367" s="1" t="n">
        <x:f>MIN(M368-3)</x:f>
        <x:v>438</x:v>
      </x:c>
      <x:c r="O367" s="1" t="n">
        <x:f>M367-K367</x:f>
        <x:v>108</x:v>
      </x:c>
      <x:c r="P367" s="19" t="n">
        <x:f>INDEX('Calendar'!$C$8:$C$907,K367+1)</x:f>
        <x:v>46707</x:v>
      </x:c>
      <x:c r="Q367" s="19" t="n">
        <x:f>INDEX('Calendar'!$C$8:$C$907,MAX(K367+1,L367))</x:f>
        <x:v>46711</x:v>
      </x:c>
      <x:c r="R367" s="15" t="n">
        <x:v>12204.27</x:v>
      </x:c>
      <x:c r="S367" s="15"/>
      <x:c r="T367" s="15" t="n">
        <x:f>R367/J367</x:f>
        <x:v>2440.8540000000003</x:v>
      </x:c>
    </x:row>
    <x:row r="368" ht="23" customHeight="1">
      <x:c r="A368" s="6" t="str">
        <x:v>T3-L05-P</x:v>
      </x:c>
      <x:c r="B368" s="6" t="str">
        <x:v>T3</x:v>
      </x:c>
      <x:c r="C368" s="6" t="str">
        <x:v>L05</x:v>
      </x:c>
      <x:c r="D368" s="6" t="str">
        <x:v>Internal plaster</x:v>
      </x:c>
      <x:c r="E368" s="6" t="str">
        <x:v>Finishes</x:v>
      </x:c>
      <x:c r="F368" s="14" t="n">
        <x:v>1205.3600000000006</x:v>
      </x:c>
      <x:c r="G368" s="6" t="str">
        <x:v>m2</x:v>
      </x:c>
      <x:c r="H368" s="16" t="n">
        <x:v>220</x:v>
      </x:c>
      <x:c r="I368" s="16" t="n">
        <x:v>10</x:v>
      </x:c>
      <x:c r="J368" s="16" t="n">
        <x:f>ROUNDUP(F368/H368,0)</x:f>
        <x:v>6</x:v>
      </x:c>
      <x:c r="K368" s="6" t="n">
        <x:f>MAX(L367+3)</x:f>
        <x:v>333</x:v>
      </x:c>
      <x:c r="L368" s="6" t="n">
        <x:f>K368+J368</x:f>
        <x:v>339</x:v>
      </x:c>
      <x:c r="M368" s="6" t="n">
        <x:f>N368-J368</x:f>
        <x:v>441</x:v>
      </x:c>
      <x:c r="N368" s="6" t="n">
        <x:f>MIN(M369-2)</x:f>
        <x:v>447</x:v>
      </x:c>
      <x:c r="O368" s="6" t="n">
        <x:f>M368-K368</x:f>
        <x:v>108</x:v>
      </x:c>
      <x:c r="P368" s="18" t="n">
        <x:f>INDEX('Calendar'!$C$8:$C$907,K368+1)</x:f>
        <x:v>46716</x:v>
      </x:c>
      <x:c r="Q368" s="18" t="n">
        <x:f>INDEX('Calendar'!$C$8:$C$907,MAX(K368+1,L368))</x:f>
        <x:v>46722</x:v>
      </x:c>
      <x:c r="R368" s="14" t="n">
        <x:v>15067.000000000005</x:v>
      </x:c>
      <x:c r="S368" s="14"/>
      <x:c r="T368" s="14" t="n">
        <x:f>R368/J368</x:f>
        <x:v>2511.1666666666674</x:v>
      </x:c>
    </x:row>
    <x:row r="369" ht="23" customHeight="1">
      <x:c r="A369" s="1" t="str">
        <x:v>T3-L05-S</x:v>
      </x:c>
      <x:c r="B369" s="1" t="str">
        <x:v>T3</x:v>
      </x:c>
      <x:c r="C369" s="1" t="str">
        <x:v>L05</x:v>
      </x:c>
      <x:c r="D369" s="1" t="str">
        <x:v>Screed and substrate preparation</x:v>
      </x:c>
      <x:c r="E369" s="1" t="str">
        <x:v>Finishes</x:v>
      </x:c>
      <x:c r="F369" s="15" t="n">
        <x:v>696</x:v>
      </x:c>
      <x:c r="G369" s="1" t="str">
        <x:v>m2</x:v>
      </x:c>
      <x:c r="H369" s="17" t="n">
        <x:v>240</x:v>
      </x:c>
      <x:c r="I369" s="17" t="n">
        <x:v>8</x:v>
      </x:c>
      <x:c r="J369" s="17" t="n">
        <x:f>ROUNDUP(F369/H369,0)</x:f>
        <x:v>3</x:v>
      </x:c>
      <x:c r="K369" s="1" t="n">
        <x:f>MAX(L368+2)</x:f>
        <x:v>341</x:v>
      </x:c>
      <x:c r="L369" s="1" t="n">
        <x:f>K369+J369</x:f>
        <x:v>344</x:v>
      </x:c>
      <x:c r="M369" s="1" t="n">
        <x:f>N369-J369</x:f>
        <x:v>449</x:v>
      </x:c>
      <x:c r="N369" s="1" t="n">
        <x:f>MIN(M370-14)</x:f>
        <x:v>452</x:v>
      </x:c>
      <x:c r="O369" s="1" t="n">
        <x:f>M369-K369</x:f>
        <x:v>108</x:v>
      </x:c>
      <x:c r="P369" s="19" t="n">
        <x:f>INDEX('Calendar'!$C$8:$C$907,K369+1)</x:f>
        <x:v>46725</x:v>
      </x:c>
      <x:c r="Q369" s="19" t="n">
        <x:f>INDEX('Calendar'!$C$8:$C$907,MAX(K369+1,L369))</x:f>
        <x:v>46728</x:v>
      </x:c>
      <x:c r="R369" s="15" t="n">
        <x:v>9048</x:v>
      </x:c>
      <x:c r="S369" s="15"/>
      <x:c r="T369" s="15" t="n">
        <x:f>R369/J369</x:f>
        <x:v>3016</x:v>
      </x:c>
    </x:row>
    <x:row r="370" ht="23" customHeight="1">
      <x:c r="A370" s="6" t="str">
        <x:v>T3-L05-T</x:v>
      </x:c>
      <x:c r="B370" s="6" t="str">
        <x:v>T3</x:v>
      </x:c>
      <x:c r="C370" s="6" t="str">
        <x:v>L05</x:v>
      </x:c>
      <x:c r="D370" s="6" t="str">
        <x:v>Floor finishes and skirtings</x:v>
      </x:c>
      <x:c r="E370" s="6" t="str">
        <x:v>Finishes</x:v>
      </x:c>
      <x:c r="F370" s="14" t="n">
        <x:v>696</x:v>
      </x:c>
      <x:c r="G370" s="6" t="str">
        <x:v>m2</x:v>
      </x:c>
      <x:c r="H370" s="16" t="n">
        <x:v>130</x:v>
      </x:c>
      <x:c r="I370" s="16" t="n">
        <x:v>8</x:v>
      </x:c>
      <x:c r="J370" s="16" t="n">
        <x:f>ROUNDUP(F370/H370,0)</x:f>
        <x:v>6</x:v>
      </x:c>
      <x:c r="K370" s="6" t="n">
        <x:f>MAX(L369+14,L336+0)</x:f>
        <x:v>425</x:v>
      </x:c>
      <x:c r="L370" s="6" t="n">
        <x:f>K370+J370</x:f>
        <x:v>431</x:v>
      </x:c>
      <x:c r="M370" s="6" t="n">
        <x:f>N370-J370</x:f>
        <x:v>466</x:v>
      </x:c>
      <x:c r="N370" s="6" t="n">
        <x:f>MIN(M371-2)</x:f>
        <x:v>472</x:v>
      </x:c>
      <x:c r="O370" s="6" t="n">
        <x:f>M370-K370</x:f>
        <x:v>41</x:v>
      </x:c>
      <x:c r="P370" s="18" t="n">
        <x:f>INDEX('Calendar'!$C$8:$C$907,K370+1)</x:f>
        <x:v>46823</x:v>
      </x:c>
      <x:c r="Q370" s="18" t="n">
        <x:f>INDEX('Calendar'!$C$8:$C$907,MAX(K370+1,L370))</x:f>
        <x:v>46829</x:v>
      </x:c>
      <x:c r="R370" s="14" t="n">
        <x:v>24012</x:v>
      </x:c>
      <x:c r="S370" s="14"/>
      <x:c r="T370" s="14" t="n">
        <x:f>R370/J370</x:f>
        <x:v>4002</x:v>
      </x:c>
    </x:row>
    <x:row r="371" ht="23" customHeight="1">
      <x:c r="A371" s="1" t="str">
        <x:v>T3-L05-A</x:v>
      </x:c>
      <x:c r="B371" s="1" t="str">
        <x:v>T3</x:v>
      </x:c>
      <x:c r="C371" s="1" t="str">
        <x:v>L05</x:v>
      </x:c>
      <x:c r="D371" s="1" t="str">
        <x:v>Paint and final decorations</x:v>
      </x:c>
      <x:c r="E371" s="1" t="str">
        <x:v>Finishes</x:v>
      </x:c>
      <x:c r="F371" s="15" t="n">
        <x:v>1205.3600000000004</x:v>
      </x:c>
      <x:c r="G371" s="1" t="str">
        <x:v>m2</x:v>
      </x:c>
      <x:c r="H371" s="17" t="n">
        <x:v>270</x:v>
      </x:c>
      <x:c r="I371" s="17" t="n">
        <x:v>8</x:v>
      </x:c>
      <x:c r="J371" s="17" t="n">
        <x:f>ROUNDUP(F371/H371,0)</x:f>
        <x:v>5</x:v>
      </x:c>
      <x:c r="K371" s="1" t="n">
        <x:f>MAX(L370+2)</x:f>
        <x:v>433</x:v>
      </x:c>
      <x:c r="L371" s="1" t="n">
        <x:f>K371+J371</x:f>
        <x:v>438</x:v>
      </x:c>
      <x:c r="M371" s="1" t="n">
        <x:f>N371-J371</x:f>
        <x:v>474</x:v>
      </x:c>
      <x:c r="N371" s="1" t="n">
        <x:f>MIN(M372-0)</x:f>
        <x:v>479</x:v>
      </x:c>
      <x:c r="O371" s="1" t="n">
        <x:f>M371-K371</x:f>
        <x:v>41</x:v>
      </x:c>
      <x:c r="P371" s="19" t="n">
        <x:f>INDEX('Calendar'!$C$8:$C$907,K371+1)</x:f>
        <x:v>46833</x:v>
      </x:c>
      <x:c r="Q371" s="19" t="n">
        <x:f>INDEX('Calendar'!$C$8:$C$907,MAX(K371+1,L371))</x:f>
        <x:v>46837</x:v>
      </x:c>
      <x:c r="R371" s="15" t="n">
        <x:v>10245.560000000003</x:v>
      </x:c>
      <x:c r="S371" s="15"/>
      <x:c r="T371" s="15" t="n">
        <x:f>R371/J371</x:f>
        <x:v>2049.1120000000005</x:v>
      </x:c>
    </x:row>
    <x:row r="372" ht="23" customHeight="1">
      <x:c r="A372" s="6" t="str">
        <x:v>T3-L05-D</x:v>
      </x:c>
      <x:c r="B372" s="6" t="str">
        <x:v>T3</x:v>
      </x:c>
      <x:c r="C372" s="6" t="str">
        <x:v>L05</x:v>
      </x:c>
      <x:c r="D372" s="6" t="str">
        <x:v>Door sets and ironmongery</x:v>
      </x:c>
      <x:c r="E372" s="6" t="str">
        <x:v>Finishes</x:v>
      </x:c>
      <x:c r="F372" s="14" t="n">
        <x:v>28</x:v>
      </x:c>
      <x:c r="G372" s="6" t="str">
        <x:v>nr</x:v>
      </x:c>
      <x:c r="H372" s="16" t="n">
        <x:v>10</x:v>
      </x:c>
      <x:c r="I372" s="16" t="n">
        <x:v>4</x:v>
      </x:c>
      <x:c r="J372" s="16" t="n">
        <x:f>ROUNDUP(F372/H372,0)</x:f>
        <x:v>3</x:v>
      </x:c>
      <x:c r="K372" s="6" t="n">
        <x:f>MAX(L371+0)</x:f>
        <x:v>438</x:v>
      </x:c>
      <x:c r="L372" s="6" t="n">
        <x:f>K372+J372</x:f>
        <x:v>441</x:v>
      </x:c>
      <x:c r="M372" s="6" t="n">
        <x:f>N372-J372</x:f>
        <x:v>479</x:v>
      </x:c>
      <x:c r="N372" s="6" t="n">
        <x:f>MIN(M816-0)</x:f>
        <x:v>482</x:v>
      </x:c>
      <x:c r="O372" s="6" t="n">
        <x:f>M372-K372</x:f>
        <x:v>41</x:v>
      </x:c>
      <x:c r="P372" s="18" t="n">
        <x:f>INDEX('Calendar'!$C$8:$C$907,K372+1)</x:f>
        <x:v>46839</x:v>
      </x:c>
      <x:c r="Q372" s="18" t="n">
        <x:f>INDEX('Calendar'!$C$8:$C$907,MAX(K372+1,L372))</x:f>
        <x:v>46841</x:v>
      </x:c>
      <x:c r="R372" s="14" t="n">
        <x:v>5796</x:v>
      </x:c>
      <x:c r="S372" s="14"/>
      <x:c r="T372" s="14" t="n">
        <x:f>R372/J372</x:f>
        <x:v>1932</x:v>
      </x:c>
    </x:row>
    <x:row r="373" ht="23" customHeight="1">
      <x:c r="A373" s="1" t="str">
        <x:v>T3-L06-M</x:v>
      </x:c>
      <x:c r="B373" s="1" t="str">
        <x:v>T3</x:v>
      </x:c>
      <x:c r="C373" s="1" t="str">
        <x:v>L06</x:v>
      </x:c>
      <x:c r="D373" s="1" t="str">
        <x:v>Partition masonry</x:v>
      </x:c>
      <x:c r="E373" s="1" t="str">
        <x:v>Masonry</x:v>
      </x:c>
      <x:c r="F373" s="15" t="n">
        <x:v>90.40200000000002</x:v>
      </x:c>
      <x:c r="G373" s="1" t="str">
        <x:v>m3</x:v>
      </x:c>
      <x:c r="H373" s="17" t="n">
        <x:v>22</x:v>
      </x:c>
      <x:c r="I373" s="17" t="n">
        <x:v>10</x:v>
      </x:c>
      <x:c r="J373" s="17" t="n">
        <x:f>ROUNDUP(F373/H373,0)</x:f>
        <x:v>5</x:v>
      </x:c>
      <x:c r="K373" s="1" t="n">
        <x:f>MAX(L321+5)</x:f>
        <x:v>343</x:v>
      </x:c>
      <x:c r="L373" s="1" t="n">
        <x:f>K373+J373</x:f>
        <x:v>348</x:v>
      </x:c>
      <x:c r="M373" s="1" t="n">
        <x:f>N373-J373</x:f>
        <x:v>433</x:v>
      </x:c>
      <x:c r="N373" s="1" t="n">
        <x:f>MIN(M374-3)</x:f>
        <x:v>438</x:v>
      </x:c>
      <x:c r="O373" s="1" t="n">
        <x:f>M373-K373</x:f>
        <x:v>90</x:v>
      </x:c>
      <x:c r="P373" s="19" t="n">
        <x:f>INDEX('Calendar'!$C$8:$C$907,K373+1)</x:f>
        <x:v>46728</x:v>
      </x:c>
      <x:c r="Q373" s="19" t="n">
        <x:f>INDEX('Calendar'!$C$8:$C$907,MAX(K373+1,L373))</x:f>
        <x:v>46732</x:v>
      </x:c>
      <x:c r="R373" s="15" t="n">
        <x:v>12204.27</x:v>
      </x:c>
      <x:c r="S373" s="15"/>
      <x:c r="T373" s="15" t="n">
        <x:f>R373/J373</x:f>
        <x:v>2440.8540000000003</x:v>
      </x:c>
    </x:row>
    <x:row r="374" ht="23" customHeight="1">
      <x:c r="A374" s="6" t="str">
        <x:v>T3-L06-P</x:v>
      </x:c>
      <x:c r="B374" s="6" t="str">
        <x:v>T3</x:v>
      </x:c>
      <x:c r="C374" s="6" t="str">
        <x:v>L06</x:v>
      </x:c>
      <x:c r="D374" s="6" t="str">
        <x:v>Internal plaster</x:v>
      </x:c>
      <x:c r="E374" s="6" t="str">
        <x:v>Finishes</x:v>
      </x:c>
      <x:c r="F374" s="14" t="n">
        <x:v>1205.3600000000006</x:v>
      </x:c>
      <x:c r="G374" s="6" t="str">
        <x:v>m2</x:v>
      </x:c>
      <x:c r="H374" s="16" t="n">
        <x:v>220</x:v>
      </x:c>
      <x:c r="I374" s="16" t="n">
        <x:v>10</x:v>
      </x:c>
      <x:c r="J374" s="16" t="n">
        <x:f>ROUNDUP(F374/H374,0)</x:f>
        <x:v>6</x:v>
      </x:c>
      <x:c r="K374" s="6" t="n">
        <x:f>MAX(L373+3)</x:f>
        <x:v>351</x:v>
      </x:c>
      <x:c r="L374" s="6" t="n">
        <x:f>K374+J374</x:f>
        <x:v>357</x:v>
      </x:c>
      <x:c r="M374" s="6" t="n">
        <x:f>N374-J374</x:f>
        <x:v>441</x:v>
      </x:c>
      <x:c r="N374" s="6" t="n">
        <x:f>MIN(M375-2)</x:f>
        <x:v>447</x:v>
      </x:c>
      <x:c r="O374" s="6" t="n">
        <x:f>M374-K374</x:f>
        <x:v>90</x:v>
      </x:c>
      <x:c r="P374" s="18" t="n">
        <x:f>INDEX('Calendar'!$C$8:$C$907,K374+1)</x:f>
        <x:v>46737</x:v>
      </x:c>
      <x:c r="Q374" s="18" t="n">
        <x:f>INDEX('Calendar'!$C$8:$C$907,MAX(K374+1,L374))</x:f>
        <x:v>46743</x:v>
      </x:c>
      <x:c r="R374" s="14" t="n">
        <x:v>15067.000000000005</x:v>
      </x:c>
      <x:c r="S374" s="14"/>
      <x:c r="T374" s="14" t="n">
        <x:f>R374/J374</x:f>
        <x:v>2511.1666666666674</x:v>
      </x:c>
    </x:row>
    <x:row r="375" ht="23" customHeight="1">
      <x:c r="A375" s="1" t="str">
        <x:v>T3-L06-S</x:v>
      </x:c>
      <x:c r="B375" s="1" t="str">
        <x:v>T3</x:v>
      </x:c>
      <x:c r="C375" s="1" t="str">
        <x:v>L06</x:v>
      </x:c>
      <x:c r="D375" s="1" t="str">
        <x:v>Screed and substrate preparation</x:v>
      </x:c>
      <x:c r="E375" s="1" t="str">
        <x:v>Finishes</x:v>
      </x:c>
      <x:c r="F375" s="15" t="n">
        <x:v>696</x:v>
      </x:c>
      <x:c r="G375" s="1" t="str">
        <x:v>m2</x:v>
      </x:c>
      <x:c r="H375" s="17" t="n">
        <x:v>240</x:v>
      </x:c>
      <x:c r="I375" s="17" t="n">
        <x:v>8</x:v>
      </x:c>
      <x:c r="J375" s="17" t="n">
        <x:f>ROUNDUP(F375/H375,0)</x:f>
        <x:v>3</x:v>
      </x:c>
      <x:c r="K375" s="1" t="n">
        <x:f>MAX(L374+2)</x:f>
        <x:v>359</x:v>
      </x:c>
      <x:c r="L375" s="1" t="n">
        <x:f>K375+J375</x:f>
        <x:v>362</x:v>
      </x:c>
      <x:c r="M375" s="1" t="n">
        <x:f>N375-J375</x:f>
        <x:v>449</x:v>
      </x:c>
      <x:c r="N375" s="1" t="n">
        <x:f>MIN(M376-14)</x:f>
        <x:v>452</x:v>
      </x:c>
      <x:c r="O375" s="1" t="n">
        <x:f>M375-K375</x:f>
        <x:v>90</x:v>
      </x:c>
      <x:c r="P375" s="19" t="n">
        <x:f>INDEX('Calendar'!$C$8:$C$907,K375+1)</x:f>
        <x:v>46746</x:v>
      </x:c>
      <x:c r="Q375" s="19" t="n">
        <x:f>INDEX('Calendar'!$C$8:$C$907,MAX(K375+1,L375))</x:f>
        <x:v>46749</x:v>
      </x:c>
      <x:c r="R375" s="15" t="n">
        <x:v>9048</x:v>
      </x:c>
      <x:c r="S375" s="15"/>
      <x:c r="T375" s="15" t="n">
        <x:f>R375/J375</x:f>
        <x:v>3016</x:v>
      </x:c>
    </x:row>
    <x:row r="376" ht="23" customHeight="1">
      <x:c r="A376" s="6" t="str">
        <x:v>T3-L06-T</x:v>
      </x:c>
      <x:c r="B376" s="6" t="str">
        <x:v>T3</x:v>
      </x:c>
      <x:c r="C376" s="6" t="str">
        <x:v>L06</x:v>
      </x:c>
      <x:c r="D376" s="6" t="str">
        <x:v>Floor finishes and skirtings</x:v>
      </x:c>
      <x:c r="E376" s="6" t="str">
        <x:v>Finishes</x:v>
      </x:c>
      <x:c r="F376" s="14" t="n">
        <x:v>696</x:v>
      </x:c>
      <x:c r="G376" s="6" t="str">
        <x:v>m2</x:v>
      </x:c>
      <x:c r="H376" s="16" t="n">
        <x:v>130</x:v>
      </x:c>
      <x:c r="I376" s="16" t="n">
        <x:v>8</x:v>
      </x:c>
      <x:c r="J376" s="16" t="n">
        <x:f>ROUNDUP(F376/H376,0)</x:f>
        <x:v>6</x:v>
      </x:c>
      <x:c r="K376" s="6" t="n">
        <x:f>MAX(L375+14,L336+0)</x:f>
        <x:v>425</x:v>
      </x:c>
      <x:c r="L376" s="6" t="n">
        <x:f>K376+J376</x:f>
        <x:v>431</x:v>
      </x:c>
      <x:c r="M376" s="6" t="n">
        <x:f>N376-J376</x:f>
        <x:v>466</x:v>
      </x:c>
      <x:c r="N376" s="6" t="n">
        <x:f>MIN(M377-2)</x:f>
        <x:v>472</x:v>
      </x:c>
      <x:c r="O376" s="6" t="n">
        <x:f>M376-K376</x:f>
        <x:v>41</x:v>
      </x:c>
      <x:c r="P376" s="18" t="n">
        <x:f>INDEX('Calendar'!$C$8:$C$907,K376+1)</x:f>
        <x:v>46823</x:v>
      </x:c>
      <x:c r="Q376" s="18" t="n">
        <x:f>INDEX('Calendar'!$C$8:$C$907,MAX(K376+1,L376))</x:f>
        <x:v>46829</x:v>
      </x:c>
      <x:c r="R376" s="14" t="n">
        <x:v>24012</x:v>
      </x:c>
      <x:c r="S376" s="14"/>
      <x:c r="T376" s="14" t="n">
        <x:f>R376/J376</x:f>
        <x:v>4002</x:v>
      </x:c>
    </x:row>
    <x:row r="377" ht="23" customHeight="1">
      <x:c r="A377" s="1" t="str">
        <x:v>T3-L06-A</x:v>
      </x:c>
      <x:c r="B377" s="1" t="str">
        <x:v>T3</x:v>
      </x:c>
      <x:c r="C377" s="1" t="str">
        <x:v>L06</x:v>
      </x:c>
      <x:c r="D377" s="1" t="str">
        <x:v>Paint and final decorations</x:v>
      </x:c>
      <x:c r="E377" s="1" t="str">
        <x:v>Finishes</x:v>
      </x:c>
      <x:c r="F377" s="15" t="n">
        <x:v>1205.3600000000004</x:v>
      </x:c>
      <x:c r="G377" s="1" t="str">
        <x:v>m2</x:v>
      </x:c>
      <x:c r="H377" s="17" t="n">
        <x:v>270</x:v>
      </x:c>
      <x:c r="I377" s="17" t="n">
        <x:v>8</x:v>
      </x:c>
      <x:c r="J377" s="17" t="n">
        <x:f>ROUNDUP(F377/H377,0)</x:f>
        <x:v>5</x:v>
      </x:c>
      <x:c r="K377" s="1" t="n">
        <x:f>MAX(L376+2)</x:f>
        <x:v>433</x:v>
      </x:c>
      <x:c r="L377" s="1" t="n">
        <x:f>K377+J377</x:f>
        <x:v>438</x:v>
      </x:c>
      <x:c r="M377" s="1" t="n">
        <x:f>N377-J377</x:f>
        <x:v>474</x:v>
      </x:c>
      <x:c r="N377" s="1" t="n">
        <x:f>MIN(M378-0)</x:f>
        <x:v>479</x:v>
      </x:c>
      <x:c r="O377" s="1" t="n">
        <x:f>M377-K377</x:f>
        <x:v>41</x:v>
      </x:c>
      <x:c r="P377" s="19" t="n">
        <x:f>INDEX('Calendar'!$C$8:$C$907,K377+1)</x:f>
        <x:v>46833</x:v>
      </x:c>
      <x:c r="Q377" s="19" t="n">
        <x:f>INDEX('Calendar'!$C$8:$C$907,MAX(K377+1,L377))</x:f>
        <x:v>46837</x:v>
      </x:c>
      <x:c r="R377" s="15" t="n">
        <x:v>10245.560000000003</x:v>
      </x:c>
      <x:c r="S377" s="15"/>
      <x:c r="T377" s="15" t="n">
        <x:f>R377/J377</x:f>
        <x:v>2049.1120000000005</x:v>
      </x:c>
    </x:row>
    <x:row r="378" ht="23" customHeight="1">
      <x:c r="A378" s="6" t="str">
        <x:v>T3-L06-D</x:v>
      </x:c>
      <x:c r="B378" s="6" t="str">
        <x:v>T3</x:v>
      </x:c>
      <x:c r="C378" s="6" t="str">
        <x:v>L06</x:v>
      </x:c>
      <x:c r="D378" s="6" t="str">
        <x:v>Door sets and ironmongery</x:v>
      </x:c>
      <x:c r="E378" s="6" t="str">
        <x:v>Finishes</x:v>
      </x:c>
      <x:c r="F378" s="14" t="n">
        <x:v>28</x:v>
      </x:c>
      <x:c r="G378" s="6" t="str">
        <x:v>nr</x:v>
      </x:c>
      <x:c r="H378" s="16" t="n">
        <x:v>10</x:v>
      </x:c>
      <x:c r="I378" s="16" t="n">
        <x:v>4</x:v>
      </x:c>
      <x:c r="J378" s="16" t="n">
        <x:f>ROUNDUP(F378/H378,0)</x:f>
        <x:v>3</x:v>
      </x:c>
      <x:c r="K378" s="6" t="n">
        <x:f>MAX(L377+0)</x:f>
        <x:v>438</x:v>
      </x:c>
      <x:c r="L378" s="6" t="n">
        <x:f>K378+J378</x:f>
        <x:v>441</x:v>
      </x:c>
      <x:c r="M378" s="6" t="n">
        <x:f>N378-J378</x:f>
        <x:v>479</x:v>
      </x:c>
      <x:c r="N378" s="6" t="n">
        <x:f>MIN(M816-0)</x:f>
        <x:v>482</x:v>
      </x:c>
      <x:c r="O378" s="6" t="n">
        <x:f>M378-K378</x:f>
        <x:v>41</x:v>
      </x:c>
      <x:c r="P378" s="18" t="n">
        <x:f>INDEX('Calendar'!$C$8:$C$907,K378+1)</x:f>
        <x:v>46839</x:v>
      </x:c>
      <x:c r="Q378" s="18" t="n">
        <x:f>INDEX('Calendar'!$C$8:$C$907,MAX(K378+1,L378))</x:f>
        <x:v>46841</x:v>
      </x:c>
      <x:c r="R378" s="14" t="n">
        <x:v>5796</x:v>
      </x:c>
      <x:c r="S378" s="14"/>
      <x:c r="T378" s="14" t="n">
        <x:f>R378/J378</x:f>
        <x:v>1932</x:v>
      </x:c>
    </x:row>
    <x:row r="379" ht="23" customHeight="1">
      <x:c r="A379" s="1" t="str">
        <x:v>T3-L07-M</x:v>
      </x:c>
      <x:c r="B379" s="1" t="str">
        <x:v>T3</x:v>
      </x:c>
      <x:c r="C379" s="1" t="str">
        <x:v>L07</x:v>
      </x:c>
      <x:c r="D379" s="1" t="str">
        <x:v>Partition masonry</x:v>
      </x:c>
      <x:c r="E379" s="1" t="str">
        <x:v>Masonry</x:v>
      </x:c>
      <x:c r="F379" s="15" t="n">
        <x:v>90.40200000000002</x:v>
      </x:c>
      <x:c r="G379" s="1" t="str">
        <x:v>m3</x:v>
      </x:c>
      <x:c r="H379" s="17" t="n">
        <x:v>22</x:v>
      </x:c>
      <x:c r="I379" s="17" t="n">
        <x:v>10</x:v>
      </x:c>
      <x:c r="J379" s="17" t="n">
        <x:f>ROUNDUP(F379/H379,0)</x:f>
        <x:v>5</x:v>
      </x:c>
      <x:c r="K379" s="1" t="n">
        <x:f>MAX(L325+5)</x:f>
        <x:v>361</x:v>
      </x:c>
      <x:c r="L379" s="1" t="n">
        <x:f>K379+J379</x:f>
        <x:v>366</x:v>
      </x:c>
      <x:c r="M379" s="1" t="n">
        <x:f>N379-J379</x:f>
        <x:v>433</x:v>
      </x:c>
      <x:c r="N379" s="1" t="n">
        <x:f>MIN(M380-3)</x:f>
        <x:v>438</x:v>
      </x:c>
      <x:c r="O379" s="1" t="n">
        <x:f>M379-K379</x:f>
        <x:v>72</x:v>
      </x:c>
      <x:c r="P379" s="19" t="n">
        <x:f>INDEX('Calendar'!$C$8:$C$907,K379+1)</x:f>
        <x:v>46749</x:v>
      </x:c>
      <x:c r="Q379" s="19" t="n">
        <x:f>INDEX('Calendar'!$C$8:$C$907,MAX(K379+1,L379))</x:f>
        <x:v>46753</x:v>
      </x:c>
      <x:c r="R379" s="15" t="n">
        <x:v>12204.27</x:v>
      </x:c>
      <x:c r="S379" s="15"/>
      <x:c r="T379" s="15" t="n">
        <x:f>R379/J379</x:f>
        <x:v>2440.8540000000003</x:v>
      </x:c>
    </x:row>
    <x:row r="380" ht="23" customHeight="1">
      <x:c r="A380" s="6" t="str">
        <x:v>T3-L07-P</x:v>
      </x:c>
      <x:c r="B380" s="6" t="str">
        <x:v>T3</x:v>
      </x:c>
      <x:c r="C380" s="6" t="str">
        <x:v>L07</x:v>
      </x:c>
      <x:c r="D380" s="6" t="str">
        <x:v>Internal plaster</x:v>
      </x:c>
      <x:c r="E380" s="6" t="str">
        <x:v>Finishes</x:v>
      </x:c>
      <x:c r="F380" s="14" t="n">
        <x:v>1205.3600000000006</x:v>
      </x:c>
      <x:c r="G380" s="6" t="str">
        <x:v>m2</x:v>
      </x:c>
      <x:c r="H380" s="16" t="n">
        <x:v>220</x:v>
      </x:c>
      <x:c r="I380" s="16" t="n">
        <x:v>10</x:v>
      </x:c>
      <x:c r="J380" s="16" t="n">
        <x:f>ROUNDUP(F380/H380,0)</x:f>
        <x:v>6</x:v>
      </x:c>
      <x:c r="K380" s="6" t="n">
        <x:f>MAX(L379+3)</x:f>
        <x:v>369</x:v>
      </x:c>
      <x:c r="L380" s="6" t="n">
        <x:f>K380+J380</x:f>
        <x:v>375</x:v>
      </x:c>
      <x:c r="M380" s="6" t="n">
        <x:f>N380-J380</x:f>
        <x:v>441</x:v>
      </x:c>
      <x:c r="N380" s="6" t="n">
        <x:f>MIN(M381-2)</x:f>
        <x:v>447</x:v>
      </x:c>
      <x:c r="O380" s="6" t="n">
        <x:f>M380-K380</x:f>
        <x:v>72</x:v>
      </x:c>
      <x:c r="P380" s="18" t="n">
        <x:f>INDEX('Calendar'!$C$8:$C$907,K380+1)</x:f>
        <x:v>46758</x:v>
      </x:c>
      <x:c r="Q380" s="18" t="n">
        <x:f>INDEX('Calendar'!$C$8:$C$907,MAX(K380+1,L380))</x:f>
        <x:v>46764</x:v>
      </x:c>
      <x:c r="R380" s="14" t="n">
        <x:v>15067.000000000005</x:v>
      </x:c>
      <x:c r="S380" s="14"/>
      <x:c r="T380" s="14" t="n">
        <x:f>R380/J380</x:f>
        <x:v>2511.1666666666674</x:v>
      </x:c>
    </x:row>
    <x:row r="381" ht="23" customHeight="1">
      <x:c r="A381" s="1" t="str">
        <x:v>T3-L07-S</x:v>
      </x:c>
      <x:c r="B381" s="1" t="str">
        <x:v>T3</x:v>
      </x:c>
      <x:c r="C381" s="1" t="str">
        <x:v>L07</x:v>
      </x:c>
      <x:c r="D381" s="1" t="str">
        <x:v>Screed and substrate preparation</x:v>
      </x:c>
      <x:c r="E381" s="1" t="str">
        <x:v>Finishes</x:v>
      </x:c>
      <x:c r="F381" s="15" t="n">
        <x:v>696</x:v>
      </x:c>
      <x:c r="G381" s="1" t="str">
        <x:v>m2</x:v>
      </x:c>
      <x:c r="H381" s="17" t="n">
        <x:v>240</x:v>
      </x:c>
      <x:c r="I381" s="17" t="n">
        <x:v>8</x:v>
      </x:c>
      <x:c r="J381" s="17" t="n">
        <x:f>ROUNDUP(F381/H381,0)</x:f>
        <x:v>3</x:v>
      </x:c>
      <x:c r="K381" s="1" t="n">
        <x:f>MAX(L380+2)</x:f>
        <x:v>377</x:v>
      </x:c>
      <x:c r="L381" s="1" t="n">
        <x:f>K381+J381</x:f>
        <x:v>380</x:v>
      </x:c>
      <x:c r="M381" s="1" t="n">
        <x:f>N381-J381</x:f>
        <x:v>449</x:v>
      </x:c>
      <x:c r="N381" s="1" t="n">
        <x:f>MIN(M382-14)</x:f>
        <x:v>452</x:v>
      </x:c>
      <x:c r="O381" s="1" t="n">
        <x:f>M381-K381</x:f>
        <x:v>72</x:v>
      </x:c>
      <x:c r="P381" s="19" t="n">
        <x:f>INDEX('Calendar'!$C$8:$C$907,K381+1)</x:f>
        <x:v>46767</x:v>
      </x:c>
      <x:c r="Q381" s="19" t="n">
        <x:f>INDEX('Calendar'!$C$8:$C$907,MAX(K381+1,L381))</x:f>
        <x:v>46770</x:v>
      </x:c>
      <x:c r="R381" s="15" t="n">
        <x:v>9048</x:v>
      </x:c>
      <x:c r="S381" s="15"/>
      <x:c r="T381" s="15" t="n">
        <x:f>R381/J381</x:f>
        <x:v>3016</x:v>
      </x:c>
    </x:row>
    <x:row r="382" ht="23" customHeight="1">
      <x:c r="A382" s="6" t="str">
        <x:v>T3-L07-T</x:v>
      </x:c>
      <x:c r="B382" s="6" t="str">
        <x:v>T3</x:v>
      </x:c>
      <x:c r="C382" s="6" t="str">
        <x:v>L07</x:v>
      </x:c>
      <x:c r="D382" s="6" t="str">
        <x:v>Floor finishes and skirtings</x:v>
      </x:c>
      <x:c r="E382" s="6" t="str">
        <x:v>Finishes</x:v>
      </x:c>
      <x:c r="F382" s="14" t="n">
        <x:v>696</x:v>
      </x:c>
      <x:c r="G382" s="6" t="str">
        <x:v>m2</x:v>
      </x:c>
      <x:c r="H382" s="16" t="n">
        <x:v>130</x:v>
      </x:c>
      <x:c r="I382" s="16" t="n">
        <x:v>8</x:v>
      </x:c>
      <x:c r="J382" s="16" t="n">
        <x:f>ROUNDUP(F382/H382,0)</x:f>
        <x:v>6</x:v>
      </x:c>
      <x:c r="K382" s="6" t="n">
        <x:f>MAX(L381+14,L336+0)</x:f>
        <x:v>425</x:v>
      </x:c>
      <x:c r="L382" s="6" t="n">
        <x:f>K382+J382</x:f>
        <x:v>431</x:v>
      </x:c>
      <x:c r="M382" s="6" t="n">
        <x:f>N382-J382</x:f>
        <x:v>466</x:v>
      </x:c>
      <x:c r="N382" s="6" t="n">
        <x:f>MIN(M383-2)</x:f>
        <x:v>472</x:v>
      </x:c>
      <x:c r="O382" s="6" t="n">
        <x:f>M382-K382</x:f>
        <x:v>41</x:v>
      </x:c>
      <x:c r="P382" s="18" t="n">
        <x:f>INDEX('Calendar'!$C$8:$C$907,K382+1)</x:f>
        <x:v>46823</x:v>
      </x:c>
      <x:c r="Q382" s="18" t="n">
        <x:f>INDEX('Calendar'!$C$8:$C$907,MAX(K382+1,L382))</x:f>
        <x:v>46829</x:v>
      </x:c>
      <x:c r="R382" s="14" t="n">
        <x:v>24012</x:v>
      </x:c>
      <x:c r="S382" s="14"/>
      <x:c r="T382" s="14" t="n">
        <x:f>R382/J382</x:f>
        <x:v>4002</x:v>
      </x:c>
    </x:row>
    <x:row r="383" ht="23" customHeight="1">
      <x:c r="A383" s="1" t="str">
        <x:v>T3-L07-A</x:v>
      </x:c>
      <x:c r="B383" s="1" t="str">
        <x:v>T3</x:v>
      </x:c>
      <x:c r="C383" s="1" t="str">
        <x:v>L07</x:v>
      </x:c>
      <x:c r="D383" s="1" t="str">
        <x:v>Paint and final decorations</x:v>
      </x:c>
      <x:c r="E383" s="1" t="str">
        <x:v>Finishes</x:v>
      </x:c>
      <x:c r="F383" s="15" t="n">
        <x:v>1205.3600000000004</x:v>
      </x:c>
      <x:c r="G383" s="1" t="str">
        <x:v>m2</x:v>
      </x:c>
      <x:c r="H383" s="17" t="n">
        <x:v>270</x:v>
      </x:c>
      <x:c r="I383" s="17" t="n">
        <x:v>8</x:v>
      </x:c>
      <x:c r="J383" s="17" t="n">
        <x:f>ROUNDUP(F383/H383,0)</x:f>
        <x:v>5</x:v>
      </x:c>
      <x:c r="K383" s="1" t="n">
        <x:f>MAX(L382+2)</x:f>
        <x:v>433</x:v>
      </x:c>
      <x:c r="L383" s="1" t="n">
        <x:f>K383+J383</x:f>
        <x:v>438</x:v>
      </x:c>
      <x:c r="M383" s="1" t="n">
        <x:f>N383-J383</x:f>
        <x:v>474</x:v>
      </x:c>
      <x:c r="N383" s="1" t="n">
        <x:f>MIN(M384-0)</x:f>
        <x:v>479</x:v>
      </x:c>
      <x:c r="O383" s="1" t="n">
        <x:f>M383-K383</x:f>
        <x:v>41</x:v>
      </x:c>
      <x:c r="P383" s="19" t="n">
        <x:f>INDEX('Calendar'!$C$8:$C$907,K383+1)</x:f>
        <x:v>46833</x:v>
      </x:c>
      <x:c r="Q383" s="19" t="n">
        <x:f>INDEX('Calendar'!$C$8:$C$907,MAX(K383+1,L383))</x:f>
        <x:v>46837</x:v>
      </x:c>
      <x:c r="R383" s="15" t="n">
        <x:v>10245.560000000003</x:v>
      </x:c>
      <x:c r="S383" s="15"/>
      <x:c r="T383" s="15" t="n">
        <x:f>R383/J383</x:f>
        <x:v>2049.1120000000005</x:v>
      </x:c>
    </x:row>
    <x:row r="384" ht="23" customHeight="1">
      <x:c r="A384" s="6" t="str">
        <x:v>T3-L07-D</x:v>
      </x:c>
      <x:c r="B384" s="6" t="str">
        <x:v>T3</x:v>
      </x:c>
      <x:c r="C384" s="6" t="str">
        <x:v>L07</x:v>
      </x:c>
      <x:c r="D384" s="6" t="str">
        <x:v>Door sets and ironmongery</x:v>
      </x:c>
      <x:c r="E384" s="6" t="str">
        <x:v>Finishes</x:v>
      </x:c>
      <x:c r="F384" s="14" t="n">
        <x:v>28</x:v>
      </x:c>
      <x:c r="G384" s="6" t="str">
        <x:v>nr</x:v>
      </x:c>
      <x:c r="H384" s="16" t="n">
        <x:v>10</x:v>
      </x:c>
      <x:c r="I384" s="16" t="n">
        <x:v>4</x:v>
      </x:c>
      <x:c r="J384" s="16" t="n">
        <x:f>ROUNDUP(F384/H384,0)</x:f>
        <x:v>3</x:v>
      </x:c>
      <x:c r="K384" s="6" t="n">
        <x:f>MAX(L383+0)</x:f>
        <x:v>438</x:v>
      </x:c>
      <x:c r="L384" s="6" t="n">
        <x:f>K384+J384</x:f>
        <x:v>441</x:v>
      </x:c>
      <x:c r="M384" s="6" t="n">
        <x:f>N384-J384</x:f>
        <x:v>479</x:v>
      </x:c>
      <x:c r="N384" s="6" t="n">
        <x:f>MIN(M816-0)</x:f>
        <x:v>482</x:v>
      </x:c>
      <x:c r="O384" s="6" t="n">
        <x:f>M384-K384</x:f>
        <x:v>41</x:v>
      </x:c>
      <x:c r="P384" s="18" t="n">
        <x:f>INDEX('Calendar'!$C$8:$C$907,K384+1)</x:f>
        <x:v>46839</x:v>
      </x:c>
      <x:c r="Q384" s="18" t="n">
        <x:f>INDEX('Calendar'!$C$8:$C$907,MAX(K384+1,L384))</x:f>
        <x:v>46841</x:v>
      </x:c>
      <x:c r="R384" s="14" t="n">
        <x:v>5796</x:v>
      </x:c>
      <x:c r="S384" s="14"/>
      <x:c r="T384" s="14" t="n">
        <x:f>R384/J384</x:f>
        <x:v>1932</x:v>
      </x:c>
    </x:row>
    <x:row r="385" ht="23" customHeight="1">
      <x:c r="A385" s="1" t="str">
        <x:v>T3-L08-M</x:v>
      </x:c>
      <x:c r="B385" s="1" t="str">
        <x:v>T3</x:v>
      </x:c>
      <x:c r="C385" s="1" t="str">
        <x:v>L08</x:v>
      </x:c>
      <x:c r="D385" s="1" t="str">
        <x:v>Partition masonry</x:v>
      </x:c>
      <x:c r="E385" s="1" t="str">
        <x:v>Masonry</x:v>
      </x:c>
      <x:c r="F385" s="15" t="n">
        <x:v>90.40200000000002</x:v>
      </x:c>
      <x:c r="G385" s="1" t="str">
        <x:v>m3</x:v>
      </x:c>
      <x:c r="H385" s="17" t="n">
        <x:v>22</x:v>
      </x:c>
      <x:c r="I385" s="17" t="n">
        <x:v>10</x:v>
      </x:c>
      <x:c r="J385" s="17" t="n">
        <x:f>ROUNDUP(F385/H385,0)</x:f>
        <x:v>5</x:v>
      </x:c>
      <x:c r="K385" s="1" t="n">
        <x:f>MAX(L329+5)</x:f>
        <x:v>379</x:v>
      </x:c>
      <x:c r="L385" s="1" t="n">
        <x:f>K385+J385</x:f>
        <x:v>384</x:v>
      </x:c>
      <x:c r="M385" s="1" t="n">
        <x:f>N385-J385</x:f>
        <x:v>433</x:v>
      </x:c>
      <x:c r="N385" s="1" t="n">
        <x:f>MIN(M386-3)</x:f>
        <x:v>438</x:v>
      </x:c>
      <x:c r="O385" s="1" t="n">
        <x:f>M385-K385</x:f>
        <x:v>54</x:v>
      </x:c>
      <x:c r="P385" s="19" t="n">
        <x:f>INDEX('Calendar'!$C$8:$C$907,K385+1)</x:f>
        <x:v>46770</x:v>
      </x:c>
      <x:c r="Q385" s="19" t="n">
        <x:f>INDEX('Calendar'!$C$8:$C$907,MAX(K385+1,L385))</x:f>
        <x:v>46774</x:v>
      </x:c>
      <x:c r="R385" s="15" t="n">
        <x:v>12204.27</x:v>
      </x:c>
      <x:c r="S385" s="15"/>
      <x:c r="T385" s="15" t="n">
        <x:f>R385/J385</x:f>
        <x:v>2440.8540000000003</x:v>
      </x:c>
    </x:row>
    <x:row r="386" ht="23" customHeight="1">
      <x:c r="A386" s="6" t="str">
        <x:v>T3-L08-P</x:v>
      </x:c>
      <x:c r="B386" s="6" t="str">
        <x:v>T3</x:v>
      </x:c>
      <x:c r="C386" s="6" t="str">
        <x:v>L08</x:v>
      </x:c>
      <x:c r="D386" s="6" t="str">
        <x:v>Internal plaster</x:v>
      </x:c>
      <x:c r="E386" s="6" t="str">
        <x:v>Finishes</x:v>
      </x:c>
      <x:c r="F386" s="14" t="n">
        <x:v>1205.3600000000006</x:v>
      </x:c>
      <x:c r="G386" s="6" t="str">
        <x:v>m2</x:v>
      </x:c>
      <x:c r="H386" s="16" t="n">
        <x:v>220</x:v>
      </x:c>
      <x:c r="I386" s="16" t="n">
        <x:v>10</x:v>
      </x:c>
      <x:c r="J386" s="16" t="n">
        <x:f>ROUNDUP(F386/H386,0)</x:f>
        <x:v>6</x:v>
      </x:c>
      <x:c r="K386" s="6" t="n">
        <x:f>MAX(L385+3)</x:f>
        <x:v>387</x:v>
      </x:c>
      <x:c r="L386" s="6" t="n">
        <x:f>K386+J386</x:f>
        <x:v>393</x:v>
      </x:c>
      <x:c r="M386" s="6" t="n">
        <x:f>N386-J386</x:f>
        <x:v>441</x:v>
      </x:c>
      <x:c r="N386" s="6" t="n">
        <x:f>MIN(M387-2)</x:f>
        <x:v>447</x:v>
      </x:c>
      <x:c r="O386" s="6" t="n">
        <x:f>M386-K386</x:f>
        <x:v>54</x:v>
      </x:c>
      <x:c r="P386" s="18" t="n">
        <x:f>INDEX('Calendar'!$C$8:$C$907,K386+1)</x:f>
        <x:v>46779</x:v>
      </x:c>
      <x:c r="Q386" s="18" t="n">
        <x:f>INDEX('Calendar'!$C$8:$C$907,MAX(K386+1,L386))</x:f>
        <x:v>46785</x:v>
      </x:c>
      <x:c r="R386" s="14" t="n">
        <x:v>15067.000000000005</x:v>
      </x:c>
      <x:c r="S386" s="14"/>
      <x:c r="T386" s="14" t="n">
        <x:f>R386/J386</x:f>
        <x:v>2511.1666666666674</x:v>
      </x:c>
    </x:row>
    <x:row r="387" ht="23" customHeight="1">
      <x:c r="A387" s="1" t="str">
        <x:v>T3-L08-S</x:v>
      </x:c>
      <x:c r="B387" s="1" t="str">
        <x:v>T3</x:v>
      </x:c>
      <x:c r="C387" s="1" t="str">
        <x:v>L08</x:v>
      </x:c>
      <x:c r="D387" s="1" t="str">
        <x:v>Screed and substrate preparation</x:v>
      </x:c>
      <x:c r="E387" s="1" t="str">
        <x:v>Finishes</x:v>
      </x:c>
      <x:c r="F387" s="15" t="n">
        <x:v>696</x:v>
      </x:c>
      <x:c r="G387" s="1" t="str">
        <x:v>m2</x:v>
      </x:c>
      <x:c r="H387" s="17" t="n">
        <x:v>240</x:v>
      </x:c>
      <x:c r="I387" s="17" t="n">
        <x:v>8</x:v>
      </x:c>
      <x:c r="J387" s="17" t="n">
        <x:f>ROUNDUP(F387/H387,0)</x:f>
        <x:v>3</x:v>
      </x:c>
      <x:c r="K387" s="1" t="n">
        <x:f>MAX(L386+2)</x:f>
        <x:v>395</x:v>
      </x:c>
      <x:c r="L387" s="1" t="n">
        <x:f>K387+J387</x:f>
        <x:v>398</x:v>
      </x:c>
      <x:c r="M387" s="1" t="n">
        <x:f>N387-J387</x:f>
        <x:v>449</x:v>
      </x:c>
      <x:c r="N387" s="1" t="n">
        <x:f>MIN(M388-14)</x:f>
        <x:v>452</x:v>
      </x:c>
      <x:c r="O387" s="1" t="n">
        <x:f>M387-K387</x:f>
        <x:v>54</x:v>
      </x:c>
      <x:c r="P387" s="19" t="n">
        <x:f>INDEX('Calendar'!$C$8:$C$907,K387+1)</x:f>
        <x:v>46788</x:v>
      </x:c>
      <x:c r="Q387" s="19" t="n">
        <x:f>INDEX('Calendar'!$C$8:$C$907,MAX(K387+1,L387))</x:f>
        <x:v>46791</x:v>
      </x:c>
      <x:c r="R387" s="15" t="n">
        <x:v>9048</x:v>
      </x:c>
      <x:c r="S387" s="15"/>
      <x:c r="T387" s="15" t="n">
        <x:f>R387/J387</x:f>
        <x:v>3016</x:v>
      </x:c>
    </x:row>
    <x:row r="388" ht="23" customHeight="1">
      <x:c r="A388" s="6" t="str">
        <x:v>T3-L08-T</x:v>
      </x:c>
      <x:c r="B388" s="6" t="str">
        <x:v>T3</x:v>
      </x:c>
      <x:c r="C388" s="6" t="str">
        <x:v>L08</x:v>
      </x:c>
      <x:c r="D388" s="6" t="str">
        <x:v>Floor finishes and skirtings</x:v>
      </x:c>
      <x:c r="E388" s="6" t="str">
        <x:v>Finishes</x:v>
      </x:c>
      <x:c r="F388" s="14" t="n">
        <x:v>696</x:v>
      </x:c>
      <x:c r="G388" s="6" t="str">
        <x:v>m2</x:v>
      </x:c>
      <x:c r="H388" s="16" t="n">
        <x:v>130</x:v>
      </x:c>
      <x:c r="I388" s="16" t="n">
        <x:v>8</x:v>
      </x:c>
      <x:c r="J388" s="16" t="n">
        <x:f>ROUNDUP(F388/H388,0)</x:f>
        <x:v>6</x:v>
      </x:c>
      <x:c r="K388" s="6" t="n">
        <x:f>MAX(L387+14,L336+0)</x:f>
        <x:v>425</x:v>
      </x:c>
      <x:c r="L388" s="6" t="n">
        <x:f>K388+J388</x:f>
        <x:v>431</x:v>
      </x:c>
      <x:c r="M388" s="6" t="n">
        <x:f>N388-J388</x:f>
        <x:v>466</x:v>
      </x:c>
      <x:c r="N388" s="6" t="n">
        <x:f>MIN(M389-2)</x:f>
        <x:v>472</x:v>
      </x:c>
      <x:c r="O388" s="6" t="n">
        <x:f>M388-K388</x:f>
        <x:v>41</x:v>
      </x:c>
      <x:c r="P388" s="18" t="n">
        <x:f>INDEX('Calendar'!$C$8:$C$907,K388+1)</x:f>
        <x:v>46823</x:v>
      </x:c>
      <x:c r="Q388" s="18" t="n">
        <x:f>INDEX('Calendar'!$C$8:$C$907,MAX(K388+1,L388))</x:f>
        <x:v>46829</x:v>
      </x:c>
      <x:c r="R388" s="14" t="n">
        <x:v>24012</x:v>
      </x:c>
      <x:c r="S388" s="14"/>
      <x:c r="T388" s="14" t="n">
        <x:f>R388/J388</x:f>
        <x:v>4002</x:v>
      </x:c>
    </x:row>
    <x:row r="389" ht="23" customHeight="1">
      <x:c r="A389" s="1" t="str">
        <x:v>T3-L08-A</x:v>
      </x:c>
      <x:c r="B389" s="1" t="str">
        <x:v>T3</x:v>
      </x:c>
      <x:c r="C389" s="1" t="str">
        <x:v>L08</x:v>
      </x:c>
      <x:c r="D389" s="1" t="str">
        <x:v>Paint and final decorations</x:v>
      </x:c>
      <x:c r="E389" s="1" t="str">
        <x:v>Finishes</x:v>
      </x:c>
      <x:c r="F389" s="15" t="n">
        <x:v>1205.3600000000004</x:v>
      </x:c>
      <x:c r="G389" s="1" t="str">
        <x:v>m2</x:v>
      </x:c>
      <x:c r="H389" s="17" t="n">
        <x:v>270</x:v>
      </x:c>
      <x:c r="I389" s="17" t="n">
        <x:v>8</x:v>
      </x:c>
      <x:c r="J389" s="17" t="n">
        <x:f>ROUNDUP(F389/H389,0)</x:f>
        <x:v>5</x:v>
      </x:c>
      <x:c r="K389" s="1" t="n">
        <x:f>MAX(L388+2)</x:f>
        <x:v>433</x:v>
      </x:c>
      <x:c r="L389" s="1" t="n">
        <x:f>K389+J389</x:f>
        <x:v>438</x:v>
      </x:c>
      <x:c r="M389" s="1" t="n">
        <x:f>N389-J389</x:f>
        <x:v>474</x:v>
      </x:c>
      <x:c r="N389" s="1" t="n">
        <x:f>MIN(M390-0)</x:f>
        <x:v>479</x:v>
      </x:c>
      <x:c r="O389" s="1" t="n">
        <x:f>M389-K389</x:f>
        <x:v>41</x:v>
      </x:c>
      <x:c r="P389" s="19" t="n">
        <x:f>INDEX('Calendar'!$C$8:$C$907,K389+1)</x:f>
        <x:v>46833</x:v>
      </x:c>
      <x:c r="Q389" s="19" t="n">
        <x:f>INDEX('Calendar'!$C$8:$C$907,MAX(K389+1,L389))</x:f>
        <x:v>46837</x:v>
      </x:c>
      <x:c r="R389" s="15" t="n">
        <x:v>10245.560000000003</x:v>
      </x:c>
      <x:c r="S389" s="15"/>
      <x:c r="T389" s="15" t="n">
        <x:f>R389/J389</x:f>
        <x:v>2049.1120000000005</x:v>
      </x:c>
    </x:row>
    <x:row r="390" ht="23" customHeight="1">
      <x:c r="A390" s="6" t="str">
        <x:v>T3-L08-D</x:v>
      </x:c>
      <x:c r="B390" s="6" t="str">
        <x:v>T3</x:v>
      </x:c>
      <x:c r="C390" s="6" t="str">
        <x:v>L08</x:v>
      </x:c>
      <x:c r="D390" s="6" t="str">
        <x:v>Door sets and ironmongery</x:v>
      </x:c>
      <x:c r="E390" s="6" t="str">
        <x:v>Finishes</x:v>
      </x:c>
      <x:c r="F390" s="14" t="n">
        <x:v>28</x:v>
      </x:c>
      <x:c r="G390" s="6" t="str">
        <x:v>nr</x:v>
      </x:c>
      <x:c r="H390" s="16" t="n">
        <x:v>10</x:v>
      </x:c>
      <x:c r="I390" s="16" t="n">
        <x:v>4</x:v>
      </x:c>
      <x:c r="J390" s="16" t="n">
        <x:f>ROUNDUP(F390/H390,0)</x:f>
        <x:v>3</x:v>
      </x:c>
      <x:c r="K390" s="6" t="n">
        <x:f>MAX(L389+0)</x:f>
        <x:v>438</x:v>
      </x:c>
      <x:c r="L390" s="6" t="n">
        <x:f>K390+J390</x:f>
        <x:v>441</x:v>
      </x:c>
      <x:c r="M390" s="6" t="n">
        <x:f>N390-J390</x:f>
        <x:v>479</x:v>
      </x:c>
      <x:c r="N390" s="6" t="n">
        <x:f>MIN(M816-0)</x:f>
        <x:v>482</x:v>
      </x:c>
      <x:c r="O390" s="6" t="n">
        <x:f>M390-K390</x:f>
        <x:v>41</x:v>
      </x:c>
      <x:c r="P390" s="18" t="n">
        <x:f>INDEX('Calendar'!$C$8:$C$907,K390+1)</x:f>
        <x:v>46839</x:v>
      </x:c>
      <x:c r="Q390" s="18" t="n">
        <x:f>INDEX('Calendar'!$C$8:$C$907,MAX(K390+1,L390))</x:f>
        <x:v>46841</x:v>
      </x:c>
      <x:c r="R390" s="14" t="n">
        <x:v>5796</x:v>
      </x:c>
      <x:c r="S390" s="14"/>
      <x:c r="T390" s="14" t="n">
        <x:f>R390/J390</x:f>
        <x:v>1932</x:v>
      </x:c>
    </x:row>
    <x:row r="391" ht="23" customHeight="1">
      <x:c r="A391" s="1" t="str">
        <x:v>T3-L09-M</x:v>
      </x:c>
      <x:c r="B391" s="1" t="str">
        <x:v>T3</x:v>
      </x:c>
      <x:c r="C391" s="1" t="str">
        <x:v>L09</x:v>
      </x:c>
      <x:c r="D391" s="1" t="str">
        <x:v>Partition masonry</x:v>
      </x:c>
      <x:c r="E391" s="1" t="str">
        <x:v>Masonry</x:v>
      </x:c>
      <x:c r="F391" s="15" t="n">
        <x:v>90.40200000000002</x:v>
      </x:c>
      <x:c r="G391" s="1" t="str">
        <x:v>m3</x:v>
      </x:c>
      <x:c r="H391" s="17" t="n">
        <x:v>22</x:v>
      </x:c>
      <x:c r="I391" s="17" t="n">
        <x:v>10</x:v>
      </x:c>
      <x:c r="J391" s="17" t="n">
        <x:f>ROUNDUP(F391/H391,0)</x:f>
        <x:v>5</x:v>
      </x:c>
      <x:c r="K391" s="1" t="n">
        <x:f>MAX(L333+5)</x:f>
        <x:v>397</x:v>
      </x:c>
      <x:c r="L391" s="1" t="n">
        <x:f>K391+J391</x:f>
        <x:v>402</x:v>
      </x:c>
      <x:c r="M391" s="1" t="n">
        <x:f>N391-J391</x:f>
        <x:v>433</x:v>
      </x:c>
      <x:c r="N391" s="1" t="n">
        <x:f>MIN(M392-3)</x:f>
        <x:v>438</x:v>
      </x:c>
      <x:c r="O391" s="1" t="n">
        <x:f>M391-K391</x:f>
        <x:v>36</x:v>
      </x:c>
      <x:c r="P391" s="19" t="n">
        <x:f>INDEX('Calendar'!$C$8:$C$907,K391+1)</x:f>
        <x:v>46791</x:v>
      </x:c>
      <x:c r="Q391" s="19" t="n">
        <x:f>INDEX('Calendar'!$C$8:$C$907,MAX(K391+1,L391))</x:f>
        <x:v>46795</x:v>
      </x:c>
      <x:c r="R391" s="15" t="n">
        <x:v>12204.27</x:v>
      </x:c>
      <x:c r="S391" s="15"/>
      <x:c r="T391" s="15" t="n">
        <x:f>R391/J391</x:f>
        <x:v>2440.8540000000003</x:v>
      </x:c>
    </x:row>
    <x:row r="392" ht="23" customHeight="1">
      <x:c r="A392" s="6" t="str">
        <x:v>T3-L09-P</x:v>
      </x:c>
      <x:c r="B392" s="6" t="str">
        <x:v>T3</x:v>
      </x:c>
      <x:c r="C392" s="6" t="str">
        <x:v>L09</x:v>
      </x:c>
      <x:c r="D392" s="6" t="str">
        <x:v>Internal plaster</x:v>
      </x:c>
      <x:c r="E392" s="6" t="str">
        <x:v>Finishes</x:v>
      </x:c>
      <x:c r="F392" s="14" t="n">
        <x:v>1205.3600000000006</x:v>
      </x:c>
      <x:c r="G392" s="6" t="str">
        <x:v>m2</x:v>
      </x:c>
      <x:c r="H392" s="16" t="n">
        <x:v>220</x:v>
      </x:c>
      <x:c r="I392" s="16" t="n">
        <x:v>10</x:v>
      </x:c>
      <x:c r="J392" s="16" t="n">
        <x:f>ROUNDUP(F392/H392,0)</x:f>
        <x:v>6</x:v>
      </x:c>
      <x:c r="K392" s="6" t="n">
        <x:f>MAX(L391+3)</x:f>
        <x:v>405</x:v>
      </x:c>
      <x:c r="L392" s="6" t="n">
        <x:f>K392+J392</x:f>
        <x:v>411</x:v>
      </x:c>
      <x:c r="M392" s="6" t="n">
        <x:f>N392-J392</x:f>
        <x:v>441</x:v>
      </x:c>
      <x:c r="N392" s="6" t="n">
        <x:f>MIN(M393-2)</x:f>
        <x:v>447</x:v>
      </x:c>
      <x:c r="O392" s="6" t="n">
        <x:f>M392-K392</x:f>
        <x:v>36</x:v>
      </x:c>
      <x:c r="P392" s="18" t="n">
        <x:f>INDEX('Calendar'!$C$8:$C$907,K392+1)</x:f>
        <x:v>46800</x:v>
      </x:c>
      <x:c r="Q392" s="18" t="n">
        <x:f>INDEX('Calendar'!$C$8:$C$907,MAX(K392+1,L392))</x:f>
        <x:v>46806</x:v>
      </x:c>
      <x:c r="R392" s="14" t="n">
        <x:v>15067.000000000005</x:v>
      </x:c>
      <x:c r="S392" s="14"/>
      <x:c r="T392" s="14" t="n">
        <x:f>R392/J392</x:f>
        <x:v>2511.1666666666674</x:v>
      </x:c>
    </x:row>
    <x:row r="393" ht="23" customHeight="1">
      <x:c r="A393" s="1" t="str">
        <x:v>T3-L09-S</x:v>
      </x:c>
      <x:c r="B393" s="1" t="str">
        <x:v>T3</x:v>
      </x:c>
      <x:c r="C393" s="1" t="str">
        <x:v>L09</x:v>
      </x:c>
      <x:c r="D393" s="1" t="str">
        <x:v>Screed and substrate preparation</x:v>
      </x:c>
      <x:c r="E393" s="1" t="str">
        <x:v>Finishes</x:v>
      </x:c>
      <x:c r="F393" s="15" t="n">
        <x:v>696</x:v>
      </x:c>
      <x:c r="G393" s="1" t="str">
        <x:v>m2</x:v>
      </x:c>
      <x:c r="H393" s="17" t="n">
        <x:v>240</x:v>
      </x:c>
      <x:c r="I393" s="17" t="n">
        <x:v>8</x:v>
      </x:c>
      <x:c r="J393" s="17" t="n">
        <x:f>ROUNDUP(F393/H393,0)</x:f>
        <x:v>3</x:v>
      </x:c>
      <x:c r="K393" s="1" t="n">
        <x:f>MAX(L392+2)</x:f>
        <x:v>413</x:v>
      </x:c>
      <x:c r="L393" s="1" t="n">
        <x:f>K393+J393</x:f>
        <x:v>416</x:v>
      </x:c>
      <x:c r="M393" s="1" t="n">
        <x:f>N393-J393</x:f>
        <x:v>449</x:v>
      </x:c>
      <x:c r="N393" s="1" t="n">
        <x:f>MIN(M394-14)</x:f>
        <x:v>452</x:v>
      </x:c>
      <x:c r="O393" s="1" t="n">
        <x:f>M393-K393</x:f>
        <x:v>36</x:v>
      </x:c>
      <x:c r="P393" s="19" t="n">
        <x:f>INDEX('Calendar'!$C$8:$C$907,K393+1)</x:f>
        <x:v>46809</x:v>
      </x:c>
      <x:c r="Q393" s="19" t="n">
        <x:f>INDEX('Calendar'!$C$8:$C$907,MAX(K393+1,L393))</x:f>
        <x:v>46812</x:v>
      </x:c>
      <x:c r="R393" s="15" t="n">
        <x:v>9048</x:v>
      </x:c>
      <x:c r="S393" s="15"/>
      <x:c r="T393" s="15" t="n">
        <x:f>R393/J393</x:f>
        <x:v>3016</x:v>
      </x:c>
    </x:row>
    <x:row r="394" ht="23" customHeight="1">
      <x:c r="A394" s="6" t="str">
        <x:v>T3-L09-T</x:v>
      </x:c>
      <x:c r="B394" s="6" t="str">
        <x:v>T3</x:v>
      </x:c>
      <x:c r="C394" s="6" t="str">
        <x:v>L09</x:v>
      </x:c>
      <x:c r="D394" s="6" t="str">
        <x:v>Floor finishes and skirtings</x:v>
      </x:c>
      <x:c r="E394" s="6" t="str">
        <x:v>Finishes</x:v>
      </x:c>
      <x:c r="F394" s="14" t="n">
        <x:v>696</x:v>
      </x:c>
      <x:c r="G394" s="6" t="str">
        <x:v>m2</x:v>
      </x:c>
      <x:c r="H394" s="16" t="n">
        <x:v>130</x:v>
      </x:c>
      <x:c r="I394" s="16" t="n">
        <x:v>8</x:v>
      </x:c>
      <x:c r="J394" s="16" t="n">
        <x:f>ROUNDUP(F394/H394,0)</x:f>
        <x:v>6</x:v>
      </x:c>
      <x:c r="K394" s="6" t="n">
        <x:f>MAX(L393+14,L336+0)</x:f>
        <x:v>430</x:v>
      </x:c>
      <x:c r="L394" s="6" t="n">
        <x:f>K394+J394</x:f>
        <x:v>436</x:v>
      </x:c>
      <x:c r="M394" s="6" t="n">
        <x:f>N394-J394</x:f>
        <x:v>466</x:v>
      </x:c>
      <x:c r="N394" s="6" t="n">
        <x:f>MIN(M395-2)</x:f>
        <x:v>472</x:v>
      </x:c>
      <x:c r="O394" s="6" t="n">
        <x:f>M394-K394</x:f>
        <x:v>36</x:v>
      </x:c>
      <x:c r="P394" s="18" t="n">
        <x:f>INDEX('Calendar'!$C$8:$C$907,K394+1)</x:f>
        <x:v>46829</x:v>
      </x:c>
      <x:c r="Q394" s="18" t="n">
        <x:f>INDEX('Calendar'!$C$8:$C$907,MAX(K394+1,L394))</x:f>
        <x:v>46835</x:v>
      </x:c>
      <x:c r="R394" s="14" t="n">
        <x:v>24012</x:v>
      </x:c>
      <x:c r="S394" s="14"/>
      <x:c r="T394" s="14" t="n">
        <x:f>R394/J394</x:f>
        <x:v>4002</x:v>
      </x:c>
    </x:row>
    <x:row r="395" ht="23" customHeight="1">
      <x:c r="A395" s="1" t="str">
        <x:v>T3-L09-A</x:v>
      </x:c>
      <x:c r="B395" s="1" t="str">
        <x:v>T3</x:v>
      </x:c>
      <x:c r="C395" s="1" t="str">
        <x:v>L09</x:v>
      </x:c>
      <x:c r="D395" s="1" t="str">
        <x:v>Paint and final decorations</x:v>
      </x:c>
      <x:c r="E395" s="1" t="str">
        <x:v>Finishes</x:v>
      </x:c>
      <x:c r="F395" s="15" t="n">
        <x:v>1205.3600000000004</x:v>
      </x:c>
      <x:c r="G395" s="1" t="str">
        <x:v>m2</x:v>
      </x:c>
      <x:c r="H395" s="17" t="n">
        <x:v>270</x:v>
      </x:c>
      <x:c r="I395" s="17" t="n">
        <x:v>8</x:v>
      </x:c>
      <x:c r="J395" s="17" t="n">
        <x:f>ROUNDUP(F395/H395,0)</x:f>
        <x:v>5</x:v>
      </x:c>
      <x:c r="K395" s="1" t="n">
        <x:f>MAX(L394+2)</x:f>
        <x:v>438</x:v>
      </x:c>
      <x:c r="L395" s="1" t="n">
        <x:f>K395+J395</x:f>
        <x:v>443</x:v>
      </x:c>
      <x:c r="M395" s="1" t="n">
        <x:f>N395-J395</x:f>
        <x:v>474</x:v>
      </x:c>
      <x:c r="N395" s="1" t="n">
        <x:f>MIN(M396-0)</x:f>
        <x:v>479</x:v>
      </x:c>
      <x:c r="O395" s="1" t="n">
        <x:f>M395-K395</x:f>
        <x:v>36</x:v>
      </x:c>
      <x:c r="P395" s="19" t="n">
        <x:f>INDEX('Calendar'!$C$8:$C$907,K395+1)</x:f>
        <x:v>46839</x:v>
      </x:c>
      <x:c r="Q395" s="19" t="n">
        <x:f>INDEX('Calendar'!$C$8:$C$907,MAX(K395+1,L395))</x:f>
        <x:v>46843</x:v>
      </x:c>
      <x:c r="R395" s="15" t="n">
        <x:v>10245.560000000003</x:v>
      </x:c>
      <x:c r="S395" s="15"/>
      <x:c r="T395" s="15" t="n">
        <x:f>R395/J395</x:f>
        <x:v>2049.1120000000005</x:v>
      </x:c>
    </x:row>
    <x:row r="396" ht="23" customHeight="1">
      <x:c r="A396" s="6" t="str">
        <x:v>T3-L09-D</x:v>
      </x:c>
      <x:c r="B396" s="6" t="str">
        <x:v>T3</x:v>
      </x:c>
      <x:c r="C396" s="6" t="str">
        <x:v>L09</x:v>
      </x:c>
      <x:c r="D396" s="6" t="str">
        <x:v>Door sets and ironmongery</x:v>
      </x:c>
      <x:c r="E396" s="6" t="str">
        <x:v>Finishes</x:v>
      </x:c>
      <x:c r="F396" s="14" t="n">
        <x:v>28</x:v>
      </x:c>
      <x:c r="G396" s="6" t="str">
        <x:v>nr</x:v>
      </x:c>
      <x:c r="H396" s="16" t="n">
        <x:v>10</x:v>
      </x:c>
      <x:c r="I396" s="16" t="n">
        <x:v>4</x:v>
      </x:c>
      <x:c r="J396" s="16" t="n">
        <x:f>ROUNDUP(F396/H396,0)</x:f>
        <x:v>3</x:v>
      </x:c>
      <x:c r="K396" s="6" t="n">
        <x:f>MAX(L395+0)</x:f>
        <x:v>443</x:v>
      </x:c>
      <x:c r="L396" s="6" t="n">
        <x:f>K396+J396</x:f>
        <x:v>446</x:v>
      </x:c>
      <x:c r="M396" s="6" t="n">
        <x:f>N396-J396</x:f>
        <x:v>479</x:v>
      </x:c>
      <x:c r="N396" s="6" t="n">
        <x:f>MIN(M816-0)</x:f>
        <x:v>482</x:v>
      </x:c>
      <x:c r="O396" s="6" t="n">
        <x:f>M396-K396</x:f>
        <x:v>36</x:v>
      </x:c>
      <x:c r="P396" s="18" t="n">
        <x:f>INDEX('Calendar'!$C$8:$C$907,K396+1)</x:f>
        <x:v>46844</x:v>
      </x:c>
      <x:c r="Q396" s="18" t="n">
        <x:f>INDEX('Calendar'!$C$8:$C$907,MAX(K396+1,L396))</x:f>
        <x:v>46847</x:v>
      </x:c>
      <x:c r="R396" s="14" t="n">
        <x:v>5796</x:v>
      </x:c>
      <x:c r="S396" s="14"/>
      <x:c r="T396" s="14" t="n">
        <x:f>R396/J396</x:f>
        <x:v>1932</x:v>
      </x:c>
    </x:row>
    <x:row r="397" ht="23" customHeight="1">
      <x:c r="A397" s="1" t="str">
        <x:v>T3-L10-M</x:v>
      </x:c>
      <x:c r="B397" s="1" t="str">
        <x:v>T3</x:v>
      </x:c>
      <x:c r="C397" s="1" t="str">
        <x:v>L10</x:v>
      </x:c>
      <x:c r="D397" s="1" t="str">
        <x:v>Partition masonry</x:v>
      </x:c>
      <x:c r="E397" s="1" t="str">
        <x:v>Masonry</x:v>
      </x:c>
      <x:c r="F397" s="15" t="n">
        <x:v>90.40200000000002</x:v>
      </x:c>
      <x:c r="G397" s="1" t="str">
        <x:v>m3</x:v>
      </x:c>
      <x:c r="H397" s="17" t="n">
        <x:v>22</x:v>
      </x:c>
      <x:c r="I397" s="17" t="n">
        <x:v>10</x:v>
      </x:c>
      <x:c r="J397" s="17" t="n">
        <x:f>ROUNDUP(F397/H397,0)</x:f>
        <x:v>5</x:v>
      </x:c>
      <x:c r="K397" s="1" t="n">
        <x:f>MAX(L333+5)</x:f>
        <x:v>397</x:v>
      </x:c>
      <x:c r="L397" s="1" t="n">
        <x:f>K397+J397</x:f>
        <x:v>402</x:v>
      </x:c>
      <x:c r="M397" s="1" t="n">
        <x:f>N397-J397</x:f>
        <x:v>433</x:v>
      </x:c>
      <x:c r="N397" s="1" t="n">
        <x:f>MIN(M398-3)</x:f>
        <x:v>438</x:v>
      </x:c>
      <x:c r="O397" s="1" t="n">
        <x:f>M397-K397</x:f>
        <x:v>36</x:v>
      </x:c>
      <x:c r="P397" s="19" t="n">
        <x:f>INDEX('Calendar'!$C$8:$C$907,K397+1)</x:f>
        <x:v>46791</x:v>
      </x:c>
      <x:c r="Q397" s="19" t="n">
        <x:f>INDEX('Calendar'!$C$8:$C$907,MAX(K397+1,L397))</x:f>
        <x:v>46795</x:v>
      </x:c>
      <x:c r="R397" s="15" t="n">
        <x:v>12204.27</x:v>
      </x:c>
      <x:c r="S397" s="15"/>
      <x:c r="T397" s="15" t="n">
        <x:f>R397/J397</x:f>
        <x:v>2440.8540000000003</x:v>
      </x:c>
    </x:row>
    <x:row r="398" ht="23" customHeight="1">
      <x:c r="A398" s="6" t="str">
        <x:v>T3-L10-P</x:v>
      </x:c>
      <x:c r="B398" s="6" t="str">
        <x:v>T3</x:v>
      </x:c>
      <x:c r="C398" s="6" t="str">
        <x:v>L10</x:v>
      </x:c>
      <x:c r="D398" s="6" t="str">
        <x:v>Internal plaster</x:v>
      </x:c>
      <x:c r="E398" s="6" t="str">
        <x:v>Finishes</x:v>
      </x:c>
      <x:c r="F398" s="14" t="n">
        <x:v>1205.3600000000006</x:v>
      </x:c>
      <x:c r="G398" s="6" t="str">
        <x:v>m2</x:v>
      </x:c>
      <x:c r="H398" s="16" t="n">
        <x:v>220</x:v>
      </x:c>
      <x:c r="I398" s="16" t="n">
        <x:v>10</x:v>
      </x:c>
      <x:c r="J398" s="16" t="n">
        <x:f>ROUNDUP(F398/H398,0)</x:f>
        <x:v>6</x:v>
      </x:c>
      <x:c r="K398" s="6" t="n">
        <x:f>MAX(L397+3)</x:f>
        <x:v>405</x:v>
      </x:c>
      <x:c r="L398" s="6" t="n">
        <x:f>K398+J398</x:f>
        <x:v>411</x:v>
      </x:c>
      <x:c r="M398" s="6" t="n">
        <x:f>N398-J398</x:f>
        <x:v>441</x:v>
      </x:c>
      <x:c r="N398" s="6" t="n">
        <x:f>MIN(M399-2)</x:f>
        <x:v>447</x:v>
      </x:c>
      <x:c r="O398" s="6" t="n">
        <x:f>M398-K398</x:f>
        <x:v>36</x:v>
      </x:c>
      <x:c r="P398" s="18" t="n">
        <x:f>INDEX('Calendar'!$C$8:$C$907,K398+1)</x:f>
        <x:v>46800</x:v>
      </x:c>
      <x:c r="Q398" s="18" t="n">
        <x:f>INDEX('Calendar'!$C$8:$C$907,MAX(K398+1,L398))</x:f>
        <x:v>46806</x:v>
      </x:c>
      <x:c r="R398" s="14" t="n">
        <x:v>15067.000000000005</x:v>
      </x:c>
      <x:c r="S398" s="14"/>
      <x:c r="T398" s="14" t="n">
        <x:f>R398/J398</x:f>
        <x:v>2511.1666666666674</x:v>
      </x:c>
    </x:row>
    <x:row r="399" ht="23" customHeight="1">
      <x:c r="A399" s="1" t="str">
        <x:v>T3-L10-S</x:v>
      </x:c>
      <x:c r="B399" s="1" t="str">
        <x:v>T3</x:v>
      </x:c>
      <x:c r="C399" s="1" t="str">
        <x:v>L10</x:v>
      </x:c>
      <x:c r="D399" s="1" t="str">
        <x:v>Screed and substrate preparation</x:v>
      </x:c>
      <x:c r="E399" s="1" t="str">
        <x:v>Finishes</x:v>
      </x:c>
      <x:c r="F399" s="15" t="n">
        <x:v>696</x:v>
      </x:c>
      <x:c r="G399" s="1" t="str">
        <x:v>m2</x:v>
      </x:c>
      <x:c r="H399" s="17" t="n">
        <x:v>240</x:v>
      </x:c>
      <x:c r="I399" s="17" t="n">
        <x:v>8</x:v>
      </x:c>
      <x:c r="J399" s="17" t="n">
        <x:f>ROUNDUP(F399/H399,0)</x:f>
        <x:v>3</x:v>
      </x:c>
      <x:c r="K399" s="1" t="n">
        <x:f>MAX(L398+2)</x:f>
        <x:v>413</x:v>
      </x:c>
      <x:c r="L399" s="1" t="n">
        <x:f>K399+J399</x:f>
        <x:v>416</x:v>
      </x:c>
      <x:c r="M399" s="1" t="n">
        <x:f>N399-J399</x:f>
        <x:v>449</x:v>
      </x:c>
      <x:c r="N399" s="1" t="n">
        <x:f>MIN(M400-14)</x:f>
        <x:v>452</x:v>
      </x:c>
      <x:c r="O399" s="1" t="n">
        <x:f>M399-K399</x:f>
        <x:v>36</x:v>
      </x:c>
      <x:c r="P399" s="19" t="n">
        <x:f>INDEX('Calendar'!$C$8:$C$907,K399+1)</x:f>
        <x:v>46809</x:v>
      </x:c>
      <x:c r="Q399" s="19" t="n">
        <x:f>INDEX('Calendar'!$C$8:$C$907,MAX(K399+1,L399))</x:f>
        <x:v>46812</x:v>
      </x:c>
      <x:c r="R399" s="15" t="n">
        <x:v>9048</x:v>
      </x:c>
      <x:c r="S399" s="15"/>
      <x:c r="T399" s="15" t="n">
        <x:f>R399/J399</x:f>
        <x:v>3016</x:v>
      </x:c>
    </x:row>
    <x:row r="400" ht="23" customHeight="1">
      <x:c r="A400" s="6" t="str">
        <x:v>T3-L10-T</x:v>
      </x:c>
      <x:c r="B400" s="6" t="str">
        <x:v>T3</x:v>
      </x:c>
      <x:c r="C400" s="6" t="str">
        <x:v>L10</x:v>
      </x:c>
      <x:c r="D400" s="6" t="str">
        <x:v>Floor finishes and skirtings</x:v>
      </x:c>
      <x:c r="E400" s="6" t="str">
        <x:v>Finishes</x:v>
      </x:c>
      <x:c r="F400" s="14" t="n">
        <x:v>696</x:v>
      </x:c>
      <x:c r="G400" s="6" t="str">
        <x:v>m2</x:v>
      </x:c>
      <x:c r="H400" s="16" t="n">
        <x:v>130</x:v>
      </x:c>
      <x:c r="I400" s="16" t="n">
        <x:v>8</x:v>
      </x:c>
      <x:c r="J400" s="16" t="n">
        <x:f>ROUNDUP(F400/H400,0)</x:f>
        <x:v>6</x:v>
      </x:c>
      <x:c r="K400" s="6" t="n">
        <x:f>MAX(L399+14,L336+0)</x:f>
        <x:v>430</x:v>
      </x:c>
      <x:c r="L400" s="6" t="n">
        <x:f>K400+J400</x:f>
        <x:v>436</x:v>
      </x:c>
      <x:c r="M400" s="6" t="n">
        <x:f>N400-J400</x:f>
        <x:v>466</x:v>
      </x:c>
      <x:c r="N400" s="6" t="n">
        <x:f>MIN(M401-2)</x:f>
        <x:v>472</x:v>
      </x:c>
      <x:c r="O400" s="6" t="n">
        <x:f>M400-K400</x:f>
        <x:v>36</x:v>
      </x:c>
      <x:c r="P400" s="18" t="n">
        <x:f>INDEX('Calendar'!$C$8:$C$907,K400+1)</x:f>
        <x:v>46829</x:v>
      </x:c>
      <x:c r="Q400" s="18" t="n">
        <x:f>INDEX('Calendar'!$C$8:$C$907,MAX(K400+1,L400))</x:f>
        <x:v>46835</x:v>
      </x:c>
      <x:c r="R400" s="14" t="n">
        <x:v>24012</x:v>
      </x:c>
      <x:c r="S400" s="14"/>
      <x:c r="T400" s="14" t="n">
        <x:f>R400/J400</x:f>
        <x:v>4002</x:v>
      </x:c>
    </x:row>
    <x:row r="401" ht="23" customHeight="1">
      <x:c r="A401" s="1" t="str">
        <x:v>T3-L10-A</x:v>
      </x:c>
      <x:c r="B401" s="1" t="str">
        <x:v>T3</x:v>
      </x:c>
      <x:c r="C401" s="1" t="str">
        <x:v>L10</x:v>
      </x:c>
      <x:c r="D401" s="1" t="str">
        <x:v>Paint and final decorations</x:v>
      </x:c>
      <x:c r="E401" s="1" t="str">
        <x:v>Finishes</x:v>
      </x:c>
      <x:c r="F401" s="15" t="n">
        <x:v>1205.3600000000004</x:v>
      </x:c>
      <x:c r="G401" s="1" t="str">
        <x:v>m2</x:v>
      </x:c>
      <x:c r="H401" s="17" t="n">
        <x:v>270</x:v>
      </x:c>
      <x:c r="I401" s="17" t="n">
        <x:v>8</x:v>
      </x:c>
      <x:c r="J401" s="17" t="n">
        <x:f>ROUNDUP(F401/H401,0)</x:f>
        <x:v>5</x:v>
      </x:c>
      <x:c r="K401" s="1" t="n">
        <x:f>MAX(L400+2)</x:f>
        <x:v>438</x:v>
      </x:c>
      <x:c r="L401" s="1" t="n">
        <x:f>K401+J401</x:f>
        <x:v>443</x:v>
      </x:c>
      <x:c r="M401" s="1" t="n">
        <x:f>N401-J401</x:f>
        <x:v>474</x:v>
      </x:c>
      <x:c r="N401" s="1" t="n">
        <x:f>MIN(M402-0)</x:f>
        <x:v>479</x:v>
      </x:c>
      <x:c r="O401" s="1" t="n">
        <x:f>M401-K401</x:f>
        <x:v>36</x:v>
      </x:c>
      <x:c r="P401" s="19" t="n">
        <x:f>INDEX('Calendar'!$C$8:$C$907,K401+1)</x:f>
        <x:v>46839</x:v>
      </x:c>
      <x:c r="Q401" s="19" t="n">
        <x:f>INDEX('Calendar'!$C$8:$C$907,MAX(K401+1,L401))</x:f>
        <x:v>46843</x:v>
      </x:c>
      <x:c r="R401" s="15" t="n">
        <x:v>10245.560000000003</x:v>
      </x:c>
      <x:c r="S401" s="15"/>
      <x:c r="T401" s="15" t="n">
        <x:f>R401/J401</x:f>
        <x:v>2049.1120000000005</x:v>
      </x:c>
    </x:row>
    <x:row r="402" ht="23" customHeight="1">
      <x:c r="A402" s="6" t="str">
        <x:v>T3-L10-D</x:v>
      </x:c>
      <x:c r="B402" s="6" t="str">
        <x:v>T3</x:v>
      </x:c>
      <x:c r="C402" s="6" t="str">
        <x:v>L10</x:v>
      </x:c>
      <x:c r="D402" s="6" t="str">
        <x:v>Door sets and ironmongery</x:v>
      </x:c>
      <x:c r="E402" s="6" t="str">
        <x:v>Finishes</x:v>
      </x:c>
      <x:c r="F402" s="14" t="n">
        <x:v>28</x:v>
      </x:c>
      <x:c r="G402" s="6" t="str">
        <x:v>nr</x:v>
      </x:c>
      <x:c r="H402" s="16" t="n">
        <x:v>10</x:v>
      </x:c>
      <x:c r="I402" s="16" t="n">
        <x:v>4</x:v>
      </x:c>
      <x:c r="J402" s="16" t="n">
        <x:f>ROUNDUP(F402/H402,0)</x:f>
        <x:v>3</x:v>
      </x:c>
      <x:c r="K402" s="6" t="n">
        <x:f>MAX(L401+0)</x:f>
        <x:v>443</x:v>
      </x:c>
      <x:c r="L402" s="6" t="n">
        <x:f>K402+J402</x:f>
        <x:v>446</x:v>
      </x:c>
      <x:c r="M402" s="6" t="n">
        <x:f>N402-J402</x:f>
        <x:v>479</x:v>
      </x:c>
      <x:c r="N402" s="6" t="n">
        <x:f>MIN(M816-0)</x:f>
        <x:v>482</x:v>
      </x:c>
      <x:c r="O402" s="6" t="n">
        <x:f>M402-K402</x:f>
        <x:v>36</x:v>
      </x:c>
      <x:c r="P402" s="18" t="n">
        <x:f>INDEX('Calendar'!$C$8:$C$907,K402+1)</x:f>
        <x:v>46844</x:v>
      </x:c>
      <x:c r="Q402" s="18" t="n">
        <x:f>INDEX('Calendar'!$C$8:$C$907,MAX(K402+1,L402))</x:f>
        <x:v>46847</x:v>
      </x:c>
      <x:c r="R402" s="14" t="n">
        <x:v>5796</x:v>
      </x:c>
      <x:c r="S402" s="14"/>
      <x:c r="T402" s="14" t="n">
        <x:f>R402/J402</x:f>
        <x:v>1932</x:v>
      </x:c>
    </x:row>
    <x:row r="403" ht="23" customHeight="1">
      <x:c r="A403" s="1" t="str">
        <x:v>T3-L11-M</x:v>
      </x:c>
      <x:c r="B403" s="1" t="str">
        <x:v>T3</x:v>
      </x:c>
      <x:c r="C403" s="1" t="str">
        <x:v>L11</x:v>
      </x:c>
      <x:c r="D403" s="1" t="str">
        <x:v>Partition masonry</x:v>
      </x:c>
      <x:c r="E403" s="1" t="str">
        <x:v>Masonry</x:v>
      </x:c>
      <x:c r="F403" s="15" t="n">
        <x:v>90.40200000000002</x:v>
      </x:c>
      <x:c r="G403" s="1" t="str">
        <x:v>m3</x:v>
      </x:c>
      <x:c r="H403" s="17" t="n">
        <x:v>22</x:v>
      </x:c>
      <x:c r="I403" s="17" t="n">
        <x:v>10</x:v>
      </x:c>
      <x:c r="J403" s="17" t="n">
        <x:f>ROUNDUP(F403/H403,0)</x:f>
        <x:v>5</x:v>
      </x:c>
      <x:c r="K403" s="1" t="n">
        <x:f>MAX(L333+5)</x:f>
        <x:v>397</x:v>
      </x:c>
      <x:c r="L403" s="1" t="n">
        <x:f>K403+J403</x:f>
        <x:v>402</x:v>
      </x:c>
      <x:c r="M403" s="1" t="n">
        <x:f>N403-J403</x:f>
        <x:v>433</x:v>
      </x:c>
      <x:c r="N403" s="1" t="n">
        <x:f>MIN(M404-3)</x:f>
        <x:v>438</x:v>
      </x:c>
      <x:c r="O403" s="1" t="n">
        <x:f>M403-K403</x:f>
        <x:v>36</x:v>
      </x:c>
      <x:c r="P403" s="19" t="n">
        <x:f>INDEX('Calendar'!$C$8:$C$907,K403+1)</x:f>
        <x:v>46791</x:v>
      </x:c>
      <x:c r="Q403" s="19" t="n">
        <x:f>INDEX('Calendar'!$C$8:$C$907,MAX(K403+1,L403))</x:f>
        <x:v>46795</x:v>
      </x:c>
      <x:c r="R403" s="15" t="n">
        <x:v>12204.27</x:v>
      </x:c>
      <x:c r="S403" s="15"/>
      <x:c r="T403" s="15" t="n">
        <x:f>R403/J403</x:f>
        <x:v>2440.8540000000003</x:v>
      </x:c>
    </x:row>
    <x:row r="404" ht="23" customHeight="1">
      <x:c r="A404" s="6" t="str">
        <x:v>T3-L11-P</x:v>
      </x:c>
      <x:c r="B404" s="6" t="str">
        <x:v>T3</x:v>
      </x:c>
      <x:c r="C404" s="6" t="str">
        <x:v>L11</x:v>
      </x:c>
      <x:c r="D404" s="6" t="str">
        <x:v>Internal plaster</x:v>
      </x:c>
      <x:c r="E404" s="6" t="str">
        <x:v>Finishes</x:v>
      </x:c>
      <x:c r="F404" s="14" t="n">
        <x:v>1205.3600000000006</x:v>
      </x:c>
      <x:c r="G404" s="6" t="str">
        <x:v>m2</x:v>
      </x:c>
      <x:c r="H404" s="16" t="n">
        <x:v>220</x:v>
      </x:c>
      <x:c r="I404" s="16" t="n">
        <x:v>10</x:v>
      </x:c>
      <x:c r="J404" s="16" t="n">
        <x:f>ROUNDUP(F404/H404,0)</x:f>
        <x:v>6</x:v>
      </x:c>
      <x:c r="K404" s="6" t="n">
        <x:f>MAX(L403+3)</x:f>
        <x:v>405</x:v>
      </x:c>
      <x:c r="L404" s="6" t="n">
        <x:f>K404+J404</x:f>
        <x:v>411</x:v>
      </x:c>
      <x:c r="M404" s="6" t="n">
        <x:f>N404-J404</x:f>
        <x:v>441</x:v>
      </x:c>
      <x:c r="N404" s="6" t="n">
        <x:f>MIN(M405-2)</x:f>
        <x:v>447</x:v>
      </x:c>
      <x:c r="O404" s="6" t="n">
        <x:f>M404-K404</x:f>
        <x:v>36</x:v>
      </x:c>
      <x:c r="P404" s="18" t="n">
        <x:f>INDEX('Calendar'!$C$8:$C$907,K404+1)</x:f>
        <x:v>46800</x:v>
      </x:c>
      <x:c r="Q404" s="18" t="n">
        <x:f>INDEX('Calendar'!$C$8:$C$907,MAX(K404+1,L404))</x:f>
        <x:v>46806</x:v>
      </x:c>
      <x:c r="R404" s="14" t="n">
        <x:v>15067.000000000005</x:v>
      </x:c>
      <x:c r="S404" s="14"/>
      <x:c r="T404" s="14" t="n">
        <x:f>R404/J404</x:f>
        <x:v>2511.1666666666674</x:v>
      </x:c>
    </x:row>
    <x:row r="405" ht="23" customHeight="1">
      <x:c r="A405" s="1" t="str">
        <x:v>T3-L11-S</x:v>
      </x:c>
      <x:c r="B405" s="1" t="str">
        <x:v>T3</x:v>
      </x:c>
      <x:c r="C405" s="1" t="str">
        <x:v>L11</x:v>
      </x:c>
      <x:c r="D405" s="1" t="str">
        <x:v>Screed and substrate preparation</x:v>
      </x:c>
      <x:c r="E405" s="1" t="str">
        <x:v>Finishes</x:v>
      </x:c>
      <x:c r="F405" s="15" t="n">
        <x:v>696</x:v>
      </x:c>
      <x:c r="G405" s="1" t="str">
        <x:v>m2</x:v>
      </x:c>
      <x:c r="H405" s="17" t="n">
        <x:v>240</x:v>
      </x:c>
      <x:c r="I405" s="17" t="n">
        <x:v>8</x:v>
      </x:c>
      <x:c r="J405" s="17" t="n">
        <x:f>ROUNDUP(F405/H405,0)</x:f>
        <x:v>3</x:v>
      </x:c>
      <x:c r="K405" s="1" t="n">
        <x:f>MAX(L404+2)</x:f>
        <x:v>413</x:v>
      </x:c>
      <x:c r="L405" s="1" t="n">
        <x:f>K405+J405</x:f>
        <x:v>416</x:v>
      </x:c>
      <x:c r="M405" s="1" t="n">
        <x:f>N405-J405</x:f>
        <x:v>449</x:v>
      </x:c>
      <x:c r="N405" s="1" t="n">
        <x:f>MIN(M406-14)</x:f>
        <x:v>452</x:v>
      </x:c>
      <x:c r="O405" s="1" t="n">
        <x:f>M405-K405</x:f>
        <x:v>36</x:v>
      </x:c>
      <x:c r="P405" s="19" t="n">
        <x:f>INDEX('Calendar'!$C$8:$C$907,K405+1)</x:f>
        <x:v>46809</x:v>
      </x:c>
      <x:c r="Q405" s="19" t="n">
        <x:f>INDEX('Calendar'!$C$8:$C$907,MAX(K405+1,L405))</x:f>
        <x:v>46812</x:v>
      </x:c>
      <x:c r="R405" s="15" t="n">
        <x:v>9048</x:v>
      </x:c>
      <x:c r="S405" s="15"/>
      <x:c r="T405" s="15" t="n">
        <x:f>R405/J405</x:f>
        <x:v>3016</x:v>
      </x:c>
    </x:row>
    <x:row r="406" ht="23" customHeight="1">
      <x:c r="A406" s="6" t="str">
        <x:v>T3-L11-T</x:v>
      </x:c>
      <x:c r="B406" s="6" t="str">
        <x:v>T3</x:v>
      </x:c>
      <x:c r="C406" s="6" t="str">
        <x:v>L11</x:v>
      </x:c>
      <x:c r="D406" s="6" t="str">
        <x:v>Floor finishes and skirtings</x:v>
      </x:c>
      <x:c r="E406" s="6" t="str">
        <x:v>Finishes</x:v>
      </x:c>
      <x:c r="F406" s="14" t="n">
        <x:v>696</x:v>
      </x:c>
      <x:c r="G406" s="6" t="str">
        <x:v>m2</x:v>
      </x:c>
      <x:c r="H406" s="16" t="n">
        <x:v>130</x:v>
      </x:c>
      <x:c r="I406" s="16" t="n">
        <x:v>8</x:v>
      </x:c>
      <x:c r="J406" s="16" t="n">
        <x:f>ROUNDUP(F406/H406,0)</x:f>
        <x:v>6</x:v>
      </x:c>
      <x:c r="K406" s="6" t="n">
        <x:f>MAX(L405+14,L336+0)</x:f>
        <x:v>430</x:v>
      </x:c>
      <x:c r="L406" s="6" t="n">
        <x:f>K406+J406</x:f>
        <x:v>436</x:v>
      </x:c>
      <x:c r="M406" s="6" t="n">
        <x:f>N406-J406</x:f>
        <x:v>466</x:v>
      </x:c>
      <x:c r="N406" s="6" t="n">
        <x:f>MIN(M407-2)</x:f>
        <x:v>472</x:v>
      </x:c>
      <x:c r="O406" s="6" t="n">
        <x:f>M406-K406</x:f>
        <x:v>36</x:v>
      </x:c>
      <x:c r="P406" s="18" t="n">
        <x:f>INDEX('Calendar'!$C$8:$C$907,K406+1)</x:f>
        <x:v>46829</x:v>
      </x:c>
      <x:c r="Q406" s="18" t="n">
        <x:f>INDEX('Calendar'!$C$8:$C$907,MAX(K406+1,L406))</x:f>
        <x:v>46835</x:v>
      </x:c>
      <x:c r="R406" s="14" t="n">
        <x:v>24012</x:v>
      </x:c>
      <x:c r="S406" s="14"/>
      <x:c r="T406" s="14" t="n">
        <x:f>R406/J406</x:f>
        <x:v>4002</x:v>
      </x:c>
    </x:row>
    <x:row r="407" ht="23" customHeight="1">
      <x:c r="A407" s="1" t="str">
        <x:v>T3-L11-A</x:v>
      </x:c>
      <x:c r="B407" s="1" t="str">
        <x:v>T3</x:v>
      </x:c>
      <x:c r="C407" s="1" t="str">
        <x:v>L11</x:v>
      </x:c>
      <x:c r="D407" s="1" t="str">
        <x:v>Paint and final decorations</x:v>
      </x:c>
      <x:c r="E407" s="1" t="str">
        <x:v>Finishes</x:v>
      </x:c>
      <x:c r="F407" s="15" t="n">
        <x:v>1205.3600000000004</x:v>
      </x:c>
      <x:c r="G407" s="1" t="str">
        <x:v>m2</x:v>
      </x:c>
      <x:c r="H407" s="17" t="n">
        <x:v>270</x:v>
      </x:c>
      <x:c r="I407" s="17" t="n">
        <x:v>8</x:v>
      </x:c>
      <x:c r="J407" s="17" t="n">
        <x:f>ROUNDUP(F407/H407,0)</x:f>
        <x:v>5</x:v>
      </x:c>
      <x:c r="K407" s="1" t="n">
        <x:f>MAX(L406+2)</x:f>
        <x:v>438</x:v>
      </x:c>
      <x:c r="L407" s="1" t="n">
        <x:f>K407+J407</x:f>
        <x:v>443</x:v>
      </x:c>
      <x:c r="M407" s="1" t="n">
        <x:f>N407-J407</x:f>
        <x:v>474</x:v>
      </x:c>
      <x:c r="N407" s="1" t="n">
        <x:f>MIN(M408-0)</x:f>
        <x:v>479</x:v>
      </x:c>
      <x:c r="O407" s="1" t="n">
        <x:f>M407-K407</x:f>
        <x:v>36</x:v>
      </x:c>
      <x:c r="P407" s="19" t="n">
        <x:f>INDEX('Calendar'!$C$8:$C$907,K407+1)</x:f>
        <x:v>46839</x:v>
      </x:c>
      <x:c r="Q407" s="19" t="n">
        <x:f>INDEX('Calendar'!$C$8:$C$907,MAX(K407+1,L407))</x:f>
        <x:v>46843</x:v>
      </x:c>
      <x:c r="R407" s="15" t="n">
        <x:v>10245.560000000003</x:v>
      </x:c>
      <x:c r="S407" s="15"/>
      <x:c r="T407" s="15" t="n">
        <x:f>R407/J407</x:f>
        <x:v>2049.1120000000005</x:v>
      </x:c>
    </x:row>
    <x:row r="408" ht="23" customHeight="1">
      <x:c r="A408" s="6" t="str">
        <x:v>T3-L11-D</x:v>
      </x:c>
      <x:c r="B408" s="6" t="str">
        <x:v>T3</x:v>
      </x:c>
      <x:c r="C408" s="6" t="str">
        <x:v>L11</x:v>
      </x:c>
      <x:c r="D408" s="6" t="str">
        <x:v>Door sets and ironmongery</x:v>
      </x:c>
      <x:c r="E408" s="6" t="str">
        <x:v>Finishes</x:v>
      </x:c>
      <x:c r="F408" s="14" t="n">
        <x:v>28</x:v>
      </x:c>
      <x:c r="G408" s="6" t="str">
        <x:v>nr</x:v>
      </x:c>
      <x:c r="H408" s="16" t="n">
        <x:v>10</x:v>
      </x:c>
      <x:c r="I408" s="16" t="n">
        <x:v>4</x:v>
      </x:c>
      <x:c r="J408" s="16" t="n">
        <x:f>ROUNDUP(F408/H408,0)</x:f>
        <x:v>3</x:v>
      </x:c>
      <x:c r="K408" s="6" t="n">
        <x:f>MAX(L407+0)</x:f>
        <x:v>443</x:v>
      </x:c>
      <x:c r="L408" s="6" t="n">
        <x:f>K408+J408</x:f>
        <x:v>446</x:v>
      </x:c>
      <x:c r="M408" s="6" t="n">
        <x:f>N408-J408</x:f>
        <x:v>479</x:v>
      </x:c>
      <x:c r="N408" s="6" t="n">
        <x:f>MIN(M816-0)</x:f>
        <x:v>482</x:v>
      </x:c>
      <x:c r="O408" s="6" t="n">
        <x:f>M408-K408</x:f>
        <x:v>36</x:v>
      </x:c>
      <x:c r="P408" s="18" t="n">
        <x:f>INDEX('Calendar'!$C$8:$C$907,K408+1)</x:f>
        <x:v>46844</x:v>
      </x:c>
      <x:c r="Q408" s="18" t="n">
        <x:f>INDEX('Calendar'!$C$8:$C$907,MAX(K408+1,L408))</x:f>
        <x:v>46847</x:v>
      </x:c>
      <x:c r="R408" s="14" t="n">
        <x:v>5796</x:v>
      </x:c>
      <x:c r="S408" s="14"/>
      <x:c r="T408" s="14" t="n">
        <x:f>R408/J408</x:f>
        <x:v>1932</x:v>
      </x:c>
    </x:row>
    <x:row r="409" ht="23" customHeight="1">
      <x:c r="A409" s="1" t="str">
        <x:v>T3-L12-M</x:v>
      </x:c>
      <x:c r="B409" s="1" t="str">
        <x:v>T3</x:v>
      </x:c>
      <x:c r="C409" s="1" t="str">
        <x:v>L12</x:v>
      </x:c>
      <x:c r="D409" s="1" t="str">
        <x:v>Partition masonry</x:v>
      </x:c>
      <x:c r="E409" s="1" t="str">
        <x:v>Masonry</x:v>
      </x:c>
      <x:c r="F409" s="15" t="n">
        <x:v>90.40200000000002</x:v>
      </x:c>
      <x:c r="G409" s="1" t="str">
        <x:v>m3</x:v>
      </x:c>
      <x:c r="H409" s="17" t="n">
        <x:v>22</x:v>
      </x:c>
      <x:c r="I409" s="17" t="n">
        <x:v>10</x:v>
      </x:c>
      <x:c r="J409" s="17" t="n">
        <x:f>ROUNDUP(F409/H409,0)</x:f>
        <x:v>5</x:v>
      </x:c>
      <x:c r="K409" s="1" t="n">
        <x:f>MAX(L333+5)</x:f>
        <x:v>397</x:v>
      </x:c>
      <x:c r="L409" s="1" t="n">
        <x:f>K409+J409</x:f>
        <x:v>402</x:v>
      </x:c>
      <x:c r="M409" s="1" t="n">
        <x:f>N409-J409</x:f>
        <x:v>433</x:v>
      </x:c>
      <x:c r="N409" s="1" t="n">
        <x:f>MIN(M410-3)</x:f>
        <x:v>438</x:v>
      </x:c>
      <x:c r="O409" s="1" t="n">
        <x:f>M409-K409</x:f>
        <x:v>36</x:v>
      </x:c>
      <x:c r="P409" s="19" t="n">
        <x:f>INDEX('Calendar'!$C$8:$C$907,K409+1)</x:f>
        <x:v>46791</x:v>
      </x:c>
      <x:c r="Q409" s="19" t="n">
        <x:f>INDEX('Calendar'!$C$8:$C$907,MAX(K409+1,L409))</x:f>
        <x:v>46795</x:v>
      </x:c>
      <x:c r="R409" s="15" t="n">
        <x:v>12204.27</x:v>
      </x:c>
      <x:c r="S409" s="15"/>
      <x:c r="T409" s="15" t="n">
        <x:f>R409/J409</x:f>
        <x:v>2440.8540000000003</x:v>
      </x:c>
    </x:row>
    <x:row r="410" ht="23" customHeight="1">
      <x:c r="A410" s="6" t="str">
        <x:v>T3-L12-P</x:v>
      </x:c>
      <x:c r="B410" s="6" t="str">
        <x:v>T3</x:v>
      </x:c>
      <x:c r="C410" s="6" t="str">
        <x:v>L12</x:v>
      </x:c>
      <x:c r="D410" s="6" t="str">
        <x:v>Internal plaster</x:v>
      </x:c>
      <x:c r="E410" s="6" t="str">
        <x:v>Finishes</x:v>
      </x:c>
      <x:c r="F410" s="14" t="n">
        <x:v>1205.3600000000006</x:v>
      </x:c>
      <x:c r="G410" s="6" t="str">
        <x:v>m2</x:v>
      </x:c>
      <x:c r="H410" s="16" t="n">
        <x:v>220</x:v>
      </x:c>
      <x:c r="I410" s="16" t="n">
        <x:v>10</x:v>
      </x:c>
      <x:c r="J410" s="16" t="n">
        <x:f>ROUNDUP(F410/H410,0)</x:f>
        <x:v>6</x:v>
      </x:c>
      <x:c r="K410" s="6" t="n">
        <x:f>MAX(L409+3)</x:f>
        <x:v>405</x:v>
      </x:c>
      <x:c r="L410" s="6" t="n">
        <x:f>K410+J410</x:f>
        <x:v>411</x:v>
      </x:c>
      <x:c r="M410" s="6" t="n">
        <x:f>N410-J410</x:f>
        <x:v>441</x:v>
      </x:c>
      <x:c r="N410" s="6" t="n">
        <x:f>MIN(M411-2)</x:f>
        <x:v>447</x:v>
      </x:c>
      <x:c r="O410" s="6" t="n">
        <x:f>M410-K410</x:f>
        <x:v>36</x:v>
      </x:c>
      <x:c r="P410" s="18" t="n">
        <x:f>INDEX('Calendar'!$C$8:$C$907,K410+1)</x:f>
        <x:v>46800</x:v>
      </x:c>
      <x:c r="Q410" s="18" t="n">
        <x:f>INDEX('Calendar'!$C$8:$C$907,MAX(K410+1,L410))</x:f>
        <x:v>46806</x:v>
      </x:c>
      <x:c r="R410" s="14" t="n">
        <x:v>15067.000000000005</x:v>
      </x:c>
      <x:c r="S410" s="14"/>
      <x:c r="T410" s="14" t="n">
        <x:f>R410/J410</x:f>
        <x:v>2511.1666666666674</x:v>
      </x:c>
    </x:row>
    <x:row r="411" ht="23" customHeight="1">
      <x:c r="A411" s="1" t="str">
        <x:v>T3-L12-S</x:v>
      </x:c>
      <x:c r="B411" s="1" t="str">
        <x:v>T3</x:v>
      </x:c>
      <x:c r="C411" s="1" t="str">
        <x:v>L12</x:v>
      </x:c>
      <x:c r="D411" s="1" t="str">
        <x:v>Screed and substrate preparation</x:v>
      </x:c>
      <x:c r="E411" s="1" t="str">
        <x:v>Finishes</x:v>
      </x:c>
      <x:c r="F411" s="15" t="n">
        <x:v>696</x:v>
      </x:c>
      <x:c r="G411" s="1" t="str">
        <x:v>m2</x:v>
      </x:c>
      <x:c r="H411" s="17" t="n">
        <x:v>240</x:v>
      </x:c>
      <x:c r="I411" s="17" t="n">
        <x:v>8</x:v>
      </x:c>
      <x:c r="J411" s="17" t="n">
        <x:f>ROUNDUP(F411/H411,0)</x:f>
        <x:v>3</x:v>
      </x:c>
      <x:c r="K411" s="1" t="n">
        <x:f>MAX(L410+2)</x:f>
        <x:v>413</x:v>
      </x:c>
      <x:c r="L411" s="1" t="n">
        <x:f>K411+J411</x:f>
        <x:v>416</x:v>
      </x:c>
      <x:c r="M411" s="1" t="n">
        <x:f>N411-J411</x:f>
        <x:v>449</x:v>
      </x:c>
      <x:c r="N411" s="1" t="n">
        <x:f>MIN(M412-14)</x:f>
        <x:v>452</x:v>
      </x:c>
      <x:c r="O411" s="1" t="n">
        <x:f>M411-K411</x:f>
        <x:v>36</x:v>
      </x:c>
      <x:c r="P411" s="19" t="n">
        <x:f>INDEX('Calendar'!$C$8:$C$907,K411+1)</x:f>
        <x:v>46809</x:v>
      </x:c>
      <x:c r="Q411" s="19" t="n">
        <x:f>INDEX('Calendar'!$C$8:$C$907,MAX(K411+1,L411))</x:f>
        <x:v>46812</x:v>
      </x:c>
      <x:c r="R411" s="15" t="n">
        <x:v>9048</x:v>
      </x:c>
      <x:c r="S411" s="15"/>
      <x:c r="T411" s="15" t="n">
        <x:f>R411/J411</x:f>
        <x:v>3016</x:v>
      </x:c>
    </x:row>
    <x:row r="412" ht="23" customHeight="1">
      <x:c r="A412" s="6" t="str">
        <x:v>T3-L12-T</x:v>
      </x:c>
      <x:c r="B412" s="6" t="str">
        <x:v>T3</x:v>
      </x:c>
      <x:c r="C412" s="6" t="str">
        <x:v>L12</x:v>
      </x:c>
      <x:c r="D412" s="6" t="str">
        <x:v>Floor finishes and skirtings</x:v>
      </x:c>
      <x:c r="E412" s="6" t="str">
        <x:v>Finishes</x:v>
      </x:c>
      <x:c r="F412" s="14" t="n">
        <x:v>696</x:v>
      </x:c>
      <x:c r="G412" s="6" t="str">
        <x:v>m2</x:v>
      </x:c>
      <x:c r="H412" s="16" t="n">
        <x:v>130</x:v>
      </x:c>
      <x:c r="I412" s="16" t="n">
        <x:v>8</x:v>
      </x:c>
      <x:c r="J412" s="16" t="n">
        <x:f>ROUNDUP(F412/H412,0)</x:f>
        <x:v>6</x:v>
      </x:c>
      <x:c r="K412" s="6" t="n">
        <x:f>MAX(L411+14,L336+0)</x:f>
        <x:v>430</x:v>
      </x:c>
      <x:c r="L412" s="6" t="n">
        <x:f>K412+J412</x:f>
        <x:v>436</x:v>
      </x:c>
      <x:c r="M412" s="6" t="n">
        <x:f>N412-J412</x:f>
        <x:v>466</x:v>
      </x:c>
      <x:c r="N412" s="6" t="n">
        <x:f>MIN(M413-2)</x:f>
        <x:v>472</x:v>
      </x:c>
      <x:c r="O412" s="6" t="n">
        <x:f>M412-K412</x:f>
        <x:v>36</x:v>
      </x:c>
      <x:c r="P412" s="18" t="n">
        <x:f>INDEX('Calendar'!$C$8:$C$907,K412+1)</x:f>
        <x:v>46829</x:v>
      </x:c>
      <x:c r="Q412" s="18" t="n">
        <x:f>INDEX('Calendar'!$C$8:$C$907,MAX(K412+1,L412))</x:f>
        <x:v>46835</x:v>
      </x:c>
      <x:c r="R412" s="14" t="n">
        <x:v>24012</x:v>
      </x:c>
      <x:c r="S412" s="14"/>
      <x:c r="T412" s="14" t="n">
        <x:f>R412/J412</x:f>
        <x:v>4002</x:v>
      </x:c>
    </x:row>
    <x:row r="413" ht="23" customHeight="1">
      <x:c r="A413" s="1" t="str">
        <x:v>T3-L12-A</x:v>
      </x:c>
      <x:c r="B413" s="1" t="str">
        <x:v>T3</x:v>
      </x:c>
      <x:c r="C413" s="1" t="str">
        <x:v>L12</x:v>
      </x:c>
      <x:c r="D413" s="1" t="str">
        <x:v>Paint and final decorations</x:v>
      </x:c>
      <x:c r="E413" s="1" t="str">
        <x:v>Finishes</x:v>
      </x:c>
      <x:c r="F413" s="15" t="n">
        <x:v>1205.3600000000004</x:v>
      </x:c>
      <x:c r="G413" s="1" t="str">
        <x:v>m2</x:v>
      </x:c>
      <x:c r="H413" s="17" t="n">
        <x:v>270</x:v>
      </x:c>
      <x:c r="I413" s="17" t="n">
        <x:v>8</x:v>
      </x:c>
      <x:c r="J413" s="17" t="n">
        <x:f>ROUNDUP(F413/H413,0)</x:f>
        <x:v>5</x:v>
      </x:c>
      <x:c r="K413" s="1" t="n">
        <x:f>MAX(L412+2)</x:f>
        <x:v>438</x:v>
      </x:c>
      <x:c r="L413" s="1" t="n">
        <x:f>K413+J413</x:f>
        <x:v>443</x:v>
      </x:c>
      <x:c r="M413" s="1" t="n">
        <x:f>N413-J413</x:f>
        <x:v>474</x:v>
      </x:c>
      <x:c r="N413" s="1" t="n">
        <x:f>MIN(M414-0)</x:f>
        <x:v>479</x:v>
      </x:c>
      <x:c r="O413" s="1" t="n">
        <x:f>M413-K413</x:f>
        <x:v>36</x:v>
      </x:c>
      <x:c r="P413" s="19" t="n">
        <x:f>INDEX('Calendar'!$C$8:$C$907,K413+1)</x:f>
        <x:v>46839</x:v>
      </x:c>
      <x:c r="Q413" s="19" t="n">
        <x:f>INDEX('Calendar'!$C$8:$C$907,MAX(K413+1,L413))</x:f>
        <x:v>46843</x:v>
      </x:c>
      <x:c r="R413" s="15" t="n">
        <x:v>10245.560000000003</x:v>
      </x:c>
      <x:c r="S413" s="15"/>
      <x:c r="T413" s="15" t="n">
        <x:f>R413/J413</x:f>
        <x:v>2049.1120000000005</x:v>
      </x:c>
    </x:row>
    <x:row r="414" ht="23" customHeight="1">
      <x:c r="A414" s="6" t="str">
        <x:v>T3-L12-D</x:v>
      </x:c>
      <x:c r="B414" s="6" t="str">
        <x:v>T3</x:v>
      </x:c>
      <x:c r="C414" s="6" t="str">
        <x:v>L12</x:v>
      </x:c>
      <x:c r="D414" s="6" t="str">
        <x:v>Door sets and ironmongery</x:v>
      </x:c>
      <x:c r="E414" s="6" t="str">
        <x:v>Finishes</x:v>
      </x:c>
      <x:c r="F414" s="14" t="n">
        <x:v>28</x:v>
      </x:c>
      <x:c r="G414" s="6" t="str">
        <x:v>nr</x:v>
      </x:c>
      <x:c r="H414" s="16" t="n">
        <x:v>10</x:v>
      </x:c>
      <x:c r="I414" s="16" t="n">
        <x:v>4</x:v>
      </x:c>
      <x:c r="J414" s="16" t="n">
        <x:f>ROUNDUP(F414/H414,0)</x:f>
        <x:v>3</x:v>
      </x:c>
      <x:c r="K414" s="6" t="n">
        <x:f>MAX(L413+0)</x:f>
        <x:v>443</x:v>
      </x:c>
      <x:c r="L414" s="6" t="n">
        <x:f>K414+J414</x:f>
        <x:v>446</x:v>
      </x:c>
      <x:c r="M414" s="6" t="n">
        <x:f>N414-J414</x:f>
        <x:v>479</x:v>
      </x:c>
      <x:c r="N414" s="6" t="n">
        <x:f>MIN(M816-0)</x:f>
        <x:v>482</x:v>
      </x:c>
      <x:c r="O414" s="6" t="n">
        <x:f>M414-K414</x:f>
        <x:v>36</x:v>
      </x:c>
      <x:c r="P414" s="18" t="n">
        <x:f>INDEX('Calendar'!$C$8:$C$907,K414+1)</x:f>
        <x:v>46844</x:v>
      </x:c>
      <x:c r="Q414" s="18" t="n">
        <x:f>INDEX('Calendar'!$C$8:$C$907,MAX(K414+1,L414))</x:f>
        <x:v>46847</x:v>
      </x:c>
      <x:c r="R414" s="14" t="n">
        <x:v>5796</x:v>
      </x:c>
      <x:c r="S414" s="14"/>
      <x:c r="T414" s="14" t="n">
        <x:f>R414/J414</x:f>
        <x:v>1932</x:v>
      </x:c>
    </x:row>
    <x:row r="415" ht="23" customHeight="1">
      <x:c r="A415" s="1" t="str">
        <x:v>T4-L00-F</x:v>
      </x:c>
      <x:c r="B415" s="1" t="str">
        <x:v>T4</x:v>
      </x:c>
      <x:c r="C415" s="1" t="str">
        <x:v>L00</x:v>
      </x:c>
      <x:c r="D415" s="1" t="str">
        <x:v>Columns, core and deck formwork</x:v>
      </x:c>
      <x:c r="E415" s="1" t="str">
        <x:v>Formwork</x:v>
      </x:c>
      <x:c r="F415" s="15" t="n">
        <x:v>1222.6600000000005</x:v>
      </x:c>
      <x:c r="G415" s="1" t="str">
        <x:v>m2</x:v>
      </x:c>
      <x:c r="H415" s="17" t="n">
        <x:v>220</x:v>
      </x:c>
      <x:c r="I415" s="17" t="n">
        <x:v>18</x:v>
      </x:c>
      <x:c r="J415" s="17" t="n">
        <x:f>ROUNDUP(F415/H415,0)</x:f>
        <x:v>6</x:v>
      </x:c>
      <x:c r="K415" s="1" t="n">
        <x:f>MAX(L12+(7+3*'Controls'!$B$11))</x:f>
        <x:v>170</x:v>
      </x:c>
      <x:c r="L415" s="1" t="n">
        <x:f>K415+J415</x:f>
        <x:v>176</x:v>
      </x:c>
      <x:c r="M415" s="1" t="n">
        <x:f>N415-J415</x:f>
        <x:v>194</x:v>
      </x:c>
      <x:c r="N415" s="1" t="n">
        <x:f>MIN(M416-0)</x:f>
        <x:v>200</x:v>
      </x:c>
      <x:c r="O415" s="1" t="n">
        <x:f>M415-K415</x:f>
        <x:v>24</x:v>
      </x:c>
      <x:c r="P415" s="19" t="n">
        <x:f>INDEX('Calendar'!$C$8:$C$907,K415+1)</x:f>
        <x:v>46526</x:v>
      </x:c>
      <x:c r="Q415" s="19" t="n">
        <x:f>INDEX('Calendar'!$C$8:$C$907,MAX(K415+1,L415))</x:f>
        <x:v>46532</x:v>
      </x:c>
      <x:c r="R415" s="15" t="n">
        <x:v>29364.320000000007</x:v>
      </x:c>
      <x:c r="S415" s="15"/>
      <x:c r="T415" s="15" t="n">
        <x:f>R415/J415</x:f>
        <x:v>4894.053333333334</x:v>
      </x:c>
    </x:row>
    <x:row r="416" ht="23" customHeight="1">
      <x:c r="A416" s="6" t="str">
        <x:v>T4-L00-R</x:v>
      </x:c>
      <x:c r="B416" s="6" t="str">
        <x:v>T4</x:v>
      </x:c>
      <x:c r="C416" s="6" t="str">
        <x:v>L00</x:v>
      </x:c>
      <x:c r="D416" s="6" t="str">
        <x:v>Column, wall, beam and slab reinforcement</x:v>
      </x:c>
      <x:c r="E416" s="6" t="str">
        <x:v>Rebar</x:v>
      </x:c>
      <x:c r="F416" s="14" t="n">
        <x:v>29.684139475407747</x:v>
      </x:c>
      <x:c r="G416" s="6" t="str">
        <x:v>t</x:v>
      </x:c>
      <x:c r="H416" s="16" t="n">
        <x:v>7</x:v>
      </x:c>
      <x:c r="I416" s="16" t="n">
        <x:v>14</x:v>
      </x:c>
      <x:c r="J416" s="16" t="n">
        <x:f>ROUNDUP(F416/H416,0)</x:f>
        <x:v>5</x:v>
      </x:c>
      <x:c r="K416" s="6" t="n">
        <x:f>MAX(L415+0)</x:f>
        <x:v>176</x:v>
      </x:c>
      <x:c r="L416" s="6" t="n">
        <x:f>K416+J416</x:f>
        <x:v>181</x:v>
      </x:c>
      <x:c r="M416" s="6" t="n">
        <x:f>N416-J416</x:f>
        <x:v>200</x:v>
      </x:c>
      <x:c r="N416" s="6" t="n">
        <x:f>MIN(M417-0)</x:f>
        <x:v>205</x:v>
      </x:c>
      <x:c r="O416" s="6" t="n">
        <x:f>M416-K416</x:f>
        <x:v>24</x:v>
      </x:c>
      <x:c r="P416" s="18" t="n">
        <x:f>INDEX('Calendar'!$C$8:$C$907,K416+1)</x:f>
        <x:v>46533</x:v>
      </x:c>
      <x:c r="Q416" s="18" t="n">
        <x:f>INDEX('Calendar'!$C$8:$C$907,MAX(K416+1,L416))</x:f>
        <x:v>46538</x:v>
      </x:c>
      <x:c r="R416" s="14" t="n">
        <x:v>25795.51720412933</x:v>
      </x:c>
      <x:c r="S416" s="14"/>
      <x:c r="T416" s="14" t="n">
        <x:f>R416/J416</x:f>
        <x:v>5159.103440825866</x:v>
      </x:c>
    </x:row>
    <x:row r="417" ht="23" customHeight="1">
      <x:c r="A417" s="1" t="str">
        <x:v>T4-L00-C</x:v>
      </x:c>
      <x:c r="B417" s="1" t="str">
        <x:v>T4</x:v>
      </x:c>
      <x:c r="C417" s="1" t="str">
        <x:v>L00</x:v>
      </x:c>
      <x:c r="D417" s="1" t="str">
        <x:v>Concrete placement and finishing</x:v>
      </x:c>
      <x:c r="E417" s="1" t="str">
        <x:v>Concrete</x:v>
      </x:c>
      <x:c r="F417" s="15" t="n">
        <x:v>226.70819999999958</x:v>
      </x:c>
      <x:c r="G417" s="1" t="str">
        <x:v>m3</x:v>
      </x:c>
      <x:c r="H417" s="17" t="n">
        <x:v>170</x:v>
      </x:c>
      <x:c r="I417" s="17" t="n">
        <x:v>12</x:v>
      </x:c>
      <x:c r="J417" s="17" t="n">
        <x:f>ROUNDUP(F417/H417,0)</x:f>
        <x:v>2</x:v>
      </x:c>
      <x:c r="K417" s="1" t="n">
        <x:f>MAX(L416+0)</x:f>
        <x:v>181</x:v>
      </x:c>
      <x:c r="L417" s="1" t="n">
        <x:f>K417+J417</x:f>
        <x:v>183</x:v>
      </x:c>
      <x:c r="M417" s="1" t="n">
        <x:f>N417-J417</x:f>
        <x:v>205</x:v>
      </x:c>
      <x:c r="N417" s="1" t="n">
        <x:f>MIN(M418-0)</x:f>
        <x:v>207</x:v>
      </x:c>
      <x:c r="O417" s="1" t="n">
        <x:f>M417-K417</x:f>
        <x:v>24</x:v>
      </x:c>
      <x:c r="P417" s="19" t="n">
        <x:f>INDEX('Calendar'!$C$8:$C$907,K417+1)</x:f>
        <x:v>46539</x:v>
      </x:c>
      <x:c r="Q417" s="19" t="n">
        <x:f>INDEX('Calendar'!$C$8:$C$907,MAX(K417+1,L417))</x:f>
        <x:v>46540</x:v>
      </x:c>
      <x:c r="R417" s="15" t="n">
        <x:v>33527.39699999994</x:v>
      </x:c>
      <x:c r="S417" s="15"/>
      <x:c r="T417" s="15" t="n">
        <x:f>R417/J417</x:f>
        <x:v>16763.69849999997</x:v>
      </x:c>
    </x:row>
    <x:row r="418" ht="23" customHeight="1">
      <x:c r="A418" s="6" t="str">
        <x:v>T4-L00-H</x:v>
      </x:c>
      <x:c r="B418" s="6" t="str">
        <x:v>T4</x:v>
      </x:c>
      <x:c r="C418" s="6" t="str">
        <x:v>L00</x:v>
      </x:c>
      <x:c r="D418" s="6" t="str">
        <x:v>Curing and release hold point</x:v>
      </x:c>
      <x:c r="E418" s="6" t="str">
        <x:v>Site</x:v>
      </x:c>
      <x:c r="F418" s="14" t="n">
        <x:v>1</x:v>
      </x:c>
      <x:c r="G418" s="6" t="str">
        <x:v>hold</x:v>
      </x:c>
      <x:c r="H418" s="16" t="n">
        <x:v>1</x:v>
      </x:c>
      <x:c r="I418" s="16" t="n">
        <x:v>0</x:v>
      </x:c>
      <x:c r="J418" s="16" t="n">
        <x:f>S418</x:f>
        <x:v>5</x:v>
      </x:c>
      <x:c r="K418" s="6" t="n">
        <x:f>MAX(L417+0)</x:f>
        <x:v>183</x:v>
      </x:c>
      <x:c r="L418" s="6" t="n">
        <x:f>K418+J418</x:f>
        <x:v>188</x:v>
      </x:c>
      <x:c r="M418" s="6" t="n">
        <x:f>N418-J418</x:f>
        <x:v>207</x:v>
      </x:c>
      <x:c r="N418" s="6" t="n">
        <x:f>MIN(M419-0)</x:f>
        <x:v>212</x:v>
      </x:c>
      <x:c r="O418" s="6" t="n">
        <x:f>M418-K418</x:f>
        <x:v>24</x:v>
      </x:c>
      <x:c r="P418" s="18" t="n">
        <x:f>INDEX('Calendar'!$C$8:$C$907,K418+1)</x:f>
        <x:v>46541</x:v>
      </x:c>
      <x:c r="Q418" s="18" t="n">
        <x:f>INDEX('Calendar'!$C$8:$C$907,MAX(K418+1,L418))</x:f>
        <x:v>46546</x:v>
      </x:c>
      <x:c r="R418" s="14" t="n">
        <x:v>0</x:v>
      </x:c>
      <x:c r="S418" s="14" t="n">
        <x:v>5</x:v>
      </x:c>
      <x:c r="T418" s="14" t="n">
        <x:f>R418/J418</x:f>
        <x:v>0</x:v>
      </x:c>
    </x:row>
    <x:row r="419" ht="23" customHeight="1">
      <x:c r="A419" s="1" t="str">
        <x:v>T4-L01-F</x:v>
      </x:c>
      <x:c r="B419" s="1" t="str">
        <x:v>T4</x:v>
      </x:c>
      <x:c r="C419" s="1" t="str">
        <x:v>L01</x:v>
      </x:c>
      <x:c r="D419" s="1" t="str">
        <x:v>Columns, core and deck formwork</x:v>
      </x:c>
      <x:c r="E419" s="1" t="str">
        <x:v>Formwork</x:v>
      </x:c>
      <x:c r="F419" s="15" t="n">
        <x:v>1222.6600000000005</x:v>
      </x:c>
      <x:c r="G419" s="1" t="str">
        <x:v>m2</x:v>
      </x:c>
      <x:c r="H419" s="17" t="n">
        <x:v>220</x:v>
      </x:c>
      <x:c r="I419" s="17" t="n">
        <x:v>18</x:v>
      </x:c>
      <x:c r="J419" s="17" t="n">
        <x:f>ROUNDUP(F419/H419,0)</x:f>
        <x:v>6</x:v>
      </x:c>
      <x:c r="K419" s="1" t="n">
        <x:f>MAX(L418+0)</x:f>
        <x:v>188</x:v>
      </x:c>
      <x:c r="L419" s="1" t="n">
        <x:f>K419+J419</x:f>
        <x:v>194</x:v>
      </x:c>
      <x:c r="M419" s="1" t="n">
        <x:f>N419-J419</x:f>
        <x:v>212</x:v>
      </x:c>
      <x:c r="N419" s="1" t="n">
        <x:f>MIN(M420-0)</x:f>
        <x:v>218</x:v>
      </x:c>
      <x:c r="O419" s="1" t="n">
        <x:f>M419-K419</x:f>
        <x:v>24</x:v>
      </x:c>
      <x:c r="P419" s="19" t="n">
        <x:f>INDEX('Calendar'!$C$8:$C$907,K419+1)</x:f>
        <x:v>46547</x:v>
      </x:c>
      <x:c r="Q419" s="19" t="n">
        <x:f>INDEX('Calendar'!$C$8:$C$907,MAX(K419+1,L419))</x:f>
        <x:v>46553</x:v>
      </x:c>
      <x:c r="R419" s="15" t="n">
        <x:v>29364.320000000007</x:v>
      </x:c>
      <x:c r="S419" s="15"/>
      <x:c r="T419" s="15" t="n">
        <x:f>R419/J419</x:f>
        <x:v>4894.053333333334</x:v>
      </x:c>
    </x:row>
    <x:row r="420" ht="23" customHeight="1">
      <x:c r="A420" s="6" t="str">
        <x:v>T4-L01-R</x:v>
      </x:c>
      <x:c r="B420" s="6" t="str">
        <x:v>T4</x:v>
      </x:c>
      <x:c r="C420" s="6" t="str">
        <x:v>L01</x:v>
      </x:c>
      <x:c r="D420" s="6" t="str">
        <x:v>Column, wall, beam and slab reinforcement</x:v>
      </x:c>
      <x:c r="E420" s="6" t="str">
        <x:v>Rebar</x:v>
      </x:c>
      <x:c r="F420" s="14" t="n">
        <x:v>29.684139475407747</x:v>
      </x:c>
      <x:c r="G420" s="6" t="str">
        <x:v>t</x:v>
      </x:c>
      <x:c r="H420" s="16" t="n">
        <x:v>7</x:v>
      </x:c>
      <x:c r="I420" s="16" t="n">
        <x:v>14</x:v>
      </x:c>
      <x:c r="J420" s="16" t="n">
        <x:f>ROUNDUP(F420/H420,0)</x:f>
        <x:v>5</x:v>
      </x:c>
      <x:c r="K420" s="6" t="n">
        <x:f>MAX(L419+0)</x:f>
        <x:v>194</x:v>
      </x:c>
      <x:c r="L420" s="6" t="n">
        <x:f>K420+J420</x:f>
        <x:v>199</x:v>
      </x:c>
      <x:c r="M420" s="6" t="n">
        <x:f>N420-J420</x:f>
        <x:v>218</x:v>
      </x:c>
      <x:c r="N420" s="6" t="n">
        <x:f>MIN(M421-0)</x:f>
        <x:v>223</x:v>
      </x:c>
      <x:c r="O420" s="6" t="n">
        <x:f>M420-K420</x:f>
        <x:v>24</x:v>
      </x:c>
      <x:c r="P420" s="18" t="n">
        <x:f>INDEX('Calendar'!$C$8:$C$907,K420+1)</x:f>
        <x:v>46554</x:v>
      </x:c>
      <x:c r="Q420" s="18" t="n">
        <x:f>INDEX('Calendar'!$C$8:$C$907,MAX(K420+1,L420))</x:f>
        <x:v>46559</x:v>
      </x:c>
      <x:c r="R420" s="14" t="n">
        <x:v>25795.51720412933</x:v>
      </x:c>
      <x:c r="S420" s="14"/>
      <x:c r="T420" s="14" t="n">
        <x:f>R420/J420</x:f>
        <x:v>5159.103440825866</x:v>
      </x:c>
    </x:row>
    <x:row r="421" ht="23" customHeight="1">
      <x:c r="A421" s="1" t="str">
        <x:v>T4-L01-C</x:v>
      </x:c>
      <x:c r="B421" s="1" t="str">
        <x:v>T4</x:v>
      </x:c>
      <x:c r="C421" s="1" t="str">
        <x:v>L01</x:v>
      </x:c>
      <x:c r="D421" s="1" t="str">
        <x:v>Concrete placement and finishing</x:v>
      </x:c>
      <x:c r="E421" s="1" t="str">
        <x:v>Concrete</x:v>
      </x:c>
      <x:c r="F421" s="15" t="n">
        <x:v>226.70819999999958</x:v>
      </x:c>
      <x:c r="G421" s="1" t="str">
        <x:v>m3</x:v>
      </x:c>
      <x:c r="H421" s="17" t="n">
        <x:v>170</x:v>
      </x:c>
      <x:c r="I421" s="17" t="n">
        <x:v>12</x:v>
      </x:c>
      <x:c r="J421" s="17" t="n">
        <x:f>ROUNDUP(F421/H421,0)</x:f>
        <x:v>2</x:v>
      </x:c>
      <x:c r="K421" s="1" t="n">
        <x:f>MAX(L420+0)</x:f>
        <x:v>199</x:v>
      </x:c>
      <x:c r="L421" s="1" t="n">
        <x:f>K421+J421</x:f>
        <x:v>201</x:v>
      </x:c>
      <x:c r="M421" s="1" t="n">
        <x:f>N421-J421</x:f>
        <x:v>223</x:v>
      </x:c>
      <x:c r="N421" s="1" t="n">
        <x:f>MIN(M422-0)</x:f>
        <x:v>225</x:v>
      </x:c>
      <x:c r="O421" s="1" t="n">
        <x:f>M421-K421</x:f>
        <x:v>24</x:v>
      </x:c>
      <x:c r="P421" s="19" t="n">
        <x:f>INDEX('Calendar'!$C$8:$C$907,K421+1)</x:f>
        <x:v>46560</x:v>
      </x:c>
      <x:c r="Q421" s="19" t="n">
        <x:f>INDEX('Calendar'!$C$8:$C$907,MAX(K421+1,L421))</x:f>
        <x:v>46561</x:v>
      </x:c>
      <x:c r="R421" s="15" t="n">
        <x:v>33527.39699999994</x:v>
      </x:c>
      <x:c r="S421" s="15"/>
      <x:c r="T421" s="15" t="n">
        <x:f>R421/J421</x:f>
        <x:v>16763.69849999997</x:v>
      </x:c>
    </x:row>
    <x:row r="422" ht="23" customHeight="1">
      <x:c r="A422" s="6" t="str">
        <x:v>T4-L01-H</x:v>
      </x:c>
      <x:c r="B422" s="6" t="str">
        <x:v>T4</x:v>
      </x:c>
      <x:c r="C422" s="6" t="str">
        <x:v>L01</x:v>
      </x:c>
      <x:c r="D422" s="6" t="str">
        <x:v>Curing and release hold point</x:v>
      </x:c>
      <x:c r="E422" s="6" t="str">
        <x:v>Site</x:v>
      </x:c>
      <x:c r="F422" s="14" t="n">
        <x:v>1</x:v>
      </x:c>
      <x:c r="G422" s="6" t="str">
        <x:v>hold</x:v>
      </x:c>
      <x:c r="H422" s="16" t="n">
        <x:v>1</x:v>
      </x:c>
      <x:c r="I422" s="16" t="n">
        <x:v>0</x:v>
      </x:c>
      <x:c r="J422" s="16" t="n">
        <x:f>S422</x:f>
        <x:v>5</x:v>
      </x:c>
      <x:c r="K422" s="6" t="n">
        <x:f>MAX(L421+0)</x:f>
        <x:v>201</x:v>
      </x:c>
      <x:c r="L422" s="6" t="n">
        <x:f>K422+J422</x:f>
        <x:v>206</x:v>
      </x:c>
      <x:c r="M422" s="6" t="n">
        <x:f>N422-J422</x:f>
        <x:v>225</x:v>
      </x:c>
      <x:c r="N422" s="6" t="n">
        <x:f>MIN(M423-0)</x:f>
        <x:v>230</x:v>
      </x:c>
      <x:c r="O422" s="6" t="n">
        <x:f>M422-K422</x:f>
        <x:v>24</x:v>
      </x:c>
      <x:c r="P422" s="18" t="n">
        <x:f>INDEX('Calendar'!$C$8:$C$907,K422+1)</x:f>
        <x:v>46562</x:v>
      </x:c>
      <x:c r="Q422" s="18" t="n">
        <x:f>INDEX('Calendar'!$C$8:$C$907,MAX(K422+1,L422))</x:f>
        <x:v>46567</x:v>
      </x:c>
      <x:c r="R422" s="14" t="n">
        <x:v>0</x:v>
      </x:c>
      <x:c r="S422" s="14" t="n">
        <x:v>5</x:v>
      </x:c>
      <x:c r="T422" s="14" t="n">
        <x:f>R422/J422</x:f>
        <x:v>0</x:v>
      </x:c>
    </x:row>
    <x:row r="423" ht="23" customHeight="1">
      <x:c r="A423" s="1" t="str">
        <x:v>T4-L02-F</x:v>
      </x:c>
      <x:c r="B423" s="1" t="str">
        <x:v>T4</x:v>
      </x:c>
      <x:c r="C423" s="1" t="str">
        <x:v>L02</x:v>
      </x:c>
      <x:c r="D423" s="1" t="str">
        <x:v>Columns, core and deck formwork</x:v>
      </x:c>
      <x:c r="E423" s="1" t="str">
        <x:v>Formwork</x:v>
      </x:c>
      <x:c r="F423" s="15" t="n">
        <x:v>1222.6600000000005</x:v>
      </x:c>
      <x:c r="G423" s="1" t="str">
        <x:v>m2</x:v>
      </x:c>
      <x:c r="H423" s="17" t="n">
        <x:v>220</x:v>
      </x:c>
      <x:c r="I423" s="17" t="n">
        <x:v>18</x:v>
      </x:c>
      <x:c r="J423" s="17" t="n">
        <x:f>ROUNDUP(F423/H423,0)</x:f>
        <x:v>6</x:v>
      </x:c>
      <x:c r="K423" s="1" t="n">
        <x:f>MAX(L422+0)</x:f>
        <x:v>206</x:v>
      </x:c>
      <x:c r="L423" s="1" t="n">
        <x:f>K423+J423</x:f>
        <x:v>212</x:v>
      </x:c>
      <x:c r="M423" s="1" t="n">
        <x:f>N423-J423</x:f>
        <x:v>230</x:v>
      </x:c>
      <x:c r="N423" s="1" t="n">
        <x:f>MIN(M424-0)</x:f>
        <x:v>236</x:v>
      </x:c>
      <x:c r="O423" s="1" t="n">
        <x:f>M423-K423</x:f>
        <x:v>24</x:v>
      </x:c>
      <x:c r="P423" s="19" t="n">
        <x:f>INDEX('Calendar'!$C$8:$C$907,K423+1)</x:f>
        <x:v>46568</x:v>
      </x:c>
      <x:c r="Q423" s="19" t="n">
        <x:f>INDEX('Calendar'!$C$8:$C$907,MAX(K423+1,L423))</x:f>
        <x:v>46574</x:v>
      </x:c>
      <x:c r="R423" s="15" t="n">
        <x:v>29364.320000000007</x:v>
      </x:c>
      <x:c r="S423" s="15"/>
      <x:c r="T423" s="15" t="n">
        <x:f>R423/J423</x:f>
        <x:v>4894.053333333334</x:v>
      </x:c>
    </x:row>
    <x:row r="424" ht="23" customHeight="1">
      <x:c r="A424" s="6" t="str">
        <x:v>T4-L02-R</x:v>
      </x:c>
      <x:c r="B424" s="6" t="str">
        <x:v>T4</x:v>
      </x:c>
      <x:c r="C424" s="6" t="str">
        <x:v>L02</x:v>
      </x:c>
      <x:c r="D424" s="6" t="str">
        <x:v>Column, wall, beam and slab reinforcement</x:v>
      </x:c>
      <x:c r="E424" s="6" t="str">
        <x:v>Rebar</x:v>
      </x:c>
      <x:c r="F424" s="14" t="n">
        <x:v>29.684139475407747</x:v>
      </x:c>
      <x:c r="G424" s="6" t="str">
        <x:v>t</x:v>
      </x:c>
      <x:c r="H424" s="16" t="n">
        <x:v>7</x:v>
      </x:c>
      <x:c r="I424" s="16" t="n">
        <x:v>14</x:v>
      </x:c>
      <x:c r="J424" s="16" t="n">
        <x:f>ROUNDUP(F424/H424,0)</x:f>
        <x:v>5</x:v>
      </x:c>
      <x:c r="K424" s="6" t="n">
        <x:f>MAX(L423+0)</x:f>
        <x:v>212</x:v>
      </x:c>
      <x:c r="L424" s="6" t="n">
        <x:f>K424+J424</x:f>
        <x:v>217</x:v>
      </x:c>
      <x:c r="M424" s="6" t="n">
        <x:f>N424-J424</x:f>
        <x:v>236</x:v>
      </x:c>
      <x:c r="N424" s="6" t="n">
        <x:f>MIN(M425-0)</x:f>
        <x:v>241</x:v>
      </x:c>
      <x:c r="O424" s="6" t="n">
        <x:f>M424-K424</x:f>
        <x:v>24</x:v>
      </x:c>
      <x:c r="P424" s="18" t="n">
        <x:f>INDEX('Calendar'!$C$8:$C$907,K424+1)</x:f>
        <x:v>46575</x:v>
      </x:c>
      <x:c r="Q424" s="18" t="n">
        <x:f>INDEX('Calendar'!$C$8:$C$907,MAX(K424+1,L424))</x:f>
        <x:v>46580</x:v>
      </x:c>
      <x:c r="R424" s="14" t="n">
        <x:v>25795.51720412933</x:v>
      </x:c>
      <x:c r="S424" s="14"/>
      <x:c r="T424" s="14" t="n">
        <x:f>R424/J424</x:f>
        <x:v>5159.103440825866</x:v>
      </x:c>
    </x:row>
    <x:row r="425" ht="23" customHeight="1">
      <x:c r="A425" s="1" t="str">
        <x:v>T4-L02-C</x:v>
      </x:c>
      <x:c r="B425" s="1" t="str">
        <x:v>T4</x:v>
      </x:c>
      <x:c r="C425" s="1" t="str">
        <x:v>L02</x:v>
      </x:c>
      <x:c r="D425" s="1" t="str">
        <x:v>Concrete placement and finishing</x:v>
      </x:c>
      <x:c r="E425" s="1" t="str">
        <x:v>Concrete</x:v>
      </x:c>
      <x:c r="F425" s="15" t="n">
        <x:v>226.70819999999958</x:v>
      </x:c>
      <x:c r="G425" s="1" t="str">
        <x:v>m3</x:v>
      </x:c>
      <x:c r="H425" s="17" t="n">
        <x:v>170</x:v>
      </x:c>
      <x:c r="I425" s="17" t="n">
        <x:v>12</x:v>
      </x:c>
      <x:c r="J425" s="17" t="n">
        <x:f>ROUNDUP(F425/H425,0)</x:f>
        <x:v>2</x:v>
      </x:c>
      <x:c r="K425" s="1" t="n">
        <x:f>MAX(L424+0)</x:f>
        <x:v>217</x:v>
      </x:c>
      <x:c r="L425" s="1" t="n">
        <x:f>K425+J425</x:f>
        <x:v>219</x:v>
      </x:c>
      <x:c r="M425" s="1" t="n">
        <x:f>N425-J425</x:f>
        <x:v>241</x:v>
      </x:c>
      <x:c r="N425" s="1" t="n">
        <x:f>MIN(M426-0)</x:f>
        <x:v>243</x:v>
      </x:c>
      <x:c r="O425" s="1" t="n">
        <x:f>M425-K425</x:f>
        <x:v>24</x:v>
      </x:c>
      <x:c r="P425" s="19" t="n">
        <x:f>INDEX('Calendar'!$C$8:$C$907,K425+1)</x:f>
        <x:v>46581</x:v>
      </x:c>
      <x:c r="Q425" s="19" t="n">
        <x:f>INDEX('Calendar'!$C$8:$C$907,MAX(K425+1,L425))</x:f>
        <x:v>46582</x:v>
      </x:c>
      <x:c r="R425" s="15" t="n">
        <x:v>33527.39699999994</x:v>
      </x:c>
      <x:c r="S425" s="15"/>
      <x:c r="T425" s="15" t="n">
        <x:f>R425/J425</x:f>
        <x:v>16763.69849999997</x:v>
      </x:c>
    </x:row>
    <x:row r="426" ht="23" customHeight="1">
      <x:c r="A426" s="6" t="str">
        <x:v>T4-L02-H</x:v>
      </x:c>
      <x:c r="B426" s="6" t="str">
        <x:v>T4</x:v>
      </x:c>
      <x:c r="C426" s="6" t="str">
        <x:v>L02</x:v>
      </x:c>
      <x:c r="D426" s="6" t="str">
        <x:v>Curing and release hold point</x:v>
      </x:c>
      <x:c r="E426" s="6" t="str">
        <x:v>Site</x:v>
      </x:c>
      <x:c r="F426" s="14" t="n">
        <x:v>1</x:v>
      </x:c>
      <x:c r="G426" s="6" t="str">
        <x:v>hold</x:v>
      </x:c>
      <x:c r="H426" s="16" t="n">
        <x:v>1</x:v>
      </x:c>
      <x:c r="I426" s="16" t="n">
        <x:v>0</x:v>
      </x:c>
      <x:c r="J426" s="16" t="n">
        <x:f>S426</x:f>
        <x:v>5</x:v>
      </x:c>
      <x:c r="K426" s="6" t="n">
        <x:f>MAX(L425+0)</x:f>
        <x:v>219</x:v>
      </x:c>
      <x:c r="L426" s="6" t="n">
        <x:f>K426+J426</x:f>
        <x:v>224</x:v>
      </x:c>
      <x:c r="M426" s="6" t="n">
        <x:f>N426-J426</x:f>
        <x:v>243</x:v>
      </x:c>
      <x:c r="N426" s="6" t="n">
        <x:f>MIN(M427-0)</x:f>
        <x:v>248</x:v>
      </x:c>
      <x:c r="O426" s="6" t="n">
        <x:f>M426-K426</x:f>
        <x:v>24</x:v>
      </x:c>
      <x:c r="P426" s="18" t="n">
        <x:f>INDEX('Calendar'!$C$8:$C$907,K426+1)</x:f>
        <x:v>46583</x:v>
      </x:c>
      <x:c r="Q426" s="18" t="n">
        <x:f>INDEX('Calendar'!$C$8:$C$907,MAX(K426+1,L426))</x:f>
        <x:v>46588</x:v>
      </x:c>
      <x:c r="R426" s="14" t="n">
        <x:v>0</x:v>
      </x:c>
      <x:c r="S426" s="14" t="n">
        <x:v>5</x:v>
      </x:c>
      <x:c r="T426" s="14" t="n">
        <x:f>R426/J426</x:f>
        <x:v>0</x:v>
      </x:c>
    </x:row>
    <x:row r="427" ht="23" customHeight="1">
      <x:c r="A427" s="1" t="str">
        <x:v>T4-L03-F</x:v>
      </x:c>
      <x:c r="B427" s="1" t="str">
        <x:v>T4</x:v>
      </x:c>
      <x:c r="C427" s="1" t="str">
        <x:v>L03</x:v>
      </x:c>
      <x:c r="D427" s="1" t="str">
        <x:v>Columns, core and deck formwork</x:v>
      </x:c>
      <x:c r="E427" s="1" t="str">
        <x:v>Formwork</x:v>
      </x:c>
      <x:c r="F427" s="15" t="n">
        <x:v>1222.6600000000005</x:v>
      </x:c>
      <x:c r="G427" s="1" t="str">
        <x:v>m2</x:v>
      </x:c>
      <x:c r="H427" s="17" t="n">
        <x:v>220</x:v>
      </x:c>
      <x:c r="I427" s="17" t="n">
        <x:v>18</x:v>
      </x:c>
      <x:c r="J427" s="17" t="n">
        <x:f>ROUNDUP(F427/H427,0)</x:f>
        <x:v>6</x:v>
      </x:c>
      <x:c r="K427" s="1" t="n">
        <x:f>MAX(L426+0)</x:f>
        <x:v>224</x:v>
      </x:c>
      <x:c r="L427" s="1" t="n">
        <x:f>K427+J427</x:f>
        <x:v>230</x:v>
      </x:c>
      <x:c r="M427" s="1" t="n">
        <x:f>N427-J427</x:f>
        <x:v>248</x:v>
      </x:c>
      <x:c r="N427" s="1" t="n">
        <x:f>MIN(M428-0)</x:f>
        <x:v>254</x:v>
      </x:c>
      <x:c r="O427" s="1" t="n">
        <x:f>M427-K427</x:f>
        <x:v>24</x:v>
      </x:c>
      <x:c r="P427" s="19" t="n">
        <x:f>INDEX('Calendar'!$C$8:$C$907,K427+1)</x:f>
        <x:v>46589</x:v>
      </x:c>
      <x:c r="Q427" s="19" t="n">
        <x:f>INDEX('Calendar'!$C$8:$C$907,MAX(K427+1,L427))</x:f>
        <x:v>46595</x:v>
      </x:c>
      <x:c r="R427" s="15" t="n">
        <x:v>29364.320000000007</x:v>
      </x:c>
      <x:c r="S427" s="15"/>
      <x:c r="T427" s="15" t="n">
        <x:f>R427/J427</x:f>
        <x:v>4894.053333333334</x:v>
      </x:c>
    </x:row>
    <x:row r="428" ht="23" customHeight="1">
      <x:c r="A428" s="6" t="str">
        <x:v>T4-L03-R</x:v>
      </x:c>
      <x:c r="B428" s="6" t="str">
        <x:v>T4</x:v>
      </x:c>
      <x:c r="C428" s="6" t="str">
        <x:v>L03</x:v>
      </x:c>
      <x:c r="D428" s="6" t="str">
        <x:v>Column, wall, beam and slab reinforcement</x:v>
      </x:c>
      <x:c r="E428" s="6" t="str">
        <x:v>Rebar</x:v>
      </x:c>
      <x:c r="F428" s="14" t="n">
        <x:v>29.684139475407747</x:v>
      </x:c>
      <x:c r="G428" s="6" t="str">
        <x:v>t</x:v>
      </x:c>
      <x:c r="H428" s="16" t="n">
        <x:v>7</x:v>
      </x:c>
      <x:c r="I428" s="16" t="n">
        <x:v>14</x:v>
      </x:c>
      <x:c r="J428" s="16" t="n">
        <x:f>ROUNDUP(F428/H428,0)</x:f>
        <x:v>5</x:v>
      </x:c>
      <x:c r="K428" s="6" t="n">
        <x:f>MAX(L427+0)</x:f>
        <x:v>230</x:v>
      </x:c>
      <x:c r="L428" s="6" t="n">
        <x:f>K428+J428</x:f>
        <x:v>235</x:v>
      </x:c>
      <x:c r="M428" s="6" t="n">
        <x:f>N428-J428</x:f>
        <x:v>254</x:v>
      </x:c>
      <x:c r="N428" s="6" t="n">
        <x:f>MIN(M429-0)</x:f>
        <x:v>259</x:v>
      </x:c>
      <x:c r="O428" s="6" t="n">
        <x:f>M428-K428</x:f>
        <x:v>24</x:v>
      </x:c>
      <x:c r="P428" s="18" t="n">
        <x:f>INDEX('Calendar'!$C$8:$C$907,K428+1)</x:f>
        <x:v>46596</x:v>
      </x:c>
      <x:c r="Q428" s="18" t="n">
        <x:f>INDEX('Calendar'!$C$8:$C$907,MAX(K428+1,L428))</x:f>
        <x:v>46601</x:v>
      </x:c>
      <x:c r="R428" s="14" t="n">
        <x:v>25795.51720412933</x:v>
      </x:c>
      <x:c r="S428" s="14"/>
      <x:c r="T428" s="14" t="n">
        <x:f>R428/J428</x:f>
        <x:v>5159.103440825866</x:v>
      </x:c>
    </x:row>
    <x:row r="429" ht="23" customHeight="1">
      <x:c r="A429" s="1" t="str">
        <x:v>T4-L03-C</x:v>
      </x:c>
      <x:c r="B429" s="1" t="str">
        <x:v>T4</x:v>
      </x:c>
      <x:c r="C429" s="1" t="str">
        <x:v>L03</x:v>
      </x:c>
      <x:c r="D429" s="1" t="str">
        <x:v>Concrete placement and finishing</x:v>
      </x:c>
      <x:c r="E429" s="1" t="str">
        <x:v>Concrete</x:v>
      </x:c>
      <x:c r="F429" s="15" t="n">
        <x:v>226.70819999999958</x:v>
      </x:c>
      <x:c r="G429" s="1" t="str">
        <x:v>m3</x:v>
      </x:c>
      <x:c r="H429" s="17" t="n">
        <x:v>170</x:v>
      </x:c>
      <x:c r="I429" s="17" t="n">
        <x:v>12</x:v>
      </x:c>
      <x:c r="J429" s="17" t="n">
        <x:f>ROUNDUP(F429/H429,0)</x:f>
        <x:v>2</x:v>
      </x:c>
      <x:c r="K429" s="1" t="n">
        <x:f>MAX(L428+0)</x:f>
        <x:v>235</x:v>
      </x:c>
      <x:c r="L429" s="1" t="n">
        <x:f>K429+J429</x:f>
        <x:v>237</x:v>
      </x:c>
      <x:c r="M429" s="1" t="n">
        <x:f>N429-J429</x:f>
        <x:v>259</x:v>
      </x:c>
      <x:c r="N429" s="1" t="n">
        <x:f>MIN(M430-0)</x:f>
        <x:v>261</x:v>
      </x:c>
      <x:c r="O429" s="1" t="n">
        <x:f>M429-K429</x:f>
        <x:v>24</x:v>
      </x:c>
      <x:c r="P429" s="19" t="n">
        <x:f>INDEX('Calendar'!$C$8:$C$907,K429+1)</x:f>
        <x:v>46602</x:v>
      </x:c>
      <x:c r="Q429" s="19" t="n">
        <x:f>INDEX('Calendar'!$C$8:$C$907,MAX(K429+1,L429))</x:f>
        <x:v>46603</x:v>
      </x:c>
      <x:c r="R429" s="15" t="n">
        <x:v>33527.39699999994</x:v>
      </x:c>
      <x:c r="S429" s="15"/>
      <x:c r="T429" s="15" t="n">
        <x:f>R429/J429</x:f>
        <x:v>16763.69849999997</x:v>
      </x:c>
    </x:row>
    <x:row r="430" ht="23" customHeight="1">
      <x:c r="A430" s="6" t="str">
        <x:v>T4-L03-H</x:v>
      </x:c>
      <x:c r="B430" s="6" t="str">
        <x:v>T4</x:v>
      </x:c>
      <x:c r="C430" s="6" t="str">
        <x:v>L03</x:v>
      </x:c>
      <x:c r="D430" s="6" t="str">
        <x:v>Curing and release hold point</x:v>
      </x:c>
      <x:c r="E430" s="6" t="str">
        <x:v>Site</x:v>
      </x:c>
      <x:c r="F430" s="14" t="n">
        <x:v>1</x:v>
      </x:c>
      <x:c r="G430" s="6" t="str">
        <x:v>hold</x:v>
      </x:c>
      <x:c r="H430" s="16" t="n">
        <x:v>1</x:v>
      </x:c>
      <x:c r="I430" s="16" t="n">
        <x:v>0</x:v>
      </x:c>
      <x:c r="J430" s="16" t="n">
        <x:f>S430</x:f>
        <x:v>5</x:v>
      </x:c>
      <x:c r="K430" s="6" t="n">
        <x:f>MAX(L429+0)</x:f>
        <x:v>237</x:v>
      </x:c>
      <x:c r="L430" s="6" t="n">
        <x:f>K430+J430</x:f>
        <x:v>242</x:v>
      </x:c>
      <x:c r="M430" s="6" t="n">
        <x:f>N430-J430</x:f>
        <x:v>261</x:v>
      </x:c>
      <x:c r="N430" s="6" t="n">
        <x:f>MIN(M431-0,M470-5)</x:f>
        <x:v>266</x:v>
      </x:c>
      <x:c r="O430" s="6" t="n">
        <x:f>M430-K430</x:f>
        <x:v>24</x:v>
      </x:c>
      <x:c r="P430" s="18" t="n">
        <x:f>INDEX('Calendar'!$C$8:$C$907,K430+1)</x:f>
        <x:v>46604</x:v>
      </x:c>
      <x:c r="Q430" s="18" t="n">
        <x:f>INDEX('Calendar'!$C$8:$C$907,MAX(K430+1,L430))</x:f>
        <x:v>46609</x:v>
      </x:c>
      <x:c r="R430" s="14" t="n">
        <x:v>0</x:v>
      </x:c>
      <x:c r="S430" s="14" t="n">
        <x:v>5</x:v>
      </x:c>
      <x:c r="T430" s="14" t="n">
        <x:f>R430/J430</x:f>
        <x:v>0</x:v>
      </x:c>
    </x:row>
    <x:row r="431" ht="23" customHeight="1">
      <x:c r="A431" s="1" t="str">
        <x:v>T4-L04-F</x:v>
      </x:c>
      <x:c r="B431" s="1" t="str">
        <x:v>T4</x:v>
      </x:c>
      <x:c r="C431" s="1" t="str">
        <x:v>L04</x:v>
      </x:c>
      <x:c r="D431" s="1" t="str">
        <x:v>Columns, core and deck formwork</x:v>
      </x:c>
      <x:c r="E431" s="1" t="str">
        <x:v>Formwork</x:v>
      </x:c>
      <x:c r="F431" s="15" t="n">
        <x:v>1222.6600000000005</x:v>
      </x:c>
      <x:c r="G431" s="1" t="str">
        <x:v>m2</x:v>
      </x:c>
      <x:c r="H431" s="17" t="n">
        <x:v>220</x:v>
      </x:c>
      <x:c r="I431" s="17" t="n">
        <x:v>18</x:v>
      </x:c>
      <x:c r="J431" s="17" t="n">
        <x:f>ROUNDUP(F431/H431,0)</x:f>
        <x:v>6</x:v>
      </x:c>
      <x:c r="K431" s="1" t="n">
        <x:f>MAX(L430+0)</x:f>
        <x:v>242</x:v>
      </x:c>
      <x:c r="L431" s="1" t="n">
        <x:f>K431+J431</x:f>
        <x:v>248</x:v>
      </x:c>
      <x:c r="M431" s="1" t="n">
        <x:f>N431-J431</x:f>
        <x:v>266</x:v>
      </x:c>
      <x:c r="N431" s="1" t="n">
        <x:f>MIN(M432-0)</x:f>
        <x:v>272</x:v>
      </x:c>
      <x:c r="O431" s="1" t="n">
        <x:f>M431-K431</x:f>
        <x:v>24</x:v>
      </x:c>
      <x:c r="P431" s="19" t="n">
        <x:f>INDEX('Calendar'!$C$8:$C$907,K431+1)</x:f>
        <x:v>46610</x:v>
      </x:c>
      <x:c r="Q431" s="19" t="n">
        <x:f>INDEX('Calendar'!$C$8:$C$907,MAX(K431+1,L431))</x:f>
        <x:v>46616</x:v>
      </x:c>
      <x:c r="R431" s="15" t="n">
        <x:v>29364.320000000007</x:v>
      </x:c>
      <x:c r="S431" s="15"/>
      <x:c r="T431" s="15" t="n">
        <x:f>R431/J431</x:f>
        <x:v>4894.053333333334</x:v>
      </x:c>
    </x:row>
    <x:row r="432" ht="23" customHeight="1">
      <x:c r="A432" s="6" t="str">
        <x:v>T4-L04-R</x:v>
      </x:c>
      <x:c r="B432" s="6" t="str">
        <x:v>T4</x:v>
      </x:c>
      <x:c r="C432" s="6" t="str">
        <x:v>L04</x:v>
      </x:c>
      <x:c r="D432" s="6" t="str">
        <x:v>Column, wall, beam and slab reinforcement</x:v>
      </x:c>
      <x:c r="E432" s="6" t="str">
        <x:v>Rebar</x:v>
      </x:c>
      <x:c r="F432" s="14" t="n">
        <x:v>29.684139475407747</x:v>
      </x:c>
      <x:c r="G432" s="6" t="str">
        <x:v>t</x:v>
      </x:c>
      <x:c r="H432" s="16" t="n">
        <x:v>7</x:v>
      </x:c>
      <x:c r="I432" s="16" t="n">
        <x:v>14</x:v>
      </x:c>
      <x:c r="J432" s="16" t="n">
        <x:f>ROUNDUP(F432/H432,0)</x:f>
        <x:v>5</x:v>
      </x:c>
      <x:c r="K432" s="6" t="n">
        <x:f>MAX(L431+0)</x:f>
        <x:v>248</x:v>
      </x:c>
      <x:c r="L432" s="6" t="n">
        <x:f>K432+J432</x:f>
        <x:v>253</x:v>
      </x:c>
      <x:c r="M432" s="6" t="n">
        <x:f>N432-J432</x:f>
        <x:v>272</x:v>
      </x:c>
      <x:c r="N432" s="6" t="n">
        <x:f>MIN(M433-0)</x:f>
        <x:v>277</x:v>
      </x:c>
      <x:c r="O432" s="6" t="n">
        <x:f>M432-K432</x:f>
        <x:v>24</x:v>
      </x:c>
      <x:c r="P432" s="18" t="n">
        <x:f>INDEX('Calendar'!$C$8:$C$907,K432+1)</x:f>
        <x:v>46617</x:v>
      </x:c>
      <x:c r="Q432" s="18" t="n">
        <x:f>INDEX('Calendar'!$C$8:$C$907,MAX(K432+1,L432))</x:f>
        <x:v>46622</x:v>
      </x:c>
      <x:c r="R432" s="14" t="n">
        <x:v>25795.51720412933</x:v>
      </x:c>
      <x:c r="S432" s="14"/>
      <x:c r="T432" s="14" t="n">
        <x:f>R432/J432</x:f>
        <x:v>5159.103440825866</x:v>
      </x:c>
    </x:row>
    <x:row r="433" ht="23" customHeight="1">
      <x:c r="A433" s="1" t="str">
        <x:v>T4-L04-C</x:v>
      </x:c>
      <x:c r="B433" s="1" t="str">
        <x:v>T4</x:v>
      </x:c>
      <x:c r="C433" s="1" t="str">
        <x:v>L04</x:v>
      </x:c>
      <x:c r="D433" s="1" t="str">
        <x:v>Concrete placement and finishing</x:v>
      </x:c>
      <x:c r="E433" s="1" t="str">
        <x:v>Concrete</x:v>
      </x:c>
      <x:c r="F433" s="15" t="n">
        <x:v>226.70819999999958</x:v>
      </x:c>
      <x:c r="G433" s="1" t="str">
        <x:v>m3</x:v>
      </x:c>
      <x:c r="H433" s="17" t="n">
        <x:v>170</x:v>
      </x:c>
      <x:c r="I433" s="17" t="n">
        <x:v>12</x:v>
      </x:c>
      <x:c r="J433" s="17" t="n">
        <x:f>ROUNDUP(F433/H433,0)</x:f>
        <x:v>2</x:v>
      </x:c>
      <x:c r="K433" s="1" t="n">
        <x:f>MAX(L432+0)</x:f>
        <x:v>253</x:v>
      </x:c>
      <x:c r="L433" s="1" t="n">
        <x:f>K433+J433</x:f>
        <x:v>255</x:v>
      </x:c>
      <x:c r="M433" s="1" t="n">
        <x:f>N433-J433</x:f>
        <x:v>277</x:v>
      </x:c>
      <x:c r="N433" s="1" t="n">
        <x:f>MIN(M434-0)</x:f>
        <x:v>279</x:v>
      </x:c>
      <x:c r="O433" s="1" t="n">
        <x:f>M433-K433</x:f>
        <x:v>24</x:v>
      </x:c>
      <x:c r="P433" s="19" t="n">
        <x:f>INDEX('Calendar'!$C$8:$C$907,K433+1)</x:f>
        <x:v>46623</x:v>
      </x:c>
      <x:c r="Q433" s="19" t="n">
        <x:f>INDEX('Calendar'!$C$8:$C$907,MAX(K433+1,L433))</x:f>
        <x:v>46624</x:v>
      </x:c>
      <x:c r="R433" s="15" t="n">
        <x:v>33527.39699999994</x:v>
      </x:c>
      <x:c r="S433" s="15"/>
      <x:c r="T433" s="15" t="n">
        <x:f>R433/J433</x:f>
        <x:v>16763.69849999997</x:v>
      </x:c>
    </x:row>
    <x:row r="434" ht="23" customHeight="1">
      <x:c r="A434" s="6" t="str">
        <x:v>T4-L04-H</x:v>
      </x:c>
      <x:c r="B434" s="6" t="str">
        <x:v>T4</x:v>
      </x:c>
      <x:c r="C434" s="6" t="str">
        <x:v>L04</x:v>
      </x:c>
      <x:c r="D434" s="6" t="str">
        <x:v>Curing and release hold point</x:v>
      </x:c>
      <x:c r="E434" s="6" t="str">
        <x:v>Site</x:v>
      </x:c>
      <x:c r="F434" s="14" t="n">
        <x:v>1</x:v>
      </x:c>
      <x:c r="G434" s="6" t="str">
        <x:v>hold</x:v>
      </x:c>
      <x:c r="H434" s="16" t="n">
        <x:v>1</x:v>
      </x:c>
      <x:c r="I434" s="16" t="n">
        <x:v>0</x:v>
      </x:c>
      <x:c r="J434" s="16" t="n">
        <x:f>S434</x:f>
        <x:v>5</x:v>
      </x:c>
      <x:c r="K434" s="6" t="n">
        <x:f>MAX(L433+0)</x:f>
        <x:v>255</x:v>
      </x:c>
      <x:c r="L434" s="6" t="n">
        <x:f>K434+J434</x:f>
        <x:v>260</x:v>
      </x:c>
      <x:c r="M434" s="6" t="n">
        <x:f>N434-J434</x:f>
        <x:v>279</x:v>
      </x:c>
      <x:c r="N434" s="6" t="n">
        <x:f>MIN(M435-0,M476-5)</x:f>
        <x:v>284</x:v>
      </x:c>
      <x:c r="O434" s="6" t="n">
        <x:f>M434-K434</x:f>
        <x:v>24</x:v>
      </x:c>
      <x:c r="P434" s="18" t="n">
        <x:f>INDEX('Calendar'!$C$8:$C$907,K434+1)</x:f>
        <x:v>46625</x:v>
      </x:c>
      <x:c r="Q434" s="18" t="n">
        <x:f>INDEX('Calendar'!$C$8:$C$907,MAX(K434+1,L434))</x:f>
        <x:v>46630</x:v>
      </x:c>
      <x:c r="R434" s="14" t="n">
        <x:v>0</x:v>
      </x:c>
      <x:c r="S434" s="14" t="n">
        <x:v>5</x:v>
      </x:c>
      <x:c r="T434" s="14" t="n">
        <x:f>R434/J434</x:f>
        <x:v>0</x:v>
      </x:c>
    </x:row>
    <x:row r="435" ht="23" customHeight="1">
      <x:c r="A435" s="1" t="str">
        <x:v>T4-L05-F</x:v>
      </x:c>
      <x:c r="B435" s="1" t="str">
        <x:v>T4</x:v>
      </x:c>
      <x:c r="C435" s="1" t="str">
        <x:v>L05</x:v>
      </x:c>
      <x:c r="D435" s="1" t="str">
        <x:v>Columns, core and deck formwork</x:v>
      </x:c>
      <x:c r="E435" s="1" t="str">
        <x:v>Formwork</x:v>
      </x:c>
      <x:c r="F435" s="15" t="n">
        <x:v>1222.6600000000005</x:v>
      </x:c>
      <x:c r="G435" s="1" t="str">
        <x:v>m2</x:v>
      </x:c>
      <x:c r="H435" s="17" t="n">
        <x:v>220</x:v>
      </x:c>
      <x:c r="I435" s="17" t="n">
        <x:v>18</x:v>
      </x:c>
      <x:c r="J435" s="17" t="n">
        <x:f>ROUNDUP(F435/H435,0)</x:f>
        <x:v>6</x:v>
      </x:c>
      <x:c r="K435" s="1" t="n">
        <x:f>MAX(L434+0)</x:f>
        <x:v>260</x:v>
      </x:c>
      <x:c r="L435" s="1" t="n">
        <x:f>K435+J435</x:f>
        <x:v>266</x:v>
      </x:c>
      <x:c r="M435" s="1" t="n">
        <x:f>N435-J435</x:f>
        <x:v>284</x:v>
      </x:c>
      <x:c r="N435" s="1" t="n">
        <x:f>MIN(M436-0)</x:f>
        <x:v>290</x:v>
      </x:c>
      <x:c r="O435" s="1" t="n">
        <x:f>M435-K435</x:f>
        <x:v>24</x:v>
      </x:c>
      <x:c r="P435" s="19" t="n">
        <x:f>INDEX('Calendar'!$C$8:$C$907,K435+1)</x:f>
        <x:v>46631</x:v>
      </x:c>
      <x:c r="Q435" s="19" t="n">
        <x:f>INDEX('Calendar'!$C$8:$C$907,MAX(K435+1,L435))</x:f>
        <x:v>46637</x:v>
      </x:c>
      <x:c r="R435" s="15" t="n">
        <x:v>29364.320000000007</x:v>
      </x:c>
      <x:c r="S435" s="15"/>
      <x:c r="T435" s="15" t="n">
        <x:f>R435/J435</x:f>
        <x:v>4894.053333333334</x:v>
      </x:c>
    </x:row>
    <x:row r="436" ht="23" customHeight="1">
      <x:c r="A436" s="6" t="str">
        <x:v>T4-L05-R</x:v>
      </x:c>
      <x:c r="B436" s="6" t="str">
        <x:v>T4</x:v>
      </x:c>
      <x:c r="C436" s="6" t="str">
        <x:v>L05</x:v>
      </x:c>
      <x:c r="D436" s="6" t="str">
        <x:v>Column, wall, beam and slab reinforcement</x:v>
      </x:c>
      <x:c r="E436" s="6" t="str">
        <x:v>Rebar</x:v>
      </x:c>
      <x:c r="F436" s="14" t="n">
        <x:v>29.684139475407747</x:v>
      </x:c>
      <x:c r="G436" s="6" t="str">
        <x:v>t</x:v>
      </x:c>
      <x:c r="H436" s="16" t="n">
        <x:v>7</x:v>
      </x:c>
      <x:c r="I436" s="16" t="n">
        <x:v>14</x:v>
      </x:c>
      <x:c r="J436" s="16" t="n">
        <x:f>ROUNDUP(F436/H436,0)</x:f>
        <x:v>5</x:v>
      </x:c>
      <x:c r="K436" s="6" t="n">
        <x:f>MAX(L435+0)</x:f>
        <x:v>266</x:v>
      </x:c>
      <x:c r="L436" s="6" t="n">
        <x:f>K436+J436</x:f>
        <x:v>271</x:v>
      </x:c>
      <x:c r="M436" s="6" t="n">
        <x:f>N436-J436</x:f>
        <x:v>290</x:v>
      </x:c>
      <x:c r="N436" s="6" t="n">
        <x:f>MIN(M437-0)</x:f>
        <x:v>295</x:v>
      </x:c>
      <x:c r="O436" s="6" t="n">
        <x:f>M436-K436</x:f>
        <x:v>24</x:v>
      </x:c>
      <x:c r="P436" s="18" t="n">
        <x:f>INDEX('Calendar'!$C$8:$C$907,K436+1)</x:f>
        <x:v>46638</x:v>
      </x:c>
      <x:c r="Q436" s="18" t="n">
        <x:f>INDEX('Calendar'!$C$8:$C$907,MAX(K436+1,L436))</x:f>
        <x:v>46643</x:v>
      </x:c>
      <x:c r="R436" s="14" t="n">
        <x:v>25795.51720412933</x:v>
      </x:c>
      <x:c r="S436" s="14"/>
      <x:c r="T436" s="14" t="n">
        <x:f>R436/J436</x:f>
        <x:v>5159.103440825866</x:v>
      </x:c>
    </x:row>
    <x:row r="437" ht="23" customHeight="1">
      <x:c r="A437" s="1" t="str">
        <x:v>T4-L05-C</x:v>
      </x:c>
      <x:c r="B437" s="1" t="str">
        <x:v>T4</x:v>
      </x:c>
      <x:c r="C437" s="1" t="str">
        <x:v>L05</x:v>
      </x:c>
      <x:c r="D437" s="1" t="str">
        <x:v>Concrete placement and finishing</x:v>
      </x:c>
      <x:c r="E437" s="1" t="str">
        <x:v>Concrete</x:v>
      </x:c>
      <x:c r="F437" s="15" t="n">
        <x:v>226.70819999999958</x:v>
      </x:c>
      <x:c r="G437" s="1" t="str">
        <x:v>m3</x:v>
      </x:c>
      <x:c r="H437" s="17" t="n">
        <x:v>170</x:v>
      </x:c>
      <x:c r="I437" s="17" t="n">
        <x:v>12</x:v>
      </x:c>
      <x:c r="J437" s="17" t="n">
        <x:f>ROUNDUP(F437/H437,0)</x:f>
        <x:v>2</x:v>
      </x:c>
      <x:c r="K437" s="1" t="n">
        <x:f>MAX(L436+0)</x:f>
        <x:v>271</x:v>
      </x:c>
      <x:c r="L437" s="1" t="n">
        <x:f>K437+J437</x:f>
        <x:v>273</x:v>
      </x:c>
      <x:c r="M437" s="1" t="n">
        <x:f>N437-J437</x:f>
        <x:v>295</x:v>
      </x:c>
      <x:c r="N437" s="1" t="n">
        <x:f>MIN(M438-0)</x:f>
        <x:v>297</x:v>
      </x:c>
      <x:c r="O437" s="1" t="n">
        <x:f>M437-K437</x:f>
        <x:v>24</x:v>
      </x:c>
      <x:c r="P437" s="19" t="n">
        <x:f>INDEX('Calendar'!$C$8:$C$907,K437+1)</x:f>
        <x:v>46644</x:v>
      </x:c>
      <x:c r="Q437" s="19" t="n">
        <x:f>INDEX('Calendar'!$C$8:$C$907,MAX(K437+1,L437))</x:f>
        <x:v>46645</x:v>
      </x:c>
      <x:c r="R437" s="15" t="n">
        <x:v>33527.39699999994</x:v>
      </x:c>
      <x:c r="S437" s="15"/>
      <x:c r="T437" s="15" t="n">
        <x:f>R437/J437</x:f>
        <x:v>16763.69849999997</x:v>
      </x:c>
    </x:row>
    <x:row r="438" ht="23" customHeight="1">
      <x:c r="A438" s="6" t="str">
        <x:v>T4-L05-H</x:v>
      </x:c>
      <x:c r="B438" s="6" t="str">
        <x:v>T4</x:v>
      </x:c>
      <x:c r="C438" s="6" t="str">
        <x:v>L05</x:v>
      </x:c>
      <x:c r="D438" s="6" t="str">
        <x:v>Curing and release hold point</x:v>
      </x:c>
      <x:c r="E438" s="6" t="str">
        <x:v>Site</x:v>
      </x:c>
      <x:c r="F438" s="14" t="n">
        <x:v>1</x:v>
      </x:c>
      <x:c r="G438" s="6" t="str">
        <x:v>hold</x:v>
      </x:c>
      <x:c r="H438" s="16" t="n">
        <x:v>1</x:v>
      </x:c>
      <x:c r="I438" s="16" t="n">
        <x:v>0</x:v>
      </x:c>
      <x:c r="J438" s="16" t="n">
        <x:f>S438</x:f>
        <x:v>5</x:v>
      </x:c>
      <x:c r="K438" s="6" t="n">
        <x:f>MAX(L437+0)</x:f>
        <x:v>273</x:v>
      </x:c>
      <x:c r="L438" s="6" t="n">
        <x:f>K438+J438</x:f>
        <x:v>278</x:v>
      </x:c>
      <x:c r="M438" s="6" t="n">
        <x:f>N438-J438</x:f>
        <x:v>297</x:v>
      </x:c>
      <x:c r="N438" s="6" t="n">
        <x:f>MIN(M439-0,M482-5)</x:f>
        <x:v>302</x:v>
      </x:c>
      <x:c r="O438" s="6" t="n">
        <x:f>M438-K438</x:f>
        <x:v>24</x:v>
      </x:c>
      <x:c r="P438" s="18" t="n">
        <x:f>INDEX('Calendar'!$C$8:$C$907,K438+1)</x:f>
        <x:v>46646</x:v>
      </x:c>
      <x:c r="Q438" s="18" t="n">
        <x:f>INDEX('Calendar'!$C$8:$C$907,MAX(K438+1,L438))</x:f>
        <x:v>46651</x:v>
      </x:c>
      <x:c r="R438" s="14" t="n">
        <x:v>0</x:v>
      </x:c>
      <x:c r="S438" s="14" t="n">
        <x:v>5</x:v>
      </x:c>
      <x:c r="T438" s="14" t="n">
        <x:f>R438/J438</x:f>
        <x:v>0</x:v>
      </x:c>
    </x:row>
    <x:row r="439" ht="23" customHeight="1">
      <x:c r="A439" s="1" t="str">
        <x:v>T4-L06-F</x:v>
      </x:c>
      <x:c r="B439" s="1" t="str">
        <x:v>T4</x:v>
      </x:c>
      <x:c r="C439" s="1" t="str">
        <x:v>L06</x:v>
      </x:c>
      <x:c r="D439" s="1" t="str">
        <x:v>Columns, core and deck formwork</x:v>
      </x:c>
      <x:c r="E439" s="1" t="str">
        <x:v>Formwork</x:v>
      </x:c>
      <x:c r="F439" s="15" t="n">
        <x:v>1222.6600000000005</x:v>
      </x:c>
      <x:c r="G439" s="1" t="str">
        <x:v>m2</x:v>
      </x:c>
      <x:c r="H439" s="17" t="n">
        <x:v>220</x:v>
      </x:c>
      <x:c r="I439" s="17" t="n">
        <x:v>18</x:v>
      </x:c>
      <x:c r="J439" s="17" t="n">
        <x:f>ROUNDUP(F439/H439,0)</x:f>
        <x:v>6</x:v>
      </x:c>
      <x:c r="K439" s="1" t="n">
        <x:f>MAX(L438+0)</x:f>
        <x:v>278</x:v>
      </x:c>
      <x:c r="L439" s="1" t="n">
        <x:f>K439+J439</x:f>
        <x:v>284</x:v>
      </x:c>
      <x:c r="M439" s="1" t="n">
        <x:f>N439-J439</x:f>
        <x:v>302</x:v>
      </x:c>
      <x:c r="N439" s="1" t="n">
        <x:f>MIN(M440-0)</x:f>
        <x:v>308</x:v>
      </x:c>
      <x:c r="O439" s="1" t="n">
        <x:f>M439-K439</x:f>
        <x:v>24</x:v>
      </x:c>
      <x:c r="P439" s="19" t="n">
        <x:f>INDEX('Calendar'!$C$8:$C$907,K439+1)</x:f>
        <x:v>46652</x:v>
      </x:c>
      <x:c r="Q439" s="19" t="n">
        <x:f>INDEX('Calendar'!$C$8:$C$907,MAX(K439+1,L439))</x:f>
        <x:v>46658</x:v>
      </x:c>
      <x:c r="R439" s="15" t="n">
        <x:v>29364.320000000007</x:v>
      </x:c>
      <x:c r="S439" s="15"/>
      <x:c r="T439" s="15" t="n">
        <x:f>R439/J439</x:f>
        <x:v>4894.053333333334</x:v>
      </x:c>
    </x:row>
    <x:row r="440" ht="23" customHeight="1">
      <x:c r="A440" s="6" t="str">
        <x:v>T4-L06-R</x:v>
      </x:c>
      <x:c r="B440" s="6" t="str">
        <x:v>T4</x:v>
      </x:c>
      <x:c r="C440" s="6" t="str">
        <x:v>L06</x:v>
      </x:c>
      <x:c r="D440" s="6" t="str">
        <x:v>Column, wall, beam and slab reinforcement</x:v>
      </x:c>
      <x:c r="E440" s="6" t="str">
        <x:v>Rebar</x:v>
      </x:c>
      <x:c r="F440" s="14" t="n">
        <x:v>29.684139475407747</x:v>
      </x:c>
      <x:c r="G440" s="6" t="str">
        <x:v>t</x:v>
      </x:c>
      <x:c r="H440" s="16" t="n">
        <x:v>7</x:v>
      </x:c>
      <x:c r="I440" s="16" t="n">
        <x:v>14</x:v>
      </x:c>
      <x:c r="J440" s="16" t="n">
        <x:f>ROUNDUP(F440/H440,0)</x:f>
        <x:v>5</x:v>
      </x:c>
      <x:c r="K440" s="6" t="n">
        <x:f>MAX(L439+0)</x:f>
        <x:v>284</x:v>
      </x:c>
      <x:c r="L440" s="6" t="n">
        <x:f>K440+J440</x:f>
        <x:v>289</x:v>
      </x:c>
      <x:c r="M440" s="6" t="n">
        <x:f>N440-J440</x:f>
        <x:v>308</x:v>
      </x:c>
      <x:c r="N440" s="6" t="n">
        <x:f>MIN(M441-0)</x:f>
        <x:v>313</x:v>
      </x:c>
      <x:c r="O440" s="6" t="n">
        <x:f>M440-K440</x:f>
        <x:v>24</x:v>
      </x:c>
      <x:c r="P440" s="18" t="n">
        <x:f>INDEX('Calendar'!$C$8:$C$907,K440+1)</x:f>
        <x:v>46659</x:v>
      </x:c>
      <x:c r="Q440" s="18" t="n">
        <x:f>INDEX('Calendar'!$C$8:$C$907,MAX(K440+1,L440))</x:f>
        <x:v>46664</x:v>
      </x:c>
      <x:c r="R440" s="14" t="n">
        <x:v>25795.51720412933</x:v>
      </x:c>
      <x:c r="S440" s="14"/>
      <x:c r="T440" s="14" t="n">
        <x:f>R440/J440</x:f>
        <x:v>5159.103440825866</x:v>
      </x:c>
    </x:row>
    <x:row r="441" ht="23" customHeight="1">
      <x:c r="A441" s="1" t="str">
        <x:v>T4-L06-C</x:v>
      </x:c>
      <x:c r="B441" s="1" t="str">
        <x:v>T4</x:v>
      </x:c>
      <x:c r="C441" s="1" t="str">
        <x:v>L06</x:v>
      </x:c>
      <x:c r="D441" s="1" t="str">
        <x:v>Concrete placement and finishing</x:v>
      </x:c>
      <x:c r="E441" s="1" t="str">
        <x:v>Concrete</x:v>
      </x:c>
      <x:c r="F441" s="15" t="n">
        <x:v>226.70819999999958</x:v>
      </x:c>
      <x:c r="G441" s="1" t="str">
        <x:v>m3</x:v>
      </x:c>
      <x:c r="H441" s="17" t="n">
        <x:v>170</x:v>
      </x:c>
      <x:c r="I441" s="17" t="n">
        <x:v>12</x:v>
      </x:c>
      <x:c r="J441" s="17" t="n">
        <x:f>ROUNDUP(F441/H441,0)</x:f>
        <x:v>2</x:v>
      </x:c>
      <x:c r="K441" s="1" t="n">
        <x:f>MAX(L440+0)</x:f>
        <x:v>289</x:v>
      </x:c>
      <x:c r="L441" s="1" t="n">
        <x:f>K441+J441</x:f>
        <x:v>291</x:v>
      </x:c>
      <x:c r="M441" s="1" t="n">
        <x:f>N441-J441</x:f>
        <x:v>313</x:v>
      </x:c>
      <x:c r="N441" s="1" t="n">
        <x:f>MIN(M442-0)</x:f>
        <x:v>315</x:v>
      </x:c>
      <x:c r="O441" s="1" t="n">
        <x:f>M441-K441</x:f>
        <x:v>24</x:v>
      </x:c>
      <x:c r="P441" s="19" t="n">
        <x:f>INDEX('Calendar'!$C$8:$C$907,K441+1)</x:f>
        <x:v>46665</x:v>
      </x:c>
      <x:c r="Q441" s="19" t="n">
        <x:f>INDEX('Calendar'!$C$8:$C$907,MAX(K441+1,L441))</x:f>
        <x:v>46666</x:v>
      </x:c>
      <x:c r="R441" s="15" t="n">
        <x:v>33527.39699999994</x:v>
      </x:c>
      <x:c r="S441" s="15"/>
      <x:c r="T441" s="15" t="n">
        <x:f>R441/J441</x:f>
        <x:v>16763.69849999997</x:v>
      </x:c>
    </x:row>
    <x:row r="442" ht="23" customHeight="1">
      <x:c r="A442" s="6" t="str">
        <x:v>T4-L06-H</x:v>
      </x:c>
      <x:c r="B442" s="6" t="str">
        <x:v>T4</x:v>
      </x:c>
      <x:c r="C442" s="6" t="str">
        <x:v>L06</x:v>
      </x:c>
      <x:c r="D442" s="6" t="str">
        <x:v>Curing and release hold point</x:v>
      </x:c>
      <x:c r="E442" s="6" t="str">
        <x:v>Site</x:v>
      </x:c>
      <x:c r="F442" s="14" t="n">
        <x:v>1</x:v>
      </x:c>
      <x:c r="G442" s="6" t="str">
        <x:v>hold</x:v>
      </x:c>
      <x:c r="H442" s="16" t="n">
        <x:v>1</x:v>
      </x:c>
      <x:c r="I442" s="16" t="n">
        <x:v>0</x:v>
      </x:c>
      <x:c r="J442" s="16" t="n">
        <x:f>S442</x:f>
        <x:v>5</x:v>
      </x:c>
      <x:c r="K442" s="6" t="n">
        <x:f>MAX(L441+0)</x:f>
        <x:v>291</x:v>
      </x:c>
      <x:c r="L442" s="6" t="n">
        <x:f>K442+J442</x:f>
        <x:v>296</x:v>
      </x:c>
      <x:c r="M442" s="6" t="n">
        <x:f>N442-J442</x:f>
        <x:v>315</x:v>
      </x:c>
      <x:c r="N442" s="6" t="n">
        <x:f>MIN(M443-0,M488-5)</x:f>
        <x:v>320</x:v>
      </x:c>
      <x:c r="O442" s="6" t="n">
        <x:f>M442-K442</x:f>
        <x:v>24</x:v>
      </x:c>
      <x:c r="P442" s="18" t="n">
        <x:f>INDEX('Calendar'!$C$8:$C$907,K442+1)</x:f>
        <x:v>46667</x:v>
      </x:c>
      <x:c r="Q442" s="18" t="n">
        <x:f>INDEX('Calendar'!$C$8:$C$907,MAX(K442+1,L442))</x:f>
        <x:v>46672</x:v>
      </x:c>
      <x:c r="R442" s="14" t="n">
        <x:v>0</x:v>
      </x:c>
      <x:c r="S442" s="14" t="n">
        <x:v>5</x:v>
      </x:c>
      <x:c r="T442" s="14" t="n">
        <x:f>R442/J442</x:f>
        <x:v>0</x:v>
      </x:c>
    </x:row>
    <x:row r="443" ht="23" customHeight="1">
      <x:c r="A443" s="1" t="str">
        <x:v>T4-L07-F</x:v>
      </x:c>
      <x:c r="B443" s="1" t="str">
        <x:v>T4</x:v>
      </x:c>
      <x:c r="C443" s="1" t="str">
        <x:v>L07</x:v>
      </x:c>
      <x:c r="D443" s="1" t="str">
        <x:v>Columns, core and deck formwork</x:v>
      </x:c>
      <x:c r="E443" s="1" t="str">
        <x:v>Formwork</x:v>
      </x:c>
      <x:c r="F443" s="15" t="n">
        <x:v>1222.6600000000005</x:v>
      </x:c>
      <x:c r="G443" s="1" t="str">
        <x:v>m2</x:v>
      </x:c>
      <x:c r="H443" s="17" t="n">
        <x:v>220</x:v>
      </x:c>
      <x:c r="I443" s="17" t="n">
        <x:v>18</x:v>
      </x:c>
      <x:c r="J443" s="17" t="n">
        <x:f>ROUNDUP(F443/H443,0)</x:f>
        <x:v>6</x:v>
      </x:c>
      <x:c r="K443" s="1" t="n">
        <x:f>MAX(L442+0)</x:f>
        <x:v>296</x:v>
      </x:c>
      <x:c r="L443" s="1" t="n">
        <x:f>K443+J443</x:f>
        <x:v>302</x:v>
      </x:c>
      <x:c r="M443" s="1" t="n">
        <x:f>N443-J443</x:f>
        <x:v>320</x:v>
      </x:c>
      <x:c r="N443" s="1" t="n">
        <x:f>MIN(M444-0)</x:f>
        <x:v>326</x:v>
      </x:c>
      <x:c r="O443" s="1" t="n">
        <x:f>M443-K443</x:f>
        <x:v>24</x:v>
      </x:c>
      <x:c r="P443" s="19" t="n">
        <x:f>INDEX('Calendar'!$C$8:$C$907,K443+1)</x:f>
        <x:v>46673</x:v>
      </x:c>
      <x:c r="Q443" s="19" t="n">
        <x:f>INDEX('Calendar'!$C$8:$C$907,MAX(K443+1,L443))</x:f>
        <x:v>46679</x:v>
      </x:c>
      <x:c r="R443" s="15" t="n">
        <x:v>29364.320000000007</x:v>
      </x:c>
      <x:c r="S443" s="15"/>
      <x:c r="T443" s="15" t="n">
        <x:f>R443/J443</x:f>
        <x:v>4894.053333333334</x:v>
      </x:c>
    </x:row>
    <x:row r="444" ht="23" customHeight="1">
      <x:c r="A444" s="6" t="str">
        <x:v>T4-L07-R</x:v>
      </x:c>
      <x:c r="B444" s="6" t="str">
        <x:v>T4</x:v>
      </x:c>
      <x:c r="C444" s="6" t="str">
        <x:v>L07</x:v>
      </x:c>
      <x:c r="D444" s="6" t="str">
        <x:v>Column, wall, beam and slab reinforcement</x:v>
      </x:c>
      <x:c r="E444" s="6" t="str">
        <x:v>Rebar</x:v>
      </x:c>
      <x:c r="F444" s="14" t="n">
        <x:v>29.684139475407747</x:v>
      </x:c>
      <x:c r="G444" s="6" t="str">
        <x:v>t</x:v>
      </x:c>
      <x:c r="H444" s="16" t="n">
        <x:v>7</x:v>
      </x:c>
      <x:c r="I444" s="16" t="n">
        <x:v>14</x:v>
      </x:c>
      <x:c r="J444" s="16" t="n">
        <x:f>ROUNDUP(F444/H444,0)</x:f>
        <x:v>5</x:v>
      </x:c>
      <x:c r="K444" s="6" t="n">
        <x:f>MAX(L443+0)</x:f>
        <x:v>302</x:v>
      </x:c>
      <x:c r="L444" s="6" t="n">
        <x:f>K444+J444</x:f>
        <x:v>307</x:v>
      </x:c>
      <x:c r="M444" s="6" t="n">
        <x:f>N444-J444</x:f>
        <x:v>326</x:v>
      </x:c>
      <x:c r="N444" s="6" t="n">
        <x:f>MIN(M445-0)</x:f>
        <x:v>331</x:v>
      </x:c>
      <x:c r="O444" s="6" t="n">
        <x:f>M444-K444</x:f>
        <x:v>24</x:v>
      </x:c>
      <x:c r="P444" s="18" t="n">
        <x:f>INDEX('Calendar'!$C$8:$C$907,K444+1)</x:f>
        <x:v>46680</x:v>
      </x:c>
      <x:c r="Q444" s="18" t="n">
        <x:f>INDEX('Calendar'!$C$8:$C$907,MAX(K444+1,L444))</x:f>
        <x:v>46685</x:v>
      </x:c>
      <x:c r="R444" s="14" t="n">
        <x:v>25795.51720412933</x:v>
      </x:c>
      <x:c r="S444" s="14"/>
      <x:c r="T444" s="14" t="n">
        <x:f>R444/J444</x:f>
        <x:v>5159.103440825866</x:v>
      </x:c>
    </x:row>
    <x:row r="445" ht="23" customHeight="1">
      <x:c r="A445" s="1" t="str">
        <x:v>T4-L07-C</x:v>
      </x:c>
      <x:c r="B445" s="1" t="str">
        <x:v>T4</x:v>
      </x:c>
      <x:c r="C445" s="1" t="str">
        <x:v>L07</x:v>
      </x:c>
      <x:c r="D445" s="1" t="str">
        <x:v>Concrete placement and finishing</x:v>
      </x:c>
      <x:c r="E445" s="1" t="str">
        <x:v>Concrete</x:v>
      </x:c>
      <x:c r="F445" s="15" t="n">
        <x:v>226.70819999999958</x:v>
      </x:c>
      <x:c r="G445" s="1" t="str">
        <x:v>m3</x:v>
      </x:c>
      <x:c r="H445" s="17" t="n">
        <x:v>170</x:v>
      </x:c>
      <x:c r="I445" s="17" t="n">
        <x:v>12</x:v>
      </x:c>
      <x:c r="J445" s="17" t="n">
        <x:f>ROUNDUP(F445/H445,0)</x:f>
        <x:v>2</x:v>
      </x:c>
      <x:c r="K445" s="1" t="n">
        <x:f>MAX(L444+0)</x:f>
        <x:v>307</x:v>
      </x:c>
      <x:c r="L445" s="1" t="n">
        <x:f>K445+J445</x:f>
        <x:v>309</x:v>
      </x:c>
      <x:c r="M445" s="1" t="n">
        <x:f>N445-J445</x:f>
        <x:v>331</x:v>
      </x:c>
      <x:c r="N445" s="1" t="n">
        <x:f>MIN(M446-0)</x:f>
        <x:v>333</x:v>
      </x:c>
      <x:c r="O445" s="1" t="n">
        <x:f>M445-K445</x:f>
        <x:v>24</x:v>
      </x:c>
      <x:c r="P445" s="19" t="n">
        <x:f>INDEX('Calendar'!$C$8:$C$907,K445+1)</x:f>
        <x:v>46686</x:v>
      </x:c>
      <x:c r="Q445" s="19" t="n">
        <x:f>INDEX('Calendar'!$C$8:$C$907,MAX(K445+1,L445))</x:f>
        <x:v>46687</x:v>
      </x:c>
      <x:c r="R445" s="15" t="n">
        <x:v>33527.39699999994</x:v>
      </x:c>
      <x:c r="S445" s="15"/>
      <x:c r="T445" s="15" t="n">
        <x:f>R445/J445</x:f>
        <x:v>16763.69849999997</x:v>
      </x:c>
    </x:row>
    <x:row r="446" ht="23" customHeight="1">
      <x:c r="A446" s="6" t="str">
        <x:v>T4-L07-H</x:v>
      </x:c>
      <x:c r="B446" s="6" t="str">
        <x:v>T4</x:v>
      </x:c>
      <x:c r="C446" s="6" t="str">
        <x:v>L07</x:v>
      </x:c>
      <x:c r="D446" s="6" t="str">
        <x:v>Curing and release hold point</x:v>
      </x:c>
      <x:c r="E446" s="6" t="str">
        <x:v>Site</x:v>
      </x:c>
      <x:c r="F446" s="14" t="n">
        <x:v>1</x:v>
      </x:c>
      <x:c r="G446" s="6" t="str">
        <x:v>hold</x:v>
      </x:c>
      <x:c r="H446" s="16" t="n">
        <x:v>1</x:v>
      </x:c>
      <x:c r="I446" s="16" t="n">
        <x:v>0</x:v>
      </x:c>
      <x:c r="J446" s="16" t="n">
        <x:f>S446</x:f>
        <x:v>5</x:v>
      </x:c>
      <x:c r="K446" s="6" t="n">
        <x:f>MAX(L445+0)</x:f>
        <x:v>309</x:v>
      </x:c>
      <x:c r="L446" s="6" t="n">
        <x:f>K446+J446</x:f>
        <x:v>314</x:v>
      </x:c>
      <x:c r="M446" s="6" t="n">
        <x:f>N446-J446</x:f>
        <x:v>333</x:v>
      </x:c>
      <x:c r="N446" s="6" t="n">
        <x:f>MIN(M447-0,M494-5)</x:f>
        <x:v>338</x:v>
      </x:c>
      <x:c r="O446" s="6" t="n">
        <x:f>M446-K446</x:f>
        <x:v>24</x:v>
      </x:c>
      <x:c r="P446" s="18" t="n">
        <x:f>INDEX('Calendar'!$C$8:$C$907,K446+1)</x:f>
        <x:v>46688</x:v>
      </x:c>
      <x:c r="Q446" s="18" t="n">
        <x:f>INDEX('Calendar'!$C$8:$C$907,MAX(K446+1,L446))</x:f>
        <x:v>46693</x:v>
      </x:c>
      <x:c r="R446" s="14" t="n">
        <x:v>0</x:v>
      </x:c>
      <x:c r="S446" s="14" t="n">
        <x:v>5</x:v>
      </x:c>
      <x:c r="T446" s="14" t="n">
        <x:f>R446/J446</x:f>
        <x:v>0</x:v>
      </x:c>
    </x:row>
    <x:row r="447" ht="23" customHeight="1">
      <x:c r="A447" s="1" t="str">
        <x:v>T4-L08-F</x:v>
      </x:c>
      <x:c r="B447" s="1" t="str">
        <x:v>T4</x:v>
      </x:c>
      <x:c r="C447" s="1" t="str">
        <x:v>L08</x:v>
      </x:c>
      <x:c r="D447" s="1" t="str">
        <x:v>Columns, core and deck formwork</x:v>
      </x:c>
      <x:c r="E447" s="1" t="str">
        <x:v>Formwork</x:v>
      </x:c>
      <x:c r="F447" s="15" t="n">
        <x:v>1222.6600000000005</x:v>
      </x:c>
      <x:c r="G447" s="1" t="str">
        <x:v>m2</x:v>
      </x:c>
      <x:c r="H447" s="17" t="n">
        <x:v>220</x:v>
      </x:c>
      <x:c r="I447" s="17" t="n">
        <x:v>18</x:v>
      </x:c>
      <x:c r="J447" s="17" t="n">
        <x:f>ROUNDUP(F447/H447,0)</x:f>
        <x:v>6</x:v>
      </x:c>
      <x:c r="K447" s="1" t="n">
        <x:f>MAX(L446+0)</x:f>
        <x:v>314</x:v>
      </x:c>
      <x:c r="L447" s="1" t="n">
        <x:f>K447+J447</x:f>
        <x:v>320</x:v>
      </x:c>
      <x:c r="M447" s="1" t="n">
        <x:f>N447-J447</x:f>
        <x:v>338</x:v>
      </x:c>
      <x:c r="N447" s="1" t="n">
        <x:f>MIN(M448-0)</x:f>
        <x:v>344</x:v>
      </x:c>
      <x:c r="O447" s="1" t="n">
        <x:f>M447-K447</x:f>
        <x:v>24</x:v>
      </x:c>
      <x:c r="P447" s="19" t="n">
        <x:f>INDEX('Calendar'!$C$8:$C$907,K447+1)</x:f>
        <x:v>46694</x:v>
      </x:c>
      <x:c r="Q447" s="19" t="n">
        <x:f>INDEX('Calendar'!$C$8:$C$907,MAX(K447+1,L447))</x:f>
        <x:v>46700</x:v>
      </x:c>
      <x:c r="R447" s="15" t="n">
        <x:v>29364.320000000007</x:v>
      </x:c>
      <x:c r="S447" s="15"/>
      <x:c r="T447" s="15" t="n">
        <x:f>R447/J447</x:f>
        <x:v>4894.053333333334</x:v>
      </x:c>
    </x:row>
    <x:row r="448" ht="23" customHeight="1">
      <x:c r="A448" s="6" t="str">
        <x:v>T4-L08-R</x:v>
      </x:c>
      <x:c r="B448" s="6" t="str">
        <x:v>T4</x:v>
      </x:c>
      <x:c r="C448" s="6" t="str">
        <x:v>L08</x:v>
      </x:c>
      <x:c r="D448" s="6" t="str">
        <x:v>Column, wall, beam and slab reinforcement</x:v>
      </x:c>
      <x:c r="E448" s="6" t="str">
        <x:v>Rebar</x:v>
      </x:c>
      <x:c r="F448" s="14" t="n">
        <x:v>29.684139475407747</x:v>
      </x:c>
      <x:c r="G448" s="6" t="str">
        <x:v>t</x:v>
      </x:c>
      <x:c r="H448" s="16" t="n">
        <x:v>7</x:v>
      </x:c>
      <x:c r="I448" s="16" t="n">
        <x:v>14</x:v>
      </x:c>
      <x:c r="J448" s="16" t="n">
        <x:f>ROUNDUP(F448/H448,0)</x:f>
        <x:v>5</x:v>
      </x:c>
      <x:c r="K448" s="6" t="n">
        <x:f>MAX(L447+0)</x:f>
        <x:v>320</x:v>
      </x:c>
      <x:c r="L448" s="6" t="n">
        <x:f>K448+J448</x:f>
        <x:v>325</x:v>
      </x:c>
      <x:c r="M448" s="6" t="n">
        <x:f>N448-J448</x:f>
        <x:v>344</x:v>
      </x:c>
      <x:c r="N448" s="6" t="n">
        <x:f>MIN(M449-0)</x:f>
        <x:v>349</x:v>
      </x:c>
      <x:c r="O448" s="6" t="n">
        <x:f>M448-K448</x:f>
        <x:v>24</x:v>
      </x:c>
      <x:c r="P448" s="18" t="n">
        <x:f>INDEX('Calendar'!$C$8:$C$907,K448+1)</x:f>
        <x:v>46701</x:v>
      </x:c>
      <x:c r="Q448" s="18" t="n">
        <x:f>INDEX('Calendar'!$C$8:$C$907,MAX(K448+1,L448))</x:f>
        <x:v>46706</x:v>
      </x:c>
      <x:c r="R448" s="14" t="n">
        <x:v>25795.51720412933</x:v>
      </x:c>
      <x:c r="S448" s="14"/>
      <x:c r="T448" s="14" t="n">
        <x:f>R448/J448</x:f>
        <x:v>5159.103440825866</x:v>
      </x:c>
    </x:row>
    <x:row r="449" ht="23" customHeight="1">
      <x:c r="A449" s="1" t="str">
        <x:v>T4-L08-C</x:v>
      </x:c>
      <x:c r="B449" s="1" t="str">
        <x:v>T4</x:v>
      </x:c>
      <x:c r="C449" s="1" t="str">
        <x:v>L08</x:v>
      </x:c>
      <x:c r="D449" s="1" t="str">
        <x:v>Concrete placement and finishing</x:v>
      </x:c>
      <x:c r="E449" s="1" t="str">
        <x:v>Concrete</x:v>
      </x:c>
      <x:c r="F449" s="15" t="n">
        <x:v>226.70819999999958</x:v>
      </x:c>
      <x:c r="G449" s="1" t="str">
        <x:v>m3</x:v>
      </x:c>
      <x:c r="H449" s="17" t="n">
        <x:v>170</x:v>
      </x:c>
      <x:c r="I449" s="17" t="n">
        <x:v>12</x:v>
      </x:c>
      <x:c r="J449" s="17" t="n">
        <x:f>ROUNDUP(F449/H449,0)</x:f>
        <x:v>2</x:v>
      </x:c>
      <x:c r="K449" s="1" t="n">
        <x:f>MAX(L448+0)</x:f>
        <x:v>325</x:v>
      </x:c>
      <x:c r="L449" s="1" t="n">
        <x:f>K449+J449</x:f>
        <x:v>327</x:v>
      </x:c>
      <x:c r="M449" s="1" t="n">
        <x:f>N449-J449</x:f>
        <x:v>349</x:v>
      </x:c>
      <x:c r="N449" s="1" t="n">
        <x:f>MIN(M450-0)</x:f>
        <x:v>351</x:v>
      </x:c>
      <x:c r="O449" s="1" t="n">
        <x:f>M449-K449</x:f>
        <x:v>24</x:v>
      </x:c>
      <x:c r="P449" s="19" t="n">
        <x:f>INDEX('Calendar'!$C$8:$C$907,K449+1)</x:f>
        <x:v>46707</x:v>
      </x:c>
      <x:c r="Q449" s="19" t="n">
        <x:f>INDEX('Calendar'!$C$8:$C$907,MAX(K449+1,L449))</x:f>
        <x:v>46708</x:v>
      </x:c>
      <x:c r="R449" s="15" t="n">
        <x:v>33527.39699999994</x:v>
      </x:c>
      <x:c r="S449" s="15"/>
      <x:c r="T449" s="15" t="n">
        <x:f>R449/J449</x:f>
        <x:v>16763.69849999997</x:v>
      </x:c>
    </x:row>
    <x:row r="450" ht="23" customHeight="1">
      <x:c r="A450" s="6" t="str">
        <x:v>T4-L08-H</x:v>
      </x:c>
      <x:c r="B450" s="6" t="str">
        <x:v>T4</x:v>
      </x:c>
      <x:c r="C450" s="6" t="str">
        <x:v>L08</x:v>
      </x:c>
      <x:c r="D450" s="6" t="str">
        <x:v>Curing and release hold point</x:v>
      </x:c>
      <x:c r="E450" s="6" t="str">
        <x:v>Site</x:v>
      </x:c>
      <x:c r="F450" s="14" t="n">
        <x:v>1</x:v>
      </x:c>
      <x:c r="G450" s="6" t="str">
        <x:v>hold</x:v>
      </x:c>
      <x:c r="H450" s="16" t="n">
        <x:v>1</x:v>
      </x:c>
      <x:c r="I450" s="16" t="n">
        <x:v>0</x:v>
      </x:c>
      <x:c r="J450" s="16" t="n">
        <x:f>S450</x:f>
        <x:v>5</x:v>
      </x:c>
      <x:c r="K450" s="6" t="n">
        <x:f>MAX(L449+0)</x:f>
        <x:v>327</x:v>
      </x:c>
      <x:c r="L450" s="6" t="n">
        <x:f>K450+J450</x:f>
        <x:v>332</x:v>
      </x:c>
      <x:c r="M450" s="6" t="n">
        <x:f>N450-J450</x:f>
        <x:v>351</x:v>
      </x:c>
      <x:c r="N450" s="6" t="n">
        <x:f>MIN(M451-0,M468-10,M500-5)</x:f>
        <x:v>356</x:v>
      </x:c>
      <x:c r="O450" s="6" t="n">
        <x:f>M450-K450</x:f>
        <x:v>24</x:v>
      </x:c>
      <x:c r="P450" s="18" t="n">
        <x:f>INDEX('Calendar'!$C$8:$C$907,K450+1)</x:f>
        <x:v>46709</x:v>
      </x:c>
      <x:c r="Q450" s="18" t="n">
        <x:f>INDEX('Calendar'!$C$8:$C$907,MAX(K450+1,L450))</x:f>
        <x:v>46714</x:v>
      </x:c>
      <x:c r="R450" s="14" t="n">
        <x:v>0</x:v>
      </x:c>
      <x:c r="S450" s="14" t="n">
        <x:v>5</x:v>
      </x:c>
      <x:c r="T450" s="14" t="n">
        <x:f>R450/J450</x:f>
        <x:v>0</x:v>
      </x:c>
    </x:row>
    <x:row r="451" ht="23" customHeight="1">
      <x:c r="A451" s="1" t="str">
        <x:v>T4-L09-F</x:v>
      </x:c>
      <x:c r="B451" s="1" t="str">
        <x:v>T4</x:v>
      </x:c>
      <x:c r="C451" s="1" t="str">
        <x:v>L09</x:v>
      </x:c>
      <x:c r="D451" s="1" t="str">
        <x:v>Columns, core and deck formwork</x:v>
      </x:c>
      <x:c r="E451" s="1" t="str">
        <x:v>Formwork</x:v>
      </x:c>
      <x:c r="F451" s="15" t="n">
        <x:v>1222.6600000000005</x:v>
      </x:c>
      <x:c r="G451" s="1" t="str">
        <x:v>m2</x:v>
      </x:c>
      <x:c r="H451" s="17" t="n">
        <x:v>220</x:v>
      </x:c>
      <x:c r="I451" s="17" t="n">
        <x:v>18</x:v>
      </x:c>
      <x:c r="J451" s="17" t="n">
        <x:f>ROUNDUP(F451/H451,0)</x:f>
        <x:v>6</x:v>
      </x:c>
      <x:c r="K451" s="1" t="n">
        <x:f>MAX(L450+0)</x:f>
        <x:v>332</x:v>
      </x:c>
      <x:c r="L451" s="1" t="n">
        <x:f>K451+J451</x:f>
        <x:v>338</x:v>
      </x:c>
      <x:c r="M451" s="1" t="n">
        <x:f>N451-J451</x:f>
        <x:v>356</x:v>
      </x:c>
      <x:c r="N451" s="1" t="n">
        <x:f>MIN(M452-0)</x:f>
        <x:v>362</x:v>
      </x:c>
      <x:c r="O451" s="1" t="n">
        <x:f>M451-K451</x:f>
        <x:v>24</x:v>
      </x:c>
      <x:c r="P451" s="19" t="n">
        <x:f>INDEX('Calendar'!$C$8:$C$907,K451+1)</x:f>
        <x:v>46715</x:v>
      </x:c>
      <x:c r="Q451" s="19" t="n">
        <x:f>INDEX('Calendar'!$C$8:$C$907,MAX(K451+1,L451))</x:f>
        <x:v>46721</x:v>
      </x:c>
      <x:c r="R451" s="15" t="n">
        <x:v>29364.320000000007</x:v>
      </x:c>
      <x:c r="S451" s="15"/>
      <x:c r="T451" s="15" t="n">
        <x:f>R451/J451</x:f>
        <x:v>4894.053333333334</x:v>
      </x:c>
    </x:row>
    <x:row r="452" ht="23" customHeight="1">
      <x:c r="A452" s="6" t="str">
        <x:v>T4-L09-R</x:v>
      </x:c>
      <x:c r="B452" s="6" t="str">
        <x:v>T4</x:v>
      </x:c>
      <x:c r="C452" s="6" t="str">
        <x:v>L09</x:v>
      </x:c>
      <x:c r="D452" s="6" t="str">
        <x:v>Column, wall, beam and slab reinforcement</x:v>
      </x:c>
      <x:c r="E452" s="6" t="str">
        <x:v>Rebar</x:v>
      </x:c>
      <x:c r="F452" s="14" t="n">
        <x:v>29.684139475407747</x:v>
      </x:c>
      <x:c r="G452" s="6" t="str">
        <x:v>t</x:v>
      </x:c>
      <x:c r="H452" s="16" t="n">
        <x:v>7</x:v>
      </x:c>
      <x:c r="I452" s="16" t="n">
        <x:v>14</x:v>
      </x:c>
      <x:c r="J452" s="16" t="n">
        <x:f>ROUNDUP(F452/H452,0)</x:f>
        <x:v>5</x:v>
      </x:c>
      <x:c r="K452" s="6" t="n">
        <x:f>MAX(L451+0)</x:f>
        <x:v>338</x:v>
      </x:c>
      <x:c r="L452" s="6" t="n">
        <x:f>K452+J452</x:f>
        <x:v>343</x:v>
      </x:c>
      <x:c r="M452" s="6" t="n">
        <x:f>N452-J452</x:f>
        <x:v>362</x:v>
      </x:c>
      <x:c r="N452" s="6" t="n">
        <x:f>MIN(M453-0)</x:f>
        <x:v>367</x:v>
      </x:c>
      <x:c r="O452" s="6" t="n">
        <x:f>M452-K452</x:f>
        <x:v>24</x:v>
      </x:c>
      <x:c r="P452" s="18" t="n">
        <x:f>INDEX('Calendar'!$C$8:$C$907,K452+1)</x:f>
        <x:v>46722</x:v>
      </x:c>
      <x:c r="Q452" s="18" t="n">
        <x:f>INDEX('Calendar'!$C$8:$C$907,MAX(K452+1,L452))</x:f>
        <x:v>46727</x:v>
      </x:c>
      <x:c r="R452" s="14" t="n">
        <x:v>25795.51720412933</x:v>
      </x:c>
      <x:c r="S452" s="14"/>
      <x:c r="T452" s="14" t="n">
        <x:f>R452/J452</x:f>
        <x:v>5159.103440825866</x:v>
      </x:c>
    </x:row>
    <x:row r="453" ht="23" customHeight="1">
      <x:c r="A453" s="1" t="str">
        <x:v>T4-L09-C</x:v>
      </x:c>
      <x:c r="B453" s="1" t="str">
        <x:v>T4</x:v>
      </x:c>
      <x:c r="C453" s="1" t="str">
        <x:v>L09</x:v>
      </x:c>
      <x:c r="D453" s="1" t="str">
        <x:v>Concrete placement and finishing</x:v>
      </x:c>
      <x:c r="E453" s="1" t="str">
        <x:v>Concrete</x:v>
      </x:c>
      <x:c r="F453" s="15" t="n">
        <x:v>226.70819999999958</x:v>
      </x:c>
      <x:c r="G453" s="1" t="str">
        <x:v>m3</x:v>
      </x:c>
      <x:c r="H453" s="17" t="n">
        <x:v>170</x:v>
      </x:c>
      <x:c r="I453" s="17" t="n">
        <x:v>12</x:v>
      </x:c>
      <x:c r="J453" s="17" t="n">
        <x:f>ROUNDUP(F453/H453,0)</x:f>
        <x:v>2</x:v>
      </x:c>
      <x:c r="K453" s="1" t="n">
        <x:f>MAX(L452+0)</x:f>
        <x:v>343</x:v>
      </x:c>
      <x:c r="L453" s="1" t="n">
        <x:f>K453+J453</x:f>
        <x:v>345</x:v>
      </x:c>
      <x:c r="M453" s="1" t="n">
        <x:f>N453-J453</x:f>
        <x:v>367</x:v>
      </x:c>
      <x:c r="N453" s="1" t="n">
        <x:f>MIN(M454-0)</x:f>
        <x:v>369</x:v>
      </x:c>
      <x:c r="O453" s="1" t="n">
        <x:f>M453-K453</x:f>
        <x:v>24</x:v>
      </x:c>
      <x:c r="P453" s="19" t="n">
        <x:f>INDEX('Calendar'!$C$8:$C$907,K453+1)</x:f>
        <x:v>46728</x:v>
      </x:c>
      <x:c r="Q453" s="19" t="n">
        <x:f>INDEX('Calendar'!$C$8:$C$907,MAX(K453+1,L453))</x:f>
        <x:v>46729</x:v>
      </x:c>
      <x:c r="R453" s="15" t="n">
        <x:v>33527.39699999994</x:v>
      </x:c>
      <x:c r="S453" s="15"/>
      <x:c r="T453" s="15" t="n">
        <x:f>R453/J453</x:f>
        <x:v>16763.69849999997</x:v>
      </x:c>
    </x:row>
    <x:row r="454" ht="23" customHeight="1">
      <x:c r="A454" s="6" t="str">
        <x:v>T4-L09-H</x:v>
      </x:c>
      <x:c r="B454" s="6" t="str">
        <x:v>T4</x:v>
      </x:c>
      <x:c r="C454" s="6" t="str">
        <x:v>L09</x:v>
      </x:c>
      <x:c r="D454" s="6" t="str">
        <x:v>Curing and release hold point</x:v>
      </x:c>
      <x:c r="E454" s="6" t="str">
        <x:v>Site</x:v>
      </x:c>
      <x:c r="F454" s="14" t="n">
        <x:v>1</x:v>
      </x:c>
      <x:c r="G454" s="6" t="str">
        <x:v>hold</x:v>
      </x:c>
      <x:c r="H454" s="16" t="n">
        <x:v>1</x:v>
      </x:c>
      <x:c r="I454" s="16" t="n">
        <x:v>0</x:v>
      </x:c>
      <x:c r="J454" s="16" t="n">
        <x:f>S454</x:f>
        <x:v>5</x:v>
      </x:c>
      <x:c r="K454" s="6" t="n">
        <x:f>MAX(L453+0)</x:f>
        <x:v>345</x:v>
      </x:c>
      <x:c r="L454" s="6" t="n">
        <x:f>K454+J454</x:f>
        <x:v>350</x:v>
      </x:c>
      <x:c r="M454" s="6" t="n">
        <x:f>N454-J454</x:f>
        <x:v>369</x:v>
      </x:c>
      <x:c r="N454" s="6" t="n">
        <x:f>MIN(M455-0,M506-5)</x:f>
        <x:v>374</x:v>
      </x:c>
      <x:c r="O454" s="6" t="n">
        <x:f>M454-K454</x:f>
        <x:v>24</x:v>
      </x:c>
      <x:c r="P454" s="18" t="n">
        <x:f>INDEX('Calendar'!$C$8:$C$907,K454+1)</x:f>
        <x:v>46730</x:v>
      </x:c>
      <x:c r="Q454" s="18" t="n">
        <x:f>INDEX('Calendar'!$C$8:$C$907,MAX(K454+1,L454))</x:f>
        <x:v>46735</x:v>
      </x:c>
      <x:c r="R454" s="14" t="n">
        <x:v>0</x:v>
      </x:c>
      <x:c r="S454" s="14" t="n">
        <x:v>5</x:v>
      </x:c>
      <x:c r="T454" s="14" t="n">
        <x:f>R454/J454</x:f>
        <x:v>0</x:v>
      </x:c>
    </x:row>
    <x:row r="455" ht="23" customHeight="1">
      <x:c r="A455" s="1" t="str">
        <x:v>T4-L10-F</x:v>
      </x:c>
      <x:c r="B455" s="1" t="str">
        <x:v>T4</x:v>
      </x:c>
      <x:c r="C455" s="1" t="str">
        <x:v>L10</x:v>
      </x:c>
      <x:c r="D455" s="1" t="str">
        <x:v>Columns, core and deck formwork</x:v>
      </x:c>
      <x:c r="E455" s="1" t="str">
        <x:v>Formwork</x:v>
      </x:c>
      <x:c r="F455" s="15" t="n">
        <x:v>1222.6600000000005</x:v>
      </x:c>
      <x:c r="G455" s="1" t="str">
        <x:v>m2</x:v>
      </x:c>
      <x:c r="H455" s="17" t="n">
        <x:v>220</x:v>
      </x:c>
      <x:c r="I455" s="17" t="n">
        <x:v>18</x:v>
      </x:c>
      <x:c r="J455" s="17" t="n">
        <x:f>ROUNDUP(F455/H455,0)</x:f>
        <x:v>6</x:v>
      </x:c>
      <x:c r="K455" s="1" t="n">
        <x:f>MAX(L454+0)</x:f>
        <x:v>350</x:v>
      </x:c>
      <x:c r="L455" s="1" t="n">
        <x:f>K455+J455</x:f>
        <x:v>356</x:v>
      </x:c>
      <x:c r="M455" s="1" t="n">
        <x:f>N455-J455</x:f>
        <x:v>374</x:v>
      </x:c>
      <x:c r="N455" s="1" t="n">
        <x:f>MIN(M456-0)</x:f>
        <x:v>380</x:v>
      </x:c>
      <x:c r="O455" s="1" t="n">
        <x:f>M455-K455</x:f>
        <x:v>24</x:v>
      </x:c>
      <x:c r="P455" s="19" t="n">
        <x:f>INDEX('Calendar'!$C$8:$C$907,K455+1)</x:f>
        <x:v>46736</x:v>
      </x:c>
      <x:c r="Q455" s="19" t="n">
        <x:f>INDEX('Calendar'!$C$8:$C$907,MAX(K455+1,L455))</x:f>
        <x:v>46742</x:v>
      </x:c>
      <x:c r="R455" s="15" t="n">
        <x:v>29364.320000000007</x:v>
      </x:c>
      <x:c r="S455" s="15"/>
      <x:c r="T455" s="15" t="n">
        <x:f>R455/J455</x:f>
        <x:v>4894.053333333334</x:v>
      </x:c>
    </x:row>
    <x:row r="456" ht="23" customHeight="1">
      <x:c r="A456" s="6" t="str">
        <x:v>T4-L10-R</x:v>
      </x:c>
      <x:c r="B456" s="6" t="str">
        <x:v>T4</x:v>
      </x:c>
      <x:c r="C456" s="6" t="str">
        <x:v>L10</x:v>
      </x:c>
      <x:c r="D456" s="6" t="str">
        <x:v>Column, wall, beam and slab reinforcement</x:v>
      </x:c>
      <x:c r="E456" s="6" t="str">
        <x:v>Rebar</x:v>
      </x:c>
      <x:c r="F456" s="14" t="n">
        <x:v>29.684139475407747</x:v>
      </x:c>
      <x:c r="G456" s="6" t="str">
        <x:v>t</x:v>
      </x:c>
      <x:c r="H456" s="16" t="n">
        <x:v>7</x:v>
      </x:c>
      <x:c r="I456" s="16" t="n">
        <x:v>14</x:v>
      </x:c>
      <x:c r="J456" s="16" t="n">
        <x:f>ROUNDUP(F456/H456,0)</x:f>
        <x:v>5</x:v>
      </x:c>
      <x:c r="K456" s="6" t="n">
        <x:f>MAX(L455+0)</x:f>
        <x:v>356</x:v>
      </x:c>
      <x:c r="L456" s="6" t="n">
        <x:f>K456+J456</x:f>
        <x:v>361</x:v>
      </x:c>
      <x:c r="M456" s="6" t="n">
        <x:f>N456-J456</x:f>
        <x:v>380</x:v>
      </x:c>
      <x:c r="N456" s="6" t="n">
        <x:f>MIN(M457-0)</x:f>
        <x:v>385</x:v>
      </x:c>
      <x:c r="O456" s="6" t="n">
        <x:f>M456-K456</x:f>
        <x:v>24</x:v>
      </x:c>
      <x:c r="P456" s="18" t="n">
        <x:f>INDEX('Calendar'!$C$8:$C$907,K456+1)</x:f>
        <x:v>46743</x:v>
      </x:c>
      <x:c r="Q456" s="18" t="n">
        <x:f>INDEX('Calendar'!$C$8:$C$907,MAX(K456+1,L456))</x:f>
        <x:v>46748</x:v>
      </x:c>
      <x:c r="R456" s="14" t="n">
        <x:v>25795.51720412933</x:v>
      </x:c>
      <x:c r="S456" s="14"/>
      <x:c r="T456" s="14" t="n">
        <x:f>R456/J456</x:f>
        <x:v>5159.103440825866</x:v>
      </x:c>
    </x:row>
    <x:row r="457" ht="23" customHeight="1">
      <x:c r="A457" s="1" t="str">
        <x:v>T4-L10-C</x:v>
      </x:c>
      <x:c r="B457" s="1" t="str">
        <x:v>T4</x:v>
      </x:c>
      <x:c r="C457" s="1" t="str">
        <x:v>L10</x:v>
      </x:c>
      <x:c r="D457" s="1" t="str">
        <x:v>Concrete placement and finishing</x:v>
      </x:c>
      <x:c r="E457" s="1" t="str">
        <x:v>Concrete</x:v>
      </x:c>
      <x:c r="F457" s="15" t="n">
        <x:v>226.70819999999958</x:v>
      </x:c>
      <x:c r="G457" s="1" t="str">
        <x:v>m3</x:v>
      </x:c>
      <x:c r="H457" s="17" t="n">
        <x:v>170</x:v>
      </x:c>
      <x:c r="I457" s="17" t="n">
        <x:v>12</x:v>
      </x:c>
      <x:c r="J457" s="17" t="n">
        <x:f>ROUNDUP(F457/H457,0)</x:f>
        <x:v>2</x:v>
      </x:c>
      <x:c r="K457" s="1" t="n">
        <x:f>MAX(L456+0)</x:f>
        <x:v>361</x:v>
      </x:c>
      <x:c r="L457" s="1" t="n">
        <x:f>K457+J457</x:f>
        <x:v>363</x:v>
      </x:c>
      <x:c r="M457" s="1" t="n">
        <x:f>N457-J457</x:f>
        <x:v>385</x:v>
      </x:c>
      <x:c r="N457" s="1" t="n">
        <x:f>MIN(M458-0)</x:f>
        <x:v>387</x:v>
      </x:c>
      <x:c r="O457" s="1" t="n">
        <x:f>M457-K457</x:f>
        <x:v>24</x:v>
      </x:c>
      <x:c r="P457" s="19" t="n">
        <x:f>INDEX('Calendar'!$C$8:$C$907,K457+1)</x:f>
        <x:v>46749</x:v>
      </x:c>
      <x:c r="Q457" s="19" t="n">
        <x:f>INDEX('Calendar'!$C$8:$C$907,MAX(K457+1,L457))</x:f>
        <x:v>46750</x:v>
      </x:c>
      <x:c r="R457" s="15" t="n">
        <x:v>33527.39699999994</x:v>
      </x:c>
      <x:c r="S457" s="15"/>
      <x:c r="T457" s="15" t="n">
        <x:f>R457/J457</x:f>
        <x:v>16763.69849999997</x:v>
      </x:c>
    </x:row>
    <x:row r="458" ht="23" customHeight="1">
      <x:c r="A458" s="6" t="str">
        <x:v>T4-L10-H</x:v>
      </x:c>
      <x:c r="B458" s="6" t="str">
        <x:v>T4</x:v>
      </x:c>
      <x:c r="C458" s="6" t="str">
        <x:v>L10</x:v>
      </x:c>
      <x:c r="D458" s="6" t="str">
        <x:v>Curing and release hold point</x:v>
      </x:c>
      <x:c r="E458" s="6" t="str">
        <x:v>Site</x:v>
      </x:c>
      <x:c r="F458" s="14" t="n">
        <x:v>1</x:v>
      </x:c>
      <x:c r="G458" s="6" t="str">
        <x:v>hold</x:v>
      </x:c>
      <x:c r="H458" s="16" t="n">
        <x:v>1</x:v>
      </x:c>
      <x:c r="I458" s="16" t="n">
        <x:v>0</x:v>
      </x:c>
      <x:c r="J458" s="16" t="n">
        <x:f>S458</x:f>
        <x:v>5</x:v>
      </x:c>
      <x:c r="K458" s="6" t="n">
        <x:f>MAX(L457+0)</x:f>
        <x:v>363</x:v>
      </x:c>
      <x:c r="L458" s="6" t="n">
        <x:f>K458+J458</x:f>
        <x:v>368</x:v>
      </x:c>
      <x:c r="M458" s="6" t="n">
        <x:f>N458-J458</x:f>
        <x:v>387</x:v>
      </x:c>
      <x:c r="N458" s="6" t="n">
        <x:f>MIN(M459-0,M512-5)</x:f>
        <x:v>392</x:v>
      </x:c>
      <x:c r="O458" s="6" t="n">
        <x:f>M458-K458</x:f>
        <x:v>24</x:v>
      </x:c>
      <x:c r="P458" s="18" t="n">
        <x:f>INDEX('Calendar'!$C$8:$C$907,K458+1)</x:f>
        <x:v>46751</x:v>
      </x:c>
      <x:c r="Q458" s="18" t="n">
        <x:f>INDEX('Calendar'!$C$8:$C$907,MAX(K458+1,L458))</x:f>
        <x:v>46756</x:v>
      </x:c>
      <x:c r="R458" s="14" t="n">
        <x:v>0</x:v>
      </x:c>
      <x:c r="S458" s="14" t="n">
        <x:v>5</x:v>
      </x:c>
      <x:c r="T458" s="14" t="n">
        <x:f>R458/J458</x:f>
        <x:v>0</x:v>
      </x:c>
    </x:row>
    <x:row r="459" ht="23" customHeight="1">
      <x:c r="A459" s="1" t="str">
        <x:v>T4-L11-F</x:v>
      </x:c>
      <x:c r="B459" s="1" t="str">
        <x:v>T4</x:v>
      </x:c>
      <x:c r="C459" s="1" t="str">
        <x:v>L11</x:v>
      </x:c>
      <x:c r="D459" s="1" t="str">
        <x:v>Columns, core and deck formwork</x:v>
      </x:c>
      <x:c r="E459" s="1" t="str">
        <x:v>Formwork</x:v>
      </x:c>
      <x:c r="F459" s="15" t="n">
        <x:v>1222.6600000000005</x:v>
      </x:c>
      <x:c r="G459" s="1" t="str">
        <x:v>m2</x:v>
      </x:c>
      <x:c r="H459" s="17" t="n">
        <x:v>220</x:v>
      </x:c>
      <x:c r="I459" s="17" t="n">
        <x:v>18</x:v>
      </x:c>
      <x:c r="J459" s="17" t="n">
        <x:f>ROUNDUP(F459/H459,0)</x:f>
        <x:v>6</x:v>
      </x:c>
      <x:c r="K459" s="1" t="n">
        <x:f>MAX(L458+0)</x:f>
        <x:v>368</x:v>
      </x:c>
      <x:c r="L459" s="1" t="n">
        <x:f>K459+J459</x:f>
        <x:v>374</x:v>
      </x:c>
      <x:c r="M459" s="1" t="n">
        <x:f>N459-J459</x:f>
        <x:v>392</x:v>
      </x:c>
      <x:c r="N459" s="1" t="n">
        <x:f>MIN(M460-0)</x:f>
        <x:v>398</x:v>
      </x:c>
      <x:c r="O459" s="1" t="n">
        <x:f>M459-K459</x:f>
        <x:v>24</x:v>
      </x:c>
      <x:c r="P459" s="19" t="n">
        <x:f>INDEX('Calendar'!$C$8:$C$907,K459+1)</x:f>
        <x:v>46757</x:v>
      </x:c>
      <x:c r="Q459" s="19" t="n">
        <x:f>INDEX('Calendar'!$C$8:$C$907,MAX(K459+1,L459))</x:f>
        <x:v>46763</x:v>
      </x:c>
      <x:c r="R459" s="15" t="n">
        <x:v>29364.320000000007</x:v>
      </x:c>
      <x:c r="S459" s="15"/>
      <x:c r="T459" s="15" t="n">
        <x:f>R459/J459</x:f>
        <x:v>4894.053333333334</x:v>
      </x:c>
    </x:row>
    <x:row r="460" ht="23" customHeight="1">
      <x:c r="A460" s="6" t="str">
        <x:v>T4-L11-R</x:v>
      </x:c>
      <x:c r="B460" s="6" t="str">
        <x:v>T4</x:v>
      </x:c>
      <x:c r="C460" s="6" t="str">
        <x:v>L11</x:v>
      </x:c>
      <x:c r="D460" s="6" t="str">
        <x:v>Column, wall, beam and slab reinforcement</x:v>
      </x:c>
      <x:c r="E460" s="6" t="str">
        <x:v>Rebar</x:v>
      </x:c>
      <x:c r="F460" s="14" t="n">
        <x:v>29.684139475407747</x:v>
      </x:c>
      <x:c r="G460" s="6" t="str">
        <x:v>t</x:v>
      </x:c>
      <x:c r="H460" s="16" t="n">
        <x:v>7</x:v>
      </x:c>
      <x:c r="I460" s="16" t="n">
        <x:v>14</x:v>
      </x:c>
      <x:c r="J460" s="16" t="n">
        <x:f>ROUNDUP(F460/H460,0)</x:f>
        <x:v>5</x:v>
      </x:c>
      <x:c r="K460" s="6" t="n">
        <x:f>MAX(L459+0)</x:f>
        <x:v>374</x:v>
      </x:c>
      <x:c r="L460" s="6" t="n">
        <x:f>K460+J460</x:f>
        <x:v>379</x:v>
      </x:c>
      <x:c r="M460" s="6" t="n">
        <x:f>N460-J460</x:f>
        <x:v>398</x:v>
      </x:c>
      <x:c r="N460" s="6" t="n">
        <x:f>MIN(M461-0)</x:f>
        <x:v>403</x:v>
      </x:c>
      <x:c r="O460" s="6" t="n">
        <x:f>M460-K460</x:f>
        <x:v>24</x:v>
      </x:c>
      <x:c r="P460" s="18" t="n">
        <x:f>INDEX('Calendar'!$C$8:$C$907,K460+1)</x:f>
        <x:v>46764</x:v>
      </x:c>
      <x:c r="Q460" s="18" t="n">
        <x:f>INDEX('Calendar'!$C$8:$C$907,MAX(K460+1,L460))</x:f>
        <x:v>46769</x:v>
      </x:c>
      <x:c r="R460" s="14" t="n">
        <x:v>25795.51720412933</x:v>
      </x:c>
      <x:c r="S460" s="14"/>
      <x:c r="T460" s="14" t="n">
        <x:f>R460/J460</x:f>
        <x:v>5159.103440825866</x:v>
      </x:c>
    </x:row>
    <x:row r="461" ht="23" customHeight="1">
      <x:c r="A461" s="1" t="str">
        <x:v>T4-L11-C</x:v>
      </x:c>
      <x:c r="B461" s="1" t="str">
        <x:v>T4</x:v>
      </x:c>
      <x:c r="C461" s="1" t="str">
        <x:v>L11</x:v>
      </x:c>
      <x:c r="D461" s="1" t="str">
        <x:v>Concrete placement and finishing</x:v>
      </x:c>
      <x:c r="E461" s="1" t="str">
        <x:v>Concrete</x:v>
      </x:c>
      <x:c r="F461" s="15" t="n">
        <x:v>226.70819999999958</x:v>
      </x:c>
      <x:c r="G461" s="1" t="str">
        <x:v>m3</x:v>
      </x:c>
      <x:c r="H461" s="17" t="n">
        <x:v>170</x:v>
      </x:c>
      <x:c r="I461" s="17" t="n">
        <x:v>12</x:v>
      </x:c>
      <x:c r="J461" s="17" t="n">
        <x:f>ROUNDUP(F461/H461,0)</x:f>
        <x:v>2</x:v>
      </x:c>
      <x:c r="K461" s="1" t="n">
        <x:f>MAX(L460+0)</x:f>
        <x:v>379</x:v>
      </x:c>
      <x:c r="L461" s="1" t="n">
        <x:f>K461+J461</x:f>
        <x:v>381</x:v>
      </x:c>
      <x:c r="M461" s="1" t="n">
        <x:f>N461-J461</x:f>
        <x:v>403</x:v>
      </x:c>
      <x:c r="N461" s="1" t="n">
        <x:f>MIN(M462-0)</x:f>
        <x:v>405</x:v>
      </x:c>
      <x:c r="O461" s="1" t="n">
        <x:f>M461-K461</x:f>
        <x:v>24</x:v>
      </x:c>
      <x:c r="P461" s="19" t="n">
        <x:f>INDEX('Calendar'!$C$8:$C$907,K461+1)</x:f>
        <x:v>46770</x:v>
      </x:c>
      <x:c r="Q461" s="19" t="n">
        <x:f>INDEX('Calendar'!$C$8:$C$907,MAX(K461+1,L461))</x:f>
        <x:v>46771</x:v>
      </x:c>
      <x:c r="R461" s="15" t="n">
        <x:v>33527.39699999994</x:v>
      </x:c>
      <x:c r="S461" s="15"/>
      <x:c r="T461" s="15" t="n">
        <x:f>R461/J461</x:f>
        <x:v>16763.69849999997</x:v>
      </x:c>
    </x:row>
    <x:row r="462" ht="23" customHeight="1">
      <x:c r="A462" s="6" t="str">
        <x:v>T4-L11-H</x:v>
      </x:c>
      <x:c r="B462" s="6" t="str">
        <x:v>T4</x:v>
      </x:c>
      <x:c r="C462" s="6" t="str">
        <x:v>L11</x:v>
      </x:c>
      <x:c r="D462" s="6" t="str">
        <x:v>Curing and release hold point</x:v>
      </x:c>
      <x:c r="E462" s="6" t="str">
        <x:v>Site</x:v>
      </x:c>
      <x:c r="F462" s="14" t="n">
        <x:v>1</x:v>
      </x:c>
      <x:c r="G462" s="6" t="str">
        <x:v>hold</x:v>
      </x:c>
      <x:c r="H462" s="16" t="n">
        <x:v>1</x:v>
      </x:c>
      <x:c r="I462" s="16" t="n">
        <x:v>0</x:v>
      </x:c>
      <x:c r="J462" s="16" t="n">
        <x:f>S462</x:f>
        <x:v>5</x:v>
      </x:c>
      <x:c r="K462" s="6" t="n">
        <x:f>MAX(L461+0)</x:f>
        <x:v>381</x:v>
      </x:c>
      <x:c r="L462" s="6" t="n">
        <x:f>K462+J462</x:f>
        <x:v>386</x:v>
      </x:c>
      <x:c r="M462" s="6" t="n">
        <x:f>N462-J462</x:f>
        <x:v>405</x:v>
      </x:c>
      <x:c r="N462" s="6" t="n">
        <x:f>MIN(M463-0,M518-5)</x:f>
        <x:v>410</x:v>
      </x:c>
      <x:c r="O462" s="6" t="n">
        <x:f>M462-K462</x:f>
        <x:v>24</x:v>
      </x:c>
      <x:c r="P462" s="18" t="n">
        <x:f>INDEX('Calendar'!$C$8:$C$907,K462+1)</x:f>
        <x:v>46772</x:v>
      </x:c>
      <x:c r="Q462" s="18" t="n">
        <x:f>INDEX('Calendar'!$C$8:$C$907,MAX(K462+1,L462))</x:f>
        <x:v>46777</x:v>
      </x:c>
      <x:c r="R462" s="14" t="n">
        <x:v>0</x:v>
      </x:c>
      <x:c r="S462" s="14" t="n">
        <x:v>5</x:v>
      </x:c>
      <x:c r="T462" s="14" t="n">
        <x:f>R462/J462</x:f>
        <x:v>0</x:v>
      </x:c>
    </x:row>
    <x:row r="463" ht="23" customHeight="1">
      <x:c r="A463" s="1" t="str">
        <x:v>T4-L12-F</x:v>
      </x:c>
      <x:c r="B463" s="1" t="str">
        <x:v>T4</x:v>
      </x:c>
      <x:c r="C463" s="1" t="str">
        <x:v>L12</x:v>
      </x:c>
      <x:c r="D463" s="1" t="str">
        <x:v>Columns, core and deck formwork</x:v>
      </x:c>
      <x:c r="E463" s="1" t="str">
        <x:v>Formwork</x:v>
      </x:c>
      <x:c r="F463" s="15" t="n">
        <x:v>1222.6600000000005</x:v>
      </x:c>
      <x:c r="G463" s="1" t="str">
        <x:v>m2</x:v>
      </x:c>
      <x:c r="H463" s="17" t="n">
        <x:v>220</x:v>
      </x:c>
      <x:c r="I463" s="17" t="n">
        <x:v>18</x:v>
      </x:c>
      <x:c r="J463" s="17" t="n">
        <x:f>ROUNDUP(F463/H463,0)</x:f>
        <x:v>6</x:v>
      </x:c>
      <x:c r="K463" s="1" t="n">
        <x:f>MAX(L462+0)</x:f>
        <x:v>386</x:v>
      </x:c>
      <x:c r="L463" s="1" t="n">
        <x:f>K463+J463</x:f>
        <x:v>392</x:v>
      </x:c>
      <x:c r="M463" s="1" t="n">
        <x:f>N463-J463</x:f>
        <x:v>410</x:v>
      </x:c>
      <x:c r="N463" s="1" t="n">
        <x:f>MIN(M464-0)</x:f>
        <x:v>416</x:v>
      </x:c>
      <x:c r="O463" s="1" t="n">
        <x:f>M463-K463</x:f>
        <x:v>24</x:v>
      </x:c>
      <x:c r="P463" s="19" t="n">
        <x:f>INDEX('Calendar'!$C$8:$C$907,K463+1)</x:f>
        <x:v>46778</x:v>
      </x:c>
      <x:c r="Q463" s="19" t="n">
        <x:f>INDEX('Calendar'!$C$8:$C$907,MAX(K463+1,L463))</x:f>
        <x:v>46784</x:v>
      </x:c>
      <x:c r="R463" s="15" t="n">
        <x:v>29364.320000000007</x:v>
      </x:c>
      <x:c r="S463" s="15"/>
      <x:c r="T463" s="15" t="n">
        <x:f>R463/J463</x:f>
        <x:v>4894.053333333334</x:v>
      </x:c>
    </x:row>
    <x:row r="464" ht="23" customHeight="1">
      <x:c r="A464" s="6" t="str">
        <x:v>T4-L12-R</x:v>
      </x:c>
      <x:c r="B464" s="6" t="str">
        <x:v>T4</x:v>
      </x:c>
      <x:c r="C464" s="6" t="str">
        <x:v>L12</x:v>
      </x:c>
      <x:c r="D464" s="6" t="str">
        <x:v>Column, wall, beam and slab reinforcement</x:v>
      </x:c>
      <x:c r="E464" s="6" t="str">
        <x:v>Rebar</x:v>
      </x:c>
      <x:c r="F464" s="14" t="n">
        <x:v>29.684139475407747</x:v>
      </x:c>
      <x:c r="G464" s="6" t="str">
        <x:v>t</x:v>
      </x:c>
      <x:c r="H464" s="16" t="n">
        <x:v>7</x:v>
      </x:c>
      <x:c r="I464" s="16" t="n">
        <x:v>14</x:v>
      </x:c>
      <x:c r="J464" s="16" t="n">
        <x:f>ROUNDUP(F464/H464,0)</x:f>
        <x:v>5</x:v>
      </x:c>
      <x:c r="K464" s="6" t="n">
        <x:f>MAX(L463+0)</x:f>
        <x:v>392</x:v>
      </x:c>
      <x:c r="L464" s="6" t="n">
        <x:f>K464+J464</x:f>
        <x:v>397</x:v>
      </x:c>
      <x:c r="M464" s="6" t="n">
        <x:f>N464-J464</x:f>
        <x:v>416</x:v>
      </x:c>
      <x:c r="N464" s="6" t="n">
        <x:f>MIN(M465-0)</x:f>
        <x:v>421</x:v>
      </x:c>
      <x:c r="O464" s="6" t="n">
        <x:f>M464-K464</x:f>
        <x:v>24</x:v>
      </x:c>
      <x:c r="P464" s="18" t="n">
        <x:f>INDEX('Calendar'!$C$8:$C$907,K464+1)</x:f>
        <x:v>46785</x:v>
      </x:c>
      <x:c r="Q464" s="18" t="n">
        <x:f>INDEX('Calendar'!$C$8:$C$907,MAX(K464+1,L464))</x:f>
        <x:v>46790</x:v>
      </x:c>
      <x:c r="R464" s="14" t="n">
        <x:v>25795.51720412933</x:v>
      </x:c>
      <x:c r="S464" s="14"/>
      <x:c r="T464" s="14" t="n">
        <x:f>R464/J464</x:f>
        <x:v>5159.103440825866</x:v>
      </x:c>
    </x:row>
    <x:row r="465" ht="23" customHeight="1">
      <x:c r="A465" s="1" t="str">
        <x:v>T4-L12-C</x:v>
      </x:c>
      <x:c r="B465" s="1" t="str">
        <x:v>T4</x:v>
      </x:c>
      <x:c r="C465" s="1" t="str">
        <x:v>L12</x:v>
      </x:c>
      <x:c r="D465" s="1" t="str">
        <x:v>Concrete placement and finishing</x:v>
      </x:c>
      <x:c r="E465" s="1" t="str">
        <x:v>Concrete</x:v>
      </x:c>
      <x:c r="F465" s="15" t="n">
        <x:v>226.70819999999958</x:v>
      </x:c>
      <x:c r="G465" s="1" t="str">
        <x:v>m3</x:v>
      </x:c>
      <x:c r="H465" s="17" t="n">
        <x:v>170</x:v>
      </x:c>
      <x:c r="I465" s="17" t="n">
        <x:v>12</x:v>
      </x:c>
      <x:c r="J465" s="17" t="n">
        <x:f>ROUNDUP(F465/H465,0)</x:f>
        <x:v>2</x:v>
      </x:c>
      <x:c r="K465" s="1" t="n">
        <x:f>MAX(L464+0)</x:f>
        <x:v>397</x:v>
      </x:c>
      <x:c r="L465" s="1" t="n">
        <x:f>K465+J465</x:f>
        <x:v>399</x:v>
      </x:c>
      <x:c r="M465" s="1" t="n">
        <x:f>N465-J465</x:f>
        <x:v>421</x:v>
      </x:c>
      <x:c r="N465" s="1" t="n">
        <x:f>MIN(M466-0)</x:f>
        <x:v>423</x:v>
      </x:c>
      <x:c r="O465" s="1" t="n">
        <x:f>M465-K465</x:f>
        <x:v>24</x:v>
      </x:c>
      <x:c r="P465" s="19" t="n">
        <x:f>INDEX('Calendar'!$C$8:$C$907,K465+1)</x:f>
        <x:v>46791</x:v>
      </x:c>
      <x:c r="Q465" s="19" t="n">
        <x:f>INDEX('Calendar'!$C$8:$C$907,MAX(K465+1,L465))</x:f>
        <x:v>46792</x:v>
      </x:c>
      <x:c r="R465" s="15" t="n">
        <x:v>33527.39699999994</x:v>
      </x:c>
      <x:c r="S465" s="15"/>
      <x:c r="T465" s="15" t="n">
        <x:f>R465/J465</x:f>
        <x:v>16763.69849999997</x:v>
      </x:c>
    </x:row>
    <x:row r="466" ht="23" customHeight="1">
      <x:c r="A466" s="6" t="str">
        <x:v>T4-L12-H</x:v>
      </x:c>
      <x:c r="B466" s="6" t="str">
        <x:v>T4</x:v>
      </x:c>
      <x:c r="C466" s="6" t="str">
        <x:v>L12</x:v>
      </x:c>
      <x:c r="D466" s="6" t="str">
        <x:v>Curing and release hold point</x:v>
      </x:c>
      <x:c r="E466" s="6" t="str">
        <x:v>Site</x:v>
      </x:c>
      <x:c r="F466" s="14" t="n">
        <x:v>1</x:v>
      </x:c>
      <x:c r="G466" s="6" t="str">
        <x:v>hold</x:v>
      </x:c>
      <x:c r="H466" s="16" t="n">
        <x:v>1</x:v>
      </x:c>
      <x:c r="I466" s="16" t="n">
        <x:v>0</x:v>
      </x:c>
      <x:c r="J466" s="16" t="n">
        <x:f>S466</x:f>
        <x:v>5</x:v>
      </x:c>
      <x:c r="K466" s="6" t="n">
        <x:f>MAX(L465+0)</x:f>
        <x:v>399</x:v>
      </x:c>
      <x:c r="L466" s="6" t="n">
        <x:f>K466+J466</x:f>
        <x:v>404</x:v>
      </x:c>
      <x:c r="M466" s="6" t="n">
        <x:f>N466-J466</x:f>
        <x:v>423</x:v>
      </x:c>
      <x:c r="N466" s="6" t="n">
        <x:f>MIN(M467-5,M524-5,M530-5,M536-5,M542-5)</x:f>
        <x:v>428</x:v>
      </x:c>
      <x:c r="O466" s="6" t="n">
        <x:f>M466-K466</x:f>
        <x:v>24</x:v>
      </x:c>
      <x:c r="P466" s="18" t="n">
        <x:f>INDEX('Calendar'!$C$8:$C$907,K466+1)</x:f>
        <x:v>46793</x:v>
      </x:c>
      <x:c r="Q466" s="18" t="n">
        <x:f>INDEX('Calendar'!$C$8:$C$907,MAX(K466+1,L466))</x:f>
        <x:v>46798</x:v>
      </x:c>
      <x:c r="R466" s="14" t="n">
        <x:v>0</x:v>
      </x:c>
      <x:c r="S466" s="14" t="n">
        <x:v>5</x:v>
      </x:c>
      <x:c r="T466" s="14" t="n">
        <x:f>R466/J466</x:f>
        <x:v>0</x:v>
      </x:c>
    </x:row>
    <x:row r="467" ht="23" customHeight="1">
      <x:c r="A467" s="1" t="str">
        <x:v>T4-RF</x:v>
      </x:c>
      <x:c r="B467" s="1" t="str">
        <x:v>T4</x:v>
      </x:c>
      <x:c r="C467" s="1" t="str">
        <x:v>ROOF</x:v>
      </x:c>
      <x:c r="D467" s="1" t="str">
        <x:v>Roof membrane and weatherproofing</x:v>
      </x:c>
      <x:c r="E467" s="1" t="str">
        <x:v>Envelope</x:v>
      </x:c>
      <x:c r="F467" s="15" t="n">
        <x:v>2400</x:v>
      </x:c>
      <x:c r="G467" s="1" t="str">
        <x:v>m2</x:v>
      </x:c>
      <x:c r="H467" s="17" t="n">
        <x:v>180</x:v>
      </x:c>
      <x:c r="I467" s="17" t="n">
        <x:v>10</x:v>
      </x:c>
      <x:c r="J467" s="17" t="n">
        <x:f>ROUNDUP(F467/H467,0)</x:f>
        <x:v>14</x:v>
      </x:c>
      <x:c r="K467" s="1" t="n">
        <x:f>MAX(L466+5)</x:f>
        <x:v>409</x:v>
      </x:c>
      <x:c r="L467" s="1" t="n">
        <x:f>K467+J467</x:f>
        <x:v>423</x:v>
      </x:c>
      <x:c r="M467" s="1" t="n">
        <x:f>N467-J467</x:f>
        <x:v>438</x:v>
      </x:c>
      <x:c r="N467" s="1" t="n">
        <x:f>MIN(M469-0)</x:f>
        <x:v>452</x:v>
      </x:c>
      <x:c r="O467" s="1" t="n">
        <x:f>M467-K467</x:f>
        <x:v>29</x:v>
      </x:c>
      <x:c r="P467" s="19" t="n">
        <x:f>INDEX('Calendar'!$C$8:$C$907,K467+1)</x:f>
        <x:v>46805</x:v>
      </x:c>
      <x:c r="Q467" s="19" t="n">
        <x:f>INDEX('Calendar'!$C$8:$C$907,MAX(K467+1,L467))</x:f>
        <x:v>46820</x:v>
      </x:c>
      <x:c r="R467" s="15" t="n">
        <x:v>48000</x:v>
      </x:c>
      <x:c r="S467" s="15"/>
      <x:c r="T467" s="15" t="n">
        <x:f>R467/J467</x:f>
        <x:v>3428.5714285714284</x:v>
      </x:c>
    </x:row>
    <x:row r="468" ht="23" customHeight="1">
      <x:c r="A468" s="6" t="str">
        <x:v>T4-FA</x:v>
      </x:c>
      <x:c r="B468" s="6" t="str">
        <x:v>T4</x:v>
      </x:c>
      <x:c r="C468" s="6" t="str">
        <x:v>ALL</x:v>
      </x:c>
      <x:c r="D468" s="6" t="str">
        <x:v>Insulated facade installation</x:v>
      </x:c>
      <x:c r="E468" s="6" t="str">
        <x:v>Envelope</x:v>
      </x:c>
      <x:c r="F468" s="14" t="n">
        <x:v>3234.8159999999993</x:v>
      </x:c>
      <x:c r="G468" s="6" t="str">
        <x:v>m2</x:v>
      </x:c>
      <x:c r="H468" s="16" t="n">
        <x:v>150</x:v>
      </x:c>
      <x:c r="I468" s="16" t="n">
        <x:v>16</x:v>
      </x:c>
      <x:c r="J468" s="16" t="n">
        <x:f>ROUNDUP(F468/H468,0)</x:f>
        <x:v>22</x:v>
      </x:c>
      <x:c r="K468" s="6" t="n">
        <x:f>MAX(L450+10)</x:f>
        <x:v>342</x:v>
      </x:c>
      <x:c r="L468" s="6" t="n">
        <x:f>K468+J468</x:f>
        <x:v>364</x:v>
      </x:c>
      <x:c r="M468" s="6" t="n">
        <x:f>N468-J468</x:f>
        <x:v>430</x:v>
      </x:c>
      <x:c r="N468" s="6" t="n">
        <x:f>MIN(M469-0)</x:f>
        <x:v>452</x:v>
      </x:c>
      <x:c r="O468" s="6" t="n">
        <x:f>M468-K468</x:f>
        <x:v>88</x:v>
      </x:c>
      <x:c r="P468" s="18" t="n">
        <x:f>INDEX('Calendar'!$C$8:$C$907,K468+1)</x:f>
        <x:v>46727</x:v>
      </x:c>
      <x:c r="Q468" s="18" t="n">
        <x:f>INDEX('Calendar'!$C$8:$C$907,MAX(K468+1,L468))</x:f>
        <x:v>46751</x:v>
      </x:c>
      <x:c r="R468" s="14" t="n">
        <x:v>271724.54399999994</x:v>
      </x:c>
      <x:c r="S468" s="14"/>
      <x:c r="T468" s="14" t="n">
        <x:f>R468/J468</x:f>
        <x:v>12351.115636363633</x:v>
      </x:c>
    </x:row>
    <x:row r="469" ht="23" customHeight="1">
      <x:c r="A469" s="1" t="str">
        <x:v>T4-GL</x:v>
      </x:c>
      <x:c r="B469" s="1" t="str">
        <x:v>T4</x:v>
      </x:c>
      <x:c r="C469" s="1" t="str">
        <x:v>ALL</x:v>
      </x:c>
      <x:c r="D469" s="1" t="str">
        <x:v>Glazing and frame installation</x:v>
      </x:c>
      <x:c r="E469" s="1" t="str">
        <x:v>Envelope</x:v>
      </x:c>
      <x:c r="F469" s="15" t="n">
        <x:v>1257.9840000000002</x:v>
      </x:c>
      <x:c r="G469" s="1" t="str">
        <x:v>m2</x:v>
      </x:c>
      <x:c r="H469" s="17" t="n">
        <x:v>90</x:v>
      </x:c>
      <x:c r="I469" s="17" t="n">
        <x:v>12</x:v>
      </x:c>
      <x:c r="J469" s="17" t="n">
        <x:f>ROUNDUP(F469/H469,0)</x:f>
        <x:v>14</x:v>
      </x:c>
      <x:c r="K469" s="1" t="n">
        <x:f>MAX(L468+0,L467+0)</x:f>
        <x:v>423</x:v>
      </x:c>
      <x:c r="L469" s="1" t="n">
        <x:f>K469+J469</x:f>
        <x:v>437</x:v>
      </x:c>
      <x:c r="M469" s="1" t="n">
        <x:f>N469-J469</x:f>
        <x:v>452</x:v>
      </x:c>
      <x:c r="N469" s="1" t="n">
        <x:f>MIN(M473-0,M479-0,M485-0,M491-0,M497-0,M503-0,M509-0,M515-0,M521-0,M527-0,M533-0,M539-0,M545-0)</x:f>
        <x:v>466</x:v>
      </x:c>
      <x:c r="O469" s="1" t="n">
        <x:f>M469-K469</x:f>
        <x:v>29</x:v>
      </x:c>
      <x:c r="P469" s="19" t="n">
        <x:f>INDEX('Calendar'!$C$8:$C$907,K469+1)</x:f>
        <x:v>46821</x:v>
      </x:c>
      <x:c r="Q469" s="19" t="n">
        <x:f>INDEX('Calendar'!$C$8:$C$907,MAX(K469+1,L469))</x:f>
        <x:v>46836</x:v>
      </x:c>
      <x:c r="R469" s="15" t="n">
        <x:v>276756.48000000004</x:v>
      </x:c>
      <x:c r="S469" s="15"/>
      <x:c r="T469" s="15" t="n">
        <x:f>R469/J469</x:f>
        <x:v>19768.320000000003</x:v>
      </x:c>
    </x:row>
    <x:row r="470" ht="23" customHeight="1">
      <x:c r="A470" s="6" t="str">
        <x:v>T4-L00-M</x:v>
      </x:c>
      <x:c r="B470" s="6" t="str">
        <x:v>T4</x:v>
      </x:c>
      <x:c r="C470" s="6" t="str">
        <x:v>L00</x:v>
      </x:c>
      <x:c r="D470" s="6" t="str">
        <x:v>Partition masonry</x:v>
      </x:c>
      <x:c r="E470" s="6" t="str">
        <x:v>Masonry</x:v>
      </x:c>
      <x:c r="F470" s="14" t="n">
        <x:v>90.40200000000002</x:v>
      </x:c>
      <x:c r="G470" s="6" t="str">
        <x:v>m3</x:v>
      </x:c>
      <x:c r="H470" s="16" t="n">
        <x:v>22</x:v>
      </x:c>
      <x:c r="I470" s="16" t="n">
        <x:v>10</x:v>
      </x:c>
      <x:c r="J470" s="16" t="n">
        <x:f>ROUNDUP(F470/H470,0)</x:f>
        <x:v>5</x:v>
      </x:c>
      <x:c r="K470" s="6" t="n">
        <x:f>MAX(L430+5)</x:f>
        <x:v>247</x:v>
      </x:c>
      <x:c r="L470" s="6" t="n">
        <x:f>K470+J470</x:f>
        <x:v>252</x:v>
      </x:c>
      <x:c r="M470" s="6" t="n">
        <x:f>N470-J470</x:f>
        <x:v>433</x:v>
      </x:c>
      <x:c r="N470" s="6" t="n">
        <x:f>MIN(M471-3)</x:f>
        <x:v>438</x:v>
      </x:c>
      <x:c r="O470" s="6" t="n">
        <x:f>M470-K470</x:f>
        <x:v>186</x:v>
      </x:c>
      <x:c r="P470" s="18" t="n">
        <x:f>INDEX('Calendar'!$C$8:$C$907,K470+1)</x:f>
        <x:v>46616</x:v>
      </x:c>
      <x:c r="Q470" s="18" t="n">
        <x:f>INDEX('Calendar'!$C$8:$C$907,MAX(K470+1,L470))</x:f>
        <x:v>46620</x:v>
      </x:c>
      <x:c r="R470" s="14" t="n">
        <x:v>12204.27</x:v>
      </x:c>
      <x:c r="S470" s="14"/>
      <x:c r="T470" s="14" t="n">
        <x:f>R470/J470</x:f>
        <x:v>2440.8540000000003</x:v>
      </x:c>
    </x:row>
    <x:row r="471" ht="23" customHeight="1">
      <x:c r="A471" s="1" t="str">
        <x:v>T4-L00-P</x:v>
      </x:c>
      <x:c r="B471" s="1" t="str">
        <x:v>T4</x:v>
      </x:c>
      <x:c r="C471" s="1" t="str">
        <x:v>L00</x:v>
      </x:c>
      <x:c r="D471" s="1" t="str">
        <x:v>Internal plaster</x:v>
      </x:c>
      <x:c r="E471" s="1" t="str">
        <x:v>Finishes</x:v>
      </x:c>
      <x:c r="F471" s="15" t="n">
        <x:v>1205.3600000000006</x:v>
      </x:c>
      <x:c r="G471" s="1" t="str">
        <x:v>m2</x:v>
      </x:c>
      <x:c r="H471" s="17" t="n">
        <x:v>220</x:v>
      </x:c>
      <x:c r="I471" s="17" t="n">
        <x:v>10</x:v>
      </x:c>
      <x:c r="J471" s="17" t="n">
        <x:f>ROUNDUP(F471/H471,0)</x:f>
        <x:v>6</x:v>
      </x:c>
      <x:c r="K471" s="1" t="n">
        <x:f>MAX(L470+3)</x:f>
        <x:v>255</x:v>
      </x:c>
      <x:c r="L471" s="1" t="n">
        <x:f>K471+J471</x:f>
        <x:v>261</x:v>
      </x:c>
      <x:c r="M471" s="1" t="n">
        <x:f>N471-J471</x:f>
        <x:v>441</x:v>
      </x:c>
      <x:c r="N471" s="1" t="n">
        <x:f>MIN(M472-2)</x:f>
        <x:v>447</x:v>
      </x:c>
      <x:c r="O471" s="1" t="n">
        <x:f>M471-K471</x:f>
        <x:v>186</x:v>
      </x:c>
      <x:c r="P471" s="19" t="n">
        <x:f>INDEX('Calendar'!$C$8:$C$907,K471+1)</x:f>
        <x:v>46625</x:v>
      </x:c>
      <x:c r="Q471" s="19" t="n">
        <x:f>INDEX('Calendar'!$C$8:$C$907,MAX(K471+1,L471))</x:f>
        <x:v>46631</x:v>
      </x:c>
      <x:c r="R471" s="15" t="n">
        <x:v>15067.000000000005</x:v>
      </x:c>
      <x:c r="S471" s="15"/>
      <x:c r="T471" s="15" t="n">
        <x:f>R471/J471</x:f>
        <x:v>2511.1666666666674</x:v>
      </x:c>
    </x:row>
    <x:row r="472" ht="23" customHeight="1">
      <x:c r="A472" s="6" t="str">
        <x:v>T4-L00-S</x:v>
      </x:c>
      <x:c r="B472" s="6" t="str">
        <x:v>T4</x:v>
      </x:c>
      <x:c r="C472" s="6" t="str">
        <x:v>L00</x:v>
      </x:c>
      <x:c r="D472" s="6" t="str">
        <x:v>Screed and substrate preparation</x:v>
      </x:c>
      <x:c r="E472" s="6" t="str">
        <x:v>Finishes</x:v>
      </x:c>
      <x:c r="F472" s="14" t="n">
        <x:v>696</x:v>
      </x:c>
      <x:c r="G472" s="6" t="str">
        <x:v>m2</x:v>
      </x:c>
      <x:c r="H472" s="16" t="n">
        <x:v>240</x:v>
      </x:c>
      <x:c r="I472" s="16" t="n">
        <x:v>8</x:v>
      </x:c>
      <x:c r="J472" s="16" t="n">
        <x:f>ROUNDUP(F472/H472,0)</x:f>
        <x:v>3</x:v>
      </x:c>
      <x:c r="K472" s="6" t="n">
        <x:f>MAX(L471+2)</x:f>
        <x:v>263</x:v>
      </x:c>
      <x:c r="L472" s="6" t="n">
        <x:f>K472+J472</x:f>
        <x:v>266</x:v>
      </x:c>
      <x:c r="M472" s="6" t="n">
        <x:f>N472-J472</x:f>
        <x:v>449</x:v>
      </x:c>
      <x:c r="N472" s="6" t="n">
        <x:f>MIN(M473-14)</x:f>
        <x:v>452</x:v>
      </x:c>
      <x:c r="O472" s="6" t="n">
        <x:f>M472-K472</x:f>
        <x:v>186</x:v>
      </x:c>
      <x:c r="P472" s="18" t="n">
        <x:f>INDEX('Calendar'!$C$8:$C$907,K472+1)</x:f>
        <x:v>46634</x:v>
      </x:c>
      <x:c r="Q472" s="18" t="n">
        <x:f>INDEX('Calendar'!$C$8:$C$907,MAX(K472+1,L472))</x:f>
        <x:v>46637</x:v>
      </x:c>
      <x:c r="R472" s="14" t="n">
        <x:v>9048</x:v>
      </x:c>
      <x:c r="S472" s="14"/>
      <x:c r="T472" s="14" t="n">
        <x:f>R472/J472</x:f>
        <x:v>3016</x:v>
      </x:c>
    </x:row>
    <x:row r="473" ht="23" customHeight="1">
      <x:c r="A473" s="1" t="str">
        <x:v>T4-L00-T</x:v>
      </x:c>
      <x:c r="B473" s="1" t="str">
        <x:v>T4</x:v>
      </x:c>
      <x:c r="C473" s="1" t="str">
        <x:v>L00</x:v>
      </x:c>
      <x:c r="D473" s="1" t="str">
        <x:v>Floor finishes and skirtings</x:v>
      </x:c>
      <x:c r="E473" s="1" t="str">
        <x:v>Finishes</x:v>
      </x:c>
      <x:c r="F473" s="15" t="n">
        <x:v>696</x:v>
      </x:c>
      <x:c r="G473" s="1" t="str">
        <x:v>m2</x:v>
      </x:c>
      <x:c r="H473" s="17" t="n">
        <x:v>130</x:v>
      </x:c>
      <x:c r="I473" s="17" t="n">
        <x:v>8</x:v>
      </x:c>
      <x:c r="J473" s="17" t="n">
        <x:f>ROUNDUP(F473/H473,0)</x:f>
        <x:v>6</x:v>
      </x:c>
      <x:c r="K473" s="1" t="n">
        <x:f>MAX(L472+14,L469+0)</x:f>
        <x:v>437</x:v>
      </x:c>
      <x:c r="L473" s="1" t="n">
        <x:f>K473+J473</x:f>
        <x:v>443</x:v>
      </x:c>
      <x:c r="M473" s="1" t="n">
        <x:f>N473-J473</x:f>
        <x:v>466</x:v>
      </x:c>
      <x:c r="N473" s="1" t="n">
        <x:f>MIN(M474-2)</x:f>
        <x:v>472</x:v>
      </x:c>
      <x:c r="O473" s="1" t="n">
        <x:f>M473-K473</x:f>
        <x:v>29</x:v>
      </x:c>
      <x:c r="P473" s="19" t="n">
        <x:f>INDEX('Calendar'!$C$8:$C$907,K473+1)</x:f>
        <x:v>46837</x:v>
      </x:c>
      <x:c r="Q473" s="19" t="n">
        <x:f>INDEX('Calendar'!$C$8:$C$907,MAX(K473+1,L473))</x:f>
        <x:v>46843</x:v>
      </x:c>
      <x:c r="R473" s="15" t="n">
        <x:v>24012</x:v>
      </x:c>
      <x:c r="S473" s="15"/>
      <x:c r="T473" s="15" t="n">
        <x:f>R473/J473</x:f>
        <x:v>4002</x:v>
      </x:c>
    </x:row>
    <x:row r="474" ht="23" customHeight="1">
      <x:c r="A474" s="6" t="str">
        <x:v>T4-L00-A</x:v>
      </x:c>
      <x:c r="B474" s="6" t="str">
        <x:v>T4</x:v>
      </x:c>
      <x:c r="C474" s="6" t="str">
        <x:v>L00</x:v>
      </x:c>
      <x:c r="D474" s="6" t="str">
        <x:v>Paint and final decorations</x:v>
      </x:c>
      <x:c r="E474" s="6" t="str">
        <x:v>Finishes</x:v>
      </x:c>
      <x:c r="F474" s="14" t="n">
        <x:v>1205.3600000000004</x:v>
      </x:c>
      <x:c r="G474" s="6" t="str">
        <x:v>m2</x:v>
      </x:c>
      <x:c r="H474" s="16" t="n">
        <x:v>270</x:v>
      </x:c>
      <x:c r="I474" s="16" t="n">
        <x:v>8</x:v>
      </x:c>
      <x:c r="J474" s="16" t="n">
        <x:f>ROUNDUP(F474/H474,0)</x:f>
        <x:v>5</x:v>
      </x:c>
      <x:c r="K474" s="6" t="n">
        <x:f>MAX(L473+2)</x:f>
        <x:v>445</x:v>
      </x:c>
      <x:c r="L474" s="6" t="n">
        <x:f>K474+J474</x:f>
        <x:v>450</x:v>
      </x:c>
      <x:c r="M474" s="6" t="n">
        <x:f>N474-J474</x:f>
        <x:v>474</x:v>
      </x:c>
      <x:c r="N474" s="6" t="n">
        <x:f>MIN(M475-0)</x:f>
        <x:v>479</x:v>
      </x:c>
      <x:c r="O474" s="6" t="n">
        <x:f>M474-K474</x:f>
        <x:v>29</x:v>
      </x:c>
      <x:c r="P474" s="18" t="n">
        <x:f>INDEX('Calendar'!$C$8:$C$907,K474+1)</x:f>
        <x:v>46847</x:v>
      </x:c>
      <x:c r="Q474" s="18" t="n">
        <x:f>INDEX('Calendar'!$C$8:$C$907,MAX(K474+1,L474))</x:f>
        <x:v>46851</x:v>
      </x:c>
      <x:c r="R474" s="14" t="n">
        <x:v>10245.560000000003</x:v>
      </x:c>
      <x:c r="S474" s="14"/>
      <x:c r="T474" s="14" t="n">
        <x:f>R474/J474</x:f>
        <x:v>2049.1120000000005</x:v>
      </x:c>
    </x:row>
    <x:row r="475" ht="23" customHeight="1">
      <x:c r="A475" s="1" t="str">
        <x:v>T4-L00-D</x:v>
      </x:c>
      <x:c r="B475" s="1" t="str">
        <x:v>T4</x:v>
      </x:c>
      <x:c r="C475" s="1" t="str">
        <x:v>L00</x:v>
      </x:c>
      <x:c r="D475" s="1" t="str">
        <x:v>Door sets and ironmongery</x:v>
      </x:c>
      <x:c r="E475" s="1" t="str">
        <x:v>Finishes</x:v>
      </x:c>
      <x:c r="F475" s="15" t="n">
        <x:v>28</x:v>
      </x:c>
      <x:c r="G475" s="1" t="str">
        <x:v>nr</x:v>
      </x:c>
      <x:c r="H475" s="17" t="n">
        <x:v>10</x:v>
      </x:c>
      <x:c r="I475" s="17" t="n">
        <x:v>4</x:v>
      </x:c>
      <x:c r="J475" s="17" t="n">
        <x:f>ROUNDUP(F475/H475,0)</x:f>
        <x:v>3</x:v>
      </x:c>
      <x:c r="K475" s="1" t="n">
        <x:f>MAX(L474+0)</x:f>
        <x:v>450</x:v>
      </x:c>
      <x:c r="L475" s="1" t="n">
        <x:f>K475+J475</x:f>
        <x:v>453</x:v>
      </x:c>
      <x:c r="M475" s="1" t="n">
        <x:f>N475-J475</x:f>
        <x:v>479</x:v>
      </x:c>
      <x:c r="N475" s="1" t="n">
        <x:f>MIN(M816-0)</x:f>
        <x:v>482</x:v>
      </x:c>
      <x:c r="O475" s="1" t="n">
        <x:f>M475-K475</x:f>
        <x:v>29</x:v>
      </x:c>
      <x:c r="P475" s="19" t="n">
        <x:f>INDEX('Calendar'!$C$8:$C$907,K475+1)</x:f>
        <x:v>46853</x:v>
      </x:c>
      <x:c r="Q475" s="19" t="n">
        <x:f>INDEX('Calendar'!$C$8:$C$907,MAX(K475+1,L475))</x:f>
        <x:v>46855</x:v>
      </x:c>
      <x:c r="R475" s="15" t="n">
        <x:v>5796</x:v>
      </x:c>
      <x:c r="S475" s="15"/>
      <x:c r="T475" s="15" t="n">
        <x:f>R475/J475</x:f>
        <x:v>1932</x:v>
      </x:c>
    </x:row>
    <x:row r="476" ht="23" customHeight="1">
      <x:c r="A476" s="6" t="str">
        <x:v>T4-L01-M</x:v>
      </x:c>
      <x:c r="B476" s="6" t="str">
        <x:v>T4</x:v>
      </x:c>
      <x:c r="C476" s="6" t="str">
        <x:v>L01</x:v>
      </x:c>
      <x:c r="D476" s="6" t="str">
        <x:v>Partition masonry</x:v>
      </x:c>
      <x:c r="E476" s="6" t="str">
        <x:v>Masonry</x:v>
      </x:c>
      <x:c r="F476" s="14" t="n">
        <x:v>90.40200000000002</x:v>
      </x:c>
      <x:c r="G476" s="6" t="str">
        <x:v>m3</x:v>
      </x:c>
      <x:c r="H476" s="16" t="n">
        <x:v>22</x:v>
      </x:c>
      <x:c r="I476" s="16" t="n">
        <x:v>10</x:v>
      </x:c>
      <x:c r="J476" s="16" t="n">
        <x:f>ROUNDUP(F476/H476,0)</x:f>
        <x:v>5</x:v>
      </x:c>
      <x:c r="K476" s="6" t="n">
        <x:f>MAX(L434+5)</x:f>
        <x:v>265</x:v>
      </x:c>
      <x:c r="L476" s="6" t="n">
        <x:f>K476+J476</x:f>
        <x:v>270</x:v>
      </x:c>
      <x:c r="M476" s="6" t="n">
        <x:f>N476-J476</x:f>
        <x:v>433</x:v>
      </x:c>
      <x:c r="N476" s="6" t="n">
        <x:f>MIN(M477-3)</x:f>
        <x:v>438</x:v>
      </x:c>
      <x:c r="O476" s="6" t="n">
        <x:f>M476-K476</x:f>
        <x:v>168</x:v>
      </x:c>
      <x:c r="P476" s="18" t="n">
        <x:f>INDEX('Calendar'!$C$8:$C$907,K476+1)</x:f>
        <x:v>46637</x:v>
      </x:c>
      <x:c r="Q476" s="18" t="n">
        <x:f>INDEX('Calendar'!$C$8:$C$907,MAX(K476+1,L476))</x:f>
        <x:v>46641</x:v>
      </x:c>
      <x:c r="R476" s="14" t="n">
        <x:v>12204.27</x:v>
      </x:c>
      <x:c r="S476" s="14"/>
      <x:c r="T476" s="14" t="n">
        <x:f>R476/J476</x:f>
        <x:v>2440.8540000000003</x:v>
      </x:c>
    </x:row>
    <x:row r="477" ht="23" customHeight="1">
      <x:c r="A477" s="1" t="str">
        <x:v>T4-L01-P</x:v>
      </x:c>
      <x:c r="B477" s="1" t="str">
        <x:v>T4</x:v>
      </x:c>
      <x:c r="C477" s="1" t="str">
        <x:v>L01</x:v>
      </x:c>
      <x:c r="D477" s="1" t="str">
        <x:v>Internal plaster</x:v>
      </x:c>
      <x:c r="E477" s="1" t="str">
        <x:v>Finishes</x:v>
      </x:c>
      <x:c r="F477" s="15" t="n">
        <x:v>1205.3600000000006</x:v>
      </x:c>
      <x:c r="G477" s="1" t="str">
        <x:v>m2</x:v>
      </x:c>
      <x:c r="H477" s="17" t="n">
        <x:v>220</x:v>
      </x:c>
      <x:c r="I477" s="17" t="n">
        <x:v>10</x:v>
      </x:c>
      <x:c r="J477" s="17" t="n">
        <x:f>ROUNDUP(F477/H477,0)</x:f>
        <x:v>6</x:v>
      </x:c>
      <x:c r="K477" s="1" t="n">
        <x:f>MAX(L476+3)</x:f>
        <x:v>273</x:v>
      </x:c>
      <x:c r="L477" s="1" t="n">
        <x:f>K477+J477</x:f>
        <x:v>279</x:v>
      </x:c>
      <x:c r="M477" s="1" t="n">
        <x:f>N477-J477</x:f>
        <x:v>441</x:v>
      </x:c>
      <x:c r="N477" s="1" t="n">
        <x:f>MIN(M478-2)</x:f>
        <x:v>447</x:v>
      </x:c>
      <x:c r="O477" s="1" t="n">
        <x:f>M477-K477</x:f>
        <x:v>168</x:v>
      </x:c>
      <x:c r="P477" s="19" t="n">
        <x:f>INDEX('Calendar'!$C$8:$C$907,K477+1)</x:f>
        <x:v>46646</x:v>
      </x:c>
      <x:c r="Q477" s="19" t="n">
        <x:f>INDEX('Calendar'!$C$8:$C$907,MAX(K477+1,L477))</x:f>
        <x:v>46652</x:v>
      </x:c>
      <x:c r="R477" s="15" t="n">
        <x:v>15067.000000000005</x:v>
      </x:c>
      <x:c r="S477" s="15"/>
      <x:c r="T477" s="15" t="n">
        <x:f>R477/J477</x:f>
        <x:v>2511.1666666666674</x:v>
      </x:c>
    </x:row>
    <x:row r="478" ht="23" customHeight="1">
      <x:c r="A478" s="6" t="str">
        <x:v>T4-L01-S</x:v>
      </x:c>
      <x:c r="B478" s="6" t="str">
        <x:v>T4</x:v>
      </x:c>
      <x:c r="C478" s="6" t="str">
        <x:v>L01</x:v>
      </x:c>
      <x:c r="D478" s="6" t="str">
        <x:v>Screed and substrate preparation</x:v>
      </x:c>
      <x:c r="E478" s="6" t="str">
        <x:v>Finishes</x:v>
      </x:c>
      <x:c r="F478" s="14" t="n">
        <x:v>696</x:v>
      </x:c>
      <x:c r="G478" s="6" t="str">
        <x:v>m2</x:v>
      </x:c>
      <x:c r="H478" s="16" t="n">
        <x:v>240</x:v>
      </x:c>
      <x:c r="I478" s="16" t="n">
        <x:v>8</x:v>
      </x:c>
      <x:c r="J478" s="16" t="n">
        <x:f>ROUNDUP(F478/H478,0)</x:f>
        <x:v>3</x:v>
      </x:c>
      <x:c r="K478" s="6" t="n">
        <x:f>MAX(L477+2)</x:f>
        <x:v>281</x:v>
      </x:c>
      <x:c r="L478" s="6" t="n">
        <x:f>K478+J478</x:f>
        <x:v>284</x:v>
      </x:c>
      <x:c r="M478" s="6" t="n">
        <x:f>N478-J478</x:f>
        <x:v>449</x:v>
      </x:c>
      <x:c r="N478" s="6" t="n">
        <x:f>MIN(M479-14)</x:f>
        <x:v>452</x:v>
      </x:c>
      <x:c r="O478" s="6" t="n">
        <x:f>M478-K478</x:f>
        <x:v>168</x:v>
      </x:c>
      <x:c r="P478" s="18" t="n">
        <x:f>INDEX('Calendar'!$C$8:$C$907,K478+1)</x:f>
        <x:v>46655</x:v>
      </x:c>
      <x:c r="Q478" s="18" t="n">
        <x:f>INDEX('Calendar'!$C$8:$C$907,MAX(K478+1,L478))</x:f>
        <x:v>46658</x:v>
      </x:c>
      <x:c r="R478" s="14" t="n">
        <x:v>9048</x:v>
      </x:c>
      <x:c r="S478" s="14"/>
      <x:c r="T478" s="14" t="n">
        <x:f>R478/J478</x:f>
        <x:v>3016</x:v>
      </x:c>
    </x:row>
    <x:row r="479" ht="23" customHeight="1">
      <x:c r="A479" s="1" t="str">
        <x:v>T4-L01-T</x:v>
      </x:c>
      <x:c r="B479" s="1" t="str">
        <x:v>T4</x:v>
      </x:c>
      <x:c r="C479" s="1" t="str">
        <x:v>L01</x:v>
      </x:c>
      <x:c r="D479" s="1" t="str">
        <x:v>Floor finishes and skirtings</x:v>
      </x:c>
      <x:c r="E479" s="1" t="str">
        <x:v>Finishes</x:v>
      </x:c>
      <x:c r="F479" s="15" t="n">
        <x:v>696</x:v>
      </x:c>
      <x:c r="G479" s="1" t="str">
        <x:v>m2</x:v>
      </x:c>
      <x:c r="H479" s="17" t="n">
        <x:v>130</x:v>
      </x:c>
      <x:c r="I479" s="17" t="n">
        <x:v>8</x:v>
      </x:c>
      <x:c r="J479" s="17" t="n">
        <x:f>ROUNDUP(F479/H479,0)</x:f>
        <x:v>6</x:v>
      </x:c>
      <x:c r="K479" s="1" t="n">
        <x:f>MAX(L478+14,L469+0)</x:f>
        <x:v>437</x:v>
      </x:c>
      <x:c r="L479" s="1" t="n">
        <x:f>K479+J479</x:f>
        <x:v>443</x:v>
      </x:c>
      <x:c r="M479" s="1" t="n">
        <x:f>N479-J479</x:f>
        <x:v>466</x:v>
      </x:c>
      <x:c r="N479" s="1" t="n">
        <x:f>MIN(M480-2)</x:f>
        <x:v>472</x:v>
      </x:c>
      <x:c r="O479" s="1" t="n">
        <x:f>M479-K479</x:f>
        <x:v>29</x:v>
      </x:c>
      <x:c r="P479" s="19" t="n">
        <x:f>INDEX('Calendar'!$C$8:$C$907,K479+1)</x:f>
        <x:v>46837</x:v>
      </x:c>
      <x:c r="Q479" s="19" t="n">
        <x:f>INDEX('Calendar'!$C$8:$C$907,MAX(K479+1,L479))</x:f>
        <x:v>46843</x:v>
      </x:c>
      <x:c r="R479" s="15" t="n">
        <x:v>24012</x:v>
      </x:c>
      <x:c r="S479" s="15"/>
      <x:c r="T479" s="15" t="n">
        <x:f>R479/J479</x:f>
        <x:v>4002</x:v>
      </x:c>
    </x:row>
    <x:row r="480" ht="23" customHeight="1">
      <x:c r="A480" s="6" t="str">
        <x:v>T4-L01-A</x:v>
      </x:c>
      <x:c r="B480" s="6" t="str">
        <x:v>T4</x:v>
      </x:c>
      <x:c r="C480" s="6" t="str">
        <x:v>L01</x:v>
      </x:c>
      <x:c r="D480" s="6" t="str">
        <x:v>Paint and final decorations</x:v>
      </x:c>
      <x:c r="E480" s="6" t="str">
        <x:v>Finishes</x:v>
      </x:c>
      <x:c r="F480" s="14" t="n">
        <x:v>1205.3600000000004</x:v>
      </x:c>
      <x:c r="G480" s="6" t="str">
        <x:v>m2</x:v>
      </x:c>
      <x:c r="H480" s="16" t="n">
        <x:v>270</x:v>
      </x:c>
      <x:c r="I480" s="16" t="n">
        <x:v>8</x:v>
      </x:c>
      <x:c r="J480" s="16" t="n">
        <x:f>ROUNDUP(F480/H480,0)</x:f>
        <x:v>5</x:v>
      </x:c>
      <x:c r="K480" s="6" t="n">
        <x:f>MAX(L479+2)</x:f>
        <x:v>445</x:v>
      </x:c>
      <x:c r="L480" s="6" t="n">
        <x:f>K480+J480</x:f>
        <x:v>450</x:v>
      </x:c>
      <x:c r="M480" s="6" t="n">
        <x:f>N480-J480</x:f>
        <x:v>474</x:v>
      </x:c>
      <x:c r="N480" s="6" t="n">
        <x:f>MIN(M481-0)</x:f>
        <x:v>479</x:v>
      </x:c>
      <x:c r="O480" s="6" t="n">
        <x:f>M480-K480</x:f>
        <x:v>29</x:v>
      </x:c>
      <x:c r="P480" s="18" t="n">
        <x:f>INDEX('Calendar'!$C$8:$C$907,K480+1)</x:f>
        <x:v>46847</x:v>
      </x:c>
      <x:c r="Q480" s="18" t="n">
        <x:f>INDEX('Calendar'!$C$8:$C$907,MAX(K480+1,L480))</x:f>
        <x:v>46851</x:v>
      </x:c>
      <x:c r="R480" s="14" t="n">
        <x:v>10245.560000000003</x:v>
      </x:c>
      <x:c r="S480" s="14"/>
      <x:c r="T480" s="14" t="n">
        <x:f>R480/J480</x:f>
        <x:v>2049.1120000000005</x:v>
      </x:c>
    </x:row>
    <x:row r="481" ht="23" customHeight="1">
      <x:c r="A481" s="1" t="str">
        <x:v>T4-L01-D</x:v>
      </x:c>
      <x:c r="B481" s="1" t="str">
        <x:v>T4</x:v>
      </x:c>
      <x:c r="C481" s="1" t="str">
        <x:v>L01</x:v>
      </x:c>
      <x:c r="D481" s="1" t="str">
        <x:v>Door sets and ironmongery</x:v>
      </x:c>
      <x:c r="E481" s="1" t="str">
        <x:v>Finishes</x:v>
      </x:c>
      <x:c r="F481" s="15" t="n">
        <x:v>28</x:v>
      </x:c>
      <x:c r="G481" s="1" t="str">
        <x:v>nr</x:v>
      </x:c>
      <x:c r="H481" s="17" t="n">
        <x:v>10</x:v>
      </x:c>
      <x:c r="I481" s="17" t="n">
        <x:v>4</x:v>
      </x:c>
      <x:c r="J481" s="17" t="n">
        <x:f>ROUNDUP(F481/H481,0)</x:f>
        <x:v>3</x:v>
      </x:c>
      <x:c r="K481" s="1" t="n">
        <x:f>MAX(L480+0)</x:f>
        <x:v>450</x:v>
      </x:c>
      <x:c r="L481" s="1" t="n">
        <x:f>K481+J481</x:f>
        <x:v>453</x:v>
      </x:c>
      <x:c r="M481" s="1" t="n">
        <x:f>N481-J481</x:f>
        <x:v>479</x:v>
      </x:c>
      <x:c r="N481" s="1" t="n">
        <x:f>MIN(M816-0)</x:f>
        <x:v>482</x:v>
      </x:c>
      <x:c r="O481" s="1" t="n">
        <x:f>M481-K481</x:f>
        <x:v>29</x:v>
      </x:c>
      <x:c r="P481" s="19" t="n">
        <x:f>INDEX('Calendar'!$C$8:$C$907,K481+1)</x:f>
        <x:v>46853</x:v>
      </x:c>
      <x:c r="Q481" s="19" t="n">
        <x:f>INDEX('Calendar'!$C$8:$C$907,MAX(K481+1,L481))</x:f>
        <x:v>46855</x:v>
      </x:c>
      <x:c r="R481" s="15" t="n">
        <x:v>5796</x:v>
      </x:c>
      <x:c r="S481" s="15"/>
      <x:c r="T481" s="15" t="n">
        <x:f>R481/J481</x:f>
        <x:v>1932</x:v>
      </x:c>
    </x:row>
    <x:row r="482" ht="23" customHeight="1">
      <x:c r="A482" s="6" t="str">
        <x:v>T4-L02-M</x:v>
      </x:c>
      <x:c r="B482" s="6" t="str">
        <x:v>T4</x:v>
      </x:c>
      <x:c r="C482" s="6" t="str">
        <x:v>L02</x:v>
      </x:c>
      <x:c r="D482" s="6" t="str">
        <x:v>Partition masonry</x:v>
      </x:c>
      <x:c r="E482" s="6" t="str">
        <x:v>Masonry</x:v>
      </x:c>
      <x:c r="F482" s="14" t="n">
        <x:v>90.40200000000002</x:v>
      </x:c>
      <x:c r="G482" s="6" t="str">
        <x:v>m3</x:v>
      </x:c>
      <x:c r="H482" s="16" t="n">
        <x:v>22</x:v>
      </x:c>
      <x:c r="I482" s="16" t="n">
        <x:v>10</x:v>
      </x:c>
      <x:c r="J482" s="16" t="n">
        <x:f>ROUNDUP(F482/H482,0)</x:f>
        <x:v>5</x:v>
      </x:c>
      <x:c r="K482" s="6" t="n">
        <x:f>MAX(L438+5)</x:f>
        <x:v>283</x:v>
      </x:c>
      <x:c r="L482" s="6" t="n">
        <x:f>K482+J482</x:f>
        <x:v>288</x:v>
      </x:c>
      <x:c r="M482" s="6" t="n">
        <x:f>N482-J482</x:f>
        <x:v>433</x:v>
      </x:c>
      <x:c r="N482" s="6" t="n">
        <x:f>MIN(M483-3)</x:f>
        <x:v>438</x:v>
      </x:c>
      <x:c r="O482" s="6" t="n">
        <x:f>M482-K482</x:f>
        <x:v>150</x:v>
      </x:c>
      <x:c r="P482" s="18" t="n">
        <x:f>INDEX('Calendar'!$C$8:$C$907,K482+1)</x:f>
        <x:v>46658</x:v>
      </x:c>
      <x:c r="Q482" s="18" t="n">
        <x:f>INDEX('Calendar'!$C$8:$C$907,MAX(K482+1,L482))</x:f>
        <x:v>46662</x:v>
      </x:c>
      <x:c r="R482" s="14" t="n">
        <x:v>12204.27</x:v>
      </x:c>
      <x:c r="S482" s="14"/>
      <x:c r="T482" s="14" t="n">
        <x:f>R482/J482</x:f>
        <x:v>2440.8540000000003</x:v>
      </x:c>
    </x:row>
    <x:row r="483" ht="23" customHeight="1">
      <x:c r="A483" s="1" t="str">
        <x:v>T4-L02-P</x:v>
      </x:c>
      <x:c r="B483" s="1" t="str">
        <x:v>T4</x:v>
      </x:c>
      <x:c r="C483" s="1" t="str">
        <x:v>L02</x:v>
      </x:c>
      <x:c r="D483" s="1" t="str">
        <x:v>Internal plaster</x:v>
      </x:c>
      <x:c r="E483" s="1" t="str">
        <x:v>Finishes</x:v>
      </x:c>
      <x:c r="F483" s="15" t="n">
        <x:v>1205.3600000000006</x:v>
      </x:c>
      <x:c r="G483" s="1" t="str">
        <x:v>m2</x:v>
      </x:c>
      <x:c r="H483" s="17" t="n">
        <x:v>220</x:v>
      </x:c>
      <x:c r="I483" s="17" t="n">
        <x:v>10</x:v>
      </x:c>
      <x:c r="J483" s="17" t="n">
        <x:f>ROUNDUP(F483/H483,0)</x:f>
        <x:v>6</x:v>
      </x:c>
      <x:c r="K483" s="1" t="n">
        <x:f>MAX(L482+3)</x:f>
        <x:v>291</x:v>
      </x:c>
      <x:c r="L483" s="1" t="n">
        <x:f>K483+J483</x:f>
        <x:v>297</x:v>
      </x:c>
      <x:c r="M483" s="1" t="n">
        <x:f>N483-J483</x:f>
        <x:v>441</x:v>
      </x:c>
      <x:c r="N483" s="1" t="n">
        <x:f>MIN(M484-2)</x:f>
        <x:v>447</x:v>
      </x:c>
      <x:c r="O483" s="1" t="n">
        <x:f>M483-K483</x:f>
        <x:v>150</x:v>
      </x:c>
      <x:c r="P483" s="19" t="n">
        <x:f>INDEX('Calendar'!$C$8:$C$907,K483+1)</x:f>
        <x:v>46667</x:v>
      </x:c>
      <x:c r="Q483" s="19" t="n">
        <x:f>INDEX('Calendar'!$C$8:$C$907,MAX(K483+1,L483))</x:f>
        <x:v>46673</x:v>
      </x:c>
      <x:c r="R483" s="15" t="n">
        <x:v>15067.000000000005</x:v>
      </x:c>
      <x:c r="S483" s="15"/>
      <x:c r="T483" s="15" t="n">
        <x:f>R483/J483</x:f>
        <x:v>2511.1666666666674</x:v>
      </x:c>
    </x:row>
    <x:row r="484" ht="23" customHeight="1">
      <x:c r="A484" s="6" t="str">
        <x:v>T4-L02-S</x:v>
      </x:c>
      <x:c r="B484" s="6" t="str">
        <x:v>T4</x:v>
      </x:c>
      <x:c r="C484" s="6" t="str">
        <x:v>L02</x:v>
      </x:c>
      <x:c r="D484" s="6" t="str">
        <x:v>Screed and substrate preparation</x:v>
      </x:c>
      <x:c r="E484" s="6" t="str">
        <x:v>Finishes</x:v>
      </x:c>
      <x:c r="F484" s="14" t="n">
        <x:v>696</x:v>
      </x:c>
      <x:c r="G484" s="6" t="str">
        <x:v>m2</x:v>
      </x:c>
      <x:c r="H484" s="16" t="n">
        <x:v>240</x:v>
      </x:c>
      <x:c r="I484" s="16" t="n">
        <x:v>8</x:v>
      </x:c>
      <x:c r="J484" s="16" t="n">
        <x:f>ROUNDUP(F484/H484,0)</x:f>
        <x:v>3</x:v>
      </x:c>
      <x:c r="K484" s="6" t="n">
        <x:f>MAX(L483+2)</x:f>
        <x:v>299</x:v>
      </x:c>
      <x:c r="L484" s="6" t="n">
        <x:f>K484+J484</x:f>
        <x:v>302</x:v>
      </x:c>
      <x:c r="M484" s="6" t="n">
        <x:f>N484-J484</x:f>
        <x:v>449</x:v>
      </x:c>
      <x:c r="N484" s="6" t="n">
        <x:f>MIN(M485-14)</x:f>
        <x:v>452</x:v>
      </x:c>
      <x:c r="O484" s="6" t="n">
        <x:f>M484-K484</x:f>
        <x:v>150</x:v>
      </x:c>
      <x:c r="P484" s="18" t="n">
        <x:f>INDEX('Calendar'!$C$8:$C$907,K484+1)</x:f>
        <x:v>46676</x:v>
      </x:c>
      <x:c r="Q484" s="18" t="n">
        <x:f>INDEX('Calendar'!$C$8:$C$907,MAX(K484+1,L484))</x:f>
        <x:v>46679</x:v>
      </x:c>
      <x:c r="R484" s="14" t="n">
        <x:v>9048</x:v>
      </x:c>
      <x:c r="S484" s="14"/>
      <x:c r="T484" s="14" t="n">
        <x:f>R484/J484</x:f>
        <x:v>3016</x:v>
      </x:c>
    </x:row>
    <x:row r="485" ht="23" customHeight="1">
      <x:c r="A485" s="1" t="str">
        <x:v>T4-L02-T</x:v>
      </x:c>
      <x:c r="B485" s="1" t="str">
        <x:v>T4</x:v>
      </x:c>
      <x:c r="C485" s="1" t="str">
        <x:v>L02</x:v>
      </x:c>
      <x:c r="D485" s="1" t="str">
        <x:v>Floor finishes and skirtings</x:v>
      </x:c>
      <x:c r="E485" s="1" t="str">
        <x:v>Finishes</x:v>
      </x:c>
      <x:c r="F485" s="15" t="n">
        <x:v>696</x:v>
      </x:c>
      <x:c r="G485" s="1" t="str">
        <x:v>m2</x:v>
      </x:c>
      <x:c r="H485" s="17" t="n">
        <x:v>130</x:v>
      </x:c>
      <x:c r="I485" s="17" t="n">
        <x:v>8</x:v>
      </x:c>
      <x:c r="J485" s="17" t="n">
        <x:f>ROUNDUP(F485/H485,0)</x:f>
        <x:v>6</x:v>
      </x:c>
      <x:c r="K485" s="1" t="n">
        <x:f>MAX(L484+14,L469+0)</x:f>
        <x:v>437</x:v>
      </x:c>
      <x:c r="L485" s="1" t="n">
        <x:f>K485+J485</x:f>
        <x:v>443</x:v>
      </x:c>
      <x:c r="M485" s="1" t="n">
        <x:f>N485-J485</x:f>
        <x:v>466</x:v>
      </x:c>
      <x:c r="N485" s="1" t="n">
        <x:f>MIN(M486-2)</x:f>
        <x:v>472</x:v>
      </x:c>
      <x:c r="O485" s="1" t="n">
        <x:f>M485-K485</x:f>
        <x:v>29</x:v>
      </x:c>
      <x:c r="P485" s="19" t="n">
        <x:f>INDEX('Calendar'!$C$8:$C$907,K485+1)</x:f>
        <x:v>46837</x:v>
      </x:c>
      <x:c r="Q485" s="19" t="n">
        <x:f>INDEX('Calendar'!$C$8:$C$907,MAX(K485+1,L485))</x:f>
        <x:v>46843</x:v>
      </x:c>
      <x:c r="R485" s="15" t="n">
        <x:v>24012</x:v>
      </x:c>
      <x:c r="S485" s="15"/>
      <x:c r="T485" s="15" t="n">
        <x:f>R485/J485</x:f>
        <x:v>4002</x:v>
      </x:c>
    </x:row>
    <x:row r="486" ht="23" customHeight="1">
      <x:c r="A486" s="6" t="str">
        <x:v>T4-L02-A</x:v>
      </x:c>
      <x:c r="B486" s="6" t="str">
        <x:v>T4</x:v>
      </x:c>
      <x:c r="C486" s="6" t="str">
        <x:v>L02</x:v>
      </x:c>
      <x:c r="D486" s="6" t="str">
        <x:v>Paint and final decorations</x:v>
      </x:c>
      <x:c r="E486" s="6" t="str">
        <x:v>Finishes</x:v>
      </x:c>
      <x:c r="F486" s="14" t="n">
        <x:v>1205.3600000000004</x:v>
      </x:c>
      <x:c r="G486" s="6" t="str">
        <x:v>m2</x:v>
      </x:c>
      <x:c r="H486" s="16" t="n">
        <x:v>270</x:v>
      </x:c>
      <x:c r="I486" s="16" t="n">
        <x:v>8</x:v>
      </x:c>
      <x:c r="J486" s="16" t="n">
        <x:f>ROUNDUP(F486/H486,0)</x:f>
        <x:v>5</x:v>
      </x:c>
      <x:c r="K486" s="6" t="n">
        <x:f>MAX(L485+2)</x:f>
        <x:v>445</x:v>
      </x:c>
      <x:c r="L486" s="6" t="n">
        <x:f>K486+J486</x:f>
        <x:v>450</x:v>
      </x:c>
      <x:c r="M486" s="6" t="n">
        <x:f>N486-J486</x:f>
        <x:v>474</x:v>
      </x:c>
      <x:c r="N486" s="6" t="n">
        <x:f>MIN(M487-0)</x:f>
        <x:v>479</x:v>
      </x:c>
      <x:c r="O486" s="6" t="n">
        <x:f>M486-K486</x:f>
        <x:v>29</x:v>
      </x:c>
      <x:c r="P486" s="18" t="n">
        <x:f>INDEX('Calendar'!$C$8:$C$907,K486+1)</x:f>
        <x:v>46847</x:v>
      </x:c>
      <x:c r="Q486" s="18" t="n">
        <x:f>INDEX('Calendar'!$C$8:$C$907,MAX(K486+1,L486))</x:f>
        <x:v>46851</x:v>
      </x:c>
      <x:c r="R486" s="14" t="n">
        <x:v>10245.560000000003</x:v>
      </x:c>
      <x:c r="S486" s="14"/>
      <x:c r="T486" s="14" t="n">
        <x:f>R486/J486</x:f>
        <x:v>2049.1120000000005</x:v>
      </x:c>
    </x:row>
    <x:row r="487" ht="23" customHeight="1">
      <x:c r="A487" s="1" t="str">
        <x:v>T4-L02-D</x:v>
      </x:c>
      <x:c r="B487" s="1" t="str">
        <x:v>T4</x:v>
      </x:c>
      <x:c r="C487" s="1" t="str">
        <x:v>L02</x:v>
      </x:c>
      <x:c r="D487" s="1" t="str">
        <x:v>Door sets and ironmongery</x:v>
      </x:c>
      <x:c r="E487" s="1" t="str">
        <x:v>Finishes</x:v>
      </x:c>
      <x:c r="F487" s="15" t="n">
        <x:v>28</x:v>
      </x:c>
      <x:c r="G487" s="1" t="str">
        <x:v>nr</x:v>
      </x:c>
      <x:c r="H487" s="17" t="n">
        <x:v>10</x:v>
      </x:c>
      <x:c r="I487" s="17" t="n">
        <x:v>4</x:v>
      </x:c>
      <x:c r="J487" s="17" t="n">
        <x:f>ROUNDUP(F487/H487,0)</x:f>
        <x:v>3</x:v>
      </x:c>
      <x:c r="K487" s="1" t="n">
        <x:f>MAX(L486+0)</x:f>
        <x:v>450</x:v>
      </x:c>
      <x:c r="L487" s="1" t="n">
        <x:f>K487+J487</x:f>
        <x:v>453</x:v>
      </x:c>
      <x:c r="M487" s="1" t="n">
        <x:f>N487-J487</x:f>
        <x:v>479</x:v>
      </x:c>
      <x:c r="N487" s="1" t="n">
        <x:f>MIN(M816-0)</x:f>
        <x:v>482</x:v>
      </x:c>
      <x:c r="O487" s="1" t="n">
        <x:f>M487-K487</x:f>
        <x:v>29</x:v>
      </x:c>
      <x:c r="P487" s="19" t="n">
        <x:f>INDEX('Calendar'!$C$8:$C$907,K487+1)</x:f>
        <x:v>46853</x:v>
      </x:c>
      <x:c r="Q487" s="19" t="n">
        <x:f>INDEX('Calendar'!$C$8:$C$907,MAX(K487+1,L487))</x:f>
        <x:v>46855</x:v>
      </x:c>
      <x:c r="R487" s="15" t="n">
        <x:v>5796</x:v>
      </x:c>
      <x:c r="S487" s="15"/>
      <x:c r="T487" s="15" t="n">
        <x:f>R487/J487</x:f>
        <x:v>1932</x:v>
      </x:c>
    </x:row>
    <x:row r="488" ht="23" customHeight="1">
      <x:c r="A488" s="6" t="str">
        <x:v>T4-L03-M</x:v>
      </x:c>
      <x:c r="B488" s="6" t="str">
        <x:v>T4</x:v>
      </x:c>
      <x:c r="C488" s="6" t="str">
        <x:v>L03</x:v>
      </x:c>
      <x:c r="D488" s="6" t="str">
        <x:v>Partition masonry</x:v>
      </x:c>
      <x:c r="E488" s="6" t="str">
        <x:v>Masonry</x:v>
      </x:c>
      <x:c r="F488" s="14" t="n">
        <x:v>90.40200000000002</x:v>
      </x:c>
      <x:c r="G488" s="6" t="str">
        <x:v>m3</x:v>
      </x:c>
      <x:c r="H488" s="16" t="n">
        <x:v>22</x:v>
      </x:c>
      <x:c r="I488" s="16" t="n">
        <x:v>10</x:v>
      </x:c>
      <x:c r="J488" s="16" t="n">
        <x:f>ROUNDUP(F488/H488,0)</x:f>
        <x:v>5</x:v>
      </x:c>
      <x:c r="K488" s="6" t="n">
        <x:f>MAX(L442+5)</x:f>
        <x:v>301</x:v>
      </x:c>
      <x:c r="L488" s="6" t="n">
        <x:f>K488+J488</x:f>
        <x:v>306</x:v>
      </x:c>
      <x:c r="M488" s="6" t="n">
        <x:f>N488-J488</x:f>
        <x:v>433</x:v>
      </x:c>
      <x:c r="N488" s="6" t="n">
        <x:f>MIN(M489-3)</x:f>
        <x:v>438</x:v>
      </x:c>
      <x:c r="O488" s="6" t="n">
        <x:f>M488-K488</x:f>
        <x:v>132</x:v>
      </x:c>
      <x:c r="P488" s="18" t="n">
        <x:f>INDEX('Calendar'!$C$8:$C$907,K488+1)</x:f>
        <x:v>46679</x:v>
      </x:c>
      <x:c r="Q488" s="18" t="n">
        <x:f>INDEX('Calendar'!$C$8:$C$907,MAX(K488+1,L488))</x:f>
        <x:v>46683</x:v>
      </x:c>
      <x:c r="R488" s="14" t="n">
        <x:v>12204.27</x:v>
      </x:c>
      <x:c r="S488" s="14"/>
      <x:c r="T488" s="14" t="n">
        <x:f>R488/J488</x:f>
        <x:v>2440.8540000000003</x:v>
      </x:c>
    </x:row>
    <x:row r="489" ht="23" customHeight="1">
      <x:c r="A489" s="1" t="str">
        <x:v>T4-L03-P</x:v>
      </x:c>
      <x:c r="B489" s="1" t="str">
        <x:v>T4</x:v>
      </x:c>
      <x:c r="C489" s="1" t="str">
        <x:v>L03</x:v>
      </x:c>
      <x:c r="D489" s="1" t="str">
        <x:v>Internal plaster</x:v>
      </x:c>
      <x:c r="E489" s="1" t="str">
        <x:v>Finishes</x:v>
      </x:c>
      <x:c r="F489" s="15" t="n">
        <x:v>1205.3600000000006</x:v>
      </x:c>
      <x:c r="G489" s="1" t="str">
        <x:v>m2</x:v>
      </x:c>
      <x:c r="H489" s="17" t="n">
        <x:v>220</x:v>
      </x:c>
      <x:c r="I489" s="17" t="n">
        <x:v>10</x:v>
      </x:c>
      <x:c r="J489" s="17" t="n">
        <x:f>ROUNDUP(F489/H489,0)</x:f>
        <x:v>6</x:v>
      </x:c>
      <x:c r="K489" s="1" t="n">
        <x:f>MAX(L488+3)</x:f>
        <x:v>309</x:v>
      </x:c>
      <x:c r="L489" s="1" t="n">
        <x:f>K489+J489</x:f>
        <x:v>315</x:v>
      </x:c>
      <x:c r="M489" s="1" t="n">
        <x:f>N489-J489</x:f>
        <x:v>441</x:v>
      </x:c>
      <x:c r="N489" s="1" t="n">
        <x:f>MIN(M490-2)</x:f>
        <x:v>447</x:v>
      </x:c>
      <x:c r="O489" s="1" t="n">
        <x:f>M489-K489</x:f>
        <x:v>132</x:v>
      </x:c>
      <x:c r="P489" s="19" t="n">
        <x:f>INDEX('Calendar'!$C$8:$C$907,K489+1)</x:f>
        <x:v>46688</x:v>
      </x:c>
      <x:c r="Q489" s="19" t="n">
        <x:f>INDEX('Calendar'!$C$8:$C$907,MAX(K489+1,L489))</x:f>
        <x:v>46694</x:v>
      </x:c>
      <x:c r="R489" s="15" t="n">
        <x:v>15067.000000000005</x:v>
      </x:c>
      <x:c r="S489" s="15"/>
      <x:c r="T489" s="15" t="n">
        <x:f>R489/J489</x:f>
        <x:v>2511.1666666666674</x:v>
      </x:c>
    </x:row>
    <x:row r="490" ht="23" customHeight="1">
      <x:c r="A490" s="6" t="str">
        <x:v>T4-L03-S</x:v>
      </x:c>
      <x:c r="B490" s="6" t="str">
        <x:v>T4</x:v>
      </x:c>
      <x:c r="C490" s="6" t="str">
        <x:v>L03</x:v>
      </x:c>
      <x:c r="D490" s="6" t="str">
        <x:v>Screed and substrate preparation</x:v>
      </x:c>
      <x:c r="E490" s="6" t="str">
        <x:v>Finishes</x:v>
      </x:c>
      <x:c r="F490" s="14" t="n">
        <x:v>696</x:v>
      </x:c>
      <x:c r="G490" s="6" t="str">
        <x:v>m2</x:v>
      </x:c>
      <x:c r="H490" s="16" t="n">
        <x:v>240</x:v>
      </x:c>
      <x:c r="I490" s="16" t="n">
        <x:v>8</x:v>
      </x:c>
      <x:c r="J490" s="16" t="n">
        <x:f>ROUNDUP(F490/H490,0)</x:f>
        <x:v>3</x:v>
      </x:c>
      <x:c r="K490" s="6" t="n">
        <x:f>MAX(L489+2)</x:f>
        <x:v>317</x:v>
      </x:c>
      <x:c r="L490" s="6" t="n">
        <x:f>K490+J490</x:f>
        <x:v>320</x:v>
      </x:c>
      <x:c r="M490" s="6" t="n">
        <x:f>N490-J490</x:f>
        <x:v>449</x:v>
      </x:c>
      <x:c r="N490" s="6" t="n">
        <x:f>MIN(M491-14)</x:f>
        <x:v>452</x:v>
      </x:c>
      <x:c r="O490" s="6" t="n">
        <x:f>M490-K490</x:f>
        <x:v>132</x:v>
      </x:c>
      <x:c r="P490" s="18" t="n">
        <x:f>INDEX('Calendar'!$C$8:$C$907,K490+1)</x:f>
        <x:v>46697</x:v>
      </x:c>
      <x:c r="Q490" s="18" t="n">
        <x:f>INDEX('Calendar'!$C$8:$C$907,MAX(K490+1,L490))</x:f>
        <x:v>46700</x:v>
      </x:c>
      <x:c r="R490" s="14" t="n">
        <x:v>9048</x:v>
      </x:c>
      <x:c r="S490" s="14"/>
      <x:c r="T490" s="14" t="n">
        <x:f>R490/J490</x:f>
        <x:v>3016</x:v>
      </x:c>
    </x:row>
    <x:row r="491" ht="23" customHeight="1">
      <x:c r="A491" s="1" t="str">
        <x:v>T4-L03-T</x:v>
      </x:c>
      <x:c r="B491" s="1" t="str">
        <x:v>T4</x:v>
      </x:c>
      <x:c r="C491" s="1" t="str">
        <x:v>L03</x:v>
      </x:c>
      <x:c r="D491" s="1" t="str">
        <x:v>Floor finishes and skirtings</x:v>
      </x:c>
      <x:c r="E491" s="1" t="str">
        <x:v>Finishes</x:v>
      </x:c>
      <x:c r="F491" s="15" t="n">
        <x:v>696</x:v>
      </x:c>
      <x:c r="G491" s="1" t="str">
        <x:v>m2</x:v>
      </x:c>
      <x:c r="H491" s="17" t="n">
        <x:v>130</x:v>
      </x:c>
      <x:c r="I491" s="17" t="n">
        <x:v>8</x:v>
      </x:c>
      <x:c r="J491" s="17" t="n">
        <x:f>ROUNDUP(F491/H491,0)</x:f>
        <x:v>6</x:v>
      </x:c>
      <x:c r="K491" s="1" t="n">
        <x:f>MAX(L490+14,L469+0)</x:f>
        <x:v>437</x:v>
      </x:c>
      <x:c r="L491" s="1" t="n">
        <x:f>K491+J491</x:f>
        <x:v>443</x:v>
      </x:c>
      <x:c r="M491" s="1" t="n">
        <x:f>N491-J491</x:f>
        <x:v>466</x:v>
      </x:c>
      <x:c r="N491" s="1" t="n">
        <x:f>MIN(M492-2)</x:f>
        <x:v>472</x:v>
      </x:c>
      <x:c r="O491" s="1" t="n">
        <x:f>M491-K491</x:f>
        <x:v>29</x:v>
      </x:c>
      <x:c r="P491" s="19" t="n">
        <x:f>INDEX('Calendar'!$C$8:$C$907,K491+1)</x:f>
        <x:v>46837</x:v>
      </x:c>
      <x:c r="Q491" s="19" t="n">
        <x:f>INDEX('Calendar'!$C$8:$C$907,MAX(K491+1,L491))</x:f>
        <x:v>46843</x:v>
      </x:c>
      <x:c r="R491" s="15" t="n">
        <x:v>24012</x:v>
      </x:c>
      <x:c r="S491" s="15"/>
      <x:c r="T491" s="15" t="n">
        <x:f>R491/J491</x:f>
        <x:v>4002</x:v>
      </x:c>
    </x:row>
    <x:row r="492" ht="23" customHeight="1">
      <x:c r="A492" s="6" t="str">
        <x:v>T4-L03-A</x:v>
      </x:c>
      <x:c r="B492" s="6" t="str">
        <x:v>T4</x:v>
      </x:c>
      <x:c r="C492" s="6" t="str">
        <x:v>L03</x:v>
      </x:c>
      <x:c r="D492" s="6" t="str">
        <x:v>Paint and final decorations</x:v>
      </x:c>
      <x:c r="E492" s="6" t="str">
        <x:v>Finishes</x:v>
      </x:c>
      <x:c r="F492" s="14" t="n">
        <x:v>1205.3600000000004</x:v>
      </x:c>
      <x:c r="G492" s="6" t="str">
        <x:v>m2</x:v>
      </x:c>
      <x:c r="H492" s="16" t="n">
        <x:v>270</x:v>
      </x:c>
      <x:c r="I492" s="16" t="n">
        <x:v>8</x:v>
      </x:c>
      <x:c r="J492" s="16" t="n">
        <x:f>ROUNDUP(F492/H492,0)</x:f>
        <x:v>5</x:v>
      </x:c>
      <x:c r="K492" s="6" t="n">
        <x:f>MAX(L491+2)</x:f>
        <x:v>445</x:v>
      </x:c>
      <x:c r="L492" s="6" t="n">
        <x:f>K492+J492</x:f>
        <x:v>450</x:v>
      </x:c>
      <x:c r="M492" s="6" t="n">
        <x:f>N492-J492</x:f>
        <x:v>474</x:v>
      </x:c>
      <x:c r="N492" s="6" t="n">
        <x:f>MIN(M493-0)</x:f>
        <x:v>479</x:v>
      </x:c>
      <x:c r="O492" s="6" t="n">
        <x:f>M492-K492</x:f>
        <x:v>29</x:v>
      </x:c>
      <x:c r="P492" s="18" t="n">
        <x:f>INDEX('Calendar'!$C$8:$C$907,K492+1)</x:f>
        <x:v>46847</x:v>
      </x:c>
      <x:c r="Q492" s="18" t="n">
        <x:f>INDEX('Calendar'!$C$8:$C$907,MAX(K492+1,L492))</x:f>
        <x:v>46851</x:v>
      </x:c>
      <x:c r="R492" s="14" t="n">
        <x:v>10245.560000000003</x:v>
      </x:c>
      <x:c r="S492" s="14"/>
      <x:c r="T492" s="14" t="n">
        <x:f>R492/J492</x:f>
        <x:v>2049.1120000000005</x:v>
      </x:c>
    </x:row>
    <x:row r="493" ht="23" customHeight="1">
      <x:c r="A493" s="1" t="str">
        <x:v>T4-L03-D</x:v>
      </x:c>
      <x:c r="B493" s="1" t="str">
        <x:v>T4</x:v>
      </x:c>
      <x:c r="C493" s="1" t="str">
        <x:v>L03</x:v>
      </x:c>
      <x:c r="D493" s="1" t="str">
        <x:v>Door sets and ironmongery</x:v>
      </x:c>
      <x:c r="E493" s="1" t="str">
        <x:v>Finishes</x:v>
      </x:c>
      <x:c r="F493" s="15" t="n">
        <x:v>28</x:v>
      </x:c>
      <x:c r="G493" s="1" t="str">
        <x:v>nr</x:v>
      </x:c>
      <x:c r="H493" s="17" t="n">
        <x:v>10</x:v>
      </x:c>
      <x:c r="I493" s="17" t="n">
        <x:v>4</x:v>
      </x:c>
      <x:c r="J493" s="17" t="n">
        <x:f>ROUNDUP(F493/H493,0)</x:f>
        <x:v>3</x:v>
      </x:c>
      <x:c r="K493" s="1" t="n">
        <x:f>MAX(L492+0)</x:f>
        <x:v>450</x:v>
      </x:c>
      <x:c r="L493" s="1" t="n">
        <x:f>K493+J493</x:f>
        <x:v>453</x:v>
      </x:c>
      <x:c r="M493" s="1" t="n">
        <x:f>N493-J493</x:f>
        <x:v>479</x:v>
      </x:c>
      <x:c r="N493" s="1" t="n">
        <x:f>MIN(M816-0)</x:f>
        <x:v>482</x:v>
      </x:c>
      <x:c r="O493" s="1" t="n">
        <x:f>M493-K493</x:f>
        <x:v>29</x:v>
      </x:c>
      <x:c r="P493" s="19" t="n">
        <x:f>INDEX('Calendar'!$C$8:$C$907,K493+1)</x:f>
        <x:v>46853</x:v>
      </x:c>
      <x:c r="Q493" s="19" t="n">
        <x:f>INDEX('Calendar'!$C$8:$C$907,MAX(K493+1,L493))</x:f>
        <x:v>46855</x:v>
      </x:c>
      <x:c r="R493" s="15" t="n">
        <x:v>5796</x:v>
      </x:c>
      <x:c r="S493" s="15"/>
      <x:c r="T493" s="15" t="n">
        <x:f>R493/J493</x:f>
        <x:v>1932</x:v>
      </x:c>
    </x:row>
    <x:row r="494" ht="23" customHeight="1">
      <x:c r="A494" s="6" t="str">
        <x:v>T4-L04-M</x:v>
      </x:c>
      <x:c r="B494" s="6" t="str">
        <x:v>T4</x:v>
      </x:c>
      <x:c r="C494" s="6" t="str">
        <x:v>L04</x:v>
      </x:c>
      <x:c r="D494" s="6" t="str">
        <x:v>Partition masonry</x:v>
      </x:c>
      <x:c r="E494" s="6" t="str">
        <x:v>Masonry</x:v>
      </x:c>
      <x:c r="F494" s="14" t="n">
        <x:v>90.40200000000002</x:v>
      </x:c>
      <x:c r="G494" s="6" t="str">
        <x:v>m3</x:v>
      </x:c>
      <x:c r="H494" s="16" t="n">
        <x:v>22</x:v>
      </x:c>
      <x:c r="I494" s="16" t="n">
        <x:v>10</x:v>
      </x:c>
      <x:c r="J494" s="16" t="n">
        <x:f>ROUNDUP(F494/H494,0)</x:f>
        <x:v>5</x:v>
      </x:c>
      <x:c r="K494" s="6" t="n">
        <x:f>MAX(L446+5)</x:f>
        <x:v>319</x:v>
      </x:c>
      <x:c r="L494" s="6" t="n">
        <x:f>K494+J494</x:f>
        <x:v>324</x:v>
      </x:c>
      <x:c r="M494" s="6" t="n">
        <x:f>N494-J494</x:f>
        <x:v>433</x:v>
      </x:c>
      <x:c r="N494" s="6" t="n">
        <x:f>MIN(M495-3)</x:f>
        <x:v>438</x:v>
      </x:c>
      <x:c r="O494" s="6" t="n">
        <x:f>M494-K494</x:f>
        <x:v>114</x:v>
      </x:c>
      <x:c r="P494" s="18" t="n">
        <x:f>INDEX('Calendar'!$C$8:$C$907,K494+1)</x:f>
        <x:v>46700</x:v>
      </x:c>
      <x:c r="Q494" s="18" t="n">
        <x:f>INDEX('Calendar'!$C$8:$C$907,MAX(K494+1,L494))</x:f>
        <x:v>46704</x:v>
      </x:c>
      <x:c r="R494" s="14" t="n">
        <x:v>12204.27</x:v>
      </x:c>
      <x:c r="S494" s="14"/>
      <x:c r="T494" s="14" t="n">
        <x:f>R494/J494</x:f>
        <x:v>2440.8540000000003</x:v>
      </x:c>
    </x:row>
    <x:row r="495" ht="23" customHeight="1">
      <x:c r="A495" s="1" t="str">
        <x:v>T4-L04-P</x:v>
      </x:c>
      <x:c r="B495" s="1" t="str">
        <x:v>T4</x:v>
      </x:c>
      <x:c r="C495" s="1" t="str">
        <x:v>L04</x:v>
      </x:c>
      <x:c r="D495" s="1" t="str">
        <x:v>Internal plaster</x:v>
      </x:c>
      <x:c r="E495" s="1" t="str">
        <x:v>Finishes</x:v>
      </x:c>
      <x:c r="F495" s="15" t="n">
        <x:v>1205.3600000000006</x:v>
      </x:c>
      <x:c r="G495" s="1" t="str">
        <x:v>m2</x:v>
      </x:c>
      <x:c r="H495" s="17" t="n">
        <x:v>220</x:v>
      </x:c>
      <x:c r="I495" s="17" t="n">
        <x:v>10</x:v>
      </x:c>
      <x:c r="J495" s="17" t="n">
        <x:f>ROUNDUP(F495/H495,0)</x:f>
        <x:v>6</x:v>
      </x:c>
      <x:c r="K495" s="1" t="n">
        <x:f>MAX(L494+3)</x:f>
        <x:v>327</x:v>
      </x:c>
      <x:c r="L495" s="1" t="n">
        <x:f>K495+J495</x:f>
        <x:v>333</x:v>
      </x:c>
      <x:c r="M495" s="1" t="n">
        <x:f>N495-J495</x:f>
        <x:v>441</x:v>
      </x:c>
      <x:c r="N495" s="1" t="n">
        <x:f>MIN(M496-2)</x:f>
        <x:v>447</x:v>
      </x:c>
      <x:c r="O495" s="1" t="n">
        <x:f>M495-K495</x:f>
        <x:v>114</x:v>
      </x:c>
      <x:c r="P495" s="19" t="n">
        <x:f>INDEX('Calendar'!$C$8:$C$907,K495+1)</x:f>
        <x:v>46709</x:v>
      </x:c>
      <x:c r="Q495" s="19" t="n">
        <x:f>INDEX('Calendar'!$C$8:$C$907,MAX(K495+1,L495))</x:f>
        <x:v>46715</x:v>
      </x:c>
      <x:c r="R495" s="15" t="n">
        <x:v>15067.000000000005</x:v>
      </x:c>
      <x:c r="S495" s="15"/>
      <x:c r="T495" s="15" t="n">
        <x:f>R495/J495</x:f>
        <x:v>2511.1666666666674</x:v>
      </x:c>
    </x:row>
    <x:row r="496" ht="23" customHeight="1">
      <x:c r="A496" s="6" t="str">
        <x:v>T4-L04-S</x:v>
      </x:c>
      <x:c r="B496" s="6" t="str">
        <x:v>T4</x:v>
      </x:c>
      <x:c r="C496" s="6" t="str">
        <x:v>L04</x:v>
      </x:c>
      <x:c r="D496" s="6" t="str">
        <x:v>Screed and substrate preparation</x:v>
      </x:c>
      <x:c r="E496" s="6" t="str">
        <x:v>Finishes</x:v>
      </x:c>
      <x:c r="F496" s="14" t="n">
        <x:v>696</x:v>
      </x:c>
      <x:c r="G496" s="6" t="str">
        <x:v>m2</x:v>
      </x:c>
      <x:c r="H496" s="16" t="n">
        <x:v>240</x:v>
      </x:c>
      <x:c r="I496" s="16" t="n">
        <x:v>8</x:v>
      </x:c>
      <x:c r="J496" s="16" t="n">
        <x:f>ROUNDUP(F496/H496,0)</x:f>
        <x:v>3</x:v>
      </x:c>
      <x:c r="K496" s="6" t="n">
        <x:f>MAX(L495+2)</x:f>
        <x:v>335</x:v>
      </x:c>
      <x:c r="L496" s="6" t="n">
        <x:f>K496+J496</x:f>
        <x:v>338</x:v>
      </x:c>
      <x:c r="M496" s="6" t="n">
        <x:f>N496-J496</x:f>
        <x:v>449</x:v>
      </x:c>
      <x:c r="N496" s="6" t="n">
        <x:f>MIN(M497-14)</x:f>
        <x:v>452</x:v>
      </x:c>
      <x:c r="O496" s="6" t="n">
        <x:f>M496-K496</x:f>
        <x:v>114</x:v>
      </x:c>
      <x:c r="P496" s="18" t="n">
        <x:f>INDEX('Calendar'!$C$8:$C$907,K496+1)</x:f>
        <x:v>46718</x:v>
      </x:c>
      <x:c r="Q496" s="18" t="n">
        <x:f>INDEX('Calendar'!$C$8:$C$907,MAX(K496+1,L496))</x:f>
        <x:v>46721</x:v>
      </x:c>
      <x:c r="R496" s="14" t="n">
        <x:v>9048</x:v>
      </x:c>
      <x:c r="S496" s="14"/>
      <x:c r="T496" s="14" t="n">
        <x:f>R496/J496</x:f>
        <x:v>3016</x:v>
      </x:c>
    </x:row>
    <x:row r="497" ht="23" customHeight="1">
      <x:c r="A497" s="1" t="str">
        <x:v>T4-L04-T</x:v>
      </x:c>
      <x:c r="B497" s="1" t="str">
        <x:v>T4</x:v>
      </x:c>
      <x:c r="C497" s="1" t="str">
        <x:v>L04</x:v>
      </x:c>
      <x:c r="D497" s="1" t="str">
        <x:v>Floor finishes and skirtings</x:v>
      </x:c>
      <x:c r="E497" s="1" t="str">
        <x:v>Finishes</x:v>
      </x:c>
      <x:c r="F497" s="15" t="n">
        <x:v>696</x:v>
      </x:c>
      <x:c r="G497" s="1" t="str">
        <x:v>m2</x:v>
      </x:c>
      <x:c r="H497" s="17" t="n">
        <x:v>130</x:v>
      </x:c>
      <x:c r="I497" s="17" t="n">
        <x:v>8</x:v>
      </x:c>
      <x:c r="J497" s="17" t="n">
        <x:f>ROUNDUP(F497/H497,0)</x:f>
        <x:v>6</x:v>
      </x:c>
      <x:c r="K497" s="1" t="n">
        <x:f>MAX(L496+14,L469+0)</x:f>
        <x:v>437</x:v>
      </x:c>
      <x:c r="L497" s="1" t="n">
        <x:f>K497+J497</x:f>
        <x:v>443</x:v>
      </x:c>
      <x:c r="M497" s="1" t="n">
        <x:f>N497-J497</x:f>
        <x:v>466</x:v>
      </x:c>
      <x:c r="N497" s="1" t="n">
        <x:f>MIN(M498-2)</x:f>
        <x:v>472</x:v>
      </x:c>
      <x:c r="O497" s="1" t="n">
        <x:f>M497-K497</x:f>
        <x:v>29</x:v>
      </x:c>
      <x:c r="P497" s="19" t="n">
        <x:f>INDEX('Calendar'!$C$8:$C$907,K497+1)</x:f>
        <x:v>46837</x:v>
      </x:c>
      <x:c r="Q497" s="19" t="n">
        <x:f>INDEX('Calendar'!$C$8:$C$907,MAX(K497+1,L497))</x:f>
        <x:v>46843</x:v>
      </x:c>
      <x:c r="R497" s="15" t="n">
        <x:v>24012</x:v>
      </x:c>
      <x:c r="S497" s="15"/>
      <x:c r="T497" s="15" t="n">
        <x:f>R497/J497</x:f>
        <x:v>4002</x:v>
      </x:c>
    </x:row>
    <x:row r="498" ht="23" customHeight="1">
      <x:c r="A498" s="6" t="str">
        <x:v>T4-L04-A</x:v>
      </x:c>
      <x:c r="B498" s="6" t="str">
        <x:v>T4</x:v>
      </x:c>
      <x:c r="C498" s="6" t="str">
        <x:v>L04</x:v>
      </x:c>
      <x:c r="D498" s="6" t="str">
        <x:v>Paint and final decorations</x:v>
      </x:c>
      <x:c r="E498" s="6" t="str">
        <x:v>Finishes</x:v>
      </x:c>
      <x:c r="F498" s="14" t="n">
        <x:v>1205.3600000000004</x:v>
      </x:c>
      <x:c r="G498" s="6" t="str">
        <x:v>m2</x:v>
      </x:c>
      <x:c r="H498" s="16" t="n">
        <x:v>270</x:v>
      </x:c>
      <x:c r="I498" s="16" t="n">
        <x:v>8</x:v>
      </x:c>
      <x:c r="J498" s="16" t="n">
        <x:f>ROUNDUP(F498/H498,0)</x:f>
        <x:v>5</x:v>
      </x:c>
      <x:c r="K498" s="6" t="n">
        <x:f>MAX(L497+2)</x:f>
        <x:v>445</x:v>
      </x:c>
      <x:c r="L498" s="6" t="n">
        <x:f>K498+J498</x:f>
        <x:v>450</x:v>
      </x:c>
      <x:c r="M498" s="6" t="n">
        <x:f>N498-J498</x:f>
        <x:v>474</x:v>
      </x:c>
      <x:c r="N498" s="6" t="n">
        <x:f>MIN(M499-0)</x:f>
        <x:v>479</x:v>
      </x:c>
      <x:c r="O498" s="6" t="n">
        <x:f>M498-K498</x:f>
        <x:v>29</x:v>
      </x:c>
      <x:c r="P498" s="18" t="n">
        <x:f>INDEX('Calendar'!$C$8:$C$907,K498+1)</x:f>
        <x:v>46847</x:v>
      </x:c>
      <x:c r="Q498" s="18" t="n">
        <x:f>INDEX('Calendar'!$C$8:$C$907,MAX(K498+1,L498))</x:f>
        <x:v>46851</x:v>
      </x:c>
      <x:c r="R498" s="14" t="n">
        <x:v>10245.560000000003</x:v>
      </x:c>
      <x:c r="S498" s="14"/>
      <x:c r="T498" s="14" t="n">
        <x:f>R498/J498</x:f>
        <x:v>2049.1120000000005</x:v>
      </x:c>
    </x:row>
    <x:row r="499" ht="23" customHeight="1">
      <x:c r="A499" s="1" t="str">
        <x:v>T4-L04-D</x:v>
      </x:c>
      <x:c r="B499" s="1" t="str">
        <x:v>T4</x:v>
      </x:c>
      <x:c r="C499" s="1" t="str">
        <x:v>L04</x:v>
      </x:c>
      <x:c r="D499" s="1" t="str">
        <x:v>Door sets and ironmongery</x:v>
      </x:c>
      <x:c r="E499" s="1" t="str">
        <x:v>Finishes</x:v>
      </x:c>
      <x:c r="F499" s="15" t="n">
        <x:v>28</x:v>
      </x:c>
      <x:c r="G499" s="1" t="str">
        <x:v>nr</x:v>
      </x:c>
      <x:c r="H499" s="17" t="n">
        <x:v>10</x:v>
      </x:c>
      <x:c r="I499" s="17" t="n">
        <x:v>4</x:v>
      </x:c>
      <x:c r="J499" s="17" t="n">
        <x:f>ROUNDUP(F499/H499,0)</x:f>
        <x:v>3</x:v>
      </x:c>
      <x:c r="K499" s="1" t="n">
        <x:f>MAX(L498+0)</x:f>
        <x:v>450</x:v>
      </x:c>
      <x:c r="L499" s="1" t="n">
        <x:f>K499+J499</x:f>
        <x:v>453</x:v>
      </x:c>
      <x:c r="M499" s="1" t="n">
        <x:f>N499-J499</x:f>
        <x:v>479</x:v>
      </x:c>
      <x:c r="N499" s="1" t="n">
        <x:f>MIN(M816-0)</x:f>
        <x:v>482</x:v>
      </x:c>
      <x:c r="O499" s="1" t="n">
        <x:f>M499-K499</x:f>
        <x:v>29</x:v>
      </x:c>
      <x:c r="P499" s="19" t="n">
        <x:f>INDEX('Calendar'!$C$8:$C$907,K499+1)</x:f>
        <x:v>46853</x:v>
      </x:c>
      <x:c r="Q499" s="19" t="n">
        <x:f>INDEX('Calendar'!$C$8:$C$907,MAX(K499+1,L499))</x:f>
        <x:v>46855</x:v>
      </x:c>
      <x:c r="R499" s="15" t="n">
        <x:v>5796</x:v>
      </x:c>
      <x:c r="S499" s="15"/>
      <x:c r="T499" s="15" t="n">
        <x:f>R499/J499</x:f>
        <x:v>1932</x:v>
      </x:c>
    </x:row>
    <x:row r="500" ht="23" customHeight="1">
      <x:c r="A500" s="6" t="str">
        <x:v>T4-L05-M</x:v>
      </x:c>
      <x:c r="B500" s="6" t="str">
        <x:v>T4</x:v>
      </x:c>
      <x:c r="C500" s="6" t="str">
        <x:v>L05</x:v>
      </x:c>
      <x:c r="D500" s="6" t="str">
        <x:v>Partition masonry</x:v>
      </x:c>
      <x:c r="E500" s="6" t="str">
        <x:v>Masonry</x:v>
      </x:c>
      <x:c r="F500" s="14" t="n">
        <x:v>90.40200000000002</x:v>
      </x:c>
      <x:c r="G500" s="6" t="str">
        <x:v>m3</x:v>
      </x:c>
      <x:c r="H500" s="16" t="n">
        <x:v>22</x:v>
      </x:c>
      <x:c r="I500" s="16" t="n">
        <x:v>10</x:v>
      </x:c>
      <x:c r="J500" s="16" t="n">
        <x:f>ROUNDUP(F500/H500,0)</x:f>
        <x:v>5</x:v>
      </x:c>
      <x:c r="K500" s="6" t="n">
        <x:f>MAX(L450+5)</x:f>
        <x:v>337</x:v>
      </x:c>
      <x:c r="L500" s="6" t="n">
        <x:f>K500+J500</x:f>
        <x:v>342</x:v>
      </x:c>
      <x:c r="M500" s="6" t="n">
        <x:f>N500-J500</x:f>
        <x:v>433</x:v>
      </x:c>
      <x:c r="N500" s="6" t="n">
        <x:f>MIN(M501-3)</x:f>
        <x:v>438</x:v>
      </x:c>
      <x:c r="O500" s="6" t="n">
        <x:f>M500-K500</x:f>
        <x:v>96</x:v>
      </x:c>
      <x:c r="P500" s="18" t="n">
        <x:f>INDEX('Calendar'!$C$8:$C$907,K500+1)</x:f>
        <x:v>46721</x:v>
      </x:c>
      <x:c r="Q500" s="18" t="n">
        <x:f>INDEX('Calendar'!$C$8:$C$907,MAX(K500+1,L500))</x:f>
        <x:v>46725</x:v>
      </x:c>
      <x:c r="R500" s="14" t="n">
        <x:v>12204.27</x:v>
      </x:c>
      <x:c r="S500" s="14"/>
      <x:c r="T500" s="14" t="n">
        <x:f>R500/J500</x:f>
        <x:v>2440.8540000000003</x:v>
      </x:c>
    </x:row>
    <x:row r="501" ht="23" customHeight="1">
      <x:c r="A501" s="1" t="str">
        <x:v>T4-L05-P</x:v>
      </x:c>
      <x:c r="B501" s="1" t="str">
        <x:v>T4</x:v>
      </x:c>
      <x:c r="C501" s="1" t="str">
        <x:v>L05</x:v>
      </x:c>
      <x:c r="D501" s="1" t="str">
        <x:v>Internal plaster</x:v>
      </x:c>
      <x:c r="E501" s="1" t="str">
        <x:v>Finishes</x:v>
      </x:c>
      <x:c r="F501" s="15" t="n">
        <x:v>1205.3600000000006</x:v>
      </x:c>
      <x:c r="G501" s="1" t="str">
        <x:v>m2</x:v>
      </x:c>
      <x:c r="H501" s="17" t="n">
        <x:v>220</x:v>
      </x:c>
      <x:c r="I501" s="17" t="n">
        <x:v>10</x:v>
      </x:c>
      <x:c r="J501" s="17" t="n">
        <x:f>ROUNDUP(F501/H501,0)</x:f>
        <x:v>6</x:v>
      </x:c>
      <x:c r="K501" s="1" t="n">
        <x:f>MAX(L500+3)</x:f>
        <x:v>345</x:v>
      </x:c>
      <x:c r="L501" s="1" t="n">
        <x:f>K501+J501</x:f>
        <x:v>351</x:v>
      </x:c>
      <x:c r="M501" s="1" t="n">
        <x:f>N501-J501</x:f>
        <x:v>441</x:v>
      </x:c>
      <x:c r="N501" s="1" t="n">
        <x:f>MIN(M502-2)</x:f>
        <x:v>447</x:v>
      </x:c>
      <x:c r="O501" s="1" t="n">
        <x:f>M501-K501</x:f>
        <x:v>96</x:v>
      </x:c>
      <x:c r="P501" s="19" t="n">
        <x:f>INDEX('Calendar'!$C$8:$C$907,K501+1)</x:f>
        <x:v>46730</x:v>
      </x:c>
      <x:c r="Q501" s="19" t="n">
        <x:f>INDEX('Calendar'!$C$8:$C$907,MAX(K501+1,L501))</x:f>
        <x:v>46736</x:v>
      </x:c>
      <x:c r="R501" s="15" t="n">
        <x:v>15067.000000000005</x:v>
      </x:c>
      <x:c r="S501" s="15"/>
      <x:c r="T501" s="15" t="n">
        <x:f>R501/J501</x:f>
        <x:v>2511.1666666666674</x:v>
      </x:c>
    </x:row>
    <x:row r="502" ht="23" customHeight="1">
      <x:c r="A502" s="6" t="str">
        <x:v>T4-L05-S</x:v>
      </x:c>
      <x:c r="B502" s="6" t="str">
        <x:v>T4</x:v>
      </x:c>
      <x:c r="C502" s="6" t="str">
        <x:v>L05</x:v>
      </x:c>
      <x:c r="D502" s="6" t="str">
        <x:v>Screed and substrate preparation</x:v>
      </x:c>
      <x:c r="E502" s="6" t="str">
        <x:v>Finishes</x:v>
      </x:c>
      <x:c r="F502" s="14" t="n">
        <x:v>696</x:v>
      </x:c>
      <x:c r="G502" s="6" t="str">
        <x:v>m2</x:v>
      </x:c>
      <x:c r="H502" s="16" t="n">
        <x:v>240</x:v>
      </x:c>
      <x:c r="I502" s="16" t="n">
        <x:v>8</x:v>
      </x:c>
      <x:c r="J502" s="16" t="n">
        <x:f>ROUNDUP(F502/H502,0)</x:f>
        <x:v>3</x:v>
      </x:c>
      <x:c r="K502" s="6" t="n">
        <x:f>MAX(L501+2)</x:f>
        <x:v>353</x:v>
      </x:c>
      <x:c r="L502" s="6" t="n">
        <x:f>K502+J502</x:f>
        <x:v>356</x:v>
      </x:c>
      <x:c r="M502" s="6" t="n">
        <x:f>N502-J502</x:f>
        <x:v>449</x:v>
      </x:c>
      <x:c r="N502" s="6" t="n">
        <x:f>MIN(M503-14)</x:f>
        <x:v>452</x:v>
      </x:c>
      <x:c r="O502" s="6" t="n">
        <x:f>M502-K502</x:f>
        <x:v>96</x:v>
      </x:c>
      <x:c r="P502" s="18" t="n">
        <x:f>INDEX('Calendar'!$C$8:$C$907,K502+1)</x:f>
        <x:v>46739</x:v>
      </x:c>
      <x:c r="Q502" s="18" t="n">
        <x:f>INDEX('Calendar'!$C$8:$C$907,MAX(K502+1,L502))</x:f>
        <x:v>46742</x:v>
      </x:c>
      <x:c r="R502" s="14" t="n">
        <x:v>9048</x:v>
      </x:c>
      <x:c r="S502" s="14"/>
      <x:c r="T502" s="14" t="n">
        <x:f>R502/J502</x:f>
        <x:v>3016</x:v>
      </x:c>
    </x:row>
    <x:row r="503" ht="23" customHeight="1">
      <x:c r="A503" s="1" t="str">
        <x:v>T4-L05-T</x:v>
      </x:c>
      <x:c r="B503" s="1" t="str">
        <x:v>T4</x:v>
      </x:c>
      <x:c r="C503" s="1" t="str">
        <x:v>L05</x:v>
      </x:c>
      <x:c r="D503" s="1" t="str">
        <x:v>Floor finishes and skirtings</x:v>
      </x:c>
      <x:c r="E503" s="1" t="str">
        <x:v>Finishes</x:v>
      </x:c>
      <x:c r="F503" s="15" t="n">
        <x:v>696</x:v>
      </x:c>
      <x:c r="G503" s="1" t="str">
        <x:v>m2</x:v>
      </x:c>
      <x:c r="H503" s="17" t="n">
        <x:v>130</x:v>
      </x:c>
      <x:c r="I503" s="17" t="n">
        <x:v>8</x:v>
      </x:c>
      <x:c r="J503" s="17" t="n">
        <x:f>ROUNDUP(F503/H503,0)</x:f>
        <x:v>6</x:v>
      </x:c>
      <x:c r="K503" s="1" t="n">
        <x:f>MAX(L502+14,L469+0)</x:f>
        <x:v>437</x:v>
      </x:c>
      <x:c r="L503" s="1" t="n">
        <x:f>K503+J503</x:f>
        <x:v>443</x:v>
      </x:c>
      <x:c r="M503" s="1" t="n">
        <x:f>N503-J503</x:f>
        <x:v>466</x:v>
      </x:c>
      <x:c r="N503" s="1" t="n">
        <x:f>MIN(M504-2)</x:f>
        <x:v>472</x:v>
      </x:c>
      <x:c r="O503" s="1" t="n">
        <x:f>M503-K503</x:f>
        <x:v>29</x:v>
      </x:c>
      <x:c r="P503" s="19" t="n">
        <x:f>INDEX('Calendar'!$C$8:$C$907,K503+1)</x:f>
        <x:v>46837</x:v>
      </x:c>
      <x:c r="Q503" s="19" t="n">
        <x:f>INDEX('Calendar'!$C$8:$C$907,MAX(K503+1,L503))</x:f>
        <x:v>46843</x:v>
      </x:c>
      <x:c r="R503" s="15" t="n">
        <x:v>24012</x:v>
      </x:c>
      <x:c r="S503" s="15"/>
      <x:c r="T503" s="15" t="n">
        <x:f>R503/J503</x:f>
        <x:v>4002</x:v>
      </x:c>
    </x:row>
    <x:row r="504" ht="23" customHeight="1">
      <x:c r="A504" s="6" t="str">
        <x:v>T4-L05-A</x:v>
      </x:c>
      <x:c r="B504" s="6" t="str">
        <x:v>T4</x:v>
      </x:c>
      <x:c r="C504" s="6" t="str">
        <x:v>L05</x:v>
      </x:c>
      <x:c r="D504" s="6" t="str">
        <x:v>Paint and final decorations</x:v>
      </x:c>
      <x:c r="E504" s="6" t="str">
        <x:v>Finishes</x:v>
      </x:c>
      <x:c r="F504" s="14" t="n">
        <x:v>1205.3600000000004</x:v>
      </x:c>
      <x:c r="G504" s="6" t="str">
        <x:v>m2</x:v>
      </x:c>
      <x:c r="H504" s="16" t="n">
        <x:v>270</x:v>
      </x:c>
      <x:c r="I504" s="16" t="n">
        <x:v>8</x:v>
      </x:c>
      <x:c r="J504" s="16" t="n">
        <x:f>ROUNDUP(F504/H504,0)</x:f>
        <x:v>5</x:v>
      </x:c>
      <x:c r="K504" s="6" t="n">
        <x:f>MAX(L503+2)</x:f>
        <x:v>445</x:v>
      </x:c>
      <x:c r="L504" s="6" t="n">
        <x:f>K504+J504</x:f>
        <x:v>450</x:v>
      </x:c>
      <x:c r="M504" s="6" t="n">
        <x:f>N504-J504</x:f>
        <x:v>474</x:v>
      </x:c>
      <x:c r="N504" s="6" t="n">
        <x:f>MIN(M505-0)</x:f>
        <x:v>479</x:v>
      </x:c>
      <x:c r="O504" s="6" t="n">
        <x:f>M504-K504</x:f>
        <x:v>29</x:v>
      </x:c>
      <x:c r="P504" s="18" t="n">
        <x:f>INDEX('Calendar'!$C$8:$C$907,K504+1)</x:f>
        <x:v>46847</x:v>
      </x:c>
      <x:c r="Q504" s="18" t="n">
        <x:f>INDEX('Calendar'!$C$8:$C$907,MAX(K504+1,L504))</x:f>
        <x:v>46851</x:v>
      </x:c>
      <x:c r="R504" s="14" t="n">
        <x:v>10245.560000000003</x:v>
      </x:c>
      <x:c r="S504" s="14"/>
      <x:c r="T504" s="14" t="n">
        <x:f>R504/J504</x:f>
        <x:v>2049.1120000000005</x:v>
      </x:c>
    </x:row>
    <x:row r="505" ht="23" customHeight="1">
      <x:c r="A505" s="1" t="str">
        <x:v>T4-L05-D</x:v>
      </x:c>
      <x:c r="B505" s="1" t="str">
        <x:v>T4</x:v>
      </x:c>
      <x:c r="C505" s="1" t="str">
        <x:v>L05</x:v>
      </x:c>
      <x:c r="D505" s="1" t="str">
        <x:v>Door sets and ironmongery</x:v>
      </x:c>
      <x:c r="E505" s="1" t="str">
        <x:v>Finishes</x:v>
      </x:c>
      <x:c r="F505" s="15" t="n">
        <x:v>28</x:v>
      </x:c>
      <x:c r="G505" s="1" t="str">
        <x:v>nr</x:v>
      </x:c>
      <x:c r="H505" s="17" t="n">
        <x:v>10</x:v>
      </x:c>
      <x:c r="I505" s="17" t="n">
        <x:v>4</x:v>
      </x:c>
      <x:c r="J505" s="17" t="n">
        <x:f>ROUNDUP(F505/H505,0)</x:f>
        <x:v>3</x:v>
      </x:c>
      <x:c r="K505" s="1" t="n">
        <x:f>MAX(L504+0)</x:f>
        <x:v>450</x:v>
      </x:c>
      <x:c r="L505" s="1" t="n">
        <x:f>K505+J505</x:f>
        <x:v>453</x:v>
      </x:c>
      <x:c r="M505" s="1" t="n">
        <x:f>N505-J505</x:f>
        <x:v>479</x:v>
      </x:c>
      <x:c r="N505" s="1" t="n">
        <x:f>MIN(M816-0)</x:f>
        <x:v>482</x:v>
      </x:c>
      <x:c r="O505" s="1" t="n">
        <x:f>M505-K505</x:f>
        <x:v>29</x:v>
      </x:c>
      <x:c r="P505" s="19" t="n">
        <x:f>INDEX('Calendar'!$C$8:$C$907,K505+1)</x:f>
        <x:v>46853</x:v>
      </x:c>
      <x:c r="Q505" s="19" t="n">
        <x:f>INDEX('Calendar'!$C$8:$C$907,MAX(K505+1,L505))</x:f>
        <x:v>46855</x:v>
      </x:c>
      <x:c r="R505" s="15" t="n">
        <x:v>5796</x:v>
      </x:c>
      <x:c r="S505" s="15"/>
      <x:c r="T505" s="15" t="n">
        <x:f>R505/J505</x:f>
        <x:v>1932</x:v>
      </x:c>
    </x:row>
    <x:row r="506" ht="23" customHeight="1">
      <x:c r="A506" s="6" t="str">
        <x:v>T4-L06-M</x:v>
      </x:c>
      <x:c r="B506" s="6" t="str">
        <x:v>T4</x:v>
      </x:c>
      <x:c r="C506" s="6" t="str">
        <x:v>L06</x:v>
      </x:c>
      <x:c r="D506" s="6" t="str">
        <x:v>Partition masonry</x:v>
      </x:c>
      <x:c r="E506" s="6" t="str">
        <x:v>Masonry</x:v>
      </x:c>
      <x:c r="F506" s="14" t="n">
        <x:v>90.40200000000002</x:v>
      </x:c>
      <x:c r="G506" s="6" t="str">
        <x:v>m3</x:v>
      </x:c>
      <x:c r="H506" s="16" t="n">
        <x:v>22</x:v>
      </x:c>
      <x:c r="I506" s="16" t="n">
        <x:v>10</x:v>
      </x:c>
      <x:c r="J506" s="16" t="n">
        <x:f>ROUNDUP(F506/H506,0)</x:f>
        <x:v>5</x:v>
      </x:c>
      <x:c r="K506" s="6" t="n">
        <x:f>MAX(L454+5)</x:f>
        <x:v>355</x:v>
      </x:c>
      <x:c r="L506" s="6" t="n">
        <x:f>K506+J506</x:f>
        <x:v>360</x:v>
      </x:c>
      <x:c r="M506" s="6" t="n">
        <x:f>N506-J506</x:f>
        <x:v>433</x:v>
      </x:c>
      <x:c r="N506" s="6" t="n">
        <x:f>MIN(M507-3)</x:f>
        <x:v>438</x:v>
      </x:c>
      <x:c r="O506" s="6" t="n">
        <x:f>M506-K506</x:f>
        <x:v>78</x:v>
      </x:c>
      <x:c r="P506" s="18" t="n">
        <x:f>INDEX('Calendar'!$C$8:$C$907,K506+1)</x:f>
        <x:v>46742</x:v>
      </x:c>
      <x:c r="Q506" s="18" t="n">
        <x:f>INDEX('Calendar'!$C$8:$C$907,MAX(K506+1,L506))</x:f>
        <x:v>46746</x:v>
      </x:c>
      <x:c r="R506" s="14" t="n">
        <x:v>12204.27</x:v>
      </x:c>
      <x:c r="S506" s="14"/>
      <x:c r="T506" s="14" t="n">
        <x:f>R506/J506</x:f>
        <x:v>2440.8540000000003</x:v>
      </x:c>
    </x:row>
    <x:row r="507" ht="23" customHeight="1">
      <x:c r="A507" s="1" t="str">
        <x:v>T4-L06-P</x:v>
      </x:c>
      <x:c r="B507" s="1" t="str">
        <x:v>T4</x:v>
      </x:c>
      <x:c r="C507" s="1" t="str">
        <x:v>L06</x:v>
      </x:c>
      <x:c r="D507" s="1" t="str">
        <x:v>Internal plaster</x:v>
      </x:c>
      <x:c r="E507" s="1" t="str">
        <x:v>Finishes</x:v>
      </x:c>
      <x:c r="F507" s="15" t="n">
        <x:v>1205.3600000000006</x:v>
      </x:c>
      <x:c r="G507" s="1" t="str">
        <x:v>m2</x:v>
      </x:c>
      <x:c r="H507" s="17" t="n">
        <x:v>220</x:v>
      </x:c>
      <x:c r="I507" s="17" t="n">
        <x:v>10</x:v>
      </x:c>
      <x:c r="J507" s="17" t="n">
        <x:f>ROUNDUP(F507/H507,0)</x:f>
        <x:v>6</x:v>
      </x:c>
      <x:c r="K507" s="1" t="n">
        <x:f>MAX(L506+3)</x:f>
        <x:v>363</x:v>
      </x:c>
      <x:c r="L507" s="1" t="n">
        <x:f>K507+J507</x:f>
        <x:v>369</x:v>
      </x:c>
      <x:c r="M507" s="1" t="n">
        <x:f>N507-J507</x:f>
        <x:v>441</x:v>
      </x:c>
      <x:c r="N507" s="1" t="n">
        <x:f>MIN(M508-2)</x:f>
        <x:v>447</x:v>
      </x:c>
      <x:c r="O507" s="1" t="n">
        <x:f>M507-K507</x:f>
        <x:v>78</x:v>
      </x:c>
      <x:c r="P507" s="19" t="n">
        <x:f>INDEX('Calendar'!$C$8:$C$907,K507+1)</x:f>
        <x:v>46751</x:v>
      </x:c>
      <x:c r="Q507" s="19" t="n">
        <x:f>INDEX('Calendar'!$C$8:$C$907,MAX(K507+1,L507))</x:f>
        <x:v>46757</x:v>
      </x:c>
      <x:c r="R507" s="15" t="n">
        <x:v>15067.000000000005</x:v>
      </x:c>
      <x:c r="S507" s="15"/>
      <x:c r="T507" s="15" t="n">
        <x:f>R507/J507</x:f>
        <x:v>2511.1666666666674</x:v>
      </x:c>
    </x:row>
    <x:row r="508" ht="23" customHeight="1">
      <x:c r="A508" s="6" t="str">
        <x:v>T4-L06-S</x:v>
      </x:c>
      <x:c r="B508" s="6" t="str">
        <x:v>T4</x:v>
      </x:c>
      <x:c r="C508" s="6" t="str">
        <x:v>L06</x:v>
      </x:c>
      <x:c r="D508" s="6" t="str">
        <x:v>Screed and substrate preparation</x:v>
      </x:c>
      <x:c r="E508" s="6" t="str">
        <x:v>Finishes</x:v>
      </x:c>
      <x:c r="F508" s="14" t="n">
        <x:v>696</x:v>
      </x:c>
      <x:c r="G508" s="6" t="str">
        <x:v>m2</x:v>
      </x:c>
      <x:c r="H508" s="16" t="n">
        <x:v>240</x:v>
      </x:c>
      <x:c r="I508" s="16" t="n">
        <x:v>8</x:v>
      </x:c>
      <x:c r="J508" s="16" t="n">
        <x:f>ROUNDUP(F508/H508,0)</x:f>
        <x:v>3</x:v>
      </x:c>
      <x:c r="K508" s="6" t="n">
        <x:f>MAX(L507+2)</x:f>
        <x:v>371</x:v>
      </x:c>
      <x:c r="L508" s="6" t="n">
        <x:f>K508+J508</x:f>
        <x:v>374</x:v>
      </x:c>
      <x:c r="M508" s="6" t="n">
        <x:f>N508-J508</x:f>
        <x:v>449</x:v>
      </x:c>
      <x:c r="N508" s="6" t="n">
        <x:f>MIN(M509-14)</x:f>
        <x:v>452</x:v>
      </x:c>
      <x:c r="O508" s="6" t="n">
        <x:f>M508-K508</x:f>
        <x:v>78</x:v>
      </x:c>
      <x:c r="P508" s="18" t="n">
        <x:f>INDEX('Calendar'!$C$8:$C$907,K508+1)</x:f>
        <x:v>46760</x:v>
      </x:c>
      <x:c r="Q508" s="18" t="n">
        <x:f>INDEX('Calendar'!$C$8:$C$907,MAX(K508+1,L508))</x:f>
        <x:v>46763</x:v>
      </x:c>
      <x:c r="R508" s="14" t="n">
        <x:v>9048</x:v>
      </x:c>
      <x:c r="S508" s="14"/>
      <x:c r="T508" s="14" t="n">
        <x:f>R508/J508</x:f>
        <x:v>3016</x:v>
      </x:c>
    </x:row>
    <x:row r="509" ht="23" customHeight="1">
      <x:c r="A509" s="1" t="str">
        <x:v>T4-L06-T</x:v>
      </x:c>
      <x:c r="B509" s="1" t="str">
        <x:v>T4</x:v>
      </x:c>
      <x:c r="C509" s="1" t="str">
        <x:v>L06</x:v>
      </x:c>
      <x:c r="D509" s="1" t="str">
        <x:v>Floor finishes and skirtings</x:v>
      </x:c>
      <x:c r="E509" s="1" t="str">
        <x:v>Finishes</x:v>
      </x:c>
      <x:c r="F509" s="15" t="n">
        <x:v>696</x:v>
      </x:c>
      <x:c r="G509" s="1" t="str">
        <x:v>m2</x:v>
      </x:c>
      <x:c r="H509" s="17" t="n">
        <x:v>130</x:v>
      </x:c>
      <x:c r="I509" s="17" t="n">
        <x:v>8</x:v>
      </x:c>
      <x:c r="J509" s="17" t="n">
        <x:f>ROUNDUP(F509/H509,0)</x:f>
        <x:v>6</x:v>
      </x:c>
      <x:c r="K509" s="1" t="n">
        <x:f>MAX(L508+14,L469+0)</x:f>
        <x:v>437</x:v>
      </x:c>
      <x:c r="L509" s="1" t="n">
        <x:f>K509+J509</x:f>
        <x:v>443</x:v>
      </x:c>
      <x:c r="M509" s="1" t="n">
        <x:f>N509-J509</x:f>
        <x:v>466</x:v>
      </x:c>
      <x:c r="N509" s="1" t="n">
        <x:f>MIN(M510-2)</x:f>
        <x:v>472</x:v>
      </x:c>
      <x:c r="O509" s="1" t="n">
        <x:f>M509-K509</x:f>
        <x:v>29</x:v>
      </x:c>
      <x:c r="P509" s="19" t="n">
        <x:f>INDEX('Calendar'!$C$8:$C$907,K509+1)</x:f>
        <x:v>46837</x:v>
      </x:c>
      <x:c r="Q509" s="19" t="n">
        <x:f>INDEX('Calendar'!$C$8:$C$907,MAX(K509+1,L509))</x:f>
        <x:v>46843</x:v>
      </x:c>
      <x:c r="R509" s="15" t="n">
        <x:v>24012</x:v>
      </x:c>
      <x:c r="S509" s="15"/>
      <x:c r="T509" s="15" t="n">
        <x:f>R509/J509</x:f>
        <x:v>4002</x:v>
      </x:c>
    </x:row>
    <x:row r="510" ht="23" customHeight="1">
      <x:c r="A510" s="6" t="str">
        <x:v>T4-L06-A</x:v>
      </x:c>
      <x:c r="B510" s="6" t="str">
        <x:v>T4</x:v>
      </x:c>
      <x:c r="C510" s="6" t="str">
        <x:v>L06</x:v>
      </x:c>
      <x:c r="D510" s="6" t="str">
        <x:v>Paint and final decorations</x:v>
      </x:c>
      <x:c r="E510" s="6" t="str">
        <x:v>Finishes</x:v>
      </x:c>
      <x:c r="F510" s="14" t="n">
        <x:v>1205.3600000000004</x:v>
      </x:c>
      <x:c r="G510" s="6" t="str">
        <x:v>m2</x:v>
      </x:c>
      <x:c r="H510" s="16" t="n">
        <x:v>270</x:v>
      </x:c>
      <x:c r="I510" s="16" t="n">
        <x:v>8</x:v>
      </x:c>
      <x:c r="J510" s="16" t="n">
        <x:f>ROUNDUP(F510/H510,0)</x:f>
        <x:v>5</x:v>
      </x:c>
      <x:c r="K510" s="6" t="n">
        <x:f>MAX(L509+2)</x:f>
        <x:v>445</x:v>
      </x:c>
      <x:c r="L510" s="6" t="n">
        <x:f>K510+J510</x:f>
        <x:v>450</x:v>
      </x:c>
      <x:c r="M510" s="6" t="n">
        <x:f>N510-J510</x:f>
        <x:v>474</x:v>
      </x:c>
      <x:c r="N510" s="6" t="n">
        <x:f>MIN(M511-0)</x:f>
        <x:v>479</x:v>
      </x:c>
      <x:c r="O510" s="6" t="n">
        <x:f>M510-K510</x:f>
        <x:v>29</x:v>
      </x:c>
      <x:c r="P510" s="18" t="n">
        <x:f>INDEX('Calendar'!$C$8:$C$907,K510+1)</x:f>
        <x:v>46847</x:v>
      </x:c>
      <x:c r="Q510" s="18" t="n">
        <x:f>INDEX('Calendar'!$C$8:$C$907,MAX(K510+1,L510))</x:f>
        <x:v>46851</x:v>
      </x:c>
      <x:c r="R510" s="14" t="n">
        <x:v>10245.560000000003</x:v>
      </x:c>
      <x:c r="S510" s="14"/>
      <x:c r="T510" s="14" t="n">
        <x:f>R510/J510</x:f>
        <x:v>2049.1120000000005</x:v>
      </x:c>
    </x:row>
    <x:row r="511" ht="23" customHeight="1">
      <x:c r="A511" s="1" t="str">
        <x:v>T4-L06-D</x:v>
      </x:c>
      <x:c r="B511" s="1" t="str">
        <x:v>T4</x:v>
      </x:c>
      <x:c r="C511" s="1" t="str">
        <x:v>L06</x:v>
      </x:c>
      <x:c r="D511" s="1" t="str">
        <x:v>Door sets and ironmongery</x:v>
      </x:c>
      <x:c r="E511" s="1" t="str">
        <x:v>Finishes</x:v>
      </x:c>
      <x:c r="F511" s="15" t="n">
        <x:v>28</x:v>
      </x:c>
      <x:c r="G511" s="1" t="str">
        <x:v>nr</x:v>
      </x:c>
      <x:c r="H511" s="17" t="n">
        <x:v>10</x:v>
      </x:c>
      <x:c r="I511" s="17" t="n">
        <x:v>4</x:v>
      </x:c>
      <x:c r="J511" s="17" t="n">
        <x:f>ROUNDUP(F511/H511,0)</x:f>
        <x:v>3</x:v>
      </x:c>
      <x:c r="K511" s="1" t="n">
        <x:f>MAX(L510+0)</x:f>
        <x:v>450</x:v>
      </x:c>
      <x:c r="L511" s="1" t="n">
        <x:f>K511+J511</x:f>
        <x:v>453</x:v>
      </x:c>
      <x:c r="M511" s="1" t="n">
        <x:f>N511-J511</x:f>
        <x:v>479</x:v>
      </x:c>
      <x:c r="N511" s="1" t="n">
        <x:f>MIN(M816-0)</x:f>
        <x:v>482</x:v>
      </x:c>
      <x:c r="O511" s="1" t="n">
        <x:f>M511-K511</x:f>
        <x:v>29</x:v>
      </x:c>
      <x:c r="P511" s="19" t="n">
        <x:f>INDEX('Calendar'!$C$8:$C$907,K511+1)</x:f>
        <x:v>46853</x:v>
      </x:c>
      <x:c r="Q511" s="19" t="n">
        <x:f>INDEX('Calendar'!$C$8:$C$907,MAX(K511+1,L511))</x:f>
        <x:v>46855</x:v>
      </x:c>
      <x:c r="R511" s="15" t="n">
        <x:v>5796</x:v>
      </x:c>
      <x:c r="S511" s="15"/>
      <x:c r="T511" s="15" t="n">
        <x:f>R511/J511</x:f>
        <x:v>1932</x:v>
      </x:c>
    </x:row>
    <x:row r="512" ht="23" customHeight="1">
      <x:c r="A512" s="6" t="str">
        <x:v>T4-L07-M</x:v>
      </x:c>
      <x:c r="B512" s="6" t="str">
        <x:v>T4</x:v>
      </x:c>
      <x:c r="C512" s="6" t="str">
        <x:v>L07</x:v>
      </x:c>
      <x:c r="D512" s="6" t="str">
        <x:v>Partition masonry</x:v>
      </x:c>
      <x:c r="E512" s="6" t="str">
        <x:v>Masonry</x:v>
      </x:c>
      <x:c r="F512" s="14" t="n">
        <x:v>90.40200000000002</x:v>
      </x:c>
      <x:c r="G512" s="6" t="str">
        <x:v>m3</x:v>
      </x:c>
      <x:c r="H512" s="16" t="n">
        <x:v>22</x:v>
      </x:c>
      <x:c r="I512" s="16" t="n">
        <x:v>10</x:v>
      </x:c>
      <x:c r="J512" s="16" t="n">
        <x:f>ROUNDUP(F512/H512,0)</x:f>
        <x:v>5</x:v>
      </x:c>
      <x:c r="K512" s="6" t="n">
        <x:f>MAX(L458+5)</x:f>
        <x:v>373</x:v>
      </x:c>
      <x:c r="L512" s="6" t="n">
        <x:f>K512+J512</x:f>
        <x:v>378</x:v>
      </x:c>
      <x:c r="M512" s="6" t="n">
        <x:f>N512-J512</x:f>
        <x:v>433</x:v>
      </x:c>
      <x:c r="N512" s="6" t="n">
        <x:f>MIN(M513-3)</x:f>
        <x:v>438</x:v>
      </x:c>
      <x:c r="O512" s="6" t="n">
        <x:f>M512-K512</x:f>
        <x:v>60</x:v>
      </x:c>
      <x:c r="P512" s="18" t="n">
        <x:f>INDEX('Calendar'!$C$8:$C$907,K512+1)</x:f>
        <x:v>46763</x:v>
      </x:c>
      <x:c r="Q512" s="18" t="n">
        <x:f>INDEX('Calendar'!$C$8:$C$907,MAX(K512+1,L512))</x:f>
        <x:v>46767</x:v>
      </x:c>
      <x:c r="R512" s="14" t="n">
        <x:v>12204.27</x:v>
      </x:c>
      <x:c r="S512" s="14"/>
      <x:c r="T512" s="14" t="n">
        <x:f>R512/J512</x:f>
        <x:v>2440.8540000000003</x:v>
      </x:c>
    </x:row>
    <x:row r="513" ht="23" customHeight="1">
      <x:c r="A513" s="1" t="str">
        <x:v>T4-L07-P</x:v>
      </x:c>
      <x:c r="B513" s="1" t="str">
        <x:v>T4</x:v>
      </x:c>
      <x:c r="C513" s="1" t="str">
        <x:v>L07</x:v>
      </x:c>
      <x:c r="D513" s="1" t="str">
        <x:v>Internal plaster</x:v>
      </x:c>
      <x:c r="E513" s="1" t="str">
        <x:v>Finishes</x:v>
      </x:c>
      <x:c r="F513" s="15" t="n">
        <x:v>1205.3600000000006</x:v>
      </x:c>
      <x:c r="G513" s="1" t="str">
        <x:v>m2</x:v>
      </x:c>
      <x:c r="H513" s="17" t="n">
        <x:v>220</x:v>
      </x:c>
      <x:c r="I513" s="17" t="n">
        <x:v>10</x:v>
      </x:c>
      <x:c r="J513" s="17" t="n">
        <x:f>ROUNDUP(F513/H513,0)</x:f>
        <x:v>6</x:v>
      </x:c>
      <x:c r="K513" s="1" t="n">
        <x:f>MAX(L512+3)</x:f>
        <x:v>381</x:v>
      </x:c>
      <x:c r="L513" s="1" t="n">
        <x:f>K513+J513</x:f>
        <x:v>387</x:v>
      </x:c>
      <x:c r="M513" s="1" t="n">
        <x:f>N513-J513</x:f>
        <x:v>441</x:v>
      </x:c>
      <x:c r="N513" s="1" t="n">
        <x:f>MIN(M514-2)</x:f>
        <x:v>447</x:v>
      </x:c>
      <x:c r="O513" s="1" t="n">
        <x:f>M513-K513</x:f>
        <x:v>60</x:v>
      </x:c>
      <x:c r="P513" s="19" t="n">
        <x:f>INDEX('Calendar'!$C$8:$C$907,K513+1)</x:f>
        <x:v>46772</x:v>
      </x:c>
      <x:c r="Q513" s="19" t="n">
        <x:f>INDEX('Calendar'!$C$8:$C$907,MAX(K513+1,L513))</x:f>
        <x:v>46778</x:v>
      </x:c>
      <x:c r="R513" s="15" t="n">
        <x:v>15067.000000000005</x:v>
      </x:c>
      <x:c r="S513" s="15"/>
      <x:c r="T513" s="15" t="n">
        <x:f>R513/J513</x:f>
        <x:v>2511.1666666666674</x:v>
      </x:c>
    </x:row>
    <x:row r="514" ht="23" customHeight="1">
      <x:c r="A514" s="6" t="str">
        <x:v>T4-L07-S</x:v>
      </x:c>
      <x:c r="B514" s="6" t="str">
        <x:v>T4</x:v>
      </x:c>
      <x:c r="C514" s="6" t="str">
        <x:v>L07</x:v>
      </x:c>
      <x:c r="D514" s="6" t="str">
        <x:v>Screed and substrate preparation</x:v>
      </x:c>
      <x:c r="E514" s="6" t="str">
        <x:v>Finishes</x:v>
      </x:c>
      <x:c r="F514" s="14" t="n">
        <x:v>696</x:v>
      </x:c>
      <x:c r="G514" s="6" t="str">
        <x:v>m2</x:v>
      </x:c>
      <x:c r="H514" s="16" t="n">
        <x:v>240</x:v>
      </x:c>
      <x:c r="I514" s="16" t="n">
        <x:v>8</x:v>
      </x:c>
      <x:c r="J514" s="16" t="n">
        <x:f>ROUNDUP(F514/H514,0)</x:f>
        <x:v>3</x:v>
      </x:c>
      <x:c r="K514" s="6" t="n">
        <x:f>MAX(L513+2)</x:f>
        <x:v>389</x:v>
      </x:c>
      <x:c r="L514" s="6" t="n">
        <x:f>K514+J514</x:f>
        <x:v>392</x:v>
      </x:c>
      <x:c r="M514" s="6" t="n">
        <x:f>N514-J514</x:f>
        <x:v>449</x:v>
      </x:c>
      <x:c r="N514" s="6" t="n">
        <x:f>MIN(M515-14)</x:f>
        <x:v>452</x:v>
      </x:c>
      <x:c r="O514" s="6" t="n">
        <x:f>M514-K514</x:f>
        <x:v>60</x:v>
      </x:c>
      <x:c r="P514" s="18" t="n">
        <x:f>INDEX('Calendar'!$C$8:$C$907,K514+1)</x:f>
        <x:v>46781</x:v>
      </x:c>
      <x:c r="Q514" s="18" t="n">
        <x:f>INDEX('Calendar'!$C$8:$C$907,MAX(K514+1,L514))</x:f>
        <x:v>46784</x:v>
      </x:c>
      <x:c r="R514" s="14" t="n">
        <x:v>9048</x:v>
      </x:c>
      <x:c r="S514" s="14"/>
      <x:c r="T514" s="14" t="n">
        <x:f>R514/J514</x:f>
        <x:v>3016</x:v>
      </x:c>
    </x:row>
    <x:row r="515" ht="23" customHeight="1">
      <x:c r="A515" s="1" t="str">
        <x:v>T4-L07-T</x:v>
      </x:c>
      <x:c r="B515" s="1" t="str">
        <x:v>T4</x:v>
      </x:c>
      <x:c r="C515" s="1" t="str">
        <x:v>L07</x:v>
      </x:c>
      <x:c r="D515" s="1" t="str">
        <x:v>Floor finishes and skirtings</x:v>
      </x:c>
      <x:c r="E515" s="1" t="str">
        <x:v>Finishes</x:v>
      </x:c>
      <x:c r="F515" s="15" t="n">
        <x:v>696</x:v>
      </x:c>
      <x:c r="G515" s="1" t="str">
        <x:v>m2</x:v>
      </x:c>
      <x:c r="H515" s="17" t="n">
        <x:v>130</x:v>
      </x:c>
      <x:c r="I515" s="17" t="n">
        <x:v>8</x:v>
      </x:c>
      <x:c r="J515" s="17" t="n">
        <x:f>ROUNDUP(F515/H515,0)</x:f>
        <x:v>6</x:v>
      </x:c>
      <x:c r="K515" s="1" t="n">
        <x:f>MAX(L514+14,L469+0)</x:f>
        <x:v>437</x:v>
      </x:c>
      <x:c r="L515" s="1" t="n">
        <x:f>K515+J515</x:f>
        <x:v>443</x:v>
      </x:c>
      <x:c r="M515" s="1" t="n">
        <x:f>N515-J515</x:f>
        <x:v>466</x:v>
      </x:c>
      <x:c r="N515" s="1" t="n">
        <x:f>MIN(M516-2)</x:f>
        <x:v>472</x:v>
      </x:c>
      <x:c r="O515" s="1" t="n">
        <x:f>M515-K515</x:f>
        <x:v>29</x:v>
      </x:c>
      <x:c r="P515" s="19" t="n">
        <x:f>INDEX('Calendar'!$C$8:$C$907,K515+1)</x:f>
        <x:v>46837</x:v>
      </x:c>
      <x:c r="Q515" s="19" t="n">
        <x:f>INDEX('Calendar'!$C$8:$C$907,MAX(K515+1,L515))</x:f>
        <x:v>46843</x:v>
      </x:c>
      <x:c r="R515" s="15" t="n">
        <x:v>24012</x:v>
      </x:c>
      <x:c r="S515" s="15"/>
      <x:c r="T515" s="15" t="n">
        <x:f>R515/J515</x:f>
        <x:v>4002</x:v>
      </x:c>
    </x:row>
    <x:row r="516" ht="23" customHeight="1">
      <x:c r="A516" s="6" t="str">
        <x:v>T4-L07-A</x:v>
      </x:c>
      <x:c r="B516" s="6" t="str">
        <x:v>T4</x:v>
      </x:c>
      <x:c r="C516" s="6" t="str">
        <x:v>L07</x:v>
      </x:c>
      <x:c r="D516" s="6" t="str">
        <x:v>Paint and final decorations</x:v>
      </x:c>
      <x:c r="E516" s="6" t="str">
        <x:v>Finishes</x:v>
      </x:c>
      <x:c r="F516" s="14" t="n">
        <x:v>1205.3600000000004</x:v>
      </x:c>
      <x:c r="G516" s="6" t="str">
        <x:v>m2</x:v>
      </x:c>
      <x:c r="H516" s="16" t="n">
        <x:v>270</x:v>
      </x:c>
      <x:c r="I516" s="16" t="n">
        <x:v>8</x:v>
      </x:c>
      <x:c r="J516" s="16" t="n">
        <x:f>ROUNDUP(F516/H516,0)</x:f>
        <x:v>5</x:v>
      </x:c>
      <x:c r="K516" s="6" t="n">
        <x:f>MAX(L515+2)</x:f>
        <x:v>445</x:v>
      </x:c>
      <x:c r="L516" s="6" t="n">
        <x:f>K516+J516</x:f>
        <x:v>450</x:v>
      </x:c>
      <x:c r="M516" s="6" t="n">
        <x:f>N516-J516</x:f>
        <x:v>474</x:v>
      </x:c>
      <x:c r="N516" s="6" t="n">
        <x:f>MIN(M517-0)</x:f>
        <x:v>479</x:v>
      </x:c>
      <x:c r="O516" s="6" t="n">
        <x:f>M516-K516</x:f>
        <x:v>29</x:v>
      </x:c>
      <x:c r="P516" s="18" t="n">
        <x:f>INDEX('Calendar'!$C$8:$C$907,K516+1)</x:f>
        <x:v>46847</x:v>
      </x:c>
      <x:c r="Q516" s="18" t="n">
        <x:f>INDEX('Calendar'!$C$8:$C$907,MAX(K516+1,L516))</x:f>
        <x:v>46851</x:v>
      </x:c>
      <x:c r="R516" s="14" t="n">
        <x:v>10245.560000000003</x:v>
      </x:c>
      <x:c r="S516" s="14"/>
      <x:c r="T516" s="14" t="n">
        <x:f>R516/J516</x:f>
        <x:v>2049.1120000000005</x:v>
      </x:c>
    </x:row>
    <x:row r="517" ht="23" customHeight="1">
      <x:c r="A517" s="1" t="str">
        <x:v>T4-L07-D</x:v>
      </x:c>
      <x:c r="B517" s="1" t="str">
        <x:v>T4</x:v>
      </x:c>
      <x:c r="C517" s="1" t="str">
        <x:v>L07</x:v>
      </x:c>
      <x:c r="D517" s="1" t="str">
        <x:v>Door sets and ironmongery</x:v>
      </x:c>
      <x:c r="E517" s="1" t="str">
        <x:v>Finishes</x:v>
      </x:c>
      <x:c r="F517" s="15" t="n">
        <x:v>28</x:v>
      </x:c>
      <x:c r="G517" s="1" t="str">
        <x:v>nr</x:v>
      </x:c>
      <x:c r="H517" s="17" t="n">
        <x:v>10</x:v>
      </x:c>
      <x:c r="I517" s="17" t="n">
        <x:v>4</x:v>
      </x:c>
      <x:c r="J517" s="17" t="n">
        <x:f>ROUNDUP(F517/H517,0)</x:f>
        <x:v>3</x:v>
      </x:c>
      <x:c r="K517" s="1" t="n">
        <x:f>MAX(L516+0)</x:f>
        <x:v>450</x:v>
      </x:c>
      <x:c r="L517" s="1" t="n">
        <x:f>K517+J517</x:f>
        <x:v>453</x:v>
      </x:c>
      <x:c r="M517" s="1" t="n">
        <x:f>N517-J517</x:f>
        <x:v>479</x:v>
      </x:c>
      <x:c r="N517" s="1" t="n">
        <x:f>MIN(M816-0)</x:f>
        <x:v>482</x:v>
      </x:c>
      <x:c r="O517" s="1" t="n">
        <x:f>M517-K517</x:f>
        <x:v>29</x:v>
      </x:c>
      <x:c r="P517" s="19" t="n">
        <x:f>INDEX('Calendar'!$C$8:$C$907,K517+1)</x:f>
        <x:v>46853</x:v>
      </x:c>
      <x:c r="Q517" s="19" t="n">
        <x:f>INDEX('Calendar'!$C$8:$C$907,MAX(K517+1,L517))</x:f>
        <x:v>46855</x:v>
      </x:c>
      <x:c r="R517" s="15" t="n">
        <x:v>5796</x:v>
      </x:c>
      <x:c r="S517" s="15"/>
      <x:c r="T517" s="15" t="n">
        <x:f>R517/J517</x:f>
        <x:v>1932</x:v>
      </x:c>
    </x:row>
    <x:row r="518" ht="23" customHeight="1">
      <x:c r="A518" s="6" t="str">
        <x:v>T4-L08-M</x:v>
      </x:c>
      <x:c r="B518" s="6" t="str">
        <x:v>T4</x:v>
      </x:c>
      <x:c r="C518" s="6" t="str">
        <x:v>L08</x:v>
      </x:c>
      <x:c r="D518" s="6" t="str">
        <x:v>Partition masonry</x:v>
      </x:c>
      <x:c r="E518" s="6" t="str">
        <x:v>Masonry</x:v>
      </x:c>
      <x:c r="F518" s="14" t="n">
        <x:v>90.40200000000002</x:v>
      </x:c>
      <x:c r="G518" s="6" t="str">
        <x:v>m3</x:v>
      </x:c>
      <x:c r="H518" s="16" t="n">
        <x:v>22</x:v>
      </x:c>
      <x:c r="I518" s="16" t="n">
        <x:v>10</x:v>
      </x:c>
      <x:c r="J518" s="16" t="n">
        <x:f>ROUNDUP(F518/H518,0)</x:f>
        <x:v>5</x:v>
      </x:c>
      <x:c r="K518" s="6" t="n">
        <x:f>MAX(L462+5)</x:f>
        <x:v>391</x:v>
      </x:c>
      <x:c r="L518" s="6" t="n">
        <x:f>K518+J518</x:f>
        <x:v>396</x:v>
      </x:c>
      <x:c r="M518" s="6" t="n">
        <x:f>N518-J518</x:f>
        <x:v>433</x:v>
      </x:c>
      <x:c r="N518" s="6" t="n">
        <x:f>MIN(M519-3)</x:f>
        <x:v>438</x:v>
      </x:c>
      <x:c r="O518" s="6" t="n">
        <x:f>M518-K518</x:f>
        <x:v>42</x:v>
      </x:c>
      <x:c r="P518" s="18" t="n">
        <x:f>INDEX('Calendar'!$C$8:$C$907,K518+1)</x:f>
        <x:v>46784</x:v>
      </x:c>
      <x:c r="Q518" s="18" t="n">
        <x:f>INDEX('Calendar'!$C$8:$C$907,MAX(K518+1,L518))</x:f>
        <x:v>46788</x:v>
      </x:c>
      <x:c r="R518" s="14" t="n">
        <x:v>12204.27</x:v>
      </x:c>
      <x:c r="S518" s="14"/>
      <x:c r="T518" s="14" t="n">
        <x:f>R518/J518</x:f>
        <x:v>2440.8540000000003</x:v>
      </x:c>
    </x:row>
    <x:row r="519" ht="23" customHeight="1">
      <x:c r="A519" s="1" t="str">
        <x:v>T4-L08-P</x:v>
      </x:c>
      <x:c r="B519" s="1" t="str">
        <x:v>T4</x:v>
      </x:c>
      <x:c r="C519" s="1" t="str">
        <x:v>L08</x:v>
      </x:c>
      <x:c r="D519" s="1" t="str">
        <x:v>Internal plaster</x:v>
      </x:c>
      <x:c r="E519" s="1" t="str">
        <x:v>Finishes</x:v>
      </x:c>
      <x:c r="F519" s="15" t="n">
        <x:v>1205.3600000000006</x:v>
      </x:c>
      <x:c r="G519" s="1" t="str">
        <x:v>m2</x:v>
      </x:c>
      <x:c r="H519" s="17" t="n">
        <x:v>220</x:v>
      </x:c>
      <x:c r="I519" s="17" t="n">
        <x:v>10</x:v>
      </x:c>
      <x:c r="J519" s="17" t="n">
        <x:f>ROUNDUP(F519/H519,0)</x:f>
        <x:v>6</x:v>
      </x:c>
      <x:c r="K519" s="1" t="n">
        <x:f>MAX(L518+3)</x:f>
        <x:v>399</x:v>
      </x:c>
      <x:c r="L519" s="1" t="n">
        <x:f>K519+J519</x:f>
        <x:v>405</x:v>
      </x:c>
      <x:c r="M519" s="1" t="n">
        <x:f>N519-J519</x:f>
        <x:v>441</x:v>
      </x:c>
      <x:c r="N519" s="1" t="n">
        <x:f>MIN(M520-2)</x:f>
        <x:v>447</x:v>
      </x:c>
      <x:c r="O519" s="1" t="n">
        <x:f>M519-K519</x:f>
        <x:v>42</x:v>
      </x:c>
      <x:c r="P519" s="19" t="n">
        <x:f>INDEX('Calendar'!$C$8:$C$907,K519+1)</x:f>
        <x:v>46793</x:v>
      </x:c>
      <x:c r="Q519" s="19" t="n">
        <x:f>INDEX('Calendar'!$C$8:$C$907,MAX(K519+1,L519))</x:f>
        <x:v>46799</x:v>
      </x:c>
      <x:c r="R519" s="15" t="n">
        <x:v>15067.000000000005</x:v>
      </x:c>
      <x:c r="S519" s="15"/>
      <x:c r="T519" s="15" t="n">
        <x:f>R519/J519</x:f>
        <x:v>2511.1666666666674</x:v>
      </x:c>
    </x:row>
    <x:row r="520" ht="23" customHeight="1">
      <x:c r="A520" s="6" t="str">
        <x:v>T4-L08-S</x:v>
      </x:c>
      <x:c r="B520" s="6" t="str">
        <x:v>T4</x:v>
      </x:c>
      <x:c r="C520" s="6" t="str">
        <x:v>L08</x:v>
      </x:c>
      <x:c r="D520" s="6" t="str">
        <x:v>Screed and substrate preparation</x:v>
      </x:c>
      <x:c r="E520" s="6" t="str">
        <x:v>Finishes</x:v>
      </x:c>
      <x:c r="F520" s="14" t="n">
        <x:v>696</x:v>
      </x:c>
      <x:c r="G520" s="6" t="str">
        <x:v>m2</x:v>
      </x:c>
      <x:c r="H520" s="16" t="n">
        <x:v>240</x:v>
      </x:c>
      <x:c r="I520" s="16" t="n">
        <x:v>8</x:v>
      </x:c>
      <x:c r="J520" s="16" t="n">
        <x:f>ROUNDUP(F520/H520,0)</x:f>
        <x:v>3</x:v>
      </x:c>
      <x:c r="K520" s="6" t="n">
        <x:f>MAX(L519+2)</x:f>
        <x:v>407</x:v>
      </x:c>
      <x:c r="L520" s="6" t="n">
        <x:f>K520+J520</x:f>
        <x:v>410</x:v>
      </x:c>
      <x:c r="M520" s="6" t="n">
        <x:f>N520-J520</x:f>
        <x:v>449</x:v>
      </x:c>
      <x:c r="N520" s="6" t="n">
        <x:f>MIN(M521-14)</x:f>
        <x:v>452</x:v>
      </x:c>
      <x:c r="O520" s="6" t="n">
        <x:f>M520-K520</x:f>
        <x:v>42</x:v>
      </x:c>
      <x:c r="P520" s="18" t="n">
        <x:f>INDEX('Calendar'!$C$8:$C$907,K520+1)</x:f>
        <x:v>46802</x:v>
      </x:c>
      <x:c r="Q520" s="18" t="n">
        <x:f>INDEX('Calendar'!$C$8:$C$907,MAX(K520+1,L520))</x:f>
        <x:v>46805</x:v>
      </x:c>
      <x:c r="R520" s="14" t="n">
        <x:v>9048</x:v>
      </x:c>
      <x:c r="S520" s="14"/>
      <x:c r="T520" s="14" t="n">
        <x:f>R520/J520</x:f>
        <x:v>3016</x:v>
      </x:c>
    </x:row>
    <x:row r="521" ht="23" customHeight="1">
      <x:c r="A521" s="1" t="str">
        <x:v>T4-L08-T</x:v>
      </x:c>
      <x:c r="B521" s="1" t="str">
        <x:v>T4</x:v>
      </x:c>
      <x:c r="C521" s="1" t="str">
        <x:v>L08</x:v>
      </x:c>
      <x:c r="D521" s="1" t="str">
        <x:v>Floor finishes and skirtings</x:v>
      </x:c>
      <x:c r="E521" s="1" t="str">
        <x:v>Finishes</x:v>
      </x:c>
      <x:c r="F521" s="15" t="n">
        <x:v>696</x:v>
      </x:c>
      <x:c r="G521" s="1" t="str">
        <x:v>m2</x:v>
      </x:c>
      <x:c r="H521" s="17" t="n">
        <x:v>130</x:v>
      </x:c>
      <x:c r="I521" s="17" t="n">
        <x:v>8</x:v>
      </x:c>
      <x:c r="J521" s="17" t="n">
        <x:f>ROUNDUP(F521/H521,0)</x:f>
        <x:v>6</x:v>
      </x:c>
      <x:c r="K521" s="1" t="n">
        <x:f>MAX(L520+14,L469+0)</x:f>
        <x:v>437</x:v>
      </x:c>
      <x:c r="L521" s="1" t="n">
        <x:f>K521+J521</x:f>
        <x:v>443</x:v>
      </x:c>
      <x:c r="M521" s="1" t="n">
        <x:f>N521-J521</x:f>
        <x:v>466</x:v>
      </x:c>
      <x:c r="N521" s="1" t="n">
        <x:f>MIN(M522-2)</x:f>
        <x:v>472</x:v>
      </x:c>
      <x:c r="O521" s="1" t="n">
        <x:f>M521-K521</x:f>
        <x:v>29</x:v>
      </x:c>
      <x:c r="P521" s="19" t="n">
        <x:f>INDEX('Calendar'!$C$8:$C$907,K521+1)</x:f>
        <x:v>46837</x:v>
      </x:c>
      <x:c r="Q521" s="19" t="n">
        <x:f>INDEX('Calendar'!$C$8:$C$907,MAX(K521+1,L521))</x:f>
        <x:v>46843</x:v>
      </x:c>
      <x:c r="R521" s="15" t="n">
        <x:v>24012</x:v>
      </x:c>
      <x:c r="S521" s="15"/>
      <x:c r="T521" s="15" t="n">
        <x:f>R521/J521</x:f>
        <x:v>4002</x:v>
      </x:c>
    </x:row>
    <x:row r="522" ht="23" customHeight="1">
      <x:c r="A522" s="6" t="str">
        <x:v>T4-L08-A</x:v>
      </x:c>
      <x:c r="B522" s="6" t="str">
        <x:v>T4</x:v>
      </x:c>
      <x:c r="C522" s="6" t="str">
        <x:v>L08</x:v>
      </x:c>
      <x:c r="D522" s="6" t="str">
        <x:v>Paint and final decorations</x:v>
      </x:c>
      <x:c r="E522" s="6" t="str">
        <x:v>Finishes</x:v>
      </x:c>
      <x:c r="F522" s="14" t="n">
        <x:v>1205.3600000000004</x:v>
      </x:c>
      <x:c r="G522" s="6" t="str">
        <x:v>m2</x:v>
      </x:c>
      <x:c r="H522" s="16" t="n">
        <x:v>270</x:v>
      </x:c>
      <x:c r="I522" s="16" t="n">
        <x:v>8</x:v>
      </x:c>
      <x:c r="J522" s="16" t="n">
        <x:f>ROUNDUP(F522/H522,0)</x:f>
        <x:v>5</x:v>
      </x:c>
      <x:c r="K522" s="6" t="n">
        <x:f>MAX(L521+2)</x:f>
        <x:v>445</x:v>
      </x:c>
      <x:c r="L522" s="6" t="n">
        <x:f>K522+J522</x:f>
        <x:v>450</x:v>
      </x:c>
      <x:c r="M522" s="6" t="n">
        <x:f>N522-J522</x:f>
        <x:v>474</x:v>
      </x:c>
      <x:c r="N522" s="6" t="n">
        <x:f>MIN(M523-0)</x:f>
        <x:v>479</x:v>
      </x:c>
      <x:c r="O522" s="6" t="n">
        <x:f>M522-K522</x:f>
        <x:v>29</x:v>
      </x:c>
      <x:c r="P522" s="18" t="n">
        <x:f>INDEX('Calendar'!$C$8:$C$907,K522+1)</x:f>
        <x:v>46847</x:v>
      </x:c>
      <x:c r="Q522" s="18" t="n">
        <x:f>INDEX('Calendar'!$C$8:$C$907,MAX(K522+1,L522))</x:f>
        <x:v>46851</x:v>
      </x:c>
      <x:c r="R522" s="14" t="n">
        <x:v>10245.560000000003</x:v>
      </x:c>
      <x:c r="S522" s="14"/>
      <x:c r="T522" s="14" t="n">
        <x:f>R522/J522</x:f>
        <x:v>2049.1120000000005</x:v>
      </x:c>
    </x:row>
    <x:row r="523" ht="23" customHeight="1">
      <x:c r="A523" s="1" t="str">
        <x:v>T4-L08-D</x:v>
      </x:c>
      <x:c r="B523" s="1" t="str">
        <x:v>T4</x:v>
      </x:c>
      <x:c r="C523" s="1" t="str">
        <x:v>L08</x:v>
      </x:c>
      <x:c r="D523" s="1" t="str">
        <x:v>Door sets and ironmongery</x:v>
      </x:c>
      <x:c r="E523" s="1" t="str">
        <x:v>Finishes</x:v>
      </x:c>
      <x:c r="F523" s="15" t="n">
        <x:v>28</x:v>
      </x:c>
      <x:c r="G523" s="1" t="str">
        <x:v>nr</x:v>
      </x:c>
      <x:c r="H523" s="17" t="n">
        <x:v>10</x:v>
      </x:c>
      <x:c r="I523" s="17" t="n">
        <x:v>4</x:v>
      </x:c>
      <x:c r="J523" s="17" t="n">
        <x:f>ROUNDUP(F523/H523,0)</x:f>
        <x:v>3</x:v>
      </x:c>
      <x:c r="K523" s="1" t="n">
        <x:f>MAX(L522+0)</x:f>
        <x:v>450</x:v>
      </x:c>
      <x:c r="L523" s="1" t="n">
        <x:f>K523+J523</x:f>
        <x:v>453</x:v>
      </x:c>
      <x:c r="M523" s="1" t="n">
        <x:f>N523-J523</x:f>
        <x:v>479</x:v>
      </x:c>
      <x:c r="N523" s="1" t="n">
        <x:f>MIN(M816-0)</x:f>
        <x:v>482</x:v>
      </x:c>
      <x:c r="O523" s="1" t="n">
        <x:f>M523-K523</x:f>
        <x:v>29</x:v>
      </x:c>
      <x:c r="P523" s="19" t="n">
        <x:f>INDEX('Calendar'!$C$8:$C$907,K523+1)</x:f>
        <x:v>46853</x:v>
      </x:c>
      <x:c r="Q523" s="19" t="n">
        <x:f>INDEX('Calendar'!$C$8:$C$907,MAX(K523+1,L523))</x:f>
        <x:v>46855</x:v>
      </x:c>
      <x:c r="R523" s="15" t="n">
        <x:v>5796</x:v>
      </x:c>
      <x:c r="S523" s="15"/>
      <x:c r="T523" s="15" t="n">
        <x:f>R523/J523</x:f>
        <x:v>1932</x:v>
      </x:c>
    </x:row>
    <x:row r="524" ht="23" customHeight="1">
      <x:c r="A524" s="6" t="str">
        <x:v>T4-L09-M</x:v>
      </x:c>
      <x:c r="B524" s="6" t="str">
        <x:v>T4</x:v>
      </x:c>
      <x:c r="C524" s="6" t="str">
        <x:v>L09</x:v>
      </x:c>
      <x:c r="D524" s="6" t="str">
        <x:v>Partition masonry</x:v>
      </x:c>
      <x:c r="E524" s="6" t="str">
        <x:v>Masonry</x:v>
      </x:c>
      <x:c r="F524" s="14" t="n">
        <x:v>90.40200000000002</x:v>
      </x:c>
      <x:c r="G524" s="6" t="str">
        <x:v>m3</x:v>
      </x:c>
      <x:c r="H524" s="16" t="n">
        <x:v>22</x:v>
      </x:c>
      <x:c r="I524" s="16" t="n">
        <x:v>10</x:v>
      </x:c>
      <x:c r="J524" s="16" t="n">
        <x:f>ROUNDUP(F524/H524,0)</x:f>
        <x:v>5</x:v>
      </x:c>
      <x:c r="K524" s="6" t="n">
        <x:f>MAX(L466+5)</x:f>
        <x:v>409</x:v>
      </x:c>
      <x:c r="L524" s="6" t="n">
        <x:f>K524+J524</x:f>
        <x:v>414</x:v>
      </x:c>
      <x:c r="M524" s="6" t="n">
        <x:f>N524-J524</x:f>
        <x:v>433</x:v>
      </x:c>
      <x:c r="N524" s="6" t="n">
        <x:f>MIN(M525-3)</x:f>
        <x:v>438</x:v>
      </x:c>
      <x:c r="O524" s="6" t="n">
        <x:f>M524-K524</x:f>
        <x:v>24</x:v>
      </x:c>
      <x:c r="P524" s="18" t="n">
        <x:f>INDEX('Calendar'!$C$8:$C$907,K524+1)</x:f>
        <x:v>46805</x:v>
      </x:c>
      <x:c r="Q524" s="18" t="n">
        <x:f>INDEX('Calendar'!$C$8:$C$907,MAX(K524+1,L524))</x:f>
        <x:v>46809</x:v>
      </x:c>
      <x:c r="R524" s="14" t="n">
        <x:v>12204.27</x:v>
      </x:c>
      <x:c r="S524" s="14"/>
      <x:c r="T524" s="14" t="n">
        <x:f>R524/J524</x:f>
        <x:v>2440.8540000000003</x:v>
      </x:c>
    </x:row>
    <x:row r="525" ht="23" customHeight="1">
      <x:c r="A525" s="1" t="str">
        <x:v>T4-L09-P</x:v>
      </x:c>
      <x:c r="B525" s="1" t="str">
        <x:v>T4</x:v>
      </x:c>
      <x:c r="C525" s="1" t="str">
        <x:v>L09</x:v>
      </x:c>
      <x:c r="D525" s="1" t="str">
        <x:v>Internal plaster</x:v>
      </x:c>
      <x:c r="E525" s="1" t="str">
        <x:v>Finishes</x:v>
      </x:c>
      <x:c r="F525" s="15" t="n">
        <x:v>1205.3600000000006</x:v>
      </x:c>
      <x:c r="G525" s="1" t="str">
        <x:v>m2</x:v>
      </x:c>
      <x:c r="H525" s="17" t="n">
        <x:v>220</x:v>
      </x:c>
      <x:c r="I525" s="17" t="n">
        <x:v>10</x:v>
      </x:c>
      <x:c r="J525" s="17" t="n">
        <x:f>ROUNDUP(F525/H525,0)</x:f>
        <x:v>6</x:v>
      </x:c>
      <x:c r="K525" s="1" t="n">
        <x:f>MAX(L524+3)</x:f>
        <x:v>417</x:v>
      </x:c>
      <x:c r="L525" s="1" t="n">
        <x:f>K525+J525</x:f>
        <x:v>423</x:v>
      </x:c>
      <x:c r="M525" s="1" t="n">
        <x:f>N525-J525</x:f>
        <x:v>441</x:v>
      </x:c>
      <x:c r="N525" s="1" t="n">
        <x:f>MIN(M526-2)</x:f>
        <x:v>447</x:v>
      </x:c>
      <x:c r="O525" s="1" t="n">
        <x:f>M525-K525</x:f>
        <x:v>24</x:v>
      </x:c>
      <x:c r="P525" s="19" t="n">
        <x:f>INDEX('Calendar'!$C$8:$C$907,K525+1)</x:f>
        <x:v>46814</x:v>
      </x:c>
      <x:c r="Q525" s="19" t="n">
        <x:f>INDEX('Calendar'!$C$8:$C$907,MAX(K525+1,L525))</x:f>
        <x:v>46820</x:v>
      </x:c>
      <x:c r="R525" s="15" t="n">
        <x:v>15067.000000000005</x:v>
      </x:c>
      <x:c r="S525" s="15"/>
      <x:c r="T525" s="15" t="n">
        <x:f>R525/J525</x:f>
        <x:v>2511.1666666666674</x:v>
      </x:c>
    </x:row>
    <x:row r="526" ht="23" customHeight="1">
      <x:c r="A526" s="6" t="str">
        <x:v>T4-L09-S</x:v>
      </x:c>
      <x:c r="B526" s="6" t="str">
        <x:v>T4</x:v>
      </x:c>
      <x:c r="C526" s="6" t="str">
        <x:v>L09</x:v>
      </x:c>
      <x:c r="D526" s="6" t="str">
        <x:v>Screed and substrate preparation</x:v>
      </x:c>
      <x:c r="E526" s="6" t="str">
        <x:v>Finishes</x:v>
      </x:c>
      <x:c r="F526" s="14" t="n">
        <x:v>696</x:v>
      </x:c>
      <x:c r="G526" s="6" t="str">
        <x:v>m2</x:v>
      </x:c>
      <x:c r="H526" s="16" t="n">
        <x:v>240</x:v>
      </x:c>
      <x:c r="I526" s="16" t="n">
        <x:v>8</x:v>
      </x:c>
      <x:c r="J526" s="16" t="n">
        <x:f>ROUNDUP(F526/H526,0)</x:f>
        <x:v>3</x:v>
      </x:c>
      <x:c r="K526" s="6" t="n">
        <x:f>MAX(L525+2)</x:f>
        <x:v>425</x:v>
      </x:c>
      <x:c r="L526" s="6" t="n">
        <x:f>K526+J526</x:f>
        <x:v>428</x:v>
      </x:c>
      <x:c r="M526" s="6" t="n">
        <x:f>N526-J526</x:f>
        <x:v>449</x:v>
      </x:c>
      <x:c r="N526" s="6" t="n">
        <x:f>MIN(M527-14)</x:f>
        <x:v>452</x:v>
      </x:c>
      <x:c r="O526" s="6" t="n">
        <x:f>M526-K526</x:f>
        <x:v>24</x:v>
      </x:c>
      <x:c r="P526" s="18" t="n">
        <x:f>INDEX('Calendar'!$C$8:$C$907,K526+1)</x:f>
        <x:v>46823</x:v>
      </x:c>
      <x:c r="Q526" s="18" t="n">
        <x:f>INDEX('Calendar'!$C$8:$C$907,MAX(K526+1,L526))</x:f>
        <x:v>46826</x:v>
      </x:c>
      <x:c r="R526" s="14" t="n">
        <x:v>9048</x:v>
      </x:c>
      <x:c r="S526" s="14"/>
      <x:c r="T526" s="14" t="n">
        <x:f>R526/J526</x:f>
        <x:v>3016</x:v>
      </x:c>
    </x:row>
    <x:row r="527" ht="23" customHeight="1">
      <x:c r="A527" s="1" t="str">
        <x:v>T4-L09-T</x:v>
      </x:c>
      <x:c r="B527" s="1" t="str">
        <x:v>T4</x:v>
      </x:c>
      <x:c r="C527" s="1" t="str">
        <x:v>L09</x:v>
      </x:c>
      <x:c r="D527" s="1" t="str">
        <x:v>Floor finishes and skirtings</x:v>
      </x:c>
      <x:c r="E527" s="1" t="str">
        <x:v>Finishes</x:v>
      </x:c>
      <x:c r="F527" s="15" t="n">
        <x:v>696</x:v>
      </x:c>
      <x:c r="G527" s="1" t="str">
        <x:v>m2</x:v>
      </x:c>
      <x:c r="H527" s="17" t="n">
        <x:v>130</x:v>
      </x:c>
      <x:c r="I527" s="17" t="n">
        <x:v>8</x:v>
      </x:c>
      <x:c r="J527" s="17" t="n">
        <x:f>ROUNDUP(F527/H527,0)</x:f>
        <x:v>6</x:v>
      </x:c>
      <x:c r="K527" s="1" t="n">
        <x:f>MAX(L526+14,L469+0)</x:f>
        <x:v>442</x:v>
      </x:c>
      <x:c r="L527" s="1" t="n">
        <x:f>K527+J527</x:f>
        <x:v>448</x:v>
      </x:c>
      <x:c r="M527" s="1" t="n">
        <x:f>N527-J527</x:f>
        <x:v>466</x:v>
      </x:c>
      <x:c r="N527" s="1" t="n">
        <x:f>MIN(M528-2)</x:f>
        <x:v>472</x:v>
      </x:c>
      <x:c r="O527" s="1" t="n">
        <x:f>M527-K527</x:f>
        <x:v>24</x:v>
      </x:c>
      <x:c r="P527" s="19" t="n">
        <x:f>INDEX('Calendar'!$C$8:$C$907,K527+1)</x:f>
        <x:v>46843</x:v>
      </x:c>
      <x:c r="Q527" s="19" t="n">
        <x:f>INDEX('Calendar'!$C$8:$C$907,MAX(K527+1,L527))</x:f>
        <x:v>46849</x:v>
      </x:c>
      <x:c r="R527" s="15" t="n">
        <x:v>24012</x:v>
      </x:c>
      <x:c r="S527" s="15"/>
      <x:c r="T527" s="15" t="n">
        <x:f>R527/J527</x:f>
        <x:v>4002</x:v>
      </x:c>
    </x:row>
    <x:row r="528" ht="23" customHeight="1">
      <x:c r="A528" s="6" t="str">
        <x:v>T4-L09-A</x:v>
      </x:c>
      <x:c r="B528" s="6" t="str">
        <x:v>T4</x:v>
      </x:c>
      <x:c r="C528" s="6" t="str">
        <x:v>L09</x:v>
      </x:c>
      <x:c r="D528" s="6" t="str">
        <x:v>Paint and final decorations</x:v>
      </x:c>
      <x:c r="E528" s="6" t="str">
        <x:v>Finishes</x:v>
      </x:c>
      <x:c r="F528" s="14" t="n">
        <x:v>1205.3600000000004</x:v>
      </x:c>
      <x:c r="G528" s="6" t="str">
        <x:v>m2</x:v>
      </x:c>
      <x:c r="H528" s="16" t="n">
        <x:v>270</x:v>
      </x:c>
      <x:c r="I528" s="16" t="n">
        <x:v>8</x:v>
      </x:c>
      <x:c r="J528" s="16" t="n">
        <x:f>ROUNDUP(F528/H528,0)</x:f>
        <x:v>5</x:v>
      </x:c>
      <x:c r="K528" s="6" t="n">
        <x:f>MAX(L527+2)</x:f>
        <x:v>450</x:v>
      </x:c>
      <x:c r="L528" s="6" t="n">
        <x:f>K528+J528</x:f>
        <x:v>455</x:v>
      </x:c>
      <x:c r="M528" s="6" t="n">
        <x:f>N528-J528</x:f>
        <x:v>474</x:v>
      </x:c>
      <x:c r="N528" s="6" t="n">
        <x:f>MIN(M529-0)</x:f>
        <x:v>479</x:v>
      </x:c>
      <x:c r="O528" s="6" t="n">
        <x:f>M528-K528</x:f>
        <x:v>24</x:v>
      </x:c>
      <x:c r="P528" s="18" t="n">
        <x:f>INDEX('Calendar'!$C$8:$C$907,K528+1)</x:f>
        <x:v>46853</x:v>
      </x:c>
      <x:c r="Q528" s="18" t="n">
        <x:f>INDEX('Calendar'!$C$8:$C$907,MAX(K528+1,L528))</x:f>
        <x:v>46857</x:v>
      </x:c>
      <x:c r="R528" s="14" t="n">
        <x:v>10245.560000000003</x:v>
      </x:c>
      <x:c r="S528" s="14"/>
      <x:c r="T528" s="14" t="n">
        <x:f>R528/J528</x:f>
        <x:v>2049.1120000000005</x:v>
      </x:c>
    </x:row>
    <x:row r="529" ht="23" customHeight="1">
      <x:c r="A529" s="1" t="str">
        <x:v>T4-L09-D</x:v>
      </x:c>
      <x:c r="B529" s="1" t="str">
        <x:v>T4</x:v>
      </x:c>
      <x:c r="C529" s="1" t="str">
        <x:v>L09</x:v>
      </x:c>
      <x:c r="D529" s="1" t="str">
        <x:v>Door sets and ironmongery</x:v>
      </x:c>
      <x:c r="E529" s="1" t="str">
        <x:v>Finishes</x:v>
      </x:c>
      <x:c r="F529" s="15" t="n">
        <x:v>28</x:v>
      </x:c>
      <x:c r="G529" s="1" t="str">
        <x:v>nr</x:v>
      </x:c>
      <x:c r="H529" s="17" t="n">
        <x:v>10</x:v>
      </x:c>
      <x:c r="I529" s="17" t="n">
        <x:v>4</x:v>
      </x:c>
      <x:c r="J529" s="17" t="n">
        <x:f>ROUNDUP(F529/H529,0)</x:f>
        <x:v>3</x:v>
      </x:c>
      <x:c r="K529" s="1" t="n">
        <x:f>MAX(L528+0)</x:f>
        <x:v>455</x:v>
      </x:c>
      <x:c r="L529" s="1" t="n">
        <x:f>K529+J529</x:f>
        <x:v>458</x:v>
      </x:c>
      <x:c r="M529" s="1" t="n">
        <x:f>N529-J529</x:f>
        <x:v>479</x:v>
      </x:c>
      <x:c r="N529" s="1" t="n">
        <x:f>MIN(M816-0)</x:f>
        <x:v>482</x:v>
      </x:c>
      <x:c r="O529" s="1" t="n">
        <x:f>M529-K529</x:f>
        <x:v>24</x:v>
      </x:c>
      <x:c r="P529" s="19" t="n">
        <x:f>INDEX('Calendar'!$C$8:$C$907,K529+1)</x:f>
        <x:v>46858</x:v>
      </x:c>
      <x:c r="Q529" s="19" t="n">
        <x:f>INDEX('Calendar'!$C$8:$C$907,MAX(K529+1,L529))</x:f>
        <x:v>46861</x:v>
      </x:c>
      <x:c r="R529" s="15" t="n">
        <x:v>5796</x:v>
      </x:c>
      <x:c r="S529" s="15"/>
      <x:c r="T529" s="15" t="n">
        <x:f>R529/J529</x:f>
        <x:v>1932</x:v>
      </x:c>
    </x:row>
    <x:row r="530" ht="23" customHeight="1">
      <x:c r="A530" s="6" t="str">
        <x:v>T4-L10-M</x:v>
      </x:c>
      <x:c r="B530" s="6" t="str">
        <x:v>T4</x:v>
      </x:c>
      <x:c r="C530" s="6" t="str">
        <x:v>L10</x:v>
      </x:c>
      <x:c r="D530" s="6" t="str">
        <x:v>Partition masonry</x:v>
      </x:c>
      <x:c r="E530" s="6" t="str">
        <x:v>Masonry</x:v>
      </x:c>
      <x:c r="F530" s="14" t="n">
        <x:v>90.40200000000002</x:v>
      </x:c>
      <x:c r="G530" s="6" t="str">
        <x:v>m3</x:v>
      </x:c>
      <x:c r="H530" s="16" t="n">
        <x:v>22</x:v>
      </x:c>
      <x:c r="I530" s="16" t="n">
        <x:v>10</x:v>
      </x:c>
      <x:c r="J530" s="16" t="n">
        <x:f>ROUNDUP(F530/H530,0)</x:f>
        <x:v>5</x:v>
      </x:c>
      <x:c r="K530" s="6" t="n">
        <x:f>MAX(L466+5)</x:f>
        <x:v>409</x:v>
      </x:c>
      <x:c r="L530" s="6" t="n">
        <x:f>K530+J530</x:f>
        <x:v>414</x:v>
      </x:c>
      <x:c r="M530" s="6" t="n">
        <x:f>N530-J530</x:f>
        <x:v>433</x:v>
      </x:c>
      <x:c r="N530" s="6" t="n">
        <x:f>MIN(M531-3)</x:f>
        <x:v>438</x:v>
      </x:c>
      <x:c r="O530" s="6" t="n">
        <x:f>M530-K530</x:f>
        <x:v>24</x:v>
      </x:c>
      <x:c r="P530" s="18" t="n">
        <x:f>INDEX('Calendar'!$C$8:$C$907,K530+1)</x:f>
        <x:v>46805</x:v>
      </x:c>
      <x:c r="Q530" s="18" t="n">
        <x:f>INDEX('Calendar'!$C$8:$C$907,MAX(K530+1,L530))</x:f>
        <x:v>46809</x:v>
      </x:c>
      <x:c r="R530" s="14" t="n">
        <x:v>12204.27</x:v>
      </x:c>
      <x:c r="S530" s="14"/>
      <x:c r="T530" s="14" t="n">
        <x:f>R530/J530</x:f>
        <x:v>2440.8540000000003</x:v>
      </x:c>
    </x:row>
    <x:row r="531" ht="23" customHeight="1">
      <x:c r="A531" s="1" t="str">
        <x:v>T4-L10-P</x:v>
      </x:c>
      <x:c r="B531" s="1" t="str">
        <x:v>T4</x:v>
      </x:c>
      <x:c r="C531" s="1" t="str">
        <x:v>L10</x:v>
      </x:c>
      <x:c r="D531" s="1" t="str">
        <x:v>Internal plaster</x:v>
      </x:c>
      <x:c r="E531" s="1" t="str">
        <x:v>Finishes</x:v>
      </x:c>
      <x:c r="F531" s="15" t="n">
        <x:v>1205.3600000000006</x:v>
      </x:c>
      <x:c r="G531" s="1" t="str">
        <x:v>m2</x:v>
      </x:c>
      <x:c r="H531" s="17" t="n">
        <x:v>220</x:v>
      </x:c>
      <x:c r="I531" s="17" t="n">
        <x:v>10</x:v>
      </x:c>
      <x:c r="J531" s="17" t="n">
        <x:f>ROUNDUP(F531/H531,0)</x:f>
        <x:v>6</x:v>
      </x:c>
      <x:c r="K531" s="1" t="n">
        <x:f>MAX(L530+3)</x:f>
        <x:v>417</x:v>
      </x:c>
      <x:c r="L531" s="1" t="n">
        <x:f>K531+J531</x:f>
        <x:v>423</x:v>
      </x:c>
      <x:c r="M531" s="1" t="n">
        <x:f>N531-J531</x:f>
        <x:v>441</x:v>
      </x:c>
      <x:c r="N531" s="1" t="n">
        <x:f>MIN(M532-2)</x:f>
        <x:v>447</x:v>
      </x:c>
      <x:c r="O531" s="1" t="n">
        <x:f>M531-K531</x:f>
        <x:v>24</x:v>
      </x:c>
      <x:c r="P531" s="19" t="n">
        <x:f>INDEX('Calendar'!$C$8:$C$907,K531+1)</x:f>
        <x:v>46814</x:v>
      </x:c>
      <x:c r="Q531" s="19" t="n">
        <x:f>INDEX('Calendar'!$C$8:$C$907,MAX(K531+1,L531))</x:f>
        <x:v>46820</x:v>
      </x:c>
      <x:c r="R531" s="15" t="n">
        <x:v>15067.000000000005</x:v>
      </x:c>
      <x:c r="S531" s="15"/>
      <x:c r="T531" s="15" t="n">
        <x:f>R531/J531</x:f>
        <x:v>2511.1666666666674</x:v>
      </x:c>
    </x:row>
    <x:row r="532" ht="23" customHeight="1">
      <x:c r="A532" s="6" t="str">
        <x:v>T4-L10-S</x:v>
      </x:c>
      <x:c r="B532" s="6" t="str">
        <x:v>T4</x:v>
      </x:c>
      <x:c r="C532" s="6" t="str">
        <x:v>L10</x:v>
      </x:c>
      <x:c r="D532" s="6" t="str">
        <x:v>Screed and substrate preparation</x:v>
      </x:c>
      <x:c r="E532" s="6" t="str">
        <x:v>Finishes</x:v>
      </x:c>
      <x:c r="F532" s="14" t="n">
        <x:v>696</x:v>
      </x:c>
      <x:c r="G532" s="6" t="str">
        <x:v>m2</x:v>
      </x:c>
      <x:c r="H532" s="16" t="n">
        <x:v>240</x:v>
      </x:c>
      <x:c r="I532" s="16" t="n">
        <x:v>8</x:v>
      </x:c>
      <x:c r="J532" s="16" t="n">
        <x:f>ROUNDUP(F532/H532,0)</x:f>
        <x:v>3</x:v>
      </x:c>
      <x:c r="K532" s="6" t="n">
        <x:f>MAX(L531+2)</x:f>
        <x:v>425</x:v>
      </x:c>
      <x:c r="L532" s="6" t="n">
        <x:f>K532+J532</x:f>
        <x:v>428</x:v>
      </x:c>
      <x:c r="M532" s="6" t="n">
        <x:f>N532-J532</x:f>
        <x:v>449</x:v>
      </x:c>
      <x:c r="N532" s="6" t="n">
        <x:f>MIN(M533-14)</x:f>
        <x:v>452</x:v>
      </x:c>
      <x:c r="O532" s="6" t="n">
        <x:f>M532-K532</x:f>
        <x:v>24</x:v>
      </x:c>
      <x:c r="P532" s="18" t="n">
        <x:f>INDEX('Calendar'!$C$8:$C$907,K532+1)</x:f>
        <x:v>46823</x:v>
      </x:c>
      <x:c r="Q532" s="18" t="n">
        <x:f>INDEX('Calendar'!$C$8:$C$907,MAX(K532+1,L532))</x:f>
        <x:v>46826</x:v>
      </x:c>
      <x:c r="R532" s="14" t="n">
        <x:v>9048</x:v>
      </x:c>
      <x:c r="S532" s="14"/>
      <x:c r="T532" s="14" t="n">
        <x:f>R532/J532</x:f>
        <x:v>3016</x:v>
      </x:c>
    </x:row>
    <x:row r="533" ht="23" customHeight="1">
      <x:c r="A533" s="1" t="str">
        <x:v>T4-L10-T</x:v>
      </x:c>
      <x:c r="B533" s="1" t="str">
        <x:v>T4</x:v>
      </x:c>
      <x:c r="C533" s="1" t="str">
        <x:v>L10</x:v>
      </x:c>
      <x:c r="D533" s="1" t="str">
        <x:v>Floor finishes and skirtings</x:v>
      </x:c>
      <x:c r="E533" s="1" t="str">
        <x:v>Finishes</x:v>
      </x:c>
      <x:c r="F533" s="15" t="n">
        <x:v>696</x:v>
      </x:c>
      <x:c r="G533" s="1" t="str">
        <x:v>m2</x:v>
      </x:c>
      <x:c r="H533" s="17" t="n">
        <x:v>130</x:v>
      </x:c>
      <x:c r="I533" s="17" t="n">
        <x:v>8</x:v>
      </x:c>
      <x:c r="J533" s="17" t="n">
        <x:f>ROUNDUP(F533/H533,0)</x:f>
        <x:v>6</x:v>
      </x:c>
      <x:c r="K533" s="1" t="n">
        <x:f>MAX(L532+14,L469+0)</x:f>
        <x:v>442</x:v>
      </x:c>
      <x:c r="L533" s="1" t="n">
        <x:f>K533+J533</x:f>
        <x:v>448</x:v>
      </x:c>
      <x:c r="M533" s="1" t="n">
        <x:f>N533-J533</x:f>
        <x:v>466</x:v>
      </x:c>
      <x:c r="N533" s="1" t="n">
        <x:f>MIN(M534-2)</x:f>
        <x:v>472</x:v>
      </x:c>
      <x:c r="O533" s="1" t="n">
        <x:f>M533-K533</x:f>
        <x:v>24</x:v>
      </x:c>
      <x:c r="P533" s="19" t="n">
        <x:f>INDEX('Calendar'!$C$8:$C$907,K533+1)</x:f>
        <x:v>46843</x:v>
      </x:c>
      <x:c r="Q533" s="19" t="n">
        <x:f>INDEX('Calendar'!$C$8:$C$907,MAX(K533+1,L533))</x:f>
        <x:v>46849</x:v>
      </x:c>
      <x:c r="R533" s="15" t="n">
        <x:v>24012</x:v>
      </x:c>
      <x:c r="S533" s="15"/>
      <x:c r="T533" s="15" t="n">
        <x:f>R533/J533</x:f>
        <x:v>4002</x:v>
      </x:c>
    </x:row>
    <x:row r="534" ht="23" customHeight="1">
      <x:c r="A534" s="6" t="str">
        <x:v>T4-L10-A</x:v>
      </x:c>
      <x:c r="B534" s="6" t="str">
        <x:v>T4</x:v>
      </x:c>
      <x:c r="C534" s="6" t="str">
        <x:v>L10</x:v>
      </x:c>
      <x:c r="D534" s="6" t="str">
        <x:v>Paint and final decorations</x:v>
      </x:c>
      <x:c r="E534" s="6" t="str">
        <x:v>Finishes</x:v>
      </x:c>
      <x:c r="F534" s="14" t="n">
        <x:v>1205.3600000000004</x:v>
      </x:c>
      <x:c r="G534" s="6" t="str">
        <x:v>m2</x:v>
      </x:c>
      <x:c r="H534" s="16" t="n">
        <x:v>270</x:v>
      </x:c>
      <x:c r="I534" s="16" t="n">
        <x:v>8</x:v>
      </x:c>
      <x:c r="J534" s="16" t="n">
        <x:f>ROUNDUP(F534/H534,0)</x:f>
        <x:v>5</x:v>
      </x:c>
      <x:c r="K534" s="6" t="n">
        <x:f>MAX(L533+2)</x:f>
        <x:v>450</x:v>
      </x:c>
      <x:c r="L534" s="6" t="n">
        <x:f>K534+J534</x:f>
        <x:v>455</x:v>
      </x:c>
      <x:c r="M534" s="6" t="n">
        <x:f>N534-J534</x:f>
        <x:v>474</x:v>
      </x:c>
      <x:c r="N534" s="6" t="n">
        <x:f>MIN(M535-0)</x:f>
        <x:v>479</x:v>
      </x:c>
      <x:c r="O534" s="6" t="n">
        <x:f>M534-K534</x:f>
        <x:v>24</x:v>
      </x:c>
      <x:c r="P534" s="18" t="n">
        <x:f>INDEX('Calendar'!$C$8:$C$907,K534+1)</x:f>
        <x:v>46853</x:v>
      </x:c>
      <x:c r="Q534" s="18" t="n">
        <x:f>INDEX('Calendar'!$C$8:$C$907,MAX(K534+1,L534))</x:f>
        <x:v>46857</x:v>
      </x:c>
      <x:c r="R534" s="14" t="n">
        <x:v>10245.560000000003</x:v>
      </x:c>
      <x:c r="S534" s="14"/>
      <x:c r="T534" s="14" t="n">
        <x:f>R534/J534</x:f>
        <x:v>2049.1120000000005</x:v>
      </x:c>
    </x:row>
    <x:row r="535" ht="23" customHeight="1">
      <x:c r="A535" s="1" t="str">
        <x:v>T4-L10-D</x:v>
      </x:c>
      <x:c r="B535" s="1" t="str">
        <x:v>T4</x:v>
      </x:c>
      <x:c r="C535" s="1" t="str">
        <x:v>L10</x:v>
      </x:c>
      <x:c r="D535" s="1" t="str">
        <x:v>Door sets and ironmongery</x:v>
      </x:c>
      <x:c r="E535" s="1" t="str">
        <x:v>Finishes</x:v>
      </x:c>
      <x:c r="F535" s="15" t="n">
        <x:v>28</x:v>
      </x:c>
      <x:c r="G535" s="1" t="str">
        <x:v>nr</x:v>
      </x:c>
      <x:c r="H535" s="17" t="n">
        <x:v>10</x:v>
      </x:c>
      <x:c r="I535" s="17" t="n">
        <x:v>4</x:v>
      </x:c>
      <x:c r="J535" s="17" t="n">
        <x:f>ROUNDUP(F535/H535,0)</x:f>
        <x:v>3</x:v>
      </x:c>
      <x:c r="K535" s="1" t="n">
        <x:f>MAX(L534+0)</x:f>
        <x:v>455</x:v>
      </x:c>
      <x:c r="L535" s="1" t="n">
        <x:f>K535+J535</x:f>
        <x:v>458</x:v>
      </x:c>
      <x:c r="M535" s="1" t="n">
        <x:f>N535-J535</x:f>
        <x:v>479</x:v>
      </x:c>
      <x:c r="N535" s="1" t="n">
        <x:f>MIN(M816-0)</x:f>
        <x:v>482</x:v>
      </x:c>
      <x:c r="O535" s="1" t="n">
        <x:f>M535-K535</x:f>
        <x:v>24</x:v>
      </x:c>
      <x:c r="P535" s="19" t="n">
        <x:f>INDEX('Calendar'!$C$8:$C$907,K535+1)</x:f>
        <x:v>46858</x:v>
      </x:c>
      <x:c r="Q535" s="19" t="n">
        <x:f>INDEX('Calendar'!$C$8:$C$907,MAX(K535+1,L535))</x:f>
        <x:v>46861</x:v>
      </x:c>
      <x:c r="R535" s="15" t="n">
        <x:v>5796</x:v>
      </x:c>
      <x:c r="S535" s="15"/>
      <x:c r="T535" s="15" t="n">
        <x:f>R535/J535</x:f>
        <x:v>1932</x:v>
      </x:c>
    </x:row>
    <x:row r="536" ht="23" customHeight="1">
      <x:c r="A536" s="6" t="str">
        <x:v>T4-L11-M</x:v>
      </x:c>
      <x:c r="B536" s="6" t="str">
        <x:v>T4</x:v>
      </x:c>
      <x:c r="C536" s="6" t="str">
        <x:v>L11</x:v>
      </x:c>
      <x:c r="D536" s="6" t="str">
        <x:v>Partition masonry</x:v>
      </x:c>
      <x:c r="E536" s="6" t="str">
        <x:v>Masonry</x:v>
      </x:c>
      <x:c r="F536" s="14" t="n">
        <x:v>90.40200000000002</x:v>
      </x:c>
      <x:c r="G536" s="6" t="str">
        <x:v>m3</x:v>
      </x:c>
      <x:c r="H536" s="16" t="n">
        <x:v>22</x:v>
      </x:c>
      <x:c r="I536" s="16" t="n">
        <x:v>10</x:v>
      </x:c>
      <x:c r="J536" s="16" t="n">
        <x:f>ROUNDUP(F536/H536,0)</x:f>
        <x:v>5</x:v>
      </x:c>
      <x:c r="K536" s="6" t="n">
        <x:f>MAX(L466+5)</x:f>
        <x:v>409</x:v>
      </x:c>
      <x:c r="L536" s="6" t="n">
        <x:f>K536+J536</x:f>
        <x:v>414</x:v>
      </x:c>
      <x:c r="M536" s="6" t="n">
        <x:f>N536-J536</x:f>
        <x:v>433</x:v>
      </x:c>
      <x:c r="N536" s="6" t="n">
        <x:f>MIN(M537-3)</x:f>
        <x:v>438</x:v>
      </x:c>
      <x:c r="O536" s="6" t="n">
        <x:f>M536-K536</x:f>
        <x:v>24</x:v>
      </x:c>
      <x:c r="P536" s="18" t="n">
        <x:f>INDEX('Calendar'!$C$8:$C$907,K536+1)</x:f>
        <x:v>46805</x:v>
      </x:c>
      <x:c r="Q536" s="18" t="n">
        <x:f>INDEX('Calendar'!$C$8:$C$907,MAX(K536+1,L536))</x:f>
        <x:v>46809</x:v>
      </x:c>
      <x:c r="R536" s="14" t="n">
        <x:v>12204.27</x:v>
      </x:c>
      <x:c r="S536" s="14"/>
      <x:c r="T536" s="14" t="n">
        <x:f>R536/J536</x:f>
        <x:v>2440.8540000000003</x:v>
      </x:c>
    </x:row>
    <x:row r="537" ht="23" customHeight="1">
      <x:c r="A537" s="1" t="str">
        <x:v>T4-L11-P</x:v>
      </x:c>
      <x:c r="B537" s="1" t="str">
        <x:v>T4</x:v>
      </x:c>
      <x:c r="C537" s="1" t="str">
        <x:v>L11</x:v>
      </x:c>
      <x:c r="D537" s="1" t="str">
        <x:v>Internal plaster</x:v>
      </x:c>
      <x:c r="E537" s="1" t="str">
        <x:v>Finishes</x:v>
      </x:c>
      <x:c r="F537" s="15" t="n">
        <x:v>1205.3600000000006</x:v>
      </x:c>
      <x:c r="G537" s="1" t="str">
        <x:v>m2</x:v>
      </x:c>
      <x:c r="H537" s="17" t="n">
        <x:v>220</x:v>
      </x:c>
      <x:c r="I537" s="17" t="n">
        <x:v>10</x:v>
      </x:c>
      <x:c r="J537" s="17" t="n">
        <x:f>ROUNDUP(F537/H537,0)</x:f>
        <x:v>6</x:v>
      </x:c>
      <x:c r="K537" s="1" t="n">
        <x:f>MAX(L536+3)</x:f>
        <x:v>417</x:v>
      </x:c>
      <x:c r="L537" s="1" t="n">
        <x:f>K537+J537</x:f>
        <x:v>423</x:v>
      </x:c>
      <x:c r="M537" s="1" t="n">
        <x:f>N537-J537</x:f>
        <x:v>441</x:v>
      </x:c>
      <x:c r="N537" s="1" t="n">
        <x:f>MIN(M538-2)</x:f>
        <x:v>447</x:v>
      </x:c>
      <x:c r="O537" s="1" t="n">
        <x:f>M537-K537</x:f>
        <x:v>24</x:v>
      </x:c>
      <x:c r="P537" s="19" t="n">
        <x:f>INDEX('Calendar'!$C$8:$C$907,K537+1)</x:f>
        <x:v>46814</x:v>
      </x:c>
      <x:c r="Q537" s="19" t="n">
        <x:f>INDEX('Calendar'!$C$8:$C$907,MAX(K537+1,L537))</x:f>
        <x:v>46820</x:v>
      </x:c>
      <x:c r="R537" s="15" t="n">
        <x:v>15067.000000000005</x:v>
      </x:c>
      <x:c r="S537" s="15"/>
      <x:c r="T537" s="15" t="n">
        <x:f>R537/J537</x:f>
        <x:v>2511.1666666666674</x:v>
      </x:c>
    </x:row>
    <x:row r="538" ht="23" customHeight="1">
      <x:c r="A538" s="6" t="str">
        <x:v>T4-L11-S</x:v>
      </x:c>
      <x:c r="B538" s="6" t="str">
        <x:v>T4</x:v>
      </x:c>
      <x:c r="C538" s="6" t="str">
        <x:v>L11</x:v>
      </x:c>
      <x:c r="D538" s="6" t="str">
        <x:v>Screed and substrate preparation</x:v>
      </x:c>
      <x:c r="E538" s="6" t="str">
        <x:v>Finishes</x:v>
      </x:c>
      <x:c r="F538" s="14" t="n">
        <x:v>696</x:v>
      </x:c>
      <x:c r="G538" s="6" t="str">
        <x:v>m2</x:v>
      </x:c>
      <x:c r="H538" s="16" t="n">
        <x:v>240</x:v>
      </x:c>
      <x:c r="I538" s="16" t="n">
        <x:v>8</x:v>
      </x:c>
      <x:c r="J538" s="16" t="n">
        <x:f>ROUNDUP(F538/H538,0)</x:f>
        <x:v>3</x:v>
      </x:c>
      <x:c r="K538" s="6" t="n">
        <x:f>MAX(L537+2)</x:f>
        <x:v>425</x:v>
      </x:c>
      <x:c r="L538" s="6" t="n">
        <x:f>K538+J538</x:f>
        <x:v>428</x:v>
      </x:c>
      <x:c r="M538" s="6" t="n">
        <x:f>N538-J538</x:f>
        <x:v>449</x:v>
      </x:c>
      <x:c r="N538" s="6" t="n">
        <x:f>MIN(M539-14)</x:f>
        <x:v>452</x:v>
      </x:c>
      <x:c r="O538" s="6" t="n">
        <x:f>M538-K538</x:f>
        <x:v>24</x:v>
      </x:c>
      <x:c r="P538" s="18" t="n">
        <x:f>INDEX('Calendar'!$C$8:$C$907,K538+1)</x:f>
        <x:v>46823</x:v>
      </x:c>
      <x:c r="Q538" s="18" t="n">
        <x:f>INDEX('Calendar'!$C$8:$C$907,MAX(K538+1,L538))</x:f>
        <x:v>46826</x:v>
      </x:c>
      <x:c r="R538" s="14" t="n">
        <x:v>9048</x:v>
      </x:c>
      <x:c r="S538" s="14"/>
      <x:c r="T538" s="14" t="n">
        <x:f>R538/J538</x:f>
        <x:v>3016</x:v>
      </x:c>
    </x:row>
    <x:row r="539" ht="23" customHeight="1">
      <x:c r="A539" s="1" t="str">
        <x:v>T4-L11-T</x:v>
      </x:c>
      <x:c r="B539" s="1" t="str">
        <x:v>T4</x:v>
      </x:c>
      <x:c r="C539" s="1" t="str">
        <x:v>L11</x:v>
      </x:c>
      <x:c r="D539" s="1" t="str">
        <x:v>Floor finishes and skirtings</x:v>
      </x:c>
      <x:c r="E539" s="1" t="str">
        <x:v>Finishes</x:v>
      </x:c>
      <x:c r="F539" s="15" t="n">
        <x:v>696</x:v>
      </x:c>
      <x:c r="G539" s="1" t="str">
        <x:v>m2</x:v>
      </x:c>
      <x:c r="H539" s="17" t="n">
        <x:v>130</x:v>
      </x:c>
      <x:c r="I539" s="17" t="n">
        <x:v>8</x:v>
      </x:c>
      <x:c r="J539" s="17" t="n">
        <x:f>ROUNDUP(F539/H539,0)</x:f>
        <x:v>6</x:v>
      </x:c>
      <x:c r="K539" s="1" t="n">
        <x:f>MAX(L538+14,L469+0)</x:f>
        <x:v>442</x:v>
      </x:c>
      <x:c r="L539" s="1" t="n">
        <x:f>K539+J539</x:f>
        <x:v>448</x:v>
      </x:c>
      <x:c r="M539" s="1" t="n">
        <x:f>N539-J539</x:f>
        <x:v>466</x:v>
      </x:c>
      <x:c r="N539" s="1" t="n">
        <x:f>MIN(M540-2)</x:f>
        <x:v>472</x:v>
      </x:c>
      <x:c r="O539" s="1" t="n">
        <x:f>M539-K539</x:f>
        <x:v>24</x:v>
      </x:c>
      <x:c r="P539" s="19" t="n">
        <x:f>INDEX('Calendar'!$C$8:$C$907,K539+1)</x:f>
        <x:v>46843</x:v>
      </x:c>
      <x:c r="Q539" s="19" t="n">
        <x:f>INDEX('Calendar'!$C$8:$C$907,MAX(K539+1,L539))</x:f>
        <x:v>46849</x:v>
      </x:c>
      <x:c r="R539" s="15" t="n">
        <x:v>24012</x:v>
      </x:c>
      <x:c r="S539" s="15"/>
      <x:c r="T539" s="15" t="n">
        <x:f>R539/J539</x:f>
        <x:v>4002</x:v>
      </x:c>
    </x:row>
    <x:row r="540" ht="23" customHeight="1">
      <x:c r="A540" s="6" t="str">
        <x:v>T4-L11-A</x:v>
      </x:c>
      <x:c r="B540" s="6" t="str">
        <x:v>T4</x:v>
      </x:c>
      <x:c r="C540" s="6" t="str">
        <x:v>L11</x:v>
      </x:c>
      <x:c r="D540" s="6" t="str">
        <x:v>Paint and final decorations</x:v>
      </x:c>
      <x:c r="E540" s="6" t="str">
        <x:v>Finishes</x:v>
      </x:c>
      <x:c r="F540" s="14" t="n">
        <x:v>1205.3600000000004</x:v>
      </x:c>
      <x:c r="G540" s="6" t="str">
        <x:v>m2</x:v>
      </x:c>
      <x:c r="H540" s="16" t="n">
        <x:v>270</x:v>
      </x:c>
      <x:c r="I540" s="16" t="n">
        <x:v>8</x:v>
      </x:c>
      <x:c r="J540" s="16" t="n">
        <x:f>ROUNDUP(F540/H540,0)</x:f>
        <x:v>5</x:v>
      </x:c>
      <x:c r="K540" s="6" t="n">
        <x:f>MAX(L539+2)</x:f>
        <x:v>450</x:v>
      </x:c>
      <x:c r="L540" s="6" t="n">
        <x:f>K540+J540</x:f>
        <x:v>455</x:v>
      </x:c>
      <x:c r="M540" s="6" t="n">
        <x:f>N540-J540</x:f>
        <x:v>474</x:v>
      </x:c>
      <x:c r="N540" s="6" t="n">
        <x:f>MIN(M541-0)</x:f>
        <x:v>479</x:v>
      </x:c>
      <x:c r="O540" s="6" t="n">
        <x:f>M540-K540</x:f>
        <x:v>24</x:v>
      </x:c>
      <x:c r="P540" s="18" t="n">
        <x:f>INDEX('Calendar'!$C$8:$C$907,K540+1)</x:f>
        <x:v>46853</x:v>
      </x:c>
      <x:c r="Q540" s="18" t="n">
        <x:f>INDEX('Calendar'!$C$8:$C$907,MAX(K540+1,L540))</x:f>
        <x:v>46857</x:v>
      </x:c>
      <x:c r="R540" s="14" t="n">
        <x:v>10245.560000000003</x:v>
      </x:c>
      <x:c r="S540" s="14"/>
      <x:c r="T540" s="14" t="n">
        <x:f>R540/J540</x:f>
        <x:v>2049.1120000000005</x:v>
      </x:c>
    </x:row>
    <x:row r="541" ht="23" customHeight="1">
      <x:c r="A541" s="1" t="str">
        <x:v>T4-L11-D</x:v>
      </x:c>
      <x:c r="B541" s="1" t="str">
        <x:v>T4</x:v>
      </x:c>
      <x:c r="C541" s="1" t="str">
        <x:v>L11</x:v>
      </x:c>
      <x:c r="D541" s="1" t="str">
        <x:v>Door sets and ironmongery</x:v>
      </x:c>
      <x:c r="E541" s="1" t="str">
        <x:v>Finishes</x:v>
      </x:c>
      <x:c r="F541" s="15" t="n">
        <x:v>28</x:v>
      </x:c>
      <x:c r="G541" s="1" t="str">
        <x:v>nr</x:v>
      </x:c>
      <x:c r="H541" s="17" t="n">
        <x:v>10</x:v>
      </x:c>
      <x:c r="I541" s="17" t="n">
        <x:v>4</x:v>
      </x:c>
      <x:c r="J541" s="17" t="n">
        <x:f>ROUNDUP(F541/H541,0)</x:f>
        <x:v>3</x:v>
      </x:c>
      <x:c r="K541" s="1" t="n">
        <x:f>MAX(L540+0)</x:f>
        <x:v>455</x:v>
      </x:c>
      <x:c r="L541" s="1" t="n">
        <x:f>K541+J541</x:f>
        <x:v>458</x:v>
      </x:c>
      <x:c r="M541" s="1" t="n">
        <x:f>N541-J541</x:f>
        <x:v>479</x:v>
      </x:c>
      <x:c r="N541" s="1" t="n">
        <x:f>MIN(M816-0)</x:f>
        <x:v>482</x:v>
      </x:c>
      <x:c r="O541" s="1" t="n">
        <x:f>M541-K541</x:f>
        <x:v>24</x:v>
      </x:c>
      <x:c r="P541" s="19" t="n">
        <x:f>INDEX('Calendar'!$C$8:$C$907,K541+1)</x:f>
        <x:v>46858</x:v>
      </x:c>
      <x:c r="Q541" s="19" t="n">
        <x:f>INDEX('Calendar'!$C$8:$C$907,MAX(K541+1,L541))</x:f>
        <x:v>46861</x:v>
      </x:c>
      <x:c r="R541" s="15" t="n">
        <x:v>5796</x:v>
      </x:c>
      <x:c r="S541" s="15"/>
      <x:c r="T541" s="15" t="n">
        <x:f>R541/J541</x:f>
        <x:v>1932</x:v>
      </x:c>
    </x:row>
    <x:row r="542" ht="23" customHeight="1">
      <x:c r="A542" s="6" t="str">
        <x:v>T4-L12-M</x:v>
      </x:c>
      <x:c r="B542" s="6" t="str">
        <x:v>T4</x:v>
      </x:c>
      <x:c r="C542" s="6" t="str">
        <x:v>L12</x:v>
      </x:c>
      <x:c r="D542" s="6" t="str">
        <x:v>Partition masonry</x:v>
      </x:c>
      <x:c r="E542" s="6" t="str">
        <x:v>Masonry</x:v>
      </x:c>
      <x:c r="F542" s="14" t="n">
        <x:v>90.40200000000002</x:v>
      </x:c>
      <x:c r="G542" s="6" t="str">
        <x:v>m3</x:v>
      </x:c>
      <x:c r="H542" s="16" t="n">
        <x:v>22</x:v>
      </x:c>
      <x:c r="I542" s="16" t="n">
        <x:v>10</x:v>
      </x:c>
      <x:c r="J542" s="16" t="n">
        <x:f>ROUNDUP(F542/H542,0)</x:f>
        <x:v>5</x:v>
      </x:c>
      <x:c r="K542" s="6" t="n">
        <x:f>MAX(L466+5)</x:f>
        <x:v>409</x:v>
      </x:c>
      <x:c r="L542" s="6" t="n">
        <x:f>K542+J542</x:f>
        <x:v>414</x:v>
      </x:c>
      <x:c r="M542" s="6" t="n">
        <x:f>N542-J542</x:f>
        <x:v>433</x:v>
      </x:c>
      <x:c r="N542" s="6" t="n">
        <x:f>MIN(M543-3)</x:f>
        <x:v>438</x:v>
      </x:c>
      <x:c r="O542" s="6" t="n">
        <x:f>M542-K542</x:f>
        <x:v>24</x:v>
      </x:c>
      <x:c r="P542" s="18" t="n">
        <x:f>INDEX('Calendar'!$C$8:$C$907,K542+1)</x:f>
        <x:v>46805</x:v>
      </x:c>
      <x:c r="Q542" s="18" t="n">
        <x:f>INDEX('Calendar'!$C$8:$C$907,MAX(K542+1,L542))</x:f>
        <x:v>46809</x:v>
      </x:c>
      <x:c r="R542" s="14" t="n">
        <x:v>12204.27</x:v>
      </x:c>
      <x:c r="S542" s="14"/>
      <x:c r="T542" s="14" t="n">
        <x:f>R542/J542</x:f>
        <x:v>2440.8540000000003</x:v>
      </x:c>
    </x:row>
    <x:row r="543" ht="23" customHeight="1">
      <x:c r="A543" s="1" t="str">
        <x:v>T4-L12-P</x:v>
      </x:c>
      <x:c r="B543" s="1" t="str">
        <x:v>T4</x:v>
      </x:c>
      <x:c r="C543" s="1" t="str">
        <x:v>L12</x:v>
      </x:c>
      <x:c r="D543" s="1" t="str">
        <x:v>Internal plaster</x:v>
      </x:c>
      <x:c r="E543" s="1" t="str">
        <x:v>Finishes</x:v>
      </x:c>
      <x:c r="F543" s="15" t="n">
        <x:v>1205.3600000000006</x:v>
      </x:c>
      <x:c r="G543" s="1" t="str">
        <x:v>m2</x:v>
      </x:c>
      <x:c r="H543" s="17" t="n">
        <x:v>220</x:v>
      </x:c>
      <x:c r="I543" s="17" t="n">
        <x:v>10</x:v>
      </x:c>
      <x:c r="J543" s="17" t="n">
        <x:f>ROUNDUP(F543/H543,0)</x:f>
        <x:v>6</x:v>
      </x:c>
      <x:c r="K543" s="1" t="n">
        <x:f>MAX(L542+3)</x:f>
        <x:v>417</x:v>
      </x:c>
      <x:c r="L543" s="1" t="n">
        <x:f>K543+J543</x:f>
        <x:v>423</x:v>
      </x:c>
      <x:c r="M543" s="1" t="n">
        <x:f>N543-J543</x:f>
        <x:v>441</x:v>
      </x:c>
      <x:c r="N543" s="1" t="n">
        <x:f>MIN(M544-2)</x:f>
        <x:v>447</x:v>
      </x:c>
      <x:c r="O543" s="1" t="n">
        <x:f>M543-K543</x:f>
        <x:v>24</x:v>
      </x:c>
      <x:c r="P543" s="19" t="n">
        <x:f>INDEX('Calendar'!$C$8:$C$907,K543+1)</x:f>
        <x:v>46814</x:v>
      </x:c>
      <x:c r="Q543" s="19" t="n">
        <x:f>INDEX('Calendar'!$C$8:$C$907,MAX(K543+1,L543))</x:f>
        <x:v>46820</x:v>
      </x:c>
      <x:c r="R543" s="15" t="n">
        <x:v>15067.000000000005</x:v>
      </x:c>
      <x:c r="S543" s="15"/>
      <x:c r="T543" s="15" t="n">
        <x:f>R543/J543</x:f>
        <x:v>2511.1666666666674</x:v>
      </x:c>
    </x:row>
    <x:row r="544" ht="23" customHeight="1">
      <x:c r="A544" s="6" t="str">
        <x:v>T4-L12-S</x:v>
      </x:c>
      <x:c r="B544" s="6" t="str">
        <x:v>T4</x:v>
      </x:c>
      <x:c r="C544" s="6" t="str">
        <x:v>L12</x:v>
      </x:c>
      <x:c r="D544" s="6" t="str">
        <x:v>Screed and substrate preparation</x:v>
      </x:c>
      <x:c r="E544" s="6" t="str">
        <x:v>Finishes</x:v>
      </x:c>
      <x:c r="F544" s="14" t="n">
        <x:v>696</x:v>
      </x:c>
      <x:c r="G544" s="6" t="str">
        <x:v>m2</x:v>
      </x:c>
      <x:c r="H544" s="16" t="n">
        <x:v>240</x:v>
      </x:c>
      <x:c r="I544" s="16" t="n">
        <x:v>8</x:v>
      </x:c>
      <x:c r="J544" s="16" t="n">
        <x:f>ROUNDUP(F544/H544,0)</x:f>
        <x:v>3</x:v>
      </x:c>
      <x:c r="K544" s="6" t="n">
        <x:f>MAX(L543+2)</x:f>
        <x:v>425</x:v>
      </x:c>
      <x:c r="L544" s="6" t="n">
        <x:f>K544+J544</x:f>
        <x:v>428</x:v>
      </x:c>
      <x:c r="M544" s="6" t="n">
        <x:f>N544-J544</x:f>
        <x:v>449</x:v>
      </x:c>
      <x:c r="N544" s="6" t="n">
        <x:f>MIN(M545-14)</x:f>
        <x:v>452</x:v>
      </x:c>
      <x:c r="O544" s="6" t="n">
        <x:f>M544-K544</x:f>
        <x:v>24</x:v>
      </x:c>
      <x:c r="P544" s="18" t="n">
        <x:f>INDEX('Calendar'!$C$8:$C$907,K544+1)</x:f>
        <x:v>46823</x:v>
      </x:c>
      <x:c r="Q544" s="18" t="n">
        <x:f>INDEX('Calendar'!$C$8:$C$907,MAX(K544+1,L544))</x:f>
        <x:v>46826</x:v>
      </x:c>
      <x:c r="R544" s="14" t="n">
        <x:v>9048</x:v>
      </x:c>
      <x:c r="S544" s="14"/>
      <x:c r="T544" s="14" t="n">
        <x:f>R544/J544</x:f>
        <x:v>3016</x:v>
      </x:c>
    </x:row>
    <x:row r="545" ht="23" customHeight="1">
      <x:c r="A545" s="1" t="str">
        <x:v>T4-L12-T</x:v>
      </x:c>
      <x:c r="B545" s="1" t="str">
        <x:v>T4</x:v>
      </x:c>
      <x:c r="C545" s="1" t="str">
        <x:v>L12</x:v>
      </x:c>
      <x:c r="D545" s="1" t="str">
        <x:v>Floor finishes and skirtings</x:v>
      </x:c>
      <x:c r="E545" s="1" t="str">
        <x:v>Finishes</x:v>
      </x:c>
      <x:c r="F545" s="15" t="n">
        <x:v>696</x:v>
      </x:c>
      <x:c r="G545" s="1" t="str">
        <x:v>m2</x:v>
      </x:c>
      <x:c r="H545" s="17" t="n">
        <x:v>130</x:v>
      </x:c>
      <x:c r="I545" s="17" t="n">
        <x:v>8</x:v>
      </x:c>
      <x:c r="J545" s="17" t="n">
        <x:f>ROUNDUP(F545/H545,0)</x:f>
        <x:v>6</x:v>
      </x:c>
      <x:c r="K545" s="1" t="n">
        <x:f>MAX(L544+14,L469+0)</x:f>
        <x:v>442</x:v>
      </x:c>
      <x:c r="L545" s="1" t="n">
        <x:f>K545+J545</x:f>
        <x:v>448</x:v>
      </x:c>
      <x:c r="M545" s="1" t="n">
        <x:f>N545-J545</x:f>
        <x:v>466</x:v>
      </x:c>
      <x:c r="N545" s="1" t="n">
        <x:f>MIN(M546-2)</x:f>
        <x:v>472</x:v>
      </x:c>
      <x:c r="O545" s="1" t="n">
        <x:f>M545-K545</x:f>
        <x:v>24</x:v>
      </x:c>
      <x:c r="P545" s="19" t="n">
        <x:f>INDEX('Calendar'!$C$8:$C$907,K545+1)</x:f>
        <x:v>46843</x:v>
      </x:c>
      <x:c r="Q545" s="19" t="n">
        <x:f>INDEX('Calendar'!$C$8:$C$907,MAX(K545+1,L545))</x:f>
        <x:v>46849</x:v>
      </x:c>
      <x:c r="R545" s="15" t="n">
        <x:v>24012</x:v>
      </x:c>
      <x:c r="S545" s="15"/>
      <x:c r="T545" s="15" t="n">
        <x:f>R545/J545</x:f>
        <x:v>4002</x:v>
      </x:c>
    </x:row>
    <x:row r="546" ht="23" customHeight="1">
      <x:c r="A546" s="6" t="str">
        <x:v>T4-L12-A</x:v>
      </x:c>
      <x:c r="B546" s="6" t="str">
        <x:v>T4</x:v>
      </x:c>
      <x:c r="C546" s="6" t="str">
        <x:v>L12</x:v>
      </x:c>
      <x:c r="D546" s="6" t="str">
        <x:v>Paint and final decorations</x:v>
      </x:c>
      <x:c r="E546" s="6" t="str">
        <x:v>Finishes</x:v>
      </x:c>
      <x:c r="F546" s="14" t="n">
        <x:v>1205.3600000000004</x:v>
      </x:c>
      <x:c r="G546" s="6" t="str">
        <x:v>m2</x:v>
      </x:c>
      <x:c r="H546" s="16" t="n">
        <x:v>270</x:v>
      </x:c>
      <x:c r="I546" s="16" t="n">
        <x:v>8</x:v>
      </x:c>
      <x:c r="J546" s="16" t="n">
        <x:f>ROUNDUP(F546/H546,0)</x:f>
        <x:v>5</x:v>
      </x:c>
      <x:c r="K546" s="6" t="n">
        <x:f>MAX(L545+2)</x:f>
        <x:v>450</x:v>
      </x:c>
      <x:c r="L546" s="6" t="n">
        <x:f>K546+J546</x:f>
        <x:v>455</x:v>
      </x:c>
      <x:c r="M546" s="6" t="n">
        <x:f>N546-J546</x:f>
        <x:v>474</x:v>
      </x:c>
      <x:c r="N546" s="6" t="n">
        <x:f>MIN(M547-0)</x:f>
        <x:v>479</x:v>
      </x:c>
      <x:c r="O546" s="6" t="n">
        <x:f>M546-K546</x:f>
        <x:v>24</x:v>
      </x:c>
      <x:c r="P546" s="18" t="n">
        <x:f>INDEX('Calendar'!$C$8:$C$907,K546+1)</x:f>
        <x:v>46853</x:v>
      </x:c>
      <x:c r="Q546" s="18" t="n">
        <x:f>INDEX('Calendar'!$C$8:$C$907,MAX(K546+1,L546))</x:f>
        <x:v>46857</x:v>
      </x:c>
      <x:c r="R546" s="14" t="n">
        <x:v>10245.560000000003</x:v>
      </x:c>
      <x:c r="S546" s="14"/>
      <x:c r="T546" s="14" t="n">
        <x:f>R546/J546</x:f>
        <x:v>2049.1120000000005</x:v>
      </x:c>
    </x:row>
    <x:row r="547" ht="23" customHeight="1">
      <x:c r="A547" s="1" t="str">
        <x:v>T4-L12-D</x:v>
      </x:c>
      <x:c r="B547" s="1" t="str">
        <x:v>T4</x:v>
      </x:c>
      <x:c r="C547" s="1" t="str">
        <x:v>L12</x:v>
      </x:c>
      <x:c r="D547" s="1" t="str">
        <x:v>Door sets and ironmongery</x:v>
      </x:c>
      <x:c r="E547" s="1" t="str">
        <x:v>Finishes</x:v>
      </x:c>
      <x:c r="F547" s="15" t="n">
        <x:v>28</x:v>
      </x:c>
      <x:c r="G547" s="1" t="str">
        <x:v>nr</x:v>
      </x:c>
      <x:c r="H547" s="17" t="n">
        <x:v>10</x:v>
      </x:c>
      <x:c r="I547" s="17" t="n">
        <x:v>4</x:v>
      </x:c>
      <x:c r="J547" s="17" t="n">
        <x:f>ROUNDUP(F547/H547,0)</x:f>
        <x:v>3</x:v>
      </x:c>
      <x:c r="K547" s="1" t="n">
        <x:f>MAX(L546+0)</x:f>
        <x:v>455</x:v>
      </x:c>
      <x:c r="L547" s="1" t="n">
        <x:f>K547+J547</x:f>
        <x:v>458</x:v>
      </x:c>
      <x:c r="M547" s="1" t="n">
        <x:f>N547-J547</x:f>
        <x:v>479</x:v>
      </x:c>
      <x:c r="N547" s="1" t="n">
        <x:f>MIN(M816-0)</x:f>
        <x:v>482</x:v>
      </x:c>
      <x:c r="O547" s="1" t="n">
        <x:f>M547-K547</x:f>
        <x:v>24</x:v>
      </x:c>
      <x:c r="P547" s="19" t="n">
        <x:f>INDEX('Calendar'!$C$8:$C$907,K547+1)</x:f>
        <x:v>46858</x:v>
      </x:c>
      <x:c r="Q547" s="19" t="n">
        <x:f>INDEX('Calendar'!$C$8:$C$907,MAX(K547+1,L547))</x:f>
        <x:v>46861</x:v>
      </x:c>
      <x:c r="R547" s="15" t="n">
        <x:v>5796</x:v>
      </x:c>
      <x:c r="S547" s="15"/>
      <x:c r="T547" s="15" t="n">
        <x:f>R547/J547</x:f>
        <x:v>1932</x:v>
      </x:c>
    </x:row>
    <x:row r="548" ht="23" customHeight="1">
      <x:c r="A548" s="6" t="str">
        <x:v>T5-L00-F</x:v>
      </x:c>
      <x:c r="B548" s="6" t="str">
        <x:v>T5</x:v>
      </x:c>
      <x:c r="C548" s="6" t="str">
        <x:v>L00</x:v>
      </x:c>
      <x:c r="D548" s="6" t="str">
        <x:v>Columns, core and deck formwork</x:v>
      </x:c>
      <x:c r="E548" s="6" t="str">
        <x:v>Formwork</x:v>
      </x:c>
      <x:c r="F548" s="14" t="n">
        <x:v>1222.6600000000005</x:v>
      </x:c>
      <x:c r="G548" s="6" t="str">
        <x:v>m2</x:v>
      </x:c>
      <x:c r="H548" s="16" t="n">
        <x:v>220</x:v>
      </x:c>
      <x:c r="I548" s="16" t="n">
        <x:v>18</x:v>
      </x:c>
      <x:c r="J548" s="16" t="n">
        <x:f>ROUNDUP(F548/H548,0)</x:f>
        <x:v>6</x:v>
      </x:c>
      <x:c r="K548" s="6" t="n">
        <x:f>MAX(L12+(7+4*'Controls'!$B$11))</x:f>
        <x:v>182</x:v>
      </x:c>
      <x:c r="L548" s="6" t="n">
        <x:f>K548+J548</x:f>
        <x:v>188</x:v>
      </x:c>
      <x:c r="M548" s="6" t="n">
        <x:f>N548-J548</x:f>
        <x:v>194</x:v>
      </x:c>
      <x:c r="N548" s="6" t="n">
        <x:f>MIN(M549-0)</x:f>
        <x:v>200</x:v>
      </x:c>
      <x:c r="O548" s="6" t="n">
        <x:f>M548-K548</x:f>
        <x:v>12</x:v>
      </x:c>
      <x:c r="P548" s="18" t="n">
        <x:f>INDEX('Calendar'!$C$8:$C$907,K548+1)</x:f>
        <x:v>46540</x:v>
      </x:c>
      <x:c r="Q548" s="18" t="n">
        <x:f>INDEX('Calendar'!$C$8:$C$907,MAX(K548+1,L548))</x:f>
        <x:v>46546</x:v>
      </x:c>
      <x:c r="R548" s="14" t="n">
        <x:v>29364.320000000007</x:v>
      </x:c>
      <x:c r="S548" s="14"/>
      <x:c r="T548" s="14" t="n">
        <x:f>R548/J548</x:f>
        <x:v>4894.053333333334</x:v>
      </x:c>
    </x:row>
    <x:row r="549" ht="23" customHeight="1">
      <x:c r="A549" s="1" t="str">
        <x:v>T5-L00-R</x:v>
      </x:c>
      <x:c r="B549" s="1" t="str">
        <x:v>T5</x:v>
      </x:c>
      <x:c r="C549" s="1" t="str">
        <x:v>L00</x:v>
      </x:c>
      <x:c r="D549" s="1" t="str">
        <x:v>Column, wall, beam and slab reinforcement</x:v>
      </x:c>
      <x:c r="E549" s="1" t="str">
        <x:v>Rebar</x:v>
      </x:c>
      <x:c r="F549" s="15" t="n">
        <x:v>29.684139475407747</x:v>
      </x:c>
      <x:c r="G549" s="1" t="str">
        <x:v>t</x:v>
      </x:c>
      <x:c r="H549" s="17" t="n">
        <x:v>7</x:v>
      </x:c>
      <x:c r="I549" s="17" t="n">
        <x:v>14</x:v>
      </x:c>
      <x:c r="J549" s="17" t="n">
        <x:f>ROUNDUP(F549/H549,0)</x:f>
        <x:v>5</x:v>
      </x:c>
      <x:c r="K549" s="1" t="n">
        <x:f>MAX(L548+0)</x:f>
        <x:v>188</x:v>
      </x:c>
      <x:c r="L549" s="1" t="n">
        <x:f>K549+J549</x:f>
        <x:v>193</x:v>
      </x:c>
      <x:c r="M549" s="1" t="n">
        <x:f>N549-J549</x:f>
        <x:v>200</x:v>
      </x:c>
      <x:c r="N549" s="1" t="n">
        <x:f>MIN(M550-0)</x:f>
        <x:v>205</x:v>
      </x:c>
      <x:c r="O549" s="1" t="n">
        <x:f>M549-K549</x:f>
        <x:v>12</x:v>
      </x:c>
      <x:c r="P549" s="19" t="n">
        <x:f>INDEX('Calendar'!$C$8:$C$907,K549+1)</x:f>
        <x:v>46547</x:v>
      </x:c>
      <x:c r="Q549" s="19" t="n">
        <x:f>INDEX('Calendar'!$C$8:$C$907,MAX(K549+1,L549))</x:f>
        <x:v>46552</x:v>
      </x:c>
      <x:c r="R549" s="15" t="n">
        <x:v>25795.51720412933</x:v>
      </x:c>
      <x:c r="S549" s="15"/>
      <x:c r="T549" s="15" t="n">
        <x:f>R549/J549</x:f>
        <x:v>5159.103440825866</x:v>
      </x:c>
    </x:row>
    <x:row r="550" ht="23" customHeight="1">
      <x:c r="A550" s="6" t="str">
        <x:v>T5-L00-C</x:v>
      </x:c>
      <x:c r="B550" s="6" t="str">
        <x:v>T5</x:v>
      </x:c>
      <x:c r="C550" s="6" t="str">
        <x:v>L00</x:v>
      </x:c>
      <x:c r="D550" s="6" t="str">
        <x:v>Concrete placement and finishing</x:v>
      </x:c>
      <x:c r="E550" s="6" t="str">
        <x:v>Concrete</x:v>
      </x:c>
      <x:c r="F550" s="14" t="n">
        <x:v>226.70819999999958</x:v>
      </x:c>
      <x:c r="G550" s="6" t="str">
        <x:v>m3</x:v>
      </x:c>
      <x:c r="H550" s="16" t="n">
        <x:v>170</x:v>
      </x:c>
      <x:c r="I550" s="16" t="n">
        <x:v>12</x:v>
      </x:c>
      <x:c r="J550" s="16" t="n">
        <x:f>ROUNDUP(F550/H550,0)</x:f>
        <x:v>2</x:v>
      </x:c>
      <x:c r="K550" s="6" t="n">
        <x:f>MAX(L549+0)</x:f>
        <x:v>193</x:v>
      </x:c>
      <x:c r="L550" s="6" t="n">
        <x:f>K550+J550</x:f>
        <x:v>195</x:v>
      </x:c>
      <x:c r="M550" s="6" t="n">
        <x:f>N550-J550</x:f>
        <x:v>205</x:v>
      </x:c>
      <x:c r="N550" s="6" t="n">
        <x:f>MIN(M551-0)</x:f>
        <x:v>207</x:v>
      </x:c>
      <x:c r="O550" s="6" t="n">
        <x:f>M550-K550</x:f>
        <x:v>12</x:v>
      </x:c>
      <x:c r="P550" s="18" t="n">
        <x:f>INDEX('Calendar'!$C$8:$C$907,K550+1)</x:f>
        <x:v>46553</x:v>
      </x:c>
      <x:c r="Q550" s="18" t="n">
        <x:f>INDEX('Calendar'!$C$8:$C$907,MAX(K550+1,L550))</x:f>
        <x:v>46554</x:v>
      </x:c>
      <x:c r="R550" s="14" t="n">
        <x:v>33527.39699999994</x:v>
      </x:c>
      <x:c r="S550" s="14"/>
      <x:c r="T550" s="14" t="n">
        <x:f>R550/J550</x:f>
        <x:v>16763.69849999997</x:v>
      </x:c>
    </x:row>
    <x:row r="551" ht="23" customHeight="1">
      <x:c r="A551" s="1" t="str">
        <x:v>T5-L00-H</x:v>
      </x:c>
      <x:c r="B551" s="1" t="str">
        <x:v>T5</x:v>
      </x:c>
      <x:c r="C551" s="1" t="str">
        <x:v>L00</x:v>
      </x:c>
      <x:c r="D551" s="1" t="str">
        <x:v>Curing and release hold point</x:v>
      </x:c>
      <x:c r="E551" s="1" t="str">
        <x:v>Site</x:v>
      </x:c>
      <x:c r="F551" s="15" t="n">
        <x:v>1</x:v>
      </x:c>
      <x:c r="G551" s="1" t="str">
        <x:v>hold</x:v>
      </x:c>
      <x:c r="H551" s="17" t="n">
        <x:v>1</x:v>
      </x:c>
      <x:c r="I551" s="17" t="n">
        <x:v>0</x:v>
      </x:c>
      <x:c r="J551" s="17" t="n">
        <x:f>S551</x:f>
        <x:v>5</x:v>
      </x:c>
      <x:c r="K551" s="1" t="n">
        <x:f>MAX(L550+0)</x:f>
        <x:v>195</x:v>
      </x:c>
      <x:c r="L551" s="1" t="n">
        <x:f>K551+J551</x:f>
        <x:v>200</x:v>
      </x:c>
      <x:c r="M551" s="1" t="n">
        <x:f>N551-J551</x:f>
        <x:v>207</x:v>
      </x:c>
      <x:c r="N551" s="1" t="n">
        <x:f>MIN(M552-0)</x:f>
        <x:v>212</x:v>
      </x:c>
      <x:c r="O551" s="1" t="n">
        <x:f>M551-K551</x:f>
        <x:v>12</x:v>
      </x:c>
      <x:c r="P551" s="19" t="n">
        <x:f>INDEX('Calendar'!$C$8:$C$907,K551+1)</x:f>
        <x:v>46555</x:v>
      </x:c>
      <x:c r="Q551" s="19" t="n">
        <x:f>INDEX('Calendar'!$C$8:$C$907,MAX(K551+1,L551))</x:f>
        <x:v>46560</x:v>
      </x:c>
      <x:c r="R551" s="15" t="n">
        <x:v>0</x:v>
      </x:c>
      <x:c r="S551" s="15" t="n">
        <x:v>5</x:v>
      </x:c>
      <x:c r="T551" s="15" t="n">
        <x:f>R551/J551</x:f>
        <x:v>0</x:v>
      </x:c>
    </x:row>
    <x:row r="552" ht="23" customHeight="1">
      <x:c r="A552" s="6" t="str">
        <x:v>T5-L01-F</x:v>
      </x:c>
      <x:c r="B552" s="6" t="str">
        <x:v>T5</x:v>
      </x:c>
      <x:c r="C552" s="6" t="str">
        <x:v>L01</x:v>
      </x:c>
      <x:c r="D552" s="6" t="str">
        <x:v>Columns, core and deck formwork</x:v>
      </x:c>
      <x:c r="E552" s="6" t="str">
        <x:v>Formwork</x:v>
      </x:c>
      <x:c r="F552" s="14" t="n">
        <x:v>1222.6600000000005</x:v>
      </x:c>
      <x:c r="G552" s="6" t="str">
        <x:v>m2</x:v>
      </x:c>
      <x:c r="H552" s="16" t="n">
        <x:v>220</x:v>
      </x:c>
      <x:c r="I552" s="16" t="n">
        <x:v>18</x:v>
      </x:c>
      <x:c r="J552" s="16" t="n">
        <x:f>ROUNDUP(F552/H552,0)</x:f>
        <x:v>6</x:v>
      </x:c>
      <x:c r="K552" s="6" t="n">
        <x:f>MAX(L551+0)</x:f>
        <x:v>200</x:v>
      </x:c>
      <x:c r="L552" s="6" t="n">
        <x:f>K552+J552</x:f>
        <x:v>206</x:v>
      </x:c>
      <x:c r="M552" s="6" t="n">
        <x:f>N552-J552</x:f>
        <x:v>212</x:v>
      </x:c>
      <x:c r="N552" s="6" t="n">
        <x:f>MIN(M553-0)</x:f>
        <x:v>218</x:v>
      </x:c>
      <x:c r="O552" s="6" t="n">
        <x:f>M552-K552</x:f>
        <x:v>12</x:v>
      </x:c>
      <x:c r="P552" s="18" t="n">
        <x:f>INDEX('Calendar'!$C$8:$C$907,K552+1)</x:f>
        <x:v>46561</x:v>
      </x:c>
      <x:c r="Q552" s="18" t="n">
        <x:f>INDEX('Calendar'!$C$8:$C$907,MAX(K552+1,L552))</x:f>
        <x:v>46567</x:v>
      </x:c>
      <x:c r="R552" s="14" t="n">
        <x:v>29364.320000000007</x:v>
      </x:c>
      <x:c r="S552" s="14"/>
      <x:c r="T552" s="14" t="n">
        <x:f>R552/J552</x:f>
        <x:v>4894.053333333334</x:v>
      </x:c>
    </x:row>
    <x:row r="553" ht="23" customHeight="1">
      <x:c r="A553" s="1" t="str">
        <x:v>T5-L01-R</x:v>
      </x:c>
      <x:c r="B553" s="1" t="str">
        <x:v>T5</x:v>
      </x:c>
      <x:c r="C553" s="1" t="str">
        <x:v>L01</x:v>
      </x:c>
      <x:c r="D553" s="1" t="str">
        <x:v>Column, wall, beam and slab reinforcement</x:v>
      </x:c>
      <x:c r="E553" s="1" t="str">
        <x:v>Rebar</x:v>
      </x:c>
      <x:c r="F553" s="15" t="n">
        <x:v>29.684139475407747</x:v>
      </x:c>
      <x:c r="G553" s="1" t="str">
        <x:v>t</x:v>
      </x:c>
      <x:c r="H553" s="17" t="n">
        <x:v>7</x:v>
      </x:c>
      <x:c r="I553" s="17" t="n">
        <x:v>14</x:v>
      </x:c>
      <x:c r="J553" s="17" t="n">
        <x:f>ROUNDUP(F553/H553,0)</x:f>
        <x:v>5</x:v>
      </x:c>
      <x:c r="K553" s="1" t="n">
        <x:f>MAX(L552+0)</x:f>
        <x:v>206</x:v>
      </x:c>
      <x:c r="L553" s="1" t="n">
        <x:f>K553+J553</x:f>
        <x:v>211</x:v>
      </x:c>
      <x:c r="M553" s="1" t="n">
        <x:f>N553-J553</x:f>
        <x:v>218</x:v>
      </x:c>
      <x:c r="N553" s="1" t="n">
        <x:f>MIN(M554-0)</x:f>
        <x:v>223</x:v>
      </x:c>
      <x:c r="O553" s="1" t="n">
        <x:f>M553-K553</x:f>
        <x:v>12</x:v>
      </x:c>
      <x:c r="P553" s="19" t="n">
        <x:f>INDEX('Calendar'!$C$8:$C$907,K553+1)</x:f>
        <x:v>46568</x:v>
      </x:c>
      <x:c r="Q553" s="19" t="n">
        <x:f>INDEX('Calendar'!$C$8:$C$907,MAX(K553+1,L553))</x:f>
        <x:v>46573</x:v>
      </x:c>
      <x:c r="R553" s="15" t="n">
        <x:v>25795.51720412933</x:v>
      </x:c>
      <x:c r="S553" s="15"/>
      <x:c r="T553" s="15" t="n">
        <x:f>R553/J553</x:f>
        <x:v>5159.103440825866</x:v>
      </x:c>
    </x:row>
    <x:row r="554" ht="23" customHeight="1">
      <x:c r="A554" s="6" t="str">
        <x:v>T5-L01-C</x:v>
      </x:c>
      <x:c r="B554" s="6" t="str">
        <x:v>T5</x:v>
      </x:c>
      <x:c r="C554" s="6" t="str">
        <x:v>L01</x:v>
      </x:c>
      <x:c r="D554" s="6" t="str">
        <x:v>Concrete placement and finishing</x:v>
      </x:c>
      <x:c r="E554" s="6" t="str">
        <x:v>Concrete</x:v>
      </x:c>
      <x:c r="F554" s="14" t="n">
        <x:v>226.70819999999958</x:v>
      </x:c>
      <x:c r="G554" s="6" t="str">
        <x:v>m3</x:v>
      </x:c>
      <x:c r="H554" s="16" t="n">
        <x:v>170</x:v>
      </x:c>
      <x:c r="I554" s="16" t="n">
        <x:v>12</x:v>
      </x:c>
      <x:c r="J554" s="16" t="n">
        <x:f>ROUNDUP(F554/H554,0)</x:f>
        <x:v>2</x:v>
      </x:c>
      <x:c r="K554" s="6" t="n">
        <x:f>MAX(L553+0)</x:f>
        <x:v>211</x:v>
      </x:c>
      <x:c r="L554" s="6" t="n">
        <x:f>K554+J554</x:f>
        <x:v>213</x:v>
      </x:c>
      <x:c r="M554" s="6" t="n">
        <x:f>N554-J554</x:f>
        <x:v>223</x:v>
      </x:c>
      <x:c r="N554" s="6" t="n">
        <x:f>MIN(M555-0)</x:f>
        <x:v>225</x:v>
      </x:c>
      <x:c r="O554" s="6" t="n">
        <x:f>M554-K554</x:f>
        <x:v>12</x:v>
      </x:c>
      <x:c r="P554" s="18" t="n">
        <x:f>INDEX('Calendar'!$C$8:$C$907,K554+1)</x:f>
        <x:v>46574</x:v>
      </x:c>
      <x:c r="Q554" s="18" t="n">
        <x:f>INDEX('Calendar'!$C$8:$C$907,MAX(K554+1,L554))</x:f>
        <x:v>46575</x:v>
      </x:c>
      <x:c r="R554" s="14" t="n">
        <x:v>33527.39699999994</x:v>
      </x:c>
      <x:c r="S554" s="14"/>
      <x:c r="T554" s="14" t="n">
        <x:f>R554/J554</x:f>
        <x:v>16763.69849999997</x:v>
      </x:c>
    </x:row>
    <x:row r="555" ht="23" customHeight="1">
      <x:c r="A555" s="1" t="str">
        <x:v>T5-L01-H</x:v>
      </x:c>
      <x:c r="B555" s="1" t="str">
        <x:v>T5</x:v>
      </x:c>
      <x:c r="C555" s="1" t="str">
        <x:v>L01</x:v>
      </x:c>
      <x:c r="D555" s="1" t="str">
        <x:v>Curing and release hold point</x:v>
      </x:c>
      <x:c r="E555" s="1" t="str">
        <x:v>Site</x:v>
      </x:c>
      <x:c r="F555" s="15" t="n">
        <x:v>1</x:v>
      </x:c>
      <x:c r="G555" s="1" t="str">
        <x:v>hold</x:v>
      </x:c>
      <x:c r="H555" s="17" t="n">
        <x:v>1</x:v>
      </x:c>
      <x:c r="I555" s="17" t="n">
        <x:v>0</x:v>
      </x:c>
      <x:c r="J555" s="17" t="n">
        <x:f>S555</x:f>
        <x:v>5</x:v>
      </x:c>
      <x:c r="K555" s="1" t="n">
        <x:f>MAX(L554+0)</x:f>
        <x:v>213</x:v>
      </x:c>
      <x:c r="L555" s="1" t="n">
        <x:f>K555+J555</x:f>
        <x:v>218</x:v>
      </x:c>
      <x:c r="M555" s="1" t="n">
        <x:f>N555-J555</x:f>
        <x:v>225</x:v>
      </x:c>
      <x:c r="N555" s="1" t="n">
        <x:f>MIN(M556-0)</x:f>
        <x:v>230</x:v>
      </x:c>
      <x:c r="O555" s="1" t="n">
        <x:f>M555-K555</x:f>
        <x:v>12</x:v>
      </x:c>
      <x:c r="P555" s="19" t="n">
        <x:f>INDEX('Calendar'!$C$8:$C$907,K555+1)</x:f>
        <x:v>46576</x:v>
      </x:c>
      <x:c r="Q555" s="19" t="n">
        <x:f>INDEX('Calendar'!$C$8:$C$907,MAX(K555+1,L555))</x:f>
        <x:v>46581</x:v>
      </x:c>
      <x:c r="R555" s="15" t="n">
        <x:v>0</x:v>
      </x:c>
      <x:c r="S555" s="15" t="n">
        <x:v>5</x:v>
      </x:c>
      <x:c r="T555" s="15" t="n">
        <x:f>R555/J555</x:f>
        <x:v>0</x:v>
      </x:c>
    </x:row>
    <x:row r="556" ht="23" customHeight="1">
      <x:c r="A556" s="6" t="str">
        <x:v>T5-L02-F</x:v>
      </x:c>
      <x:c r="B556" s="6" t="str">
        <x:v>T5</x:v>
      </x:c>
      <x:c r="C556" s="6" t="str">
        <x:v>L02</x:v>
      </x:c>
      <x:c r="D556" s="6" t="str">
        <x:v>Columns, core and deck formwork</x:v>
      </x:c>
      <x:c r="E556" s="6" t="str">
        <x:v>Formwork</x:v>
      </x:c>
      <x:c r="F556" s="14" t="n">
        <x:v>1222.6600000000005</x:v>
      </x:c>
      <x:c r="G556" s="6" t="str">
        <x:v>m2</x:v>
      </x:c>
      <x:c r="H556" s="16" t="n">
        <x:v>220</x:v>
      </x:c>
      <x:c r="I556" s="16" t="n">
        <x:v>18</x:v>
      </x:c>
      <x:c r="J556" s="16" t="n">
        <x:f>ROUNDUP(F556/H556,0)</x:f>
        <x:v>6</x:v>
      </x:c>
      <x:c r="K556" s="6" t="n">
        <x:f>MAX(L555+0)</x:f>
        <x:v>218</x:v>
      </x:c>
      <x:c r="L556" s="6" t="n">
        <x:f>K556+J556</x:f>
        <x:v>224</x:v>
      </x:c>
      <x:c r="M556" s="6" t="n">
        <x:f>N556-J556</x:f>
        <x:v>230</x:v>
      </x:c>
      <x:c r="N556" s="6" t="n">
        <x:f>MIN(M557-0)</x:f>
        <x:v>236</x:v>
      </x:c>
      <x:c r="O556" s="6" t="n">
        <x:f>M556-K556</x:f>
        <x:v>12</x:v>
      </x:c>
      <x:c r="P556" s="18" t="n">
        <x:f>INDEX('Calendar'!$C$8:$C$907,K556+1)</x:f>
        <x:v>46582</x:v>
      </x:c>
      <x:c r="Q556" s="18" t="n">
        <x:f>INDEX('Calendar'!$C$8:$C$907,MAX(K556+1,L556))</x:f>
        <x:v>46588</x:v>
      </x:c>
      <x:c r="R556" s="14" t="n">
        <x:v>29364.320000000007</x:v>
      </x:c>
      <x:c r="S556" s="14"/>
      <x:c r="T556" s="14" t="n">
        <x:f>R556/J556</x:f>
        <x:v>4894.053333333334</x:v>
      </x:c>
    </x:row>
    <x:row r="557" ht="23" customHeight="1">
      <x:c r="A557" s="1" t="str">
        <x:v>T5-L02-R</x:v>
      </x:c>
      <x:c r="B557" s="1" t="str">
        <x:v>T5</x:v>
      </x:c>
      <x:c r="C557" s="1" t="str">
        <x:v>L02</x:v>
      </x:c>
      <x:c r="D557" s="1" t="str">
        <x:v>Column, wall, beam and slab reinforcement</x:v>
      </x:c>
      <x:c r="E557" s="1" t="str">
        <x:v>Rebar</x:v>
      </x:c>
      <x:c r="F557" s="15" t="n">
        <x:v>29.684139475407747</x:v>
      </x:c>
      <x:c r="G557" s="1" t="str">
        <x:v>t</x:v>
      </x:c>
      <x:c r="H557" s="17" t="n">
        <x:v>7</x:v>
      </x:c>
      <x:c r="I557" s="17" t="n">
        <x:v>14</x:v>
      </x:c>
      <x:c r="J557" s="17" t="n">
        <x:f>ROUNDUP(F557/H557,0)</x:f>
        <x:v>5</x:v>
      </x:c>
      <x:c r="K557" s="1" t="n">
        <x:f>MAX(L556+0)</x:f>
        <x:v>224</x:v>
      </x:c>
      <x:c r="L557" s="1" t="n">
        <x:f>K557+J557</x:f>
        <x:v>229</x:v>
      </x:c>
      <x:c r="M557" s="1" t="n">
        <x:f>N557-J557</x:f>
        <x:v>236</x:v>
      </x:c>
      <x:c r="N557" s="1" t="n">
        <x:f>MIN(M558-0)</x:f>
        <x:v>241</x:v>
      </x:c>
      <x:c r="O557" s="1" t="n">
        <x:f>M557-K557</x:f>
        <x:v>12</x:v>
      </x:c>
      <x:c r="P557" s="19" t="n">
        <x:f>INDEX('Calendar'!$C$8:$C$907,K557+1)</x:f>
        <x:v>46589</x:v>
      </x:c>
      <x:c r="Q557" s="19" t="n">
        <x:f>INDEX('Calendar'!$C$8:$C$907,MAX(K557+1,L557))</x:f>
        <x:v>46594</x:v>
      </x:c>
      <x:c r="R557" s="15" t="n">
        <x:v>25795.51720412933</x:v>
      </x:c>
      <x:c r="S557" s="15"/>
      <x:c r="T557" s="15" t="n">
        <x:f>R557/J557</x:f>
        <x:v>5159.103440825866</x:v>
      </x:c>
    </x:row>
    <x:row r="558" ht="23" customHeight="1">
      <x:c r="A558" s="6" t="str">
        <x:v>T5-L02-C</x:v>
      </x:c>
      <x:c r="B558" s="6" t="str">
        <x:v>T5</x:v>
      </x:c>
      <x:c r="C558" s="6" t="str">
        <x:v>L02</x:v>
      </x:c>
      <x:c r="D558" s="6" t="str">
        <x:v>Concrete placement and finishing</x:v>
      </x:c>
      <x:c r="E558" s="6" t="str">
        <x:v>Concrete</x:v>
      </x:c>
      <x:c r="F558" s="14" t="n">
        <x:v>226.70819999999958</x:v>
      </x:c>
      <x:c r="G558" s="6" t="str">
        <x:v>m3</x:v>
      </x:c>
      <x:c r="H558" s="16" t="n">
        <x:v>170</x:v>
      </x:c>
      <x:c r="I558" s="16" t="n">
        <x:v>12</x:v>
      </x:c>
      <x:c r="J558" s="16" t="n">
        <x:f>ROUNDUP(F558/H558,0)</x:f>
        <x:v>2</x:v>
      </x:c>
      <x:c r="K558" s="6" t="n">
        <x:f>MAX(L557+0)</x:f>
        <x:v>229</x:v>
      </x:c>
      <x:c r="L558" s="6" t="n">
        <x:f>K558+J558</x:f>
        <x:v>231</x:v>
      </x:c>
      <x:c r="M558" s="6" t="n">
        <x:f>N558-J558</x:f>
        <x:v>241</x:v>
      </x:c>
      <x:c r="N558" s="6" t="n">
        <x:f>MIN(M559-0)</x:f>
        <x:v>243</x:v>
      </x:c>
      <x:c r="O558" s="6" t="n">
        <x:f>M558-K558</x:f>
        <x:v>12</x:v>
      </x:c>
      <x:c r="P558" s="18" t="n">
        <x:f>INDEX('Calendar'!$C$8:$C$907,K558+1)</x:f>
        <x:v>46595</x:v>
      </x:c>
      <x:c r="Q558" s="18" t="n">
        <x:f>INDEX('Calendar'!$C$8:$C$907,MAX(K558+1,L558))</x:f>
        <x:v>46596</x:v>
      </x:c>
      <x:c r="R558" s="14" t="n">
        <x:v>33527.39699999994</x:v>
      </x:c>
      <x:c r="S558" s="14"/>
      <x:c r="T558" s="14" t="n">
        <x:f>R558/J558</x:f>
        <x:v>16763.69849999997</x:v>
      </x:c>
    </x:row>
    <x:row r="559" ht="23" customHeight="1">
      <x:c r="A559" s="1" t="str">
        <x:v>T5-L02-H</x:v>
      </x:c>
      <x:c r="B559" s="1" t="str">
        <x:v>T5</x:v>
      </x:c>
      <x:c r="C559" s="1" t="str">
        <x:v>L02</x:v>
      </x:c>
      <x:c r="D559" s="1" t="str">
        <x:v>Curing and release hold point</x:v>
      </x:c>
      <x:c r="E559" s="1" t="str">
        <x:v>Site</x:v>
      </x:c>
      <x:c r="F559" s="15" t="n">
        <x:v>1</x:v>
      </x:c>
      <x:c r="G559" s="1" t="str">
        <x:v>hold</x:v>
      </x:c>
      <x:c r="H559" s="17" t="n">
        <x:v>1</x:v>
      </x:c>
      <x:c r="I559" s="17" t="n">
        <x:v>0</x:v>
      </x:c>
      <x:c r="J559" s="17" t="n">
        <x:f>S559</x:f>
        <x:v>5</x:v>
      </x:c>
      <x:c r="K559" s="1" t="n">
        <x:f>MAX(L558+0)</x:f>
        <x:v>231</x:v>
      </x:c>
      <x:c r="L559" s="1" t="n">
        <x:f>K559+J559</x:f>
        <x:v>236</x:v>
      </x:c>
      <x:c r="M559" s="1" t="n">
        <x:f>N559-J559</x:f>
        <x:v>243</x:v>
      </x:c>
      <x:c r="N559" s="1" t="n">
        <x:f>MIN(M560-0)</x:f>
        <x:v>248</x:v>
      </x:c>
      <x:c r="O559" s="1" t="n">
        <x:f>M559-K559</x:f>
        <x:v>12</x:v>
      </x:c>
      <x:c r="P559" s="19" t="n">
        <x:f>INDEX('Calendar'!$C$8:$C$907,K559+1)</x:f>
        <x:v>46597</x:v>
      </x:c>
      <x:c r="Q559" s="19" t="n">
        <x:f>INDEX('Calendar'!$C$8:$C$907,MAX(K559+1,L559))</x:f>
        <x:v>46602</x:v>
      </x:c>
      <x:c r="R559" s="15" t="n">
        <x:v>0</x:v>
      </x:c>
      <x:c r="S559" s="15" t="n">
        <x:v>5</x:v>
      </x:c>
      <x:c r="T559" s="15" t="n">
        <x:f>R559/J559</x:f>
        <x:v>0</x:v>
      </x:c>
    </x:row>
    <x:row r="560" ht="23" customHeight="1">
      <x:c r="A560" s="6" t="str">
        <x:v>T5-L03-F</x:v>
      </x:c>
      <x:c r="B560" s="6" t="str">
        <x:v>T5</x:v>
      </x:c>
      <x:c r="C560" s="6" t="str">
        <x:v>L03</x:v>
      </x:c>
      <x:c r="D560" s="6" t="str">
        <x:v>Columns, core and deck formwork</x:v>
      </x:c>
      <x:c r="E560" s="6" t="str">
        <x:v>Formwork</x:v>
      </x:c>
      <x:c r="F560" s="14" t="n">
        <x:v>1222.6600000000005</x:v>
      </x:c>
      <x:c r="G560" s="6" t="str">
        <x:v>m2</x:v>
      </x:c>
      <x:c r="H560" s="16" t="n">
        <x:v>220</x:v>
      </x:c>
      <x:c r="I560" s="16" t="n">
        <x:v>18</x:v>
      </x:c>
      <x:c r="J560" s="16" t="n">
        <x:f>ROUNDUP(F560/H560,0)</x:f>
        <x:v>6</x:v>
      </x:c>
      <x:c r="K560" s="6" t="n">
        <x:f>MAX(L559+0)</x:f>
        <x:v>236</x:v>
      </x:c>
      <x:c r="L560" s="6" t="n">
        <x:f>K560+J560</x:f>
        <x:v>242</x:v>
      </x:c>
      <x:c r="M560" s="6" t="n">
        <x:f>N560-J560</x:f>
        <x:v>248</x:v>
      </x:c>
      <x:c r="N560" s="6" t="n">
        <x:f>MIN(M561-0)</x:f>
        <x:v>254</x:v>
      </x:c>
      <x:c r="O560" s="6" t="n">
        <x:f>M560-K560</x:f>
        <x:v>12</x:v>
      </x:c>
      <x:c r="P560" s="18" t="n">
        <x:f>INDEX('Calendar'!$C$8:$C$907,K560+1)</x:f>
        <x:v>46603</x:v>
      </x:c>
      <x:c r="Q560" s="18" t="n">
        <x:f>INDEX('Calendar'!$C$8:$C$907,MAX(K560+1,L560))</x:f>
        <x:v>46609</x:v>
      </x:c>
      <x:c r="R560" s="14" t="n">
        <x:v>29364.320000000007</x:v>
      </x:c>
      <x:c r="S560" s="14"/>
      <x:c r="T560" s="14" t="n">
        <x:f>R560/J560</x:f>
        <x:v>4894.053333333334</x:v>
      </x:c>
    </x:row>
    <x:row r="561" ht="23" customHeight="1">
      <x:c r="A561" s="1" t="str">
        <x:v>T5-L03-R</x:v>
      </x:c>
      <x:c r="B561" s="1" t="str">
        <x:v>T5</x:v>
      </x:c>
      <x:c r="C561" s="1" t="str">
        <x:v>L03</x:v>
      </x:c>
      <x:c r="D561" s="1" t="str">
        <x:v>Column, wall, beam and slab reinforcement</x:v>
      </x:c>
      <x:c r="E561" s="1" t="str">
        <x:v>Rebar</x:v>
      </x:c>
      <x:c r="F561" s="15" t="n">
        <x:v>29.684139475407747</x:v>
      </x:c>
      <x:c r="G561" s="1" t="str">
        <x:v>t</x:v>
      </x:c>
      <x:c r="H561" s="17" t="n">
        <x:v>7</x:v>
      </x:c>
      <x:c r="I561" s="17" t="n">
        <x:v>14</x:v>
      </x:c>
      <x:c r="J561" s="17" t="n">
        <x:f>ROUNDUP(F561/H561,0)</x:f>
        <x:v>5</x:v>
      </x:c>
      <x:c r="K561" s="1" t="n">
        <x:f>MAX(L560+0)</x:f>
        <x:v>242</x:v>
      </x:c>
      <x:c r="L561" s="1" t="n">
        <x:f>K561+J561</x:f>
        <x:v>247</x:v>
      </x:c>
      <x:c r="M561" s="1" t="n">
        <x:f>N561-J561</x:f>
        <x:v>254</x:v>
      </x:c>
      <x:c r="N561" s="1" t="n">
        <x:f>MIN(M562-0)</x:f>
        <x:v>259</x:v>
      </x:c>
      <x:c r="O561" s="1" t="n">
        <x:f>M561-K561</x:f>
        <x:v>12</x:v>
      </x:c>
      <x:c r="P561" s="19" t="n">
        <x:f>INDEX('Calendar'!$C$8:$C$907,K561+1)</x:f>
        <x:v>46610</x:v>
      </x:c>
      <x:c r="Q561" s="19" t="n">
        <x:f>INDEX('Calendar'!$C$8:$C$907,MAX(K561+1,L561))</x:f>
        <x:v>46615</x:v>
      </x:c>
      <x:c r="R561" s="15" t="n">
        <x:v>25795.51720412933</x:v>
      </x:c>
      <x:c r="S561" s="15"/>
      <x:c r="T561" s="15" t="n">
        <x:f>R561/J561</x:f>
        <x:v>5159.103440825866</x:v>
      </x:c>
    </x:row>
    <x:row r="562" ht="23" customHeight="1">
      <x:c r="A562" s="6" t="str">
        <x:v>T5-L03-C</x:v>
      </x:c>
      <x:c r="B562" s="6" t="str">
        <x:v>T5</x:v>
      </x:c>
      <x:c r="C562" s="6" t="str">
        <x:v>L03</x:v>
      </x:c>
      <x:c r="D562" s="6" t="str">
        <x:v>Concrete placement and finishing</x:v>
      </x:c>
      <x:c r="E562" s="6" t="str">
        <x:v>Concrete</x:v>
      </x:c>
      <x:c r="F562" s="14" t="n">
        <x:v>226.70819999999958</x:v>
      </x:c>
      <x:c r="G562" s="6" t="str">
        <x:v>m3</x:v>
      </x:c>
      <x:c r="H562" s="16" t="n">
        <x:v>170</x:v>
      </x:c>
      <x:c r="I562" s="16" t="n">
        <x:v>12</x:v>
      </x:c>
      <x:c r="J562" s="16" t="n">
        <x:f>ROUNDUP(F562/H562,0)</x:f>
        <x:v>2</x:v>
      </x:c>
      <x:c r="K562" s="6" t="n">
        <x:f>MAX(L561+0)</x:f>
        <x:v>247</x:v>
      </x:c>
      <x:c r="L562" s="6" t="n">
        <x:f>K562+J562</x:f>
        <x:v>249</x:v>
      </x:c>
      <x:c r="M562" s="6" t="n">
        <x:f>N562-J562</x:f>
        <x:v>259</x:v>
      </x:c>
      <x:c r="N562" s="6" t="n">
        <x:f>MIN(M563-0)</x:f>
        <x:v>261</x:v>
      </x:c>
      <x:c r="O562" s="6" t="n">
        <x:f>M562-K562</x:f>
        <x:v>12</x:v>
      </x:c>
      <x:c r="P562" s="18" t="n">
        <x:f>INDEX('Calendar'!$C$8:$C$907,K562+1)</x:f>
        <x:v>46616</x:v>
      </x:c>
      <x:c r="Q562" s="18" t="n">
        <x:f>INDEX('Calendar'!$C$8:$C$907,MAX(K562+1,L562))</x:f>
        <x:v>46617</x:v>
      </x:c>
      <x:c r="R562" s="14" t="n">
        <x:v>33527.39699999994</x:v>
      </x:c>
      <x:c r="S562" s="14"/>
      <x:c r="T562" s="14" t="n">
        <x:f>R562/J562</x:f>
        <x:v>16763.69849999997</x:v>
      </x:c>
    </x:row>
    <x:row r="563" ht="23" customHeight="1">
      <x:c r="A563" s="1" t="str">
        <x:v>T5-L03-H</x:v>
      </x:c>
      <x:c r="B563" s="1" t="str">
        <x:v>T5</x:v>
      </x:c>
      <x:c r="C563" s="1" t="str">
        <x:v>L03</x:v>
      </x:c>
      <x:c r="D563" s="1" t="str">
        <x:v>Curing and release hold point</x:v>
      </x:c>
      <x:c r="E563" s="1" t="str">
        <x:v>Site</x:v>
      </x:c>
      <x:c r="F563" s="15" t="n">
        <x:v>1</x:v>
      </x:c>
      <x:c r="G563" s="1" t="str">
        <x:v>hold</x:v>
      </x:c>
      <x:c r="H563" s="17" t="n">
        <x:v>1</x:v>
      </x:c>
      <x:c r="I563" s="17" t="n">
        <x:v>0</x:v>
      </x:c>
      <x:c r="J563" s="17" t="n">
        <x:f>S563</x:f>
        <x:v>5</x:v>
      </x:c>
      <x:c r="K563" s="1" t="n">
        <x:f>MAX(L562+0)</x:f>
        <x:v>249</x:v>
      </x:c>
      <x:c r="L563" s="1" t="n">
        <x:f>K563+J563</x:f>
        <x:v>254</x:v>
      </x:c>
      <x:c r="M563" s="1" t="n">
        <x:f>N563-J563</x:f>
        <x:v>261</x:v>
      </x:c>
      <x:c r="N563" s="1" t="n">
        <x:f>MIN(M564-0,M603-5)</x:f>
        <x:v>266</x:v>
      </x:c>
      <x:c r="O563" s="1" t="n">
        <x:f>M563-K563</x:f>
        <x:v>12</x:v>
      </x:c>
      <x:c r="P563" s="19" t="n">
        <x:f>INDEX('Calendar'!$C$8:$C$907,K563+1)</x:f>
        <x:v>46618</x:v>
      </x:c>
      <x:c r="Q563" s="19" t="n">
        <x:f>INDEX('Calendar'!$C$8:$C$907,MAX(K563+1,L563))</x:f>
        <x:v>46623</x:v>
      </x:c>
      <x:c r="R563" s="15" t="n">
        <x:v>0</x:v>
      </x:c>
      <x:c r="S563" s="15" t="n">
        <x:v>5</x:v>
      </x:c>
      <x:c r="T563" s="15" t="n">
        <x:f>R563/J563</x:f>
        <x:v>0</x:v>
      </x:c>
    </x:row>
    <x:row r="564" ht="23" customHeight="1">
      <x:c r="A564" s="6" t="str">
        <x:v>T5-L04-F</x:v>
      </x:c>
      <x:c r="B564" s="6" t="str">
        <x:v>T5</x:v>
      </x:c>
      <x:c r="C564" s="6" t="str">
        <x:v>L04</x:v>
      </x:c>
      <x:c r="D564" s="6" t="str">
        <x:v>Columns, core and deck formwork</x:v>
      </x:c>
      <x:c r="E564" s="6" t="str">
        <x:v>Formwork</x:v>
      </x:c>
      <x:c r="F564" s="14" t="n">
        <x:v>1222.6600000000005</x:v>
      </x:c>
      <x:c r="G564" s="6" t="str">
        <x:v>m2</x:v>
      </x:c>
      <x:c r="H564" s="16" t="n">
        <x:v>220</x:v>
      </x:c>
      <x:c r="I564" s="16" t="n">
        <x:v>18</x:v>
      </x:c>
      <x:c r="J564" s="16" t="n">
        <x:f>ROUNDUP(F564/H564,0)</x:f>
        <x:v>6</x:v>
      </x:c>
      <x:c r="K564" s="6" t="n">
        <x:f>MAX(L563+0)</x:f>
        <x:v>254</x:v>
      </x:c>
      <x:c r="L564" s="6" t="n">
        <x:f>K564+J564</x:f>
        <x:v>260</x:v>
      </x:c>
      <x:c r="M564" s="6" t="n">
        <x:f>N564-J564</x:f>
        <x:v>266</x:v>
      </x:c>
      <x:c r="N564" s="6" t="n">
        <x:f>MIN(M565-0)</x:f>
        <x:v>272</x:v>
      </x:c>
      <x:c r="O564" s="6" t="n">
        <x:f>M564-K564</x:f>
        <x:v>12</x:v>
      </x:c>
      <x:c r="P564" s="18" t="n">
        <x:f>INDEX('Calendar'!$C$8:$C$907,K564+1)</x:f>
        <x:v>46624</x:v>
      </x:c>
      <x:c r="Q564" s="18" t="n">
        <x:f>INDEX('Calendar'!$C$8:$C$907,MAX(K564+1,L564))</x:f>
        <x:v>46630</x:v>
      </x:c>
      <x:c r="R564" s="14" t="n">
        <x:v>29364.320000000007</x:v>
      </x:c>
      <x:c r="S564" s="14"/>
      <x:c r="T564" s="14" t="n">
        <x:f>R564/J564</x:f>
        <x:v>4894.053333333334</x:v>
      </x:c>
    </x:row>
    <x:row r="565" ht="23" customHeight="1">
      <x:c r="A565" s="1" t="str">
        <x:v>T5-L04-R</x:v>
      </x:c>
      <x:c r="B565" s="1" t="str">
        <x:v>T5</x:v>
      </x:c>
      <x:c r="C565" s="1" t="str">
        <x:v>L04</x:v>
      </x:c>
      <x:c r="D565" s="1" t="str">
        <x:v>Column, wall, beam and slab reinforcement</x:v>
      </x:c>
      <x:c r="E565" s="1" t="str">
        <x:v>Rebar</x:v>
      </x:c>
      <x:c r="F565" s="15" t="n">
        <x:v>29.684139475407747</x:v>
      </x:c>
      <x:c r="G565" s="1" t="str">
        <x:v>t</x:v>
      </x:c>
      <x:c r="H565" s="17" t="n">
        <x:v>7</x:v>
      </x:c>
      <x:c r="I565" s="17" t="n">
        <x:v>14</x:v>
      </x:c>
      <x:c r="J565" s="17" t="n">
        <x:f>ROUNDUP(F565/H565,0)</x:f>
        <x:v>5</x:v>
      </x:c>
      <x:c r="K565" s="1" t="n">
        <x:f>MAX(L564+0)</x:f>
        <x:v>260</x:v>
      </x:c>
      <x:c r="L565" s="1" t="n">
        <x:f>K565+J565</x:f>
        <x:v>265</x:v>
      </x:c>
      <x:c r="M565" s="1" t="n">
        <x:f>N565-J565</x:f>
        <x:v>272</x:v>
      </x:c>
      <x:c r="N565" s="1" t="n">
        <x:f>MIN(M566-0)</x:f>
        <x:v>277</x:v>
      </x:c>
      <x:c r="O565" s="1" t="n">
        <x:f>M565-K565</x:f>
        <x:v>12</x:v>
      </x:c>
      <x:c r="P565" s="19" t="n">
        <x:f>INDEX('Calendar'!$C$8:$C$907,K565+1)</x:f>
        <x:v>46631</x:v>
      </x:c>
      <x:c r="Q565" s="19" t="n">
        <x:f>INDEX('Calendar'!$C$8:$C$907,MAX(K565+1,L565))</x:f>
        <x:v>46636</x:v>
      </x:c>
      <x:c r="R565" s="15" t="n">
        <x:v>25795.51720412933</x:v>
      </x:c>
      <x:c r="S565" s="15"/>
      <x:c r="T565" s="15" t="n">
        <x:f>R565/J565</x:f>
        <x:v>5159.103440825866</x:v>
      </x:c>
    </x:row>
    <x:row r="566" ht="23" customHeight="1">
      <x:c r="A566" s="6" t="str">
        <x:v>T5-L04-C</x:v>
      </x:c>
      <x:c r="B566" s="6" t="str">
        <x:v>T5</x:v>
      </x:c>
      <x:c r="C566" s="6" t="str">
        <x:v>L04</x:v>
      </x:c>
      <x:c r="D566" s="6" t="str">
        <x:v>Concrete placement and finishing</x:v>
      </x:c>
      <x:c r="E566" s="6" t="str">
        <x:v>Concrete</x:v>
      </x:c>
      <x:c r="F566" s="14" t="n">
        <x:v>226.70819999999958</x:v>
      </x:c>
      <x:c r="G566" s="6" t="str">
        <x:v>m3</x:v>
      </x:c>
      <x:c r="H566" s="16" t="n">
        <x:v>170</x:v>
      </x:c>
      <x:c r="I566" s="16" t="n">
        <x:v>12</x:v>
      </x:c>
      <x:c r="J566" s="16" t="n">
        <x:f>ROUNDUP(F566/H566,0)</x:f>
        <x:v>2</x:v>
      </x:c>
      <x:c r="K566" s="6" t="n">
        <x:f>MAX(L565+0)</x:f>
        <x:v>265</x:v>
      </x:c>
      <x:c r="L566" s="6" t="n">
        <x:f>K566+J566</x:f>
        <x:v>267</x:v>
      </x:c>
      <x:c r="M566" s="6" t="n">
        <x:f>N566-J566</x:f>
        <x:v>277</x:v>
      </x:c>
      <x:c r="N566" s="6" t="n">
        <x:f>MIN(M567-0)</x:f>
        <x:v>279</x:v>
      </x:c>
      <x:c r="O566" s="6" t="n">
        <x:f>M566-K566</x:f>
        <x:v>12</x:v>
      </x:c>
      <x:c r="P566" s="18" t="n">
        <x:f>INDEX('Calendar'!$C$8:$C$907,K566+1)</x:f>
        <x:v>46637</x:v>
      </x:c>
      <x:c r="Q566" s="18" t="n">
        <x:f>INDEX('Calendar'!$C$8:$C$907,MAX(K566+1,L566))</x:f>
        <x:v>46638</x:v>
      </x:c>
      <x:c r="R566" s="14" t="n">
        <x:v>33527.39699999994</x:v>
      </x:c>
      <x:c r="S566" s="14"/>
      <x:c r="T566" s="14" t="n">
        <x:f>R566/J566</x:f>
        <x:v>16763.69849999997</x:v>
      </x:c>
    </x:row>
    <x:row r="567" ht="23" customHeight="1">
      <x:c r="A567" s="1" t="str">
        <x:v>T5-L04-H</x:v>
      </x:c>
      <x:c r="B567" s="1" t="str">
        <x:v>T5</x:v>
      </x:c>
      <x:c r="C567" s="1" t="str">
        <x:v>L04</x:v>
      </x:c>
      <x:c r="D567" s="1" t="str">
        <x:v>Curing and release hold point</x:v>
      </x:c>
      <x:c r="E567" s="1" t="str">
        <x:v>Site</x:v>
      </x:c>
      <x:c r="F567" s="15" t="n">
        <x:v>1</x:v>
      </x:c>
      <x:c r="G567" s="1" t="str">
        <x:v>hold</x:v>
      </x:c>
      <x:c r="H567" s="17" t="n">
        <x:v>1</x:v>
      </x:c>
      <x:c r="I567" s="17" t="n">
        <x:v>0</x:v>
      </x:c>
      <x:c r="J567" s="17" t="n">
        <x:f>S567</x:f>
        <x:v>5</x:v>
      </x:c>
      <x:c r="K567" s="1" t="n">
        <x:f>MAX(L566+0)</x:f>
        <x:v>267</x:v>
      </x:c>
      <x:c r="L567" s="1" t="n">
        <x:f>K567+J567</x:f>
        <x:v>272</x:v>
      </x:c>
      <x:c r="M567" s="1" t="n">
        <x:f>N567-J567</x:f>
        <x:v>279</x:v>
      </x:c>
      <x:c r="N567" s="1" t="n">
        <x:f>MIN(M568-0,M609-5)</x:f>
        <x:v>284</x:v>
      </x:c>
      <x:c r="O567" s="1" t="n">
        <x:f>M567-K567</x:f>
        <x:v>12</x:v>
      </x:c>
      <x:c r="P567" s="19" t="n">
        <x:f>INDEX('Calendar'!$C$8:$C$907,K567+1)</x:f>
        <x:v>46639</x:v>
      </x:c>
      <x:c r="Q567" s="19" t="n">
        <x:f>INDEX('Calendar'!$C$8:$C$907,MAX(K567+1,L567))</x:f>
        <x:v>46644</x:v>
      </x:c>
      <x:c r="R567" s="15" t="n">
        <x:v>0</x:v>
      </x:c>
      <x:c r="S567" s="15" t="n">
        <x:v>5</x:v>
      </x:c>
      <x:c r="T567" s="15" t="n">
        <x:f>R567/J567</x:f>
        <x:v>0</x:v>
      </x:c>
    </x:row>
    <x:row r="568" ht="23" customHeight="1">
      <x:c r="A568" s="6" t="str">
        <x:v>T5-L05-F</x:v>
      </x:c>
      <x:c r="B568" s="6" t="str">
        <x:v>T5</x:v>
      </x:c>
      <x:c r="C568" s="6" t="str">
        <x:v>L05</x:v>
      </x:c>
      <x:c r="D568" s="6" t="str">
        <x:v>Columns, core and deck formwork</x:v>
      </x:c>
      <x:c r="E568" s="6" t="str">
        <x:v>Formwork</x:v>
      </x:c>
      <x:c r="F568" s="14" t="n">
        <x:v>1222.6600000000005</x:v>
      </x:c>
      <x:c r="G568" s="6" t="str">
        <x:v>m2</x:v>
      </x:c>
      <x:c r="H568" s="16" t="n">
        <x:v>220</x:v>
      </x:c>
      <x:c r="I568" s="16" t="n">
        <x:v>18</x:v>
      </x:c>
      <x:c r="J568" s="16" t="n">
        <x:f>ROUNDUP(F568/H568,0)</x:f>
        <x:v>6</x:v>
      </x:c>
      <x:c r="K568" s="6" t="n">
        <x:f>MAX(L567+0)</x:f>
        <x:v>272</x:v>
      </x:c>
      <x:c r="L568" s="6" t="n">
        <x:f>K568+J568</x:f>
        <x:v>278</x:v>
      </x:c>
      <x:c r="M568" s="6" t="n">
        <x:f>N568-J568</x:f>
        <x:v>284</x:v>
      </x:c>
      <x:c r="N568" s="6" t="n">
        <x:f>MIN(M569-0)</x:f>
        <x:v>290</x:v>
      </x:c>
      <x:c r="O568" s="6" t="n">
        <x:f>M568-K568</x:f>
        <x:v>12</x:v>
      </x:c>
      <x:c r="P568" s="18" t="n">
        <x:f>INDEX('Calendar'!$C$8:$C$907,K568+1)</x:f>
        <x:v>46645</x:v>
      </x:c>
      <x:c r="Q568" s="18" t="n">
        <x:f>INDEX('Calendar'!$C$8:$C$907,MAX(K568+1,L568))</x:f>
        <x:v>46651</x:v>
      </x:c>
      <x:c r="R568" s="14" t="n">
        <x:v>29364.320000000007</x:v>
      </x:c>
      <x:c r="S568" s="14"/>
      <x:c r="T568" s="14" t="n">
        <x:f>R568/J568</x:f>
        <x:v>4894.053333333334</x:v>
      </x:c>
    </x:row>
    <x:row r="569" ht="23" customHeight="1">
      <x:c r="A569" s="1" t="str">
        <x:v>T5-L05-R</x:v>
      </x:c>
      <x:c r="B569" s="1" t="str">
        <x:v>T5</x:v>
      </x:c>
      <x:c r="C569" s="1" t="str">
        <x:v>L05</x:v>
      </x:c>
      <x:c r="D569" s="1" t="str">
        <x:v>Column, wall, beam and slab reinforcement</x:v>
      </x:c>
      <x:c r="E569" s="1" t="str">
        <x:v>Rebar</x:v>
      </x:c>
      <x:c r="F569" s="15" t="n">
        <x:v>29.684139475407747</x:v>
      </x:c>
      <x:c r="G569" s="1" t="str">
        <x:v>t</x:v>
      </x:c>
      <x:c r="H569" s="17" t="n">
        <x:v>7</x:v>
      </x:c>
      <x:c r="I569" s="17" t="n">
        <x:v>14</x:v>
      </x:c>
      <x:c r="J569" s="17" t="n">
        <x:f>ROUNDUP(F569/H569,0)</x:f>
        <x:v>5</x:v>
      </x:c>
      <x:c r="K569" s="1" t="n">
        <x:f>MAX(L568+0)</x:f>
        <x:v>278</x:v>
      </x:c>
      <x:c r="L569" s="1" t="n">
        <x:f>K569+J569</x:f>
        <x:v>283</x:v>
      </x:c>
      <x:c r="M569" s="1" t="n">
        <x:f>N569-J569</x:f>
        <x:v>290</x:v>
      </x:c>
      <x:c r="N569" s="1" t="n">
        <x:f>MIN(M570-0)</x:f>
        <x:v>295</x:v>
      </x:c>
      <x:c r="O569" s="1" t="n">
        <x:f>M569-K569</x:f>
        <x:v>12</x:v>
      </x:c>
      <x:c r="P569" s="19" t="n">
        <x:f>INDEX('Calendar'!$C$8:$C$907,K569+1)</x:f>
        <x:v>46652</x:v>
      </x:c>
      <x:c r="Q569" s="19" t="n">
        <x:f>INDEX('Calendar'!$C$8:$C$907,MAX(K569+1,L569))</x:f>
        <x:v>46657</x:v>
      </x:c>
      <x:c r="R569" s="15" t="n">
        <x:v>25795.51720412933</x:v>
      </x:c>
      <x:c r="S569" s="15"/>
      <x:c r="T569" s="15" t="n">
        <x:f>R569/J569</x:f>
        <x:v>5159.103440825866</x:v>
      </x:c>
    </x:row>
    <x:row r="570" ht="23" customHeight="1">
      <x:c r="A570" s="6" t="str">
        <x:v>T5-L05-C</x:v>
      </x:c>
      <x:c r="B570" s="6" t="str">
        <x:v>T5</x:v>
      </x:c>
      <x:c r="C570" s="6" t="str">
        <x:v>L05</x:v>
      </x:c>
      <x:c r="D570" s="6" t="str">
        <x:v>Concrete placement and finishing</x:v>
      </x:c>
      <x:c r="E570" s="6" t="str">
        <x:v>Concrete</x:v>
      </x:c>
      <x:c r="F570" s="14" t="n">
        <x:v>226.70819999999958</x:v>
      </x:c>
      <x:c r="G570" s="6" t="str">
        <x:v>m3</x:v>
      </x:c>
      <x:c r="H570" s="16" t="n">
        <x:v>170</x:v>
      </x:c>
      <x:c r="I570" s="16" t="n">
        <x:v>12</x:v>
      </x:c>
      <x:c r="J570" s="16" t="n">
        <x:f>ROUNDUP(F570/H570,0)</x:f>
        <x:v>2</x:v>
      </x:c>
      <x:c r="K570" s="6" t="n">
        <x:f>MAX(L569+0)</x:f>
        <x:v>283</x:v>
      </x:c>
      <x:c r="L570" s="6" t="n">
        <x:f>K570+J570</x:f>
        <x:v>285</x:v>
      </x:c>
      <x:c r="M570" s="6" t="n">
        <x:f>N570-J570</x:f>
        <x:v>295</x:v>
      </x:c>
      <x:c r="N570" s="6" t="n">
        <x:f>MIN(M571-0)</x:f>
        <x:v>297</x:v>
      </x:c>
      <x:c r="O570" s="6" t="n">
        <x:f>M570-K570</x:f>
        <x:v>12</x:v>
      </x:c>
      <x:c r="P570" s="18" t="n">
        <x:f>INDEX('Calendar'!$C$8:$C$907,K570+1)</x:f>
        <x:v>46658</x:v>
      </x:c>
      <x:c r="Q570" s="18" t="n">
        <x:f>INDEX('Calendar'!$C$8:$C$907,MAX(K570+1,L570))</x:f>
        <x:v>46659</x:v>
      </x:c>
      <x:c r="R570" s="14" t="n">
        <x:v>33527.39699999994</x:v>
      </x:c>
      <x:c r="S570" s="14"/>
      <x:c r="T570" s="14" t="n">
        <x:f>R570/J570</x:f>
        <x:v>16763.69849999997</x:v>
      </x:c>
    </x:row>
    <x:row r="571" ht="23" customHeight="1">
      <x:c r="A571" s="1" t="str">
        <x:v>T5-L05-H</x:v>
      </x:c>
      <x:c r="B571" s="1" t="str">
        <x:v>T5</x:v>
      </x:c>
      <x:c r="C571" s="1" t="str">
        <x:v>L05</x:v>
      </x:c>
      <x:c r="D571" s="1" t="str">
        <x:v>Curing and release hold point</x:v>
      </x:c>
      <x:c r="E571" s="1" t="str">
        <x:v>Site</x:v>
      </x:c>
      <x:c r="F571" s="15" t="n">
        <x:v>1</x:v>
      </x:c>
      <x:c r="G571" s="1" t="str">
        <x:v>hold</x:v>
      </x:c>
      <x:c r="H571" s="17" t="n">
        <x:v>1</x:v>
      </x:c>
      <x:c r="I571" s="17" t="n">
        <x:v>0</x:v>
      </x:c>
      <x:c r="J571" s="17" t="n">
        <x:f>S571</x:f>
        <x:v>5</x:v>
      </x:c>
      <x:c r="K571" s="1" t="n">
        <x:f>MAX(L570+0)</x:f>
        <x:v>285</x:v>
      </x:c>
      <x:c r="L571" s="1" t="n">
        <x:f>K571+J571</x:f>
        <x:v>290</x:v>
      </x:c>
      <x:c r="M571" s="1" t="n">
        <x:f>N571-J571</x:f>
        <x:v>297</x:v>
      </x:c>
      <x:c r="N571" s="1" t="n">
        <x:f>MIN(M572-0,M615-5)</x:f>
        <x:v>302</x:v>
      </x:c>
      <x:c r="O571" s="1" t="n">
        <x:f>M571-K571</x:f>
        <x:v>12</x:v>
      </x:c>
      <x:c r="P571" s="19" t="n">
        <x:f>INDEX('Calendar'!$C$8:$C$907,K571+1)</x:f>
        <x:v>46660</x:v>
      </x:c>
      <x:c r="Q571" s="19" t="n">
        <x:f>INDEX('Calendar'!$C$8:$C$907,MAX(K571+1,L571))</x:f>
        <x:v>46665</x:v>
      </x:c>
      <x:c r="R571" s="15" t="n">
        <x:v>0</x:v>
      </x:c>
      <x:c r="S571" s="15" t="n">
        <x:v>5</x:v>
      </x:c>
      <x:c r="T571" s="15" t="n">
        <x:f>R571/J571</x:f>
        <x:v>0</x:v>
      </x:c>
    </x:row>
    <x:row r="572" ht="23" customHeight="1">
      <x:c r="A572" s="6" t="str">
        <x:v>T5-L06-F</x:v>
      </x:c>
      <x:c r="B572" s="6" t="str">
        <x:v>T5</x:v>
      </x:c>
      <x:c r="C572" s="6" t="str">
        <x:v>L06</x:v>
      </x:c>
      <x:c r="D572" s="6" t="str">
        <x:v>Columns, core and deck formwork</x:v>
      </x:c>
      <x:c r="E572" s="6" t="str">
        <x:v>Formwork</x:v>
      </x:c>
      <x:c r="F572" s="14" t="n">
        <x:v>1222.6600000000005</x:v>
      </x:c>
      <x:c r="G572" s="6" t="str">
        <x:v>m2</x:v>
      </x:c>
      <x:c r="H572" s="16" t="n">
        <x:v>220</x:v>
      </x:c>
      <x:c r="I572" s="16" t="n">
        <x:v>18</x:v>
      </x:c>
      <x:c r="J572" s="16" t="n">
        <x:f>ROUNDUP(F572/H572,0)</x:f>
        <x:v>6</x:v>
      </x:c>
      <x:c r="K572" s="6" t="n">
        <x:f>MAX(L571+0)</x:f>
        <x:v>290</x:v>
      </x:c>
      <x:c r="L572" s="6" t="n">
        <x:f>K572+J572</x:f>
        <x:v>296</x:v>
      </x:c>
      <x:c r="M572" s="6" t="n">
        <x:f>N572-J572</x:f>
        <x:v>302</x:v>
      </x:c>
      <x:c r="N572" s="6" t="n">
        <x:f>MIN(M573-0)</x:f>
        <x:v>308</x:v>
      </x:c>
      <x:c r="O572" s="6" t="n">
        <x:f>M572-K572</x:f>
        <x:v>12</x:v>
      </x:c>
      <x:c r="P572" s="18" t="n">
        <x:f>INDEX('Calendar'!$C$8:$C$907,K572+1)</x:f>
        <x:v>46666</x:v>
      </x:c>
      <x:c r="Q572" s="18" t="n">
        <x:f>INDEX('Calendar'!$C$8:$C$907,MAX(K572+1,L572))</x:f>
        <x:v>46672</x:v>
      </x:c>
      <x:c r="R572" s="14" t="n">
        <x:v>29364.320000000007</x:v>
      </x:c>
      <x:c r="S572" s="14"/>
      <x:c r="T572" s="14" t="n">
        <x:f>R572/J572</x:f>
        <x:v>4894.053333333334</x:v>
      </x:c>
    </x:row>
    <x:row r="573" ht="23" customHeight="1">
      <x:c r="A573" s="1" t="str">
        <x:v>T5-L06-R</x:v>
      </x:c>
      <x:c r="B573" s="1" t="str">
        <x:v>T5</x:v>
      </x:c>
      <x:c r="C573" s="1" t="str">
        <x:v>L06</x:v>
      </x:c>
      <x:c r="D573" s="1" t="str">
        <x:v>Column, wall, beam and slab reinforcement</x:v>
      </x:c>
      <x:c r="E573" s="1" t="str">
        <x:v>Rebar</x:v>
      </x:c>
      <x:c r="F573" s="15" t="n">
        <x:v>29.684139475407747</x:v>
      </x:c>
      <x:c r="G573" s="1" t="str">
        <x:v>t</x:v>
      </x:c>
      <x:c r="H573" s="17" t="n">
        <x:v>7</x:v>
      </x:c>
      <x:c r="I573" s="17" t="n">
        <x:v>14</x:v>
      </x:c>
      <x:c r="J573" s="17" t="n">
        <x:f>ROUNDUP(F573/H573,0)</x:f>
        <x:v>5</x:v>
      </x:c>
      <x:c r="K573" s="1" t="n">
        <x:f>MAX(L572+0)</x:f>
        <x:v>296</x:v>
      </x:c>
      <x:c r="L573" s="1" t="n">
        <x:f>K573+J573</x:f>
        <x:v>301</x:v>
      </x:c>
      <x:c r="M573" s="1" t="n">
        <x:f>N573-J573</x:f>
        <x:v>308</x:v>
      </x:c>
      <x:c r="N573" s="1" t="n">
        <x:f>MIN(M574-0)</x:f>
        <x:v>313</x:v>
      </x:c>
      <x:c r="O573" s="1" t="n">
        <x:f>M573-K573</x:f>
        <x:v>12</x:v>
      </x:c>
      <x:c r="P573" s="19" t="n">
        <x:f>INDEX('Calendar'!$C$8:$C$907,K573+1)</x:f>
        <x:v>46673</x:v>
      </x:c>
      <x:c r="Q573" s="19" t="n">
        <x:f>INDEX('Calendar'!$C$8:$C$907,MAX(K573+1,L573))</x:f>
        <x:v>46678</x:v>
      </x:c>
      <x:c r="R573" s="15" t="n">
        <x:v>25795.51720412933</x:v>
      </x:c>
      <x:c r="S573" s="15"/>
      <x:c r="T573" s="15" t="n">
        <x:f>R573/J573</x:f>
        <x:v>5159.103440825866</x:v>
      </x:c>
    </x:row>
    <x:row r="574" ht="23" customHeight="1">
      <x:c r="A574" s="6" t="str">
        <x:v>T5-L06-C</x:v>
      </x:c>
      <x:c r="B574" s="6" t="str">
        <x:v>T5</x:v>
      </x:c>
      <x:c r="C574" s="6" t="str">
        <x:v>L06</x:v>
      </x:c>
      <x:c r="D574" s="6" t="str">
        <x:v>Concrete placement and finishing</x:v>
      </x:c>
      <x:c r="E574" s="6" t="str">
        <x:v>Concrete</x:v>
      </x:c>
      <x:c r="F574" s="14" t="n">
        <x:v>226.70819999999958</x:v>
      </x:c>
      <x:c r="G574" s="6" t="str">
        <x:v>m3</x:v>
      </x:c>
      <x:c r="H574" s="16" t="n">
        <x:v>170</x:v>
      </x:c>
      <x:c r="I574" s="16" t="n">
        <x:v>12</x:v>
      </x:c>
      <x:c r="J574" s="16" t="n">
        <x:f>ROUNDUP(F574/H574,0)</x:f>
        <x:v>2</x:v>
      </x:c>
      <x:c r="K574" s="6" t="n">
        <x:f>MAX(L573+0)</x:f>
        <x:v>301</x:v>
      </x:c>
      <x:c r="L574" s="6" t="n">
        <x:f>K574+J574</x:f>
        <x:v>303</x:v>
      </x:c>
      <x:c r="M574" s="6" t="n">
        <x:f>N574-J574</x:f>
        <x:v>313</x:v>
      </x:c>
      <x:c r="N574" s="6" t="n">
        <x:f>MIN(M575-0)</x:f>
        <x:v>315</x:v>
      </x:c>
      <x:c r="O574" s="6" t="n">
        <x:f>M574-K574</x:f>
        <x:v>12</x:v>
      </x:c>
      <x:c r="P574" s="18" t="n">
        <x:f>INDEX('Calendar'!$C$8:$C$907,K574+1)</x:f>
        <x:v>46679</x:v>
      </x:c>
      <x:c r="Q574" s="18" t="n">
        <x:f>INDEX('Calendar'!$C$8:$C$907,MAX(K574+1,L574))</x:f>
        <x:v>46680</x:v>
      </x:c>
      <x:c r="R574" s="14" t="n">
        <x:v>33527.39699999994</x:v>
      </x:c>
      <x:c r="S574" s="14"/>
      <x:c r="T574" s="14" t="n">
        <x:f>R574/J574</x:f>
        <x:v>16763.69849999997</x:v>
      </x:c>
    </x:row>
    <x:row r="575" ht="23" customHeight="1">
      <x:c r="A575" s="1" t="str">
        <x:v>T5-L06-H</x:v>
      </x:c>
      <x:c r="B575" s="1" t="str">
        <x:v>T5</x:v>
      </x:c>
      <x:c r="C575" s="1" t="str">
        <x:v>L06</x:v>
      </x:c>
      <x:c r="D575" s="1" t="str">
        <x:v>Curing and release hold point</x:v>
      </x:c>
      <x:c r="E575" s="1" t="str">
        <x:v>Site</x:v>
      </x:c>
      <x:c r="F575" s="15" t="n">
        <x:v>1</x:v>
      </x:c>
      <x:c r="G575" s="1" t="str">
        <x:v>hold</x:v>
      </x:c>
      <x:c r="H575" s="17" t="n">
        <x:v>1</x:v>
      </x:c>
      <x:c r="I575" s="17" t="n">
        <x:v>0</x:v>
      </x:c>
      <x:c r="J575" s="17" t="n">
        <x:f>S575</x:f>
        <x:v>5</x:v>
      </x:c>
      <x:c r="K575" s="1" t="n">
        <x:f>MAX(L574+0)</x:f>
        <x:v>303</x:v>
      </x:c>
      <x:c r="L575" s="1" t="n">
        <x:f>K575+J575</x:f>
        <x:v>308</x:v>
      </x:c>
      <x:c r="M575" s="1" t="n">
        <x:f>N575-J575</x:f>
        <x:v>315</x:v>
      </x:c>
      <x:c r="N575" s="1" t="n">
        <x:f>MIN(M576-0,M621-5)</x:f>
        <x:v>320</x:v>
      </x:c>
      <x:c r="O575" s="1" t="n">
        <x:f>M575-K575</x:f>
        <x:v>12</x:v>
      </x:c>
      <x:c r="P575" s="19" t="n">
        <x:f>INDEX('Calendar'!$C$8:$C$907,K575+1)</x:f>
        <x:v>46681</x:v>
      </x:c>
      <x:c r="Q575" s="19" t="n">
        <x:f>INDEX('Calendar'!$C$8:$C$907,MAX(K575+1,L575))</x:f>
        <x:v>46686</x:v>
      </x:c>
      <x:c r="R575" s="15" t="n">
        <x:v>0</x:v>
      </x:c>
      <x:c r="S575" s="15" t="n">
        <x:v>5</x:v>
      </x:c>
      <x:c r="T575" s="15" t="n">
        <x:f>R575/J575</x:f>
        <x:v>0</x:v>
      </x:c>
    </x:row>
    <x:row r="576" ht="23" customHeight="1">
      <x:c r="A576" s="6" t="str">
        <x:v>T5-L07-F</x:v>
      </x:c>
      <x:c r="B576" s="6" t="str">
        <x:v>T5</x:v>
      </x:c>
      <x:c r="C576" s="6" t="str">
        <x:v>L07</x:v>
      </x:c>
      <x:c r="D576" s="6" t="str">
        <x:v>Columns, core and deck formwork</x:v>
      </x:c>
      <x:c r="E576" s="6" t="str">
        <x:v>Formwork</x:v>
      </x:c>
      <x:c r="F576" s="14" t="n">
        <x:v>1222.6600000000005</x:v>
      </x:c>
      <x:c r="G576" s="6" t="str">
        <x:v>m2</x:v>
      </x:c>
      <x:c r="H576" s="16" t="n">
        <x:v>220</x:v>
      </x:c>
      <x:c r="I576" s="16" t="n">
        <x:v>18</x:v>
      </x:c>
      <x:c r="J576" s="16" t="n">
        <x:f>ROUNDUP(F576/H576,0)</x:f>
        <x:v>6</x:v>
      </x:c>
      <x:c r="K576" s="6" t="n">
        <x:f>MAX(L575+0)</x:f>
        <x:v>308</x:v>
      </x:c>
      <x:c r="L576" s="6" t="n">
        <x:f>K576+J576</x:f>
        <x:v>314</x:v>
      </x:c>
      <x:c r="M576" s="6" t="n">
        <x:f>N576-J576</x:f>
        <x:v>320</x:v>
      </x:c>
      <x:c r="N576" s="6" t="n">
        <x:f>MIN(M577-0)</x:f>
        <x:v>326</x:v>
      </x:c>
      <x:c r="O576" s="6" t="n">
        <x:f>M576-K576</x:f>
        <x:v>12</x:v>
      </x:c>
      <x:c r="P576" s="18" t="n">
        <x:f>INDEX('Calendar'!$C$8:$C$907,K576+1)</x:f>
        <x:v>46687</x:v>
      </x:c>
      <x:c r="Q576" s="18" t="n">
        <x:f>INDEX('Calendar'!$C$8:$C$907,MAX(K576+1,L576))</x:f>
        <x:v>46693</x:v>
      </x:c>
      <x:c r="R576" s="14" t="n">
        <x:v>29364.320000000007</x:v>
      </x:c>
      <x:c r="S576" s="14"/>
      <x:c r="T576" s="14" t="n">
        <x:f>R576/J576</x:f>
        <x:v>4894.053333333334</x:v>
      </x:c>
    </x:row>
    <x:row r="577" ht="23" customHeight="1">
      <x:c r="A577" s="1" t="str">
        <x:v>T5-L07-R</x:v>
      </x:c>
      <x:c r="B577" s="1" t="str">
        <x:v>T5</x:v>
      </x:c>
      <x:c r="C577" s="1" t="str">
        <x:v>L07</x:v>
      </x:c>
      <x:c r="D577" s="1" t="str">
        <x:v>Column, wall, beam and slab reinforcement</x:v>
      </x:c>
      <x:c r="E577" s="1" t="str">
        <x:v>Rebar</x:v>
      </x:c>
      <x:c r="F577" s="15" t="n">
        <x:v>29.684139475407747</x:v>
      </x:c>
      <x:c r="G577" s="1" t="str">
        <x:v>t</x:v>
      </x:c>
      <x:c r="H577" s="17" t="n">
        <x:v>7</x:v>
      </x:c>
      <x:c r="I577" s="17" t="n">
        <x:v>14</x:v>
      </x:c>
      <x:c r="J577" s="17" t="n">
        <x:f>ROUNDUP(F577/H577,0)</x:f>
        <x:v>5</x:v>
      </x:c>
      <x:c r="K577" s="1" t="n">
        <x:f>MAX(L576+0)</x:f>
        <x:v>314</x:v>
      </x:c>
      <x:c r="L577" s="1" t="n">
        <x:f>K577+J577</x:f>
        <x:v>319</x:v>
      </x:c>
      <x:c r="M577" s="1" t="n">
        <x:f>N577-J577</x:f>
        <x:v>326</x:v>
      </x:c>
      <x:c r="N577" s="1" t="n">
        <x:f>MIN(M578-0)</x:f>
        <x:v>331</x:v>
      </x:c>
      <x:c r="O577" s="1" t="n">
        <x:f>M577-K577</x:f>
        <x:v>12</x:v>
      </x:c>
      <x:c r="P577" s="19" t="n">
        <x:f>INDEX('Calendar'!$C$8:$C$907,K577+1)</x:f>
        <x:v>46694</x:v>
      </x:c>
      <x:c r="Q577" s="19" t="n">
        <x:f>INDEX('Calendar'!$C$8:$C$907,MAX(K577+1,L577))</x:f>
        <x:v>46699</x:v>
      </x:c>
      <x:c r="R577" s="15" t="n">
        <x:v>25795.51720412933</x:v>
      </x:c>
      <x:c r="S577" s="15"/>
      <x:c r="T577" s="15" t="n">
        <x:f>R577/J577</x:f>
        <x:v>5159.103440825866</x:v>
      </x:c>
    </x:row>
    <x:row r="578" ht="23" customHeight="1">
      <x:c r="A578" s="6" t="str">
        <x:v>T5-L07-C</x:v>
      </x:c>
      <x:c r="B578" s="6" t="str">
        <x:v>T5</x:v>
      </x:c>
      <x:c r="C578" s="6" t="str">
        <x:v>L07</x:v>
      </x:c>
      <x:c r="D578" s="6" t="str">
        <x:v>Concrete placement and finishing</x:v>
      </x:c>
      <x:c r="E578" s="6" t="str">
        <x:v>Concrete</x:v>
      </x:c>
      <x:c r="F578" s="14" t="n">
        <x:v>226.70819999999958</x:v>
      </x:c>
      <x:c r="G578" s="6" t="str">
        <x:v>m3</x:v>
      </x:c>
      <x:c r="H578" s="16" t="n">
        <x:v>170</x:v>
      </x:c>
      <x:c r="I578" s="16" t="n">
        <x:v>12</x:v>
      </x:c>
      <x:c r="J578" s="16" t="n">
        <x:f>ROUNDUP(F578/H578,0)</x:f>
        <x:v>2</x:v>
      </x:c>
      <x:c r="K578" s="6" t="n">
        <x:f>MAX(L577+0)</x:f>
        <x:v>319</x:v>
      </x:c>
      <x:c r="L578" s="6" t="n">
        <x:f>K578+J578</x:f>
        <x:v>321</x:v>
      </x:c>
      <x:c r="M578" s="6" t="n">
        <x:f>N578-J578</x:f>
        <x:v>331</x:v>
      </x:c>
      <x:c r="N578" s="6" t="n">
        <x:f>MIN(M579-0)</x:f>
        <x:v>333</x:v>
      </x:c>
      <x:c r="O578" s="6" t="n">
        <x:f>M578-K578</x:f>
        <x:v>12</x:v>
      </x:c>
      <x:c r="P578" s="18" t="n">
        <x:f>INDEX('Calendar'!$C$8:$C$907,K578+1)</x:f>
        <x:v>46700</x:v>
      </x:c>
      <x:c r="Q578" s="18" t="n">
        <x:f>INDEX('Calendar'!$C$8:$C$907,MAX(K578+1,L578))</x:f>
        <x:v>46701</x:v>
      </x:c>
      <x:c r="R578" s="14" t="n">
        <x:v>33527.39699999994</x:v>
      </x:c>
      <x:c r="S578" s="14"/>
      <x:c r="T578" s="14" t="n">
        <x:f>R578/J578</x:f>
        <x:v>16763.69849999997</x:v>
      </x:c>
    </x:row>
    <x:row r="579" ht="23" customHeight="1">
      <x:c r="A579" s="1" t="str">
        <x:v>T5-L07-H</x:v>
      </x:c>
      <x:c r="B579" s="1" t="str">
        <x:v>T5</x:v>
      </x:c>
      <x:c r="C579" s="1" t="str">
        <x:v>L07</x:v>
      </x:c>
      <x:c r="D579" s="1" t="str">
        <x:v>Curing and release hold point</x:v>
      </x:c>
      <x:c r="E579" s="1" t="str">
        <x:v>Site</x:v>
      </x:c>
      <x:c r="F579" s="15" t="n">
        <x:v>1</x:v>
      </x:c>
      <x:c r="G579" s="1" t="str">
        <x:v>hold</x:v>
      </x:c>
      <x:c r="H579" s="17" t="n">
        <x:v>1</x:v>
      </x:c>
      <x:c r="I579" s="17" t="n">
        <x:v>0</x:v>
      </x:c>
      <x:c r="J579" s="17" t="n">
        <x:f>S579</x:f>
        <x:v>5</x:v>
      </x:c>
      <x:c r="K579" s="1" t="n">
        <x:f>MAX(L578+0)</x:f>
        <x:v>321</x:v>
      </x:c>
      <x:c r="L579" s="1" t="n">
        <x:f>K579+J579</x:f>
        <x:v>326</x:v>
      </x:c>
      <x:c r="M579" s="1" t="n">
        <x:f>N579-J579</x:f>
        <x:v>333</x:v>
      </x:c>
      <x:c r="N579" s="1" t="n">
        <x:f>MIN(M580-0,M627-5)</x:f>
        <x:v>338</x:v>
      </x:c>
      <x:c r="O579" s="1" t="n">
        <x:f>M579-K579</x:f>
        <x:v>12</x:v>
      </x:c>
      <x:c r="P579" s="19" t="n">
        <x:f>INDEX('Calendar'!$C$8:$C$907,K579+1)</x:f>
        <x:v>46702</x:v>
      </x:c>
      <x:c r="Q579" s="19" t="n">
        <x:f>INDEX('Calendar'!$C$8:$C$907,MAX(K579+1,L579))</x:f>
        <x:v>46707</x:v>
      </x:c>
      <x:c r="R579" s="15" t="n">
        <x:v>0</x:v>
      </x:c>
      <x:c r="S579" s="15" t="n">
        <x:v>5</x:v>
      </x:c>
      <x:c r="T579" s="15" t="n">
        <x:f>R579/J579</x:f>
        <x:v>0</x:v>
      </x:c>
    </x:row>
    <x:row r="580" ht="23" customHeight="1">
      <x:c r="A580" s="6" t="str">
        <x:v>T5-L08-F</x:v>
      </x:c>
      <x:c r="B580" s="6" t="str">
        <x:v>T5</x:v>
      </x:c>
      <x:c r="C580" s="6" t="str">
        <x:v>L08</x:v>
      </x:c>
      <x:c r="D580" s="6" t="str">
        <x:v>Columns, core and deck formwork</x:v>
      </x:c>
      <x:c r="E580" s="6" t="str">
        <x:v>Formwork</x:v>
      </x:c>
      <x:c r="F580" s="14" t="n">
        <x:v>1222.6600000000005</x:v>
      </x:c>
      <x:c r="G580" s="6" t="str">
        <x:v>m2</x:v>
      </x:c>
      <x:c r="H580" s="16" t="n">
        <x:v>220</x:v>
      </x:c>
      <x:c r="I580" s="16" t="n">
        <x:v>18</x:v>
      </x:c>
      <x:c r="J580" s="16" t="n">
        <x:f>ROUNDUP(F580/H580,0)</x:f>
        <x:v>6</x:v>
      </x:c>
      <x:c r="K580" s="6" t="n">
        <x:f>MAX(L579+0)</x:f>
        <x:v>326</x:v>
      </x:c>
      <x:c r="L580" s="6" t="n">
        <x:f>K580+J580</x:f>
        <x:v>332</x:v>
      </x:c>
      <x:c r="M580" s="6" t="n">
        <x:f>N580-J580</x:f>
        <x:v>338</x:v>
      </x:c>
      <x:c r="N580" s="6" t="n">
        <x:f>MIN(M581-0)</x:f>
        <x:v>344</x:v>
      </x:c>
      <x:c r="O580" s="6" t="n">
        <x:f>M580-K580</x:f>
        <x:v>12</x:v>
      </x:c>
      <x:c r="P580" s="18" t="n">
        <x:f>INDEX('Calendar'!$C$8:$C$907,K580+1)</x:f>
        <x:v>46708</x:v>
      </x:c>
      <x:c r="Q580" s="18" t="n">
        <x:f>INDEX('Calendar'!$C$8:$C$907,MAX(K580+1,L580))</x:f>
        <x:v>46714</x:v>
      </x:c>
      <x:c r="R580" s="14" t="n">
        <x:v>29364.320000000007</x:v>
      </x:c>
      <x:c r="S580" s="14"/>
      <x:c r="T580" s="14" t="n">
        <x:f>R580/J580</x:f>
        <x:v>4894.053333333334</x:v>
      </x:c>
    </x:row>
    <x:row r="581" ht="23" customHeight="1">
      <x:c r="A581" s="1" t="str">
        <x:v>T5-L08-R</x:v>
      </x:c>
      <x:c r="B581" s="1" t="str">
        <x:v>T5</x:v>
      </x:c>
      <x:c r="C581" s="1" t="str">
        <x:v>L08</x:v>
      </x:c>
      <x:c r="D581" s="1" t="str">
        <x:v>Column, wall, beam and slab reinforcement</x:v>
      </x:c>
      <x:c r="E581" s="1" t="str">
        <x:v>Rebar</x:v>
      </x:c>
      <x:c r="F581" s="15" t="n">
        <x:v>29.684139475407747</x:v>
      </x:c>
      <x:c r="G581" s="1" t="str">
        <x:v>t</x:v>
      </x:c>
      <x:c r="H581" s="17" t="n">
        <x:v>7</x:v>
      </x:c>
      <x:c r="I581" s="17" t="n">
        <x:v>14</x:v>
      </x:c>
      <x:c r="J581" s="17" t="n">
        <x:f>ROUNDUP(F581/H581,0)</x:f>
        <x:v>5</x:v>
      </x:c>
      <x:c r="K581" s="1" t="n">
        <x:f>MAX(L580+0)</x:f>
        <x:v>332</x:v>
      </x:c>
      <x:c r="L581" s="1" t="n">
        <x:f>K581+J581</x:f>
        <x:v>337</x:v>
      </x:c>
      <x:c r="M581" s="1" t="n">
        <x:f>N581-J581</x:f>
        <x:v>344</x:v>
      </x:c>
      <x:c r="N581" s="1" t="n">
        <x:f>MIN(M582-0)</x:f>
        <x:v>349</x:v>
      </x:c>
      <x:c r="O581" s="1" t="n">
        <x:f>M581-K581</x:f>
        <x:v>12</x:v>
      </x:c>
      <x:c r="P581" s="19" t="n">
        <x:f>INDEX('Calendar'!$C$8:$C$907,K581+1)</x:f>
        <x:v>46715</x:v>
      </x:c>
      <x:c r="Q581" s="19" t="n">
        <x:f>INDEX('Calendar'!$C$8:$C$907,MAX(K581+1,L581))</x:f>
        <x:v>46720</x:v>
      </x:c>
      <x:c r="R581" s="15" t="n">
        <x:v>25795.51720412933</x:v>
      </x:c>
      <x:c r="S581" s="15"/>
      <x:c r="T581" s="15" t="n">
        <x:f>R581/J581</x:f>
        <x:v>5159.103440825866</x:v>
      </x:c>
    </x:row>
    <x:row r="582" ht="23" customHeight="1">
      <x:c r="A582" s="6" t="str">
        <x:v>T5-L08-C</x:v>
      </x:c>
      <x:c r="B582" s="6" t="str">
        <x:v>T5</x:v>
      </x:c>
      <x:c r="C582" s="6" t="str">
        <x:v>L08</x:v>
      </x:c>
      <x:c r="D582" s="6" t="str">
        <x:v>Concrete placement and finishing</x:v>
      </x:c>
      <x:c r="E582" s="6" t="str">
        <x:v>Concrete</x:v>
      </x:c>
      <x:c r="F582" s="14" t="n">
        <x:v>226.70819999999958</x:v>
      </x:c>
      <x:c r="G582" s="6" t="str">
        <x:v>m3</x:v>
      </x:c>
      <x:c r="H582" s="16" t="n">
        <x:v>170</x:v>
      </x:c>
      <x:c r="I582" s="16" t="n">
        <x:v>12</x:v>
      </x:c>
      <x:c r="J582" s="16" t="n">
        <x:f>ROUNDUP(F582/H582,0)</x:f>
        <x:v>2</x:v>
      </x:c>
      <x:c r="K582" s="6" t="n">
        <x:f>MAX(L581+0)</x:f>
        <x:v>337</x:v>
      </x:c>
      <x:c r="L582" s="6" t="n">
        <x:f>K582+J582</x:f>
        <x:v>339</x:v>
      </x:c>
      <x:c r="M582" s="6" t="n">
        <x:f>N582-J582</x:f>
        <x:v>349</x:v>
      </x:c>
      <x:c r="N582" s="6" t="n">
        <x:f>MIN(M583-0)</x:f>
        <x:v>351</x:v>
      </x:c>
      <x:c r="O582" s="6" t="n">
        <x:f>M582-K582</x:f>
        <x:v>12</x:v>
      </x:c>
      <x:c r="P582" s="18" t="n">
        <x:f>INDEX('Calendar'!$C$8:$C$907,K582+1)</x:f>
        <x:v>46721</x:v>
      </x:c>
      <x:c r="Q582" s="18" t="n">
        <x:f>INDEX('Calendar'!$C$8:$C$907,MAX(K582+1,L582))</x:f>
        <x:v>46722</x:v>
      </x:c>
      <x:c r="R582" s="14" t="n">
        <x:v>33527.39699999994</x:v>
      </x:c>
      <x:c r="S582" s="14"/>
      <x:c r="T582" s="14" t="n">
        <x:f>R582/J582</x:f>
        <x:v>16763.69849999997</x:v>
      </x:c>
    </x:row>
    <x:row r="583" ht="23" customHeight="1">
      <x:c r="A583" s="1" t="str">
        <x:v>T5-L08-H</x:v>
      </x:c>
      <x:c r="B583" s="1" t="str">
        <x:v>T5</x:v>
      </x:c>
      <x:c r="C583" s="1" t="str">
        <x:v>L08</x:v>
      </x:c>
      <x:c r="D583" s="1" t="str">
        <x:v>Curing and release hold point</x:v>
      </x:c>
      <x:c r="E583" s="1" t="str">
        <x:v>Site</x:v>
      </x:c>
      <x:c r="F583" s="15" t="n">
        <x:v>1</x:v>
      </x:c>
      <x:c r="G583" s="1" t="str">
        <x:v>hold</x:v>
      </x:c>
      <x:c r="H583" s="17" t="n">
        <x:v>1</x:v>
      </x:c>
      <x:c r="I583" s="17" t="n">
        <x:v>0</x:v>
      </x:c>
      <x:c r="J583" s="17" t="n">
        <x:f>S583</x:f>
        <x:v>5</x:v>
      </x:c>
      <x:c r="K583" s="1" t="n">
        <x:f>MAX(L582+0)</x:f>
        <x:v>339</x:v>
      </x:c>
      <x:c r="L583" s="1" t="n">
        <x:f>K583+J583</x:f>
        <x:v>344</x:v>
      </x:c>
      <x:c r="M583" s="1" t="n">
        <x:f>N583-J583</x:f>
        <x:v>351</x:v>
      </x:c>
      <x:c r="N583" s="1" t="n">
        <x:f>MIN(M584-0,M601-10,M633-5)</x:f>
        <x:v>356</x:v>
      </x:c>
      <x:c r="O583" s="1" t="n">
        <x:f>M583-K583</x:f>
        <x:v>12</x:v>
      </x:c>
      <x:c r="P583" s="19" t="n">
        <x:f>INDEX('Calendar'!$C$8:$C$907,K583+1)</x:f>
        <x:v>46723</x:v>
      </x:c>
      <x:c r="Q583" s="19" t="n">
        <x:f>INDEX('Calendar'!$C$8:$C$907,MAX(K583+1,L583))</x:f>
        <x:v>46728</x:v>
      </x:c>
      <x:c r="R583" s="15" t="n">
        <x:v>0</x:v>
      </x:c>
      <x:c r="S583" s="15" t="n">
        <x:v>5</x:v>
      </x:c>
      <x:c r="T583" s="15" t="n">
        <x:f>R583/J583</x:f>
        <x:v>0</x:v>
      </x:c>
    </x:row>
    <x:row r="584" ht="23" customHeight="1">
      <x:c r="A584" s="6" t="str">
        <x:v>T5-L09-F</x:v>
      </x:c>
      <x:c r="B584" s="6" t="str">
        <x:v>T5</x:v>
      </x:c>
      <x:c r="C584" s="6" t="str">
        <x:v>L09</x:v>
      </x:c>
      <x:c r="D584" s="6" t="str">
        <x:v>Columns, core and deck formwork</x:v>
      </x:c>
      <x:c r="E584" s="6" t="str">
        <x:v>Formwork</x:v>
      </x:c>
      <x:c r="F584" s="14" t="n">
        <x:v>1222.6600000000005</x:v>
      </x:c>
      <x:c r="G584" s="6" t="str">
        <x:v>m2</x:v>
      </x:c>
      <x:c r="H584" s="16" t="n">
        <x:v>220</x:v>
      </x:c>
      <x:c r="I584" s="16" t="n">
        <x:v>18</x:v>
      </x:c>
      <x:c r="J584" s="16" t="n">
        <x:f>ROUNDUP(F584/H584,0)</x:f>
        <x:v>6</x:v>
      </x:c>
      <x:c r="K584" s="6" t="n">
        <x:f>MAX(L583+0)</x:f>
        <x:v>344</x:v>
      </x:c>
      <x:c r="L584" s="6" t="n">
        <x:f>K584+J584</x:f>
        <x:v>350</x:v>
      </x:c>
      <x:c r="M584" s="6" t="n">
        <x:f>N584-J584</x:f>
        <x:v>356</x:v>
      </x:c>
      <x:c r="N584" s="6" t="n">
        <x:f>MIN(M585-0)</x:f>
        <x:v>362</x:v>
      </x:c>
      <x:c r="O584" s="6" t="n">
        <x:f>M584-K584</x:f>
        <x:v>12</x:v>
      </x:c>
      <x:c r="P584" s="18" t="n">
        <x:f>INDEX('Calendar'!$C$8:$C$907,K584+1)</x:f>
        <x:v>46729</x:v>
      </x:c>
      <x:c r="Q584" s="18" t="n">
        <x:f>INDEX('Calendar'!$C$8:$C$907,MAX(K584+1,L584))</x:f>
        <x:v>46735</x:v>
      </x:c>
      <x:c r="R584" s="14" t="n">
        <x:v>29364.320000000007</x:v>
      </x:c>
      <x:c r="S584" s="14"/>
      <x:c r="T584" s="14" t="n">
        <x:f>R584/J584</x:f>
        <x:v>4894.053333333334</x:v>
      </x:c>
    </x:row>
    <x:row r="585" ht="23" customHeight="1">
      <x:c r="A585" s="1" t="str">
        <x:v>T5-L09-R</x:v>
      </x:c>
      <x:c r="B585" s="1" t="str">
        <x:v>T5</x:v>
      </x:c>
      <x:c r="C585" s="1" t="str">
        <x:v>L09</x:v>
      </x:c>
      <x:c r="D585" s="1" t="str">
        <x:v>Column, wall, beam and slab reinforcement</x:v>
      </x:c>
      <x:c r="E585" s="1" t="str">
        <x:v>Rebar</x:v>
      </x:c>
      <x:c r="F585" s="15" t="n">
        <x:v>29.684139475407747</x:v>
      </x:c>
      <x:c r="G585" s="1" t="str">
        <x:v>t</x:v>
      </x:c>
      <x:c r="H585" s="17" t="n">
        <x:v>7</x:v>
      </x:c>
      <x:c r="I585" s="17" t="n">
        <x:v>14</x:v>
      </x:c>
      <x:c r="J585" s="17" t="n">
        <x:f>ROUNDUP(F585/H585,0)</x:f>
        <x:v>5</x:v>
      </x:c>
      <x:c r="K585" s="1" t="n">
        <x:f>MAX(L584+0)</x:f>
        <x:v>350</x:v>
      </x:c>
      <x:c r="L585" s="1" t="n">
        <x:f>K585+J585</x:f>
        <x:v>355</x:v>
      </x:c>
      <x:c r="M585" s="1" t="n">
        <x:f>N585-J585</x:f>
        <x:v>362</x:v>
      </x:c>
      <x:c r="N585" s="1" t="n">
        <x:f>MIN(M586-0)</x:f>
        <x:v>367</x:v>
      </x:c>
      <x:c r="O585" s="1" t="n">
        <x:f>M585-K585</x:f>
        <x:v>12</x:v>
      </x:c>
      <x:c r="P585" s="19" t="n">
        <x:f>INDEX('Calendar'!$C$8:$C$907,K585+1)</x:f>
        <x:v>46736</x:v>
      </x:c>
      <x:c r="Q585" s="19" t="n">
        <x:f>INDEX('Calendar'!$C$8:$C$907,MAX(K585+1,L585))</x:f>
        <x:v>46741</x:v>
      </x:c>
      <x:c r="R585" s="15" t="n">
        <x:v>25795.51720412933</x:v>
      </x:c>
      <x:c r="S585" s="15"/>
      <x:c r="T585" s="15" t="n">
        <x:f>R585/J585</x:f>
        <x:v>5159.103440825866</x:v>
      </x:c>
    </x:row>
    <x:row r="586" ht="23" customHeight="1">
      <x:c r="A586" s="6" t="str">
        <x:v>T5-L09-C</x:v>
      </x:c>
      <x:c r="B586" s="6" t="str">
        <x:v>T5</x:v>
      </x:c>
      <x:c r="C586" s="6" t="str">
        <x:v>L09</x:v>
      </x:c>
      <x:c r="D586" s="6" t="str">
        <x:v>Concrete placement and finishing</x:v>
      </x:c>
      <x:c r="E586" s="6" t="str">
        <x:v>Concrete</x:v>
      </x:c>
      <x:c r="F586" s="14" t="n">
        <x:v>226.70819999999958</x:v>
      </x:c>
      <x:c r="G586" s="6" t="str">
        <x:v>m3</x:v>
      </x:c>
      <x:c r="H586" s="16" t="n">
        <x:v>170</x:v>
      </x:c>
      <x:c r="I586" s="16" t="n">
        <x:v>12</x:v>
      </x:c>
      <x:c r="J586" s="16" t="n">
        <x:f>ROUNDUP(F586/H586,0)</x:f>
        <x:v>2</x:v>
      </x:c>
      <x:c r="K586" s="6" t="n">
        <x:f>MAX(L585+0)</x:f>
        <x:v>355</x:v>
      </x:c>
      <x:c r="L586" s="6" t="n">
        <x:f>K586+J586</x:f>
        <x:v>357</x:v>
      </x:c>
      <x:c r="M586" s="6" t="n">
        <x:f>N586-J586</x:f>
        <x:v>367</x:v>
      </x:c>
      <x:c r="N586" s="6" t="n">
        <x:f>MIN(M587-0)</x:f>
        <x:v>369</x:v>
      </x:c>
      <x:c r="O586" s="6" t="n">
        <x:f>M586-K586</x:f>
        <x:v>12</x:v>
      </x:c>
      <x:c r="P586" s="18" t="n">
        <x:f>INDEX('Calendar'!$C$8:$C$907,K586+1)</x:f>
        <x:v>46742</x:v>
      </x:c>
      <x:c r="Q586" s="18" t="n">
        <x:f>INDEX('Calendar'!$C$8:$C$907,MAX(K586+1,L586))</x:f>
        <x:v>46743</x:v>
      </x:c>
      <x:c r="R586" s="14" t="n">
        <x:v>33527.39699999994</x:v>
      </x:c>
      <x:c r="S586" s="14"/>
      <x:c r="T586" s="14" t="n">
        <x:f>R586/J586</x:f>
        <x:v>16763.69849999997</x:v>
      </x:c>
    </x:row>
    <x:row r="587" ht="23" customHeight="1">
      <x:c r="A587" s="1" t="str">
        <x:v>T5-L09-H</x:v>
      </x:c>
      <x:c r="B587" s="1" t="str">
        <x:v>T5</x:v>
      </x:c>
      <x:c r="C587" s="1" t="str">
        <x:v>L09</x:v>
      </x:c>
      <x:c r="D587" s="1" t="str">
        <x:v>Curing and release hold point</x:v>
      </x:c>
      <x:c r="E587" s="1" t="str">
        <x:v>Site</x:v>
      </x:c>
      <x:c r="F587" s="15" t="n">
        <x:v>1</x:v>
      </x:c>
      <x:c r="G587" s="1" t="str">
        <x:v>hold</x:v>
      </x:c>
      <x:c r="H587" s="17" t="n">
        <x:v>1</x:v>
      </x:c>
      <x:c r="I587" s="17" t="n">
        <x:v>0</x:v>
      </x:c>
      <x:c r="J587" s="17" t="n">
        <x:f>S587</x:f>
        <x:v>5</x:v>
      </x:c>
      <x:c r="K587" s="1" t="n">
        <x:f>MAX(L586+0)</x:f>
        <x:v>357</x:v>
      </x:c>
      <x:c r="L587" s="1" t="n">
        <x:f>K587+J587</x:f>
        <x:v>362</x:v>
      </x:c>
      <x:c r="M587" s="1" t="n">
        <x:f>N587-J587</x:f>
        <x:v>369</x:v>
      </x:c>
      <x:c r="N587" s="1" t="n">
        <x:f>MIN(M588-0,M639-5)</x:f>
        <x:v>374</x:v>
      </x:c>
      <x:c r="O587" s="1" t="n">
        <x:f>M587-K587</x:f>
        <x:v>12</x:v>
      </x:c>
      <x:c r="P587" s="19" t="n">
        <x:f>INDEX('Calendar'!$C$8:$C$907,K587+1)</x:f>
        <x:v>46744</x:v>
      </x:c>
      <x:c r="Q587" s="19" t="n">
        <x:f>INDEX('Calendar'!$C$8:$C$907,MAX(K587+1,L587))</x:f>
        <x:v>46749</x:v>
      </x:c>
      <x:c r="R587" s="15" t="n">
        <x:v>0</x:v>
      </x:c>
      <x:c r="S587" s="15" t="n">
        <x:v>5</x:v>
      </x:c>
      <x:c r="T587" s="15" t="n">
        <x:f>R587/J587</x:f>
        <x:v>0</x:v>
      </x:c>
    </x:row>
    <x:row r="588" ht="23" customHeight="1">
      <x:c r="A588" s="6" t="str">
        <x:v>T5-L10-F</x:v>
      </x:c>
      <x:c r="B588" s="6" t="str">
        <x:v>T5</x:v>
      </x:c>
      <x:c r="C588" s="6" t="str">
        <x:v>L10</x:v>
      </x:c>
      <x:c r="D588" s="6" t="str">
        <x:v>Columns, core and deck formwork</x:v>
      </x:c>
      <x:c r="E588" s="6" t="str">
        <x:v>Formwork</x:v>
      </x:c>
      <x:c r="F588" s="14" t="n">
        <x:v>1222.6600000000005</x:v>
      </x:c>
      <x:c r="G588" s="6" t="str">
        <x:v>m2</x:v>
      </x:c>
      <x:c r="H588" s="16" t="n">
        <x:v>220</x:v>
      </x:c>
      <x:c r="I588" s="16" t="n">
        <x:v>18</x:v>
      </x:c>
      <x:c r="J588" s="16" t="n">
        <x:f>ROUNDUP(F588/H588,0)</x:f>
        <x:v>6</x:v>
      </x:c>
      <x:c r="K588" s="6" t="n">
        <x:f>MAX(L587+0)</x:f>
        <x:v>362</x:v>
      </x:c>
      <x:c r="L588" s="6" t="n">
        <x:f>K588+J588</x:f>
        <x:v>368</x:v>
      </x:c>
      <x:c r="M588" s="6" t="n">
        <x:f>N588-J588</x:f>
        <x:v>374</x:v>
      </x:c>
      <x:c r="N588" s="6" t="n">
        <x:f>MIN(M589-0)</x:f>
        <x:v>380</x:v>
      </x:c>
      <x:c r="O588" s="6" t="n">
        <x:f>M588-K588</x:f>
        <x:v>12</x:v>
      </x:c>
      <x:c r="P588" s="18" t="n">
        <x:f>INDEX('Calendar'!$C$8:$C$907,K588+1)</x:f>
        <x:v>46750</x:v>
      </x:c>
      <x:c r="Q588" s="18" t="n">
        <x:f>INDEX('Calendar'!$C$8:$C$907,MAX(K588+1,L588))</x:f>
        <x:v>46756</x:v>
      </x:c>
      <x:c r="R588" s="14" t="n">
        <x:v>29364.320000000007</x:v>
      </x:c>
      <x:c r="S588" s="14"/>
      <x:c r="T588" s="14" t="n">
        <x:f>R588/J588</x:f>
        <x:v>4894.053333333334</x:v>
      </x:c>
    </x:row>
    <x:row r="589" ht="23" customHeight="1">
      <x:c r="A589" s="1" t="str">
        <x:v>T5-L10-R</x:v>
      </x:c>
      <x:c r="B589" s="1" t="str">
        <x:v>T5</x:v>
      </x:c>
      <x:c r="C589" s="1" t="str">
        <x:v>L10</x:v>
      </x:c>
      <x:c r="D589" s="1" t="str">
        <x:v>Column, wall, beam and slab reinforcement</x:v>
      </x:c>
      <x:c r="E589" s="1" t="str">
        <x:v>Rebar</x:v>
      </x:c>
      <x:c r="F589" s="15" t="n">
        <x:v>29.684139475407747</x:v>
      </x:c>
      <x:c r="G589" s="1" t="str">
        <x:v>t</x:v>
      </x:c>
      <x:c r="H589" s="17" t="n">
        <x:v>7</x:v>
      </x:c>
      <x:c r="I589" s="17" t="n">
        <x:v>14</x:v>
      </x:c>
      <x:c r="J589" s="17" t="n">
        <x:f>ROUNDUP(F589/H589,0)</x:f>
        <x:v>5</x:v>
      </x:c>
      <x:c r="K589" s="1" t="n">
        <x:f>MAX(L588+0)</x:f>
        <x:v>368</x:v>
      </x:c>
      <x:c r="L589" s="1" t="n">
        <x:f>K589+J589</x:f>
        <x:v>373</x:v>
      </x:c>
      <x:c r="M589" s="1" t="n">
        <x:f>N589-J589</x:f>
        <x:v>380</x:v>
      </x:c>
      <x:c r="N589" s="1" t="n">
        <x:f>MIN(M590-0)</x:f>
        <x:v>385</x:v>
      </x:c>
      <x:c r="O589" s="1" t="n">
        <x:f>M589-K589</x:f>
        <x:v>12</x:v>
      </x:c>
      <x:c r="P589" s="19" t="n">
        <x:f>INDEX('Calendar'!$C$8:$C$907,K589+1)</x:f>
        <x:v>46757</x:v>
      </x:c>
      <x:c r="Q589" s="19" t="n">
        <x:f>INDEX('Calendar'!$C$8:$C$907,MAX(K589+1,L589))</x:f>
        <x:v>46762</x:v>
      </x:c>
      <x:c r="R589" s="15" t="n">
        <x:v>25795.51720412933</x:v>
      </x:c>
      <x:c r="S589" s="15"/>
      <x:c r="T589" s="15" t="n">
        <x:f>R589/J589</x:f>
        <x:v>5159.103440825866</x:v>
      </x:c>
    </x:row>
    <x:row r="590" ht="23" customHeight="1">
      <x:c r="A590" s="6" t="str">
        <x:v>T5-L10-C</x:v>
      </x:c>
      <x:c r="B590" s="6" t="str">
        <x:v>T5</x:v>
      </x:c>
      <x:c r="C590" s="6" t="str">
        <x:v>L10</x:v>
      </x:c>
      <x:c r="D590" s="6" t="str">
        <x:v>Concrete placement and finishing</x:v>
      </x:c>
      <x:c r="E590" s="6" t="str">
        <x:v>Concrete</x:v>
      </x:c>
      <x:c r="F590" s="14" t="n">
        <x:v>226.70819999999958</x:v>
      </x:c>
      <x:c r="G590" s="6" t="str">
        <x:v>m3</x:v>
      </x:c>
      <x:c r="H590" s="16" t="n">
        <x:v>170</x:v>
      </x:c>
      <x:c r="I590" s="16" t="n">
        <x:v>12</x:v>
      </x:c>
      <x:c r="J590" s="16" t="n">
        <x:f>ROUNDUP(F590/H590,0)</x:f>
        <x:v>2</x:v>
      </x:c>
      <x:c r="K590" s="6" t="n">
        <x:f>MAX(L589+0)</x:f>
        <x:v>373</x:v>
      </x:c>
      <x:c r="L590" s="6" t="n">
        <x:f>K590+J590</x:f>
        <x:v>375</x:v>
      </x:c>
      <x:c r="M590" s="6" t="n">
        <x:f>N590-J590</x:f>
        <x:v>385</x:v>
      </x:c>
      <x:c r="N590" s="6" t="n">
        <x:f>MIN(M591-0)</x:f>
        <x:v>387</x:v>
      </x:c>
      <x:c r="O590" s="6" t="n">
        <x:f>M590-K590</x:f>
        <x:v>12</x:v>
      </x:c>
      <x:c r="P590" s="18" t="n">
        <x:f>INDEX('Calendar'!$C$8:$C$907,K590+1)</x:f>
        <x:v>46763</x:v>
      </x:c>
      <x:c r="Q590" s="18" t="n">
        <x:f>INDEX('Calendar'!$C$8:$C$907,MAX(K590+1,L590))</x:f>
        <x:v>46764</x:v>
      </x:c>
      <x:c r="R590" s="14" t="n">
        <x:v>33527.39699999994</x:v>
      </x:c>
      <x:c r="S590" s="14"/>
      <x:c r="T590" s="14" t="n">
        <x:f>R590/J590</x:f>
        <x:v>16763.69849999997</x:v>
      </x:c>
    </x:row>
    <x:row r="591" ht="23" customHeight="1">
      <x:c r="A591" s="1" t="str">
        <x:v>T5-L10-H</x:v>
      </x:c>
      <x:c r="B591" s="1" t="str">
        <x:v>T5</x:v>
      </x:c>
      <x:c r="C591" s="1" t="str">
        <x:v>L10</x:v>
      </x:c>
      <x:c r="D591" s="1" t="str">
        <x:v>Curing and release hold point</x:v>
      </x:c>
      <x:c r="E591" s="1" t="str">
        <x:v>Site</x:v>
      </x:c>
      <x:c r="F591" s="15" t="n">
        <x:v>1</x:v>
      </x:c>
      <x:c r="G591" s="1" t="str">
        <x:v>hold</x:v>
      </x:c>
      <x:c r="H591" s="17" t="n">
        <x:v>1</x:v>
      </x:c>
      <x:c r="I591" s="17" t="n">
        <x:v>0</x:v>
      </x:c>
      <x:c r="J591" s="17" t="n">
        <x:f>S591</x:f>
        <x:v>5</x:v>
      </x:c>
      <x:c r="K591" s="1" t="n">
        <x:f>MAX(L590+0)</x:f>
        <x:v>375</x:v>
      </x:c>
      <x:c r="L591" s="1" t="n">
        <x:f>K591+J591</x:f>
        <x:v>380</x:v>
      </x:c>
      <x:c r="M591" s="1" t="n">
        <x:f>N591-J591</x:f>
        <x:v>387</x:v>
      </x:c>
      <x:c r="N591" s="1" t="n">
        <x:f>MIN(M592-0,M645-5)</x:f>
        <x:v>392</x:v>
      </x:c>
      <x:c r="O591" s="1" t="n">
        <x:f>M591-K591</x:f>
        <x:v>12</x:v>
      </x:c>
      <x:c r="P591" s="19" t="n">
        <x:f>INDEX('Calendar'!$C$8:$C$907,K591+1)</x:f>
        <x:v>46765</x:v>
      </x:c>
      <x:c r="Q591" s="19" t="n">
        <x:f>INDEX('Calendar'!$C$8:$C$907,MAX(K591+1,L591))</x:f>
        <x:v>46770</x:v>
      </x:c>
      <x:c r="R591" s="15" t="n">
        <x:v>0</x:v>
      </x:c>
      <x:c r="S591" s="15" t="n">
        <x:v>5</x:v>
      </x:c>
      <x:c r="T591" s="15" t="n">
        <x:f>R591/J591</x:f>
        <x:v>0</x:v>
      </x:c>
    </x:row>
    <x:row r="592" ht="23" customHeight="1">
      <x:c r="A592" s="6" t="str">
        <x:v>T5-L11-F</x:v>
      </x:c>
      <x:c r="B592" s="6" t="str">
        <x:v>T5</x:v>
      </x:c>
      <x:c r="C592" s="6" t="str">
        <x:v>L11</x:v>
      </x:c>
      <x:c r="D592" s="6" t="str">
        <x:v>Columns, core and deck formwork</x:v>
      </x:c>
      <x:c r="E592" s="6" t="str">
        <x:v>Formwork</x:v>
      </x:c>
      <x:c r="F592" s="14" t="n">
        <x:v>1222.6600000000005</x:v>
      </x:c>
      <x:c r="G592" s="6" t="str">
        <x:v>m2</x:v>
      </x:c>
      <x:c r="H592" s="16" t="n">
        <x:v>220</x:v>
      </x:c>
      <x:c r="I592" s="16" t="n">
        <x:v>18</x:v>
      </x:c>
      <x:c r="J592" s="16" t="n">
        <x:f>ROUNDUP(F592/H592,0)</x:f>
        <x:v>6</x:v>
      </x:c>
      <x:c r="K592" s="6" t="n">
        <x:f>MAX(L591+0)</x:f>
        <x:v>380</x:v>
      </x:c>
      <x:c r="L592" s="6" t="n">
        <x:f>K592+J592</x:f>
        <x:v>386</x:v>
      </x:c>
      <x:c r="M592" s="6" t="n">
        <x:f>N592-J592</x:f>
        <x:v>392</x:v>
      </x:c>
      <x:c r="N592" s="6" t="n">
        <x:f>MIN(M593-0)</x:f>
        <x:v>398</x:v>
      </x:c>
      <x:c r="O592" s="6" t="n">
        <x:f>M592-K592</x:f>
        <x:v>12</x:v>
      </x:c>
      <x:c r="P592" s="18" t="n">
        <x:f>INDEX('Calendar'!$C$8:$C$907,K592+1)</x:f>
        <x:v>46771</x:v>
      </x:c>
      <x:c r="Q592" s="18" t="n">
        <x:f>INDEX('Calendar'!$C$8:$C$907,MAX(K592+1,L592))</x:f>
        <x:v>46777</x:v>
      </x:c>
      <x:c r="R592" s="14" t="n">
        <x:v>29364.320000000007</x:v>
      </x:c>
      <x:c r="S592" s="14"/>
      <x:c r="T592" s="14" t="n">
        <x:f>R592/J592</x:f>
        <x:v>4894.053333333334</x:v>
      </x:c>
    </x:row>
    <x:row r="593" ht="23" customHeight="1">
      <x:c r="A593" s="1" t="str">
        <x:v>T5-L11-R</x:v>
      </x:c>
      <x:c r="B593" s="1" t="str">
        <x:v>T5</x:v>
      </x:c>
      <x:c r="C593" s="1" t="str">
        <x:v>L11</x:v>
      </x:c>
      <x:c r="D593" s="1" t="str">
        <x:v>Column, wall, beam and slab reinforcement</x:v>
      </x:c>
      <x:c r="E593" s="1" t="str">
        <x:v>Rebar</x:v>
      </x:c>
      <x:c r="F593" s="15" t="n">
        <x:v>29.684139475407747</x:v>
      </x:c>
      <x:c r="G593" s="1" t="str">
        <x:v>t</x:v>
      </x:c>
      <x:c r="H593" s="17" t="n">
        <x:v>7</x:v>
      </x:c>
      <x:c r="I593" s="17" t="n">
        <x:v>14</x:v>
      </x:c>
      <x:c r="J593" s="17" t="n">
        <x:f>ROUNDUP(F593/H593,0)</x:f>
        <x:v>5</x:v>
      </x:c>
      <x:c r="K593" s="1" t="n">
        <x:f>MAX(L592+0)</x:f>
        <x:v>386</x:v>
      </x:c>
      <x:c r="L593" s="1" t="n">
        <x:f>K593+J593</x:f>
        <x:v>391</x:v>
      </x:c>
      <x:c r="M593" s="1" t="n">
        <x:f>N593-J593</x:f>
        <x:v>398</x:v>
      </x:c>
      <x:c r="N593" s="1" t="n">
        <x:f>MIN(M594-0)</x:f>
        <x:v>403</x:v>
      </x:c>
      <x:c r="O593" s="1" t="n">
        <x:f>M593-K593</x:f>
        <x:v>12</x:v>
      </x:c>
      <x:c r="P593" s="19" t="n">
        <x:f>INDEX('Calendar'!$C$8:$C$907,K593+1)</x:f>
        <x:v>46778</x:v>
      </x:c>
      <x:c r="Q593" s="19" t="n">
        <x:f>INDEX('Calendar'!$C$8:$C$907,MAX(K593+1,L593))</x:f>
        <x:v>46783</x:v>
      </x:c>
      <x:c r="R593" s="15" t="n">
        <x:v>25795.51720412933</x:v>
      </x:c>
      <x:c r="S593" s="15"/>
      <x:c r="T593" s="15" t="n">
        <x:f>R593/J593</x:f>
        <x:v>5159.103440825866</x:v>
      </x:c>
    </x:row>
    <x:row r="594" ht="23" customHeight="1">
      <x:c r="A594" s="6" t="str">
        <x:v>T5-L11-C</x:v>
      </x:c>
      <x:c r="B594" s="6" t="str">
        <x:v>T5</x:v>
      </x:c>
      <x:c r="C594" s="6" t="str">
        <x:v>L11</x:v>
      </x:c>
      <x:c r="D594" s="6" t="str">
        <x:v>Concrete placement and finishing</x:v>
      </x:c>
      <x:c r="E594" s="6" t="str">
        <x:v>Concrete</x:v>
      </x:c>
      <x:c r="F594" s="14" t="n">
        <x:v>226.70819999999958</x:v>
      </x:c>
      <x:c r="G594" s="6" t="str">
        <x:v>m3</x:v>
      </x:c>
      <x:c r="H594" s="16" t="n">
        <x:v>170</x:v>
      </x:c>
      <x:c r="I594" s="16" t="n">
        <x:v>12</x:v>
      </x:c>
      <x:c r="J594" s="16" t="n">
        <x:f>ROUNDUP(F594/H594,0)</x:f>
        <x:v>2</x:v>
      </x:c>
      <x:c r="K594" s="6" t="n">
        <x:f>MAX(L593+0)</x:f>
        <x:v>391</x:v>
      </x:c>
      <x:c r="L594" s="6" t="n">
        <x:f>K594+J594</x:f>
        <x:v>393</x:v>
      </x:c>
      <x:c r="M594" s="6" t="n">
        <x:f>N594-J594</x:f>
        <x:v>403</x:v>
      </x:c>
      <x:c r="N594" s="6" t="n">
        <x:f>MIN(M595-0)</x:f>
        <x:v>405</x:v>
      </x:c>
      <x:c r="O594" s="6" t="n">
        <x:f>M594-K594</x:f>
        <x:v>12</x:v>
      </x:c>
      <x:c r="P594" s="18" t="n">
        <x:f>INDEX('Calendar'!$C$8:$C$907,K594+1)</x:f>
        <x:v>46784</x:v>
      </x:c>
      <x:c r="Q594" s="18" t="n">
        <x:f>INDEX('Calendar'!$C$8:$C$907,MAX(K594+1,L594))</x:f>
        <x:v>46785</x:v>
      </x:c>
      <x:c r="R594" s="14" t="n">
        <x:v>33527.39699999994</x:v>
      </x:c>
      <x:c r="S594" s="14"/>
      <x:c r="T594" s="14" t="n">
        <x:f>R594/J594</x:f>
        <x:v>16763.69849999997</x:v>
      </x:c>
    </x:row>
    <x:row r="595" ht="23" customHeight="1">
      <x:c r="A595" s="1" t="str">
        <x:v>T5-L11-H</x:v>
      </x:c>
      <x:c r="B595" s="1" t="str">
        <x:v>T5</x:v>
      </x:c>
      <x:c r="C595" s="1" t="str">
        <x:v>L11</x:v>
      </x:c>
      <x:c r="D595" s="1" t="str">
        <x:v>Curing and release hold point</x:v>
      </x:c>
      <x:c r="E595" s="1" t="str">
        <x:v>Site</x:v>
      </x:c>
      <x:c r="F595" s="15" t="n">
        <x:v>1</x:v>
      </x:c>
      <x:c r="G595" s="1" t="str">
        <x:v>hold</x:v>
      </x:c>
      <x:c r="H595" s="17" t="n">
        <x:v>1</x:v>
      </x:c>
      <x:c r="I595" s="17" t="n">
        <x:v>0</x:v>
      </x:c>
      <x:c r="J595" s="17" t="n">
        <x:f>S595</x:f>
        <x:v>5</x:v>
      </x:c>
      <x:c r="K595" s="1" t="n">
        <x:f>MAX(L594+0)</x:f>
        <x:v>393</x:v>
      </x:c>
      <x:c r="L595" s="1" t="n">
        <x:f>K595+J595</x:f>
        <x:v>398</x:v>
      </x:c>
      <x:c r="M595" s="1" t="n">
        <x:f>N595-J595</x:f>
        <x:v>405</x:v>
      </x:c>
      <x:c r="N595" s="1" t="n">
        <x:f>MIN(M596-0,M651-5)</x:f>
        <x:v>410</x:v>
      </x:c>
      <x:c r="O595" s="1" t="n">
        <x:f>M595-K595</x:f>
        <x:v>12</x:v>
      </x:c>
      <x:c r="P595" s="19" t="n">
        <x:f>INDEX('Calendar'!$C$8:$C$907,K595+1)</x:f>
        <x:v>46786</x:v>
      </x:c>
      <x:c r="Q595" s="19" t="n">
        <x:f>INDEX('Calendar'!$C$8:$C$907,MAX(K595+1,L595))</x:f>
        <x:v>46791</x:v>
      </x:c>
      <x:c r="R595" s="15" t="n">
        <x:v>0</x:v>
      </x:c>
      <x:c r="S595" s="15" t="n">
        <x:v>5</x:v>
      </x:c>
      <x:c r="T595" s="15" t="n">
        <x:f>R595/J595</x:f>
        <x:v>0</x:v>
      </x:c>
    </x:row>
    <x:row r="596" ht="23" customHeight="1">
      <x:c r="A596" s="6" t="str">
        <x:v>T5-L12-F</x:v>
      </x:c>
      <x:c r="B596" s="6" t="str">
        <x:v>T5</x:v>
      </x:c>
      <x:c r="C596" s="6" t="str">
        <x:v>L12</x:v>
      </x:c>
      <x:c r="D596" s="6" t="str">
        <x:v>Columns, core and deck formwork</x:v>
      </x:c>
      <x:c r="E596" s="6" t="str">
        <x:v>Formwork</x:v>
      </x:c>
      <x:c r="F596" s="14" t="n">
        <x:v>1222.6600000000005</x:v>
      </x:c>
      <x:c r="G596" s="6" t="str">
        <x:v>m2</x:v>
      </x:c>
      <x:c r="H596" s="16" t="n">
        <x:v>220</x:v>
      </x:c>
      <x:c r="I596" s="16" t="n">
        <x:v>18</x:v>
      </x:c>
      <x:c r="J596" s="16" t="n">
        <x:f>ROUNDUP(F596/H596,0)</x:f>
        <x:v>6</x:v>
      </x:c>
      <x:c r="K596" s="6" t="n">
        <x:f>MAX(L595+0)</x:f>
        <x:v>398</x:v>
      </x:c>
      <x:c r="L596" s="6" t="n">
        <x:f>K596+J596</x:f>
        <x:v>404</x:v>
      </x:c>
      <x:c r="M596" s="6" t="n">
        <x:f>N596-J596</x:f>
        <x:v>410</x:v>
      </x:c>
      <x:c r="N596" s="6" t="n">
        <x:f>MIN(M597-0)</x:f>
        <x:v>416</x:v>
      </x:c>
      <x:c r="O596" s="6" t="n">
        <x:f>M596-K596</x:f>
        <x:v>12</x:v>
      </x:c>
      <x:c r="P596" s="18" t="n">
        <x:f>INDEX('Calendar'!$C$8:$C$907,K596+1)</x:f>
        <x:v>46792</x:v>
      </x:c>
      <x:c r="Q596" s="18" t="n">
        <x:f>INDEX('Calendar'!$C$8:$C$907,MAX(K596+1,L596))</x:f>
        <x:v>46798</x:v>
      </x:c>
      <x:c r="R596" s="14" t="n">
        <x:v>29364.320000000007</x:v>
      </x:c>
      <x:c r="S596" s="14"/>
      <x:c r="T596" s="14" t="n">
        <x:f>R596/J596</x:f>
        <x:v>4894.053333333334</x:v>
      </x:c>
    </x:row>
    <x:row r="597" ht="23" customHeight="1">
      <x:c r="A597" s="1" t="str">
        <x:v>T5-L12-R</x:v>
      </x:c>
      <x:c r="B597" s="1" t="str">
        <x:v>T5</x:v>
      </x:c>
      <x:c r="C597" s="1" t="str">
        <x:v>L12</x:v>
      </x:c>
      <x:c r="D597" s="1" t="str">
        <x:v>Column, wall, beam and slab reinforcement</x:v>
      </x:c>
      <x:c r="E597" s="1" t="str">
        <x:v>Rebar</x:v>
      </x:c>
      <x:c r="F597" s="15" t="n">
        <x:v>29.684139475407747</x:v>
      </x:c>
      <x:c r="G597" s="1" t="str">
        <x:v>t</x:v>
      </x:c>
      <x:c r="H597" s="17" t="n">
        <x:v>7</x:v>
      </x:c>
      <x:c r="I597" s="17" t="n">
        <x:v>14</x:v>
      </x:c>
      <x:c r="J597" s="17" t="n">
        <x:f>ROUNDUP(F597/H597,0)</x:f>
        <x:v>5</x:v>
      </x:c>
      <x:c r="K597" s="1" t="n">
        <x:f>MAX(L596+0)</x:f>
        <x:v>404</x:v>
      </x:c>
      <x:c r="L597" s="1" t="n">
        <x:f>K597+J597</x:f>
        <x:v>409</x:v>
      </x:c>
      <x:c r="M597" s="1" t="n">
        <x:f>N597-J597</x:f>
        <x:v>416</x:v>
      </x:c>
      <x:c r="N597" s="1" t="n">
        <x:f>MIN(M598-0)</x:f>
        <x:v>421</x:v>
      </x:c>
      <x:c r="O597" s="1" t="n">
        <x:f>M597-K597</x:f>
        <x:v>12</x:v>
      </x:c>
      <x:c r="P597" s="19" t="n">
        <x:f>INDEX('Calendar'!$C$8:$C$907,K597+1)</x:f>
        <x:v>46799</x:v>
      </x:c>
      <x:c r="Q597" s="19" t="n">
        <x:f>INDEX('Calendar'!$C$8:$C$907,MAX(K597+1,L597))</x:f>
        <x:v>46804</x:v>
      </x:c>
      <x:c r="R597" s="15" t="n">
        <x:v>25795.51720412933</x:v>
      </x:c>
      <x:c r="S597" s="15"/>
      <x:c r="T597" s="15" t="n">
        <x:f>R597/J597</x:f>
        <x:v>5159.103440825866</x:v>
      </x:c>
    </x:row>
    <x:row r="598" ht="23" customHeight="1">
      <x:c r="A598" s="6" t="str">
        <x:v>T5-L12-C</x:v>
      </x:c>
      <x:c r="B598" s="6" t="str">
        <x:v>T5</x:v>
      </x:c>
      <x:c r="C598" s="6" t="str">
        <x:v>L12</x:v>
      </x:c>
      <x:c r="D598" s="6" t="str">
        <x:v>Concrete placement and finishing</x:v>
      </x:c>
      <x:c r="E598" s="6" t="str">
        <x:v>Concrete</x:v>
      </x:c>
      <x:c r="F598" s="14" t="n">
        <x:v>226.70819999999958</x:v>
      </x:c>
      <x:c r="G598" s="6" t="str">
        <x:v>m3</x:v>
      </x:c>
      <x:c r="H598" s="16" t="n">
        <x:v>170</x:v>
      </x:c>
      <x:c r="I598" s="16" t="n">
        <x:v>12</x:v>
      </x:c>
      <x:c r="J598" s="16" t="n">
        <x:f>ROUNDUP(F598/H598,0)</x:f>
        <x:v>2</x:v>
      </x:c>
      <x:c r="K598" s="6" t="n">
        <x:f>MAX(L597+0)</x:f>
        <x:v>409</x:v>
      </x:c>
      <x:c r="L598" s="6" t="n">
        <x:f>K598+J598</x:f>
        <x:v>411</x:v>
      </x:c>
      <x:c r="M598" s="6" t="n">
        <x:f>N598-J598</x:f>
        <x:v>421</x:v>
      </x:c>
      <x:c r="N598" s="6" t="n">
        <x:f>MIN(M599-0)</x:f>
        <x:v>423</x:v>
      </x:c>
      <x:c r="O598" s="6" t="n">
        <x:f>M598-K598</x:f>
        <x:v>12</x:v>
      </x:c>
      <x:c r="P598" s="18" t="n">
        <x:f>INDEX('Calendar'!$C$8:$C$907,K598+1)</x:f>
        <x:v>46805</x:v>
      </x:c>
      <x:c r="Q598" s="18" t="n">
        <x:f>INDEX('Calendar'!$C$8:$C$907,MAX(K598+1,L598))</x:f>
        <x:v>46806</x:v>
      </x:c>
      <x:c r="R598" s="14" t="n">
        <x:v>33527.39699999994</x:v>
      </x:c>
      <x:c r="S598" s="14"/>
      <x:c r="T598" s="14" t="n">
        <x:f>R598/J598</x:f>
        <x:v>16763.69849999997</x:v>
      </x:c>
    </x:row>
    <x:row r="599" ht="23" customHeight="1">
      <x:c r="A599" s="1" t="str">
        <x:v>T5-L12-H</x:v>
      </x:c>
      <x:c r="B599" s="1" t="str">
        <x:v>T5</x:v>
      </x:c>
      <x:c r="C599" s="1" t="str">
        <x:v>L12</x:v>
      </x:c>
      <x:c r="D599" s="1" t="str">
        <x:v>Curing and release hold point</x:v>
      </x:c>
      <x:c r="E599" s="1" t="str">
        <x:v>Site</x:v>
      </x:c>
      <x:c r="F599" s="15" t="n">
        <x:v>1</x:v>
      </x:c>
      <x:c r="G599" s="1" t="str">
        <x:v>hold</x:v>
      </x:c>
      <x:c r="H599" s="17" t="n">
        <x:v>1</x:v>
      </x:c>
      <x:c r="I599" s="17" t="n">
        <x:v>0</x:v>
      </x:c>
      <x:c r="J599" s="17" t="n">
        <x:f>S599</x:f>
        <x:v>5</x:v>
      </x:c>
      <x:c r="K599" s="1" t="n">
        <x:f>MAX(L598+0)</x:f>
        <x:v>411</x:v>
      </x:c>
      <x:c r="L599" s="1" t="n">
        <x:f>K599+J599</x:f>
        <x:v>416</x:v>
      </x:c>
      <x:c r="M599" s="1" t="n">
        <x:f>N599-J599</x:f>
        <x:v>423</x:v>
      </x:c>
      <x:c r="N599" s="1" t="n">
        <x:f>MIN(M600-5,M657-5,M663-5,M669-5,M675-5)</x:f>
        <x:v>428</x:v>
      </x:c>
      <x:c r="O599" s="1" t="n">
        <x:f>M599-K599</x:f>
        <x:v>12</x:v>
      </x:c>
      <x:c r="P599" s="19" t="n">
        <x:f>INDEX('Calendar'!$C$8:$C$907,K599+1)</x:f>
        <x:v>46807</x:v>
      </x:c>
      <x:c r="Q599" s="19" t="n">
        <x:f>INDEX('Calendar'!$C$8:$C$907,MAX(K599+1,L599))</x:f>
        <x:v>46812</x:v>
      </x:c>
      <x:c r="R599" s="15" t="n">
        <x:v>0</x:v>
      </x:c>
      <x:c r="S599" s="15" t="n">
        <x:v>5</x:v>
      </x:c>
      <x:c r="T599" s="15" t="n">
        <x:f>R599/J599</x:f>
        <x:v>0</x:v>
      </x:c>
    </x:row>
    <x:row r="600" ht="23" customHeight="1">
      <x:c r="A600" s="6" t="str">
        <x:v>T5-RF</x:v>
      </x:c>
      <x:c r="B600" s="6" t="str">
        <x:v>T5</x:v>
      </x:c>
      <x:c r="C600" s="6" t="str">
        <x:v>ROOF</x:v>
      </x:c>
      <x:c r="D600" s="6" t="str">
        <x:v>Roof membrane and weatherproofing</x:v>
      </x:c>
      <x:c r="E600" s="6" t="str">
        <x:v>Envelope</x:v>
      </x:c>
      <x:c r="F600" s="14" t="n">
        <x:v>2400</x:v>
      </x:c>
      <x:c r="G600" s="6" t="str">
        <x:v>m2</x:v>
      </x:c>
      <x:c r="H600" s="16" t="n">
        <x:v>180</x:v>
      </x:c>
      <x:c r="I600" s="16" t="n">
        <x:v>10</x:v>
      </x:c>
      <x:c r="J600" s="16" t="n">
        <x:f>ROUNDUP(F600/H600,0)</x:f>
        <x:v>14</x:v>
      </x:c>
      <x:c r="K600" s="6" t="n">
        <x:f>MAX(L599+5)</x:f>
        <x:v>421</x:v>
      </x:c>
      <x:c r="L600" s="6" t="n">
        <x:f>K600+J600</x:f>
        <x:v>435</x:v>
      </x:c>
      <x:c r="M600" s="6" t="n">
        <x:f>N600-J600</x:f>
        <x:v>438</x:v>
      </x:c>
      <x:c r="N600" s="6" t="n">
        <x:f>MIN(M602-0)</x:f>
        <x:v>452</x:v>
      </x:c>
      <x:c r="O600" s="6" t="n">
        <x:f>M600-K600</x:f>
        <x:v>17</x:v>
      </x:c>
      <x:c r="P600" s="18" t="n">
        <x:f>INDEX('Calendar'!$C$8:$C$907,K600+1)</x:f>
        <x:v>46819</x:v>
      </x:c>
      <x:c r="Q600" s="18" t="n">
        <x:f>INDEX('Calendar'!$C$8:$C$907,MAX(K600+1,L600))</x:f>
        <x:v>46834</x:v>
      </x:c>
      <x:c r="R600" s="14" t="n">
        <x:v>48000</x:v>
      </x:c>
      <x:c r="S600" s="14"/>
      <x:c r="T600" s="14" t="n">
        <x:f>R600/J600</x:f>
        <x:v>3428.5714285714284</x:v>
      </x:c>
    </x:row>
    <x:row r="601" ht="23" customHeight="1">
      <x:c r="A601" s="1" t="str">
        <x:v>T5-FA</x:v>
      </x:c>
      <x:c r="B601" s="1" t="str">
        <x:v>T5</x:v>
      </x:c>
      <x:c r="C601" s="1" t="str">
        <x:v>ALL</x:v>
      </x:c>
      <x:c r="D601" s="1" t="str">
        <x:v>Insulated facade installation</x:v>
      </x:c>
      <x:c r="E601" s="1" t="str">
        <x:v>Envelope</x:v>
      </x:c>
      <x:c r="F601" s="15" t="n">
        <x:v>3234.8159999999993</x:v>
      </x:c>
      <x:c r="G601" s="1" t="str">
        <x:v>m2</x:v>
      </x:c>
      <x:c r="H601" s="17" t="n">
        <x:v>150</x:v>
      </x:c>
      <x:c r="I601" s="17" t="n">
        <x:v>16</x:v>
      </x:c>
      <x:c r="J601" s="17" t="n">
        <x:f>ROUNDUP(F601/H601,0)</x:f>
        <x:v>22</x:v>
      </x:c>
      <x:c r="K601" s="1" t="n">
        <x:f>MAX(L583+10)</x:f>
        <x:v>354</x:v>
      </x:c>
      <x:c r="L601" s="1" t="n">
        <x:f>K601+J601</x:f>
        <x:v>376</x:v>
      </x:c>
      <x:c r="M601" s="1" t="n">
        <x:f>N601-J601</x:f>
        <x:v>430</x:v>
      </x:c>
      <x:c r="N601" s="1" t="n">
        <x:f>MIN(M602-0)</x:f>
        <x:v>452</x:v>
      </x:c>
      <x:c r="O601" s="1" t="n">
        <x:f>M601-K601</x:f>
        <x:v>76</x:v>
      </x:c>
      <x:c r="P601" s="19" t="n">
        <x:f>INDEX('Calendar'!$C$8:$C$907,K601+1)</x:f>
        <x:v>46741</x:v>
      </x:c>
      <x:c r="Q601" s="19" t="n">
        <x:f>INDEX('Calendar'!$C$8:$C$907,MAX(K601+1,L601))</x:f>
        <x:v>46765</x:v>
      </x:c>
      <x:c r="R601" s="15" t="n">
        <x:v>271724.54399999994</x:v>
      </x:c>
      <x:c r="S601" s="15"/>
      <x:c r="T601" s="15" t="n">
        <x:f>R601/J601</x:f>
        <x:v>12351.115636363633</x:v>
      </x:c>
    </x:row>
    <x:row r="602" ht="23" customHeight="1">
      <x:c r="A602" s="6" t="str">
        <x:v>T5-GL</x:v>
      </x:c>
      <x:c r="B602" s="6" t="str">
        <x:v>T5</x:v>
      </x:c>
      <x:c r="C602" s="6" t="str">
        <x:v>ALL</x:v>
      </x:c>
      <x:c r="D602" s="6" t="str">
        <x:v>Glazing and frame installation</x:v>
      </x:c>
      <x:c r="E602" s="6" t="str">
        <x:v>Envelope</x:v>
      </x:c>
      <x:c r="F602" s="14" t="n">
        <x:v>1257.9840000000002</x:v>
      </x:c>
      <x:c r="G602" s="6" t="str">
        <x:v>m2</x:v>
      </x:c>
      <x:c r="H602" s="16" t="n">
        <x:v>90</x:v>
      </x:c>
      <x:c r="I602" s="16" t="n">
        <x:v>12</x:v>
      </x:c>
      <x:c r="J602" s="16" t="n">
        <x:f>ROUNDUP(F602/H602,0)</x:f>
        <x:v>14</x:v>
      </x:c>
      <x:c r="K602" s="6" t="n">
        <x:f>MAX(L601+0,L600+0)</x:f>
        <x:v>435</x:v>
      </x:c>
      <x:c r="L602" s="6" t="n">
        <x:f>K602+J602</x:f>
        <x:v>449</x:v>
      </x:c>
      <x:c r="M602" s="6" t="n">
        <x:f>N602-J602</x:f>
        <x:v>452</x:v>
      </x:c>
      <x:c r="N602" s="6" t="n">
        <x:f>MIN(M606-0,M612-0,M618-0,M624-0,M630-0,M636-0,M642-0,M648-0,M654-0,M660-0,M666-0,M672-0,M678-0)</x:f>
        <x:v>466</x:v>
      </x:c>
      <x:c r="O602" s="6" t="n">
        <x:f>M602-K602</x:f>
        <x:v>17</x:v>
      </x:c>
      <x:c r="P602" s="18" t="n">
        <x:f>INDEX('Calendar'!$C$8:$C$907,K602+1)</x:f>
        <x:v>46835</x:v>
      </x:c>
      <x:c r="Q602" s="18" t="n">
        <x:f>INDEX('Calendar'!$C$8:$C$907,MAX(K602+1,L602))</x:f>
        <x:v>46850</x:v>
      </x:c>
      <x:c r="R602" s="14" t="n">
        <x:v>276756.48000000004</x:v>
      </x:c>
      <x:c r="S602" s="14"/>
      <x:c r="T602" s="14" t="n">
        <x:f>R602/J602</x:f>
        <x:v>19768.320000000003</x:v>
      </x:c>
    </x:row>
    <x:row r="603" ht="23" customHeight="1">
      <x:c r="A603" s="1" t="str">
        <x:v>T5-L00-M</x:v>
      </x:c>
      <x:c r="B603" s="1" t="str">
        <x:v>T5</x:v>
      </x:c>
      <x:c r="C603" s="1" t="str">
        <x:v>L00</x:v>
      </x:c>
      <x:c r="D603" s="1" t="str">
        <x:v>Partition masonry</x:v>
      </x:c>
      <x:c r="E603" s="1" t="str">
        <x:v>Masonry</x:v>
      </x:c>
      <x:c r="F603" s="15" t="n">
        <x:v>90.40200000000002</x:v>
      </x:c>
      <x:c r="G603" s="1" t="str">
        <x:v>m3</x:v>
      </x:c>
      <x:c r="H603" s="17" t="n">
        <x:v>22</x:v>
      </x:c>
      <x:c r="I603" s="17" t="n">
        <x:v>10</x:v>
      </x:c>
      <x:c r="J603" s="17" t="n">
        <x:f>ROUNDUP(F603/H603,0)</x:f>
        <x:v>5</x:v>
      </x:c>
      <x:c r="K603" s="1" t="n">
        <x:f>MAX(L563+5)</x:f>
        <x:v>259</x:v>
      </x:c>
      <x:c r="L603" s="1" t="n">
        <x:f>K603+J603</x:f>
        <x:v>264</x:v>
      </x:c>
      <x:c r="M603" s="1" t="n">
        <x:f>N603-J603</x:f>
        <x:v>433</x:v>
      </x:c>
      <x:c r="N603" s="1" t="n">
        <x:f>MIN(M604-3)</x:f>
        <x:v>438</x:v>
      </x:c>
      <x:c r="O603" s="1" t="n">
        <x:f>M603-K603</x:f>
        <x:v>174</x:v>
      </x:c>
      <x:c r="P603" s="19" t="n">
        <x:f>INDEX('Calendar'!$C$8:$C$907,K603+1)</x:f>
        <x:v>46630</x:v>
      </x:c>
      <x:c r="Q603" s="19" t="n">
        <x:f>INDEX('Calendar'!$C$8:$C$907,MAX(K603+1,L603))</x:f>
        <x:v>46634</x:v>
      </x:c>
      <x:c r="R603" s="15" t="n">
        <x:v>12204.27</x:v>
      </x:c>
      <x:c r="S603" s="15"/>
      <x:c r="T603" s="15" t="n">
        <x:f>R603/J603</x:f>
        <x:v>2440.8540000000003</x:v>
      </x:c>
    </x:row>
    <x:row r="604" ht="23" customHeight="1">
      <x:c r="A604" s="6" t="str">
        <x:v>T5-L00-P</x:v>
      </x:c>
      <x:c r="B604" s="6" t="str">
        <x:v>T5</x:v>
      </x:c>
      <x:c r="C604" s="6" t="str">
        <x:v>L00</x:v>
      </x:c>
      <x:c r="D604" s="6" t="str">
        <x:v>Internal plaster</x:v>
      </x:c>
      <x:c r="E604" s="6" t="str">
        <x:v>Finishes</x:v>
      </x:c>
      <x:c r="F604" s="14" t="n">
        <x:v>1205.3600000000006</x:v>
      </x:c>
      <x:c r="G604" s="6" t="str">
        <x:v>m2</x:v>
      </x:c>
      <x:c r="H604" s="16" t="n">
        <x:v>220</x:v>
      </x:c>
      <x:c r="I604" s="16" t="n">
        <x:v>10</x:v>
      </x:c>
      <x:c r="J604" s="16" t="n">
        <x:f>ROUNDUP(F604/H604,0)</x:f>
        <x:v>6</x:v>
      </x:c>
      <x:c r="K604" s="6" t="n">
        <x:f>MAX(L603+3)</x:f>
        <x:v>267</x:v>
      </x:c>
      <x:c r="L604" s="6" t="n">
        <x:f>K604+J604</x:f>
        <x:v>273</x:v>
      </x:c>
      <x:c r="M604" s="6" t="n">
        <x:f>N604-J604</x:f>
        <x:v>441</x:v>
      </x:c>
      <x:c r="N604" s="6" t="n">
        <x:f>MIN(M605-2)</x:f>
        <x:v>447</x:v>
      </x:c>
      <x:c r="O604" s="6" t="n">
        <x:f>M604-K604</x:f>
        <x:v>174</x:v>
      </x:c>
      <x:c r="P604" s="18" t="n">
        <x:f>INDEX('Calendar'!$C$8:$C$907,K604+1)</x:f>
        <x:v>46639</x:v>
      </x:c>
      <x:c r="Q604" s="18" t="n">
        <x:f>INDEX('Calendar'!$C$8:$C$907,MAX(K604+1,L604))</x:f>
        <x:v>46645</x:v>
      </x:c>
      <x:c r="R604" s="14" t="n">
        <x:v>15067.000000000005</x:v>
      </x:c>
      <x:c r="S604" s="14"/>
      <x:c r="T604" s="14" t="n">
        <x:f>R604/J604</x:f>
        <x:v>2511.1666666666674</x:v>
      </x:c>
    </x:row>
    <x:row r="605" ht="23" customHeight="1">
      <x:c r="A605" s="1" t="str">
        <x:v>T5-L00-S</x:v>
      </x:c>
      <x:c r="B605" s="1" t="str">
        <x:v>T5</x:v>
      </x:c>
      <x:c r="C605" s="1" t="str">
        <x:v>L00</x:v>
      </x:c>
      <x:c r="D605" s="1" t="str">
        <x:v>Screed and substrate preparation</x:v>
      </x:c>
      <x:c r="E605" s="1" t="str">
        <x:v>Finishes</x:v>
      </x:c>
      <x:c r="F605" s="15" t="n">
        <x:v>696</x:v>
      </x:c>
      <x:c r="G605" s="1" t="str">
        <x:v>m2</x:v>
      </x:c>
      <x:c r="H605" s="17" t="n">
        <x:v>240</x:v>
      </x:c>
      <x:c r="I605" s="17" t="n">
        <x:v>8</x:v>
      </x:c>
      <x:c r="J605" s="17" t="n">
        <x:f>ROUNDUP(F605/H605,0)</x:f>
        <x:v>3</x:v>
      </x:c>
      <x:c r="K605" s="1" t="n">
        <x:f>MAX(L604+2)</x:f>
        <x:v>275</x:v>
      </x:c>
      <x:c r="L605" s="1" t="n">
        <x:f>K605+J605</x:f>
        <x:v>278</x:v>
      </x:c>
      <x:c r="M605" s="1" t="n">
        <x:f>N605-J605</x:f>
        <x:v>449</x:v>
      </x:c>
      <x:c r="N605" s="1" t="n">
        <x:f>MIN(M606-14)</x:f>
        <x:v>452</x:v>
      </x:c>
      <x:c r="O605" s="1" t="n">
        <x:f>M605-K605</x:f>
        <x:v>174</x:v>
      </x:c>
      <x:c r="P605" s="19" t="n">
        <x:f>INDEX('Calendar'!$C$8:$C$907,K605+1)</x:f>
        <x:v>46648</x:v>
      </x:c>
      <x:c r="Q605" s="19" t="n">
        <x:f>INDEX('Calendar'!$C$8:$C$907,MAX(K605+1,L605))</x:f>
        <x:v>46651</x:v>
      </x:c>
      <x:c r="R605" s="15" t="n">
        <x:v>9048</x:v>
      </x:c>
      <x:c r="S605" s="15"/>
      <x:c r="T605" s="15" t="n">
        <x:f>R605/J605</x:f>
        <x:v>3016</x:v>
      </x:c>
    </x:row>
    <x:row r="606" ht="23" customHeight="1">
      <x:c r="A606" s="6" t="str">
        <x:v>T5-L00-T</x:v>
      </x:c>
      <x:c r="B606" s="6" t="str">
        <x:v>T5</x:v>
      </x:c>
      <x:c r="C606" s="6" t="str">
        <x:v>L00</x:v>
      </x:c>
      <x:c r="D606" s="6" t="str">
        <x:v>Floor finishes and skirtings</x:v>
      </x:c>
      <x:c r="E606" s="6" t="str">
        <x:v>Finishes</x:v>
      </x:c>
      <x:c r="F606" s="14" t="n">
        <x:v>696</x:v>
      </x:c>
      <x:c r="G606" s="6" t="str">
        <x:v>m2</x:v>
      </x:c>
      <x:c r="H606" s="16" t="n">
        <x:v>130</x:v>
      </x:c>
      <x:c r="I606" s="16" t="n">
        <x:v>8</x:v>
      </x:c>
      <x:c r="J606" s="16" t="n">
        <x:f>ROUNDUP(F606/H606,0)</x:f>
        <x:v>6</x:v>
      </x:c>
      <x:c r="K606" s="6" t="n">
        <x:f>MAX(L605+14,L602+0)</x:f>
        <x:v>449</x:v>
      </x:c>
      <x:c r="L606" s="6" t="n">
        <x:f>K606+J606</x:f>
        <x:v>455</x:v>
      </x:c>
      <x:c r="M606" s="6" t="n">
        <x:f>N606-J606</x:f>
        <x:v>466</x:v>
      </x:c>
      <x:c r="N606" s="6" t="n">
        <x:f>MIN(M607-2)</x:f>
        <x:v>472</x:v>
      </x:c>
      <x:c r="O606" s="6" t="n">
        <x:f>M606-K606</x:f>
        <x:v>17</x:v>
      </x:c>
      <x:c r="P606" s="18" t="n">
        <x:f>INDEX('Calendar'!$C$8:$C$907,K606+1)</x:f>
        <x:v>46851</x:v>
      </x:c>
      <x:c r="Q606" s="18" t="n">
        <x:f>INDEX('Calendar'!$C$8:$C$907,MAX(K606+1,L606))</x:f>
        <x:v>46857</x:v>
      </x:c>
      <x:c r="R606" s="14" t="n">
        <x:v>24012</x:v>
      </x:c>
      <x:c r="S606" s="14"/>
      <x:c r="T606" s="14" t="n">
        <x:f>R606/J606</x:f>
        <x:v>4002</x:v>
      </x:c>
    </x:row>
    <x:row r="607" ht="23" customHeight="1">
      <x:c r="A607" s="1" t="str">
        <x:v>T5-L00-A</x:v>
      </x:c>
      <x:c r="B607" s="1" t="str">
        <x:v>T5</x:v>
      </x:c>
      <x:c r="C607" s="1" t="str">
        <x:v>L00</x:v>
      </x:c>
      <x:c r="D607" s="1" t="str">
        <x:v>Paint and final decorations</x:v>
      </x:c>
      <x:c r="E607" s="1" t="str">
        <x:v>Finishes</x:v>
      </x:c>
      <x:c r="F607" s="15" t="n">
        <x:v>1205.3600000000004</x:v>
      </x:c>
      <x:c r="G607" s="1" t="str">
        <x:v>m2</x:v>
      </x:c>
      <x:c r="H607" s="17" t="n">
        <x:v>270</x:v>
      </x:c>
      <x:c r="I607" s="17" t="n">
        <x:v>8</x:v>
      </x:c>
      <x:c r="J607" s="17" t="n">
        <x:f>ROUNDUP(F607/H607,0)</x:f>
        <x:v>5</x:v>
      </x:c>
      <x:c r="K607" s="1" t="n">
        <x:f>MAX(L606+2)</x:f>
        <x:v>457</x:v>
      </x:c>
      <x:c r="L607" s="1" t="n">
        <x:f>K607+J607</x:f>
        <x:v>462</x:v>
      </x:c>
      <x:c r="M607" s="1" t="n">
        <x:f>N607-J607</x:f>
        <x:v>474</x:v>
      </x:c>
      <x:c r="N607" s="1" t="n">
        <x:f>MIN(M608-0)</x:f>
        <x:v>479</x:v>
      </x:c>
      <x:c r="O607" s="1" t="n">
        <x:f>M607-K607</x:f>
        <x:v>17</x:v>
      </x:c>
      <x:c r="P607" s="19" t="n">
        <x:f>INDEX('Calendar'!$C$8:$C$907,K607+1)</x:f>
        <x:v>46861</x:v>
      </x:c>
      <x:c r="Q607" s="19" t="n">
        <x:f>INDEX('Calendar'!$C$8:$C$907,MAX(K607+1,L607))</x:f>
        <x:v>46865</x:v>
      </x:c>
      <x:c r="R607" s="15" t="n">
        <x:v>10245.560000000003</x:v>
      </x:c>
      <x:c r="S607" s="15"/>
      <x:c r="T607" s="15" t="n">
        <x:f>R607/J607</x:f>
        <x:v>2049.1120000000005</x:v>
      </x:c>
    </x:row>
    <x:row r="608" ht="23" customHeight="1">
      <x:c r="A608" s="6" t="str">
        <x:v>T5-L00-D</x:v>
      </x:c>
      <x:c r="B608" s="6" t="str">
        <x:v>T5</x:v>
      </x:c>
      <x:c r="C608" s="6" t="str">
        <x:v>L00</x:v>
      </x:c>
      <x:c r="D608" s="6" t="str">
        <x:v>Door sets and ironmongery</x:v>
      </x:c>
      <x:c r="E608" s="6" t="str">
        <x:v>Finishes</x:v>
      </x:c>
      <x:c r="F608" s="14" t="n">
        <x:v>28</x:v>
      </x:c>
      <x:c r="G608" s="6" t="str">
        <x:v>nr</x:v>
      </x:c>
      <x:c r="H608" s="16" t="n">
        <x:v>10</x:v>
      </x:c>
      <x:c r="I608" s="16" t="n">
        <x:v>4</x:v>
      </x:c>
      <x:c r="J608" s="16" t="n">
        <x:f>ROUNDUP(F608/H608,0)</x:f>
        <x:v>3</x:v>
      </x:c>
      <x:c r="K608" s="6" t="n">
        <x:f>MAX(L607+0)</x:f>
        <x:v>462</x:v>
      </x:c>
      <x:c r="L608" s="6" t="n">
        <x:f>K608+J608</x:f>
        <x:v>465</x:v>
      </x:c>
      <x:c r="M608" s="6" t="n">
        <x:f>N608-J608</x:f>
        <x:v>479</x:v>
      </x:c>
      <x:c r="N608" s="6" t="n">
        <x:f>MIN(M816-0)</x:f>
        <x:v>482</x:v>
      </x:c>
      <x:c r="O608" s="6" t="n">
        <x:f>M608-K608</x:f>
        <x:v>17</x:v>
      </x:c>
      <x:c r="P608" s="18" t="n">
        <x:f>INDEX('Calendar'!$C$8:$C$907,K608+1)</x:f>
        <x:v>46867</x:v>
      </x:c>
      <x:c r="Q608" s="18" t="n">
        <x:f>INDEX('Calendar'!$C$8:$C$907,MAX(K608+1,L608))</x:f>
        <x:v>46869</x:v>
      </x:c>
      <x:c r="R608" s="14" t="n">
        <x:v>5796</x:v>
      </x:c>
      <x:c r="S608" s="14"/>
      <x:c r="T608" s="14" t="n">
        <x:f>R608/J608</x:f>
        <x:v>1932</x:v>
      </x:c>
    </x:row>
    <x:row r="609" ht="23" customHeight="1">
      <x:c r="A609" s="1" t="str">
        <x:v>T5-L01-M</x:v>
      </x:c>
      <x:c r="B609" s="1" t="str">
        <x:v>T5</x:v>
      </x:c>
      <x:c r="C609" s="1" t="str">
        <x:v>L01</x:v>
      </x:c>
      <x:c r="D609" s="1" t="str">
        <x:v>Partition masonry</x:v>
      </x:c>
      <x:c r="E609" s="1" t="str">
        <x:v>Masonry</x:v>
      </x:c>
      <x:c r="F609" s="15" t="n">
        <x:v>90.40200000000002</x:v>
      </x:c>
      <x:c r="G609" s="1" t="str">
        <x:v>m3</x:v>
      </x:c>
      <x:c r="H609" s="17" t="n">
        <x:v>22</x:v>
      </x:c>
      <x:c r="I609" s="17" t="n">
        <x:v>10</x:v>
      </x:c>
      <x:c r="J609" s="17" t="n">
        <x:f>ROUNDUP(F609/H609,0)</x:f>
        <x:v>5</x:v>
      </x:c>
      <x:c r="K609" s="1" t="n">
        <x:f>MAX(L567+5)</x:f>
        <x:v>277</x:v>
      </x:c>
      <x:c r="L609" s="1" t="n">
        <x:f>K609+J609</x:f>
        <x:v>282</x:v>
      </x:c>
      <x:c r="M609" s="1" t="n">
        <x:f>N609-J609</x:f>
        <x:v>433</x:v>
      </x:c>
      <x:c r="N609" s="1" t="n">
        <x:f>MIN(M610-3)</x:f>
        <x:v>438</x:v>
      </x:c>
      <x:c r="O609" s="1" t="n">
        <x:f>M609-K609</x:f>
        <x:v>156</x:v>
      </x:c>
      <x:c r="P609" s="19" t="n">
        <x:f>INDEX('Calendar'!$C$8:$C$907,K609+1)</x:f>
        <x:v>46651</x:v>
      </x:c>
      <x:c r="Q609" s="19" t="n">
        <x:f>INDEX('Calendar'!$C$8:$C$907,MAX(K609+1,L609))</x:f>
        <x:v>46655</x:v>
      </x:c>
      <x:c r="R609" s="15" t="n">
        <x:v>12204.27</x:v>
      </x:c>
      <x:c r="S609" s="15"/>
      <x:c r="T609" s="15" t="n">
        <x:f>R609/J609</x:f>
        <x:v>2440.8540000000003</x:v>
      </x:c>
    </x:row>
    <x:row r="610" ht="23" customHeight="1">
      <x:c r="A610" s="6" t="str">
        <x:v>T5-L01-P</x:v>
      </x:c>
      <x:c r="B610" s="6" t="str">
        <x:v>T5</x:v>
      </x:c>
      <x:c r="C610" s="6" t="str">
        <x:v>L01</x:v>
      </x:c>
      <x:c r="D610" s="6" t="str">
        <x:v>Internal plaster</x:v>
      </x:c>
      <x:c r="E610" s="6" t="str">
        <x:v>Finishes</x:v>
      </x:c>
      <x:c r="F610" s="14" t="n">
        <x:v>1205.3600000000006</x:v>
      </x:c>
      <x:c r="G610" s="6" t="str">
        <x:v>m2</x:v>
      </x:c>
      <x:c r="H610" s="16" t="n">
        <x:v>220</x:v>
      </x:c>
      <x:c r="I610" s="16" t="n">
        <x:v>10</x:v>
      </x:c>
      <x:c r="J610" s="16" t="n">
        <x:f>ROUNDUP(F610/H610,0)</x:f>
        <x:v>6</x:v>
      </x:c>
      <x:c r="K610" s="6" t="n">
        <x:f>MAX(L609+3)</x:f>
        <x:v>285</x:v>
      </x:c>
      <x:c r="L610" s="6" t="n">
        <x:f>K610+J610</x:f>
        <x:v>291</x:v>
      </x:c>
      <x:c r="M610" s="6" t="n">
        <x:f>N610-J610</x:f>
        <x:v>441</x:v>
      </x:c>
      <x:c r="N610" s="6" t="n">
        <x:f>MIN(M611-2)</x:f>
        <x:v>447</x:v>
      </x:c>
      <x:c r="O610" s="6" t="n">
        <x:f>M610-K610</x:f>
        <x:v>156</x:v>
      </x:c>
      <x:c r="P610" s="18" t="n">
        <x:f>INDEX('Calendar'!$C$8:$C$907,K610+1)</x:f>
        <x:v>46660</x:v>
      </x:c>
      <x:c r="Q610" s="18" t="n">
        <x:f>INDEX('Calendar'!$C$8:$C$907,MAX(K610+1,L610))</x:f>
        <x:v>46666</x:v>
      </x:c>
      <x:c r="R610" s="14" t="n">
        <x:v>15067.000000000005</x:v>
      </x:c>
      <x:c r="S610" s="14"/>
      <x:c r="T610" s="14" t="n">
        <x:f>R610/J610</x:f>
        <x:v>2511.1666666666674</x:v>
      </x:c>
    </x:row>
    <x:row r="611" ht="23" customHeight="1">
      <x:c r="A611" s="1" t="str">
        <x:v>T5-L01-S</x:v>
      </x:c>
      <x:c r="B611" s="1" t="str">
        <x:v>T5</x:v>
      </x:c>
      <x:c r="C611" s="1" t="str">
        <x:v>L01</x:v>
      </x:c>
      <x:c r="D611" s="1" t="str">
        <x:v>Screed and substrate preparation</x:v>
      </x:c>
      <x:c r="E611" s="1" t="str">
        <x:v>Finishes</x:v>
      </x:c>
      <x:c r="F611" s="15" t="n">
        <x:v>696</x:v>
      </x:c>
      <x:c r="G611" s="1" t="str">
        <x:v>m2</x:v>
      </x:c>
      <x:c r="H611" s="17" t="n">
        <x:v>240</x:v>
      </x:c>
      <x:c r="I611" s="17" t="n">
        <x:v>8</x:v>
      </x:c>
      <x:c r="J611" s="17" t="n">
        <x:f>ROUNDUP(F611/H611,0)</x:f>
        <x:v>3</x:v>
      </x:c>
      <x:c r="K611" s="1" t="n">
        <x:f>MAX(L610+2)</x:f>
        <x:v>293</x:v>
      </x:c>
      <x:c r="L611" s="1" t="n">
        <x:f>K611+J611</x:f>
        <x:v>296</x:v>
      </x:c>
      <x:c r="M611" s="1" t="n">
        <x:f>N611-J611</x:f>
        <x:v>449</x:v>
      </x:c>
      <x:c r="N611" s="1" t="n">
        <x:f>MIN(M612-14)</x:f>
        <x:v>452</x:v>
      </x:c>
      <x:c r="O611" s="1" t="n">
        <x:f>M611-K611</x:f>
        <x:v>156</x:v>
      </x:c>
      <x:c r="P611" s="19" t="n">
        <x:f>INDEX('Calendar'!$C$8:$C$907,K611+1)</x:f>
        <x:v>46669</x:v>
      </x:c>
      <x:c r="Q611" s="19" t="n">
        <x:f>INDEX('Calendar'!$C$8:$C$907,MAX(K611+1,L611))</x:f>
        <x:v>46672</x:v>
      </x:c>
      <x:c r="R611" s="15" t="n">
        <x:v>9048</x:v>
      </x:c>
      <x:c r="S611" s="15"/>
      <x:c r="T611" s="15" t="n">
        <x:f>R611/J611</x:f>
        <x:v>3016</x:v>
      </x:c>
    </x:row>
    <x:row r="612" ht="23" customHeight="1">
      <x:c r="A612" s="6" t="str">
        <x:v>T5-L01-T</x:v>
      </x:c>
      <x:c r="B612" s="6" t="str">
        <x:v>T5</x:v>
      </x:c>
      <x:c r="C612" s="6" t="str">
        <x:v>L01</x:v>
      </x:c>
      <x:c r="D612" s="6" t="str">
        <x:v>Floor finishes and skirtings</x:v>
      </x:c>
      <x:c r="E612" s="6" t="str">
        <x:v>Finishes</x:v>
      </x:c>
      <x:c r="F612" s="14" t="n">
        <x:v>696</x:v>
      </x:c>
      <x:c r="G612" s="6" t="str">
        <x:v>m2</x:v>
      </x:c>
      <x:c r="H612" s="16" t="n">
        <x:v>130</x:v>
      </x:c>
      <x:c r="I612" s="16" t="n">
        <x:v>8</x:v>
      </x:c>
      <x:c r="J612" s="16" t="n">
        <x:f>ROUNDUP(F612/H612,0)</x:f>
        <x:v>6</x:v>
      </x:c>
      <x:c r="K612" s="6" t="n">
        <x:f>MAX(L611+14,L602+0)</x:f>
        <x:v>449</x:v>
      </x:c>
      <x:c r="L612" s="6" t="n">
        <x:f>K612+J612</x:f>
        <x:v>455</x:v>
      </x:c>
      <x:c r="M612" s="6" t="n">
        <x:f>N612-J612</x:f>
        <x:v>466</x:v>
      </x:c>
      <x:c r="N612" s="6" t="n">
        <x:f>MIN(M613-2)</x:f>
        <x:v>472</x:v>
      </x:c>
      <x:c r="O612" s="6" t="n">
        <x:f>M612-K612</x:f>
        <x:v>17</x:v>
      </x:c>
      <x:c r="P612" s="18" t="n">
        <x:f>INDEX('Calendar'!$C$8:$C$907,K612+1)</x:f>
        <x:v>46851</x:v>
      </x:c>
      <x:c r="Q612" s="18" t="n">
        <x:f>INDEX('Calendar'!$C$8:$C$907,MAX(K612+1,L612))</x:f>
        <x:v>46857</x:v>
      </x:c>
      <x:c r="R612" s="14" t="n">
        <x:v>24012</x:v>
      </x:c>
      <x:c r="S612" s="14"/>
      <x:c r="T612" s="14" t="n">
        <x:f>R612/J612</x:f>
        <x:v>4002</x:v>
      </x:c>
    </x:row>
    <x:row r="613" ht="23" customHeight="1">
      <x:c r="A613" s="1" t="str">
        <x:v>T5-L01-A</x:v>
      </x:c>
      <x:c r="B613" s="1" t="str">
        <x:v>T5</x:v>
      </x:c>
      <x:c r="C613" s="1" t="str">
        <x:v>L01</x:v>
      </x:c>
      <x:c r="D613" s="1" t="str">
        <x:v>Paint and final decorations</x:v>
      </x:c>
      <x:c r="E613" s="1" t="str">
        <x:v>Finishes</x:v>
      </x:c>
      <x:c r="F613" s="15" t="n">
        <x:v>1205.3600000000004</x:v>
      </x:c>
      <x:c r="G613" s="1" t="str">
        <x:v>m2</x:v>
      </x:c>
      <x:c r="H613" s="17" t="n">
        <x:v>270</x:v>
      </x:c>
      <x:c r="I613" s="17" t="n">
        <x:v>8</x:v>
      </x:c>
      <x:c r="J613" s="17" t="n">
        <x:f>ROUNDUP(F613/H613,0)</x:f>
        <x:v>5</x:v>
      </x:c>
      <x:c r="K613" s="1" t="n">
        <x:f>MAX(L612+2)</x:f>
        <x:v>457</x:v>
      </x:c>
      <x:c r="L613" s="1" t="n">
        <x:f>K613+J613</x:f>
        <x:v>462</x:v>
      </x:c>
      <x:c r="M613" s="1" t="n">
        <x:f>N613-J613</x:f>
        <x:v>474</x:v>
      </x:c>
      <x:c r="N613" s="1" t="n">
        <x:f>MIN(M614-0)</x:f>
        <x:v>479</x:v>
      </x:c>
      <x:c r="O613" s="1" t="n">
        <x:f>M613-K613</x:f>
        <x:v>17</x:v>
      </x:c>
      <x:c r="P613" s="19" t="n">
        <x:f>INDEX('Calendar'!$C$8:$C$907,K613+1)</x:f>
        <x:v>46861</x:v>
      </x:c>
      <x:c r="Q613" s="19" t="n">
        <x:f>INDEX('Calendar'!$C$8:$C$907,MAX(K613+1,L613))</x:f>
        <x:v>46865</x:v>
      </x:c>
      <x:c r="R613" s="15" t="n">
        <x:v>10245.560000000003</x:v>
      </x:c>
      <x:c r="S613" s="15"/>
      <x:c r="T613" s="15" t="n">
        <x:f>R613/J613</x:f>
        <x:v>2049.1120000000005</x:v>
      </x:c>
    </x:row>
    <x:row r="614" ht="23" customHeight="1">
      <x:c r="A614" s="6" t="str">
        <x:v>T5-L01-D</x:v>
      </x:c>
      <x:c r="B614" s="6" t="str">
        <x:v>T5</x:v>
      </x:c>
      <x:c r="C614" s="6" t="str">
        <x:v>L01</x:v>
      </x:c>
      <x:c r="D614" s="6" t="str">
        <x:v>Door sets and ironmongery</x:v>
      </x:c>
      <x:c r="E614" s="6" t="str">
        <x:v>Finishes</x:v>
      </x:c>
      <x:c r="F614" s="14" t="n">
        <x:v>28</x:v>
      </x:c>
      <x:c r="G614" s="6" t="str">
        <x:v>nr</x:v>
      </x:c>
      <x:c r="H614" s="16" t="n">
        <x:v>10</x:v>
      </x:c>
      <x:c r="I614" s="16" t="n">
        <x:v>4</x:v>
      </x:c>
      <x:c r="J614" s="16" t="n">
        <x:f>ROUNDUP(F614/H614,0)</x:f>
        <x:v>3</x:v>
      </x:c>
      <x:c r="K614" s="6" t="n">
        <x:f>MAX(L613+0)</x:f>
        <x:v>462</x:v>
      </x:c>
      <x:c r="L614" s="6" t="n">
        <x:f>K614+J614</x:f>
        <x:v>465</x:v>
      </x:c>
      <x:c r="M614" s="6" t="n">
        <x:f>N614-J614</x:f>
        <x:v>479</x:v>
      </x:c>
      <x:c r="N614" s="6" t="n">
        <x:f>MIN(M816-0)</x:f>
        <x:v>482</x:v>
      </x:c>
      <x:c r="O614" s="6" t="n">
        <x:f>M614-K614</x:f>
        <x:v>17</x:v>
      </x:c>
      <x:c r="P614" s="18" t="n">
        <x:f>INDEX('Calendar'!$C$8:$C$907,K614+1)</x:f>
        <x:v>46867</x:v>
      </x:c>
      <x:c r="Q614" s="18" t="n">
        <x:f>INDEX('Calendar'!$C$8:$C$907,MAX(K614+1,L614))</x:f>
        <x:v>46869</x:v>
      </x:c>
      <x:c r="R614" s="14" t="n">
        <x:v>5796</x:v>
      </x:c>
      <x:c r="S614" s="14"/>
      <x:c r="T614" s="14" t="n">
        <x:f>R614/J614</x:f>
        <x:v>1932</x:v>
      </x:c>
    </x:row>
    <x:row r="615" ht="23" customHeight="1">
      <x:c r="A615" s="1" t="str">
        <x:v>T5-L02-M</x:v>
      </x:c>
      <x:c r="B615" s="1" t="str">
        <x:v>T5</x:v>
      </x:c>
      <x:c r="C615" s="1" t="str">
        <x:v>L02</x:v>
      </x:c>
      <x:c r="D615" s="1" t="str">
        <x:v>Partition masonry</x:v>
      </x:c>
      <x:c r="E615" s="1" t="str">
        <x:v>Masonry</x:v>
      </x:c>
      <x:c r="F615" s="15" t="n">
        <x:v>90.40200000000002</x:v>
      </x:c>
      <x:c r="G615" s="1" t="str">
        <x:v>m3</x:v>
      </x:c>
      <x:c r="H615" s="17" t="n">
        <x:v>22</x:v>
      </x:c>
      <x:c r="I615" s="17" t="n">
        <x:v>10</x:v>
      </x:c>
      <x:c r="J615" s="17" t="n">
        <x:f>ROUNDUP(F615/H615,0)</x:f>
        <x:v>5</x:v>
      </x:c>
      <x:c r="K615" s="1" t="n">
        <x:f>MAX(L571+5)</x:f>
        <x:v>295</x:v>
      </x:c>
      <x:c r="L615" s="1" t="n">
        <x:f>K615+J615</x:f>
        <x:v>300</x:v>
      </x:c>
      <x:c r="M615" s="1" t="n">
        <x:f>N615-J615</x:f>
        <x:v>433</x:v>
      </x:c>
      <x:c r="N615" s="1" t="n">
        <x:f>MIN(M616-3)</x:f>
        <x:v>438</x:v>
      </x:c>
      <x:c r="O615" s="1" t="n">
        <x:f>M615-K615</x:f>
        <x:v>138</x:v>
      </x:c>
      <x:c r="P615" s="19" t="n">
        <x:f>INDEX('Calendar'!$C$8:$C$907,K615+1)</x:f>
        <x:v>46672</x:v>
      </x:c>
      <x:c r="Q615" s="19" t="n">
        <x:f>INDEX('Calendar'!$C$8:$C$907,MAX(K615+1,L615))</x:f>
        <x:v>46676</x:v>
      </x:c>
      <x:c r="R615" s="15" t="n">
        <x:v>12204.27</x:v>
      </x:c>
      <x:c r="S615" s="15"/>
      <x:c r="T615" s="15" t="n">
        <x:f>R615/J615</x:f>
        <x:v>2440.8540000000003</x:v>
      </x:c>
    </x:row>
    <x:row r="616" ht="23" customHeight="1">
      <x:c r="A616" s="6" t="str">
        <x:v>T5-L02-P</x:v>
      </x:c>
      <x:c r="B616" s="6" t="str">
        <x:v>T5</x:v>
      </x:c>
      <x:c r="C616" s="6" t="str">
        <x:v>L02</x:v>
      </x:c>
      <x:c r="D616" s="6" t="str">
        <x:v>Internal plaster</x:v>
      </x:c>
      <x:c r="E616" s="6" t="str">
        <x:v>Finishes</x:v>
      </x:c>
      <x:c r="F616" s="14" t="n">
        <x:v>1205.3600000000006</x:v>
      </x:c>
      <x:c r="G616" s="6" t="str">
        <x:v>m2</x:v>
      </x:c>
      <x:c r="H616" s="16" t="n">
        <x:v>220</x:v>
      </x:c>
      <x:c r="I616" s="16" t="n">
        <x:v>10</x:v>
      </x:c>
      <x:c r="J616" s="16" t="n">
        <x:f>ROUNDUP(F616/H616,0)</x:f>
        <x:v>6</x:v>
      </x:c>
      <x:c r="K616" s="6" t="n">
        <x:f>MAX(L615+3)</x:f>
        <x:v>303</x:v>
      </x:c>
      <x:c r="L616" s="6" t="n">
        <x:f>K616+J616</x:f>
        <x:v>309</x:v>
      </x:c>
      <x:c r="M616" s="6" t="n">
        <x:f>N616-J616</x:f>
        <x:v>441</x:v>
      </x:c>
      <x:c r="N616" s="6" t="n">
        <x:f>MIN(M617-2)</x:f>
        <x:v>447</x:v>
      </x:c>
      <x:c r="O616" s="6" t="n">
        <x:f>M616-K616</x:f>
        <x:v>138</x:v>
      </x:c>
      <x:c r="P616" s="18" t="n">
        <x:f>INDEX('Calendar'!$C$8:$C$907,K616+1)</x:f>
        <x:v>46681</x:v>
      </x:c>
      <x:c r="Q616" s="18" t="n">
        <x:f>INDEX('Calendar'!$C$8:$C$907,MAX(K616+1,L616))</x:f>
        <x:v>46687</x:v>
      </x:c>
      <x:c r="R616" s="14" t="n">
        <x:v>15067.000000000005</x:v>
      </x:c>
      <x:c r="S616" s="14"/>
      <x:c r="T616" s="14" t="n">
        <x:f>R616/J616</x:f>
        <x:v>2511.1666666666674</x:v>
      </x:c>
    </x:row>
    <x:row r="617" ht="23" customHeight="1">
      <x:c r="A617" s="1" t="str">
        <x:v>T5-L02-S</x:v>
      </x:c>
      <x:c r="B617" s="1" t="str">
        <x:v>T5</x:v>
      </x:c>
      <x:c r="C617" s="1" t="str">
        <x:v>L02</x:v>
      </x:c>
      <x:c r="D617" s="1" t="str">
        <x:v>Screed and substrate preparation</x:v>
      </x:c>
      <x:c r="E617" s="1" t="str">
        <x:v>Finishes</x:v>
      </x:c>
      <x:c r="F617" s="15" t="n">
        <x:v>696</x:v>
      </x:c>
      <x:c r="G617" s="1" t="str">
        <x:v>m2</x:v>
      </x:c>
      <x:c r="H617" s="17" t="n">
        <x:v>240</x:v>
      </x:c>
      <x:c r="I617" s="17" t="n">
        <x:v>8</x:v>
      </x:c>
      <x:c r="J617" s="17" t="n">
        <x:f>ROUNDUP(F617/H617,0)</x:f>
        <x:v>3</x:v>
      </x:c>
      <x:c r="K617" s="1" t="n">
        <x:f>MAX(L616+2)</x:f>
        <x:v>311</x:v>
      </x:c>
      <x:c r="L617" s="1" t="n">
        <x:f>K617+J617</x:f>
        <x:v>314</x:v>
      </x:c>
      <x:c r="M617" s="1" t="n">
        <x:f>N617-J617</x:f>
        <x:v>449</x:v>
      </x:c>
      <x:c r="N617" s="1" t="n">
        <x:f>MIN(M618-14)</x:f>
        <x:v>452</x:v>
      </x:c>
      <x:c r="O617" s="1" t="n">
        <x:f>M617-K617</x:f>
        <x:v>138</x:v>
      </x:c>
      <x:c r="P617" s="19" t="n">
        <x:f>INDEX('Calendar'!$C$8:$C$907,K617+1)</x:f>
        <x:v>46690</x:v>
      </x:c>
      <x:c r="Q617" s="19" t="n">
        <x:f>INDEX('Calendar'!$C$8:$C$907,MAX(K617+1,L617))</x:f>
        <x:v>46693</x:v>
      </x:c>
      <x:c r="R617" s="15" t="n">
        <x:v>9048</x:v>
      </x:c>
      <x:c r="S617" s="15"/>
      <x:c r="T617" s="15" t="n">
        <x:f>R617/J617</x:f>
        <x:v>3016</x:v>
      </x:c>
    </x:row>
    <x:row r="618" ht="23" customHeight="1">
      <x:c r="A618" s="6" t="str">
        <x:v>T5-L02-T</x:v>
      </x:c>
      <x:c r="B618" s="6" t="str">
        <x:v>T5</x:v>
      </x:c>
      <x:c r="C618" s="6" t="str">
        <x:v>L02</x:v>
      </x:c>
      <x:c r="D618" s="6" t="str">
        <x:v>Floor finishes and skirtings</x:v>
      </x:c>
      <x:c r="E618" s="6" t="str">
        <x:v>Finishes</x:v>
      </x:c>
      <x:c r="F618" s="14" t="n">
        <x:v>696</x:v>
      </x:c>
      <x:c r="G618" s="6" t="str">
        <x:v>m2</x:v>
      </x:c>
      <x:c r="H618" s="16" t="n">
        <x:v>130</x:v>
      </x:c>
      <x:c r="I618" s="16" t="n">
        <x:v>8</x:v>
      </x:c>
      <x:c r="J618" s="16" t="n">
        <x:f>ROUNDUP(F618/H618,0)</x:f>
        <x:v>6</x:v>
      </x:c>
      <x:c r="K618" s="6" t="n">
        <x:f>MAX(L617+14,L602+0)</x:f>
        <x:v>449</x:v>
      </x:c>
      <x:c r="L618" s="6" t="n">
        <x:f>K618+J618</x:f>
        <x:v>455</x:v>
      </x:c>
      <x:c r="M618" s="6" t="n">
        <x:f>N618-J618</x:f>
        <x:v>466</x:v>
      </x:c>
      <x:c r="N618" s="6" t="n">
        <x:f>MIN(M619-2)</x:f>
        <x:v>472</x:v>
      </x:c>
      <x:c r="O618" s="6" t="n">
        <x:f>M618-K618</x:f>
        <x:v>17</x:v>
      </x:c>
      <x:c r="P618" s="18" t="n">
        <x:f>INDEX('Calendar'!$C$8:$C$907,K618+1)</x:f>
        <x:v>46851</x:v>
      </x:c>
      <x:c r="Q618" s="18" t="n">
        <x:f>INDEX('Calendar'!$C$8:$C$907,MAX(K618+1,L618))</x:f>
        <x:v>46857</x:v>
      </x:c>
      <x:c r="R618" s="14" t="n">
        <x:v>24012</x:v>
      </x:c>
      <x:c r="S618" s="14"/>
      <x:c r="T618" s="14" t="n">
        <x:f>R618/J618</x:f>
        <x:v>4002</x:v>
      </x:c>
    </x:row>
    <x:row r="619" ht="23" customHeight="1">
      <x:c r="A619" s="1" t="str">
        <x:v>T5-L02-A</x:v>
      </x:c>
      <x:c r="B619" s="1" t="str">
        <x:v>T5</x:v>
      </x:c>
      <x:c r="C619" s="1" t="str">
        <x:v>L02</x:v>
      </x:c>
      <x:c r="D619" s="1" t="str">
        <x:v>Paint and final decorations</x:v>
      </x:c>
      <x:c r="E619" s="1" t="str">
        <x:v>Finishes</x:v>
      </x:c>
      <x:c r="F619" s="15" t="n">
        <x:v>1205.3600000000004</x:v>
      </x:c>
      <x:c r="G619" s="1" t="str">
        <x:v>m2</x:v>
      </x:c>
      <x:c r="H619" s="17" t="n">
        <x:v>270</x:v>
      </x:c>
      <x:c r="I619" s="17" t="n">
        <x:v>8</x:v>
      </x:c>
      <x:c r="J619" s="17" t="n">
        <x:f>ROUNDUP(F619/H619,0)</x:f>
        <x:v>5</x:v>
      </x:c>
      <x:c r="K619" s="1" t="n">
        <x:f>MAX(L618+2)</x:f>
        <x:v>457</x:v>
      </x:c>
      <x:c r="L619" s="1" t="n">
        <x:f>K619+J619</x:f>
        <x:v>462</x:v>
      </x:c>
      <x:c r="M619" s="1" t="n">
        <x:f>N619-J619</x:f>
        <x:v>474</x:v>
      </x:c>
      <x:c r="N619" s="1" t="n">
        <x:f>MIN(M620-0)</x:f>
        <x:v>479</x:v>
      </x:c>
      <x:c r="O619" s="1" t="n">
        <x:f>M619-K619</x:f>
        <x:v>17</x:v>
      </x:c>
      <x:c r="P619" s="19" t="n">
        <x:f>INDEX('Calendar'!$C$8:$C$907,K619+1)</x:f>
        <x:v>46861</x:v>
      </x:c>
      <x:c r="Q619" s="19" t="n">
        <x:f>INDEX('Calendar'!$C$8:$C$907,MAX(K619+1,L619))</x:f>
        <x:v>46865</x:v>
      </x:c>
      <x:c r="R619" s="15" t="n">
        <x:v>10245.560000000003</x:v>
      </x:c>
      <x:c r="S619" s="15"/>
      <x:c r="T619" s="15" t="n">
        <x:f>R619/J619</x:f>
        <x:v>2049.1120000000005</x:v>
      </x:c>
    </x:row>
    <x:row r="620" ht="23" customHeight="1">
      <x:c r="A620" s="6" t="str">
        <x:v>T5-L02-D</x:v>
      </x:c>
      <x:c r="B620" s="6" t="str">
        <x:v>T5</x:v>
      </x:c>
      <x:c r="C620" s="6" t="str">
        <x:v>L02</x:v>
      </x:c>
      <x:c r="D620" s="6" t="str">
        <x:v>Door sets and ironmongery</x:v>
      </x:c>
      <x:c r="E620" s="6" t="str">
        <x:v>Finishes</x:v>
      </x:c>
      <x:c r="F620" s="14" t="n">
        <x:v>28</x:v>
      </x:c>
      <x:c r="G620" s="6" t="str">
        <x:v>nr</x:v>
      </x:c>
      <x:c r="H620" s="16" t="n">
        <x:v>10</x:v>
      </x:c>
      <x:c r="I620" s="16" t="n">
        <x:v>4</x:v>
      </x:c>
      <x:c r="J620" s="16" t="n">
        <x:f>ROUNDUP(F620/H620,0)</x:f>
        <x:v>3</x:v>
      </x:c>
      <x:c r="K620" s="6" t="n">
        <x:f>MAX(L619+0)</x:f>
        <x:v>462</x:v>
      </x:c>
      <x:c r="L620" s="6" t="n">
        <x:f>K620+J620</x:f>
        <x:v>465</x:v>
      </x:c>
      <x:c r="M620" s="6" t="n">
        <x:f>N620-J620</x:f>
        <x:v>479</x:v>
      </x:c>
      <x:c r="N620" s="6" t="n">
        <x:f>MIN(M816-0)</x:f>
        <x:v>482</x:v>
      </x:c>
      <x:c r="O620" s="6" t="n">
        <x:f>M620-K620</x:f>
        <x:v>17</x:v>
      </x:c>
      <x:c r="P620" s="18" t="n">
        <x:f>INDEX('Calendar'!$C$8:$C$907,K620+1)</x:f>
        <x:v>46867</x:v>
      </x:c>
      <x:c r="Q620" s="18" t="n">
        <x:f>INDEX('Calendar'!$C$8:$C$907,MAX(K620+1,L620))</x:f>
        <x:v>46869</x:v>
      </x:c>
      <x:c r="R620" s="14" t="n">
        <x:v>5796</x:v>
      </x:c>
      <x:c r="S620" s="14"/>
      <x:c r="T620" s="14" t="n">
        <x:f>R620/J620</x:f>
        <x:v>1932</x:v>
      </x:c>
    </x:row>
    <x:row r="621" ht="23" customHeight="1">
      <x:c r="A621" s="1" t="str">
        <x:v>T5-L03-M</x:v>
      </x:c>
      <x:c r="B621" s="1" t="str">
        <x:v>T5</x:v>
      </x:c>
      <x:c r="C621" s="1" t="str">
        <x:v>L03</x:v>
      </x:c>
      <x:c r="D621" s="1" t="str">
        <x:v>Partition masonry</x:v>
      </x:c>
      <x:c r="E621" s="1" t="str">
        <x:v>Masonry</x:v>
      </x:c>
      <x:c r="F621" s="15" t="n">
        <x:v>90.40200000000002</x:v>
      </x:c>
      <x:c r="G621" s="1" t="str">
        <x:v>m3</x:v>
      </x:c>
      <x:c r="H621" s="17" t="n">
        <x:v>22</x:v>
      </x:c>
      <x:c r="I621" s="17" t="n">
        <x:v>10</x:v>
      </x:c>
      <x:c r="J621" s="17" t="n">
        <x:f>ROUNDUP(F621/H621,0)</x:f>
        <x:v>5</x:v>
      </x:c>
      <x:c r="K621" s="1" t="n">
        <x:f>MAX(L575+5)</x:f>
        <x:v>313</x:v>
      </x:c>
      <x:c r="L621" s="1" t="n">
        <x:f>K621+J621</x:f>
        <x:v>318</x:v>
      </x:c>
      <x:c r="M621" s="1" t="n">
        <x:f>N621-J621</x:f>
        <x:v>433</x:v>
      </x:c>
      <x:c r="N621" s="1" t="n">
        <x:f>MIN(M622-3)</x:f>
        <x:v>438</x:v>
      </x:c>
      <x:c r="O621" s="1" t="n">
        <x:f>M621-K621</x:f>
        <x:v>120</x:v>
      </x:c>
      <x:c r="P621" s="19" t="n">
        <x:f>INDEX('Calendar'!$C$8:$C$907,K621+1)</x:f>
        <x:v>46693</x:v>
      </x:c>
      <x:c r="Q621" s="19" t="n">
        <x:f>INDEX('Calendar'!$C$8:$C$907,MAX(K621+1,L621))</x:f>
        <x:v>46697</x:v>
      </x:c>
      <x:c r="R621" s="15" t="n">
        <x:v>12204.27</x:v>
      </x:c>
      <x:c r="S621" s="15"/>
      <x:c r="T621" s="15" t="n">
        <x:f>R621/J621</x:f>
        <x:v>2440.8540000000003</x:v>
      </x:c>
    </x:row>
    <x:row r="622" ht="23" customHeight="1">
      <x:c r="A622" s="6" t="str">
        <x:v>T5-L03-P</x:v>
      </x:c>
      <x:c r="B622" s="6" t="str">
        <x:v>T5</x:v>
      </x:c>
      <x:c r="C622" s="6" t="str">
        <x:v>L03</x:v>
      </x:c>
      <x:c r="D622" s="6" t="str">
        <x:v>Internal plaster</x:v>
      </x:c>
      <x:c r="E622" s="6" t="str">
        <x:v>Finishes</x:v>
      </x:c>
      <x:c r="F622" s="14" t="n">
        <x:v>1205.3600000000006</x:v>
      </x:c>
      <x:c r="G622" s="6" t="str">
        <x:v>m2</x:v>
      </x:c>
      <x:c r="H622" s="16" t="n">
        <x:v>220</x:v>
      </x:c>
      <x:c r="I622" s="16" t="n">
        <x:v>10</x:v>
      </x:c>
      <x:c r="J622" s="16" t="n">
        <x:f>ROUNDUP(F622/H622,0)</x:f>
        <x:v>6</x:v>
      </x:c>
      <x:c r="K622" s="6" t="n">
        <x:f>MAX(L621+3)</x:f>
        <x:v>321</x:v>
      </x:c>
      <x:c r="L622" s="6" t="n">
        <x:f>K622+J622</x:f>
        <x:v>327</x:v>
      </x:c>
      <x:c r="M622" s="6" t="n">
        <x:f>N622-J622</x:f>
        <x:v>441</x:v>
      </x:c>
      <x:c r="N622" s="6" t="n">
        <x:f>MIN(M623-2)</x:f>
        <x:v>447</x:v>
      </x:c>
      <x:c r="O622" s="6" t="n">
        <x:f>M622-K622</x:f>
        <x:v>120</x:v>
      </x:c>
      <x:c r="P622" s="18" t="n">
        <x:f>INDEX('Calendar'!$C$8:$C$907,K622+1)</x:f>
        <x:v>46702</x:v>
      </x:c>
      <x:c r="Q622" s="18" t="n">
        <x:f>INDEX('Calendar'!$C$8:$C$907,MAX(K622+1,L622))</x:f>
        <x:v>46708</x:v>
      </x:c>
      <x:c r="R622" s="14" t="n">
        <x:v>15067.000000000005</x:v>
      </x:c>
      <x:c r="S622" s="14"/>
      <x:c r="T622" s="14" t="n">
        <x:f>R622/J622</x:f>
        <x:v>2511.1666666666674</x:v>
      </x:c>
    </x:row>
    <x:row r="623" ht="23" customHeight="1">
      <x:c r="A623" s="1" t="str">
        <x:v>T5-L03-S</x:v>
      </x:c>
      <x:c r="B623" s="1" t="str">
        <x:v>T5</x:v>
      </x:c>
      <x:c r="C623" s="1" t="str">
        <x:v>L03</x:v>
      </x:c>
      <x:c r="D623" s="1" t="str">
        <x:v>Screed and substrate preparation</x:v>
      </x:c>
      <x:c r="E623" s="1" t="str">
        <x:v>Finishes</x:v>
      </x:c>
      <x:c r="F623" s="15" t="n">
        <x:v>696</x:v>
      </x:c>
      <x:c r="G623" s="1" t="str">
        <x:v>m2</x:v>
      </x:c>
      <x:c r="H623" s="17" t="n">
        <x:v>240</x:v>
      </x:c>
      <x:c r="I623" s="17" t="n">
        <x:v>8</x:v>
      </x:c>
      <x:c r="J623" s="17" t="n">
        <x:f>ROUNDUP(F623/H623,0)</x:f>
        <x:v>3</x:v>
      </x:c>
      <x:c r="K623" s="1" t="n">
        <x:f>MAX(L622+2)</x:f>
        <x:v>329</x:v>
      </x:c>
      <x:c r="L623" s="1" t="n">
        <x:f>K623+J623</x:f>
        <x:v>332</x:v>
      </x:c>
      <x:c r="M623" s="1" t="n">
        <x:f>N623-J623</x:f>
        <x:v>449</x:v>
      </x:c>
      <x:c r="N623" s="1" t="n">
        <x:f>MIN(M624-14)</x:f>
        <x:v>452</x:v>
      </x:c>
      <x:c r="O623" s="1" t="n">
        <x:f>M623-K623</x:f>
        <x:v>120</x:v>
      </x:c>
      <x:c r="P623" s="19" t="n">
        <x:f>INDEX('Calendar'!$C$8:$C$907,K623+1)</x:f>
        <x:v>46711</x:v>
      </x:c>
      <x:c r="Q623" s="19" t="n">
        <x:f>INDEX('Calendar'!$C$8:$C$907,MAX(K623+1,L623))</x:f>
        <x:v>46714</x:v>
      </x:c>
      <x:c r="R623" s="15" t="n">
        <x:v>9048</x:v>
      </x:c>
      <x:c r="S623" s="15"/>
      <x:c r="T623" s="15" t="n">
        <x:f>R623/J623</x:f>
        <x:v>3016</x:v>
      </x:c>
    </x:row>
    <x:row r="624" ht="23" customHeight="1">
      <x:c r="A624" s="6" t="str">
        <x:v>T5-L03-T</x:v>
      </x:c>
      <x:c r="B624" s="6" t="str">
        <x:v>T5</x:v>
      </x:c>
      <x:c r="C624" s="6" t="str">
        <x:v>L03</x:v>
      </x:c>
      <x:c r="D624" s="6" t="str">
        <x:v>Floor finishes and skirtings</x:v>
      </x:c>
      <x:c r="E624" s="6" t="str">
        <x:v>Finishes</x:v>
      </x:c>
      <x:c r="F624" s="14" t="n">
        <x:v>696</x:v>
      </x:c>
      <x:c r="G624" s="6" t="str">
        <x:v>m2</x:v>
      </x:c>
      <x:c r="H624" s="16" t="n">
        <x:v>130</x:v>
      </x:c>
      <x:c r="I624" s="16" t="n">
        <x:v>8</x:v>
      </x:c>
      <x:c r="J624" s="16" t="n">
        <x:f>ROUNDUP(F624/H624,0)</x:f>
        <x:v>6</x:v>
      </x:c>
      <x:c r="K624" s="6" t="n">
        <x:f>MAX(L623+14,L602+0)</x:f>
        <x:v>449</x:v>
      </x:c>
      <x:c r="L624" s="6" t="n">
        <x:f>K624+J624</x:f>
        <x:v>455</x:v>
      </x:c>
      <x:c r="M624" s="6" t="n">
        <x:f>N624-J624</x:f>
        <x:v>466</x:v>
      </x:c>
      <x:c r="N624" s="6" t="n">
        <x:f>MIN(M625-2)</x:f>
        <x:v>472</x:v>
      </x:c>
      <x:c r="O624" s="6" t="n">
        <x:f>M624-K624</x:f>
        <x:v>17</x:v>
      </x:c>
      <x:c r="P624" s="18" t="n">
        <x:f>INDEX('Calendar'!$C$8:$C$907,K624+1)</x:f>
        <x:v>46851</x:v>
      </x:c>
      <x:c r="Q624" s="18" t="n">
        <x:f>INDEX('Calendar'!$C$8:$C$907,MAX(K624+1,L624))</x:f>
        <x:v>46857</x:v>
      </x:c>
      <x:c r="R624" s="14" t="n">
        <x:v>24012</x:v>
      </x:c>
      <x:c r="S624" s="14"/>
      <x:c r="T624" s="14" t="n">
        <x:f>R624/J624</x:f>
        <x:v>4002</x:v>
      </x:c>
    </x:row>
    <x:row r="625" ht="23" customHeight="1">
      <x:c r="A625" s="1" t="str">
        <x:v>T5-L03-A</x:v>
      </x:c>
      <x:c r="B625" s="1" t="str">
        <x:v>T5</x:v>
      </x:c>
      <x:c r="C625" s="1" t="str">
        <x:v>L03</x:v>
      </x:c>
      <x:c r="D625" s="1" t="str">
        <x:v>Paint and final decorations</x:v>
      </x:c>
      <x:c r="E625" s="1" t="str">
        <x:v>Finishes</x:v>
      </x:c>
      <x:c r="F625" s="15" t="n">
        <x:v>1205.3600000000004</x:v>
      </x:c>
      <x:c r="G625" s="1" t="str">
        <x:v>m2</x:v>
      </x:c>
      <x:c r="H625" s="17" t="n">
        <x:v>270</x:v>
      </x:c>
      <x:c r="I625" s="17" t="n">
        <x:v>8</x:v>
      </x:c>
      <x:c r="J625" s="17" t="n">
        <x:f>ROUNDUP(F625/H625,0)</x:f>
        <x:v>5</x:v>
      </x:c>
      <x:c r="K625" s="1" t="n">
        <x:f>MAX(L624+2)</x:f>
        <x:v>457</x:v>
      </x:c>
      <x:c r="L625" s="1" t="n">
        <x:f>K625+J625</x:f>
        <x:v>462</x:v>
      </x:c>
      <x:c r="M625" s="1" t="n">
        <x:f>N625-J625</x:f>
        <x:v>474</x:v>
      </x:c>
      <x:c r="N625" s="1" t="n">
        <x:f>MIN(M626-0)</x:f>
        <x:v>479</x:v>
      </x:c>
      <x:c r="O625" s="1" t="n">
        <x:f>M625-K625</x:f>
        <x:v>17</x:v>
      </x:c>
      <x:c r="P625" s="19" t="n">
        <x:f>INDEX('Calendar'!$C$8:$C$907,K625+1)</x:f>
        <x:v>46861</x:v>
      </x:c>
      <x:c r="Q625" s="19" t="n">
        <x:f>INDEX('Calendar'!$C$8:$C$907,MAX(K625+1,L625))</x:f>
        <x:v>46865</x:v>
      </x:c>
      <x:c r="R625" s="15" t="n">
        <x:v>10245.560000000003</x:v>
      </x:c>
      <x:c r="S625" s="15"/>
      <x:c r="T625" s="15" t="n">
        <x:f>R625/J625</x:f>
        <x:v>2049.1120000000005</x:v>
      </x:c>
    </x:row>
    <x:row r="626" ht="23" customHeight="1">
      <x:c r="A626" s="6" t="str">
        <x:v>T5-L03-D</x:v>
      </x:c>
      <x:c r="B626" s="6" t="str">
        <x:v>T5</x:v>
      </x:c>
      <x:c r="C626" s="6" t="str">
        <x:v>L03</x:v>
      </x:c>
      <x:c r="D626" s="6" t="str">
        <x:v>Door sets and ironmongery</x:v>
      </x:c>
      <x:c r="E626" s="6" t="str">
        <x:v>Finishes</x:v>
      </x:c>
      <x:c r="F626" s="14" t="n">
        <x:v>28</x:v>
      </x:c>
      <x:c r="G626" s="6" t="str">
        <x:v>nr</x:v>
      </x:c>
      <x:c r="H626" s="16" t="n">
        <x:v>10</x:v>
      </x:c>
      <x:c r="I626" s="16" t="n">
        <x:v>4</x:v>
      </x:c>
      <x:c r="J626" s="16" t="n">
        <x:f>ROUNDUP(F626/H626,0)</x:f>
        <x:v>3</x:v>
      </x:c>
      <x:c r="K626" s="6" t="n">
        <x:f>MAX(L625+0)</x:f>
        <x:v>462</x:v>
      </x:c>
      <x:c r="L626" s="6" t="n">
        <x:f>K626+J626</x:f>
        <x:v>465</x:v>
      </x:c>
      <x:c r="M626" s="6" t="n">
        <x:f>N626-J626</x:f>
        <x:v>479</x:v>
      </x:c>
      <x:c r="N626" s="6" t="n">
        <x:f>MIN(M816-0)</x:f>
        <x:v>482</x:v>
      </x:c>
      <x:c r="O626" s="6" t="n">
        <x:f>M626-K626</x:f>
        <x:v>17</x:v>
      </x:c>
      <x:c r="P626" s="18" t="n">
        <x:f>INDEX('Calendar'!$C$8:$C$907,K626+1)</x:f>
        <x:v>46867</x:v>
      </x:c>
      <x:c r="Q626" s="18" t="n">
        <x:f>INDEX('Calendar'!$C$8:$C$907,MAX(K626+1,L626))</x:f>
        <x:v>46869</x:v>
      </x:c>
      <x:c r="R626" s="14" t="n">
        <x:v>5796</x:v>
      </x:c>
      <x:c r="S626" s="14"/>
      <x:c r="T626" s="14" t="n">
        <x:f>R626/J626</x:f>
        <x:v>1932</x:v>
      </x:c>
    </x:row>
    <x:row r="627" ht="23" customHeight="1">
      <x:c r="A627" s="1" t="str">
        <x:v>T5-L04-M</x:v>
      </x:c>
      <x:c r="B627" s="1" t="str">
        <x:v>T5</x:v>
      </x:c>
      <x:c r="C627" s="1" t="str">
        <x:v>L04</x:v>
      </x:c>
      <x:c r="D627" s="1" t="str">
        <x:v>Partition masonry</x:v>
      </x:c>
      <x:c r="E627" s="1" t="str">
        <x:v>Masonry</x:v>
      </x:c>
      <x:c r="F627" s="15" t="n">
        <x:v>90.40200000000002</x:v>
      </x:c>
      <x:c r="G627" s="1" t="str">
        <x:v>m3</x:v>
      </x:c>
      <x:c r="H627" s="17" t="n">
        <x:v>22</x:v>
      </x:c>
      <x:c r="I627" s="17" t="n">
        <x:v>10</x:v>
      </x:c>
      <x:c r="J627" s="17" t="n">
        <x:f>ROUNDUP(F627/H627,0)</x:f>
        <x:v>5</x:v>
      </x:c>
      <x:c r="K627" s="1" t="n">
        <x:f>MAX(L579+5)</x:f>
        <x:v>331</x:v>
      </x:c>
      <x:c r="L627" s="1" t="n">
        <x:f>K627+J627</x:f>
        <x:v>336</x:v>
      </x:c>
      <x:c r="M627" s="1" t="n">
        <x:f>N627-J627</x:f>
        <x:v>433</x:v>
      </x:c>
      <x:c r="N627" s="1" t="n">
        <x:f>MIN(M628-3)</x:f>
        <x:v>438</x:v>
      </x:c>
      <x:c r="O627" s="1" t="n">
        <x:f>M627-K627</x:f>
        <x:v>102</x:v>
      </x:c>
      <x:c r="P627" s="19" t="n">
        <x:f>INDEX('Calendar'!$C$8:$C$907,K627+1)</x:f>
        <x:v>46714</x:v>
      </x:c>
      <x:c r="Q627" s="19" t="n">
        <x:f>INDEX('Calendar'!$C$8:$C$907,MAX(K627+1,L627))</x:f>
        <x:v>46718</x:v>
      </x:c>
      <x:c r="R627" s="15" t="n">
        <x:v>12204.27</x:v>
      </x:c>
      <x:c r="S627" s="15"/>
      <x:c r="T627" s="15" t="n">
        <x:f>R627/J627</x:f>
        <x:v>2440.8540000000003</x:v>
      </x:c>
    </x:row>
    <x:row r="628" ht="23" customHeight="1">
      <x:c r="A628" s="6" t="str">
        <x:v>T5-L04-P</x:v>
      </x:c>
      <x:c r="B628" s="6" t="str">
        <x:v>T5</x:v>
      </x:c>
      <x:c r="C628" s="6" t="str">
        <x:v>L04</x:v>
      </x:c>
      <x:c r="D628" s="6" t="str">
        <x:v>Internal plaster</x:v>
      </x:c>
      <x:c r="E628" s="6" t="str">
        <x:v>Finishes</x:v>
      </x:c>
      <x:c r="F628" s="14" t="n">
        <x:v>1205.3600000000006</x:v>
      </x:c>
      <x:c r="G628" s="6" t="str">
        <x:v>m2</x:v>
      </x:c>
      <x:c r="H628" s="16" t="n">
        <x:v>220</x:v>
      </x:c>
      <x:c r="I628" s="16" t="n">
        <x:v>10</x:v>
      </x:c>
      <x:c r="J628" s="16" t="n">
        <x:f>ROUNDUP(F628/H628,0)</x:f>
        <x:v>6</x:v>
      </x:c>
      <x:c r="K628" s="6" t="n">
        <x:f>MAX(L627+3)</x:f>
        <x:v>339</x:v>
      </x:c>
      <x:c r="L628" s="6" t="n">
        <x:f>K628+J628</x:f>
        <x:v>345</x:v>
      </x:c>
      <x:c r="M628" s="6" t="n">
        <x:f>N628-J628</x:f>
        <x:v>441</x:v>
      </x:c>
      <x:c r="N628" s="6" t="n">
        <x:f>MIN(M629-2)</x:f>
        <x:v>447</x:v>
      </x:c>
      <x:c r="O628" s="6" t="n">
        <x:f>M628-K628</x:f>
        <x:v>102</x:v>
      </x:c>
      <x:c r="P628" s="18" t="n">
        <x:f>INDEX('Calendar'!$C$8:$C$907,K628+1)</x:f>
        <x:v>46723</x:v>
      </x:c>
      <x:c r="Q628" s="18" t="n">
        <x:f>INDEX('Calendar'!$C$8:$C$907,MAX(K628+1,L628))</x:f>
        <x:v>46729</x:v>
      </x:c>
      <x:c r="R628" s="14" t="n">
        <x:v>15067.000000000005</x:v>
      </x:c>
      <x:c r="S628" s="14"/>
      <x:c r="T628" s="14" t="n">
        <x:f>R628/J628</x:f>
        <x:v>2511.1666666666674</x:v>
      </x:c>
    </x:row>
    <x:row r="629" ht="23" customHeight="1">
      <x:c r="A629" s="1" t="str">
        <x:v>T5-L04-S</x:v>
      </x:c>
      <x:c r="B629" s="1" t="str">
        <x:v>T5</x:v>
      </x:c>
      <x:c r="C629" s="1" t="str">
        <x:v>L04</x:v>
      </x:c>
      <x:c r="D629" s="1" t="str">
        <x:v>Screed and substrate preparation</x:v>
      </x:c>
      <x:c r="E629" s="1" t="str">
        <x:v>Finishes</x:v>
      </x:c>
      <x:c r="F629" s="15" t="n">
        <x:v>696</x:v>
      </x:c>
      <x:c r="G629" s="1" t="str">
        <x:v>m2</x:v>
      </x:c>
      <x:c r="H629" s="17" t="n">
        <x:v>240</x:v>
      </x:c>
      <x:c r="I629" s="17" t="n">
        <x:v>8</x:v>
      </x:c>
      <x:c r="J629" s="17" t="n">
        <x:f>ROUNDUP(F629/H629,0)</x:f>
        <x:v>3</x:v>
      </x:c>
      <x:c r="K629" s="1" t="n">
        <x:f>MAX(L628+2)</x:f>
        <x:v>347</x:v>
      </x:c>
      <x:c r="L629" s="1" t="n">
        <x:f>K629+J629</x:f>
        <x:v>350</x:v>
      </x:c>
      <x:c r="M629" s="1" t="n">
        <x:f>N629-J629</x:f>
        <x:v>449</x:v>
      </x:c>
      <x:c r="N629" s="1" t="n">
        <x:f>MIN(M630-14)</x:f>
        <x:v>452</x:v>
      </x:c>
      <x:c r="O629" s="1" t="n">
        <x:f>M629-K629</x:f>
        <x:v>102</x:v>
      </x:c>
      <x:c r="P629" s="19" t="n">
        <x:f>INDEX('Calendar'!$C$8:$C$907,K629+1)</x:f>
        <x:v>46732</x:v>
      </x:c>
      <x:c r="Q629" s="19" t="n">
        <x:f>INDEX('Calendar'!$C$8:$C$907,MAX(K629+1,L629))</x:f>
        <x:v>46735</x:v>
      </x:c>
      <x:c r="R629" s="15" t="n">
        <x:v>9048</x:v>
      </x:c>
      <x:c r="S629" s="15"/>
      <x:c r="T629" s="15" t="n">
        <x:f>R629/J629</x:f>
        <x:v>3016</x:v>
      </x:c>
    </x:row>
    <x:row r="630" ht="23" customHeight="1">
      <x:c r="A630" s="6" t="str">
        <x:v>T5-L04-T</x:v>
      </x:c>
      <x:c r="B630" s="6" t="str">
        <x:v>T5</x:v>
      </x:c>
      <x:c r="C630" s="6" t="str">
        <x:v>L04</x:v>
      </x:c>
      <x:c r="D630" s="6" t="str">
        <x:v>Floor finishes and skirtings</x:v>
      </x:c>
      <x:c r="E630" s="6" t="str">
        <x:v>Finishes</x:v>
      </x:c>
      <x:c r="F630" s="14" t="n">
        <x:v>696</x:v>
      </x:c>
      <x:c r="G630" s="6" t="str">
        <x:v>m2</x:v>
      </x:c>
      <x:c r="H630" s="16" t="n">
        <x:v>130</x:v>
      </x:c>
      <x:c r="I630" s="16" t="n">
        <x:v>8</x:v>
      </x:c>
      <x:c r="J630" s="16" t="n">
        <x:f>ROUNDUP(F630/H630,0)</x:f>
        <x:v>6</x:v>
      </x:c>
      <x:c r="K630" s="6" t="n">
        <x:f>MAX(L629+14,L602+0)</x:f>
        <x:v>449</x:v>
      </x:c>
      <x:c r="L630" s="6" t="n">
        <x:f>K630+J630</x:f>
        <x:v>455</x:v>
      </x:c>
      <x:c r="M630" s="6" t="n">
        <x:f>N630-J630</x:f>
        <x:v>466</x:v>
      </x:c>
      <x:c r="N630" s="6" t="n">
        <x:f>MIN(M631-2)</x:f>
        <x:v>472</x:v>
      </x:c>
      <x:c r="O630" s="6" t="n">
        <x:f>M630-K630</x:f>
        <x:v>17</x:v>
      </x:c>
      <x:c r="P630" s="18" t="n">
        <x:f>INDEX('Calendar'!$C$8:$C$907,K630+1)</x:f>
        <x:v>46851</x:v>
      </x:c>
      <x:c r="Q630" s="18" t="n">
        <x:f>INDEX('Calendar'!$C$8:$C$907,MAX(K630+1,L630))</x:f>
        <x:v>46857</x:v>
      </x:c>
      <x:c r="R630" s="14" t="n">
        <x:v>24012</x:v>
      </x:c>
      <x:c r="S630" s="14"/>
      <x:c r="T630" s="14" t="n">
        <x:f>R630/J630</x:f>
        <x:v>4002</x:v>
      </x:c>
    </x:row>
    <x:row r="631" ht="23" customHeight="1">
      <x:c r="A631" s="1" t="str">
        <x:v>T5-L04-A</x:v>
      </x:c>
      <x:c r="B631" s="1" t="str">
        <x:v>T5</x:v>
      </x:c>
      <x:c r="C631" s="1" t="str">
        <x:v>L04</x:v>
      </x:c>
      <x:c r="D631" s="1" t="str">
        <x:v>Paint and final decorations</x:v>
      </x:c>
      <x:c r="E631" s="1" t="str">
        <x:v>Finishes</x:v>
      </x:c>
      <x:c r="F631" s="15" t="n">
        <x:v>1205.3600000000004</x:v>
      </x:c>
      <x:c r="G631" s="1" t="str">
        <x:v>m2</x:v>
      </x:c>
      <x:c r="H631" s="17" t="n">
        <x:v>270</x:v>
      </x:c>
      <x:c r="I631" s="17" t="n">
        <x:v>8</x:v>
      </x:c>
      <x:c r="J631" s="17" t="n">
        <x:f>ROUNDUP(F631/H631,0)</x:f>
        <x:v>5</x:v>
      </x:c>
      <x:c r="K631" s="1" t="n">
        <x:f>MAX(L630+2)</x:f>
        <x:v>457</x:v>
      </x:c>
      <x:c r="L631" s="1" t="n">
        <x:f>K631+J631</x:f>
        <x:v>462</x:v>
      </x:c>
      <x:c r="M631" s="1" t="n">
        <x:f>N631-J631</x:f>
        <x:v>474</x:v>
      </x:c>
      <x:c r="N631" s="1" t="n">
        <x:f>MIN(M632-0)</x:f>
        <x:v>479</x:v>
      </x:c>
      <x:c r="O631" s="1" t="n">
        <x:f>M631-K631</x:f>
        <x:v>17</x:v>
      </x:c>
      <x:c r="P631" s="19" t="n">
        <x:f>INDEX('Calendar'!$C$8:$C$907,K631+1)</x:f>
        <x:v>46861</x:v>
      </x:c>
      <x:c r="Q631" s="19" t="n">
        <x:f>INDEX('Calendar'!$C$8:$C$907,MAX(K631+1,L631))</x:f>
        <x:v>46865</x:v>
      </x:c>
      <x:c r="R631" s="15" t="n">
        <x:v>10245.560000000003</x:v>
      </x:c>
      <x:c r="S631" s="15"/>
      <x:c r="T631" s="15" t="n">
        <x:f>R631/J631</x:f>
        <x:v>2049.1120000000005</x:v>
      </x:c>
    </x:row>
    <x:row r="632" ht="23" customHeight="1">
      <x:c r="A632" s="6" t="str">
        <x:v>T5-L04-D</x:v>
      </x:c>
      <x:c r="B632" s="6" t="str">
        <x:v>T5</x:v>
      </x:c>
      <x:c r="C632" s="6" t="str">
        <x:v>L04</x:v>
      </x:c>
      <x:c r="D632" s="6" t="str">
        <x:v>Door sets and ironmongery</x:v>
      </x:c>
      <x:c r="E632" s="6" t="str">
        <x:v>Finishes</x:v>
      </x:c>
      <x:c r="F632" s="14" t="n">
        <x:v>28</x:v>
      </x:c>
      <x:c r="G632" s="6" t="str">
        <x:v>nr</x:v>
      </x:c>
      <x:c r="H632" s="16" t="n">
        <x:v>10</x:v>
      </x:c>
      <x:c r="I632" s="16" t="n">
        <x:v>4</x:v>
      </x:c>
      <x:c r="J632" s="16" t="n">
        <x:f>ROUNDUP(F632/H632,0)</x:f>
        <x:v>3</x:v>
      </x:c>
      <x:c r="K632" s="6" t="n">
        <x:f>MAX(L631+0)</x:f>
        <x:v>462</x:v>
      </x:c>
      <x:c r="L632" s="6" t="n">
        <x:f>K632+J632</x:f>
        <x:v>465</x:v>
      </x:c>
      <x:c r="M632" s="6" t="n">
        <x:f>N632-J632</x:f>
        <x:v>479</x:v>
      </x:c>
      <x:c r="N632" s="6" t="n">
        <x:f>MIN(M816-0)</x:f>
        <x:v>482</x:v>
      </x:c>
      <x:c r="O632" s="6" t="n">
        <x:f>M632-K632</x:f>
        <x:v>17</x:v>
      </x:c>
      <x:c r="P632" s="18" t="n">
        <x:f>INDEX('Calendar'!$C$8:$C$907,K632+1)</x:f>
        <x:v>46867</x:v>
      </x:c>
      <x:c r="Q632" s="18" t="n">
        <x:f>INDEX('Calendar'!$C$8:$C$907,MAX(K632+1,L632))</x:f>
        <x:v>46869</x:v>
      </x:c>
      <x:c r="R632" s="14" t="n">
        <x:v>5796</x:v>
      </x:c>
      <x:c r="S632" s="14"/>
      <x:c r="T632" s="14" t="n">
        <x:f>R632/J632</x:f>
        <x:v>1932</x:v>
      </x:c>
    </x:row>
    <x:row r="633" ht="23" customHeight="1">
      <x:c r="A633" s="1" t="str">
        <x:v>T5-L05-M</x:v>
      </x:c>
      <x:c r="B633" s="1" t="str">
        <x:v>T5</x:v>
      </x:c>
      <x:c r="C633" s="1" t="str">
        <x:v>L05</x:v>
      </x:c>
      <x:c r="D633" s="1" t="str">
        <x:v>Partition masonry</x:v>
      </x:c>
      <x:c r="E633" s="1" t="str">
        <x:v>Masonry</x:v>
      </x:c>
      <x:c r="F633" s="15" t="n">
        <x:v>90.40200000000002</x:v>
      </x:c>
      <x:c r="G633" s="1" t="str">
        <x:v>m3</x:v>
      </x:c>
      <x:c r="H633" s="17" t="n">
        <x:v>22</x:v>
      </x:c>
      <x:c r="I633" s="17" t="n">
        <x:v>10</x:v>
      </x:c>
      <x:c r="J633" s="17" t="n">
        <x:f>ROUNDUP(F633/H633,0)</x:f>
        <x:v>5</x:v>
      </x:c>
      <x:c r="K633" s="1" t="n">
        <x:f>MAX(L583+5)</x:f>
        <x:v>349</x:v>
      </x:c>
      <x:c r="L633" s="1" t="n">
        <x:f>K633+J633</x:f>
        <x:v>354</x:v>
      </x:c>
      <x:c r="M633" s="1" t="n">
        <x:f>N633-J633</x:f>
        <x:v>433</x:v>
      </x:c>
      <x:c r="N633" s="1" t="n">
        <x:f>MIN(M634-3)</x:f>
        <x:v>438</x:v>
      </x:c>
      <x:c r="O633" s="1" t="n">
        <x:f>M633-K633</x:f>
        <x:v>84</x:v>
      </x:c>
      <x:c r="P633" s="19" t="n">
        <x:f>INDEX('Calendar'!$C$8:$C$907,K633+1)</x:f>
        <x:v>46735</x:v>
      </x:c>
      <x:c r="Q633" s="19" t="n">
        <x:f>INDEX('Calendar'!$C$8:$C$907,MAX(K633+1,L633))</x:f>
        <x:v>46739</x:v>
      </x:c>
      <x:c r="R633" s="15" t="n">
        <x:v>12204.27</x:v>
      </x:c>
      <x:c r="S633" s="15"/>
      <x:c r="T633" s="15" t="n">
        <x:f>R633/J633</x:f>
        <x:v>2440.8540000000003</x:v>
      </x:c>
    </x:row>
    <x:row r="634" ht="23" customHeight="1">
      <x:c r="A634" s="6" t="str">
        <x:v>T5-L05-P</x:v>
      </x:c>
      <x:c r="B634" s="6" t="str">
        <x:v>T5</x:v>
      </x:c>
      <x:c r="C634" s="6" t="str">
        <x:v>L05</x:v>
      </x:c>
      <x:c r="D634" s="6" t="str">
        <x:v>Internal plaster</x:v>
      </x:c>
      <x:c r="E634" s="6" t="str">
        <x:v>Finishes</x:v>
      </x:c>
      <x:c r="F634" s="14" t="n">
        <x:v>1205.3600000000006</x:v>
      </x:c>
      <x:c r="G634" s="6" t="str">
        <x:v>m2</x:v>
      </x:c>
      <x:c r="H634" s="16" t="n">
        <x:v>220</x:v>
      </x:c>
      <x:c r="I634" s="16" t="n">
        <x:v>10</x:v>
      </x:c>
      <x:c r="J634" s="16" t="n">
        <x:f>ROUNDUP(F634/H634,0)</x:f>
        <x:v>6</x:v>
      </x:c>
      <x:c r="K634" s="6" t="n">
        <x:f>MAX(L633+3)</x:f>
        <x:v>357</x:v>
      </x:c>
      <x:c r="L634" s="6" t="n">
        <x:f>K634+J634</x:f>
        <x:v>363</x:v>
      </x:c>
      <x:c r="M634" s="6" t="n">
        <x:f>N634-J634</x:f>
        <x:v>441</x:v>
      </x:c>
      <x:c r="N634" s="6" t="n">
        <x:f>MIN(M635-2)</x:f>
        <x:v>447</x:v>
      </x:c>
      <x:c r="O634" s="6" t="n">
        <x:f>M634-K634</x:f>
        <x:v>84</x:v>
      </x:c>
      <x:c r="P634" s="18" t="n">
        <x:f>INDEX('Calendar'!$C$8:$C$907,K634+1)</x:f>
        <x:v>46744</x:v>
      </x:c>
      <x:c r="Q634" s="18" t="n">
        <x:f>INDEX('Calendar'!$C$8:$C$907,MAX(K634+1,L634))</x:f>
        <x:v>46750</x:v>
      </x:c>
      <x:c r="R634" s="14" t="n">
        <x:v>15067.000000000005</x:v>
      </x:c>
      <x:c r="S634" s="14"/>
      <x:c r="T634" s="14" t="n">
        <x:f>R634/J634</x:f>
        <x:v>2511.1666666666674</x:v>
      </x:c>
    </x:row>
    <x:row r="635" ht="23" customHeight="1">
      <x:c r="A635" s="1" t="str">
        <x:v>T5-L05-S</x:v>
      </x:c>
      <x:c r="B635" s="1" t="str">
        <x:v>T5</x:v>
      </x:c>
      <x:c r="C635" s="1" t="str">
        <x:v>L05</x:v>
      </x:c>
      <x:c r="D635" s="1" t="str">
        <x:v>Screed and substrate preparation</x:v>
      </x:c>
      <x:c r="E635" s="1" t="str">
        <x:v>Finishes</x:v>
      </x:c>
      <x:c r="F635" s="15" t="n">
        <x:v>696</x:v>
      </x:c>
      <x:c r="G635" s="1" t="str">
        <x:v>m2</x:v>
      </x:c>
      <x:c r="H635" s="17" t="n">
        <x:v>240</x:v>
      </x:c>
      <x:c r="I635" s="17" t="n">
        <x:v>8</x:v>
      </x:c>
      <x:c r="J635" s="17" t="n">
        <x:f>ROUNDUP(F635/H635,0)</x:f>
        <x:v>3</x:v>
      </x:c>
      <x:c r="K635" s="1" t="n">
        <x:f>MAX(L634+2)</x:f>
        <x:v>365</x:v>
      </x:c>
      <x:c r="L635" s="1" t="n">
        <x:f>K635+J635</x:f>
        <x:v>368</x:v>
      </x:c>
      <x:c r="M635" s="1" t="n">
        <x:f>N635-J635</x:f>
        <x:v>449</x:v>
      </x:c>
      <x:c r="N635" s="1" t="n">
        <x:f>MIN(M636-14)</x:f>
        <x:v>452</x:v>
      </x:c>
      <x:c r="O635" s="1" t="n">
        <x:f>M635-K635</x:f>
        <x:v>84</x:v>
      </x:c>
      <x:c r="P635" s="19" t="n">
        <x:f>INDEX('Calendar'!$C$8:$C$907,K635+1)</x:f>
        <x:v>46753</x:v>
      </x:c>
      <x:c r="Q635" s="19" t="n">
        <x:f>INDEX('Calendar'!$C$8:$C$907,MAX(K635+1,L635))</x:f>
        <x:v>46756</x:v>
      </x:c>
      <x:c r="R635" s="15" t="n">
        <x:v>9048</x:v>
      </x:c>
      <x:c r="S635" s="15"/>
      <x:c r="T635" s="15" t="n">
        <x:f>R635/J635</x:f>
        <x:v>3016</x:v>
      </x:c>
    </x:row>
    <x:row r="636" ht="23" customHeight="1">
      <x:c r="A636" s="6" t="str">
        <x:v>T5-L05-T</x:v>
      </x:c>
      <x:c r="B636" s="6" t="str">
        <x:v>T5</x:v>
      </x:c>
      <x:c r="C636" s="6" t="str">
        <x:v>L05</x:v>
      </x:c>
      <x:c r="D636" s="6" t="str">
        <x:v>Floor finishes and skirtings</x:v>
      </x:c>
      <x:c r="E636" s="6" t="str">
        <x:v>Finishes</x:v>
      </x:c>
      <x:c r="F636" s="14" t="n">
        <x:v>696</x:v>
      </x:c>
      <x:c r="G636" s="6" t="str">
        <x:v>m2</x:v>
      </x:c>
      <x:c r="H636" s="16" t="n">
        <x:v>130</x:v>
      </x:c>
      <x:c r="I636" s="16" t="n">
        <x:v>8</x:v>
      </x:c>
      <x:c r="J636" s="16" t="n">
        <x:f>ROUNDUP(F636/H636,0)</x:f>
        <x:v>6</x:v>
      </x:c>
      <x:c r="K636" s="6" t="n">
        <x:f>MAX(L635+14,L602+0)</x:f>
        <x:v>449</x:v>
      </x:c>
      <x:c r="L636" s="6" t="n">
        <x:f>K636+J636</x:f>
        <x:v>455</x:v>
      </x:c>
      <x:c r="M636" s="6" t="n">
        <x:f>N636-J636</x:f>
        <x:v>466</x:v>
      </x:c>
      <x:c r="N636" s="6" t="n">
        <x:f>MIN(M637-2)</x:f>
        <x:v>472</x:v>
      </x:c>
      <x:c r="O636" s="6" t="n">
        <x:f>M636-K636</x:f>
        <x:v>17</x:v>
      </x:c>
      <x:c r="P636" s="18" t="n">
        <x:f>INDEX('Calendar'!$C$8:$C$907,K636+1)</x:f>
        <x:v>46851</x:v>
      </x:c>
      <x:c r="Q636" s="18" t="n">
        <x:f>INDEX('Calendar'!$C$8:$C$907,MAX(K636+1,L636))</x:f>
        <x:v>46857</x:v>
      </x:c>
      <x:c r="R636" s="14" t="n">
        <x:v>24012</x:v>
      </x:c>
      <x:c r="S636" s="14"/>
      <x:c r="T636" s="14" t="n">
        <x:f>R636/J636</x:f>
        <x:v>4002</x:v>
      </x:c>
    </x:row>
    <x:row r="637" ht="23" customHeight="1">
      <x:c r="A637" s="1" t="str">
        <x:v>T5-L05-A</x:v>
      </x:c>
      <x:c r="B637" s="1" t="str">
        <x:v>T5</x:v>
      </x:c>
      <x:c r="C637" s="1" t="str">
        <x:v>L05</x:v>
      </x:c>
      <x:c r="D637" s="1" t="str">
        <x:v>Paint and final decorations</x:v>
      </x:c>
      <x:c r="E637" s="1" t="str">
        <x:v>Finishes</x:v>
      </x:c>
      <x:c r="F637" s="15" t="n">
        <x:v>1205.3600000000004</x:v>
      </x:c>
      <x:c r="G637" s="1" t="str">
        <x:v>m2</x:v>
      </x:c>
      <x:c r="H637" s="17" t="n">
        <x:v>270</x:v>
      </x:c>
      <x:c r="I637" s="17" t="n">
        <x:v>8</x:v>
      </x:c>
      <x:c r="J637" s="17" t="n">
        <x:f>ROUNDUP(F637/H637,0)</x:f>
        <x:v>5</x:v>
      </x:c>
      <x:c r="K637" s="1" t="n">
        <x:f>MAX(L636+2)</x:f>
        <x:v>457</x:v>
      </x:c>
      <x:c r="L637" s="1" t="n">
        <x:f>K637+J637</x:f>
        <x:v>462</x:v>
      </x:c>
      <x:c r="M637" s="1" t="n">
        <x:f>N637-J637</x:f>
        <x:v>474</x:v>
      </x:c>
      <x:c r="N637" s="1" t="n">
        <x:f>MIN(M638-0)</x:f>
        <x:v>479</x:v>
      </x:c>
      <x:c r="O637" s="1" t="n">
        <x:f>M637-K637</x:f>
        <x:v>17</x:v>
      </x:c>
      <x:c r="P637" s="19" t="n">
        <x:f>INDEX('Calendar'!$C$8:$C$907,K637+1)</x:f>
        <x:v>46861</x:v>
      </x:c>
      <x:c r="Q637" s="19" t="n">
        <x:f>INDEX('Calendar'!$C$8:$C$907,MAX(K637+1,L637))</x:f>
        <x:v>46865</x:v>
      </x:c>
      <x:c r="R637" s="15" t="n">
        <x:v>10245.560000000003</x:v>
      </x:c>
      <x:c r="S637" s="15"/>
      <x:c r="T637" s="15" t="n">
        <x:f>R637/J637</x:f>
        <x:v>2049.1120000000005</x:v>
      </x:c>
    </x:row>
    <x:row r="638" ht="23" customHeight="1">
      <x:c r="A638" s="6" t="str">
        <x:v>T5-L05-D</x:v>
      </x:c>
      <x:c r="B638" s="6" t="str">
        <x:v>T5</x:v>
      </x:c>
      <x:c r="C638" s="6" t="str">
        <x:v>L05</x:v>
      </x:c>
      <x:c r="D638" s="6" t="str">
        <x:v>Door sets and ironmongery</x:v>
      </x:c>
      <x:c r="E638" s="6" t="str">
        <x:v>Finishes</x:v>
      </x:c>
      <x:c r="F638" s="14" t="n">
        <x:v>28</x:v>
      </x:c>
      <x:c r="G638" s="6" t="str">
        <x:v>nr</x:v>
      </x:c>
      <x:c r="H638" s="16" t="n">
        <x:v>10</x:v>
      </x:c>
      <x:c r="I638" s="16" t="n">
        <x:v>4</x:v>
      </x:c>
      <x:c r="J638" s="16" t="n">
        <x:f>ROUNDUP(F638/H638,0)</x:f>
        <x:v>3</x:v>
      </x:c>
      <x:c r="K638" s="6" t="n">
        <x:f>MAX(L637+0)</x:f>
        <x:v>462</x:v>
      </x:c>
      <x:c r="L638" s="6" t="n">
        <x:f>K638+J638</x:f>
        <x:v>465</x:v>
      </x:c>
      <x:c r="M638" s="6" t="n">
        <x:f>N638-J638</x:f>
        <x:v>479</x:v>
      </x:c>
      <x:c r="N638" s="6" t="n">
        <x:f>MIN(M816-0)</x:f>
        <x:v>482</x:v>
      </x:c>
      <x:c r="O638" s="6" t="n">
        <x:f>M638-K638</x:f>
        <x:v>17</x:v>
      </x:c>
      <x:c r="P638" s="18" t="n">
        <x:f>INDEX('Calendar'!$C$8:$C$907,K638+1)</x:f>
        <x:v>46867</x:v>
      </x:c>
      <x:c r="Q638" s="18" t="n">
        <x:f>INDEX('Calendar'!$C$8:$C$907,MAX(K638+1,L638))</x:f>
        <x:v>46869</x:v>
      </x:c>
      <x:c r="R638" s="14" t="n">
        <x:v>5796</x:v>
      </x:c>
      <x:c r="S638" s="14"/>
      <x:c r="T638" s="14" t="n">
        <x:f>R638/J638</x:f>
        <x:v>1932</x:v>
      </x:c>
    </x:row>
    <x:row r="639" ht="23" customHeight="1">
      <x:c r="A639" s="1" t="str">
        <x:v>T5-L06-M</x:v>
      </x:c>
      <x:c r="B639" s="1" t="str">
        <x:v>T5</x:v>
      </x:c>
      <x:c r="C639" s="1" t="str">
        <x:v>L06</x:v>
      </x:c>
      <x:c r="D639" s="1" t="str">
        <x:v>Partition masonry</x:v>
      </x:c>
      <x:c r="E639" s="1" t="str">
        <x:v>Masonry</x:v>
      </x:c>
      <x:c r="F639" s="15" t="n">
        <x:v>90.40200000000002</x:v>
      </x:c>
      <x:c r="G639" s="1" t="str">
        <x:v>m3</x:v>
      </x:c>
      <x:c r="H639" s="17" t="n">
        <x:v>22</x:v>
      </x:c>
      <x:c r="I639" s="17" t="n">
        <x:v>10</x:v>
      </x:c>
      <x:c r="J639" s="17" t="n">
        <x:f>ROUNDUP(F639/H639,0)</x:f>
        <x:v>5</x:v>
      </x:c>
      <x:c r="K639" s="1" t="n">
        <x:f>MAX(L587+5)</x:f>
        <x:v>367</x:v>
      </x:c>
      <x:c r="L639" s="1" t="n">
        <x:f>K639+J639</x:f>
        <x:v>372</x:v>
      </x:c>
      <x:c r="M639" s="1" t="n">
        <x:f>N639-J639</x:f>
        <x:v>433</x:v>
      </x:c>
      <x:c r="N639" s="1" t="n">
        <x:f>MIN(M640-3)</x:f>
        <x:v>438</x:v>
      </x:c>
      <x:c r="O639" s="1" t="n">
        <x:f>M639-K639</x:f>
        <x:v>66</x:v>
      </x:c>
      <x:c r="P639" s="19" t="n">
        <x:f>INDEX('Calendar'!$C$8:$C$907,K639+1)</x:f>
        <x:v>46756</x:v>
      </x:c>
      <x:c r="Q639" s="19" t="n">
        <x:f>INDEX('Calendar'!$C$8:$C$907,MAX(K639+1,L639))</x:f>
        <x:v>46760</x:v>
      </x:c>
      <x:c r="R639" s="15" t="n">
        <x:v>12204.27</x:v>
      </x:c>
      <x:c r="S639" s="15"/>
      <x:c r="T639" s="15" t="n">
        <x:f>R639/J639</x:f>
        <x:v>2440.8540000000003</x:v>
      </x:c>
    </x:row>
    <x:row r="640" ht="23" customHeight="1">
      <x:c r="A640" s="6" t="str">
        <x:v>T5-L06-P</x:v>
      </x:c>
      <x:c r="B640" s="6" t="str">
        <x:v>T5</x:v>
      </x:c>
      <x:c r="C640" s="6" t="str">
        <x:v>L06</x:v>
      </x:c>
      <x:c r="D640" s="6" t="str">
        <x:v>Internal plaster</x:v>
      </x:c>
      <x:c r="E640" s="6" t="str">
        <x:v>Finishes</x:v>
      </x:c>
      <x:c r="F640" s="14" t="n">
        <x:v>1205.3600000000006</x:v>
      </x:c>
      <x:c r="G640" s="6" t="str">
        <x:v>m2</x:v>
      </x:c>
      <x:c r="H640" s="16" t="n">
        <x:v>220</x:v>
      </x:c>
      <x:c r="I640" s="16" t="n">
        <x:v>10</x:v>
      </x:c>
      <x:c r="J640" s="16" t="n">
        <x:f>ROUNDUP(F640/H640,0)</x:f>
        <x:v>6</x:v>
      </x:c>
      <x:c r="K640" s="6" t="n">
        <x:f>MAX(L639+3)</x:f>
        <x:v>375</x:v>
      </x:c>
      <x:c r="L640" s="6" t="n">
        <x:f>K640+J640</x:f>
        <x:v>381</x:v>
      </x:c>
      <x:c r="M640" s="6" t="n">
        <x:f>N640-J640</x:f>
        <x:v>441</x:v>
      </x:c>
      <x:c r="N640" s="6" t="n">
        <x:f>MIN(M641-2)</x:f>
        <x:v>447</x:v>
      </x:c>
      <x:c r="O640" s="6" t="n">
        <x:f>M640-K640</x:f>
        <x:v>66</x:v>
      </x:c>
      <x:c r="P640" s="18" t="n">
        <x:f>INDEX('Calendar'!$C$8:$C$907,K640+1)</x:f>
        <x:v>46765</x:v>
      </x:c>
      <x:c r="Q640" s="18" t="n">
        <x:f>INDEX('Calendar'!$C$8:$C$907,MAX(K640+1,L640))</x:f>
        <x:v>46771</x:v>
      </x:c>
      <x:c r="R640" s="14" t="n">
        <x:v>15067.000000000005</x:v>
      </x:c>
      <x:c r="S640" s="14"/>
      <x:c r="T640" s="14" t="n">
        <x:f>R640/J640</x:f>
        <x:v>2511.1666666666674</x:v>
      </x:c>
    </x:row>
    <x:row r="641" ht="23" customHeight="1">
      <x:c r="A641" s="1" t="str">
        <x:v>T5-L06-S</x:v>
      </x:c>
      <x:c r="B641" s="1" t="str">
        <x:v>T5</x:v>
      </x:c>
      <x:c r="C641" s="1" t="str">
        <x:v>L06</x:v>
      </x:c>
      <x:c r="D641" s="1" t="str">
        <x:v>Screed and substrate preparation</x:v>
      </x:c>
      <x:c r="E641" s="1" t="str">
        <x:v>Finishes</x:v>
      </x:c>
      <x:c r="F641" s="15" t="n">
        <x:v>696</x:v>
      </x:c>
      <x:c r="G641" s="1" t="str">
        <x:v>m2</x:v>
      </x:c>
      <x:c r="H641" s="17" t="n">
        <x:v>240</x:v>
      </x:c>
      <x:c r="I641" s="17" t="n">
        <x:v>8</x:v>
      </x:c>
      <x:c r="J641" s="17" t="n">
        <x:f>ROUNDUP(F641/H641,0)</x:f>
        <x:v>3</x:v>
      </x:c>
      <x:c r="K641" s="1" t="n">
        <x:f>MAX(L640+2)</x:f>
        <x:v>383</x:v>
      </x:c>
      <x:c r="L641" s="1" t="n">
        <x:f>K641+J641</x:f>
        <x:v>386</x:v>
      </x:c>
      <x:c r="M641" s="1" t="n">
        <x:f>N641-J641</x:f>
        <x:v>449</x:v>
      </x:c>
      <x:c r="N641" s="1" t="n">
        <x:f>MIN(M642-14)</x:f>
        <x:v>452</x:v>
      </x:c>
      <x:c r="O641" s="1" t="n">
        <x:f>M641-K641</x:f>
        <x:v>66</x:v>
      </x:c>
      <x:c r="P641" s="19" t="n">
        <x:f>INDEX('Calendar'!$C$8:$C$907,K641+1)</x:f>
        <x:v>46774</x:v>
      </x:c>
      <x:c r="Q641" s="19" t="n">
        <x:f>INDEX('Calendar'!$C$8:$C$907,MAX(K641+1,L641))</x:f>
        <x:v>46777</x:v>
      </x:c>
      <x:c r="R641" s="15" t="n">
        <x:v>9048</x:v>
      </x:c>
      <x:c r="S641" s="15"/>
      <x:c r="T641" s="15" t="n">
        <x:f>R641/J641</x:f>
        <x:v>3016</x:v>
      </x:c>
    </x:row>
    <x:row r="642" ht="23" customHeight="1">
      <x:c r="A642" s="6" t="str">
        <x:v>T5-L06-T</x:v>
      </x:c>
      <x:c r="B642" s="6" t="str">
        <x:v>T5</x:v>
      </x:c>
      <x:c r="C642" s="6" t="str">
        <x:v>L06</x:v>
      </x:c>
      <x:c r="D642" s="6" t="str">
        <x:v>Floor finishes and skirtings</x:v>
      </x:c>
      <x:c r="E642" s="6" t="str">
        <x:v>Finishes</x:v>
      </x:c>
      <x:c r="F642" s="14" t="n">
        <x:v>696</x:v>
      </x:c>
      <x:c r="G642" s="6" t="str">
        <x:v>m2</x:v>
      </x:c>
      <x:c r="H642" s="16" t="n">
        <x:v>130</x:v>
      </x:c>
      <x:c r="I642" s="16" t="n">
        <x:v>8</x:v>
      </x:c>
      <x:c r="J642" s="16" t="n">
        <x:f>ROUNDUP(F642/H642,0)</x:f>
        <x:v>6</x:v>
      </x:c>
      <x:c r="K642" s="6" t="n">
        <x:f>MAX(L641+14,L602+0)</x:f>
        <x:v>449</x:v>
      </x:c>
      <x:c r="L642" s="6" t="n">
        <x:f>K642+J642</x:f>
        <x:v>455</x:v>
      </x:c>
      <x:c r="M642" s="6" t="n">
        <x:f>N642-J642</x:f>
        <x:v>466</x:v>
      </x:c>
      <x:c r="N642" s="6" t="n">
        <x:f>MIN(M643-2)</x:f>
        <x:v>472</x:v>
      </x:c>
      <x:c r="O642" s="6" t="n">
        <x:f>M642-K642</x:f>
        <x:v>17</x:v>
      </x:c>
      <x:c r="P642" s="18" t="n">
        <x:f>INDEX('Calendar'!$C$8:$C$907,K642+1)</x:f>
        <x:v>46851</x:v>
      </x:c>
      <x:c r="Q642" s="18" t="n">
        <x:f>INDEX('Calendar'!$C$8:$C$907,MAX(K642+1,L642))</x:f>
        <x:v>46857</x:v>
      </x:c>
      <x:c r="R642" s="14" t="n">
        <x:v>24012</x:v>
      </x:c>
      <x:c r="S642" s="14"/>
      <x:c r="T642" s="14" t="n">
        <x:f>R642/J642</x:f>
        <x:v>4002</x:v>
      </x:c>
    </x:row>
    <x:row r="643" ht="23" customHeight="1">
      <x:c r="A643" s="1" t="str">
        <x:v>T5-L06-A</x:v>
      </x:c>
      <x:c r="B643" s="1" t="str">
        <x:v>T5</x:v>
      </x:c>
      <x:c r="C643" s="1" t="str">
        <x:v>L06</x:v>
      </x:c>
      <x:c r="D643" s="1" t="str">
        <x:v>Paint and final decorations</x:v>
      </x:c>
      <x:c r="E643" s="1" t="str">
        <x:v>Finishes</x:v>
      </x:c>
      <x:c r="F643" s="15" t="n">
        <x:v>1205.3600000000004</x:v>
      </x:c>
      <x:c r="G643" s="1" t="str">
        <x:v>m2</x:v>
      </x:c>
      <x:c r="H643" s="17" t="n">
        <x:v>270</x:v>
      </x:c>
      <x:c r="I643" s="17" t="n">
        <x:v>8</x:v>
      </x:c>
      <x:c r="J643" s="17" t="n">
        <x:f>ROUNDUP(F643/H643,0)</x:f>
        <x:v>5</x:v>
      </x:c>
      <x:c r="K643" s="1" t="n">
        <x:f>MAX(L642+2)</x:f>
        <x:v>457</x:v>
      </x:c>
      <x:c r="L643" s="1" t="n">
        <x:f>K643+J643</x:f>
        <x:v>462</x:v>
      </x:c>
      <x:c r="M643" s="1" t="n">
        <x:f>N643-J643</x:f>
        <x:v>474</x:v>
      </x:c>
      <x:c r="N643" s="1" t="n">
        <x:f>MIN(M644-0)</x:f>
        <x:v>479</x:v>
      </x:c>
      <x:c r="O643" s="1" t="n">
        <x:f>M643-K643</x:f>
        <x:v>17</x:v>
      </x:c>
      <x:c r="P643" s="19" t="n">
        <x:f>INDEX('Calendar'!$C$8:$C$907,K643+1)</x:f>
        <x:v>46861</x:v>
      </x:c>
      <x:c r="Q643" s="19" t="n">
        <x:f>INDEX('Calendar'!$C$8:$C$907,MAX(K643+1,L643))</x:f>
        <x:v>46865</x:v>
      </x:c>
      <x:c r="R643" s="15" t="n">
        <x:v>10245.560000000003</x:v>
      </x:c>
      <x:c r="S643" s="15"/>
      <x:c r="T643" s="15" t="n">
        <x:f>R643/J643</x:f>
        <x:v>2049.1120000000005</x:v>
      </x:c>
    </x:row>
    <x:row r="644" ht="23" customHeight="1">
      <x:c r="A644" s="6" t="str">
        <x:v>T5-L06-D</x:v>
      </x:c>
      <x:c r="B644" s="6" t="str">
        <x:v>T5</x:v>
      </x:c>
      <x:c r="C644" s="6" t="str">
        <x:v>L06</x:v>
      </x:c>
      <x:c r="D644" s="6" t="str">
        <x:v>Door sets and ironmongery</x:v>
      </x:c>
      <x:c r="E644" s="6" t="str">
        <x:v>Finishes</x:v>
      </x:c>
      <x:c r="F644" s="14" t="n">
        <x:v>28</x:v>
      </x:c>
      <x:c r="G644" s="6" t="str">
        <x:v>nr</x:v>
      </x:c>
      <x:c r="H644" s="16" t="n">
        <x:v>10</x:v>
      </x:c>
      <x:c r="I644" s="16" t="n">
        <x:v>4</x:v>
      </x:c>
      <x:c r="J644" s="16" t="n">
        <x:f>ROUNDUP(F644/H644,0)</x:f>
        <x:v>3</x:v>
      </x:c>
      <x:c r="K644" s="6" t="n">
        <x:f>MAX(L643+0)</x:f>
        <x:v>462</x:v>
      </x:c>
      <x:c r="L644" s="6" t="n">
        <x:f>K644+J644</x:f>
        <x:v>465</x:v>
      </x:c>
      <x:c r="M644" s="6" t="n">
        <x:f>N644-J644</x:f>
        <x:v>479</x:v>
      </x:c>
      <x:c r="N644" s="6" t="n">
        <x:f>MIN(M816-0)</x:f>
        <x:v>482</x:v>
      </x:c>
      <x:c r="O644" s="6" t="n">
        <x:f>M644-K644</x:f>
        <x:v>17</x:v>
      </x:c>
      <x:c r="P644" s="18" t="n">
        <x:f>INDEX('Calendar'!$C$8:$C$907,K644+1)</x:f>
        <x:v>46867</x:v>
      </x:c>
      <x:c r="Q644" s="18" t="n">
        <x:f>INDEX('Calendar'!$C$8:$C$907,MAX(K644+1,L644))</x:f>
        <x:v>46869</x:v>
      </x:c>
      <x:c r="R644" s="14" t="n">
        <x:v>5796</x:v>
      </x:c>
      <x:c r="S644" s="14"/>
      <x:c r="T644" s="14" t="n">
        <x:f>R644/J644</x:f>
        <x:v>1932</x:v>
      </x:c>
    </x:row>
    <x:row r="645" ht="23" customHeight="1">
      <x:c r="A645" s="1" t="str">
        <x:v>T5-L07-M</x:v>
      </x:c>
      <x:c r="B645" s="1" t="str">
        <x:v>T5</x:v>
      </x:c>
      <x:c r="C645" s="1" t="str">
        <x:v>L07</x:v>
      </x:c>
      <x:c r="D645" s="1" t="str">
        <x:v>Partition masonry</x:v>
      </x:c>
      <x:c r="E645" s="1" t="str">
        <x:v>Masonry</x:v>
      </x:c>
      <x:c r="F645" s="15" t="n">
        <x:v>90.40200000000002</x:v>
      </x:c>
      <x:c r="G645" s="1" t="str">
        <x:v>m3</x:v>
      </x:c>
      <x:c r="H645" s="17" t="n">
        <x:v>22</x:v>
      </x:c>
      <x:c r="I645" s="17" t="n">
        <x:v>10</x:v>
      </x:c>
      <x:c r="J645" s="17" t="n">
        <x:f>ROUNDUP(F645/H645,0)</x:f>
        <x:v>5</x:v>
      </x:c>
      <x:c r="K645" s="1" t="n">
        <x:f>MAX(L591+5)</x:f>
        <x:v>385</x:v>
      </x:c>
      <x:c r="L645" s="1" t="n">
        <x:f>K645+J645</x:f>
        <x:v>390</x:v>
      </x:c>
      <x:c r="M645" s="1" t="n">
        <x:f>N645-J645</x:f>
        <x:v>433</x:v>
      </x:c>
      <x:c r="N645" s="1" t="n">
        <x:f>MIN(M646-3)</x:f>
        <x:v>438</x:v>
      </x:c>
      <x:c r="O645" s="1" t="n">
        <x:f>M645-K645</x:f>
        <x:v>48</x:v>
      </x:c>
      <x:c r="P645" s="19" t="n">
        <x:f>INDEX('Calendar'!$C$8:$C$907,K645+1)</x:f>
        <x:v>46777</x:v>
      </x:c>
      <x:c r="Q645" s="19" t="n">
        <x:f>INDEX('Calendar'!$C$8:$C$907,MAX(K645+1,L645))</x:f>
        <x:v>46781</x:v>
      </x:c>
      <x:c r="R645" s="15" t="n">
        <x:v>12204.27</x:v>
      </x:c>
      <x:c r="S645" s="15"/>
      <x:c r="T645" s="15" t="n">
        <x:f>R645/J645</x:f>
        <x:v>2440.8540000000003</x:v>
      </x:c>
    </x:row>
    <x:row r="646" ht="23" customHeight="1">
      <x:c r="A646" s="6" t="str">
        <x:v>T5-L07-P</x:v>
      </x:c>
      <x:c r="B646" s="6" t="str">
        <x:v>T5</x:v>
      </x:c>
      <x:c r="C646" s="6" t="str">
        <x:v>L07</x:v>
      </x:c>
      <x:c r="D646" s="6" t="str">
        <x:v>Internal plaster</x:v>
      </x:c>
      <x:c r="E646" s="6" t="str">
        <x:v>Finishes</x:v>
      </x:c>
      <x:c r="F646" s="14" t="n">
        <x:v>1205.3600000000006</x:v>
      </x:c>
      <x:c r="G646" s="6" t="str">
        <x:v>m2</x:v>
      </x:c>
      <x:c r="H646" s="16" t="n">
        <x:v>220</x:v>
      </x:c>
      <x:c r="I646" s="16" t="n">
        <x:v>10</x:v>
      </x:c>
      <x:c r="J646" s="16" t="n">
        <x:f>ROUNDUP(F646/H646,0)</x:f>
        <x:v>6</x:v>
      </x:c>
      <x:c r="K646" s="6" t="n">
        <x:f>MAX(L645+3)</x:f>
        <x:v>393</x:v>
      </x:c>
      <x:c r="L646" s="6" t="n">
        <x:f>K646+J646</x:f>
        <x:v>399</x:v>
      </x:c>
      <x:c r="M646" s="6" t="n">
        <x:f>N646-J646</x:f>
        <x:v>441</x:v>
      </x:c>
      <x:c r="N646" s="6" t="n">
        <x:f>MIN(M647-2)</x:f>
        <x:v>447</x:v>
      </x:c>
      <x:c r="O646" s="6" t="n">
        <x:f>M646-K646</x:f>
        <x:v>48</x:v>
      </x:c>
      <x:c r="P646" s="18" t="n">
        <x:f>INDEX('Calendar'!$C$8:$C$907,K646+1)</x:f>
        <x:v>46786</x:v>
      </x:c>
      <x:c r="Q646" s="18" t="n">
        <x:f>INDEX('Calendar'!$C$8:$C$907,MAX(K646+1,L646))</x:f>
        <x:v>46792</x:v>
      </x:c>
      <x:c r="R646" s="14" t="n">
        <x:v>15067.000000000005</x:v>
      </x:c>
      <x:c r="S646" s="14"/>
      <x:c r="T646" s="14" t="n">
        <x:f>R646/J646</x:f>
        <x:v>2511.1666666666674</x:v>
      </x:c>
    </x:row>
    <x:row r="647" ht="23" customHeight="1">
      <x:c r="A647" s="1" t="str">
        <x:v>T5-L07-S</x:v>
      </x:c>
      <x:c r="B647" s="1" t="str">
        <x:v>T5</x:v>
      </x:c>
      <x:c r="C647" s="1" t="str">
        <x:v>L07</x:v>
      </x:c>
      <x:c r="D647" s="1" t="str">
        <x:v>Screed and substrate preparation</x:v>
      </x:c>
      <x:c r="E647" s="1" t="str">
        <x:v>Finishes</x:v>
      </x:c>
      <x:c r="F647" s="15" t="n">
        <x:v>696</x:v>
      </x:c>
      <x:c r="G647" s="1" t="str">
        <x:v>m2</x:v>
      </x:c>
      <x:c r="H647" s="17" t="n">
        <x:v>240</x:v>
      </x:c>
      <x:c r="I647" s="17" t="n">
        <x:v>8</x:v>
      </x:c>
      <x:c r="J647" s="17" t="n">
        <x:f>ROUNDUP(F647/H647,0)</x:f>
        <x:v>3</x:v>
      </x:c>
      <x:c r="K647" s="1" t="n">
        <x:f>MAX(L646+2)</x:f>
        <x:v>401</x:v>
      </x:c>
      <x:c r="L647" s="1" t="n">
        <x:f>K647+J647</x:f>
        <x:v>404</x:v>
      </x:c>
      <x:c r="M647" s="1" t="n">
        <x:f>N647-J647</x:f>
        <x:v>449</x:v>
      </x:c>
      <x:c r="N647" s="1" t="n">
        <x:f>MIN(M648-14)</x:f>
        <x:v>452</x:v>
      </x:c>
      <x:c r="O647" s="1" t="n">
        <x:f>M647-K647</x:f>
        <x:v>48</x:v>
      </x:c>
      <x:c r="P647" s="19" t="n">
        <x:f>INDEX('Calendar'!$C$8:$C$907,K647+1)</x:f>
        <x:v>46795</x:v>
      </x:c>
      <x:c r="Q647" s="19" t="n">
        <x:f>INDEX('Calendar'!$C$8:$C$907,MAX(K647+1,L647))</x:f>
        <x:v>46798</x:v>
      </x:c>
      <x:c r="R647" s="15" t="n">
        <x:v>9048</x:v>
      </x:c>
      <x:c r="S647" s="15"/>
      <x:c r="T647" s="15" t="n">
        <x:f>R647/J647</x:f>
        <x:v>3016</x:v>
      </x:c>
    </x:row>
    <x:row r="648" ht="23" customHeight="1">
      <x:c r="A648" s="6" t="str">
        <x:v>T5-L07-T</x:v>
      </x:c>
      <x:c r="B648" s="6" t="str">
        <x:v>T5</x:v>
      </x:c>
      <x:c r="C648" s="6" t="str">
        <x:v>L07</x:v>
      </x:c>
      <x:c r="D648" s="6" t="str">
        <x:v>Floor finishes and skirtings</x:v>
      </x:c>
      <x:c r="E648" s="6" t="str">
        <x:v>Finishes</x:v>
      </x:c>
      <x:c r="F648" s="14" t="n">
        <x:v>696</x:v>
      </x:c>
      <x:c r="G648" s="6" t="str">
        <x:v>m2</x:v>
      </x:c>
      <x:c r="H648" s="16" t="n">
        <x:v>130</x:v>
      </x:c>
      <x:c r="I648" s="16" t="n">
        <x:v>8</x:v>
      </x:c>
      <x:c r="J648" s="16" t="n">
        <x:f>ROUNDUP(F648/H648,0)</x:f>
        <x:v>6</x:v>
      </x:c>
      <x:c r="K648" s="6" t="n">
        <x:f>MAX(L647+14,L602+0)</x:f>
        <x:v>449</x:v>
      </x:c>
      <x:c r="L648" s="6" t="n">
        <x:f>K648+J648</x:f>
        <x:v>455</x:v>
      </x:c>
      <x:c r="M648" s="6" t="n">
        <x:f>N648-J648</x:f>
        <x:v>466</x:v>
      </x:c>
      <x:c r="N648" s="6" t="n">
        <x:f>MIN(M649-2)</x:f>
        <x:v>472</x:v>
      </x:c>
      <x:c r="O648" s="6" t="n">
        <x:f>M648-K648</x:f>
        <x:v>17</x:v>
      </x:c>
      <x:c r="P648" s="18" t="n">
        <x:f>INDEX('Calendar'!$C$8:$C$907,K648+1)</x:f>
        <x:v>46851</x:v>
      </x:c>
      <x:c r="Q648" s="18" t="n">
        <x:f>INDEX('Calendar'!$C$8:$C$907,MAX(K648+1,L648))</x:f>
        <x:v>46857</x:v>
      </x:c>
      <x:c r="R648" s="14" t="n">
        <x:v>24012</x:v>
      </x:c>
      <x:c r="S648" s="14"/>
      <x:c r="T648" s="14" t="n">
        <x:f>R648/J648</x:f>
        <x:v>4002</x:v>
      </x:c>
    </x:row>
    <x:row r="649" ht="23" customHeight="1">
      <x:c r="A649" s="1" t="str">
        <x:v>T5-L07-A</x:v>
      </x:c>
      <x:c r="B649" s="1" t="str">
        <x:v>T5</x:v>
      </x:c>
      <x:c r="C649" s="1" t="str">
        <x:v>L07</x:v>
      </x:c>
      <x:c r="D649" s="1" t="str">
        <x:v>Paint and final decorations</x:v>
      </x:c>
      <x:c r="E649" s="1" t="str">
        <x:v>Finishes</x:v>
      </x:c>
      <x:c r="F649" s="15" t="n">
        <x:v>1205.3600000000004</x:v>
      </x:c>
      <x:c r="G649" s="1" t="str">
        <x:v>m2</x:v>
      </x:c>
      <x:c r="H649" s="17" t="n">
        <x:v>270</x:v>
      </x:c>
      <x:c r="I649" s="17" t="n">
        <x:v>8</x:v>
      </x:c>
      <x:c r="J649" s="17" t="n">
        <x:f>ROUNDUP(F649/H649,0)</x:f>
        <x:v>5</x:v>
      </x:c>
      <x:c r="K649" s="1" t="n">
        <x:f>MAX(L648+2)</x:f>
        <x:v>457</x:v>
      </x:c>
      <x:c r="L649" s="1" t="n">
        <x:f>K649+J649</x:f>
        <x:v>462</x:v>
      </x:c>
      <x:c r="M649" s="1" t="n">
        <x:f>N649-J649</x:f>
        <x:v>474</x:v>
      </x:c>
      <x:c r="N649" s="1" t="n">
        <x:f>MIN(M650-0)</x:f>
        <x:v>479</x:v>
      </x:c>
      <x:c r="O649" s="1" t="n">
        <x:f>M649-K649</x:f>
        <x:v>17</x:v>
      </x:c>
      <x:c r="P649" s="19" t="n">
        <x:f>INDEX('Calendar'!$C$8:$C$907,K649+1)</x:f>
        <x:v>46861</x:v>
      </x:c>
      <x:c r="Q649" s="19" t="n">
        <x:f>INDEX('Calendar'!$C$8:$C$907,MAX(K649+1,L649))</x:f>
        <x:v>46865</x:v>
      </x:c>
      <x:c r="R649" s="15" t="n">
        <x:v>10245.560000000003</x:v>
      </x:c>
      <x:c r="S649" s="15"/>
      <x:c r="T649" s="15" t="n">
        <x:f>R649/J649</x:f>
        <x:v>2049.1120000000005</x:v>
      </x:c>
    </x:row>
    <x:row r="650" ht="23" customHeight="1">
      <x:c r="A650" s="6" t="str">
        <x:v>T5-L07-D</x:v>
      </x:c>
      <x:c r="B650" s="6" t="str">
        <x:v>T5</x:v>
      </x:c>
      <x:c r="C650" s="6" t="str">
        <x:v>L07</x:v>
      </x:c>
      <x:c r="D650" s="6" t="str">
        <x:v>Door sets and ironmongery</x:v>
      </x:c>
      <x:c r="E650" s="6" t="str">
        <x:v>Finishes</x:v>
      </x:c>
      <x:c r="F650" s="14" t="n">
        <x:v>28</x:v>
      </x:c>
      <x:c r="G650" s="6" t="str">
        <x:v>nr</x:v>
      </x:c>
      <x:c r="H650" s="16" t="n">
        <x:v>10</x:v>
      </x:c>
      <x:c r="I650" s="16" t="n">
        <x:v>4</x:v>
      </x:c>
      <x:c r="J650" s="16" t="n">
        <x:f>ROUNDUP(F650/H650,0)</x:f>
        <x:v>3</x:v>
      </x:c>
      <x:c r="K650" s="6" t="n">
        <x:f>MAX(L649+0)</x:f>
        <x:v>462</x:v>
      </x:c>
      <x:c r="L650" s="6" t="n">
        <x:f>K650+J650</x:f>
        <x:v>465</x:v>
      </x:c>
      <x:c r="M650" s="6" t="n">
        <x:f>N650-J650</x:f>
        <x:v>479</x:v>
      </x:c>
      <x:c r="N650" s="6" t="n">
        <x:f>MIN(M816-0)</x:f>
        <x:v>482</x:v>
      </x:c>
      <x:c r="O650" s="6" t="n">
        <x:f>M650-K650</x:f>
        <x:v>17</x:v>
      </x:c>
      <x:c r="P650" s="18" t="n">
        <x:f>INDEX('Calendar'!$C$8:$C$907,K650+1)</x:f>
        <x:v>46867</x:v>
      </x:c>
      <x:c r="Q650" s="18" t="n">
        <x:f>INDEX('Calendar'!$C$8:$C$907,MAX(K650+1,L650))</x:f>
        <x:v>46869</x:v>
      </x:c>
      <x:c r="R650" s="14" t="n">
        <x:v>5796</x:v>
      </x:c>
      <x:c r="S650" s="14"/>
      <x:c r="T650" s="14" t="n">
        <x:f>R650/J650</x:f>
        <x:v>1932</x:v>
      </x:c>
    </x:row>
    <x:row r="651" ht="23" customHeight="1">
      <x:c r="A651" s="1" t="str">
        <x:v>T5-L08-M</x:v>
      </x:c>
      <x:c r="B651" s="1" t="str">
        <x:v>T5</x:v>
      </x:c>
      <x:c r="C651" s="1" t="str">
        <x:v>L08</x:v>
      </x:c>
      <x:c r="D651" s="1" t="str">
        <x:v>Partition masonry</x:v>
      </x:c>
      <x:c r="E651" s="1" t="str">
        <x:v>Masonry</x:v>
      </x:c>
      <x:c r="F651" s="15" t="n">
        <x:v>90.40200000000002</x:v>
      </x:c>
      <x:c r="G651" s="1" t="str">
        <x:v>m3</x:v>
      </x:c>
      <x:c r="H651" s="17" t="n">
        <x:v>22</x:v>
      </x:c>
      <x:c r="I651" s="17" t="n">
        <x:v>10</x:v>
      </x:c>
      <x:c r="J651" s="17" t="n">
        <x:f>ROUNDUP(F651/H651,0)</x:f>
        <x:v>5</x:v>
      </x:c>
      <x:c r="K651" s="1" t="n">
        <x:f>MAX(L595+5)</x:f>
        <x:v>403</x:v>
      </x:c>
      <x:c r="L651" s="1" t="n">
        <x:f>K651+J651</x:f>
        <x:v>408</x:v>
      </x:c>
      <x:c r="M651" s="1" t="n">
        <x:f>N651-J651</x:f>
        <x:v>433</x:v>
      </x:c>
      <x:c r="N651" s="1" t="n">
        <x:f>MIN(M652-3)</x:f>
        <x:v>438</x:v>
      </x:c>
      <x:c r="O651" s="1" t="n">
        <x:f>M651-K651</x:f>
        <x:v>30</x:v>
      </x:c>
      <x:c r="P651" s="19" t="n">
        <x:f>INDEX('Calendar'!$C$8:$C$907,K651+1)</x:f>
        <x:v>46798</x:v>
      </x:c>
      <x:c r="Q651" s="19" t="n">
        <x:f>INDEX('Calendar'!$C$8:$C$907,MAX(K651+1,L651))</x:f>
        <x:v>46802</x:v>
      </x:c>
      <x:c r="R651" s="15" t="n">
        <x:v>12204.27</x:v>
      </x:c>
      <x:c r="S651" s="15"/>
      <x:c r="T651" s="15" t="n">
        <x:f>R651/J651</x:f>
        <x:v>2440.8540000000003</x:v>
      </x:c>
    </x:row>
    <x:row r="652" ht="23" customHeight="1">
      <x:c r="A652" s="6" t="str">
        <x:v>T5-L08-P</x:v>
      </x:c>
      <x:c r="B652" s="6" t="str">
        <x:v>T5</x:v>
      </x:c>
      <x:c r="C652" s="6" t="str">
        <x:v>L08</x:v>
      </x:c>
      <x:c r="D652" s="6" t="str">
        <x:v>Internal plaster</x:v>
      </x:c>
      <x:c r="E652" s="6" t="str">
        <x:v>Finishes</x:v>
      </x:c>
      <x:c r="F652" s="14" t="n">
        <x:v>1205.3600000000006</x:v>
      </x:c>
      <x:c r="G652" s="6" t="str">
        <x:v>m2</x:v>
      </x:c>
      <x:c r="H652" s="16" t="n">
        <x:v>220</x:v>
      </x:c>
      <x:c r="I652" s="16" t="n">
        <x:v>10</x:v>
      </x:c>
      <x:c r="J652" s="16" t="n">
        <x:f>ROUNDUP(F652/H652,0)</x:f>
        <x:v>6</x:v>
      </x:c>
      <x:c r="K652" s="6" t="n">
        <x:f>MAX(L651+3)</x:f>
        <x:v>411</x:v>
      </x:c>
      <x:c r="L652" s="6" t="n">
        <x:f>K652+J652</x:f>
        <x:v>417</x:v>
      </x:c>
      <x:c r="M652" s="6" t="n">
        <x:f>N652-J652</x:f>
        <x:v>441</x:v>
      </x:c>
      <x:c r="N652" s="6" t="n">
        <x:f>MIN(M653-2)</x:f>
        <x:v>447</x:v>
      </x:c>
      <x:c r="O652" s="6" t="n">
        <x:f>M652-K652</x:f>
        <x:v>30</x:v>
      </x:c>
      <x:c r="P652" s="18" t="n">
        <x:f>INDEX('Calendar'!$C$8:$C$907,K652+1)</x:f>
        <x:v>46807</x:v>
      </x:c>
      <x:c r="Q652" s="18" t="n">
        <x:f>INDEX('Calendar'!$C$8:$C$907,MAX(K652+1,L652))</x:f>
        <x:v>46813</x:v>
      </x:c>
      <x:c r="R652" s="14" t="n">
        <x:v>15067.000000000005</x:v>
      </x:c>
      <x:c r="S652" s="14"/>
      <x:c r="T652" s="14" t="n">
        <x:f>R652/J652</x:f>
        <x:v>2511.1666666666674</x:v>
      </x:c>
    </x:row>
    <x:row r="653" ht="23" customHeight="1">
      <x:c r="A653" s="1" t="str">
        <x:v>T5-L08-S</x:v>
      </x:c>
      <x:c r="B653" s="1" t="str">
        <x:v>T5</x:v>
      </x:c>
      <x:c r="C653" s="1" t="str">
        <x:v>L08</x:v>
      </x:c>
      <x:c r="D653" s="1" t="str">
        <x:v>Screed and substrate preparation</x:v>
      </x:c>
      <x:c r="E653" s="1" t="str">
        <x:v>Finishes</x:v>
      </x:c>
      <x:c r="F653" s="15" t="n">
        <x:v>696</x:v>
      </x:c>
      <x:c r="G653" s="1" t="str">
        <x:v>m2</x:v>
      </x:c>
      <x:c r="H653" s="17" t="n">
        <x:v>240</x:v>
      </x:c>
      <x:c r="I653" s="17" t="n">
        <x:v>8</x:v>
      </x:c>
      <x:c r="J653" s="17" t="n">
        <x:f>ROUNDUP(F653/H653,0)</x:f>
        <x:v>3</x:v>
      </x:c>
      <x:c r="K653" s="1" t="n">
        <x:f>MAX(L652+2)</x:f>
        <x:v>419</x:v>
      </x:c>
      <x:c r="L653" s="1" t="n">
        <x:f>K653+J653</x:f>
        <x:v>422</x:v>
      </x:c>
      <x:c r="M653" s="1" t="n">
        <x:f>N653-J653</x:f>
        <x:v>449</x:v>
      </x:c>
      <x:c r="N653" s="1" t="n">
        <x:f>MIN(M654-14)</x:f>
        <x:v>452</x:v>
      </x:c>
      <x:c r="O653" s="1" t="n">
        <x:f>M653-K653</x:f>
        <x:v>30</x:v>
      </x:c>
      <x:c r="P653" s="19" t="n">
        <x:f>INDEX('Calendar'!$C$8:$C$907,K653+1)</x:f>
        <x:v>46816</x:v>
      </x:c>
      <x:c r="Q653" s="19" t="n">
        <x:f>INDEX('Calendar'!$C$8:$C$907,MAX(K653+1,L653))</x:f>
        <x:v>46819</x:v>
      </x:c>
      <x:c r="R653" s="15" t="n">
        <x:v>9048</x:v>
      </x:c>
      <x:c r="S653" s="15"/>
      <x:c r="T653" s="15" t="n">
        <x:f>R653/J653</x:f>
        <x:v>3016</x:v>
      </x:c>
    </x:row>
    <x:row r="654" ht="23" customHeight="1">
      <x:c r="A654" s="6" t="str">
        <x:v>T5-L08-T</x:v>
      </x:c>
      <x:c r="B654" s="6" t="str">
        <x:v>T5</x:v>
      </x:c>
      <x:c r="C654" s="6" t="str">
        <x:v>L08</x:v>
      </x:c>
      <x:c r="D654" s="6" t="str">
        <x:v>Floor finishes and skirtings</x:v>
      </x:c>
      <x:c r="E654" s="6" t="str">
        <x:v>Finishes</x:v>
      </x:c>
      <x:c r="F654" s="14" t="n">
        <x:v>696</x:v>
      </x:c>
      <x:c r="G654" s="6" t="str">
        <x:v>m2</x:v>
      </x:c>
      <x:c r="H654" s="16" t="n">
        <x:v>130</x:v>
      </x:c>
      <x:c r="I654" s="16" t="n">
        <x:v>8</x:v>
      </x:c>
      <x:c r="J654" s="16" t="n">
        <x:f>ROUNDUP(F654/H654,0)</x:f>
        <x:v>6</x:v>
      </x:c>
      <x:c r="K654" s="6" t="n">
        <x:f>MAX(L653+14,L602+0)</x:f>
        <x:v>449</x:v>
      </x:c>
      <x:c r="L654" s="6" t="n">
        <x:f>K654+J654</x:f>
        <x:v>455</x:v>
      </x:c>
      <x:c r="M654" s="6" t="n">
        <x:f>N654-J654</x:f>
        <x:v>466</x:v>
      </x:c>
      <x:c r="N654" s="6" t="n">
        <x:f>MIN(M655-2)</x:f>
        <x:v>472</x:v>
      </x:c>
      <x:c r="O654" s="6" t="n">
        <x:f>M654-K654</x:f>
        <x:v>17</x:v>
      </x:c>
      <x:c r="P654" s="18" t="n">
        <x:f>INDEX('Calendar'!$C$8:$C$907,K654+1)</x:f>
        <x:v>46851</x:v>
      </x:c>
      <x:c r="Q654" s="18" t="n">
        <x:f>INDEX('Calendar'!$C$8:$C$907,MAX(K654+1,L654))</x:f>
        <x:v>46857</x:v>
      </x:c>
      <x:c r="R654" s="14" t="n">
        <x:v>24012</x:v>
      </x:c>
      <x:c r="S654" s="14"/>
      <x:c r="T654" s="14" t="n">
        <x:f>R654/J654</x:f>
        <x:v>4002</x:v>
      </x:c>
    </x:row>
    <x:row r="655" ht="23" customHeight="1">
      <x:c r="A655" s="1" t="str">
        <x:v>T5-L08-A</x:v>
      </x:c>
      <x:c r="B655" s="1" t="str">
        <x:v>T5</x:v>
      </x:c>
      <x:c r="C655" s="1" t="str">
        <x:v>L08</x:v>
      </x:c>
      <x:c r="D655" s="1" t="str">
        <x:v>Paint and final decorations</x:v>
      </x:c>
      <x:c r="E655" s="1" t="str">
        <x:v>Finishes</x:v>
      </x:c>
      <x:c r="F655" s="15" t="n">
        <x:v>1205.3600000000004</x:v>
      </x:c>
      <x:c r="G655" s="1" t="str">
        <x:v>m2</x:v>
      </x:c>
      <x:c r="H655" s="17" t="n">
        <x:v>270</x:v>
      </x:c>
      <x:c r="I655" s="17" t="n">
        <x:v>8</x:v>
      </x:c>
      <x:c r="J655" s="17" t="n">
        <x:f>ROUNDUP(F655/H655,0)</x:f>
        <x:v>5</x:v>
      </x:c>
      <x:c r="K655" s="1" t="n">
        <x:f>MAX(L654+2)</x:f>
        <x:v>457</x:v>
      </x:c>
      <x:c r="L655" s="1" t="n">
        <x:f>K655+J655</x:f>
        <x:v>462</x:v>
      </x:c>
      <x:c r="M655" s="1" t="n">
        <x:f>N655-J655</x:f>
        <x:v>474</x:v>
      </x:c>
      <x:c r="N655" s="1" t="n">
        <x:f>MIN(M656-0)</x:f>
        <x:v>479</x:v>
      </x:c>
      <x:c r="O655" s="1" t="n">
        <x:f>M655-K655</x:f>
        <x:v>17</x:v>
      </x:c>
      <x:c r="P655" s="19" t="n">
        <x:f>INDEX('Calendar'!$C$8:$C$907,K655+1)</x:f>
        <x:v>46861</x:v>
      </x:c>
      <x:c r="Q655" s="19" t="n">
        <x:f>INDEX('Calendar'!$C$8:$C$907,MAX(K655+1,L655))</x:f>
        <x:v>46865</x:v>
      </x:c>
      <x:c r="R655" s="15" t="n">
        <x:v>10245.560000000003</x:v>
      </x:c>
      <x:c r="S655" s="15"/>
      <x:c r="T655" s="15" t="n">
        <x:f>R655/J655</x:f>
        <x:v>2049.1120000000005</x:v>
      </x:c>
    </x:row>
    <x:row r="656" ht="23" customHeight="1">
      <x:c r="A656" s="6" t="str">
        <x:v>T5-L08-D</x:v>
      </x:c>
      <x:c r="B656" s="6" t="str">
        <x:v>T5</x:v>
      </x:c>
      <x:c r="C656" s="6" t="str">
        <x:v>L08</x:v>
      </x:c>
      <x:c r="D656" s="6" t="str">
        <x:v>Door sets and ironmongery</x:v>
      </x:c>
      <x:c r="E656" s="6" t="str">
        <x:v>Finishes</x:v>
      </x:c>
      <x:c r="F656" s="14" t="n">
        <x:v>28</x:v>
      </x:c>
      <x:c r="G656" s="6" t="str">
        <x:v>nr</x:v>
      </x:c>
      <x:c r="H656" s="16" t="n">
        <x:v>10</x:v>
      </x:c>
      <x:c r="I656" s="16" t="n">
        <x:v>4</x:v>
      </x:c>
      <x:c r="J656" s="16" t="n">
        <x:f>ROUNDUP(F656/H656,0)</x:f>
        <x:v>3</x:v>
      </x:c>
      <x:c r="K656" s="6" t="n">
        <x:f>MAX(L655+0)</x:f>
        <x:v>462</x:v>
      </x:c>
      <x:c r="L656" s="6" t="n">
        <x:f>K656+J656</x:f>
        <x:v>465</x:v>
      </x:c>
      <x:c r="M656" s="6" t="n">
        <x:f>N656-J656</x:f>
        <x:v>479</x:v>
      </x:c>
      <x:c r="N656" s="6" t="n">
        <x:f>MIN(M816-0)</x:f>
        <x:v>482</x:v>
      </x:c>
      <x:c r="O656" s="6" t="n">
        <x:f>M656-K656</x:f>
        <x:v>17</x:v>
      </x:c>
      <x:c r="P656" s="18" t="n">
        <x:f>INDEX('Calendar'!$C$8:$C$907,K656+1)</x:f>
        <x:v>46867</x:v>
      </x:c>
      <x:c r="Q656" s="18" t="n">
        <x:f>INDEX('Calendar'!$C$8:$C$907,MAX(K656+1,L656))</x:f>
        <x:v>46869</x:v>
      </x:c>
      <x:c r="R656" s="14" t="n">
        <x:v>5796</x:v>
      </x:c>
      <x:c r="S656" s="14"/>
      <x:c r="T656" s="14" t="n">
        <x:f>R656/J656</x:f>
        <x:v>1932</x:v>
      </x:c>
    </x:row>
    <x:row r="657" ht="23" customHeight="1">
      <x:c r="A657" s="1" t="str">
        <x:v>T5-L09-M</x:v>
      </x:c>
      <x:c r="B657" s="1" t="str">
        <x:v>T5</x:v>
      </x:c>
      <x:c r="C657" s="1" t="str">
        <x:v>L09</x:v>
      </x:c>
      <x:c r="D657" s="1" t="str">
        <x:v>Partition masonry</x:v>
      </x:c>
      <x:c r="E657" s="1" t="str">
        <x:v>Masonry</x:v>
      </x:c>
      <x:c r="F657" s="15" t="n">
        <x:v>90.40200000000002</x:v>
      </x:c>
      <x:c r="G657" s="1" t="str">
        <x:v>m3</x:v>
      </x:c>
      <x:c r="H657" s="17" t="n">
        <x:v>22</x:v>
      </x:c>
      <x:c r="I657" s="17" t="n">
        <x:v>10</x:v>
      </x:c>
      <x:c r="J657" s="17" t="n">
        <x:f>ROUNDUP(F657/H657,0)</x:f>
        <x:v>5</x:v>
      </x:c>
      <x:c r="K657" s="1" t="n">
        <x:f>MAX(L599+5)</x:f>
        <x:v>421</x:v>
      </x:c>
      <x:c r="L657" s="1" t="n">
        <x:f>K657+J657</x:f>
        <x:v>426</x:v>
      </x:c>
      <x:c r="M657" s="1" t="n">
        <x:f>N657-J657</x:f>
        <x:v>433</x:v>
      </x:c>
      <x:c r="N657" s="1" t="n">
        <x:f>MIN(M658-3)</x:f>
        <x:v>438</x:v>
      </x:c>
      <x:c r="O657" s="1" t="n">
        <x:f>M657-K657</x:f>
        <x:v>12</x:v>
      </x:c>
      <x:c r="P657" s="19" t="n">
        <x:f>INDEX('Calendar'!$C$8:$C$907,K657+1)</x:f>
        <x:v>46819</x:v>
      </x:c>
      <x:c r="Q657" s="19" t="n">
        <x:f>INDEX('Calendar'!$C$8:$C$907,MAX(K657+1,L657))</x:f>
        <x:v>46823</x:v>
      </x:c>
      <x:c r="R657" s="15" t="n">
        <x:v>12204.27</x:v>
      </x:c>
      <x:c r="S657" s="15"/>
      <x:c r="T657" s="15" t="n">
        <x:f>R657/J657</x:f>
        <x:v>2440.8540000000003</x:v>
      </x:c>
    </x:row>
    <x:row r="658" ht="23" customHeight="1">
      <x:c r="A658" s="6" t="str">
        <x:v>T5-L09-P</x:v>
      </x:c>
      <x:c r="B658" s="6" t="str">
        <x:v>T5</x:v>
      </x:c>
      <x:c r="C658" s="6" t="str">
        <x:v>L09</x:v>
      </x:c>
      <x:c r="D658" s="6" t="str">
        <x:v>Internal plaster</x:v>
      </x:c>
      <x:c r="E658" s="6" t="str">
        <x:v>Finishes</x:v>
      </x:c>
      <x:c r="F658" s="14" t="n">
        <x:v>1205.3600000000006</x:v>
      </x:c>
      <x:c r="G658" s="6" t="str">
        <x:v>m2</x:v>
      </x:c>
      <x:c r="H658" s="16" t="n">
        <x:v>220</x:v>
      </x:c>
      <x:c r="I658" s="16" t="n">
        <x:v>10</x:v>
      </x:c>
      <x:c r="J658" s="16" t="n">
        <x:f>ROUNDUP(F658/H658,0)</x:f>
        <x:v>6</x:v>
      </x:c>
      <x:c r="K658" s="6" t="n">
        <x:f>MAX(L657+3)</x:f>
        <x:v>429</x:v>
      </x:c>
      <x:c r="L658" s="6" t="n">
        <x:f>K658+J658</x:f>
        <x:v>435</x:v>
      </x:c>
      <x:c r="M658" s="6" t="n">
        <x:f>N658-J658</x:f>
        <x:v>441</x:v>
      </x:c>
      <x:c r="N658" s="6" t="n">
        <x:f>MIN(M659-2)</x:f>
        <x:v>447</x:v>
      </x:c>
      <x:c r="O658" s="6" t="n">
        <x:f>M658-K658</x:f>
        <x:v>12</x:v>
      </x:c>
      <x:c r="P658" s="18" t="n">
        <x:f>INDEX('Calendar'!$C$8:$C$907,K658+1)</x:f>
        <x:v>46828</x:v>
      </x:c>
      <x:c r="Q658" s="18" t="n">
        <x:f>INDEX('Calendar'!$C$8:$C$907,MAX(K658+1,L658))</x:f>
        <x:v>46834</x:v>
      </x:c>
      <x:c r="R658" s="14" t="n">
        <x:v>15067.000000000005</x:v>
      </x:c>
      <x:c r="S658" s="14"/>
      <x:c r="T658" s="14" t="n">
        <x:f>R658/J658</x:f>
        <x:v>2511.1666666666674</x:v>
      </x:c>
    </x:row>
    <x:row r="659" ht="23" customHeight="1">
      <x:c r="A659" s="1" t="str">
        <x:v>T5-L09-S</x:v>
      </x:c>
      <x:c r="B659" s="1" t="str">
        <x:v>T5</x:v>
      </x:c>
      <x:c r="C659" s="1" t="str">
        <x:v>L09</x:v>
      </x:c>
      <x:c r="D659" s="1" t="str">
        <x:v>Screed and substrate preparation</x:v>
      </x:c>
      <x:c r="E659" s="1" t="str">
        <x:v>Finishes</x:v>
      </x:c>
      <x:c r="F659" s="15" t="n">
        <x:v>696</x:v>
      </x:c>
      <x:c r="G659" s="1" t="str">
        <x:v>m2</x:v>
      </x:c>
      <x:c r="H659" s="17" t="n">
        <x:v>240</x:v>
      </x:c>
      <x:c r="I659" s="17" t="n">
        <x:v>8</x:v>
      </x:c>
      <x:c r="J659" s="17" t="n">
        <x:f>ROUNDUP(F659/H659,0)</x:f>
        <x:v>3</x:v>
      </x:c>
      <x:c r="K659" s="1" t="n">
        <x:f>MAX(L658+2)</x:f>
        <x:v>437</x:v>
      </x:c>
      <x:c r="L659" s="1" t="n">
        <x:f>K659+J659</x:f>
        <x:v>440</x:v>
      </x:c>
      <x:c r="M659" s="1" t="n">
        <x:f>N659-J659</x:f>
        <x:v>449</x:v>
      </x:c>
      <x:c r="N659" s="1" t="n">
        <x:f>MIN(M660-14)</x:f>
        <x:v>452</x:v>
      </x:c>
      <x:c r="O659" s="1" t="n">
        <x:f>M659-K659</x:f>
        <x:v>12</x:v>
      </x:c>
      <x:c r="P659" s="19" t="n">
        <x:f>INDEX('Calendar'!$C$8:$C$907,K659+1)</x:f>
        <x:v>46837</x:v>
      </x:c>
      <x:c r="Q659" s="19" t="n">
        <x:f>INDEX('Calendar'!$C$8:$C$907,MAX(K659+1,L659))</x:f>
        <x:v>46840</x:v>
      </x:c>
      <x:c r="R659" s="15" t="n">
        <x:v>9048</x:v>
      </x:c>
      <x:c r="S659" s="15"/>
      <x:c r="T659" s="15" t="n">
        <x:f>R659/J659</x:f>
        <x:v>3016</x:v>
      </x:c>
    </x:row>
    <x:row r="660" ht="23" customHeight="1">
      <x:c r="A660" s="6" t="str">
        <x:v>T5-L09-T</x:v>
      </x:c>
      <x:c r="B660" s="6" t="str">
        <x:v>T5</x:v>
      </x:c>
      <x:c r="C660" s="6" t="str">
        <x:v>L09</x:v>
      </x:c>
      <x:c r="D660" s="6" t="str">
        <x:v>Floor finishes and skirtings</x:v>
      </x:c>
      <x:c r="E660" s="6" t="str">
        <x:v>Finishes</x:v>
      </x:c>
      <x:c r="F660" s="14" t="n">
        <x:v>696</x:v>
      </x:c>
      <x:c r="G660" s="6" t="str">
        <x:v>m2</x:v>
      </x:c>
      <x:c r="H660" s="16" t="n">
        <x:v>130</x:v>
      </x:c>
      <x:c r="I660" s="16" t="n">
        <x:v>8</x:v>
      </x:c>
      <x:c r="J660" s="16" t="n">
        <x:f>ROUNDUP(F660/H660,0)</x:f>
        <x:v>6</x:v>
      </x:c>
      <x:c r="K660" s="6" t="n">
        <x:f>MAX(L659+14,L602+0)</x:f>
        <x:v>454</x:v>
      </x:c>
      <x:c r="L660" s="6" t="n">
        <x:f>K660+J660</x:f>
        <x:v>460</x:v>
      </x:c>
      <x:c r="M660" s="6" t="n">
        <x:f>N660-J660</x:f>
        <x:v>466</x:v>
      </x:c>
      <x:c r="N660" s="6" t="n">
        <x:f>MIN(M661-2)</x:f>
        <x:v>472</x:v>
      </x:c>
      <x:c r="O660" s="6" t="n">
        <x:f>M660-K660</x:f>
        <x:v>12</x:v>
      </x:c>
      <x:c r="P660" s="18" t="n">
        <x:f>INDEX('Calendar'!$C$8:$C$907,K660+1)</x:f>
        <x:v>46857</x:v>
      </x:c>
      <x:c r="Q660" s="18" t="n">
        <x:f>INDEX('Calendar'!$C$8:$C$907,MAX(K660+1,L660))</x:f>
        <x:v>46863</x:v>
      </x:c>
      <x:c r="R660" s="14" t="n">
        <x:v>24012</x:v>
      </x:c>
      <x:c r="S660" s="14"/>
      <x:c r="T660" s="14" t="n">
        <x:f>R660/J660</x:f>
        <x:v>4002</x:v>
      </x:c>
    </x:row>
    <x:row r="661" ht="23" customHeight="1">
      <x:c r="A661" s="1" t="str">
        <x:v>T5-L09-A</x:v>
      </x:c>
      <x:c r="B661" s="1" t="str">
        <x:v>T5</x:v>
      </x:c>
      <x:c r="C661" s="1" t="str">
        <x:v>L09</x:v>
      </x:c>
      <x:c r="D661" s="1" t="str">
        <x:v>Paint and final decorations</x:v>
      </x:c>
      <x:c r="E661" s="1" t="str">
        <x:v>Finishes</x:v>
      </x:c>
      <x:c r="F661" s="15" t="n">
        <x:v>1205.3600000000004</x:v>
      </x:c>
      <x:c r="G661" s="1" t="str">
        <x:v>m2</x:v>
      </x:c>
      <x:c r="H661" s="17" t="n">
        <x:v>270</x:v>
      </x:c>
      <x:c r="I661" s="17" t="n">
        <x:v>8</x:v>
      </x:c>
      <x:c r="J661" s="17" t="n">
        <x:f>ROUNDUP(F661/H661,0)</x:f>
        <x:v>5</x:v>
      </x:c>
      <x:c r="K661" s="1" t="n">
        <x:f>MAX(L660+2)</x:f>
        <x:v>462</x:v>
      </x:c>
      <x:c r="L661" s="1" t="n">
        <x:f>K661+J661</x:f>
        <x:v>467</x:v>
      </x:c>
      <x:c r="M661" s="1" t="n">
        <x:f>N661-J661</x:f>
        <x:v>474</x:v>
      </x:c>
      <x:c r="N661" s="1" t="n">
        <x:f>MIN(M662-0)</x:f>
        <x:v>479</x:v>
      </x:c>
      <x:c r="O661" s="1" t="n">
        <x:f>M661-K661</x:f>
        <x:v>12</x:v>
      </x:c>
      <x:c r="P661" s="19" t="n">
        <x:f>INDEX('Calendar'!$C$8:$C$907,K661+1)</x:f>
        <x:v>46867</x:v>
      </x:c>
      <x:c r="Q661" s="19" t="n">
        <x:f>INDEX('Calendar'!$C$8:$C$907,MAX(K661+1,L661))</x:f>
        <x:v>46871</x:v>
      </x:c>
      <x:c r="R661" s="15" t="n">
        <x:v>10245.560000000003</x:v>
      </x:c>
      <x:c r="S661" s="15"/>
      <x:c r="T661" s="15" t="n">
        <x:f>R661/J661</x:f>
        <x:v>2049.1120000000005</x:v>
      </x:c>
    </x:row>
    <x:row r="662" ht="23" customHeight="1">
      <x:c r="A662" s="6" t="str">
        <x:v>T5-L09-D</x:v>
      </x:c>
      <x:c r="B662" s="6" t="str">
        <x:v>T5</x:v>
      </x:c>
      <x:c r="C662" s="6" t="str">
        <x:v>L09</x:v>
      </x:c>
      <x:c r="D662" s="6" t="str">
        <x:v>Door sets and ironmongery</x:v>
      </x:c>
      <x:c r="E662" s="6" t="str">
        <x:v>Finishes</x:v>
      </x:c>
      <x:c r="F662" s="14" t="n">
        <x:v>28</x:v>
      </x:c>
      <x:c r="G662" s="6" t="str">
        <x:v>nr</x:v>
      </x:c>
      <x:c r="H662" s="16" t="n">
        <x:v>10</x:v>
      </x:c>
      <x:c r="I662" s="16" t="n">
        <x:v>4</x:v>
      </x:c>
      <x:c r="J662" s="16" t="n">
        <x:f>ROUNDUP(F662/H662,0)</x:f>
        <x:v>3</x:v>
      </x:c>
      <x:c r="K662" s="6" t="n">
        <x:f>MAX(L661+0)</x:f>
        <x:v>467</x:v>
      </x:c>
      <x:c r="L662" s="6" t="n">
        <x:f>K662+J662</x:f>
        <x:v>470</x:v>
      </x:c>
      <x:c r="M662" s="6" t="n">
        <x:f>N662-J662</x:f>
        <x:v>479</x:v>
      </x:c>
      <x:c r="N662" s="6" t="n">
        <x:f>MIN(M816-0)</x:f>
        <x:v>482</x:v>
      </x:c>
      <x:c r="O662" s="6" t="n">
        <x:f>M662-K662</x:f>
        <x:v>12</x:v>
      </x:c>
      <x:c r="P662" s="18" t="n">
        <x:f>INDEX('Calendar'!$C$8:$C$907,K662+1)</x:f>
        <x:v>46872</x:v>
      </x:c>
      <x:c r="Q662" s="18" t="n">
        <x:f>INDEX('Calendar'!$C$8:$C$907,MAX(K662+1,L662))</x:f>
        <x:v>46875</x:v>
      </x:c>
      <x:c r="R662" s="14" t="n">
        <x:v>5796</x:v>
      </x:c>
      <x:c r="S662" s="14"/>
      <x:c r="T662" s="14" t="n">
        <x:f>R662/J662</x:f>
        <x:v>1932</x:v>
      </x:c>
    </x:row>
    <x:row r="663" ht="23" customHeight="1">
      <x:c r="A663" s="1" t="str">
        <x:v>T5-L10-M</x:v>
      </x:c>
      <x:c r="B663" s="1" t="str">
        <x:v>T5</x:v>
      </x:c>
      <x:c r="C663" s="1" t="str">
        <x:v>L10</x:v>
      </x:c>
      <x:c r="D663" s="1" t="str">
        <x:v>Partition masonry</x:v>
      </x:c>
      <x:c r="E663" s="1" t="str">
        <x:v>Masonry</x:v>
      </x:c>
      <x:c r="F663" s="15" t="n">
        <x:v>90.40200000000002</x:v>
      </x:c>
      <x:c r="G663" s="1" t="str">
        <x:v>m3</x:v>
      </x:c>
      <x:c r="H663" s="17" t="n">
        <x:v>22</x:v>
      </x:c>
      <x:c r="I663" s="17" t="n">
        <x:v>10</x:v>
      </x:c>
      <x:c r="J663" s="17" t="n">
        <x:f>ROUNDUP(F663/H663,0)</x:f>
        <x:v>5</x:v>
      </x:c>
      <x:c r="K663" s="1" t="n">
        <x:f>MAX(L599+5)</x:f>
        <x:v>421</x:v>
      </x:c>
      <x:c r="L663" s="1" t="n">
        <x:f>K663+J663</x:f>
        <x:v>426</x:v>
      </x:c>
      <x:c r="M663" s="1" t="n">
        <x:f>N663-J663</x:f>
        <x:v>433</x:v>
      </x:c>
      <x:c r="N663" s="1" t="n">
        <x:f>MIN(M664-3)</x:f>
        <x:v>438</x:v>
      </x:c>
      <x:c r="O663" s="1" t="n">
        <x:f>M663-K663</x:f>
        <x:v>12</x:v>
      </x:c>
      <x:c r="P663" s="19" t="n">
        <x:f>INDEX('Calendar'!$C$8:$C$907,K663+1)</x:f>
        <x:v>46819</x:v>
      </x:c>
      <x:c r="Q663" s="19" t="n">
        <x:f>INDEX('Calendar'!$C$8:$C$907,MAX(K663+1,L663))</x:f>
        <x:v>46823</x:v>
      </x:c>
      <x:c r="R663" s="15" t="n">
        <x:v>12204.27</x:v>
      </x:c>
      <x:c r="S663" s="15"/>
      <x:c r="T663" s="15" t="n">
        <x:f>R663/J663</x:f>
        <x:v>2440.8540000000003</x:v>
      </x:c>
    </x:row>
    <x:row r="664" ht="23" customHeight="1">
      <x:c r="A664" s="6" t="str">
        <x:v>T5-L10-P</x:v>
      </x:c>
      <x:c r="B664" s="6" t="str">
        <x:v>T5</x:v>
      </x:c>
      <x:c r="C664" s="6" t="str">
        <x:v>L10</x:v>
      </x:c>
      <x:c r="D664" s="6" t="str">
        <x:v>Internal plaster</x:v>
      </x:c>
      <x:c r="E664" s="6" t="str">
        <x:v>Finishes</x:v>
      </x:c>
      <x:c r="F664" s="14" t="n">
        <x:v>1205.3600000000006</x:v>
      </x:c>
      <x:c r="G664" s="6" t="str">
        <x:v>m2</x:v>
      </x:c>
      <x:c r="H664" s="16" t="n">
        <x:v>220</x:v>
      </x:c>
      <x:c r="I664" s="16" t="n">
        <x:v>10</x:v>
      </x:c>
      <x:c r="J664" s="16" t="n">
        <x:f>ROUNDUP(F664/H664,0)</x:f>
        <x:v>6</x:v>
      </x:c>
      <x:c r="K664" s="6" t="n">
        <x:f>MAX(L663+3)</x:f>
        <x:v>429</x:v>
      </x:c>
      <x:c r="L664" s="6" t="n">
        <x:f>K664+J664</x:f>
        <x:v>435</x:v>
      </x:c>
      <x:c r="M664" s="6" t="n">
        <x:f>N664-J664</x:f>
        <x:v>441</x:v>
      </x:c>
      <x:c r="N664" s="6" t="n">
        <x:f>MIN(M665-2)</x:f>
        <x:v>447</x:v>
      </x:c>
      <x:c r="O664" s="6" t="n">
        <x:f>M664-K664</x:f>
        <x:v>12</x:v>
      </x:c>
      <x:c r="P664" s="18" t="n">
        <x:f>INDEX('Calendar'!$C$8:$C$907,K664+1)</x:f>
        <x:v>46828</x:v>
      </x:c>
      <x:c r="Q664" s="18" t="n">
        <x:f>INDEX('Calendar'!$C$8:$C$907,MAX(K664+1,L664))</x:f>
        <x:v>46834</x:v>
      </x:c>
      <x:c r="R664" s="14" t="n">
        <x:v>15067.000000000005</x:v>
      </x:c>
      <x:c r="S664" s="14"/>
      <x:c r="T664" s="14" t="n">
        <x:f>R664/J664</x:f>
        <x:v>2511.1666666666674</x:v>
      </x:c>
    </x:row>
    <x:row r="665" ht="23" customHeight="1">
      <x:c r="A665" s="1" t="str">
        <x:v>T5-L10-S</x:v>
      </x:c>
      <x:c r="B665" s="1" t="str">
        <x:v>T5</x:v>
      </x:c>
      <x:c r="C665" s="1" t="str">
        <x:v>L10</x:v>
      </x:c>
      <x:c r="D665" s="1" t="str">
        <x:v>Screed and substrate preparation</x:v>
      </x:c>
      <x:c r="E665" s="1" t="str">
        <x:v>Finishes</x:v>
      </x:c>
      <x:c r="F665" s="15" t="n">
        <x:v>696</x:v>
      </x:c>
      <x:c r="G665" s="1" t="str">
        <x:v>m2</x:v>
      </x:c>
      <x:c r="H665" s="17" t="n">
        <x:v>240</x:v>
      </x:c>
      <x:c r="I665" s="17" t="n">
        <x:v>8</x:v>
      </x:c>
      <x:c r="J665" s="17" t="n">
        <x:f>ROUNDUP(F665/H665,0)</x:f>
        <x:v>3</x:v>
      </x:c>
      <x:c r="K665" s="1" t="n">
        <x:f>MAX(L664+2)</x:f>
        <x:v>437</x:v>
      </x:c>
      <x:c r="L665" s="1" t="n">
        <x:f>K665+J665</x:f>
        <x:v>440</x:v>
      </x:c>
      <x:c r="M665" s="1" t="n">
        <x:f>N665-J665</x:f>
        <x:v>449</x:v>
      </x:c>
      <x:c r="N665" s="1" t="n">
        <x:f>MIN(M666-14)</x:f>
        <x:v>452</x:v>
      </x:c>
      <x:c r="O665" s="1" t="n">
        <x:f>M665-K665</x:f>
        <x:v>12</x:v>
      </x:c>
      <x:c r="P665" s="19" t="n">
        <x:f>INDEX('Calendar'!$C$8:$C$907,K665+1)</x:f>
        <x:v>46837</x:v>
      </x:c>
      <x:c r="Q665" s="19" t="n">
        <x:f>INDEX('Calendar'!$C$8:$C$907,MAX(K665+1,L665))</x:f>
        <x:v>46840</x:v>
      </x:c>
      <x:c r="R665" s="15" t="n">
        <x:v>9048</x:v>
      </x:c>
      <x:c r="S665" s="15"/>
      <x:c r="T665" s="15" t="n">
        <x:f>R665/J665</x:f>
        <x:v>3016</x:v>
      </x:c>
    </x:row>
    <x:row r="666" ht="23" customHeight="1">
      <x:c r="A666" s="6" t="str">
        <x:v>T5-L10-T</x:v>
      </x:c>
      <x:c r="B666" s="6" t="str">
        <x:v>T5</x:v>
      </x:c>
      <x:c r="C666" s="6" t="str">
        <x:v>L10</x:v>
      </x:c>
      <x:c r="D666" s="6" t="str">
        <x:v>Floor finishes and skirtings</x:v>
      </x:c>
      <x:c r="E666" s="6" t="str">
        <x:v>Finishes</x:v>
      </x:c>
      <x:c r="F666" s="14" t="n">
        <x:v>696</x:v>
      </x:c>
      <x:c r="G666" s="6" t="str">
        <x:v>m2</x:v>
      </x:c>
      <x:c r="H666" s="16" t="n">
        <x:v>130</x:v>
      </x:c>
      <x:c r="I666" s="16" t="n">
        <x:v>8</x:v>
      </x:c>
      <x:c r="J666" s="16" t="n">
        <x:f>ROUNDUP(F666/H666,0)</x:f>
        <x:v>6</x:v>
      </x:c>
      <x:c r="K666" s="6" t="n">
        <x:f>MAX(L665+14,L602+0)</x:f>
        <x:v>454</x:v>
      </x:c>
      <x:c r="L666" s="6" t="n">
        <x:f>K666+J666</x:f>
        <x:v>460</x:v>
      </x:c>
      <x:c r="M666" s="6" t="n">
        <x:f>N666-J666</x:f>
        <x:v>466</x:v>
      </x:c>
      <x:c r="N666" s="6" t="n">
        <x:f>MIN(M667-2)</x:f>
        <x:v>472</x:v>
      </x:c>
      <x:c r="O666" s="6" t="n">
        <x:f>M666-K666</x:f>
        <x:v>12</x:v>
      </x:c>
      <x:c r="P666" s="18" t="n">
        <x:f>INDEX('Calendar'!$C$8:$C$907,K666+1)</x:f>
        <x:v>46857</x:v>
      </x:c>
      <x:c r="Q666" s="18" t="n">
        <x:f>INDEX('Calendar'!$C$8:$C$907,MAX(K666+1,L666))</x:f>
        <x:v>46863</x:v>
      </x:c>
      <x:c r="R666" s="14" t="n">
        <x:v>24012</x:v>
      </x:c>
      <x:c r="S666" s="14"/>
      <x:c r="T666" s="14" t="n">
        <x:f>R666/J666</x:f>
        <x:v>4002</x:v>
      </x:c>
    </x:row>
    <x:row r="667" ht="23" customHeight="1">
      <x:c r="A667" s="1" t="str">
        <x:v>T5-L10-A</x:v>
      </x:c>
      <x:c r="B667" s="1" t="str">
        <x:v>T5</x:v>
      </x:c>
      <x:c r="C667" s="1" t="str">
        <x:v>L10</x:v>
      </x:c>
      <x:c r="D667" s="1" t="str">
        <x:v>Paint and final decorations</x:v>
      </x:c>
      <x:c r="E667" s="1" t="str">
        <x:v>Finishes</x:v>
      </x:c>
      <x:c r="F667" s="15" t="n">
        <x:v>1205.3600000000004</x:v>
      </x:c>
      <x:c r="G667" s="1" t="str">
        <x:v>m2</x:v>
      </x:c>
      <x:c r="H667" s="17" t="n">
        <x:v>270</x:v>
      </x:c>
      <x:c r="I667" s="17" t="n">
        <x:v>8</x:v>
      </x:c>
      <x:c r="J667" s="17" t="n">
        <x:f>ROUNDUP(F667/H667,0)</x:f>
        <x:v>5</x:v>
      </x:c>
      <x:c r="K667" s="1" t="n">
        <x:f>MAX(L666+2)</x:f>
        <x:v>462</x:v>
      </x:c>
      <x:c r="L667" s="1" t="n">
        <x:f>K667+J667</x:f>
        <x:v>467</x:v>
      </x:c>
      <x:c r="M667" s="1" t="n">
        <x:f>N667-J667</x:f>
        <x:v>474</x:v>
      </x:c>
      <x:c r="N667" s="1" t="n">
        <x:f>MIN(M668-0)</x:f>
        <x:v>479</x:v>
      </x:c>
      <x:c r="O667" s="1" t="n">
        <x:f>M667-K667</x:f>
        <x:v>12</x:v>
      </x:c>
      <x:c r="P667" s="19" t="n">
        <x:f>INDEX('Calendar'!$C$8:$C$907,K667+1)</x:f>
        <x:v>46867</x:v>
      </x:c>
      <x:c r="Q667" s="19" t="n">
        <x:f>INDEX('Calendar'!$C$8:$C$907,MAX(K667+1,L667))</x:f>
        <x:v>46871</x:v>
      </x:c>
      <x:c r="R667" s="15" t="n">
        <x:v>10245.560000000003</x:v>
      </x:c>
      <x:c r="S667" s="15"/>
      <x:c r="T667" s="15" t="n">
        <x:f>R667/J667</x:f>
        <x:v>2049.1120000000005</x:v>
      </x:c>
    </x:row>
    <x:row r="668" ht="23" customHeight="1">
      <x:c r="A668" s="6" t="str">
        <x:v>T5-L10-D</x:v>
      </x:c>
      <x:c r="B668" s="6" t="str">
        <x:v>T5</x:v>
      </x:c>
      <x:c r="C668" s="6" t="str">
        <x:v>L10</x:v>
      </x:c>
      <x:c r="D668" s="6" t="str">
        <x:v>Door sets and ironmongery</x:v>
      </x:c>
      <x:c r="E668" s="6" t="str">
        <x:v>Finishes</x:v>
      </x:c>
      <x:c r="F668" s="14" t="n">
        <x:v>28</x:v>
      </x:c>
      <x:c r="G668" s="6" t="str">
        <x:v>nr</x:v>
      </x:c>
      <x:c r="H668" s="16" t="n">
        <x:v>10</x:v>
      </x:c>
      <x:c r="I668" s="16" t="n">
        <x:v>4</x:v>
      </x:c>
      <x:c r="J668" s="16" t="n">
        <x:f>ROUNDUP(F668/H668,0)</x:f>
        <x:v>3</x:v>
      </x:c>
      <x:c r="K668" s="6" t="n">
        <x:f>MAX(L667+0)</x:f>
        <x:v>467</x:v>
      </x:c>
      <x:c r="L668" s="6" t="n">
        <x:f>K668+J668</x:f>
        <x:v>470</x:v>
      </x:c>
      <x:c r="M668" s="6" t="n">
        <x:f>N668-J668</x:f>
        <x:v>479</x:v>
      </x:c>
      <x:c r="N668" s="6" t="n">
        <x:f>MIN(M816-0)</x:f>
        <x:v>482</x:v>
      </x:c>
      <x:c r="O668" s="6" t="n">
        <x:f>M668-K668</x:f>
        <x:v>12</x:v>
      </x:c>
      <x:c r="P668" s="18" t="n">
        <x:f>INDEX('Calendar'!$C$8:$C$907,K668+1)</x:f>
        <x:v>46872</x:v>
      </x:c>
      <x:c r="Q668" s="18" t="n">
        <x:f>INDEX('Calendar'!$C$8:$C$907,MAX(K668+1,L668))</x:f>
        <x:v>46875</x:v>
      </x:c>
      <x:c r="R668" s="14" t="n">
        <x:v>5796</x:v>
      </x:c>
      <x:c r="S668" s="14"/>
      <x:c r="T668" s="14" t="n">
        <x:f>R668/J668</x:f>
        <x:v>1932</x:v>
      </x:c>
    </x:row>
    <x:row r="669" ht="23" customHeight="1">
      <x:c r="A669" s="1" t="str">
        <x:v>T5-L11-M</x:v>
      </x:c>
      <x:c r="B669" s="1" t="str">
        <x:v>T5</x:v>
      </x:c>
      <x:c r="C669" s="1" t="str">
        <x:v>L11</x:v>
      </x:c>
      <x:c r="D669" s="1" t="str">
        <x:v>Partition masonry</x:v>
      </x:c>
      <x:c r="E669" s="1" t="str">
        <x:v>Masonry</x:v>
      </x:c>
      <x:c r="F669" s="15" t="n">
        <x:v>90.40200000000002</x:v>
      </x:c>
      <x:c r="G669" s="1" t="str">
        <x:v>m3</x:v>
      </x:c>
      <x:c r="H669" s="17" t="n">
        <x:v>22</x:v>
      </x:c>
      <x:c r="I669" s="17" t="n">
        <x:v>10</x:v>
      </x:c>
      <x:c r="J669" s="17" t="n">
        <x:f>ROUNDUP(F669/H669,0)</x:f>
        <x:v>5</x:v>
      </x:c>
      <x:c r="K669" s="1" t="n">
        <x:f>MAX(L599+5)</x:f>
        <x:v>421</x:v>
      </x:c>
      <x:c r="L669" s="1" t="n">
        <x:f>K669+J669</x:f>
        <x:v>426</x:v>
      </x:c>
      <x:c r="M669" s="1" t="n">
        <x:f>N669-J669</x:f>
        <x:v>433</x:v>
      </x:c>
      <x:c r="N669" s="1" t="n">
        <x:f>MIN(M670-3)</x:f>
        <x:v>438</x:v>
      </x:c>
      <x:c r="O669" s="1" t="n">
        <x:f>M669-K669</x:f>
        <x:v>12</x:v>
      </x:c>
      <x:c r="P669" s="19" t="n">
        <x:f>INDEX('Calendar'!$C$8:$C$907,K669+1)</x:f>
        <x:v>46819</x:v>
      </x:c>
      <x:c r="Q669" s="19" t="n">
        <x:f>INDEX('Calendar'!$C$8:$C$907,MAX(K669+1,L669))</x:f>
        <x:v>46823</x:v>
      </x:c>
      <x:c r="R669" s="15" t="n">
        <x:v>12204.27</x:v>
      </x:c>
      <x:c r="S669" s="15"/>
      <x:c r="T669" s="15" t="n">
        <x:f>R669/J669</x:f>
        <x:v>2440.8540000000003</x:v>
      </x:c>
    </x:row>
    <x:row r="670" ht="23" customHeight="1">
      <x:c r="A670" s="6" t="str">
        <x:v>T5-L11-P</x:v>
      </x:c>
      <x:c r="B670" s="6" t="str">
        <x:v>T5</x:v>
      </x:c>
      <x:c r="C670" s="6" t="str">
        <x:v>L11</x:v>
      </x:c>
      <x:c r="D670" s="6" t="str">
        <x:v>Internal plaster</x:v>
      </x:c>
      <x:c r="E670" s="6" t="str">
        <x:v>Finishes</x:v>
      </x:c>
      <x:c r="F670" s="14" t="n">
        <x:v>1205.3600000000006</x:v>
      </x:c>
      <x:c r="G670" s="6" t="str">
        <x:v>m2</x:v>
      </x:c>
      <x:c r="H670" s="16" t="n">
        <x:v>220</x:v>
      </x:c>
      <x:c r="I670" s="16" t="n">
        <x:v>10</x:v>
      </x:c>
      <x:c r="J670" s="16" t="n">
        <x:f>ROUNDUP(F670/H670,0)</x:f>
        <x:v>6</x:v>
      </x:c>
      <x:c r="K670" s="6" t="n">
        <x:f>MAX(L669+3)</x:f>
        <x:v>429</x:v>
      </x:c>
      <x:c r="L670" s="6" t="n">
        <x:f>K670+J670</x:f>
        <x:v>435</x:v>
      </x:c>
      <x:c r="M670" s="6" t="n">
        <x:f>N670-J670</x:f>
        <x:v>441</x:v>
      </x:c>
      <x:c r="N670" s="6" t="n">
        <x:f>MIN(M671-2)</x:f>
        <x:v>447</x:v>
      </x:c>
      <x:c r="O670" s="6" t="n">
        <x:f>M670-K670</x:f>
        <x:v>12</x:v>
      </x:c>
      <x:c r="P670" s="18" t="n">
        <x:f>INDEX('Calendar'!$C$8:$C$907,K670+1)</x:f>
        <x:v>46828</x:v>
      </x:c>
      <x:c r="Q670" s="18" t="n">
        <x:f>INDEX('Calendar'!$C$8:$C$907,MAX(K670+1,L670))</x:f>
        <x:v>46834</x:v>
      </x:c>
      <x:c r="R670" s="14" t="n">
        <x:v>15067.000000000005</x:v>
      </x:c>
      <x:c r="S670" s="14"/>
      <x:c r="T670" s="14" t="n">
        <x:f>R670/J670</x:f>
        <x:v>2511.1666666666674</x:v>
      </x:c>
    </x:row>
    <x:row r="671" ht="23" customHeight="1">
      <x:c r="A671" s="1" t="str">
        <x:v>T5-L11-S</x:v>
      </x:c>
      <x:c r="B671" s="1" t="str">
        <x:v>T5</x:v>
      </x:c>
      <x:c r="C671" s="1" t="str">
        <x:v>L11</x:v>
      </x:c>
      <x:c r="D671" s="1" t="str">
        <x:v>Screed and substrate preparation</x:v>
      </x:c>
      <x:c r="E671" s="1" t="str">
        <x:v>Finishes</x:v>
      </x:c>
      <x:c r="F671" s="15" t="n">
        <x:v>696</x:v>
      </x:c>
      <x:c r="G671" s="1" t="str">
        <x:v>m2</x:v>
      </x:c>
      <x:c r="H671" s="17" t="n">
        <x:v>240</x:v>
      </x:c>
      <x:c r="I671" s="17" t="n">
        <x:v>8</x:v>
      </x:c>
      <x:c r="J671" s="17" t="n">
        <x:f>ROUNDUP(F671/H671,0)</x:f>
        <x:v>3</x:v>
      </x:c>
      <x:c r="K671" s="1" t="n">
        <x:f>MAX(L670+2)</x:f>
        <x:v>437</x:v>
      </x:c>
      <x:c r="L671" s="1" t="n">
        <x:f>K671+J671</x:f>
        <x:v>440</x:v>
      </x:c>
      <x:c r="M671" s="1" t="n">
        <x:f>N671-J671</x:f>
        <x:v>449</x:v>
      </x:c>
      <x:c r="N671" s="1" t="n">
        <x:f>MIN(M672-14)</x:f>
        <x:v>452</x:v>
      </x:c>
      <x:c r="O671" s="1" t="n">
        <x:f>M671-K671</x:f>
        <x:v>12</x:v>
      </x:c>
      <x:c r="P671" s="19" t="n">
        <x:f>INDEX('Calendar'!$C$8:$C$907,K671+1)</x:f>
        <x:v>46837</x:v>
      </x:c>
      <x:c r="Q671" s="19" t="n">
        <x:f>INDEX('Calendar'!$C$8:$C$907,MAX(K671+1,L671))</x:f>
        <x:v>46840</x:v>
      </x:c>
      <x:c r="R671" s="15" t="n">
        <x:v>9048</x:v>
      </x:c>
      <x:c r="S671" s="15"/>
      <x:c r="T671" s="15" t="n">
        <x:f>R671/J671</x:f>
        <x:v>3016</x:v>
      </x:c>
    </x:row>
    <x:row r="672" ht="23" customHeight="1">
      <x:c r="A672" s="6" t="str">
        <x:v>T5-L11-T</x:v>
      </x:c>
      <x:c r="B672" s="6" t="str">
        <x:v>T5</x:v>
      </x:c>
      <x:c r="C672" s="6" t="str">
        <x:v>L11</x:v>
      </x:c>
      <x:c r="D672" s="6" t="str">
        <x:v>Floor finishes and skirtings</x:v>
      </x:c>
      <x:c r="E672" s="6" t="str">
        <x:v>Finishes</x:v>
      </x:c>
      <x:c r="F672" s="14" t="n">
        <x:v>696</x:v>
      </x:c>
      <x:c r="G672" s="6" t="str">
        <x:v>m2</x:v>
      </x:c>
      <x:c r="H672" s="16" t="n">
        <x:v>130</x:v>
      </x:c>
      <x:c r="I672" s="16" t="n">
        <x:v>8</x:v>
      </x:c>
      <x:c r="J672" s="16" t="n">
        <x:f>ROUNDUP(F672/H672,0)</x:f>
        <x:v>6</x:v>
      </x:c>
      <x:c r="K672" s="6" t="n">
        <x:f>MAX(L671+14,L602+0)</x:f>
        <x:v>454</x:v>
      </x:c>
      <x:c r="L672" s="6" t="n">
        <x:f>K672+J672</x:f>
        <x:v>460</x:v>
      </x:c>
      <x:c r="M672" s="6" t="n">
        <x:f>N672-J672</x:f>
        <x:v>466</x:v>
      </x:c>
      <x:c r="N672" s="6" t="n">
        <x:f>MIN(M673-2)</x:f>
        <x:v>472</x:v>
      </x:c>
      <x:c r="O672" s="6" t="n">
        <x:f>M672-K672</x:f>
        <x:v>12</x:v>
      </x:c>
      <x:c r="P672" s="18" t="n">
        <x:f>INDEX('Calendar'!$C$8:$C$907,K672+1)</x:f>
        <x:v>46857</x:v>
      </x:c>
      <x:c r="Q672" s="18" t="n">
        <x:f>INDEX('Calendar'!$C$8:$C$907,MAX(K672+1,L672))</x:f>
        <x:v>46863</x:v>
      </x:c>
      <x:c r="R672" s="14" t="n">
        <x:v>24012</x:v>
      </x:c>
      <x:c r="S672" s="14"/>
      <x:c r="T672" s="14" t="n">
        <x:f>R672/J672</x:f>
        <x:v>4002</x:v>
      </x:c>
    </x:row>
    <x:row r="673" ht="23" customHeight="1">
      <x:c r="A673" s="1" t="str">
        <x:v>T5-L11-A</x:v>
      </x:c>
      <x:c r="B673" s="1" t="str">
        <x:v>T5</x:v>
      </x:c>
      <x:c r="C673" s="1" t="str">
        <x:v>L11</x:v>
      </x:c>
      <x:c r="D673" s="1" t="str">
        <x:v>Paint and final decorations</x:v>
      </x:c>
      <x:c r="E673" s="1" t="str">
        <x:v>Finishes</x:v>
      </x:c>
      <x:c r="F673" s="15" t="n">
        <x:v>1205.3600000000004</x:v>
      </x:c>
      <x:c r="G673" s="1" t="str">
        <x:v>m2</x:v>
      </x:c>
      <x:c r="H673" s="17" t="n">
        <x:v>270</x:v>
      </x:c>
      <x:c r="I673" s="17" t="n">
        <x:v>8</x:v>
      </x:c>
      <x:c r="J673" s="17" t="n">
        <x:f>ROUNDUP(F673/H673,0)</x:f>
        <x:v>5</x:v>
      </x:c>
      <x:c r="K673" s="1" t="n">
        <x:f>MAX(L672+2)</x:f>
        <x:v>462</x:v>
      </x:c>
      <x:c r="L673" s="1" t="n">
        <x:f>K673+J673</x:f>
        <x:v>467</x:v>
      </x:c>
      <x:c r="M673" s="1" t="n">
        <x:f>N673-J673</x:f>
        <x:v>474</x:v>
      </x:c>
      <x:c r="N673" s="1" t="n">
        <x:f>MIN(M674-0)</x:f>
        <x:v>479</x:v>
      </x:c>
      <x:c r="O673" s="1" t="n">
        <x:f>M673-K673</x:f>
        <x:v>12</x:v>
      </x:c>
      <x:c r="P673" s="19" t="n">
        <x:f>INDEX('Calendar'!$C$8:$C$907,K673+1)</x:f>
        <x:v>46867</x:v>
      </x:c>
      <x:c r="Q673" s="19" t="n">
        <x:f>INDEX('Calendar'!$C$8:$C$907,MAX(K673+1,L673))</x:f>
        <x:v>46871</x:v>
      </x:c>
      <x:c r="R673" s="15" t="n">
        <x:v>10245.560000000003</x:v>
      </x:c>
      <x:c r="S673" s="15"/>
      <x:c r="T673" s="15" t="n">
        <x:f>R673/J673</x:f>
        <x:v>2049.1120000000005</x:v>
      </x:c>
    </x:row>
    <x:row r="674" ht="23" customHeight="1">
      <x:c r="A674" s="6" t="str">
        <x:v>T5-L11-D</x:v>
      </x:c>
      <x:c r="B674" s="6" t="str">
        <x:v>T5</x:v>
      </x:c>
      <x:c r="C674" s="6" t="str">
        <x:v>L11</x:v>
      </x:c>
      <x:c r="D674" s="6" t="str">
        <x:v>Door sets and ironmongery</x:v>
      </x:c>
      <x:c r="E674" s="6" t="str">
        <x:v>Finishes</x:v>
      </x:c>
      <x:c r="F674" s="14" t="n">
        <x:v>28</x:v>
      </x:c>
      <x:c r="G674" s="6" t="str">
        <x:v>nr</x:v>
      </x:c>
      <x:c r="H674" s="16" t="n">
        <x:v>10</x:v>
      </x:c>
      <x:c r="I674" s="16" t="n">
        <x:v>4</x:v>
      </x:c>
      <x:c r="J674" s="16" t="n">
        <x:f>ROUNDUP(F674/H674,0)</x:f>
        <x:v>3</x:v>
      </x:c>
      <x:c r="K674" s="6" t="n">
        <x:f>MAX(L673+0)</x:f>
        <x:v>467</x:v>
      </x:c>
      <x:c r="L674" s="6" t="n">
        <x:f>K674+J674</x:f>
        <x:v>470</x:v>
      </x:c>
      <x:c r="M674" s="6" t="n">
        <x:f>N674-J674</x:f>
        <x:v>479</x:v>
      </x:c>
      <x:c r="N674" s="6" t="n">
        <x:f>MIN(M816-0)</x:f>
        <x:v>482</x:v>
      </x:c>
      <x:c r="O674" s="6" t="n">
        <x:f>M674-K674</x:f>
        <x:v>12</x:v>
      </x:c>
      <x:c r="P674" s="18" t="n">
        <x:f>INDEX('Calendar'!$C$8:$C$907,K674+1)</x:f>
        <x:v>46872</x:v>
      </x:c>
      <x:c r="Q674" s="18" t="n">
        <x:f>INDEX('Calendar'!$C$8:$C$907,MAX(K674+1,L674))</x:f>
        <x:v>46875</x:v>
      </x:c>
      <x:c r="R674" s="14" t="n">
        <x:v>5796</x:v>
      </x:c>
      <x:c r="S674" s="14"/>
      <x:c r="T674" s="14" t="n">
        <x:f>R674/J674</x:f>
        <x:v>1932</x:v>
      </x:c>
    </x:row>
    <x:row r="675" ht="23" customHeight="1">
      <x:c r="A675" s="1" t="str">
        <x:v>T5-L12-M</x:v>
      </x:c>
      <x:c r="B675" s="1" t="str">
        <x:v>T5</x:v>
      </x:c>
      <x:c r="C675" s="1" t="str">
        <x:v>L12</x:v>
      </x:c>
      <x:c r="D675" s="1" t="str">
        <x:v>Partition masonry</x:v>
      </x:c>
      <x:c r="E675" s="1" t="str">
        <x:v>Masonry</x:v>
      </x:c>
      <x:c r="F675" s="15" t="n">
        <x:v>90.40200000000002</x:v>
      </x:c>
      <x:c r="G675" s="1" t="str">
        <x:v>m3</x:v>
      </x:c>
      <x:c r="H675" s="17" t="n">
        <x:v>22</x:v>
      </x:c>
      <x:c r="I675" s="17" t="n">
        <x:v>10</x:v>
      </x:c>
      <x:c r="J675" s="17" t="n">
        <x:f>ROUNDUP(F675/H675,0)</x:f>
        <x:v>5</x:v>
      </x:c>
      <x:c r="K675" s="1" t="n">
        <x:f>MAX(L599+5)</x:f>
        <x:v>421</x:v>
      </x:c>
      <x:c r="L675" s="1" t="n">
        <x:f>K675+J675</x:f>
        <x:v>426</x:v>
      </x:c>
      <x:c r="M675" s="1" t="n">
        <x:f>N675-J675</x:f>
        <x:v>433</x:v>
      </x:c>
      <x:c r="N675" s="1" t="n">
        <x:f>MIN(M676-3)</x:f>
        <x:v>438</x:v>
      </x:c>
      <x:c r="O675" s="1" t="n">
        <x:f>M675-K675</x:f>
        <x:v>12</x:v>
      </x:c>
      <x:c r="P675" s="19" t="n">
        <x:f>INDEX('Calendar'!$C$8:$C$907,K675+1)</x:f>
        <x:v>46819</x:v>
      </x:c>
      <x:c r="Q675" s="19" t="n">
        <x:f>INDEX('Calendar'!$C$8:$C$907,MAX(K675+1,L675))</x:f>
        <x:v>46823</x:v>
      </x:c>
      <x:c r="R675" s="15" t="n">
        <x:v>12204.27</x:v>
      </x:c>
      <x:c r="S675" s="15"/>
      <x:c r="T675" s="15" t="n">
        <x:f>R675/J675</x:f>
        <x:v>2440.8540000000003</x:v>
      </x:c>
    </x:row>
    <x:row r="676" ht="23" customHeight="1">
      <x:c r="A676" s="6" t="str">
        <x:v>T5-L12-P</x:v>
      </x:c>
      <x:c r="B676" s="6" t="str">
        <x:v>T5</x:v>
      </x:c>
      <x:c r="C676" s="6" t="str">
        <x:v>L12</x:v>
      </x:c>
      <x:c r="D676" s="6" t="str">
        <x:v>Internal plaster</x:v>
      </x:c>
      <x:c r="E676" s="6" t="str">
        <x:v>Finishes</x:v>
      </x:c>
      <x:c r="F676" s="14" t="n">
        <x:v>1205.3600000000006</x:v>
      </x:c>
      <x:c r="G676" s="6" t="str">
        <x:v>m2</x:v>
      </x:c>
      <x:c r="H676" s="16" t="n">
        <x:v>220</x:v>
      </x:c>
      <x:c r="I676" s="16" t="n">
        <x:v>10</x:v>
      </x:c>
      <x:c r="J676" s="16" t="n">
        <x:f>ROUNDUP(F676/H676,0)</x:f>
        <x:v>6</x:v>
      </x:c>
      <x:c r="K676" s="6" t="n">
        <x:f>MAX(L675+3)</x:f>
        <x:v>429</x:v>
      </x:c>
      <x:c r="L676" s="6" t="n">
        <x:f>K676+J676</x:f>
        <x:v>435</x:v>
      </x:c>
      <x:c r="M676" s="6" t="n">
        <x:f>N676-J676</x:f>
        <x:v>441</x:v>
      </x:c>
      <x:c r="N676" s="6" t="n">
        <x:f>MIN(M677-2)</x:f>
        <x:v>447</x:v>
      </x:c>
      <x:c r="O676" s="6" t="n">
        <x:f>M676-K676</x:f>
        <x:v>12</x:v>
      </x:c>
      <x:c r="P676" s="18" t="n">
        <x:f>INDEX('Calendar'!$C$8:$C$907,K676+1)</x:f>
        <x:v>46828</x:v>
      </x:c>
      <x:c r="Q676" s="18" t="n">
        <x:f>INDEX('Calendar'!$C$8:$C$907,MAX(K676+1,L676))</x:f>
        <x:v>46834</x:v>
      </x:c>
      <x:c r="R676" s="14" t="n">
        <x:v>15067.000000000005</x:v>
      </x:c>
      <x:c r="S676" s="14"/>
      <x:c r="T676" s="14" t="n">
        <x:f>R676/J676</x:f>
        <x:v>2511.1666666666674</x:v>
      </x:c>
    </x:row>
    <x:row r="677" ht="23" customHeight="1">
      <x:c r="A677" s="1" t="str">
        <x:v>T5-L12-S</x:v>
      </x:c>
      <x:c r="B677" s="1" t="str">
        <x:v>T5</x:v>
      </x:c>
      <x:c r="C677" s="1" t="str">
        <x:v>L12</x:v>
      </x:c>
      <x:c r="D677" s="1" t="str">
        <x:v>Screed and substrate preparation</x:v>
      </x:c>
      <x:c r="E677" s="1" t="str">
        <x:v>Finishes</x:v>
      </x:c>
      <x:c r="F677" s="15" t="n">
        <x:v>696</x:v>
      </x:c>
      <x:c r="G677" s="1" t="str">
        <x:v>m2</x:v>
      </x:c>
      <x:c r="H677" s="17" t="n">
        <x:v>240</x:v>
      </x:c>
      <x:c r="I677" s="17" t="n">
        <x:v>8</x:v>
      </x:c>
      <x:c r="J677" s="17" t="n">
        <x:f>ROUNDUP(F677/H677,0)</x:f>
        <x:v>3</x:v>
      </x:c>
      <x:c r="K677" s="1" t="n">
        <x:f>MAX(L676+2)</x:f>
        <x:v>437</x:v>
      </x:c>
      <x:c r="L677" s="1" t="n">
        <x:f>K677+J677</x:f>
        <x:v>440</x:v>
      </x:c>
      <x:c r="M677" s="1" t="n">
        <x:f>N677-J677</x:f>
        <x:v>449</x:v>
      </x:c>
      <x:c r="N677" s="1" t="n">
        <x:f>MIN(M678-14)</x:f>
        <x:v>452</x:v>
      </x:c>
      <x:c r="O677" s="1" t="n">
        <x:f>M677-K677</x:f>
        <x:v>12</x:v>
      </x:c>
      <x:c r="P677" s="19" t="n">
        <x:f>INDEX('Calendar'!$C$8:$C$907,K677+1)</x:f>
        <x:v>46837</x:v>
      </x:c>
      <x:c r="Q677" s="19" t="n">
        <x:f>INDEX('Calendar'!$C$8:$C$907,MAX(K677+1,L677))</x:f>
        <x:v>46840</x:v>
      </x:c>
      <x:c r="R677" s="15" t="n">
        <x:v>9048</x:v>
      </x:c>
      <x:c r="S677" s="15"/>
      <x:c r="T677" s="15" t="n">
        <x:f>R677/J677</x:f>
        <x:v>3016</x:v>
      </x:c>
    </x:row>
    <x:row r="678" ht="23" customHeight="1">
      <x:c r="A678" s="6" t="str">
        <x:v>T5-L12-T</x:v>
      </x:c>
      <x:c r="B678" s="6" t="str">
        <x:v>T5</x:v>
      </x:c>
      <x:c r="C678" s="6" t="str">
        <x:v>L12</x:v>
      </x:c>
      <x:c r="D678" s="6" t="str">
        <x:v>Floor finishes and skirtings</x:v>
      </x:c>
      <x:c r="E678" s="6" t="str">
        <x:v>Finishes</x:v>
      </x:c>
      <x:c r="F678" s="14" t="n">
        <x:v>696</x:v>
      </x:c>
      <x:c r="G678" s="6" t="str">
        <x:v>m2</x:v>
      </x:c>
      <x:c r="H678" s="16" t="n">
        <x:v>130</x:v>
      </x:c>
      <x:c r="I678" s="16" t="n">
        <x:v>8</x:v>
      </x:c>
      <x:c r="J678" s="16" t="n">
        <x:f>ROUNDUP(F678/H678,0)</x:f>
        <x:v>6</x:v>
      </x:c>
      <x:c r="K678" s="6" t="n">
        <x:f>MAX(L677+14,L602+0)</x:f>
        <x:v>454</x:v>
      </x:c>
      <x:c r="L678" s="6" t="n">
        <x:f>K678+J678</x:f>
        <x:v>460</x:v>
      </x:c>
      <x:c r="M678" s="6" t="n">
        <x:f>N678-J678</x:f>
        <x:v>466</x:v>
      </x:c>
      <x:c r="N678" s="6" t="n">
        <x:f>MIN(M679-2)</x:f>
        <x:v>472</x:v>
      </x:c>
      <x:c r="O678" s="6" t="n">
        <x:f>M678-K678</x:f>
        <x:v>12</x:v>
      </x:c>
      <x:c r="P678" s="18" t="n">
        <x:f>INDEX('Calendar'!$C$8:$C$907,K678+1)</x:f>
        <x:v>46857</x:v>
      </x:c>
      <x:c r="Q678" s="18" t="n">
        <x:f>INDEX('Calendar'!$C$8:$C$907,MAX(K678+1,L678))</x:f>
        <x:v>46863</x:v>
      </x:c>
      <x:c r="R678" s="14" t="n">
        <x:v>24012</x:v>
      </x:c>
      <x:c r="S678" s="14"/>
      <x:c r="T678" s="14" t="n">
        <x:f>R678/J678</x:f>
        <x:v>4002</x:v>
      </x:c>
    </x:row>
    <x:row r="679" ht="23" customHeight="1">
      <x:c r="A679" s="1" t="str">
        <x:v>T5-L12-A</x:v>
      </x:c>
      <x:c r="B679" s="1" t="str">
        <x:v>T5</x:v>
      </x:c>
      <x:c r="C679" s="1" t="str">
        <x:v>L12</x:v>
      </x:c>
      <x:c r="D679" s="1" t="str">
        <x:v>Paint and final decorations</x:v>
      </x:c>
      <x:c r="E679" s="1" t="str">
        <x:v>Finishes</x:v>
      </x:c>
      <x:c r="F679" s="15" t="n">
        <x:v>1205.3600000000004</x:v>
      </x:c>
      <x:c r="G679" s="1" t="str">
        <x:v>m2</x:v>
      </x:c>
      <x:c r="H679" s="17" t="n">
        <x:v>270</x:v>
      </x:c>
      <x:c r="I679" s="17" t="n">
        <x:v>8</x:v>
      </x:c>
      <x:c r="J679" s="17" t="n">
        <x:f>ROUNDUP(F679/H679,0)</x:f>
        <x:v>5</x:v>
      </x:c>
      <x:c r="K679" s="1" t="n">
        <x:f>MAX(L678+2)</x:f>
        <x:v>462</x:v>
      </x:c>
      <x:c r="L679" s="1" t="n">
        <x:f>K679+J679</x:f>
        <x:v>467</x:v>
      </x:c>
      <x:c r="M679" s="1" t="n">
        <x:f>N679-J679</x:f>
        <x:v>474</x:v>
      </x:c>
      <x:c r="N679" s="1" t="n">
        <x:f>MIN(M680-0)</x:f>
        <x:v>479</x:v>
      </x:c>
      <x:c r="O679" s="1" t="n">
        <x:f>M679-K679</x:f>
        <x:v>12</x:v>
      </x:c>
      <x:c r="P679" s="19" t="n">
        <x:f>INDEX('Calendar'!$C$8:$C$907,K679+1)</x:f>
        <x:v>46867</x:v>
      </x:c>
      <x:c r="Q679" s="19" t="n">
        <x:f>INDEX('Calendar'!$C$8:$C$907,MAX(K679+1,L679))</x:f>
        <x:v>46871</x:v>
      </x:c>
      <x:c r="R679" s="15" t="n">
        <x:v>10245.560000000003</x:v>
      </x:c>
      <x:c r="S679" s="15"/>
      <x:c r="T679" s="15" t="n">
        <x:f>R679/J679</x:f>
        <x:v>2049.1120000000005</x:v>
      </x:c>
    </x:row>
    <x:row r="680" ht="23" customHeight="1">
      <x:c r="A680" s="6" t="str">
        <x:v>T5-L12-D</x:v>
      </x:c>
      <x:c r="B680" s="6" t="str">
        <x:v>T5</x:v>
      </x:c>
      <x:c r="C680" s="6" t="str">
        <x:v>L12</x:v>
      </x:c>
      <x:c r="D680" s="6" t="str">
        <x:v>Door sets and ironmongery</x:v>
      </x:c>
      <x:c r="E680" s="6" t="str">
        <x:v>Finishes</x:v>
      </x:c>
      <x:c r="F680" s="14" t="n">
        <x:v>28</x:v>
      </x:c>
      <x:c r="G680" s="6" t="str">
        <x:v>nr</x:v>
      </x:c>
      <x:c r="H680" s="16" t="n">
        <x:v>10</x:v>
      </x:c>
      <x:c r="I680" s="16" t="n">
        <x:v>4</x:v>
      </x:c>
      <x:c r="J680" s="16" t="n">
        <x:f>ROUNDUP(F680/H680,0)</x:f>
        <x:v>3</x:v>
      </x:c>
      <x:c r="K680" s="6" t="n">
        <x:f>MAX(L679+0)</x:f>
        <x:v>467</x:v>
      </x:c>
      <x:c r="L680" s="6" t="n">
        <x:f>K680+J680</x:f>
        <x:v>470</x:v>
      </x:c>
      <x:c r="M680" s="6" t="n">
        <x:f>N680-J680</x:f>
        <x:v>479</x:v>
      </x:c>
      <x:c r="N680" s="6" t="n">
        <x:f>MIN(M816-0)</x:f>
        <x:v>482</x:v>
      </x:c>
      <x:c r="O680" s="6" t="n">
        <x:f>M680-K680</x:f>
        <x:v>12</x:v>
      </x:c>
      <x:c r="P680" s="18" t="n">
        <x:f>INDEX('Calendar'!$C$8:$C$907,K680+1)</x:f>
        <x:v>46872</x:v>
      </x:c>
      <x:c r="Q680" s="18" t="n">
        <x:f>INDEX('Calendar'!$C$8:$C$907,MAX(K680+1,L680))</x:f>
        <x:v>46875</x:v>
      </x:c>
      <x:c r="R680" s="14" t="n">
        <x:v>5796</x:v>
      </x:c>
      <x:c r="S680" s="14"/>
      <x:c r="T680" s="14" t="n">
        <x:f>R680/J680</x:f>
        <x:v>1932</x:v>
      </x:c>
    </x:row>
    <x:row r="681" ht="23" customHeight="1">
      <x:c r="A681" s="1" t="str">
        <x:v>T6-L00-F</x:v>
      </x:c>
      <x:c r="B681" s="1" t="str">
        <x:v>T6</x:v>
      </x:c>
      <x:c r="C681" s="1" t="str">
        <x:v>L00</x:v>
      </x:c>
      <x:c r="D681" s="1" t="str">
        <x:v>Columns, core and deck formwork</x:v>
      </x:c>
      <x:c r="E681" s="1" t="str">
        <x:v>Formwork</x:v>
      </x:c>
      <x:c r="F681" s="15" t="n">
        <x:v>1222.6600000000005</x:v>
      </x:c>
      <x:c r="G681" s="1" t="str">
        <x:v>m2</x:v>
      </x:c>
      <x:c r="H681" s="17" t="n">
        <x:v>220</x:v>
      </x:c>
      <x:c r="I681" s="17" t="n">
        <x:v>18</x:v>
      </x:c>
      <x:c r="J681" s="17" t="n">
        <x:f>ROUNDUP(F681/H681,0)</x:f>
        <x:v>6</x:v>
      </x:c>
      <x:c r="K681" s="1" t="n">
        <x:f>MAX(L12+(7+5*'Controls'!$B$11))</x:f>
        <x:v>194</x:v>
      </x:c>
      <x:c r="L681" s="1" t="n">
        <x:f>K681+J681</x:f>
        <x:v>200</x:v>
      </x:c>
      <x:c r="M681" s="1" t="n">
        <x:f>N681-J681</x:f>
        <x:v>194</x:v>
      </x:c>
      <x:c r="N681" s="1" t="n">
        <x:f>MIN(M682-0)</x:f>
        <x:v>200</x:v>
      </x:c>
      <x:c r="O681" s="1" t="n">
        <x:f>M681-K681</x:f>
        <x:v>0</x:v>
      </x:c>
      <x:c r="P681" s="19" t="n">
        <x:f>INDEX('Calendar'!$C$8:$C$907,K681+1)</x:f>
        <x:v>46554</x:v>
      </x:c>
      <x:c r="Q681" s="19" t="n">
        <x:f>INDEX('Calendar'!$C$8:$C$907,MAX(K681+1,L681))</x:f>
        <x:v>46560</x:v>
      </x:c>
      <x:c r="R681" s="15" t="n">
        <x:v>29364.320000000007</x:v>
      </x:c>
      <x:c r="S681" s="15"/>
      <x:c r="T681" s="15" t="n">
        <x:f>R681/J681</x:f>
        <x:v>4894.053333333334</x:v>
      </x:c>
    </x:row>
    <x:row r="682" ht="23" customHeight="1">
      <x:c r="A682" s="6" t="str">
        <x:v>T6-L00-R</x:v>
      </x:c>
      <x:c r="B682" s="6" t="str">
        <x:v>T6</x:v>
      </x:c>
      <x:c r="C682" s="6" t="str">
        <x:v>L00</x:v>
      </x:c>
      <x:c r="D682" s="6" t="str">
        <x:v>Column, wall, beam and slab reinforcement</x:v>
      </x:c>
      <x:c r="E682" s="6" t="str">
        <x:v>Rebar</x:v>
      </x:c>
      <x:c r="F682" s="14" t="n">
        <x:v>29.684139475407747</x:v>
      </x:c>
      <x:c r="G682" s="6" t="str">
        <x:v>t</x:v>
      </x:c>
      <x:c r="H682" s="16" t="n">
        <x:v>7</x:v>
      </x:c>
      <x:c r="I682" s="16" t="n">
        <x:v>14</x:v>
      </x:c>
      <x:c r="J682" s="16" t="n">
        <x:f>ROUNDUP(F682/H682,0)</x:f>
        <x:v>5</x:v>
      </x:c>
      <x:c r="K682" s="6" t="n">
        <x:f>MAX(L681+0)</x:f>
        <x:v>200</x:v>
      </x:c>
      <x:c r="L682" s="6" t="n">
        <x:f>K682+J682</x:f>
        <x:v>205</x:v>
      </x:c>
      <x:c r="M682" s="6" t="n">
        <x:f>N682-J682</x:f>
        <x:v>200</x:v>
      </x:c>
      <x:c r="N682" s="6" t="n">
        <x:f>MIN(M683-0)</x:f>
        <x:v>205</x:v>
      </x:c>
      <x:c r="O682" s="6" t="n">
        <x:f>M682-K682</x:f>
        <x:v>0</x:v>
      </x:c>
      <x:c r="P682" s="18" t="n">
        <x:f>INDEX('Calendar'!$C$8:$C$907,K682+1)</x:f>
        <x:v>46561</x:v>
      </x:c>
      <x:c r="Q682" s="18" t="n">
        <x:f>INDEX('Calendar'!$C$8:$C$907,MAX(K682+1,L682))</x:f>
        <x:v>46566</x:v>
      </x:c>
      <x:c r="R682" s="14" t="n">
        <x:v>25795.51720412933</x:v>
      </x:c>
      <x:c r="S682" s="14"/>
      <x:c r="T682" s="14" t="n">
        <x:f>R682/J682</x:f>
        <x:v>5159.103440825866</x:v>
      </x:c>
    </x:row>
    <x:row r="683" ht="23" customHeight="1">
      <x:c r="A683" s="1" t="str">
        <x:v>T6-L00-C</x:v>
      </x:c>
      <x:c r="B683" s="1" t="str">
        <x:v>T6</x:v>
      </x:c>
      <x:c r="C683" s="1" t="str">
        <x:v>L00</x:v>
      </x:c>
      <x:c r="D683" s="1" t="str">
        <x:v>Concrete placement and finishing</x:v>
      </x:c>
      <x:c r="E683" s="1" t="str">
        <x:v>Concrete</x:v>
      </x:c>
      <x:c r="F683" s="15" t="n">
        <x:v>226.70819999999958</x:v>
      </x:c>
      <x:c r="G683" s="1" t="str">
        <x:v>m3</x:v>
      </x:c>
      <x:c r="H683" s="17" t="n">
        <x:v>170</x:v>
      </x:c>
      <x:c r="I683" s="17" t="n">
        <x:v>12</x:v>
      </x:c>
      <x:c r="J683" s="17" t="n">
        <x:f>ROUNDUP(F683/H683,0)</x:f>
        <x:v>2</x:v>
      </x:c>
      <x:c r="K683" s="1" t="n">
        <x:f>MAX(L682+0)</x:f>
        <x:v>205</x:v>
      </x:c>
      <x:c r="L683" s="1" t="n">
        <x:f>K683+J683</x:f>
        <x:v>207</x:v>
      </x:c>
      <x:c r="M683" s="1" t="n">
        <x:f>N683-J683</x:f>
        <x:v>205</x:v>
      </x:c>
      <x:c r="N683" s="1" t="n">
        <x:f>MIN(M684-0)</x:f>
        <x:v>207</x:v>
      </x:c>
      <x:c r="O683" s="1" t="n">
        <x:f>M683-K683</x:f>
        <x:v>0</x:v>
      </x:c>
      <x:c r="P683" s="19" t="n">
        <x:f>INDEX('Calendar'!$C$8:$C$907,K683+1)</x:f>
        <x:v>46567</x:v>
      </x:c>
      <x:c r="Q683" s="19" t="n">
        <x:f>INDEX('Calendar'!$C$8:$C$907,MAX(K683+1,L683))</x:f>
        <x:v>46568</x:v>
      </x:c>
      <x:c r="R683" s="15" t="n">
        <x:v>33527.39699999994</x:v>
      </x:c>
      <x:c r="S683" s="15"/>
      <x:c r="T683" s="15" t="n">
        <x:f>R683/J683</x:f>
        <x:v>16763.69849999997</x:v>
      </x:c>
    </x:row>
    <x:row r="684" ht="23" customHeight="1">
      <x:c r="A684" s="6" t="str">
        <x:v>T6-L00-H</x:v>
      </x:c>
      <x:c r="B684" s="6" t="str">
        <x:v>T6</x:v>
      </x:c>
      <x:c r="C684" s="6" t="str">
        <x:v>L00</x:v>
      </x:c>
      <x:c r="D684" s="6" t="str">
        <x:v>Curing and release hold point</x:v>
      </x:c>
      <x:c r="E684" s="6" t="str">
        <x:v>Site</x:v>
      </x:c>
      <x:c r="F684" s="14" t="n">
        <x:v>1</x:v>
      </x:c>
      <x:c r="G684" s="6" t="str">
        <x:v>hold</x:v>
      </x:c>
      <x:c r="H684" s="16" t="n">
        <x:v>1</x:v>
      </x:c>
      <x:c r="I684" s="16" t="n">
        <x:v>0</x:v>
      </x:c>
      <x:c r="J684" s="16" t="n">
        <x:f>S684</x:f>
        <x:v>5</x:v>
      </x:c>
      <x:c r="K684" s="6" t="n">
        <x:f>MAX(L683+0)</x:f>
        <x:v>207</x:v>
      </x:c>
      <x:c r="L684" s="6" t="n">
        <x:f>K684+J684</x:f>
        <x:v>212</x:v>
      </x:c>
      <x:c r="M684" s="6" t="n">
        <x:f>N684-J684</x:f>
        <x:v>207</x:v>
      </x:c>
      <x:c r="N684" s="6" t="n">
        <x:f>MIN(M685-0)</x:f>
        <x:v>212</x:v>
      </x:c>
      <x:c r="O684" s="6" t="n">
        <x:f>M684-K684</x:f>
        <x:v>0</x:v>
      </x:c>
      <x:c r="P684" s="18" t="n">
        <x:f>INDEX('Calendar'!$C$8:$C$907,K684+1)</x:f>
        <x:v>46569</x:v>
      </x:c>
      <x:c r="Q684" s="18" t="n">
        <x:f>INDEX('Calendar'!$C$8:$C$907,MAX(K684+1,L684))</x:f>
        <x:v>46574</x:v>
      </x:c>
      <x:c r="R684" s="14" t="n">
        <x:v>0</x:v>
      </x:c>
      <x:c r="S684" s="14" t="n">
        <x:v>5</x:v>
      </x:c>
      <x:c r="T684" s="14" t="n">
        <x:f>R684/J684</x:f>
        <x:v>0</x:v>
      </x:c>
    </x:row>
    <x:row r="685" ht="23" customHeight="1">
      <x:c r="A685" s="1" t="str">
        <x:v>T6-L01-F</x:v>
      </x:c>
      <x:c r="B685" s="1" t="str">
        <x:v>T6</x:v>
      </x:c>
      <x:c r="C685" s="1" t="str">
        <x:v>L01</x:v>
      </x:c>
      <x:c r="D685" s="1" t="str">
        <x:v>Columns, core and deck formwork</x:v>
      </x:c>
      <x:c r="E685" s="1" t="str">
        <x:v>Formwork</x:v>
      </x:c>
      <x:c r="F685" s="15" t="n">
        <x:v>1222.6600000000005</x:v>
      </x:c>
      <x:c r="G685" s="1" t="str">
        <x:v>m2</x:v>
      </x:c>
      <x:c r="H685" s="17" t="n">
        <x:v>220</x:v>
      </x:c>
      <x:c r="I685" s="17" t="n">
        <x:v>18</x:v>
      </x:c>
      <x:c r="J685" s="17" t="n">
        <x:f>ROUNDUP(F685/H685,0)</x:f>
        <x:v>6</x:v>
      </x:c>
      <x:c r="K685" s="1" t="n">
        <x:f>MAX(L684+0)</x:f>
        <x:v>212</x:v>
      </x:c>
      <x:c r="L685" s="1" t="n">
        <x:f>K685+J685</x:f>
        <x:v>218</x:v>
      </x:c>
      <x:c r="M685" s="1" t="n">
        <x:f>N685-J685</x:f>
        <x:v>212</x:v>
      </x:c>
      <x:c r="N685" s="1" t="n">
        <x:f>MIN(M686-0)</x:f>
        <x:v>218</x:v>
      </x:c>
      <x:c r="O685" s="1" t="n">
        <x:f>M685-K685</x:f>
        <x:v>0</x:v>
      </x:c>
      <x:c r="P685" s="19" t="n">
        <x:f>INDEX('Calendar'!$C$8:$C$907,K685+1)</x:f>
        <x:v>46575</x:v>
      </x:c>
      <x:c r="Q685" s="19" t="n">
        <x:f>INDEX('Calendar'!$C$8:$C$907,MAX(K685+1,L685))</x:f>
        <x:v>46581</x:v>
      </x:c>
      <x:c r="R685" s="15" t="n">
        <x:v>29364.320000000007</x:v>
      </x:c>
      <x:c r="S685" s="15"/>
      <x:c r="T685" s="15" t="n">
        <x:f>R685/J685</x:f>
        <x:v>4894.053333333334</x:v>
      </x:c>
    </x:row>
    <x:row r="686" ht="23" customHeight="1">
      <x:c r="A686" s="6" t="str">
        <x:v>T6-L01-R</x:v>
      </x:c>
      <x:c r="B686" s="6" t="str">
        <x:v>T6</x:v>
      </x:c>
      <x:c r="C686" s="6" t="str">
        <x:v>L01</x:v>
      </x:c>
      <x:c r="D686" s="6" t="str">
        <x:v>Column, wall, beam and slab reinforcement</x:v>
      </x:c>
      <x:c r="E686" s="6" t="str">
        <x:v>Rebar</x:v>
      </x:c>
      <x:c r="F686" s="14" t="n">
        <x:v>29.684139475407747</x:v>
      </x:c>
      <x:c r="G686" s="6" t="str">
        <x:v>t</x:v>
      </x:c>
      <x:c r="H686" s="16" t="n">
        <x:v>7</x:v>
      </x:c>
      <x:c r="I686" s="16" t="n">
        <x:v>14</x:v>
      </x:c>
      <x:c r="J686" s="16" t="n">
        <x:f>ROUNDUP(F686/H686,0)</x:f>
        <x:v>5</x:v>
      </x:c>
      <x:c r="K686" s="6" t="n">
        <x:f>MAX(L685+0)</x:f>
        <x:v>218</x:v>
      </x:c>
      <x:c r="L686" s="6" t="n">
        <x:f>K686+J686</x:f>
        <x:v>223</x:v>
      </x:c>
      <x:c r="M686" s="6" t="n">
        <x:f>N686-J686</x:f>
        <x:v>218</x:v>
      </x:c>
      <x:c r="N686" s="6" t="n">
        <x:f>MIN(M687-0)</x:f>
        <x:v>223</x:v>
      </x:c>
      <x:c r="O686" s="6" t="n">
        <x:f>M686-K686</x:f>
        <x:v>0</x:v>
      </x:c>
      <x:c r="P686" s="18" t="n">
        <x:f>INDEX('Calendar'!$C$8:$C$907,K686+1)</x:f>
        <x:v>46582</x:v>
      </x:c>
      <x:c r="Q686" s="18" t="n">
        <x:f>INDEX('Calendar'!$C$8:$C$907,MAX(K686+1,L686))</x:f>
        <x:v>46587</x:v>
      </x:c>
      <x:c r="R686" s="14" t="n">
        <x:v>25795.51720412933</x:v>
      </x:c>
      <x:c r="S686" s="14"/>
      <x:c r="T686" s="14" t="n">
        <x:f>R686/J686</x:f>
        <x:v>5159.103440825866</x:v>
      </x:c>
    </x:row>
    <x:row r="687" ht="23" customHeight="1">
      <x:c r="A687" s="1" t="str">
        <x:v>T6-L01-C</x:v>
      </x:c>
      <x:c r="B687" s="1" t="str">
        <x:v>T6</x:v>
      </x:c>
      <x:c r="C687" s="1" t="str">
        <x:v>L01</x:v>
      </x:c>
      <x:c r="D687" s="1" t="str">
        <x:v>Concrete placement and finishing</x:v>
      </x:c>
      <x:c r="E687" s="1" t="str">
        <x:v>Concrete</x:v>
      </x:c>
      <x:c r="F687" s="15" t="n">
        <x:v>226.70819999999958</x:v>
      </x:c>
      <x:c r="G687" s="1" t="str">
        <x:v>m3</x:v>
      </x:c>
      <x:c r="H687" s="17" t="n">
        <x:v>170</x:v>
      </x:c>
      <x:c r="I687" s="17" t="n">
        <x:v>12</x:v>
      </x:c>
      <x:c r="J687" s="17" t="n">
        <x:f>ROUNDUP(F687/H687,0)</x:f>
        <x:v>2</x:v>
      </x:c>
      <x:c r="K687" s="1" t="n">
        <x:f>MAX(L686+0)</x:f>
        <x:v>223</x:v>
      </x:c>
      <x:c r="L687" s="1" t="n">
        <x:f>K687+J687</x:f>
        <x:v>225</x:v>
      </x:c>
      <x:c r="M687" s="1" t="n">
        <x:f>N687-J687</x:f>
        <x:v>223</x:v>
      </x:c>
      <x:c r="N687" s="1" t="n">
        <x:f>MIN(M688-0)</x:f>
        <x:v>225</x:v>
      </x:c>
      <x:c r="O687" s="1" t="n">
        <x:f>M687-K687</x:f>
        <x:v>0</x:v>
      </x:c>
      <x:c r="P687" s="19" t="n">
        <x:f>INDEX('Calendar'!$C$8:$C$907,K687+1)</x:f>
        <x:v>46588</x:v>
      </x:c>
      <x:c r="Q687" s="19" t="n">
        <x:f>INDEX('Calendar'!$C$8:$C$907,MAX(K687+1,L687))</x:f>
        <x:v>46589</x:v>
      </x:c>
      <x:c r="R687" s="15" t="n">
        <x:v>33527.39699999994</x:v>
      </x:c>
      <x:c r="S687" s="15"/>
      <x:c r="T687" s="15" t="n">
        <x:f>R687/J687</x:f>
        <x:v>16763.69849999997</x:v>
      </x:c>
    </x:row>
    <x:row r="688" ht="23" customHeight="1">
      <x:c r="A688" s="6" t="str">
        <x:v>T6-L01-H</x:v>
      </x:c>
      <x:c r="B688" s="6" t="str">
        <x:v>T6</x:v>
      </x:c>
      <x:c r="C688" s="6" t="str">
        <x:v>L01</x:v>
      </x:c>
      <x:c r="D688" s="6" t="str">
        <x:v>Curing and release hold point</x:v>
      </x:c>
      <x:c r="E688" s="6" t="str">
        <x:v>Site</x:v>
      </x:c>
      <x:c r="F688" s="14" t="n">
        <x:v>1</x:v>
      </x:c>
      <x:c r="G688" s="6" t="str">
        <x:v>hold</x:v>
      </x:c>
      <x:c r="H688" s="16" t="n">
        <x:v>1</x:v>
      </x:c>
      <x:c r="I688" s="16" t="n">
        <x:v>0</x:v>
      </x:c>
      <x:c r="J688" s="16" t="n">
        <x:f>S688</x:f>
        <x:v>5</x:v>
      </x:c>
      <x:c r="K688" s="6" t="n">
        <x:f>MAX(L687+0)</x:f>
        <x:v>225</x:v>
      </x:c>
      <x:c r="L688" s="6" t="n">
        <x:f>K688+J688</x:f>
        <x:v>230</x:v>
      </x:c>
      <x:c r="M688" s="6" t="n">
        <x:f>N688-J688</x:f>
        <x:v>225</x:v>
      </x:c>
      <x:c r="N688" s="6" t="n">
        <x:f>MIN(M689-0)</x:f>
        <x:v>230</x:v>
      </x:c>
      <x:c r="O688" s="6" t="n">
        <x:f>M688-K688</x:f>
        <x:v>0</x:v>
      </x:c>
      <x:c r="P688" s="18" t="n">
        <x:f>INDEX('Calendar'!$C$8:$C$907,K688+1)</x:f>
        <x:v>46590</x:v>
      </x:c>
      <x:c r="Q688" s="18" t="n">
        <x:f>INDEX('Calendar'!$C$8:$C$907,MAX(K688+1,L688))</x:f>
        <x:v>46595</x:v>
      </x:c>
      <x:c r="R688" s="14" t="n">
        <x:v>0</x:v>
      </x:c>
      <x:c r="S688" s="14" t="n">
        <x:v>5</x:v>
      </x:c>
      <x:c r="T688" s="14" t="n">
        <x:f>R688/J688</x:f>
        <x:v>0</x:v>
      </x:c>
    </x:row>
    <x:row r="689" ht="23" customHeight="1">
      <x:c r="A689" s="1" t="str">
        <x:v>T6-L02-F</x:v>
      </x:c>
      <x:c r="B689" s="1" t="str">
        <x:v>T6</x:v>
      </x:c>
      <x:c r="C689" s="1" t="str">
        <x:v>L02</x:v>
      </x:c>
      <x:c r="D689" s="1" t="str">
        <x:v>Columns, core and deck formwork</x:v>
      </x:c>
      <x:c r="E689" s="1" t="str">
        <x:v>Formwork</x:v>
      </x:c>
      <x:c r="F689" s="15" t="n">
        <x:v>1222.6600000000005</x:v>
      </x:c>
      <x:c r="G689" s="1" t="str">
        <x:v>m2</x:v>
      </x:c>
      <x:c r="H689" s="17" t="n">
        <x:v>220</x:v>
      </x:c>
      <x:c r="I689" s="17" t="n">
        <x:v>18</x:v>
      </x:c>
      <x:c r="J689" s="17" t="n">
        <x:f>ROUNDUP(F689/H689,0)</x:f>
        <x:v>6</x:v>
      </x:c>
      <x:c r="K689" s="1" t="n">
        <x:f>MAX(L688+0)</x:f>
        <x:v>230</x:v>
      </x:c>
      <x:c r="L689" s="1" t="n">
        <x:f>K689+J689</x:f>
        <x:v>236</x:v>
      </x:c>
      <x:c r="M689" s="1" t="n">
        <x:f>N689-J689</x:f>
        <x:v>230</x:v>
      </x:c>
      <x:c r="N689" s="1" t="n">
        <x:f>MIN(M690-0)</x:f>
        <x:v>236</x:v>
      </x:c>
      <x:c r="O689" s="1" t="n">
        <x:f>M689-K689</x:f>
        <x:v>0</x:v>
      </x:c>
      <x:c r="P689" s="19" t="n">
        <x:f>INDEX('Calendar'!$C$8:$C$907,K689+1)</x:f>
        <x:v>46596</x:v>
      </x:c>
      <x:c r="Q689" s="19" t="n">
        <x:f>INDEX('Calendar'!$C$8:$C$907,MAX(K689+1,L689))</x:f>
        <x:v>46602</x:v>
      </x:c>
      <x:c r="R689" s="15" t="n">
        <x:v>29364.320000000007</x:v>
      </x:c>
      <x:c r="S689" s="15"/>
      <x:c r="T689" s="15" t="n">
        <x:f>R689/J689</x:f>
        <x:v>4894.053333333334</x:v>
      </x:c>
    </x:row>
    <x:row r="690" ht="23" customHeight="1">
      <x:c r="A690" s="6" t="str">
        <x:v>T6-L02-R</x:v>
      </x:c>
      <x:c r="B690" s="6" t="str">
        <x:v>T6</x:v>
      </x:c>
      <x:c r="C690" s="6" t="str">
        <x:v>L02</x:v>
      </x:c>
      <x:c r="D690" s="6" t="str">
        <x:v>Column, wall, beam and slab reinforcement</x:v>
      </x:c>
      <x:c r="E690" s="6" t="str">
        <x:v>Rebar</x:v>
      </x:c>
      <x:c r="F690" s="14" t="n">
        <x:v>29.684139475407747</x:v>
      </x:c>
      <x:c r="G690" s="6" t="str">
        <x:v>t</x:v>
      </x:c>
      <x:c r="H690" s="16" t="n">
        <x:v>7</x:v>
      </x:c>
      <x:c r="I690" s="16" t="n">
        <x:v>14</x:v>
      </x:c>
      <x:c r="J690" s="16" t="n">
        <x:f>ROUNDUP(F690/H690,0)</x:f>
        <x:v>5</x:v>
      </x:c>
      <x:c r="K690" s="6" t="n">
        <x:f>MAX(L689+0)</x:f>
        <x:v>236</x:v>
      </x:c>
      <x:c r="L690" s="6" t="n">
        <x:f>K690+J690</x:f>
        <x:v>241</x:v>
      </x:c>
      <x:c r="M690" s="6" t="n">
        <x:f>N690-J690</x:f>
        <x:v>236</x:v>
      </x:c>
      <x:c r="N690" s="6" t="n">
        <x:f>MIN(M691-0)</x:f>
        <x:v>241</x:v>
      </x:c>
      <x:c r="O690" s="6" t="n">
        <x:f>M690-K690</x:f>
        <x:v>0</x:v>
      </x:c>
      <x:c r="P690" s="18" t="n">
        <x:f>INDEX('Calendar'!$C$8:$C$907,K690+1)</x:f>
        <x:v>46603</x:v>
      </x:c>
      <x:c r="Q690" s="18" t="n">
        <x:f>INDEX('Calendar'!$C$8:$C$907,MAX(K690+1,L690))</x:f>
        <x:v>46608</x:v>
      </x:c>
      <x:c r="R690" s="14" t="n">
        <x:v>25795.51720412933</x:v>
      </x:c>
      <x:c r="S690" s="14"/>
      <x:c r="T690" s="14" t="n">
        <x:f>R690/J690</x:f>
        <x:v>5159.103440825866</x:v>
      </x:c>
    </x:row>
    <x:row r="691" ht="23" customHeight="1">
      <x:c r="A691" s="1" t="str">
        <x:v>T6-L02-C</x:v>
      </x:c>
      <x:c r="B691" s="1" t="str">
        <x:v>T6</x:v>
      </x:c>
      <x:c r="C691" s="1" t="str">
        <x:v>L02</x:v>
      </x:c>
      <x:c r="D691" s="1" t="str">
        <x:v>Concrete placement and finishing</x:v>
      </x:c>
      <x:c r="E691" s="1" t="str">
        <x:v>Concrete</x:v>
      </x:c>
      <x:c r="F691" s="15" t="n">
        <x:v>226.70819999999958</x:v>
      </x:c>
      <x:c r="G691" s="1" t="str">
        <x:v>m3</x:v>
      </x:c>
      <x:c r="H691" s="17" t="n">
        <x:v>170</x:v>
      </x:c>
      <x:c r="I691" s="17" t="n">
        <x:v>12</x:v>
      </x:c>
      <x:c r="J691" s="17" t="n">
        <x:f>ROUNDUP(F691/H691,0)</x:f>
        <x:v>2</x:v>
      </x:c>
      <x:c r="K691" s="1" t="n">
        <x:f>MAX(L690+0)</x:f>
        <x:v>241</x:v>
      </x:c>
      <x:c r="L691" s="1" t="n">
        <x:f>K691+J691</x:f>
        <x:v>243</x:v>
      </x:c>
      <x:c r="M691" s="1" t="n">
        <x:f>N691-J691</x:f>
        <x:v>241</x:v>
      </x:c>
      <x:c r="N691" s="1" t="n">
        <x:f>MIN(M692-0)</x:f>
        <x:v>243</x:v>
      </x:c>
      <x:c r="O691" s="1" t="n">
        <x:f>M691-K691</x:f>
        <x:v>0</x:v>
      </x:c>
      <x:c r="P691" s="19" t="n">
        <x:f>INDEX('Calendar'!$C$8:$C$907,K691+1)</x:f>
        <x:v>46609</x:v>
      </x:c>
      <x:c r="Q691" s="19" t="n">
        <x:f>INDEX('Calendar'!$C$8:$C$907,MAX(K691+1,L691))</x:f>
        <x:v>46610</x:v>
      </x:c>
      <x:c r="R691" s="15" t="n">
        <x:v>33527.39699999994</x:v>
      </x:c>
      <x:c r="S691" s="15"/>
      <x:c r="T691" s="15" t="n">
        <x:f>R691/J691</x:f>
        <x:v>16763.69849999997</x:v>
      </x:c>
    </x:row>
    <x:row r="692" ht="23" customHeight="1">
      <x:c r="A692" s="6" t="str">
        <x:v>T6-L02-H</x:v>
      </x:c>
      <x:c r="B692" s="6" t="str">
        <x:v>T6</x:v>
      </x:c>
      <x:c r="C692" s="6" t="str">
        <x:v>L02</x:v>
      </x:c>
      <x:c r="D692" s="6" t="str">
        <x:v>Curing and release hold point</x:v>
      </x:c>
      <x:c r="E692" s="6" t="str">
        <x:v>Site</x:v>
      </x:c>
      <x:c r="F692" s="14" t="n">
        <x:v>1</x:v>
      </x:c>
      <x:c r="G692" s="6" t="str">
        <x:v>hold</x:v>
      </x:c>
      <x:c r="H692" s="16" t="n">
        <x:v>1</x:v>
      </x:c>
      <x:c r="I692" s="16" t="n">
        <x:v>0</x:v>
      </x:c>
      <x:c r="J692" s="16" t="n">
        <x:f>S692</x:f>
        <x:v>5</x:v>
      </x:c>
      <x:c r="K692" s="6" t="n">
        <x:f>MAX(L691+0)</x:f>
        <x:v>243</x:v>
      </x:c>
      <x:c r="L692" s="6" t="n">
        <x:f>K692+J692</x:f>
        <x:v>248</x:v>
      </x:c>
      <x:c r="M692" s="6" t="n">
        <x:f>N692-J692</x:f>
        <x:v>243</x:v>
      </x:c>
      <x:c r="N692" s="6" t="n">
        <x:f>MIN(M693-0)</x:f>
        <x:v>248</x:v>
      </x:c>
      <x:c r="O692" s="6" t="n">
        <x:f>M692-K692</x:f>
        <x:v>0</x:v>
      </x:c>
      <x:c r="P692" s="18" t="n">
        <x:f>INDEX('Calendar'!$C$8:$C$907,K692+1)</x:f>
        <x:v>46611</x:v>
      </x:c>
      <x:c r="Q692" s="18" t="n">
        <x:f>INDEX('Calendar'!$C$8:$C$907,MAX(K692+1,L692))</x:f>
        <x:v>46616</x:v>
      </x:c>
      <x:c r="R692" s="14" t="n">
        <x:v>0</x:v>
      </x:c>
      <x:c r="S692" s="14" t="n">
        <x:v>5</x:v>
      </x:c>
      <x:c r="T692" s="14" t="n">
        <x:f>R692/J692</x:f>
        <x:v>0</x:v>
      </x:c>
    </x:row>
    <x:row r="693" ht="23" customHeight="1">
      <x:c r="A693" s="1" t="str">
        <x:v>T6-L03-F</x:v>
      </x:c>
      <x:c r="B693" s="1" t="str">
        <x:v>T6</x:v>
      </x:c>
      <x:c r="C693" s="1" t="str">
        <x:v>L03</x:v>
      </x:c>
      <x:c r="D693" s="1" t="str">
        <x:v>Columns, core and deck formwork</x:v>
      </x:c>
      <x:c r="E693" s="1" t="str">
        <x:v>Formwork</x:v>
      </x:c>
      <x:c r="F693" s="15" t="n">
        <x:v>1222.6600000000005</x:v>
      </x:c>
      <x:c r="G693" s="1" t="str">
        <x:v>m2</x:v>
      </x:c>
      <x:c r="H693" s="17" t="n">
        <x:v>220</x:v>
      </x:c>
      <x:c r="I693" s="17" t="n">
        <x:v>18</x:v>
      </x:c>
      <x:c r="J693" s="17" t="n">
        <x:f>ROUNDUP(F693/H693,0)</x:f>
        <x:v>6</x:v>
      </x:c>
      <x:c r="K693" s="1" t="n">
        <x:f>MAX(L692+0)</x:f>
        <x:v>248</x:v>
      </x:c>
      <x:c r="L693" s="1" t="n">
        <x:f>K693+J693</x:f>
        <x:v>254</x:v>
      </x:c>
      <x:c r="M693" s="1" t="n">
        <x:f>N693-J693</x:f>
        <x:v>248</x:v>
      </x:c>
      <x:c r="N693" s="1" t="n">
        <x:f>MIN(M694-0)</x:f>
        <x:v>254</x:v>
      </x:c>
      <x:c r="O693" s="1" t="n">
        <x:f>M693-K693</x:f>
        <x:v>0</x:v>
      </x:c>
      <x:c r="P693" s="19" t="n">
        <x:f>INDEX('Calendar'!$C$8:$C$907,K693+1)</x:f>
        <x:v>46617</x:v>
      </x:c>
      <x:c r="Q693" s="19" t="n">
        <x:f>INDEX('Calendar'!$C$8:$C$907,MAX(K693+1,L693))</x:f>
        <x:v>46623</x:v>
      </x:c>
      <x:c r="R693" s="15" t="n">
        <x:v>29364.320000000007</x:v>
      </x:c>
      <x:c r="S693" s="15"/>
      <x:c r="T693" s="15" t="n">
        <x:f>R693/J693</x:f>
        <x:v>4894.053333333334</x:v>
      </x:c>
    </x:row>
    <x:row r="694" ht="23" customHeight="1">
      <x:c r="A694" s="6" t="str">
        <x:v>T6-L03-R</x:v>
      </x:c>
      <x:c r="B694" s="6" t="str">
        <x:v>T6</x:v>
      </x:c>
      <x:c r="C694" s="6" t="str">
        <x:v>L03</x:v>
      </x:c>
      <x:c r="D694" s="6" t="str">
        <x:v>Column, wall, beam and slab reinforcement</x:v>
      </x:c>
      <x:c r="E694" s="6" t="str">
        <x:v>Rebar</x:v>
      </x:c>
      <x:c r="F694" s="14" t="n">
        <x:v>29.684139475407747</x:v>
      </x:c>
      <x:c r="G694" s="6" t="str">
        <x:v>t</x:v>
      </x:c>
      <x:c r="H694" s="16" t="n">
        <x:v>7</x:v>
      </x:c>
      <x:c r="I694" s="16" t="n">
        <x:v>14</x:v>
      </x:c>
      <x:c r="J694" s="16" t="n">
        <x:f>ROUNDUP(F694/H694,0)</x:f>
        <x:v>5</x:v>
      </x:c>
      <x:c r="K694" s="6" t="n">
        <x:f>MAX(L693+0)</x:f>
        <x:v>254</x:v>
      </x:c>
      <x:c r="L694" s="6" t="n">
        <x:f>K694+J694</x:f>
        <x:v>259</x:v>
      </x:c>
      <x:c r="M694" s="6" t="n">
        <x:f>N694-J694</x:f>
        <x:v>254</x:v>
      </x:c>
      <x:c r="N694" s="6" t="n">
        <x:f>MIN(M695-0)</x:f>
        <x:v>259</x:v>
      </x:c>
      <x:c r="O694" s="6" t="n">
        <x:f>M694-K694</x:f>
        <x:v>0</x:v>
      </x:c>
      <x:c r="P694" s="18" t="n">
        <x:f>INDEX('Calendar'!$C$8:$C$907,K694+1)</x:f>
        <x:v>46624</x:v>
      </x:c>
      <x:c r="Q694" s="18" t="n">
        <x:f>INDEX('Calendar'!$C$8:$C$907,MAX(K694+1,L694))</x:f>
        <x:v>46629</x:v>
      </x:c>
      <x:c r="R694" s="14" t="n">
        <x:v>25795.51720412933</x:v>
      </x:c>
      <x:c r="S694" s="14"/>
      <x:c r="T694" s="14" t="n">
        <x:f>R694/J694</x:f>
        <x:v>5159.103440825866</x:v>
      </x:c>
    </x:row>
    <x:row r="695" ht="23" customHeight="1">
      <x:c r="A695" s="1" t="str">
        <x:v>T6-L03-C</x:v>
      </x:c>
      <x:c r="B695" s="1" t="str">
        <x:v>T6</x:v>
      </x:c>
      <x:c r="C695" s="1" t="str">
        <x:v>L03</x:v>
      </x:c>
      <x:c r="D695" s="1" t="str">
        <x:v>Concrete placement and finishing</x:v>
      </x:c>
      <x:c r="E695" s="1" t="str">
        <x:v>Concrete</x:v>
      </x:c>
      <x:c r="F695" s="15" t="n">
        <x:v>226.70819999999958</x:v>
      </x:c>
      <x:c r="G695" s="1" t="str">
        <x:v>m3</x:v>
      </x:c>
      <x:c r="H695" s="17" t="n">
        <x:v>170</x:v>
      </x:c>
      <x:c r="I695" s="17" t="n">
        <x:v>12</x:v>
      </x:c>
      <x:c r="J695" s="17" t="n">
        <x:f>ROUNDUP(F695/H695,0)</x:f>
        <x:v>2</x:v>
      </x:c>
      <x:c r="K695" s="1" t="n">
        <x:f>MAX(L694+0)</x:f>
        <x:v>259</x:v>
      </x:c>
      <x:c r="L695" s="1" t="n">
        <x:f>K695+J695</x:f>
        <x:v>261</x:v>
      </x:c>
      <x:c r="M695" s="1" t="n">
        <x:f>N695-J695</x:f>
        <x:v>259</x:v>
      </x:c>
      <x:c r="N695" s="1" t="n">
        <x:f>MIN(M696-0)</x:f>
        <x:v>261</x:v>
      </x:c>
      <x:c r="O695" s="1" t="n">
        <x:f>M695-K695</x:f>
        <x:v>0</x:v>
      </x:c>
      <x:c r="P695" s="19" t="n">
        <x:f>INDEX('Calendar'!$C$8:$C$907,K695+1)</x:f>
        <x:v>46630</x:v>
      </x:c>
      <x:c r="Q695" s="19" t="n">
        <x:f>INDEX('Calendar'!$C$8:$C$907,MAX(K695+1,L695))</x:f>
        <x:v>46631</x:v>
      </x:c>
      <x:c r="R695" s="15" t="n">
        <x:v>33527.39699999994</x:v>
      </x:c>
      <x:c r="S695" s="15"/>
      <x:c r="T695" s="15" t="n">
        <x:f>R695/J695</x:f>
        <x:v>16763.69849999997</x:v>
      </x:c>
    </x:row>
    <x:row r="696" ht="23" customHeight="1">
      <x:c r="A696" s="6" t="str">
        <x:v>T6-L03-H</x:v>
      </x:c>
      <x:c r="B696" s="6" t="str">
        <x:v>T6</x:v>
      </x:c>
      <x:c r="C696" s="6" t="str">
        <x:v>L03</x:v>
      </x:c>
      <x:c r="D696" s="6" t="str">
        <x:v>Curing and release hold point</x:v>
      </x:c>
      <x:c r="E696" s="6" t="str">
        <x:v>Site</x:v>
      </x:c>
      <x:c r="F696" s="14" t="n">
        <x:v>1</x:v>
      </x:c>
      <x:c r="G696" s="6" t="str">
        <x:v>hold</x:v>
      </x:c>
      <x:c r="H696" s="16" t="n">
        <x:v>1</x:v>
      </x:c>
      <x:c r="I696" s="16" t="n">
        <x:v>0</x:v>
      </x:c>
      <x:c r="J696" s="16" t="n">
        <x:f>S696</x:f>
        <x:v>5</x:v>
      </x:c>
      <x:c r="K696" s="6" t="n">
        <x:f>MAX(L695+0)</x:f>
        <x:v>261</x:v>
      </x:c>
      <x:c r="L696" s="6" t="n">
        <x:f>K696+J696</x:f>
        <x:v>266</x:v>
      </x:c>
      <x:c r="M696" s="6" t="n">
        <x:f>N696-J696</x:f>
        <x:v>261</x:v>
      </x:c>
      <x:c r="N696" s="6" t="n">
        <x:f>MIN(M697-0,M736-5)</x:f>
        <x:v>266</x:v>
      </x:c>
      <x:c r="O696" s="6" t="n">
        <x:f>M696-K696</x:f>
        <x:v>0</x:v>
      </x:c>
      <x:c r="P696" s="18" t="n">
        <x:f>INDEX('Calendar'!$C$8:$C$907,K696+1)</x:f>
        <x:v>46632</x:v>
      </x:c>
      <x:c r="Q696" s="18" t="n">
        <x:f>INDEX('Calendar'!$C$8:$C$907,MAX(K696+1,L696))</x:f>
        <x:v>46637</x:v>
      </x:c>
      <x:c r="R696" s="14" t="n">
        <x:v>0</x:v>
      </x:c>
      <x:c r="S696" s="14" t="n">
        <x:v>5</x:v>
      </x:c>
      <x:c r="T696" s="14" t="n">
        <x:f>R696/J696</x:f>
        <x:v>0</x:v>
      </x:c>
    </x:row>
    <x:row r="697" ht="23" customHeight="1">
      <x:c r="A697" s="1" t="str">
        <x:v>T6-L04-F</x:v>
      </x:c>
      <x:c r="B697" s="1" t="str">
        <x:v>T6</x:v>
      </x:c>
      <x:c r="C697" s="1" t="str">
        <x:v>L04</x:v>
      </x:c>
      <x:c r="D697" s="1" t="str">
        <x:v>Columns, core and deck formwork</x:v>
      </x:c>
      <x:c r="E697" s="1" t="str">
        <x:v>Formwork</x:v>
      </x:c>
      <x:c r="F697" s="15" t="n">
        <x:v>1222.6600000000005</x:v>
      </x:c>
      <x:c r="G697" s="1" t="str">
        <x:v>m2</x:v>
      </x:c>
      <x:c r="H697" s="17" t="n">
        <x:v>220</x:v>
      </x:c>
      <x:c r="I697" s="17" t="n">
        <x:v>18</x:v>
      </x:c>
      <x:c r="J697" s="17" t="n">
        <x:f>ROUNDUP(F697/H697,0)</x:f>
        <x:v>6</x:v>
      </x:c>
      <x:c r="K697" s="1" t="n">
        <x:f>MAX(L696+0)</x:f>
        <x:v>266</x:v>
      </x:c>
      <x:c r="L697" s="1" t="n">
        <x:f>K697+J697</x:f>
        <x:v>272</x:v>
      </x:c>
      <x:c r="M697" s="1" t="n">
        <x:f>N697-J697</x:f>
        <x:v>266</x:v>
      </x:c>
      <x:c r="N697" s="1" t="n">
        <x:f>MIN(M698-0)</x:f>
        <x:v>272</x:v>
      </x:c>
      <x:c r="O697" s="1" t="n">
        <x:f>M697-K697</x:f>
        <x:v>0</x:v>
      </x:c>
      <x:c r="P697" s="19" t="n">
        <x:f>INDEX('Calendar'!$C$8:$C$907,K697+1)</x:f>
        <x:v>46638</x:v>
      </x:c>
      <x:c r="Q697" s="19" t="n">
        <x:f>INDEX('Calendar'!$C$8:$C$907,MAX(K697+1,L697))</x:f>
        <x:v>46644</x:v>
      </x:c>
      <x:c r="R697" s="15" t="n">
        <x:v>29364.320000000007</x:v>
      </x:c>
      <x:c r="S697" s="15"/>
      <x:c r="T697" s="15" t="n">
        <x:f>R697/J697</x:f>
        <x:v>4894.053333333334</x:v>
      </x:c>
    </x:row>
    <x:row r="698" ht="23" customHeight="1">
      <x:c r="A698" s="6" t="str">
        <x:v>T6-L04-R</x:v>
      </x:c>
      <x:c r="B698" s="6" t="str">
        <x:v>T6</x:v>
      </x:c>
      <x:c r="C698" s="6" t="str">
        <x:v>L04</x:v>
      </x:c>
      <x:c r="D698" s="6" t="str">
        <x:v>Column, wall, beam and slab reinforcement</x:v>
      </x:c>
      <x:c r="E698" s="6" t="str">
        <x:v>Rebar</x:v>
      </x:c>
      <x:c r="F698" s="14" t="n">
        <x:v>29.684139475407747</x:v>
      </x:c>
      <x:c r="G698" s="6" t="str">
        <x:v>t</x:v>
      </x:c>
      <x:c r="H698" s="16" t="n">
        <x:v>7</x:v>
      </x:c>
      <x:c r="I698" s="16" t="n">
        <x:v>14</x:v>
      </x:c>
      <x:c r="J698" s="16" t="n">
        <x:f>ROUNDUP(F698/H698,0)</x:f>
        <x:v>5</x:v>
      </x:c>
      <x:c r="K698" s="6" t="n">
        <x:f>MAX(L697+0)</x:f>
        <x:v>272</x:v>
      </x:c>
      <x:c r="L698" s="6" t="n">
        <x:f>K698+J698</x:f>
        <x:v>277</x:v>
      </x:c>
      <x:c r="M698" s="6" t="n">
        <x:f>N698-J698</x:f>
        <x:v>272</x:v>
      </x:c>
      <x:c r="N698" s="6" t="n">
        <x:f>MIN(M699-0)</x:f>
        <x:v>277</x:v>
      </x:c>
      <x:c r="O698" s="6" t="n">
        <x:f>M698-K698</x:f>
        <x:v>0</x:v>
      </x:c>
      <x:c r="P698" s="18" t="n">
        <x:f>INDEX('Calendar'!$C$8:$C$907,K698+1)</x:f>
        <x:v>46645</x:v>
      </x:c>
      <x:c r="Q698" s="18" t="n">
        <x:f>INDEX('Calendar'!$C$8:$C$907,MAX(K698+1,L698))</x:f>
        <x:v>46650</x:v>
      </x:c>
      <x:c r="R698" s="14" t="n">
        <x:v>25795.51720412933</x:v>
      </x:c>
      <x:c r="S698" s="14"/>
      <x:c r="T698" s="14" t="n">
        <x:f>R698/J698</x:f>
        <x:v>5159.103440825866</x:v>
      </x:c>
    </x:row>
    <x:row r="699" ht="23" customHeight="1">
      <x:c r="A699" s="1" t="str">
        <x:v>T6-L04-C</x:v>
      </x:c>
      <x:c r="B699" s="1" t="str">
        <x:v>T6</x:v>
      </x:c>
      <x:c r="C699" s="1" t="str">
        <x:v>L04</x:v>
      </x:c>
      <x:c r="D699" s="1" t="str">
        <x:v>Concrete placement and finishing</x:v>
      </x:c>
      <x:c r="E699" s="1" t="str">
        <x:v>Concrete</x:v>
      </x:c>
      <x:c r="F699" s="15" t="n">
        <x:v>226.70819999999958</x:v>
      </x:c>
      <x:c r="G699" s="1" t="str">
        <x:v>m3</x:v>
      </x:c>
      <x:c r="H699" s="17" t="n">
        <x:v>170</x:v>
      </x:c>
      <x:c r="I699" s="17" t="n">
        <x:v>12</x:v>
      </x:c>
      <x:c r="J699" s="17" t="n">
        <x:f>ROUNDUP(F699/H699,0)</x:f>
        <x:v>2</x:v>
      </x:c>
      <x:c r="K699" s="1" t="n">
        <x:f>MAX(L698+0)</x:f>
        <x:v>277</x:v>
      </x:c>
      <x:c r="L699" s="1" t="n">
        <x:f>K699+J699</x:f>
        <x:v>279</x:v>
      </x:c>
      <x:c r="M699" s="1" t="n">
        <x:f>N699-J699</x:f>
        <x:v>277</x:v>
      </x:c>
      <x:c r="N699" s="1" t="n">
        <x:f>MIN(M700-0)</x:f>
        <x:v>279</x:v>
      </x:c>
      <x:c r="O699" s="1" t="n">
        <x:f>M699-K699</x:f>
        <x:v>0</x:v>
      </x:c>
      <x:c r="P699" s="19" t="n">
        <x:f>INDEX('Calendar'!$C$8:$C$907,K699+1)</x:f>
        <x:v>46651</x:v>
      </x:c>
      <x:c r="Q699" s="19" t="n">
        <x:f>INDEX('Calendar'!$C$8:$C$907,MAX(K699+1,L699))</x:f>
        <x:v>46652</x:v>
      </x:c>
      <x:c r="R699" s="15" t="n">
        <x:v>33527.39699999994</x:v>
      </x:c>
      <x:c r="S699" s="15"/>
      <x:c r="T699" s="15" t="n">
        <x:f>R699/J699</x:f>
        <x:v>16763.69849999997</x:v>
      </x:c>
    </x:row>
    <x:row r="700" ht="23" customHeight="1">
      <x:c r="A700" s="6" t="str">
        <x:v>T6-L04-H</x:v>
      </x:c>
      <x:c r="B700" s="6" t="str">
        <x:v>T6</x:v>
      </x:c>
      <x:c r="C700" s="6" t="str">
        <x:v>L04</x:v>
      </x:c>
      <x:c r="D700" s="6" t="str">
        <x:v>Curing and release hold point</x:v>
      </x:c>
      <x:c r="E700" s="6" t="str">
        <x:v>Site</x:v>
      </x:c>
      <x:c r="F700" s="14" t="n">
        <x:v>1</x:v>
      </x:c>
      <x:c r="G700" s="6" t="str">
        <x:v>hold</x:v>
      </x:c>
      <x:c r="H700" s="16" t="n">
        <x:v>1</x:v>
      </x:c>
      <x:c r="I700" s="16" t="n">
        <x:v>0</x:v>
      </x:c>
      <x:c r="J700" s="16" t="n">
        <x:f>S700</x:f>
        <x:v>5</x:v>
      </x:c>
      <x:c r="K700" s="6" t="n">
        <x:f>MAX(L699+0)</x:f>
        <x:v>279</x:v>
      </x:c>
      <x:c r="L700" s="6" t="n">
        <x:f>K700+J700</x:f>
        <x:v>284</x:v>
      </x:c>
      <x:c r="M700" s="6" t="n">
        <x:f>N700-J700</x:f>
        <x:v>279</x:v>
      </x:c>
      <x:c r="N700" s="6" t="n">
        <x:f>MIN(M701-0,M742-5)</x:f>
        <x:v>284</x:v>
      </x:c>
      <x:c r="O700" s="6" t="n">
        <x:f>M700-K700</x:f>
        <x:v>0</x:v>
      </x:c>
      <x:c r="P700" s="18" t="n">
        <x:f>INDEX('Calendar'!$C$8:$C$907,K700+1)</x:f>
        <x:v>46653</x:v>
      </x:c>
      <x:c r="Q700" s="18" t="n">
        <x:f>INDEX('Calendar'!$C$8:$C$907,MAX(K700+1,L700))</x:f>
        <x:v>46658</x:v>
      </x:c>
      <x:c r="R700" s="14" t="n">
        <x:v>0</x:v>
      </x:c>
      <x:c r="S700" s="14" t="n">
        <x:v>5</x:v>
      </x:c>
      <x:c r="T700" s="14" t="n">
        <x:f>R700/J700</x:f>
        <x:v>0</x:v>
      </x:c>
    </x:row>
    <x:row r="701" ht="23" customHeight="1">
      <x:c r="A701" s="1" t="str">
        <x:v>T6-L05-F</x:v>
      </x:c>
      <x:c r="B701" s="1" t="str">
        <x:v>T6</x:v>
      </x:c>
      <x:c r="C701" s="1" t="str">
        <x:v>L05</x:v>
      </x:c>
      <x:c r="D701" s="1" t="str">
        <x:v>Columns, core and deck formwork</x:v>
      </x:c>
      <x:c r="E701" s="1" t="str">
        <x:v>Formwork</x:v>
      </x:c>
      <x:c r="F701" s="15" t="n">
        <x:v>1222.6600000000005</x:v>
      </x:c>
      <x:c r="G701" s="1" t="str">
        <x:v>m2</x:v>
      </x:c>
      <x:c r="H701" s="17" t="n">
        <x:v>220</x:v>
      </x:c>
      <x:c r="I701" s="17" t="n">
        <x:v>18</x:v>
      </x:c>
      <x:c r="J701" s="17" t="n">
        <x:f>ROUNDUP(F701/H701,0)</x:f>
        <x:v>6</x:v>
      </x:c>
      <x:c r="K701" s="1" t="n">
        <x:f>MAX(L700+0)</x:f>
        <x:v>284</x:v>
      </x:c>
      <x:c r="L701" s="1" t="n">
        <x:f>K701+J701</x:f>
        <x:v>290</x:v>
      </x:c>
      <x:c r="M701" s="1" t="n">
        <x:f>N701-J701</x:f>
        <x:v>284</x:v>
      </x:c>
      <x:c r="N701" s="1" t="n">
        <x:f>MIN(M702-0)</x:f>
        <x:v>290</x:v>
      </x:c>
      <x:c r="O701" s="1" t="n">
        <x:f>M701-K701</x:f>
        <x:v>0</x:v>
      </x:c>
      <x:c r="P701" s="19" t="n">
        <x:f>INDEX('Calendar'!$C$8:$C$907,K701+1)</x:f>
        <x:v>46659</x:v>
      </x:c>
      <x:c r="Q701" s="19" t="n">
        <x:f>INDEX('Calendar'!$C$8:$C$907,MAX(K701+1,L701))</x:f>
        <x:v>46665</x:v>
      </x:c>
      <x:c r="R701" s="15" t="n">
        <x:v>29364.320000000007</x:v>
      </x:c>
      <x:c r="S701" s="15"/>
      <x:c r="T701" s="15" t="n">
        <x:f>R701/J701</x:f>
        <x:v>4894.053333333334</x:v>
      </x:c>
    </x:row>
    <x:row r="702" ht="23" customHeight="1">
      <x:c r="A702" s="6" t="str">
        <x:v>T6-L05-R</x:v>
      </x:c>
      <x:c r="B702" s="6" t="str">
        <x:v>T6</x:v>
      </x:c>
      <x:c r="C702" s="6" t="str">
        <x:v>L05</x:v>
      </x:c>
      <x:c r="D702" s="6" t="str">
        <x:v>Column, wall, beam and slab reinforcement</x:v>
      </x:c>
      <x:c r="E702" s="6" t="str">
        <x:v>Rebar</x:v>
      </x:c>
      <x:c r="F702" s="14" t="n">
        <x:v>29.684139475407747</x:v>
      </x:c>
      <x:c r="G702" s="6" t="str">
        <x:v>t</x:v>
      </x:c>
      <x:c r="H702" s="16" t="n">
        <x:v>7</x:v>
      </x:c>
      <x:c r="I702" s="16" t="n">
        <x:v>14</x:v>
      </x:c>
      <x:c r="J702" s="16" t="n">
        <x:f>ROUNDUP(F702/H702,0)</x:f>
        <x:v>5</x:v>
      </x:c>
      <x:c r="K702" s="6" t="n">
        <x:f>MAX(L701+0)</x:f>
        <x:v>290</x:v>
      </x:c>
      <x:c r="L702" s="6" t="n">
        <x:f>K702+J702</x:f>
        <x:v>295</x:v>
      </x:c>
      <x:c r="M702" s="6" t="n">
        <x:f>N702-J702</x:f>
        <x:v>290</x:v>
      </x:c>
      <x:c r="N702" s="6" t="n">
        <x:f>MIN(M703-0)</x:f>
        <x:v>295</x:v>
      </x:c>
      <x:c r="O702" s="6" t="n">
        <x:f>M702-K702</x:f>
        <x:v>0</x:v>
      </x:c>
      <x:c r="P702" s="18" t="n">
        <x:f>INDEX('Calendar'!$C$8:$C$907,K702+1)</x:f>
        <x:v>46666</x:v>
      </x:c>
      <x:c r="Q702" s="18" t="n">
        <x:f>INDEX('Calendar'!$C$8:$C$907,MAX(K702+1,L702))</x:f>
        <x:v>46671</x:v>
      </x:c>
      <x:c r="R702" s="14" t="n">
        <x:v>25795.51720412933</x:v>
      </x:c>
      <x:c r="S702" s="14"/>
      <x:c r="T702" s="14" t="n">
        <x:f>R702/J702</x:f>
        <x:v>5159.103440825866</x:v>
      </x:c>
    </x:row>
    <x:row r="703" ht="23" customHeight="1">
      <x:c r="A703" s="1" t="str">
        <x:v>T6-L05-C</x:v>
      </x:c>
      <x:c r="B703" s="1" t="str">
        <x:v>T6</x:v>
      </x:c>
      <x:c r="C703" s="1" t="str">
        <x:v>L05</x:v>
      </x:c>
      <x:c r="D703" s="1" t="str">
        <x:v>Concrete placement and finishing</x:v>
      </x:c>
      <x:c r="E703" s="1" t="str">
        <x:v>Concrete</x:v>
      </x:c>
      <x:c r="F703" s="15" t="n">
        <x:v>226.70819999999958</x:v>
      </x:c>
      <x:c r="G703" s="1" t="str">
        <x:v>m3</x:v>
      </x:c>
      <x:c r="H703" s="17" t="n">
        <x:v>170</x:v>
      </x:c>
      <x:c r="I703" s="17" t="n">
        <x:v>12</x:v>
      </x:c>
      <x:c r="J703" s="17" t="n">
        <x:f>ROUNDUP(F703/H703,0)</x:f>
        <x:v>2</x:v>
      </x:c>
      <x:c r="K703" s="1" t="n">
        <x:f>MAX(L702+0)</x:f>
        <x:v>295</x:v>
      </x:c>
      <x:c r="L703" s="1" t="n">
        <x:f>K703+J703</x:f>
        <x:v>297</x:v>
      </x:c>
      <x:c r="M703" s="1" t="n">
        <x:f>N703-J703</x:f>
        <x:v>295</x:v>
      </x:c>
      <x:c r="N703" s="1" t="n">
        <x:f>MIN(M704-0)</x:f>
        <x:v>297</x:v>
      </x:c>
      <x:c r="O703" s="1" t="n">
        <x:f>M703-K703</x:f>
        <x:v>0</x:v>
      </x:c>
      <x:c r="P703" s="19" t="n">
        <x:f>INDEX('Calendar'!$C$8:$C$907,K703+1)</x:f>
        <x:v>46672</x:v>
      </x:c>
      <x:c r="Q703" s="19" t="n">
        <x:f>INDEX('Calendar'!$C$8:$C$907,MAX(K703+1,L703))</x:f>
        <x:v>46673</x:v>
      </x:c>
      <x:c r="R703" s="15" t="n">
        <x:v>33527.39699999994</x:v>
      </x:c>
      <x:c r="S703" s="15"/>
      <x:c r="T703" s="15" t="n">
        <x:f>R703/J703</x:f>
        <x:v>16763.69849999997</x:v>
      </x:c>
    </x:row>
    <x:row r="704" ht="23" customHeight="1">
      <x:c r="A704" s="6" t="str">
        <x:v>T6-L05-H</x:v>
      </x:c>
      <x:c r="B704" s="6" t="str">
        <x:v>T6</x:v>
      </x:c>
      <x:c r="C704" s="6" t="str">
        <x:v>L05</x:v>
      </x:c>
      <x:c r="D704" s="6" t="str">
        <x:v>Curing and release hold point</x:v>
      </x:c>
      <x:c r="E704" s="6" t="str">
        <x:v>Site</x:v>
      </x:c>
      <x:c r="F704" s="14" t="n">
        <x:v>1</x:v>
      </x:c>
      <x:c r="G704" s="6" t="str">
        <x:v>hold</x:v>
      </x:c>
      <x:c r="H704" s="16" t="n">
        <x:v>1</x:v>
      </x:c>
      <x:c r="I704" s="16" t="n">
        <x:v>0</x:v>
      </x:c>
      <x:c r="J704" s="16" t="n">
        <x:f>S704</x:f>
        <x:v>5</x:v>
      </x:c>
      <x:c r="K704" s="6" t="n">
        <x:f>MAX(L703+0)</x:f>
        <x:v>297</x:v>
      </x:c>
      <x:c r="L704" s="6" t="n">
        <x:f>K704+J704</x:f>
        <x:v>302</x:v>
      </x:c>
      <x:c r="M704" s="6" t="n">
        <x:f>N704-J704</x:f>
        <x:v>297</x:v>
      </x:c>
      <x:c r="N704" s="6" t="n">
        <x:f>MIN(M705-0,M748-5)</x:f>
        <x:v>302</x:v>
      </x:c>
      <x:c r="O704" s="6" t="n">
        <x:f>M704-K704</x:f>
        <x:v>0</x:v>
      </x:c>
      <x:c r="P704" s="18" t="n">
        <x:f>INDEX('Calendar'!$C$8:$C$907,K704+1)</x:f>
        <x:v>46674</x:v>
      </x:c>
      <x:c r="Q704" s="18" t="n">
        <x:f>INDEX('Calendar'!$C$8:$C$907,MAX(K704+1,L704))</x:f>
        <x:v>46679</x:v>
      </x:c>
      <x:c r="R704" s="14" t="n">
        <x:v>0</x:v>
      </x:c>
      <x:c r="S704" s="14" t="n">
        <x:v>5</x:v>
      </x:c>
      <x:c r="T704" s="14" t="n">
        <x:f>R704/J704</x:f>
        <x:v>0</x:v>
      </x:c>
    </x:row>
    <x:row r="705" ht="23" customHeight="1">
      <x:c r="A705" s="1" t="str">
        <x:v>T6-L06-F</x:v>
      </x:c>
      <x:c r="B705" s="1" t="str">
        <x:v>T6</x:v>
      </x:c>
      <x:c r="C705" s="1" t="str">
        <x:v>L06</x:v>
      </x:c>
      <x:c r="D705" s="1" t="str">
        <x:v>Columns, core and deck formwork</x:v>
      </x:c>
      <x:c r="E705" s="1" t="str">
        <x:v>Formwork</x:v>
      </x:c>
      <x:c r="F705" s="15" t="n">
        <x:v>1222.6600000000005</x:v>
      </x:c>
      <x:c r="G705" s="1" t="str">
        <x:v>m2</x:v>
      </x:c>
      <x:c r="H705" s="17" t="n">
        <x:v>220</x:v>
      </x:c>
      <x:c r="I705" s="17" t="n">
        <x:v>18</x:v>
      </x:c>
      <x:c r="J705" s="17" t="n">
        <x:f>ROUNDUP(F705/H705,0)</x:f>
        <x:v>6</x:v>
      </x:c>
      <x:c r="K705" s="1" t="n">
        <x:f>MAX(L704+0)</x:f>
        <x:v>302</x:v>
      </x:c>
      <x:c r="L705" s="1" t="n">
        <x:f>K705+J705</x:f>
        <x:v>308</x:v>
      </x:c>
      <x:c r="M705" s="1" t="n">
        <x:f>N705-J705</x:f>
        <x:v>302</x:v>
      </x:c>
      <x:c r="N705" s="1" t="n">
        <x:f>MIN(M706-0)</x:f>
        <x:v>308</x:v>
      </x:c>
      <x:c r="O705" s="1" t="n">
        <x:f>M705-K705</x:f>
        <x:v>0</x:v>
      </x:c>
      <x:c r="P705" s="19" t="n">
        <x:f>INDEX('Calendar'!$C$8:$C$907,K705+1)</x:f>
        <x:v>46680</x:v>
      </x:c>
      <x:c r="Q705" s="19" t="n">
        <x:f>INDEX('Calendar'!$C$8:$C$907,MAX(K705+1,L705))</x:f>
        <x:v>46686</x:v>
      </x:c>
      <x:c r="R705" s="15" t="n">
        <x:v>29364.320000000007</x:v>
      </x:c>
      <x:c r="S705" s="15"/>
      <x:c r="T705" s="15" t="n">
        <x:f>R705/J705</x:f>
        <x:v>4894.053333333334</x:v>
      </x:c>
    </x:row>
    <x:row r="706" ht="23" customHeight="1">
      <x:c r="A706" s="6" t="str">
        <x:v>T6-L06-R</x:v>
      </x:c>
      <x:c r="B706" s="6" t="str">
        <x:v>T6</x:v>
      </x:c>
      <x:c r="C706" s="6" t="str">
        <x:v>L06</x:v>
      </x:c>
      <x:c r="D706" s="6" t="str">
        <x:v>Column, wall, beam and slab reinforcement</x:v>
      </x:c>
      <x:c r="E706" s="6" t="str">
        <x:v>Rebar</x:v>
      </x:c>
      <x:c r="F706" s="14" t="n">
        <x:v>29.684139475407747</x:v>
      </x:c>
      <x:c r="G706" s="6" t="str">
        <x:v>t</x:v>
      </x:c>
      <x:c r="H706" s="16" t="n">
        <x:v>7</x:v>
      </x:c>
      <x:c r="I706" s="16" t="n">
        <x:v>14</x:v>
      </x:c>
      <x:c r="J706" s="16" t="n">
        <x:f>ROUNDUP(F706/H706,0)</x:f>
        <x:v>5</x:v>
      </x:c>
      <x:c r="K706" s="6" t="n">
        <x:f>MAX(L705+0)</x:f>
        <x:v>308</x:v>
      </x:c>
      <x:c r="L706" s="6" t="n">
        <x:f>K706+J706</x:f>
        <x:v>313</x:v>
      </x:c>
      <x:c r="M706" s="6" t="n">
        <x:f>N706-J706</x:f>
        <x:v>308</x:v>
      </x:c>
      <x:c r="N706" s="6" t="n">
        <x:f>MIN(M707-0)</x:f>
        <x:v>313</x:v>
      </x:c>
      <x:c r="O706" s="6" t="n">
        <x:f>M706-K706</x:f>
        <x:v>0</x:v>
      </x:c>
      <x:c r="P706" s="18" t="n">
        <x:f>INDEX('Calendar'!$C$8:$C$907,K706+1)</x:f>
        <x:v>46687</x:v>
      </x:c>
      <x:c r="Q706" s="18" t="n">
        <x:f>INDEX('Calendar'!$C$8:$C$907,MAX(K706+1,L706))</x:f>
        <x:v>46692</x:v>
      </x:c>
      <x:c r="R706" s="14" t="n">
        <x:v>25795.51720412933</x:v>
      </x:c>
      <x:c r="S706" s="14"/>
      <x:c r="T706" s="14" t="n">
        <x:f>R706/J706</x:f>
        <x:v>5159.103440825866</x:v>
      </x:c>
    </x:row>
    <x:row r="707" ht="23" customHeight="1">
      <x:c r="A707" s="1" t="str">
        <x:v>T6-L06-C</x:v>
      </x:c>
      <x:c r="B707" s="1" t="str">
        <x:v>T6</x:v>
      </x:c>
      <x:c r="C707" s="1" t="str">
        <x:v>L06</x:v>
      </x:c>
      <x:c r="D707" s="1" t="str">
        <x:v>Concrete placement and finishing</x:v>
      </x:c>
      <x:c r="E707" s="1" t="str">
        <x:v>Concrete</x:v>
      </x:c>
      <x:c r="F707" s="15" t="n">
        <x:v>226.70819999999958</x:v>
      </x:c>
      <x:c r="G707" s="1" t="str">
        <x:v>m3</x:v>
      </x:c>
      <x:c r="H707" s="17" t="n">
        <x:v>170</x:v>
      </x:c>
      <x:c r="I707" s="17" t="n">
        <x:v>12</x:v>
      </x:c>
      <x:c r="J707" s="17" t="n">
        <x:f>ROUNDUP(F707/H707,0)</x:f>
        <x:v>2</x:v>
      </x:c>
      <x:c r="K707" s="1" t="n">
        <x:f>MAX(L706+0)</x:f>
        <x:v>313</x:v>
      </x:c>
      <x:c r="L707" s="1" t="n">
        <x:f>K707+J707</x:f>
        <x:v>315</x:v>
      </x:c>
      <x:c r="M707" s="1" t="n">
        <x:f>N707-J707</x:f>
        <x:v>313</x:v>
      </x:c>
      <x:c r="N707" s="1" t="n">
        <x:f>MIN(M708-0)</x:f>
        <x:v>315</x:v>
      </x:c>
      <x:c r="O707" s="1" t="n">
        <x:f>M707-K707</x:f>
        <x:v>0</x:v>
      </x:c>
      <x:c r="P707" s="19" t="n">
        <x:f>INDEX('Calendar'!$C$8:$C$907,K707+1)</x:f>
        <x:v>46693</x:v>
      </x:c>
      <x:c r="Q707" s="19" t="n">
        <x:f>INDEX('Calendar'!$C$8:$C$907,MAX(K707+1,L707))</x:f>
        <x:v>46694</x:v>
      </x:c>
      <x:c r="R707" s="15" t="n">
        <x:v>33527.39699999994</x:v>
      </x:c>
      <x:c r="S707" s="15"/>
      <x:c r="T707" s="15" t="n">
        <x:f>R707/J707</x:f>
        <x:v>16763.69849999997</x:v>
      </x:c>
    </x:row>
    <x:row r="708" ht="23" customHeight="1">
      <x:c r="A708" s="6" t="str">
        <x:v>T6-L06-H</x:v>
      </x:c>
      <x:c r="B708" s="6" t="str">
        <x:v>T6</x:v>
      </x:c>
      <x:c r="C708" s="6" t="str">
        <x:v>L06</x:v>
      </x:c>
      <x:c r="D708" s="6" t="str">
        <x:v>Curing and release hold point</x:v>
      </x:c>
      <x:c r="E708" s="6" t="str">
        <x:v>Site</x:v>
      </x:c>
      <x:c r="F708" s="14" t="n">
        <x:v>1</x:v>
      </x:c>
      <x:c r="G708" s="6" t="str">
        <x:v>hold</x:v>
      </x:c>
      <x:c r="H708" s="16" t="n">
        <x:v>1</x:v>
      </x:c>
      <x:c r="I708" s="16" t="n">
        <x:v>0</x:v>
      </x:c>
      <x:c r="J708" s="16" t="n">
        <x:f>S708</x:f>
        <x:v>5</x:v>
      </x:c>
      <x:c r="K708" s="6" t="n">
        <x:f>MAX(L707+0)</x:f>
        <x:v>315</x:v>
      </x:c>
      <x:c r="L708" s="6" t="n">
        <x:f>K708+J708</x:f>
        <x:v>320</x:v>
      </x:c>
      <x:c r="M708" s="6" t="n">
        <x:f>N708-J708</x:f>
        <x:v>315</x:v>
      </x:c>
      <x:c r="N708" s="6" t="n">
        <x:f>MIN(M709-0,M754-5)</x:f>
        <x:v>320</x:v>
      </x:c>
      <x:c r="O708" s="6" t="n">
        <x:f>M708-K708</x:f>
        <x:v>0</x:v>
      </x:c>
      <x:c r="P708" s="18" t="n">
        <x:f>INDEX('Calendar'!$C$8:$C$907,K708+1)</x:f>
        <x:v>46695</x:v>
      </x:c>
      <x:c r="Q708" s="18" t="n">
        <x:f>INDEX('Calendar'!$C$8:$C$907,MAX(K708+1,L708))</x:f>
        <x:v>46700</x:v>
      </x:c>
      <x:c r="R708" s="14" t="n">
        <x:v>0</x:v>
      </x:c>
      <x:c r="S708" s="14" t="n">
        <x:v>5</x:v>
      </x:c>
      <x:c r="T708" s="14" t="n">
        <x:f>R708/J708</x:f>
        <x:v>0</x:v>
      </x:c>
    </x:row>
    <x:row r="709" ht="23" customHeight="1">
      <x:c r="A709" s="1" t="str">
        <x:v>T6-L07-F</x:v>
      </x:c>
      <x:c r="B709" s="1" t="str">
        <x:v>T6</x:v>
      </x:c>
      <x:c r="C709" s="1" t="str">
        <x:v>L07</x:v>
      </x:c>
      <x:c r="D709" s="1" t="str">
        <x:v>Columns, core and deck formwork</x:v>
      </x:c>
      <x:c r="E709" s="1" t="str">
        <x:v>Formwork</x:v>
      </x:c>
      <x:c r="F709" s="15" t="n">
        <x:v>1222.6600000000005</x:v>
      </x:c>
      <x:c r="G709" s="1" t="str">
        <x:v>m2</x:v>
      </x:c>
      <x:c r="H709" s="17" t="n">
        <x:v>220</x:v>
      </x:c>
      <x:c r="I709" s="17" t="n">
        <x:v>18</x:v>
      </x:c>
      <x:c r="J709" s="17" t="n">
        <x:f>ROUNDUP(F709/H709,0)</x:f>
        <x:v>6</x:v>
      </x:c>
      <x:c r="K709" s="1" t="n">
        <x:f>MAX(L708+0)</x:f>
        <x:v>320</x:v>
      </x:c>
      <x:c r="L709" s="1" t="n">
        <x:f>K709+J709</x:f>
        <x:v>326</x:v>
      </x:c>
      <x:c r="M709" s="1" t="n">
        <x:f>N709-J709</x:f>
        <x:v>320</x:v>
      </x:c>
      <x:c r="N709" s="1" t="n">
        <x:f>MIN(M710-0)</x:f>
        <x:v>326</x:v>
      </x:c>
      <x:c r="O709" s="1" t="n">
        <x:f>M709-K709</x:f>
        <x:v>0</x:v>
      </x:c>
      <x:c r="P709" s="19" t="n">
        <x:f>INDEX('Calendar'!$C$8:$C$907,K709+1)</x:f>
        <x:v>46701</x:v>
      </x:c>
      <x:c r="Q709" s="19" t="n">
        <x:f>INDEX('Calendar'!$C$8:$C$907,MAX(K709+1,L709))</x:f>
        <x:v>46707</x:v>
      </x:c>
      <x:c r="R709" s="15" t="n">
        <x:v>29364.320000000007</x:v>
      </x:c>
      <x:c r="S709" s="15"/>
      <x:c r="T709" s="15" t="n">
        <x:f>R709/J709</x:f>
        <x:v>4894.053333333334</x:v>
      </x:c>
    </x:row>
    <x:row r="710" ht="23" customHeight="1">
      <x:c r="A710" s="6" t="str">
        <x:v>T6-L07-R</x:v>
      </x:c>
      <x:c r="B710" s="6" t="str">
        <x:v>T6</x:v>
      </x:c>
      <x:c r="C710" s="6" t="str">
        <x:v>L07</x:v>
      </x:c>
      <x:c r="D710" s="6" t="str">
        <x:v>Column, wall, beam and slab reinforcement</x:v>
      </x:c>
      <x:c r="E710" s="6" t="str">
        <x:v>Rebar</x:v>
      </x:c>
      <x:c r="F710" s="14" t="n">
        <x:v>29.684139475407747</x:v>
      </x:c>
      <x:c r="G710" s="6" t="str">
        <x:v>t</x:v>
      </x:c>
      <x:c r="H710" s="16" t="n">
        <x:v>7</x:v>
      </x:c>
      <x:c r="I710" s="16" t="n">
        <x:v>14</x:v>
      </x:c>
      <x:c r="J710" s="16" t="n">
        <x:f>ROUNDUP(F710/H710,0)</x:f>
        <x:v>5</x:v>
      </x:c>
      <x:c r="K710" s="6" t="n">
        <x:f>MAX(L709+0)</x:f>
        <x:v>326</x:v>
      </x:c>
      <x:c r="L710" s="6" t="n">
        <x:f>K710+J710</x:f>
        <x:v>331</x:v>
      </x:c>
      <x:c r="M710" s="6" t="n">
        <x:f>N710-J710</x:f>
        <x:v>326</x:v>
      </x:c>
      <x:c r="N710" s="6" t="n">
        <x:f>MIN(M711-0)</x:f>
        <x:v>331</x:v>
      </x:c>
      <x:c r="O710" s="6" t="n">
        <x:f>M710-K710</x:f>
        <x:v>0</x:v>
      </x:c>
      <x:c r="P710" s="18" t="n">
        <x:f>INDEX('Calendar'!$C$8:$C$907,K710+1)</x:f>
        <x:v>46708</x:v>
      </x:c>
      <x:c r="Q710" s="18" t="n">
        <x:f>INDEX('Calendar'!$C$8:$C$907,MAX(K710+1,L710))</x:f>
        <x:v>46713</x:v>
      </x:c>
      <x:c r="R710" s="14" t="n">
        <x:v>25795.51720412933</x:v>
      </x:c>
      <x:c r="S710" s="14"/>
      <x:c r="T710" s="14" t="n">
        <x:f>R710/J710</x:f>
        <x:v>5159.103440825866</x:v>
      </x:c>
    </x:row>
    <x:row r="711" ht="23" customHeight="1">
      <x:c r="A711" s="1" t="str">
        <x:v>T6-L07-C</x:v>
      </x:c>
      <x:c r="B711" s="1" t="str">
        <x:v>T6</x:v>
      </x:c>
      <x:c r="C711" s="1" t="str">
        <x:v>L07</x:v>
      </x:c>
      <x:c r="D711" s="1" t="str">
        <x:v>Concrete placement and finishing</x:v>
      </x:c>
      <x:c r="E711" s="1" t="str">
        <x:v>Concrete</x:v>
      </x:c>
      <x:c r="F711" s="15" t="n">
        <x:v>226.70819999999958</x:v>
      </x:c>
      <x:c r="G711" s="1" t="str">
        <x:v>m3</x:v>
      </x:c>
      <x:c r="H711" s="17" t="n">
        <x:v>170</x:v>
      </x:c>
      <x:c r="I711" s="17" t="n">
        <x:v>12</x:v>
      </x:c>
      <x:c r="J711" s="17" t="n">
        <x:f>ROUNDUP(F711/H711,0)</x:f>
        <x:v>2</x:v>
      </x:c>
      <x:c r="K711" s="1" t="n">
        <x:f>MAX(L710+0)</x:f>
        <x:v>331</x:v>
      </x:c>
      <x:c r="L711" s="1" t="n">
        <x:f>K711+J711</x:f>
        <x:v>333</x:v>
      </x:c>
      <x:c r="M711" s="1" t="n">
        <x:f>N711-J711</x:f>
        <x:v>331</x:v>
      </x:c>
      <x:c r="N711" s="1" t="n">
        <x:f>MIN(M712-0)</x:f>
        <x:v>333</x:v>
      </x:c>
      <x:c r="O711" s="1" t="n">
        <x:f>M711-K711</x:f>
        <x:v>0</x:v>
      </x:c>
      <x:c r="P711" s="19" t="n">
        <x:f>INDEX('Calendar'!$C$8:$C$907,K711+1)</x:f>
        <x:v>46714</x:v>
      </x:c>
      <x:c r="Q711" s="19" t="n">
        <x:f>INDEX('Calendar'!$C$8:$C$907,MAX(K711+1,L711))</x:f>
        <x:v>46715</x:v>
      </x:c>
      <x:c r="R711" s="15" t="n">
        <x:v>33527.39699999994</x:v>
      </x:c>
      <x:c r="S711" s="15"/>
      <x:c r="T711" s="15" t="n">
        <x:f>R711/J711</x:f>
        <x:v>16763.69849999997</x:v>
      </x:c>
    </x:row>
    <x:row r="712" ht="23" customHeight="1">
      <x:c r="A712" s="6" t="str">
        <x:v>T6-L07-H</x:v>
      </x:c>
      <x:c r="B712" s="6" t="str">
        <x:v>T6</x:v>
      </x:c>
      <x:c r="C712" s="6" t="str">
        <x:v>L07</x:v>
      </x:c>
      <x:c r="D712" s="6" t="str">
        <x:v>Curing and release hold point</x:v>
      </x:c>
      <x:c r="E712" s="6" t="str">
        <x:v>Site</x:v>
      </x:c>
      <x:c r="F712" s="14" t="n">
        <x:v>1</x:v>
      </x:c>
      <x:c r="G712" s="6" t="str">
        <x:v>hold</x:v>
      </x:c>
      <x:c r="H712" s="16" t="n">
        <x:v>1</x:v>
      </x:c>
      <x:c r="I712" s="16" t="n">
        <x:v>0</x:v>
      </x:c>
      <x:c r="J712" s="16" t="n">
        <x:f>S712</x:f>
        <x:v>5</x:v>
      </x:c>
      <x:c r="K712" s="6" t="n">
        <x:f>MAX(L711+0)</x:f>
        <x:v>333</x:v>
      </x:c>
      <x:c r="L712" s="6" t="n">
        <x:f>K712+J712</x:f>
        <x:v>338</x:v>
      </x:c>
      <x:c r="M712" s="6" t="n">
        <x:f>N712-J712</x:f>
        <x:v>333</x:v>
      </x:c>
      <x:c r="N712" s="6" t="n">
        <x:f>MIN(M713-0,M760-5)</x:f>
        <x:v>338</x:v>
      </x:c>
      <x:c r="O712" s="6" t="n">
        <x:f>M712-K712</x:f>
        <x:v>0</x:v>
      </x:c>
      <x:c r="P712" s="18" t="n">
        <x:f>INDEX('Calendar'!$C$8:$C$907,K712+1)</x:f>
        <x:v>46716</x:v>
      </x:c>
      <x:c r="Q712" s="18" t="n">
        <x:f>INDEX('Calendar'!$C$8:$C$907,MAX(K712+1,L712))</x:f>
        <x:v>46721</x:v>
      </x:c>
      <x:c r="R712" s="14" t="n">
        <x:v>0</x:v>
      </x:c>
      <x:c r="S712" s="14" t="n">
        <x:v>5</x:v>
      </x:c>
      <x:c r="T712" s="14" t="n">
        <x:f>R712/J712</x:f>
        <x:v>0</x:v>
      </x:c>
    </x:row>
    <x:row r="713" ht="23" customHeight="1">
      <x:c r="A713" s="1" t="str">
        <x:v>T6-L08-F</x:v>
      </x:c>
      <x:c r="B713" s="1" t="str">
        <x:v>T6</x:v>
      </x:c>
      <x:c r="C713" s="1" t="str">
        <x:v>L08</x:v>
      </x:c>
      <x:c r="D713" s="1" t="str">
        <x:v>Columns, core and deck formwork</x:v>
      </x:c>
      <x:c r="E713" s="1" t="str">
        <x:v>Formwork</x:v>
      </x:c>
      <x:c r="F713" s="15" t="n">
        <x:v>1222.6600000000005</x:v>
      </x:c>
      <x:c r="G713" s="1" t="str">
        <x:v>m2</x:v>
      </x:c>
      <x:c r="H713" s="17" t="n">
        <x:v>220</x:v>
      </x:c>
      <x:c r="I713" s="17" t="n">
        <x:v>18</x:v>
      </x:c>
      <x:c r="J713" s="17" t="n">
        <x:f>ROUNDUP(F713/H713,0)</x:f>
        <x:v>6</x:v>
      </x:c>
      <x:c r="K713" s="1" t="n">
        <x:f>MAX(L712+0)</x:f>
        <x:v>338</x:v>
      </x:c>
      <x:c r="L713" s="1" t="n">
        <x:f>K713+J713</x:f>
        <x:v>344</x:v>
      </x:c>
      <x:c r="M713" s="1" t="n">
        <x:f>N713-J713</x:f>
        <x:v>338</x:v>
      </x:c>
      <x:c r="N713" s="1" t="n">
        <x:f>MIN(M714-0)</x:f>
        <x:v>344</x:v>
      </x:c>
      <x:c r="O713" s="1" t="n">
        <x:f>M713-K713</x:f>
        <x:v>0</x:v>
      </x:c>
      <x:c r="P713" s="19" t="n">
        <x:f>INDEX('Calendar'!$C$8:$C$907,K713+1)</x:f>
        <x:v>46722</x:v>
      </x:c>
      <x:c r="Q713" s="19" t="n">
        <x:f>INDEX('Calendar'!$C$8:$C$907,MAX(K713+1,L713))</x:f>
        <x:v>46728</x:v>
      </x:c>
      <x:c r="R713" s="15" t="n">
        <x:v>29364.320000000007</x:v>
      </x:c>
      <x:c r="S713" s="15"/>
      <x:c r="T713" s="15" t="n">
        <x:f>R713/J713</x:f>
        <x:v>4894.053333333334</x:v>
      </x:c>
    </x:row>
    <x:row r="714" ht="23" customHeight="1">
      <x:c r="A714" s="6" t="str">
        <x:v>T6-L08-R</x:v>
      </x:c>
      <x:c r="B714" s="6" t="str">
        <x:v>T6</x:v>
      </x:c>
      <x:c r="C714" s="6" t="str">
        <x:v>L08</x:v>
      </x:c>
      <x:c r="D714" s="6" t="str">
        <x:v>Column, wall, beam and slab reinforcement</x:v>
      </x:c>
      <x:c r="E714" s="6" t="str">
        <x:v>Rebar</x:v>
      </x:c>
      <x:c r="F714" s="14" t="n">
        <x:v>29.684139475407747</x:v>
      </x:c>
      <x:c r="G714" s="6" t="str">
        <x:v>t</x:v>
      </x:c>
      <x:c r="H714" s="16" t="n">
        <x:v>7</x:v>
      </x:c>
      <x:c r="I714" s="16" t="n">
        <x:v>14</x:v>
      </x:c>
      <x:c r="J714" s="16" t="n">
        <x:f>ROUNDUP(F714/H714,0)</x:f>
        <x:v>5</x:v>
      </x:c>
      <x:c r="K714" s="6" t="n">
        <x:f>MAX(L713+0)</x:f>
        <x:v>344</x:v>
      </x:c>
      <x:c r="L714" s="6" t="n">
        <x:f>K714+J714</x:f>
        <x:v>349</x:v>
      </x:c>
      <x:c r="M714" s="6" t="n">
        <x:f>N714-J714</x:f>
        <x:v>344</x:v>
      </x:c>
      <x:c r="N714" s="6" t="n">
        <x:f>MIN(M715-0)</x:f>
        <x:v>349</x:v>
      </x:c>
      <x:c r="O714" s="6" t="n">
        <x:f>M714-K714</x:f>
        <x:v>0</x:v>
      </x:c>
      <x:c r="P714" s="18" t="n">
        <x:f>INDEX('Calendar'!$C$8:$C$907,K714+1)</x:f>
        <x:v>46729</x:v>
      </x:c>
      <x:c r="Q714" s="18" t="n">
        <x:f>INDEX('Calendar'!$C$8:$C$907,MAX(K714+1,L714))</x:f>
        <x:v>46734</x:v>
      </x:c>
      <x:c r="R714" s="14" t="n">
        <x:v>25795.51720412933</x:v>
      </x:c>
      <x:c r="S714" s="14"/>
      <x:c r="T714" s="14" t="n">
        <x:f>R714/J714</x:f>
        <x:v>5159.103440825866</x:v>
      </x:c>
    </x:row>
    <x:row r="715" ht="23" customHeight="1">
      <x:c r="A715" s="1" t="str">
        <x:v>T6-L08-C</x:v>
      </x:c>
      <x:c r="B715" s="1" t="str">
        <x:v>T6</x:v>
      </x:c>
      <x:c r="C715" s="1" t="str">
        <x:v>L08</x:v>
      </x:c>
      <x:c r="D715" s="1" t="str">
        <x:v>Concrete placement and finishing</x:v>
      </x:c>
      <x:c r="E715" s="1" t="str">
        <x:v>Concrete</x:v>
      </x:c>
      <x:c r="F715" s="15" t="n">
        <x:v>226.70819999999958</x:v>
      </x:c>
      <x:c r="G715" s="1" t="str">
        <x:v>m3</x:v>
      </x:c>
      <x:c r="H715" s="17" t="n">
        <x:v>170</x:v>
      </x:c>
      <x:c r="I715" s="17" t="n">
        <x:v>12</x:v>
      </x:c>
      <x:c r="J715" s="17" t="n">
        <x:f>ROUNDUP(F715/H715,0)</x:f>
        <x:v>2</x:v>
      </x:c>
      <x:c r="K715" s="1" t="n">
        <x:f>MAX(L714+0)</x:f>
        <x:v>349</x:v>
      </x:c>
      <x:c r="L715" s="1" t="n">
        <x:f>K715+J715</x:f>
        <x:v>351</x:v>
      </x:c>
      <x:c r="M715" s="1" t="n">
        <x:f>N715-J715</x:f>
        <x:v>349</x:v>
      </x:c>
      <x:c r="N715" s="1" t="n">
        <x:f>MIN(M716-0)</x:f>
        <x:v>351</x:v>
      </x:c>
      <x:c r="O715" s="1" t="n">
        <x:f>M715-K715</x:f>
        <x:v>0</x:v>
      </x:c>
      <x:c r="P715" s="19" t="n">
        <x:f>INDEX('Calendar'!$C$8:$C$907,K715+1)</x:f>
        <x:v>46735</x:v>
      </x:c>
      <x:c r="Q715" s="19" t="n">
        <x:f>INDEX('Calendar'!$C$8:$C$907,MAX(K715+1,L715))</x:f>
        <x:v>46736</x:v>
      </x:c>
      <x:c r="R715" s="15" t="n">
        <x:v>33527.39699999994</x:v>
      </x:c>
      <x:c r="S715" s="15"/>
      <x:c r="T715" s="15" t="n">
        <x:f>R715/J715</x:f>
        <x:v>16763.69849999997</x:v>
      </x:c>
    </x:row>
    <x:row r="716" ht="23" customHeight="1">
      <x:c r="A716" s="6" t="str">
        <x:v>T6-L08-H</x:v>
      </x:c>
      <x:c r="B716" s="6" t="str">
        <x:v>T6</x:v>
      </x:c>
      <x:c r="C716" s="6" t="str">
        <x:v>L08</x:v>
      </x:c>
      <x:c r="D716" s="6" t="str">
        <x:v>Curing and release hold point</x:v>
      </x:c>
      <x:c r="E716" s="6" t="str">
        <x:v>Site</x:v>
      </x:c>
      <x:c r="F716" s="14" t="n">
        <x:v>1</x:v>
      </x:c>
      <x:c r="G716" s="6" t="str">
        <x:v>hold</x:v>
      </x:c>
      <x:c r="H716" s="16" t="n">
        <x:v>1</x:v>
      </x:c>
      <x:c r="I716" s="16" t="n">
        <x:v>0</x:v>
      </x:c>
      <x:c r="J716" s="16" t="n">
        <x:f>S716</x:f>
        <x:v>5</x:v>
      </x:c>
      <x:c r="K716" s="6" t="n">
        <x:f>MAX(L715+0)</x:f>
        <x:v>351</x:v>
      </x:c>
      <x:c r="L716" s="6" t="n">
        <x:f>K716+J716</x:f>
        <x:v>356</x:v>
      </x:c>
      <x:c r="M716" s="6" t="n">
        <x:f>N716-J716</x:f>
        <x:v>351</x:v>
      </x:c>
      <x:c r="N716" s="6" t="n">
        <x:f>MIN(M717-0,M734-10,M766-5)</x:f>
        <x:v>356</x:v>
      </x:c>
      <x:c r="O716" s="6" t="n">
        <x:f>M716-K716</x:f>
        <x:v>0</x:v>
      </x:c>
      <x:c r="P716" s="18" t="n">
        <x:f>INDEX('Calendar'!$C$8:$C$907,K716+1)</x:f>
        <x:v>46737</x:v>
      </x:c>
      <x:c r="Q716" s="18" t="n">
        <x:f>INDEX('Calendar'!$C$8:$C$907,MAX(K716+1,L716))</x:f>
        <x:v>46742</x:v>
      </x:c>
      <x:c r="R716" s="14" t="n">
        <x:v>0</x:v>
      </x:c>
      <x:c r="S716" s="14" t="n">
        <x:v>5</x:v>
      </x:c>
      <x:c r="T716" s="14" t="n">
        <x:f>R716/J716</x:f>
        <x:v>0</x:v>
      </x:c>
    </x:row>
    <x:row r="717" ht="23" customHeight="1">
      <x:c r="A717" s="1" t="str">
        <x:v>T6-L09-F</x:v>
      </x:c>
      <x:c r="B717" s="1" t="str">
        <x:v>T6</x:v>
      </x:c>
      <x:c r="C717" s="1" t="str">
        <x:v>L09</x:v>
      </x:c>
      <x:c r="D717" s="1" t="str">
        <x:v>Columns, core and deck formwork</x:v>
      </x:c>
      <x:c r="E717" s="1" t="str">
        <x:v>Formwork</x:v>
      </x:c>
      <x:c r="F717" s="15" t="n">
        <x:v>1222.6600000000005</x:v>
      </x:c>
      <x:c r="G717" s="1" t="str">
        <x:v>m2</x:v>
      </x:c>
      <x:c r="H717" s="17" t="n">
        <x:v>220</x:v>
      </x:c>
      <x:c r="I717" s="17" t="n">
        <x:v>18</x:v>
      </x:c>
      <x:c r="J717" s="17" t="n">
        <x:f>ROUNDUP(F717/H717,0)</x:f>
        <x:v>6</x:v>
      </x:c>
      <x:c r="K717" s="1" t="n">
        <x:f>MAX(L716+0)</x:f>
        <x:v>356</x:v>
      </x:c>
      <x:c r="L717" s="1" t="n">
        <x:f>K717+J717</x:f>
        <x:v>362</x:v>
      </x:c>
      <x:c r="M717" s="1" t="n">
        <x:f>N717-J717</x:f>
        <x:v>356</x:v>
      </x:c>
      <x:c r="N717" s="1" t="n">
        <x:f>MIN(M718-0)</x:f>
        <x:v>362</x:v>
      </x:c>
      <x:c r="O717" s="1" t="n">
        <x:f>M717-K717</x:f>
        <x:v>0</x:v>
      </x:c>
      <x:c r="P717" s="19" t="n">
        <x:f>INDEX('Calendar'!$C$8:$C$907,K717+1)</x:f>
        <x:v>46743</x:v>
      </x:c>
      <x:c r="Q717" s="19" t="n">
        <x:f>INDEX('Calendar'!$C$8:$C$907,MAX(K717+1,L717))</x:f>
        <x:v>46749</x:v>
      </x:c>
      <x:c r="R717" s="15" t="n">
        <x:v>29364.320000000007</x:v>
      </x:c>
      <x:c r="S717" s="15"/>
      <x:c r="T717" s="15" t="n">
        <x:f>R717/J717</x:f>
        <x:v>4894.053333333334</x:v>
      </x:c>
    </x:row>
    <x:row r="718" ht="23" customHeight="1">
      <x:c r="A718" s="6" t="str">
        <x:v>T6-L09-R</x:v>
      </x:c>
      <x:c r="B718" s="6" t="str">
        <x:v>T6</x:v>
      </x:c>
      <x:c r="C718" s="6" t="str">
        <x:v>L09</x:v>
      </x:c>
      <x:c r="D718" s="6" t="str">
        <x:v>Column, wall, beam and slab reinforcement</x:v>
      </x:c>
      <x:c r="E718" s="6" t="str">
        <x:v>Rebar</x:v>
      </x:c>
      <x:c r="F718" s="14" t="n">
        <x:v>29.684139475407747</x:v>
      </x:c>
      <x:c r="G718" s="6" t="str">
        <x:v>t</x:v>
      </x:c>
      <x:c r="H718" s="16" t="n">
        <x:v>7</x:v>
      </x:c>
      <x:c r="I718" s="16" t="n">
        <x:v>14</x:v>
      </x:c>
      <x:c r="J718" s="16" t="n">
        <x:f>ROUNDUP(F718/H718,0)</x:f>
        <x:v>5</x:v>
      </x:c>
      <x:c r="K718" s="6" t="n">
        <x:f>MAX(L717+0)</x:f>
        <x:v>362</x:v>
      </x:c>
      <x:c r="L718" s="6" t="n">
        <x:f>K718+J718</x:f>
        <x:v>367</x:v>
      </x:c>
      <x:c r="M718" s="6" t="n">
        <x:f>N718-J718</x:f>
        <x:v>362</x:v>
      </x:c>
      <x:c r="N718" s="6" t="n">
        <x:f>MIN(M719-0)</x:f>
        <x:v>367</x:v>
      </x:c>
      <x:c r="O718" s="6" t="n">
        <x:f>M718-K718</x:f>
        <x:v>0</x:v>
      </x:c>
      <x:c r="P718" s="18" t="n">
        <x:f>INDEX('Calendar'!$C$8:$C$907,K718+1)</x:f>
        <x:v>46750</x:v>
      </x:c>
      <x:c r="Q718" s="18" t="n">
        <x:f>INDEX('Calendar'!$C$8:$C$907,MAX(K718+1,L718))</x:f>
        <x:v>46755</x:v>
      </x:c>
      <x:c r="R718" s="14" t="n">
        <x:v>25795.51720412933</x:v>
      </x:c>
      <x:c r="S718" s="14"/>
      <x:c r="T718" s="14" t="n">
        <x:f>R718/J718</x:f>
        <x:v>5159.103440825866</x:v>
      </x:c>
    </x:row>
    <x:row r="719" ht="23" customHeight="1">
      <x:c r="A719" s="1" t="str">
        <x:v>T6-L09-C</x:v>
      </x:c>
      <x:c r="B719" s="1" t="str">
        <x:v>T6</x:v>
      </x:c>
      <x:c r="C719" s="1" t="str">
        <x:v>L09</x:v>
      </x:c>
      <x:c r="D719" s="1" t="str">
        <x:v>Concrete placement and finishing</x:v>
      </x:c>
      <x:c r="E719" s="1" t="str">
        <x:v>Concrete</x:v>
      </x:c>
      <x:c r="F719" s="15" t="n">
        <x:v>226.70819999999958</x:v>
      </x:c>
      <x:c r="G719" s="1" t="str">
        <x:v>m3</x:v>
      </x:c>
      <x:c r="H719" s="17" t="n">
        <x:v>170</x:v>
      </x:c>
      <x:c r="I719" s="17" t="n">
        <x:v>12</x:v>
      </x:c>
      <x:c r="J719" s="17" t="n">
        <x:f>ROUNDUP(F719/H719,0)</x:f>
        <x:v>2</x:v>
      </x:c>
      <x:c r="K719" s="1" t="n">
        <x:f>MAX(L718+0)</x:f>
        <x:v>367</x:v>
      </x:c>
      <x:c r="L719" s="1" t="n">
        <x:f>K719+J719</x:f>
        <x:v>369</x:v>
      </x:c>
      <x:c r="M719" s="1" t="n">
        <x:f>N719-J719</x:f>
        <x:v>367</x:v>
      </x:c>
      <x:c r="N719" s="1" t="n">
        <x:f>MIN(M720-0)</x:f>
        <x:v>369</x:v>
      </x:c>
      <x:c r="O719" s="1" t="n">
        <x:f>M719-K719</x:f>
        <x:v>0</x:v>
      </x:c>
      <x:c r="P719" s="19" t="n">
        <x:f>INDEX('Calendar'!$C$8:$C$907,K719+1)</x:f>
        <x:v>46756</x:v>
      </x:c>
      <x:c r="Q719" s="19" t="n">
        <x:f>INDEX('Calendar'!$C$8:$C$907,MAX(K719+1,L719))</x:f>
        <x:v>46757</x:v>
      </x:c>
      <x:c r="R719" s="15" t="n">
        <x:v>33527.39699999994</x:v>
      </x:c>
      <x:c r="S719" s="15"/>
      <x:c r="T719" s="15" t="n">
        <x:f>R719/J719</x:f>
        <x:v>16763.69849999997</x:v>
      </x:c>
    </x:row>
    <x:row r="720" ht="23" customHeight="1">
      <x:c r="A720" s="6" t="str">
        <x:v>T6-L09-H</x:v>
      </x:c>
      <x:c r="B720" s="6" t="str">
        <x:v>T6</x:v>
      </x:c>
      <x:c r="C720" s="6" t="str">
        <x:v>L09</x:v>
      </x:c>
      <x:c r="D720" s="6" t="str">
        <x:v>Curing and release hold point</x:v>
      </x:c>
      <x:c r="E720" s="6" t="str">
        <x:v>Site</x:v>
      </x:c>
      <x:c r="F720" s="14" t="n">
        <x:v>1</x:v>
      </x:c>
      <x:c r="G720" s="6" t="str">
        <x:v>hold</x:v>
      </x:c>
      <x:c r="H720" s="16" t="n">
        <x:v>1</x:v>
      </x:c>
      <x:c r="I720" s="16" t="n">
        <x:v>0</x:v>
      </x:c>
      <x:c r="J720" s="16" t="n">
        <x:f>S720</x:f>
        <x:v>5</x:v>
      </x:c>
      <x:c r="K720" s="6" t="n">
        <x:f>MAX(L719+0)</x:f>
        <x:v>369</x:v>
      </x:c>
      <x:c r="L720" s="6" t="n">
        <x:f>K720+J720</x:f>
        <x:v>374</x:v>
      </x:c>
      <x:c r="M720" s="6" t="n">
        <x:f>N720-J720</x:f>
        <x:v>369</x:v>
      </x:c>
      <x:c r="N720" s="6" t="n">
        <x:f>MIN(M721-0,M772-5)</x:f>
        <x:v>374</x:v>
      </x:c>
      <x:c r="O720" s="6" t="n">
        <x:f>M720-K720</x:f>
        <x:v>0</x:v>
      </x:c>
      <x:c r="P720" s="18" t="n">
        <x:f>INDEX('Calendar'!$C$8:$C$907,K720+1)</x:f>
        <x:v>46758</x:v>
      </x:c>
      <x:c r="Q720" s="18" t="n">
        <x:f>INDEX('Calendar'!$C$8:$C$907,MAX(K720+1,L720))</x:f>
        <x:v>46763</x:v>
      </x:c>
      <x:c r="R720" s="14" t="n">
        <x:v>0</x:v>
      </x:c>
      <x:c r="S720" s="14" t="n">
        <x:v>5</x:v>
      </x:c>
      <x:c r="T720" s="14" t="n">
        <x:f>R720/J720</x:f>
        <x:v>0</x:v>
      </x:c>
    </x:row>
    <x:row r="721" ht="23" customHeight="1">
      <x:c r="A721" s="1" t="str">
        <x:v>T6-L10-F</x:v>
      </x:c>
      <x:c r="B721" s="1" t="str">
        <x:v>T6</x:v>
      </x:c>
      <x:c r="C721" s="1" t="str">
        <x:v>L10</x:v>
      </x:c>
      <x:c r="D721" s="1" t="str">
        <x:v>Columns, core and deck formwork</x:v>
      </x:c>
      <x:c r="E721" s="1" t="str">
        <x:v>Formwork</x:v>
      </x:c>
      <x:c r="F721" s="15" t="n">
        <x:v>1222.6600000000005</x:v>
      </x:c>
      <x:c r="G721" s="1" t="str">
        <x:v>m2</x:v>
      </x:c>
      <x:c r="H721" s="17" t="n">
        <x:v>220</x:v>
      </x:c>
      <x:c r="I721" s="17" t="n">
        <x:v>18</x:v>
      </x:c>
      <x:c r="J721" s="17" t="n">
        <x:f>ROUNDUP(F721/H721,0)</x:f>
        <x:v>6</x:v>
      </x:c>
      <x:c r="K721" s="1" t="n">
        <x:f>MAX(L720+0)</x:f>
        <x:v>374</x:v>
      </x:c>
      <x:c r="L721" s="1" t="n">
        <x:f>K721+J721</x:f>
        <x:v>380</x:v>
      </x:c>
      <x:c r="M721" s="1" t="n">
        <x:f>N721-J721</x:f>
        <x:v>374</x:v>
      </x:c>
      <x:c r="N721" s="1" t="n">
        <x:f>MIN(M722-0)</x:f>
        <x:v>380</x:v>
      </x:c>
      <x:c r="O721" s="1" t="n">
        <x:f>M721-K721</x:f>
        <x:v>0</x:v>
      </x:c>
      <x:c r="P721" s="19" t="n">
        <x:f>INDEX('Calendar'!$C$8:$C$907,K721+1)</x:f>
        <x:v>46764</x:v>
      </x:c>
      <x:c r="Q721" s="19" t="n">
        <x:f>INDEX('Calendar'!$C$8:$C$907,MAX(K721+1,L721))</x:f>
        <x:v>46770</x:v>
      </x:c>
      <x:c r="R721" s="15" t="n">
        <x:v>29364.320000000007</x:v>
      </x:c>
      <x:c r="S721" s="15"/>
      <x:c r="T721" s="15" t="n">
        <x:f>R721/J721</x:f>
        <x:v>4894.053333333334</x:v>
      </x:c>
    </x:row>
    <x:row r="722" ht="23" customHeight="1">
      <x:c r="A722" s="6" t="str">
        <x:v>T6-L10-R</x:v>
      </x:c>
      <x:c r="B722" s="6" t="str">
        <x:v>T6</x:v>
      </x:c>
      <x:c r="C722" s="6" t="str">
        <x:v>L10</x:v>
      </x:c>
      <x:c r="D722" s="6" t="str">
        <x:v>Column, wall, beam and slab reinforcement</x:v>
      </x:c>
      <x:c r="E722" s="6" t="str">
        <x:v>Rebar</x:v>
      </x:c>
      <x:c r="F722" s="14" t="n">
        <x:v>29.684139475407747</x:v>
      </x:c>
      <x:c r="G722" s="6" t="str">
        <x:v>t</x:v>
      </x:c>
      <x:c r="H722" s="16" t="n">
        <x:v>7</x:v>
      </x:c>
      <x:c r="I722" s="16" t="n">
        <x:v>14</x:v>
      </x:c>
      <x:c r="J722" s="16" t="n">
        <x:f>ROUNDUP(F722/H722,0)</x:f>
        <x:v>5</x:v>
      </x:c>
      <x:c r="K722" s="6" t="n">
        <x:f>MAX(L721+0)</x:f>
        <x:v>380</x:v>
      </x:c>
      <x:c r="L722" s="6" t="n">
        <x:f>K722+J722</x:f>
        <x:v>385</x:v>
      </x:c>
      <x:c r="M722" s="6" t="n">
        <x:f>N722-J722</x:f>
        <x:v>380</x:v>
      </x:c>
      <x:c r="N722" s="6" t="n">
        <x:f>MIN(M723-0)</x:f>
        <x:v>385</x:v>
      </x:c>
      <x:c r="O722" s="6" t="n">
        <x:f>M722-K722</x:f>
        <x:v>0</x:v>
      </x:c>
      <x:c r="P722" s="18" t="n">
        <x:f>INDEX('Calendar'!$C$8:$C$907,K722+1)</x:f>
        <x:v>46771</x:v>
      </x:c>
      <x:c r="Q722" s="18" t="n">
        <x:f>INDEX('Calendar'!$C$8:$C$907,MAX(K722+1,L722))</x:f>
        <x:v>46776</x:v>
      </x:c>
      <x:c r="R722" s="14" t="n">
        <x:v>25795.51720412933</x:v>
      </x:c>
      <x:c r="S722" s="14"/>
      <x:c r="T722" s="14" t="n">
        <x:f>R722/J722</x:f>
        <x:v>5159.103440825866</x:v>
      </x:c>
    </x:row>
    <x:row r="723" ht="23" customHeight="1">
      <x:c r="A723" s="1" t="str">
        <x:v>T6-L10-C</x:v>
      </x:c>
      <x:c r="B723" s="1" t="str">
        <x:v>T6</x:v>
      </x:c>
      <x:c r="C723" s="1" t="str">
        <x:v>L10</x:v>
      </x:c>
      <x:c r="D723" s="1" t="str">
        <x:v>Concrete placement and finishing</x:v>
      </x:c>
      <x:c r="E723" s="1" t="str">
        <x:v>Concrete</x:v>
      </x:c>
      <x:c r="F723" s="15" t="n">
        <x:v>226.70819999999958</x:v>
      </x:c>
      <x:c r="G723" s="1" t="str">
        <x:v>m3</x:v>
      </x:c>
      <x:c r="H723" s="17" t="n">
        <x:v>170</x:v>
      </x:c>
      <x:c r="I723" s="17" t="n">
        <x:v>12</x:v>
      </x:c>
      <x:c r="J723" s="17" t="n">
        <x:f>ROUNDUP(F723/H723,0)</x:f>
        <x:v>2</x:v>
      </x:c>
      <x:c r="K723" s="1" t="n">
        <x:f>MAX(L722+0)</x:f>
        <x:v>385</x:v>
      </x:c>
      <x:c r="L723" s="1" t="n">
        <x:f>K723+J723</x:f>
        <x:v>387</x:v>
      </x:c>
      <x:c r="M723" s="1" t="n">
        <x:f>N723-J723</x:f>
        <x:v>385</x:v>
      </x:c>
      <x:c r="N723" s="1" t="n">
        <x:f>MIN(M724-0)</x:f>
        <x:v>387</x:v>
      </x:c>
      <x:c r="O723" s="1" t="n">
        <x:f>M723-K723</x:f>
        <x:v>0</x:v>
      </x:c>
      <x:c r="P723" s="19" t="n">
        <x:f>INDEX('Calendar'!$C$8:$C$907,K723+1)</x:f>
        <x:v>46777</x:v>
      </x:c>
      <x:c r="Q723" s="19" t="n">
        <x:f>INDEX('Calendar'!$C$8:$C$907,MAX(K723+1,L723))</x:f>
        <x:v>46778</x:v>
      </x:c>
      <x:c r="R723" s="15" t="n">
        <x:v>33527.39699999994</x:v>
      </x:c>
      <x:c r="S723" s="15"/>
      <x:c r="T723" s="15" t="n">
        <x:f>R723/J723</x:f>
        <x:v>16763.69849999997</x:v>
      </x:c>
    </x:row>
    <x:row r="724" ht="23" customHeight="1">
      <x:c r="A724" s="6" t="str">
        <x:v>T6-L10-H</x:v>
      </x:c>
      <x:c r="B724" s="6" t="str">
        <x:v>T6</x:v>
      </x:c>
      <x:c r="C724" s="6" t="str">
        <x:v>L10</x:v>
      </x:c>
      <x:c r="D724" s="6" t="str">
        <x:v>Curing and release hold point</x:v>
      </x:c>
      <x:c r="E724" s="6" t="str">
        <x:v>Site</x:v>
      </x:c>
      <x:c r="F724" s="14" t="n">
        <x:v>1</x:v>
      </x:c>
      <x:c r="G724" s="6" t="str">
        <x:v>hold</x:v>
      </x:c>
      <x:c r="H724" s="16" t="n">
        <x:v>1</x:v>
      </x:c>
      <x:c r="I724" s="16" t="n">
        <x:v>0</x:v>
      </x:c>
      <x:c r="J724" s="16" t="n">
        <x:f>S724</x:f>
        <x:v>5</x:v>
      </x:c>
      <x:c r="K724" s="6" t="n">
        <x:f>MAX(L723+0)</x:f>
        <x:v>387</x:v>
      </x:c>
      <x:c r="L724" s="6" t="n">
        <x:f>K724+J724</x:f>
        <x:v>392</x:v>
      </x:c>
      <x:c r="M724" s="6" t="n">
        <x:f>N724-J724</x:f>
        <x:v>387</x:v>
      </x:c>
      <x:c r="N724" s="6" t="n">
        <x:f>MIN(M725-0,M778-5)</x:f>
        <x:v>392</x:v>
      </x:c>
      <x:c r="O724" s="6" t="n">
        <x:f>M724-K724</x:f>
        <x:v>0</x:v>
      </x:c>
      <x:c r="P724" s="18" t="n">
        <x:f>INDEX('Calendar'!$C$8:$C$907,K724+1)</x:f>
        <x:v>46779</x:v>
      </x:c>
      <x:c r="Q724" s="18" t="n">
        <x:f>INDEX('Calendar'!$C$8:$C$907,MAX(K724+1,L724))</x:f>
        <x:v>46784</x:v>
      </x:c>
      <x:c r="R724" s="14" t="n">
        <x:v>0</x:v>
      </x:c>
      <x:c r="S724" s="14" t="n">
        <x:v>5</x:v>
      </x:c>
      <x:c r="T724" s="14" t="n">
        <x:f>R724/J724</x:f>
        <x:v>0</x:v>
      </x:c>
    </x:row>
    <x:row r="725" ht="23" customHeight="1">
      <x:c r="A725" s="1" t="str">
        <x:v>T6-L11-F</x:v>
      </x:c>
      <x:c r="B725" s="1" t="str">
        <x:v>T6</x:v>
      </x:c>
      <x:c r="C725" s="1" t="str">
        <x:v>L11</x:v>
      </x:c>
      <x:c r="D725" s="1" t="str">
        <x:v>Columns, core and deck formwork</x:v>
      </x:c>
      <x:c r="E725" s="1" t="str">
        <x:v>Formwork</x:v>
      </x:c>
      <x:c r="F725" s="15" t="n">
        <x:v>1222.6600000000005</x:v>
      </x:c>
      <x:c r="G725" s="1" t="str">
        <x:v>m2</x:v>
      </x:c>
      <x:c r="H725" s="17" t="n">
        <x:v>220</x:v>
      </x:c>
      <x:c r="I725" s="17" t="n">
        <x:v>18</x:v>
      </x:c>
      <x:c r="J725" s="17" t="n">
        <x:f>ROUNDUP(F725/H725,0)</x:f>
        <x:v>6</x:v>
      </x:c>
      <x:c r="K725" s="1" t="n">
        <x:f>MAX(L724+0)</x:f>
        <x:v>392</x:v>
      </x:c>
      <x:c r="L725" s="1" t="n">
        <x:f>K725+J725</x:f>
        <x:v>398</x:v>
      </x:c>
      <x:c r="M725" s="1" t="n">
        <x:f>N725-J725</x:f>
        <x:v>392</x:v>
      </x:c>
      <x:c r="N725" s="1" t="n">
        <x:f>MIN(M726-0)</x:f>
        <x:v>398</x:v>
      </x:c>
      <x:c r="O725" s="1" t="n">
        <x:f>M725-K725</x:f>
        <x:v>0</x:v>
      </x:c>
      <x:c r="P725" s="19" t="n">
        <x:f>INDEX('Calendar'!$C$8:$C$907,K725+1)</x:f>
        <x:v>46785</x:v>
      </x:c>
      <x:c r="Q725" s="19" t="n">
        <x:f>INDEX('Calendar'!$C$8:$C$907,MAX(K725+1,L725))</x:f>
        <x:v>46791</x:v>
      </x:c>
      <x:c r="R725" s="15" t="n">
        <x:v>29364.320000000007</x:v>
      </x:c>
      <x:c r="S725" s="15"/>
      <x:c r="T725" s="15" t="n">
        <x:f>R725/J725</x:f>
        <x:v>4894.053333333334</x:v>
      </x:c>
    </x:row>
    <x:row r="726" ht="23" customHeight="1">
      <x:c r="A726" s="6" t="str">
        <x:v>T6-L11-R</x:v>
      </x:c>
      <x:c r="B726" s="6" t="str">
        <x:v>T6</x:v>
      </x:c>
      <x:c r="C726" s="6" t="str">
        <x:v>L11</x:v>
      </x:c>
      <x:c r="D726" s="6" t="str">
        <x:v>Column, wall, beam and slab reinforcement</x:v>
      </x:c>
      <x:c r="E726" s="6" t="str">
        <x:v>Rebar</x:v>
      </x:c>
      <x:c r="F726" s="14" t="n">
        <x:v>29.684139475407747</x:v>
      </x:c>
      <x:c r="G726" s="6" t="str">
        <x:v>t</x:v>
      </x:c>
      <x:c r="H726" s="16" t="n">
        <x:v>7</x:v>
      </x:c>
      <x:c r="I726" s="16" t="n">
        <x:v>14</x:v>
      </x:c>
      <x:c r="J726" s="16" t="n">
        <x:f>ROUNDUP(F726/H726,0)</x:f>
        <x:v>5</x:v>
      </x:c>
      <x:c r="K726" s="6" t="n">
        <x:f>MAX(L725+0)</x:f>
        <x:v>398</x:v>
      </x:c>
      <x:c r="L726" s="6" t="n">
        <x:f>K726+J726</x:f>
        <x:v>403</x:v>
      </x:c>
      <x:c r="M726" s="6" t="n">
        <x:f>N726-J726</x:f>
        <x:v>398</x:v>
      </x:c>
      <x:c r="N726" s="6" t="n">
        <x:f>MIN(M727-0)</x:f>
        <x:v>403</x:v>
      </x:c>
      <x:c r="O726" s="6" t="n">
        <x:f>M726-K726</x:f>
        <x:v>0</x:v>
      </x:c>
      <x:c r="P726" s="18" t="n">
        <x:f>INDEX('Calendar'!$C$8:$C$907,K726+1)</x:f>
        <x:v>46792</x:v>
      </x:c>
      <x:c r="Q726" s="18" t="n">
        <x:f>INDEX('Calendar'!$C$8:$C$907,MAX(K726+1,L726))</x:f>
        <x:v>46797</x:v>
      </x:c>
      <x:c r="R726" s="14" t="n">
        <x:v>25795.51720412933</x:v>
      </x:c>
      <x:c r="S726" s="14"/>
      <x:c r="T726" s="14" t="n">
        <x:f>R726/J726</x:f>
        <x:v>5159.103440825866</x:v>
      </x:c>
    </x:row>
    <x:row r="727" ht="23" customHeight="1">
      <x:c r="A727" s="1" t="str">
        <x:v>T6-L11-C</x:v>
      </x:c>
      <x:c r="B727" s="1" t="str">
        <x:v>T6</x:v>
      </x:c>
      <x:c r="C727" s="1" t="str">
        <x:v>L11</x:v>
      </x:c>
      <x:c r="D727" s="1" t="str">
        <x:v>Concrete placement and finishing</x:v>
      </x:c>
      <x:c r="E727" s="1" t="str">
        <x:v>Concrete</x:v>
      </x:c>
      <x:c r="F727" s="15" t="n">
        <x:v>226.70819999999958</x:v>
      </x:c>
      <x:c r="G727" s="1" t="str">
        <x:v>m3</x:v>
      </x:c>
      <x:c r="H727" s="17" t="n">
        <x:v>170</x:v>
      </x:c>
      <x:c r="I727" s="17" t="n">
        <x:v>12</x:v>
      </x:c>
      <x:c r="J727" s="17" t="n">
        <x:f>ROUNDUP(F727/H727,0)</x:f>
        <x:v>2</x:v>
      </x:c>
      <x:c r="K727" s="1" t="n">
        <x:f>MAX(L726+0)</x:f>
        <x:v>403</x:v>
      </x:c>
      <x:c r="L727" s="1" t="n">
        <x:f>K727+J727</x:f>
        <x:v>405</x:v>
      </x:c>
      <x:c r="M727" s="1" t="n">
        <x:f>N727-J727</x:f>
        <x:v>403</x:v>
      </x:c>
      <x:c r="N727" s="1" t="n">
        <x:f>MIN(M728-0)</x:f>
        <x:v>405</x:v>
      </x:c>
      <x:c r="O727" s="1" t="n">
        <x:f>M727-K727</x:f>
        <x:v>0</x:v>
      </x:c>
      <x:c r="P727" s="19" t="n">
        <x:f>INDEX('Calendar'!$C$8:$C$907,K727+1)</x:f>
        <x:v>46798</x:v>
      </x:c>
      <x:c r="Q727" s="19" t="n">
        <x:f>INDEX('Calendar'!$C$8:$C$907,MAX(K727+1,L727))</x:f>
        <x:v>46799</x:v>
      </x:c>
      <x:c r="R727" s="15" t="n">
        <x:v>33527.39699999994</x:v>
      </x:c>
      <x:c r="S727" s="15"/>
      <x:c r="T727" s="15" t="n">
        <x:f>R727/J727</x:f>
        <x:v>16763.69849999997</x:v>
      </x:c>
    </x:row>
    <x:row r="728" ht="23" customHeight="1">
      <x:c r="A728" s="6" t="str">
        <x:v>T6-L11-H</x:v>
      </x:c>
      <x:c r="B728" s="6" t="str">
        <x:v>T6</x:v>
      </x:c>
      <x:c r="C728" s="6" t="str">
        <x:v>L11</x:v>
      </x:c>
      <x:c r="D728" s="6" t="str">
        <x:v>Curing and release hold point</x:v>
      </x:c>
      <x:c r="E728" s="6" t="str">
        <x:v>Site</x:v>
      </x:c>
      <x:c r="F728" s="14" t="n">
        <x:v>1</x:v>
      </x:c>
      <x:c r="G728" s="6" t="str">
        <x:v>hold</x:v>
      </x:c>
      <x:c r="H728" s="16" t="n">
        <x:v>1</x:v>
      </x:c>
      <x:c r="I728" s="16" t="n">
        <x:v>0</x:v>
      </x:c>
      <x:c r="J728" s="16" t="n">
        <x:f>S728</x:f>
        <x:v>5</x:v>
      </x:c>
      <x:c r="K728" s="6" t="n">
        <x:f>MAX(L727+0)</x:f>
        <x:v>405</x:v>
      </x:c>
      <x:c r="L728" s="6" t="n">
        <x:f>K728+J728</x:f>
        <x:v>410</x:v>
      </x:c>
      <x:c r="M728" s="6" t="n">
        <x:f>N728-J728</x:f>
        <x:v>405</x:v>
      </x:c>
      <x:c r="N728" s="6" t="n">
        <x:f>MIN(M729-0,M784-5)</x:f>
        <x:v>410</x:v>
      </x:c>
      <x:c r="O728" s="6" t="n">
        <x:f>M728-K728</x:f>
        <x:v>0</x:v>
      </x:c>
      <x:c r="P728" s="18" t="n">
        <x:f>INDEX('Calendar'!$C$8:$C$907,K728+1)</x:f>
        <x:v>46800</x:v>
      </x:c>
      <x:c r="Q728" s="18" t="n">
        <x:f>INDEX('Calendar'!$C$8:$C$907,MAX(K728+1,L728))</x:f>
        <x:v>46805</x:v>
      </x:c>
      <x:c r="R728" s="14" t="n">
        <x:v>0</x:v>
      </x:c>
      <x:c r="S728" s="14" t="n">
        <x:v>5</x:v>
      </x:c>
      <x:c r="T728" s="14" t="n">
        <x:f>R728/J728</x:f>
        <x:v>0</x:v>
      </x:c>
    </x:row>
    <x:row r="729" ht="23" customHeight="1">
      <x:c r="A729" s="1" t="str">
        <x:v>T6-L12-F</x:v>
      </x:c>
      <x:c r="B729" s="1" t="str">
        <x:v>T6</x:v>
      </x:c>
      <x:c r="C729" s="1" t="str">
        <x:v>L12</x:v>
      </x:c>
      <x:c r="D729" s="1" t="str">
        <x:v>Columns, core and deck formwork</x:v>
      </x:c>
      <x:c r="E729" s="1" t="str">
        <x:v>Formwork</x:v>
      </x:c>
      <x:c r="F729" s="15" t="n">
        <x:v>1222.6600000000005</x:v>
      </x:c>
      <x:c r="G729" s="1" t="str">
        <x:v>m2</x:v>
      </x:c>
      <x:c r="H729" s="17" t="n">
        <x:v>220</x:v>
      </x:c>
      <x:c r="I729" s="17" t="n">
        <x:v>18</x:v>
      </x:c>
      <x:c r="J729" s="17" t="n">
        <x:f>ROUNDUP(F729/H729,0)</x:f>
        <x:v>6</x:v>
      </x:c>
      <x:c r="K729" s="1" t="n">
        <x:f>MAX(L728+0)</x:f>
        <x:v>410</x:v>
      </x:c>
      <x:c r="L729" s="1" t="n">
        <x:f>K729+J729</x:f>
        <x:v>416</x:v>
      </x:c>
      <x:c r="M729" s="1" t="n">
        <x:f>N729-J729</x:f>
        <x:v>410</x:v>
      </x:c>
      <x:c r="N729" s="1" t="n">
        <x:f>MIN(M730-0)</x:f>
        <x:v>416</x:v>
      </x:c>
      <x:c r="O729" s="1" t="n">
        <x:f>M729-K729</x:f>
        <x:v>0</x:v>
      </x:c>
      <x:c r="P729" s="19" t="n">
        <x:f>INDEX('Calendar'!$C$8:$C$907,K729+1)</x:f>
        <x:v>46806</x:v>
      </x:c>
      <x:c r="Q729" s="19" t="n">
        <x:f>INDEX('Calendar'!$C$8:$C$907,MAX(K729+1,L729))</x:f>
        <x:v>46812</x:v>
      </x:c>
      <x:c r="R729" s="15" t="n">
        <x:v>29364.320000000007</x:v>
      </x:c>
      <x:c r="S729" s="15"/>
      <x:c r="T729" s="15" t="n">
        <x:f>R729/J729</x:f>
        <x:v>4894.053333333334</x:v>
      </x:c>
    </x:row>
    <x:row r="730" ht="23" customHeight="1">
      <x:c r="A730" s="6" t="str">
        <x:v>T6-L12-R</x:v>
      </x:c>
      <x:c r="B730" s="6" t="str">
        <x:v>T6</x:v>
      </x:c>
      <x:c r="C730" s="6" t="str">
        <x:v>L12</x:v>
      </x:c>
      <x:c r="D730" s="6" t="str">
        <x:v>Column, wall, beam and slab reinforcement</x:v>
      </x:c>
      <x:c r="E730" s="6" t="str">
        <x:v>Rebar</x:v>
      </x:c>
      <x:c r="F730" s="14" t="n">
        <x:v>29.684139475407747</x:v>
      </x:c>
      <x:c r="G730" s="6" t="str">
        <x:v>t</x:v>
      </x:c>
      <x:c r="H730" s="16" t="n">
        <x:v>7</x:v>
      </x:c>
      <x:c r="I730" s="16" t="n">
        <x:v>14</x:v>
      </x:c>
      <x:c r="J730" s="16" t="n">
        <x:f>ROUNDUP(F730/H730,0)</x:f>
        <x:v>5</x:v>
      </x:c>
      <x:c r="K730" s="6" t="n">
        <x:f>MAX(L729+0)</x:f>
        <x:v>416</x:v>
      </x:c>
      <x:c r="L730" s="6" t="n">
        <x:f>K730+J730</x:f>
        <x:v>421</x:v>
      </x:c>
      <x:c r="M730" s="6" t="n">
        <x:f>N730-J730</x:f>
        <x:v>416</x:v>
      </x:c>
      <x:c r="N730" s="6" t="n">
        <x:f>MIN(M731-0)</x:f>
        <x:v>421</x:v>
      </x:c>
      <x:c r="O730" s="6" t="n">
        <x:f>M730-K730</x:f>
        <x:v>0</x:v>
      </x:c>
      <x:c r="P730" s="18" t="n">
        <x:f>INDEX('Calendar'!$C$8:$C$907,K730+1)</x:f>
        <x:v>46813</x:v>
      </x:c>
      <x:c r="Q730" s="18" t="n">
        <x:f>INDEX('Calendar'!$C$8:$C$907,MAX(K730+1,L730))</x:f>
        <x:v>46818</x:v>
      </x:c>
      <x:c r="R730" s="14" t="n">
        <x:v>25795.51720412933</x:v>
      </x:c>
      <x:c r="S730" s="14"/>
      <x:c r="T730" s="14" t="n">
        <x:f>R730/J730</x:f>
        <x:v>5159.103440825866</x:v>
      </x:c>
    </x:row>
    <x:row r="731" ht="23" customHeight="1">
      <x:c r="A731" s="1" t="str">
        <x:v>T6-L12-C</x:v>
      </x:c>
      <x:c r="B731" s="1" t="str">
        <x:v>T6</x:v>
      </x:c>
      <x:c r="C731" s="1" t="str">
        <x:v>L12</x:v>
      </x:c>
      <x:c r="D731" s="1" t="str">
        <x:v>Concrete placement and finishing</x:v>
      </x:c>
      <x:c r="E731" s="1" t="str">
        <x:v>Concrete</x:v>
      </x:c>
      <x:c r="F731" s="15" t="n">
        <x:v>226.70819999999958</x:v>
      </x:c>
      <x:c r="G731" s="1" t="str">
        <x:v>m3</x:v>
      </x:c>
      <x:c r="H731" s="17" t="n">
        <x:v>170</x:v>
      </x:c>
      <x:c r="I731" s="17" t="n">
        <x:v>12</x:v>
      </x:c>
      <x:c r="J731" s="17" t="n">
        <x:f>ROUNDUP(F731/H731,0)</x:f>
        <x:v>2</x:v>
      </x:c>
      <x:c r="K731" s="1" t="n">
        <x:f>MAX(L730+0)</x:f>
        <x:v>421</x:v>
      </x:c>
      <x:c r="L731" s="1" t="n">
        <x:f>K731+J731</x:f>
        <x:v>423</x:v>
      </x:c>
      <x:c r="M731" s="1" t="n">
        <x:f>N731-J731</x:f>
        <x:v>421</x:v>
      </x:c>
      <x:c r="N731" s="1" t="n">
        <x:f>MIN(M732-0)</x:f>
        <x:v>423</x:v>
      </x:c>
      <x:c r="O731" s="1" t="n">
        <x:f>M731-K731</x:f>
        <x:v>0</x:v>
      </x:c>
      <x:c r="P731" s="19" t="n">
        <x:f>INDEX('Calendar'!$C$8:$C$907,K731+1)</x:f>
        <x:v>46819</x:v>
      </x:c>
      <x:c r="Q731" s="19" t="n">
        <x:f>INDEX('Calendar'!$C$8:$C$907,MAX(K731+1,L731))</x:f>
        <x:v>46820</x:v>
      </x:c>
      <x:c r="R731" s="15" t="n">
        <x:v>33527.39699999994</x:v>
      </x:c>
      <x:c r="S731" s="15"/>
      <x:c r="T731" s="15" t="n">
        <x:f>R731/J731</x:f>
        <x:v>16763.69849999997</x:v>
      </x:c>
    </x:row>
    <x:row r="732" ht="23" customHeight="1">
      <x:c r="A732" s="6" t="str">
        <x:v>T6-L12-H</x:v>
      </x:c>
      <x:c r="B732" s="6" t="str">
        <x:v>T6</x:v>
      </x:c>
      <x:c r="C732" s="6" t="str">
        <x:v>L12</x:v>
      </x:c>
      <x:c r="D732" s="6" t="str">
        <x:v>Curing and release hold point</x:v>
      </x:c>
      <x:c r="E732" s="6" t="str">
        <x:v>Site</x:v>
      </x:c>
      <x:c r="F732" s="14" t="n">
        <x:v>1</x:v>
      </x:c>
      <x:c r="G732" s="6" t="str">
        <x:v>hold</x:v>
      </x:c>
      <x:c r="H732" s="16" t="n">
        <x:v>1</x:v>
      </x:c>
      <x:c r="I732" s="16" t="n">
        <x:v>0</x:v>
      </x:c>
      <x:c r="J732" s="16" t="n">
        <x:f>S732</x:f>
        <x:v>5</x:v>
      </x:c>
      <x:c r="K732" s="6" t="n">
        <x:f>MAX(L731+0)</x:f>
        <x:v>423</x:v>
      </x:c>
      <x:c r="L732" s="6" t="n">
        <x:f>K732+J732</x:f>
        <x:v>428</x:v>
      </x:c>
      <x:c r="M732" s="6" t="n">
        <x:f>N732-J732</x:f>
        <x:v>423</x:v>
      </x:c>
      <x:c r="N732" s="6" t="n">
        <x:f>MIN(M733-5,M790-5,M796-5,M802-5,M808-5,M815-0)</x:f>
        <x:v>428</x:v>
      </x:c>
      <x:c r="O732" s="6" t="n">
        <x:f>M732-K732</x:f>
        <x:v>0</x:v>
      </x:c>
      <x:c r="P732" s="18" t="n">
        <x:f>INDEX('Calendar'!$C$8:$C$907,K732+1)</x:f>
        <x:v>46821</x:v>
      </x:c>
      <x:c r="Q732" s="18" t="n">
        <x:f>INDEX('Calendar'!$C$8:$C$907,MAX(K732+1,L732))</x:f>
        <x:v>46826</x:v>
      </x:c>
      <x:c r="R732" s="14" t="n">
        <x:v>0</x:v>
      </x:c>
      <x:c r="S732" s="14" t="n">
        <x:v>5</x:v>
      </x:c>
      <x:c r="T732" s="14" t="n">
        <x:f>R732/J732</x:f>
        <x:v>0</x:v>
      </x:c>
    </x:row>
    <x:row r="733" ht="23" customHeight="1">
      <x:c r="A733" s="1" t="str">
        <x:v>T6-RF</x:v>
      </x:c>
      <x:c r="B733" s="1" t="str">
        <x:v>T6</x:v>
      </x:c>
      <x:c r="C733" s="1" t="str">
        <x:v>ROOF</x:v>
      </x:c>
      <x:c r="D733" s="1" t="str">
        <x:v>Roof membrane and weatherproofing</x:v>
      </x:c>
      <x:c r="E733" s="1" t="str">
        <x:v>Envelope</x:v>
      </x:c>
      <x:c r="F733" s="15" t="n">
        <x:v>2400</x:v>
      </x:c>
      <x:c r="G733" s="1" t="str">
        <x:v>m2</x:v>
      </x:c>
      <x:c r="H733" s="17" t="n">
        <x:v>180</x:v>
      </x:c>
      <x:c r="I733" s="17" t="n">
        <x:v>10</x:v>
      </x:c>
      <x:c r="J733" s="17" t="n">
        <x:f>ROUNDUP(F733/H733,0)</x:f>
        <x:v>14</x:v>
      </x:c>
      <x:c r="K733" s="1" t="n">
        <x:f>MAX(L732+5)</x:f>
        <x:v>433</x:v>
      </x:c>
      <x:c r="L733" s="1" t="n">
        <x:f>K733+J733</x:f>
        <x:v>447</x:v>
      </x:c>
      <x:c r="M733" s="1" t="n">
        <x:f>N733-J733</x:f>
        <x:v>438</x:v>
      </x:c>
      <x:c r="N733" s="1" t="n">
        <x:f>MIN(M735-0)</x:f>
        <x:v>452</x:v>
      </x:c>
      <x:c r="O733" s="1" t="n">
        <x:f>M733-K733</x:f>
        <x:v>5</x:v>
      </x:c>
      <x:c r="P733" s="19" t="n">
        <x:f>INDEX('Calendar'!$C$8:$C$907,K733+1)</x:f>
        <x:v>46833</x:v>
      </x:c>
      <x:c r="Q733" s="19" t="n">
        <x:f>INDEX('Calendar'!$C$8:$C$907,MAX(K733+1,L733))</x:f>
        <x:v>46848</x:v>
      </x:c>
      <x:c r="R733" s="15" t="n">
        <x:v>48000</x:v>
      </x:c>
      <x:c r="S733" s="15"/>
      <x:c r="T733" s="15" t="n">
        <x:f>R733/J733</x:f>
        <x:v>3428.5714285714284</x:v>
      </x:c>
    </x:row>
    <x:row r="734" ht="23" customHeight="1">
      <x:c r="A734" s="6" t="str">
        <x:v>T6-FA</x:v>
      </x:c>
      <x:c r="B734" s="6" t="str">
        <x:v>T6</x:v>
      </x:c>
      <x:c r="C734" s="6" t="str">
        <x:v>ALL</x:v>
      </x:c>
      <x:c r="D734" s="6" t="str">
        <x:v>Insulated facade installation</x:v>
      </x:c>
      <x:c r="E734" s="6" t="str">
        <x:v>Envelope</x:v>
      </x:c>
      <x:c r="F734" s="14" t="n">
        <x:v>3234.8159999999993</x:v>
      </x:c>
      <x:c r="G734" s="6" t="str">
        <x:v>m2</x:v>
      </x:c>
      <x:c r="H734" s="16" t="n">
        <x:v>150</x:v>
      </x:c>
      <x:c r="I734" s="16" t="n">
        <x:v>16</x:v>
      </x:c>
      <x:c r="J734" s="16" t="n">
        <x:f>ROUNDUP(F734/H734,0)</x:f>
        <x:v>22</x:v>
      </x:c>
      <x:c r="K734" s="6" t="n">
        <x:f>MAX(L716+10)</x:f>
        <x:v>366</x:v>
      </x:c>
      <x:c r="L734" s="6" t="n">
        <x:f>K734+J734</x:f>
        <x:v>388</x:v>
      </x:c>
      <x:c r="M734" s="6" t="n">
        <x:f>N734-J734</x:f>
        <x:v>430</x:v>
      </x:c>
      <x:c r="N734" s="6" t="n">
        <x:f>MIN(M735-0)</x:f>
        <x:v>452</x:v>
      </x:c>
      <x:c r="O734" s="6" t="n">
        <x:f>M734-K734</x:f>
        <x:v>64</x:v>
      </x:c>
      <x:c r="P734" s="18" t="n">
        <x:f>INDEX('Calendar'!$C$8:$C$907,K734+1)</x:f>
        <x:v>46755</x:v>
      </x:c>
      <x:c r="Q734" s="18" t="n">
        <x:f>INDEX('Calendar'!$C$8:$C$907,MAX(K734+1,L734))</x:f>
        <x:v>46779</x:v>
      </x:c>
      <x:c r="R734" s="14" t="n">
        <x:v>271724.54399999994</x:v>
      </x:c>
      <x:c r="S734" s="14"/>
      <x:c r="T734" s="14" t="n">
        <x:f>R734/J734</x:f>
        <x:v>12351.115636363633</x:v>
      </x:c>
    </x:row>
    <x:row r="735" ht="23" customHeight="1">
      <x:c r="A735" s="1" t="str">
        <x:v>T6-GL</x:v>
      </x:c>
      <x:c r="B735" s="1" t="str">
        <x:v>T6</x:v>
      </x:c>
      <x:c r="C735" s="1" t="str">
        <x:v>ALL</x:v>
      </x:c>
      <x:c r="D735" s="1" t="str">
        <x:v>Glazing and frame installation</x:v>
      </x:c>
      <x:c r="E735" s="1" t="str">
        <x:v>Envelope</x:v>
      </x:c>
      <x:c r="F735" s="15" t="n">
        <x:v>1257.9840000000002</x:v>
      </x:c>
      <x:c r="G735" s="1" t="str">
        <x:v>m2</x:v>
      </x:c>
      <x:c r="H735" s="17" t="n">
        <x:v>90</x:v>
      </x:c>
      <x:c r="I735" s="17" t="n">
        <x:v>12</x:v>
      </x:c>
      <x:c r="J735" s="17" t="n">
        <x:f>ROUNDUP(F735/H735,0)</x:f>
        <x:v>14</x:v>
      </x:c>
      <x:c r="K735" s="1" t="n">
        <x:f>MAX(L734+0,L733+0)</x:f>
        <x:v>447</x:v>
      </x:c>
      <x:c r="L735" s="1" t="n">
        <x:f>K735+J735</x:f>
        <x:v>461</x:v>
      </x:c>
      <x:c r="M735" s="1" t="n">
        <x:f>N735-J735</x:f>
        <x:v>452</x:v>
      </x:c>
      <x:c r="N735" s="1" t="n">
        <x:f>MIN(M739-0,M745-0,M751-0,M757-0,M763-0,M769-0,M775-0,M781-0,M787-0,M793-0,M799-0,M805-0,M811-0)</x:f>
        <x:v>466</x:v>
      </x:c>
      <x:c r="O735" s="1" t="n">
        <x:f>M735-K735</x:f>
        <x:v>5</x:v>
      </x:c>
      <x:c r="P735" s="19" t="n">
        <x:f>INDEX('Calendar'!$C$8:$C$907,K735+1)</x:f>
        <x:v>46849</x:v>
      </x:c>
      <x:c r="Q735" s="19" t="n">
        <x:f>INDEX('Calendar'!$C$8:$C$907,MAX(K735+1,L735))</x:f>
        <x:v>46864</x:v>
      </x:c>
      <x:c r="R735" s="15" t="n">
        <x:v>276756.48000000004</x:v>
      </x:c>
      <x:c r="S735" s="15"/>
      <x:c r="T735" s="15" t="n">
        <x:f>R735/J735</x:f>
        <x:v>19768.320000000003</x:v>
      </x:c>
    </x:row>
    <x:row r="736" ht="23" customHeight="1">
      <x:c r="A736" s="6" t="str">
        <x:v>T6-L00-M</x:v>
      </x:c>
      <x:c r="B736" s="6" t="str">
        <x:v>T6</x:v>
      </x:c>
      <x:c r="C736" s="6" t="str">
        <x:v>L00</x:v>
      </x:c>
      <x:c r="D736" s="6" t="str">
        <x:v>Partition masonry</x:v>
      </x:c>
      <x:c r="E736" s="6" t="str">
        <x:v>Masonry</x:v>
      </x:c>
      <x:c r="F736" s="14" t="n">
        <x:v>90.40200000000002</x:v>
      </x:c>
      <x:c r="G736" s="6" t="str">
        <x:v>m3</x:v>
      </x:c>
      <x:c r="H736" s="16" t="n">
        <x:v>22</x:v>
      </x:c>
      <x:c r="I736" s="16" t="n">
        <x:v>10</x:v>
      </x:c>
      <x:c r="J736" s="16" t="n">
        <x:f>ROUNDUP(F736/H736,0)</x:f>
        <x:v>5</x:v>
      </x:c>
      <x:c r="K736" s="6" t="n">
        <x:f>MAX(L696+5)</x:f>
        <x:v>271</x:v>
      </x:c>
      <x:c r="L736" s="6" t="n">
        <x:f>K736+J736</x:f>
        <x:v>276</x:v>
      </x:c>
      <x:c r="M736" s="6" t="n">
        <x:f>N736-J736</x:f>
        <x:v>433</x:v>
      </x:c>
      <x:c r="N736" s="6" t="n">
        <x:f>MIN(M737-3)</x:f>
        <x:v>438</x:v>
      </x:c>
      <x:c r="O736" s="6" t="n">
        <x:f>M736-K736</x:f>
        <x:v>162</x:v>
      </x:c>
      <x:c r="P736" s="18" t="n">
        <x:f>INDEX('Calendar'!$C$8:$C$907,K736+1)</x:f>
        <x:v>46644</x:v>
      </x:c>
      <x:c r="Q736" s="18" t="n">
        <x:f>INDEX('Calendar'!$C$8:$C$907,MAX(K736+1,L736))</x:f>
        <x:v>46648</x:v>
      </x:c>
      <x:c r="R736" s="14" t="n">
        <x:v>12204.27</x:v>
      </x:c>
      <x:c r="S736" s="14"/>
      <x:c r="T736" s="14" t="n">
        <x:f>R736/J736</x:f>
        <x:v>2440.8540000000003</x:v>
      </x:c>
    </x:row>
    <x:row r="737" ht="23" customHeight="1">
      <x:c r="A737" s="1" t="str">
        <x:v>T6-L00-P</x:v>
      </x:c>
      <x:c r="B737" s="1" t="str">
        <x:v>T6</x:v>
      </x:c>
      <x:c r="C737" s="1" t="str">
        <x:v>L00</x:v>
      </x:c>
      <x:c r="D737" s="1" t="str">
        <x:v>Internal plaster</x:v>
      </x:c>
      <x:c r="E737" s="1" t="str">
        <x:v>Finishes</x:v>
      </x:c>
      <x:c r="F737" s="15" t="n">
        <x:v>1205.3600000000006</x:v>
      </x:c>
      <x:c r="G737" s="1" t="str">
        <x:v>m2</x:v>
      </x:c>
      <x:c r="H737" s="17" t="n">
        <x:v>220</x:v>
      </x:c>
      <x:c r="I737" s="17" t="n">
        <x:v>10</x:v>
      </x:c>
      <x:c r="J737" s="17" t="n">
        <x:f>ROUNDUP(F737/H737,0)</x:f>
        <x:v>6</x:v>
      </x:c>
      <x:c r="K737" s="1" t="n">
        <x:f>MAX(L736+3)</x:f>
        <x:v>279</x:v>
      </x:c>
      <x:c r="L737" s="1" t="n">
        <x:f>K737+J737</x:f>
        <x:v>285</x:v>
      </x:c>
      <x:c r="M737" s="1" t="n">
        <x:f>N737-J737</x:f>
        <x:v>441</x:v>
      </x:c>
      <x:c r="N737" s="1" t="n">
        <x:f>MIN(M738-2)</x:f>
        <x:v>447</x:v>
      </x:c>
      <x:c r="O737" s="1" t="n">
        <x:f>M737-K737</x:f>
        <x:v>162</x:v>
      </x:c>
      <x:c r="P737" s="19" t="n">
        <x:f>INDEX('Calendar'!$C$8:$C$907,K737+1)</x:f>
        <x:v>46653</x:v>
      </x:c>
      <x:c r="Q737" s="19" t="n">
        <x:f>INDEX('Calendar'!$C$8:$C$907,MAX(K737+1,L737))</x:f>
        <x:v>46659</x:v>
      </x:c>
      <x:c r="R737" s="15" t="n">
        <x:v>15067.000000000005</x:v>
      </x:c>
      <x:c r="S737" s="15"/>
      <x:c r="T737" s="15" t="n">
        <x:f>R737/J737</x:f>
        <x:v>2511.1666666666674</x:v>
      </x:c>
    </x:row>
    <x:row r="738" ht="23" customHeight="1">
      <x:c r="A738" s="6" t="str">
        <x:v>T6-L00-S</x:v>
      </x:c>
      <x:c r="B738" s="6" t="str">
        <x:v>T6</x:v>
      </x:c>
      <x:c r="C738" s="6" t="str">
        <x:v>L00</x:v>
      </x:c>
      <x:c r="D738" s="6" t="str">
        <x:v>Screed and substrate preparation</x:v>
      </x:c>
      <x:c r="E738" s="6" t="str">
        <x:v>Finishes</x:v>
      </x:c>
      <x:c r="F738" s="14" t="n">
        <x:v>696</x:v>
      </x:c>
      <x:c r="G738" s="6" t="str">
        <x:v>m2</x:v>
      </x:c>
      <x:c r="H738" s="16" t="n">
        <x:v>240</x:v>
      </x:c>
      <x:c r="I738" s="16" t="n">
        <x:v>8</x:v>
      </x:c>
      <x:c r="J738" s="16" t="n">
        <x:f>ROUNDUP(F738/H738,0)</x:f>
        <x:v>3</x:v>
      </x:c>
      <x:c r="K738" s="6" t="n">
        <x:f>MAX(L737+2)</x:f>
        <x:v>287</x:v>
      </x:c>
      <x:c r="L738" s="6" t="n">
        <x:f>K738+J738</x:f>
        <x:v>290</x:v>
      </x:c>
      <x:c r="M738" s="6" t="n">
        <x:f>N738-J738</x:f>
        <x:v>449</x:v>
      </x:c>
      <x:c r="N738" s="6" t="n">
        <x:f>MIN(M739-14)</x:f>
        <x:v>452</x:v>
      </x:c>
      <x:c r="O738" s="6" t="n">
        <x:f>M738-K738</x:f>
        <x:v>162</x:v>
      </x:c>
      <x:c r="P738" s="18" t="n">
        <x:f>INDEX('Calendar'!$C$8:$C$907,K738+1)</x:f>
        <x:v>46662</x:v>
      </x:c>
      <x:c r="Q738" s="18" t="n">
        <x:f>INDEX('Calendar'!$C$8:$C$907,MAX(K738+1,L738))</x:f>
        <x:v>46665</x:v>
      </x:c>
      <x:c r="R738" s="14" t="n">
        <x:v>9048</x:v>
      </x:c>
      <x:c r="S738" s="14"/>
      <x:c r="T738" s="14" t="n">
        <x:f>R738/J738</x:f>
        <x:v>3016</x:v>
      </x:c>
    </x:row>
    <x:row r="739" ht="23" customHeight="1">
      <x:c r="A739" s="1" t="str">
        <x:v>T6-L00-T</x:v>
      </x:c>
      <x:c r="B739" s="1" t="str">
        <x:v>T6</x:v>
      </x:c>
      <x:c r="C739" s="1" t="str">
        <x:v>L00</x:v>
      </x:c>
      <x:c r="D739" s="1" t="str">
        <x:v>Floor finishes and skirtings</x:v>
      </x:c>
      <x:c r="E739" s="1" t="str">
        <x:v>Finishes</x:v>
      </x:c>
      <x:c r="F739" s="15" t="n">
        <x:v>696</x:v>
      </x:c>
      <x:c r="G739" s="1" t="str">
        <x:v>m2</x:v>
      </x:c>
      <x:c r="H739" s="17" t="n">
        <x:v>130</x:v>
      </x:c>
      <x:c r="I739" s="17" t="n">
        <x:v>8</x:v>
      </x:c>
      <x:c r="J739" s="17" t="n">
        <x:f>ROUNDUP(F739/H739,0)</x:f>
        <x:v>6</x:v>
      </x:c>
      <x:c r="K739" s="1" t="n">
        <x:f>MAX(L738+14,L735+0)</x:f>
        <x:v>461</x:v>
      </x:c>
      <x:c r="L739" s="1" t="n">
        <x:f>K739+J739</x:f>
        <x:v>467</x:v>
      </x:c>
      <x:c r="M739" s="1" t="n">
        <x:f>N739-J739</x:f>
        <x:v>466</x:v>
      </x:c>
      <x:c r="N739" s="1" t="n">
        <x:f>MIN(M740-2)</x:f>
        <x:v>472</x:v>
      </x:c>
      <x:c r="O739" s="1" t="n">
        <x:f>M739-K739</x:f>
        <x:v>5</x:v>
      </x:c>
      <x:c r="P739" s="19" t="n">
        <x:f>INDEX('Calendar'!$C$8:$C$907,K739+1)</x:f>
        <x:v>46865</x:v>
      </x:c>
      <x:c r="Q739" s="19" t="n">
        <x:f>INDEX('Calendar'!$C$8:$C$907,MAX(K739+1,L739))</x:f>
        <x:v>46871</x:v>
      </x:c>
      <x:c r="R739" s="15" t="n">
        <x:v>24012</x:v>
      </x:c>
      <x:c r="S739" s="15"/>
      <x:c r="T739" s="15" t="n">
        <x:f>R739/J739</x:f>
        <x:v>4002</x:v>
      </x:c>
    </x:row>
    <x:row r="740" ht="23" customHeight="1">
      <x:c r="A740" s="6" t="str">
        <x:v>T6-L00-A</x:v>
      </x:c>
      <x:c r="B740" s="6" t="str">
        <x:v>T6</x:v>
      </x:c>
      <x:c r="C740" s="6" t="str">
        <x:v>L00</x:v>
      </x:c>
      <x:c r="D740" s="6" t="str">
        <x:v>Paint and final decorations</x:v>
      </x:c>
      <x:c r="E740" s="6" t="str">
        <x:v>Finishes</x:v>
      </x:c>
      <x:c r="F740" s="14" t="n">
        <x:v>1205.3600000000004</x:v>
      </x:c>
      <x:c r="G740" s="6" t="str">
        <x:v>m2</x:v>
      </x:c>
      <x:c r="H740" s="16" t="n">
        <x:v>270</x:v>
      </x:c>
      <x:c r="I740" s="16" t="n">
        <x:v>8</x:v>
      </x:c>
      <x:c r="J740" s="16" t="n">
        <x:f>ROUNDUP(F740/H740,0)</x:f>
        <x:v>5</x:v>
      </x:c>
      <x:c r="K740" s="6" t="n">
        <x:f>MAX(L739+2)</x:f>
        <x:v>469</x:v>
      </x:c>
      <x:c r="L740" s="6" t="n">
        <x:f>K740+J740</x:f>
        <x:v>474</x:v>
      </x:c>
      <x:c r="M740" s="6" t="n">
        <x:f>N740-J740</x:f>
        <x:v>474</x:v>
      </x:c>
      <x:c r="N740" s="6" t="n">
        <x:f>MIN(M741-0)</x:f>
        <x:v>479</x:v>
      </x:c>
      <x:c r="O740" s="6" t="n">
        <x:f>M740-K740</x:f>
        <x:v>5</x:v>
      </x:c>
      <x:c r="P740" s="18" t="n">
        <x:f>INDEX('Calendar'!$C$8:$C$907,K740+1)</x:f>
        <x:v>46875</x:v>
      </x:c>
      <x:c r="Q740" s="18" t="n">
        <x:f>INDEX('Calendar'!$C$8:$C$907,MAX(K740+1,L740))</x:f>
        <x:v>46879</x:v>
      </x:c>
      <x:c r="R740" s="14" t="n">
        <x:v>10245.560000000003</x:v>
      </x:c>
      <x:c r="S740" s="14"/>
      <x:c r="T740" s="14" t="n">
        <x:f>R740/J740</x:f>
        <x:v>2049.1120000000005</x:v>
      </x:c>
    </x:row>
    <x:row r="741" ht="23" customHeight="1">
      <x:c r="A741" s="1" t="str">
        <x:v>T6-L00-D</x:v>
      </x:c>
      <x:c r="B741" s="1" t="str">
        <x:v>T6</x:v>
      </x:c>
      <x:c r="C741" s="1" t="str">
        <x:v>L00</x:v>
      </x:c>
      <x:c r="D741" s="1" t="str">
        <x:v>Door sets and ironmongery</x:v>
      </x:c>
      <x:c r="E741" s="1" t="str">
        <x:v>Finishes</x:v>
      </x:c>
      <x:c r="F741" s="15" t="n">
        <x:v>28</x:v>
      </x:c>
      <x:c r="G741" s="1" t="str">
        <x:v>nr</x:v>
      </x:c>
      <x:c r="H741" s="17" t="n">
        <x:v>10</x:v>
      </x:c>
      <x:c r="I741" s="17" t="n">
        <x:v>4</x:v>
      </x:c>
      <x:c r="J741" s="17" t="n">
        <x:f>ROUNDUP(F741/H741,0)</x:f>
        <x:v>3</x:v>
      </x:c>
      <x:c r="K741" s="1" t="n">
        <x:f>MAX(L740+0)</x:f>
        <x:v>474</x:v>
      </x:c>
      <x:c r="L741" s="1" t="n">
        <x:f>K741+J741</x:f>
        <x:v>477</x:v>
      </x:c>
      <x:c r="M741" s="1" t="n">
        <x:f>N741-J741</x:f>
        <x:v>479</x:v>
      </x:c>
      <x:c r="N741" s="1" t="n">
        <x:f>MIN(M816-0)</x:f>
        <x:v>482</x:v>
      </x:c>
      <x:c r="O741" s="1" t="n">
        <x:f>M741-K741</x:f>
        <x:v>5</x:v>
      </x:c>
      <x:c r="P741" s="19" t="n">
        <x:f>INDEX('Calendar'!$C$8:$C$907,K741+1)</x:f>
        <x:v>46881</x:v>
      </x:c>
      <x:c r="Q741" s="19" t="n">
        <x:f>INDEX('Calendar'!$C$8:$C$907,MAX(K741+1,L741))</x:f>
        <x:v>46883</x:v>
      </x:c>
      <x:c r="R741" s="15" t="n">
        <x:v>5796</x:v>
      </x:c>
      <x:c r="S741" s="15"/>
      <x:c r="T741" s="15" t="n">
        <x:f>R741/J741</x:f>
        <x:v>1932</x:v>
      </x:c>
    </x:row>
    <x:row r="742" ht="23" customHeight="1">
      <x:c r="A742" s="6" t="str">
        <x:v>T6-L01-M</x:v>
      </x:c>
      <x:c r="B742" s="6" t="str">
        <x:v>T6</x:v>
      </x:c>
      <x:c r="C742" s="6" t="str">
        <x:v>L01</x:v>
      </x:c>
      <x:c r="D742" s="6" t="str">
        <x:v>Partition masonry</x:v>
      </x:c>
      <x:c r="E742" s="6" t="str">
        <x:v>Masonry</x:v>
      </x:c>
      <x:c r="F742" s="14" t="n">
        <x:v>90.40200000000002</x:v>
      </x:c>
      <x:c r="G742" s="6" t="str">
        <x:v>m3</x:v>
      </x:c>
      <x:c r="H742" s="16" t="n">
        <x:v>22</x:v>
      </x:c>
      <x:c r="I742" s="16" t="n">
        <x:v>10</x:v>
      </x:c>
      <x:c r="J742" s="16" t="n">
        <x:f>ROUNDUP(F742/H742,0)</x:f>
        <x:v>5</x:v>
      </x:c>
      <x:c r="K742" s="6" t="n">
        <x:f>MAX(L700+5)</x:f>
        <x:v>289</x:v>
      </x:c>
      <x:c r="L742" s="6" t="n">
        <x:f>K742+J742</x:f>
        <x:v>294</x:v>
      </x:c>
      <x:c r="M742" s="6" t="n">
        <x:f>N742-J742</x:f>
        <x:v>433</x:v>
      </x:c>
      <x:c r="N742" s="6" t="n">
        <x:f>MIN(M743-3)</x:f>
        <x:v>438</x:v>
      </x:c>
      <x:c r="O742" s="6" t="n">
        <x:f>M742-K742</x:f>
        <x:v>144</x:v>
      </x:c>
      <x:c r="P742" s="18" t="n">
        <x:f>INDEX('Calendar'!$C$8:$C$907,K742+1)</x:f>
        <x:v>46665</x:v>
      </x:c>
      <x:c r="Q742" s="18" t="n">
        <x:f>INDEX('Calendar'!$C$8:$C$907,MAX(K742+1,L742))</x:f>
        <x:v>46669</x:v>
      </x:c>
      <x:c r="R742" s="14" t="n">
        <x:v>12204.27</x:v>
      </x:c>
      <x:c r="S742" s="14"/>
      <x:c r="T742" s="14" t="n">
        <x:f>R742/J742</x:f>
        <x:v>2440.8540000000003</x:v>
      </x:c>
    </x:row>
    <x:row r="743" ht="23" customHeight="1">
      <x:c r="A743" s="1" t="str">
        <x:v>T6-L01-P</x:v>
      </x:c>
      <x:c r="B743" s="1" t="str">
        <x:v>T6</x:v>
      </x:c>
      <x:c r="C743" s="1" t="str">
        <x:v>L01</x:v>
      </x:c>
      <x:c r="D743" s="1" t="str">
        <x:v>Internal plaster</x:v>
      </x:c>
      <x:c r="E743" s="1" t="str">
        <x:v>Finishes</x:v>
      </x:c>
      <x:c r="F743" s="15" t="n">
        <x:v>1205.3600000000006</x:v>
      </x:c>
      <x:c r="G743" s="1" t="str">
        <x:v>m2</x:v>
      </x:c>
      <x:c r="H743" s="17" t="n">
        <x:v>220</x:v>
      </x:c>
      <x:c r="I743" s="17" t="n">
        <x:v>10</x:v>
      </x:c>
      <x:c r="J743" s="17" t="n">
        <x:f>ROUNDUP(F743/H743,0)</x:f>
        <x:v>6</x:v>
      </x:c>
      <x:c r="K743" s="1" t="n">
        <x:f>MAX(L742+3)</x:f>
        <x:v>297</x:v>
      </x:c>
      <x:c r="L743" s="1" t="n">
        <x:f>K743+J743</x:f>
        <x:v>303</x:v>
      </x:c>
      <x:c r="M743" s="1" t="n">
        <x:f>N743-J743</x:f>
        <x:v>441</x:v>
      </x:c>
      <x:c r="N743" s="1" t="n">
        <x:f>MIN(M744-2)</x:f>
        <x:v>447</x:v>
      </x:c>
      <x:c r="O743" s="1" t="n">
        <x:f>M743-K743</x:f>
        <x:v>144</x:v>
      </x:c>
      <x:c r="P743" s="19" t="n">
        <x:f>INDEX('Calendar'!$C$8:$C$907,K743+1)</x:f>
        <x:v>46674</x:v>
      </x:c>
      <x:c r="Q743" s="19" t="n">
        <x:f>INDEX('Calendar'!$C$8:$C$907,MAX(K743+1,L743))</x:f>
        <x:v>46680</x:v>
      </x:c>
      <x:c r="R743" s="15" t="n">
        <x:v>15067.000000000005</x:v>
      </x:c>
      <x:c r="S743" s="15"/>
      <x:c r="T743" s="15" t="n">
        <x:f>R743/J743</x:f>
        <x:v>2511.1666666666674</x:v>
      </x:c>
    </x:row>
    <x:row r="744" ht="23" customHeight="1">
      <x:c r="A744" s="6" t="str">
        <x:v>T6-L01-S</x:v>
      </x:c>
      <x:c r="B744" s="6" t="str">
        <x:v>T6</x:v>
      </x:c>
      <x:c r="C744" s="6" t="str">
        <x:v>L01</x:v>
      </x:c>
      <x:c r="D744" s="6" t="str">
        <x:v>Screed and substrate preparation</x:v>
      </x:c>
      <x:c r="E744" s="6" t="str">
        <x:v>Finishes</x:v>
      </x:c>
      <x:c r="F744" s="14" t="n">
        <x:v>696</x:v>
      </x:c>
      <x:c r="G744" s="6" t="str">
        <x:v>m2</x:v>
      </x:c>
      <x:c r="H744" s="16" t="n">
        <x:v>240</x:v>
      </x:c>
      <x:c r="I744" s="16" t="n">
        <x:v>8</x:v>
      </x:c>
      <x:c r="J744" s="16" t="n">
        <x:f>ROUNDUP(F744/H744,0)</x:f>
        <x:v>3</x:v>
      </x:c>
      <x:c r="K744" s="6" t="n">
        <x:f>MAX(L743+2)</x:f>
        <x:v>305</x:v>
      </x:c>
      <x:c r="L744" s="6" t="n">
        <x:f>K744+J744</x:f>
        <x:v>308</x:v>
      </x:c>
      <x:c r="M744" s="6" t="n">
        <x:f>N744-J744</x:f>
        <x:v>449</x:v>
      </x:c>
      <x:c r="N744" s="6" t="n">
        <x:f>MIN(M745-14)</x:f>
        <x:v>452</x:v>
      </x:c>
      <x:c r="O744" s="6" t="n">
        <x:f>M744-K744</x:f>
        <x:v>144</x:v>
      </x:c>
      <x:c r="P744" s="18" t="n">
        <x:f>INDEX('Calendar'!$C$8:$C$907,K744+1)</x:f>
        <x:v>46683</x:v>
      </x:c>
      <x:c r="Q744" s="18" t="n">
        <x:f>INDEX('Calendar'!$C$8:$C$907,MAX(K744+1,L744))</x:f>
        <x:v>46686</x:v>
      </x:c>
      <x:c r="R744" s="14" t="n">
        <x:v>9048</x:v>
      </x:c>
      <x:c r="S744" s="14"/>
      <x:c r="T744" s="14" t="n">
        <x:f>R744/J744</x:f>
        <x:v>3016</x:v>
      </x:c>
    </x:row>
    <x:row r="745" ht="23" customHeight="1">
      <x:c r="A745" s="1" t="str">
        <x:v>T6-L01-T</x:v>
      </x:c>
      <x:c r="B745" s="1" t="str">
        <x:v>T6</x:v>
      </x:c>
      <x:c r="C745" s="1" t="str">
        <x:v>L01</x:v>
      </x:c>
      <x:c r="D745" s="1" t="str">
        <x:v>Floor finishes and skirtings</x:v>
      </x:c>
      <x:c r="E745" s="1" t="str">
        <x:v>Finishes</x:v>
      </x:c>
      <x:c r="F745" s="15" t="n">
        <x:v>696</x:v>
      </x:c>
      <x:c r="G745" s="1" t="str">
        <x:v>m2</x:v>
      </x:c>
      <x:c r="H745" s="17" t="n">
        <x:v>130</x:v>
      </x:c>
      <x:c r="I745" s="17" t="n">
        <x:v>8</x:v>
      </x:c>
      <x:c r="J745" s="17" t="n">
        <x:f>ROUNDUP(F745/H745,0)</x:f>
        <x:v>6</x:v>
      </x:c>
      <x:c r="K745" s="1" t="n">
        <x:f>MAX(L744+14,L735+0)</x:f>
        <x:v>461</x:v>
      </x:c>
      <x:c r="L745" s="1" t="n">
        <x:f>K745+J745</x:f>
        <x:v>467</x:v>
      </x:c>
      <x:c r="M745" s="1" t="n">
        <x:f>N745-J745</x:f>
        <x:v>466</x:v>
      </x:c>
      <x:c r="N745" s="1" t="n">
        <x:f>MIN(M746-2)</x:f>
        <x:v>472</x:v>
      </x:c>
      <x:c r="O745" s="1" t="n">
        <x:f>M745-K745</x:f>
        <x:v>5</x:v>
      </x:c>
      <x:c r="P745" s="19" t="n">
        <x:f>INDEX('Calendar'!$C$8:$C$907,K745+1)</x:f>
        <x:v>46865</x:v>
      </x:c>
      <x:c r="Q745" s="19" t="n">
        <x:f>INDEX('Calendar'!$C$8:$C$907,MAX(K745+1,L745))</x:f>
        <x:v>46871</x:v>
      </x:c>
      <x:c r="R745" s="15" t="n">
        <x:v>24012</x:v>
      </x:c>
      <x:c r="S745" s="15"/>
      <x:c r="T745" s="15" t="n">
        <x:f>R745/J745</x:f>
        <x:v>4002</x:v>
      </x:c>
    </x:row>
    <x:row r="746" ht="23" customHeight="1">
      <x:c r="A746" s="6" t="str">
        <x:v>T6-L01-A</x:v>
      </x:c>
      <x:c r="B746" s="6" t="str">
        <x:v>T6</x:v>
      </x:c>
      <x:c r="C746" s="6" t="str">
        <x:v>L01</x:v>
      </x:c>
      <x:c r="D746" s="6" t="str">
        <x:v>Paint and final decorations</x:v>
      </x:c>
      <x:c r="E746" s="6" t="str">
        <x:v>Finishes</x:v>
      </x:c>
      <x:c r="F746" s="14" t="n">
        <x:v>1205.3600000000004</x:v>
      </x:c>
      <x:c r="G746" s="6" t="str">
        <x:v>m2</x:v>
      </x:c>
      <x:c r="H746" s="16" t="n">
        <x:v>270</x:v>
      </x:c>
      <x:c r="I746" s="16" t="n">
        <x:v>8</x:v>
      </x:c>
      <x:c r="J746" s="16" t="n">
        <x:f>ROUNDUP(F746/H746,0)</x:f>
        <x:v>5</x:v>
      </x:c>
      <x:c r="K746" s="6" t="n">
        <x:f>MAX(L745+2)</x:f>
        <x:v>469</x:v>
      </x:c>
      <x:c r="L746" s="6" t="n">
        <x:f>K746+J746</x:f>
        <x:v>474</x:v>
      </x:c>
      <x:c r="M746" s="6" t="n">
        <x:f>N746-J746</x:f>
        <x:v>474</x:v>
      </x:c>
      <x:c r="N746" s="6" t="n">
        <x:f>MIN(M747-0)</x:f>
        <x:v>479</x:v>
      </x:c>
      <x:c r="O746" s="6" t="n">
        <x:f>M746-K746</x:f>
        <x:v>5</x:v>
      </x:c>
      <x:c r="P746" s="18" t="n">
        <x:f>INDEX('Calendar'!$C$8:$C$907,K746+1)</x:f>
        <x:v>46875</x:v>
      </x:c>
      <x:c r="Q746" s="18" t="n">
        <x:f>INDEX('Calendar'!$C$8:$C$907,MAX(K746+1,L746))</x:f>
        <x:v>46879</x:v>
      </x:c>
      <x:c r="R746" s="14" t="n">
        <x:v>10245.560000000003</x:v>
      </x:c>
      <x:c r="S746" s="14"/>
      <x:c r="T746" s="14" t="n">
        <x:f>R746/J746</x:f>
        <x:v>2049.1120000000005</x:v>
      </x:c>
    </x:row>
    <x:row r="747" ht="23" customHeight="1">
      <x:c r="A747" s="1" t="str">
        <x:v>T6-L01-D</x:v>
      </x:c>
      <x:c r="B747" s="1" t="str">
        <x:v>T6</x:v>
      </x:c>
      <x:c r="C747" s="1" t="str">
        <x:v>L01</x:v>
      </x:c>
      <x:c r="D747" s="1" t="str">
        <x:v>Door sets and ironmongery</x:v>
      </x:c>
      <x:c r="E747" s="1" t="str">
        <x:v>Finishes</x:v>
      </x:c>
      <x:c r="F747" s="15" t="n">
        <x:v>28</x:v>
      </x:c>
      <x:c r="G747" s="1" t="str">
        <x:v>nr</x:v>
      </x:c>
      <x:c r="H747" s="17" t="n">
        <x:v>10</x:v>
      </x:c>
      <x:c r="I747" s="17" t="n">
        <x:v>4</x:v>
      </x:c>
      <x:c r="J747" s="17" t="n">
        <x:f>ROUNDUP(F747/H747,0)</x:f>
        <x:v>3</x:v>
      </x:c>
      <x:c r="K747" s="1" t="n">
        <x:f>MAX(L746+0)</x:f>
        <x:v>474</x:v>
      </x:c>
      <x:c r="L747" s="1" t="n">
        <x:f>K747+J747</x:f>
        <x:v>477</x:v>
      </x:c>
      <x:c r="M747" s="1" t="n">
        <x:f>N747-J747</x:f>
        <x:v>479</x:v>
      </x:c>
      <x:c r="N747" s="1" t="n">
        <x:f>MIN(M816-0)</x:f>
        <x:v>482</x:v>
      </x:c>
      <x:c r="O747" s="1" t="n">
        <x:f>M747-K747</x:f>
        <x:v>5</x:v>
      </x:c>
      <x:c r="P747" s="19" t="n">
        <x:f>INDEX('Calendar'!$C$8:$C$907,K747+1)</x:f>
        <x:v>46881</x:v>
      </x:c>
      <x:c r="Q747" s="19" t="n">
        <x:f>INDEX('Calendar'!$C$8:$C$907,MAX(K747+1,L747))</x:f>
        <x:v>46883</x:v>
      </x:c>
      <x:c r="R747" s="15" t="n">
        <x:v>5796</x:v>
      </x:c>
      <x:c r="S747" s="15"/>
      <x:c r="T747" s="15" t="n">
        <x:f>R747/J747</x:f>
        <x:v>1932</x:v>
      </x:c>
    </x:row>
    <x:row r="748" ht="23" customHeight="1">
      <x:c r="A748" s="6" t="str">
        <x:v>T6-L02-M</x:v>
      </x:c>
      <x:c r="B748" s="6" t="str">
        <x:v>T6</x:v>
      </x:c>
      <x:c r="C748" s="6" t="str">
        <x:v>L02</x:v>
      </x:c>
      <x:c r="D748" s="6" t="str">
        <x:v>Partition masonry</x:v>
      </x:c>
      <x:c r="E748" s="6" t="str">
        <x:v>Masonry</x:v>
      </x:c>
      <x:c r="F748" s="14" t="n">
        <x:v>90.40200000000002</x:v>
      </x:c>
      <x:c r="G748" s="6" t="str">
        <x:v>m3</x:v>
      </x:c>
      <x:c r="H748" s="16" t="n">
        <x:v>22</x:v>
      </x:c>
      <x:c r="I748" s="16" t="n">
        <x:v>10</x:v>
      </x:c>
      <x:c r="J748" s="16" t="n">
        <x:f>ROUNDUP(F748/H748,0)</x:f>
        <x:v>5</x:v>
      </x:c>
      <x:c r="K748" s="6" t="n">
        <x:f>MAX(L704+5)</x:f>
        <x:v>307</x:v>
      </x:c>
      <x:c r="L748" s="6" t="n">
        <x:f>K748+J748</x:f>
        <x:v>312</x:v>
      </x:c>
      <x:c r="M748" s="6" t="n">
        <x:f>N748-J748</x:f>
        <x:v>433</x:v>
      </x:c>
      <x:c r="N748" s="6" t="n">
        <x:f>MIN(M749-3)</x:f>
        <x:v>438</x:v>
      </x:c>
      <x:c r="O748" s="6" t="n">
        <x:f>M748-K748</x:f>
        <x:v>126</x:v>
      </x:c>
      <x:c r="P748" s="18" t="n">
        <x:f>INDEX('Calendar'!$C$8:$C$907,K748+1)</x:f>
        <x:v>46686</x:v>
      </x:c>
      <x:c r="Q748" s="18" t="n">
        <x:f>INDEX('Calendar'!$C$8:$C$907,MAX(K748+1,L748))</x:f>
        <x:v>46690</x:v>
      </x:c>
      <x:c r="R748" s="14" t="n">
        <x:v>12204.27</x:v>
      </x:c>
      <x:c r="S748" s="14"/>
      <x:c r="T748" s="14" t="n">
        <x:f>R748/J748</x:f>
        <x:v>2440.8540000000003</x:v>
      </x:c>
    </x:row>
    <x:row r="749" ht="23" customHeight="1">
      <x:c r="A749" s="1" t="str">
        <x:v>T6-L02-P</x:v>
      </x:c>
      <x:c r="B749" s="1" t="str">
        <x:v>T6</x:v>
      </x:c>
      <x:c r="C749" s="1" t="str">
        <x:v>L02</x:v>
      </x:c>
      <x:c r="D749" s="1" t="str">
        <x:v>Internal plaster</x:v>
      </x:c>
      <x:c r="E749" s="1" t="str">
        <x:v>Finishes</x:v>
      </x:c>
      <x:c r="F749" s="15" t="n">
        <x:v>1205.3600000000006</x:v>
      </x:c>
      <x:c r="G749" s="1" t="str">
        <x:v>m2</x:v>
      </x:c>
      <x:c r="H749" s="17" t="n">
        <x:v>220</x:v>
      </x:c>
      <x:c r="I749" s="17" t="n">
        <x:v>10</x:v>
      </x:c>
      <x:c r="J749" s="17" t="n">
        <x:f>ROUNDUP(F749/H749,0)</x:f>
        <x:v>6</x:v>
      </x:c>
      <x:c r="K749" s="1" t="n">
        <x:f>MAX(L748+3)</x:f>
        <x:v>315</x:v>
      </x:c>
      <x:c r="L749" s="1" t="n">
        <x:f>K749+J749</x:f>
        <x:v>321</x:v>
      </x:c>
      <x:c r="M749" s="1" t="n">
        <x:f>N749-J749</x:f>
        <x:v>441</x:v>
      </x:c>
      <x:c r="N749" s="1" t="n">
        <x:f>MIN(M750-2)</x:f>
        <x:v>447</x:v>
      </x:c>
      <x:c r="O749" s="1" t="n">
        <x:f>M749-K749</x:f>
        <x:v>126</x:v>
      </x:c>
      <x:c r="P749" s="19" t="n">
        <x:f>INDEX('Calendar'!$C$8:$C$907,K749+1)</x:f>
        <x:v>46695</x:v>
      </x:c>
      <x:c r="Q749" s="19" t="n">
        <x:f>INDEX('Calendar'!$C$8:$C$907,MAX(K749+1,L749))</x:f>
        <x:v>46701</x:v>
      </x:c>
      <x:c r="R749" s="15" t="n">
        <x:v>15067.000000000005</x:v>
      </x:c>
      <x:c r="S749" s="15"/>
      <x:c r="T749" s="15" t="n">
        <x:f>R749/J749</x:f>
        <x:v>2511.1666666666674</x:v>
      </x:c>
    </x:row>
    <x:row r="750" ht="23" customHeight="1">
      <x:c r="A750" s="6" t="str">
        <x:v>T6-L02-S</x:v>
      </x:c>
      <x:c r="B750" s="6" t="str">
        <x:v>T6</x:v>
      </x:c>
      <x:c r="C750" s="6" t="str">
        <x:v>L02</x:v>
      </x:c>
      <x:c r="D750" s="6" t="str">
        <x:v>Screed and substrate preparation</x:v>
      </x:c>
      <x:c r="E750" s="6" t="str">
        <x:v>Finishes</x:v>
      </x:c>
      <x:c r="F750" s="14" t="n">
        <x:v>696</x:v>
      </x:c>
      <x:c r="G750" s="6" t="str">
        <x:v>m2</x:v>
      </x:c>
      <x:c r="H750" s="16" t="n">
        <x:v>240</x:v>
      </x:c>
      <x:c r="I750" s="16" t="n">
        <x:v>8</x:v>
      </x:c>
      <x:c r="J750" s="16" t="n">
        <x:f>ROUNDUP(F750/H750,0)</x:f>
        <x:v>3</x:v>
      </x:c>
      <x:c r="K750" s="6" t="n">
        <x:f>MAX(L749+2)</x:f>
        <x:v>323</x:v>
      </x:c>
      <x:c r="L750" s="6" t="n">
        <x:f>K750+J750</x:f>
        <x:v>326</x:v>
      </x:c>
      <x:c r="M750" s="6" t="n">
        <x:f>N750-J750</x:f>
        <x:v>449</x:v>
      </x:c>
      <x:c r="N750" s="6" t="n">
        <x:f>MIN(M751-14)</x:f>
        <x:v>452</x:v>
      </x:c>
      <x:c r="O750" s="6" t="n">
        <x:f>M750-K750</x:f>
        <x:v>126</x:v>
      </x:c>
      <x:c r="P750" s="18" t="n">
        <x:f>INDEX('Calendar'!$C$8:$C$907,K750+1)</x:f>
        <x:v>46704</x:v>
      </x:c>
      <x:c r="Q750" s="18" t="n">
        <x:f>INDEX('Calendar'!$C$8:$C$907,MAX(K750+1,L750))</x:f>
        <x:v>46707</x:v>
      </x:c>
      <x:c r="R750" s="14" t="n">
        <x:v>9048</x:v>
      </x:c>
      <x:c r="S750" s="14"/>
      <x:c r="T750" s="14" t="n">
        <x:f>R750/J750</x:f>
        <x:v>3016</x:v>
      </x:c>
    </x:row>
    <x:row r="751" ht="23" customHeight="1">
      <x:c r="A751" s="1" t="str">
        <x:v>T6-L02-T</x:v>
      </x:c>
      <x:c r="B751" s="1" t="str">
        <x:v>T6</x:v>
      </x:c>
      <x:c r="C751" s="1" t="str">
        <x:v>L02</x:v>
      </x:c>
      <x:c r="D751" s="1" t="str">
        <x:v>Floor finishes and skirtings</x:v>
      </x:c>
      <x:c r="E751" s="1" t="str">
        <x:v>Finishes</x:v>
      </x:c>
      <x:c r="F751" s="15" t="n">
        <x:v>696</x:v>
      </x:c>
      <x:c r="G751" s="1" t="str">
        <x:v>m2</x:v>
      </x:c>
      <x:c r="H751" s="17" t="n">
        <x:v>130</x:v>
      </x:c>
      <x:c r="I751" s="17" t="n">
        <x:v>8</x:v>
      </x:c>
      <x:c r="J751" s="17" t="n">
        <x:f>ROUNDUP(F751/H751,0)</x:f>
        <x:v>6</x:v>
      </x:c>
      <x:c r="K751" s="1" t="n">
        <x:f>MAX(L750+14,L735+0)</x:f>
        <x:v>461</x:v>
      </x:c>
      <x:c r="L751" s="1" t="n">
        <x:f>K751+J751</x:f>
        <x:v>467</x:v>
      </x:c>
      <x:c r="M751" s="1" t="n">
        <x:f>N751-J751</x:f>
        <x:v>466</x:v>
      </x:c>
      <x:c r="N751" s="1" t="n">
        <x:f>MIN(M752-2)</x:f>
        <x:v>472</x:v>
      </x:c>
      <x:c r="O751" s="1" t="n">
        <x:f>M751-K751</x:f>
        <x:v>5</x:v>
      </x:c>
      <x:c r="P751" s="19" t="n">
        <x:f>INDEX('Calendar'!$C$8:$C$907,K751+1)</x:f>
        <x:v>46865</x:v>
      </x:c>
      <x:c r="Q751" s="19" t="n">
        <x:f>INDEX('Calendar'!$C$8:$C$907,MAX(K751+1,L751))</x:f>
        <x:v>46871</x:v>
      </x:c>
      <x:c r="R751" s="15" t="n">
        <x:v>24012</x:v>
      </x:c>
      <x:c r="S751" s="15"/>
      <x:c r="T751" s="15" t="n">
        <x:f>R751/J751</x:f>
        <x:v>4002</x:v>
      </x:c>
    </x:row>
    <x:row r="752" ht="23" customHeight="1">
      <x:c r="A752" s="6" t="str">
        <x:v>T6-L02-A</x:v>
      </x:c>
      <x:c r="B752" s="6" t="str">
        <x:v>T6</x:v>
      </x:c>
      <x:c r="C752" s="6" t="str">
        <x:v>L02</x:v>
      </x:c>
      <x:c r="D752" s="6" t="str">
        <x:v>Paint and final decorations</x:v>
      </x:c>
      <x:c r="E752" s="6" t="str">
        <x:v>Finishes</x:v>
      </x:c>
      <x:c r="F752" s="14" t="n">
        <x:v>1205.3600000000004</x:v>
      </x:c>
      <x:c r="G752" s="6" t="str">
        <x:v>m2</x:v>
      </x:c>
      <x:c r="H752" s="16" t="n">
        <x:v>270</x:v>
      </x:c>
      <x:c r="I752" s="16" t="n">
        <x:v>8</x:v>
      </x:c>
      <x:c r="J752" s="16" t="n">
        <x:f>ROUNDUP(F752/H752,0)</x:f>
        <x:v>5</x:v>
      </x:c>
      <x:c r="K752" s="6" t="n">
        <x:f>MAX(L751+2)</x:f>
        <x:v>469</x:v>
      </x:c>
      <x:c r="L752" s="6" t="n">
        <x:f>K752+J752</x:f>
        <x:v>474</x:v>
      </x:c>
      <x:c r="M752" s="6" t="n">
        <x:f>N752-J752</x:f>
        <x:v>474</x:v>
      </x:c>
      <x:c r="N752" s="6" t="n">
        <x:f>MIN(M753-0)</x:f>
        <x:v>479</x:v>
      </x:c>
      <x:c r="O752" s="6" t="n">
        <x:f>M752-K752</x:f>
        <x:v>5</x:v>
      </x:c>
      <x:c r="P752" s="18" t="n">
        <x:f>INDEX('Calendar'!$C$8:$C$907,K752+1)</x:f>
        <x:v>46875</x:v>
      </x:c>
      <x:c r="Q752" s="18" t="n">
        <x:f>INDEX('Calendar'!$C$8:$C$907,MAX(K752+1,L752))</x:f>
        <x:v>46879</x:v>
      </x:c>
      <x:c r="R752" s="14" t="n">
        <x:v>10245.560000000003</x:v>
      </x:c>
      <x:c r="S752" s="14"/>
      <x:c r="T752" s="14" t="n">
        <x:f>R752/J752</x:f>
        <x:v>2049.1120000000005</x:v>
      </x:c>
    </x:row>
    <x:row r="753" ht="23" customHeight="1">
      <x:c r="A753" s="1" t="str">
        <x:v>T6-L02-D</x:v>
      </x:c>
      <x:c r="B753" s="1" t="str">
        <x:v>T6</x:v>
      </x:c>
      <x:c r="C753" s="1" t="str">
        <x:v>L02</x:v>
      </x:c>
      <x:c r="D753" s="1" t="str">
        <x:v>Door sets and ironmongery</x:v>
      </x:c>
      <x:c r="E753" s="1" t="str">
        <x:v>Finishes</x:v>
      </x:c>
      <x:c r="F753" s="15" t="n">
        <x:v>28</x:v>
      </x:c>
      <x:c r="G753" s="1" t="str">
        <x:v>nr</x:v>
      </x:c>
      <x:c r="H753" s="17" t="n">
        <x:v>10</x:v>
      </x:c>
      <x:c r="I753" s="17" t="n">
        <x:v>4</x:v>
      </x:c>
      <x:c r="J753" s="17" t="n">
        <x:f>ROUNDUP(F753/H753,0)</x:f>
        <x:v>3</x:v>
      </x:c>
      <x:c r="K753" s="1" t="n">
        <x:f>MAX(L752+0)</x:f>
        <x:v>474</x:v>
      </x:c>
      <x:c r="L753" s="1" t="n">
        <x:f>K753+J753</x:f>
        <x:v>477</x:v>
      </x:c>
      <x:c r="M753" s="1" t="n">
        <x:f>N753-J753</x:f>
        <x:v>479</x:v>
      </x:c>
      <x:c r="N753" s="1" t="n">
        <x:f>MIN(M816-0)</x:f>
        <x:v>482</x:v>
      </x:c>
      <x:c r="O753" s="1" t="n">
        <x:f>M753-K753</x:f>
        <x:v>5</x:v>
      </x:c>
      <x:c r="P753" s="19" t="n">
        <x:f>INDEX('Calendar'!$C$8:$C$907,K753+1)</x:f>
        <x:v>46881</x:v>
      </x:c>
      <x:c r="Q753" s="19" t="n">
        <x:f>INDEX('Calendar'!$C$8:$C$907,MAX(K753+1,L753))</x:f>
        <x:v>46883</x:v>
      </x:c>
      <x:c r="R753" s="15" t="n">
        <x:v>5796</x:v>
      </x:c>
      <x:c r="S753" s="15"/>
      <x:c r="T753" s="15" t="n">
        <x:f>R753/J753</x:f>
        <x:v>1932</x:v>
      </x:c>
    </x:row>
    <x:row r="754" ht="23" customHeight="1">
      <x:c r="A754" s="6" t="str">
        <x:v>T6-L03-M</x:v>
      </x:c>
      <x:c r="B754" s="6" t="str">
        <x:v>T6</x:v>
      </x:c>
      <x:c r="C754" s="6" t="str">
        <x:v>L03</x:v>
      </x:c>
      <x:c r="D754" s="6" t="str">
        <x:v>Partition masonry</x:v>
      </x:c>
      <x:c r="E754" s="6" t="str">
        <x:v>Masonry</x:v>
      </x:c>
      <x:c r="F754" s="14" t="n">
        <x:v>90.40200000000002</x:v>
      </x:c>
      <x:c r="G754" s="6" t="str">
        <x:v>m3</x:v>
      </x:c>
      <x:c r="H754" s="16" t="n">
        <x:v>22</x:v>
      </x:c>
      <x:c r="I754" s="16" t="n">
        <x:v>10</x:v>
      </x:c>
      <x:c r="J754" s="16" t="n">
        <x:f>ROUNDUP(F754/H754,0)</x:f>
        <x:v>5</x:v>
      </x:c>
      <x:c r="K754" s="6" t="n">
        <x:f>MAX(L708+5)</x:f>
        <x:v>325</x:v>
      </x:c>
      <x:c r="L754" s="6" t="n">
        <x:f>K754+J754</x:f>
        <x:v>330</x:v>
      </x:c>
      <x:c r="M754" s="6" t="n">
        <x:f>N754-J754</x:f>
        <x:v>433</x:v>
      </x:c>
      <x:c r="N754" s="6" t="n">
        <x:f>MIN(M755-3)</x:f>
        <x:v>438</x:v>
      </x:c>
      <x:c r="O754" s="6" t="n">
        <x:f>M754-K754</x:f>
        <x:v>108</x:v>
      </x:c>
      <x:c r="P754" s="18" t="n">
        <x:f>INDEX('Calendar'!$C$8:$C$907,K754+1)</x:f>
        <x:v>46707</x:v>
      </x:c>
      <x:c r="Q754" s="18" t="n">
        <x:f>INDEX('Calendar'!$C$8:$C$907,MAX(K754+1,L754))</x:f>
        <x:v>46711</x:v>
      </x:c>
      <x:c r="R754" s="14" t="n">
        <x:v>12204.27</x:v>
      </x:c>
      <x:c r="S754" s="14"/>
      <x:c r="T754" s="14" t="n">
        <x:f>R754/J754</x:f>
        <x:v>2440.8540000000003</x:v>
      </x:c>
    </x:row>
    <x:row r="755" ht="23" customHeight="1">
      <x:c r="A755" s="1" t="str">
        <x:v>T6-L03-P</x:v>
      </x:c>
      <x:c r="B755" s="1" t="str">
        <x:v>T6</x:v>
      </x:c>
      <x:c r="C755" s="1" t="str">
        <x:v>L03</x:v>
      </x:c>
      <x:c r="D755" s="1" t="str">
        <x:v>Internal plaster</x:v>
      </x:c>
      <x:c r="E755" s="1" t="str">
        <x:v>Finishes</x:v>
      </x:c>
      <x:c r="F755" s="15" t="n">
        <x:v>1205.3600000000006</x:v>
      </x:c>
      <x:c r="G755" s="1" t="str">
        <x:v>m2</x:v>
      </x:c>
      <x:c r="H755" s="17" t="n">
        <x:v>220</x:v>
      </x:c>
      <x:c r="I755" s="17" t="n">
        <x:v>10</x:v>
      </x:c>
      <x:c r="J755" s="17" t="n">
        <x:f>ROUNDUP(F755/H755,0)</x:f>
        <x:v>6</x:v>
      </x:c>
      <x:c r="K755" s="1" t="n">
        <x:f>MAX(L754+3)</x:f>
        <x:v>333</x:v>
      </x:c>
      <x:c r="L755" s="1" t="n">
        <x:f>K755+J755</x:f>
        <x:v>339</x:v>
      </x:c>
      <x:c r="M755" s="1" t="n">
        <x:f>N755-J755</x:f>
        <x:v>441</x:v>
      </x:c>
      <x:c r="N755" s="1" t="n">
        <x:f>MIN(M756-2)</x:f>
        <x:v>447</x:v>
      </x:c>
      <x:c r="O755" s="1" t="n">
        <x:f>M755-K755</x:f>
        <x:v>108</x:v>
      </x:c>
      <x:c r="P755" s="19" t="n">
        <x:f>INDEX('Calendar'!$C$8:$C$907,K755+1)</x:f>
        <x:v>46716</x:v>
      </x:c>
      <x:c r="Q755" s="19" t="n">
        <x:f>INDEX('Calendar'!$C$8:$C$907,MAX(K755+1,L755))</x:f>
        <x:v>46722</x:v>
      </x:c>
      <x:c r="R755" s="15" t="n">
        <x:v>15067.000000000005</x:v>
      </x:c>
      <x:c r="S755" s="15"/>
      <x:c r="T755" s="15" t="n">
        <x:f>R755/J755</x:f>
        <x:v>2511.1666666666674</x:v>
      </x:c>
    </x:row>
    <x:row r="756" ht="23" customHeight="1">
      <x:c r="A756" s="6" t="str">
        <x:v>T6-L03-S</x:v>
      </x:c>
      <x:c r="B756" s="6" t="str">
        <x:v>T6</x:v>
      </x:c>
      <x:c r="C756" s="6" t="str">
        <x:v>L03</x:v>
      </x:c>
      <x:c r="D756" s="6" t="str">
        <x:v>Screed and substrate preparation</x:v>
      </x:c>
      <x:c r="E756" s="6" t="str">
        <x:v>Finishes</x:v>
      </x:c>
      <x:c r="F756" s="14" t="n">
        <x:v>696</x:v>
      </x:c>
      <x:c r="G756" s="6" t="str">
        <x:v>m2</x:v>
      </x:c>
      <x:c r="H756" s="16" t="n">
        <x:v>240</x:v>
      </x:c>
      <x:c r="I756" s="16" t="n">
        <x:v>8</x:v>
      </x:c>
      <x:c r="J756" s="16" t="n">
        <x:f>ROUNDUP(F756/H756,0)</x:f>
        <x:v>3</x:v>
      </x:c>
      <x:c r="K756" s="6" t="n">
        <x:f>MAX(L755+2)</x:f>
        <x:v>341</x:v>
      </x:c>
      <x:c r="L756" s="6" t="n">
        <x:f>K756+J756</x:f>
        <x:v>344</x:v>
      </x:c>
      <x:c r="M756" s="6" t="n">
        <x:f>N756-J756</x:f>
        <x:v>449</x:v>
      </x:c>
      <x:c r="N756" s="6" t="n">
        <x:f>MIN(M757-14)</x:f>
        <x:v>452</x:v>
      </x:c>
      <x:c r="O756" s="6" t="n">
        <x:f>M756-K756</x:f>
        <x:v>108</x:v>
      </x:c>
      <x:c r="P756" s="18" t="n">
        <x:f>INDEX('Calendar'!$C$8:$C$907,K756+1)</x:f>
        <x:v>46725</x:v>
      </x:c>
      <x:c r="Q756" s="18" t="n">
        <x:f>INDEX('Calendar'!$C$8:$C$907,MAX(K756+1,L756))</x:f>
        <x:v>46728</x:v>
      </x:c>
      <x:c r="R756" s="14" t="n">
        <x:v>9048</x:v>
      </x:c>
      <x:c r="S756" s="14"/>
      <x:c r="T756" s="14" t="n">
        <x:f>R756/J756</x:f>
        <x:v>3016</x:v>
      </x:c>
    </x:row>
    <x:row r="757" ht="23" customHeight="1">
      <x:c r="A757" s="1" t="str">
        <x:v>T6-L03-T</x:v>
      </x:c>
      <x:c r="B757" s="1" t="str">
        <x:v>T6</x:v>
      </x:c>
      <x:c r="C757" s="1" t="str">
        <x:v>L03</x:v>
      </x:c>
      <x:c r="D757" s="1" t="str">
        <x:v>Floor finishes and skirtings</x:v>
      </x:c>
      <x:c r="E757" s="1" t="str">
        <x:v>Finishes</x:v>
      </x:c>
      <x:c r="F757" s="15" t="n">
        <x:v>696</x:v>
      </x:c>
      <x:c r="G757" s="1" t="str">
        <x:v>m2</x:v>
      </x:c>
      <x:c r="H757" s="17" t="n">
        <x:v>130</x:v>
      </x:c>
      <x:c r="I757" s="17" t="n">
        <x:v>8</x:v>
      </x:c>
      <x:c r="J757" s="17" t="n">
        <x:f>ROUNDUP(F757/H757,0)</x:f>
        <x:v>6</x:v>
      </x:c>
      <x:c r="K757" s="1" t="n">
        <x:f>MAX(L756+14,L735+0)</x:f>
        <x:v>461</x:v>
      </x:c>
      <x:c r="L757" s="1" t="n">
        <x:f>K757+J757</x:f>
        <x:v>467</x:v>
      </x:c>
      <x:c r="M757" s="1" t="n">
        <x:f>N757-J757</x:f>
        <x:v>466</x:v>
      </x:c>
      <x:c r="N757" s="1" t="n">
        <x:f>MIN(M758-2)</x:f>
        <x:v>472</x:v>
      </x:c>
      <x:c r="O757" s="1" t="n">
        <x:f>M757-K757</x:f>
        <x:v>5</x:v>
      </x:c>
      <x:c r="P757" s="19" t="n">
        <x:f>INDEX('Calendar'!$C$8:$C$907,K757+1)</x:f>
        <x:v>46865</x:v>
      </x:c>
      <x:c r="Q757" s="19" t="n">
        <x:f>INDEX('Calendar'!$C$8:$C$907,MAX(K757+1,L757))</x:f>
        <x:v>46871</x:v>
      </x:c>
      <x:c r="R757" s="15" t="n">
        <x:v>24012</x:v>
      </x:c>
      <x:c r="S757" s="15"/>
      <x:c r="T757" s="15" t="n">
        <x:f>R757/J757</x:f>
        <x:v>4002</x:v>
      </x:c>
    </x:row>
    <x:row r="758" ht="23" customHeight="1">
      <x:c r="A758" s="6" t="str">
        <x:v>T6-L03-A</x:v>
      </x:c>
      <x:c r="B758" s="6" t="str">
        <x:v>T6</x:v>
      </x:c>
      <x:c r="C758" s="6" t="str">
        <x:v>L03</x:v>
      </x:c>
      <x:c r="D758" s="6" t="str">
        <x:v>Paint and final decorations</x:v>
      </x:c>
      <x:c r="E758" s="6" t="str">
        <x:v>Finishes</x:v>
      </x:c>
      <x:c r="F758" s="14" t="n">
        <x:v>1205.3600000000004</x:v>
      </x:c>
      <x:c r="G758" s="6" t="str">
        <x:v>m2</x:v>
      </x:c>
      <x:c r="H758" s="16" t="n">
        <x:v>270</x:v>
      </x:c>
      <x:c r="I758" s="16" t="n">
        <x:v>8</x:v>
      </x:c>
      <x:c r="J758" s="16" t="n">
        <x:f>ROUNDUP(F758/H758,0)</x:f>
        <x:v>5</x:v>
      </x:c>
      <x:c r="K758" s="6" t="n">
        <x:f>MAX(L757+2)</x:f>
        <x:v>469</x:v>
      </x:c>
      <x:c r="L758" s="6" t="n">
        <x:f>K758+J758</x:f>
        <x:v>474</x:v>
      </x:c>
      <x:c r="M758" s="6" t="n">
        <x:f>N758-J758</x:f>
        <x:v>474</x:v>
      </x:c>
      <x:c r="N758" s="6" t="n">
        <x:f>MIN(M759-0)</x:f>
        <x:v>479</x:v>
      </x:c>
      <x:c r="O758" s="6" t="n">
        <x:f>M758-K758</x:f>
        <x:v>5</x:v>
      </x:c>
      <x:c r="P758" s="18" t="n">
        <x:f>INDEX('Calendar'!$C$8:$C$907,K758+1)</x:f>
        <x:v>46875</x:v>
      </x:c>
      <x:c r="Q758" s="18" t="n">
        <x:f>INDEX('Calendar'!$C$8:$C$907,MAX(K758+1,L758))</x:f>
        <x:v>46879</x:v>
      </x:c>
      <x:c r="R758" s="14" t="n">
        <x:v>10245.560000000003</x:v>
      </x:c>
      <x:c r="S758" s="14"/>
      <x:c r="T758" s="14" t="n">
        <x:f>R758/J758</x:f>
        <x:v>2049.1120000000005</x:v>
      </x:c>
    </x:row>
    <x:row r="759" ht="23" customHeight="1">
      <x:c r="A759" s="1" t="str">
        <x:v>T6-L03-D</x:v>
      </x:c>
      <x:c r="B759" s="1" t="str">
        <x:v>T6</x:v>
      </x:c>
      <x:c r="C759" s="1" t="str">
        <x:v>L03</x:v>
      </x:c>
      <x:c r="D759" s="1" t="str">
        <x:v>Door sets and ironmongery</x:v>
      </x:c>
      <x:c r="E759" s="1" t="str">
        <x:v>Finishes</x:v>
      </x:c>
      <x:c r="F759" s="15" t="n">
        <x:v>28</x:v>
      </x:c>
      <x:c r="G759" s="1" t="str">
        <x:v>nr</x:v>
      </x:c>
      <x:c r="H759" s="17" t="n">
        <x:v>10</x:v>
      </x:c>
      <x:c r="I759" s="17" t="n">
        <x:v>4</x:v>
      </x:c>
      <x:c r="J759" s="17" t="n">
        <x:f>ROUNDUP(F759/H759,0)</x:f>
        <x:v>3</x:v>
      </x:c>
      <x:c r="K759" s="1" t="n">
        <x:f>MAX(L758+0)</x:f>
        <x:v>474</x:v>
      </x:c>
      <x:c r="L759" s="1" t="n">
        <x:f>K759+J759</x:f>
        <x:v>477</x:v>
      </x:c>
      <x:c r="M759" s="1" t="n">
        <x:f>N759-J759</x:f>
        <x:v>479</x:v>
      </x:c>
      <x:c r="N759" s="1" t="n">
        <x:f>MIN(M816-0)</x:f>
        <x:v>482</x:v>
      </x:c>
      <x:c r="O759" s="1" t="n">
        <x:f>M759-K759</x:f>
        <x:v>5</x:v>
      </x:c>
      <x:c r="P759" s="19" t="n">
        <x:f>INDEX('Calendar'!$C$8:$C$907,K759+1)</x:f>
        <x:v>46881</x:v>
      </x:c>
      <x:c r="Q759" s="19" t="n">
        <x:f>INDEX('Calendar'!$C$8:$C$907,MAX(K759+1,L759))</x:f>
        <x:v>46883</x:v>
      </x:c>
      <x:c r="R759" s="15" t="n">
        <x:v>5796</x:v>
      </x:c>
      <x:c r="S759" s="15"/>
      <x:c r="T759" s="15" t="n">
        <x:f>R759/J759</x:f>
        <x:v>1932</x:v>
      </x:c>
    </x:row>
    <x:row r="760" ht="23" customHeight="1">
      <x:c r="A760" s="6" t="str">
        <x:v>T6-L04-M</x:v>
      </x:c>
      <x:c r="B760" s="6" t="str">
        <x:v>T6</x:v>
      </x:c>
      <x:c r="C760" s="6" t="str">
        <x:v>L04</x:v>
      </x:c>
      <x:c r="D760" s="6" t="str">
        <x:v>Partition masonry</x:v>
      </x:c>
      <x:c r="E760" s="6" t="str">
        <x:v>Masonry</x:v>
      </x:c>
      <x:c r="F760" s="14" t="n">
        <x:v>90.40200000000002</x:v>
      </x:c>
      <x:c r="G760" s="6" t="str">
        <x:v>m3</x:v>
      </x:c>
      <x:c r="H760" s="16" t="n">
        <x:v>22</x:v>
      </x:c>
      <x:c r="I760" s="16" t="n">
        <x:v>10</x:v>
      </x:c>
      <x:c r="J760" s="16" t="n">
        <x:f>ROUNDUP(F760/H760,0)</x:f>
        <x:v>5</x:v>
      </x:c>
      <x:c r="K760" s="6" t="n">
        <x:f>MAX(L712+5)</x:f>
        <x:v>343</x:v>
      </x:c>
      <x:c r="L760" s="6" t="n">
        <x:f>K760+J760</x:f>
        <x:v>348</x:v>
      </x:c>
      <x:c r="M760" s="6" t="n">
        <x:f>N760-J760</x:f>
        <x:v>433</x:v>
      </x:c>
      <x:c r="N760" s="6" t="n">
        <x:f>MIN(M761-3)</x:f>
        <x:v>438</x:v>
      </x:c>
      <x:c r="O760" s="6" t="n">
        <x:f>M760-K760</x:f>
        <x:v>90</x:v>
      </x:c>
      <x:c r="P760" s="18" t="n">
        <x:f>INDEX('Calendar'!$C$8:$C$907,K760+1)</x:f>
        <x:v>46728</x:v>
      </x:c>
      <x:c r="Q760" s="18" t="n">
        <x:f>INDEX('Calendar'!$C$8:$C$907,MAX(K760+1,L760))</x:f>
        <x:v>46732</x:v>
      </x:c>
      <x:c r="R760" s="14" t="n">
        <x:v>12204.27</x:v>
      </x:c>
      <x:c r="S760" s="14"/>
      <x:c r="T760" s="14" t="n">
        <x:f>R760/J760</x:f>
        <x:v>2440.8540000000003</x:v>
      </x:c>
    </x:row>
    <x:row r="761" ht="23" customHeight="1">
      <x:c r="A761" s="1" t="str">
        <x:v>T6-L04-P</x:v>
      </x:c>
      <x:c r="B761" s="1" t="str">
        <x:v>T6</x:v>
      </x:c>
      <x:c r="C761" s="1" t="str">
        <x:v>L04</x:v>
      </x:c>
      <x:c r="D761" s="1" t="str">
        <x:v>Internal plaster</x:v>
      </x:c>
      <x:c r="E761" s="1" t="str">
        <x:v>Finishes</x:v>
      </x:c>
      <x:c r="F761" s="15" t="n">
        <x:v>1205.3600000000006</x:v>
      </x:c>
      <x:c r="G761" s="1" t="str">
        <x:v>m2</x:v>
      </x:c>
      <x:c r="H761" s="17" t="n">
        <x:v>220</x:v>
      </x:c>
      <x:c r="I761" s="17" t="n">
        <x:v>10</x:v>
      </x:c>
      <x:c r="J761" s="17" t="n">
        <x:f>ROUNDUP(F761/H761,0)</x:f>
        <x:v>6</x:v>
      </x:c>
      <x:c r="K761" s="1" t="n">
        <x:f>MAX(L760+3)</x:f>
        <x:v>351</x:v>
      </x:c>
      <x:c r="L761" s="1" t="n">
        <x:f>K761+J761</x:f>
        <x:v>357</x:v>
      </x:c>
      <x:c r="M761" s="1" t="n">
        <x:f>N761-J761</x:f>
        <x:v>441</x:v>
      </x:c>
      <x:c r="N761" s="1" t="n">
        <x:f>MIN(M762-2)</x:f>
        <x:v>447</x:v>
      </x:c>
      <x:c r="O761" s="1" t="n">
        <x:f>M761-K761</x:f>
        <x:v>90</x:v>
      </x:c>
      <x:c r="P761" s="19" t="n">
        <x:f>INDEX('Calendar'!$C$8:$C$907,K761+1)</x:f>
        <x:v>46737</x:v>
      </x:c>
      <x:c r="Q761" s="19" t="n">
        <x:f>INDEX('Calendar'!$C$8:$C$907,MAX(K761+1,L761))</x:f>
        <x:v>46743</x:v>
      </x:c>
      <x:c r="R761" s="15" t="n">
        <x:v>15067.000000000005</x:v>
      </x:c>
      <x:c r="S761" s="15"/>
      <x:c r="T761" s="15" t="n">
        <x:f>R761/J761</x:f>
        <x:v>2511.1666666666674</x:v>
      </x:c>
    </x:row>
    <x:row r="762" ht="23" customHeight="1">
      <x:c r="A762" s="6" t="str">
        <x:v>T6-L04-S</x:v>
      </x:c>
      <x:c r="B762" s="6" t="str">
        <x:v>T6</x:v>
      </x:c>
      <x:c r="C762" s="6" t="str">
        <x:v>L04</x:v>
      </x:c>
      <x:c r="D762" s="6" t="str">
        <x:v>Screed and substrate preparation</x:v>
      </x:c>
      <x:c r="E762" s="6" t="str">
        <x:v>Finishes</x:v>
      </x:c>
      <x:c r="F762" s="14" t="n">
        <x:v>696</x:v>
      </x:c>
      <x:c r="G762" s="6" t="str">
        <x:v>m2</x:v>
      </x:c>
      <x:c r="H762" s="16" t="n">
        <x:v>240</x:v>
      </x:c>
      <x:c r="I762" s="16" t="n">
        <x:v>8</x:v>
      </x:c>
      <x:c r="J762" s="16" t="n">
        <x:f>ROUNDUP(F762/H762,0)</x:f>
        <x:v>3</x:v>
      </x:c>
      <x:c r="K762" s="6" t="n">
        <x:f>MAX(L761+2)</x:f>
        <x:v>359</x:v>
      </x:c>
      <x:c r="L762" s="6" t="n">
        <x:f>K762+J762</x:f>
        <x:v>362</x:v>
      </x:c>
      <x:c r="M762" s="6" t="n">
        <x:f>N762-J762</x:f>
        <x:v>449</x:v>
      </x:c>
      <x:c r="N762" s="6" t="n">
        <x:f>MIN(M763-14)</x:f>
        <x:v>452</x:v>
      </x:c>
      <x:c r="O762" s="6" t="n">
        <x:f>M762-K762</x:f>
        <x:v>90</x:v>
      </x:c>
      <x:c r="P762" s="18" t="n">
        <x:f>INDEX('Calendar'!$C$8:$C$907,K762+1)</x:f>
        <x:v>46746</x:v>
      </x:c>
      <x:c r="Q762" s="18" t="n">
        <x:f>INDEX('Calendar'!$C$8:$C$907,MAX(K762+1,L762))</x:f>
        <x:v>46749</x:v>
      </x:c>
      <x:c r="R762" s="14" t="n">
        <x:v>9048</x:v>
      </x:c>
      <x:c r="S762" s="14"/>
      <x:c r="T762" s="14" t="n">
        <x:f>R762/J762</x:f>
        <x:v>3016</x:v>
      </x:c>
    </x:row>
    <x:row r="763" ht="23" customHeight="1">
      <x:c r="A763" s="1" t="str">
        <x:v>T6-L04-T</x:v>
      </x:c>
      <x:c r="B763" s="1" t="str">
        <x:v>T6</x:v>
      </x:c>
      <x:c r="C763" s="1" t="str">
        <x:v>L04</x:v>
      </x:c>
      <x:c r="D763" s="1" t="str">
        <x:v>Floor finishes and skirtings</x:v>
      </x:c>
      <x:c r="E763" s="1" t="str">
        <x:v>Finishes</x:v>
      </x:c>
      <x:c r="F763" s="15" t="n">
        <x:v>696</x:v>
      </x:c>
      <x:c r="G763" s="1" t="str">
        <x:v>m2</x:v>
      </x:c>
      <x:c r="H763" s="17" t="n">
        <x:v>130</x:v>
      </x:c>
      <x:c r="I763" s="17" t="n">
        <x:v>8</x:v>
      </x:c>
      <x:c r="J763" s="17" t="n">
        <x:f>ROUNDUP(F763/H763,0)</x:f>
        <x:v>6</x:v>
      </x:c>
      <x:c r="K763" s="1" t="n">
        <x:f>MAX(L762+14,L735+0)</x:f>
        <x:v>461</x:v>
      </x:c>
      <x:c r="L763" s="1" t="n">
        <x:f>K763+J763</x:f>
        <x:v>467</x:v>
      </x:c>
      <x:c r="M763" s="1" t="n">
        <x:f>N763-J763</x:f>
        <x:v>466</x:v>
      </x:c>
      <x:c r="N763" s="1" t="n">
        <x:f>MIN(M764-2)</x:f>
        <x:v>472</x:v>
      </x:c>
      <x:c r="O763" s="1" t="n">
        <x:f>M763-K763</x:f>
        <x:v>5</x:v>
      </x:c>
      <x:c r="P763" s="19" t="n">
        <x:f>INDEX('Calendar'!$C$8:$C$907,K763+1)</x:f>
        <x:v>46865</x:v>
      </x:c>
      <x:c r="Q763" s="19" t="n">
        <x:f>INDEX('Calendar'!$C$8:$C$907,MAX(K763+1,L763))</x:f>
        <x:v>46871</x:v>
      </x:c>
      <x:c r="R763" s="15" t="n">
        <x:v>24012</x:v>
      </x:c>
      <x:c r="S763" s="15"/>
      <x:c r="T763" s="15" t="n">
        <x:f>R763/J763</x:f>
        <x:v>4002</x:v>
      </x:c>
    </x:row>
    <x:row r="764" ht="23" customHeight="1">
      <x:c r="A764" s="6" t="str">
        <x:v>T6-L04-A</x:v>
      </x:c>
      <x:c r="B764" s="6" t="str">
        <x:v>T6</x:v>
      </x:c>
      <x:c r="C764" s="6" t="str">
        <x:v>L04</x:v>
      </x:c>
      <x:c r="D764" s="6" t="str">
        <x:v>Paint and final decorations</x:v>
      </x:c>
      <x:c r="E764" s="6" t="str">
        <x:v>Finishes</x:v>
      </x:c>
      <x:c r="F764" s="14" t="n">
        <x:v>1205.3600000000004</x:v>
      </x:c>
      <x:c r="G764" s="6" t="str">
        <x:v>m2</x:v>
      </x:c>
      <x:c r="H764" s="16" t="n">
        <x:v>270</x:v>
      </x:c>
      <x:c r="I764" s="16" t="n">
        <x:v>8</x:v>
      </x:c>
      <x:c r="J764" s="16" t="n">
        <x:f>ROUNDUP(F764/H764,0)</x:f>
        <x:v>5</x:v>
      </x:c>
      <x:c r="K764" s="6" t="n">
        <x:f>MAX(L763+2)</x:f>
        <x:v>469</x:v>
      </x:c>
      <x:c r="L764" s="6" t="n">
        <x:f>K764+J764</x:f>
        <x:v>474</x:v>
      </x:c>
      <x:c r="M764" s="6" t="n">
        <x:f>N764-J764</x:f>
        <x:v>474</x:v>
      </x:c>
      <x:c r="N764" s="6" t="n">
        <x:f>MIN(M765-0)</x:f>
        <x:v>479</x:v>
      </x:c>
      <x:c r="O764" s="6" t="n">
        <x:f>M764-K764</x:f>
        <x:v>5</x:v>
      </x:c>
      <x:c r="P764" s="18" t="n">
        <x:f>INDEX('Calendar'!$C$8:$C$907,K764+1)</x:f>
        <x:v>46875</x:v>
      </x:c>
      <x:c r="Q764" s="18" t="n">
        <x:f>INDEX('Calendar'!$C$8:$C$907,MAX(K764+1,L764))</x:f>
        <x:v>46879</x:v>
      </x:c>
      <x:c r="R764" s="14" t="n">
        <x:v>10245.560000000003</x:v>
      </x:c>
      <x:c r="S764" s="14"/>
      <x:c r="T764" s="14" t="n">
        <x:f>R764/J764</x:f>
        <x:v>2049.1120000000005</x:v>
      </x:c>
    </x:row>
    <x:row r="765" ht="23" customHeight="1">
      <x:c r="A765" s="1" t="str">
        <x:v>T6-L04-D</x:v>
      </x:c>
      <x:c r="B765" s="1" t="str">
        <x:v>T6</x:v>
      </x:c>
      <x:c r="C765" s="1" t="str">
        <x:v>L04</x:v>
      </x:c>
      <x:c r="D765" s="1" t="str">
        <x:v>Door sets and ironmongery</x:v>
      </x:c>
      <x:c r="E765" s="1" t="str">
        <x:v>Finishes</x:v>
      </x:c>
      <x:c r="F765" s="15" t="n">
        <x:v>28</x:v>
      </x:c>
      <x:c r="G765" s="1" t="str">
        <x:v>nr</x:v>
      </x:c>
      <x:c r="H765" s="17" t="n">
        <x:v>10</x:v>
      </x:c>
      <x:c r="I765" s="17" t="n">
        <x:v>4</x:v>
      </x:c>
      <x:c r="J765" s="17" t="n">
        <x:f>ROUNDUP(F765/H765,0)</x:f>
        <x:v>3</x:v>
      </x:c>
      <x:c r="K765" s="1" t="n">
        <x:f>MAX(L764+0)</x:f>
        <x:v>474</x:v>
      </x:c>
      <x:c r="L765" s="1" t="n">
        <x:f>K765+J765</x:f>
        <x:v>477</x:v>
      </x:c>
      <x:c r="M765" s="1" t="n">
        <x:f>N765-J765</x:f>
        <x:v>479</x:v>
      </x:c>
      <x:c r="N765" s="1" t="n">
        <x:f>MIN(M816-0)</x:f>
        <x:v>482</x:v>
      </x:c>
      <x:c r="O765" s="1" t="n">
        <x:f>M765-K765</x:f>
        <x:v>5</x:v>
      </x:c>
      <x:c r="P765" s="19" t="n">
        <x:f>INDEX('Calendar'!$C$8:$C$907,K765+1)</x:f>
        <x:v>46881</x:v>
      </x:c>
      <x:c r="Q765" s="19" t="n">
        <x:f>INDEX('Calendar'!$C$8:$C$907,MAX(K765+1,L765))</x:f>
        <x:v>46883</x:v>
      </x:c>
      <x:c r="R765" s="15" t="n">
        <x:v>5796</x:v>
      </x:c>
      <x:c r="S765" s="15"/>
      <x:c r="T765" s="15" t="n">
        <x:f>R765/J765</x:f>
        <x:v>1932</x:v>
      </x:c>
    </x:row>
    <x:row r="766" ht="23" customHeight="1">
      <x:c r="A766" s="6" t="str">
        <x:v>T6-L05-M</x:v>
      </x:c>
      <x:c r="B766" s="6" t="str">
        <x:v>T6</x:v>
      </x:c>
      <x:c r="C766" s="6" t="str">
        <x:v>L05</x:v>
      </x:c>
      <x:c r="D766" s="6" t="str">
        <x:v>Partition masonry</x:v>
      </x:c>
      <x:c r="E766" s="6" t="str">
        <x:v>Masonry</x:v>
      </x:c>
      <x:c r="F766" s="14" t="n">
        <x:v>90.40200000000002</x:v>
      </x:c>
      <x:c r="G766" s="6" t="str">
        <x:v>m3</x:v>
      </x:c>
      <x:c r="H766" s="16" t="n">
        <x:v>22</x:v>
      </x:c>
      <x:c r="I766" s="16" t="n">
        <x:v>10</x:v>
      </x:c>
      <x:c r="J766" s="16" t="n">
        <x:f>ROUNDUP(F766/H766,0)</x:f>
        <x:v>5</x:v>
      </x:c>
      <x:c r="K766" s="6" t="n">
        <x:f>MAX(L716+5)</x:f>
        <x:v>361</x:v>
      </x:c>
      <x:c r="L766" s="6" t="n">
        <x:f>K766+J766</x:f>
        <x:v>366</x:v>
      </x:c>
      <x:c r="M766" s="6" t="n">
        <x:f>N766-J766</x:f>
        <x:v>433</x:v>
      </x:c>
      <x:c r="N766" s="6" t="n">
        <x:f>MIN(M767-3)</x:f>
        <x:v>438</x:v>
      </x:c>
      <x:c r="O766" s="6" t="n">
        <x:f>M766-K766</x:f>
        <x:v>72</x:v>
      </x:c>
      <x:c r="P766" s="18" t="n">
        <x:f>INDEX('Calendar'!$C$8:$C$907,K766+1)</x:f>
        <x:v>46749</x:v>
      </x:c>
      <x:c r="Q766" s="18" t="n">
        <x:f>INDEX('Calendar'!$C$8:$C$907,MAX(K766+1,L766))</x:f>
        <x:v>46753</x:v>
      </x:c>
      <x:c r="R766" s="14" t="n">
        <x:v>12204.27</x:v>
      </x:c>
      <x:c r="S766" s="14"/>
      <x:c r="T766" s="14" t="n">
        <x:f>R766/J766</x:f>
        <x:v>2440.8540000000003</x:v>
      </x:c>
    </x:row>
    <x:row r="767" ht="23" customHeight="1">
      <x:c r="A767" s="1" t="str">
        <x:v>T6-L05-P</x:v>
      </x:c>
      <x:c r="B767" s="1" t="str">
        <x:v>T6</x:v>
      </x:c>
      <x:c r="C767" s="1" t="str">
        <x:v>L05</x:v>
      </x:c>
      <x:c r="D767" s="1" t="str">
        <x:v>Internal plaster</x:v>
      </x:c>
      <x:c r="E767" s="1" t="str">
        <x:v>Finishes</x:v>
      </x:c>
      <x:c r="F767" s="15" t="n">
        <x:v>1205.3600000000006</x:v>
      </x:c>
      <x:c r="G767" s="1" t="str">
        <x:v>m2</x:v>
      </x:c>
      <x:c r="H767" s="17" t="n">
        <x:v>220</x:v>
      </x:c>
      <x:c r="I767" s="17" t="n">
        <x:v>10</x:v>
      </x:c>
      <x:c r="J767" s="17" t="n">
        <x:f>ROUNDUP(F767/H767,0)</x:f>
        <x:v>6</x:v>
      </x:c>
      <x:c r="K767" s="1" t="n">
        <x:f>MAX(L766+3)</x:f>
        <x:v>369</x:v>
      </x:c>
      <x:c r="L767" s="1" t="n">
        <x:f>K767+J767</x:f>
        <x:v>375</x:v>
      </x:c>
      <x:c r="M767" s="1" t="n">
        <x:f>N767-J767</x:f>
        <x:v>441</x:v>
      </x:c>
      <x:c r="N767" s="1" t="n">
        <x:f>MIN(M768-2)</x:f>
        <x:v>447</x:v>
      </x:c>
      <x:c r="O767" s="1" t="n">
        <x:f>M767-K767</x:f>
        <x:v>72</x:v>
      </x:c>
      <x:c r="P767" s="19" t="n">
        <x:f>INDEX('Calendar'!$C$8:$C$907,K767+1)</x:f>
        <x:v>46758</x:v>
      </x:c>
      <x:c r="Q767" s="19" t="n">
        <x:f>INDEX('Calendar'!$C$8:$C$907,MAX(K767+1,L767))</x:f>
        <x:v>46764</x:v>
      </x:c>
      <x:c r="R767" s="15" t="n">
        <x:v>15067.000000000005</x:v>
      </x:c>
      <x:c r="S767" s="15"/>
      <x:c r="T767" s="15" t="n">
        <x:f>R767/J767</x:f>
        <x:v>2511.1666666666674</x:v>
      </x:c>
    </x:row>
    <x:row r="768" ht="23" customHeight="1">
      <x:c r="A768" s="6" t="str">
        <x:v>T6-L05-S</x:v>
      </x:c>
      <x:c r="B768" s="6" t="str">
        <x:v>T6</x:v>
      </x:c>
      <x:c r="C768" s="6" t="str">
        <x:v>L05</x:v>
      </x:c>
      <x:c r="D768" s="6" t="str">
        <x:v>Screed and substrate preparation</x:v>
      </x:c>
      <x:c r="E768" s="6" t="str">
        <x:v>Finishes</x:v>
      </x:c>
      <x:c r="F768" s="14" t="n">
        <x:v>696</x:v>
      </x:c>
      <x:c r="G768" s="6" t="str">
        <x:v>m2</x:v>
      </x:c>
      <x:c r="H768" s="16" t="n">
        <x:v>240</x:v>
      </x:c>
      <x:c r="I768" s="16" t="n">
        <x:v>8</x:v>
      </x:c>
      <x:c r="J768" s="16" t="n">
        <x:f>ROUNDUP(F768/H768,0)</x:f>
        <x:v>3</x:v>
      </x:c>
      <x:c r="K768" s="6" t="n">
        <x:f>MAX(L767+2)</x:f>
        <x:v>377</x:v>
      </x:c>
      <x:c r="L768" s="6" t="n">
        <x:f>K768+J768</x:f>
        <x:v>380</x:v>
      </x:c>
      <x:c r="M768" s="6" t="n">
        <x:f>N768-J768</x:f>
        <x:v>449</x:v>
      </x:c>
      <x:c r="N768" s="6" t="n">
        <x:f>MIN(M769-14)</x:f>
        <x:v>452</x:v>
      </x:c>
      <x:c r="O768" s="6" t="n">
        <x:f>M768-K768</x:f>
        <x:v>72</x:v>
      </x:c>
      <x:c r="P768" s="18" t="n">
        <x:f>INDEX('Calendar'!$C$8:$C$907,K768+1)</x:f>
        <x:v>46767</x:v>
      </x:c>
      <x:c r="Q768" s="18" t="n">
        <x:f>INDEX('Calendar'!$C$8:$C$907,MAX(K768+1,L768))</x:f>
        <x:v>46770</x:v>
      </x:c>
      <x:c r="R768" s="14" t="n">
        <x:v>9048</x:v>
      </x:c>
      <x:c r="S768" s="14"/>
      <x:c r="T768" s="14" t="n">
        <x:f>R768/J768</x:f>
        <x:v>3016</x:v>
      </x:c>
    </x:row>
    <x:row r="769" ht="23" customHeight="1">
      <x:c r="A769" s="1" t="str">
        <x:v>T6-L05-T</x:v>
      </x:c>
      <x:c r="B769" s="1" t="str">
        <x:v>T6</x:v>
      </x:c>
      <x:c r="C769" s="1" t="str">
        <x:v>L05</x:v>
      </x:c>
      <x:c r="D769" s="1" t="str">
        <x:v>Floor finishes and skirtings</x:v>
      </x:c>
      <x:c r="E769" s="1" t="str">
        <x:v>Finishes</x:v>
      </x:c>
      <x:c r="F769" s="15" t="n">
        <x:v>696</x:v>
      </x:c>
      <x:c r="G769" s="1" t="str">
        <x:v>m2</x:v>
      </x:c>
      <x:c r="H769" s="17" t="n">
        <x:v>130</x:v>
      </x:c>
      <x:c r="I769" s="17" t="n">
        <x:v>8</x:v>
      </x:c>
      <x:c r="J769" s="17" t="n">
        <x:f>ROUNDUP(F769/H769,0)</x:f>
        <x:v>6</x:v>
      </x:c>
      <x:c r="K769" s="1" t="n">
        <x:f>MAX(L768+14,L735+0)</x:f>
        <x:v>461</x:v>
      </x:c>
      <x:c r="L769" s="1" t="n">
        <x:f>K769+J769</x:f>
        <x:v>467</x:v>
      </x:c>
      <x:c r="M769" s="1" t="n">
        <x:f>N769-J769</x:f>
        <x:v>466</x:v>
      </x:c>
      <x:c r="N769" s="1" t="n">
        <x:f>MIN(M770-2)</x:f>
        <x:v>472</x:v>
      </x:c>
      <x:c r="O769" s="1" t="n">
        <x:f>M769-K769</x:f>
        <x:v>5</x:v>
      </x:c>
      <x:c r="P769" s="19" t="n">
        <x:f>INDEX('Calendar'!$C$8:$C$907,K769+1)</x:f>
        <x:v>46865</x:v>
      </x:c>
      <x:c r="Q769" s="19" t="n">
        <x:f>INDEX('Calendar'!$C$8:$C$907,MAX(K769+1,L769))</x:f>
        <x:v>46871</x:v>
      </x:c>
      <x:c r="R769" s="15" t="n">
        <x:v>24012</x:v>
      </x:c>
      <x:c r="S769" s="15"/>
      <x:c r="T769" s="15" t="n">
        <x:f>R769/J769</x:f>
        <x:v>4002</x:v>
      </x:c>
    </x:row>
    <x:row r="770" ht="23" customHeight="1">
      <x:c r="A770" s="6" t="str">
        <x:v>T6-L05-A</x:v>
      </x:c>
      <x:c r="B770" s="6" t="str">
        <x:v>T6</x:v>
      </x:c>
      <x:c r="C770" s="6" t="str">
        <x:v>L05</x:v>
      </x:c>
      <x:c r="D770" s="6" t="str">
        <x:v>Paint and final decorations</x:v>
      </x:c>
      <x:c r="E770" s="6" t="str">
        <x:v>Finishes</x:v>
      </x:c>
      <x:c r="F770" s="14" t="n">
        <x:v>1205.3600000000004</x:v>
      </x:c>
      <x:c r="G770" s="6" t="str">
        <x:v>m2</x:v>
      </x:c>
      <x:c r="H770" s="16" t="n">
        <x:v>270</x:v>
      </x:c>
      <x:c r="I770" s="16" t="n">
        <x:v>8</x:v>
      </x:c>
      <x:c r="J770" s="16" t="n">
        <x:f>ROUNDUP(F770/H770,0)</x:f>
        <x:v>5</x:v>
      </x:c>
      <x:c r="K770" s="6" t="n">
        <x:f>MAX(L769+2)</x:f>
        <x:v>469</x:v>
      </x:c>
      <x:c r="L770" s="6" t="n">
        <x:f>K770+J770</x:f>
        <x:v>474</x:v>
      </x:c>
      <x:c r="M770" s="6" t="n">
        <x:f>N770-J770</x:f>
        <x:v>474</x:v>
      </x:c>
      <x:c r="N770" s="6" t="n">
        <x:f>MIN(M771-0)</x:f>
        <x:v>479</x:v>
      </x:c>
      <x:c r="O770" s="6" t="n">
        <x:f>M770-K770</x:f>
        <x:v>5</x:v>
      </x:c>
      <x:c r="P770" s="18" t="n">
        <x:f>INDEX('Calendar'!$C$8:$C$907,K770+1)</x:f>
        <x:v>46875</x:v>
      </x:c>
      <x:c r="Q770" s="18" t="n">
        <x:f>INDEX('Calendar'!$C$8:$C$907,MAX(K770+1,L770))</x:f>
        <x:v>46879</x:v>
      </x:c>
      <x:c r="R770" s="14" t="n">
        <x:v>10245.560000000003</x:v>
      </x:c>
      <x:c r="S770" s="14"/>
      <x:c r="T770" s="14" t="n">
        <x:f>R770/J770</x:f>
        <x:v>2049.1120000000005</x:v>
      </x:c>
    </x:row>
    <x:row r="771" ht="23" customHeight="1">
      <x:c r="A771" s="1" t="str">
        <x:v>T6-L05-D</x:v>
      </x:c>
      <x:c r="B771" s="1" t="str">
        <x:v>T6</x:v>
      </x:c>
      <x:c r="C771" s="1" t="str">
        <x:v>L05</x:v>
      </x:c>
      <x:c r="D771" s="1" t="str">
        <x:v>Door sets and ironmongery</x:v>
      </x:c>
      <x:c r="E771" s="1" t="str">
        <x:v>Finishes</x:v>
      </x:c>
      <x:c r="F771" s="15" t="n">
        <x:v>28</x:v>
      </x:c>
      <x:c r="G771" s="1" t="str">
        <x:v>nr</x:v>
      </x:c>
      <x:c r="H771" s="17" t="n">
        <x:v>10</x:v>
      </x:c>
      <x:c r="I771" s="17" t="n">
        <x:v>4</x:v>
      </x:c>
      <x:c r="J771" s="17" t="n">
        <x:f>ROUNDUP(F771/H771,0)</x:f>
        <x:v>3</x:v>
      </x:c>
      <x:c r="K771" s="1" t="n">
        <x:f>MAX(L770+0)</x:f>
        <x:v>474</x:v>
      </x:c>
      <x:c r="L771" s="1" t="n">
        <x:f>K771+J771</x:f>
        <x:v>477</x:v>
      </x:c>
      <x:c r="M771" s="1" t="n">
        <x:f>N771-J771</x:f>
        <x:v>479</x:v>
      </x:c>
      <x:c r="N771" s="1" t="n">
        <x:f>MIN(M816-0)</x:f>
        <x:v>482</x:v>
      </x:c>
      <x:c r="O771" s="1" t="n">
        <x:f>M771-K771</x:f>
        <x:v>5</x:v>
      </x:c>
      <x:c r="P771" s="19" t="n">
        <x:f>INDEX('Calendar'!$C$8:$C$907,K771+1)</x:f>
        <x:v>46881</x:v>
      </x:c>
      <x:c r="Q771" s="19" t="n">
        <x:f>INDEX('Calendar'!$C$8:$C$907,MAX(K771+1,L771))</x:f>
        <x:v>46883</x:v>
      </x:c>
      <x:c r="R771" s="15" t="n">
        <x:v>5796</x:v>
      </x:c>
      <x:c r="S771" s="15"/>
      <x:c r="T771" s="15" t="n">
        <x:f>R771/J771</x:f>
        <x:v>1932</x:v>
      </x:c>
    </x:row>
    <x:row r="772" ht="23" customHeight="1">
      <x:c r="A772" s="6" t="str">
        <x:v>T6-L06-M</x:v>
      </x:c>
      <x:c r="B772" s="6" t="str">
        <x:v>T6</x:v>
      </x:c>
      <x:c r="C772" s="6" t="str">
        <x:v>L06</x:v>
      </x:c>
      <x:c r="D772" s="6" t="str">
        <x:v>Partition masonry</x:v>
      </x:c>
      <x:c r="E772" s="6" t="str">
        <x:v>Masonry</x:v>
      </x:c>
      <x:c r="F772" s="14" t="n">
        <x:v>90.40200000000002</x:v>
      </x:c>
      <x:c r="G772" s="6" t="str">
        <x:v>m3</x:v>
      </x:c>
      <x:c r="H772" s="16" t="n">
        <x:v>22</x:v>
      </x:c>
      <x:c r="I772" s="16" t="n">
        <x:v>10</x:v>
      </x:c>
      <x:c r="J772" s="16" t="n">
        <x:f>ROUNDUP(F772/H772,0)</x:f>
        <x:v>5</x:v>
      </x:c>
      <x:c r="K772" s="6" t="n">
        <x:f>MAX(L720+5)</x:f>
        <x:v>379</x:v>
      </x:c>
      <x:c r="L772" s="6" t="n">
        <x:f>K772+J772</x:f>
        <x:v>384</x:v>
      </x:c>
      <x:c r="M772" s="6" t="n">
        <x:f>N772-J772</x:f>
        <x:v>433</x:v>
      </x:c>
      <x:c r="N772" s="6" t="n">
        <x:f>MIN(M773-3)</x:f>
        <x:v>438</x:v>
      </x:c>
      <x:c r="O772" s="6" t="n">
        <x:f>M772-K772</x:f>
        <x:v>54</x:v>
      </x:c>
      <x:c r="P772" s="18" t="n">
        <x:f>INDEX('Calendar'!$C$8:$C$907,K772+1)</x:f>
        <x:v>46770</x:v>
      </x:c>
      <x:c r="Q772" s="18" t="n">
        <x:f>INDEX('Calendar'!$C$8:$C$907,MAX(K772+1,L772))</x:f>
        <x:v>46774</x:v>
      </x:c>
      <x:c r="R772" s="14" t="n">
        <x:v>12204.27</x:v>
      </x:c>
      <x:c r="S772" s="14"/>
      <x:c r="T772" s="14" t="n">
        <x:f>R772/J772</x:f>
        <x:v>2440.8540000000003</x:v>
      </x:c>
    </x:row>
    <x:row r="773" ht="23" customHeight="1">
      <x:c r="A773" s="1" t="str">
        <x:v>T6-L06-P</x:v>
      </x:c>
      <x:c r="B773" s="1" t="str">
        <x:v>T6</x:v>
      </x:c>
      <x:c r="C773" s="1" t="str">
        <x:v>L06</x:v>
      </x:c>
      <x:c r="D773" s="1" t="str">
        <x:v>Internal plaster</x:v>
      </x:c>
      <x:c r="E773" s="1" t="str">
        <x:v>Finishes</x:v>
      </x:c>
      <x:c r="F773" s="15" t="n">
        <x:v>1205.3600000000006</x:v>
      </x:c>
      <x:c r="G773" s="1" t="str">
        <x:v>m2</x:v>
      </x:c>
      <x:c r="H773" s="17" t="n">
        <x:v>220</x:v>
      </x:c>
      <x:c r="I773" s="17" t="n">
        <x:v>10</x:v>
      </x:c>
      <x:c r="J773" s="17" t="n">
        <x:f>ROUNDUP(F773/H773,0)</x:f>
        <x:v>6</x:v>
      </x:c>
      <x:c r="K773" s="1" t="n">
        <x:f>MAX(L772+3)</x:f>
        <x:v>387</x:v>
      </x:c>
      <x:c r="L773" s="1" t="n">
        <x:f>K773+J773</x:f>
        <x:v>393</x:v>
      </x:c>
      <x:c r="M773" s="1" t="n">
        <x:f>N773-J773</x:f>
        <x:v>441</x:v>
      </x:c>
      <x:c r="N773" s="1" t="n">
        <x:f>MIN(M774-2)</x:f>
        <x:v>447</x:v>
      </x:c>
      <x:c r="O773" s="1" t="n">
        <x:f>M773-K773</x:f>
        <x:v>54</x:v>
      </x:c>
      <x:c r="P773" s="19" t="n">
        <x:f>INDEX('Calendar'!$C$8:$C$907,K773+1)</x:f>
        <x:v>46779</x:v>
      </x:c>
      <x:c r="Q773" s="19" t="n">
        <x:f>INDEX('Calendar'!$C$8:$C$907,MAX(K773+1,L773))</x:f>
        <x:v>46785</x:v>
      </x:c>
      <x:c r="R773" s="15" t="n">
        <x:v>15067.000000000005</x:v>
      </x:c>
      <x:c r="S773" s="15"/>
      <x:c r="T773" s="15" t="n">
        <x:f>R773/J773</x:f>
        <x:v>2511.1666666666674</x:v>
      </x:c>
    </x:row>
    <x:row r="774" ht="23" customHeight="1">
      <x:c r="A774" s="6" t="str">
        <x:v>T6-L06-S</x:v>
      </x:c>
      <x:c r="B774" s="6" t="str">
        <x:v>T6</x:v>
      </x:c>
      <x:c r="C774" s="6" t="str">
        <x:v>L06</x:v>
      </x:c>
      <x:c r="D774" s="6" t="str">
        <x:v>Screed and substrate preparation</x:v>
      </x:c>
      <x:c r="E774" s="6" t="str">
        <x:v>Finishes</x:v>
      </x:c>
      <x:c r="F774" s="14" t="n">
        <x:v>696</x:v>
      </x:c>
      <x:c r="G774" s="6" t="str">
        <x:v>m2</x:v>
      </x:c>
      <x:c r="H774" s="16" t="n">
        <x:v>240</x:v>
      </x:c>
      <x:c r="I774" s="16" t="n">
        <x:v>8</x:v>
      </x:c>
      <x:c r="J774" s="16" t="n">
        <x:f>ROUNDUP(F774/H774,0)</x:f>
        <x:v>3</x:v>
      </x:c>
      <x:c r="K774" s="6" t="n">
        <x:f>MAX(L773+2)</x:f>
        <x:v>395</x:v>
      </x:c>
      <x:c r="L774" s="6" t="n">
        <x:f>K774+J774</x:f>
        <x:v>398</x:v>
      </x:c>
      <x:c r="M774" s="6" t="n">
        <x:f>N774-J774</x:f>
        <x:v>449</x:v>
      </x:c>
      <x:c r="N774" s="6" t="n">
        <x:f>MIN(M775-14)</x:f>
        <x:v>452</x:v>
      </x:c>
      <x:c r="O774" s="6" t="n">
        <x:f>M774-K774</x:f>
        <x:v>54</x:v>
      </x:c>
      <x:c r="P774" s="18" t="n">
        <x:f>INDEX('Calendar'!$C$8:$C$907,K774+1)</x:f>
        <x:v>46788</x:v>
      </x:c>
      <x:c r="Q774" s="18" t="n">
        <x:f>INDEX('Calendar'!$C$8:$C$907,MAX(K774+1,L774))</x:f>
        <x:v>46791</x:v>
      </x:c>
      <x:c r="R774" s="14" t="n">
        <x:v>9048</x:v>
      </x:c>
      <x:c r="S774" s="14"/>
      <x:c r="T774" s="14" t="n">
        <x:f>R774/J774</x:f>
        <x:v>3016</x:v>
      </x:c>
    </x:row>
    <x:row r="775" ht="23" customHeight="1">
      <x:c r="A775" s="1" t="str">
        <x:v>T6-L06-T</x:v>
      </x:c>
      <x:c r="B775" s="1" t="str">
        <x:v>T6</x:v>
      </x:c>
      <x:c r="C775" s="1" t="str">
        <x:v>L06</x:v>
      </x:c>
      <x:c r="D775" s="1" t="str">
        <x:v>Floor finishes and skirtings</x:v>
      </x:c>
      <x:c r="E775" s="1" t="str">
        <x:v>Finishes</x:v>
      </x:c>
      <x:c r="F775" s="15" t="n">
        <x:v>696</x:v>
      </x:c>
      <x:c r="G775" s="1" t="str">
        <x:v>m2</x:v>
      </x:c>
      <x:c r="H775" s="17" t="n">
        <x:v>130</x:v>
      </x:c>
      <x:c r="I775" s="17" t="n">
        <x:v>8</x:v>
      </x:c>
      <x:c r="J775" s="17" t="n">
        <x:f>ROUNDUP(F775/H775,0)</x:f>
        <x:v>6</x:v>
      </x:c>
      <x:c r="K775" s="1" t="n">
        <x:f>MAX(L774+14,L735+0)</x:f>
        <x:v>461</x:v>
      </x:c>
      <x:c r="L775" s="1" t="n">
        <x:f>K775+J775</x:f>
        <x:v>467</x:v>
      </x:c>
      <x:c r="M775" s="1" t="n">
        <x:f>N775-J775</x:f>
        <x:v>466</x:v>
      </x:c>
      <x:c r="N775" s="1" t="n">
        <x:f>MIN(M776-2)</x:f>
        <x:v>472</x:v>
      </x:c>
      <x:c r="O775" s="1" t="n">
        <x:f>M775-K775</x:f>
        <x:v>5</x:v>
      </x:c>
      <x:c r="P775" s="19" t="n">
        <x:f>INDEX('Calendar'!$C$8:$C$907,K775+1)</x:f>
        <x:v>46865</x:v>
      </x:c>
      <x:c r="Q775" s="19" t="n">
        <x:f>INDEX('Calendar'!$C$8:$C$907,MAX(K775+1,L775))</x:f>
        <x:v>46871</x:v>
      </x:c>
      <x:c r="R775" s="15" t="n">
        <x:v>24012</x:v>
      </x:c>
      <x:c r="S775" s="15"/>
      <x:c r="T775" s="15" t="n">
        <x:f>R775/J775</x:f>
        <x:v>4002</x:v>
      </x:c>
    </x:row>
    <x:row r="776" ht="23" customHeight="1">
      <x:c r="A776" s="6" t="str">
        <x:v>T6-L06-A</x:v>
      </x:c>
      <x:c r="B776" s="6" t="str">
        <x:v>T6</x:v>
      </x:c>
      <x:c r="C776" s="6" t="str">
        <x:v>L06</x:v>
      </x:c>
      <x:c r="D776" s="6" t="str">
        <x:v>Paint and final decorations</x:v>
      </x:c>
      <x:c r="E776" s="6" t="str">
        <x:v>Finishes</x:v>
      </x:c>
      <x:c r="F776" s="14" t="n">
        <x:v>1205.3600000000004</x:v>
      </x:c>
      <x:c r="G776" s="6" t="str">
        <x:v>m2</x:v>
      </x:c>
      <x:c r="H776" s="16" t="n">
        <x:v>270</x:v>
      </x:c>
      <x:c r="I776" s="16" t="n">
        <x:v>8</x:v>
      </x:c>
      <x:c r="J776" s="16" t="n">
        <x:f>ROUNDUP(F776/H776,0)</x:f>
        <x:v>5</x:v>
      </x:c>
      <x:c r="K776" s="6" t="n">
        <x:f>MAX(L775+2)</x:f>
        <x:v>469</x:v>
      </x:c>
      <x:c r="L776" s="6" t="n">
        <x:f>K776+J776</x:f>
        <x:v>474</x:v>
      </x:c>
      <x:c r="M776" s="6" t="n">
        <x:f>N776-J776</x:f>
        <x:v>474</x:v>
      </x:c>
      <x:c r="N776" s="6" t="n">
        <x:f>MIN(M777-0)</x:f>
        <x:v>479</x:v>
      </x:c>
      <x:c r="O776" s="6" t="n">
        <x:f>M776-K776</x:f>
        <x:v>5</x:v>
      </x:c>
      <x:c r="P776" s="18" t="n">
        <x:f>INDEX('Calendar'!$C$8:$C$907,K776+1)</x:f>
        <x:v>46875</x:v>
      </x:c>
      <x:c r="Q776" s="18" t="n">
        <x:f>INDEX('Calendar'!$C$8:$C$907,MAX(K776+1,L776))</x:f>
        <x:v>46879</x:v>
      </x:c>
      <x:c r="R776" s="14" t="n">
        <x:v>10245.560000000003</x:v>
      </x:c>
      <x:c r="S776" s="14"/>
      <x:c r="T776" s="14" t="n">
        <x:f>R776/J776</x:f>
        <x:v>2049.1120000000005</x:v>
      </x:c>
    </x:row>
    <x:row r="777" ht="23" customHeight="1">
      <x:c r="A777" s="1" t="str">
        <x:v>T6-L06-D</x:v>
      </x:c>
      <x:c r="B777" s="1" t="str">
        <x:v>T6</x:v>
      </x:c>
      <x:c r="C777" s="1" t="str">
        <x:v>L06</x:v>
      </x:c>
      <x:c r="D777" s="1" t="str">
        <x:v>Door sets and ironmongery</x:v>
      </x:c>
      <x:c r="E777" s="1" t="str">
        <x:v>Finishes</x:v>
      </x:c>
      <x:c r="F777" s="15" t="n">
        <x:v>28</x:v>
      </x:c>
      <x:c r="G777" s="1" t="str">
        <x:v>nr</x:v>
      </x:c>
      <x:c r="H777" s="17" t="n">
        <x:v>10</x:v>
      </x:c>
      <x:c r="I777" s="17" t="n">
        <x:v>4</x:v>
      </x:c>
      <x:c r="J777" s="17" t="n">
        <x:f>ROUNDUP(F777/H777,0)</x:f>
        <x:v>3</x:v>
      </x:c>
      <x:c r="K777" s="1" t="n">
        <x:f>MAX(L776+0)</x:f>
        <x:v>474</x:v>
      </x:c>
      <x:c r="L777" s="1" t="n">
        <x:f>K777+J777</x:f>
        <x:v>477</x:v>
      </x:c>
      <x:c r="M777" s="1" t="n">
        <x:f>N777-J777</x:f>
        <x:v>479</x:v>
      </x:c>
      <x:c r="N777" s="1" t="n">
        <x:f>MIN(M816-0)</x:f>
        <x:v>482</x:v>
      </x:c>
      <x:c r="O777" s="1" t="n">
        <x:f>M777-K777</x:f>
        <x:v>5</x:v>
      </x:c>
      <x:c r="P777" s="19" t="n">
        <x:f>INDEX('Calendar'!$C$8:$C$907,K777+1)</x:f>
        <x:v>46881</x:v>
      </x:c>
      <x:c r="Q777" s="19" t="n">
        <x:f>INDEX('Calendar'!$C$8:$C$907,MAX(K777+1,L777))</x:f>
        <x:v>46883</x:v>
      </x:c>
      <x:c r="R777" s="15" t="n">
        <x:v>5796</x:v>
      </x:c>
      <x:c r="S777" s="15"/>
      <x:c r="T777" s="15" t="n">
        <x:f>R777/J777</x:f>
        <x:v>1932</x:v>
      </x:c>
    </x:row>
    <x:row r="778" ht="23" customHeight="1">
      <x:c r="A778" s="6" t="str">
        <x:v>T6-L07-M</x:v>
      </x:c>
      <x:c r="B778" s="6" t="str">
        <x:v>T6</x:v>
      </x:c>
      <x:c r="C778" s="6" t="str">
        <x:v>L07</x:v>
      </x:c>
      <x:c r="D778" s="6" t="str">
        <x:v>Partition masonry</x:v>
      </x:c>
      <x:c r="E778" s="6" t="str">
        <x:v>Masonry</x:v>
      </x:c>
      <x:c r="F778" s="14" t="n">
        <x:v>90.40200000000002</x:v>
      </x:c>
      <x:c r="G778" s="6" t="str">
        <x:v>m3</x:v>
      </x:c>
      <x:c r="H778" s="16" t="n">
        <x:v>22</x:v>
      </x:c>
      <x:c r="I778" s="16" t="n">
        <x:v>10</x:v>
      </x:c>
      <x:c r="J778" s="16" t="n">
        <x:f>ROUNDUP(F778/H778,0)</x:f>
        <x:v>5</x:v>
      </x:c>
      <x:c r="K778" s="6" t="n">
        <x:f>MAX(L724+5)</x:f>
        <x:v>397</x:v>
      </x:c>
      <x:c r="L778" s="6" t="n">
        <x:f>K778+J778</x:f>
        <x:v>402</x:v>
      </x:c>
      <x:c r="M778" s="6" t="n">
        <x:f>N778-J778</x:f>
        <x:v>433</x:v>
      </x:c>
      <x:c r="N778" s="6" t="n">
        <x:f>MIN(M779-3)</x:f>
        <x:v>438</x:v>
      </x:c>
      <x:c r="O778" s="6" t="n">
        <x:f>M778-K778</x:f>
        <x:v>36</x:v>
      </x:c>
      <x:c r="P778" s="18" t="n">
        <x:f>INDEX('Calendar'!$C$8:$C$907,K778+1)</x:f>
        <x:v>46791</x:v>
      </x:c>
      <x:c r="Q778" s="18" t="n">
        <x:f>INDEX('Calendar'!$C$8:$C$907,MAX(K778+1,L778))</x:f>
        <x:v>46795</x:v>
      </x:c>
      <x:c r="R778" s="14" t="n">
        <x:v>12204.27</x:v>
      </x:c>
      <x:c r="S778" s="14"/>
      <x:c r="T778" s="14" t="n">
        <x:f>R778/J778</x:f>
        <x:v>2440.8540000000003</x:v>
      </x:c>
    </x:row>
    <x:row r="779" ht="23" customHeight="1">
      <x:c r="A779" s="1" t="str">
        <x:v>T6-L07-P</x:v>
      </x:c>
      <x:c r="B779" s="1" t="str">
        <x:v>T6</x:v>
      </x:c>
      <x:c r="C779" s="1" t="str">
        <x:v>L07</x:v>
      </x:c>
      <x:c r="D779" s="1" t="str">
        <x:v>Internal plaster</x:v>
      </x:c>
      <x:c r="E779" s="1" t="str">
        <x:v>Finishes</x:v>
      </x:c>
      <x:c r="F779" s="15" t="n">
        <x:v>1205.3600000000006</x:v>
      </x:c>
      <x:c r="G779" s="1" t="str">
        <x:v>m2</x:v>
      </x:c>
      <x:c r="H779" s="17" t="n">
        <x:v>220</x:v>
      </x:c>
      <x:c r="I779" s="17" t="n">
        <x:v>10</x:v>
      </x:c>
      <x:c r="J779" s="17" t="n">
        <x:f>ROUNDUP(F779/H779,0)</x:f>
        <x:v>6</x:v>
      </x:c>
      <x:c r="K779" s="1" t="n">
        <x:f>MAX(L778+3)</x:f>
        <x:v>405</x:v>
      </x:c>
      <x:c r="L779" s="1" t="n">
        <x:f>K779+J779</x:f>
        <x:v>411</x:v>
      </x:c>
      <x:c r="M779" s="1" t="n">
        <x:f>N779-J779</x:f>
        <x:v>441</x:v>
      </x:c>
      <x:c r="N779" s="1" t="n">
        <x:f>MIN(M780-2)</x:f>
        <x:v>447</x:v>
      </x:c>
      <x:c r="O779" s="1" t="n">
        <x:f>M779-K779</x:f>
        <x:v>36</x:v>
      </x:c>
      <x:c r="P779" s="19" t="n">
        <x:f>INDEX('Calendar'!$C$8:$C$907,K779+1)</x:f>
        <x:v>46800</x:v>
      </x:c>
      <x:c r="Q779" s="19" t="n">
        <x:f>INDEX('Calendar'!$C$8:$C$907,MAX(K779+1,L779))</x:f>
        <x:v>46806</x:v>
      </x:c>
      <x:c r="R779" s="15" t="n">
        <x:v>15067.000000000005</x:v>
      </x:c>
      <x:c r="S779" s="15"/>
      <x:c r="T779" s="15" t="n">
        <x:f>R779/J779</x:f>
        <x:v>2511.1666666666674</x:v>
      </x:c>
    </x:row>
    <x:row r="780" ht="23" customHeight="1">
      <x:c r="A780" s="6" t="str">
        <x:v>T6-L07-S</x:v>
      </x:c>
      <x:c r="B780" s="6" t="str">
        <x:v>T6</x:v>
      </x:c>
      <x:c r="C780" s="6" t="str">
        <x:v>L07</x:v>
      </x:c>
      <x:c r="D780" s="6" t="str">
        <x:v>Screed and substrate preparation</x:v>
      </x:c>
      <x:c r="E780" s="6" t="str">
        <x:v>Finishes</x:v>
      </x:c>
      <x:c r="F780" s="14" t="n">
        <x:v>696</x:v>
      </x:c>
      <x:c r="G780" s="6" t="str">
        <x:v>m2</x:v>
      </x:c>
      <x:c r="H780" s="16" t="n">
        <x:v>240</x:v>
      </x:c>
      <x:c r="I780" s="16" t="n">
        <x:v>8</x:v>
      </x:c>
      <x:c r="J780" s="16" t="n">
        <x:f>ROUNDUP(F780/H780,0)</x:f>
        <x:v>3</x:v>
      </x:c>
      <x:c r="K780" s="6" t="n">
        <x:f>MAX(L779+2)</x:f>
        <x:v>413</x:v>
      </x:c>
      <x:c r="L780" s="6" t="n">
        <x:f>K780+J780</x:f>
        <x:v>416</x:v>
      </x:c>
      <x:c r="M780" s="6" t="n">
        <x:f>N780-J780</x:f>
        <x:v>449</x:v>
      </x:c>
      <x:c r="N780" s="6" t="n">
        <x:f>MIN(M781-14)</x:f>
        <x:v>452</x:v>
      </x:c>
      <x:c r="O780" s="6" t="n">
        <x:f>M780-K780</x:f>
        <x:v>36</x:v>
      </x:c>
      <x:c r="P780" s="18" t="n">
        <x:f>INDEX('Calendar'!$C$8:$C$907,K780+1)</x:f>
        <x:v>46809</x:v>
      </x:c>
      <x:c r="Q780" s="18" t="n">
        <x:f>INDEX('Calendar'!$C$8:$C$907,MAX(K780+1,L780))</x:f>
        <x:v>46812</x:v>
      </x:c>
      <x:c r="R780" s="14" t="n">
        <x:v>9048</x:v>
      </x:c>
      <x:c r="S780" s="14"/>
      <x:c r="T780" s="14" t="n">
        <x:f>R780/J780</x:f>
        <x:v>3016</x:v>
      </x:c>
    </x:row>
    <x:row r="781" ht="23" customHeight="1">
      <x:c r="A781" s="1" t="str">
        <x:v>T6-L07-T</x:v>
      </x:c>
      <x:c r="B781" s="1" t="str">
        <x:v>T6</x:v>
      </x:c>
      <x:c r="C781" s="1" t="str">
        <x:v>L07</x:v>
      </x:c>
      <x:c r="D781" s="1" t="str">
        <x:v>Floor finishes and skirtings</x:v>
      </x:c>
      <x:c r="E781" s="1" t="str">
        <x:v>Finishes</x:v>
      </x:c>
      <x:c r="F781" s="15" t="n">
        <x:v>696</x:v>
      </x:c>
      <x:c r="G781" s="1" t="str">
        <x:v>m2</x:v>
      </x:c>
      <x:c r="H781" s="17" t="n">
        <x:v>130</x:v>
      </x:c>
      <x:c r="I781" s="17" t="n">
        <x:v>8</x:v>
      </x:c>
      <x:c r="J781" s="17" t="n">
        <x:f>ROUNDUP(F781/H781,0)</x:f>
        <x:v>6</x:v>
      </x:c>
      <x:c r="K781" s="1" t="n">
        <x:f>MAX(L780+14,L735+0)</x:f>
        <x:v>461</x:v>
      </x:c>
      <x:c r="L781" s="1" t="n">
        <x:f>K781+J781</x:f>
        <x:v>467</x:v>
      </x:c>
      <x:c r="M781" s="1" t="n">
        <x:f>N781-J781</x:f>
        <x:v>466</x:v>
      </x:c>
      <x:c r="N781" s="1" t="n">
        <x:f>MIN(M782-2)</x:f>
        <x:v>472</x:v>
      </x:c>
      <x:c r="O781" s="1" t="n">
        <x:f>M781-K781</x:f>
        <x:v>5</x:v>
      </x:c>
      <x:c r="P781" s="19" t="n">
        <x:f>INDEX('Calendar'!$C$8:$C$907,K781+1)</x:f>
        <x:v>46865</x:v>
      </x:c>
      <x:c r="Q781" s="19" t="n">
        <x:f>INDEX('Calendar'!$C$8:$C$907,MAX(K781+1,L781))</x:f>
        <x:v>46871</x:v>
      </x:c>
      <x:c r="R781" s="15" t="n">
        <x:v>24012</x:v>
      </x:c>
      <x:c r="S781" s="15"/>
      <x:c r="T781" s="15" t="n">
        <x:f>R781/J781</x:f>
        <x:v>4002</x:v>
      </x:c>
    </x:row>
    <x:row r="782" ht="23" customHeight="1">
      <x:c r="A782" s="6" t="str">
        <x:v>T6-L07-A</x:v>
      </x:c>
      <x:c r="B782" s="6" t="str">
        <x:v>T6</x:v>
      </x:c>
      <x:c r="C782" s="6" t="str">
        <x:v>L07</x:v>
      </x:c>
      <x:c r="D782" s="6" t="str">
        <x:v>Paint and final decorations</x:v>
      </x:c>
      <x:c r="E782" s="6" t="str">
        <x:v>Finishes</x:v>
      </x:c>
      <x:c r="F782" s="14" t="n">
        <x:v>1205.3600000000004</x:v>
      </x:c>
      <x:c r="G782" s="6" t="str">
        <x:v>m2</x:v>
      </x:c>
      <x:c r="H782" s="16" t="n">
        <x:v>270</x:v>
      </x:c>
      <x:c r="I782" s="16" t="n">
        <x:v>8</x:v>
      </x:c>
      <x:c r="J782" s="16" t="n">
        <x:f>ROUNDUP(F782/H782,0)</x:f>
        <x:v>5</x:v>
      </x:c>
      <x:c r="K782" s="6" t="n">
        <x:f>MAX(L781+2)</x:f>
        <x:v>469</x:v>
      </x:c>
      <x:c r="L782" s="6" t="n">
        <x:f>K782+J782</x:f>
        <x:v>474</x:v>
      </x:c>
      <x:c r="M782" s="6" t="n">
        <x:f>N782-J782</x:f>
        <x:v>474</x:v>
      </x:c>
      <x:c r="N782" s="6" t="n">
        <x:f>MIN(M783-0)</x:f>
        <x:v>479</x:v>
      </x:c>
      <x:c r="O782" s="6" t="n">
        <x:f>M782-K782</x:f>
        <x:v>5</x:v>
      </x:c>
      <x:c r="P782" s="18" t="n">
        <x:f>INDEX('Calendar'!$C$8:$C$907,K782+1)</x:f>
        <x:v>46875</x:v>
      </x:c>
      <x:c r="Q782" s="18" t="n">
        <x:f>INDEX('Calendar'!$C$8:$C$907,MAX(K782+1,L782))</x:f>
        <x:v>46879</x:v>
      </x:c>
      <x:c r="R782" s="14" t="n">
        <x:v>10245.560000000003</x:v>
      </x:c>
      <x:c r="S782" s="14"/>
      <x:c r="T782" s="14" t="n">
        <x:f>R782/J782</x:f>
        <x:v>2049.1120000000005</x:v>
      </x:c>
    </x:row>
    <x:row r="783" ht="23" customHeight="1">
      <x:c r="A783" s="1" t="str">
        <x:v>T6-L07-D</x:v>
      </x:c>
      <x:c r="B783" s="1" t="str">
        <x:v>T6</x:v>
      </x:c>
      <x:c r="C783" s="1" t="str">
        <x:v>L07</x:v>
      </x:c>
      <x:c r="D783" s="1" t="str">
        <x:v>Door sets and ironmongery</x:v>
      </x:c>
      <x:c r="E783" s="1" t="str">
        <x:v>Finishes</x:v>
      </x:c>
      <x:c r="F783" s="15" t="n">
        <x:v>28</x:v>
      </x:c>
      <x:c r="G783" s="1" t="str">
        <x:v>nr</x:v>
      </x:c>
      <x:c r="H783" s="17" t="n">
        <x:v>10</x:v>
      </x:c>
      <x:c r="I783" s="17" t="n">
        <x:v>4</x:v>
      </x:c>
      <x:c r="J783" s="17" t="n">
        <x:f>ROUNDUP(F783/H783,0)</x:f>
        <x:v>3</x:v>
      </x:c>
      <x:c r="K783" s="1" t="n">
        <x:f>MAX(L782+0)</x:f>
        <x:v>474</x:v>
      </x:c>
      <x:c r="L783" s="1" t="n">
        <x:f>K783+J783</x:f>
        <x:v>477</x:v>
      </x:c>
      <x:c r="M783" s="1" t="n">
        <x:f>N783-J783</x:f>
        <x:v>479</x:v>
      </x:c>
      <x:c r="N783" s="1" t="n">
        <x:f>MIN(M816-0)</x:f>
        <x:v>482</x:v>
      </x:c>
      <x:c r="O783" s="1" t="n">
        <x:f>M783-K783</x:f>
        <x:v>5</x:v>
      </x:c>
      <x:c r="P783" s="19" t="n">
        <x:f>INDEX('Calendar'!$C$8:$C$907,K783+1)</x:f>
        <x:v>46881</x:v>
      </x:c>
      <x:c r="Q783" s="19" t="n">
        <x:f>INDEX('Calendar'!$C$8:$C$907,MAX(K783+1,L783))</x:f>
        <x:v>46883</x:v>
      </x:c>
      <x:c r="R783" s="15" t="n">
        <x:v>5796</x:v>
      </x:c>
      <x:c r="S783" s="15"/>
      <x:c r="T783" s="15" t="n">
        <x:f>R783/J783</x:f>
        <x:v>1932</x:v>
      </x:c>
    </x:row>
    <x:row r="784" ht="23" customHeight="1">
      <x:c r="A784" s="6" t="str">
        <x:v>T6-L08-M</x:v>
      </x:c>
      <x:c r="B784" s="6" t="str">
        <x:v>T6</x:v>
      </x:c>
      <x:c r="C784" s="6" t="str">
        <x:v>L08</x:v>
      </x:c>
      <x:c r="D784" s="6" t="str">
        <x:v>Partition masonry</x:v>
      </x:c>
      <x:c r="E784" s="6" t="str">
        <x:v>Masonry</x:v>
      </x:c>
      <x:c r="F784" s="14" t="n">
        <x:v>90.40200000000002</x:v>
      </x:c>
      <x:c r="G784" s="6" t="str">
        <x:v>m3</x:v>
      </x:c>
      <x:c r="H784" s="16" t="n">
        <x:v>22</x:v>
      </x:c>
      <x:c r="I784" s="16" t="n">
        <x:v>10</x:v>
      </x:c>
      <x:c r="J784" s="16" t="n">
        <x:f>ROUNDUP(F784/H784,0)</x:f>
        <x:v>5</x:v>
      </x:c>
      <x:c r="K784" s="6" t="n">
        <x:f>MAX(L728+5)</x:f>
        <x:v>415</x:v>
      </x:c>
      <x:c r="L784" s="6" t="n">
        <x:f>K784+J784</x:f>
        <x:v>420</x:v>
      </x:c>
      <x:c r="M784" s="6" t="n">
        <x:f>N784-J784</x:f>
        <x:v>433</x:v>
      </x:c>
      <x:c r="N784" s="6" t="n">
        <x:f>MIN(M785-3)</x:f>
        <x:v>438</x:v>
      </x:c>
      <x:c r="O784" s="6" t="n">
        <x:f>M784-K784</x:f>
        <x:v>18</x:v>
      </x:c>
      <x:c r="P784" s="18" t="n">
        <x:f>INDEX('Calendar'!$C$8:$C$907,K784+1)</x:f>
        <x:v>46812</x:v>
      </x:c>
      <x:c r="Q784" s="18" t="n">
        <x:f>INDEX('Calendar'!$C$8:$C$907,MAX(K784+1,L784))</x:f>
        <x:v>46816</x:v>
      </x:c>
      <x:c r="R784" s="14" t="n">
        <x:v>12204.27</x:v>
      </x:c>
      <x:c r="S784" s="14"/>
      <x:c r="T784" s="14" t="n">
        <x:f>R784/J784</x:f>
        <x:v>2440.8540000000003</x:v>
      </x:c>
    </x:row>
    <x:row r="785" ht="23" customHeight="1">
      <x:c r="A785" s="1" t="str">
        <x:v>T6-L08-P</x:v>
      </x:c>
      <x:c r="B785" s="1" t="str">
        <x:v>T6</x:v>
      </x:c>
      <x:c r="C785" s="1" t="str">
        <x:v>L08</x:v>
      </x:c>
      <x:c r="D785" s="1" t="str">
        <x:v>Internal plaster</x:v>
      </x:c>
      <x:c r="E785" s="1" t="str">
        <x:v>Finishes</x:v>
      </x:c>
      <x:c r="F785" s="15" t="n">
        <x:v>1205.3600000000006</x:v>
      </x:c>
      <x:c r="G785" s="1" t="str">
        <x:v>m2</x:v>
      </x:c>
      <x:c r="H785" s="17" t="n">
        <x:v>220</x:v>
      </x:c>
      <x:c r="I785" s="17" t="n">
        <x:v>10</x:v>
      </x:c>
      <x:c r="J785" s="17" t="n">
        <x:f>ROUNDUP(F785/H785,0)</x:f>
        <x:v>6</x:v>
      </x:c>
      <x:c r="K785" s="1" t="n">
        <x:f>MAX(L784+3)</x:f>
        <x:v>423</x:v>
      </x:c>
      <x:c r="L785" s="1" t="n">
        <x:f>K785+J785</x:f>
        <x:v>429</x:v>
      </x:c>
      <x:c r="M785" s="1" t="n">
        <x:f>N785-J785</x:f>
        <x:v>441</x:v>
      </x:c>
      <x:c r="N785" s="1" t="n">
        <x:f>MIN(M786-2)</x:f>
        <x:v>447</x:v>
      </x:c>
      <x:c r="O785" s="1" t="n">
        <x:f>M785-K785</x:f>
        <x:v>18</x:v>
      </x:c>
      <x:c r="P785" s="19" t="n">
        <x:f>INDEX('Calendar'!$C$8:$C$907,K785+1)</x:f>
        <x:v>46821</x:v>
      </x:c>
      <x:c r="Q785" s="19" t="n">
        <x:f>INDEX('Calendar'!$C$8:$C$907,MAX(K785+1,L785))</x:f>
        <x:v>46827</x:v>
      </x:c>
      <x:c r="R785" s="15" t="n">
        <x:v>15067.000000000005</x:v>
      </x:c>
      <x:c r="S785" s="15"/>
      <x:c r="T785" s="15" t="n">
        <x:f>R785/J785</x:f>
        <x:v>2511.1666666666674</x:v>
      </x:c>
    </x:row>
    <x:row r="786" ht="23" customHeight="1">
      <x:c r="A786" s="6" t="str">
        <x:v>T6-L08-S</x:v>
      </x:c>
      <x:c r="B786" s="6" t="str">
        <x:v>T6</x:v>
      </x:c>
      <x:c r="C786" s="6" t="str">
        <x:v>L08</x:v>
      </x:c>
      <x:c r="D786" s="6" t="str">
        <x:v>Screed and substrate preparation</x:v>
      </x:c>
      <x:c r="E786" s="6" t="str">
        <x:v>Finishes</x:v>
      </x:c>
      <x:c r="F786" s="14" t="n">
        <x:v>696</x:v>
      </x:c>
      <x:c r="G786" s="6" t="str">
        <x:v>m2</x:v>
      </x:c>
      <x:c r="H786" s="16" t="n">
        <x:v>240</x:v>
      </x:c>
      <x:c r="I786" s="16" t="n">
        <x:v>8</x:v>
      </x:c>
      <x:c r="J786" s="16" t="n">
        <x:f>ROUNDUP(F786/H786,0)</x:f>
        <x:v>3</x:v>
      </x:c>
      <x:c r="K786" s="6" t="n">
        <x:f>MAX(L785+2)</x:f>
        <x:v>431</x:v>
      </x:c>
      <x:c r="L786" s="6" t="n">
        <x:f>K786+J786</x:f>
        <x:v>434</x:v>
      </x:c>
      <x:c r="M786" s="6" t="n">
        <x:f>N786-J786</x:f>
        <x:v>449</x:v>
      </x:c>
      <x:c r="N786" s="6" t="n">
        <x:f>MIN(M787-14)</x:f>
        <x:v>452</x:v>
      </x:c>
      <x:c r="O786" s="6" t="n">
        <x:f>M786-K786</x:f>
        <x:v>18</x:v>
      </x:c>
      <x:c r="P786" s="18" t="n">
        <x:f>INDEX('Calendar'!$C$8:$C$907,K786+1)</x:f>
        <x:v>46830</x:v>
      </x:c>
      <x:c r="Q786" s="18" t="n">
        <x:f>INDEX('Calendar'!$C$8:$C$907,MAX(K786+1,L786))</x:f>
        <x:v>46833</x:v>
      </x:c>
      <x:c r="R786" s="14" t="n">
        <x:v>9048</x:v>
      </x:c>
      <x:c r="S786" s="14"/>
      <x:c r="T786" s="14" t="n">
        <x:f>R786/J786</x:f>
        <x:v>3016</x:v>
      </x:c>
    </x:row>
    <x:row r="787" ht="23" customHeight="1">
      <x:c r="A787" s="1" t="str">
        <x:v>T6-L08-T</x:v>
      </x:c>
      <x:c r="B787" s="1" t="str">
        <x:v>T6</x:v>
      </x:c>
      <x:c r="C787" s="1" t="str">
        <x:v>L08</x:v>
      </x:c>
      <x:c r="D787" s="1" t="str">
        <x:v>Floor finishes and skirtings</x:v>
      </x:c>
      <x:c r="E787" s="1" t="str">
        <x:v>Finishes</x:v>
      </x:c>
      <x:c r="F787" s="15" t="n">
        <x:v>696</x:v>
      </x:c>
      <x:c r="G787" s="1" t="str">
        <x:v>m2</x:v>
      </x:c>
      <x:c r="H787" s="17" t="n">
        <x:v>130</x:v>
      </x:c>
      <x:c r="I787" s="17" t="n">
        <x:v>8</x:v>
      </x:c>
      <x:c r="J787" s="17" t="n">
        <x:f>ROUNDUP(F787/H787,0)</x:f>
        <x:v>6</x:v>
      </x:c>
      <x:c r="K787" s="1" t="n">
        <x:f>MAX(L786+14,L735+0)</x:f>
        <x:v>461</x:v>
      </x:c>
      <x:c r="L787" s="1" t="n">
        <x:f>K787+J787</x:f>
        <x:v>467</x:v>
      </x:c>
      <x:c r="M787" s="1" t="n">
        <x:f>N787-J787</x:f>
        <x:v>466</x:v>
      </x:c>
      <x:c r="N787" s="1" t="n">
        <x:f>MIN(M788-2)</x:f>
        <x:v>472</x:v>
      </x:c>
      <x:c r="O787" s="1" t="n">
        <x:f>M787-K787</x:f>
        <x:v>5</x:v>
      </x:c>
      <x:c r="P787" s="19" t="n">
        <x:f>INDEX('Calendar'!$C$8:$C$907,K787+1)</x:f>
        <x:v>46865</x:v>
      </x:c>
      <x:c r="Q787" s="19" t="n">
        <x:f>INDEX('Calendar'!$C$8:$C$907,MAX(K787+1,L787))</x:f>
        <x:v>46871</x:v>
      </x:c>
      <x:c r="R787" s="15" t="n">
        <x:v>24012</x:v>
      </x:c>
      <x:c r="S787" s="15"/>
      <x:c r="T787" s="15" t="n">
        <x:f>R787/J787</x:f>
        <x:v>4002</x:v>
      </x:c>
    </x:row>
    <x:row r="788" ht="23" customHeight="1">
      <x:c r="A788" s="6" t="str">
        <x:v>T6-L08-A</x:v>
      </x:c>
      <x:c r="B788" s="6" t="str">
        <x:v>T6</x:v>
      </x:c>
      <x:c r="C788" s="6" t="str">
        <x:v>L08</x:v>
      </x:c>
      <x:c r="D788" s="6" t="str">
        <x:v>Paint and final decorations</x:v>
      </x:c>
      <x:c r="E788" s="6" t="str">
        <x:v>Finishes</x:v>
      </x:c>
      <x:c r="F788" s="14" t="n">
        <x:v>1205.3600000000004</x:v>
      </x:c>
      <x:c r="G788" s="6" t="str">
        <x:v>m2</x:v>
      </x:c>
      <x:c r="H788" s="16" t="n">
        <x:v>270</x:v>
      </x:c>
      <x:c r="I788" s="16" t="n">
        <x:v>8</x:v>
      </x:c>
      <x:c r="J788" s="16" t="n">
        <x:f>ROUNDUP(F788/H788,0)</x:f>
        <x:v>5</x:v>
      </x:c>
      <x:c r="K788" s="6" t="n">
        <x:f>MAX(L787+2)</x:f>
        <x:v>469</x:v>
      </x:c>
      <x:c r="L788" s="6" t="n">
        <x:f>K788+J788</x:f>
        <x:v>474</x:v>
      </x:c>
      <x:c r="M788" s="6" t="n">
        <x:f>N788-J788</x:f>
        <x:v>474</x:v>
      </x:c>
      <x:c r="N788" s="6" t="n">
        <x:f>MIN(M789-0)</x:f>
        <x:v>479</x:v>
      </x:c>
      <x:c r="O788" s="6" t="n">
        <x:f>M788-K788</x:f>
        <x:v>5</x:v>
      </x:c>
      <x:c r="P788" s="18" t="n">
        <x:f>INDEX('Calendar'!$C$8:$C$907,K788+1)</x:f>
        <x:v>46875</x:v>
      </x:c>
      <x:c r="Q788" s="18" t="n">
        <x:f>INDEX('Calendar'!$C$8:$C$907,MAX(K788+1,L788))</x:f>
        <x:v>46879</x:v>
      </x:c>
      <x:c r="R788" s="14" t="n">
        <x:v>10245.560000000003</x:v>
      </x:c>
      <x:c r="S788" s="14"/>
      <x:c r="T788" s="14" t="n">
        <x:f>R788/J788</x:f>
        <x:v>2049.1120000000005</x:v>
      </x:c>
    </x:row>
    <x:row r="789" ht="23" customHeight="1">
      <x:c r="A789" s="1" t="str">
        <x:v>T6-L08-D</x:v>
      </x:c>
      <x:c r="B789" s="1" t="str">
        <x:v>T6</x:v>
      </x:c>
      <x:c r="C789" s="1" t="str">
        <x:v>L08</x:v>
      </x:c>
      <x:c r="D789" s="1" t="str">
        <x:v>Door sets and ironmongery</x:v>
      </x:c>
      <x:c r="E789" s="1" t="str">
        <x:v>Finishes</x:v>
      </x:c>
      <x:c r="F789" s="15" t="n">
        <x:v>28</x:v>
      </x:c>
      <x:c r="G789" s="1" t="str">
        <x:v>nr</x:v>
      </x:c>
      <x:c r="H789" s="17" t="n">
        <x:v>10</x:v>
      </x:c>
      <x:c r="I789" s="17" t="n">
        <x:v>4</x:v>
      </x:c>
      <x:c r="J789" s="17" t="n">
        <x:f>ROUNDUP(F789/H789,0)</x:f>
        <x:v>3</x:v>
      </x:c>
      <x:c r="K789" s="1" t="n">
        <x:f>MAX(L788+0)</x:f>
        <x:v>474</x:v>
      </x:c>
      <x:c r="L789" s="1" t="n">
        <x:f>K789+J789</x:f>
        <x:v>477</x:v>
      </x:c>
      <x:c r="M789" s="1" t="n">
        <x:f>N789-J789</x:f>
        <x:v>479</x:v>
      </x:c>
      <x:c r="N789" s="1" t="n">
        <x:f>MIN(M816-0)</x:f>
        <x:v>482</x:v>
      </x:c>
      <x:c r="O789" s="1" t="n">
        <x:f>M789-K789</x:f>
        <x:v>5</x:v>
      </x:c>
      <x:c r="P789" s="19" t="n">
        <x:f>INDEX('Calendar'!$C$8:$C$907,K789+1)</x:f>
        <x:v>46881</x:v>
      </x:c>
      <x:c r="Q789" s="19" t="n">
        <x:f>INDEX('Calendar'!$C$8:$C$907,MAX(K789+1,L789))</x:f>
        <x:v>46883</x:v>
      </x:c>
      <x:c r="R789" s="15" t="n">
        <x:v>5796</x:v>
      </x:c>
      <x:c r="S789" s="15"/>
      <x:c r="T789" s="15" t="n">
        <x:f>R789/J789</x:f>
        <x:v>1932</x:v>
      </x:c>
    </x:row>
    <x:row r="790" ht="23" customHeight="1">
      <x:c r="A790" s="6" t="str">
        <x:v>T6-L09-M</x:v>
      </x:c>
      <x:c r="B790" s="6" t="str">
        <x:v>T6</x:v>
      </x:c>
      <x:c r="C790" s="6" t="str">
        <x:v>L09</x:v>
      </x:c>
      <x:c r="D790" s="6" t="str">
        <x:v>Partition masonry</x:v>
      </x:c>
      <x:c r="E790" s="6" t="str">
        <x:v>Masonry</x:v>
      </x:c>
      <x:c r="F790" s="14" t="n">
        <x:v>90.40200000000002</x:v>
      </x:c>
      <x:c r="G790" s="6" t="str">
        <x:v>m3</x:v>
      </x:c>
      <x:c r="H790" s="16" t="n">
        <x:v>22</x:v>
      </x:c>
      <x:c r="I790" s="16" t="n">
        <x:v>10</x:v>
      </x:c>
      <x:c r="J790" s="16" t="n">
        <x:f>ROUNDUP(F790/H790,0)</x:f>
        <x:v>5</x:v>
      </x:c>
      <x:c r="K790" s="6" t="n">
        <x:f>MAX(L732+5)</x:f>
        <x:v>433</x:v>
      </x:c>
      <x:c r="L790" s="6" t="n">
        <x:f>K790+J790</x:f>
        <x:v>438</x:v>
      </x:c>
      <x:c r="M790" s="6" t="n">
        <x:f>N790-J790</x:f>
        <x:v>433</x:v>
      </x:c>
      <x:c r="N790" s="6" t="n">
        <x:f>MIN(M791-3)</x:f>
        <x:v>438</x:v>
      </x:c>
      <x:c r="O790" s="6" t="n">
        <x:f>M790-K790</x:f>
        <x:v>0</x:v>
      </x:c>
      <x:c r="P790" s="18" t="n">
        <x:f>INDEX('Calendar'!$C$8:$C$907,K790+1)</x:f>
        <x:v>46833</x:v>
      </x:c>
      <x:c r="Q790" s="18" t="n">
        <x:f>INDEX('Calendar'!$C$8:$C$907,MAX(K790+1,L790))</x:f>
        <x:v>46837</x:v>
      </x:c>
      <x:c r="R790" s="14" t="n">
        <x:v>12204.27</x:v>
      </x:c>
      <x:c r="S790" s="14"/>
      <x:c r="T790" s="14" t="n">
        <x:f>R790/J790</x:f>
        <x:v>2440.8540000000003</x:v>
      </x:c>
    </x:row>
    <x:row r="791" ht="23" customHeight="1">
      <x:c r="A791" s="1" t="str">
        <x:v>T6-L09-P</x:v>
      </x:c>
      <x:c r="B791" s="1" t="str">
        <x:v>T6</x:v>
      </x:c>
      <x:c r="C791" s="1" t="str">
        <x:v>L09</x:v>
      </x:c>
      <x:c r="D791" s="1" t="str">
        <x:v>Internal plaster</x:v>
      </x:c>
      <x:c r="E791" s="1" t="str">
        <x:v>Finishes</x:v>
      </x:c>
      <x:c r="F791" s="15" t="n">
        <x:v>1205.3600000000006</x:v>
      </x:c>
      <x:c r="G791" s="1" t="str">
        <x:v>m2</x:v>
      </x:c>
      <x:c r="H791" s="17" t="n">
        <x:v>220</x:v>
      </x:c>
      <x:c r="I791" s="17" t="n">
        <x:v>10</x:v>
      </x:c>
      <x:c r="J791" s="17" t="n">
        <x:f>ROUNDUP(F791/H791,0)</x:f>
        <x:v>6</x:v>
      </x:c>
      <x:c r="K791" s="1" t="n">
        <x:f>MAX(L790+3)</x:f>
        <x:v>441</x:v>
      </x:c>
      <x:c r="L791" s="1" t="n">
        <x:f>K791+J791</x:f>
        <x:v>447</x:v>
      </x:c>
      <x:c r="M791" s="1" t="n">
        <x:f>N791-J791</x:f>
        <x:v>441</x:v>
      </x:c>
      <x:c r="N791" s="1" t="n">
        <x:f>MIN(M792-2)</x:f>
        <x:v>447</x:v>
      </x:c>
      <x:c r="O791" s="1" t="n">
        <x:f>M791-K791</x:f>
        <x:v>0</x:v>
      </x:c>
      <x:c r="P791" s="19" t="n">
        <x:f>INDEX('Calendar'!$C$8:$C$907,K791+1)</x:f>
        <x:v>46842</x:v>
      </x:c>
      <x:c r="Q791" s="19" t="n">
        <x:f>INDEX('Calendar'!$C$8:$C$907,MAX(K791+1,L791))</x:f>
        <x:v>46848</x:v>
      </x:c>
      <x:c r="R791" s="15" t="n">
        <x:v>15067.000000000005</x:v>
      </x:c>
      <x:c r="S791" s="15"/>
      <x:c r="T791" s="15" t="n">
        <x:f>R791/J791</x:f>
        <x:v>2511.1666666666674</x:v>
      </x:c>
    </x:row>
    <x:row r="792" ht="23" customHeight="1">
      <x:c r="A792" s="6" t="str">
        <x:v>T6-L09-S</x:v>
      </x:c>
      <x:c r="B792" s="6" t="str">
        <x:v>T6</x:v>
      </x:c>
      <x:c r="C792" s="6" t="str">
        <x:v>L09</x:v>
      </x:c>
      <x:c r="D792" s="6" t="str">
        <x:v>Screed and substrate preparation</x:v>
      </x:c>
      <x:c r="E792" s="6" t="str">
        <x:v>Finishes</x:v>
      </x:c>
      <x:c r="F792" s="14" t="n">
        <x:v>696</x:v>
      </x:c>
      <x:c r="G792" s="6" t="str">
        <x:v>m2</x:v>
      </x:c>
      <x:c r="H792" s="16" t="n">
        <x:v>240</x:v>
      </x:c>
      <x:c r="I792" s="16" t="n">
        <x:v>8</x:v>
      </x:c>
      <x:c r="J792" s="16" t="n">
        <x:f>ROUNDUP(F792/H792,0)</x:f>
        <x:v>3</x:v>
      </x:c>
      <x:c r="K792" s="6" t="n">
        <x:f>MAX(L791+2)</x:f>
        <x:v>449</x:v>
      </x:c>
      <x:c r="L792" s="6" t="n">
        <x:f>K792+J792</x:f>
        <x:v>452</x:v>
      </x:c>
      <x:c r="M792" s="6" t="n">
        <x:f>N792-J792</x:f>
        <x:v>449</x:v>
      </x:c>
      <x:c r="N792" s="6" t="n">
        <x:f>MIN(M793-14)</x:f>
        <x:v>452</x:v>
      </x:c>
      <x:c r="O792" s="6" t="n">
        <x:f>M792-K792</x:f>
        <x:v>0</x:v>
      </x:c>
      <x:c r="P792" s="18" t="n">
        <x:f>INDEX('Calendar'!$C$8:$C$907,K792+1)</x:f>
        <x:v>46851</x:v>
      </x:c>
      <x:c r="Q792" s="18" t="n">
        <x:f>INDEX('Calendar'!$C$8:$C$907,MAX(K792+1,L792))</x:f>
        <x:v>46854</x:v>
      </x:c>
      <x:c r="R792" s="14" t="n">
        <x:v>9048</x:v>
      </x:c>
      <x:c r="S792" s="14"/>
      <x:c r="T792" s="14" t="n">
        <x:f>R792/J792</x:f>
        <x:v>3016</x:v>
      </x:c>
    </x:row>
    <x:row r="793" ht="23" customHeight="1">
      <x:c r="A793" s="1" t="str">
        <x:v>T6-L09-T</x:v>
      </x:c>
      <x:c r="B793" s="1" t="str">
        <x:v>T6</x:v>
      </x:c>
      <x:c r="C793" s="1" t="str">
        <x:v>L09</x:v>
      </x:c>
      <x:c r="D793" s="1" t="str">
        <x:v>Floor finishes and skirtings</x:v>
      </x:c>
      <x:c r="E793" s="1" t="str">
        <x:v>Finishes</x:v>
      </x:c>
      <x:c r="F793" s="15" t="n">
        <x:v>696</x:v>
      </x:c>
      <x:c r="G793" s="1" t="str">
        <x:v>m2</x:v>
      </x:c>
      <x:c r="H793" s="17" t="n">
        <x:v>130</x:v>
      </x:c>
      <x:c r="I793" s="17" t="n">
        <x:v>8</x:v>
      </x:c>
      <x:c r="J793" s="17" t="n">
        <x:f>ROUNDUP(F793/H793,0)</x:f>
        <x:v>6</x:v>
      </x:c>
      <x:c r="K793" s="1" t="n">
        <x:f>MAX(L792+14,L735+0)</x:f>
        <x:v>466</x:v>
      </x:c>
      <x:c r="L793" s="1" t="n">
        <x:f>K793+J793</x:f>
        <x:v>472</x:v>
      </x:c>
      <x:c r="M793" s="1" t="n">
        <x:f>N793-J793</x:f>
        <x:v>466</x:v>
      </x:c>
      <x:c r="N793" s="1" t="n">
        <x:f>MIN(M794-2)</x:f>
        <x:v>472</x:v>
      </x:c>
      <x:c r="O793" s="1" t="n">
        <x:f>M793-K793</x:f>
        <x:v>0</x:v>
      </x:c>
      <x:c r="P793" s="19" t="n">
        <x:f>INDEX('Calendar'!$C$8:$C$907,K793+1)</x:f>
        <x:v>46871</x:v>
      </x:c>
      <x:c r="Q793" s="19" t="n">
        <x:f>INDEX('Calendar'!$C$8:$C$907,MAX(K793+1,L793))</x:f>
        <x:v>46877</x:v>
      </x:c>
      <x:c r="R793" s="15" t="n">
        <x:v>24012</x:v>
      </x:c>
      <x:c r="S793" s="15"/>
      <x:c r="T793" s="15" t="n">
        <x:f>R793/J793</x:f>
        <x:v>4002</x:v>
      </x:c>
    </x:row>
    <x:row r="794" ht="23" customHeight="1">
      <x:c r="A794" s="6" t="str">
        <x:v>T6-L09-A</x:v>
      </x:c>
      <x:c r="B794" s="6" t="str">
        <x:v>T6</x:v>
      </x:c>
      <x:c r="C794" s="6" t="str">
        <x:v>L09</x:v>
      </x:c>
      <x:c r="D794" s="6" t="str">
        <x:v>Paint and final decorations</x:v>
      </x:c>
      <x:c r="E794" s="6" t="str">
        <x:v>Finishes</x:v>
      </x:c>
      <x:c r="F794" s="14" t="n">
        <x:v>1205.3600000000004</x:v>
      </x:c>
      <x:c r="G794" s="6" t="str">
        <x:v>m2</x:v>
      </x:c>
      <x:c r="H794" s="16" t="n">
        <x:v>270</x:v>
      </x:c>
      <x:c r="I794" s="16" t="n">
        <x:v>8</x:v>
      </x:c>
      <x:c r="J794" s="16" t="n">
        <x:f>ROUNDUP(F794/H794,0)</x:f>
        <x:v>5</x:v>
      </x:c>
      <x:c r="K794" s="6" t="n">
        <x:f>MAX(L793+2)</x:f>
        <x:v>474</x:v>
      </x:c>
      <x:c r="L794" s="6" t="n">
        <x:f>K794+J794</x:f>
        <x:v>479</x:v>
      </x:c>
      <x:c r="M794" s="6" t="n">
        <x:f>N794-J794</x:f>
        <x:v>474</x:v>
      </x:c>
      <x:c r="N794" s="6" t="n">
        <x:f>MIN(M795-0)</x:f>
        <x:v>479</x:v>
      </x:c>
      <x:c r="O794" s="6" t="n">
        <x:f>M794-K794</x:f>
        <x:v>0</x:v>
      </x:c>
      <x:c r="P794" s="18" t="n">
        <x:f>INDEX('Calendar'!$C$8:$C$907,K794+1)</x:f>
        <x:v>46881</x:v>
      </x:c>
      <x:c r="Q794" s="18" t="n">
        <x:f>INDEX('Calendar'!$C$8:$C$907,MAX(K794+1,L794))</x:f>
        <x:v>46885</x:v>
      </x:c>
      <x:c r="R794" s="14" t="n">
        <x:v>10245.560000000003</x:v>
      </x:c>
      <x:c r="S794" s="14"/>
      <x:c r="T794" s="14" t="n">
        <x:f>R794/J794</x:f>
        <x:v>2049.1120000000005</x:v>
      </x:c>
    </x:row>
    <x:row r="795" ht="23" customHeight="1">
      <x:c r="A795" s="1" t="str">
        <x:v>T6-L09-D</x:v>
      </x:c>
      <x:c r="B795" s="1" t="str">
        <x:v>T6</x:v>
      </x:c>
      <x:c r="C795" s="1" t="str">
        <x:v>L09</x:v>
      </x:c>
      <x:c r="D795" s="1" t="str">
        <x:v>Door sets and ironmongery</x:v>
      </x:c>
      <x:c r="E795" s="1" t="str">
        <x:v>Finishes</x:v>
      </x:c>
      <x:c r="F795" s="15" t="n">
        <x:v>28</x:v>
      </x:c>
      <x:c r="G795" s="1" t="str">
        <x:v>nr</x:v>
      </x:c>
      <x:c r="H795" s="17" t="n">
        <x:v>10</x:v>
      </x:c>
      <x:c r="I795" s="17" t="n">
        <x:v>4</x:v>
      </x:c>
      <x:c r="J795" s="17" t="n">
        <x:f>ROUNDUP(F795/H795,0)</x:f>
        <x:v>3</x:v>
      </x:c>
      <x:c r="K795" s="1" t="n">
        <x:f>MAX(L794+0)</x:f>
        <x:v>479</x:v>
      </x:c>
      <x:c r="L795" s="1" t="n">
        <x:f>K795+J795</x:f>
        <x:v>482</x:v>
      </x:c>
      <x:c r="M795" s="1" t="n">
        <x:f>N795-J795</x:f>
        <x:v>479</x:v>
      </x:c>
      <x:c r="N795" s="1" t="n">
        <x:f>MIN(M816-0)</x:f>
        <x:v>482</x:v>
      </x:c>
      <x:c r="O795" s="1" t="n">
        <x:f>M795-K795</x:f>
        <x:v>0</x:v>
      </x:c>
      <x:c r="P795" s="19" t="n">
        <x:f>INDEX('Calendar'!$C$8:$C$907,K795+1)</x:f>
        <x:v>46886</x:v>
      </x:c>
      <x:c r="Q795" s="19" t="n">
        <x:f>INDEX('Calendar'!$C$8:$C$907,MAX(K795+1,L795))</x:f>
        <x:v>46889</x:v>
      </x:c>
      <x:c r="R795" s="15" t="n">
        <x:v>5796</x:v>
      </x:c>
      <x:c r="S795" s="15"/>
      <x:c r="T795" s="15" t="n">
        <x:f>R795/J795</x:f>
        <x:v>1932</x:v>
      </x:c>
    </x:row>
    <x:row r="796" ht="23" customHeight="1">
      <x:c r="A796" s="6" t="str">
        <x:v>T6-L10-M</x:v>
      </x:c>
      <x:c r="B796" s="6" t="str">
        <x:v>T6</x:v>
      </x:c>
      <x:c r="C796" s="6" t="str">
        <x:v>L10</x:v>
      </x:c>
      <x:c r="D796" s="6" t="str">
        <x:v>Partition masonry</x:v>
      </x:c>
      <x:c r="E796" s="6" t="str">
        <x:v>Masonry</x:v>
      </x:c>
      <x:c r="F796" s="14" t="n">
        <x:v>90.40200000000002</x:v>
      </x:c>
      <x:c r="G796" s="6" t="str">
        <x:v>m3</x:v>
      </x:c>
      <x:c r="H796" s="16" t="n">
        <x:v>22</x:v>
      </x:c>
      <x:c r="I796" s="16" t="n">
        <x:v>10</x:v>
      </x:c>
      <x:c r="J796" s="16" t="n">
        <x:f>ROUNDUP(F796/H796,0)</x:f>
        <x:v>5</x:v>
      </x:c>
      <x:c r="K796" s="6" t="n">
        <x:f>MAX(L732+5)</x:f>
        <x:v>433</x:v>
      </x:c>
      <x:c r="L796" s="6" t="n">
        <x:f>K796+J796</x:f>
        <x:v>438</x:v>
      </x:c>
      <x:c r="M796" s="6" t="n">
        <x:f>N796-J796</x:f>
        <x:v>433</x:v>
      </x:c>
      <x:c r="N796" s="6" t="n">
        <x:f>MIN(M797-3)</x:f>
        <x:v>438</x:v>
      </x:c>
      <x:c r="O796" s="6" t="n">
        <x:f>M796-K796</x:f>
        <x:v>0</x:v>
      </x:c>
      <x:c r="P796" s="18" t="n">
        <x:f>INDEX('Calendar'!$C$8:$C$907,K796+1)</x:f>
        <x:v>46833</x:v>
      </x:c>
      <x:c r="Q796" s="18" t="n">
        <x:f>INDEX('Calendar'!$C$8:$C$907,MAX(K796+1,L796))</x:f>
        <x:v>46837</x:v>
      </x:c>
      <x:c r="R796" s="14" t="n">
        <x:v>12204.27</x:v>
      </x:c>
      <x:c r="S796" s="14"/>
      <x:c r="T796" s="14" t="n">
        <x:f>R796/J796</x:f>
        <x:v>2440.8540000000003</x:v>
      </x:c>
    </x:row>
    <x:row r="797" ht="23" customHeight="1">
      <x:c r="A797" s="1" t="str">
        <x:v>T6-L10-P</x:v>
      </x:c>
      <x:c r="B797" s="1" t="str">
        <x:v>T6</x:v>
      </x:c>
      <x:c r="C797" s="1" t="str">
        <x:v>L10</x:v>
      </x:c>
      <x:c r="D797" s="1" t="str">
        <x:v>Internal plaster</x:v>
      </x:c>
      <x:c r="E797" s="1" t="str">
        <x:v>Finishes</x:v>
      </x:c>
      <x:c r="F797" s="15" t="n">
        <x:v>1205.3600000000006</x:v>
      </x:c>
      <x:c r="G797" s="1" t="str">
        <x:v>m2</x:v>
      </x:c>
      <x:c r="H797" s="17" t="n">
        <x:v>220</x:v>
      </x:c>
      <x:c r="I797" s="17" t="n">
        <x:v>10</x:v>
      </x:c>
      <x:c r="J797" s="17" t="n">
        <x:f>ROUNDUP(F797/H797,0)</x:f>
        <x:v>6</x:v>
      </x:c>
      <x:c r="K797" s="1" t="n">
        <x:f>MAX(L796+3)</x:f>
        <x:v>441</x:v>
      </x:c>
      <x:c r="L797" s="1" t="n">
        <x:f>K797+J797</x:f>
        <x:v>447</x:v>
      </x:c>
      <x:c r="M797" s="1" t="n">
        <x:f>N797-J797</x:f>
        <x:v>441</x:v>
      </x:c>
      <x:c r="N797" s="1" t="n">
        <x:f>MIN(M798-2)</x:f>
        <x:v>447</x:v>
      </x:c>
      <x:c r="O797" s="1" t="n">
        <x:f>M797-K797</x:f>
        <x:v>0</x:v>
      </x:c>
      <x:c r="P797" s="19" t="n">
        <x:f>INDEX('Calendar'!$C$8:$C$907,K797+1)</x:f>
        <x:v>46842</x:v>
      </x:c>
      <x:c r="Q797" s="19" t="n">
        <x:f>INDEX('Calendar'!$C$8:$C$907,MAX(K797+1,L797))</x:f>
        <x:v>46848</x:v>
      </x:c>
      <x:c r="R797" s="15" t="n">
        <x:v>15067.000000000005</x:v>
      </x:c>
      <x:c r="S797" s="15"/>
      <x:c r="T797" s="15" t="n">
        <x:f>R797/J797</x:f>
        <x:v>2511.1666666666674</x:v>
      </x:c>
    </x:row>
    <x:row r="798" ht="23" customHeight="1">
      <x:c r="A798" s="6" t="str">
        <x:v>T6-L10-S</x:v>
      </x:c>
      <x:c r="B798" s="6" t="str">
        <x:v>T6</x:v>
      </x:c>
      <x:c r="C798" s="6" t="str">
        <x:v>L10</x:v>
      </x:c>
      <x:c r="D798" s="6" t="str">
        <x:v>Screed and substrate preparation</x:v>
      </x:c>
      <x:c r="E798" s="6" t="str">
        <x:v>Finishes</x:v>
      </x:c>
      <x:c r="F798" s="14" t="n">
        <x:v>696</x:v>
      </x:c>
      <x:c r="G798" s="6" t="str">
        <x:v>m2</x:v>
      </x:c>
      <x:c r="H798" s="16" t="n">
        <x:v>240</x:v>
      </x:c>
      <x:c r="I798" s="16" t="n">
        <x:v>8</x:v>
      </x:c>
      <x:c r="J798" s="16" t="n">
        <x:f>ROUNDUP(F798/H798,0)</x:f>
        <x:v>3</x:v>
      </x:c>
      <x:c r="K798" s="6" t="n">
        <x:f>MAX(L797+2)</x:f>
        <x:v>449</x:v>
      </x:c>
      <x:c r="L798" s="6" t="n">
        <x:f>K798+J798</x:f>
        <x:v>452</x:v>
      </x:c>
      <x:c r="M798" s="6" t="n">
        <x:f>N798-J798</x:f>
        <x:v>449</x:v>
      </x:c>
      <x:c r="N798" s="6" t="n">
        <x:f>MIN(M799-14)</x:f>
        <x:v>452</x:v>
      </x:c>
      <x:c r="O798" s="6" t="n">
        <x:f>M798-K798</x:f>
        <x:v>0</x:v>
      </x:c>
      <x:c r="P798" s="18" t="n">
        <x:f>INDEX('Calendar'!$C$8:$C$907,K798+1)</x:f>
        <x:v>46851</x:v>
      </x:c>
      <x:c r="Q798" s="18" t="n">
        <x:f>INDEX('Calendar'!$C$8:$C$907,MAX(K798+1,L798))</x:f>
        <x:v>46854</x:v>
      </x:c>
      <x:c r="R798" s="14" t="n">
        <x:v>9048</x:v>
      </x:c>
      <x:c r="S798" s="14"/>
      <x:c r="T798" s="14" t="n">
        <x:f>R798/J798</x:f>
        <x:v>3016</x:v>
      </x:c>
    </x:row>
    <x:row r="799" ht="23" customHeight="1">
      <x:c r="A799" s="1" t="str">
        <x:v>T6-L10-T</x:v>
      </x:c>
      <x:c r="B799" s="1" t="str">
        <x:v>T6</x:v>
      </x:c>
      <x:c r="C799" s="1" t="str">
        <x:v>L10</x:v>
      </x:c>
      <x:c r="D799" s="1" t="str">
        <x:v>Floor finishes and skirtings</x:v>
      </x:c>
      <x:c r="E799" s="1" t="str">
        <x:v>Finishes</x:v>
      </x:c>
      <x:c r="F799" s="15" t="n">
        <x:v>696</x:v>
      </x:c>
      <x:c r="G799" s="1" t="str">
        <x:v>m2</x:v>
      </x:c>
      <x:c r="H799" s="17" t="n">
        <x:v>130</x:v>
      </x:c>
      <x:c r="I799" s="17" t="n">
        <x:v>8</x:v>
      </x:c>
      <x:c r="J799" s="17" t="n">
        <x:f>ROUNDUP(F799/H799,0)</x:f>
        <x:v>6</x:v>
      </x:c>
      <x:c r="K799" s="1" t="n">
        <x:f>MAX(L798+14,L735+0)</x:f>
        <x:v>466</x:v>
      </x:c>
      <x:c r="L799" s="1" t="n">
        <x:f>K799+J799</x:f>
        <x:v>472</x:v>
      </x:c>
      <x:c r="M799" s="1" t="n">
        <x:f>N799-J799</x:f>
        <x:v>466</x:v>
      </x:c>
      <x:c r="N799" s="1" t="n">
        <x:f>MIN(M800-2)</x:f>
        <x:v>472</x:v>
      </x:c>
      <x:c r="O799" s="1" t="n">
        <x:f>M799-K799</x:f>
        <x:v>0</x:v>
      </x:c>
      <x:c r="P799" s="19" t="n">
        <x:f>INDEX('Calendar'!$C$8:$C$907,K799+1)</x:f>
        <x:v>46871</x:v>
      </x:c>
      <x:c r="Q799" s="19" t="n">
        <x:f>INDEX('Calendar'!$C$8:$C$907,MAX(K799+1,L799))</x:f>
        <x:v>46877</x:v>
      </x:c>
      <x:c r="R799" s="15" t="n">
        <x:v>24012</x:v>
      </x:c>
      <x:c r="S799" s="15"/>
      <x:c r="T799" s="15" t="n">
        <x:f>R799/J799</x:f>
        <x:v>4002</x:v>
      </x:c>
    </x:row>
    <x:row r="800" ht="23" customHeight="1">
      <x:c r="A800" s="6" t="str">
        <x:v>T6-L10-A</x:v>
      </x:c>
      <x:c r="B800" s="6" t="str">
        <x:v>T6</x:v>
      </x:c>
      <x:c r="C800" s="6" t="str">
        <x:v>L10</x:v>
      </x:c>
      <x:c r="D800" s="6" t="str">
        <x:v>Paint and final decorations</x:v>
      </x:c>
      <x:c r="E800" s="6" t="str">
        <x:v>Finishes</x:v>
      </x:c>
      <x:c r="F800" s="14" t="n">
        <x:v>1205.3600000000004</x:v>
      </x:c>
      <x:c r="G800" s="6" t="str">
        <x:v>m2</x:v>
      </x:c>
      <x:c r="H800" s="16" t="n">
        <x:v>270</x:v>
      </x:c>
      <x:c r="I800" s="16" t="n">
        <x:v>8</x:v>
      </x:c>
      <x:c r="J800" s="16" t="n">
        <x:f>ROUNDUP(F800/H800,0)</x:f>
        <x:v>5</x:v>
      </x:c>
      <x:c r="K800" s="6" t="n">
        <x:f>MAX(L799+2)</x:f>
        <x:v>474</x:v>
      </x:c>
      <x:c r="L800" s="6" t="n">
        <x:f>K800+J800</x:f>
        <x:v>479</x:v>
      </x:c>
      <x:c r="M800" s="6" t="n">
        <x:f>N800-J800</x:f>
        <x:v>474</x:v>
      </x:c>
      <x:c r="N800" s="6" t="n">
        <x:f>MIN(M801-0)</x:f>
        <x:v>479</x:v>
      </x:c>
      <x:c r="O800" s="6" t="n">
        <x:f>M800-K800</x:f>
        <x:v>0</x:v>
      </x:c>
      <x:c r="P800" s="18" t="n">
        <x:f>INDEX('Calendar'!$C$8:$C$907,K800+1)</x:f>
        <x:v>46881</x:v>
      </x:c>
      <x:c r="Q800" s="18" t="n">
        <x:f>INDEX('Calendar'!$C$8:$C$907,MAX(K800+1,L800))</x:f>
        <x:v>46885</x:v>
      </x:c>
      <x:c r="R800" s="14" t="n">
        <x:v>10245.560000000003</x:v>
      </x:c>
      <x:c r="S800" s="14"/>
      <x:c r="T800" s="14" t="n">
        <x:f>R800/J800</x:f>
        <x:v>2049.1120000000005</x:v>
      </x:c>
    </x:row>
    <x:row r="801" ht="23" customHeight="1">
      <x:c r="A801" s="1" t="str">
        <x:v>T6-L10-D</x:v>
      </x:c>
      <x:c r="B801" s="1" t="str">
        <x:v>T6</x:v>
      </x:c>
      <x:c r="C801" s="1" t="str">
        <x:v>L10</x:v>
      </x:c>
      <x:c r="D801" s="1" t="str">
        <x:v>Door sets and ironmongery</x:v>
      </x:c>
      <x:c r="E801" s="1" t="str">
        <x:v>Finishes</x:v>
      </x:c>
      <x:c r="F801" s="15" t="n">
        <x:v>28</x:v>
      </x:c>
      <x:c r="G801" s="1" t="str">
        <x:v>nr</x:v>
      </x:c>
      <x:c r="H801" s="17" t="n">
        <x:v>10</x:v>
      </x:c>
      <x:c r="I801" s="17" t="n">
        <x:v>4</x:v>
      </x:c>
      <x:c r="J801" s="17" t="n">
        <x:f>ROUNDUP(F801/H801,0)</x:f>
        <x:v>3</x:v>
      </x:c>
      <x:c r="K801" s="1" t="n">
        <x:f>MAX(L800+0)</x:f>
        <x:v>479</x:v>
      </x:c>
      <x:c r="L801" s="1" t="n">
        <x:f>K801+J801</x:f>
        <x:v>482</x:v>
      </x:c>
      <x:c r="M801" s="1" t="n">
        <x:f>N801-J801</x:f>
        <x:v>479</x:v>
      </x:c>
      <x:c r="N801" s="1" t="n">
        <x:f>MIN(M816-0)</x:f>
        <x:v>482</x:v>
      </x:c>
      <x:c r="O801" s="1" t="n">
        <x:f>M801-K801</x:f>
        <x:v>0</x:v>
      </x:c>
      <x:c r="P801" s="19" t="n">
        <x:f>INDEX('Calendar'!$C$8:$C$907,K801+1)</x:f>
        <x:v>46886</x:v>
      </x:c>
      <x:c r="Q801" s="19" t="n">
        <x:f>INDEX('Calendar'!$C$8:$C$907,MAX(K801+1,L801))</x:f>
        <x:v>46889</x:v>
      </x:c>
      <x:c r="R801" s="15" t="n">
        <x:v>5796</x:v>
      </x:c>
      <x:c r="S801" s="15"/>
      <x:c r="T801" s="15" t="n">
        <x:f>R801/J801</x:f>
        <x:v>1932</x:v>
      </x:c>
    </x:row>
    <x:row r="802" ht="23" customHeight="1">
      <x:c r="A802" s="6" t="str">
        <x:v>T6-L11-M</x:v>
      </x:c>
      <x:c r="B802" s="6" t="str">
        <x:v>T6</x:v>
      </x:c>
      <x:c r="C802" s="6" t="str">
        <x:v>L11</x:v>
      </x:c>
      <x:c r="D802" s="6" t="str">
        <x:v>Partition masonry</x:v>
      </x:c>
      <x:c r="E802" s="6" t="str">
        <x:v>Masonry</x:v>
      </x:c>
      <x:c r="F802" s="14" t="n">
        <x:v>90.40200000000002</x:v>
      </x:c>
      <x:c r="G802" s="6" t="str">
        <x:v>m3</x:v>
      </x:c>
      <x:c r="H802" s="16" t="n">
        <x:v>22</x:v>
      </x:c>
      <x:c r="I802" s="16" t="n">
        <x:v>10</x:v>
      </x:c>
      <x:c r="J802" s="16" t="n">
        <x:f>ROUNDUP(F802/H802,0)</x:f>
        <x:v>5</x:v>
      </x:c>
      <x:c r="K802" s="6" t="n">
        <x:f>MAX(L732+5)</x:f>
        <x:v>433</x:v>
      </x:c>
      <x:c r="L802" s="6" t="n">
        <x:f>K802+J802</x:f>
        <x:v>438</x:v>
      </x:c>
      <x:c r="M802" s="6" t="n">
        <x:f>N802-J802</x:f>
        <x:v>433</x:v>
      </x:c>
      <x:c r="N802" s="6" t="n">
        <x:f>MIN(M803-3)</x:f>
        <x:v>438</x:v>
      </x:c>
      <x:c r="O802" s="6" t="n">
        <x:f>M802-K802</x:f>
        <x:v>0</x:v>
      </x:c>
      <x:c r="P802" s="18" t="n">
        <x:f>INDEX('Calendar'!$C$8:$C$907,K802+1)</x:f>
        <x:v>46833</x:v>
      </x:c>
      <x:c r="Q802" s="18" t="n">
        <x:f>INDEX('Calendar'!$C$8:$C$907,MAX(K802+1,L802))</x:f>
        <x:v>46837</x:v>
      </x:c>
      <x:c r="R802" s="14" t="n">
        <x:v>12204.27</x:v>
      </x:c>
      <x:c r="S802" s="14"/>
      <x:c r="T802" s="14" t="n">
        <x:f>R802/J802</x:f>
        <x:v>2440.8540000000003</x:v>
      </x:c>
    </x:row>
    <x:row r="803" ht="23" customHeight="1">
      <x:c r="A803" s="1" t="str">
        <x:v>T6-L11-P</x:v>
      </x:c>
      <x:c r="B803" s="1" t="str">
        <x:v>T6</x:v>
      </x:c>
      <x:c r="C803" s="1" t="str">
        <x:v>L11</x:v>
      </x:c>
      <x:c r="D803" s="1" t="str">
        <x:v>Internal plaster</x:v>
      </x:c>
      <x:c r="E803" s="1" t="str">
        <x:v>Finishes</x:v>
      </x:c>
      <x:c r="F803" s="15" t="n">
        <x:v>1205.3600000000006</x:v>
      </x:c>
      <x:c r="G803" s="1" t="str">
        <x:v>m2</x:v>
      </x:c>
      <x:c r="H803" s="17" t="n">
        <x:v>220</x:v>
      </x:c>
      <x:c r="I803" s="17" t="n">
        <x:v>10</x:v>
      </x:c>
      <x:c r="J803" s="17" t="n">
        <x:f>ROUNDUP(F803/H803,0)</x:f>
        <x:v>6</x:v>
      </x:c>
      <x:c r="K803" s="1" t="n">
        <x:f>MAX(L802+3)</x:f>
        <x:v>441</x:v>
      </x:c>
      <x:c r="L803" s="1" t="n">
        <x:f>K803+J803</x:f>
        <x:v>447</x:v>
      </x:c>
      <x:c r="M803" s="1" t="n">
        <x:f>N803-J803</x:f>
        <x:v>441</x:v>
      </x:c>
      <x:c r="N803" s="1" t="n">
        <x:f>MIN(M804-2)</x:f>
        <x:v>447</x:v>
      </x:c>
      <x:c r="O803" s="1" t="n">
        <x:f>M803-K803</x:f>
        <x:v>0</x:v>
      </x:c>
      <x:c r="P803" s="19" t="n">
        <x:f>INDEX('Calendar'!$C$8:$C$907,K803+1)</x:f>
        <x:v>46842</x:v>
      </x:c>
      <x:c r="Q803" s="19" t="n">
        <x:f>INDEX('Calendar'!$C$8:$C$907,MAX(K803+1,L803))</x:f>
        <x:v>46848</x:v>
      </x:c>
      <x:c r="R803" s="15" t="n">
        <x:v>15067.000000000005</x:v>
      </x:c>
      <x:c r="S803" s="15"/>
      <x:c r="T803" s="15" t="n">
        <x:f>R803/J803</x:f>
        <x:v>2511.1666666666674</x:v>
      </x:c>
    </x:row>
    <x:row r="804" ht="23" customHeight="1">
      <x:c r="A804" s="6" t="str">
        <x:v>T6-L11-S</x:v>
      </x:c>
      <x:c r="B804" s="6" t="str">
        <x:v>T6</x:v>
      </x:c>
      <x:c r="C804" s="6" t="str">
        <x:v>L11</x:v>
      </x:c>
      <x:c r="D804" s="6" t="str">
        <x:v>Screed and substrate preparation</x:v>
      </x:c>
      <x:c r="E804" s="6" t="str">
        <x:v>Finishes</x:v>
      </x:c>
      <x:c r="F804" s="14" t="n">
        <x:v>696</x:v>
      </x:c>
      <x:c r="G804" s="6" t="str">
        <x:v>m2</x:v>
      </x:c>
      <x:c r="H804" s="16" t="n">
        <x:v>240</x:v>
      </x:c>
      <x:c r="I804" s="16" t="n">
        <x:v>8</x:v>
      </x:c>
      <x:c r="J804" s="16" t="n">
        <x:f>ROUNDUP(F804/H804,0)</x:f>
        <x:v>3</x:v>
      </x:c>
      <x:c r="K804" s="6" t="n">
        <x:f>MAX(L803+2)</x:f>
        <x:v>449</x:v>
      </x:c>
      <x:c r="L804" s="6" t="n">
        <x:f>K804+J804</x:f>
        <x:v>452</x:v>
      </x:c>
      <x:c r="M804" s="6" t="n">
        <x:f>N804-J804</x:f>
        <x:v>449</x:v>
      </x:c>
      <x:c r="N804" s="6" t="n">
        <x:f>MIN(M805-14)</x:f>
        <x:v>452</x:v>
      </x:c>
      <x:c r="O804" s="6" t="n">
        <x:f>M804-K804</x:f>
        <x:v>0</x:v>
      </x:c>
      <x:c r="P804" s="18" t="n">
        <x:f>INDEX('Calendar'!$C$8:$C$907,K804+1)</x:f>
        <x:v>46851</x:v>
      </x:c>
      <x:c r="Q804" s="18" t="n">
        <x:f>INDEX('Calendar'!$C$8:$C$907,MAX(K804+1,L804))</x:f>
        <x:v>46854</x:v>
      </x:c>
      <x:c r="R804" s="14" t="n">
        <x:v>9048</x:v>
      </x:c>
      <x:c r="S804" s="14"/>
      <x:c r="T804" s="14" t="n">
        <x:f>R804/J804</x:f>
        <x:v>3016</x:v>
      </x:c>
    </x:row>
    <x:row r="805" ht="23" customHeight="1">
      <x:c r="A805" s="1" t="str">
        <x:v>T6-L11-T</x:v>
      </x:c>
      <x:c r="B805" s="1" t="str">
        <x:v>T6</x:v>
      </x:c>
      <x:c r="C805" s="1" t="str">
        <x:v>L11</x:v>
      </x:c>
      <x:c r="D805" s="1" t="str">
        <x:v>Floor finishes and skirtings</x:v>
      </x:c>
      <x:c r="E805" s="1" t="str">
        <x:v>Finishes</x:v>
      </x:c>
      <x:c r="F805" s="15" t="n">
        <x:v>696</x:v>
      </x:c>
      <x:c r="G805" s="1" t="str">
        <x:v>m2</x:v>
      </x:c>
      <x:c r="H805" s="17" t="n">
        <x:v>130</x:v>
      </x:c>
      <x:c r="I805" s="17" t="n">
        <x:v>8</x:v>
      </x:c>
      <x:c r="J805" s="17" t="n">
        <x:f>ROUNDUP(F805/H805,0)</x:f>
        <x:v>6</x:v>
      </x:c>
      <x:c r="K805" s="1" t="n">
        <x:f>MAX(L804+14,L735+0)</x:f>
        <x:v>466</x:v>
      </x:c>
      <x:c r="L805" s="1" t="n">
        <x:f>K805+J805</x:f>
        <x:v>472</x:v>
      </x:c>
      <x:c r="M805" s="1" t="n">
        <x:f>N805-J805</x:f>
        <x:v>466</x:v>
      </x:c>
      <x:c r="N805" s="1" t="n">
        <x:f>MIN(M806-2)</x:f>
        <x:v>472</x:v>
      </x:c>
      <x:c r="O805" s="1" t="n">
        <x:f>M805-K805</x:f>
        <x:v>0</x:v>
      </x:c>
      <x:c r="P805" s="19" t="n">
        <x:f>INDEX('Calendar'!$C$8:$C$907,K805+1)</x:f>
        <x:v>46871</x:v>
      </x:c>
      <x:c r="Q805" s="19" t="n">
        <x:f>INDEX('Calendar'!$C$8:$C$907,MAX(K805+1,L805))</x:f>
        <x:v>46877</x:v>
      </x:c>
      <x:c r="R805" s="15" t="n">
        <x:v>24012</x:v>
      </x:c>
      <x:c r="S805" s="15"/>
      <x:c r="T805" s="15" t="n">
        <x:f>R805/J805</x:f>
        <x:v>4002</x:v>
      </x:c>
    </x:row>
    <x:row r="806" ht="23" customHeight="1">
      <x:c r="A806" s="6" t="str">
        <x:v>T6-L11-A</x:v>
      </x:c>
      <x:c r="B806" s="6" t="str">
        <x:v>T6</x:v>
      </x:c>
      <x:c r="C806" s="6" t="str">
        <x:v>L11</x:v>
      </x:c>
      <x:c r="D806" s="6" t="str">
        <x:v>Paint and final decorations</x:v>
      </x:c>
      <x:c r="E806" s="6" t="str">
        <x:v>Finishes</x:v>
      </x:c>
      <x:c r="F806" s="14" t="n">
        <x:v>1205.3600000000004</x:v>
      </x:c>
      <x:c r="G806" s="6" t="str">
        <x:v>m2</x:v>
      </x:c>
      <x:c r="H806" s="16" t="n">
        <x:v>270</x:v>
      </x:c>
      <x:c r="I806" s="16" t="n">
        <x:v>8</x:v>
      </x:c>
      <x:c r="J806" s="16" t="n">
        <x:f>ROUNDUP(F806/H806,0)</x:f>
        <x:v>5</x:v>
      </x:c>
      <x:c r="K806" s="6" t="n">
        <x:f>MAX(L805+2)</x:f>
        <x:v>474</x:v>
      </x:c>
      <x:c r="L806" s="6" t="n">
        <x:f>K806+J806</x:f>
        <x:v>479</x:v>
      </x:c>
      <x:c r="M806" s="6" t="n">
        <x:f>N806-J806</x:f>
        <x:v>474</x:v>
      </x:c>
      <x:c r="N806" s="6" t="n">
        <x:f>MIN(M807-0)</x:f>
        <x:v>479</x:v>
      </x:c>
      <x:c r="O806" s="6" t="n">
        <x:f>M806-K806</x:f>
        <x:v>0</x:v>
      </x:c>
      <x:c r="P806" s="18" t="n">
        <x:f>INDEX('Calendar'!$C$8:$C$907,K806+1)</x:f>
        <x:v>46881</x:v>
      </x:c>
      <x:c r="Q806" s="18" t="n">
        <x:f>INDEX('Calendar'!$C$8:$C$907,MAX(K806+1,L806))</x:f>
        <x:v>46885</x:v>
      </x:c>
      <x:c r="R806" s="14" t="n">
        <x:v>10245.560000000003</x:v>
      </x:c>
      <x:c r="S806" s="14"/>
      <x:c r="T806" s="14" t="n">
        <x:f>R806/J806</x:f>
        <x:v>2049.1120000000005</x:v>
      </x:c>
    </x:row>
    <x:row r="807" ht="23" customHeight="1">
      <x:c r="A807" s="1" t="str">
        <x:v>T6-L11-D</x:v>
      </x:c>
      <x:c r="B807" s="1" t="str">
        <x:v>T6</x:v>
      </x:c>
      <x:c r="C807" s="1" t="str">
        <x:v>L11</x:v>
      </x:c>
      <x:c r="D807" s="1" t="str">
        <x:v>Door sets and ironmongery</x:v>
      </x:c>
      <x:c r="E807" s="1" t="str">
        <x:v>Finishes</x:v>
      </x:c>
      <x:c r="F807" s="15" t="n">
        <x:v>28</x:v>
      </x:c>
      <x:c r="G807" s="1" t="str">
        <x:v>nr</x:v>
      </x:c>
      <x:c r="H807" s="17" t="n">
        <x:v>10</x:v>
      </x:c>
      <x:c r="I807" s="17" t="n">
        <x:v>4</x:v>
      </x:c>
      <x:c r="J807" s="17" t="n">
        <x:f>ROUNDUP(F807/H807,0)</x:f>
        <x:v>3</x:v>
      </x:c>
      <x:c r="K807" s="1" t="n">
        <x:f>MAX(L806+0)</x:f>
        <x:v>479</x:v>
      </x:c>
      <x:c r="L807" s="1" t="n">
        <x:f>K807+J807</x:f>
        <x:v>482</x:v>
      </x:c>
      <x:c r="M807" s="1" t="n">
        <x:f>N807-J807</x:f>
        <x:v>479</x:v>
      </x:c>
      <x:c r="N807" s="1" t="n">
        <x:f>MIN(M816-0)</x:f>
        <x:v>482</x:v>
      </x:c>
      <x:c r="O807" s="1" t="n">
        <x:f>M807-K807</x:f>
        <x:v>0</x:v>
      </x:c>
      <x:c r="P807" s="19" t="n">
        <x:f>INDEX('Calendar'!$C$8:$C$907,K807+1)</x:f>
        <x:v>46886</x:v>
      </x:c>
      <x:c r="Q807" s="19" t="n">
        <x:f>INDEX('Calendar'!$C$8:$C$907,MAX(K807+1,L807))</x:f>
        <x:v>46889</x:v>
      </x:c>
      <x:c r="R807" s="15" t="n">
        <x:v>5796</x:v>
      </x:c>
      <x:c r="S807" s="15"/>
      <x:c r="T807" s="15" t="n">
        <x:f>R807/J807</x:f>
        <x:v>1932</x:v>
      </x:c>
    </x:row>
    <x:row r="808" ht="23" customHeight="1">
      <x:c r="A808" s="6" t="str">
        <x:v>T6-L12-M</x:v>
      </x:c>
      <x:c r="B808" s="6" t="str">
        <x:v>T6</x:v>
      </x:c>
      <x:c r="C808" s="6" t="str">
        <x:v>L12</x:v>
      </x:c>
      <x:c r="D808" s="6" t="str">
        <x:v>Partition masonry</x:v>
      </x:c>
      <x:c r="E808" s="6" t="str">
        <x:v>Masonry</x:v>
      </x:c>
      <x:c r="F808" s="14" t="n">
        <x:v>90.40200000000002</x:v>
      </x:c>
      <x:c r="G808" s="6" t="str">
        <x:v>m3</x:v>
      </x:c>
      <x:c r="H808" s="16" t="n">
        <x:v>22</x:v>
      </x:c>
      <x:c r="I808" s="16" t="n">
        <x:v>10</x:v>
      </x:c>
      <x:c r="J808" s="16" t="n">
        <x:f>ROUNDUP(F808/H808,0)</x:f>
        <x:v>5</x:v>
      </x:c>
      <x:c r="K808" s="6" t="n">
        <x:f>MAX(L732+5)</x:f>
        <x:v>433</x:v>
      </x:c>
      <x:c r="L808" s="6" t="n">
        <x:f>K808+J808</x:f>
        <x:v>438</x:v>
      </x:c>
      <x:c r="M808" s="6" t="n">
        <x:f>N808-J808</x:f>
        <x:v>433</x:v>
      </x:c>
      <x:c r="N808" s="6" t="n">
        <x:f>MIN(M809-3)</x:f>
        <x:v>438</x:v>
      </x:c>
      <x:c r="O808" s="6" t="n">
        <x:f>M808-K808</x:f>
        <x:v>0</x:v>
      </x:c>
      <x:c r="P808" s="18" t="n">
        <x:f>INDEX('Calendar'!$C$8:$C$907,K808+1)</x:f>
        <x:v>46833</x:v>
      </x:c>
      <x:c r="Q808" s="18" t="n">
        <x:f>INDEX('Calendar'!$C$8:$C$907,MAX(K808+1,L808))</x:f>
        <x:v>46837</x:v>
      </x:c>
      <x:c r="R808" s="14" t="n">
        <x:v>12204.27</x:v>
      </x:c>
      <x:c r="S808" s="14"/>
      <x:c r="T808" s="14" t="n">
        <x:f>R808/J808</x:f>
        <x:v>2440.8540000000003</x:v>
      </x:c>
    </x:row>
    <x:row r="809" ht="23" customHeight="1">
      <x:c r="A809" s="1" t="str">
        <x:v>T6-L12-P</x:v>
      </x:c>
      <x:c r="B809" s="1" t="str">
        <x:v>T6</x:v>
      </x:c>
      <x:c r="C809" s="1" t="str">
        <x:v>L12</x:v>
      </x:c>
      <x:c r="D809" s="1" t="str">
        <x:v>Internal plaster</x:v>
      </x:c>
      <x:c r="E809" s="1" t="str">
        <x:v>Finishes</x:v>
      </x:c>
      <x:c r="F809" s="15" t="n">
        <x:v>1205.3600000000006</x:v>
      </x:c>
      <x:c r="G809" s="1" t="str">
        <x:v>m2</x:v>
      </x:c>
      <x:c r="H809" s="17" t="n">
        <x:v>220</x:v>
      </x:c>
      <x:c r="I809" s="17" t="n">
        <x:v>10</x:v>
      </x:c>
      <x:c r="J809" s="17" t="n">
        <x:f>ROUNDUP(F809/H809,0)</x:f>
        <x:v>6</x:v>
      </x:c>
      <x:c r="K809" s="1" t="n">
        <x:f>MAX(L808+3)</x:f>
        <x:v>441</x:v>
      </x:c>
      <x:c r="L809" s="1" t="n">
        <x:f>K809+J809</x:f>
        <x:v>447</x:v>
      </x:c>
      <x:c r="M809" s="1" t="n">
        <x:f>N809-J809</x:f>
        <x:v>441</x:v>
      </x:c>
      <x:c r="N809" s="1" t="n">
        <x:f>MIN(M810-2)</x:f>
        <x:v>447</x:v>
      </x:c>
      <x:c r="O809" s="1" t="n">
        <x:f>M809-K809</x:f>
        <x:v>0</x:v>
      </x:c>
      <x:c r="P809" s="19" t="n">
        <x:f>INDEX('Calendar'!$C$8:$C$907,K809+1)</x:f>
        <x:v>46842</x:v>
      </x:c>
      <x:c r="Q809" s="19" t="n">
        <x:f>INDEX('Calendar'!$C$8:$C$907,MAX(K809+1,L809))</x:f>
        <x:v>46848</x:v>
      </x:c>
      <x:c r="R809" s="15" t="n">
        <x:v>15067.000000000005</x:v>
      </x:c>
      <x:c r="S809" s="15"/>
      <x:c r="T809" s="15" t="n">
        <x:f>R809/J809</x:f>
        <x:v>2511.1666666666674</x:v>
      </x:c>
    </x:row>
    <x:row r="810" ht="23" customHeight="1">
      <x:c r="A810" s="6" t="str">
        <x:v>T6-L12-S</x:v>
      </x:c>
      <x:c r="B810" s="6" t="str">
        <x:v>T6</x:v>
      </x:c>
      <x:c r="C810" s="6" t="str">
        <x:v>L12</x:v>
      </x:c>
      <x:c r="D810" s="6" t="str">
        <x:v>Screed and substrate preparation</x:v>
      </x:c>
      <x:c r="E810" s="6" t="str">
        <x:v>Finishes</x:v>
      </x:c>
      <x:c r="F810" s="14" t="n">
        <x:v>696</x:v>
      </x:c>
      <x:c r="G810" s="6" t="str">
        <x:v>m2</x:v>
      </x:c>
      <x:c r="H810" s="16" t="n">
        <x:v>240</x:v>
      </x:c>
      <x:c r="I810" s="16" t="n">
        <x:v>8</x:v>
      </x:c>
      <x:c r="J810" s="16" t="n">
        <x:f>ROUNDUP(F810/H810,0)</x:f>
        <x:v>3</x:v>
      </x:c>
      <x:c r="K810" s="6" t="n">
        <x:f>MAX(L809+2)</x:f>
        <x:v>449</x:v>
      </x:c>
      <x:c r="L810" s="6" t="n">
        <x:f>K810+J810</x:f>
        <x:v>452</x:v>
      </x:c>
      <x:c r="M810" s="6" t="n">
        <x:f>N810-J810</x:f>
        <x:v>449</x:v>
      </x:c>
      <x:c r="N810" s="6" t="n">
        <x:f>MIN(M811-14)</x:f>
        <x:v>452</x:v>
      </x:c>
      <x:c r="O810" s="6" t="n">
        <x:f>M810-K810</x:f>
        <x:v>0</x:v>
      </x:c>
      <x:c r="P810" s="18" t="n">
        <x:f>INDEX('Calendar'!$C$8:$C$907,K810+1)</x:f>
        <x:v>46851</x:v>
      </x:c>
      <x:c r="Q810" s="18" t="n">
        <x:f>INDEX('Calendar'!$C$8:$C$907,MAX(K810+1,L810))</x:f>
        <x:v>46854</x:v>
      </x:c>
      <x:c r="R810" s="14" t="n">
        <x:v>9048</x:v>
      </x:c>
      <x:c r="S810" s="14"/>
      <x:c r="T810" s="14" t="n">
        <x:f>R810/J810</x:f>
        <x:v>3016</x:v>
      </x:c>
    </x:row>
    <x:row r="811" ht="23" customHeight="1">
      <x:c r="A811" s="1" t="str">
        <x:v>T6-L12-T</x:v>
      </x:c>
      <x:c r="B811" s="1" t="str">
        <x:v>T6</x:v>
      </x:c>
      <x:c r="C811" s="1" t="str">
        <x:v>L12</x:v>
      </x:c>
      <x:c r="D811" s="1" t="str">
        <x:v>Floor finishes and skirtings</x:v>
      </x:c>
      <x:c r="E811" s="1" t="str">
        <x:v>Finishes</x:v>
      </x:c>
      <x:c r="F811" s="15" t="n">
        <x:v>696</x:v>
      </x:c>
      <x:c r="G811" s="1" t="str">
        <x:v>m2</x:v>
      </x:c>
      <x:c r="H811" s="17" t="n">
        <x:v>130</x:v>
      </x:c>
      <x:c r="I811" s="17" t="n">
        <x:v>8</x:v>
      </x:c>
      <x:c r="J811" s="17" t="n">
        <x:f>ROUNDUP(F811/H811,0)</x:f>
        <x:v>6</x:v>
      </x:c>
      <x:c r="K811" s="1" t="n">
        <x:f>MAX(L810+14,L735+0)</x:f>
        <x:v>466</x:v>
      </x:c>
      <x:c r="L811" s="1" t="n">
        <x:f>K811+J811</x:f>
        <x:v>472</x:v>
      </x:c>
      <x:c r="M811" s="1" t="n">
        <x:f>N811-J811</x:f>
        <x:v>466</x:v>
      </x:c>
      <x:c r="N811" s="1" t="n">
        <x:f>MIN(M812-2)</x:f>
        <x:v>472</x:v>
      </x:c>
      <x:c r="O811" s="1" t="n">
        <x:f>M811-K811</x:f>
        <x:v>0</x:v>
      </x:c>
      <x:c r="P811" s="19" t="n">
        <x:f>INDEX('Calendar'!$C$8:$C$907,K811+1)</x:f>
        <x:v>46871</x:v>
      </x:c>
      <x:c r="Q811" s="19" t="n">
        <x:f>INDEX('Calendar'!$C$8:$C$907,MAX(K811+1,L811))</x:f>
        <x:v>46877</x:v>
      </x:c>
      <x:c r="R811" s="15" t="n">
        <x:v>24012</x:v>
      </x:c>
      <x:c r="S811" s="15"/>
      <x:c r="T811" s="15" t="n">
        <x:f>R811/J811</x:f>
        <x:v>4002</x:v>
      </x:c>
    </x:row>
    <x:row r="812" ht="23" customHeight="1">
      <x:c r="A812" s="6" t="str">
        <x:v>T6-L12-A</x:v>
      </x:c>
      <x:c r="B812" s="6" t="str">
        <x:v>T6</x:v>
      </x:c>
      <x:c r="C812" s="6" t="str">
        <x:v>L12</x:v>
      </x:c>
      <x:c r="D812" s="6" t="str">
        <x:v>Paint and final decorations</x:v>
      </x:c>
      <x:c r="E812" s="6" t="str">
        <x:v>Finishes</x:v>
      </x:c>
      <x:c r="F812" s="14" t="n">
        <x:v>1205.3600000000004</x:v>
      </x:c>
      <x:c r="G812" s="6" t="str">
        <x:v>m2</x:v>
      </x:c>
      <x:c r="H812" s="16" t="n">
        <x:v>270</x:v>
      </x:c>
      <x:c r="I812" s="16" t="n">
        <x:v>8</x:v>
      </x:c>
      <x:c r="J812" s="16" t="n">
        <x:f>ROUNDUP(F812/H812,0)</x:f>
        <x:v>5</x:v>
      </x:c>
      <x:c r="K812" s="6" t="n">
        <x:f>MAX(L811+2)</x:f>
        <x:v>474</x:v>
      </x:c>
      <x:c r="L812" s="6" t="n">
        <x:f>K812+J812</x:f>
        <x:v>479</x:v>
      </x:c>
      <x:c r="M812" s="6" t="n">
        <x:f>N812-J812</x:f>
        <x:v>474</x:v>
      </x:c>
      <x:c r="N812" s="6" t="n">
        <x:f>MIN(M813-0)</x:f>
        <x:v>479</x:v>
      </x:c>
      <x:c r="O812" s="6" t="n">
        <x:f>M812-K812</x:f>
        <x:v>0</x:v>
      </x:c>
      <x:c r="P812" s="18" t="n">
        <x:f>INDEX('Calendar'!$C$8:$C$907,K812+1)</x:f>
        <x:v>46881</x:v>
      </x:c>
      <x:c r="Q812" s="18" t="n">
        <x:f>INDEX('Calendar'!$C$8:$C$907,MAX(K812+1,L812))</x:f>
        <x:v>46885</x:v>
      </x:c>
      <x:c r="R812" s="14" t="n">
        <x:v>10245.560000000003</x:v>
      </x:c>
      <x:c r="S812" s="14"/>
      <x:c r="T812" s="14" t="n">
        <x:f>R812/J812</x:f>
        <x:v>2049.1120000000005</x:v>
      </x:c>
    </x:row>
    <x:row r="813" ht="23" customHeight="1">
      <x:c r="A813" s="1" t="str">
        <x:v>T6-L12-D</x:v>
      </x:c>
      <x:c r="B813" s="1" t="str">
        <x:v>T6</x:v>
      </x:c>
      <x:c r="C813" s="1" t="str">
        <x:v>L12</x:v>
      </x:c>
      <x:c r="D813" s="1" t="str">
        <x:v>Door sets and ironmongery</x:v>
      </x:c>
      <x:c r="E813" s="1" t="str">
        <x:v>Finishes</x:v>
      </x:c>
      <x:c r="F813" s="15" t="n">
        <x:v>28</x:v>
      </x:c>
      <x:c r="G813" s="1" t="str">
        <x:v>nr</x:v>
      </x:c>
      <x:c r="H813" s="17" t="n">
        <x:v>10</x:v>
      </x:c>
      <x:c r="I813" s="17" t="n">
        <x:v>4</x:v>
      </x:c>
      <x:c r="J813" s="17" t="n">
        <x:f>ROUNDUP(F813/H813,0)</x:f>
        <x:v>3</x:v>
      </x:c>
      <x:c r="K813" s="1" t="n">
        <x:f>MAX(L812+0)</x:f>
        <x:v>479</x:v>
      </x:c>
      <x:c r="L813" s="1" t="n">
        <x:f>K813+J813</x:f>
        <x:v>482</x:v>
      </x:c>
      <x:c r="M813" s="1" t="n">
        <x:f>N813-J813</x:f>
        <x:v>479</x:v>
      </x:c>
      <x:c r="N813" s="1" t="n">
        <x:f>MIN(M816-0)</x:f>
        <x:v>482</x:v>
      </x:c>
      <x:c r="O813" s="1" t="n">
        <x:f>M813-K813</x:f>
        <x:v>0</x:v>
      </x:c>
      <x:c r="P813" s="19" t="n">
        <x:f>INDEX('Calendar'!$C$8:$C$907,K813+1)</x:f>
        <x:v>46886</x:v>
      </x:c>
      <x:c r="Q813" s="19" t="n">
        <x:f>INDEX('Calendar'!$C$8:$C$907,MAX(K813+1,L813))</x:f>
        <x:v>46889</x:v>
      </x:c>
      <x:c r="R813" s="15" t="n">
        <x:v>5796</x:v>
      </x:c>
      <x:c r="S813" s="15"/>
      <x:c r="T813" s="15" t="n">
        <x:f>R813/J813</x:f>
        <x:v>1932</x:v>
      </x:c>
    </x:row>
    <x:row r="814" ht="23" customHeight="1">
      <x:c r="A814" s="6" t="str">
        <x:v>X-010</x:v>
      </x:c>
      <x:c r="B814" s="6" t="str">
        <x:v>SITE</x:v>
      </x:c>
      <x:c r="C814" s="6" t="str">
        <x:v>EXT</x:v>
      </x:c>
      <x:c r="D814" s="6" t="str">
        <x:v>Stormwater pipes and chambers</x:v>
      </x:c>
      <x:c r="E814" s="6" t="str">
        <x:v>External</x:v>
      </x:c>
      <x:c r="F814" s="14" t="n">
        <x:v>960</x:v>
      </x:c>
      <x:c r="G814" s="6" t="str">
        <x:v>m</x:v>
      </x:c>
      <x:c r="H814" s="16" t="n">
        <x:v>55</x:v>
      </x:c>
      <x:c r="I814" s="16" t="n">
        <x:v>12</x:v>
      </x:c>
      <x:c r="J814" s="16" t="n">
        <x:f>ROUNDUP(F814/H814,0)</x:f>
        <x:v>18</x:v>
      </x:c>
      <x:c r="K814" s="6" t="n">
        <x:f>MAX(L15+0)</x:f>
        <x:v>163</x:v>
      </x:c>
      <x:c r="L814" s="6" t="n">
        <x:f>K814+J814</x:f>
        <x:v>181</x:v>
      </x:c>
      <x:c r="M814" s="6" t="n">
        <x:f>N814-J814</x:f>
        <x:v>441</x:v>
      </x:c>
      <x:c r="N814" s="6" t="n">
        <x:f>MIN(M815-0)</x:f>
        <x:v>459</x:v>
      </x:c>
      <x:c r="O814" s="6" t="n">
        <x:f>M814-K814</x:f>
        <x:v>278</x:v>
      </x:c>
      <x:c r="P814" s="18" t="n">
        <x:f>INDEX('Calendar'!$C$8:$C$907,K814+1)</x:f>
        <x:v>46518</x:v>
      </x:c>
      <x:c r="Q814" s="18" t="n">
        <x:f>INDEX('Calendar'!$C$8:$C$907,MAX(K814+1,L814))</x:f>
        <x:v>46538</x:v>
      </x:c>
      <x:c r="R814" s="14" t="n">
        <x:v>76800</x:v>
      </x:c>
      <x:c r="S814" s="14"/>
      <x:c r="T814" s="14" t="n">
        <x:f>R814/J814</x:f>
        <x:v>4266.666666666667</x:v>
      </x:c>
    </x:row>
    <x:row r="815" ht="23" customHeight="1">
      <x:c r="A815" s="1" t="str">
        <x:v>X-020</x:v>
      </x:c>
      <x:c r="B815" s="1" t="str">
        <x:v>SITE</x:v>
      </x:c>
      <x:c r="C815" s="1" t="str">
        <x:v>EXT</x:v>
      </x:c>
      <x:c r="D815" s="1" t="str">
        <x:v>External paving and final levels</x:v>
      </x:c>
      <x:c r="E815" s="1" t="str">
        <x:v>External</x:v>
      </x:c>
      <x:c r="F815" s="15" t="n">
        <x:v>4500</x:v>
      </x:c>
      <x:c r="G815" s="1" t="str">
        <x:v>m2</x:v>
      </x:c>
      <x:c r="H815" s="17" t="n">
        <x:v>200</x:v>
      </x:c>
      <x:c r="I815" s="17" t="n">
        <x:v>16</x:v>
      </x:c>
      <x:c r="J815" s="17" t="n">
        <x:f>ROUNDUP(F815/H815,0)</x:f>
        <x:v>23</x:v>
      </x:c>
      <x:c r="K815" s="1" t="n">
        <x:f>MAX(L814+0,L732+0,L14+0)</x:f>
        <x:v>428</x:v>
      </x:c>
      <x:c r="L815" s="1" t="n">
        <x:f>K815+J815</x:f>
        <x:v>451</x:v>
      </x:c>
      <x:c r="M815" s="1" t="n">
        <x:f>N815-J815</x:f>
        <x:v>459</x:v>
      </x:c>
      <x:c r="N815" s="1" t="n">
        <x:f>MIN(M816-0)</x:f>
        <x:v>482</x:v>
      </x:c>
      <x:c r="O815" s="1" t="n">
        <x:f>M815-K815</x:f>
        <x:v>31</x:v>
      </x:c>
      <x:c r="P815" s="19" t="n">
        <x:f>INDEX('Calendar'!$C$8:$C$907,K815+1)</x:f>
        <x:v>46827</x:v>
      </x:c>
      <x:c r="Q815" s="19" t="n">
        <x:f>INDEX('Calendar'!$C$8:$C$907,MAX(K815+1,L815))</x:f>
        <x:v>46853</x:v>
      </x:c>
      <x:c r="R815" s="15" t="n">
        <x:v>171000</x:v>
      </x:c>
      <x:c r="S815" s="15"/>
      <x:c r="T815" s="15" t="n">
        <x:f>R815/J815</x:f>
        <x:v>7434.782608695652</x:v>
      </x:c>
    </x:row>
    <x:row r="816" ht="23" customHeight="1">
      <x:c r="A816" s="6" t="str">
        <x:v>PC-001</x:v>
      </x:c>
      <x:c r="B816" s="6" t="str">
        <x:v>PROJECT</x:v>
      </x:c>
      <x:c r="C816" s="6" t="str">
        <x:v>ALL</x:v>
      </x:c>
      <x:c r="D816" s="6" t="str">
        <x:v>Inspection, snagging and handover</x:v>
      </x:c>
      <x:c r="E816" s="6" t="str">
        <x:v>Site</x:v>
      </x:c>
      <x:c r="F816" s="14" t="n">
        <x:v>1</x:v>
      </x:c>
      <x:c r="G816" s="6" t="str">
        <x:v>lot</x:v>
      </x:c>
      <x:c r="H816" s="16" t="n">
        <x:v>1</x:v>
      </x:c>
      <x:c r="I816" s="16" t="n">
        <x:v>24</x:v>
      </x:c>
      <x:c r="J816" s="16" t="n">
        <x:f>S816</x:f>
        <x:v>20</x:v>
      </x:c>
      <x:c r="K816" s="6" t="n">
        <x:f>MAX(L815+0,L76+0,L82+0,L88+0,L94+0,L100+0,L106+0,L112+0,L118+0,L124+0,L130+0,L136+0,L142+0,L148+0,L209+0,L215+0,L221+0,L227+0,L233+0,L239+0,L245+0,L251+0,L257+0,L263+0,L269+0,L275+0,L281+0,L342+0,L348+0,L354+0,L360+0,L366+0,L372+0,L378+0,L384+0,L390+0,L396+0,L402+0,L408+0,L414+0,L475+0,L481+0,L487+0,L493+0,L499+0,L505+0,L511+0,L517+0,L523+0,L529+0,L535+0,L541+0,L547+0,L608+0,L614+0,L620+0,L626+0,L632+0,L638+0,L644+0,L650+0,L656+0,L662+0,L668+0,L674+0,L680+0,L741+0,L747+0,L753+0,L759+0,L765+0,L771+0,L777+0,L783+0,L789+0,L795+0,L801+0,L807+0,L813+0)</x:f>
        <x:v>482</x:v>
      </x:c>
      <x:c r="L816" s="6" t="n">
        <x:f>K816+J816</x:f>
        <x:v>502</x:v>
      </x:c>
      <x:c r="M816" s="6" t="n">
        <x:f>N816-J816</x:f>
        <x:v>482</x:v>
      </x:c>
      <x:c r="N816" s="6" t="n">
        <x:f>L816</x:f>
        <x:v>502</x:v>
      </x:c>
      <x:c r="O816" s="6" t="n">
        <x:f>M816-K816</x:f>
        <x:v>0</x:v>
      </x:c>
      <x:c r="P816" s="18" t="n">
        <x:f>INDEX('Calendar'!$C$8:$C$907,K816+1)</x:f>
        <x:v>46890</x:v>
      </x:c>
      <x:c r="Q816" s="18" t="n">
        <x:f>INDEX('Calendar'!$C$8:$C$907,MAX(K816+1,L816))</x:f>
        <x:v>46912</x:v>
      </x:c>
      <x:c r="R816" s="14" t="n">
        <x:v>0</x:v>
      </x:c>
      <x:c r="S816" s="14" t="n">
        <x:v>20</x:v>
      </x:c>
      <x:c r="T816" s="14" t="n">
        <x:f>R816/J816</x:f>
        <x:v>0</x:v>
      </x:c>
    </x:row>
  </x:sheetData>
  <x:conditionalFormatting sqref="O8:O816">
    <x:cfRule type="cellIs" dxfId="0" priority="1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5" hidden="0" customWidth="1"/>
    <x:col min="5" max="5" width="19" hidden="0" customWidth="1"/>
    <x:col min="6" max="6" width="19" hidden="0" customWidth="1"/>
    <x:col min="7" max="7" width="20" hidden="0" customWidth="1"/>
    <x:col min="8" max="8" width="51" hidden="0" customWidth="1"/>
  </x:cols>
  <x:sheetData>
    <x:row r="2">
      <x:c r="A2" s="7" t="str">
        <x:v>Predecessor and successor register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Each link is checked against the recalculated forward pass.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Predecessor</x:v>
      </x:c>
      <x:c r="B7" s="5" t="str">
        <x:v>Successor</x:v>
      </x:c>
      <x:c r="C7" s="5" t="str">
        <x:v>Type</x:v>
      </x:c>
      <x:c r="D7" s="5" t="str">
        <x:v>Lag wd</x:v>
      </x:c>
      <x:c r="E7" s="5" t="str">
        <x:v>Pred finish</x:v>
      </x:c>
      <x:c r="F7" s="5" t="str">
        <x:v>Succ start</x:v>
      </x:c>
      <x:c r="G7" s="5" t="str">
        <x:v>Logic gap wd</x:v>
      </x:c>
      <x:c r="H7" s="5" t="str">
        <x:v>Basis</x:v>
      </x:c>
    </x:row>
    <x:row r="8" ht="23" customHeight="1">
      <x:c r="A8" s="6" t="str">
        <x:v>P-001</x:v>
      </x:c>
      <x:c r="B8" s="6" t="str">
        <x:v>P-010</x:v>
      </x:c>
      <x:c r="C8" s="6" t="str">
        <x:v>FS</x:v>
      </x:c>
      <x:c r="D8" s="6" t="n">
        <x:v>0</x:v>
      </x:c>
      <x:c r="E8" s="6" t="n">
        <x:f>'Activities'!L8</x:f>
        <x:v>18</x:v>
      </x:c>
      <x:c r="F8" s="6" t="n">
        <x:f>'Activities'!K9</x:f>
        <x:v>18</x:v>
      </x:c>
      <x:c r="G8" s="6" t="n">
        <x:f>F8-E8-D8</x:f>
        <x:v>0</x:v>
      </x:c>
      <x:c r="H8" s="6" t="str">
        <x:v>Explicit working-day lag</x:v>
      </x:c>
    </x:row>
    <x:row r="9" ht="23" customHeight="1">
      <x:c r="A9" s="1" t="str">
        <x:v>P-010</x:v>
      </x:c>
      <x:c r="B9" s="1" t="str">
        <x:v>P-020</x:v>
      </x:c>
      <x:c r="C9" s="1" t="str">
        <x:v>FS</x:v>
      </x:c>
      <x:c r="D9" s="1" t="n">
        <x:v>0</x:v>
      </x:c>
      <x:c r="E9" s="1" t="n">
        <x:f>'Activities'!L9</x:f>
        <x:v>57</x:v>
      </x:c>
      <x:c r="F9" s="1" t="n">
        <x:f>'Activities'!K10</x:f>
        <x:v>57</x:v>
      </x:c>
      <x:c r="G9" s="1" t="n">
        <x:f>F9-E9-D9</x:f>
        <x:v>0</x:v>
      </x:c>
      <x:c r="H9" s="1" t="str">
        <x:v>Explicit working-day lag</x:v>
      </x:c>
    </x:row>
    <x:row r="10" ht="23" customHeight="1">
      <x:c r="A10" s="6" t="str">
        <x:v>P-020</x:v>
      </x:c>
      <x:c r="B10" s="6" t="str">
        <x:v>P-030</x:v>
      </x:c>
      <x:c r="C10" s="6" t="str">
        <x:v>FS</x:v>
      </x:c>
      <x:c r="D10" s="6" t="n">
        <x:v>0</x:v>
      </x:c>
      <x:c r="E10" s="6" t="n">
        <x:f>'Activities'!L10</x:f>
        <x:v>66</x:v>
      </x:c>
      <x:c r="F10" s="6" t="n">
        <x:f>'Activities'!K11</x:f>
        <x:v>66</x:v>
      </x:c>
      <x:c r="G10" s="6" t="n">
        <x:f>F10-E10-D10</x:f>
        <x:v>0</x:v>
      </x:c>
      <x:c r="H10" s="6" t="str">
        <x:v>Explicit working-day lag</x:v>
      </x:c>
    </x:row>
    <x:row r="11" ht="23" customHeight="1">
      <x:c r="A11" s="1" t="str">
        <x:v>P-030</x:v>
      </x:c>
      <x:c r="B11" s="1" t="str">
        <x:v>P-040</x:v>
      </x:c>
      <x:c r="C11" s="1" t="str">
        <x:v>FS</x:v>
      </x:c>
      <x:c r="D11" s="1" t="n">
        <x:v>0</x:v>
      </x:c>
      <x:c r="E11" s="1" t="n">
        <x:f>'Activities'!L11</x:f>
        <x:v>109</x:v>
      </x:c>
      <x:c r="F11" s="1" t="n">
        <x:f>'Activities'!K12</x:f>
        <x:v>109</x:v>
      </x:c>
      <x:c r="G11" s="1" t="n">
        <x:f>F11-E11-D11</x:f>
        <x:v>0</x:v>
      </x:c>
      <x:c r="H11" s="1" t="str">
        <x:v>Explicit working-day lag</x:v>
      </x:c>
    </x:row>
    <x:row r="12" ht="23" customHeight="1">
      <x:c r="A12" s="6" t="str">
        <x:v>P-040</x:v>
      </x:c>
      <x:c r="B12" s="6" t="str">
        <x:v>P-050</x:v>
      </x:c>
      <x:c r="C12" s="6" t="str">
        <x:v>FS</x:v>
      </x:c>
      <x:c r="D12" s="6" t="n">
        <x:v>7</x:v>
      </x:c>
      <x:c r="E12" s="6" t="n">
        <x:f>'Activities'!L12</x:f>
        <x:v>127</x:v>
      </x:c>
      <x:c r="F12" s="6" t="n">
        <x:f>'Activities'!K13</x:f>
        <x:v>134</x:v>
      </x:c>
      <x:c r="G12" s="6" t="n">
        <x:f>F12-E12-D12</x:f>
        <x:v>0</x:v>
      </x:c>
      <x:c r="H12" s="6" t="str">
        <x:v>Explicit working-day lag</x:v>
      </x:c>
    </x:row>
    <x:row r="13" ht="23" customHeight="1">
      <x:c r="A13" s="1" t="str">
        <x:v>P-050</x:v>
      </x:c>
      <x:c r="B13" s="1" t="str">
        <x:v>P-060</x:v>
      </x:c>
      <x:c r="C13" s="1" t="str">
        <x:v>FS</x:v>
      </x:c>
      <x:c r="D13" s="1" t="n">
        <x:v>0</x:v>
      </x:c>
      <x:c r="E13" s="1" t="n">
        <x:f>'Activities'!L13</x:f>
        <x:v>147</x:v>
      </x:c>
      <x:c r="F13" s="1" t="n">
        <x:f>'Activities'!K14</x:f>
        <x:v>147</x:v>
      </x:c>
      <x:c r="G13" s="1" t="n">
        <x:f>F13-E13-D13</x:f>
        <x:v>0</x:v>
      </x:c>
      <x:c r="H13" s="1" t="str">
        <x:v>Explicit working-day lag</x:v>
      </x:c>
    </x:row>
    <x:row r="14" ht="23" customHeight="1">
      <x:c r="A14" s="6" t="str">
        <x:v>P-050</x:v>
      </x:c>
      <x:c r="B14" s="6" t="str">
        <x:v>P-070</x:v>
      </x:c>
      <x:c r="C14" s="6" t="str">
        <x:v>FS</x:v>
      </x:c>
      <x:c r="D14" s="6" t="n">
        <x:v>7</x:v>
      </x:c>
      <x:c r="E14" s="6" t="n">
        <x:f>'Activities'!L13</x:f>
        <x:v>147</x:v>
      </x:c>
      <x:c r="F14" s="6" t="n">
        <x:f>'Activities'!K15</x:f>
        <x:v>154</x:v>
      </x:c>
      <x:c r="G14" s="6" t="n">
        <x:f>F14-E14-D14</x:f>
        <x:v>0</x:v>
      </x:c>
      <x:c r="H14" s="6" t="str">
        <x:v>Explicit working-day lag</x:v>
      </x:c>
    </x:row>
    <x:row r="15" ht="23" customHeight="1">
      <x:c r="A15" s="1" t="str">
        <x:v>P-040</x:v>
      </x:c>
      <x:c r="B15" s="1" t="str">
        <x:v>T1-L00-F</x:v>
      </x:c>
      <x:c r="C15" s="1" t="str">
        <x:v>FS</x:v>
      </x:c>
      <x:c r="D15" s="1" t="n">
        <x:f>(7+0*'Controls'!$B$11)</x:f>
        <x:v>7</x:v>
      </x:c>
      <x:c r="E15" s="1" t="n">
        <x:f>'Activities'!L12</x:f>
        <x:v>127</x:v>
      </x:c>
      <x:c r="F15" s="1" t="n">
        <x:f>'Activities'!K16</x:f>
        <x:v>134</x:v>
      </x:c>
      <x:c r="G15" s="1" t="n">
        <x:f>F15-E15-D15</x:f>
        <x:v>0</x:v>
      </x:c>
      <x:c r="H15" s="1" t="str">
        <x:v>Explicit working-day lag</x:v>
      </x:c>
    </x:row>
    <x:row r="16" ht="23" customHeight="1">
      <x:c r="A16" s="6" t="str">
        <x:v>T1-L00-F</x:v>
      </x:c>
      <x:c r="B16" s="6" t="str">
        <x:v>T1-L00-R</x:v>
      </x:c>
      <x:c r="C16" s="6" t="str">
        <x:v>FS</x:v>
      </x:c>
      <x:c r="D16" s="6" t="n">
        <x:v>0</x:v>
      </x:c>
      <x:c r="E16" s="6" t="n">
        <x:f>'Activities'!L16</x:f>
        <x:v>140</x:v>
      </x:c>
      <x:c r="F16" s="6" t="n">
        <x:f>'Activities'!K17</x:f>
        <x:v>140</x:v>
      </x:c>
      <x:c r="G16" s="6" t="n">
        <x:f>F16-E16-D16</x:f>
        <x:v>0</x:v>
      </x:c>
      <x:c r="H16" s="6" t="str">
        <x:v>Explicit working-day lag</x:v>
      </x:c>
    </x:row>
    <x:row r="17" ht="23" customHeight="1">
      <x:c r="A17" s="1" t="str">
        <x:v>T1-L00-R</x:v>
      </x:c>
      <x:c r="B17" s="1" t="str">
        <x:v>T1-L00-C</x:v>
      </x:c>
      <x:c r="C17" s="1" t="str">
        <x:v>FS</x:v>
      </x:c>
      <x:c r="D17" s="1" t="n">
        <x:v>0</x:v>
      </x:c>
      <x:c r="E17" s="1" t="n">
        <x:f>'Activities'!L17</x:f>
        <x:v>145</x:v>
      </x:c>
      <x:c r="F17" s="1" t="n">
        <x:f>'Activities'!K18</x:f>
        <x:v>145</x:v>
      </x:c>
      <x:c r="G17" s="1" t="n">
        <x:f>F17-E17-D17</x:f>
        <x:v>0</x:v>
      </x:c>
      <x:c r="H17" s="1" t="str">
        <x:v>Explicit working-day lag</x:v>
      </x:c>
    </x:row>
    <x:row r="18" ht="23" customHeight="1">
      <x:c r="A18" s="6" t="str">
        <x:v>T1-L00-C</x:v>
      </x:c>
      <x:c r="B18" s="6" t="str">
        <x:v>T1-L00-H</x:v>
      </x:c>
      <x:c r="C18" s="6" t="str">
        <x:v>FS</x:v>
      </x:c>
      <x:c r="D18" s="6" t="n">
        <x:v>0</x:v>
      </x:c>
      <x:c r="E18" s="6" t="n">
        <x:f>'Activities'!L18</x:f>
        <x:v>147</x:v>
      </x:c>
      <x:c r="F18" s="6" t="n">
        <x:f>'Activities'!K19</x:f>
        <x:v>147</x:v>
      </x:c>
      <x:c r="G18" s="6" t="n">
        <x:f>F18-E18-D18</x:f>
        <x:v>0</x:v>
      </x:c>
      <x:c r="H18" s="6" t="str">
        <x:v>Explicit working-day lag</x:v>
      </x:c>
    </x:row>
    <x:row r="19" ht="23" customHeight="1">
      <x:c r="A19" s="1" t="str">
        <x:v>T1-L00-H</x:v>
      </x:c>
      <x:c r="B19" s="1" t="str">
        <x:v>T1-L01-F</x:v>
      </x:c>
      <x:c r="C19" s="1" t="str">
        <x:v>FS</x:v>
      </x:c>
      <x:c r="D19" s="1" t="n">
        <x:v>0</x:v>
      </x:c>
      <x:c r="E19" s="1" t="n">
        <x:f>'Activities'!L19</x:f>
        <x:v>152</x:v>
      </x:c>
      <x:c r="F19" s="1" t="n">
        <x:f>'Activities'!K20</x:f>
        <x:v>152</x:v>
      </x:c>
      <x:c r="G19" s="1" t="n">
        <x:f>F19-E19-D19</x:f>
        <x:v>0</x:v>
      </x:c>
      <x:c r="H19" s="1" t="str">
        <x:v>Explicit working-day lag</x:v>
      </x:c>
    </x:row>
    <x:row r="20" ht="23" customHeight="1">
      <x:c r="A20" s="6" t="str">
        <x:v>T1-L01-F</x:v>
      </x:c>
      <x:c r="B20" s="6" t="str">
        <x:v>T1-L01-R</x:v>
      </x:c>
      <x:c r="C20" s="6" t="str">
        <x:v>FS</x:v>
      </x:c>
      <x:c r="D20" s="6" t="n">
        <x:v>0</x:v>
      </x:c>
      <x:c r="E20" s="6" t="n">
        <x:f>'Activities'!L20</x:f>
        <x:v>158</x:v>
      </x:c>
      <x:c r="F20" s="6" t="n">
        <x:f>'Activities'!K21</x:f>
        <x:v>158</x:v>
      </x:c>
      <x:c r="G20" s="6" t="n">
        <x:f>F20-E20-D20</x:f>
        <x:v>0</x:v>
      </x:c>
      <x:c r="H20" s="6" t="str">
        <x:v>Explicit working-day lag</x:v>
      </x:c>
    </x:row>
    <x:row r="21" ht="23" customHeight="1">
      <x:c r="A21" s="1" t="str">
        <x:v>T1-L01-R</x:v>
      </x:c>
      <x:c r="B21" s="1" t="str">
        <x:v>T1-L01-C</x:v>
      </x:c>
      <x:c r="C21" s="1" t="str">
        <x:v>FS</x:v>
      </x:c>
      <x:c r="D21" s="1" t="n">
        <x:v>0</x:v>
      </x:c>
      <x:c r="E21" s="1" t="n">
        <x:f>'Activities'!L21</x:f>
        <x:v>163</x:v>
      </x:c>
      <x:c r="F21" s="1" t="n">
        <x:f>'Activities'!K22</x:f>
        <x:v>163</x:v>
      </x:c>
      <x:c r="G21" s="1" t="n">
        <x:f>F21-E21-D21</x:f>
        <x:v>0</x:v>
      </x:c>
      <x:c r="H21" s="1" t="str">
        <x:v>Explicit working-day lag</x:v>
      </x:c>
    </x:row>
    <x:row r="22" ht="23" customHeight="1">
      <x:c r="A22" s="6" t="str">
        <x:v>T1-L01-C</x:v>
      </x:c>
      <x:c r="B22" s="6" t="str">
        <x:v>T1-L01-H</x:v>
      </x:c>
      <x:c r="C22" s="6" t="str">
        <x:v>FS</x:v>
      </x:c>
      <x:c r="D22" s="6" t="n">
        <x:v>0</x:v>
      </x:c>
      <x:c r="E22" s="6" t="n">
        <x:f>'Activities'!L22</x:f>
        <x:v>165</x:v>
      </x:c>
      <x:c r="F22" s="6" t="n">
        <x:f>'Activities'!K23</x:f>
        <x:v>165</x:v>
      </x:c>
      <x:c r="G22" s="6" t="n">
        <x:f>F22-E22-D22</x:f>
        <x:v>0</x:v>
      </x:c>
      <x:c r="H22" s="6" t="str">
        <x:v>Explicit working-day lag</x:v>
      </x:c>
    </x:row>
    <x:row r="23" ht="23" customHeight="1">
      <x:c r="A23" s="1" t="str">
        <x:v>T1-L01-H</x:v>
      </x:c>
      <x:c r="B23" s="1" t="str">
        <x:v>T1-L02-F</x:v>
      </x:c>
      <x:c r="C23" s="1" t="str">
        <x:v>FS</x:v>
      </x:c>
      <x:c r="D23" s="1" t="n">
        <x:v>0</x:v>
      </x:c>
      <x:c r="E23" s="1" t="n">
        <x:f>'Activities'!L23</x:f>
        <x:v>170</x:v>
      </x:c>
      <x:c r="F23" s="1" t="n">
        <x:f>'Activities'!K24</x:f>
        <x:v>170</x:v>
      </x:c>
      <x:c r="G23" s="1" t="n">
        <x:f>F23-E23-D23</x:f>
        <x:v>0</x:v>
      </x:c>
      <x:c r="H23" s="1" t="str">
        <x:v>Explicit working-day lag</x:v>
      </x:c>
    </x:row>
    <x:row r="24" ht="23" customHeight="1">
      <x:c r="A24" s="6" t="str">
        <x:v>T1-L02-F</x:v>
      </x:c>
      <x:c r="B24" s="6" t="str">
        <x:v>T1-L02-R</x:v>
      </x:c>
      <x:c r="C24" s="6" t="str">
        <x:v>FS</x:v>
      </x:c>
      <x:c r="D24" s="6" t="n">
        <x:v>0</x:v>
      </x:c>
      <x:c r="E24" s="6" t="n">
        <x:f>'Activities'!L24</x:f>
        <x:v>176</x:v>
      </x:c>
      <x:c r="F24" s="6" t="n">
        <x:f>'Activities'!K25</x:f>
        <x:v>176</x:v>
      </x:c>
      <x:c r="G24" s="6" t="n">
        <x:f>F24-E24-D24</x:f>
        <x:v>0</x:v>
      </x:c>
      <x:c r="H24" s="6" t="str">
        <x:v>Explicit working-day lag</x:v>
      </x:c>
    </x:row>
    <x:row r="25" ht="23" customHeight="1">
      <x:c r="A25" s="1" t="str">
        <x:v>T1-L02-R</x:v>
      </x:c>
      <x:c r="B25" s="1" t="str">
        <x:v>T1-L02-C</x:v>
      </x:c>
      <x:c r="C25" s="1" t="str">
        <x:v>FS</x:v>
      </x:c>
      <x:c r="D25" s="1" t="n">
        <x:v>0</x:v>
      </x:c>
      <x:c r="E25" s="1" t="n">
        <x:f>'Activities'!L25</x:f>
        <x:v>181</x:v>
      </x:c>
      <x:c r="F25" s="1" t="n">
        <x:f>'Activities'!K26</x:f>
        <x:v>181</x:v>
      </x:c>
      <x:c r="G25" s="1" t="n">
        <x:f>F25-E25-D25</x:f>
        <x:v>0</x:v>
      </x:c>
      <x:c r="H25" s="1" t="str">
        <x:v>Explicit working-day lag</x:v>
      </x:c>
    </x:row>
    <x:row r="26" ht="23" customHeight="1">
      <x:c r="A26" s="6" t="str">
        <x:v>T1-L02-C</x:v>
      </x:c>
      <x:c r="B26" s="6" t="str">
        <x:v>T1-L02-H</x:v>
      </x:c>
      <x:c r="C26" s="6" t="str">
        <x:v>FS</x:v>
      </x:c>
      <x:c r="D26" s="6" t="n">
        <x:v>0</x:v>
      </x:c>
      <x:c r="E26" s="6" t="n">
        <x:f>'Activities'!L26</x:f>
        <x:v>183</x:v>
      </x:c>
      <x:c r="F26" s="6" t="n">
        <x:f>'Activities'!K27</x:f>
        <x:v>183</x:v>
      </x:c>
      <x:c r="G26" s="6" t="n">
        <x:f>F26-E26-D26</x:f>
        <x:v>0</x:v>
      </x:c>
      <x:c r="H26" s="6" t="str">
        <x:v>Explicit working-day lag</x:v>
      </x:c>
    </x:row>
    <x:row r="27" ht="23" customHeight="1">
      <x:c r="A27" s="1" t="str">
        <x:v>T1-L02-H</x:v>
      </x:c>
      <x:c r="B27" s="1" t="str">
        <x:v>T1-L03-F</x:v>
      </x:c>
      <x:c r="C27" s="1" t="str">
        <x:v>FS</x:v>
      </x:c>
      <x:c r="D27" s="1" t="n">
        <x:v>0</x:v>
      </x:c>
      <x:c r="E27" s="1" t="n">
        <x:f>'Activities'!L27</x:f>
        <x:v>188</x:v>
      </x:c>
      <x:c r="F27" s="1" t="n">
        <x:f>'Activities'!K28</x:f>
        <x:v>188</x:v>
      </x:c>
      <x:c r="G27" s="1" t="n">
        <x:f>F27-E27-D27</x:f>
        <x:v>0</x:v>
      </x:c>
      <x:c r="H27" s="1" t="str">
        <x:v>Explicit working-day lag</x:v>
      </x:c>
    </x:row>
    <x:row r="28" ht="23" customHeight="1">
      <x:c r="A28" s="6" t="str">
        <x:v>T1-L03-F</x:v>
      </x:c>
      <x:c r="B28" s="6" t="str">
        <x:v>T1-L03-R</x:v>
      </x:c>
      <x:c r="C28" s="6" t="str">
        <x:v>FS</x:v>
      </x:c>
      <x:c r="D28" s="6" t="n">
        <x:v>0</x:v>
      </x:c>
      <x:c r="E28" s="6" t="n">
        <x:f>'Activities'!L28</x:f>
        <x:v>194</x:v>
      </x:c>
      <x:c r="F28" s="6" t="n">
        <x:f>'Activities'!K29</x:f>
        <x:v>194</x:v>
      </x:c>
      <x:c r="G28" s="6" t="n">
        <x:f>F28-E28-D28</x:f>
        <x:v>0</x:v>
      </x:c>
      <x:c r="H28" s="6" t="str">
        <x:v>Explicit working-day lag</x:v>
      </x:c>
    </x:row>
    <x:row r="29" ht="23" customHeight="1">
      <x:c r="A29" s="1" t="str">
        <x:v>T1-L03-R</x:v>
      </x:c>
      <x:c r="B29" s="1" t="str">
        <x:v>T1-L03-C</x:v>
      </x:c>
      <x:c r="C29" s="1" t="str">
        <x:v>FS</x:v>
      </x:c>
      <x:c r="D29" s="1" t="n">
        <x:v>0</x:v>
      </x:c>
      <x:c r="E29" s="1" t="n">
        <x:f>'Activities'!L29</x:f>
        <x:v>199</x:v>
      </x:c>
      <x:c r="F29" s="1" t="n">
        <x:f>'Activities'!K30</x:f>
        <x:v>199</x:v>
      </x:c>
      <x:c r="G29" s="1" t="n">
        <x:f>F29-E29-D29</x:f>
        <x:v>0</x:v>
      </x:c>
      <x:c r="H29" s="1" t="str">
        <x:v>Explicit working-day lag</x:v>
      </x:c>
    </x:row>
    <x:row r="30" ht="23" customHeight="1">
      <x:c r="A30" s="6" t="str">
        <x:v>T1-L03-C</x:v>
      </x:c>
      <x:c r="B30" s="6" t="str">
        <x:v>T1-L03-H</x:v>
      </x:c>
      <x:c r="C30" s="6" t="str">
        <x:v>FS</x:v>
      </x:c>
      <x:c r="D30" s="6" t="n">
        <x:v>0</x:v>
      </x:c>
      <x:c r="E30" s="6" t="n">
        <x:f>'Activities'!L30</x:f>
        <x:v>201</x:v>
      </x:c>
      <x:c r="F30" s="6" t="n">
        <x:f>'Activities'!K31</x:f>
        <x:v>201</x:v>
      </x:c>
      <x:c r="G30" s="6" t="n">
        <x:f>F30-E30-D30</x:f>
        <x:v>0</x:v>
      </x:c>
      <x:c r="H30" s="6" t="str">
        <x:v>Explicit working-day lag</x:v>
      </x:c>
    </x:row>
    <x:row r="31" ht="23" customHeight="1">
      <x:c r="A31" s="1" t="str">
        <x:v>T1-L03-H</x:v>
      </x:c>
      <x:c r="B31" s="1" t="str">
        <x:v>T1-L04-F</x:v>
      </x:c>
      <x:c r="C31" s="1" t="str">
        <x:v>FS</x:v>
      </x:c>
      <x:c r="D31" s="1" t="n">
        <x:v>0</x:v>
      </x:c>
      <x:c r="E31" s="1" t="n">
        <x:f>'Activities'!L31</x:f>
        <x:v>206</x:v>
      </x:c>
      <x:c r="F31" s="1" t="n">
        <x:f>'Activities'!K32</x:f>
        <x:v>206</x:v>
      </x:c>
      <x:c r="G31" s="1" t="n">
        <x:f>F31-E31-D31</x:f>
        <x:v>0</x:v>
      </x:c>
      <x:c r="H31" s="1" t="str">
        <x:v>Explicit working-day lag</x:v>
      </x:c>
    </x:row>
    <x:row r="32" ht="23" customHeight="1">
      <x:c r="A32" s="6" t="str">
        <x:v>T1-L04-F</x:v>
      </x:c>
      <x:c r="B32" s="6" t="str">
        <x:v>T1-L04-R</x:v>
      </x:c>
      <x:c r="C32" s="6" t="str">
        <x:v>FS</x:v>
      </x:c>
      <x:c r="D32" s="6" t="n">
        <x:v>0</x:v>
      </x:c>
      <x:c r="E32" s="6" t="n">
        <x:f>'Activities'!L32</x:f>
        <x:v>212</x:v>
      </x:c>
      <x:c r="F32" s="6" t="n">
        <x:f>'Activities'!K33</x:f>
        <x:v>212</x:v>
      </x:c>
      <x:c r="G32" s="6" t="n">
        <x:f>F32-E32-D32</x:f>
        <x:v>0</x:v>
      </x:c>
      <x:c r="H32" s="6" t="str">
        <x:v>Explicit working-day lag</x:v>
      </x:c>
    </x:row>
    <x:row r="33" ht="23" customHeight="1">
      <x:c r="A33" s="1" t="str">
        <x:v>T1-L04-R</x:v>
      </x:c>
      <x:c r="B33" s="1" t="str">
        <x:v>T1-L04-C</x:v>
      </x:c>
      <x:c r="C33" s="1" t="str">
        <x:v>FS</x:v>
      </x:c>
      <x:c r="D33" s="1" t="n">
        <x:v>0</x:v>
      </x:c>
      <x:c r="E33" s="1" t="n">
        <x:f>'Activities'!L33</x:f>
        <x:v>217</x:v>
      </x:c>
      <x:c r="F33" s="1" t="n">
        <x:f>'Activities'!K34</x:f>
        <x:v>217</x:v>
      </x:c>
      <x:c r="G33" s="1" t="n">
        <x:f>F33-E33-D33</x:f>
        <x:v>0</x:v>
      </x:c>
      <x:c r="H33" s="1" t="str">
        <x:v>Explicit working-day lag</x:v>
      </x:c>
    </x:row>
    <x:row r="34" ht="23" customHeight="1">
      <x:c r="A34" s="6" t="str">
        <x:v>T1-L04-C</x:v>
      </x:c>
      <x:c r="B34" s="6" t="str">
        <x:v>T1-L04-H</x:v>
      </x:c>
      <x:c r="C34" s="6" t="str">
        <x:v>FS</x:v>
      </x:c>
      <x:c r="D34" s="6" t="n">
        <x:v>0</x:v>
      </x:c>
      <x:c r="E34" s="6" t="n">
        <x:f>'Activities'!L34</x:f>
        <x:v>219</x:v>
      </x:c>
      <x:c r="F34" s="6" t="n">
        <x:f>'Activities'!K35</x:f>
        <x:v>219</x:v>
      </x:c>
      <x:c r="G34" s="6" t="n">
        <x:f>F34-E34-D34</x:f>
        <x:v>0</x:v>
      </x:c>
      <x:c r="H34" s="6" t="str">
        <x:v>Explicit working-day lag</x:v>
      </x:c>
    </x:row>
    <x:row r="35" ht="23" customHeight="1">
      <x:c r="A35" s="1" t="str">
        <x:v>T1-L04-H</x:v>
      </x:c>
      <x:c r="B35" s="1" t="str">
        <x:v>T1-L05-F</x:v>
      </x:c>
      <x:c r="C35" s="1" t="str">
        <x:v>FS</x:v>
      </x:c>
      <x:c r="D35" s="1" t="n">
        <x:v>0</x:v>
      </x:c>
      <x:c r="E35" s="1" t="n">
        <x:f>'Activities'!L35</x:f>
        <x:v>224</x:v>
      </x:c>
      <x:c r="F35" s="1" t="n">
        <x:f>'Activities'!K36</x:f>
        <x:v>224</x:v>
      </x:c>
      <x:c r="G35" s="1" t="n">
        <x:f>F35-E35-D35</x:f>
        <x:v>0</x:v>
      </x:c>
      <x:c r="H35" s="1" t="str">
        <x:v>Explicit working-day lag</x:v>
      </x:c>
    </x:row>
    <x:row r="36" ht="23" customHeight="1">
      <x:c r="A36" s="6" t="str">
        <x:v>T1-L05-F</x:v>
      </x:c>
      <x:c r="B36" s="6" t="str">
        <x:v>T1-L05-R</x:v>
      </x:c>
      <x:c r="C36" s="6" t="str">
        <x:v>FS</x:v>
      </x:c>
      <x:c r="D36" s="6" t="n">
        <x:v>0</x:v>
      </x:c>
      <x:c r="E36" s="6" t="n">
        <x:f>'Activities'!L36</x:f>
        <x:v>230</x:v>
      </x:c>
      <x:c r="F36" s="6" t="n">
        <x:f>'Activities'!K37</x:f>
        <x:v>230</x:v>
      </x:c>
      <x:c r="G36" s="6" t="n">
        <x:f>F36-E36-D36</x:f>
        <x:v>0</x:v>
      </x:c>
      <x:c r="H36" s="6" t="str">
        <x:v>Explicit working-day lag</x:v>
      </x:c>
    </x:row>
    <x:row r="37" ht="23" customHeight="1">
      <x:c r="A37" s="1" t="str">
        <x:v>T1-L05-R</x:v>
      </x:c>
      <x:c r="B37" s="1" t="str">
        <x:v>T1-L05-C</x:v>
      </x:c>
      <x:c r="C37" s="1" t="str">
        <x:v>FS</x:v>
      </x:c>
      <x:c r="D37" s="1" t="n">
        <x:v>0</x:v>
      </x:c>
      <x:c r="E37" s="1" t="n">
        <x:f>'Activities'!L37</x:f>
        <x:v>235</x:v>
      </x:c>
      <x:c r="F37" s="1" t="n">
        <x:f>'Activities'!K38</x:f>
        <x:v>235</x:v>
      </x:c>
      <x:c r="G37" s="1" t="n">
        <x:f>F37-E37-D37</x:f>
        <x:v>0</x:v>
      </x:c>
      <x:c r="H37" s="1" t="str">
        <x:v>Explicit working-day lag</x:v>
      </x:c>
    </x:row>
    <x:row r="38" ht="23" customHeight="1">
      <x:c r="A38" s="6" t="str">
        <x:v>T1-L05-C</x:v>
      </x:c>
      <x:c r="B38" s="6" t="str">
        <x:v>T1-L05-H</x:v>
      </x:c>
      <x:c r="C38" s="6" t="str">
        <x:v>FS</x:v>
      </x:c>
      <x:c r="D38" s="6" t="n">
        <x:v>0</x:v>
      </x:c>
      <x:c r="E38" s="6" t="n">
        <x:f>'Activities'!L38</x:f>
        <x:v>237</x:v>
      </x:c>
      <x:c r="F38" s="6" t="n">
        <x:f>'Activities'!K39</x:f>
        <x:v>237</x:v>
      </x:c>
      <x:c r="G38" s="6" t="n">
        <x:f>F38-E38-D38</x:f>
        <x:v>0</x:v>
      </x:c>
      <x:c r="H38" s="6" t="str">
        <x:v>Explicit working-day lag</x:v>
      </x:c>
    </x:row>
    <x:row r="39" ht="23" customHeight="1">
      <x:c r="A39" s="1" t="str">
        <x:v>T1-L05-H</x:v>
      </x:c>
      <x:c r="B39" s="1" t="str">
        <x:v>T1-L06-F</x:v>
      </x:c>
      <x:c r="C39" s="1" t="str">
        <x:v>FS</x:v>
      </x:c>
      <x:c r="D39" s="1" t="n">
        <x:v>0</x:v>
      </x:c>
      <x:c r="E39" s="1" t="n">
        <x:f>'Activities'!L39</x:f>
        <x:v>242</x:v>
      </x:c>
      <x:c r="F39" s="1" t="n">
        <x:f>'Activities'!K40</x:f>
        <x:v>242</x:v>
      </x:c>
      <x:c r="G39" s="1" t="n">
        <x:f>F39-E39-D39</x:f>
        <x:v>0</x:v>
      </x:c>
      <x:c r="H39" s="1" t="str">
        <x:v>Explicit working-day lag</x:v>
      </x:c>
    </x:row>
    <x:row r="40" ht="23" customHeight="1">
      <x:c r="A40" s="6" t="str">
        <x:v>T1-L06-F</x:v>
      </x:c>
      <x:c r="B40" s="6" t="str">
        <x:v>T1-L06-R</x:v>
      </x:c>
      <x:c r="C40" s="6" t="str">
        <x:v>FS</x:v>
      </x:c>
      <x:c r="D40" s="6" t="n">
        <x:v>0</x:v>
      </x:c>
      <x:c r="E40" s="6" t="n">
        <x:f>'Activities'!L40</x:f>
        <x:v>248</x:v>
      </x:c>
      <x:c r="F40" s="6" t="n">
        <x:f>'Activities'!K41</x:f>
        <x:v>248</x:v>
      </x:c>
      <x:c r="G40" s="6" t="n">
        <x:f>F40-E40-D40</x:f>
        <x:v>0</x:v>
      </x:c>
      <x:c r="H40" s="6" t="str">
        <x:v>Explicit working-day lag</x:v>
      </x:c>
    </x:row>
    <x:row r="41" ht="23" customHeight="1">
      <x:c r="A41" s="1" t="str">
        <x:v>T1-L06-R</x:v>
      </x:c>
      <x:c r="B41" s="1" t="str">
        <x:v>T1-L06-C</x:v>
      </x:c>
      <x:c r="C41" s="1" t="str">
        <x:v>FS</x:v>
      </x:c>
      <x:c r="D41" s="1" t="n">
        <x:v>0</x:v>
      </x:c>
      <x:c r="E41" s="1" t="n">
        <x:f>'Activities'!L41</x:f>
        <x:v>253</x:v>
      </x:c>
      <x:c r="F41" s="1" t="n">
        <x:f>'Activities'!K42</x:f>
        <x:v>253</x:v>
      </x:c>
      <x:c r="G41" s="1" t="n">
        <x:f>F41-E41-D41</x:f>
        <x:v>0</x:v>
      </x:c>
      <x:c r="H41" s="1" t="str">
        <x:v>Explicit working-day lag</x:v>
      </x:c>
    </x:row>
    <x:row r="42" ht="23" customHeight="1">
      <x:c r="A42" s="6" t="str">
        <x:v>T1-L06-C</x:v>
      </x:c>
      <x:c r="B42" s="6" t="str">
        <x:v>T1-L06-H</x:v>
      </x:c>
      <x:c r="C42" s="6" t="str">
        <x:v>FS</x:v>
      </x:c>
      <x:c r="D42" s="6" t="n">
        <x:v>0</x:v>
      </x:c>
      <x:c r="E42" s="6" t="n">
        <x:f>'Activities'!L42</x:f>
        <x:v>255</x:v>
      </x:c>
      <x:c r="F42" s="6" t="n">
        <x:f>'Activities'!K43</x:f>
        <x:v>255</x:v>
      </x:c>
      <x:c r="G42" s="6" t="n">
        <x:f>F42-E42-D42</x:f>
        <x:v>0</x:v>
      </x:c>
      <x:c r="H42" s="6" t="str">
        <x:v>Explicit working-day lag</x:v>
      </x:c>
    </x:row>
    <x:row r="43" ht="23" customHeight="1">
      <x:c r="A43" s="1" t="str">
        <x:v>T1-L06-H</x:v>
      </x:c>
      <x:c r="B43" s="1" t="str">
        <x:v>T1-L07-F</x:v>
      </x:c>
      <x:c r="C43" s="1" t="str">
        <x:v>FS</x:v>
      </x:c>
      <x:c r="D43" s="1" t="n">
        <x:v>0</x:v>
      </x:c>
      <x:c r="E43" s="1" t="n">
        <x:f>'Activities'!L43</x:f>
        <x:v>260</x:v>
      </x:c>
      <x:c r="F43" s="1" t="n">
        <x:f>'Activities'!K44</x:f>
        <x:v>260</x:v>
      </x:c>
      <x:c r="G43" s="1" t="n">
        <x:f>F43-E43-D43</x:f>
        <x:v>0</x:v>
      </x:c>
      <x:c r="H43" s="1" t="str">
        <x:v>Explicit working-day lag</x:v>
      </x:c>
    </x:row>
    <x:row r="44" ht="23" customHeight="1">
      <x:c r="A44" s="6" t="str">
        <x:v>T1-L07-F</x:v>
      </x:c>
      <x:c r="B44" s="6" t="str">
        <x:v>T1-L07-R</x:v>
      </x:c>
      <x:c r="C44" s="6" t="str">
        <x:v>FS</x:v>
      </x:c>
      <x:c r="D44" s="6" t="n">
        <x:v>0</x:v>
      </x:c>
      <x:c r="E44" s="6" t="n">
        <x:f>'Activities'!L44</x:f>
        <x:v>266</x:v>
      </x:c>
      <x:c r="F44" s="6" t="n">
        <x:f>'Activities'!K45</x:f>
        <x:v>266</x:v>
      </x:c>
      <x:c r="G44" s="6" t="n">
        <x:f>F44-E44-D44</x:f>
        <x:v>0</x:v>
      </x:c>
      <x:c r="H44" s="6" t="str">
        <x:v>Explicit working-day lag</x:v>
      </x:c>
    </x:row>
    <x:row r="45" ht="23" customHeight="1">
      <x:c r="A45" s="1" t="str">
        <x:v>T1-L07-R</x:v>
      </x:c>
      <x:c r="B45" s="1" t="str">
        <x:v>T1-L07-C</x:v>
      </x:c>
      <x:c r="C45" s="1" t="str">
        <x:v>FS</x:v>
      </x:c>
      <x:c r="D45" s="1" t="n">
        <x:v>0</x:v>
      </x:c>
      <x:c r="E45" s="1" t="n">
        <x:f>'Activities'!L45</x:f>
        <x:v>271</x:v>
      </x:c>
      <x:c r="F45" s="1" t="n">
        <x:f>'Activities'!K46</x:f>
        <x:v>271</x:v>
      </x:c>
      <x:c r="G45" s="1" t="n">
        <x:f>F45-E45-D45</x:f>
        <x:v>0</x:v>
      </x:c>
      <x:c r="H45" s="1" t="str">
        <x:v>Explicit working-day lag</x:v>
      </x:c>
    </x:row>
    <x:row r="46" ht="23" customHeight="1">
      <x:c r="A46" s="6" t="str">
        <x:v>T1-L07-C</x:v>
      </x:c>
      <x:c r="B46" s="6" t="str">
        <x:v>T1-L07-H</x:v>
      </x:c>
      <x:c r="C46" s="6" t="str">
        <x:v>FS</x:v>
      </x:c>
      <x:c r="D46" s="6" t="n">
        <x:v>0</x:v>
      </x:c>
      <x:c r="E46" s="6" t="n">
        <x:f>'Activities'!L46</x:f>
        <x:v>273</x:v>
      </x:c>
      <x:c r="F46" s="6" t="n">
        <x:f>'Activities'!K47</x:f>
        <x:v>273</x:v>
      </x:c>
      <x:c r="G46" s="6" t="n">
        <x:f>F46-E46-D46</x:f>
        <x:v>0</x:v>
      </x:c>
      <x:c r="H46" s="6" t="str">
        <x:v>Explicit working-day lag</x:v>
      </x:c>
    </x:row>
    <x:row r="47" ht="23" customHeight="1">
      <x:c r="A47" s="1" t="str">
        <x:v>T1-L07-H</x:v>
      </x:c>
      <x:c r="B47" s="1" t="str">
        <x:v>T1-L08-F</x:v>
      </x:c>
      <x:c r="C47" s="1" t="str">
        <x:v>FS</x:v>
      </x:c>
      <x:c r="D47" s="1" t="n">
        <x:v>0</x:v>
      </x:c>
      <x:c r="E47" s="1" t="n">
        <x:f>'Activities'!L47</x:f>
        <x:v>278</x:v>
      </x:c>
      <x:c r="F47" s="1" t="n">
        <x:f>'Activities'!K48</x:f>
        <x:v>278</x:v>
      </x:c>
      <x:c r="G47" s="1" t="n">
        <x:f>F47-E47-D47</x:f>
        <x:v>0</x:v>
      </x:c>
      <x:c r="H47" s="1" t="str">
        <x:v>Explicit working-day lag</x:v>
      </x:c>
    </x:row>
    <x:row r="48" ht="23" customHeight="1">
      <x:c r="A48" s="6" t="str">
        <x:v>T1-L08-F</x:v>
      </x:c>
      <x:c r="B48" s="6" t="str">
        <x:v>T1-L08-R</x:v>
      </x:c>
      <x:c r="C48" s="6" t="str">
        <x:v>FS</x:v>
      </x:c>
      <x:c r="D48" s="6" t="n">
        <x:v>0</x:v>
      </x:c>
      <x:c r="E48" s="6" t="n">
        <x:f>'Activities'!L48</x:f>
        <x:v>284</x:v>
      </x:c>
      <x:c r="F48" s="6" t="n">
        <x:f>'Activities'!K49</x:f>
        <x:v>284</x:v>
      </x:c>
      <x:c r="G48" s="6" t="n">
        <x:f>F48-E48-D48</x:f>
        <x:v>0</x:v>
      </x:c>
      <x:c r="H48" s="6" t="str">
        <x:v>Explicit working-day lag</x:v>
      </x:c>
    </x:row>
    <x:row r="49" ht="23" customHeight="1">
      <x:c r="A49" s="1" t="str">
        <x:v>T1-L08-R</x:v>
      </x:c>
      <x:c r="B49" s="1" t="str">
        <x:v>T1-L08-C</x:v>
      </x:c>
      <x:c r="C49" s="1" t="str">
        <x:v>FS</x:v>
      </x:c>
      <x:c r="D49" s="1" t="n">
        <x:v>0</x:v>
      </x:c>
      <x:c r="E49" s="1" t="n">
        <x:f>'Activities'!L49</x:f>
        <x:v>289</x:v>
      </x:c>
      <x:c r="F49" s="1" t="n">
        <x:f>'Activities'!K50</x:f>
        <x:v>289</x:v>
      </x:c>
      <x:c r="G49" s="1" t="n">
        <x:f>F49-E49-D49</x:f>
        <x:v>0</x:v>
      </x:c>
      <x:c r="H49" s="1" t="str">
        <x:v>Explicit working-day lag</x:v>
      </x:c>
    </x:row>
    <x:row r="50" ht="23" customHeight="1">
      <x:c r="A50" s="6" t="str">
        <x:v>T1-L08-C</x:v>
      </x:c>
      <x:c r="B50" s="6" t="str">
        <x:v>T1-L08-H</x:v>
      </x:c>
      <x:c r="C50" s="6" t="str">
        <x:v>FS</x:v>
      </x:c>
      <x:c r="D50" s="6" t="n">
        <x:v>0</x:v>
      </x:c>
      <x:c r="E50" s="6" t="n">
        <x:f>'Activities'!L50</x:f>
        <x:v>291</x:v>
      </x:c>
      <x:c r="F50" s="6" t="n">
        <x:f>'Activities'!K51</x:f>
        <x:v>291</x:v>
      </x:c>
      <x:c r="G50" s="6" t="n">
        <x:f>F50-E50-D50</x:f>
        <x:v>0</x:v>
      </x:c>
      <x:c r="H50" s="6" t="str">
        <x:v>Explicit working-day lag</x:v>
      </x:c>
    </x:row>
    <x:row r="51" ht="23" customHeight="1">
      <x:c r="A51" s="1" t="str">
        <x:v>T1-L08-H</x:v>
      </x:c>
      <x:c r="B51" s="1" t="str">
        <x:v>T1-L09-F</x:v>
      </x:c>
      <x:c r="C51" s="1" t="str">
        <x:v>FS</x:v>
      </x:c>
      <x:c r="D51" s="1" t="n">
        <x:v>0</x:v>
      </x:c>
      <x:c r="E51" s="1" t="n">
        <x:f>'Activities'!L51</x:f>
        <x:v>296</x:v>
      </x:c>
      <x:c r="F51" s="1" t="n">
        <x:f>'Activities'!K52</x:f>
        <x:v>296</x:v>
      </x:c>
      <x:c r="G51" s="1" t="n">
        <x:f>F51-E51-D51</x:f>
        <x:v>0</x:v>
      </x:c>
      <x:c r="H51" s="1" t="str">
        <x:v>Explicit working-day lag</x:v>
      </x:c>
    </x:row>
    <x:row r="52" ht="23" customHeight="1">
      <x:c r="A52" s="6" t="str">
        <x:v>T1-L09-F</x:v>
      </x:c>
      <x:c r="B52" s="6" t="str">
        <x:v>T1-L09-R</x:v>
      </x:c>
      <x:c r="C52" s="6" t="str">
        <x:v>FS</x:v>
      </x:c>
      <x:c r="D52" s="6" t="n">
        <x:v>0</x:v>
      </x:c>
      <x:c r="E52" s="6" t="n">
        <x:f>'Activities'!L52</x:f>
        <x:v>302</x:v>
      </x:c>
      <x:c r="F52" s="6" t="n">
        <x:f>'Activities'!K53</x:f>
        <x:v>302</x:v>
      </x:c>
      <x:c r="G52" s="6" t="n">
        <x:f>F52-E52-D52</x:f>
        <x:v>0</x:v>
      </x:c>
      <x:c r="H52" s="6" t="str">
        <x:v>Explicit working-day lag</x:v>
      </x:c>
    </x:row>
    <x:row r="53" ht="23" customHeight="1">
      <x:c r="A53" s="1" t="str">
        <x:v>T1-L09-R</x:v>
      </x:c>
      <x:c r="B53" s="1" t="str">
        <x:v>T1-L09-C</x:v>
      </x:c>
      <x:c r="C53" s="1" t="str">
        <x:v>FS</x:v>
      </x:c>
      <x:c r="D53" s="1" t="n">
        <x:v>0</x:v>
      </x:c>
      <x:c r="E53" s="1" t="n">
        <x:f>'Activities'!L53</x:f>
        <x:v>307</x:v>
      </x:c>
      <x:c r="F53" s="1" t="n">
        <x:f>'Activities'!K54</x:f>
        <x:v>307</x:v>
      </x:c>
      <x:c r="G53" s="1" t="n">
        <x:f>F53-E53-D53</x:f>
        <x:v>0</x:v>
      </x:c>
      <x:c r="H53" s="1" t="str">
        <x:v>Explicit working-day lag</x:v>
      </x:c>
    </x:row>
    <x:row r="54" ht="23" customHeight="1">
      <x:c r="A54" s="6" t="str">
        <x:v>T1-L09-C</x:v>
      </x:c>
      <x:c r="B54" s="6" t="str">
        <x:v>T1-L09-H</x:v>
      </x:c>
      <x:c r="C54" s="6" t="str">
        <x:v>FS</x:v>
      </x:c>
      <x:c r="D54" s="6" t="n">
        <x:v>0</x:v>
      </x:c>
      <x:c r="E54" s="6" t="n">
        <x:f>'Activities'!L54</x:f>
        <x:v>309</x:v>
      </x:c>
      <x:c r="F54" s="6" t="n">
        <x:f>'Activities'!K55</x:f>
        <x:v>309</x:v>
      </x:c>
      <x:c r="G54" s="6" t="n">
        <x:f>F54-E54-D54</x:f>
        <x:v>0</x:v>
      </x:c>
      <x:c r="H54" s="6" t="str">
        <x:v>Explicit working-day lag</x:v>
      </x:c>
    </x:row>
    <x:row r="55" ht="23" customHeight="1">
      <x:c r="A55" s="1" t="str">
        <x:v>T1-L09-H</x:v>
      </x:c>
      <x:c r="B55" s="1" t="str">
        <x:v>T1-L10-F</x:v>
      </x:c>
      <x:c r="C55" s="1" t="str">
        <x:v>FS</x:v>
      </x:c>
      <x:c r="D55" s="1" t="n">
        <x:v>0</x:v>
      </x:c>
      <x:c r="E55" s="1" t="n">
        <x:f>'Activities'!L55</x:f>
        <x:v>314</x:v>
      </x:c>
      <x:c r="F55" s="1" t="n">
        <x:f>'Activities'!K56</x:f>
        <x:v>314</x:v>
      </x:c>
      <x:c r="G55" s="1" t="n">
        <x:f>F55-E55-D55</x:f>
        <x:v>0</x:v>
      </x:c>
      <x:c r="H55" s="1" t="str">
        <x:v>Explicit working-day lag</x:v>
      </x:c>
    </x:row>
    <x:row r="56" ht="23" customHeight="1">
      <x:c r="A56" s="6" t="str">
        <x:v>T1-L10-F</x:v>
      </x:c>
      <x:c r="B56" s="6" t="str">
        <x:v>T1-L10-R</x:v>
      </x:c>
      <x:c r="C56" s="6" t="str">
        <x:v>FS</x:v>
      </x:c>
      <x:c r="D56" s="6" t="n">
        <x:v>0</x:v>
      </x:c>
      <x:c r="E56" s="6" t="n">
        <x:f>'Activities'!L56</x:f>
        <x:v>320</x:v>
      </x:c>
      <x:c r="F56" s="6" t="n">
        <x:f>'Activities'!K57</x:f>
        <x:v>320</x:v>
      </x:c>
      <x:c r="G56" s="6" t="n">
        <x:f>F56-E56-D56</x:f>
        <x:v>0</x:v>
      </x:c>
      <x:c r="H56" s="6" t="str">
        <x:v>Explicit working-day lag</x:v>
      </x:c>
    </x:row>
    <x:row r="57" ht="23" customHeight="1">
      <x:c r="A57" s="1" t="str">
        <x:v>T1-L10-R</x:v>
      </x:c>
      <x:c r="B57" s="1" t="str">
        <x:v>T1-L10-C</x:v>
      </x:c>
      <x:c r="C57" s="1" t="str">
        <x:v>FS</x:v>
      </x:c>
      <x:c r="D57" s="1" t="n">
        <x:v>0</x:v>
      </x:c>
      <x:c r="E57" s="1" t="n">
        <x:f>'Activities'!L57</x:f>
        <x:v>325</x:v>
      </x:c>
      <x:c r="F57" s="1" t="n">
        <x:f>'Activities'!K58</x:f>
        <x:v>325</x:v>
      </x:c>
      <x:c r="G57" s="1" t="n">
        <x:f>F57-E57-D57</x:f>
        <x:v>0</x:v>
      </x:c>
      <x:c r="H57" s="1" t="str">
        <x:v>Explicit working-day lag</x:v>
      </x:c>
    </x:row>
    <x:row r="58" ht="23" customHeight="1">
      <x:c r="A58" s="6" t="str">
        <x:v>T1-L10-C</x:v>
      </x:c>
      <x:c r="B58" s="6" t="str">
        <x:v>T1-L10-H</x:v>
      </x:c>
      <x:c r="C58" s="6" t="str">
        <x:v>FS</x:v>
      </x:c>
      <x:c r="D58" s="6" t="n">
        <x:v>0</x:v>
      </x:c>
      <x:c r="E58" s="6" t="n">
        <x:f>'Activities'!L58</x:f>
        <x:v>327</x:v>
      </x:c>
      <x:c r="F58" s="6" t="n">
        <x:f>'Activities'!K59</x:f>
        <x:v>327</x:v>
      </x:c>
      <x:c r="G58" s="6" t="n">
        <x:f>F58-E58-D58</x:f>
        <x:v>0</x:v>
      </x:c>
      <x:c r="H58" s="6" t="str">
        <x:v>Explicit working-day lag</x:v>
      </x:c>
    </x:row>
    <x:row r="59" ht="23" customHeight="1">
      <x:c r="A59" s="1" t="str">
        <x:v>T1-L10-H</x:v>
      </x:c>
      <x:c r="B59" s="1" t="str">
        <x:v>T1-L11-F</x:v>
      </x:c>
      <x:c r="C59" s="1" t="str">
        <x:v>FS</x:v>
      </x:c>
      <x:c r="D59" s="1" t="n">
        <x:v>0</x:v>
      </x:c>
      <x:c r="E59" s="1" t="n">
        <x:f>'Activities'!L59</x:f>
        <x:v>332</x:v>
      </x:c>
      <x:c r="F59" s="1" t="n">
        <x:f>'Activities'!K60</x:f>
        <x:v>332</x:v>
      </x:c>
      <x:c r="G59" s="1" t="n">
        <x:f>F59-E59-D59</x:f>
        <x:v>0</x:v>
      </x:c>
      <x:c r="H59" s="1" t="str">
        <x:v>Explicit working-day lag</x:v>
      </x:c>
    </x:row>
    <x:row r="60" ht="23" customHeight="1">
      <x:c r="A60" s="6" t="str">
        <x:v>T1-L11-F</x:v>
      </x:c>
      <x:c r="B60" s="6" t="str">
        <x:v>T1-L11-R</x:v>
      </x:c>
      <x:c r="C60" s="6" t="str">
        <x:v>FS</x:v>
      </x:c>
      <x:c r="D60" s="6" t="n">
        <x:v>0</x:v>
      </x:c>
      <x:c r="E60" s="6" t="n">
        <x:f>'Activities'!L60</x:f>
        <x:v>338</x:v>
      </x:c>
      <x:c r="F60" s="6" t="n">
        <x:f>'Activities'!K61</x:f>
        <x:v>338</x:v>
      </x:c>
      <x:c r="G60" s="6" t="n">
        <x:f>F60-E60-D60</x:f>
        <x:v>0</x:v>
      </x:c>
      <x:c r="H60" s="6" t="str">
        <x:v>Explicit working-day lag</x:v>
      </x:c>
    </x:row>
    <x:row r="61" ht="23" customHeight="1">
      <x:c r="A61" s="1" t="str">
        <x:v>T1-L11-R</x:v>
      </x:c>
      <x:c r="B61" s="1" t="str">
        <x:v>T1-L11-C</x:v>
      </x:c>
      <x:c r="C61" s="1" t="str">
        <x:v>FS</x:v>
      </x:c>
      <x:c r="D61" s="1" t="n">
        <x:v>0</x:v>
      </x:c>
      <x:c r="E61" s="1" t="n">
        <x:f>'Activities'!L61</x:f>
        <x:v>343</x:v>
      </x:c>
      <x:c r="F61" s="1" t="n">
        <x:f>'Activities'!K62</x:f>
        <x:v>343</x:v>
      </x:c>
      <x:c r="G61" s="1" t="n">
        <x:f>F61-E61-D61</x:f>
        <x:v>0</x:v>
      </x:c>
      <x:c r="H61" s="1" t="str">
        <x:v>Explicit working-day lag</x:v>
      </x:c>
    </x:row>
    <x:row r="62" ht="23" customHeight="1">
      <x:c r="A62" s="6" t="str">
        <x:v>T1-L11-C</x:v>
      </x:c>
      <x:c r="B62" s="6" t="str">
        <x:v>T1-L11-H</x:v>
      </x:c>
      <x:c r="C62" s="6" t="str">
        <x:v>FS</x:v>
      </x:c>
      <x:c r="D62" s="6" t="n">
        <x:v>0</x:v>
      </x:c>
      <x:c r="E62" s="6" t="n">
        <x:f>'Activities'!L62</x:f>
        <x:v>345</x:v>
      </x:c>
      <x:c r="F62" s="6" t="n">
        <x:f>'Activities'!K63</x:f>
        <x:v>345</x:v>
      </x:c>
      <x:c r="G62" s="6" t="n">
        <x:f>F62-E62-D62</x:f>
        <x:v>0</x:v>
      </x:c>
      <x:c r="H62" s="6" t="str">
        <x:v>Explicit working-day lag</x:v>
      </x:c>
    </x:row>
    <x:row r="63" ht="23" customHeight="1">
      <x:c r="A63" s="1" t="str">
        <x:v>T1-L11-H</x:v>
      </x:c>
      <x:c r="B63" s="1" t="str">
        <x:v>T1-L12-F</x:v>
      </x:c>
      <x:c r="C63" s="1" t="str">
        <x:v>FS</x:v>
      </x:c>
      <x:c r="D63" s="1" t="n">
        <x:v>0</x:v>
      </x:c>
      <x:c r="E63" s="1" t="n">
        <x:f>'Activities'!L63</x:f>
        <x:v>350</x:v>
      </x:c>
      <x:c r="F63" s="1" t="n">
        <x:f>'Activities'!K64</x:f>
        <x:v>350</x:v>
      </x:c>
      <x:c r="G63" s="1" t="n">
        <x:f>F63-E63-D63</x:f>
        <x:v>0</x:v>
      </x:c>
      <x:c r="H63" s="1" t="str">
        <x:v>Explicit working-day lag</x:v>
      </x:c>
    </x:row>
    <x:row r="64" ht="23" customHeight="1">
      <x:c r="A64" s="6" t="str">
        <x:v>T1-L12-F</x:v>
      </x:c>
      <x:c r="B64" s="6" t="str">
        <x:v>T1-L12-R</x:v>
      </x:c>
      <x:c r="C64" s="6" t="str">
        <x:v>FS</x:v>
      </x:c>
      <x:c r="D64" s="6" t="n">
        <x:v>0</x:v>
      </x:c>
      <x:c r="E64" s="6" t="n">
        <x:f>'Activities'!L64</x:f>
        <x:v>356</x:v>
      </x:c>
      <x:c r="F64" s="6" t="n">
        <x:f>'Activities'!K65</x:f>
        <x:v>356</x:v>
      </x:c>
      <x:c r="G64" s="6" t="n">
        <x:f>F64-E64-D64</x:f>
        <x:v>0</x:v>
      </x:c>
      <x:c r="H64" s="6" t="str">
        <x:v>Explicit working-day lag</x:v>
      </x:c>
    </x:row>
    <x:row r="65" ht="23" customHeight="1">
      <x:c r="A65" s="1" t="str">
        <x:v>T1-L12-R</x:v>
      </x:c>
      <x:c r="B65" s="1" t="str">
        <x:v>T1-L12-C</x:v>
      </x:c>
      <x:c r="C65" s="1" t="str">
        <x:v>FS</x:v>
      </x:c>
      <x:c r="D65" s="1" t="n">
        <x:v>0</x:v>
      </x:c>
      <x:c r="E65" s="1" t="n">
        <x:f>'Activities'!L65</x:f>
        <x:v>361</x:v>
      </x:c>
      <x:c r="F65" s="1" t="n">
        <x:f>'Activities'!K66</x:f>
        <x:v>361</x:v>
      </x:c>
      <x:c r="G65" s="1" t="n">
        <x:f>F65-E65-D65</x:f>
        <x:v>0</x:v>
      </x:c>
      <x:c r="H65" s="1" t="str">
        <x:v>Explicit working-day lag</x:v>
      </x:c>
    </x:row>
    <x:row r="66" ht="23" customHeight="1">
      <x:c r="A66" s="6" t="str">
        <x:v>T1-L12-C</x:v>
      </x:c>
      <x:c r="B66" s="6" t="str">
        <x:v>T1-L12-H</x:v>
      </x:c>
      <x:c r="C66" s="6" t="str">
        <x:v>FS</x:v>
      </x:c>
      <x:c r="D66" s="6" t="n">
        <x:v>0</x:v>
      </x:c>
      <x:c r="E66" s="6" t="n">
        <x:f>'Activities'!L66</x:f>
        <x:v>363</x:v>
      </x:c>
      <x:c r="F66" s="6" t="n">
        <x:f>'Activities'!K67</x:f>
        <x:v>363</x:v>
      </x:c>
      <x:c r="G66" s="6" t="n">
        <x:f>F66-E66-D66</x:f>
        <x:v>0</x:v>
      </x:c>
      <x:c r="H66" s="6" t="str">
        <x:v>Explicit working-day lag</x:v>
      </x:c>
    </x:row>
    <x:row r="67" ht="23" customHeight="1">
      <x:c r="A67" s="1" t="str">
        <x:v>T1-L12-H</x:v>
      </x:c>
      <x:c r="B67" s="1" t="str">
        <x:v>T1-RF</x:v>
      </x:c>
      <x:c r="C67" s="1" t="str">
        <x:v>FS</x:v>
      </x:c>
      <x:c r="D67" s="1" t="n">
        <x:v>5</x:v>
      </x:c>
      <x:c r="E67" s="1" t="n">
        <x:f>'Activities'!L67</x:f>
        <x:v>368</x:v>
      </x:c>
      <x:c r="F67" s="1" t="n">
        <x:f>'Activities'!K68</x:f>
        <x:v>373</x:v>
      </x:c>
      <x:c r="G67" s="1" t="n">
        <x:f>F67-E67-D67</x:f>
        <x:v>0</x:v>
      </x:c>
      <x:c r="H67" s="1" t="str">
        <x:v>Explicit working-day lag</x:v>
      </x:c>
    </x:row>
    <x:row r="68" ht="23" customHeight="1">
      <x:c r="A68" s="6" t="str">
        <x:v>T1-L08-H</x:v>
      </x:c>
      <x:c r="B68" s="6" t="str">
        <x:v>T1-FA</x:v>
      </x:c>
      <x:c r="C68" s="6" t="str">
        <x:v>FS</x:v>
      </x:c>
      <x:c r="D68" s="6" t="n">
        <x:v>10</x:v>
      </x:c>
      <x:c r="E68" s="6" t="n">
        <x:f>'Activities'!L51</x:f>
        <x:v>296</x:v>
      </x:c>
      <x:c r="F68" s="6" t="n">
        <x:f>'Activities'!K69</x:f>
        <x:v>306</x:v>
      </x:c>
      <x:c r="G68" s="6" t="n">
        <x:f>F68-E68-D68</x:f>
        <x:v>0</x:v>
      </x:c>
      <x:c r="H68" s="6" t="str">
        <x:v>Explicit working-day lag</x:v>
      </x:c>
    </x:row>
    <x:row r="69" ht="23" customHeight="1">
      <x:c r="A69" s="1" t="str">
        <x:v>T1-FA</x:v>
      </x:c>
      <x:c r="B69" s="1" t="str">
        <x:v>T1-GL</x:v>
      </x:c>
      <x:c r="C69" s="1" t="str">
        <x:v>FS</x:v>
      </x:c>
      <x:c r="D69" s="1" t="n">
        <x:v>0</x:v>
      </x:c>
      <x:c r="E69" s="1" t="n">
        <x:f>'Activities'!L69</x:f>
        <x:v>328</x:v>
      </x:c>
      <x:c r="F69" s="1" t="n">
        <x:f>'Activities'!K70</x:f>
        <x:v>387</x:v>
      </x:c>
      <x:c r="G69" s="1" t="n">
        <x:f>F69-E69-D69</x:f>
        <x:v>59</x:v>
      </x:c>
      <x:c r="H69" s="1" t="str">
        <x:v>Explicit working-day lag</x:v>
      </x:c>
    </x:row>
    <x:row r="70" ht="23" customHeight="1">
      <x:c r="A70" s="6" t="str">
        <x:v>T1-RF</x:v>
      </x:c>
      <x:c r="B70" s="6" t="str">
        <x:v>T1-GL</x:v>
      </x:c>
      <x:c r="C70" s="6" t="str">
        <x:v>FS</x:v>
      </x:c>
      <x:c r="D70" s="6" t="n">
        <x:v>0</x:v>
      </x:c>
      <x:c r="E70" s="6" t="n">
        <x:f>'Activities'!L68</x:f>
        <x:v>387</x:v>
      </x:c>
      <x:c r="F70" s="6" t="n">
        <x:f>'Activities'!K70</x:f>
        <x:v>387</x:v>
      </x:c>
      <x:c r="G70" s="6" t="n">
        <x:f>F70-E70-D70</x:f>
        <x:v>0</x:v>
      </x:c>
      <x:c r="H70" s="6" t="str">
        <x:v>Explicit working-day lag</x:v>
      </x:c>
    </x:row>
    <x:row r="71" ht="23" customHeight="1">
      <x:c r="A71" s="1" t="str">
        <x:v>T1-L03-H</x:v>
      </x:c>
      <x:c r="B71" s="1" t="str">
        <x:v>T1-L00-M</x:v>
      </x:c>
      <x:c r="C71" s="1" t="str">
        <x:v>FS</x:v>
      </x:c>
      <x:c r="D71" s="1" t="n">
        <x:v>5</x:v>
      </x:c>
      <x:c r="E71" s="1" t="n">
        <x:f>'Activities'!L31</x:f>
        <x:v>206</x:v>
      </x:c>
      <x:c r="F71" s="1" t="n">
        <x:f>'Activities'!K71</x:f>
        <x:v>211</x:v>
      </x:c>
      <x:c r="G71" s="1" t="n">
        <x:f>F71-E71-D71</x:f>
        <x:v>0</x:v>
      </x:c>
      <x:c r="H71" s="1" t="str">
        <x:v>Explicit working-day lag</x:v>
      </x:c>
    </x:row>
    <x:row r="72" ht="23" customHeight="1">
      <x:c r="A72" s="6" t="str">
        <x:v>T1-L00-M</x:v>
      </x:c>
      <x:c r="B72" s="6" t="str">
        <x:v>T1-L00-P</x:v>
      </x:c>
      <x:c r="C72" s="6" t="str">
        <x:v>FS</x:v>
      </x:c>
      <x:c r="D72" s="6" t="n">
        <x:v>3</x:v>
      </x:c>
      <x:c r="E72" s="6" t="n">
        <x:f>'Activities'!L71</x:f>
        <x:v>216</x:v>
      </x:c>
      <x:c r="F72" s="6" t="n">
        <x:f>'Activities'!K72</x:f>
        <x:v>219</x:v>
      </x:c>
      <x:c r="G72" s="6" t="n">
        <x:f>F72-E72-D72</x:f>
        <x:v>0</x:v>
      </x:c>
      <x:c r="H72" s="6" t="str">
        <x:v>Explicit working-day lag</x:v>
      </x:c>
    </x:row>
    <x:row r="73" ht="23" customHeight="1">
      <x:c r="A73" s="1" t="str">
        <x:v>T1-L00-P</x:v>
      </x:c>
      <x:c r="B73" s="1" t="str">
        <x:v>T1-L00-S</x:v>
      </x:c>
      <x:c r="C73" s="1" t="str">
        <x:v>FS</x:v>
      </x:c>
      <x:c r="D73" s="1" t="n">
        <x:v>2</x:v>
      </x:c>
      <x:c r="E73" s="1" t="n">
        <x:f>'Activities'!L72</x:f>
        <x:v>225</x:v>
      </x:c>
      <x:c r="F73" s="1" t="n">
        <x:f>'Activities'!K73</x:f>
        <x:v>227</x:v>
      </x:c>
      <x:c r="G73" s="1" t="n">
        <x:f>F73-E73-D73</x:f>
        <x:v>0</x:v>
      </x:c>
      <x:c r="H73" s="1" t="str">
        <x:v>Explicit working-day lag</x:v>
      </x:c>
    </x:row>
    <x:row r="74" ht="23" customHeight="1">
      <x:c r="A74" s="6" t="str">
        <x:v>T1-L00-S</x:v>
      </x:c>
      <x:c r="B74" s="6" t="str">
        <x:v>T1-L00-T</x:v>
      </x:c>
      <x:c r="C74" s="6" t="str">
        <x:v>FS</x:v>
      </x:c>
      <x:c r="D74" s="6" t="n">
        <x:v>14</x:v>
      </x:c>
      <x:c r="E74" s="6" t="n">
        <x:f>'Activities'!L73</x:f>
        <x:v>230</x:v>
      </x:c>
      <x:c r="F74" s="6" t="n">
        <x:f>'Activities'!K74</x:f>
        <x:v>401</x:v>
      </x:c>
      <x:c r="G74" s="6" t="n">
        <x:f>F74-E74-D74</x:f>
        <x:v>157</x:v>
      </x:c>
      <x:c r="H74" s="6" t="str">
        <x:v>Explicit working-day lag</x:v>
      </x:c>
    </x:row>
    <x:row r="75" ht="23" customHeight="1">
      <x:c r="A75" s="1" t="str">
        <x:v>T1-GL</x:v>
      </x:c>
      <x:c r="B75" s="1" t="str">
        <x:v>T1-L00-T</x:v>
      </x:c>
      <x:c r="C75" s="1" t="str">
        <x:v>FS</x:v>
      </x:c>
      <x:c r="D75" s="1" t="n">
        <x:v>0</x:v>
      </x:c>
      <x:c r="E75" s="1" t="n">
        <x:f>'Activities'!L70</x:f>
        <x:v>401</x:v>
      </x:c>
      <x:c r="F75" s="1" t="n">
        <x:f>'Activities'!K74</x:f>
        <x:v>401</x:v>
      </x:c>
      <x:c r="G75" s="1" t="n">
        <x:f>F75-E75-D75</x:f>
        <x:v>0</x:v>
      </x:c>
      <x:c r="H75" s="1" t="str">
        <x:v>Explicit working-day lag</x:v>
      </x:c>
    </x:row>
    <x:row r="76" ht="23" customHeight="1">
      <x:c r="A76" s="6" t="str">
        <x:v>T1-L00-T</x:v>
      </x:c>
      <x:c r="B76" s="6" t="str">
        <x:v>T1-L00-A</x:v>
      </x:c>
      <x:c r="C76" s="6" t="str">
        <x:v>FS</x:v>
      </x:c>
      <x:c r="D76" s="6" t="n">
        <x:v>2</x:v>
      </x:c>
      <x:c r="E76" s="6" t="n">
        <x:f>'Activities'!L74</x:f>
        <x:v>407</x:v>
      </x:c>
      <x:c r="F76" s="6" t="n">
        <x:f>'Activities'!K75</x:f>
        <x:v>409</x:v>
      </x:c>
      <x:c r="G76" s="6" t="n">
        <x:f>F76-E76-D76</x:f>
        <x:v>0</x:v>
      </x:c>
      <x:c r="H76" s="6" t="str">
        <x:v>Explicit working-day lag</x:v>
      </x:c>
    </x:row>
    <x:row r="77" ht="23" customHeight="1">
      <x:c r="A77" s="1" t="str">
        <x:v>T1-L00-A</x:v>
      </x:c>
      <x:c r="B77" s="1" t="str">
        <x:v>T1-L00-D</x:v>
      </x:c>
      <x:c r="C77" s="1" t="str">
        <x:v>FS</x:v>
      </x:c>
      <x:c r="D77" s="1" t="n">
        <x:v>0</x:v>
      </x:c>
      <x:c r="E77" s="1" t="n">
        <x:f>'Activities'!L75</x:f>
        <x:v>414</x:v>
      </x:c>
      <x:c r="F77" s="1" t="n">
        <x:f>'Activities'!K76</x:f>
        <x:v>414</x:v>
      </x:c>
      <x:c r="G77" s="1" t="n">
        <x:f>F77-E77-D77</x:f>
        <x:v>0</x:v>
      </x:c>
      <x:c r="H77" s="1" t="str">
        <x:v>Explicit working-day lag</x:v>
      </x:c>
    </x:row>
    <x:row r="78" ht="23" customHeight="1">
      <x:c r="A78" s="6" t="str">
        <x:v>T1-L04-H</x:v>
      </x:c>
      <x:c r="B78" s="6" t="str">
        <x:v>T1-L01-M</x:v>
      </x:c>
      <x:c r="C78" s="6" t="str">
        <x:v>FS</x:v>
      </x:c>
      <x:c r="D78" s="6" t="n">
        <x:v>5</x:v>
      </x:c>
      <x:c r="E78" s="6" t="n">
        <x:f>'Activities'!L35</x:f>
        <x:v>224</x:v>
      </x:c>
      <x:c r="F78" s="6" t="n">
        <x:f>'Activities'!K77</x:f>
        <x:v>229</x:v>
      </x:c>
      <x:c r="G78" s="6" t="n">
        <x:f>F78-E78-D78</x:f>
        <x:v>0</x:v>
      </x:c>
      <x:c r="H78" s="6" t="str">
        <x:v>Explicit working-day lag</x:v>
      </x:c>
    </x:row>
    <x:row r="79" ht="23" customHeight="1">
      <x:c r="A79" s="1" t="str">
        <x:v>T1-L01-M</x:v>
      </x:c>
      <x:c r="B79" s="1" t="str">
        <x:v>T1-L01-P</x:v>
      </x:c>
      <x:c r="C79" s="1" t="str">
        <x:v>FS</x:v>
      </x:c>
      <x:c r="D79" s="1" t="n">
        <x:v>3</x:v>
      </x:c>
      <x:c r="E79" s="1" t="n">
        <x:f>'Activities'!L77</x:f>
        <x:v>234</x:v>
      </x:c>
      <x:c r="F79" s="1" t="n">
        <x:f>'Activities'!K78</x:f>
        <x:v>237</x:v>
      </x:c>
      <x:c r="G79" s="1" t="n">
        <x:f>F79-E79-D79</x:f>
        <x:v>0</x:v>
      </x:c>
      <x:c r="H79" s="1" t="str">
        <x:v>Explicit working-day lag</x:v>
      </x:c>
    </x:row>
    <x:row r="80" ht="23" customHeight="1">
      <x:c r="A80" s="6" t="str">
        <x:v>T1-L01-P</x:v>
      </x:c>
      <x:c r="B80" s="6" t="str">
        <x:v>T1-L01-S</x:v>
      </x:c>
      <x:c r="C80" s="6" t="str">
        <x:v>FS</x:v>
      </x:c>
      <x:c r="D80" s="6" t="n">
        <x:v>2</x:v>
      </x:c>
      <x:c r="E80" s="6" t="n">
        <x:f>'Activities'!L78</x:f>
        <x:v>243</x:v>
      </x:c>
      <x:c r="F80" s="6" t="n">
        <x:f>'Activities'!K79</x:f>
        <x:v>245</x:v>
      </x:c>
      <x:c r="G80" s="6" t="n">
        <x:f>F80-E80-D80</x:f>
        <x:v>0</x:v>
      </x:c>
      <x:c r="H80" s="6" t="str">
        <x:v>Explicit working-day lag</x:v>
      </x:c>
    </x:row>
    <x:row r="81" ht="23" customHeight="1">
      <x:c r="A81" s="1" t="str">
        <x:v>T1-L01-S</x:v>
      </x:c>
      <x:c r="B81" s="1" t="str">
        <x:v>T1-L01-T</x:v>
      </x:c>
      <x:c r="C81" s="1" t="str">
        <x:v>FS</x:v>
      </x:c>
      <x:c r="D81" s="1" t="n">
        <x:v>14</x:v>
      </x:c>
      <x:c r="E81" s="1" t="n">
        <x:f>'Activities'!L79</x:f>
        <x:v>248</x:v>
      </x:c>
      <x:c r="F81" s="1" t="n">
        <x:f>'Activities'!K80</x:f>
        <x:v>401</x:v>
      </x:c>
      <x:c r="G81" s="1" t="n">
        <x:f>F81-E81-D81</x:f>
        <x:v>139</x:v>
      </x:c>
      <x:c r="H81" s="1" t="str">
        <x:v>Explicit working-day lag</x:v>
      </x:c>
    </x:row>
    <x:row r="82" ht="23" customHeight="1">
      <x:c r="A82" s="6" t="str">
        <x:v>T1-GL</x:v>
      </x:c>
      <x:c r="B82" s="6" t="str">
        <x:v>T1-L01-T</x:v>
      </x:c>
      <x:c r="C82" s="6" t="str">
        <x:v>FS</x:v>
      </x:c>
      <x:c r="D82" s="6" t="n">
        <x:v>0</x:v>
      </x:c>
      <x:c r="E82" s="6" t="n">
        <x:f>'Activities'!L70</x:f>
        <x:v>401</x:v>
      </x:c>
      <x:c r="F82" s="6" t="n">
        <x:f>'Activities'!K80</x:f>
        <x:v>401</x:v>
      </x:c>
      <x:c r="G82" s="6" t="n">
        <x:f>F82-E82-D82</x:f>
        <x:v>0</x:v>
      </x:c>
      <x:c r="H82" s="6" t="str">
        <x:v>Explicit working-day lag</x:v>
      </x:c>
    </x:row>
    <x:row r="83" ht="23" customHeight="1">
      <x:c r="A83" s="1" t="str">
        <x:v>T1-L01-T</x:v>
      </x:c>
      <x:c r="B83" s="1" t="str">
        <x:v>T1-L01-A</x:v>
      </x:c>
      <x:c r="C83" s="1" t="str">
        <x:v>FS</x:v>
      </x:c>
      <x:c r="D83" s="1" t="n">
        <x:v>2</x:v>
      </x:c>
      <x:c r="E83" s="1" t="n">
        <x:f>'Activities'!L80</x:f>
        <x:v>407</x:v>
      </x:c>
      <x:c r="F83" s="1" t="n">
        <x:f>'Activities'!K81</x:f>
        <x:v>409</x:v>
      </x:c>
      <x:c r="G83" s="1" t="n">
        <x:f>F83-E83-D83</x:f>
        <x:v>0</x:v>
      </x:c>
      <x:c r="H83" s="1" t="str">
        <x:v>Explicit working-day lag</x:v>
      </x:c>
    </x:row>
    <x:row r="84" ht="23" customHeight="1">
      <x:c r="A84" s="6" t="str">
        <x:v>T1-L01-A</x:v>
      </x:c>
      <x:c r="B84" s="6" t="str">
        <x:v>T1-L01-D</x:v>
      </x:c>
      <x:c r="C84" s="6" t="str">
        <x:v>FS</x:v>
      </x:c>
      <x:c r="D84" s="6" t="n">
        <x:v>0</x:v>
      </x:c>
      <x:c r="E84" s="6" t="n">
        <x:f>'Activities'!L81</x:f>
        <x:v>414</x:v>
      </x:c>
      <x:c r="F84" s="6" t="n">
        <x:f>'Activities'!K82</x:f>
        <x:v>414</x:v>
      </x:c>
      <x:c r="G84" s="6" t="n">
        <x:f>F84-E84-D84</x:f>
        <x:v>0</x:v>
      </x:c>
      <x:c r="H84" s="6" t="str">
        <x:v>Explicit working-day lag</x:v>
      </x:c>
    </x:row>
    <x:row r="85" ht="23" customHeight="1">
      <x:c r="A85" s="1" t="str">
        <x:v>T1-L05-H</x:v>
      </x:c>
      <x:c r="B85" s="1" t="str">
        <x:v>T1-L02-M</x:v>
      </x:c>
      <x:c r="C85" s="1" t="str">
        <x:v>FS</x:v>
      </x:c>
      <x:c r="D85" s="1" t="n">
        <x:v>5</x:v>
      </x:c>
      <x:c r="E85" s="1" t="n">
        <x:f>'Activities'!L39</x:f>
        <x:v>242</x:v>
      </x:c>
      <x:c r="F85" s="1" t="n">
        <x:f>'Activities'!K83</x:f>
        <x:v>247</x:v>
      </x:c>
      <x:c r="G85" s="1" t="n">
        <x:f>F85-E85-D85</x:f>
        <x:v>0</x:v>
      </x:c>
      <x:c r="H85" s="1" t="str">
        <x:v>Explicit working-day lag</x:v>
      </x:c>
    </x:row>
    <x:row r="86" ht="23" customHeight="1">
      <x:c r="A86" s="6" t="str">
        <x:v>T1-L02-M</x:v>
      </x:c>
      <x:c r="B86" s="6" t="str">
        <x:v>T1-L02-P</x:v>
      </x:c>
      <x:c r="C86" s="6" t="str">
        <x:v>FS</x:v>
      </x:c>
      <x:c r="D86" s="6" t="n">
        <x:v>3</x:v>
      </x:c>
      <x:c r="E86" s="6" t="n">
        <x:f>'Activities'!L83</x:f>
        <x:v>252</x:v>
      </x:c>
      <x:c r="F86" s="6" t="n">
        <x:f>'Activities'!K84</x:f>
        <x:v>255</x:v>
      </x:c>
      <x:c r="G86" s="6" t="n">
        <x:f>F86-E86-D86</x:f>
        <x:v>0</x:v>
      </x:c>
      <x:c r="H86" s="6" t="str">
        <x:v>Explicit working-day lag</x:v>
      </x:c>
    </x:row>
    <x:row r="87" ht="23" customHeight="1">
      <x:c r="A87" s="1" t="str">
        <x:v>T1-L02-P</x:v>
      </x:c>
      <x:c r="B87" s="1" t="str">
        <x:v>T1-L02-S</x:v>
      </x:c>
      <x:c r="C87" s="1" t="str">
        <x:v>FS</x:v>
      </x:c>
      <x:c r="D87" s="1" t="n">
        <x:v>2</x:v>
      </x:c>
      <x:c r="E87" s="1" t="n">
        <x:f>'Activities'!L84</x:f>
        <x:v>261</x:v>
      </x:c>
      <x:c r="F87" s="1" t="n">
        <x:f>'Activities'!K85</x:f>
        <x:v>263</x:v>
      </x:c>
      <x:c r="G87" s="1" t="n">
        <x:f>F87-E87-D87</x:f>
        <x:v>0</x:v>
      </x:c>
      <x:c r="H87" s="1" t="str">
        <x:v>Explicit working-day lag</x:v>
      </x:c>
    </x:row>
    <x:row r="88" ht="23" customHeight="1">
      <x:c r="A88" s="6" t="str">
        <x:v>T1-L02-S</x:v>
      </x:c>
      <x:c r="B88" s="6" t="str">
        <x:v>T1-L02-T</x:v>
      </x:c>
      <x:c r="C88" s="6" t="str">
        <x:v>FS</x:v>
      </x:c>
      <x:c r="D88" s="6" t="n">
        <x:v>14</x:v>
      </x:c>
      <x:c r="E88" s="6" t="n">
        <x:f>'Activities'!L85</x:f>
        <x:v>266</x:v>
      </x:c>
      <x:c r="F88" s="6" t="n">
        <x:f>'Activities'!K86</x:f>
        <x:v>401</x:v>
      </x:c>
      <x:c r="G88" s="6" t="n">
        <x:f>F88-E88-D88</x:f>
        <x:v>121</x:v>
      </x:c>
      <x:c r="H88" s="6" t="str">
        <x:v>Explicit working-day lag</x:v>
      </x:c>
    </x:row>
    <x:row r="89" ht="23" customHeight="1">
      <x:c r="A89" s="1" t="str">
        <x:v>T1-GL</x:v>
      </x:c>
      <x:c r="B89" s="1" t="str">
        <x:v>T1-L02-T</x:v>
      </x:c>
      <x:c r="C89" s="1" t="str">
        <x:v>FS</x:v>
      </x:c>
      <x:c r="D89" s="1" t="n">
        <x:v>0</x:v>
      </x:c>
      <x:c r="E89" s="1" t="n">
        <x:f>'Activities'!L70</x:f>
        <x:v>401</x:v>
      </x:c>
      <x:c r="F89" s="1" t="n">
        <x:f>'Activities'!K86</x:f>
        <x:v>401</x:v>
      </x:c>
      <x:c r="G89" s="1" t="n">
        <x:f>F89-E89-D89</x:f>
        <x:v>0</x:v>
      </x:c>
      <x:c r="H89" s="1" t="str">
        <x:v>Explicit working-day lag</x:v>
      </x:c>
    </x:row>
    <x:row r="90" ht="23" customHeight="1">
      <x:c r="A90" s="6" t="str">
        <x:v>T1-L02-T</x:v>
      </x:c>
      <x:c r="B90" s="6" t="str">
        <x:v>T1-L02-A</x:v>
      </x:c>
      <x:c r="C90" s="6" t="str">
        <x:v>FS</x:v>
      </x:c>
      <x:c r="D90" s="6" t="n">
        <x:v>2</x:v>
      </x:c>
      <x:c r="E90" s="6" t="n">
        <x:f>'Activities'!L86</x:f>
        <x:v>407</x:v>
      </x:c>
      <x:c r="F90" s="6" t="n">
        <x:f>'Activities'!K87</x:f>
        <x:v>409</x:v>
      </x:c>
      <x:c r="G90" s="6" t="n">
        <x:f>F90-E90-D90</x:f>
        <x:v>0</x:v>
      </x:c>
      <x:c r="H90" s="6" t="str">
        <x:v>Explicit working-day lag</x:v>
      </x:c>
    </x:row>
    <x:row r="91" ht="23" customHeight="1">
      <x:c r="A91" s="1" t="str">
        <x:v>T1-L02-A</x:v>
      </x:c>
      <x:c r="B91" s="1" t="str">
        <x:v>T1-L02-D</x:v>
      </x:c>
      <x:c r="C91" s="1" t="str">
        <x:v>FS</x:v>
      </x:c>
      <x:c r="D91" s="1" t="n">
        <x:v>0</x:v>
      </x:c>
      <x:c r="E91" s="1" t="n">
        <x:f>'Activities'!L87</x:f>
        <x:v>414</x:v>
      </x:c>
      <x:c r="F91" s="1" t="n">
        <x:f>'Activities'!K88</x:f>
        <x:v>414</x:v>
      </x:c>
      <x:c r="G91" s="1" t="n">
        <x:f>F91-E91-D91</x:f>
        <x:v>0</x:v>
      </x:c>
      <x:c r="H91" s="1" t="str">
        <x:v>Explicit working-day lag</x:v>
      </x:c>
    </x:row>
    <x:row r="92" ht="23" customHeight="1">
      <x:c r="A92" s="6" t="str">
        <x:v>T1-L06-H</x:v>
      </x:c>
      <x:c r="B92" s="6" t="str">
        <x:v>T1-L03-M</x:v>
      </x:c>
      <x:c r="C92" s="6" t="str">
        <x:v>FS</x:v>
      </x:c>
      <x:c r="D92" s="6" t="n">
        <x:v>5</x:v>
      </x:c>
      <x:c r="E92" s="6" t="n">
        <x:f>'Activities'!L43</x:f>
        <x:v>260</x:v>
      </x:c>
      <x:c r="F92" s="6" t="n">
        <x:f>'Activities'!K89</x:f>
        <x:v>265</x:v>
      </x:c>
      <x:c r="G92" s="6" t="n">
        <x:f>F92-E92-D92</x:f>
        <x:v>0</x:v>
      </x:c>
      <x:c r="H92" s="6" t="str">
        <x:v>Explicit working-day lag</x:v>
      </x:c>
    </x:row>
    <x:row r="93" ht="23" customHeight="1">
      <x:c r="A93" s="1" t="str">
        <x:v>T1-L03-M</x:v>
      </x:c>
      <x:c r="B93" s="1" t="str">
        <x:v>T1-L03-P</x:v>
      </x:c>
      <x:c r="C93" s="1" t="str">
        <x:v>FS</x:v>
      </x:c>
      <x:c r="D93" s="1" t="n">
        <x:v>3</x:v>
      </x:c>
      <x:c r="E93" s="1" t="n">
        <x:f>'Activities'!L89</x:f>
        <x:v>270</x:v>
      </x:c>
      <x:c r="F93" s="1" t="n">
        <x:f>'Activities'!K90</x:f>
        <x:v>273</x:v>
      </x:c>
      <x:c r="G93" s="1" t="n">
        <x:f>F93-E93-D93</x:f>
        <x:v>0</x:v>
      </x:c>
      <x:c r="H93" s="1" t="str">
        <x:v>Explicit working-day lag</x:v>
      </x:c>
    </x:row>
    <x:row r="94" ht="23" customHeight="1">
      <x:c r="A94" s="6" t="str">
        <x:v>T1-L03-P</x:v>
      </x:c>
      <x:c r="B94" s="6" t="str">
        <x:v>T1-L03-S</x:v>
      </x:c>
      <x:c r="C94" s="6" t="str">
        <x:v>FS</x:v>
      </x:c>
      <x:c r="D94" s="6" t="n">
        <x:v>2</x:v>
      </x:c>
      <x:c r="E94" s="6" t="n">
        <x:f>'Activities'!L90</x:f>
        <x:v>279</x:v>
      </x:c>
      <x:c r="F94" s="6" t="n">
        <x:f>'Activities'!K91</x:f>
        <x:v>281</x:v>
      </x:c>
      <x:c r="G94" s="6" t="n">
        <x:f>F94-E94-D94</x:f>
        <x:v>0</x:v>
      </x:c>
      <x:c r="H94" s="6" t="str">
        <x:v>Explicit working-day lag</x:v>
      </x:c>
    </x:row>
    <x:row r="95" ht="23" customHeight="1">
      <x:c r="A95" s="1" t="str">
        <x:v>T1-L03-S</x:v>
      </x:c>
      <x:c r="B95" s="1" t="str">
        <x:v>T1-L03-T</x:v>
      </x:c>
      <x:c r="C95" s="1" t="str">
        <x:v>FS</x:v>
      </x:c>
      <x:c r="D95" s="1" t="n">
        <x:v>14</x:v>
      </x:c>
      <x:c r="E95" s="1" t="n">
        <x:f>'Activities'!L91</x:f>
        <x:v>284</x:v>
      </x:c>
      <x:c r="F95" s="1" t="n">
        <x:f>'Activities'!K92</x:f>
        <x:v>401</x:v>
      </x:c>
      <x:c r="G95" s="1" t="n">
        <x:f>F95-E95-D95</x:f>
        <x:v>103</x:v>
      </x:c>
      <x:c r="H95" s="1" t="str">
        <x:v>Explicit working-day lag</x:v>
      </x:c>
    </x:row>
    <x:row r="96" ht="23" customHeight="1">
      <x:c r="A96" s="6" t="str">
        <x:v>T1-GL</x:v>
      </x:c>
      <x:c r="B96" s="6" t="str">
        <x:v>T1-L03-T</x:v>
      </x:c>
      <x:c r="C96" s="6" t="str">
        <x:v>FS</x:v>
      </x:c>
      <x:c r="D96" s="6" t="n">
        <x:v>0</x:v>
      </x:c>
      <x:c r="E96" s="6" t="n">
        <x:f>'Activities'!L70</x:f>
        <x:v>401</x:v>
      </x:c>
      <x:c r="F96" s="6" t="n">
        <x:f>'Activities'!K92</x:f>
        <x:v>401</x:v>
      </x:c>
      <x:c r="G96" s="6" t="n">
        <x:f>F96-E96-D96</x:f>
        <x:v>0</x:v>
      </x:c>
      <x:c r="H96" s="6" t="str">
        <x:v>Explicit working-day lag</x:v>
      </x:c>
    </x:row>
    <x:row r="97" ht="23" customHeight="1">
      <x:c r="A97" s="1" t="str">
        <x:v>T1-L03-T</x:v>
      </x:c>
      <x:c r="B97" s="1" t="str">
        <x:v>T1-L03-A</x:v>
      </x:c>
      <x:c r="C97" s="1" t="str">
        <x:v>FS</x:v>
      </x:c>
      <x:c r="D97" s="1" t="n">
        <x:v>2</x:v>
      </x:c>
      <x:c r="E97" s="1" t="n">
        <x:f>'Activities'!L92</x:f>
        <x:v>407</x:v>
      </x:c>
      <x:c r="F97" s="1" t="n">
        <x:f>'Activities'!K93</x:f>
        <x:v>409</x:v>
      </x:c>
      <x:c r="G97" s="1" t="n">
        <x:f>F97-E97-D97</x:f>
        <x:v>0</x:v>
      </x:c>
      <x:c r="H97" s="1" t="str">
        <x:v>Explicit working-day lag</x:v>
      </x:c>
    </x:row>
    <x:row r="98" ht="23" customHeight="1">
      <x:c r="A98" s="6" t="str">
        <x:v>T1-L03-A</x:v>
      </x:c>
      <x:c r="B98" s="6" t="str">
        <x:v>T1-L03-D</x:v>
      </x:c>
      <x:c r="C98" s="6" t="str">
        <x:v>FS</x:v>
      </x:c>
      <x:c r="D98" s="6" t="n">
        <x:v>0</x:v>
      </x:c>
      <x:c r="E98" s="6" t="n">
        <x:f>'Activities'!L93</x:f>
        <x:v>414</x:v>
      </x:c>
      <x:c r="F98" s="6" t="n">
        <x:f>'Activities'!K94</x:f>
        <x:v>414</x:v>
      </x:c>
      <x:c r="G98" s="6" t="n">
        <x:f>F98-E98-D98</x:f>
        <x:v>0</x:v>
      </x:c>
      <x:c r="H98" s="6" t="str">
        <x:v>Explicit working-day lag</x:v>
      </x:c>
    </x:row>
    <x:row r="99" ht="23" customHeight="1">
      <x:c r="A99" s="1" t="str">
        <x:v>T1-L07-H</x:v>
      </x:c>
      <x:c r="B99" s="1" t="str">
        <x:v>T1-L04-M</x:v>
      </x:c>
      <x:c r="C99" s="1" t="str">
        <x:v>FS</x:v>
      </x:c>
      <x:c r="D99" s="1" t="n">
        <x:v>5</x:v>
      </x:c>
      <x:c r="E99" s="1" t="n">
        <x:f>'Activities'!L47</x:f>
        <x:v>278</x:v>
      </x:c>
      <x:c r="F99" s="1" t="n">
        <x:f>'Activities'!K95</x:f>
        <x:v>283</x:v>
      </x:c>
      <x:c r="G99" s="1" t="n">
        <x:f>F99-E99-D99</x:f>
        <x:v>0</x:v>
      </x:c>
      <x:c r="H99" s="1" t="str">
        <x:v>Explicit working-day lag</x:v>
      </x:c>
    </x:row>
    <x:row r="100" ht="23" customHeight="1">
      <x:c r="A100" s="6" t="str">
        <x:v>T1-L04-M</x:v>
      </x:c>
      <x:c r="B100" s="6" t="str">
        <x:v>T1-L04-P</x:v>
      </x:c>
      <x:c r="C100" s="6" t="str">
        <x:v>FS</x:v>
      </x:c>
      <x:c r="D100" s="6" t="n">
        <x:v>3</x:v>
      </x:c>
      <x:c r="E100" s="6" t="n">
        <x:f>'Activities'!L95</x:f>
        <x:v>288</x:v>
      </x:c>
      <x:c r="F100" s="6" t="n">
        <x:f>'Activities'!K96</x:f>
        <x:v>291</x:v>
      </x:c>
      <x:c r="G100" s="6" t="n">
        <x:f>F100-E100-D100</x:f>
        <x:v>0</x:v>
      </x:c>
      <x:c r="H100" s="6" t="str">
        <x:v>Explicit working-day lag</x:v>
      </x:c>
    </x:row>
    <x:row r="101" ht="23" customHeight="1">
      <x:c r="A101" s="1" t="str">
        <x:v>T1-L04-P</x:v>
      </x:c>
      <x:c r="B101" s="1" t="str">
        <x:v>T1-L04-S</x:v>
      </x:c>
      <x:c r="C101" s="1" t="str">
        <x:v>FS</x:v>
      </x:c>
      <x:c r="D101" s="1" t="n">
        <x:v>2</x:v>
      </x:c>
      <x:c r="E101" s="1" t="n">
        <x:f>'Activities'!L96</x:f>
        <x:v>297</x:v>
      </x:c>
      <x:c r="F101" s="1" t="n">
        <x:f>'Activities'!K97</x:f>
        <x:v>299</x:v>
      </x:c>
      <x:c r="G101" s="1" t="n">
        <x:f>F101-E101-D101</x:f>
        <x:v>0</x:v>
      </x:c>
      <x:c r="H101" s="1" t="str">
        <x:v>Explicit working-day lag</x:v>
      </x:c>
    </x:row>
    <x:row r="102" ht="23" customHeight="1">
      <x:c r="A102" s="6" t="str">
        <x:v>T1-L04-S</x:v>
      </x:c>
      <x:c r="B102" s="6" t="str">
        <x:v>T1-L04-T</x:v>
      </x:c>
      <x:c r="C102" s="6" t="str">
        <x:v>FS</x:v>
      </x:c>
      <x:c r="D102" s="6" t="n">
        <x:v>14</x:v>
      </x:c>
      <x:c r="E102" s="6" t="n">
        <x:f>'Activities'!L97</x:f>
        <x:v>302</x:v>
      </x:c>
      <x:c r="F102" s="6" t="n">
        <x:f>'Activities'!K98</x:f>
        <x:v>401</x:v>
      </x:c>
      <x:c r="G102" s="6" t="n">
        <x:f>F102-E102-D102</x:f>
        <x:v>85</x:v>
      </x:c>
      <x:c r="H102" s="6" t="str">
        <x:v>Explicit working-day lag</x:v>
      </x:c>
    </x:row>
    <x:row r="103" ht="23" customHeight="1">
      <x:c r="A103" s="1" t="str">
        <x:v>T1-GL</x:v>
      </x:c>
      <x:c r="B103" s="1" t="str">
        <x:v>T1-L04-T</x:v>
      </x:c>
      <x:c r="C103" s="1" t="str">
        <x:v>FS</x:v>
      </x:c>
      <x:c r="D103" s="1" t="n">
        <x:v>0</x:v>
      </x:c>
      <x:c r="E103" s="1" t="n">
        <x:f>'Activities'!L70</x:f>
        <x:v>401</x:v>
      </x:c>
      <x:c r="F103" s="1" t="n">
        <x:f>'Activities'!K98</x:f>
        <x:v>401</x:v>
      </x:c>
      <x:c r="G103" s="1" t="n">
        <x:f>F103-E103-D103</x:f>
        <x:v>0</x:v>
      </x:c>
      <x:c r="H103" s="1" t="str">
        <x:v>Explicit working-day lag</x:v>
      </x:c>
    </x:row>
    <x:row r="104" ht="23" customHeight="1">
      <x:c r="A104" s="6" t="str">
        <x:v>T1-L04-T</x:v>
      </x:c>
      <x:c r="B104" s="6" t="str">
        <x:v>T1-L04-A</x:v>
      </x:c>
      <x:c r="C104" s="6" t="str">
        <x:v>FS</x:v>
      </x:c>
      <x:c r="D104" s="6" t="n">
        <x:v>2</x:v>
      </x:c>
      <x:c r="E104" s="6" t="n">
        <x:f>'Activities'!L98</x:f>
        <x:v>407</x:v>
      </x:c>
      <x:c r="F104" s="6" t="n">
        <x:f>'Activities'!K99</x:f>
        <x:v>409</x:v>
      </x:c>
      <x:c r="G104" s="6" t="n">
        <x:f>F104-E104-D104</x:f>
        <x:v>0</x:v>
      </x:c>
      <x:c r="H104" s="6" t="str">
        <x:v>Explicit working-day lag</x:v>
      </x:c>
    </x:row>
    <x:row r="105" ht="23" customHeight="1">
      <x:c r="A105" s="1" t="str">
        <x:v>T1-L04-A</x:v>
      </x:c>
      <x:c r="B105" s="1" t="str">
        <x:v>T1-L04-D</x:v>
      </x:c>
      <x:c r="C105" s="1" t="str">
        <x:v>FS</x:v>
      </x:c>
      <x:c r="D105" s="1" t="n">
        <x:v>0</x:v>
      </x:c>
      <x:c r="E105" s="1" t="n">
        <x:f>'Activities'!L99</x:f>
        <x:v>414</x:v>
      </x:c>
      <x:c r="F105" s="1" t="n">
        <x:f>'Activities'!K100</x:f>
        <x:v>414</x:v>
      </x:c>
      <x:c r="G105" s="1" t="n">
        <x:f>F105-E105-D105</x:f>
        <x:v>0</x:v>
      </x:c>
      <x:c r="H105" s="1" t="str">
        <x:v>Explicit working-day lag</x:v>
      </x:c>
    </x:row>
    <x:row r="106" ht="23" customHeight="1">
      <x:c r="A106" s="6" t="str">
        <x:v>T1-L08-H</x:v>
      </x:c>
      <x:c r="B106" s="6" t="str">
        <x:v>T1-L05-M</x:v>
      </x:c>
      <x:c r="C106" s="6" t="str">
        <x:v>FS</x:v>
      </x:c>
      <x:c r="D106" s="6" t="n">
        <x:v>5</x:v>
      </x:c>
      <x:c r="E106" s="6" t="n">
        <x:f>'Activities'!L51</x:f>
        <x:v>296</x:v>
      </x:c>
      <x:c r="F106" s="6" t="n">
        <x:f>'Activities'!K101</x:f>
        <x:v>301</x:v>
      </x:c>
      <x:c r="G106" s="6" t="n">
        <x:f>F106-E106-D106</x:f>
        <x:v>0</x:v>
      </x:c>
      <x:c r="H106" s="6" t="str">
        <x:v>Explicit working-day lag</x:v>
      </x:c>
    </x:row>
    <x:row r="107" ht="23" customHeight="1">
      <x:c r="A107" s="1" t="str">
        <x:v>T1-L05-M</x:v>
      </x:c>
      <x:c r="B107" s="1" t="str">
        <x:v>T1-L05-P</x:v>
      </x:c>
      <x:c r="C107" s="1" t="str">
        <x:v>FS</x:v>
      </x:c>
      <x:c r="D107" s="1" t="n">
        <x:v>3</x:v>
      </x:c>
      <x:c r="E107" s="1" t="n">
        <x:f>'Activities'!L101</x:f>
        <x:v>306</x:v>
      </x:c>
      <x:c r="F107" s="1" t="n">
        <x:f>'Activities'!K102</x:f>
        <x:v>309</x:v>
      </x:c>
      <x:c r="G107" s="1" t="n">
        <x:f>F107-E107-D107</x:f>
        <x:v>0</x:v>
      </x:c>
      <x:c r="H107" s="1" t="str">
        <x:v>Explicit working-day lag</x:v>
      </x:c>
    </x:row>
    <x:row r="108" ht="23" customHeight="1">
      <x:c r="A108" s="6" t="str">
        <x:v>T1-L05-P</x:v>
      </x:c>
      <x:c r="B108" s="6" t="str">
        <x:v>T1-L05-S</x:v>
      </x:c>
      <x:c r="C108" s="6" t="str">
        <x:v>FS</x:v>
      </x:c>
      <x:c r="D108" s="6" t="n">
        <x:v>2</x:v>
      </x:c>
      <x:c r="E108" s="6" t="n">
        <x:f>'Activities'!L102</x:f>
        <x:v>315</x:v>
      </x:c>
      <x:c r="F108" s="6" t="n">
        <x:f>'Activities'!K103</x:f>
        <x:v>317</x:v>
      </x:c>
      <x:c r="G108" s="6" t="n">
        <x:f>F108-E108-D108</x:f>
        <x:v>0</x:v>
      </x:c>
      <x:c r="H108" s="6" t="str">
        <x:v>Explicit working-day lag</x:v>
      </x:c>
    </x:row>
    <x:row r="109" ht="23" customHeight="1">
      <x:c r="A109" s="1" t="str">
        <x:v>T1-L05-S</x:v>
      </x:c>
      <x:c r="B109" s="1" t="str">
        <x:v>T1-L05-T</x:v>
      </x:c>
      <x:c r="C109" s="1" t="str">
        <x:v>FS</x:v>
      </x:c>
      <x:c r="D109" s="1" t="n">
        <x:v>14</x:v>
      </x:c>
      <x:c r="E109" s="1" t="n">
        <x:f>'Activities'!L103</x:f>
        <x:v>320</x:v>
      </x:c>
      <x:c r="F109" s="1" t="n">
        <x:f>'Activities'!K104</x:f>
        <x:v>401</x:v>
      </x:c>
      <x:c r="G109" s="1" t="n">
        <x:f>F109-E109-D109</x:f>
        <x:v>67</x:v>
      </x:c>
      <x:c r="H109" s="1" t="str">
        <x:v>Explicit working-day lag</x:v>
      </x:c>
    </x:row>
    <x:row r="110" ht="23" customHeight="1">
      <x:c r="A110" s="6" t="str">
        <x:v>T1-GL</x:v>
      </x:c>
      <x:c r="B110" s="6" t="str">
        <x:v>T1-L05-T</x:v>
      </x:c>
      <x:c r="C110" s="6" t="str">
        <x:v>FS</x:v>
      </x:c>
      <x:c r="D110" s="6" t="n">
        <x:v>0</x:v>
      </x:c>
      <x:c r="E110" s="6" t="n">
        <x:f>'Activities'!L70</x:f>
        <x:v>401</x:v>
      </x:c>
      <x:c r="F110" s="6" t="n">
        <x:f>'Activities'!K104</x:f>
        <x:v>401</x:v>
      </x:c>
      <x:c r="G110" s="6" t="n">
        <x:f>F110-E110-D110</x:f>
        <x:v>0</x:v>
      </x:c>
      <x:c r="H110" s="6" t="str">
        <x:v>Explicit working-day lag</x:v>
      </x:c>
    </x:row>
    <x:row r="111" ht="23" customHeight="1">
      <x:c r="A111" s="1" t="str">
        <x:v>T1-L05-T</x:v>
      </x:c>
      <x:c r="B111" s="1" t="str">
        <x:v>T1-L05-A</x:v>
      </x:c>
      <x:c r="C111" s="1" t="str">
        <x:v>FS</x:v>
      </x:c>
      <x:c r="D111" s="1" t="n">
        <x:v>2</x:v>
      </x:c>
      <x:c r="E111" s="1" t="n">
        <x:f>'Activities'!L104</x:f>
        <x:v>407</x:v>
      </x:c>
      <x:c r="F111" s="1" t="n">
        <x:f>'Activities'!K105</x:f>
        <x:v>409</x:v>
      </x:c>
      <x:c r="G111" s="1" t="n">
        <x:f>F111-E111-D111</x:f>
        <x:v>0</x:v>
      </x:c>
      <x:c r="H111" s="1" t="str">
        <x:v>Explicit working-day lag</x:v>
      </x:c>
    </x:row>
    <x:row r="112" ht="23" customHeight="1">
      <x:c r="A112" s="6" t="str">
        <x:v>T1-L05-A</x:v>
      </x:c>
      <x:c r="B112" s="6" t="str">
        <x:v>T1-L05-D</x:v>
      </x:c>
      <x:c r="C112" s="6" t="str">
        <x:v>FS</x:v>
      </x:c>
      <x:c r="D112" s="6" t="n">
        <x:v>0</x:v>
      </x:c>
      <x:c r="E112" s="6" t="n">
        <x:f>'Activities'!L105</x:f>
        <x:v>414</x:v>
      </x:c>
      <x:c r="F112" s="6" t="n">
        <x:f>'Activities'!K106</x:f>
        <x:v>414</x:v>
      </x:c>
      <x:c r="G112" s="6" t="n">
        <x:f>F112-E112-D112</x:f>
        <x:v>0</x:v>
      </x:c>
      <x:c r="H112" s="6" t="str">
        <x:v>Explicit working-day lag</x:v>
      </x:c>
    </x:row>
    <x:row r="113" ht="23" customHeight="1">
      <x:c r="A113" s="1" t="str">
        <x:v>T1-L09-H</x:v>
      </x:c>
      <x:c r="B113" s="1" t="str">
        <x:v>T1-L06-M</x:v>
      </x:c>
      <x:c r="C113" s="1" t="str">
        <x:v>FS</x:v>
      </x:c>
      <x:c r="D113" s="1" t="n">
        <x:v>5</x:v>
      </x:c>
      <x:c r="E113" s="1" t="n">
        <x:f>'Activities'!L55</x:f>
        <x:v>314</x:v>
      </x:c>
      <x:c r="F113" s="1" t="n">
        <x:f>'Activities'!K107</x:f>
        <x:v>319</x:v>
      </x:c>
      <x:c r="G113" s="1" t="n">
        <x:f>F113-E113-D113</x:f>
        <x:v>0</x:v>
      </x:c>
      <x:c r="H113" s="1" t="str">
        <x:v>Explicit working-day lag</x:v>
      </x:c>
    </x:row>
    <x:row r="114" ht="23" customHeight="1">
      <x:c r="A114" s="6" t="str">
        <x:v>T1-L06-M</x:v>
      </x:c>
      <x:c r="B114" s="6" t="str">
        <x:v>T1-L06-P</x:v>
      </x:c>
      <x:c r="C114" s="6" t="str">
        <x:v>FS</x:v>
      </x:c>
      <x:c r="D114" s="6" t="n">
        <x:v>3</x:v>
      </x:c>
      <x:c r="E114" s="6" t="n">
        <x:f>'Activities'!L107</x:f>
        <x:v>324</x:v>
      </x:c>
      <x:c r="F114" s="6" t="n">
        <x:f>'Activities'!K108</x:f>
        <x:v>327</x:v>
      </x:c>
      <x:c r="G114" s="6" t="n">
        <x:f>F114-E114-D114</x:f>
        <x:v>0</x:v>
      </x:c>
      <x:c r="H114" s="6" t="str">
        <x:v>Explicit working-day lag</x:v>
      </x:c>
    </x:row>
    <x:row r="115" ht="23" customHeight="1">
      <x:c r="A115" s="1" t="str">
        <x:v>T1-L06-P</x:v>
      </x:c>
      <x:c r="B115" s="1" t="str">
        <x:v>T1-L06-S</x:v>
      </x:c>
      <x:c r="C115" s="1" t="str">
        <x:v>FS</x:v>
      </x:c>
      <x:c r="D115" s="1" t="n">
        <x:v>2</x:v>
      </x:c>
      <x:c r="E115" s="1" t="n">
        <x:f>'Activities'!L108</x:f>
        <x:v>333</x:v>
      </x:c>
      <x:c r="F115" s="1" t="n">
        <x:f>'Activities'!K109</x:f>
        <x:v>335</x:v>
      </x:c>
      <x:c r="G115" s="1" t="n">
        <x:f>F115-E115-D115</x:f>
        <x:v>0</x:v>
      </x:c>
      <x:c r="H115" s="1" t="str">
        <x:v>Explicit working-day lag</x:v>
      </x:c>
    </x:row>
    <x:row r="116" ht="23" customHeight="1">
      <x:c r="A116" s="6" t="str">
        <x:v>T1-L06-S</x:v>
      </x:c>
      <x:c r="B116" s="6" t="str">
        <x:v>T1-L06-T</x:v>
      </x:c>
      <x:c r="C116" s="6" t="str">
        <x:v>FS</x:v>
      </x:c>
      <x:c r="D116" s="6" t="n">
        <x:v>14</x:v>
      </x:c>
      <x:c r="E116" s="6" t="n">
        <x:f>'Activities'!L109</x:f>
        <x:v>338</x:v>
      </x:c>
      <x:c r="F116" s="6" t="n">
        <x:f>'Activities'!K110</x:f>
        <x:v>401</x:v>
      </x:c>
      <x:c r="G116" s="6" t="n">
        <x:f>F116-E116-D116</x:f>
        <x:v>49</x:v>
      </x:c>
      <x:c r="H116" s="6" t="str">
        <x:v>Explicit working-day lag</x:v>
      </x:c>
    </x:row>
    <x:row r="117" ht="23" customHeight="1">
      <x:c r="A117" s="1" t="str">
        <x:v>T1-GL</x:v>
      </x:c>
      <x:c r="B117" s="1" t="str">
        <x:v>T1-L06-T</x:v>
      </x:c>
      <x:c r="C117" s="1" t="str">
        <x:v>FS</x:v>
      </x:c>
      <x:c r="D117" s="1" t="n">
        <x:v>0</x:v>
      </x:c>
      <x:c r="E117" s="1" t="n">
        <x:f>'Activities'!L70</x:f>
        <x:v>401</x:v>
      </x:c>
      <x:c r="F117" s="1" t="n">
        <x:f>'Activities'!K110</x:f>
        <x:v>401</x:v>
      </x:c>
      <x:c r="G117" s="1" t="n">
        <x:f>F117-E117-D117</x:f>
        <x:v>0</x:v>
      </x:c>
      <x:c r="H117" s="1" t="str">
        <x:v>Explicit working-day lag</x:v>
      </x:c>
    </x:row>
    <x:row r="118" ht="23" customHeight="1">
      <x:c r="A118" s="6" t="str">
        <x:v>T1-L06-T</x:v>
      </x:c>
      <x:c r="B118" s="6" t="str">
        <x:v>T1-L06-A</x:v>
      </x:c>
      <x:c r="C118" s="6" t="str">
        <x:v>FS</x:v>
      </x:c>
      <x:c r="D118" s="6" t="n">
        <x:v>2</x:v>
      </x:c>
      <x:c r="E118" s="6" t="n">
        <x:f>'Activities'!L110</x:f>
        <x:v>407</x:v>
      </x:c>
      <x:c r="F118" s="6" t="n">
        <x:f>'Activities'!K111</x:f>
        <x:v>409</x:v>
      </x:c>
      <x:c r="G118" s="6" t="n">
        <x:f>F118-E118-D118</x:f>
        <x:v>0</x:v>
      </x:c>
      <x:c r="H118" s="6" t="str">
        <x:v>Explicit working-day lag</x:v>
      </x:c>
    </x:row>
    <x:row r="119" ht="23" customHeight="1">
      <x:c r="A119" s="1" t="str">
        <x:v>T1-L06-A</x:v>
      </x:c>
      <x:c r="B119" s="1" t="str">
        <x:v>T1-L06-D</x:v>
      </x:c>
      <x:c r="C119" s="1" t="str">
        <x:v>FS</x:v>
      </x:c>
      <x:c r="D119" s="1" t="n">
        <x:v>0</x:v>
      </x:c>
      <x:c r="E119" s="1" t="n">
        <x:f>'Activities'!L111</x:f>
        <x:v>414</x:v>
      </x:c>
      <x:c r="F119" s="1" t="n">
        <x:f>'Activities'!K112</x:f>
        <x:v>414</x:v>
      </x:c>
      <x:c r="G119" s="1" t="n">
        <x:f>F119-E119-D119</x:f>
        <x:v>0</x:v>
      </x:c>
      <x:c r="H119" s="1" t="str">
        <x:v>Explicit working-day lag</x:v>
      </x:c>
    </x:row>
    <x:row r="120" ht="23" customHeight="1">
      <x:c r="A120" s="6" t="str">
        <x:v>T1-L10-H</x:v>
      </x:c>
      <x:c r="B120" s="6" t="str">
        <x:v>T1-L07-M</x:v>
      </x:c>
      <x:c r="C120" s="6" t="str">
        <x:v>FS</x:v>
      </x:c>
      <x:c r="D120" s="6" t="n">
        <x:v>5</x:v>
      </x:c>
      <x:c r="E120" s="6" t="n">
        <x:f>'Activities'!L59</x:f>
        <x:v>332</x:v>
      </x:c>
      <x:c r="F120" s="6" t="n">
        <x:f>'Activities'!K113</x:f>
        <x:v>337</x:v>
      </x:c>
      <x:c r="G120" s="6" t="n">
        <x:f>F120-E120-D120</x:f>
        <x:v>0</x:v>
      </x:c>
      <x:c r="H120" s="6" t="str">
        <x:v>Explicit working-day lag</x:v>
      </x:c>
    </x:row>
    <x:row r="121" ht="23" customHeight="1">
      <x:c r="A121" s="1" t="str">
        <x:v>T1-L07-M</x:v>
      </x:c>
      <x:c r="B121" s="1" t="str">
        <x:v>T1-L07-P</x:v>
      </x:c>
      <x:c r="C121" s="1" t="str">
        <x:v>FS</x:v>
      </x:c>
      <x:c r="D121" s="1" t="n">
        <x:v>3</x:v>
      </x:c>
      <x:c r="E121" s="1" t="n">
        <x:f>'Activities'!L113</x:f>
        <x:v>342</x:v>
      </x:c>
      <x:c r="F121" s="1" t="n">
        <x:f>'Activities'!K114</x:f>
        <x:v>345</x:v>
      </x:c>
      <x:c r="G121" s="1" t="n">
        <x:f>F121-E121-D121</x:f>
        <x:v>0</x:v>
      </x:c>
      <x:c r="H121" s="1" t="str">
        <x:v>Explicit working-day lag</x:v>
      </x:c>
    </x:row>
    <x:row r="122" ht="23" customHeight="1">
      <x:c r="A122" s="6" t="str">
        <x:v>T1-L07-P</x:v>
      </x:c>
      <x:c r="B122" s="6" t="str">
        <x:v>T1-L07-S</x:v>
      </x:c>
      <x:c r="C122" s="6" t="str">
        <x:v>FS</x:v>
      </x:c>
      <x:c r="D122" s="6" t="n">
        <x:v>2</x:v>
      </x:c>
      <x:c r="E122" s="6" t="n">
        <x:f>'Activities'!L114</x:f>
        <x:v>351</x:v>
      </x:c>
      <x:c r="F122" s="6" t="n">
        <x:f>'Activities'!K115</x:f>
        <x:v>353</x:v>
      </x:c>
      <x:c r="G122" s="6" t="n">
        <x:f>F122-E122-D122</x:f>
        <x:v>0</x:v>
      </x:c>
      <x:c r="H122" s="6" t="str">
        <x:v>Explicit working-day lag</x:v>
      </x:c>
    </x:row>
    <x:row r="123" ht="23" customHeight="1">
      <x:c r="A123" s="1" t="str">
        <x:v>T1-L07-S</x:v>
      </x:c>
      <x:c r="B123" s="1" t="str">
        <x:v>T1-L07-T</x:v>
      </x:c>
      <x:c r="C123" s="1" t="str">
        <x:v>FS</x:v>
      </x:c>
      <x:c r="D123" s="1" t="n">
        <x:v>14</x:v>
      </x:c>
      <x:c r="E123" s="1" t="n">
        <x:f>'Activities'!L115</x:f>
        <x:v>356</x:v>
      </x:c>
      <x:c r="F123" s="1" t="n">
        <x:f>'Activities'!K116</x:f>
        <x:v>401</x:v>
      </x:c>
      <x:c r="G123" s="1" t="n">
        <x:f>F123-E123-D123</x:f>
        <x:v>31</x:v>
      </x:c>
      <x:c r="H123" s="1" t="str">
        <x:v>Explicit working-day lag</x:v>
      </x:c>
    </x:row>
    <x:row r="124" ht="23" customHeight="1">
      <x:c r="A124" s="6" t="str">
        <x:v>T1-GL</x:v>
      </x:c>
      <x:c r="B124" s="6" t="str">
        <x:v>T1-L07-T</x:v>
      </x:c>
      <x:c r="C124" s="6" t="str">
        <x:v>FS</x:v>
      </x:c>
      <x:c r="D124" s="6" t="n">
        <x:v>0</x:v>
      </x:c>
      <x:c r="E124" s="6" t="n">
        <x:f>'Activities'!L70</x:f>
        <x:v>401</x:v>
      </x:c>
      <x:c r="F124" s="6" t="n">
        <x:f>'Activities'!K116</x:f>
        <x:v>401</x:v>
      </x:c>
      <x:c r="G124" s="6" t="n">
        <x:f>F124-E124-D124</x:f>
        <x:v>0</x:v>
      </x:c>
      <x:c r="H124" s="6" t="str">
        <x:v>Explicit working-day lag</x:v>
      </x:c>
    </x:row>
    <x:row r="125" ht="23" customHeight="1">
      <x:c r="A125" s="1" t="str">
        <x:v>T1-L07-T</x:v>
      </x:c>
      <x:c r="B125" s="1" t="str">
        <x:v>T1-L07-A</x:v>
      </x:c>
      <x:c r="C125" s="1" t="str">
        <x:v>FS</x:v>
      </x:c>
      <x:c r="D125" s="1" t="n">
        <x:v>2</x:v>
      </x:c>
      <x:c r="E125" s="1" t="n">
        <x:f>'Activities'!L116</x:f>
        <x:v>407</x:v>
      </x:c>
      <x:c r="F125" s="1" t="n">
        <x:f>'Activities'!K117</x:f>
        <x:v>409</x:v>
      </x:c>
      <x:c r="G125" s="1" t="n">
        <x:f>F125-E125-D125</x:f>
        <x:v>0</x:v>
      </x:c>
      <x:c r="H125" s="1" t="str">
        <x:v>Explicit working-day lag</x:v>
      </x:c>
    </x:row>
    <x:row r="126" ht="23" customHeight="1">
      <x:c r="A126" s="6" t="str">
        <x:v>T1-L07-A</x:v>
      </x:c>
      <x:c r="B126" s="6" t="str">
        <x:v>T1-L07-D</x:v>
      </x:c>
      <x:c r="C126" s="6" t="str">
        <x:v>FS</x:v>
      </x:c>
      <x:c r="D126" s="6" t="n">
        <x:v>0</x:v>
      </x:c>
      <x:c r="E126" s="6" t="n">
        <x:f>'Activities'!L117</x:f>
        <x:v>414</x:v>
      </x:c>
      <x:c r="F126" s="6" t="n">
        <x:f>'Activities'!K118</x:f>
        <x:v>414</x:v>
      </x:c>
      <x:c r="G126" s="6" t="n">
        <x:f>F126-E126-D126</x:f>
        <x:v>0</x:v>
      </x:c>
      <x:c r="H126" s="6" t="str">
        <x:v>Explicit working-day lag</x:v>
      </x:c>
    </x:row>
    <x:row r="127" ht="23" customHeight="1">
      <x:c r="A127" s="1" t="str">
        <x:v>T1-L11-H</x:v>
      </x:c>
      <x:c r="B127" s="1" t="str">
        <x:v>T1-L08-M</x:v>
      </x:c>
      <x:c r="C127" s="1" t="str">
        <x:v>FS</x:v>
      </x:c>
      <x:c r="D127" s="1" t="n">
        <x:v>5</x:v>
      </x:c>
      <x:c r="E127" s="1" t="n">
        <x:f>'Activities'!L63</x:f>
        <x:v>350</x:v>
      </x:c>
      <x:c r="F127" s="1" t="n">
        <x:f>'Activities'!K119</x:f>
        <x:v>355</x:v>
      </x:c>
      <x:c r="G127" s="1" t="n">
        <x:f>F127-E127-D127</x:f>
        <x:v>0</x:v>
      </x:c>
      <x:c r="H127" s="1" t="str">
        <x:v>Explicit working-day lag</x:v>
      </x:c>
    </x:row>
    <x:row r="128" ht="23" customHeight="1">
      <x:c r="A128" s="6" t="str">
        <x:v>T1-L08-M</x:v>
      </x:c>
      <x:c r="B128" s="6" t="str">
        <x:v>T1-L08-P</x:v>
      </x:c>
      <x:c r="C128" s="6" t="str">
        <x:v>FS</x:v>
      </x:c>
      <x:c r="D128" s="6" t="n">
        <x:v>3</x:v>
      </x:c>
      <x:c r="E128" s="6" t="n">
        <x:f>'Activities'!L119</x:f>
        <x:v>360</x:v>
      </x:c>
      <x:c r="F128" s="6" t="n">
        <x:f>'Activities'!K120</x:f>
        <x:v>363</x:v>
      </x:c>
      <x:c r="G128" s="6" t="n">
        <x:f>F128-E128-D128</x:f>
        <x:v>0</x:v>
      </x:c>
      <x:c r="H128" s="6" t="str">
        <x:v>Explicit working-day lag</x:v>
      </x:c>
    </x:row>
    <x:row r="129" ht="23" customHeight="1">
      <x:c r="A129" s="1" t="str">
        <x:v>T1-L08-P</x:v>
      </x:c>
      <x:c r="B129" s="1" t="str">
        <x:v>T1-L08-S</x:v>
      </x:c>
      <x:c r="C129" s="1" t="str">
        <x:v>FS</x:v>
      </x:c>
      <x:c r="D129" s="1" t="n">
        <x:v>2</x:v>
      </x:c>
      <x:c r="E129" s="1" t="n">
        <x:f>'Activities'!L120</x:f>
        <x:v>369</x:v>
      </x:c>
      <x:c r="F129" s="1" t="n">
        <x:f>'Activities'!K121</x:f>
        <x:v>371</x:v>
      </x:c>
      <x:c r="G129" s="1" t="n">
        <x:f>F129-E129-D129</x:f>
        <x:v>0</x:v>
      </x:c>
      <x:c r="H129" s="1" t="str">
        <x:v>Explicit working-day lag</x:v>
      </x:c>
    </x:row>
    <x:row r="130" ht="23" customHeight="1">
      <x:c r="A130" s="6" t="str">
        <x:v>T1-L08-S</x:v>
      </x:c>
      <x:c r="B130" s="6" t="str">
        <x:v>T1-L08-T</x:v>
      </x:c>
      <x:c r="C130" s="6" t="str">
        <x:v>FS</x:v>
      </x:c>
      <x:c r="D130" s="6" t="n">
        <x:v>14</x:v>
      </x:c>
      <x:c r="E130" s="6" t="n">
        <x:f>'Activities'!L121</x:f>
        <x:v>374</x:v>
      </x:c>
      <x:c r="F130" s="6" t="n">
        <x:f>'Activities'!K122</x:f>
        <x:v>401</x:v>
      </x:c>
      <x:c r="G130" s="6" t="n">
        <x:f>F130-E130-D130</x:f>
        <x:v>13</x:v>
      </x:c>
      <x:c r="H130" s="6" t="str">
        <x:v>Explicit working-day lag</x:v>
      </x:c>
    </x:row>
    <x:row r="131" ht="23" customHeight="1">
      <x:c r="A131" s="1" t="str">
        <x:v>T1-GL</x:v>
      </x:c>
      <x:c r="B131" s="1" t="str">
        <x:v>T1-L08-T</x:v>
      </x:c>
      <x:c r="C131" s="1" t="str">
        <x:v>FS</x:v>
      </x:c>
      <x:c r="D131" s="1" t="n">
        <x:v>0</x:v>
      </x:c>
      <x:c r="E131" s="1" t="n">
        <x:f>'Activities'!L70</x:f>
        <x:v>401</x:v>
      </x:c>
      <x:c r="F131" s="1" t="n">
        <x:f>'Activities'!K122</x:f>
        <x:v>401</x:v>
      </x:c>
      <x:c r="G131" s="1" t="n">
        <x:f>F131-E131-D131</x:f>
        <x:v>0</x:v>
      </x:c>
      <x:c r="H131" s="1" t="str">
        <x:v>Explicit working-day lag</x:v>
      </x:c>
    </x:row>
    <x:row r="132" ht="23" customHeight="1">
      <x:c r="A132" s="6" t="str">
        <x:v>T1-L08-T</x:v>
      </x:c>
      <x:c r="B132" s="6" t="str">
        <x:v>T1-L08-A</x:v>
      </x:c>
      <x:c r="C132" s="6" t="str">
        <x:v>FS</x:v>
      </x:c>
      <x:c r="D132" s="6" t="n">
        <x:v>2</x:v>
      </x:c>
      <x:c r="E132" s="6" t="n">
        <x:f>'Activities'!L122</x:f>
        <x:v>407</x:v>
      </x:c>
      <x:c r="F132" s="6" t="n">
        <x:f>'Activities'!K123</x:f>
        <x:v>409</x:v>
      </x:c>
      <x:c r="G132" s="6" t="n">
        <x:f>F132-E132-D132</x:f>
        <x:v>0</x:v>
      </x:c>
      <x:c r="H132" s="6" t="str">
        <x:v>Explicit working-day lag</x:v>
      </x:c>
    </x:row>
    <x:row r="133" ht="23" customHeight="1">
      <x:c r="A133" s="1" t="str">
        <x:v>T1-L08-A</x:v>
      </x:c>
      <x:c r="B133" s="1" t="str">
        <x:v>T1-L08-D</x:v>
      </x:c>
      <x:c r="C133" s="1" t="str">
        <x:v>FS</x:v>
      </x:c>
      <x:c r="D133" s="1" t="n">
        <x:v>0</x:v>
      </x:c>
      <x:c r="E133" s="1" t="n">
        <x:f>'Activities'!L123</x:f>
        <x:v>414</x:v>
      </x:c>
      <x:c r="F133" s="1" t="n">
        <x:f>'Activities'!K124</x:f>
        <x:v>414</x:v>
      </x:c>
      <x:c r="G133" s="1" t="n">
        <x:f>F133-E133-D133</x:f>
        <x:v>0</x:v>
      </x:c>
      <x:c r="H133" s="1" t="str">
        <x:v>Explicit working-day lag</x:v>
      </x:c>
    </x:row>
    <x:row r="134" ht="23" customHeight="1">
      <x:c r="A134" s="6" t="str">
        <x:v>T1-L12-H</x:v>
      </x:c>
      <x:c r="B134" s="6" t="str">
        <x:v>T1-L09-M</x:v>
      </x:c>
      <x:c r="C134" s="6" t="str">
        <x:v>FS</x:v>
      </x:c>
      <x:c r="D134" s="6" t="n">
        <x:v>5</x:v>
      </x:c>
      <x:c r="E134" s="6" t="n">
        <x:f>'Activities'!L67</x:f>
        <x:v>368</x:v>
      </x:c>
      <x:c r="F134" s="6" t="n">
        <x:f>'Activities'!K125</x:f>
        <x:v>373</x:v>
      </x:c>
      <x:c r="G134" s="6" t="n">
        <x:f>F134-E134-D134</x:f>
        <x:v>0</x:v>
      </x:c>
      <x:c r="H134" s="6" t="str">
        <x:v>Explicit working-day lag</x:v>
      </x:c>
    </x:row>
    <x:row r="135" ht="23" customHeight="1">
      <x:c r="A135" s="1" t="str">
        <x:v>T1-L09-M</x:v>
      </x:c>
      <x:c r="B135" s="1" t="str">
        <x:v>T1-L09-P</x:v>
      </x:c>
      <x:c r="C135" s="1" t="str">
        <x:v>FS</x:v>
      </x:c>
      <x:c r="D135" s="1" t="n">
        <x:v>3</x:v>
      </x:c>
      <x:c r="E135" s="1" t="n">
        <x:f>'Activities'!L125</x:f>
        <x:v>378</x:v>
      </x:c>
      <x:c r="F135" s="1" t="n">
        <x:f>'Activities'!K126</x:f>
        <x:v>381</x:v>
      </x:c>
      <x:c r="G135" s="1" t="n">
        <x:f>F135-E135-D135</x:f>
        <x:v>0</x:v>
      </x:c>
      <x:c r="H135" s="1" t="str">
        <x:v>Explicit working-day lag</x:v>
      </x:c>
    </x:row>
    <x:row r="136" ht="23" customHeight="1">
      <x:c r="A136" s="6" t="str">
        <x:v>T1-L09-P</x:v>
      </x:c>
      <x:c r="B136" s="6" t="str">
        <x:v>T1-L09-S</x:v>
      </x:c>
      <x:c r="C136" s="6" t="str">
        <x:v>FS</x:v>
      </x:c>
      <x:c r="D136" s="6" t="n">
        <x:v>2</x:v>
      </x:c>
      <x:c r="E136" s="6" t="n">
        <x:f>'Activities'!L126</x:f>
        <x:v>387</x:v>
      </x:c>
      <x:c r="F136" s="6" t="n">
        <x:f>'Activities'!K127</x:f>
        <x:v>389</x:v>
      </x:c>
      <x:c r="G136" s="6" t="n">
        <x:f>F136-E136-D136</x:f>
        <x:v>0</x:v>
      </x:c>
      <x:c r="H136" s="6" t="str">
        <x:v>Explicit working-day lag</x:v>
      </x:c>
    </x:row>
    <x:row r="137" ht="23" customHeight="1">
      <x:c r="A137" s="1" t="str">
        <x:v>T1-L09-S</x:v>
      </x:c>
      <x:c r="B137" s="1" t="str">
        <x:v>T1-L09-T</x:v>
      </x:c>
      <x:c r="C137" s="1" t="str">
        <x:v>FS</x:v>
      </x:c>
      <x:c r="D137" s="1" t="n">
        <x:v>14</x:v>
      </x:c>
      <x:c r="E137" s="1" t="n">
        <x:f>'Activities'!L127</x:f>
        <x:v>392</x:v>
      </x:c>
      <x:c r="F137" s="1" t="n">
        <x:f>'Activities'!K128</x:f>
        <x:v>406</x:v>
      </x:c>
      <x:c r="G137" s="1" t="n">
        <x:f>F137-E137-D137</x:f>
        <x:v>0</x:v>
      </x:c>
      <x:c r="H137" s="1" t="str">
        <x:v>Explicit working-day lag</x:v>
      </x:c>
    </x:row>
    <x:row r="138" ht="23" customHeight="1">
      <x:c r="A138" s="6" t="str">
        <x:v>T1-GL</x:v>
      </x:c>
      <x:c r="B138" s="6" t="str">
        <x:v>T1-L09-T</x:v>
      </x:c>
      <x:c r="C138" s="6" t="str">
        <x:v>FS</x:v>
      </x:c>
      <x:c r="D138" s="6" t="n">
        <x:v>0</x:v>
      </x:c>
      <x:c r="E138" s="6" t="n">
        <x:f>'Activities'!L70</x:f>
        <x:v>401</x:v>
      </x:c>
      <x:c r="F138" s="6" t="n">
        <x:f>'Activities'!K128</x:f>
        <x:v>406</x:v>
      </x:c>
      <x:c r="G138" s="6" t="n">
        <x:f>F138-E138-D138</x:f>
        <x:v>5</x:v>
      </x:c>
      <x:c r="H138" s="6" t="str">
        <x:v>Explicit working-day lag</x:v>
      </x:c>
    </x:row>
    <x:row r="139" ht="23" customHeight="1">
      <x:c r="A139" s="1" t="str">
        <x:v>T1-L09-T</x:v>
      </x:c>
      <x:c r="B139" s="1" t="str">
        <x:v>T1-L09-A</x:v>
      </x:c>
      <x:c r="C139" s="1" t="str">
        <x:v>FS</x:v>
      </x:c>
      <x:c r="D139" s="1" t="n">
        <x:v>2</x:v>
      </x:c>
      <x:c r="E139" s="1" t="n">
        <x:f>'Activities'!L128</x:f>
        <x:v>412</x:v>
      </x:c>
      <x:c r="F139" s="1" t="n">
        <x:f>'Activities'!K129</x:f>
        <x:v>414</x:v>
      </x:c>
      <x:c r="G139" s="1" t="n">
        <x:f>F139-E139-D139</x:f>
        <x:v>0</x:v>
      </x:c>
      <x:c r="H139" s="1" t="str">
        <x:v>Explicit working-day lag</x:v>
      </x:c>
    </x:row>
    <x:row r="140" ht="23" customHeight="1">
      <x:c r="A140" s="6" t="str">
        <x:v>T1-L09-A</x:v>
      </x:c>
      <x:c r="B140" s="6" t="str">
        <x:v>T1-L09-D</x:v>
      </x:c>
      <x:c r="C140" s="6" t="str">
        <x:v>FS</x:v>
      </x:c>
      <x:c r="D140" s="6" t="n">
        <x:v>0</x:v>
      </x:c>
      <x:c r="E140" s="6" t="n">
        <x:f>'Activities'!L129</x:f>
        <x:v>419</x:v>
      </x:c>
      <x:c r="F140" s="6" t="n">
        <x:f>'Activities'!K130</x:f>
        <x:v>419</x:v>
      </x:c>
      <x:c r="G140" s="6" t="n">
        <x:f>F140-E140-D140</x:f>
        <x:v>0</x:v>
      </x:c>
      <x:c r="H140" s="6" t="str">
        <x:v>Explicit working-day lag</x:v>
      </x:c>
    </x:row>
    <x:row r="141" ht="23" customHeight="1">
      <x:c r="A141" s="1" t="str">
        <x:v>T1-L12-H</x:v>
      </x:c>
      <x:c r="B141" s="1" t="str">
        <x:v>T1-L10-M</x:v>
      </x:c>
      <x:c r="C141" s="1" t="str">
        <x:v>FS</x:v>
      </x:c>
      <x:c r="D141" s="1" t="n">
        <x:v>5</x:v>
      </x:c>
      <x:c r="E141" s="1" t="n">
        <x:f>'Activities'!L67</x:f>
        <x:v>368</x:v>
      </x:c>
      <x:c r="F141" s="1" t="n">
        <x:f>'Activities'!K131</x:f>
        <x:v>373</x:v>
      </x:c>
      <x:c r="G141" s="1" t="n">
        <x:f>F141-E141-D141</x:f>
        <x:v>0</x:v>
      </x:c>
      <x:c r="H141" s="1" t="str">
        <x:v>Explicit working-day lag</x:v>
      </x:c>
    </x:row>
    <x:row r="142" ht="23" customHeight="1">
      <x:c r="A142" s="6" t="str">
        <x:v>T1-L10-M</x:v>
      </x:c>
      <x:c r="B142" s="6" t="str">
        <x:v>T1-L10-P</x:v>
      </x:c>
      <x:c r="C142" s="6" t="str">
        <x:v>FS</x:v>
      </x:c>
      <x:c r="D142" s="6" t="n">
        <x:v>3</x:v>
      </x:c>
      <x:c r="E142" s="6" t="n">
        <x:f>'Activities'!L131</x:f>
        <x:v>378</x:v>
      </x:c>
      <x:c r="F142" s="6" t="n">
        <x:f>'Activities'!K132</x:f>
        <x:v>381</x:v>
      </x:c>
      <x:c r="G142" s="6" t="n">
        <x:f>F142-E142-D142</x:f>
        <x:v>0</x:v>
      </x:c>
      <x:c r="H142" s="6" t="str">
        <x:v>Explicit working-day lag</x:v>
      </x:c>
    </x:row>
    <x:row r="143" ht="23" customHeight="1">
      <x:c r="A143" s="1" t="str">
        <x:v>T1-L10-P</x:v>
      </x:c>
      <x:c r="B143" s="1" t="str">
        <x:v>T1-L10-S</x:v>
      </x:c>
      <x:c r="C143" s="1" t="str">
        <x:v>FS</x:v>
      </x:c>
      <x:c r="D143" s="1" t="n">
        <x:v>2</x:v>
      </x:c>
      <x:c r="E143" s="1" t="n">
        <x:f>'Activities'!L132</x:f>
        <x:v>387</x:v>
      </x:c>
      <x:c r="F143" s="1" t="n">
        <x:f>'Activities'!K133</x:f>
        <x:v>389</x:v>
      </x:c>
      <x:c r="G143" s="1" t="n">
        <x:f>F143-E143-D143</x:f>
        <x:v>0</x:v>
      </x:c>
      <x:c r="H143" s="1" t="str">
        <x:v>Explicit working-day lag</x:v>
      </x:c>
    </x:row>
    <x:row r="144" ht="23" customHeight="1">
      <x:c r="A144" s="6" t="str">
        <x:v>T1-L10-S</x:v>
      </x:c>
      <x:c r="B144" s="6" t="str">
        <x:v>T1-L10-T</x:v>
      </x:c>
      <x:c r="C144" s="6" t="str">
        <x:v>FS</x:v>
      </x:c>
      <x:c r="D144" s="6" t="n">
        <x:v>14</x:v>
      </x:c>
      <x:c r="E144" s="6" t="n">
        <x:f>'Activities'!L133</x:f>
        <x:v>392</x:v>
      </x:c>
      <x:c r="F144" s="6" t="n">
        <x:f>'Activities'!K134</x:f>
        <x:v>406</x:v>
      </x:c>
      <x:c r="G144" s="6" t="n">
        <x:f>F144-E144-D144</x:f>
        <x:v>0</x:v>
      </x:c>
      <x:c r="H144" s="6" t="str">
        <x:v>Explicit working-day lag</x:v>
      </x:c>
    </x:row>
    <x:row r="145" ht="23" customHeight="1">
      <x:c r="A145" s="1" t="str">
        <x:v>T1-GL</x:v>
      </x:c>
      <x:c r="B145" s="1" t="str">
        <x:v>T1-L10-T</x:v>
      </x:c>
      <x:c r="C145" s="1" t="str">
        <x:v>FS</x:v>
      </x:c>
      <x:c r="D145" s="1" t="n">
        <x:v>0</x:v>
      </x:c>
      <x:c r="E145" s="1" t="n">
        <x:f>'Activities'!L70</x:f>
        <x:v>401</x:v>
      </x:c>
      <x:c r="F145" s="1" t="n">
        <x:f>'Activities'!K134</x:f>
        <x:v>406</x:v>
      </x:c>
      <x:c r="G145" s="1" t="n">
        <x:f>F145-E145-D145</x:f>
        <x:v>5</x:v>
      </x:c>
      <x:c r="H145" s="1" t="str">
        <x:v>Explicit working-day lag</x:v>
      </x:c>
    </x:row>
    <x:row r="146" ht="23" customHeight="1">
      <x:c r="A146" s="6" t="str">
        <x:v>T1-L10-T</x:v>
      </x:c>
      <x:c r="B146" s="6" t="str">
        <x:v>T1-L10-A</x:v>
      </x:c>
      <x:c r="C146" s="6" t="str">
        <x:v>FS</x:v>
      </x:c>
      <x:c r="D146" s="6" t="n">
        <x:v>2</x:v>
      </x:c>
      <x:c r="E146" s="6" t="n">
        <x:f>'Activities'!L134</x:f>
        <x:v>412</x:v>
      </x:c>
      <x:c r="F146" s="6" t="n">
        <x:f>'Activities'!K135</x:f>
        <x:v>414</x:v>
      </x:c>
      <x:c r="G146" s="6" t="n">
        <x:f>F146-E146-D146</x:f>
        <x:v>0</x:v>
      </x:c>
      <x:c r="H146" s="6" t="str">
        <x:v>Explicit working-day lag</x:v>
      </x:c>
    </x:row>
    <x:row r="147" ht="23" customHeight="1">
      <x:c r="A147" s="1" t="str">
        <x:v>T1-L10-A</x:v>
      </x:c>
      <x:c r="B147" s="1" t="str">
        <x:v>T1-L10-D</x:v>
      </x:c>
      <x:c r="C147" s="1" t="str">
        <x:v>FS</x:v>
      </x:c>
      <x:c r="D147" s="1" t="n">
        <x:v>0</x:v>
      </x:c>
      <x:c r="E147" s="1" t="n">
        <x:f>'Activities'!L135</x:f>
        <x:v>419</x:v>
      </x:c>
      <x:c r="F147" s="1" t="n">
        <x:f>'Activities'!K136</x:f>
        <x:v>419</x:v>
      </x:c>
      <x:c r="G147" s="1" t="n">
        <x:f>F147-E147-D147</x:f>
        <x:v>0</x:v>
      </x:c>
      <x:c r="H147" s="1" t="str">
        <x:v>Explicit working-day lag</x:v>
      </x:c>
    </x:row>
    <x:row r="148" ht="23" customHeight="1">
      <x:c r="A148" s="6" t="str">
        <x:v>T1-L12-H</x:v>
      </x:c>
      <x:c r="B148" s="6" t="str">
        <x:v>T1-L11-M</x:v>
      </x:c>
      <x:c r="C148" s="6" t="str">
        <x:v>FS</x:v>
      </x:c>
      <x:c r="D148" s="6" t="n">
        <x:v>5</x:v>
      </x:c>
      <x:c r="E148" s="6" t="n">
        <x:f>'Activities'!L67</x:f>
        <x:v>368</x:v>
      </x:c>
      <x:c r="F148" s="6" t="n">
        <x:f>'Activities'!K137</x:f>
        <x:v>373</x:v>
      </x:c>
      <x:c r="G148" s="6" t="n">
        <x:f>F148-E148-D148</x:f>
        <x:v>0</x:v>
      </x:c>
      <x:c r="H148" s="6" t="str">
        <x:v>Explicit working-day lag</x:v>
      </x:c>
    </x:row>
    <x:row r="149" ht="23" customHeight="1">
      <x:c r="A149" s="1" t="str">
        <x:v>T1-L11-M</x:v>
      </x:c>
      <x:c r="B149" s="1" t="str">
        <x:v>T1-L11-P</x:v>
      </x:c>
      <x:c r="C149" s="1" t="str">
        <x:v>FS</x:v>
      </x:c>
      <x:c r="D149" s="1" t="n">
        <x:v>3</x:v>
      </x:c>
      <x:c r="E149" s="1" t="n">
        <x:f>'Activities'!L137</x:f>
        <x:v>378</x:v>
      </x:c>
      <x:c r="F149" s="1" t="n">
        <x:f>'Activities'!K138</x:f>
        <x:v>381</x:v>
      </x:c>
      <x:c r="G149" s="1" t="n">
        <x:f>F149-E149-D149</x:f>
        <x:v>0</x:v>
      </x:c>
      <x:c r="H149" s="1" t="str">
        <x:v>Explicit working-day lag</x:v>
      </x:c>
    </x:row>
    <x:row r="150" ht="23" customHeight="1">
      <x:c r="A150" s="6" t="str">
        <x:v>T1-L11-P</x:v>
      </x:c>
      <x:c r="B150" s="6" t="str">
        <x:v>T1-L11-S</x:v>
      </x:c>
      <x:c r="C150" s="6" t="str">
        <x:v>FS</x:v>
      </x:c>
      <x:c r="D150" s="6" t="n">
        <x:v>2</x:v>
      </x:c>
      <x:c r="E150" s="6" t="n">
        <x:f>'Activities'!L138</x:f>
        <x:v>387</x:v>
      </x:c>
      <x:c r="F150" s="6" t="n">
        <x:f>'Activities'!K139</x:f>
        <x:v>389</x:v>
      </x:c>
      <x:c r="G150" s="6" t="n">
        <x:f>F150-E150-D150</x:f>
        <x:v>0</x:v>
      </x:c>
      <x:c r="H150" s="6" t="str">
        <x:v>Explicit working-day lag</x:v>
      </x:c>
    </x:row>
    <x:row r="151" ht="23" customHeight="1">
      <x:c r="A151" s="1" t="str">
        <x:v>T1-L11-S</x:v>
      </x:c>
      <x:c r="B151" s="1" t="str">
        <x:v>T1-L11-T</x:v>
      </x:c>
      <x:c r="C151" s="1" t="str">
        <x:v>FS</x:v>
      </x:c>
      <x:c r="D151" s="1" t="n">
        <x:v>14</x:v>
      </x:c>
      <x:c r="E151" s="1" t="n">
        <x:f>'Activities'!L139</x:f>
        <x:v>392</x:v>
      </x:c>
      <x:c r="F151" s="1" t="n">
        <x:f>'Activities'!K140</x:f>
        <x:v>406</x:v>
      </x:c>
      <x:c r="G151" s="1" t="n">
        <x:f>F151-E151-D151</x:f>
        <x:v>0</x:v>
      </x:c>
      <x:c r="H151" s="1" t="str">
        <x:v>Explicit working-day lag</x:v>
      </x:c>
    </x:row>
    <x:row r="152" ht="23" customHeight="1">
      <x:c r="A152" s="6" t="str">
        <x:v>T1-GL</x:v>
      </x:c>
      <x:c r="B152" s="6" t="str">
        <x:v>T1-L11-T</x:v>
      </x:c>
      <x:c r="C152" s="6" t="str">
        <x:v>FS</x:v>
      </x:c>
      <x:c r="D152" s="6" t="n">
        <x:v>0</x:v>
      </x:c>
      <x:c r="E152" s="6" t="n">
        <x:f>'Activities'!L70</x:f>
        <x:v>401</x:v>
      </x:c>
      <x:c r="F152" s="6" t="n">
        <x:f>'Activities'!K140</x:f>
        <x:v>406</x:v>
      </x:c>
      <x:c r="G152" s="6" t="n">
        <x:f>F152-E152-D152</x:f>
        <x:v>5</x:v>
      </x:c>
      <x:c r="H152" s="6" t="str">
        <x:v>Explicit working-day lag</x:v>
      </x:c>
    </x:row>
    <x:row r="153" ht="23" customHeight="1">
      <x:c r="A153" s="1" t="str">
        <x:v>T1-L11-T</x:v>
      </x:c>
      <x:c r="B153" s="1" t="str">
        <x:v>T1-L11-A</x:v>
      </x:c>
      <x:c r="C153" s="1" t="str">
        <x:v>FS</x:v>
      </x:c>
      <x:c r="D153" s="1" t="n">
        <x:v>2</x:v>
      </x:c>
      <x:c r="E153" s="1" t="n">
        <x:f>'Activities'!L140</x:f>
        <x:v>412</x:v>
      </x:c>
      <x:c r="F153" s="1" t="n">
        <x:f>'Activities'!K141</x:f>
        <x:v>414</x:v>
      </x:c>
      <x:c r="G153" s="1" t="n">
        <x:f>F153-E153-D153</x:f>
        <x:v>0</x:v>
      </x:c>
      <x:c r="H153" s="1" t="str">
        <x:v>Explicit working-day lag</x:v>
      </x:c>
    </x:row>
    <x:row r="154" ht="23" customHeight="1">
      <x:c r="A154" s="6" t="str">
        <x:v>T1-L11-A</x:v>
      </x:c>
      <x:c r="B154" s="6" t="str">
        <x:v>T1-L11-D</x:v>
      </x:c>
      <x:c r="C154" s="6" t="str">
        <x:v>FS</x:v>
      </x:c>
      <x:c r="D154" s="6" t="n">
        <x:v>0</x:v>
      </x:c>
      <x:c r="E154" s="6" t="n">
        <x:f>'Activities'!L141</x:f>
        <x:v>419</x:v>
      </x:c>
      <x:c r="F154" s="6" t="n">
        <x:f>'Activities'!K142</x:f>
        <x:v>419</x:v>
      </x:c>
      <x:c r="G154" s="6" t="n">
        <x:f>F154-E154-D154</x:f>
        <x:v>0</x:v>
      </x:c>
      <x:c r="H154" s="6" t="str">
        <x:v>Explicit working-day lag</x:v>
      </x:c>
    </x:row>
    <x:row r="155" ht="23" customHeight="1">
      <x:c r="A155" s="1" t="str">
        <x:v>T1-L12-H</x:v>
      </x:c>
      <x:c r="B155" s="1" t="str">
        <x:v>T1-L12-M</x:v>
      </x:c>
      <x:c r="C155" s="1" t="str">
        <x:v>FS</x:v>
      </x:c>
      <x:c r="D155" s="1" t="n">
        <x:v>5</x:v>
      </x:c>
      <x:c r="E155" s="1" t="n">
        <x:f>'Activities'!L67</x:f>
        <x:v>368</x:v>
      </x:c>
      <x:c r="F155" s="1" t="n">
        <x:f>'Activities'!K143</x:f>
        <x:v>373</x:v>
      </x:c>
      <x:c r="G155" s="1" t="n">
        <x:f>F155-E155-D155</x:f>
        <x:v>0</x:v>
      </x:c>
      <x:c r="H155" s="1" t="str">
        <x:v>Explicit working-day lag</x:v>
      </x:c>
    </x:row>
    <x:row r="156" ht="23" customHeight="1">
      <x:c r="A156" s="6" t="str">
        <x:v>T1-L12-M</x:v>
      </x:c>
      <x:c r="B156" s="6" t="str">
        <x:v>T1-L12-P</x:v>
      </x:c>
      <x:c r="C156" s="6" t="str">
        <x:v>FS</x:v>
      </x:c>
      <x:c r="D156" s="6" t="n">
        <x:v>3</x:v>
      </x:c>
      <x:c r="E156" s="6" t="n">
        <x:f>'Activities'!L143</x:f>
        <x:v>378</x:v>
      </x:c>
      <x:c r="F156" s="6" t="n">
        <x:f>'Activities'!K144</x:f>
        <x:v>381</x:v>
      </x:c>
      <x:c r="G156" s="6" t="n">
        <x:f>F156-E156-D156</x:f>
        <x:v>0</x:v>
      </x:c>
      <x:c r="H156" s="6" t="str">
        <x:v>Explicit working-day lag</x:v>
      </x:c>
    </x:row>
    <x:row r="157" ht="23" customHeight="1">
      <x:c r="A157" s="1" t="str">
        <x:v>T1-L12-P</x:v>
      </x:c>
      <x:c r="B157" s="1" t="str">
        <x:v>T1-L12-S</x:v>
      </x:c>
      <x:c r="C157" s="1" t="str">
        <x:v>FS</x:v>
      </x:c>
      <x:c r="D157" s="1" t="n">
        <x:v>2</x:v>
      </x:c>
      <x:c r="E157" s="1" t="n">
        <x:f>'Activities'!L144</x:f>
        <x:v>387</x:v>
      </x:c>
      <x:c r="F157" s="1" t="n">
        <x:f>'Activities'!K145</x:f>
        <x:v>389</x:v>
      </x:c>
      <x:c r="G157" s="1" t="n">
        <x:f>F157-E157-D157</x:f>
        <x:v>0</x:v>
      </x:c>
      <x:c r="H157" s="1" t="str">
        <x:v>Explicit working-day lag</x:v>
      </x:c>
    </x:row>
    <x:row r="158" ht="23" customHeight="1">
      <x:c r="A158" s="6" t="str">
        <x:v>T1-L12-S</x:v>
      </x:c>
      <x:c r="B158" s="6" t="str">
        <x:v>T1-L12-T</x:v>
      </x:c>
      <x:c r="C158" s="6" t="str">
        <x:v>FS</x:v>
      </x:c>
      <x:c r="D158" s="6" t="n">
        <x:v>14</x:v>
      </x:c>
      <x:c r="E158" s="6" t="n">
        <x:f>'Activities'!L145</x:f>
        <x:v>392</x:v>
      </x:c>
      <x:c r="F158" s="6" t="n">
        <x:f>'Activities'!K146</x:f>
        <x:v>406</x:v>
      </x:c>
      <x:c r="G158" s="6" t="n">
        <x:f>F158-E158-D158</x:f>
        <x:v>0</x:v>
      </x:c>
      <x:c r="H158" s="6" t="str">
        <x:v>Explicit working-day lag</x:v>
      </x:c>
    </x:row>
    <x:row r="159" ht="23" customHeight="1">
      <x:c r="A159" s="1" t="str">
        <x:v>T1-GL</x:v>
      </x:c>
      <x:c r="B159" s="1" t="str">
        <x:v>T1-L12-T</x:v>
      </x:c>
      <x:c r="C159" s="1" t="str">
        <x:v>FS</x:v>
      </x:c>
      <x:c r="D159" s="1" t="n">
        <x:v>0</x:v>
      </x:c>
      <x:c r="E159" s="1" t="n">
        <x:f>'Activities'!L70</x:f>
        <x:v>401</x:v>
      </x:c>
      <x:c r="F159" s="1" t="n">
        <x:f>'Activities'!K146</x:f>
        <x:v>406</x:v>
      </x:c>
      <x:c r="G159" s="1" t="n">
        <x:f>F159-E159-D159</x:f>
        <x:v>5</x:v>
      </x:c>
      <x:c r="H159" s="1" t="str">
        <x:v>Explicit working-day lag</x:v>
      </x:c>
    </x:row>
    <x:row r="160" ht="23" customHeight="1">
      <x:c r="A160" s="6" t="str">
        <x:v>T1-L12-T</x:v>
      </x:c>
      <x:c r="B160" s="6" t="str">
        <x:v>T1-L12-A</x:v>
      </x:c>
      <x:c r="C160" s="6" t="str">
        <x:v>FS</x:v>
      </x:c>
      <x:c r="D160" s="6" t="n">
        <x:v>2</x:v>
      </x:c>
      <x:c r="E160" s="6" t="n">
        <x:f>'Activities'!L146</x:f>
        <x:v>412</x:v>
      </x:c>
      <x:c r="F160" s="6" t="n">
        <x:f>'Activities'!K147</x:f>
        <x:v>414</x:v>
      </x:c>
      <x:c r="G160" s="6" t="n">
        <x:f>F160-E160-D160</x:f>
        <x:v>0</x:v>
      </x:c>
      <x:c r="H160" s="6" t="str">
        <x:v>Explicit working-day lag</x:v>
      </x:c>
    </x:row>
    <x:row r="161" ht="23" customHeight="1">
      <x:c r="A161" s="1" t="str">
        <x:v>T1-L12-A</x:v>
      </x:c>
      <x:c r="B161" s="1" t="str">
        <x:v>T1-L12-D</x:v>
      </x:c>
      <x:c r="C161" s="1" t="str">
        <x:v>FS</x:v>
      </x:c>
      <x:c r="D161" s="1" t="n">
        <x:v>0</x:v>
      </x:c>
      <x:c r="E161" s="1" t="n">
        <x:f>'Activities'!L147</x:f>
        <x:v>419</x:v>
      </x:c>
      <x:c r="F161" s="1" t="n">
        <x:f>'Activities'!K148</x:f>
        <x:v>419</x:v>
      </x:c>
      <x:c r="G161" s="1" t="n">
        <x:f>F161-E161-D161</x:f>
        <x:v>0</x:v>
      </x:c>
      <x:c r="H161" s="1" t="str">
        <x:v>Explicit working-day lag</x:v>
      </x:c>
    </x:row>
    <x:row r="162" ht="23" customHeight="1">
      <x:c r="A162" s="6" t="str">
        <x:v>P-040</x:v>
      </x:c>
      <x:c r="B162" s="6" t="str">
        <x:v>T2-L00-F</x:v>
      </x:c>
      <x:c r="C162" s="6" t="str">
        <x:v>FS</x:v>
      </x:c>
      <x:c r="D162" s="6" t="n">
        <x:f>(7+1*'Controls'!$B$11)</x:f>
        <x:v>19</x:v>
      </x:c>
      <x:c r="E162" s="6" t="n">
        <x:f>'Activities'!L12</x:f>
        <x:v>127</x:v>
      </x:c>
      <x:c r="F162" s="6" t="n">
        <x:f>'Activities'!K149</x:f>
        <x:v>146</x:v>
      </x:c>
      <x:c r="G162" s="6" t="n">
        <x:f>F162-E162-D162</x:f>
        <x:v>0</x:v>
      </x:c>
      <x:c r="H162" s="6" t="str">
        <x:v>Explicit working-day lag</x:v>
      </x:c>
    </x:row>
    <x:row r="163" ht="23" customHeight="1">
      <x:c r="A163" s="1" t="str">
        <x:v>T2-L00-F</x:v>
      </x:c>
      <x:c r="B163" s="1" t="str">
        <x:v>T2-L00-R</x:v>
      </x:c>
      <x:c r="C163" s="1" t="str">
        <x:v>FS</x:v>
      </x:c>
      <x:c r="D163" s="1" t="n">
        <x:v>0</x:v>
      </x:c>
      <x:c r="E163" s="1" t="n">
        <x:f>'Activities'!L149</x:f>
        <x:v>152</x:v>
      </x:c>
      <x:c r="F163" s="1" t="n">
        <x:f>'Activities'!K150</x:f>
        <x:v>152</x:v>
      </x:c>
      <x:c r="G163" s="1" t="n">
        <x:f>F163-E163-D163</x:f>
        <x:v>0</x:v>
      </x:c>
      <x:c r="H163" s="1" t="str">
        <x:v>Explicit working-day lag</x:v>
      </x:c>
    </x:row>
    <x:row r="164" ht="23" customHeight="1">
      <x:c r="A164" s="6" t="str">
        <x:v>T2-L00-R</x:v>
      </x:c>
      <x:c r="B164" s="6" t="str">
        <x:v>T2-L00-C</x:v>
      </x:c>
      <x:c r="C164" s="6" t="str">
        <x:v>FS</x:v>
      </x:c>
      <x:c r="D164" s="6" t="n">
        <x:v>0</x:v>
      </x:c>
      <x:c r="E164" s="6" t="n">
        <x:f>'Activities'!L150</x:f>
        <x:v>157</x:v>
      </x:c>
      <x:c r="F164" s="6" t="n">
        <x:f>'Activities'!K151</x:f>
        <x:v>157</x:v>
      </x:c>
      <x:c r="G164" s="6" t="n">
        <x:f>F164-E164-D164</x:f>
        <x:v>0</x:v>
      </x:c>
      <x:c r="H164" s="6" t="str">
        <x:v>Explicit working-day lag</x:v>
      </x:c>
    </x:row>
    <x:row r="165" ht="23" customHeight="1">
      <x:c r="A165" s="1" t="str">
        <x:v>T2-L00-C</x:v>
      </x:c>
      <x:c r="B165" s="1" t="str">
        <x:v>T2-L00-H</x:v>
      </x:c>
      <x:c r="C165" s="1" t="str">
        <x:v>FS</x:v>
      </x:c>
      <x:c r="D165" s="1" t="n">
        <x:v>0</x:v>
      </x:c>
      <x:c r="E165" s="1" t="n">
        <x:f>'Activities'!L151</x:f>
        <x:v>159</x:v>
      </x:c>
      <x:c r="F165" s="1" t="n">
        <x:f>'Activities'!K152</x:f>
        <x:v>159</x:v>
      </x:c>
      <x:c r="G165" s="1" t="n">
        <x:f>F165-E165-D165</x:f>
        <x:v>0</x:v>
      </x:c>
      <x:c r="H165" s="1" t="str">
        <x:v>Explicit working-day lag</x:v>
      </x:c>
    </x:row>
    <x:row r="166" ht="23" customHeight="1">
      <x:c r="A166" s="6" t="str">
        <x:v>T2-L00-H</x:v>
      </x:c>
      <x:c r="B166" s="6" t="str">
        <x:v>T2-L01-F</x:v>
      </x:c>
      <x:c r="C166" s="6" t="str">
        <x:v>FS</x:v>
      </x:c>
      <x:c r="D166" s="6" t="n">
        <x:v>0</x:v>
      </x:c>
      <x:c r="E166" s="6" t="n">
        <x:f>'Activities'!L152</x:f>
        <x:v>164</x:v>
      </x:c>
      <x:c r="F166" s="6" t="n">
        <x:f>'Activities'!K153</x:f>
        <x:v>164</x:v>
      </x:c>
      <x:c r="G166" s="6" t="n">
        <x:f>F166-E166-D166</x:f>
        <x:v>0</x:v>
      </x:c>
      <x:c r="H166" s="6" t="str">
        <x:v>Explicit working-day lag</x:v>
      </x:c>
    </x:row>
    <x:row r="167" ht="23" customHeight="1">
      <x:c r="A167" s="1" t="str">
        <x:v>T2-L01-F</x:v>
      </x:c>
      <x:c r="B167" s="1" t="str">
        <x:v>T2-L01-R</x:v>
      </x:c>
      <x:c r="C167" s="1" t="str">
        <x:v>FS</x:v>
      </x:c>
      <x:c r="D167" s="1" t="n">
        <x:v>0</x:v>
      </x:c>
      <x:c r="E167" s="1" t="n">
        <x:f>'Activities'!L153</x:f>
        <x:v>170</x:v>
      </x:c>
      <x:c r="F167" s="1" t="n">
        <x:f>'Activities'!K154</x:f>
        <x:v>170</x:v>
      </x:c>
      <x:c r="G167" s="1" t="n">
        <x:f>F167-E167-D167</x:f>
        <x:v>0</x:v>
      </x:c>
      <x:c r="H167" s="1" t="str">
        <x:v>Explicit working-day lag</x:v>
      </x:c>
    </x:row>
    <x:row r="168" ht="23" customHeight="1">
      <x:c r="A168" s="6" t="str">
        <x:v>T2-L01-R</x:v>
      </x:c>
      <x:c r="B168" s="6" t="str">
        <x:v>T2-L01-C</x:v>
      </x:c>
      <x:c r="C168" s="6" t="str">
        <x:v>FS</x:v>
      </x:c>
      <x:c r="D168" s="6" t="n">
        <x:v>0</x:v>
      </x:c>
      <x:c r="E168" s="6" t="n">
        <x:f>'Activities'!L154</x:f>
        <x:v>175</x:v>
      </x:c>
      <x:c r="F168" s="6" t="n">
        <x:f>'Activities'!K155</x:f>
        <x:v>175</x:v>
      </x:c>
      <x:c r="G168" s="6" t="n">
        <x:f>F168-E168-D168</x:f>
        <x:v>0</x:v>
      </x:c>
      <x:c r="H168" s="6" t="str">
        <x:v>Explicit working-day lag</x:v>
      </x:c>
    </x:row>
    <x:row r="169" ht="23" customHeight="1">
      <x:c r="A169" s="1" t="str">
        <x:v>T2-L01-C</x:v>
      </x:c>
      <x:c r="B169" s="1" t="str">
        <x:v>T2-L01-H</x:v>
      </x:c>
      <x:c r="C169" s="1" t="str">
        <x:v>FS</x:v>
      </x:c>
      <x:c r="D169" s="1" t="n">
        <x:v>0</x:v>
      </x:c>
      <x:c r="E169" s="1" t="n">
        <x:f>'Activities'!L155</x:f>
        <x:v>177</x:v>
      </x:c>
      <x:c r="F169" s="1" t="n">
        <x:f>'Activities'!K156</x:f>
        <x:v>177</x:v>
      </x:c>
      <x:c r="G169" s="1" t="n">
        <x:f>F169-E169-D169</x:f>
        <x:v>0</x:v>
      </x:c>
      <x:c r="H169" s="1" t="str">
        <x:v>Explicit working-day lag</x:v>
      </x:c>
    </x:row>
    <x:row r="170" ht="23" customHeight="1">
      <x:c r="A170" s="6" t="str">
        <x:v>T2-L01-H</x:v>
      </x:c>
      <x:c r="B170" s="6" t="str">
        <x:v>T2-L02-F</x:v>
      </x:c>
      <x:c r="C170" s="6" t="str">
        <x:v>FS</x:v>
      </x:c>
      <x:c r="D170" s="6" t="n">
        <x:v>0</x:v>
      </x:c>
      <x:c r="E170" s="6" t="n">
        <x:f>'Activities'!L156</x:f>
        <x:v>182</x:v>
      </x:c>
      <x:c r="F170" s="6" t="n">
        <x:f>'Activities'!K157</x:f>
        <x:v>182</x:v>
      </x:c>
      <x:c r="G170" s="6" t="n">
        <x:f>F170-E170-D170</x:f>
        <x:v>0</x:v>
      </x:c>
      <x:c r="H170" s="6" t="str">
        <x:v>Explicit working-day lag</x:v>
      </x:c>
    </x:row>
    <x:row r="171" ht="23" customHeight="1">
      <x:c r="A171" s="1" t="str">
        <x:v>T2-L02-F</x:v>
      </x:c>
      <x:c r="B171" s="1" t="str">
        <x:v>T2-L02-R</x:v>
      </x:c>
      <x:c r="C171" s="1" t="str">
        <x:v>FS</x:v>
      </x:c>
      <x:c r="D171" s="1" t="n">
        <x:v>0</x:v>
      </x:c>
      <x:c r="E171" s="1" t="n">
        <x:f>'Activities'!L157</x:f>
        <x:v>188</x:v>
      </x:c>
      <x:c r="F171" s="1" t="n">
        <x:f>'Activities'!K158</x:f>
        <x:v>188</x:v>
      </x:c>
      <x:c r="G171" s="1" t="n">
        <x:f>F171-E171-D171</x:f>
        <x:v>0</x:v>
      </x:c>
      <x:c r="H171" s="1" t="str">
        <x:v>Explicit working-day lag</x:v>
      </x:c>
    </x:row>
    <x:row r="172" ht="23" customHeight="1">
      <x:c r="A172" s="6" t="str">
        <x:v>T2-L02-R</x:v>
      </x:c>
      <x:c r="B172" s="6" t="str">
        <x:v>T2-L02-C</x:v>
      </x:c>
      <x:c r="C172" s="6" t="str">
        <x:v>FS</x:v>
      </x:c>
      <x:c r="D172" s="6" t="n">
        <x:v>0</x:v>
      </x:c>
      <x:c r="E172" s="6" t="n">
        <x:f>'Activities'!L158</x:f>
        <x:v>193</x:v>
      </x:c>
      <x:c r="F172" s="6" t="n">
        <x:f>'Activities'!K159</x:f>
        <x:v>193</x:v>
      </x:c>
      <x:c r="G172" s="6" t="n">
        <x:f>F172-E172-D172</x:f>
        <x:v>0</x:v>
      </x:c>
      <x:c r="H172" s="6" t="str">
        <x:v>Explicit working-day lag</x:v>
      </x:c>
    </x:row>
    <x:row r="173" ht="23" customHeight="1">
      <x:c r="A173" s="1" t="str">
        <x:v>T2-L02-C</x:v>
      </x:c>
      <x:c r="B173" s="1" t="str">
        <x:v>T2-L02-H</x:v>
      </x:c>
      <x:c r="C173" s="1" t="str">
        <x:v>FS</x:v>
      </x:c>
      <x:c r="D173" s="1" t="n">
        <x:v>0</x:v>
      </x:c>
      <x:c r="E173" s="1" t="n">
        <x:f>'Activities'!L159</x:f>
        <x:v>195</x:v>
      </x:c>
      <x:c r="F173" s="1" t="n">
        <x:f>'Activities'!K160</x:f>
        <x:v>195</x:v>
      </x:c>
      <x:c r="G173" s="1" t="n">
        <x:f>F173-E173-D173</x:f>
        <x:v>0</x:v>
      </x:c>
      <x:c r="H173" s="1" t="str">
        <x:v>Explicit working-day lag</x:v>
      </x:c>
    </x:row>
    <x:row r="174" ht="23" customHeight="1">
      <x:c r="A174" s="6" t="str">
        <x:v>T2-L02-H</x:v>
      </x:c>
      <x:c r="B174" s="6" t="str">
        <x:v>T2-L03-F</x:v>
      </x:c>
      <x:c r="C174" s="6" t="str">
        <x:v>FS</x:v>
      </x:c>
      <x:c r="D174" s="6" t="n">
        <x:v>0</x:v>
      </x:c>
      <x:c r="E174" s="6" t="n">
        <x:f>'Activities'!L160</x:f>
        <x:v>200</x:v>
      </x:c>
      <x:c r="F174" s="6" t="n">
        <x:f>'Activities'!K161</x:f>
        <x:v>200</x:v>
      </x:c>
      <x:c r="G174" s="6" t="n">
        <x:f>F174-E174-D174</x:f>
        <x:v>0</x:v>
      </x:c>
      <x:c r="H174" s="6" t="str">
        <x:v>Explicit working-day lag</x:v>
      </x:c>
    </x:row>
    <x:row r="175" ht="23" customHeight="1">
      <x:c r="A175" s="1" t="str">
        <x:v>T2-L03-F</x:v>
      </x:c>
      <x:c r="B175" s="1" t="str">
        <x:v>T2-L03-R</x:v>
      </x:c>
      <x:c r="C175" s="1" t="str">
        <x:v>FS</x:v>
      </x:c>
      <x:c r="D175" s="1" t="n">
        <x:v>0</x:v>
      </x:c>
      <x:c r="E175" s="1" t="n">
        <x:f>'Activities'!L161</x:f>
        <x:v>206</x:v>
      </x:c>
      <x:c r="F175" s="1" t="n">
        <x:f>'Activities'!K162</x:f>
        <x:v>206</x:v>
      </x:c>
      <x:c r="G175" s="1" t="n">
        <x:f>F175-E175-D175</x:f>
        <x:v>0</x:v>
      </x:c>
      <x:c r="H175" s="1" t="str">
        <x:v>Explicit working-day lag</x:v>
      </x:c>
    </x:row>
    <x:row r="176" ht="23" customHeight="1">
      <x:c r="A176" s="6" t="str">
        <x:v>T2-L03-R</x:v>
      </x:c>
      <x:c r="B176" s="6" t="str">
        <x:v>T2-L03-C</x:v>
      </x:c>
      <x:c r="C176" s="6" t="str">
        <x:v>FS</x:v>
      </x:c>
      <x:c r="D176" s="6" t="n">
        <x:v>0</x:v>
      </x:c>
      <x:c r="E176" s="6" t="n">
        <x:f>'Activities'!L162</x:f>
        <x:v>211</x:v>
      </x:c>
      <x:c r="F176" s="6" t="n">
        <x:f>'Activities'!K163</x:f>
        <x:v>211</x:v>
      </x:c>
      <x:c r="G176" s="6" t="n">
        <x:f>F176-E176-D176</x:f>
        <x:v>0</x:v>
      </x:c>
      <x:c r="H176" s="6" t="str">
        <x:v>Explicit working-day lag</x:v>
      </x:c>
    </x:row>
    <x:row r="177" ht="23" customHeight="1">
      <x:c r="A177" s="1" t="str">
        <x:v>T2-L03-C</x:v>
      </x:c>
      <x:c r="B177" s="1" t="str">
        <x:v>T2-L03-H</x:v>
      </x:c>
      <x:c r="C177" s="1" t="str">
        <x:v>FS</x:v>
      </x:c>
      <x:c r="D177" s="1" t="n">
        <x:v>0</x:v>
      </x:c>
      <x:c r="E177" s="1" t="n">
        <x:f>'Activities'!L163</x:f>
        <x:v>213</x:v>
      </x:c>
      <x:c r="F177" s="1" t="n">
        <x:f>'Activities'!K164</x:f>
        <x:v>213</x:v>
      </x:c>
      <x:c r="G177" s="1" t="n">
        <x:f>F177-E177-D177</x:f>
        <x:v>0</x:v>
      </x:c>
      <x:c r="H177" s="1" t="str">
        <x:v>Explicit working-day lag</x:v>
      </x:c>
    </x:row>
    <x:row r="178" ht="23" customHeight="1">
      <x:c r="A178" s="6" t="str">
        <x:v>T2-L03-H</x:v>
      </x:c>
      <x:c r="B178" s="6" t="str">
        <x:v>T2-L04-F</x:v>
      </x:c>
      <x:c r="C178" s="6" t="str">
        <x:v>FS</x:v>
      </x:c>
      <x:c r="D178" s="6" t="n">
        <x:v>0</x:v>
      </x:c>
      <x:c r="E178" s="6" t="n">
        <x:f>'Activities'!L164</x:f>
        <x:v>218</x:v>
      </x:c>
      <x:c r="F178" s="6" t="n">
        <x:f>'Activities'!K165</x:f>
        <x:v>218</x:v>
      </x:c>
      <x:c r="G178" s="6" t="n">
        <x:f>F178-E178-D178</x:f>
        <x:v>0</x:v>
      </x:c>
      <x:c r="H178" s="6" t="str">
        <x:v>Explicit working-day lag</x:v>
      </x:c>
    </x:row>
    <x:row r="179" ht="23" customHeight="1">
      <x:c r="A179" s="1" t="str">
        <x:v>T2-L04-F</x:v>
      </x:c>
      <x:c r="B179" s="1" t="str">
        <x:v>T2-L04-R</x:v>
      </x:c>
      <x:c r="C179" s="1" t="str">
        <x:v>FS</x:v>
      </x:c>
      <x:c r="D179" s="1" t="n">
        <x:v>0</x:v>
      </x:c>
      <x:c r="E179" s="1" t="n">
        <x:f>'Activities'!L165</x:f>
        <x:v>224</x:v>
      </x:c>
      <x:c r="F179" s="1" t="n">
        <x:f>'Activities'!K166</x:f>
        <x:v>224</x:v>
      </x:c>
      <x:c r="G179" s="1" t="n">
        <x:f>F179-E179-D179</x:f>
        <x:v>0</x:v>
      </x:c>
      <x:c r="H179" s="1" t="str">
        <x:v>Explicit working-day lag</x:v>
      </x:c>
    </x:row>
    <x:row r="180" ht="23" customHeight="1">
      <x:c r="A180" s="6" t="str">
        <x:v>T2-L04-R</x:v>
      </x:c>
      <x:c r="B180" s="6" t="str">
        <x:v>T2-L04-C</x:v>
      </x:c>
      <x:c r="C180" s="6" t="str">
        <x:v>FS</x:v>
      </x:c>
      <x:c r="D180" s="6" t="n">
        <x:v>0</x:v>
      </x:c>
      <x:c r="E180" s="6" t="n">
        <x:f>'Activities'!L166</x:f>
        <x:v>229</x:v>
      </x:c>
      <x:c r="F180" s="6" t="n">
        <x:f>'Activities'!K167</x:f>
        <x:v>229</x:v>
      </x:c>
      <x:c r="G180" s="6" t="n">
        <x:f>F180-E180-D180</x:f>
        <x:v>0</x:v>
      </x:c>
      <x:c r="H180" s="6" t="str">
        <x:v>Explicit working-day lag</x:v>
      </x:c>
    </x:row>
    <x:row r="181" ht="23" customHeight="1">
      <x:c r="A181" s="1" t="str">
        <x:v>T2-L04-C</x:v>
      </x:c>
      <x:c r="B181" s="1" t="str">
        <x:v>T2-L04-H</x:v>
      </x:c>
      <x:c r="C181" s="1" t="str">
        <x:v>FS</x:v>
      </x:c>
      <x:c r="D181" s="1" t="n">
        <x:v>0</x:v>
      </x:c>
      <x:c r="E181" s="1" t="n">
        <x:f>'Activities'!L167</x:f>
        <x:v>231</x:v>
      </x:c>
      <x:c r="F181" s="1" t="n">
        <x:f>'Activities'!K168</x:f>
        <x:v>231</x:v>
      </x:c>
      <x:c r="G181" s="1" t="n">
        <x:f>F181-E181-D181</x:f>
        <x:v>0</x:v>
      </x:c>
      <x:c r="H181" s="1" t="str">
        <x:v>Explicit working-day lag</x:v>
      </x:c>
    </x:row>
    <x:row r="182" ht="23" customHeight="1">
      <x:c r="A182" s="6" t="str">
        <x:v>T2-L04-H</x:v>
      </x:c>
      <x:c r="B182" s="6" t="str">
        <x:v>T2-L05-F</x:v>
      </x:c>
      <x:c r="C182" s="6" t="str">
        <x:v>FS</x:v>
      </x:c>
      <x:c r="D182" s="6" t="n">
        <x:v>0</x:v>
      </x:c>
      <x:c r="E182" s="6" t="n">
        <x:f>'Activities'!L168</x:f>
        <x:v>236</x:v>
      </x:c>
      <x:c r="F182" s="6" t="n">
        <x:f>'Activities'!K169</x:f>
        <x:v>236</x:v>
      </x:c>
      <x:c r="G182" s="6" t="n">
        <x:f>F182-E182-D182</x:f>
        <x:v>0</x:v>
      </x:c>
      <x:c r="H182" s="6" t="str">
        <x:v>Explicit working-day lag</x:v>
      </x:c>
    </x:row>
    <x:row r="183" ht="23" customHeight="1">
      <x:c r="A183" s="1" t="str">
        <x:v>T2-L05-F</x:v>
      </x:c>
      <x:c r="B183" s="1" t="str">
        <x:v>T2-L05-R</x:v>
      </x:c>
      <x:c r="C183" s="1" t="str">
        <x:v>FS</x:v>
      </x:c>
      <x:c r="D183" s="1" t="n">
        <x:v>0</x:v>
      </x:c>
      <x:c r="E183" s="1" t="n">
        <x:f>'Activities'!L169</x:f>
        <x:v>242</x:v>
      </x:c>
      <x:c r="F183" s="1" t="n">
        <x:f>'Activities'!K170</x:f>
        <x:v>242</x:v>
      </x:c>
      <x:c r="G183" s="1" t="n">
        <x:f>F183-E183-D183</x:f>
        <x:v>0</x:v>
      </x:c>
      <x:c r="H183" s="1" t="str">
        <x:v>Explicit working-day lag</x:v>
      </x:c>
    </x:row>
    <x:row r="184" ht="23" customHeight="1">
      <x:c r="A184" s="6" t="str">
        <x:v>T2-L05-R</x:v>
      </x:c>
      <x:c r="B184" s="6" t="str">
        <x:v>T2-L05-C</x:v>
      </x:c>
      <x:c r="C184" s="6" t="str">
        <x:v>FS</x:v>
      </x:c>
      <x:c r="D184" s="6" t="n">
        <x:v>0</x:v>
      </x:c>
      <x:c r="E184" s="6" t="n">
        <x:f>'Activities'!L170</x:f>
        <x:v>247</x:v>
      </x:c>
      <x:c r="F184" s="6" t="n">
        <x:f>'Activities'!K171</x:f>
        <x:v>247</x:v>
      </x:c>
      <x:c r="G184" s="6" t="n">
        <x:f>F184-E184-D184</x:f>
        <x:v>0</x:v>
      </x:c>
      <x:c r="H184" s="6" t="str">
        <x:v>Explicit working-day lag</x:v>
      </x:c>
    </x:row>
    <x:row r="185" ht="23" customHeight="1">
      <x:c r="A185" s="1" t="str">
        <x:v>T2-L05-C</x:v>
      </x:c>
      <x:c r="B185" s="1" t="str">
        <x:v>T2-L05-H</x:v>
      </x:c>
      <x:c r="C185" s="1" t="str">
        <x:v>FS</x:v>
      </x:c>
      <x:c r="D185" s="1" t="n">
        <x:v>0</x:v>
      </x:c>
      <x:c r="E185" s="1" t="n">
        <x:f>'Activities'!L171</x:f>
        <x:v>249</x:v>
      </x:c>
      <x:c r="F185" s="1" t="n">
        <x:f>'Activities'!K172</x:f>
        <x:v>249</x:v>
      </x:c>
      <x:c r="G185" s="1" t="n">
        <x:f>F185-E185-D185</x:f>
        <x:v>0</x:v>
      </x:c>
      <x:c r="H185" s="1" t="str">
        <x:v>Explicit working-day lag</x:v>
      </x:c>
    </x:row>
    <x:row r="186" ht="23" customHeight="1">
      <x:c r="A186" s="6" t="str">
        <x:v>T2-L05-H</x:v>
      </x:c>
      <x:c r="B186" s="6" t="str">
        <x:v>T2-L06-F</x:v>
      </x:c>
      <x:c r="C186" s="6" t="str">
        <x:v>FS</x:v>
      </x:c>
      <x:c r="D186" s="6" t="n">
        <x:v>0</x:v>
      </x:c>
      <x:c r="E186" s="6" t="n">
        <x:f>'Activities'!L172</x:f>
        <x:v>254</x:v>
      </x:c>
      <x:c r="F186" s="6" t="n">
        <x:f>'Activities'!K173</x:f>
        <x:v>254</x:v>
      </x:c>
      <x:c r="G186" s="6" t="n">
        <x:f>F186-E186-D186</x:f>
        <x:v>0</x:v>
      </x:c>
      <x:c r="H186" s="6" t="str">
        <x:v>Explicit working-day lag</x:v>
      </x:c>
    </x:row>
    <x:row r="187" ht="23" customHeight="1">
      <x:c r="A187" s="1" t="str">
        <x:v>T2-L06-F</x:v>
      </x:c>
      <x:c r="B187" s="1" t="str">
        <x:v>T2-L06-R</x:v>
      </x:c>
      <x:c r="C187" s="1" t="str">
        <x:v>FS</x:v>
      </x:c>
      <x:c r="D187" s="1" t="n">
        <x:v>0</x:v>
      </x:c>
      <x:c r="E187" s="1" t="n">
        <x:f>'Activities'!L173</x:f>
        <x:v>260</x:v>
      </x:c>
      <x:c r="F187" s="1" t="n">
        <x:f>'Activities'!K174</x:f>
        <x:v>260</x:v>
      </x:c>
      <x:c r="G187" s="1" t="n">
        <x:f>F187-E187-D187</x:f>
        <x:v>0</x:v>
      </x:c>
      <x:c r="H187" s="1" t="str">
        <x:v>Explicit working-day lag</x:v>
      </x:c>
    </x:row>
    <x:row r="188" ht="23" customHeight="1">
      <x:c r="A188" s="6" t="str">
        <x:v>T2-L06-R</x:v>
      </x:c>
      <x:c r="B188" s="6" t="str">
        <x:v>T2-L06-C</x:v>
      </x:c>
      <x:c r="C188" s="6" t="str">
        <x:v>FS</x:v>
      </x:c>
      <x:c r="D188" s="6" t="n">
        <x:v>0</x:v>
      </x:c>
      <x:c r="E188" s="6" t="n">
        <x:f>'Activities'!L174</x:f>
        <x:v>265</x:v>
      </x:c>
      <x:c r="F188" s="6" t="n">
        <x:f>'Activities'!K175</x:f>
        <x:v>265</x:v>
      </x:c>
      <x:c r="G188" s="6" t="n">
        <x:f>F188-E188-D188</x:f>
        <x:v>0</x:v>
      </x:c>
      <x:c r="H188" s="6" t="str">
        <x:v>Explicit working-day lag</x:v>
      </x:c>
    </x:row>
    <x:row r="189" ht="23" customHeight="1">
      <x:c r="A189" s="1" t="str">
        <x:v>T2-L06-C</x:v>
      </x:c>
      <x:c r="B189" s="1" t="str">
        <x:v>T2-L06-H</x:v>
      </x:c>
      <x:c r="C189" s="1" t="str">
        <x:v>FS</x:v>
      </x:c>
      <x:c r="D189" s="1" t="n">
        <x:v>0</x:v>
      </x:c>
      <x:c r="E189" s="1" t="n">
        <x:f>'Activities'!L175</x:f>
        <x:v>267</x:v>
      </x:c>
      <x:c r="F189" s="1" t="n">
        <x:f>'Activities'!K176</x:f>
        <x:v>267</x:v>
      </x:c>
      <x:c r="G189" s="1" t="n">
        <x:f>F189-E189-D189</x:f>
        <x:v>0</x:v>
      </x:c>
      <x:c r="H189" s="1" t="str">
        <x:v>Explicit working-day lag</x:v>
      </x:c>
    </x:row>
    <x:row r="190" ht="23" customHeight="1">
      <x:c r="A190" s="6" t="str">
        <x:v>T2-L06-H</x:v>
      </x:c>
      <x:c r="B190" s="6" t="str">
        <x:v>T2-L07-F</x:v>
      </x:c>
      <x:c r="C190" s="6" t="str">
        <x:v>FS</x:v>
      </x:c>
      <x:c r="D190" s="6" t="n">
        <x:v>0</x:v>
      </x:c>
      <x:c r="E190" s="6" t="n">
        <x:f>'Activities'!L176</x:f>
        <x:v>272</x:v>
      </x:c>
      <x:c r="F190" s="6" t="n">
        <x:f>'Activities'!K177</x:f>
        <x:v>272</x:v>
      </x:c>
      <x:c r="G190" s="6" t="n">
        <x:f>F190-E190-D190</x:f>
        <x:v>0</x:v>
      </x:c>
      <x:c r="H190" s="6" t="str">
        <x:v>Explicit working-day lag</x:v>
      </x:c>
    </x:row>
    <x:row r="191" ht="23" customHeight="1">
      <x:c r="A191" s="1" t="str">
        <x:v>T2-L07-F</x:v>
      </x:c>
      <x:c r="B191" s="1" t="str">
        <x:v>T2-L07-R</x:v>
      </x:c>
      <x:c r="C191" s="1" t="str">
        <x:v>FS</x:v>
      </x:c>
      <x:c r="D191" s="1" t="n">
        <x:v>0</x:v>
      </x:c>
      <x:c r="E191" s="1" t="n">
        <x:f>'Activities'!L177</x:f>
        <x:v>278</x:v>
      </x:c>
      <x:c r="F191" s="1" t="n">
        <x:f>'Activities'!K178</x:f>
        <x:v>278</x:v>
      </x:c>
      <x:c r="G191" s="1" t="n">
        <x:f>F191-E191-D191</x:f>
        <x:v>0</x:v>
      </x:c>
      <x:c r="H191" s="1" t="str">
        <x:v>Explicit working-day lag</x:v>
      </x:c>
    </x:row>
    <x:row r="192" ht="23" customHeight="1">
      <x:c r="A192" s="6" t="str">
        <x:v>T2-L07-R</x:v>
      </x:c>
      <x:c r="B192" s="6" t="str">
        <x:v>T2-L07-C</x:v>
      </x:c>
      <x:c r="C192" s="6" t="str">
        <x:v>FS</x:v>
      </x:c>
      <x:c r="D192" s="6" t="n">
        <x:v>0</x:v>
      </x:c>
      <x:c r="E192" s="6" t="n">
        <x:f>'Activities'!L178</x:f>
        <x:v>283</x:v>
      </x:c>
      <x:c r="F192" s="6" t="n">
        <x:f>'Activities'!K179</x:f>
        <x:v>283</x:v>
      </x:c>
      <x:c r="G192" s="6" t="n">
        <x:f>F192-E192-D192</x:f>
        <x:v>0</x:v>
      </x:c>
      <x:c r="H192" s="6" t="str">
        <x:v>Explicit working-day lag</x:v>
      </x:c>
    </x:row>
    <x:row r="193" ht="23" customHeight="1">
      <x:c r="A193" s="1" t="str">
        <x:v>T2-L07-C</x:v>
      </x:c>
      <x:c r="B193" s="1" t="str">
        <x:v>T2-L07-H</x:v>
      </x:c>
      <x:c r="C193" s="1" t="str">
        <x:v>FS</x:v>
      </x:c>
      <x:c r="D193" s="1" t="n">
        <x:v>0</x:v>
      </x:c>
      <x:c r="E193" s="1" t="n">
        <x:f>'Activities'!L179</x:f>
        <x:v>285</x:v>
      </x:c>
      <x:c r="F193" s="1" t="n">
        <x:f>'Activities'!K180</x:f>
        <x:v>285</x:v>
      </x:c>
      <x:c r="G193" s="1" t="n">
        <x:f>F193-E193-D193</x:f>
        <x:v>0</x:v>
      </x:c>
      <x:c r="H193" s="1" t="str">
        <x:v>Explicit working-day lag</x:v>
      </x:c>
    </x:row>
    <x:row r="194" ht="23" customHeight="1">
      <x:c r="A194" s="6" t="str">
        <x:v>T2-L07-H</x:v>
      </x:c>
      <x:c r="B194" s="6" t="str">
        <x:v>T2-L08-F</x:v>
      </x:c>
      <x:c r="C194" s="6" t="str">
        <x:v>FS</x:v>
      </x:c>
      <x:c r="D194" s="6" t="n">
        <x:v>0</x:v>
      </x:c>
      <x:c r="E194" s="6" t="n">
        <x:f>'Activities'!L180</x:f>
        <x:v>290</x:v>
      </x:c>
      <x:c r="F194" s="6" t="n">
        <x:f>'Activities'!K181</x:f>
        <x:v>290</x:v>
      </x:c>
      <x:c r="G194" s="6" t="n">
        <x:f>F194-E194-D194</x:f>
        <x:v>0</x:v>
      </x:c>
      <x:c r="H194" s="6" t="str">
        <x:v>Explicit working-day lag</x:v>
      </x:c>
    </x:row>
    <x:row r="195" ht="23" customHeight="1">
      <x:c r="A195" s="1" t="str">
        <x:v>T2-L08-F</x:v>
      </x:c>
      <x:c r="B195" s="1" t="str">
        <x:v>T2-L08-R</x:v>
      </x:c>
      <x:c r="C195" s="1" t="str">
        <x:v>FS</x:v>
      </x:c>
      <x:c r="D195" s="1" t="n">
        <x:v>0</x:v>
      </x:c>
      <x:c r="E195" s="1" t="n">
        <x:f>'Activities'!L181</x:f>
        <x:v>296</x:v>
      </x:c>
      <x:c r="F195" s="1" t="n">
        <x:f>'Activities'!K182</x:f>
        <x:v>296</x:v>
      </x:c>
      <x:c r="G195" s="1" t="n">
        <x:f>F195-E195-D195</x:f>
        <x:v>0</x:v>
      </x:c>
      <x:c r="H195" s="1" t="str">
        <x:v>Explicit working-day lag</x:v>
      </x:c>
    </x:row>
    <x:row r="196" ht="23" customHeight="1">
      <x:c r="A196" s="6" t="str">
        <x:v>T2-L08-R</x:v>
      </x:c>
      <x:c r="B196" s="6" t="str">
        <x:v>T2-L08-C</x:v>
      </x:c>
      <x:c r="C196" s="6" t="str">
        <x:v>FS</x:v>
      </x:c>
      <x:c r="D196" s="6" t="n">
        <x:v>0</x:v>
      </x:c>
      <x:c r="E196" s="6" t="n">
        <x:f>'Activities'!L182</x:f>
        <x:v>301</x:v>
      </x:c>
      <x:c r="F196" s="6" t="n">
        <x:f>'Activities'!K183</x:f>
        <x:v>301</x:v>
      </x:c>
      <x:c r="G196" s="6" t="n">
        <x:f>F196-E196-D196</x:f>
        <x:v>0</x:v>
      </x:c>
      <x:c r="H196" s="6" t="str">
        <x:v>Explicit working-day lag</x:v>
      </x:c>
    </x:row>
    <x:row r="197" ht="23" customHeight="1">
      <x:c r="A197" s="1" t="str">
        <x:v>T2-L08-C</x:v>
      </x:c>
      <x:c r="B197" s="1" t="str">
        <x:v>T2-L08-H</x:v>
      </x:c>
      <x:c r="C197" s="1" t="str">
        <x:v>FS</x:v>
      </x:c>
      <x:c r="D197" s="1" t="n">
        <x:v>0</x:v>
      </x:c>
      <x:c r="E197" s="1" t="n">
        <x:f>'Activities'!L183</x:f>
        <x:v>303</x:v>
      </x:c>
      <x:c r="F197" s="1" t="n">
        <x:f>'Activities'!K184</x:f>
        <x:v>303</x:v>
      </x:c>
      <x:c r="G197" s="1" t="n">
        <x:f>F197-E197-D197</x:f>
        <x:v>0</x:v>
      </x:c>
      <x:c r="H197" s="1" t="str">
        <x:v>Explicit working-day lag</x:v>
      </x:c>
    </x:row>
    <x:row r="198" ht="23" customHeight="1">
      <x:c r="A198" s="6" t="str">
        <x:v>T2-L08-H</x:v>
      </x:c>
      <x:c r="B198" s="6" t="str">
        <x:v>T2-L09-F</x:v>
      </x:c>
      <x:c r="C198" s="6" t="str">
        <x:v>FS</x:v>
      </x:c>
      <x:c r="D198" s="6" t="n">
        <x:v>0</x:v>
      </x:c>
      <x:c r="E198" s="6" t="n">
        <x:f>'Activities'!L184</x:f>
        <x:v>308</x:v>
      </x:c>
      <x:c r="F198" s="6" t="n">
        <x:f>'Activities'!K185</x:f>
        <x:v>308</x:v>
      </x:c>
      <x:c r="G198" s="6" t="n">
        <x:f>F198-E198-D198</x:f>
        <x:v>0</x:v>
      </x:c>
      <x:c r="H198" s="6" t="str">
        <x:v>Explicit working-day lag</x:v>
      </x:c>
    </x:row>
    <x:row r="199" ht="23" customHeight="1">
      <x:c r="A199" s="1" t="str">
        <x:v>T2-L09-F</x:v>
      </x:c>
      <x:c r="B199" s="1" t="str">
        <x:v>T2-L09-R</x:v>
      </x:c>
      <x:c r="C199" s="1" t="str">
        <x:v>FS</x:v>
      </x:c>
      <x:c r="D199" s="1" t="n">
        <x:v>0</x:v>
      </x:c>
      <x:c r="E199" s="1" t="n">
        <x:f>'Activities'!L185</x:f>
        <x:v>314</x:v>
      </x:c>
      <x:c r="F199" s="1" t="n">
        <x:f>'Activities'!K186</x:f>
        <x:v>314</x:v>
      </x:c>
      <x:c r="G199" s="1" t="n">
        <x:f>F199-E199-D199</x:f>
        <x:v>0</x:v>
      </x:c>
      <x:c r="H199" s="1" t="str">
        <x:v>Explicit working-day lag</x:v>
      </x:c>
    </x:row>
    <x:row r="200" ht="23" customHeight="1">
      <x:c r="A200" s="6" t="str">
        <x:v>T2-L09-R</x:v>
      </x:c>
      <x:c r="B200" s="6" t="str">
        <x:v>T2-L09-C</x:v>
      </x:c>
      <x:c r="C200" s="6" t="str">
        <x:v>FS</x:v>
      </x:c>
      <x:c r="D200" s="6" t="n">
        <x:v>0</x:v>
      </x:c>
      <x:c r="E200" s="6" t="n">
        <x:f>'Activities'!L186</x:f>
        <x:v>319</x:v>
      </x:c>
      <x:c r="F200" s="6" t="n">
        <x:f>'Activities'!K187</x:f>
        <x:v>319</x:v>
      </x:c>
      <x:c r="G200" s="6" t="n">
        <x:f>F200-E200-D200</x:f>
        <x:v>0</x:v>
      </x:c>
      <x:c r="H200" s="6" t="str">
        <x:v>Explicit working-day lag</x:v>
      </x:c>
    </x:row>
    <x:row r="201" ht="23" customHeight="1">
      <x:c r="A201" s="1" t="str">
        <x:v>T2-L09-C</x:v>
      </x:c>
      <x:c r="B201" s="1" t="str">
        <x:v>T2-L09-H</x:v>
      </x:c>
      <x:c r="C201" s="1" t="str">
        <x:v>FS</x:v>
      </x:c>
      <x:c r="D201" s="1" t="n">
        <x:v>0</x:v>
      </x:c>
      <x:c r="E201" s="1" t="n">
        <x:f>'Activities'!L187</x:f>
        <x:v>321</x:v>
      </x:c>
      <x:c r="F201" s="1" t="n">
        <x:f>'Activities'!K188</x:f>
        <x:v>321</x:v>
      </x:c>
      <x:c r="G201" s="1" t="n">
        <x:f>F201-E201-D201</x:f>
        <x:v>0</x:v>
      </x:c>
      <x:c r="H201" s="1" t="str">
        <x:v>Explicit working-day lag</x:v>
      </x:c>
    </x:row>
    <x:row r="202" ht="23" customHeight="1">
      <x:c r="A202" s="6" t="str">
        <x:v>T2-L09-H</x:v>
      </x:c>
      <x:c r="B202" s="6" t="str">
        <x:v>T2-L10-F</x:v>
      </x:c>
      <x:c r="C202" s="6" t="str">
        <x:v>FS</x:v>
      </x:c>
      <x:c r="D202" s="6" t="n">
        <x:v>0</x:v>
      </x:c>
      <x:c r="E202" s="6" t="n">
        <x:f>'Activities'!L188</x:f>
        <x:v>326</x:v>
      </x:c>
      <x:c r="F202" s="6" t="n">
        <x:f>'Activities'!K189</x:f>
        <x:v>326</x:v>
      </x:c>
      <x:c r="G202" s="6" t="n">
        <x:f>F202-E202-D202</x:f>
        <x:v>0</x:v>
      </x:c>
      <x:c r="H202" s="6" t="str">
        <x:v>Explicit working-day lag</x:v>
      </x:c>
    </x:row>
    <x:row r="203" ht="23" customHeight="1">
      <x:c r="A203" s="1" t="str">
        <x:v>T2-L10-F</x:v>
      </x:c>
      <x:c r="B203" s="1" t="str">
        <x:v>T2-L10-R</x:v>
      </x:c>
      <x:c r="C203" s="1" t="str">
        <x:v>FS</x:v>
      </x:c>
      <x:c r="D203" s="1" t="n">
        <x:v>0</x:v>
      </x:c>
      <x:c r="E203" s="1" t="n">
        <x:f>'Activities'!L189</x:f>
        <x:v>332</x:v>
      </x:c>
      <x:c r="F203" s="1" t="n">
        <x:f>'Activities'!K190</x:f>
        <x:v>332</x:v>
      </x:c>
      <x:c r="G203" s="1" t="n">
        <x:f>F203-E203-D203</x:f>
        <x:v>0</x:v>
      </x:c>
      <x:c r="H203" s="1" t="str">
        <x:v>Explicit working-day lag</x:v>
      </x:c>
    </x:row>
    <x:row r="204" ht="23" customHeight="1">
      <x:c r="A204" s="6" t="str">
        <x:v>T2-L10-R</x:v>
      </x:c>
      <x:c r="B204" s="6" t="str">
        <x:v>T2-L10-C</x:v>
      </x:c>
      <x:c r="C204" s="6" t="str">
        <x:v>FS</x:v>
      </x:c>
      <x:c r="D204" s="6" t="n">
        <x:v>0</x:v>
      </x:c>
      <x:c r="E204" s="6" t="n">
        <x:f>'Activities'!L190</x:f>
        <x:v>337</x:v>
      </x:c>
      <x:c r="F204" s="6" t="n">
        <x:f>'Activities'!K191</x:f>
        <x:v>337</x:v>
      </x:c>
      <x:c r="G204" s="6" t="n">
        <x:f>F204-E204-D204</x:f>
        <x:v>0</x:v>
      </x:c>
      <x:c r="H204" s="6" t="str">
        <x:v>Explicit working-day lag</x:v>
      </x:c>
    </x:row>
    <x:row r="205" ht="23" customHeight="1">
      <x:c r="A205" s="1" t="str">
        <x:v>T2-L10-C</x:v>
      </x:c>
      <x:c r="B205" s="1" t="str">
        <x:v>T2-L10-H</x:v>
      </x:c>
      <x:c r="C205" s="1" t="str">
        <x:v>FS</x:v>
      </x:c>
      <x:c r="D205" s="1" t="n">
        <x:v>0</x:v>
      </x:c>
      <x:c r="E205" s="1" t="n">
        <x:f>'Activities'!L191</x:f>
        <x:v>339</x:v>
      </x:c>
      <x:c r="F205" s="1" t="n">
        <x:f>'Activities'!K192</x:f>
        <x:v>339</x:v>
      </x:c>
      <x:c r="G205" s="1" t="n">
        <x:f>F205-E205-D205</x:f>
        <x:v>0</x:v>
      </x:c>
      <x:c r="H205" s="1" t="str">
        <x:v>Explicit working-day lag</x:v>
      </x:c>
    </x:row>
    <x:row r="206" ht="23" customHeight="1">
      <x:c r="A206" s="6" t="str">
        <x:v>T2-L10-H</x:v>
      </x:c>
      <x:c r="B206" s="6" t="str">
        <x:v>T2-L11-F</x:v>
      </x:c>
      <x:c r="C206" s="6" t="str">
        <x:v>FS</x:v>
      </x:c>
      <x:c r="D206" s="6" t="n">
        <x:v>0</x:v>
      </x:c>
      <x:c r="E206" s="6" t="n">
        <x:f>'Activities'!L192</x:f>
        <x:v>344</x:v>
      </x:c>
      <x:c r="F206" s="6" t="n">
        <x:f>'Activities'!K193</x:f>
        <x:v>344</x:v>
      </x:c>
      <x:c r="G206" s="6" t="n">
        <x:f>F206-E206-D206</x:f>
        <x:v>0</x:v>
      </x:c>
      <x:c r="H206" s="6" t="str">
        <x:v>Explicit working-day lag</x:v>
      </x:c>
    </x:row>
    <x:row r="207" ht="23" customHeight="1">
      <x:c r="A207" s="1" t="str">
        <x:v>T2-L11-F</x:v>
      </x:c>
      <x:c r="B207" s="1" t="str">
        <x:v>T2-L11-R</x:v>
      </x:c>
      <x:c r="C207" s="1" t="str">
        <x:v>FS</x:v>
      </x:c>
      <x:c r="D207" s="1" t="n">
        <x:v>0</x:v>
      </x:c>
      <x:c r="E207" s="1" t="n">
        <x:f>'Activities'!L193</x:f>
        <x:v>350</x:v>
      </x:c>
      <x:c r="F207" s="1" t="n">
        <x:f>'Activities'!K194</x:f>
        <x:v>350</x:v>
      </x:c>
      <x:c r="G207" s="1" t="n">
        <x:f>F207-E207-D207</x:f>
        <x:v>0</x:v>
      </x:c>
      <x:c r="H207" s="1" t="str">
        <x:v>Explicit working-day lag</x:v>
      </x:c>
    </x:row>
    <x:row r="208" ht="23" customHeight="1">
      <x:c r="A208" s="6" t="str">
        <x:v>T2-L11-R</x:v>
      </x:c>
      <x:c r="B208" s="6" t="str">
        <x:v>T2-L11-C</x:v>
      </x:c>
      <x:c r="C208" s="6" t="str">
        <x:v>FS</x:v>
      </x:c>
      <x:c r="D208" s="6" t="n">
        <x:v>0</x:v>
      </x:c>
      <x:c r="E208" s="6" t="n">
        <x:f>'Activities'!L194</x:f>
        <x:v>355</x:v>
      </x:c>
      <x:c r="F208" s="6" t="n">
        <x:f>'Activities'!K195</x:f>
        <x:v>355</x:v>
      </x:c>
      <x:c r="G208" s="6" t="n">
        <x:f>F208-E208-D208</x:f>
        <x:v>0</x:v>
      </x:c>
      <x:c r="H208" s="6" t="str">
        <x:v>Explicit working-day lag</x:v>
      </x:c>
    </x:row>
    <x:row r="209" ht="23" customHeight="1">
      <x:c r="A209" s="1" t="str">
        <x:v>T2-L11-C</x:v>
      </x:c>
      <x:c r="B209" s="1" t="str">
        <x:v>T2-L11-H</x:v>
      </x:c>
      <x:c r="C209" s="1" t="str">
        <x:v>FS</x:v>
      </x:c>
      <x:c r="D209" s="1" t="n">
        <x:v>0</x:v>
      </x:c>
      <x:c r="E209" s="1" t="n">
        <x:f>'Activities'!L195</x:f>
        <x:v>357</x:v>
      </x:c>
      <x:c r="F209" s="1" t="n">
        <x:f>'Activities'!K196</x:f>
        <x:v>357</x:v>
      </x:c>
      <x:c r="G209" s="1" t="n">
        <x:f>F209-E209-D209</x:f>
        <x:v>0</x:v>
      </x:c>
      <x:c r="H209" s="1" t="str">
        <x:v>Explicit working-day lag</x:v>
      </x:c>
    </x:row>
    <x:row r="210" ht="23" customHeight="1">
      <x:c r="A210" s="6" t="str">
        <x:v>T2-L11-H</x:v>
      </x:c>
      <x:c r="B210" s="6" t="str">
        <x:v>T2-L12-F</x:v>
      </x:c>
      <x:c r="C210" s="6" t="str">
        <x:v>FS</x:v>
      </x:c>
      <x:c r="D210" s="6" t="n">
        <x:v>0</x:v>
      </x:c>
      <x:c r="E210" s="6" t="n">
        <x:f>'Activities'!L196</x:f>
        <x:v>362</x:v>
      </x:c>
      <x:c r="F210" s="6" t="n">
        <x:f>'Activities'!K197</x:f>
        <x:v>362</x:v>
      </x:c>
      <x:c r="G210" s="6" t="n">
        <x:f>F210-E210-D210</x:f>
        <x:v>0</x:v>
      </x:c>
      <x:c r="H210" s="6" t="str">
        <x:v>Explicit working-day lag</x:v>
      </x:c>
    </x:row>
    <x:row r="211" ht="23" customHeight="1">
      <x:c r="A211" s="1" t="str">
        <x:v>T2-L12-F</x:v>
      </x:c>
      <x:c r="B211" s="1" t="str">
        <x:v>T2-L12-R</x:v>
      </x:c>
      <x:c r="C211" s="1" t="str">
        <x:v>FS</x:v>
      </x:c>
      <x:c r="D211" s="1" t="n">
        <x:v>0</x:v>
      </x:c>
      <x:c r="E211" s="1" t="n">
        <x:f>'Activities'!L197</x:f>
        <x:v>368</x:v>
      </x:c>
      <x:c r="F211" s="1" t="n">
        <x:f>'Activities'!K198</x:f>
        <x:v>368</x:v>
      </x:c>
      <x:c r="G211" s="1" t="n">
        <x:f>F211-E211-D211</x:f>
        <x:v>0</x:v>
      </x:c>
      <x:c r="H211" s="1" t="str">
        <x:v>Explicit working-day lag</x:v>
      </x:c>
    </x:row>
    <x:row r="212" ht="23" customHeight="1">
      <x:c r="A212" s="6" t="str">
        <x:v>T2-L12-R</x:v>
      </x:c>
      <x:c r="B212" s="6" t="str">
        <x:v>T2-L12-C</x:v>
      </x:c>
      <x:c r="C212" s="6" t="str">
        <x:v>FS</x:v>
      </x:c>
      <x:c r="D212" s="6" t="n">
        <x:v>0</x:v>
      </x:c>
      <x:c r="E212" s="6" t="n">
        <x:f>'Activities'!L198</x:f>
        <x:v>373</x:v>
      </x:c>
      <x:c r="F212" s="6" t="n">
        <x:f>'Activities'!K199</x:f>
        <x:v>373</x:v>
      </x:c>
      <x:c r="G212" s="6" t="n">
        <x:f>F212-E212-D212</x:f>
        <x:v>0</x:v>
      </x:c>
      <x:c r="H212" s="6" t="str">
        <x:v>Explicit working-day lag</x:v>
      </x:c>
    </x:row>
    <x:row r="213" ht="23" customHeight="1">
      <x:c r="A213" s="1" t="str">
        <x:v>T2-L12-C</x:v>
      </x:c>
      <x:c r="B213" s="1" t="str">
        <x:v>T2-L12-H</x:v>
      </x:c>
      <x:c r="C213" s="1" t="str">
        <x:v>FS</x:v>
      </x:c>
      <x:c r="D213" s="1" t="n">
        <x:v>0</x:v>
      </x:c>
      <x:c r="E213" s="1" t="n">
        <x:f>'Activities'!L199</x:f>
        <x:v>375</x:v>
      </x:c>
      <x:c r="F213" s="1" t="n">
        <x:f>'Activities'!K200</x:f>
        <x:v>375</x:v>
      </x:c>
      <x:c r="G213" s="1" t="n">
        <x:f>F213-E213-D213</x:f>
        <x:v>0</x:v>
      </x:c>
      <x:c r="H213" s="1" t="str">
        <x:v>Explicit working-day lag</x:v>
      </x:c>
    </x:row>
    <x:row r="214" ht="23" customHeight="1">
      <x:c r="A214" s="6" t="str">
        <x:v>T2-L12-H</x:v>
      </x:c>
      <x:c r="B214" s="6" t="str">
        <x:v>T2-RF</x:v>
      </x:c>
      <x:c r="C214" s="6" t="str">
        <x:v>FS</x:v>
      </x:c>
      <x:c r="D214" s="6" t="n">
        <x:v>5</x:v>
      </x:c>
      <x:c r="E214" s="6" t="n">
        <x:f>'Activities'!L200</x:f>
        <x:v>380</x:v>
      </x:c>
      <x:c r="F214" s="6" t="n">
        <x:f>'Activities'!K201</x:f>
        <x:v>385</x:v>
      </x:c>
      <x:c r="G214" s="6" t="n">
        <x:f>F214-E214-D214</x:f>
        <x:v>0</x:v>
      </x:c>
      <x:c r="H214" s="6" t="str">
        <x:v>Explicit working-day lag</x:v>
      </x:c>
    </x:row>
    <x:row r="215" ht="23" customHeight="1">
      <x:c r="A215" s="1" t="str">
        <x:v>T2-L08-H</x:v>
      </x:c>
      <x:c r="B215" s="1" t="str">
        <x:v>T2-FA</x:v>
      </x:c>
      <x:c r="C215" s="1" t="str">
        <x:v>FS</x:v>
      </x:c>
      <x:c r="D215" s="1" t="n">
        <x:v>10</x:v>
      </x:c>
      <x:c r="E215" s="1" t="n">
        <x:f>'Activities'!L184</x:f>
        <x:v>308</x:v>
      </x:c>
      <x:c r="F215" s="1" t="n">
        <x:f>'Activities'!K202</x:f>
        <x:v>318</x:v>
      </x:c>
      <x:c r="G215" s="1" t="n">
        <x:f>F215-E215-D215</x:f>
        <x:v>0</x:v>
      </x:c>
      <x:c r="H215" s="1" t="str">
        <x:v>Explicit working-day lag</x:v>
      </x:c>
    </x:row>
    <x:row r="216" ht="23" customHeight="1">
      <x:c r="A216" s="6" t="str">
        <x:v>T2-FA</x:v>
      </x:c>
      <x:c r="B216" s="6" t="str">
        <x:v>T2-GL</x:v>
      </x:c>
      <x:c r="C216" s="6" t="str">
        <x:v>FS</x:v>
      </x:c>
      <x:c r="D216" s="6" t="n">
        <x:v>0</x:v>
      </x:c>
      <x:c r="E216" s="6" t="n">
        <x:f>'Activities'!L202</x:f>
        <x:v>340</x:v>
      </x:c>
      <x:c r="F216" s="6" t="n">
        <x:f>'Activities'!K203</x:f>
        <x:v>399</x:v>
      </x:c>
      <x:c r="G216" s="6" t="n">
        <x:f>F216-E216-D216</x:f>
        <x:v>59</x:v>
      </x:c>
      <x:c r="H216" s="6" t="str">
        <x:v>Explicit working-day lag</x:v>
      </x:c>
    </x:row>
    <x:row r="217" ht="23" customHeight="1">
      <x:c r="A217" s="1" t="str">
        <x:v>T2-RF</x:v>
      </x:c>
      <x:c r="B217" s="1" t="str">
        <x:v>T2-GL</x:v>
      </x:c>
      <x:c r="C217" s="1" t="str">
        <x:v>FS</x:v>
      </x:c>
      <x:c r="D217" s="1" t="n">
        <x:v>0</x:v>
      </x:c>
      <x:c r="E217" s="1" t="n">
        <x:f>'Activities'!L201</x:f>
        <x:v>399</x:v>
      </x:c>
      <x:c r="F217" s="1" t="n">
        <x:f>'Activities'!K203</x:f>
        <x:v>399</x:v>
      </x:c>
      <x:c r="G217" s="1" t="n">
        <x:f>F217-E217-D217</x:f>
        <x:v>0</x:v>
      </x:c>
      <x:c r="H217" s="1" t="str">
        <x:v>Explicit working-day lag</x:v>
      </x:c>
    </x:row>
    <x:row r="218" ht="23" customHeight="1">
      <x:c r="A218" s="6" t="str">
        <x:v>T2-L03-H</x:v>
      </x:c>
      <x:c r="B218" s="6" t="str">
        <x:v>T2-L00-M</x:v>
      </x:c>
      <x:c r="C218" s="6" t="str">
        <x:v>FS</x:v>
      </x:c>
      <x:c r="D218" s="6" t="n">
        <x:v>5</x:v>
      </x:c>
      <x:c r="E218" s="6" t="n">
        <x:f>'Activities'!L164</x:f>
        <x:v>218</x:v>
      </x:c>
      <x:c r="F218" s="6" t="n">
        <x:f>'Activities'!K204</x:f>
        <x:v>223</x:v>
      </x:c>
      <x:c r="G218" s="6" t="n">
        <x:f>F218-E218-D218</x:f>
        <x:v>0</x:v>
      </x:c>
      <x:c r="H218" s="6" t="str">
        <x:v>Explicit working-day lag</x:v>
      </x:c>
    </x:row>
    <x:row r="219" ht="23" customHeight="1">
      <x:c r="A219" s="1" t="str">
        <x:v>T2-L00-M</x:v>
      </x:c>
      <x:c r="B219" s="1" t="str">
        <x:v>T2-L00-P</x:v>
      </x:c>
      <x:c r="C219" s="1" t="str">
        <x:v>FS</x:v>
      </x:c>
      <x:c r="D219" s="1" t="n">
        <x:v>3</x:v>
      </x:c>
      <x:c r="E219" s="1" t="n">
        <x:f>'Activities'!L204</x:f>
        <x:v>228</x:v>
      </x:c>
      <x:c r="F219" s="1" t="n">
        <x:f>'Activities'!K205</x:f>
        <x:v>231</x:v>
      </x:c>
      <x:c r="G219" s="1" t="n">
        <x:f>F219-E219-D219</x:f>
        <x:v>0</x:v>
      </x:c>
      <x:c r="H219" s="1" t="str">
        <x:v>Explicit working-day lag</x:v>
      </x:c>
    </x:row>
    <x:row r="220" ht="23" customHeight="1">
      <x:c r="A220" s="6" t="str">
        <x:v>T2-L00-P</x:v>
      </x:c>
      <x:c r="B220" s="6" t="str">
        <x:v>T2-L00-S</x:v>
      </x:c>
      <x:c r="C220" s="6" t="str">
        <x:v>FS</x:v>
      </x:c>
      <x:c r="D220" s="6" t="n">
        <x:v>2</x:v>
      </x:c>
      <x:c r="E220" s="6" t="n">
        <x:f>'Activities'!L205</x:f>
        <x:v>237</x:v>
      </x:c>
      <x:c r="F220" s="6" t="n">
        <x:f>'Activities'!K206</x:f>
        <x:v>239</x:v>
      </x:c>
      <x:c r="G220" s="6" t="n">
        <x:f>F220-E220-D220</x:f>
        <x:v>0</x:v>
      </x:c>
      <x:c r="H220" s="6" t="str">
        <x:v>Explicit working-day lag</x:v>
      </x:c>
    </x:row>
    <x:row r="221" ht="23" customHeight="1">
      <x:c r="A221" s="1" t="str">
        <x:v>T2-L00-S</x:v>
      </x:c>
      <x:c r="B221" s="1" t="str">
        <x:v>T2-L00-T</x:v>
      </x:c>
      <x:c r="C221" s="1" t="str">
        <x:v>FS</x:v>
      </x:c>
      <x:c r="D221" s="1" t="n">
        <x:v>14</x:v>
      </x:c>
      <x:c r="E221" s="1" t="n">
        <x:f>'Activities'!L206</x:f>
        <x:v>242</x:v>
      </x:c>
      <x:c r="F221" s="1" t="n">
        <x:f>'Activities'!K207</x:f>
        <x:v>413</x:v>
      </x:c>
      <x:c r="G221" s="1" t="n">
        <x:f>F221-E221-D221</x:f>
        <x:v>157</x:v>
      </x:c>
      <x:c r="H221" s="1" t="str">
        <x:v>Explicit working-day lag</x:v>
      </x:c>
    </x:row>
    <x:row r="222" ht="23" customHeight="1">
      <x:c r="A222" s="6" t="str">
        <x:v>T2-GL</x:v>
      </x:c>
      <x:c r="B222" s="6" t="str">
        <x:v>T2-L00-T</x:v>
      </x:c>
      <x:c r="C222" s="6" t="str">
        <x:v>FS</x:v>
      </x:c>
      <x:c r="D222" s="6" t="n">
        <x:v>0</x:v>
      </x:c>
      <x:c r="E222" s="6" t="n">
        <x:f>'Activities'!L203</x:f>
        <x:v>413</x:v>
      </x:c>
      <x:c r="F222" s="6" t="n">
        <x:f>'Activities'!K207</x:f>
        <x:v>413</x:v>
      </x:c>
      <x:c r="G222" s="6" t="n">
        <x:f>F222-E222-D222</x:f>
        <x:v>0</x:v>
      </x:c>
      <x:c r="H222" s="6" t="str">
        <x:v>Explicit working-day lag</x:v>
      </x:c>
    </x:row>
    <x:row r="223" ht="23" customHeight="1">
      <x:c r="A223" s="1" t="str">
        <x:v>T2-L00-T</x:v>
      </x:c>
      <x:c r="B223" s="1" t="str">
        <x:v>T2-L00-A</x:v>
      </x:c>
      <x:c r="C223" s="1" t="str">
        <x:v>FS</x:v>
      </x:c>
      <x:c r="D223" s="1" t="n">
        <x:v>2</x:v>
      </x:c>
      <x:c r="E223" s="1" t="n">
        <x:f>'Activities'!L207</x:f>
        <x:v>419</x:v>
      </x:c>
      <x:c r="F223" s="1" t="n">
        <x:f>'Activities'!K208</x:f>
        <x:v>421</x:v>
      </x:c>
      <x:c r="G223" s="1" t="n">
        <x:f>F223-E223-D223</x:f>
        <x:v>0</x:v>
      </x:c>
      <x:c r="H223" s="1" t="str">
        <x:v>Explicit working-day lag</x:v>
      </x:c>
    </x:row>
    <x:row r="224" ht="23" customHeight="1">
      <x:c r="A224" s="6" t="str">
        <x:v>T2-L00-A</x:v>
      </x:c>
      <x:c r="B224" s="6" t="str">
        <x:v>T2-L00-D</x:v>
      </x:c>
      <x:c r="C224" s="6" t="str">
        <x:v>FS</x:v>
      </x:c>
      <x:c r="D224" s="6" t="n">
        <x:v>0</x:v>
      </x:c>
      <x:c r="E224" s="6" t="n">
        <x:f>'Activities'!L208</x:f>
        <x:v>426</x:v>
      </x:c>
      <x:c r="F224" s="6" t="n">
        <x:f>'Activities'!K209</x:f>
        <x:v>426</x:v>
      </x:c>
      <x:c r="G224" s="6" t="n">
        <x:f>F224-E224-D224</x:f>
        <x:v>0</x:v>
      </x:c>
      <x:c r="H224" s="6" t="str">
        <x:v>Explicit working-day lag</x:v>
      </x:c>
    </x:row>
    <x:row r="225" ht="23" customHeight="1">
      <x:c r="A225" s="1" t="str">
        <x:v>T2-L04-H</x:v>
      </x:c>
      <x:c r="B225" s="1" t="str">
        <x:v>T2-L01-M</x:v>
      </x:c>
      <x:c r="C225" s="1" t="str">
        <x:v>FS</x:v>
      </x:c>
      <x:c r="D225" s="1" t="n">
        <x:v>5</x:v>
      </x:c>
      <x:c r="E225" s="1" t="n">
        <x:f>'Activities'!L168</x:f>
        <x:v>236</x:v>
      </x:c>
      <x:c r="F225" s="1" t="n">
        <x:f>'Activities'!K210</x:f>
        <x:v>241</x:v>
      </x:c>
      <x:c r="G225" s="1" t="n">
        <x:f>F225-E225-D225</x:f>
        <x:v>0</x:v>
      </x:c>
      <x:c r="H225" s="1" t="str">
        <x:v>Explicit working-day lag</x:v>
      </x:c>
    </x:row>
    <x:row r="226" ht="23" customHeight="1">
      <x:c r="A226" s="6" t="str">
        <x:v>T2-L01-M</x:v>
      </x:c>
      <x:c r="B226" s="6" t="str">
        <x:v>T2-L01-P</x:v>
      </x:c>
      <x:c r="C226" s="6" t="str">
        <x:v>FS</x:v>
      </x:c>
      <x:c r="D226" s="6" t="n">
        <x:v>3</x:v>
      </x:c>
      <x:c r="E226" s="6" t="n">
        <x:f>'Activities'!L210</x:f>
        <x:v>246</x:v>
      </x:c>
      <x:c r="F226" s="6" t="n">
        <x:f>'Activities'!K211</x:f>
        <x:v>249</x:v>
      </x:c>
      <x:c r="G226" s="6" t="n">
        <x:f>F226-E226-D226</x:f>
        <x:v>0</x:v>
      </x:c>
      <x:c r="H226" s="6" t="str">
        <x:v>Explicit working-day lag</x:v>
      </x:c>
    </x:row>
    <x:row r="227" ht="23" customHeight="1">
      <x:c r="A227" s="1" t="str">
        <x:v>T2-L01-P</x:v>
      </x:c>
      <x:c r="B227" s="1" t="str">
        <x:v>T2-L01-S</x:v>
      </x:c>
      <x:c r="C227" s="1" t="str">
        <x:v>FS</x:v>
      </x:c>
      <x:c r="D227" s="1" t="n">
        <x:v>2</x:v>
      </x:c>
      <x:c r="E227" s="1" t="n">
        <x:f>'Activities'!L211</x:f>
        <x:v>255</x:v>
      </x:c>
      <x:c r="F227" s="1" t="n">
        <x:f>'Activities'!K212</x:f>
        <x:v>257</x:v>
      </x:c>
      <x:c r="G227" s="1" t="n">
        <x:f>F227-E227-D227</x:f>
        <x:v>0</x:v>
      </x:c>
      <x:c r="H227" s="1" t="str">
        <x:v>Explicit working-day lag</x:v>
      </x:c>
    </x:row>
    <x:row r="228" ht="23" customHeight="1">
      <x:c r="A228" s="6" t="str">
        <x:v>T2-L01-S</x:v>
      </x:c>
      <x:c r="B228" s="6" t="str">
        <x:v>T2-L01-T</x:v>
      </x:c>
      <x:c r="C228" s="6" t="str">
        <x:v>FS</x:v>
      </x:c>
      <x:c r="D228" s="6" t="n">
        <x:v>14</x:v>
      </x:c>
      <x:c r="E228" s="6" t="n">
        <x:f>'Activities'!L212</x:f>
        <x:v>260</x:v>
      </x:c>
      <x:c r="F228" s="6" t="n">
        <x:f>'Activities'!K213</x:f>
        <x:v>413</x:v>
      </x:c>
      <x:c r="G228" s="6" t="n">
        <x:f>F228-E228-D228</x:f>
        <x:v>139</x:v>
      </x:c>
      <x:c r="H228" s="6" t="str">
        <x:v>Explicit working-day lag</x:v>
      </x:c>
    </x:row>
    <x:row r="229" ht="23" customHeight="1">
      <x:c r="A229" s="1" t="str">
        <x:v>T2-GL</x:v>
      </x:c>
      <x:c r="B229" s="1" t="str">
        <x:v>T2-L01-T</x:v>
      </x:c>
      <x:c r="C229" s="1" t="str">
        <x:v>FS</x:v>
      </x:c>
      <x:c r="D229" s="1" t="n">
        <x:v>0</x:v>
      </x:c>
      <x:c r="E229" s="1" t="n">
        <x:f>'Activities'!L203</x:f>
        <x:v>413</x:v>
      </x:c>
      <x:c r="F229" s="1" t="n">
        <x:f>'Activities'!K213</x:f>
        <x:v>413</x:v>
      </x:c>
      <x:c r="G229" s="1" t="n">
        <x:f>F229-E229-D229</x:f>
        <x:v>0</x:v>
      </x:c>
      <x:c r="H229" s="1" t="str">
        <x:v>Explicit working-day lag</x:v>
      </x:c>
    </x:row>
    <x:row r="230" ht="23" customHeight="1">
      <x:c r="A230" s="6" t="str">
        <x:v>T2-L01-T</x:v>
      </x:c>
      <x:c r="B230" s="6" t="str">
        <x:v>T2-L01-A</x:v>
      </x:c>
      <x:c r="C230" s="6" t="str">
        <x:v>FS</x:v>
      </x:c>
      <x:c r="D230" s="6" t="n">
        <x:v>2</x:v>
      </x:c>
      <x:c r="E230" s="6" t="n">
        <x:f>'Activities'!L213</x:f>
        <x:v>419</x:v>
      </x:c>
      <x:c r="F230" s="6" t="n">
        <x:f>'Activities'!K214</x:f>
        <x:v>421</x:v>
      </x:c>
      <x:c r="G230" s="6" t="n">
        <x:f>F230-E230-D230</x:f>
        <x:v>0</x:v>
      </x:c>
      <x:c r="H230" s="6" t="str">
        <x:v>Explicit working-day lag</x:v>
      </x:c>
    </x:row>
    <x:row r="231" ht="23" customHeight="1">
      <x:c r="A231" s="1" t="str">
        <x:v>T2-L01-A</x:v>
      </x:c>
      <x:c r="B231" s="1" t="str">
        <x:v>T2-L01-D</x:v>
      </x:c>
      <x:c r="C231" s="1" t="str">
        <x:v>FS</x:v>
      </x:c>
      <x:c r="D231" s="1" t="n">
        <x:v>0</x:v>
      </x:c>
      <x:c r="E231" s="1" t="n">
        <x:f>'Activities'!L214</x:f>
        <x:v>426</x:v>
      </x:c>
      <x:c r="F231" s="1" t="n">
        <x:f>'Activities'!K215</x:f>
        <x:v>426</x:v>
      </x:c>
      <x:c r="G231" s="1" t="n">
        <x:f>F231-E231-D231</x:f>
        <x:v>0</x:v>
      </x:c>
      <x:c r="H231" s="1" t="str">
        <x:v>Explicit working-day lag</x:v>
      </x:c>
    </x:row>
    <x:row r="232" ht="23" customHeight="1">
      <x:c r="A232" s="6" t="str">
        <x:v>T2-L05-H</x:v>
      </x:c>
      <x:c r="B232" s="6" t="str">
        <x:v>T2-L02-M</x:v>
      </x:c>
      <x:c r="C232" s="6" t="str">
        <x:v>FS</x:v>
      </x:c>
      <x:c r="D232" s="6" t="n">
        <x:v>5</x:v>
      </x:c>
      <x:c r="E232" s="6" t="n">
        <x:f>'Activities'!L172</x:f>
        <x:v>254</x:v>
      </x:c>
      <x:c r="F232" s="6" t="n">
        <x:f>'Activities'!K216</x:f>
        <x:v>259</x:v>
      </x:c>
      <x:c r="G232" s="6" t="n">
        <x:f>F232-E232-D232</x:f>
        <x:v>0</x:v>
      </x:c>
      <x:c r="H232" s="6" t="str">
        <x:v>Explicit working-day lag</x:v>
      </x:c>
    </x:row>
    <x:row r="233" ht="23" customHeight="1">
      <x:c r="A233" s="1" t="str">
        <x:v>T2-L02-M</x:v>
      </x:c>
      <x:c r="B233" s="1" t="str">
        <x:v>T2-L02-P</x:v>
      </x:c>
      <x:c r="C233" s="1" t="str">
        <x:v>FS</x:v>
      </x:c>
      <x:c r="D233" s="1" t="n">
        <x:v>3</x:v>
      </x:c>
      <x:c r="E233" s="1" t="n">
        <x:f>'Activities'!L216</x:f>
        <x:v>264</x:v>
      </x:c>
      <x:c r="F233" s="1" t="n">
        <x:f>'Activities'!K217</x:f>
        <x:v>267</x:v>
      </x:c>
      <x:c r="G233" s="1" t="n">
        <x:f>F233-E233-D233</x:f>
        <x:v>0</x:v>
      </x:c>
      <x:c r="H233" s="1" t="str">
        <x:v>Explicit working-day lag</x:v>
      </x:c>
    </x:row>
    <x:row r="234" ht="23" customHeight="1">
      <x:c r="A234" s="6" t="str">
        <x:v>T2-L02-P</x:v>
      </x:c>
      <x:c r="B234" s="6" t="str">
        <x:v>T2-L02-S</x:v>
      </x:c>
      <x:c r="C234" s="6" t="str">
        <x:v>FS</x:v>
      </x:c>
      <x:c r="D234" s="6" t="n">
        <x:v>2</x:v>
      </x:c>
      <x:c r="E234" s="6" t="n">
        <x:f>'Activities'!L217</x:f>
        <x:v>273</x:v>
      </x:c>
      <x:c r="F234" s="6" t="n">
        <x:f>'Activities'!K218</x:f>
        <x:v>275</x:v>
      </x:c>
      <x:c r="G234" s="6" t="n">
        <x:f>F234-E234-D234</x:f>
        <x:v>0</x:v>
      </x:c>
      <x:c r="H234" s="6" t="str">
        <x:v>Explicit working-day lag</x:v>
      </x:c>
    </x:row>
    <x:row r="235" ht="23" customHeight="1">
      <x:c r="A235" s="1" t="str">
        <x:v>T2-L02-S</x:v>
      </x:c>
      <x:c r="B235" s="1" t="str">
        <x:v>T2-L02-T</x:v>
      </x:c>
      <x:c r="C235" s="1" t="str">
        <x:v>FS</x:v>
      </x:c>
      <x:c r="D235" s="1" t="n">
        <x:v>14</x:v>
      </x:c>
      <x:c r="E235" s="1" t="n">
        <x:f>'Activities'!L218</x:f>
        <x:v>278</x:v>
      </x:c>
      <x:c r="F235" s="1" t="n">
        <x:f>'Activities'!K219</x:f>
        <x:v>413</x:v>
      </x:c>
      <x:c r="G235" s="1" t="n">
        <x:f>F235-E235-D235</x:f>
        <x:v>121</x:v>
      </x:c>
      <x:c r="H235" s="1" t="str">
        <x:v>Explicit working-day lag</x:v>
      </x:c>
    </x:row>
    <x:row r="236" ht="23" customHeight="1">
      <x:c r="A236" s="6" t="str">
        <x:v>T2-GL</x:v>
      </x:c>
      <x:c r="B236" s="6" t="str">
        <x:v>T2-L02-T</x:v>
      </x:c>
      <x:c r="C236" s="6" t="str">
        <x:v>FS</x:v>
      </x:c>
      <x:c r="D236" s="6" t="n">
        <x:v>0</x:v>
      </x:c>
      <x:c r="E236" s="6" t="n">
        <x:f>'Activities'!L203</x:f>
        <x:v>413</x:v>
      </x:c>
      <x:c r="F236" s="6" t="n">
        <x:f>'Activities'!K219</x:f>
        <x:v>413</x:v>
      </x:c>
      <x:c r="G236" s="6" t="n">
        <x:f>F236-E236-D236</x:f>
        <x:v>0</x:v>
      </x:c>
      <x:c r="H236" s="6" t="str">
        <x:v>Explicit working-day lag</x:v>
      </x:c>
    </x:row>
    <x:row r="237" ht="23" customHeight="1">
      <x:c r="A237" s="1" t="str">
        <x:v>T2-L02-T</x:v>
      </x:c>
      <x:c r="B237" s="1" t="str">
        <x:v>T2-L02-A</x:v>
      </x:c>
      <x:c r="C237" s="1" t="str">
        <x:v>FS</x:v>
      </x:c>
      <x:c r="D237" s="1" t="n">
        <x:v>2</x:v>
      </x:c>
      <x:c r="E237" s="1" t="n">
        <x:f>'Activities'!L219</x:f>
        <x:v>419</x:v>
      </x:c>
      <x:c r="F237" s="1" t="n">
        <x:f>'Activities'!K220</x:f>
        <x:v>421</x:v>
      </x:c>
      <x:c r="G237" s="1" t="n">
        <x:f>F237-E237-D237</x:f>
        <x:v>0</x:v>
      </x:c>
      <x:c r="H237" s="1" t="str">
        <x:v>Explicit working-day lag</x:v>
      </x:c>
    </x:row>
    <x:row r="238" ht="23" customHeight="1">
      <x:c r="A238" s="6" t="str">
        <x:v>T2-L02-A</x:v>
      </x:c>
      <x:c r="B238" s="6" t="str">
        <x:v>T2-L02-D</x:v>
      </x:c>
      <x:c r="C238" s="6" t="str">
        <x:v>FS</x:v>
      </x:c>
      <x:c r="D238" s="6" t="n">
        <x:v>0</x:v>
      </x:c>
      <x:c r="E238" s="6" t="n">
        <x:f>'Activities'!L220</x:f>
        <x:v>426</x:v>
      </x:c>
      <x:c r="F238" s="6" t="n">
        <x:f>'Activities'!K221</x:f>
        <x:v>426</x:v>
      </x:c>
      <x:c r="G238" s="6" t="n">
        <x:f>F238-E238-D238</x:f>
        <x:v>0</x:v>
      </x:c>
      <x:c r="H238" s="6" t="str">
        <x:v>Explicit working-day lag</x:v>
      </x:c>
    </x:row>
    <x:row r="239" ht="23" customHeight="1">
      <x:c r="A239" s="1" t="str">
        <x:v>T2-L06-H</x:v>
      </x:c>
      <x:c r="B239" s="1" t="str">
        <x:v>T2-L03-M</x:v>
      </x:c>
      <x:c r="C239" s="1" t="str">
        <x:v>FS</x:v>
      </x:c>
      <x:c r="D239" s="1" t="n">
        <x:v>5</x:v>
      </x:c>
      <x:c r="E239" s="1" t="n">
        <x:f>'Activities'!L176</x:f>
        <x:v>272</x:v>
      </x:c>
      <x:c r="F239" s="1" t="n">
        <x:f>'Activities'!K222</x:f>
        <x:v>277</x:v>
      </x:c>
      <x:c r="G239" s="1" t="n">
        <x:f>F239-E239-D239</x:f>
        <x:v>0</x:v>
      </x:c>
      <x:c r="H239" s="1" t="str">
        <x:v>Explicit working-day lag</x:v>
      </x:c>
    </x:row>
    <x:row r="240" ht="23" customHeight="1">
      <x:c r="A240" s="6" t="str">
        <x:v>T2-L03-M</x:v>
      </x:c>
      <x:c r="B240" s="6" t="str">
        <x:v>T2-L03-P</x:v>
      </x:c>
      <x:c r="C240" s="6" t="str">
        <x:v>FS</x:v>
      </x:c>
      <x:c r="D240" s="6" t="n">
        <x:v>3</x:v>
      </x:c>
      <x:c r="E240" s="6" t="n">
        <x:f>'Activities'!L222</x:f>
        <x:v>282</x:v>
      </x:c>
      <x:c r="F240" s="6" t="n">
        <x:f>'Activities'!K223</x:f>
        <x:v>285</x:v>
      </x:c>
      <x:c r="G240" s="6" t="n">
        <x:f>F240-E240-D240</x:f>
        <x:v>0</x:v>
      </x:c>
      <x:c r="H240" s="6" t="str">
        <x:v>Explicit working-day lag</x:v>
      </x:c>
    </x:row>
    <x:row r="241" ht="23" customHeight="1">
      <x:c r="A241" s="1" t="str">
        <x:v>T2-L03-P</x:v>
      </x:c>
      <x:c r="B241" s="1" t="str">
        <x:v>T2-L03-S</x:v>
      </x:c>
      <x:c r="C241" s="1" t="str">
        <x:v>FS</x:v>
      </x:c>
      <x:c r="D241" s="1" t="n">
        <x:v>2</x:v>
      </x:c>
      <x:c r="E241" s="1" t="n">
        <x:f>'Activities'!L223</x:f>
        <x:v>291</x:v>
      </x:c>
      <x:c r="F241" s="1" t="n">
        <x:f>'Activities'!K224</x:f>
        <x:v>293</x:v>
      </x:c>
      <x:c r="G241" s="1" t="n">
        <x:f>F241-E241-D241</x:f>
        <x:v>0</x:v>
      </x:c>
      <x:c r="H241" s="1" t="str">
        <x:v>Explicit working-day lag</x:v>
      </x:c>
    </x:row>
    <x:row r="242" ht="23" customHeight="1">
      <x:c r="A242" s="6" t="str">
        <x:v>T2-L03-S</x:v>
      </x:c>
      <x:c r="B242" s="6" t="str">
        <x:v>T2-L03-T</x:v>
      </x:c>
      <x:c r="C242" s="6" t="str">
        <x:v>FS</x:v>
      </x:c>
      <x:c r="D242" s="6" t="n">
        <x:v>14</x:v>
      </x:c>
      <x:c r="E242" s="6" t="n">
        <x:f>'Activities'!L224</x:f>
        <x:v>296</x:v>
      </x:c>
      <x:c r="F242" s="6" t="n">
        <x:f>'Activities'!K225</x:f>
        <x:v>413</x:v>
      </x:c>
      <x:c r="G242" s="6" t="n">
        <x:f>F242-E242-D242</x:f>
        <x:v>103</x:v>
      </x:c>
      <x:c r="H242" s="6" t="str">
        <x:v>Explicit working-day lag</x:v>
      </x:c>
    </x:row>
    <x:row r="243" ht="23" customHeight="1">
      <x:c r="A243" s="1" t="str">
        <x:v>T2-GL</x:v>
      </x:c>
      <x:c r="B243" s="1" t="str">
        <x:v>T2-L03-T</x:v>
      </x:c>
      <x:c r="C243" s="1" t="str">
        <x:v>FS</x:v>
      </x:c>
      <x:c r="D243" s="1" t="n">
        <x:v>0</x:v>
      </x:c>
      <x:c r="E243" s="1" t="n">
        <x:f>'Activities'!L203</x:f>
        <x:v>413</x:v>
      </x:c>
      <x:c r="F243" s="1" t="n">
        <x:f>'Activities'!K225</x:f>
        <x:v>413</x:v>
      </x:c>
      <x:c r="G243" s="1" t="n">
        <x:f>F243-E243-D243</x:f>
        <x:v>0</x:v>
      </x:c>
      <x:c r="H243" s="1" t="str">
        <x:v>Explicit working-day lag</x:v>
      </x:c>
    </x:row>
    <x:row r="244" ht="23" customHeight="1">
      <x:c r="A244" s="6" t="str">
        <x:v>T2-L03-T</x:v>
      </x:c>
      <x:c r="B244" s="6" t="str">
        <x:v>T2-L03-A</x:v>
      </x:c>
      <x:c r="C244" s="6" t="str">
        <x:v>FS</x:v>
      </x:c>
      <x:c r="D244" s="6" t="n">
        <x:v>2</x:v>
      </x:c>
      <x:c r="E244" s="6" t="n">
        <x:f>'Activities'!L225</x:f>
        <x:v>419</x:v>
      </x:c>
      <x:c r="F244" s="6" t="n">
        <x:f>'Activities'!K226</x:f>
        <x:v>421</x:v>
      </x:c>
      <x:c r="G244" s="6" t="n">
        <x:f>F244-E244-D244</x:f>
        <x:v>0</x:v>
      </x:c>
      <x:c r="H244" s="6" t="str">
        <x:v>Explicit working-day lag</x:v>
      </x:c>
    </x:row>
    <x:row r="245" ht="23" customHeight="1">
      <x:c r="A245" s="1" t="str">
        <x:v>T2-L03-A</x:v>
      </x:c>
      <x:c r="B245" s="1" t="str">
        <x:v>T2-L03-D</x:v>
      </x:c>
      <x:c r="C245" s="1" t="str">
        <x:v>FS</x:v>
      </x:c>
      <x:c r="D245" s="1" t="n">
        <x:v>0</x:v>
      </x:c>
      <x:c r="E245" s="1" t="n">
        <x:f>'Activities'!L226</x:f>
        <x:v>426</x:v>
      </x:c>
      <x:c r="F245" s="1" t="n">
        <x:f>'Activities'!K227</x:f>
        <x:v>426</x:v>
      </x:c>
      <x:c r="G245" s="1" t="n">
        <x:f>F245-E245-D245</x:f>
        <x:v>0</x:v>
      </x:c>
      <x:c r="H245" s="1" t="str">
        <x:v>Explicit working-day lag</x:v>
      </x:c>
    </x:row>
    <x:row r="246" ht="23" customHeight="1">
      <x:c r="A246" s="6" t="str">
        <x:v>T2-L07-H</x:v>
      </x:c>
      <x:c r="B246" s="6" t="str">
        <x:v>T2-L04-M</x:v>
      </x:c>
      <x:c r="C246" s="6" t="str">
        <x:v>FS</x:v>
      </x:c>
      <x:c r="D246" s="6" t="n">
        <x:v>5</x:v>
      </x:c>
      <x:c r="E246" s="6" t="n">
        <x:f>'Activities'!L180</x:f>
        <x:v>290</x:v>
      </x:c>
      <x:c r="F246" s="6" t="n">
        <x:f>'Activities'!K228</x:f>
        <x:v>295</x:v>
      </x:c>
      <x:c r="G246" s="6" t="n">
        <x:f>F246-E246-D246</x:f>
        <x:v>0</x:v>
      </x:c>
      <x:c r="H246" s="6" t="str">
        <x:v>Explicit working-day lag</x:v>
      </x:c>
    </x:row>
    <x:row r="247" ht="23" customHeight="1">
      <x:c r="A247" s="1" t="str">
        <x:v>T2-L04-M</x:v>
      </x:c>
      <x:c r="B247" s="1" t="str">
        <x:v>T2-L04-P</x:v>
      </x:c>
      <x:c r="C247" s="1" t="str">
        <x:v>FS</x:v>
      </x:c>
      <x:c r="D247" s="1" t="n">
        <x:v>3</x:v>
      </x:c>
      <x:c r="E247" s="1" t="n">
        <x:f>'Activities'!L228</x:f>
        <x:v>300</x:v>
      </x:c>
      <x:c r="F247" s="1" t="n">
        <x:f>'Activities'!K229</x:f>
        <x:v>303</x:v>
      </x:c>
      <x:c r="G247" s="1" t="n">
        <x:f>F247-E247-D247</x:f>
        <x:v>0</x:v>
      </x:c>
      <x:c r="H247" s="1" t="str">
        <x:v>Explicit working-day lag</x:v>
      </x:c>
    </x:row>
    <x:row r="248" ht="23" customHeight="1">
      <x:c r="A248" s="6" t="str">
        <x:v>T2-L04-P</x:v>
      </x:c>
      <x:c r="B248" s="6" t="str">
        <x:v>T2-L04-S</x:v>
      </x:c>
      <x:c r="C248" s="6" t="str">
        <x:v>FS</x:v>
      </x:c>
      <x:c r="D248" s="6" t="n">
        <x:v>2</x:v>
      </x:c>
      <x:c r="E248" s="6" t="n">
        <x:f>'Activities'!L229</x:f>
        <x:v>309</x:v>
      </x:c>
      <x:c r="F248" s="6" t="n">
        <x:f>'Activities'!K230</x:f>
        <x:v>311</x:v>
      </x:c>
      <x:c r="G248" s="6" t="n">
        <x:f>F248-E248-D248</x:f>
        <x:v>0</x:v>
      </x:c>
      <x:c r="H248" s="6" t="str">
        <x:v>Explicit working-day lag</x:v>
      </x:c>
    </x:row>
    <x:row r="249" ht="23" customHeight="1">
      <x:c r="A249" s="1" t="str">
        <x:v>T2-L04-S</x:v>
      </x:c>
      <x:c r="B249" s="1" t="str">
        <x:v>T2-L04-T</x:v>
      </x:c>
      <x:c r="C249" s="1" t="str">
        <x:v>FS</x:v>
      </x:c>
      <x:c r="D249" s="1" t="n">
        <x:v>14</x:v>
      </x:c>
      <x:c r="E249" s="1" t="n">
        <x:f>'Activities'!L230</x:f>
        <x:v>314</x:v>
      </x:c>
      <x:c r="F249" s="1" t="n">
        <x:f>'Activities'!K231</x:f>
        <x:v>413</x:v>
      </x:c>
      <x:c r="G249" s="1" t="n">
        <x:f>F249-E249-D249</x:f>
        <x:v>85</x:v>
      </x:c>
      <x:c r="H249" s="1" t="str">
        <x:v>Explicit working-day lag</x:v>
      </x:c>
    </x:row>
    <x:row r="250" ht="23" customHeight="1">
      <x:c r="A250" s="6" t="str">
        <x:v>T2-GL</x:v>
      </x:c>
      <x:c r="B250" s="6" t="str">
        <x:v>T2-L04-T</x:v>
      </x:c>
      <x:c r="C250" s="6" t="str">
        <x:v>FS</x:v>
      </x:c>
      <x:c r="D250" s="6" t="n">
        <x:v>0</x:v>
      </x:c>
      <x:c r="E250" s="6" t="n">
        <x:f>'Activities'!L203</x:f>
        <x:v>413</x:v>
      </x:c>
      <x:c r="F250" s="6" t="n">
        <x:f>'Activities'!K231</x:f>
        <x:v>413</x:v>
      </x:c>
      <x:c r="G250" s="6" t="n">
        <x:f>F250-E250-D250</x:f>
        <x:v>0</x:v>
      </x:c>
      <x:c r="H250" s="6" t="str">
        <x:v>Explicit working-day lag</x:v>
      </x:c>
    </x:row>
    <x:row r="251" ht="23" customHeight="1">
      <x:c r="A251" s="1" t="str">
        <x:v>T2-L04-T</x:v>
      </x:c>
      <x:c r="B251" s="1" t="str">
        <x:v>T2-L04-A</x:v>
      </x:c>
      <x:c r="C251" s="1" t="str">
        <x:v>FS</x:v>
      </x:c>
      <x:c r="D251" s="1" t="n">
        <x:v>2</x:v>
      </x:c>
      <x:c r="E251" s="1" t="n">
        <x:f>'Activities'!L231</x:f>
        <x:v>419</x:v>
      </x:c>
      <x:c r="F251" s="1" t="n">
        <x:f>'Activities'!K232</x:f>
        <x:v>421</x:v>
      </x:c>
      <x:c r="G251" s="1" t="n">
        <x:f>F251-E251-D251</x:f>
        <x:v>0</x:v>
      </x:c>
      <x:c r="H251" s="1" t="str">
        <x:v>Explicit working-day lag</x:v>
      </x:c>
    </x:row>
    <x:row r="252" ht="23" customHeight="1">
      <x:c r="A252" s="6" t="str">
        <x:v>T2-L04-A</x:v>
      </x:c>
      <x:c r="B252" s="6" t="str">
        <x:v>T2-L04-D</x:v>
      </x:c>
      <x:c r="C252" s="6" t="str">
        <x:v>FS</x:v>
      </x:c>
      <x:c r="D252" s="6" t="n">
        <x:v>0</x:v>
      </x:c>
      <x:c r="E252" s="6" t="n">
        <x:f>'Activities'!L232</x:f>
        <x:v>426</x:v>
      </x:c>
      <x:c r="F252" s="6" t="n">
        <x:f>'Activities'!K233</x:f>
        <x:v>426</x:v>
      </x:c>
      <x:c r="G252" s="6" t="n">
        <x:f>F252-E252-D252</x:f>
        <x:v>0</x:v>
      </x:c>
      <x:c r="H252" s="6" t="str">
        <x:v>Explicit working-day lag</x:v>
      </x:c>
    </x:row>
    <x:row r="253" ht="23" customHeight="1">
      <x:c r="A253" s="1" t="str">
        <x:v>T2-L08-H</x:v>
      </x:c>
      <x:c r="B253" s="1" t="str">
        <x:v>T2-L05-M</x:v>
      </x:c>
      <x:c r="C253" s="1" t="str">
        <x:v>FS</x:v>
      </x:c>
      <x:c r="D253" s="1" t="n">
        <x:v>5</x:v>
      </x:c>
      <x:c r="E253" s="1" t="n">
        <x:f>'Activities'!L184</x:f>
        <x:v>308</x:v>
      </x:c>
      <x:c r="F253" s="1" t="n">
        <x:f>'Activities'!K234</x:f>
        <x:v>313</x:v>
      </x:c>
      <x:c r="G253" s="1" t="n">
        <x:f>F253-E253-D253</x:f>
        <x:v>0</x:v>
      </x:c>
      <x:c r="H253" s="1" t="str">
        <x:v>Explicit working-day lag</x:v>
      </x:c>
    </x:row>
    <x:row r="254" ht="23" customHeight="1">
      <x:c r="A254" s="6" t="str">
        <x:v>T2-L05-M</x:v>
      </x:c>
      <x:c r="B254" s="6" t="str">
        <x:v>T2-L05-P</x:v>
      </x:c>
      <x:c r="C254" s="6" t="str">
        <x:v>FS</x:v>
      </x:c>
      <x:c r="D254" s="6" t="n">
        <x:v>3</x:v>
      </x:c>
      <x:c r="E254" s="6" t="n">
        <x:f>'Activities'!L234</x:f>
        <x:v>318</x:v>
      </x:c>
      <x:c r="F254" s="6" t="n">
        <x:f>'Activities'!K235</x:f>
        <x:v>321</x:v>
      </x:c>
      <x:c r="G254" s="6" t="n">
        <x:f>F254-E254-D254</x:f>
        <x:v>0</x:v>
      </x:c>
      <x:c r="H254" s="6" t="str">
        <x:v>Explicit working-day lag</x:v>
      </x:c>
    </x:row>
    <x:row r="255" ht="23" customHeight="1">
      <x:c r="A255" s="1" t="str">
        <x:v>T2-L05-P</x:v>
      </x:c>
      <x:c r="B255" s="1" t="str">
        <x:v>T2-L05-S</x:v>
      </x:c>
      <x:c r="C255" s="1" t="str">
        <x:v>FS</x:v>
      </x:c>
      <x:c r="D255" s="1" t="n">
        <x:v>2</x:v>
      </x:c>
      <x:c r="E255" s="1" t="n">
        <x:f>'Activities'!L235</x:f>
        <x:v>327</x:v>
      </x:c>
      <x:c r="F255" s="1" t="n">
        <x:f>'Activities'!K236</x:f>
        <x:v>329</x:v>
      </x:c>
      <x:c r="G255" s="1" t="n">
        <x:f>F255-E255-D255</x:f>
        <x:v>0</x:v>
      </x:c>
      <x:c r="H255" s="1" t="str">
        <x:v>Explicit working-day lag</x:v>
      </x:c>
    </x:row>
    <x:row r="256" ht="23" customHeight="1">
      <x:c r="A256" s="6" t="str">
        <x:v>T2-L05-S</x:v>
      </x:c>
      <x:c r="B256" s="6" t="str">
        <x:v>T2-L05-T</x:v>
      </x:c>
      <x:c r="C256" s="6" t="str">
        <x:v>FS</x:v>
      </x:c>
      <x:c r="D256" s="6" t="n">
        <x:v>14</x:v>
      </x:c>
      <x:c r="E256" s="6" t="n">
        <x:f>'Activities'!L236</x:f>
        <x:v>332</x:v>
      </x:c>
      <x:c r="F256" s="6" t="n">
        <x:f>'Activities'!K237</x:f>
        <x:v>413</x:v>
      </x:c>
      <x:c r="G256" s="6" t="n">
        <x:f>F256-E256-D256</x:f>
        <x:v>67</x:v>
      </x:c>
      <x:c r="H256" s="6" t="str">
        <x:v>Explicit working-day lag</x:v>
      </x:c>
    </x:row>
    <x:row r="257" ht="23" customHeight="1">
      <x:c r="A257" s="1" t="str">
        <x:v>T2-GL</x:v>
      </x:c>
      <x:c r="B257" s="1" t="str">
        <x:v>T2-L05-T</x:v>
      </x:c>
      <x:c r="C257" s="1" t="str">
        <x:v>FS</x:v>
      </x:c>
      <x:c r="D257" s="1" t="n">
        <x:v>0</x:v>
      </x:c>
      <x:c r="E257" s="1" t="n">
        <x:f>'Activities'!L203</x:f>
        <x:v>413</x:v>
      </x:c>
      <x:c r="F257" s="1" t="n">
        <x:f>'Activities'!K237</x:f>
        <x:v>413</x:v>
      </x:c>
      <x:c r="G257" s="1" t="n">
        <x:f>F257-E257-D257</x:f>
        <x:v>0</x:v>
      </x:c>
      <x:c r="H257" s="1" t="str">
        <x:v>Explicit working-day lag</x:v>
      </x:c>
    </x:row>
    <x:row r="258" ht="23" customHeight="1">
      <x:c r="A258" s="6" t="str">
        <x:v>T2-L05-T</x:v>
      </x:c>
      <x:c r="B258" s="6" t="str">
        <x:v>T2-L05-A</x:v>
      </x:c>
      <x:c r="C258" s="6" t="str">
        <x:v>FS</x:v>
      </x:c>
      <x:c r="D258" s="6" t="n">
        <x:v>2</x:v>
      </x:c>
      <x:c r="E258" s="6" t="n">
        <x:f>'Activities'!L237</x:f>
        <x:v>419</x:v>
      </x:c>
      <x:c r="F258" s="6" t="n">
        <x:f>'Activities'!K238</x:f>
        <x:v>421</x:v>
      </x:c>
      <x:c r="G258" s="6" t="n">
        <x:f>F258-E258-D258</x:f>
        <x:v>0</x:v>
      </x:c>
      <x:c r="H258" s="6" t="str">
        <x:v>Explicit working-day lag</x:v>
      </x:c>
    </x:row>
    <x:row r="259" ht="23" customHeight="1">
      <x:c r="A259" s="1" t="str">
        <x:v>T2-L05-A</x:v>
      </x:c>
      <x:c r="B259" s="1" t="str">
        <x:v>T2-L05-D</x:v>
      </x:c>
      <x:c r="C259" s="1" t="str">
        <x:v>FS</x:v>
      </x:c>
      <x:c r="D259" s="1" t="n">
        <x:v>0</x:v>
      </x:c>
      <x:c r="E259" s="1" t="n">
        <x:f>'Activities'!L238</x:f>
        <x:v>426</x:v>
      </x:c>
      <x:c r="F259" s="1" t="n">
        <x:f>'Activities'!K239</x:f>
        <x:v>426</x:v>
      </x:c>
      <x:c r="G259" s="1" t="n">
        <x:f>F259-E259-D259</x:f>
        <x:v>0</x:v>
      </x:c>
      <x:c r="H259" s="1" t="str">
        <x:v>Explicit working-day lag</x:v>
      </x:c>
    </x:row>
    <x:row r="260" ht="23" customHeight="1">
      <x:c r="A260" s="6" t="str">
        <x:v>T2-L09-H</x:v>
      </x:c>
      <x:c r="B260" s="6" t="str">
        <x:v>T2-L06-M</x:v>
      </x:c>
      <x:c r="C260" s="6" t="str">
        <x:v>FS</x:v>
      </x:c>
      <x:c r="D260" s="6" t="n">
        <x:v>5</x:v>
      </x:c>
      <x:c r="E260" s="6" t="n">
        <x:f>'Activities'!L188</x:f>
        <x:v>326</x:v>
      </x:c>
      <x:c r="F260" s="6" t="n">
        <x:f>'Activities'!K240</x:f>
        <x:v>331</x:v>
      </x:c>
      <x:c r="G260" s="6" t="n">
        <x:f>F260-E260-D260</x:f>
        <x:v>0</x:v>
      </x:c>
      <x:c r="H260" s="6" t="str">
        <x:v>Explicit working-day lag</x:v>
      </x:c>
    </x:row>
    <x:row r="261" ht="23" customHeight="1">
      <x:c r="A261" s="1" t="str">
        <x:v>T2-L06-M</x:v>
      </x:c>
      <x:c r="B261" s="1" t="str">
        <x:v>T2-L06-P</x:v>
      </x:c>
      <x:c r="C261" s="1" t="str">
        <x:v>FS</x:v>
      </x:c>
      <x:c r="D261" s="1" t="n">
        <x:v>3</x:v>
      </x:c>
      <x:c r="E261" s="1" t="n">
        <x:f>'Activities'!L240</x:f>
        <x:v>336</x:v>
      </x:c>
      <x:c r="F261" s="1" t="n">
        <x:f>'Activities'!K241</x:f>
        <x:v>339</x:v>
      </x:c>
      <x:c r="G261" s="1" t="n">
        <x:f>F261-E261-D261</x:f>
        <x:v>0</x:v>
      </x:c>
      <x:c r="H261" s="1" t="str">
        <x:v>Explicit working-day lag</x:v>
      </x:c>
    </x:row>
    <x:row r="262" ht="23" customHeight="1">
      <x:c r="A262" s="6" t="str">
        <x:v>T2-L06-P</x:v>
      </x:c>
      <x:c r="B262" s="6" t="str">
        <x:v>T2-L06-S</x:v>
      </x:c>
      <x:c r="C262" s="6" t="str">
        <x:v>FS</x:v>
      </x:c>
      <x:c r="D262" s="6" t="n">
        <x:v>2</x:v>
      </x:c>
      <x:c r="E262" s="6" t="n">
        <x:f>'Activities'!L241</x:f>
        <x:v>345</x:v>
      </x:c>
      <x:c r="F262" s="6" t="n">
        <x:f>'Activities'!K242</x:f>
        <x:v>347</x:v>
      </x:c>
      <x:c r="G262" s="6" t="n">
        <x:f>F262-E262-D262</x:f>
        <x:v>0</x:v>
      </x:c>
      <x:c r="H262" s="6" t="str">
        <x:v>Explicit working-day lag</x:v>
      </x:c>
    </x:row>
    <x:row r="263" ht="23" customHeight="1">
      <x:c r="A263" s="1" t="str">
        <x:v>T2-L06-S</x:v>
      </x:c>
      <x:c r="B263" s="1" t="str">
        <x:v>T2-L06-T</x:v>
      </x:c>
      <x:c r="C263" s="1" t="str">
        <x:v>FS</x:v>
      </x:c>
      <x:c r="D263" s="1" t="n">
        <x:v>14</x:v>
      </x:c>
      <x:c r="E263" s="1" t="n">
        <x:f>'Activities'!L242</x:f>
        <x:v>350</x:v>
      </x:c>
      <x:c r="F263" s="1" t="n">
        <x:f>'Activities'!K243</x:f>
        <x:v>413</x:v>
      </x:c>
      <x:c r="G263" s="1" t="n">
        <x:f>F263-E263-D263</x:f>
        <x:v>49</x:v>
      </x:c>
      <x:c r="H263" s="1" t="str">
        <x:v>Explicit working-day lag</x:v>
      </x:c>
    </x:row>
    <x:row r="264" ht="23" customHeight="1">
      <x:c r="A264" s="6" t="str">
        <x:v>T2-GL</x:v>
      </x:c>
      <x:c r="B264" s="6" t="str">
        <x:v>T2-L06-T</x:v>
      </x:c>
      <x:c r="C264" s="6" t="str">
        <x:v>FS</x:v>
      </x:c>
      <x:c r="D264" s="6" t="n">
        <x:v>0</x:v>
      </x:c>
      <x:c r="E264" s="6" t="n">
        <x:f>'Activities'!L203</x:f>
        <x:v>413</x:v>
      </x:c>
      <x:c r="F264" s="6" t="n">
        <x:f>'Activities'!K243</x:f>
        <x:v>413</x:v>
      </x:c>
      <x:c r="G264" s="6" t="n">
        <x:f>F264-E264-D264</x:f>
        <x:v>0</x:v>
      </x:c>
      <x:c r="H264" s="6" t="str">
        <x:v>Explicit working-day lag</x:v>
      </x:c>
    </x:row>
    <x:row r="265" ht="23" customHeight="1">
      <x:c r="A265" s="1" t="str">
        <x:v>T2-L06-T</x:v>
      </x:c>
      <x:c r="B265" s="1" t="str">
        <x:v>T2-L06-A</x:v>
      </x:c>
      <x:c r="C265" s="1" t="str">
        <x:v>FS</x:v>
      </x:c>
      <x:c r="D265" s="1" t="n">
        <x:v>2</x:v>
      </x:c>
      <x:c r="E265" s="1" t="n">
        <x:f>'Activities'!L243</x:f>
        <x:v>419</x:v>
      </x:c>
      <x:c r="F265" s="1" t="n">
        <x:f>'Activities'!K244</x:f>
        <x:v>421</x:v>
      </x:c>
      <x:c r="G265" s="1" t="n">
        <x:f>F265-E265-D265</x:f>
        <x:v>0</x:v>
      </x:c>
      <x:c r="H265" s="1" t="str">
        <x:v>Explicit working-day lag</x:v>
      </x:c>
    </x:row>
    <x:row r="266" ht="23" customHeight="1">
      <x:c r="A266" s="6" t="str">
        <x:v>T2-L06-A</x:v>
      </x:c>
      <x:c r="B266" s="6" t="str">
        <x:v>T2-L06-D</x:v>
      </x:c>
      <x:c r="C266" s="6" t="str">
        <x:v>FS</x:v>
      </x:c>
      <x:c r="D266" s="6" t="n">
        <x:v>0</x:v>
      </x:c>
      <x:c r="E266" s="6" t="n">
        <x:f>'Activities'!L244</x:f>
        <x:v>426</x:v>
      </x:c>
      <x:c r="F266" s="6" t="n">
        <x:f>'Activities'!K245</x:f>
        <x:v>426</x:v>
      </x:c>
      <x:c r="G266" s="6" t="n">
        <x:f>F266-E266-D266</x:f>
        <x:v>0</x:v>
      </x:c>
      <x:c r="H266" s="6" t="str">
        <x:v>Explicit working-day lag</x:v>
      </x:c>
    </x:row>
    <x:row r="267" ht="23" customHeight="1">
      <x:c r="A267" s="1" t="str">
        <x:v>T2-L10-H</x:v>
      </x:c>
      <x:c r="B267" s="1" t="str">
        <x:v>T2-L07-M</x:v>
      </x:c>
      <x:c r="C267" s="1" t="str">
        <x:v>FS</x:v>
      </x:c>
      <x:c r="D267" s="1" t="n">
        <x:v>5</x:v>
      </x:c>
      <x:c r="E267" s="1" t="n">
        <x:f>'Activities'!L192</x:f>
        <x:v>344</x:v>
      </x:c>
      <x:c r="F267" s="1" t="n">
        <x:f>'Activities'!K246</x:f>
        <x:v>349</x:v>
      </x:c>
      <x:c r="G267" s="1" t="n">
        <x:f>F267-E267-D267</x:f>
        <x:v>0</x:v>
      </x:c>
      <x:c r="H267" s="1" t="str">
        <x:v>Explicit working-day lag</x:v>
      </x:c>
    </x:row>
    <x:row r="268" ht="23" customHeight="1">
      <x:c r="A268" s="6" t="str">
        <x:v>T2-L07-M</x:v>
      </x:c>
      <x:c r="B268" s="6" t="str">
        <x:v>T2-L07-P</x:v>
      </x:c>
      <x:c r="C268" s="6" t="str">
        <x:v>FS</x:v>
      </x:c>
      <x:c r="D268" s="6" t="n">
        <x:v>3</x:v>
      </x:c>
      <x:c r="E268" s="6" t="n">
        <x:f>'Activities'!L246</x:f>
        <x:v>354</x:v>
      </x:c>
      <x:c r="F268" s="6" t="n">
        <x:f>'Activities'!K247</x:f>
        <x:v>357</x:v>
      </x:c>
      <x:c r="G268" s="6" t="n">
        <x:f>F268-E268-D268</x:f>
        <x:v>0</x:v>
      </x:c>
      <x:c r="H268" s="6" t="str">
        <x:v>Explicit working-day lag</x:v>
      </x:c>
    </x:row>
    <x:row r="269" ht="23" customHeight="1">
      <x:c r="A269" s="1" t="str">
        <x:v>T2-L07-P</x:v>
      </x:c>
      <x:c r="B269" s="1" t="str">
        <x:v>T2-L07-S</x:v>
      </x:c>
      <x:c r="C269" s="1" t="str">
        <x:v>FS</x:v>
      </x:c>
      <x:c r="D269" s="1" t="n">
        <x:v>2</x:v>
      </x:c>
      <x:c r="E269" s="1" t="n">
        <x:f>'Activities'!L247</x:f>
        <x:v>363</x:v>
      </x:c>
      <x:c r="F269" s="1" t="n">
        <x:f>'Activities'!K248</x:f>
        <x:v>365</x:v>
      </x:c>
      <x:c r="G269" s="1" t="n">
        <x:f>F269-E269-D269</x:f>
        <x:v>0</x:v>
      </x:c>
      <x:c r="H269" s="1" t="str">
        <x:v>Explicit working-day lag</x:v>
      </x:c>
    </x:row>
    <x:row r="270" ht="23" customHeight="1">
      <x:c r="A270" s="6" t="str">
        <x:v>T2-L07-S</x:v>
      </x:c>
      <x:c r="B270" s="6" t="str">
        <x:v>T2-L07-T</x:v>
      </x:c>
      <x:c r="C270" s="6" t="str">
        <x:v>FS</x:v>
      </x:c>
      <x:c r="D270" s="6" t="n">
        <x:v>14</x:v>
      </x:c>
      <x:c r="E270" s="6" t="n">
        <x:f>'Activities'!L248</x:f>
        <x:v>368</x:v>
      </x:c>
      <x:c r="F270" s="6" t="n">
        <x:f>'Activities'!K249</x:f>
        <x:v>413</x:v>
      </x:c>
      <x:c r="G270" s="6" t="n">
        <x:f>F270-E270-D270</x:f>
        <x:v>31</x:v>
      </x:c>
      <x:c r="H270" s="6" t="str">
        <x:v>Explicit working-day lag</x:v>
      </x:c>
    </x:row>
    <x:row r="271" ht="23" customHeight="1">
      <x:c r="A271" s="1" t="str">
        <x:v>T2-GL</x:v>
      </x:c>
      <x:c r="B271" s="1" t="str">
        <x:v>T2-L07-T</x:v>
      </x:c>
      <x:c r="C271" s="1" t="str">
        <x:v>FS</x:v>
      </x:c>
      <x:c r="D271" s="1" t="n">
        <x:v>0</x:v>
      </x:c>
      <x:c r="E271" s="1" t="n">
        <x:f>'Activities'!L203</x:f>
        <x:v>413</x:v>
      </x:c>
      <x:c r="F271" s="1" t="n">
        <x:f>'Activities'!K249</x:f>
        <x:v>413</x:v>
      </x:c>
      <x:c r="G271" s="1" t="n">
        <x:f>F271-E271-D271</x:f>
        <x:v>0</x:v>
      </x:c>
      <x:c r="H271" s="1" t="str">
        <x:v>Explicit working-day lag</x:v>
      </x:c>
    </x:row>
    <x:row r="272" ht="23" customHeight="1">
      <x:c r="A272" s="6" t="str">
        <x:v>T2-L07-T</x:v>
      </x:c>
      <x:c r="B272" s="6" t="str">
        <x:v>T2-L07-A</x:v>
      </x:c>
      <x:c r="C272" s="6" t="str">
        <x:v>FS</x:v>
      </x:c>
      <x:c r="D272" s="6" t="n">
        <x:v>2</x:v>
      </x:c>
      <x:c r="E272" s="6" t="n">
        <x:f>'Activities'!L249</x:f>
        <x:v>419</x:v>
      </x:c>
      <x:c r="F272" s="6" t="n">
        <x:f>'Activities'!K250</x:f>
        <x:v>421</x:v>
      </x:c>
      <x:c r="G272" s="6" t="n">
        <x:f>F272-E272-D272</x:f>
        <x:v>0</x:v>
      </x:c>
      <x:c r="H272" s="6" t="str">
        <x:v>Explicit working-day lag</x:v>
      </x:c>
    </x:row>
    <x:row r="273" ht="23" customHeight="1">
      <x:c r="A273" s="1" t="str">
        <x:v>T2-L07-A</x:v>
      </x:c>
      <x:c r="B273" s="1" t="str">
        <x:v>T2-L07-D</x:v>
      </x:c>
      <x:c r="C273" s="1" t="str">
        <x:v>FS</x:v>
      </x:c>
      <x:c r="D273" s="1" t="n">
        <x:v>0</x:v>
      </x:c>
      <x:c r="E273" s="1" t="n">
        <x:f>'Activities'!L250</x:f>
        <x:v>426</x:v>
      </x:c>
      <x:c r="F273" s="1" t="n">
        <x:f>'Activities'!K251</x:f>
        <x:v>426</x:v>
      </x:c>
      <x:c r="G273" s="1" t="n">
        <x:f>F273-E273-D273</x:f>
        <x:v>0</x:v>
      </x:c>
      <x:c r="H273" s="1" t="str">
        <x:v>Explicit working-day lag</x:v>
      </x:c>
    </x:row>
    <x:row r="274" ht="23" customHeight="1">
      <x:c r="A274" s="6" t="str">
        <x:v>T2-L11-H</x:v>
      </x:c>
      <x:c r="B274" s="6" t="str">
        <x:v>T2-L08-M</x:v>
      </x:c>
      <x:c r="C274" s="6" t="str">
        <x:v>FS</x:v>
      </x:c>
      <x:c r="D274" s="6" t="n">
        <x:v>5</x:v>
      </x:c>
      <x:c r="E274" s="6" t="n">
        <x:f>'Activities'!L196</x:f>
        <x:v>362</x:v>
      </x:c>
      <x:c r="F274" s="6" t="n">
        <x:f>'Activities'!K252</x:f>
        <x:v>367</x:v>
      </x:c>
      <x:c r="G274" s="6" t="n">
        <x:f>F274-E274-D274</x:f>
        <x:v>0</x:v>
      </x:c>
      <x:c r="H274" s="6" t="str">
        <x:v>Explicit working-day lag</x:v>
      </x:c>
    </x:row>
    <x:row r="275" ht="23" customHeight="1">
      <x:c r="A275" s="1" t="str">
        <x:v>T2-L08-M</x:v>
      </x:c>
      <x:c r="B275" s="1" t="str">
        <x:v>T2-L08-P</x:v>
      </x:c>
      <x:c r="C275" s="1" t="str">
        <x:v>FS</x:v>
      </x:c>
      <x:c r="D275" s="1" t="n">
        <x:v>3</x:v>
      </x:c>
      <x:c r="E275" s="1" t="n">
        <x:f>'Activities'!L252</x:f>
        <x:v>372</x:v>
      </x:c>
      <x:c r="F275" s="1" t="n">
        <x:f>'Activities'!K253</x:f>
        <x:v>375</x:v>
      </x:c>
      <x:c r="G275" s="1" t="n">
        <x:f>F275-E275-D275</x:f>
        <x:v>0</x:v>
      </x:c>
      <x:c r="H275" s="1" t="str">
        <x:v>Explicit working-day lag</x:v>
      </x:c>
    </x:row>
    <x:row r="276" ht="23" customHeight="1">
      <x:c r="A276" s="6" t="str">
        <x:v>T2-L08-P</x:v>
      </x:c>
      <x:c r="B276" s="6" t="str">
        <x:v>T2-L08-S</x:v>
      </x:c>
      <x:c r="C276" s="6" t="str">
        <x:v>FS</x:v>
      </x:c>
      <x:c r="D276" s="6" t="n">
        <x:v>2</x:v>
      </x:c>
      <x:c r="E276" s="6" t="n">
        <x:f>'Activities'!L253</x:f>
        <x:v>381</x:v>
      </x:c>
      <x:c r="F276" s="6" t="n">
        <x:f>'Activities'!K254</x:f>
        <x:v>383</x:v>
      </x:c>
      <x:c r="G276" s="6" t="n">
        <x:f>F276-E276-D276</x:f>
        <x:v>0</x:v>
      </x:c>
      <x:c r="H276" s="6" t="str">
        <x:v>Explicit working-day lag</x:v>
      </x:c>
    </x:row>
    <x:row r="277" ht="23" customHeight="1">
      <x:c r="A277" s="1" t="str">
        <x:v>T2-L08-S</x:v>
      </x:c>
      <x:c r="B277" s="1" t="str">
        <x:v>T2-L08-T</x:v>
      </x:c>
      <x:c r="C277" s="1" t="str">
        <x:v>FS</x:v>
      </x:c>
      <x:c r="D277" s="1" t="n">
        <x:v>14</x:v>
      </x:c>
      <x:c r="E277" s="1" t="n">
        <x:f>'Activities'!L254</x:f>
        <x:v>386</x:v>
      </x:c>
      <x:c r="F277" s="1" t="n">
        <x:f>'Activities'!K255</x:f>
        <x:v>413</x:v>
      </x:c>
      <x:c r="G277" s="1" t="n">
        <x:f>F277-E277-D277</x:f>
        <x:v>13</x:v>
      </x:c>
      <x:c r="H277" s="1" t="str">
        <x:v>Explicit working-day lag</x:v>
      </x:c>
    </x:row>
    <x:row r="278" ht="23" customHeight="1">
      <x:c r="A278" s="6" t="str">
        <x:v>T2-GL</x:v>
      </x:c>
      <x:c r="B278" s="6" t="str">
        <x:v>T2-L08-T</x:v>
      </x:c>
      <x:c r="C278" s="6" t="str">
        <x:v>FS</x:v>
      </x:c>
      <x:c r="D278" s="6" t="n">
        <x:v>0</x:v>
      </x:c>
      <x:c r="E278" s="6" t="n">
        <x:f>'Activities'!L203</x:f>
        <x:v>413</x:v>
      </x:c>
      <x:c r="F278" s="6" t="n">
        <x:f>'Activities'!K255</x:f>
        <x:v>413</x:v>
      </x:c>
      <x:c r="G278" s="6" t="n">
        <x:f>F278-E278-D278</x:f>
        <x:v>0</x:v>
      </x:c>
      <x:c r="H278" s="6" t="str">
        <x:v>Explicit working-day lag</x:v>
      </x:c>
    </x:row>
    <x:row r="279" ht="23" customHeight="1">
      <x:c r="A279" s="1" t="str">
        <x:v>T2-L08-T</x:v>
      </x:c>
      <x:c r="B279" s="1" t="str">
        <x:v>T2-L08-A</x:v>
      </x:c>
      <x:c r="C279" s="1" t="str">
        <x:v>FS</x:v>
      </x:c>
      <x:c r="D279" s="1" t="n">
        <x:v>2</x:v>
      </x:c>
      <x:c r="E279" s="1" t="n">
        <x:f>'Activities'!L255</x:f>
        <x:v>419</x:v>
      </x:c>
      <x:c r="F279" s="1" t="n">
        <x:f>'Activities'!K256</x:f>
        <x:v>421</x:v>
      </x:c>
      <x:c r="G279" s="1" t="n">
        <x:f>F279-E279-D279</x:f>
        <x:v>0</x:v>
      </x:c>
      <x:c r="H279" s="1" t="str">
        <x:v>Explicit working-day lag</x:v>
      </x:c>
    </x:row>
    <x:row r="280" ht="23" customHeight="1">
      <x:c r="A280" s="6" t="str">
        <x:v>T2-L08-A</x:v>
      </x:c>
      <x:c r="B280" s="6" t="str">
        <x:v>T2-L08-D</x:v>
      </x:c>
      <x:c r="C280" s="6" t="str">
        <x:v>FS</x:v>
      </x:c>
      <x:c r="D280" s="6" t="n">
        <x:v>0</x:v>
      </x:c>
      <x:c r="E280" s="6" t="n">
        <x:f>'Activities'!L256</x:f>
        <x:v>426</x:v>
      </x:c>
      <x:c r="F280" s="6" t="n">
        <x:f>'Activities'!K257</x:f>
        <x:v>426</x:v>
      </x:c>
      <x:c r="G280" s="6" t="n">
        <x:f>F280-E280-D280</x:f>
        <x:v>0</x:v>
      </x:c>
      <x:c r="H280" s="6" t="str">
        <x:v>Explicit working-day lag</x:v>
      </x:c>
    </x:row>
    <x:row r="281" ht="23" customHeight="1">
      <x:c r="A281" s="1" t="str">
        <x:v>T2-L12-H</x:v>
      </x:c>
      <x:c r="B281" s="1" t="str">
        <x:v>T2-L09-M</x:v>
      </x:c>
      <x:c r="C281" s="1" t="str">
        <x:v>FS</x:v>
      </x:c>
      <x:c r="D281" s="1" t="n">
        <x:v>5</x:v>
      </x:c>
      <x:c r="E281" s="1" t="n">
        <x:f>'Activities'!L200</x:f>
        <x:v>380</x:v>
      </x:c>
      <x:c r="F281" s="1" t="n">
        <x:f>'Activities'!K258</x:f>
        <x:v>385</x:v>
      </x:c>
      <x:c r="G281" s="1" t="n">
        <x:f>F281-E281-D281</x:f>
        <x:v>0</x:v>
      </x:c>
      <x:c r="H281" s="1" t="str">
        <x:v>Explicit working-day lag</x:v>
      </x:c>
    </x:row>
    <x:row r="282" ht="23" customHeight="1">
      <x:c r="A282" s="6" t="str">
        <x:v>T2-L09-M</x:v>
      </x:c>
      <x:c r="B282" s="6" t="str">
        <x:v>T2-L09-P</x:v>
      </x:c>
      <x:c r="C282" s="6" t="str">
        <x:v>FS</x:v>
      </x:c>
      <x:c r="D282" s="6" t="n">
        <x:v>3</x:v>
      </x:c>
      <x:c r="E282" s="6" t="n">
        <x:f>'Activities'!L258</x:f>
        <x:v>390</x:v>
      </x:c>
      <x:c r="F282" s="6" t="n">
        <x:f>'Activities'!K259</x:f>
        <x:v>393</x:v>
      </x:c>
      <x:c r="G282" s="6" t="n">
        <x:f>F282-E282-D282</x:f>
        <x:v>0</x:v>
      </x:c>
      <x:c r="H282" s="6" t="str">
        <x:v>Explicit working-day lag</x:v>
      </x:c>
    </x:row>
    <x:row r="283" ht="23" customHeight="1">
      <x:c r="A283" s="1" t="str">
        <x:v>T2-L09-P</x:v>
      </x:c>
      <x:c r="B283" s="1" t="str">
        <x:v>T2-L09-S</x:v>
      </x:c>
      <x:c r="C283" s="1" t="str">
        <x:v>FS</x:v>
      </x:c>
      <x:c r="D283" s="1" t="n">
        <x:v>2</x:v>
      </x:c>
      <x:c r="E283" s="1" t="n">
        <x:f>'Activities'!L259</x:f>
        <x:v>399</x:v>
      </x:c>
      <x:c r="F283" s="1" t="n">
        <x:f>'Activities'!K260</x:f>
        <x:v>401</x:v>
      </x:c>
      <x:c r="G283" s="1" t="n">
        <x:f>F283-E283-D283</x:f>
        <x:v>0</x:v>
      </x:c>
      <x:c r="H283" s="1" t="str">
        <x:v>Explicit working-day lag</x:v>
      </x:c>
    </x:row>
    <x:row r="284" ht="23" customHeight="1">
      <x:c r="A284" s="6" t="str">
        <x:v>T2-L09-S</x:v>
      </x:c>
      <x:c r="B284" s="6" t="str">
        <x:v>T2-L09-T</x:v>
      </x:c>
      <x:c r="C284" s="6" t="str">
        <x:v>FS</x:v>
      </x:c>
      <x:c r="D284" s="6" t="n">
        <x:v>14</x:v>
      </x:c>
      <x:c r="E284" s="6" t="n">
        <x:f>'Activities'!L260</x:f>
        <x:v>404</x:v>
      </x:c>
      <x:c r="F284" s="6" t="n">
        <x:f>'Activities'!K261</x:f>
        <x:v>418</x:v>
      </x:c>
      <x:c r="G284" s="6" t="n">
        <x:f>F284-E284-D284</x:f>
        <x:v>0</x:v>
      </x:c>
      <x:c r="H284" s="6" t="str">
        <x:v>Explicit working-day lag</x:v>
      </x:c>
    </x:row>
    <x:row r="285" ht="23" customHeight="1">
      <x:c r="A285" s="1" t="str">
        <x:v>T2-GL</x:v>
      </x:c>
      <x:c r="B285" s="1" t="str">
        <x:v>T2-L09-T</x:v>
      </x:c>
      <x:c r="C285" s="1" t="str">
        <x:v>FS</x:v>
      </x:c>
      <x:c r="D285" s="1" t="n">
        <x:v>0</x:v>
      </x:c>
      <x:c r="E285" s="1" t="n">
        <x:f>'Activities'!L203</x:f>
        <x:v>413</x:v>
      </x:c>
      <x:c r="F285" s="1" t="n">
        <x:f>'Activities'!K261</x:f>
        <x:v>418</x:v>
      </x:c>
      <x:c r="G285" s="1" t="n">
        <x:f>F285-E285-D285</x:f>
        <x:v>5</x:v>
      </x:c>
      <x:c r="H285" s="1" t="str">
        <x:v>Explicit working-day lag</x:v>
      </x:c>
    </x:row>
    <x:row r="286" ht="23" customHeight="1">
      <x:c r="A286" s="6" t="str">
        <x:v>T2-L09-T</x:v>
      </x:c>
      <x:c r="B286" s="6" t="str">
        <x:v>T2-L09-A</x:v>
      </x:c>
      <x:c r="C286" s="6" t="str">
        <x:v>FS</x:v>
      </x:c>
      <x:c r="D286" s="6" t="n">
        <x:v>2</x:v>
      </x:c>
      <x:c r="E286" s="6" t="n">
        <x:f>'Activities'!L261</x:f>
        <x:v>424</x:v>
      </x:c>
      <x:c r="F286" s="6" t="n">
        <x:f>'Activities'!K262</x:f>
        <x:v>426</x:v>
      </x:c>
      <x:c r="G286" s="6" t="n">
        <x:f>F286-E286-D286</x:f>
        <x:v>0</x:v>
      </x:c>
      <x:c r="H286" s="6" t="str">
        <x:v>Explicit working-day lag</x:v>
      </x:c>
    </x:row>
    <x:row r="287" ht="23" customHeight="1">
      <x:c r="A287" s="1" t="str">
        <x:v>T2-L09-A</x:v>
      </x:c>
      <x:c r="B287" s="1" t="str">
        <x:v>T2-L09-D</x:v>
      </x:c>
      <x:c r="C287" s="1" t="str">
        <x:v>FS</x:v>
      </x:c>
      <x:c r="D287" s="1" t="n">
        <x:v>0</x:v>
      </x:c>
      <x:c r="E287" s="1" t="n">
        <x:f>'Activities'!L262</x:f>
        <x:v>431</x:v>
      </x:c>
      <x:c r="F287" s="1" t="n">
        <x:f>'Activities'!K263</x:f>
        <x:v>431</x:v>
      </x:c>
      <x:c r="G287" s="1" t="n">
        <x:f>F287-E287-D287</x:f>
        <x:v>0</x:v>
      </x:c>
      <x:c r="H287" s="1" t="str">
        <x:v>Explicit working-day lag</x:v>
      </x:c>
    </x:row>
    <x:row r="288" ht="23" customHeight="1">
      <x:c r="A288" s="6" t="str">
        <x:v>T2-L12-H</x:v>
      </x:c>
      <x:c r="B288" s="6" t="str">
        <x:v>T2-L10-M</x:v>
      </x:c>
      <x:c r="C288" s="6" t="str">
        <x:v>FS</x:v>
      </x:c>
      <x:c r="D288" s="6" t="n">
        <x:v>5</x:v>
      </x:c>
      <x:c r="E288" s="6" t="n">
        <x:f>'Activities'!L200</x:f>
        <x:v>380</x:v>
      </x:c>
      <x:c r="F288" s="6" t="n">
        <x:f>'Activities'!K264</x:f>
        <x:v>385</x:v>
      </x:c>
      <x:c r="G288" s="6" t="n">
        <x:f>F288-E288-D288</x:f>
        <x:v>0</x:v>
      </x:c>
      <x:c r="H288" s="6" t="str">
        <x:v>Explicit working-day lag</x:v>
      </x:c>
    </x:row>
    <x:row r="289" ht="23" customHeight="1">
      <x:c r="A289" s="1" t="str">
        <x:v>T2-L10-M</x:v>
      </x:c>
      <x:c r="B289" s="1" t="str">
        <x:v>T2-L10-P</x:v>
      </x:c>
      <x:c r="C289" s="1" t="str">
        <x:v>FS</x:v>
      </x:c>
      <x:c r="D289" s="1" t="n">
        <x:v>3</x:v>
      </x:c>
      <x:c r="E289" s="1" t="n">
        <x:f>'Activities'!L264</x:f>
        <x:v>390</x:v>
      </x:c>
      <x:c r="F289" s="1" t="n">
        <x:f>'Activities'!K265</x:f>
        <x:v>393</x:v>
      </x:c>
      <x:c r="G289" s="1" t="n">
        <x:f>F289-E289-D289</x:f>
        <x:v>0</x:v>
      </x:c>
      <x:c r="H289" s="1" t="str">
        <x:v>Explicit working-day lag</x:v>
      </x:c>
    </x:row>
    <x:row r="290" ht="23" customHeight="1">
      <x:c r="A290" s="6" t="str">
        <x:v>T2-L10-P</x:v>
      </x:c>
      <x:c r="B290" s="6" t="str">
        <x:v>T2-L10-S</x:v>
      </x:c>
      <x:c r="C290" s="6" t="str">
        <x:v>FS</x:v>
      </x:c>
      <x:c r="D290" s="6" t="n">
        <x:v>2</x:v>
      </x:c>
      <x:c r="E290" s="6" t="n">
        <x:f>'Activities'!L265</x:f>
        <x:v>399</x:v>
      </x:c>
      <x:c r="F290" s="6" t="n">
        <x:f>'Activities'!K266</x:f>
        <x:v>401</x:v>
      </x:c>
      <x:c r="G290" s="6" t="n">
        <x:f>F290-E290-D290</x:f>
        <x:v>0</x:v>
      </x:c>
      <x:c r="H290" s="6" t="str">
        <x:v>Explicit working-day lag</x:v>
      </x:c>
    </x:row>
    <x:row r="291" ht="23" customHeight="1">
      <x:c r="A291" s="1" t="str">
        <x:v>T2-L10-S</x:v>
      </x:c>
      <x:c r="B291" s="1" t="str">
        <x:v>T2-L10-T</x:v>
      </x:c>
      <x:c r="C291" s="1" t="str">
        <x:v>FS</x:v>
      </x:c>
      <x:c r="D291" s="1" t="n">
        <x:v>14</x:v>
      </x:c>
      <x:c r="E291" s="1" t="n">
        <x:f>'Activities'!L266</x:f>
        <x:v>404</x:v>
      </x:c>
      <x:c r="F291" s="1" t="n">
        <x:f>'Activities'!K267</x:f>
        <x:v>418</x:v>
      </x:c>
      <x:c r="G291" s="1" t="n">
        <x:f>F291-E291-D291</x:f>
        <x:v>0</x:v>
      </x:c>
      <x:c r="H291" s="1" t="str">
        <x:v>Explicit working-day lag</x:v>
      </x:c>
    </x:row>
    <x:row r="292" ht="23" customHeight="1">
      <x:c r="A292" s="6" t="str">
        <x:v>T2-GL</x:v>
      </x:c>
      <x:c r="B292" s="6" t="str">
        <x:v>T2-L10-T</x:v>
      </x:c>
      <x:c r="C292" s="6" t="str">
        <x:v>FS</x:v>
      </x:c>
      <x:c r="D292" s="6" t="n">
        <x:v>0</x:v>
      </x:c>
      <x:c r="E292" s="6" t="n">
        <x:f>'Activities'!L203</x:f>
        <x:v>413</x:v>
      </x:c>
      <x:c r="F292" s="6" t="n">
        <x:f>'Activities'!K267</x:f>
        <x:v>418</x:v>
      </x:c>
      <x:c r="G292" s="6" t="n">
        <x:f>F292-E292-D292</x:f>
        <x:v>5</x:v>
      </x:c>
      <x:c r="H292" s="6" t="str">
        <x:v>Explicit working-day lag</x:v>
      </x:c>
    </x:row>
    <x:row r="293" ht="23" customHeight="1">
      <x:c r="A293" s="1" t="str">
        <x:v>T2-L10-T</x:v>
      </x:c>
      <x:c r="B293" s="1" t="str">
        <x:v>T2-L10-A</x:v>
      </x:c>
      <x:c r="C293" s="1" t="str">
        <x:v>FS</x:v>
      </x:c>
      <x:c r="D293" s="1" t="n">
        <x:v>2</x:v>
      </x:c>
      <x:c r="E293" s="1" t="n">
        <x:f>'Activities'!L267</x:f>
        <x:v>424</x:v>
      </x:c>
      <x:c r="F293" s="1" t="n">
        <x:f>'Activities'!K268</x:f>
        <x:v>426</x:v>
      </x:c>
      <x:c r="G293" s="1" t="n">
        <x:f>F293-E293-D293</x:f>
        <x:v>0</x:v>
      </x:c>
      <x:c r="H293" s="1" t="str">
        <x:v>Explicit working-day lag</x:v>
      </x:c>
    </x:row>
    <x:row r="294" ht="23" customHeight="1">
      <x:c r="A294" s="6" t="str">
        <x:v>T2-L10-A</x:v>
      </x:c>
      <x:c r="B294" s="6" t="str">
        <x:v>T2-L10-D</x:v>
      </x:c>
      <x:c r="C294" s="6" t="str">
        <x:v>FS</x:v>
      </x:c>
      <x:c r="D294" s="6" t="n">
        <x:v>0</x:v>
      </x:c>
      <x:c r="E294" s="6" t="n">
        <x:f>'Activities'!L268</x:f>
        <x:v>431</x:v>
      </x:c>
      <x:c r="F294" s="6" t="n">
        <x:f>'Activities'!K269</x:f>
        <x:v>431</x:v>
      </x:c>
      <x:c r="G294" s="6" t="n">
        <x:f>F294-E294-D294</x:f>
        <x:v>0</x:v>
      </x:c>
      <x:c r="H294" s="6" t="str">
        <x:v>Explicit working-day lag</x:v>
      </x:c>
    </x:row>
    <x:row r="295" ht="23" customHeight="1">
      <x:c r="A295" s="1" t="str">
        <x:v>T2-L12-H</x:v>
      </x:c>
      <x:c r="B295" s="1" t="str">
        <x:v>T2-L11-M</x:v>
      </x:c>
      <x:c r="C295" s="1" t="str">
        <x:v>FS</x:v>
      </x:c>
      <x:c r="D295" s="1" t="n">
        <x:v>5</x:v>
      </x:c>
      <x:c r="E295" s="1" t="n">
        <x:f>'Activities'!L200</x:f>
        <x:v>380</x:v>
      </x:c>
      <x:c r="F295" s="1" t="n">
        <x:f>'Activities'!K270</x:f>
        <x:v>385</x:v>
      </x:c>
      <x:c r="G295" s="1" t="n">
        <x:f>F295-E295-D295</x:f>
        <x:v>0</x:v>
      </x:c>
      <x:c r="H295" s="1" t="str">
        <x:v>Explicit working-day lag</x:v>
      </x:c>
    </x:row>
    <x:row r="296" ht="23" customHeight="1">
      <x:c r="A296" s="6" t="str">
        <x:v>T2-L11-M</x:v>
      </x:c>
      <x:c r="B296" s="6" t="str">
        <x:v>T2-L11-P</x:v>
      </x:c>
      <x:c r="C296" s="6" t="str">
        <x:v>FS</x:v>
      </x:c>
      <x:c r="D296" s="6" t="n">
        <x:v>3</x:v>
      </x:c>
      <x:c r="E296" s="6" t="n">
        <x:f>'Activities'!L270</x:f>
        <x:v>390</x:v>
      </x:c>
      <x:c r="F296" s="6" t="n">
        <x:f>'Activities'!K271</x:f>
        <x:v>393</x:v>
      </x:c>
      <x:c r="G296" s="6" t="n">
        <x:f>F296-E296-D296</x:f>
        <x:v>0</x:v>
      </x:c>
      <x:c r="H296" s="6" t="str">
        <x:v>Explicit working-day lag</x:v>
      </x:c>
    </x:row>
    <x:row r="297" ht="23" customHeight="1">
      <x:c r="A297" s="1" t="str">
        <x:v>T2-L11-P</x:v>
      </x:c>
      <x:c r="B297" s="1" t="str">
        <x:v>T2-L11-S</x:v>
      </x:c>
      <x:c r="C297" s="1" t="str">
        <x:v>FS</x:v>
      </x:c>
      <x:c r="D297" s="1" t="n">
        <x:v>2</x:v>
      </x:c>
      <x:c r="E297" s="1" t="n">
        <x:f>'Activities'!L271</x:f>
        <x:v>399</x:v>
      </x:c>
      <x:c r="F297" s="1" t="n">
        <x:f>'Activities'!K272</x:f>
        <x:v>401</x:v>
      </x:c>
      <x:c r="G297" s="1" t="n">
        <x:f>F297-E297-D297</x:f>
        <x:v>0</x:v>
      </x:c>
      <x:c r="H297" s="1" t="str">
        <x:v>Explicit working-day lag</x:v>
      </x:c>
    </x:row>
    <x:row r="298" ht="23" customHeight="1">
      <x:c r="A298" s="6" t="str">
        <x:v>T2-L11-S</x:v>
      </x:c>
      <x:c r="B298" s="6" t="str">
        <x:v>T2-L11-T</x:v>
      </x:c>
      <x:c r="C298" s="6" t="str">
        <x:v>FS</x:v>
      </x:c>
      <x:c r="D298" s="6" t="n">
        <x:v>14</x:v>
      </x:c>
      <x:c r="E298" s="6" t="n">
        <x:f>'Activities'!L272</x:f>
        <x:v>404</x:v>
      </x:c>
      <x:c r="F298" s="6" t="n">
        <x:f>'Activities'!K273</x:f>
        <x:v>418</x:v>
      </x:c>
      <x:c r="G298" s="6" t="n">
        <x:f>F298-E298-D298</x:f>
        <x:v>0</x:v>
      </x:c>
      <x:c r="H298" s="6" t="str">
        <x:v>Explicit working-day lag</x:v>
      </x:c>
    </x:row>
    <x:row r="299" ht="23" customHeight="1">
      <x:c r="A299" s="1" t="str">
        <x:v>T2-GL</x:v>
      </x:c>
      <x:c r="B299" s="1" t="str">
        <x:v>T2-L11-T</x:v>
      </x:c>
      <x:c r="C299" s="1" t="str">
        <x:v>FS</x:v>
      </x:c>
      <x:c r="D299" s="1" t="n">
        <x:v>0</x:v>
      </x:c>
      <x:c r="E299" s="1" t="n">
        <x:f>'Activities'!L203</x:f>
        <x:v>413</x:v>
      </x:c>
      <x:c r="F299" s="1" t="n">
        <x:f>'Activities'!K273</x:f>
        <x:v>418</x:v>
      </x:c>
      <x:c r="G299" s="1" t="n">
        <x:f>F299-E299-D299</x:f>
        <x:v>5</x:v>
      </x:c>
      <x:c r="H299" s="1" t="str">
        <x:v>Explicit working-day lag</x:v>
      </x:c>
    </x:row>
    <x:row r="300" ht="23" customHeight="1">
      <x:c r="A300" s="6" t="str">
        <x:v>T2-L11-T</x:v>
      </x:c>
      <x:c r="B300" s="6" t="str">
        <x:v>T2-L11-A</x:v>
      </x:c>
      <x:c r="C300" s="6" t="str">
        <x:v>FS</x:v>
      </x:c>
      <x:c r="D300" s="6" t="n">
        <x:v>2</x:v>
      </x:c>
      <x:c r="E300" s="6" t="n">
        <x:f>'Activities'!L273</x:f>
        <x:v>424</x:v>
      </x:c>
      <x:c r="F300" s="6" t="n">
        <x:f>'Activities'!K274</x:f>
        <x:v>426</x:v>
      </x:c>
      <x:c r="G300" s="6" t="n">
        <x:f>F300-E300-D300</x:f>
        <x:v>0</x:v>
      </x:c>
      <x:c r="H300" s="6" t="str">
        <x:v>Explicit working-day lag</x:v>
      </x:c>
    </x:row>
    <x:row r="301" ht="23" customHeight="1">
      <x:c r="A301" s="1" t="str">
        <x:v>T2-L11-A</x:v>
      </x:c>
      <x:c r="B301" s="1" t="str">
        <x:v>T2-L11-D</x:v>
      </x:c>
      <x:c r="C301" s="1" t="str">
        <x:v>FS</x:v>
      </x:c>
      <x:c r="D301" s="1" t="n">
        <x:v>0</x:v>
      </x:c>
      <x:c r="E301" s="1" t="n">
        <x:f>'Activities'!L274</x:f>
        <x:v>431</x:v>
      </x:c>
      <x:c r="F301" s="1" t="n">
        <x:f>'Activities'!K275</x:f>
        <x:v>431</x:v>
      </x:c>
      <x:c r="G301" s="1" t="n">
        <x:f>F301-E301-D301</x:f>
        <x:v>0</x:v>
      </x:c>
      <x:c r="H301" s="1" t="str">
        <x:v>Explicit working-day lag</x:v>
      </x:c>
    </x:row>
    <x:row r="302" ht="23" customHeight="1">
      <x:c r="A302" s="6" t="str">
        <x:v>T2-L12-H</x:v>
      </x:c>
      <x:c r="B302" s="6" t="str">
        <x:v>T2-L12-M</x:v>
      </x:c>
      <x:c r="C302" s="6" t="str">
        <x:v>FS</x:v>
      </x:c>
      <x:c r="D302" s="6" t="n">
        <x:v>5</x:v>
      </x:c>
      <x:c r="E302" s="6" t="n">
        <x:f>'Activities'!L200</x:f>
        <x:v>380</x:v>
      </x:c>
      <x:c r="F302" s="6" t="n">
        <x:f>'Activities'!K276</x:f>
        <x:v>385</x:v>
      </x:c>
      <x:c r="G302" s="6" t="n">
        <x:f>F302-E302-D302</x:f>
        <x:v>0</x:v>
      </x:c>
      <x:c r="H302" s="6" t="str">
        <x:v>Explicit working-day lag</x:v>
      </x:c>
    </x:row>
    <x:row r="303" ht="23" customHeight="1">
      <x:c r="A303" s="1" t="str">
        <x:v>T2-L12-M</x:v>
      </x:c>
      <x:c r="B303" s="1" t="str">
        <x:v>T2-L12-P</x:v>
      </x:c>
      <x:c r="C303" s="1" t="str">
        <x:v>FS</x:v>
      </x:c>
      <x:c r="D303" s="1" t="n">
        <x:v>3</x:v>
      </x:c>
      <x:c r="E303" s="1" t="n">
        <x:f>'Activities'!L276</x:f>
        <x:v>390</x:v>
      </x:c>
      <x:c r="F303" s="1" t="n">
        <x:f>'Activities'!K277</x:f>
        <x:v>393</x:v>
      </x:c>
      <x:c r="G303" s="1" t="n">
        <x:f>F303-E303-D303</x:f>
        <x:v>0</x:v>
      </x:c>
      <x:c r="H303" s="1" t="str">
        <x:v>Explicit working-day lag</x:v>
      </x:c>
    </x:row>
    <x:row r="304" ht="23" customHeight="1">
      <x:c r="A304" s="6" t="str">
        <x:v>T2-L12-P</x:v>
      </x:c>
      <x:c r="B304" s="6" t="str">
        <x:v>T2-L12-S</x:v>
      </x:c>
      <x:c r="C304" s="6" t="str">
        <x:v>FS</x:v>
      </x:c>
      <x:c r="D304" s="6" t="n">
        <x:v>2</x:v>
      </x:c>
      <x:c r="E304" s="6" t="n">
        <x:f>'Activities'!L277</x:f>
        <x:v>399</x:v>
      </x:c>
      <x:c r="F304" s="6" t="n">
        <x:f>'Activities'!K278</x:f>
        <x:v>401</x:v>
      </x:c>
      <x:c r="G304" s="6" t="n">
        <x:f>F304-E304-D304</x:f>
        <x:v>0</x:v>
      </x:c>
      <x:c r="H304" s="6" t="str">
        <x:v>Explicit working-day lag</x:v>
      </x:c>
    </x:row>
    <x:row r="305" ht="23" customHeight="1">
      <x:c r="A305" s="1" t="str">
        <x:v>T2-L12-S</x:v>
      </x:c>
      <x:c r="B305" s="1" t="str">
        <x:v>T2-L12-T</x:v>
      </x:c>
      <x:c r="C305" s="1" t="str">
        <x:v>FS</x:v>
      </x:c>
      <x:c r="D305" s="1" t="n">
        <x:v>14</x:v>
      </x:c>
      <x:c r="E305" s="1" t="n">
        <x:f>'Activities'!L278</x:f>
        <x:v>404</x:v>
      </x:c>
      <x:c r="F305" s="1" t="n">
        <x:f>'Activities'!K279</x:f>
        <x:v>418</x:v>
      </x:c>
      <x:c r="G305" s="1" t="n">
        <x:f>F305-E305-D305</x:f>
        <x:v>0</x:v>
      </x:c>
      <x:c r="H305" s="1" t="str">
        <x:v>Explicit working-day lag</x:v>
      </x:c>
    </x:row>
    <x:row r="306" ht="23" customHeight="1">
      <x:c r="A306" s="6" t="str">
        <x:v>T2-GL</x:v>
      </x:c>
      <x:c r="B306" s="6" t="str">
        <x:v>T2-L12-T</x:v>
      </x:c>
      <x:c r="C306" s="6" t="str">
        <x:v>FS</x:v>
      </x:c>
      <x:c r="D306" s="6" t="n">
        <x:v>0</x:v>
      </x:c>
      <x:c r="E306" s="6" t="n">
        <x:f>'Activities'!L203</x:f>
        <x:v>413</x:v>
      </x:c>
      <x:c r="F306" s="6" t="n">
        <x:f>'Activities'!K279</x:f>
        <x:v>418</x:v>
      </x:c>
      <x:c r="G306" s="6" t="n">
        <x:f>F306-E306-D306</x:f>
        <x:v>5</x:v>
      </x:c>
      <x:c r="H306" s="6" t="str">
        <x:v>Explicit working-day lag</x:v>
      </x:c>
    </x:row>
    <x:row r="307" ht="23" customHeight="1">
      <x:c r="A307" s="1" t="str">
        <x:v>T2-L12-T</x:v>
      </x:c>
      <x:c r="B307" s="1" t="str">
        <x:v>T2-L12-A</x:v>
      </x:c>
      <x:c r="C307" s="1" t="str">
        <x:v>FS</x:v>
      </x:c>
      <x:c r="D307" s="1" t="n">
        <x:v>2</x:v>
      </x:c>
      <x:c r="E307" s="1" t="n">
        <x:f>'Activities'!L279</x:f>
        <x:v>424</x:v>
      </x:c>
      <x:c r="F307" s="1" t="n">
        <x:f>'Activities'!K280</x:f>
        <x:v>426</x:v>
      </x:c>
      <x:c r="G307" s="1" t="n">
        <x:f>F307-E307-D307</x:f>
        <x:v>0</x:v>
      </x:c>
      <x:c r="H307" s="1" t="str">
        <x:v>Explicit working-day lag</x:v>
      </x:c>
    </x:row>
    <x:row r="308" ht="23" customHeight="1">
      <x:c r="A308" s="6" t="str">
        <x:v>T2-L12-A</x:v>
      </x:c>
      <x:c r="B308" s="6" t="str">
        <x:v>T2-L12-D</x:v>
      </x:c>
      <x:c r="C308" s="6" t="str">
        <x:v>FS</x:v>
      </x:c>
      <x:c r="D308" s="6" t="n">
        <x:v>0</x:v>
      </x:c>
      <x:c r="E308" s="6" t="n">
        <x:f>'Activities'!L280</x:f>
        <x:v>431</x:v>
      </x:c>
      <x:c r="F308" s="6" t="n">
        <x:f>'Activities'!K281</x:f>
        <x:v>431</x:v>
      </x:c>
      <x:c r="G308" s="6" t="n">
        <x:f>F308-E308-D308</x:f>
        <x:v>0</x:v>
      </x:c>
      <x:c r="H308" s="6" t="str">
        <x:v>Explicit working-day lag</x:v>
      </x:c>
    </x:row>
    <x:row r="309" ht="23" customHeight="1">
      <x:c r="A309" s="1" t="str">
        <x:v>P-040</x:v>
      </x:c>
      <x:c r="B309" s="1" t="str">
        <x:v>T3-L00-F</x:v>
      </x:c>
      <x:c r="C309" s="1" t="str">
        <x:v>FS</x:v>
      </x:c>
      <x:c r="D309" s="1" t="n">
        <x:f>(7+2*'Controls'!$B$11)</x:f>
        <x:v>31</x:v>
      </x:c>
      <x:c r="E309" s="1" t="n">
        <x:f>'Activities'!L12</x:f>
        <x:v>127</x:v>
      </x:c>
      <x:c r="F309" s="1" t="n">
        <x:f>'Activities'!K282</x:f>
        <x:v>158</x:v>
      </x:c>
      <x:c r="G309" s="1" t="n">
        <x:f>F309-E309-D309</x:f>
        <x:v>0</x:v>
      </x:c>
      <x:c r="H309" s="1" t="str">
        <x:v>Explicit working-day lag</x:v>
      </x:c>
    </x:row>
    <x:row r="310" ht="23" customHeight="1">
      <x:c r="A310" s="6" t="str">
        <x:v>T3-L00-F</x:v>
      </x:c>
      <x:c r="B310" s="6" t="str">
        <x:v>T3-L00-R</x:v>
      </x:c>
      <x:c r="C310" s="6" t="str">
        <x:v>FS</x:v>
      </x:c>
      <x:c r="D310" s="6" t="n">
        <x:v>0</x:v>
      </x:c>
      <x:c r="E310" s="6" t="n">
        <x:f>'Activities'!L282</x:f>
        <x:v>164</x:v>
      </x:c>
      <x:c r="F310" s="6" t="n">
        <x:f>'Activities'!K283</x:f>
        <x:v>164</x:v>
      </x:c>
      <x:c r="G310" s="6" t="n">
        <x:f>F310-E310-D310</x:f>
        <x:v>0</x:v>
      </x:c>
      <x:c r="H310" s="6" t="str">
        <x:v>Explicit working-day lag</x:v>
      </x:c>
    </x:row>
    <x:row r="311" ht="23" customHeight="1">
      <x:c r="A311" s="1" t="str">
        <x:v>T3-L00-R</x:v>
      </x:c>
      <x:c r="B311" s="1" t="str">
        <x:v>T3-L00-C</x:v>
      </x:c>
      <x:c r="C311" s="1" t="str">
        <x:v>FS</x:v>
      </x:c>
      <x:c r="D311" s="1" t="n">
        <x:v>0</x:v>
      </x:c>
      <x:c r="E311" s="1" t="n">
        <x:f>'Activities'!L283</x:f>
        <x:v>169</x:v>
      </x:c>
      <x:c r="F311" s="1" t="n">
        <x:f>'Activities'!K284</x:f>
        <x:v>169</x:v>
      </x:c>
      <x:c r="G311" s="1" t="n">
        <x:f>F311-E311-D311</x:f>
        <x:v>0</x:v>
      </x:c>
      <x:c r="H311" s="1" t="str">
        <x:v>Explicit working-day lag</x:v>
      </x:c>
    </x:row>
    <x:row r="312" ht="23" customHeight="1">
      <x:c r="A312" s="6" t="str">
        <x:v>T3-L00-C</x:v>
      </x:c>
      <x:c r="B312" s="6" t="str">
        <x:v>T3-L00-H</x:v>
      </x:c>
      <x:c r="C312" s="6" t="str">
        <x:v>FS</x:v>
      </x:c>
      <x:c r="D312" s="6" t="n">
        <x:v>0</x:v>
      </x:c>
      <x:c r="E312" s="6" t="n">
        <x:f>'Activities'!L284</x:f>
        <x:v>171</x:v>
      </x:c>
      <x:c r="F312" s="6" t="n">
        <x:f>'Activities'!K285</x:f>
        <x:v>171</x:v>
      </x:c>
      <x:c r="G312" s="6" t="n">
        <x:f>F312-E312-D312</x:f>
        <x:v>0</x:v>
      </x:c>
      <x:c r="H312" s="6" t="str">
        <x:v>Explicit working-day lag</x:v>
      </x:c>
    </x:row>
    <x:row r="313" ht="23" customHeight="1">
      <x:c r="A313" s="1" t="str">
        <x:v>T3-L00-H</x:v>
      </x:c>
      <x:c r="B313" s="1" t="str">
        <x:v>T3-L01-F</x:v>
      </x:c>
      <x:c r="C313" s="1" t="str">
        <x:v>FS</x:v>
      </x:c>
      <x:c r="D313" s="1" t="n">
        <x:v>0</x:v>
      </x:c>
      <x:c r="E313" s="1" t="n">
        <x:f>'Activities'!L285</x:f>
        <x:v>176</x:v>
      </x:c>
      <x:c r="F313" s="1" t="n">
        <x:f>'Activities'!K286</x:f>
        <x:v>176</x:v>
      </x:c>
      <x:c r="G313" s="1" t="n">
        <x:f>F313-E313-D313</x:f>
        <x:v>0</x:v>
      </x:c>
      <x:c r="H313" s="1" t="str">
        <x:v>Explicit working-day lag</x:v>
      </x:c>
    </x:row>
    <x:row r="314" ht="23" customHeight="1">
      <x:c r="A314" s="6" t="str">
        <x:v>T3-L01-F</x:v>
      </x:c>
      <x:c r="B314" s="6" t="str">
        <x:v>T3-L01-R</x:v>
      </x:c>
      <x:c r="C314" s="6" t="str">
        <x:v>FS</x:v>
      </x:c>
      <x:c r="D314" s="6" t="n">
        <x:v>0</x:v>
      </x:c>
      <x:c r="E314" s="6" t="n">
        <x:f>'Activities'!L286</x:f>
        <x:v>182</x:v>
      </x:c>
      <x:c r="F314" s="6" t="n">
        <x:f>'Activities'!K287</x:f>
        <x:v>182</x:v>
      </x:c>
      <x:c r="G314" s="6" t="n">
        <x:f>F314-E314-D314</x:f>
        <x:v>0</x:v>
      </x:c>
      <x:c r="H314" s="6" t="str">
        <x:v>Explicit working-day lag</x:v>
      </x:c>
    </x:row>
    <x:row r="315" ht="23" customHeight="1">
      <x:c r="A315" s="1" t="str">
        <x:v>T3-L01-R</x:v>
      </x:c>
      <x:c r="B315" s="1" t="str">
        <x:v>T3-L01-C</x:v>
      </x:c>
      <x:c r="C315" s="1" t="str">
        <x:v>FS</x:v>
      </x:c>
      <x:c r="D315" s="1" t="n">
        <x:v>0</x:v>
      </x:c>
      <x:c r="E315" s="1" t="n">
        <x:f>'Activities'!L287</x:f>
        <x:v>187</x:v>
      </x:c>
      <x:c r="F315" s="1" t="n">
        <x:f>'Activities'!K288</x:f>
        <x:v>187</x:v>
      </x:c>
      <x:c r="G315" s="1" t="n">
        <x:f>F315-E315-D315</x:f>
        <x:v>0</x:v>
      </x:c>
      <x:c r="H315" s="1" t="str">
        <x:v>Explicit working-day lag</x:v>
      </x:c>
    </x:row>
    <x:row r="316" ht="23" customHeight="1">
      <x:c r="A316" s="6" t="str">
        <x:v>T3-L01-C</x:v>
      </x:c>
      <x:c r="B316" s="6" t="str">
        <x:v>T3-L01-H</x:v>
      </x:c>
      <x:c r="C316" s="6" t="str">
        <x:v>FS</x:v>
      </x:c>
      <x:c r="D316" s="6" t="n">
        <x:v>0</x:v>
      </x:c>
      <x:c r="E316" s="6" t="n">
        <x:f>'Activities'!L288</x:f>
        <x:v>189</x:v>
      </x:c>
      <x:c r="F316" s="6" t="n">
        <x:f>'Activities'!K289</x:f>
        <x:v>189</x:v>
      </x:c>
      <x:c r="G316" s="6" t="n">
        <x:f>F316-E316-D316</x:f>
        <x:v>0</x:v>
      </x:c>
      <x:c r="H316" s="6" t="str">
        <x:v>Explicit working-day lag</x:v>
      </x:c>
    </x:row>
    <x:row r="317" ht="23" customHeight="1">
      <x:c r="A317" s="1" t="str">
        <x:v>T3-L01-H</x:v>
      </x:c>
      <x:c r="B317" s="1" t="str">
        <x:v>T3-L02-F</x:v>
      </x:c>
      <x:c r="C317" s="1" t="str">
        <x:v>FS</x:v>
      </x:c>
      <x:c r="D317" s="1" t="n">
        <x:v>0</x:v>
      </x:c>
      <x:c r="E317" s="1" t="n">
        <x:f>'Activities'!L289</x:f>
        <x:v>194</x:v>
      </x:c>
      <x:c r="F317" s="1" t="n">
        <x:f>'Activities'!K290</x:f>
        <x:v>194</x:v>
      </x:c>
      <x:c r="G317" s="1" t="n">
        <x:f>F317-E317-D317</x:f>
        <x:v>0</x:v>
      </x:c>
      <x:c r="H317" s="1" t="str">
        <x:v>Explicit working-day lag</x:v>
      </x:c>
    </x:row>
    <x:row r="318" ht="23" customHeight="1">
      <x:c r="A318" s="6" t="str">
        <x:v>T3-L02-F</x:v>
      </x:c>
      <x:c r="B318" s="6" t="str">
        <x:v>T3-L02-R</x:v>
      </x:c>
      <x:c r="C318" s="6" t="str">
        <x:v>FS</x:v>
      </x:c>
      <x:c r="D318" s="6" t="n">
        <x:v>0</x:v>
      </x:c>
      <x:c r="E318" s="6" t="n">
        <x:f>'Activities'!L290</x:f>
        <x:v>200</x:v>
      </x:c>
      <x:c r="F318" s="6" t="n">
        <x:f>'Activities'!K291</x:f>
        <x:v>200</x:v>
      </x:c>
      <x:c r="G318" s="6" t="n">
        <x:f>F318-E318-D318</x:f>
        <x:v>0</x:v>
      </x:c>
      <x:c r="H318" s="6" t="str">
        <x:v>Explicit working-day lag</x:v>
      </x:c>
    </x:row>
    <x:row r="319" ht="23" customHeight="1">
      <x:c r="A319" s="1" t="str">
        <x:v>T3-L02-R</x:v>
      </x:c>
      <x:c r="B319" s="1" t="str">
        <x:v>T3-L02-C</x:v>
      </x:c>
      <x:c r="C319" s="1" t="str">
        <x:v>FS</x:v>
      </x:c>
      <x:c r="D319" s="1" t="n">
        <x:v>0</x:v>
      </x:c>
      <x:c r="E319" s="1" t="n">
        <x:f>'Activities'!L291</x:f>
        <x:v>205</x:v>
      </x:c>
      <x:c r="F319" s="1" t="n">
        <x:f>'Activities'!K292</x:f>
        <x:v>205</x:v>
      </x:c>
      <x:c r="G319" s="1" t="n">
        <x:f>F319-E319-D319</x:f>
        <x:v>0</x:v>
      </x:c>
      <x:c r="H319" s="1" t="str">
        <x:v>Explicit working-day lag</x:v>
      </x:c>
    </x:row>
    <x:row r="320" ht="23" customHeight="1">
      <x:c r="A320" s="6" t="str">
        <x:v>T3-L02-C</x:v>
      </x:c>
      <x:c r="B320" s="6" t="str">
        <x:v>T3-L02-H</x:v>
      </x:c>
      <x:c r="C320" s="6" t="str">
        <x:v>FS</x:v>
      </x:c>
      <x:c r="D320" s="6" t="n">
        <x:v>0</x:v>
      </x:c>
      <x:c r="E320" s="6" t="n">
        <x:f>'Activities'!L292</x:f>
        <x:v>207</x:v>
      </x:c>
      <x:c r="F320" s="6" t="n">
        <x:f>'Activities'!K293</x:f>
        <x:v>207</x:v>
      </x:c>
      <x:c r="G320" s="6" t="n">
        <x:f>F320-E320-D320</x:f>
        <x:v>0</x:v>
      </x:c>
      <x:c r="H320" s="6" t="str">
        <x:v>Explicit working-day lag</x:v>
      </x:c>
    </x:row>
    <x:row r="321" ht="23" customHeight="1">
      <x:c r="A321" s="1" t="str">
        <x:v>T3-L02-H</x:v>
      </x:c>
      <x:c r="B321" s="1" t="str">
        <x:v>T3-L03-F</x:v>
      </x:c>
      <x:c r="C321" s="1" t="str">
        <x:v>FS</x:v>
      </x:c>
      <x:c r="D321" s="1" t="n">
        <x:v>0</x:v>
      </x:c>
      <x:c r="E321" s="1" t="n">
        <x:f>'Activities'!L293</x:f>
        <x:v>212</x:v>
      </x:c>
      <x:c r="F321" s="1" t="n">
        <x:f>'Activities'!K294</x:f>
        <x:v>212</x:v>
      </x:c>
      <x:c r="G321" s="1" t="n">
        <x:f>F321-E321-D321</x:f>
        <x:v>0</x:v>
      </x:c>
      <x:c r="H321" s="1" t="str">
        <x:v>Explicit working-day lag</x:v>
      </x:c>
    </x:row>
    <x:row r="322" ht="23" customHeight="1">
      <x:c r="A322" s="6" t="str">
        <x:v>T3-L03-F</x:v>
      </x:c>
      <x:c r="B322" s="6" t="str">
        <x:v>T3-L03-R</x:v>
      </x:c>
      <x:c r="C322" s="6" t="str">
        <x:v>FS</x:v>
      </x:c>
      <x:c r="D322" s="6" t="n">
        <x:v>0</x:v>
      </x:c>
      <x:c r="E322" s="6" t="n">
        <x:f>'Activities'!L294</x:f>
        <x:v>218</x:v>
      </x:c>
      <x:c r="F322" s="6" t="n">
        <x:f>'Activities'!K295</x:f>
        <x:v>218</x:v>
      </x:c>
      <x:c r="G322" s="6" t="n">
        <x:f>F322-E322-D322</x:f>
        <x:v>0</x:v>
      </x:c>
      <x:c r="H322" s="6" t="str">
        <x:v>Explicit working-day lag</x:v>
      </x:c>
    </x:row>
    <x:row r="323" ht="23" customHeight="1">
      <x:c r="A323" s="1" t="str">
        <x:v>T3-L03-R</x:v>
      </x:c>
      <x:c r="B323" s="1" t="str">
        <x:v>T3-L03-C</x:v>
      </x:c>
      <x:c r="C323" s="1" t="str">
        <x:v>FS</x:v>
      </x:c>
      <x:c r="D323" s="1" t="n">
        <x:v>0</x:v>
      </x:c>
      <x:c r="E323" s="1" t="n">
        <x:f>'Activities'!L295</x:f>
        <x:v>223</x:v>
      </x:c>
      <x:c r="F323" s="1" t="n">
        <x:f>'Activities'!K296</x:f>
        <x:v>223</x:v>
      </x:c>
      <x:c r="G323" s="1" t="n">
        <x:f>F323-E323-D323</x:f>
        <x:v>0</x:v>
      </x:c>
      <x:c r="H323" s="1" t="str">
        <x:v>Explicit working-day lag</x:v>
      </x:c>
    </x:row>
    <x:row r="324" ht="23" customHeight="1">
      <x:c r="A324" s="6" t="str">
        <x:v>T3-L03-C</x:v>
      </x:c>
      <x:c r="B324" s="6" t="str">
        <x:v>T3-L03-H</x:v>
      </x:c>
      <x:c r="C324" s="6" t="str">
        <x:v>FS</x:v>
      </x:c>
      <x:c r="D324" s="6" t="n">
        <x:v>0</x:v>
      </x:c>
      <x:c r="E324" s="6" t="n">
        <x:f>'Activities'!L296</x:f>
        <x:v>225</x:v>
      </x:c>
      <x:c r="F324" s="6" t="n">
        <x:f>'Activities'!K297</x:f>
        <x:v>225</x:v>
      </x:c>
      <x:c r="G324" s="6" t="n">
        <x:f>F324-E324-D324</x:f>
        <x:v>0</x:v>
      </x:c>
      <x:c r="H324" s="6" t="str">
        <x:v>Explicit working-day lag</x:v>
      </x:c>
    </x:row>
    <x:row r="325" ht="23" customHeight="1">
      <x:c r="A325" s="1" t="str">
        <x:v>T3-L03-H</x:v>
      </x:c>
      <x:c r="B325" s="1" t="str">
        <x:v>T3-L04-F</x:v>
      </x:c>
      <x:c r="C325" s="1" t="str">
        <x:v>FS</x:v>
      </x:c>
      <x:c r="D325" s="1" t="n">
        <x:v>0</x:v>
      </x:c>
      <x:c r="E325" s="1" t="n">
        <x:f>'Activities'!L297</x:f>
        <x:v>230</x:v>
      </x:c>
      <x:c r="F325" s="1" t="n">
        <x:f>'Activities'!K298</x:f>
        <x:v>230</x:v>
      </x:c>
      <x:c r="G325" s="1" t="n">
        <x:f>F325-E325-D325</x:f>
        <x:v>0</x:v>
      </x:c>
      <x:c r="H325" s="1" t="str">
        <x:v>Explicit working-day lag</x:v>
      </x:c>
    </x:row>
    <x:row r="326" ht="23" customHeight="1">
      <x:c r="A326" s="6" t="str">
        <x:v>T3-L04-F</x:v>
      </x:c>
      <x:c r="B326" s="6" t="str">
        <x:v>T3-L04-R</x:v>
      </x:c>
      <x:c r="C326" s="6" t="str">
        <x:v>FS</x:v>
      </x:c>
      <x:c r="D326" s="6" t="n">
        <x:v>0</x:v>
      </x:c>
      <x:c r="E326" s="6" t="n">
        <x:f>'Activities'!L298</x:f>
        <x:v>236</x:v>
      </x:c>
      <x:c r="F326" s="6" t="n">
        <x:f>'Activities'!K299</x:f>
        <x:v>236</x:v>
      </x:c>
      <x:c r="G326" s="6" t="n">
        <x:f>F326-E326-D326</x:f>
        <x:v>0</x:v>
      </x:c>
      <x:c r="H326" s="6" t="str">
        <x:v>Explicit working-day lag</x:v>
      </x:c>
    </x:row>
    <x:row r="327" ht="23" customHeight="1">
      <x:c r="A327" s="1" t="str">
        <x:v>T3-L04-R</x:v>
      </x:c>
      <x:c r="B327" s="1" t="str">
        <x:v>T3-L04-C</x:v>
      </x:c>
      <x:c r="C327" s="1" t="str">
        <x:v>FS</x:v>
      </x:c>
      <x:c r="D327" s="1" t="n">
        <x:v>0</x:v>
      </x:c>
      <x:c r="E327" s="1" t="n">
        <x:f>'Activities'!L299</x:f>
        <x:v>241</x:v>
      </x:c>
      <x:c r="F327" s="1" t="n">
        <x:f>'Activities'!K300</x:f>
        <x:v>241</x:v>
      </x:c>
      <x:c r="G327" s="1" t="n">
        <x:f>F327-E327-D327</x:f>
        <x:v>0</x:v>
      </x:c>
      <x:c r="H327" s="1" t="str">
        <x:v>Explicit working-day lag</x:v>
      </x:c>
    </x:row>
    <x:row r="328" ht="23" customHeight="1">
      <x:c r="A328" s="6" t="str">
        <x:v>T3-L04-C</x:v>
      </x:c>
      <x:c r="B328" s="6" t="str">
        <x:v>T3-L04-H</x:v>
      </x:c>
      <x:c r="C328" s="6" t="str">
        <x:v>FS</x:v>
      </x:c>
      <x:c r="D328" s="6" t="n">
        <x:v>0</x:v>
      </x:c>
      <x:c r="E328" s="6" t="n">
        <x:f>'Activities'!L300</x:f>
        <x:v>243</x:v>
      </x:c>
      <x:c r="F328" s="6" t="n">
        <x:f>'Activities'!K301</x:f>
        <x:v>243</x:v>
      </x:c>
      <x:c r="G328" s="6" t="n">
        <x:f>F328-E328-D328</x:f>
        <x:v>0</x:v>
      </x:c>
      <x:c r="H328" s="6" t="str">
        <x:v>Explicit working-day lag</x:v>
      </x:c>
    </x:row>
    <x:row r="329" ht="23" customHeight="1">
      <x:c r="A329" s="1" t="str">
        <x:v>T3-L04-H</x:v>
      </x:c>
      <x:c r="B329" s="1" t="str">
        <x:v>T3-L05-F</x:v>
      </x:c>
      <x:c r="C329" s="1" t="str">
        <x:v>FS</x:v>
      </x:c>
      <x:c r="D329" s="1" t="n">
        <x:v>0</x:v>
      </x:c>
      <x:c r="E329" s="1" t="n">
        <x:f>'Activities'!L301</x:f>
        <x:v>248</x:v>
      </x:c>
      <x:c r="F329" s="1" t="n">
        <x:f>'Activities'!K302</x:f>
        <x:v>248</x:v>
      </x:c>
      <x:c r="G329" s="1" t="n">
        <x:f>F329-E329-D329</x:f>
        <x:v>0</x:v>
      </x:c>
      <x:c r="H329" s="1" t="str">
        <x:v>Explicit working-day lag</x:v>
      </x:c>
    </x:row>
    <x:row r="330" ht="23" customHeight="1">
      <x:c r="A330" s="6" t="str">
        <x:v>T3-L05-F</x:v>
      </x:c>
      <x:c r="B330" s="6" t="str">
        <x:v>T3-L05-R</x:v>
      </x:c>
      <x:c r="C330" s="6" t="str">
        <x:v>FS</x:v>
      </x:c>
      <x:c r="D330" s="6" t="n">
        <x:v>0</x:v>
      </x:c>
      <x:c r="E330" s="6" t="n">
        <x:f>'Activities'!L302</x:f>
        <x:v>254</x:v>
      </x:c>
      <x:c r="F330" s="6" t="n">
        <x:f>'Activities'!K303</x:f>
        <x:v>254</x:v>
      </x:c>
      <x:c r="G330" s="6" t="n">
        <x:f>F330-E330-D330</x:f>
        <x:v>0</x:v>
      </x:c>
      <x:c r="H330" s="6" t="str">
        <x:v>Explicit working-day lag</x:v>
      </x:c>
    </x:row>
    <x:row r="331" ht="23" customHeight="1">
      <x:c r="A331" s="1" t="str">
        <x:v>T3-L05-R</x:v>
      </x:c>
      <x:c r="B331" s="1" t="str">
        <x:v>T3-L05-C</x:v>
      </x:c>
      <x:c r="C331" s="1" t="str">
        <x:v>FS</x:v>
      </x:c>
      <x:c r="D331" s="1" t="n">
        <x:v>0</x:v>
      </x:c>
      <x:c r="E331" s="1" t="n">
        <x:f>'Activities'!L303</x:f>
        <x:v>259</x:v>
      </x:c>
      <x:c r="F331" s="1" t="n">
        <x:f>'Activities'!K304</x:f>
        <x:v>259</x:v>
      </x:c>
      <x:c r="G331" s="1" t="n">
        <x:f>F331-E331-D331</x:f>
        <x:v>0</x:v>
      </x:c>
      <x:c r="H331" s="1" t="str">
        <x:v>Explicit working-day lag</x:v>
      </x:c>
    </x:row>
    <x:row r="332" ht="23" customHeight="1">
      <x:c r="A332" s="6" t="str">
        <x:v>T3-L05-C</x:v>
      </x:c>
      <x:c r="B332" s="6" t="str">
        <x:v>T3-L05-H</x:v>
      </x:c>
      <x:c r="C332" s="6" t="str">
        <x:v>FS</x:v>
      </x:c>
      <x:c r="D332" s="6" t="n">
        <x:v>0</x:v>
      </x:c>
      <x:c r="E332" s="6" t="n">
        <x:f>'Activities'!L304</x:f>
        <x:v>261</x:v>
      </x:c>
      <x:c r="F332" s="6" t="n">
        <x:f>'Activities'!K305</x:f>
        <x:v>261</x:v>
      </x:c>
      <x:c r="G332" s="6" t="n">
        <x:f>F332-E332-D332</x:f>
        <x:v>0</x:v>
      </x:c>
      <x:c r="H332" s="6" t="str">
        <x:v>Explicit working-day lag</x:v>
      </x:c>
    </x:row>
    <x:row r="333" ht="23" customHeight="1">
      <x:c r="A333" s="1" t="str">
        <x:v>T3-L05-H</x:v>
      </x:c>
      <x:c r="B333" s="1" t="str">
        <x:v>T3-L06-F</x:v>
      </x:c>
      <x:c r="C333" s="1" t="str">
        <x:v>FS</x:v>
      </x:c>
      <x:c r="D333" s="1" t="n">
        <x:v>0</x:v>
      </x:c>
      <x:c r="E333" s="1" t="n">
        <x:f>'Activities'!L305</x:f>
        <x:v>266</x:v>
      </x:c>
      <x:c r="F333" s="1" t="n">
        <x:f>'Activities'!K306</x:f>
        <x:v>266</x:v>
      </x:c>
      <x:c r="G333" s="1" t="n">
        <x:f>F333-E333-D333</x:f>
        <x:v>0</x:v>
      </x:c>
      <x:c r="H333" s="1" t="str">
        <x:v>Explicit working-day lag</x:v>
      </x:c>
    </x:row>
    <x:row r="334" ht="23" customHeight="1">
      <x:c r="A334" s="6" t="str">
        <x:v>T3-L06-F</x:v>
      </x:c>
      <x:c r="B334" s="6" t="str">
        <x:v>T3-L06-R</x:v>
      </x:c>
      <x:c r="C334" s="6" t="str">
        <x:v>FS</x:v>
      </x:c>
      <x:c r="D334" s="6" t="n">
        <x:v>0</x:v>
      </x:c>
      <x:c r="E334" s="6" t="n">
        <x:f>'Activities'!L306</x:f>
        <x:v>272</x:v>
      </x:c>
      <x:c r="F334" s="6" t="n">
        <x:f>'Activities'!K307</x:f>
        <x:v>272</x:v>
      </x:c>
      <x:c r="G334" s="6" t="n">
        <x:f>F334-E334-D334</x:f>
        <x:v>0</x:v>
      </x:c>
      <x:c r="H334" s="6" t="str">
        <x:v>Explicit working-day lag</x:v>
      </x:c>
    </x:row>
    <x:row r="335" ht="23" customHeight="1">
      <x:c r="A335" s="1" t="str">
        <x:v>T3-L06-R</x:v>
      </x:c>
      <x:c r="B335" s="1" t="str">
        <x:v>T3-L06-C</x:v>
      </x:c>
      <x:c r="C335" s="1" t="str">
        <x:v>FS</x:v>
      </x:c>
      <x:c r="D335" s="1" t="n">
        <x:v>0</x:v>
      </x:c>
      <x:c r="E335" s="1" t="n">
        <x:f>'Activities'!L307</x:f>
        <x:v>277</x:v>
      </x:c>
      <x:c r="F335" s="1" t="n">
        <x:f>'Activities'!K308</x:f>
        <x:v>277</x:v>
      </x:c>
      <x:c r="G335" s="1" t="n">
        <x:f>F335-E335-D335</x:f>
        <x:v>0</x:v>
      </x:c>
      <x:c r="H335" s="1" t="str">
        <x:v>Explicit working-day lag</x:v>
      </x:c>
    </x:row>
    <x:row r="336" ht="23" customHeight="1">
      <x:c r="A336" s="6" t="str">
        <x:v>T3-L06-C</x:v>
      </x:c>
      <x:c r="B336" s="6" t="str">
        <x:v>T3-L06-H</x:v>
      </x:c>
      <x:c r="C336" s="6" t="str">
        <x:v>FS</x:v>
      </x:c>
      <x:c r="D336" s="6" t="n">
        <x:v>0</x:v>
      </x:c>
      <x:c r="E336" s="6" t="n">
        <x:f>'Activities'!L308</x:f>
        <x:v>279</x:v>
      </x:c>
      <x:c r="F336" s="6" t="n">
        <x:f>'Activities'!K309</x:f>
        <x:v>279</x:v>
      </x:c>
      <x:c r="G336" s="6" t="n">
        <x:f>F336-E336-D336</x:f>
        <x:v>0</x:v>
      </x:c>
      <x:c r="H336" s="6" t="str">
        <x:v>Explicit working-day lag</x:v>
      </x:c>
    </x:row>
    <x:row r="337" ht="23" customHeight="1">
      <x:c r="A337" s="1" t="str">
        <x:v>T3-L06-H</x:v>
      </x:c>
      <x:c r="B337" s="1" t="str">
        <x:v>T3-L07-F</x:v>
      </x:c>
      <x:c r="C337" s="1" t="str">
        <x:v>FS</x:v>
      </x:c>
      <x:c r="D337" s="1" t="n">
        <x:v>0</x:v>
      </x:c>
      <x:c r="E337" s="1" t="n">
        <x:f>'Activities'!L309</x:f>
        <x:v>284</x:v>
      </x:c>
      <x:c r="F337" s="1" t="n">
        <x:f>'Activities'!K310</x:f>
        <x:v>284</x:v>
      </x:c>
      <x:c r="G337" s="1" t="n">
        <x:f>F337-E337-D337</x:f>
        <x:v>0</x:v>
      </x:c>
      <x:c r="H337" s="1" t="str">
        <x:v>Explicit working-day lag</x:v>
      </x:c>
    </x:row>
    <x:row r="338" ht="23" customHeight="1">
      <x:c r="A338" s="6" t="str">
        <x:v>T3-L07-F</x:v>
      </x:c>
      <x:c r="B338" s="6" t="str">
        <x:v>T3-L07-R</x:v>
      </x:c>
      <x:c r="C338" s="6" t="str">
        <x:v>FS</x:v>
      </x:c>
      <x:c r="D338" s="6" t="n">
        <x:v>0</x:v>
      </x:c>
      <x:c r="E338" s="6" t="n">
        <x:f>'Activities'!L310</x:f>
        <x:v>290</x:v>
      </x:c>
      <x:c r="F338" s="6" t="n">
        <x:f>'Activities'!K311</x:f>
        <x:v>290</x:v>
      </x:c>
      <x:c r="G338" s="6" t="n">
        <x:f>F338-E338-D338</x:f>
        <x:v>0</x:v>
      </x:c>
      <x:c r="H338" s="6" t="str">
        <x:v>Explicit working-day lag</x:v>
      </x:c>
    </x:row>
    <x:row r="339" ht="23" customHeight="1">
      <x:c r="A339" s="1" t="str">
        <x:v>T3-L07-R</x:v>
      </x:c>
      <x:c r="B339" s="1" t="str">
        <x:v>T3-L07-C</x:v>
      </x:c>
      <x:c r="C339" s="1" t="str">
        <x:v>FS</x:v>
      </x:c>
      <x:c r="D339" s="1" t="n">
        <x:v>0</x:v>
      </x:c>
      <x:c r="E339" s="1" t="n">
        <x:f>'Activities'!L311</x:f>
        <x:v>295</x:v>
      </x:c>
      <x:c r="F339" s="1" t="n">
        <x:f>'Activities'!K312</x:f>
        <x:v>295</x:v>
      </x:c>
      <x:c r="G339" s="1" t="n">
        <x:f>F339-E339-D339</x:f>
        <x:v>0</x:v>
      </x:c>
      <x:c r="H339" s="1" t="str">
        <x:v>Explicit working-day lag</x:v>
      </x:c>
    </x:row>
    <x:row r="340" ht="23" customHeight="1">
      <x:c r="A340" s="6" t="str">
        <x:v>T3-L07-C</x:v>
      </x:c>
      <x:c r="B340" s="6" t="str">
        <x:v>T3-L07-H</x:v>
      </x:c>
      <x:c r="C340" s="6" t="str">
        <x:v>FS</x:v>
      </x:c>
      <x:c r="D340" s="6" t="n">
        <x:v>0</x:v>
      </x:c>
      <x:c r="E340" s="6" t="n">
        <x:f>'Activities'!L312</x:f>
        <x:v>297</x:v>
      </x:c>
      <x:c r="F340" s="6" t="n">
        <x:f>'Activities'!K313</x:f>
        <x:v>297</x:v>
      </x:c>
      <x:c r="G340" s="6" t="n">
        <x:f>F340-E340-D340</x:f>
        <x:v>0</x:v>
      </x:c>
      <x:c r="H340" s="6" t="str">
        <x:v>Explicit working-day lag</x:v>
      </x:c>
    </x:row>
    <x:row r="341" ht="23" customHeight="1">
      <x:c r="A341" s="1" t="str">
        <x:v>T3-L07-H</x:v>
      </x:c>
      <x:c r="B341" s="1" t="str">
        <x:v>T3-L08-F</x:v>
      </x:c>
      <x:c r="C341" s="1" t="str">
        <x:v>FS</x:v>
      </x:c>
      <x:c r="D341" s="1" t="n">
        <x:v>0</x:v>
      </x:c>
      <x:c r="E341" s="1" t="n">
        <x:f>'Activities'!L313</x:f>
        <x:v>302</x:v>
      </x:c>
      <x:c r="F341" s="1" t="n">
        <x:f>'Activities'!K314</x:f>
        <x:v>302</x:v>
      </x:c>
      <x:c r="G341" s="1" t="n">
        <x:f>F341-E341-D341</x:f>
        <x:v>0</x:v>
      </x:c>
      <x:c r="H341" s="1" t="str">
        <x:v>Explicit working-day lag</x:v>
      </x:c>
    </x:row>
    <x:row r="342" ht="23" customHeight="1">
      <x:c r="A342" s="6" t="str">
        <x:v>T3-L08-F</x:v>
      </x:c>
      <x:c r="B342" s="6" t="str">
        <x:v>T3-L08-R</x:v>
      </x:c>
      <x:c r="C342" s="6" t="str">
        <x:v>FS</x:v>
      </x:c>
      <x:c r="D342" s="6" t="n">
        <x:v>0</x:v>
      </x:c>
      <x:c r="E342" s="6" t="n">
        <x:f>'Activities'!L314</x:f>
        <x:v>308</x:v>
      </x:c>
      <x:c r="F342" s="6" t="n">
        <x:f>'Activities'!K315</x:f>
        <x:v>308</x:v>
      </x:c>
      <x:c r="G342" s="6" t="n">
        <x:f>F342-E342-D342</x:f>
        <x:v>0</x:v>
      </x:c>
      <x:c r="H342" s="6" t="str">
        <x:v>Explicit working-day lag</x:v>
      </x:c>
    </x:row>
    <x:row r="343" ht="23" customHeight="1">
      <x:c r="A343" s="1" t="str">
        <x:v>T3-L08-R</x:v>
      </x:c>
      <x:c r="B343" s="1" t="str">
        <x:v>T3-L08-C</x:v>
      </x:c>
      <x:c r="C343" s="1" t="str">
        <x:v>FS</x:v>
      </x:c>
      <x:c r="D343" s="1" t="n">
        <x:v>0</x:v>
      </x:c>
      <x:c r="E343" s="1" t="n">
        <x:f>'Activities'!L315</x:f>
        <x:v>313</x:v>
      </x:c>
      <x:c r="F343" s="1" t="n">
        <x:f>'Activities'!K316</x:f>
        <x:v>313</x:v>
      </x:c>
      <x:c r="G343" s="1" t="n">
        <x:f>F343-E343-D343</x:f>
        <x:v>0</x:v>
      </x:c>
      <x:c r="H343" s="1" t="str">
        <x:v>Explicit working-day lag</x:v>
      </x:c>
    </x:row>
    <x:row r="344" ht="23" customHeight="1">
      <x:c r="A344" s="6" t="str">
        <x:v>T3-L08-C</x:v>
      </x:c>
      <x:c r="B344" s="6" t="str">
        <x:v>T3-L08-H</x:v>
      </x:c>
      <x:c r="C344" s="6" t="str">
        <x:v>FS</x:v>
      </x:c>
      <x:c r="D344" s="6" t="n">
        <x:v>0</x:v>
      </x:c>
      <x:c r="E344" s="6" t="n">
        <x:f>'Activities'!L316</x:f>
        <x:v>315</x:v>
      </x:c>
      <x:c r="F344" s="6" t="n">
        <x:f>'Activities'!K317</x:f>
        <x:v>315</x:v>
      </x:c>
      <x:c r="G344" s="6" t="n">
        <x:f>F344-E344-D344</x:f>
        <x:v>0</x:v>
      </x:c>
      <x:c r="H344" s="6" t="str">
        <x:v>Explicit working-day lag</x:v>
      </x:c>
    </x:row>
    <x:row r="345" ht="23" customHeight="1">
      <x:c r="A345" s="1" t="str">
        <x:v>T3-L08-H</x:v>
      </x:c>
      <x:c r="B345" s="1" t="str">
        <x:v>T3-L09-F</x:v>
      </x:c>
      <x:c r="C345" s="1" t="str">
        <x:v>FS</x:v>
      </x:c>
      <x:c r="D345" s="1" t="n">
        <x:v>0</x:v>
      </x:c>
      <x:c r="E345" s="1" t="n">
        <x:f>'Activities'!L317</x:f>
        <x:v>320</x:v>
      </x:c>
      <x:c r="F345" s="1" t="n">
        <x:f>'Activities'!K318</x:f>
        <x:v>320</x:v>
      </x:c>
      <x:c r="G345" s="1" t="n">
        <x:f>F345-E345-D345</x:f>
        <x:v>0</x:v>
      </x:c>
      <x:c r="H345" s="1" t="str">
        <x:v>Explicit working-day lag</x:v>
      </x:c>
    </x:row>
    <x:row r="346" ht="23" customHeight="1">
      <x:c r="A346" s="6" t="str">
        <x:v>T3-L09-F</x:v>
      </x:c>
      <x:c r="B346" s="6" t="str">
        <x:v>T3-L09-R</x:v>
      </x:c>
      <x:c r="C346" s="6" t="str">
        <x:v>FS</x:v>
      </x:c>
      <x:c r="D346" s="6" t="n">
        <x:v>0</x:v>
      </x:c>
      <x:c r="E346" s="6" t="n">
        <x:f>'Activities'!L318</x:f>
        <x:v>326</x:v>
      </x:c>
      <x:c r="F346" s="6" t="n">
        <x:f>'Activities'!K319</x:f>
        <x:v>326</x:v>
      </x:c>
      <x:c r="G346" s="6" t="n">
        <x:f>F346-E346-D346</x:f>
        <x:v>0</x:v>
      </x:c>
      <x:c r="H346" s="6" t="str">
        <x:v>Explicit working-day lag</x:v>
      </x:c>
    </x:row>
    <x:row r="347" ht="23" customHeight="1">
      <x:c r="A347" s="1" t="str">
        <x:v>T3-L09-R</x:v>
      </x:c>
      <x:c r="B347" s="1" t="str">
        <x:v>T3-L09-C</x:v>
      </x:c>
      <x:c r="C347" s="1" t="str">
        <x:v>FS</x:v>
      </x:c>
      <x:c r="D347" s="1" t="n">
        <x:v>0</x:v>
      </x:c>
      <x:c r="E347" s="1" t="n">
        <x:f>'Activities'!L319</x:f>
        <x:v>331</x:v>
      </x:c>
      <x:c r="F347" s="1" t="n">
        <x:f>'Activities'!K320</x:f>
        <x:v>331</x:v>
      </x:c>
      <x:c r="G347" s="1" t="n">
        <x:f>F347-E347-D347</x:f>
        <x:v>0</x:v>
      </x:c>
      <x:c r="H347" s="1" t="str">
        <x:v>Explicit working-day lag</x:v>
      </x:c>
    </x:row>
    <x:row r="348" ht="23" customHeight="1">
      <x:c r="A348" s="6" t="str">
        <x:v>T3-L09-C</x:v>
      </x:c>
      <x:c r="B348" s="6" t="str">
        <x:v>T3-L09-H</x:v>
      </x:c>
      <x:c r="C348" s="6" t="str">
        <x:v>FS</x:v>
      </x:c>
      <x:c r="D348" s="6" t="n">
        <x:v>0</x:v>
      </x:c>
      <x:c r="E348" s="6" t="n">
        <x:f>'Activities'!L320</x:f>
        <x:v>333</x:v>
      </x:c>
      <x:c r="F348" s="6" t="n">
        <x:f>'Activities'!K321</x:f>
        <x:v>333</x:v>
      </x:c>
      <x:c r="G348" s="6" t="n">
        <x:f>F348-E348-D348</x:f>
        <x:v>0</x:v>
      </x:c>
      <x:c r="H348" s="6" t="str">
        <x:v>Explicit working-day lag</x:v>
      </x:c>
    </x:row>
    <x:row r="349" ht="23" customHeight="1">
      <x:c r="A349" s="1" t="str">
        <x:v>T3-L09-H</x:v>
      </x:c>
      <x:c r="B349" s="1" t="str">
        <x:v>T3-L10-F</x:v>
      </x:c>
      <x:c r="C349" s="1" t="str">
        <x:v>FS</x:v>
      </x:c>
      <x:c r="D349" s="1" t="n">
        <x:v>0</x:v>
      </x:c>
      <x:c r="E349" s="1" t="n">
        <x:f>'Activities'!L321</x:f>
        <x:v>338</x:v>
      </x:c>
      <x:c r="F349" s="1" t="n">
        <x:f>'Activities'!K322</x:f>
        <x:v>338</x:v>
      </x:c>
      <x:c r="G349" s="1" t="n">
        <x:f>F349-E349-D349</x:f>
        <x:v>0</x:v>
      </x:c>
      <x:c r="H349" s="1" t="str">
        <x:v>Explicit working-day lag</x:v>
      </x:c>
    </x:row>
    <x:row r="350" ht="23" customHeight="1">
      <x:c r="A350" s="6" t="str">
        <x:v>T3-L10-F</x:v>
      </x:c>
      <x:c r="B350" s="6" t="str">
        <x:v>T3-L10-R</x:v>
      </x:c>
      <x:c r="C350" s="6" t="str">
        <x:v>FS</x:v>
      </x:c>
      <x:c r="D350" s="6" t="n">
        <x:v>0</x:v>
      </x:c>
      <x:c r="E350" s="6" t="n">
        <x:f>'Activities'!L322</x:f>
        <x:v>344</x:v>
      </x:c>
      <x:c r="F350" s="6" t="n">
        <x:f>'Activities'!K323</x:f>
        <x:v>344</x:v>
      </x:c>
      <x:c r="G350" s="6" t="n">
        <x:f>F350-E350-D350</x:f>
        <x:v>0</x:v>
      </x:c>
      <x:c r="H350" s="6" t="str">
        <x:v>Explicit working-day lag</x:v>
      </x:c>
    </x:row>
    <x:row r="351" ht="23" customHeight="1">
      <x:c r="A351" s="1" t="str">
        <x:v>T3-L10-R</x:v>
      </x:c>
      <x:c r="B351" s="1" t="str">
        <x:v>T3-L10-C</x:v>
      </x:c>
      <x:c r="C351" s="1" t="str">
        <x:v>FS</x:v>
      </x:c>
      <x:c r="D351" s="1" t="n">
        <x:v>0</x:v>
      </x:c>
      <x:c r="E351" s="1" t="n">
        <x:f>'Activities'!L323</x:f>
        <x:v>349</x:v>
      </x:c>
      <x:c r="F351" s="1" t="n">
        <x:f>'Activities'!K324</x:f>
        <x:v>349</x:v>
      </x:c>
      <x:c r="G351" s="1" t="n">
        <x:f>F351-E351-D351</x:f>
        <x:v>0</x:v>
      </x:c>
      <x:c r="H351" s="1" t="str">
        <x:v>Explicit working-day lag</x:v>
      </x:c>
    </x:row>
    <x:row r="352" ht="23" customHeight="1">
      <x:c r="A352" s="6" t="str">
        <x:v>T3-L10-C</x:v>
      </x:c>
      <x:c r="B352" s="6" t="str">
        <x:v>T3-L10-H</x:v>
      </x:c>
      <x:c r="C352" s="6" t="str">
        <x:v>FS</x:v>
      </x:c>
      <x:c r="D352" s="6" t="n">
        <x:v>0</x:v>
      </x:c>
      <x:c r="E352" s="6" t="n">
        <x:f>'Activities'!L324</x:f>
        <x:v>351</x:v>
      </x:c>
      <x:c r="F352" s="6" t="n">
        <x:f>'Activities'!K325</x:f>
        <x:v>351</x:v>
      </x:c>
      <x:c r="G352" s="6" t="n">
        <x:f>F352-E352-D352</x:f>
        <x:v>0</x:v>
      </x:c>
      <x:c r="H352" s="6" t="str">
        <x:v>Explicit working-day lag</x:v>
      </x:c>
    </x:row>
    <x:row r="353" ht="23" customHeight="1">
      <x:c r="A353" s="1" t="str">
        <x:v>T3-L10-H</x:v>
      </x:c>
      <x:c r="B353" s="1" t="str">
        <x:v>T3-L11-F</x:v>
      </x:c>
      <x:c r="C353" s="1" t="str">
        <x:v>FS</x:v>
      </x:c>
      <x:c r="D353" s="1" t="n">
        <x:v>0</x:v>
      </x:c>
      <x:c r="E353" s="1" t="n">
        <x:f>'Activities'!L325</x:f>
        <x:v>356</x:v>
      </x:c>
      <x:c r="F353" s="1" t="n">
        <x:f>'Activities'!K326</x:f>
        <x:v>356</x:v>
      </x:c>
      <x:c r="G353" s="1" t="n">
        <x:f>F353-E353-D353</x:f>
        <x:v>0</x:v>
      </x:c>
      <x:c r="H353" s="1" t="str">
        <x:v>Explicit working-day lag</x:v>
      </x:c>
    </x:row>
    <x:row r="354" ht="23" customHeight="1">
      <x:c r="A354" s="6" t="str">
        <x:v>T3-L11-F</x:v>
      </x:c>
      <x:c r="B354" s="6" t="str">
        <x:v>T3-L11-R</x:v>
      </x:c>
      <x:c r="C354" s="6" t="str">
        <x:v>FS</x:v>
      </x:c>
      <x:c r="D354" s="6" t="n">
        <x:v>0</x:v>
      </x:c>
      <x:c r="E354" s="6" t="n">
        <x:f>'Activities'!L326</x:f>
        <x:v>362</x:v>
      </x:c>
      <x:c r="F354" s="6" t="n">
        <x:f>'Activities'!K327</x:f>
        <x:v>362</x:v>
      </x:c>
      <x:c r="G354" s="6" t="n">
        <x:f>F354-E354-D354</x:f>
        <x:v>0</x:v>
      </x:c>
      <x:c r="H354" s="6" t="str">
        <x:v>Explicit working-day lag</x:v>
      </x:c>
    </x:row>
    <x:row r="355" ht="23" customHeight="1">
      <x:c r="A355" s="1" t="str">
        <x:v>T3-L11-R</x:v>
      </x:c>
      <x:c r="B355" s="1" t="str">
        <x:v>T3-L11-C</x:v>
      </x:c>
      <x:c r="C355" s="1" t="str">
        <x:v>FS</x:v>
      </x:c>
      <x:c r="D355" s="1" t="n">
        <x:v>0</x:v>
      </x:c>
      <x:c r="E355" s="1" t="n">
        <x:f>'Activities'!L327</x:f>
        <x:v>367</x:v>
      </x:c>
      <x:c r="F355" s="1" t="n">
        <x:f>'Activities'!K328</x:f>
        <x:v>367</x:v>
      </x:c>
      <x:c r="G355" s="1" t="n">
        <x:f>F355-E355-D355</x:f>
        <x:v>0</x:v>
      </x:c>
      <x:c r="H355" s="1" t="str">
        <x:v>Explicit working-day lag</x:v>
      </x:c>
    </x:row>
    <x:row r="356" ht="23" customHeight="1">
      <x:c r="A356" s="6" t="str">
        <x:v>T3-L11-C</x:v>
      </x:c>
      <x:c r="B356" s="6" t="str">
        <x:v>T3-L11-H</x:v>
      </x:c>
      <x:c r="C356" s="6" t="str">
        <x:v>FS</x:v>
      </x:c>
      <x:c r="D356" s="6" t="n">
        <x:v>0</x:v>
      </x:c>
      <x:c r="E356" s="6" t="n">
        <x:f>'Activities'!L328</x:f>
        <x:v>369</x:v>
      </x:c>
      <x:c r="F356" s="6" t="n">
        <x:f>'Activities'!K329</x:f>
        <x:v>369</x:v>
      </x:c>
      <x:c r="G356" s="6" t="n">
        <x:f>F356-E356-D356</x:f>
        <x:v>0</x:v>
      </x:c>
      <x:c r="H356" s="6" t="str">
        <x:v>Explicit working-day lag</x:v>
      </x:c>
    </x:row>
    <x:row r="357" ht="23" customHeight="1">
      <x:c r="A357" s="1" t="str">
        <x:v>T3-L11-H</x:v>
      </x:c>
      <x:c r="B357" s="1" t="str">
        <x:v>T3-L12-F</x:v>
      </x:c>
      <x:c r="C357" s="1" t="str">
        <x:v>FS</x:v>
      </x:c>
      <x:c r="D357" s="1" t="n">
        <x:v>0</x:v>
      </x:c>
      <x:c r="E357" s="1" t="n">
        <x:f>'Activities'!L329</x:f>
        <x:v>374</x:v>
      </x:c>
      <x:c r="F357" s="1" t="n">
        <x:f>'Activities'!K330</x:f>
        <x:v>374</x:v>
      </x:c>
      <x:c r="G357" s="1" t="n">
        <x:f>F357-E357-D357</x:f>
        <x:v>0</x:v>
      </x:c>
      <x:c r="H357" s="1" t="str">
        <x:v>Explicit working-day lag</x:v>
      </x:c>
    </x:row>
    <x:row r="358" ht="23" customHeight="1">
      <x:c r="A358" s="6" t="str">
        <x:v>T3-L12-F</x:v>
      </x:c>
      <x:c r="B358" s="6" t="str">
        <x:v>T3-L12-R</x:v>
      </x:c>
      <x:c r="C358" s="6" t="str">
        <x:v>FS</x:v>
      </x:c>
      <x:c r="D358" s="6" t="n">
        <x:v>0</x:v>
      </x:c>
      <x:c r="E358" s="6" t="n">
        <x:f>'Activities'!L330</x:f>
        <x:v>380</x:v>
      </x:c>
      <x:c r="F358" s="6" t="n">
        <x:f>'Activities'!K331</x:f>
        <x:v>380</x:v>
      </x:c>
      <x:c r="G358" s="6" t="n">
        <x:f>F358-E358-D358</x:f>
        <x:v>0</x:v>
      </x:c>
      <x:c r="H358" s="6" t="str">
        <x:v>Explicit working-day lag</x:v>
      </x:c>
    </x:row>
    <x:row r="359" ht="23" customHeight="1">
      <x:c r="A359" s="1" t="str">
        <x:v>T3-L12-R</x:v>
      </x:c>
      <x:c r="B359" s="1" t="str">
        <x:v>T3-L12-C</x:v>
      </x:c>
      <x:c r="C359" s="1" t="str">
        <x:v>FS</x:v>
      </x:c>
      <x:c r="D359" s="1" t="n">
        <x:v>0</x:v>
      </x:c>
      <x:c r="E359" s="1" t="n">
        <x:f>'Activities'!L331</x:f>
        <x:v>385</x:v>
      </x:c>
      <x:c r="F359" s="1" t="n">
        <x:f>'Activities'!K332</x:f>
        <x:v>385</x:v>
      </x:c>
      <x:c r="G359" s="1" t="n">
        <x:f>F359-E359-D359</x:f>
        <x:v>0</x:v>
      </x:c>
      <x:c r="H359" s="1" t="str">
        <x:v>Explicit working-day lag</x:v>
      </x:c>
    </x:row>
    <x:row r="360" ht="23" customHeight="1">
      <x:c r="A360" s="6" t="str">
        <x:v>T3-L12-C</x:v>
      </x:c>
      <x:c r="B360" s="6" t="str">
        <x:v>T3-L12-H</x:v>
      </x:c>
      <x:c r="C360" s="6" t="str">
        <x:v>FS</x:v>
      </x:c>
      <x:c r="D360" s="6" t="n">
        <x:v>0</x:v>
      </x:c>
      <x:c r="E360" s="6" t="n">
        <x:f>'Activities'!L332</x:f>
        <x:v>387</x:v>
      </x:c>
      <x:c r="F360" s="6" t="n">
        <x:f>'Activities'!K333</x:f>
        <x:v>387</x:v>
      </x:c>
      <x:c r="G360" s="6" t="n">
        <x:f>F360-E360-D360</x:f>
        <x:v>0</x:v>
      </x:c>
      <x:c r="H360" s="6" t="str">
        <x:v>Explicit working-day lag</x:v>
      </x:c>
    </x:row>
    <x:row r="361" ht="23" customHeight="1">
      <x:c r="A361" s="1" t="str">
        <x:v>T3-L12-H</x:v>
      </x:c>
      <x:c r="B361" s="1" t="str">
        <x:v>T3-RF</x:v>
      </x:c>
      <x:c r="C361" s="1" t="str">
        <x:v>FS</x:v>
      </x:c>
      <x:c r="D361" s="1" t="n">
        <x:v>5</x:v>
      </x:c>
      <x:c r="E361" s="1" t="n">
        <x:f>'Activities'!L333</x:f>
        <x:v>392</x:v>
      </x:c>
      <x:c r="F361" s="1" t="n">
        <x:f>'Activities'!K334</x:f>
        <x:v>397</x:v>
      </x:c>
      <x:c r="G361" s="1" t="n">
        <x:f>F361-E361-D361</x:f>
        <x:v>0</x:v>
      </x:c>
      <x:c r="H361" s="1" t="str">
        <x:v>Explicit working-day lag</x:v>
      </x:c>
    </x:row>
    <x:row r="362" ht="23" customHeight="1">
      <x:c r="A362" s="6" t="str">
        <x:v>T3-L08-H</x:v>
      </x:c>
      <x:c r="B362" s="6" t="str">
        <x:v>T3-FA</x:v>
      </x:c>
      <x:c r="C362" s="6" t="str">
        <x:v>FS</x:v>
      </x:c>
      <x:c r="D362" s="6" t="n">
        <x:v>10</x:v>
      </x:c>
      <x:c r="E362" s="6" t="n">
        <x:f>'Activities'!L317</x:f>
        <x:v>320</x:v>
      </x:c>
      <x:c r="F362" s="6" t="n">
        <x:f>'Activities'!K335</x:f>
        <x:v>330</x:v>
      </x:c>
      <x:c r="G362" s="6" t="n">
        <x:f>F362-E362-D362</x:f>
        <x:v>0</x:v>
      </x:c>
      <x:c r="H362" s="6" t="str">
        <x:v>Explicit working-day lag</x:v>
      </x:c>
    </x:row>
    <x:row r="363" ht="23" customHeight="1">
      <x:c r="A363" s="1" t="str">
        <x:v>T3-FA</x:v>
      </x:c>
      <x:c r="B363" s="1" t="str">
        <x:v>T3-GL</x:v>
      </x:c>
      <x:c r="C363" s="1" t="str">
        <x:v>FS</x:v>
      </x:c>
      <x:c r="D363" s="1" t="n">
        <x:v>0</x:v>
      </x:c>
      <x:c r="E363" s="1" t="n">
        <x:f>'Activities'!L335</x:f>
        <x:v>352</x:v>
      </x:c>
      <x:c r="F363" s="1" t="n">
        <x:f>'Activities'!K336</x:f>
        <x:v>411</x:v>
      </x:c>
      <x:c r="G363" s="1" t="n">
        <x:f>F363-E363-D363</x:f>
        <x:v>59</x:v>
      </x:c>
      <x:c r="H363" s="1" t="str">
        <x:v>Explicit working-day lag</x:v>
      </x:c>
    </x:row>
    <x:row r="364" ht="23" customHeight="1">
      <x:c r="A364" s="6" t="str">
        <x:v>T3-RF</x:v>
      </x:c>
      <x:c r="B364" s="6" t="str">
        <x:v>T3-GL</x:v>
      </x:c>
      <x:c r="C364" s="6" t="str">
        <x:v>FS</x:v>
      </x:c>
      <x:c r="D364" s="6" t="n">
        <x:v>0</x:v>
      </x:c>
      <x:c r="E364" s="6" t="n">
        <x:f>'Activities'!L334</x:f>
        <x:v>411</x:v>
      </x:c>
      <x:c r="F364" s="6" t="n">
        <x:f>'Activities'!K336</x:f>
        <x:v>411</x:v>
      </x:c>
      <x:c r="G364" s="6" t="n">
        <x:f>F364-E364-D364</x:f>
        <x:v>0</x:v>
      </x:c>
      <x:c r="H364" s="6" t="str">
        <x:v>Explicit working-day lag</x:v>
      </x:c>
    </x:row>
    <x:row r="365" ht="23" customHeight="1">
      <x:c r="A365" s="1" t="str">
        <x:v>T3-L03-H</x:v>
      </x:c>
      <x:c r="B365" s="1" t="str">
        <x:v>T3-L00-M</x:v>
      </x:c>
      <x:c r="C365" s="1" t="str">
        <x:v>FS</x:v>
      </x:c>
      <x:c r="D365" s="1" t="n">
        <x:v>5</x:v>
      </x:c>
      <x:c r="E365" s="1" t="n">
        <x:f>'Activities'!L297</x:f>
        <x:v>230</x:v>
      </x:c>
      <x:c r="F365" s="1" t="n">
        <x:f>'Activities'!K337</x:f>
        <x:v>235</x:v>
      </x:c>
      <x:c r="G365" s="1" t="n">
        <x:f>F365-E365-D365</x:f>
        <x:v>0</x:v>
      </x:c>
      <x:c r="H365" s="1" t="str">
        <x:v>Explicit working-day lag</x:v>
      </x:c>
    </x:row>
    <x:row r="366" ht="23" customHeight="1">
      <x:c r="A366" s="6" t="str">
        <x:v>T3-L00-M</x:v>
      </x:c>
      <x:c r="B366" s="6" t="str">
        <x:v>T3-L00-P</x:v>
      </x:c>
      <x:c r="C366" s="6" t="str">
        <x:v>FS</x:v>
      </x:c>
      <x:c r="D366" s="6" t="n">
        <x:v>3</x:v>
      </x:c>
      <x:c r="E366" s="6" t="n">
        <x:f>'Activities'!L337</x:f>
        <x:v>240</x:v>
      </x:c>
      <x:c r="F366" s="6" t="n">
        <x:f>'Activities'!K338</x:f>
        <x:v>243</x:v>
      </x:c>
      <x:c r="G366" s="6" t="n">
        <x:f>F366-E366-D366</x:f>
        <x:v>0</x:v>
      </x:c>
      <x:c r="H366" s="6" t="str">
        <x:v>Explicit working-day lag</x:v>
      </x:c>
    </x:row>
    <x:row r="367" ht="23" customHeight="1">
      <x:c r="A367" s="1" t="str">
        <x:v>T3-L00-P</x:v>
      </x:c>
      <x:c r="B367" s="1" t="str">
        <x:v>T3-L00-S</x:v>
      </x:c>
      <x:c r="C367" s="1" t="str">
        <x:v>FS</x:v>
      </x:c>
      <x:c r="D367" s="1" t="n">
        <x:v>2</x:v>
      </x:c>
      <x:c r="E367" s="1" t="n">
        <x:f>'Activities'!L338</x:f>
        <x:v>249</x:v>
      </x:c>
      <x:c r="F367" s="1" t="n">
        <x:f>'Activities'!K339</x:f>
        <x:v>251</x:v>
      </x:c>
      <x:c r="G367" s="1" t="n">
        <x:f>F367-E367-D367</x:f>
        <x:v>0</x:v>
      </x:c>
      <x:c r="H367" s="1" t="str">
        <x:v>Explicit working-day lag</x:v>
      </x:c>
    </x:row>
    <x:row r="368" ht="23" customHeight="1">
      <x:c r="A368" s="6" t="str">
        <x:v>T3-L00-S</x:v>
      </x:c>
      <x:c r="B368" s="6" t="str">
        <x:v>T3-L00-T</x:v>
      </x:c>
      <x:c r="C368" s="6" t="str">
        <x:v>FS</x:v>
      </x:c>
      <x:c r="D368" s="6" t="n">
        <x:v>14</x:v>
      </x:c>
      <x:c r="E368" s="6" t="n">
        <x:f>'Activities'!L339</x:f>
        <x:v>254</x:v>
      </x:c>
      <x:c r="F368" s="6" t="n">
        <x:f>'Activities'!K340</x:f>
        <x:v>425</x:v>
      </x:c>
      <x:c r="G368" s="6" t="n">
        <x:f>F368-E368-D368</x:f>
        <x:v>157</x:v>
      </x:c>
      <x:c r="H368" s="6" t="str">
        <x:v>Explicit working-day lag</x:v>
      </x:c>
    </x:row>
    <x:row r="369" ht="23" customHeight="1">
      <x:c r="A369" s="1" t="str">
        <x:v>T3-GL</x:v>
      </x:c>
      <x:c r="B369" s="1" t="str">
        <x:v>T3-L00-T</x:v>
      </x:c>
      <x:c r="C369" s="1" t="str">
        <x:v>FS</x:v>
      </x:c>
      <x:c r="D369" s="1" t="n">
        <x:v>0</x:v>
      </x:c>
      <x:c r="E369" s="1" t="n">
        <x:f>'Activities'!L336</x:f>
        <x:v>425</x:v>
      </x:c>
      <x:c r="F369" s="1" t="n">
        <x:f>'Activities'!K340</x:f>
        <x:v>425</x:v>
      </x:c>
      <x:c r="G369" s="1" t="n">
        <x:f>F369-E369-D369</x:f>
        <x:v>0</x:v>
      </x:c>
      <x:c r="H369" s="1" t="str">
        <x:v>Explicit working-day lag</x:v>
      </x:c>
    </x:row>
    <x:row r="370" ht="23" customHeight="1">
      <x:c r="A370" s="6" t="str">
        <x:v>T3-L00-T</x:v>
      </x:c>
      <x:c r="B370" s="6" t="str">
        <x:v>T3-L00-A</x:v>
      </x:c>
      <x:c r="C370" s="6" t="str">
        <x:v>FS</x:v>
      </x:c>
      <x:c r="D370" s="6" t="n">
        <x:v>2</x:v>
      </x:c>
      <x:c r="E370" s="6" t="n">
        <x:f>'Activities'!L340</x:f>
        <x:v>431</x:v>
      </x:c>
      <x:c r="F370" s="6" t="n">
        <x:f>'Activities'!K341</x:f>
        <x:v>433</x:v>
      </x:c>
      <x:c r="G370" s="6" t="n">
        <x:f>F370-E370-D370</x:f>
        <x:v>0</x:v>
      </x:c>
      <x:c r="H370" s="6" t="str">
        <x:v>Explicit working-day lag</x:v>
      </x:c>
    </x:row>
    <x:row r="371" ht="23" customHeight="1">
      <x:c r="A371" s="1" t="str">
        <x:v>T3-L00-A</x:v>
      </x:c>
      <x:c r="B371" s="1" t="str">
        <x:v>T3-L00-D</x:v>
      </x:c>
      <x:c r="C371" s="1" t="str">
        <x:v>FS</x:v>
      </x:c>
      <x:c r="D371" s="1" t="n">
        <x:v>0</x:v>
      </x:c>
      <x:c r="E371" s="1" t="n">
        <x:f>'Activities'!L341</x:f>
        <x:v>438</x:v>
      </x:c>
      <x:c r="F371" s="1" t="n">
        <x:f>'Activities'!K342</x:f>
        <x:v>438</x:v>
      </x:c>
      <x:c r="G371" s="1" t="n">
        <x:f>F371-E371-D371</x:f>
        <x:v>0</x:v>
      </x:c>
      <x:c r="H371" s="1" t="str">
        <x:v>Explicit working-day lag</x:v>
      </x:c>
    </x:row>
    <x:row r="372" ht="23" customHeight="1">
      <x:c r="A372" s="6" t="str">
        <x:v>T3-L04-H</x:v>
      </x:c>
      <x:c r="B372" s="6" t="str">
        <x:v>T3-L01-M</x:v>
      </x:c>
      <x:c r="C372" s="6" t="str">
        <x:v>FS</x:v>
      </x:c>
      <x:c r="D372" s="6" t="n">
        <x:v>5</x:v>
      </x:c>
      <x:c r="E372" s="6" t="n">
        <x:f>'Activities'!L301</x:f>
        <x:v>248</x:v>
      </x:c>
      <x:c r="F372" s="6" t="n">
        <x:f>'Activities'!K343</x:f>
        <x:v>253</x:v>
      </x:c>
      <x:c r="G372" s="6" t="n">
        <x:f>F372-E372-D372</x:f>
        <x:v>0</x:v>
      </x:c>
      <x:c r="H372" s="6" t="str">
        <x:v>Explicit working-day lag</x:v>
      </x:c>
    </x:row>
    <x:row r="373" ht="23" customHeight="1">
      <x:c r="A373" s="1" t="str">
        <x:v>T3-L01-M</x:v>
      </x:c>
      <x:c r="B373" s="1" t="str">
        <x:v>T3-L01-P</x:v>
      </x:c>
      <x:c r="C373" s="1" t="str">
        <x:v>FS</x:v>
      </x:c>
      <x:c r="D373" s="1" t="n">
        <x:v>3</x:v>
      </x:c>
      <x:c r="E373" s="1" t="n">
        <x:f>'Activities'!L343</x:f>
        <x:v>258</x:v>
      </x:c>
      <x:c r="F373" s="1" t="n">
        <x:f>'Activities'!K344</x:f>
        <x:v>261</x:v>
      </x:c>
      <x:c r="G373" s="1" t="n">
        <x:f>F373-E373-D373</x:f>
        <x:v>0</x:v>
      </x:c>
      <x:c r="H373" s="1" t="str">
        <x:v>Explicit working-day lag</x:v>
      </x:c>
    </x:row>
    <x:row r="374" ht="23" customHeight="1">
      <x:c r="A374" s="6" t="str">
        <x:v>T3-L01-P</x:v>
      </x:c>
      <x:c r="B374" s="6" t="str">
        <x:v>T3-L01-S</x:v>
      </x:c>
      <x:c r="C374" s="6" t="str">
        <x:v>FS</x:v>
      </x:c>
      <x:c r="D374" s="6" t="n">
        <x:v>2</x:v>
      </x:c>
      <x:c r="E374" s="6" t="n">
        <x:f>'Activities'!L344</x:f>
        <x:v>267</x:v>
      </x:c>
      <x:c r="F374" s="6" t="n">
        <x:f>'Activities'!K345</x:f>
        <x:v>269</x:v>
      </x:c>
      <x:c r="G374" s="6" t="n">
        <x:f>F374-E374-D374</x:f>
        <x:v>0</x:v>
      </x:c>
      <x:c r="H374" s="6" t="str">
        <x:v>Explicit working-day lag</x:v>
      </x:c>
    </x:row>
    <x:row r="375" ht="23" customHeight="1">
      <x:c r="A375" s="1" t="str">
        <x:v>T3-L01-S</x:v>
      </x:c>
      <x:c r="B375" s="1" t="str">
        <x:v>T3-L01-T</x:v>
      </x:c>
      <x:c r="C375" s="1" t="str">
        <x:v>FS</x:v>
      </x:c>
      <x:c r="D375" s="1" t="n">
        <x:v>14</x:v>
      </x:c>
      <x:c r="E375" s="1" t="n">
        <x:f>'Activities'!L345</x:f>
        <x:v>272</x:v>
      </x:c>
      <x:c r="F375" s="1" t="n">
        <x:f>'Activities'!K346</x:f>
        <x:v>425</x:v>
      </x:c>
      <x:c r="G375" s="1" t="n">
        <x:f>F375-E375-D375</x:f>
        <x:v>139</x:v>
      </x:c>
      <x:c r="H375" s="1" t="str">
        <x:v>Explicit working-day lag</x:v>
      </x:c>
    </x:row>
    <x:row r="376" ht="23" customHeight="1">
      <x:c r="A376" s="6" t="str">
        <x:v>T3-GL</x:v>
      </x:c>
      <x:c r="B376" s="6" t="str">
        <x:v>T3-L01-T</x:v>
      </x:c>
      <x:c r="C376" s="6" t="str">
        <x:v>FS</x:v>
      </x:c>
      <x:c r="D376" s="6" t="n">
        <x:v>0</x:v>
      </x:c>
      <x:c r="E376" s="6" t="n">
        <x:f>'Activities'!L336</x:f>
        <x:v>425</x:v>
      </x:c>
      <x:c r="F376" s="6" t="n">
        <x:f>'Activities'!K346</x:f>
        <x:v>425</x:v>
      </x:c>
      <x:c r="G376" s="6" t="n">
        <x:f>F376-E376-D376</x:f>
        <x:v>0</x:v>
      </x:c>
      <x:c r="H376" s="6" t="str">
        <x:v>Explicit working-day lag</x:v>
      </x:c>
    </x:row>
    <x:row r="377" ht="23" customHeight="1">
      <x:c r="A377" s="1" t="str">
        <x:v>T3-L01-T</x:v>
      </x:c>
      <x:c r="B377" s="1" t="str">
        <x:v>T3-L01-A</x:v>
      </x:c>
      <x:c r="C377" s="1" t="str">
        <x:v>FS</x:v>
      </x:c>
      <x:c r="D377" s="1" t="n">
        <x:v>2</x:v>
      </x:c>
      <x:c r="E377" s="1" t="n">
        <x:f>'Activities'!L346</x:f>
        <x:v>431</x:v>
      </x:c>
      <x:c r="F377" s="1" t="n">
        <x:f>'Activities'!K347</x:f>
        <x:v>433</x:v>
      </x:c>
      <x:c r="G377" s="1" t="n">
        <x:f>F377-E377-D377</x:f>
        <x:v>0</x:v>
      </x:c>
      <x:c r="H377" s="1" t="str">
        <x:v>Explicit working-day lag</x:v>
      </x:c>
    </x:row>
    <x:row r="378" ht="23" customHeight="1">
      <x:c r="A378" s="6" t="str">
        <x:v>T3-L01-A</x:v>
      </x:c>
      <x:c r="B378" s="6" t="str">
        <x:v>T3-L01-D</x:v>
      </x:c>
      <x:c r="C378" s="6" t="str">
        <x:v>FS</x:v>
      </x:c>
      <x:c r="D378" s="6" t="n">
        <x:v>0</x:v>
      </x:c>
      <x:c r="E378" s="6" t="n">
        <x:f>'Activities'!L347</x:f>
        <x:v>438</x:v>
      </x:c>
      <x:c r="F378" s="6" t="n">
        <x:f>'Activities'!K348</x:f>
        <x:v>438</x:v>
      </x:c>
      <x:c r="G378" s="6" t="n">
        <x:f>F378-E378-D378</x:f>
        <x:v>0</x:v>
      </x:c>
      <x:c r="H378" s="6" t="str">
        <x:v>Explicit working-day lag</x:v>
      </x:c>
    </x:row>
    <x:row r="379" ht="23" customHeight="1">
      <x:c r="A379" s="1" t="str">
        <x:v>T3-L05-H</x:v>
      </x:c>
      <x:c r="B379" s="1" t="str">
        <x:v>T3-L02-M</x:v>
      </x:c>
      <x:c r="C379" s="1" t="str">
        <x:v>FS</x:v>
      </x:c>
      <x:c r="D379" s="1" t="n">
        <x:v>5</x:v>
      </x:c>
      <x:c r="E379" s="1" t="n">
        <x:f>'Activities'!L305</x:f>
        <x:v>266</x:v>
      </x:c>
      <x:c r="F379" s="1" t="n">
        <x:f>'Activities'!K349</x:f>
        <x:v>271</x:v>
      </x:c>
      <x:c r="G379" s="1" t="n">
        <x:f>F379-E379-D379</x:f>
        <x:v>0</x:v>
      </x:c>
      <x:c r="H379" s="1" t="str">
        <x:v>Explicit working-day lag</x:v>
      </x:c>
    </x:row>
    <x:row r="380" ht="23" customHeight="1">
      <x:c r="A380" s="6" t="str">
        <x:v>T3-L02-M</x:v>
      </x:c>
      <x:c r="B380" s="6" t="str">
        <x:v>T3-L02-P</x:v>
      </x:c>
      <x:c r="C380" s="6" t="str">
        <x:v>FS</x:v>
      </x:c>
      <x:c r="D380" s="6" t="n">
        <x:v>3</x:v>
      </x:c>
      <x:c r="E380" s="6" t="n">
        <x:f>'Activities'!L349</x:f>
        <x:v>276</x:v>
      </x:c>
      <x:c r="F380" s="6" t="n">
        <x:f>'Activities'!K350</x:f>
        <x:v>279</x:v>
      </x:c>
      <x:c r="G380" s="6" t="n">
        <x:f>F380-E380-D380</x:f>
        <x:v>0</x:v>
      </x:c>
      <x:c r="H380" s="6" t="str">
        <x:v>Explicit working-day lag</x:v>
      </x:c>
    </x:row>
    <x:row r="381" ht="23" customHeight="1">
      <x:c r="A381" s="1" t="str">
        <x:v>T3-L02-P</x:v>
      </x:c>
      <x:c r="B381" s="1" t="str">
        <x:v>T3-L02-S</x:v>
      </x:c>
      <x:c r="C381" s="1" t="str">
        <x:v>FS</x:v>
      </x:c>
      <x:c r="D381" s="1" t="n">
        <x:v>2</x:v>
      </x:c>
      <x:c r="E381" s="1" t="n">
        <x:f>'Activities'!L350</x:f>
        <x:v>285</x:v>
      </x:c>
      <x:c r="F381" s="1" t="n">
        <x:f>'Activities'!K351</x:f>
        <x:v>287</x:v>
      </x:c>
      <x:c r="G381" s="1" t="n">
        <x:f>F381-E381-D381</x:f>
        <x:v>0</x:v>
      </x:c>
      <x:c r="H381" s="1" t="str">
        <x:v>Explicit working-day lag</x:v>
      </x:c>
    </x:row>
    <x:row r="382" ht="23" customHeight="1">
      <x:c r="A382" s="6" t="str">
        <x:v>T3-L02-S</x:v>
      </x:c>
      <x:c r="B382" s="6" t="str">
        <x:v>T3-L02-T</x:v>
      </x:c>
      <x:c r="C382" s="6" t="str">
        <x:v>FS</x:v>
      </x:c>
      <x:c r="D382" s="6" t="n">
        <x:v>14</x:v>
      </x:c>
      <x:c r="E382" s="6" t="n">
        <x:f>'Activities'!L351</x:f>
        <x:v>290</x:v>
      </x:c>
      <x:c r="F382" s="6" t="n">
        <x:f>'Activities'!K352</x:f>
        <x:v>425</x:v>
      </x:c>
      <x:c r="G382" s="6" t="n">
        <x:f>F382-E382-D382</x:f>
        <x:v>121</x:v>
      </x:c>
      <x:c r="H382" s="6" t="str">
        <x:v>Explicit working-day lag</x:v>
      </x:c>
    </x:row>
    <x:row r="383" ht="23" customHeight="1">
      <x:c r="A383" s="1" t="str">
        <x:v>T3-GL</x:v>
      </x:c>
      <x:c r="B383" s="1" t="str">
        <x:v>T3-L02-T</x:v>
      </x:c>
      <x:c r="C383" s="1" t="str">
        <x:v>FS</x:v>
      </x:c>
      <x:c r="D383" s="1" t="n">
        <x:v>0</x:v>
      </x:c>
      <x:c r="E383" s="1" t="n">
        <x:f>'Activities'!L336</x:f>
        <x:v>425</x:v>
      </x:c>
      <x:c r="F383" s="1" t="n">
        <x:f>'Activities'!K352</x:f>
        <x:v>425</x:v>
      </x:c>
      <x:c r="G383" s="1" t="n">
        <x:f>F383-E383-D383</x:f>
        <x:v>0</x:v>
      </x:c>
      <x:c r="H383" s="1" t="str">
        <x:v>Explicit working-day lag</x:v>
      </x:c>
    </x:row>
    <x:row r="384" ht="23" customHeight="1">
      <x:c r="A384" s="6" t="str">
        <x:v>T3-L02-T</x:v>
      </x:c>
      <x:c r="B384" s="6" t="str">
        <x:v>T3-L02-A</x:v>
      </x:c>
      <x:c r="C384" s="6" t="str">
        <x:v>FS</x:v>
      </x:c>
      <x:c r="D384" s="6" t="n">
        <x:v>2</x:v>
      </x:c>
      <x:c r="E384" s="6" t="n">
        <x:f>'Activities'!L352</x:f>
        <x:v>431</x:v>
      </x:c>
      <x:c r="F384" s="6" t="n">
        <x:f>'Activities'!K353</x:f>
        <x:v>433</x:v>
      </x:c>
      <x:c r="G384" s="6" t="n">
        <x:f>F384-E384-D384</x:f>
        <x:v>0</x:v>
      </x:c>
      <x:c r="H384" s="6" t="str">
        <x:v>Explicit working-day lag</x:v>
      </x:c>
    </x:row>
    <x:row r="385" ht="23" customHeight="1">
      <x:c r="A385" s="1" t="str">
        <x:v>T3-L02-A</x:v>
      </x:c>
      <x:c r="B385" s="1" t="str">
        <x:v>T3-L02-D</x:v>
      </x:c>
      <x:c r="C385" s="1" t="str">
        <x:v>FS</x:v>
      </x:c>
      <x:c r="D385" s="1" t="n">
        <x:v>0</x:v>
      </x:c>
      <x:c r="E385" s="1" t="n">
        <x:f>'Activities'!L353</x:f>
        <x:v>438</x:v>
      </x:c>
      <x:c r="F385" s="1" t="n">
        <x:f>'Activities'!K354</x:f>
        <x:v>438</x:v>
      </x:c>
      <x:c r="G385" s="1" t="n">
        <x:f>F385-E385-D385</x:f>
        <x:v>0</x:v>
      </x:c>
      <x:c r="H385" s="1" t="str">
        <x:v>Explicit working-day lag</x:v>
      </x:c>
    </x:row>
    <x:row r="386" ht="23" customHeight="1">
      <x:c r="A386" s="6" t="str">
        <x:v>T3-L06-H</x:v>
      </x:c>
      <x:c r="B386" s="6" t="str">
        <x:v>T3-L03-M</x:v>
      </x:c>
      <x:c r="C386" s="6" t="str">
        <x:v>FS</x:v>
      </x:c>
      <x:c r="D386" s="6" t="n">
        <x:v>5</x:v>
      </x:c>
      <x:c r="E386" s="6" t="n">
        <x:f>'Activities'!L309</x:f>
        <x:v>284</x:v>
      </x:c>
      <x:c r="F386" s="6" t="n">
        <x:f>'Activities'!K355</x:f>
        <x:v>289</x:v>
      </x:c>
      <x:c r="G386" s="6" t="n">
        <x:f>F386-E386-D386</x:f>
        <x:v>0</x:v>
      </x:c>
      <x:c r="H386" s="6" t="str">
        <x:v>Explicit working-day lag</x:v>
      </x:c>
    </x:row>
    <x:row r="387" ht="23" customHeight="1">
      <x:c r="A387" s="1" t="str">
        <x:v>T3-L03-M</x:v>
      </x:c>
      <x:c r="B387" s="1" t="str">
        <x:v>T3-L03-P</x:v>
      </x:c>
      <x:c r="C387" s="1" t="str">
        <x:v>FS</x:v>
      </x:c>
      <x:c r="D387" s="1" t="n">
        <x:v>3</x:v>
      </x:c>
      <x:c r="E387" s="1" t="n">
        <x:f>'Activities'!L355</x:f>
        <x:v>294</x:v>
      </x:c>
      <x:c r="F387" s="1" t="n">
        <x:f>'Activities'!K356</x:f>
        <x:v>297</x:v>
      </x:c>
      <x:c r="G387" s="1" t="n">
        <x:f>F387-E387-D387</x:f>
        <x:v>0</x:v>
      </x:c>
      <x:c r="H387" s="1" t="str">
        <x:v>Explicit working-day lag</x:v>
      </x:c>
    </x:row>
    <x:row r="388" ht="23" customHeight="1">
      <x:c r="A388" s="6" t="str">
        <x:v>T3-L03-P</x:v>
      </x:c>
      <x:c r="B388" s="6" t="str">
        <x:v>T3-L03-S</x:v>
      </x:c>
      <x:c r="C388" s="6" t="str">
        <x:v>FS</x:v>
      </x:c>
      <x:c r="D388" s="6" t="n">
        <x:v>2</x:v>
      </x:c>
      <x:c r="E388" s="6" t="n">
        <x:f>'Activities'!L356</x:f>
        <x:v>303</x:v>
      </x:c>
      <x:c r="F388" s="6" t="n">
        <x:f>'Activities'!K357</x:f>
        <x:v>305</x:v>
      </x:c>
      <x:c r="G388" s="6" t="n">
        <x:f>F388-E388-D388</x:f>
        <x:v>0</x:v>
      </x:c>
      <x:c r="H388" s="6" t="str">
        <x:v>Explicit working-day lag</x:v>
      </x:c>
    </x:row>
    <x:row r="389" ht="23" customHeight="1">
      <x:c r="A389" s="1" t="str">
        <x:v>T3-L03-S</x:v>
      </x:c>
      <x:c r="B389" s="1" t="str">
        <x:v>T3-L03-T</x:v>
      </x:c>
      <x:c r="C389" s="1" t="str">
        <x:v>FS</x:v>
      </x:c>
      <x:c r="D389" s="1" t="n">
        <x:v>14</x:v>
      </x:c>
      <x:c r="E389" s="1" t="n">
        <x:f>'Activities'!L357</x:f>
        <x:v>308</x:v>
      </x:c>
      <x:c r="F389" s="1" t="n">
        <x:f>'Activities'!K358</x:f>
        <x:v>425</x:v>
      </x:c>
      <x:c r="G389" s="1" t="n">
        <x:f>F389-E389-D389</x:f>
        <x:v>103</x:v>
      </x:c>
      <x:c r="H389" s="1" t="str">
        <x:v>Explicit working-day lag</x:v>
      </x:c>
    </x:row>
    <x:row r="390" ht="23" customHeight="1">
      <x:c r="A390" s="6" t="str">
        <x:v>T3-GL</x:v>
      </x:c>
      <x:c r="B390" s="6" t="str">
        <x:v>T3-L03-T</x:v>
      </x:c>
      <x:c r="C390" s="6" t="str">
        <x:v>FS</x:v>
      </x:c>
      <x:c r="D390" s="6" t="n">
        <x:v>0</x:v>
      </x:c>
      <x:c r="E390" s="6" t="n">
        <x:f>'Activities'!L336</x:f>
        <x:v>425</x:v>
      </x:c>
      <x:c r="F390" s="6" t="n">
        <x:f>'Activities'!K358</x:f>
        <x:v>425</x:v>
      </x:c>
      <x:c r="G390" s="6" t="n">
        <x:f>F390-E390-D390</x:f>
        <x:v>0</x:v>
      </x:c>
      <x:c r="H390" s="6" t="str">
        <x:v>Explicit working-day lag</x:v>
      </x:c>
    </x:row>
    <x:row r="391" ht="23" customHeight="1">
      <x:c r="A391" s="1" t="str">
        <x:v>T3-L03-T</x:v>
      </x:c>
      <x:c r="B391" s="1" t="str">
        <x:v>T3-L03-A</x:v>
      </x:c>
      <x:c r="C391" s="1" t="str">
        <x:v>FS</x:v>
      </x:c>
      <x:c r="D391" s="1" t="n">
        <x:v>2</x:v>
      </x:c>
      <x:c r="E391" s="1" t="n">
        <x:f>'Activities'!L358</x:f>
        <x:v>431</x:v>
      </x:c>
      <x:c r="F391" s="1" t="n">
        <x:f>'Activities'!K359</x:f>
        <x:v>433</x:v>
      </x:c>
      <x:c r="G391" s="1" t="n">
        <x:f>F391-E391-D391</x:f>
        <x:v>0</x:v>
      </x:c>
      <x:c r="H391" s="1" t="str">
        <x:v>Explicit working-day lag</x:v>
      </x:c>
    </x:row>
    <x:row r="392" ht="23" customHeight="1">
      <x:c r="A392" s="6" t="str">
        <x:v>T3-L03-A</x:v>
      </x:c>
      <x:c r="B392" s="6" t="str">
        <x:v>T3-L03-D</x:v>
      </x:c>
      <x:c r="C392" s="6" t="str">
        <x:v>FS</x:v>
      </x:c>
      <x:c r="D392" s="6" t="n">
        <x:v>0</x:v>
      </x:c>
      <x:c r="E392" s="6" t="n">
        <x:f>'Activities'!L359</x:f>
        <x:v>438</x:v>
      </x:c>
      <x:c r="F392" s="6" t="n">
        <x:f>'Activities'!K360</x:f>
        <x:v>438</x:v>
      </x:c>
      <x:c r="G392" s="6" t="n">
        <x:f>F392-E392-D392</x:f>
        <x:v>0</x:v>
      </x:c>
      <x:c r="H392" s="6" t="str">
        <x:v>Explicit working-day lag</x:v>
      </x:c>
    </x:row>
    <x:row r="393" ht="23" customHeight="1">
      <x:c r="A393" s="1" t="str">
        <x:v>T3-L07-H</x:v>
      </x:c>
      <x:c r="B393" s="1" t="str">
        <x:v>T3-L04-M</x:v>
      </x:c>
      <x:c r="C393" s="1" t="str">
        <x:v>FS</x:v>
      </x:c>
      <x:c r="D393" s="1" t="n">
        <x:v>5</x:v>
      </x:c>
      <x:c r="E393" s="1" t="n">
        <x:f>'Activities'!L313</x:f>
        <x:v>302</x:v>
      </x:c>
      <x:c r="F393" s="1" t="n">
        <x:f>'Activities'!K361</x:f>
        <x:v>307</x:v>
      </x:c>
      <x:c r="G393" s="1" t="n">
        <x:f>F393-E393-D393</x:f>
        <x:v>0</x:v>
      </x:c>
      <x:c r="H393" s="1" t="str">
        <x:v>Explicit working-day lag</x:v>
      </x:c>
    </x:row>
    <x:row r="394" ht="23" customHeight="1">
      <x:c r="A394" s="6" t="str">
        <x:v>T3-L04-M</x:v>
      </x:c>
      <x:c r="B394" s="6" t="str">
        <x:v>T3-L04-P</x:v>
      </x:c>
      <x:c r="C394" s="6" t="str">
        <x:v>FS</x:v>
      </x:c>
      <x:c r="D394" s="6" t="n">
        <x:v>3</x:v>
      </x:c>
      <x:c r="E394" s="6" t="n">
        <x:f>'Activities'!L361</x:f>
        <x:v>312</x:v>
      </x:c>
      <x:c r="F394" s="6" t="n">
        <x:f>'Activities'!K362</x:f>
        <x:v>315</x:v>
      </x:c>
      <x:c r="G394" s="6" t="n">
        <x:f>F394-E394-D394</x:f>
        <x:v>0</x:v>
      </x:c>
      <x:c r="H394" s="6" t="str">
        <x:v>Explicit working-day lag</x:v>
      </x:c>
    </x:row>
    <x:row r="395" ht="23" customHeight="1">
      <x:c r="A395" s="1" t="str">
        <x:v>T3-L04-P</x:v>
      </x:c>
      <x:c r="B395" s="1" t="str">
        <x:v>T3-L04-S</x:v>
      </x:c>
      <x:c r="C395" s="1" t="str">
        <x:v>FS</x:v>
      </x:c>
      <x:c r="D395" s="1" t="n">
        <x:v>2</x:v>
      </x:c>
      <x:c r="E395" s="1" t="n">
        <x:f>'Activities'!L362</x:f>
        <x:v>321</x:v>
      </x:c>
      <x:c r="F395" s="1" t="n">
        <x:f>'Activities'!K363</x:f>
        <x:v>323</x:v>
      </x:c>
      <x:c r="G395" s="1" t="n">
        <x:f>F395-E395-D395</x:f>
        <x:v>0</x:v>
      </x:c>
      <x:c r="H395" s="1" t="str">
        <x:v>Explicit working-day lag</x:v>
      </x:c>
    </x:row>
    <x:row r="396" ht="23" customHeight="1">
      <x:c r="A396" s="6" t="str">
        <x:v>T3-L04-S</x:v>
      </x:c>
      <x:c r="B396" s="6" t="str">
        <x:v>T3-L04-T</x:v>
      </x:c>
      <x:c r="C396" s="6" t="str">
        <x:v>FS</x:v>
      </x:c>
      <x:c r="D396" s="6" t="n">
        <x:v>14</x:v>
      </x:c>
      <x:c r="E396" s="6" t="n">
        <x:f>'Activities'!L363</x:f>
        <x:v>326</x:v>
      </x:c>
      <x:c r="F396" s="6" t="n">
        <x:f>'Activities'!K364</x:f>
        <x:v>425</x:v>
      </x:c>
      <x:c r="G396" s="6" t="n">
        <x:f>F396-E396-D396</x:f>
        <x:v>85</x:v>
      </x:c>
      <x:c r="H396" s="6" t="str">
        <x:v>Explicit working-day lag</x:v>
      </x:c>
    </x:row>
    <x:row r="397" ht="23" customHeight="1">
      <x:c r="A397" s="1" t="str">
        <x:v>T3-GL</x:v>
      </x:c>
      <x:c r="B397" s="1" t="str">
        <x:v>T3-L04-T</x:v>
      </x:c>
      <x:c r="C397" s="1" t="str">
        <x:v>FS</x:v>
      </x:c>
      <x:c r="D397" s="1" t="n">
        <x:v>0</x:v>
      </x:c>
      <x:c r="E397" s="1" t="n">
        <x:f>'Activities'!L336</x:f>
        <x:v>425</x:v>
      </x:c>
      <x:c r="F397" s="1" t="n">
        <x:f>'Activities'!K364</x:f>
        <x:v>425</x:v>
      </x:c>
      <x:c r="G397" s="1" t="n">
        <x:f>F397-E397-D397</x:f>
        <x:v>0</x:v>
      </x:c>
      <x:c r="H397" s="1" t="str">
        <x:v>Explicit working-day lag</x:v>
      </x:c>
    </x:row>
    <x:row r="398" ht="23" customHeight="1">
      <x:c r="A398" s="6" t="str">
        <x:v>T3-L04-T</x:v>
      </x:c>
      <x:c r="B398" s="6" t="str">
        <x:v>T3-L04-A</x:v>
      </x:c>
      <x:c r="C398" s="6" t="str">
        <x:v>FS</x:v>
      </x:c>
      <x:c r="D398" s="6" t="n">
        <x:v>2</x:v>
      </x:c>
      <x:c r="E398" s="6" t="n">
        <x:f>'Activities'!L364</x:f>
        <x:v>431</x:v>
      </x:c>
      <x:c r="F398" s="6" t="n">
        <x:f>'Activities'!K365</x:f>
        <x:v>433</x:v>
      </x:c>
      <x:c r="G398" s="6" t="n">
        <x:f>F398-E398-D398</x:f>
        <x:v>0</x:v>
      </x:c>
      <x:c r="H398" s="6" t="str">
        <x:v>Explicit working-day lag</x:v>
      </x:c>
    </x:row>
    <x:row r="399" ht="23" customHeight="1">
      <x:c r="A399" s="1" t="str">
        <x:v>T3-L04-A</x:v>
      </x:c>
      <x:c r="B399" s="1" t="str">
        <x:v>T3-L04-D</x:v>
      </x:c>
      <x:c r="C399" s="1" t="str">
        <x:v>FS</x:v>
      </x:c>
      <x:c r="D399" s="1" t="n">
        <x:v>0</x:v>
      </x:c>
      <x:c r="E399" s="1" t="n">
        <x:f>'Activities'!L365</x:f>
        <x:v>438</x:v>
      </x:c>
      <x:c r="F399" s="1" t="n">
        <x:f>'Activities'!K366</x:f>
        <x:v>438</x:v>
      </x:c>
      <x:c r="G399" s="1" t="n">
        <x:f>F399-E399-D399</x:f>
        <x:v>0</x:v>
      </x:c>
      <x:c r="H399" s="1" t="str">
        <x:v>Explicit working-day lag</x:v>
      </x:c>
    </x:row>
    <x:row r="400" ht="23" customHeight="1">
      <x:c r="A400" s="6" t="str">
        <x:v>T3-L08-H</x:v>
      </x:c>
      <x:c r="B400" s="6" t="str">
        <x:v>T3-L05-M</x:v>
      </x:c>
      <x:c r="C400" s="6" t="str">
        <x:v>FS</x:v>
      </x:c>
      <x:c r="D400" s="6" t="n">
        <x:v>5</x:v>
      </x:c>
      <x:c r="E400" s="6" t="n">
        <x:f>'Activities'!L317</x:f>
        <x:v>320</x:v>
      </x:c>
      <x:c r="F400" s="6" t="n">
        <x:f>'Activities'!K367</x:f>
        <x:v>325</x:v>
      </x:c>
      <x:c r="G400" s="6" t="n">
        <x:f>F400-E400-D400</x:f>
        <x:v>0</x:v>
      </x:c>
      <x:c r="H400" s="6" t="str">
        <x:v>Explicit working-day lag</x:v>
      </x:c>
    </x:row>
    <x:row r="401" ht="23" customHeight="1">
      <x:c r="A401" s="1" t="str">
        <x:v>T3-L05-M</x:v>
      </x:c>
      <x:c r="B401" s="1" t="str">
        <x:v>T3-L05-P</x:v>
      </x:c>
      <x:c r="C401" s="1" t="str">
        <x:v>FS</x:v>
      </x:c>
      <x:c r="D401" s="1" t="n">
        <x:v>3</x:v>
      </x:c>
      <x:c r="E401" s="1" t="n">
        <x:f>'Activities'!L367</x:f>
        <x:v>330</x:v>
      </x:c>
      <x:c r="F401" s="1" t="n">
        <x:f>'Activities'!K368</x:f>
        <x:v>333</x:v>
      </x:c>
      <x:c r="G401" s="1" t="n">
        <x:f>F401-E401-D401</x:f>
        <x:v>0</x:v>
      </x:c>
      <x:c r="H401" s="1" t="str">
        <x:v>Explicit working-day lag</x:v>
      </x:c>
    </x:row>
    <x:row r="402" ht="23" customHeight="1">
      <x:c r="A402" s="6" t="str">
        <x:v>T3-L05-P</x:v>
      </x:c>
      <x:c r="B402" s="6" t="str">
        <x:v>T3-L05-S</x:v>
      </x:c>
      <x:c r="C402" s="6" t="str">
        <x:v>FS</x:v>
      </x:c>
      <x:c r="D402" s="6" t="n">
        <x:v>2</x:v>
      </x:c>
      <x:c r="E402" s="6" t="n">
        <x:f>'Activities'!L368</x:f>
        <x:v>339</x:v>
      </x:c>
      <x:c r="F402" s="6" t="n">
        <x:f>'Activities'!K369</x:f>
        <x:v>341</x:v>
      </x:c>
      <x:c r="G402" s="6" t="n">
        <x:f>F402-E402-D402</x:f>
        <x:v>0</x:v>
      </x:c>
      <x:c r="H402" s="6" t="str">
        <x:v>Explicit working-day lag</x:v>
      </x:c>
    </x:row>
    <x:row r="403" ht="23" customHeight="1">
      <x:c r="A403" s="1" t="str">
        <x:v>T3-L05-S</x:v>
      </x:c>
      <x:c r="B403" s="1" t="str">
        <x:v>T3-L05-T</x:v>
      </x:c>
      <x:c r="C403" s="1" t="str">
        <x:v>FS</x:v>
      </x:c>
      <x:c r="D403" s="1" t="n">
        <x:v>14</x:v>
      </x:c>
      <x:c r="E403" s="1" t="n">
        <x:f>'Activities'!L369</x:f>
        <x:v>344</x:v>
      </x:c>
      <x:c r="F403" s="1" t="n">
        <x:f>'Activities'!K370</x:f>
        <x:v>425</x:v>
      </x:c>
      <x:c r="G403" s="1" t="n">
        <x:f>F403-E403-D403</x:f>
        <x:v>67</x:v>
      </x:c>
      <x:c r="H403" s="1" t="str">
        <x:v>Explicit working-day lag</x:v>
      </x:c>
    </x:row>
    <x:row r="404" ht="23" customHeight="1">
      <x:c r="A404" s="6" t="str">
        <x:v>T3-GL</x:v>
      </x:c>
      <x:c r="B404" s="6" t="str">
        <x:v>T3-L05-T</x:v>
      </x:c>
      <x:c r="C404" s="6" t="str">
        <x:v>FS</x:v>
      </x:c>
      <x:c r="D404" s="6" t="n">
        <x:v>0</x:v>
      </x:c>
      <x:c r="E404" s="6" t="n">
        <x:f>'Activities'!L336</x:f>
        <x:v>425</x:v>
      </x:c>
      <x:c r="F404" s="6" t="n">
        <x:f>'Activities'!K370</x:f>
        <x:v>425</x:v>
      </x:c>
      <x:c r="G404" s="6" t="n">
        <x:f>F404-E404-D404</x:f>
        <x:v>0</x:v>
      </x:c>
      <x:c r="H404" s="6" t="str">
        <x:v>Explicit working-day lag</x:v>
      </x:c>
    </x:row>
    <x:row r="405" ht="23" customHeight="1">
      <x:c r="A405" s="1" t="str">
        <x:v>T3-L05-T</x:v>
      </x:c>
      <x:c r="B405" s="1" t="str">
        <x:v>T3-L05-A</x:v>
      </x:c>
      <x:c r="C405" s="1" t="str">
        <x:v>FS</x:v>
      </x:c>
      <x:c r="D405" s="1" t="n">
        <x:v>2</x:v>
      </x:c>
      <x:c r="E405" s="1" t="n">
        <x:f>'Activities'!L370</x:f>
        <x:v>431</x:v>
      </x:c>
      <x:c r="F405" s="1" t="n">
        <x:f>'Activities'!K371</x:f>
        <x:v>433</x:v>
      </x:c>
      <x:c r="G405" s="1" t="n">
        <x:f>F405-E405-D405</x:f>
        <x:v>0</x:v>
      </x:c>
      <x:c r="H405" s="1" t="str">
        <x:v>Explicit working-day lag</x:v>
      </x:c>
    </x:row>
    <x:row r="406" ht="23" customHeight="1">
      <x:c r="A406" s="6" t="str">
        <x:v>T3-L05-A</x:v>
      </x:c>
      <x:c r="B406" s="6" t="str">
        <x:v>T3-L05-D</x:v>
      </x:c>
      <x:c r="C406" s="6" t="str">
        <x:v>FS</x:v>
      </x:c>
      <x:c r="D406" s="6" t="n">
        <x:v>0</x:v>
      </x:c>
      <x:c r="E406" s="6" t="n">
        <x:f>'Activities'!L371</x:f>
        <x:v>438</x:v>
      </x:c>
      <x:c r="F406" s="6" t="n">
        <x:f>'Activities'!K372</x:f>
        <x:v>438</x:v>
      </x:c>
      <x:c r="G406" s="6" t="n">
        <x:f>F406-E406-D406</x:f>
        <x:v>0</x:v>
      </x:c>
      <x:c r="H406" s="6" t="str">
        <x:v>Explicit working-day lag</x:v>
      </x:c>
    </x:row>
    <x:row r="407" ht="23" customHeight="1">
      <x:c r="A407" s="1" t="str">
        <x:v>T3-L09-H</x:v>
      </x:c>
      <x:c r="B407" s="1" t="str">
        <x:v>T3-L06-M</x:v>
      </x:c>
      <x:c r="C407" s="1" t="str">
        <x:v>FS</x:v>
      </x:c>
      <x:c r="D407" s="1" t="n">
        <x:v>5</x:v>
      </x:c>
      <x:c r="E407" s="1" t="n">
        <x:f>'Activities'!L321</x:f>
        <x:v>338</x:v>
      </x:c>
      <x:c r="F407" s="1" t="n">
        <x:f>'Activities'!K373</x:f>
        <x:v>343</x:v>
      </x:c>
      <x:c r="G407" s="1" t="n">
        <x:f>F407-E407-D407</x:f>
        <x:v>0</x:v>
      </x:c>
      <x:c r="H407" s="1" t="str">
        <x:v>Explicit working-day lag</x:v>
      </x:c>
    </x:row>
    <x:row r="408" ht="23" customHeight="1">
      <x:c r="A408" s="6" t="str">
        <x:v>T3-L06-M</x:v>
      </x:c>
      <x:c r="B408" s="6" t="str">
        <x:v>T3-L06-P</x:v>
      </x:c>
      <x:c r="C408" s="6" t="str">
        <x:v>FS</x:v>
      </x:c>
      <x:c r="D408" s="6" t="n">
        <x:v>3</x:v>
      </x:c>
      <x:c r="E408" s="6" t="n">
        <x:f>'Activities'!L373</x:f>
        <x:v>348</x:v>
      </x:c>
      <x:c r="F408" s="6" t="n">
        <x:f>'Activities'!K374</x:f>
        <x:v>351</x:v>
      </x:c>
      <x:c r="G408" s="6" t="n">
        <x:f>F408-E408-D408</x:f>
        <x:v>0</x:v>
      </x:c>
      <x:c r="H408" s="6" t="str">
        <x:v>Explicit working-day lag</x:v>
      </x:c>
    </x:row>
    <x:row r="409" ht="23" customHeight="1">
      <x:c r="A409" s="1" t="str">
        <x:v>T3-L06-P</x:v>
      </x:c>
      <x:c r="B409" s="1" t="str">
        <x:v>T3-L06-S</x:v>
      </x:c>
      <x:c r="C409" s="1" t="str">
        <x:v>FS</x:v>
      </x:c>
      <x:c r="D409" s="1" t="n">
        <x:v>2</x:v>
      </x:c>
      <x:c r="E409" s="1" t="n">
        <x:f>'Activities'!L374</x:f>
        <x:v>357</x:v>
      </x:c>
      <x:c r="F409" s="1" t="n">
        <x:f>'Activities'!K375</x:f>
        <x:v>359</x:v>
      </x:c>
      <x:c r="G409" s="1" t="n">
        <x:f>F409-E409-D409</x:f>
        <x:v>0</x:v>
      </x:c>
      <x:c r="H409" s="1" t="str">
        <x:v>Explicit working-day lag</x:v>
      </x:c>
    </x:row>
    <x:row r="410" ht="23" customHeight="1">
      <x:c r="A410" s="6" t="str">
        <x:v>T3-L06-S</x:v>
      </x:c>
      <x:c r="B410" s="6" t="str">
        <x:v>T3-L06-T</x:v>
      </x:c>
      <x:c r="C410" s="6" t="str">
        <x:v>FS</x:v>
      </x:c>
      <x:c r="D410" s="6" t="n">
        <x:v>14</x:v>
      </x:c>
      <x:c r="E410" s="6" t="n">
        <x:f>'Activities'!L375</x:f>
        <x:v>362</x:v>
      </x:c>
      <x:c r="F410" s="6" t="n">
        <x:f>'Activities'!K376</x:f>
        <x:v>425</x:v>
      </x:c>
      <x:c r="G410" s="6" t="n">
        <x:f>F410-E410-D410</x:f>
        <x:v>49</x:v>
      </x:c>
      <x:c r="H410" s="6" t="str">
        <x:v>Explicit working-day lag</x:v>
      </x:c>
    </x:row>
    <x:row r="411" ht="23" customHeight="1">
      <x:c r="A411" s="1" t="str">
        <x:v>T3-GL</x:v>
      </x:c>
      <x:c r="B411" s="1" t="str">
        <x:v>T3-L06-T</x:v>
      </x:c>
      <x:c r="C411" s="1" t="str">
        <x:v>FS</x:v>
      </x:c>
      <x:c r="D411" s="1" t="n">
        <x:v>0</x:v>
      </x:c>
      <x:c r="E411" s="1" t="n">
        <x:f>'Activities'!L336</x:f>
        <x:v>425</x:v>
      </x:c>
      <x:c r="F411" s="1" t="n">
        <x:f>'Activities'!K376</x:f>
        <x:v>425</x:v>
      </x:c>
      <x:c r="G411" s="1" t="n">
        <x:f>F411-E411-D411</x:f>
        <x:v>0</x:v>
      </x:c>
      <x:c r="H411" s="1" t="str">
        <x:v>Explicit working-day lag</x:v>
      </x:c>
    </x:row>
    <x:row r="412" ht="23" customHeight="1">
      <x:c r="A412" s="6" t="str">
        <x:v>T3-L06-T</x:v>
      </x:c>
      <x:c r="B412" s="6" t="str">
        <x:v>T3-L06-A</x:v>
      </x:c>
      <x:c r="C412" s="6" t="str">
        <x:v>FS</x:v>
      </x:c>
      <x:c r="D412" s="6" t="n">
        <x:v>2</x:v>
      </x:c>
      <x:c r="E412" s="6" t="n">
        <x:f>'Activities'!L376</x:f>
        <x:v>431</x:v>
      </x:c>
      <x:c r="F412" s="6" t="n">
        <x:f>'Activities'!K377</x:f>
        <x:v>433</x:v>
      </x:c>
      <x:c r="G412" s="6" t="n">
        <x:f>F412-E412-D412</x:f>
        <x:v>0</x:v>
      </x:c>
      <x:c r="H412" s="6" t="str">
        <x:v>Explicit working-day lag</x:v>
      </x:c>
    </x:row>
    <x:row r="413" ht="23" customHeight="1">
      <x:c r="A413" s="1" t="str">
        <x:v>T3-L06-A</x:v>
      </x:c>
      <x:c r="B413" s="1" t="str">
        <x:v>T3-L06-D</x:v>
      </x:c>
      <x:c r="C413" s="1" t="str">
        <x:v>FS</x:v>
      </x:c>
      <x:c r="D413" s="1" t="n">
        <x:v>0</x:v>
      </x:c>
      <x:c r="E413" s="1" t="n">
        <x:f>'Activities'!L377</x:f>
        <x:v>438</x:v>
      </x:c>
      <x:c r="F413" s="1" t="n">
        <x:f>'Activities'!K378</x:f>
        <x:v>438</x:v>
      </x:c>
      <x:c r="G413" s="1" t="n">
        <x:f>F413-E413-D413</x:f>
        <x:v>0</x:v>
      </x:c>
      <x:c r="H413" s="1" t="str">
        <x:v>Explicit working-day lag</x:v>
      </x:c>
    </x:row>
    <x:row r="414" ht="23" customHeight="1">
      <x:c r="A414" s="6" t="str">
        <x:v>T3-L10-H</x:v>
      </x:c>
      <x:c r="B414" s="6" t="str">
        <x:v>T3-L07-M</x:v>
      </x:c>
      <x:c r="C414" s="6" t="str">
        <x:v>FS</x:v>
      </x:c>
      <x:c r="D414" s="6" t="n">
        <x:v>5</x:v>
      </x:c>
      <x:c r="E414" s="6" t="n">
        <x:f>'Activities'!L325</x:f>
        <x:v>356</x:v>
      </x:c>
      <x:c r="F414" s="6" t="n">
        <x:f>'Activities'!K379</x:f>
        <x:v>361</x:v>
      </x:c>
      <x:c r="G414" s="6" t="n">
        <x:f>F414-E414-D414</x:f>
        <x:v>0</x:v>
      </x:c>
      <x:c r="H414" s="6" t="str">
        <x:v>Explicit working-day lag</x:v>
      </x:c>
    </x:row>
    <x:row r="415" ht="23" customHeight="1">
      <x:c r="A415" s="1" t="str">
        <x:v>T3-L07-M</x:v>
      </x:c>
      <x:c r="B415" s="1" t="str">
        <x:v>T3-L07-P</x:v>
      </x:c>
      <x:c r="C415" s="1" t="str">
        <x:v>FS</x:v>
      </x:c>
      <x:c r="D415" s="1" t="n">
        <x:v>3</x:v>
      </x:c>
      <x:c r="E415" s="1" t="n">
        <x:f>'Activities'!L379</x:f>
        <x:v>366</x:v>
      </x:c>
      <x:c r="F415" s="1" t="n">
        <x:f>'Activities'!K380</x:f>
        <x:v>369</x:v>
      </x:c>
      <x:c r="G415" s="1" t="n">
        <x:f>F415-E415-D415</x:f>
        <x:v>0</x:v>
      </x:c>
      <x:c r="H415" s="1" t="str">
        <x:v>Explicit working-day lag</x:v>
      </x:c>
    </x:row>
    <x:row r="416" ht="23" customHeight="1">
      <x:c r="A416" s="6" t="str">
        <x:v>T3-L07-P</x:v>
      </x:c>
      <x:c r="B416" s="6" t="str">
        <x:v>T3-L07-S</x:v>
      </x:c>
      <x:c r="C416" s="6" t="str">
        <x:v>FS</x:v>
      </x:c>
      <x:c r="D416" s="6" t="n">
        <x:v>2</x:v>
      </x:c>
      <x:c r="E416" s="6" t="n">
        <x:f>'Activities'!L380</x:f>
        <x:v>375</x:v>
      </x:c>
      <x:c r="F416" s="6" t="n">
        <x:f>'Activities'!K381</x:f>
        <x:v>377</x:v>
      </x:c>
      <x:c r="G416" s="6" t="n">
        <x:f>F416-E416-D416</x:f>
        <x:v>0</x:v>
      </x:c>
      <x:c r="H416" s="6" t="str">
        <x:v>Explicit working-day lag</x:v>
      </x:c>
    </x:row>
    <x:row r="417" ht="23" customHeight="1">
      <x:c r="A417" s="1" t="str">
        <x:v>T3-L07-S</x:v>
      </x:c>
      <x:c r="B417" s="1" t="str">
        <x:v>T3-L07-T</x:v>
      </x:c>
      <x:c r="C417" s="1" t="str">
        <x:v>FS</x:v>
      </x:c>
      <x:c r="D417" s="1" t="n">
        <x:v>14</x:v>
      </x:c>
      <x:c r="E417" s="1" t="n">
        <x:f>'Activities'!L381</x:f>
        <x:v>380</x:v>
      </x:c>
      <x:c r="F417" s="1" t="n">
        <x:f>'Activities'!K382</x:f>
        <x:v>425</x:v>
      </x:c>
      <x:c r="G417" s="1" t="n">
        <x:f>F417-E417-D417</x:f>
        <x:v>31</x:v>
      </x:c>
      <x:c r="H417" s="1" t="str">
        <x:v>Explicit working-day lag</x:v>
      </x:c>
    </x:row>
    <x:row r="418" ht="23" customHeight="1">
      <x:c r="A418" s="6" t="str">
        <x:v>T3-GL</x:v>
      </x:c>
      <x:c r="B418" s="6" t="str">
        <x:v>T3-L07-T</x:v>
      </x:c>
      <x:c r="C418" s="6" t="str">
        <x:v>FS</x:v>
      </x:c>
      <x:c r="D418" s="6" t="n">
        <x:v>0</x:v>
      </x:c>
      <x:c r="E418" s="6" t="n">
        <x:f>'Activities'!L336</x:f>
        <x:v>425</x:v>
      </x:c>
      <x:c r="F418" s="6" t="n">
        <x:f>'Activities'!K382</x:f>
        <x:v>425</x:v>
      </x:c>
      <x:c r="G418" s="6" t="n">
        <x:f>F418-E418-D418</x:f>
        <x:v>0</x:v>
      </x:c>
      <x:c r="H418" s="6" t="str">
        <x:v>Explicit working-day lag</x:v>
      </x:c>
    </x:row>
    <x:row r="419" ht="23" customHeight="1">
      <x:c r="A419" s="1" t="str">
        <x:v>T3-L07-T</x:v>
      </x:c>
      <x:c r="B419" s="1" t="str">
        <x:v>T3-L07-A</x:v>
      </x:c>
      <x:c r="C419" s="1" t="str">
        <x:v>FS</x:v>
      </x:c>
      <x:c r="D419" s="1" t="n">
        <x:v>2</x:v>
      </x:c>
      <x:c r="E419" s="1" t="n">
        <x:f>'Activities'!L382</x:f>
        <x:v>431</x:v>
      </x:c>
      <x:c r="F419" s="1" t="n">
        <x:f>'Activities'!K383</x:f>
        <x:v>433</x:v>
      </x:c>
      <x:c r="G419" s="1" t="n">
        <x:f>F419-E419-D419</x:f>
        <x:v>0</x:v>
      </x:c>
      <x:c r="H419" s="1" t="str">
        <x:v>Explicit working-day lag</x:v>
      </x:c>
    </x:row>
    <x:row r="420" ht="23" customHeight="1">
      <x:c r="A420" s="6" t="str">
        <x:v>T3-L07-A</x:v>
      </x:c>
      <x:c r="B420" s="6" t="str">
        <x:v>T3-L07-D</x:v>
      </x:c>
      <x:c r="C420" s="6" t="str">
        <x:v>FS</x:v>
      </x:c>
      <x:c r="D420" s="6" t="n">
        <x:v>0</x:v>
      </x:c>
      <x:c r="E420" s="6" t="n">
        <x:f>'Activities'!L383</x:f>
        <x:v>438</x:v>
      </x:c>
      <x:c r="F420" s="6" t="n">
        <x:f>'Activities'!K384</x:f>
        <x:v>438</x:v>
      </x:c>
      <x:c r="G420" s="6" t="n">
        <x:f>F420-E420-D420</x:f>
        <x:v>0</x:v>
      </x:c>
      <x:c r="H420" s="6" t="str">
        <x:v>Explicit working-day lag</x:v>
      </x:c>
    </x:row>
    <x:row r="421" ht="23" customHeight="1">
      <x:c r="A421" s="1" t="str">
        <x:v>T3-L11-H</x:v>
      </x:c>
      <x:c r="B421" s="1" t="str">
        <x:v>T3-L08-M</x:v>
      </x:c>
      <x:c r="C421" s="1" t="str">
        <x:v>FS</x:v>
      </x:c>
      <x:c r="D421" s="1" t="n">
        <x:v>5</x:v>
      </x:c>
      <x:c r="E421" s="1" t="n">
        <x:f>'Activities'!L329</x:f>
        <x:v>374</x:v>
      </x:c>
      <x:c r="F421" s="1" t="n">
        <x:f>'Activities'!K385</x:f>
        <x:v>379</x:v>
      </x:c>
      <x:c r="G421" s="1" t="n">
        <x:f>F421-E421-D421</x:f>
        <x:v>0</x:v>
      </x:c>
      <x:c r="H421" s="1" t="str">
        <x:v>Explicit working-day lag</x:v>
      </x:c>
    </x:row>
    <x:row r="422" ht="23" customHeight="1">
      <x:c r="A422" s="6" t="str">
        <x:v>T3-L08-M</x:v>
      </x:c>
      <x:c r="B422" s="6" t="str">
        <x:v>T3-L08-P</x:v>
      </x:c>
      <x:c r="C422" s="6" t="str">
        <x:v>FS</x:v>
      </x:c>
      <x:c r="D422" s="6" t="n">
        <x:v>3</x:v>
      </x:c>
      <x:c r="E422" s="6" t="n">
        <x:f>'Activities'!L385</x:f>
        <x:v>384</x:v>
      </x:c>
      <x:c r="F422" s="6" t="n">
        <x:f>'Activities'!K386</x:f>
        <x:v>387</x:v>
      </x:c>
      <x:c r="G422" s="6" t="n">
        <x:f>F422-E422-D422</x:f>
        <x:v>0</x:v>
      </x:c>
      <x:c r="H422" s="6" t="str">
        <x:v>Explicit working-day lag</x:v>
      </x:c>
    </x:row>
    <x:row r="423" ht="23" customHeight="1">
      <x:c r="A423" s="1" t="str">
        <x:v>T3-L08-P</x:v>
      </x:c>
      <x:c r="B423" s="1" t="str">
        <x:v>T3-L08-S</x:v>
      </x:c>
      <x:c r="C423" s="1" t="str">
        <x:v>FS</x:v>
      </x:c>
      <x:c r="D423" s="1" t="n">
        <x:v>2</x:v>
      </x:c>
      <x:c r="E423" s="1" t="n">
        <x:f>'Activities'!L386</x:f>
        <x:v>393</x:v>
      </x:c>
      <x:c r="F423" s="1" t="n">
        <x:f>'Activities'!K387</x:f>
        <x:v>395</x:v>
      </x:c>
      <x:c r="G423" s="1" t="n">
        <x:f>F423-E423-D423</x:f>
        <x:v>0</x:v>
      </x:c>
      <x:c r="H423" s="1" t="str">
        <x:v>Explicit working-day lag</x:v>
      </x:c>
    </x:row>
    <x:row r="424" ht="23" customHeight="1">
      <x:c r="A424" s="6" t="str">
        <x:v>T3-L08-S</x:v>
      </x:c>
      <x:c r="B424" s="6" t="str">
        <x:v>T3-L08-T</x:v>
      </x:c>
      <x:c r="C424" s="6" t="str">
        <x:v>FS</x:v>
      </x:c>
      <x:c r="D424" s="6" t="n">
        <x:v>14</x:v>
      </x:c>
      <x:c r="E424" s="6" t="n">
        <x:f>'Activities'!L387</x:f>
        <x:v>398</x:v>
      </x:c>
      <x:c r="F424" s="6" t="n">
        <x:f>'Activities'!K388</x:f>
        <x:v>425</x:v>
      </x:c>
      <x:c r="G424" s="6" t="n">
        <x:f>F424-E424-D424</x:f>
        <x:v>13</x:v>
      </x:c>
      <x:c r="H424" s="6" t="str">
        <x:v>Explicit working-day lag</x:v>
      </x:c>
    </x:row>
    <x:row r="425" ht="23" customHeight="1">
      <x:c r="A425" s="1" t="str">
        <x:v>T3-GL</x:v>
      </x:c>
      <x:c r="B425" s="1" t="str">
        <x:v>T3-L08-T</x:v>
      </x:c>
      <x:c r="C425" s="1" t="str">
        <x:v>FS</x:v>
      </x:c>
      <x:c r="D425" s="1" t="n">
        <x:v>0</x:v>
      </x:c>
      <x:c r="E425" s="1" t="n">
        <x:f>'Activities'!L336</x:f>
        <x:v>425</x:v>
      </x:c>
      <x:c r="F425" s="1" t="n">
        <x:f>'Activities'!K388</x:f>
        <x:v>425</x:v>
      </x:c>
      <x:c r="G425" s="1" t="n">
        <x:f>F425-E425-D425</x:f>
        <x:v>0</x:v>
      </x:c>
      <x:c r="H425" s="1" t="str">
        <x:v>Explicit working-day lag</x:v>
      </x:c>
    </x:row>
    <x:row r="426" ht="23" customHeight="1">
      <x:c r="A426" s="6" t="str">
        <x:v>T3-L08-T</x:v>
      </x:c>
      <x:c r="B426" s="6" t="str">
        <x:v>T3-L08-A</x:v>
      </x:c>
      <x:c r="C426" s="6" t="str">
        <x:v>FS</x:v>
      </x:c>
      <x:c r="D426" s="6" t="n">
        <x:v>2</x:v>
      </x:c>
      <x:c r="E426" s="6" t="n">
        <x:f>'Activities'!L388</x:f>
        <x:v>431</x:v>
      </x:c>
      <x:c r="F426" s="6" t="n">
        <x:f>'Activities'!K389</x:f>
        <x:v>433</x:v>
      </x:c>
      <x:c r="G426" s="6" t="n">
        <x:f>F426-E426-D426</x:f>
        <x:v>0</x:v>
      </x:c>
      <x:c r="H426" s="6" t="str">
        <x:v>Explicit working-day lag</x:v>
      </x:c>
    </x:row>
    <x:row r="427" ht="23" customHeight="1">
      <x:c r="A427" s="1" t="str">
        <x:v>T3-L08-A</x:v>
      </x:c>
      <x:c r="B427" s="1" t="str">
        <x:v>T3-L08-D</x:v>
      </x:c>
      <x:c r="C427" s="1" t="str">
        <x:v>FS</x:v>
      </x:c>
      <x:c r="D427" s="1" t="n">
        <x:v>0</x:v>
      </x:c>
      <x:c r="E427" s="1" t="n">
        <x:f>'Activities'!L389</x:f>
        <x:v>438</x:v>
      </x:c>
      <x:c r="F427" s="1" t="n">
        <x:f>'Activities'!K390</x:f>
        <x:v>438</x:v>
      </x:c>
      <x:c r="G427" s="1" t="n">
        <x:f>F427-E427-D427</x:f>
        <x:v>0</x:v>
      </x:c>
      <x:c r="H427" s="1" t="str">
        <x:v>Explicit working-day lag</x:v>
      </x:c>
    </x:row>
    <x:row r="428" ht="23" customHeight="1">
      <x:c r="A428" s="6" t="str">
        <x:v>T3-L12-H</x:v>
      </x:c>
      <x:c r="B428" s="6" t="str">
        <x:v>T3-L09-M</x:v>
      </x:c>
      <x:c r="C428" s="6" t="str">
        <x:v>FS</x:v>
      </x:c>
      <x:c r="D428" s="6" t="n">
        <x:v>5</x:v>
      </x:c>
      <x:c r="E428" s="6" t="n">
        <x:f>'Activities'!L333</x:f>
        <x:v>392</x:v>
      </x:c>
      <x:c r="F428" s="6" t="n">
        <x:f>'Activities'!K391</x:f>
        <x:v>397</x:v>
      </x:c>
      <x:c r="G428" s="6" t="n">
        <x:f>F428-E428-D428</x:f>
        <x:v>0</x:v>
      </x:c>
      <x:c r="H428" s="6" t="str">
        <x:v>Explicit working-day lag</x:v>
      </x:c>
    </x:row>
    <x:row r="429" ht="23" customHeight="1">
      <x:c r="A429" s="1" t="str">
        <x:v>T3-L09-M</x:v>
      </x:c>
      <x:c r="B429" s="1" t="str">
        <x:v>T3-L09-P</x:v>
      </x:c>
      <x:c r="C429" s="1" t="str">
        <x:v>FS</x:v>
      </x:c>
      <x:c r="D429" s="1" t="n">
        <x:v>3</x:v>
      </x:c>
      <x:c r="E429" s="1" t="n">
        <x:f>'Activities'!L391</x:f>
        <x:v>402</x:v>
      </x:c>
      <x:c r="F429" s="1" t="n">
        <x:f>'Activities'!K392</x:f>
        <x:v>405</x:v>
      </x:c>
      <x:c r="G429" s="1" t="n">
        <x:f>F429-E429-D429</x:f>
        <x:v>0</x:v>
      </x:c>
      <x:c r="H429" s="1" t="str">
        <x:v>Explicit working-day lag</x:v>
      </x:c>
    </x:row>
    <x:row r="430" ht="23" customHeight="1">
      <x:c r="A430" s="6" t="str">
        <x:v>T3-L09-P</x:v>
      </x:c>
      <x:c r="B430" s="6" t="str">
        <x:v>T3-L09-S</x:v>
      </x:c>
      <x:c r="C430" s="6" t="str">
        <x:v>FS</x:v>
      </x:c>
      <x:c r="D430" s="6" t="n">
        <x:v>2</x:v>
      </x:c>
      <x:c r="E430" s="6" t="n">
        <x:f>'Activities'!L392</x:f>
        <x:v>411</x:v>
      </x:c>
      <x:c r="F430" s="6" t="n">
        <x:f>'Activities'!K393</x:f>
        <x:v>413</x:v>
      </x:c>
      <x:c r="G430" s="6" t="n">
        <x:f>F430-E430-D430</x:f>
        <x:v>0</x:v>
      </x:c>
      <x:c r="H430" s="6" t="str">
        <x:v>Explicit working-day lag</x:v>
      </x:c>
    </x:row>
    <x:row r="431" ht="23" customHeight="1">
      <x:c r="A431" s="1" t="str">
        <x:v>T3-L09-S</x:v>
      </x:c>
      <x:c r="B431" s="1" t="str">
        <x:v>T3-L09-T</x:v>
      </x:c>
      <x:c r="C431" s="1" t="str">
        <x:v>FS</x:v>
      </x:c>
      <x:c r="D431" s="1" t="n">
        <x:v>14</x:v>
      </x:c>
      <x:c r="E431" s="1" t="n">
        <x:f>'Activities'!L393</x:f>
        <x:v>416</x:v>
      </x:c>
      <x:c r="F431" s="1" t="n">
        <x:f>'Activities'!K394</x:f>
        <x:v>430</x:v>
      </x:c>
      <x:c r="G431" s="1" t="n">
        <x:f>F431-E431-D431</x:f>
        <x:v>0</x:v>
      </x:c>
      <x:c r="H431" s="1" t="str">
        <x:v>Explicit working-day lag</x:v>
      </x:c>
    </x:row>
    <x:row r="432" ht="23" customHeight="1">
      <x:c r="A432" s="6" t="str">
        <x:v>T3-GL</x:v>
      </x:c>
      <x:c r="B432" s="6" t="str">
        <x:v>T3-L09-T</x:v>
      </x:c>
      <x:c r="C432" s="6" t="str">
        <x:v>FS</x:v>
      </x:c>
      <x:c r="D432" s="6" t="n">
        <x:v>0</x:v>
      </x:c>
      <x:c r="E432" s="6" t="n">
        <x:f>'Activities'!L336</x:f>
        <x:v>425</x:v>
      </x:c>
      <x:c r="F432" s="6" t="n">
        <x:f>'Activities'!K394</x:f>
        <x:v>430</x:v>
      </x:c>
      <x:c r="G432" s="6" t="n">
        <x:f>F432-E432-D432</x:f>
        <x:v>5</x:v>
      </x:c>
      <x:c r="H432" s="6" t="str">
        <x:v>Explicit working-day lag</x:v>
      </x:c>
    </x:row>
    <x:row r="433" ht="23" customHeight="1">
      <x:c r="A433" s="1" t="str">
        <x:v>T3-L09-T</x:v>
      </x:c>
      <x:c r="B433" s="1" t="str">
        <x:v>T3-L09-A</x:v>
      </x:c>
      <x:c r="C433" s="1" t="str">
        <x:v>FS</x:v>
      </x:c>
      <x:c r="D433" s="1" t="n">
        <x:v>2</x:v>
      </x:c>
      <x:c r="E433" s="1" t="n">
        <x:f>'Activities'!L394</x:f>
        <x:v>436</x:v>
      </x:c>
      <x:c r="F433" s="1" t="n">
        <x:f>'Activities'!K395</x:f>
        <x:v>438</x:v>
      </x:c>
      <x:c r="G433" s="1" t="n">
        <x:f>F433-E433-D433</x:f>
        <x:v>0</x:v>
      </x:c>
      <x:c r="H433" s="1" t="str">
        <x:v>Explicit working-day lag</x:v>
      </x:c>
    </x:row>
    <x:row r="434" ht="23" customHeight="1">
      <x:c r="A434" s="6" t="str">
        <x:v>T3-L09-A</x:v>
      </x:c>
      <x:c r="B434" s="6" t="str">
        <x:v>T3-L09-D</x:v>
      </x:c>
      <x:c r="C434" s="6" t="str">
        <x:v>FS</x:v>
      </x:c>
      <x:c r="D434" s="6" t="n">
        <x:v>0</x:v>
      </x:c>
      <x:c r="E434" s="6" t="n">
        <x:f>'Activities'!L395</x:f>
        <x:v>443</x:v>
      </x:c>
      <x:c r="F434" s="6" t="n">
        <x:f>'Activities'!K396</x:f>
        <x:v>443</x:v>
      </x:c>
      <x:c r="G434" s="6" t="n">
        <x:f>F434-E434-D434</x:f>
        <x:v>0</x:v>
      </x:c>
      <x:c r="H434" s="6" t="str">
        <x:v>Explicit working-day lag</x:v>
      </x:c>
    </x:row>
    <x:row r="435" ht="23" customHeight="1">
      <x:c r="A435" s="1" t="str">
        <x:v>T3-L12-H</x:v>
      </x:c>
      <x:c r="B435" s="1" t="str">
        <x:v>T3-L10-M</x:v>
      </x:c>
      <x:c r="C435" s="1" t="str">
        <x:v>FS</x:v>
      </x:c>
      <x:c r="D435" s="1" t="n">
        <x:v>5</x:v>
      </x:c>
      <x:c r="E435" s="1" t="n">
        <x:f>'Activities'!L333</x:f>
        <x:v>392</x:v>
      </x:c>
      <x:c r="F435" s="1" t="n">
        <x:f>'Activities'!K397</x:f>
        <x:v>397</x:v>
      </x:c>
      <x:c r="G435" s="1" t="n">
        <x:f>F435-E435-D435</x:f>
        <x:v>0</x:v>
      </x:c>
      <x:c r="H435" s="1" t="str">
        <x:v>Explicit working-day lag</x:v>
      </x:c>
    </x:row>
    <x:row r="436" ht="23" customHeight="1">
      <x:c r="A436" s="6" t="str">
        <x:v>T3-L10-M</x:v>
      </x:c>
      <x:c r="B436" s="6" t="str">
        <x:v>T3-L10-P</x:v>
      </x:c>
      <x:c r="C436" s="6" t="str">
        <x:v>FS</x:v>
      </x:c>
      <x:c r="D436" s="6" t="n">
        <x:v>3</x:v>
      </x:c>
      <x:c r="E436" s="6" t="n">
        <x:f>'Activities'!L397</x:f>
        <x:v>402</x:v>
      </x:c>
      <x:c r="F436" s="6" t="n">
        <x:f>'Activities'!K398</x:f>
        <x:v>405</x:v>
      </x:c>
      <x:c r="G436" s="6" t="n">
        <x:f>F436-E436-D436</x:f>
        <x:v>0</x:v>
      </x:c>
      <x:c r="H436" s="6" t="str">
        <x:v>Explicit working-day lag</x:v>
      </x:c>
    </x:row>
    <x:row r="437" ht="23" customHeight="1">
      <x:c r="A437" s="1" t="str">
        <x:v>T3-L10-P</x:v>
      </x:c>
      <x:c r="B437" s="1" t="str">
        <x:v>T3-L10-S</x:v>
      </x:c>
      <x:c r="C437" s="1" t="str">
        <x:v>FS</x:v>
      </x:c>
      <x:c r="D437" s="1" t="n">
        <x:v>2</x:v>
      </x:c>
      <x:c r="E437" s="1" t="n">
        <x:f>'Activities'!L398</x:f>
        <x:v>411</x:v>
      </x:c>
      <x:c r="F437" s="1" t="n">
        <x:f>'Activities'!K399</x:f>
        <x:v>413</x:v>
      </x:c>
      <x:c r="G437" s="1" t="n">
        <x:f>F437-E437-D437</x:f>
        <x:v>0</x:v>
      </x:c>
      <x:c r="H437" s="1" t="str">
        <x:v>Explicit working-day lag</x:v>
      </x:c>
    </x:row>
    <x:row r="438" ht="23" customHeight="1">
      <x:c r="A438" s="6" t="str">
        <x:v>T3-L10-S</x:v>
      </x:c>
      <x:c r="B438" s="6" t="str">
        <x:v>T3-L10-T</x:v>
      </x:c>
      <x:c r="C438" s="6" t="str">
        <x:v>FS</x:v>
      </x:c>
      <x:c r="D438" s="6" t="n">
        <x:v>14</x:v>
      </x:c>
      <x:c r="E438" s="6" t="n">
        <x:f>'Activities'!L399</x:f>
        <x:v>416</x:v>
      </x:c>
      <x:c r="F438" s="6" t="n">
        <x:f>'Activities'!K400</x:f>
        <x:v>430</x:v>
      </x:c>
      <x:c r="G438" s="6" t="n">
        <x:f>F438-E438-D438</x:f>
        <x:v>0</x:v>
      </x:c>
      <x:c r="H438" s="6" t="str">
        <x:v>Explicit working-day lag</x:v>
      </x:c>
    </x:row>
    <x:row r="439" ht="23" customHeight="1">
      <x:c r="A439" s="1" t="str">
        <x:v>T3-GL</x:v>
      </x:c>
      <x:c r="B439" s="1" t="str">
        <x:v>T3-L10-T</x:v>
      </x:c>
      <x:c r="C439" s="1" t="str">
        <x:v>FS</x:v>
      </x:c>
      <x:c r="D439" s="1" t="n">
        <x:v>0</x:v>
      </x:c>
      <x:c r="E439" s="1" t="n">
        <x:f>'Activities'!L336</x:f>
        <x:v>425</x:v>
      </x:c>
      <x:c r="F439" s="1" t="n">
        <x:f>'Activities'!K400</x:f>
        <x:v>430</x:v>
      </x:c>
      <x:c r="G439" s="1" t="n">
        <x:f>F439-E439-D439</x:f>
        <x:v>5</x:v>
      </x:c>
      <x:c r="H439" s="1" t="str">
        <x:v>Explicit working-day lag</x:v>
      </x:c>
    </x:row>
    <x:row r="440" ht="23" customHeight="1">
      <x:c r="A440" s="6" t="str">
        <x:v>T3-L10-T</x:v>
      </x:c>
      <x:c r="B440" s="6" t="str">
        <x:v>T3-L10-A</x:v>
      </x:c>
      <x:c r="C440" s="6" t="str">
        <x:v>FS</x:v>
      </x:c>
      <x:c r="D440" s="6" t="n">
        <x:v>2</x:v>
      </x:c>
      <x:c r="E440" s="6" t="n">
        <x:f>'Activities'!L400</x:f>
        <x:v>436</x:v>
      </x:c>
      <x:c r="F440" s="6" t="n">
        <x:f>'Activities'!K401</x:f>
        <x:v>438</x:v>
      </x:c>
      <x:c r="G440" s="6" t="n">
        <x:f>F440-E440-D440</x:f>
        <x:v>0</x:v>
      </x:c>
      <x:c r="H440" s="6" t="str">
        <x:v>Explicit working-day lag</x:v>
      </x:c>
    </x:row>
    <x:row r="441" ht="23" customHeight="1">
      <x:c r="A441" s="1" t="str">
        <x:v>T3-L10-A</x:v>
      </x:c>
      <x:c r="B441" s="1" t="str">
        <x:v>T3-L10-D</x:v>
      </x:c>
      <x:c r="C441" s="1" t="str">
        <x:v>FS</x:v>
      </x:c>
      <x:c r="D441" s="1" t="n">
        <x:v>0</x:v>
      </x:c>
      <x:c r="E441" s="1" t="n">
        <x:f>'Activities'!L401</x:f>
        <x:v>443</x:v>
      </x:c>
      <x:c r="F441" s="1" t="n">
        <x:f>'Activities'!K402</x:f>
        <x:v>443</x:v>
      </x:c>
      <x:c r="G441" s="1" t="n">
        <x:f>F441-E441-D441</x:f>
        <x:v>0</x:v>
      </x:c>
      <x:c r="H441" s="1" t="str">
        <x:v>Explicit working-day lag</x:v>
      </x:c>
    </x:row>
    <x:row r="442" ht="23" customHeight="1">
      <x:c r="A442" s="6" t="str">
        <x:v>T3-L12-H</x:v>
      </x:c>
      <x:c r="B442" s="6" t="str">
        <x:v>T3-L11-M</x:v>
      </x:c>
      <x:c r="C442" s="6" t="str">
        <x:v>FS</x:v>
      </x:c>
      <x:c r="D442" s="6" t="n">
        <x:v>5</x:v>
      </x:c>
      <x:c r="E442" s="6" t="n">
        <x:f>'Activities'!L333</x:f>
        <x:v>392</x:v>
      </x:c>
      <x:c r="F442" s="6" t="n">
        <x:f>'Activities'!K403</x:f>
        <x:v>397</x:v>
      </x:c>
      <x:c r="G442" s="6" t="n">
        <x:f>F442-E442-D442</x:f>
        <x:v>0</x:v>
      </x:c>
      <x:c r="H442" s="6" t="str">
        <x:v>Explicit working-day lag</x:v>
      </x:c>
    </x:row>
    <x:row r="443" ht="23" customHeight="1">
      <x:c r="A443" s="1" t="str">
        <x:v>T3-L11-M</x:v>
      </x:c>
      <x:c r="B443" s="1" t="str">
        <x:v>T3-L11-P</x:v>
      </x:c>
      <x:c r="C443" s="1" t="str">
        <x:v>FS</x:v>
      </x:c>
      <x:c r="D443" s="1" t="n">
        <x:v>3</x:v>
      </x:c>
      <x:c r="E443" s="1" t="n">
        <x:f>'Activities'!L403</x:f>
        <x:v>402</x:v>
      </x:c>
      <x:c r="F443" s="1" t="n">
        <x:f>'Activities'!K404</x:f>
        <x:v>405</x:v>
      </x:c>
      <x:c r="G443" s="1" t="n">
        <x:f>F443-E443-D443</x:f>
        <x:v>0</x:v>
      </x:c>
      <x:c r="H443" s="1" t="str">
        <x:v>Explicit working-day lag</x:v>
      </x:c>
    </x:row>
    <x:row r="444" ht="23" customHeight="1">
      <x:c r="A444" s="6" t="str">
        <x:v>T3-L11-P</x:v>
      </x:c>
      <x:c r="B444" s="6" t="str">
        <x:v>T3-L11-S</x:v>
      </x:c>
      <x:c r="C444" s="6" t="str">
        <x:v>FS</x:v>
      </x:c>
      <x:c r="D444" s="6" t="n">
        <x:v>2</x:v>
      </x:c>
      <x:c r="E444" s="6" t="n">
        <x:f>'Activities'!L404</x:f>
        <x:v>411</x:v>
      </x:c>
      <x:c r="F444" s="6" t="n">
        <x:f>'Activities'!K405</x:f>
        <x:v>413</x:v>
      </x:c>
      <x:c r="G444" s="6" t="n">
        <x:f>F444-E444-D444</x:f>
        <x:v>0</x:v>
      </x:c>
      <x:c r="H444" s="6" t="str">
        <x:v>Explicit working-day lag</x:v>
      </x:c>
    </x:row>
    <x:row r="445" ht="23" customHeight="1">
      <x:c r="A445" s="1" t="str">
        <x:v>T3-L11-S</x:v>
      </x:c>
      <x:c r="B445" s="1" t="str">
        <x:v>T3-L11-T</x:v>
      </x:c>
      <x:c r="C445" s="1" t="str">
        <x:v>FS</x:v>
      </x:c>
      <x:c r="D445" s="1" t="n">
        <x:v>14</x:v>
      </x:c>
      <x:c r="E445" s="1" t="n">
        <x:f>'Activities'!L405</x:f>
        <x:v>416</x:v>
      </x:c>
      <x:c r="F445" s="1" t="n">
        <x:f>'Activities'!K406</x:f>
        <x:v>430</x:v>
      </x:c>
      <x:c r="G445" s="1" t="n">
        <x:f>F445-E445-D445</x:f>
        <x:v>0</x:v>
      </x:c>
      <x:c r="H445" s="1" t="str">
        <x:v>Explicit working-day lag</x:v>
      </x:c>
    </x:row>
    <x:row r="446" ht="23" customHeight="1">
      <x:c r="A446" s="6" t="str">
        <x:v>T3-GL</x:v>
      </x:c>
      <x:c r="B446" s="6" t="str">
        <x:v>T3-L11-T</x:v>
      </x:c>
      <x:c r="C446" s="6" t="str">
        <x:v>FS</x:v>
      </x:c>
      <x:c r="D446" s="6" t="n">
        <x:v>0</x:v>
      </x:c>
      <x:c r="E446" s="6" t="n">
        <x:f>'Activities'!L336</x:f>
        <x:v>425</x:v>
      </x:c>
      <x:c r="F446" s="6" t="n">
        <x:f>'Activities'!K406</x:f>
        <x:v>430</x:v>
      </x:c>
      <x:c r="G446" s="6" t="n">
        <x:f>F446-E446-D446</x:f>
        <x:v>5</x:v>
      </x:c>
      <x:c r="H446" s="6" t="str">
        <x:v>Explicit working-day lag</x:v>
      </x:c>
    </x:row>
    <x:row r="447" ht="23" customHeight="1">
      <x:c r="A447" s="1" t="str">
        <x:v>T3-L11-T</x:v>
      </x:c>
      <x:c r="B447" s="1" t="str">
        <x:v>T3-L11-A</x:v>
      </x:c>
      <x:c r="C447" s="1" t="str">
        <x:v>FS</x:v>
      </x:c>
      <x:c r="D447" s="1" t="n">
        <x:v>2</x:v>
      </x:c>
      <x:c r="E447" s="1" t="n">
        <x:f>'Activities'!L406</x:f>
        <x:v>436</x:v>
      </x:c>
      <x:c r="F447" s="1" t="n">
        <x:f>'Activities'!K407</x:f>
        <x:v>438</x:v>
      </x:c>
      <x:c r="G447" s="1" t="n">
        <x:f>F447-E447-D447</x:f>
        <x:v>0</x:v>
      </x:c>
      <x:c r="H447" s="1" t="str">
        <x:v>Explicit working-day lag</x:v>
      </x:c>
    </x:row>
    <x:row r="448" ht="23" customHeight="1">
      <x:c r="A448" s="6" t="str">
        <x:v>T3-L11-A</x:v>
      </x:c>
      <x:c r="B448" s="6" t="str">
        <x:v>T3-L11-D</x:v>
      </x:c>
      <x:c r="C448" s="6" t="str">
        <x:v>FS</x:v>
      </x:c>
      <x:c r="D448" s="6" t="n">
        <x:v>0</x:v>
      </x:c>
      <x:c r="E448" s="6" t="n">
        <x:f>'Activities'!L407</x:f>
        <x:v>443</x:v>
      </x:c>
      <x:c r="F448" s="6" t="n">
        <x:f>'Activities'!K408</x:f>
        <x:v>443</x:v>
      </x:c>
      <x:c r="G448" s="6" t="n">
        <x:f>F448-E448-D448</x:f>
        <x:v>0</x:v>
      </x:c>
      <x:c r="H448" s="6" t="str">
        <x:v>Explicit working-day lag</x:v>
      </x:c>
    </x:row>
    <x:row r="449" ht="23" customHeight="1">
      <x:c r="A449" s="1" t="str">
        <x:v>T3-L12-H</x:v>
      </x:c>
      <x:c r="B449" s="1" t="str">
        <x:v>T3-L12-M</x:v>
      </x:c>
      <x:c r="C449" s="1" t="str">
        <x:v>FS</x:v>
      </x:c>
      <x:c r="D449" s="1" t="n">
        <x:v>5</x:v>
      </x:c>
      <x:c r="E449" s="1" t="n">
        <x:f>'Activities'!L333</x:f>
        <x:v>392</x:v>
      </x:c>
      <x:c r="F449" s="1" t="n">
        <x:f>'Activities'!K409</x:f>
        <x:v>397</x:v>
      </x:c>
      <x:c r="G449" s="1" t="n">
        <x:f>F449-E449-D449</x:f>
        <x:v>0</x:v>
      </x:c>
      <x:c r="H449" s="1" t="str">
        <x:v>Explicit working-day lag</x:v>
      </x:c>
    </x:row>
    <x:row r="450" ht="23" customHeight="1">
      <x:c r="A450" s="6" t="str">
        <x:v>T3-L12-M</x:v>
      </x:c>
      <x:c r="B450" s="6" t="str">
        <x:v>T3-L12-P</x:v>
      </x:c>
      <x:c r="C450" s="6" t="str">
        <x:v>FS</x:v>
      </x:c>
      <x:c r="D450" s="6" t="n">
        <x:v>3</x:v>
      </x:c>
      <x:c r="E450" s="6" t="n">
        <x:f>'Activities'!L409</x:f>
        <x:v>402</x:v>
      </x:c>
      <x:c r="F450" s="6" t="n">
        <x:f>'Activities'!K410</x:f>
        <x:v>405</x:v>
      </x:c>
      <x:c r="G450" s="6" t="n">
        <x:f>F450-E450-D450</x:f>
        <x:v>0</x:v>
      </x:c>
      <x:c r="H450" s="6" t="str">
        <x:v>Explicit working-day lag</x:v>
      </x:c>
    </x:row>
    <x:row r="451" ht="23" customHeight="1">
      <x:c r="A451" s="1" t="str">
        <x:v>T3-L12-P</x:v>
      </x:c>
      <x:c r="B451" s="1" t="str">
        <x:v>T3-L12-S</x:v>
      </x:c>
      <x:c r="C451" s="1" t="str">
        <x:v>FS</x:v>
      </x:c>
      <x:c r="D451" s="1" t="n">
        <x:v>2</x:v>
      </x:c>
      <x:c r="E451" s="1" t="n">
        <x:f>'Activities'!L410</x:f>
        <x:v>411</x:v>
      </x:c>
      <x:c r="F451" s="1" t="n">
        <x:f>'Activities'!K411</x:f>
        <x:v>413</x:v>
      </x:c>
      <x:c r="G451" s="1" t="n">
        <x:f>F451-E451-D451</x:f>
        <x:v>0</x:v>
      </x:c>
      <x:c r="H451" s="1" t="str">
        <x:v>Explicit working-day lag</x:v>
      </x:c>
    </x:row>
    <x:row r="452" ht="23" customHeight="1">
      <x:c r="A452" s="6" t="str">
        <x:v>T3-L12-S</x:v>
      </x:c>
      <x:c r="B452" s="6" t="str">
        <x:v>T3-L12-T</x:v>
      </x:c>
      <x:c r="C452" s="6" t="str">
        <x:v>FS</x:v>
      </x:c>
      <x:c r="D452" s="6" t="n">
        <x:v>14</x:v>
      </x:c>
      <x:c r="E452" s="6" t="n">
        <x:f>'Activities'!L411</x:f>
        <x:v>416</x:v>
      </x:c>
      <x:c r="F452" s="6" t="n">
        <x:f>'Activities'!K412</x:f>
        <x:v>430</x:v>
      </x:c>
      <x:c r="G452" s="6" t="n">
        <x:f>F452-E452-D452</x:f>
        <x:v>0</x:v>
      </x:c>
      <x:c r="H452" s="6" t="str">
        <x:v>Explicit working-day lag</x:v>
      </x:c>
    </x:row>
    <x:row r="453" ht="23" customHeight="1">
      <x:c r="A453" s="1" t="str">
        <x:v>T3-GL</x:v>
      </x:c>
      <x:c r="B453" s="1" t="str">
        <x:v>T3-L12-T</x:v>
      </x:c>
      <x:c r="C453" s="1" t="str">
        <x:v>FS</x:v>
      </x:c>
      <x:c r="D453" s="1" t="n">
        <x:v>0</x:v>
      </x:c>
      <x:c r="E453" s="1" t="n">
        <x:f>'Activities'!L336</x:f>
        <x:v>425</x:v>
      </x:c>
      <x:c r="F453" s="1" t="n">
        <x:f>'Activities'!K412</x:f>
        <x:v>430</x:v>
      </x:c>
      <x:c r="G453" s="1" t="n">
        <x:f>F453-E453-D453</x:f>
        <x:v>5</x:v>
      </x:c>
      <x:c r="H453" s="1" t="str">
        <x:v>Explicit working-day lag</x:v>
      </x:c>
    </x:row>
    <x:row r="454" ht="23" customHeight="1">
      <x:c r="A454" s="6" t="str">
        <x:v>T3-L12-T</x:v>
      </x:c>
      <x:c r="B454" s="6" t="str">
        <x:v>T3-L12-A</x:v>
      </x:c>
      <x:c r="C454" s="6" t="str">
        <x:v>FS</x:v>
      </x:c>
      <x:c r="D454" s="6" t="n">
        <x:v>2</x:v>
      </x:c>
      <x:c r="E454" s="6" t="n">
        <x:f>'Activities'!L412</x:f>
        <x:v>436</x:v>
      </x:c>
      <x:c r="F454" s="6" t="n">
        <x:f>'Activities'!K413</x:f>
        <x:v>438</x:v>
      </x:c>
      <x:c r="G454" s="6" t="n">
        <x:f>F454-E454-D454</x:f>
        <x:v>0</x:v>
      </x:c>
      <x:c r="H454" s="6" t="str">
        <x:v>Explicit working-day lag</x:v>
      </x:c>
    </x:row>
    <x:row r="455" ht="23" customHeight="1">
      <x:c r="A455" s="1" t="str">
        <x:v>T3-L12-A</x:v>
      </x:c>
      <x:c r="B455" s="1" t="str">
        <x:v>T3-L12-D</x:v>
      </x:c>
      <x:c r="C455" s="1" t="str">
        <x:v>FS</x:v>
      </x:c>
      <x:c r="D455" s="1" t="n">
        <x:v>0</x:v>
      </x:c>
      <x:c r="E455" s="1" t="n">
        <x:f>'Activities'!L413</x:f>
        <x:v>443</x:v>
      </x:c>
      <x:c r="F455" s="1" t="n">
        <x:f>'Activities'!K414</x:f>
        <x:v>443</x:v>
      </x:c>
      <x:c r="G455" s="1" t="n">
        <x:f>F455-E455-D455</x:f>
        <x:v>0</x:v>
      </x:c>
      <x:c r="H455" s="1" t="str">
        <x:v>Explicit working-day lag</x:v>
      </x:c>
    </x:row>
    <x:row r="456" ht="23" customHeight="1">
      <x:c r="A456" s="6" t="str">
        <x:v>P-040</x:v>
      </x:c>
      <x:c r="B456" s="6" t="str">
        <x:v>T4-L00-F</x:v>
      </x:c>
      <x:c r="C456" s="6" t="str">
        <x:v>FS</x:v>
      </x:c>
      <x:c r="D456" s="6" t="n">
        <x:f>(7+3*'Controls'!$B$11)</x:f>
        <x:v>43</x:v>
      </x:c>
      <x:c r="E456" s="6" t="n">
        <x:f>'Activities'!L12</x:f>
        <x:v>127</x:v>
      </x:c>
      <x:c r="F456" s="6" t="n">
        <x:f>'Activities'!K415</x:f>
        <x:v>170</x:v>
      </x:c>
      <x:c r="G456" s="6" t="n">
        <x:f>F456-E456-D456</x:f>
        <x:v>0</x:v>
      </x:c>
      <x:c r="H456" s="6" t="str">
        <x:v>Explicit working-day lag</x:v>
      </x:c>
    </x:row>
    <x:row r="457" ht="23" customHeight="1">
      <x:c r="A457" s="1" t="str">
        <x:v>T4-L00-F</x:v>
      </x:c>
      <x:c r="B457" s="1" t="str">
        <x:v>T4-L00-R</x:v>
      </x:c>
      <x:c r="C457" s="1" t="str">
        <x:v>FS</x:v>
      </x:c>
      <x:c r="D457" s="1" t="n">
        <x:v>0</x:v>
      </x:c>
      <x:c r="E457" s="1" t="n">
        <x:f>'Activities'!L415</x:f>
        <x:v>176</x:v>
      </x:c>
      <x:c r="F457" s="1" t="n">
        <x:f>'Activities'!K416</x:f>
        <x:v>176</x:v>
      </x:c>
      <x:c r="G457" s="1" t="n">
        <x:f>F457-E457-D457</x:f>
        <x:v>0</x:v>
      </x:c>
      <x:c r="H457" s="1" t="str">
        <x:v>Explicit working-day lag</x:v>
      </x:c>
    </x:row>
    <x:row r="458" ht="23" customHeight="1">
      <x:c r="A458" s="6" t="str">
        <x:v>T4-L00-R</x:v>
      </x:c>
      <x:c r="B458" s="6" t="str">
        <x:v>T4-L00-C</x:v>
      </x:c>
      <x:c r="C458" s="6" t="str">
        <x:v>FS</x:v>
      </x:c>
      <x:c r="D458" s="6" t="n">
        <x:v>0</x:v>
      </x:c>
      <x:c r="E458" s="6" t="n">
        <x:f>'Activities'!L416</x:f>
        <x:v>181</x:v>
      </x:c>
      <x:c r="F458" s="6" t="n">
        <x:f>'Activities'!K417</x:f>
        <x:v>181</x:v>
      </x:c>
      <x:c r="G458" s="6" t="n">
        <x:f>F458-E458-D458</x:f>
        <x:v>0</x:v>
      </x:c>
      <x:c r="H458" s="6" t="str">
        <x:v>Explicit working-day lag</x:v>
      </x:c>
    </x:row>
    <x:row r="459" ht="23" customHeight="1">
      <x:c r="A459" s="1" t="str">
        <x:v>T4-L00-C</x:v>
      </x:c>
      <x:c r="B459" s="1" t="str">
        <x:v>T4-L00-H</x:v>
      </x:c>
      <x:c r="C459" s="1" t="str">
        <x:v>FS</x:v>
      </x:c>
      <x:c r="D459" s="1" t="n">
        <x:v>0</x:v>
      </x:c>
      <x:c r="E459" s="1" t="n">
        <x:f>'Activities'!L417</x:f>
        <x:v>183</x:v>
      </x:c>
      <x:c r="F459" s="1" t="n">
        <x:f>'Activities'!K418</x:f>
        <x:v>183</x:v>
      </x:c>
      <x:c r="G459" s="1" t="n">
        <x:f>F459-E459-D459</x:f>
        <x:v>0</x:v>
      </x:c>
      <x:c r="H459" s="1" t="str">
        <x:v>Explicit working-day lag</x:v>
      </x:c>
    </x:row>
    <x:row r="460" ht="23" customHeight="1">
      <x:c r="A460" s="6" t="str">
        <x:v>T4-L00-H</x:v>
      </x:c>
      <x:c r="B460" s="6" t="str">
        <x:v>T4-L01-F</x:v>
      </x:c>
      <x:c r="C460" s="6" t="str">
        <x:v>FS</x:v>
      </x:c>
      <x:c r="D460" s="6" t="n">
        <x:v>0</x:v>
      </x:c>
      <x:c r="E460" s="6" t="n">
        <x:f>'Activities'!L418</x:f>
        <x:v>188</x:v>
      </x:c>
      <x:c r="F460" s="6" t="n">
        <x:f>'Activities'!K419</x:f>
        <x:v>188</x:v>
      </x:c>
      <x:c r="G460" s="6" t="n">
        <x:f>F460-E460-D460</x:f>
        <x:v>0</x:v>
      </x:c>
      <x:c r="H460" s="6" t="str">
        <x:v>Explicit working-day lag</x:v>
      </x:c>
    </x:row>
    <x:row r="461" ht="23" customHeight="1">
      <x:c r="A461" s="1" t="str">
        <x:v>T4-L01-F</x:v>
      </x:c>
      <x:c r="B461" s="1" t="str">
        <x:v>T4-L01-R</x:v>
      </x:c>
      <x:c r="C461" s="1" t="str">
        <x:v>FS</x:v>
      </x:c>
      <x:c r="D461" s="1" t="n">
        <x:v>0</x:v>
      </x:c>
      <x:c r="E461" s="1" t="n">
        <x:f>'Activities'!L419</x:f>
        <x:v>194</x:v>
      </x:c>
      <x:c r="F461" s="1" t="n">
        <x:f>'Activities'!K420</x:f>
        <x:v>194</x:v>
      </x:c>
      <x:c r="G461" s="1" t="n">
        <x:f>F461-E461-D461</x:f>
        <x:v>0</x:v>
      </x:c>
      <x:c r="H461" s="1" t="str">
        <x:v>Explicit working-day lag</x:v>
      </x:c>
    </x:row>
    <x:row r="462" ht="23" customHeight="1">
      <x:c r="A462" s="6" t="str">
        <x:v>T4-L01-R</x:v>
      </x:c>
      <x:c r="B462" s="6" t="str">
        <x:v>T4-L01-C</x:v>
      </x:c>
      <x:c r="C462" s="6" t="str">
        <x:v>FS</x:v>
      </x:c>
      <x:c r="D462" s="6" t="n">
        <x:v>0</x:v>
      </x:c>
      <x:c r="E462" s="6" t="n">
        <x:f>'Activities'!L420</x:f>
        <x:v>199</x:v>
      </x:c>
      <x:c r="F462" s="6" t="n">
        <x:f>'Activities'!K421</x:f>
        <x:v>199</x:v>
      </x:c>
      <x:c r="G462" s="6" t="n">
        <x:f>F462-E462-D462</x:f>
        <x:v>0</x:v>
      </x:c>
      <x:c r="H462" s="6" t="str">
        <x:v>Explicit working-day lag</x:v>
      </x:c>
    </x:row>
    <x:row r="463" ht="23" customHeight="1">
      <x:c r="A463" s="1" t="str">
        <x:v>T4-L01-C</x:v>
      </x:c>
      <x:c r="B463" s="1" t="str">
        <x:v>T4-L01-H</x:v>
      </x:c>
      <x:c r="C463" s="1" t="str">
        <x:v>FS</x:v>
      </x:c>
      <x:c r="D463" s="1" t="n">
        <x:v>0</x:v>
      </x:c>
      <x:c r="E463" s="1" t="n">
        <x:f>'Activities'!L421</x:f>
        <x:v>201</x:v>
      </x:c>
      <x:c r="F463" s="1" t="n">
        <x:f>'Activities'!K422</x:f>
        <x:v>201</x:v>
      </x:c>
      <x:c r="G463" s="1" t="n">
        <x:f>F463-E463-D463</x:f>
        <x:v>0</x:v>
      </x:c>
      <x:c r="H463" s="1" t="str">
        <x:v>Explicit working-day lag</x:v>
      </x:c>
    </x:row>
    <x:row r="464" ht="23" customHeight="1">
      <x:c r="A464" s="6" t="str">
        <x:v>T4-L01-H</x:v>
      </x:c>
      <x:c r="B464" s="6" t="str">
        <x:v>T4-L02-F</x:v>
      </x:c>
      <x:c r="C464" s="6" t="str">
        <x:v>FS</x:v>
      </x:c>
      <x:c r="D464" s="6" t="n">
        <x:v>0</x:v>
      </x:c>
      <x:c r="E464" s="6" t="n">
        <x:f>'Activities'!L422</x:f>
        <x:v>206</x:v>
      </x:c>
      <x:c r="F464" s="6" t="n">
        <x:f>'Activities'!K423</x:f>
        <x:v>206</x:v>
      </x:c>
      <x:c r="G464" s="6" t="n">
        <x:f>F464-E464-D464</x:f>
        <x:v>0</x:v>
      </x:c>
      <x:c r="H464" s="6" t="str">
        <x:v>Explicit working-day lag</x:v>
      </x:c>
    </x:row>
    <x:row r="465" ht="23" customHeight="1">
      <x:c r="A465" s="1" t="str">
        <x:v>T4-L02-F</x:v>
      </x:c>
      <x:c r="B465" s="1" t="str">
        <x:v>T4-L02-R</x:v>
      </x:c>
      <x:c r="C465" s="1" t="str">
        <x:v>FS</x:v>
      </x:c>
      <x:c r="D465" s="1" t="n">
        <x:v>0</x:v>
      </x:c>
      <x:c r="E465" s="1" t="n">
        <x:f>'Activities'!L423</x:f>
        <x:v>212</x:v>
      </x:c>
      <x:c r="F465" s="1" t="n">
        <x:f>'Activities'!K424</x:f>
        <x:v>212</x:v>
      </x:c>
      <x:c r="G465" s="1" t="n">
        <x:f>F465-E465-D465</x:f>
        <x:v>0</x:v>
      </x:c>
      <x:c r="H465" s="1" t="str">
        <x:v>Explicit working-day lag</x:v>
      </x:c>
    </x:row>
    <x:row r="466" ht="23" customHeight="1">
      <x:c r="A466" s="6" t="str">
        <x:v>T4-L02-R</x:v>
      </x:c>
      <x:c r="B466" s="6" t="str">
        <x:v>T4-L02-C</x:v>
      </x:c>
      <x:c r="C466" s="6" t="str">
        <x:v>FS</x:v>
      </x:c>
      <x:c r="D466" s="6" t="n">
        <x:v>0</x:v>
      </x:c>
      <x:c r="E466" s="6" t="n">
        <x:f>'Activities'!L424</x:f>
        <x:v>217</x:v>
      </x:c>
      <x:c r="F466" s="6" t="n">
        <x:f>'Activities'!K425</x:f>
        <x:v>217</x:v>
      </x:c>
      <x:c r="G466" s="6" t="n">
        <x:f>F466-E466-D466</x:f>
        <x:v>0</x:v>
      </x:c>
      <x:c r="H466" s="6" t="str">
        <x:v>Explicit working-day lag</x:v>
      </x:c>
    </x:row>
    <x:row r="467" ht="23" customHeight="1">
      <x:c r="A467" s="1" t="str">
        <x:v>T4-L02-C</x:v>
      </x:c>
      <x:c r="B467" s="1" t="str">
        <x:v>T4-L02-H</x:v>
      </x:c>
      <x:c r="C467" s="1" t="str">
        <x:v>FS</x:v>
      </x:c>
      <x:c r="D467" s="1" t="n">
        <x:v>0</x:v>
      </x:c>
      <x:c r="E467" s="1" t="n">
        <x:f>'Activities'!L425</x:f>
        <x:v>219</x:v>
      </x:c>
      <x:c r="F467" s="1" t="n">
        <x:f>'Activities'!K426</x:f>
        <x:v>219</x:v>
      </x:c>
      <x:c r="G467" s="1" t="n">
        <x:f>F467-E467-D467</x:f>
        <x:v>0</x:v>
      </x:c>
      <x:c r="H467" s="1" t="str">
        <x:v>Explicit working-day lag</x:v>
      </x:c>
    </x:row>
    <x:row r="468" ht="23" customHeight="1">
      <x:c r="A468" s="6" t="str">
        <x:v>T4-L02-H</x:v>
      </x:c>
      <x:c r="B468" s="6" t="str">
        <x:v>T4-L03-F</x:v>
      </x:c>
      <x:c r="C468" s="6" t="str">
        <x:v>FS</x:v>
      </x:c>
      <x:c r="D468" s="6" t="n">
        <x:v>0</x:v>
      </x:c>
      <x:c r="E468" s="6" t="n">
        <x:f>'Activities'!L426</x:f>
        <x:v>224</x:v>
      </x:c>
      <x:c r="F468" s="6" t="n">
        <x:f>'Activities'!K427</x:f>
        <x:v>224</x:v>
      </x:c>
      <x:c r="G468" s="6" t="n">
        <x:f>F468-E468-D468</x:f>
        <x:v>0</x:v>
      </x:c>
      <x:c r="H468" s="6" t="str">
        <x:v>Explicit working-day lag</x:v>
      </x:c>
    </x:row>
    <x:row r="469" ht="23" customHeight="1">
      <x:c r="A469" s="1" t="str">
        <x:v>T4-L03-F</x:v>
      </x:c>
      <x:c r="B469" s="1" t="str">
        <x:v>T4-L03-R</x:v>
      </x:c>
      <x:c r="C469" s="1" t="str">
        <x:v>FS</x:v>
      </x:c>
      <x:c r="D469" s="1" t="n">
        <x:v>0</x:v>
      </x:c>
      <x:c r="E469" s="1" t="n">
        <x:f>'Activities'!L427</x:f>
        <x:v>230</x:v>
      </x:c>
      <x:c r="F469" s="1" t="n">
        <x:f>'Activities'!K428</x:f>
        <x:v>230</x:v>
      </x:c>
      <x:c r="G469" s="1" t="n">
        <x:f>F469-E469-D469</x:f>
        <x:v>0</x:v>
      </x:c>
      <x:c r="H469" s="1" t="str">
        <x:v>Explicit working-day lag</x:v>
      </x:c>
    </x:row>
    <x:row r="470" ht="23" customHeight="1">
      <x:c r="A470" s="6" t="str">
        <x:v>T4-L03-R</x:v>
      </x:c>
      <x:c r="B470" s="6" t="str">
        <x:v>T4-L03-C</x:v>
      </x:c>
      <x:c r="C470" s="6" t="str">
        <x:v>FS</x:v>
      </x:c>
      <x:c r="D470" s="6" t="n">
        <x:v>0</x:v>
      </x:c>
      <x:c r="E470" s="6" t="n">
        <x:f>'Activities'!L428</x:f>
        <x:v>235</x:v>
      </x:c>
      <x:c r="F470" s="6" t="n">
        <x:f>'Activities'!K429</x:f>
        <x:v>235</x:v>
      </x:c>
      <x:c r="G470" s="6" t="n">
        <x:f>F470-E470-D470</x:f>
        <x:v>0</x:v>
      </x:c>
      <x:c r="H470" s="6" t="str">
        <x:v>Explicit working-day lag</x:v>
      </x:c>
    </x:row>
    <x:row r="471" ht="23" customHeight="1">
      <x:c r="A471" s="1" t="str">
        <x:v>T4-L03-C</x:v>
      </x:c>
      <x:c r="B471" s="1" t="str">
        <x:v>T4-L03-H</x:v>
      </x:c>
      <x:c r="C471" s="1" t="str">
        <x:v>FS</x:v>
      </x:c>
      <x:c r="D471" s="1" t="n">
        <x:v>0</x:v>
      </x:c>
      <x:c r="E471" s="1" t="n">
        <x:f>'Activities'!L429</x:f>
        <x:v>237</x:v>
      </x:c>
      <x:c r="F471" s="1" t="n">
        <x:f>'Activities'!K430</x:f>
        <x:v>237</x:v>
      </x:c>
      <x:c r="G471" s="1" t="n">
        <x:f>F471-E471-D471</x:f>
        <x:v>0</x:v>
      </x:c>
      <x:c r="H471" s="1" t="str">
        <x:v>Explicit working-day lag</x:v>
      </x:c>
    </x:row>
    <x:row r="472" ht="23" customHeight="1">
      <x:c r="A472" s="6" t="str">
        <x:v>T4-L03-H</x:v>
      </x:c>
      <x:c r="B472" s="6" t="str">
        <x:v>T4-L04-F</x:v>
      </x:c>
      <x:c r="C472" s="6" t="str">
        <x:v>FS</x:v>
      </x:c>
      <x:c r="D472" s="6" t="n">
        <x:v>0</x:v>
      </x:c>
      <x:c r="E472" s="6" t="n">
        <x:f>'Activities'!L430</x:f>
        <x:v>242</x:v>
      </x:c>
      <x:c r="F472" s="6" t="n">
        <x:f>'Activities'!K431</x:f>
        <x:v>242</x:v>
      </x:c>
      <x:c r="G472" s="6" t="n">
        <x:f>F472-E472-D472</x:f>
        <x:v>0</x:v>
      </x:c>
      <x:c r="H472" s="6" t="str">
        <x:v>Explicit working-day lag</x:v>
      </x:c>
    </x:row>
    <x:row r="473" ht="23" customHeight="1">
      <x:c r="A473" s="1" t="str">
        <x:v>T4-L04-F</x:v>
      </x:c>
      <x:c r="B473" s="1" t="str">
        <x:v>T4-L04-R</x:v>
      </x:c>
      <x:c r="C473" s="1" t="str">
        <x:v>FS</x:v>
      </x:c>
      <x:c r="D473" s="1" t="n">
        <x:v>0</x:v>
      </x:c>
      <x:c r="E473" s="1" t="n">
        <x:f>'Activities'!L431</x:f>
        <x:v>248</x:v>
      </x:c>
      <x:c r="F473" s="1" t="n">
        <x:f>'Activities'!K432</x:f>
        <x:v>248</x:v>
      </x:c>
      <x:c r="G473" s="1" t="n">
        <x:f>F473-E473-D473</x:f>
        <x:v>0</x:v>
      </x:c>
      <x:c r="H473" s="1" t="str">
        <x:v>Explicit working-day lag</x:v>
      </x:c>
    </x:row>
    <x:row r="474" ht="23" customHeight="1">
      <x:c r="A474" s="6" t="str">
        <x:v>T4-L04-R</x:v>
      </x:c>
      <x:c r="B474" s="6" t="str">
        <x:v>T4-L04-C</x:v>
      </x:c>
      <x:c r="C474" s="6" t="str">
        <x:v>FS</x:v>
      </x:c>
      <x:c r="D474" s="6" t="n">
        <x:v>0</x:v>
      </x:c>
      <x:c r="E474" s="6" t="n">
        <x:f>'Activities'!L432</x:f>
        <x:v>253</x:v>
      </x:c>
      <x:c r="F474" s="6" t="n">
        <x:f>'Activities'!K433</x:f>
        <x:v>253</x:v>
      </x:c>
      <x:c r="G474" s="6" t="n">
        <x:f>F474-E474-D474</x:f>
        <x:v>0</x:v>
      </x:c>
      <x:c r="H474" s="6" t="str">
        <x:v>Explicit working-day lag</x:v>
      </x:c>
    </x:row>
    <x:row r="475" ht="23" customHeight="1">
      <x:c r="A475" s="1" t="str">
        <x:v>T4-L04-C</x:v>
      </x:c>
      <x:c r="B475" s="1" t="str">
        <x:v>T4-L04-H</x:v>
      </x:c>
      <x:c r="C475" s="1" t="str">
        <x:v>FS</x:v>
      </x:c>
      <x:c r="D475" s="1" t="n">
        <x:v>0</x:v>
      </x:c>
      <x:c r="E475" s="1" t="n">
        <x:f>'Activities'!L433</x:f>
        <x:v>255</x:v>
      </x:c>
      <x:c r="F475" s="1" t="n">
        <x:f>'Activities'!K434</x:f>
        <x:v>255</x:v>
      </x:c>
      <x:c r="G475" s="1" t="n">
        <x:f>F475-E475-D475</x:f>
        <x:v>0</x:v>
      </x:c>
      <x:c r="H475" s="1" t="str">
        <x:v>Explicit working-day lag</x:v>
      </x:c>
    </x:row>
    <x:row r="476" ht="23" customHeight="1">
      <x:c r="A476" s="6" t="str">
        <x:v>T4-L04-H</x:v>
      </x:c>
      <x:c r="B476" s="6" t="str">
        <x:v>T4-L05-F</x:v>
      </x:c>
      <x:c r="C476" s="6" t="str">
        <x:v>FS</x:v>
      </x:c>
      <x:c r="D476" s="6" t="n">
        <x:v>0</x:v>
      </x:c>
      <x:c r="E476" s="6" t="n">
        <x:f>'Activities'!L434</x:f>
        <x:v>260</x:v>
      </x:c>
      <x:c r="F476" s="6" t="n">
        <x:f>'Activities'!K435</x:f>
        <x:v>260</x:v>
      </x:c>
      <x:c r="G476" s="6" t="n">
        <x:f>F476-E476-D476</x:f>
        <x:v>0</x:v>
      </x:c>
      <x:c r="H476" s="6" t="str">
        <x:v>Explicit working-day lag</x:v>
      </x:c>
    </x:row>
    <x:row r="477" ht="23" customHeight="1">
      <x:c r="A477" s="1" t="str">
        <x:v>T4-L05-F</x:v>
      </x:c>
      <x:c r="B477" s="1" t="str">
        <x:v>T4-L05-R</x:v>
      </x:c>
      <x:c r="C477" s="1" t="str">
        <x:v>FS</x:v>
      </x:c>
      <x:c r="D477" s="1" t="n">
        <x:v>0</x:v>
      </x:c>
      <x:c r="E477" s="1" t="n">
        <x:f>'Activities'!L435</x:f>
        <x:v>266</x:v>
      </x:c>
      <x:c r="F477" s="1" t="n">
        <x:f>'Activities'!K436</x:f>
        <x:v>266</x:v>
      </x:c>
      <x:c r="G477" s="1" t="n">
        <x:f>F477-E477-D477</x:f>
        <x:v>0</x:v>
      </x:c>
      <x:c r="H477" s="1" t="str">
        <x:v>Explicit working-day lag</x:v>
      </x:c>
    </x:row>
    <x:row r="478" ht="23" customHeight="1">
      <x:c r="A478" s="6" t="str">
        <x:v>T4-L05-R</x:v>
      </x:c>
      <x:c r="B478" s="6" t="str">
        <x:v>T4-L05-C</x:v>
      </x:c>
      <x:c r="C478" s="6" t="str">
        <x:v>FS</x:v>
      </x:c>
      <x:c r="D478" s="6" t="n">
        <x:v>0</x:v>
      </x:c>
      <x:c r="E478" s="6" t="n">
        <x:f>'Activities'!L436</x:f>
        <x:v>271</x:v>
      </x:c>
      <x:c r="F478" s="6" t="n">
        <x:f>'Activities'!K437</x:f>
        <x:v>271</x:v>
      </x:c>
      <x:c r="G478" s="6" t="n">
        <x:f>F478-E478-D478</x:f>
        <x:v>0</x:v>
      </x:c>
      <x:c r="H478" s="6" t="str">
        <x:v>Explicit working-day lag</x:v>
      </x:c>
    </x:row>
    <x:row r="479" ht="23" customHeight="1">
      <x:c r="A479" s="1" t="str">
        <x:v>T4-L05-C</x:v>
      </x:c>
      <x:c r="B479" s="1" t="str">
        <x:v>T4-L05-H</x:v>
      </x:c>
      <x:c r="C479" s="1" t="str">
        <x:v>FS</x:v>
      </x:c>
      <x:c r="D479" s="1" t="n">
        <x:v>0</x:v>
      </x:c>
      <x:c r="E479" s="1" t="n">
        <x:f>'Activities'!L437</x:f>
        <x:v>273</x:v>
      </x:c>
      <x:c r="F479" s="1" t="n">
        <x:f>'Activities'!K438</x:f>
        <x:v>273</x:v>
      </x:c>
      <x:c r="G479" s="1" t="n">
        <x:f>F479-E479-D479</x:f>
        <x:v>0</x:v>
      </x:c>
      <x:c r="H479" s="1" t="str">
        <x:v>Explicit working-day lag</x:v>
      </x:c>
    </x:row>
    <x:row r="480" ht="23" customHeight="1">
      <x:c r="A480" s="6" t="str">
        <x:v>T4-L05-H</x:v>
      </x:c>
      <x:c r="B480" s="6" t="str">
        <x:v>T4-L06-F</x:v>
      </x:c>
      <x:c r="C480" s="6" t="str">
        <x:v>FS</x:v>
      </x:c>
      <x:c r="D480" s="6" t="n">
        <x:v>0</x:v>
      </x:c>
      <x:c r="E480" s="6" t="n">
        <x:f>'Activities'!L438</x:f>
        <x:v>278</x:v>
      </x:c>
      <x:c r="F480" s="6" t="n">
        <x:f>'Activities'!K439</x:f>
        <x:v>278</x:v>
      </x:c>
      <x:c r="G480" s="6" t="n">
        <x:f>F480-E480-D480</x:f>
        <x:v>0</x:v>
      </x:c>
      <x:c r="H480" s="6" t="str">
        <x:v>Explicit working-day lag</x:v>
      </x:c>
    </x:row>
    <x:row r="481" ht="23" customHeight="1">
      <x:c r="A481" s="1" t="str">
        <x:v>T4-L06-F</x:v>
      </x:c>
      <x:c r="B481" s="1" t="str">
        <x:v>T4-L06-R</x:v>
      </x:c>
      <x:c r="C481" s="1" t="str">
        <x:v>FS</x:v>
      </x:c>
      <x:c r="D481" s="1" t="n">
        <x:v>0</x:v>
      </x:c>
      <x:c r="E481" s="1" t="n">
        <x:f>'Activities'!L439</x:f>
        <x:v>284</x:v>
      </x:c>
      <x:c r="F481" s="1" t="n">
        <x:f>'Activities'!K440</x:f>
        <x:v>284</x:v>
      </x:c>
      <x:c r="G481" s="1" t="n">
        <x:f>F481-E481-D481</x:f>
        <x:v>0</x:v>
      </x:c>
      <x:c r="H481" s="1" t="str">
        <x:v>Explicit working-day lag</x:v>
      </x:c>
    </x:row>
    <x:row r="482" ht="23" customHeight="1">
      <x:c r="A482" s="6" t="str">
        <x:v>T4-L06-R</x:v>
      </x:c>
      <x:c r="B482" s="6" t="str">
        <x:v>T4-L06-C</x:v>
      </x:c>
      <x:c r="C482" s="6" t="str">
        <x:v>FS</x:v>
      </x:c>
      <x:c r="D482" s="6" t="n">
        <x:v>0</x:v>
      </x:c>
      <x:c r="E482" s="6" t="n">
        <x:f>'Activities'!L440</x:f>
        <x:v>289</x:v>
      </x:c>
      <x:c r="F482" s="6" t="n">
        <x:f>'Activities'!K441</x:f>
        <x:v>289</x:v>
      </x:c>
      <x:c r="G482" s="6" t="n">
        <x:f>F482-E482-D482</x:f>
        <x:v>0</x:v>
      </x:c>
      <x:c r="H482" s="6" t="str">
        <x:v>Explicit working-day lag</x:v>
      </x:c>
    </x:row>
    <x:row r="483" ht="23" customHeight="1">
      <x:c r="A483" s="1" t="str">
        <x:v>T4-L06-C</x:v>
      </x:c>
      <x:c r="B483" s="1" t="str">
        <x:v>T4-L06-H</x:v>
      </x:c>
      <x:c r="C483" s="1" t="str">
        <x:v>FS</x:v>
      </x:c>
      <x:c r="D483" s="1" t="n">
        <x:v>0</x:v>
      </x:c>
      <x:c r="E483" s="1" t="n">
        <x:f>'Activities'!L441</x:f>
        <x:v>291</x:v>
      </x:c>
      <x:c r="F483" s="1" t="n">
        <x:f>'Activities'!K442</x:f>
        <x:v>291</x:v>
      </x:c>
      <x:c r="G483" s="1" t="n">
        <x:f>F483-E483-D483</x:f>
        <x:v>0</x:v>
      </x:c>
      <x:c r="H483" s="1" t="str">
        <x:v>Explicit working-day lag</x:v>
      </x:c>
    </x:row>
    <x:row r="484" ht="23" customHeight="1">
      <x:c r="A484" s="6" t="str">
        <x:v>T4-L06-H</x:v>
      </x:c>
      <x:c r="B484" s="6" t="str">
        <x:v>T4-L07-F</x:v>
      </x:c>
      <x:c r="C484" s="6" t="str">
        <x:v>FS</x:v>
      </x:c>
      <x:c r="D484" s="6" t="n">
        <x:v>0</x:v>
      </x:c>
      <x:c r="E484" s="6" t="n">
        <x:f>'Activities'!L442</x:f>
        <x:v>296</x:v>
      </x:c>
      <x:c r="F484" s="6" t="n">
        <x:f>'Activities'!K443</x:f>
        <x:v>296</x:v>
      </x:c>
      <x:c r="G484" s="6" t="n">
        <x:f>F484-E484-D484</x:f>
        <x:v>0</x:v>
      </x:c>
      <x:c r="H484" s="6" t="str">
        <x:v>Explicit working-day lag</x:v>
      </x:c>
    </x:row>
    <x:row r="485" ht="23" customHeight="1">
      <x:c r="A485" s="1" t="str">
        <x:v>T4-L07-F</x:v>
      </x:c>
      <x:c r="B485" s="1" t="str">
        <x:v>T4-L07-R</x:v>
      </x:c>
      <x:c r="C485" s="1" t="str">
        <x:v>FS</x:v>
      </x:c>
      <x:c r="D485" s="1" t="n">
        <x:v>0</x:v>
      </x:c>
      <x:c r="E485" s="1" t="n">
        <x:f>'Activities'!L443</x:f>
        <x:v>302</x:v>
      </x:c>
      <x:c r="F485" s="1" t="n">
        <x:f>'Activities'!K444</x:f>
        <x:v>302</x:v>
      </x:c>
      <x:c r="G485" s="1" t="n">
        <x:f>F485-E485-D485</x:f>
        <x:v>0</x:v>
      </x:c>
      <x:c r="H485" s="1" t="str">
        <x:v>Explicit working-day lag</x:v>
      </x:c>
    </x:row>
    <x:row r="486" ht="23" customHeight="1">
      <x:c r="A486" s="6" t="str">
        <x:v>T4-L07-R</x:v>
      </x:c>
      <x:c r="B486" s="6" t="str">
        <x:v>T4-L07-C</x:v>
      </x:c>
      <x:c r="C486" s="6" t="str">
        <x:v>FS</x:v>
      </x:c>
      <x:c r="D486" s="6" t="n">
        <x:v>0</x:v>
      </x:c>
      <x:c r="E486" s="6" t="n">
        <x:f>'Activities'!L444</x:f>
        <x:v>307</x:v>
      </x:c>
      <x:c r="F486" s="6" t="n">
        <x:f>'Activities'!K445</x:f>
        <x:v>307</x:v>
      </x:c>
      <x:c r="G486" s="6" t="n">
        <x:f>F486-E486-D486</x:f>
        <x:v>0</x:v>
      </x:c>
      <x:c r="H486" s="6" t="str">
        <x:v>Explicit working-day lag</x:v>
      </x:c>
    </x:row>
    <x:row r="487" ht="23" customHeight="1">
      <x:c r="A487" s="1" t="str">
        <x:v>T4-L07-C</x:v>
      </x:c>
      <x:c r="B487" s="1" t="str">
        <x:v>T4-L07-H</x:v>
      </x:c>
      <x:c r="C487" s="1" t="str">
        <x:v>FS</x:v>
      </x:c>
      <x:c r="D487" s="1" t="n">
        <x:v>0</x:v>
      </x:c>
      <x:c r="E487" s="1" t="n">
        <x:f>'Activities'!L445</x:f>
        <x:v>309</x:v>
      </x:c>
      <x:c r="F487" s="1" t="n">
        <x:f>'Activities'!K446</x:f>
        <x:v>309</x:v>
      </x:c>
      <x:c r="G487" s="1" t="n">
        <x:f>F487-E487-D487</x:f>
        <x:v>0</x:v>
      </x:c>
      <x:c r="H487" s="1" t="str">
        <x:v>Explicit working-day lag</x:v>
      </x:c>
    </x:row>
    <x:row r="488" ht="23" customHeight="1">
      <x:c r="A488" s="6" t="str">
        <x:v>T4-L07-H</x:v>
      </x:c>
      <x:c r="B488" s="6" t="str">
        <x:v>T4-L08-F</x:v>
      </x:c>
      <x:c r="C488" s="6" t="str">
        <x:v>FS</x:v>
      </x:c>
      <x:c r="D488" s="6" t="n">
        <x:v>0</x:v>
      </x:c>
      <x:c r="E488" s="6" t="n">
        <x:f>'Activities'!L446</x:f>
        <x:v>314</x:v>
      </x:c>
      <x:c r="F488" s="6" t="n">
        <x:f>'Activities'!K447</x:f>
        <x:v>314</x:v>
      </x:c>
      <x:c r="G488" s="6" t="n">
        <x:f>F488-E488-D488</x:f>
        <x:v>0</x:v>
      </x:c>
      <x:c r="H488" s="6" t="str">
        <x:v>Explicit working-day lag</x:v>
      </x:c>
    </x:row>
    <x:row r="489" ht="23" customHeight="1">
      <x:c r="A489" s="1" t="str">
        <x:v>T4-L08-F</x:v>
      </x:c>
      <x:c r="B489" s="1" t="str">
        <x:v>T4-L08-R</x:v>
      </x:c>
      <x:c r="C489" s="1" t="str">
        <x:v>FS</x:v>
      </x:c>
      <x:c r="D489" s="1" t="n">
        <x:v>0</x:v>
      </x:c>
      <x:c r="E489" s="1" t="n">
        <x:f>'Activities'!L447</x:f>
        <x:v>320</x:v>
      </x:c>
      <x:c r="F489" s="1" t="n">
        <x:f>'Activities'!K448</x:f>
        <x:v>320</x:v>
      </x:c>
      <x:c r="G489" s="1" t="n">
        <x:f>F489-E489-D489</x:f>
        <x:v>0</x:v>
      </x:c>
      <x:c r="H489" s="1" t="str">
        <x:v>Explicit working-day lag</x:v>
      </x:c>
    </x:row>
    <x:row r="490" ht="23" customHeight="1">
      <x:c r="A490" s="6" t="str">
        <x:v>T4-L08-R</x:v>
      </x:c>
      <x:c r="B490" s="6" t="str">
        <x:v>T4-L08-C</x:v>
      </x:c>
      <x:c r="C490" s="6" t="str">
        <x:v>FS</x:v>
      </x:c>
      <x:c r="D490" s="6" t="n">
        <x:v>0</x:v>
      </x:c>
      <x:c r="E490" s="6" t="n">
        <x:f>'Activities'!L448</x:f>
        <x:v>325</x:v>
      </x:c>
      <x:c r="F490" s="6" t="n">
        <x:f>'Activities'!K449</x:f>
        <x:v>325</x:v>
      </x:c>
      <x:c r="G490" s="6" t="n">
        <x:f>F490-E490-D490</x:f>
        <x:v>0</x:v>
      </x:c>
      <x:c r="H490" s="6" t="str">
        <x:v>Explicit working-day lag</x:v>
      </x:c>
    </x:row>
    <x:row r="491" ht="23" customHeight="1">
      <x:c r="A491" s="1" t="str">
        <x:v>T4-L08-C</x:v>
      </x:c>
      <x:c r="B491" s="1" t="str">
        <x:v>T4-L08-H</x:v>
      </x:c>
      <x:c r="C491" s="1" t="str">
        <x:v>FS</x:v>
      </x:c>
      <x:c r="D491" s="1" t="n">
        <x:v>0</x:v>
      </x:c>
      <x:c r="E491" s="1" t="n">
        <x:f>'Activities'!L449</x:f>
        <x:v>327</x:v>
      </x:c>
      <x:c r="F491" s="1" t="n">
        <x:f>'Activities'!K450</x:f>
        <x:v>327</x:v>
      </x:c>
      <x:c r="G491" s="1" t="n">
        <x:f>F491-E491-D491</x:f>
        <x:v>0</x:v>
      </x:c>
      <x:c r="H491" s="1" t="str">
        <x:v>Explicit working-day lag</x:v>
      </x:c>
    </x:row>
    <x:row r="492" ht="23" customHeight="1">
      <x:c r="A492" s="6" t="str">
        <x:v>T4-L08-H</x:v>
      </x:c>
      <x:c r="B492" s="6" t="str">
        <x:v>T4-L09-F</x:v>
      </x:c>
      <x:c r="C492" s="6" t="str">
        <x:v>FS</x:v>
      </x:c>
      <x:c r="D492" s="6" t="n">
        <x:v>0</x:v>
      </x:c>
      <x:c r="E492" s="6" t="n">
        <x:f>'Activities'!L450</x:f>
        <x:v>332</x:v>
      </x:c>
      <x:c r="F492" s="6" t="n">
        <x:f>'Activities'!K451</x:f>
        <x:v>332</x:v>
      </x:c>
      <x:c r="G492" s="6" t="n">
        <x:f>F492-E492-D492</x:f>
        <x:v>0</x:v>
      </x:c>
      <x:c r="H492" s="6" t="str">
        <x:v>Explicit working-day lag</x:v>
      </x:c>
    </x:row>
    <x:row r="493" ht="23" customHeight="1">
      <x:c r="A493" s="1" t="str">
        <x:v>T4-L09-F</x:v>
      </x:c>
      <x:c r="B493" s="1" t="str">
        <x:v>T4-L09-R</x:v>
      </x:c>
      <x:c r="C493" s="1" t="str">
        <x:v>FS</x:v>
      </x:c>
      <x:c r="D493" s="1" t="n">
        <x:v>0</x:v>
      </x:c>
      <x:c r="E493" s="1" t="n">
        <x:f>'Activities'!L451</x:f>
        <x:v>338</x:v>
      </x:c>
      <x:c r="F493" s="1" t="n">
        <x:f>'Activities'!K452</x:f>
        <x:v>338</x:v>
      </x:c>
      <x:c r="G493" s="1" t="n">
        <x:f>F493-E493-D493</x:f>
        <x:v>0</x:v>
      </x:c>
      <x:c r="H493" s="1" t="str">
        <x:v>Explicit working-day lag</x:v>
      </x:c>
    </x:row>
    <x:row r="494" ht="23" customHeight="1">
      <x:c r="A494" s="6" t="str">
        <x:v>T4-L09-R</x:v>
      </x:c>
      <x:c r="B494" s="6" t="str">
        <x:v>T4-L09-C</x:v>
      </x:c>
      <x:c r="C494" s="6" t="str">
        <x:v>FS</x:v>
      </x:c>
      <x:c r="D494" s="6" t="n">
        <x:v>0</x:v>
      </x:c>
      <x:c r="E494" s="6" t="n">
        <x:f>'Activities'!L452</x:f>
        <x:v>343</x:v>
      </x:c>
      <x:c r="F494" s="6" t="n">
        <x:f>'Activities'!K453</x:f>
        <x:v>343</x:v>
      </x:c>
      <x:c r="G494" s="6" t="n">
        <x:f>F494-E494-D494</x:f>
        <x:v>0</x:v>
      </x:c>
      <x:c r="H494" s="6" t="str">
        <x:v>Explicit working-day lag</x:v>
      </x:c>
    </x:row>
    <x:row r="495" ht="23" customHeight="1">
      <x:c r="A495" s="1" t="str">
        <x:v>T4-L09-C</x:v>
      </x:c>
      <x:c r="B495" s="1" t="str">
        <x:v>T4-L09-H</x:v>
      </x:c>
      <x:c r="C495" s="1" t="str">
        <x:v>FS</x:v>
      </x:c>
      <x:c r="D495" s="1" t="n">
        <x:v>0</x:v>
      </x:c>
      <x:c r="E495" s="1" t="n">
        <x:f>'Activities'!L453</x:f>
        <x:v>345</x:v>
      </x:c>
      <x:c r="F495" s="1" t="n">
        <x:f>'Activities'!K454</x:f>
        <x:v>345</x:v>
      </x:c>
      <x:c r="G495" s="1" t="n">
        <x:f>F495-E495-D495</x:f>
        <x:v>0</x:v>
      </x:c>
      <x:c r="H495" s="1" t="str">
        <x:v>Explicit working-day lag</x:v>
      </x:c>
    </x:row>
    <x:row r="496" ht="23" customHeight="1">
      <x:c r="A496" s="6" t="str">
        <x:v>T4-L09-H</x:v>
      </x:c>
      <x:c r="B496" s="6" t="str">
        <x:v>T4-L10-F</x:v>
      </x:c>
      <x:c r="C496" s="6" t="str">
        <x:v>FS</x:v>
      </x:c>
      <x:c r="D496" s="6" t="n">
        <x:v>0</x:v>
      </x:c>
      <x:c r="E496" s="6" t="n">
        <x:f>'Activities'!L454</x:f>
        <x:v>350</x:v>
      </x:c>
      <x:c r="F496" s="6" t="n">
        <x:f>'Activities'!K455</x:f>
        <x:v>350</x:v>
      </x:c>
      <x:c r="G496" s="6" t="n">
        <x:f>F496-E496-D496</x:f>
        <x:v>0</x:v>
      </x:c>
      <x:c r="H496" s="6" t="str">
        <x:v>Explicit working-day lag</x:v>
      </x:c>
    </x:row>
    <x:row r="497" ht="23" customHeight="1">
      <x:c r="A497" s="1" t="str">
        <x:v>T4-L10-F</x:v>
      </x:c>
      <x:c r="B497" s="1" t="str">
        <x:v>T4-L10-R</x:v>
      </x:c>
      <x:c r="C497" s="1" t="str">
        <x:v>FS</x:v>
      </x:c>
      <x:c r="D497" s="1" t="n">
        <x:v>0</x:v>
      </x:c>
      <x:c r="E497" s="1" t="n">
        <x:f>'Activities'!L455</x:f>
        <x:v>356</x:v>
      </x:c>
      <x:c r="F497" s="1" t="n">
        <x:f>'Activities'!K456</x:f>
        <x:v>356</x:v>
      </x:c>
      <x:c r="G497" s="1" t="n">
        <x:f>F497-E497-D497</x:f>
        <x:v>0</x:v>
      </x:c>
      <x:c r="H497" s="1" t="str">
        <x:v>Explicit working-day lag</x:v>
      </x:c>
    </x:row>
    <x:row r="498" ht="23" customHeight="1">
      <x:c r="A498" s="6" t="str">
        <x:v>T4-L10-R</x:v>
      </x:c>
      <x:c r="B498" s="6" t="str">
        <x:v>T4-L10-C</x:v>
      </x:c>
      <x:c r="C498" s="6" t="str">
        <x:v>FS</x:v>
      </x:c>
      <x:c r="D498" s="6" t="n">
        <x:v>0</x:v>
      </x:c>
      <x:c r="E498" s="6" t="n">
        <x:f>'Activities'!L456</x:f>
        <x:v>361</x:v>
      </x:c>
      <x:c r="F498" s="6" t="n">
        <x:f>'Activities'!K457</x:f>
        <x:v>361</x:v>
      </x:c>
      <x:c r="G498" s="6" t="n">
        <x:f>F498-E498-D498</x:f>
        <x:v>0</x:v>
      </x:c>
      <x:c r="H498" s="6" t="str">
        <x:v>Explicit working-day lag</x:v>
      </x:c>
    </x:row>
    <x:row r="499" ht="23" customHeight="1">
      <x:c r="A499" s="1" t="str">
        <x:v>T4-L10-C</x:v>
      </x:c>
      <x:c r="B499" s="1" t="str">
        <x:v>T4-L10-H</x:v>
      </x:c>
      <x:c r="C499" s="1" t="str">
        <x:v>FS</x:v>
      </x:c>
      <x:c r="D499" s="1" t="n">
        <x:v>0</x:v>
      </x:c>
      <x:c r="E499" s="1" t="n">
        <x:f>'Activities'!L457</x:f>
        <x:v>363</x:v>
      </x:c>
      <x:c r="F499" s="1" t="n">
        <x:f>'Activities'!K458</x:f>
        <x:v>363</x:v>
      </x:c>
      <x:c r="G499" s="1" t="n">
        <x:f>F499-E499-D499</x:f>
        <x:v>0</x:v>
      </x:c>
      <x:c r="H499" s="1" t="str">
        <x:v>Explicit working-day lag</x:v>
      </x:c>
    </x:row>
    <x:row r="500" ht="23" customHeight="1">
      <x:c r="A500" s="6" t="str">
        <x:v>T4-L10-H</x:v>
      </x:c>
      <x:c r="B500" s="6" t="str">
        <x:v>T4-L11-F</x:v>
      </x:c>
      <x:c r="C500" s="6" t="str">
        <x:v>FS</x:v>
      </x:c>
      <x:c r="D500" s="6" t="n">
        <x:v>0</x:v>
      </x:c>
      <x:c r="E500" s="6" t="n">
        <x:f>'Activities'!L458</x:f>
        <x:v>368</x:v>
      </x:c>
      <x:c r="F500" s="6" t="n">
        <x:f>'Activities'!K459</x:f>
        <x:v>368</x:v>
      </x:c>
      <x:c r="G500" s="6" t="n">
        <x:f>F500-E500-D500</x:f>
        <x:v>0</x:v>
      </x:c>
      <x:c r="H500" s="6" t="str">
        <x:v>Explicit working-day lag</x:v>
      </x:c>
    </x:row>
    <x:row r="501" ht="23" customHeight="1">
      <x:c r="A501" s="1" t="str">
        <x:v>T4-L11-F</x:v>
      </x:c>
      <x:c r="B501" s="1" t="str">
        <x:v>T4-L11-R</x:v>
      </x:c>
      <x:c r="C501" s="1" t="str">
        <x:v>FS</x:v>
      </x:c>
      <x:c r="D501" s="1" t="n">
        <x:v>0</x:v>
      </x:c>
      <x:c r="E501" s="1" t="n">
        <x:f>'Activities'!L459</x:f>
        <x:v>374</x:v>
      </x:c>
      <x:c r="F501" s="1" t="n">
        <x:f>'Activities'!K460</x:f>
        <x:v>374</x:v>
      </x:c>
      <x:c r="G501" s="1" t="n">
        <x:f>F501-E501-D501</x:f>
        <x:v>0</x:v>
      </x:c>
      <x:c r="H501" s="1" t="str">
        <x:v>Explicit working-day lag</x:v>
      </x:c>
    </x:row>
    <x:row r="502" ht="23" customHeight="1">
      <x:c r="A502" s="6" t="str">
        <x:v>T4-L11-R</x:v>
      </x:c>
      <x:c r="B502" s="6" t="str">
        <x:v>T4-L11-C</x:v>
      </x:c>
      <x:c r="C502" s="6" t="str">
        <x:v>FS</x:v>
      </x:c>
      <x:c r="D502" s="6" t="n">
        <x:v>0</x:v>
      </x:c>
      <x:c r="E502" s="6" t="n">
        <x:f>'Activities'!L460</x:f>
        <x:v>379</x:v>
      </x:c>
      <x:c r="F502" s="6" t="n">
        <x:f>'Activities'!K461</x:f>
        <x:v>379</x:v>
      </x:c>
      <x:c r="G502" s="6" t="n">
        <x:f>F502-E502-D502</x:f>
        <x:v>0</x:v>
      </x:c>
      <x:c r="H502" s="6" t="str">
        <x:v>Explicit working-day lag</x:v>
      </x:c>
    </x:row>
    <x:row r="503" ht="23" customHeight="1">
      <x:c r="A503" s="1" t="str">
        <x:v>T4-L11-C</x:v>
      </x:c>
      <x:c r="B503" s="1" t="str">
        <x:v>T4-L11-H</x:v>
      </x:c>
      <x:c r="C503" s="1" t="str">
        <x:v>FS</x:v>
      </x:c>
      <x:c r="D503" s="1" t="n">
        <x:v>0</x:v>
      </x:c>
      <x:c r="E503" s="1" t="n">
        <x:f>'Activities'!L461</x:f>
        <x:v>381</x:v>
      </x:c>
      <x:c r="F503" s="1" t="n">
        <x:f>'Activities'!K462</x:f>
        <x:v>381</x:v>
      </x:c>
      <x:c r="G503" s="1" t="n">
        <x:f>F503-E503-D503</x:f>
        <x:v>0</x:v>
      </x:c>
      <x:c r="H503" s="1" t="str">
        <x:v>Explicit working-day lag</x:v>
      </x:c>
    </x:row>
    <x:row r="504" ht="23" customHeight="1">
      <x:c r="A504" s="6" t="str">
        <x:v>T4-L11-H</x:v>
      </x:c>
      <x:c r="B504" s="6" t="str">
        <x:v>T4-L12-F</x:v>
      </x:c>
      <x:c r="C504" s="6" t="str">
        <x:v>FS</x:v>
      </x:c>
      <x:c r="D504" s="6" t="n">
        <x:v>0</x:v>
      </x:c>
      <x:c r="E504" s="6" t="n">
        <x:f>'Activities'!L462</x:f>
        <x:v>386</x:v>
      </x:c>
      <x:c r="F504" s="6" t="n">
        <x:f>'Activities'!K463</x:f>
        <x:v>386</x:v>
      </x:c>
      <x:c r="G504" s="6" t="n">
        <x:f>F504-E504-D504</x:f>
        <x:v>0</x:v>
      </x:c>
      <x:c r="H504" s="6" t="str">
        <x:v>Explicit working-day lag</x:v>
      </x:c>
    </x:row>
    <x:row r="505" ht="23" customHeight="1">
      <x:c r="A505" s="1" t="str">
        <x:v>T4-L12-F</x:v>
      </x:c>
      <x:c r="B505" s="1" t="str">
        <x:v>T4-L12-R</x:v>
      </x:c>
      <x:c r="C505" s="1" t="str">
        <x:v>FS</x:v>
      </x:c>
      <x:c r="D505" s="1" t="n">
        <x:v>0</x:v>
      </x:c>
      <x:c r="E505" s="1" t="n">
        <x:f>'Activities'!L463</x:f>
        <x:v>392</x:v>
      </x:c>
      <x:c r="F505" s="1" t="n">
        <x:f>'Activities'!K464</x:f>
        <x:v>392</x:v>
      </x:c>
      <x:c r="G505" s="1" t="n">
        <x:f>F505-E505-D505</x:f>
        <x:v>0</x:v>
      </x:c>
      <x:c r="H505" s="1" t="str">
        <x:v>Explicit working-day lag</x:v>
      </x:c>
    </x:row>
    <x:row r="506" ht="23" customHeight="1">
      <x:c r="A506" s="6" t="str">
        <x:v>T4-L12-R</x:v>
      </x:c>
      <x:c r="B506" s="6" t="str">
        <x:v>T4-L12-C</x:v>
      </x:c>
      <x:c r="C506" s="6" t="str">
        <x:v>FS</x:v>
      </x:c>
      <x:c r="D506" s="6" t="n">
        <x:v>0</x:v>
      </x:c>
      <x:c r="E506" s="6" t="n">
        <x:f>'Activities'!L464</x:f>
        <x:v>397</x:v>
      </x:c>
      <x:c r="F506" s="6" t="n">
        <x:f>'Activities'!K465</x:f>
        <x:v>397</x:v>
      </x:c>
      <x:c r="G506" s="6" t="n">
        <x:f>F506-E506-D506</x:f>
        <x:v>0</x:v>
      </x:c>
      <x:c r="H506" s="6" t="str">
        <x:v>Explicit working-day lag</x:v>
      </x:c>
    </x:row>
    <x:row r="507" ht="23" customHeight="1">
      <x:c r="A507" s="1" t="str">
        <x:v>T4-L12-C</x:v>
      </x:c>
      <x:c r="B507" s="1" t="str">
        <x:v>T4-L12-H</x:v>
      </x:c>
      <x:c r="C507" s="1" t="str">
        <x:v>FS</x:v>
      </x:c>
      <x:c r="D507" s="1" t="n">
        <x:v>0</x:v>
      </x:c>
      <x:c r="E507" s="1" t="n">
        <x:f>'Activities'!L465</x:f>
        <x:v>399</x:v>
      </x:c>
      <x:c r="F507" s="1" t="n">
        <x:f>'Activities'!K466</x:f>
        <x:v>399</x:v>
      </x:c>
      <x:c r="G507" s="1" t="n">
        <x:f>F507-E507-D507</x:f>
        <x:v>0</x:v>
      </x:c>
      <x:c r="H507" s="1" t="str">
        <x:v>Explicit working-day lag</x:v>
      </x:c>
    </x:row>
    <x:row r="508" ht="23" customHeight="1">
      <x:c r="A508" s="6" t="str">
        <x:v>T4-L12-H</x:v>
      </x:c>
      <x:c r="B508" s="6" t="str">
        <x:v>T4-RF</x:v>
      </x:c>
      <x:c r="C508" s="6" t="str">
        <x:v>FS</x:v>
      </x:c>
      <x:c r="D508" s="6" t="n">
        <x:v>5</x:v>
      </x:c>
      <x:c r="E508" s="6" t="n">
        <x:f>'Activities'!L466</x:f>
        <x:v>404</x:v>
      </x:c>
      <x:c r="F508" s="6" t="n">
        <x:f>'Activities'!K467</x:f>
        <x:v>409</x:v>
      </x:c>
      <x:c r="G508" s="6" t="n">
        <x:f>F508-E508-D508</x:f>
        <x:v>0</x:v>
      </x:c>
      <x:c r="H508" s="6" t="str">
        <x:v>Explicit working-day lag</x:v>
      </x:c>
    </x:row>
    <x:row r="509" ht="23" customHeight="1">
      <x:c r="A509" s="1" t="str">
        <x:v>T4-L08-H</x:v>
      </x:c>
      <x:c r="B509" s="1" t="str">
        <x:v>T4-FA</x:v>
      </x:c>
      <x:c r="C509" s="1" t="str">
        <x:v>FS</x:v>
      </x:c>
      <x:c r="D509" s="1" t="n">
        <x:v>10</x:v>
      </x:c>
      <x:c r="E509" s="1" t="n">
        <x:f>'Activities'!L450</x:f>
        <x:v>332</x:v>
      </x:c>
      <x:c r="F509" s="1" t="n">
        <x:f>'Activities'!K468</x:f>
        <x:v>342</x:v>
      </x:c>
      <x:c r="G509" s="1" t="n">
        <x:f>F509-E509-D509</x:f>
        <x:v>0</x:v>
      </x:c>
      <x:c r="H509" s="1" t="str">
        <x:v>Explicit working-day lag</x:v>
      </x:c>
    </x:row>
    <x:row r="510" ht="23" customHeight="1">
      <x:c r="A510" s="6" t="str">
        <x:v>T4-FA</x:v>
      </x:c>
      <x:c r="B510" s="6" t="str">
        <x:v>T4-GL</x:v>
      </x:c>
      <x:c r="C510" s="6" t="str">
        <x:v>FS</x:v>
      </x:c>
      <x:c r="D510" s="6" t="n">
        <x:v>0</x:v>
      </x:c>
      <x:c r="E510" s="6" t="n">
        <x:f>'Activities'!L468</x:f>
        <x:v>364</x:v>
      </x:c>
      <x:c r="F510" s="6" t="n">
        <x:f>'Activities'!K469</x:f>
        <x:v>423</x:v>
      </x:c>
      <x:c r="G510" s="6" t="n">
        <x:f>F510-E510-D510</x:f>
        <x:v>59</x:v>
      </x:c>
      <x:c r="H510" s="6" t="str">
        <x:v>Explicit working-day lag</x:v>
      </x:c>
    </x:row>
    <x:row r="511" ht="23" customHeight="1">
      <x:c r="A511" s="1" t="str">
        <x:v>T4-RF</x:v>
      </x:c>
      <x:c r="B511" s="1" t="str">
        <x:v>T4-GL</x:v>
      </x:c>
      <x:c r="C511" s="1" t="str">
        <x:v>FS</x:v>
      </x:c>
      <x:c r="D511" s="1" t="n">
        <x:v>0</x:v>
      </x:c>
      <x:c r="E511" s="1" t="n">
        <x:f>'Activities'!L467</x:f>
        <x:v>423</x:v>
      </x:c>
      <x:c r="F511" s="1" t="n">
        <x:f>'Activities'!K469</x:f>
        <x:v>423</x:v>
      </x:c>
      <x:c r="G511" s="1" t="n">
        <x:f>F511-E511-D511</x:f>
        <x:v>0</x:v>
      </x:c>
      <x:c r="H511" s="1" t="str">
        <x:v>Explicit working-day lag</x:v>
      </x:c>
    </x:row>
    <x:row r="512" ht="23" customHeight="1">
      <x:c r="A512" s="6" t="str">
        <x:v>T4-L03-H</x:v>
      </x:c>
      <x:c r="B512" s="6" t="str">
        <x:v>T4-L00-M</x:v>
      </x:c>
      <x:c r="C512" s="6" t="str">
        <x:v>FS</x:v>
      </x:c>
      <x:c r="D512" s="6" t="n">
        <x:v>5</x:v>
      </x:c>
      <x:c r="E512" s="6" t="n">
        <x:f>'Activities'!L430</x:f>
        <x:v>242</x:v>
      </x:c>
      <x:c r="F512" s="6" t="n">
        <x:f>'Activities'!K470</x:f>
        <x:v>247</x:v>
      </x:c>
      <x:c r="G512" s="6" t="n">
        <x:f>F512-E512-D512</x:f>
        <x:v>0</x:v>
      </x:c>
      <x:c r="H512" s="6" t="str">
        <x:v>Explicit working-day lag</x:v>
      </x:c>
    </x:row>
    <x:row r="513" ht="23" customHeight="1">
      <x:c r="A513" s="1" t="str">
        <x:v>T4-L00-M</x:v>
      </x:c>
      <x:c r="B513" s="1" t="str">
        <x:v>T4-L00-P</x:v>
      </x:c>
      <x:c r="C513" s="1" t="str">
        <x:v>FS</x:v>
      </x:c>
      <x:c r="D513" s="1" t="n">
        <x:v>3</x:v>
      </x:c>
      <x:c r="E513" s="1" t="n">
        <x:f>'Activities'!L470</x:f>
        <x:v>252</x:v>
      </x:c>
      <x:c r="F513" s="1" t="n">
        <x:f>'Activities'!K471</x:f>
        <x:v>255</x:v>
      </x:c>
      <x:c r="G513" s="1" t="n">
        <x:f>F513-E513-D513</x:f>
        <x:v>0</x:v>
      </x:c>
      <x:c r="H513" s="1" t="str">
        <x:v>Explicit working-day lag</x:v>
      </x:c>
    </x:row>
    <x:row r="514" ht="23" customHeight="1">
      <x:c r="A514" s="6" t="str">
        <x:v>T4-L00-P</x:v>
      </x:c>
      <x:c r="B514" s="6" t="str">
        <x:v>T4-L00-S</x:v>
      </x:c>
      <x:c r="C514" s="6" t="str">
        <x:v>FS</x:v>
      </x:c>
      <x:c r="D514" s="6" t="n">
        <x:v>2</x:v>
      </x:c>
      <x:c r="E514" s="6" t="n">
        <x:f>'Activities'!L471</x:f>
        <x:v>261</x:v>
      </x:c>
      <x:c r="F514" s="6" t="n">
        <x:f>'Activities'!K472</x:f>
        <x:v>263</x:v>
      </x:c>
      <x:c r="G514" s="6" t="n">
        <x:f>F514-E514-D514</x:f>
        <x:v>0</x:v>
      </x:c>
      <x:c r="H514" s="6" t="str">
        <x:v>Explicit working-day lag</x:v>
      </x:c>
    </x:row>
    <x:row r="515" ht="23" customHeight="1">
      <x:c r="A515" s="1" t="str">
        <x:v>T4-L00-S</x:v>
      </x:c>
      <x:c r="B515" s="1" t="str">
        <x:v>T4-L00-T</x:v>
      </x:c>
      <x:c r="C515" s="1" t="str">
        <x:v>FS</x:v>
      </x:c>
      <x:c r="D515" s="1" t="n">
        <x:v>14</x:v>
      </x:c>
      <x:c r="E515" s="1" t="n">
        <x:f>'Activities'!L472</x:f>
        <x:v>266</x:v>
      </x:c>
      <x:c r="F515" s="1" t="n">
        <x:f>'Activities'!K473</x:f>
        <x:v>437</x:v>
      </x:c>
      <x:c r="G515" s="1" t="n">
        <x:f>F515-E515-D515</x:f>
        <x:v>157</x:v>
      </x:c>
      <x:c r="H515" s="1" t="str">
        <x:v>Explicit working-day lag</x:v>
      </x:c>
    </x:row>
    <x:row r="516" ht="23" customHeight="1">
      <x:c r="A516" s="6" t="str">
        <x:v>T4-GL</x:v>
      </x:c>
      <x:c r="B516" s="6" t="str">
        <x:v>T4-L00-T</x:v>
      </x:c>
      <x:c r="C516" s="6" t="str">
        <x:v>FS</x:v>
      </x:c>
      <x:c r="D516" s="6" t="n">
        <x:v>0</x:v>
      </x:c>
      <x:c r="E516" s="6" t="n">
        <x:f>'Activities'!L469</x:f>
        <x:v>437</x:v>
      </x:c>
      <x:c r="F516" s="6" t="n">
        <x:f>'Activities'!K473</x:f>
        <x:v>437</x:v>
      </x:c>
      <x:c r="G516" s="6" t="n">
        <x:f>F516-E516-D516</x:f>
        <x:v>0</x:v>
      </x:c>
      <x:c r="H516" s="6" t="str">
        <x:v>Explicit working-day lag</x:v>
      </x:c>
    </x:row>
    <x:row r="517" ht="23" customHeight="1">
      <x:c r="A517" s="1" t="str">
        <x:v>T4-L00-T</x:v>
      </x:c>
      <x:c r="B517" s="1" t="str">
        <x:v>T4-L00-A</x:v>
      </x:c>
      <x:c r="C517" s="1" t="str">
        <x:v>FS</x:v>
      </x:c>
      <x:c r="D517" s="1" t="n">
        <x:v>2</x:v>
      </x:c>
      <x:c r="E517" s="1" t="n">
        <x:f>'Activities'!L473</x:f>
        <x:v>443</x:v>
      </x:c>
      <x:c r="F517" s="1" t="n">
        <x:f>'Activities'!K474</x:f>
        <x:v>445</x:v>
      </x:c>
      <x:c r="G517" s="1" t="n">
        <x:f>F517-E517-D517</x:f>
        <x:v>0</x:v>
      </x:c>
      <x:c r="H517" s="1" t="str">
        <x:v>Explicit working-day lag</x:v>
      </x:c>
    </x:row>
    <x:row r="518" ht="23" customHeight="1">
      <x:c r="A518" s="6" t="str">
        <x:v>T4-L00-A</x:v>
      </x:c>
      <x:c r="B518" s="6" t="str">
        <x:v>T4-L00-D</x:v>
      </x:c>
      <x:c r="C518" s="6" t="str">
        <x:v>FS</x:v>
      </x:c>
      <x:c r="D518" s="6" t="n">
        <x:v>0</x:v>
      </x:c>
      <x:c r="E518" s="6" t="n">
        <x:f>'Activities'!L474</x:f>
        <x:v>450</x:v>
      </x:c>
      <x:c r="F518" s="6" t="n">
        <x:f>'Activities'!K475</x:f>
        <x:v>450</x:v>
      </x:c>
      <x:c r="G518" s="6" t="n">
        <x:f>F518-E518-D518</x:f>
        <x:v>0</x:v>
      </x:c>
      <x:c r="H518" s="6" t="str">
        <x:v>Explicit working-day lag</x:v>
      </x:c>
    </x:row>
    <x:row r="519" ht="23" customHeight="1">
      <x:c r="A519" s="1" t="str">
        <x:v>T4-L04-H</x:v>
      </x:c>
      <x:c r="B519" s="1" t="str">
        <x:v>T4-L01-M</x:v>
      </x:c>
      <x:c r="C519" s="1" t="str">
        <x:v>FS</x:v>
      </x:c>
      <x:c r="D519" s="1" t="n">
        <x:v>5</x:v>
      </x:c>
      <x:c r="E519" s="1" t="n">
        <x:f>'Activities'!L434</x:f>
        <x:v>260</x:v>
      </x:c>
      <x:c r="F519" s="1" t="n">
        <x:f>'Activities'!K476</x:f>
        <x:v>265</x:v>
      </x:c>
      <x:c r="G519" s="1" t="n">
        <x:f>F519-E519-D519</x:f>
        <x:v>0</x:v>
      </x:c>
      <x:c r="H519" s="1" t="str">
        <x:v>Explicit working-day lag</x:v>
      </x:c>
    </x:row>
    <x:row r="520" ht="23" customHeight="1">
      <x:c r="A520" s="6" t="str">
        <x:v>T4-L01-M</x:v>
      </x:c>
      <x:c r="B520" s="6" t="str">
        <x:v>T4-L01-P</x:v>
      </x:c>
      <x:c r="C520" s="6" t="str">
        <x:v>FS</x:v>
      </x:c>
      <x:c r="D520" s="6" t="n">
        <x:v>3</x:v>
      </x:c>
      <x:c r="E520" s="6" t="n">
        <x:f>'Activities'!L476</x:f>
        <x:v>270</x:v>
      </x:c>
      <x:c r="F520" s="6" t="n">
        <x:f>'Activities'!K477</x:f>
        <x:v>273</x:v>
      </x:c>
      <x:c r="G520" s="6" t="n">
        <x:f>F520-E520-D520</x:f>
        <x:v>0</x:v>
      </x:c>
      <x:c r="H520" s="6" t="str">
        <x:v>Explicit working-day lag</x:v>
      </x:c>
    </x:row>
    <x:row r="521" ht="23" customHeight="1">
      <x:c r="A521" s="1" t="str">
        <x:v>T4-L01-P</x:v>
      </x:c>
      <x:c r="B521" s="1" t="str">
        <x:v>T4-L01-S</x:v>
      </x:c>
      <x:c r="C521" s="1" t="str">
        <x:v>FS</x:v>
      </x:c>
      <x:c r="D521" s="1" t="n">
        <x:v>2</x:v>
      </x:c>
      <x:c r="E521" s="1" t="n">
        <x:f>'Activities'!L477</x:f>
        <x:v>279</x:v>
      </x:c>
      <x:c r="F521" s="1" t="n">
        <x:f>'Activities'!K478</x:f>
        <x:v>281</x:v>
      </x:c>
      <x:c r="G521" s="1" t="n">
        <x:f>F521-E521-D521</x:f>
        <x:v>0</x:v>
      </x:c>
      <x:c r="H521" s="1" t="str">
        <x:v>Explicit working-day lag</x:v>
      </x:c>
    </x:row>
    <x:row r="522" ht="23" customHeight="1">
      <x:c r="A522" s="6" t="str">
        <x:v>T4-L01-S</x:v>
      </x:c>
      <x:c r="B522" s="6" t="str">
        <x:v>T4-L01-T</x:v>
      </x:c>
      <x:c r="C522" s="6" t="str">
        <x:v>FS</x:v>
      </x:c>
      <x:c r="D522" s="6" t="n">
        <x:v>14</x:v>
      </x:c>
      <x:c r="E522" s="6" t="n">
        <x:f>'Activities'!L478</x:f>
        <x:v>284</x:v>
      </x:c>
      <x:c r="F522" s="6" t="n">
        <x:f>'Activities'!K479</x:f>
        <x:v>437</x:v>
      </x:c>
      <x:c r="G522" s="6" t="n">
        <x:f>F522-E522-D522</x:f>
        <x:v>139</x:v>
      </x:c>
      <x:c r="H522" s="6" t="str">
        <x:v>Explicit working-day lag</x:v>
      </x:c>
    </x:row>
    <x:row r="523" ht="23" customHeight="1">
      <x:c r="A523" s="1" t="str">
        <x:v>T4-GL</x:v>
      </x:c>
      <x:c r="B523" s="1" t="str">
        <x:v>T4-L01-T</x:v>
      </x:c>
      <x:c r="C523" s="1" t="str">
        <x:v>FS</x:v>
      </x:c>
      <x:c r="D523" s="1" t="n">
        <x:v>0</x:v>
      </x:c>
      <x:c r="E523" s="1" t="n">
        <x:f>'Activities'!L469</x:f>
        <x:v>437</x:v>
      </x:c>
      <x:c r="F523" s="1" t="n">
        <x:f>'Activities'!K479</x:f>
        <x:v>437</x:v>
      </x:c>
      <x:c r="G523" s="1" t="n">
        <x:f>F523-E523-D523</x:f>
        <x:v>0</x:v>
      </x:c>
      <x:c r="H523" s="1" t="str">
        <x:v>Explicit working-day lag</x:v>
      </x:c>
    </x:row>
    <x:row r="524" ht="23" customHeight="1">
      <x:c r="A524" s="6" t="str">
        <x:v>T4-L01-T</x:v>
      </x:c>
      <x:c r="B524" s="6" t="str">
        <x:v>T4-L01-A</x:v>
      </x:c>
      <x:c r="C524" s="6" t="str">
        <x:v>FS</x:v>
      </x:c>
      <x:c r="D524" s="6" t="n">
        <x:v>2</x:v>
      </x:c>
      <x:c r="E524" s="6" t="n">
        <x:f>'Activities'!L479</x:f>
        <x:v>443</x:v>
      </x:c>
      <x:c r="F524" s="6" t="n">
        <x:f>'Activities'!K480</x:f>
        <x:v>445</x:v>
      </x:c>
      <x:c r="G524" s="6" t="n">
        <x:f>F524-E524-D524</x:f>
        <x:v>0</x:v>
      </x:c>
      <x:c r="H524" s="6" t="str">
        <x:v>Explicit working-day lag</x:v>
      </x:c>
    </x:row>
    <x:row r="525" ht="23" customHeight="1">
      <x:c r="A525" s="1" t="str">
        <x:v>T4-L01-A</x:v>
      </x:c>
      <x:c r="B525" s="1" t="str">
        <x:v>T4-L01-D</x:v>
      </x:c>
      <x:c r="C525" s="1" t="str">
        <x:v>FS</x:v>
      </x:c>
      <x:c r="D525" s="1" t="n">
        <x:v>0</x:v>
      </x:c>
      <x:c r="E525" s="1" t="n">
        <x:f>'Activities'!L480</x:f>
        <x:v>450</x:v>
      </x:c>
      <x:c r="F525" s="1" t="n">
        <x:f>'Activities'!K481</x:f>
        <x:v>450</x:v>
      </x:c>
      <x:c r="G525" s="1" t="n">
        <x:f>F525-E525-D525</x:f>
        <x:v>0</x:v>
      </x:c>
      <x:c r="H525" s="1" t="str">
        <x:v>Explicit working-day lag</x:v>
      </x:c>
    </x:row>
    <x:row r="526" ht="23" customHeight="1">
      <x:c r="A526" s="6" t="str">
        <x:v>T4-L05-H</x:v>
      </x:c>
      <x:c r="B526" s="6" t="str">
        <x:v>T4-L02-M</x:v>
      </x:c>
      <x:c r="C526" s="6" t="str">
        <x:v>FS</x:v>
      </x:c>
      <x:c r="D526" s="6" t="n">
        <x:v>5</x:v>
      </x:c>
      <x:c r="E526" s="6" t="n">
        <x:f>'Activities'!L438</x:f>
        <x:v>278</x:v>
      </x:c>
      <x:c r="F526" s="6" t="n">
        <x:f>'Activities'!K482</x:f>
        <x:v>283</x:v>
      </x:c>
      <x:c r="G526" s="6" t="n">
        <x:f>F526-E526-D526</x:f>
        <x:v>0</x:v>
      </x:c>
      <x:c r="H526" s="6" t="str">
        <x:v>Explicit working-day lag</x:v>
      </x:c>
    </x:row>
    <x:row r="527" ht="23" customHeight="1">
      <x:c r="A527" s="1" t="str">
        <x:v>T4-L02-M</x:v>
      </x:c>
      <x:c r="B527" s="1" t="str">
        <x:v>T4-L02-P</x:v>
      </x:c>
      <x:c r="C527" s="1" t="str">
        <x:v>FS</x:v>
      </x:c>
      <x:c r="D527" s="1" t="n">
        <x:v>3</x:v>
      </x:c>
      <x:c r="E527" s="1" t="n">
        <x:f>'Activities'!L482</x:f>
        <x:v>288</x:v>
      </x:c>
      <x:c r="F527" s="1" t="n">
        <x:f>'Activities'!K483</x:f>
        <x:v>291</x:v>
      </x:c>
      <x:c r="G527" s="1" t="n">
        <x:f>F527-E527-D527</x:f>
        <x:v>0</x:v>
      </x:c>
      <x:c r="H527" s="1" t="str">
        <x:v>Explicit working-day lag</x:v>
      </x:c>
    </x:row>
    <x:row r="528" ht="23" customHeight="1">
      <x:c r="A528" s="6" t="str">
        <x:v>T4-L02-P</x:v>
      </x:c>
      <x:c r="B528" s="6" t="str">
        <x:v>T4-L02-S</x:v>
      </x:c>
      <x:c r="C528" s="6" t="str">
        <x:v>FS</x:v>
      </x:c>
      <x:c r="D528" s="6" t="n">
        <x:v>2</x:v>
      </x:c>
      <x:c r="E528" s="6" t="n">
        <x:f>'Activities'!L483</x:f>
        <x:v>297</x:v>
      </x:c>
      <x:c r="F528" s="6" t="n">
        <x:f>'Activities'!K484</x:f>
        <x:v>299</x:v>
      </x:c>
      <x:c r="G528" s="6" t="n">
        <x:f>F528-E528-D528</x:f>
        <x:v>0</x:v>
      </x:c>
      <x:c r="H528" s="6" t="str">
        <x:v>Explicit working-day lag</x:v>
      </x:c>
    </x:row>
    <x:row r="529" ht="23" customHeight="1">
      <x:c r="A529" s="1" t="str">
        <x:v>T4-L02-S</x:v>
      </x:c>
      <x:c r="B529" s="1" t="str">
        <x:v>T4-L02-T</x:v>
      </x:c>
      <x:c r="C529" s="1" t="str">
        <x:v>FS</x:v>
      </x:c>
      <x:c r="D529" s="1" t="n">
        <x:v>14</x:v>
      </x:c>
      <x:c r="E529" s="1" t="n">
        <x:f>'Activities'!L484</x:f>
        <x:v>302</x:v>
      </x:c>
      <x:c r="F529" s="1" t="n">
        <x:f>'Activities'!K485</x:f>
        <x:v>437</x:v>
      </x:c>
      <x:c r="G529" s="1" t="n">
        <x:f>F529-E529-D529</x:f>
        <x:v>121</x:v>
      </x:c>
      <x:c r="H529" s="1" t="str">
        <x:v>Explicit working-day lag</x:v>
      </x:c>
    </x:row>
    <x:row r="530" ht="23" customHeight="1">
      <x:c r="A530" s="6" t="str">
        <x:v>T4-GL</x:v>
      </x:c>
      <x:c r="B530" s="6" t="str">
        <x:v>T4-L02-T</x:v>
      </x:c>
      <x:c r="C530" s="6" t="str">
        <x:v>FS</x:v>
      </x:c>
      <x:c r="D530" s="6" t="n">
        <x:v>0</x:v>
      </x:c>
      <x:c r="E530" s="6" t="n">
        <x:f>'Activities'!L469</x:f>
        <x:v>437</x:v>
      </x:c>
      <x:c r="F530" s="6" t="n">
        <x:f>'Activities'!K485</x:f>
        <x:v>437</x:v>
      </x:c>
      <x:c r="G530" s="6" t="n">
        <x:f>F530-E530-D530</x:f>
        <x:v>0</x:v>
      </x:c>
      <x:c r="H530" s="6" t="str">
        <x:v>Explicit working-day lag</x:v>
      </x:c>
    </x:row>
    <x:row r="531" ht="23" customHeight="1">
      <x:c r="A531" s="1" t="str">
        <x:v>T4-L02-T</x:v>
      </x:c>
      <x:c r="B531" s="1" t="str">
        <x:v>T4-L02-A</x:v>
      </x:c>
      <x:c r="C531" s="1" t="str">
        <x:v>FS</x:v>
      </x:c>
      <x:c r="D531" s="1" t="n">
        <x:v>2</x:v>
      </x:c>
      <x:c r="E531" s="1" t="n">
        <x:f>'Activities'!L485</x:f>
        <x:v>443</x:v>
      </x:c>
      <x:c r="F531" s="1" t="n">
        <x:f>'Activities'!K486</x:f>
        <x:v>445</x:v>
      </x:c>
      <x:c r="G531" s="1" t="n">
        <x:f>F531-E531-D531</x:f>
        <x:v>0</x:v>
      </x:c>
      <x:c r="H531" s="1" t="str">
        <x:v>Explicit working-day lag</x:v>
      </x:c>
    </x:row>
    <x:row r="532" ht="23" customHeight="1">
      <x:c r="A532" s="6" t="str">
        <x:v>T4-L02-A</x:v>
      </x:c>
      <x:c r="B532" s="6" t="str">
        <x:v>T4-L02-D</x:v>
      </x:c>
      <x:c r="C532" s="6" t="str">
        <x:v>FS</x:v>
      </x:c>
      <x:c r="D532" s="6" t="n">
        <x:v>0</x:v>
      </x:c>
      <x:c r="E532" s="6" t="n">
        <x:f>'Activities'!L486</x:f>
        <x:v>450</x:v>
      </x:c>
      <x:c r="F532" s="6" t="n">
        <x:f>'Activities'!K487</x:f>
        <x:v>450</x:v>
      </x:c>
      <x:c r="G532" s="6" t="n">
        <x:f>F532-E532-D532</x:f>
        <x:v>0</x:v>
      </x:c>
      <x:c r="H532" s="6" t="str">
        <x:v>Explicit working-day lag</x:v>
      </x:c>
    </x:row>
    <x:row r="533" ht="23" customHeight="1">
      <x:c r="A533" s="1" t="str">
        <x:v>T4-L06-H</x:v>
      </x:c>
      <x:c r="B533" s="1" t="str">
        <x:v>T4-L03-M</x:v>
      </x:c>
      <x:c r="C533" s="1" t="str">
        <x:v>FS</x:v>
      </x:c>
      <x:c r="D533" s="1" t="n">
        <x:v>5</x:v>
      </x:c>
      <x:c r="E533" s="1" t="n">
        <x:f>'Activities'!L442</x:f>
        <x:v>296</x:v>
      </x:c>
      <x:c r="F533" s="1" t="n">
        <x:f>'Activities'!K488</x:f>
        <x:v>301</x:v>
      </x:c>
      <x:c r="G533" s="1" t="n">
        <x:f>F533-E533-D533</x:f>
        <x:v>0</x:v>
      </x:c>
      <x:c r="H533" s="1" t="str">
        <x:v>Explicit working-day lag</x:v>
      </x:c>
    </x:row>
    <x:row r="534" ht="23" customHeight="1">
      <x:c r="A534" s="6" t="str">
        <x:v>T4-L03-M</x:v>
      </x:c>
      <x:c r="B534" s="6" t="str">
        <x:v>T4-L03-P</x:v>
      </x:c>
      <x:c r="C534" s="6" t="str">
        <x:v>FS</x:v>
      </x:c>
      <x:c r="D534" s="6" t="n">
        <x:v>3</x:v>
      </x:c>
      <x:c r="E534" s="6" t="n">
        <x:f>'Activities'!L488</x:f>
        <x:v>306</x:v>
      </x:c>
      <x:c r="F534" s="6" t="n">
        <x:f>'Activities'!K489</x:f>
        <x:v>309</x:v>
      </x:c>
      <x:c r="G534" s="6" t="n">
        <x:f>F534-E534-D534</x:f>
        <x:v>0</x:v>
      </x:c>
      <x:c r="H534" s="6" t="str">
        <x:v>Explicit working-day lag</x:v>
      </x:c>
    </x:row>
    <x:row r="535" ht="23" customHeight="1">
      <x:c r="A535" s="1" t="str">
        <x:v>T4-L03-P</x:v>
      </x:c>
      <x:c r="B535" s="1" t="str">
        <x:v>T4-L03-S</x:v>
      </x:c>
      <x:c r="C535" s="1" t="str">
        <x:v>FS</x:v>
      </x:c>
      <x:c r="D535" s="1" t="n">
        <x:v>2</x:v>
      </x:c>
      <x:c r="E535" s="1" t="n">
        <x:f>'Activities'!L489</x:f>
        <x:v>315</x:v>
      </x:c>
      <x:c r="F535" s="1" t="n">
        <x:f>'Activities'!K490</x:f>
        <x:v>317</x:v>
      </x:c>
      <x:c r="G535" s="1" t="n">
        <x:f>F535-E535-D535</x:f>
        <x:v>0</x:v>
      </x:c>
      <x:c r="H535" s="1" t="str">
        <x:v>Explicit working-day lag</x:v>
      </x:c>
    </x:row>
    <x:row r="536" ht="23" customHeight="1">
      <x:c r="A536" s="6" t="str">
        <x:v>T4-L03-S</x:v>
      </x:c>
      <x:c r="B536" s="6" t="str">
        <x:v>T4-L03-T</x:v>
      </x:c>
      <x:c r="C536" s="6" t="str">
        <x:v>FS</x:v>
      </x:c>
      <x:c r="D536" s="6" t="n">
        <x:v>14</x:v>
      </x:c>
      <x:c r="E536" s="6" t="n">
        <x:f>'Activities'!L490</x:f>
        <x:v>320</x:v>
      </x:c>
      <x:c r="F536" s="6" t="n">
        <x:f>'Activities'!K491</x:f>
        <x:v>437</x:v>
      </x:c>
      <x:c r="G536" s="6" t="n">
        <x:f>F536-E536-D536</x:f>
        <x:v>103</x:v>
      </x:c>
      <x:c r="H536" s="6" t="str">
        <x:v>Explicit working-day lag</x:v>
      </x:c>
    </x:row>
    <x:row r="537" ht="23" customHeight="1">
      <x:c r="A537" s="1" t="str">
        <x:v>T4-GL</x:v>
      </x:c>
      <x:c r="B537" s="1" t="str">
        <x:v>T4-L03-T</x:v>
      </x:c>
      <x:c r="C537" s="1" t="str">
        <x:v>FS</x:v>
      </x:c>
      <x:c r="D537" s="1" t="n">
        <x:v>0</x:v>
      </x:c>
      <x:c r="E537" s="1" t="n">
        <x:f>'Activities'!L469</x:f>
        <x:v>437</x:v>
      </x:c>
      <x:c r="F537" s="1" t="n">
        <x:f>'Activities'!K491</x:f>
        <x:v>437</x:v>
      </x:c>
      <x:c r="G537" s="1" t="n">
        <x:f>F537-E537-D537</x:f>
        <x:v>0</x:v>
      </x:c>
      <x:c r="H537" s="1" t="str">
        <x:v>Explicit working-day lag</x:v>
      </x:c>
    </x:row>
    <x:row r="538" ht="23" customHeight="1">
      <x:c r="A538" s="6" t="str">
        <x:v>T4-L03-T</x:v>
      </x:c>
      <x:c r="B538" s="6" t="str">
        <x:v>T4-L03-A</x:v>
      </x:c>
      <x:c r="C538" s="6" t="str">
        <x:v>FS</x:v>
      </x:c>
      <x:c r="D538" s="6" t="n">
        <x:v>2</x:v>
      </x:c>
      <x:c r="E538" s="6" t="n">
        <x:f>'Activities'!L491</x:f>
        <x:v>443</x:v>
      </x:c>
      <x:c r="F538" s="6" t="n">
        <x:f>'Activities'!K492</x:f>
        <x:v>445</x:v>
      </x:c>
      <x:c r="G538" s="6" t="n">
        <x:f>F538-E538-D538</x:f>
        <x:v>0</x:v>
      </x:c>
      <x:c r="H538" s="6" t="str">
        <x:v>Explicit working-day lag</x:v>
      </x:c>
    </x:row>
    <x:row r="539" ht="23" customHeight="1">
      <x:c r="A539" s="1" t="str">
        <x:v>T4-L03-A</x:v>
      </x:c>
      <x:c r="B539" s="1" t="str">
        <x:v>T4-L03-D</x:v>
      </x:c>
      <x:c r="C539" s="1" t="str">
        <x:v>FS</x:v>
      </x:c>
      <x:c r="D539" s="1" t="n">
        <x:v>0</x:v>
      </x:c>
      <x:c r="E539" s="1" t="n">
        <x:f>'Activities'!L492</x:f>
        <x:v>450</x:v>
      </x:c>
      <x:c r="F539" s="1" t="n">
        <x:f>'Activities'!K493</x:f>
        <x:v>450</x:v>
      </x:c>
      <x:c r="G539" s="1" t="n">
        <x:f>F539-E539-D539</x:f>
        <x:v>0</x:v>
      </x:c>
      <x:c r="H539" s="1" t="str">
        <x:v>Explicit working-day lag</x:v>
      </x:c>
    </x:row>
    <x:row r="540" ht="23" customHeight="1">
      <x:c r="A540" s="6" t="str">
        <x:v>T4-L07-H</x:v>
      </x:c>
      <x:c r="B540" s="6" t="str">
        <x:v>T4-L04-M</x:v>
      </x:c>
      <x:c r="C540" s="6" t="str">
        <x:v>FS</x:v>
      </x:c>
      <x:c r="D540" s="6" t="n">
        <x:v>5</x:v>
      </x:c>
      <x:c r="E540" s="6" t="n">
        <x:f>'Activities'!L446</x:f>
        <x:v>314</x:v>
      </x:c>
      <x:c r="F540" s="6" t="n">
        <x:f>'Activities'!K494</x:f>
        <x:v>319</x:v>
      </x:c>
      <x:c r="G540" s="6" t="n">
        <x:f>F540-E540-D540</x:f>
        <x:v>0</x:v>
      </x:c>
      <x:c r="H540" s="6" t="str">
        <x:v>Explicit working-day lag</x:v>
      </x:c>
    </x:row>
    <x:row r="541" ht="23" customHeight="1">
      <x:c r="A541" s="1" t="str">
        <x:v>T4-L04-M</x:v>
      </x:c>
      <x:c r="B541" s="1" t="str">
        <x:v>T4-L04-P</x:v>
      </x:c>
      <x:c r="C541" s="1" t="str">
        <x:v>FS</x:v>
      </x:c>
      <x:c r="D541" s="1" t="n">
        <x:v>3</x:v>
      </x:c>
      <x:c r="E541" s="1" t="n">
        <x:f>'Activities'!L494</x:f>
        <x:v>324</x:v>
      </x:c>
      <x:c r="F541" s="1" t="n">
        <x:f>'Activities'!K495</x:f>
        <x:v>327</x:v>
      </x:c>
      <x:c r="G541" s="1" t="n">
        <x:f>F541-E541-D541</x:f>
        <x:v>0</x:v>
      </x:c>
      <x:c r="H541" s="1" t="str">
        <x:v>Explicit working-day lag</x:v>
      </x:c>
    </x:row>
    <x:row r="542" ht="23" customHeight="1">
      <x:c r="A542" s="6" t="str">
        <x:v>T4-L04-P</x:v>
      </x:c>
      <x:c r="B542" s="6" t="str">
        <x:v>T4-L04-S</x:v>
      </x:c>
      <x:c r="C542" s="6" t="str">
        <x:v>FS</x:v>
      </x:c>
      <x:c r="D542" s="6" t="n">
        <x:v>2</x:v>
      </x:c>
      <x:c r="E542" s="6" t="n">
        <x:f>'Activities'!L495</x:f>
        <x:v>333</x:v>
      </x:c>
      <x:c r="F542" s="6" t="n">
        <x:f>'Activities'!K496</x:f>
        <x:v>335</x:v>
      </x:c>
      <x:c r="G542" s="6" t="n">
        <x:f>F542-E542-D542</x:f>
        <x:v>0</x:v>
      </x:c>
      <x:c r="H542" s="6" t="str">
        <x:v>Explicit working-day lag</x:v>
      </x:c>
    </x:row>
    <x:row r="543" ht="23" customHeight="1">
      <x:c r="A543" s="1" t="str">
        <x:v>T4-L04-S</x:v>
      </x:c>
      <x:c r="B543" s="1" t="str">
        <x:v>T4-L04-T</x:v>
      </x:c>
      <x:c r="C543" s="1" t="str">
        <x:v>FS</x:v>
      </x:c>
      <x:c r="D543" s="1" t="n">
        <x:v>14</x:v>
      </x:c>
      <x:c r="E543" s="1" t="n">
        <x:f>'Activities'!L496</x:f>
        <x:v>338</x:v>
      </x:c>
      <x:c r="F543" s="1" t="n">
        <x:f>'Activities'!K497</x:f>
        <x:v>437</x:v>
      </x:c>
      <x:c r="G543" s="1" t="n">
        <x:f>F543-E543-D543</x:f>
        <x:v>85</x:v>
      </x:c>
      <x:c r="H543" s="1" t="str">
        <x:v>Explicit working-day lag</x:v>
      </x:c>
    </x:row>
    <x:row r="544" ht="23" customHeight="1">
      <x:c r="A544" s="6" t="str">
        <x:v>T4-GL</x:v>
      </x:c>
      <x:c r="B544" s="6" t="str">
        <x:v>T4-L04-T</x:v>
      </x:c>
      <x:c r="C544" s="6" t="str">
        <x:v>FS</x:v>
      </x:c>
      <x:c r="D544" s="6" t="n">
        <x:v>0</x:v>
      </x:c>
      <x:c r="E544" s="6" t="n">
        <x:f>'Activities'!L469</x:f>
        <x:v>437</x:v>
      </x:c>
      <x:c r="F544" s="6" t="n">
        <x:f>'Activities'!K497</x:f>
        <x:v>437</x:v>
      </x:c>
      <x:c r="G544" s="6" t="n">
        <x:f>F544-E544-D544</x:f>
        <x:v>0</x:v>
      </x:c>
      <x:c r="H544" s="6" t="str">
        <x:v>Explicit working-day lag</x:v>
      </x:c>
    </x:row>
    <x:row r="545" ht="23" customHeight="1">
      <x:c r="A545" s="1" t="str">
        <x:v>T4-L04-T</x:v>
      </x:c>
      <x:c r="B545" s="1" t="str">
        <x:v>T4-L04-A</x:v>
      </x:c>
      <x:c r="C545" s="1" t="str">
        <x:v>FS</x:v>
      </x:c>
      <x:c r="D545" s="1" t="n">
        <x:v>2</x:v>
      </x:c>
      <x:c r="E545" s="1" t="n">
        <x:f>'Activities'!L497</x:f>
        <x:v>443</x:v>
      </x:c>
      <x:c r="F545" s="1" t="n">
        <x:f>'Activities'!K498</x:f>
        <x:v>445</x:v>
      </x:c>
      <x:c r="G545" s="1" t="n">
        <x:f>F545-E545-D545</x:f>
        <x:v>0</x:v>
      </x:c>
      <x:c r="H545" s="1" t="str">
        <x:v>Explicit working-day lag</x:v>
      </x:c>
    </x:row>
    <x:row r="546" ht="23" customHeight="1">
      <x:c r="A546" s="6" t="str">
        <x:v>T4-L04-A</x:v>
      </x:c>
      <x:c r="B546" s="6" t="str">
        <x:v>T4-L04-D</x:v>
      </x:c>
      <x:c r="C546" s="6" t="str">
        <x:v>FS</x:v>
      </x:c>
      <x:c r="D546" s="6" t="n">
        <x:v>0</x:v>
      </x:c>
      <x:c r="E546" s="6" t="n">
        <x:f>'Activities'!L498</x:f>
        <x:v>450</x:v>
      </x:c>
      <x:c r="F546" s="6" t="n">
        <x:f>'Activities'!K499</x:f>
        <x:v>450</x:v>
      </x:c>
      <x:c r="G546" s="6" t="n">
        <x:f>F546-E546-D546</x:f>
        <x:v>0</x:v>
      </x:c>
      <x:c r="H546" s="6" t="str">
        <x:v>Explicit working-day lag</x:v>
      </x:c>
    </x:row>
    <x:row r="547" ht="23" customHeight="1">
      <x:c r="A547" s="1" t="str">
        <x:v>T4-L08-H</x:v>
      </x:c>
      <x:c r="B547" s="1" t="str">
        <x:v>T4-L05-M</x:v>
      </x:c>
      <x:c r="C547" s="1" t="str">
        <x:v>FS</x:v>
      </x:c>
      <x:c r="D547" s="1" t="n">
        <x:v>5</x:v>
      </x:c>
      <x:c r="E547" s="1" t="n">
        <x:f>'Activities'!L450</x:f>
        <x:v>332</x:v>
      </x:c>
      <x:c r="F547" s="1" t="n">
        <x:f>'Activities'!K500</x:f>
        <x:v>337</x:v>
      </x:c>
      <x:c r="G547" s="1" t="n">
        <x:f>F547-E547-D547</x:f>
        <x:v>0</x:v>
      </x:c>
      <x:c r="H547" s="1" t="str">
        <x:v>Explicit working-day lag</x:v>
      </x:c>
    </x:row>
    <x:row r="548" ht="23" customHeight="1">
      <x:c r="A548" s="6" t="str">
        <x:v>T4-L05-M</x:v>
      </x:c>
      <x:c r="B548" s="6" t="str">
        <x:v>T4-L05-P</x:v>
      </x:c>
      <x:c r="C548" s="6" t="str">
        <x:v>FS</x:v>
      </x:c>
      <x:c r="D548" s="6" t="n">
        <x:v>3</x:v>
      </x:c>
      <x:c r="E548" s="6" t="n">
        <x:f>'Activities'!L500</x:f>
        <x:v>342</x:v>
      </x:c>
      <x:c r="F548" s="6" t="n">
        <x:f>'Activities'!K501</x:f>
        <x:v>345</x:v>
      </x:c>
      <x:c r="G548" s="6" t="n">
        <x:f>F548-E548-D548</x:f>
        <x:v>0</x:v>
      </x:c>
      <x:c r="H548" s="6" t="str">
        <x:v>Explicit working-day lag</x:v>
      </x:c>
    </x:row>
    <x:row r="549" ht="23" customHeight="1">
      <x:c r="A549" s="1" t="str">
        <x:v>T4-L05-P</x:v>
      </x:c>
      <x:c r="B549" s="1" t="str">
        <x:v>T4-L05-S</x:v>
      </x:c>
      <x:c r="C549" s="1" t="str">
        <x:v>FS</x:v>
      </x:c>
      <x:c r="D549" s="1" t="n">
        <x:v>2</x:v>
      </x:c>
      <x:c r="E549" s="1" t="n">
        <x:f>'Activities'!L501</x:f>
        <x:v>351</x:v>
      </x:c>
      <x:c r="F549" s="1" t="n">
        <x:f>'Activities'!K502</x:f>
        <x:v>353</x:v>
      </x:c>
      <x:c r="G549" s="1" t="n">
        <x:f>F549-E549-D549</x:f>
        <x:v>0</x:v>
      </x:c>
      <x:c r="H549" s="1" t="str">
        <x:v>Explicit working-day lag</x:v>
      </x:c>
    </x:row>
    <x:row r="550" ht="23" customHeight="1">
      <x:c r="A550" s="6" t="str">
        <x:v>T4-L05-S</x:v>
      </x:c>
      <x:c r="B550" s="6" t="str">
        <x:v>T4-L05-T</x:v>
      </x:c>
      <x:c r="C550" s="6" t="str">
        <x:v>FS</x:v>
      </x:c>
      <x:c r="D550" s="6" t="n">
        <x:v>14</x:v>
      </x:c>
      <x:c r="E550" s="6" t="n">
        <x:f>'Activities'!L502</x:f>
        <x:v>356</x:v>
      </x:c>
      <x:c r="F550" s="6" t="n">
        <x:f>'Activities'!K503</x:f>
        <x:v>437</x:v>
      </x:c>
      <x:c r="G550" s="6" t="n">
        <x:f>F550-E550-D550</x:f>
        <x:v>67</x:v>
      </x:c>
      <x:c r="H550" s="6" t="str">
        <x:v>Explicit working-day lag</x:v>
      </x:c>
    </x:row>
    <x:row r="551" ht="23" customHeight="1">
      <x:c r="A551" s="1" t="str">
        <x:v>T4-GL</x:v>
      </x:c>
      <x:c r="B551" s="1" t="str">
        <x:v>T4-L05-T</x:v>
      </x:c>
      <x:c r="C551" s="1" t="str">
        <x:v>FS</x:v>
      </x:c>
      <x:c r="D551" s="1" t="n">
        <x:v>0</x:v>
      </x:c>
      <x:c r="E551" s="1" t="n">
        <x:f>'Activities'!L469</x:f>
        <x:v>437</x:v>
      </x:c>
      <x:c r="F551" s="1" t="n">
        <x:f>'Activities'!K503</x:f>
        <x:v>437</x:v>
      </x:c>
      <x:c r="G551" s="1" t="n">
        <x:f>F551-E551-D551</x:f>
        <x:v>0</x:v>
      </x:c>
      <x:c r="H551" s="1" t="str">
        <x:v>Explicit working-day lag</x:v>
      </x:c>
    </x:row>
    <x:row r="552" ht="23" customHeight="1">
      <x:c r="A552" s="6" t="str">
        <x:v>T4-L05-T</x:v>
      </x:c>
      <x:c r="B552" s="6" t="str">
        <x:v>T4-L05-A</x:v>
      </x:c>
      <x:c r="C552" s="6" t="str">
        <x:v>FS</x:v>
      </x:c>
      <x:c r="D552" s="6" t="n">
        <x:v>2</x:v>
      </x:c>
      <x:c r="E552" s="6" t="n">
        <x:f>'Activities'!L503</x:f>
        <x:v>443</x:v>
      </x:c>
      <x:c r="F552" s="6" t="n">
        <x:f>'Activities'!K504</x:f>
        <x:v>445</x:v>
      </x:c>
      <x:c r="G552" s="6" t="n">
        <x:f>F552-E552-D552</x:f>
        <x:v>0</x:v>
      </x:c>
      <x:c r="H552" s="6" t="str">
        <x:v>Explicit working-day lag</x:v>
      </x:c>
    </x:row>
    <x:row r="553" ht="23" customHeight="1">
      <x:c r="A553" s="1" t="str">
        <x:v>T4-L05-A</x:v>
      </x:c>
      <x:c r="B553" s="1" t="str">
        <x:v>T4-L05-D</x:v>
      </x:c>
      <x:c r="C553" s="1" t="str">
        <x:v>FS</x:v>
      </x:c>
      <x:c r="D553" s="1" t="n">
        <x:v>0</x:v>
      </x:c>
      <x:c r="E553" s="1" t="n">
        <x:f>'Activities'!L504</x:f>
        <x:v>450</x:v>
      </x:c>
      <x:c r="F553" s="1" t="n">
        <x:f>'Activities'!K505</x:f>
        <x:v>450</x:v>
      </x:c>
      <x:c r="G553" s="1" t="n">
        <x:f>F553-E553-D553</x:f>
        <x:v>0</x:v>
      </x:c>
      <x:c r="H553" s="1" t="str">
        <x:v>Explicit working-day lag</x:v>
      </x:c>
    </x:row>
    <x:row r="554" ht="23" customHeight="1">
      <x:c r="A554" s="6" t="str">
        <x:v>T4-L09-H</x:v>
      </x:c>
      <x:c r="B554" s="6" t="str">
        <x:v>T4-L06-M</x:v>
      </x:c>
      <x:c r="C554" s="6" t="str">
        <x:v>FS</x:v>
      </x:c>
      <x:c r="D554" s="6" t="n">
        <x:v>5</x:v>
      </x:c>
      <x:c r="E554" s="6" t="n">
        <x:f>'Activities'!L454</x:f>
        <x:v>350</x:v>
      </x:c>
      <x:c r="F554" s="6" t="n">
        <x:f>'Activities'!K506</x:f>
        <x:v>355</x:v>
      </x:c>
      <x:c r="G554" s="6" t="n">
        <x:f>F554-E554-D554</x:f>
        <x:v>0</x:v>
      </x:c>
      <x:c r="H554" s="6" t="str">
        <x:v>Explicit working-day lag</x:v>
      </x:c>
    </x:row>
    <x:row r="555" ht="23" customHeight="1">
      <x:c r="A555" s="1" t="str">
        <x:v>T4-L06-M</x:v>
      </x:c>
      <x:c r="B555" s="1" t="str">
        <x:v>T4-L06-P</x:v>
      </x:c>
      <x:c r="C555" s="1" t="str">
        <x:v>FS</x:v>
      </x:c>
      <x:c r="D555" s="1" t="n">
        <x:v>3</x:v>
      </x:c>
      <x:c r="E555" s="1" t="n">
        <x:f>'Activities'!L506</x:f>
        <x:v>360</x:v>
      </x:c>
      <x:c r="F555" s="1" t="n">
        <x:f>'Activities'!K507</x:f>
        <x:v>363</x:v>
      </x:c>
      <x:c r="G555" s="1" t="n">
        <x:f>F555-E555-D555</x:f>
        <x:v>0</x:v>
      </x:c>
      <x:c r="H555" s="1" t="str">
        <x:v>Explicit working-day lag</x:v>
      </x:c>
    </x:row>
    <x:row r="556" ht="23" customHeight="1">
      <x:c r="A556" s="6" t="str">
        <x:v>T4-L06-P</x:v>
      </x:c>
      <x:c r="B556" s="6" t="str">
        <x:v>T4-L06-S</x:v>
      </x:c>
      <x:c r="C556" s="6" t="str">
        <x:v>FS</x:v>
      </x:c>
      <x:c r="D556" s="6" t="n">
        <x:v>2</x:v>
      </x:c>
      <x:c r="E556" s="6" t="n">
        <x:f>'Activities'!L507</x:f>
        <x:v>369</x:v>
      </x:c>
      <x:c r="F556" s="6" t="n">
        <x:f>'Activities'!K508</x:f>
        <x:v>371</x:v>
      </x:c>
      <x:c r="G556" s="6" t="n">
        <x:f>F556-E556-D556</x:f>
        <x:v>0</x:v>
      </x:c>
      <x:c r="H556" s="6" t="str">
        <x:v>Explicit working-day lag</x:v>
      </x:c>
    </x:row>
    <x:row r="557" ht="23" customHeight="1">
      <x:c r="A557" s="1" t="str">
        <x:v>T4-L06-S</x:v>
      </x:c>
      <x:c r="B557" s="1" t="str">
        <x:v>T4-L06-T</x:v>
      </x:c>
      <x:c r="C557" s="1" t="str">
        <x:v>FS</x:v>
      </x:c>
      <x:c r="D557" s="1" t="n">
        <x:v>14</x:v>
      </x:c>
      <x:c r="E557" s="1" t="n">
        <x:f>'Activities'!L508</x:f>
        <x:v>374</x:v>
      </x:c>
      <x:c r="F557" s="1" t="n">
        <x:f>'Activities'!K509</x:f>
        <x:v>437</x:v>
      </x:c>
      <x:c r="G557" s="1" t="n">
        <x:f>F557-E557-D557</x:f>
        <x:v>49</x:v>
      </x:c>
      <x:c r="H557" s="1" t="str">
        <x:v>Explicit working-day lag</x:v>
      </x:c>
    </x:row>
    <x:row r="558" ht="23" customHeight="1">
      <x:c r="A558" s="6" t="str">
        <x:v>T4-GL</x:v>
      </x:c>
      <x:c r="B558" s="6" t="str">
        <x:v>T4-L06-T</x:v>
      </x:c>
      <x:c r="C558" s="6" t="str">
        <x:v>FS</x:v>
      </x:c>
      <x:c r="D558" s="6" t="n">
        <x:v>0</x:v>
      </x:c>
      <x:c r="E558" s="6" t="n">
        <x:f>'Activities'!L469</x:f>
        <x:v>437</x:v>
      </x:c>
      <x:c r="F558" s="6" t="n">
        <x:f>'Activities'!K509</x:f>
        <x:v>437</x:v>
      </x:c>
      <x:c r="G558" s="6" t="n">
        <x:f>F558-E558-D558</x:f>
        <x:v>0</x:v>
      </x:c>
      <x:c r="H558" s="6" t="str">
        <x:v>Explicit working-day lag</x:v>
      </x:c>
    </x:row>
    <x:row r="559" ht="23" customHeight="1">
      <x:c r="A559" s="1" t="str">
        <x:v>T4-L06-T</x:v>
      </x:c>
      <x:c r="B559" s="1" t="str">
        <x:v>T4-L06-A</x:v>
      </x:c>
      <x:c r="C559" s="1" t="str">
        <x:v>FS</x:v>
      </x:c>
      <x:c r="D559" s="1" t="n">
        <x:v>2</x:v>
      </x:c>
      <x:c r="E559" s="1" t="n">
        <x:f>'Activities'!L509</x:f>
        <x:v>443</x:v>
      </x:c>
      <x:c r="F559" s="1" t="n">
        <x:f>'Activities'!K510</x:f>
        <x:v>445</x:v>
      </x:c>
      <x:c r="G559" s="1" t="n">
        <x:f>F559-E559-D559</x:f>
        <x:v>0</x:v>
      </x:c>
      <x:c r="H559" s="1" t="str">
        <x:v>Explicit working-day lag</x:v>
      </x:c>
    </x:row>
    <x:row r="560" ht="23" customHeight="1">
      <x:c r="A560" s="6" t="str">
        <x:v>T4-L06-A</x:v>
      </x:c>
      <x:c r="B560" s="6" t="str">
        <x:v>T4-L06-D</x:v>
      </x:c>
      <x:c r="C560" s="6" t="str">
        <x:v>FS</x:v>
      </x:c>
      <x:c r="D560" s="6" t="n">
        <x:v>0</x:v>
      </x:c>
      <x:c r="E560" s="6" t="n">
        <x:f>'Activities'!L510</x:f>
        <x:v>450</x:v>
      </x:c>
      <x:c r="F560" s="6" t="n">
        <x:f>'Activities'!K511</x:f>
        <x:v>450</x:v>
      </x:c>
      <x:c r="G560" s="6" t="n">
        <x:f>F560-E560-D560</x:f>
        <x:v>0</x:v>
      </x:c>
      <x:c r="H560" s="6" t="str">
        <x:v>Explicit working-day lag</x:v>
      </x:c>
    </x:row>
    <x:row r="561" ht="23" customHeight="1">
      <x:c r="A561" s="1" t="str">
        <x:v>T4-L10-H</x:v>
      </x:c>
      <x:c r="B561" s="1" t="str">
        <x:v>T4-L07-M</x:v>
      </x:c>
      <x:c r="C561" s="1" t="str">
        <x:v>FS</x:v>
      </x:c>
      <x:c r="D561" s="1" t="n">
        <x:v>5</x:v>
      </x:c>
      <x:c r="E561" s="1" t="n">
        <x:f>'Activities'!L458</x:f>
        <x:v>368</x:v>
      </x:c>
      <x:c r="F561" s="1" t="n">
        <x:f>'Activities'!K512</x:f>
        <x:v>373</x:v>
      </x:c>
      <x:c r="G561" s="1" t="n">
        <x:f>F561-E561-D561</x:f>
        <x:v>0</x:v>
      </x:c>
      <x:c r="H561" s="1" t="str">
        <x:v>Explicit working-day lag</x:v>
      </x:c>
    </x:row>
    <x:row r="562" ht="23" customHeight="1">
      <x:c r="A562" s="6" t="str">
        <x:v>T4-L07-M</x:v>
      </x:c>
      <x:c r="B562" s="6" t="str">
        <x:v>T4-L07-P</x:v>
      </x:c>
      <x:c r="C562" s="6" t="str">
        <x:v>FS</x:v>
      </x:c>
      <x:c r="D562" s="6" t="n">
        <x:v>3</x:v>
      </x:c>
      <x:c r="E562" s="6" t="n">
        <x:f>'Activities'!L512</x:f>
        <x:v>378</x:v>
      </x:c>
      <x:c r="F562" s="6" t="n">
        <x:f>'Activities'!K513</x:f>
        <x:v>381</x:v>
      </x:c>
      <x:c r="G562" s="6" t="n">
        <x:f>F562-E562-D562</x:f>
        <x:v>0</x:v>
      </x:c>
      <x:c r="H562" s="6" t="str">
        <x:v>Explicit working-day lag</x:v>
      </x:c>
    </x:row>
    <x:row r="563" ht="23" customHeight="1">
      <x:c r="A563" s="1" t="str">
        <x:v>T4-L07-P</x:v>
      </x:c>
      <x:c r="B563" s="1" t="str">
        <x:v>T4-L07-S</x:v>
      </x:c>
      <x:c r="C563" s="1" t="str">
        <x:v>FS</x:v>
      </x:c>
      <x:c r="D563" s="1" t="n">
        <x:v>2</x:v>
      </x:c>
      <x:c r="E563" s="1" t="n">
        <x:f>'Activities'!L513</x:f>
        <x:v>387</x:v>
      </x:c>
      <x:c r="F563" s="1" t="n">
        <x:f>'Activities'!K514</x:f>
        <x:v>389</x:v>
      </x:c>
      <x:c r="G563" s="1" t="n">
        <x:f>F563-E563-D563</x:f>
        <x:v>0</x:v>
      </x:c>
      <x:c r="H563" s="1" t="str">
        <x:v>Explicit working-day lag</x:v>
      </x:c>
    </x:row>
    <x:row r="564" ht="23" customHeight="1">
      <x:c r="A564" s="6" t="str">
        <x:v>T4-L07-S</x:v>
      </x:c>
      <x:c r="B564" s="6" t="str">
        <x:v>T4-L07-T</x:v>
      </x:c>
      <x:c r="C564" s="6" t="str">
        <x:v>FS</x:v>
      </x:c>
      <x:c r="D564" s="6" t="n">
        <x:v>14</x:v>
      </x:c>
      <x:c r="E564" s="6" t="n">
        <x:f>'Activities'!L514</x:f>
        <x:v>392</x:v>
      </x:c>
      <x:c r="F564" s="6" t="n">
        <x:f>'Activities'!K515</x:f>
        <x:v>437</x:v>
      </x:c>
      <x:c r="G564" s="6" t="n">
        <x:f>F564-E564-D564</x:f>
        <x:v>31</x:v>
      </x:c>
      <x:c r="H564" s="6" t="str">
        <x:v>Explicit working-day lag</x:v>
      </x:c>
    </x:row>
    <x:row r="565" ht="23" customHeight="1">
      <x:c r="A565" s="1" t="str">
        <x:v>T4-GL</x:v>
      </x:c>
      <x:c r="B565" s="1" t="str">
        <x:v>T4-L07-T</x:v>
      </x:c>
      <x:c r="C565" s="1" t="str">
        <x:v>FS</x:v>
      </x:c>
      <x:c r="D565" s="1" t="n">
        <x:v>0</x:v>
      </x:c>
      <x:c r="E565" s="1" t="n">
        <x:f>'Activities'!L469</x:f>
        <x:v>437</x:v>
      </x:c>
      <x:c r="F565" s="1" t="n">
        <x:f>'Activities'!K515</x:f>
        <x:v>437</x:v>
      </x:c>
      <x:c r="G565" s="1" t="n">
        <x:f>F565-E565-D565</x:f>
        <x:v>0</x:v>
      </x:c>
      <x:c r="H565" s="1" t="str">
        <x:v>Explicit working-day lag</x:v>
      </x:c>
    </x:row>
    <x:row r="566" ht="23" customHeight="1">
      <x:c r="A566" s="6" t="str">
        <x:v>T4-L07-T</x:v>
      </x:c>
      <x:c r="B566" s="6" t="str">
        <x:v>T4-L07-A</x:v>
      </x:c>
      <x:c r="C566" s="6" t="str">
        <x:v>FS</x:v>
      </x:c>
      <x:c r="D566" s="6" t="n">
        <x:v>2</x:v>
      </x:c>
      <x:c r="E566" s="6" t="n">
        <x:f>'Activities'!L515</x:f>
        <x:v>443</x:v>
      </x:c>
      <x:c r="F566" s="6" t="n">
        <x:f>'Activities'!K516</x:f>
        <x:v>445</x:v>
      </x:c>
      <x:c r="G566" s="6" t="n">
        <x:f>F566-E566-D566</x:f>
        <x:v>0</x:v>
      </x:c>
      <x:c r="H566" s="6" t="str">
        <x:v>Explicit working-day lag</x:v>
      </x:c>
    </x:row>
    <x:row r="567" ht="23" customHeight="1">
      <x:c r="A567" s="1" t="str">
        <x:v>T4-L07-A</x:v>
      </x:c>
      <x:c r="B567" s="1" t="str">
        <x:v>T4-L07-D</x:v>
      </x:c>
      <x:c r="C567" s="1" t="str">
        <x:v>FS</x:v>
      </x:c>
      <x:c r="D567" s="1" t="n">
        <x:v>0</x:v>
      </x:c>
      <x:c r="E567" s="1" t="n">
        <x:f>'Activities'!L516</x:f>
        <x:v>450</x:v>
      </x:c>
      <x:c r="F567" s="1" t="n">
        <x:f>'Activities'!K517</x:f>
        <x:v>450</x:v>
      </x:c>
      <x:c r="G567" s="1" t="n">
        <x:f>F567-E567-D567</x:f>
        <x:v>0</x:v>
      </x:c>
      <x:c r="H567" s="1" t="str">
        <x:v>Explicit working-day lag</x:v>
      </x:c>
    </x:row>
    <x:row r="568" ht="23" customHeight="1">
      <x:c r="A568" s="6" t="str">
        <x:v>T4-L11-H</x:v>
      </x:c>
      <x:c r="B568" s="6" t="str">
        <x:v>T4-L08-M</x:v>
      </x:c>
      <x:c r="C568" s="6" t="str">
        <x:v>FS</x:v>
      </x:c>
      <x:c r="D568" s="6" t="n">
        <x:v>5</x:v>
      </x:c>
      <x:c r="E568" s="6" t="n">
        <x:f>'Activities'!L462</x:f>
        <x:v>386</x:v>
      </x:c>
      <x:c r="F568" s="6" t="n">
        <x:f>'Activities'!K518</x:f>
        <x:v>391</x:v>
      </x:c>
      <x:c r="G568" s="6" t="n">
        <x:f>F568-E568-D568</x:f>
        <x:v>0</x:v>
      </x:c>
      <x:c r="H568" s="6" t="str">
        <x:v>Explicit working-day lag</x:v>
      </x:c>
    </x:row>
    <x:row r="569" ht="23" customHeight="1">
      <x:c r="A569" s="1" t="str">
        <x:v>T4-L08-M</x:v>
      </x:c>
      <x:c r="B569" s="1" t="str">
        <x:v>T4-L08-P</x:v>
      </x:c>
      <x:c r="C569" s="1" t="str">
        <x:v>FS</x:v>
      </x:c>
      <x:c r="D569" s="1" t="n">
        <x:v>3</x:v>
      </x:c>
      <x:c r="E569" s="1" t="n">
        <x:f>'Activities'!L518</x:f>
        <x:v>396</x:v>
      </x:c>
      <x:c r="F569" s="1" t="n">
        <x:f>'Activities'!K519</x:f>
        <x:v>399</x:v>
      </x:c>
      <x:c r="G569" s="1" t="n">
        <x:f>F569-E569-D569</x:f>
        <x:v>0</x:v>
      </x:c>
      <x:c r="H569" s="1" t="str">
        <x:v>Explicit working-day lag</x:v>
      </x:c>
    </x:row>
    <x:row r="570" ht="23" customHeight="1">
      <x:c r="A570" s="6" t="str">
        <x:v>T4-L08-P</x:v>
      </x:c>
      <x:c r="B570" s="6" t="str">
        <x:v>T4-L08-S</x:v>
      </x:c>
      <x:c r="C570" s="6" t="str">
        <x:v>FS</x:v>
      </x:c>
      <x:c r="D570" s="6" t="n">
        <x:v>2</x:v>
      </x:c>
      <x:c r="E570" s="6" t="n">
        <x:f>'Activities'!L519</x:f>
        <x:v>405</x:v>
      </x:c>
      <x:c r="F570" s="6" t="n">
        <x:f>'Activities'!K520</x:f>
        <x:v>407</x:v>
      </x:c>
      <x:c r="G570" s="6" t="n">
        <x:f>F570-E570-D570</x:f>
        <x:v>0</x:v>
      </x:c>
      <x:c r="H570" s="6" t="str">
        <x:v>Explicit working-day lag</x:v>
      </x:c>
    </x:row>
    <x:row r="571" ht="23" customHeight="1">
      <x:c r="A571" s="1" t="str">
        <x:v>T4-L08-S</x:v>
      </x:c>
      <x:c r="B571" s="1" t="str">
        <x:v>T4-L08-T</x:v>
      </x:c>
      <x:c r="C571" s="1" t="str">
        <x:v>FS</x:v>
      </x:c>
      <x:c r="D571" s="1" t="n">
        <x:v>14</x:v>
      </x:c>
      <x:c r="E571" s="1" t="n">
        <x:f>'Activities'!L520</x:f>
        <x:v>410</x:v>
      </x:c>
      <x:c r="F571" s="1" t="n">
        <x:f>'Activities'!K521</x:f>
        <x:v>437</x:v>
      </x:c>
      <x:c r="G571" s="1" t="n">
        <x:f>F571-E571-D571</x:f>
        <x:v>13</x:v>
      </x:c>
      <x:c r="H571" s="1" t="str">
        <x:v>Explicit working-day lag</x:v>
      </x:c>
    </x:row>
    <x:row r="572" ht="23" customHeight="1">
      <x:c r="A572" s="6" t="str">
        <x:v>T4-GL</x:v>
      </x:c>
      <x:c r="B572" s="6" t="str">
        <x:v>T4-L08-T</x:v>
      </x:c>
      <x:c r="C572" s="6" t="str">
        <x:v>FS</x:v>
      </x:c>
      <x:c r="D572" s="6" t="n">
        <x:v>0</x:v>
      </x:c>
      <x:c r="E572" s="6" t="n">
        <x:f>'Activities'!L469</x:f>
        <x:v>437</x:v>
      </x:c>
      <x:c r="F572" s="6" t="n">
        <x:f>'Activities'!K521</x:f>
        <x:v>437</x:v>
      </x:c>
      <x:c r="G572" s="6" t="n">
        <x:f>F572-E572-D572</x:f>
        <x:v>0</x:v>
      </x:c>
      <x:c r="H572" s="6" t="str">
        <x:v>Explicit working-day lag</x:v>
      </x:c>
    </x:row>
    <x:row r="573" ht="23" customHeight="1">
      <x:c r="A573" s="1" t="str">
        <x:v>T4-L08-T</x:v>
      </x:c>
      <x:c r="B573" s="1" t="str">
        <x:v>T4-L08-A</x:v>
      </x:c>
      <x:c r="C573" s="1" t="str">
        <x:v>FS</x:v>
      </x:c>
      <x:c r="D573" s="1" t="n">
        <x:v>2</x:v>
      </x:c>
      <x:c r="E573" s="1" t="n">
        <x:f>'Activities'!L521</x:f>
        <x:v>443</x:v>
      </x:c>
      <x:c r="F573" s="1" t="n">
        <x:f>'Activities'!K522</x:f>
        <x:v>445</x:v>
      </x:c>
      <x:c r="G573" s="1" t="n">
        <x:f>F573-E573-D573</x:f>
        <x:v>0</x:v>
      </x:c>
      <x:c r="H573" s="1" t="str">
        <x:v>Explicit working-day lag</x:v>
      </x:c>
    </x:row>
    <x:row r="574" ht="23" customHeight="1">
      <x:c r="A574" s="6" t="str">
        <x:v>T4-L08-A</x:v>
      </x:c>
      <x:c r="B574" s="6" t="str">
        <x:v>T4-L08-D</x:v>
      </x:c>
      <x:c r="C574" s="6" t="str">
        <x:v>FS</x:v>
      </x:c>
      <x:c r="D574" s="6" t="n">
        <x:v>0</x:v>
      </x:c>
      <x:c r="E574" s="6" t="n">
        <x:f>'Activities'!L522</x:f>
        <x:v>450</x:v>
      </x:c>
      <x:c r="F574" s="6" t="n">
        <x:f>'Activities'!K523</x:f>
        <x:v>450</x:v>
      </x:c>
      <x:c r="G574" s="6" t="n">
        <x:f>F574-E574-D574</x:f>
        <x:v>0</x:v>
      </x:c>
      <x:c r="H574" s="6" t="str">
        <x:v>Explicit working-day lag</x:v>
      </x:c>
    </x:row>
    <x:row r="575" ht="23" customHeight="1">
      <x:c r="A575" s="1" t="str">
        <x:v>T4-L12-H</x:v>
      </x:c>
      <x:c r="B575" s="1" t="str">
        <x:v>T4-L09-M</x:v>
      </x:c>
      <x:c r="C575" s="1" t="str">
        <x:v>FS</x:v>
      </x:c>
      <x:c r="D575" s="1" t="n">
        <x:v>5</x:v>
      </x:c>
      <x:c r="E575" s="1" t="n">
        <x:f>'Activities'!L466</x:f>
        <x:v>404</x:v>
      </x:c>
      <x:c r="F575" s="1" t="n">
        <x:f>'Activities'!K524</x:f>
        <x:v>409</x:v>
      </x:c>
      <x:c r="G575" s="1" t="n">
        <x:f>F575-E575-D575</x:f>
        <x:v>0</x:v>
      </x:c>
      <x:c r="H575" s="1" t="str">
        <x:v>Explicit working-day lag</x:v>
      </x:c>
    </x:row>
    <x:row r="576" ht="23" customHeight="1">
      <x:c r="A576" s="6" t="str">
        <x:v>T4-L09-M</x:v>
      </x:c>
      <x:c r="B576" s="6" t="str">
        <x:v>T4-L09-P</x:v>
      </x:c>
      <x:c r="C576" s="6" t="str">
        <x:v>FS</x:v>
      </x:c>
      <x:c r="D576" s="6" t="n">
        <x:v>3</x:v>
      </x:c>
      <x:c r="E576" s="6" t="n">
        <x:f>'Activities'!L524</x:f>
        <x:v>414</x:v>
      </x:c>
      <x:c r="F576" s="6" t="n">
        <x:f>'Activities'!K525</x:f>
        <x:v>417</x:v>
      </x:c>
      <x:c r="G576" s="6" t="n">
        <x:f>F576-E576-D576</x:f>
        <x:v>0</x:v>
      </x:c>
      <x:c r="H576" s="6" t="str">
        <x:v>Explicit working-day lag</x:v>
      </x:c>
    </x:row>
    <x:row r="577" ht="23" customHeight="1">
      <x:c r="A577" s="1" t="str">
        <x:v>T4-L09-P</x:v>
      </x:c>
      <x:c r="B577" s="1" t="str">
        <x:v>T4-L09-S</x:v>
      </x:c>
      <x:c r="C577" s="1" t="str">
        <x:v>FS</x:v>
      </x:c>
      <x:c r="D577" s="1" t="n">
        <x:v>2</x:v>
      </x:c>
      <x:c r="E577" s="1" t="n">
        <x:f>'Activities'!L525</x:f>
        <x:v>423</x:v>
      </x:c>
      <x:c r="F577" s="1" t="n">
        <x:f>'Activities'!K526</x:f>
        <x:v>425</x:v>
      </x:c>
      <x:c r="G577" s="1" t="n">
        <x:f>F577-E577-D577</x:f>
        <x:v>0</x:v>
      </x:c>
      <x:c r="H577" s="1" t="str">
        <x:v>Explicit working-day lag</x:v>
      </x:c>
    </x:row>
    <x:row r="578" ht="23" customHeight="1">
      <x:c r="A578" s="6" t="str">
        <x:v>T4-L09-S</x:v>
      </x:c>
      <x:c r="B578" s="6" t="str">
        <x:v>T4-L09-T</x:v>
      </x:c>
      <x:c r="C578" s="6" t="str">
        <x:v>FS</x:v>
      </x:c>
      <x:c r="D578" s="6" t="n">
        <x:v>14</x:v>
      </x:c>
      <x:c r="E578" s="6" t="n">
        <x:f>'Activities'!L526</x:f>
        <x:v>428</x:v>
      </x:c>
      <x:c r="F578" s="6" t="n">
        <x:f>'Activities'!K527</x:f>
        <x:v>442</x:v>
      </x:c>
      <x:c r="G578" s="6" t="n">
        <x:f>F578-E578-D578</x:f>
        <x:v>0</x:v>
      </x:c>
      <x:c r="H578" s="6" t="str">
        <x:v>Explicit working-day lag</x:v>
      </x:c>
    </x:row>
    <x:row r="579" ht="23" customHeight="1">
      <x:c r="A579" s="1" t="str">
        <x:v>T4-GL</x:v>
      </x:c>
      <x:c r="B579" s="1" t="str">
        <x:v>T4-L09-T</x:v>
      </x:c>
      <x:c r="C579" s="1" t="str">
        <x:v>FS</x:v>
      </x:c>
      <x:c r="D579" s="1" t="n">
        <x:v>0</x:v>
      </x:c>
      <x:c r="E579" s="1" t="n">
        <x:f>'Activities'!L469</x:f>
        <x:v>437</x:v>
      </x:c>
      <x:c r="F579" s="1" t="n">
        <x:f>'Activities'!K527</x:f>
        <x:v>442</x:v>
      </x:c>
      <x:c r="G579" s="1" t="n">
        <x:f>F579-E579-D579</x:f>
        <x:v>5</x:v>
      </x:c>
      <x:c r="H579" s="1" t="str">
        <x:v>Explicit working-day lag</x:v>
      </x:c>
    </x:row>
    <x:row r="580" ht="23" customHeight="1">
      <x:c r="A580" s="6" t="str">
        <x:v>T4-L09-T</x:v>
      </x:c>
      <x:c r="B580" s="6" t="str">
        <x:v>T4-L09-A</x:v>
      </x:c>
      <x:c r="C580" s="6" t="str">
        <x:v>FS</x:v>
      </x:c>
      <x:c r="D580" s="6" t="n">
        <x:v>2</x:v>
      </x:c>
      <x:c r="E580" s="6" t="n">
        <x:f>'Activities'!L527</x:f>
        <x:v>448</x:v>
      </x:c>
      <x:c r="F580" s="6" t="n">
        <x:f>'Activities'!K528</x:f>
        <x:v>450</x:v>
      </x:c>
      <x:c r="G580" s="6" t="n">
        <x:f>F580-E580-D580</x:f>
        <x:v>0</x:v>
      </x:c>
      <x:c r="H580" s="6" t="str">
        <x:v>Explicit working-day lag</x:v>
      </x:c>
    </x:row>
    <x:row r="581" ht="23" customHeight="1">
      <x:c r="A581" s="1" t="str">
        <x:v>T4-L09-A</x:v>
      </x:c>
      <x:c r="B581" s="1" t="str">
        <x:v>T4-L09-D</x:v>
      </x:c>
      <x:c r="C581" s="1" t="str">
        <x:v>FS</x:v>
      </x:c>
      <x:c r="D581" s="1" t="n">
        <x:v>0</x:v>
      </x:c>
      <x:c r="E581" s="1" t="n">
        <x:f>'Activities'!L528</x:f>
        <x:v>455</x:v>
      </x:c>
      <x:c r="F581" s="1" t="n">
        <x:f>'Activities'!K529</x:f>
        <x:v>455</x:v>
      </x:c>
      <x:c r="G581" s="1" t="n">
        <x:f>F581-E581-D581</x:f>
        <x:v>0</x:v>
      </x:c>
      <x:c r="H581" s="1" t="str">
        <x:v>Explicit working-day lag</x:v>
      </x:c>
    </x:row>
    <x:row r="582" ht="23" customHeight="1">
      <x:c r="A582" s="6" t="str">
        <x:v>T4-L12-H</x:v>
      </x:c>
      <x:c r="B582" s="6" t="str">
        <x:v>T4-L10-M</x:v>
      </x:c>
      <x:c r="C582" s="6" t="str">
        <x:v>FS</x:v>
      </x:c>
      <x:c r="D582" s="6" t="n">
        <x:v>5</x:v>
      </x:c>
      <x:c r="E582" s="6" t="n">
        <x:f>'Activities'!L466</x:f>
        <x:v>404</x:v>
      </x:c>
      <x:c r="F582" s="6" t="n">
        <x:f>'Activities'!K530</x:f>
        <x:v>409</x:v>
      </x:c>
      <x:c r="G582" s="6" t="n">
        <x:f>F582-E582-D582</x:f>
        <x:v>0</x:v>
      </x:c>
      <x:c r="H582" s="6" t="str">
        <x:v>Explicit working-day lag</x:v>
      </x:c>
    </x:row>
    <x:row r="583" ht="23" customHeight="1">
      <x:c r="A583" s="1" t="str">
        <x:v>T4-L10-M</x:v>
      </x:c>
      <x:c r="B583" s="1" t="str">
        <x:v>T4-L10-P</x:v>
      </x:c>
      <x:c r="C583" s="1" t="str">
        <x:v>FS</x:v>
      </x:c>
      <x:c r="D583" s="1" t="n">
        <x:v>3</x:v>
      </x:c>
      <x:c r="E583" s="1" t="n">
        <x:f>'Activities'!L530</x:f>
        <x:v>414</x:v>
      </x:c>
      <x:c r="F583" s="1" t="n">
        <x:f>'Activities'!K531</x:f>
        <x:v>417</x:v>
      </x:c>
      <x:c r="G583" s="1" t="n">
        <x:f>F583-E583-D583</x:f>
        <x:v>0</x:v>
      </x:c>
      <x:c r="H583" s="1" t="str">
        <x:v>Explicit working-day lag</x:v>
      </x:c>
    </x:row>
    <x:row r="584" ht="23" customHeight="1">
      <x:c r="A584" s="6" t="str">
        <x:v>T4-L10-P</x:v>
      </x:c>
      <x:c r="B584" s="6" t="str">
        <x:v>T4-L10-S</x:v>
      </x:c>
      <x:c r="C584" s="6" t="str">
        <x:v>FS</x:v>
      </x:c>
      <x:c r="D584" s="6" t="n">
        <x:v>2</x:v>
      </x:c>
      <x:c r="E584" s="6" t="n">
        <x:f>'Activities'!L531</x:f>
        <x:v>423</x:v>
      </x:c>
      <x:c r="F584" s="6" t="n">
        <x:f>'Activities'!K532</x:f>
        <x:v>425</x:v>
      </x:c>
      <x:c r="G584" s="6" t="n">
        <x:f>F584-E584-D584</x:f>
        <x:v>0</x:v>
      </x:c>
      <x:c r="H584" s="6" t="str">
        <x:v>Explicit working-day lag</x:v>
      </x:c>
    </x:row>
    <x:row r="585" ht="23" customHeight="1">
      <x:c r="A585" s="1" t="str">
        <x:v>T4-L10-S</x:v>
      </x:c>
      <x:c r="B585" s="1" t="str">
        <x:v>T4-L10-T</x:v>
      </x:c>
      <x:c r="C585" s="1" t="str">
        <x:v>FS</x:v>
      </x:c>
      <x:c r="D585" s="1" t="n">
        <x:v>14</x:v>
      </x:c>
      <x:c r="E585" s="1" t="n">
        <x:f>'Activities'!L532</x:f>
        <x:v>428</x:v>
      </x:c>
      <x:c r="F585" s="1" t="n">
        <x:f>'Activities'!K533</x:f>
        <x:v>442</x:v>
      </x:c>
      <x:c r="G585" s="1" t="n">
        <x:f>F585-E585-D585</x:f>
        <x:v>0</x:v>
      </x:c>
      <x:c r="H585" s="1" t="str">
        <x:v>Explicit working-day lag</x:v>
      </x:c>
    </x:row>
    <x:row r="586" ht="23" customHeight="1">
      <x:c r="A586" s="6" t="str">
        <x:v>T4-GL</x:v>
      </x:c>
      <x:c r="B586" s="6" t="str">
        <x:v>T4-L10-T</x:v>
      </x:c>
      <x:c r="C586" s="6" t="str">
        <x:v>FS</x:v>
      </x:c>
      <x:c r="D586" s="6" t="n">
        <x:v>0</x:v>
      </x:c>
      <x:c r="E586" s="6" t="n">
        <x:f>'Activities'!L469</x:f>
        <x:v>437</x:v>
      </x:c>
      <x:c r="F586" s="6" t="n">
        <x:f>'Activities'!K533</x:f>
        <x:v>442</x:v>
      </x:c>
      <x:c r="G586" s="6" t="n">
        <x:f>F586-E586-D586</x:f>
        <x:v>5</x:v>
      </x:c>
      <x:c r="H586" s="6" t="str">
        <x:v>Explicit working-day lag</x:v>
      </x:c>
    </x:row>
    <x:row r="587" ht="23" customHeight="1">
      <x:c r="A587" s="1" t="str">
        <x:v>T4-L10-T</x:v>
      </x:c>
      <x:c r="B587" s="1" t="str">
        <x:v>T4-L10-A</x:v>
      </x:c>
      <x:c r="C587" s="1" t="str">
        <x:v>FS</x:v>
      </x:c>
      <x:c r="D587" s="1" t="n">
        <x:v>2</x:v>
      </x:c>
      <x:c r="E587" s="1" t="n">
        <x:f>'Activities'!L533</x:f>
        <x:v>448</x:v>
      </x:c>
      <x:c r="F587" s="1" t="n">
        <x:f>'Activities'!K534</x:f>
        <x:v>450</x:v>
      </x:c>
      <x:c r="G587" s="1" t="n">
        <x:f>F587-E587-D587</x:f>
        <x:v>0</x:v>
      </x:c>
      <x:c r="H587" s="1" t="str">
        <x:v>Explicit working-day lag</x:v>
      </x:c>
    </x:row>
    <x:row r="588" ht="23" customHeight="1">
      <x:c r="A588" s="6" t="str">
        <x:v>T4-L10-A</x:v>
      </x:c>
      <x:c r="B588" s="6" t="str">
        <x:v>T4-L10-D</x:v>
      </x:c>
      <x:c r="C588" s="6" t="str">
        <x:v>FS</x:v>
      </x:c>
      <x:c r="D588" s="6" t="n">
        <x:v>0</x:v>
      </x:c>
      <x:c r="E588" s="6" t="n">
        <x:f>'Activities'!L534</x:f>
        <x:v>455</x:v>
      </x:c>
      <x:c r="F588" s="6" t="n">
        <x:f>'Activities'!K535</x:f>
        <x:v>455</x:v>
      </x:c>
      <x:c r="G588" s="6" t="n">
        <x:f>F588-E588-D588</x:f>
        <x:v>0</x:v>
      </x:c>
      <x:c r="H588" s="6" t="str">
        <x:v>Explicit working-day lag</x:v>
      </x:c>
    </x:row>
    <x:row r="589" ht="23" customHeight="1">
      <x:c r="A589" s="1" t="str">
        <x:v>T4-L12-H</x:v>
      </x:c>
      <x:c r="B589" s="1" t="str">
        <x:v>T4-L11-M</x:v>
      </x:c>
      <x:c r="C589" s="1" t="str">
        <x:v>FS</x:v>
      </x:c>
      <x:c r="D589" s="1" t="n">
        <x:v>5</x:v>
      </x:c>
      <x:c r="E589" s="1" t="n">
        <x:f>'Activities'!L466</x:f>
        <x:v>404</x:v>
      </x:c>
      <x:c r="F589" s="1" t="n">
        <x:f>'Activities'!K536</x:f>
        <x:v>409</x:v>
      </x:c>
      <x:c r="G589" s="1" t="n">
        <x:f>F589-E589-D589</x:f>
        <x:v>0</x:v>
      </x:c>
      <x:c r="H589" s="1" t="str">
        <x:v>Explicit working-day lag</x:v>
      </x:c>
    </x:row>
    <x:row r="590" ht="23" customHeight="1">
      <x:c r="A590" s="6" t="str">
        <x:v>T4-L11-M</x:v>
      </x:c>
      <x:c r="B590" s="6" t="str">
        <x:v>T4-L11-P</x:v>
      </x:c>
      <x:c r="C590" s="6" t="str">
        <x:v>FS</x:v>
      </x:c>
      <x:c r="D590" s="6" t="n">
        <x:v>3</x:v>
      </x:c>
      <x:c r="E590" s="6" t="n">
        <x:f>'Activities'!L536</x:f>
        <x:v>414</x:v>
      </x:c>
      <x:c r="F590" s="6" t="n">
        <x:f>'Activities'!K537</x:f>
        <x:v>417</x:v>
      </x:c>
      <x:c r="G590" s="6" t="n">
        <x:f>F590-E590-D590</x:f>
        <x:v>0</x:v>
      </x:c>
      <x:c r="H590" s="6" t="str">
        <x:v>Explicit working-day lag</x:v>
      </x:c>
    </x:row>
    <x:row r="591" ht="23" customHeight="1">
      <x:c r="A591" s="1" t="str">
        <x:v>T4-L11-P</x:v>
      </x:c>
      <x:c r="B591" s="1" t="str">
        <x:v>T4-L11-S</x:v>
      </x:c>
      <x:c r="C591" s="1" t="str">
        <x:v>FS</x:v>
      </x:c>
      <x:c r="D591" s="1" t="n">
        <x:v>2</x:v>
      </x:c>
      <x:c r="E591" s="1" t="n">
        <x:f>'Activities'!L537</x:f>
        <x:v>423</x:v>
      </x:c>
      <x:c r="F591" s="1" t="n">
        <x:f>'Activities'!K538</x:f>
        <x:v>425</x:v>
      </x:c>
      <x:c r="G591" s="1" t="n">
        <x:f>F591-E591-D591</x:f>
        <x:v>0</x:v>
      </x:c>
      <x:c r="H591" s="1" t="str">
        <x:v>Explicit working-day lag</x:v>
      </x:c>
    </x:row>
    <x:row r="592" ht="23" customHeight="1">
      <x:c r="A592" s="6" t="str">
        <x:v>T4-L11-S</x:v>
      </x:c>
      <x:c r="B592" s="6" t="str">
        <x:v>T4-L11-T</x:v>
      </x:c>
      <x:c r="C592" s="6" t="str">
        <x:v>FS</x:v>
      </x:c>
      <x:c r="D592" s="6" t="n">
        <x:v>14</x:v>
      </x:c>
      <x:c r="E592" s="6" t="n">
        <x:f>'Activities'!L538</x:f>
        <x:v>428</x:v>
      </x:c>
      <x:c r="F592" s="6" t="n">
        <x:f>'Activities'!K539</x:f>
        <x:v>442</x:v>
      </x:c>
      <x:c r="G592" s="6" t="n">
        <x:f>F592-E592-D592</x:f>
        <x:v>0</x:v>
      </x:c>
      <x:c r="H592" s="6" t="str">
        <x:v>Explicit working-day lag</x:v>
      </x:c>
    </x:row>
    <x:row r="593" ht="23" customHeight="1">
      <x:c r="A593" s="1" t="str">
        <x:v>T4-GL</x:v>
      </x:c>
      <x:c r="B593" s="1" t="str">
        <x:v>T4-L11-T</x:v>
      </x:c>
      <x:c r="C593" s="1" t="str">
        <x:v>FS</x:v>
      </x:c>
      <x:c r="D593" s="1" t="n">
        <x:v>0</x:v>
      </x:c>
      <x:c r="E593" s="1" t="n">
        <x:f>'Activities'!L469</x:f>
        <x:v>437</x:v>
      </x:c>
      <x:c r="F593" s="1" t="n">
        <x:f>'Activities'!K539</x:f>
        <x:v>442</x:v>
      </x:c>
      <x:c r="G593" s="1" t="n">
        <x:f>F593-E593-D593</x:f>
        <x:v>5</x:v>
      </x:c>
      <x:c r="H593" s="1" t="str">
        <x:v>Explicit working-day lag</x:v>
      </x:c>
    </x:row>
    <x:row r="594" ht="23" customHeight="1">
      <x:c r="A594" s="6" t="str">
        <x:v>T4-L11-T</x:v>
      </x:c>
      <x:c r="B594" s="6" t="str">
        <x:v>T4-L11-A</x:v>
      </x:c>
      <x:c r="C594" s="6" t="str">
        <x:v>FS</x:v>
      </x:c>
      <x:c r="D594" s="6" t="n">
        <x:v>2</x:v>
      </x:c>
      <x:c r="E594" s="6" t="n">
        <x:f>'Activities'!L539</x:f>
        <x:v>448</x:v>
      </x:c>
      <x:c r="F594" s="6" t="n">
        <x:f>'Activities'!K540</x:f>
        <x:v>450</x:v>
      </x:c>
      <x:c r="G594" s="6" t="n">
        <x:f>F594-E594-D594</x:f>
        <x:v>0</x:v>
      </x:c>
      <x:c r="H594" s="6" t="str">
        <x:v>Explicit working-day lag</x:v>
      </x:c>
    </x:row>
    <x:row r="595" ht="23" customHeight="1">
      <x:c r="A595" s="1" t="str">
        <x:v>T4-L11-A</x:v>
      </x:c>
      <x:c r="B595" s="1" t="str">
        <x:v>T4-L11-D</x:v>
      </x:c>
      <x:c r="C595" s="1" t="str">
        <x:v>FS</x:v>
      </x:c>
      <x:c r="D595" s="1" t="n">
        <x:v>0</x:v>
      </x:c>
      <x:c r="E595" s="1" t="n">
        <x:f>'Activities'!L540</x:f>
        <x:v>455</x:v>
      </x:c>
      <x:c r="F595" s="1" t="n">
        <x:f>'Activities'!K541</x:f>
        <x:v>455</x:v>
      </x:c>
      <x:c r="G595" s="1" t="n">
        <x:f>F595-E595-D595</x:f>
        <x:v>0</x:v>
      </x:c>
      <x:c r="H595" s="1" t="str">
        <x:v>Explicit working-day lag</x:v>
      </x:c>
    </x:row>
    <x:row r="596" ht="23" customHeight="1">
      <x:c r="A596" s="6" t="str">
        <x:v>T4-L12-H</x:v>
      </x:c>
      <x:c r="B596" s="6" t="str">
        <x:v>T4-L12-M</x:v>
      </x:c>
      <x:c r="C596" s="6" t="str">
        <x:v>FS</x:v>
      </x:c>
      <x:c r="D596" s="6" t="n">
        <x:v>5</x:v>
      </x:c>
      <x:c r="E596" s="6" t="n">
        <x:f>'Activities'!L466</x:f>
        <x:v>404</x:v>
      </x:c>
      <x:c r="F596" s="6" t="n">
        <x:f>'Activities'!K542</x:f>
        <x:v>409</x:v>
      </x:c>
      <x:c r="G596" s="6" t="n">
        <x:f>F596-E596-D596</x:f>
        <x:v>0</x:v>
      </x:c>
      <x:c r="H596" s="6" t="str">
        <x:v>Explicit working-day lag</x:v>
      </x:c>
    </x:row>
    <x:row r="597" ht="23" customHeight="1">
      <x:c r="A597" s="1" t="str">
        <x:v>T4-L12-M</x:v>
      </x:c>
      <x:c r="B597" s="1" t="str">
        <x:v>T4-L12-P</x:v>
      </x:c>
      <x:c r="C597" s="1" t="str">
        <x:v>FS</x:v>
      </x:c>
      <x:c r="D597" s="1" t="n">
        <x:v>3</x:v>
      </x:c>
      <x:c r="E597" s="1" t="n">
        <x:f>'Activities'!L542</x:f>
        <x:v>414</x:v>
      </x:c>
      <x:c r="F597" s="1" t="n">
        <x:f>'Activities'!K543</x:f>
        <x:v>417</x:v>
      </x:c>
      <x:c r="G597" s="1" t="n">
        <x:f>F597-E597-D597</x:f>
        <x:v>0</x:v>
      </x:c>
      <x:c r="H597" s="1" t="str">
        <x:v>Explicit working-day lag</x:v>
      </x:c>
    </x:row>
    <x:row r="598" ht="23" customHeight="1">
      <x:c r="A598" s="6" t="str">
        <x:v>T4-L12-P</x:v>
      </x:c>
      <x:c r="B598" s="6" t="str">
        <x:v>T4-L12-S</x:v>
      </x:c>
      <x:c r="C598" s="6" t="str">
        <x:v>FS</x:v>
      </x:c>
      <x:c r="D598" s="6" t="n">
        <x:v>2</x:v>
      </x:c>
      <x:c r="E598" s="6" t="n">
        <x:f>'Activities'!L543</x:f>
        <x:v>423</x:v>
      </x:c>
      <x:c r="F598" s="6" t="n">
        <x:f>'Activities'!K544</x:f>
        <x:v>425</x:v>
      </x:c>
      <x:c r="G598" s="6" t="n">
        <x:f>F598-E598-D598</x:f>
        <x:v>0</x:v>
      </x:c>
      <x:c r="H598" s="6" t="str">
        <x:v>Explicit working-day lag</x:v>
      </x:c>
    </x:row>
    <x:row r="599" ht="23" customHeight="1">
      <x:c r="A599" s="1" t="str">
        <x:v>T4-L12-S</x:v>
      </x:c>
      <x:c r="B599" s="1" t="str">
        <x:v>T4-L12-T</x:v>
      </x:c>
      <x:c r="C599" s="1" t="str">
        <x:v>FS</x:v>
      </x:c>
      <x:c r="D599" s="1" t="n">
        <x:v>14</x:v>
      </x:c>
      <x:c r="E599" s="1" t="n">
        <x:f>'Activities'!L544</x:f>
        <x:v>428</x:v>
      </x:c>
      <x:c r="F599" s="1" t="n">
        <x:f>'Activities'!K545</x:f>
        <x:v>442</x:v>
      </x:c>
      <x:c r="G599" s="1" t="n">
        <x:f>F599-E599-D599</x:f>
        <x:v>0</x:v>
      </x:c>
      <x:c r="H599" s="1" t="str">
        <x:v>Explicit working-day lag</x:v>
      </x:c>
    </x:row>
    <x:row r="600" ht="23" customHeight="1">
      <x:c r="A600" s="6" t="str">
        <x:v>T4-GL</x:v>
      </x:c>
      <x:c r="B600" s="6" t="str">
        <x:v>T4-L12-T</x:v>
      </x:c>
      <x:c r="C600" s="6" t="str">
        <x:v>FS</x:v>
      </x:c>
      <x:c r="D600" s="6" t="n">
        <x:v>0</x:v>
      </x:c>
      <x:c r="E600" s="6" t="n">
        <x:f>'Activities'!L469</x:f>
        <x:v>437</x:v>
      </x:c>
      <x:c r="F600" s="6" t="n">
        <x:f>'Activities'!K545</x:f>
        <x:v>442</x:v>
      </x:c>
      <x:c r="G600" s="6" t="n">
        <x:f>F600-E600-D600</x:f>
        <x:v>5</x:v>
      </x:c>
      <x:c r="H600" s="6" t="str">
        <x:v>Explicit working-day lag</x:v>
      </x:c>
    </x:row>
    <x:row r="601" ht="23" customHeight="1">
      <x:c r="A601" s="1" t="str">
        <x:v>T4-L12-T</x:v>
      </x:c>
      <x:c r="B601" s="1" t="str">
        <x:v>T4-L12-A</x:v>
      </x:c>
      <x:c r="C601" s="1" t="str">
        <x:v>FS</x:v>
      </x:c>
      <x:c r="D601" s="1" t="n">
        <x:v>2</x:v>
      </x:c>
      <x:c r="E601" s="1" t="n">
        <x:f>'Activities'!L545</x:f>
        <x:v>448</x:v>
      </x:c>
      <x:c r="F601" s="1" t="n">
        <x:f>'Activities'!K546</x:f>
        <x:v>450</x:v>
      </x:c>
      <x:c r="G601" s="1" t="n">
        <x:f>F601-E601-D601</x:f>
        <x:v>0</x:v>
      </x:c>
      <x:c r="H601" s="1" t="str">
        <x:v>Explicit working-day lag</x:v>
      </x:c>
    </x:row>
    <x:row r="602" ht="23" customHeight="1">
      <x:c r="A602" s="6" t="str">
        <x:v>T4-L12-A</x:v>
      </x:c>
      <x:c r="B602" s="6" t="str">
        <x:v>T4-L12-D</x:v>
      </x:c>
      <x:c r="C602" s="6" t="str">
        <x:v>FS</x:v>
      </x:c>
      <x:c r="D602" s="6" t="n">
        <x:v>0</x:v>
      </x:c>
      <x:c r="E602" s="6" t="n">
        <x:f>'Activities'!L546</x:f>
        <x:v>455</x:v>
      </x:c>
      <x:c r="F602" s="6" t="n">
        <x:f>'Activities'!K547</x:f>
        <x:v>455</x:v>
      </x:c>
      <x:c r="G602" s="6" t="n">
        <x:f>F602-E602-D602</x:f>
        <x:v>0</x:v>
      </x:c>
      <x:c r="H602" s="6" t="str">
        <x:v>Explicit working-day lag</x:v>
      </x:c>
    </x:row>
    <x:row r="603" ht="23" customHeight="1">
      <x:c r="A603" s="1" t="str">
        <x:v>P-040</x:v>
      </x:c>
      <x:c r="B603" s="1" t="str">
        <x:v>T5-L00-F</x:v>
      </x:c>
      <x:c r="C603" s="1" t="str">
        <x:v>FS</x:v>
      </x:c>
      <x:c r="D603" s="1" t="n">
        <x:f>(7+4*'Controls'!$B$11)</x:f>
        <x:v>55</x:v>
      </x:c>
      <x:c r="E603" s="1" t="n">
        <x:f>'Activities'!L12</x:f>
        <x:v>127</x:v>
      </x:c>
      <x:c r="F603" s="1" t="n">
        <x:f>'Activities'!K548</x:f>
        <x:v>182</x:v>
      </x:c>
      <x:c r="G603" s="1" t="n">
        <x:f>F603-E603-D603</x:f>
        <x:v>0</x:v>
      </x:c>
      <x:c r="H603" s="1" t="str">
        <x:v>Explicit working-day lag</x:v>
      </x:c>
    </x:row>
    <x:row r="604" ht="23" customHeight="1">
      <x:c r="A604" s="6" t="str">
        <x:v>T5-L00-F</x:v>
      </x:c>
      <x:c r="B604" s="6" t="str">
        <x:v>T5-L00-R</x:v>
      </x:c>
      <x:c r="C604" s="6" t="str">
        <x:v>FS</x:v>
      </x:c>
      <x:c r="D604" s="6" t="n">
        <x:v>0</x:v>
      </x:c>
      <x:c r="E604" s="6" t="n">
        <x:f>'Activities'!L548</x:f>
        <x:v>188</x:v>
      </x:c>
      <x:c r="F604" s="6" t="n">
        <x:f>'Activities'!K549</x:f>
        <x:v>188</x:v>
      </x:c>
      <x:c r="G604" s="6" t="n">
        <x:f>F604-E604-D604</x:f>
        <x:v>0</x:v>
      </x:c>
      <x:c r="H604" s="6" t="str">
        <x:v>Explicit working-day lag</x:v>
      </x:c>
    </x:row>
    <x:row r="605" ht="23" customHeight="1">
      <x:c r="A605" s="1" t="str">
        <x:v>T5-L00-R</x:v>
      </x:c>
      <x:c r="B605" s="1" t="str">
        <x:v>T5-L00-C</x:v>
      </x:c>
      <x:c r="C605" s="1" t="str">
        <x:v>FS</x:v>
      </x:c>
      <x:c r="D605" s="1" t="n">
        <x:v>0</x:v>
      </x:c>
      <x:c r="E605" s="1" t="n">
        <x:f>'Activities'!L549</x:f>
        <x:v>193</x:v>
      </x:c>
      <x:c r="F605" s="1" t="n">
        <x:f>'Activities'!K550</x:f>
        <x:v>193</x:v>
      </x:c>
      <x:c r="G605" s="1" t="n">
        <x:f>F605-E605-D605</x:f>
        <x:v>0</x:v>
      </x:c>
      <x:c r="H605" s="1" t="str">
        <x:v>Explicit working-day lag</x:v>
      </x:c>
    </x:row>
    <x:row r="606" ht="23" customHeight="1">
      <x:c r="A606" s="6" t="str">
        <x:v>T5-L00-C</x:v>
      </x:c>
      <x:c r="B606" s="6" t="str">
        <x:v>T5-L00-H</x:v>
      </x:c>
      <x:c r="C606" s="6" t="str">
        <x:v>FS</x:v>
      </x:c>
      <x:c r="D606" s="6" t="n">
        <x:v>0</x:v>
      </x:c>
      <x:c r="E606" s="6" t="n">
        <x:f>'Activities'!L550</x:f>
        <x:v>195</x:v>
      </x:c>
      <x:c r="F606" s="6" t="n">
        <x:f>'Activities'!K551</x:f>
        <x:v>195</x:v>
      </x:c>
      <x:c r="G606" s="6" t="n">
        <x:f>F606-E606-D606</x:f>
        <x:v>0</x:v>
      </x:c>
      <x:c r="H606" s="6" t="str">
        <x:v>Explicit working-day lag</x:v>
      </x:c>
    </x:row>
    <x:row r="607" ht="23" customHeight="1">
      <x:c r="A607" s="1" t="str">
        <x:v>T5-L00-H</x:v>
      </x:c>
      <x:c r="B607" s="1" t="str">
        <x:v>T5-L01-F</x:v>
      </x:c>
      <x:c r="C607" s="1" t="str">
        <x:v>FS</x:v>
      </x:c>
      <x:c r="D607" s="1" t="n">
        <x:v>0</x:v>
      </x:c>
      <x:c r="E607" s="1" t="n">
        <x:f>'Activities'!L551</x:f>
        <x:v>200</x:v>
      </x:c>
      <x:c r="F607" s="1" t="n">
        <x:f>'Activities'!K552</x:f>
        <x:v>200</x:v>
      </x:c>
      <x:c r="G607" s="1" t="n">
        <x:f>F607-E607-D607</x:f>
        <x:v>0</x:v>
      </x:c>
      <x:c r="H607" s="1" t="str">
        <x:v>Explicit working-day lag</x:v>
      </x:c>
    </x:row>
    <x:row r="608" ht="23" customHeight="1">
      <x:c r="A608" s="6" t="str">
        <x:v>T5-L01-F</x:v>
      </x:c>
      <x:c r="B608" s="6" t="str">
        <x:v>T5-L01-R</x:v>
      </x:c>
      <x:c r="C608" s="6" t="str">
        <x:v>FS</x:v>
      </x:c>
      <x:c r="D608" s="6" t="n">
        <x:v>0</x:v>
      </x:c>
      <x:c r="E608" s="6" t="n">
        <x:f>'Activities'!L552</x:f>
        <x:v>206</x:v>
      </x:c>
      <x:c r="F608" s="6" t="n">
        <x:f>'Activities'!K553</x:f>
        <x:v>206</x:v>
      </x:c>
      <x:c r="G608" s="6" t="n">
        <x:f>F608-E608-D608</x:f>
        <x:v>0</x:v>
      </x:c>
      <x:c r="H608" s="6" t="str">
        <x:v>Explicit working-day lag</x:v>
      </x:c>
    </x:row>
    <x:row r="609" ht="23" customHeight="1">
      <x:c r="A609" s="1" t="str">
        <x:v>T5-L01-R</x:v>
      </x:c>
      <x:c r="B609" s="1" t="str">
        <x:v>T5-L01-C</x:v>
      </x:c>
      <x:c r="C609" s="1" t="str">
        <x:v>FS</x:v>
      </x:c>
      <x:c r="D609" s="1" t="n">
        <x:v>0</x:v>
      </x:c>
      <x:c r="E609" s="1" t="n">
        <x:f>'Activities'!L553</x:f>
        <x:v>211</x:v>
      </x:c>
      <x:c r="F609" s="1" t="n">
        <x:f>'Activities'!K554</x:f>
        <x:v>211</x:v>
      </x:c>
      <x:c r="G609" s="1" t="n">
        <x:f>F609-E609-D609</x:f>
        <x:v>0</x:v>
      </x:c>
      <x:c r="H609" s="1" t="str">
        <x:v>Explicit working-day lag</x:v>
      </x:c>
    </x:row>
    <x:row r="610" ht="23" customHeight="1">
      <x:c r="A610" s="6" t="str">
        <x:v>T5-L01-C</x:v>
      </x:c>
      <x:c r="B610" s="6" t="str">
        <x:v>T5-L01-H</x:v>
      </x:c>
      <x:c r="C610" s="6" t="str">
        <x:v>FS</x:v>
      </x:c>
      <x:c r="D610" s="6" t="n">
        <x:v>0</x:v>
      </x:c>
      <x:c r="E610" s="6" t="n">
        <x:f>'Activities'!L554</x:f>
        <x:v>213</x:v>
      </x:c>
      <x:c r="F610" s="6" t="n">
        <x:f>'Activities'!K555</x:f>
        <x:v>213</x:v>
      </x:c>
      <x:c r="G610" s="6" t="n">
        <x:f>F610-E610-D610</x:f>
        <x:v>0</x:v>
      </x:c>
      <x:c r="H610" s="6" t="str">
        <x:v>Explicit working-day lag</x:v>
      </x:c>
    </x:row>
    <x:row r="611" ht="23" customHeight="1">
      <x:c r="A611" s="1" t="str">
        <x:v>T5-L01-H</x:v>
      </x:c>
      <x:c r="B611" s="1" t="str">
        <x:v>T5-L02-F</x:v>
      </x:c>
      <x:c r="C611" s="1" t="str">
        <x:v>FS</x:v>
      </x:c>
      <x:c r="D611" s="1" t="n">
        <x:v>0</x:v>
      </x:c>
      <x:c r="E611" s="1" t="n">
        <x:f>'Activities'!L555</x:f>
        <x:v>218</x:v>
      </x:c>
      <x:c r="F611" s="1" t="n">
        <x:f>'Activities'!K556</x:f>
        <x:v>218</x:v>
      </x:c>
      <x:c r="G611" s="1" t="n">
        <x:f>F611-E611-D611</x:f>
        <x:v>0</x:v>
      </x:c>
      <x:c r="H611" s="1" t="str">
        <x:v>Explicit working-day lag</x:v>
      </x:c>
    </x:row>
    <x:row r="612" ht="23" customHeight="1">
      <x:c r="A612" s="6" t="str">
        <x:v>T5-L02-F</x:v>
      </x:c>
      <x:c r="B612" s="6" t="str">
        <x:v>T5-L02-R</x:v>
      </x:c>
      <x:c r="C612" s="6" t="str">
        <x:v>FS</x:v>
      </x:c>
      <x:c r="D612" s="6" t="n">
        <x:v>0</x:v>
      </x:c>
      <x:c r="E612" s="6" t="n">
        <x:f>'Activities'!L556</x:f>
        <x:v>224</x:v>
      </x:c>
      <x:c r="F612" s="6" t="n">
        <x:f>'Activities'!K557</x:f>
        <x:v>224</x:v>
      </x:c>
      <x:c r="G612" s="6" t="n">
        <x:f>F612-E612-D612</x:f>
        <x:v>0</x:v>
      </x:c>
      <x:c r="H612" s="6" t="str">
        <x:v>Explicit working-day lag</x:v>
      </x:c>
    </x:row>
    <x:row r="613" ht="23" customHeight="1">
      <x:c r="A613" s="1" t="str">
        <x:v>T5-L02-R</x:v>
      </x:c>
      <x:c r="B613" s="1" t="str">
        <x:v>T5-L02-C</x:v>
      </x:c>
      <x:c r="C613" s="1" t="str">
        <x:v>FS</x:v>
      </x:c>
      <x:c r="D613" s="1" t="n">
        <x:v>0</x:v>
      </x:c>
      <x:c r="E613" s="1" t="n">
        <x:f>'Activities'!L557</x:f>
        <x:v>229</x:v>
      </x:c>
      <x:c r="F613" s="1" t="n">
        <x:f>'Activities'!K558</x:f>
        <x:v>229</x:v>
      </x:c>
      <x:c r="G613" s="1" t="n">
        <x:f>F613-E613-D613</x:f>
        <x:v>0</x:v>
      </x:c>
      <x:c r="H613" s="1" t="str">
        <x:v>Explicit working-day lag</x:v>
      </x:c>
    </x:row>
    <x:row r="614" ht="23" customHeight="1">
      <x:c r="A614" s="6" t="str">
        <x:v>T5-L02-C</x:v>
      </x:c>
      <x:c r="B614" s="6" t="str">
        <x:v>T5-L02-H</x:v>
      </x:c>
      <x:c r="C614" s="6" t="str">
        <x:v>FS</x:v>
      </x:c>
      <x:c r="D614" s="6" t="n">
        <x:v>0</x:v>
      </x:c>
      <x:c r="E614" s="6" t="n">
        <x:f>'Activities'!L558</x:f>
        <x:v>231</x:v>
      </x:c>
      <x:c r="F614" s="6" t="n">
        <x:f>'Activities'!K559</x:f>
        <x:v>231</x:v>
      </x:c>
      <x:c r="G614" s="6" t="n">
        <x:f>F614-E614-D614</x:f>
        <x:v>0</x:v>
      </x:c>
      <x:c r="H614" s="6" t="str">
        <x:v>Explicit working-day lag</x:v>
      </x:c>
    </x:row>
    <x:row r="615" ht="23" customHeight="1">
      <x:c r="A615" s="1" t="str">
        <x:v>T5-L02-H</x:v>
      </x:c>
      <x:c r="B615" s="1" t="str">
        <x:v>T5-L03-F</x:v>
      </x:c>
      <x:c r="C615" s="1" t="str">
        <x:v>FS</x:v>
      </x:c>
      <x:c r="D615" s="1" t="n">
        <x:v>0</x:v>
      </x:c>
      <x:c r="E615" s="1" t="n">
        <x:f>'Activities'!L559</x:f>
        <x:v>236</x:v>
      </x:c>
      <x:c r="F615" s="1" t="n">
        <x:f>'Activities'!K560</x:f>
        <x:v>236</x:v>
      </x:c>
      <x:c r="G615" s="1" t="n">
        <x:f>F615-E615-D615</x:f>
        <x:v>0</x:v>
      </x:c>
      <x:c r="H615" s="1" t="str">
        <x:v>Explicit working-day lag</x:v>
      </x:c>
    </x:row>
    <x:row r="616" ht="23" customHeight="1">
      <x:c r="A616" s="6" t="str">
        <x:v>T5-L03-F</x:v>
      </x:c>
      <x:c r="B616" s="6" t="str">
        <x:v>T5-L03-R</x:v>
      </x:c>
      <x:c r="C616" s="6" t="str">
        <x:v>FS</x:v>
      </x:c>
      <x:c r="D616" s="6" t="n">
        <x:v>0</x:v>
      </x:c>
      <x:c r="E616" s="6" t="n">
        <x:f>'Activities'!L560</x:f>
        <x:v>242</x:v>
      </x:c>
      <x:c r="F616" s="6" t="n">
        <x:f>'Activities'!K561</x:f>
        <x:v>242</x:v>
      </x:c>
      <x:c r="G616" s="6" t="n">
        <x:f>F616-E616-D616</x:f>
        <x:v>0</x:v>
      </x:c>
      <x:c r="H616" s="6" t="str">
        <x:v>Explicit working-day lag</x:v>
      </x:c>
    </x:row>
    <x:row r="617" ht="23" customHeight="1">
      <x:c r="A617" s="1" t="str">
        <x:v>T5-L03-R</x:v>
      </x:c>
      <x:c r="B617" s="1" t="str">
        <x:v>T5-L03-C</x:v>
      </x:c>
      <x:c r="C617" s="1" t="str">
        <x:v>FS</x:v>
      </x:c>
      <x:c r="D617" s="1" t="n">
        <x:v>0</x:v>
      </x:c>
      <x:c r="E617" s="1" t="n">
        <x:f>'Activities'!L561</x:f>
        <x:v>247</x:v>
      </x:c>
      <x:c r="F617" s="1" t="n">
        <x:f>'Activities'!K562</x:f>
        <x:v>247</x:v>
      </x:c>
      <x:c r="G617" s="1" t="n">
        <x:f>F617-E617-D617</x:f>
        <x:v>0</x:v>
      </x:c>
      <x:c r="H617" s="1" t="str">
        <x:v>Explicit working-day lag</x:v>
      </x:c>
    </x:row>
    <x:row r="618" ht="23" customHeight="1">
      <x:c r="A618" s="6" t="str">
        <x:v>T5-L03-C</x:v>
      </x:c>
      <x:c r="B618" s="6" t="str">
        <x:v>T5-L03-H</x:v>
      </x:c>
      <x:c r="C618" s="6" t="str">
        <x:v>FS</x:v>
      </x:c>
      <x:c r="D618" s="6" t="n">
        <x:v>0</x:v>
      </x:c>
      <x:c r="E618" s="6" t="n">
        <x:f>'Activities'!L562</x:f>
        <x:v>249</x:v>
      </x:c>
      <x:c r="F618" s="6" t="n">
        <x:f>'Activities'!K563</x:f>
        <x:v>249</x:v>
      </x:c>
      <x:c r="G618" s="6" t="n">
        <x:f>F618-E618-D618</x:f>
        <x:v>0</x:v>
      </x:c>
      <x:c r="H618" s="6" t="str">
        <x:v>Explicit working-day lag</x:v>
      </x:c>
    </x:row>
    <x:row r="619" ht="23" customHeight="1">
      <x:c r="A619" s="1" t="str">
        <x:v>T5-L03-H</x:v>
      </x:c>
      <x:c r="B619" s="1" t="str">
        <x:v>T5-L04-F</x:v>
      </x:c>
      <x:c r="C619" s="1" t="str">
        <x:v>FS</x:v>
      </x:c>
      <x:c r="D619" s="1" t="n">
        <x:v>0</x:v>
      </x:c>
      <x:c r="E619" s="1" t="n">
        <x:f>'Activities'!L563</x:f>
        <x:v>254</x:v>
      </x:c>
      <x:c r="F619" s="1" t="n">
        <x:f>'Activities'!K564</x:f>
        <x:v>254</x:v>
      </x:c>
      <x:c r="G619" s="1" t="n">
        <x:f>F619-E619-D619</x:f>
        <x:v>0</x:v>
      </x:c>
      <x:c r="H619" s="1" t="str">
        <x:v>Explicit working-day lag</x:v>
      </x:c>
    </x:row>
    <x:row r="620" ht="23" customHeight="1">
      <x:c r="A620" s="6" t="str">
        <x:v>T5-L04-F</x:v>
      </x:c>
      <x:c r="B620" s="6" t="str">
        <x:v>T5-L04-R</x:v>
      </x:c>
      <x:c r="C620" s="6" t="str">
        <x:v>FS</x:v>
      </x:c>
      <x:c r="D620" s="6" t="n">
        <x:v>0</x:v>
      </x:c>
      <x:c r="E620" s="6" t="n">
        <x:f>'Activities'!L564</x:f>
        <x:v>260</x:v>
      </x:c>
      <x:c r="F620" s="6" t="n">
        <x:f>'Activities'!K565</x:f>
        <x:v>260</x:v>
      </x:c>
      <x:c r="G620" s="6" t="n">
        <x:f>F620-E620-D620</x:f>
        <x:v>0</x:v>
      </x:c>
      <x:c r="H620" s="6" t="str">
        <x:v>Explicit working-day lag</x:v>
      </x:c>
    </x:row>
    <x:row r="621" ht="23" customHeight="1">
      <x:c r="A621" s="1" t="str">
        <x:v>T5-L04-R</x:v>
      </x:c>
      <x:c r="B621" s="1" t="str">
        <x:v>T5-L04-C</x:v>
      </x:c>
      <x:c r="C621" s="1" t="str">
        <x:v>FS</x:v>
      </x:c>
      <x:c r="D621" s="1" t="n">
        <x:v>0</x:v>
      </x:c>
      <x:c r="E621" s="1" t="n">
        <x:f>'Activities'!L565</x:f>
        <x:v>265</x:v>
      </x:c>
      <x:c r="F621" s="1" t="n">
        <x:f>'Activities'!K566</x:f>
        <x:v>265</x:v>
      </x:c>
      <x:c r="G621" s="1" t="n">
        <x:f>F621-E621-D621</x:f>
        <x:v>0</x:v>
      </x:c>
      <x:c r="H621" s="1" t="str">
        <x:v>Explicit working-day lag</x:v>
      </x:c>
    </x:row>
    <x:row r="622" ht="23" customHeight="1">
      <x:c r="A622" s="6" t="str">
        <x:v>T5-L04-C</x:v>
      </x:c>
      <x:c r="B622" s="6" t="str">
        <x:v>T5-L04-H</x:v>
      </x:c>
      <x:c r="C622" s="6" t="str">
        <x:v>FS</x:v>
      </x:c>
      <x:c r="D622" s="6" t="n">
        <x:v>0</x:v>
      </x:c>
      <x:c r="E622" s="6" t="n">
        <x:f>'Activities'!L566</x:f>
        <x:v>267</x:v>
      </x:c>
      <x:c r="F622" s="6" t="n">
        <x:f>'Activities'!K567</x:f>
        <x:v>267</x:v>
      </x:c>
      <x:c r="G622" s="6" t="n">
        <x:f>F622-E622-D622</x:f>
        <x:v>0</x:v>
      </x:c>
      <x:c r="H622" s="6" t="str">
        <x:v>Explicit working-day lag</x:v>
      </x:c>
    </x:row>
    <x:row r="623" ht="23" customHeight="1">
      <x:c r="A623" s="1" t="str">
        <x:v>T5-L04-H</x:v>
      </x:c>
      <x:c r="B623" s="1" t="str">
        <x:v>T5-L05-F</x:v>
      </x:c>
      <x:c r="C623" s="1" t="str">
        <x:v>FS</x:v>
      </x:c>
      <x:c r="D623" s="1" t="n">
        <x:v>0</x:v>
      </x:c>
      <x:c r="E623" s="1" t="n">
        <x:f>'Activities'!L567</x:f>
        <x:v>272</x:v>
      </x:c>
      <x:c r="F623" s="1" t="n">
        <x:f>'Activities'!K568</x:f>
        <x:v>272</x:v>
      </x:c>
      <x:c r="G623" s="1" t="n">
        <x:f>F623-E623-D623</x:f>
        <x:v>0</x:v>
      </x:c>
      <x:c r="H623" s="1" t="str">
        <x:v>Explicit working-day lag</x:v>
      </x:c>
    </x:row>
    <x:row r="624" ht="23" customHeight="1">
      <x:c r="A624" s="6" t="str">
        <x:v>T5-L05-F</x:v>
      </x:c>
      <x:c r="B624" s="6" t="str">
        <x:v>T5-L05-R</x:v>
      </x:c>
      <x:c r="C624" s="6" t="str">
        <x:v>FS</x:v>
      </x:c>
      <x:c r="D624" s="6" t="n">
        <x:v>0</x:v>
      </x:c>
      <x:c r="E624" s="6" t="n">
        <x:f>'Activities'!L568</x:f>
        <x:v>278</x:v>
      </x:c>
      <x:c r="F624" s="6" t="n">
        <x:f>'Activities'!K569</x:f>
        <x:v>278</x:v>
      </x:c>
      <x:c r="G624" s="6" t="n">
        <x:f>F624-E624-D624</x:f>
        <x:v>0</x:v>
      </x:c>
      <x:c r="H624" s="6" t="str">
        <x:v>Explicit working-day lag</x:v>
      </x:c>
    </x:row>
    <x:row r="625" ht="23" customHeight="1">
      <x:c r="A625" s="1" t="str">
        <x:v>T5-L05-R</x:v>
      </x:c>
      <x:c r="B625" s="1" t="str">
        <x:v>T5-L05-C</x:v>
      </x:c>
      <x:c r="C625" s="1" t="str">
        <x:v>FS</x:v>
      </x:c>
      <x:c r="D625" s="1" t="n">
        <x:v>0</x:v>
      </x:c>
      <x:c r="E625" s="1" t="n">
        <x:f>'Activities'!L569</x:f>
        <x:v>283</x:v>
      </x:c>
      <x:c r="F625" s="1" t="n">
        <x:f>'Activities'!K570</x:f>
        <x:v>283</x:v>
      </x:c>
      <x:c r="G625" s="1" t="n">
        <x:f>F625-E625-D625</x:f>
        <x:v>0</x:v>
      </x:c>
      <x:c r="H625" s="1" t="str">
        <x:v>Explicit working-day lag</x:v>
      </x:c>
    </x:row>
    <x:row r="626" ht="23" customHeight="1">
      <x:c r="A626" s="6" t="str">
        <x:v>T5-L05-C</x:v>
      </x:c>
      <x:c r="B626" s="6" t="str">
        <x:v>T5-L05-H</x:v>
      </x:c>
      <x:c r="C626" s="6" t="str">
        <x:v>FS</x:v>
      </x:c>
      <x:c r="D626" s="6" t="n">
        <x:v>0</x:v>
      </x:c>
      <x:c r="E626" s="6" t="n">
        <x:f>'Activities'!L570</x:f>
        <x:v>285</x:v>
      </x:c>
      <x:c r="F626" s="6" t="n">
        <x:f>'Activities'!K571</x:f>
        <x:v>285</x:v>
      </x:c>
      <x:c r="G626" s="6" t="n">
        <x:f>F626-E626-D626</x:f>
        <x:v>0</x:v>
      </x:c>
      <x:c r="H626" s="6" t="str">
        <x:v>Explicit working-day lag</x:v>
      </x:c>
    </x:row>
    <x:row r="627" ht="23" customHeight="1">
      <x:c r="A627" s="1" t="str">
        <x:v>T5-L05-H</x:v>
      </x:c>
      <x:c r="B627" s="1" t="str">
        <x:v>T5-L06-F</x:v>
      </x:c>
      <x:c r="C627" s="1" t="str">
        <x:v>FS</x:v>
      </x:c>
      <x:c r="D627" s="1" t="n">
        <x:v>0</x:v>
      </x:c>
      <x:c r="E627" s="1" t="n">
        <x:f>'Activities'!L571</x:f>
        <x:v>290</x:v>
      </x:c>
      <x:c r="F627" s="1" t="n">
        <x:f>'Activities'!K572</x:f>
        <x:v>290</x:v>
      </x:c>
      <x:c r="G627" s="1" t="n">
        <x:f>F627-E627-D627</x:f>
        <x:v>0</x:v>
      </x:c>
      <x:c r="H627" s="1" t="str">
        <x:v>Explicit working-day lag</x:v>
      </x:c>
    </x:row>
    <x:row r="628" ht="23" customHeight="1">
      <x:c r="A628" s="6" t="str">
        <x:v>T5-L06-F</x:v>
      </x:c>
      <x:c r="B628" s="6" t="str">
        <x:v>T5-L06-R</x:v>
      </x:c>
      <x:c r="C628" s="6" t="str">
        <x:v>FS</x:v>
      </x:c>
      <x:c r="D628" s="6" t="n">
        <x:v>0</x:v>
      </x:c>
      <x:c r="E628" s="6" t="n">
        <x:f>'Activities'!L572</x:f>
        <x:v>296</x:v>
      </x:c>
      <x:c r="F628" s="6" t="n">
        <x:f>'Activities'!K573</x:f>
        <x:v>296</x:v>
      </x:c>
      <x:c r="G628" s="6" t="n">
        <x:f>F628-E628-D628</x:f>
        <x:v>0</x:v>
      </x:c>
      <x:c r="H628" s="6" t="str">
        <x:v>Explicit working-day lag</x:v>
      </x:c>
    </x:row>
    <x:row r="629" ht="23" customHeight="1">
      <x:c r="A629" s="1" t="str">
        <x:v>T5-L06-R</x:v>
      </x:c>
      <x:c r="B629" s="1" t="str">
        <x:v>T5-L06-C</x:v>
      </x:c>
      <x:c r="C629" s="1" t="str">
        <x:v>FS</x:v>
      </x:c>
      <x:c r="D629" s="1" t="n">
        <x:v>0</x:v>
      </x:c>
      <x:c r="E629" s="1" t="n">
        <x:f>'Activities'!L573</x:f>
        <x:v>301</x:v>
      </x:c>
      <x:c r="F629" s="1" t="n">
        <x:f>'Activities'!K574</x:f>
        <x:v>301</x:v>
      </x:c>
      <x:c r="G629" s="1" t="n">
        <x:f>F629-E629-D629</x:f>
        <x:v>0</x:v>
      </x:c>
      <x:c r="H629" s="1" t="str">
        <x:v>Explicit working-day lag</x:v>
      </x:c>
    </x:row>
    <x:row r="630" ht="23" customHeight="1">
      <x:c r="A630" s="6" t="str">
        <x:v>T5-L06-C</x:v>
      </x:c>
      <x:c r="B630" s="6" t="str">
        <x:v>T5-L06-H</x:v>
      </x:c>
      <x:c r="C630" s="6" t="str">
        <x:v>FS</x:v>
      </x:c>
      <x:c r="D630" s="6" t="n">
        <x:v>0</x:v>
      </x:c>
      <x:c r="E630" s="6" t="n">
        <x:f>'Activities'!L574</x:f>
        <x:v>303</x:v>
      </x:c>
      <x:c r="F630" s="6" t="n">
        <x:f>'Activities'!K575</x:f>
        <x:v>303</x:v>
      </x:c>
      <x:c r="G630" s="6" t="n">
        <x:f>F630-E630-D630</x:f>
        <x:v>0</x:v>
      </x:c>
      <x:c r="H630" s="6" t="str">
        <x:v>Explicit working-day lag</x:v>
      </x:c>
    </x:row>
    <x:row r="631" ht="23" customHeight="1">
      <x:c r="A631" s="1" t="str">
        <x:v>T5-L06-H</x:v>
      </x:c>
      <x:c r="B631" s="1" t="str">
        <x:v>T5-L07-F</x:v>
      </x:c>
      <x:c r="C631" s="1" t="str">
        <x:v>FS</x:v>
      </x:c>
      <x:c r="D631" s="1" t="n">
        <x:v>0</x:v>
      </x:c>
      <x:c r="E631" s="1" t="n">
        <x:f>'Activities'!L575</x:f>
        <x:v>308</x:v>
      </x:c>
      <x:c r="F631" s="1" t="n">
        <x:f>'Activities'!K576</x:f>
        <x:v>308</x:v>
      </x:c>
      <x:c r="G631" s="1" t="n">
        <x:f>F631-E631-D631</x:f>
        <x:v>0</x:v>
      </x:c>
      <x:c r="H631" s="1" t="str">
        <x:v>Explicit working-day lag</x:v>
      </x:c>
    </x:row>
    <x:row r="632" ht="23" customHeight="1">
      <x:c r="A632" s="6" t="str">
        <x:v>T5-L07-F</x:v>
      </x:c>
      <x:c r="B632" s="6" t="str">
        <x:v>T5-L07-R</x:v>
      </x:c>
      <x:c r="C632" s="6" t="str">
        <x:v>FS</x:v>
      </x:c>
      <x:c r="D632" s="6" t="n">
        <x:v>0</x:v>
      </x:c>
      <x:c r="E632" s="6" t="n">
        <x:f>'Activities'!L576</x:f>
        <x:v>314</x:v>
      </x:c>
      <x:c r="F632" s="6" t="n">
        <x:f>'Activities'!K577</x:f>
        <x:v>314</x:v>
      </x:c>
      <x:c r="G632" s="6" t="n">
        <x:f>F632-E632-D632</x:f>
        <x:v>0</x:v>
      </x:c>
      <x:c r="H632" s="6" t="str">
        <x:v>Explicit working-day lag</x:v>
      </x:c>
    </x:row>
    <x:row r="633" ht="23" customHeight="1">
      <x:c r="A633" s="1" t="str">
        <x:v>T5-L07-R</x:v>
      </x:c>
      <x:c r="B633" s="1" t="str">
        <x:v>T5-L07-C</x:v>
      </x:c>
      <x:c r="C633" s="1" t="str">
        <x:v>FS</x:v>
      </x:c>
      <x:c r="D633" s="1" t="n">
        <x:v>0</x:v>
      </x:c>
      <x:c r="E633" s="1" t="n">
        <x:f>'Activities'!L577</x:f>
        <x:v>319</x:v>
      </x:c>
      <x:c r="F633" s="1" t="n">
        <x:f>'Activities'!K578</x:f>
        <x:v>319</x:v>
      </x:c>
      <x:c r="G633" s="1" t="n">
        <x:f>F633-E633-D633</x:f>
        <x:v>0</x:v>
      </x:c>
      <x:c r="H633" s="1" t="str">
        <x:v>Explicit working-day lag</x:v>
      </x:c>
    </x:row>
    <x:row r="634" ht="23" customHeight="1">
      <x:c r="A634" s="6" t="str">
        <x:v>T5-L07-C</x:v>
      </x:c>
      <x:c r="B634" s="6" t="str">
        <x:v>T5-L07-H</x:v>
      </x:c>
      <x:c r="C634" s="6" t="str">
        <x:v>FS</x:v>
      </x:c>
      <x:c r="D634" s="6" t="n">
        <x:v>0</x:v>
      </x:c>
      <x:c r="E634" s="6" t="n">
        <x:f>'Activities'!L578</x:f>
        <x:v>321</x:v>
      </x:c>
      <x:c r="F634" s="6" t="n">
        <x:f>'Activities'!K579</x:f>
        <x:v>321</x:v>
      </x:c>
      <x:c r="G634" s="6" t="n">
        <x:f>F634-E634-D634</x:f>
        <x:v>0</x:v>
      </x:c>
      <x:c r="H634" s="6" t="str">
        <x:v>Explicit working-day lag</x:v>
      </x:c>
    </x:row>
    <x:row r="635" ht="23" customHeight="1">
      <x:c r="A635" s="1" t="str">
        <x:v>T5-L07-H</x:v>
      </x:c>
      <x:c r="B635" s="1" t="str">
        <x:v>T5-L08-F</x:v>
      </x:c>
      <x:c r="C635" s="1" t="str">
        <x:v>FS</x:v>
      </x:c>
      <x:c r="D635" s="1" t="n">
        <x:v>0</x:v>
      </x:c>
      <x:c r="E635" s="1" t="n">
        <x:f>'Activities'!L579</x:f>
        <x:v>326</x:v>
      </x:c>
      <x:c r="F635" s="1" t="n">
        <x:f>'Activities'!K580</x:f>
        <x:v>326</x:v>
      </x:c>
      <x:c r="G635" s="1" t="n">
        <x:f>F635-E635-D635</x:f>
        <x:v>0</x:v>
      </x:c>
      <x:c r="H635" s="1" t="str">
        <x:v>Explicit working-day lag</x:v>
      </x:c>
    </x:row>
    <x:row r="636" ht="23" customHeight="1">
      <x:c r="A636" s="6" t="str">
        <x:v>T5-L08-F</x:v>
      </x:c>
      <x:c r="B636" s="6" t="str">
        <x:v>T5-L08-R</x:v>
      </x:c>
      <x:c r="C636" s="6" t="str">
        <x:v>FS</x:v>
      </x:c>
      <x:c r="D636" s="6" t="n">
        <x:v>0</x:v>
      </x:c>
      <x:c r="E636" s="6" t="n">
        <x:f>'Activities'!L580</x:f>
        <x:v>332</x:v>
      </x:c>
      <x:c r="F636" s="6" t="n">
        <x:f>'Activities'!K581</x:f>
        <x:v>332</x:v>
      </x:c>
      <x:c r="G636" s="6" t="n">
        <x:f>F636-E636-D636</x:f>
        <x:v>0</x:v>
      </x:c>
      <x:c r="H636" s="6" t="str">
        <x:v>Explicit working-day lag</x:v>
      </x:c>
    </x:row>
    <x:row r="637" ht="23" customHeight="1">
      <x:c r="A637" s="1" t="str">
        <x:v>T5-L08-R</x:v>
      </x:c>
      <x:c r="B637" s="1" t="str">
        <x:v>T5-L08-C</x:v>
      </x:c>
      <x:c r="C637" s="1" t="str">
        <x:v>FS</x:v>
      </x:c>
      <x:c r="D637" s="1" t="n">
        <x:v>0</x:v>
      </x:c>
      <x:c r="E637" s="1" t="n">
        <x:f>'Activities'!L581</x:f>
        <x:v>337</x:v>
      </x:c>
      <x:c r="F637" s="1" t="n">
        <x:f>'Activities'!K582</x:f>
        <x:v>337</x:v>
      </x:c>
      <x:c r="G637" s="1" t="n">
        <x:f>F637-E637-D637</x:f>
        <x:v>0</x:v>
      </x:c>
      <x:c r="H637" s="1" t="str">
        <x:v>Explicit working-day lag</x:v>
      </x:c>
    </x:row>
    <x:row r="638" ht="23" customHeight="1">
      <x:c r="A638" s="6" t="str">
        <x:v>T5-L08-C</x:v>
      </x:c>
      <x:c r="B638" s="6" t="str">
        <x:v>T5-L08-H</x:v>
      </x:c>
      <x:c r="C638" s="6" t="str">
        <x:v>FS</x:v>
      </x:c>
      <x:c r="D638" s="6" t="n">
        <x:v>0</x:v>
      </x:c>
      <x:c r="E638" s="6" t="n">
        <x:f>'Activities'!L582</x:f>
        <x:v>339</x:v>
      </x:c>
      <x:c r="F638" s="6" t="n">
        <x:f>'Activities'!K583</x:f>
        <x:v>339</x:v>
      </x:c>
      <x:c r="G638" s="6" t="n">
        <x:f>F638-E638-D638</x:f>
        <x:v>0</x:v>
      </x:c>
      <x:c r="H638" s="6" t="str">
        <x:v>Explicit working-day lag</x:v>
      </x:c>
    </x:row>
    <x:row r="639" ht="23" customHeight="1">
      <x:c r="A639" s="1" t="str">
        <x:v>T5-L08-H</x:v>
      </x:c>
      <x:c r="B639" s="1" t="str">
        <x:v>T5-L09-F</x:v>
      </x:c>
      <x:c r="C639" s="1" t="str">
        <x:v>FS</x:v>
      </x:c>
      <x:c r="D639" s="1" t="n">
        <x:v>0</x:v>
      </x:c>
      <x:c r="E639" s="1" t="n">
        <x:f>'Activities'!L583</x:f>
        <x:v>344</x:v>
      </x:c>
      <x:c r="F639" s="1" t="n">
        <x:f>'Activities'!K584</x:f>
        <x:v>344</x:v>
      </x:c>
      <x:c r="G639" s="1" t="n">
        <x:f>F639-E639-D639</x:f>
        <x:v>0</x:v>
      </x:c>
      <x:c r="H639" s="1" t="str">
        <x:v>Explicit working-day lag</x:v>
      </x:c>
    </x:row>
    <x:row r="640" ht="23" customHeight="1">
      <x:c r="A640" s="6" t="str">
        <x:v>T5-L09-F</x:v>
      </x:c>
      <x:c r="B640" s="6" t="str">
        <x:v>T5-L09-R</x:v>
      </x:c>
      <x:c r="C640" s="6" t="str">
        <x:v>FS</x:v>
      </x:c>
      <x:c r="D640" s="6" t="n">
        <x:v>0</x:v>
      </x:c>
      <x:c r="E640" s="6" t="n">
        <x:f>'Activities'!L584</x:f>
        <x:v>350</x:v>
      </x:c>
      <x:c r="F640" s="6" t="n">
        <x:f>'Activities'!K585</x:f>
        <x:v>350</x:v>
      </x:c>
      <x:c r="G640" s="6" t="n">
        <x:f>F640-E640-D640</x:f>
        <x:v>0</x:v>
      </x:c>
      <x:c r="H640" s="6" t="str">
        <x:v>Explicit working-day lag</x:v>
      </x:c>
    </x:row>
    <x:row r="641" ht="23" customHeight="1">
      <x:c r="A641" s="1" t="str">
        <x:v>T5-L09-R</x:v>
      </x:c>
      <x:c r="B641" s="1" t="str">
        <x:v>T5-L09-C</x:v>
      </x:c>
      <x:c r="C641" s="1" t="str">
        <x:v>FS</x:v>
      </x:c>
      <x:c r="D641" s="1" t="n">
        <x:v>0</x:v>
      </x:c>
      <x:c r="E641" s="1" t="n">
        <x:f>'Activities'!L585</x:f>
        <x:v>355</x:v>
      </x:c>
      <x:c r="F641" s="1" t="n">
        <x:f>'Activities'!K586</x:f>
        <x:v>355</x:v>
      </x:c>
      <x:c r="G641" s="1" t="n">
        <x:f>F641-E641-D641</x:f>
        <x:v>0</x:v>
      </x:c>
      <x:c r="H641" s="1" t="str">
        <x:v>Explicit working-day lag</x:v>
      </x:c>
    </x:row>
    <x:row r="642" ht="23" customHeight="1">
      <x:c r="A642" s="6" t="str">
        <x:v>T5-L09-C</x:v>
      </x:c>
      <x:c r="B642" s="6" t="str">
        <x:v>T5-L09-H</x:v>
      </x:c>
      <x:c r="C642" s="6" t="str">
        <x:v>FS</x:v>
      </x:c>
      <x:c r="D642" s="6" t="n">
        <x:v>0</x:v>
      </x:c>
      <x:c r="E642" s="6" t="n">
        <x:f>'Activities'!L586</x:f>
        <x:v>357</x:v>
      </x:c>
      <x:c r="F642" s="6" t="n">
        <x:f>'Activities'!K587</x:f>
        <x:v>357</x:v>
      </x:c>
      <x:c r="G642" s="6" t="n">
        <x:f>F642-E642-D642</x:f>
        <x:v>0</x:v>
      </x:c>
      <x:c r="H642" s="6" t="str">
        <x:v>Explicit working-day lag</x:v>
      </x:c>
    </x:row>
    <x:row r="643" ht="23" customHeight="1">
      <x:c r="A643" s="1" t="str">
        <x:v>T5-L09-H</x:v>
      </x:c>
      <x:c r="B643" s="1" t="str">
        <x:v>T5-L10-F</x:v>
      </x:c>
      <x:c r="C643" s="1" t="str">
        <x:v>FS</x:v>
      </x:c>
      <x:c r="D643" s="1" t="n">
        <x:v>0</x:v>
      </x:c>
      <x:c r="E643" s="1" t="n">
        <x:f>'Activities'!L587</x:f>
        <x:v>362</x:v>
      </x:c>
      <x:c r="F643" s="1" t="n">
        <x:f>'Activities'!K588</x:f>
        <x:v>362</x:v>
      </x:c>
      <x:c r="G643" s="1" t="n">
        <x:f>F643-E643-D643</x:f>
        <x:v>0</x:v>
      </x:c>
      <x:c r="H643" s="1" t="str">
        <x:v>Explicit working-day lag</x:v>
      </x:c>
    </x:row>
    <x:row r="644" ht="23" customHeight="1">
      <x:c r="A644" s="6" t="str">
        <x:v>T5-L10-F</x:v>
      </x:c>
      <x:c r="B644" s="6" t="str">
        <x:v>T5-L10-R</x:v>
      </x:c>
      <x:c r="C644" s="6" t="str">
        <x:v>FS</x:v>
      </x:c>
      <x:c r="D644" s="6" t="n">
        <x:v>0</x:v>
      </x:c>
      <x:c r="E644" s="6" t="n">
        <x:f>'Activities'!L588</x:f>
        <x:v>368</x:v>
      </x:c>
      <x:c r="F644" s="6" t="n">
        <x:f>'Activities'!K589</x:f>
        <x:v>368</x:v>
      </x:c>
      <x:c r="G644" s="6" t="n">
        <x:f>F644-E644-D644</x:f>
        <x:v>0</x:v>
      </x:c>
      <x:c r="H644" s="6" t="str">
        <x:v>Explicit working-day lag</x:v>
      </x:c>
    </x:row>
    <x:row r="645" ht="23" customHeight="1">
      <x:c r="A645" s="1" t="str">
        <x:v>T5-L10-R</x:v>
      </x:c>
      <x:c r="B645" s="1" t="str">
        <x:v>T5-L10-C</x:v>
      </x:c>
      <x:c r="C645" s="1" t="str">
        <x:v>FS</x:v>
      </x:c>
      <x:c r="D645" s="1" t="n">
        <x:v>0</x:v>
      </x:c>
      <x:c r="E645" s="1" t="n">
        <x:f>'Activities'!L589</x:f>
        <x:v>373</x:v>
      </x:c>
      <x:c r="F645" s="1" t="n">
        <x:f>'Activities'!K590</x:f>
        <x:v>373</x:v>
      </x:c>
      <x:c r="G645" s="1" t="n">
        <x:f>F645-E645-D645</x:f>
        <x:v>0</x:v>
      </x:c>
      <x:c r="H645" s="1" t="str">
        <x:v>Explicit working-day lag</x:v>
      </x:c>
    </x:row>
    <x:row r="646" ht="23" customHeight="1">
      <x:c r="A646" s="6" t="str">
        <x:v>T5-L10-C</x:v>
      </x:c>
      <x:c r="B646" s="6" t="str">
        <x:v>T5-L10-H</x:v>
      </x:c>
      <x:c r="C646" s="6" t="str">
        <x:v>FS</x:v>
      </x:c>
      <x:c r="D646" s="6" t="n">
        <x:v>0</x:v>
      </x:c>
      <x:c r="E646" s="6" t="n">
        <x:f>'Activities'!L590</x:f>
        <x:v>375</x:v>
      </x:c>
      <x:c r="F646" s="6" t="n">
        <x:f>'Activities'!K591</x:f>
        <x:v>375</x:v>
      </x:c>
      <x:c r="G646" s="6" t="n">
        <x:f>F646-E646-D646</x:f>
        <x:v>0</x:v>
      </x:c>
      <x:c r="H646" s="6" t="str">
        <x:v>Explicit working-day lag</x:v>
      </x:c>
    </x:row>
    <x:row r="647" ht="23" customHeight="1">
      <x:c r="A647" s="1" t="str">
        <x:v>T5-L10-H</x:v>
      </x:c>
      <x:c r="B647" s="1" t="str">
        <x:v>T5-L11-F</x:v>
      </x:c>
      <x:c r="C647" s="1" t="str">
        <x:v>FS</x:v>
      </x:c>
      <x:c r="D647" s="1" t="n">
        <x:v>0</x:v>
      </x:c>
      <x:c r="E647" s="1" t="n">
        <x:f>'Activities'!L591</x:f>
        <x:v>380</x:v>
      </x:c>
      <x:c r="F647" s="1" t="n">
        <x:f>'Activities'!K592</x:f>
        <x:v>380</x:v>
      </x:c>
      <x:c r="G647" s="1" t="n">
        <x:f>F647-E647-D647</x:f>
        <x:v>0</x:v>
      </x:c>
      <x:c r="H647" s="1" t="str">
        <x:v>Explicit working-day lag</x:v>
      </x:c>
    </x:row>
    <x:row r="648" ht="23" customHeight="1">
      <x:c r="A648" s="6" t="str">
        <x:v>T5-L11-F</x:v>
      </x:c>
      <x:c r="B648" s="6" t="str">
        <x:v>T5-L11-R</x:v>
      </x:c>
      <x:c r="C648" s="6" t="str">
        <x:v>FS</x:v>
      </x:c>
      <x:c r="D648" s="6" t="n">
        <x:v>0</x:v>
      </x:c>
      <x:c r="E648" s="6" t="n">
        <x:f>'Activities'!L592</x:f>
        <x:v>386</x:v>
      </x:c>
      <x:c r="F648" s="6" t="n">
        <x:f>'Activities'!K593</x:f>
        <x:v>386</x:v>
      </x:c>
      <x:c r="G648" s="6" t="n">
        <x:f>F648-E648-D648</x:f>
        <x:v>0</x:v>
      </x:c>
      <x:c r="H648" s="6" t="str">
        <x:v>Explicit working-day lag</x:v>
      </x:c>
    </x:row>
    <x:row r="649" ht="23" customHeight="1">
      <x:c r="A649" s="1" t="str">
        <x:v>T5-L11-R</x:v>
      </x:c>
      <x:c r="B649" s="1" t="str">
        <x:v>T5-L11-C</x:v>
      </x:c>
      <x:c r="C649" s="1" t="str">
        <x:v>FS</x:v>
      </x:c>
      <x:c r="D649" s="1" t="n">
        <x:v>0</x:v>
      </x:c>
      <x:c r="E649" s="1" t="n">
        <x:f>'Activities'!L593</x:f>
        <x:v>391</x:v>
      </x:c>
      <x:c r="F649" s="1" t="n">
        <x:f>'Activities'!K594</x:f>
        <x:v>391</x:v>
      </x:c>
      <x:c r="G649" s="1" t="n">
        <x:f>F649-E649-D649</x:f>
        <x:v>0</x:v>
      </x:c>
      <x:c r="H649" s="1" t="str">
        <x:v>Explicit working-day lag</x:v>
      </x:c>
    </x:row>
    <x:row r="650" ht="23" customHeight="1">
      <x:c r="A650" s="6" t="str">
        <x:v>T5-L11-C</x:v>
      </x:c>
      <x:c r="B650" s="6" t="str">
        <x:v>T5-L11-H</x:v>
      </x:c>
      <x:c r="C650" s="6" t="str">
        <x:v>FS</x:v>
      </x:c>
      <x:c r="D650" s="6" t="n">
        <x:v>0</x:v>
      </x:c>
      <x:c r="E650" s="6" t="n">
        <x:f>'Activities'!L594</x:f>
        <x:v>393</x:v>
      </x:c>
      <x:c r="F650" s="6" t="n">
        <x:f>'Activities'!K595</x:f>
        <x:v>393</x:v>
      </x:c>
      <x:c r="G650" s="6" t="n">
        <x:f>F650-E650-D650</x:f>
        <x:v>0</x:v>
      </x:c>
      <x:c r="H650" s="6" t="str">
        <x:v>Explicit working-day lag</x:v>
      </x:c>
    </x:row>
    <x:row r="651" ht="23" customHeight="1">
      <x:c r="A651" s="1" t="str">
        <x:v>T5-L11-H</x:v>
      </x:c>
      <x:c r="B651" s="1" t="str">
        <x:v>T5-L12-F</x:v>
      </x:c>
      <x:c r="C651" s="1" t="str">
        <x:v>FS</x:v>
      </x:c>
      <x:c r="D651" s="1" t="n">
        <x:v>0</x:v>
      </x:c>
      <x:c r="E651" s="1" t="n">
        <x:f>'Activities'!L595</x:f>
        <x:v>398</x:v>
      </x:c>
      <x:c r="F651" s="1" t="n">
        <x:f>'Activities'!K596</x:f>
        <x:v>398</x:v>
      </x:c>
      <x:c r="G651" s="1" t="n">
        <x:f>F651-E651-D651</x:f>
        <x:v>0</x:v>
      </x:c>
      <x:c r="H651" s="1" t="str">
        <x:v>Explicit working-day lag</x:v>
      </x:c>
    </x:row>
    <x:row r="652" ht="23" customHeight="1">
      <x:c r="A652" s="6" t="str">
        <x:v>T5-L12-F</x:v>
      </x:c>
      <x:c r="B652" s="6" t="str">
        <x:v>T5-L12-R</x:v>
      </x:c>
      <x:c r="C652" s="6" t="str">
        <x:v>FS</x:v>
      </x:c>
      <x:c r="D652" s="6" t="n">
        <x:v>0</x:v>
      </x:c>
      <x:c r="E652" s="6" t="n">
        <x:f>'Activities'!L596</x:f>
        <x:v>404</x:v>
      </x:c>
      <x:c r="F652" s="6" t="n">
        <x:f>'Activities'!K597</x:f>
        <x:v>404</x:v>
      </x:c>
      <x:c r="G652" s="6" t="n">
        <x:f>F652-E652-D652</x:f>
        <x:v>0</x:v>
      </x:c>
      <x:c r="H652" s="6" t="str">
        <x:v>Explicit working-day lag</x:v>
      </x:c>
    </x:row>
    <x:row r="653" ht="23" customHeight="1">
      <x:c r="A653" s="1" t="str">
        <x:v>T5-L12-R</x:v>
      </x:c>
      <x:c r="B653" s="1" t="str">
        <x:v>T5-L12-C</x:v>
      </x:c>
      <x:c r="C653" s="1" t="str">
        <x:v>FS</x:v>
      </x:c>
      <x:c r="D653" s="1" t="n">
        <x:v>0</x:v>
      </x:c>
      <x:c r="E653" s="1" t="n">
        <x:f>'Activities'!L597</x:f>
        <x:v>409</x:v>
      </x:c>
      <x:c r="F653" s="1" t="n">
        <x:f>'Activities'!K598</x:f>
        <x:v>409</x:v>
      </x:c>
      <x:c r="G653" s="1" t="n">
        <x:f>F653-E653-D653</x:f>
        <x:v>0</x:v>
      </x:c>
      <x:c r="H653" s="1" t="str">
        <x:v>Explicit working-day lag</x:v>
      </x:c>
    </x:row>
    <x:row r="654" ht="23" customHeight="1">
      <x:c r="A654" s="6" t="str">
        <x:v>T5-L12-C</x:v>
      </x:c>
      <x:c r="B654" s="6" t="str">
        <x:v>T5-L12-H</x:v>
      </x:c>
      <x:c r="C654" s="6" t="str">
        <x:v>FS</x:v>
      </x:c>
      <x:c r="D654" s="6" t="n">
        <x:v>0</x:v>
      </x:c>
      <x:c r="E654" s="6" t="n">
        <x:f>'Activities'!L598</x:f>
        <x:v>411</x:v>
      </x:c>
      <x:c r="F654" s="6" t="n">
        <x:f>'Activities'!K599</x:f>
        <x:v>411</x:v>
      </x:c>
      <x:c r="G654" s="6" t="n">
        <x:f>F654-E654-D654</x:f>
        <x:v>0</x:v>
      </x:c>
      <x:c r="H654" s="6" t="str">
        <x:v>Explicit working-day lag</x:v>
      </x:c>
    </x:row>
    <x:row r="655" ht="23" customHeight="1">
      <x:c r="A655" s="1" t="str">
        <x:v>T5-L12-H</x:v>
      </x:c>
      <x:c r="B655" s="1" t="str">
        <x:v>T5-RF</x:v>
      </x:c>
      <x:c r="C655" s="1" t="str">
        <x:v>FS</x:v>
      </x:c>
      <x:c r="D655" s="1" t="n">
        <x:v>5</x:v>
      </x:c>
      <x:c r="E655" s="1" t="n">
        <x:f>'Activities'!L599</x:f>
        <x:v>416</x:v>
      </x:c>
      <x:c r="F655" s="1" t="n">
        <x:f>'Activities'!K600</x:f>
        <x:v>421</x:v>
      </x:c>
      <x:c r="G655" s="1" t="n">
        <x:f>F655-E655-D655</x:f>
        <x:v>0</x:v>
      </x:c>
      <x:c r="H655" s="1" t="str">
        <x:v>Explicit working-day lag</x:v>
      </x:c>
    </x:row>
    <x:row r="656" ht="23" customHeight="1">
      <x:c r="A656" s="6" t="str">
        <x:v>T5-L08-H</x:v>
      </x:c>
      <x:c r="B656" s="6" t="str">
        <x:v>T5-FA</x:v>
      </x:c>
      <x:c r="C656" s="6" t="str">
        <x:v>FS</x:v>
      </x:c>
      <x:c r="D656" s="6" t="n">
        <x:v>10</x:v>
      </x:c>
      <x:c r="E656" s="6" t="n">
        <x:f>'Activities'!L583</x:f>
        <x:v>344</x:v>
      </x:c>
      <x:c r="F656" s="6" t="n">
        <x:f>'Activities'!K601</x:f>
        <x:v>354</x:v>
      </x:c>
      <x:c r="G656" s="6" t="n">
        <x:f>F656-E656-D656</x:f>
        <x:v>0</x:v>
      </x:c>
      <x:c r="H656" s="6" t="str">
        <x:v>Explicit working-day lag</x:v>
      </x:c>
    </x:row>
    <x:row r="657" ht="23" customHeight="1">
      <x:c r="A657" s="1" t="str">
        <x:v>T5-FA</x:v>
      </x:c>
      <x:c r="B657" s="1" t="str">
        <x:v>T5-GL</x:v>
      </x:c>
      <x:c r="C657" s="1" t="str">
        <x:v>FS</x:v>
      </x:c>
      <x:c r="D657" s="1" t="n">
        <x:v>0</x:v>
      </x:c>
      <x:c r="E657" s="1" t="n">
        <x:f>'Activities'!L601</x:f>
        <x:v>376</x:v>
      </x:c>
      <x:c r="F657" s="1" t="n">
        <x:f>'Activities'!K602</x:f>
        <x:v>435</x:v>
      </x:c>
      <x:c r="G657" s="1" t="n">
        <x:f>F657-E657-D657</x:f>
        <x:v>59</x:v>
      </x:c>
      <x:c r="H657" s="1" t="str">
        <x:v>Explicit working-day lag</x:v>
      </x:c>
    </x:row>
    <x:row r="658" ht="23" customHeight="1">
      <x:c r="A658" s="6" t="str">
        <x:v>T5-RF</x:v>
      </x:c>
      <x:c r="B658" s="6" t="str">
        <x:v>T5-GL</x:v>
      </x:c>
      <x:c r="C658" s="6" t="str">
        <x:v>FS</x:v>
      </x:c>
      <x:c r="D658" s="6" t="n">
        <x:v>0</x:v>
      </x:c>
      <x:c r="E658" s="6" t="n">
        <x:f>'Activities'!L600</x:f>
        <x:v>435</x:v>
      </x:c>
      <x:c r="F658" s="6" t="n">
        <x:f>'Activities'!K602</x:f>
        <x:v>435</x:v>
      </x:c>
      <x:c r="G658" s="6" t="n">
        <x:f>F658-E658-D658</x:f>
        <x:v>0</x:v>
      </x:c>
      <x:c r="H658" s="6" t="str">
        <x:v>Explicit working-day lag</x:v>
      </x:c>
    </x:row>
    <x:row r="659" ht="23" customHeight="1">
      <x:c r="A659" s="1" t="str">
        <x:v>T5-L03-H</x:v>
      </x:c>
      <x:c r="B659" s="1" t="str">
        <x:v>T5-L00-M</x:v>
      </x:c>
      <x:c r="C659" s="1" t="str">
        <x:v>FS</x:v>
      </x:c>
      <x:c r="D659" s="1" t="n">
        <x:v>5</x:v>
      </x:c>
      <x:c r="E659" s="1" t="n">
        <x:f>'Activities'!L563</x:f>
        <x:v>254</x:v>
      </x:c>
      <x:c r="F659" s="1" t="n">
        <x:f>'Activities'!K603</x:f>
        <x:v>259</x:v>
      </x:c>
      <x:c r="G659" s="1" t="n">
        <x:f>F659-E659-D659</x:f>
        <x:v>0</x:v>
      </x:c>
      <x:c r="H659" s="1" t="str">
        <x:v>Explicit working-day lag</x:v>
      </x:c>
    </x:row>
    <x:row r="660" ht="23" customHeight="1">
      <x:c r="A660" s="6" t="str">
        <x:v>T5-L00-M</x:v>
      </x:c>
      <x:c r="B660" s="6" t="str">
        <x:v>T5-L00-P</x:v>
      </x:c>
      <x:c r="C660" s="6" t="str">
        <x:v>FS</x:v>
      </x:c>
      <x:c r="D660" s="6" t="n">
        <x:v>3</x:v>
      </x:c>
      <x:c r="E660" s="6" t="n">
        <x:f>'Activities'!L603</x:f>
        <x:v>264</x:v>
      </x:c>
      <x:c r="F660" s="6" t="n">
        <x:f>'Activities'!K604</x:f>
        <x:v>267</x:v>
      </x:c>
      <x:c r="G660" s="6" t="n">
        <x:f>F660-E660-D660</x:f>
        <x:v>0</x:v>
      </x:c>
      <x:c r="H660" s="6" t="str">
        <x:v>Explicit working-day lag</x:v>
      </x:c>
    </x:row>
    <x:row r="661" ht="23" customHeight="1">
      <x:c r="A661" s="1" t="str">
        <x:v>T5-L00-P</x:v>
      </x:c>
      <x:c r="B661" s="1" t="str">
        <x:v>T5-L00-S</x:v>
      </x:c>
      <x:c r="C661" s="1" t="str">
        <x:v>FS</x:v>
      </x:c>
      <x:c r="D661" s="1" t="n">
        <x:v>2</x:v>
      </x:c>
      <x:c r="E661" s="1" t="n">
        <x:f>'Activities'!L604</x:f>
        <x:v>273</x:v>
      </x:c>
      <x:c r="F661" s="1" t="n">
        <x:f>'Activities'!K605</x:f>
        <x:v>275</x:v>
      </x:c>
      <x:c r="G661" s="1" t="n">
        <x:f>F661-E661-D661</x:f>
        <x:v>0</x:v>
      </x:c>
      <x:c r="H661" s="1" t="str">
        <x:v>Explicit working-day lag</x:v>
      </x:c>
    </x:row>
    <x:row r="662" ht="23" customHeight="1">
      <x:c r="A662" s="6" t="str">
        <x:v>T5-L00-S</x:v>
      </x:c>
      <x:c r="B662" s="6" t="str">
        <x:v>T5-L00-T</x:v>
      </x:c>
      <x:c r="C662" s="6" t="str">
        <x:v>FS</x:v>
      </x:c>
      <x:c r="D662" s="6" t="n">
        <x:v>14</x:v>
      </x:c>
      <x:c r="E662" s="6" t="n">
        <x:f>'Activities'!L605</x:f>
        <x:v>278</x:v>
      </x:c>
      <x:c r="F662" s="6" t="n">
        <x:f>'Activities'!K606</x:f>
        <x:v>449</x:v>
      </x:c>
      <x:c r="G662" s="6" t="n">
        <x:f>F662-E662-D662</x:f>
        <x:v>157</x:v>
      </x:c>
      <x:c r="H662" s="6" t="str">
        <x:v>Explicit working-day lag</x:v>
      </x:c>
    </x:row>
    <x:row r="663" ht="23" customHeight="1">
      <x:c r="A663" s="1" t="str">
        <x:v>T5-GL</x:v>
      </x:c>
      <x:c r="B663" s="1" t="str">
        <x:v>T5-L00-T</x:v>
      </x:c>
      <x:c r="C663" s="1" t="str">
        <x:v>FS</x:v>
      </x:c>
      <x:c r="D663" s="1" t="n">
        <x:v>0</x:v>
      </x:c>
      <x:c r="E663" s="1" t="n">
        <x:f>'Activities'!L602</x:f>
        <x:v>449</x:v>
      </x:c>
      <x:c r="F663" s="1" t="n">
        <x:f>'Activities'!K606</x:f>
        <x:v>449</x:v>
      </x:c>
      <x:c r="G663" s="1" t="n">
        <x:f>F663-E663-D663</x:f>
        <x:v>0</x:v>
      </x:c>
      <x:c r="H663" s="1" t="str">
        <x:v>Explicit working-day lag</x:v>
      </x:c>
    </x:row>
    <x:row r="664" ht="23" customHeight="1">
      <x:c r="A664" s="6" t="str">
        <x:v>T5-L00-T</x:v>
      </x:c>
      <x:c r="B664" s="6" t="str">
        <x:v>T5-L00-A</x:v>
      </x:c>
      <x:c r="C664" s="6" t="str">
        <x:v>FS</x:v>
      </x:c>
      <x:c r="D664" s="6" t="n">
        <x:v>2</x:v>
      </x:c>
      <x:c r="E664" s="6" t="n">
        <x:f>'Activities'!L606</x:f>
        <x:v>455</x:v>
      </x:c>
      <x:c r="F664" s="6" t="n">
        <x:f>'Activities'!K607</x:f>
        <x:v>457</x:v>
      </x:c>
      <x:c r="G664" s="6" t="n">
        <x:f>F664-E664-D664</x:f>
        <x:v>0</x:v>
      </x:c>
      <x:c r="H664" s="6" t="str">
        <x:v>Explicit working-day lag</x:v>
      </x:c>
    </x:row>
    <x:row r="665" ht="23" customHeight="1">
      <x:c r="A665" s="1" t="str">
        <x:v>T5-L00-A</x:v>
      </x:c>
      <x:c r="B665" s="1" t="str">
        <x:v>T5-L00-D</x:v>
      </x:c>
      <x:c r="C665" s="1" t="str">
        <x:v>FS</x:v>
      </x:c>
      <x:c r="D665" s="1" t="n">
        <x:v>0</x:v>
      </x:c>
      <x:c r="E665" s="1" t="n">
        <x:f>'Activities'!L607</x:f>
        <x:v>462</x:v>
      </x:c>
      <x:c r="F665" s="1" t="n">
        <x:f>'Activities'!K608</x:f>
        <x:v>462</x:v>
      </x:c>
      <x:c r="G665" s="1" t="n">
        <x:f>F665-E665-D665</x:f>
        <x:v>0</x:v>
      </x:c>
      <x:c r="H665" s="1" t="str">
        <x:v>Explicit working-day lag</x:v>
      </x:c>
    </x:row>
    <x:row r="666" ht="23" customHeight="1">
      <x:c r="A666" s="6" t="str">
        <x:v>T5-L04-H</x:v>
      </x:c>
      <x:c r="B666" s="6" t="str">
        <x:v>T5-L01-M</x:v>
      </x:c>
      <x:c r="C666" s="6" t="str">
        <x:v>FS</x:v>
      </x:c>
      <x:c r="D666" s="6" t="n">
        <x:v>5</x:v>
      </x:c>
      <x:c r="E666" s="6" t="n">
        <x:f>'Activities'!L567</x:f>
        <x:v>272</x:v>
      </x:c>
      <x:c r="F666" s="6" t="n">
        <x:f>'Activities'!K609</x:f>
        <x:v>277</x:v>
      </x:c>
      <x:c r="G666" s="6" t="n">
        <x:f>F666-E666-D666</x:f>
        <x:v>0</x:v>
      </x:c>
      <x:c r="H666" s="6" t="str">
        <x:v>Explicit working-day lag</x:v>
      </x:c>
    </x:row>
    <x:row r="667" ht="23" customHeight="1">
      <x:c r="A667" s="1" t="str">
        <x:v>T5-L01-M</x:v>
      </x:c>
      <x:c r="B667" s="1" t="str">
        <x:v>T5-L01-P</x:v>
      </x:c>
      <x:c r="C667" s="1" t="str">
        <x:v>FS</x:v>
      </x:c>
      <x:c r="D667" s="1" t="n">
        <x:v>3</x:v>
      </x:c>
      <x:c r="E667" s="1" t="n">
        <x:f>'Activities'!L609</x:f>
        <x:v>282</x:v>
      </x:c>
      <x:c r="F667" s="1" t="n">
        <x:f>'Activities'!K610</x:f>
        <x:v>285</x:v>
      </x:c>
      <x:c r="G667" s="1" t="n">
        <x:f>F667-E667-D667</x:f>
        <x:v>0</x:v>
      </x:c>
      <x:c r="H667" s="1" t="str">
        <x:v>Explicit working-day lag</x:v>
      </x:c>
    </x:row>
    <x:row r="668" ht="23" customHeight="1">
      <x:c r="A668" s="6" t="str">
        <x:v>T5-L01-P</x:v>
      </x:c>
      <x:c r="B668" s="6" t="str">
        <x:v>T5-L01-S</x:v>
      </x:c>
      <x:c r="C668" s="6" t="str">
        <x:v>FS</x:v>
      </x:c>
      <x:c r="D668" s="6" t="n">
        <x:v>2</x:v>
      </x:c>
      <x:c r="E668" s="6" t="n">
        <x:f>'Activities'!L610</x:f>
        <x:v>291</x:v>
      </x:c>
      <x:c r="F668" s="6" t="n">
        <x:f>'Activities'!K611</x:f>
        <x:v>293</x:v>
      </x:c>
      <x:c r="G668" s="6" t="n">
        <x:f>F668-E668-D668</x:f>
        <x:v>0</x:v>
      </x:c>
      <x:c r="H668" s="6" t="str">
        <x:v>Explicit working-day lag</x:v>
      </x:c>
    </x:row>
    <x:row r="669" ht="23" customHeight="1">
      <x:c r="A669" s="1" t="str">
        <x:v>T5-L01-S</x:v>
      </x:c>
      <x:c r="B669" s="1" t="str">
        <x:v>T5-L01-T</x:v>
      </x:c>
      <x:c r="C669" s="1" t="str">
        <x:v>FS</x:v>
      </x:c>
      <x:c r="D669" s="1" t="n">
        <x:v>14</x:v>
      </x:c>
      <x:c r="E669" s="1" t="n">
        <x:f>'Activities'!L611</x:f>
        <x:v>296</x:v>
      </x:c>
      <x:c r="F669" s="1" t="n">
        <x:f>'Activities'!K612</x:f>
        <x:v>449</x:v>
      </x:c>
      <x:c r="G669" s="1" t="n">
        <x:f>F669-E669-D669</x:f>
        <x:v>139</x:v>
      </x:c>
      <x:c r="H669" s="1" t="str">
        <x:v>Explicit working-day lag</x:v>
      </x:c>
    </x:row>
    <x:row r="670" ht="23" customHeight="1">
      <x:c r="A670" s="6" t="str">
        <x:v>T5-GL</x:v>
      </x:c>
      <x:c r="B670" s="6" t="str">
        <x:v>T5-L01-T</x:v>
      </x:c>
      <x:c r="C670" s="6" t="str">
        <x:v>FS</x:v>
      </x:c>
      <x:c r="D670" s="6" t="n">
        <x:v>0</x:v>
      </x:c>
      <x:c r="E670" s="6" t="n">
        <x:f>'Activities'!L602</x:f>
        <x:v>449</x:v>
      </x:c>
      <x:c r="F670" s="6" t="n">
        <x:f>'Activities'!K612</x:f>
        <x:v>449</x:v>
      </x:c>
      <x:c r="G670" s="6" t="n">
        <x:f>F670-E670-D670</x:f>
        <x:v>0</x:v>
      </x:c>
      <x:c r="H670" s="6" t="str">
        <x:v>Explicit working-day lag</x:v>
      </x:c>
    </x:row>
    <x:row r="671" ht="23" customHeight="1">
      <x:c r="A671" s="1" t="str">
        <x:v>T5-L01-T</x:v>
      </x:c>
      <x:c r="B671" s="1" t="str">
        <x:v>T5-L01-A</x:v>
      </x:c>
      <x:c r="C671" s="1" t="str">
        <x:v>FS</x:v>
      </x:c>
      <x:c r="D671" s="1" t="n">
        <x:v>2</x:v>
      </x:c>
      <x:c r="E671" s="1" t="n">
        <x:f>'Activities'!L612</x:f>
        <x:v>455</x:v>
      </x:c>
      <x:c r="F671" s="1" t="n">
        <x:f>'Activities'!K613</x:f>
        <x:v>457</x:v>
      </x:c>
      <x:c r="G671" s="1" t="n">
        <x:f>F671-E671-D671</x:f>
        <x:v>0</x:v>
      </x:c>
      <x:c r="H671" s="1" t="str">
        <x:v>Explicit working-day lag</x:v>
      </x:c>
    </x:row>
    <x:row r="672" ht="23" customHeight="1">
      <x:c r="A672" s="6" t="str">
        <x:v>T5-L01-A</x:v>
      </x:c>
      <x:c r="B672" s="6" t="str">
        <x:v>T5-L01-D</x:v>
      </x:c>
      <x:c r="C672" s="6" t="str">
        <x:v>FS</x:v>
      </x:c>
      <x:c r="D672" s="6" t="n">
        <x:v>0</x:v>
      </x:c>
      <x:c r="E672" s="6" t="n">
        <x:f>'Activities'!L613</x:f>
        <x:v>462</x:v>
      </x:c>
      <x:c r="F672" s="6" t="n">
        <x:f>'Activities'!K614</x:f>
        <x:v>462</x:v>
      </x:c>
      <x:c r="G672" s="6" t="n">
        <x:f>F672-E672-D672</x:f>
        <x:v>0</x:v>
      </x:c>
      <x:c r="H672" s="6" t="str">
        <x:v>Explicit working-day lag</x:v>
      </x:c>
    </x:row>
    <x:row r="673" ht="23" customHeight="1">
      <x:c r="A673" s="1" t="str">
        <x:v>T5-L05-H</x:v>
      </x:c>
      <x:c r="B673" s="1" t="str">
        <x:v>T5-L02-M</x:v>
      </x:c>
      <x:c r="C673" s="1" t="str">
        <x:v>FS</x:v>
      </x:c>
      <x:c r="D673" s="1" t="n">
        <x:v>5</x:v>
      </x:c>
      <x:c r="E673" s="1" t="n">
        <x:f>'Activities'!L571</x:f>
        <x:v>290</x:v>
      </x:c>
      <x:c r="F673" s="1" t="n">
        <x:f>'Activities'!K615</x:f>
        <x:v>295</x:v>
      </x:c>
      <x:c r="G673" s="1" t="n">
        <x:f>F673-E673-D673</x:f>
        <x:v>0</x:v>
      </x:c>
      <x:c r="H673" s="1" t="str">
        <x:v>Explicit working-day lag</x:v>
      </x:c>
    </x:row>
    <x:row r="674" ht="23" customHeight="1">
      <x:c r="A674" s="6" t="str">
        <x:v>T5-L02-M</x:v>
      </x:c>
      <x:c r="B674" s="6" t="str">
        <x:v>T5-L02-P</x:v>
      </x:c>
      <x:c r="C674" s="6" t="str">
        <x:v>FS</x:v>
      </x:c>
      <x:c r="D674" s="6" t="n">
        <x:v>3</x:v>
      </x:c>
      <x:c r="E674" s="6" t="n">
        <x:f>'Activities'!L615</x:f>
        <x:v>300</x:v>
      </x:c>
      <x:c r="F674" s="6" t="n">
        <x:f>'Activities'!K616</x:f>
        <x:v>303</x:v>
      </x:c>
      <x:c r="G674" s="6" t="n">
        <x:f>F674-E674-D674</x:f>
        <x:v>0</x:v>
      </x:c>
      <x:c r="H674" s="6" t="str">
        <x:v>Explicit working-day lag</x:v>
      </x:c>
    </x:row>
    <x:row r="675" ht="23" customHeight="1">
      <x:c r="A675" s="1" t="str">
        <x:v>T5-L02-P</x:v>
      </x:c>
      <x:c r="B675" s="1" t="str">
        <x:v>T5-L02-S</x:v>
      </x:c>
      <x:c r="C675" s="1" t="str">
        <x:v>FS</x:v>
      </x:c>
      <x:c r="D675" s="1" t="n">
        <x:v>2</x:v>
      </x:c>
      <x:c r="E675" s="1" t="n">
        <x:f>'Activities'!L616</x:f>
        <x:v>309</x:v>
      </x:c>
      <x:c r="F675" s="1" t="n">
        <x:f>'Activities'!K617</x:f>
        <x:v>311</x:v>
      </x:c>
      <x:c r="G675" s="1" t="n">
        <x:f>F675-E675-D675</x:f>
        <x:v>0</x:v>
      </x:c>
      <x:c r="H675" s="1" t="str">
        <x:v>Explicit working-day lag</x:v>
      </x:c>
    </x:row>
    <x:row r="676" ht="23" customHeight="1">
      <x:c r="A676" s="6" t="str">
        <x:v>T5-L02-S</x:v>
      </x:c>
      <x:c r="B676" s="6" t="str">
        <x:v>T5-L02-T</x:v>
      </x:c>
      <x:c r="C676" s="6" t="str">
        <x:v>FS</x:v>
      </x:c>
      <x:c r="D676" s="6" t="n">
        <x:v>14</x:v>
      </x:c>
      <x:c r="E676" s="6" t="n">
        <x:f>'Activities'!L617</x:f>
        <x:v>314</x:v>
      </x:c>
      <x:c r="F676" s="6" t="n">
        <x:f>'Activities'!K618</x:f>
        <x:v>449</x:v>
      </x:c>
      <x:c r="G676" s="6" t="n">
        <x:f>F676-E676-D676</x:f>
        <x:v>121</x:v>
      </x:c>
      <x:c r="H676" s="6" t="str">
        <x:v>Explicit working-day lag</x:v>
      </x:c>
    </x:row>
    <x:row r="677" ht="23" customHeight="1">
      <x:c r="A677" s="1" t="str">
        <x:v>T5-GL</x:v>
      </x:c>
      <x:c r="B677" s="1" t="str">
        <x:v>T5-L02-T</x:v>
      </x:c>
      <x:c r="C677" s="1" t="str">
        <x:v>FS</x:v>
      </x:c>
      <x:c r="D677" s="1" t="n">
        <x:v>0</x:v>
      </x:c>
      <x:c r="E677" s="1" t="n">
        <x:f>'Activities'!L602</x:f>
        <x:v>449</x:v>
      </x:c>
      <x:c r="F677" s="1" t="n">
        <x:f>'Activities'!K618</x:f>
        <x:v>449</x:v>
      </x:c>
      <x:c r="G677" s="1" t="n">
        <x:f>F677-E677-D677</x:f>
        <x:v>0</x:v>
      </x:c>
      <x:c r="H677" s="1" t="str">
        <x:v>Explicit working-day lag</x:v>
      </x:c>
    </x:row>
    <x:row r="678" ht="23" customHeight="1">
      <x:c r="A678" s="6" t="str">
        <x:v>T5-L02-T</x:v>
      </x:c>
      <x:c r="B678" s="6" t="str">
        <x:v>T5-L02-A</x:v>
      </x:c>
      <x:c r="C678" s="6" t="str">
        <x:v>FS</x:v>
      </x:c>
      <x:c r="D678" s="6" t="n">
        <x:v>2</x:v>
      </x:c>
      <x:c r="E678" s="6" t="n">
        <x:f>'Activities'!L618</x:f>
        <x:v>455</x:v>
      </x:c>
      <x:c r="F678" s="6" t="n">
        <x:f>'Activities'!K619</x:f>
        <x:v>457</x:v>
      </x:c>
      <x:c r="G678" s="6" t="n">
        <x:f>F678-E678-D678</x:f>
        <x:v>0</x:v>
      </x:c>
      <x:c r="H678" s="6" t="str">
        <x:v>Explicit working-day lag</x:v>
      </x:c>
    </x:row>
    <x:row r="679" ht="23" customHeight="1">
      <x:c r="A679" s="1" t="str">
        <x:v>T5-L02-A</x:v>
      </x:c>
      <x:c r="B679" s="1" t="str">
        <x:v>T5-L02-D</x:v>
      </x:c>
      <x:c r="C679" s="1" t="str">
        <x:v>FS</x:v>
      </x:c>
      <x:c r="D679" s="1" t="n">
        <x:v>0</x:v>
      </x:c>
      <x:c r="E679" s="1" t="n">
        <x:f>'Activities'!L619</x:f>
        <x:v>462</x:v>
      </x:c>
      <x:c r="F679" s="1" t="n">
        <x:f>'Activities'!K620</x:f>
        <x:v>462</x:v>
      </x:c>
      <x:c r="G679" s="1" t="n">
        <x:f>F679-E679-D679</x:f>
        <x:v>0</x:v>
      </x:c>
      <x:c r="H679" s="1" t="str">
        <x:v>Explicit working-day lag</x:v>
      </x:c>
    </x:row>
    <x:row r="680" ht="23" customHeight="1">
      <x:c r="A680" s="6" t="str">
        <x:v>T5-L06-H</x:v>
      </x:c>
      <x:c r="B680" s="6" t="str">
        <x:v>T5-L03-M</x:v>
      </x:c>
      <x:c r="C680" s="6" t="str">
        <x:v>FS</x:v>
      </x:c>
      <x:c r="D680" s="6" t="n">
        <x:v>5</x:v>
      </x:c>
      <x:c r="E680" s="6" t="n">
        <x:f>'Activities'!L575</x:f>
        <x:v>308</x:v>
      </x:c>
      <x:c r="F680" s="6" t="n">
        <x:f>'Activities'!K621</x:f>
        <x:v>313</x:v>
      </x:c>
      <x:c r="G680" s="6" t="n">
        <x:f>F680-E680-D680</x:f>
        <x:v>0</x:v>
      </x:c>
      <x:c r="H680" s="6" t="str">
        <x:v>Explicit working-day lag</x:v>
      </x:c>
    </x:row>
    <x:row r="681" ht="23" customHeight="1">
      <x:c r="A681" s="1" t="str">
        <x:v>T5-L03-M</x:v>
      </x:c>
      <x:c r="B681" s="1" t="str">
        <x:v>T5-L03-P</x:v>
      </x:c>
      <x:c r="C681" s="1" t="str">
        <x:v>FS</x:v>
      </x:c>
      <x:c r="D681" s="1" t="n">
        <x:v>3</x:v>
      </x:c>
      <x:c r="E681" s="1" t="n">
        <x:f>'Activities'!L621</x:f>
        <x:v>318</x:v>
      </x:c>
      <x:c r="F681" s="1" t="n">
        <x:f>'Activities'!K622</x:f>
        <x:v>321</x:v>
      </x:c>
      <x:c r="G681" s="1" t="n">
        <x:f>F681-E681-D681</x:f>
        <x:v>0</x:v>
      </x:c>
      <x:c r="H681" s="1" t="str">
        <x:v>Explicit working-day lag</x:v>
      </x:c>
    </x:row>
    <x:row r="682" ht="23" customHeight="1">
      <x:c r="A682" s="6" t="str">
        <x:v>T5-L03-P</x:v>
      </x:c>
      <x:c r="B682" s="6" t="str">
        <x:v>T5-L03-S</x:v>
      </x:c>
      <x:c r="C682" s="6" t="str">
        <x:v>FS</x:v>
      </x:c>
      <x:c r="D682" s="6" t="n">
        <x:v>2</x:v>
      </x:c>
      <x:c r="E682" s="6" t="n">
        <x:f>'Activities'!L622</x:f>
        <x:v>327</x:v>
      </x:c>
      <x:c r="F682" s="6" t="n">
        <x:f>'Activities'!K623</x:f>
        <x:v>329</x:v>
      </x:c>
      <x:c r="G682" s="6" t="n">
        <x:f>F682-E682-D682</x:f>
        <x:v>0</x:v>
      </x:c>
      <x:c r="H682" s="6" t="str">
        <x:v>Explicit working-day lag</x:v>
      </x:c>
    </x:row>
    <x:row r="683" ht="23" customHeight="1">
      <x:c r="A683" s="1" t="str">
        <x:v>T5-L03-S</x:v>
      </x:c>
      <x:c r="B683" s="1" t="str">
        <x:v>T5-L03-T</x:v>
      </x:c>
      <x:c r="C683" s="1" t="str">
        <x:v>FS</x:v>
      </x:c>
      <x:c r="D683" s="1" t="n">
        <x:v>14</x:v>
      </x:c>
      <x:c r="E683" s="1" t="n">
        <x:f>'Activities'!L623</x:f>
        <x:v>332</x:v>
      </x:c>
      <x:c r="F683" s="1" t="n">
        <x:f>'Activities'!K624</x:f>
        <x:v>449</x:v>
      </x:c>
      <x:c r="G683" s="1" t="n">
        <x:f>F683-E683-D683</x:f>
        <x:v>103</x:v>
      </x:c>
      <x:c r="H683" s="1" t="str">
        <x:v>Explicit working-day lag</x:v>
      </x:c>
    </x:row>
    <x:row r="684" ht="23" customHeight="1">
      <x:c r="A684" s="6" t="str">
        <x:v>T5-GL</x:v>
      </x:c>
      <x:c r="B684" s="6" t="str">
        <x:v>T5-L03-T</x:v>
      </x:c>
      <x:c r="C684" s="6" t="str">
        <x:v>FS</x:v>
      </x:c>
      <x:c r="D684" s="6" t="n">
        <x:v>0</x:v>
      </x:c>
      <x:c r="E684" s="6" t="n">
        <x:f>'Activities'!L602</x:f>
        <x:v>449</x:v>
      </x:c>
      <x:c r="F684" s="6" t="n">
        <x:f>'Activities'!K624</x:f>
        <x:v>449</x:v>
      </x:c>
      <x:c r="G684" s="6" t="n">
        <x:f>F684-E684-D684</x:f>
        <x:v>0</x:v>
      </x:c>
      <x:c r="H684" s="6" t="str">
        <x:v>Explicit working-day lag</x:v>
      </x:c>
    </x:row>
    <x:row r="685" ht="23" customHeight="1">
      <x:c r="A685" s="1" t="str">
        <x:v>T5-L03-T</x:v>
      </x:c>
      <x:c r="B685" s="1" t="str">
        <x:v>T5-L03-A</x:v>
      </x:c>
      <x:c r="C685" s="1" t="str">
        <x:v>FS</x:v>
      </x:c>
      <x:c r="D685" s="1" t="n">
        <x:v>2</x:v>
      </x:c>
      <x:c r="E685" s="1" t="n">
        <x:f>'Activities'!L624</x:f>
        <x:v>455</x:v>
      </x:c>
      <x:c r="F685" s="1" t="n">
        <x:f>'Activities'!K625</x:f>
        <x:v>457</x:v>
      </x:c>
      <x:c r="G685" s="1" t="n">
        <x:f>F685-E685-D685</x:f>
        <x:v>0</x:v>
      </x:c>
      <x:c r="H685" s="1" t="str">
        <x:v>Explicit working-day lag</x:v>
      </x:c>
    </x:row>
    <x:row r="686" ht="23" customHeight="1">
      <x:c r="A686" s="6" t="str">
        <x:v>T5-L03-A</x:v>
      </x:c>
      <x:c r="B686" s="6" t="str">
        <x:v>T5-L03-D</x:v>
      </x:c>
      <x:c r="C686" s="6" t="str">
        <x:v>FS</x:v>
      </x:c>
      <x:c r="D686" s="6" t="n">
        <x:v>0</x:v>
      </x:c>
      <x:c r="E686" s="6" t="n">
        <x:f>'Activities'!L625</x:f>
        <x:v>462</x:v>
      </x:c>
      <x:c r="F686" s="6" t="n">
        <x:f>'Activities'!K626</x:f>
        <x:v>462</x:v>
      </x:c>
      <x:c r="G686" s="6" t="n">
        <x:f>F686-E686-D686</x:f>
        <x:v>0</x:v>
      </x:c>
      <x:c r="H686" s="6" t="str">
        <x:v>Explicit working-day lag</x:v>
      </x:c>
    </x:row>
    <x:row r="687" ht="23" customHeight="1">
      <x:c r="A687" s="1" t="str">
        <x:v>T5-L07-H</x:v>
      </x:c>
      <x:c r="B687" s="1" t="str">
        <x:v>T5-L04-M</x:v>
      </x:c>
      <x:c r="C687" s="1" t="str">
        <x:v>FS</x:v>
      </x:c>
      <x:c r="D687" s="1" t="n">
        <x:v>5</x:v>
      </x:c>
      <x:c r="E687" s="1" t="n">
        <x:f>'Activities'!L579</x:f>
        <x:v>326</x:v>
      </x:c>
      <x:c r="F687" s="1" t="n">
        <x:f>'Activities'!K627</x:f>
        <x:v>331</x:v>
      </x:c>
      <x:c r="G687" s="1" t="n">
        <x:f>F687-E687-D687</x:f>
        <x:v>0</x:v>
      </x:c>
      <x:c r="H687" s="1" t="str">
        <x:v>Explicit working-day lag</x:v>
      </x:c>
    </x:row>
    <x:row r="688" ht="23" customHeight="1">
      <x:c r="A688" s="6" t="str">
        <x:v>T5-L04-M</x:v>
      </x:c>
      <x:c r="B688" s="6" t="str">
        <x:v>T5-L04-P</x:v>
      </x:c>
      <x:c r="C688" s="6" t="str">
        <x:v>FS</x:v>
      </x:c>
      <x:c r="D688" s="6" t="n">
        <x:v>3</x:v>
      </x:c>
      <x:c r="E688" s="6" t="n">
        <x:f>'Activities'!L627</x:f>
        <x:v>336</x:v>
      </x:c>
      <x:c r="F688" s="6" t="n">
        <x:f>'Activities'!K628</x:f>
        <x:v>339</x:v>
      </x:c>
      <x:c r="G688" s="6" t="n">
        <x:f>F688-E688-D688</x:f>
        <x:v>0</x:v>
      </x:c>
      <x:c r="H688" s="6" t="str">
        <x:v>Explicit working-day lag</x:v>
      </x:c>
    </x:row>
    <x:row r="689" ht="23" customHeight="1">
      <x:c r="A689" s="1" t="str">
        <x:v>T5-L04-P</x:v>
      </x:c>
      <x:c r="B689" s="1" t="str">
        <x:v>T5-L04-S</x:v>
      </x:c>
      <x:c r="C689" s="1" t="str">
        <x:v>FS</x:v>
      </x:c>
      <x:c r="D689" s="1" t="n">
        <x:v>2</x:v>
      </x:c>
      <x:c r="E689" s="1" t="n">
        <x:f>'Activities'!L628</x:f>
        <x:v>345</x:v>
      </x:c>
      <x:c r="F689" s="1" t="n">
        <x:f>'Activities'!K629</x:f>
        <x:v>347</x:v>
      </x:c>
      <x:c r="G689" s="1" t="n">
        <x:f>F689-E689-D689</x:f>
        <x:v>0</x:v>
      </x:c>
      <x:c r="H689" s="1" t="str">
        <x:v>Explicit working-day lag</x:v>
      </x:c>
    </x:row>
    <x:row r="690" ht="23" customHeight="1">
      <x:c r="A690" s="6" t="str">
        <x:v>T5-L04-S</x:v>
      </x:c>
      <x:c r="B690" s="6" t="str">
        <x:v>T5-L04-T</x:v>
      </x:c>
      <x:c r="C690" s="6" t="str">
        <x:v>FS</x:v>
      </x:c>
      <x:c r="D690" s="6" t="n">
        <x:v>14</x:v>
      </x:c>
      <x:c r="E690" s="6" t="n">
        <x:f>'Activities'!L629</x:f>
        <x:v>350</x:v>
      </x:c>
      <x:c r="F690" s="6" t="n">
        <x:f>'Activities'!K630</x:f>
        <x:v>449</x:v>
      </x:c>
      <x:c r="G690" s="6" t="n">
        <x:f>F690-E690-D690</x:f>
        <x:v>85</x:v>
      </x:c>
      <x:c r="H690" s="6" t="str">
        <x:v>Explicit working-day lag</x:v>
      </x:c>
    </x:row>
    <x:row r="691" ht="23" customHeight="1">
      <x:c r="A691" s="1" t="str">
        <x:v>T5-GL</x:v>
      </x:c>
      <x:c r="B691" s="1" t="str">
        <x:v>T5-L04-T</x:v>
      </x:c>
      <x:c r="C691" s="1" t="str">
        <x:v>FS</x:v>
      </x:c>
      <x:c r="D691" s="1" t="n">
        <x:v>0</x:v>
      </x:c>
      <x:c r="E691" s="1" t="n">
        <x:f>'Activities'!L602</x:f>
        <x:v>449</x:v>
      </x:c>
      <x:c r="F691" s="1" t="n">
        <x:f>'Activities'!K630</x:f>
        <x:v>449</x:v>
      </x:c>
      <x:c r="G691" s="1" t="n">
        <x:f>F691-E691-D691</x:f>
        <x:v>0</x:v>
      </x:c>
      <x:c r="H691" s="1" t="str">
        <x:v>Explicit working-day lag</x:v>
      </x:c>
    </x:row>
    <x:row r="692" ht="23" customHeight="1">
      <x:c r="A692" s="6" t="str">
        <x:v>T5-L04-T</x:v>
      </x:c>
      <x:c r="B692" s="6" t="str">
        <x:v>T5-L04-A</x:v>
      </x:c>
      <x:c r="C692" s="6" t="str">
        <x:v>FS</x:v>
      </x:c>
      <x:c r="D692" s="6" t="n">
        <x:v>2</x:v>
      </x:c>
      <x:c r="E692" s="6" t="n">
        <x:f>'Activities'!L630</x:f>
        <x:v>455</x:v>
      </x:c>
      <x:c r="F692" s="6" t="n">
        <x:f>'Activities'!K631</x:f>
        <x:v>457</x:v>
      </x:c>
      <x:c r="G692" s="6" t="n">
        <x:f>F692-E692-D692</x:f>
        <x:v>0</x:v>
      </x:c>
      <x:c r="H692" s="6" t="str">
        <x:v>Explicit working-day lag</x:v>
      </x:c>
    </x:row>
    <x:row r="693" ht="23" customHeight="1">
      <x:c r="A693" s="1" t="str">
        <x:v>T5-L04-A</x:v>
      </x:c>
      <x:c r="B693" s="1" t="str">
        <x:v>T5-L04-D</x:v>
      </x:c>
      <x:c r="C693" s="1" t="str">
        <x:v>FS</x:v>
      </x:c>
      <x:c r="D693" s="1" t="n">
        <x:v>0</x:v>
      </x:c>
      <x:c r="E693" s="1" t="n">
        <x:f>'Activities'!L631</x:f>
        <x:v>462</x:v>
      </x:c>
      <x:c r="F693" s="1" t="n">
        <x:f>'Activities'!K632</x:f>
        <x:v>462</x:v>
      </x:c>
      <x:c r="G693" s="1" t="n">
        <x:f>F693-E693-D693</x:f>
        <x:v>0</x:v>
      </x:c>
      <x:c r="H693" s="1" t="str">
        <x:v>Explicit working-day lag</x:v>
      </x:c>
    </x:row>
    <x:row r="694" ht="23" customHeight="1">
      <x:c r="A694" s="6" t="str">
        <x:v>T5-L08-H</x:v>
      </x:c>
      <x:c r="B694" s="6" t="str">
        <x:v>T5-L05-M</x:v>
      </x:c>
      <x:c r="C694" s="6" t="str">
        <x:v>FS</x:v>
      </x:c>
      <x:c r="D694" s="6" t="n">
        <x:v>5</x:v>
      </x:c>
      <x:c r="E694" s="6" t="n">
        <x:f>'Activities'!L583</x:f>
        <x:v>344</x:v>
      </x:c>
      <x:c r="F694" s="6" t="n">
        <x:f>'Activities'!K633</x:f>
        <x:v>349</x:v>
      </x:c>
      <x:c r="G694" s="6" t="n">
        <x:f>F694-E694-D694</x:f>
        <x:v>0</x:v>
      </x:c>
      <x:c r="H694" s="6" t="str">
        <x:v>Explicit working-day lag</x:v>
      </x:c>
    </x:row>
    <x:row r="695" ht="23" customHeight="1">
      <x:c r="A695" s="1" t="str">
        <x:v>T5-L05-M</x:v>
      </x:c>
      <x:c r="B695" s="1" t="str">
        <x:v>T5-L05-P</x:v>
      </x:c>
      <x:c r="C695" s="1" t="str">
        <x:v>FS</x:v>
      </x:c>
      <x:c r="D695" s="1" t="n">
        <x:v>3</x:v>
      </x:c>
      <x:c r="E695" s="1" t="n">
        <x:f>'Activities'!L633</x:f>
        <x:v>354</x:v>
      </x:c>
      <x:c r="F695" s="1" t="n">
        <x:f>'Activities'!K634</x:f>
        <x:v>357</x:v>
      </x:c>
      <x:c r="G695" s="1" t="n">
        <x:f>F695-E695-D695</x:f>
        <x:v>0</x:v>
      </x:c>
      <x:c r="H695" s="1" t="str">
        <x:v>Explicit working-day lag</x:v>
      </x:c>
    </x:row>
    <x:row r="696" ht="23" customHeight="1">
      <x:c r="A696" s="6" t="str">
        <x:v>T5-L05-P</x:v>
      </x:c>
      <x:c r="B696" s="6" t="str">
        <x:v>T5-L05-S</x:v>
      </x:c>
      <x:c r="C696" s="6" t="str">
        <x:v>FS</x:v>
      </x:c>
      <x:c r="D696" s="6" t="n">
        <x:v>2</x:v>
      </x:c>
      <x:c r="E696" s="6" t="n">
        <x:f>'Activities'!L634</x:f>
        <x:v>363</x:v>
      </x:c>
      <x:c r="F696" s="6" t="n">
        <x:f>'Activities'!K635</x:f>
        <x:v>365</x:v>
      </x:c>
      <x:c r="G696" s="6" t="n">
        <x:f>F696-E696-D696</x:f>
        <x:v>0</x:v>
      </x:c>
      <x:c r="H696" s="6" t="str">
        <x:v>Explicit working-day lag</x:v>
      </x:c>
    </x:row>
    <x:row r="697" ht="23" customHeight="1">
      <x:c r="A697" s="1" t="str">
        <x:v>T5-L05-S</x:v>
      </x:c>
      <x:c r="B697" s="1" t="str">
        <x:v>T5-L05-T</x:v>
      </x:c>
      <x:c r="C697" s="1" t="str">
        <x:v>FS</x:v>
      </x:c>
      <x:c r="D697" s="1" t="n">
        <x:v>14</x:v>
      </x:c>
      <x:c r="E697" s="1" t="n">
        <x:f>'Activities'!L635</x:f>
        <x:v>368</x:v>
      </x:c>
      <x:c r="F697" s="1" t="n">
        <x:f>'Activities'!K636</x:f>
        <x:v>449</x:v>
      </x:c>
      <x:c r="G697" s="1" t="n">
        <x:f>F697-E697-D697</x:f>
        <x:v>67</x:v>
      </x:c>
      <x:c r="H697" s="1" t="str">
        <x:v>Explicit working-day lag</x:v>
      </x:c>
    </x:row>
    <x:row r="698" ht="23" customHeight="1">
      <x:c r="A698" s="6" t="str">
        <x:v>T5-GL</x:v>
      </x:c>
      <x:c r="B698" s="6" t="str">
        <x:v>T5-L05-T</x:v>
      </x:c>
      <x:c r="C698" s="6" t="str">
        <x:v>FS</x:v>
      </x:c>
      <x:c r="D698" s="6" t="n">
        <x:v>0</x:v>
      </x:c>
      <x:c r="E698" s="6" t="n">
        <x:f>'Activities'!L602</x:f>
        <x:v>449</x:v>
      </x:c>
      <x:c r="F698" s="6" t="n">
        <x:f>'Activities'!K636</x:f>
        <x:v>449</x:v>
      </x:c>
      <x:c r="G698" s="6" t="n">
        <x:f>F698-E698-D698</x:f>
        <x:v>0</x:v>
      </x:c>
      <x:c r="H698" s="6" t="str">
        <x:v>Explicit working-day lag</x:v>
      </x:c>
    </x:row>
    <x:row r="699" ht="23" customHeight="1">
      <x:c r="A699" s="1" t="str">
        <x:v>T5-L05-T</x:v>
      </x:c>
      <x:c r="B699" s="1" t="str">
        <x:v>T5-L05-A</x:v>
      </x:c>
      <x:c r="C699" s="1" t="str">
        <x:v>FS</x:v>
      </x:c>
      <x:c r="D699" s="1" t="n">
        <x:v>2</x:v>
      </x:c>
      <x:c r="E699" s="1" t="n">
        <x:f>'Activities'!L636</x:f>
        <x:v>455</x:v>
      </x:c>
      <x:c r="F699" s="1" t="n">
        <x:f>'Activities'!K637</x:f>
        <x:v>457</x:v>
      </x:c>
      <x:c r="G699" s="1" t="n">
        <x:f>F699-E699-D699</x:f>
        <x:v>0</x:v>
      </x:c>
      <x:c r="H699" s="1" t="str">
        <x:v>Explicit working-day lag</x:v>
      </x:c>
    </x:row>
    <x:row r="700" ht="23" customHeight="1">
      <x:c r="A700" s="6" t="str">
        <x:v>T5-L05-A</x:v>
      </x:c>
      <x:c r="B700" s="6" t="str">
        <x:v>T5-L05-D</x:v>
      </x:c>
      <x:c r="C700" s="6" t="str">
        <x:v>FS</x:v>
      </x:c>
      <x:c r="D700" s="6" t="n">
        <x:v>0</x:v>
      </x:c>
      <x:c r="E700" s="6" t="n">
        <x:f>'Activities'!L637</x:f>
        <x:v>462</x:v>
      </x:c>
      <x:c r="F700" s="6" t="n">
        <x:f>'Activities'!K638</x:f>
        <x:v>462</x:v>
      </x:c>
      <x:c r="G700" s="6" t="n">
        <x:f>F700-E700-D700</x:f>
        <x:v>0</x:v>
      </x:c>
      <x:c r="H700" s="6" t="str">
        <x:v>Explicit working-day lag</x:v>
      </x:c>
    </x:row>
    <x:row r="701" ht="23" customHeight="1">
      <x:c r="A701" s="1" t="str">
        <x:v>T5-L09-H</x:v>
      </x:c>
      <x:c r="B701" s="1" t="str">
        <x:v>T5-L06-M</x:v>
      </x:c>
      <x:c r="C701" s="1" t="str">
        <x:v>FS</x:v>
      </x:c>
      <x:c r="D701" s="1" t="n">
        <x:v>5</x:v>
      </x:c>
      <x:c r="E701" s="1" t="n">
        <x:f>'Activities'!L587</x:f>
        <x:v>362</x:v>
      </x:c>
      <x:c r="F701" s="1" t="n">
        <x:f>'Activities'!K639</x:f>
        <x:v>367</x:v>
      </x:c>
      <x:c r="G701" s="1" t="n">
        <x:f>F701-E701-D701</x:f>
        <x:v>0</x:v>
      </x:c>
      <x:c r="H701" s="1" t="str">
        <x:v>Explicit working-day lag</x:v>
      </x:c>
    </x:row>
    <x:row r="702" ht="23" customHeight="1">
      <x:c r="A702" s="6" t="str">
        <x:v>T5-L06-M</x:v>
      </x:c>
      <x:c r="B702" s="6" t="str">
        <x:v>T5-L06-P</x:v>
      </x:c>
      <x:c r="C702" s="6" t="str">
        <x:v>FS</x:v>
      </x:c>
      <x:c r="D702" s="6" t="n">
        <x:v>3</x:v>
      </x:c>
      <x:c r="E702" s="6" t="n">
        <x:f>'Activities'!L639</x:f>
        <x:v>372</x:v>
      </x:c>
      <x:c r="F702" s="6" t="n">
        <x:f>'Activities'!K640</x:f>
        <x:v>375</x:v>
      </x:c>
      <x:c r="G702" s="6" t="n">
        <x:f>F702-E702-D702</x:f>
        <x:v>0</x:v>
      </x:c>
      <x:c r="H702" s="6" t="str">
        <x:v>Explicit working-day lag</x:v>
      </x:c>
    </x:row>
    <x:row r="703" ht="23" customHeight="1">
      <x:c r="A703" s="1" t="str">
        <x:v>T5-L06-P</x:v>
      </x:c>
      <x:c r="B703" s="1" t="str">
        <x:v>T5-L06-S</x:v>
      </x:c>
      <x:c r="C703" s="1" t="str">
        <x:v>FS</x:v>
      </x:c>
      <x:c r="D703" s="1" t="n">
        <x:v>2</x:v>
      </x:c>
      <x:c r="E703" s="1" t="n">
        <x:f>'Activities'!L640</x:f>
        <x:v>381</x:v>
      </x:c>
      <x:c r="F703" s="1" t="n">
        <x:f>'Activities'!K641</x:f>
        <x:v>383</x:v>
      </x:c>
      <x:c r="G703" s="1" t="n">
        <x:f>F703-E703-D703</x:f>
        <x:v>0</x:v>
      </x:c>
      <x:c r="H703" s="1" t="str">
        <x:v>Explicit working-day lag</x:v>
      </x:c>
    </x:row>
    <x:row r="704" ht="23" customHeight="1">
      <x:c r="A704" s="6" t="str">
        <x:v>T5-L06-S</x:v>
      </x:c>
      <x:c r="B704" s="6" t="str">
        <x:v>T5-L06-T</x:v>
      </x:c>
      <x:c r="C704" s="6" t="str">
        <x:v>FS</x:v>
      </x:c>
      <x:c r="D704" s="6" t="n">
        <x:v>14</x:v>
      </x:c>
      <x:c r="E704" s="6" t="n">
        <x:f>'Activities'!L641</x:f>
        <x:v>386</x:v>
      </x:c>
      <x:c r="F704" s="6" t="n">
        <x:f>'Activities'!K642</x:f>
        <x:v>449</x:v>
      </x:c>
      <x:c r="G704" s="6" t="n">
        <x:f>F704-E704-D704</x:f>
        <x:v>49</x:v>
      </x:c>
      <x:c r="H704" s="6" t="str">
        <x:v>Explicit working-day lag</x:v>
      </x:c>
    </x:row>
    <x:row r="705" ht="23" customHeight="1">
      <x:c r="A705" s="1" t="str">
        <x:v>T5-GL</x:v>
      </x:c>
      <x:c r="B705" s="1" t="str">
        <x:v>T5-L06-T</x:v>
      </x:c>
      <x:c r="C705" s="1" t="str">
        <x:v>FS</x:v>
      </x:c>
      <x:c r="D705" s="1" t="n">
        <x:v>0</x:v>
      </x:c>
      <x:c r="E705" s="1" t="n">
        <x:f>'Activities'!L602</x:f>
        <x:v>449</x:v>
      </x:c>
      <x:c r="F705" s="1" t="n">
        <x:f>'Activities'!K642</x:f>
        <x:v>449</x:v>
      </x:c>
      <x:c r="G705" s="1" t="n">
        <x:f>F705-E705-D705</x:f>
        <x:v>0</x:v>
      </x:c>
      <x:c r="H705" s="1" t="str">
        <x:v>Explicit working-day lag</x:v>
      </x:c>
    </x:row>
    <x:row r="706" ht="23" customHeight="1">
      <x:c r="A706" s="6" t="str">
        <x:v>T5-L06-T</x:v>
      </x:c>
      <x:c r="B706" s="6" t="str">
        <x:v>T5-L06-A</x:v>
      </x:c>
      <x:c r="C706" s="6" t="str">
        <x:v>FS</x:v>
      </x:c>
      <x:c r="D706" s="6" t="n">
        <x:v>2</x:v>
      </x:c>
      <x:c r="E706" s="6" t="n">
        <x:f>'Activities'!L642</x:f>
        <x:v>455</x:v>
      </x:c>
      <x:c r="F706" s="6" t="n">
        <x:f>'Activities'!K643</x:f>
        <x:v>457</x:v>
      </x:c>
      <x:c r="G706" s="6" t="n">
        <x:f>F706-E706-D706</x:f>
        <x:v>0</x:v>
      </x:c>
      <x:c r="H706" s="6" t="str">
        <x:v>Explicit working-day lag</x:v>
      </x:c>
    </x:row>
    <x:row r="707" ht="23" customHeight="1">
      <x:c r="A707" s="1" t="str">
        <x:v>T5-L06-A</x:v>
      </x:c>
      <x:c r="B707" s="1" t="str">
        <x:v>T5-L06-D</x:v>
      </x:c>
      <x:c r="C707" s="1" t="str">
        <x:v>FS</x:v>
      </x:c>
      <x:c r="D707" s="1" t="n">
        <x:v>0</x:v>
      </x:c>
      <x:c r="E707" s="1" t="n">
        <x:f>'Activities'!L643</x:f>
        <x:v>462</x:v>
      </x:c>
      <x:c r="F707" s="1" t="n">
        <x:f>'Activities'!K644</x:f>
        <x:v>462</x:v>
      </x:c>
      <x:c r="G707" s="1" t="n">
        <x:f>F707-E707-D707</x:f>
        <x:v>0</x:v>
      </x:c>
      <x:c r="H707" s="1" t="str">
        <x:v>Explicit working-day lag</x:v>
      </x:c>
    </x:row>
    <x:row r="708" ht="23" customHeight="1">
      <x:c r="A708" s="6" t="str">
        <x:v>T5-L10-H</x:v>
      </x:c>
      <x:c r="B708" s="6" t="str">
        <x:v>T5-L07-M</x:v>
      </x:c>
      <x:c r="C708" s="6" t="str">
        <x:v>FS</x:v>
      </x:c>
      <x:c r="D708" s="6" t="n">
        <x:v>5</x:v>
      </x:c>
      <x:c r="E708" s="6" t="n">
        <x:f>'Activities'!L591</x:f>
        <x:v>380</x:v>
      </x:c>
      <x:c r="F708" s="6" t="n">
        <x:f>'Activities'!K645</x:f>
        <x:v>385</x:v>
      </x:c>
      <x:c r="G708" s="6" t="n">
        <x:f>F708-E708-D708</x:f>
        <x:v>0</x:v>
      </x:c>
      <x:c r="H708" s="6" t="str">
        <x:v>Explicit working-day lag</x:v>
      </x:c>
    </x:row>
    <x:row r="709" ht="23" customHeight="1">
      <x:c r="A709" s="1" t="str">
        <x:v>T5-L07-M</x:v>
      </x:c>
      <x:c r="B709" s="1" t="str">
        <x:v>T5-L07-P</x:v>
      </x:c>
      <x:c r="C709" s="1" t="str">
        <x:v>FS</x:v>
      </x:c>
      <x:c r="D709" s="1" t="n">
        <x:v>3</x:v>
      </x:c>
      <x:c r="E709" s="1" t="n">
        <x:f>'Activities'!L645</x:f>
        <x:v>390</x:v>
      </x:c>
      <x:c r="F709" s="1" t="n">
        <x:f>'Activities'!K646</x:f>
        <x:v>393</x:v>
      </x:c>
      <x:c r="G709" s="1" t="n">
        <x:f>F709-E709-D709</x:f>
        <x:v>0</x:v>
      </x:c>
      <x:c r="H709" s="1" t="str">
        <x:v>Explicit working-day lag</x:v>
      </x:c>
    </x:row>
    <x:row r="710" ht="23" customHeight="1">
      <x:c r="A710" s="6" t="str">
        <x:v>T5-L07-P</x:v>
      </x:c>
      <x:c r="B710" s="6" t="str">
        <x:v>T5-L07-S</x:v>
      </x:c>
      <x:c r="C710" s="6" t="str">
        <x:v>FS</x:v>
      </x:c>
      <x:c r="D710" s="6" t="n">
        <x:v>2</x:v>
      </x:c>
      <x:c r="E710" s="6" t="n">
        <x:f>'Activities'!L646</x:f>
        <x:v>399</x:v>
      </x:c>
      <x:c r="F710" s="6" t="n">
        <x:f>'Activities'!K647</x:f>
        <x:v>401</x:v>
      </x:c>
      <x:c r="G710" s="6" t="n">
        <x:f>F710-E710-D710</x:f>
        <x:v>0</x:v>
      </x:c>
      <x:c r="H710" s="6" t="str">
        <x:v>Explicit working-day lag</x:v>
      </x:c>
    </x:row>
    <x:row r="711" ht="23" customHeight="1">
      <x:c r="A711" s="1" t="str">
        <x:v>T5-L07-S</x:v>
      </x:c>
      <x:c r="B711" s="1" t="str">
        <x:v>T5-L07-T</x:v>
      </x:c>
      <x:c r="C711" s="1" t="str">
        <x:v>FS</x:v>
      </x:c>
      <x:c r="D711" s="1" t="n">
        <x:v>14</x:v>
      </x:c>
      <x:c r="E711" s="1" t="n">
        <x:f>'Activities'!L647</x:f>
        <x:v>404</x:v>
      </x:c>
      <x:c r="F711" s="1" t="n">
        <x:f>'Activities'!K648</x:f>
        <x:v>449</x:v>
      </x:c>
      <x:c r="G711" s="1" t="n">
        <x:f>F711-E711-D711</x:f>
        <x:v>31</x:v>
      </x:c>
      <x:c r="H711" s="1" t="str">
        <x:v>Explicit working-day lag</x:v>
      </x:c>
    </x:row>
    <x:row r="712" ht="23" customHeight="1">
      <x:c r="A712" s="6" t="str">
        <x:v>T5-GL</x:v>
      </x:c>
      <x:c r="B712" s="6" t="str">
        <x:v>T5-L07-T</x:v>
      </x:c>
      <x:c r="C712" s="6" t="str">
        <x:v>FS</x:v>
      </x:c>
      <x:c r="D712" s="6" t="n">
        <x:v>0</x:v>
      </x:c>
      <x:c r="E712" s="6" t="n">
        <x:f>'Activities'!L602</x:f>
        <x:v>449</x:v>
      </x:c>
      <x:c r="F712" s="6" t="n">
        <x:f>'Activities'!K648</x:f>
        <x:v>449</x:v>
      </x:c>
      <x:c r="G712" s="6" t="n">
        <x:f>F712-E712-D712</x:f>
        <x:v>0</x:v>
      </x:c>
      <x:c r="H712" s="6" t="str">
        <x:v>Explicit working-day lag</x:v>
      </x:c>
    </x:row>
    <x:row r="713" ht="23" customHeight="1">
      <x:c r="A713" s="1" t="str">
        <x:v>T5-L07-T</x:v>
      </x:c>
      <x:c r="B713" s="1" t="str">
        <x:v>T5-L07-A</x:v>
      </x:c>
      <x:c r="C713" s="1" t="str">
        <x:v>FS</x:v>
      </x:c>
      <x:c r="D713" s="1" t="n">
        <x:v>2</x:v>
      </x:c>
      <x:c r="E713" s="1" t="n">
        <x:f>'Activities'!L648</x:f>
        <x:v>455</x:v>
      </x:c>
      <x:c r="F713" s="1" t="n">
        <x:f>'Activities'!K649</x:f>
        <x:v>457</x:v>
      </x:c>
      <x:c r="G713" s="1" t="n">
        <x:f>F713-E713-D713</x:f>
        <x:v>0</x:v>
      </x:c>
      <x:c r="H713" s="1" t="str">
        <x:v>Explicit working-day lag</x:v>
      </x:c>
    </x:row>
    <x:row r="714" ht="23" customHeight="1">
      <x:c r="A714" s="6" t="str">
        <x:v>T5-L07-A</x:v>
      </x:c>
      <x:c r="B714" s="6" t="str">
        <x:v>T5-L07-D</x:v>
      </x:c>
      <x:c r="C714" s="6" t="str">
        <x:v>FS</x:v>
      </x:c>
      <x:c r="D714" s="6" t="n">
        <x:v>0</x:v>
      </x:c>
      <x:c r="E714" s="6" t="n">
        <x:f>'Activities'!L649</x:f>
        <x:v>462</x:v>
      </x:c>
      <x:c r="F714" s="6" t="n">
        <x:f>'Activities'!K650</x:f>
        <x:v>462</x:v>
      </x:c>
      <x:c r="G714" s="6" t="n">
        <x:f>F714-E714-D714</x:f>
        <x:v>0</x:v>
      </x:c>
      <x:c r="H714" s="6" t="str">
        <x:v>Explicit working-day lag</x:v>
      </x:c>
    </x:row>
    <x:row r="715" ht="23" customHeight="1">
      <x:c r="A715" s="1" t="str">
        <x:v>T5-L11-H</x:v>
      </x:c>
      <x:c r="B715" s="1" t="str">
        <x:v>T5-L08-M</x:v>
      </x:c>
      <x:c r="C715" s="1" t="str">
        <x:v>FS</x:v>
      </x:c>
      <x:c r="D715" s="1" t="n">
        <x:v>5</x:v>
      </x:c>
      <x:c r="E715" s="1" t="n">
        <x:f>'Activities'!L595</x:f>
        <x:v>398</x:v>
      </x:c>
      <x:c r="F715" s="1" t="n">
        <x:f>'Activities'!K651</x:f>
        <x:v>403</x:v>
      </x:c>
      <x:c r="G715" s="1" t="n">
        <x:f>F715-E715-D715</x:f>
        <x:v>0</x:v>
      </x:c>
      <x:c r="H715" s="1" t="str">
        <x:v>Explicit working-day lag</x:v>
      </x:c>
    </x:row>
    <x:row r="716" ht="23" customHeight="1">
      <x:c r="A716" s="6" t="str">
        <x:v>T5-L08-M</x:v>
      </x:c>
      <x:c r="B716" s="6" t="str">
        <x:v>T5-L08-P</x:v>
      </x:c>
      <x:c r="C716" s="6" t="str">
        <x:v>FS</x:v>
      </x:c>
      <x:c r="D716" s="6" t="n">
        <x:v>3</x:v>
      </x:c>
      <x:c r="E716" s="6" t="n">
        <x:f>'Activities'!L651</x:f>
        <x:v>408</x:v>
      </x:c>
      <x:c r="F716" s="6" t="n">
        <x:f>'Activities'!K652</x:f>
        <x:v>411</x:v>
      </x:c>
      <x:c r="G716" s="6" t="n">
        <x:f>F716-E716-D716</x:f>
        <x:v>0</x:v>
      </x:c>
      <x:c r="H716" s="6" t="str">
        <x:v>Explicit working-day lag</x:v>
      </x:c>
    </x:row>
    <x:row r="717" ht="23" customHeight="1">
      <x:c r="A717" s="1" t="str">
        <x:v>T5-L08-P</x:v>
      </x:c>
      <x:c r="B717" s="1" t="str">
        <x:v>T5-L08-S</x:v>
      </x:c>
      <x:c r="C717" s="1" t="str">
        <x:v>FS</x:v>
      </x:c>
      <x:c r="D717" s="1" t="n">
        <x:v>2</x:v>
      </x:c>
      <x:c r="E717" s="1" t="n">
        <x:f>'Activities'!L652</x:f>
        <x:v>417</x:v>
      </x:c>
      <x:c r="F717" s="1" t="n">
        <x:f>'Activities'!K653</x:f>
        <x:v>419</x:v>
      </x:c>
      <x:c r="G717" s="1" t="n">
        <x:f>F717-E717-D717</x:f>
        <x:v>0</x:v>
      </x:c>
      <x:c r="H717" s="1" t="str">
        <x:v>Explicit working-day lag</x:v>
      </x:c>
    </x:row>
    <x:row r="718" ht="23" customHeight="1">
      <x:c r="A718" s="6" t="str">
        <x:v>T5-L08-S</x:v>
      </x:c>
      <x:c r="B718" s="6" t="str">
        <x:v>T5-L08-T</x:v>
      </x:c>
      <x:c r="C718" s="6" t="str">
        <x:v>FS</x:v>
      </x:c>
      <x:c r="D718" s="6" t="n">
        <x:v>14</x:v>
      </x:c>
      <x:c r="E718" s="6" t="n">
        <x:f>'Activities'!L653</x:f>
        <x:v>422</x:v>
      </x:c>
      <x:c r="F718" s="6" t="n">
        <x:f>'Activities'!K654</x:f>
        <x:v>449</x:v>
      </x:c>
      <x:c r="G718" s="6" t="n">
        <x:f>F718-E718-D718</x:f>
        <x:v>13</x:v>
      </x:c>
      <x:c r="H718" s="6" t="str">
        <x:v>Explicit working-day lag</x:v>
      </x:c>
    </x:row>
    <x:row r="719" ht="23" customHeight="1">
      <x:c r="A719" s="1" t="str">
        <x:v>T5-GL</x:v>
      </x:c>
      <x:c r="B719" s="1" t="str">
        <x:v>T5-L08-T</x:v>
      </x:c>
      <x:c r="C719" s="1" t="str">
        <x:v>FS</x:v>
      </x:c>
      <x:c r="D719" s="1" t="n">
        <x:v>0</x:v>
      </x:c>
      <x:c r="E719" s="1" t="n">
        <x:f>'Activities'!L602</x:f>
        <x:v>449</x:v>
      </x:c>
      <x:c r="F719" s="1" t="n">
        <x:f>'Activities'!K654</x:f>
        <x:v>449</x:v>
      </x:c>
      <x:c r="G719" s="1" t="n">
        <x:f>F719-E719-D719</x:f>
        <x:v>0</x:v>
      </x:c>
      <x:c r="H719" s="1" t="str">
        <x:v>Explicit working-day lag</x:v>
      </x:c>
    </x:row>
    <x:row r="720" ht="23" customHeight="1">
      <x:c r="A720" s="6" t="str">
        <x:v>T5-L08-T</x:v>
      </x:c>
      <x:c r="B720" s="6" t="str">
        <x:v>T5-L08-A</x:v>
      </x:c>
      <x:c r="C720" s="6" t="str">
        <x:v>FS</x:v>
      </x:c>
      <x:c r="D720" s="6" t="n">
        <x:v>2</x:v>
      </x:c>
      <x:c r="E720" s="6" t="n">
        <x:f>'Activities'!L654</x:f>
        <x:v>455</x:v>
      </x:c>
      <x:c r="F720" s="6" t="n">
        <x:f>'Activities'!K655</x:f>
        <x:v>457</x:v>
      </x:c>
      <x:c r="G720" s="6" t="n">
        <x:f>F720-E720-D720</x:f>
        <x:v>0</x:v>
      </x:c>
      <x:c r="H720" s="6" t="str">
        <x:v>Explicit working-day lag</x:v>
      </x:c>
    </x:row>
    <x:row r="721" ht="23" customHeight="1">
      <x:c r="A721" s="1" t="str">
        <x:v>T5-L08-A</x:v>
      </x:c>
      <x:c r="B721" s="1" t="str">
        <x:v>T5-L08-D</x:v>
      </x:c>
      <x:c r="C721" s="1" t="str">
        <x:v>FS</x:v>
      </x:c>
      <x:c r="D721" s="1" t="n">
        <x:v>0</x:v>
      </x:c>
      <x:c r="E721" s="1" t="n">
        <x:f>'Activities'!L655</x:f>
        <x:v>462</x:v>
      </x:c>
      <x:c r="F721" s="1" t="n">
        <x:f>'Activities'!K656</x:f>
        <x:v>462</x:v>
      </x:c>
      <x:c r="G721" s="1" t="n">
        <x:f>F721-E721-D721</x:f>
        <x:v>0</x:v>
      </x:c>
      <x:c r="H721" s="1" t="str">
        <x:v>Explicit working-day lag</x:v>
      </x:c>
    </x:row>
    <x:row r="722" ht="23" customHeight="1">
      <x:c r="A722" s="6" t="str">
        <x:v>T5-L12-H</x:v>
      </x:c>
      <x:c r="B722" s="6" t="str">
        <x:v>T5-L09-M</x:v>
      </x:c>
      <x:c r="C722" s="6" t="str">
        <x:v>FS</x:v>
      </x:c>
      <x:c r="D722" s="6" t="n">
        <x:v>5</x:v>
      </x:c>
      <x:c r="E722" s="6" t="n">
        <x:f>'Activities'!L599</x:f>
        <x:v>416</x:v>
      </x:c>
      <x:c r="F722" s="6" t="n">
        <x:f>'Activities'!K657</x:f>
        <x:v>421</x:v>
      </x:c>
      <x:c r="G722" s="6" t="n">
        <x:f>F722-E722-D722</x:f>
        <x:v>0</x:v>
      </x:c>
      <x:c r="H722" s="6" t="str">
        <x:v>Explicit working-day lag</x:v>
      </x:c>
    </x:row>
    <x:row r="723" ht="23" customHeight="1">
      <x:c r="A723" s="1" t="str">
        <x:v>T5-L09-M</x:v>
      </x:c>
      <x:c r="B723" s="1" t="str">
        <x:v>T5-L09-P</x:v>
      </x:c>
      <x:c r="C723" s="1" t="str">
        <x:v>FS</x:v>
      </x:c>
      <x:c r="D723" s="1" t="n">
        <x:v>3</x:v>
      </x:c>
      <x:c r="E723" s="1" t="n">
        <x:f>'Activities'!L657</x:f>
        <x:v>426</x:v>
      </x:c>
      <x:c r="F723" s="1" t="n">
        <x:f>'Activities'!K658</x:f>
        <x:v>429</x:v>
      </x:c>
      <x:c r="G723" s="1" t="n">
        <x:f>F723-E723-D723</x:f>
        <x:v>0</x:v>
      </x:c>
      <x:c r="H723" s="1" t="str">
        <x:v>Explicit working-day lag</x:v>
      </x:c>
    </x:row>
    <x:row r="724" ht="23" customHeight="1">
      <x:c r="A724" s="6" t="str">
        <x:v>T5-L09-P</x:v>
      </x:c>
      <x:c r="B724" s="6" t="str">
        <x:v>T5-L09-S</x:v>
      </x:c>
      <x:c r="C724" s="6" t="str">
        <x:v>FS</x:v>
      </x:c>
      <x:c r="D724" s="6" t="n">
        <x:v>2</x:v>
      </x:c>
      <x:c r="E724" s="6" t="n">
        <x:f>'Activities'!L658</x:f>
        <x:v>435</x:v>
      </x:c>
      <x:c r="F724" s="6" t="n">
        <x:f>'Activities'!K659</x:f>
        <x:v>437</x:v>
      </x:c>
      <x:c r="G724" s="6" t="n">
        <x:f>F724-E724-D724</x:f>
        <x:v>0</x:v>
      </x:c>
      <x:c r="H724" s="6" t="str">
        <x:v>Explicit working-day lag</x:v>
      </x:c>
    </x:row>
    <x:row r="725" ht="23" customHeight="1">
      <x:c r="A725" s="1" t="str">
        <x:v>T5-L09-S</x:v>
      </x:c>
      <x:c r="B725" s="1" t="str">
        <x:v>T5-L09-T</x:v>
      </x:c>
      <x:c r="C725" s="1" t="str">
        <x:v>FS</x:v>
      </x:c>
      <x:c r="D725" s="1" t="n">
        <x:v>14</x:v>
      </x:c>
      <x:c r="E725" s="1" t="n">
        <x:f>'Activities'!L659</x:f>
        <x:v>440</x:v>
      </x:c>
      <x:c r="F725" s="1" t="n">
        <x:f>'Activities'!K660</x:f>
        <x:v>454</x:v>
      </x:c>
      <x:c r="G725" s="1" t="n">
        <x:f>F725-E725-D725</x:f>
        <x:v>0</x:v>
      </x:c>
      <x:c r="H725" s="1" t="str">
        <x:v>Explicit working-day lag</x:v>
      </x:c>
    </x:row>
    <x:row r="726" ht="23" customHeight="1">
      <x:c r="A726" s="6" t="str">
        <x:v>T5-GL</x:v>
      </x:c>
      <x:c r="B726" s="6" t="str">
        <x:v>T5-L09-T</x:v>
      </x:c>
      <x:c r="C726" s="6" t="str">
        <x:v>FS</x:v>
      </x:c>
      <x:c r="D726" s="6" t="n">
        <x:v>0</x:v>
      </x:c>
      <x:c r="E726" s="6" t="n">
        <x:f>'Activities'!L602</x:f>
        <x:v>449</x:v>
      </x:c>
      <x:c r="F726" s="6" t="n">
        <x:f>'Activities'!K660</x:f>
        <x:v>454</x:v>
      </x:c>
      <x:c r="G726" s="6" t="n">
        <x:f>F726-E726-D726</x:f>
        <x:v>5</x:v>
      </x:c>
      <x:c r="H726" s="6" t="str">
        <x:v>Explicit working-day lag</x:v>
      </x:c>
    </x:row>
    <x:row r="727" ht="23" customHeight="1">
      <x:c r="A727" s="1" t="str">
        <x:v>T5-L09-T</x:v>
      </x:c>
      <x:c r="B727" s="1" t="str">
        <x:v>T5-L09-A</x:v>
      </x:c>
      <x:c r="C727" s="1" t="str">
        <x:v>FS</x:v>
      </x:c>
      <x:c r="D727" s="1" t="n">
        <x:v>2</x:v>
      </x:c>
      <x:c r="E727" s="1" t="n">
        <x:f>'Activities'!L660</x:f>
        <x:v>460</x:v>
      </x:c>
      <x:c r="F727" s="1" t="n">
        <x:f>'Activities'!K661</x:f>
        <x:v>462</x:v>
      </x:c>
      <x:c r="G727" s="1" t="n">
        <x:f>F727-E727-D727</x:f>
        <x:v>0</x:v>
      </x:c>
      <x:c r="H727" s="1" t="str">
        <x:v>Explicit working-day lag</x:v>
      </x:c>
    </x:row>
    <x:row r="728" ht="23" customHeight="1">
      <x:c r="A728" s="6" t="str">
        <x:v>T5-L09-A</x:v>
      </x:c>
      <x:c r="B728" s="6" t="str">
        <x:v>T5-L09-D</x:v>
      </x:c>
      <x:c r="C728" s="6" t="str">
        <x:v>FS</x:v>
      </x:c>
      <x:c r="D728" s="6" t="n">
        <x:v>0</x:v>
      </x:c>
      <x:c r="E728" s="6" t="n">
        <x:f>'Activities'!L661</x:f>
        <x:v>467</x:v>
      </x:c>
      <x:c r="F728" s="6" t="n">
        <x:f>'Activities'!K662</x:f>
        <x:v>467</x:v>
      </x:c>
      <x:c r="G728" s="6" t="n">
        <x:f>F728-E728-D728</x:f>
        <x:v>0</x:v>
      </x:c>
      <x:c r="H728" s="6" t="str">
        <x:v>Explicit working-day lag</x:v>
      </x:c>
    </x:row>
    <x:row r="729" ht="23" customHeight="1">
      <x:c r="A729" s="1" t="str">
        <x:v>T5-L12-H</x:v>
      </x:c>
      <x:c r="B729" s="1" t="str">
        <x:v>T5-L10-M</x:v>
      </x:c>
      <x:c r="C729" s="1" t="str">
        <x:v>FS</x:v>
      </x:c>
      <x:c r="D729" s="1" t="n">
        <x:v>5</x:v>
      </x:c>
      <x:c r="E729" s="1" t="n">
        <x:f>'Activities'!L599</x:f>
        <x:v>416</x:v>
      </x:c>
      <x:c r="F729" s="1" t="n">
        <x:f>'Activities'!K663</x:f>
        <x:v>421</x:v>
      </x:c>
      <x:c r="G729" s="1" t="n">
        <x:f>F729-E729-D729</x:f>
        <x:v>0</x:v>
      </x:c>
      <x:c r="H729" s="1" t="str">
        <x:v>Explicit working-day lag</x:v>
      </x:c>
    </x:row>
    <x:row r="730" ht="23" customHeight="1">
      <x:c r="A730" s="6" t="str">
        <x:v>T5-L10-M</x:v>
      </x:c>
      <x:c r="B730" s="6" t="str">
        <x:v>T5-L10-P</x:v>
      </x:c>
      <x:c r="C730" s="6" t="str">
        <x:v>FS</x:v>
      </x:c>
      <x:c r="D730" s="6" t="n">
        <x:v>3</x:v>
      </x:c>
      <x:c r="E730" s="6" t="n">
        <x:f>'Activities'!L663</x:f>
        <x:v>426</x:v>
      </x:c>
      <x:c r="F730" s="6" t="n">
        <x:f>'Activities'!K664</x:f>
        <x:v>429</x:v>
      </x:c>
      <x:c r="G730" s="6" t="n">
        <x:f>F730-E730-D730</x:f>
        <x:v>0</x:v>
      </x:c>
      <x:c r="H730" s="6" t="str">
        <x:v>Explicit working-day lag</x:v>
      </x:c>
    </x:row>
    <x:row r="731" ht="23" customHeight="1">
      <x:c r="A731" s="1" t="str">
        <x:v>T5-L10-P</x:v>
      </x:c>
      <x:c r="B731" s="1" t="str">
        <x:v>T5-L10-S</x:v>
      </x:c>
      <x:c r="C731" s="1" t="str">
        <x:v>FS</x:v>
      </x:c>
      <x:c r="D731" s="1" t="n">
        <x:v>2</x:v>
      </x:c>
      <x:c r="E731" s="1" t="n">
        <x:f>'Activities'!L664</x:f>
        <x:v>435</x:v>
      </x:c>
      <x:c r="F731" s="1" t="n">
        <x:f>'Activities'!K665</x:f>
        <x:v>437</x:v>
      </x:c>
      <x:c r="G731" s="1" t="n">
        <x:f>F731-E731-D731</x:f>
        <x:v>0</x:v>
      </x:c>
      <x:c r="H731" s="1" t="str">
        <x:v>Explicit working-day lag</x:v>
      </x:c>
    </x:row>
    <x:row r="732" ht="23" customHeight="1">
      <x:c r="A732" s="6" t="str">
        <x:v>T5-L10-S</x:v>
      </x:c>
      <x:c r="B732" s="6" t="str">
        <x:v>T5-L10-T</x:v>
      </x:c>
      <x:c r="C732" s="6" t="str">
        <x:v>FS</x:v>
      </x:c>
      <x:c r="D732" s="6" t="n">
        <x:v>14</x:v>
      </x:c>
      <x:c r="E732" s="6" t="n">
        <x:f>'Activities'!L665</x:f>
        <x:v>440</x:v>
      </x:c>
      <x:c r="F732" s="6" t="n">
        <x:f>'Activities'!K666</x:f>
        <x:v>454</x:v>
      </x:c>
      <x:c r="G732" s="6" t="n">
        <x:f>F732-E732-D732</x:f>
        <x:v>0</x:v>
      </x:c>
      <x:c r="H732" s="6" t="str">
        <x:v>Explicit working-day lag</x:v>
      </x:c>
    </x:row>
    <x:row r="733" ht="23" customHeight="1">
      <x:c r="A733" s="1" t="str">
        <x:v>T5-GL</x:v>
      </x:c>
      <x:c r="B733" s="1" t="str">
        <x:v>T5-L10-T</x:v>
      </x:c>
      <x:c r="C733" s="1" t="str">
        <x:v>FS</x:v>
      </x:c>
      <x:c r="D733" s="1" t="n">
        <x:v>0</x:v>
      </x:c>
      <x:c r="E733" s="1" t="n">
        <x:f>'Activities'!L602</x:f>
        <x:v>449</x:v>
      </x:c>
      <x:c r="F733" s="1" t="n">
        <x:f>'Activities'!K666</x:f>
        <x:v>454</x:v>
      </x:c>
      <x:c r="G733" s="1" t="n">
        <x:f>F733-E733-D733</x:f>
        <x:v>5</x:v>
      </x:c>
      <x:c r="H733" s="1" t="str">
        <x:v>Explicit working-day lag</x:v>
      </x:c>
    </x:row>
    <x:row r="734" ht="23" customHeight="1">
      <x:c r="A734" s="6" t="str">
        <x:v>T5-L10-T</x:v>
      </x:c>
      <x:c r="B734" s="6" t="str">
        <x:v>T5-L10-A</x:v>
      </x:c>
      <x:c r="C734" s="6" t="str">
        <x:v>FS</x:v>
      </x:c>
      <x:c r="D734" s="6" t="n">
        <x:v>2</x:v>
      </x:c>
      <x:c r="E734" s="6" t="n">
        <x:f>'Activities'!L666</x:f>
        <x:v>460</x:v>
      </x:c>
      <x:c r="F734" s="6" t="n">
        <x:f>'Activities'!K667</x:f>
        <x:v>462</x:v>
      </x:c>
      <x:c r="G734" s="6" t="n">
        <x:f>F734-E734-D734</x:f>
        <x:v>0</x:v>
      </x:c>
      <x:c r="H734" s="6" t="str">
        <x:v>Explicit working-day lag</x:v>
      </x:c>
    </x:row>
    <x:row r="735" ht="23" customHeight="1">
      <x:c r="A735" s="1" t="str">
        <x:v>T5-L10-A</x:v>
      </x:c>
      <x:c r="B735" s="1" t="str">
        <x:v>T5-L10-D</x:v>
      </x:c>
      <x:c r="C735" s="1" t="str">
        <x:v>FS</x:v>
      </x:c>
      <x:c r="D735" s="1" t="n">
        <x:v>0</x:v>
      </x:c>
      <x:c r="E735" s="1" t="n">
        <x:f>'Activities'!L667</x:f>
        <x:v>467</x:v>
      </x:c>
      <x:c r="F735" s="1" t="n">
        <x:f>'Activities'!K668</x:f>
        <x:v>467</x:v>
      </x:c>
      <x:c r="G735" s="1" t="n">
        <x:f>F735-E735-D735</x:f>
        <x:v>0</x:v>
      </x:c>
      <x:c r="H735" s="1" t="str">
        <x:v>Explicit working-day lag</x:v>
      </x:c>
    </x:row>
    <x:row r="736" ht="23" customHeight="1">
      <x:c r="A736" s="6" t="str">
        <x:v>T5-L12-H</x:v>
      </x:c>
      <x:c r="B736" s="6" t="str">
        <x:v>T5-L11-M</x:v>
      </x:c>
      <x:c r="C736" s="6" t="str">
        <x:v>FS</x:v>
      </x:c>
      <x:c r="D736" s="6" t="n">
        <x:v>5</x:v>
      </x:c>
      <x:c r="E736" s="6" t="n">
        <x:f>'Activities'!L599</x:f>
        <x:v>416</x:v>
      </x:c>
      <x:c r="F736" s="6" t="n">
        <x:f>'Activities'!K669</x:f>
        <x:v>421</x:v>
      </x:c>
      <x:c r="G736" s="6" t="n">
        <x:f>F736-E736-D736</x:f>
        <x:v>0</x:v>
      </x:c>
      <x:c r="H736" s="6" t="str">
        <x:v>Explicit working-day lag</x:v>
      </x:c>
    </x:row>
    <x:row r="737" ht="23" customHeight="1">
      <x:c r="A737" s="1" t="str">
        <x:v>T5-L11-M</x:v>
      </x:c>
      <x:c r="B737" s="1" t="str">
        <x:v>T5-L11-P</x:v>
      </x:c>
      <x:c r="C737" s="1" t="str">
        <x:v>FS</x:v>
      </x:c>
      <x:c r="D737" s="1" t="n">
        <x:v>3</x:v>
      </x:c>
      <x:c r="E737" s="1" t="n">
        <x:f>'Activities'!L669</x:f>
        <x:v>426</x:v>
      </x:c>
      <x:c r="F737" s="1" t="n">
        <x:f>'Activities'!K670</x:f>
        <x:v>429</x:v>
      </x:c>
      <x:c r="G737" s="1" t="n">
        <x:f>F737-E737-D737</x:f>
        <x:v>0</x:v>
      </x:c>
      <x:c r="H737" s="1" t="str">
        <x:v>Explicit working-day lag</x:v>
      </x:c>
    </x:row>
    <x:row r="738" ht="23" customHeight="1">
      <x:c r="A738" s="6" t="str">
        <x:v>T5-L11-P</x:v>
      </x:c>
      <x:c r="B738" s="6" t="str">
        <x:v>T5-L11-S</x:v>
      </x:c>
      <x:c r="C738" s="6" t="str">
        <x:v>FS</x:v>
      </x:c>
      <x:c r="D738" s="6" t="n">
        <x:v>2</x:v>
      </x:c>
      <x:c r="E738" s="6" t="n">
        <x:f>'Activities'!L670</x:f>
        <x:v>435</x:v>
      </x:c>
      <x:c r="F738" s="6" t="n">
        <x:f>'Activities'!K671</x:f>
        <x:v>437</x:v>
      </x:c>
      <x:c r="G738" s="6" t="n">
        <x:f>F738-E738-D738</x:f>
        <x:v>0</x:v>
      </x:c>
      <x:c r="H738" s="6" t="str">
        <x:v>Explicit working-day lag</x:v>
      </x:c>
    </x:row>
    <x:row r="739" ht="23" customHeight="1">
      <x:c r="A739" s="1" t="str">
        <x:v>T5-L11-S</x:v>
      </x:c>
      <x:c r="B739" s="1" t="str">
        <x:v>T5-L11-T</x:v>
      </x:c>
      <x:c r="C739" s="1" t="str">
        <x:v>FS</x:v>
      </x:c>
      <x:c r="D739" s="1" t="n">
        <x:v>14</x:v>
      </x:c>
      <x:c r="E739" s="1" t="n">
        <x:f>'Activities'!L671</x:f>
        <x:v>440</x:v>
      </x:c>
      <x:c r="F739" s="1" t="n">
        <x:f>'Activities'!K672</x:f>
        <x:v>454</x:v>
      </x:c>
      <x:c r="G739" s="1" t="n">
        <x:f>F739-E739-D739</x:f>
        <x:v>0</x:v>
      </x:c>
      <x:c r="H739" s="1" t="str">
        <x:v>Explicit working-day lag</x:v>
      </x:c>
    </x:row>
    <x:row r="740" ht="23" customHeight="1">
      <x:c r="A740" s="6" t="str">
        <x:v>T5-GL</x:v>
      </x:c>
      <x:c r="B740" s="6" t="str">
        <x:v>T5-L11-T</x:v>
      </x:c>
      <x:c r="C740" s="6" t="str">
        <x:v>FS</x:v>
      </x:c>
      <x:c r="D740" s="6" t="n">
        <x:v>0</x:v>
      </x:c>
      <x:c r="E740" s="6" t="n">
        <x:f>'Activities'!L602</x:f>
        <x:v>449</x:v>
      </x:c>
      <x:c r="F740" s="6" t="n">
        <x:f>'Activities'!K672</x:f>
        <x:v>454</x:v>
      </x:c>
      <x:c r="G740" s="6" t="n">
        <x:f>F740-E740-D740</x:f>
        <x:v>5</x:v>
      </x:c>
      <x:c r="H740" s="6" t="str">
        <x:v>Explicit working-day lag</x:v>
      </x:c>
    </x:row>
    <x:row r="741" ht="23" customHeight="1">
      <x:c r="A741" s="1" t="str">
        <x:v>T5-L11-T</x:v>
      </x:c>
      <x:c r="B741" s="1" t="str">
        <x:v>T5-L11-A</x:v>
      </x:c>
      <x:c r="C741" s="1" t="str">
        <x:v>FS</x:v>
      </x:c>
      <x:c r="D741" s="1" t="n">
        <x:v>2</x:v>
      </x:c>
      <x:c r="E741" s="1" t="n">
        <x:f>'Activities'!L672</x:f>
        <x:v>460</x:v>
      </x:c>
      <x:c r="F741" s="1" t="n">
        <x:f>'Activities'!K673</x:f>
        <x:v>462</x:v>
      </x:c>
      <x:c r="G741" s="1" t="n">
        <x:f>F741-E741-D741</x:f>
        <x:v>0</x:v>
      </x:c>
      <x:c r="H741" s="1" t="str">
        <x:v>Explicit working-day lag</x:v>
      </x:c>
    </x:row>
    <x:row r="742" ht="23" customHeight="1">
      <x:c r="A742" s="6" t="str">
        <x:v>T5-L11-A</x:v>
      </x:c>
      <x:c r="B742" s="6" t="str">
        <x:v>T5-L11-D</x:v>
      </x:c>
      <x:c r="C742" s="6" t="str">
        <x:v>FS</x:v>
      </x:c>
      <x:c r="D742" s="6" t="n">
        <x:v>0</x:v>
      </x:c>
      <x:c r="E742" s="6" t="n">
        <x:f>'Activities'!L673</x:f>
        <x:v>467</x:v>
      </x:c>
      <x:c r="F742" s="6" t="n">
        <x:f>'Activities'!K674</x:f>
        <x:v>467</x:v>
      </x:c>
      <x:c r="G742" s="6" t="n">
        <x:f>F742-E742-D742</x:f>
        <x:v>0</x:v>
      </x:c>
      <x:c r="H742" s="6" t="str">
        <x:v>Explicit working-day lag</x:v>
      </x:c>
    </x:row>
    <x:row r="743" ht="23" customHeight="1">
      <x:c r="A743" s="1" t="str">
        <x:v>T5-L12-H</x:v>
      </x:c>
      <x:c r="B743" s="1" t="str">
        <x:v>T5-L12-M</x:v>
      </x:c>
      <x:c r="C743" s="1" t="str">
        <x:v>FS</x:v>
      </x:c>
      <x:c r="D743" s="1" t="n">
        <x:v>5</x:v>
      </x:c>
      <x:c r="E743" s="1" t="n">
        <x:f>'Activities'!L599</x:f>
        <x:v>416</x:v>
      </x:c>
      <x:c r="F743" s="1" t="n">
        <x:f>'Activities'!K675</x:f>
        <x:v>421</x:v>
      </x:c>
      <x:c r="G743" s="1" t="n">
        <x:f>F743-E743-D743</x:f>
        <x:v>0</x:v>
      </x:c>
      <x:c r="H743" s="1" t="str">
        <x:v>Explicit working-day lag</x:v>
      </x:c>
    </x:row>
    <x:row r="744" ht="23" customHeight="1">
      <x:c r="A744" s="6" t="str">
        <x:v>T5-L12-M</x:v>
      </x:c>
      <x:c r="B744" s="6" t="str">
        <x:v>T5-L12-P</x:v>
      </x:c>
      <x:c r="C744" s="6" t="str">
        <x:v>FS</x:v>
      </x:c>
      <x:c r="D744" s="6" t="n">
        <x:v>3</x:v>
      </x:c>
      <x:c r="E744" s="6" t="n">
        <x:f>'Activities'!L675</x:f>
        <x:v>426</x:v>
      </x:c>
      <x:c r="F744" s="6" t="n">
        <x:f>'Activities'!K676</x:f>
        <x:v>429</x:v>
      </x:c>
      <x:c r="G744" s="6" t="n">
        <x:f>F744-E744-D744</x:f>
        <x:v>0</x:v>
      </x:c>
      <x:c r="H744" s="6" t="str">
        <x:v>Explicit working-day lag</x:v>
      </x:c>
    </x:row>
    <x:row r="745" ht="23" customHeight="1">
      <x:c r="A745" s="1" t="str">
        <x:v>T5-L12-P</x:v>
      </x:c>
      <x:c r="B745" s="1" t="str">
        <x:v>T5-L12-S</x:v>
      </x:c>
      <x:c r="C745" s="1" t="str">
        <x:v>FS</x:v>
      </x:c>
      <x:c r="D745" s="1" t="n">
        <x:v>2</x:v>
      </x:c>
      <x:c r="E745" s="1" t="n">
        <x:f>'Activities'!L676</x:f>
        <x:v>435</x:v>
      </x:c>
      <x:c r="F745" s="1" t="n">
        <x:f>'Activities'!K677</x:f>
        <x:v>437</x:v>
      </x:c>
      <x:c r="G745" s="1" t="n">
        <x:f>F745-E745-D745</x:f>
        <x:v>0</x:v>
      </x:c>
      <x:c r="H745" s="1" t="str">
        <x:v>Explicit working-day lag</x:v>
      </x:c>
    </x:row>
    <x:row r="746" ht="23" customHeight="1">
      <x:c r="A746" s="6" t="str">
        <x:v>T5-L12-S</x:v>
      </x:c>
      <x:c r="B746" s="6" t="str">
        <x:v>T5-L12-T</x:v>
      </x:c>
      <x:c r="C746" s="6" t="str">
        <x:v>FS</x:v>
      </x:c>
      <x:c r="D746" s="6" t="n">
        <x:v>14</x:v>
      </x:c>
      <x:c r="E746" s="6" t="n">
        <x:f>'Activities'!L677</x:f>
        <x:v>440</x:v>
      </x:c>
      <x:c r="F746" s="6" t="n">
        <x:f>'Activities'!K678</x:f>
        <x:v>454</x:v>
      </x:c>
      <x:c r="G746" s="6" t="n">
        <x:f>F746-E746-D746</x:f>
        <x:v>0</x:v>
      </x:c>
      <x:c r="H746" s="6" t="str">
        <x:v>Explicit working-day lag</x:v>
      </x:c>
    </x:row>
    <x:row r="747" ht="23" customHeight="1">
      <x:c r="A747" s="1" t="str">
        <x:v>T5-GL</x:v>
      </x:c>
      <x:c r="B747" s="1" t="str">
        <x:v>T5-L12-T</x:v>
      </x:c>
      <x:c r="C747" s="1" t="str">
        <x:v>FS</x:v>
      </x:c>
      <x:c r="D747" s="1" t="n">
        <x:v>0</x:v>
      </x:c>
      <x:c r="E747" s="1" t="n">
        <x:f>'Activities'!L602</x:f>
        <x:v>449</x:v>
      </x:c>
      <x:c r="F747" s="1" t="n">
        <x:f>'Activities'!K678</x:f>
        <x:v>454</x:v>
      </x:c>
      <x:c r="G747" s="1" t="n">
        <x:f>F747-E747-D747</x:f>
        <x:v>5</x:v>
      </x:c>
      <x:c r="H747" s="1" t="str">
        <x:v>Explicit working-day lag</x:v>
      </x:c>
    </x:row>
    <x:row r="748" ht="23" customHeight="1">
      <x:c r="A748" s="6" t="str">
        <x:v>T5-L12-T</x:v>
      </x:c>
      <x:c r="B748" s="6" t="str">
        <x:v>T5-L12-A</x:v>
      </x:c>
      <x:c r="C748" s="6" t="str">
        <x:v>FS</x:v>
      </x:c>
      <x:c r="D748" s="6" t="n">
        <x:v>2</x:v>
      </x:c>
      <x:c r="E748" s="6" t="n">
        <x:f>'Activities'!L678</x:f>
        <x:v>460</x:v>
      </x:c>
      <x:c r="F748" s="6" t="n">
        <x:f>'Activities'!K679</x:f>
        <x:v>462</x:v>
      </x:c>
      <x:c r="G748" s="6" t="n">
        <x:f>F748-E748-D748</x:f>
        <x:v>0</x:v>
      </x:c>
      <x:c r="H748" s="6" t="str">
        <x:v>Explicit working-day lag</x:v>
      </x:c>
    </x:row>
    <x:row r="749" ht="23" customHeight="1">
      <x:c r="A749" s="1" t="str">
        <x:v>T5-L12-A</x:v>
      </x:c>
      <x:c r="B749" s="1" t="str">
        <x:v>T5-L12-D</x:v>
      </x:c>
      <x:c r="C749" s="1" t="str">
        <x:v>FS</x:v>
      </x:c>
      <x:c r="D749" s="1" t="n">
        <x:v>0</x:v>
      </x:c>
      <x:c r="E749" s="1" t="n">
        <x:f>'Activities'!L679</x:f>
        <x:v>467</x:v>
      </x:c>
      <x:c r="F749" s="1" t="n">
        <x:f>'Activities'!K680</x:f>
        <x:v>467</x:v>
      </x:c>
      <x:c r="G749" s="1" t="n">
        <x:f>F749-E749-D749</x:f>
        <x:v>0</x:v>
      </x:c>
      <x:c r="H749" s="1" t="str">
        <x:v>Explicit working-day lag</x:v>
      </x:c>
    </x:row>
    <x:row r="750" ht="23" customHeight="1">
      <x:c r="A750" s="6" t="str">
        <x:v>P-040</x:v>
      </x:c>
      <x:c r="B750" s="6" t="str">
        <x:v>T6-L00-F</x:v>
      </x:c>
      <x:c r="C750" s="6" t="str">
        <x:v>FS</x:v>
      </x:c>
      <x:c r="D750" s="6" t="n">
        <x:f>(7+5*'Controls'!$B$11)</x:f>
        <x:v>67</x:v>
      </x:c>
      <x:c r="E750" s="6" t="n">
        <x:f>'Activities'!L12</x:f>
        <x:v>127</x:v>
      </x:c>
      <x:c r="F750" s="6" t="n">
        <x:f>'Activities'!K681</x:f>
        <x:v>194</x:v>
      </x:c>
      <x:c r="G750" s="6" t="n">
        <x:f>F750-E750-D750</x:f>
        <x:v>0</x:v>
      </x:c>
      <x:c r="H750" s="6" t="str">
        <x:v>Explicit working-day lag</x:v>
      </x:c>
    </x:row>
    <x:row r="751" ht="23" customHeight="1">
      <x:c r="A751" s="1" t="str">
        <x:v>T6-L00-F</x:v>
      </x:c>
      <x:c r="B751" s="1" t="str">
        <x:v>T6-L00-R</x:v>
      </x:c>
      <x:c r="C751" s="1" t="str">
        <x:v>FS</x:v>
      </x:c>
      <x:c r="D751" s="1" t="n">
        <x:v>0</x:v>
      </x:c>
      <x:c r="E751" s="1" t="n">
        <x:f>'Activities'!L681</x:f>
        <x:v>200</x:v>
      </x:c>
      <x:c r="F751" s="1" t="n">
        <x:f>'Activities'!K682</x:f>
        <x:v>200</x:v>
      </x:c>
      <x:c r="G751" s="1" t="n">
        <x:f>F751-E751-D751</x:f>
        <x:v>0</x:v>
      </x:c>
      <x:c r="H751" s="1" t="str">
        <x:v>Explicit working-day lag</x:v>
      </x:c>
    </x:row>
    <x:row r="752" ht="23" customHeight="1">
      <x:c r="A752" s="6" t="str">
        <x:v>T6-L00-R</x:v>
      </x:c>
      <x:c r="B752" s="6" t="str">
        <x:v>T6-L00-C</x:v>
      </x:c>
      <x:c r="C752" s="6" t="str">
        <x:v>FS</x:v>
      </x:c>
      <x:c r="D752" s="6" t="n">
        <x:v>0</x:v>
      </x:c>
      <x:c r="E752" s="6" t="n">
        <x:f>'Activities'!L682</x:f>
        <x:v>205</x:v>
      </x:c>
      <x:c r="F752" s="6" t="n">
        <x:f>'Activities'!K683</x:f>
        <x:v>205</x:v>
      </x:c>
      <x:c r="G752" s="6" t="n">
        <x:f>F752-E752-D752</x:f>
        <x:v>0</x:v>
      </x:c>
      <x:c r="H752" s="6" t="str">
        <x:v>Explicit working-day lag</x:v>
      </x:c>
    </x:row>
    <x:row r="753" ht="23" customHeight="1">
      <x:c r="A753" s="1" t="str">
        <x:v>T6-L00-C</x:v>
      </x:c>
      <x:c r="B753" s="1" t="str">
        <x:v>T6-L00-H</x:v>
      </x:c>
      <x:c r="C753" s="1" t="str">
        <x:v>FS</x:v>
      </x:c>
      <x:c r="D753" s="1" t="n">
        <x:v>0</x:v>
      </x:c>
      <x:c r="E753" s="1" t="n">
        <x:f>'Activities'!L683</x:f>
        <x:v>207</x:v>
      </x:c>
      <x:c r="F753" s="1" t="n">
        <x:f>'Activities'!K684</x:f>
        <x:v>207</x:v>
      </x:c>
      <x:c r="G753" s="1" t="n">
        <x:f>F753-E753-D753</x:f>
        <x:v>0</x:v>
      </x:c>
      <x:c r="H753" s="1" t="str">
        <x:v>Explicit working-day lag</x:v>
      </x:c>
    </x:row>
    <x:row r="754" ht="23" customHeight="1">
      <x:c r="A754" s="6" t="str">
        <x:v>T6-L00-H</x:v>
      </x:c>
      <x:c r="B754" s="6" t="str">
        <x:v>T6-L01-F</x:v>
      </x:c>
      <x:c r="C754" s="6" t="str">
        <x:v>FS</x:v>
      </x:c>
      <x:c r="D754" s="6" t="n">
        <x:v>0</x:v>
      </x:c>
      <x:c r="E754" s="6" t="n">
        <x:f>'Activities'!L684</x:f>
        <x:v>212</x:v>
      </x:c>
      <x:c r="F754" s="6" t="n">
        <x:f>'Activities'!K685</x:f>
        <x:v>212</x:v>
      </x:c>
      <x:c r="G754" s="6" t="n">
        <x:f>F754-E754-D754</x:f>
        <x:v>0</x:v>
      </x:c>
      <x:c r="H754" s="6" t="str">
        <x:v>Explicit working-day lag</x:v>
      </x:c>
    </x:row>
    <x:row r="755" ht="23" customHeight="1">
      <x:c r="A755" s="1" t="str">
        <x:v>T6-L01-F</x:v>
      </x:c>
      <x:c r="B755" s="1" t="str">
        <x:v>T6-L01-R</x:v>
      </x:c>
      <x:c r="C755" s="1" t="str">
        <x:v>FS</x:v>
      </x:c>
      <x:c r="D755" s="1" t="n">
        <x:v>0</x:v>
      </x:c>
      <x:c r="E755" s="1" t="n">
        <x:f>'Activities'!L685</x:f>
        <x:v>218</x:v>
      </x:c>
      <x:c r="F755" s="1" t="n">
        <x:f>'Activities'!K686</x:f>
        <x:v>218</x:v>
      </x:c>
      <x:c r="G755" s="1" t="n">
        <x:f>F755-E755-D755</x:f>
        <x:v>0</x:v>
      </x:c>
      <x:c r="H755" s="1" t="str">
        <x:v>Explicit working-day lag</x:v>
      </x:c>
    </x:row>
    <x:row r="756" ht="23" customHeight="1">
      <x:c r="A756" s="6" t="str">
        <x:v>T6-L01-R</x:v>
      </x:c>
      <x:c r="B756" s="6" t="str">
        <x:v>T6-L01-C</x:v>
      </x:c>
      <x:c r="C756" s="6" t="str">
        <x:v>FS</x:v>
      </x:c>
      <x:c r="D756" s="6" t="n">
        <x:v>0</x:v>
      </x:c>
      <x:c r="E756" s="6" t="n">
        <x:f>'Activities'!L686</x:f>
        <x:v>223</x:v>
      </x:c>
      <x:c r="F756" s="6" t="n">
        <x:f>'Activities'!K687</x:f>
        <x:v>223</x:v>
      </x:c>
      <x:c r="G756" s="6" t="n">
        <x:f>F756-E756-D756</x:f>
        <x:v>0</x:v>
      </x:c>
      <x:c r="H756" s="6" t="str">
        <x:v>Explicit working-day lag</x:v>
      </x:c>
    </x:row>
    <x:row r="757" ht="23" customHeight="1">
      <x:c r="A757" s="1" t="str">
        <x:v>T6-L01-C</x:v>
      </x:c>
      <x:c r="B757" s="1" t="str">
        <x:v>T6-L01-H</x:v>
      </x:c>
      <x:c r="C757" s="1" t="str">
        <x:v>FS</x:v>
      </x:c>
      <x:c r="D757" s="1" t="n">
        <x:v>0</x:v>
      </x:c>
      <x:c r="E757" s="1" t="n">
        <x:f>'Activities'!L687</x:f>
        <x:v>225</x:v>
      </x:c>
      <x:c r="F757" s="1" t="n">
        <x:f>'Activities'!K688</x:f>
        <x:v>225</x:v>
      </x:c>
      <x:c r="G757" s="1" t="n">
        <x:f>F757-E757-D757</x:f>
        <x:v>0</x:v>
      </x:c>
      <x:c r="H757" s="1" t="str">
        <x:v>Explicit working-day lag</x:v>
      </x:c>
    </x:row>
    <x:row r="758" ht="23" customHeight="1">
      <x:c r="A758" s="6" t="str">
        <x:v>T6-L01-H</x:v>
      </x:c>
      <x:c r="B758" s="6" t="str">
        <x:v>T6-L02-F</x:v>
      </x:c>
      <x:c r="C758" s="6" t="str">
        <x:v>FS</x:v>
      </x:c>
      <x:c r="D758" s="6" t="n">
        <x:v>0</x:v>
      </x:c>
      <x:c r="E758" s="6" t="n">
        <x:f>'Activities'!L688</x:f>
        <x:v>230</x:v>
      </x:c>
      <x:c r="F758" s="6" t="n">
        <x:f>'Activities'!K689</x:f>
        <x:v>230</x:v>
      </x:c>
      <x:c r="G758" s="6" t="n">
        <x:f>F758-E758-D758</x:f>
        <x:v>0</x:v>
      </x:c>
      <x:c r="H758" s="6" t="str">
        <x:v>Explicit working-day lag</x:v>
      </x:c>
    </x:row>
    <x:row r="759" ht="23" customHeight="1">
      <x:c r="A759" s="1" t="str">
        <x:v>T6-L02-F</x:v>
      </x:c>
      <x:c r="B759" s="1" t="str">
        <x:v>T6-L02-R</x:v>
      </x:c>
      <x:c r="C759" s="1" t="str">
        <x:v>FS</x:v>
      </x:c>
      <x:c r="D759" s="1" t="n">
        <x:v>0</x:v>
      </x:c>
      <x:c r="E759" s="1" t="n">
        <x:f>'Activities'!L689</x:f>
        <x:v>236</x:v>
      </x:c>
      <x:c r="F759" s="1" t="n">
        <x:f>'Activities'!K690</x:f>
        <x:v>236</x:v>
      </x:c>
      <x:c r="G759" s="1" t="n">
        <x:f>F759-E759-D759</x:f>
        <x:v>0</x:v>
      </x:c>
      <x:c r="H759" s="1" t="str">
        <x:v>Explicit working-day lag</x:v>
      </x:c>
    </x:row>
    <x:row r="760" ht="23" customHeight="1">
      <x:c r="A760" s="6" t="str">
        <x:v>T6-L02-R</x:v>
      </x:c>
      <x:c r="B760" s="6" t="str">
        <x:v>T6-L02-C</x:v>
      </x:c>
      <x:c r="C760" s="6" t="str">
        <x:v>FS</x:v>
      </x:c>
      <x:c r="D760" s="6" t="n">
        <x:v>0</x:v>
      </x:c>
      <x:c r="E760" s="6" t="n">
        <x:f>'Activities'!L690</x:f>
        <x:v>241</x:v>
      </x:c>
      <x:c r="F760" s="6" t="n">
        <x:f>'Activities'!K691</x:f>
        <x:v>241</x:v>
      </x:c>
      <x:c r="G760" s="6" t="n">
        <x:f>F760-E760-D760</x:f>
        <x:v>0</x:v>
      </x:c>
      <x:c r="H760" s="6" t="str">
        <x:v>Explicit working-day lag</x:v>
      </x:c>
    </x:row>
    <x:row r="761" ht="23" customHeight="1">
      <x:c r="A761" s="1" t="str">
        <x:v>T6-L02-C</x:v>
      </x:c>
      <x:c r="B761" s="1" t="str">
        <x:v>T6-L02-H</x:v>
      </x:c>
      <x:c r="C761" s="1" t="str">
        <x:v>FS</x:v>
      </x:c>
      <x:c r="D761" s="1" t="n">
        <x:v>0</x:v>
      </x:c>
      <x:c r="E761" s="1" t="n">
        <x:f>'Activities'!L691</x:f>
        <x:v>243</x:v>
      </x:c>
      <x:c r="F761" s="1" t="n">
        <x:f>'Activities'!K692</x:f>
        <x:v>243</x:v>
      </x:c>
      <x:c r="G761" s="1" t="n">
        <x:f>F761-E761-D761</x:f>
        <x:v>0</x:v>
      </x:c>
      <x:c r="H761" s="1" t="str">
        <x:v>Explicit working-day lag</x:v>
      </x:c>
    </x:row>
    <x:row r="762" ht="23" customHeight="1">
      <x:c r="A762" s="6" t="str">
        <x:v>T6-L02-H</x:v>
      </x:c>
      <x:c r="B762" s="6" t="str">
        <x:v>T6-L03-F</x:v>
      </x:c>
      <x:c r="C762" s="6" t="str">
        <x:v>FS</x:v>
      </x:c>
      <x:c r="D762" s="6" t="n">
        <x:v>0</x:v>
      </x:c>
      <x:c r="E762" s="6" t="n">
        <x:f>'Activities'!L692</x:f>
        <x:v>248</x:v>
      </x:c>
      <x:c r="F762" s="6" t="n">
        <x:f>'Activities'!K693</x:f>
        <x:v>248</x:v>
      </x:c>
      <x:c r="G762" s="6" t="n">
        <x:f>F762-E762-D762</x:f>
        <x:v>0</x:v>
      </x:c>
      <x:c r="H762" s="6" t="str">
        <x:v>Explicit working-day lag</x:v>
      </x:c>
    </x:row>
    <x:row r="763" ht="23" customHeight="1">
      <x:c r="A763" s="1" t="str">
        <x:v>T6-L03-F</x:v>
      </x:c>
      <x:c r="B763" s="1" t="str">
        <x:v>T6-L03-R</x:v>
      </x:c>
      <x:c r="C763" s="1" t="str">
        <x:v>FS</x:v>
      </x:c>
      <x:c r="D763" s="1" t="n">
        <x:v>0</x:v>
      </x:c>
      <x:c r="E763" s="1" t="n">
        <x:f>'Activities'!L693</x:f>
        <x:v>254</x:v>
      </x:c>
      <x:c r="F763" s="1" t="n">
        <x:f>'Activities'!K694</x:f>
        <x:v>254</x:v>
      </x:c>
      <x:c r="G763" s="1" t="n">
        <x:f>F763-E763-D763</x:f>
        <x:v>0</x:v>
      </x:c>
      <x:c r="H763" s="1" t="str">
        <x:v>Explicit working-day lag</x:v>
      </x:c>
    </x:row>
    <x:row r="764" ht="23" customHeight="1">
      <x:c r="A764" s="6" t="str">
        <x:v>T6-L03-R</x:v>
      </x:c>
      <x:c r="B764" s="6" t="str">
        <x:v>T6-L03-C</x:v>
      </x:c>
      <x:c r="C764" s="6" t="str">
        <x:v>FS</x:v>
      </x:c>
      <x:c r="D764" s="6" t="n">
        <x:v>0</x:v>
      </x:c>
      <x:c r="E764" s="6" t="n">
        <x:f>'Activities'!L694</x:f>
        <x:v>259</x:v>
      </x:c>
      <x:c r="F764" s="6" t="n">
        <x:f>'Activities'!K695</x:f>
        <x:v>259</x:v>
      </x:c>
      <x:c r="G764" s="6" t="n">
        <x:f>F764-E764-D764</x:f>
        <x:v>0</x:v>
      </x:c>
      <x:c r="H764" s="6" t="str">
        <x:v>Explicit working-day lag</x:v>
      </x:c>
    </x:row>
    <x:row r="765" ht="23" customHeight="1">
      <x:c r="A765" s="1" t="str">
        <x:v>T6-L03-C</x:v>
      </x:c>
      <x:c r="B765" s="1" t="str">
        <x:v>T6-L03-H</x:v>
      </x:c>
      <x:c r="C765" s="1" t="str">
        <x:v>FS</x:v>
      </x:c>
      <x:c r="D765" s="1" t="n">
        <x:v>0</x:v>
      </x:c>
      <x:c r="E765" s="1" t="n">
        <x:f>'Activities'!L695</x:f>
        <x:v>261</x:v>
      </x:c>
      <x:c r="F765" s="1" t="n">
        <x:f>'Activities'!K696</x:f>
        <x:v>261</x:v>
      </x:c>
      <x:c r="G765" s="1" t="n">
        <x:f>F765-E765-D765</x:f>
        <x:v>0</x:v>
      </x:c>
      <x:c r="H765" s="1" t="str">
        <x:v>Explicit working-day lag</x:v>
      </x:c>
    </x:row>
    <x:row r="766" ht="23" customHeight="1">
      <x:c r="A766" s="6" t="str">
        <x:v>T6-L03-H</x:v>
      </x:c>
      <x:c r="B766" s="6" t="str">
        <x:v>T6-L04-F</x:v>
      </x:c>
      <x:c r="C766" s="6" t="str">
        <x:v>FS</x:v>
      </x:c>
      <x:c r="D766" s="6" t="n">
        <x:v>0</x:v>
      </x:c>
      <x:c r="E766" s="6" t="n">
        <x:f>'Activities'!L696</x:f>
        <x:v>266</x:v>
      </x:c>
      <x:c r="F766" s="6" t="n">
        <x:f>'Activities'!K697</x:f>
        <x:v>266</x:v>
      </x:c>
      <x:c r="G766" s="6" t="n">
        <x:f>F766-E766-D766</x:f>
        <x:v>0</x:v>
      </x:c>
      <x:c r="H766" s="6" t="str">
        <x:v>Explicit working-day lag</x:v>
      </x:c>
    </x:row>
    <x:row r="767" ht="23" customHeight="1">
      <x:c r="A767" s="1" t="str">
        <x:v>T6-L04-F</x:v>
      </x:c>
      <x:c r="B767" s="1" t="str">
        <x:v>T6-L04-R</x:v>
      </x:c>
      <x:c r="C767" s="1" t="str">
        <x:v>FS</x:v>
      </x:c>
      <x:c r="D767" s="1" t="n">
        <x:v>0</x:v>
      </x:c>
      <x:c r="E767" s="1" t="n">
        <x:f>'Activities'!L697</x:f>
        <x:v>272</x:v>
      </x:c>
      <x:c r="F767" s="1" t="n">
        <x:f>'Activities'!K698</x:f>
        <x:v>272</x:v>
      </x:c>
      <x:c r="G767" s="1" t="n">
        <x:f>F767-E767-D767</x:f>
        <x:v>0</x:v>
      </x:c>
      <x:c r="H767" s="1" t="str">
        <x:v>Explicit working-day lag</x:v>
      </x:c>
    </x:row>
    <x:row r="768" ht="23" customHeight="1">
      <x:c r="A768" s="6" t="str">
        <x:v>T6-L04-R</x:v>
      </x:c>
      <x:c r="B768" s="6" t="str">
        <x:v>T6-L04-C</x:v>
      </x:c>
      <x:c r="C768" s="6" t="str">
        <x:v>FS</x:v>
      </x:c>
      <x:c r="D768" s="6" t="n">
        <x:v>0</x:v>
      </x:c>
      <x:c r="E768" s="6" t="n">
        <x:f>'Activities'!L698</x:f>
        <x:v>277</x:v>
      </x:c>
      <x:c r="F768" s="6" t="n">
        <x:f>'Activities'!K699</x:f>
        <x:v>277</x:v>
      </x:c>
      <x:c r="G768" s="6" t="n">
        <x:f>F768-E768-D768</x:f>
        <x:v>0</x:v>
      </x:c>
      <x:c r="H768" s="6" t="str">
        <x:v>Explicit working-day lag</x:v>
      </x:c>
    </x:row>
    <x:row r="769" ht="23" customHeight="1">
      <x:c r="A769" s="1" t="str">
        <x:v>T6-L04-C</x:v>
      </x:c>
      <x:c r="B769" s="1" t="str">
        <x:v>T6-L04-H</x:v>
      </x:c>
      <x:c r="C769" s="1" t="str">
        <x:v>FS</x:v>
      </x:c>
      <x:c r="D769" s="1" t="n">
        <x:v>0</x:v>
      </x:c>
      <x:c r="E769" s="1" t="n">
        <x:f>'Activities'!L699</x:f>
        <x:v>279</x:v>
      </x:c>
      <x:c r="F769" s="1" t="n">
        <x:f>'Activities'!K700</x:f>
        <x:v>279</x:v>
      </x:c>
      <x:c r="G769" s="1" t="n">
        <x:f>F769-E769-D769</x:f>
        <x:v>0</x:v>
      </x:c>
      <x:c r="H769" s="1" t="str">
        <x:v>Explicit working-day lag</x:v>
      </x:c>
    </x:row>
    <x:row r="770" ht="23" customHeight="1">
      <x:c r="A770" s="6" t="str">
        <x:v>T6-L04-H</x:v>
      </x:c>
      <x:c r="B770" s="6" t="str">
        <x:v>T6-L05-F</x:v>
      </x:c>
      <x:c r="C770" s="6" t="str">
        <x:v>FS</x:v>
      </x:c>
      <x:c r="D770" s="6" t="n">
        <x:v>0</x:v>
      </x:c>
      <x:c r="E770" s="6" t="n">
        <x:f>'Activities'!L700</x:f>
        <x:v>284</x:v>
      </x:c>
      <x:c r="F770" s="6" t="n">
        <x:f>'Activities'!K701</x:f>
        <x:v>284</x:v>
      </x:c>
      <x:c r="G770" s="6" t="n">
        <x:f>F770-E770-D770</x:f>
        <x:v>0</x:v>
      </x:c>
      <x:c r="H770" s="6" t="str">
        <x:v>Explicit working-day lag</x:v>
      </x:c>
    </x:row>
    <x:row r="771" ht="23" customHeight="1">
      <x:c r="A771" s="1" t="str">
        <x:v>T6-L05-F</x:v>
      </x:c>
      <x:c r="B771" s="1" t="str">
        <x:v>T6-L05-R</x:v>
      </x:c>
      <x:c r="C771" s="1" t="str">
        <x:v>FS</x:v>
      </x:c>
      <x:c r="D771" s="1" t="n">
        <x:v>0</x:v>
      </x:c>
      <x:c r="E771" s="1" t="n">
        <x:f>'Activities'!L701</x:f>
        <x:v>290</x:v>
      </x:c>
      <x:c r="F771" s="1" t="n">
        <x:f>'Activities'!K702</x:f>
        <x:v>290</x:v>
      </x:c>
      <x:c r="G771" s="1" t="n">
        <x:f>F771-E771-D771</x:f>
        <x:v>0</x:v>
      </x:c>
      <x:c r="H771" s="1" t="str">
        <x:v>Explicit working-day lag</x:v>
      </x:c>
    </x:row>
    <x:row r="772" ht="23" customHeight="1">
      <x:c r="A772" s="6" t="str">
        <x:v>T6-L05-R</x:v>
      </x:c>
      <x:c r="B772" s="6" t="str">
        <x:v>T6-L05-C</x:v>
      </x:c>
      <x:c r="C772" s="6" t="str">
        <x:v>FS</x:v>
      </x:c>
      <x:c r="D772" s="6" t="n">
        <x:v>0</x:v>
      </x:c>
      <x:c r="E772" s="6" t="n">
        <x:f>'Activities'!L702</x:f>
        <x:v>295</x:v>
      </x:c>
      <x:c r="F772" s="6" t="n">
        <x:f>'Activities'!K703</x:f>
        <x:v>295</x:v>
      </x:c>
      <x:c r="G772" s="6" t="n">
        <x:f>F772-E772-D772</x:f>
        <x:v>0</x:v>
      </x:c>
      <x:c r="H772" s="6" t="str">
        <x:v>Explicit working-day lag</x:v>
      </x:c>
    </x:row>
    <x:row r="773" ht="23" customHeight="1">
      <x:c r="A773" s="1" t="str">
        <x:v>T6-L05-C</x:v>
      </x:c>
      <x:c r="B773" s="1" t="str">
        <x:v>T6-L05-H</x:v>
      </x:c>
      <x:c r="C773" s="1" t="str">
        <x:v>FS</x:v>
      </x:c>
      <x:c r="D773" s="1" t="n">
        <x:v>0</x:v>
      </x:c>
      <x:c r="E773" s="1" t="n">
        <x:f>'Activities'!L703</x:f>
        <x:v>297</x:v>
      </x:c>
      <x:c r="F773" s="1" t="n">
        <x:f>'Activities'!K704</x:f>
        <x:v>297</x:v>
      </x:c>
      <x:c r="G773" s="1" t="n">
        <x:f>F773-E773-D773</x:f>
        <x:v>0</x:v>
      </x:c>
      <x:c r="H773" s="1" t="str">
        <x:v>Explicit working-day lag</x:v>
      </x:c>
    </x:row>
    <x:row r="774" ht="23" customHeight="1">
      <x:c r="A774" s="6" t="str">
        <x:v>T6-L05-H</x:v>
      </x:c>
      <x:c r="B774" s="6" t="str">
        <x:v>T6-L06-F</x:v>
      </x:c>
      <x:c r="C774" s="6" t="str">
        <x:v>FS</x:v>
      </x:c>
      <x:c r="D774" s="6" t="n">
        <x:v>0</x:v>
      </x:c>
      <x:c r="E774" s="6" t="n">
        <x:f>'Activities'!L704</x:f>
        <x:v>302</x:v>
      </x:c>
      <x:c r="F774" s="6" t="n">
        <x:f>'Activities'!K705</x:f>
        <x:v>302</x:v>
      </x:c>
      <x:c r="G774" s="6" t="n">
        <x:f>F774-E774-D774</x:f>
        <x:v>0</x:v>
      </x:c>
      <x:c r="H774" s="6" t="str">
        <x:v>Explicit working-day lag</x:v>
      </x:c>
    </x:row>
    <x:row r="775" ht="23" customHeight="1">
      <x:c r="A775" s="1" t="str">
        <x:v>T6-L06-F</x:v>
      </x:c>
      <x:c r="B775" s="1" t="str">
        <x:v>T6-L06-R</x:v>
      </x:c>
      <x:c r="C775" s="1" t="str">
        <x:v>FS</x:v>
      </x:c>
      <x:c r="D775" s="1" t="n">
        <x:v>0</x:v>
      </x:c>
      <x:c r="E775" s="1" t="n">
        <x:f>'Activities'!L705</x:f>
        <x:v>308</x:v>
      </x:c>
      <x:c r="F775" s="1" t="n">
        <x:f>'Activities'!K706</x:f>
        <x:v>308</x:v>
      </x:c>
      <x:c r="G775" s="1" t="n">
        <x:f>F775-E775-D775</x:f>
        <x:v>0</x:v>
      </x:c>
      <x:c r="H775" s="1" t="str">
        <x:v>Explicit working-day lag</x:v>
      </x:c>
    </x:row>
    <x:row r="776" ht="23" customHeight="1">
      <x:c r="A776" s="6" t="str">
        <x:v>T6-L06-R</x:v>
      </x:c>
      <x:c r="B776" s="6" t="str">
        <x:v>T6-L06-C</x:v>
      </x:c>
      <x:c r="C776" s="6" t="str">
        <x:v>FS</x:v>
      </x:c>
      <x:c r="D776" s="6" t="n">
        <x:v>0</x:v>
      </x:c>
      <x:c r="E776" s="6" t="n">
        <x:f>'Activities'!L706</x:f>
        <x:v>313</x:v>
      </x:c>
      <x:c r="F776" s="6" t="n">
        <x:f>'Activities'!K707</x:f>
        <x:v>313</x:v>
      </x:c>
      <x:c r="G776" s="6" t="n">
        <x:f>F776-E776-D776</x:f>
        <x:v>0</x:v>
      </x:c>
      <x:c r="H776" s="6" t="str">
        <x:v>Explicit working-day lag</x:v>
      </x:c>
    </x:row>
    <x:row r="777" ht="23" customHeight="1">
      <x:c r="A777" s="1" t="str">
        <x:v>T6-L06-C</x:v>
      </x:c>
      <x:c r="B777" s="1" t="str">
        <x:v>T6-L06-H</x:v>
      </x:c>
      <x:c r="C777" s="1" t="str">
        <x:v>FS</x:v>
      </x:c>
      <x:c r="D777" s="1" t="n">
        <x:v>0</x:v>
      </x:c>
      <x:c r="E777" s="1" t="n">
        <x:f>'Activities'!L707</x:f>
        <x:v>315</x:v>
      </x:c>
      <x:c r="F777" s="1" t="n">
        <x:f>'Activities'!K708</x:f>
        <x:v>315</x:v>
      </x:c>
      <x:c r="G777" s="1" t="n">
        <x:f>F777-E777-D777</x:f>
        <x:v>0</x:v>
      </x:c>
      <x:c r="H777" s="1" t="str">
        <x:v>Explicit working-day lag</x:v>
      </x:c>
    </x:row>
    <x:row r="778" ht="23" customHeight="1">
      <x:c r="A778" s="6" t="str">
        <x:v>T6-L06-H</x:v>
      </x:c>
      <x:c r="B778" s="6" t="str">
        <x:v>T6-L07-F</x:v>
      </x:c>
      <x:c r="C778" s="6" t="str">
        <x:v>FS</x:v>
      </x:c>
      <x:c r="D778" s="6" t="n">
        <x:v>0</x:v>
      </x:c>
      <x:c r="E778" s="6" t="n">
        <x:f>'Activities'!L708</x:f>
        <x:v>320</x:v>
      </x:c>
      <x:c r="F778" s="6" t="n">
        <x:f>'Activities'!K709</x:f>
        <x:v>320</x:v>
      </x:c>
      <x:c r="G778" s="6" t="n">
        <x:f>F778-E778-D778</x:f>
        <x:v>0</x:v>
      </x:c>
      <x:c r="H778" s="6" t="str">
        <x:v>Explicit working-day lag</x:v>
      </x:c>
    </x:row>
    <x:row r="779" ht="23" customHeight="1">
      <x:c r="A779" s="1" t="str">
        <x:v>T6-L07-F</x:v>
      </x:c>
      <x:c r="B779" s="1" t="str">
        <x:v>T6-L07-R</x:v>
      </x:c>
      <x:c r="C779" s="1" t="str">
        <x:v>FS</x:v>
      </x:c>
      <x:c r="D779" s="1" t="n">
        <x:v>0</x:v>
      </x:c>
      <x:c r="E779" s="1" t="n">
        <x:f>'Activities'!L709</x:f>
        <x:v>326</x:v>
      </x:c>
      <x:c r="F779" s="1" t="n">
        <x:f>'Activities'!K710</x:f>
        <x:v>326</x:v>
      </x:c>
      <x:c r="G779" s="1" t="n">
        <x:f>F779-E779-D779</x:f>
        <x:v>0</x:v>
      </x:c>
      <x:c r="H779" s="1" t="str">
        <x:v>Explicit working-day lag</x:v>
      </x:c>
    </x:row>
    <x:row r="780" ht="23" customHeight="1">
      <x:c r="A780" s="6" t="str">
        <x:v>T6-L07-R</x:v>
      </x:c>
      <x:c r="B780" s="6" t="str">
        <x:v>T6-L07-C</x:v>
      </x:c>
      <x:c r="C780" s="6" t="str">
        <x:v>FS</x:v>
      </x:c>
      <x:c r="D780" s="6" t="n">
        <x:v>0</x:v>
      </x:c>
      <x:c r="E780" s="6" t="n">
        <x:f>'Activities'!L710</x:f>
        <x:v>331</x:v>
      </x:c>
      <x:c r="F780" s="6" t="n">
        <x:f>'Activities'!K711</x:f>
        <x:v>331</x:v>
      </x:c>
      <x:c r="G780" s="6" t="n">
        <x:f>F780-E780-D780</x:f>
        <x:v>0</x:v>
      </x:c>
      <x:c r="H780" s="6" t="str">
        <x:v>Explicit working-day lag</x:v>
      </x:c>
    </x:row>
    <x:row r="781" ht="23" customHeight="1">
      <x:c r="A781" s="1" t="str">
        <x:v>T6-L07-C</x:v>
      </x:c>
      <x:c r="B781" s="1" t="str">
        <x:v>T6-L07-H</x:v>
      </x:c>
      <x:c r="C781" s="1" t="str">
        <x:v>FS</x:v>
      </x:c>
      <x:c r="D781" s="1" t="n">
        <x:v>0</x:v>
      </x:c>
      <x:c r="E781" s="1" t="n">
        <x:f>'Activities'!L711</x:f>
        <x:v>333</x:v>
      </x:c>
      <x:c r="F781" s="1" t="n">
        <x:f>'Activities'!K712</x:f>
        <x:v>333</x:v>
      </x:c>
      <x:c r="G781" s="1" t="n">
        <x:f>F781-E781-D781</x:f>
        <x:v>0</x:v>
      </x:c>
      <x:c r="H781" s="1" t="str">
        <x:v>Explicit working-day lag</x:v>
      </x:c>
    </x:row>
    <x:row r="782" ht="23" customHeight="1">
      <x:c r="A782" s="6" t="str">
        <x:v>T6-L07-H</x:v>
      </x:c>
      <x:c r="B782" s="6" t="str">
        <x:v>T6-L08-F</x:v>
      </x:c>
      <x:c r="C782" s="6" t="str">
        <x:v>FS</x:v>
      </x:c>
      <x:c r="D782" s="6" t="n">
        <x:v>0</x:v>
      </x:c>
      <x:c r="E782" s="6" t="n">
        <x:f>'Activities'!L712</x:f>
        <x:v>338</x:v>
      </x:c>
      <x:c r="F782" s="6" t="n">
        <x:f>'Activities'!K713</x:f>
        <x:v>338</x:v>
      </x:c>
      <x:c r="G782" s="6" t="n">
        <x:f>F782-E782-D782</x:f>
        <x:v>0</x:v>
      </x:c>
      <x:c r="H782" s="6" t="str">
        <x:v>Explicit working-day lag</x:v>
      </x:c>
    </x:row>
    <x:row r="783" ht="23" customHeight="1">
      <x:c r="A783" s="1" t="str">
        <x:v>T6-L08-F</x:v>
      </x:c>
      <x:c r="B783" s="1" t="str">
        <x:v>T6-L08-R</x:v>
      </x:c>
      <x:c r="C783" s="1" t="str">
        <x:v>FS</x:v>
      </x:c>
      <x:c r="D783" s="1" t="n">
        <x:v>0</x:v>
      </x:c>
      <x:c r="E783" s="1" t="n">
        <x:f>'Activities'!L713</x:f>
        <x:v>344</x:v>
      </x:c>
      <x:c r="F783" s="1" t="n">
        <x:f>'Activities'!K714</x:f>
        <x:v>344</x:v>
      </x:c>
      <x:c r="G783" s="1" t="n">
        <x:f>F783-E783-D783</x:f>
        <x:v>0</x:v>
      </x:c>
      <x:c r="H783" s="1" t="str">
        <x:v>Explicit working-day lag</x:v>
      </x:c>
    </x:row>
    <x:row r="784" ht="23" customHeight="1">
      <x:c r="A784" s="6" t="str">
        <x:v>T6-L08-R</x:v>
      </x:c>
      <x:c r="B784" s="6" t="str">
        <x:v>T6-L08-C</x:v>
      </x:c>
      <x:c r="C784" s="6" t="str">
        <x:v>FS</x:v>
      </x:c>
      <x:c r="D784" s="6" t="n">
        <x:v>0</x:v>
      </x:c>
      <x:c r="E784" s="6" t="n">
        <x:f>'Activities'!L714</x:f>
        <x:v>349</x:v>
      </x:c>
      <x:c r="F784" s="6" t="n">
        <x:f>'Activities'!K715</x:f>
        <x:v>349</x:v>
      </x:c>
      <x:c r="G784" s="6" t="n">
        <x:f>F784-E784-D784</x:f>
        <x:v>0</x:v>
      </x:c>
      <x:c r="H784" s="6" t="str">
        <x:v>Explicit working-day lag</x:v>
      </x:c>
    </x:row>
    <x:row r="785" ht="23" customHeight="1">
      <x:c r="A785" s="1" t="str">
        <x:v>T6-L08-C</x:v>
      </x:c>
      <x:c r="B785" s="1" t="str">
        <x:v>T6-L08-H</x:v>
      </x:c>
      <x:c r="C785" s="1" t="str">
        <x:v>FS</x:v>
      </x:c>
      <x:c r="D785" s="1" t="n">
        <x:v>0</x:v>
      </x:c>
      <x:c r="E785" s="1" t="n">
        <x:f>'Activities'!L715</x:f>
        <x:v>351</x:v>
      </x:c>
      <x:c r="F785" s="1" t="n">
        <x:f>'Activities'!K716</x:f>
        <x:v>351</x:v>
      </x:c>
      <x:c r="G785" s="1" t="n">
        <x:f>F785-E785-D785</x:f>
        <x:v>0</x:v>
      </x:c>
      <x:c r="H785" s="1" t="str">
        <x:v>Explicit working-day lag</x:v>
      </x:c>
    </x:row>
    <x:row r="786" ht="23" customHeight="1">
      <x:c r="A786" s="6" t="str">
        <x:v>T6-L08-H</x:v>
      </x:c>
      <x:c r="B786" s="6" t="str">
        <x:v>T6-L09-F</x:v>
      </x:c>
      <x:c r="C786" s="6" t="str">
        <x:v>FS</x:v>
      </x:c>
      <x:c r="D786" s="6" t="n">
        <x:v>0</x:v>
      </x:c>
      <x:c r="E786" s="6" t="n">
        <x:f>'Activities'!L716</x:f>
        <x:v>356</x:v>
      </x:c>
      <x:c r="F786" s="6" t="n">
        <x:f>'Activities'!K717</x:f>
        <x:v>356</x:v>
      </x:c>
      <x:c r="G786" s="6" t="n">
        <x:f>F786-E786-D786</x:f>
        <x:v>0</x:v>
      </x:c>
      <x:c r="H786" s="6" t="str">
        <x:v>Explicit working-day lag</x:v>
      </x:c>
    </x:row>
    <x:row r="787" ht="23" customHeight="1">
      <x:c r="A787" s="1" t="str">
        <x:v>T6-L09-F</x:v>
      </x:c>
      <x:c r="B787" s="1" t="str">
        <x:v>T6-L09-R</x:v>
      </x:c>
      <x:c r="C787" s="1" t="str">
        <x:v>FS</x:v>
      </x:c>
      <x:c r="D787" s="1" t="n">
        <x:v>0</x:v>
      </x:c>
      <x:c r="E787" s="1" t="n">
        <x:f>'Activities'!L717</x:f>
        <x:v>362</x:v>
      </x:c>
      <x:c r="F787" s="1" t="n">
        <x:f>'Activities'!K718</x:f>
        <x:v>362</x:v>
      </x:c>
      <x:c r="G787" s="1" t="n">
        <x:f>F787-E787-D787</x:f>
        <x:v>0</x:v>
      </x:c>
      <x:c r="H787" s="1" t="str">
        <x:v>Explicit working-day lag</x:v>
      </x:c>
    </x:row>
    <x:row r="788" ht="23" customHeight="1">
      <x:c r="A788" s="6" t="str">
        <x:v>T6-L09-R</x:v>
      </x:c>
      <x:c r="B788" s="6" t="str">
        <x:v>T6-L09-C</x:v>
      </x:c>
      <x:c r="C788" s="6" t="str">
        <x:v>FS</x:v>
      </x:c>
      <x:c r="D788" s="6" t="n">
        <x:v>0</x:v>
      </x:c>
      <x:c r="E788" s="6" t="n">
        <x:f>'Activities'!L718</x:f>
        <x:v>367</x:v>
      </x:c>
      <x:c r="F788" s="6" t="n">
        <x:f>'Activities'!K719</x:f>
        <x:v>367</x:v>
      </x:c>
      <x:c r="G788" s="6" t="n">
        <x:f>F788-E788-D788</x:f>
        <x:v>0</x:v>
      </x:c>
      <x:c r="H788" s="6" t="str">
        <x:v>Explicit working-day lag</x:v>
      </x:c>
    </x:row>
    <x:row r="789" ht="23" customHeight="1">
      <x:c r="A789" s="1" t="str">
        <x:v>T6-L09-C</x:v>
      </x:c>
      <x:c r="B789" s="1" t="str">
        <x:v>T6-L09-H</x:v>
      </x:c>
      <x:c r="C789" s="1" t="str">
        <x:v>FS</x:v>
      </x:c>
      <x:c r="D789" s="1" t="n">
        <x:v>0</x:v>
      </x:c>
      <x:c r="E789" s="1" t="n">
        <x:f>'Activities'!L719</x:f>
        <x:v>369</x:v>
      </x:c>
      <x:c r="F789" s="1" t="n">
        <x:f>'Activities'!K720</x:f>
        <x:v>369</x:v>
      </x:c>
      <x:c r="G789" s="1" t="n">
        <x:f>F789-E789-D789</x:f>
        <x:v>0</x:v>
      </x:c>
      <x:c r="H789" s="1" t="str">
        <x:v>Explicit working-day lag</x:v>
      </x:c>
    </x:row>
    <x:row r="790" ht="23" customHeight="1">
      <x:c r="A790" s="6" t="str">
        <x:v>T6-L09-H</x:v>
      </x:c>
      <x:c r="B790" s="6" t="str">
        <x:v>T6-L10-F</x:v>
      </x:c>
      <x:c r="C790" s="6" t="str">
        <x:v>FS</x:v>
      </x:c>
      <x:c r="D790" s="6" t="n">
        <x:v>0</x:v>
      </x:c>
      <x:c r="E790" s="6" t="n">
        <x:f>'Activities'!L720</x:f>
        <x:v>374</x:v>
      </x:c>
      <x:c r="F790" s="6" t="n">
        <x:f>'Activities'!K721</x:f>
        <x:v>374</x:v>
      </x:c>
      <x:c r="G790" s="6" t="n">
        <x:f>F790-E790-D790</x:f>
        <x:v>0</x:v>
      </x:c>
      <x:c r="H790" s="6" t="str">
        <x:v>Explicit working-day lag</x:v>
      </x:c>
    </x:row>
    <x:row r="791" ht="23" customHeight="1">
      <x:c r="A791" s="1" t="str">
        <x:v>T6-L10-F</x:v>
      </x:c>
      <x:c r="B791" s="1" t="str">
        <x:v>T6-L10-R</x:v>
      </x:c>
      <x:c r="C791" s="1" t="str">
        <x:v>FS</x:v>
      </x:c>
      <x:c r="D791" s="1" t="n">
        <x:v>0</x:v>
      </x:c>
      <x:c r="E791" s="1" t="n">
        <x:f>'Activities'!L721</x:f>
        <x:v>380</x:v>
      </x:c>
      <x:c r="F791" s="1" t="n">
        <x:f>'Activities'!K722</x:f>
        <x:v>380</x:v>
      </x:c>
      <x:c r="G791" s="1" t="n">
        <x:f>F791-E791-D791</x:f>
        <x:v>0</x:v>
      </x:c>
      <x:c r="H791" s="1" t="str">
        <x:v>Explicit working-day lag</x:v>
      </x:c>
    </x:row>
    <x:row r="792" ht="23" customHeight="1">
      <x:c r="A792" s="6" t="str">
        <x:v>T6-L10-R</x:v>
      </x:c>
      <x:c r="B792" s="6" t="str">
        <x:v>T6-L10-C</x:v>
      </x:c>
      <x:c r="C792" s="6" t="str">
        <x:v>FS</x:v>
      </x:c>
      <x:c r="D792" s="6" t="n">
        <x:v>0</x:v>
      </x:c>
      <x:c r="E792" s="6" t="n">
        <x:f>'Activities'!L722</x:f>
        <x:v>385</x:v>
      </x:c>
      <x:c r="F792" s="6" t="n">
        <x:f>'Activities'!K723</x:f>
        <x:v>385</x:v>
      </x:c>
      <x:c r="G792" s="6" t="n">
        <x:f>F792-E792-D792</x:f>
        <x:v>0</x:v>
      </x:c>
      <x:c r="H792" s="6" t="str">
        <x:v>Explicit working-day lag</x:v>
      </x:c>
    </x:row>
    <x:row r="793" ht="23" customHeight="1">
      <x:c r="A793" s="1" t="str">
        <x:v>T6-L10-C</x:v>
      </x:c>
      <x:c r="B793" s="1" t="str">
        <x:v>T6-L10-H</x:v>
      </x:c>
      <x:c r="C793" s="1" t="str">
        <x:v>FS</x:v>
      </x:c>
      <x:c r="D793" s="1" t="n">
        <x:v>0</x:v>
      </x:c>
      <x:c r="E793" s="1" t="n">
        <x:f>'Activities'!L723</x:f>
        <x:v>387</x:v>
      </x:c>
      <x:c r="F793" s="1" t="n">
        <x:f>'Activities'!K724</x:f>
        <x:v>387</x:v>
      </x:c>
      <x:c r="G793" s="1" t="n">
        <x:f>F793-E793-D793</x:f>
        <x:v>0</x:v>
      </x:c>
      <x:c r="H793" s="1" t="str">
        <x:v>Explicit working-day lag</x:v>
      </x:c>
    </x:row>
    <x:row r="794" ht="23" customHeight="1">
      <x:c r="A794" s="6" t="str">
        <x:v>T6-L10-H</x:v>
      </x:c>
      <x:c r="B794" s="6" t="str">
        <x:v>T6-L11-F</x:v>
      </x:c>
      <x:c r="C794" s="6" t="str">
        <x:v>FS</x:v>
      </x:c>
      <x:c r="D794" s="6" t="n">
        <x:v>0</x:v>
      </x:c>
      <x:c r="E794" s="6" t="n">
        <x:f>'Activities'!L724</x:f>
        <x:v>392</x:v>
      </x:c>
      <x:c r="F794" s="6" t="n">
        <x:f>'Activities'!K725</x:f>
        <x:v>392</x:v>
      </x:c>
      <x:c r="G794" s="6" t="n">
        <x:f>F794-E794-D794</x:f>
        <x:v>0</x:v>
      </x:c>
      <x:c r="H794" s="6" t="str">
        <x:v>Explicit working-day lag</x:v>
      </x:c>
    </x:row>
    <x:row r="795" ht="23" customHeight="1">
      <x:c r="A795" s="1" t="str">
        <x:v>T6-L11-F</x:v>
      </x:c>
      <x:c r="B795" s="1" t="str">
        <x:v>T6-L11-R</x:v>
      </x:c>
      <x:c r="C795" s="1" t="str">
        <x:v>FS</x:v>
      </x:c>
      <x:c r="D795" s="1" t="n">
        <x:v>0</x:v>
      </x:c>
      <x:c r="E795" s="1" t="n">
        <x:f>'Activities'!L725</x:f>
        <x:v>398</x:v>
      </x:c>
      <x:c r="F795" s="1" t="n">
        <x:f>'Activities'!K726</x:f>
        <x:v>398</x:v>
      </x:c>
      <x:c r="G795" s="1" t="n">
        <x:f>F795-E795-D795</x:f>
        <x:v>0</x:v>
      </x:c>
      <x:c r="H795" s="1" t="str">
        <x:v>Explicit working-day lag</x:v>
      </x:c>
    </x:row>
    <x:row r="796" ht="23" customHeight="1">
      <x:c r="A796" s="6" t="str">
        <x:v>T6-L11-R</x:v>
      </x:c>
      <x:c r="B796" s="6" t="str">
        <x:v>T6-L11-C</x:v>
      </x:c>
      <x:c r="C796" s="6" t="str">
        <x:v>FS</x:v>
      </x:c>
      <x:c r="D796" s="6" t="n">
        <x:v>0</x:v>
      </x:c>
      <x:c r="E796" s="6" t="n">
        <x:f>'Activities'!L726</x:f>
        <x:v>403</x:v>
      </x:c>
      <x:c r="F796" s="6" t="n">
        <x:f>'Activities'!K727</x:f>
        <x:v>403</x:v>
      </x:c>
      <x:c r="G796" s="6" t="n">
        <x:f>F796-E796-D796</x:f>
        <x:v>0</x:v>
      </x:c>
      <x:c r="H796" s="6" t="str">
        <x:v>Explicit working-day lag</x:v>
      </x:c>
    </x:row>
    <x:row r="797" ht="23" customHeight="1">
      <x:c r="A797" s="1" t="str">
        <x:v>T6-L11-C</x:v>
      </x:c>
      <x:c r="B797" s="1" t="str">
        <x:v>T6-L11-H</x:v>
      </x:c>
      <x:c r="C797" s="1" t="str">
        <x:v>FS</x:v>
      </x:c>
      <x:c r="D797" s="1" t="n">
        <x:v>0</x:v>
      </x:c>
      <x:c r="E797" s="1" t="n">
        <x:f>'Activities'!L727</x:f>
        <x:v>405</x:v>
      </x:c>
      <x:c r="F797" s="1" t="n">
        <x:f>'Activities'!K728</x:f>
        <x:v>405</x:v>
      </x:c>
      <x:c r="G797" s="1" t="n">
        <x:f>F797-E797-D797</x:f>
        <x:v>0</x:v>
      </x:c>
      <x:c r="H797" s="1" t="str">
        <x:v>Explicit working-day lag</x:v>
      </x:c>
    </x:row>
    <x:row r="798" ht="23" customHeight="1">
      <x:c r="A798" s="6" t="str">
        <x:v>T6-L11-H</x:v>
      </x:c>
      <x:c r="B798" s="6" t="str">
        <x:v>T6-L12-F</x:v>
      </x:c>
      <x:c r="C798" s="6" t="str">
        <x:v>FS</x:v>
      </x:c>
      <x:c r="D798" s="6" t="n">
        <x:v>0</x:v>
      </x:c>
      <x:c r="E798" s="6" t="n">
        <x:f>'Activities'!L728</x:f>
        <x:v>410</x:v>
      </x:c>
      <x:c r="F798" s="6" t="n">
        <x:f>'Activities'!K729</x:f>
        <x:v>410</x:v>
      </x:c>
      <x:c r="G798" s="6" t="n">
        <x:f>F798-E798-D798</x:f>
        <x:v>0</x:v>
      </x:c>
      <x:c r="H798" s="6" t="str">
        <x:v>Explicit working-day lag</x:v>
      </x:c>
    </x:row>
    <x:row r="799" ht="23" customHeight="1">
      <x:c r="A799" s="1" t="str">
        <x:v>T6-L12-F</x:v>
      </x:c>
      <x:c r="B799" s="1" t="str">
        <x:v>T6-L12-R</x:v>
      </x:c>
      <x:c r="C799" s="1" t="str">
        <x:v>FS</x:v>
      </x:c>
      <x:c r="D799" s="1" t="n">
        <x:v>0</x:v>
      </x:c>
      <x:c r="E799" s="1" t="n">
        <x:f>'Activities'!L729</x:f>
        <x:v>416</x:v>
      </x:c>
      <x:c r="F799" s="1" t="n">
        <x:f>'Activities'!K730</x:f>
        <x:v>416</x:v>
      </x:c>
      <x:c r="G799" s="1" t="n">
        <x:f>F799-E799-D799</x:f>
        <x:v>0</x:v>
      </x:c>
      <x:c r="H799" s="1" t="str">
        <x:v>Explicit working-day lag</x:v>
      </x:c>
    </x:row>
    <x:row r="800" ht="23" customHeight="1">
      <x:c r="A800" s="6" t="str">
        <x:v>T6-L12-R</x:v>
      </x:c>
      <x:c r="B800" s="6" t="str">
        <x:v>T6-L12-C</x:v>
      </x:c>
      <x:c r="C800" s="6" t="str">
        <x:v>FS</x:v>
      </x:c>
      <x:c r="D800" s="6" t="n">
        <x:v>0</x:v>
      </x:c>
      <x:c r="E800" s="6" t="n">
        <x:f>'Activities'!L730</x:f>
        <x:v>421</x:v>
      </x:c>
      <x:c r="F800" s="6" t="n">
        <x:f>'Activities'!K731</x:f>
        <x:v>421</x:v>
      </x:c>
      <x:c r="G800" s="6" t="n">
        <x:f>F800-E800-D800</x:f>
        <x:v>0</x:v>
      </x:c>
      <x:c r="H800" s="6" t="str">
        <x:v>Explicit working-day lag</x:v>
      </x:c>
    </x:row>
    <x:row r="801" ht="23" customHeight="1">
      <x:c r="A801" s="1" t="str">
        <x:v>T6-L12-C</x:v>
      </x:c>
      <x:c r="B801" s="1" t="str">
        <x:v>T6-L12-H</x:v>
      </x:c>
      <x:c r="C801" s="1" t="str">
        <x:v>FS</x:v>
      </x:c>
      <x:c r="D801" s="1" t="n">
        <x:v>0</x:v>
      </x:c>
      <x:c r="E801" s="1" t="n">
        <x:f>'Activities'!L731</x:f>
        <x:v>423</x:v>
      </x:c>
      <x:c r="F801" s="1" t="n">
        <x:f>'Activities'!K732</x:f>
        <x:v>423</x:v>
      </x:c>
      <x:c r="G801" s="1" t="n">
        <x:f>F801-E801-D801</x:f>
        <x:v>0</x:v>
      </x:c>
      <x:c r="H801" s="1" t="str">
        <x:v>Explicit working-day lag</x:v>
      </x:c>
    </x:row>
    <x:row r="802" ht="23" customHeight="1">
      <x:c r="A802" s="6" t="str">
        <x:v>T6-L12-H</x:v>
      </x:c>
      <x:c r="B802" s="6" t="str">
        <x:v>T6-RF</x:v>
      </x:c>
      <x:c r="C802" s="6" t="str">
        <x:v>FS</x:v>
      </x:c>
      <x:c r="D802" s="6" t="n">
        <x:v>5</x:v>
      </x:c>
      <x:c r="E802" s="6" t="n">
        <x:f>'Activities'!L732</x:f>
        <x:v>428</x:v>
      </x:c>
      <x:c r="F802" s="6" t="n">
        <x:f>'Activities'!K733</x:f>
        <x:v>433</x:v>
      </x:c>
      <x:c r="G802" s="6" t="n">
        <x:f>F802-E802-D802</x:f>
        <x:v>0</x:v>
      </x:c>
      <x:c r="H802" s="6" t="str">
        <x:v>Explicit working-day lag</x:v>
      </x:c>
    </x:row>
    <x:row r="803" ht="23" customHeight="1">
      <x:c r="A803" s="1" t="str">
        <x:v>T6-L08-H</x:v>
      </x:c>
      <x:c r="B803" s="1" t="str">
        <x:v>T6-FA</x:v>
      </x:c>
      <x:c r="C803" s="1" t="str">
        <x:v>FS</x:v>
      </x:c>
      <x:c r="D803" s="1" t="n">
        <x:v>10</x:v>
      </x:c>
      <x:c r="E803" s="1" t="n">
        <x:f>'Activities'!L716</x:f>
        <x:v>356</x:v>
      </x:c>
      <x:c r="F803" s="1" t="n">
        <x:f>'Activities'!K734</x:f>
        <x:v>366</x:v>
      </x:c>
      <x:c r="G803" s="1" t="n">
        <x:f>F803-E803-D803</x:f>
        <x:v>0</x:v>
      </x:c>
      <x:c r="H803" s="1" t="str">
        <x:v>Explicit working-day lag</x:v>
      </x:c>
    </x:row>
    <x:row r="804" ht="23" customHeight="1">
      <x:c r="A804" s="6" t="str">
        <x:v>T6-FA</x:v>
      </x:c>
      <x:c r="B804" s="6" t="str">
        <x:v>T6-GL</x:v>
      </x:c>
      <x:c r="C804" s="6" t="str">
        <x:v>FS</x:v>
      </x:c>
      <x:c r="D804" s="6" t="n">
        <x:v>0</x:v>
      </x:c>
      <x:c r="E804" s="6" t="n">
        <x:f>'Activities'!L734</x:f>
        <x:v>388</x:v>
      </x:c>
      <x:c r="F804" s="6" t="n">
        <x:f>'Activities'!K735</x:f>
        <x:v>447</x:v>
      </x:c>
      <x:c r="G804" s="6" t="n">
        <x:f>F804-E804-D804</x:f>
        <x:v>59</x:v>
      </x:c>
      <x:c r="H804" s="6" t="str">
        <x:v>Explicit working-day lag</x:v>
      </x:c>
    </x:row>
    <x:row r="805" ht="23" customHeight="1">
      <x:c r="A805" s="1" t="str">
        <x:v>T6-RF</x:v>
      </x:c>
      <x:c r="B805" s="1" t="str">
        <x:v>T6-GL</x:v>
      </x:c>
      <x:c r="C805" s="1" t="str">
        <x:v>FS</x:v>
      </x:c>
      <x:c r="D805" s="1" t="n">
        <x:v>0</x:v>
      </x:c>
      <x:c r="E805" s="1" t="n">
        <x:f>'Activities'!L733</x:f>
        <x:v>447</x:v>
      </x:c>
      <x:c r="F805" s="1" t="n">
        <x:f>'Activities'!K735</x:f>
        <x:v>447</x:v>
      </x:c>
      <x:c r="G805" s="1" t="n">
        <x:f>F805-E805-D805</x:f>
        <x:v>0</x:v>
      </x:c>
      <x:c r="H805" s="1" t="str">
        <x:v>Explicit working-day lag</x:v>
      </x:c>
    </x:row>
    <x:row r="806" ht="23" customHeight="1">
      <x:c r="A806" s="6" t="str">
        <x:v>T6-L03-H</x:v>
      </x:c>
      <x:c r="B806" s="6" t="str">
        <x:v>T6-L00-M</x:v>
      </x:c>
      <x:c r="C806" s="6" t="str">
        <x:v>FS</x:v>
      </x:c>
      <x:c r="D806" s="6" t="n">
        <x:v>5</x:v>
      </x:c>
      <x:c r="E806" s="6" t="n">
        <x:f>'Activities'!L696</x:f>
        <x:v>266</x:v>
      </x:c>
      <x:c r="F806" s="6" t="n">
        <x:f>'Activities'!K736</x:f>
        <x:v>271</x:v>
      </x:c>
      <x:c r="G806" s="6" t="n">
        <x:f>F806-E806-D806</x:f>
        <x:v>0</x:v>
      </x:c>
      <x:c r="H806" s="6" t="str">
        <x:v>Explicit working-day lag</x:v>
      </x:c>
    </x:row>
    <x:row r="807" ht="23" customHeight="1">
      <x:c r="A807" s="1" t="str">
        <x:v>T6-L00-M</x:v>
      </x:c>
      <x:c r="B807" s="1" t="str">
        <x:v>T6-L00-P</x:v>
      </x:c>
      <x:c r="C807" s="1" t="str">
        <x:v>FS</x:v>
      </x:c>
      <x:c r="D807" s="1" t="n">
        <x:v>3</x:v>
      </x:c>
      <x:c r="E807" s="1" t="n">
        <x:f>'Activities'!L736</x:f>
        <x:v>276</x:v>
      </x:c>
      <x:c r="F807" s="1" t="n">
        <x:f>'Activities'!K737</x:f>
        <x:v>279</x:v>
      </x:c>
      <x:c r="G807" s="1" t="n">
        <x:f>F807-E807-D807</x:f>
        <x:v>0</x:v>
      </x:c>
      <x:c r="H807" s="1" t="str">
        <x:v>Explicit working-day lag</x:v>
      </x:c>
    </x:row>
    <x:row r="808" ht="23" customHeight="1">
      <x:c r="A808" s="6" t="str">
        <x:v>T6-L00-P</x:v>
      </x:c>
      <x:c r="B808" s="6" t="str">
        <x:v>T6-L00-S</x:v>
      </x:c>
      <x:c r="C808" s="6" t="str">
        <x:v>FS</x:v>
      </x:c>
      <x:c r="D808" s="6" t="n">
        <x:v>2</x:v>
      </x:c>
      <x:c r="E808" s="6" t="n">
        <x:f>'Activities'!L737</x:f>
        <x:v>285</x:v>
      </x:c>
      <x:c r="F808" s="6" t="n">
        <x:f>'Activities'!K738</x:f>
        <x:v>287</x:v>
      </x:c>
      <x:c r="G808" s="6" t="n">
        <x:f>F808-E808-D808</x:f>
        <x:v>0</x:v>
      </x:c>
      <x:c r="H808" s="6" t="str">
        <x:v>Explicit working-day lag</x:v>
      </x:c>
    </x:row>
    <x:row r="809" ht="23" customHeight="1">
      <x:c r="A809" s="1" t="str">
        <x:v>T6-L00-S</x:v>
      </x:c>
      <x:c r="B809" s="1" t="str">
        <x:v>T6-L00-T</x:v>
      </x:c>
      <x:c r="C809" s="1" t="str">
        <x:v>FS</x:v>
      </x:c>
      <x:c r="D809" s="1" t="n">
        <x:v>14</x:v>
      </x:c>
      <x:c r="E809" s="1" t="n">
        <x:f>'Activities'!L738</x:f>
        <x:v>290</x:v>
      </x:c>
      <x:c r="F809" s="1" t="n">
        <x:f>'Activities'!K739</x:f>
        <x:v>461</x:v>
      </x:c>
      <x:c r="G809" s="1" t="n">
        <x:f>F809-E809-D809</x:f>
        <x:v>157</x:v>
      </x:c>
      <x:c r="H809" s="1" t="str">
        <x:v>Explicit working-day lag</x:v>
      </x:c>
    </x:row>
    <x:row r="810" ht="23" customHeight="1">
      <x:c r="A810" s="6" t="str">
        <x:v>T6-GL</x:v>
      </x:c>
      <x:c r="B810" s="6" t="str">
        <x:v>T6-L00-T</x:v>
      </x:c>
      <x:c r="C810" s="6" t="str">
        <x:v>FS</x:v>
      </x:c>
      <x:c r="D810" s="6" t="n">
        <x:v>0</x:v>
      </x:c>
      <x:c r="E810" s="6" t="n">
        <x:f>'Activities'!L735</x:f>
        <x:v>461</x:v>
      </x:c>
      <x:c r="F810" s="6" t="n">
        <x:f>'Activities'!K739</x:f>
        <x:v>461</x:v>
      </x:c>
      <x:c r="G810" s="6" t="n">
        <x:f>F810-E810-D810</x:f>
        <x:v>0</x:v>
      </x:c>
      <x:c r="H810" s="6" t="str">
        <x:v>Explicit working-day lag</x:v>
      </x:c>
    </x:row>
    <x:row r="811" ht="23" customHeight="1">
      <x:c r="A811" s="1" t="str">
        <x:v>T6-L00-T</x:v>
      </x:c>
      <x:c r="B811" s="1" t="str">
        <x:v>T6-L00-A</x:v>
      </x:c>
      <x:c r="C811" s="1" t="str">
        <x:v>FS</x:v>
      </x:c>
      <x:c r="D811" s="1" t="n">
        <x:v>2</x:v>
      </x:c>
      <x:c r="E811" s="1" t="n">
        <x:f>'Activities'!L739</x:f>
        <x:v>467</x:v>
      </x:c>
      <x:c r="F811" s="1" t="n">
        <x:f>'Activities'!K740</x:f>
        <x:v>469</x:v>
      </x:c>
      <x:c r="G811" s="1" t="n">
        <x:f>F811-E811-D811</x:f>
        <x:v>0</x:v>
      </x:c>
      <x:c r="H811" s="1" t="str">
        <x:v>Explicit working-day lag</x:v>
      </x:c>
    </x:row>
    <x:row r="812" ht="23" customHeight="1">
      <x:c r="A812" s="6" t="str">
        <x:v>T6-L00-A</x:v>
      </x:c>
      <x:c r="B812" s="6" t="str">
        <x:v>T6-L00-D</x:v>
      </x:c>
      <x:c r="C812" s="6" t="str">
        <x:v>FS</x:v>
      </x:c>
      <x:c r="D812" s="6" t="n">
        <x:v>0</x:v>
      </x:c>
      <x:c r="E812" s="6" t="n">
        <x:f>'Activities'!L740</x:f>
        <x:v>474</x:v>
      </x:c>
      <x:c r="F812" s="6" t="n">
        <x:f>'Activities'!K741</x:f>
        <x:v>474</x:v>
      </x:c>
      <x:c r="G812" s="6" t="n">
        <x:f>F812-E812-D812</x:f>
        <x:v>0</x:v>
      </x:c>
      <x:c r="H812" s="6" t="str">
        <x:v>Explicit working-day lag</x:v>
      </x:c>
    </x:row>
    <x:row r="813" ht="23" customHeight="1">
      <x:c r="A813" s="1" t="str">
        <x:v>T6-L04-H</x:v>
      </x:c>
      <x:c r="B813" s="1" t="str">
        <x:v>T6-L01-M</x:v>
      </x:c>
      <x:c r="C813" s="1" t="str">
        <x:v>FS</x:v>
      </x:c>
      <x:c r="D813" s="1" t="n">
        <x:v>5</x:v>
      </x:c>
      <x:c r="E813" s="1" t="n">
        <x:f>'Activities'!L700</x:f>
        <x:v>284</x:v>
      </x:c>
      <x:c r="F813" s="1" t="n">
        <x:f>'Activities'!K742</x:f>
        <x:v>289</x:v>
      </x:c>
      <x:c r="G813" s="1" t="n">
        <x:f>F813-E813-D813</x:f>
        <x:v>0</x:v>
      </x:c>
      <x:c r="H813" s="1" t="str">
        <x:v>Explicit working-day lag</x:v>
      </x:c>
    </x:row>
    <x:row r="814" ht="23" customHeight="1">
      <x:c r="A814" s="6" t="str">
        <x:v>T6-L01-M</x:v>
      </x:c>
      <x:c r="B814" s="6" t="str">
        <x:v>T6-L01-P</x:v>
      </x:c>
      <x:c r="C814" s="6" t="str">
        <x:v>FS</x:v>
      </x:c>
      <x:c r="D814" s="6" t="n">
        <x:v>3</x:v>
      </x:c>
      <x:c r="E814" s="6" t="n">
        <x:f>'Activities'!L742</x:f>
        <x:v>294</x:v>
      </x:c>
      <x:c r="F814" s="6" t="n">
        <x:f>'Activities'!K743</x:f>
        <x:v>297</x:v>
      </x:c>
      <x:c r="G814" s="6" t="n">
        <x:f>F814-E814-D814</x:f>
        <x:v>0</x:v>
      </x:c>
      <x:c r="H814" s="6" t="str">
        <x:v>Explicit working-day lag</x:v>
      </x:c>
    </x:row>
    <x:row r="815" ht="23" customHeight="1">
      <x:c r="A815" s="1" t="str">
        <x:v>T6-L01-P</x:v>
      </x:c>
      <x:c r="B815" s="1" t="str">
        <x:v>T6-L01-S</x:v>
      </x:c>
      <x:c r="C815" s="1" t="str">
        <x:v>FS</x:v>
      </x:c>
      <x:c r="D815" s="1" t="n">
        <x:v>2</x:v>
      </x:c>
      <x:c r="E815" s="1" t="n">
        <x:f>'Activities'!L743</x:f>
        <x:v>303</x:v>
      </x:c>
      <x:c r="F815" s="1" t="n">
        <x:f>'Activities'!K744</x:f>
        <x:v>305</x:v>
      </x:c>
      <x:c r="G815" s="1" t="n">
        <x:f>F815-E815-D815</x:f>
        <x:v>0</x:v>
      </x:c>
      <x:c r="H815" s="1" t="str">
        <x:v>Explicit working-day lag</x:v>
      </x:c>
    </x:row>
    <x:row r="816" ht="23" customHeight="1">
      <x:c r="A816" s="6" t="str">
        <x:v>T6-L01-S</x:v>
      </x:c>
      <x:c r="B816" s="6" t="str">
        <x:v>T6-L01-T</x:v>
      </x:c>
      <x:c r="C816" s="6" t="str">
        <x:v>FS</x:v>
      </x:c>
      <x:c r="D816" s="6" t="n">
        <x:v>14</x:v>
      </x:c>
      <x:c r="E816" s="6" t="n">
        <x:f>'Activities'!L744</x:f>
        <x:v>308</x:v>
      </x:c>
      <x:c r="F816" s="6" t="n">
        <x:f>'Activities'!K745</x:f>
        <x:v>461</x:v>
      </x:c>
      <x:c r="G816" s="6" t="n">
        <x:f>F816-E816-D816</x:f>
        <x:v>139</x:v>
      </x:c>
      <x:c r="H816" s="6" t="str">
        <x:v>Explicit working-day lag</x:v>
      </x:c>
    </x:row>
    <x:row r="817" ht="23" customHeight="1">
      <x:c r="A817" s="1" t="str">
        <x:v>T6-GL</x:v>
      </x:c>
      <x:c r="B817" s="1" t="str">
        <x:v>T6-L01-T</x:v>
      </x:c>
      <x:c r="C817" s="1" t="str">
        <x:v>FS</x:v>
      </x:c>
      <x:c r="D817" s="1" t="n">
        <x:v>0</x:v>
      </x:c>
      <x:c r="E817" s="1" t="n">
        <x:f>'Activities'!L735</x:f>
        <x:v>461</x:v>
      </x:c>
      <x:c r="F817" s="1" t="n">
        <x:f>'Activities'!K745</x:f>
        <x:v>461</x:v>
      </x:c>
      <x:c r="G817" s="1" t="n">
        <x:f>F817-E817-D817</x:f>
        <x:v>0</x:v>
      </x:c>
      <x:c r="H817" s="1" t="str">
        <x:v>Explicit working-day lag</x:v>
      </x:c>
    </x:row>
    <x:row r="818" ht="23" customHeight="1">
      <x:c r="A818" s="6" t="str">
        <x:v>T6-L01-T</x:v>
      </x:c>
      <x:c r="B818" s="6" t="str">
        <x:v>T6-L01-A</x:v>
      </x:c>
      <x:c r="C818" s="6" t="str">
        <x:v>FS</x:v>
      </x:c>
      <x:c r="D818" s="6" t="n">
        <x:v>2</x:v>
      </x:c>
      <x:c r="E818" s="6" t="n">
        <x:f>'Activities'!L745</x:f>
        <x:v>467</x:v>
      </x:c>
      <x:c r="F818" s="6" t="n">
        <x:f>'Activities'!K746</x:f>
        <x:v>469</x:v>
      </x:c>
      <x:c r="G818" s="6" t="n">
        <x:f>F818-E818-D818</x:f>
        <x:v>0</x:v>
      </x:c>
      <x:c r="H818" s="6" t="str">
        <x:v>Explicit working-day lag</x:v>
      </x:c>
    </x:row>
    <x:row r="819" ht="23" customHeight="1">
      <x:c r="A819" s="1" t="str">
        <x:v>T6-L01-A</x:v>
      </x:c>
      <x:c r="B819" s="1" t="str">
        <x:v>T6-L01-D</x:v>
      </x:c>
      <x:c r="C819" s="1" t="str">
        <x:v>FS</x:v>
      </x:c>
      <x:c r="D819" s="1" t="n">
        <x:v>0</x:v>
      </x:c>
      <x:c r="E819" s="1" t="n">
        <x:f>'Activities'!L746</x:f>
        <x:v>474</x:v>
      </x:c>
      <x:c r="F819" s="1" t="n">
        <x:f>'Activities'!K747</x:f>
        <x:v>474</x:v>
      </x:c>
      <x:c r="G819" s="1" t="n">
        <x:f>F819-E819-D819</x:f>
        <x:v>0</x:v>
      </x:c>
      <x:c r="H819" s="1" t="str">
        <x:v>Explicit working-day lag</x:v>
      </x:c>
    </x:row>
    <x:row r="820" ht="23" customHeight="1">
      <x:c r="A820" s="6" t="str">
        <x:v>T6-L05-H</x:v>
      </x:c>
      <x:c r="B820" s="6" t="str">
        <x:v>T6-L02-M</x:v>
      </x:c>
      <x:c r="C820" s="6" t="str">
        <x:v>FS</x:v>
      </x:c>
      <x:c r="D820" s="6" t="n">
        <x:v>5</x:v>
      </x:c>
      <x:c r="E820" s="6" t="n">
        <x:f>'Activities'!L704</x:f>
        <x:v>302</x:v>
      </x:c>
      <x:c r="F820" s="6" t="n">
        <x:f>'Activities'!K748</x:f>
        <x:v>307</x:v>
      </x:c>
      <x:c r="G820" s="6" t="n">
        <x:f>F820-E820-D820</x:f>
        <x:v>0</x:v>
      </x:c>
      <x:c r="H820" s="6" t="str">
        <x:v>Explicit working-day lag</x:v>
      </x:c>
    </x:row>
    <x:row r="821" ht="23" customHeight="1">
      <x:c r="A821" s="1" t="str">
        <x:v>T6-L02-M</x:v>
      </x:c>
      <x:c r="B821" s="1" t="str">
        <x:v>T6-L02-P</x:v>
      </x:c>
      <x:c r="C821" s="1" t="str">
        <x:v>FS</x:v>
      </x:c>
      <x:c r="D821" s="1" t="n">
        <x:v>3</x:v>
      </x:c>
      <x:c r="E821" s="1" t="n">
        <x:f>'Activities'!L748</x:f>
        <x:v>312</x:v>
      </x:c>
      <x:c r="F821" s="1" t="n">
        <x:f>'Activities'!K749</x:f>
        <x:v>315</x:v>
      </x:c>
      <x:c r="G821" s="1" t="n">
        <x:f>F821-E821-D821</x:f>
        <x:v>0</x:v>
      </x:c>
      <x:c r="H821" s="1" t="str">
        <x:v>Explicit working-day lag</x:v>
      </x:c>
    </x:row>
    <x:row r="822" ht="23" customHeight="1">
      <x:c r="A822" s="6" t="str">
        <x:v>T6-L02-P</x:v>
      </x:c>
      <x:c r="B822" s="6" t="str">
        <x:v>T6-L02-S</x:v>
      </x:c>
      <x:c r="C822" s="6" t="str">
        <x:v>FS</x:v>
      </x:c>
      <x:c r="D822" s="6" t="n">
        <x:v>2</x:v>
      </x:c>
      <x:c r="E822" s="6" t="n">
        <x:f>'Activities'!L749</x:f>
        <x:v>321</x:v>
      </x:c>
      <x:c r="F822" s="6" t="n">
        <x:f>'Activities'!K750</x:f>
        <x:v>323</x:v>
      </x:c>
      <x:c r="G822" s="6" t="n">
        <x:f>F822-E822-D822</x:f>
        <x:v>0</x:v>
      </x:c>
      <x:c r="H822" s="6" t="str">
        <x:v>Explicit working-day lag</x:v>
      </x:c>
    </x:row>
    <x:row r="823" ht="23" customHeight="1">
      <x:c r="A823" s="1" t="str">
        <x:v>T6-L02-S</x:v>
      </x:c>
      <x:c r="B823" s="1" t="str">
        <x:v>T6-L02-T</x:v>
      </x:c>
      <x:c r="C823" s="1" t="str">
        <x:v>FS</x:v>
      </x:c>
      <x:c r="D823" s="1" t="n">
        <x:v>14</x:v>
      </x:c>
      <x:c r="E823" s="1" t="n">
        <x:f>'Activities'!L750</x:f>
        <x:v>326</x:v>
      </x:c>
      <x:c r="F823" s="1" t="n">
        <x:f>'Activities'!K751</x:f>
        <x:v>461</x:v>
      </x:c>
      <x:c r="G823" s="1" t="n">
        <x:f>F823-E823-D823</x:f>
        <x:v>121</x:v>
      </x:c>
      <x:c r="H823" s="1" t="str">
        <x:v>Explicit working-day lag</x:v>
      </x:c>
    </x:row>
    <x:row r="824" ht="23" customHeight="1">
      <x:c r="A824" s="6" t="str">
        <x:v>T6-GL</x:v>
      </x:c>
      <x:c r="B824" s="6" t="str">
        <x:v>T6-L02-T</x:v>
      </x:c>
      <x:c r="C824" s="6" t="str">
        <x:v>FS</x:v>
      </x:c>
      <x:c r="D824" s="6" t="n">
        <x:v>0</x:v>
      </x:c>
      <x:c r="E824" s="6" t="n">
        <x:f>'Activities'!L735</x:f>
        <x:v>461</x:v>
      </x:c>
      <x:c r="F824" s="6" t="n">
        <x:f>'Activities'!K751</x:f>
        <x:v>461</x:v>
      </x:c>
      <x:c r="G824" s="6" t="n">
        <x:f>F824-E824-D824</x:f>
        <x:v>0</x:v>
      </x:c>
      <x:c r="H824" s="6" t="str">
        <x:v>Explicit working-day lag</x:v>
      </x:c>
    </x:row>
    <x:row r="825" ht="23" customHeight="1">
      <x:c r="A825" s="1" t="str">
        <x:v>T6-L02-T</x:v>
      </x:c>
      <x:c r="B825" s="1" t="str">
        <x:v>T6-L02-A</x:v>
      </x:c>
      <x:c r="C825" s="1" t="str">
        <x:v>FS</x:v>
      </x:c>
      <x:c r="D825" s="1" t="n">
        <x:v>2</x:v>
      </x:c>
      <x:c r="E825" s="1" t="n">
        <x:f>'Activities'!L751</x:f>
        <x:v>467</x:v>
      </x:c>
      <x:c r="F825" s="1" t="n">
        <x:f>'Activities'!K752</x:f>
        <x:v>469</x:v>
      </x:c>
      <x:c r="G825" s="1" t="n">
        <x:f>F825-E825-D825</x:f>
        <x:v>0</x:v>
      </x:c>
      <x:c r="H825" s="1" t="str">
        <x:v>Explicit working-day lag</x:v>
      </x:c>
    </x:row>
    <x:row r="826" ht="23" customHeight="1">
      <x:c r="A826" s="6" t="str">
        <x:v>T6-L02-A</x:v>
      </x:c>
      <x:c r="B826" s="6" t="str">
        <x:v>T6-L02-D</x:v>
      </x:c>
      <x:c r="C826" s="6" t="str">
        <x:v>FS</x:v>
      </x:c>
      <x:c r="D826" s="6" t="n">
        <x:v>0</x:v>
      </x:c>
      <x:c r="E826" s="6" t="n">
        <x:f>'Activities'!L752</x:f>
        <x:v>474</x:v>
      </x:c>
      <x:c r="F826" s="6" t="n">
        <x:f>'Activities'!K753</x:f>
        <x:v>474</x:v>
      </x:c>
      <x:c r="G826" s="6" t="n">
        <x:f>F826-E826-D826</x:f>
        <x:v>0</x:v>
      </x:c>
      <x:c r="H826" s="6" t="str">
        <x:v>Explicit working-day lag</x:v>
      </x:c>
    </x:row>
    <x:row r="827" ht="23" customHeight="1">
      <x:c r="A827" s="1" t="str">
        <x:v>T6-L06-H</x:v>
      </x:c>
      <x:c r="B827" s="1" t="str">
        <x:v>T6-L03-M</x:v>
      </x:c>
      <x:c r="C827" s="1" t="str">
        <x:v>FS</x:v>
      </x:c>
      <x:c r="D827" s="1" t="n">
        <x:v>5</x:v>
      </x:c>
      <x:c r="E827" s="1" t="n">
        <x:f>'Activities'!L708</x:f>
        <x:v>320</x:v>
      </x:c>
      <x:c r="F827" s="1" t="n">
        <x:f>'Activities'!K754</x:f>
        <x:v>325</x:v>
      </x:c>
      <x:c r="G827" s="1" t="n">
        <x:f>F827-E827-D827</x:f>
        <x:v>0</x:v>
      </x:c>
      <x:c r="H827" s="1" t="str">
        <x:v>Explicit working-day lag</x:v>
      </x:c>
    </x:row>
    <x:row r="828" ht="23" customHeight="1">
      <x:c r="A828" s="6" t="str">
        <x:v>T6-L03-M</x:v>
      </x:c>
      <x:c r="B828" s="6" t="str">
        <x:v>T6-L03-P</x:v>
      </x:c>
      <x:c r="C828" s="6" t="str">
        <x:v>FS</x:v>
      </x:c>
      <x:c r="D828" s="6" t="n">
        <x:v>3</x:v>
      </x:c>
      <x:c r="E828" s="6" t="n">
        <x:f>'Activities'!L754</x:f>
        <x:v>330</x:v>
      </x:c>
      <x:c r="F828" s="6" t="n">
        <x:f>'Activities'!K755</x:f>
        <x:v>333</x:v>
      </x:c>
      <x:c r="G828" s="6" t="n">
        <x:f>F828-E828-D828</x:f>
        <x:v>0</x:v>
      </x:c>
      <x:c r="H828" s="6" t="str">
        <x:v>Explicit working-day lag</x:v>
      </x:c>
    </x:row>
    <x:row r="829" ht="23" customHeight="1">
      <x:c r="A829" s="1" t="str">
        <x:v>T6-L03-P</x:v>
      </x:c>
      <x:c r="B829" s="1" t="str">
        <x:v>T6-L03-S</x:v>
      </x:c>
      <x:c r="C829" s="1" t="str">
        <x:v>FS</x:v>
      </x:c>
      <x:c r="D829" s="1" t="n">
        <x:v>2</x:v>
      </x:c>
      <x:c r="E829" s="1" t="n">
        <x:f>'Activities'!L755</x:f>
        <x:v>339</x:v>
      </x:c>
      <x:c r="F829" s="1" t="n">
        <x:f>'Activities'!K756</x:f>
        <x:v>341</x:v>
      </x:c>
      <x:c r="G829" s="1" t="n">
        <x:f>F829-E829-D829</x:f>
        <x:v>0</x:v>
      </x:c>
      <x:c r="H829" s="1" t="str">
        <x:v>Explicit working-day lag</x:v>
      </x:c>
    </x:row>
    <x:row r="830" ht="23" customHeight="1">
      <x:c r="A830" s="6" t="str">
        <x:v>T6-L03-S</x:v>
      </x:c>
      <x:c r="B830" s="6" t="str">
        <x:v>T6-L03-T</x:v>
      </x:c>
      <x:c r="C830" s="6" t="str">
        <x:v>FS</x:v>
      </x:c>
      <x:c r="D830" s="6" t="n">
        <x:v>14</x:v>
      </x:c>
      <x:c r="E830" s="6" t="n">
        <x:f>'Activities'!L756</x:f>
        <x:v>344</x:v>
      </x:c>
      <x:c r="F830" s="6" t="n">
        <x:f>'Activities'!K757</x:f>
        <x:v>461</x:v>
      </x:c>
      <x:c r="G830" s="6" t="n">
        <x:f>F830-E830-D830</x:f>
        <x:v>103</x:v>
      </x:c>
      <x:c r="H830" s="6" t="str">
        <x:v>Explicit working-day lag</x:v>
      </x:c>
    </x:row>
    <x:row r="831" ht="23" customHeight="1">
      <x:c r="A831" s="1" t="str">
        <x:v>T6-GL</x:v>
      </x:c>
      <x:c r="B831" s="1" t="str">
        <x:v>T6-L03-T</x:v>
      </x:c>
      <x:c r="C831" s="1" t="str">
        <x:v>FS</x:v>
      </x:c>
      <x:c r="D831" s="1" t="n">
        <x:v>0</x:v>
      </x:c>
      <x:c r="E831" s="1" t="n">
        <x:f>'Activities'!L735</x:f>
        <x:v>461</x:v>
      </x:c>
      <x:c r="F831" s="1" t="n">
        <x:f>'Activities'!K757</x:f>
        <x:v>461</x:v>
      </x:c>
      <x:c r="G831" s="1" t="n">
        <x:f>F831-E831-D831</x:f>
        <x:v>0</x:v>
      </x:c>
      <x:c r="H831" s="1" t="str">
        <x:v>Explicit working-day lag</x:v>
      </x:c>
    </x:row>
    <x:row r="832" ht="23" customHeight="1">
      <x:c r="A832" s="6" t="str">
        <x:v>T6-L03-T</x:v>
      </x:c>
      <x:c r="B832" s="6" t="str">
        <x:v>T6-L03-A</x:v>
      </x:c>
      <x:c r="C832" s="6" t="str">
        <x:v>FS</x:v>
      </x:c>
      <x:c r="D832" s="6" t="n">
        <x:v>2</x:v>
      </x:c>
      <x:c r="E832" s="6" t="n">
        <x:f>'Activities'!L757</x:f>
        <x:v>467</x:v>
      </x:c>
      <x:c r="F832" s="6" t="n">
        <x:f>'Activities'!K758</x:f>
        <x:v>469</x:v>
      </x:c>
      <x:c r="G832" s="6" t="n">
        <x:f>F832-E832-D832</x:f>
        <x:v>0</x:v>
      </x:c>
      <x:c r="H832" s="6" t="str">
        <x:v>Explicit working-day lag</x:v>
      </x:c>
    </x:row>
    <x:row r="833" ht="23" customHeight="1">
      <x:c r="A833" s="1" t="str">
        <x:v>T6-L03-A</x:v>
      </x:c>
      <x:c r="B833" s="1" t="str">
        <x:v>T6-L03-D</x:v>
      </x:c>
      <x:c r="C833" s="1" t="str">
        <x:v>FS</x:v>
      </x:c>
      <x:c r="D833" s="1" t="n">
        <x:v>0</x:v>
      </x:c>
      <x:c r="E833" s="1" t="n">
        <x:f>'Activities'!L758</x:f>
        <x:v>474</x:v>
      </x:c>
      <x:c r="F833" s="1" t="n">
        <x:f>'Activities'!K759</x:f>
        <x:v>474</x:v>
      </x:c>
      <x:c r="G833" s="1" t="n">
        <x:f>F833-E833-D833</x:f>
        <x:v>0</x:v>
      </x:c>
      <x:c r="H833" s="1" t="str">
        <x:v>Explicit working-day lag</x:v>
      </x:c>
    </x:row>
    <x:row r="834" ht="23" customHeight="1">
      <x:c r="A834" s="6" t="str">
        <x:v>T6-L07-H</x:v>
      </x:c>
      <x:c r="B834" s="6" t="str">
        <x:v>T6-L04-M</x:v>
      </x:c>
      <x:c r="C834" s="6" t="str">
        <x:v>FS</x:v>
      </x:c>
      <x:c r="D834" s="6" t="n">
        <x:v>5</x:v>
      </x:c>
      <x:c r="E834" s="6" t="n">
        <x:f>'Activities'!L712</x:f>
        <x:v>338</x:v>
      </x:c>
      <x:c r="F834" s="6" t="n">
        <x:f>'Activities'!K760</x:f>
        <x:v>343</x:v>
      </x:c>
      <x:c r="G834" s="6" t="n">
        <x:f>F834-E834-D834</x:f>
        <x:v>0</x:v>
      </x:c>
      <x:c r="H834" s="6" t="str">
        <x:v>Explicit working-day lag</x:v>
      </x:c>
    </x:row>
    <x:row r="835" ht="23" customHeight="1">
      <x:c r="A835" s="1" t="str">
        <x:v>T6-L04-M</x:v>
      </x:c>
      <x:c r="B835" s="1" t="str">
        <x:v>T6-L04-P</x:v>
      </x:c>
      <x:c r="C835" s="1" t="str">
        <x:v>FS</x:v>
      </x:c>
      <x:c r="D835" s="1" t="n">
        <x:v>3</x:v>
      </x:c>
      <x:c r="E835" s="1" t="n">
        <x:f>'Activities'!L760</x:f>
        <x:v>348</x:v>
      </x:c>
      <x:c r="F835" s="1" t="n">
        <x:f>'Activities'!K761</x:f>
        <x:v>351</x:v>
      </x:c>
      <x:c r="G835" s="1" t="n">
        <x:f>F835-E835-D835</x:f>
        <x:v>0</x:v>
      </x:c>
      <x:c r="H835" s="1" t="str">
        <x:v>Explicit working-day lag</x:v>
      </x:c>
    </x:row>
    <x:row r="836" ht="23" customHeight="1">
      <x:c r="A836" s="6" t="str">
        <x:v>T6-L04-P</x:v>
      </x:c>
      <x:c r="B836" s="6" t="str">
        <x:v>T6-L04-S</x:v>
      </x:c>
      <x:c r="C836" s="6" t="str">
        <x:v>FS</x:v>
      </x:c>
      <x:c r="D836" s="6" t="n">
        <x:v>2</x:v>
      </x:c>
      <x:c r="E836" s="6" t="n">
        <x:f>'Activities'!L761</x:f>
        <x:v>357</x:v>
      </x:c>
      <x:c r="F836" s="6" t="n">
        <x:f>'Activities'!K762</x:f>
        <x:v>359</x:v>
      </x:c>
      <x:c r="G836" s="6" t="n">
        <x:f>F836-E836-D836</x:f>
        <x:v>0</x:v>
      </x:c>
      <x:c r="H836" s="6" t="str">
        <x:v>Explicit working-day lag</x:v>
      </x:c>
    </x:row>
    <x:row r="837" ht="23" customHeight="1">
      <x:c r="A837" s="1" t="str">
        <x:v>T6-L04-S</x:v>
      </x:c>
      <x:c r="B837" s="1" t="str">
        <x:v>T6-L04-T</x:v>
      </x:c>
      <x:c r="C837" s="1" t="str">
        <x:v>FS</x:v>
      </x:c>
      <x:c r="D837" s="1" t="n">
        <x:v>14</x:v>
      </x:c>
      <x:c r="E837" s="1" t="n">
        <x:f>'Activities'!L762</x:f>
        <x:v>362</x:v>
      </x:c>
      <x:c r="F837" s="1" t="n">
        <x:f>'Activities'!K763</x:f>
        <x:v>461</x:v>
      </x:c>
      <x:c r="G837" s="1" t="n">
        <x:f>F837-E837-D837</x:f>
        <x:v>85</x:v>
      </x:c>
      <x:c r="H837" s="1" t="str">
        <x:v>Explicit working-day lag</x:v>
      </x:c>
    </x:row>
    <x:row r="838" ht="23" customHeight="1">
      <x:c r="A838" s="6" t="str">
        <x:v>T6-GL</x:v>
      </x:c>
      <x:c r="B838" s="6" t="str">
        <x:v>T6-L04-T</x:v>
      </x:c>
      <x:c r="C838" s="6" t="str">
        <x:v>FS</x:v>
      </x:c>
      <x:c r="D838" s="6" t="n">
        <x:v>0</x:v>
      </x:c>
      <x:c r="E838" s="6" t="n">
        <x:f>'Activities'!L735</x:f>
        <x:v>461</x:v>
      </x:c>
      <x:c r="F838" s="6" t="n">
        <x:f>'Activities'!K763</x:f>
        <x:v>461</x:v>
      </x:c>
      <x:c r="G838" s="6" t="n">
        <x:f>F838-E838-D838</x:f>
        <x:v>0</x:v>
      </x:c>
      <x:c r="H838" s="6" t="str">
        <x:v>Explicit working-day lag</x:v>
      </x:c>
    </x:row>
    <x:row r="839" ht="23" customHeight="1">
      <x:c r="A839" s="1" t="str">
        <x:v>T6-L04-T</x:v>
      </x:c>
      <x:c r="B839" s="1" t="str">
        <x:v>T6-L04-A</x:v>
      </x:c>
      <x:c r="C839" s="1" t="str">
        <x:v>FS</x:v>
      </x:c>
      <x:c r="D839" s="1" t="n">
        <x:v>2</x:v>
      </x:c>
      <x:c r="E839" s="1" t="n">
        <x:f>'Activities'!L763</x:f>
        <x:v>467</x:v>
      </x:c>
      <x:c r="F839" s="1" t="n">
        <x:f>'Activities'!K764</x:f>
        <x:v>469</x:v>
      </x:c>
      <x:c r="G839" s="1" t="n">
        <x:f>F839-E839-D839</x:f>
        <x:v>0</x:v>
      </x:c>
      <x:c r="H839" s="1" t="str">
        <x:v>Explicit working-day lag</x:v>
      </x:c>
    </x:row>
    <x:row r="840" ht="23" customHeight="1">
      <x:c r="A840" s="6" t="str">
        <x:v>T6-L04-A</x:v>
      </x:c>
      <x:c r="B840" s="6" t="str">
        <x:v>T6-L04-D</x:v>
      </x:c>
      <x:c r="C840" s="6" t="str">
        <x:v>FS</x:v>
      </x:c>
      <x:c r="D840" s="6" t="n">
        <x:v>0</x:v>
      </x:c>
      <x:c r="E840" s="6" t="n">
        <x:f>'Activities'!L764</x:f>
        <x:v>474</x:v>
      </x:c>
      <x:c r="F840" s="6" t="n">
        <x:f>'Activities'!K765</x:f>
        <x:v>474</x:v>
      </x:c>
      <x:c r="G840" s="6" t="n">
        <x:f>F840-E840-D840</x:f>
        <x:v>0</x:v>
      </x:c>
      <x:c r="H840" s="6" t="str">
        <x:v>Explicit working-day lag</x:v>
      </x:c>
    </x:row>
    <x:row r="841" ht="23" customHeight="1">
      <x:c r="A841" s="1" t="str">
        <x:v>T6-L08-H</x:v>
      </x:c>
      <x:c r="B841" s="1" t="str">
        <x:v>T6-L05-M</x:v>
      </x:c>
      <x:c r="C841" s="1" t="str">
        <x:v>FS</x:v>
      </x:c>
      <x:c r="D841" s="1" t="n">
        <x:v>5</x:v>
      </x:c>
      <x:c r="E841" s="1" t="n">
        <x:f>'Activities'!L716</x:f>
        <x:v>356</x:v>
      </x:c>
      <x:c r="F841" s="1" t="n">
        <x:f>'Activities'!K766</x:f>
        <x:v>361</x:v>
      </x:c>
      <x:c r="G841" s="1" t="n">
        <x:f>F841-E841-D841</x:f>
        <x:v>0</x:v>
      </x:c>
      <x:c r="H841" s="1" t="str">
        <x:v>Explicit working-day lag</x:v>
      </x:c>
    </x:row>
    <x:row r="842" ht="23" customHeight="1">
      <x:c r="A842" s="6" t="str">
        <x:v>T6-L05-M</x:v>
      </x:c>
      <x:c r="B842" s="6" t="str">
        <x:v>T6-L05-P</x:v>
      </x:c>
      <x:c r="C842" s="6" t="str">
        <x:v>FS</x:v>
      </x:c>
      <x:c r="D842" s="6" t="n">
        <x:v>3</x:v>
      </x:c>
      <x:c r="E842" s="6" t="n">
        <x:f>'Activities'!L766</x:f>
        <x:v>366</x:v>
      </x:c>
      <x:c r="F842" s="6" t="n">
        <x:f>'Activities'!K767</x:f>
        <x:v>369</x:v>
      </x:c>
      <x:c r="G842" s="6" t="n">
        <x:f>F842-E842-D842</x:f>
        <x:v>0</x:v>
      </x:c>
      <x:c r="H842" s="6" t="str">
        <x:v>Explicit working-day lag</x:v>
      </x:c>
    </x:row>
    <x:row r="843" ht="23" customHeight="1">
      <x:c r="A843" s="1" t="str">
        <x:v>T6-L05-P</x:v>
      </x:c>
      <x:c r="B843" s="1" t="str">
        <x:v>T6-L05-S</x:v>
      </x:c>
      <x:c r="C843" s="1" t="str">
        <x:v>FS</x:v>
      </x:c>
      <x:c r="D843" s="1" t="n">
        <x:v>2</x:v>
      </x:c>
      <x:c r="E843" s="1" t="n">
        <x:f>'Activities'!L767</x:f>
        <x:v>375</x:v>
      </x:c>
      <x:c r="F843" s="1" t="n">
        <x:f>'Activities'!K768</x:f>
        <x:v>377</x:v>
      </x:c>
      <x:c r="G843" s="1" t="n">
        <x:f>F843-E843-D843</x:f>
        <x:v>0</x:v>
      </x:c>
      <x:c r="H843" s="1" t="str">
        <x:v>Explicit working-day lag</x:v>
      </x:c>
    </x:row>
    <x:row r="844" ht="23" customHeight="1">
      <x:c r="A844" s="6" t="str">
        <x:v>T6-L05-S</x:v>
      </x:c>
      <x:c r="B844" s="6" t="str">
        <x:v>T6-L05-T</x:v>
      </x:c>
      <x:c r="C844" s="6" t="str">
        <x:v>FS</x:v>
      </x:c>
      <x:c r="D844" s="6" t="n">
        <x:v>14</x:v>
      </x:c>
      <x:c r="E844" s="6" t="n">
        <x:f>'Activities'!L768</x:f>
        <x:v>380</x:v>
      </x:c>
      <x:c r="F844" s="6" t="n">
        <x:f>'Activities'!K769</x:f>
        <x:v>461</x:v>
      </x:c>
      <x:c r="G844" s="6" t="n">
        <x:f>F844-E844-D844</x:f>
        <x:v>67</x:v>
      </x:c>
      <x:c r="H844" s="6" t="str">
        <x:v>Explicit working-day lag</x:v>
      </x:c>
    </x:row>
    <x:row r="845" ht="23" customHeight="1">
      <x:c r="A845" s="1" t="str">
        <x:v>T6-GL</x:v>
      </x:c>
      <x:c r="B845" s="1" t="str">
        <x:v>T6-L05-T</x:v>
      </x:c>
      <x:c r="C845" s="1" t="str">
        <x:v>FS</x:v>
      </x:c>
      <x:c r="D845" s="1" t="n">
        <x:v>0</x:v>
      </x:c>
      <x:c r="E845" s="1" t="n">
        <x:f>'Activities'!L735</x:f>
        <x:v>461</x:v>
      </x:c>
      <x:c r="F845" s="1" t="n">
        <x:f>'Activities'!K769</x:f>
        <x:v>461</x:v>
      </x:c>
      <x:c r="G845" s="1" t="n">
        <x:f>F845-E845-D845</x:f>
        <x:v>0</x:v>
      </x:c>
      <x:c r="H845" s="1" t="str">
        <x:v>Explicit working-day lag</x:v>
      </x:c>
    </x:row>
    <x:row r="846" ht="23" customHeight="1">
      <x:c r="A846" s="6" t="str">
        <x:v>T6-L05-T</x:v>
      </x:c>
      <x:c r="B846" s="6" t="str">
        <x:v>T6-L05-A</x:v>
      </x:c>
      <x:c r="C846" s="6" t="str">
        <x:v>FS</x:v>
      </x:c>
      <x:c r="D846" s="6" t="n">
        <x:v>2</x:v>
      </x:c>
      <x:c r="E846" s="6" t="n">
        <x:f>'Activities'!L769</x:f>
        <x:v>467</x:v>
      </x:c>
      <x:c r="F846" s="6" t="n">
        <x:f>'Activities'!K770</x:f>
        <x:v>469</x:v>
      </x:c>
      <x:c r="G846" s="6" t="n">
        <x:f>F846-E846-D846</x:f>
        <x:v>0</x:v>
      </x:c>
      <x:c r="H846" s="6" t="str">
        <x:v>Explicit working-day lag</x:v>
      </x:c>
    </x:row>
    <x:row r="847" ht="23" customHeight="1">
      <x:c r="A847" s="1" t="str">
        <x:v>T6-L05-A</x:v>
      </x:c>
      <x:c r="B847" s="1" t="str">
        <x:v>T6-L05-D</x:v>
      </x:c>
      <x:c r="C847" s="1" t="str">
        <x:v>FS</x:v>
      </x:c>
      <x:c r="D847" s="1" t="n">
        <x:v>0</x:v>
      </x:c>
      <x:c r="E847" s="1" t="n">
        <x:f>'Activities'!L770</x:f>
        <x:v>474</x:v>
      </x:c>
      <x:c r="F847" s="1" t="n">
        <x:f>'Activities'!K771</x:f>
        <x:v>474</x:v>
      </x:c>
      <x:c r="G847" s="1" t="n">
        <x:f>F847-E847-D847</x:f>
        <x:v>0</x:v>
      </x:c>
      <x:c r="H847" s="1" t="str">
        <x:v>Explicit working-day lag</x:v>
      </x:c>
    </x:row>
    <x:row r="848" ht="23" customHeight="1">
      <x:c r="A848" s="6" t="str">
        <x:v>T6-L09-H</x:v>
      </x:c>
      <x:c r="B848" s="6" t="str">
        <x:v>T6-L06-M</x:v>
      </x:c>
      <x:c r="C848" s="6" t="str">
        <x:v>FS</x:v>
      </x:c>
      <x:c r="D848" s="6" t="n">
        <x:v>5</x:v>
      </x:c>
      <x:c r="E848" s="6" t="n">
        <x:f>'Activities'!L720</x:f>
        <x:v>374</x:v>
      </x:c>
      <x:c r="F848" s="6" t="n">
        <x:f>'Activities'!K772</x:f>
        <x:v>379</x:v>
      </x:c>
      <x:c r="G848" s="6" t="n">
        <x:f>F848-E848-D848</x:f>
        <x:v>0</x:v>
      </x:c>
      <x:c r="H848" s="6" t="str">
        <x:v>Explicit working-day lag</x:v>
      </x:c>
    </x:row>
    <x:row r="849" ht="23" customHeight="1">
      <x:c r="A849" s="1" t="str">
        <x:v>T6-L06-M</x:v>
      </x:c>
      <x:c r="B849" s="1" t="str">
        <x:v>T6-L06-P</x:v>
      </x:c>
      <x:c r="C849" s="1" t="str">
        <x:v>FS</x:v>
      </x:c>
      <x:c r="D849" s="1" t="n">
        <x:v>3</x:v>
      </x:c>
      <x:c r="E849" s="1" t="n">
        <x:f>'Activities'!L772</x:f>
        <x:v>384</x:v>
      </x:c>
      <x:c r="F849" s="1" t="n">
        <x:f>'Activities'!K773</x:f>
        <x:v>387</x:v>
      </x:c>
      <x:c r="G849" s="1" t="n">
        <x:f>F849-E849-D849</x:f>
        <x:v>0</x:v>
      </x:c>
      <x:c r="H849" s="1" t="str">
        <x:v>Explicit working-day lag</x:v>
      </x:c>
    </x:row>
    <x:row r="850" ht="23" customHeight="1">
      <x:c r="A850" s="6" t="str">
        <x:v>T6-L06-P</x:v>
      </x:c>
      <x:c r="B850" s="6" t="str">
        <x:v>T6-L06-S</x:v>
      </x:c>
      <x:c r="C850" s="6" t="str">
        <x:v>FS</x:v>
      </x:c>
      <x:c r="D850" s="6" t="n">
        <x:v>2</x:v>
      </x:c>
      <x:c r="E850" s="6" t="n">
        <x:f>'Activities'!L773</x:f>
        <x:v>393</x:v>
      </x:c>
      <x:c r="F850" s="6" t="n">
        <x:f>'Activities'!K774</x:f>
        <x:v>395</x:v>
      </x:c>
      <x:c r="G850" s="6" t="n">
        <x:f>F850-E850-D850</x:f>
        <x:v>0</x:v>
      </x:c>
      <x:c r="H850" s="6" t="str">
        <x:v>Explicit working-day lag</x:v>
      </x:c>
    </x:row>
    <x:row r="851" ht="23" customHeight="1">
      <x:c r="A851" s="1" t="str">
        <x:v>T6-L06-S</x:v>
      </x:c>
      <x:c r="B851" s="1" t="str">
        <x:v>T6-L06-T</x:v>
      </x:c>
      <x:c r="C851" s="1" t="str">
        <x:v>FS</x:v>
      </x:c>
      <x:c r="D851" s="1" t="n">
        <x:v>14</x:v>
      </x:c>
      <x:c r="E851" s="1" t="n">
        <x:f>'Activities'!L774</x:f>
        <x:v>398</x:v>
      </x:c>
      <x:c r="F851" s="1" t="n">
        <x:f>'Activities'!K775</x:f>
        <x:v>461</x:v>
      </x:c>
      <x:c r="G851" s="1" t="n">
        <x:f>F851-E851-D851</x:f>
        <x:v>49</x:v>
      </x:c>
      <x:c r="H851" s="1" t="str">
        <x:v>Explicit working-day lag</x:v>
      </x:c>
    </x:row>
    <x:row r="852" ht="23" customHeight="1">
      <x:c r="A852" s="6" t="str">
        <x:v>T6-GL</x:v>
      </x:c>
      <x:c r="B852" s="6" t="str">
        <x:v>T6-L06-T</x:v>
      </x:c>
      <x:c r="C852" s="6" t="str">
        <x:v>FS</x:v>
      </x:c>
      <x:c r="D852" s="6" t="n">
        <x:v>0</x:v>
      </x:c>
      <x:c r="E852" s="6" t="n">
        <x:f>'Activities'!L735</x:f>
        <x:v>461</x:v>
      </x:c>
      <x:c r="F852" s="6" t="n">
        <x:f>'Activities'!K775</x:f>
        <x:v>461</x:v>
      </x:c>
      <x:c r="G852" s="6" t="n">
        <x:f>F852-E852-D852</x:f>
        <x:v>0</x:v>
      </x:c>
      <x:c r="H852" s="6" t="str">
        <x:v>Explicit working-day lag</x:v>
      </x:c>
    </x:row>
    <x:row r="853" ht="23" customHeight="1">
      <x:c r="A853" s="1" t="str">
        <x:v>T6-L06-T</x:v>
      </x:c>
      <x:c r="B853" s="1" t="str">
        <x:v>T6-L06-A</x:v>
      </x:c>
      <x:c r="C853" s="1" t="str">
        <x:v>FS</x:v>
      </x:c>
      <x:c r="D853" s="1" t="n">
        <x:v>2</x:v>
      </x:c>
      <x:c r="E853" s="1" t="n">
        <x:f>'Activities'!L775</x:f>
        <x:v>467</x:v>
      </x:c>
      <x:c r="F853" s="1" t="n">
        <x:f>'Activities'!K776</x:f>
        <x:v>469</x:v>
      </x:c>
      <x:c r="G853" s="1" t="n">
        <x:f>F853-E853-D853</x:f>
        <x:v>0</x:v>
      </x:c>
      <x:c r="H853" s="1" t="str">
        <x:v>Explicit working-day lag</x:v>
      </x:c>
    </x:row>
    <x:row r="854" ht="23" customHeight="1">
      <x:c r="A854" s="6" t="str">
        <x:v>T6-L06-A</x:v>
      </x:c>
      <x:c r="B854" s="6" t="str">
        <x:v>T6-L06-D</x:v>
      </x:c>
      <x:c r="C854" s="6" t="str">
        <x:v>FS</x:v>
      </x:c>
      <x:c r="D854" s="6" t="n">
        <x:v>0</x:v>
      </x:c>
      <x:c r="E854" s="6" t="n">
        <x:f>'Activities'!L776</x:f>
        <x:v>474</x:v>
      </x:c>
      <x:c r="F854" s="6" t="n">
        <x:f>'Activities'!K777</x:f>
        <x:v>474</x:v>
      </x:c>
      <x:c r="G854" s="6" t="n">
        <x:f>F854-E854-D854</x:f>
        <x:v>0</x:v>
      </x:c>
      <x:c r="H854" s="6" t="str">
        <x:v>Explicit working-day lag</x:v>
      </x:c>
    </x:row>
    <x:row r="855" ht="23" customHeight="1">
      <x:c r="A855" s="1" t="str">
        <x:v>T6-L10-H</x:v>
      </x:c>
      <x:c r="B855" s="1" t="str">
        <x:v>T6-L07-M</x:v>
      </x:c>
      <x:c r="C855" s="1" t="str">
        <x:v>FS</x:v>
      </x:c>
      <x:c r="D855" s="1" t="n">
        <x:v>5</x:v>
      </x:c>
      <x:c r="E855" s="1" t="n">
        <x:f>'Activities'!L724</x:f>
        <x:v>392</x:v>
      </x:c>
      <x:c r="F855" s="1" t="n">
        <x:f>'Activities'!K778</x:f>
        <x:v>397</x:v>
      </x:c>
      <x:c r="G855" s="1" t="n">
        <x:f>F855-E855-D855</x:f>
        <x:v>0</x:v>
      </x:c>
      <x:c r="H855" s="1" t="str">
        <x:v>Explicit working-day lag</x:v>
      </x:c>
    </x:row>
    <x:row r="856" ht="23" customHeight="1">
      <x:c r="A856" s="6" t="str">
        <x:v>T6-L07-M</x:v>
      </x:c>
      <x:c r="B856" s="6" t="str">
        <x:v>T6-L07-P</x:v>
      </x:c>
      <x:c r="C856" s="6" t="str">
        <x:v>FS</x:v>
      </x:c>
      <x:c r="D856" s="6" t="n">
        <x:v>3</x:v>
      </x:c>
      <x:c r="E856" s="6" t="n">
        <x:f>'Activities'!L778</x:f>
        <x:v>402</x:v>
      </x:c>
      <x:c r="F856" s="6" t="n">
        <x:f>'Activities'!K779</x:f>
        <x:v>405</x:v>
      </x:c>
      <x:c r="G856" s="6" t="n">
        <x:f>F856-E856-D856</x:f>
        <x:v>0</x:v>
      </x:c>
      <x:c r="H856" s="6" t="str">
        <x:v>Explicit working-day lag</x:v>
      </x:c>
    </x:row>
    <x:row r="857" ht="23" customHeight="1">
      <x:c r="A857" s="1" t="str">
        <x:v>T6-L07-P</x:v>
      </x:c>
      <x:c r="B857" s="1" t="str">
        <x:v>T6-L07-S</x:v>
      </x:c>
      <x:c r="C857" s="1" t="str">
        <x:v>FS</x:v>
      </x:c>
      <x:c r="D857" s="1" t="n">
        <x:v>2</x:v>
      </x:c>
      <x:c r="E857" s="1" t="n">
        <x:f>'Activities'!L779</x:f>
        <x:v>411</x:v>
      </x:c>
      <x:c r="F857" s="1" t="n">
        <x:f>'Activities'!K780</x:f>
        <x:v>413</x:v>
      </x:c>
      <x:c r="G857" s="1" t="n">
        <x:f>F857-E857-D857</x:f>
        <x:v>0</x:v>
      </x:c>
      <x:c r="H857" s="1" t="str">
        <x:v>Explicit working-day lag</x:v>
      </x:c>
    </x:row>
    <x:row r="858" ht="23" customHeight="1">
      <x:c r="A858" s="6" t="str">
        <x:v>T6-L07-S</x:v>
      </x:c>
      <x:c r="B858" s="6" t="str">
        <x:v>T6-L07-T</x:v>
      </x:c>
      <x:c r="C858" s="6" t="str">
        <x:v>FS</x:v>
      </x:c>
      <x:c r="D858" s="6" t="n">
        <x:v>14</x:v>
      </x:c>
      <x:c r="E858" s="6" t="n">
        <x:f>'Activities'!L780</x:f>
        <x:v>416</x:v>
      </x:c>
      <x:c r="F858" s="6" t="n">
        <x:f>'Activities'!K781</x:f>
        <x:v>461</x:v>
      </x:c>
      <x:c r="G858" s="6" t="n">
        <x:f>F858-E858-D858</x:f>
        <x:v>31</x:v>
      </x:c>
      <x:c r="H858" s="6" t="str">
        <x:v>Explicit working-day lag</x:v>
      </x:c>
    </x:row>
    <x:row r="859" ht="23" customHeight="1">
      <x:c r="A859" s="1" t="str">
        <x:v>T6-GL</x:v>
      </x:c>
      <x:c r="B859" s="1" t="str">
        <x:v>T6-L07-T</x:v>
      </x:c>
      <x:c r="C859" s="1" t="str">
        <x:v>FS</x:v>
      </x:c>
      <x:c r="D859" s="1" t="n">
        <x:v>0</x:v>
      </x:c>
      <x:c r="E859" s="1" t="n">
        <x:f>'Activities'!L735</x:f>
        <x:v>461</x:v>
      </x:c>
      <x:c r="F859" s="1" t="n">
        <x:f>'Activities'!K781</x:f>
        <x:v>461</x:v>
      </x:c>
      <x:c r="G859" s="1" t="n">
        <x:f>F859-E859-D859</x:f>
        <x:v>0</x:v>
      </x:c>
      <x:c r="H859" s="1" t="str">
        <x:v>Explicit working-day lag</x:v>
      </x:c>
    </x:row>
    <x:row r="860" ht="23" customHeight="1">
      <x:c r="A860" s="6" t="str">
        <x:v>T6-L07-T</x:v>
      </x:c>
      <x:c r="B860" s="6" t="str">
        <x:v>T6-L07-A</x:v>
      </x:c>
      <x:c r="C860" s="6" t="str">
        <x:v>FS</x:v>
      </x:c>
      <x:c r="D860" s="6" t="n">
        <x:v>2</x:v>
      </x:c>
      <x:c r="E860" s="6" t="n">
        <x:f>'Activities'!L781</x:f>
        <x:v>467</x:v>
      </x:c>
      <x:c r="F860" s="6" t="n">
        <x:f>'Activities'!K782</x:f>
        <x:v>469</x:v>
      </x:c>
      <x:c r="G860" s="6" t="n">
        <x:f>F860-E860-D860</x:f>
        <x:v>0</x:v>
      </x:c>
      <x:c r="H860" s="6" t="str">
        <x:v>Explicit working-day lag</x:v>
      </x:c>
    </x:row>
    <x:row r="861" ht="23" customHeight="1">
      <x:c r="A861" s="1" t="str">
        <x:v>T6-L07-A</x:v>
      </x:c>
      <x:c r="B861" s="1" t="str">
        <x:v>T6-L07-D</x:v>
      </x:c>
      <x:c r="C861" s="1" t="str">
        <x:v>FS</x:v>
      </x:c>
      <x:c r="D861" s="1" t="n">
        <x:v>0</x:v>
      </x:c>
      <x:c r="E861" s="1" t="n">
        <x:f>'Activities'!L782</x:f>
        <x:v>474</x:v>
      </x:c>
      <x:c r="F861" s="1" t="n">
        <x:f>'Activities'!K783</x:f>
        <x:v>474</x:v>
      </x:c>
      <x:c r="G861" s="1" t="n">
        <x:f>F861-E861-D861</x:f>
        <x:v>0</x:v>
      </x:c>
      <x:c r="H861" s="1" t="str">
        <x:v>Explicit working-day lag</x:v>
      </x:c>
    </x:row>
    <x:row r="862" ht="23" customHeight="1">
      <x:c r="A862" s="6" t="str">
        <x:v>T6-L11-H</x:v>
      </x:c>
      <x:c r="B862" s="6" t="str">
        <x:v>T6-L08-M</x:v>
      </x:c>
      <x:c r="C862" s="6" t="str">
        <x:v>FS</x:v>
      </x:c>
      <x:c r="D862" s="6" t="n">
        <x:v>5</x:v>
      </x:c>
      <x:c r="E862" s="6" t="n">
        <x:f>'Activities'!L728</x:f>
        <x:v>410</x:v>
      </x:c>
      <x:c r="F862" s="6" t="n">
        <x:f>'Activities'!K784</x:f>
        <x:v>415</x:v>
      </x:c>
      <x:c r="G862" s="6" t="n">
        <x:f>F862-E862-D862</x:f>
        <x:v>0</x:v>
      </x:c>
      <x:c r="H862" s="6" t="str">
        <x:v>Explicit working-day lag</x:v>
      </x:c>
    </x:row>
    <x:row r="863" ht="23" customHeight="1">
      <x:c r="A863" s="1" t="str">
        <x:v>T6-L08-M</x:v>
      </x:c>
      <x:c r="B863" s="1" t="str">
        <x:v>T6-L08-P</x:v>
      </x:c>
      <x:c r="C863" s="1" t="str">
        <x:v>FS</x:v>
      </x:c>
      <x:c r="D863" s="1" t="n">
        <x:v>3</x:v>
      </x:c>
      <x:c r="E863" s="1" t="n">
        <x:f>'Activities'!L784</x:f>
        <x:v>420</x:v>
      </x:c>
      <x:c r="F863" s="1" t="n">
        <x:f>'Activities'!K785</x:f>
        <x:v>423</x:v>
      </x:c>
      <x:c r="G863" s="1" t="n">
        <x:f>F863-E863-D863</x:f>
        <x:v>0</x:v>
      </x:c>
      <x:c r="H863" s="1" t="str">
        <x:v>Explicit working-day lag</x:v>
      </x:c>
    </x:row>
    <x:row r="864" ht="23" customHeight="1">
      <x:c r="A864" s="6" t="str">
        <x:v>T6-L08-P</x:v>
      </x:c>
      <x:c r="B864" s="6" t="str">
        <x:v>T6-L08-S</x:v>
      </x:c>
      <x:c r="C864" s="6" t="str">
        <x:v>FS</x:v>
      </x:c>
      <x:c r="D864" s="6" t="n">
        <x:v>2</x:v>
      </x:c>
      <x:c r="E864" s="6" t="n">
        <x:f>'Activities'!L785</x:f>
        <x:v>429</x:v>
      </x:c>
      <x:c r="F864" s="6" t="n">
        <x:f>'Activities'!K786</x:f>
        <x:v>431</x:v>
      </x:c>
      <x:c r="G864" s="6" t="n">
        <x:f>F864-E864-D864</x:f>
        <x:v>0</x:v>
      </x:c>
      <x:c r="H864" s="6" t="str">
        <x:v>Explicit working-day lag</x:v>
      </x:c>
    </x:row>
    <x:row r="865" ht="23" customHeight="1">
      <x:c r="A865" s="1" t="str">
        <x:v>T6-L08-S</x:v>
      </x:c>
      <x:c r="B865" s="1" t="str">
        <x:v>T6-L08-T</x:v>
      </x:c>
      <x:c r="C865" s="1" t="str">
        <x:v>FS</x:v>
      </x:c>
      <x:c r="D865" s="1" t="n">
        <x:v>14</x:v>
      </x:c>
      <x:c r="E865" s="1" t="n">
        <x:f>'Activities'!L786</x:f>
        <x:v>434</x:v>
      </x:c>
      <x:c r="F865" s="1" t="n">
        <x:f>'Activities'!K787</x:f>
        <x:v>461</x:v>
      </x:c>
      <x:c r="G865" s="1" t="n">
        <x:f>F865-E865-D865</x:f>
        <x:v>13</x:v>
      </x:c>
      <x:c r="H865" s="1" t="str">
        <x:v>Explicit working-day lag</x:v>
      </x:c>
    </x:row>
    <x:row r="866" ht="23" customHeight="1">
      <x:c r="A866" s="6" t="str">
        <x:v>T6-GL</x:v>
      </x:c>
      <x:c r="B866" s="6" t="str">
        <x:v>T6-L08-T</x:v>
      </x:c>
      <x:c r="C866" s="6" t="str">
        <x:v>FS</x:v>
      </x:c>
      <x:c r="D866" s="6" t="n">
        <x:v>0</x:v>
      </x:c>
      <x:c r="E866" s="6" t="n">
        <x:f>'Activities'!L735</x:f>
        <x:v>461</x:v>
      </x:c>
      <x:c r="F866" s="6" t="n">
        <x:f>'Activities'!K787</x:f>
        <x:v>461</x:v>
      </x:c>
      <x:c r="G866" s="6" t="n">
        <x:f>F866-E866-D866</x:f>
        <x:v>0</x:v>
      </x:c>
      <x:c r="H866" s="6" t="str">
        <x:v>Explicit working-day lag</x:v>
      </x:c>
    </x:row>
    <x:row r="867" ht="23" customHeight="1">
      <x:c r="A867" s="1" t="str">
        <x:v>T6-L08-T</x:v>
      </x:c>
      <x:c r="B867" s="1" t="str">
        <x:v>T6-L08-A</x:v>
      </x:c>
      <x:c r="C867" s="1" t="str">
        <x:v>FS</x:v>
      </x:c>
      <x:c r="D867" s="1" t="n">
        <x:v>2</x:v>
      </x:c>
      <x:c r="E867" s="1" t="n">
        <x:f>'Activities'!L787</x:f>
        <x:v>467</x:v>
      </x:c>
      <x:c r="F867" s="1" t="n">
        <x:f>'Activities'!K788</x:f>
        <x:v>469</x:v>
      </x:c>
      <x:c r="G867" s="1" t="n">
        <x:f>F867-E867-D867</x:f>
        <x:v>0</x:v>
      </x:c>
      <x:c r="H867" s="1" t="str">
        <x:v>Explicit working-day lag</x:v>
      </x:c>
    </x:row>
    <x:row r="868" ht="23" customHeight="1">
      <x:c r="A868" s="6" t="str">
        <x:v>T6-L08-A</x:v>
      </x:c>
      <x:c r="B868" s="6" t="str">
        <x:v>T6-L08-D</x:v>
      </x:c>
      <x:c r="C868" s="6" t="str">
        <x:v>FS</x:v>
      </x:c>
      <x:c r="D868" s="6" t="n">
        <x:v>0</x:v>
      </x:c>
      <x:c r="E868" s="6" t="n">
        <x:f>'Activities'!L788</x:f>
        <x:v>474</x:v>
      </x:c>
      <x:c r="F868" s="6" t="n">
        <x:f>'Activities'!K789</x:f>
        <x:v>474</x:v>
      </x:c>
      <x:c r="G868" s="6" t="n">
        <x:f>F868-E868-D868</x:f>
        <x:v>0</x:v>
      </x:c>
      <x:c r="H868" s="6" t="str">
        <x:v>Explicit working-day lag</x:v>
      </x:c>
    </x:row>
    <x:row r="869" ht="23" customHeight="1">
      <x:c r="A869" s="1" t="str">
        <x:v>T6-L12-H</x:v>
      </x:c>
      <x:c r="B869" s="1" t="str">
        <x:v>T6-L09-M</x:v>
      </x:c>
      <x:c r="C869" s="1" t="str">
        <x:v>FS</x:v>
      </x:c>
      <x:c r="D869" s="1" t="n">
        <x:v>5</x:v>
      </x:c>
      <x:c r="E869" s="1" t="n">
        <x:f>'Activities'!L732</x:f>
        <x:v>428</x:v>
      </x:c>
      <x:c r="F869" s="1" t="n">
        <x:f>'Activities'!K790</x:f>
        <x:v>433</x:v>
      </x:c>
      <x:c r="G869" s="1" t="n">
        <x:f>F869-E869-D869</x:f>
        <x:v>0</x:v>
      </x:c>
      <x:c r="H869" s="1" t="str">
        <x:v>Explicit working-day lag</x:v>
      </x:c>
    </x:row>
    <x:row r="870" ht="23" customHeight="1">
      <x:c r="A870" s="6" t="str">
        <x:v>T6-L09-M</x:v>
      </x:c>
      <x:c r="B870" s="6" t="str">
        <x:v>T6-L09-P</x:v>
      </x:c>
      <x:c r="C870" s="6" t="str">
        <x:v>FS</x:v>
      </x:c>
      <x:c r="D870" s="6" t="n">
        <x:v>3</x:v>
      </x:c>
      <x:c r="E870" s="6" t="n">
        <x:f>'Activities'!L790</x:f>
        <x:v>438</x:v>
      </x:c>
      <x:c r="F870" s="6" t="n">
        <x:f>'Activities'!K791</x:f>
        <x:v>441</x:v>
      </x:c>
      <x:c r="G870" s="6" t="n">
        <x:f>F870-E870-D870</x:f>
        <x:v>0</x:v>
      </x:c>
      <x:c r="H870" s="6" t="str">
        <x:v>Explicit working-day lag</x:v>
      </x:c>
    </x:row>
    <x:row r="871" ht="23" customHeight="1">
      <x:c r="A871" s="1" t="str">
        <x:v>T6-L09-P</x:v>
      </x:c>
      <x:c r="B871" s="1" t="str">
        <x:v>T6-L09-S</x:v>
      </x:c>
      <x:c r="C871" s="1" t="str">
        <x:v>FS</x:v>
      </x:c>
      <x:c r="D871" s="1" t="n">
        <x:v>2</x:v>
      </x:c>
      <x:c r="E871" s="1" t="n">
        <x:f>'Activities'!L791</x:f>
        <x:v>447</x:v>
      </x:c>
      <x:c r="F871" s="1" t="n">
        <x:f>'Activities'!K792</x:f>
        <x:v>449</x:v>
      </x:c>
      <x:c r="G871" s="1" t="n">
        <x:f>F871-E871-D871</x:f>
        <x:v>0</x:v>
      </x:c>
      <x:c r="H871" s="1" t="str">
        <x:v>Explicit working-day lag</x:v>
      </x:c>
    </x:row>
    <x:row r="872" ht="23" customHeight="1">
      <x:c r="A872" s="6" t="str">
        <x:v>T6-L09-S</x:v>
      </x:c>
      <x:c r="B872" s="6" t="str">
        <x:v>T6-L09-T</x:v>
      </x:c>
      <x:c r="C872" s="6" t="str">
        <x:v>FS</x:v>
      </x:c>
      <x:c r="D872" s="6" t="n">
        <x:v>14</x:v>
      </x:c>
      <x:c r="E872" s="6" t="n">
        <x:f>'Activities'!L792</x:f>
        <x:v>452</x:v>
      </x:c>
      <x:c r="F872" s="6" t="n">
        <x:f>'Activities'!K793</x:f>
        <x:v>466</x:v>
      </x:c>
      <x:c r="G872" s="6" t="n">
        <x:f>F872-E872-D872</x:f>
        <x:v>0</x:v>
      </x:c>
      <x:c r="H872" s="6" t="str">
        <x:v>Explicit working-day lag</x:v>
      </x:c>
    </x:row>
    <x:row r="873" ht="23" customHeight="1">
      <x:c r="A873" s="1" t="str">
        <x:v>T6-GL</x:v>
      </x:c>
      <x:c r="B873" s="1" t="str">
        <x:v>T6-L09-T</x:v>
      </x:c>
      <x:c r="C873" s="1" t="str">
        <x:v>FS</x:v>
      </x:c>
      <x:c r="D873" s="1" t="n">
        <x:v>0</x:v>
      </x:c>
      <x:c r="E873" s="1" t="n">
        <x:f>'Activities'!L735</x:f>
        <x:v>461</x:v>
      </x:c>
      <x:c r="F873" s="1" t="n">
        <x:f>'Activities'!K793</x:f>
        <x:v>466</x:v>
      </x:c>
      <x:c r="G873" s="1" t="n">
        <x:f>F873-E873-D873</x:f>
        <x:v>5</x:v>
      </x:c>
      <x:c r="H873" s="1" t="str">
        <x:v>Explicit working-day lag</x:v>
      </x:c>
    </x:row>
    <x:row r="874" ht="23" customHeight="1">
      <x:c r="A874" s="6" t="str">
        <x:v>T6-L09-T</x:v>
      </x:c>
      <x:c r="B874" s="6" t="str">
        <x:v>T6-L09-A</x:v>
      </x:c>
      <x:c r="C874" s="6" t="str">
        <x:v>FS</x:v>
      </x:c>
      <x:c r="D874" s="6" t="n">
        <x:v>2</x:v>
      </x:c>
      <x:c r="E874" s="6" t="n">
        <x:f>'Activities'!L793</x:f>
        <x:v>472</x:v>
      </x:c>
      <x:c r="F874" s="6" t="n">
        <x:f>'Activities'!K794</x:f>
        <x:v>474</x:v>
      </x:c>
      <x:c r="G874" s="6" t="n">
        <x:f>F874-E874-D874</x:f>
        <x:v>0</x:v>
      </x:c>
      <x:c r="H874" s="6" t="str">
        <x:v>Explicit working-day lag</x:v>
      </x:c>
    </x:row>
    <x:row r="875" ht="23" customHeight="1">
      <x:c r="A875" s="1" t="str">
        <x:v>T6-L09-A</x:v>
      </x:c>
      <x:c r="B875" s="1" t="str">
        <x:v>T6-L09-D</x:v>
      </x:c>
      <x:c r="C875" s="1" t="str">
        <x:v>FS</x:v>
      </x:c>
      <x:c r="D875" s="1" t="n">
        <x:v>0</x:v>
      </x:c>
      <x:c r="E875" s="1" t="n">
        <x:f>'Activities'!L794</x:f>
        <x:v>479</x:v>
      </x:c>
      <x:c r="F875" s="1" t="n">
        <x:f>'Activities'!K795</x:f>
        <x:v>479</x:v>
      </x:c>
      <x:c r="G875" s="1" t="n">
        <x:f>F875-E875-D875</x:f>
        <x:v>0</x:v>
      </x:c>
      <x:c r="H875" s="1" t="str">
        <x:v>Explicit working-day lag</x:v>
      </x:c>
    </x:row>
    <x:row r="876" ht="23" customHeight="1">
      <x:c r="A876" s="6" t="str">
        <x:v>T6-L12-H</x:v>
      </x:c>
      <x:c r="B876" s="6" t="str">
        <x:v>T6-L10-M</x:v>
      </x:c>
      <x:c r="C876" s="6" t="str">
        <x:v>FS</x:v>
      </x:c>
      <x:c r="D876" s="6" t="n">
        <x:v>5</x:v>
      </x:c>
      <x:c r="E876" s="6" t="n">
        <x:f>'Activities'!L732</x:f>
        <x:v>428</x:v>
      </x:c>
      <x:c r="F876" s="6" t="n">
        <x:f>'Activities'!K796</x:f>
        <x:v>433</x:v>
      </x:c>
      <x:c r="G876" s="6" t="n">
        <x:f>F876-E876-D876</x:f>
        <x:v>0</x:v>
      </x:c>
      <x:c r="H876" s="6" t="str">
        <x:v>Explicit working-day lag</x:v>
      </x:c>
    </x:row>
    <x:row r="877" ht="23" customHeight="1">
      <x:c r="A877" s="1" t="str">
        <x:v>T6-L10-M</x:v>
      </x:c>
      <x:c r="B877" s="1" t="str">
        <x:v>T6-L10-P</x:v>
      </x:c>
      <x:c r="C877" s="1" t="str">
        <x:v>FS</x:v>
      </x:c>
      <x:c r="D877" s="1" t="n">
        <x:v>3</x:v>
      </x:c>
      <x:c r="E877" s="1" t="n">
        <x:f>'Activities'!L796</x:f>
        <x:v>438</x:v>
      </x:c>
      <x:c r="F877" s="1" t="n">
        <x:f>'Activities'!K797</x:f>
        <x:v>441</x:v>
      </x:c>
      <x:c r="G877" s="1" t="n">
        <x:f>F877-E877-D877</x:f>
        <x:v>0</x:v>
      </x:c>
      <x:c r="H877" s="1" t="str">
        <x:v>Explicit working-day lag</x:v>
      </x:c>
    </x:row>
    <x:row r="878" ht="23" customHeight="1">
      <x:c r="A878" s="6" t="str">
        <x:v>T6-L10-P</x:v>
      </x:c>
      <x:c r="B878" s="6" t="str">
        <x:v>T6-L10-S</x:v>
      </x:c>
      <x:c r="C878" s="6" t="str">
        <x:v>FS</x:v>
      </x:c>
      <x:c r="D878" s="6" t="n">
        <x:v>2</x:v>
      </x:c>
      <x:c r="E878" s="6" t="n">
        <x:f>'Activities'!L797</x:f>
        <x:v>447</x:v>
      </x:c>
      <x:c r="F878" s="6" t="n">
        <x:f>'Activities'!K798</x:f>
        <x:v>449</x:v>
      </x:c>
      <x:c r="G878" s="6" t="n">
        <x:f>F878-E878-D878</x:f>
        <x:v>0</x:v>
      </x:c>
      <x:c r="H878" s="6" t="str">
        <x:v>Explicit working-day lag</x:v>
      </x:c>
    </x:row>
    <x:row r="879" ht="23" customHeight="1">
      <x:c r="A879" s="1" t="str">
        <x:v>T6-L10-S</x:v>
      </x:c>
      <x:c r="B879" s="1" t="str">
        <x:v>T6-L10-T</x:v>
      </x:c>
      <x:c r="C879" s="1" t="str">
        <x:v>FS</x:v>
      </x:c>
      <x:c r="D879" s="1" t="n">
        <x:v>14</x:v>
      </x:c>
      <x:c r="E879" s="1" t="n">
        <x:f>'Activities'!L798</x:f>
        <x:v>452</x:v>
      </x:c>
      <x:c r="F879" s="1" t="n">
        <x:f>'Activities'!K799</x:f>
        <x:v>466</x:v>
      </x:c>
      <x:c r="G879" s="1" t="n">
        <x:f>F879-E879-D879</x:f>
        <x:v>0</x:v>
      </x:c>
      <x:c r="H879" s="1" t="str">
        <x:v>Explicit working-day lag</x:v>
      </x:c>
    </x:row>
    <x:row r="880" ht="23" customHeight="1">
      <x:c r="A880" s="6" t="str">
        <x:v>T6-GL</x:v>
      </x:c>
      <x:c r="B880" s="6" t="str">
        <x:v>T6-L10-T</x:v>
      </x:c>
      <x:c r="C880" s="6" t="str">
        <x:v>FS</x:v>
      </x:c>
      <x:c r="D880" s="6" t="n">
        <x:v>0</x:v>
      </x:c>
      <x:c r="E880" s="6" t="n">
        <x:f>'Activities'!L735</x:f>
        <x:v>461</x:v>
      </x:c>
      <x:c r="F880" s="6" t="n">
        <x:f>'Activities'!K799</x:f>
        <x:v>466</x:v>
      </x:c>
      <x:c r="G880" s="6" t="n">
        <x:f>F880-E880-D880</x:f>
        <x:v>5</x:v>
      </x:c>
      <x:c r="H880" s="6" t="str">
        <x:v>Explicit working-day lag</x:v>
      </x:c>
    </x:row>
    <x:row r="881" ht="23" customHeight="1">
      <x:c r="A881" s="1" t="str">
        <x:v>T6-L10-T</x:v>
      </x:c>
      <x:c r="B881" s="1" t="str">
        <x:v>T6-L10-A</x:v>
      </x:c>
      <x:c r="C881" s="1" t="str">
        <x:v>FS</x:v>
      </x:c>
      <x:c r="D881" s="1" t="n">
        <x:v>2</x:v>
      </x:c>
      <x:c r="E881" s="1" t="n">
        <x:f>'Activities'!L799</x:f>
        <x:v>472</x:v>
      </x:c>
      <x:c r="F881" s="1" t="n">
        <x:f>'Activities'!K800</x:f>
        <x:v>474</x:v>
      </x:c>
      <x:c r="G881" s="1" t="n">
        <x:f>F881-E881-D881</x:f>
        <x:v>0</x:v>
      </x:c>
      <x:c r="H881" s="1" t="str">
        <x:v>Explicit working-day lag</x:v>
      </x:c>
    </x:row>
    <x:row r="882" ht="23" customHeight="1">
      <x:c r="A882" s="6" t="str">
        <x:v>T6-L10-A</x:v>
      </x:c>
      <x:c r="B882" s="6" t="str">
        <x:v>T6-L10-D</x:v>
      </x:c>
      <x:c r="C882" s="6" t="str">
        <x:v>FS</x:v>
      </x:c>
      <x:c r="D882" s="6" t="n">
        <x:v>0</x:v>
      </x:c>
      <x:c r="E882" s="6" t="n">
        <x:f>'Activities'!L800</x:f>
        <x:v>479</x:v>
      </x:c>
      <x:c r="F882" s="6" t="n">
        <x:f>'Activities'!K801</x:f>
        <x:v>479</x:v>
      </x:c>
      <x:c r="G882" s="6" t="n">
        <x:f>F882-E882-D882</x:f>
        <x:v>0</x:v>
      </x:c>
      <x:c r="H882" s="6" t="str">
        <x:v>Explicit working-day lag</x:v>
      </x:c>
    </x:row>
    <x:row r="883" ht="23" customHeight="1">
      <x:c r="A883" s="1" t="str">
        <x:v>T6-L12-H</x:v>
      </x:c>
      <x:c r="B883" s="1" t="str">
        <x:v>T6-L11-M</x:v>
      </x:c>
      <x:c r="C883" s="1" t="str">
        <x:v>FS</x:v>
      </x:c>
      <x:c r="D883" s="1" t="n">
        <x:v>5</x:v>
      </x:c>
      <x:c r="E883" s="1" t="n">
        <x:f>'Activities'!L732</x:f>
        <x:v>428</x:v>
      </x:c>
      <x:c r="F883" s="1" t="n">
        <x:f>'Activities'!K802</x:f>
        <x:v>433</x:v>
      </x:c>
      <x:c r="G883" s="1" t="n">
        <x:f>F883-E883-D883</x:f>
        <x:v>0</x:v>
      </x:c>
      <x:c r="H883" s="1" t="str">
        <x:v>Explicit working-day lag</x:v>
      </x:c>
    </x:row>
    <x:row r="884" ht="23" customHeight="1">
      <x:c r="A884" s="6" t="str">
        <x:v>T6-L11-M</x:v>
      </x:c>
      <x:c r="B884" s="6" t="str">
        <x:v>T6-L11-P</x:v>
      </x:c>
      <x:c r="C884" s="6" t="str">
        <x:v>FS</x:v>
      </x:c>
      <x:c r="D884" s="6" t="n">
        <x:v>3</x:v>
      </x:c>
      <x:c r="E884" s="6" t="n">
        <x:f>'Activities'!L802</x:f>
        <x:v>438</x:v>
      </x:c>
      <x:c r="F884" s="6" t="n">
        <x:f>'Activities'!K803</x:f>
        <x:v>441</x:v>
      </x:c>
      <x:c r="G884" s="6" t="n">
        <x:f>F884-E884-D884</x:f>
        <x:v>0</x:v>
      </x:c>
      <x:c r="H884" s="6" t="str">
        <x:v>Explicit working-day lag</x:v>
      </x:c>
    </x:row>
    <x:row r="885" ht="23" customHeight="1">
      <x:c r="A885" s="1" t="str">
        <x:v>T6-L11-P</x:v>
      </x:c>
      <x:c r="B885" s="1" t="str">
        <x:v>T6-L11-S</x:v>
      </x:c>
      <x:c r="C885" s="1" t="str">
        <x:v>FS</x:v>
      </x:c>
      <x:c r="D885" s="1" t="n">
        <x:v>2</x:v>
      </x:c>
      <x:c r="E885" s="1" t="n">
        <x:f>'Activities'!L803</x:f>
        <x:v>447</x:v>
      </x:c>
      <x:c r="F885" s="1" t="n">
        <x:f>'Activities'!K804</x:f>
        <x:v>449</x:v>
      </x:c>
      <x:c r="G885" s="1" t="n">
        <x:f>F885-E885-D885</x:f>
        <x:v>0</x:v>
      </x:c>
      <x:c r="H885" s="1" t="str">
        <x:v>Explicit working-day lag</x:v>
      </x:c>
    </x:row>
    <x:row r="886" ht="23" customHeight="1">
      <x:c r="A886" s="6" t="str">
        <x:v>T6-L11-S</x:v>
      </x:c>
      <x:c r="B886" s="6" t="str">
        <x:v>T6-L11-T</x:v>
      </x:c>
      <x:c r="C886" s="6" t="str">
        <x:v>FS</x:v>
      </x:c>
      <x:c r="D886" s="6" t="n">
        <x:v>14</x:v>
      </x:c>
      <x:c r="E886" s="6" t="n">
        <x:f>'Activities'!L804</x:f>
        <x:v>452</x:v>
      </x:c>
      <x:c r="F886" s="6" t="n">
        <x:f>'Activities'!K805</x:f>
        <x:v>466</x:v>
      </x:c>
      <x:c r="G886" s="6" t="n">
        <x:f>F886-E886-D886</x:f>
        <x:v>0</x:v>
      </x:c>
      <x:c r="H886" s="6" t="str">
        <x:v>Explicit working-day lag</x:v>
      </x:c>
    </x:row>
    <x:row r="887" ht="23" customHeight="1">
      <x:c r="A887" s="1" t="str">
        <x:v>T6-GL</x:v>
      </x:c>
      <x:c r="B887" s="1" t="str">
        <x:v>T6-L11-T</x:v>
      </x:c>
      <x:c r="C887" s="1" t="str">
        <x:v>FS</x:v>
      </x:c>
      <x:c r="D887" s="1" t="n">
        <x:v>0</x:v>
      </x:c>
      <x:c r="E887" s="1" t="n">
        <x:f>'Activities'!L735</x:f>
        <x:v>461</x:v>
      </x:c>
      <x:c r="F887" s="1" t="n">
        <x:f>'Activities'!K805</x:f>
        <x:v>466</x:v>
      </x:c>
      <x:c r="G887" s="1" t="n">
        <x:f>F887-E887-D887</x:f>
        <x:v>5</x:v>
      </x:c>
      <x:c r="H887" s="1" t="str">
        <x:v>Explicit working-day lag</x:v>
      </x:c>
    </x:row>
    <x:row r="888" ht="23" customHeight="1">
      <x:c r="A888" s="6" t="str">
        <x:v>T6-L11-T</x:v>
      </x:c>
      <x:c r="B888" s="6" t="str">
        <x:v>T6-L11-A</x:v>
      </x:c>
      <x:c r="C888" s="6" t="str">
        <x:v>FS</x:v>
      </x:c>
      <x:c r="D888" s="6" t="n">
        <x:v>2</x:v>
      </x:c>
      <x:c r="E888" s="6" t="n">
        <x:f>'Activities'!L805</x:f>
        <x:v>472</x:v>
      </x:c>
      <x:c r="F888" s="6" t="n">
        <x:f>'Activities'!K806</x:f>
        <x:v>474</x:v>
      </x:c>
      <x:c r="G888" s="6" t="n">
        <x:f>F888-E888-D888</x:f>
        <x:v>0</x:v>
      </x:c>
      <x:c r="H888" s="6" t="str">
        <x:v>Explicit working-day lag</x:v>
      </x:c>
    </x:row>
    <x:row r="889" ht="23" customHeight="1">
      <x:c r="A889" s="1" t="str">
        <x:v>T6-L11-A</x:v>
      </x:c>
      <x:c r="B889" s="1" t="str">
        <x:v>T6-L11-D</x:v>
      </x:c>
      <x:c r="C889" s="1" t="str">
        <x:v>FS</x:v>
      </x:c>
      <x:c r="D889" s="1" t="n">
        <x:v>0</x:v>
      </x:c>
      <x:c r="E889" s="1" t="n">
        <x:f>'Activities'!L806</x:f>
        <x:v>479</x:v>
      </x:c>
      <x:c r="F889" s="1" t="n">
        <x:f>'Activities'!K807</x:f>
        <x:v>479</x:v>
      </x:c>
      <x:c r="G889" s="1" t="n">
        <x:f>F889-E889-D889</x:f>
        <x:v>0</x:v>
      </x:c>
      <x:c r="H889" s="1" t="str">
        <x:v>Explicit working-day lag</x:v>
      </x:c>
    </x:row>
    <x:row r="890" ht="23" customHeight="1">
      <x:c r="A890" s="6" t="str">
        <x:v>T6-L12-H</x:v>
      </x:c>
      <x:c r="B890" s="6" t="str">
        <x:v>T6-L12-M</x:v>
      </x:c>
      <x:c r="C890" s="6" t="str">
        <x:v>FS</x:v>
      </x:c>
      <x:c r="D890" s="6" t="n">
        <x:v>5</x:v>
      </x:c>
      <x:c r="E890" s="6" t="n">
        <x:f>'Activities'!L732</x:f>
        <x:v>428</x:v>
      </x:c>
      <x:c r="F890" s="6" t="n">
        <x:f>'Activities'!K808</x:f>
        <x:v>433</x:v>
      </x:c>
      <x:c r="G890" s="6" t="n">
        <x:f>F890-E890-D890</x:f>
        <x:v>0</x:v>
      </x:c>
      <x:c r="H890" s="6" t="str">
        <x:v>Explicit working-day lag</x:v>
      </x:c>
    </x:row>
    <x:row r="891" ht="23" customHeight="1">
      <x:c r="A891" s="1" t="str">
        <x:v>T6-L12-M</x:v>
      </x:c>
      <x:c r="B891" s="1" t="str">
        <x:v>T6-L12-P</x:v>
      </x:c>
      <x:c r="C891" s="1" t="str">
        <x:v>FS</x:v>
      </x:c>
      <x:c r="D891" s="1" t="n">
        <x:v>3</x:v>
      </x:c>
      <x:c r="E891" s="1" t="n">
        <x:f>'Activities'!L808</x:f>
        <x:v>438</x:v>
      </x:c>
      <x:c r="F891" s="1" t="n">
        <x:f>'Activities'!K809</x:f>
        <x:v>441</x:v>
      </x:c>
      <x:c r="G891" s="1" t="n">
        <x:f>F891-E891-D891</x:f>
        <x:v>0</x:v>
      </x:c>
      <x:c r="H891" s="1" t="str">
        <x:v>Explicit working-day lag</x:v>
      </x:c>
    </x:row>
    <x:row r="892" ht="23" customHeight="1">
      <x:c r="A892" s="6" t="str">
        <x:v>T6-L12-P</x:v>
      </x:c>
      <x:c r="B892" s="6" t="str">
        <x:v>T6-L12-S</x:v>
      </x:c>
      <x:c r="C892" s="6" t="str">
        <x:v>FS</x:v>
      </x:c>
      <x:c r="D892" s="6" t="n">
        <x:v>2</x:v>
      </x:c>
      <x:c r="E892" s="6" t="n">
        <x:f>'Activities'!L809</x:f>
        <x:v>447</x:v>
      </x:c>
      <x:c r="F892" s="6" t="n">
        <x:f>'Activities'!K810</x:f>
        <x:v>449</x:v>
      </x:c>
      <x:c r="G892" s="6" t="n">
        <x:f>F892-E892-D892</x:f>
        <x:v>0</x:v>
      </x:c>
      <x:c r="H892" s="6" t="str">
        <x:v>Explicit working-day lag</x:v>
      </x:c>
    </x:row>
    <x:row r="893" ht="23" customHeight="1">
      <x:c r="A893" s="1" t="str">
        <x:v>T6-L12-S</x:v>
      </x:c>
      <x:c r="B893" s="1" t="str">
        <x:v>T6-L12-T</x:v>
      </x:c>
      <x:c r="C893" s="1" t="str">
        <x:v>FS</x:v>
      </x:c>
      <x:c r="D893" s="1" t="n">
        <x:v>14</x:v>
      </x:c>
      <x:c r="E893" s="1" t="n">
        <x:f>'Activities'!L810</x:f>
        <x:v>452</x:v>
      </x:c>
      <x:c r="F893" s="1" t="n">
        <x:f>'Activities'!K811</x:f>
        <x:v>466</x:v>
      </x:c>
      <x:c r="G893" s="1" t="n">
        <x:f>F893-E893-D893</x:f>
        <x:v>0</x:v>
      </x:c>
      <x:c r="H893" s="1" t="str">
        <x:v>Explicit working-day lag</x:v>
      </x:c>
    </x:row>
    <x:row r="894" ht="23" customHeight="1">
      <x:c r="A894" s="6" t="str">
        <x:v>T6-GL</x:v>
      </x:c>
      <x:c r="B894" s="6" t="str">
        <x:v>T6-L12-T</x:v>
      </x:c>
      <x:c r="C894" s="6" t="str">
        <x:v>FS</x:v>
      </x:c>
      <x:c r="D894" s="6" t="n">
        <x:v>0</x:v>
      </x:c>
      <x:c r="E894" s="6" t="n">
        <x:f>'Activities'!L735</x:f>
        <x:v>461</x:v>
      </x:c>
      <x:c r="F894" s="6" t="n">
        <x:f>'Activities'!K811</x:f>
        <x:v>466</x:v>
      </x:c>
      <x:c r="G894" s="6" t="n">
        <x:f>F894-E894-D894</x:f>
        <x:v>5</x:v>
      </x:c>
      <x:c r="H894" s="6" t="str">
        <x:v>Explicit working-day lag</x:v>
      </x:c>
    </x:row>
    <x:row r="895" ht="23" customHeight="1">
      <x:c r="A895" s="1" t="str">
        <x:v>T6-L12-T</x:v>
      </x:c>
      <x:c r="B895" s="1" t="str">
        <x:v>T6-L12-A</x:v>
      </x:c>
      <x:c r="C895" s="1" t="str">
        <x:v>FS</x:v>
      </x:c>
      <x:c r="D895" s="1" t="n">
        <x:v>2</x:v>
      </x:c>
      <x:c r="E895" s="1" t="n">
        <x:f>'Activities'!L811</x:f>
        <x:v>472</x:v>
      </x:c>
      <x:c r="F895" s="1" t="n">
        <x:f>'Activities'!K812</x:f>
        <x:v>474</x:v>
      </x:c>
      <x:c r="G895" s="1" t="n">
        <x:f>F895-E895-D895</x:f>
        <x:v>0</x:v>
      </x:c>
      <x:c r="H895" s="1" t="str">
        <x:v>Explicit working-day lag</x:v>
      </x:c>
    </x:row>
    <x:row r="896" ht="23" customHeight="1">
      <x:c r="A896" s="6" t="str">
        <x:v>T6-L12-A</x:v>
      </x:c>
      <x:c r="B896" s="6" t="str">
        <x:v>T6-L12-D</x:v>
      </x:c>
      <x:c r="C896" s="6" t="str">
        <x:v>FS</x:v>
      </x:c>
      <x:c r="D896" s="6" t="n">
        <x:v>0</x:v>
      </x:c>
      <x:c r="E896" s="6" t="n">
        <x:f>'Activities'!L812</x:f>
        <x:v>479</x:v>
      </x:c>
      <x:c r="F896" s="6" t="n">
        <x:f>'Activities'!K813</x:f>
        <x:v>479</x:v>
      </x:c>
      <x:c r="G896" s="6" t="n">
        <x:f>F896-E896-D896</x:f>
        <x:v>0</x:v>
      </x:c>
      <x:c r="H896" s="6" t="str">
        <x:v>Explicit working-day lag</x:v>
      </x:c>
    </x:row>
    <x:row r="897" ht="23" customHeight="1">
      <x:c r="A897" s="1" t="str">
        <x:v>P-070</x:v>
      </x:c>
      <x:c r="B897" s="1" t="str">
        <x:v>X-010</x:v>
      </x:c>
      <x:c r="C897" s="1" t="str">
        <x:v>FS</x:v>
      </x:c>
      <x:c r="D897" s="1" t="n">
        <x:v>0</x:v>
      </x:c>
      <x:c r="E897" s="1" t="n">
        <x:f>'Activities'!L15</x:f>
        <x:v>163</x:v>
      </x:c>
      <x:c r="F897" s="1" t="n">
        <x:f>'Activities'!K814</x:f>
        <x:v>163</x:v>
      </x:c>
      <x:c r="G897" s="1" t="n">
        <x:f>F897-E897-D897</x:f>
        <x:v>0</x:v>
      </x:c>
      <x:c r="H897" s="1" t="str">
        <x:v>Explicit working-day lag</x:v>
      </x:c>
    </x:row>
    <x:row r="898" ht="23" customHeight="1">
      <x:c r="A898" s="6" t="str">
        <x:v>X-010</x:v>
      </x:c>
      <x:c r="B898" s="6" t="str">
        <x:v>X-020</x:v>
      </x:c>
      <x:c r="C898" s="6" t="str">
        <x:v>FS</x:v>
      </x:c>
      <x:c r="D898" s="6" t="n">
        <x:v>0</x:v>
      </x:c>
      <x:c r="E898" s="6" t="n">
        <x:f>'Activities'!L814</x:f>
        <x:v>181</x:v>
      </x:c>
      <x:c r="F898" s="6" t="n">
        <x:f>'Activities'!K815</x:f>
        <x:v>428</x:v>
      </x:c>
      <x:c r="G898" s="6" t="n">
        <x:f>F898-E898-D898</x:f>
        <x:v>247</x:v>
      </x:c>
      <x:c r="H898" s="6" t="str">
        <x:v>Explicit working-day lag</x:v>
      </x:c>
    </x:row>
    <x:row r="899" ht="23" customHeight="1">
      <x:c r="A899" s="1" t="str">
        <x:v>T6-L12-H</x:v>
      </x:c>
      <x:c r="B899" s="1" t="str">
        <x:v>X-020</x:v>
      </x:c>
      <x:c r="C899" s="1" t="str">
        <x:v>FS</x:v>
      </x:c>
      <x:c r="D899" s="1" t="n">
        <x:v>0</x:v>
      </x:c>
      <x:c r="E899" s="1" t="n">
        <x:f>'Activities'!L732</x:f>
        <x:v>428</x:v>
      </x:c>
      <x:c r="F899" s="1" t="n">
        <x:f>'Activities'!K815</x:f>
        <x:v>428</x:v>
      </x:c>
      <x:c r="G899" s="1" t="n">
        <x:f>F899-E899-D899</x:f>
        <x:v>0</x:v>
      </x:c>
      <x:c r="H899" s="1" t="str">
        <x:v>Explicit working-day lag</x:v>
      </x:c>
    </x:row>
    <x:row r="900" ht="23" customHeight="1">
      <x:c r="A900" s="6" t="str">
        <x:v>P-060</x:v>
      </x:c>
      <x:c r="B900" s="6" t="str">
        <x:v>X-020</x:v>
      </x:c>
      <x:c r="C900" s="6" t="str">
        <x:v>FS</x:v>
      </x:c>
      <x:c r="D900" s="6" t="n">
        <x:v>0</x:v>
      </x:c>
      <x:c r="E900" s="6" t="n">
        <x:f>'Activities'!L14</x:f>
        <x:v>161</x:v>
      </x:c>
      <x:c r="F900" s="6" t="n">
        <x:f>'Activities'!K815</x:f>
        <x:v>428</x:v>
      </x:c>
      <x:c r="G900" s="6" t="n">
        <x:f>F900-E900-D900</x:f>
        <x:v>267</x:v>
      </x:c>
      <x:c r="H900" s="6" t="str">
        <x:v>Explicit working-day lag</x:v>
      </x:c>
    </x:row>
    <x:row r="901" ht="23" customHeight="1">
      <x:c r="A901" s="1" t="str">
        <x:v>X-020</x:v>
      </x:c>
      <x:c r="B901" s="1" t="str">
        <x:v>PC-001</x:v>
      </x:c>
      <x:c r="C901" s="1" t="str">
        <x:v>FS</x:v>
      </x:c>
      <x:c r="D901" s="1" t="n">
        <x:v>0</x:v>
      </x:c>
      <x:c r="E901" s="1" t="n">
        <x:f>'Activities'!L815</x:f>
        <x:v>451</x:v>
      </x:c>
      <x:c r="F901" s="1" t="n">
        <x:f>'Activities'!K816</x:f>
        <x:v>482</x:v>
      </x:c>
      <x:c r="G901" s="1" t="n">
        <x:f>F901-E901-D901</x:f>
        <x:v>31</x:v>
      </x:c>
      <x:c r="H901" s="1" t="str">
        <x:v>Explicit working-day lag</x:v>
      </x:c>
    </x:row>
    <x:row r="902" ht="23" customHeight="1">
      <x:c r="A902" s="6" t="str">
        <x:v>T1-L00-D</x:v>
      </x:c>
      <x:c r="B902" s="6" t="str">
        <x:v>PC-001</x:v>
      </x:c>
      <x:c r="C902" s="6" t="str">
        <x:v>FS</x:v>
      </x:c>
      <x:c r="D902" s="6" t="n">
        <x:v>0</x:v>
      </x:c>
      <x:c r="E902" s="6" t="n">
        <x:f>'Activities'!L76</x:f>
        <x:v>417</x:v>
      </x:c>
      <x:c r="F902" s="6" t="n">
        <x:f>'Activities'!K816</x:f>
        <x:v>482</x:v>
      </x:c>
      <x:c r="G902" s="6" t="n">
        <x:f>F902-E902-D902</x:f>
        <x:v>65</x:v>
      </x:c>
      <x:c r="H902" s="6" t="str">
        <x:v>Explicit working-day lag</x:v>
      </x:c>
    </x:row>
    <x:row r="903" ht="23" customHeight="1">
      <x:c r="A903" s="1" t="str">
        <x:v>T1-L01-D</x:v>
      </x:c>
      <x:c r="B903" s="1" t="str">
        <x:v>PC-001</x:v>
      </x:c>
      <x:c r="C903" s="1" t="str">
        <x:v>FS</x:v>
      </x:c>
      <x:c r="D903" s="1" t="n">
        <x:v>0</x:v>
      </x:c>
      <x:c r="E903" s="1" t="n">
        <x:f>'Activities'!L82</x:f>
        <x:v>417</x:v>
      </x:c>
      <x:c r="F903" s="1" t="n">
        <x:f>'Activities'!K816</x:f>
        <x:v>482</x:v>
      </x:c>
      <x:c r="G903" s="1" t="n">
        <x:f>F903-E903-D903</x:f>
        <x:v>65</x:v>
      </x:c>
      <x:c r="H903" s="1" t="str">
        <x:v>Explicit working-day lag</x:v>
      </x:c>
    </x:row>
    <x:row r="904" ht="23" customHeight="1">
      <x:c r="A904" s="6" t="str">
        <x:v>T1-L02-D</x:v>
      </x:c>
      <x:c r="B904" s="6" t="str">
        <x:v>PC-001</x:v>
      </x:c>
      <x:c r="C904" s="6" t="str">
        <x:v>FS</x:v>
      </x:c>
      <x:c r="D904" s="6" t="n">
        <x:v>0</x:v>
      </x:c>
      <x:c r="E904" s="6" t="n">
        <x:f>'Activities'!L88</x:f>
        <x:v>417</x:v>
      </x:c>
      <x:c r="F904" s="6" t="n">
        <x:f>'Activities'!K816</x:f>
        <x:v>482</x:v>
      </x:c>
      <x:c r="G904" s="6" t="n">
        <x:f>F904-E904-D904</x:f>
        <x:v>65</x:v>
      </x:c>
      <x:c r="H904" s="6" t="str">
        <x:v>Explicit working-day lag</x:v>
      </x:c>
    </x:row>
    <x:row r="905" ht="23" customHeight="1">
      <x:c r="A905" s="1" t="str">
        <x:v>T1-L03-D</x:v>
      </x:c>
      <x:c r="B905" s="1" t="str">
        <x:v>PC-001</x:v>
      </x:c>
      <x:c r="C905" s="1" t="str">
        <x:v>FS</x:v>
      </x:c>
      <x:c r="D905" s="1" t="n">
        <x:v>0</x:v>
      </x:c>
      <x:c r="E905" s="1" t="n">
        <x:f>'Activities'!L94</x:f>
        <x:v>417</x:v>
      </x:c>
      <x:c r="F905" s="1" t="n">
        <x:f>'Activities'!K816</x:f>
        <x:v>482</x:v>
      </x:c>
      <x:c r="G905" s="1" t="n">
        <x:f>F905-E905-D905</x:f>
        <x:v>65</x:v>
      </x:c>
      <x:c r="H905" s="1" t="str">
        <x:v>Explicit working-day lag</x:v>
      </x:c>
    </x:row>
    <x:row r="906" ht="23" customHeight="1">
      <x:c r="A906" s="6" t="str">
        <x:v>T1-L04-D</x:v>
      </x:c>
      <x:c r="B906" s="6" t="str">
        <x:v>PC-001</x:v>
      </x:c>
      <x:c r="C906" s="6" t="str">
        <x:v>FS</x:v>
      </x:c>
      <x:c r="D906" s="6" t="n">
        <x:v>0</x:v>
      </x:c>
      <x:c r="E906" s="6" t="n">
        <x:f>'Activities'!L100</x:f>
        <x:v>417</x:v>
      </x:c>
      <x:c r="F906" s="6" t="n">
        <x:f>'Activities'!K816</x:f>
        <x:v>482</x:v>
      </x:c>
      <x:c r="G906" s="6" t="n">
        <x:f>F906-E906-D906</x:f>
        <x:v>65</x:v>
      </x:c>
      <x:c r="H906" s="6" t="str">
        <x:v>Explicit working-day lag</x:v>
      </x:c>
    </x:row>
    <x:row r="907" ht="23" customHeight="1">
      <x:c r="A907" s="1" t="str">
        <x:v>T1-L05-D</x:v>
      </x:c>
      <x:c r="B907" s="1" t="str">
        <x:v>PC-001</x:v>
      </x:c>
      <x:c r="C907" s="1" t="str">
        <x:v>FS</x:v>
      </x:c>
      <x:c r="D907" s="1" t="n">
        <x:v>0</x:v>
      </x:c>
      <x:c r="E907" s="1" t="n">
        <x:f>'Activities'!L106</x:f>
        <x:v>417</x:v>
      </x:c>
      <x:c r="F907" s="1" t="n">
        <x:f>'Activities'!K816</x:f>
        <x:v>482</x:v>
      </x:c>
      <x:c r="G907" s="1" t="n">
        <x:f>F907-E907-D907</x:f>
        <x:v>65</x:v>
      </x:c>
      <x:c r="H907" s="1" t="str">
        <x:v>Explicit working-day lag</x:v>
      </x:c>
    </x:row>
    <x:row r="908" ht="23" customHeight="1">
      <x:c r="A908" s="6" t="str">
        <x:v>T1-L06-D</x:v>
      </x:c>
      <x:c r="B908" s="6" t="str">
        <x:v>PC-001</x:v>
      </x:c>
      <x:c r="C908" s="6" t="str">
        <x:v>FS</x:v>
      </x:c>
      <x:c r="D908" s="6" t="n">
        <x:v>0</x:v>
      </x:c>
      <x:c r="E908" s="6" t="n">
        <x:f>'Activities'!L112</x:f>
        <x:v>417</x:v>
      </x:c>
      <x:c r="F908" s="6" t="n">
        <x:f>'Activities'!K816</x:f>
        <x:v>482</x:v>
      </x:c>
      <x:c r="G908" s="6" t="n">
        <x:f>F908-E908-D908</x:f>
        <x:v>65</x:v>
      </x:c>
      <x:c r="H908" s="6" t="str">
        <x:v>Explicit working-day lag</x:v>
      </x:c>
    </x:row>
    <x:row r="909" ht="23" customHeight="1">
      <x:c r="A909" s="1" t="str">
        <x:v>T1-L07-D</x:v>
      </x:c>
      <x:c r="B909" s="1" t="str">
        <x:v>PC-001</x:v>
      </x:c>
      <x:c r="C909" s="1" t="str">
        <x:v>FS</x:v>
      </x:c>
      <x:c r="D909" s="1" t="n">
        <x:v>0</x:v>
      </x:c>
      <x:c r="E909" s="1" t="n">
        <x:f>'Activities'!L118</x:f>
        <x:v>417</x:v>
      </x:c>
      <x:c r="F909" s="1" t="n">
        <x:f>'Activities'!K816</x:f>
        <x:v>482</x:v>
      </x:c>
      <x:c r="G909" s="1" t="n">
        <x:f>F909-E909-D909</x:f>
        <x:v>65</x:v>
      </x:c>
      <x:c r="H909" s="1" t="str">
        <x:v>Explicit working-day lag</x:v>
      </x:c>
    </x:row>
    <x:row r="910" ht="23" customHeight="1">
      <x:c r="A910" s="6" t="str">
        <x:v>T1-L08-D</x:v>
      </x:c>
      <x:c r="B910" s="6" t="str">
        <x:v>PC-001</x:v>
      </x:c>
      <x:c r="C910" s="6" t="str">
        <x:v>FS</x:v>
      </x:c>
      <x:c r="D910" s="6" t="n">
        <x:v>0</x:v>
      </x:c>
      <x:c r="E910" s="6" t="n">
        <x:f>'Activities'!L124</x:f>
        <x:v>417</x:v>
      </x:c>
      <x:c r="F910" s="6" t="n">
        <x:f>'Activities'!K816</x:f>
        <x:v>482</x:v>
      </x:c>
      <x:c r="G910" s="6" t="n">
        <x:f>F910-E910-D910</x:f>
        <x:v>65</x:v>
      </x:c>
      <x:c r="H910" s="6" t="str">
        <x:v>Explicit working-day lag</x:v>
      </x:c>
    </x:row>
    <x:row r="911" ht="23" customHeight="1">
      <x:c r="A911" s="1" t="str">
        <x:v>T1-L09-D</x:v>
      </x:c>
      <x:c r="B911" s="1" t="str">
        <x:v>PC-001</x:v>
      </x:c>
      <x:c r="C911" s="1" t="str">
        <x:v>FS</x:v>
      </x:c>
      <x:c r="D911" s="1" t="n">
        <x:v>0</x:v>
      </x:c>
      <x:c r="E911" s="1" t="n">
        <x:f>'Activities'!L130</x:f>
        <x:v>422</x:v>
      </x:c>
      <x:c r="F911" s="1" t="n">
        <x:f>'Activities'!K816</x:f>
        <x:v>482</x:v>
      </x:c>
      <x:c r="G911" s="1" t="n">
        <x:f>F911-E911-D911</x:f>
        <x:v>60</x:v>
      </x:c>
      <x:c r="H911" s="1" t="str">
        <x:v>Explicit working-day lag</x:v>
      </x:c>
    </x:row>
    <x:row r="912" ht="23" customHeight="1">
      <x:c r="A912" s="6" t="str">
        <x:v>T1-L10-D</x:v>
      </x:c>
      <x:c r="B912" s="6" t="str">
        <x:v>PC-001</x:v>
      </x:c>
      <x:c r="C912" s="6" t="str">
        <x:v>FS</x:v>
      </x:c>
      <x:c r="D912" s="6" t="n">
        <x:v>0</x:v>
      </x:c>
      <x:c r="E912" s="6" t="n">
        <x:f>'Activities'!L136</x:f>
        <x:v>422</x:v>
      </x:c>
      <x:c r="F912" s="6" t="n">
        <x:f>'Activities'!K816</x:f>
        <x:v>482</x:v>
      </x:c>
      <x:c r="G912" s="6" t="n">
        <x:f>F912-E912-D912</x:f>
        <x:v>60</x:v>
      </x:c>
      <x:c r="H912" s="6" t="str">
        <x:v>Explicit working-day lag</x:v>
      </x:c>
    </x:row>
    <x:row r="913" ht="23" customHeight="1">
      <x:c r="A913" s="1" t="str">
        <x:v>T1-L11-D</x:v>
      </x:c>
      <x:c r="B913" s="1" t="str">
        <x:v>PC-001</x:v>
      </x:c>
      <x:c r="C913" s="1" t="str">
        <x:v>FS</x:v>
      </x:c>
      <x:c r="D913" s="1" t="n">
        <x:v>0</x:v>
      </x:c>
      <x:c r="E913" s="1" t="n">
        <x:f>'Activities'!L142</x:f>
        <x:v>422</x:v>
      </x:c>
      <x:c r="F913" s="1" t="n">
        <x:f>'Activities'!K816</x:f>
        <x:v>482</x:v>
      </x:c>
      <x:c r="G913" s="1" t="n">
        <x:f>F913-E913-D913</x:f>
        <x:v>60</x:v>
      </x:c>
      <x:c r="H913" s="1" t="str">
        <x:v>Explicit working-day lag</x:v>
      </x:c>
    </x:row>
    <x:row r="914" ht="23" customHeight="1">
      <x:c r="A914" s="6" t="str">
        <x:v>T1-L12-D</x:v>
      </x:c>
      <x:c r="B914" s="6" t="str">
        <x:v>PC-001</x:v>
      </x:c>
      <x:c r="C914" s="6" t="str">
        <x:v>FS</x:v>
      </x:c>
      <x:c r="D914" s="6" t="n">
        <x:v>0</x:v>
      </x:c>
      <x:c r="E914" s="6" t="n">
        <x:f>'Activities'!L148</x:f>
        <x:v>422</x:v>
      </x:c>
      <x:c r="F914" s="6" t="n">
        <x:f>'Activities'!K816</x:f>
        <x:v>482</x:v>
      </x:c>
      <x:c r="G914" s="6" t="n">
        <x:f>F914-E914-D914</x:f>
        <x:v>60</x:v>
      </x:c>
      <x:c r="H914" s="6" t="str">
        <x:v>Explicit working-day lag</x:v>
      </x:c>
    </x:row>
    <x:row r="915" ht="23" customHeight="1">
      <x:c r="A915" s="1" t="str">
        <x:v>T2-L00-D</x:v>
      </x:c>
      <x:c r="B915" s="1" t="str">
        <x:v>PC-001</x:v>
      </x:c>
      <x:c r="C915" s="1" t="str">
        <x:v>FS</x:v>
      </x:c>
      <x:c r="D915" s="1" t="n">
        <x:v>0</x:v>
      </x:c>
      <x:c r="E915" s="1" t="n">
        <x:f>'Activities'!L209</x:f>
        <x:v>429</x:v>
      </x:c>
      <x:c r="F915" s="1" t="n">
        <x:f>'Activities'!K816</x:f>
        <x:v>482</x:v>
      </x:c>
      <x:c r="G915" s="1" t="n">
        <x:f>F915-E915-D915</x:f>
        <x:v>53</x:v>
      </x:c>
      <x:c r="H915" s="1" t="str">
        <x:v>Explicit working-day lag</x:v>
      </x:c>
    </x:row>
    <x:row r="916" ht="23" customHeight="1">
      <x:c r="A916" s="6" t="str">
        <x:v>T2-L01-D</x:v>
      </x:c>
      <x:c r="B916" s="6" t="str">
        <x:v>PC-001</x:v>
      </x:c>
      <x:c r="C916" s="6" t="str">
        <x:v>FS</x:v>
      </x:c>
      <x:c r="D916" s="6" t="n">
        <x:v>0</x:v>
      </x:c>
      <x:c r="E916" s="6" t="n">
        <x:f>'Activities'!L215</x:f>
        <x:v>429</x:v>
      </x:c>
      <x:c r="F916" s="6" t="n">
        <x:f>'Activities'!K816</x:f>
        <x:v>482</x:v>
      </x:c>
      <x:c r="G916" s="6" t="n">
        <x:f>F916-E916-D916</x:f>
        <x:v>53</x:v>
      </x:c>
      <x:c r="H916" s="6" t="str">
        <x:v>Explicit working-day lag</x:v>
      </x:c>
    </x:row>
    <x:row r="917" ht="23" customHeight="1">
      <x:c r="A917" s="1" t="str">
        <x:v>T2-L02-D</x:v>
      </x:c>
      <x:c r="B917" s="1" t="str">
        <x:v>PC-001</x:v>
      </x:c>
      <x:c r="C917" s="1" t="str">
        <x:v>FS</x:v>
      </x:c>
      <x:c r="D917" s="1" t="n">
        <x:v>0</x:v>
      </x:c>
      <x:c r="E917" s="1" t="n">
        <x:f>'Activities'!L221</x:f>
        <x:v>429</x:v>
      </x:c>
      <x:c r="F917" s="1" t="n">
        <x:f>'Activities'!K816</x:f>
        <x:v>482</x:v>
      </x:c>
      <x:c r="G917" s="1" t="n">
        <x:f>F917-E917-D917</x:f>
        <x:v>53</x:v>
      </x:c>
      <x:c r="H917" s="1" t="str">
        <x:v>Explicit working-day lag</x:v>
      </x:c>
    </x:row>
    <x:row r="918" ht="23" customHeight="1">
      <x:c r="A918" s="6" t="str">
        <x:v>T2-L03-D</x:v>
      </x:c>
      <x:c r="B918" s="6" t="str">
        <x:v>PC-001</x:v>
      </x:c>
      <x:c r="C918" s="6" t="str">
        <x:v>FS</x:v>
      </x:c>
      <x:c r="D918" s="6" t="n">
        <x:v>0</x:v>
      </x:c>
      <x:c r="E918" s="6" t="n">
        <x:f>'Activities'!L227</x:f>
        <x:v>429</x:v>
      </x:c>
      <x:c r="F918" s="6" t="n">
        <x:f>'Activities'!K816</x:f>
        <x:v>482</x:v>
      </x:c>
      <x:c r="G918" s="6" t="n">
        <x:f>F918-E918-D918</x:f>
        <x:v>53</x:v>
      </x:c>
      <x:c r="H918" s="6" t="str">
        <x:v>Explicit working-day lag</x:v>
      </x:c>
    </x:row>
    <x:row r="919" ht="23" customHeight="1">
      <x:c r="A919" s="1" t="str">
        <x:v>T2-L04-D</x:v>
      </x:c>
      <x:c r="B919" s="1" t="str">
        <x:v>PC-001</x:v>
      </x:c>
      <x:c r="C919" s="1" t="str">
        <x:v>FS</x:v>
      </x:c>
      <x:c r="D919" s="1" t="n">
        <x:v>0</x:v>
      </x:c>
      <x:c r="E919" s="1" t="n">
        <x:f>'Activities'!L233</x:f>
        <x:v>429</x:v>
      </x:c>
      <x:c r="F919" s="1" t="n">
        <x:f>'Activities'!K816</x:f>
        <x:v>482</x:v>
      </x:c>
      <x:c r="G919" s="1" t="n">
        <x:f>F919-E919-D919</x:f>
        <x:v>53</x:v>
      </x:c>
      <x:c r="H919" s="1" t="str">
        <x:v>Explicit working-day lag</x:v>
      </x:c>
    </x:row>
    <x:row r="920" ht="23" customHeight="1">
      <x:c r="A920" s="6" t="str">
        <x:v>T2-L05-D</x:v>
      </x:c>
      <x:c r="B920" s="6" t="str">
        <x:v>PC-001</x:v>
      </x:c>
      <x:c r="C920" s="6" t="str">
        <x:v>FS</x:v>
      </x:c>
      <x:c r="D920" s="6" t="n">
        <x:v>0</x:v>
      </x:c>
      <x:c r="E920" s="6" t="n">
        <x:f>'Activities'!L239</x:f>
        <x:v>429</x:v>
      </x:c>
      <x:c r="F920" s="6" t="n">
        <x:f>'Activities'!K816</x:f>
        <x:v>482</x:v>
      </x:c>
      <x:c r="G920" s="6" t="n">
        <x:f>F920-E920-D920</x:f>
        <x:v>53</x:v>
      </x:c>
      <x:c r="H920" s="6" t="str">
        <x:v>Explicit working-day lag</x:v>
      </x:c>
    </x:row>
    <x:row r="921" ht="23" customHeight="1">
      <x:c r="A921" s="1" t="str">
        <x:v>T2-L06-D</x:v>
      </x:c>
      <x:c r="B921" s="1" t="str">
        <x:v>PC-001</x:v>
      </x:c>
      <x:c r="C921" s="1" t="str">
        <x:v>FS</x:v>
      </x:c>
      <x:c r="D921" s="1" t="n">
        <x:v>0</x:v>
      </x:c>
      <x:c r="E921" s="1" t="n">
        <x:f>'Activities'!L245</x:f>
        <x:v>429</x:v>
      </x:c>
      <x:c r="F921" s="1" t="n">
        <x:f>'Activities'!K816</x:f>
        <x:v>482</x:v>
      </x:c>
      <x:c r="G921" s="1" t="n">
        <x:f>F921-E921-D921</x:f>
        <x:v>53</x:v>
      </x:c>
      <x:c r="H921" s="1" t="str">
        <x:v>Explicit working-day lag</x:v>
      </x:c>
    </x:row>
    <x:row r="922" ht="23" customHeight="1">
      <x:c r="A922" s="6" t="str">
        <x:v>T2-L07-D</x:v>
      </x:c>
      <x:c r="B922" s="6" t="str">
        <x:v>PC-001</x:v>
      </x:c>
      <x:c r="C922" s="6" t="str">
        <x:v>FS</x:v>
      </x:c>
      <x:c r="D922" s="6" t="n">
        <x:v>0</x:v>
      </x:c>
      <x:c r="E922" s="6" t="n">
        <x:f>'Activities'!L251</x:f>
        <x:v>429</x:v>
      </x:c>
      <x:c r="F922" s="6" t="n">
        <x:f>'Activities'!K816</x:f>
        <x:v>482</x:v>
      </x:c>
      <x:c r="G922" s="6" t="n">
        <x:f>F922-E922-D922</x:f>
        <x:v>53</x:v>
      </x:c>
      <x:c r="H922" s="6" t="str">
        <x:v>Explicit working-day lag</x:v>
      </x:c>
    </x:row>
    <x:row r="923" ht="23" customHeight="1">
      <x:c r="A923" s="1" t="str">
        <x:v>T2-L08-D</x:v>
      </x:c>
      <x:c r="B923" s="1" t="str">
        <x:v>PC-001</x:v>
      </x:c>
      <x:c r="C923" s="1" t="str">
        <x:v>FS</x:v>
      </x:c>
      <x:c r="D923" s="1" t="n">
        <x:v>0</x:v>
      </x:c>
      <x:c r="E923" s="1" t="n">
        <x:f>'Activities'!L257</x:f>
        <x:v>429</x:v>
      </x:c>
      <x:c r="F923" s="1" t="n">
        <x:f>'Activities'!K816</x:f>
        <x:v>482</x:v>
      </x:c>
      <x:c r="G923" s="1" t="n">
        <x:f>F923-E923-D923</x:f>
        <x:v>53</x:v>
      </x:c>
      <x:c r="H923" s="1" t="str">
        <x:v>Explicit working-day lag</x:v>
      </x:c>
    </x:row>
    <x:row r="924" ht="23" customHeight="1">
      <x:c r="A924" s="6" t="str">
        <x:v>T2-L09-D</x:v>
      </x:c>
      <x:c r="B924" s="6" t="str">
        <x:v>PC-001</x:v>
      </x:c>
      <x:c r="C924" s="6" t="str">
        <x:v>FS</x:v>
      </x:c>
      <x:c r="D924" s="6" t="n">
        <x:v>0</x:v>
      </x:c>
      <x:c r="E924" s="6" t="n">
        <x:f>'Activities'!L263</x:f>
        <x:v>434</x:v>
      </x:c>
      <x:c r="F924" s="6" t="n">
        <x:f>'Activities'!K816</x:f>
        <x:v>482</x:v>
      </x:c>
      <x:c r="G924" s="6" t="n">
        <x:f>F924-E924-D924</x:f>
        <x:v>48</x:v>
      </x:c>
      <x:c r="H924" s="6" t="str">
        <x:v>Explicit working-day lag</x:v>
      </x:c>
    </x:row>
    <x:row r="925" ht="23" customHeight="1">
      <x:c r="A925" s="1" t="str">
        <x:v>T2-L10-D</x:v>
      </x:c>
      <x:c r="B925" s="1" t="str">
        <x:v>PC-001</x:v>
      </x:c>
      <x:c r="C925" s="1" t="str">
        <x:v>FS</x:v>
      </x:c>
      <x:c r="D925" s="1" t="n">
        <x:v>0</x:v>
      </x:c>
      <x:c r="E925" s="1" t="n">
        <x:f>'Activities'!L269</x:f>
        <x:v>434</x:v>
      </x:c>
      <x:c r="F925" s="1" t="n">
        <x:f>'Activities'!K816</x:f>
        <x:v>482</x:v>
      </x:c>
      <x:c r="G925" s="1" t="n">
        <x:f>F925-E925-D925</x:f>
        <x:v>48</x:v>
      </x:c>
      <x:c r="H925" s="1" t="str">
        <x:v>Explicit working-day lag</x:v>
      </x:c>
    </x:row>
    <x:row r="926" ht="23" customHeight="1">
      <x:c r="A926" s="6" t="str">
        <x:v>T2-L11-D</x:v>
      </x:c>
      <x:c r="B926" s="6" t="str">
        <x:v>PC-001</x:v>
      </x:c>
      <x:c r="C926" s="6" t="str">
        <x:v>FS</x:v>
      </x:c>
      <x:c r="D926" s="6" t="n">
        <x:v>0</x:v>
      </x:c>
      <x:c r="E926" s="6" t="n">
        <x:f>'Activities'!L275</x:f>
        <x:v>434</x:v>
      </x:c>
      <x:c r="F926" s="6" t="n">
        <x:f>'Activities'!K816</x:f>
        <x:v>482</x:v>
      </x:c>
      <x:c r="G926" s="6" t="n">
        <x:f>F926-E926-D926</x:f>
        <x:v>48</x:v>
      </x:c>
      <x:c r="H926" s="6" t="str">
        <x:v>Explicit working-day lag</x:v>
      </x:c>
    </x:row>
    <x:row r="927" ht="23" customHeight="1">
      <x:c r="A927" s="1" t="str">
        <x:v>T2-L12-D</x:v>
      </x:c>
      <x:c r="B927" s="1" t="str">
        <x:v>PC-001</x:v>
      </x:c>
      <x:c r="C927" s="1" t="str">
        <x:v>FS</x:v>
      </x:c>
      <x:c r="D927" s="1" t="n">
        <x:v>0</x:v>
      </x:c>
      <x:c r="E927" s="1" t="n">
        <x:f>'Activities'!L281</x:f>
        <x:v>434</x:v>
      </x:c>
      <x:c r="F927" s="1" t="n">
        <x:f>'Activities'!K816</x:f>
        <x:v>482</x:v>
      </x:c>
      <x:c r="G927" s="1" t="n">
        <x:f>F927-E927-D927</x:f>
        <x:v>48</x:v>
      </x:c>
      <x:c r="H927" s="1" t="str">
        <x:v>Explicit working-day lag</x:v>
      </x:c>
    </x:row>
    <x:row r="928" ht="23" customHeight="1">
      <x:c r="A928" s="6" t="str">
        <x:v>T3-L00-D</x:v>
      </x:c>
      <x:c r="B928" s="6" t="str">
        <x:v>PC-001</x:v>
      </x:c>
      <x:c r="C928" s="6" t="str">
        <x:v>FS</x:v>
      </x:c>
      <x:c r="D928" s="6" t="n">
        <x:v>0</x:v>
      </x:c>
      <x:c r="E928" s="6" t="n">
        <x:f>'Activities'!L342</x:f>
        <x:v>441</x:v>
      </x:c>
      <x:c r="F928" s="6" t="n">
        <x:f>'Activities'!K816</x:f>
        <x:v>482</x:v>
      </x:c>
      <x:c r="G928" s="6" t="n">
        <x:f>F928-E928-D928</x:f>
        <x:v>41</x:v>
      </x:c>
      <x:c r="H928" s="6" t="str">
        <x:v>Explicit working-day lag</x:v>
      </x:c>
    </x:row>
    <x:row r="929" ht="23" customHeight="1">
      <x:c r="A929" s="1" t="str">
        <x:v>T3-L01-D</x:v>
      </x:c>
      <x:c r="B929" s="1" t="str">
        <x:v>PC-001</x:v>
      </x:c>
      <x:c r="C929" s="1" t="str">
        <x:v>FS</x:v>
      </x:c>
      <x:c r="D929" s="1" t="n">
        <x:v>0</x:v>
      </x:c>
      <x:c r="E929" s="1" t="n">
        <x:f>'Activities'!L348</x:f>
        <x:v>441</x:v>
      </x:c>
      <x:c r="F929" s="1" t="n">
        <x:f>'Activities'!K816</x:f>
        <x:v>482</x:v>
      </x:c>
      <x:c r="G929" s="1" t="n">
        <x:f>F929-E929-D929</x:f>
        <x:v>41</x:v>
      </x:c>
      <x:c r="H929" s="1" t="str">
        <x:v>Explicit working-day lag</x:v>
      </x:c>
    </x:row>
    <x:row r="930" ht="23" customHeight="1">
      <x:c r="A930" s="6" t="str">
        <x:v>T3-L02-D</x:v>
      </x:c>
      <x:c r="B930" s="6" t="str">
        <x:v>PC-001</x:v>
      </x:c>
      <x:c r="C930" s="6" t="str">
        <x:v>FS</x:v>
      </x:c>
      <x:c r="D930" s="6" t="n">
        <x:v>0</x:v>
      </x:c>
      <x:c r="E930" s="6" t="n">
        <x:f>'Activities'!L354</x:f>
        <x:v>441</x:v>
      </x:c>
      <x:c r="F930" s="6" t="n">
        <x:f>'Activities'!K816</x:f>
        <x:v>482</x:v>
      </x:c>
      <x:c r="G930" s="6" t="n">
        <x:f>F930-E930-D930</x:f>
        <x:v>41</x:v>
      </x:c>
      <x:c r="H930" s="6" t="str">
        <x:v>Explicit working-day lag</x:v>
      </x:c>
    </x:row>
    <x:row r="931" ht="23" customHeight="1">
      <x:c r="A931" s="1" t="str">
        <x:v>T3-L03-D</x:v>
      </x:c>
      <x:c r="B931" s="1" t="str">
        <x:v>PC-001</x:v>
      </x:c>
      <x:c r="C931" s="1" t="str">
        <x:v>FS</x:v>
      </x:c>
      <x:c r="D931" s="1" t="n">
        <x:v>0</x:v>
      </x:c>
      <x:c r="E931" s="1" t="n">
        <x:f>'Activities'!L360</x:f>
        <x:v>441</x:v>
      </x:c>
      <x:c r="F931" s="1" t="n">
        <x:f>'Activities'!K816</x:f>
        <x:v>482</x:v>
      </x:c>
      <x:c r="G931" s="1" t="n">
        <x:f>F931-E931-D931</x:f>
        <x:v>41</x:v>
      </x:c>
      <x:c r="H931" s="1" t="str">
        <x:v>Explicit working-day lag</x:v>
      </x:c>
    </x:row>
    <x:row r="932" ht="23" customHeight="1">
      <x:c r="A932" s="6" t="str">
        <x:v>T3-L04-D</x:v>
      </x:c>
      <x:c r="B932" s="6" t="str">
        <x:v>PC-001</x:v>
      </x:c>
      <x:c r="C932" s="6" t="str">
        <x:v>FS</x:v>
      </x:c>
      <x:c r="D932" s="6" t="n">
        <x:v>0</x:v>
      </x:c>
      <x:c r="E932" s="6" t="n">
        <x:f>'Activities'!L366</x:f>
        <x:v>441</x:v>
      </x:c>
      <x:c r="F932" s="6" t="n">
        <x:f>'Activities'!K816</x:f>
        <x:v>482</x:v>
      </x:c>
      <x:c r="G932" s="6" t="n">
        <x:f>F932-E932-D932</x:f>
        <x:v>41</x:v>
      </x:c>
      <x:c r="H932" s="6" t="str">
        <x:v>Explicit working-day lag</x:v>
      </x:c>
    </x:row>
    <x:row r="933" ht="23" customHeight="1">
      <x:c r="A933" s="1" t="str">
        <x:v>T3-L05-D</x:v>
      </x:c>
      <x:c r="B933" s="1" t="str">
        <x:v>PC-001</x:v>
      </x:c>
      <x:c r="C933" s="1" t="str">
        <x:v>FS</x:v>
      </x:c>
      <x:c r="D933" s="1" t="n">
        <x:v>0</x:v>
      </x:c>
      <x:c r="E933" s="1" t="n">
        <x:f>'Activities'!L372</x:f>
        <x:v>441</x:v>
      </x:c>
      <x:c r="F933" s="1" t="n">
        <x:f>'Activities'!K816</x:f>
        <x:v>482</x:v>
      </x:c>
      <x:c r="G933" s="1" t="n">
        <x:f>F933-E933-D933</x:f>
        <x:v>41</x:v>
      </x:c>
      <x:c r="H933" s="1" t="str">
        <x:v>Explicit working-day lag</x:v>
      </x:c>
    </x:row>
    <x:row r="934" ht="23" customHeight="1">
      <x:c r="A934" s="6" t="str">
        <x:v>T3-L06-D</x:v>
      </x:c>
      <x:c r="B934" s="6" t="str">
        <x:v>PC-001</x:v>
      </x:c>
      <x:c r="C934" s="6" t="str">
        <x:v>FS</x:v>
      </x:c>
      <x:c r="D934" s="6" t="n">
        <x:v>0</x:v>
      </x:c>
      <x:c r="E934" s="6" t="n">
        <x:f>'Activities'!L378</x:f>
        <x:v>441</x:v>
      </x:c>
      <x:c r="F934" s="6" t="n">
        <x:f>'Activities'!K816</x:f>
        <x:v>482</x:v>
      </x:c>
      <x:c r="G934" s="6" t="n">
        <x:f>F934-E934-D934</x:f>
        <x:v>41</x:v>
      </x:c>
      <x:c r="H934" s="6" t="str">
        <x:v>Explicit working-day lag</x:v>
      </x:c>
    </x:row>
    <x:row r="935" ht="23" customHeight="1">
      <x:c r="A935" s="1" t="str">
        <x:v>T3-L07-D</x:v>
      </x:c>
      <x:c r="B935" s="1" t="str">
        <x:v>PC-001</x:v>
      </x:c>
      <x:c r="C935" s="1" t="str">
        <x:v>FS</x:v>
      </x:c>
      <x:c r="D935" s="1" t="n">
        <x:v>0</x:v>
      </x:c>
      <x:c r="E935" s="1" t="n">
        <x:f>'Activities'!L384</x:f>
        <x:v>441</x:v>
      </x:c>
      <x:c r="F935" s="1" t="n">
        <x:f>'Activities'!K816</x:f>
        <x:v>482</x:v>
      </x:c>
      <x:c r="G935" s="1" t="n">
        <x:f>F935-E935-D935</x:f>
        <x:v>41</x:v>
      </x:c>
      <x:c r="H935" s="1" t="str">
        <x:v>Explicit working-day lag</x:v>
      </x:c>
    </x:row>
    <x:row r="936" ht="23" customHeight="1">
      <x:c r="A936" s="6" t="str">
        <x:v>T3-L08-D</x:v>
      </x:c>
      <x:c r="B936" s="6" t="str">
        <x:v>PC-001</x:v>
      </x:c>
      <x:c r="C936" s="6" t="str">
        <x:v>FS</x:v>
      </x:c>
      <x:c r="D936" s="6" t="n">
        <x:v>0</x:v>
      </x:c>
      <x:c r="E936" s="6" t="n">
        <x:f>'Activities'!L390</x:f>
        <x:v>441</x:v>
      </x:c>
      <x:c r="F936" s="6" t="n">
        <x:f>'Activities'!K816</x:f>
        <x:v>482</x:v>
      </x:c>
      <x:c r="G936" s="6" t="n">
        <x:f>F936-E936-D936</x:f>
        <x:v>41</x:v>
      </x:c>
      <x:c r="H936" s="6" t="str">
        <x:v>Explicit working-day lag</x:v>
      </x:c>
    </x:row>
    <x:row r="937" ht="23" customHeight="1">
      <x:c r="A937" s="1" t="str">
        <x:v>T3-L09-D</x:v>
      </x:c>
      <x:c r="B937" s="1" t="str">
        <x:v>PC-001</x:v>
      </x:c>
      <x:c r="C937" s="1" t="str">
        <x:v>FS</x:v>
      </x:c>
      <x:c r="D937" s="1" t="n">
        <x:v>0</x:v>
      </x:c>
      <x:c r="E937" s="1" t="n">
        <x:f>'Activities'!L396</x:f>
        <x:v>446</x:v>
      </x:c>
      <x:c r="F937" s="1" t="n">
        <x:f>'Activities'!K816</x:f>
        <x:v>482</x:v>
      </x:c>
      <x:c r="G937" s="1" t="n">
        <x:f>F937-E937-D937</x:f>
        <x:v>36</x:v>
      </x:c>
      <x:c r="H937" s="1" t="str">
        <x:v>Explicit working-day lag</x:v>
      </x:c>
    </x:row>
    <x:row r="938" ht="23" customHeight="1">
      <x:c r="A938" s="6" t="str">
        <x:v>T3-L10-D</x:v>
      </x:c>
      <x:c r="B938" s="6" t="str">
        <x:v>PC-001</x:v>
      </x:c>
      <x:c r="C938" s="6" t="str">
        <x:v>FS</x:v>
      </x:c>
      <x:c r="D938" s="6" t="n">
        <x:v>0</x:v>
      </x:c>
      <x:c r="E938" s="6" t="n">
        <x:f>'Activities'!L402</x:f>
        <x:v>446</x:v>
      </x:c>
      <x:c r="F938" s="6" t="n">
        <x:f>'Activities'!K816</x:f>
        <x:v>482</x:v>
      </x:c>
      <x:c r="G938" s="6" t="n">
        <x:f>F938-E938-D938</x:f>
        <x:v>36</x:v>
      </x:c>
      <x:c r="H938" s="6" t="str">
        <x:v>Explicit working-day lag</x:v>
      </x:c>
    </x:row>
    <x:row r="939" ht="23" customHeight="1">
      <x:c r="A939" s="1" t="str">
        <x:v>T3-L11-D</x:v>
      </x:c>
      <x:c r="B939" s="1" t="str">
        <x:v>PC-001</x:v>
      </x:c>
      <x:c r="C939" s="1" t="str">
        <x:v>FS</x:v>
      </x:c>
      <x:c r="D939" s="1" t="n">
        <x:v>0</x:v>
      </x:c>
      <x:c r="E939" s="1" t="n">
        <x:f>'Activities'!L408</x:f>
        <x:v>446</x:v>
      </x:c>
      <x:c r="F939" s="1" t="n">
        <x:f>'Activities'!K816</x:f>
        <x:v>482</x:v>
      </x:c>
      <x:c r="G939" s="1" t="n">
        <x:f>F939-E939-D939</x:f>
        <x:v>36</x:v>
      </x:c>
      <x:c r="H939" s="1" t="str">
        <x:v>Explicit working-day lag</x:v>
      </x:c>
    </x:row>
    <x:row r="940" ht="23" customHeight="1">
      <x:c r="A940" s="6" t="str">
        <x:v>T3-L12-D</x:v>
      </x:c>
      <x:c r="B940" s="6" t="str">
        <x:v>PC-001</x:v>
      </x:c>
      <x:c r="C940" s="6" t="str">
        <x:v>FS</x:v>
      </x:c>
      <x:c r="D940" s="6" t="n">
        <x:v>0</x:v>
      </x:c>
      <x:c r="E940" s="6" t="n">
        <x:f>'Activities'!L414</x:f>
        <x:v>446</x:v>
      </x:c>
      <x:c r="F940" s="6" t="n">
        <x:f>'Activities'!K816</x:f>
        <x:v>482</x:v>
      </x:c>
      <x:c r="G940" s="6" t="n">
        <x:f>F940-E940-D940</x:f>
        <x:v>36</x:v>
      </x:c>
      <x:c r="H940" s="6" t="str">
        <x:v>Explicit working-day lag</x:v>
      </x:c>
    </x:row>
    <x:row r="941" ht="23" customHeight="1">
      <x:c r="A941" s="1" t="str">
        <x:v>T4-L00-D</x:v>
      </x:c>
      <x:c r="B941" s="1" t="str">
        <x:v>PC-001</x:v>
      </x:c>
      <x:c r="C941" s="1" t="str">
        <x:v>FS</x:v>
      </x:c>
      <x:c r="D941" s="1" t="n">
        <x:v>0</x:v>
      </x:c>
      <x:c r="E941" s="1" t="n">
        <x:f>'Activities'!L475</x:f>
        <x:v>453</x:v>
      </x:c>
      <x:c r="F941" s="1" t="n">
        <x:f>'Activities'!K816</x:f>
        <x:v>482</x:v>
      </x:c>
      <x:c r="G941" s="1" t="n">
        <x:f>F941-E941-D941</x:f>
        <x:v>29</x:v>
      </x:c>
      <x:c r="H941" s="1" t="str">
        <x:v>Explicit working-day lag</x:v>
      </x:c>
    </x:row>
    <x:row r="942" ht="23" customHeight="1">
      <x:c r="A942" s="6" t="str">
        <x:v>T4-L01-D</x:v>
      </x:c>
      <x:c r="B942" s="6" t="str">
        <x:v>PC-001</x:v>
      </x:c>
      <x:c r="C942" s="6" t="str">
        <x:v>FS</x:v>
      </x:c>
      <x:c r="D942" s="6" t="n">
        <x:v>0</x:v>
      </x:c>
      <x:c r="E942" s="6" t="n">
        <x:f>'Activities'!L481</x:f>
        <x:v>453</x:v>
      </x:c>
      <x:c r="F942" s="6" t="n">
        <x:f>'Activities'!K816</x:f>
        <x:v>482</x:v>
      </x:c>
      <x:c r="G942" s="6" t="n">
        <x:f>F942-E942-D942</x:f>
        <x:v>29</x:v>
      </x:c>
      <x:c r="H942" s="6" t="str">
        <x:v>Explicit working-day lag</x:v>
      </x:c>
    </x:row>
    <x:row r="943" ht="23" customHeight="1">
      <x:c r="A943" s="1" t="str">
        <x:v>T4-L02-D</x:v>
      </x:c>
      <x:c r="B943" s="1" t="str">
        <x:v>PC-001</x:v>
      </x:c>
      <x:c r="C943" s="1" t="str">
        <x:v>FS</x:v>
      </x:c>
      <x:c r="D943" s="1" t="n">
        <x:v>0</x:v>
      </x:c>
      <x:c r="E943" s="1" t="n">
        <x:f>'Activities'!L487</x:f>
        <x:v>453</x:v>
      </x:c>
      <x:c r="F943" s="1" t="n">
        <x:f>'Activities'!K816</x:f>
        <x:v>482</x:v>
      </x:c>
      <x:c r="G943" s="1" t="n">
        <x:f>F943-E943-D943</x:f>
        <x:v>29</x:v>
      </x:c>
      <x:c r="H943" s="1" t="str">
        <x:v>Explicit working-day lag</x:v>
      </x:c>
    </x:row>
    <x:row r="944" ht="23" customHeight="1">
      <x:c r="A944" s="6" t="str">
        <x:v>T4-L03-D</x:v>
      </x:c>
      <x:c r="B944" s="6" t="str">
        <x:v>PC-001</x:v>
      </x:c>
      <x:c r="C944" s="6" t="str">
        <x:v>FS</x:v>
      </x:c>
      <x:c r="D944" s="6" t="n">
        <x:v>0</x:v>
      </x:c>
      <x:c r="E944" s="6" t="n">
        <x:f>'Activities'!L493</x:f>
        <x:v>453</x:v>
      </x:c>
      <x:c r="F944" s="6" t="n">
        <x:f>'Activities'!K816</x:f>
        <x:v>482</x:v>
      </x:c>
      <x:c r="G944" s="6" t="n">
        <x:f>F944-E944-D944</x:f>
        <x:v>29</x:v>
      </x:c>
      <x:c r="H944" s="6" t="str">
        <x:v>Explicit working-day lag</x:v>
      </x:c>
    </x:row>
    <x:row r="945" ht="23" customHeight="1">
      <x:c r="A945" s="1" t="str">
        <x:v>T4-L04-D</x:v>
      </x:c>
      <x:c r="B945" s="1" t="str">
        <x:v>PC-001</x:v>
      </x:c>
      <x:c r="C945" s="1" t="str">
        <x:v>FS</x:v>
      </x:c>
      <x:c r="D945" s="1" t="n">
        <x:v>0</x:v>
      </x:c>
      <x:c r="E945" s="1" t="n">
        <x:f>'Activities'!L499</x:f>
        <x:v>453</x:v>
      </x:c>
      <x:c r="F945" s="1" t="n">
        <x:f>'Activities'!K816</x:f>
        <x:v>482</x:v>
      </x:c>
      <x:c r="G945" s="1" t="n">
        <x:f>F945-E945-D945</x:f>
        <x:v>29</x:v>
      </x:c>
      <x:c r="H945" s="1" t="str">
        <x:v>Explicit working-day lag</x:v>
      </x:c>
    </x:row>
    <x:row r="946" ht="23" customHeight="1">
      <x:c r="A946" s="6" t="str">
        <x:v>T4-L05-D</x:v>
      </x:c>
      <x:c r="B946" s="6" t="str">
        <x:v>PC-001</x:v>
      </x:c>
      <x:c r="C946" s="6" t="str">
        <x:v>FS</x:v>
      </x:c>
      <x:c r="D946" s="6" t="n">
        <x:v>0</x:v>
      </x:c>
      <x:c r="E946" s="6" t="n">
        <x:f>'Activities'!L505</x:f>
        <x:v>453</x:v>
      </x:c>
      <x:c r="F946" s="6" t="n">
        <x:f>'Activities'!K816</x:f>
        <x:v>482</x:v>
      </x:c>
      <x:c r="G946" s="6" t="n">
        <x:f>F946-E946-D946</x:f>
        <x:v>29</x:v>
      </x:c>
      <x:c r="H946" s="6" t="str">
        <x:v>Explicit working-day lag</x:v>
      </x:c>
    </x:row>
    <x:row r="947" ht="23" customHeight="1">
      <x:c r="A947" s="1" t="str">
        <x:v>T4-L06-D</x:v>
      </x:c>
      <x:c r="B947" s="1" t="str">
        <x:v>PC-001</x:v>
      </x:c>
      <x:c r="C947" s="1" t="str">
        <x:v>FS</x:v>
      </x:c>
      <x:c r="D947" s="1" t="n">
        <x:v>0</x:v>
      </x:c>
      <x:c r="E947" s="1" t="n">
        <x:f>'Activities'!L511</x:f>
        <x:v>453</x:v>
      </x:c>
      <x:c r="F947" s="1" t="n">
        <x:f>'Activities'!K816</x:f>
        <x:v>482</x:v>
      </x:c>
      <x:c r="G947" s="1" t="n">
        <x:f>F947-E947-D947</x:f>
        <x:v>29</x:v>
      </x:c>
      <x:c r="H947" s="1" t="str">
        <x:v>Explicit working-day lag</x:v>
      </x:c>
    </x:row>
    <x:row r="948" ht="23" customHeight="1">
      <x:c r="A948" s="6" t="str">
        <x:v>T4-L07-D</x:v>
      </x:c>
      <x:c r="B948" s="6" t="str">
        <x:v>PC-001</x:v>
      </x:c>
      <x:c r="C948" s="6" t="str">
        <x:v>FS</x:v>
      </x:c>
      <x:c r="D948" s="6" t="n">
        <x:v>0</x:v>
      </x:c>
      <x:c r="E948" s="6" t="n">
        <x:f>'Activities'!L517</x:f>
        <x:v>453</x:v>
      </x:c>
      <x:c r="F948" s="6" t="n">
        <x:f>'Activities'!K816</x:f>
        <x:v>482</x:v>
      </x:c>
      <x:c r="G948" s="6" t="n">
        <x:f>F948-E948-D948</x:f>
        <x:v>29</x:v>
      </x:c>
      <x:c r="H948" s="6" t="str">
        <x:v>Explicit working-day lag</x:v>
      </x:c>
    </x:row>
    <x:row r="949" ht="23" customHeight="1">
      <x:c r="A949" s="1" t="str">
        <x:v>T4-L08-D</x:v>
      </x:c>
      <x:c r="B949" s="1" t="str">
        <x:v>PC-001</x:v>
      </x:c>
      <x:c r="C949" s="1" t="str">
        <x:v>FS</x:v>
      </x:c>
      <x:c r="D949" s="1" t="n">
        <x:v>0</x:v>
      </x:c>
      <x:c r="E949" s="1" t="n">
        <x:f>'Activities'!L523</x:f>
        <x:v>453</x:v>
      </x:c>
      <x:c r="F949" s="1" t="n">
        <x:f>'Activities'!K816</x:f>
        <x:v>482</x:v>
      </x:c>
      <x:c r="G949" s="1" t="n">
        <x:f>F949-E949-D949</x:f>
        <x:v>29</x:v>
      </x:c>
      <x:c r="H949" s="1" t="str">
        <x:v>Explicit working-day lag</x:v>
      </x:c>
    </x:row>
    <x:row r="950" ht="23" customHeight="1">
      <x:c r="A950" s="6" t="str">
        <x:v>T4-L09-D</x:v>
      </x:c>
      <x:c r="B950" s="6" t="str">
        <x:v>PC-001</x:v>
      </x:c>
      <x:c r="C950" s="6" t="str">
        <x:v>FS</x:v>
      </x:c>
      <x:c r="D950" s="6" t="n">
        <x:v>0</x:v>
      </x:c>
      <x:c r="E950" s="6" t="n">
        <x:f>'Activities'!L529</x:f>
        <x:v>458</x:v>
      </x:c>
      <x:c r="F950" s="6" t="n">
        <x:f>'Activities'!K816</x:f>
        <x:v>482</x:v>
      </x:c>
      <x:c r="G950" s="6" t="n">
        <x:f>F950-E950-D950</x:f>
        <x:v>24</x:v>
      </x:c>
      <x:c r="H950" s="6" t="str">
        <x:v>Explicit working-day lag</x:v>
      </x:c>
    </x:row>
    <x:row r="951" ht="23" customHeight="1">
      <x:c r="A951" s="1" t="str">
        <x:v>T4-L10-D</x:v>
      </x:c>
      <x:c r="B951" s="1" t="str">
        <x:v>PC-001</x:v>
      </x:c>
      <x:c r="C951" s="1" t="str">
        <x:v>FS</x:v>
      </x:c>
      <x:c r="D951" s="1" t="n">
        <x:v>0</x:v>
      </x:c>
      <x:c r="E951" s="1" t="n">
        <x:f>'Activities'!L535</x:f>
        <x:v>458</x:v>
      </x:c>
      <x:c r="F951" s="1" t="n">
        <x:f>'Activities'!K816</x:f>
        <x:v>482</x:v>
      </x:c>
      <x:c r="G951" s="1" t="n">
        <x:f>F951-E951-D951</x:f>
        <x:v>24</x:v>
      </x:c>
      <x:c r="H951" s="1" t="str">
        <x:v>Explicit working-day lag</x:v>
      </x:c>
    </x:row>
    <x:row r="952" ht="23" customHeight="1">
      <x:c r="A952" s="6" t="str">
        <x:v>T4-L11-D</x:v>
      </x:c>
      <x:c r="B952" s="6" t="str">
        <x:v>PC-001</x:v>
      </x:c>
      <x:c r="C952" s="6" t="str">
        <x:v>FS</x:v>
      </x:c>
      <x:c r="D952" s="6" t="n">
        <x:v>0</x:v>
      </x:c>
      <x:c r="E952" s="6" t="n">
        <x:f>'Activities'!L541</x:f>
        <x:v>458</x:v>
      </x:c>
      <x:c r="F952" s="6" t="n">
        <x:f>'Activities'!K816</x:f>
        <x:v>482</x:v>
      </x:c>
      <x:c r="G952" s="6" t="n">
        <x:f>F952-E952-D952</x:f>
        <x:v>24</x:v>
      </x:c>
      <x:c r="H952" s="6" t="str">
        <x:v>Explicit working-day lag</x:v>
      </x:c>
    </x:row>
    <x:row r="953" ht="23" customHeight="1">
      <x:c r="A953" s="1" t="str">
        <x:v>T4-L12-D</x:v>
      </x:c>
      <x:c r="B953" s="1" t="str">
        <x:v>PC-001</x:v>
      </x:c>
      <x:c r="C953" s="1" t="str">
        <x:v>FS</x:v>
      </x:c>
      <x:c r="D953" s="1" t="n">
        <x:v>0</x:v>
      </x:c>
      <x:c r="E953" s="1" t="n">
        <x:f>'Activities'!L547</x:f>
        <x:v>458</x:v>
      </x:c>
      <x:c r="F953" s="1" t="n">
        <x:f>'Activities'!K816</x:f>
        <x:v>482</x:v>
      </x:c>
      <x:c r="G953" s="1" t="n">
        <x:f>F953-E953-D953</x:f>
        <x:v>24</x:v>
      </x:c>
      <x:c r="H953" s="1" t="str">
        <x:v>Explicit working-day lag</x:v>
      </x:c>
    </x:row>
    <x:row r="954" ht="23" customHeight="1">
      <x:c r="A954" s="6" t="str">
        <x:v>T5-L00-D</x:v>
      </x:c>
      <x:c r="B954" s="6" t="str">
        <x:v>PC-001</x:v>
      </x:c>
      <x:c r="C954" s="6" t="str">
        <x:v>FS</x:v>
      </x:c>
      <x:c r="D954" s="6" t="n">
        <x:v>0</x:v>
      </x:c>
      <x:c r="E954" s="6" t="n">
        <x:f>'Activities'!L608</x:f>
        <x:v>465</x:v>
      </x:c>
      <x:c r="F954" s="6" t="n">
        <x:f>'Activities'!K816</x:f>
        <x:v>482</x:v>
      </x:c>
      <x:c r="G954" s="6" t="n">
        <x:f>F954-E954-D954</x:f>
        <x:v>17</x:v>
      </x:c>
      <x:c r="H954" s="6" t="str">
        <x:v>Explicit working-day lag</x:v>
      </x:c>
    </x:row>
    <x:row r="955" ht="23" customHeight="1">
      <x:c r="A955" s="1" t="str">
        <x:v>T5-L01-D</x:v>
      </x:c>
      <x:c r="B955" s="1" t="str">
        <x:v>PC-001</x:v>
      </x:c>
      <x:c r="C955" s="1" t="str">
        <x:v>FS</x:v>
      </x:c>
      <x:c r="D955" s="1" t="n">
        <x:v>0</x:v>
      </x:c>
      <x:c r="E955" s="1" t="n">
        <x:f>'Activities'!L614</x:f>
        <x:v>465</x:v>
      </x:c>
      <x:c r="F955" s="1" t="n">
        <x:f>'Activities'!K816</x:f>
        <x:v>482</x:v>
      </x:c>
      <x:c r="G955" s="1" t="n">
        <x:f>F955-E955-D955</x:f>
        <x:v>17</x:v>
      </x:c>
      <x:c r="H955" s="1" t="str">
        <x:v>Explicit working-day lag</x:v>
      </x:c>
    </x:row>
    <x:row r="956" ht="23" customHeight="1">
      <x:c r="A956" s="6" t="str">
        <x:v>T5-L02-D</x:v>
      </x:c>
      <x:c r="B956" s="6" t="str">
        <x:v>PC-001</x:v>
      </x:c>
      <x:c r="C956" s="6" t="str">
        <x:v>FS</x:v>
      </x:c>
      <x:c r="D956" s="6" t="n">
        <x:v>0</x:v>
      </x:c>
      <x:c r="E956" s="6" t="n">
        <x:f>'Activities'!L620</x:f>
        <x:v>465</x:v>
      </x:c>
      <x:c r="F956" s="6" t="n">
        <x:f>'Activities'!K816</x:f>
        <x:v>482</x:v>
      </x:c>
      <x:c r="G956" s="6" t="n">
        <x:f>F956-E956-D956</x:f>
        <x:v>17</x:v>
      </x:c>
      <x:c r="H956" s="6" t="str">
        <x:v>Explicit working-day lag</x:v>
      </x:c>
    </x:row>
    <x:row r="957" ht="23" customHeight="1">
      <x:c r="A957" s="1" t="str">
        <x:v>T5-L03-D</x:v>
      </x:c>
      <x:c r="B957" s="1" t="str">
        <x:v>PC-001</x:v>
      </x:c>
      <x:c r="C957" s="1" t="str">
        <x:v>FS</x:v>
      </x:c>
      <x:c r="D957" s="1" t="n">
        <x:v>0</x:v>
      </x:c>
      <x:c r="E957" s="1" t="n">
        <x:f>'Activities'!L626</x:f>
        <x:v>465</x:v>
      </x:c>
      <x:c r="F957" s="1" t="n">
        <x:f>'Activities'!K816</x:f>
        <x:v>482</x:v>
      </x:c>
      <x:c r="G957" s="1" t="n">
        <x:f>F957-E957-D957</x:f>
        <x:v>17</x:v>
      </x:c>
      <x:c r="H957" s="1" t="str">
        <x:v>Explicit working-day lag</x:v>
      </x:c>
    </x:row>
    <x:row r="958" ht="23" customHeight="1">
      <x:c r="A958" s="6" t="str">
        <x:v>T5-L04-D</x:v>
      </x:c>
      <x:c r="B958" s="6" t="str">
        <x:v>PC-001</x:v>
      </x:c>
      <x:c r="C958" s="6" t="str">
        <x:v>FS</x:v>
      </x:c>
      <x:c r="D958" s="6" t="n">
        <x:v>0</x:v>
      </x:c>
      <x:c r="E958" s="6" t="n">
        <x:f>'Activities'!L632</x:f>
        <x:v>465</x:v>
      </x:c>
      <x:c r="F958" s="6" t="n">
        <x:f>'Activities'!K816</x:f>
        <x:v>482</x:v>
      </x:c>
      <x:c r="G958" s="6" t="n">
        <x:f>F958-E958-D958</x:f>
        <x:v>17</x:v>
      </x:c>
      <x:c r="H958" s="6" t="str">
        <x:v>Explicit working-day lag</x:v>
      </x:c>
    </x:row>
    <x:row r="959" ht="23" customHeight="1">
      <x:c r="A959" s="1" t="str">
        <x:v>T5-L05-D</x:v>
      </x:c>
      <x:c r="B959" s="1" t="str">
        <x:v>PC-001</x:v>
      </x:c>
      <x:c r="C959" s="1" t="str">
        <x:v>FS</x:v>
      </x:c>
      <x:c r="D959" s="1" t="n">
        <x:v>0</x:v>
      </x:c>
      <x:c r="E959" s="1" t="n">
        <x:f>'Activities'!L638</x:f>
        <x:v>465</x:v>
      </x:c>
      <x:c r="F959" s="1" t="n">
        <x:f>'Activities'!K816</x:f>
        <x:v>482</x:v>
      </x:c>
      <x:c r="G959" s="1" t="n">
        <x:f>F959-E959-D959</x:f>
        <x:v>17</x:v>
      </x:c>
      <x:c r="H959" s="1" t="str">
        <x:v>Explicit working-day lag</x:v>
      </x:c>
    </x:row>
    <x:row r="960" ht="23" customHeight="1">
      <x:c r="A960" s="6" t="str">
        <x:v>T5-L06-D</x:v>
      </x:c>
      <x:c r="B960" s="6" t="str">
        <x:v>PC-001</x:v>
      </x:c>
      <x:c r="C960" s="6" t="str">
        <x:v>FS</x:v>
      </x:c>
      <x:c r="D960" s="6" t="n">
        <x:v>0</x:v>
      </x:c>
      <x:c r="E960" s="6" t="n">
        <x:f>'Activities'!L644</x:f>
        <x:v>465</x:v>
      </x:c>
      <x:c r="F960" s="6" t="n">
        <x:f>'Activities'!K816</x:f>
        <x:v>482</x:v>
      </x:c>
      <x:c r="G960" s="6" t="n">
        <x:f>F960-E960-D960</x:f>
        <x:v>17</x:v>
      </x:c>
      <x:c r="H960" s="6" t="str">
        <x:v>Explicit working-day lag</x:v>
      </x:c>
    </x:row>
    <x:row r="961" ht="23" customHeight="1">
      <x:c r="A961" s="1" t="str">
        <x:v>T5-L07-D</x:v>
      </x:c>
      <x:c r="B961" s="1" t="str">
        <x:v>PC-001</x:v>
      </x:c>
      <x:c r="C961" s="1" t="str">
        <x:v>FS</x:v>
      </x:c>
      <x:c r="D961" s="1" t="n">
        <x:v>0</x:v>
      </x:c>
      <x:c r="E961" s="1" t="n">
        <x:f>'Activities'!L650</x:f>
        <x:v>465</x:v>
      </x:c>
      <x:c r="F961" s="1" t="n">
        <x:f>'Activities'!K816</x:f>
        <x:v>482</x:v>
      </x:c>
      <x:c r="G961" s="1" t="n">
        <x:f>F961-E961-D961</x:f>
        <x:v>17</x:v>
      </x:c>
      <x:c r="H961" s="1" t="str">
        <x:v>Explicit working-day lag</x:v>
      </x:c>
    </x:row>
    <x:row r="962" ht="23" customHeight="1">
      <x:c r="A962" s="6" t="str">
        <x:v>T5-L08-D</x:v>
      </x:c>
      <x:c r="B962" s="6" t="str">
        <x:v>PC-001</x:v>
      </x:c>
      <x:c r="C962" s="6" t="str">
        <x:v>FS</x:v>
      </x:c>
      <x:c r="D962" s="6" t="n">
        <x:v>0</x:v>
      </x:c>
      <x:c r="E962" s="6" t="n">
        <x:f>'Activities'!L656</x:f>
        <x:v>465</x:v>
      </x:c>
      <x:c r="F962" s="6" t="n">
        <x:f>'Activities'!K816</x:f>
        <x:v>482</x:v>
      </x:c>
      <x:c r="G962" s="6" t="n">
        <x:f>F962-E962-D962</x:f>
        <x:v>17</x:v>
      </x:c>
      <x:c r="H962" s="6" t="str">
        <x:v>Explicit working-day lag</x:v>
      </x:c>
    </x:row>
    <x:row r="963" ht="23" customHeight="1">
      <x:c r="A963" s="1" t="str">
        <x:v>T5-L09-D</x:v>
      </x:c>
      <x:c r="B963" s="1" t="str">
        <x:v>PC-001</x:v>
      </x:c>
      <x:c r="C963" s="1" t="str">
        <x:v>FS</x:v>
      </x:c>
      <x:c r="D963" s="1" t="n">
        <x:v>0</x:v>
      </x:c>
      <x:c r="E963" s="1" t="n">
        <x:f>'Activities'!L662</x:f>
        <x:v>470</x:v>
      </x:c>
      <x:c r="F963" s="1" t="n">
        <x:f>'Activities'!K816</x:f>
        <x:v>482</x:v>
      </x:c>
      <x:c r="G963" s="1" t="n">
        <x:f>F963-E963-D963</x:f>
        <x:v>12</x:v>
      </x:c>
      <x:c r="H963" s="1" t="str">
        <x:v>Explicit working-day lag</x:v>
      </x:c>
    </x:row>
    <x:row r="964" ht="23" customHeight="1">
      <x:c r="A964" s="6" t="str">
        <x:v>T5-L10-D</x:v>
      </x:c>
      <x:c r="B964" s="6" t="str">
        <x:v>PC-001</x:v>
      </x:c>
      <x:c r="C964" s="6" t="str">
        <x:v>FS</x:v>
      </x:c>
      <x:c r="D964" s="6" t="n">
        <x:v>0</x:v>
      </x:c>
      <x:c r="E964" s="6" t="n">
        <x:f>'Activities'!L668</x:f>
        <x:v>470</x:v>
      </x:c>
      <x:c r="F964" s="6" t="n">
        <x:f>'Activities'!K816</x:f>
        <x:v>482</x:v>
      </x:c>
      <x:c r="G964" s="6" t="n">
        <x:f>F964-E964-D964</x:f>
        <x:v>12</x:v>
      </x:c>
      <x:c r="H964" s="6" t="str">
        <x:v>Explicit working-day lag</x:v>
      </x:c>
    </x:row>
    <x:row r="965" ht="23" customHeight="1">
      <x:c r="A965" s="1" t="str">
        <x:v>T5-L11-D</x:v>
      </x:c>
      <x:c r="B965" s="1" t="str">
        <x:v>PC-001</x:v>
      </x:c>
      <x:c r="C965" s="1" t="str">
        <x:v>FS</x:v>
      </x:c>
      <x:c r="D965" s="1" t="n">
        <x:v>0</x:v>
      </x:c>
      <x:c r="E965" s="1" t="n">
        <x:f>'Activities'!L674</x:f>
        <x:v>470</x:v>
      </x:c>
      <x:c r="F965" s="1" t="n">
        <x:f>'Activities'!K816</x:f>
        <x:v>482</x:v>
      </x:c>
      <x:c r="G965" s="1" t="n">
        <x:f>F965-E965-D965</x:f>
        <x:v>12</x:v>
      </x:c>
      <x:c r="H965" s="1" t="str">
        <x:v>Explicit working-day lag</x:v>
      </x:c>
    </x:row>
    <x:row r="966" ht="23" customHeight="1">
      <x:c r="A966" s="6" t="str">
        <x:v>T5-L12-D</x:v>
      </x:c>
      <x:c r="B966" s="6" t="str">
        <x:v>PC-001</x:v>
      </x:c>
      <x:c r="C966" s="6" t="str">
        <x:v>FS</x:v>
      </x:c>
      <x:c r="D966" s="6" t="n">
        <x:v>0</x:v>
      </x:c>
      <x:c r="E966" s="6" t="n">
        <x:f>'Activities'!L680</x:f>
        <x:v>470</x:v>
      </x:c>
      <x:c r="F966" s="6" t="n">
        <x:f>'Activities'!K816</x:f>
        <x:v>482</x:v>
      </x:c>
      <x:c r="G966" s="6" t="n">
        <x:f>F966-E966-D966</x:f>
        <x:v>12</x:v>
      </x:c>
      <x:c r="H966" s="6" t="str">
        <x:v>Explicit working-day lag</x:v>
      </x:c>
    </x:row>
    <x:row r="967" ht="23" customHeight="1">
      <x:c r="A967" s="1" t="str">
        <x:v>T6-L00-D</x:v>
      </x:c>
      <x:c r="B967" s="1" t="str">
        <x:v>PC-001</x:v>
      </x:c>
      <x:c r="C967" s="1" t="str">
        <x:v>FS</x:v>
      </x:c>
      <x:c r="D967" s="1" t="n">
        <x:v>0</x:v>
      </x:c>
      <x:c r="E967" s="1" t="n">
        <x:f>'Activities'!L741</x:f>
        <x:v>477</x:v>
      </x:c>
      <x:c r="F967" s="1" t="n">
        <x:f>'Activities'!K816</x:f>
        <x:v>482</x:v>
      </x:c>
      <x:c r="G967" s="1" t="n">
        <x:f>F967-E967-D967</x:f>
        <x:v>5</x:v>
      </x:c>
      <x:c r="H967" s="1" t="str">
        <x:v>Explicit working-day lag</x:v>
      </x:c>
    </x:row>
    <x:row r="968" ht="23" customHeight="1">
      <x:c r="A968" s="6" t="str">
        <x:v>T6-L01-D</x:v>
      </x:c>
      <x:c r="B968" s="6" t="str">
        <x:v>PC-001</x:v>
      </x:c>
      <x:c r="C968" s="6" t="str">
        <x:v>FS</x:v>
      </x:c>
      <x:c r="D968" s="6" t="n">
        <x:v>0</x:v>
      </x:c>
      <x:c r="E968" s="6" t="n">
        <x:f>'Activities'!L747</x:f>
        <x:v>477</x:v>
      </x:c>
      <x:c r="F968" s="6" t="n">
        <x:f>'Activities'!K816</x:f>
        <x:v>482</x:v>
      </x:c>
      <x:c r="G968" s="6" t="n">
        <x:f>F968-E968-D968</x:f>
        <x:v>5</x:v>
      </x:c>
      <x:c r="H968" s="6" t="str">
        <x:v>Explicit working-day lag</x:v>
      </x:c>
    </x:row>
    <x:row r="969" ht="23" customHeight="1">
      <x:c r="A969" s="1" t="str">
        <x:v>T6-L02-D</x:v>
      </x:c>
      <x:c r="B969" s="1" t="str">
        <x:v>PC-001</x:v>
      </x:c>
      <x:c r="C969" s="1" t="str">
        <x:v>FS</x:v>
      </x:c>
      <x:c r="D969" s="1" t="n">
        <x:v>0</x:v>
      </x:c>
      <x:c r="E969" s="1" t="n">
        <x:f>'Activities'!L753</x:f>
        <x:v>477</x:v>
      </x:c>
      <x:c r="F969" s="1" t="n">
        <x:f>'Activities'!K816</x:f>
        <x:v>482</x:v>
      </x:c>
      <x:c r="G969" s="1" t="n">
        <x:f>F969-E969-D969</x:f>
        <x:v>5</x:v>
      </x:c>
      <x:c r="H969" s="1" t="str">
        <x:v>Explicit working-day lag</x:v>
      </x:c>
    </x:row>
    <x:row r="970" ht="23" customHeight="1">
      <x:c r="A970" s="6" t="str">
        <x:v>T6-L03-D</x:v>
      </x:c>
      <x:c r="B970" s="6" t="str">
        <x:v>PC-001</x:v>
      </x:c>
      <x:c r="C970" s="6" t="str">
        <x:v>FS</x:v>
      </x:c>
      <x:c r="D970" s="6" t="n">
        <x:v>0</x:v>
      </x:c>
      <x:c r="E970" s="6" t="n">
        <x:f>'Activities'!L759</x:f>
        <x:v>477</x:v>
      </x:c>
      <x:c r="F970" s="6" t="n">
        <x:f>'Activities'!K816</x:f>
        <x:v>482</x:v>
      </x:c>
      <x:c r="G970" s="6" t="n">
        <x:f>F970-E970-D970</x:f>
        <x:v>5</x:v>
      </x:c>
      <x:c r="H970" s="6" t="str">
        <x:v>Explicit working-day lag</x:v>
      </x:c>
    </x:row>
    <x:row r="971" ht="23" customHeight="1">
      <x:c r="A971" s="1" t="str">
        <x:v>T6-L04-D</x:v>
      </x:c>
      <x:c r="B971" s="1" t="str">
        <x:v>PC-001</x:v>
      </x:c>
      <x:c r="C971" s="1" t="str">
        <x:v>FS</x:v>
      </x:c>
      <x:c r="D971" s="1" t="n">
        <x:v>0</x:v>
      </x:c>
      <x:c r="E971" s="1" t="n">
        <x:f>'Activities'!L765</x:f>
        <x:v>477</x:v>
      </x:c>
      <x:c r="F971" s="1" t="n">
        <x:f>'Activities'!K816</x:f>
        <x:v>482</x:v>
      </x:c>
      <x:c r="G971" s="1" t="n">
        <x:f>F971-E971-D971</x:f>
        <x:v>5</x:v>
      </x:c>
      <x:c r="H971" s="1" t="str">
        <x:v>Explicit working-day lag</x:v>
      </x:c>
    </x:row>
    <x:row r="972" ht="23" customHeight="1">
      <x:c r="A972" s="6" t="str">
        <x:v>T6-L05-D</x:v>
      </x:c>
      <x:c r="B972" s="6" t="str">
        <x:v>PC-001</x:v>
      </x:c>
      <x:c r="C972" s="6" t="str">
        <x:v>FS</x:v>
      </x:c>
      <x:c r="D972" s="6" t="n">
        <x:v>0</x:v>
      </x:c>
      <x:c r="E972" s="6" t="n">
        <x:f>'Activities'!L771</x:f>
        <x:v>477</x:v>
      </x:c>
      <x:c r="F972" s="6" t="n">
        <x:f>'Activities'!K816</x:f>
        <x:v>482</x:v>
      </x:c>
      <x:c r="G972" s="6" t="n">
        <x:f>F972-E972-D972</x:f>
        <x:v>5</x:v>
      </x:c>
      <x:c r="H972" s="6" t="str">
        <x:v>Explicit working-day lag</x:v>
      </x:c>
    </x:row>
    <x:row r="973" ht="23" customHeight="1">
      <x:c r="A973" s="1" t="str">
        <x:v>T6-L06-D</x:v>
      </x:c>
      <x:c r="B973" s="1" t="str">
        <x:v>PC-001</x:v>
      </x:c>
      <x:c r="C973" s="1" t="str">
        <x:v>FS</x:v>
      </x:c>
      <x:c r="D973" s="1" t="n">
        <x:v>0</x:v>
      </x:c>
      <x:c r="E973" s="1" t="n">
        <x:f>'Activities'!L777</x:f>
        <x:v>477</x:v>
      </x:c>
      <x:c r="F973" s="1" t="n">
        <x:f>'Activities'!K816</x:f>
        <x:v>482</x:v>
      </x:c>
      <x:c r="G973" s="1" t="n">
        <x:f>F973-E973-D973</x:f>
        <x:v>5</x:v>
      </x:c>
      <x:c r="H973" s="1" t="str">
        <x:v>Explicit working-day lag</x:v>
      </x:c>
    </x:row>
    <x:row r="974" ht="23" customHeight="1">
      <x:c r="A974" s="6" t="str">
        <x:v>T6-L07-D</x:v>
      </x:c>
      <x:c r="B974" s="6" t="str">
        <x:v>PC-001</x:v>
      </x:c>
      <x:c r="C974" s="6" t="str">
        <x:v>FS</x:v>
      </x:c>
      <x:c r="D974" s="6" t="n">
        <x:v>0</x:v>
      </x:c>
      <x:c r="E974" s="6" t="n">
        <x:f>'Activities'!L783</x:f>
        <x:v>477</x:v>
      </x:c>
      <x:c r="F974" s="6" t="n">
        <x:f>'Activities'!K816</x:f>
        <x:v>482</x:v>
      </x:c>
      <x:c r="G974" s="6" t="n">
        <x:f>F974-E974-D974</x:f>
        <x:v>5</x:v>
      </x:c>
      <x:c r="H974" s="6" t="str">
        <x:v>Explicit working-day lag</x:v>
      </x:c>
    </x:row>
    <x:row r="975" ht="23" customHeight="1">
      <x:c r="A975" s="1" t="str">
        <x:v>T6-L08-D</x:v>
      </x:c>
      <x:c r="B975" s="1" t="str">
        <x:v>PC-001</x:v>
      </x:c>
      <x:c r="C975" s="1" t="str">
        <x:v>FS</x:v>
      </x:c>
      <x:c r="D975" s="1" t="n">
        <x:v>0</x:v>
      </x:c>
      <x:c r="E975" s="1" t="n">
        <x:f>'Activities'!L789</x:f>
        <x:v>477</x:v>
      </x:c>
      <x:c r="F975" s="1" t="n">
        <x:f>'Activities'!K816</x:f>
        <x:v>482</x:v>
      </x:c>
      <x:c r="G975" s="1" t="n">
        <x:f>F975-E975-D975</x:f>
        <x:v>5</x:v>
      </x:c>
      <x:c r="H975" s="1" t="str">
        <x:v>Explicit working-day lag</x:v>
      </x:c>
    </x:row>
    <x:row r="976" ht="23" customHeight="1">
      <x:c r="A976" s="6" t="str">
        <x:v>T6-L09-D</x:v>
      </x:c>
      <x:c r="B976" s="6" t="str">
        <x:v>PC-001</x:v>
      </x:c>
      <x:c r="C976" s="6" t="str">
        <x:v>FS</x:v>
      </x:c>
      <x:c r="D976" s="6" t="n">
        <x:v>0</x:v>
      </x:c>
      <x:c r="E976" s="6" t="n">
        <x:f>'Activities'!L795</x:f>
        <x:v>482</x:v>
      </x:c>
      <x:c r="F976" s="6" t="n">
        <x:f>'Activities'!K816</x:f>
        <x:v>482</x:v>
      </x:c>
      <x:c r="G976" s="6" t="n">
        <x:f>F976-E976-D976</x:f>
        <x:v>0</x:v>
      </x:c>
      <x:c r="H976" s="6" t="str">
        <x:v>Explicit working-day lag</x:v>
      </x:c>
    </x:row>
    <x:row r="977" ht="23" customHeight="1">
      <x:c r="A977" s="1" t="str">
        <x:v>T6-L10-D</x:v>
      </x:c>
      <x:c r="B977" s="1" t="str">
        <x:v>PC-001</x:v>
      </x:c>
      <x:c r="C977" s="1" t="str">
        <x:v>FS</x:v>
      </x:c>
      <x:c r="D977" s="1" t="n">
        <x:v>0</x:v>
      </x:c>
      <x:c r="E977" s="1" t="n">
        <x:f>'Activities'!L801</x:f>
        <x:v>482</x:v>
      </x:c>
      <x:c r="F977" s="1" t="n">
        <x:f>'Activities'!K816</x:f>
        <x:v>482</x:v>
      </x:c>
      <x:c r="G977" s="1" t="n">
        <x:f>F977-E977-D977</x:f>
        <x:v>0</x:v>
      </x:c>
      <x:c r="H977" s="1" t="str">
        <x:v>Explicit working-day lag</x:v>
      </x:c>
    </x:row>
    <x:row r="978" ht="23" customHeight="1">
      <x:c r="A978" s="6" t="str">
        <x:v>T6-L11-D</x:v>
      </x:c>
      <x:c r="B978" s="6" t="str">
        <x:v>PC-001</x:v>
      </x:c>
      <x:c r="C978" s="6" t="str">
        <x:v>FS</x:v>
      </x:c>
      <x:c r="D978" s="6" t="n">
        <x:v>0</x:v>
      </x:c>
      <x:c r="E978" s="6" t="n">
        <x:f>'Activities'!L807</x:f>
        <x:v>482</x:v>
      </x:c>
      <x:c r="F978" s="6" t="n">
        <x:f>'Activities'!K816</x:f>
        <x:v>482</x:v>
      </x:c>
      <x:c r="G978" s="6" t="n">
        <x:f>F978-E978-D978</x:f>
        <x:v>0</x:v>
      </x:c>
      <x:c r="H978" s="6" t="str">
        <x:v>Explicit working-day lag</x:v>
      </x:c>
    </x:row>
    <x:row r="979" ht="23" customHeight="1">
      <x:c r="A979" s="1" t="str">
        <x:v>T6-L12-D</x:v>
      </x:c>
      <x:c r="B979" s="1" t="str">
        <x:v>PC-001</x:v>
      </x:c>
      <x:c r="C979" s="1" t="str">
        <x:v>FS</x:v>
      </x:c>
      <x:c r="D979" s="1" t="n">
        <x:v>0</x:v>
      </x:c>
      <x:c r="E979" s="1" t="n">
        <x:f>'Activities'!L813</x:f>
        <x:v>482</x:v>
      </x:c>
      <x:c r="F979" s="1" t="n">
        <x:f>'Activities'!K816</x:f>
        <x:v>482</x:v>
      </x:c>
      <x:c r="G979" s="1" t="n">
        <x:f>F979-E979-D979</x:f>
        <x:v>0</x:v>
      </x:c>
      <x:c r="H979" s="1" t="str">
        <x:v>Explicit working-day lag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51" hidden="0" customWidth="1"/>
    <x:col min="4" max="4" width="19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</x:cols>
  <x:sheetData>
    <x:row r="2">
      <x:c r="A2" s="7" t="str">
        <x:v>Weekly construction sequence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Values are scheduled working days in each week, not percent complete.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Activity ID</x:v>
      </x:c>
      <x:c r="B7" s="5" t="str">
        <x:v>Zone</x:v>
      </x:c>
      <x:c r="C7" s="5" t="str">
        <x:v>Activity</x:v>
      </x:c>
      <x:c r="D7" s="5" t="str">
        <x:v>Trade</x:v>
      </x:c>
      <x:c r="E7" s="5" t="str">
        <x:v>W001</x:v>
      </x:c>
      <x:c r="F7" s="5" t="str">
        <x:v>W002</x:v>
      </x:c>
      <x:c r="G7" s="5" t="str">
        <x:v>W003</x:v>
      </x:c>
      <x:c r="H7" s="5" t="str">
        <x:v>W004</x:v>
      </x:c>
      <x:c r="I7" s="5" t="str">
        <x:v>W005</x:v>
      </x:c>
      <x:c r="J7" s="5" t="str">
        <x:v>W006</x:v>
      </x:c>
      <x:c r="K7" s="5" t="str">
        <x:v>W007</x:v>
      </x:c>
      <x:c r="L7" s="5" t="str">
        <x:v>W008</x:v>
      </x:c>
      <x:c r="M7" s="5" t="str">
        <x:v>W009</x:v>
      </x:c>
      <x:c r="N7" s="5" t="str">
        <x:v>W010</x:v>
      </x:c>
      <x:c r="O7" s="5" t="str">
        <x:v>W011</x:v>
      </x:c>
      <x:c r="P7" s="5" t="str">
        <x:v>W012</x:v>
      </x:c>
      <x:c r="Q7" s="5" t="str">
        <x:v>W013</x:v>
      </x:c>
      <x:c r="R7" s="5" t="str">
        <x:v>W014</x:v>
      </x:c>
      <x:c r="S7" s="5" t="str">
        <x:v>W015</x:v>
      </x:c>
      <x:c r="T7" s="5" t="str">
        <x:v>W016</x:v>
      </x:c>
      <x:c r="U7" s="5" t="str">
        <x:v>W017</x:v>
      </x:c>
      <x:c r="V7" s="5" t="str">
        <x:v>W018</x:v>
      </x:c>
      <x:c r="W7" s="5" t="str">
        <x:v>W019</x:v>
      </x:c>
      <x:c r="X7" s="5" t="str">
        <x:v>W020</x:v>
      </x:c>
      <x:c r="Y7" s="5" t="str">
        <x:v>W021</x:v>
      </x:c>
      <x:c r="Z7" s="5" t="str">
        <x:v>W022</x:v>
      </x:c>
      <x:c r="AA7" s="5" t="str">
        <x:v>W023</x:v>
      </x:c>
      <x:c r="AB7" s="5" t="str">
        <x:v>W024</x:v>
      </x:c>
      <x:c r="AC7" s="5" t="str">
        <x:v>W025</x:v>
      </x:c>
      <x:c r="AD7" s="5" t="str">
        <x:v>W026</x:v>
      </x:c>
      <x:c r="AE7" s="5" t="str">
        <x:v>W027</x:v>
      </x:c>
      <x:c r="AF7" s="5" t="str">
        <x:v>W028</x:v>
      </x:c>
      <x:c r="AG7" s="5" t="str">
        <x:v>W029</x:v>
      </x:c>
      <x:c r="AH7" s="5" t="str">
        <x:v>W030</x:v>
      </x:c>
      <x:c r="AI7" s="5" t="str">
        <x:v>W031</x:v>
      </x:c>
      <x:c r="AJ7" s="5" t="str">
        <x:v>W032</x:v>
      </x:c>
      <x:c r="AK7" s="5" t="str">
        <x:v>W033</x:v>
      </x:c>
      <x:c r="AL7" s="5" t="str">
        <x:v>W034</x:v>
      </x:c>
      <x:c r="AM7" s="5" t="str">
        <x:v>W035</x:v>
      </x:c>
      <x:c r="AN7" s="5" t="str">
        <x:v>W036</x:v>
      </x:c>
      <x:c r="AO7" s="5" t="str">
        <x:v>W037</x:v>
      </x:c>
      <x:c r="AP7" s="5" t="str">
        <x:v>W038</x:v>
      </x:c>
      <x:c r="AQ7" s="5" t="str">
        <x:v>W039</x:v>
      </x:c>
      <x:c r="AR7" s="5" t="str">
        <x:v>W040</x:v>
      </x:c>
      <x:c r="AS7" s="5" t="str">
        <x:v>W041</x:v>
      </x:c>
      <x:c r="AT7" s="5" t="str">
        <x:v>W042</x:v>
      </x:c>
      <x:c r="AU7" s="5" t="str">
        <x:v>W043</x:v>
      </x:c>
      <x:c r="AV7" s="5" t="str">
        <x:v>W044</x:v>
      </x:c>
      <x:c r="AW7" s="5" t="str">
        <x:v>W045</x:v>
      </x:c>
      <x:c r="AX7" s="5" t="str">
        <x:v>W046</x:v>
      </x:c>
      <x:c r="AY7" s="5" t="str">
        <x:v>W047</x:v>
      </x:c>
      <x:c r="AZ7" s="5" t="str">
        <x:v>W048</x:v>
      </x:c>
      <x:c r="BA7" s="5" t="str">
        <x:v>W049</x:v>
      </x:c>
      <x:c r="BB7" s="5" t="str">
        <x:v>W050</x:v>
      </x:c>
      <x:c r="BC7" s="5" t="str">
        <x:v>W051</x:v>
      </x:c>
      <x:c r="BD7" s="5" t="str">
        <x:v>W052</x:v>
      </x:c>
      <x:c r="BE7" s="5" t="str">
        <x:v>W053</x:v>
      </x:c>
      <x:c r="BF7" s="5" t="str">
        <x:v>W054</x:v>
      </x:c>
      <x:c r="BG7" s="5" t="str">
        <x:v>W055</x:v>
      </x:c>
      <x:c r="BH7" s="5" t="str">
        <x:v>W056</x:v>
      </x:c>
      <x:c r="BI7" s="5" t="str">
        <x:v>W057</x:v>
      </x:c>
      <x:c r="BJ7" s="5" t="str">
        <x:v>W058</x:v>
      </x:c>
      <x:c r="BK7" s="5" t="str">
        <x:v>W059</x:v>
      </x:c>
      <x:c r="BL7" s="5" t="str">
        <x:v>W060</x:v>
      </x:c>
      <x:c r="BM7" s="5" t="str">
        <x:v>W061</x:v>
      </x:c>
      <x:c r="BN7" s="5" t="str">
        <x:v>W062</x:v>
      </x:c>
      <x:c r="BO7" s="5" t="str">
        <x:v>W063</x:v>
      </x:c>
      <x:c r="BP7" s="5" t="str">
        <x:v>W064</x:v>
      </x:c>
      <x:c r="BQ7" s="5" t="str">
        <x:v>W065</x:v>
      </x:c>
      <x:c r="BR7" s="5" t="str">
        <x:v>W066</x:v>
      </x:c>
      <x:c r="BS7" s="5" t="str">
        <x:v>W067</x:v>
      </x:c>
      <x:c r="BT7" s="5" t="str">
        <x:v>W068</x:v>
      </x:c>
      <x:c r="BU7" s="5" t="str">
        <x:v>W069</x:v>
      </x:c>
      <x:c r="BV7" s="5" t="str">
        <x:v>W070</x:v>
      </x:c>
      <x:c r="BW7" s="5" t="str">
        <x:v>W071</x:v>
      </x:c>
      <x:c r="BX7" s="5" t="str">
        <x:v>W072</x:v>
      </x:c>
      <x:c r="BY7" s="5" t="str">
        <x:v>W073</x:v>
      </x:c>
      <x:c r="BZ7" s="5" t="str">
        <x:v>W074</x:v>
      </x:c>
      <x:c r="CA7" s="5" t="str">
        <x:v>W075</x:v>
      </x:c>
      <x:c r="CB7" s="5" t="str">
        <x:v>W076</x:v>
      </x:c>
      <x:c r="CC7" s="5" t="str">
        <x:v>W077</x:v>
      </x:c>
      <x:c r="CD7" s="5" t="str">
        <x:v>W078</x:v>
      </x:c>
      <x:c r="CE7" s="5" t="str">
        <x:v>W079</x:v>
      </x:c>
      <x:c r="CF7" s="5" t="str">
        <x:v>W080</x:v>
      </x:c>
      <x:c r="CG7" s="5" t="str">
        <x:v>W081</x:v>
      </x:c>
      <x:c r="CH7" s="5" t="str">
        <x:v>W082</x:v>
      </x:c>
      <x:c r="CI7" s="5" t="str">
        <x:v>W083</x:v>
      </x:c>
      <x:c r="CJ7" s="5" t="str">
        <x:v>W084</x:v>
      </x:c>
      <x:c r="CK7" s="5" t="str">
        <x:v>W085</x:v>
      </x:c>
      <x:c r="CL7" s="5" t="str">
        <x:v>W086</x:v>
      </x:c>
      <x:c r="CM7" s="5" t="str">
        <x:v>W087</x:v>
      </x:c>
      <x:c r="CN7" s="5" t="str">
        <x:v>W088</x:v>
      </x:c>
      <x:c r="CO7" s="5" t="str">
        <x:v>W089</x:v>
      </x:c>
      <x:c r="CP7" s="5" t="str">
        <x:v>W090</x:v>
      </x:c>
      <x:c r="CQ7" s="5" t="str">
        <x:v>W091</x:v>
      </x:c>
      <x:c r="CR7" s="5" t="str">
        <x:v>W092</x:v>
      </x:c>
      <x:c r="CS7" s="5" t="str">
        <x:v>W093</x:v>
      </x:c>
      <x:c r="CT7" s="5" t="str">
        <x:v>W094</x:v>
      </x:c>
      <x:c r="CU7" s="5" t="str">
        <x:v>W095</x:v>
      </x:c>
      <x:c r="CV7" s="5" t="str">
        <x:v>W096</x:v>
      </x:c>
      <x:c r="CW7" s="5" t="str">
        <x:v>W097</x:v>
      </x:c>
      <x:c r="CX7" s="5" t="str">
        <x:v>W098</x:v>
      </x:c>
      <x:c r="CY7" s="5" t="str">
        <x:v>W099</x:v>
      </x:c>
      <x:c r="CZ7" s="5" t="str">
        <x:v>W100</x:v>
      </x:c>
      <x:c r="DA7" s="5" t="str">
        <x:v>W101</x:v>
      </x:c>
      <x:c r="DB7" s="5" t="str">
        <x:v>W102</x:v>
      </x:c>
      <x:c r="DC7" s="5" t="str">
        <x:v>W103</x:v>
      </x:c>
      <x:c r="DD7" s="5" t="str">
        <x:v>W104</x:v>
      </x:c>
      <x:c r="DE7" s="5" t="str">
        <x:v>W105</x:v>
      </x:c>
      <x:c r="DF7" s="5" t="str">
        <x:v>W106</x:v>
      </x:c>
    </x:row>
    <x:row r="8" ht="23" customHeight="1">
      <x:c r="A8" s="6" t="str">
        <x:v>P-001</x:v>
      </x:c>
      <x:c r="B8" s="6" t="str">
        <x:v>SITE</x:v>
      </x:c>
      <x:c r="C8" s="6" t="str">
        <x:v>Mobilisation and temporary facilities</x:v>
      </x:c>
      <x:c r="D8" s="6" t="str">
        <x:v>Site</x:v>
      </x:c>
      <x:c r="E8" s="22" t="n">
        <x:f>MAX(0,MIN('Activities'!L8,6)-MAX('Activities'!K8,0))</x:f>
        <x:v>6</x:v>
      </x:c>
      <x:c r="F8" s="22" t="n">
        <x:f>MAX(0,MIN('Activities'!L8,12)-MAX('Activities'!K8,6))</x:f>
        <x:v>6</x:v>
      </x:c>
      <x:c r="G8" s="22" t="n">
        <x:f>MAX(0,MIN('Activities'!L8,18)-MAX('Activities'!K8,12))</x:f>
        <x:v>6</x:v>
      </x:c>
      <x:c r="H8" s="22" t="n">
        <x:f>MAX(0,MIN('Activities'!L8,24)-MAX('Activities'!K8,18))</x:f>
        <x:v>0</x:v>
      </x:c>
      <x:c r="I8" s="22" t="n">
        <x:f>MAX(0,MIN('Activities'!L8,30)-MAX('Activities'!K8,24))</x:f>
        <x:v>0</x:v>
      </x:c>
      <x:c r="J8" s="22" t="n">
        <x:f>MAX(0,MIN('Activities'!L8,36)-MAX('Activities'!K8,30))</x:f>
        <x:v>0</x:v>
      </x:c>
      <x:c r="K8" s="22" t="n">
        <x:f>MAX(0,MIN('Activities'!L8,42)-MAX('Activities'!K8,36))</x:f>
        <x:v>0</x:v>
      </x:c>
      <x:c r="L8" s="22" t="n">
        <x:f>MAX(0,MIN('Activities'!L8,48)-MAX('Activities'!K8,42))</x:f>
        <x:v>0</x:v>
      </x:c>
      <x:c r="M8" s="22" t="n">
        <x:f>MAX(0,MIN('Activities'!L8,54)-MAX('Activities'!K8,48))</x:f>
        <x:v>0</x:v>
      </x:c>
      <x:c r="N8" s="22" t="n">
        <x:f>MAX(0,MIN('Activities'!L8,60)-MAX('Activities'!K8,54))</x:f>
        <x:v>0</x:v>
      </x:c>
      <x:c r="O8" s="22" t="n">
        <x:f>MAX(0,MIN('Activities'!L8,66)-MAX('Activities'!K8,60))</x:f>
        <x:v>0</x:v>
      </x:c>
      <x:c r="P8" s="22" t="n">
        <x:f>MAX(0,MIN('Activities'!L8,72)-MAX('Activities'!K8,66))</x:f>
        <x:v>0</x:v>
      </x:c>
      <x:c r="Q8" s="22" t="n">
        <x:f>MAX(0,MIN('Activities'!L8,78)-MAX('Activities'!K8,72))</x:f>
        <x:v>0</x:v>
      </x:c>
      <x:c r="R8" s="22" t="n">
        <x:f>MAX(0,MIN('Activities'!L8,84)-MAX('Activities'!K8,78))</x:f>
        <x:v>0</x:v>
      </x:c>
      <x:c r="S8" s="22" t="n">
        <x:f>MAX(0,MIN('Activities'!L8,90)-MAX('Activities'!K8,84))</x:f>
        <x:v>0</x:v>
      </x:c>
      <x:c r="T8" s="22" t="n">
        <x:f>MAX(0,MIN('Activities'!L8,96)-MAX('Activities'!K8,90))</x:f>
        <x:v>0</x:v>
      </x:c>
      <x:c r="U8" s="22" t="n">
        <x:f>MAX(0,MIN('Activities'!L8,102)-MAX('Activities'!K8,96))</x:f>
        <x:v>0</x:v>
      </x:c>
      <x:c r="V8" s="22" t="n">
        <x:f>MAX(0,MIN('Activities'!L8,108)-MAX('Activities'!K8,102))</x:f>
        <x:v>0</x:v>
      </x:c>
      <x:c r="W8" s="22" t="n">
        <x:f>MAX(0,MIN('Activities'!L8,114)-MAX('Activities'!K8,108))</x:f>
        <x:v>0</x:v>
      </x:c>
      <x:c r="X8" s="22" t="n">
        <x:f>MAX(0,MIN('Activities'!L8,120)-MAX('Activities'!K8,114))</x:f>
        <x:v>0</x:v>
      </x:c>
      <x:c r="Y8" s="22" t="n">
        <x:f>MAX(0,MIN('Activities'!L8,126)-MAX('Activities'!K8,120))</x:f>
        <x:v>0</x:v>
      </x:c>
      <x:c r="Z8" s="22" t="n">
        <x:f>MAX(0,MIN('Activities'!L8,132)-MAX('Activities'!K8,126))</x:f>
        <x:v>0</x:v>
      </x:c>
      <x:c r="AA8" s="22" t="n">
        <x:f>MAX(0,MIN('Activities'!L8,138)-MAX('Activities'!K8,132))</x:f>
        <x:v>0</x:v>
      </x:c>
      <x:c r="AB8" s="22" t="n">
        <x:f>MAX(0,MIN('Activities'!L8,144)-MAX('Activities'!K8,138))</x:f>
        <x:v>0</x:v>
      </x:c>
      <x:c r="AC8" s="22" t="n">
        <x:f>MAX(0,MIN('Activities'!L8,150)-MAX('Activities'!K8,144))</x:f>
        <x:v>0</x:v>
      </x:c>
      <x:c r="AD8" s="22" t="n">
        <x:f>MAX(0,MIN('Activities'!L8,156)-MAX('Activities'!K8,150))</x:f>
        <x:v>0</x:v>
      </x:c>
      <x:c r="AE8" s="22" t="n">
        <x:f>MAX(0,MIN('Activities'!L8,162)-MAX('Activities'!K8,156))</x:f>
        <x:v>0</x:v>
      </x:c>
      <x:c r="AF8" s="22" t="n">
        <x:f>MAX(0,MIN('Activities'!L8,168)-MAX('Activities'!K8,162))</x:f>
        <x:v>0</x:v>
      </x:c>
      <x:c r="AG8" s="22" t="n">
        <x:f>MAX(0,MIN('Activities'!L8,174)-MAX('Activities'!K8,168))</x:f>
        <x:v>0</x:v>
      </x:c>
      <x:c r="AH8" s="22" t="n">
        <x:f>MAX(0,MIN('Activities'!L8,180)-MAX('Activities'!K8,174))</x:f>
        <x:v>0</x:v>
      </x:c>
      <x:c r="AI8" s="22" t="n">
        <x:f>MAX(0,MIN('Activities'!L8,186)-MAX('Activities'!K8,180))</x:f>
        <x:v>0</x:v>
      </x:c>
      <x:c r="AJ8" s="22" t="n">
        <x:f>MAX(0,MIN('Activities'!L8,192)-MAX('Activities'!K8,186))</x:f>
        <x:v>0</x:v>
      </x:c>
      <x:c r="AK8" s="22" t="n">
        <x:f>MAX(0,MIN('Activities'!L8,198)-MAX('Activities'!K8,192))</x:f>
        <x:v>0</x:v>
      </x:c>
      <x:c r="AL8" s="22" t="n">
        <x:f>MAX(0,MIN('Activities'!L8,204)-MAX('Activities'!K8,198))</x:f>
        <x:v>0</x:v>
      </x:c>
      <x:c r="AM8" s="22" t="n">
        <x:f>MAX(0,MIN('Activities'!L8,210)-MAX('Activities'!K8,204))</x:f>
        <x:v>0</x:v>
      </x:c>
      <x:c r="AN8" s="22" t="n">
        <x:f>MAX(0,MIN('Activities'!L8,216)-MAX('Activities'!K8,210))</x:f>
        <x:v>0</x:v>
      </x:c>
      <x:c r="AO8" s="22" t="n">
        <x:f>MAX(0,MIN('Activities'!L8,222)-MAX('Activities'!K8,216))</x:f>
        <x:v>0</x:v>
      </x:c>
      <x:c r="AP8" s="22" t="n">
        <x:f>MAX(0,MIN('Activities'!L8,228)-MAX('Activities'!K8,222))</x:f>
        <x:v>0</x:v>
      </x:c>
      <x:c r="AQ8" s="22" t="n">
        <x:f>MAX(0,MIN('Activities'!L8,234)-MAX('Activities'!K8,228))</x:f>
        <x:v>0</x:v>
      </x:c>
      <x:c r="AR8" s="22" t="n">
        <x:f>MAX(0,MIN('Activities'!L8,240)-MAX('Activities'!K8,234))</x:f>
        <x:v>0</x:v>
      </x:c>
      <x:c r="AS8" s="22" t="n">
        <x:f>MAX(0,MIN('Activities'!L8,246)-MAX('Activities'!K8,240))</x:f>
        <x:v>0</x:v>
      </x:c>
      <x:c r="AT8" s="22" t="n">
        <x:f>MAX(0,MIN('Activities'!L8,252)-MAX('Activities'!K8,246))</x:f>
        <x:v>0</x:v>
      </x:c>
      <x:c r="AU8" s="22" t="n">
        <x:f>MAX(0,MIN('Activities'!L8,258)-MAX('Activities'!K8,252))</x:f>
        <x:v>0</x:v>
      </x:c>
      <x:c r="AV8" s="22" t="n">
        <x:f>MAX(0,MIN('Activities'!L8,264)-MAX('Activities'!K8,258))</x:f>
        <x:v>0</x:v>
      </x:c>
      <x:c r="AW8" s="22" t="n">
        <x:f>MAX(0,MIN('Activities'!L8,270)-MAX('Activities'!K8,264))</x:f>
        <x:v>0</x:v>
      </x:c>
      <x:c r="AX8" s="22" t="n">
        <x:f>MAX(0,MIN('Activities'!L8,276)-MAX('Activities'!K8,270))</x:f>
        <x:v>0</x:v>
      </x:c>
      <x:c r="AY8" s="22" t="n">
        <x:f>MAX(0,MIN('Activities'!L8,282)-MAX('Activities'!K8,276))</x:f>
        <x:v>0</x:v>
      </x:c>
      <x:c r="AZ8" s="22" t="n">
        <x:f>MAX(0,MIN('Activities'!L8,288)-MAX('Activities'!K8,282))</x:f>
        <x:v>0</x:v>
      </x:c>
      <x:c r="BA8" s="22" t="n">
        <x:f>MAX(0,MIN('Activities'!L8,294)-MAX('Activities'!K8,288))</x:f>
        <x:v>0</x:v>
      </x:c>
      <x:c r="BB8" s="22" t="n">
        <x:f>MAX(0,MIN('Activities'!L8,300)-MAX('Activities'!K8,294))</x:f>
        <x:v>0</x:v>
      </x:c>
      <x:c r="BC8" s="22" t="n">
        <x:f>MAX(0,MIN('Activities'!L8,306)-MAX('Activities'!K8,300))</x:f>
        <x:v>0</x:v>
      </x:c>
      <x:c r="BD8" s="22" t="n">
        <x:f>MAX(0,MIN('Activities'!L8,312)-MAX('Activities'!K8,306))</x:f>
        <x:v>0</x:v>
      </x:c>
      <x:c r="BE8" s="22" t="n">
        <x:f>MAX(0,MIN('Activities'!L8,318)-MAX('Activities'!K8,312))</x:f>
        <x:v>0</x:v>
      </x:c>
      <x:c r="BF8" s="22" t="n">
        <x:f>MAX(0,MIN('Activities'!L8,324)-MAX('Activities'!K8,318))</x:f>
        <x:v>0</x:v>
      </x:c>
      <x:c r="BG8" s="22" t="n">
        <x:f>MAX(0,MIN('Activities'!L8,330)-MAX('Activities'!K8,324))</x:f>
        <x:v>0</x:v>
      </x:c>
      <x:c r="BH8" s="22" t="n">
        <x:f>MAX(0,MIN('Activities'!L8,336)-MAX('Activities'!K8,330))</x:f>
        <x:v>0</x:v>
      </x:c>
      <x:c r="BI8" s="22" t="n">
        <x:f>MAX(0,MIN('Activities'!L8,342)-MAX('Activities'!K8,336))</x:f>
        <x:v>0</x:v>
      </x:c>
      <x:c r="BJ8" s="22" t="n">
        <x:f>MAX(0,MIN('Activities'!L8,348)-MAX('Activities'!K8,342))</x:f>
        <x:v>0</x:v>
      </x:c>
      <x:c r="BK8" s="22" t="n">
        <x:f>MAX(0,MIN('Activities'!L8,354)-MAX('Activities'!K8,348))</x:f>
        <x:v>0</x:v>
      </x:c>
      <x:c r="BL8" s="22" t="n">
        <x:f>MAX(0,MIN('Activities'!L8,360)-MAX('Activities'!K8,354))</x:f>
        <x:v>0</x:v>
      </x:c>
      <x:c r="BM8" s="22" t="n">
        <x:f>MAX(0,MIN('Activities'!L8,366)-MAX('Activities'!K8,360))</x:f>
        <x:v>0</x:v>
      </x:c>
      <x:c r="BN8" s="22" t="n">
        <x:f>MAX(0,MIN('Activities'!L8,372)-MAX('Activities'!K8,366))</x:f>
        <x:v>0</x:v>
      </x:c>
      <x:c r="BO8" s="22" t="n">
        <x:f>MAX(0,MIN('Activities'!L8,378)-MAX('Activities'!K8,372))</x:f>
        <x:v>0</x:v>
      </x:c>
      <x:c r="BP8" s="22" t="n">
        <x:f>MAX(0,MIN('Activities'!L8,384)-MAX('Activities'!K8,378))</x:f>
        <x:v>0</x:v>
      </x:c>
      <x:c r="BQ8" s="22" t="n">
        <x:f>MAX(0,MIN('Activities'!L8,390)-MAX('Activities'!K8,384))</x:f>
        <x:v>0</x:v>
      </x:c>
      <x:c r="BR8" s="22" t="n">
        <x:f>MAX(0,MIN('Activities'!L8,396)-MAX('Activities'!K8,390))</x:f>
        <x:v>0</x:v>
      </x:c>
      <x:c r="BS8" s="22" t="n">
        <x:f>MAX(0,MIN('Activities'!L8,402)-MAX('Activities'!K8,396))</x:f>
        <x:v>0</x:v>
      </x:c>
      <x:c r="BT8" s="22" t="n">
        <x:f>MAX(0,MIN('Activities'!L8,408)-MAX('Activities'!K8,402))</x:f>
        <x:v>0</x:v>
      </x:c>
      <x:c r="BU8" s="22" t="n">
        <x:f>MAX(0,MIN('Activities'!L8,414)-MAX('Activities'!K8,408))</x:f>
        <x:v>0</x:v>
      </x:c>
      <x:c r="BV8" s="22" t="n">
        <x:f>MAX(0,MIN('Activities'!L8,420)-MAX('Activities'!K8,414))</x:f>
        <x:v>0</x:v>
      </x:c>
      <x:c r="BW8" s="22" t="n">
        <x:f>MAX(0,MIN('Activities'!L8,426)-MAX('Activities'!K8,420))</x:f>
        <x:v>0</x:v>
      </x:c>
      <x:c r="BX8" s="22" t="n">
        <x:f>MAX(0,MIN('Activities'!L8,432)-MAX('Activities'!K8,426))</x:f>
        <x:v>0</x:v>
      </x:c>
      <x:c r="BY8" s="22" t="n">
        <x:f>MAX(0,MIN('Activities'!L8,438)-MAX('Activities'!K8,432))</x:f>
        <x:v>0</x:v>
      </x:c>
      <x:c r="BZ8" s="22" t="n">
        <x:f>MAX(0,MIN('Activities'!L8,444)-MAX('Activities'!K8,438))</x:f>
        <x:v>0</x:v>
      </x:c>
      <x:c r="CA8" s="22" t="n">
        <x:f>MAX(0,MIN('Activities'!L8,450)-MAX('Activities'!K8,444))</x:f>
        <x:v>0</x:v>
      </x:c>
      <x:c r="CB8" s="22" t="n">
        <x:f>MAX(0,MIN('Activities'!L8,456)-MAX('Activities'!K8,450))</x:f>
        <x:v>0</x:v>
      </x:c>
      <x:c r="CC8" s="22" t="n">
        <x:f>MAX(0,MIN('Activities'!L8,462)-MAX('Activities'!K8,456))</x:f>
        <x:v>0</x:v>
      </x:c>
      <x:c r="CD8" s="22" t="n">
        <x:f>MAX(0,MIN('Activities'!L8,468)-MAX('Activities'!K8,462))</x:f>
        <x:v>0</x:v>
      </x:c>
      <x:c r="CE8" s="22" t="n">
        <x:f>MAX(0,MIN('Activities'!L8,474)-MAX('Activities'!K8,468))</x:f>
        <x:v>0</x:v>
      </x:c>
      <x:c r="CF8" s="22" t="n">
        <x:f>MAX(0,MIN('Activities'!L8,480)-MAX('Activities'!K8,474))</x:f>
        <x:v>0</x:v>
      </x:c>
      <x:c r="CG8" s="22" t="n">
        <x:f>MAX(0,MIN('Activities'!L8,486)-MAX('Activities'!K8,480))</x:f>
        <x:v>0</x:v>
      </x:c>
      <x:c r="CH8" s="22" t="n">
        <x:f>MAX(0,MIN('Activities'!L8,492)-MAX('Activities'!K8,486))</x:f>
        <x:v>0</x:v>
      </x:c>
      <x:c r="CI8" s="22" t="n">
        <x:f>MAX(0,MIN('Activities'!L8,498)-MAX('Activities'!K8,492))</x:f>
        <x:v>0</x:v>
      </x:c>
      <x:c r="CJ8" s="22" t="n">
        <x:f>MAX(0,MIN('Activities'!L8,504)-MAX('Activities'!K8,498))</x:f>
        <x:v>0</x:v>
      </x:c>
      <x:c r="CK8" s="22" t="n">
        <x:f>MAX(0,MIN('Activities'!L8,510)-MAX('Activities'!K8,504))</x:f>
        <x:v>0</x:v>
      </x:c>
      <x:c r="CL8" s="22" t="n">
        <x:f>MAX(0,MIN('Activities'!L8,516)-MAX('Activities'!K8,510))</x:f>
        <x:v>0</x:v>
      </x:c>
      <x:c r="CM8" s="22" t="n">
        <x:f>MAX(0,MIN('Activities'!L8,522)-MAX('Activities'!K8,516))</x:f>
        <x:v>0</x:v>
      </x:c>
      <x:c r="CN8" s="22" t="n">
        <x:f>MAX(0,MIN('Activities'!L8,528)-MAX('Activities'!K8,522))</x:f>
        <x:v>0</x:v>
      </x:c>
      <x:c r="CO8" s="22" t="n">
        <x:f>MAX(0,MIN('Activities'!L8,534)-MAX('Activities'!K8,528))</x:f>
        <x:v>0</x:v>
      </x:c>
      <x:c r="CP8" s="22" t="n">
        <x:f>MAX(0,MIN('Activities'!L8,540)-MAX('Activities'!K8,534))</x:f>
        <x:v>0</x:v>
      </x:c>
      <x:c r="CQ8" s="22" t="n">
        <x:f>MAX(0,MIN('Activities'!L8,546)-MAX('Activities'!K8,540))</x:f>
        <x:v>0</x:v>
      </x:c>
      <x:c r="CR8" s="22" t="n">
        <x:f>MAX(0,MIN('Activities'!L8,552)-MAX('Activities'!K8,546))</x:f>
        <x:v>0</x:v>
      </x:c>
      <x:c r="CS8" s="22" t="n">
        <x:f>MAX(0,MIN('Activities'!L8,558)-MAX('Activities'!K8,552))</x:f>
        <x:v>0</x:v>
      </x:c>
      <x:c r="CT8" s="22" t="n">
        <x:f>MAX(0,MIN('Activities'!L8,564)-MAX('Activities'!K8,558))</x:f>
        <x:v>0</x:v>
      </x:c>
      <x:c r="CU8" s="22" t="n">
        <x:f>MAX(0,MIN('Activities'!L8,570)-MAX('Activities'!K8,564))</x:f>
        <x:v>0</x:v>
      </x:c>
      <x:c r="CV8" s="22" t="n">
        <x:f>MAX(0,MIN('Activities'!L8,576)-MAX('Activities'!K8,570))</x:f>
        <x:v>0</x:v>
      </x:c>
      <x:c r="CW8" s="22" t="n">
        <x:f>MAX(0,MIN('Activities'!L8,582)-MAX('Activities'!K8,576))</x:f>
        <x:v>0</x:v>
      </x:c>
      <x:c r="CX8" s="22" t="n">
        <x:f>MAX(0,MIN('Activities'!L8,588)-MAX('Activities'!K8,582))</x:f>
        <x:v>0</x:v>
      </x:c>
      <x:c r="CY8" s="22" t="n">
        <x:f>MAX(0,MIN('Activities'!L8,594)-MAX('Activities'!K8,588))</x:f>
        <x:v>0</x:v>
      </x:c>
      <x:c r="CZ8" s="22" t="n">
        <x:f>MAX(0,MIN('Activities'!L8,600)-MAX('Activities'!K8,594))</x:f>
        <x:v>0</x:v>
      </x:c>
      <x:c r="DA8" s="22" t="n">
        <x:f>MAX(0,MIN('Activities'!L8,606)-MAX('Activities'!K8,600))</x:f>
        <x:v>0</x:v>
      </x:c>
      <x:c r="DB8" s="22" t="n">
        <x:f>MAX(0,MIN('Activities'!L8,612)-MAX('Activities'!K8,606))</x:f>
        <x:v>0</x:v>
      </x:c>
      <x:c r="DC8" s="22" t="n">
        <x:f>MAX(0,MIN('Activities'!L8,618)-MAX('Activities'!K8,612))</x:f>
        <x:v>0</x:v>
      </x:c>
      <x:c r="DD8" s="22" t="n">
        <x:f>MAX(0,MIN('Activities'!L8,624)-MAX('Activities'!K8,618))</x:f>
        <x:v>0</x:v>
      </x:c>
      <x:c r="DE8" s="22" t="n">
        <x:f>MAX(0,MIN('Activities'!L8,630)-MAX('Activities'!K8,624))</x:f>
        <x:v>0</x:v>
      </x:c>
      <x:c r="DF8" s="22" t="n">
        <x:f>MAX(0,MIN('Activities'!L8,636)-MAX('Activities'!K8,630))</x:f>
        <x:v>0</x:v>
      </x:c>
    </x:row>
    <x:row r="9" ht="23" customHeight="1">
      <x:c r="A9" s="1" t="str">
        <x:v>P-010</x:v>
      </x:c>
      <x:c r="B9" s="1" t="str">
        <x:v>POD</x:v>
      </x:c>
      <x:c r="C9" s="1" t="str">
        <x:v>Excavation and surplus disposal</x:v>
      </x:c>
      <x:c r="D9" s="1" t="str">
        <x:v>Earthworks</x:v>
      </x:c>
      <x:c r="E9" s="23" t="n">
        <x:f>MAX(0,MIN('Activities'!L9,6)-MAX('Activities'!K9,0))</x:f>
        <x:v>0</x:v>
      </x:c>
      <x:c r="F9" s="23" t="n">
        <x:f>MAX(0,MIN('Activities'!L9,12)-MAX('Activities'!K9,6))</x:f>
        <x:v>0</x:v>
      </x:c>
      <x:c r="G9" s="23" t="n">
        <x:f>MAX(0,MIN('Activities'!L9,18)-MAX('Activities'!K9,12))</x:f>
        <x:v>0</x:v>
      </x:c>
      <x:c r="H9" s="23" t="n">
        <x:f>MAX(0,MIN('Activities'!L9,24)-MAX('Activities'!K9,18))</x:f>
        <x:v>6</x:v>
      </x:c>
      <x:c r="I9" s="23" t="n">
        <x:f>MAX(0,MIN('Activities'!L9,30)-MAX('Activities'!K9,24))</x:f>
        <x:v>6</x:v>
      </x:c>
      <x:c r="J9" s="23" t="n">
        <x:f>MAX(0,MIN('Activities'!L9,36)-MAX('Activities'!K9,30))</x:f>
        <x:v>6</x:v>
      </x:c>
      <x:c r="K9" s="23" t="n">
        <x:f>MAX(0,MIN('Activities'!L9,42)-MAX('Activities'!K9,36))</x:f>
        <x:v>6</x:v>
      </x:c>
      <x:c r="L9" s="23" t="n">
        <x:f>MAX(0,MIN('Activities'!L9,48)-MAX('Activities'!K9,42))</x:f>
        <x:v>6</x:v>
      </x:c>
      <x:c r="M9" s="23" t="n">
        <x:f>MAX(0,MIN('Activities'!L9,54)-MAX('Activities'!K9,48))</x:f>
        <x:v>6</x:v>
      </x:c>
      <x:c r="N9" s="23" t="n">
        <x:f>MAX(0,MIN('Activities'!L9,60)-MAX('Activities'!K9,54))</x:f>
        <x:v>3</x:v>
      </x:c>
      <x:c r="O9" s="23" t="n">
        <x:f>MAX(0,MIN('Activities'!L9,66)-MAX('Activities'!K9,60))</x:f>
        <x:v>0</x:v>
      </x:c>
      <x:c r="P9" s="23" t="n">
        <x:f>MAX(0,MIN('Activities'!L9,72)-MAX('Activities'!K9,66))</x:f>
        <x:v>0</x:v>
      </x:c>
      <x:c r="Q9" s="23" t="n">
        <x:f>MAX(0,MIN('Activities'!L9,78)-MAX('Activities'!K9,72))</x:f>
        <x:v>0</x:v>
      </x:c>
      <x:c r="R9" s="23" t="n">
        <x:f>MAX(0,MIN('Activities'!L9,84)-MAX('Activities'!K9,78))</x:f>
        <x:v>0</x:v>
      </x:c>
      <x:c r="S9" s="23" t="n">
        <x:f>MAX(0,MIN('Activities'!L9,90)-MAX('Activities'!K9,84))</x:f>
        <x:v>0</x:v>
      </x:c>
      <x:c r="T9" s="23" t="n">
        <x:f>MAX(0,MIN('Activities'!L9,96)-MAX('Activities'!K9,90))</x:f>
        <x:v>0</x:v>
      </x:c>
      <x:c r="U9" s="23" t="n">
        <x:f>MAX(0,MIN('Activities'!L9,102)-MAX('Activities'!K9,96))</x:f>
        <x:v>0</x:v>
      </x:c>
      <x:c r="V9" s="23" t="n">
        <x:f>MAX(0,MIN('Activities'!L9,108)-MAX('Activities'!K9,102))</x:f>
        <x:v>0</x:v>
      </x:c>
      <x:c r="W9" s="23" t="n">
        <x:f>MAX(0,MIN('Activities'!L9,114)-MAX('Activities'!K9,108))</x:f>
        <x:v>0</x:v>
      </x:c>
      <x:c r="X9" s="23" t="n">
        <x:f>MAX(0,MIN('Activities'!L9,120)-MAX('Activities'!K9,114))</x:f>
        <x:v>0</x:v>
      </x:c>
      <x:c r="Y9" s="23" t="n">
        <x:f>MAX(0,MIN('Activities'!L9,126)-MAX('Activities'!K9,120))</x:f>
        <x:v>0</x:v>
      </x:c>
      <x:c r="Z9" s="23" t="n">
        <x:f>MAX(0,MIN('Activities'!L9,132)-MAX('Activities'!K9,126))</x:f>
        <x:v>0</x:v>
      </x:c>
      <x:c r="AA9" s="23" t="n">
        <x:f>MAX(0,MIN('Activities'!L9,138)-MAX('Activities'!K9,132))</x:f>
        <x:v>0</x:v>
      </x:c>
      <x:c r="AB9" s="23" t="n">
        <x:f>MAX(0,MIN('Activities'!L9,144)-MAX('Activities'!K9,138))</x:f>
        <x:v>0</x:v>
      </x:c>
      <x:c r="AC9" s="23" t="n">
        <x:f>MAX(0,MIN('Activities'!L9,150)-MAX('Activities'!K9,144))</x:f>
        <x:v>0</x:v>
      </x:c>
      <x:c r="AD9" s="23" t="n">
        <x:f>MAX(0,MIN('Activities'!L9,156)-MAX('Activities'!K9,150))</x:f>
        <x:v>0</x:v>
      </x:c>
      <x:c r="AE9" s="23" t="n">
        <x:f>MAX(0,MIN('Activities'!L9,162)-MAX('Activities'!K9,156))</x:f>
        <x:v>0</x:v>
      </x:c>
      <x:c r="AF9" s="23" t="n">
        <x:f>MAX(0,MIN('Activities'!L9,168)-MAX('Activities'!K9,162))</x:f>
        <x:v>0</x:v>
      </x:c>
      <x:c r="AG9" s="23" t="n">
        <x:f>MAX(0,MIN('Activities'!L9,174)-MAX('Activities'!K9,168))</x:f>
        <x:v>0</x:v>
      </x:c>
      <x:c r="AH9" s="23" t="n">
        <x:f>MAX(0,MIN('Activities'!L9,180)-MAX('Activities'!K9,174))</x:f>
        <x:v>0</x:v>
      </x:c>
      <x:c r="AI9" s="23" t="n">
        <x:f>MAX(0,MIN('Activities'!L9,186)-MAX('Activities'!K9,180))</x:f>
        <x:v>0</x:v>
      </x:c>
      <x:c r="AJ9" s="23" t="n">
        <x:f>MAX(0,MIN('Activities'!L9,192)-MAX('Activities'!K9,186))</x:f>
        <x:v>0</x:v>
      </x:c>
      <x:c r="AK9" s="23" t="n">
        <x:f>MAX(0,MIN('Activities'!L9,198)-MAX('Activities'!K9,192))</x:f>
        <x:v>0</x:v>
      </x:c>
      <x:c r="AL9" s="23" t="n">
        <x:f>MAX(0,MIN('Activities'!L9,204)-MAX('Activities'!K9,198))</x:f>
        <x:v>0</x:v>
      </x:c>
      <x:c r="AM9" s="23" t="n">
        <x:f>MAX(0,MIN('Activities'!L9,210)-MAX('Activities'!K9,204))</x:f>
        <x:v>0</x:v>
      </x:c>
      <x:c r="AN9" s="23" t="n">
        <x:f>MAX(0,MIN('Activities'!L9,216)-MAX('Activities'!K9,210))</x:f>
        <x:v>0</x:v>
      </x:c>
      <x:c r="AO9" s="23" t="n">
        <x:f>MAX(0,MIN('Activities'!L9,222)-MAX('Activities'!K9,216))</x:f>
        <x:v>0</x:v>
      </x:c>
      <x:c r="AP9" s="23" t="n">
        <x:f>MAX(0,MIN('Activities'!L9,228)-MAX('Activities'!K9,222))</x:f>
        <x:v>0</x:v>
      </x:c>
      <x:c r="AQ9" s="23" t="n">
        <x:f>MAX(0,MIN('Activities'!L9,234)-MAX('Activities'!K9,228))</x:f>
        <x:v>0</x:v>
      </x:c>
      <x:c r="AR9" s="23" t="n">
        <x:f>MAX(0,MIN('Activities'!L9,240)-MAX('Activities'!K9,234))</x:f>
        <x:v>0</x:v>
      </x:c>
      <x:c r="AS9" s="23" t="n">
        <x:f>MAX(0,MIN('Activities'!L9,246)-MAX('Activities'!K9,240))</x:f>
        <x:v>0</x:v>
      </x:c>
      <x:c r="AT9" s="23" t="n">
        <x:f>MAX(0,MIN('Activities'!L9,252)-MAX('Activities'!K9,246))</x:f>
        <x:v>0</x:v>
      </x:c>
      <x:c r="AU9" s="23" t="n">
        <x:f>MAX(0,MIN('Activities'!L9,258)-MAX('Activities'!K9,252))</x:f>
        <x:v>0</x:v>
      </x:c>
      <x:c r="AV9" s="23" t="n">
        <x:f>MAX(0,MIN('Activities'!L9,264)-MAX('Activities'!K9,258))</x:f>
        <x:v>0</x:v>
      </x:c>
      <x:c r="AW9" s="23" t="n">
        <x:f>MAX(0,MIN('Activities'!L9,270)-MAX('Activities'!K9,264))</x:f>
        <x:v>0</x:v>
      </x:c>
      <x:c r="AX9" s="23" t="n">
        <x:f>MAX(0,MIN('Activities'!L9,276)-MAX('Activities'!K9,270))</x:f>
        <x:v>0</x:v>
      </x:c>
      <x:c r="AY9" s="23" t="n">
        <x:f>MAX(0,MIN('Activities'!L9,282)-MAX('Activities'!K9,276))</x:f>
        <x:v>0</x:v>
      </x:c>
      <x:c r="AZ9" s="23" t="n">
        <x:f>MAX(0,MIN('Activities'!L9,288)-MAX('Activities'!K9,282))</x:f>
        <x:v>0</x:v>
      </x:c>
      <x:c r="BA9" s="23" t="n">
        <x:f>MAX(0,MIN('Activities'!L9,294)-MAX('Activities'!K9,288))</x:f>
        <x:v>0</x:v>
      </x:c>
      <x:c r="BB9" s="23" t="n">
        <x:f>MAX(0,MIN('Activities'!L9,300)-MAX('Activities'!K9,294))</x:f>
        <x:v>0</x:v>
      </x:c>
      <x:c r="BC9" s="23" t="n">
        <x:f>MAX(0,MIN('Activities'!L9,306)-MAX('Activities'!K9,300))</x:f>
        <x:v>0</x:v>
      </x:c>
      <x:c r="BD9" s="23" t="n">
        <x:f>MAX(0,MIN('Activities'!L9,312)-MAX('Activities'!K9,306))</x:f>
        <x:v>0</x:v>
      </x:c>
      <x:c r="BE9" s="23" t="n">
        <x:f>MAX(0,MIN('Activities'!L9,318)-MAX('Activities'!K9,312))</x:f>
        <x:v>0</x:v>
      </x:c>
      <x:c r="BF9" s="23" t="n">
        <x:f>MAX(0,MIN('Activities'!L9,324)-MAX('Activities'!K9,318))</x:f>
        <x:v>0</x:v>
      </x:c>
      <x:c r="BG9" s="23" t="n">
        <x:f>MAX(0,MIN('Activities'!L9,330)-MAX('Activities'!K9,324))</x:f>
        <x:v>0</x:v>
      </x:c>
      <x:c r="BH9" s="23" t="n">
        <x:f>MAX(0,MIN('Activities'!L9,336)-MAX('Activities'!K9,330))</x:f>
        <x:v>0</x:v>
      </x:c>
      <x:c r="BI9" s="23" t="n">
        <x:f>MAX(0,MIN('Activities'!L9,342)-MAX('Activities'!K9,336))</x:f>
        <x:v>0</x:v>
      </x:c>
      <x:c r="BJ9" s="23" t="n">
        <x:f>MAX(0,MIN('Activities'!L9,348)-MAX('Activities'!K9,342))</x:f>
        <x:v>0</x:v>
      </x:c>
      <x:c r="BK9" s="23" t="n">
        <x:f>MAX(0,MIN('Activities'!L9,354)-MAX('Activities'!K9,348))</x:f>
        <x:v>0</x:v>
      </x:c>
      <x:c r="BL9" s="23" t="n">
        <x:f>MAX(0,MIN('Activities'!L9,360)-MAX('Activities'!K9,354))</x:f>
        <x:v>0</x:v>
      </x:c>
      <x:c r="BM9" s="23" t="n">
        <x:f>MAX(0,MIN('Activities'!L9,366)-MAX('Activities'!K9,360))</x:f>
        <x:v>0</x:v>
      </x:c>
      <x:c r="BN9" s="23" t="n">
        <x:f>MAX(0,MIN('Activities'!L9,372)-MAX('Activities'!K9,366))</x:f>
        <x:v>0</x:v>
      </x:c>
      <x:c r="BO9" s="23" t="n">
        <x:f>MAX(0,MIN('Activities'!L9,378)-MAX('Activities'!K9,372))</x:f>
        <x:v>0</x:v>
      </x:c>
      <x:c r="BP9" s="23" t="n">
        <x:f>MAX(0,MIN('Activities'!L9,384)-MAX('Activities'!K9,378))</x:f>
        <x:v>0</x:v>
      </x:c>
      <x:c r="BQ9" s="23" t="n">
        <x:f>MAX(0,MIN('Activities'!L9,390)-MAX('Activities'!K9,384))</x:f>
        <x:v>0</x:v>
      </x:c>
      <x:c r="BR9" s="23" t="n">
        <x:f>MAX(0,MIN('Activities'!L9,396)-MAX('Activities'!K9,390))</x:f>
        <x:v>0</x:v>
      </x:c>
      <x:c r="BS9" s="23" t="n">
        <x:f>MAX(0,MIN('Activities'!L9,402)-MAX('Activities'!K9,396))</x:f>
        <x:v>0</x:v>
      </x:c>
      <x:c r="BT9" s="23" t="n">
        <x:f>MAX(0,MIN('Activities'!L9,408)-MAX('Activities'!K9,402))</x:f>
        <x:v>0</x:v>
      </x:c>
      <x:c r="BU9" s="23" t="n">
        <x:f>MAX(0,MIN('Activities'!L9,414)-MAX('Activities'!K9,408))</x:f>
        <x:v>0</x:v>
      </x:c>
      <x:c r="BV9" s="23" t="n">
        <x:f>MAX(0,MIN('Activities'!L9,420)-MAX('Activities'!K9,414))</x:f>
        <x:v>0</x:v>
      </x:c>
      <x:c r="BW9" s="23" t="n">
        <x:f>MAX(0,MIN('Activities'!L9,426)-MAX('Activities'!K9,420))</x:f>
        <x:v>0</x:v>
      </x:c>
      <x:c r="BX9" s="23" t="n">
        <x:f>MAX(0,MIN('Activities'!L9,432)-MAX('Activities'!K9,426))</x:f>
        <x:v>0</x:v>
      </x:c>
      <x:c r="BY9" s="23" t="n">
        <x:f>MAX(0,MIN('Activities'!L9,438)-MAX('Activities'!K9,432))</x:f>
        <x:v>0</x:v>
      </x:c>
      <x:c r="BZ9" s="23" t="n">
        <x:f>MAX(0,MIN('Activities'!L9,444)-MAX('Activities'!K9,438))</x:f>
        <x:v>0</x:v>
      </x:c>
      <x:c r="CA9" s="23" t="n">
        <x:f>MAX(0,MIN('Activities'!L9,450)-MAX('Activities'!K9,444))</x:f>
        <x:v>0</x:v>
      </x:c>
      <x:c r="CB9" s="23" t="n">
        <x:f>MAX(0,MIN('Activities'!L9,456)-MAX('Activities'!K9,450))</x:f>
        <x:v>0</x:v>
      </x:c>
      <x:c r="CC9" s="23" t="n">
        <x:f>MAX(0,MIN('Activities'!L9,462)-MAX('Activities'!K9,456))</x:f>
        <x:v>0</x:v>
      </x:c>
      <x:c r="CD9" s="23" t="n">
        <x:f>MAX(0,MIN('Activities'!L9,468)-MAX('Activities'!K9,462))</x:f>
        <x:v>0</x:v>
      </x:c>
      <x:c r="CE9" s="23" t="n">
        <x:f>MAX(0,MIN('Activities'!L9,474)-MAX('Activities'!K9,468))</x:f>
        <x:v>0</x:v>
      </x:c>
      <x:c r="CF9" s="23" t="n">
        <x:f>MAX(0,MIN('Activities'!L9,480)-MAX('Activities'!K9,474))</x:f>
        <x:v>0</x:v>
      </x:c>
      <x:c r="CG9" s="23" t="n">
        <x:f>MAX(0,MIN('Activities'!L9,486)-MAX('Activities'!K9,480))</x:f>
        <x:v>0</x:v>
      </x:c>
      <x:c r="CH9" s="23" t="n">
        <x:f>MAX(0,MIN('Activities'!L9,492)-MAX('Activities'!K9,486))</x:f>
        <x:v>0</x:v>
      </x:c>
      <x:c r="CI9" s="23" t="n">
        <x:f>MAX(0,MIN('Activities'!L9,498)-MAX('Activities'!K9,492))</x:f>
        <x:v>0</x:v>
      </x:c>
      <x:c r="CJ9" s="23" t="n">
        <x:f>MAX(0,MIN('Activities'!L9,504)-MAX('Activities'!K9,498))</x:f>
        <x:v>0</x:v>
      </x:c>
      <x:c r="CK9" s="23" t="n">
        <x:f>MAX(0,MIN('Activities'!L9,510)-MAX('Activities'!K9,504))</x:f>
        <x:v>0</x:v>
      </x:c>
      <x:c r="CL9" s="23" t="n">
        <x:f>MAX(0,MIN('Activities'!L9,516)-MAX('Activities'!K9,510))</x:f>
        <x:v>0</x:v>
      </x:c>
      <x:c r="CM9" s="23" t="n">
        <x:f>MAX(0,MIN('Activities'!L9,522)-MAX('Activities'!K9,516))</x:f>
        <x:v>0</x:v>
      </x:c>
      <x:c r="CN9" s="23" t="n">
        <x:f>MAX(0,MIN('Activities'!L9,528)-MAX('Activities'!K9,522))</x:f>
        <x:v>0</x:v>
      </x:c>
      <x:c r="CO9" s="23" t="n">
        <x:f>MAX(0,MIN('Activities'!L9,534)-MAX('Activities'!K9,528))</x:f>
        <x:v>0</x:v>
      </x:c>
      <x:c r="CP9" s="23" t="n">
        <x:f>MAX(0,MIN('Activities'!L9,540)-MAX('Activities'!K9,534))</x:f>
        <x:v>0</x:v>
      </x:c>
      <x:c r="CQ9" s="23" t="n">
        <x:f>MAX(0,MIN('Activities'!L9,546)-MAX('Activities'!K9,540))</x:f>
        <x:v>0</x:v>
      </x:c>
      <x:c r="CR9" s="23" t="n">
        <x:f>MAX(0,MIN('Activities'!L9,552)-MAX('Activities'!K9,546))</x:f>
        <x:v>0</x:v>
      </x:c>
      <x:c r="CS9" s="23" t="n">
        <x:f>MAX(0,MIN('Activities'!L9,558)-MAX('Activities'!K9,552))</x:f>
        <x:v>0</x:v>
      </x:c>
      <x:c r="CT9" s="23" t="n">
        <x:f>MAX(0,MIN('Activities'!L9,564)-MAX('Activities'!K9,558))</x:f>
        <x:v>0</x:v>
      </x:c>
      <x:c r="CU9" s="23" t="n">
        <x:f>MAX(0,MIN('Activities'!L9,570)-MAX('Activities'!K9,564))</x:f>
        <x:v>0</x:v>
      </x:c>
      <x:c r="CV9" s="23" t="n">
        <x:f>MAX(0,MIN('Activities'!L9,576)-MAX('Activities'!K9,570))</x:f>
        <x:v>0</x:v>
      </x:c>
      <x:c r="CW9" s="23" t="n">
        <x:f>MAX(0,MIN('Activities'!L9,582)-MAX('Activities'!K9,576))</x:f>
        <x:v>0</x:v>
      </x:c>
      <x:c r="CX9" s="23" t="n">
        <x:f>MAX(0,MIN('Activities'!L9,588)-MAX('Activities'!K9,582))</x:f>
        <x:v>0</x:v>
      </x:c>
      <x:c r="CY9" s="23" t="n">
        <x:f>MAX(0,MIN('Activities'!L9,594)-MAX('Activities'!K9,588))</x:f>
        <x:v>0</x:v>
      </x:c>
      <x:c r="CZ9" s="23" t="n">
        <x:f>MAX(0,MIN('Activities'!L9,600)-MAX('Activities'!K9,594))</x:f>
        <x:v>0</x:v>
      </x:c>
      <x:c r="DA9" s="23" t="n">
        <x:f>MAX(0,MIN('Activities'!L9,606)-MAX('Activities'!K9,600))</x:f>
        <x:v>0</x:v>
      </x:c>
      <x:c r="DB9" s="23" t="n">
        <x:f>MAX(0,MIN('Activities'!L9,612)-MAX('Activities'!K9,606))</x:f>
        <x:v>0</x:v>
      </x:c>
      <x:c r="DC9" s="23" t="n">
        <x:f>MAX(0,MIN('Activities'!L9,618)-MAX('Activities'!K9,612))</x:f>
        <x:v>0</x:v>
      </x:c>
      <x:c r="DD9" s="23" t="n">
        <x:f>MAX(0,MIN('Activities'!L9,624)-MAX('Activities'!K9,618))</x:f>
        <x:v>0</x:v>
      </x:c>
      <x:c r="DE9" s="23" t="n">
        <x:f>MAX(0,MIN('Activities'!L9,630)-MAX('Activities'!K9,624))</x:f>
        <x:v>0</x:v>
      </x:c>
      <x:c r="DF9" s="23" t="n">
        <x:f>MAX(0,MIN('Activities'!L9,636)-MAX('Activities'!K9,630))</x:f>
        <x:v>0</x:v>
      </x:c>
    </x:row>
    <x:row r="10" ht="23" customHeight="1">
      <x:c r="A10" s="6" t="str">
        <x:v>P-020</x:v>
      </x:c>
      <x:c r="B10" s="6" t="str">
        <x:v>POD</x:v>
      </x:c>
      <x:c r="C10" s="6" t="str">
        <x:v>Blinding and underslab membrane</x:v>
      </x:c>
      <x:c r="D10" s="6" t="str">
        <x:v>Concrete</x:v>
      </x:c>
      <x:c r="E10" s="22" t="n">
        <x:f>MAX(0,MIN('Activities'!L10,6)-MAX('Activities'!K10,0))</x:f>
        <x:v>0</x:v>
      </x:c>
      <x:c r="F10" s="22" t="n">
        <x:f>MAX(0,MIN('Activities'!L10,12)-MAX('Activities'!K10,6))</x:f>
        <x:v>0</x:v>
      </x:c>
      <x:c r="G10" s="22" t="n">
        <x:f>MAX(0,MIN('Activities'!L10,18)-MAX('Activities'!K10,12))</x:f>
        <x:v>0</x:v>
      </x:c>
      <x:c r="H10" s="22" t="n">
        <x:f>MAX(0,MIN('Activities'!L10,24)-MAX('Activities'!K10,18))</x:f>
        <x:v>0</x:v>
      </x:c>
      <x:c r="I10" s="22" t="n">
        <x:f>MAX(0,MIN('Activities'!L10,30)-MAX('Activities'!K10,24))</x:f>
        <x:v>0</x:v>
      </x:c>
      <x:c r="J10" s="22" t="n">
        <x:f>MAX(0,MIN('Activities'!L10,36)-MAX('Activities'!K10,30))</x:f>
        <x:v>0</x:v>
      </x:c>
      <x:c r="K10" s="22" t="n">
        <x:f>MAX(0,MIN('Activities'!L10,42)-MAX('Activities'!K10,36))</x:f>
        <x:v>0</x:v>
      </x:c>
      <x:c r="L10" s="22" t="n">
        <x:f>MAX(0,MIN('Activities'!L10,48)-MAX('Activities'!K10,42))</x:f>
        <x:v>0</x:v>
      </x:c>
      <x:c r="M10" s="22" t="n">
        <x:f>MAX(0,MIN('Activities'!L10,54)-MAX('Activities'!K10,48))</x:f>
        <x:v>0</x:v>
      </x:c>
      <x:c r="N10" s="22" t="n">
        <x:f>MAX(0,MIN('Activities'!L10,60)-MAX('Activities'!K10,54))</x:f>
        <x:v>3</x:v>
      </x:c>
      <x:c r="O10" s="22" t="n">
        <x:f>MAX(0,MIN('Activities'!L10,66)-MAX('Activities'!K10,60))</x:f>
        <x:v>6</x:v>
      </x:c>
      <x:c r="P10" s="22" t="n">
        <x:f>MAX(0,MIN('Activities'!L10,72)-MAX('Activities'!K10,66))</x:f>
        <x:v>0</x:v>
      </x:c>
      <x:c r="Q10" s="22" t="n">
        <x:f>MAX(0,MIN('Activities'!L10,78)-MAX('Activities'!K10,72))</x:f>
        <x:v>0</x:v>
      </x:c>
      <x:c r="R10" s="22" t="n">
        <x:f>MAX(0,MIN('Activities'!L10,84)-MAX('Activities'!K10,78))</x:f>
        <x:v>0</x:v>
      </x:c>
      <x:c r="S10" s="22" t="n">
        <x:f>MAX(0,MIN('Activities'!L10,90)-MAX('Activities'!K10,84))</x:f>
        <x:v>0</x:v>
      </x:c>
      <x:c r="T10" s="22" t="n">
        <x:f>MAX(0,MIN('Activities'!L10,96)-MAX('Activities'!K10,90))</x:f>
        <x:v>0</x:v>
      </x:c>
      <x:c r="U10" s="22" t="n">
        <x:f>MAX(0,MIN('Activities'!L10,102)-MAX('Activities'!K10,96))</x:f>
        <x:v>0</x:v>
      </x:c>
      <x:c r="V10" s="22" t="n">
        <x:f>MAX(0,MIN('Activities'!L10,108)-MAX('Activities'!K10,102))</x:f>
        <x:v>0</x:v>
      </x:c>
      <x:c r="W10" s="22" t="n">
        <x:f>MAX(0,MIN('Activities'!L10,114)-MAX('Activities'!K10,108))</x:f>
        <x:v>0</x:v>
      </x:c>
      <x:c r="X10" s="22" t="n">
        <x:f>MAX(0,MIN('Activities'!L10,120)-MAX('Activities'!K10,114))</x:f>
        <x:v>0</x:v>
      </x:c>
      <x:c r="Y10" s="22" t="n">
        <x:f>MAX(0,MIN('Activities'!L10,126)-MAX('Activities'!K10,120))</x:f>
        <x:v>0</x:v>
      </x:c>
      <x:c r="Z10" s="22" t="n">
        <x:f>MAX(0,MIN('Activities'!L10,132)-MAX('Activities'!K10,126))</x:f>
        <x:v>0</x:v>
      </x:c>
      <x:c r="AA10" s="22" t="n">
        <x:f>MAX(0,MIN('Activities'!L10,138)-MAX('Activities'!K10,132))</x:f>
        <x:v>0</x:v>
      </x:c>
      <x:c r="AB10" s="22" t="n">
        <x:f>MAX(0,MIN('Activities'!L10,144)-MAX('Activities'!K10,138))</x:f>
        <x:v>0</x:v>
      </x:c>
      <x:c r="AC10" s="22" t="n">
        <x:f>MAX(0,MIN('Activities'!L10,150)-MAX('Activities'!K10,144))</x:f>
        <x:v>0</x:v>
      </x:c>
      <x:c r="AD10" s="22" t="n">
        <x:f>MAX(0,MIN('Activities'!L10,156)-MAX('Activities'!K10,150))</x:f>
        <x:v>0</x:v>
      </x:c>
      <x:c r="AE10" s="22" t="n">
        <x:f>MAX(0,MIN('Activities'!L10,162)-MAX('Activities'!K10,156))</x:f>
        <x:v>0</x:v>
      </x:c>
      <x:c r="AF10" s="22" t="n">
        <x:f>MAX(0,MIN('Activities'!L10,168)-MAX('Activities'!K10,162))</x:f>
        <x:v>0</x:v>
      </x:c>
      <x:c r="AG10" s="22" t="n">
        <x:f>MAX(0,MIN('Activities'!L10,174)-MAX('Activities'!K10,168))</x:f>
        <x:v>0</x:v>
      </x:c>
      <x:c r="AH10" s="22" t="n">
        <x:f>MAX(0,MIN('Activities'!L10,180)-MAX('Activities'!K10,174))</x:f>
        <x:v>0</x:v>
      </x:c>
      <x:c r="AI10" s="22" t="n">
        <x:f>MAX(0,MIN('Activities'!L10,186)-MAX('Activities'!K10,180))</x:f>
        <x:v>0</x:v>
      </x:c>
      <x:c r="AJ10" s="22" t="n">
        <x:f>MAX(0,MIN('Activities'!L10,192)-MAX('Activities'!K10,186))</x:f>
        <x:v>0</x:v>
      </x:c>
      <x:c r="AK10" s="22" t="n">
        <x:f>MAX(0,MIN('Activities'!L10,198)-MAX('Activities'!K10,192))</x:f>
        <x:v>0</x:v>
      </x:c>
      <x:c r="AL10" s="22" t="n">
        <x:f>MAX(0,MIN('Activities'!L10,204)-MAX('Activities'!K10,198))</x:f>
        <x:v>0</x:v>
      </x:c>
      <x:c r="AM10" s="22" t="n">
        <x:f>MAX(0,MIN('Activities'!L10,210)-MAX('Activities'!K10,204))</x:f>
        <x:v>0</x:v>
      </x:c>
      <x:c r="AN10" s="22" t="n">
        <x:f>MAX(0,MIN('Activities'!L10,216)-MAX('Activities'!K10,210))</x:f>
        <x:v>0</x:v>
      </x:c>
      <x:c r="AO10" s="22" t="n">
        <x:f>MAX(0,MIN('Activities'!L10,222)-MAX('Activities'!K10,216))</x:f>
        <x:v>0</x:v>
      </x:c>
      <x:c r="AP10" s="22" t="n">
        <x:f>MAX(0,MIN('Activities'!L10,228)-MAX('Activities'!K10,222))</x:f>
        <x:v>0</x:v>
      </x:c>
      <x:c r="AQ10" s="22" t="n">
        <x:f>MAX(0,MIN('Activities'!L10,234)-MAX('Activities'!K10,228))</x:f>
        <x:v>0</x:v>
      </x:c>
      <x:c r="AR10" s="22" t="n">
        <x:f>MAX(0,MIN('Activities'!L10,240)-MAX('Activities'!K10,234))</x:f>
        <x:v>0</x:v>
      </x:c>
      <x:c r="AS10" s="22" t="n">
        <x:f>MAX(0,MIN('Activities'!L10,246)-MAX('Activities'!K10,240))</x:f>
        <x:v>0</x:v>
      </x:c>
      <x:c r="AT10" s="22" t="n">
        <x:f>MAX(0,MIN('Activities'!L10,252)-MAX('Activities'!K10,246))</x:f>
        <x:v>0</x:v>
      </x:c>
      <x:c r="AU10" s="22" t="n">
        <x:f>MAX(0,MIN('Activities'!L10,258)-MAX('Activities'!K10,252))</x:f>
        <x:v>0</x:v>
      </x:c>
      <x:c r="AV10" s="22" t="n">
        <x:f>MAX(0,MIN('Activities'!L10,264)-MAX('Activities'!K10,258))</x:f>
        <x:v>0</x:v>
      </x:c>
      <x:c r="AW10" s="22" t="n">
        <x:f>MAX(0,MIN('Activities'!L10,270)-MAX('Activities'!K10,264))</x:f>
        <x:v>0</x:v>
      </x:c>
      <x:c r="AX10" s="22" t="n">
        <x:f>MAX(0,MIN('Activities'!L10,276)-MAX('Activities'!K10,270))</x:f>
        <x:v>0</x:v>
      </x:c>
      <x:c r="AY10" s="22" t="n">
        <x:f>MAX(0,MIN('Activities'!L10,282)-MAX('Activities'!K10,276))</x:f>
        <x:v>0</x:v>
      </x:c>
      <x:c r="AZ10" s="22" t="n">
        <x:f>MAX(0,MIN('Activities'!L10,288)-MAX('Activities'!K10,282))</x:f>
        <x:v>0</x:v>
      </x:c>
      <x:c r="BA10" s="22" t="n">
        <x:f>MAX(0,MIN('Activities'!L10,294)-MAX('Activities'!K10,288))</x:f>
        <x:v>0</x:v>
      </x:c>
      <x:c r="BB10" s="22" t="n">
        <x:f>MAX(0,MIN('Activities'!L10,300)-MAX('Activities'!K10,294))</x:f>
        <x:v>0</x:v>
      </x:c>
      <x:c r="BC10" s="22" t="n">
        <x:f>MAX(0,MIN('Activities'!L10,306)-MAX('Activities'!K10,300))</x:f>
        <x:v>0</x:v>
      </x:c>
      <x:c r="BD10" s="22" t="n">
        <x:f>MAX(0,MIN('Activities'!L10,312)-MAX('Activities'!K10,306))</x:f>
        <x:v>0</x:v>
      </x:c>
      <x:c r="BE10" s="22" t="n">
        <x:f>MAX(0,MIN('Activities'!L10,318)-MAX('Activities'!K10,312))</x:f>
        <x:v>0</x:v>
      </x:c>
      <x:c r="BF10" s="22" t="n">
        <x:f>MAX(0,MIN('Activities'!L10,324)-MAX('Activities'!K10,318))</x:f>
        <x:v>0</x:v>
      </x:c>
      <x:c r="BG10" s="22" t="n">
        <x:f>MAX(0,MIN('Activities'!L10,330)-MAX('Activities'!K10,324))</x:f>
        <x:v>0</x:v>
      </x:c>
      <x:c r="BH10" s="22" t="n">
        <x:f>MAX(0,MIN('Activities'!L10,336)-MAX('Activities'!K10,330))</x:f>
        <x:v>0</x:v>
      </x:c>
      <x:c r="BI10" s="22" t="n">
        <x:f>MAX(0,MIN('Activities'!L10,342)-MAX('Activities'!K10,336))</x:f>
        <x:v>0</x:v>
      </x:c>
      <x:c r="BJ10" s="22" t="n">
        <x:f>MAX(0,MIN('Activities'!L10,348)-MAX('Activities'!K10,342))</x:f>
        <x:v>0</x:v>
      </x:c>
      <x:c r="BK10" s="22" t="n">
        <x:f>MAX(0,MIN('Activities'!L10,354)-MAX('Activities'!K10,348))</x:f>
        <x:v>0</x:v>
      </x:c>
      <x:c r="BL10" s="22" t="n">
        <x:f>MAX(0,MIN('Activities'!L10,360)-MAX('Activities'!K10,354))</x:f>
        <x:v>0</x:v>
      </x:c>
      <x:c r="BM10" s="22" t="n">
        <x:f>MAX(0,MIN('Activities'!L10,366)-MAX('Activities'!K10,360))</x:f>
        <x:v>0</x:v>
      </x:c>
      <x:c r="BN10" s="22" t="n">
        <x:f>MAX(0,MIN('Activities'!L10,372)-MAX('Activities'!K10,366))</x:f>
        <x:v>0</x:v>
      </x:c>
      <x:c r="BO10" s="22" t="n">
        <x:f>MAX(0,MIN('Activities'!L10,378)-MAX('Activities'!K10,372))</x:f>
        <x:v>0</x:v>
      </x:c>
      <x:c r="BP10" s="22" t="n">
        <x:f>MAX(0,MIN('Activities'!L10,384)-MAX('Activities'!K10,378))</x:f>
        <x:v>0</x:v>
      </x:c>
      <x:c r="BQ10" s="22" t="n">
        <x:f>MAX(0,MIN('Activities'!L10,390)-MAX('Activities'!K10,384))</x:f>
        <x:v>0</x:v>
      </x:c>
      <x:c r="BR10" s="22" t="n">
        <x:f>MAX(0,MIN('Activities'!L10,396)-MAX('Activities'!K10,390))</x:f>
        <x:v>0</x:v>
      </x:c>
      <x:c r="BS10" s="22" t="n">
        <x:f>MAX(0,MIN('Activities'!L10,402)-MAX('Activities'!K10,396))</x:f>
        <x:v>0</x:v>
      </x:c>
      <x:c r="BT10" s="22" t="n">
        <x:f>MAX(0,MIN('Activities'!L10,408)-MAX('Activities'!K10,402))</x:f>
        <x:v>0</x:v>
      </x:c>
      <x:c r="BU10" s="22" t="n">
        <x:f>MAX(0,MIN('Activities'!L10,414)-MAX('Activities'!K10,408))</x:f>
        <x:v>0</x:v>
      </x:c>
      <x:c r="BV10" s="22" t="n">
        <x:f>MAX(0,MIN('Activities'!L10,420)-MAX('Activities'!K10,414))</x:f>
        <x:v>0</x:v>
      </x:c>
      <x:c r="BW10" s="22" t="n">
        <x:f>MAX(0,MIN('Activities'!L10,426)-MAX('Activities'!K10,420))</x:f>
        <x:v>0</x:v>
      </x:c>
      <x:c r="BX10" s="22" t="n">
        <x:f>MAX(0,MIN('Activities'!L10,432)-MAX('Activities'!K10,426))</x:f>
        <x:v>0</x:v>
      </x:c>
      <x:c r="BY10" s="22" t="n">
        <x:f>MAX(0,MIN('Activities'!L10,438)-MAX('Activities'!K10,432))</x:f>
        <x:v>0</x:v>
      </x:c>
      <x:c r="BZ10" s="22" t="n">
        <x:f>MAX(0,MIN('Activities'!L10,444)-MAX('Activities'!K10,438))</x:f>
        <x:v>0</x:v>
      </x:c>
      <x:c r="CA10" s="22" t="n">
        <x:f>MAX(0,MIN('Activities'!L10,450)-MAX('Activities'!K10,444))</x:f>
        <x:v>0</x:v>
      </x:c>
      <x:c r="CB10" s="22" t="n">
        <x:f>MAX(0,MIN('Activities'!L10,456)-MAX('Activities'!K10,450))</x:f>
        <x:v>0</x:v>
      </x:c>
      <x:c r="CC10" s="22" t="n">
        <x:f>MAX(0,MIN('Activities'!L10,462)-MAX('Activities'!K10,456))</x:f>
        <x:v>0</x:v>
      </x:c>
      <x:c r="CD10" s="22" t="n">
        <x:f>MAX(0,MIN('Activities'!L10,468)-MAX('Activities'!K10,462))</x:f>
        <x:v>0</x:v>
      </x:c>
      <x:c r="CE10" s="22" t="n">
        <x:f>MAX(0,MIN('Activities'!L10,474)-MAX('Activities'!K10,468))</x:f>
        <x:v>0</x:v>
      </x:c>
      <x:c r="CF10" s="22" t="n">
        <x:f>MAX(0,MIN('Activities'!L10,480)-MAX('Activities'!K10,474))</x:f>
        <x:v>0</x:v>
      </x:c>
      <x:c r="CG10" s="22" t="n">
        <x:f>MAX(0,MIN('Activities'!L10,486)-MAX('Activities'!K10,480))</x:f>
        <x:v>0</x:v>
      </x:c>
      <x:c r="CH10" s="22" t="n">
        <x:f>MAX(0,MIN('Activities'!L10,492)-MAX('Activities'!K10,486))</x:f>
        <x:v>0</x:v>
      </x:c>
      <x:c r="CI10" s="22" t="n">
        <x:f>MAX(0,MIN('Activities'!L10,498)-MAX('Activities'!K10,492))</x:f>
        <x:v>0</x:v>
      </x:c>
      <x:c r="CJ10" s="22" t="n">
        <x:f>MAX(0,MIN('Activities'!L10,504)-MAX('Activities'!K10,498))</x:f>
        <x:v>0</x:v>
      </x:c>
      <x:c r="CK10" s="22" t="n">
        <x:f>MAX(0,MIN('Activities'!L10,510)-MAX('Activities'!K10,504))</x:f>
        <x:v>0</x:v>
      </x:c>
      <x:c r="CL10" s="22" t="n">
        <x:f>MAX(0,MIN('Activities'!L10,516)-MAX('Activities'!K10,510))</x:f>
        <x:v>0</x:v>
      </x:c>
      <x:c r="CM10" s="22" t="n">
        <x:f>MAX(0,MIN('Activities'!L10,522)-MAX('Activities'!K10,516))</x:f>
        <x:v>0</x:v>
      </x:c>
      <x:c r="CN10" s="22" t="n">
        <x:f>MAX(0,MIN('Activities'!L10,528)-MAX('Activities'!K10,522))</x:f>
        <x:v>0</x:v>
      </x:c>
      <x:c r="CO10" s="22" t="n">
        <x:f>MAX(0,MIN('Activities'!L10,534)-MAX('Activities'!K10,528))</x:f>
        <x:v>0</x:v>
      </x:c>
      <x:c r="CP10" s="22" t="n">
        <x:f>MAX(0,MIN('Activities'!L10,540)-MAX('Activities'!K10,534))</x:f>
        <x:v>0</x:v>
      </x:c>
      <x:c r="CQ10" s="22" t="n">
        <x:f>MAX(0,MIN('Activities'!L10,546)-MAX('Activities'!K10,540))</x:f>
        <x:v>0</x:v>
      </x:c>
      <x:c r="CR10" s="22" t="n">
        <x:f>MAX(0,MIN('Activities'!L10,552)-MAX('Activities'!K10,546))</x:f>
        <x:v>0</x:v>
      </x:c>
      <x:c r="CS10" s="22" t="n">
        <x:f>MAX(0,MIN('Activities'!L10,558)-MAX('Activities'!K10,552))</x:f>
        <x:v>0</x:v>
      </x:c>
      <x:c r="CT10" s="22" t="n">
        <x:f>MAX(0,MIN('Activities'!L10,564)-MAX('Activities'!K10,558))</x:f>
        <x:v>0</x:v>
      </x:c>
      <x:c r="CU10" s="22" t="n">
        <x:f>MAX(0,MIN('Activities'!L10,570)-MAX('Activities'!K10,564))</x:f>
        <x:v>0</x:v>
      </x:c>
      <x:c r="CV10" s="22" t="n">
        <x:f>MAX(0,MIN('Activities'!L10,576)-MAX('Activities'!K10,570))</x:f>
        <x:v>0</x:v>
      </x:c>
      <x:c r="CW10" s="22" t="n">
        <x:f>MAX(0,MIN('Activities'!L10,582)-MAX('Activities'!K10,576))</x:f>
        <x:v>0</x:v>
      </x:c>
      <x:c r="CX10" s="22" t="n">
        <x:f>MAX(0,MIN('Activities'!L10,588)-MAX('Activities'!K10,582))</x:f>
        <x:v>0</x:v>
      </x:c>
      <x:c r="CY10" s="22" t="n">
        <x:f>MAX(0,MIN('Activities'!L10,594)-MAX('Activities'!K10,588))</x:f>
        <x:v>0</x:v>
      </x:c>
      <x:c r="CZ10" s="22" t="n">
        <x:f>MAX(0,MIN('Activities'!L10,600)-MAX('Activities'!K10,594))</x:f>
        <x:v>0</x:v>
      </x:c>
      <x:c r="DA10" s="22" t="n">
        <x:f>MAX(0,MIN('Activities'!L10,606)-MAX('Activities'!K10,600))</x:f>
        <x:v>0</x:v>
      </x:c>
      <x:c r="DB10" s="22" t="n">
        <x:f>MAX(0,MIN('Activities'!L10,612)-MAX('Activities'!K10,606))</x:f>
        <x:v>0</x:v>
      </x:c>
      <x:c r="DC10" s="22" t="n">
        <x:f>MAX(0,MIN('Activities'!L10,618)-MAX('Activities'!K10,612))</x:f>
        <x:v>0</x:v>
      </x:c>
      <x:c r="DD10" s="22" t="n">
        <x:f>MAX(0,MIN('Activities'!L10,624)-MAX('Activities'!K10,618))</x:f>
        <x:v>0</x:v>
      </x:c>
      <x:c r="DE10" s="22" t="n">
        <x:f>MAX(0,MIN('Activities'!L10,630)-MAX('Activities'!K10,624))</x:f>
        <x:v>0</x:v>
      </x:c>
      <x:c r="DF10" s="22" t="n">
        <x:f>MAX(0,MIN('Activities'!L10,636)-MAX('Activities'!K10,630))</x:f>
        <x:v>0</x:v>
      </x:c>
    </x:row>
    <x:row r="11" ht="23" customHeight="1">
      <x:c r="A11" s="1" t="str">
        <x:v>P-030</x:v>
      </x:c>
      <x:c r="B11" s="1" t="str">
        <x:v>POD</x:v>
      </x:c>
      <x:c r="C11" s="1" t="str">
        <x:v>Raft reinforcement and preparation</x:v>
      </x:c>
      <x:c r="D11" s="1" t="str">
        <x:v>Rebar</x:v>
      </x:c>
      <x:c r="E11" s="23" t="n">
        <x:f>MAX(0,MIN('Activities'!L11,6)-MAX('Activities'!K11,0))</x:f>
        <x:v>0</x:v>
      </x:c>
      <x:c r="F11" s="23" t="n">
        <x:f>MAX(0,MIN('Activities'!L11,12)-MAX('Activities'!K11,6))</x:f>
        <x:v>0</x:v>
      </x:c>
      <x:c r="G11" s="23" t="n">
        <x:f>MAX(0,MIN('Activities'!L11,18)-MAX('Activities'!K11,12))</x:f>
        <x:v>0</x:v>
      </x:c>
      <x:c r="H11" s="23" t="n">
        <x:f>MAX(0,MIN('Activities'!L11,24)-MAX('Activities'!K11,18))</x:f>
        <x:v>0</x:v>
      </x:c>
      <x:c r="I11" s="23" t="n">
        <x:f>MAX(0,MIN('Activities'!L11,30)-MAX('Activities'!K11,24))</x:f>
        <x:v>0</x:v>
      </x:c>
      <x:c r="J11" s="23" t="n">
        <x:f>MAX(0,MIN('Activities'!L11,36)-MAX('Activities'!K11,30))</x:f>
        <x:v>0</x:v>
      </x:c>
      <x:c r="K11" s="23" t="n">
        <x:f>MAX(0,MIN('Activities'!L11,42)-MAX('Activities'!K11,36))</x:f>
        <x:v>0</x:v>
      </x:c>
      <x:c r="L11" s="23" t="n">
        <x:f>MAX(0,MIN('Activities'!L11,48)-MAX('Activities'!K11,42))</x:f>
        <x:v>0</x:v>
      </x:c>
      <x:c r="M11" s="23" t="n">
        <x:f>MAX(0,MIN('Activities'!L11,54)-MAX('Activities'!K11,48))</x:f>
        <x:v>0</x:v>
      </x:c>
      <x:c r="N11" s="23" t="n">
        <x:f>MAX(0,MIN('Activities'!L11,60)-MAX('Activities'!K11,54))</x:f>
        <x:v>0</x:v>
      </x:c>
      <x:c r="O11" s="23" t="n">
        <x:f>MAX(0,MIN('Activities'!L11,66)-MAX('Activities'!K11,60))</x:f>
        <x:v>0</x:v>
      </x:c>
      <x:c r="P11" s="23" t="n">
        <x:f>MAX(0,MIN('Activities'!L11,72)-MAX('Activities'!K11,66))</x:f>
        <x:v>6</x:v>
      </x:c>
      <x:c r="Q11" s="23" t="n">
        <x:f>MAX(0,MIN('Activities'!L11,78)-MAX('Activities'!K11,72))</x:f>
        <x:v>6</x:v>
      </x:c>
      <x:c r="R11" s="23" t="n">
        <x:f>MAX(0,MIN('Activities'!L11,84)-MAX('Activities'!K11,78))</x:f>
        <x:v>6</x:v>
      </x:c>
      <x:c r="S11" s="23" t="n">
        <x:f>MAX(0,MIN('Activities'!L11,90)-MAX('Activities'!K11,84))</x:f>
        <x:v>6</x:v>
      </x:c>
      <x:c r="T11" s="23" t="n">
        <x:f>MAX(0,MIN('Activities'!L11,96)-MAX('Activities'!K11,90))</x:f>
        <x:v>6</x:v>
      </x:c>
      <x:c r="U11" s="23" t="n">
        <x:f>MAX(0,MIN('Activities'!L11,102)-MAX('Activities'!K11,96))</x:f>
        <x:v>6</x:v>
      </x:c>
      <x:c r="V11" s="23" t="n">
        <x:f>MAX(0,MIN('Activities'!L11,108)-MAX('Activities'!K11,102))</x:f>
        <x:v>6</x:v>
      </x:c>
      <x:c r="W11" s="23" t="n">
        <x:f>MAX(0,MIN('Activities'!L11,114)-MAX('Activities'!K11,108))</x:f>
        <x:v>1</x:v>
      </x:c>
      <x:c r="X11" s="23" t="n">
        <x:f>MAX(0,MIN('Activities'!L11,120)-MAX('Activities'!K11,114))</x:f>
        <x:v>0</x:v>
      </x:c>
      <x:c r="Y11" s="23" t="n">
        <x:f>MAX(0,MIN('Activities'!L11,126)-MAX('Activities'!K11,120))</x:f>
        <x:v>0</x:v>
      </x:c>
      <x:c r="Z11" s="23" t="n">
        <x:f>MAX(0,MIN('Activities'!L11,132)-MAX('Activities'!K11,126))</x:f>
        <x:v>0</x:v>
      </x:c>
      <x:c r="AA11" s="23" t="n">
        <x:f>MAX(0,MIN('Activities'!L11,138)-MAX('Activities'!K11,132))</x:f>
        <x:v>0</x:v>
      </x:c>
      <x:c r="AB11" s="23" t="n">
        <x:f>MAX(0,MIN('Activities'!L11,144)-MAX('Activities'!K11,138))</x:f>
        <x:v>0</x:v>
      </x:c>
      <x:c r="AC11" s="23" t="n">
        <x:f>MAX(0,MIN('Activities'!L11,150)-MAX('Activities'!K11,144))</x:f>
        <x:v>0</x:v>
      </x:c>
      <x:c r="AD11" s="23" t="n">
        <x:f>MAX(0,MIN('Activities'!L11,156)-MAX('Activities'!K11,150))</x:f>
        <x:v>0</x:v>
      </x:c>
      <x:c r="AE11" s="23" t="n">
        <x:f>MAX(0,MIN('Activities'!L11,162)-MAX('Activities'!K11,156))</x:f>
        <x:v>0</x:v>
      </x:c>
      <x:c r="AF11" s="23" t="n">
        <x:f>MAX(0,MIN('Activities'!L11,168)-MAX('Activities'!K11,162))</x:f>
        <x:v>0</x:v>
      </x:c>
      <x:c r="AG11" s="23" t="n">
        <x:f>MAX(0,MIN('Activities'!L11,174)-MAX('Activities'!K11,168))</x:f>
        <x:v>0</x:v>
      </x:c>
      <x:c r="AH11" s="23" t="n">
        <x:f>MAX(0,MIN('Activities'!L11,180)-MAX('Activities'!K11,174))</x:f>
        <x:v>0</x:v>
      </x:c>
      <x:c r="AI11" s="23" t="n">
        <x:f>MAX(0,MIN('Activities'!L11,186)-MAX('Activities'!K11,180))</x:f>
        <x:v>0</x:v>
      </x:c>
      <x:c r="AJ11" s="23" t="n">
        <x:f>MAX(0,MIN('Activities'!L11,192)-MAX('Activities'!K11,186))</x:f>
        <x:v>0</x:v>
      </x:c>
      <x:c r="AK11" s="23" t="n">
        <x:f>MAX(0,MIN('Activities'!L11,198)-MAX('Activities'!K11,192))</x:f>
        <x:v>0</x:v>
      </x:c>
      <x:c r="AL11" s="23" t="n">
        <x:f>MAX(0,MIN('Activities'!L11,204)-MAX('Activities'!K11,198))</x:f>
        <x:v>0</x:v>
      </x:c>
      <x:c r="AM11" s="23" t="n">
        <x:f>MAX(0,MIN('Activities'!L11,210)-MAX('Activities'!K11,204))</x:f>
        <x:v>0</x:v>
      </x:c>
      <x:c r="AN11" s="23" t="n">
        <x:f>MAX(0,MIN('Activities'!L11,216)-MAX('Activities'!K11,210))</x:f>
        <x:v>0</x:v>
      </x:c>
      <x:c r="AO11" s="23" t="n">
        <x:f>MAX(0,MIN('Activities'!L11,222)-MAX('Activities'!K11,216))</x:f>
        <x:v>0</x:v>
      </x:c>
      <x:c r="AP11" s="23" t="n">
        <x:f>MAX(0,MIN('Activities'!L11,228)-MAX('Activities'!K11,222))</x:f>
        <x:v>0</x:v>
      </x:c>
      <x:c r="AQ11" s="23" t="n">
        <x:f>MAX(0,MIN('Activities'!L11,234)-MAX('Activities'!K11,228))</x:f>
        <x:v>0</x:v>
      </x:c>
      <x:c r="AR11" s="23" t="n">
        <x:f>MAX(0,MIN('Activities'!L11,240)-MAX('Activities'!K11,234))</x:f>
        <x:v>0</x:v>
      </x:c>
      <x:c r="AS11" s="23" t="n">
        <x:f>MAX(0,MIN('Activities'!L11,246)-MAX('Activities'!K11,240))</x:f>
        <x:v>0</x:v>
      </x:c>
      <x:c r="AT11" s="23" t="n">
        <x:f>MAX(0,MIN('Activities'!L11,252)-MAX('Activities'!K11,246))</x:f>
        <x:v>0</x:v>
      </x:c>
      <x:c r="AU11" s="23" t="n">
        <x:f>MAX(0,MIN('Activities'!L11,258)-MAX('Activities'!K11,252))</x:f>
        <x:v>0</x:v>
      </x:c>
      <x:c r="AV11" s="23" t="n">
        <x:f>MAX(0,MIN('Activities'!L11,264)-MAX('Activities'!K11,258))</x:f>
        <x:v>0</x:v>
      </x:c>
      <x:c r="AW11" s="23" t="n">
        <x:f>MAX(0,MIN('Activities'!L11,270)-MAX('Activities'!K11,264))</x:f>
        <x:v>0</x:v>
      </x:c>
      <x:c r="AX11" s="23" t="n">
        <x:f>MAX(0,MIN('Activities'!L11,276)-MAX('Activities'!K11,270))</x:f>
        <x:v>0</x:v>
      </x:c>
      <x:c r="AY11" s="23" t="n">
        <x:f>MAX(0,MIN('Activities'!L11,282)-MAX('Activities'!K11,276))</x:f>
        <x:v>0</x:v>
      </x:c>
      <x:c r="AZ11" s="23" t="n">
        <x:f>MAX(0,MIN('Activities'!L11,288)-MAX('Activities'!K11,282))</x:f>
        <x:v>0</x:v>
      </x:c>
      <x:c r="BA11" s="23" t="n">
        <x:f>MAX(0,MIN('Activities'!L11,294)-MAX('Activities'!K11,288))</x:f>
        <x:v>0</x:v>
      </x:c>
      <x:c r="BB11" s="23" t="n">
        <x:f>MAX(0,MIN('Activities'!L11,300)-MAX('Activities'!K11,294))</x:f>
        <x:v>0</x:v>
      </x:c>
      <x:c r="BC11" s="23" t="n">
        <x:f>MAX(0,MIN('Activities'!L11,306)-MAX('Activities'!K11,300))</x:f>
        <x:v>0</x:v>
      </x:c>
      <x:c r="BD11" s="23" t="n">
        <x:f>MAX(0,MIN('Activities'!L11,312)-MAX('Activities'!K11,306))</x:f>
        <x:v>0</x:v>
      </x:c>
      <x:c r="BE11" s="23" t="n">
        <x:f>MAX(0,MIN('Activities'!L11,318)-MAX('Activities'!K11,312))</x:f>
        <x:v>0</x:v>
      </x:c>
      <x:c r="BF11" s="23" t="n">
        <x:f>MAX(0,MIN('Activities'!L11,324)-MAX('Activities'!K11,318))</x:f>
        <x:v>0</x:v>
      </x:c>
      <x:c r="BG11" s="23" t="n">
        <x:f>MAX(0,MIN('Activities'!L11,330)-MAX('Activities'!K11,324))</x:f>
        <x:v>0</x:v>
      </x:c>
      <x:c r="BH11" s="23" t="n">
        <x:f>MAX(0,MIN('Activities'!L11,336)-MAX('Activities'!K11,330))</x:f>
        <x:v>0</x:v>
      </x:c>
      <x:c r="BI11" s="23" t="n">
        <x:f>MAX(0,MIN('Activities'!L11,342)-MAX('Activities'!K11,336))</x:f>
        <x:v>0</x:v>
      </x:c>
      <x:c r="BJ11" s="23" t="n">
        <x:f>MAX(0,MIN('Activities'!L11,348)-MAX('Activities'!K11,342))</x:f>
        <x:v>0</x:v>
      </x:c>
      <x:c r="BK11" s="23" t="n">
        <x:f>MAX(0,MIN('Activities'!L11,354)-MAX('Activities'!K11,348))</x:f>
        <x:v>0</x:v>
      </x:c>
      <x:c r="BL11" s="23" t="n">
        <x:f>MAX(0,MIN('Activities'!L11,360)-MAX('Activities'!K11,354))</x:f>
        <x:v>0</x:v>
      </x:c>
      <x:c r="BM11" s="23" t="n">
        <x:f>MAX(0,MIN('Activities'!L11,366)-MAX('Activities'!K11,360))</x:f>
        <x:v>0</x:v>
      </x:c>
      <x:c r="BN11" s="23" t="n">
        <x:f>MAX(0,MIN('Activities'!L11,372)-MAX('Activities'!K11,366))</x:f>
        <x:v>0</x:v>
      </x:c>
      <x:c r="BO11" s="23" t="n">
        <x:f>MAX(0,MIN('Activities'!L11,378)-MAX('Activities'!K11,372))</x:f>
        <x:v>0</x:v>
      </x:c>
      <x:c r="BP11" s="23" t="n">
        <x:f>MAX(0,MIN('Activities'!L11,384)-MAX('Activities'!K11,378))</x:f>
        <x:v>0</x:v>
      </x:c>
      <x:c r="BQ11" s="23" t="n">
        <x:f>MAX(0,MIN('Activities'!L11,390)-MAX('Activities'!K11,384))</x:f>
        <x:v>0</x:v>
      </x:c>
      <x:c r="BR11" s="23" t="n">
        <x:f>MAX(0,MIN('Activities'!L11,396)-MAX('Activities'!K11,390))</x:f>
        <x:v>0</x:v>
      </x:c>
      <x:c r="BS11" s="23" t="n">
        <x:f>MAX(0,MIN('Activities'!L11,402)-MAX('Activities'!K11,396))</x:f>
        <x:v>0</x:v>
      </x:c>
      <x:c r="BT11" s="23" t="n">
        <x:f>MAX(0,MIN('Activities'!L11,408)-MAX('Activities'!K11,402))</x:f>
        <x:v>0</x:v>
      </x:c>
      <x:c r="BU11" s="23" t="n">
        <x:f>MAX(0,MIN('Activities'!L11,414)-MAX('Activities'!K11,408))</x:f>
        <x:v>0</x:v>
      </x:c>
      <x:c r="BV11" s="23" t="n">
        <x:f>MAX(0,MIN('Activities'!L11,420)-MAX('Activities'!K11,414))</x:f>
        <x:v>0</x:v>
      </x:c>
      <x:c r="BW11" s="23" t="n">
        <x:f>MAX(0,MIN('Activities'!L11,426)-MAX('Activities'!K11,420))</x:f>
        <x:v>0</x:v>
      </x:c>
      <x:c r="BX11" s="23" t="n">
        <x:f>MAX(0,MIN('Activities'!L11,432)-MAX('Activities'!K11,426))</x:f>
        <x:v>0</x:v>
      </x:c>
      <x:c r="BY11" s="23" t="n">
        <x:f>MAX(0,MIN('Activities'!L11,438)-MAX('Activities'!K11,432))</x:f>
        <x:v>0</x:v>
      </x:c>
      <x:c r="BZ11" s="23" t="n">
        <x:f>MAX(0,MIN('Activities'!L11,444)-MAX('Activities'!K11,438))</x:f>
        <x:v>0</x:v>
      </x:c>
      <x:c r="CA11" s="23" t="n">
        <x:f>MAX(0,MIN('Activities'!L11,450)-MAX('Activities'!K11,444))</x:f>
        <x:v>0</x:v>
      </x:c>
      <x:c r="CB11" s="23" t="n">
        <x:f>MAX(0,MIN('Activities'!L11,456)-MAX('Activities'!K11,450))</x:f>
        <x:v>0</x:v>
      </x:c>
      <x:c r="CC11" s="23" t="n">
        <x:f>MAX(0,MIN('Activities'!L11,462)-MAX('Activities'!K11,456))</x:f>
        <x:v>0</x:v>
      </x:c>
      <x:c r="CD11" s="23" t="n">
        <x:f>MAX(0,MIN('Activities'!L11,468)-MAX('Activities'!K11,462))</x:f>
        <x:v>0</x:v>
      </x:c>
      <x:c r="CE11" s="23" t="n">
        <x:f>MAX(0,MIN('Activities'!L11,474)-MAX('Activities'!K11,468))</x:f>
        <x:v>0</x:v>
      </x:c>
      <x:c r="CF11" s="23" t="n">
        <x:f>MAX(0,MIN('Activities'!L11,480)-MAX('Activities'!K11,474))</x:f>
        <x:v>0</x:v>
      </x:c>
      <x:c r="CG11" s="23" t="n">
        <x:f>MAX(0,MIN('Activities'!L11,486)-MAX('Activities'!K11,480))</x:f>
        <x:v>0</x:v>
      </x:c>
      <x:c r="CH11" s="23" t="n">
        <x:f>MAX(0,MIN('Activities'!L11,492)-MAX('Activities'!K11,486))</x:f>
        <x:v>0</x:v>
      </x:c>
      <x:c r="CI11" s="23" t="n">
        <x:f>MAX(0,MIN('Activities'!L11,498)-MAX('Activities'!K11,492))</x:f>
        <x:v>0</x:v>
      </x:c>
      <x:c r="CJ11" s="23" t="n">
        <x:f>MAX(0,MIN('Activities'!L11,504)-MAX('Activities'!K11,498))</x:f>
        <x:v>0</x:v>
      </x:c>
      <x:c r="CK11" s="23" t="n">
        <x:f>MAX(0,MIN('Activities'!L11,510)-MAX('Activities'!K11,504))</x:f>
        <x:v>0</x:v>
      </x:c>
      <x:c r="CL11" s="23" t="n">
        <x:f>MAX(0,MIN('Activities'!L11,516)-MAX('Activities'!K11,510))</x:f>
        <x:v>0</x:v>
      </x:c>
      <x:c r="CM11" s="23" t="n">
        <x:f>MAX(0,MIN('Activities'!L11,522)-MAX('Activities'!K11,516))</x:f>
        <x:v>0</x:v>
      </x:c>
      <x:c r="CN11" s="23" t="n">
        <x:f>MAX(0,MIN('Activities'!L11,528)-MAX('Activities'!K11,522))</x:f>
        <x:v>0</x:v>
      </x:c>
      <x:c r="CO11" s="23" t="n">
        <x:f>MAX(0,MIN('Activities'!L11,534)-MAX('Activities'!K11,528))</x:f>
        <x:v>0</x:v>
      </x:c>
      <x:c r="CP11" s="23" t="n">
        <x:f>MAX(0,MIN('Activities'!L11,540)-MAX('Activities'!K11,534))</x:f>
        <x:v>0</x:v>
      </x:c>
      <x:c r="CQ11" s="23" t="n">
        <x:f>MAX(0,MIN('Activities'!L11,546)-MAX('Activities'!K11,540))</x:f>
        <x:v>0</x:v>
      </x:c>
      <x:c r="CR11" s="23" t="n">
        <x:f>MAX(0,MIN('Activities'!L11,552)-MAX('Activities'!K11,546))</x:f>
        <x:v>0</x:v>
      </x:c>
      <x:c r="CS11" s="23" t="n">
        <x:f>MAX(0,MIN('Activities'!L11,558)-MAX('Activities'!K11,552))</x:f>
        <x:v>0</x:v>
      </x:c>
      <x:c r="CT11" s="23" t="n">
        <x:f>MAX(0,MIN('Activities'!L11,564)-MAX('Activities'!K11,558))</x:f>
        <x:v>0</x:v>
      </x:c>
      <x:c r="CU11" s="23" t="n">
        <x:f>MAX(0,MIN('Activities'!L11,570)-MAX('Activities'!K11,564))</x:f>
        <x:v>0</x:v>
      </x:c>
      <x:c r="CV11" s="23" t="n">
        <x:f>MAX(0,MIN('Activities'!L11,576)-MAX('Activities'!K11,570))</x:f>
        <x:v>0</x:v>
      </x:c>
      <x:c r="CW11" s="23" t="n">
        <x:f>MAX(0,MIN('Activities'!L11,582)-MAX('Activities'!K11,576))</x:f>
        <x:v>0</x:v>
      </x:c>
      <x:c r="CX11" s="23" t="n">
        <x:f>MAX(0,MIN('Activities'!L11,588)-MAX('Activities'!K11,582))</x:f>
        <x:v>0</x:v>
      </x:c>
      <x:c r="CY11" s="23" t="n">
        <x:f>MAX(0,MIN('Activities'!L11,594)-MAX('Activities'!K11,588))</x:f>
        <x:v>0</x:v>
      </x:c>
      <x:c r="CZ11" s="23" t="n">
        <x:f>MAX(0,MIN('Activities'!L11,600)-MAX('Activities'!K11,594))</x:f>
        <x:v>0</x:v>
      </x:c>
      <x:c r="DA11" s="23" t="n">
        <x:f>MAX(0,MIN('Activities'!L11,606)-MAX('Activities'!K11,600))</x:f>
        <x:v>0</x:v>
      </x:c>
      <x:c r="DB11" s="23" t="n">
        <x:f>MAX(0,MIN('Activities'!L11,612)-MAX('Activities'!K11,606))</x:f>
        <x:v>0</x:v>
      </x:c>
      <x:c r="DC11" s="23" t="n">
        <x:f>MAX(0,MIN('Activities'!L11,618)-MAX('Activities'!K11,612))</x:f>
        <x:v>0</x:v>
      </x:c>
      <x:c r="DD11" s="23" t="n">
        <x:f>MAX(0,MIN('Activities'!L11,624)-MAX('Activities'!K11,618))</x:f>
        <x:v>0</x:v>
      </x:c>
      <x:c r="DE11" s="23" t="n">
        <x:f>MAX(0,MIN('Activities'!L11,630)-MAX('Activities'!K11,624))</x:f>
        <x:v>0</x:v>
      </x:c>
      <x:c r="DF11" s="23" t="n">
        <x:f>MAX(0,MIN('Activities'!L11,636)-MAX('Activities'!K11,630))</x:f>
        <x:v>0</x:v>
      </x:c>
    </x:row>
    <x:row r="12" ht="23" customHeight="1">
      <x:c r="A12" s="6" t="str">
        <x:v>P-040</x:v>
      </x:c>
      <x:c r="B12" s="6" t="str">
        <x:v>POD</x:v>
      </x:c>
      <x:c r="C12" s="6" t="str">
        <x:v>Raft base and tower thickening pours</x:v>
      </x:c>
      <x:c r="D12" s="6" t="str">
        <x:v>Concrete</x:v>
      </x:c>
      <x:c r="E12" s="22" t="n">
        <x:f>MAX(0,MIN('Activities'!L12,6)-MAX('Activities'!K12,0))</x:f>
        <x:v>0</x:v>
      </x:c>
      <x:c r="F12" s="22" t="n">
        <x:f>MAX(0,MIN('Activities'!L12,12)-MAX('Activities'!K12,6))</x:f>
        <x:v>0</x:v>
      </x:c>
      <x:c r="G12" s="22" t="n">
        <x:f>MAX(0,MIN('Activities'!L12,18)-MAX('Activities'!K12,12))</x:f>
        <x:v>0</x:v>
      </x:c>
      <x:c r="H12" s="22" t="n">
        <x:f>MAX(0,MIN('Activities'!L12,24)-MAX('Activities'!K12,18))</x:f>
        <x:v>0</x:v>
      </x:c>
      <x:c r="I12" s="22" t="n">
        <x:f>MAX(0,MIN('Activities'!L12,30)-MAX('Activities'!K12,24))</x:f>
        <x:v>0</x:v>
      </x:c>
      <x:c r="J12" s="22" t="n">
        <x:f>MAX(0,MIN('Activities'!L12,36)-MAX('Activities'!K12,30))</x:f>
        <x:v>0</x:v>
      </x:c>
      <x:c r="K12" s="22" t="n">
        <x:f>MAX(0,MIN('Activities'!L12,42)-MAX('Activities'!K12,36))</x:f>
        <x:v>0</x:v>
      </x:c>
      <x:c r="L12" s="22" t="n">
        <x:f>MAX(0,MIN('Activities'!L12,48)-MAX('Activities'!K12,42))</x:f>
        <x:v>0</x:v>
      </x:c>
      <x:c r="M12" s="22" t="n">
        <x:f>MAX(0,MIN('Activities'!L12,54)-MAX('Activities'!K12,48))</x:f>
        <x:v>0</x:v>
      </x:c>
      <x:c r="N12" s="22" t="n">
        <x:f>MAX(0,MIN('Activities'!L12,60)-MAX('Activities'!K12,54))</x:f>
        <x:v>0</x:v>
      </x:c>
      <x:c r="O12" s="22" t="n">
        <x:f>MAX(0,MIN('Activities'!L12,66)-MAX('Activities'!K12,60))</x:f>
        <x:v>0</x:v>
      </x:c>
      <x:c r="P12" s="22" t="n">
        <x:f>MAX(0,MIN('Activities'!L12,72)-MAX('Activities'!K12,66))</x:f>
        <x:v>0</x:v>
      </x:c>
      <x:c r="Q12" s="22" t="n">
        <x:f>MAX(0,MIN('Activities'!L12,78)-MAX('Activities'!K12,72))</x:f>
        <x:v>0</x:v>
      </x:c>
      <x:c r="R12" s="22" t="n">
        <x:f>MAX(0,MIN('Activities'!L12,84)-MAX('Activities'!K12,78))</x:f>
        <x:v>0</x:v>
      </x:c>
      <x:c r="S12" s="22" t="n">
        <x:f>MAX(0,MIN('Activities'!L12,90)-MAX('Activities'!K12,84))</x:f>
        <x:v>0</x:v>
      </x:c>
      <x:c r="T12" s="22" t="n">
        <x:f>MAX(0,MIN('Activities'!L12,96)-MAX('Activities'!K12,90))</x:f>
        <x:v>0</x:v>
      </x:c>
      <x:c r="U12" s="22" t="n">
        <x:f>MAX(0,MIN('Activities'!L12,102)-MAX('Activities'!K12,96))</x:f>
        <x:v>0</x:v>
      </x:c>
      <x:c r="V12" s="22" t="n">
        <x:f>MAX(0,MIN('Activities'!L12,108)-MAX('Activities'!K12,102))</x:f>
        <x:v>0</x:v>
      </x:c>
      <x:c r="W12" s="22" t="n">
        <x:f>MAX(0,MIN('Activities'!L12,114)-MAX('Activities'!K12,108))</x:f>
        <x:v>5</x:v>
      </x:c>
      <x:c r="X12" s="22" t="n">
        <x:f>MAX(0,MIN('Activities'!L12,120)-MAX('Activities'!K12,114))</x:f>
        <x:v>6</x:v>
      </x:c>
      <x:c r="Y12" s="22" t="n">
        <x:f>MAX(0,MIN('Activities'!L12,126)-MAX('Activities'!K12,120))</x:f>
        <x:v>6</x:v>
      </x:c>
      <x:c r="Z12" s="22" t="n">
        <x:f>MAX(0,MIN('Activities'!L12,132)-MAX('Activities'!K12,126))</x:f>
        <x:v>1</x:v>
      </x:c>
      <x:c r="AA12" s="22" t="n">
        <x:f>MAX(0,MIN('Activities'!L12,138)-MAX('Activities'!K12,132))</x:f>
        <x:v>0</x:v>
      </x:c>
      <x:c r="AB12" s="22" t="n">
        <x:f>MAX(0,MIN('Activities'!L12,144)-MAX('Activities'!K12,138))</x:f>
        <x:v>0</x:v>
      </x:c>
      <x:c r="AC12" s="22" t="n">
        <x:f>MAX(0,MIN('Activities'!L12,150)-MAX('Activities'!K12,144))</x:f>
        <x:v>0</x:v>
      </x:c>
      <x:c r="AD12" s="22" t="n">
        <x:f>MAX(0,MIN('Activities'!L12,156)-MAX('Activities'!K12,150))</x:f>
        <x:v>0</x:v>
      </x:c>
      <x:c r="AE12" s="22" t="n">
        <x:f>MAX(0,MIN('Activities'!L12,162)-MAX('Activities'!K12,156))</x:f>
        <x:v>0</x:v>
      </x:c>
      <x:c r="AF12" s="22" t="n">
        <x:f>MAX(0,MIN('Activities'!L12,168)-MAX('Activities'!K12,162))</x:f>
        <x:v>0</x:v>
      </x:c>
      <x:c r="AG12" s="22" t="n">
        <x:f>MAX(0,MIN('Activities'!L12,174)-MAX('Activities'!K12,168))</x:f>
        <x:v>0</x:v>
      </x:c>
      <x:c r="AH12" s="22" t="n">
        <x:f>MAX(0,MIN('Activities'!L12,180)-MAX('Activities'!K12,174))</x:f>
        <x:v>0</x:v>
      </x:c>
      <x:c r="AI12" s="22" t="n">
        <x:f>MAX(0,MIN('Activities'!L12,186)-MAX('Activities'!K12,180))</x:f>
        <x:v>0</x:v>
      </x:c>
      <x:c r="AJ12" s="22" t="n">
        <x:f>MAX(0,MIN('Activities'!L12,192)-MAX('Activities'!K12,186))</x:f>
        <x:v>0</x:v>
      </x:c>
      <x:c r="AK12" s="22" t="n">
        <x:f>MAX(0,MIN('Activities'!L12,198)-MAX('Activities'!K12,192))</x:f>
        <x:v>0</x:v>
      </x:c>
      <x:c r="AL12" s="22" t="n">
        <x:f>MAX(0,MIN('Activities'!L12,204)-MAX('Activities'!K12,198))</x:f>
        <x:v>0</x:v>
      </x:c>
      <x:c r="AM12" s="22" t="n">
        <x:f>MAX(0,MIN('Activities'!L12,210)-MAX('Activities'!K12,204))</x:f>
        <x:v>0</x:v>
      </x:c>
      <x:c r="AN12" s="22" t="n">
        <x:f>MAX(0,MIN('Activities'!L12,216)-MAX('Activities'!K12,210))</x:f>
        <x:v>0</x:v>
      </x:c>
      <x:c r="AO12" s="22" t="n">
        <x:f>MAX(0,MIN('Activities'!L12,222)-MAX('Activities'!K12,216))</x:f>
        <x:v>0</x:v>
      </x:c>
      <x:c r="AP12" s="22" t="n">
        <x:f>MAX(0,MIN('Activities'!L12,228)-MAX('Activities'!K12,222))</x:f>
        <x:v>0</x:v>
      </x:c>
      <x:c r="AQ12" s="22" t="n">
        <x:f>MAX(0,MIN('Activities'!L12,234)-MAX('Activities'!K12,228))</x:f>
        <x:v>0</x:v>
      </x:c>
      <x:c r="AR12" s="22" t="n">
        <x:f>MAX(0,MIN('Activities'!L12,240)-MAX('Activities'!K12,234))</x:f>
        <x:v>0</x:v>
      </x:c>
      <x:c r="AS12" s="22" t="n">
        <x:f>MAX(0,MIN('Activities'!L12,246)-MAX('Activities'!K12,240))</x:f>
        <x:v>0</x:v>
      </x:c>
      <x:c r="AT12" s="22" t="n">
        <x:f>MAX(0,MIN('Activities'!L12,252)-MAX('Activities'!K12,246))</x:f>
        <x:v>0</x:v>
      </x:c>
      <x:c r="AU12" s="22" t="n">
        <x:f>MAX(0,MIN('Activities'!L12,258)-MAX('Activities'!K12,252))</x:f>
        <x:v>0</x:v>
      </x:c>
      <x:c r="AV12" s="22" t="n">
        <x:f>MAX(0,MIN('Activities'!L12,264)-MAX('Activities'!K12,258))</x:f>
        <x:v>0</x:v>
      </x:c>
      <x:c r="AW12" s="22" t="n">
        <x:f>MAX(0,MIN('Activities'!L12,270)-MAX('Activities'!K12,264))</x:f>
        <x:v>0</x:v>
      </x:c>
      <x:c r="AX12" s="22" t="n">
        <x:f>MAX(0,MIN('Activities'!L12,276)-MAX('Activities'!K12,270))</x:f>
        <x:v>0</x:v>
      </x:c>
      <x:c r="AY12" s="22" t="n">
        <x:f>MAX(0,MIN('Activities'!L12,282)-MAX('Activities'!K12,276))</x:f>
        <x:v>0</x:v>
      </x:c>
      <x:c r="AZ12" s="22" t="n">
        <x:f>MAX(0,MIN('Activities'!L12,288)-MAX('Activities'!K12,282))</x:f>
        <x:v>0</x:v>
      </x:c>
      <x:c r="BA12" s="22" t="n">
        <x:f>MAX(0,MIN('Activities'!L12,294)-MAX('Activities'!K12,288))</x:f>
        <x:v>0</x:v>
      </x:c>
      <x:c r="BB12" s="22" t="n">
        <x:f>MAX(0,MIN('Activities'!L12,300)-MAX('Activities'!K12,294))</x:f>
        <x:v>0</x:v>
      </x:c>
      <x:c r="BC12" s="22" t="n">
        <x:f>MAX(0,MIN('Activities'!L12,306)-MAX('Activities'!K12,300))</x:f>
        <x:v>0</x:v>
      </x:c>
      <x:c r="BD12" s="22" t="n">
        <x:f>MAX(0,MIN('Activities'!L12,312)-MAX('Activities'!K12,306))</x:f>
        <x:v>0</x:v>
      </x:c>
      <x:c r="BE12" s="22" t="n">
        <x:f>MAX(0,MIN('Activities'!L12,318)-MAX('Activities'!K12,312))</x:f>
        <x:v>0</x:v>
      </x:c>
      <x:c r="BF12" s="22" t="n">
        <x:f>MAX(0,MIN('Activities'!L12,324)-MAX('Activities'!K12,318))</x:f>
        <x:v>0</x:v>
      </x:c>
      <x:c r="BG12" s="22" t="n">
        <x:f>MAX(0,MIN('Activities'!L12,330)-MAX('Activities'!K12,324))</x:f>
        <x:v>0</x:v>
      </x:c>
      <x:c r="BH12" s="22" t="n">
        <x:f>MAX(0,MIN('Activities'!L12,336)-MAX('Activities'!K12,330))</x:f>
        <x:v>0</x:v>
      </x:c>
      <x:c r="BI12" s="22" t="n">
        <x:f>MAX(0,MIN('Activities'!L12,342)-MAX('Activities'!K12,336))</x:f>
        <x:v>0</x:v>
      </x:c>
      <x:c r="BJ12" s="22" t="n">
        <x:f>MAX(0,MIN('Activities'!L12,348)-MAX('Activities'!K12,342))</x:f>
        <x:v>0</x:v>
      </x:c>
      <x:c r="BK12" s="22" t="n">
        <x:f>MAX(0,MIN('Activities'!L12,354)-MAX('Activities'!K12,348))</x:f>
        <x:v>0</x:v>
      </x:c>
      <x:c r="BL12" s="22" t="n">
        <x:f>MAX(0,MIN('Activities'!L12,360)-MAX('Activities'!K12,354))</x:f>
        <x:v>0</x:v>
      </x:c>
      <x:c r="BM12" s="22" t="n">
        <x:f>MAX(0,MIN('Activities'!L12,366)-MAX('Activities'!K12,360))</x:f>
        <x:v>0</x:v>
      </x:c>
      <x:c r="BN12" s="22" t="n">
        <x:f>MAX(0,MIN('Activities'!L12,372)-MAX('Activities'!K12,366))</x:f>
        <x:v>0</x:v>
      </x:c>
      <x:c r="BO12" s="22" t="n">
        <x:f>MAX(0,MIN('Activities'!L12,378)-MAX('Activities'!K12,372))</x:f>
        <x:v>0</x:v>
      </x:c>
      <x:c r="BP12" s="22" t="n">
        <x:f>MAX(0,MIN('Activities'!L12,384)-MAX('Activities'!K12,378))</x:f>
        <x:v>0</x:v>
      </x:c>
      <x:c r="BQ12" s="22" t="n">
        <x:f>MAX(0,MIN('Activities'!L12,390)-MAX('Activities'!K12,384))</x:f>
        <x:v>0</x:v>
      </x:c>
      <x:c r="BR12" s="22" t="n">
        <x:f>MAX(0,MIN('Activities'!L12,396)-MAX('Activities'!K12,390))</x:f>
        <x:v>0</x:v>
      </x:c>
      <x:c r="BS12" s="22" t="n">
        <x:f>MAX(0,MIN('Activities'!L12,402)-MAX('Activities'!K12,396))</x:f>
        <x:v>0</x:v>
      </x:c>
      <x:c r="BT12" s="22" t="n">
        <x:f>MAX(0,MIN('Activities'!L12,408)-MAX('Activities'!K12,402))</x:f>
        <x:v>0</x:v>
      </x:c>
      <x:c r="BU12" s="22" t="n">
        <x:f>MAX(0,MIN('Activities'!L12,414)-MAX('Activities'!K12,408))</x:f>
        <x:v>0</x:v>
      </x:c>
      <x:c r="BV12" s="22" t="n">
        <x:f>MAX(0,MIN('Activities'!L12,420)-MAX('Activities'!K12,414))</x:f>
        <x:v>0</x:v>
      </x:c>
      <x:c r="BW12" s="22" t="n">
        <x:f>MAX(0,MIN('Activities'!L12,426)-MAX('Activities'!K12,420))</x:f>
        <x:v>0</x:v>
      </x:c>
      <x:c r="BX12" s="22" t="n">
        <x:f>MAX(0,MIN('Activities'!L12,432)-MAX('Activities'!K12,426))</x:f>
        <x:v>0</x:v>
      </x:c>
      <x:c r="BY12" s="22" t="n">
        <x:f>MAX(0,MIN('Activities'!L12,438)-MAX('Activities'!K12,432))</x:f>
        <x:v>0</x:v>
      </x:c>
      <x:c r="BZ12" s="22" t="n">
        <x:f>MAX(0,MIN('Activities'!L12,444)-MAX('Activities'!K12,438))</x:f>
        <x:v>0</x:v>
      </x:c>
      <x:c r="CA12" s="22" t="n">
        <x:f>MAX(0,MIN('Activities'!L12,450)-MAX('Activities'!K12,444))</x:f>
        <x:v>0</x:v>
      </x:c>
      <x:c r="CB12" s="22" t="n">
        <x:f>MAX(0,MIN('Activities'!L12,456)-MAX('Activities'!K12,450))</x:f>
        <x:v>0</x:v>
      </x:c>
      <x:c r="CC12" s="22" t="n">
        <x:f>MAX(0,MIN('Activities'!L12,462)-MAX('Activities'!K12,456))</x:f>
        <x:v>0</x:v>
      </x:c>
      <x:c r="CD12" s="22" t="n">
        <x:f>MAX(0,MIN('Activities'!L12,468)-MAX('Activities'!K12,462))</x:f>
        <x:v>0</x:v>
      </x:c>
      <x:c r="CE12" s="22" t="n">
        <x:f>MAX(0,MIN('Activities'!L12,474)-MAX('Activities'!K12,468))</x:f>
        <x:v>0</x:v>
      </x:c>
      <x:c r="CF12" s="22" t="n">
        <x:f>MAX(0,MIN('Activities'!L12,480)-MAX('Activities'!K12,474))</x:f>
        <x:v>0</x:v>
      </x:c>
      <x:c r="CG12" s="22" t="n">
        <x:f>MAX(0,MIN('Activities'!L12,486)-MAX('Activities'!K12,480))</x:f>
        <x:v>0</x:v>
      </x:c>
      <x:c r="CH12" s="22" t="n">
        <x:f>MAX(0,MIN('Activities'!L12,492)-MAX('Activities'!K12,486))</x:f>
        <x:v>0</x:v>
      </x:c>
      <x:c r="CI12" s="22" t="n">
        <x:f>MAX(0,MIN('Activities'!L12,498)-MAX('Activities'!K12,492))</x:f>
        <x:v>0</x:v>
      </x:c>
      <x:c r="CJ12" s="22" t="n">
        <x:f>MAX(0,MIN('Activities'!L12,504)-MAX('Activities'!K12,498))</x:f>
        <x:v>0</x:v>
      </x:c>
      <x:c r="CK12" s="22" t="n">
        <x:f>MAX(0,MIN('Activities'!L12,510)-MAX('Activities'!K12,504))</x:f>
        <x:v>0</x:v>
      </x:c>
      <x:c r="CL12" s="22" t="n">
        <x:f>MAX(0,MIN('Activities'!L12,516)-MAX('Activities'!K12,510))</x:f>
        <x:v>0</x:v>
      </x:c>
      <x:c r="CM12" s="22" t="n">
        <x:f>MAX(0,MIN('Activities'!L12,522)-MAX('Activities'!K12,516))</x:f>
        <x:v>0</x:v>
      </x:c>
      <x:c r="CN12" s="22" t="n">
        <x:f>MAX(0,MIN('Activities'!L12,528)-MAX('Activities'!K12,522))</x:f>
        <x:v>0</x:v>
      </x:c>
      <x:c r="CO12" s="22" t="n">
        <x:f>MAX(0,MIN('Activities'!L12,534)-MAX('Activities'!K12,528))</x:f>
        <x:v>0</x:v>
      </x:c>
      <x:c r="CP12" s="22" t="n">
        <x:f>MAX(0,MIN('Activities'!L12,540)-MAX('Activities'!K12,534))</x:f>
        <x:v>0</x:v>
      </x:c>
      <x:c r="CQ12" s="22" t="n">
        <x:f>MAX(0,MIN('Activities'!L12,546)-MAX('Activities'!K12,540))</x:f>
        <x:v>0</x:v>
      </x:c>
      <x:c r="CR12" s="22" t="n">
        <x:f>MAX(0,MIN('Activities'!L12,552)-MAX('Activities'!K12,546))</x:f>
        <x:v>0</x:v>
      </x:c>
      <x:c r="CS12" s="22" t="n">
        <x:f>MAX(0,MIN('Activities'!L12,558)-MAX('Activities'!K12,552))</x:f>
        <x:v>0</x:v>
      </x:c>
      <x:c r="CT12" s="22" t="n">
        <x:f>MAX(0,MIN('Activities'!L12,564)-MAX('Activities'!K12,558))</x:f>
        <x:v>0</x:v>
      </x:c>
      <x:c r="CU12" s="22" t="n">
        <x:f>MAX(0,MIN('Activities'!L12,570)-MAX('Activities'!K12,564))</x:f>
        <x:v>0</x:v>
      </x:c>
      <x:c r="CV12" s="22" t="n">
        <x:f>MAX(0,MIN('Activities'!L12,576)-MAX('Activities'!K12,570))</x:f>
        <x:v>0</x:v>
      </x:c>
      <x:c r="CW12" s="22" t="n">
        <x:f>MAX(0,MIN('Activities'!L12,582)-MAX('Activities'!K12,576))</x:f>
        <x:v>0</x:v>
      </x:c>
      <x:c r="CX12" s="22" t="n">
        <x:f>MAX(0,MIN('Activities'!L12,588)-MAX('Activities'!K12,582))</x:f>
        <x:v>0</x:v>
      </x:c>
      <x:c r="CY12" s="22" t="n">
        <x:f>MAX(0,MIN('Activities'!L12,594)-MAX('Activities'!K12,588))</x:f>
        <x:v>0</x:v>
      </x:c>
      <x:c r="CZ12" s="22" t="n">
        <x:f>MAX(0,MIN('Activities'!L12,600)-MAX('Activities'!K12,594))</x:f>
        <x:v>0</x:v>
      </x:c>
      <x:c r="DA12" s="22" t="n">
        <x:f>MAX(0,MIN('Activities'!L12,606)-MAX('Activities'!K12,600))</x:f>
        <x:v>0</x:v>
      </x:c>
      <x:c r="DB12" s="22" t="n">
        <x:f>MAX(0,MIN('Activities'!L12,612)-MAX('Activities'!K12,606))</x:f>
        <x:v>0</x:v>
      </x:c>
      <x:c r="DC12" s="22" t="n">
        <x:f>MAX(0,MIN('Activities'!L12,618)-MAX('Activities'!K12,612))</x:f>
        <x:v>0</x:v>
      </x:c>
      <x:c r="DD12" s="22" t="n">
        <x:f>MAX(0,MIN('Activities'!L12,624)-MAX('Activities'!K12,618))</x:f>
        <x:v>0</x:v>
      </x:c>
      <x:c r="DE12" s="22" t="n">
        <x:f>MAX(0,MIN('Activities'!L12,630)-MAX('Activities'!K12,624))</x:f>
        <x:v>0</x:v>
      </x:c>
      <x:c r="DF12" s="22" t="n">
        <x:f>MAX(0,MIN('Activities'!L12,636)-MAX('Activities'!K12,630))</x:f>
        <x:v>0</x:v>
      </x:c>
    </x:row>
    <x:row r="13" ht="23" customHeight="1">
      <x:c r="A13" s="1" t="str">
        <x:v>P-050</x:v>
      </x:c>
      <x:c r="B13" s="1" t="str">
        <x:v>POD</x:v>
      </x:c>
      <x:c r="C13" s="1" t="str">
        <x:v>Basement perimeter walls</x:v>
      </x:c>
      <x:c r="D13" s="1" t="str">
        <x:v>Formwork</x:v>
      </x:c>
      <x:c r="E13" s="23" t="n">
        <x:f>MAX(0,MIN('Activities'!L13,6)-MAX('Activities'!K13,0))</x:f>
        <x:v>0</x:v>
      </x:c>
      <x:c r="F13" s="23" t="n">
        <x:f>MAX(0,MIN('Activities'!L13,12)-MAX('Activities'!K13,6))</x:f>
        <x:v>0</x:v>
      </x:c>
      <x:c r="G13" s="23" t="n">
        <x:f>MAX(0,MIN('Activities'!L13,18)-MAX('Activities'!K13,12))</x:f>
        <x:v>0</x:v>
      </x:c>
      <x:c r="H13" s="23" t="n">
        <x:f>MAX(0,MIN('Activities'!L13,24)-MAX('Activities'!K13,18))</x:f>
        <x:v>0</x:v>
      </x:c>
      <x:c r="I13" s="23" t="n">
        <x:f>MAX(0,MIN('Activities'!L13,30)-MAX('Activities'!K13,24))</x:f>
        <x:v>0</x:v>
      </x:c>
      <x:c r="J13" s="23" t="n">
        <x:f>MAX(0,MIN('Activities'!L13,36)-MAX('Activities'!K13,30))</x:f>
        <x:v>0</x:v>
      </x:c>
      <x:c r="K13" s="23" t="n">
        <x:f>MAX(0,MIN('Activities'!L13,42)-MAX('Activities'!K13,36))</x:f>
        <x:v>0</x:v>
      </x:c>
      <x:c r="L13" s="23" t="n">
        <x:f>MAX(0,MIN('Activities'!L13,48)-MAX('Activities'!K13,42))</x:f>
        <x:v>0</x:v>
      </x:c>
      <x:c r="M13" s="23" t="n">
        <x:f>MAX(0,MIN('Activities'!L13,54)-MAX('Activities'!K13,48))</x:f>
        <x:v>0</x:v>
      </x:c>
      <x:c r="N13" s="23" t="n">
        <x:f>MAX(0,MIN('Activities'!L13,60)-MAX('Activities'!K13,54))</x:f>
        <x:v>0</x:v>
      </x:c>
      <x:c r="O13" s="23" t="n">
        <x:f>MAX(0,MIN('Activities'!L13,66)-MAX('Activities'!K13,60))</x:f>
        <x:v>0</x:v>
      </x:c>
      <x:c r="P13" s="23" t="n">
        <x:f>MAX(0,MIN('Activities'!L13,72)-MAX('Activities'!K13,66))</x:f>
        <x:v>0</x:v>
      </x:c>
      <x:c r="Q13" s="23" t="n">
        <x:f>MAX(0,MIN('Activities'!L13,78)-MAX('Activities'!K13,72))</x:f>
        <x:v>0</x:v>
      </x:c>
      <x:c r="R13" s="23" t="n">
        <x:f>MAX(0,MIN('Activities'!L13,84)-MAX('Activities'!K13,78))</x:f>
        <x:v>0</x:v>
      </x:c>
      <x:c r="S13" s="23" t="n">
        <x:f>MAX(0,MIN('Activities'!L13,90)-MAX('Activities'!K13,84))</x:f>
        <x:v>0</x:v>
      </x:c>
      <x:c r="T13" s="23" t="n">
        <x:f>MAX(0,MIN('Activities'!L13,96)-MAX('Activities'!K13,90))</x:f>
        <x:v>0</x:v>
      </x:c>
      <x:c r="U13" s="23" t="n">
        <x:f>MAX(0,MIN('Activities'!L13,102)-MAX('Activities'!K13,96))</x:f>
        <x:v>0</x:v>
      </x:c>
      <x:c r="V13" s="23" t="n">
        <x:f>MAX(0,MIN('Activities'!L13,108)-MAX('Activities'!K13,102))</x:f>
        <x:v>0</x:v>
      </x:c>
      <x:c r="W13" s="23" t="n">
        <x:f>MAX(0,MIN('Activities'!L13,114)-MAX('Activities'!K13,108))</x:f>
        <x:v>0</x:v>
      </x:c>
      <x:c r="X13" s="23" t="n">
        <x:f>MAX(0,MIN('Activities'!L13,120)-MAX('Activities'!K13,114))</x:f>
        <x:v>0</x:v>
      </x:c>
      <x:c r="Y13" s="23" t="n">
        <x:f>MAX(0,MIN('Activities'!L13,126)-MAX('Activities'!K13,120))</x:f>
        <x:v>0</x:v>
      </x:c>
      <x:c r="Z13" s="23" t="n">
        <x:f>MAX(0,MIN('Activities'!L13,132)-MAX('Activities'!K13,126))</x:f>
        <x:v>0</x:v>
      </x:c>
      <x:c r="AA13" s="23" t="n">
        <x:f>MAX(0,MIN('Activities'!L13,138)-MAX('Activities'!K13,132))</x:f>
        <x:v>4</x:v>
      </x:c>
      <x:c r="AB13" s="23" t="n">
        <x:f>MAX(0,MIN('Activities'!L13,144)-MAX('Activities'!K13,138))</x:f>
        <x:v>6</x:v>
      </x:c>
      <x:c r="AC13" s="23" t="n">
        <x:f>MAX(0,MIN('Activities'!L13,150)-MAX('Activities'!K13,144))</x:f>
        <x:v>3</x:v>
      </x:c>
      <x:c r="AD13" s="23" t="n">
        <x:f>MAX(0,MIN('Activities'!L13,156)-MAX('Activities'!K13,150))</x:f>
        <x:v>0</x:v>
      </x:c>
      <x:c r="AE13" s="23" t="n">
        <x:f>MAX(0,MIN('Activities'!L13,162)-MAX('Activities'!K13,156))</x:f>
        <x:v>0</x:v>
      </x:c>
      <x:c r="AF13" s="23" t="n">
        <x:f>MAX(0,MIN('Activities'!L13,168)-MAX('Activities'!K13,162))</x:f>
        <x:v>0</x:v>
      </x:c>
      <x:c r="AG13" s="23" t="n">
        <x:f>MAX(0,MIN('Activities'!L13,174)-MAX('Activities'!K13,168))</x:f>
        <x:v>0</x:v>
      </x:c>
      <x:c r="AH13" s="23" t="n">
        <x:f>MAX(0,MIN('Activities'!L13,180)-MAX('Activities'!K13,174))</x:f>
        <x:v>0</x:v>
      </x:c>
      <x:c r="AI13" s="23" t="n">
        <x:f>MAX(0,MIN('Activities'!L13,186)-MAX('Activities'!K13,180))</x:f>
        <x:v>0</x:v>
      </x:c>
      <x:c r="AJ13" s="23" t="n">
        <x:f>MAX(0,MIN('Activities'!L13,192)-MAX('Activities'!K13,186))</x:f>
        <x:v>0</x:v>
      </x:c>
      <x:c r="AK13" s="23" t="n">
        <x:f>MAX(0,MIN('Activities'!L13,198)-MAX('Activities'!K13,192))</x:f>
        <x:v>0</x:v>
      </x:c>
      <x:c r="AL13" s="23" t="n">
        <x:f>MAX(0,MIN('Activities'!L13,204)-MAX('Activities'!K13,198))</x:f>
        <x:v>0</x:v>
      </x:c>
      <x:c r="AM13" s="23" t="n">
        <x:f>MAX(0,MIN('Activities'!L13,210)-MAX('Activities'!K13,204))</x:f>
        <x:v>0</x:v>
      </x:c>
      <x:c r="AN13" s="23" t="n">
        <x:f>MAX(0,MIN('Activities'!L13,216)-MAX('Activities'!K13,210))</x:f>
        <x:v>0</x:v>
      </x:c>
      <x:c r="AO13" s="23" t="n">
        <x:f>MAX(0,MIN('Activities'!L13,222)-MAX('Activities'!K13,216))</x:f>
        <x:v>0</x:v>
      </x:c>
      <x:c r="AP13" s="23" t="n">
        <x:f>MAX(0,MIN('Activities'!L13,228)-MAX('Activities'!K13,222))</x:f>
        <x:v>0</x:v>
      </x:c>
      <x:c r="AQ13" s="23" t="n">
        <x:f>MAX(0,MIN('Activities'!L13,234)-MAX('Activities'!K13,228))</x:f>
        <x:v>0</x:v>
      </x:c>
      <x:c r="AR13" s="23" t="n">
        <x:f>MAX(0,MIN('Activities'!L13,240)-MAX('Activities'!K13,234))</x:f>
        <x:v>0</x:v>
      </x:c>
      <x:c r="AS13" s="23" t="n">
        <x:f>MAX(0,MIN('Activities'!L13,246)-MAX('Activities'!K13,240))</x:f>
        <x:v>0</x:v>
      </x:c>
      <x:c r="AT13" s="23" t="n">
        <x:f>MAX(0,MIN('Activities'!L13,252)-MAX('Activities'!K13,246))</x:f>
        <x:v>0</x:v>
      </x:c>
      <x:c r="AU13" s="23" t="n">
        <x:f>MAX(0,MIN('Activities'!L13,258)-MAX('Activities'!K13,252))</x:f>
        <x:v>0</x:v>
      </x:c>
      <x:c r="AV13" s="23" t="n">
        <x:f>MAX(0,MIN('Activities'!L13,264)-MAX('Activities'!K13,258))</x:f>
        <x:v>0</x:v>
      </x:c>
      <x:c r="AW13" s="23" t="n">
        <x:f>MAX(0,MIN('Activities'!L13,270)-MAX('Activities'!K13,264))</x:f>
        <x:v>0</x:v>
      </x:c>
      <x:c r="AX13" s="23" t="n">
        <x:f>MAX(0,MIN('Activities'!L13,276)-MAX('Activities'!K13,270))</x:f>
        <x:v>0</x:v>
      </x:c>
      <x:c r="AY13" s="23" t="n">
        <x:f>MAX(0,MIN('Activities'!L13,282)-MAX('Activities'!K13,276))</x:f>
        <x:v>0</x:v>
      </x:c>
      <x:c r="AZ13" s="23" t="n">
        <x:f>MAX(0,MIN('Activities'!L13,288)-MAX('Activities'!K13,282))</x:f>
        <x:v>0</x:v>
      </x:c>
      <x:c r="BA13" s="23" t="n">
        <x:f>MAX(0,MIN('Activities'!L13,294)-MAX('Activities'!K13,288))</x:f>
        <x:v>0</x:v>
      </x:c>
      <x:c r="BB13" s="23" t="n">
        <x:f>MAX(0,MIN('Activities'!L13,300)-MAX('Activities'!K13,294))</x:f>
        <x:v>0</x:v>
      </x:c>
      <x:c r="BC13" s="23" t="n">
        <x:f>MAX(0,MIN('Activities'!L13,306)-MAX('Activities'!K13,300))</x:f>
        <x:v>0</x:v>
      </x:c>
      <x:c r="BD13" s="23" t="n">
        <x:f>MAX(0,MIN('Activities'!L13,312)-MAX('Activities'!K13,306))</x:f>
        <x:v>0</x:v>
      </x:c>
      <x:c r="BE13" s="23" t="n">
        <x:f>MAX(0,MIN('Activities'!L13,318)-MAX('Activities'!K13,312))</x:f>
        <x:v>0</x:v>
      </x:c>
      <x:c r="BF13" s="23" t="n">
        <x:f>MAX(0,MIN('Activities'!L13,324)-MAX('Activities'!K13,318))</x:f>
        <x:v>0</x:v>
      </x:c>
      <x:c r="BG13" s="23" t="n">
        <x:f>MAX(0,MIN('Activities'!L13,330)-MAX('Activities'!K13,324))</x:f>
        <x:v>0</x:v>
      </x:c>
      <x:c r="BH13" s="23" t="n">
        <x:f>MAX(0,MIN('Activities'!L13,336)-MAX('Activities'!K13,330))</x:f>
        <x:v>0</x:v>
      </x:c>
      <x:c r="BI13" s="23" t="n">
        <x:f>MAX(0,MIN('Activities'!L13,342)-MAX('Activities'!K13,336))</x:f>
        <x:v>0</x:v>
      </x:c>
      <x:c r="BJ13" s="23" t="n">
        <x:f>MAX(0,MIN('Activities'!L13,348)-MAX('Activities'!K13,342))</x:f>
        <x:v>0</x:v>
      </x:c>
      <x:c r="BK13" s="23" t="n">
        <x:f>MAX(0,MIN('Activities'!L13,354)-MAX('Activities'!K13,348))</x:f>
        <x:v>0</x:v>
      </x:c>
      <x:c r="BL13" s="23" t="n">
        <x:f>MAX(0,MIN('Activities'!L13,360)-MAX('Activities'!K13,354))</x:f>
        <x:v>0</x:v>
      </x:c>
      <x:c r="BM13" s="23" t="n">
        <x:f>MAX(0,MIN('Activities'!L13,366)-MAX('Activities'!K13,360))</x:f>
        <x:v>0</x:v>
      </x:c>
      <x:c r="BN13" s="23" t="n">
        <x:f>MAX(0,MIN('Activities'!L13,372)-MAX('Activities'!K13,366))</x:f>
        <x:v>0</x:v>
      </x:c>
      <x:c r="BO13" s="23" t="n">
        <x:f>MAX(0,MIN('Activities'!L13,378)-MAX('Activities'!K13,372))</x:f>
        <x:v>0</x:v>
      </x:c>
      <x:c r="BP13" s="23" t="n">
        <x:f>MAX(0,MIN('Activities'!L13,384)-MAX('Activities'!K13,378))</x:f>
        <x:v>0</x:v>
      </x:c>
      <x:c r="BQ13" s="23" t="n">
        <x:f>MAX(0,MIN('Activities'!L13,390)-MAX('Activities'!K13,384))</x:f>
        <x:v>0</x:v>
      </x:c>
      <x:c r="BR13" s="23" t="n">
        <x:f>MAX(0,MIN('Activities'!L13,396)-MAX('Activities'!K13,390))</x:f>
        <x:v>0</x:v>
      </x:c>
      <x:c r="BS13" s="23" t="n">
        <x:f>MAX(0,MIN('Activities'!L13,402)-MAX('Activities'!K13,396))</x:f>
        <x:v>0</x:v>
      </x:c>
      <x:c r="BT13" s="23" t="n">
        <x:f>MAX(0,MIN('Activities'!L13,408)-MAX('Activities'!K13,402))</x:f>
        <x:v>0</x:v>
      </x:c>
      <x:c r="BU13" s="23" t="n">
        <x:f>MAX(0,MIN('Activities'!L13,414)-MAX('Activities'!K13,408))</x:f>
        <x:v>0</x:v>
      </x:c>
      <x:c r="BV13" s="23" t="n">
        <x:f>MAX(0,MIN('Activities'!L13,420)-MAX('Activities'!K13,414))</x:f>
        <x:v>0</x:v>
      </x:c>
      <x:c r="BW13" s="23" t="n">
        <x:f>MAX(0,MIN('Activities'!L13,426)-MAX('Activities'!K13,420))</x:f>
        <x:v>0</x:v>
      </x:c>
      <x:c r="BX13" s="23" t="n">
        <x:f>MAX(0,MIN('Activities'!L13,432)-MAX('Activities'!K13,426))</x:f>
        <x:v>0</x:v>
      </x:c>
      <x:c r="BY13" s="23" t="n">
        <x:f>MAX(0,MIN('Activities'!L13,438)-MAX('Activities'!K13,432))</x:f>
        <x:v>0</x:v>
      </x:c>
      <x:c r="BZ13" s="23" t="n">
        <x:f>MAX(0,MIN('Activities'!L13,444)-MAX('Activities'!K13,438))</x:f>
        <x:v>0</x:v>
      </x:c>
      <x:c r="CA13" s="23" t="n">
        <x:f>MAX(0,MIN('Activities'!L13,450)-MAX('Activities'!K13,444))</x:f>
        <x:v>0</x:v>
      </x:c>
      <x:c r="CB13" s="23" t="n">
        <x:f>MAX(0,MIN('Activities'!L13,456)-MAX('Activities'!K13,450))</x:f>
        <x:v>0</x:v>
      </x:c>
      <x:c r="CC13" s="23" t="n">
        <x:f>MAX(0,MIN('Activities'!L13,462)-MAX('Activities'!K13,456))</x:f>
        <x:v>0</x:v>
      </x:c>
      <x:c r="CD13" s="23" t="n">
        <x:f>MAX(0,MIN('Activities'!L13,468)-MAX('Activities'!K13,462))</x:f>
        <x:v>0</x:v>
      </x:c>
      <x:c r="CE13" s="23" t="n">
        <x:f>MAX(0,MIN('Activities'!L13,474)-MAX('Activities'!K13,468))</x:f>
        <x:v>0</x:v>
      </x:c>
      <x:c r="CF13" s="23" t="n">
        <x:f>MAX(0,MIN('Activities'!L13,480)-MAX('Activities'!K13,474))</x:f>
        <x:v>0</x:v>
      </x:c>
      <x:c r="CG13" s="23" t="n">
        <x:f>MAX(0,MIN('Activities'!L13,486)-MAX('Activities'!K13,480))</x:f>
        <x:v>0</x:v>
      </x:c>
      <x:c r="CH13" s="23" t="n">
        <x:f>MAX(0,MIN('Activities'!L13,492)-MAX('Activities'!K13,486))</x:f>
        <x:v>0</x:v>
      </x:c>
      <x:c r="CI13" s="23" t="n">
        <x:f>MAX(0,MIN('Activities'!L13,498)-MAX('Activities'!K13,492))</x:f>
        <x:v>0</x:v>
      </x:c>
      <x:c r="CJ13" s="23" t="n">
        <x:f>MAX(0,MIN('Activities'!L13,504)-MAX('Activities'!K13,498))</x:f>
        <x:v>0</x:v>
      </x:c>
      <x:c r="CK13" s="23" t="n">
        <x:f>MAX(0,MIN('Activities'!L13,510)-MAX('Activities'!K13,504))</x:f>
        <x:v>0</x:v>
      </x:c>
      <x:c r="CL13" s="23" t="n">
        <x:f>MAX(0,MIN('Activities'!L13,516)-MAX('Activities'!K13,510))</x:f>
        <x:v>0</x:v>
      </x:c>
      <x:c r="CM13" s="23" t="n">
        <x:f>MAX(0,MIN('Activities'!L13,522)-MAX('Activities'!K13,516))</x:f>
        <x:v>0</x:v>
      </x:c>
      <x:c r="CN13" s="23" t="n">
        <x:f>MAX(0,MIN('Activities'!L13,528)-MAX('Activities'!K13,522))</x:f>
        <x:v>0</x:v>
      </x:c>
      <x:c r="CO13" s="23" t="n">
        <x:f>MAX(0,MIN('Activities'!L13,534)-MAX('Activities'!K13,528))</x:f>
        <x:v>0</x:v>
      </x:c>
      <x:c r="CP13" s="23" t="n">
        <x:f>MAX(0,MIN('Activities'!L13,540)-MAX('Activities'!K13,534))</x:f>
        <x:v>0</x:v>
      </x:c>
      <x:c r="CQ13" s="23" t="n">
        <x:f>MAX(0,MIN('Activities'!L13,546)-MAX('Activities'!K13,540))</x:f>
        <x:v>0</x:v>
      </x:c>
      <x:c r="CR13" s="23" t="n">
        <x:f>MAX(0,MIN('Activities'!L13,552)-MAX('Activities'!K13,546))</x:f>
        <x:v>0</x:v>
      </x:c>
      <x:c r="CS13" s="23" t="n">
        <x:f>MAX(0,MIN('Activities'!L13,558)-MAX('Activities'!K13,552))</x:f>
        <x:v>0</x:v>
      </x:c>
      <x:c r="CT13" s="23" t="n">
        <x:f>MAX(0,MIN('Activities'!L13,564)-MAX('Activities'!K13,558))</x:f>
        <x:v>0</x:v>
      </x:c>
      <x:c r="CU13" s="23" t="n">
        <x:f>MAX(0,MIN('Activities'!L13,570)-MAX('Activities'!K13,564))</x:f>
        <x:v>0</x:v>
      </x:c>
      <x:c r="CV13" s="23" t="n">
        <x:f>MAX(0,MIN('Activities'!L13,576)-MAX('Activities'!K13,570))</x:f>
        <x:v>0</x:v>
      </x:c>
      <x:c r="CW13" s="23" t="n">
        <x:f>MAX(0,MIN('Activities'!L13,582)-MAX('Activities'!K13,576))</x:f>
        <x:v>0</x:v>
      </x:c>
      <x:c r="CX13" s="23" t="n">
        <x:f>MAX(0,MIN('Activities'!L13,588)-MAX('Activities'!K13,582))</x:f>
        <x:v>0</x:v>
      </x:c>
      <x:c r="CY13" s="23" t="n">
        <x:f>MAX(0,MIN('Activities'!L13,594)-MAX('Activities'!K13,588))</x:f>
        <x:v>0</x:v>
      </x:c>
      <x:c r="CZ13" s="23" t="n">
        <x:f>MAX(0,MIN('Activities'!L13,600)-MAX('Activities'!K13,594))</x:f>
        <x:v>0</x:v>
      </x:c>
      <x:c r="DA13" s="23" t="n">
        <x:f>MAX(0,MIN('Activities'!L13,606)-MAX('Activities'!K13,600))</x:f>
        <x:v>0</x:v>
      </x:c>
      <x:c r="DB13" s="23" t="n">
        <x:f>MAX(0,MIN('Activities'!L13,612)-MAX('Activities'!K13,606))</x:f>
        <x:v>0</x:v>
      </x:c>
      <x:c r="DC13" s="23" t="n">
        <x:f>MAX(0,MIN('Activities'!L13,618)-MAX('Activities'!K13,612))</x:f>
        <x:v>0</x:v>
      </x:c>
      <x:c r="DD13" s="23" t="n">
        <x:f>MAX(0,MIN('Activities'!L13,624)-MAX('Activities'!K13,618))</x:f>
        <x:v>0</x:v>
      </x:c>
      <x:c r="DE13" s="23" t="n">
        <x:f>MAX(0,MIN('Activities'!L13,630)-MAX('Activities'!K13,624))</x:f>
        <x:v>0</x:v>
      </x:c>
      <x:c r="DF13" s="23" t="n">
        <x:f>MAX(0,MIN('Activities'!L13,636)-MAX('Activities'!K13,630))</x:f>
        <x:v>0</x:v>
      </x:c>
    </x:row>
    <x:row r="14" ht="23" customHeight="1">
      <x:c r="A14" s="6" t="str">
        <x:v>P-060</x:v>
      </x:c>
      <x:c r="B14" s="6" t="str">
        <x:v>POD</x:v>
      </x:c>
      <x:c r="C14" s="6" t="str">
        <x:v>Podium roof structural package</x:v>
      </x:c>
      <x:c r="D14" s="6" t="str">
        <x:v>Formwork</x:v>
      </x:c>
      <x:c r="E14" s="22" t="n">
        <x:f>MAX(0,MIN('Activities'!L14,6)-MAX('Activities'!K14,0))</x:f>
        <x:v>0</x:v>
      </x:c>
      <x:c r="F14" s="22" t="n">
        <x:f>MAX(0,MIN('Activities'!L14,12)-MAX('Activities'!K14,6))</x:f>
        <x:v>0</x:v>
      </x:c>
      <x:c r="G14" s="22" t="n">
        <x:f>MAX(0,MIN('Activities'!L14,18)-MAX('Activities'!K14,12))</x:f>
        <x:v>0</x:v>
      </x:c>
      <x:c r="H14" s="22" t="n">
        <x:f>MAX(0,MIN('Activities'!L14,24)-MAX('Activities'!K14,18))</x:f>
        <x:v>0</x:v>
      </x:c>
      <x:c r="I14" s="22" t="n">
        <x:f>MAX(0,MIN('Activities'!L14,30)-MAX('Activities'!K14,24))</x:f>
        <x:v>0</x:v>
      </x:c>
      <x:c r="J14" s="22" t="n">
        <x:f>MAX(0,MIN('Activities'!L14,36)-MAX('Activities'!K14,30))</x:f>
        <x:v>0</x:v>
      </x:c>
      <x:c r="K14" s="22" t="n">
        <x:f>MAX(0,MIN('Activities'!L14,42)-MAX('Activities'!K14,36))</x:f>
        <x:v>0</x:v>
      </x:c>
      <x:c r="L14" s="22" t="n">
        <x:f>MAX(0,MIN('Activities'!L14,48)-MAX('Activities'!K14,42))</x:f>
        <x:v>0</x:v>
      </x:c>
      <x:c r="M14" s="22" t="n">
        <x:f>MAX(0,MIN('Activities'!L14,54)-MAX('Activities'!K14,48))</x:f>
        <x:v>0</x:v>
      </x:c>
      <x:c r="N14" s="22" t="n">
        <x:f>MAX(0,MIN('Activities'!L14,60)-MAX('Activities'!K14,54))</x:f>
        <x:v>0</x:v>
      </x:c>
      <x:c r="O14" s="22" t="n">
        <x:f>MAX(0,MIN('Activities'!L14,66)-MAX('Activities'!K14,60))</x:f>
        <x:v>0</x:v>
      </x:c>
      <x:c r="P14" s="22" t="n">
        <x:f>MAX(0,MIN('Activities'!L14,72)-MAX('Activities'!K14,66))</x:f>
        <x:v>0</x:v>
      </x:c>
      <x:c r="Q14" s="22" t="n">
        <x:f>MAX(0,MIN('Activities'!L14,78)-MAX('Activities'!K14,72))</x:f>
        <x:v>0</x:v>
      </x:c>
      <x:c r="R14" s="22" t="n">
        <x:f>MAX(0,MIN('Activities'!L14,84)-MAX('Activities'!K14,78))</x:f>
        <x:v>0</x:v>
      </x:c>
      <x:c r="S14" s="22" t="n">
        <x:f>MAX(0,MIN('Activities'!L14,90)-MAX('Activities'!K14,84))</x:f>
        <x:v>0</x:v>
      </x:c>
      <x:c r="T14" s="22" t="n">
        <x:f>MAX(0,MIN('Activities'!L14,96)-MAX('Activities'!K14,90))</x:f>
        <x:v>0</x:v>
      </x:c>
      <x:c r="U14" s="22" t="n">
        <x:f>MAX(0,MIN('Activities'!L14,102)-MAX('Activities'!K14,96))</x:f>
        <x:v>0</x:v>
      </x:c>
      <x:c r="V14" s="22" t="n">
        <x:f>MAX(0,MIN('Activities'!L14,108)-MAX('Activities'!K14,102))</x:f>
        <x:v>0</x:v>
      </x:c>
      <x:c r="W14" s="22" t="n">
        <x:f>MAX(0,MIN('Activities'!L14,114)-MAX('Activities'!K14,108))</x:f>
        <x:v>0</x:v>
      </x:c>
      <x:c r="X14" s="22" t="n">
        <x:f>MAX(0,MIN('Activities'!L14,120)-MAX('Activities'!K14,114))</x:f>
        <x:v>0</x:v>
      </x:c>
      <x:c r="Y14" s="22" t="n">
        <x:f>MAX(0,MIN('Activities'!L14,126)-MAX('Activities'!K14,120))</x:f>
        <x:v>0</x:v>
      </x:c>
      <x:c r="Z14" s="22" t="n">
        <x:f>MAX(0,MIN('Activities'!L14,132)-MAX('Activities'!K14,126))</x:f>
        <x:v>0</x:v>
      </x:c>
      <x:c r="AA14" s="22" t="n">
        <x:f>MAX(0,MIN('Activities'!L14,138)-MAX('Activities'!K14,132))</x:f>
        <x:v>0</x:v>
      </x:c>
      <x:c r="AB14" s="22" t="n">
        <x:f>MAX(0,MIN('Activities'!L14,144)-MAX('Activities'!K14,138))</x:f>
        <x:v>0</x:v>
      </x:c>
      <x:c r="AC14" s="22" t="n">
        <x:f>MAX(0,MIN('Activities'!L14,150)-MAX('Activities'!K14,144))</x:f>
        <x:v>3</x:v>
      </x:c>
      <x:c r="AD14" s="22" t="n">
        <x:f>MAX(0,MIN('Activities'!L14,156)-MAX('Activities'!K14,150))</x:f>
        <x:v>6</x:v>
      </x:c>
      <x:c r="AE14" s="22" t="n">
        <x:f>MAX(0,MIN('Activities'!L14,162)-MAX('Activities'!K14,156))</x:f>
        <x:v>5</x:v>
      </x:c>
      <x:c r="AF14" s="22" t="n">
        <x:f>MAX(0,MIN('Activities'!L14,168)-MAX('Activities'!K14,162))</x:f>
        <x:v>0</x:v>
      </x:c>
      <x:c r="AG14" s="22" t="n">
        <x:f>MAX(0,MIN('Activities'!L14,174)-MAX('Activities'!K14,168))</x:f>
        <x:v>0</x:v>
      </x:c>
      <x:c r="AH14" s="22" t="n">
        <x:f>MAX(0,MIN('Activities'!L14,180)-MAX('Activities'!K14,174))</x:f>
        <x:v>0</x:v>
      </x:c>
      <x:c r="AI14" s="22" t="n">
        <x:f>MAX(0,MIN('Activities'!L14,186)-MAX('Activities'!K14,180))</x:f>
        <x:v>0</x:v>
      </x:c>
      <x:c r="AJ14" s="22" t="n">
        <x:f>MAX(0,MIN('Activities'!L14,192)-MAX('Activities'!K14,186))</x:f>
        <x:v>0</x:v>
      </x:c>
      <x:c r="AK14" s="22" t="n">
        <x:f>MAX(0,MIN('Activities'!L14,198)-MAX('Activities'!K14,192))</x:f>
        <x:v>0</x:v>
      </x:c>
      <x:c r="AL14" s="22" t="n">
        <x:f>MAX(0,MIN('Activities'!L14,204)-MAX('Activities'!K14,198))</x:f>
        <x:v>0</x:v>
      </x:c>
      <x:c r="AM14" s="22" t="n">
        <x:f>MAX(0,MIN('Activities'!L14,210)-MAX('Activities'!K14,204))</x:f>
        <x:v>0</x:v>
      </x:c>
      <x:c r="AN14" s="22" t="n">
        <x:f>MAX(0,MIN('Activities'!L14,216)-MAX('Activities'!K14,210))</x:f>
        <x:v>0</x:v>
      </x:c>
      <x:c r="AO14" s="22" t="n">
        <x:f>MAX(0,MIN('Activities'!L14,222)-MAX('Activities'!K14,216))</x:f>
        <x:v>0</x:v>
      </x:c>
      <x:c r="AP14" s="22" t="n">
        <x:f>MAX(0,MIN('Activities'!L14,228)-MAX('Activities'!K14,222))</x:f>
        <x:v>0</x:v>
      </x:c>
      <x:c r="AQ14" s="22" t="n">
        <x:f>MAX(0,MIN('Activities'!L14,234)-MAX('Activities'!K14,228))</x:f>
        <x:v>0</x:v>
      </x:c>
      <x:c r="AR14" s="22" t="n">
        <x:f>MAX(0,MIN('Activities'!L14,240)-MAX('Activities'!K14,234))</x:f>
        <x:v>0</x:v>
      </x:c>
      <x:c r="AS14" s="22" t="n">
        <x:f>MAX(0,MIN('Activities'!L14,246)-MAX('Activities'!K14,240))</x:f>
        <x:v>0</x:v>
      </x:c>
      <x:c r="AT14" s="22" t="n">
        <x:f>MAX(0,MIN('Activities'!L14,252)-MAX('Activities'!K14,246))</x:f>
        <x:v>0</x:v>
      </x:c>
      <x:c r="AU14" s="22" t="n">
        <x:f>MAX(0,MIN('Activities'!L14,258)-MAX('Activities'!K14,252))</x:f>
        <x:v>0</x:v>
      </x:c>
      <x:c r="AV14" s="22" t="n">
        <x:f>MAX(0,MIN('Activities'!L14,264)-MAX('Activities'!K14,258))</x:f>
        <x:v>0</x:v>
      </x:c>
      <x:c r="AW14" s="22" t="n">
        <x:f>MAX(0,MIN('Activities'!L14,270)-MAX('Activities'!K14,264))</x:f>
        <x:v>0</x:v>
      </x:c>
      <x:c r="AX14" s="22" t="n">
        <x:f>MAX(0,MIN('Activities'!L14,276)-MAX('Activities'!K14,270))</x:f>
        <x:v>0</x:v>
      </x:c>
      <x:c r="AY14" s="22" t="n">
        <x:f>MAX(0,MIN('Activities'!L14,282)-MAX('Activities'!K14,276))</x:f>
        <x:v>0</x:v>
      </x:c>
      <x:c r="AZ14" s="22" t="n">
        <x:f>MAX(0,MIN('Activities'!L14,288)-MAX('Activities'!K14,282))</x:f>
        <x:v>0</x:v>
      </x:c>
      <x:c r="BA14" s="22" t="n">
        <x:f>MAX(0,MIN('Activities'!L14,294)-MAX('Activities'!K14,288))</x:f>
        <x:v>0</x:v>
      </x:c>
      <x:c r="BB14" s="22" t="n">
        <x:f>MAX(0,MIN('Activities'!L14,300)-MAX('Activities'!K14,294))</x:f>
        <x:v>0</x:v>
      </x:c>
      <x:c r="BC14" s="22" t="n">
        <x:f>MAX(0,MIN('Activities'!L14,306)-MAX('Activities'!K14,300))</x:f>
        <x:v>0</x:v>
      </x:c>
      <x:c r="BD14" s="22" t="n">
        <x:f>MAX(0,MIN('Activities'!L14,312)-MAX('Activities'!K14,306))</x:f>
        <x:v>0</x:v>
      </x:c>
      <x:c r="BE14" s="22" t="n">
        <x:f>MAX(0,MIN('Activities'!L14,318)-MAX('Activities'!K14,312))</x:f>
        <x:v>0</x:v>
      </x:c>
      <x:c r="BF14" s="22" t="n">
        <x:f>MAX(0,MIN('Activities'!L14,324)-MAX('Activities'!K14,318))</x:f>
        <x:v>0</x:v>
      </x:c>
      <x:c r="BG14" s="22" t="n">
        <x:f>MAX(0,MIN('Activities'!L14,330)-MAX('Activities'!K14,324))</x:f>
        <x:v>0</x:v>
      </x:c>
      <x:c r="BH14" s="22" t="n">
        <x:f>MAX(0,MIN('Activities'!L14,336)-MAX('Activities'!K14,330))</x:f>
        <x:v>0</x:v>
      </x:c>
      <x:c r="BI14" s="22" t="n">
        <x:f>MAX(0,MIN('Activities'!L14,342)-MAX('Activities'!K14,336))</x:f>
        <x:v>0</x:v>
      </x:c>
      <x:c r="BJ14" s="22" t="n">
        <x:f>MAX(0,MIN('Activities'!L14,348)-MAX('Activities'!K14,342))</x:f>
        <x:v>0</x:v>
      </x:c>
      <x:c r="BK14" s="22" t="n">
        <x:f>MAX(0,MIN('Activities'!L14,354)-MAX('Activities'!K14,348))</x:f>
        <x:v>0</x:v>
      </x:c>
      <x:c r="BL14" s="22" t="n">
        <x:f>MAX(0,MIN('Activities'!L14,360)-MAX('Activities'!K14,354))</x:f>
        <x:v>0</x:v>
      </x:c>
      <x:c r="BM14" s="22" t="n">
        <x:f>MAX(0,MIN('Activities'!L14,366)-MAX('Activities'!K14,360))</x:f>
        <x:v>0</x:v>
      </x:c>
      <x:c r="BN14" s="22" t="n">
        <x:f>MAX(0,MIN('Activities'!L14,372)-MAX('Activities'!K14,366))</x:f>
        <x:v>0</x:v>
      </x:c>
      <x:c r="BO14" s="22" t="n">
        <x:f>MAX(0,MIN('Activities'!L14,378)-MAX('Activities'!K14,372))</x:f>
        <x:v>0</x:v>
      </x:c>
      <x:c r="BP14" s="22" t="n">
        <x:f>MAX(0,MIN('Activities'!L14,384)-MAX('Activities'!K14,378))</x:f>
        <x:v>0</x:v>
      </x:c>
      <x:c r="BQ14" s="22" t="n">
        <x:f>MAX(0,MIN('Activities'!L14,390)-MAX('Activities'!K14,384))</x:f>
        <x:v>0</x:v>
      </x:c>
      <x:c r="BR14" s="22" t="n">
        <x:f>MAX(0,MIN('Activities'!L14,396)-MAX('Activities'!K14,390))</x:f>
        <x:v>0</x:v>
      </x:c>
      <x:c r="BS14" s="22" t="n">
        <x:f>MAX(0,MIN('Activities'!L14,402)-MAX('Activities'!K14,396))</x:f>
        <x:v>0</x:v>
      </x:c>
      <x:c r="BT14" s="22" t="n">
        <x:f>MAX(0,MIN('Activities'!L14,408)-MAX('Activities'!K14,402))</x:f>
        <x:v>0</x:v>
      </x:c>
      <x:c r="BU14" s="22" t="n">
        <x:f>MAX(0,MIN('Activities'!L14,414)-MAX('Activities'!K14,408))</x:f>
        <x:v>0</x:v>
      </x:c>
      <x:c r="BV14" s="22" t="n">
        <x:f>MAX(0,MIN('Activities'!L14,420)-MAX('Activities'!K14,414))</x:f>
        <x:v>0</x:v>
      </x:c>
      <x:c r="BW14" s="22" t="n">
        <x:f>MAX(0,MIN('Activities'!L14,426)-MAX('Activities'!K14,420))</x:f>
        <x:v>0</x:v>
      </x:c>
      <x:c r="BX14" s="22" t="n">
        <x:f>MAX(0,MIN('Activities'!L14,432)-MAX('Activities'!K14,426))</x:f>
        <x:v>0</x:v>
      </x:c>
      <x:c r="BY14" s="22" t="n">
        <x:f>MAX(0,MIN('Activities'!L14,438)-MAX('Activities'!K14,432))</x:f>
        <x:v>0</x:v>
      </x:c>
      <x:c r="BZ14" s="22" t="n">
        <x:f>MAX(0,MIN('Activities'!L14,444)-MAX('Activities'!K14,438))</x:f>
        <x:v>0</x:v>
      </x:c>
      <x:c r="CA14" s="22" t="n">
        <x:f>MAX(0,MIN('Activities'!L14,450)-MAX('Activities'!K14,444))</x:f>
        <x:v>0</x:v>
      </x:c>
      <x:c r="CB14" s="22" t="n">
        <x:f>MAX(0,MIN('Activities'!L14,456)-MAX('Activities'!K14,450))</x:f>
        <x:v>0</x:v>
      </x:c>
      <x:c r="CC14" s="22" t="n">
        <x:f>MAX(0,MIN('Activities'!L14,462)-MAX('Activities'!K14,456))</x:f>
        <x:v>0</x:v>
      </x:c>
      <x:c r="CD14" s="22" t="n">
        <x:f>MAX(0,MIN('Activities'!L14,468)-MAX('Activities'!K14,462))</x:f>
        <x:v>0</x:v>
      </x:c>
      <x:c r="CE14" s="22" t="n">
        <x:f>MAX(0,MIN('Activities'!L14,474)-MAX('Activities'!K14,468))</x:f>
        <x:v>0</x:v>
      </x:c>
      <x:c r="CF14" s="22" t="n">
        <x:f>MAX(0,MIN('Activities'!L14,480)-MAX('Activities'!K14,474))</x:f>
        <x:v>0</x:v>
      </x:c>
      <x:c r="CG14" s="22" t="n">
        <x:f>MAX(0,MIN('Activities'!L14,486)-MAX('Activities'!K14,480))</x:f>
        <x:v>0</x:v>
      </x:c>
      <x:c r="CH14" s="22" t="n">
        <x:f>MAX(0,MIN('Activities'!L14,492)-MAX('Activities'!K14,486))</x:f>
        <x:v>0</x:v>
      </x:c>
      <x:c r="CI14" s="22" t="n">
        <x:f>MAX(0,MIN('Activities'!L14,498)-MAX('Activities'!K14,492))</x:f>
        <x:v>0</x:v>
      </x:c>
      <x:c r="CJ14" s="22" t="n">
        <x:f>MAX(0,MIN('Activities'!L14,504)-MAX('Activities'!K14,498))</x:f>
        <x:v>0</x:v>
      </x:c>
      <x:c r="CK14" s="22" t="n">
        <x:f>MAX(0,MIN('Activities'!L14,510)-MAX('Activities'!K14,504))</x:f>
        <x:v>0</x:v>
      </x:c>
      <x:c r="CL14" s="22" t="n">
        <x:f>MAX(0,MIN('Activities'!L14,516)-MAX('Activities'!K14,510))</x:f>
        <x:v>0</x:v>
      </x:c>
      <x:c r="CM14" s="22" t="n">
        <x:f>MAX(0,MIN('Activities'!L14,522)-MAX('Activities'!K14,516))</x:f>
        <x:v>0</x:v>
      </x:c>
      <x:c r="CN14" s="22" t="n">
        <x:f>MAX(0,MIN('Activities'!L14,528)-MAX('Activities'!K14,522))</x:f>
        <x:v>0</x:v>
      </x:c>
      <x:c r="CO14" s="22" t="n">
        <x:f>MAX(0,MIN('Activities'!L14,534)-MAX('Activities'!K14,528))</x:f>
        <x:v>0</x:v>
      </x:c>
      <x:c r="CP14" s="22" t="n">
        <x:f>MAX(0,MIN('Activities'!L14,540)-MAX('Activities'!K14,534))</x:f>
        <x:v>0</x:v>
      </x:c>
      <x:c r="CQ14" s="22" t="n">
        <x:f>MAX(0,MIN('Activities'!L14,546)-MAX('Activities'!K14,540))</x:f>
        <x:v>0</x:v>
      </x:c>
      <x:c r="CR14" s="22" t="n">
        <x:f>MAX(0,MIN('Activities'!L14,552)-MAX('Activities'!K14,546))</x:f>
        <x:v>0</x:v>
      </x:c>
      <x:c r="CS14" s="22" t="n">
        <x:f>MAX(0,MIN('Activities'!L14,558)-MAX('Activities'!K14,552))</x:f>
        <x:v>0</x:v>
      </x:c>
      <x:c r="CT14" s="22" t="n">
        <x:f>MAX(0,MIN('Activities'!L14,564)-MAX('Activities'!K14,558))</x:f>
        <x:v>0</x:v>
      </x:c>
      <x:c r="CU14" s="22" t="n">
        <x:f>MAX(0,MIN('Activities'!L14,570)-MAX('Activities'!K14,564))</x:f>
        <x:v>0</x:v>
      </x:c>
      <x:c r="CV14" s="22" t="n">
        <x:f>MAX(0,MIN('Activities'!L14,576)-MAX('Activities'!K14,570))</x:f>
        <x:v>0</x:v>
      </x:c>
      <x:c r="CW14" s="22" t="n">
        <x:f>MAX(0,MIN('Activities'!L14,582)-MAX('Activities'!K14,576))</x:f>
        <x:v>0</x:v>
      </x:c>
      <x:c r="CX14" s="22" t="n">
        <x:f>MAX(0,MIN('Activities'!L14,588)-MAX('Activities'!K14,582))</x:f>
        <x:v>0</x:v>
      </x:c>
      <x:c r="CY14" s="22" t="n">
        <x:f>MAX(0,MIN('Activities'!L14,594)-MAX('Activities'!K14,588))</x:f>
        <x:v>0</x:v>
      </x:c>
      <x:c r="CZ14" s="22" t="n">
        <x:f>MAX(0,MIN('Activities'!L14,600)-MAX('Activities'!K14,594))</x:f>
        <x:v>0</x:v>
      </x:c>
      <x:c r="DA14" s="22" t="n">
        <x:f>MAX(0,MIN('Activities'!L14,606)-MAX('Activities'!K14,600))</x:f>
        <x:v>0</x:v>
      </x:c>
      <x:c r="DB14" s="22" t="n">
        <x:f>MAX(0,MIN('Activities'!L14,612)-MAX('Activities'!K14,606))</x:f>
        <x:v>0</x:v>
      </x:c>
      <x:c r="DC14" s="22" t="n">
        <x:f>MAX(0,MIN('Activities'!L14,618)-MAX('Activities'!K14,612))</x:f>
        <x:v>0</x:v>
      </x:c>
      <x:c r="DD14" s="22" t="n">
        <x:f>MAX(0,MIN('Activities'!L14,624)-MAX('Activities'!K14,618))</x:f>
        <x:v>0</x:v>
      </x:c>
      <x:c r="DE14" s="22" t="n">
        <x:f>MAX(0,MIN('Activities'!L14,630)-MAX('Activities'!K14,624))</x:f>
        <x:v>0</x:v>
      </x:c>
      <x:c r="DF14" s="22" t="n">
        <x:f>MAX(0,MIN('Activities'!L14,636)-MAX('Activities'!K14,630))</x:f>
        <x:v>0</x:v>
      </x:c>
    </x:row>
    <x:row r="15" ht="23" customHeight="1">
      <x:c r="A15" s="1" t="str">
        <x:v>P-070</x:v>
      </x:c>
      <x:c r="B15" s="1" t="str">
        <x:v>SITE</x:v>
      </x:c>
      <x:c r="C15" s="1" t="str">
        <x:v>Backfill and perimeter reinstatement</x:v>
      </x:c>
      <x:c r="D15" s="1" t="str">
        <x:v>Earthworks</x:v>
      </x:c>
      <x:c r="E15" s="23" t="n">
        <x:f>MAX(0,MIN('Activities'!L15,6)-MAX('Activities'!K15,0))</x:f>
        <x:v>0</x:v>
      </x:c>
      <x:c r="F15" s="23" t="n">
        <x:f>MAX(0,MIN('Activities'!L15,12)-MAX('Activities'!K15,6))</x:f>
        <x:v>0</x:v>
      </x:c>
      <x:c r="G15" s="23" t="n">
        <x:f>MAX(0,MIN('Activities'!L15,18)-MAX('Activities'!K15,12))</x:f>
        <x:v>0</x:v>
      </x:c>
      <x:c r="H15" s="23" t="n">
        <x:f>MAX(0,MIN('Activities'!L15,24)-MAX('Activities'!K15,18))</x:f>
        <x:v>0</x:v>
      </x:c>
      <x:c r="I15" s="23" t="n">
        <x:f>MAX(0,MIN('Activities'!L15,30)-MAX('Activities'!K15,24))</x:f>
        <x:v>0</x:v>
      </x:c>
      <x:c r="J15" s="23" t="n">
        <x:f>MAX(0,MIN('Activities'!L15,36)-MAX('Activities'!K15,30))</x:f>
        <x:v>0</x:v>
      </x:c>
      <x:c r="K15" s="23" t="n">
        <x:f>MAX(0,MIN('Activities'!L15,42)-MAX('Activities'!K15,36))</x:f>
        <x:v>0</x:v>
      </x:c>
      <x:c r="L15" s="23" t="n">
        <x:f>MAX(0,MIN('Activities'!L15,48)-MAX('Activities'!K15,42))</x:f>
        <x:v>0</x:v>
      </x:c>
      <x:c r="M15" s="23" t="n">
        <x:f>MAX(0,MIN('Activities'!L15,54)-MAX('Activities'!K15,48))</x:f>
        <x:v>0</x:v>
      </x:c>
      <x:c r="N15" s="23" t="n">
        <x:f>MAX(0,MIN('Activities'!L15,60)-MAX('Activities'!K15,54))</x:f>
        <x:v>0</x:v>
      </x:c>
      <x:c r="O15" s="23" t="n">
        <x:f>MAX(0,MIN('Activities'!L15,66)-MAX('Activities'!K15,60))</x:f>
        <x:v>0</x:v>
      </x:c>
      <x:c r="P15" s="23" t="n">
        <x:f>MAX(0,MIN('Activities'!L15,72)-MAX('Activities'!K15,66))</x:f>
        <x:v>0</x:v>
      </x:c>
      <x:c r="Q15" s="23" t="n">
        <x:f>MAX(0,MIN('Activities'!L15,78)-MAX('Activities'!K15,72))</x:f>
        <x:v>0</x:v>
      </x:c>
      <x:c r="R15" s="23" t="n">
        <x:f>MAX(0,MIN('Activities'!L15,84)-MAX('Activities'!K15,78))</x:f>
        <x:v>0</x:v>
      </x:c>
      <x:c r="S15" s="23" t="n">
        <x:f>MAX(0,MIN('Activities'!L15,90)-MAX('Activities'!K15,84))</x:f>
        <x:v>0</x:v>
      </x:c>
      <x:c r="T15" s="23" t="n">
        <x:f>MAX(0,MIN('Activities'!L15,96)-MAX('Activities'!K15,90))</x:f>
        <x:v>0</x:v>
      </x:c>
      <x:c r="U15" s="23" t="n">
        <x:f>MAX(0,MIN('Activities'!L15,102)-MAX('Activities'!K15,96))</x:f>
        <x:v>0</x:v>
      </x:c>
      <x:c r="V15" s="23" t="n">
        <x:f>MAX(0,MIN('Activities'!L15,108)-MAX('Activities'!K15,102))</x:f>
        <x:v>0</x:v>
      </x:c>
      <x:c r="W15" s="23" t="n">
        <x:f>MAX(0,MIN('Activities'!L15,114)-MAX('Activities'!K15,108))</x:f>
        <x:v>0</x:v>
      </x:c>
      <x:c r="X15" s="23" t="n">
        <x:f>MAX(0,MIN('Activities'!L15,120)-MAX('Activities'!K15,114))</x:f>
        <x:v>0</x:v>
      </x:c>
      <x:c r="Y15" s="23" t="n">
        <x:f>MAX(0,MIN('Activities'!L15,126)-MAX('Activities'!K15,120))</x:f>
        <x:v>0</x:v>
      </x:c>
      <x:c r="Z15" s="23" t="n">
        <x:f>MAX(0,MIN('Activities'!L15,132)-MAX('Activities'!K15,126))</x:f>
        <x:v>0</x:v>
      </x:c>
      <x:c r="AA15" s="23" t="n">
        <x:f>MAX(0,MIN('Activities'!L15,138)-MAX('Activities'!K15,132))</x:f>
        <x:v>0</x:v>
      </x:c>
      <x:c r="AB15" s="23" t="n">
        <x:f>MAX(0,MIN('Activities'!L15,144)-MAX('Activities'!K15,138))</x:f>
        <x:v>0</x:v>
      </x:c>
      <x:c r="AC15" s="23" t="n">
        <x:f>MAX(0,MIN('Activities'!L15,150)-MAX('Activities'!K15,144))</x:f>
        <x:v>0</x:v>
      </x:c>
      <x:c r="AD15" s="23" t="n">
        <x:f>MAX(0,MIN('Activities'!L15,156)-MAX('Activities'!K15,150))</x:f>
        <x:v>2</x:v>
      </x:c>
      <x:c r="AE15" s="23" t="n">
        <x:f>MAX(0,MIN('Activities'!L15,162)-MAX('Activities'!K15,156))</x:f>
        <x:v>6</x:v>
      </x:c>
      <x:c r="AF15" s="23" t="n">
        <x:f>MAX(0,MIN('Activities'!L15,168)-MAX('Activities'!K15,162))</x:f>
        <x:v>1</x:v>
      </x:c>
      <x:c r="AG15" s="23" t="n">
        <x:f>MAX(0,MIN('Activities'!L15,174)-MAX('Activities'!K15,168))</x:f>
        <x:v>0</x:v>
      </x:c>
      <x:c r="AH15" s="23" t="n">
        <x:f>MAX(0,MIN('Activities'!L15,180)-MAX('Activities'!K15,174))</x:f>
        <x:v>0</x:v>
      </x:c>
      <x:c r="AI15" s="23" t="n">
        <x:f>MAX(0,MIN('Activities'!L15,186)-MAX('Activities'!K15,180))</x:f>
        <x:v>0</x:v>
      </x:c>
      <x:c r="AJ15" s="23" t="n">
        <x:f>MAX(0,MIN('Activities'!L15,192)-MAX('Activities'!K15,186))</x:f>
        <x:v>0</x:v>
      </x:c>
      <x:c r="AK15" s="23" t="n">
        <x:f>MAX(0,MIN('Activities'!L15,198)-MAX('Activities'!K15,192))</x:f>
        <x:v>0</x:v>
      </x:c>
      <x:c r="AL15" s="23" t="n">
        <x:f>MAX(0,MIN('Activities'!L15,204)-MAX('Activities'!K15,198))</x:f>
        <x:v>0</x:v>
      </x:c>
      <x:c r="AM15" s="23" t="n">
        <x:f>MAX(0,MIN('Activities'!L15,210)-MAX('Activities'!K15,204))</x:f>
        <x:v>0</x:v>
      </x:c>
      <x:c r="AN15" s="23" t="n">
        <x:f>MAX(0,MIN('Activities'!L15,216)-MAX('Activities'!K15,210))</x:f>
        <x:v>0</x:v>
      </x:c>
      <x:c r="AO15" s="23" t="n">
        <x:f>MAX(0,MIN('Activities'!L15,222)-MAX('Activities'!K15,216))</x:f>
        <x:v>0</x:v>
      </x:c>
      <x:c r="AP15" s="23" t="n">
        <x:f>MAX(0,MIN('Activities'!L15,228)-MAX('Activities'!K15,222))</x:f>
        <x:v>0</x:v>
      </x:c>
      <x:c r="AQ15" s="23" t="n">
        <x:f>MAX(0,MIN('Activities'!L15,234)-MAX('Activities'!K15,228))</x:f>
        <x:v>0</x:v>
      </x:c>
      <x:c r="AR15" s="23" t="n">
        <x:f>MAX(0,MIN('Activities'!L15,240)-MAX('Activities'!K15,234))</x:f>
        <x:v>0</x:v>
      </x:c>
      <x:c r="AS15" s="23" t="n">
        <x:f>MAX(0,MIN('Activities'!L15,246)-MAX('Activities'!K15,240))</x:f>
        <x:v>0</x:v>
      </x:c>
      <x:c r="AT15" s="23" t="n">
        <x:f>MAX(0,MIN('Activities'!L15,252)-MAX('Activities'!K15,246))</x:f>
        <x:v>0</x:v>
      </x:c>
      <x:c r="AU15" s="23" t="n">
        <x:f>MAX(0,MIN('Activities'!L15,258)-MAX('Activities'!K15,252))</x:f>
        <x:v>0</x:v>
      </x:c>
      <x:c r="AV15" s="23" t="n">
        <x:f>MAX(0,MIN('Activities'!L15,264)-MAX('Activities'!K15,258))</x:f>
        <x:v>0</x:v>
      </x:c>
      <x:c r="AW15" s="23" t="n">
        <x:f>MAX(0,MIN('Activities'!L15,270)-MAX('Activities'!K15,264))</x:f>
        <x:v>0</x:v>
      </x:c>
      <x:c r="AX15" s="23" t="n">
        <x:f>MAX(0,MIN('Activities'!L15,276)-MAX('Activities'!K15,270))</x:f>
        <x:v>0</x:v>
      </x:c>
      <x:c r="AY15" s="23" t="n">
        <x:f>MAX(0,MIN('Activities'!L15,282)-MAX('Activities'!K15,276))</x:f>
        <x:v>0</x:v>
      </x:c>
      <x:c r="AZ15" s="23" t="n">
        <x:f>MAX(0,MIN('Activities'!L15,288)-MAX('Activities'!K15,282))</x:f>
        <x:v>0</x:v>
      </x:c>
      <x:c r="BA15" s="23" t="n">
        <x:f>MAX(0,MIN('Activities'!L15,294)-MAX('Activities'!K15,288))</x:f>
        <x:v>0</x:v>
      </x:c>
      <x:c r="BB15" s="23" t="n">
        <x:f>MAX(0,MIN('Activities'!L15,300)-MAX('Activities'!K15,294))</x:f>
        <x:v>0</x:v>
      </x:c>
      <x:c r="BC15" s="23" t="n">
        <x:f>MAX(0,MIN('Activities'!L15,306)-MAX('Activities'!K15,300))</x:f>
        <x:v>0</x:v>
      </x:c>
      <x:c r="BD15" s="23" t="n">
        <x:f>MAX(0,MIN('Activities'!L15,312)-MAX('Activities'!K15,306))</x:f>
        <x:v>0</x:v>
      </x:c>
      <x:c r="BE15" s="23" t="n">
        <x:f>MAX(0,MIN('Activities'!L15,318)-MAX('Activities'!K15,312))</x:f>
        <x:v>0</x:v>
      </x:c>
      <x:c r="BF15" s="23" t="n">
        <x:f>MAX(0,MIN('Activities'!L15,324)-MAX('Activities'!K15,318))</x:f>
        <x:v>0</x:v>
      </x:c>
      <x:c r="BG15" s="23" t="n">
        <x:f>MAX(0,MIN('Activities'!L15,330)-MAX('Activities'!K15,324))</x:f>
        <x:v>0</x:v>
      </x:c>
      <x:c r="BH15" s="23" t="n">
        <x:f>MAX(0,MIN('Activities'!L15,336)-MAX('Activities'!K15,330))</x:f>
        <x:v>0</x:v>
      </x:c>
      <x:c r="BI15" s="23" t="n">
        <x:f>MAX(0,MIN('Activities'!L15,342)-MAX('Activities'!K15,336))</x:f>
        <x:v>0</x:v>
      </x:c>
      <x:c r="BJ15" s="23" t="n">
        <x:f>MAX(0,MIN('Activities'!L15,348)-MAX('Activities'!K15,342))</x:f>
        <x:v>0</x:v>
      </x:c>
      <x:c r="BK15" s="23" t="n">
        <x:f>MAX(0,MIN('Activities'!L15,354)-MAX('Activities'!K15,348))</x:f>
        <x:v>0</x:v>
      </x:c>
      <x:c r="BL15" s="23" t="n">
        <x:f>MAX(0,MIN('Activities'!L15,360)-MAX('Activities'!K15,354))</x:f>
        <x:v>0</x:v>
      </x:c>
      <x:c r="BM15" s="23" t="n">
        <x:f>MAX(0,MIN('Activities'!L15,366)-MAX('Activities'!K15,360))</x:f>
        <x:v>0</x:v>
      </x:c>
      <x:c r="BN15" s="23" t="n">
        <x:f>MAX(0,MIN('Activities'!L15,372)-MAX('Activities'!K15,366))</x:f>
        <x:v>0</x:v>
      </x:c>
      <x:c r="BO15" s="23" t="n">
        <x:f>MAX(0,MIN('Activities'!L15,378)-MAX('Activities'!K15,372))</x:f>
        <x:v>0</x:v>
      </x:c>
      <x:c r="BP15" s="23" t="n">
        <x:f>MAX(0,MIN('Activities'!L15,384)-MAX('Activities'!K15,378))</x:f>
        <x:v>0</x:v>
      </x:c>
      <x:c r="BQ15" s="23" t="n">
        <x:f>MAX(0,MIN('Activities'!L15,390)-MAX('Activities'!K15,384))</x:f>
        <x:v>0</x:v>
      </x:c>
      <x:c r="BR15" s="23" t="n">
        <x:f>MAX(0,MIN('Activities'!L15,396)-MAX('Activities'!K15,390))</x:f>
        <x:v>0</x:v>
      </x:c>
      <x:c r="BS15" s="23" t="n">
        <x:f>MAX(0,MIN('Activities'!L15,402)-MAX('Activities'!K15,396))</x:f>
        <x:v>0</x:v>
      </x:c>
      <x:c r="BT15" s="23" t="n">
        <x:f>MAX(0,MIN('Activities'!L15,408)-MAX('Activities'!K15,402))</x:f>
        <x:v>0</x:v>
      </x:c>
      <x:c r="BU15" s="23" t="n">
        <x:f>MAX(0,MIN('Activities'!L15,414)-MAX('Activities'!K15,408))</x:f>
        <x:v>0</x:v>
      </x:c>
      <x:c r="BV15" s="23" t="n">
        <x:f>MAX(0,MIN('Activities'!L15,420)-MAX('Activities'!K15,414))</x:f>
        <x:v>0</x:v>
      </x:c>
      <x:c r="BW15" s="23" t="n">
        <x:f>MAX(0,MIN('Activities'!L15,426)-MAX('Activities'!K15,420))</x:f>
        <x:v>0</x:v>
      </x:c>
      <x:c r="BX15" s="23" t="n">
        <x:f>MAX(0,MIN('Activities'!L15,432)-MAX('Activities'!K15,426))</x:f>
        <x:v>0</x:v>
      </x:c>
      <x:c r="BY15" s="23" t="n">
        <x:f>MAX(0,MIN('Activities'!L15,438)-MAX('Activities'!K15,432))</x:f>
        <x:v>0</x:v>
      </x:c>
      <x:c r="BZ15" s="23" t="n">
        <x:f>MAX(0,MIN('Activities'!L15,444)-MAX('Activities'!K15,438))</x:f>
        <x:v>0</x:v>
      </x:c>
      <x:c r="CA15" s="23" t="n">
        <x:f>MAX(0,MIN('Activities'!L15,450)-MAX('Activities'!K15,444))</x:f>
        <x:v>0</x:v>
      </x:c>
      <x:c r="CB15" s="23" t="n">
        <x:f>MAX(0,MIN('Activities'!L15,456)-MAX('Activities'!K15,450))</x:f>
        <x:v>0</x:v>
      </x:c>
      <x:c r="CC15" s="23" t="n">
        <x:f>MAX(0,MIN('Activities'!L15,462)-MAX('Activities'!K15,456))</x:f>
        <x:v>0</x:v>
      </x:c>
      <x:c r="CD15" s="23" t="n">
        <x:f>MAX(0,MIN('Activities'!L15,468)-MAX('Activities'!K15,462))</x:f>
        <x:v>0</x:v>
      </x:c>
      <x:c r="CE15" s="23" t="n">
        <x:f>MAX(0,MIN('Activities'!L15,474)-MAX('Activities'!K15,468))</x:f>
        <x:v>0</x:v>
      </x:c>
      <x:c r="CF15" s="23" t="n">
        <x:f>MAX(0,MIN('Activities'!L15,480)-MAX('Activities'!K15,474))</x:f>
        <x:v>0</x:v>
      </x:c>
      <x:c r="CG15" s="23" t="n">
        <x:f>MAX(0,MIN('Activities'!L15,486)-MAX('Activities'!K15,480))</x:f>
        <x:v>0</x:v>
      </x:c>
      <x:c r="CH15" s="23" t="n">
        <x:f>MAX(0,MIN('Activities'!L15,492)-MAX('Activities'!K15,486))</x:f>
        <x:v>0</x:v>
      </x:c>
      <x:c r="CI15" s="23" t="n">
        <x:f>MAX(0,MIN('Activities'!L15,498)-MAX('Activities'!K15,492))</x:f>
        <x:v>0</x:v>
      </x:c>
      <x:c r="CJ15" s="23" t="n">
        <x:f>MAX(0,MIN('Activities'!L15,504)-MAX('Activities'!K15,498))</x:f>
        <x:v>0</x:v>
      </x:c>
      <x:c r="CK15" s="23" t="n">
        <x:f>MAX(0,MIN('Activities'!L15,510)-MAX('Activities'!K15,504))</x:f>
        <x:v>0</x:v>
      </x:c>
      <x:c r="CL15" s="23" t="n">
        <x:f>MAX(0,MIN('Activities'!L15,516)-MAX('Activities'!K15,510))</x:f>
        <x:v>0</x:v>
      </x:c>
      <x:c r="CM15" s="23" t="n">
        <x:f>MAX(0,MIN('Activities'!L15,522)-MAX('Activities'!K15,516))</x:f>
        <x:v>0</x:v>
      </x:c>
      <x:c r="CN15" s="23" t="n">
        <x:f>MAX(0,MIN('Activities'!L15,528)-MAX('Activities'!K15,522))</x:f>
        <x:v>0</x:v>
      </x:c>
      <x:c r="CO15" s="23" t="n">
        <x:f>MAX(0,MIN('Activities'!L15,534)-MAX('Activities'!K15,528))</x:f>
        <x:v>0</x:v>
      </x:c>
      <x:c r="CP15" s="23" t="n">
        <x:f>MAX(0,MIN('Activities'!L15,540)-MAX('Activities'!K15,534))</x:f>
        <x:v>0</x:v>
      </x:c>
      <x:c r="CQ15" s="23" t="n">
        <x:f>MAX(0,MIN('Activities'!L15,546)-MAX('Activities'!K15,540))</x:f>
        <x:v>0</x:v>
      </x:c>
      <x:c r="CR15" s="23" t="n">
        <x:f>MAX(0,MIN('Activities'!L15,552)-MAX('Activities'!K15,546))</x:f>
        <x:v>0</x:v>
      </x:c>
      <x:c r="CS15" s="23" t="n">
        <x:f>MAX(0,MIN('Activities'!L15,558)-MAX('Activities'!K15,552))</x:f>
        <x:v>0</x:v>
      </x:c>
      <x:c r="CT15" s="23" t="n">
        <x:f>MAX(0,MIN('Activities'!L15,564)-MAX('Activities'!K15,558))</x:f>
        <x:v>0</x:v>
      </x:c>
      <x:c r="CU15" s="23" t="n">
        <x:f>MAX(0,MIN('Activities'!L15,570)-MAX('Activities'!K15,564))</x:f>
        <x:v>0</x:v>
      </x:c>
      <x:c r="CV15" s="23" t="n">
        <x:f>MAX(0,MIN('Activities'!L15,576)-MAX('Activities'!K15,570))</x:f>
        <x:v>0</x:v>
      </x:c>
      <x:c r="CW15" s="23" t="n">
        <x:f>MAX(0,MIN('Activities'!L15,582)-MAX('Activities'!K15,576))</x:f>
        <x:v>0</x:v>
      </x:c>
      <x:c r="CX15" s="23" t="n">
        <x:f>MAX(0,MIN('Activities'!L15,588)-MAX('Activities'!K15,582))</x:f>
        <x:v>0</x:v>
      </x:c>
      <x:c r="CY15" s="23" t="n">
        <x:f>MAX(0,MIN('Activities'!L15,594)-MAX('Activities'!K15,588))</x:f>
        <x:v>0</x:v>
      </x:c>
      <x:c r="CZ15" s="23" t="n">
        <x:f>MAX(0,MIN('Activities'!L15,600)-MAX('Activities'!K15,594))</x:f>
        <x:v>0</x:v>
      </x:c>
      <x:c r="DA15" s="23" t="n">
        <x:f>MAX(0,MIN('Activities'!L15,606)-MAX('Activities'!K15,600))</x:f>
        <x:v>0</x:v>
      </x:c>
      <x:c r="DB15" s="23" t="n">
        <x:f>MAX(0,MIN('Activities'!L15,612)-MAX('Activities'!K15,606))</x:f>
        <x:v>0</x:v>
      </x:c>
      <x:c r="DC15" s="23" t="n">
        <x:f>MAX(0,MIN('Activities'!L15,618)-MAX('Activities'!K15,612))</x:f>
        <x:v>0</x:v>
      </x:c>
      <x:c r="DD15" s="23" t="n">
        <x:f>MAX(0,MIN('Activities'!L15,624)-MAX('Activities'!K15,618))</x:f>
        <x:v>0</x:v>
      </x:c>
      <x:c r="DE15" s="23" t="n">
        <x:f>MAX(0,MIN('Activities'!L15,630)-MAX('Activities'!K15,624))</x:f>
        <x:v>0</x:v>
      </x:c>
      <x:c r="DF15" s="23" t="n">
        <x:f>MAX(0,MIN('Activities'!L15,636)-MAX('Activities'!K15,630))</x:f>
        <x:v>0</x:v>
      </x:c>
    </x:row>
    <x:row r="16" ht="23" customHeight="1">
      <x:c r="A16" s="6" t="str">
        <x:v>T1-L00-F</x:v>
      </x:c>
      <x:c r="B16" s="6" t="str">
        <x:v>T1</x:v>
      </x:c>
      <x:c r="C16" s="6" t="str">
        <x:v>Columns, core and deck formwork</x:v>
      </x:c>
      <x:c r="D16" s="6" t="str">
        <x:v>Formwork</x:v>
      </x:c>
      <x:c r="E16" s="22" t="n">
        <x:f>MAX(0,MIN('Activities'!L16,6)-MAX('Activities'!K16,0))</x:f>
        <x:v>0</x:v>
      </x:c>
      <x:c r="F16" s="22" t="n">
        <x:f>MAX(0,MIN('Activities'!L16,12)-MAX('Activities'!K16,6))</x:f>
        <x:v>0</x:v>
      </x:c>
      <x:c r="G16" s="22" t="n">
        <x:f>MAX(0,MIN('Activities'!L16,18)-MAX('Activities'!K16,12))</x:f>
        <x:v>0</x:v>
      </x:c>
      <x:c r="H16" s="22" t="n">
        <x:f>MAX(0,MIN('Activities'!L16,24)-MAX('Activities'!K16,18))</x:f>
        <x:v>0</x:v>
      </x:c>
      <x:c r="I16" s="22" t="n">
        <x:f>MAX(0,MIN('Activities'!L16,30)-MAX('Activities'!K16,24))</x:f>
        <x:v>0</x:v>
      </x:c>
      <x:c r="J16" s="22" t="n">
        <x:f>MAX(0,MIN('Activities'!L16,36)-MAX('Activities'!K16,30))</x:f>
        <x:v>0</x:v>
      </x:c>
      <x:c r="K16" s="22" t="n">
        <x:f>MAX(0,MIN('Activities'!L16,42)-MAX('Activities'!K16,36))</x:f>
        <x:v>0</x:v>
      </x:c>
      <x:c r="L16" s="22" t="n">
        <x:f>MAX(0,MIN('Activities'!L16,48)-MAX('Activities'!K16,42))</x:f>
        <x:v>0</x:v>
      </x:c>
      <x:c r="M16" s="22" t="n">
        <x:f>MAX(0,MIN('Activities'!L16,54)-MAX('Activities'!K16,48))</x:f>
        <x:v>0</x:v>
      </x:c>
      <x:c r="N16" s="22" t="n">
        <x:f>MAX(0,MIN('Activities'!L16,60)-MAX('Activities'!K16,54))</x:f>
        <x:v>0</x:v>
      </x:c>
      <x:c r="O16" s="22" t="n">
        <x:f>MAX(0,MIN('Activities'!L16,66)-MAX('Activities'!K16,60))</x:f>
        <x:v>0</x:v>
      </x:c>
      <x:c r="P16" s="22" t="n">
        <x:f>MAX(0,MIN('Activities'!L16,72)-MAX('Activities'!K16,66))</x:f>
        <x:v>0</x:v>
      </x:c>
      <x:c r="Q16" s="22" t="n">
        <x:f>MAX(0,MIN('Activities'!L16,78)-MAX('Activities'!K16,72))</x:f>
        <x:v>0</x:v>
      </x:c>
      <x:c r="R16" s="22" t="n">
        <x:f>MAX(0,MIN('Activities'!L16,84)-MAX('Activities'!K16,78))</x:f>
        <x:v>0</x:v>
      </x:c>
      <x:c r="S16" s="22" t="n">
        <x:f>MAX(0,MIN('Activities'!L16,90)-MAX('Activities'!K16,84))</x:f>
        <x:v>0</x:v>
      </x:c>
      <x:c r="T16" s="22" t="n">
        <x:f>MAX(0,MIN('Activities'!L16,96)-MAX('Activities'!K16,90))</x:f>
        <x:v>0</x:v>
      </x:c>
      <x:c r="U16" s="22" t="n">
        <x:f>MAX(0,MIN('Activities'!L16,102)-MAX('Activities'!K16,96))</x:f>
        <x:v>0</x:v>
      </x:c>
      <x:c r="V16" s="22" t="n">
        <x:f>MAX(0,MIN('Activities'!L16,108)-MAX('Activities'!K16,102))</x:f>
        <x:v>0</x:v>
      </x:c>
      <x:c r="W16" s="22" t="n">
        <x:f>MAX(0,MIN('Activities'!L16,114)-MAX('Activities'!K16,108))</x:f>
        <x:v>0</x:v>
      </x:c>
      <x:c r="X16" s="22" t="n">
        <x:f>MAX(0,MIN('Activities'!L16,120)-MAX('Activities'!K16,114))</x:f>
        <x:v>0</x:v>
      </x:c>
      <x:c r="Y16" s="22" t="n">
        <x:f>MAX(0,MIN('Activities'!L16,126)-MAX('Activities'!K16,120))</x:f>
        <x:v>0</x:v>
      </x:c>
      <x:c r="Z16" s="22" t="n">
        <x:f>MAX(0,MIN('Activities'!L16,132)-MAX('Activities'!K16,126))</x:f>
        <x:v>0</x:v>
      </x:c>
      <x:c r="AA16" s="22" t="n">
        <x:f>MAX(0,MIN('Activities'!L16,138)-MAX('Activities'!K16,132))</x:f>
        <x:v>4</x:v>
      </x:c>
      <x:c r="AB16" s="22" t="n">
        <x:f>MAX(0,MIN('Activities'!L16,144)-MAX('Activities'!K16,138))</x:f>
        <x:v>2</x:v>
      </x:c>
      <x:c r="AC16" s="22" t="n">
        <x:f>MAX(0,MIN('Activities'!L16,150)-MAX('Activities'!K16,144))</x:f>
        <x:v>0</x:v>
      </x:c>
      <x:c r="AD16" s="22" t="n">
        <x:f>MAX(0,MIN('Activities'!L16,156)-MAX('Activities'!K16,150))</x:f>
        <x:v>0</x:v>
      </x:c>
      <x:c r="AE16" s="22" t="n">
        <x:f>MAX(0,MIN('Activities'!L16,162)-MAX('Activities'!K16,156))</x:f>
        <x:v>0</x:v>
      </x:c>
      <x:c r="AF16" s="22" t="n">
        <x:f>MAX(0,MIN('Activities'!L16,168)-MAX('Activities'!K16,162))</x:f>
        <x:v>0</x:v>
      </x:c>
      <x:c r="AG16" s="22" t="n">
        <x:f>MAX(0,MIN('Activities'!L16,174)-MAX('Activities'!K16,168))</x:f>
        <x:v>0</x:v>
      </x:c>
      <x:c r="AH16" s="22" t="n">
        <x:f>MAX(0,MIN('Activities'!L16,180)-MAX('Activities'!K16,174))</x:f>
        <x:v>0</x:v>
      </x:c>
      <x:c r="AI16" s="22" t="n">
        <x:f>MAX(0,MIN('Activities'!L16,186)-MAX('Activities'!K16,180))</x:f>
        <x:v>0</x:v>
      </x:c>
      <x:c r="AJ16" s="22" t="n">
        <x:f>MAX(0,MIN('Activities'!L16,192)-MAX('Activities'!K16,186))</x:f>
        <x:v>0</x:v>
      </x:c>
      <x:c r="AK16" s="22" t="n">
        <x:f>MAX(0,MIN('Activities'!L16,198)-MAX('Activities'!K16,192))</x:f>
        <x:v>0</x:v>
      </x:c>
      <x:c r="AL16" s="22" t="n">
        <x:f>MAX(0,MIN('Activities'!L16,204)-MAX('Activities'!K16,198))</x:f>
        <x:v>0</x:v>
      </x:c>
      <x:c r="AM16" s="22" t="n">
        <x:f>MAX(0,MIN('Activities'!L16,210)-MAX('Activities'!K16,204))</x:f>
        <x:v>0</x:v>
      </x:c>
      <x:c r="AN16" s="22" t="n">
        <x:f>MAX(0,MIN('Activities'!L16,216)-MAX('Activities'!K16,210))</x:f>
        <x:v>0</x:v>
      </x:c>
      <x:c r="AO16" s="22" t="n">
        <x:f>MAX(0,MIN('Activities'!L16,222)-MAX('Activities'!K16,216))</x:f>
        <x:v>0</x:v>
      </x:c>
      <x:c r="AP16" s="22" t="n">
        <x:f>MAX(0,MIN('Activities'!L16,228)-MAX('Activities'!K16,222))</x:f>
        <x:v>0</x:v>
      </x:c>
      <x:c r="AQ16" s="22" t="n">
        <x:f>MAX(0,MIN('Activities'!L16,234)-MAX('Activities'!K16,228))</x:f>
        <x:v>0</x:v>
      </x:c>
      <x:c r="AR16" s="22" t="n">
        <x:f>MAX(0,MIN('Activities'!L16,240)-MAX('Activities'!K16,234))</x:f>
        <x:v>0</x:v>
      </x:c>
      <x:c r="AS16" s="22" t="n">
        <x:f>MAX(0,MIN('Activities'!L16,246)-MAX('Activities'!K16,240))</x:f>
        <x:v>0</x:v>
      </x:c>
      <x:c r="AT16" s="22" t="n">
        <x:f>MAX(0,MIN('Activities'!L16,252)-MAX('Activities'!K16,246))</x:f>
        <x:v>0</x:v>
      </x:c>
      <x:c r="AU16" s="22" t="n">
        <x:f>MAX(0,MIN('Activities'!L16,258)-MAX('Activities'!K16,252))</x:f>
        <x:v>0</x:v>
      </x:c>
      <x:c r="AV16" s="22" t="n">
        <x:f>MAX(0,MIN('Activities'!L16,264)-MAX('Activities'!K16,258))</x:f>
        <x:v>0</x:v>
      </x:c>
      <x:c r="AW16" s="22" t="n">
        <x:f>MAX(0,MIN('Activities'!L16,270)-MAX('Activities'!K16,264))</x:f>
        <x:v>0</x:v>
      </x:c>
      <x:c r="AX16" s="22" t="n">
        <x:f>MAX(0,MIN('Activities'!L16,276)-MAX('Activities'!K16,270))</x:f>
        <x:v>0</x:v>
      </x:c>
      <x:c r="AY16" s="22" t="n">
        <x:f>MAX(0,MIN('Activities'!L16,282)-MAX('Activities'!K16,276))</x:f>
        <x:v>0</x:v>
      </x:c>
      <x:c r="AZ16" s="22" t="n">
        <x:f>MAX(0,MIN('Activities'!L16,288)-MAX('Activities'!K16,282))</x:f>
        <x:v>0</x:v>
      </x:c>
      <x:c r="BA16" s="22" t="n">
        <x:f>MAX(0,MIN('Activities'!L16,294)-MAX('Activities'!K16,288))</x:f>
        <x:v>0</x:v>
      </x:c>
      <x:c r="BB16" s="22" t="n">
        <x:f>MAX(0,MIN('Activities'!L16,300)-MAX('Activities'!K16,294))</x:f>
        <x:v>0</x:v>
      </x:c>
      <x:c r="BC16" s="22" t="n">
        <x:f>MAX(0,MIN('Activities'!L16,306)-MAX('Activities'!K16,300))</x:f>
        <x:v>0</x:v>
      </x:c>
      <x:c r="BD16" s="22" t="n">
        <x:f>MAX(0,MIN('Activities'!L16,312)-MAX('Activities'!K16,306))</x:f>
        <x:v>0</x:v>
      </x:c>
      <x:c r="BE16" s="22" t="n">
        <x:f>MAX(0,MIN('Activities'!L16,318)-MAX('Activities'!K16,312))</x:f>
        <x:v>0</x:v>
      </x:c>
      <x:c r="BF16" s="22" t="n">
        <x:f>MAX(0,MIN('Activities'!L16,324)-MAX('Activities'!K16,318))</x:f>
        <x:v>0</x:v>
      </x:c>
      <x:c r="BG16" s="22" t="n">
        <x:f>MAX(0,MIN('Activities'!L16,330)-MAX('Activities'!K16,324))</x:f>
        <x:v>0</x:v>
      </x:c>
      <x:c r="BH16" s="22" t="n">
        <x:f>MAX(0,MIN('Activities'!L16,336)-MAX('Activities'!K16,330))</x:f>
        <x:v>0</x:v>
      </x:c>
      <x:c r="BI16" s="22" t="n">
        <x:f>MAX(0,MIN('Activities'!L16,342)-MAX('Activities'!K16,336))</x:f>
        <x:v>0</x:v>
      </x:c>
      <x:c r="BJ16" s="22" t="n">
        <x:f>MAX(0,MIN('Activities'!L16,348)-MAX('Activities'!K16,342))</x:f>
        <x:v>0</x:v>
      </x:c>
      <x:c r="BK16" s="22" t="n">
        <x:f>MAX(0,MIN('Activities'!L16,354)-MAX('Activities'!K16,348))</x:f>
        <x:v>0</x:v>
      </x:c>
      <x:c r="BL16" s="22" t="n">
        <x:f>MAX(0,MIN('Activities'!L16,360)-MAX('Activities'!K16,354))</x:f>
        <x:v>0</x:v>
      </x:c>
      <x:c r="BM16" s="22" t="n">
        <x:f>MAX(0,MIN('Activities'!L16,366)-MAX('Activities'!K16,360))</x:f>
        <x:v>0</x:v>
      </x:c>
      <x:c r="BN16" s="22" t="n">
        <x:f>MAX(0,MIN('Activities'!L16,372)-MAX('Activities'!K16,366))</x:f>
        <x:v>0</x:v>
      </x:c>
      <x:c r="BO16" s="22" t="n">
        <x:f>MAX(0,MIN('Activities'!L16,378)-MAX('Activities'!K16,372))</x:f>
        <x:v>0</x:v>
      </x:c>
      <x:c r="BP16" s="22" t="n">
        <x:f>MAX(0,MIN('Activities'!L16,384)-MAX('Activities'!K16,378))</x:f>
        <x:v>0</x:v>
      </x:c>
      <x:c r="BQ16" s="22" t="n">
        <x:f>MAX(0,MIN('Activities'!L16,390)-MAX('Activities'!K16,384))</x:f>
        <x:v>0</x:v>
      </x:c>
      <x:c r="BR16" s="22" t="n">
        <x:f>MAX(0,MIN('Activities'!L16,396)-MAX('Activities'!K16,390))</x:f>
        <x:v>0</x:v>
      </x:c>
      <x:c r="BS16" s="22" t="n">
        <x:f>MAX(0,MIN('Activities'!L16,402)-MAX('Activities'!K16,396))</x:f>
        <x:v>0</x:v>
      </x:c>
      <x:c r="BT16" s="22" t="n">
        <x:f>MAX(0,MIN('Activities'!L16,408)-MAX('Activities'!K16,402))</x:f>
        <x:v>0</x:v>
      </x:c>
      <x:c r="BU16" s="22" t="n">
        <x:f>MAX(0,MIN('Activities'!L16,414)-MAX('Activities'!K16,408))</x:f>
        <x:v>0</x:v>
      </x:c>
      <x:c r="BV16" s="22" t="n">
        <x:f>MAX(0,MIN('Activities'!L16,420)-MAX('Activities'!K16,414))</x:f>
        <x:v>0</x:v>
      </x:c>
      <x:c r="BW16" s="22" t="n">
        <x:f>MAX(0,MIN('Activities'!L16,426)-MAX('Activities'!K16,420))</x:f>
        <x:v>0</x:v>
      </x:c>
      <x:c r="BX16" s="22" t="n">
        <x:f>MAX(0,MIN('Activities'!L16,432)-MAX('Activities'!K16,426))</x:f>
        <x:v>0</x:v>
      </x:c>
      <x:c r="BY16" s="22" t="n">
        <x:f>MAX(0,MIN('Activities'!L16,438)-MAX('Activities'!K16,432))</x:f>
        <x:v>0</x:v>
      </x:c>
      <x:c r="BZ16" s="22" t="n">
        <x:f>MAX(0,MIN('Activities'!L16,444)-MAX('Activities'!K16,438))</x:f>
        <x:v>0</x:v>
      </x:c>
      <x:c r="CA16" s="22" t="n">
        <x:f>MAX(0,MIN('Activities'!L16,450)-MAX('Activities'!K16,444))</x:f>
        <x:v>0</x:v>
      </x:c>
      <x:c r="CB16" s="22" t="n">
        <x:f>MAX(0,MIN('Activities'!L16,456)-MAX('Activities'!K16,450))</x:f>
        <x:v>0</x:v>
      </x:c>
      <x:c r="CC16" s="22" t="n">
        <x:f>MAX(0,MIN('Activities'!L16,462)-MAX('Activities'!K16,456))</x:f>
        <x:v>0</x:v>
      </x:c>
      <x:c r="CD16" s="22" t="n">
        <x:f>MAX(0,MIN('Activities'!L16,468)-MAX('Activities'!K16,462))</x:f>
        <x:v>0</x:v>
      </x:c>
      <x:c r="CE16" s="22" t="n">
        <x:f>MAX(0,MIN('Activities'!L16,474)-MAX('Activities'!K16,468))</x:f>
        <x:v>0</x:v>
      </x:c>
      <x:c r="CF16" s="22" t="n">
        <x:f>MAX(0,MIN('Activities'!L16,480)-MAX('Activities'!K16,474))</x:f>
        <x:v>0</x:v>
      </x:c>
      <x:c r="CG16" s="22" t="n">
        <x:f>MAX(0,MIN('Activities'!L16,486)-MAX('Activities'!K16,480))</x:f>
        <x:v>0</x:v>
      </x:c>
      <x:c r="CH16" s="22" t="n">
        <x:f>MAX(0,MIN('Activities'!L16,492)-MAX('Activities'!K16,486))</x:f>
        <x:v>0</x:v>
      </x:c>
      <x:c r="CI16" s="22" t="n">
        <x:f>MAX(0,MIN('Activities'!L16,498)-MAX('Activities'!K16,492))</x:f>
        <x:v>0</x:v>
      </x:c>
      <x:c r="CJ16" s="22" t="n">
        <x:f>MAX(0,MIN('Activities'!L16,504)-MAX('Activities'!K16,498))</x:f>
        <x:v>0</x:v>
      </x:c>
      <x:c r="CK16" s="22" t="n">
        <x:f>MAX(0,MIN('Activities'!L16,510)-MAX('Activities'!K16,504))</x:f>
        <x:v>0</x:v>
      </x:c>
      <x:c r="CL16" s="22" t="n">
        <x:f>MAX(0,MIN('Activities'!L16,516)-MAX('Activities'!K16,510))</x:f>
        <x:v>0</x:v>
      </x:c>
      <x:c r="CM16" s="22" t="n">
        <x:f>MAX(0,MIN('Activities'!L16,522)-MAX('Activities'!K16,516))</x:f>
        <x:v>0</x:v>
      </x:c>
      <x:c r="CN16" s="22" t="n">
        <x:f>MAX(0,MIN('Activities'!L16,528)-MAX('Activities'!K16,522))</x:f>
        <x:v>0</x:v>
      </x:c>
      <x:c r="CO16" s="22" t="n">
        <x:f>MAX(0,MIN('Activities'!L16,534)-MAX('Activities'!K16,528))</x:f>
        <x:v>0</x:v>
      </x:c>
      <x:c r="CP16" s="22" t="n">
        <x:f>MAX(0,MIN('Activities'!L16,540)-MAX('Activities'!K16,534))</x:f>
        <x:v>0</x:v>
      </x:c>
      <x:c r="CQ16" s="22" t="n">
        <x:f>MAX(0,MIN('Activities'!L16,546)-MAX('Activities'!K16,540))</x:f>
        <x:v>0</x:v>
      </x:c>
      <x:c r="CR16" s="22" t="n">
        <x:f>MAX(0,MIN('Activities'!L16,552)-MAX('Activities'!K16,546))</x:f>
        <x:v>0</x:v>
      </x:c>
      <x:c r="CS16" s="22" t="n">
        <x:f>MAX(0,MIN('Activities'!L16,558)-MAX('Activities'!K16,552))</x:f>
        <x:v>0</x:v>
      </x:c>
      <x:c r="CT16" s="22" t="n">
        <x:f>MAX(0,MIN('Activities'!L16,564)-MAX('Activities'!K16,558))</x:f>
        <x:v>0</x:v>
      </x:c>
      <x:c r="CU16" s="22" t="n">
        <x:f>MAX(0,MIN('Activities'!L16,570)-MAX('Activities'!K16,564))</x:f>
        <x:v>0</x:v>
      </x:c>
      <x:c r="CV16" s="22" t="n">
        <x:f>MAX(0,MIN('Activities'!L16,576)-MAX('Activities'!K16,570))</x:f>
        <x:v>0</x:v>
      </x:c>
      <x:c r="CW16" s="22" t="n">
        <x:f>MAX(0,MIN('Activities'!L16,582)-MAX('Activities'!K16,576))</x:f>
        <x:v>0</x:v>
      </x:c>
      <x:c r="CX16" s="22" t="n">
        <x:f>MAX(0,MIN('Activities'!L16,588)-MAX('Activities'!K16,582))</x:f>
        <x:v>0</x:v>
      </x:c>
      <x:c r="CY16" s="22" t="n">
        <x:f>MAX(0,MIN('Activities'!L16,594)-MAX('Activities'!K16,588))</x:f>
        <x:v>0</x:v>
      </x:c>
      <x:c r="CZ16" s="22" t="n">
        <x:f>MAX(0,MIN('Activities'!L16,600)-MAX('Activities'!K16,594))</x:f>
        <x:v>0</x:v>
      </x:c>
      <x:c r="DA16" s="22" t="n">
        <x:f>MAX(0,MIN('Activities'!L16,606)-MAX('Activities'!K16,600))</x:f>
        <x:v>0</x:v>
      </x:c>
      <x:c r="DB16" s="22" t="n">
        <x:f>MAX(0,MIN('Activities'!L16,612)-MAX('Activities'!K16,606))</x:f>
        <x:v>0</x:v>
      </x:c>
      <x:c r="DC16" s="22" t="n">
        <x:f>MAX(0,MIN('Activities'!L16,618)-MAX('Activities'!K16,612))</x:f>
        <x:v>0</x:v>
      </x:c>
      <x:c r="DD16" s="22" t="n">
        <x:f>MAX(0,MIN('Activities'!L16,624)-MAX('Activities'!K16,618))</x:f>
        <x:v>0</x:v>
      </x:c>
      <x:c r="DE16" s="22" t="n">
        <x:f>MAX(0,MIN('Activities'!L16,630)-MAX('Activities'!K16,624))</x:f>
        <x:v>0</x:v>
      </x:c>
      <x:c r="DF16" s="22" t="n">
        <x:f>MAX(0,MIN('Activities'!L16,636)-MAX('Activities'!K16,630))</x:f>
        <x:v>0</x:v>
      </x:c>
    </x:row>
    <x:row r="17" ht="23" customHeight="1">
      <x:c r="A17" s="1" t="str">
        <x:v>T1-L00-R</x:v>
      </x:c>
      <x:c r="B17" s="1" t="str">
        <x:v>T1</x:v>
      </x:c>
      <x:c r="C17" s="1" t="str">
        <x:v>Column, wall, beam and slab reinforcement</x:v>
      </x:c>
      <x:c r="D17" s="1" t="str">
        <x:v>Rebar</x:v>
      </x:c>
      <x:c r="E17" s="23" t="n">
        <x:f>MAX(0,MIN('Activities'!L17,6)-MAX('Activities'!K17,0))</x:f>
        <x:v>0</x:v>
      </x:c>
      <x:c r="F17" s="23" t="n">
        <x:f>MAX(0,MIN('Activities'!L17,12)-MAX('Activities'!K17,6))</x:f>
        <x:v>0</x:v>
      </x:c>
      <x:c r="G17" s="23" t="n">
        <x:f>MAX(0,MIN('Activities'!L17,18)-MAX('Activities'!K17,12))</x:f>
        <x:v>0</x:v>
      </x:c>
      <x:c r="H17" s="23" t="n">
        <x:f>MAX(0,MIN('Activities'!L17,24)-MAX('Activities'!K17,18))</x:f>
        <x:v>0</x:v>
      </x:c>
      <x:c r="I17" s="23" t="n">
        <x:f>MAX(0,MIN('Activities'!L17,30)-MAX('Activities'!K17,24))</x:f>
        <x:v>0</x:v>
      </x:c>
      <x:c r="J17" s="23" t="n">
        <x:f>MAX(0,MIN('Activities'!L17,36)-MAX('Activities'!K17,30))</x:f>
        <x:v>0</x:v>
      </x:c>
      <x:c r="K17" s="23" t="n">
        <x:f>MAX(0,MIN('Activities'!L17,42)-MAX('Activities'!K17,36))</x:f>
        <x:v>0</x:v>
      </x:c>
      <x:c r="L17" s="23" t="n">
        <x:f>MAX(0,MIN('Activities'!L17,48)-MAX('Activities'!K17,42))</x:f>
        <x:v>0</x:v>
      </x:c>
      <x:c r="M17" s="23" t="n">
        <x:f>MAX(0,MIN('Activities'!L17,54)-MAX('Activities'!K17,48))</x:f>
        <x:v>0</x:v>
      </x:c>
      <x:c r="N17" s="23" t="n">
        <x:f>MAX(0,MIN('Activities'!L17,60)-MAX('Activities'!K17,54))</x:f>
        <x:v>0</x:v>
      </x:c>
      <x:c r="O17" s="23" t="n">
        <x:f>MAX(0,MIN('Activities'!L17,66)-MAX('Activities'!K17,60))</x:f>
        <x:v>0</x:v>
      </x:c>
      <x:c r="P17" s="23" t="n">
        <x:f>MAX(0,MIN('Activities'!L17,72)-MAX('Activities'!K17,66))</x:f>
        <x:v>0</x:v>
      </x:c>
      <x:c r="Q17" s="23" t="n">
        <x:f>MAX(0,MIN('Activities'!L17,78)-MAX('Activities'!K17,72))</x:f>
        <x:v>0</x:v>
      </x:c>
      <x:c r="R17" s="23" t="n">
        <x:f>MAX(0,MIN('Activities'!L17,84)-MAX('Activities'!K17,78))</x:f>
        <x:v>0</x:v>
      </x:c>
      <x:c r="S17" s="23" t="n">
        <x:f>MAX(0,MIN('Activities'!L17,90)-MAX('Activities'!K17,84))</x:f>
        <x:v>0</x:v>
      </x:c>
      <x:c r="T17" s="23" t="n">
        <x:f>MAX(0,MIN('Activities'!L17,96)-MAX('Activities'!K17,90))</x:f>
        <x:v>0</x:v>
      </x:c>
      <x:c r="U17" s="23" t="n">
        <x:f>MAX(0,MIN('Activities'!L17,102)-MAX('Activities'!K17,96))</x:f>
        <x:v>0</x:v>
      </x:c>
      <x:c r="V17" s="23" t="n">
        <x:f>MAX(0,MIN('Activities'!L17,108)-MAX('Activities'!K17,102))</x:f>
        <x:v>0</x:v>
      </x:c>
      <x:c r="W17" s="23" t="n">
        <x:f>MAX(0,MIN('Activities'!L17,114)-MAX('Activities'!K17,108))</x:f>
        <x:v>0</x:v>
      </x:c>
      <x:c r="X17" s="23" t="n">
        <x:f>MAX(0,MIN('Activities'!L17,120)-MAX('Activities'!K17,114))</x:f>
        <x:v>0</x:v>
      </x:c>
      <x:c r="Y17" s="23" t="n">
        <x:f>MAX(0,MIN('Activities'!L17,126)-MAX('Activities'!K17,120))</x:f>
        <x:v>0</x:v>
      </x:c>
      <x:c r="Z17" s="23" t="n">
        <x:f>MAX(0,MIN('Activities'!L17,132)-MAX('Activities'!K17,126))</x:f>
        <x:v>0</x:v>
      </x:c>
      <x:c r="AA17" s="23" t="n">
        <x:f>MAX(0,MIN('Activities'!L17,138)-MAX('Activities'!K17,132))</x:f>
        <x:v>0</x:v>
      </x:c>
      <x:c r="AB17" s="23" t="n">
        <x:f>MAX(0,MIN('Activities'!L17,144)-MAX('Activities'!K17,138))</x:f>
        <x:v>4</x:v>
      </x:c>
      <x:c r="AC17" s="23" t="n">
        <x:f>MAX(0,MIN('Activities'!L17,150)-MAX('Activities'!K17,144))</x:f>
        <x:v>1</x:v>
      </x:c>
      <x:c r="AD17" s="23" t="n">
        <x:f>MAX(0,MIN('Activities'!L17,156)-MAX('Activities'!K17,150))</x:f>
        <x:v>0</x:v>
      </x:c>
      <x:c r="AE17" s="23" t="n">
        <x:f>MAX(0,MIN('Activities'!L17,162)-MAX('Activities'!K17,156))</x:f>
        <x:v>0</x:v>
      </x:c>
      <x:c r="AF17" s="23" t="n">
        <x:f>MAX(0,MIN('Activities'!L17,168)-MAX('Activities'!K17,162))</x:f>
        <x:v>0</x:v>
      </x:c>
      <x:c r="AG17" s="23" t="n">
        <x:f>MAX(0,MIN('Activities'!L17,174)-MAX('Activities'!K17,168))</x:f>
        <x:v>0</x:v>
      </x:c>
      <x:c r="AH17" s="23" t="n">
        <x:f>MAX(0,MIN('Activities'!L17,180)-MAX('Activities'!K17,174))</x:f>
        <x:v>0</x:v>
      </x:c>
      <x:c r="AI17" s="23" t="n">
        <x:f>MAX(0,MIN('Activities'!L17,186)-MAX('Activities'!K17,180))</x:f>
        <x:v>0</x:v>
      </x:c>
      <x:c r="AJ17" s="23" t="n">
        <x:f>MAX(0,MIN('Activities'!L17,192)-MAX('Activities'!K17,186))</x:f>
        <x:v>0</x:v>
      </x:c>
      <x:c r="AK17" s="23" t="n">
        <x:f>MAX(0,MIN('Activities'!L17,198)-MAX('Activities'!K17,192))</x:f>
        <x:v>0</x:v>
      </x:c>
      <x:c r="AL17" s="23" t="n">
        <x:f>MAX(0,MIN('Activities'!L17,204)-MAX('Activities'!K17,198))</x:f>
        <x:v>0</x:v>
      </x:c>
      <x:c r="AM17" s="23" t="n">
        <x:f>MAX(0,MIN('Activities'!L17,210)-MAX('Activities'!K17,204))</x:f>
        <x:v>0</x:v>
      </x:c>
      <x:c r="AN17" s="23" t="n">
        <x:f>MAX(0,MIN('Activities'!L17,216)-MAX('Activities'!K17,210))</x:f>
        <x:v>0</x:v>
      </x:c>
      <x:c r="AO17" s="23" t="n">
        <x:f>MAX(0,MIN('Activities'!L17,222)-MAX('Activities'!K17,216))</x:f>
        <x:v>0</x:v>
      </x:c>
      <x:c r="AP17" s="23" t="n">
        <x:f>MAX(0,MIN('Activities'!L17,228)-MAX('Activities'!K17,222))</x:f>
        <x:v>0</x:v>
      </x:c>
      <x:c r="AQ17" s="23" t="n">
        <x:f>MAX(0,MIN('Activities'!L17,234)-MAX('Activities'!K17,228))</x:f>
        <x:v>0</x:v>
      </x:c>
      <x:c r="AR17" s="23" t="n">
        <x:f>MAX(0,MIN('Activities'!L17,240)-MAX('Activities'!K17,234))</x:f>
        <x:v>0</x:v>
      </x:c>
      <x:c r="AS17" s="23" t="n">
        <x:f>MAX(0,MIN('Activities'!L17,246)-MAX('Activities'!K17,240))</x:f>
        <x:v>0</x:v>
      </x:c>
      <x:c r="AT17" s="23" t="n">
        <x:f>MAX(0,MIN('Activities'!L17,252)-MAX('Activities'!K17,246))</x:f>
        <x:v>0</x:v>
      </x:c>
      <x:c r="AU17" s="23" t="n">
        <x:f>MAX(0,MIN('Activities'!L17,258)-MAX('Activities'!K17,252))</x:f>
        <x:v>0</x:v>
      </x:c>
      <x:c r="AV17" s="23" t="n">
        <x:f>MAX(0,MIN('Activities'!L17,264)-MAX('Activities'!K17,258))</x:f>
        <x:v>0</x:v>
      </x:c>
      <x:c r="AW17" s="23" t="n">
        <x:f>MAX(0,MIN('Activities'!L17,270)-MAX('Activities'!K17,264))</x:f>
        <x:v>0</x:v>
      </x:c>
      <x:c r="AX17" s="23" t="n">
        <x:f>MAX(0,MIN('Activities'!L17,276)-MAX('Activities'!K17,270))</x:f>
        <x:v>0</x:v>
      </x:c>
      <x:c r="AY17" s="23" t="n">
        <x:f>MAX(0,MIN('Activities'!L17,282)-MAX('Activities'!K17,276))</x:f>
        <x:v>0</x:v>
      </x:c>
      <x:c r="AZ17" s="23" t="n">
        <x:f>MAX(0,MIN('Activities'!L17,288)-MAX('Activities'!K17,282))</x:f>
        <x:v>0</x:v>
      </x:c>
      <x:c r="BA17" s="23" t="n">
        <x:f>MAX(0,MIN('Activities'!L17,294)-MAX('Activities'!K17,288))</x:f>
        <x:v>0</x:v>
      </x:c>
      <x:c r="BB17" s="23" t="n">
        <x:f>MAX(0,MIN('Activities'!L17,300)-MAX('Activities'!K17,294))</x:f>
        <x:v>0</x:v>
      </x:c>
      <x:c r="BC17" s="23" t="n">
        <x:f>MAX(0,MIN('Activities'!L17,306)-MAX('Activities'!K17,300))</x:f>
        <x:v>0</x:v>
      </x:c>
      <x:c r="BD17" s="23" t="n">
        <x:f>MAX(0,MIN('Activities'!L17,312)-MAX('Activities'!K17,306))</x:f>
        <x:v>0</x:v>
      </x:c>
      <x:c r="BE17" s="23" t="n">
        <x:f>MAX(0,MIN('Activities'!L17,318)-MAX('Activities'!K17,312))</x:f>
        <x:v>0</x:v>
      </x:c>
      <x:c r="BF17" s="23" t="n">
        <x:f>MAX(0,MIN('Activities'!L17,324)-MAX('Activities'!K17,318))</x:f>
        <x:v>0</x:v>
      </x:c>
      <x:c r="BG17" s="23" t="n">
        <x:f>MAX(0,MIN('Activities'!L17,330)-MAX('Activities'!K17,324))</x:f>
        <x:v>0</x:v>
      </x:c>
      <x:c r="BH17" s="23" t="n">
        <x:f>MAX(0,MIN('Activities'!L17,336)-MAX('Activities'!K17,330))</x:f>
        <x:v>0</x:v>
      </x:c>
      <x:c r="BI17" s="23" t="n">
        <x:f>MAX(0,MIN('Activities'!L17,342)-MAX('Activities'!K17,336))</x:f>
        <x:v>0</x:v>
      </x:c>
      <x:c r="BJ17" s="23" t="n">
        <x:f>MAX(0,MIN('Activities'!L17,348)-MAX('Activities'!K17,342))</x:f>
        <x:v>0</x:v>
      </x:c>
      <x:c r="BK17" s="23" t="n">
        <x:f>MAX(0,MIN('Activities'!L17,354)-MAX('Activities'!K17,348))</x:f>
        <x:v>0</x:v>
      </x:c>
      <x:c r="BL17" s="23" t="n">
        <x:f>MAX(0,MIN('Activities'!L17,360)-MAX('Activities'!K17,354))</x:f>
        <x:v>0</x:v>
      </x:c>
      <x:c r="BM17" s="23" t="n">
        <x:f>MAX(0,MIN('Activities'!L17,366)-MAX('Activities'!K17,360))</x:f>
        <x:v>0</x:v>
      </x:c>
      <x:c r="BN17" s="23" t="n">
        <x:f>MAX(0,MIN('Activities'!L17,372)-MAX('Activities'!K17,366))</x:f>
        <x:v>0</x:v>
      </x:c>
      <x:c r="BO17" s="23" t="n">
        <x:f>MAX(0,MIN('Activities'!L17,378)-MAX('Activities'!K17,372))</x:f>
        <x:v>0</x:v>
      </x:c>
      <x:c r="BP17" s="23" t="n">
        <x:f>MAX(0,MIN('Activities'!L17,384)-MAX('Activities'!K17,378))</x:f>
        <x:v>0</x:v>
      </x:c>
      <x:c r="BQ17" s="23" t="n">
        <x:f>MAX(0,MIN('Activities'!L17,390)-MAX('Activities'!K17,384))</x:f>
        <x:v>0</x:v>
      </x:c>
      <x:c r="BR17" s="23" t="n">
        <x:f>MAX(0,MIN('Activities'!L17,396)-MAX('Activities'!K17,390))</x:f>
        <x:v>0</x:v>
      </x:c>
      <x:c r="BS17" s="23" t="n">
        <x:f>MAX(0,MIN('Activities'!L17,402)-MAX('Activities'!K17,396))</x:f>
        <x:v>0</x:v>
      </x:c>
      <x:c r="BT17" s="23" t="n">
        <x:f>MAX(0,MIN('Activities'!L17,408)-MAX('Activities'!K17,402))</x:f>
        <x:v>0</x:v>
      </x:c>
      <x:c r="BU17" s="23" t="n">
        <x:f>MAX(0,MIN('Activities'!L17,414)-MAX('Activities'!K17,408))</x:f>
        <x:v>0</x:v>
      </x:c>
      <x:c r="BV17" s="23" t="n">
        <x:f>MAX(0,MIN('Activities'!L17,420)-MAX('Activities'!K17,414))</x:f>
        <x:v>0</x:v>
      </x:c>
      <x:c r="BW17" s="23" t="n">
        <x:f>MAX(0,MIN('Activities'!L17,426)-MAX('Activities'!K17,420))</x:f>
        <x:v>0</x:v>
      </x:c>
      <x:c r="BX17" s="23" t="n">
        <x:f>MAX(0,MIN('Activities'!L17,432)-MAX('Activities'!K17,426))</x:f>
        <x:v>0</x:v>
      </x:c>
      <x:c r="BY17" s="23" t="n">
        <x:f>MAX(0,MIN('Activities'!L17,438)-MAX('Activities'!K17,432))</x:f>
        <x:v>0</x:v>
      </x:c>
      <x:c r="BZ17" s="23" t="n">
        <x:f>MAX(0,MIN('Activities'!L17,444)-MAX('Activities'!K17,438))</x:f>
        <x:v>0</x:v>
      </x:c>
      <x:c r="CA17" s="23" t="n">
        <x:f>MAX(0,MIN('Activities'!L17,450)-MAX('Activities'!K17,444))</x:f>
        <x:v>0</x:v>
      </x:c>
      <x:c r="CB17" s="23" t="n">
        <x:f>MAX(0,MIN('Activities'!L17,456)-MAX('Activities'!K17,450))</x:f>
        <x:v>0</x:v>
      </x:c>
      <x:c r="CC17" s="23" t="n">
        <x:f>MAX(0,MIN('Activities'!L17,462)-MAX('Activities'!K17,456))</x:f>
        <x:v>0</x:v>
      </x:c>
      <x:c r="CD17" s="23" t="n">
        <x:f>MAX(0,MIN('Activities'!L17,468)-MAX('Activities'!K17,462))</x:f>
        <x:v>0</x:v>
      </x:c>
      <x:c r="CE17" s="23" t="n">
        <x:f>MAX(0,MIN('Activities'!L17,474)-MAX('Activities'!K17,468))</x:f>
        <x:v>0</x:v>
      </x:c>
      <x:c r="CF17" s="23" t="n">
        <x:f>MAX(0,MIN('Activities'!L17,480)-MAX('Activities'!K17,474))</x:f>
        <x:v>0</x:v>
      </x:c>
      <x:c r="CG17" s="23" t="n">
        <x:f>MAX(0,MIN('Activities'!L17,486)-MAX('Activities'!K17,480))</x:f>
        <x:v>0</x:v>
      </x:c>
      <x:c r="CH17" s="23" t="n">
        <x:f>MAX(0,MIN('Activities'!L17,492)-MAX('Activities'!K17,486))</x:f>
        <x:v>0</x:v>
      </x:c>
      <x:c r="CI17" s="23" t="n">
        <x:f>MAX(0,MIN('Activities'!L17,498)-MAX('Activities'!K17,492))</x:f>
        <x:v>0</x:v>
      </x:c>
      <x:c r="CJ17" s="23" t="n">
        <x:f>MAX(0,MIN('Activities'!L17,504)-MAX('Activities'!K17,498))</x:f>
        <x:v>0</x:v>
      </x:c>
      <x:c r="CK17" s="23" t="n">
        <x:f>MAX(0,MIN('Activities'!L17,510)-MAX('Activities'!K17,504))</x:f>
        <x:v>0</x:v>
      </x:c>
      <x:c r="CL17" s="23" t="n">
        <x:f>MAX(0,MIN('Activities'!L17,516)-MAX('Activities'!K17,510))</x:f>
        <x:v>0</x:v>
      </x:c>
      <x:c r="CM17" s="23" t="n">
        <x:f>MAX(0,MIN('Activities'!L17,522)-MAX('Activities'!K17,516))</x:f>
        <x:v>0</x:v>
      </x:c>
      <x:c r="CN17" s="23" t="n">
        <x:f>MAX(0,MIN('Activities'!L17,528)-MAX('Activities'!K17,522))</x:f>
        <x:v>0</x:v>
      </x:c>
      <x:c r="CO17" s="23" t="n">
        <x:f>MAX(0,MIN('Activities'!L17,534)-MAX('Activities'!K17,528))</x:f>
        <x:v>0</x:v>
      </x:c>
      <x:c r="CP17" s="23" t="n">
        <x:f>MAX(0,MIN('Activities'!L17,540)-MAX('Activities'!K17,534))</x:f>
        <x:v>0</x:v>
      </x:c>
      <x:c r="CQ17" s="23" t="n">
        <x:f>MAX(0,MIN('Activities'!L17,546)-MAX('Activities'!K17,540))</x:f>
        <x:v>0</x:v>
      </x:c>
      <x:c r="CR17" s="23" t="n">
        <x:f>MAX(0,MIN('Activities'!L17,552)-MAX('Activities'!K17,546))</x:f>
        <x:v>0</x:v>
      </x:c>
      <x:c r="CS17" s="23" t="n">
        <x:f>MAX(0,MIN('Activities'!L17,558)-MAX('Activities'!K17,552))</x:f>
        <x:v>0</x:v>
      </x:c>
      <x:c r="CT17" s="23" t="n">
        <x:f>MAX(0,MIN('Activities'!L17,564)-MAX('Activities'!K17,558))</x:f>
        <x:v>0</x:v>
      </x:c>
      <x:c r="CU17" s="23" t="n">
        <x:f>MAX(0,MIN('Activities'!L17,570)-MAX('Activities'!K17,564))</x:f>
        <x:v>0</x:v>
      </x:c>
      <x:c r="CV17" s="23" t="n">
        <x:f>MAX(0,MIN('Activities'!L17,576)-MAX('Activities'!K17,570))</x:f>
        <x:v>0</x:v>
      </x:c>
      <x:c r="CW17" s="23" t="n">
        <x:f>MAX(0,MIN('Activities'!L17,582)-MAX('Activities'!K17,576))</x:f>
        <x:v>0</x:v>
      </x:c>
      <x:c r="CX17" s="23" t="n">
        <x:f>MAX(0,MIN('Activities'!L17,588)-MAX('Activities'!K17,582))</x:f>
        <x:v>0</x:v>
      </x:c>
      <x:c r="CY17" s="23" t="n">
        <x:f>MAX(0,MIN('Activities'!L17,594)-MAX('Activities'!K17,588))</x:f>
        <x:v>0</x:v>
      </x:c>
      <x:c r="CZ17" s="23" t="n">
        <x:f>MAX(0,MIN('Activities'!L17,600)-MAX('Activities'!K17,594))</x:f>
        <x:v>0</x:v>
      </x:c>
      <x:c r="DA17" s="23" t="n">
        <x:f>MAX(0,MIN('Activities'!L17,606)-MAX('Activities'!K17,600))</x:f>
        <x:v>0</x:v>
      </x:c>
      <x:c r="DB17" s="23" t="n">
        <x:f>MAX(0,MIN('Activities'!L17,612)-MAX('Activities'!K17,606))</x:f>
        <x:v>0</x:v>
      </x:c>
      <x:c r="DC17" s="23" t="n">
        <x:f>MAX(0,MIN('Activities'!L17,618)-MAX('Activities'!K17,612))</x:f>
        <x:v>0</x:v>
      </x:c>
      <x:c r="DD17" s="23" t="n">
        <x:f>MAX(0,MIN('Activities'!L17,624)-MAX('Activities'!K17,618))</x:f>
        <x:v>0</x:v>
      </x:c>
      <x:c r="DE17" s="23" t="n">
        <x:f>MAX(0,MIN('Activities'!L17,630)-MAX('Activities'!K17,624))</x:f>
        <x:v>0</x:v>
      </x:c>
      <x:c r="DF17" s="23" t="n">
        <x:f>MAX(0,MIN('Activities'!L17,636)-MAX('Activities'!K17,630))</x:f>
        <x:v>0</x:v>
      </x:c>
    </x:row>
    <x:row r="18" ht="23" customHeight="1">
      <x:c r="A18" s="6" t="str">
        <x:v>T1-L00-C</x:v>
      </x:c>
      <x:c r="B18" s="6" t="str">
        <x:v>T1</x:v>
      </x:c>
      <x:c r="C18" s="6" t="str">
        <x:v>Concrete placement and finishing</x:v>
      </x:c>
      <x:c r="D18" s="6" t="str">
        <x:v>Concrete</x:v>
      </x:c>
      <x:c r="E18" s="22" t="n">
        <x:f>MAX(0,MIN('Activities'!L18,6)-MAX('Activities'!K18,0))</x:f>
        <x:v>0</x:v>
      </x:c>
      <x:c r="F18" s="22" t="n">
        <x:f>MAX(0,MIN('Activities'!L18,12)-MAX('Activities'!K18,6))</x:f>
        <x:v>0</x:v>
      </x:c>
      <x:c r="G18" s="22" t="n">
        <x:f>MAX(0,MIN('Activities'!L18,18)-MAX('Activities'!K18,12))</x:f>
        <x:v>0</x:v>
      </x:c>
      <x:c r="H18" s="22" t="n">
        <x:f>MAX(0,MIN('Activities'!L18,24)-MAX('Activities'!K18,18))</x:f>
        <x:v>0</x:v>
      </x:c>
      <x:c r="I18" s="22" t="n">
        <x:f>MAX(0,MIN('Activities'!L18,30)-MAX('Activities'!K18,24))</x:f>
        <x:v>0</x:v>
      </x:c>
      <x:c r="J18" s="22" t="n">
        <x:f>MAX(0,MIN('Activities'!L18,36)-MAX('Activities'!K18,30))</x:f>
        <x:v>0</x:v>
      </x:c>
      <x:c r="K18" s="22" t="n">
        <x:f>MAX(0,MIN('Activities'!L18,42)-MAX('Activities'!K18,36))</x:f>
        <x:v>0</x:v>
      </x:c>
      <x:c r="L18" s="22" t="n">
        <x:f>MAX(0,MIN('Activities'!L18,48)-MAX('Activities'!K18,42))</x:f>
        <x:v>0</x:v>
      </x:c>
      <x:c r="M18" s="22" t="n">
        <x:f>MAX(0,MIN('Activities'!L18,54)-MAX('Activities'!K18,48))</x:f>
        <x:v>0</x:v>
      </x:c>
      <x:c r="N18" s="22" t="n">
        <x:f>MAX(0,MIN('Activities'!L18,60)-MAX('Activities'!K18,54))</x:f>
        <x:v>0</x:v>
      </x:c>
      <x:c r="O18" s="22" t="n">
        <x:f>MAX(0,MIN('Activities'!L18,66)-MAX('Activities'!K18,60))</x:f>
        <x:v>0</x:v>
      </x:c>
      <x:c r="P18" s="22" t="n">
        <x:f>MAX(0,MIN('Activities'!L18,72)-MAX('Activities'!K18,66))</x:f>
        <x:v>0</x:v>
      </x:c>
      <x:c r="Q18" s="22" t="n">
        <x:f>MAX(0,MIN('Activities'!L18,78)-MAX('Activities'!K18,72))</x:f>
        <x:v>0</x:v>
      </x:c>
      <x:c r="R18" s="22" t="n">
        <x:f>MAX(0,MIN('Activities'!L18,84)-MAX('Activities'!K18,78))</x:f>
        <x:v>0</x:v>
      </x:c>
      <x:c r="S18" s="22" t="n">
        <x:f>MAX(0,MIN('Activities'!L18,90)-MAX('Activities'!K18,84))</x:f>
        <x:v>0</x:v>
      </x:c>
      <x:c r="T18" s="22" t="n">
        <x:f>MAX(0,MIN('Activities'!L18,96)-MAX('Activities'!K18,90))</x:f>
        <x:v>0</x:v>
      </x:c>
      <x:c r="U18" s="22" t="n">
        <x:f>MAX(0,MIN('Activities'!L18,102)-MAX('Activities'!K18,96))</x:f>
        <x:v>0</x:v>
      </x:c>
      <x:c r="V18" s="22" t="n">
        <x:f>MAX(0,MIN('Activities'!L18,108)-MAX('Activities'!K18,102))</x:f>
        <x:v>0</x:v>
      </x:c>
      <x:c r="W18" s="22" t="n">
        <x:f>MAX(0,MIN('Activities'!L18,114)-MAX('Activities'!K18,108))</x:f>
        <x:v>0</x:v>
      </x:c>
      <x:c r="X18" s="22" t="n">
        <x:f>MAX(0,MIN('Activities'!L18,120)-MAX('Activities'!K18,114))</x:f>
        <x:v>0</x:v>
      </x:c>
      <x:c r="Y18" s="22" t="n">
        <x:f>MAX(0,MIN('Activities'!L18,126)-MAX('Activities'!K18,120))</x:f>
        <x:v>0</x:v>
      </x:c>
      <x:c r="Z18" s="22" t="n">
        <x:f>MAX(0,MIN('Activities'!L18,132)-MAX('Activities'!K18,126))</x:f>
        <x:v>0</x:v>
      </x:c>
      <x:c r="AA18" s="22" t="n">
        <x:f>MAX(0,MIN('Activities'!L18,138)-MAX('Activities'!K18,132))</x:f>
        <x:v>0</x:v>
      </x:c>
      <x:c r="AB18" s="22" t="n">
        <x:f>MAX(0,MIN('Activities'!L18,144)-MAX('Activities'!K18,138))</x:f>
        <x:v>0</x:v>
      </x:c>
      <x:c r="AC18" s="22" t="n">
        <x:f>MAX(0,MIN('Activities'!L18,150)-MAX('Activities'!K18,144))</x:f>
        <x:v>2</x:v>
      </x:c>
      <x:c r="AD18" s="22" t="n">
        <x:f>MAX(0,MIN('Activities'!L18,156)-MAX('Activities'!K18,150))</x:f>
        <x:v>0</x:v>
      </x:c>
      <x:c r="AE18" s="22" t="n">
        <x:f>MAX(0,MIN('Activities'!L18,162)-MAX('Activities'!K18,156))</x:f>
        <x:v>0</x:v>
      </x:c>
      <x:c r="AF18" s="22" t="n">
        <x:f>MAX(0,MIN('Activities'!L18,168)-MAX('Activities'!K18,162))</x:f>
        <x:v>0</x:v>
      </x:c>
      <x:c r="AG18" s="22" t="n">
        <x:f>MAX(0,MIN('Activities'!L18,174)-MAX('Activities'!K18,168))</x:f>
        <x:v>0</x:v>
      </x:c>
      <x:c r="AH18" s="22" t="n">
        <x:f>MAX(0,MIN('Activities'!L18,180)-MAX('Activities'!K18,174))</x:f>
        <x:v>0</x:v>
      </x:c>
      <x:c r="AI18" s="22" t="n">
        <x:f>MAX(0,MIN('Activities'!L18,186)-MAX('Activities'!K18,180))</x:f>
        <x:v>0</x:v>
      </x:c>
      <x:c r="AJ18" s="22" t="n">
        <x:f>MAX(0,MIN('Activities'!L18,192)-MAX('Activities'!K18,186))</x:f>
        <x:v>0</x:v>
      </x:c>
      <x:c r="AK18" s="22" t="n">
        <x:f>MAX(0,MIN('Activities'!L18,198)-MAX('Activities'!K18,192))</x:f>
        <x:v>0</x:v>
      </x:c>
      <x:c r="AL18" s="22" t="n">
        <x:f>MAX(0,MIN('Activities'!L18,204)-MAX('Activities'!K18,198))</x:f>
        <x:v>0</x:v>
      </x:c>
      <x:c r="AM18" s="22" t="n">
        <x:f>MAX(0,MIN('Activities'!L18,210)-MAX('Activities'!K18,204))</x:f>
        <x:v>0</x:v>
      </x:c>
      <x:c r="AN18" s="22" t="n">
        <x:f>MAX(0,MIN('Activities'!L18,216)-MAX('Activities'!K18,210))</x:f>
        <x:v>0</x:v>
      </x:c>
      <x:c r="AO18" s="22" t="n">
        <x:f>MAX(0,MIN('Activities'!L18,222)-MAX('Activities'!K18,216))</x:f>
        <x:v>0</x:v>
      </x:c>
      <x:c r="AP18" s="22" t="n">
        <x:f>MAX(0,MIN('Activities'!L18,228)-MAX('Activities'!K18,222))</x:f>
        <x:v>0</x:v>
      </x:c>
      <x:c r="AQ18" s="22" t="n">
        <x:f>MAX(0,MIN('Activities'!L18,234)-MAX('Activities'!K18,228))</x:f>
        <x:v>0</x:v>
      </x:c>
      <x:c r="AR18" s="22" t="n">
        <x:f>MAX(0,MIN('Activities'!L18,240)-MAX('Activities'!K18,234))</x:f>
        <x:v>0</x:v>
      </x:c>
      <x:c r="AS18" s="22" t="n">
        <x:f>MAX(0,MIN('Activities'!L18,246)-MAX('Activities'!K18,240))</x:f>
        <x:v>0</x:v>
      </x:c>
      <x:c r="AT18" s="22" t="n">
        <x:f>MAX(0,MIN('Activities'!L18,252)-MAX('Activities'!K18,246))</x:f>
        <x:v>0</x:v>
      </x:c>
      <x:c r="AU18" s="22" t="n">
        <x:f>MAX(0,MIN('Activities'!L18,258)-MAX('Activities'!K18,252))</x:f>
        <x:v>0</x:v>
      </x:c>
      <x:c r="AV18" s="22" t="n">
        <x:f>MAX(0,MIN('Activities'!L18,264)-MAX('Activities'!K18,258))</x:f>
        <x:v>0</x:v>
      </x:c>
      <x:c r="AW18" s="22" t="n">
        <x:f>MAX(0,MIN('Activities'!L18,270)-MAX('Activities'!K18,264))</x:f>
        <x:v>0</x:v>
      </x:c>
      <x:c r="AX18" s="22" t="n">
        <x:f>MAX(0,MIN('Activities'!L18,276)-MAX('Activities'!K18,270))</x:f>
        <x:v>0</x:v>
      </x:c>
      <x:c r="AY18" s="22" t="n">
        <x:f>MAX(0,MIN('Activities'!L18,282)-MAX('Activities'!K18,276))</x:f>
        <x:v>0</x:v>
      </x:c>
      <x:c r="AZ18" s="22" t="n">
        <x:f>MAX(0,MIN('Activities'!L18,288)-MAX('Activities'!K18,282))</x:f>
        <x:v>0</x:v>
      </x:c>
      <x:c r="BA18" s="22" t="n">
        <x:f>MAX(0,MIN('Activities'!L18,294)-MAX('Activities'!K18,288))</x:f>
        <x:v>0</x:v>
      </x:c>
      <x:c r="BB18" s="22" t="n">
        <x:f>MAX(0,MIN('Activities'!L18,300)-MAX('Activities'!K18,294))</x:f>
        <x:v>0</x:v>
      </x:c>
      <x:c r="BC18" s="22" t="n">
        <x:f>MAX(0,MIN('Activities'!L18,306)-MAX('Activities'!K18,300))</x:f>
        <x:v>0</x:v>
      </x:c>
      <x:c r="BD18" s="22" t="n">
        <x:f>MAX(0,MIN('Activities'!L18,312)-MAX('Activities'!K18,306))</x:f>
        <x:v>0</x:v>
      </x:c>
      <x:c r="BE18" s="22" t="n">
        <x:f>MAX(0,MIN('Activities'!L18,318)-MAX('Activities'!K18,312))</x:f>
        <x:v>0</x:v>
      </x:c>
      <x:c r="BF18" s="22" t="n">
        <x:f>MAX(0,MIN('Activities'!L18,324)-MAX('Activities'!K18,318))</x:f>
        <x:v>0</x:v>
      </x:c>
      <x:c r="BG18" s="22" t="n">
        <x:f>MAX(0,MIN('Activities'!L18,330)-MAX('Activities'!K18,324))</x:f>
        <x:v>0</x:v>
      </x:c>
      <x:c r="BH18" s="22" t="n">
        <x:f>MAX(0,MIN('Activities'!L18,336)-MAX('Activities'!K18,330))</x:f>
        <x:v>0</x:v>
      </x:c>
      <x:c r="BI18" s="22" t="n">
        <x:f>MAX(0,MIN('Activities'!L18,342)-MAX('Activities'!K18,336))</x:f>
        <x:v>0</x:v>
      </x:c>
      <x:c r="BJ18" s="22" t="n">
        <x:f>MAX(0,MIN('Activities'!L18,348)-MAX('Activities'!K18,342))</x:f>
        <x:v>0</x:v>
      </x:c>
      <x:c r="BK18" s="22" t="n">
        <x:f>MAX(0,MIN('Activities'!L18,354)-MAX('Activities'!K18,348))</x:f>
        <x:v>0</x:v>
      </x:c>
      <x:c r="BL18" s="22" t="n">
        <x:f>MAX(0,MIN('Activities'!L18,360)-MAX('Activities'!K18,354))</x:f>
        <x:v>0</x:v>
      </x:c>
      <x:c r="BM18" s="22" t="n">
        <x:f>MAX(0,MIN('Activities'!L18,366)-MAX('Activities'!K18,360))</x:f>
        <x:v>0</x:v>
      </x:c>
      <x:c r="BN18" s="22" t="n">
        <x:f>MAX(0,MIN('Activities'!L18,372)-MAX('Activities'!K18,366))</x:f>
        <x:v>0</x:v>
      </x:c>
      <x:c r="BO18" s="22" t="n">
        <x:f>MAX(0,MIN('Activities'!L18,378)-MAX('Activities'!K18,372))</x:f>
        <x:v>0</x:v>
      </x:c>
      <x:c r="BP18" s="22" t="n">
        <x:f>MAX(0,MIN('Activities'!L18,384)-MAX('Activities'!K18,378))</x:f>
        <x:v>0</x:v>
      </x:c>
      <x:c r="BQ18" s="22" t="n">
        <x:f>MAX(0,MIN('Activities'!L18,390)-MAX('Activities'!K18,384))</x:f>
        <x:v>0</x:v>
      </x:c>
      <x:c r="BR18" s="22" t="n">
        <x:f>MAX(0,MIN('Activities'!L18,396)-MAX('Activities'!K18,390))</x:f>
        <x:v>0</x:v>
      </x:c>
      <x:c r="BS18" s="22" t="n">
        <x:f>MAX(0,MIN('Activities'!L18,402)-MAX('Activities'!K18,396))</x:f>
        <x:v>0</x:v>
      </x:c>
      <x:c r="BT18" s="22" t="n">
        <x:f>MAX(0,MIN('Activities'!L18,408)-MAX('Activities'!K18,402))</x:f>
        <x:v>0</x:v>
      </x:c>
      <x:c r="BU18" s="22" t="n">
        <x:f>MAX(0,MIN('Activities'!L18,414)-MAX('Activities'!K18,408))</x:f>
        <x:v>0</x:v>
      </x:c>
      <x:c r="BV18" s="22" t="n">
        <x:f>MAX(0,MIN('Activities'!L18,420)-MAX('Activities'!K18,414))</x:f>
        <x:v>0</x:v>
      </x:c>
      <x:c r="BW18" s="22" t="n">
        <x:f>MAX(0,MIN('Activities'!L18,426)-MAX('Activities'!K18,420))</x:f>
        <x:v>0</x:v>
      </x:c>
      <x:c r="BX18" s="22" t="n">
        <x:f>MAX(0,MIN('Activities'!L18,432)-MAX('Activities'!K18,426))</x:f>
        <x:v>0</x:v>
      </x:c>
      <x:c r="BY18" s="22" t="n">
        <x:f>MAX(0,MIN('Activities'!L18,438)-MAX('Activities'!K18,432))</x:f>
        <x:v>0</x:v>
      </x:c>
      <x:c r="BZ18" s="22" t="n">
        <x:f>MAX(0,MIN('Activities'!L18,444)-MAX('Activities'!K18,438))</x:f>
        <x:v>0</x:v>
      </x:c>
      <x:c r="CA18" s="22" t="n">
        <x:f>MAX(0,MIN('Activities'!L18,450)-MAX('Activities'!K18,444))</x:f>
        <x:v>0</x:v>
      </x:c>
      <x:c r="CB18" s="22" t="n">
        <x:f>MAX(0,MIN('Activities'!L18,456)-MAX('Activities'!K18,450))</x:f>
        <x:v>0</x:v>
      </x:c>
      <x:c r="CC18" s="22" t="n">
        <x:f>MAX(0,MIN('Activities'!L18,462)-MAX('Activities'!K18,456))</x:f>
        <x:v>0</x:v>
      </x:c>
      <x:c r="CD18" s="22" t="n">
        <x:f>MAX(0,MIN('Activities'!L18,468)-MAX('Activities'!K18,462))</x:f>
        <x:v>0</x:v>
      </x:c>
      <x:c r="CE18" s="22" t="n">
        <x:f>MAX(0,MIN('Activities'!L18,474)-MAX('Activities'!K18,468))</x:f>
        <x:v>0</x:v>
      </x:c>
      <x:c r="CF18" s="22" t="n">
        <x:f>MAX(0,MIN('Activities'!L18,480)-MAX('Activities'!K18,474))</x:f>
        <x:v>0</x:v>
      </x:c>
      <x:c r="CG18" s="22" t="n">
        <x:f>MAX(0,MIN('Activities'!L18,486)-MAX('Activities'!K18,480))</x:f>
        <x:v>0</x:v>
      </x:c>
      <x:c r="CH18" s="22" t="n">
        <x:f>MAX(0,MIN('Activities'!L18,492)-MAX('Activities'!K18,486))</x:f>
        <x:v>0</x:v>
      </x:c>
      <x:c r="CI18" s="22" t="n">
        <x:f>MAX(0,MIN('Activities'!L18,498)-MAX('Activities'!K18,492))</x:f>
        <x:v>0</x:v>
      </x:c>
      <x:c r="CJ18" s="22" t="n">
        <x:f>MAX(0,MIN('Activities'!L18,504)-MAX('Activities'!K18,498))</x:f>
        <x:v>0</x:v>
      </x:c>
      <x:c r="CK18" s="22" t="n">
        <x:f>MAX(0,MIN('Activities'!L18,510)-MAX('Activities'!K18,504))</x:f>
        <x:v>0</x:v>
      </x:c>
      <x:c r="CL18" s="22" t="n">
        <x:f>MAX(0,MIN('Activities'!L18,516)-MAX('Activities'!K18,510))</x:f>
        <x:v>0</x:v>
      </x:c>
      <x:c r="CM18" s="22" t="n">
        <x:f>MAX(0,MIN('Activities'!L18,522)-MAX('Activities'!K18,516))</x:f>
        <x:v>0</x:v>
      </x:c>
      <x:c r="CN18" s="22" t="n">
        <x:f>MAX(0,MIN('Activities'!L18,528)-MAX('Activities'!K18,522))</x:f>
        <x:v>0</x:v>
      </x:c>
      <x:c r="CO18" s="22" t="n">
        <x:f>MAX(0,MIN('Activities'!L18,534)-MAX('Activities'!K18,528))</x:f>
        <x:v>0</x:v>
      </x:c>
      <x:c r="CP18" s="22" t="n">
        <x:f>MAX(0,MIN('Activities'!L18,540)-MAX('Activities'!K18,534))</x:f>
        <x:v>0</x:v>
      </x:c>
      <x:c r="CQ18" s="22" t="n">
        <x:f>MAX(0,MIN('Activities'!L18,546)-MAX('Activities'!K18,540))</x:f>
        <x:v>0</x:v>
      </x:c>
      <x:c r="CR18" s="22" t="n">
        <x:f>MAX(0,MIN('Activities'!L18,552)-MAX('Activities'!K18,546))</x:f>
        <x:v>0</x:v>
      </x:c>
      <x:c r="CS18" s="22" t="n">
        <x:f>MAX(0,MIN('Activities'!L18,558)-MAX('Activities'!K18,552))</x:f>
        <x:v>0</x:v>
      </x:c>
      <x:c r="CT18" s="22" t="n">
        <x:f>MAX(0,MIN('Activities'!L18,564)-MAX('Activities'!K18,558))</x:f>
        <x:v>0</x:v>
      </x:c>
      <x:c r="CU18" s="22" t="n">
        <x:f>MAX(0,MIN('Activities'!L18,570)-MAX('Activities'!K18,564))</x:f>
        <x:v>0</x:v>
      </x:c>
      <x:c r="CV18" s="22" t="n">
        <x:f>MAX(0,MIN('Activities'!L18,576)-MAX('Activities'!K18,570))</x:f>
        <x:v>0</x:v>
      </x:c>
      <x:c r="CW18" s="22" t="n">
        <x:f>MAX(0,MIN('Activities'!L18,582)-MAX('Activities'!K18,576))</x:f>
        <x:v>0</x:v>
      </x:c>
      <x:c r="CX18" s="22" t="n">
        <x:f>MAX(0,MIN('Activities'!L18,588)-MAX('Activities'!K18,582))</x:f>
        <x:v>0</x:v>
      </x:c>
      <x:c r="CY18" s="22" t="n">
        <x:f>MAX(0,MIN('Activities'!L18,594)-MAX('Activities'!K18,588))</x:f>
        <x:v>0</x:v>
      </x:c>
      <x:c r="CZ18" s="22" t="n">
        <x:f>MAX(0,MIN('Activities'!L18,600)-MAX('Activities'!K18,594))</x:f>
        <x:v>0</x:v>
      </x:c>
      <x:c r="DA18" s="22" t="n">
        <x:f>MAX(0,MIN('Activities'!L18,606)-MAX('Activities'!K18,600))</x:f>
        <x:v>0</x:v>
      </x:c>
      <x:c r="DB18" s="22" t="n">
        <x:f>MAX(0,MIN('Activities'!L18,612)-MAX('Activities'!K18,606))</x:f>
        <x:v>0</x:v>
      </x:c>
      <x:c r="DC18" s="22" t="n">
        <x:f>MAX(0,MIN('Activities'!L18,618)-MAX('Activities'!K18,612))</x:f>
        <x:v>0</x:v>
      </x:c>
      <x:c r="DD18" s="22" t="n">
        <x:f>MAX(0,MIN('Activities'!L18,624)-MAX('Activities'!K18,618))</x:f>
        <x:v>0</x:v>
      </x:c>
      <x:c r="DE18" s="22" t="n">
        <x:f>MAX(0,MIN('Activities'!L18,630)-MAX('Activities'!K18,624))</x:f>
        <x:v>0</x:v>
      </x:c>
      <x:c r="DF18" s="22" t="n">
        <x:f>MAX(0,MIN('Activities'!L18,636)-MAX('Activities'!K18,630))</x:f>
        <x:v>0</x:v>
      </x:c>
    </x:row>
    <x:row r="19" ht="23" customHeight="1">
      <x:c r="A19" s="1" t="str">
        <x:v>T1-L00-H</x:v>
      </x:c>
      <x:c r="B19" s="1" t="str">
        <x:v>T1</x:v>
      </x:c>
      <x:c r="C19" s="1" t="str">
        <x:v>Curing and release hold point</x:v>
      </x:c>
      <x:c r="D19" s="1" t="str">
        <x:v>Site</x:v>
      </x:c>
      <x:c r="E19" s="23" t="n">
        <x:f>MAX(0,MIN('Activities'!L19,6)-MAX('Activities'!K19,0))</x:f>
        <x:v>0</x:v>
      </x:c>
      <x:c r="F19" s="23" t="n">
        <x:f>MAX(0,MIN('Activities'!L19,12)-MAX('Activities'!K19,6))</x:f>
        <x:v>0</x:v>
      </x:c>
      <x:c r="G19" s="23" t="n">
        <x:f>MAX(0,MIN('Activities'!L19,18)-MAX('Activities'!K19,12))</x:f>
        <x:v>0</x:v>
      </x:c>
      <x:c r="H19" s="23" t="n">
        <x:f>MAX(0,MIN('Activities'!L19,24)-MAX('Activities'!K19,18))</x:f>
        <x:v>0</x:v>
      </x:c>
      <x:c r="I19" s="23" t="n">
        <x:f>MAX(0,MIN('Activities'!L19,30)-MAX('Activities'!K19,24))</x:f>
        <x:v>0</x:v>
      </x:c>
      <x:c r="J19" s="23" t="n">
        <x:f>MAX(0,MIN('Activities'!L19,36)-MAX('Activities'!K19,30))</x:f>
        <x:v>0</x:v>
      </x:c>
      <x:c r="K19" s="23" t="n">
        <x:f>MAX(0,MIN('Activities'!L19,42)-MAX('Activities'!K19,36))</x:f>
        <x:v>0</x:v>
      </x:c>
      <x:c r="L19" s="23" t="n">
        <x:f>MAX(0,MIN('Activities'!L19,48)-MAX('Activities'!K19,42))</x:f>
        <x:v>0</x:v>
      </x:c>
      <x:c r="M19" s="23" t="n">
        <x:f>MAX(0,MIN('Activities'!L19,54)-MAX('Activities'!K19,48))</x:f>
        <x:v>0</x:v>
      </x:c>
      <x:c r="N19" s="23" t="n">
        <x:f>MAX(0,MIN('Activities'!L19,60)-MAX('Activities'!K19,54))</x:f>
        <x:v>0</x:v>
      </x:c>
      <x:c r="O19" s="23" t="n">
        <x:f>MAX(0,MIN('Activities'!L19,66)-MAX('Activities'!K19,60))</x:f>
        <x:v>0</x:v>
      </x:c>
      <x:c r="P19" s="23" t="n">
        <x:f>MAX(0,MIN('Activities'!L19,72)-MAX('Activities'!K19,66))</x:f>
        <x:v>0</x:v>
      </x:c>
      <x:c r="Q19" s="23" t="n">
        <x:f>MAX(0,MIN('Activities'!L19,78)-MAX('Activities'!K19,72))</x:f>
        <x:v>0</x:v>
      </x:c>
      <x:c r="R19" s="23" t="n">
        <x:f>MAX(0,MIN('Activities'!L19,84)-MAX('Activities'!K19,78))</x:f>
        <x:v>0</x:v>
      </x:c>
      <x:c r="S19" s="23" t="n">
        <x:f>MAX(0,MIN('Activities'!L19,90)-MAX('Activities'!K19,84))</x:f>
        <x:v>0</x:v>
      </x:c>
      <x:c r="T19" s="23" t="n">
        <x:f>MAX(0,MIN('Activities'!L19,96)-MAX('Activities'!K19,90))</x:f>
        <x:v>0</x:v>
      </x:c>
      <x:c r="U19" s="23" t="n">
        <x:f>MAX(0,MIN('Activities'!L19,102)-MAX('Activities'!K19,96))</x:f>
        <x:v>0</x:v>
      </x:c>
      <x:c r="V19" s="23" t="n">
        <x:f>MAX(0,MIN('Activities'!L19,108)-MAX('Activities'!K19,102))</x:f>
        <x:v>0</x:v>
      </x:c>
      <x:c r="W19" s="23" t="n">
        <x:f>MAX(0,MIN('Activities'!L19,114)-MAX('Activities'!K19,108))</x:f>
        <x:v>0</x:v>
      </x:c>
      <x:c r="X19" s="23" t="n">
        <x:f>MAX(0,MIN('Activities'!L19,120)-MAX('Activities'!K19,114))</x:f>
        <x:v>0</x:v>
      </x:c>
      <x:c r="Y19" s="23" t="n">
        <x:f>MAX(0,MIN('Activities'!L19,126)-MAX('Activities'!K19,120))</x:f>
        <x:v>0</x:v>
      </x:c>
      <x:c r="Z19" s="23" t="n">
        <x:f>MAX(0,MIN('Activities'!L19,132)-MAX('Activities'!K19,126))</x:f>
        <x:v>0</x:v>
      </x:c>
      <x:c r="AA19" s="23" t="n">
        <x:f>MAX(0,MIN('Activities'!L19,138)-MAX('Activities'!K19,132))</x:f>
        <x:v>0</x:v>
      </x:c>
      <x:c r="AB19" s="23" t="n">
        <x:f>MAX(0,MIN('Activities'!L19,144)-MAX('Activities'!K19,138))</x:f>
        <x:v>0</x:v>
      </x:c>
      <x:c r="AC19" s="23" t="n">
        <x:f>MAX(0,MIN('Activities'!L19,150)-MAX('Activities'!K19,144))</x:f>
        <x:v>3</x:v>
      </x:c>
      <x:c r="AD19" s="23" t="n">
        <x:f>MAX(0,MIN('Activities'!L19,156)-MAX('Activities'!K19,150))</x:f>
        <x:v>2</x:v>
      </x:c>
      <x:c r="AE19" s="23" t="n">
        <x:f>MAX(0,MIN('Activities'!L19,162)-MAX('Activities'!K19,156))</x:f>
        <x:v>0</x:v>
      </x:c>
      <x:c r="AF19" s="23" t="n">
        <x:f>MAX(0,MIN('Activities'!L19,168)-MAX('Activities'!K19,162))</x:f>
        <x:v>0</x:v>
      </x:c>
      <x:c r="AG19" s="23" t="n">
        <x:f>MAX(0,MIN('Activities'!L19,174)-MAX('Activities'!K19,168))</x:f>
        <x:v>0</x:v>
      </x:c>
      <x:c r="AH19" s="23" t="n">
        <x:f>MAX(0,MIN('Activities'!L19,180)-MAX('Activities'!K19,174))</x:f>
        <x:v>0</x:v>
      </x:c>
      <x:c r="AI19" s="23" t="n">
        <x:f>MAX(0,MIN('Activities'!L19,186)-MAX('Activities'!K19,180))</x:f>
        <x:v>0</x:v>
      </x:c>
      <x:c r="AJ19" s="23" t="n">
        <x:f>MAX(0,MIN('Activities'!L19,192)-MAX('Activities'!K19,186))</x:f>
        <x:v>0</x:v>
      </x:c>
      <x:c r="AK19" s="23" t="n">
        <x:f>MAX(0,MIN('Activities'!L19,198)-MAX('Activities'!K19,192))</x:f>
        <x:v>0</x:v>
      </x:c>
      <x:c r="AL19" s="23" t="n">
        <x:f>MAX(0,MIN('Activities'!L19,204)-MAX('Activities'!K19,198))</x:f>
        <x:v>0</x:v>
      </x:c>
      <x:c r="AM19" s="23" t="n">
        <x:f>MAX(0,MIN('Activities'!L19,210)-MAX('Activities'!K19,204))</x:f>
        <x:v>0</x:v>
      </x:c>
      <x:c r="AN19" s="23" t="n">
        <x:f>MAX(0,MIN('Activities'!L19,216)-MAX('Activities'!K19,210))</x:f>
        <x:v>0</x:v>
      </x:c>
      <x:c r="AO19" s="23" t="n">
        <x:f>MAX(0,MIN('Activities'!L19,222)-MAX('Activities'!K19,216))</x:f>
        <x:v>0</x:v>
      </x:c>
      <x:c r="AP19" s="23" t="n">
        <x:f>MAX(0,MIN('Activities'!L19,228)-MAX('Activities'!K19,222))</x:f>
        <x:v>0</x:v>
      </x:c>
      <x:c r="AQ19" s="23" t="n">
        <x:f>MAX(0,MIN('Activities'!L19,234)-MAX('Activities'!K19,228))</x:f>
        <x:v>0</x:v>
      </x:c>
      <x:c r="AR19" s="23" t="n">
        <x:f>MAX(0,MIN('Activities'!L19,240)-MAX('Activities'!K19,234))</x:f>
        <x:v>0</x:v>
      </x:c>
      <x:c r="AS19" s="23" t="n">
        <x:f>MAX(0,MIN('Activities'!L19,246)-MAX('Activities'!K19,240))</x:f>
        <x:v>0</x:v>
      </x:c>
      <x:c r="AT19" s="23" t="n">
        <x:f>MAX(0,MIN('Activities'!L19,252)-MAX('Activities'!K19,246))</x:f>
        <x:v>0</x:v>
      </x:c>
      <x:c r="AU19" s="23" t="n">
        <x:f>MAX(0,MIN('Activities'!L19,258)-MAX('Activities'!K19,252))</x:f>
        <x:v>0</x:v>
      </x:c>
      <x:c r="AV19" s="23" t="n">
        <x:f>MAX(0,MIN('Activities'!L19,264)-MAX('Activities'!K19,258))</x:f>
        <x:v>0</x:v>
      </x:c>
      <x:c r="AW19" s="23" t="n">
        <x:f>MAX(0,MIN('Activities'!L19,270)-MAX('Activities'!K19,264))</x:f>
        <x:v>0</x:v>
      </x:c>
      <x:c r="AX19" s="23" t="n">
        <x:f>MAX(0,MIN('Activities'!L19,276)-MAX('Activities'!K19,270))</x:f>
        <x:v>0</x:v>
      </x:c>
      <x:c r="AY19" s="23" t="n">
        <x:f>MAX(0,MIN('Activities'!L19,282)-MAX('Activities'!K19,276))</x:f>
        <x:v>0</x:v>
      </x:c>
      <x:c r="AZ19" s="23" t="n">
        <x:f>MAX(0,MIN('Activities'!L19,288)-MAX('Activities'!K19,282))</x:f>
        <x:v>0</x:v>
      </x:c>
      <x:c r="BA19" s="23" t="n">
        <x:f>MAX(0,MIN('Activities'!L19,294)-MAX('Activities'!K19,288))</x:f>
        <x:v>0</x:v>
      </x:c>
      <x:c r="BB19" s="23" t="n">
        <x:f>MAX(0,MIN('Activities'!L19,300)-MAX('Activities'!K19,294))</x:f>
        <x:v>0</x:v>
      </x:c>
      <x:c r="BC19" s="23" t="n">
        <x:f>MAX(0,MIN('Activities'!L19,306)-MAX('Activities'!K19,300))</x:f>
        <x:v>0</x:v>
      </x:c>
      <x:c r="BD19" s="23" t="n">
        <x:f>MAX(0,MIN('Activities'!L19,312)-MAX('Activities'!K19,306))</x:f>
        <x:v>0</x:v>
      </x:c>
      <x:c r="BE19" s="23" t="n">
        <x:f>MAX(0,MIN('Activities'!L19,318)-MAX('Activities'!K19,312))</x:f>
        <x:v>0</x:v>
      </x:c>
      <x:c r="BF19" s="23" t="n">
        <x:f>MAX(0,MIN('Activities'!L19,324)-MAX('Activities'!K19,318))</x:f>
        <x:v>0</x:v>
      </x:c>
      <x:c r="BG19" s="23" t="n">
        <x:f>MAX(0,MIN('Activities'!L19,330)-MAX('Activities'!K19,324))</x:f>
        <x:v>0</x:v>
      </x:c>
      <x:c r="BH19" s="23" t="n">
        <x:f>MAX(0,MIN('Activities'!L19,336)-MAX('Activities'!K19,330))</x:f>
        <x:v>0</x:v>
      </x:c>
      <x:c r="BI19" s="23" t="n">
        <x:f>MAX(0,MIN('Activities'!L19,342)-MAX('Activities'!K19,336))</x:f>
        <x:v>0</x:v>
      </x:c>
      <x:c r="BJ19" s="23" t="n">
        <x:f>MAX(0,MIN('Activities'!L19,348)-MAX('Activities'!K19,342))</x:f>
        <x:v>0</x:v>
      </x:c>
      <x:c r="BK19" s="23" t="n">
        <x:f>MAX(0,MIN('Activities'!L19,354)-MAX('Activities'!K19,348))</x:f>
        <x:v>0</x:v>
      </x:c>
      <x:c r="BL19" s="23" t="n">
        <x:f>MAX(0,MIN('Activities'!L19,360)-MAX('Activities'!K19,354))</x:f>
        <x:v>0</x:v>
      </x:c>
      <x:c r="BM19" s="23" t="n">
        <x:f>MAX(0,MIN('Activities'!L19,366)-MAX('Activities'!K19,360))</x:f>
        <x:v>0</x:v>
      </x:c>
      <x:c r="BN19" s="23" t="n">
        <x:f>MAX(0,MIN('Activities'!L19,372)-MAX('Activities'!K19,366))</x:f>
        <x:v>0</x:v>
      </x:c>
      <x:c r="BO19" s="23" t="n">
        <x:f>MAX(0,MIN('Activities'!L19,378)-MAX('Activities'!K19,372))</x:f>
        <x:v>0</x:v>
      </x:c>
      <x:c r="BP19" s="23" t="n">
        <x:f>MAX(0,MIN('Activities'!L19,384)-MAX('Activities'!K19,378))</x:f>
        <x:v>0</x:v>
      </x:c>
      <x:c r="BQ19" s="23" t="n">
        <x:f>MAX(0,MIN('Activities'!L19,390)-MAX('Activities'!K19,384))</x:f>
        <x:v>0</x:v>
      </x:c>
      <x:c r="BR19" s="23" t="n">
        <x:f>MAX(0,MIN('Activities'!L19,396)-MAX('Activities'!K19,390))</x:f>
        <x:v>0</x:v>
      </x:c>
      <x:c r="BS19" s="23" t="n">
        <x:f>MAX(0,MIN('Activities'!L19,402)-MAX('Activities'!K19,396))</x:f>
        <x:v>0</x:v>
      </x:c>
      <x:c r="BT19" s="23" t="n">
        <x:f>MAX(0,MIN('Activities'!L19,408)-MAX('Activities'!K19,402))</x:f>
        <x:v>0</x:v>
      </x:c>
      <x:c r="BU19" s="23" t="n">
        <x:f>MAX(0,MIN('Activities'!L19,414)-MAX('Activities'!K19,408))</x:f>
        <x:v>0</x:v>
      </x:c>
      <x:c r="BV19" s="23" t="n">
        <x:f>MAX(0,MIN('Activities'!L19,420)-MAX('Activities'!K19,414))</x:f>
        <x:v>0</x:v>
      </x:c>
      <x:c r="BW19" s="23" t="n">
        <x:f>MAX(0,MIN('Activities'!L19,426)-MAX('Activities'!K19,420))</x:f>
        <x:v>0</x:v>
      </x:c>
      <x:c r="BX19" s="23" t="n">
        <x:f>MAX(0,MIN('Activities'!L19,432)-MAX('Activities'!K19,426))</x:f>
        <x:v>0</x:v>
      </x:c>
      <x:c r="BY19" s="23" t="n">
        <x:f>MAX(0,MIN('Activities'!L19,438)-MAX('Activities'!K19,432))</x:f>
        <x:v>0</x:v>
      </x:c>
      <x:c r="BZ19" s="23" t="n">
        <x:f>MAX(0,MIN('Activities'!L19,444)-MAX('Activities'!K19,438))</x:f>
        <x:v>0</x:v>
      </x:c>
      <x:c r="CA19" s="23" t="n">
        <x:f>MAX(0,MIN('Activities'!L19,450)-MAX('Activities'!K19,444))</x:f>
        <x:v>0</x:v>
      </x:c>
      <x:c r="CB19" s="23" t="n">
        <x:f>MAX(0,MIN('Activities'!L19,456)-MAX('Activities'!K19,450))</x:f>
        <x:v>0</x:v>
      </x:c>
      <x:c r="CC19" s="23" t="n">
        <x:f>MAX(0,MIN('Activities'!L19,462)-MAX('Activities'!K19,456))</x:f>
        <x:v>0</x:v>
      </x:c>
      <x:c r="CD19" s="23" t="n">
        <x:f>MAX(0,MIN('Activities'!L19,468)-MAX('Activities'!K19,462))</x:f>
        <x:v>0</x:v>
      </x:c>
      <x:c r="CE19" s="23" t="n">
        <x:f>MAX(0,MIN('Activities'!L19,474)-MAX('Activities'!K19,468))</x:f>
        <x:v>0</x:v>
      </x:c>
      <x:c r="CF19" s="23" t="n">
        <x:f>MAX(0,MIN('Activities'!L19,480)-MAX('Activities'!K19,474))</x:f>
        <x:v>0</x:v>
      </x:c>
      <x:c r="CG19" s="23" t="n">
        <x:f>MAX(0,MIN('Activities'!L19,486)-MAX('Activities'!K19,480))</x:f>
        <x:v>0</x:v>
      </x:c>
      <x:c r="CH19" s="23" t="n">
        <x:f>MAX(0,MIN('Activities'!L19,492)-MAX('Activities'!K19,486))</x:f>
        <x:v>0</x:v>
      </x:c>
      <x:c r="CI19" s="23" t="n">
        <x:f>MAX(0,MIN('Activities'!L19,498)-MAX('Activities'!K19,492))</x:f>
        <x:v>0</x:v>
      </x:c>
      <x:c r="CJ19" s="23" t="n">
        <x:f>MAX(0,MIN('Activities'!L19,504)-MAX('Activities'!K19,498))</x:f>
        <x:v>0</x:v>
      </x:c>
      <x:c r="CK19" s="23" t="n">
        <x:f>MAX(0,MIN('Activities'!L19,510)-MAX('Activities'!K19,504))</x:f>
        <x:v>0</x:v>
      </x:c>
      <x:c r="CL19" s="23" t="n">
        <x:f>MAX(0,MIN('Activities'!L19,516)-MAX('Activities'!K19,510))</x:f>
        <x:v>0</x:v>
      </x:c>
      <x:c r="CM19" s="23" t="n">
        <x:f>MAX(0,MIN('Activities'!L19,522)-MAX('Activities'!K19,516))</x:f>
        <x:v>0</x:v>
      </x:c>
      <x:c r="CN19" s="23" t="n">
        <x:f>MAX(0,MIN('Activities'!L19,528)-MAX('Activities'!K19,522))</x:f>
        <x:v>0</x:v>
      </x:c>
      <x:c r="CO19" s="23" t="n">
        <x:f>MAX(0,MIN('Activities'!L19,534)-MAX('Activities'!K19,528))</x:f>
        <x:v>0</x:v>
      </x:c>
      <x:c r="CP19" s="23" t="n">
        <x:f>MAX(0,MIN('Activities'!L19,540)-MAX('Activities'!K19,534))</x:f>
        <x:v>0</x:v>
      </x:c>
      <x:c r="CQ19" s="23" t="n">
        <x:f>MAX(0,MIN('Activities'!L19,546)-MAX('Activities'!K19,540))</x:f>
        <x:v>0</x:v>
      </x:c>
      <x:c r="CR19" s="23" t="n">
        <x:f>MAX(0,MIN('Activities'!L19,552)-MAX('Activities'!K19,546))</x:f>
        <x:v>0</x:v>
      </x:c>
      <x:c r="CS19" s="23" t="n">
        <x:f>MAX(0,MIN('Activities'!L19,558)-MAX('Activities'!K19,552))</x:f>
        <x:v>0</x:v>
      </x:c>
      <x:c r="CT19" s="23" t="n">
        <x:f>MAX(0,MIN('Activities'!L19,564)-MAX('Activities'!K19,558))</x:f>
        <x:v>0</x:v>
      </x:c>
      <x:c r="CU19" s="23" t="n">
        <x:f>MAX(0,MIN('Activities'!L19,570)-MAX('Activities'!K19,564))</x:f>
        <x:v>0</x:v>
      </x:c>
      <x:c r="CV19" s="23" t="n">
        <x:f>MAX(0,MIN('Activities'!L19,576)-MAX('Activities'!K19,570))</x:f>
        <x:v>0</x:v>
      </x:c>
      <x:c r="CW19" s="23" t="n">
        <x:f>MAX(0,MIN('Activities'!L19,582)-MAX('Activities'!K19,576))</x:f>
        <x:v>0</x:v>
      </x:c>
      <x:c r="CX19" s="23" t="n">
        <x:f>MAX(0,MIN('Activities'!L19,588)-MAX('Activities'!K19,582))</x:f>
        <x:v>0</x:v>
      </x:c>
      <x:c r="CY19" s="23" t="n">
        <x:f>MAX(0,MIN('Activities'!L19,594)-MAX('Activities'!K19,588))</x:f>
        <x:v>0</x:v>
      </x:c>
      <x:c r="CZ19" s="23" t="n">
        <x:f>MAX(0,MIN('Activities'!L19,600)-MAX('Activities'!K19,594))</x:f>
        <x:v>0</x:v>
      </x:c>
      <x:c r="DA19" s="23" t="n">
        <x:f>MAX(0,MIN('Activities'!L19,606)-MAX('Activities'!K19,600))</x:f>
        <x:v>0</x:v>
      </x:c>
      <x:c r="DB19" s="23" t="n">
        <x:f>MAX(0,MIN('Activities'!L19,612)-MAX('Activities'!K19,606))</x:f>
        <x:v>0</x:v>
      </x:c>
      <x:c r="DC19" s="23" t="n">
        <x:f>MAX(0,MIN('Activities'!L19,618)-MAX('Activities'!K19,612))</x:f>
        <x:v>0</x:v>
      </x:c>
      <x:c r="DD19" s="23" t="n">
        <x:f>MAX(0,MIN('Activities'!L19,624)-MAX('Activities'!K19,618))</x:f>
        <x:v>0</x:v>
      </x:c>
      <x:c r="DE19" s="23" t="n">
        <x:f>MAX(0,MIN('Activities'!L19,630)-MAX('Activities'!K19,624))</x:f>
        <x:v>0</x:v>
      </x:c>
      <x:c r="DF19" s="23" t="n">
        <x:f>MAX(0,MIN('Activities'!L19,636)-MAX('Activities'!K19,630))</x:f>
        <x:v>0</x:v>
      </x:c>
    </x:row>
    <x:row r="20" ht="23" customHeight="1">
      <x:c r="A20" s="6" t="str">
        <x:v>T1-L01-F</x:v>
      </x:c>
      <x:c r="B20" s="6" t="str">
        <x:v>T1</x:v>
      </x:c>
      <x:c r="C20" s="6" t="str">
        <x:v>Columns, core and deck formwork</x:v>
      </x:c>
      <x:c r="D20" s="6" t="str">
        <x:v>Formwork</x:v>
      </x:c>
      <x:c r="E20" s="22" t="n">
        <x:f>MAX(0,MIN('Activities'!L20,6)-MAX('Activities'!K20,0))</x:f>
        <x:v>0</x:v>
      </x:c>
      <x:c r="F20" s="22" t="n">
        <x:f>MAX(0,MIN('Activities'!L20,12)-MAX('Activities'!K20,6))</x:f>
        <x:v>0</x:v>
      </x:c>
      <x:c r="G20" s="22" t="n">
        <x:f>MAX(0,MIN('Activities'!L20,18)-MAX('Activities'!K20,12))</x:f>
        <x:v>0</x:v>
      </x:c>
      <x:c r="H20" s="22" t="n">
        <x:f>MAX(0,MIN('Activities'!L20,24)-MAX('Activities'!K20,18))</x:f>
        <x:v>0</x:v>
      </x:c>
      <x:c r="I20" s="22" t="n">
        <x:f>MAX(0,MIN('Activities'!L20,30)-MAX('Activities'!K20,24))</x:f>
        <x:v>0</x:v>
      </x:c>
      <x:c r="J20" s="22" t="n">
        <x:f>MAX(0,MIN('Activities'!L20,36)-MAX('Activities'!K20,30))</x:f>
        <x:v>0</x:v>
      </x:c>
      <x:c r="K20" s="22" t="n">
        <x:f>MAX(0,MIN('Activities'!L20,42)-MAX('Activities'!K20,36))</x:f>
        <x:v>0</x:v>
      </x:c>
      <x:c r="L20" s="22" t="n">
        <x:f>MAX(0,MIN('Activities'!L20,48)-MAX('Activities'!K20,42))</x:f>
        <x:v>0</x:v>
      </x:c>
      <x:c r="M20" s="22" t="n">
        <x:f>MAX(0,MIN('Activities'!L20,54)-MAX('Activities'!K20,48))</x:f>
        <x:v>0</x:v>
      </x:c>
      <x:c r="N20" s="22" t="n">
        <x:f>MAX(0,MIN('Activities'!L20,60)-MAX('Activities'!K20,54))</x:f>
        <x:v>0</x:v>
      </x:c>
      <x:c r="O20" s="22" t="n">
        <x:f>MAX(0,MIN('Activities'!L20,66)-MAX('Activities'!K20,60))</x:f>
        <x:v>0</x:v>
      </x:c>
      <x:c r="P20" s="22" t="n">
        <x:f>MAX(0,MIN('Activities'!L20,72)-MAX('Activities'!K20,66))</x:f>
        <x:v>0</x:v>
      </x:c>
      <x:c r="Q20" s="22" t="n">
        <x:f>MAX(0,MIN('Activities'!L20,78)-MAX('Activities'!K20,72))</x:f>
        <x:v>0</x:v>
      </x:c>
      <x:c r="R20" s="22" t="n">
        <x:f>MAX(0,MIN('Activities'!L20,84)-MAX('Activities'!K20,78))</x:f>
        <x:v>0</x:v>
      </x:c>
      <x:c r="S20" s="22" t="n">
        <x:f>MAX(0,MIN('Activities'!L20,90)-MAX('Activities'!K20,84))</x:f>
        <x:v>0</x:v>
      </x:c>
      <x:c r="T20" s="22" t="n">
        <x:f>MAX(0,MIN('Activities'!L20,96)-MAX('Activities'!K20,90))</x:f>
        <x:v>0</x:v>
      </x:c>
      <x:c r="U20" s="22" t="n">
        <x:f>MAX(0,MIN('Activities'!L20,102)-MAX('Activities'!K20,96))</x:f>
        <x:v>0</x:v>
      </x:c>
      <x:c r="V20" s="22" t="n">
        <x:f>MAX(0,MIN('Activities'!L20,108)-MAX('Activities'!K20,102))</x:f>
        <x:v>0</x:v>
      </x:c>
      <x:c r="W20" s="22" t="n">
        <x:f>MAX(0,MIN('Activities'!L20,114)-MAX('Activities'!K20,108))</x:f>
        <x:v>0</x:v>
      </x:c>
      <x:c r="X20" s="22" t="n">
        <x:f>MAX(0,MIN('Activities'!L20,120)-MAX('Activities'!K20,114))</x:f>
        <x:v>0</x:v>
      </x:c>
      <x:c r="Y20" s="22" t="n">
        <x:f>MAX(0,MIN('Activities'!L20,126)-MAX('Activities'!K20,120))</x:f>
        <x:v>0</x:v>
      </x:c>
      <x:c r="Z20" s="22" t="n">
        <x:f>MAX(0,MIN('Activities'!L20,132)-MAX('Activities'!K20,126))</x:f>
        <x:v>0</x:v>
      </x:c>
      <x:c r="AA20" s="22" t="n">
        <x:f>MAX(0,MIN('Activities'!L20,138)-MAX('Activities'!K20,132))</x:f>
        <x:v>0</x:v>
      </x:c>
      <x:c r="AB20" s="22" t="n">
        <x:f>MAX(0,MIN('Activities'!L20,144)-MAX('Activities'!K20,138))</x:f>
        <x:v>0</x:v>
      </x:c>
      <x:c r="AC20" s="22" t="n">
        <x:f>MAX(0,MIN('Activities'!L20,150)-MAX('Activities'!K20,144))</x:f>
        <x:v>0</x:v>
      </x:c>
      <x:c r="AD20" s="22" t="n">
        <x:f>MAX(0,MIN('Activities'!L20,156)-MAX('Activities'!K20,150))</x:f>
        <x:v>4</x:v>
      </x:c>
      <x:c r="AE20" s="22" t="n">
        <x:f>MAX(0,MIN('Activities'!L20,162)-MAX('Activities'!K20,156))</x:f>
        <x:v>2</x:v>
      </x:c>
      <x:c r="AF20" s="22" t="n">
        <x:f>MAX(0,MIN('Activities'!L20,168)-MAX('Activities'!K20,162))</x:f>
        <x:v>0</x:v>
      </x:c>
      <x:c r="AG20" s="22" t="n">
        <x:f>MAX(0,MIN('Activities'!L20,174)-MAX('Activities'!K20,168))</x:f>
        <x:v>0</x:v>
      </x:c>
      <x:c r="AH20" s="22" t="n">
        <x:f>MAX(0,MIN('Activities'!L20,180)-MAX('Activities'!K20,174))</x:f>
        <x:v>0</x:v>
      </x:c>
      <x:c r="AI20" s="22" t="n">
        <x:f>MAX(0,MIN('Activities'!L20,186)-MAX('Activities'!K20,180))</x:f>
        <x:v>0</x:v>
      </x:c>
      <x:c r="AJ20" s="22" t="n">
        <x:f>MAX(0,MIN('Activities'!L20,192)-MAX('Activities'!K20,186))</x:f>
        <x:v>0</x:v>
      </x:c>
      <x:c r="AK20" s="22" t="n">
        <x:f>MAX(0,MIN('Activities'!L20,198)-MAX('Activities'!K20,192))</x:f>
        <x:v>0</x:v>
      </x:c>
      <x:c r="AL20" s="22" t="n">
        <x:f>MAX(0,MIN('Activities'!L20,204)-MAX('Activities'!K20,198))</x:f>
        <x:v>0</x:v>
      </x:c>
      <x:c r="AM20" s="22" t="n">
        <x:f>MAX(0,MIN('Activities'!L20,210)-MAX('Activities'!K20,204))</x:f>
        <x:v>0</x:v>
      </x:c>
      <x:c r="AN20" s="22" t="n">
        <x:f>MAX(0,MIN('Activities'!L20,216)-MAX('Activities'!K20,210))</x:f>
        <x:v>0</x:v>
      </x:c>
      <x:c r="AO20" s="22" t="n">
        <x:f>MAX(0,MIN('Activities'!L20,222)-MAX('Activities'!K20,216))</x:f>
        <x:v>0</x:v>
      </x:c>
      <x:c r="AP20" s="22" t="n">
        <x:f>MAX(0,MIN('Activities'!L20,228)-MAX('Activities'!K20,222))</x:f>
        <x:v>0</x:v>
      </x:c>
      <x:c r="AQ20" s="22" t="n">
        <x:f>MAX(0,MIN('Activities'!L20,234)-MAX('Activities'!K20,228))</x:f>
        <x:v>0</x:v>
      </x:c>
      <x:c r="AR20" s="22" t="n">
        <x:f>MAX(0,MIN('Activities'!L20,240)-MAX('Activities'!K20,234))</x:f>
        <x:v>0</x:v>
      </x:c>
      <x:c r="AS20" s="22" t="n">
        <x:f>MAX(0,MIN('Activities'!L20,246)-MAX('Activities'!K20,240))</x:f>
        <x:v>0</x:v>
      </x:c>
      <x:c r="AT20" s="22" t="n">
        <x:f>MAX(0,MIN('Activities'!L20,252)-MAX('Activities'!K20,246))</x:f>
        <x:v>0</x:v>
      </x:c>
      <x:c r="AU20" s="22" t="n">
        <x:f>MAX(0,MIN('Activities'!L20,258)-MAX('Activities'!K20,252))</x:f>
        <x:v>0</x:v>
      </x:c>
      <x:c r="AV20" s="22" t="n">
        <x:f>MAX(0,MIN('Activities'!L20,264)-MAX('Activities'!K20,258))</x:f>
        <x:v>0</x:v>
      </x:c>
      <x:c r="AW20" s="22" t="n">
        <x:f>MAX(0,MIN('Activities'!L20,270)-MAX('Activities'!K20,264))</x:f>
        <x:v>0</x:v>
      </x:c>
      <x:c r="AX20" s="22" t="n">
        <x:f>MAX(0,MIN('Activities'!L20,276)-MAX('Activities'!K20,270))</x:f>
        <x:v>0</x:v>
      </x:c>
      <x:c r="AY20" s="22" t="n">
        <x:f>MAX(0,MIN('Activities'!L20,282)-MAX('Activities'!K20,276))</x:f>
        <x:v>0</x:v>
      </x:c>
      <x:c r="AZ20" s="22" t="n">
        <x:f>MAX(0,MIN('Activities'!L20,288)-MAX('Activities'!K20,282))</x:f>
        <x:v>0</x:v>
      </x:c>
      <x:c r="BA20" s="22" t="n">
        <x:f>MAX(0,MIN('Activities'!L20,294)-MAX('Activities'!K20,288))</x:f>
        <x:v>0</x:v>
      </x:c>
      <x:c r="BB20" s="22" t="n">
        <x:f>MAX(0,MIN('Activities'!L20,300)-MAX('Activities'!K20,294))</x:f>
        <x:v>0</x:v>
      </x:c>
      <x:c r="BC20" s="22" t="n">
        <x:f>MAX(0,MIN('Activities'!L20,306)-MAX('Activities'!K20,300))</x:f>
        <x:v>0</x:v>
      </x:c>
      <x:c r="BD20" s="22" t="n">
        <x:f>MAX(0,MIN('Activities'!L20,312)-MAX('Activities'!K20,306))</x:f>
        <x:v>0</x:v>
      </x:c>
      <x:c r="BE20" s="22" t="n">
        <x:f>MAX(0,MIN('Activities'!L20,318)-MAX('Activities'!K20,312))</x:f>
        <x:v>0</x:v>
      </x:c>
      <x:c r="BF20" s="22" t="n">
        <x:f>MAX(0,MIN('Activities'!L20,324)-MAX('Activities'!K20,318))</x:f>
        <x:v>0</x:v>
      </x:c>
      <x:c r="BG20" s="22" t="n">
        <x:f>MAX(0,MIN('Activities'!L20,330)-MAX('Activities'!K20,324))</x:f>
        <x:v>0</x:v>
      </x:c>
      <x:c r="BH20" s="22" t="n">
        <x:f>MAX(0,MIN('Activities'!L20,336)-MAX('Activities'!K20,330))</x:f>
        <x:v>0</x:v>
      </x:c>
      <x:c r="BI20" s="22" t="n">
        <x:f>MAX(0,MIN('Activities'!L20,342)-MAX('Activities'!K20,336))</x:f>
        <x:v>0</x:v>
      </x:c>
      <x:c r="BJ20" s="22" t="n">
        <x:f>MAX(0,MIN('Activities'!L20,348)-MAX('Activities'!K20,342))</x:f>
        <x:v>0</x:v>
      </x:c>
      <x:c r="BK20" s="22" t="n">
        <x:f>MAX(0,MIN('Activities'!L20,354)-MAX('Activities'!K20,348))</x:f>
        <x:v>0</x:v>
      </x:c>
      <x:c r="BL20" s="22" t="n">
        <x:f>MAX(0,MIN('Activities'!L20,360)-MAX('Activities'!K20,354))</x:f>
        <x:v>0</x:v>
      </x:c>
      <x:c r="BM20" s="22" t="n">
        <x:f>MAX(0,MIN('Activities'!L20,366)-MAX('Activities'!K20,360))</x:f>
        <x:v>0</x:v>
      </x:c>
      <x:c r="BN20" s="22" t="n">
        <x:f>MAX(0,MIN('Activities'!L20,372)-MAX('Activities'!K20,366))</x:f>
        <x:v>0</x:v>
      </x:c>
      <x:c r="BO20" s="22" t="n">
        <x:f>MAX(0,MIN('Activities'!L20,378)-MAX('Activities'!K20,372))</x:f>
        <x:v>0</x:v>
      </x:c>
      <x:c r="BP20" s="22" t="n">
        <x:f>MAX(0,MIN('Activities'!L20,384)-MAX('Activities'!K20,378))</x:f>
        <x:v>0</x:v>
      </x:c>
      <x:c r="BQ20" s="22" t="n">
        <x:f>MAX(0,MIN('Activities'!L20,390)-MAX('Activities'!K20,384))</x:f>
        <x:v>0</x:v>
      </x:c>
      <x:c r="BR20" s="22" t="n">
        <x:f>MAX(0,MIN('Activities'!L20,396)-MAX('Activities'!K20,390))</x:f>
        <x:v>0</x:v>
      </x:c>
      <x:c r="BS20" s="22" t="n">
        <x:f>MAX(0,MIN('Activities'!L20,402)-MAX('Activities'!K20,396))</x:f>
        <x:v>0</x:v>
      </x:c>
      <x:c r="BT20" s="22" t="n">
        <x:f>MAX(0,MIN('Activities'!L20,408)-MAX('Activities'!K20,402))</x:f>
        <x:v>0</x:v>
      </x:c>
      <x:c r="BU20" s="22" t="n">
        <x:f>MAX(0,MIN('Activities'!L20,414)-MAX('Activities'!K20,408))</x:f>
        <x:v>0</x:v>
      </x:c>
      <x:c r="BV20" s="22" t="n">
        <x:f>MAX(0,MIN('Activities'!L20,420)-MAX('Activities'!K20,414))</x:f>
        <x:v>0</x:v>
      </x:c>
      <x:c r="BW20" s="22" t="n">
        <x:f>MAX(0,MIN('Activities'!L20,426)-MAX('Activities'!K20,420))</x:f>
        <x:v>0</x:v>
      </x:c>
      <x:c r="BX20" s="22" t="n">
        <x:f>MAX(0,MIN('Activities'!L20,432)-MAX('Activities'!K20,426))</x:f>
        <x:v>0</x:v>
      </x:c>
      <x:c r="BY20" s="22" t="n">
        <x:f>MAX(0,MIN('Activities'!L20,438)-MAX('Activities'!K20,432))</x:f>
        <x:v>0</x:v>
      </x:c>
      <x:c r="BZ20" s="22" t="n">
        <x:f>MAX(0,MIN('Activities'!L20,444)-MAX('Activities'!K20,438))</x:f>
        <x:v>0</x:v>
      </x:c>
      <x:c r="CA20" s="22" t="n">
        <x:f>MAX(0,MIN('Activities'!L20,450)-MAX('Activities'!K20,444))</x:f>
        <x:v>0</x:v>
      </x:c>
      <x:c r="CB20" s="22" t="n">
        <x:f>MAX(0,MIN('Activities'!L20,456)-MAX('Activities'!K20,450))</x:f>
        <x:v>0</x:v>
      </x:c>
      <x:c r="CC20" s="22" t="n">
        <x:f>MAX(0,MIN('Activities'!L20,462)-MAX('Activities'!K20,456))</x:f>
        <x:v>0</x:v>
      </x:c>
      <x:c r="CD20" s="22" t="n">
        <x:f>MAX(0,MIN('Activities'!L20,468)-MAX('Activities'!K20,462))</x:f>
        <x:v>0</x:v>
      </x:c>
      <x:c r="CE20" s="22" t="n">
        <x:f>MAX(0,MIN('Activities'!L20,474)-MAX('Activities'!K20,468))</x:f>
        <x:v>0</x:v>
      </x:c>
      <x:c r="CF20" s="22" t="n">
        <x:f>MAX(0,MIN('Activities'!L20,480)-MAX('Activities'!K20,474))</x:f>
        <x:v>0</x:v>
      </x:c>
      <x:c r="CG20" s="22" t="n">
        <x:f>MAX(0,MIN('Activities'!L20,486)-MAX('Activities'!K20,480))</x:f>
        <x:v>0</x:v>
      </x:c>
      <x:c r="CH20" s="22" t="n">
        <x:f>MAX(0,MIN('Activities'!L20,492)-MAX('Activities'!K20,486))</x:f>
        <x:v>0</x:v>
      </x:c>
      <x:c r="CI20" s="22" t="n">
        <x:f>MAX(0,MIN('Activities'!L20,498)-MAX('Activities'!K20,492))</x:f>
        <x:v>0</x:v>
      </x:c>
      <x:c r="CJ20" s="22" t="n">
        <x:f>MAX(0,MIN('Activities'!L20,504)-MAX('Activities'!K20,498))</x:f>
        <x:v>0</x:v>
      </x:c>
      <x:c r="CK20" s="22" t="n">
        <x:f>MAX(0,MIN('Activities'!L20,510)-MAX('Activities'!K20,504))</x:f>
        <x:v>0</x:v>
      </x:c>
      <x:c r="CL20" s="22" t="n">
        <x:f>MAX(0,MIN('Activities'!L20,516)-MAX('Activities'!K20,510))</x:f>
        <x:v>0</x:v>
      </x:c>
      <x:c r="CM20" s="22" t="n">
        <x:f>MAX(0,MIN('Activities'!L20,522)-MAX('Activities'!K20,516))</x:f>
        <x:v>0</x:v>
      </x:c>
      <x:c r="CN20" s="22" t="n">
        <x:f>MAX(0,MIN('Activities'!L20,528)-MAX('Activities'!K20,522))</x:f>
        <x:v>0</x:v>
      </x:c>
      <x:c r="CO20" s="22" t="n">
        <x:f>MAX(0,MIN('Activities'!L20,534)-MAX('Activities'!K20,528))</x:f>
        <x:v>0</x:v>
      </x:c>
      <x:c r="CP20" s="22" t="n">
        <x:f>MAX(0,MIN('Activities'!L20,540)-MAX('Activities'!K20,534))</x:f>
        <x:v>0</x:v>
      </x:c>
      <x:c r="CQ20" s="22" t="n">
        <x:f>MAX(0,MIN('Activities'!L20,546)-MAX('Activities'!K20,540))</x:f>
        <x:v>0</x:v>
      </x:c>
      <x:c r="CR20" s="22" t="n">
        <x:f>MAX(0,MIN('Activities'!L20,552)-MAX('Activities'!K20,546))</x:f>
        <x:v>0</x:v>
      </x:c>
      <x:c r="CS20" s="22" t="n">
        <x:f>MAX(0,MIN('Activities'!L20,558)-MAX('Activities'!K20,552))</x:f>
        <x:v>0</x:v>
      </x:c>
      <x:c r="CT20" s="22" t="n">
        <x:f>MAX(0,MIN('Activities'!L20,564)-MAX('Activities'!K20,558))</x:f>
        <x:v>0</x:v>
      </x:c>
      <x:c r="CU20" s="22" t="n">
        <x:f>MAX(0,MIN('Activities'!L20,570)-MAX('Activities'!K20,564))</x:f>
        <x:v>0</x:v>
      </x:c>
      <x:c r="CV20" s="22" t="n">
        <x:f>MAX(0,MIN('Activities'!L20,576)-MAX('Activities'!K20,570))</x:f>
        <x:v>0</x:v>
      </x:c>
      <x:c r="CW20" s="22" t="n">
        <x:f>MAX(0,MIN('Activities'!L20,582)-MAX('Activities'!K20,576))</x:f>
        <x:v>0</x:v>
      </x:c>
      <x:c r="CX20" s="22" t="n">
        <x:f>MAX(0,MIN('Activities'!L20,588)-MAX('Activities'!K20,582))</x:f>
        <x:v>0</x:v>
      </x:c>
      <x:c r="CY20" s="22" t="n">
        <x:f>MAX(0,MIN('Activities'!L20,594)-MAX('Activities'!K20,588))</x:f>
        <x:v>0</x:v>
      </x:c>
      <x:c r="CZ20" s="22" t="n">
        <x:f>MAX(0,MIN('Activities'!L20,600)-MAX('Activities'!K20,594))</x:f>
        <x:v>0</x:v>
      </x:c>
      <x:c r="DA20" s="22" t="n">
        <x:f>MAX(0,MIN('Activities'!L20,606)-MAX('Activities'!K20,600))</x:f>
        <x:v>0</x:v>
      </x:c>
      <x:c r="DB20" s="22" t="n">
        <x:f>MAX(0,MIN('Activities'!L20,612)-MAX('Activities'!K20,606))</x:f>
        <x:v>0</x:v>
      </x:c>
      <x:c r="DC20" s="22" t="n">
        <x:f>MAX(0,MIN('Activities'!L20,618)-MAX('Activities'!K20,612))</x:f>
        <x:v>0</x:v>
      </x:c>
      <x:c r="DD20" s="22" t="n">
        <x:f>MAX(0,MIN('Activities'!L20,624)-MAX('Activities'!K20,618))</x:f>
        <x:v>0</x:v>
      </x:c>
      <x:c r="DE20" s="22" t="n">
        <x:f>MAX(0,MIN('Activities'!L20,630)-MAX('Activities'!K20,624))</x:f>
        <x:v>0</x:v>
      </x:c>
      <x:c r="DF20" s="22" t="n">
        <x:f>MAX(0,MIN('Activities'!L20,636)-MAX('Activities'!K20,630))</x:f>
        <x:v>0</x:v>
      </x:c>
    </x:row>
    <x:row r="21" ht="23" customHeight="1">
      <x:c r="A21" s="1" t="str">
        <x:v>T1-L01-R</x:v>
      </x:c>
      <x:c r="B21" s="1" t="str">
        <x:v>T1</x:v>
      </x:c>
      <x:c r="C21" s="1" t="str">
        <x:v>Column, wall, beam and slab reinforcement</x:v>
      </x:c>
      <x:c r="D21" s="1" t="str">
        <x:v>Rebar</x:v>
      </x:c>
      <x:c r="E21" s="23" t="n">
        <x:f>MAX(0,MIN('Activities'!L21,6)-MAX('Activities'!K21,0))</x:f>
        <x:v>0</x:v>
      </x:c>
      <x:c r="F21" s="23" t="n">
        <x:f>MAX(0,MIN('Activities'!L21,12)-MAX('Activities'!K21,6))</x:f>
        <x:v>0</x:v>
      </x:c>
      <x:c r="G21" s="23" t="n">
        <x:f>MAX(0,MIN('Activities'!L21,18)-MAX('Activities'!K21,12))</x:f>
        <x:v>0</x:v>
      </x:c>
      <x:c r="H21" s="23" t="n">
        <x:f>MAX(0,MIN('Activities'!L21,24)-MAX('Activities'!K21,18))</x:f>
        <x:v>0</x:v>
      </x:c>
      <x:c r="I21" s="23" t="n">
        <x:f>MAX(0,MIN('Activities'!L21,30)-MAX('Activities'!K21,24))</x:f>
        <x:v>0</x:v>
      </x:c>
      <x:c r="J21" s="23" t="n">
        <x:f>MAX(0,MIN('Activities'!L21,36)-MAX('Activities'!K21,30))</x:f>
        <x:v>0</x:v>
      </x:c>
      <x:c r="K21" s="23" t="n">
        <x:f>MAX(0,MIN('Activities'!L21,42)-MAX('Activities'!K21,36))</x:f>
        <x:v>0</x:v>
      </x:c>
      <x:c r="L21" s="23" t="n">
        <x:f>MAX(0,MIN('Activities'!L21,48)-MAX('Activities'!K21,42))</x:f>
        <x:v>0</x:v>
      </x:c>
      <x:c r="M21" s="23" t="n">
        <x:f>MAX(0,MIN('Activities'!L21,54)-MAX('Activities'!K21,48))</x:f>
        <x:v>0</x:v>
      </x:c>
      <x:c r="N21" s="23" t="n">
        <x:f>MAX(0,MIN('Activities'!L21,60)-MAX('Activities'!K21,54))</x:f>
        <x:v>0</x:v>
      </x:c>
      <x:c r="O21" s="23" t="n">
        <x:f>MAX(0,MIN('Activities'!L21,66)-MAX('Activities'!K21,60))</x:f>
        <x:v>0</x:v>
      </x:c>
      <x:c r="P21" s="23" t="n">
        <x:f>MAX(0,MIN('Activities'!L21,72)-MAX('Activities'!K21,66))</x:f>
        <x:v>0</x:v>
      </x:c>
      <x:c r="Q21" s="23" t="n">
        <x:f>MAX(0,MIN('Activities'!L21,78)-MAX('Activities'!K21,72))</x:f>
        <x:v>0</x:v>
      </x:c>
      <x:c r="R21" s="23" t="n">
        <x:f>MAX(0,MIN('Activities'!L21,84)-MAX('Activities'!K21,78))</x:f>
        <x:v>0</x:v>
      </x:c>
      <x:c r="S21" s="23" t="n">
        <x:f>MAX(0,MIN('Activities'!L21,90)-MAX('Activities'!K21,84))</x:f>
        <x:v>0</x:v>
      </x:c>
      <x:c r="T21" s="23" t="n">
        <x:f>MAX(0,MIN('Activities'!L21,96)-MAX('Activities'!K21,90))</x:f>
        <x:v>0</x:v>
      </x:c>
      <x:c r="U21" s="23" t="n">
        <x:f>MAX(0,MIN('Activities'!L21,102)-MAX('Activities'!K21,96))</x:f>
        <x:v>0</x:v>
      </x:c>
      <x:c r="V21" s="23" t="n">
        <x:f>MAX(0,MIN('Activities'!L21,108)-MAX('Activities'!K21,102))</x:f>
        <x:v>0</x:v>
      </x:c>
      <x:c r="W21" s="23" t="n">
        <x:f>MAX(0,MIN('Activities'!L21,114)-MAX('Activities'!K21,108))</x:f>
        <x:v>0</x:v>
      </x:c>
      <x:c r="X21" s="23" t="n">
        <x:f>MAX(0,MIN('Activities'!L21,120)-MAX('Activities'!K21,114))</x:f>
        <x:v>0</x:v>
      </x:c>
      <x:c r="Y21" s="23" t="n">
        <x:f>MAX(0,MIN('Activities'!L21,126)-MAX('Activities'!K21,120))</x:f>
        <x:v>0</x:v>
      </x:c>
      <x:c r="Z21" s="23" t="n">
        <x:f>MAX(0,MIN('Activities'!L21,132)-MAX('Activities'!K21,126))</x:f>
        <x:v>0</x:v>
      </x:c>
      <x:c r="AA21" s="23" t="n">
        <x:f>MAX(0,MIN('Activities'!L21,138)-MAX('Activities'!K21,132))</x:f>
        <x:v>0</x:v>
      </x:c>
      <x:c r="AB21" s="23" t="n">
        <x:f>MAX(0,MIN('Activities'!L21,144)-MAX('Activities'!K21,138))</x:f>
        <x:v>0</x:v>
      </x:c>
      <x:c r="AC21" s="23" t="n">
        <x:f>MAX(0,MIN('Activities'!L21,150)-MAX('Activities'!K21,144))</x:f>
        <x:v>0</x:v>
      </x:c>
      <x:c r="AD21" s="23" t="n">
        <x:f>MAX(0,MIN('Activities'!L21,156)-MAX('Activities'!K21,150))</x:f>
        <x:v>0</x:v>
      </x:c>
      <x:c r="AE21" s="23" t="n">
        <x:f>MAX(0,MIN('Activities'!L21,162)-MAX('Activities'!K21,156))</x:f>
        <x:v>4</x:v>
      </x:c>
      <x:c r="AF21" s="23" t="n">
        <x:f>MAX(0,MIN('Activities'!L21,168)-MAX('Activities'!K21,162))</x:f>
        <x:v>1</x:v>
      </x:c>
      <x:c r="AG21" s="23" t="n">
        <x:f>MAX(0,MIN('Activities'!L21,174)-MAX('Activities'!K21,168))</x:f>
        <x:v>0</x:v>
      </x:c>
      <x:c r="AH21" s="23" t="n">
        <x:f>MAX(0,MIN('Activities'!L21,180)-MAX('Activities'!K21,174))</x:f>
        <x:v>0</x:v>
      </x:c>
      <x:c r="AI21" s="23" t="n">
        <x:f>MAX(0,MIN('Activities'!L21,186)-MAX('Activities'!K21,180))</x:f>
        <x:v>0</x:v>
      </x:c>
      <x:c r="AJ21" s="23" t="n">
        <x:f>MAX(0,MIN('Activities'!L21,192)-MAX('Activities'!K21,186))</x:f>
        <x:v>0</x:v>
      </x:c>
      <x:c r="AK21" s="23" t="n">
        <x:f>MAX(0,MIN('Activities'!L21,198)-MAX('Activities'!K21,192))</x:f>
        <x:v>0</x:v>
      </x:c>
      <x:c r="AL21" s="23" t="n">
        <x:f>MAX(0,MIN('Activities'!L21,204)-MAX('Activities'!K21,198))</x:f>
        <x:v>0</x:v>
      </x:c>
      <x:c r="AM21" s="23" t="n">
        <x:f>MAX(0,MIN('Activities'!L21,210)-MAX('Activities'!K21,204))</x:f>
        <x:v>0</x:v>
      </x:c>
      <x:c r="AN21" s="23" t="n">
        <x:f>MAX(0,MIN('Activities'!L21,216)-MAX('Activities'!K21,210))</x:f>
        <x:v>0</x:v>
      </x:c>
      <x:c r="AO21" s="23" t="n">
        <x:f>MAX(0,MIN('Activities'!L21,222)-MAX('Activities'!K21,216))</x:f>
        <x:v>0</x:v>
      </x:c>
      <x:c r="AP21" s="23" t="n">
        <x:f>MAX(0,MIN('Activities'!L21,228)-MAX('Activities'!K21,222))</x:f>
        <x:v>0</x:v>
      </x:c>
      <x:c r="AQ21" s="23" t="n">
        <x:f>MAX(0,MIN('Activities'!L21,234)-MAX('Activities'!K21,228))</x:f>
        <x:v>0</x:v>
      </x:c>
      <x:c r="AR21" s="23" t="n">
        <x:f>MAX(0,MIN('Activities'!L21,240)-MAX('Activities'!K21,234))</x:f>
        <x:v>0</x:v>
      </x:c>
      <x:c r="AS21" s="23" t="n">
        <x:f>MAX(0,MIN('Activities'!L21,246)-MAX('Activities'!K21,240))</x:f>
        <x:v>0</x:v>
      </x:c>
      <x:c r="AT21" s="23" t="n">
        <x:f>MAX(0,MIN('Activities'!L21,252)-MAX('Activities'!K21,246))</x:f>
        <x:v>0</x:v>
      </x:c>
      <x:c r="AU21" s="23" t="n">
        <x:f>MAX(0,MIN('Activities'!L21,258)-MAX('Activities'!K21,252))</x:f>
        <x:v>0</x:v>
      </x:c>
      <x:c r="AV21" s="23" t="n">
        <x:f>MAX(0,MIN('Activities'!L21,264)-MAX('Activities'!K21,258))</x:f>
        <x:v>0</x:v>
      </x:c>
      <x:c r="AW21" s="23" t="n">
        <x:f>MAX(0,MIN('Activities'!L21,270)-MAX('Activities'!K21,264))</x:f>
        <x:v>0</x:v>
      </x:c>
      <x:c r="AX21" s="23" t="n">
        <x:f>MAX(0,MIN('Activities'!L21,276)-MAX('Activities'!K21,270))</x:f>
        <x:v>0</x:v>
      </x:c>
      <x:c r="AY21" s="23" t="n">
        <x:f>MAX(0,MIN('Activities'!L21,282)-MAX('Activities'!K21,276))</x:f>
        <x:v>0</x:v>
      </x:c>
      <x:c r="AZ21" s="23" t="n">
        <x:f>MAX(0,MIN('Activities'!L21,288)-MAX('Activities'!K21,282))</x:f>
        <x:v>0</x:v>
      </x:c>
      <x:c r="BA21" s="23" t="n">
        <x:f>MAX(0,MIN('Activities'!L21,294)-MAX('Activities'!K21,288))</x:f>
        <x:v>0</x:v>
      </x:c>
      <x:c r="BB21" s="23" t="n">
        <x:f>MAX(0,MIN('Activities'!L21,300)-MAX('Activities'!K21,294))</x:f>
        <x:v>0</x:v>
      </x:c>
      <x:c r="BC21" s="23" t="n">
        <x:f>MAX(0,MIN('Activities'!L21,306)-MAX('Activities'!K21,300))</x:f>
        <x:v>0</x:v>
      </x:c>
      <x:c r="BD21" s="23" t="n">
        <x:f>MAX(0,MIN('Activities'!L21,312)-MAX('Activities'!K21,306))</x:f>
        <x:v>0</x:v>
      </x:c>
      <x:c r="BE21" s="23" t="n">
        <x:f>MAX(0,MIN('Activities'!L21,318)-MAX('Activities'!K21,312))</x:f>
        <x:v>0</x:v>
      </x:c>
      <x:c r="BF21" s="23" t="n">
        <x:f>MAX(0,MIN('Activities'!L21,324)-MAX('Activities'!K21,318))</x:f>
        <x:v>0</x:v>
      </x:c>
      <x:c r="BG21" s="23" t="n">
        <x:f>MAX(0,MIN('Activities'!L21,330)-MAX('Activities'!K21,324))</x:f>
        <x:v>0</x:v>
      </x:c>
      <x:c r="BH21" s="23" t="n">
        <x:f>MAX(0,MIN('Activities'!L21,336)-MAX('Activities'!K21,330))</x:f>
        <x:v>0</x:v>
      </x:c>
      <x:c r="BI21" s="23" t="n">
        <x:f>MAX(0,MIN('Activities'!L21,342)-MAX('Activities'!K21,336))</x:f>
        <x:v>0</x:v>
      </x:c>
      <x:c r="BJ21" s="23" t="n">
        <x:f>MAX(0,MIN('Activities'!L21,348)-MAX('Activities'!K21,342))</x:f>
        <x:v>0</x:v>
      </x:c>
      <x:c r="BK21" s="23" t="n">
        <x:f>MAX(0,MIN('Activities'!L21,354)-MAX('Activities'!K21,348))</x:f>
        <x:v>0</x:v>
      </x:c>
      <x:c r="BL21" s="23" t="n">
        <x:f>MAX(0,MIN('Activities'!L21,360)-MAX('Activities'!K21,354))</x:f>
        <x:v>0</x:v>
      </x:c>
      <x:c r="BM21" s="23" t="n">
        <x:f>MAX(0,MIN('Activities'!L21,366)-MAX('Activities'!K21,360))</x:f>
        <x:v>0</x:v>
      </x:c>
      <x:c r="BN21" s="23" t="n">
        <x:f>MAX(0,MIN('Activities'!L21,372)-MAX('Activities'!K21,366))</x:f>
        <x:v>0</x:v>
      </x:c>
      <x:c r="BO21" s="23" t="n">
        <x:f>MAX(0,MIN('Activities'!L21,378)-MAX('Activities'!K21,372))</x:f>
        <x:v>0</x:v>
      </x:c>
      <x:c r="BP21" s="23" t="n">
        <x:f>MAX(0,MIN('Activities'!L21,384)-MAX('Activities'!K21,378))</x:f>
        <x:v>0</x:v>
      </x:c>
      <x:c r="BQ21" s="23" t="n">
        <x:f>MAX(0,MIN('Activities'!L21,390)-MAX('Activities'!K21,384))</x:f>
        <x:v>0</x:v>
      </x:c>
      <x:c r="BR21" s="23" t="n">
        <x:f>MAX(0,MIN('Activities'!L21,396)-MAX('Activities'!K21,390))</x:f>
        <x:v>0</x:v>
      </x:c>
      <x:c r="BS21" s="23" t="n">
        <x:f>MAX(0,MIN('Activities'!L21,402)-MAX('Activities'!K21,396))</x:f>
        <x:v>0</x:v>
      </x:c>
      <x:c r="BT21" s="23" t="n">
        <x:f>MAX(0,MIN('Activities'!L21,408)-MAX('Activities'!K21,402))</x:f>
        <x:v>0</x:v>
      </x:c>
      <x:c r="BU21" s="23" t="n">
        <x:f>MAX(0,MIN('Activities'!L21,414)-MAX('Activities'!K21,408))</x:f>
        <x:v>0</x:v>
      </x:c>
      <x:c r="BV21" s="23" t="n">
        <x:f>MAX(0,MIN('Activities'!L21,420)-MAX('Activities'!K21,414))</x:f>
        <x:v>0</x:v>
      </x:c>
      <x:c r="BW21" s="23" t="n">
        <x:f>MAX(0,MIN('Activities'!L21,426)-MAX('Activities'!K21,420))</x:f>
        <x:v>0</x:v>
      </x:c>
      <x:c r="BX21" s="23" t="n">
        <x:f>MAX(0,MIN('Activities'!L21,432)-MAX('Activities'!K21,426))</x:f>
        <x:v>0</x:v>
      </x:c>
      <x:c r="BY21" s="23" t="n">
        <x:f>MAX(0,MIN('Activities'!L21,438)-MAX('Activities'!K21,432))</x:f>
        <x:v>0</x:v>
      </x:c>
      <x:c r="BZ21" s="23" t="n">
        <x:f>MAX(0,MIN('Activities'!L21,444)-MAX('Activities'!K21,438))</x:f>
        <x:v>0</x:v>
      </x:c>
      <x:c r="CA21" s="23" t="n">
        <x:f>MAX(0,MIN('Activities'!L21,450)-MAX('Activities'!K21,444))</x:f>
        <x:v>0</x:v>
      </x:c>
      <x:c r="CB21" s="23" t="n">
        <x:f>MAX(0,MIN('Activities'!L21,456)-MAX('Activities'!K21,450))</x:f>
        <x:v>0</x:v>
      </x:c>
      <x:c r="CC21" s="23" t="n">
        <x:f>MAX(0,MIN('Activities'!L21,462)-MAX('Activities'!K21,456))</x:f>
        <x:v>0</x:v>
      </x:c>
      <x:c r="CD21" s="23" t="n">
        <x:f>MAX(0,MIN('Activities'!L21,468)-MAX('Activities'!K21,462))</x:f>
        <x:v>0</x:v>
      </x:c>
      <x:c r="CE21" s="23" t="n">
        <x:f>MAX(0,MIN('Activities'!L21,474)-MAX('Activities'!K21,468))</x:f>
        <x:v>0</x:v>
      </x:c>
      <x:c r="CF21" s="23" t="n">
        <x:f>MAX(0,MIN('Activities'!L21,480)-MAX('Activities'!K21,474))</x:f>
        <x:v>0</x:v>
      </x:c>
      <x:c r="CG21" s="23" t="n">
        <x:f>MAX(0,MIN('Activities'!L21,486)-MAX('Activities'!K21,480))</x:f>
        <x:v>0</x:v>
      </x:c>
      <x:c r="CH21" s="23" t="n">
        <x:f>MAX(0,MIN('Activities'!L21,492)-MAX('Activities'!K21,486))</x:f>
        <x:v>0</x:v>
      </x:c>
      <x:c r="CI21" s="23" t="n">
        <x:f>MAX(0,MIN('Activities'!L21,498)-MAX('Activities'!K21,492))</x:f>
        <x:v>0</x:v>
      </x:c>
      <x:c r="CJ21" s="23" t="n">
        <x:f>MAX(0,MIN('Activities'!L21,504)-MAX('Activities'!K21,498))</x:f>
        <x:v>0</x:v>
      </x:c>
      <x:c r="CK21" s="23" t="n">
        <x:f>MAX(0,MIN('Activities'!L21,510)-MAX('Activities'!K21,504))</x:f>
        <x:v>0</x:v>
      </x:c>
      <x:c r="CL21" s="23" t="n">
        <x:f>MAX(0,MIN('Activities'!L21,516)-MAX('Activities'!K21,510))</x:f>
        <x:v>0</x:v>
      </x:c>
      <x:c r="CM21" s="23" t="n">
        <x:f>MAX(0,MIN('Activities'!L21,522)-MAX('Activities'!K21,516))</x:f>
        <x:v>0</x:v>
      </x:c>
      <x:c r="CN21" s="23" t="n">
        <x:f>MAX(0,MIN('Activities'!L21,528)-MAX('Activities'!K21,522))</x:f>
        <x:v>0</x:v>
      </x:c>
      <x:c r="CO21" s="23" t="n">
        <x:f>MAX(0,MIN('Activities'!L21,534)-MAX('Activities'!K21,528))</x:f>
        <x:v>0</x:v>
      </x:c>
      <x:c r="CP21" s="23" t="n">
        <x:f>MAX(0,MIN('Activities'!L21,540)-MAX('Activities'!K21,534))</x:f>
        <x:v>0</x:v>
      </x:c>
      <x:c r="CQ21" s="23" t="n">
        <x:f>MAX(0,MIN('Activities'!L21,546)-MAX('Activities'!K21,540))</x:f>
        <x:v>0</x:v>
      </x:c>
      <x:c r="CR21" s="23" t="n">
        <x:f>MAX(0,MIN('Activities'!L21,552)-MAX('Activities'!K21,546))</x:f>
        <x:v>0</x:v>
      </x:c>
      <x:c r="CS21" s="23" t="n">
        <x:f>MAX(0,MIN('Activities'!L21,558)-MAX('Activities'!K21,552))</x:f>
        <x:v>0</x:v>
      </x:c>
      <x:c r="CT21" s="23" t="n">
        <x:f>MAX(0,MIN('Activities'!L21,564)-MAX('Activities'!K21,558))</x:f>
        <x:v>0</x:v>
      </x:c>
      <x:c r="CU21" s="23" t="n">
        <x:f>MAX(0,MIN('Activities'!L21,570)-MAX('Activities'!K21,564))</x:f>
        <x:v>0</x:v>
      </x:c>
      <x:c r="CV21" s="23" t="n">
        <x:f>MAX(0,MIN('Activities'!L21,576)-MAX('Activities'!K21,570))</x:f>
        <x:v>0</x:v>
      </x:c>
      <x:c r="CW21" s="23" t="n">
        <x:f>MAX(0,MIN('Activities'!L21,582)-MAX('Activities'!K21,576))</x:f>
        <x:v>0</x:v>
      </x:c>
      <x:c r="CX21" s="23" t="n">
        <x:f>MAX(0,MIN('Activities'!L21,588)-MAX('Activities'!K21,582))</x:f>
        <x:v>0</x:v>
      </x:c>
      <x:c r="CY21" s="23" t="n">
        <x:f>MAX(0,MIN('Activities'!L21,594)-MAX('Activities'!K21,588))</x:f>
        <x:v>0</x:v>
      </x:c>
      <x:c r="CZ21" s="23" t="n">
        <x:f>MAX(0,MIN('Activities'!L21,600)-MAX('Activities'!K21,594))</x:f>
        <x:v>0</x:v>
      </x:c>
      <x:c r="DA21" s="23" t="n">
        <x:f>MAX(0,MIN('Activities'!L21,606)-MAX('Activities'!K21,600))</x:f>
        <x:v>0</x:v>
      </x:c>
      <x:c r="DB21" s="23" t="n">
        <x:f>MAX(0,MIN('Activities'!L21,612)-MAX('Activities'!K21,606))</x:f>
        <x:v>0</x:v>
      </x:c>
      <x:c r="DC21" s="23" t="n">
        <x:f>MAX(0,MIN('Activities'!L21,618)-MAX('Activities'!K21,612))</x:f>
        <x:v>0</x:v>
      </x:c>
      <x:c r="DD21" s="23" t="n">
        <x:f>MAX(0,MIN('Activities'!L21,624)-MAX('Activities'!K21,618))</x:f>
        <x:v>0</x:v>
      </x:c>
      <x:c r="DE21" s="23" t="n">
        <x:f>MAX(0,MIN('Activities'!L21,630)-MAX('Activities'!K21,624))</x:f>
        <x:v>0</x:v>
      </x:c>
      <x:c r="DF21" s="23" t="n">
        <x:f>MAX(0,MIN('Activities'!L21,636)-MAX('Activities'!K21,630))</x:f>
        <x:v>0</x:v>
      </x:c>
    </x:row>
    <x:row r="22" ht="23" customHeight="1">
      <x:c r="A22" s="6" t="str">
        <x:v>T1-L01-C</x:v>
      </x:c>
      <x:c r="B22" s="6" t="str">
        <x:v>T1</x:v>
      </x:c>
      <x:c r="C22" s="6" t="str">
        <x:v>Concrete placement and finishing</x:v>
      </x:c>
      <x:c r="D22" s="6" t="str">
        <x:v>Concrete</x:v>
      </x:c>
      <x:c r="E22" s="22" t="n">
        <x:f>MAX(0,MIN('Activities'!L22,6)-MAX('Activities'!K22,0))</x:f>
        <x:v>0</x:v>
      </x:c>
      <x:c r="F22" s="22" t="n">
        <x:f>MAX(0,MIN('Activities'!L22,12)-MAX('Activities'!K22,6))</x:f>
        <x:v>0</x:v>
      </x:c>
      <x:c r="G22" s="22" t="n">
        <x:f>MAX(0,MIN('Activities'!L22,18)-MAX('Activities'!K22,12))</x:f>
        <x:v>0</x:v>
      </x:c>
      <x:c r="H22" s="22" t="n">
        <x:f>MAX(0,MIN('Activities'!L22,24)-MAX('Activities'!K22,18))</x:f>
        <x:v>0</x:v>
      </x:c>
      <x:c r="I22" s="22" t="n">
        <x:f>MAX(0,MIN('Activities'!L22,30)-MAX('Activities'!K22,24))</x:f>
        <x:v>0</x:v>
      </x:c>
      <x:c r="J22" s="22" t="n">
        <x:f>MAX(0,MIN('Activities'!L22,36)-MAX('Activities'!K22,30))</x:f>
        <x:v>0</x:v>
      </x:c>
      <x:c r="K22" s="22" t="n">
        <x:f>MAX(0,MIN('Activities'!L22,42)-MAX('Activities'!K22,36))</x:f>
        <x:v>0</x:v>
      </x:c>
      <x:c r="L22" s="22" t="n">
        <x:f>MAX(0,MIN('Activities'!L22,48)-MAX('Activities'!K22,42))</x:f>
        <x:v>0</x:v>
      </x:c>
      <x:c r="M22" s="22" t="n">
        <x:f>MAX(0,MIN('Activities'!L22,54)-MAX('Activities'!K22,48))</x:f>
        <x:v>0</x:v>
      </x:c>
      <x:c r="N22" s="22" t="n">
        <x:f>MAX(0,MIN('Activities'!L22,60)-MAX('Activities'!K22,54))</x:f>
        <x:v>0</x:v>
      </x:c>
      <x:c r="O22" s="22" t="n">
        <x:f>MAX(0,MIN('Activities'!L22,66)-MAX('Activities'!K22,60))</x:f>
        <x:v>0</x:v>
      </x:c>
      <x:c r="P22" s="22" t="n">
        <x:f>MAX(0,MIN('Activities'!L22,72)-MAX('Activities'!K22,66))</x:f>
        <x:v>0</x:v>
      </x:c>
      <x:c r="Q22" s="22" t="n">
        <x:f>MAX(0,MIN('Activities'!L22,78)-MAX('Activities'!K22,72))</x:f>
        <x:v>0</x:v>
      </x:c>
      <x:c r="R22" s="22" t="n">
        <x:f>MAX(0,MIN('Activities'!L22,84)-MAX('Activities'!K22,78))</x:f>
        <x:v>0</x:v>
      </x:c>
      <x:c r="S22" s="22" t="n">
        <x:f>MAX(0,MIN('Activities'!L22,90)-MAX('Activities'!K22,84))</x:f>
        <x:v>0</x:v>
      </x:c>
      <x:c r="T22" s="22" t="n">
        <x:f>MAX(0,MIN('Activities'!L22,96)-MAX('Activities'!K22,90))</x:f>
        <x:v>0</x:v>
      </x:c>
      <x:c r="U22" s="22" t="n">
        <x:f>MAX(0,MIN('Activities'!L22,102)-MAX('Activities'!K22,96))</x:f>
        <x:v>0</x:v>
      </x:c>
      <x:c r="V22" s="22" t="n">
        <x:f>MAX(0,MIN('Activities'!L22,108)-MAX('Activities'!K22,102))</x:f>
        <x:v>0</x:v>
      </x:c>
      <x:c r="W22" s="22" t="n">
        <x:f>MAX(0,MIN('Activities'!L22,114)-MAX('Activities'!K22,108))</x:f>
        <x:v>0</x:v>
      </x:c>
      <x:c r="X22" s="22" t="n">
        <x:f>MAX(0,MIN('Activities'!L22,120)-MAX('Activities'!K22,114))</x:f>
        <x:v>0</x:v>
      </x:c>
      <x:c r="Y22" s="22" t="n">
        <x:f>MAX(0,MIN('Activities'!L22,126)-MAX('Activities'!K22,120))</x:f>
        <x:v>0</x:v>
      </x:c>
      <x:c r="Z22" s="22" t="n">
        <x:f>MAX(0,MIN('Activities'!L22,132)-MAX('Activities'!K22,126))</x:f>
        <x:v>0</x:v>
      </x:c>
      <x:c r="AA22" s="22" t="n">
        <x:f>MAX(0,MIN('Activities'!L22,138)-MAX('Activities'!K22,132))</x:f>
        <x:v>0</x:v>
      </x:c>
      <x:c r="AB22" s="22" t="n">
        <x:f>MAX(0,MIN('Activities'!L22,144)-MAX('Activities'!K22,138))</x:f>
        <x:v>0</x:v>
      </x:c>
      <x:c r="AC22" s="22" t="n">
        <x:f>MAX(0,MIN('Activities'!L22,150)-MAX('Activities'!K22,144))</x:f>
        <x:v>0</x:v>
      </x:c>
      <x:c r="AD22" s="22" t="n">
        <x:f>MAX(0,MIN('Activities'!L22,156)-MAX('Activities'!K22,150))</x:f>
        <x:v>0</x:v>
      </x:c>
      <x:c r="AE22" s="22" t="n">
        <x:f>MAX(0,MIN('Activities'!L22,162)-MAX('Activities'!K22,156))</x:f>
        <x:v>0</x:v>
      </x:c>
      <x:c r="AF22" s="22" t="n">
        <x:f>MAX(0,MIN('Activities'!L22,168)-MAX('Activities'!K22,162))</x:f>
        <x:v>2</x:v>
      </x:c>
      <x:c r="AG22" s="22" t="n">
        <x:f>MAX(0,MIN('Activities'!L22,174)-MAX('Activities'!K22,168))</x:f>
        <x:v>0</x:v>
      </x:c>
      <x:c r="AH22" s="22" t="n">
        <x:f>MAX(0,MIN('Activities'!L22,180)-MAX('Activities'!K22,174))</x:f>
        <x:v>0</x:v>
      </x:c>
      <x:c r="AI22" s="22" t="n">
        <x:f>MAX(0,MIN('Activities'!L22,186)-MAX('Activities'!K22,180))</x:f>
        <x:v>0</x:v>
      </x:c>
      <x:c r="AJ22" s="22" t="n">
        <x:f>MAX(0,MIN('Activities'!L22,192)-MAX('Activities'!K22,186))</x:f>
        <x:v>0</x:v>
      </x:c>
      <x:c r="AK22" s="22" t="n">
        <x:f>MAX(0,MIN('Activities'!L22,198)-MAX('Activities'!K22,192))</x:f>
        <x:v>0</x:v>
      </x:c>
      <x:c r="AL22" s="22" t="n">
        <x:f>MAX(0,MIN('Activities'!L22,204)-MAX('Activities'!K22,198))</x:f>
        <x:v>0</x:v>
      </x:c>
      <x:c r="AM22" s="22" t="n">
        <x:f>MAX(0,MIN('Activities'!L22,210)-MAX('Activities'!K22,204))</x:f>
        <x:v>0</x:v>
      </x:c>
      <x:c r="AN22" s="22" t="n">
        <x:f>MAX(0,MIN('Activities'!L22,216)-MAX('Activities'!K22,210))</x:f>
        <x:v>0</x:v>
      </x:c>
      <x:c r="AO22" s="22" t="n">
        <x:f>MAX(0,MIN('Activities'!L22,222)-MAX('Activities'!K22,216))</x:f>
        <x:v>0</x:v>
      </x:c>
      <x:c r="AP22" s="22" t="n">
        <x:f>MAX(0,MIN('Activities'!L22,228)-MAX('Activities'!K22,222))</x:f>
        <x:v>0</x:v>
      </x:c>
      <x:c r="AQ22" s="22" t="n">
        <x:f>MAX(0,MIN('Activities'!L22,234)-MAX('Activities'!K22,228))</x:f>
        <x:v>0</x:v>
      </x:c>
      <x:c r="AR22" s="22" t="n">
        <x:f>MAX(0,MIN('Activities'!L22,240)-MAX('Activities'!K22,234))</x:f>
        <x:v>0</x:v>
      </x:c>
      <x:c r="AS22" s="22" t="n">
        <x:f>MAX(0,MIN('Activities'!L22,246)-MAX('Activities'!K22,240))</x:f>
        <x:v>0</x:v>
      </x:c>
      <x:c r="AT22" s="22" t="n">
        <x:f>MAX(0,MIN('Activities'!L22,252)-MAX('Activities'!K22,246))</x:f>
        <x:v>0</x:v>
      </x:c>
      <x:c r="AU22" s="22" t="n">
        <x:f>MAX(0,MIN('Activities'!L22,258)-MAX('Activities'!K22,252))</x:f>
        <x:v>0</x:v>
      </x:c>
      <x:c r="AV22" s="22" t="n">
        <x:f>MAX(0,MIN('Activities'!L22,264)-MAX('Activities'!K22,258))</x:f>
        <x:v>0</x:v>
      </x:c>
      <x:c r="AW22" s="22" t="n">
        <x:f>MAX(0,MIN('Activities'!L22,270)-MAX('Activities'!K22,264))</x:f>
        <x:v>0</x:v>
      </x:c>
      <x:c r="AX22" s="22" t="n">
        <x:f>MAX(0,MIN('Activities'!L22,276)-MAX('Activities'!K22,270))</x:f>
        <x:v>0</x:v>
      </x:c>
      <x:c r="AY22" s="22" t="n">
        <x:f>MAX(0,MIN('Activities'!L22,282)-MAX('Activities'!K22,276))</x:f>
        <x:v>0</x:v>
      </x:c>
      <x:c r="AZ22" s="22" t="n">
        <x:f>MAX(0,MIN('Activities'!L22,288)-MAX('Activities'!K22,282))</x:f>
        <x:v>0</x:v>
      </x:c>
      <x:c r="BA22" s="22" t="n">
        <x:f>MAX(0,MIN('Activities'!L22,294)-MAX('Activities'!K22,288))</x:f>
        <x:v>0</x:v>
      </x:c>
      <x:c r="BB22" s="22" t="n">
        <x:f>MAX(0,MIN('Activities'!L22,300)-MAX('Activities'!K22,294))</x:f>
        <x:v>0</x:v>
      </x:c>
      <x:c r="BC22" s="22" t="n">
        <x:f>MAX(0,MIN('Activities'!L22,306)-MAX('Activities'!K22,300))</x:f>
        <x:v>0</x:v>
      </x:c>
      <x:c r="BD22" s="22" t="n">
        <x:f>MAX(0,MIN('Activities'!L22,312)-MAX('Activities'!K22,306))</x:f>
        <x:v>0</x:v>
      </x:c>
      <x:c r="BE22" s="22" t="n">
        <x:f>MAX(0,MIN('Activities'!L22,318)-MAX('Activities'!K22,312))</x:f>
        <x:v>0</x:v>
      </x:c>
      <x:c r="BF22" s="22" t="n">
        <x:f>MAX(0,MIN('Activities'!L22,324)-MAX('Activities'!K22,318))</x:f>
        <x:v>0</x:v>
      </x:c>
      <x:c r="BG22" s="22" t="n">
        <x:f>MAX(0,MIN('Activities'!L22,330)-MAX('Activities'!K22,324))</x:f>
        <x:v>0</x:v>
      </x:c>
      <x:c r="BH22" s="22" t="n">
        <x:f>MAX(0,MIN('Activities'!L22,336)-MAX('Activities'!K22,330))</x:f>
        <x:v>0</x:v>
      </x:c>
      <x:c r="BI22" s="22" t="n">
        <x:f>MAX(0,MIN('Activities'!L22,342)-MAX('Activities'!K22,336))</x:f>
        <x:v>0</x:v>
      </x:c>
      <x:c r="BJ22" s="22" t="n">
        <x:f>MAX(0,MIN('Activities'!L22,348)-MAX('Activities'!K22,342))</x:f>
        <x:v>0</x:v>
      </x:c>
      <x:c r="BK22" s="22" t="n">
        <x:f>MAX(0,MIN('Activities'!L22,354)-MAX('Activities'!K22,348))</x:f>
        <x:v>0</x:v>
      </x:c>
      <x:c r="BL22" s="22" t="n">
        <x:f>MAX(0,MIN('Activities'!L22,360)-MAX('Activities'!K22,354))</x:f>
        <x:v>0</x:v>
      </x:c>
      <x:c r="BM22" s="22" t="n">
        <x:f>MAX(0,MIN('Activities'!L22,366)-MAX('Activities'!K22,360))</x:f>
        <x:v>0</x:v>
      </x:c>
      <x:c r="BN22" s="22" t="n">
        <x:f>MAX(0,MIN('Activities'!L22,372)-MAX('Activities'!K22,366))</x:f>
        <x:v>0</x:v>
      </x:c>
      <x:c r="BO22" s="22" t="n">
        <x:f>MAX(0,MIN('Activities'!L22,378)-MAX('Activities'!K22,372))</x:f>
        <x:v>0</x:v>
      </x:c>
      <x:c r="BP22" s="22" t="n">
        <x:f>MAX(0,MIN('Activities'!L22,384)-MAX('Activities'!K22,378))</x:f>
        <x:v>0</x:v>
      </x:c>
      <x:c r="BQ22" s="22" t="n">
        <x:f>MAX(0,MIN('Activities'!L22,390)-MAX('Activities'!K22,384))</x:f>
        <x:v>0</x:v>
      </x:c>
      <x:c r="BR22" s="22" t="n">
        <x:f>MAX(0,MIN('Activities'!L22,396)-MAX('Activities'!K22,390))</x:f>
        <x:v>0</x:v>
      </x:c>
      <x:c r="BS22" s="22" t="n">
        <x:f>MAX(0,MIN('Activities'!L22,402)-MAX('Activities'!K22,396))</x:f>
        <x:v>0</x:v>
      </x:c>
      <x:c r="BT22" s="22" t="n">
        <x:f>MAX(0,MIN('Activities'!L22,408)-MAX('Activities'!K22,402))</x:f>
        <x:v>0</x:v>
      </x:c>
      <x:c r="BU22" s="22" t="n">
        <x:f>MAX(0,MIN('Activities'!L22,414)-MAX('Activities'!K22,408))</x:f>
        <x:v>0</x:v>
      </x:c>
      <x:c r="BV22" s="22" t="n">
        <x:f>MAX(0,MIN('Activities'!L22,420)-MAX('Activities'!K22,414))</x:f>
        <x:v>0</x:v>
      </x:c>
      <x:c r="BW22" s="22" t="n">
        <x:f>MAX(0,MIN('Activities'!L22,426)-MAX('Activities'!K22,420))</x:f>
        <x:v>0</x:v>
      </x:c>
      <x:c r="BX22" s="22" t="n">
        <x:f>MAX(0,MIN('Activities'!L22,432)-MAX('Activities'!K22,426))</x:f>
        <x:v>0</x:v>
      </x:c>
      <x:c r="BY22" s="22" t="n">
        <x:f>MAX(0,MIN('Activities'!L22,438)-MAX('Activities'!K22,432))</x:f>
        <x:v>0</x:v>
      </x:c>
      <x:c r="BZ22" s="22" t="n">
        <x:f>MAX(0,MIN('Activities'!L22,444)-MAX('Activities'!K22,438))</x:f>
        <x:v>0</x:v>
      </x:c>
      <x:c r="CA22" s="22" t="n">
        <x:f>MAX(0,MIN('Activities'!L22,450)-MAX('Activities'!K22,444))</x:f>
        <x:v>0</x:v>
      </x:c>
      <x:c r="CB22" s="22" t="n">
        <x:f>MAX(0,MIN('Activities'!L22,456)-MAX('Activities'!K22,450))</x:f>
        <x:v>0</x:v>
      </x:c>
      <x:c r="CC22" s="22" t="n">
        <x:f>MAX(0,MIN('Activities'!L22,462)-MAX('Activities'!K22,456))</x:f>
        <x:v>0</x:v>
      </x:c>
      <x:c r="CD22" s="22" t="n">
        <x:f>MAX(0,MIN('Activities'!L22,468)-MAX('Activities'!K22,462))</x:f>
        <x:v>0</x:v>
      </x:c>
      <x:c r="CE22" s="22" t="n">
        <x:f>MAX(0,MIN('Activities'!L22,474)-MAX('Activities'!K22,468))</x:f>
        <x:v>0</x:v>
      </x:c>
      <x:c r="CF22" s="22" t="n">
        <x:f>MAX(0,MIN('Activities'!L22,480)-MAX('Activities'!K22,474))</x:f>
        <x:v>0</x:v>
      </x:c>
      <x:c r="CG22" s="22" t="n">
        <x:f>MAX(0,MIN('Activities'!L22,486)-MAX('Activities'!K22,480))</x:f>
        <x:v>0</x:v>
      </x:c>
      <x:c r="CH22" s="22" t="n">
        <x:f>MAX(0,MIN('Activities'!L22,492)-MAX('Activities'!K22,486))</x:f>
        <x:v>0</x:v>
      </x:c>
      <x:c r="CI22" s="22" t="n">
        <x:f>MAX(0,MIN('Activities'!L22,498)-MAX('Activities'!K22,492))</x:f>
        <x:v>0</x:v>
      </x:c>
      <x:c r="CJ22" s="22" t="n">
        <x:f>MAX(0,MIN('Activities'!L22,504)-MAX('Activities'!K22,498))</x:f>
        <x:v>0</x:v>
      </x:c>
      <x:c r="CK22" s="22" t="n">
        <x:f>MAX(0,MIN('Activities'!L22,510)-MAX('Activities'!K22,504))</x:f>
        <x:v>0</x:v>
      </x:c>
      <x:c r="CL22" s="22" t="n">
        <x:f>MAX(0,MIN('Activities'!L22,516)-MAX('Activities'!K22,510))</x:f>
        <x:v>0</x:v>
      </x:c>
      <x:c r="CM22" s="22" t="n">
        <x:f>MAX(0,MIN('Activities'!L22,522)-MAX('Activities'!K22,516))</x:f>
        <x:v>0</x:v>
      </x:c>
      <x:c r="CN22" s="22" t="n">
        <x:f>MAX(0,MIN('Activities'!L22,528)-MAX('Activities'!K22,522))</x:f>
        <x:v>0</x:v>
      </x:c>
      <x:c r="CO22" s="22" t="n">
        <x:f>MAX(0,MIN('Activities'!L22,534)-MAX('Activities'!K22,528))</x:f>
        <x:v>0</x:v>
      </x:c>
      <x:c r="CP22" s="22" t="n">
        <x:f>MAX(0,MIN('Activities'!L22,540)-MAX('Activities'!K22,534))</x:f>
        <x:v>0</x:v>
      </x:c>
      <x:c r="CQ22" s="22" t="n">
        <x:f>MAX(0,MIN('Activities'!L22,546)-MAX('Activities'!K22,540))</x:f>
        <x:v>0</x:v>
      </x:c>
      <x:c r="CR22" s="22" t="n">
        <x:f>MAX(0,MIN('Activities'!L22,552)-MAX('Activities'!K22,546))</x:f>
        <x:v>0</x:v>
      </x:c>
      <x:c r="CS22" s="22" t="n">
        <x:f>MAX(0,MIN('Activities'!L22,558)-MAX('Activities'!K22,552))</x:f>
        <x:v>0</x:v>
      </x:c>
      <x:c r="CT22" s="22" t="n">
        <x:f>MAX(0,MIN('Activities'!L22,564)-MAX('Activities'!K22,558))</x:f>
        <x:v>0</x:v>
      </x:c>
      <x:c r="CU22" s="22" t="n">
        <x:f>MAX(0,MIN('Activities'!L22,570)-MAX('Activities'!K22,564))</x:f>
        <x:v>0</x:v>
      </x:c>
      <x:c r="CV22" s="22" t="n">
        <x:f>MAX(0,MIN('Activities'!L22,576)-MAX('Activities'!K22,570))</x:f>
        <x:v>0</x:v>
      </x:c>
      <x:c r="CW22" s="22" t="n">
        <x:f>MAX(0,MIN('Activities'!L22,582)-MAX('Activities'!K22,576))</x:f>
        <x:v>0</x:v>
      </x:c>
      <x:c r="CX22" s="22" t="n">
        <x:f>MAX(0,MIN('Activities'!L22,588)-MAX('Activities'!K22,582))</x:f>
        <x:v>0</x:v>
      </x:c>
      <x:c r="CY22" s="22" t="n">
        <x:f>MAX(0,MIN('Activities'!L22,594)-MAX('Activities'!K22,588))</x:f>
        <x:v>0</x:v>
      </x:c>
      <x:c r="CZ22" s="22" t="n">
        <x:f>MAX(0,MIN('Activities'!L22,600)-MAX('Activities'!K22,594))</x:f>
        <x:v>0</x:v>
      </x:c>
      <x:c r="DA22" s="22" t="n">
        <x:f>MAX(0,MIN('Activities'!L22,606)-MAX('Activities'!K22,600))</x:f>
        <x:v>0</x:v>
      </x:c>
      <x:c r="DB22" s="22" t="n">
        <x:f>MAX(0,MIN('Activities'!L22,612)-MAX('Activities'!K22,606))</x:f>
        <x:v>0</x:v>
      </x:c>
      <x:c r="DC22" s="22" t="n">
        <x:f>MAX(0,MIN('Activities'!L22,618)-MAX('Activities'!K22,612))</x:f>
        <x:v>0</x:v>
      </x:c>
      <x:c r="DD22" s="22" t="n">
        <x:f>MAX(0,MIN('Activities'!L22,624)-MAX('Activities'!K22,618))</x:f>
        <x:v>0</x:v>
      </x:c>
      <x:c r="DE22" s="22" t="n">
        <x:f>MAX(0,MIN('Activities'!L22,630)-MAX('Activities'!K22,624))</x:f>
        <x:v>0</x:v>
      </x:c>
      <x:c r="DF22" s="22" t="n">
        <x:f>MAX(0,MIN('Activities'!L22,636)-MAX('Activities'!K22,630))</x:f>
        <x:v>0</x:v>
      </x:c>
    </x:row>
    <x:row r="23" ht="23" customHeight="1">
      <x:c r="A23" s="1" t="str">
        <x:v>T1-L01-H</x:v>
      </x:c>
      <x:c r="B23" s="1" t="str">
        <x:v>T1</x:v>
      </x:c>
      <x:c r="C23" s="1" t="str">
        <x:v>Curing and release hold point</x:v>
      </x:c>
      <x:c r="D23" s="1" t="str">
        <x:v>Site</x:v>
      </x:c>
      <x:c r="E23" s="23" t="n">
        <x:f>MAX(0,MIN('Activities'!L23,6)-MAX('Activities'!K23,0))</x:f>
        <x:v>0</x:v>
      </x:c>
      <x:c r="F23" s="23" t="n">
        <x:f>MAX(0,MIN('Activities'!L23,12)-MAX('Activities'!K23,6))</x:f>
        <x:v>0</x:v>
      </x:c>
      <x:c r="G23" s="23" t="n">
        <x:f>MAX(0,MIN('Activities'!L23,18)-MAX('Activities'!K23,12))</x:f>
        <x:v>0</x:v>
      </x:c>
      <x:c r="H23" s="23" t="n">
        <x:f>MAX(0,MIN('Activities'!L23,24)-MAX('Activities'!K23,18))</x:f>
        <x:v>0</x:v>
      </x:c>
      <x:c r="I23" s="23" t="n">
        <x:f>MAX(0,MIN('Activities'!L23,30)-MAX('Activities'!K23,24))</x:f>
        <x:v>0</x:v>
      </x:c>
      <x:c r="J23" s="23" t="n">
        <x:f>MAX(0,MIN('Activities'!L23,36)-MAX('Activities'!K23,30))</x:f>
        <x:v>0</x:v>
      </x:c>
      <x:c r="K23" s="23" t="n">
        <x:f>MAX(0,MIN('Activities'!L23,42)-MAX('Activities'!K23,36))</x:f>
        <x:v>0</x:v>
      </x:c>
      <x:c r="L23" s="23" t="n">
        <x:f>MAX(0,MIN('Activities'!L23,48)-MAX('Activities'!K23,42))</x:f>
        <x:v>0</x:v>
      </x:c>
      <x:c r="M23" s="23" t="n">
        <x:f>MAX(0,MIN('Activities'!L23,54)-MAX('Activities'!K23,48))</x:f>
        <x:v>0</x:v>
      </x:c>
      <x:c r="N23" s="23" t="n">
        <x:f>MAX(0,MIN('Activities'!L23,60)-MAX('Activities'!K23,54))</x:f>
        <x:v>0</x:v>
      </x:c>
      <x:c r="O23" s="23" t="n">
        <x:f>MAX(0,MIN('Activities'!L23,66)-MAX('Activities'!K23,60))</x:f>
        <x:v>0</x:v>
      </x:c>
      <x:c r="P23" s="23" t="n">
        <x:f>MAX(0,MIN('Activities'!L23,72)-MAX('Activities'!K23,66))</x:f>
        <x:v>0</x:v>
      </x:c>
      <x:c r="Q23" s="23" t="n">
        <x:f>MAX(0,MIN('Activities'!L23,78)-MAX('Activities'!K23,72))</x:f>
        <x:v>0</x:v>
      </x:c>
      <x:c r="R23" s="23" t="n">
        <x:f>MAX(0,MIN('Activities'!L23,84)-MAX('Activities'!K23,78))</x:f>
        <x:v>0</x:v>
      </x:c>
      <x:c r="S23" s="23" t="n">
        <x:f>MAX(0,MIN('Activities'!L23,90)-MAX('Activities'!K23,84))</x:f>
        <x:v>0</x:v>
      </x:c>
      <x:c r="T23" s="23" t="n">
        <x:f>MAX(0,MIN('Activities'!L23,96)-MAX('Activities'!K23,90))</x:f>
        <x:v>0</x:v>
      </x:c>
      <x:c r="U23" s="23" t="n">
        <x:f>MAX(0,MIN('Activities'!L23,102)-MAX('Activities'!K23,96))</x:f>
        <x:v>0</x:v>
      </x:c>
      <x:c r="V23" s="23" t="n">
        <x:f>MAX(0,MIN('Activities'!L23,108)-MAX('Activities'!K23,102))</x:f>
        <x:v>0</x:v>
      </x:c>
      <x:c r="W23" s="23" t="n">
        <x:f>MAX(0,MIN('Activities'!L23,114)-MAX('Activities'!K23,108))</x:f>
        <x:v>0</x:v>
      </x:c>
      <x:c r="X23" s="23" t="n">
        <x:f>MAX(0,MIN('Activities'!L23,120)-MAX('Activities'!K23,114))</x:f>
        <x:v>0</x:v>
      </x:c>
      <x:c r="Y23" s="23" t="n">
        <x:f>MAX(0,MIN('Activities'!L23,126)-MAX('Activities'!K23,120))</x:f>
        <x:v>0</x:v>
      </x:c>
      <x:c r="Z23" s="23" t="n">
        <x:f>MAX(0,MIN('Activities'!L23,132)-MAX('Activities'!K23,126))</x:f>
        <x:v>0</x:v>
      </x:c>
      <x:c r="AA23" s="23" t="n">
        <x:f>MAX(0,MIN('Activities'!L23,138)-MAX('Activities'!K23,132))</x:f>
        <x:v>0</x:v>
      </x:c>
      <x:c r="AB23" s="23" t="n">
        <x:f>MAX(0,MIN('Activities'!L23,144)-MAX('Activities'!K23,138))</x:f>
        <x:v>0</x:v>
      </x:c>
      <x:c r="AC23" s="23" t="n">
        <x:f>MAX(0,MIN('Activities'!L23,150)-MAX('Activities'!K23,144))</x:f>
        <x:v>0</x:v>
      </x:c>
      <x:c r="AD23" s="23" t="n">
        <x:f>MAX(0,MIN('Activities'!L23,156)-MAX('Activities'!K23,150))</x:f>
        <x:v>0</x:v>
      </x:c>
      <x:c r="AE23" s="23" t="n">
        <x:f>MAX(0,MIN('Activities'!L23,162)-MAX('Activities'!K23,156))</x:f>
        <x:v>0</x:v>
      </x:c>
      <x:c r="AF23" s="23" t="n">
        <x:f>MAX(0,MIN('Activities'!L23,168)-MAX('Activities'!K23,162))</x:f>
        <x:v>3</x:v>
      </x:c>
      <x:c r="AG23" s="23" t="n">
        <x:f>MAX(0,MIN('Activities'!L23,174)-MAX('Activities'!K23,168))</x:f>
        <x:v>2</x:v>
      </x:c>
      <x:c r="AH23" s="23" t="n">
        <x:f>MAX(0,MIN('Activities'!L23,180)-MAX('Activities'!K23,174))</x:f>
        <x:v>0</x:v>
      </x:c>
      <x:c r="AI23" s="23" t="n">
        <x:f>MAX(0,MIN('Activities'!L23,186)-MAX('Activities'!K23,180))</x:f>
        <x:v>0</x:v>
      </x:c>
      <x:c r="AJ23" s="23" t="n">
        <x:f>MAX(0,MIN('Activities'!L23,192)-MAX('Activities'!K23,186))</x:f>
        <x:v>0</x:v>
      </x:c>
      <x:c r="AK23" s="23" t="n">
        <x:f>MAX(0,MIN('Activities'!L23,198)-MAX('Activities'!K23,192))</x:f>
        <x:v>0</x:v>
      </x:c>
      <x:c r="AL23" s="23" t="n">
        <x:f>MAX(0,MIN('Activities'!L23,204)-MAX('Activities'!K23,198))</x:f>
        <x:v>0</x:v>
      </x:c>
      <x:c r="AM23" s="23" t="n">
        <x:f>MAX(0,MIN('Activities'!L23,210)-MAX('Activities'!K23,204))</x:f>
        <x:v>0</x:v>
      </x:c>
      <x:c r="AN23" s="23" t="n">
        <x:f>MAX(0,MIN('Activities'!L23,216)-MAX('Activities'!K23,210))</x:f>
        <x:v>0</x:v>
      </x:c>
      <x:c r="AO23" s="23" t="n">
        <x:f>MAX(0,MIN('Activities'!L23,222)-MAX('Activities'!K23,216))</x:f>
        <x:v>0</x:v>
      </x:c>
      <x:c r="AP23" s="23" t="n">
        <x:f>MAX(0,MIN('Activities'!L23,228)-MAX('Activities'!K23,222))</x:f>
        <x:v>0</x:v>
      </x:c>
      <x:c r="AQ23" s="23" t="n">
        <x:f>MAX(0,MIN('Activities'!L23,234)-MAX('Activities'!K23,228))</x:f>
        <x:v>0</x:v>
      </x:c>
      <x:c r="AR23" s="23" t="n">
        <x:f>MAX(0,MIN('Activities'!L23,240)-MAX('Activities'!K23,234))</x:f>
        <x:v>0</x:v>
      </x:c>
      <x:c r="AS23" s="23" t="n">
        <x:f>MAX(0,MIN('Activities'!L23,246)-MAX('Activities'!K23,240))</x:f>
        <x:v>0</x:v>
      </x:c>
      <x:c r="AT23" s="23" t="n">
        <x:f>MAX(0,MIN('Activities'!L23,252)-MAX('Activities'!K23,246))</x:f>
        <x:v>0</x:v>
      </x:c>
      <x:c r="AU23" s="23" t="n">
        <x:f>MAX(0,MIN('Activities'!L23,258)-MAX('Activities'!K23,252))</x:f>
        <x:v>0</x:v>
      </x:c>
      <x:c r="AV23" s="23" t="n">
        <x:f>MAX(0,MIN('Activities'!L23,264)-MAX('Activities'!K23,258))</x:f>
        <x:v>0</x:v>
      </x:c>
      <x:c r="AW23" s="23" t="n">
        <x:f>MAX(0,MIN('Activities'!L23,270)-MAX('Activities'!K23,264))</x:f>
        <x:v>0</x:v>
      </x:c>
      <x:c r="AX23" s="23" t="n">
        <x:f>MAX(0,MIN('Activities'!L23,276)-MAX('Activities'!K23,270))</x:f>
        <x:v>0</x:v>
      </x:c>
      <x:c r="AY23" s="23" t="n">
        <x:f>MAX(0,MIN('Activities'!L23,282)-MAX('Activities'!K23,276))</x:f>
        <x:v>0</x:v>
      </x:c>
      <x:c r="AZ23" s="23" t="n">
        <x:f>MAX(0,MIN('Activities'!L23,288)-MAX('Activities'!K23,282))</x:f>
        <x:v>0</x:v>
      </x:c>
      <x:c r="BA23" s="23" t="n">
        <x:f>MAX(0,MIN('Activities'!L23,294)-MAX('Activities'!K23,288))</x:f>
        <x:v>0</x:v>
      </x:c>
      <x:c r="BB23" s="23" t="n">
        <x:f>MAX(0,MIN('Activities'!L23,300)-MAX('Activities'!K23,294))</x:f>
        <x:v>0</x:v>
      </x:c>
      <x:c r="BC23" s="23" t="n">
        <x:f>MAX(0,MIN('Activities'!L23,306)-MAX('Activities'!K23,300))</x:f>
        <x:v>0</x:v>
      </x:c>
      <x:c r="BD23" s="23" t="n">
        <x:f>MAX(0,MIN('Activities'!L23,312)-MAX('Activities'!K23,306))</x:f>
        <x:v>0</x:v>
      </x:c>
      <x:c r="BE23" s="23" t="n">
        <x:f>MAX(0,MIN('Activities'!L23,318)-MAX('Activities'!K23,312))</x:f>
        <x:v>0</x:v>
      </x:c>
      <x:c r="BF23" s="23" t="n">
        <x:f>MAX(0,MIN('Activities'!L23,324)-MAX('Activities'!K23,318))</x:f>
        <x:v>0</x:v>
      </x:c>
      <x:c r="BG23" s="23" t="n">
        <x:f>MAX(0,MIN('Activities'!L23,330)-MAX('Activities'!K23,324))</x:f>
        <x:v>0</x:v>
      </x:c>
      <x:c r="BH23" s="23" t="n">
        <x:f>MAX(0,MIN('Activities'!L23,336)-MAX('Activities'!K23,330))</x:f>
        <x:v>0</x:v>
      </x:c>
      <x:c r="BI23" s="23" t="n">
        <x:f>MAX(0,MIN('Activities'!L23,342)-MAX('Activities'!K23,336))</x:f>
        <x:v>0</x:v>
      </x:c>
      <x:c r="BJ23" s="23" t="n">
        <x:f>MAX(0,MIN('Activities'!L23,348)-MAX('Activities'!K23,342))</x:f>
        <x:v>0</x:v>
      </x:c>
      <x:c r="BK23" s="23" t="n">
        <x:f>MAX(0,MIN('Activities'!L23,354)-MAX('Activities'!K23,348))</x:f>
        <x:v>0</x:v>
      </x:c>
      <x:c r="BL23" s="23" t="n">
        <x:f>MAX(0,MIN('Activities'!L23,360)-MAX('Activities'!K23,354))</x:f>
        <x:v>0</x:v>
      </x:c>
      <x:c r="BM23" s="23" t="n">
        <x:f>MAX(0,MIN('Activities'!L23,366)-MAX('Activities'!K23,360))</x:f>
        <x:v>0</x:v>
      </x:c>
      <x:c r="BN23" s="23" t="n">
        <x:f>MAX(0,MIN('Activities'!L23,372)-MAX('Activities'!K23,366))</x:f>
        <x:v>0</x:v>
      </x:c>
      <x:c r="BO23" s="23" t="n">
        <x:f>MAX(0,MIN('Activities'!L23,378)-MAX('Activities'!K23,372))</x:f>
        <x:v>0</x:v>
      </x:c>
      <x:c r="BP23" s="23" t="n">
        <x:f>MAX(0,MIN('Activities'!L23,384)-MAX('Activities'!K23,378))</x:f>
        <x:v>0</x:v>
      </x:c>
      <x:c r="BQ23" s="23" t="n">
        <x:f>MAX(0,MIN('Activities'!L23,390)-MAX('Activities'!K23,384))</x:f>
        <x:v>0</x:v>
      </x:c>
      <x:c r="BR23" s="23" t="n">
        <x:f>MAX(0,MIN('Activities'!L23,396)-MAX('Activities'!K23,390))</x:f>
        <x:v>0</x:v>
      </x:c>
      <x:c r="BS23" s="23" t="n">
        <x:f>MAX(0,MIN('Activities'!L23,402)-MAX('Activities'!K23,396))</x:f>
        <x:v>0</x:v>
      </x:c>
      <x:c r="BT23" s="23" t="n">
        <x:f>MAX(0,MIN('Activities'!L23,408)-MAX('Activities'!K23,402))</x:f>
        <x:v>0</x:v>
      </x:c>
      <x:c r="BU23" s="23" t="n">
        <x:f>MAX(0,MIN('Activities'!L23,414)-MAX('Activities'!K23,408))</x:f>
        <x:v>0</x:v>
      </x:c>
      <x:c r="BV23" s="23" t="n">
        <x:f>MAX(0,MIN('Activities'!L23,420)-MAX('Activities'!K23,414))</x:f>
        <x:v>0</x:v>
      </x:c>
      <x:c r="BW23" s="23" t="n">
        <x:f>MAX(0,MIN('Activities'!L23,426)-MAX('Activities'!K23,420))</x:f>
        <x:v>0</x:v>
      </x:c>
      <x:c r="BX23" s="23" t="n">
        <x:f>MAX(0,MIN('Activities'!L23,432)-MAX('Activities'!K23,426))</x:f>
        <x:v>0</x:v>
      </x:c>
      <x:c r="BY23" s="23" t="n">
        <x:f>MAX(0,MIN('Activities'!L23,438)-MAX('Activities'!K23,432))</x:f>
        <x:v>0</x:v>
      </x:c>
      <x:c r="BZ23" s="23" t="n">
        <x:f>MAX(0,MIN('Activities'!L23,444)-MAX('Activities'!K23,438))</x:f>
        <x:v>0</x:v>
      </x:c>
      <x:c r="CA23" s="23" t="n">
        <x:f>MAX(0,MIN('Activities'!L23,450)-MAX('Activities'!K23,444))</x:f>
        <x:v>0</x:v>
      </x:c>
      <x:c r="CB23" s="23" t="n">
        <x:f>MAX(0,MIN('Activities'!L23,456)-MAX('Activities'!K23,450))</x:f>
        <x:v>0</x:v>
      </x:c>
      <x:c r="CC23" s="23" t="n">
        <x:f>MAX(0,MIN('Activities'!L23,462)-MAX('Activities'!K23,456))</x:f>
        <x:v>0</x:v>
      </x:c>
      <x:c r="CD23" s="23" t="n">
        <x:f>MAX(0,MIN('Activities'!L23,468)-MAX('Activities'!K23,462))</x:f>
        <x:v>0</x:v>
      </x:c>
      <x:c r="CE23" s="23" t="n">
        <x:f>MAX(0,MIN('Activities'!L23,474)-MAX('Activities'!K23,468))</x:f>
        <x:v>0</x:v>
      </x:c>
      <x:c r="CF23" s="23" t="n">
        <x:f>MAX(0,MIN('Activities'!L23,480)-MAX('Activities'!K23,474))</x:f>
        <x:v>0</x:v>
      </x:c>
      <x:c r="CG23" s="23" t="n">
        <x:f>MAX(0,MIN('Activities'!L23,486)-MAX('Activities'!K23,480))</x:f>
        <x:v>0</x:v>
      </x:c>
      <x:c r="CH23" s="23" t="n">
        <x:f>MAX(0,MIN('Activities'!L23,492)-MAX('Activities'!K23,486))</x:f>
        <x:v>0</x:v>
      </x:c>
      <x:c r="CI23" s="23" t="n">
        <x:f>MAX(0,MIN('Activities'!L23,498)-MAX('Activities'!K23,492))</x:f>
        <x:v>0</x:v>
      </x:c>
      <x:c r="CJ23" s="23" t="n">
        <x:f>MAX(0,MIN('Activities'!L23,504)-MAX('Activities'!K23,498))</x:f>
        <x:v>0</x:v>
      </x:c>
      <x:c r="CK23" s="23" t="n">
        <x:f>MAX(0,MIN('Activities'!L23,510)-MAX('Activities'!K23,504))</x:f>
        <x:v>0</x:v>
      </x:c>
      <x:c r="CL23" s="23" t="n">
        <x:f>MAX(0,MIN('Activities'!L23,516)-MAX('Activities'!K23,510))</x:f>
        <x:v>0</x:v>
      </x:c>
      <x:c r="CM23" s="23" t="n">
        <x:f>MAX(0,MIN('Activities'!L23,522)-MAX('Activities'!K23,516))</x:f>
        <x:v>0</x:v>
      </x:c>
      <x:c r="CN23" s="23" t="n">
        <x:f>MAX(0,MIN('Activities'!L23,528)-MAX('Activities'!K23,522))</x:f>
        <x:v>0</x:v>
      </x:c>
      <x:c r="CO23" s="23" t="n">
        <x:f>MAX(0,MIN('Activities'!L23,534)-MAX('Activities'!K23,528))</x:f>
        <x:v>0</x:v>
      </x:c>
      <x:c r="CP23" s="23" t="n">
        <x:f>MAX(0,MIN('Activities'!L23,540)-MAX('Activities'!K23,534))</x:f>
        <x:v>0</x:v>
      </x:c>
      <x:c r="CQ23" s="23" t="n">
        <x:f>MAX(0,MIN('Activities'!L23,546)-MAX('Activities'!K23,540))</x:f>
        <x:v>0</x:v>
      </x:c>
      <x:c r="CR23" s="23" t="n">
        <x:f>MAX(0,MIN('Activities'!L23,552)-MAX('Activities'!K23,546))</x:f>
        <x:v>0</x:v>
      </x:c>
      <x:c r="CS23" s="23" t="n">
        <x:f>MAX(0,MIN('Activities'!L23,558)-MAX('Activities'!K23,552))</x:f>
        <x:v>0</x:v>
      </x:c>
      <x:c r="CT23" s="23" t="n">
        <x:f>MAX(0,MIN('Activities'!L23,564)-MAX('Activities'!K23,558))</x:f>
        <x:v>0</x:v>
      </x:c>
      <x:c r="CU23" s="23" t="n">
        <x:f>MAX(0,MIN('Activities'!L23,570)-MAX('Activities'!K23,564))</x:f>
        <x:v>0</x:v>
      </x:c>
      <x:c r="CV23" s="23" t="n">
        <x:f>MAX(0,MIN('Activities'!L23,576)-MAX('Activities'!K23,570))</x:f>
        <x:v>0</x:v>
      </x:c>
      <x:c r="CW23" s="23" t="n">
        <x:f>MAX(0,MIN('Activities'!L23,582)-MAX('Activities'!K23,576))</x:f>
        <x:v>0</x:v>
      </x:c>
      <x:c r="CX23" s="23" t="n">
        <x:f>MAX(0,MIN('Activities'!L23,588)-MAX('Activities'!K23,582))</x:f>
        <x:v>0</x:v>
      </x:c>
      <x:c r="CY23" s="23" t="n">
        <x:f>MAX(0,MIN('Activities'!L23,594)-MAX('Activities'!K23,588))</x:f>
        <x:v>0</x:v>
      </x:c>
      <x:c r="CZ23" s="23" t="n">
        <x:f>MAX(0,MIN('Activities'!L23,600)-MAX('Activities'!K23,594))</x:f>
        <x:v>0</x:v>
      </x:c>
      <x:c r="DA23" s="23" t="n">
        <x:f>MAX(0,MIN('Activities'!L23,606)-MAX('Activities'!K23,600))</x:f>
        <x:v>0</x:v>
      </x:c>
      <x:c r="DB23" s="23" t="n">
        <x:f>MAX(0,MIN('Activities'!L23,612)-MAX('Activities'!K23,606))</x:f>
        <x:v>0</x:v>
      </x:c>
      <x:c r="DC23" s="23" t="n">
        <x:f>MAX(0,MIN('Activities'!L23,618)-MAX('Activities'!K23,612))</x:f>
        <x:v>0</x:v>
      </x:c>
      <x:c r="DD23" s="23" t="n">
        <x:f>MAX(0,MIN('Activities'!L23,624)-MAX('Activities'!K23,618))</x:f>
        <x:v>0</x:v>
      </x:c>
      <x:c r="DE23" s="23" t="n">
        <x:f>MAX(0,MIN('Activities'!L23,630)-MAX('Activities'!K23,624))</x:f>
        <x:v>0</x:v>
      </x:c>
      <x:c r="DF23" s="23" t="n">
        <x:f>MAX(0,MIN('Activities'!L23,636)-MAX('Activities'!K23,630))</x:f>
        <x:v>0</x:v>
      </x:c>
    </x:row>
    <x:row r="24" ht="23" customHeight="1">
      <x:c r="A24" s="6" t="str">
        <x:v>T1-L02-F</x:v>
      </x:c>
      <x:c r="B24" s="6" t="str">
        <x:v>T1</x:v>
      </x:c>
      <x:c r="C24" s="6" t="str">
        <x:v>Columns, core and deck formwork</x:v>
      </x:c>
      <x:c r="D24" s="6" t="str">
        <x:v>Formwork</x:v>
      </x:c>
      <x:c r="E24" s="22" t="n">
        <x:f>MAX(0,MIN('Activities'!L24,6)-MAX('Activities'!K24,0))</x:f>
        <x:v>0</x:v>
      </x:c>
      <x:c r="F24" s="22" t="n">
        <x:f>MAX(0,MIN('Activities'!L24,12)-MAX('Activities'!K24,6))</x:f>
        <x:v>0</x:v>
      </x:c>
      <x:c r="G24" s="22" t="n">
        <x:f>MAX(0,MIN('Activities'!L24,18)-MAX('Activities'!K24,12))</x:f>
        <x:v>0</x:v>
      </x:c>
      <x:c r="H24" s="22" t="n">
        <x:f>MAX(0,MIN('Activities'!L24,24)-MAX('Activities'!K24,18))</x:f>
        <x:v>0</x:v>
      </x:c>
      <x:c r="I24" s="22" t="n">
        <x:f>MAX(0,MIN('Activities'!L24,30)-MAX('Activities'!K24,24))</x:f>
        <x:v>0</x:v>
      </x:c>
      <x:c r="J24" s="22" t="n">
        <x:f>MAX(0,MIN('Activities'!L24,36)-MAX('Activities'!K24,30))</x:f>
        <x:v>0</x:v>
      </x:c>
      <x:c r="K24" s="22" t="n">
        <x:f>MAX(0,MIN('Activities'!L24,42)-MAX('Activities'!K24,36))</x:f>
        <x:v>0</x:v>
      </x:c>
      <x:c r="L24" s="22" t="n">
        <x:f>MAX(0,MIN('Activities'!L24,48)-MAX('Activities'!K24,42))</x:f>
        <x:v>0</x:v>
      </x:c>
      <x:c r="M24" s="22" t="n">
        <x:f>MAX(0,MIN('Activities'!L24,54)-MAX('Activities'!K24,48))</x:f>
        <x:v>0</x:v>
      </x:c>
      <x:c r="N24" s="22" t="n">
        <x:f>MAX(0,MIN('Activities'!L24,60)-MAX('Activities'!K24,54))</x:f>
        <x:v>0</x:v>
      </x:c>
      <x:c r="O24" s="22" t="n">
        <x:f>MAX(0,MIN('Activities'!L24,66)-MAX('Activities'!K24,60))</x:f>
        <x:v>0</x:v>
      </x:c>
      <x:c r="P24" s="22" t="n">
        <x:f>MAX(0,MIN('Activities'!L24,72)-MAX('Activities'!K24,66))</x:f>
        <x:v>0</x:v>
      </x:c>
      <x:c r="Q24" s="22" t="n">
        <x:f>MAX(0,MIN('Activities'!L24,78)-MAX('Activities'!K24,72))</x:f>
        <x:v>0</x:v>
      </x:c>
      <x:c r="R24" s="22" t="n">
        <x:f>MAX(0,MIN('Activities'!L24,84)-MAX('Activities'!K24,78))</x:f>
        <x:v>0</x:v>
      </x:c>
      <x:c r="S24" s="22" t="n">
        <x:f>MAX(0,MIN('Activities'!L24,90)-MAX('Activities'!K24,84))</x:f>
        <x:v>0</x:v>
      </x:c>
      <x:c r="T24" s="22" t="n">
        <x:f>MAX(0,MIN('Activities'!L24,96)-MAX('Activities'!K24,90))</x:f>
        <x:v>0</x:v>
      </x:c>
      <x:c r="U24" s="22" t="n">
        <x:f>MAX(0,MIN('Activities'!L24,102)-MAX('Activities'!K24,96))</x:f>
        <x:v>0</x:v>
      </x:c>
      <x:c r="V24" s="22" t="n">
        <x:f>MAX(0,MIN('Activities'!L24,108)-MAX('Activities'!K24,102))</x:f>
        <x:v>0</x:v>
      </x:c>
      <x:c r="W24" s="22" t="n">
        <x:f>MAX(0,MIN('Activities'!L24,114)-MAX('Activities'!K24,108))</x:f>
        <x:v>0</x:v>
      </x:c>
      <x:c r="X24" s="22" t="n">
        <x:f>MAX(0,MIN('Activities'!L24,120)-MAX('Activities'!K24,114))</x:f>
        <x:v>0</x:v>
      </x:c>
      <x:c r="Y24" s="22" t="n">
        <x:f>MAX(0,MIN('Activities'!L24,126)-MAX('Activities'!K24,120))</x:f>
        <x:v>0</x:v>
      </x:c>
      <x:c r="Z24" s="22" t="n">
        <x:f>MAX(0,MIN('Activities'!L24,132)-MAX('Activities'!K24,126))</x:f>
        <x:v>0</x:v>
      </x:c>
      <x:c r="AA24" s="22" t="n">
        <x:f>MAX(0,MIN('Activities'!L24,138)-MAX('Activities'!K24,132))</x:f>
        <x:v>0</x:v>
      </x:c>
      <x:c r="AB24" s="22" t="n">
        <x:f>MAX(0,MIN('Activities'!L24,144)-MAX('Activities'!K24,138))</x:f>
        <x:v>0</x:v>
      </x:c>
      <x:c r="AC24" s="22" t="n">
        <x:f>MAX(0,MIN('Activities'!L24,150)-MAX('Activities'!K24,144))</x:f>
        <x:v>0</x:v>
      </x:c>
      <x:c r="AD24" s="22" t="n">
        <x:f>MAX(0,MIN('Activities'!L24,156)-MAX('Activities'!K24,150))</x:f>
        <x:v>0</x:v>
      </x:c>
      <x:c r="AE24" s="22" t="n">
        <x:f>MAX(0,MIN('Activities'!L24,162)-MAX('Activities'!K24,156))</x:f>
        <x:v>0</x:v>
      </x:c>
      <x:c r="AF24" s="22" t="n">
        <x:f>MAX(0,MIN('Activities'!L24,168)-MAX('Activities'!K24,162))</x:f>
        <x:v>0</x:v>
      </x:c>
      <x:c r="AG24" s="22" t="n">
        <x:f>MAX(0,MIN('Activities'!L24,174)-MAX('Activities'!K24,168))</x:f>
        <x:v>4</x:v>
      </x:c>
      <x:c r="AH24" s="22" t="n">
        <x:f>MAX(0,MIN('Activities'!L24,180)-MAX('Activities'!K24,174))</x:f>
        <x:v>2</x:v>
      </x:c>
      <x:c r="AI24" s="22" t="n">
        <x:f>MAX(0,MIN('Activities'!L24,186)-MAX('Activities'!K24,180))</x:f>
        <x:v>0</x:v>
      </x:c>
      <x:c r="AJ24" s="22" t="n">
        <x:f>MAX(0,MIN('Activities'!L24,192)-MAX('Activities'!K24,186))</x:f>
        <x:v>0</x:v>
      </x:c>
      <x:c r="AK24" s="22" t="n">
        <x:f>MAX(0,MIN('Activities'!L24,198)-MAX('Activities'!K24,192))</x:f>
        <x:v>0</x:v>
      </x:c>
      <x:c r="AL24" s="22" t="n">
        <x:f>MAX(0,MIN('Activities'!L24,204)-MAX('Activities'!K24,198))</x:f>
        <x:v>0</x:v>
      </x:c>
      <x:c r="AM24" s="22" t="n">
        <x:f>MAX(0,MIN('Activities'!L24,210)-MAX('Activities'!K24,204))</x:f>
        <x:v>0</x:v>
      </x:c>
      <x:c r="AN24" s="22" t="n">
        <x:f>MAX(0,MIN('Activities'!L24,216)-MAX('Activities'!K24,210))</x:f>
        <x:v>0</x:v>
      </x:c>
      <x:c r="AO24" s="22" t="n">
        <x:f>MAX(0,MIN('Activities'!L24,222)-MAX('Activities'!K24,216))</x:f>
        <x:v>0</x:v>
      </x:c>
      <x:c r="AP24" s="22" t="n">
        <x:f>MAX(0,MIN('Activities'!L24,228)-MAX('Activities'!K24,222))</x:f>
        <x:v>0</x:v>
      </x:c>
      <x:c r="AQ24" s="22" t="n">
        <x:f>MAX(0,MIN('Activities'!L24,234)-MAX('Activities'!K24,228))</x:f>
        <x:v>0</x:v>
      </x:c>
      <x:c r="AR24" s="22" t="n">
        <x:f>MAX(0,MIN('Activities'!L24,240)-MAX('Activities'!K24,234))</x:f>
        <x:v>0</x:v>
      </x:c>
      <x:c r="AS24" s="22" t="n">
        <x:f>MAX(0,MIN('Activities'!L24,246)-MAX('Activities'!K24,240))</x:f>
        <x:v>0</x:v>
      </x:c>
      <x:c r="AT24" s="22" t="n">
        <x:f>MAX(0,MIN('Activities'!L24,252)-MAX('Activities'!K24,246))</x:f>
        <x:v>0</x:v>
      </x:c>
      <x:c r="AU24" s="22" t="n">
        <x:f>MAX(0,MIN('Activities'!L24,258)-MAX('Activities'!K24,252))</x:f>
        <x:v>0</x:v>
      </x:c>
      <x:c r="AV24" s="22" t="n">
        <x:f>MAX(0,MIN('Activities'!L24,264)-MAX('Activities'!K24,258))</x:f>
        <x:v>0</x:v>
      </x:c>
      <x:c r="AW24" s="22" t="n">
        <x:f>MAX(0,MIN('Activities'!L24,270)-MAX('Activities'!K24,264))</x:f>
        <x:v>0</x:v>
      </x:c>
      <x:c r="AX24" s="22" t="n">
        <x:f>MAX(0,MIN('Activities'!L24,276)-MAX('Activities'!K24,270))</x:f>
        <x:v>0</x:v>
      </x:c>
      <x:c r="AY24" s="22" t="n">
        <x:f>MAX(0,MIN('Activities'!L24,282)-MAX('Activities'!K24,276))</x:f>
        <x:v>0</x:v>
      </x:c>
      <x:c r="AZ24" s="22" t="n">
        <x:f>MAX(0,MIN('Activities'!L24,288)-MAX('Activities'!K24,282))</x:f>
        <x:v>0</x:v>
      </x:c>
      <x:c r="BA24" s="22" t="n">
        <x:f>MAX(0,MIN('Activities'!L24,294)-MAX('Activities'!K24,288))</x:f>
        <x:v>0</x:v>
      </x:c>
      <x:c r="BB24" s="22" t="n">
        <x:f>MAX(0,MIN('Activities'!L24,300)-MAX('Activities'!K24,294))</x:f>
        <x:v>0</x:v>
      </x:c>
      <x:c r="BC24" s="22" t="n">
        <x:f>MAX(0,MIN('Activities'!L24,306)-MAX('Activities'!K24,300))</x:f>
        <x:v>0</x:v>
      </x:c>
      <x:c r="BD24" s="22" t="n">
        <x:f>MAX(0,MIN('Activities'!L24,312)-MAX('Activities'!K24,306))</x:f>
        <x:v>0</x:v>
      </x:c>
      <x:c r="BE24" s="22" t="n">
        <x:f>MAX(0,MIN('Activities'!L24,318)-MAX('Activities'!K24,312))</x:f>
        <x:v>0</x:v>
      </x:c>
      <x:c r="BF24" s="22" t="n">
        <x:f>MAX(0,MIN('Activities'!L24,324)-MAX('Activities'!K24,318))</x:f>
        <x:v>0</x:v>
      </x:c>
      <x:c r="BG24" s="22" t="n">
        <x:f>MAX(0,MIN('Activities'!L24,330)-MAX('Activities'!K24,324))</x:f>
        <x:v>0</x:v>
      </x:c>
      <x:c r="BH24" s="22" t="n">
        <x:f>MAX(0,MIN('Activities'!L24,336)-MAX('Activities'!K24,330))</x:f>
        <x:v>0</x:v>
      </x:c>
      <x:c r="BI24" s="22" t="n">
        <x:f>MAX(0,MIN('Activities'!L24,342)-MAX('Activities'!K24,336))</x:f>
        <x:v>0</x:v>
      </x:c>
      <x:c r="BJ24" s="22" t="n">
        <x:f>MAX(0,MIN('Activities'!L24,348)-MAX('Activities'!K24,342))</x:f>
        <x:v>0</x:v>
      </x:c>
      <x:c r="BK24" s="22" t="n">
        <x:f>MAX(0,MIN('Activities'!L24,354)-MAX('Activities'!K24,348))</x:f>
        <x:v>0</x:v>
      </x:c>
      <x:c r="BL24" s="22" t="n">
        <x:f>MAX(0,MIN('Activities'!L24,360)-MAX('Activities'!K24,354))</x:f>
        <x:v>0</x:v>
      </x:c>
      <x:c r="BM24" s="22" t="n">
        <x:f>MAX(0,MIN('Activities'!L24,366)-MAX('Activities'!K24,360))</x:f>
        <x:v>0</x:v>
      </x:c>
      <x:c r="BN24" s="22" t="n">
        <x:f>MAX(0,MIN('Activities'!L24,372)-MAX('Activities'!K24,366))</x:f>
        <x:v>0</x:v>
      </x:c>
      <x:c r="BO24" s="22" t="n">
        <x:f>MAX(0,MIN('Activities'!L24,378)-MAX('Activities'!K24,372))</x:f>
        <x:v>0</x:v>
      </x:c>
      <x:c r="BP24" s="22" t="n">
        <x:f>MAX(0,MIN('Activities'!L24,384)-MAX('Activities'!K24,378))</x:f>
        <x:v>0</x:v>
      </x:c>
      <x:c r="BQ24" s="22" t="n">
        <x:f>MAX(0,MIN('Activities'!L24,390)-MAX('Activities'!K24,384))</x:f>
        <x:v>0</x:v>
      </x:c>
      <x:c r="BR24" s="22" t="n">
        <x:f>MAX(0,MIN('Activities'!L24,396)-MAX('Activities'!K24,390))</x:f>
        <x:v>0</x:v>
      </x:c>
      <x:c r="BS24" s="22" t="n">
        <x:f>MAX(0,MIN('Activities'!L24,402)-MAX('Activities'!K24,396))</x:f>
        <x:v>0</x:v>
      </x:c>
      <x:c r="BT24" s="22" t="n">
        <x:f>MAX(0,MIN('Activities'!L24,408)-MAX('Activities'!K24,402))</x:f>
        <x:v>0</x:v>
      </x:c>
      <x:c r="BU24" s="22" t="n">
        <x:f>MAX(0,MIN('Activities'!L24,414)-MAX('Activities'!K24,408))</x:f>
        <x:v>0</x:v>
      </x:c>
      <x:c r="BV24" s="22" t="n">
        <x:f>MAX(0,MIN('Activities'!L24,420)-MAX('Activities'!K24,414))</x:f>
        <x:v>0</x:v>
      </x:c>
      <x:c r="BW24" s="22" t="n">
        <x:f>MAX(0,MIN('Activities'!L24,426)-MAX('Activities'!K24,420))</x:f>
        <x:v>0</x:v>
      </x:c>
      <x:c r="BX24" s="22" t="n">
        <x:f>MAX(0,MIN('Activities'!L24,432)-MAX('Activities'!K24,426))</x:f>
        <x:v>0</x:v>
      </x:c>
      <x:c r="BY24" s="22" t="n">
        <x:f>MAX(0,MIN('Activities'!L24,438)-MAX('Activities'!K24,432))</x:f>
        <x:v>0</x:v>
      </x:c>
      <x:c r="BZ24" s="22" t="n">
        <x:f>MAX(0,MIN('Activities'!L24,444)-MAX('Activities'!K24,438))</x:f>
        <x:v>0</x:v>
      </x:c>
      <x:c r="CA24" s="22" t="n">
        <x:f>MAX(0,MIN('Activities'!L24,450)-MAX('Activities'!K24,444))</x:f>
        <x:v>0</x:v>
      </x:c>
      <x:c r="CB24" s="22" t="n">
        <x:f>MAX(0,MIN('Activities'!L24,456)-MAX('Activities'!K24,450))</x:f>
        <x:v>0</x:v>
      </x:c>
      <x:c r="CC24" s="22" t="n">
        <x:f>MAX(0,MIN('Activities'!L24,462)-MAX('Activities'!K24,456))</x:f>
        <x:v>0</x:v>
      </x:c>
      <x:c r="CD24" s="22" t="n">
        <x:f>MAX(0,MIN('Activities'!L24,468)-MAX('Activities'!K24,462))</x:f>
        <x:v>0</x:v>
      </x:c>
      <x:c r="CE24" s="22" t="n">
        <x:f>MAX(0,MIN('Activities'!L24,474)-MAX('Activities'!K24,468))</x:f>
        <x:v>0</x:v>
      </x:c>
      <x:c r="CF24" s="22" t="n">
        <x:f>MAX(0,MIN('Activities'!L24,480)-MAX('Activities'!K24,474))</x:f>
        <x:v>0</x:v>
      </x:c>
      <x:c r="CG24" s="22" t="n">
        <x:f>MAX(0,MIN('Activities'!L24,486)-MAX('Activities'!K24,480))</x:f>
        <x:v>0</x:v>
      </x:c>
      <x:c r="CH24" s="22" t="n">
        <x:f>MAX(0,MIN('Activities'!L24,492)-MAX('Activities'!K24,486))</x:f>
        <x:v>0</x:v>
      </x:c>
      <x:c r="CI24" s="22" t="n">
        <x:f>MAX(0,MIN('Activities'!L24,498)-MAX('Activities'!K24,492))</x:f>
        <x:v>0</x:v>
      </x:c>
      <x:c r="CJ24" s="22" t="n">
        <x:f>MAX(0,MIN('Activities'!L24,504)-MAX('Activities'!K24,498))</x:f>
        <x:v>0</x:v>
      </x:c>
      <x:c r="CK24" s="22" t="n">
        <x:f>MAX(0,MIN('Activities'!L24,510)-MAX('Activities'!K24,504))</x:f>
        <x:v>0</x:v>
      </x:c>
      <x:c r="CL24" s="22" t="n">
        <x:f>MAX(0,MIN('Activities'!L24,516)-MAX('Activities'!K24,510))</x:f>
        <x:v>0</x:v>
      </x:c>
      <x:c r="CM24" s="22" t="n">
        <x:f>MAX(0,MIN('Activities'!L24,522)-MAX('Activities'!K24,516))</x:f>
        <x:v>0</x:v>
      </x:c>
      <x:c r="CN24" s="22" t="n">
        <x:f>MAX(0,MIN('Activities'!L24,528)-MAX('Activities'!K24,522))</x:f>
        <x:v>0</x:v>
      </x:c>
      <x:c r="CO24" s="22" t="n">
        <x:f>MAX(0,MIN('Activities'!L24,534)-MAX('Activities'!K24,528))</x:f>
        <x:v>0</x:v>
      </x:c>
      <x:c r="CP24" s="22" t="n">
        <x:f>MAX(0,MIN('Activities'!L24,540)-MAX('Activities'!K24,534))</x:f>
        <x:v>0</x:v>
      </x:c>
      <x:c r="CQ24" s="22" t="n">
        <x:f>MAX(0,MIN('Activities'!L24,546)-MAX('Activities'!K24,540))</x:f>
        <x:v>0</x:v>
      </x:c>
      <x:c r="CR24" s="22" t="n">
        <x:f>MAX(0,MIN('Activities'!L24,552)-MAX('Activities'!K24,546))</x:f>
        <x:v>0</x:v>
      </x:c>
      <x:c r="CS24" s="22" t="n">
        <x:f>MAX(0,MIN('Activities'!L24,558)-MAX('Activities'!K24,552))</x:f>
        <x:v>0</x:v>
      </x:c>
      <x:c r="CT24" s="22" t="n">
        <x:f>MAX(0,MIN('Activities'!L24,564)-MAX('Activities'!K24,558))</x:f>
        <x:v>0</x:v>
      </x:c>
      <x:c r="CU24" s="22" t="n">
        <x:f>MAX(0,MIN('Activities'!L24,570)-MAX('Activities'!K24,564))</x:f>
        <x:v>0</x:v>
      </x:c>
      <x:c r="CV24" s="22" t="n">
        <x:f>MAX(0,MIN('Activities'!L24,576)-MAX('Activities'!K24,570))</x:f>
        <x:v>0</x:v>
      </x:c>
      <x:c r="CW24" s="22" t="n">
        <x:f>MAX(0,MIN('Activities'!L24,582)-MAX('Activities'!K24,576))</x:f>
        <x:v>0</x:v>
      </x:c>
      <x:c r="CX24" s="22" t="n">
        <x:f>MAX(0,MIN('Activities'!L24,588)-MAX('Activities'!K24,582))</x:f>
        <x:v>0</x:v>
      </x:c>
      <x:c r="CY24" s="22" t="n">
        <x:f>MAX(0,MIN('Activities'!L24,594)-MAX('Activities'!K24,588))</x:f>
        <x:v>0</x:v>
      </x:c>
      <x:c r="CZ24" s="22" t="n">
        <x:f>MAX(0,MIN('Activities'!L24,600)-MAX('Activities'!K24,594))</x:f>
        <x:v>0</x:v>
      </x:c>
      <x:c r="DA24" s="22" t="n">
        <x:f>MAX(0,MIN('Activities'!L24,606)-MAX('Activities'!K24,600))</x:f>
        <x:v>0</x:v>
      </x:c>
      <x:c r="DB24" s="22" t="n">
        <x:f>MAX(0,MIN('Activities'!L24,612)-MAX('Activities'!K24,606))</x:f>
        <x:v>0</x:v>
      </x:c>
      <x:c r="DC24" s="22" t="n">
        <x:f>MAX(0,MIN('Activities'!L24,618)-MAX('Activities'!K24,612))</x:f>
        <x:v>0</x:v>
      </x:c>
      <x:c r="DD24" s="22" t="n">
        <x:f>MAX(0,MIN('Activities'!L24,624)-MAX('Activities'!K24,618))</x:f>
        <x:v>0</x:v>
      </x:c>
      <x:c r="DE24" s="22" t="n">
        <x:f>MAX(0,MIN('Activities'!L24,630)-MAX('Activities'!K24,624))</x:f>
        <x:v>0</x:v>
      </x:c>
      <x:c r="DF24" s="22" t="n">
        <x:f>MAX(0,MIN('Activities'!L24,636)-MAX('Activities'!K24,630))</x:f>
        <x:v>0</x:v>
      </x:c>
    </x:row>
    <x:row r="25" ht="23" customHeight="1">
      <x:c r="A25" s="1" t="str">
        <x:v>T1-L02-R</x:v>
      </x:c>
      <x:c r="B25" s="1" t="str">
        <x:v>T1</x:v>
      </x:c>
      <x:c r="C25" s="1" t="str">
        <x:v>Column, wall, beam and slab reinforcement</x:v>
      </x:c>
      <x:c r="D25" s="1" t="str">
        <x:v>Rebar</x:v>
      </x:c>
      <x:c r="E25" s="23" t="n">
        <x:f>MAX(0,MIN('Activities'!L25,6)-MAX('Activities'!K25,0))</x:f>
        <x:v>0</x:v>
      </x:c>
      <x:c r="F25" s="23" t="n">
        <x:f>MAX(0,MIN('Activities'!L25,12)-MAX('Activities'!K25,6))</x:f>
        <x:v>0</x:v>
      </x:c>
      <x:c r="G25" s="23" t="n">
        <x:f>MAX(0,MIN('Activities'!L25,18)-MAX('Activities'!K25,12))</x:f>
        <x:v>0</x:v>
      </x:c>
      <x:c r="H25" s="23" t="n">
        <x:f>MAX(0,MIN('Activities'!L25,24)-MAX('Activities'!K25,18))</x:f>
        <x:v>0</x:v>
      </x:c>
      <x:c r="I25" s="23" t="n">
        <x:f>MAX(0,MIN('Activities'!L25,30)-MAX('Activities'!K25,24))</x:f>
        <x:v>0</x:v>
      </x:c>
      <x:c r="J25" s="23" t="n">
        <x:f>MAX(0,MIN('Activities'!L25,36)-MAX('Activities'!K25,30))</x:f>
        <x:v>0</x:v>
      </x:c>
      <x:c r="K25" s="23" t="n">
        <x:f>MAX(0,MIN('Activities'!L25,42)-MAX('Activities'!K25,36))</x:f>
        <x:v>0</x:v>
      </x:c>
      <x:c r="L25" s="23" t="n">
        <x:f>MAX(0,MIN('Activities'!L25,48)-MAX('Activities'!K25,42))</x:f>
        <x:v>0</x:v>
      </x:c>
      <x:c r="M25" s="23" t="n">
        <x:f>MAX(0,MIN('Activities'!L25,54)-MAX('Activities'!K25,48))</x:f>
        <x:v>0</x:v>
      </x:c>
      <x:c r="N25" s="23" t="n">
        <x:f>MAX(0,MIN('Activities'!L25,60)-MAX('Activities'!K25,54))</x:f>
        <x:v>0</x:v>
      </x:c>
      <x:c r="O25" s="23" t="n">
        <x:f>MAX(0,MIN('Activities'!L25,66)-MAX('Activities'!K25,60))</x:f>
        <x:v>0</x:v>
      </x:c>
      <x:c r="P25" s="23" t="n">
        <x:f>MAX(0,MIN('Activities'!L25,72)-MAX('Activities'!K25,66))</x:f>
        <x:v>0</x:v>
      </x:c>
      <x:c r="Q25" s="23" t="n">
        <x:f>MAX(0,MIN('Activities'!L25,78)-MAX('Activities'!K25,72))</x:f>
        <x:v>0</x:v>
      </x:c>
      <x:c r="R25" s="23" t="n">
        <x:f>MAX(0,MIN('Activities'!L25,84)-MAX('Activities'!K25,78))</x:f>
        <x:v>0</x:v>
      </x:c>
      <x:c r="S25" s="23" t="n">
        <x:f>MAX(0,MIN('Activities'!L25,90)-MAX('Activities'!K25,84))</x:f>
        <x:v>0</x:v>
      </x:c>
      <x:c r="T25" s="23" t="n">
        <x:f>MAX(0,MIN('Activities'!L25,96)-MAX('Activities'!K25,90))</x:f>
        <x:v>0</x:v>
      </x:c>
      <x:c r="U25" s="23" t="n">
        <x:f>MAX(0,MIN('Activities'!L25,102)-MAX('Activities'!K25,96))</x:f>
        <x:v>0</x:v>
      </x:c>
      <x:c r="V25" s="23" t="n">
        <x:f>MAX(0,MIN('Activities'!L25,108)-MAX('Activities'!K25,102))</x:f>
        <x:v>0</x:v>
      </x:c>
      <x:c r="W25" s="23" t="n">
        <x:f>MAX(0,MIN('Activities'!L25,114)-MAX('Activities'!K25,108))</x:f>
        <x:v>0</x:v>
      </x:c>
      <x:c r="X25" s="23" t="n">
        <x:f>MAX(0,MIN('Activities'!L25,120)-MAX('Activities'!K25,114))</x:f>
        <x:v>0</x:v>
      </x:c>
      <x:c r="Y25" s="23" t="n">
        <x:f>MAX(0,MIN('Activities'!L25,126)-MAX('Activities'!K25,120))</x:f>
        <x:v>0</x:v>
      </x:c>
      <x:c r="Z25" s="23" t="n">
        <x:f>MAX(0,MIN('Activities'!L25,132)-MAX('Activities'!K25,126))</x:f>
        <x:v>0</x:v>
      </x:c>
      <x:c r="AA25" s="23" t="n">
        <x:f>MAX(0,MIN('Activities'!L25,138)-MAX('Activities'!K25,132))</x:f>
        <x:v>0</x:v>
      </x:c>
      <x:c r="AB25" s="23" t="n">
        <x:f>MAX(0,MIN('Activities'!L25,144)-MAX('Activities'!K25,138))</x:f>
        <x:v>0</x:v>
      </x:c>
      <x:c r="AC25" s="23" t="n">
        <x:f>MAX(0,MIN('Activities'!L25,150)-MAX('Activities'!K25,144))</x:f>
        <x:v>0</x:v>
      </x:c>
      <x:c r="AD25" s="23" t="n">
        <x:f>MAX(0,MIN('Activities'!L25,156)-MAX('Activities'!K25,150))</x:f>
        <x:v>0</x:v>
      </x:c>
      <x:c r="AE25" s="23" t="n">
        <x:f>MAX(0,MIN('Activities'!L25,162)-MAX('Activities'!K25,156))</x:f>
        <x:v>0</x:v>
      </x:c>
      <x:c r="AF25" s="23" t="n">
        <x:f>MAX(0,MIN('Activities'!L25,168)-MAX('Activities'!K25,162))</x:f>
        <x:v>0</x:v>
      </x:c>
      <x:c r="AG25" s="23" t="n">
        <x:f>MAX(0,MIN('Activities'!L25,174)-MAX('Activities'!K25,168))</x:f>
        <x:v>0</x:v>
      </x:c>
      <x:c r="AH25" s="23" t="n">
        <x:f>MAX(0,MIN('Activities'!L25,180)-MAX('Activities'!K25,174))</x:f>
        <x:v>4</x:v>
      </x:c>
      <x:c r="AI25" s="23" t="n">
        <x:f>MAX(0,MIN('Activities'!L25,186)-MAX('Activities'!K25,180))</x:f>
        <x:v>1</x:v>
      </x:c>
      <x:c r="AJ25" s="23" t="n">
        <x:f>MAX(0,MIN('Activities'!L25,192)-MAX('Activities'!K25,186))</x:f>
        <x:v>0</x:v>
      </x:c>
      <x:c r="AK25" s="23" t="n">
        <x:f>MAX(0,MIN('Activities'!L25,198)-MAX('Activities'!K25,192))</x:f>
        <x:v>0</x:v>
      </x:c>
      <x:c r="AL25" s="23" t="n">
        <x:f>MAX(0,MIN('Activities'!L25,204)-MAX('Activities'!K25,198))</x:f>
        <x:v>0</x:v>
      </x:c>
      <x:c r="AM25" s="23" t="n">
        <x:f>MAX(0,MIN('Activities'!L25,210)-MAX('Activities'!K25,204))</x:f>
        <x:v>0</x:v>
      </x:c>
      <x:c r="AN25" s="23" t="n">
        <x:f>MAX(0,MIN('Activities'!L25,216)-MAX('Activities'!K25,210))</x:f>
        <x:v>0</x:v>
      </x:c>
      <x:c r="AO25" s="23" t="n">
        <x:f>MAX(0,MIN('Activities'!L25,222)-MAX('Activities'!K25,216))</x:f>
        <x:v>0</x:v>
      </x:c>
      <x:c r="AP25" s="23" t="n">
        <x:f>MAX(0,MIN('Activities'!L25,228)-MAX('Activities'!K25,222))</x:f>
        <x:v>0</x:v>
      </x:c>
      <x:c r="AQ25" s="23" t="n">
        <x:f>MAX(0,MIN('Activities'!L25,234)-MAX('Activities'!K25,228))</x:f>
        <x:v>0</x:v>
      </x:c>
      <x:c r="AR25" s="23" t="n">
        <x:f>MAX(0,MIN('Activities'!L25,240)-MAX('Activities'!K25,234))</x:f>
        <x:v>0</x:v>
      </x:c>
      <x:c r="AS25" s="23" t="n">
        <x:f>MAX(0,MIN('Activities'!L25,246)-MAX('Activities'!K25,240))</x:f>
        <x:v>0</x:v>
      </x:c>
      <x:c r="AT25" s="23" t="n">
        <x:f>MAX(0,MIN('Activities'!L25,252)-MAX('Activities'!K25,246))</x:f>
        <x:v>0</x:v>
      </x:c>
      <x:c r="AU25" s="23" t="n">
        <x:f>MAX(0,MIN('Activities'!L25,258)-MAX('Activities'!K25,252))</x:f>
        <x:v>0</x:v>
      </x:c>
      <x:c r="AV25" s="23" t="n">
        <x:f>MAX(0,MIN('Activities'!L25,264)-MAX('Activities'!K25,258))</x:f>
        <x:v>0</x:v>
      </x:c>
      <x:c r="AW25" s="23" t="n">
        <x:f>MAX(0,MIN('Activities'!L25,270)-MAX('Activities'!K25,264))</x:f>
        <x:v>0</x:v>
      </x:c>
      <x:c r="AX25" s="23" t="n">
        <x:f>MAX(0,MIN('Activities'!L25,276)-MAX('Activities'!K25,270))</x:f>
        <x:v>0</x:v>
      </x:c>
      <x:c r="AY25" s="23" t="n">
        <x:f>MAX(0,MIN('Activities'!L25,282)-MAX('Activities'!K25,276))</x:f>
        <x:v>0</x:v>
      </x:c>
      <x:c r="AZ25" s="23" t="n">
        <x:f>MAX(0,MIN('Activities'!L25,288)-MAX('Activities'!K25,282))</x:f>
        <x:v>0</x:v>
      </x:c>
      <x:c r="BA25" s="23" t="n">
        <x:f>MAX(0,MIN('Activities'!L25,294)-MAX('Activities'!K25,288))</x:f>
        <x:v>0</x:v>
      </x:c>
      <x:c r="BB25" s="23" t="n">
        <x:f>MAX(0,MIN('Activities'!L25,300)-MAX('Activities'!K25,294))</x:f>
        <x:v>0</x:v>
      </x:c>
      <x:c r="BC25" s="23" t="n">
        <x:f>MAX(0,MIN('Activities'!L25,306)-MAX('Activities'!K25,300))</x:f>
        <x:v>0</x:v>
      </x:c>
      <x:c r="BD25" s="23" t="n">
        <x:f>MAX(0,MIN('Activities'!L25,312)-MAX('Activities'!K25,306))</x:f>
        <x:v>0</x:v>
      </x:c>
      <x:c r="BE25" s="23" t="n">
        <x:f>MAX(0,MIN('Activities'!L25,318)-MAX('Activities'!K25,312))</x:f>
        <x:v>0</x:v>
      </x:c>
      <x:c r="BF25" s="23" t="n">
        <x:f>MAX(0,MIN('Activities'!L25,324)-MAX('Activities'!K25,318))</x:f>
        <x:v>0</x:v>
      </x:c>
      <x:c r="BG25" s="23" t="n">
        <x:f>MAX(0,MIN('Activities'!L25,330)-MAX('Activities'!K25,324))</x:f>
        <x:v>0</x:v>
      </x:c>
      <x:c r="BH25" s="23" t="n">
        <x:f>MAX(0,MIN('Activities'!L25,336)-MAX('Activities'!K25,330))</x:f>
        <x:v>0</x:v>
      </x:c>
      <x:c r="BI25" s="23" t="n">
        <x:f>MAX(0,MIN('Activities'!L25,342)-MAX('Activities'!K25,336))</x:f>
        <x:v>0</x:v>
      </x:c>
      <x:c r="BJ25" s="23" t="n">
        <x:f>MAX(0,MIN('Activities'!L25,348)-MAX('Activities'!K25,342))</x:f>
        <x:v>0</x:v>
      </x:c>
      <x:c r="BK25" s="23" t="n">
        <x:f>MAX(0,MIN('Activities'!L25,354)-MAX('Activities'!K25,348))</x:f>
        <x:v>0</x:v>
      </x:c>
      <x:c r="BL25" s="23" t="n">
        <x:f>MAX(0,MIN('Activities'!L25,360)-MAX('Activities'!K25,354))</x:f>
        <x:v>0</x:v>
      </x:c>
      <x:c r="BM25" s="23" t="n">
        <x:f>MAX(0,MIN('Activities'!L25,366)-MAX('Activities'!K25,360))</x:f>
        <x:v>0</x:v>
      </x:c>
      <x:c r="BN25" s="23" t="n">
        <x:f>MAX(0,MIN('Activities'!L25,372)-MAX('Activities'!K25,366))</x:f>
        <x:v>0</x:v>
      </x:c>
      <x:c r="BO25" s="23" t="n">
        <x:f>MAX(0,MIN('Activities'!L25,378)-MAX('Activities'!K25,372))</x:f>
        <x:v>0</x:v>
      </x:c>
      <x:c r="BP25" s="23" t="n">
        <x:f>MAX(0,MIN('Activities'!L25,384)-MAX('Activities'!K25,378))</x:f>
        <x:v>0</x:v>
      </x:c>
      <x:c r="BQ25" s="23" t="n">
        <x:f>MAX(0,MIN('Activities'!L25,390)-MAX('Activities'!K25,384))</x:f>
        <x:v>0</x:v>
      </x:c>
      <x:c r="BR25" s="23" t="n">
        <x:f>MAX(0,MIN('Activities'!L25,396)-MAX('Activities'!K25,390))</x:f>
        <x:v>0</x:v>
      </x:c>
      <x:c r="BS25" s="23" t="n">
        <x:f>MAX(0,MIN('Activities'!L25,402)-MAX('Activities'!K25,396))</x:f>
        <x:v>0</x:v>
      </x:c>
      <x:c r="BT25" s="23" t="n">
        <x:f>MAX(0,MIN('Activities'!L25,408)-MAX('Activities'!K25,402))</x:f>
        <x:v>0</x:v>
      </x:c>
      <x:c r="BU25" s="23" t="n">
        <x:f>MAX(0,MIN('Activities'!L25,414)-MAX('Activities'!K25,408))</x:f>
        <x:v>0</x:v>
      </x:c>
      <x:c r="BV25" s="23" t="n">
        <x:f>MAX(0,MIN('Activities'!L25,420)-MAX('Activities'!K25,414))</x:f>
        <x:v>0</x:v>
      </x:c>
      <x:c r="BW25" s="23" t="n">
        <x:f>MAX(0,MIN('Activities'!L25,426)-MAX('Activities'!K25,420))</x:f>
        <x:v>0</x:v>
      </x:c>
      <x:c r="BX25" s="23" t="n">
        <x:f>MAX(0,MIN('Activities'!L25,432)-MAX('Activities'!K25,426))</x:f>
        <x:v>0</x:v>
      </x:c>
      <x:c r="BY25" s="23" t="n">
        <x:f>MAX(0,MIN('Activities'!L25,438)-MAX('Activities'!K25,432))</x:f>
        <x:v>0</x:v>
      </x:c>
      <x:c r="BZ25" s="23" t="n">
        <x:f>MAX(0,MIN('Activities'!L25,444)-MAX('Activities'!K25,438))</x:f>
        <x:v>0</x:v>
      </x:c>
      <x:c r="CA25" s="23" t="n">
        <x:f>MAX(0,MIN('Activities'!L25,450)-MAX('Activities'!K25,444))</x:f>
        <x:v>0</x:v>
      </x:c>
      <x:c r="CB25" s="23" t="n">
        <x:f>MAX(0,MIN('Activities'!L25,456)-MAX('Activities'!K25,450))</x:f>
        <x:v>0</x:v>
      </x:c>
      <x:c r="CC25" s="23" t="n">
        <x:f>MAX(0,MIN('Activities'!L25,462)-MAX('Activities'!K25,456))</x:f>
        <x:v>0</x:v>
      </x:c>
      <x:c r="CD25" s="23" t="n">
        <x:f>MAX(0,MIN('Activities'!L25,468)-MAX('Activities'!K25,462))</x:f>
        <x:v>0</x:v>
      </x:c>
      <x:c r="CE25" s="23" t="n">
        <x:f>MAX(0,MIN('Activities'!L25,474)-MAX('Activities'!K25,468))</x:f>
        <x:v>0</x:v>
      </x:c>
      <x:c r="CF25" s="23" t="n">
        <x:f>MAX(0,MIN('Activities'!L25,480)-MAX('Activities'!K25,474))</x:f>
        <x:v>0</x:v>
      </x:c>
      <x:c r="CG25" s="23" t="n">
        <x:f>MAX(0,MIN('Activities'!L25,486)-MAX('Activities'!K25,480))</x:f>
        <x:v>0</x:v>
      </x:c>
      <x:c r="CH25" s="23" t="n">
        <x:f>MAX(0,MIN('Activities'!L25,492)-MAX('Activities'!K25,486))</x:f>
        <x:v>0</x:v>
      </x:c>
      <x:c r="CI25" s="23" t="n">
        <x:f>MAX(0,MIN('Activities'!L25,498)-MAX('Activities'!K25,492))</x:f>
        <x:v>0</x:v>
      </x:c>
      <x:c r="CJ25" s="23" t="n">
        <x:f>MAX(0,MIN('Activities'!L25,504)-MAX('Activities'!K25,498))</x:f>
        <x:v>0</x:v>
      </x:c>
      <x:c r="CK25" s="23" t="n">
        <x:f>MAX(0,MIN('Activities'!L25,510)-MAX('Activities'!K25,504))</x:f>
        <x:v>0</x:v>
      </x:c>
      <x:c r="CL25" s="23" t="n">
        <x:f>MAX(0,MIN('Activities'!L25,516)-MAX('Activities'!K25,510))</x:f>
        <x:v>0</x:v>
      </x:c>
      <x:c r="CM25" s="23" t="n">
        <x:f>MAX(0,MIN('Activities'!L25,522)-MAX('Activities'!K25,516))</x:f>
        <x:v>0</x:v>
      </x:c>
      <x:c r="CN25" s="23" t="n">
        <x:f>MAX(0,MIN('Activities'!L25,528)-MAX('Activities'!K25,522))</x:f>
        <x:v>0</x:v>
      </x:c>
      <x:c r="CO25" s="23" t="n">
        <x:f>MAX(0,MIN('Activities'!L25,534)-MAX('Activities'!K25,528))</x:f>
        <x:v>0</x:v>
      </x:c>
      <x:c r="CP25" s="23" t="n">
        <x:f>MAX(0,MIN('Activities'!L25,540)-MAX('Activities'!K25,534))</x:f>
        <x:v>0</x:v>
      </x:c>
      <x:c r="CQ25" s="23" t="n">
        <x:f>MAX(0,MIN('Activities'!L25,546)-MAX('Activities'!K25,540))</x:f>
        <x:v>0</x:v>
      </x:c>
      <x:c r="CR25" s="23" t="n">
        <x:f>MAX(0,MIN('Activities'!L25,552)-MAX('Activities'!K25,546))</x:f>
        <x:v>0</x:v>
      </x:c>
      <x:c r="CS25" s="23" t="n">
        <x:f>MAX(0,MIN('Activities'!L25,558)-MAX('Activities'!K25,552))</x:f>
        <x:v>0</x:v>
      </x:c>
      <x:c r="CT25" s="23" t="n">
        <x:f>MAX(0,MIN('Activities'!L25,564)-MAX('Activities'!K25,558))</x:f>
        <x:v>0</x:v>
      </x:c>
      <x:c r="CU25" s="23" t="n">
        <x:f>MAX(0,MIN('Activities'!L25,570)-MAX('Activities'!K25,564))</x:f>
        <x:v>0</x:v>
      </x:c>
      <x:c r="CV25" s="23" t="n">
        <x:f>MAX(0,MIN('Activities'!L25,576)-MAX('Activities'!K25,570))</x:f>
        <x:v>0</x:v>
      </x:c>
      <x:c r="CW25" s="23" t="n">
        <x:f>MAX(0,MIN('Activities'!L25,582)-MAX('Activities'!K25,576))</x:f>
        <x:v>0</x:v>
      </x:c>
      <x:c r="CX25" s="23" t="n">
        <x:f>MAX(0,MIN('Activities'!L25,588)-MAX('Activities'!K25,582))</x:f>
        <x:v>0</x:v>
      </x:c>
      <x:c r="CY25" s="23" t="n">
        <x:f>MAX(0,MIN('Activities'!L25,594)-MAX('Activities'!K25,588))</x:f>
        <x:v>0</x:v>
      </x:c>
      <x:c r="CZ25" s="23" t="n">
        <x:f>MAX(0,MIN('Activities'!L25,600)-MAX('Activities'!K25,594))</x:f>
        <x:v>0</x:v>
      </x:c>
      <x:c r="DA25" s="23" t="n">
        <x:f>MAX(0,MIN('Activities'!L25,606)-MAX('Activities'!K25,600))</x:f>
        <x:v>0</x:v>
      </x:c>
      <x:c r="DB25" s="23" t="n">
        <x:f>MAX(0,MIN('Activities'!L25,612)-MAX('Activities'!K25,606))</x:f>
        <x:v>0</x:v>
      </x:c>
      <x:c r="DC25" s="23" t="n">
        <x:f>MAX(0,MIN('Activities'!L25,618)-MAX('Activities'!K25,612))</x:f>
        <x:v>0</x:v>
      </x:c>
      <x:c r="DD25" s="23" t="n">
        <x:f>MAX(0,MIN('Activities'!L25,624)-MAX('Activities'!K25,618))</x:f>
        <x:v>0</x:v>
      </x:c>
      <x:c r="DE25" s="23" t="n">
        <x:f>MAX(0,MIN('Activities'!L25,630)-MAX('Activities'!K25,624))</x:f>
        <x:v>0</x:v>
      </x:c>
      <x:c r="DF25" s="23" t="n">
        <x:f>MAX(0,MIN('Activities'!L25,636)-MAX('Activities'!K25,630))</x:f>
        <x:v>0</x:v>
      </x:c>
    </x:row>
    <x:row r="26" ht="23" customHeight="1">
      <x:c r="A26" s="6" t="str">
        <x:v>T1-L02-C</x:v>
      </x:c>
      <x:c r="B26" s="6" t="str">
        <x:v>T1</x:v>
      </x:c>
      <x:c r="C26" s="6" t="str">
        <x:v>Concrete placement and finishing</x:v>
      </x:c>
      <x:c r="D26" s="6" t="str">
        <x:v>Concrete</x:v>
      </x:c>
      <x:c r="E26" s="22" t="n">
        <x:f>MAX(0,MIN('Activities'!L26,6)-MAX('Activities'!K26,0))</x:f>
        <x:v>0</x:v>
      </x:c>
      <x:c r="F26" s="22" t="n">
        <x:f>MAX(0,MIN('Activities'!L26,12)-MAX('Activities'!K26,6))</x:f>
        <x:v>0</x:v>
      </x:c>
      <x:c r="G26" s="22" t="n">
        <x:f>MAX(0,MIN('Activities'!L26,18)-MAX('Activities'!K26,12))</x:f>
        <x:v>0</x:v>
      </x:c>
      <x:c r="H26" s="22" t="n">
        <x:f>MAX(0,MIN('Activities'!L26,24)-MAX('Activities'!K26,18))</x:f>
        <x:v>0</x:v>
      </x:c>
      <x:c r="I26" s="22" t="n">
        <x:f>MAX(0,MIN('Activities'!L26,30)-MAX('Activities'!K26,24))</x:f>
        <x:v>0</x:v>
      </x:c>
      <x:c r="J26" s="22" t="n">
        <x:f>MAX(0,MIN('Activities'!L26,36)-MAX('Activities'!K26,30))</x:f>
        <x:v>0</x:v>
      </x:c>
      <x:c r="K26" s="22" t="n">
        <x:f>MAX(0,MIN('Activities'!L26,42)-MAX('Activities'!K26,36))</x:f>
        <x:v>0</x:v>
      </x:c>
      <x:c r="L26" s="22" t="n">
        <x:f>MAX(0,MIN('Activities'!L26,48)-MAX('Activities'!K26,42))</x:f>
        <x:v>0</x:v>
      </x:c>
      <x:c r="M26" s="22" t="n">
        <x:f>MAX(0,MIN('Activities'!L26,54)-MAX('Activities'!K26,48))</x:f>
        <x:v>0</x:v>
      </x:c>
      <x:c r="N26" s="22" t="n">
        <x:f>MAX(0,MIN('Activities'!L26,60)-MAX('Activities'!K26,54))</x:f>
        <x:v>0</x:v>
      </x:c>
      <x:c r="O26" s="22" t="n">
        <x:f>MAX(0,MIN('Activities'!L26,66)-MAX('Activities'!K26,60))</x:f>
        <x:v>0</x:v>
      </x:c>
      <x:c r="P26" s="22" t="n">
        <x:f>MAX(0,MIN('Activities'!L26,72)-MAX('Activities'!K26,66))</x:f>
        <x:v>0</x:v>
      </x:c>
      <x:c r="Q26" s="22" t="n">
        <x:f>MAX(0,MIN('Activities'!L26,78)-MAX('Activities'!K26,72))</x:f>
        <x:v>0</x:v>
      </x:c>
      <x:c r="R26" s="22" t="n">
        <x:f>MAX(0,MIN('Activities'!L26,84)-MAX('Activities'!K26,78))</x:f>
        <x:v>0</x:v>
      </x:c>
      <x:c r="S26" s="22" t="n">
        <x:f>MAX(0,MIN('Activities'!L26,90)-MAX('Activities'!K26,84))</x:f>
        <x:v>0</x:v>
      </x:c>
      <x:c r="T26" s="22" t="n">
        <x:f>MAX(0,MIN('Activities'!L26,96)-MAX('Activities'!K26,90))</x:f>
        <x:v>0</x:v>
      </x:c>
      <x:c r="U26" s="22" t="n">
        <x:f>MAX(0,MIN('Activities'!L26,102)-MAX('Activities'!K26,96))</x:f>
        <x:v>0</x:v>
      </x:c>
      <x:c r="V26" s="22" t="n">
        <x:f>MAX(0,MIN('Activities'!L26,108)-MAX('Activities'!K26,102))</x:f>
        <x:v>0</x:v>
      </x:c>
      <x:c r="W26" s="22" t="n">
        <x:f>MAX(0,MIN('Activities'!L26,114)-MAX('Activities'!K26,108))</x:f>
        <x:v>0</x:v>
      </x:c>
      <x:c r="X26" s="22" t="n">
        <x:f>MAX(0,MIN('Activities'!L26,120)-MAX('Activities'!K26,114))</x:f>
        <x:v>0</x:v>
      </x:c>
      <x:c r="Y26" s="22" t="n">
        <x:f>MAX(0,MIN('Activities'!L26,126)-MAX('Activities'!K26,120))</x:f>
        <x:v>0</x:v>
      </x:c>
      <x:c r="Z26" s="22" t="n">
        <x:f>MAX(0,MIN('Activities'!L26,132)-MAX('Activities'!K26,126))</x:f>
        <x:v>0</x:v>
      </x:c>
      <x:c r="AA26" s="22" t="n">
        <x:f>MAX(0,MIN('Activities'!L26,138)-MAX('Activities'!K26,132))</x:f>
        <x:v>0</x:v>
      </x:c>
      <x:c r="AB26" s="22" t="n">
        <x:f>MAX(0,MIN('Activities'!L26,144)-MAX('Activities'!K26,138))</x:f>
        <x:v>0</x:v>
      </x:c>
      <x:c r="AC26" s="22" t="n">
        <x:f>MAX(0,MIN('Activities'!L26,150)-MAX('Activities'!K26,144))</x:f>
        <x:v>0</x:v>
      </x:c>
      <x:c r="AD26" s="22" t="n">
        <x:f>MAX(0,MIN('Activities'!L26,156)-MAX('Activities'!K26,150))</x:f>
        <x:v>0</x:v>
      </x:c>
      <x:c r="AE26" s="22" t="n">
        <x:f>MAX(0,MIN('Activities'!L26,162)-MAX('Activities'!K26,156))</x:f>
        <x:v>0</x:v>
      </x:c>
      <x:c r="AF26" s="22" t="n">
        <x:f>MAX(0,MIN('Activities'!L26,168)-MAX('Activities'!K26,162))</x:f>
        <x:v>0</x:v>
      </x:c>
      <x:c r="AG26" s="22" t="n">
        <x:f>MAX(0,MIN('Activities'!L26,174)-MAX('Activities'!K26,168))</x:f>
        <x:v>0</x:v>
      </x:c>
      <x:c r="AH26" s="22" t="n">
        <x:f>MAX(0,MIN('Activities'!L26,180)-MAX('Activities'!K26,174))</x:f>
        <x:v>0</x:v>
      </x:c>
      <x:c r="AI26" s="22" t="n">
        <x:f>MAX(0,MIN('Activities'!L26,186)-MAX('Activities'!K26,180))</x:f>
        <x:v>2</x:v>
      </x:c>
      <x:c r="AJ26" s="22" t="n">
        <x:f>MAX(0,MIN('Activities'!L26,192)-MAX('Activities'!K26,186))</x:f>
        <x:v>0</x:v>
      </x:c>
      <x:c r="AK26" s="22" t="n">
        <x:f>MAX(0,MIN('Activities'!L26,198)-MAX('Activities'!K26,192))</x:f>
        <x:v>0</x:v>
      </x:c>
      <x:c r="AL26" s="22" t="n">
        <x:f>MAX(0,MIN('Activities'!L26,204)-MAX('Activities'!K26,198))</x:f>
        <x:v>0</x:v>
      </x:c>
      <x:c r="AM26" s="22" t="n">
        <x:f>MAX(0,MIN('Activities'!L26,210)-MAX('Activities'!K26,204))</x:f>
        <x:v>0</x:v>
      </x:c>
      <x:c r="AN26" s="22" t="n">
        <x:f>MAX(0,MIN('Activities'!L26,216)-MAX('Activities'!K26,210))</x:f>
        <x:v>0</x:v>
      </x:c>
      <x:c r="AO26" s="22" t="n">
        <x:f>MAX(0,MIN('Activities'!L26,222)-MAX('Activities'!K26,216))</x:f>
        <x:v>0</x:v>
      </x:c>
      <x:c r="AP26" s="22" t="n">
        <x:f>MAX(0,MIN('Activities'!L26,228)-MAX('Activities'!K26,222))</x:f>
        <x:v>0</x:v>
      </x:c>
      <x:c r="AQ26" s="22" t="n">
        <x:f>MAX(0,MIN('Activities'!L26,234)-MAX('Activities'!K26,228))</x:f>
        <x:v>0</x:v>
      </x:c>
      <x:c r="AR26" s="22" t="n">
        <x:f>MAX(0,MIN('Activities'!L26,240)-MAX('Activities'!K26,234))</x:f>
        <x:v>0</x:v>
      </x:c>
      <x:c r="AS26" s="22" t="n">
        <x:f>MAX(0,MIN('Activities'!L26,246)-MAX('Activities'!K26,240))</x:f>
        <x:v>0</x:v>
      </x:c>
      <x:c r="AT26" s="22" t="n">
        <x:f>MAX(0,MIN('Activities'!L26,252)-MAX('Activities'!K26,246))</x:f>
        <x:v>0</x:v>
      </x:c>
      <x:c r="AU26" s="22" t="n">
        <x:f>MAX(0,MIN('Activities'!L26,258)-MAX('Activities'!K26,252))</x:f>
        <x:v>0</x:v>
      </x:c>
      <x:c r="AV26" s="22" t="n">
        <x:f>MAX(0,MIN('Activities'!L26,264)-MAX('Activities'!K26,258))</x:f>
        <x:v>0</x:v>
      </x:c>
      <x:c r="AW26" s="22" t="n">
        <x:f>MAX(0,MIN('Activities'!L26,270)-MAX('Activities'!K26,264))</x:f>
        <x:v>0</x:v>
      </x:c>
      <x:c r="AX26" s="22" t="n">
        <x:f>MAX(0,MIN('Activities'!L26,276)-MAX('Activities'!K26,270))</x:f>
        <x:v>0</x:v>
      </x:c>
      <x:c r="AY26" s="22" t="n">
        <x:f>MAX(0,MIN('Activities'!L26,282)-MAX('Activities'!K26,276))</x:f>
        <x:v>0</x:v>
      </x:c>
      <x:c r="AZ26" s="22" t="n">
        <x:f>MAX(0,MIN('Activities'!L26,288)-MAX('Activities'!K26,282))</x:f>
        <x:v>0</x:v>
      </x:c>
      <x:c r="BA26" s="22" t="n">
        <x:f>MAX(0,MIN('Activities'!L26,294)-MAX('Activities'!K26,288))</x:f>
        <x:v>0</x:v>
      </x:c>
      <x:c r="BB26" s="22" t="n">
        <x:f>MAX(0,MIN('Activities'!L26,300)-MAX('Activities'!K26,294))</x:f>
        <x:v>0</x:v>
      </x:c>
      <x:c r="BC26" s="22" t="n">
        <x:f>MAX(0,MIN('Activities'!L26,306)-MAX('Activities'!K26,300))</x:f>
        <x:v>0</x:v>
      </x:c>
      <x:c r="BD26" s="22" t="n">
        <x:f>MAX(0,MIN('Activities'!L26,312)-MAX('Activities'!K26,306))</x:f>
        <x:v>0</x:v>
      </x:c>
      <x:c r="BE26" s="22" t="n">
        <x:f>MAX(0,MIN('Activities'!L26,318)-MAX('Activities'!K26,312))</x:f>
        <x:v>0</x:v>
      </x:c>
      <x:c r="BF26" s="22" t="n">
        <x:f>MAX(0,MIN('Activities'!L26,324)-MAX('Activities'!K26,318))</x:f>
        <x:v>0</x:v>
      </x:c>
      <x:c r="BG26" s="22" t="n">
        <x:f>MAX(0,MIN('Activities'!L26,330)-MAX('Activities'!K26,324))</x:f>
        <x:v>0</x:v>
      </x:c>
      <x:c r="BH26" s="22" t="n">
        <x:f>MAX(0,MIN('Activities'!L26,336)-MAX('Activities'!K26,330))</x:f>
        <x:v>0</x:v>
      </x:c>
      <x:c r="BI26" s="22" t="n">
        <x:f>MAX(0,MIN('Activities'!L26,342)-MAX('Activities'!K26,336))</x:f>
        <x:v>0</x:v>
      </x:c>
      <x:c r="BJ26" s="22" t="n">
        <x:f>MAX(0,MIN('Activities'!L26,348)-MAX('Activities'!K26,342))</x:f>
        <x:v>0</x:v>
      </x:c>
      <x:c r="BK26" s="22" t="n">
        <x:f>MAX(0,MIN('Activities'!L26,354)-MAX('Activities'!K26,348))</x:f>
        <x:v>0</x:v>
      </x:c>
      <x:c r="BL26" s="22" t="n">
        <x:f>MAX(0,MIN('Activities'!L26,360)-MAX('Activities'!K26,354))</x:f>
        <x:v>0</x:v>
      </x:c>
      <x:c r="BM26" s="22" t="n">
        <x:f>MAX(0,MIN('Activities'!L26,366)-MAX('Activities'!K26,360))</x:f>
        <x:v>0</x:v>
      </x:c>
      <x:c r="BN26" s="22" t="n">
        <x:f>MAX(0,MIN('Activities'!L26,372)-MAX('Activities'!K26,366))</x:f>
        <x:v>0</x:v>
      </x:c>
      <x:c r="BO26" s="22" t="n">
        <x:f>MAX(0,MIN('Activities'!L26,378)-MAX('Activities'!K26,372))</x:f>
        <x:v>0</x:v>
      </x:c>
      <x:c r="BP26" s="22" t="n">
        <x:f>MAX(0,MIN('Activities'!L26,384)-MAX('Activities'!K26,378))</x:f>
        <x:v>0</x:v>
      </x:c>
      <x:c r="BQ26" s="22" t="n">
        <x:f>MAX(0,MIN('Activities'!L26,390)-MAX('Activities'!K26,384))</x:f>
        <x:v>0</x:v>
      </x:c>
      <x:c r="BR26" s="22" t="n">
        <x:f>MAX(0,MIN('Activities'!L26,396)-MAX('Activities'!K26,390))</x:f>
        <x:v>0</x:v>
      </x:c>
      <x:c r="BS26" s="22" t="n">
        <x:f>MAX(0,MIN('Activities'!L26,402)-MAX('Activities'!K26,396))</x:f>
        <x:v>0</x:v>
      </x:c>
      <x:c r="BT26" s="22" t="n">
        <x:f>MAX(0,MIN('Activities'!L26,408)-MAX('Activities'!K26,402))</x:f>
        <x:v>0</x:v>
      </x:c>
      <x:c r="BU26" s="22" t="n">
        <x:f>MAX(0,MIN('Activities'!L26,414)-MAX('Activities'!K26,408))</x:f>
        <x:v>0</x:v>
      </x:c>
      <x:c r="BV26" s="22" t="n">
        <x:f>MAX(0,MIN('Activities'!L26,420)-MAX('Activities'!K26,414))</x:f>
        <x:v>0</x:v>
      </x:c>
      <x:c r="BW26" s="22" t="n">
        <x:f>MAX(0,MIN('Activities'!L26,426)-MAX('Activities'!K26,420))</x:f>
        <x:v>0</x:v>
      </x:c>
      <x:c r="BX26" s="22" t="n">
        <x:f>MAX(0,MIN('Activities'!L26,432)-MAX('Activities'!K26,426))</x:f>
        <x:v>0</x:v>
      </x:c>
      <x:c r="BY26" s="22" t="n">
        <x:f>MAX(0,MIN('Activities'!L26,438)-MAX('Activities'!K26,432))</x:f>
        <x:v>0</x:v>
      </x:c>
      <x:c r="BZ26" s="22" t="n">
        <x:f>MAX(0,MIN('Activities'!L26,444)-MAX('Activities'!K26,438))</x:f>
        <x:v>0</x:v>
      </x:c>
      <x:c r="CA26" s="22" t="n">
        <x:f>MAX(0,MIN('Activities'!L26,450)-MAX('Activities'!K26,444))</x:f>
        <x:v>0</x:v>
      </x:c>
      <x:c r="CB26" s="22" t="n">
        <x:f>MAX(0,MIN('Activities'!L26,456)-MAX('Activities'!K26,450))</x:f>
        <x:v>0</x:v>
      </x:c>
      <x:c r="CC26" s="22" t="n">
        <x:f>MAX(0,MIN('Activities'!L26,462)-MAX('Activities'!K26,456))</x:f>
        <x:v>0</x:v>
      </x:c>
      <x:c r="CD26" s="22" t="n">
        <x:f>MAX(0,MIN('Activities'!L26,468)-MAX('Activities'!K26,462))</x:f>
        <x:v>0</x:v>
      </x:c>
      <x:c r="CE26" s="22" t="n">
        <x:f>MAX(0,MIN('Activities'!L26,474)-MAX('Activities'!K26,468))</x:f>
        <x:v>0</x:v>
      </x:c>
      <x:c r="CF26" s="22" t="n">
        <x:f>MAX(0,MIN('Activities'!L26,480)-MAX('Activities'!K26,474))</x:f>
        <x:v>0</x:v>
      </x:c>
      <x:c r="CG26" s="22" t="n">
        <x:f>MAX(0,MIN('Activities'!L26,486)-MAX('Activities'!K26,480))</x:f>
        <x:v>0</x:v>
      </x:c>
      <x:c r="CH26" s="22" t="n">
        <x:f>MAX(0,MIN('Activities'!L26,492)-MAX('Activities'!K26,486))</x:f>
        <x:v>0</x:v>
      </x:c>
      <x:c r="CI26" s="22" t="n">
        <x:f>MAX(0,MIN('Activities'!L26,498)-MAX('Activities'!K26,492))</x:f>
        <x:v>0</x:v>
      </x:c>
      <x:c r="CJ26" s="22" t="n">
        <x:f>MAX(0,MIN('Activities'!L26,504)-MAX('Activities'!K26,498))</x:f>
        <x:v>0</x:v>
      </x:c>
      <x:c r="CK26" s="22" t="n">
        <x:f>MAX(0,MIN('Activities'!L26,510)-MAX('Activities'!K26,504))</x:f>
        <x:v>0</x:v>
      </x:c>
      <x:c r="CL26" s="22" t="n">
        <x:f>MAX(0,MIN('Activities'!L26,516)-MAX('Activities'!K26,510))</x:f>
        <x:v>0</x:v>
      </x:c>
      <x:c r="CM26" s="22" t="n">
        <x:f>MAX(0,MIN('Activities'!L26,522)-MAX('Activities'!K26,516))</x:f>
        <x:v>0</x:v>
      </x:c>
      <x:c r="CN26" s="22" t="n">
        <x:f>MAX(0,MIN('Activities'!L26,528)-MAX('Activities'!K26,522))</x:f>
        <x:v>0</x:v>
      </x:c>
      <x:c r="CO26" s="22" t="n">
        <x:f>MAX(0,MIN('Activities'!L26,534)-MAX('Activities'!K26,528))</x:f>
        <x:v>0</x:v>
      </x:c>
      <x:c r="CP26" s="22" t="n">
        <x:f>MAX(0,MIN('Activities'!L26,540)-MAX('Activities'!K26,534))</x:f>
        <x:v>0</x:v>
      </x:c>
      <x:c r="CQ26" s="22" t="n">
        <x:f>MAX(0,MIN('Activities'!L26,546)-MAX('Activities'!K26,540))</x:f>
        <x:v>0</x:v>
      </x:c>
      <x:c r="CR26" s="22" t="n">
        <x:f>MAX(0,MIN('Activities'!L26,552)-MAX('Activities'!K26,546))</x:f>
        <x:v>0</x:v>
      </x:c>
      <x:c r="CS26" s="22" t="n">
        <x:f>MAX(0,MIN('Activities'!L26,558)-MAX('Activities'!K26,552))</x:f>
        <x:v>0</x:v>
      </x:c>
      <x:c r="CT26" s="22" t="n">
        <x:f>MAX(0,MIN('Activities'!L26,564)-MAX('Activities'!K26,558))</x:f>
        <x:v>0</x:v>
      </x:c>
      <x:c r="CU26" s="22" t="n">
        <x:f>MAX(0,MIN('Activities'!L26,570)-MAX('Activities'!K26,564))</x:f>
        <x:v>0</x:v>
      </x:c>
      <x:c r="CV26" s="22" t="n">
        <x:f>MAX(0,MIN('Activities'!L26,576)-MAX('Activities'!K26,570))</x:f>
        <x:v>0</x:v>
      </x:c>
      <x:c r="CW26" s="22" t="n">
        <x:f>MAX(0,MIN('Activities'!L26,582)-MAX('Activities'!K26,576))</x:f>
        <x:v>0</x:v>
      </x:c>
      <x:c r="CX26" s="22" t="n">
        <x:f>MAX(0,MIN('Activities'!L26,588)-MAX('Activities'!K26,582))</x:f>
        <x:v>0</x:v>
      </x:c>
      <x:c r="CY26" s="22" t="n">
        <x:f>MAX(0,MIN('Activities'!L26,594)-MAX('Activities'!K26,588))</x:f>
        <x:v>0</x:v>
      </x:c>
      <x:c r="CZ26" s="22" t="n">
        <x:f>MAX(0,MIN('Activities'!L26,600)-MAX('Activities'!K26,594))</x:f>
        <x:v>0</x:v>
      </x:c>
      <x:c r="DA26" s="22" t="n">
        <x:f>MAX(0,MIN('Activities'!L26,606)-MAX('Activities'!K26,600))</x:f>
        <x:v>0</x:v>
      </x:c>
      <x:c r="DB26" s="22" t="n">
        <x:f>MAX(0,MIN('Activities'!L26,612)-MAX('Activities'!K26,606))</x:f>
        <x:v>0</x:v>
      </x:c>
      <x:c r="DC26" s="22" t="n">
        <x:f>MAX(0,MIN('Activities'!L26,618)-MAX('Activities'!K26,612))</x:f>
        <x:v>0</x:v>
      </x:c>
      <x:c r="DD26" s="22" t="n">
        <x:f>MAX(0,MIN('Activities'!L26,624)-MAX('Activities'!K26,618))</x:f>
        <x:v>0</x:v>
      </x:c>
      <x:c r="DE26" s="22" t="n">
        <x:f>MAX(0,MIN('Activities'!L26,630)-MAX('Activities'!K26,624))</x:f>
        <x:v>0</x:v>
      </x:c>
      <x:c r="DF26" s="22" t="n">
        <x:f>MAX(0,MIN('Activities'!L26,636)-MAX('Activities'!K26,630))</x:f>
        <x:v>0</x:v>
      </x:c>
    </x:row>
    <x:row r="27" ht="23" customHeight="1">
      <x:c r="A27" s="1" t="str">
        <x:v>T1-L02-H</x:v>
      </x:c>
      <x:c r="B27" s="1" t="str">
        <x:v>T1</x:v>
      </x:c>
      <x:c r="C27" s="1" t="str">
        <x:v>Curing and release hold point</x:v>
      </x:c>
      <x:c r="D27" s="1" t="str">
        <x:v>Site</x:v>
      </x:c>
      <x:c r="E27" s="23" t="n">
        <x:f>MAX(0,MIN('Activities'!L27,6)-MAX('Activities'!K27,0))</x:f>
        <x:v>0</x:v>
      </x:c>
      <x:c r="F27" s="23" t="n">
        <x:f>MAX(0,MIN('Activities'!L27,12)-MAX('Activities'!K27,6))</x:f>
        <x:v>0</x:v>
      </x:c>
      <x:c r="G27" s="23" t="n">
        <x:f>MAX(0,MIN('Activities'!L27,18)-MAX('Activities'!K27,12))</x:f>
        <x:v>0</x:v>
      </x:c>
      <x:c r="H27" s="23" t="n">
        <x:f>MAX(0,MIN('Activities'!L27,24)-MAX('Activities'!K27,18))</x:f>
        <x:v>0</x:v>
      </x:c>
      <x:c r="I27" s="23" t="n">
        <x:f>MAX(0,MIN('Activities'!L27,30)-MAX('Activities'!K27,24))</x:f>
        <x:v>0</x:v>
      </x:c>
      <x:c r="J27" s="23" t="n">
        <x:f>MAX(0,MIN('Activities'!L27,36)-MAX('Activities'!K27,30))</x:f>
        <x:v>0</x:v>
      </x:c>
      <x:c r="K27" s="23" t="n">
        <x:f>MAX(0,MIN('Activities'!L27,42)-MAX('Activities'!K27,36))</x:f>
        <x:v>0</x:v>
      </x:c>
      <x:c r="L27" s="23" t="n">
        <x:f>MAX(0,MIN('Activities'!L27,48)-MAX('Activities'!K27,42))</x:f>
        <x:v>0</x:v>
      </x:c>
      <x:c r="M27" s="23" t="n">
        <x:f>MAX(0,MIN('Activities'!L27,54)-MAX('Activities'!K27,48))</x:f>
        <x:v>0</x:v>
      </x:c>
      <x:c r="N27" s="23" t="n">
        <x:f>MAX(0,MIN('Activities'!L27,60)-MAX('Activities'!K27,54))</x:f>
        <x:v>0</x:v>
      </x:c>
      <x:c r="O27" s="23" t="n">
        <x:f>MAX(0,MIN('Activities'!L27,66)-MAX('Activities'!K27,60))</x:f>
        <x:v>0</x:v>
      </x:c>
      <x:c r="P27" s="23" t="n">
        <x:f>MAX(0,MIN('Activities'!L27,72)-MAX('Activities'!K27,66))</x:f>
        <x:v>0</x:v>
      </x:c>
      <x:c r="Q27" s="23" t="n">
        <x:f>MAX(0,MIN('Activities'!L27,78)-MAX('Activities'!K27,72))</x:f>
        <x:v>0</x:v>
      </x:c>
      <x:c r="R27" s="23" t="n">
        <x:f>MAX(0,MIN('Activities'!L27,84)-MAX('Activities'!K27,78))</x:f>
        <x:v>0</x:v>
      </x:c>
      <x:c r="S27" s="23" t="n">
        <x:f>MAX(0,MIN('Activities'!L27,90)-MAX('Activities'!K27,84))</x:f>
        <x:v>0</x:v>
      </x:c>
      <x:c r="T27" s="23" t="n">
        <x:f>MAX(0,MIN('Activities'!L27,96)-MAX('Activities'!K27,90))</x:f>
        <x:v>0</x:v>
      </x:c>
      <x:c r="U27" s="23" t="n">
        <x:f>MAX(0,MIN('Activities'!L27,102)-MAX('Activities'!K27,96))</x:f>
        <x:v>0</x:v>
      </x:c>
      <x:c r="V27" s="23" t="n">
        <x:f>MAX(0,MIN('Activities'!L27,108)-MAX('Activities'!K27,102))</x:f>
        <x:v>0</x:v>
      </x:c>
      <x:c r="W27" s="23" t="n">
        <x:f>MAX(0,MIN('Activities'!L27,114)-MAX('Activities'!K27,108))</x:f>
        <x:v>0</x:v>
      </x:c>
      <x:c r="X27" s="23" t="n">
        <x:f>MAX(0,MIN('Activities'!L27,120)-MAX('Activities'!K27,114))</x:f>
        <x:v>0</x:v>
      </x:c>
      <x:c r="Y27" s="23" t="n">
        <x:f>MAX(0,MIN('Activities'!L27,126)-MAX('Activities'!K27,120))</x:f>
        <x:v>0</x:v>
      </x:c>
      <x:c r="Z27" s="23" t="n">
        <x:f>MAX(0,MIN('Activities'!L27,132)-MAX('Activities'!K27,126))</x:f>
        <x:v>0</x:v>
      </x:c>
      <x:c r="AA27" s="23" t="n">
        <x:f>MAX(0,MIN('Activities'!L27,138)-MAX('Activities'!K27,132))</x:f>
        <x:v>0</x:v>
      </x:c>
      <x:c r="AB27" s="23" t="n">
        <x:f>MAX(0,MIN('Activities'!L27,144)-MAX('Activities'!K27,138))</x:f>
        <x:v>0</x:v>
      </x:c>
      <x:c r="AC27" s="23" t="n">
        <x:f>MAX(0,MIN('Activities'!L27,150)-MAX('Activities'!K27,144))</x:f>
        <x:v>0</x:v>
      </x:c>
      <x:c r="AD27" s="23" t="n">
        <x:f>MAX(0,MIN('Activities'!L27,156)-MAX('Activities'!K27,150))</x:f>
        <x:v>0</x:v>
      </x:c>
      <x:c r="AE27" s="23" t="n">
        <x:f>MAX(0,MIN('Activities'!L27,162)-MAX('Activities'!K27,156))</x:f>
        <x:v>0</x:v>
      </x:c>
      <x:c r="AF27" s="23" t="n">
        <x:f>MAX(0,MIN('Activities'!L27,168)-MAX('Activities'!K27,162))</x:f>
        <x:v>0</x:v>
      </x:c>
      <x:c r="AG27" s="23" t="n">
        <x:f>MAX(0,MIN('Activities'!L27,174)-MAX('Activities'!K27,168))</x:f>
        <x:v>0</x:v>
      </x:c>
      <x:c r="AH27" s="23" t="n">
        <x:f>MAX(0,MIN('Activities'!L27,180)-MAX('Activities'!K27,174))</x:f>
        <x:v>0</x:v>
      </x:c>
      <x:c r="AI27" s="23" t="n">
        <x:f>MAX(0,MIN('Activities'!L27,186)-MAX('Activities'!K27,180))</x:f>
        <x:v>3</x:v>
      </x:c>
      <x:c r="AJ27" s="23" t="n">
        <x:f>MAX(0,MIN('Activities'!L27,192)-MAX('Activities'!K27,186))</x:f>
        <x:v>2</x:v>
      </x:c>
      <x:c r="AK27" s="23" t="n">
        <x:f>MAX(0,MIN('Activities'!L27,198)-MAX('Activities'!K27,192))</x:f>
        <x:v>0</x:v>
      </x:c>
      <x:c r="AL27" s="23" t="n">
        <x:f>MAX(0,MIN('Activities'!L27,204)-MAX('Activities'!K27,198))</x:f>
        <x:v>0</x:v>
      </x:c>
      <x:c r="AM27" s="23" t="n">
        <x:f>MAX(0,MIN('Activities'!L27,210)-MAX('Activities'!K27,204))</x:f>
        <x:v>0</x:v>
      </x:c>
      <x:c r="AN27" s="23" t="n">
        <x:f>MAX(0,MIN('Activities'!L27,216)-MAX('Activities'!K27,210))</x:f>
        <x:v>0</x:v>
      </x:c>
      <x:c r="AO27" s="23" t="n">
        <x:f>MAX(0,MIN('Activities'!L27,222)-MAX('Activities'!K27,216))</x:f>
        <x:v>0</x:v>
      </x:c>
      <x:c r="AP27" s="23" t="n">
        <x:f>MAX(0,MIN('Activities'!L27,228)-MAX('Activities'!K27,222))</x:f>
        <x:v>0</x:v>
      </x:c>
      <x:c r="AQ27" s="23" t="n">
        <x:f>MAX(0,MIN('Activities'!L27,234)-MAX('Activities'!K27,228))</x:f>
        <x:v>0</x:v>
      </x:c>
      <x:c r="AR27" s="23" t="n">
        <x:f>MAX(0,MIN('Activities'!L27,240)-MAX('Activities'!K27,234))</x:f>
        <x:v>0</x:v>
      </x:c>
      <x:c r="AS27" s="23" t="n">
        <x:f>MAX(0,MIN('Activities'!L27,246)-MAX('Activities'!K27,240))</x:f>
        <x:v>0</x:v>
      </x:c>
      <x:c r="AT27" s="23" t="n">
        <x:f>MAX(0,MIN('Activities'!L27,252)-MAX('Activities'!K27,246))</x:f>
        <x:v>0</x:v>
      </x:c>
      <x:c r="AU27" s="23" t="n">
        <x:f>MAX(0,MIN('Activities'!L27,258)-MAX('Activities'!K27,252))</x:f>
        <x:v>0</x:v>
      </x:c>
      <x:c r="AV27" s="23" t="n">
        <x:f>MAX(0,MIN('Activities'!L27,264)-MAX('Activities'!K27,258))</x:f>
        <x:v>0</x:v>
      </x:c>
      <x:c r="AW27" s="23" t="n">
        <x:f>MAX(0,MIN('Activities'!L27,270)-MAX('Activities'!K27,264))</x:f>
        <x:v>0</x:v>
      </x:c>
      <x:c r="AX27" s="23" t="n">
        <x:f>MAX(0,MIN('Activities'!L27,276)-MAX('Activities'!K27,270))</x:f>
        <x:v>0</x:v>
      </x:c>
      <x:c r="AY27" s="23" t="n">
        <x:f>MAX(0,MIN('Activities'!L27,282)-MAX('Activities'!K27,276))</x:f>
        <x:v>0</x:v>
      </x:c>
      <x:c r="AZ27" s="23" t="n">
        <x:f>MAX(0,MIN('Activities'!L27,288)-MAX('Activities'!K27,282))</x:f>
        <x:v>0</x:v>
      </x:c>
      <x:c r="BA27" s="23" t="n">
        <x:f>MAX(0,MIN('Activities'!L27,294)-MAX('Activities'!K27,288))</x:f>
        <x:v>0</x:v>
      </x:c>
      <x:c r="BB27" s="23" t="n">
        <x:f>MAX(0,MIN('Activities'!L27,300)-MAX('Activities'!K27,294))</x:f>
        <x:v>0</x:v>
      </x:c>
      <x:c r="BC27" s="23" t="n">
        <x:f>MAX(0,MIN('Activities'!L27,306)-MAX('Activities'!K27,300))</x:f>
        <x:v>0</x:v>
      </x:c>
      <x:c r="BD27" s="23" t="n">
        <x:f>MAX(0,MIN('Activities'!L27,312)-MAX('Activities'!K27,306))</x:f>
        <x:v>0</x:v>
      </x:c>
      <x:c r="BE27" s="23" t="n">
        <x:f>MAX(0,MIN('Activities'!L27,318)-MAX('Activities'!K27,312))</x:f>
        <x:v>0</x:v>
      </x:c>
      <x:c r="BF27" s="23" t="n">
        <x:f>MAX(0,MIN('Activities'!L27,324)-MAX('Activities'!K27,318))</x:f>
        <x:v>0</x:v>
      </x:c>
      <x:c r="BG27" s="23" t="n">
        <x:f>MAX(0,MIN('Activities'!L27,330)-MAX('Activities'!K27,324))</x:f>
        <x:v>0</x:v>
      </x:c>
      <x:c r="BH27" s="23" t="n">
        <x:f>MAX(0,MIN('Activities'!L27,336)-MAX('Activities'!K27,330))</x:f>
        <x:v>0</x:v>
      </x:c>
      <x:c r="BI27" s="23" t="n">
        <x:f>MAX(0,MIN('Activities'!L27,342)-MAX('Activities'!K27,336))</x:f>
        <x:v>0</x:v>
      </x:c>
      <x:c r="BJ27" s="23" t="n">
        <x:f>MAX(0,MIN('Activities'!L27,348)-MAX('Activities'!K27,342))</x:f>
        <x:v>0</x:v>
      </x:c>
      <x:c r="BK27" s="23" t="n">
        <x:f>MAX(0,MIN('Activities'!L27,354)-MAX('Activities'!K27,348))</x:f>
        <x:v>0</x:v>
      </x:c>
      <x:c r="BL27" s="23" t="n">
        <x:f>MAX(0,MIN('Activities'!L27,360)-MAX('Activities'!K27,354))</x:f>
        <x:v>0</x:v>
      </x:c>
      <x:c r="BM27" s="23" t="n">
        <x:f>MAX(0,MIN('Activities'!L27,366)-MAX('Activities'!K27,360))</x:f>
        <x:v>0</x:v>
      </x:c>
      <x:c r="BN27" s="23" t="n">
        <x:f>MAX(0,MIN('Activities'!L27,372)-MAX('Activities'!K27,366))</x:f>
        <x:v>0</x:v>
      </x:c>
      <x:c r="BO27" s="23" t="n">
        <x:f>MAX(0,MIN('Activities'!L27,378)-MAX('Activities'!K27,372))</x:f>
        <x:v>0</x:v>
      </x:c>
      <x:c r="BP27" s="23" t="n">
        <x:f>MAX(0,MIN('Activities'!L27,384)-MAX('Activities'!K27,378))</x:f>
        <x:v>0</x:v>
      </x:c>
      <x:c r="BQ27" s="23" t="n">
        <x:f>MAX(0,MIN('Activities'!L27,390)-MAX('Activities'!K27,384))</x:f>
        <x:v>0</x:v>
      </x:c>
      <x:c r="BR27" s="23" t="n">
        <x:f>MAX(0,MIN('Activities'!L27,396)-MAX('Activities'!K27,390))</x:f>
        <x:v>0</x:v>
      </x:c>
      <x:c r="BS27" s="23" t="n">
        <x:f>MAX(0,MIN('Activities'!L27,402)-MAX('Activities'!K27,396))</x:f>
        <x:v>0</x:v>
      </x:c>
      <x:c r="BT27" s="23" t="n">
        <x:f>MAX(0,MIN('Activities'!L27,408)-MAX('Activities'!K27,402))</x:f>
        <x:v>0</x:v>
      </x:c>
      <x:c r="BU27" s="23" t="n">
        <x:f>MAX(0,MIN('Activities'!L27,414)-MAX('Activities'!K27,408))</x:f>
        <x:v>0</x:v>
      </x:c>
      <x:c r="BV27" s="23" t="n">
        <x:f>MAX(0,MIN('Activities'!L27,420)-MAX('Activities'!K27,414))</x:f>
        <x:v>0</x:v>
      </x:c>
      <x:c r="BW27" s="23" t="n">
        <x:f>MAX(0,MIN('Activities'!L27,426)-MAX('Activities'!K27,420))</x:f>
        <x:v>0</x:v>
      </x:c>
      <x:c r="BX27" s="23" t="n">
        <x:f>MAX(0,MIN('Activities'!L27,432)-MAX('Activities'!K27,426))</x:f>
        <x:v>0</x:v>
      </x:c>
      <x:c r="BY27" s="23" t="n">
        <x:f>MAX(0,MIN('Activities'!L27,438)-MAX('Activities'!K27,432))</x:f>
        <x:v>0</x:v>
      </x:c>
      <x:c r="BZ27" s="23" t="n">
        <x:f>MAX(0,MIN('Activities'!L27,444)-MAX('Activities'!K27,438))</x:f>
        <x:v>0</x:v>
      </x:c>
      <x:c r="CA27" s="23" t="n">
        <x:f>MAX(0,MIN('Activities'!L27,450)-MAX('Activities'!K27,444))</x:f>
        <x:v>0</x:v>
      </x:c>
      <x:c r="CB27" s="23" t="n">
        <x:f>MAX(0,MIN('Activities'!L27,456)-MAX('Activities'!K27,450))</x:f>
        <x:v>0</x:v>
      </x:c>
      <x:c r="CC27" s="23" t="n">
        <x:f>MAX(0,MIN('Activities'!L27,462)-MAX('Activities'!K27,456))</x:f>
        <x:v>0</x:v>
      </x:c>
      <x:c r="CD27" s="23" t="n">
        <x:f>MAX(0,MIN('Activities'!L27,468)-MAX('Activities'!K27,462))</x:f>
        <x:v>0</x:v>
      </x:c>
      <x:c r="CE27" s="23" t="n">
        <x:f>MAX(0,MIN('Activities'!L27,474)-MAX('Activities'!K27,468))</x:f>
        <x:v>0</x:v>
      </x:c>
      <x:c r="CF27" s="23" t="n">
        <x:f>MAX(0,MIN('Activities'!L27,480)-MAX('Activities'!K27,474))</x:f>
        <x:v>0</x:v>
      </x:c>
      <x:c r="CG27" s="23" t="n">
        <x:f>MAX(0,MIN('Activities'!L27,486)-MAX('Activities'!K27,480))</x:f>
        <x:v>0</x:v>
      </x:c>
      <x:c r="CH27" s="23" t="n">
        <x:f>MAX(0,MIN('Activities'!L27,492)-MAX('Activities'!K27,486))</x:f>
        <x:v>0</x:v>
      </x:c>
      <x:c r="CI27" s="23" t="n">
        <x:f>MAX(0,MIN('Activities'!L27,498)-MAX('Activities'!K27,492))</x:f>
        <x:v>0</x:v>
      </x:c>
      <x:c r="CJ27" s="23" t="n">
        <x:f>MAX(0,MIN('Activities'!L27,504)-MAX('Activities'!K27,498))</x:f>
        <x:v>0</x:v>
      </x:c>
      <x:c r="CK27" s="23" t="n">
        <x:f>MAX(0,MIN('Activities'!L27,510)-MAX('Activities'!K27,504))</x:f>
        <x:v>0</x:v>
      </x:c>
      <x:c r="CL27" s="23" t="n">
        <x:f>MAX(0,MIN('Activities'!L27,516)-MAX('Activities'!K27,510))</x:f>
        <x:v>0</x:v>
      </x:c>
      <x:c r="CM27" s="23" t="n">
        <x:f>MAX(0,MIN('Activities'!L27,522)-MAX('Activities'!K27,516))</x:f>
        <x:v>0</x:v>
      </x:c>
      <x:c r="CN27" s="23" t="n">
        <x:f>MAX(0,MIN('Activities'!L27,528)-MAX('Activities'!K27,522))</x:f>
        <x:v>0</x:v>
      </x:c>
      <x:c r="CO27" s="23" t="n">
        <x:f>MAX(0,MIN('Activities'!L27,534)-MAX('Activities'!K27,528))</x:f>
        <x:v>0</x:v>
      </x:c>
      <x:c r="CP27" s="23" t="n">
        <x:f>MAX(0,MIN('Activities'!L27,540)-MAX('Activities'!K27,534))</x:f>
        <x:v>0</x:v>
      </x:c>
      <x:c r="CQ27" s="23" t="n">
        <x:f>MAX(0,MIN('Activities'!L27,546)-MAX('Activities'!K27,540))</x:f>
        <x:v>0</x:v>
      </x:c>
      <x:c r="CR27" s="23" t="n">
        <x:f>MAX(0,MIN('Activities'!L27,552)-MAX('Activities'!K27,546))</x:f>
        <x:v>0</x:v>
      </x:c>
      <x:c r="CS27" s="23" t="n">
        <x:f>MAX(0,MIN('Activities'!L27,558)-MAX('Activities'!K27,552))</x:f>
        <x:v>0</x:v>
      </x:c>
      <x:c r="CT27" s="23" t="n">
        <x:f>MAX(0,MIN('Activities'!L27,564)-MAX('Activities'!K27,558))</x:f>
        <x:v>0</x:v>
      </x:c>
      <x:c r="CU27" s="23" t="n">
        <x:f>MAX(0,MIN('Activities'!L27,570)-MAX('Activities'!K27,564))</x:f>
        <x:v>0</x:v>
      </x:c>
      <x:c r="CV27" s="23" t="n">
        <x:f>MAX(0,MIN('Activities'!L27,576)-MAX('Activities'!K27,570))</x:f>
        <x:v>0</x:v>
      </x:c>
      <x:c r="CW27" s="23" t="n">
        <x:f>MAX(0,MIN('Activities'!L27,582)-MAX('Activities'!K27,576))</x:f>
        <x:v>0</x:v>
      </x:c>
      <x:c r="CX27" s="23" t="n">
        <x:f>MAX(0,MIN('Activities'!L27,588)-MAX('Activities'!K27,582))</x:f>
        <x:v>0</x:v>
      </x:c>
      <x:c r="CY27" s="23" t="n">
        <x:f>MAX(0,MIN('Activities'!L27,594)-MAX('Activities'!K27,588))</x:f>
        <x:v>0</x:v>
      </x:c>
      <x:c r="CZ27" s="23" t="n">
        <x:f>MAX(0,MIN('Activities'!L27,600)-MAX('Activities'!K27,594))</x:f>
        <x:v>0</x:v>
      </x:c>
      <x:c r="DA27" s="23" t="n">
        <x:f>MAX(0,MIN('Activities'!L27,606)-MAX('Activities'!K27,600))</x:f>
        <x:v>0</x:v>
      </x:c>
      <x:c r="DB27" s="23" t="n">
        <x:f>MAX(0,MIN('Activities'!L27,612)-MAX('Activities'!K27,606))</x:f>
        <x:v>0</x:v>
      </x:c>
      <x:c r="DC27" s="23" t="n">
        <x:f>MAX(0,MIN('Activities'!L27,618)-MAX('Activities'!K27,612))</x:f>
        <x:v>0</x:v>
      </x:c>
      <x:c r="DD27" s="23" t="n">
        <x:f>MAX(0,MIN('Activities'!L27,624)-MAX('Activities'!K27,618))</x:f>
        <x:v>0</x:v>
      </x:c>
      <x:c r="DE27" s="23" t="n">
        <x:f>MAX(0,MIN('Activities'!L27,630)-MAX('Activities'!K27,624))</x:f>
        <x:v>0</x:v>
      </x:c>
      <x:c r="DF27" s="23" t="n">
        <x:f>MAX(0,MIN('Activities'!L27,636)-MAX('Activities'!K27,630))</x:f>
        <x:v>0</x:v>
      </x:c>
    </x:row>
    <x:row r="28" ht="23" customHeight="1">
      <x:c r="A28" s="6" t="str">
        <x:v>T1-L03-F</x:v>
      </x:c>
      <x:c r="B28" s="6" t="str">
        <x:v>T1</x:v>
      </x:c>
      <x:c r="C28" s="6" t="str">
        <x:v>Columns, core and deck formwork</x:v>
      </x:c>
      <x:c r="D28" s="6" t="str">
        <x:v>Formwork</x:v>
      </x:c>
      <x:c r="E28" s="22" t="n">
        <x:f>MAX(0,MIN('Activities'!L28,6)-MAX('Activities'!K28,0))</x:f>
        <x:v>0</x:v>
      </x:c>
      <x:c r="F28" s="22" t="n">
        <x:f>MAX(0,MIN('Activities'!L28,12)-MAX('Activities'!K28,6))</x:f>
        <x:v>0</x:v>
      </x:c>
      <x:c r="G28" s="22" t="n">
        <x:f>MAX(0,MIN('Activities'!L28,18)-MAX('Activities'!K28,12))</x:f>
        <x:v>0</x:v>
      </x:c>
      <x:c r="H28" s="22" t="n">
        <x:f>MAX(0,MIN('Activities'!L28,24)-MAX('Activities'!K28,18))</x:f>
        <x:v>0</x:v>
      </x:c>
      <x:c r="I28" s="22" t="n">
        <x:f>MAX(0,MIN('Activities'!L28,30)-MAX('Activities'!K28,24))</x:f>
        <x:v>0</x:v>
      </x:c>
      <x:c r="J28" s="22" t="n">
        <x:f>MAX(0,MIN('Activities'!L28,36)-MAX('Activities'!K28,30))</x:f>
        <x:v>0</x:v>
      </x:c>
      <x:c r="K28" s="22" t="n">
        <x:f>MAX(0,MIN('Activities'!L28,42)-MAX('Activities'!K28,36))</x:f>
        <x:v>0</x:v>
      </x:c>
      <x:c r="L28" s="22" t="n">
        <x:f>MAX(0,MIN('Activities'!L28,48)-MAX('Activities'!K28,42))</x:f>
        <x:v>0</x:v>
      </x:c>
      <x:c r="M28" s="22" t="n">
        <x:f>MAX(0,MIN('Activities'!L28,54)-MAX('Activities'!K28,48))</x:f>
        <x:v>0</x:v>
      </x:c>
      <x:c r="N28" s="22" t="n">
        <x:f>MAX(0,MIN('Activities'!L28,60)-MAX('Activities'!K28,54))</x:f>
        <x:v>0</x:v>
      </x:c>
      <x:c r="O28" s="22" t="n">
        <x:f>MAX(0,MIN('Activities'!L28,66)-MAX('Activities'!K28,60))</x:f>
        <x:v>0</x:v>
      </x:c>
      <x:c r="P28" s="22" t="n">
        <x:f>MAX(0,MIN('Activities'!L28,72)-MAX('Activities'!K28,66))</x:f>
        <x:v>0</x:v>
      </x:c>
      <x:c r="Q28" s="22" t="n">
        <x:f>MAX(0,MIN('Activities'!L28,78)-MAX('Activities'!K28,72))</x:f>
        <x:v>0</x:v>
      </x:c>
      <x:c r="R28" s="22" t="n">
        <x:f>MAX(0,MIN('Activities'!L28,84)-MAX('Activities'!K28,78))</x:f>
        <x:v>0</x:v>
      </x:c>
      <x:c r="S28" s="22" t="n">
        <x:f>MAX(0,MIN('Activities'!L28,90)-MAX('Activities'!K28,84))</x:f>
        <x:v>0</x:v>
      </x:c>
      <x:c r="T28" s="22" t="n">
        <x:f>MAX(0,MIN('Activities'!L28,96)-MAX('Activities'!K28,90))</x:f>
        <x:v>0</x:v>
      </x:c>
      <x:c r="U28" s="22" t="n">
        <x:f>MAX(0,MIN('Activities'!L28,102)-MAX('Activities'!K28,96))</x:f>
        <x:v>0</x:v>
      </x:c>
      <x:c r="V28" s="22" t="n">
        <x:f>MAX(0,MIN('Activities'!L28,108)-MAX('Activities'!K28,102))</x:f>
        <x:v>0</x:v>
      </x:c>
      <x:c r="W28" s="22" t="n">
        <x:f>MAX(0,MIN('Activities'!L28,114)-MAX('Activities'!K28,108))</x:f>
        <x:v>0</x:v>
      </x:c>
      <x:c r="X28" s="22" t="n">
        <x:f>MAX(0,MIN('Activities'!L28,120)-MAX('Activities'!K28,114))</x:f>
        <x:v>0</x:v>
      </x:c>
      <x:c r="Y28" s="22" t="n">
        <x:f>MAX(0,MIN('Activities'!L28,126)-MAX('Activities'!K28,120))</x:f>
        <x:v>0</x:v>
      </x:c>
      <x:c r="Z28" s="22" t="n">
        <x:f>MAX(0,MIN('Activities'!L28,132)-MAX('Activities'!K28,126))</x:f>
        <x:v>0</x:v>
      </x:c>
      <x:c r="AA28" s="22" t="n">
        <x:f>MAX(0,MIN('Activities'!L28,138)-MAX('Activities'!K28,132))</x:f>
        <x:v>0</x:v>
      </x:c>
      <x:c r="AB28" s="22" t="n">
        <x:f>MAX(0,MIN('Activities'!L28,144)-MAX('Activities'!K28,138))</x:f>
        <x:v>0</x:v>
      </x:c>
      <x:c r="AC28" s="22" t="n">
        <x:f>MAX(0,MIN('Activities'!L28,150)-MAX('Activities'!K28,144))</x:f>
        <x:v>0</x:v>
      </x:c>
      <x:c r="AD28" s="22" t="n">
        <x:f>MAX(0,MIN('Activities'!L28,156)-MAX('Activities'!K28,150))</x:f>
        <x:v>0</x:v>
      </x:c>
      <x:c r="AE28" s="22" t="n">
        <x:f>MAX(0,MIN('Activities'!L28,162)-MAX('Activities'!K28,156))</x:f>
        <x:v>0</x:v>
      </x:c>
      <x:c r="AF28" s="22" t="n">
        <x:f>MAX(0,MIN('Activities'!L28,168)-MAX('Activities'!K28,162))</x:f>
        <x:v>0</x:v>
      </x:c>
      <x:c r="AG28" s="22" t="n">
        <x:f>MAX(0,MIN('Activities'!L28,174)-MAX('Activities'!K28,168))</x:f>
        <x:v>0</x:v>
      </x:c>
      <x:c r="AH28" s="22" t="n">
        <x:f>MAX(0,MIN('Activities'!L28,180)-MAX('Activities'!K28,174))</x:f>
        <x:v>0</x:v>
      </x:c>
      <x:c r="AI28" s="22" t="n">
        <x:f>MAX(0,MIN('Activities'!L28,186)-MAX('Activities'!K28,180))</x:f>
        <x:v>0</x:v>
      </x:c>
      <x:c r="AJ28" s="22" t="n">
        <x:f>MAX(0,MIN('Activities'!L28,192)-MAX('Activities'!K28,186))</x:f>
        <x:v>4</x:v>
      </x:c>
      <x:c r="AK28" s="22" t="n">
        <x:f>MAX(0,MIN('Activities'!L28,198)-MAX('Activities'!K28,192))</x:f>
        <x:v>2</x:v>
      </x:c>
      <x:c r="AL28" s="22" t="n">
        <x:f>MAX(0,MIN('Activities'!L28,204)-MAX('Activities'!K28,198))</x:f>
        <x:v>0</x:v>
      </x:c>
      <x:c r="AM28" s="22" t="n">
        <x:f>MAX(0,MIN('Activities'!L28,210)-MAX('Activities'!K28,204))</x:f>
        <x:v>0</x:v>
      </x:c>
      <x:c r="AN28" s="22" t="n">
        <x:f>MAX(0,MIN('Activities'!L28,216)-MAX('Activities'!K28,210))</x:f>
        <x:v>0</x:v>
      </x:c>
      <x:c r="AO28" s="22" t="n">
        <x:f>MAX(0,MIN('Activities'!L28,222)-MAX('Activities'!K28,216))</x:f>
        <x:v>0</x:v>
      </x:c>
      <x:c r="AP28" s="22" t="n">
        <x:f>MAX(0,MIN('Activities'!L28,228)-MAX('Activities'!K28,222))</x:f>
        <x:v>0</x:v>
      </x:c>
      <x:c r="AQ28" s="22" t="n">
        <x:f>MAX(0,MIN('Activities'!L28,234)-MAX('Activities'!K28,228))</x:f>
        <x:v>0</x:v>
      </x:c>
      <x:c r="AR28" s="22" t="n">
        <x:f>MAX(0,MIN('Activities'!L28,240)-MAX('Activities'!K28,234))</x:f>
        <x:v>0</x:v>
      </x:c>
      <x:c r="AS28" s="22" t="n">
        <x:f>MAX(0,MIN('Activities'!L28,246)-MAX('Activities'!K28,240))</x:f>
        <x:v>0</x:v>
      </x:c>
      <x:c r="AT28" s="22" t="n">
        <x:f>MAX(0,MIN('Activities'!L28,252)-MAX('Activities'!K28,246))</x:f>
        <x:v>0</x:v>
      </x:c>
      <x:c r="AU28" s="22" t="n">
        <x:f>MAX(0,MIN('Activities'!L28,258)-MAX('Activities'!K28,252))</x:f>
        <x:v>0</x:v>
      </x:c>
      <x:c r="AV28" s="22" t="n">
        <x:f>MAX(0,MIN('Activities'!L28,264)-MAX('Activities'!K28,258))</x:f>
        <x:v>0</x:v>
      </x:c>
      <x:c r="AW28" s="22" t="n">
        <x:f>MAX(0,MIN('Activities'!L28,270)-MAX('Activities'!K28,264))</x:f>
        <x:v>0</x:v>
      </x:c>
      <x:c r="AX28" s="22" t="n">
        <x:f>MAX(0,MIN('Activities'!L28,276)-MAX('Activities'!K28,270))</x:f>
        <x:v>0</x:v>
      </x:c>
      <x:c r="AY28" s="22" t="n">
        <x:f>MAX(0,MIN('Activities'!L28,282)-MAX('Activities'!K28,276))</x:f>
        <x:v>0</x:v>
      </x:c>
      <x:c r="AZ28" s="22" t="n">
        <x:f>MAX(0,MIN('Activities'!L28,288)-MAX('Activities'!K28,282))</x:f>
        <x:v>0</x:v>
      </x:c>
      <x:c r="BA28" s="22" t="n">
        <x:f>MAX(0,MIN('Activities'!L28,294)-MAX('Activities'!K28,288))</x:f>
        <x:v>0</x:v>
      </x:c>
      <x:c r="BB28" s="22" t="n">
        <x:f>MAX(0,MIN('Activities'!L28,300)-MAX('Activities'!K28,294))</x:f>
        <x:v>0</x:v>
      </x:c>
      <x:c r="BC28" s="22" t="n">
        <x:f>MAX(0,MIN('Activities'!L28,306)-MAX('Activities'!K28,300))</x:f>
        <x:v>0</x:v>
      </x:c>
      <x:c r="BD28" s="22" t="n">
        <x:f>MAX(0,MIN('Activities'!L28,312)-MAX('Activities'!K28,306))</x:f>
        <x:v>0</x:v>
      </x:c>
      <x:c r="BE28" s="22" t="n">
        <x:f>MAX(0,MIN('Activities'!L28,318)-MAX('Activities'!K28,312))</x:f>
        <x:v>0</x:v>
      </x:c>
      <x:c r="BF28" s="22" t="n">
        <x:f>MAX(0,MIN('Activities'!L28,324)-MAX('Activities'!K28,318))</x:f>
        <x:v>0</x:v>
      </x:c>
      <x:c r="BG28" s="22" t="n">
        <x:f>MAX(0,MIN('Activities'!L28,330)-MAX('Activities'!K28,324))</x:f>
        <x:v>0</x:v>
      </x:c>
      <x:c r="BH28" s="22" t="n">
        <x:f>MAX(0,MIN('Activities'!L28,336)-MAX('Activities'!K28,330))</x:f>
        <x:v>0</x:v>
      </x:c>
      <x:c r="BI28" s="22" t="n">
        <x:f>MAX(0,MIN('Activities'!L28,342)-MAX('Activities'!K28,336))</x:f>
        <x:v>0</x:v>
      </x:c>
      <x:c r="BJ28" s="22" t="n">
        <x:f>MAX(0,MIN('Activities'!L28,348)-MAX('Activities'!K28,342))</x:f>
        <x:v>0</x:v>
      </x:c>
      <x:c r="BK28" s="22" t="n">
        <x:f>MAX(0,MIN('Activities'!L28,354)-MAX('Activities'!K28,348))</x:f>
        <x:v>0</x:v>
      </x:c>
      <x:c r="BL28" s="22" t="n">
        <x:f>MAX(0,MIN('Activities'!L28,360)-MAX('Activities'!K28,354))</x:f>
        <x:v>0</x:v>
      </x:c>
      <x:c r="BM28" s="22" t="n">
        <x:f>MAX(0,MIN('Activities'!L28,366)-MAX('Activities'!K28,360))</x:f>
        <x:v>0</x:v>
      </x:c>
      <x:c r="BN28" s="22" t="n">
        <x:f>MAX(0,MIN('Activities'!L28,372)-MAX('Activities'!K28,366))</x:f>
        <x:v>0</x:v>
      </x:c>
      <x:c r="BO28" s="22" t="n">
        <x:f>MAX(0,MIN('Activities'!L28,378)-MAX('Activities'!K28,372))</x:f>
        <x:v>0</x:v>
      </x:c>
      <x:c r="BP28" s="22" t="n">
        <x:f>MAX(0,MIN('Activities'!L28,384)-MAX('Activities'!K28,378))</x:f>
        <x:v>0</x:v>
      </x:c>
      <x:c r="BQ28" s="22" t="n">
        <x:f>MAX(0,MIN('Activities'!L28,390)-MAX('Activities'!K28,384))</x:f>
        <x:v>0</x:v>
      </x:c>
      <x:c r="BR28" s="22" t="n">
        <x:f>MAX(0,MIN('Activities'!L28,396)-MAX('Activities'!K28,390))</x:f>
        <x:v>0</x:v>
      </x:c>
      <x:c r="BS28" s="22" t="n">
        <x:f>MAX(0,MIN('Activities'!L28,402)-MAX('Activities'!K28,396))</x:f>
        <x:v>0</x:v>
      </x:c>
      <x:c r="BT28" s="22" t="n">
        <x:f>MAX(0,MIN('Activities'!L28,408)-MAX('Activities'!K28,402))</x:f>
        <x:v>0</x:v>
      </x:c>
      <x:c r="BU28" s="22" t="n">
        <x:f>MAX(0,MIN('Activities'!L28,414)-MAX('Activities'!K28,408))</x:f>
        <x:v>0</x:v>
      </x:c>
      <x:c r="BV28" s="22" t="n">
        <x:f>MAX(0,MIN('Activities'!L28,420)-MAX('Activities'!K28,414))</x:f>
        <x:v>0</x:v>
      </x:c>
      <x:c r="BW28" s="22" t="n">
        <x:f>MAX(0,MIN('Activities'!L28,426)-MAX('Activities'!K28,420))</x:f>
        <x:v>0</x:v>
      </x:c>
      <x:c r="BX28" s="22" t="n">
        <x:f>MAX(0,MIN('Activities'!L28,432)-MAX('Activities'!K28,426))</x:f>
        <x:v>0</x:v>
      </x:c>
      <x:c r="BY28" s="22" t="n">
        <x:f>MAX(0,MIN('Activities'!L28,438)-MAX('Activities'!K28,432))</x:f>
        <x:v>0</x:v>
      </x:c>
      <x:c r="BZ28" s="22" t="n">
        <x:f>MAX(0,MIN('Activities'!L28,444)-MAX('Activities'!K28,438))</x:f>
        <x:v>0</x:v>
      </x:c>
      <x:c r="CA28" s="22" t="n">
        <x:f>MAX(0,MIN('Activities'!L28,450)-MAX('Activities'!K28,444))</x:f>
        <x:v>0</x:v>
      </x:c>
      <x:c r="CB28" s="22" t="n">
        <x:f>MAX(0,MIN('Activities'!L28,456)-MAX('Activities'!K28,450))</x:f>
        <x:v>0</x:v>
      </x:c>
      <x:c r="CC28" s="22" t="n">
        <x:f>MAX(0,MIN('Activities'!L28,462)-MAX('Activities'!K28,456))</x:f>
        <x:v>0</x:v>
      </x:c>
      <x:c r="CD28" s="22" t="n">
        <x:f>MAX(0,MIN('Activities'!L28,468)-MAX('Activities'!K28,462))</x:f>
        <x:v>0</x:v>
      </x:c>
      <x:c r="CE28" s="22" t="n">
        <x:f>MAX(0,MIN('Activities'!L28,474)-MAX('Activities'!K28,468))</x:f>
        <x:v>0</x:v>
      </x:c>
      <x:c r="CF28" s="22" t="n">
        <x:f>MAX(0,MIN('Activities'!L28,480)-MAX('Activities'!K28,474))</x:f>
        <x:v>0</x:v>
      </x:c>
      <x:c r="CG28" s="22" t="n">
        <x:f>MAX(0,MIN('Activities'!L28,486)-MAX('Activities'!K28,480))</x:f>
        <x:v>0</x:v>
      </x:c>
      <x:c r="CH28" s="22" t="n">
        <x:f>MAX(0,MIN('Activities'!L28,492)-MAX('Activities'!K28,486))</x:f>
        <x:v>0</x:v>
      </x:c>
      <x:c r="CI28" s="22" t="n">
        <x:f>MAX(0,MIN('Activities'!L28,498)-MAX('Activities'!K28,492))</x:f>
        <x:v>0</x:v>
      </x:c>
      <x:c r="CJ28" s="22" t="n">
        <x:f>MAX(0,MIN('Activities'!L28,504)-MAX('Activities'!K28,498))</x:f>
        <x:v>0</x:v>
      </x:c>
      <x:c r="CK28" s="22" t="n">
        <x:f>MAX(0,MIN('Activities'!L28,510)-MAX('Activities'!K28,504))</x:f>
        <x:v>0</x:v>
      </x:c>
      <x:c r="CL28" s="22" t="n">
        <x:f>MAX(0,MIN('Activities'!L28,516)-MAX('Activities'!K28,510))</x:f>
        <x:v>0</x:v>
      </x:c>
      <x:c r="CM28" s="22" t="n">
        <x:f>MAX(0,MIN('Activities'!L28,522)-MAX('Activities'!K28,516))</x:f>
        <x:v>0</x:v>
      </x:c>
      <x:c r="CN28" s="22" t="n">
        <x:f>MAX(0,MIN('Activities'!L28,528)-MAX('Activities'!K28,522))</x:f>
        <x:v>0</x:v>
      </x:c>
      <x:c r="CO28" s="22" t="n">
        <x:f>MAX(0,MIN('Activities'!L28,534)-MAX('Activities'!K28,528))</x:f>
        <x:v>0</x:v>
      </x:c>
      <x:c r="CP28" s="22" t="n">
        <x:f>MAX(0,MIN('Activities'!L28,540)-MAX('Activities'!K28,534))</x:f>
        <x:v>0</x:v>
      </x:c>
      <x:c r="CQ28" s="22" t="n">
        <x:f>MAX(0,MIN('Activities'!L28,546)-MAX('Activities'!K28,540))</x:f>
        <x:v>0</x:v>
      </x:c>
      <x:c r="CR28" s="22" t="n">
        <x:f>MAX(0,MIN('Activities'!L28,552)-MAX('Activities'!K28,546))</x:f>
        <x:v>0</x:v>
      </x:c>
      <x:c r="CS28" s="22" t="n">
        <x:f>MAX(0,MIN('Activities'!L28,558)-MAX('Activities'!K28,552))</x:f>
        <x:v>0</x:v>
      </x:c>
      <x:c r="CT28" s="22" t="n">
        <x:f>MAX(0,MIN('Activities'!L28,564)-MAX('Activities'!K28,558))</x:f>
        <x:v>0</x:v>
      </x:c>
      <x:c r="CU28" s="22" t="n">
        <x:f>MAX(0,MIN('Activities'!L28,570)-MAX('Activities'!K28,564))</x:f>
        <x:v>0</x:v>
      </x:c>
      <x:c r="CV28" s="22" t="n">
        <x:f>MAX(0,MIN('Activities'!L28,576)-MAX('Activities'!K28,570))</x:f>
        <x:v>0</x:v>
      </x:c>
      <x:c r="CW28" s="22" t="n">
        <x:f>MAX(0,MIN('Activities'!L28,582)-MAX('Activities'!K28,576))</x:f>
        <x:v>0</x:v>
      </x:c>
      <x:c r="CX28" s="22" t="n">
        <x:f>MAX(0,MIN('Activities'!L28,588)-MAX('Activities'!K28,582))</x:f>
        <x:v>0</x:v>
      </x:c>
      <x:c r="CY28" s="22" t="n">
        <x:f>MAX(0,MIN('Activities'!L28,594)-MAX('Activities'!K28,588))</x:f>
        <x:v>0</x:v>
      </x:c>
      <x:c r="CZ28" s="22" t="n">
        <x:f>MAX(0,MIN('Activities'!L28,600)-MAX('Activities'!K28,594))</x:f>
        <x:v>0</x:v>
      </x:c>
      <x:c r="DA28" s="22" t="n">
        <x:f>MAX(0,MIN('Activities'!L28,606)-MAX('Activities'!K28,600))</x:f>
        <x:v>0</x:v>
      </x:c>
      <x:c r="DB28" s="22" t="n">
        <x:f>MAX(0,MIN('Activities'!L28,612)-MAX('Activities'!K28,606))</x:f>
        <x:v>0</x:v>
      </x:c>
      <x:c r="DC28" s="22" t="n">
        <x:f>MAX(0,MIN('Activities'!L28,618)-MAX('Activities'!K28,612))</x:f>
        <x:v>0</x:v>
      </x:c>
      <x:c r="DD28" s="22" t="n">
        <x:f>MAX(0,MIN('Activities'!L28,624)-MAX('Activities'!K28,618))</x:f>
        <x:v>0</x:v>
      </x:c>
      <x:c r="DE28" s="22" t="n">
        <x:f>MAX(0,MIN('Activities'!L28,630)-MAX('Activities'!K28,624))</x:f>
        <x:v>0</x:v>
      </x:c>
      <x:c r="DF28" s="22" t="n">
        <x:f>MAX(0,MIN('Activities'!L28,636)-MAX('Activities'!K28,630))</x:f>
        <x:v>0</x:v>
      </x:c>
    </x:row>
    <x:row r="29" ht="23" customHeight="1">
      <x:c r="A29" s="1" t="str">
        <x:v>T1-L03-R</x:v>
      </x:c>
      <x:c r="B29" s="1" t="str">
        <x:v>T1</x:v>
      </x:c>
      <x:c r="C29" s="1" t="str">
        <x:v>Column, wall, beam and slab reinforcement</x:v>
      </x:c>
      <x:c r="D29" s="1" t="str">
        <x:v>Rebar</x:v>
      </x:c>
      <x:c r="E29" s="23" t="n">
        <x:f>MAX(0,MIN('Activities'!L29,6)-MAX('Activities'!K29,0))</x:f>
        <x:v>0</x:v>
      </x:c>
      <x:c r="F29" s="23" t="n">
        <x:f>MAX(0,MIN('Activities'!L29,12)-MAX('Activities'!K29,6))</x:f>
        <x:v>0</x:v>
      </x:c>
      <x:c r="G29" s="23" t="n">
        <x:f>MAX(0,MIN('Activities'!L29,18)-MAX('Activities'!K29,12))</x:f>
        <x:v>0</x:v>
      </x:c>
      <x:c r="H29" s="23" t="n">
        <x:f>MAX(0,MIN('Activities'!L29,24)-MAX('Activities'!K29,18))</x:f>
        <x:v>0</x:v>
      </x:c>
      <x:c r="I29" s="23" t="n">
        <x:f>MAX(0,MIN('Activities'!L29,30)-MAX('Activities'!K29,24))</x:f>
        <x:v>0</x:v>
      </x:c>
      <x:c r="J29" s="23" t="n">
        <x:f>MAX(0,MIN('Activities'!L29,36)-MAX('Activities'!K29,30))</x:f>
        <x:v>0</x:v>
      </x:c>
      <x:c r="K29" s="23" t="n">
        <x:f>MAX(0,MIN('Activities'!L29,42)-MAX('Activities'!K29,36))</x:f>
        <x:v>0</x:v>
      </x:c>
      <x:c r="L29" s="23" t="n">
        <x:f>MAX(0,MIN('Activities'!L29,48)-MAX('Activities'!K29,42))</x:f>
        <x:v>0</x:v>
      </x:c>
      <x:c r="M29" s="23" t="n">
        <x:f>MAX(0,MIN('Activities'!L29,54)-MAX('Activities'!K29,48))</x:f>
        <x:v>0</x:v>
      </x:c>
      <x:c r="N29" s="23" t="n">
        <x:f>MAX(0,MIN('Activities'!L29,60)-MAX('Activities'!K29,54))</x:f>
        <x:v>0</x:v>
      </x:c>
      <x:c r="O29" s="23" t="n">
        <x:f>MAX(0,MIN('Activities'!L29,66)-MAX('Activities'!K29,60))</x:f>
        <x:v>0</x:v>
      </x:c>
      <x:c r="P29" s="23" t="n">
        <x:f>MAX(0,MIN('Activities'!L29,72)-MAX('Activities'!K29,66))</x:f>
        <x:v>0</x:v>
      </x:c>
      <x:c r="Q29" s="23" t="n">
        <x:f>MAX(0,MIN('Activities'!L29,78)-MAX('Activities'!K29,72))</x:f>
        <x:v>0</x:v>
      </x:c>
      <x:c r="R29" s="23" t="n">
        <x:f>MAX(0,MIN('Activities'!L29,84)-MAX('Activities'!K29,78))</x:f>
        <x:v>0</x:v>
      </x:c>
      <x:c r="S29" s="23" t="n">
        <x:f>MAX(0,MIN('Activities'!L29,90)-MAX('Activities'!K29,84))</x:f>
        <x:v>0</x:v>
      </x:c>
      <x:c r="T29" s="23" t="n">
        <x:f>MAX(0,MIN('Activities'!L29,96)-MAX('Activities'!K29,90))</x:f>
        <x:v>0</x:v>
      </x:c>
      <x:c r="U29" s="23" t="n">
        <x:f>MAX(0,MIN('Activities'!L29,102)-MAX('Activities'!K29,96))</x:f>
        <x:v>0</x:v>
      </x:c>
      <x:c r="V29" s="23" t="n">
        <x:f>MAX(0,MIN('Activities'!L29,108)-MAX('Activities'!K29,102))</x:f>
        <x:v>0</x:v>
      </x:c>
      <x:c r="W29" s="23" t="n">
        <x:f>MAX(0,MIN('Activities'!L29,114)-MAX('Activities'!K29,108))</x:f>
        <x:v>0</x:v>
      </x:c>
      <x:c r="X29" s="23" t="n">
        <x:f>MAX(0,MIN('Activities'!L29,120)-MAX('Activities'!K29,114))</x:f>
        <x:v>0</x:v>
      </x:c>
      <x:c r="Y29" s="23" t="n">
        <x:f>MAX(0,MIN('Activities'!L29,126)-MAX('Activities'!K29,120))</x:f>
        <x:v>0</x:v>
      </x:c>
      <x:c r="Z29" s="23" t="n">
        <x:f>MAX(0,MIN('Activities'!L29,132)-MAX('Activities'!K29,126))</x:f>
        <x:v>0</x:v>
      </x:c>
      <x:c r="AA29" s="23" t="n">
        <x:f>MAX(0,MIN('Activities'!L29,138)-MAX('Activities'!K29,132))</x:f>
        <x:v>0</x:v>
      </x:c>
      <x:c r="AB29" s="23" t="n">
        <x:f>MAX(0,MIN('Activities'!L29,144)-MAX('Activities'!K29,138))</x:f>
        <x:v>0</x:v>
      </x:c>
      <x:c r="AC29" s="23" t="n">
        <x:f>MAX(0,MIN('Activities'!L29,150)-MAX('Activities'!K29,144))</x:f>
        <x:v>0</x:v>
      </x:c>
      <x:c r="AD29" s="23" t="n">
        <x:f>MAX(0,MIN('Activities'!L29,156)-MAX('Activities'!K29,150))</x:f>
        <x:v>0</x:v>
      </x:c>
      <x:c r="AE29" s="23" t="n">
        <x:f>MAX(0,MIN('Activities'!L29,162)-MAX('Activities'!K29,156))</x:f>
        <x:v>0</x:v>
      </x:c>
      <x:c r="AF29" s="23" t="n">
        <x:f>MAX(0,MIN('Activities'!L29,168)-MAX('Activities'!K29,162))</x:f>
        <x:v>0</x:v>
      </x:c>
      <x:c r="AG29" s="23" t="n">
        <x:f>MAX(0,MIN('Activities'!L29,174)-MAX('Activities'!K29,168))</x:f>
        <x:v>0</x:v>
      </x:c>
      <x:c r="AH29" s="23" t="n">
        <x:f>MAX(0,MIN('Activities'!L29,180)-MAX('Activities'!K29,174))</x:f>
        <x:v>0</x:v>
      </x:c>
      <x:c r="AI29" s="23" t="n">
        <x:f>MAX(0,MIN('Activities'!L29,186)-MAX('Activities'!K29,180))</x:f>
        <x:v>0</x:v>
      </x:c>
      <x:c r="AJ29" s="23" t="n">
        <x:f>MAX(0,MIN('Activities'!L29,192)-MAX('Activities'!K29,186))</x:f>
        <x:v>0</x:v>
      </x:c>
      <x:c r="AK29" s="23" t="n">
        <x:f>MAX(0,MIN('Activities'!L29,198)-MAX('Activities'!K29,192))</x:f>
        <x:v>4</x:v>
      </x:c>
      <x:c r="AL29" s="23" t="n">
        <x:f>MAX(0,MIN('Activities'!L29,204)-MAX('Activities'!K29,198))</x:f>
        <x:v>1</x:v>
      </x:c>
      <x:c r="AM29" s="23" t="n">
        <x:f>MAX(0,MIN('Activities'!L29,210)-MAX('Activities'!K29,204))</x:f>
        <x:v>0</x:v>
      </x:c>
      <x:c r="AN29" s="23" t="n">
        <x:f>MAX(0,MIN('Activities'!L29,216)-MAX('Activities'!K29,210))</x:f>
        <x:v>0</x:v>
      </x:c>
      <x:c r="AO29" s="23" t="n">
        <x:f>MAX(0,MIN('Activities'!L29,222)-MAX('Activities'!K29,216))</x:f>
        <x:v>0</x:v>
      </x:c>
      <x:c r="AP29" s="23" t="n">
        <x:f>MAX(0,MIN('Activities'!L29,228)-MAX('Activities'!K29,222))</x:f>
        <x:v>0</x:v>
      </x:c>
      <x:c r="AQ29" s="23" t="n">
        <x:f>MAX(0,MIN('Activities'!L29,234)-MAX('Activities'!K29,228))</x:f>
        <x:v>0</x:v>
      </x:c>
      <x:c r="AR29" s="23" t="n">
        <x:f>MAX(0,MIN('Activities'!L29,240)-MAX('Activities'!K29,234))</x:f>
        <x:v>0</x:v>
      </x:c>
      <x:c r="AS29" s="23" t="n">
        <x:f>MAX(0,MIN('Activities'!L29,246)-MAX('Activities'!K29,240))</x:f>
        <x:v>0</x:v>
      </x:c>
      <x:c r="AT29" s="23" t="n">
        <x:f>MAX(0,MIN('Activities'!L29,252)-MAX('Activities'!K29,246))</x:f>
        <x:v>0</x:v>
      </x:c>
      <x:c r="AU29" s="23" t="n">
        <x:f>MAX(0,MIN('Activities'!L29,258)-MAX('Activities'!K29,252))</x:f>
        <x:v>0</x:v>
      </x:c>
      <x:c r="AV29" s="23" t="n">
        <x:f>MAX(0,MIN('Activities'!L29,264)-MAX('Activities'!K29,258))</x:f>
        <x:v>0</x:v>
      </x:c>
      <x:c r="AW29" s="23" t="n">
        <x:f>MAX(0,MIN('Activities'!L29,270)-MAX('Activities'!K29,264))</x:f>
        <x:v>0</x:v>
      </x:c>
      <x:c r="AX29" s="23" t="n">
        <x:f>MAX(0,MIN('Activities'!L29,276)-MAX('Activities'!K29,270))</x:f>
        <x:v>0</x:v>
      </x:c>
      <x:c r="AY29" s="23" t="n">
        <x:f>MAX(0,MIN('Activities'!L29,282)-MAX('Activities'!K29,276))</x:f>
        <x:v>0</x:v>
      </x:c>
      <x:c r="AZ29" s="23" t="n">
        <x:f>MAX(0,MIN('Activities'!L29,288)-MAX('Activities'!K29,282))</x:f>
        <x:v>0</x:v>
      </x:c>
      <x:c r="BA29" s="23" t="n">
        <x:f>MAX(0,MIN('Activities'!L29,294)-MAX('Activities'!K29,288))</x:f>
        <x:v>0</x:v>
      </x:c>
      <x:c r="BB29" s="23" t="n">
        <x:f>MAX(0,MIN('Activities'!L29,300)-MAX('Activities'!K29,294))</x:f>
        <x:v>0</x:v>
      </x:c>
      <x:c r="BC29" s="23" t="n">
        <x:f>MAX(0,MIN('Activities'!L29,306)-MAX('Activities'!K29,300))</x:f>
        <x:v>0</x:v>
      </x:c>
      <x:c r="BD29" s="23" t="n">
        <x:f>MAX(0,MIN('Activities'!L29,312)-MAX('Activities'!K29,306))</x:f>
        <x:v>0</x:v>
      </x:c>
      <x:c r="BE29" s="23" t="n">
        <x:f>MAX(0,MIN('Activities'!L29,318)-MAX('Activities'!K29,312))</x:f>
        <x:v>0</x:v>
      </x:c>
      <x:c r="BF29" s="23" t="n">
        <x:f>MAX(0,MIN('Activities'!L29,324)-MAX('Activities'!K29,318))</x:f>
        <x:v>0</x:v>
      </x:c>
      <x:c r="BG29" s="23" t="n">
        <x:f>MAX(0,MIN('Activities'!L29,330)-MAX('Activities'!K29,324))</x:f>
        <x:v>0</x:v>
      </x:c>
      <x:c r="BH29" s="23" t="n">
        <x:f>MAX(0,MIN('Activities'!L29,336)-MAX('Activities'!K29,330))</x:f>
        <x:v>0</x:v>
      </x:c>
      <x:c r="BI29" s="23" t="n">
        <x:f>MAX(0,MIN('Activities'!L29,342)-MAX('Activities'!K29,336))</x:f>
        <x:v>0</x:v>
      </x:c>
      <x:c r="BJ29" s="23" t="n">
        <x:f>MAX(0,MIN('Activities'!L29,348)-MAX('Activities'!K29,342))</x:f>
        <x:v>0</x:v>
      </x:c>
      <x:c r="BK29" s="23" t="n">
        <x:f>MAX(0,MIN('Activities'!L29,354)-MAX('Activities'!K29,348))</x:f>
        <x:v>0</x:v>
      </x:c>
      <x:c r="BL29" s="23" t="n">
        <x:f>MAX(0,MIN('Activities'!L29,360)-MAX('Activities'!K29,354))</x:f>
        <x:v>0</x:v>
      </x:c>
      <x:c r="BM29" s="23" t="n">
        <x:f>MAX(0,MIN('Activities'!L29,366)-MAX('Activities'!K29,360))</x:f>
        <x:v>0</x:v>
      </x:c>
      <x:c r="BN29" s="23" t="n">
        <x:f>MAX(0,MIN('Activities'!L29,372)-MAX('Activities'!K29,366))</x:f>
        <x:v>0</x:v>
      </x:c>
      <x:c r="BO29" s="23" t="n">
        <x:f>MAX(0,MIN('Activities'!L29,378)-MAX('Activities'!K29,372))</x:f>
        <x:v>0</x:v>
      </x:c>
      <x:c r="BP29" s="23" t="n">
        <x:f>MAX(0,MIN('Activities'!L29,384)-MAX('Activities'!K29,378))</x:f>
        <x:v>0</x:v>
      </x:c>
      <x:c r="BQ29" s="23" t="n">
        <x:f>MAX(0,MIN('Activities'!L29,390)-MAX('Activities'!K29,384))</x:f>
        <x:v>0</x:v>
      </x:c>
      <x:c r="BR29" s="23" t="n">
        <x:f>MAX(0,MIN('Activities'!L29,396)-MAX('Activities'!K29,390))</x:f>
        <x:v>0</x:v>
      </x:c>
      <x:c r="BS29" s="23" t="n">
        <x:f>MAX(0,MIN('Activities'!L29,402)-MAX('Activities'!K29,396))</x:f>
        <x:v>0</x:v>
      </x:c>
      <x:c r="BT29" s="23" t="n">
        <x:f>MAX(0,MIN('Activities'!L29,408)-MAX('Activities'!K29,402))</x:f>
        <x:v>0</x:v>
      </x:c>
      <x:c r="BU29" s="23" t="n">
        <x:f>MAX(0,MIN('Activities'!L29,414)-MAX('Activities'!K29,408))</x:f>
        <x:v>0</x:v>
      </x:c>
      <x:c r="BV29" s="23" t="n">
        <x:f>MAX(0,MIN('Activities'!L29,420)-MAX('Activities'!K29,414))</x:f>
        <x:v>0</x:v>
      </x:c>
      <x:c r="BW29" s="23" t="n">
        <x:f>MAX(0,MIN('Activities'!L29,426)-MAX('Activities'!K29,420))</x:f>
        <x:v>0</x:v>
      </x:c>
      <x:c r="BX29" s="23" t="n">
        <x:f>MAX(0,MIN('Activities'!L29,432)-MAX('Activities'!K29,426))</x:f>
        <x:v>0</x:v>
      </x:c>
      <x:c r="BY29" s="23" t="n">
        <x:f>MAX(0,MIN('Activities'!L29,438)-MAX('Activities'!K29,432))</x:f>
        <x:v>0</x:v>
      </x:c>
      <x:c r="BZ29" s="23" t="n">
        <x:f>MAX(0,MIN('Activities'!L29,444)-MAX('Activities'!K29,438))</x:f>
        <x:v>0</x:v>
      </x:c>
      <x:c r="CA29" s="23" t="n">
        <x:f>MAX(0,MIN('Activities'!L29,450)-MAX('Activities'!K29,444))</x:f>
        <x:v>0</x:v>
      </x:c>
      <x:c r="CB29" s="23" t="n">
        <x:f>MAX(0,MIN('Activities'!L29,456)-MAX('Activities'!K29,450))</x:f>
        <x:v>0</x:v>
      </x:c>
      <x:c r="CC29" s="23" t="n">
        <x:f>MAX(0,MIN('Activities'!L29,462)-MAX('Activities'!K29,456))</x:f>
        <x:v>0</x:v>
      </x:c>
      <x:c r="CD29" s="23" t="n">
        <x:f>MAX(0,MIN('Activities'!L29,468)-MAX('Activities'!K29,462))</x:f>
        <x:v>0</x:v>
      </x:c>
      <x:c r="CE29" s="23" t="n">
        <x:f>MAX(0,MIN('Activities'!L29,474)-MAX('Activities'!K29,468))</x:f>
        <x:v>0</x:v>
      </x:c>
      <x:c r="CF29" s="23" t="n">
        <x:f>MAX(0,MIN('Activities'!L29,480)-MAX('Activities'!K29,474))</x:f>
        <x:v>0</x:v>
      </x:c>
      <x:c r="CG29" s="23" t="n">
        <x:f>MAX(0,MIN('Activities'!L29,486)-MAX('Activities'!K29,480))</x:f>
        <x:v>0</x:v>
      </x:c>
      <x:c r="CH29" s="23" t="n">
        <x:f>MAX(0,MIN('Activities'!L29,492)-MAX('Activities'!K29,486))</x:f>
        <x:v>0</x:v>
      </x:c>
      <x:c r="CI29" s="23" t="n">
        <x:f>MAX(0,MIN('Activities'!L29,498)-MAX('Activities'!K29,492))</x:f>
        <x:v>0</x:v>
      </x:c>
      <x:c r="CJ29" s="23" t="n">
        <x:f>MAX(0,MIN('Activities'!L29,504)-MAX('Activities'!K29,498))</x:f>
        <x:v>0</x:v>
      </x:c>
      <x:c r="CK29" s="23" t="n">
        <x:f>MAX(0,MIN('Activities'!L29,510)-MAX('Activities'!K29,504))</x:f>
        <x:v>0</x:v>
      </x:c>
      <x:c r="CL29" s="23" t="n">
        <x:f>MAX(0,MIN('Activities'!L29,516)-MAX('Activities'!K29,510))</x:f>
        <x:v>0</x:v>
      </x:c>
      <x:c r="CM29" s="23" t="n">
        <x:f>MAX(0,MIN('Activities'!L29,522)-MAX('Activities'!K29,516))</x:f>
        <x:v>0</x:v>
      </x:c>
      <x:c r="CN29" s="23" t="n">
        <x:f>MAX(0,MIN('Activities'!L29,528)-MAX('Activities'!K29,522))</x:f>
        <x:v>0</x:v>
      </x:c>
      <x:c r="CO29" s="23" t="n">
        <x:f>MAX(0,MIN('Activities'!L29,534)-MAX('Activities'!K29,528))</x:f>
        <x:v>0</x:v>
      </x:c>
      <x:c r="CP29" s="23" t="n">
        <x:f>MAX(0,MIN('Activities'!L29,540)-MAX('Activities'!K29,534))</x:f>
        <x:v>0</x:v>
      </x:c>
      <x:c r="CQ29" s="23" t="n">
        <x:f>MAX(0,MIN('Activities'!L29,546)-MAX('Activities'!K29,540))</x:f>
        <x:v>0</x:v>
      </x:c>
      <x:c r="CR29" s="23" t="n">
        <x:f>MAX(0,MIN('Activities'!L29,552)-MAX('Activities'!K29,546))</x:f>
        <x:v>0</x:v>
      </x:c>
      <x:c r="CS29" s="23" t="n">
        <x:f>MAX(0,MIN('Activities'!L29,558)-MAX('Activities'!K29,552))</x:f>
        <x:v>0</x:v>
      </x:c>
      <x:c r="CT29" s="23" t="n">
        <x:f>MAX(0,MIN('Activities'!L29,564)-MAX('Activities'!K29,558))</x:f>
        <x:v>0</x:v>
      </x:c>
      <x:c r="CU29" s="23" t="n">
        <x:f>MAX(0,MIN('Activities'!L29,570)-MAX('Activities'!K29,564))</x:f>
        <x:v>0</x:v>
      </x:c>
      <x:c r="CV29" s="23" t="n">
        <x:f>MAX(0,MIN('Activities'!L29,576)-MAX('Activities'!K29,570))</x:f>
        <x:v>0</x:v>
      </x:c>
      <x:c r="CW29" s="23" t="n">
        <x:f>MAX(0,MIN('Activities'!L29,582)-MAX('Activities'!K29,576))</x:f>
        <x:v>0</x:v>
      </x:c>
      <x:c r="CX29" s="23" t="n">
        <x:f>MAX(0,MIN('Activities'!L29,588)-MAX('Activities'!K29,582))</x:f>
        <x:v>0</x:v>
      </x:c>
      <x:c r="CY29" s="23" t="n">
        <x:f>MAX(0,MIN('Activities'!L29,594)-MAX('Activities'!K29,588))</x:f>
        <x:v>0</x:v>
      </x:c>
      <x:c r="CZ29" s="23" t="n">
        <x:f>MAX(0,MIN('Activities'!L29,600)-MAX('Activities'!K29,594))</x:f>
        <x:v>0</x:v>
      </x:c>
      <x:c r="DA29" s="23" t="n">
        <x:f>MAX(0,MIN('Activities'!L29,606)-MAX('Activities'!K29,600))</x:f>
        <x:v>0</x:v>
      </x:c>
      <x:c r="DB29" s="23" t="n">
        <x:f>MAX(0,MIN('Activities'!L29,612)-MAX('Activities'!K29,606))</x:f>
        <x:v>0</x:v>
      </x:c>
      <x:c r="DC29" s="23" t="n">
        <x:f>MAX(0,MIN('Activities'!L29,618)-MAX('Activities'!K29,612))</x:f>
        <x:v>0</x:v>
      </x:c>
      <x:c r="DD29" s="23" t="n">
        <x:f>MAX(0,MIN('Activities'!L29,624)-MAX('Activities'!K29,618))</x:f>
        <x:v>0</x:v>
      </x:c>
      <x:c r="DE29" s="23" t="n">
        <x:f>MAX(0,MIN('Activities'!L29,630)-MAX('Activities'!K29,624))</x:f>
        <x:v>0</x:v>
      </x:c>
      <x:c r="DF29" s="23" t="n">
        <x:f>MAX(0,MIN('Activities'!L29,636)-MAX('Activities'!K29,630))</x:f>
        <x:v>0</x:v>
      </x:c>
    </x:row>
    <x:row r="30" ht="23" customHeight="1">
      <x:c r="A30" s="6" t="str">
        <x:v>T1-L03-C</x:v>
      </x:c>
      <x:c r="B30" s="6" t="str">
        <x:v>T1</x:v>
      </x:c>
      <x:c r="C30" s="6" t="str">
        <x:v>Concrete placement and finishing</x:v>
      </x:c>
      <x:c r="D30" s="6" t="str">
        <x:v>Concrete</x:v>
      </x:c>
      <x:c r="E30" s="22" t="n">
        <x:f>MAX(0,MIN('Activities'!L30,6)-MAX('Activities'!K30,0))</x:f>
        <x:v>0</x:v>
      </x:c>
      <x:c r="F30" s="22" t="n">
        <x:f>MAX(0,MIN('Activities'!L30,12)-MAX('Activities'!K30,6))</x:f>
        <x:v>0</x:v>
      </x:c>
      <x:c r="G30" s="22" t="n">
        <x:f>MAX(0,MIN('Activities'!L30,18)-MAX('Activities'!K30,12))</x:f>
        <x:v>0</x:v>
      </x:c>
      <x:c r="H30" s="22" t="n">
        <x:f>MAX(0,MIN('Activities'!L30,24)-MAX('Activities'!K30,18))</x:f>
        <x:v>0</x:v>
      </x:c>
      <x:c r="I30" s="22" t="n">
        <x:f>MAX(0,MIN('Activities'!L30,30)-MAX('Activities'!K30,24))</x:f>
        <x:v>0</x:v>
      </x:c>
      <x:c r="J30" s="22" t="n">
        <x:f>MAX(0,MIN('Activities'!L30,36)-MAX('Activities'!K30,30))</x:f>
        <x:v>0</x:v>
      </x:c>
      <x:c r="K30" s="22" t="n">
        <x:f>MAX(0,MIN('Activities'!L30,42)-MAX('Activities'!K30,36))</x:f>
        <x:v>0</x:v>
      </x:c>
      <x:c r="L30" s="22" t="n">
        <x:f>MAX(0,MIN('Activities'!L30,48)-MAX('Activities'!K30,42))</x:f>
        <x:v>0</x:v>
      </x:c>
      <x:c r="M30" s="22" t="n">
        <x:f>MAX(0,MIN('Activities'!L30,54)-MAX('Activities'!K30,48))</x:f>
        <x:v>0</x:v>
      </x:c>
      <x:c r="N30" s="22" t="n">
        <x:f>MAX(0,MIN('Activities'!L30,60)-MAX('Activities'!K30,54))</x:f>
        <x:v>0</x:v>
      </x:c>
      <x:c r="O30" s="22" t="n">
        <x:f>MAX(0,MIN('Activities'!L30,66)-MAX('Activities'!K30,60))</x:f>
        <x:v>0</x:v>
      </x:c>
      <x:c r="P30" s="22" t="n">
        <x:f>MAX(0,MIN('Activities'!L30,72)-MAX('Activities'!K30,66))</x:f>
        <x:v>0</x:v>
      </x:c>
      <x:c r="Q30" s="22" t="n">
        <x:f>MAX(0,MIN('Activities'!L30,78)-MAX('Activities'!K30,72))</x:f>
        <x:v>0</x:v>
      </x:c>
      <x:c r="R30" s="22" t="n">
        <x:f>MAX(0,MIN('Activities'!L30,84)-MAX('Activities'!K30,78))</x:f>
        <x:v>0</x:v>
      </x:c>
      <x:c r="S30" s="22" t="n">
        <x:f>MAX(0,MIN('Activities'!L30,90)-MAX('Activities'!K30,84))</x:f>
        <x:v>0</x:v>
      </x:c>
      <x:c r="T30" s="22" t="n">
        <x:f>MAX(0,MIN('Activities'!L30,96)-MAX('Activities'!K30,90))</x:f>
        <x:v>0</x:v>
      </x:c>
      <x:c r="U30" s="22" t="n">
        <x:f>MAX(0,MIN('Activities'!L30,102)-MAX('Activities'!K30,96))</x:f>
        <x:v>0</x:v>
      </x:c>
      <x:c r="V30" s="22" t="n">
        <x:f>MAX(0,MIN('Activities'!L30,108)-MAX('Activities'!K30,102))</x:f>
        <x:v>0</x:v>
      </x:c>
      <x:c r="W30" s="22" t="n">
        <x:f>MAX(0,MIN('Activities'!L30,114)-MAX('Activities'!K30,108))</x:f>
        <x:v>0</x:v>
      </x:c>
      <x:c r="X30" s="22" t="n">
        <x:f>MAX(0,MIN('Activities'!L30,120)-MAX('Activities'!K30,114))</x:f>
        <x:v>0</x:v>
      </x:c>
      <x:c r="Y30" s="22" t="n">
        <x:f>MAX(0,MIN('Activities'!L30,126)-MAX('Activities'!K30,120))</x:f>
        <x:v>0</x:v>
      </x:c>
      <x:c r="Z30" s="22" t="n">
        <x:f>MAX(0,MIN('Activities'!L30,132)-MAX('Activities'!K30,126))</x:f>
        <x:v>0</x:v>
      </x:c>
      <x:c r="AA30" s="22" t="n">
        <x:f>MAX(0,MIN('Activities'!L30,138)-MAX('Activities'!K30,132))</x:f>
        <x:v>0</x:v>
      </x:c>
      <x:c r="AB30" s="22" t="n">
        <x:f>MAX(0,MIN('Activities'!L30,144)-MAX('Activities'!K30,138))</x:f>
        <x:v>0</x:v>
      </x:c>
      <x:c r="AC30" s="22" t="n">
        <x:f>MAX(0,MIN('Activities'!L30,150)-MAX('Activities'!K30,144))</x:f>
        <x:v>0</x:v>
      </x:c>
      <x:c r="AD30" s="22" t="n">
        <x:f>MAX(0,MIN('Activities'!L30,156)-MAX('Activities'!K30,150))</x:f>
        <x:v>0</x:v>
      </x:c>
      <x:c r="AE30" s="22" t="n">
        <x:f>MAX(0,MIN('Activities'!L30,162)-MAX('Activities'!K30,156))</x:f>
        <x:v>0</x:v>
      </x:c>
      <x:c r="AF30" s="22" t="n">
        <x:f>MAX(0,MIN('Activities'!L30,168)-MAX('Activities'!K30,162))</x:f>
        <x:v>0</x:v>
      </x:c>
      <x:c r="AG30" s="22" t="n">
        <x:f>MAX(0,MIN('Activities'!L30,174)-MAX('Activities'!K30,168))</x:f>
        <x:v>0</x:v>
      </x:c>
      <x:c r="AH30" s="22" t="n">
        <x:f>MAX(0,MIN('Activities'!L30,180)-MAX('Activities'!K30,174))</x:f>
        <x:v>0</x:v>
      </x:c>
      <x:c r="AI30" s="22" t="n">
        <x:f>MAX(0,MIN('Activities'!L30,186)-MAX('Activities'!K30,180))</x:f>
        <x:v>0</x:v>
      </x:c>
      <x:c r="AJ30" s="22" t="n">
        <x:f>MAX(0,MIN('Activities'!L30,192)-MAX('Activities'!K30,186))</x:f>
        <x:v>0</x:v>
      </x:c>
      <x:c r="AK30" s="22" t="n">
        <x:f>MAX(0,MIN('Activities'!L30,198)-MAX('Activities'!K30,192))</x:f>
        <x:v>0</x:v>
      </x:c>
      <x:c r="AL30" s="22" t="n">
        <x:f>MAX(0,MIN('Activities'!L30,204)-MAX('Activities'!K30,198))</x:f>
        <x:v>2</x:v>
      </x:c>
      <x:c r="AM30" s="22" t="n">
        <x:f>MAX(0,MIN('Activities'!L30,210)-MAX('Activities'!K30,204))</x:f>
        <x:v>0</x:v>
      </x:c>
      <x:c r="AN30" s="22" t="n">
        <x:f>MAX(0,MIN('Activities'!L30,216)-MAX('Activities'!K30,210))</x:f>
        <x:v>0</x:v>
      </x:c>
      <x:c r="AO30" s="22" t="n">
        <x:f>MAX(0,MIN('Activities'!L30,222)-MAX('Activities'!K30,216))</x:f>
        <x:v>0</x:v>
      </x:c>
      <x:c r="AP30" s="22" t="n">
        <x:f>MAX(0,MIN('Activities'!L30,228)-MAX('Activities'!K30,222))</x:f>
        <x:v>0</x:v>
      </x:c>
      <x:c r="AQ30" s="22" t="n">
        <x:f>MAX(0,MIN('Activities'!L30,234)-MAX('Activities'!K30,228))</x:f>
        <x:v>0</x:v>
      </x:c>
      <x:c r="AR30" s="22" t="n">
        <x:f>MAX(0,MIN('Activities'!L30,240)-MAX('Activities'!K30,234))</x:f>
        <x:v>0</x:v>
      </x:c>
      <x:c r="AS30" s="22" t="n">
        <x:f>MAX(0,MIN('Activities'!L30,246)-MAX('Activities'!K30,240))</x:f>
        <x:v>0</x:v>
      </x:c>
      <x:c r="AT30" s="22" t="n">
        <x:f>MAX(0,MIN('Activities'!L30,252)-MAX('Activities'!K30,246))</x:f>
        <x:v>0</x:v>
      </x:c>
      <x:c r="AU30" s="22" t="n">
        <x:f>MAX(0,MIN('Activities'!L30,258)-MAX('Activities'!K30,252))</x:f>
        <x:v>0</x:v>
      </x:c>
      <x:c r="AV30" s="22" t="n">
        <x:f>MAX(0,MIN('Activities'!L30,264)-MAX('Activities'!K30,258))</x:f>
        <x:v>0</x:v>
      </x:c>
      <x:c r="AW30" s="22" t="n">
        <x:f>MAX(0,MIN('Activities'!L30,270)-MAX('Activities'!K30,264))</x:f>
        <x:v>0</x:v>
      </x:c>
      <x:c r="AX30" s="22" t="n">
        <x:f>MAX(0,MIN('Activities'!L30,276)-MAX('Activities'!K30,270))</x:f>
        <x:v>0</x:v>
      </x:c>
      <x:c r="AY30" s="22" t="n">
        <x:f>MAX(0,MIN('Activities'!L30,282)-MAX('Activities'!K30,276))</x:f>
        <x:v>0</x:v>
      </x:c>
      <x:c r="AZ30" s="22" t="n">
        <x:f>MAX(0,MIN('Activities'!L30,288)-MAX('Activities'!K30,282))</x:f>
        <x:v>0</x:v>
      </x:c>
      <x:c r="BA30" s="22" t="n">
        <x:f>MAX(0,MIN('Activities'!L30,294)-MAX('Activities'!K30,288))</x:f>
        <x:v>0</x:v>
      </x:c>
      <x:c r="BB30" s="22" t="n">
        <x:f>MAX(0,MIN('Activities'!L30,300)-MAX('Activities'!K30,294))</x:f>
        <x:v>0</x:v>
      </x:c>
      <x:c r="BC30" s="22" t="n">
        <x:f>MAX(0,MIN('Activities'!L30,306)-MAX('Activities'!K30,300))</x:f>
        <x:v>0</x:v>
      </x:c>
      <x:c r="BD30" s="22" t="n">
        <x:f>MAX(0,MIN('Activities'!L30,312)-MAX('Activities'!K30,306))</x:f>
        <x:v>0</x:v>
      </x:c>
      <x:c r="BE30" s="22" t="n">
        <x:f>MAX(0,MIN('Activities'!L30,318)-MAX('Activities'!K30,312))</x:f>
        <x:v>0</x:v>
      </x:c>
      <x:c r="BF30" s="22" t="n">
        <x:f>MAX(0,MIN('Activities'!L30,324)-MAX('Activities'!K30,318))</x:f>
        <x:v>0</x:v>
      </x:c>
      <x:c r="BG30" s="22" t="n">
        <x:f>MAX(0,MIN('Activities'!L30,330)-MAX('Activities'!K30,324))</x:f>
        <x:v>0</x:v>
      </x:c>
      <x:c r="BH30" s="22" t="n">
        <x:f>MAX(0,MIN('Activities'!L30,336)-MAX('Activities'!K30,330))</x:f>
        <x:v>0</x:v>
      </x:c>
      <x:c r="BI30" s="22" t="n">
        <x:f>MAX(0,MIN('Activities'!L30,342)-MAX('Activities'!K30,336))</x:f>
        <x:v>0</x:v>
      </x:c>
      <x:c r="BJ30" s="22" t="n">
        <x:f>MAX(0,MIN('Activities'!L30,348)-MAX('Activities'!K30,342))</x:f>
        <x:v>0</x:v>
      </x:c>
      <x:c r="BK30" s="22" t="n">
        <x:f>MAX(0,MIN('Activities'!L30,354)-MAX('Activities'!K30,348))</x:f>
        <x:v>0</x:v>
      </x:c>
      <x:c r="BL30" s="22" t="n">
        <x:f>MAX(0,MIN('Activities'!L30,360)-MAX('Activities'!K30,354))</x:f>
        <x:v>0</x:v>
      </x:c>
      <x:c r="BM30" s="22" t="n">
        <x:f>MAX(0,MIN('Activities'!L30,366)-MAX('Activities'!K30,360))</x:f>
        <x:v>0</x:v>
      </x:c>
      <x:c r="BN30" s="22" t="n">
        <x:f>MAX(0,MIN('Activities'!L30,372)-MAX('Activities'!K30,366))</x:f>
        <x:v>0</x:v>
      </x:c>
      <x:c r="BO30" s="22" t="n">
        <x:f>MAX(0,MIN('Activities'!L30,378)-MAX('Activities'!K30,372))</x:f>
        <x:v>0</x:v>
      </x:c>
      <x:c r="BP30" s="22" t="n">
        <x:f>MAX(0,MIN('Activities'!L30,384)-MAX('Activities'!K30,378))</x:f>
        <x:v>0</x:v>
      </x:c>
      <x:c r="BQ30" s="22" t="n">
        <x:f>MAX(0,MIN('Activities'!L30,390)-MAX('Activities'!K30,384))</x:f>
        <x:v>0</x:v>
      </x:c>
      <x:c r="BR30" s="22" t="n">
        <x:f>MAX(0,MIN('Activities'!L30,396)-MAX('Activities'!K30,390))</x:f>
        <x:v>0</x:v>
      </x:c>
      <x:c r="BS30" s="22" t="n">
        <x:f>MAX(0,MIN('Activities'!L30,402)-MAX('Activities'!K30,396))</x:f>
        <x:v>0</x:v>
      </x:c>
      <x:c r="BT30" s="22" t="n">
        <x:f>MAX(0,MIN('Activities'!L30,408)-MAX('Activities'!K30,402))</x:f>
        <x:v>0</x:v>
      </x:c>
      <x:c r="BU30" s="22" t="n">
        <x:f>MAX(0,MIN('Activities'!L30,414)-MAX('Activities'!K30,408))</x:f>
        <x:v>0</x:v>
      </x:c>
      <x:c r="BV30" s="22" t="n">
        <x:f>MAX(0,MIN('Activities'!L30,420)-MAX('Activities'!K30,414))</x:f>
        <x:v>0</x:v>
      </x:c>
      <x:c r="BW30" s="22" t="n">
        <x:f>MAX(0,MIN('Activities'!L30,426)-MAX('Activities'!K30,420))</x:f>
        <x:v>0</x:v>
      </x:c>
      <x:c r="BX30" s="22" t="n">
        <x:f>MAX(0,MIN('Activities'!L30,432)-MAX('Activities'!K30,426))</x:f>
        <x:v>0</x:v>
      </x:c>
      <x:c r="BY30" s="22" t="n">
        <x:f>MAX(0,MIN('Activities'!L30,438)-MAX('Activities'!K30,432))</x:f>
        <x:v>0</x:v>
      </x:c>
      <x:c r="BZ30" s="22" t="n">
        <x:f>MAX(0,MIN('Activities'!L30,444)-MAX('Activities'!K30,438))</x:f>
        <x:v>0</x:v>
      </x:c>
      <x:c r="CA30" s="22" t="n">
        <x:f>MAX(0,MIN('Activities'!L30,450)-MAX('Activities'!K30,444))</x:f>
        <x:v>0</x:v>
      </x:c>
      <x:c r="CB30" s="22" t="n">
        <x:f>MAX(0,MIN('Activities'!L30,456)-MAX('Activities'!K30,450))</x:f>
        <x:v>0</x:v>
      </x:c>
      <x:c r="CC30" s="22" t="n">
        <x:f>MAX(0,MIN('Activities'!L30,462)-MAX('Activities'!K30,456))</x:f>
        <x:v>0</x:v>
      </x:c>
      <x:c r="CD30" s="22" t="n">
        <x:f>MAX(0,MIN('Activities'!L30,468)-MAX('Activities'!K30,462))</x:f>
        <x:v>0</x:v>
      </x:c>
      <x:c r="CE30" s="22" t="n">
        <x:f>MAX(0,MIN('Activities'!L30,474)-MAX('Activities'!K30,468))</x:f>
        <x:v>0</x:v>
      </x:c>
      <x:c r="CF30" s="22" t="n">
        <x:f>MAX(0,MIN('Activities'!L30,480)-MAX('Activities'!K30,474))</x:f>
        <x:v>0</x:v>
      </x:c>
      <x:c r="CG30" s="22" t="n">
        <x:f>MAX(0,MIN('Activities'!L30,486)-MAX('Activities'!K30,480))</x:f>
        <x:v>0</x:v>
      </x:c>
      <x:c r="CH30" s="22" t="n">
        <x:f>MAX(0,MIN('Activities'!L30,492)-MAX('Activities'!K30,486))</x:f>
        <x:v>0</x:v>
      </x:c>
      <x:c r="CI30" s="22" t="n">
        <x:f>MAX(0,MIN('Activities'!L30,498)-MAX('Activities'!K30,492))</x:f>
        <x:v>0</x:v>
      </x:c>
      <x:c r="CJ30" s="22" t="n">
        <x:f>MAX(0,MIN('Activities'!L30,504)-MAX('Activities'!K30,498))</x:f>
        <x:v>0</x:v>
      </x:c>
      <x:c r="CK30" s="22" t="n">
        <x:f>MAX(0,MIN('Activities'!L30,510)-MAX('Activities'!K30,504))</x:f>
        <x:v>0</x:v>
      </x:c>
      <x:c r="CL30" s="22" t="n">
        <x:f>MAX(0,MIN('Activities'!L30,516)-MAX('Activities'!K30,510))</x:f>
        <x:v>0</x:v>
      </x:c>
      <x:c r="CM30" s="22" t="n">
        <x:f>MAX(0,MIN('Activities'!L30,522)-MAX('Activities'!K30,516))</x:f>
        <x:v>0</x:v>
      </x:c>
      <x:c r="CN30" s="22" t="n">
        <x:f>MAX(0,MIN('Activities'!L30,528)-MAX('Activities'!K30,522))</x:f>
        <x:v>0</x:v>
      </x:c>
      <x:c r="CO30" s="22" t="n">
        <x:f>MAX(0,MIN('Activities'!L30,534)-MAX('Activities'!K30,528))</x:f>
        <x:v>0</x:v>
      </x:c>
      <x:c r="CP30" s="22" t="n">
        <x:f>MAX(0,MIN('Activities'!L30,540)-MAX('Activities'!K30,534))</x:f>
        <x:v>0</x:v>
      </x:c>
      <x:c r="CQ30" s="22" t="n">
        <x:f>MAX(0,MIN('Activities'!L30,546)-MAX('Activities'!K30,540))</x:f>
        <x:v>0</x:v>
      </x:c>
      <x:c r="CR30" s="22" t="n">
        <x:f>MAX(0,MIN('Activities'!L30,552)-MAX('Activities'!K30,546))</x:f>
        <x:v>0</x:v>
      </x:c>
      <x:c r="CS30" s="22" t="n">
        <x:f>MAX(0,MIN('Activities'!L30,558)-MAX('Activities'!K30,552))</x:f>
        <x:v>0</x:v>
      </x:c>
      <x:c r="CT30" s="22" t="n">
        <x:f>MAX(0,MIN('Activities'!L30,564)-MAX('Activities'!K30,558))</x:f>
        <x:v>0</x:v>
      </x:c>
      <x:c r="CU30" s="22" t="n">
        <x:f>MAX(0,MIN('Activities'!L30,570)-MAX('Activities'!K30,564))</x:f>
        <x:v>0</x:v>
      </x:c>
      <x:c r="CV30" s="22" t="n">
        <x:f>MAX(0,MIN('Activities'!L30,576)-MAX('Activities'!K30,570))</x:f>
        <x:v>0</x:v>
      </x:c>
      <x:c r="CW30" s="22" t="n">
        <x:f>MAX(0,MIN('Activities'!L30,582)-MAX('Activities'!K30,576))</x:f>
        <x:v>0</x:v>
      </x:c>
      <x:c r="CX30" s="22" t="n">
        <x:f>MAX(0,MIN('Activities'!L30,588)-MAX('Activities'!K30,582))</x:f>
        <x:v>0</x:v>
      </x:c>
      <x:c r="CY30" s="22" t="n">
        <x:f>MAX(0,MIN('Activities'!L30,594)-MAX('Activities'!K30,588))</x:f>
        <x:v>0</x:v>
      </x:c>
      <x:c r="CZ30" s="22" t="n">
        <x:f>MAX(0,MIN('Activities'!L30,600)-MAX('Activities'!K30,594))</x:f>
        <x:v>0</x:v>
      </x:c>
      <x:c r="DA30" s="22" t="n">
        <x:f>MAX(0,MIN('Activities'!L30,606)-MAX('Activities'!K30,600))</x:f>
        <x:v>0</x:v>
      </x:c>
      <x:c r="DB30" s="22" t="n">
        <x:f>MAX(0,MIN('Activities'!L30,612)-MAX('Activities'!K30,606))</x:f>
        <x:v>0</x:v>
      </x:c>
      <x:c r="DC30" s="22" t="n">
        <x:f>MAX(0,MIN('Activities'!L30,618)-MAX('Activities'!K30,612))</x:f>
        <x:v>0</x:v>
      </x:c>
      <x:c r="DD30" s="22" t="n">
        <x:f>MAX(0,MIN('Activities'!L30,624)-MAX('Activities'!K30,618))</x:f>
        <x:v>0</x:v>
      </x:c>
      <x:c r="DE30" s="22" t="n">
        <x:f>MAX(0,MIN('Activities'!L30,630)-MAX('Activities'!K30,624))</x:f>
        <x:v>0</x:v>
      </x:c>
      <x:c r="DF30" s="22" t="n">
        <x:f>MAX(0,MIN('Activities'!L30,636)-MAX('Activities'!K30,630))</x:f>
        <x:v>0</x:v>
      </x:c>
    </x:row>
    <x:row r="31" ht="23" customHeight="1">
      <x:c r="A31" s="1" t="str">
        <x:v>T1-L03-H</x:v>
      </x:c>
      <x:c r="B31" s="1" t="str">
        <x:v>T1</x:v>
      </x:c>
      <x:c r="C31" s="1" t="str">
        <x:v>Curing and release hold point</x:v>
      </x:c>
      <x:c r="D31" s="1" t="str">
        <x:v>Site</x:v>
      </x:c>
      <x:c r="E31" s="23" t="n">
        <x:f>MAX(0,MIN('Activities'!L31,6)-MAX('Activities'!K31,0))</x:f>
        <x:v>0</x:v>
      </x:c>
      <x:c r="F31" s="23" t="n">
        <x:f>MAX(0,MIN('Activities'!L31,12)-MAX('Activities'!K31,6))</x:f>
        <x:v>0</x:v>
      </x:c>
      <x:c r="G31" s="23" t="n">
        <x:f>MAX(0,MIN('Activities'!L31,18)-MAX('Activities'!K31,12))</x:f>
        <x:v>0</x:v>
      </x:c>
      <x:c r="H31" s="23" t="n">
        <x:f>MAX(0,MIN('Activities'!L31,24)-MAX('Activities'!K31,18))</x:f>
        <x:v>0</x:v>
      </x:c>
      <x:c r="I31" s="23" t="n">
        <x:f>MAX(0,MIN('Activities'!L31,30)-MAX('Activities'!K31,24))</x:f>
        <x:v>0</x:v>
      </x:c>
      <x:c r="J31" s="23" t="n">
        <x:f>MAX(0,MIN('Activities'!L31,36)-MAX('Activities'!K31,30))</x:f>
        <x:v>0</x:v>
      </x:c>
      <x:c r="K31" s="23" t="n">
        <x:f>MAX(0,MIN('Activities'!L31,42)-MAX('Activities'!K31,36))</x:f>
        <x:v>0</x:v>
      </x:c>
      <x:c r="L31" s="23" t="n">
        <x:f>MAX(0,MIN('Activities'!L31,48)-MAX('Activities'!K31,42))</x:f>
        <x:v>0</x:v>
      </x:c>
      <x:c r="M31" s="23" t="n">
        <x:f>MAX(0,MIN('Activities'!L31,54)-MAX('Activities'!K31,48))</x:f>
        <x:v>0</x:v>
      </x:c>
      <x:c r="N31" s="23" t="n">
        <x:f>MAX(0,MIN('Activities'!L31,60)-MAX('Activities'!K31,54))</x:f>
        <x:v>0</x:v>
      </x:c>
      <x:c r="O31" s="23" t="n">
        <x:f>MAX(0,MIN('Activities'!L31,66)-MAX('Activities'!K31,60))</x:f>
        <x:v>0</x:v>
      </x:c>
      <x:c r="P31" s="23" t="n">
        <x:f>MAX(0,MIN('Activities'!L31,72)-MAX('Activities'!K31,66))</x:f>
        <x:v>0</x:v>
      </x:c>
      <x:c r="Q31" s="23" t="n">
        <x:f>MAX(0,MIN('Activities'!L31,78)-MAX('Activities'!K31,72))</x:f>
        <x:v>0</x:v>
      </x:c>
      <x:c r="R31" s="23" t="n">
        <x:f>MAX(0,MIN('Activities'!L31,84)-MAX('Activities'!K31,78))</x:f>
        <x:v>0</x:v>
      </x:c>
      <x:c r="S31" s="23" t="n">
        <x:f>MAX(0,MIN('Activities'!L31,90)-MAX('Activities'!K31,84))</x:f>
        <x:v>0</x:v>
      </x:c>
      <x:c r="T31" s="23" t="n">
        <x:f>MAX(0,MIN('Activities'!L31,96)-MAX('Activities'!K31,90))</x:f>
        <x:v>0</x:v>
      </x:c>
      <x:c r="U31" s="23" t="n">
        <x:f>MAX(0,MIN('Activities'!L31,102)-MAX('Activities'!K31,96))</x:f>
        <x:v>0</x:v>
      </x:c>
      <x:c r="V31" s="23" t="n">
        <x:f>MAX(0,MIN('Activities'!L31,108)-MAX('Activities'!K31,102))</x:f>
        <x:v>0</x:v>
      </x:c>
      <x:c r="W31" s="23" t="n">
        <x:f>MAX(0,MIN('Activities'!L31,114)-MAX('Activities'!K31,108))</x:f>
        <x:v>0</x:v>
      </x:c>
      <x:c r="X31" s="23" t="n">
        <x:f>MAX(0,MIN('Activities'!L31,120)-MAX('Activities'!K31,114))</x:f>
        <x:v>0</x:v>
      </x:c>
      <x:c r="Y31" s="23" t="n">
        <x:f>MAX(0,MIN('Activities'!L31,126)-MAX('Activities'!K31,120))</x:f>
        <x:v>0</x:v>
      </x:c>
      <x:c r="Z31" s="23" t="n">
        <x:f>MAX(0,MIN('Activities'!L31,132)-MAX('Activities'!K31,126))</x:f>
        <x:v>0</x:v>
      </x:c>
      <x:c r="AA31" s="23" t="n">
        <x:f>MAX(0,MIN('Activities'!L31,138)-MAX('Activities'!K31,132))</x:f>
        <x:v>0</x:v>
      </x:c>
      <x:c r="AB31" s="23" t="n">
        <x:f>MAX(0,MIN('Activities'!L31,144)-MAX('Activities'!K31,138))</x:f>
        <x:v>0</x:v>
      </x:c>
      <x:c r="AC31" s="23" t="n">
        <x:f>MAX(0,MIN('Activities'!L31,150)-MAX('Activities'!K31,144))</x:f>
        <x:v>0</x:v>
      </x:c>
      <x:c r="AD31" s="23" t="n">
        <x:f>MAX(0,MIN('Activities'!L31,156)-MAX('Activities'!K31,150))</x:f>
        <x:v>0</x:v>
      </x:c>
      <x:c r="AE31" s="23" t="n">
        <x:f>MAX(0,MIN('Activities'!L31,162)-MAX('Activities'!K31,156))</x:f>
        <x:v>0</x:v>
      </x:c>
      <x:c r="AF31" s="23" t="n">
        <x:f>MAX(0,MIN('Activities'!L31,168)-MAX('Activities'!K31,162))</x:f>
        <x:v>0</x:v>
      </x:c>
      <x:c r="AG31" s="23" t="n">
        <x:f>MAX(0,MIN('Activities'!L31,174)-MAX('Activities'!K31,168))</x:f>
        <x:v>0</x:v>
      </x:c>
      <x:c r="AH31" s="23" t="n">
        <x:f>MAX(0,MIN('Activities'!L31,180)-MAX('Activities'!K31,174))</x:f>
        <x:v>0</x:v>
      </x:c>
      <x:c r="AI31" s="23" t="n">
        <x:f>MAX(0,MIN('Activities'!L31,186)-MAX('Activities'!K31,180))</x:f>
        <x:v>0</x:v>
      </x:c>
      <x:c r="AJ31" s="23" t="n">
        <x:f>MAX(0,MIN('Activities'!L31,192)-MAX('Activities'!K31,186))</x:f>
        <x:v>0</x:v>
      </x:c>
      <x:c r="AK31" s="23" t="n">
        <x:f>MAX(0,MIN('Activities'!L31,198)-MAX('Activities'!K31,192))</x:f>
        <x:v>0</x:v>
      </x:c>
      <x:c r="AL31" s="23" t="n">
        <x:f>MAX(0,MIN('Activities'!L31,204)-MAX('Activities'!K31,198))</x:f>
        <x:v>3</x:v>
      </x:c>
      <x:c r="AM31" s="23" t="n">
        <x:f>MAX(0,MIN('Activities'!L31,210)-MAX('Activities'!K31,204))</x:f>
        <x:v>2</x:v>
      </x:c>
      <x:c r="AN31" s="23" t="n">
        <x:f>MAX(0,MIN('Activities'!L31,216)-MAX('Activities'!K31,210))</x:f>
        <x:v>0</x:v>
      </x:c>
      <x:c r="AO31" s="23" t="n">
        <x:f>MAX(0,MIN('Activities'!L31,222)-MAX('Activities'!K31,216))</x:f>
        <x:v>0</x:v>
      </x:c>
      <x:c r="AP31" s="23" t="n">
        <x:f>MAX(0,MIN('Activities'!L31,228)-MAX('Activities'!K31,222))</x:f>
        <x:v>0</x:v>
      </x:c>
      <x:c r="AQ31" s="23" t="n">
        <x:f>MAX(0,MIN('Activities'!L31,234)-MAX('Activities'!K31,228))</x:f>
        <x:v>0</x:v>
      </x:c>
      <x:c r="AR31" s="23" t="n">
        <x:f>MAX(0,MIN('Activities'!L31,240)-MAX('Activities'!K31,234))</x:f>
        <x:v>0</x:v>
      </x:c>
      <x:c r="AS31" s="23" t="n">
        <x:f>MAX(0,MIN('Activities'!L31,246)-MAX('Activities'!K31,240))</x:f>
        <x:v>0</x:v>
      </x:c>
      <x:c r="AT31" s="23" t="n">
        <x:f>MAX(0,MIN('Activities'!L31,252)-MAX('Activities'!K31,246))</x:f>
        <x:v>0</x:v>
      </x:c>
      <x:c r="AU31" s="23" t="n">
        <x:f>MAX(0,MIN('Activities'!L31,258)-MAX('Activities'!K31,252))</x:f>
        <x:v>0</x:v>
      </x:c>
      <x:c r="AV31" s="23" t="n">
        <x:f>MAX(0,MIN('Activities'!L31,264)-MAX('Activities'!K31,258))</x:f>
        <x:v>0</x:v>
      </x:c>
      <x:c r="AW31" s="23" t="n">
        <x:f>MAX(0,MIN('Activities'!L31,270)-MAX('Activities'!K31,264))</x:f>
        <x:v>0</x:v>
      </x:c>
      <x:c r="AX31" s="23" t="n">
        <x:f>MAX(0,MIN('Activities'!L31,276)-MAX('Activities'!K31,270))</x:f>
        <x:v>0</x:v>
      </x:c>
      <x:c r="AY31" s="23" t="n">
        <x:f>MAX(0,MIN('Activities'!L31,282)-MAX('Activities'!K31,276))</x:f>
        <x:v>0</x:v>
      </x:c>
      <x:c r="AZ31" s="23" t="n">
        <x:f>MAX(0,MIN('Activities'!L31,288)-MAX('Activities'!K31,282))</x:f>
        <x:v>0</x:v>
      </x:c>
      <x:c r="BA31" s="23" t="n">
        <x:f>MAX(0,MIN('Activities'!L31,294)-MAX('Activities'!K31,288))</x:f>
        <x:v>0</x:v>
      </x:c>
      <x:c r="BB31" s="23" t="n">
        <x:f>MAX(0,MIN('Activities'!L31,300)-MAX('Activities'!K31,294))</x:f>
        <x:v>0</x:v>
      </x:c>
      <x:c r="BC31" s="23" t="n">
        <x:f>MAX(0,MIN('Activities'!L31,306)-MAX('Activities'!K31,300))</x:f>
        <x:v>0</x:v>
      </x:c>
      <x:c r="BD31" s="23" t="n">
        <x:f>MAX(0,MIN('Activities'!L31,312)-MAX('Activities'!K31,306))</x:f>
        <x:v>0</x:v>
      </x:c>
      <x:c r="BE31" s="23" t="n">
        <x:f>MAX(0,MIN('Activities'!L31,318)-MAX('Activities'!K31,312))</x:f>
        <x:v>0</x:v>
      </x:c>
      <x:c r="BF31" s="23" t="n">
        <x:f>MAX(0,MIN('Activities'!L31,324)-MAX('Activities'!K31,318))</x:f>
        <x:v>0</x:v>
      </x:c>
      <x:c r="BG31" s="23" t="n">
        <x:f>MAX(0,MIN('Activities'!L31,330)-MAX('Activities'!K31,324))</x:f>
        <x:v>0</x:v>
      </x:c>
      <x:c r="BH31" s="23" t="n">
        <x:f>MAX(0,MIN('Activities'!L31,336)-MAX('Activities'!K31,330))</x:f>
        <x:v>0</x:v>
      </x:c>
      <x:c r="BI31" s="23" t="n">
        <x:f>MAX(0,MIN('Activities'!L31,342)-MAX('Activities'!K31,336))</x:f>
        <x:v>0</x:v>
      </x:c>
      <x:c r="BJ31" s="23" t="n">
        <x:f>MAX(0,MIN('Activities'!L31,348)-MAX('Activities'!K31,342))</x:f>
        <x:v>0</x:v>
      </x:c>
      <x:c r="BK31" s="23" t="n">
        <x:f>MAX(0,MIN('Activities'!L31,354)-MAX('Activities'!K31,348))</x:f>
        <x:v>0</x:v>
      </x:c>
      <x:c r="BL31" s="23" t="n">
        <x:f>MAX(0,MIN('Activities'!L31,360)-MAX('Activities'!K31,354))</x:f>
        <x:v>0</x:v>
      </x:c>
      <x:c r="BM31" s="23" t="n">
        <x:f>MAX(0,MIN('Activities'!L31,366)-MAX('Activities'!K31,360))</x:f>
        <x:v>0</x:v>
      </x:c>
      <x:c r="BN31" s="23" t="n">
        <x:f>MAX(0,MIN('Activities'!L31,372)-MAX('Activities'!K31,366))</x:f>
        <x:v>0</x:v>
      </x:c>
      <x:c r="BO31" s="23" t="n">
        <x:f>MAX(0,MIN('Activities'!L31,378)-MAX('Activities'!K31,372))</x:f>
        <x:v>0</x:v>
      </x:c>
      <x:c r="BP31" s="23" t="n">
        <x:f>MAX(0,MIN('Activities'!L31,384)-MAX('Activities'!K31,378))</x:f>
        <x:v>0</x:v>
      </x:c>
      <x:c r="BQ31" s="23" t="n">
        <x:f>MAX(0,MIN('Activities'!L31,390)-MAX('Activities'!K31,384))</x:f>
        <x:v>0</x:v>
      </x:c>
      <x:c r="BR31" s="23" t="n">
        <x:f>MAX(0,MIN('Activities'!L31,396)-MAX('Activities'!K31,390))</x:f>
        <x:v>0</x:v>
      </x:c>
      <x:c r="BS31" s="23" t="n">
        <x:f>MAX(0,MIN('Activities'!L31,402)-MAX('Activities'!K31,396))</x:f>
        <x:v>0</x:v>
      </x:c>
      <x:c r="BT31" s="23" t="n">
        <x:f>MAX(0,MIN('Activities'!L31,408)-MAX('Activities'!K31,402))</x:f>
        <x:v>0</x:v>
      </x:c>
      <x:c r="BU31" s="23" t="n">
        <x:f>MAX(0,MIN('Activities'!L31,414)-MAX('Activities'!K31,408))</x:f>
        <x:v>0</x:v>
      </x:c>
      <x:c r="BV31" s="23" t="n">
        <x:f>MAX(0,MIN('Activities'!L31,420)-MAX('Activities'!K31,414))</x:f>
        <x:v>0</x:v>
      </x:c>
      <x:c r="BW31" s="23" t="n">
        <x:f>MAX(0,MIN('Activities'!L31,426)-MAX('Activities'!K31,420))</x:f>
        <x:v>0</x:v>
      </x:c>
      <x:c r="BX31" s="23" t="n">
        <x:f>MAX(0,MIN('Activities'!L31,432)-MAX('Activities'!K31,426))</x:f>
        <x:v>0</x:v>
      </x:c>
      <x:c r="BY31" s="23" t="n">
        <x:f>MAX(0,MIN('Activities'!L31,438)-MAX('Activities'!K31,432))</x:f>
        <x:v>0</x:v>
      </x:c>
      <x:c r="BZ31" s="23" t="n">
        <x:f>MAX(0,MIN('Activities'!L31,444)-MAX('Activities'!K31,438))</x:f>
        <x:v>0</x:v>
      </x:c>
      <x:c r="CA31" s="23" t="n">
        <x:f>MAX(0,MIN('Activities'!L31,450)-MAX('Activities'!K31,444))</x:f>
        <x:v>0</x:v>
      </x:c>
      <x:c r="CB31" s="23" t="n">
        <x:f>MAX(0,MIN('Activities'!L31,456)-MAX('Activities'!K31,450))</x:f>
        <x:v>0</x:v>
      </x:c>
      <x:c r="CC31" s="23" t="n">
        <x:f>MAX(0,MIN('Activities'!L31,462)-MAX('Activities'!K31,456))</x:f>
        <x:v>0</x:v>
      </x:c>
      <x:c r="CD31" s="23" t="n">
        <x:f>MAX(0,MIN('Activities'!L31,468)-MAX('Activities'!K31,462))</x:f>
        <x:v>0</x:v>
      </x:c>
      <x:c r="CE31" s="23" t="n">
        <x:f>MAX(0,MIN('Activities'!L31,474)-MAX('Activities'!K31,468))</x:f>
        <x:v>0</x:v>
      </x:c>
      <x:c r="CF31" s="23" t="n">
        <x:f>MAX(0,MIN('Activities'!L31,480)-MAX('Activities'!K31,474))</x:f>
        <x:v>0</x:v>
      </x:c>
      <x:c r="CG31" s="23" t="n">
        <x:f>MAX(0,MIN('Activities'!L31,486)-MAX('Activities'!K31,480))</x:f>
        <x:v>0</x:v>
      </x:c>
      <x:c r="CH31" s="23" t="n">
        <x:f>MAX(0,MIN('Activities'!L31,492)-MAX('Activities'!K31,486))</x:f>
        <x:v>0</x:v>
      </x:c>
      <x:c r="CI31" s="23" t="n">
        <x:f>MAX(0,MIN('Activities'!L31,498)-MAX('Activities'!K31,492))</x:f>
        <x:v>0</x:v>
      </x:c>
      <x:c r="CJ31" s="23" t="n">
        <x:f>MAX(0,MIN('Activities'!L31,504)-MAX('Activities'!K31,498))</x:f>
        <x:v>0</x:v>
      </x:c>
      <x:c r="CK31" s="23" t="n">
        <x:f>MAX(0,MIN('Activities'!L31,510)-MAX('Activities'!K31,504))</x:f>
        <x:v>0</x:v>
      </x:c>
      <x:c r="CL31" s="23" t="n">
        <x:f>MAX(0,MIN('Activities'!L31,516)-MAX('Activities'!K31,510))</x:f>
        <x:v>0</x:v>
      </x:c>
      <x:c r="CM31" s="23" t="n">
        <x:f>MAX(0,MIN('Activities'!L31,522)-MAX('Activities'!K31,516))</x:f>
        <x:v>0</x:v>
      </x:c>
      <x:c r="CN31" s="23" t="n">
        <x:f>MAX(0,MIN('Activities'!L31,528)-MAX('Activities'!K31,522))</x:f>
        <x:v>0</x:v>
      </x:c>
      <x:c r="CO31" s="23" t="n">
        <x:f>MAX(0,MIN('Activities'!L31,534)-MAX('Activities'!K31,528))</x:f>
        <x:v>0</x:v>
      </x:c>
      <x:c r="CP31" s="23" t="n">
        <x:f>MAX(0,MIN('Activities'!L31,540)-MAX('Activities'!K31,534))</x:f>
        <x:v>0</x:v>
      </x:c>
      <x:c r="CQ31" s="23" t="n">
        <x:f>MAX(0,MIN('Activities'!L31,546)-MAX('Activities'!K31,540))</x:f>
        <x:v>0</x:v>
      </x:c>
      <x:c r="CR31" s="23" t="n">
        <x:f>MAX(0,MIN('Activities'!L31,552)-MAX('Activities'!K31,546))</x:f>
        <x:v>0</x:v>
      </x:c>
      <x:c r="CS31" s="23" t="n">
        <x:f>MAX(0,MIN('Activities'!L31,558)-MAX('Activities'!K31,552))</x:f>
        <x:v>0</x:v>
      </x:c>
      <x:c r="CT31" s="23" t="n">
        <x:f>MAX(0,MIN('Activities'!L31,564)-MAX('Activities'!K31,558))</x:f>
        <x:v>0</x:v>
      </x:c>
      <x:c r="CU31" s="23" t="n">
        <x:f>MAX(0,MIN('Activities'!L31,570)-MAX('Activities'!K31,564))</x:f>
        <x:v>0</x:v>
      </x:c>
      <x:c r="CV31" s="23" t="n">
        <x:f>MAX(0,MIN('Activities'!L31,576)-MAX('Activities'!K31,570))</x:f>
        <x:v>0</x:v>
      </x:c>
      <x:c r="CW31" s="23" t="n">
        <x:f>MAX(0,MIN('Activities'!L31,582)-MAX('Activities'!K31,576))</x:f>
        <x:v>0</x:v>
      </x:c>
      <x:c r="CX31" s="23" t="n">
        <x:f>MAX(0,MIN('Activities'!L31,588)-MAX('Activities'!K31,582))</x:f>
        <x:v>0</x:v>
      </x:c>
      <x:c r="CY31" s="23" t="n">
        <x:f>MAX(0,MIN('Activities'!L31,594)-MAX('Activities'!K31,588))</x:f>
        <x:v>0</x:v>
      </x:c>
      <x:c r="CZ31" s="23" t="n">
        <x:f>MAX(0,MIN('Activities'!L31,600)-MAX('Activities'!K31,594))</x:f>
        <x:v>0</x:v>
      </x:c>
      <x:c r="DA31" s="23" t="n">
        <x:f>MAX(0,MIN('Activities'!L31,606)-MAX('Activities'!K31,600))</x:f>
        <x:v>0</x:v>
      </x:c>
      <x:c r="DB31" s="23" t="n">
        <x:f>MAX(0,MIN('Activities'!L31,612)-MAX('Activities'!K31,606))</x:f>
        <x:v>0</x:v>
      </x:c>
      <x:c r="DC31" s="23" t="n">
        <x:f>MAX(0,MIN('Activities'!L31,618)-MAX('Activities'!K31,612))</x:f>
        <x:v>0</x:v>
      </x:c>
      <x:c r="DD31" s="23" t="n">
        <x:f>MAX(0,MIN('Activities'!L31,624)-MAX('Activities'!K31,618))</x:f>
        <x:v>0</x:v>
      </x:c>
      <x:c r="DE31" s="23" t="n">
        <x:f>MAX(0,MIN('Activities'!L31,630)-MAX('Activities'!K31,624))</x:f>
        <x:v>0</x:v>
      </x:c>
      <x:c r="DF31" s="23" t="n">
        <x:f>MAX(0,MIN('Activities'!L31,636)-MAX('Activities'!K31,630))</x:f>
        <x:v>0</x:v>
      </x:c>
    </x:row>
    <x:row r="32" ht="23" customHeight="1">
      <x:c r="A32" s="6" t="str">
        <x:v>T1-L04-F</x:v>
      </x:c>
      <x:c r="B32" s="6" t="str">
        <x:v>T1</x:v>
      </x:c>
      <x:c r="C32" s="6" t="str">
        <x:v>Columns, core and deck formwork</x:v>
      </x:c>
      <x:c r="D32" s="6" t="str">
        <x:v>Formwork</x:v>
      </x:c>
      <x:c r="E32" s="22" t="n">
        <x:f>MAX(0,MIN('Activities'!L32,6)-MAX('Activities'!K32,0))</x:f>
        <x:v>0</x:v>
      </x:c>
      <x:c r="F32" s="22" t="n">
        <x:f>MAX(0,MIN('Activities'!L32,12)-MAX('Activities'!K32,6))</x:f>
        <x:v>0</x:v>
      </x:c>
      <x:c r="G32" s="22" t="n">
        <x:f>MAX(0,MIN('Activities'!L32,18)-MAX('Activities'!K32,12))</x:f>
        <x:v>0</x:v>
      </x:c>
      <x:c r="H32" s="22" t="n">
        <x:f>MAX(0,MIN('Activities'!L32,24)-MAX('Activities'!K32,18))</x:f>
        <x:v>0</x:v>
      </x:c>
      <x:c r="I32" s="22" t="n">
        <x:f>MAX(0,MIN('Activities'!L32,30)-MAX('Activities'!K32,24))</x:f>
        <x:v>0</x:v>
      </x:c>
      <x:c r="J32" s="22" t="n">
        <x:f>MAX(0,MIN('Activities'!L32,36)-MAX('Activities'!K32,30))</x:f>
        <x:v>0</x:v>
      </x:c>
      <x:c r="K32" s="22" t="n">
        <x:f>MAX(0,MIN('Activities'!L32,42)-MAX('Activities'!K32,36))</x:f>
        <x:v>0</x:v>
      </x:c>
      <x:c r="L32" s="22" t="n">
        <x:f>MAX(0,MIN('Activities'!L32,48)-MAX('Activities'!K32,42))</x:f>
        <x:v>0</x:v>
      </x:c>
      <x:c r="M32" s="22" t="n">
        <x:f>MAX(0,MIN('Activities'!L32,54)-MAX('Activities'!K32,48))</x:f>
        <x:v>0</x:v>
      </x:c>
      <x:c r="N32" s="22" t="n">
        <x:f>MAX(0,MIN('Activities'!L32,60)-MAX('Activities'!K32,54))</x:f>
        <x:v>0</x:v>
      </x:c>
      <x:c r="O32" s="22" t="n">
        <x:f>MAX(0,MIN('Activities'!L32,66)-MAX('Activities'!K32,60))</x:f>
        <x:v>0</x:v>
      </x:c>
      <x:c r="P32" s="22" t="n">
        <x:f>MAX(0,MIN('Activities'!L32,72)-MAX('Activities'!K32,66))</x:f>
        <x:v>0</x:v>
      </x:c>
      <x:c r="Q32" s="22" t="n">
        <x:f>MAX(0,MIN('Activities'!L32,78)-MAX('Activities'!K32,72))</x:f>
        <x:v>0</x:v>
      </x:c>
      <x:c r="R32" s="22" t="n">
        <x:f>MAX(0,MIN('Activities'!L32,84)-MAX('Activities'!K32,78))</x:f>
        <x:v>0</x:v>
      </x:c>
      <x:c r="S32" s="22" t="n">
        <x:f>MAX(0,MIN('Activities'!L32,90)-MAX('Activities'!K32,84))</x:f>
        <x:v>0</x:v>
      </x:c>
      <x:c r="T32" s="22" t="n">
        <x:f>MAX(0,MIN('Activities'!L32,96)-MAX('Activities'!K32,90))</x:f>
        <x:v>0</x:v>
      </x:c>
      <x:c r="U32" s="22" t="n">
        <x:f>MAX(0,MIN('Activities'!L32,102)-MAX('Activities'!K32,96))</x:f>
        <x:v>0</x:v>
      </x:c>
      <x:c r="V32" s="22" t="n">
        <x:f>MAX(0,MIN('Activities'!L32,108)-MAX('Activities'!K32,102))</x:f>
        <x:v>0</x:v>
      </x:c>
      <x:c r="W32" s="22" t="n">
        <x:f>MAX(0,MIN('Activities'!L32,114)-MAX('Activities'!K32,108))</x:f>
        <x:v>0</x:v>
      </x:c>
      <x:c r="X32" s="22" t="n">
        <x:f>MAX(0,MIN('Activities'!L32,120)-MAX('Activities'!K32,114))</x:f>
        <x:v>0</x:v>
      </x:c>
      <x:c r="Y32" s="22" t="n">
        <x:f>MAX(0,MIN('Activities'!L32,126)-MAX('Activities'!K32,120))</x:f>
        <x:v>0</x:v>
      </x:c>
      <x:c r="Z32" s="22" t="n">
        <x:f>MAX(0,MIN('Activities'!L32,132)-MAX('Activities'!K32,126))</x:f>
        <x:v>0</x:v>
      </x:c>
      <x:c r="AA32" s="22" t="n">
        <x:f>MAX(0,MIN('Activities'!L32,138)-MAX('Activities'!K32,132))</x:f>
        <x:v>0</x:v>
      </x:c>
      <x:c r="AB32" s="22" t="n">
        <x:f>MAX(0,MIN('Activities'!L32,144)-MAX('Activities'!K32,138))</x:f>
        <x:v>0</x:v>
      </x:c>
      <x:c r="AC32" s="22" t="n">
        <x:f>MAX(0,MIN('Activities'!L32,150)-MAX('Activities'!K32,144))</x:f>
        <x:v>0</x:v>
      </x:c>
      <x:c r="AD32" s="22" t="n">
        <x:f>MAX(0,MIN('Activities'!L32,156)-MAX('Activities'!K32,150))</x:f>
        <x:v>0</x:v>
      </x:c>
      <x:c r="AE32" s="22" t="n">
        <x:f>MAX(0,MIN('Activities'!L32,162)-MAX('Activities'!K32,156))</x:f>
        <x:v>0</x:v>
      </x:c>
      <x:c r="AF32" s="22" t="n">
        <x:f>MAX(0,MIN('Activities'!L32,168)-MAX('Activities'!K32,162))</x:f>
        <x:v>0</x:v>
      </x:c>
      <x:c r="AG32" s="22" t="n">
        <x:f>MAX(0,MIN('Activities'!L32,174)-MAX('Activities'!K32,168))</x:f>
        <x:v>0</x:v>
      </x:c>
      <x:c r="AH32" s="22" t="n">
        <x:f>MAX(0,MIN('Activities'!L32,180)-MAX('Activities'!K32,174))</x:f>
        <x:v>0</x:v>
      </x:c>
      <x:c r="AI32" s="22" t="n">
        <x:f>MAX(0,MIN('Activities'!L32,186)-MAX('Activities'!K32,180))</x:f>
        <x:v>0</x:v>
      </x:c>
      <x:c r="AJ32" s="22" t="n">
        <x:f>MAX(0,MIN('Activities'!L32,192)-MAX('Activities'!K32,186))</x:f>
        <x:v>0</x:v>
      </x:c>
      <x:c r="AK32" s="22" t="n">
        <x:f>MAX(0,MIN('Activities'!L32,198)-MAX('Activities'!K32,192))</x:f>
        <x:v>0</x:v>
      </x:c>
      <x:c r="AL32" s="22" t="n">
        <x:f>MAX(0,MIN('Activities'!L32,204)-MAX('Activities'!K32,198))</x:f>
        <x:v>0</x:v>
      </x:c>
      <x:c r="AM32" s="22" t="n">
        <x:f>MAX(0,MIN('Activities'!L32,210)-MAX('Activities'!K32,204))</x:f>
        <x:v>4</x:v>
      </x:c>
      <x:c r="AN32" s="22" t="n">
        <x:f>MAX(0,MIN('Activities'!L32,216)-MAX('Activities'!K32,210))</x:f>
        <x:v>2</x:v>
      </x:c>
      <x:c r="AO32" s="22" t="n">
        <x:f>MAX(0,MIN('Activities'!L32,222)-MAX('Activities'!K32,216))</x:f>
        <x:v>0</x:v>
      </x:c>
      <x:c r="AP32" s="22" t="n">
        <x:f>MAX(0,MIN('Activities'!L32,228)-MAX('Activities'!K32,222))</x:f>
        <x:v>0</x:v>
      </x:c>
      <x:c r="AQ32" s="22" t="n">
        <x:f>MAX(0,MIN('Activities'!L32,234)-MAX('Activities'!K32,228))</x:f>
        <x:v>0</x:v>
      </x:c>
      <x:c r="AR32" s="22" t="n">
        <x:f>MAX(0,MIN('Activities'!L32,240)-MAX('Activities'!K32,234))</x:f>
        <x:v>0</x:v>
      </x:c>
      <x:c r="AS32" s="22" t="n">
        <x:f>MAX(0,MIN('Activities'!L32,246)-MAX('Activities'!K32,240))</x:f>
        <x:v>0</x:v>
      </x:c>
      <x:c r="AT32" s="22" t="n">
        <x:f>MAX(0,MIN('Activities'!L32,252)-MAX('Activities'!K32,246))</x:f>
        <x:v>0</x:v>
      </x:c>
      <x:c r="AU32" s="22" t="n">
        <x:f>MAX(0,MIN('Activities'!L32,258)-MAX('Activities'!K32,252))</x:f>
        <x:v>0</x:v>
      </x:c>
      <x:c r="AV32" s="22" t="n">
        <x:f>MAX(0,MIN('Activities'!L32,264)-MAX('Activities'!K32,258))</x:f>
        <x:v>0</x:v>
      </x:c>
      <x:c r="AW32" s="22" t="n">
        <x:f>MAX(0,MIN('Activities'!L32,270)-MAX('Activities'!K32,264))</x:f>
        <x:v>0</x:v>
      </x:c>
      <x:c r="AX32" s="22" t="n">
        <x:f>MAX(0,MIN('Activities'!L32,276)-MAX('Activities'!K32,270))</x:f>
        <x:v>0</x:v>
      </x:c>
      <x:c r="AY32" s="22" t="n">
        <x:f>MAX(0,MIN('Activities'!L32,282)-MAX('Activities'!K32,276))</x:f>
        <x:v>0</x:v>
      </x:c>
      <x:c r="AZ32" s="22" t="n">
        <x:f>MAX(0,MIN('Activities'!L32,288)-MAX('Activities'!K32,282))</x:f>
        <x:v>0</x:v>
      </x:c>
      <x:c r="BA32" s="22" t="n">
        <x:f>MAX(0,MIN('Activities'!L32,294)-MAX('Activities'!K32,288))</x:f>
        <x:v>0</x:v>
      </x:c>
      <x:c r="BB32" s="22" t="n">
        <x:f>MAX(0,MIN('Activities'!L32,300)-MAX('Activities'!K32,294))</x:f>
        <x:v>0</x:v>
      </x:c>
      <x:c r="BC32" s="22" t="n">
        <x:f>MAX(0,MIN('Activities'!L32,306)-MAX('Activities'!K32,300))</x:f>
        <x:v>0</x:v>
      </x:c>
      <x:c r="BD32" s="22" t="n">
        <x:f>MAX(0,MIN('Activities'!L32,312)-MAX('Activities'!K32,306))</x:f>
        <x:v>0</x:v>
      </x:c>
      <x:c r="BE32" s="22" t="n">
        <x:f>MAX(0,MIN('Activities'!L32,318)-MAX('Activities'!K32,312))</x:f>
        <x:v>0</x:v>
      </x:c>
      <x:c r="BF32" s="22" t="n">
        <x:f>MAX(0,MIN('Activities'!L32,324)-MAX('Activities'!K32,318))</x:f>
        <x:v>0</x:v>
      </x:c>
      <x:c r="BG32" s="22" t="n">
        <x:f>MAX(0,MIN('Activities'!L32,330)-MAX('Activities'!K32,324))</x:f>
        <x:v>0</x:v>
      </x:c>
      <x:c r="BH32" s="22" t="n">
        <x:f>MAX(0,MIN('Activities'!L32,336)-MAX('Activities'!K32,330))</x:f>
        <x:v>0</x:v>
      </x:c>
      <x:c r="BI32" s="22" t="n">
        <x:f>MAX(0,MIN('Activities'!L32,342)-MAX('Activities'!K32,336))</x:f>
        <x:v>0</x:v>
      </x:c>
      <x:c r="BJ32" s="22" t="n">
        <x:f>MAX(0,MIN('Activities'!L32,348)-MAX('Activities'!K32,342))</x:f>
        <x:v>0</x:v>
      </x:c>
      <x:c r="BK32" s="22" t="n">
        <x:f>MAX(0,MIN('Activities'!L32,354)-MAX('Activities'!K32,348))</x:f>
        <x:v>0</x:v>
      </x:c>
      <x:c r="BL32" s="22" t="n">
        <x:f>MAX(0,MIN('Activities'!L32,360)-MAX('Activities'!K32,354))</x:f>
        <x:v>0</x:v>
      </x:c>
      <x:c r="BM32" s="22" t="n">
        <x:f>MAX(0,MIN('Activities'!L32,366)-MAX('Activities'!K32,360))</x:f>
        <x:v>0</x:v>
      </x:c>
      <x:c r="BN32" s="22" t="n">
        <x:f>MAX(0,MIN('Activities'!L32,372)-MAX('Activities'!K32,366))</x:f>
        <x:v>0</x:v>
      </x:c>
      <x:c r="BO32" s="22" t="n">
        <x:f>MAX(0,MIN('Activities'!L32,378)-MAX('Activities'!K32,372))</x:f>
        <x:v>0</x:v>
      </x:c>
      <x:c r="BP32" s="22" t="n">
        <x:f>MAX(0,MIN('Activities'!L32,384)-MAX('Activities'!K32,378))</x:f>
        <x:v>0</x:v>
      </x:c>
      <x:c r="BQ32" s="22" t="n">
        <x:f>MAX(0,MIN('Activities'!L32,390)-MAX('Activities'!K32,384))</x:f>
        <x:v>0</x:v>
      </x:c>
      <x:c r="BR32" s="22" t="n">
        <x:f>MAX(0,MIN('Activities'!L32,396)-MAX('Activities'!K32,390))</x:f>
        <x:v>0</x:v>
      </x:c>
      <x:c r="BS32" s="22" t="n">
        <x:f>MAX(0,MIN('Activities'!L32,402)-MAX('Activities'!K32,396))</x:f>
        <x:v>0</x:v>
      </x:c>
      <x:c r="BT32" s="22" t="n">
        <x:f>MAX(0,MIN('Activities'!L32,408)-MAX('Activities'!K32,402))</x:f>
        <x:v>0</x:v>
      </x:c>
      <x:c r="BU32" s="22" t="n">
        <x:f>MAX(0,MIN('Activities'!L32,414)-MAX('Activities'!K32,408))</x:f>
        <x:v>0</x:v>
      </x:c>
      <x:c r="BV32" s="22" t="n">
        <x:f>MAX(0,MIN('Activities'!L32,420)-MAX('Activities'!K32,414))</x:f>
        <x:v>0</x:v>
      </x:c>
      <x:c r="BW32" s="22" t="n">
        <x:f>MAX(0,MIN('Activities'!L32,426)-MAX('Activities'!K32,420))</x:f>
        <x:v>0</x:v>
      </x:c>
      <x:c r="BX32" s="22" t="n">
        <x:f>MAX(0,MIN('Activities'!L32,432)-MAX('Activities'!K32,426))</x:f>
        <x:v>0</x:v>
      </x:c>
      <x:c r="BY32" s="22" t="n">
        <x:f>MAX(0,MIN('Activities'!L32,438)-MAX('Activities'!K32,432))</x:f>
        <x:v>0</x:v>
      </x:c>
      <x:c r="BZ32" s="22" t="n">
        <x:f>MAX(0,MIN('Activities'!L32,444)-MAX('Activities'!K32,438))</x:f>
        <x:v>0</x:v>
      </x:c>
      <x:c r="CA32" s="22" t="n">
        <x:f>MAX(0,MIN('Activities'!L32,450)-MAX('Activities'!K32,444))</x:f>
        <x:v>0</x:v>
      </x:c>
      <x:c r="CB32" s="22" t="n">
        <x:f>MAX(0,MIN('Activities'!L32,456)-MAX('Activities'!K32,450))</x:f>
        <x:v>0</x:v>
      </x:c>
      <x:c r="CC32" s="22" t="n">
        <x:f>MAX(0,MIN('Activities'!L32,462)-MAX('Activities'!K32,456))</x:f>
        <x:v>0</x:v>
      </x:c>
      <x:c r="CD32" s="22" t="n">
        <x:f>MAX(0,MIN('Activities'!L32,468)-MAX('Activities'!K32,462))</x:f>
        <x:v>0</x:v>
      </x:c>
      <x:c r="CE32" s="22" t="n">
        <x:f>MAX(0,MIN('Activities'!L32,474)-MAX('Activities'!K32,468))</x:f>
        <x:v>0</x:v>
      </x:c>
      <x:c r="CF32" s="22" t="n">
        <x:f>MAX(0,MIN('Activities'!L32,480)-MAX('Activities'!K32,474))</x:f>
        <x:v>0</x:v>
      </x:c>
      <x:c r="CG32" s="22" t="n">
        <x:f>MAX(0,MIN('Activities'!L32,486)-MAX('Activities'!K32,480))</x:f>
        <x:v>0</x:v>
      </x:c>
      <x:c r="CH32" s="22" t="n">
        <x:f>MAX(0,MIN('Activities'!L32,492)-MAX('Activities'!K32,486))</x:f>
        <x:v>0</x:v>
      </x:c>
      <x:c r="CI32" s="22" t="n">
        <x:f>MAX(0,MIN('Activities'!L32,498)-MAX('Activities'!K32,492))</x:f>
        <x:v>0</x:v>
      </x:c>
      <x:c r="CJ32" s="22" t="n">
        <x:f>MAX(0,MIN('Activities'!L32,504)-MAX('Activities'!K32,498))</x:f>
        <x:v>0</x:v>
      </x:c>
      <x:c r="CK32" s="22" t="n">
        <x:f>MAX(0,MIN('Activities'!L32,510)-MAX('Activities'!K32,504))</x:f>
        <x:v>0</x:v>
      </x:c>
      <x:c r="CL32" s="22" t="n">
        <x:f>MAX(0,MIN('Activities'!L32,516)-MAX('Activities'!K32,510))</x:f>
        <x:v>0</x:v>
      </x:c>
      <x:c r="CM32" s="22" t="n">
        <x:f>MAX(0,MIN('Activities'!L32,522)-MAX('Activities'!K32,516))</x:f>
        <x:v>0</x:v>
      </x:c>
      <x:c r="CN32" s="22" t="n">
        <x:f>MAX(0,MIN('Activities'!L32,528)-MAX('Activities'!K32,522))</x:f>
        <x:v>0</x:v>
      </x:c>
      <x:c r="CO32" s="22" t="n">
        <x:f>MAX(0,MIN('Activities'!L32,534)-MAX('Activities'!K32,528))</x:f>
        <x:v>0</x:v>
      </x:c>
      <x:c r="CP32" s="22" t="n">
        <x:f>MAX(0,MIN('Activities'!L32,540)-MAX('Activities'!K32,534))</x:f>
        <x:v>0</x:v>
      </x:c>
      <x:c r="CQ32" s="22" t="n">
        <x:f>MAX(0,MIN('Activities'!L32,546)-MAX('Activities'!K32,540))</x:f>
        <x:v>0</x:v>
      </x:c>
      <x:c r="CR32" s="22" t="n">
        <x:f>MAX(0,MIN('Activities'!L32,552)-MAX('Activities'!K32,546))</x:f>
        <x:v>0</x:v>
      </x:c>
      <x:c r="CS32" s="22" t="n">
        <x:f>MAX(0,MIN('Activities'!L32,558)-MAX('Activities'!K32,552))</x:f>
        <x:v>0</x:v>
      </x:c>
      <x:c r="CT32" s="22" t="n">
        <x:f>MAX(0,MIN('Activities'!L32,564)-MAX('Activities'!K32,558))</x:f>
        <x:v>0</x:v>
      </x:c>
      <x:c r="CU32" s="22" t="n">
        <x:f>MAX(0,MIN('Activities'!L32,570)-MAX('Activities'!K32,564))</x:f>
        <x:v>0</x:v>
      </x:c>
      <x:c r="CV32" s="22" t="n">
        <x:f>MAX(0,MIN('Activities'!L32,576)-MAX('Activities'!K32,570))</x:f>
        <x:v>0</x:v>
      </x:c>
      <x:c r="CW32" s="22" t="n">
        <x:f>MAX(0,MIN('Activities'!L32,582)-MAX('Activities'!K32,576))</x:f>
        <x:v>0</x:v>
      </x:c>
      <x:c r="CX32" s="22" t="n">
        <x:f>MAX(0,MIN('Activities'!L32,588)-MAX('Activities'!K32,582))</x:f>
        <x:v>0</x:v>
      </x:c>
      <x:c r="CY32" s="22" t="n">
        <x:f>MAX(0,MIN('Activities'!L32,594)-MAX('Activities'!K32,588))</x:f>
        <x:v>0</x:v>
      </x:c>
      <x:c r="CZ32" s="22" t="n">
        <x:f>MAX(0,MIN('Activities'!L32,600)-MAX('Activities'!K32,594))</x:f>
        <x:v>0</x:v>
      </x:c>
      <x:c r="DA32" s="22" t="n">
        <x:f>MAX(0,MIN('Activities'!L32,606)-MAX('Activities'!K32,600))</x:f>
        <x:v>0</x:v>
      </x:c>
      <x:c r="DB32" s="22" t="n">
        <x:f>MAX(0,MIN('Activities'!L32,612)-MAX('Activities'!K32,606))</x:f>
        <x:v>0</x:v>
      </x:c>
      <x:c r="DC32" s="22" t="n">
        <x:f>MAX(0,MIN('Activities'!L32,618)-MAX('Activities'!K32,612))</x:f>
        <x:v>0</x:v>
      </x:c>
      <x:c r="DD32" s="22" t="n">
        <x:f>MAX(0,MIN('Activities'!L32,624)-MAX('Activities'!K32,618))</x:f>
        <x:v>0</x:v>
      </x:c>
      <x:c r="DE32" s="22" t="n">
        <x:f>MAX(0,MIN('Activities'!L32,630)-MAX('Activities'!K32,624))</x:f>
        <x:v>0</x:v>
      </x:c>
      <x:c r="DF32" s="22" t="n">
        <x:f>MAX(0,MIN('Activities'!L32,636)-MAX('Activities'!K32,630))</x:f>
        <x:v>0</x:v>
      </x:c>
    </x:row>
    <x:row r="33" ht="23" customHeight="1">
      <x:c r="A33" s="1" t="str">
        <x:v>T1-L04-R</x:v>
      </x:c>
      <x:c r="B33" s="1" t="str">
        <x:v>T1</x:v>
      </x:c>
      <x:c r="C33" s="1" t="str">
        <x:v>Column, wall, beam and slab reinforcement</x:v>
      </x:c>
      <x:c r="D33" s="1" t="str">
        <x:v>Rebar</x:v>
      </x:c>
      <x:c r="E33" s="23" t="n">
        <x:f>MAX(0,MIN('Activities'!L33,6)-MAX('Activities'!K33,0))</x:f>
        <x:v>0</x:v>
      </x:c>
      <x:c r="F33" s="23" t="n">
        <x:f>MAX(0,MIN('Activities'!L33,12)-MAX('Activities'!K33,6))</x:f>
        <x:v>0</x:v>
      </x:c>
      <x:c r="G33" s="23" t="n">
        <x:f>MAX(0,MIN('Activities'!L33,18)-MAX('Activities'!K33,12))</x:f>
        <x:v>0</x:v>
      </x:c>
      <x:c r="H33" s="23" t="n">
        <x:f>MAX(0,MIN('Activities'!L33,24)-MAX('Activities'!K33,18))</x:f>
        <x:v>0</x:v>
      </x:c>
      <x:c r="I33" s="23" t="n">
        <x:f>MAX(0,MIN('Activities'!L33,30)-MAX('Activities'!K33,24))</x:f>
        <x:v>0</x:v>
      </x:c>
      <x:c r="J33" s="23" t="n">
        <x:f>MAX(0,MIN('Activities'!L33,36)-MAX('Activities'!K33,30))</x:f>
        <x:v>0</x:v>
      </x:c>
      <x:c r="K33" s="23" t="n">
        <x:f>MAX(0,MIN('Activities'!L33,42)-MAX('Activities'!K33,36))</x:f>
        <x:v>0</x:v>
      </x:c>
      <x:c r="L33" s="23" t="n">
        <x:f>MAX(0,MIN('Activities'!L33,48)-MAX('Activities'!K33,42))</x:f>
        <x:v>0</x:v>
      </x:c>
      <x:c r="M33" s="23" t="n">
        <x:f>MAX(0,MIN('Activities'!L33,54)-MAX('Activities'!K33,48))</x:f>
        <x:v>0</x:v>
      </x:c>
      <x:c r="N33" s="23" t="n">
        <x:f>MAX(0,MIN('Activities'!L33,60)-MAX('Activities'!K33,54))</x:f>
        <x:v>0</x:v>
      </x:c>
      <x:c r="O33" s="23" t="n">
        <x:f>MAX(0,MIN('Activities'!L33,66)-MAX('Activities'!K33,60))</x:f>
        <x:v>0</x:v>
      </x:c>
      <x:c r="P33" s="23" t="n">
        <x:f>MAX(0,MIN('Activities'!L33,72)-MAX('Activities'!K33,66))</x:f>
        <x:v>0</x:v>
      </x:c>
      <x:c r="Q33" s="23" t="n">
        <x:f>MAX(0,MIN('Activities'!L33,78)-MAX('Activities'!K33,72))</x:f>
        <x:v>0</x:v>
      </x:c>
      <x:c r="R33" s="23" t="n">
        <x:f>MAX(0,MIN('Activities'!L33,84)-MAX('Activities'!K33,78))</x:f>
        <x:v>0</x:v>
      </x:c>
      <x:c r="S33" s="23" t="n">
        <x:f>MAX(0,MIN('Activities'!L33,90)-MAX('Activities'!K33,84))</x:f>
        <x:v>0</x:v>
      </x:c>
      <x:c r="T33" s="23" t="n">
        <x:f>MAX(0,MIN('Activities'!L33,96)-MAX('Activities'!K33,90))</x:f>
        <x:v>0</x:v>
      </x:c>
      <x:c r="U33" s="23" t="n">
        <x:f>MAX(0,MIN('Activities'!L33,102)-MAX('Activities'!K33,96))</x:f>
        <x:v>0</x:v>
      </x:c>
      <x:c r="V33" s="23" t="n">
        <x:f>MAX(0,MIN('Activities'!L33,108)-MAX('Activities'!K33,102))</x:f>
        <x:v>0</x:v>
      </x:c>
      <x:c r="W33" s="23" t="n">
        <x:f>MAX(0,MIN('Activities'!L33,114)-MAX('Activities'!K33,108))</x:f>
        <x:v>0</x:v>
      </x:c>
      <x:c r="X33" s="23" t="n">
        <x:f>MAX(0,MIN('Activities'!L33,120)-MAX('Activities'!K33,114))</x:f>
        <x:v>0</x:v>
      </x:c>
      <x:c r="Y33" s="23" t="n">
        <x:f>MAX(0,MIN('Activities'!L33,126)-MAX('Activities'!K33,120))</x:f>
        <x:v>0</x:v>
      </x:c>
      <x:c r="Z33" s="23" t="n">
        <x:f>MAX(0,MIN('Activities'!L33,132)-MAX('Activities'!K33,126))</x:f>
        <x:v>0</x:v>
      </x:c>
      <x:c r="AA33" s="23" t="n">
        <x:f>MAX(0,MIN('Activities'!L33,138)-MAX('Activities'!K33,132))</x:f>
        <x:v>0</x:v>
      </x:c>
      <x:c r="AB33" s="23" t="n">
        <x:f>MAX(0,MIN('Activities'!L33,144)-MAX('Activities'!K33,138))</x:f>
        <x:v>0</x:v>
      </x:c>
      <x:c r="AC33" s="23" t="n">
        <x:f>MAX(0,MIN('Activities'!L33,150)-MAX('Activities'!K33,144))</x:f>
        <x:v>0</x:v>
      </x:c>
      <x:c r="AD33" s="23" t="n">
        <x:f>MAX(0,MIN('Activities'!L33,156)-MAX('Activities'!K33,150))</x:f>
        <x:v>0</x:v>
      </x:c>
      <x:c r="AE33" s="23" t="n">
        <x:f>MAX(0,MIN('Activities'!L33,162)-MAX('Activities'!K33,156))</x:f>
        <x:v>0</x:v>
      </x:c>
      <x:c r="AF33" s="23" t="n">
        <x:f>MAX(0,MIN('Activities'!L33,168)-MAX('Activities'!K33,162))</x:f>
        <x:v>0</x:v>
      </x:c>
      <x:c r="AG33" s="23" t="n">
        <x:f>MAX(0,MIN('Activities'!L33,174)-MAX('Activities'!K33,168))</x:f>
        <x:v>0</x:v>
      </x:c>
      <x:c r="AH33" s="23" t="n">
        <x:f>MAX(0,MIN('Activities'!L33,180)-MAX('Activities'!K33,174))</x:f>
        <x:v>0</x:v>
      </x:c>
      <x:c r="AI33" s="23" t="n">
        <x:f>MAX(0,MIN('Activities'!L33,186)-MAX('Activities'!K33,180))</x:f>
        <x:v>0</x:v>
      </x:c>
      <x:c r="AJ33" s="23" t="n">
        <x:f>MAX(0,MIN('Activities'!L33,192)-MAX('Activities'!K33,186))</x:f>
        <x:v>0</x:v>
      </x:c>
      <x:c r="AK33" s="23" t="n">
        <x:f>MAX(0,MIN('Activities'!L33,198)-MAX('Activities'!K33,192))</x:f>
        <x:v>0</x:v>
      </x:c>
      <x:c r="AL33" s="23" t="n">
        <x:f>MAX(0,MIN('Activities'!L33,204)-MAX('Activities'!K33,198))</x:f>
        <x:v>0</x:v>
      </x:c>
      <x:c r="AM33" s="23" t="n">
        <x:f>MAX(0,MIN('Activities'!L33,210)-MAX('Activities'!K33,204))</x:f>
        <x:v>0</x:v>
      </x:c>
      <x:c r="AN33" s="23" t="n">
        <x:f>MAX(0,MIN('Activities'!L33,216)-MAX('Activities'!K33,210))</x:f>
        <x:v>4</x:v>
      </x:c>
      <x:c r="AO33" s="23" t="n">
        <x:f>MAX(0,MIN('Activities'!L33,222)-MAX('Activities'!K33,216))</x:f>
        <x:v>1</x:v>
      </x:c>
      <x:c r="AP33" s="23" t="n">
        <x:f>MAX(0,MIN('Activities'!L33,228)-MAX('Activities'!K33,222))</x:f>
        <x:v>0</x:v>
      </x:c>
      <x:c r="AQ33" s="23" t="n">
        <x:f>MAX(0,MIN('Activities'!L33,234)-MAX('Activities'!K33,228))</x:f>
        <x:v>0</x:v>
      </x:c>
      <x:c r="AR33" s="23" t="n">
        <x:f>MAX(0,MIN('Activities'!L33,240)-MAX('Activities'!K33,234))</x:f>
        <x:v>0</x:v>
      </x:c>
      <x:c r="AS33" s="23" t="n">
        <x:f>MAX(0,MIN('Activities'!L33,246)-MAX('Activities'!K33,240))</x:f>
        <x:v>0</x:v>
      </x:c>
      <x:c r="AT33" s="23" t="n">
        <x:f>MAX(0,MIN('Activities'!L33,252)-MAX('Activities'!K33,246))</x:f>
        <x:v>0</x:v>
      </x:c>
      <x:c r="AU33" s="23" t="n">
        <x:f>MAX(0,MIN('Activities'!L33,258)-MAX('Activities'!K33,252))</x:f>
        <x:v>0</x:v>
      </x:c>
      <x:c r="AV33" s="23" t="n">
        <x:f>MAX(0,MIN('Activities'!L33,264)-MAX('Activities'!K33,258))</x:f>
        <x:v>0</x:v>
      </x:c>
      <x:c r="AW33" s="23" t="n">
        <x:f>MAX(0,MIN('Activities'!L33,270)-MAX('Activities'!K33,264))</x:f>
        <x:v>0</x:v>
      </x:c>
      <x:c r="AX33" s="23" t="n">
        <x:f>MAX(0,MIN('Activities'!L33,276)-MAX('Activities'!K33,270))</x:f>
        <x:v>0</x:v>
      </x:c>
      <x:c r="AY33" s="23" t="n">
        <x:f>MAX(0,MIN('Activities'!L33,282)-MAX('Activities'!K33,276))</x:f>
        <x:v>0</x:v>
      </x:c>
      <x:c r="AZ33" s="23" t="n">
        <x:f>MAX(0,MIN('Activities'!L33,288)-MAX('Activities'!K33,282))</x:f>
        <x:v>0</x:v>
      </x:c>
      <x:c r="BA33" s="23" t="n">
        <x:f>MAX(0,MIN('Activities'!L33,294)-MAX('Activities'!K33,288))</x:f>
        <x:v>0</x:v>
      </x:c>
      <x:c r="BB33" s="23" t="n">
        <x:f>MAX(0,MIN('Activities'!L33,300)-MAX('Activities'!K33,294))</x:f>
        <x:v>0</x:v>
      </x:c>
      <x:c r="BC33" s="23" t="n">
        <x:f>MAX(0,MIN('Activities'!L33,306)-MAX('Activities'!K33,300))</x:f>
        <x:v>0</x:v>
      </x:c>
      <x:c r="BD33" s="23" t="n">
        <x:f>MAX(0,MIN('Activities'!L33,312)-MAX('Activities'!K33,306))</x:f>
        <x:v>0</x:v>
      </x:c>
      <x:c r="BE33" s="23" t="n">
        <x:f>MAX(0,MIN('Activities'!L33,318)-MAX('Activities'!K33,312))</x:f>
        <x:v>0</x:v>
      </x:c>
      <x:c r="BF33" s="23" t="n">
        <x:f>MAX(0,MIN('Activities'!L33,324)-MAX('Activities'!K33,318))</x:f>
        <x:v>0</x:v>
      </x:c>
      <x:c r="BG33" s="23" t="n">
        <x:f>MAX(0,MIN('Activities'!L33,330)-MAX('Activities'!K33,324))</x:f>
        <x:v>0</x:v>
      </x:c>
      <x:c r="BH33" s="23" t="n">
        <x:f>MAX(0,MIN('Activities'!L33,336)-MAX('Activities'!K33,330))</x:f>
        <x:v>0</x:v>
      </x:c>
      <x:c r="BI33" s="23" t="n">
        <x:f>MAX(0,MIN('Activities'!L33,342)-MAX('Activities'!K33,336))</x:f>
        <x:v>0</x:v>
      </x:c>
      <x:c r="BJ33" s="23" t="n">
        <x:f>MAX(0,MIN('Activities'!L33,348)-MAX('Activities'!K33,342))</x:f>
        <x:v>0</x:v>
      </x:c>
      <x:c r="BK33" s="23" t="n">
        <x:f>MAX(0,MIN('Activities'!L33,354)-MAX('Activities'!K33,348))</x:f>
        <x:v>0</x:v>
      </x:c>
      <x:c r="BL33" s="23" t="n">
        <x:f>MAX(0,MIN('Activities'!L33,360)-MAX('Activities'!K33,354))</x:f>
        <x:v>0</x:v>
      </x:c>
      <x:c r="BM33" s="23" t="n">
        <x:f>MAX(0,MIN('Activities'!L33,366)-MAX('Activities'!K33,360))</x:f>
        <x:v>0</x:v>
      </x:c>
      <x:c r="BN33" s="23" t="n">
        <x:f>MAX(0,MIN('Activities'!L33,372)-MAX('Activities'!K33,366))</x:f>
        <x:v>0</x:v>
      </x:c>
      <x:c r="BO33" s="23" t="n">
        <x:f>MAX(0,MIN('Activities'!L33,378)-MAX('Activities'!K33,372))</x:f>
        <x:v>0</x:v>
      </x:c>
      <x:c r="BP33" s="23" t="n">
        <x:f>MAX(0,MIN('Activities'!L33,384)-MAX('Activities'!K33,378))</x:f>
        <x:v>0</x:v>
      </x:c>
      <x:c r="BQ33" s="23" t="n">
        <x:f>MAX(0,MIN('Activities'!L33,390)-MAX('Activities'!K33,384))</x:f>
        <x:v>0</x:v>
      </x:c>
      <x:c r="BR33" s="23" t="n">
        <x:f>MAX(0,MIN('Activities'!L33,396)-MAX('Activities'!K33,390))</x:f>
        <x:v>0</x:v>
      </x:c>
      <x:c r="BS33" s="23" t="n">
        <x:f>MAX(0,MIN('Activities'!L33,402)-MAX('Activities'!K33,396))</x:f>
        <x:v>0</x:v>
      </x:c>
      <x:c r="BT33" s="23" t="n">
        <x:f>MAX(0,MIN('Activities'!L33,408)-MAX('Activities'!K33,402))</x:f>
        <x:v>0</x:v>
      </x:c>
      <x:c r="BU33" s="23" t="n">
        <x:f>MAX(0,MIN('Activities'!L33,414)-MAX('Activities'!K33,408))</x:f>
        <x:v>0</x:v>
      </x:c>
      <x:c r="BV33" s="23" t="n">
        <x:f>MAX(0,MIN('Activities'!L33,420)-MAX('Activities'!K33,414))</x:f>
        <x:v>0</x:v>
      </x:c>
      <x:c r="BW33" s="23" t="n">
        <x:f>MAX(0,MIN('Activities'!L33,426)-MAX('Activities'!K33,420))</x:f>
        <x:v>0</x:v>
      </x:c>
      <x:c r="BX33" s="23" t="n">
        <x:f>MAX(0,MIN('Activities'!L33,432)-MAX('Activities'!K33,426))</x:f>
        <x:v>0</x:v>
      </x:c>
      <x:c r="BY33" s="23" t="n">
        <x:f>MAX(0,MIN('Activities'!L33,438)-MAX('Activities'!K33,432))</x:f>
        <x:v>0</x:v>
      </x:c>
      <x:c r="BZ33" s="23" t="n">
        <x:f>MAX(0,MIN('Activities'!L33,444)-MAX('Activities'!K33,438))</x:f>
        <x:v>0</x:v>
      </x:c>
      <x:c r="CA33" s="23" t="n">
        <x:f>MAX(0,MIN('Activities'!L33,450)-MAX('Activities'!K33,444))</x:f>
        <x:v>0</x:v>
      </x:c>
      <x:c r="CB33" s="23" t="n">
        <x:f>MAX(0,MIN('Activities'!L33,456)-MAX('Activities'!K33,450))</x:f>
        <x:v>0</x:v>
      </x:c>
      <x:c r="CC33" s="23" t="n">
        <x:f>MAX(0,MIN('Activities'!L33,462)-MAX('Activities'!K33,456))</x:f>
        <x:v>0</x:v>
      </x:c>
      <x:c r="CD33" s="23" t="n">
        <x:f>MAX(0,MIN('Activities'!L33,468)-MAX('Activities'!K33,462))</x:f>
        <x:v>0</x:v>
      </x:c>
      <x:c r="CE33" s="23" t="n">
        <x:f>MAX(0,MIN('Activities'!L33,474)-MAX('Activities'!K33,468))</x:f>
        <x:v>0</x:v>
      </x:c>
      <x:c r="CF33" s="23" t="n">
        <x:f>MAX(0,MIN('Activities'!L33,480)-MAX('Activities'!K33,474))</x:f>
        <x:v>0</x:v>
      </x:c>
      <x:c r="CG33" s="23" t="n">
        <x:f>MAX(0,MIN('Activities'!L33,486)-MAX('Activities'!K33,480))</x:f>
        <x:v>0</x:v>
      </x:c>
      <x:c r="CH33" s="23" t="n">
        <x:f>MAX(0,MIN('Activities'!L33,492)-MAX('Activities'!K33,486))</x:f>
        <x:v>0</x:v>
      </x:c>
      <x:c r="CI33" s="23" t="n">
        <x:f>MAX(0,MIN('Activities'!L33,498)-MAX('Activities'!K33,492))</x:f>
        <x:v>0</x:v>
      </x:c>
      <x:c r="CJ33" s="23" t="n">
        <x:f>MAX(0,MIN('Activities'!L33,504)-MAX('Activities'!K33,498))</x:f>
        <x:v>0</x:v>
      </x:c>
      <x:c r="CK33" s="23" t="n">
        <x:f>MAX(0,MIN('Activities'!L33,510)-MAX('Activities'!K33,504))</x:f>
        <x:v>0</x:v>
      </x:c>
      <x:c r="CL33" s="23" t="n">
        <x:f>MAX(0,MIN('Activities'!L33,516)-MAX('Activities'!K33,510))</x:f>
        <x:v>0</x:v>
      </x:c>
      <x:c r="CM33" s="23" t="n">
        <x:f>MAX(0,MIN('Activities'!L33,522)-MAX('Activities'!K33,516))</x:f>
        <x:v>0</x:v>
      </x:c>
      <x:c r="CN33" s="23" t="n">
        <x:f>MAX(0,MIN('Activities'!L33,528)-MAX('Activities'!K33,522))</x:f>
        <x:v>0</x:v>
      </x:c>
      <x:c r="CO33" s="23" t="n">
        <x:f>MAX(0,MIN('Activities'!L33,534)-MAX('Activities'!K33,528))</x:f>
        <x:v>0</x:v>
      </x:c>
      <x:c r="CP33" s="23" t="n">
        <x:f>MAX(0,MIN('Activities'!L33,540)-MAX('Activities'!K33,534))</x:f>
        <x:v>0</x:v>
      </x:c>
      <x:c r="CQ33" s="23" t="n">
        <x:f>MAX(0,MIN('Activities'!L33,546)-MAX('Activities'!K33,540))</x:f>
        <x:v>0</x:v>
      </x:c>
      <x:c r="CR33" s="23" t="n">
        <x:f>MAX(0,MIN('Activities'!L33,552)-MAX('Activities'!K33,546))</x:f>
        <x:v>0</x:v>
      </x:c>
      <x:c r="CS33" s="23" t="n">
        <x:f>MAX(0,MIN('Activities'!L33,558)-MAX('Activities'!K33,552))</x:f>
        <x:v>0</x:v>
      </x:c>
      <x:c r="CT33" s="23" t="n">
        <x:f>MAX(0,MIN('Activities'!L33,564)-MAX('Activities'!K33,558))</x:f>
        <x:v>0</x:v>
      </x:c>
      <x:c r="CU33" s="23" t="n">
        <x:f>MAX(0,MIN('Activities'!L33,570)-MAX('Activities'!K33,564))</x:f>
        <x:v>0</x:v>
      </x:c>
      <x:c r="CV33" s="23" t="n">
        <x:f>MAX(0,MIN('Activities'!L33,576)-MAX('Activities'!K33,570))</x:f>
        <x:v>0</x:v>
      </x:c>
      <x:c r="CW33" s="23" t="n">
        <x:f>MAX(0,MIN('Activities'!L33,582)-MAX('Activities'!K33,576))</x:f>
        <x:v>0</x:v>
      </x:c>
      <x:c r="CX33" s="23" t="n">
        <x:f>MAX(0,MIN('Activities'!L33,588)-MAX('Activities'!K33,582))</x:f>
        <x:v>0</x:v>
      </x:c>
      <x:c r="CY33" s="23" t="n">
        <x:f>MAX(0,MIN('Activities'!L33,594)-MAX('Activities'!K33,588))</x:f>
        <x:v>0</x:v>
      </x:c>
      <x:c r="CZ33" s="23" t="n">
        <x:f>MAX(0,MIN('Activities'!L33,600)-MAX('Activities'!K33,594))</x:f>
        <x:v>0</x:v>
      </x:c>
      <x:c r="DA33" s="23" t="n">
        <x:f>MAX(0,MIN('Activities'!L33,606)-MAX('Activities'!K33,600))</x:f>
        <x:v>0</x:v>
      </x:c>
      <x:c r="DB33" s="23" t="n">
        <x:f>MAX(0,MIN('Activities'!L33,612)-MAX('Activities'!K33,606))</x:f>
        <x:v>0</x:v>
      </x:c>
      <x:c r="DC33" s="23" t="n">
        <x:f>MAX(0,MIN('Activities'!L33,618)-MAX('Activities'!K33,612))</x:f>
        <x:v>0</x:v>
      </x:c>
      <x:c r="DD33" s="23" t="n">
        <x:f>MAX(0,MIN('Activities'!L33,624)-MAX('Activities'!K33,618))</x:f>
        <x:v>0</x:v>
      </x:c>
      <x:c r="DE33" s="23" t="n">
        <x:f>MAX(0,MIN('Activities'!L33,630)-MAX('Activities'!K33,624))</x:f>
        <x:v>0</x:v>
      </x:c>
      <x:c r="DF33" s="23" t="n">
        <x:f>MAX(0,MIN('Activities'!L33,636)-MAX('Activities'!K33,630))</x:f>
        <x:v>0</x:v>
      </x:c>
    </x:row>
    <x:row r="34" ht="23" customHeight="1">
      <x:c r="A34" s="6" t="str">
        <x:v>T1-L04-C</x:v>
      </x:c>
      <x:c r="B34" s="6" t="str">
        <x:v>T1</x:v>
      </x:c>
      <x:c r="C34" s="6" t="str">
        <x:v>Concrete placement and finishing</x:v>
      </x:c>
      <x:c r="D34" s="6" t="str">
        <x:v>Concrete</x:v>
      </x:c>
      <x:c r="E34" s="22" t="n">
        <x:f>MAX(0,MIN('Activities'!L34,6)-MAX('Activities'!K34,0))</x:f>
        <x:v>0</x:v>
      </x:c>
      <x:c r="F34" s="22" t="n">
        <x:f>MAX(0,MIN('Activities'!L34,12)-MAX('Activities'!K34,6))</x:f>
        <x:v>0</x:v>
      </x:c>
      <x:c r="G34" s="22" t="n">
        <x:f>MAX(0,MIN('Activities'!L34,18)-MAX('Activities'!K34,12))</x:f>
        <x:v>0</x:v>
      </x:c>
      <x:c r="H34" s="22" t="n">
        <x:f>MAX(0,MIN('Activities'!L34,24)-MAX('Activities'!K34,18))</x:f>
        <x:v>0</x:v>
      </x:c>
      <x:c r="I34" s="22" t="n">
        <x:f>MAX(0,MIN('Activities'!L34,30)-MAX('Activities'!K34,24))</x:f>
        <x:v>0</x:v>
      </x:c>
      <x:c r="J34" s="22" t="n">
        <x:f>MAX(0,MIN('Activities'!L34,36)-MAX('Activities'!K34,30))</x:f>
        <x:v>0</x:v>
      </x:c>
      <x:c r="K34" s="22" t="n">
        <x:f>MAX(0,MIN('Activities'!L34,42)-MAX('Activities'!K34,36))</x:f>
        <x:v>0</x:v>
      </x:c>
      <x:c r="L34" s="22" t="n">
        <x:f>MAX(0,MIN('Activities'!L34,48)-MAX('Activities'!K34,42))</x:f>
        <x:v>0</x:v>
      </x:c>
      <x:c r="M34" s="22" t="n">
        <x:f>MAX(0,MIN('Activities'!L34,54)-MAX('Activities'!K34,48))</x:f>
        <x:v>0</x:v>
      </x:c>
      <x:c r="N34" s="22" t="n">
        <x:f>MAX(0,MIN('Activities'!L34,60)-MAX('Activities'!K34,54))</x:f>
        <x:v>0</x:v>
      </x:c>
      <x:c r="O34" s="22" t="n">
        <x:f>MAX(0,MIN('Activities'!L34,66)-MAX('Activities'!K34,60))</x:f>
        <x:v>0</x:v>
      </x:c>
      <x:c r="P34" s="22" t="n">
        <x:f>MAX(0,MIN('Activities'!L34,72)-MAX('Activities'!K34,66))</x:f>
        <x:v>0</x:v>
      </x:c>
      <x:c r="Q34" s="22" t="n">
        <x:f>MAX(0,MIN('Activities'!L34,78)-MAX('Activities'!K34,72))</x:f>
        <x:v>0</x:v>
      </x:c>
      <x:c r="R34" s="22" t="n">
        <x:f>MAX(0,MIN('Activities'!L34,84)-MAX('Activities'!K34,78))</x:f>
        <x:v>0</x:v>
      </x:c>
      <x:c r="S34" s="22" t="n">
        <x:f>MAX(0,MIN('Activities'!L34,90)-MAX('Activities'!K34,84))</x:f>
        <x:v>0</x:v>
      </x:c>
      <x:c r="T34" s="22" t="n">
        <x:f>MAX(0,MIN('Activities'!L34,96)-MAX('Activities'!K34,90))</x:f>
        <x:v>0</x:v>
      </x:c>
      <x:c r="U34" s="22" t="n">
        <x:f>MAX(0,MIN('Activities'!L34,102)-MAX('Activities'!K34,96))</x:f>
        <x:v>0</x:v>
      </x:c>
      <x:c r="V34" s="22" t="n">
        <x:f>MAX(0,MIN('Activities'!L34,108)-MAX('Activities'!K34,102))</x:f>
        <x:v>0</x:v>
      </x:c>
      <x:c r="W34" s="22" t="n">
        <x:f>MAX(0,MIN('Activities'!L34,114)-MAX('Activities'!K34,108))</x:f>
        <x:v>0</x:v>
      </x:c>
      <x:c r="X34" s="22" t="n">
        <x:f>MAX(0,MIN('Activities'!L34,120)-MAX('Activities'!K34,114))</x:f>
        <x:v>0</x:v>
      </x:c>
      <x:c r="Y34" s="22" t="n">
        <x:f>MAX(0,MIN('Activities'!L34,126)-MAX('Activities'!K34,120))</x:f>
        <x:v>0</x:v>
      </x:c>
      <x:c r="Z34" s="22" t="n">
        <x:f>MAX(0,MIN('Activities'!L34,132)-MAX('Activities'!K34,126))</x:f>
        <x:v>0</x:v>
      </x:c>
      <x:c r="AA34" s="22" t="n">
        <x:f>MAX(0,MIN('Activities'!L34,138)-MAX('Activities'!K34,132))</x:f>
        <x:v>0</x:v>
      </x:c>
      <x:c r="AB34" s="22" t="n">
        <x:f>MAX(0,MIN('Activities'!L34,144)-MAX('Activities'!K34,138))</x:f>
        <x:v>0</x:v>
      </x:c>
      <x:c r="AC34" s="22" t="n">
        <x:f>MAX(0,MIN('Activities'!L34,150)-MAX('Activities'!K34,144))</x:f>
        <x:v>0</x:v>
      </x:c>
      <x:c r="AD34" s="22" t="n">
        <x:f>MAX(0,MIN('Activities'!L34,156)-MAX('Activities'!K34,150))</x:f>
        <x:v>0</x:v>
      </x:c>
      <x:c r="AE34" s="22" t="n">
        <x:f>MAX(0,MIN('Activities'!L34,162)-MAX('Activities'!K34,156))</x:f>
        <x:v>0</x:v>
      </x:c>
      <x:c r="AF34" s="22" t="n">
        <x:f>MAX(0,MIN('Activities'!L34,168)-MAX('Activities'!K34,162))</x:f>
        <x:v>0</x:v>
      </x:c>
      <x:c r="AG34" s="22" t="n">
        <x:f>MAX(0,MIN('Activities'!L34,174)-MAX('Activities'!K34,168))</x:f>
        <x:v>0</x:v>
      </x:c>
      <x:c r="AH34" s="22" t="n">
        <x:f>MAX(0,MIN('Activities'!L34,180)-MAX('Activities'!K34,174))</x:f>
        <x:v>0</x:v>
      </x:c>
      <x:c r="AI34" s="22" t="n">
        <x:f>MAX(0,MIN('Activities'!L34,186)-MAX('Activities'!K34,180))</x:f>
        <x:v>0</x:v>
      </x:c>
      <x:c r="AJ34" s="22" t="n">
        <x:f>MAX(0,MIN('Activities'!L34,192)-MAX('Activities'!K34,186))</x:f>
        <x:v>0</x:v>
      </x:c>
      <x:c r="AK34" s="22" t="n">
        <x:f>MAX(0,MIN('Activities'!L34,198)-MAX('Activities'!K34,192))</x:f>
        <x:v>0</x:v>
      </x:c>
      <x:c r="AL34" s="22" t="n">
        <x:f>MAX(0,MIN('Activities'!L34,204)-MAX('Activities'!K34,198))</x:f>
        <x:v>0</x:v>
      </x:c>
      <x:c r="AM34" s="22" t="n">
        <x:f>MAX(0,MIN('Activities'!L34,210)-MAX('Activities'!K34,204))</x:f>
        <x:v>0</x:v>
      </x:c>
      <x:c r="AN34" s="22" t="n">
        <x:f>MAX(0,MIN('Activities'!L34,216)-MAX('Activities'!K34,210))</x:f>
        <x:v>0</x:v>
      </x:c>
      <x:c r="AO34" s="22" t="n">
        <x:f>MAX(0,MIN('Activities'!L34,222)-MAX('Activities'!K34,216))</x:f>
        <x:v>2</x:v>
      </x:c>
      <x:c r="AP34" s="22" t="n">
        <x:f>MAX(0,MIN('Activities'!L34,228)-MAX('Activities'!K34,222))</x:f>
        <x:v>0</x:v>
      </x:c>
      <x:c r="AQ34" s="22" t="n">
        <x:f>MAX(0,MIN('Activities'!L34,234)-MAX('Activities'!K34,228))</x:f>
        <x:v>0</x:v>
      </x:c>
      <x:c r="AR34" s="22" t="n">
        <x:f>MAX(0,MIN('Activities'!L34,240)-MAX('Activities'!K34,234))</x:f>
        <x:v>0</x:v>
      </x:c>
      <x:c r="AS34" s="22" t="n">
        <x:f>MAX(0,MIN('Activities'!L34,246)-MAX('Activities'!K34,240))</x:f>
        <x:v>0</x:v>
      </x:c>
      <x:c r="AT34" s="22" t="n">
        <x:f>MAX(0,MIN('Activities'!L34,252)-MAX('Activities'!K34,246))</x:f>
        <x:v>0</x:v>
      </x:c>
      <x:c r="AU34" s="22" t="n">
        <x:f>MAX(0,MIN('Activities'!L34,258)-MAX('Activities'!K34,252))</x:f>
        <x:v>0</x:v>
      </x:c>
      <x:c r="AV34" s="22" t="n">
        <x:f>MAX(0,MIN('Activities'!L34,264)-MAX('Activities'!K34,258))</x:f>
        <x:v>0</x:v>
      </x:c>
      <x:c r="AW34" s="22" t="n">
        <x:f>MAX(0,MIN('Activities'!L34,270)-MAX('Activities'!K34,264))</x:f>
        <x:v>0</x:v>
      </x:c>
      <x:c r="AX34" s="22" t="n">
        <x:f>MAX(0,MIN('Activities'!L34,276)-MAX('Activities'!K34,270))</x:f>
        <x:v>0</x:v>
      </x:c>
      <x:c r="AY34" s="22" t="n">
        <x:f>MAX(0,MIN('Activities'!L34,282)-MAX('Activities'!K34,276))</x:f>
        <x:v>0</x:v>
      </x:c>
      <x:c r="AZ34" s="22" t="n">
        <x:f>MAX(0,MIN('Activities'!L34,288)-MAX('Activities'!K34,282))</x:f>
        <x:v>0</x:v>
      </x:c>
      <x:c r="BA34" s="22" t="n">
        <x:f>MAX(0,MIN('Activities'!L34,294)-MAX('Activities'!K34,288))</x:f>
        <x:v>0</x:v>
      </x:c>
      <x:c r="BB34" s="22" t="n">
        <x:f>MAX(0,MIN('Activities'!L34,300)-MAX('Activities'!K34,294))</x:f>
        <x:v>0</x:v>
      </x:c>
      <x:c r="BC34" s="22" t="n">
        <x:f>MAX(0,MIN('Activities'!L34,306)-MAX('Activities'!K34,300))</x:f>
        <x:v>0</x:v>
      </x:c>
      <x:c r="BD34" s="22" t="n">
        <x:f>MAX(0,MIN('Activities'!L34,312)-MAX('Activities'!K34,306))</x:f>
        <x:v>0</x:v>
      </x:c>
      <x:c r="BE34" s="22" t="n">
        <x:f>MAX(0,MIN('Activities'!L34,318)-MAX('Activities'!K34,312))</x:f>
        <x:v>0</x:v>
      </x:c>
      <x:c r="BF34" s="22" t="n">
        <x:f>MAX(0,MIN('Activities'!L34,324)-MAX('Activities'!K34,318))</x:f>
        <x:v>0</x:v>
      </x:c>
      <x:c r="BG34" s="22" t="n">
        <x:f>MAX(0,MIN('Activities'!L34,330)-MAX('Activities'!K34,324))</x:f>
        <x:v>0</x:v>
      </x:c>
      <x:c r="BH34" s="22" t="n">
        <x:f>MAX(0,MIN('Activities'!L34,336)-MAX('Activities'!K34,330))</x:f>
        <x:v>0</x:v>
      </x:c>
      <x:c r="BI34" s="22" t="n">
        <x:f>MAX(0,MIN('Activities'!L34,342)-MAX('Activities'!K34,336))</x:f>
        <x:v>0</x:v>
      </x:c>
      <x:c r="BJ34" s="22" t="n">
        <x:f>MAX(0,MIN('Activities'!L34,348)-MAX('Activities'!K34,342))</x:f>
        <x:v>0</x:v>
      </x:c>
      <x:c r="BK34" s="22" t="n">
        <x:f>MAX(0,MIN('Activities'!L34,354)-MAX('Activities'!K34,348))</x:f>
        <x:v>0</x:v>
      </x:c>
      <x:c r="BL34" s="22" t="n">
        <x:f>MAX(0,MIN('Activities'!L34,360)-MAX('Activities'!K34,354))</x:f>
        <x:v>0</x:v>
      </x:c>
      <x:c r="BM34" s="22" t="n">
        <x:f>MAX(0,MIN('Activities'!L34,366)-MAX('Activities'!K34,360))</x:f>
        <x:v>0</x:v>
      </x:c>
      <x:c r="BN34" s="22" t="n">
        <x:f>MAX(0,MIN('Activities'!L34,372)-MAX('Activities'!K34,366))</x:f>
        <x:v>0</x:v>
      </x:c>
      <x:c r="BO34" s="22" t="n">
        <x:f>MAX(0,MIN('Activities'!L34,378)-MAX('Activities'!K34,372))</x:f>
        <x:v>0</x:v>
      </x:c>
      <x:c r="BP34" s="22" t="n">
        <x:f>MAX(0,MIN('Activities'!L34,384)-MAX('Activities'!K34,378))</x:f>
        <x:v>0</x:v>
      </x:c>
      <x:c r="BQ34" s="22" t="n">
        <x:f>MAX(0,MIN('Activities'!L34,390)-MAX('Activities'!K34,384))</x:f>
        <x:v>0</x:v>
      </x:c>
      <x:c r="BR34" s="22" t="n">
        <x:f>MAX(0,MIN('Activities'!L34,396)-MAX('Activities'!K34,390))</x:f>
        <x:v>0</x:v>
      </x:c>
      <x:c r="BS34" s="22" t="n">
        <x:f>MAX(0,MIN('Activities'!L34,402)-MAX('Activities'!K34,396))</x:f>
        <x:v>0</x:v>
      </x:c>
      <x:c r="BT34" s="22" t="n">
        <x:f>MAX(0,MIN('Activities'!L34,408)-MAX('Activities'!K34,402))</x:f>
        <x:v>0</x:v>
      </x:c>
      <x:c r="BU34" s="22" t="n">
        <x:f>MAX(0,MIN('Activities'!L34,414)-MAX('Activities'!K34,408))</x:f>
        <x:v>0</x:v>
      </x:c>
      <x:c r="BV34" s="22" t="n">
        <x:f>MAX(0,MIN('Activities'!L34,420)-MAX('Activities'!K34,414))</x:f>
        <x:v>0</x:v>
      </x:c>
      <x:c r="BW34" s="22" t="n">
        <x:f>MAX(0,MIN('Activities'!L34,426)-MAX('Activities'!K34,420))</x:f>
        <x:v>0</x:v>
      </x:c>
      <x:c r="BX34" s="22" t="n">
        <x:f>MAX(0,MIN('Activities'!L34,432)-MAX('Activities'!K34,426))</x:f>
        <x:v>0</x:v>
      </x:c>
      <x:c r="BY34" s="22" t="n">
        <x:f>MAX(0,MIN('Activities'!L34,438)-MAX('Activities'!K34,432))</x:f>
        <x:v>0</x:v>
      </x:c>
      <x:c r="BZ34" s="22" t="n">
        <x:f>MAX(0,MIN('Activities'!L34,444)-MAX('Activities'!K34,438))</x:f>
        <x:v>0</x:v>
      </x:c>
      <x:c r="CA34" s="22" t="n">
        <x:f>MAX(0,MIN('Activities'!L34,450)-MAX('Activities'!K34,444))</x:f>
        <x:v>0</x:v>
      </x:c>
      <x:c r="CB34" s="22" t="n">
        <x:f>MAX(0,MIN('Activities'!L34,456)-MAX('Activities'!K34,450))</x:f>
        <x:v>0</x:v>
      </x:c>
      <x:c r="CC34" s="22" t="n">
        <x:f>MAX(0,MIN('Activities'!L34,462)-MAX('Activities'!K34,456))</x:f>
        <x:v>0</x:v>
      </x:c>
      <x:c r="CD34" s="22" t="n">
        <x:f>MAX(0,MIN('Activities'!L34,468)-MAX('Activities'!K34,462))</x:f>
        <x:v>0</x:v>
      </x:c>
      <x:c r="CE34" s="22" t="n">
        <x:f>MAX(0,MIN('Activities'!L34,474)-MAX('Activities'!K34,468))</x:f>
        <x:v>0</x:v>
      </x:c>
      <x:c r="CF34" s="22" t="n">
        <x:f>MAX(0,MIN('Activities'!L34,480)-MAX('Activities'!K34,474))</x:f>
        <x:v>0</x:v>
      </x:c>
      <x:c r="CG34" s="22" t="n">
        <x:f>MAX(0,MIN('Activities'!L34,486)-MAX('Activities'!K34,480))</x:f>
        <x:v>0</x:v>
      </x:c>
      <x:c r="CH34" s="22" t="n">
        <x:f>MAX(0,MIN('Activities'!L34,492)-MAX('Activities'!K34,486))</x:f>
        <x:v>0</x:v>
      </x:c>
      <x:c r="CI34" s="22" t="n">
        <x:f>MAX(0,MIN('Activities'!L34,498)-MAX('Activities'!K34,492))</x:f>
        <x:v>0</x:v>
      </x:c>
      <x:c r="CJ34" s="22" t="n">
        <x:f>MAX(0,MIN('Activities'!L34,504)-MAX('Activities'!K34,498))</x:f>
        <x:v>0</x:v>
      </x:c>
      <x:c r="CK34" s="22" t="n">
        <x:f>MAX(0,MIN('Activities'!L34,510)-MAX('Activities'!K34,504))</x:f>
        <x:v>0</x:v>
      </x:c>
      <x:c r="CL34" s="22" t="n">
        <x:f>MAX(0,MIN('Activities'!L34,516)-MAX('Activities'!K34,510))</x:f>
        <x:v>0</x:v>
      </x:c>
      <x:c r="CM34" s="22" t="n">
        <x:f>MAX(0,MIN('Activities'!L34,522)-MAX('Activities'!K34,516))</x:f>
        <x:v>0</x:v>
      </x:c>
      <x:c r="CN34" s="22" t="n">
        <x:f>MAX(0,MIN('Activities'!L34,528)-MAX('Activities'!K34,522))</x:f>
        <x:v>0</x:v>
      </x:c>
      <x:c r="CO34" s="22" t="n">
        <x:f>MAX(0,MIN('Activities'!L34,534)-MAX('Activities'!K34,528))</x:f>
        <x:v>0</x:v>
      </x:c>
      <x:c r="CP34" s="22" t="n">
        <x:f>MAX(0,MIN('Activities'!L34,540)-MAX('Activities'!K34,534))</x:f>
        <x:v>0</x:v>
      </x:c>
      <x:c r="CQ34" s="22" t="n">
        <x:f>MAX(0,MIN('Activities'!L34,546)-MAX('Activities'!K34,540))</x:f>
        <x:v>0</x:v>
      </x:c>
      <x:c r="CR34" s="22" t="n">
        <x:f>MAX(0,MIN('Activities'!L34,552)-MAX('Activities'!K34,546))</x:f>
        <x:v>0</x:v>
      </x:c>
      <x:c r="CS34" s="22" t="n">
        <x:f>MAX(0,MIN('Activities'!L34,558)-MAX('Activities'!K34,552))</x:f>
        <x:v>0</x:v>
      </x:c>
      <x:c r="CT34" s="22" t="n">
        <x:f>MAX(0,MIN('Activities'!L34,564)-MAX('Activities'!K34,558))</x:f>
        <x:v>0</x:v>
      </x:c>
      <x:c r="CU34" s="22" t="n">
        <x:f>MAX(0,MIN('Activities'!L34,570)-MAX('Activities'!K34,564))</x:f>
        <x:v>0</x:v>
      </x:c>
      <x:c r="CV34" s="22" t="n">
        <x:f>MAX(0,MIN('Activities'!L34,576)-MAX('Activities'!K34,570))</x:f>
        <x:v>0</x:v>
      </x:c>
      <x:c r="CW34" s="22" t="n">
        <x:f>MAX(0,MIN('Activities'!L34,582)-MAX('Activities'!K34,576))</x:f>
        <x:v>0</x:v>
      </x:c>
      <x:c r="CX34" s="22" t="n">
        <x:f>MAX(0,MIN('Activities'!L34,588)-MAX('Activities'!K34,582))</x:f>
        <x:v>0</x:v>
      </x:c>
      <x:c r="CY34" s="22" t="n">
        <x:f>MAX(0,MIN('Activities'!L34,594)-MAX('Activities'!K34,588))</x:f>
        <x:v>0</x:v>
      </x:c>
      <x:c r="CZ34" s="22" t="n">
        <x:f>MAX(0,MIN('Activities'!L34,600)-MAX('Activities'!K34,594))</x:f>
        <x:v>0</x:v>
      </x:c>
      <x:c r="DA34" s="22" t="n">
        <x:f>MAX(0,MIN('Activities'!L34,606)-MAX('Activities'!K34,600))</x:f>
        <x:v>0</x:v>
      </x:c>
      <x:c r="DB34" s="22" t="n">
        <x:f>MAX(0,MIN('Activities'!L34,612)-MAX('Activities'!K34,606))</x:f>
        <x:v>0</x:v>
      </x:c>
      <x:c r="DC34" s="22" t="n">
        <x:f>MAX(0,MIN('Activities'!L34,618)-MAX('Activities'!K34,612))</x:f>
        <x:v>0</x:v>
      </x:c>
      <x:c r="DD34" s="22" t="n">
        <x:f>MAX(0,MIN('Activities'!L34,624)-MAX('Activities'!K34,618))</x:f>
        <x:v>0</x:v>
      </x:c>
      <x:c r="DE34" s="22" t="n">
        <x:f>MAX(0,MIN('Activities'!L34,630)-MAX('Activities'!K34,624))</x:f>
        <x:v>0</x:v>
      </x:c>
      <x:c r="DF34" s="22" t="n">
        <x:f>MAX(0,MIN('Activities'!L34,636)-MAX('Activities'!K34,630))</x:f>
        <x:v>0</x:v>
      </x:c>
    </x:row>
    <x:row r="35" ht="23" customHeight="1">
      <x:c r="A35" s="1" t="str">
        <x:v>T1-L04-H</x:v>
      </x:c>
      <x:c r="B35" s="1" t="str">
        <x:v>T1</x:v>
      </x:c>
      <x:c r="C35" s="1" t="str">
        <x:v>Curing and release hold point</x:v>
      </x:c>
      <x:c r="D35" s="1" t="str">
        <x:v>Site</x:v>
      </x:c>
      <x:c r="E35" s="23" t="n">
        <x:f>MAX(0,MIN('Activities'!L35,6)-MAX('Activities'!K35,0))</x:f>
        <x:v>0</x:v>
      </x:c>
      <x:c r="F35" s="23" t="n">
        <x:f>MAX(0,MIN('Activities'!L35,12)-MAX('Activities'!K35,6))</x:f>
        <x:v>0</x:v>
      </x:c>
      <x:c r="G35" s="23" t="n">
        <x:f>MAX(0,MIN('Activities'!L35,18)-MAX('Activities'!K35,12))</x:f>
        <x:v>0</x:v>
      </x:c>
      <x:c r="H35" s="23" t="n">
        <x:f>MAX(0,MIN('Activities'!L35,24)-MAX('Activities'!K35,18))</x:f>
        <x:v>0</x:v>
      </x:c>
      <x:c r="I35" s="23" t="n">
        <x:f>MAX(0,MIN('Activities'!L35,30)-MAX('Activities'!K35,24))</x:f>
        <x:v>0</x:v>
      </x:c>
      <x:c r="J35" s="23" t="n">
        <x:f>MAX(0,MIN('Activities'!L35,36)-MAX('Activities'!K35,30))</x:f>
        <x:v>0</x:v>
      </x:c>
      <x:c r="K35" s="23" t="n">
        <x:f>MAX(0,MIN('Activities'!L35,42)-MAX('Activities'!K35,36))</x:f>
        <x:v>0</x:v>
      </x:c>
      <x:c r="L35" s="23" t="n">
        <x:f>MAX(0,MIN('Activities'!L35,48)-MAX('Activities'!K35,42))</x:f>
        <x:v>0</x:v>
      </x:c>
      <x:c r="M35" s="23" t="n">
        <x:f>MAX(0,MIN('Activities'!L35,54)-MAX('Activities'!K35,48))</x:f>
        <x:v>0</x:v>
      </x:c>
      <x:c r="N35" s="23" t="n">
        <x:f>MAX(0,MIN('Activities'!L35,60)-MAX('Activities'!K35,54))</x:f>
        <x:v>0</x:v>
      </x:c>
      <x:c r="O35" s="23" t="n">
        <x:f>MAX(0,MIN('Activities'!L35,66)-MAX('Activities'!K35,60))</x:f>
        <x:v>0</x:v>
      </x:c>
      <x:c r="P35" s="23" t="n">
        <x:f>MAX(0,MIN('Activities'!L35,72)-MAX('Activities'!K35,66))</x:f>
        <x:v>0</x:v>
      </x:c>
      <x:c r="Q35" s="23" t="n">
        <x:f>MAX(0,MIN('Activities'!L35,78)-MAX('Activities'!K35,72))</x:f>
        <x:v>0</x:v>
      </x:c>
      <x:c r="R35" s="23" t="n">
        <x:f>MAX(0,MIN('Activities'!L35,84)-MAX('Activities'!K35,78))</x:f>
        <x:v>0</x:v>
      </x:c>
      <x:c r="S35" s="23" t="n">
        <x:f>MAX(0,MIN('Activities'!L35,90)-MAX('Activities'!K35,84))</x:f>
        <x:v>0</x:v>
      </x:c>
      <x:c r="T35" s="23" t="n">
        <x:f>MAX(0,MIN('Activities'!L35,96)-MAX('Activities'!K35,90))</x:f>
        <x:v>0</x:v>
      </x:c>
      <x:c r="U35" s="23" t="n">
        <x:f>MAX(0,MIN('Activities'!L35,102)-MAX('Activities'!K35,96))</x:f>
        <x:v>0</x:v>
      </x:c>
      <x:c r="V35" s="23" t="n">
        <x:f>MAX(0,MIN('Activities'!L35,108)-MAX('Activities'!K35,102))</x:f>
        <x:v>0</x:v>
      </x:c>
      <x:c r="W35" s="23" t="n">
        <x:f>MAX(0,MIN('Activities'!L35,114)-MAX('Activities'!K35,108))</x:f>
        <x:v>0</x:v>
      </x:c>
      <x:c r="X35" s="23" t="n">
        <x:f>MAX(0,MIN('Activities'!L35,120)-MAX('Activities'!K35,114))</x:f>
        <x:v>0</x:v>
      </x:c>
      <x:c r="Y35" s="23" t="n">
        <x:f>MAX(0,MIN('Activities'!L35,126)-MAX('Activities'!K35,120))</x:f>
        <x:v>0</x:v>
      </x:c>
      <x:c r="Z35" s="23" t="n">
        <x:f>MAX(0,MIN('Activities'!L35,132)-MAX('Activities'!K35,126))</x:f>
        <x:v>0</x:v>
      </x:c>
      <x:c r="AA35" s="23" t="n">
        <x:f>MAX(0,MIN('Activities'!L35,138)-MAX('Activities'!K35,132))</x:f>
        <x:v>0</x:v>
      </x:c>
      <x:c r="AB35" s="23" t="n">
        <x:f>MAX(0,MIN('Activities'!L35,144)-MAX('Activities'!K35,138))</x:f>
        <x:v>0</x:v>
      </x:c>
      <x:c r="AC35" s="23" t="n">
        <x:f>MAX(0,MIN('Activities'!L35,150)-MAX('Activities'!K35,144))</x:f>
        <x:v>0</x:v>
      </x:c>
      <x:c r="AD35" s="23" t="n">
        <x:f>MAX(0,MIN('Activities'!L35,156)-MAX('Activities'!K35,150))</x:f>
        <x:v>0</x:v>
      </x:c>
      <x:c r="AE35" s="23" t="n">
        <x:f>MAX(0,MIN('Activities'!L35,162)-MAX('Activities'!K35,156))</x:f>
        <x:v>0</x:v>
      </x:c>
      <x:c r="AF35" s="23" t="n">
        <x:f>MAX(0,MIN('Activities'!L35,168)-MAX('Activities'!K35,162))</x:f>
        <x:v>0</x:v>
      </x:c>
      <x:c r="AG35" s="23" t="n">
        <x:f>MAX(0,MIN('Activities'!L35,174)-MAX('Activities'!K35,168))</x:f>
        <x:v>0</x:v>
      </x:c>
      <x:c r="AH35" s="23" t="n">
        <x:f>MAX(0,MIN('Activities'!L35,180)-MAX('Activities'!K35,174))</x:f>
        <x:v>0</x:v>
      </x:c>
      <x:c r="AI35" s="23" t="n">
        <x:f>MAX(0,MIN('Activities'!L35,186)-MAX('Activities'!K35,180))</x:f>
        <x:v>0</x:v>
      </x:c>
      <x:c r="AJ35" s="23" t="n">
        <x:f>MAX(0,MIN('Activities'!L35,192)-MAX('Activities'!K35,186))</x:f>
        <x:v>0</x:v>
      </x:c>
      <x:c r="AK35" s="23" t="n">
        <x:f>MAX(0,MIN('Activities'!L35,198)-MAX('Activities'!K35,192))</x:f>
        <x:v>0</x:v>
      </x:c>
      <x:c r="AL35" s="23" t="n">
        <x:f>MAX(0,MIN('Activities'!L35,204)-MAX('Activities'!K35,198))</x:f>
        <x:v>0</x:v>
      </x:c>
      <x:c r="AM35" s="23" t="n">
        <x:f>MAX(0,MIN('Activities'!L35,210)-MAX('Activities'!K35,204))</x:f>
        <x:v>0</x:v>
      </x:c>
      <x:c r="AN35" s="23" t="n">
        <x:f>MAX(0,MIN('Activities'!L35,216)-MAX('Activities'!K35,210))</x:f>
        <x:v>0</x:v>
      </x:c>
      <x:c r="AO35" s="23" t="n">
        <x:f>MAX(0,MIN('Activities'!L35,222)-MAX('Activities'!K35,216))</x:f>
        <x:v>3</x:v>
      </x:c>
      <x:c r="AP35" s="23" t="n">
        <x:f>MAX(0,MIN('Activities'!L35,228)-MAX('Activities'!K35,222))</x:f>
        <x:v>2</x:v>
      </x:c>
      <x:c r="AQ35" s="23" t="n">
        <x:f>MAX(0,MIN('Activities'!L35,234)-MAX('Activities'!K35,228))</x:f>
        <x:v>0</x:v>
      </x:c>
      <x:c r="AR35" s="23" t="n">
        <x:f>MAX(0,MIN('Activities'!L35,240)-MAX('Activities'!K35,234))</x:f>
        <x:v>0</x:v>
      </x:c>
      <x:c r="AS35" s="23" t="n">
        <x:f>MAX(0,MIN('Activities'!L35,246)-MAX('Activities'!K35,240))</x:f>
        <x:v>0</x:v>
      </x:c>
      <x:c r="AT35" s="23" t="n">
        <x:f>MAX(0,MIN('Activities'!L35,252)-MAX('Activities'!K35,246))</x:f>
        <x:v>0</x:v>
      </x:c>
      <x:c r="AU35" s="23" t="n">
        <x:f>MAX(0,MIN('Activities'!L35,258)-MAX('Activities'!K35,252))</x:f>
        <x:v>0</x:v>
      </x:c>
      <x:c r="AV35" s="23" t="n">
        <x:f>MAX(0,MIN('Activities'!L35,264)-MAX('Activities'!K35,258))</x:f>
        <x:v>0</x:v>
      </x:c>
      <x:c r="AW35" s="23" t="n">
        <x:f>MAX(0,MIN('Activities'!L35,270)-MAX('Activities'!K35,264))</x:f>
        <x:v>0</x:v>
      </x:c>
      <x:c r="AX35" s="23" t="n">
        <x:f>MAX(0,MIN('Activities'!L35,276)-MAX('Activities'!K35,270))</x:f>
        <x:v>0</x:v>
      </x:c>
      <x:c r="AY35" s="23" t="n">
        <x:f>MAX(0,MIN('Activities'!L35,282)-MAX('Activities'!K35,276))</x:f>
        <x:v>0</x:v>
      </x:c>
      <x:c r="AZ35" s="23" t="n">
        <x:f>MAX(0,MIN('Activities'!L35,288)-MAX('Activities'!K35,282))</x:f>
        <x:v>0</x:v>
      </x:c>
      <x:c r="BA35" s="23" t="n">
        <x:f>MAX(0,MIN('Activities'!L35,294)-MAX('Activities'!K35,288))</x:f>
        <x:v>0</x:v>
      </x:c>
      <x:c r="BB35" s="23" t="n">
        <x:f>MAX(0,MIN('Activities'!L35,300)-MAX('Activities'!K35,294))</x:f>
        <x:v>0</x:v>
      </x:c>
      <x:c r="BC35" s="23" t="n">
        <x:f>MAX(0,MIN('Activities'!L35,306)-MAX('Activities'!K35,300))</x:f>
        <x:v>0</x:v>
      </x:c>
      <x:c r="BD35" s="23" t="n">
        <x:f>MAX(0,MIN('Activities'!L35,312)-MAX('Activities'!K35,306))</x:f>
        <x:v>0</x:v>
      </x:c>
      <x:c r="BE35" s="23" t="n">
        <x:f>MAX(0,MIN('Activities'!L35,318)-MAX('Activities'!K35,312))</x:f>
        <x:v>0</x:v>
      </x:c>
      <x:c r="BF35" s="23" t="n">
        <x:f>MAX(0,MIN('Activities'!L35,324)-MAX('Activities'!K35,318))</x:f>
        <x:v>0</x:v>
      </x:c>
      <x:c r="BG35" s="23" t="n">
        <x:f>MAX(0,MIN('Activities'!L35,330)-MAX('Activities'!K35,324))</x:f>
        <x:v>0</x:v>
      </x:c>
      <x:c r="BH35" s="23" t="n">
        <x:f>MAX(0,MIN('Activities'!L35,336)-MAX('Activities'!K35,330))</x:f>
        <x:v>0</x:v>
      </x:c>
      <x:c r="BI35" s="23" t="n">
        <x:f>MAX(0,MIN('Activities'!L35,342)-MAX('Activities'!K35,336))</x:f>
        <x:v>0</x:v>
      </x:c>
      <x:c r="BJ35" s="23" t="n">
        <x:f>MAX(0,MIN('Activities'!L35,348)-MAX('Activities'!K35,342))</x:f>
        <x:v>0</x:v>
      </x:c>
      <x:c r="BK35" s="23" t="n">
        <x:f>MAX(0,MIN('Activities'!L35,354)-MAX('Activities'!K35,348))</x:f>
        <x:v>0</x:v>
      </x:c>
      <x:c r="BL35" s="23" t="n">
        <x:f>MAX(0,MIN('Activities'!L35,360)-MAX('Activities'!K35,354))</x:f>
        <x:v>0</x:v>
      </x:c>
      <x:c r="BM35" s="23" t="n">
        <x:f>MAX(0,MIN('Activities'!L35,366)-MAX('Activities'!K35,360))</x:f>
        <x:v>0</x:v>
      </x:c>
      <x:c r="BN35" s="23" t="n">
        <x:f>MAX(0,MIN('Activities'!L35,372)-MAX('Activities'!K35,366))</x:f>
        <x:v>0</x:v>
      </x:c>
      <x:c r="BO35" s="23" t="n">
        <x:f>MAX(0,MIN('Activities'!L35,378)-MAX('Activities'!K35,372))</x:f>
        <x:v>0</x:v>
      </x:c>
      <x:c r="BP35" s="23" t="n">
        <x:f>MAX(0,MIN('Activities'!L35,384)-MAX('Activities'!K35,378))</x:f>
        <x:v>0</x:v>
      </x:c>
      <x:c r="BQ35" s="23" t="n">
        <x:f>MAX(0,MIN('Activities'!L35,390)-MAX('Activities'!K35,384))</x:f>
        <x:v>0</x:v>
      </x:c>
      <x:c r="BR35" s="23" t="n">
        <x:f>MAX(0,MIN('Activities'!L35,396)-MAX('Activities'!K35,390))</x:f>
        <x:v>0</x:v>
      </x:c>
      <x:c r="BS35" s="23" t="n">
        <x:f>MAX(0,MIN('Activities'!L35,402)-MAX('Activities'!K35,396))</x:f>
        <x:v>0</x:v>
      </x:c>
      <x:c r="BT35" s="23" t="n">
        <x:f>MAX(0,MIN('Activities'!L35,408)-MAX('Activities'!K35,402))</x:f>
        <x:v>0</x:v>
      </x:c>
      <x:c r="BU35" s="23" t="n">
        <x:f>MAX(0,MIN('Activities'!L35,414)-MAX('Activities'!K35,408))</x:f>
        <x:v>0</x:v>
      </x:c>
      <x:c r="BV35" s="23" t="n">
        <x:f>MAX(0,MIN('Activities'!L35,420)-MAX('Activities'!K35,414))</x:f>
        <x:v>0</x:v>
      </x:c>
      <x:c r="BW35" s="23" t="n">
        <x:f>MAX(0,MIN('Activities'!L35,426)-MAX('Activities'!K35,420))</x:f>
        <x:v>0</x:v>
      </x:c>
      <x:c r="BX35" s="23" t="n">
        <x:f>MAX(0,MIN('Activities'!L35,432)-MAX('Activities'!K35,426))</x:f>
        <x:v>0</x:v>
      </x:c>
      <x:c r="BY35" s="23" t="n">
        <x:f>MAX(0,MIN('Activities'!L35,438)-MAX('Activities'!K35,432))</x:f>
        <x:v>0</x:v>
      </x:c>
      <x:c r="BZ35" s="23" t="n">
        <x:f>MAX(0,MIN('Activities'!L35,444)-MAX('Activities'!K35,438))</x:f>
        <x:v>0</x:v>
      </x:c>
      <x:c r="CA35" s="23" t="n">
        <x:f>MAX(0,MIN('Activities'!L35,450)-MAX('Activities'!K35,444))</x:f>
        <x:v>0</x:v>
      </x:c>
      <x:c r="CB35" s="23" t="n">
        <x:f>MAX(0,MIN('Activities'!L35,456)-MAX('Activities'!K35,450))</x:f>
        <x:v>0</x:v>
      </x:c>
      <x:c r="CC35" s="23" t="n">
        <x:f>MAX(0,MIN('Activities'!L35,462)-MAX('Activities'!K35,456))</x:f>
        <x:v>0</x:v>
      </x:c>
      <x:c r="CD35" s="23" t="n">
        <x:f>MAX(0,MIN('Activities'!L35,468)-MAX('Activities'!K35,462))</x:f>
        <x:v>0</x:v>
      </x:c>
      <x:c r="CE35" s="23" t="n">
        <x:f>MAX(0,MIN('Activities'!L35,474)-MAX('Activities'!K35,468))</x:f>
        <x:v>0</x:v>
      </x:c>
      <x:c r="CF35" s="23" t="n">
        <x:f>MAX(0,MIN('Activities'!L35,480)-MAX('Activities'!K35,474))</x:f>
        <x:v>0</x:v>
      </x:c>
      <x:c r="CG35" s="23" t="n">
        <x:f>MAX(0,MIN('Activities'!L35,486)-MAX('Activities'!K35,480))</x:f>
        <x:v>0</x:v>
      </x:c>
      <x:c r="CH35" s="23" t="n">
        <x:f>MAX(0,MIN('Activities'!L35,492)-MAX('Activities'!K35,486))</x:f>
        <x:v>0</x:v>
      </x:c>
      <x:c r="CI35" s="23" t="n">
        <x:f>MAX(0,MIN('Activities'!L35,498)-MAX('Activities'!K35,492))</x:f>
        <x:v>0</x:v>
      </x:c>
      <x:c r="CJ35" s="23" t="n">
        <x:f>MAX(0,MIN('Activities'!L35,504)-MAX('Activities'!K35,498))</x:f>
        <x:v>0</x:v>
      </x:c>
      <x:c r="CK35" s="23" t="n">
        <x:f>MAX(0,MIN('Activities'!L35,510)-MAX('Activities'!K35,504))</x:f>
        <x:v>0</x:v>
      </x:c>
      <x:c r="CL35" s="23" t="n">
        <x:f>MAX(0,MIN('Activities'!L35,516)-MAX('Activities'!K35,510))</x:f>
        <x:v>0</x:v>
      </x:c>
      <x:c r="CM35" s="23" t="n">
        <x:f>MAX(0,MIN('Activities'!L35,522)-MAX('Activities'!K35,516))</x:f>
        <x:v>0</x:v>
      </x:c>
      <x:c r="CN35" s="23" t="n">
        <x:f>MAX(0,MIN('Activities'!L35,528)-MAX('Activities'!K35,522))</x:f>
        <x:v>0</x:v>
      </x:c>
      <x:c r="CO35" s="23" t="n">
        <x:f>MAX(0,MIN('Activities'!L35,534)-MAX('Activities'!K35,528))</x:f>
        <x:v>0</x:v>
      </x:c>
      <x:c r="CP35" s="23" t="n">
        <x:f>MAX(0,MIN('Activities'!L35,540)-MAX('Activities'!K35,534))</x:f>
        <x:v>0</x:v>
      </x:c>
      <x:c r="CQ35" s="23" t="n">
        <x:f>MAX(0,MIN('Activities'!L35,546)-MAX('Activities'!K35,540))</x:f>
        <x:v>0</x:v>
      </x:c>
      <x:c r="CR35" s="23" t="n">
        <x:f>MAX(0,MIN('Activities'!L35,552)-MAX('Activities'!K35,546))</x:f>
        <x:v>0</x:v>
      </x:c>
      <x:c r="CS35" s="23" t="n">
        <x:f>MAX(0,MIN('Activities'!L35,558)-MAX('Activities'!K35,552))</x:f>
        <x:v>0</x:v>
      </x:c>
      <x:c r="CT35" s="23" t="n">
        <x:f>MAX(0,MIN('Activities'!L35,564)-MAX('Activities'!K35,558))</x:f>
        <x:v>0</x:v>
      </x:c>
      <x:c r="CU35" s="23" t="n">
        <x:f>MAX(0,MIN('Activities'!L35,570)-MAX('Activities'!K35,564))</x:f>
        <x:v>0</x:v>
      </x:c>
      <x:c r="CV35" s="23" t="n">
        <x:f>MAX(0,MIN('Activities'!L35,576)-MAX('Activities'!K35,570))</x:f>
        <x:v>0</x:v>
      </x:c>
      <x:c r="CW35" s="23" t="n">
        <x:f>MAX(0,MIN('Activities'!L35,582)-MAX('Activities'!K35,576))</x:f>
        <x:v>0</x:v>
      </x:c>
      <x:c r="CX35" s="23" t="n">
        <x:f>MAX(0,MIN('Activities'!L35,588)-MAX('Activities'!K35,582))</x:f>
        <x:v>0</x:v>
      </x:c>
      <x:c r="CY35" s="23" t="n">
        <x:f>MAX(0,MIN('Activities'!L35,594)-MAX('Activities'!K35,588))</x:f>
        <x:v>0</x:v>
      </x:c>
      <x:c r="CZ35" s="23" t="n">
        <x:f>MAX(0,MIN('Activities'!L35,600)-MAX('Activities'!K35,594))</x:f>
        <x:v>0</x:v>
      </x:c>
      <x:c r="DA35" s="23" t="n">
        <x:f>MAX(0,MIN('Activities'!L35,606)-MAX('Activities'!K35,600))</x:f>
        <x:v>0</x:v>
      </x:c>
      <x:c r="DB35" s="23" t="n">
        <x:f>MAX(0,MIN('Activities'!L35,612)-MAX('Activities'!K35,606))</x:f>
        <x:v>0</x:v>
      </x:c>
      <x:c r="DC35" s="23" t="n">
        <x:f>MAX(0,MIN('Activities'!L35,618)-MAX('Activities'!K35,612))</x:f>
        <x:v>0</x:v>
      </x:c>
      <x:c r="DD35" s="23" t="n">
        <x:f>MAX(0,MIN('Activities'!L35,624)-MAX('Activities'!K35,618))</x:f>
        <x:v>0</x:v>
      </x:c>
      <x:c r="DE35" s="23" t="n">
        <x:f>MAX(0,MIN('Activities'!L35,630)-MAX('Activities'!K35,624))</x:f>
        <x:v>0</x:v>
      </x:c>
      <x:c r="DF35" s="23" t="n">
        <x:f>MAX(0,MIN('Activities'!L35,636)-MAX('Activities'!K35,630))</x:f>
        <x:v>0</x:v>
      </x:c>
    </x:row>
    <x:row r="36" ht="23" customHeight="1">
      <x:c r="A36" s="6" t="str">
        <x:v>T1-L05-F</x:v>
      </x:c>
      <x:c r="B36" s="6" t="str">
        <x:v>T1</x:v>
      </x:c>
      <x:c r="C36" s="6" t="str">
        <x:v>Columns, core and deck formwork</x:v>
      </x:c>
      <x:c r="D36" s="6" t="str">
        <x:v>Formwork</x:v>
      </x:c>
      <x:c r="E36" s="22" t="n">
        <x:f>MAX(0,MIN('Activities'!L36,6)-MAX('Activities'!K36,0))</x:f>
        <x:v>0</x:v>
      </x:c>
      <x:c r="F36" s="22" t="n">
        <x:f>MAX(0,MIN('Activities'!L36,12)-MAX('Activities'!K36,6))</x:f>
        <x:v>0</x:v>
      </x:c>
      <x:c r="G36" s="22" t="n">
        <x:f>MAX(0,MIN('Activities'!L36,18)-MAX('Activities'!K36,12))</x:f>
        <x:v>0</x:v>
      </x:c>
      <x:c r="H36" s="22" t="n">
        <x:f>MAX(0,MIN('Activities'!L36,24)-MAX('Activities'!K36,18))</x:f>
        <x:v>0</x:v>
      </x:c>
      <x:c r="I36" s="22" t="n">
        <x:f>MAX(0,MIN('Activities'!L36,30)-MAX('Activities'!K36,24))</x:f>
        <x:v>0</x:v>
      </x:c>
      <x:c r="J36" s="22" t="n">
        <x:f>MAX(0,MIN('Activities'!L36,36)-MAX('Activities'!K36,30))</x:f>
        <x:v>0</x:v>
      </x:c>
      <x:c r="K36" s="22" t="n">
        <x:f>MAX(0,MIN('Activities'!L36,42)-MAX('Activities'!K36,36))</x:f>
        <x:v>0</x:v>
      </x:c>
      <x:c r="L36" s="22" t="n">
        <x:f>MAX(0,MIN('Activities'!L36,48)-MAX('Activities'!K36,42))</x:f>
        <x:v>0</x:v>
      </x:c>
      <x:c r="M36" s="22" t="n">
        <x:f>MAX(0,MIN('Activities'!L36,54)-MAX('Activities'!K36,48))</x:f>
        <x:v>0</x:v>
      </x:c>
      <x:c r="N36" s="22" t="n">
        <x:f>MAX(0,MIN('Activities'!L36,60)-MAX('Activities'!K36,54))</x:f>
        <x:v>0</x:v>
      </x:c>
      <x:c r="O36" s="22" t="n">
        <x:f>MAX(0,MIN('Activities'!L36,66)-MAX('Activities'!K36,60))</x:f>
        <x:v>0</x:v>
      </x:c>
      <x:c r="P36" s="22" t="n">
        <x:f>MAX(0,MIN('Activities'!L36,72)-MAX('Activities'!K36,66))</x:f>
        <x:v>0</x:v>
      </x:c>
      <x:c r="Q36" s="22" t="n">
        <x:f>MAX(0,MIN('Activities'!L36,78)-MAX('Activities'!K36,72))</x:f>
        <x:v>0</x:v>
      </x:c>
      <x:c r="R36" s="22" t="n">
        <x:f>MAX(0,MIN('Activities'!L36,84)-MAX('Activities'!K36,78))</x:f>
        <x:v>0</x:v>
      </x:c>
      <x:c r="S36" s="22" t="n">
        <x:f>MAX(0,MIN('Activities'!L36,90)-MAX('Activities'!K36,84))</x:f>
        <x:v>0</x:v>
      </x:c>
      <x:c r="T36" s="22" t="n">
        <x:f>MAX(0,MIN('Activities'!L36,96)-MAX('Activities'!K36,90))</x:f>
        <x:v>0</x:v>
      </x:c>
      <x:c r="U36" s="22" t="n">
        <x:f>MAX(0,MIN('Activities'!L36,102)-MAX('Activities'!K36,96))</x:f>
        <x:v>0</x:v>
      </x:c>
      <x:c r="V36" s="22" t="n">
        <x:f>MAX(0,MIN('Activities'!L36,108)-MAX('Activities'!K36,102))</x:f>
        <x:v>0</x:v>
      </x:c>
      <x:c r="W36" s="22" t="n">
        <x:f>MAX(0,MIN('Activities'!L36,114)-MAX('Activities'!K36,108))</x:f>
        <x:v>0</x:v>
      </x:c>
      <x:c r="X36" s="22" t="n">
        <x:f>MAX(0,MIN('Activities'!L36,120)-MAX('Activities'!K36,114))</x:f>
        <x:v>0</x:v>
      </x:c>
      <x:c r="Y36" s="22" t="n">
        <x:f>MAX(0,MIN('Activities'!L36,126)-MAX('Activities'!K36,120))</x:f>
        <x:v>0</x:v>
      </x:c>
      <x:c r="Z36" s="22" t="n">
        <x:f>MAX(0,MIN('Activities'!L36,132)-MAX('Activities'!K36,126))</x:f>
        <x:v>0</x:v>
      </x:c>
      <x:c r="AA36" s="22" t="n">
        <x:f>MAX(0,MIN('Activities'!L36,138)-MAX('Activities'!K36,132))</x:f>
        <x:v>0</x:v>
      </x:c>
      <x:c r="AB36" s="22" t="n">
        <x:f>MAX(0,MIN('Activities'!L36,144)-MAX('Activities'!K36,138))</x:f>
        <x:v>0</x:v>
      </x:c>
      <x:c r="AC36" s="22" t="n">
        <x:f>MAX(0,MIN('Activities'!L36,150)-MAX('Activities'!K36,144))</x:f>
        <x:v>0</x:v>
      </x:c>
      <x:c r="AD36" s="22" t="n">
        <x:f>MAX(0,MIN('Activities'!L36,156)-MAX('Activities'!K36,150))</x:f>
        <x:v>0</x:v>
      </x:c>
      <x:c r="AE36" s="22" t="n">
        <x:f>MAX(0,MIN('Activities'!L36,162)-MAX('Activities'!K36,156))</x:f>
        <x:v>0</x:v>
      </x:c>
      <x:c r="AF36" s="22" t="n">
        <x:f>MAX(0,MIN('Activities'!L36,168)-MAX('Activities'!K36,162))</x:f>
        <x:v>0</x:v>
      </x:c>
      <x:c r="AG36" s="22" t="n">
        <x:f>MAX(0,MIN('Activities'!L36,174)-MAX('Activities'!K36,168))</x:f>
        <x:v>0</x:v>
      </x:c>
      <x:c r="AH36" s="22" t="n">
        <x:f>MAX(0,MIN('Activities'!L36,180)-MAX('Activities'!K36,174))</x:f>
        <x:v>0</x:v>
      </x:c>
      <x:c r="AI36" s="22" t="n">
        <x:f>MAX(0,MIN('Activities'!L36,186)-MAX('Activities'!K36,180))</x:f>
        <x:v>0</x:v>
      </x:c>
      <x:c r="AJ36" s="22" t="n">
        <x:f>MAX(0,MIN('Activities'!L36,192)-MAX('Activities'!K36,186))</x:f>
        <x:v>0</x:v>
      </x:c>
      <x:c r="AK36" s="22" t="n">
        <x:f>MAX(0,MIN('Activities'!L36,198)-MAX('Activities'!K36,192))</x:f>
        <x:v>0</x:v>
      </x:c>
      <x:c r="AL36" s="22" t="n">
        <x:f>MAX(0,MIN('Activities'!L36,204)-MAX('Activities'!K36,198))</x:f>
        <x:v>0</x:v>
      </x:c>
      <x:c r="AM36" s="22" t="n">
        <x:f>MAX(0,MIN('Activities'!L36,210)-MAX('Activities'!K36,204))</x:f>
        <x:v>0</x:v>
      </x:c>
      <x:c r="AN36" s="22" t="n">
        <x:f>MAX(0,MIN('Activities'!L36,216)-MAX('Activities'!K36,210))</x:f>
        <x:v>0</x:v>
      </x:c>
      <x:c r="AO36" s="22" t="n">
        <x:f>MAX(0,MIN('Activities'!L36,222)-MAX('Activities'!K36,216))</x:f>
        <x:v>0</x:v>
      </x:c>
      <x:c r="AP36" s="22" t="n">
        <x:f>MAX(0,MIN('Activities'!L36,228)-MAX('Activities'!K36,222))</x:f>
        <x:v>4</x:v>
      </x:c>
      <x:c r="AQ36" s="22" t="n">
        <x:f>MAX(0,MIN('Activities'!L36,234)-MAX('Activities'!K36,228))</x:f>
        <x:v>2</x:v>
      </x:c>
      <x:c r="AR36" s="22" t="n">
        <x:f>MAX(0,MIN('Activities'!L36,240)-MAX('Activities'!K36,234))</x:f>
        <x:v>0</x:v>
      </x:c>
      <x:c r="AS36" s="22" t="n">
        <x:f>MAX(0,MIN('Activities'!L36,246)-MAX('Activities'!K36,240))</x:f>
        <x:v>0</x:v>
      </x:c>
      <x:c r="AT36" s="22" t="n">
        <x:f>MAX(0,MIN('Activities'!L36,252)-MAX('Activities'!K36,246))</x:f>
        <x:v>0</x:v>
      </x:c>
      <x:c r="AU36" s="22" t="n">
        <x:f>MAX(0,MIN('Activities'!L36,258)-MAX('Activities'!K36,252))</x:f>
        <x:v>0</x:v>
      </x:c>
      <x:c r="AV36" s="22" t="n">
        <x:f>MAX(0,MIN('Activities'!L36,264)-MAX('Activities'!K36,258))</x:f>
        <x:v>0</x:v>
      </x:c>
      <x:c r="AW36" s="22" t="n">
        <x:f>MAX(0,MIN('Activities'!L36,270)-MAX('Activities'!K36,264))</x:f>
        <x:v>0</x:v>
      </x:c>
      <x:c r="AX36" s="22" t="n">
        <x:f>MAX(0,MIN('Activities'!L36,276)-MAX('Activities'!K36,270))</x:f>
        <x:v>0</x:v>
      </x:c>
      <x:c r="AY36" s="22" t="n">
        <x:f>MAX(0,MIN('Activities'!L36,282)-MAX('Activities'!K36,276))</x:f>
        <x:v>0</x:v>
      </x:c>
      <x:c r="AZ36" s="22" t="n">
        <x:f>MAX(0,MIN('Activities'!L36,288)-MAX('Activities'!K36,282))</x:f>
        <x:v>0</x:v>
      </x:c>
      <x:c r="BA36" s="22" t="n">
        <x:f>MAX(0,MIN('Activities'!L36,294)-MAX('Activities'!K36,288))</x:f>
        <x:v>0</x:v>
      </x:c>
      <x:c r="BB36" s="22" t="n">
        <x:f>MAX(0,MIN('Activities'!L36,300)-MAX('Activities'!K36,294))</x:f>
        <x:v>0</x:v>
      </x:c>
      <x:c r="BC36" s="22" t="n">
        <x:f>MAX(0,MIN('Activities'!L36,306)-MAX('Activities'!K36,300))</x:f>
        <x:v>0</x:v>
      </x:c>
      <x:c r="BD36" s="22" t="n">
        <x:f>MAX(0,MIN('Activities'!L36,312)-MAX('Activities'!K36,306))</x:f>
        <x:v>0</x:v>
      </x:c>
      <x:c r="BE36" s="22" t="n">
        <x:f>MAX(0,MIN('Activities'!L36,318)-MAX('Activities'!K36,312))</x:f>
        <x:v>0</x:v>
      </x:c>
      <x:c r="BF36" s="22" t="n">
        <x:f>MAX(0,MIN('Activities'!L36,324)-MAX('Activities'!K36,318))</x:f>
        <x:v>0</x:v>
      </x:c>
      <x:c r="BG36" s="22" t="n">
        <x:f>MAX(0,MIN('Activities'!L36,330)-MAX('Activities'!K36,324))</x:f>
        <x:v>0</x:v>
      </x:c>
      <x:c r="BH36" s="22" t="n">
        <x:f>MAX(0,MIN('Activities'!L36,336)-MAX('Activities'!K36,330))</x:f>
        <x:v>0</x:v>
      </x:c>
      <x:c r="BI36" s="22" t="n">
        <x:f>MAX(0,MIN('Activities'!L36,342)-MAX('Activities'!K36,336))</x:f>
        <x:v>0</x:v>
      </x:c>
      <x:c r="BJ36" s="22" t="n">
        <x:f>MAX(0,MIN('Activities'!L36,348)-MAX('Activities'!K36,342))</x:f>
        <x:v>0</x:v>
      </x:c>
      <x:c r="BK36" s="22" t="n">
        <x:f>MAX(0,MIN('Activities'!L36,354)-MAX('Activities'!K36,348))</x:f>
        <x:v>0</x:v>
      </x:c>
      <x:c r="BL36" s="22" t="n">
        <x:f>MAX(0,MIN('Activities'!L36,360)-MAX('Activities'!K36,354))</x:f>
        <x:v>0</x:v>
      </x:c>
      <x:c r="BM36" s="22" t="n">
        <x:f>MAX(0,MIN('Activities'!L36,366)-MAX('Activities'!K36,360))</x:f>
        <x:v>0</x:v>
      </x:c>
      <x:c r="BN36" s="22" t="n">
        <x:f>MAX(0,MIN('Activities'!L36,372)-MAX('Activities'!K36,366))</x:f>
        <x:v>0</x:v>
      </x:c>
      <x:c r="BO36" s="22" t="n">
        <x:f>MAX(0,MIN('Activities'!L36,378)-MAX('Activities'!K36,372))</x:f>
        <x:v>0</x:v>
      </x:c>
      <x:c r="BP36" s="22" t="n">
        <x:f>MAX(0,MIN('Activities'!L36,384)-MAX('Activities'!K36,378))</x:f>
        <x:v>0</x:v>
      </x:c>
      <x:c r="BQ36" s="22" t="n">
        <x:f>MAX(0,MIN('Activities'!L36,390)-MAX('Activities'!K36,384))</x:f>
        <x:v>0</x:v>
      </x:c>
      <x:c r="BR36" s="22" t="n">
        <x:f>MAX(0,MIN('Activities'!L36,396)-MAX('Activities'!K36,390))</x:f>
        <x:v>0</x:v>
      </x:c>
      <x:c r="BS36" s="22" t="n">
        <x:f>MAX(0,MIN('Activities'!L36,402)-MAX('Activities'!K36,396))</x:f>
        <x:v>0</x:v>
      </x:c>
      <x:c r="BT36" s="22" t="n">
        <x:f>MAX(0,MIN('Activities'!L36,408)-MAX('Activities'!K36,402))</x:f>
        <x:v>0</x:v>
      </x:c>
      <x:c r="BU36" s="22" t="n">
        <x:f>MAX(0,MIN('Activities'!L36,414)-MAX('Activities'!K36,408))</x:f>
        <x:v>0</x:v>
      </x:c>
      <x:c r="BV36" s="22" t="n">
        <x:f>MAX(0,MIN('Activities'!L36,420)-MAX('Activities'!K36,414))</x:f>
        <x:v>0</x:v>
      </x:c>
      <x:c r="BW36" s="22" t="n">
        <x:f>MAX(0,MIN('Activities'!L36,426)-MAX('Activities'!K36,420))</x:f>
        <x:v>0</x:v>
      </x:c>
      <x:c r="BX36" s="22" t="n">
        <x:f>MAX(0,MIN('Activities'!L36,432)-MAX('Activities'!K36,426))</x:f>
        <x:v>0</x:v>
      </x:c>
      <x:c r="BY36" s="22" t="n">
        <x:f>MAX(0,MIN('Activities'!L36,438)-MAX('Activities'!K36,432))</x:f>
        <x:v>0</x:v>
      </x:c>
      <x:c r="BZ36" s="22" t="n">
        <x:f>MAX(0,MIN('Activities'!L36,444)-MAX('Activities'!K36,438))</x:f>
        <x:v>0</x:v>
      </x:c>
      <x:c r="CA36" s="22" t="n">
        <x:f>MAX(0,MIN('Activities'!L36,450)-MAX('Activities'!K36,444))</x:f>
        <x:v>0</x:v>
      </x:c>
      <x:c r="CB36" s="22" t="n">
        <x:f>MAX(0,MIN('Activities'!L36,456)-MAX('Activities'!K36,450))</x:f>
        <x:v>0</x:v>
      </x:c>
      <x:c r="CC36" s="22" t="n">
        <x:f>MAX(0,MIN('Activities'!L36,462)-MAX('Activities'!K36,456))</x:f>
        <x:v>0</x:v>
      </x:c>
      <x:c r="CD36" s="22" t="n">
        <x:f>MAX(0,MIN('Activities'!L36,468)-MAX('Activities'!K36,462))</x:f>
        <x:v>0</x:v>
      </x:c>
      <x:c r="CE36" s="22" t="n">
        <x:f>MAX(0,MIN('Activities'!L36,474)-MAX('Activities'!K36,468))</x:f>
        <x:v>0</x:v>
      </x:c>
      <x:c r="CF36" s="22" t="n">
        <x:f>MAX(0,MIN('Activities'!L36,480)-MAX('Activities'!K36,474))</x:f>
        <x:v>0</x:v>
      </x:c>
      <x:c r="CG36" s="22" t="n">
        <x:f>MAX(0,MIN('Activities'!L36,486)-MAX('Activities'!K36,480))</x:f>
        <x:v>0</x:v>
      </x:c>
      <x:c r="CH36" s="22" t="n">
        <x:f>MAX(0,MIN('Activities'!L36,492)-MAX('Activities'!K36,486))</x:f>
        <x:v>0</x:v>
      </x:c>
      <x:c r="CI36" s="22" t="n">
        <x:f>MAX(0,MIN('Activities'!L36,498)-MAX('Activities'!K36,492))</x:f>
        <x:v>0</x:v>
      </x:c>
      <x:c r="CJ36" s="22" t="n">
        <x:f>MAX(0,MIN('Activities'!L36,504)-MAX('Activities'!K36,498))</x:f>
        <x:v>0</x:v>
      </x:c>
      <x:c r="CK36" s="22" t="n">
        <x:f>MAX(0,MIN('Activities'!L36,510)-MAX('Activities'!K36,504))</x:f>
        <x:v>0</x:v>
      </x:c>
      <x:c r="CL36" s="22" t="n">
        <x:f>MAX(0,MIN('Activities'!L36,516)-MAX('Activities'!K36,510))</x:f>
        <x:v>0</x:v>
      </x:c>
      <x:c r="CM36" s="22" t="n">
        <x:f>MAX(0,MIN('Activities'!L36,522)-MAX('Activities'!K36,516))</x:f>
        <x:v>0</x:v>
      </x:c>
      <x:c r="CN36" s="22" t="n">
        <x:f>MAX(0,MIN('Activities'!L36,528)-MAX('Activities'!K36,522))</x:f>
        <x:v>0</x:v>
      </x:c>
      <x:c r="CO36" s="22" t="n">
        <x:f>MAX(0,MIN('Activities'!L36,534)-MAX('Activities'!K36,528))</x:f>
        <x:v>0</x:v>
      </x:c>
      <x:c r="CP36" s="22" t="n">
        <x:f>MAX(0,MIN('Activities'!L36,540)-MAX('Activities'!K36,534))</x:f>
        <x:v>0</x:v>
      </x:c>
      <x:c r="CQ36" s="22" t="n">
        <x:f>MAX(0,MIN('Activities'!L36,546)-MAX('Activities'!K36,540))</x:f>
        <x:v>0</x:v>
      </x:c>
      <x:c r="CR36" s="22" t="n">
        <x:f>MAX(0,MIN('Activities'!L36,552)-MAX('Activities'!K36,546))</x:f>
        <x:v>0</x:v>
      </x:c>
      <x:c r="CS36" s="22" t="n">
        <x:f>MAX(0,MIN('Activities'!L36,558)-MAX('Activities'!K36,552))</x:f>
        <x:v>0</x:v>
      </x:c>
      <x:c r="CT36" s="22" t="n">
        <x:f>MAX(0,MIN('Activities'!L36,564)-MAX('Activities'!K36,558))</x:f>
        <x:v>0</x:v>
      </x:c>
      <x:c r="CU36" s="22" t="n">
        <x:f>MAX(0,MIN('Activities'!L36,570)-MAX('Activities'!K36,564))</x:f>
        <x:v>0</x:v>
      </x:c>
      <x:c r="CV36" s="22" t="n">
        <x:f>MAX(0,MIN('Activities'!L36,576)-MAX('Activities'!K36,570))</x:f>
        <x:v>0</x:v>
      </x:c>
      <x:c r="CW36" s="22" t="n">
        <x:f>MAX(0,MIN('Activities'!L36,582)-MAX('Activities'!K36,576))</x:f>
        <x:v>0</x:v>
      </x:c>
      <x:c r="CX36" s="22" t="n">
        <x:f>MAX(0,MIN('Activities'!L36,588)-MAX('Activities'!K36,582))</x:f>
        <x:v>0</x:v>
      </x:c>
      <x:c r="CY36" s="22" t="n">
        <x:f>MAX(0,MIN('Activities'!L36,594)-MAX('Activities'!K36,588))</x:f>
        <x:v>0</x:v>
      </x:c>
      <x:c r="CZ36" s="22" t="n">
        <x:f>MAX(0,MIN('Activities'!L36,600)-MAX('Activities'!K36,594))</x:f>
        <x:v>0</x:v>
      </x:c>
      <x:c r="DA36" s="22" t="n">
        <x:f>MAX(0,MIN('Activities'!L36,606)-MAX('Activities'!K36,600))</x:f>
        <x:v>0</x:v>
      </x:c>
      <x:c r="DB36" s="22" t="n">
        <x:f>MAX(0,MIN('Activities'!L36,612)-MAX('Activities'!K36,606))</x:f>
        <x:v>0</x:v>
      </x:c>
      <x:c r="DC36" s="22" t="n">
        <x:f>MAX(0,MIN('Activities'!L36,618)-MAX('Activities'!K36,612))</x:f>
        <x:v>0</x:v>
      </x:c>
      <x:c r="DD36" s="22" t="n">
        <x:f>MAX(0,MIN('Activities'!L36,624)-MAX('Activities'!K36,618))</x:f>
        <x:v>0</x:v>
      </x:c>
      <x:c r="DE36" s="22" t="n">
        <x:f>MAX(0,MIN('Activities'!L36,630)-MAX('Activities'!K36,624))</x:f>
        <x:v>0</x:v>
      </x:c>
      <x:c r="DF36" s="22" t="n">
        <x:f>MAX(0,MIN('Activities'!L36,636)-MAX('Activities'!K36,630))</x:f>
        <x:v>0</x:v>
      </x:c>
    </x:row>
    <x:row r="37" ht="23" customHeight="1">
      <x:c r="A37" s="1" t="str">
        <x:v>T1-L05-R</x:v>
      </x:c>
      <x:c r="B37" s="1" t="str">
        <x:v>T1</x:v>
      </x:c>
      <x:c r="C37" s="1" t="str">
        <x:v>Column, wall, beam and slab reinforcement</x:v>
      </x:c>
      <x:c r="D37" s="1" t="str">
        <x:v>Rebar</x:v>
      </x:c>
      <x:c r="E37" s="23" t="n">
        <x:f>MAX(0,MIN('Activities'!L37,6)-MAX('Activities'!K37,0))</x:f>
        <x:v>0</x:v>
      </x:c>
      <x:c r="F37" s="23" t="n">
        <x:f>MAX(0,MIN('Activities'!L37,12)-MAX('Activities'!K37,6))</x:f>
        <x:v>0</x:v>
      </x:c>
      <x:c r="G37" s="23" t="n">
        <x:f>MAX(0,MIN('Activities'!L37,18)-MAX('Activities'!K37,12))</x:f>
        <x:v>0</x:v>
      </x:c>
      <x:c r="H37" s="23" t="n">
        <x:f>MAX(0,MIN('Activities'!L37,24)-MAX('Activities'!K37,18))</x:f>
        <x:v>0</x:v>
      </x:c>
      <x:c r="I37" s="23" t="n">
        <x:f>MAX(0,MIN('Activities'!L37,30)-MAX('Activities'!K37,24))</x:f>
        <x:v>0</x:v>
      </x:c>
      <x:c r="J37" s="23" t="n">
        <x:f>MAX(0,MIN('Activities'!L37,36)-MAX('Activities'!K37,30))</x:f>
        <x:v>0</x:v>
      </x:c>
      <x:c r="K37" s="23" t="n">
        <x:f>MAX(0,MIN('Activities'!L37,42)-MAX('Activities'!K37,36))</x:f>
        <x:v>0</x:v>
      </x:c>
      <x:c r="L37" s="23" t="n">
        <x:f>MAX(0,MIN('Activities'!L37,48)-MAX('Activities'!K37,42))</x:f>
        <x:v>0</x:v>
      </x:c>
      <x:c r="M37" s="23" t="n">
        <x:f>MAX(0,MIN('Activities'!L37,54)-MAX('Activities'!K37,48))</x:f>
        <x:v>0</x:v>
      </x:c>
      <x:c r="N37" s="23" t="n">
        <x:f>MAX(0,MIN('Activities'!L37,60)-MAX('Activities'!K37,54))</x:f>
        <x:v>0</x:v>
      </x:c>
      <x:c r="O37" s="23" t="n">
        <x:f>MAX(0,MIN('Activities'!L37,66)-MAX('Activities'!K37,60))</x:f>
        <x:v>0</x:v>
      </x:c>
      <x:c r="P37" s="23" t="n">
        <x:f>MAX(0,MIN('Activities'!L37,72)-MAX('Activities'!K37,66))</x:f>
        <x:v>0</x:v>
      </x:c>
      <x:c r="Q37" s="23" t="n">
        <x:f>MAX(0,MIN('Activities'!L37,78)-MAX('Activities'!K37,72))</x:f>
        <x:v>0</x:v>
      </x:c>
      <x:c r="R37" s="23" t="n">
        <x:f>MAX(0,MIN('Activities'!L37,84)-MAX('Activities'!K37,78))</x:f>
        <x:v>0</x:v>
      </x:c>
      <x:c r="S37" s="23" t="n">
        <x:f>MAX(0,MIN('Activities'!L37,90)-MAX('Activities'!K37,84))</x:f>
        <x:v>0</x:v>
      </x:c>
      <x:c r="T37" s="23" t="n">
        <x:f>MAX(0,MIN('Activities'!L37,96)-MAX('Activities'!K37,90))</x:f>
        <x:v>0</x:v>
      </x:c>
      <x:c r="U37" s="23" t="n">
        <x:f>MAX(0,MIN('Activities'!L37,102)-MAX('Activities'!K37,96))</x:f>
        <x:v>0</x:v>
      </x:c>
      <x:c r="V37" s="23" t="n">
        <x:f>MAX(0,MIN('Activities'!L37,108)-MAX('Activities'!K37,102))</x:f>
        <x:v>0</x:v>
      </x:c>
      <x:c r="W37" s="23" t="n">
        <x:f>MAX(0,MIN('Activities'!L37,114)-MAX('Activities'!K37,108))</x:f>
        <x:v>0</x:v>
      </x:c>
      <x:c r="X37" s="23" t="n">
        <x:f>MAX(0,MIN('Activities'!L37,120)-MAX('Activities'!K37,114))</x:f>
        <x:v>0</x:v>
      </x:c>
      <x:c r="Y37" s="23" t="n">
        <x:f>MAX(0,MIN('Activities'!L37,126)-MAX('Activities'!K37,120))</x:f>
        <x:v>0</x:v>
      </x:c>
      <x:c r="Z37" s="23" t="n">
        <x:f>MAX(0,MIN('Activities'!L37,132)-MAX('Activities'!K37,126))</x:f>
        <x:v>0</x:v>
      </x:c>
      <x:c r="AA37" s="23" t="n">
        <x:f>MAX(0,MIN('Activities'!L37,138)-MAX('Activities'!K37,132))</x:f>
        <x:v>0</x:v>
      </x:c>
      <x:c r="AB37" s="23" t="n">
        <x:f>MAX(0,MIN('Activities'!L37,144)-MAX('Activities'!K37,138))</x:f>
        <x:v>0</x:v>
      </x:c>
      <x:c r="AC37" s="23" t="n">
        <x:f>MAX(0,MIN('Activities'!L37,150)-MAX('Activities'!K37,144))</x:f>
        <x:v>0</x:v>
      </x:c>
      <x:c r="AD37" s="23" t="n">
        <x:f>MAX(0,MIN('Activities'!L37,156)-MAX('Activities'!K37,150))</x:f>
        <x:v>0</x:v>
      </x:c>
      <x:c r="AE37" s="23" t="n">
        <x:f>MAX(0,MIN('Activities'!L37,162)-MAX('Activities'!K37,156))</x:f>
        <x:v>0</x:v>
      </x:c>
      <x:c r="AF37" s="23" t="n">
        <x:f>MAX(0,MIN('Activities'!L37,168)-MAX('Activities'!K37,162))</x:f>
        <x:v>0</x:v>
      </x:c>
      <x:c r="AG37" s="23" t="n">
        <x:f>MAX(0,MIN('Activities'!L37,174)-MAX('Activities'!K37,168))</x:f>
        <x:v>0</x:v>
      </x:c>
      <x:c r="AH37" s="23" t="n">
        <x:f>MAX(0,MIN('Activities'!L37,180)-MAX('Activities'!K37,174))</x:f>
        <x:v>0</x:v>
      </x:c>
      <x:c r="AI37" s="23" t="n">
        <x:f>MAX(0,MIN('Activities'!L37,186)-MAX('Activities'!K37,180))</x:f>
        <x:v>0</x:v>
      </x:c>
      <x:c r="AJ37" s="23" t="n">
        <x:f>MAX(0,MIN('Activities'!L37,192)-MAX('Activities'!K37,186))</x:f>
        <x:v>0</x:v>
      </x:c>
      <x:c r="AK37" s="23" t="n">
        <x:f>MAX(0,MIN('Activities'!L37,198)-MAX('Activities'!K37,192))</x:f>
        <x:v>0</x:v>
      </x:c>
      <x:c r="AL37" s="23" t="n">
        <x:f>MAX(0,MIN('Activities'!L37,204)-MAX('Activities'!K37,198))</x:f>
        <x:v>0</x:v>
      </x:c>
      <x:c r="AM37" s="23" t="n">
        <x:f>MAX(0,MIN('Activities'!L37,210)-MAX('Activities'!K37,204))</x:f>
        <x:v>0</x:v>
      </x:c>
      <x:c r="AN37" s="23" t="n">
        <x:f>MAX(0,MIN('Activities'!L37,216)-MAX('Activities'!K37,210))</x:f>
        <x:v>0</x:v>
      </x:c>
      <x:c r="AO37" s="23" t="n">
        <x:f>MAX(0,MIN('Activities'!L37,222)-MAX('Activities'!K37,216))</x:f>
        <x:v>0</x:v>
      </x:c>
      <x:c r="AP37" s="23" t="n">
        <x:f>MAX(0,MIN('Activities'!L37,228)-MAX('Activities'!K37,222))</x:f>
        <x:v>0</x:v>
      </x:c>
      <x:c r="AQ37" s="23" t="n">
        <x:f>MAX(0,MIN('Activities'!L37,234)-MAX('Activities'!K37,228))</x:f>
        <x:v>4</x:v>
      </x:c>
      <x:c r="AR37" s="23" t="n">
        <x:f>MAX(0,MIN('Activities'!L37,240)-MAX('Activities'!K37,234))</x:f>
        <x:v>1</x:v>
      </x:c>
      <x:c r="AS37" s="23" t="n">
        <x:f>MAX(0,MIN('Activities'!L37,246)-MAX('Activities'!K37,240))</x:f>
        <x:v>0</x:v>
      </x:c>
      <x:c r="AT37" s="23" t="n">
        <x:f>MAX(0,MIN('Activities'!L37,252)-MAX('Activities'!K37,246))</x:f>
        <x:v>0</x:v>
      </x:c>
      <x:c r="AU37" s="23" t="n">
        <x:f>MAX(0,MIN('Activities'!L37,258)-MAX('Activities'!K37,252))</x:f>
        <x:v>0</x:v>
      </x:c>
      <x:c r="AV37" s="23" t="n">
        <x:f>MAX(0,MIN('Activities'!L37,264)-MAX('Activities'!K37,258))</x:f>
        <x:v>0</x:v>
      </x:c>
      <x:c r="AW37" s="23" t="n">
        <x:f>MAX(0,MIN('Activities'!L37,270)-MAX('Activities'!K37,264))</x:f>
        <x:v>0</x:v>
      </x:c>
      <x:c r="AX37" s="23" t="n">
        <x:f>MAX(0,MIN('Activities'!L37,276)-MAX('Activities'!K37,270))</x:f>
        <x:v>0</x:v>
      </x:c>
      <x:c r="AY37" s="23" t="n">
        <x:f>MAX(0,MIN('Activities'!L37,282)-MAX('Activities'!K37,276))</x:f>
        <x:v>0</x:v>
      </x:c>
      <x:c r="AZ37" s="23" t="n">
        <x:f>MAX(0,MIN('Activities'!L37,288)-MAX('Activities'!K37,282))</x:f>
        <x:v>0</x:v>
      </x:c>
      <x:c r="BA37" s="23" t="n">
        <x:f>MAX(0,MIN('Activities'!L37,294)-MAX('Activities'!K37,288))</x:f>
        <x:v>0</x:v>
      </x:c>
      <x:c r="BB37" s="23" t="n">
        <x:f>MAX(0,MIN('Activities'!L37,300)-MAX('Activities'!K37,294))</x:f>
        <x:v>0</x:v>
      </x:c>
      <x:c r="BC37" s="23" t="n">
        <x:f>MAX(0,MIN('Activities'!L37,306)-MAX('Activities'!K37,300))</x:f>
        <x:v>0</x:v>
      </x:c>
      <x:c r="BD37" s="23" t="n">
        <x:f>MAX(0,MIN('Activities'!L37,312)-MAX('Activities'!K37,306))</x:f>
        <x:v>0</x:v>
      </x:c>
      <x:c r="BE37" s="23" t="n">
        <x:f>MAX(0,MIN('Activities'!L37,318)-MAX('Activities'!K37,312))</x:f>
        <x:v>0</x:v>
      </x:c>
      <x:c r="BF37" s="23" t="n">
        <x:f>MAX(0,MIN('Activities'!L37,324)-MAX('Activities'!K37,318))</x:f>
        <x:v>0</x:v>
      </x:c>
      <x:c r="BG37" s="23" t="n">
        <x:f>MAX(0,MIN('Activities'!L37,330)-MAX('Activities'!K37,324))</x:f>
        <x:v>0</x:v>
      </x:c>
      <x:c r="BH37" s="23" t="n">
        <x:f>MAX(0,MIN('Activities'!L37,336)-MAX('Activities'!K37,330))</x:f>
        <x:v>0</x:v>
      </x:c>
      <x:c r="BI37" s="23" t="n">
        <x:f>MAX(0,MIN('Activities'!L37,342)-MAX('Activities'!K37,336))</x:f>
        <x:v>0</x:v>
      </x:c>
      <x:c r="BJ37" s="23" t="n">
        <x:f>MAX(0,MIN('Activities'!L37,348)-MAX('Activities'!K37,342))</x:f>
        <x:v>0</x:v>
      </x:c>
      <x:c r="BK37" s="23" t="n">
        <x:f>MAX(0,MIN('Activities'!L37,354)-MAX('Activities'!K37,348))</x:f>
        <x:v>0</x:v>
      </x:c>
      <x:c r="BL37" s="23" t="n">
        <x:f>MAX(0,MIN('Activities'!L37,360)-MAX('Activities'!K37,354))</x:f>
        <x:v>0</x:v>
      </x:c>
      <x:c r="BM37" s="23" t="n">
        <x:f>MAX(0,MIN('Activities'!L37,366)-MAX('Activities'!K37,360))</x:f>
        <x:v>0</x:v>
      </x:c>
      <x:c r="BN37" s="23" t="n">
        <x:f>MAX(0,MIN('Activities'!L37,372)-MAX('Activities'!K37,366))</x:f>
        <x:v>0</x:v>
      </x:c>
      <x:c r="BO37" s="23" t="n">
        <x:f>MAX(0,MIN('Activities'!L37,378)-MAX('Activities'!K37,372))</x:f>
        <x:v>0</x:v>
      </x:c>
      <x:c r="BP37" s="23" t="n">
        <x:f>MAX(0,MIN('Activities'!L37,384)-MAX('Activities'!K37,378))</x:f>
        <x:v>0</x:v>
      </x:c>
      <x:c r="BQ37" s="23" t="n">
        <x:f>MAX(0,MIN('Activities'!L37,390)-MAX('Activities'!K37,384))</x:f>
        <x:v>0</x:v>
      </x:c>
      <x:c r="BR37" s="23" t="n">
        <x:f>MAX(0,MIN('Activities'!L37,396)-MAX('Activities'!K37,390))</x:f>
        <x:v>0</x:v>
      </x:c>
      <x:c r="BS37" s="23" t="n">
        <x:f>MAX(0,MIN('Activities'!L37,402)-MAX('Activities'!K37,396))</x:f>
        <x:v>0</x:v>
      </x:c>
      <x:c r="BT37" s="23" t="n">
        <x:f>MAX(0,MIN('Activities'!L37,408)-MAX('Activities'!K37,402))</x:f>
        <x:v>0</x:v>
      </x:c>
      <x:c r="BU37" s="23" t="n">
        <x:f>MAX(0,MIN('Activities'!L37,414)-MAX('Activities'!K37,408))</x:f>
        <x:v>0</x:v>
      </x:c>
      <x:c r="BV37" s="23" t="n">
        <x:f>MAX(0,MIN('Activities'!L37,420)-MAX('Activities'!K37,414))</x:f>
        <x:v>0</x:v>
      </x:c>
      <x:c r="BW37" s="23" t="n">
        <x:f>MAX(0,MIN('Activities'!L37,426)-MAX('Activities'!K37,420))</x:f>
        <x:v>0</x:v>
      </x:c>
      <x:c r="BX37" s="23" t="n">
        <x:f>MAX(0,MIN('Activities'!L37,432)-MAX('Activities'!K37,426))</x:f>
        <x:v>0</x:v>
      </x:c>
      <x:c r="BY37" s="23" t="n">
        <x:f>MAX(0,MIN('Activities'!L37,438)-MAX('Activities'!K37,432))</x:f>
        <x:v>0</x:v>
      </x:c>
      <x:c r="BZ37" s="23" t="n">
        <x:f>MAX(0,MIN('Activities'!L37,444)-MAX('Activities'!K37,438))</x:f>
        <x:v>0</x:v>
      </x:c>
      <x:c r="CA37" s="23" t="n">
        <x:f>MAX(0,MIN('Activities'!L37,450)-MAX('Activities'!K37,444))</x:f>
        <x:v>0</x:v>
      </x:c>
      <x:c r="CB37" s="23" t="n">
        <x:f>MAX(0,MIN('Activities'!L37,456)-MAX('Activities'!K37,450))</x:f>
        <x:v>0</x:v>
      </x:c>
      <x:c r="CC37" s="23" t="n">
        <x:f>MAX(0,MIN('Activities'!L37,462)-MAX('Activities'!K37,456))</x:f>
        <x:v>0</x:v>
      </x:c>
      <x:c r="CD37" s="23" t="n">
        <x:f>MAX(0,MIN('Activities'!L37,468)-MAX('Activities'!K37,462))</x:f>
        <x:v>0</x:v>
      </x:c>
      <x:c r="CE37" s="23" t="n">
        <x:f>MAX(0,MIN('Activities'!L37,474)-MAX('Activities'!K37,468))</x:f>
        <x:v>0</x:v>
      </x:c>
      <x:c r="CF37" s="23" t="n">
        <x:f>MAX(0,MIN('Activities'!L37,480)-MAX('Activities'!K37,474))</x:f>
        <x:v>0</x:v>
      </x:c>
      <x:c r="CG37" s="23" t="n">
        <x:f>MAX(0,MIN('Activities'!L37,486)-MAX('Activities'!K37,480))</x:f>
        <x:v>0</x:v>
      </x:c>
      <x:c r="CH37" s="23" t="n">
        <x:f>MAX(0,MIN('Activities'!L37,492)-MAX('Activities'!K37,486))</x:f>
        <x:v>0</x:v>
      </x:c>
      <x:c r="CI37" s="23" t="n">
        <x:f>MAX(0,MIN('Activities'!L37,498)-MAX('Activities'!K37,492))</x:f>
        <x:v>0</x:v>
      </x:c>
      <x:c r="CJ37" s="23" t="n">
        <x:f>MAX(0,MIN('Activities'!L37,504)-MAX('Activities'!K37,498))</x:f>
        <x:v>0</x:v>
      </x:c>
      <x:c r="CK37" s="23" t="n">
        <x:f>MAX(0,MIN('Activities'!L37,510)-MAX('Activities'!K37,504))</x:f>
        <x:v>0</x:v>
      </x:c>
      <x:c r="CL37" s="23" t="n">
        <x:f>MAX(0,MIN('Activities'!L37,516)-MAX('Activities'!K37,510))</x:f>
        <x:v>0</x:v>
      </x:c>
      <x:c r="CM37" s="23" t="n">
        <x:f>MAX(0,MIN('Activities'!L37,522)-MAX('Activities'!K37,516))</x:f>
        <x:v>0</x:v>
      </x:c>
      <x:c r="CN37" s="23" t="n">
        <x:f>MAX(0,MIN('Activities'!L37,528)-MAX('Activities'!K37,522))</x:f>
        <x:v>0</x:v>
      </x:c>
      <x:c r="CO37" s="23" t="n">
        <x:f>MAX(0,MIN('Activities'!L37,534)-MAX('Activities'!K37,528))</x:f>
        <x:v>0</x:v>
      </x:c>
      <x:c r="CP37" s="23" t="n">
        <x:f>MAX(0,MIN('Activities'!L37,540)-MAX('Activities'!K37,534))</x:f>
        <x:v>0</x:v>
      </x:c>
      <x:c r="CQ37" s="23" t="n">
        <x:f>MAX(0,MIN('Activities'!L37,546)-MAX('Activities'!K37,540))</x:f>
        <x:v>0</x:v>
      </x:c>
      <x:c r="CR37" s="23" t="n">
        <x:f>MAX(0,MIN('Activities'!L37,552)-MAX('Activities'!K37,546))</x:f>
        <x:v>0</x:v>
      </x:c>
      <x:c r="CS37" s="23" t="n">
        <x:f>MAX(0,MIN('Activities'!L37,558)-MAX('Activities'!K37,552))</x:f>
        <x:v>0</x:v>
      </x:c>
      <x:c r="CT37" s="23" t="n">
        <x:f>MAX(0,MIN('Activities'!L37,564)-MAX('Activities'!K37,558))</x:f>
        <x:v>0</x:v>
      </x:c>
      <x:c r="CU37" s="23" t="n">
        <x:f>MAX(0,MIN('Activities'!L37,570)-MAX('Activities'!K37,564))</x:f>
        <x:v>0</x:v>
      </x:c>
      <x:c r="CV37" s="23" t="n">
        <x:f>MAX(0,MIN('Activities'!L37,576)-MAX('Activities'!K37,570))</x:f>
        <x:v>0</x:v>
      </x:c>
      <x:c r="CW37" s="23" t="n">
        <x:f>MAX(0,MIN('Activities'!L37,582)-MAX('Activities'!K37,576))</x:f>
        <x:v>0</x:v>
      </x:c>
      <x:c r="CX37" s="23" t="n">
        <x:f>MAX(0,MIN('Activities'!L37,588)-MAX('Activities'!K37,582))</x:f>
        <x:v>0</x:v>
      </x:c>
      <x:c r="CY37" s="23" t="n">
        <x:f>MAX(0,MIN('Activities'!L37,594)-MAX('Activities'!K37,588))</x:f>
        <x:v>0</x:v>
      </x:c>
      <x:c r="CZ37" s="23" t="n">
        <x:f>MAX(0,MIN('Activities'!L37,600)-MAX('Activities'!K37,594))</x:f>
        <x:v>0</x:v>
      </x:c>
      <x:c r="DA37" s="23" t="n">
        <x:f>MAX(0,MIN('Activities'!L37,606)-MAX('Activities'!K37,600))</x:f>
        <x:v>0</x:v>
      </x:c>
      <x:c r="DB37" s="23" t="n">
        <x:f>MAX(0,MIN('Activities'!L37,612)-MAX('Activities'!K37,606))</x:f>
        <x:v>0</x:v>
      </x:c>
      <x:c r="DC37" s="23" t="n">
        <x:f>MAX(0,MIN('Activities'!L37,618)-MAX('Activities'!K37,612))</x:f>
        <x:v>0</x:v>
      </x:c>
      <x:c r="DD37" s="23" t="n">
        <x:f>MAX(0,MIN('Activities'!L37,624)-MAX('Activities'!K37,618))</x:f>
        <x:v>0</x:v>
      </x:c>
      <x:c r="DE37" s="23" t="n">
        <x:f>MAX(0,MIN('Activities'!L37,630)-MAX('Activities'!K37,624))</x:f>
        <x:v>0</x:v>
      </x:c>
      <x:c r="DF37" s="23" t="n">
        <x:f>MAX(0,MIN('Activities'!L37,636)-MAX('Activities'!K37,630))</x:f>
        <x:v>0</x:v>
      </x:c>
    </x:row>
    <x:row r="38" ht="23" customHeight="1">
      <x:c r="A38" s="6" t="str">
        <x:v>T1-L05-C</x:v>
      </x:c>
      <x:c r="B38" s="6" t="str">
        <x:v>T1</x:v>
      </x:c>
      <x:c r="C38" s="6" t="str">
        <x:v>Concrete placement and finishing</x:v>
      </x:c>
      <x:c r="D38" s="6" t="str">
        <x:v>Concrete</x:v>
      </x:c>
      <x:c r="E38" s="22" t="n">
        <x:f>MAX(0,MIN('Activities'!L38,6)-MAX('Activities'!K38,0))</x:f>
        <x:v>0</x:v>
      </x:c>
      <x:c r="F38" s="22" t="n">
        <x:f>MAX(0,MIN('Activities'!L38,12)-MAX('Activities'!K38,6))</x:f>
        <x:v>0</x:v>
      </x:c>
      <x:c r="G38" s="22" t="n">
        <x:f>MAX(0,MIN('Activities'!L38,18)-MAX('Activities'!K38,12))</x:f>
        <x:v>0</x:v>
      </x:c>
      <x:c r="H38" s="22" t="n">
        <x:f>MAX(0,MIN('Activities'!L38,24)-MAX('Activities'!K38,18))</x:f>
        <x:v>0</x:v>
      </x:c>
      <x:c r="I38" s="22" t="n">
        <x:f>MAX(0,MIN('Activities'!L38,30)-MAX('Activities'!K38,24))</x:f>
        <x:v>0</x:v>
      </x:c>
      <x:c r="J38" s="22" t="n">
        <x:f>MAX(0,MIN('Activities'!L38,36)-MAX('Activities'!K38,30))</x:f>
        <x:v>0</x:v>
      </x:c>
      <x:c r="K38" s="22" t="n">
        <x:f>MAX(0,MIN('Activities'!L38,42)-MAX('Activities'!K38,36))</x:f>
        <x:v>0</x:v>
      </x:c>
      <x:c r="L38" s="22" t="n">
        <x:f>MAX(0,MIN('Activities'!L38,48)-MAX('Activities'!K38,42))</x:f>
        <x:v>0</x:v>
      </x:c>
      <x:c r="M38" s="22" t="n">
        <x:f>MAX(0,MIN('Activities'!L38,54)-MAX('Activities'!K38,48))</x:f>
        <x:v>0</x:v>
      </x:c>
      <x:c r="N38" s="22" t="n">
        <x:f>MAX(0,MIN('Activities'!L38,60)-MAX('Activities'!K38,54))</x:f>
        <x:v>0</x:v>
      </x:c>
      <x:c r="O38" s="22" t="n">
        <x:f>MAX(0,MIN('Activities'!L38,66)-MAX('Activities'!K38,60))</x:f>
        <x:v>0</x:v>
      </x:c>
      <x:c r="P38" s="22" t="n">
        <x:f>MAX(0,MIN('Activities'!L38,72)-MAX('Activities'!K38,66))</x:f>
        <x:v>0</x:v>
      </x:c>
      <x:c r="Q38" s="22" t="n">
        <x:f>MAX(0,MIN('Activities'!L38,78)-MAX('Activities'!K38,72))</x:f>
        <x:v>0</x:v>
      </x:c>
      <x:c r="R38" s="22" t="n">
        <x:f>MAX(0,MIN('Activities'!L38,84)-MAX('Activities'!K38,78))</x:f>
        <x:v>0</x:v>
      </x:c>
      <x:c r="S38" s="22" t="n">
        <x:f>MAX(0,MIN('Activities'!L38,90)-MAX('Activities'!K38,84))</x:f>
        <x:v>0</x:v>
      </x:c>
      <x:c r="T38" s="22" t="n">
        <x:f>MAX(0,MIN('Activities'!L38,96)-MAX('Activities'!K38,90))</x:f>
        <x:v>0</x:v>
      </x:c>
      <x:c r="U38" s="22" t="n">
        <x:f>MAX(0,MIN('Activities'!L38,102)-MAX('Activities'!K38,96))</x:f>
        <x:v>0</x:v>
      </x:c>
      <x:c r="V38" s="22" t="n">
        <x:f>MAX(0,MIN('Activities'!L38,108)-MAX('Activities'!K38,102))</x:f>
        <x:v>0</x:v>
      </x:c>
      <x:c r="W38" s="22" t="n">
        <x:f>MAX(0,MIN('Activities'!L38,114)-MAX('Activities'!K38,108))</x:f>
        <x:v>0</x:v>
      </x:c>
      <x:c r="X38" s="22" t="n">
        <x:f>MAX(0,MIN('Activities'!L38,120)-MAX('Activities'!K38,114))</x:f>
        <x:v>0</x:v>
      </x:c>
      <x:c r="Y38" s="22" t="n">
        <x:f>MAX(0,MIN('Activities'!L38,126)-MAX('Activities'!K38,120))</x:f>
        <x:v>0</x:v>
      </x:c>
      <x:c r="Z38" s="22" t="n">
        <x:f>MAX(0,MIN('Activities'!L38,132)-MAX('Activities'!K38,126))</x:f>
        <x:v>0</x:v>
      </x:c>
      <x:c r="AA38" s="22" t="n">
        <x:f>MAX(0,MIN('Activities'!L38,138)-MAX('Activities'!K38,132))</x:f>
        <x:v>0</x:v>
      </x:c>
      <x:c r="AB38" s="22" t="n">
        <x:f>MAX(0,MIN('Activities'!L38,144)-MAX('Activities'!K38,138))</x:f>
        <x:v>0</x:v>
      </x:c>
      <x:c r="AC38" s="22" t="n">
        <x:f>MAX(0,MIN('Activities'!L38,150)-MAX('Activities'!K38,144))</x:f>
        <x:v>0</x:v>
      </x:c>
      <x:c r="AD38" s="22" t="n">
        <x:f>MAX(0,MIN('Activities'!L38,156)-MAX('Activities'!K38,150))</x:f>
        <x:v>0</x:v>
      </x:c>
      <x:c r="AE38" s="22" t="n">
        <x:f>MAX(0,MIN('Activities'!L38,162)-MAX('Activities'!K38,156))</x:f>
        <x:v>0</x:v>
      </x:c>
      <x:c r="AF38" s="22" t="n">
        <x:f>MAX(0,MIN('Activities'!L38,168)-MAX('Activities'!K38,162))</x:f>
        <x:v>0</x:v>
      </x:c>
      <x:c r="AG38" s="22" t="n">
        <x:f>MAX(0,MIN('Activities'!L38,174)-MAX('Activities'!K38,168))</x:f>
        <x:v>0</x:v>
      </x:c>
      <x:c r="AH38" s="22" t="n">
        <x:f>MAX(0,MIN('Activities'!L38,180)-MAX('Activities'!K38,174))</x:f>
        <x:v>0</x:v>
      </x:c>
      <x:c r="AI38" s="22" t="n">
        <x:f>MAX(0,MIN('Activities'!L38,186)-MAX('Activities'!K38,180))</x:f>
        <x:v>0</x:v>
      </x:c>
      <x:c r="AJ38" s="22" t="n">
        <x:f>MAX(0,MIN('Activities'!L38,192)-MAX('Activities'!K38,186))</x:f>
        <x:v>0</x:v>
      </x:c>
      <x:c r="AK38" s="22" t="n">
        <x:f>MAX(0,MIN('Activities'!L38,198)-MAX('Activities'!K38,192))</x:f>
        <x:v>0</x:v>
      </x:c>
      <x:c r="AL38" s="22" t="n">
        <x:f>MAX(0,MIN('Activities'!L38,204)-MAX('Activities'!K38,198))</x:f>
        <x:v>0</x:v>
      </x:c>
      <x:c r="AM38" s="22" t="n">
        <x:f>MAX(0,MIN('Activities'!L38,210)-MAX('Activities'!K38,204))</x:f>
        <x:v>0</x:v>
      </x:c>
      <x:c r="AN38" s="22" t="n">
        <x:f>MAX(0,MIN('Activities'!L38,216)-MAX('Activities'!K38,210))</x:f>
        <x:v>0</x:v>
      </x:c>
      <x:c r="AO38" s="22" t="n">
        <x:f>MAX(0,MIN('Activities'!L38,222)-MAX('Activities'!K38,216))</x:f>
        <x:v>0</x:v>
      </x:c>
      <x:c r="AP38" s="22" t="n">
        <x:f>MAX(0,MIN('Activities'!L38,228)-MAX('Activities'!K38,222))</x:f>
        <x:v>0</x:v>
      </x:c>
      <x:c r="AQ38" s="22" t="n">
        <x:f>MAX(0,MIN('Activities'!L38,234)-MAX('Activities'!K38,228))</x:f>
        <x:v>0</x:v>
      </x:c>
      <x:c r="AR38" s="22" t="n">
        <x:f>MAX(0,MIN('Activities'!L38,240)-MAX('Activities'!K38,234))</x:f>
        <x:v>2</x:v>
      </x:c>
      <x:c r="AS38" s="22" t="n">
        <x:f>MAX(0,MIN('Activities'!L38,246)-MAX('Activities'!K38,240))</x:f>
        <x:v>0</x:v>
      </x:c>
      <x:c r="AT38" s="22" t="n">
        <x:f>MAX(0,MIN('Activities'!L38,252)-MAX('Activities'!K38,246))</x:f>
        <x:v>0</x:v>
      </x:c>
      <x:c r="AU38" s="22" t="n">
        <x:f>MAX(0,MIN('Activities'!L38,258)-MAX('Activities'!K38,252))</x:f>
        <x:v>0</x:v>
      </x:c>
      <x:c r="AV38" s="22" t="n">
        <x:f>MAX(0,MIN('Activities'!L38,264)-MAX('Activities'!K38,258))</x:f>
        <x:v>0</x:v>
      </x:c>
      <x:c r="AW38" s="22" t="n">
        <x:f>MAX(0,MIN('Activities'!L38,270)-MAX('Activities'!K38,264))</x:f>
        <x:v>0</x:v>
      </x:c>
      <x:c r="AX38" s="22" t="n">
        <x:f>MAX(0,MIN('Activities'!L38,276)-MAX('Activities'!K38,270))</x:f>
        <x:v>0</x:v>
      </x:c>
      <x:c r="AY38" s="22" t="n">
        <x:f>MAX(0,MIN('Activities'!L38,282)-MAX('Activities'!K38,276))</x:f>
        <x:v>0</x:v>
      </x:c>
      <x:c r="AZ38" s="22" t="n">
        <x:f>MAX(0,MIN('Activities'!L38,288)-MAX('Activities'!K38,282))</x:f>
        <x:v>0</x:v>
      </x:c>
      <x:c r="BA38" s="22" t="n">
        <x:f>MAX(0,MIN('Activities'!L38,294)-MAX('Activities'!K38,288))</x:f>
        <x:v>0</x:v>
      </x:c>
      <x:c r="BB38" s="22" t="n">
        <x:f>MAX(0,MIN('Activities'!L38,300)-MAX('Activities'!K38,294))</x:f>
        <x:v>0</x:v>
      </x:c>
      <x:c r="BC38" s="22" t="n">
        <x:f>MAX(0,MIN('Activities'!L38,306)-MAX('Activities'!K38,300))</x:f>
        <x:v>0</x:v>
      </x:c>
      <x:c r="BD38" s="22" t="n">
        <x:f>MAX(0,MIN('Activities'!L38,312)-MAX('Activities'!K38,306))</x:f>
        <x:v>0</x:v>
      </x:c>
      <x:c r="BE38" s="22" t="n">
        <x:f>MAX(0,MIN('Activities'!L38,318)-MAX('Activities'!K38,312))</x:f>
        <x:v>0</x:v>
      </x:c>
      <x:c r="BF38" s="22" t="n">
        <x:f>MAX(0,MIN('Activities'!L38,324)-MAX('Activities'!K38,318))</x:f>
        <x:v>0</x:v>
      </x:c>
      <x:c r="BG38" s="22" t="n">
        <x:f>MAX(0,MIN('Activities'!L38,330)-MAX('Activities'!K38,324))</x:f>
        <x:v>0</x:v>
      </x:c>
      <x:c r="BH38" s="22" t="n">
        <x:f>MAX(0,MIN('Activities'!L38,336)-MAX('Activities'!K38,330))</x:f>
        <x:v>0</x:v>
      </x:c>
      <x:c r="BI38" s="22" t="n">
        <x:f>MAX(0,MIN('Activities'!L38,342)-MAX('Activities'!K38,336))</x:f>
        <x:v>0</x:v>
      </x:c>
      <x:c r="BJ38" s="22" t="n">
        <x:f>MAX(0,MIN('Activities'!L38,348)-MAX('Activities'!K38,342))</x:f>
        <x:v>0</x:v>
      </x:c>
      <x:c r="BK38" s="22" t="n">
        <x:f>MAX(0,MIN('Activities'!L38,354)-MAX('Activities'!K38,348))</x:f>
        <x:v>0</x:v>
      </x:c>
      <x:c r="BL38" s="22" t="n">
        <x:f>MAX(0,MIN('Activities'!L38,360)-MAX('Activities'!K38,354))</x:f>
        <x:v>0</x:v>
      </x:c>
      <x:c r="BM38" s="22" t="n">
        <x:f>MAX(0,MIN('Activities'!L38,366)-MAX('Activities'!K38,360))</x:f>
        <x:v>0</x:v>
      </x:c>
      <x:c r="BN38" s="22" t="n">
        <x:f>MAX(0,MIN('Activities'!L38,372)-MAX('Activities'!K38,366))</x:f>
        <x:v>0</x:v>
      </x:c>
      <x:c r="BO38" s="22" t="n">
        <x:f>MAX(0,MIN('Activities'!L38,378)-MAX('Activities'!K38,372))</x:f>
        <x:v>0</x:v>
      </x:c>
      <x:c r="BP38" s="22" t="n">
        <x:f>MAX(0,MIN('Activities'!L38,384)-MAX('Activities'!K38,378))</x:f>
        <x:v>0</x:v>
      </x:c>
      <x:c r="BQ38" s="22" t="n">
        <x:f>MAX(0,MIN('Activities'!L38,390)-MAX('Activities'!K38,384))</x:f>
        <x:v>0</x:v>
      </x:c>
      <x:c r="BR38" s="22" t="n">
        <x:f>MAX(0,MIN('Activities'!L38,396)-MAX('Activities'!K38,390))</x:f>
        <x:v>0</x:v>
      </x:c>
      <x:c r="BS38" s="22" t="n">
        <x:f>MAX(0,MIN('Activities'!L38,402)-MAX('Activities'!K38,396))</x:f>
        <x:v>0</x:v>
      </x:c>
      <x:c r="BT38" s="22" t="n">
        <x:f>MAX(0,MIN('Activities'!L38,408)-MAX('Activities'!K38,402))</x:f>
        <x:v>0</x:v>
      </x:c>
      <x:c r="BU38" s="22" t="n">
        <x:f>MAX(0,MIN('Activities'!L38,414)-MAX('Activities'!K38,408))</x:f>
        <x:v>0</x:v>
      </x:c>
      <x:c r="BV38" s="22" t="n">
        <x:f>MAX(0,MIN('Activities'!L38,420)-MAX('Activities'!K38,414))</x:f>
        <x:v>0</x:v>
      </x:c>
      <x:c r="BW38" s="22" t="n">
        <x:f>MAX(0,MIN('Activities'!L38,426)-MAX('Activities'!K38,420))</x:f>
        <x:v>0</x:v>
      </x:c>
      <x:c r="BX38" s="22" t="n">
        <x:f>MAX(0,MIN('Activities'!L38,432)-MAX('Activities'!K38,426))</x:f>
        <x:v>0</x:v>
      </x:c>
      <x:c r="BY38" s="22" t="n">
        <x:f>MAX(0,MIN('Activities'!L38,438)-MAX('Activities'!K38,432))</x:f>
        <x:v>0</x:v>
      </x:c>
      <x:c r="BZ38" s="22" t="n">
        <x:f>MAX(0,MIN('Activities'!L38,444)-MAX('Activities'!K38,438))</x:f>
        <x:v>0</x:v>
      </x:c>
      <x:c r="CA38" s="22" t="n">
        <x:f>MAX(0,MIN('Activities'!L38,450)-MAX('Activities'!K38,444))</x:f>
        <x:v>0</x:v>
      </x:c>
      <x:c r="CB38" s="22" t="n">
        <x:f>MAX(0,MIN('Activities'!L38,456)-MAX('Activities'!K38,450))</x:f>
        <x:v>0</x:v>
      </x:c>
      <x:c r="CC38" s="22" t="n">
        <x:f>MAX(0,MIN('Activities'!L38,462)-MAX('Activities'!K38,456))</x:f>
        <x:v>0</x:v>
      </x:c>
      <x:c r="CD38" s="22" t="n">
        <x:f>MAX(0,MIN('Activities'!L38,468)-MAX('Activities'!K38,462))</x:f>
        <x:v>0</x:v>
      </x:c>
      <x:c r="CE38" s="22" t="n">
        <x:f>MAX(0,MIN('Activities'!L38,474)-MAX('Activities'!K38,468))</x:f>
        <x:v>0</x:v>
      </x:c>
      <x:c r="CF38" s="22" t="n">
        <x:f>MAX(0,MIN('Activities'!L38,480)-MAX('Activities'!K38,474))</x:f>
        <x:v>0</x:v>
      </x:c>
      <x:c r="CG38" s="22" t="n">
        <x:f>MAX(0,MIN('Activities'!L38,486)-MAX('Activities'!K38,480))</x:f>
        <x:v>0</x:v>
      </x:c>
      <x:c r="CH38" s="22" t="n">
        <x:f>MAX(0,MIN('Activities'!L38,492)-MAX('Activities'!K38,486))</x:f>
        <x:v>0</x:v>
      </x:c>
      <x:c r="CI38" s="22" t="n">
        <x:f>MAX(0,MIN('Activities'!L38,498)-MAX('Activities'!K38,492))</x:f>
        <x:v>0</x:v>
      </x:c>
      <x:c r="CJ38" s="22" t="n">
        <x:f>MAX(0,MIN('Activities'!L38,504)-MAX('Activities'!K38,498))</x:f>
        <x:v>0</x:v>
      </x:c>
      <x:c r="CK38" s="22" t="n">
        <x:f>MAX(0,MIN('Activities'!L38,510)-MAX('Activities'!K38,504))</x:f>
        <x:v>0</x:v>
      </x:c>
      <x:c r="CL38" s="22" t="n">
        <x:f>MAX(0,MIN('Activities'!L38,516)-MAX('Activities'!K38,510))</x:f>
        <x:v>0</x:v>
      </x:c>
      <x:c r="CM38" s="22" t="n">
        <x:f>MAX(0,MIN('Activities'!L38,522)-MAX('Activities'!K38,516))</x:f>
        <x:v>0</x:v>
      </x:c>
      <x:c r="CN38" s="22" t="n">
        <x:f>MAX(0,MIN('Activities'!L38,528)-MAX('Activities'!K38,522))</x:f>
        <x:v>0</x:v>
      </x:c>
      <x:c r="CO38" s="22" t="n">
        <x:f>MAX(0,MIN('Activities'!L38,534)-MAX('Activities'!K38,528))</x:f>
        <x:v>0</x:v>
      </x:c>
      <x:c r="CP38" s="22" t="n">
        <x:f>MAX(0,MIN('Activities'!L38,540)-MAX('Activities'!K38,534))</x:f>
        <x:v>0</x:v>
      </x:c>
      <x:c r="CQ38" s="22" t="n">
        <x:f>MAX(0,MIN('Activities'!L38,546)-MAX('Activities'!K38,540))</x:f>
        <x:v>0</x:v>
      </x:c>
      <x:c r="CR38" s="22" t="n">
        <x:f>MAX(0,MIN('Activities'!L38,552)-MAX('Activities'!K38,546))</x:f>
        <x:v>0</x:v>
      </x:c>
      <x:c r="CS38" s="22" t="n">
        <x:f>MAX(0,MIN('Activities'!L38,558)-MAX('Activities'!K38,552))</x:f>
        <x:v>0</x:v>
      </x:c>
      <x:c r="CT38" s="22" t="n">
        <x:f>MAX(0,MIN('Activities'!L38,564)-MAX('Activities'!K38,558))</x:f>
        <x:v>0</x:v>
      </x:c>
      <x:c r="CU38" s="22" t="n">
        <x:f>MAX(0,MIN('Activities'!L38,570)-MAX('Activities'!K38,564))</x:f>
        <x:v>0</x:v>
      </x:c>
      <x:c r="CV38" s="22" t="n">
        <x:f>MAX(0,MIN('Activities'!L38,576)-MAX('Activities'!K38,570))</x:f>
        <x:v>0</x:v>
      </x:c>
      <x:c r="CW38" s="22" t="n">
        <x:f>MAX(0,MIN('Activities'!L38,582)-MAX('Activities'!K38,576))</x:f>
        <x:v>0</x:v>
      </x:c>
      <x:c r="CX38" s="22" t="n">
        <x:f>MAX(0,MIN('Activities'!L38,588)-MAX('Activities'!K38,582))</x:f>
        <x:v>0</x:v>
      </x:c>
      <x:c r="CY38" s="22" t="n">
        <x:f>MAX(0,MIN('Activities'!L38,594)-MAX('Activities'!K38,588))</x:f>
        <x:v>0</x:v>
      </x:c>
      <x:c r="CZ38" s="22" t="n">
        <x:f>MAX(0,MIN('Activities'!L38,600)-MAX('Activities'!K38,594))</x:f>
        <x:v>0</x:v>
      </x:c>
      <x:c r="DA38" s="22" t="n">
        <x:f>MAX(0,MIN('Activities'!L38,606)-MAX('Activities'!K38,600))</x:f>
        <x:v>0</x:v>
      </x:c>
      <x:c r="DB38" s="22" t="n">
        <x:f>MAX(0,MIN('Activities'!L38,612)-MAX('Activities'!K38,606))</x:f>
        <x:v>0</x:v>
      </x:c>
      <x:c r="DC38" s="22" t="n">
        <x:f>MAX(0,MIN('Activities'!L38,618)-MAX('Activities'!K38,612))</x:f>
        <x:v>0</x:v>
      </x:c>
      <x:c r="DD38" s="22" t="n">
        <x:f>MAX(0,MIN('Activities'!L38,624)-MAX('Activities'!K38,618))</x:f>
        <x:v>0</x:v>
      </x:c>
      <x:c r="DE38" s="22" t="n">
        <x:f>MAX(0,MIN('Activities'!L38,630)-MAX('Activities'!K38,624))</x:f>
        <x:v>0</x:v>
      </x:c>
      <x:c r="DF38" s="22" t="n">
        <x:f>MAX(0,MIN('Activities'!L38,636)-MAX('Activities'!K38,630))</x:f>
        <x:v>0</x:v>
      </x:c>
    </x:row>
    <x:row r="39" ht="23" customHeight="1">
      <x:c r="A39" s="1" t="str">
        <x:v>T1-L05-H</x:v>
      </x:c>
      <x:c r="B39" s="1" t="str">
        <x:v>T1</x:v>
      </x:c>
      <x:c r="C39" s="1" t="str">
        <x:v>Curing and release hold point</x:v>
      </x:c>
      <x:c r="D39" s="1" t="str">
        <x:v>Site</x:v>
      </x:c>
      <x:c r="E39" s="23" t="n">
        <x:f>MAX(0,MIN('Activities'!L39,6)-MAX('Activities'!K39,0))</x:f>
        <x:v>0</x:v>
      </x:c>
      <x:c r="F39" s="23" t="n">
        <x:f>MAX(0,MIN('Activities'!L39,12)-MAX('Activities'!K39,6))</x:f>
        <x:v>0</x:v>
      </x:c>
      <x:c r="G39" s="23" t="n">
        <x:f>MAX(0,MIN('Activities'!L39,18)-MAX('Activities'!K39,12))</x:f>
        <x:v>0</x:v>
      </x:c>
      <x:c r="H39" s="23" t="n">
        <x:f>MAX(0,MIN('Activities'!L39,24)-MAX('Activities'!K39,18))</x:f>
        <x:v>0</x:v>
      </x:c>
      <x:c r="I39" s="23" t="n">
        <x:f>MAX(0,MIN('Activities'!L39,30)-MAX('Activities'!K39,24))</x:f>
        <x:v>0</x:v>
      </x:c>
      <x:c r="J39" s="23" t="n">
        <x:f>MAX(0,MIN('Activities'!L39,36)-MAX('Activities'!K39,30))</x:f>
        <x:v>0</x:v>
      </x:c>
      <x:c r="K39" s="23" t="n">
        <x:f>MAX(0,MIN('Activities'!L39,42)-MAX('Activities'!K39,36))</x:f>
        <x:v>0</x:v>
      </x:c>
      <x:c r="L39" s="23" t="n">
        <x:f>MAX(0,MIN('Activities'!L39,48)-MAX('Activities'!K39,42))</x:f>
        <x:v>0</x:v>
      </x:c>
      <x:c r="M39" s="23" t="n">
        <x:f>MAX(0,MIN('Activities'!L39,54)-MAX('Activities'!K39,48))</x:f>
        <x:v>0</x:v>
      </x:c>
      <x:c r="N39" s="23" t="n">
        <x:f>MAX(0,MIN('Activities'!L39,60)-MAX('Activities'!K39,54))</x:f>
        <x:v>0</x:v>
      </x:c>
      <x:c r="O39" s="23" t="n">
        <x:f>MAX(0,MIN('Activities'!L39,66)-MAX('Activities'!K39,60))</x:f>
        <x:v>0</x:v>
      </x:c>
      <x:c r="P39" s="23" t="n">
        <x:f>MAX(0,MIN('Activities'!L39,72)-MAX('Activities'!K39,66))</x:f>
        <x:v>0</x:v>
      </x:c>
      <x:c r="Q39" s="23" t="n">
        <x:f>MAX(0,MIN('Activities'!L39,78)-MAX('Activities'!K39,72))</x:f>
        <x:v>0</x:v>
      </x:c>
      <x:c r="R39" s="23" t="n">
        <x:f>MAX(0,MIN('Activities'!L39,84)-MAX('Activities'!K39,78))</x:f>
        <x:v>0</x:v>
      </x:c>
      <x:c r="S39" s="23" t="n">
        <x:f>MAX(0,MIN('Activities'!L39,90)-MAX('Activities'!K39,84))</x:f>
        <x:v>0</x:v>
      </x:c>
      <x:c r="T39" s="23" t="n">
        <x:f>MAX(0,MIN('Activities'!L39,96)-MAX('Activities'!K39,90))</x:f>
        <x:v>0</x:v>
      </x:c>
      <x:c r="U39" s="23" t="n">
        <x:f>MAX(0,MIN('Activities'!L39,102)-MAX('Activities'!K39,96))</x:f>
        <x:v>0</x:v>
      </x:c>
      <x:c r="V39" s="23" t="n">
        <x:f>MAX(0,MIN('Activities'!L39,108)-MAX('Activities'!K39,102))</x:f>
        <x:v>0</x:v>
      </x:c>
      <x:c r="W39" s="23" t="n">
        <x:f>MAX(0,MIN('Activities'!L39,114)-MAX('Activities'!K39,108))</x:f>
        <x:v>0</x:v>
      </x:c>
      <x:c r="X39" s="23" t="n">
        <x:f>MAX(0,MIN('Activities'!L39,120)-MAX('Activities'!K39,114))</x:f>
        <x:v>0</x:v>
      </x:c>
      <x:c r="Y39" s="23" t="n">
        <x:f>MAX(0,MIN('Activities'!L39,126)-MAX('Activities'!K39,120))</x:f>
        <x:v>0</x:v>
      </x:c>
      <x:c r="Z39" s="23" t="n">
        <x:f>MAX(0,MIN('Activities'!L39,132)-MAX('Activities'!K39,126))</x:f>
        <x:v>0</x:v>
      </x:c>
      <x:c r="AA39" s="23" t="n">
        <x:f>MAX(0,MIN('Activities'!L39,138)-MAX('Activities'!K39,132))</x:f>
        <x:v>0</x:v>
      </x:c>
      <x:c r="AB39" s="23" t="n">
        <x:f>MAX(0,MIN('Activities'!L39,144)-MAX('Activities'!K39,138))</x:f>
        <x:v>0</x:v>
      </x:c>
      <x:c r="AC39" s="23" t="n">
        <x:f>MAX(0,MIN('Activities'!L39,150)-MAX('Activities'!K39,144))</x:f>
        <x:v>0</x:v>
      </x:c>
      <x:c r="AD39" s="23" t="n">
        <x:f>MAX(0,MIN('Activities'!L39,156)-MAX('Activities'!K39,150))</x:f>
        <x:v>0</x:v>
      </x:c>
      <x:c r="AE39" s="23" t="n">
        <x:f>MAX(0,MIN('Activities'!L39,162)-MAX('Activities'!K39,156))</x:f>
        <x:v>0</x:v>
      </x:c>
      <x:c r="AF39" s="23" t="n">
        <x:f>MAX(0,MIN('Activities'!L39,168)-MAX('Activities'!K39,162))</x:f>
        <x:v>0</x:v>
      </x:c>
      <x:c r="AG39" s="23" t="n">
        <x:f>MAX(0,MIN('Activities'!L39,174)-MAX('Activities'!K39,168))</x:f>
        <x:v>0</x:v>
      </x:c>
      <x:c r="AH39" s="23" t="n">
        <x:f>MAX(0,MIN('Activities'!L39,180)-MAX('Activities'!K39,174))</x:f>
        <x:v>0</x:v>
      </x:c>
      <x:c r="AI39" s="23" t="n">
        <x:f>MAX(0,MIN('Activities'!L39,186)-MAX('Activities'!K39,180))</x:f>
        <x:v>0</x:v>
      </x:c>
      <x:c r="AJ39" s="23" t="n">
        <x:f>MAX(0,MIN('Activities'!L39,192)-MAX('Activities'!K39,186))</x:f>
        <x:v>0</x:v>
      </x:c>
      <x:c r="AK39" s="23" t="n">
        <x:f>MAX(0,MIN('Activities'!L39,198)-MAX('Activities'!K39,192))</x:f>
        <x:v>0</x:v>
      </x:c>
      <x:c r="AL39" s="23" t="n">
        <x:f>MAX(0,MIN('Activities'!L39,204)-MAX('Activities'!K39,198))</x:f>
        <x:v>0</x:v>
      </x:c>
      <x:c r="AM39" s="23" t="n">
        <x:f>MAX(0,MIN('Activities'!L39,210)-MAX('Activities'!K39,204))</x:f>
        <x:v>0</x:v>
      </x:c>
      <x:c r="AN39" s="23" t="n">
        <x:f>MAX(0,MIN('Activities'!L39,216)-MAX('Activities'!K39,210))</x:f>
        <x:v>0</x:v>
      </x:c>
      <x:c r="AO39" s="23" t="n">
        <x:f>MAX(0,MIN('Activities'!L39,222)-MAX('Activities'!K39,216))</x:f>
        <x:v>0</x:v>
      </x:c>
      <x:c r="AP39" s="23" t="n">
        <x:f>MAX(0,MIN('Activities'!L39,228)-MAX('Activities'!K39,222))</x:f>
        <x:v>0</x:v>
      </x:c>
      <x:c r="AQ39" s="23" t="n">
        <x:f>MAX(0,MIN('Activities'!L39,234)-MAX('Activities'!K39,228))</x:f>
        <x:v>0</x:v>
      </x:c>
      <x:c r="AR39" s="23" t="n">
        <x:f>MAX(0,MIN('Activities'!L39,240)-MAX('Activities'!K39,234))</x:f>
        <x:v>3</x:v>
      </x:c>
      <x:c r="AS39" s="23" t="n">
        <x:f>MAX(0,MIN('Activities'!L39,246)-MAX('Activities'!K39,240))</x:f>
        <x:v>2</x:v>
      </x:c>
      <x:c r="AT39" s="23" t="n">
        <x:f>MAX(0,MIN('Activities'!L39,252)-MAX('Activities'!K39,246))</x:f>
        <x:v>0</x:v>
      </x:c>
      <x:c r="AU39" s="23" t="n">
        <x:f>MAX(0,MIN('Activities'!L39,258)-MAX('Activities'!K39,252))</x:f>
        <x:v>0</x:v>
      </x:c>
      <x:c r="AV39" s="23" t="n">
        <x:f>MAX(0,MIN('Activities'!L39,264)-MAX('Activities'!K39,258))</x:f>
        <x:v>0</x:v>
      </x:c>
      <x:c r="AW39" s="23" t="n">
        <x:f>MAX(0,MIN('Activities'!L39,270)-MAX('Activities'!K39,264))</x:f>
        <x:v>0</x:v>
      </x:c>
      <x:c r="AX39" s="23" t="n">
        <x:f>MAX(0,MIN('Activities'!L39,276)-MAX('Activities'!K39,270))</x:f>
        <x:v>0</x:v>
      </x:c>
      <x:c r="AY39" s="23" t="n">
        <x:f>MAX(0,MIN('Activities'!L39,282)-MAX('Activities'!K39,276))</x:f>
        <x:v>0</x:v>
      </x:c>
      <x:c r="AZ39" s="23" t="n">
        <x:f>MAX(0,MIN('Activities'!L39,288)-MAX('Activities'!K39,282))</x:f>
        <x:v>0</x:v>
      </x:c>
      <x:c r="BA39" s="23" t="n">
        <x:f>MAX(0,MIN('Activities'!L39,294)-MAX('Activities'!K39,288))</x:f>
        <x:v>0</x:v>
      </x:c>
      <x:c r="BB39" s="23" t="n">
        <x:f>MAX(0,MIN('Activities'!L39,300)-MAX('Activities'!K39,294))</x:f>
        <x:v>0</x:v>
      </x:c>
      <x:c r="BC39" s="23" t="n">
        <x:f>MAX(0,MIN('Activities'!L39,306)-MAX('Activities'!K39,300))</x:f>
        <x:v>0</x:v>
      </x:c>
      <x:c r="BD39" s="23" t="n">
        <x:f>MAX(0,MIN('Activities'!L39,312)-MAX('Activities'!K39,306))</x:f>
        <x:v>0</x:v>
      </x:c>
      <x:c r="BE39" s="23" t="n">
        <x:f>MAX(0,MIN('Activities'!L39,318)-MAX('Activities'!K39,312))</x:f>
        <x:v>0</x:v>
      </x:c>
      <x:c r="BF39" s="23" t="n">
        <x:f>MAX(0,MIN('Activities'!L39,324)-MAX('Activities'!K39,318))</x:f>
        <x:v>0</x:v>
      </x:c>
      <x:c r="BG39" s="23" t="n">
        <x:f>MAX(0,MIN('Activities'!L39,330)-MAX('Activities'!K39,324))</x:f>
        <x:v>0</x:v>
      </x:c>
      <x:c r="BH39" s="23" t="n">
        <x:f>MAX(0,MIN('Activities'!L39,336)-MAX('Activities'!K39,330))</x:f>
        <x:v>0</x:v>
      </x:c>
      <x:c r="BI39" s="23" t="n">
        <x:f>MAX(0,MIN('Activities'!L39,342)-MAX('Activities'!K39,336))</x:f>
        <x:v>0</x:v>
      </x:c>
      <x:c r="BJ39" s="23" t="n">
        <x:f>MAX(0,MIN('Activities'!L39,348)-MAX('Activities'!K39,342))</x:f>
        <x:v>0</x:v>
      </x:c>
      <x:c r="BK39" s="23" t="n">
        <x:f>MAX(0,MIN('Activities'!L39,354)-MAX('Activities'!K39,348))</x:f>
        <x:v>0</x:v>
      </x:c>
      <x:c r="BL39" s="23" t="n">
        <x:f>MAX(0,MIN('Activities'!L39,360)-MAX('Activities'!K39,354))</x:f>
        <x:v>0</x:v>
      </x:c>
      <x:c r="BM39" s="23" t="n">
        <x:f>MAX(0,MIN('Activities'!L39,366)-MAX('Activities'!K39,360))</x:f>
        <x:v>0</x:v>
      </x:c>
      <x:c r="BN39" s="23" t="n">
        <x:f>MAX(0,MIN('Activities'!L39,372)-MAX('Activities'!K39,366))</x:f>
        <x:v>0</x:v>
      </x:c>
      <x:c r="BO39" s="23" t="n">
        <x:f>MAX(0,MIN('Activities'!L39,378)-MAX('Activities'!K39,372))</x:f>
        <x:v>0</x:v>
      </x:c>
      <x:c r="BP39" s="23" t="n">
        <x:f>MAX(0,MIN('Activities'!L39,384)-MAX('Activities'!K39,378))</x:f>
        <x:v>0</x:v>
      </x:c>
      <x:c r="BQ39" s="23" t="n">
        <x:f>MAX(0,MIN('Activities'!L39,390)-MAX('Activities'!K39,384))</x:f>
        <x:v>0</x:v>
      </x:c>
      <x:c r="BR39" s="23" t="n">
        <x:f>MAX(0,MIN('Activities'!L39,396)-MAX('Activities'!K39,390))</x:f>
        <x:v>0</x:v>
      </x:c>
      <x:c r="BS39" s="23" t="n">
        <x:f>MAX(0,MIN('Activities'!L39,402)-MAX('Activities'!K39,396))</x:f>
        <x:v>0</x:v>
      </x:c>
      <x:c r="BT39" s="23" t="n">
        <x:f>MAX(0,MIN('Activities'!L39,408)-MAX('Activities'!K39,402))</x:f>
        <x:v>0</x:v>
      </x:c>
      <x:c r="BU39" s="23" t="n">
        <x:f>MAX(0,MIN('Activities'!L39,414)-MAX('Activities'!K39,408))</x:f>
        <x:v>0</x:v>
      </x:c>
      <x:c r="BV39" s="23" t="n">
        <x:f>MAX(0,MIN('Activities'!L39,420)-MAX('Activities'!K39,414))</x:f>
        <x:v>0</x:v>
      </x:c>
      <x:c r="BW39" s="23" t="n">
        <x:f>MAX(0,MIN('Activities'!L39,426)-MAX('Activities'!K39,420))</x:f>
        <x:v>0</x:v>
      </x:c>
      <x:c r="BX39" s="23" t="n">
        <x:f>MAX(0,MIN('Activities'!L39,432)-MAX('Activities'!K39,426))</x:f>
        <x:v>0</x:v>
      </x:c>
      <x:c r="BY39" s="23" t="n">
        <x:f>MAX(0,MIN('Activities'!L39,438)-MAX('Activities'!K39,432))</x:f>
        <x:v>0</x:v>
      </x:c>
      <x:c r="BZ39" s="23" t="n">
        <x:f>MAX(0,MIN('Activities'!L39,444)-MAX('Activities'!K39,438))</x:f>
        <x:v>0</x:v>
      </x:c>
      <x:c r="CA39" s="23" t="n">
        <x:f>MAX(0,MIN('Activities'!L39,450)-MAX('Activities'!K39,444))</x:f>
        <x:v>0</x:v>
      </x:c>
      <x:c r="CB39" s="23" t="n">
        <x:f>MAX(0,MIN('Activities'!L39,456)-MAX('Activities'!K39,450))</x:f>
        <x:v>0</x:v>
      </x:c>
      <x:c r="CC39" s="23" t="n">
        <x:f>MAX(0,MIN('Activities'!L39,462)-MAX('Activities'!K39,456))</x:f>
        <x:v>0</x:v>
      </x:c>
      <x:c r="CD39" s="23" t="n">
        <x:f>MAX(0,MIN('Activities'!L39,468)-MAX('Activities'!K39,462))</x:f>
        <x:v>0</x:v>
      </x:c>
      <x:c r="CE39" s="23" t="n">
        <x:f>MAX(0,MIN('Activities'!L39,474)-MAX('Activities'!K39,468))</x:f>
        <x:v>0</x:v>
      </x:c>
      <x:c r="CF39" s="23" t="n">
        <x:f>MAX(0,MIN('Activities'!L39,480)-MAX('Activities'!K39,474))</x:f>
        <x:v>0</x:v>
      </x:c>
      <x:c r="CG39" s="23" t="n">
        <x:f>MAX(0,MIN('Activities'!L39,486)-MAX('Activities'!K39,480))</x:f>
        <x:v>0</x:v>
      </x:c>
      <x:c r="CH39" s="23" t="n">
        <x:f>MAX(0,MIN('Activities'!L39,492)-MAX('Activities'!K39,486))</x:f>
        <x:v>0</x:v>
      </x:c>
      <x:c r="CI39" s="23" t="n">
        <x:f>MAX(0,MIN('Activities'!L39,498)-MAX('Activities'!K39,492))</x:f>
        <x:v>0</x:v>
      </x:c>
      <x:c r="CJ39" s="23" t="n">
        <x:f>MAX(0,MIN('Activities'!L39,504)-MAX('Activities'!K39,498))</x:f>
        <x:v>0</x:v>
      </x:c>
      <x:c r="CK39" s="23" t="n">
        <x:f>MAX(0,MIN('Activities'!L39,510)-MAX('Activities'!K39,504))</x:f>
        <x:v>0</x:v>
      </x:c>
      <x:c r="CL39" s="23" t="n">
        <x:f>MAX(0,MIN('Activities'!L39,516)-MAX('Activities'!K39,510))</x:f>
        <x:v>0</x:v>
      </x:c>
      <x:c r="CM39" s="23" t="n">
        <x:f>MAX(0,MIN('Activities'!L39,522)-MAX('Activities'!K39,516))</x:f>
        <x:v>0</x:v>
      </x:c>
      <x:c r="CN39" s="23" t="n">
        <x:f>MAX(0,MIN('Activities'!L39,528)-MAX('Activities'!K39,522))</x:f>
        <x:v>0</x:v>
      </x:c>
      <x:c r="CO39" s="23" t="n">
        <x:f>MAX(0,MIN('Activities'!L39,534)-MAX('Activities'!K39,528))</x:f>
        <x:v>0</x:v>
      </x:c>
      <x:c r="CP39" s="23" t="n">
        <x:f>MAX(0,MIN('Activities'!L39,540)-MAX('Activities'!K39,534))</x:f>
        <x:v>0</x:v>
      </x:c>
      <x:c r="CQ39" s="23" t="n">
        <x:f>MAX(0,MIN('Activities'!L39,546)-MAX('Activities'!K39,540))</x:f>
        <x:v>0</x:v>
      </x:c>
      <x:c r="CR39" s="23" t="n">
        <x:f>MAX(0,MIN('Activities'!L39,552)-MAX('Activities'!K39,546))</x:f>
        <x:v>0</x:v>
      </x:c>
      <x:c r="CS39" s="23" t="n">
        <x:f>MAX(0,MIN('Activities'!L39,558)-MAX('Activities'!K39,552))</x:f>
        <x:v>0</x:v>
      </x:c>
      <x:c r="CT39" s="23" t="n">
        <x:f>MAX(0,MIN('Activities'!L39,564)-MAX('Activities'!K39,558))</x:f>
        <x:v>0</x:v>
      </x:c>
      <x:c r="CU39" s="23" t="n">
        <x:f>MAX(0,MIN('Activities'!L39,570)-MAX('Activities'!K39,564))</x:f>
        <x:v>0</x:v>
      </x:c>
      <x:c r="CV39" s="23" t="n">
        <x:f>MAX(0,MIN('Activities'!L39,576)-MAX('Activities'!K39,570))</x:f>
        <x:v>0</x:v>
      </x:c>
      <x:c r="CW39" s="23" t="n">
        <x:f>MAX(0,MIN('Activities'!L39,582)-MAX('Activities'!K39,576))</x:f>
        <x:v>0</x:v>
      </x:c>
      <x:c r="CX39" s="23" t="n">
        <x:f>MAX(0,MIN('Activities'!L39,588)-MAX('Activities'!K39,582))</x:f>
        <x:v>0</x:v>
      </x:c>
      <x:c r="CY39" s="23" t="n">
        <x:f>MAX(0,MIN('Activities'!L39,594)-MAX('Activities'!K39,588))</x:f>
        <x:v>0</x:v>
      </x:c>
      <x:c r="CZ39" s="23" t="n">
        <x:f>MAX(0,MIN('Activities'!L39,600)-MAX('Activities'!K39,594))</x:f>
        <x:v>0</x:v>
      </x:c>
      <x:c r="DA39" s="23" t="n">
        <x:f>MAX(0,MIN('Activities'!L39,606)-MAX('Activities'!K39,600))</x:f>
        <x:v>0</x:v>
      </x:c>
      <x:c r="DB39" s="23" t="n">
        <x:f>MAX(0,MIN('Activities'!L39,612)-MAX('Activities'!K39,606))</x:f>
        <x:v>0</x:v>
      </x:c>
      <x:c r="DC39" s="23" t="n">
        <x:f>MAX(0,MIN('Activities'!L39,618)-MAX('Activities'!K39,612))</x:f>
        <x:v>0</x:v>
      </x:c>
      <x:c r="DD39" s="23" t="n">
        <x:f>MAX(0,MIN('Activities'!L39,624)-MAX('Activities'!K39,618))</x:f>
        <x:v>0</x:v>
      </x:c>
      <x:c r="DE39" s="23" t="n">
        <x:f>MAX(0,MIN('Activities'!L39,630)-MAX('Activities'!K39,624))</x:f>
        <x:v>0</x:v>
      </x:c>
      <x:c r="DF39" s="23" t="n">
        <x:f>MAX(0,MIN('Activities'!L39,636)-MAX('Activities'!K39,630))</x:f>
        <x:v>0</x:v>
      </x:c>
    </x:row>
    <x:row r="40" ht="23" customHeight="1">
      <x:c r="A40" s="6" t="str">
        <x:v>T1-L06-F</x:v>
      </x:c>
      <x:c r="B40" s="6" t="str">
        <x:v>T1</x:v>
      </x:c>
      <x:c r="C40" s="6" t="str">
        <x:v>Columns, core and deck formwork</x:v>
      </x:c>
      <x:c r="D40" s="6" t="str">
        <x:v>Formwork</x:v>
      </x:c>
      <x:c r="E40" s="22" t="n">
        <x:f>MAX(0,MIN('Activities'!L40,6)-MAX('Activities'!K40,0))</x:f>
        <x:v>0</x:v>
      </x:c>
      <x:c r="F40" s="22" t="n">
        <x:f>MAX(0,MIN('Activities'!L40,12)-MAX('Activities'!K40,6))</x:f>
        <x:v>0</x:v>
      </x:c>
      <x:c r="G40" s="22" t="n">
        <x:f>MAX(0,MIN('Activities'!L40,18)-MAX('Activities'!K40,12))</x:f>
        <x:v>0</x:v>
      </x:c>
      <x:c r="H40" s="22" t="n">
        <x:f>MAX(0,MIN('Activities'!L40,24)-MAX('Activities'!K40,18))</x:f>
        <x:v>0</x:v>
      </x:c>
      <x:c r="I40" s="22" t="n">
        <x:f>MAX(0,MIN('Activities'!L40,30)-MAX('Activities'!K40,24))</x:f>
        <x:v>0</x:v>
      </x:c>
      <x:c r="J40" s="22" t="n">
        <x:f>MAX(0,MIN('Activities'!L40,36)-MAX('Activities'!K40,30))</x:f>
        <x:v>0</x:v>
      </x:c>
      <x:c r="K40" s="22" t="n">
        <x:f>MAX(0,MIN('Activities'!L40,42)-MAX('Activities'!K40,36))</x:f>
        <x:v>0</x:v>
      </x:c>
      <x:c r="L40" s="22" t="n">
        <x:f>MAX(0,MIN('Activities'!L40,48)-MAX('Activities'!K40,42))</x:f>
        <x:v>0</x:v>
      </x:c>
      <x:c r="M40" s="22" t="n">
        <x:f>MAX(0,MIN('Activities'!L40,54)-MAX('Activities'!K40,48))</x:f>
        <x:v>0</x:v>
      </x:c>
      <x:c r="N40" s="22" t="n">
        <x:f>MAX(0,MIN('Activities'!L40,60)-MAX('Activities'!K40,54))</x:f>
        <x:v>0</x:v>
      </x:c>
      <x:c r="O40" s="22" t="n">
        <x:f>MAX(0,MIN('Activities'!L40,66)-MAX('Activities'!K40,60))</x:f>
        <x:v>0</x:v>
      </x:c>
      <x:c r="P40" s="22" t="n">
        <x:f>MAX(0,MIN('Activities'!L40,72)-MAX('Activities'!K40,66))</x:f>
        <x:v>0</x:v>
      </x:c>
      <x:c r="Q40" s="22" t="n">
        <x:f>MAX(0,MIN('Activities'!L40,78)-MAX('Activities'!K40,72))</x:f>
        <x:v>0</x:v>
      </x:c>
      <x:c r="R40" s="22" t="n">
        <x:f>MAX(0,MIN('Activities'!L40,84)-MAX('Activities'!K40,78))</x:f>
        <x:v>0</x:v>
      </x:c>
      <x:c r="S40" s="22" t="n">
        <x:f>MAX(0,MIN('Activities'!L40,90)-MAX('Activities'!K40,84))</x:f>
        <x:v>0</x:v>
      </x:c>
      <x:c r="T40" s="22" t="n">
        <x:f>MAX(0,MIN('Activities'!L40,96)-MAX('Activities'!K40,90))</x:f>
        <x:v>0</x:v>
      </x:c>
      <x:c r="U40" s="22" t="n">
        <x:f>MAX(0,MIN('Activities'!L40,102)-MAX('Activities'!K40,96))</x:f>
        <x:v>0</x:v>
      </x:c>
      <x:c r="V40" s="22" t="n">
        <x:f>MAX(0,MIN('Activities'!L40,108)-MAX('Activities'!K40,102))</x:f>
        <x:v>0</x:v>
      </x:c>
      <x:c r="W40" s="22" t="n">
        <x:f>MAX(0,MIN('Activities'!L40,114)-MAX('Activities'!K40,108))</x:f>
        <x:v>0</x:v>
      </x:c>
      <x:c r="X40" s="22" t="n">
        <x:f>MAX(0,MIN('Activities'!L40,120)-MAX('Activities'!K40,114))</x:f>
        <x:v>0</x:v>
      </x:c>
      <x:c r="Y40" s="22" t="n">
        <x:f>MAX(0,MIN('Activities'!L40,126)-MAX('Activities'!K40,120))</x:f>
        <x:v>0</x:v>
      </x:c>
      <x:c r="Z40" s="22" t="n">
        <x:f>MAX(0,MIN('Activities'!L40,132)-MAX('Activities'!K40,126))</x:f>
        <x:v>0</x:v>
      </x:c>
      <x:c r="AA40" s="22" t="n">
        <x:f>MAX(0,MIN('Activities'!L40,138)-MAX('Activities'!K40,132))</x:f>
        <x:v>0</x:v>
      </x:c>
      <x:c r="AB40" s="22" t="n">
        <x:f>MAX(0,MIN('Activities'!L40,144)-MAX('Activities'!K40,138))</x:f>
        <x:v>0</x:v>
      </x:c>
      <x:c r="AC40" s="22" t="n">
        <x:f>MAX(0,MIN('Activities'!L40,150)-MAX('Activities'!K40,144))</x:f>
        <x:v>0</x:v>
      </x:c>
      <x:c r="AD40" s="22" t="n">
        <x:f>MAX(0,MIN('Activities'!L40,156)-MAX('Activities'!K40,150))</x:f>
        <x:v>0</x:v>
      </x:c>
      <x:c r="AE40" s="22" t="n">
        <x:f>MAX(0,MIN('Activities'!L40,162)-MAX('Activities'!K40,156))</x:f>
        <x:v>0</x:v>
      </x:c>
      <x:c r="AF40" s="22" t="n">
        <x:f>MAX(0,MIN('Activities'!L40,168)-MAX('Activities'!K40,162))</x:f>
        <x:v>0</x:v>
      </x:c>
      <x:c r="AG40" s="22" t="n">
        <x:f>MAX(0,MIN('Activities'!L40,174)-MAX('Activities'!K40,168))</x:f>
        <x:v>0</x:v>
      </x:c>
      <x:c r="AH40" s="22" t="n">
        <x:f>MAX(0,MIN('Activities'!L40,180)-MAX('Activities'!K40,174))</x:f>
        <x:v>0</x:v>
      </x:c>
      <x:c r="AI40" s="22" t="n">
        <x:f>MAX(0,MIN('Activities'!L40,186)-MAX('Activities'!K40,180))</x:f>
        <x:v>0</x:v>
      </x:c>
      <x:c r="AJ40" s="22" t="n">
        <x:f>MAX(0,MIN('Activities'!L40,192)-MAX('Activities'!K40,186))</x:f>
        <x:v>0</x:v>
      </x:c>
      <x:c r="AK40" s="22" t="n">
        <x:f>MAX(0,MIN('Activities'!L40,198)-MAX('Activities'!K40,192))</x:f>
        <x:v>0</x:v>
      </x:c>
      <x:c r="AL40" s="22" t="n">
        <x:f>MAX(0,MIN('Activities'!L40,204)-MAX('Activities'!K40,198))</x:f>
        <x:v>0</x:v>
      </x:c>
      <x:c r="AM40" s="22" t="n">
        <x:f>MAX(0,MIN('Activities'!L40,210)-MAX('Activities'!K40,204))</x:f>
        <x:v>0</x:v>
      </x:c>
      <x:c r="AN40" s="22" t="n">
        <x:f>MAX(0,MIN('Activities'!L40,216)-MAX('Activities'!K40,210))</x:f>
        <x:v>0</x:v>
      </x:c>
      <x:c r="AO40" s="22" t="n">
        <x:f>MAX(0,MIN('Activities'!L40,222)-MAX('Activities'!K40,216))</x:f>
        <x:v>0</x:v>
      </x:c>
      <x:c r="AP40" s="22" t="n">
        <x:f>MAX(0,MIN('Activities'!L40,228)-MAX('Activities'!K40,222))</x:f>
        <x:v>0</x:v>
      </x:c>
      <x:c r="AQ40" s="22" t="n">
        <x:f>MAX(0,MIN('Activities'!L40,234)-MAX('Activities'!K40,228))</x:f>
        <x:v>0</x:v>
      </x:c>
      <x:c r="AR40" s="22" t="n">
        <x:f>MAX(0,MIN('Activities'!L40,240)-MAX('Activities'!K40,234))</x:f>
        <x:v>0</x:v>
      </x:c>
      <x:c r="AS40" s="22" t="n">
        <x:f>MAX(0,MIN('Activities'!L40,246)-MAX('Activities'!K40,240))</x:f>
        <x:v>4</x:v>
      </x:c>
      <x:c r="AT40" s="22" t="n">
        <x:f>MAX(0,MIN('Activities'!L40,252)-MAX('Activities'!K40,246))</x:f>
        <x:v>2</x:v>
      </x:c>
      <x:c r="AU40" s="22" t="n">
        <x:f>MAX(0,MIN('Activities'!L40,258)-MAX('Activities'!K40,252))</x:f>
        <x:v>0</x:v>
      </x:c>
      <x:c r="AV40" s="22" t="n">
        <x:f>MAX(0,MIN('Activities'!L40,264)-MAX('Activities'!K40,258))</x:f>
        <x:v>0</x:v>
      </x:c>
      <x:c r="AW40" s="22" t="n">
        <x:f>MAX(0,MIN('Activities'!L40,270)-MAX('Activities'!K40,264))</x:f>
        <x:v>0</x:v>
      </x:c>
      <x:c r="AX40" s="22" t="n">
        <x:f>MAX(0,MIN('Activities'!L40,276)-MAX('Activities'!K40,270))</x:f>
        <x:v>0</x:v>
      </x:c>
      <x:c r="AY40" s="22" t="n">
        <x:f>MAX(0,MIN('Activities'!L40,282)-MAX('Activities'!K40,276))</x:f>
        <x:v>0</x:v>
      </x:c>
      <x:c r="AZ40" s="22" t="n">
        <x:f>MAX(0,MIN('Activities'!L40,288)-MAX('Activities'!K40,282))</x:f>
        <x:v>0</x:v>
      </x:c>
      <x:c r="BA40" s="22" t="n">
        <x:f>MAX(0,MIN('Activities'!L40,294)-MAX('Activities'!K40,288))</x:f>
        <x:v>0</x:v>
      </x:c>
      <x:c r="BB40" s="22" t="n">
        <x:f>MAX(0,MIN('Activities'!L40,300)-MAX('Activities'!K40,294))</x:f>
        <x:v>0</x:v>
      </x:c>
      <x:c r="BC40" s="22" t="n">
        <x:f>MAX(0,MIN('Activities'!L40,306)-MAX('Activities'!K40,300))</x:f>
        <x:v>0</x:v>
      </x:c>
      <x:c r="BD40" s="22" t="n">
        <x:f>MAX(0,MIN('Activities'!L40,312)-MAX('Activities'!K40,306))</x:f>
        <x:v>0</x:v>
      </x:c>
      <x:c r="BE40" s="22" t="n">
        <x:f>MAX(0,MIN('Activities'!L40,318)-MAX('Activities'!K40,312))</x:f>
        <x:v>0</x:v>
      </x:c>
      <x:c r="BF40" s="22" t="n">
        <x:f>MAX(0,MIN('Activities'!L40,324)-MAX('Activities'!K40,318))</x:f>
        <x:v>0</x:v>
      </x:c>
      <x:c r="BG40" s="22" t="n">
        <x:f>MAX(0,MIN('Activities'!L40,330)-MAX('Activities'!K40,324))</x:f>
        <x:v>0</x:v>
      </x:c>
      <x:c r="BH40" s="22" t="n">
        <x:f>MAX(0,MIN('Activities'!L40,336)-MAX('Activities'!K40,330))</x:f>
        <x:v>0</x:v>
      </x:c>
      <x:c r="BI40" s="22" t="n">
        <x:f>MAX(0,MIN('Activities'!L40,342)-MAX('Activities'!K40,336))</x:f>
        <x:v>0</x:v>
      </x:c>
      <x:c r="BJ40" s="22" t="n">
        <x:f>MAX(0,MIN('Activities'!L40,348)-MAX('Activities'!K40,342))</x:f>
        <x:v>0</x:v>
      </x:c>
      <x:c r="BK40" s="22" t="n">
        <x:f>MAX(0,MIN('Activities'!L40,354)-MAX('Activities'!K40,348))</x:f>
        <x:v>0</x:v>
      </x:c>
      <x:c r="BL40" s="22" t="n">
        <x:f>MAX(0,MIN('Activities'!L40,360)-MAX('Activities'!K40,354))</x:f>
        <x:v>0</x:v>
      </x:c>
      <x:c r="BM40" s="22" t="n">
        <x:f>MAX(0,MIN('Activities'!L40,366)-MAX('Activities'!K40,360))</x:f>
        <x:v>0</x:v>
      </x:c>
      <x:c r="BN40" s="22" t="n">
        <x:f>MAX(0,MIN('Activities'!L40,372)-MAX('Activities'!K40,366))</x:f>
        <x:v>0</x:v>
      </x:c>
      <x:c r="BO40" s="22" t="n">
        <x:f>MAX(0,MIN('Activities'!L40,378)-MAX('Activities'!K40,372))</x:f>
        <x:v>0</x:v>
      </x:c>
      <x:c r="BP40" s="22" t="n">
        <x:f>MAX(0,MIN('Activities'!L40,384)-MAX('Activities'!K40,378))</x:f>
        <x:v>0</x:v>
      </x:c>
      <x:c r="BQ40" s="22" t="n">
        <x:f>MAX(0,MIN('Activities'!L40,390)-MAX('Activities'!K40,384))</x:f>
        <x:v>0</x:v>
      </x:c>
      <x:c r="BR40" s="22" t="n">
        <x:f>MAX(0,MIN('Activities'!L40,396)-MAX('Activities'!K40,390))</x:f>
        <x:v>0</x:v>
      </x:c>
      <x:c r="BS40" s="22" t="n">
        <x:f>MAX(0,MIN('Activities'!L40,402)-MAX('Activities'!K40,396))</x:f>
        <x:v>0</x:v>
      </x:c>
      <x:c r="BT40" s="22" t="n">
        <x:f>MAX(0,MIN('Activities'!L40,408)-MAX('Activities'!K40,402))</x:f>
        <x:v>0</x:v>
      </x:c>
      <x:c r="BU40" s="22" t="n">
        <x:f>MAX(0,MIN('Activities'!L40,414)-MAX('Activities'!K40,408))</x:f>
        <x:v>0</x:v>
      </x:c>
      <x:c r="BV40" s="22" t="n">
        <x:f>MAX(0,MIN('Activities'!L40,420)-MAX('Activities'!K40,414))</x:f>
        <x:v>0</x:v>
      </x:c>
      <x:c r="BW40" s="22" t="n">
        <x:f>MAX(0,MIN('Activities'!L40,426)-MAX('Activities'!K40,420))</x:f>
        <x:v>0</x:v>
      </x:c>
      <x:c r="BX40" s="22" t="n">
        <x:f>MAX(0,MIN('Activities'!L40,432)-MAX('Activities'!K40,426))</x:f>
        <x:v>0</x:v>
      </x:c>
      <x:c r="BY40" s="22" t="n">
        <x:f>MAX(0,MIN('Activities'!L40,438)-MAX('Activities'!K40,432))</x:f>
        <x:v>0</x:v>
      </x:c>
      <x:c r="BZ40" s="22" t="n">
        <x:f>MAX(0,MIN('Activities'!L40,444)-MAX('Activities'!K40,438))</x:f>
        <x:v>0</x:v>
      </x:c>
      <x:c r="CA40" s="22" t="n">
        <x:f>MAX(0,MIN('Activities'!L40,450)-MAX('Activities'!K40,444))</x:f>
        <x:v>0</x:v>
      </x:c>
      <x:c r="CB40" s="22" t="n">
        <x:f>MAX(0,MIN('Activities'!L40,456)-MAX('Activities'!K40,450))</x:f>
        <x:v>0</x:v>
      </x:c>
      <x:c r="CC40" s="22" t="n">
        <x:f>MAX(0,MIN('Activities'!L40,462)-MAX('Activities'!K40,456))</x:f>
        <x:v>0</x:v>
      </x:c>
      <x:c r="CD40" s="22" t="n">
        <x:f>MAX(0,MIN('Activities'!L40,468)-MAX('Activities'!K40,462))</x:f>
        <x:v>0</x:v>
      </x:c>
      <x:c r="CE40" s="22" t="n">
        <x:f>MAX(0,MIN('Activities'!L40,474)-MAX('Activities'!K40,468))</x:f>
        <x:v>0</x:v>
      </x:c>
      <x:c r="CF40" s="22" t="n">
        <x:f>MAX(0,MIN('Activities'!L40,480)-MAX('Activities'!K40,474))</x:f>
        <x:v>0</x:v>
      </x:c>
      <x:c r="CG40" s="22" t="n">
        <x:f>MAX(0,MIN('Activities'!L40,486)-MAX('Activities'!K40,480))</x:f>
        <x:v>0</x:v>
      </x:c>
      <x:c r="CH40" s="22" t="n">
        <x:f>MAX(0,MIN('Activities'!L40,492)-MAX('Activities'!K40,486))</x:f>
        <x:v>0</x:v>
      </x:c>
      <x:c r="CI40" s="22" t="n">
        <x:f>MAX(0,MIN('Activities'!L40,498)-MAX('Activities'!K40,492))</x:f>
        <x:v>0</x:v>
      </x:c>
      <x:c r="CJ40" s="22" t="n">
        <x:f>MAX(0,MIN('Activities'!L40,504)-MAX('Activities'!K40,498))</x:f>
        <x:v>0</x:v>
      </x:c>
      <x:c r="CK40" s="22" t="n">
        <x:f>MAX(0,MIN('Activities'!L40,510)-MAX('Activities'!K40,504))</x:f>
        <x:v>0</x:v>
      </x:c>
      <x:c r="CL40" s="22" t="n">
        <x:f>MAX(0,MIN('Activities'!L40,516)-MAX('Activities'!K40,510))</x:f>
        <x:v>0</x:v>
      </x:c>
      <x:c r="CM40" s="22" t="n">
        <x:f>MAX(0,MIN('Activities'!L40,522)-MAX('Activities'!K40,516))</x:f>
        <x:v>0</x:v>
      </x:c>
      <x:c r="CN40" s="22" t="n">
        <x:f>MAX(0,MIN('Activities'!L40,528)-MAX('Activities'!K40,522))</x:f>
        <x:v>0</x:v>
      </x:c>
      <x:c r="CO40" s="22" t="n">
        <x:f>MAX(0,MIN('Activities'!L40,534)-MAX('Activities'!K40,528))</x:f>
        <x:v>0</x:v>
      </x:c>
      <x:c r="CP40" s="22" t="n">
        <x:f>MAX(0,MIN('Activities'!L40,540)-MAX('Activities'!K40,534))</x:f>
        <x:v>0</x:v>
      </x:c>
      <x:c r="CQ40" s="22" t="n">
        <x:f>MAX(0,MIN('Activities'!L40,546)-MAX('Activities'!K40,540))</x:f>
        <x:v>0</x:v>
      </x:c>
      <x:c r="CR40" s="22" t="n">
        <x:f>MAX(0,MIN('Activities'!L40,552)-MAX('Activities'!K40,546))</x:f>
        <x:v>0</x:v>
      </x:c>
      <x:c r="CS40" s="22" t="n">
        <x:f>MAX(0,MIN('Activities'!L40,558)-MAX('Activities'!K40,552))</x:f>
        <x:v>0</x:v>
      </x:c>
      <x:c r="CT40" s="22" t="n">
        <x:f>MAX(0,MIN('Activities'!L40,564)-MAX('Activities'!K40,558))</x:f>
        <x:v>0</x:v>
      </x:c>
      <x:c r="CU40" s="22" t="n">
        <x:f>MAX(0,MIN('Activities'!L40,570)-MAX('Activities'!K40,564))</x:f>
        <x:v>0</x:v>
      </x:c>
      <x:c r="CV40" s="22" t="n">
        <x:f>MAX(0,MIN('Activities'!L40,576)-MAX('Activities'!K40,570))</x:f>
        <x:v>0</x:v>
      </x:c>
      <x:c r="CW40" s="22" t="n">
        <x:f>MAX(0,MIN('Activities'!L40,582)-MAX('Activities'!K40,576))</x:f>
        <x:v>0</x:v>
      </x:c>
      <x:c r="CX40" s="22" t="n">
        <x:f>MAX(0,MIN('Activities'!L40,588)-MAX('Activities'!K40,582))</x:f>
        <x:v>0</x:v>
      </x:c>
      <x:c r="CY40" s="22" t="n">
        <x:f>MAX(0,MIN('Activities'!L40,594)-MAX('Activities'!K40,588))</x:f>
        <x:v>0</x:v>
      </x:c>
      <x:c r="CZ40" s="22" t="n">
        <x:f>MAX(0,MIN('Activities'!L40,600)-MAX('Activities'!K40,594))</x:f>
        <x:v>0</x:v>
      </x:c>
      <x:c r="DA40" s="22" t="n">
        <x:f>MAX(0,MIN('Activities'!L40,606)-MAX('Activities'!K40,600))</x:f>
        <x:v>0</x:v>
      </x:c>
      <x:c r="DB40" s="22" t="n">
        <x:f>MAX(0,MIN('Activities'!L40,612)-MAX('Activities'!K40,606))</x:f>
        <x:v>0</x:v>
      </x:c>
      <x:c r="DC40" s="22" t="n">
        <x:f>MAX(0,MIN('Activities'!L40,618)-MAX('Activities'!K40,612))</x:f>
        <x:v>0</x:v>
      </x:c>
      <x:c r="DD40" s="22" t="n">
        <x:f>MAX(0,MIN('Activities'!L40,624)-MAX('Activities'!K40,618))</x:f>
        <x:v>0</x:v>
      </x:c>
      <x:c r="DE40" s="22" t="n">
        <x:f>MAX(0,MIN('Activities'!L40,630)-MAX('Activities'!K40,624))</x:f>
        <x:v>0</x:v>
      </x:c>
      <x:c r="DF40" s="22" t="n">
        <x:f>MAX(0,MIN('Activities'!L40,636)-MAX('Activities'!K40,630))</x:f>
        <x:v>0</x:v>
      </x:c>
    </x:row>
    <x:row r="41" ht="23" customHeight="1">
      <x:c r="A41" s="1" t="str">
        <x:v>T1-L06-R</x:v>
      </x:c>
      <x:c r="B41" s="1" t="str">
        <x:v>T1</x:v>
      </x:c>
      <x:c r="C41" s="1" t="str">
        <x:v>Column, wall, beam and slab reinforcement</x:v>
      </x:c>
      <x:c r="D41" s="1" t="str">
        <x:v>Rebar</x:v>
      </x:c>
      <x:c r="E41" s="23" t="n">
        <x:f>MAX(0,MIN('Activities'!L41,6)-MAX('Activities'!K41,0))</x:f>
        <x:v>0</x:v>
      </x:c>
      <x:c r="F41" s="23" t="n">
        <x:f>MAX(0,MIN('Activities'!L41,12)-MAX('Activities'!K41,6))</x:f>
        <x:v>0</x:v>
      </x:c>
      <x:c r="G41" s="23" t="n">
        <x:f>MAX(0,MIN('Activities'!L41,18)-MAX('Activities'!K41,12))</x:f>
        <x:v>0</x:v>
      </x:c>
      <x:c r="H41" s="23" t="n">
        <x:f>MAX(0,MIN('Activities'!L41,24)-MAX('Activities'!K41,18))</x:f>
        <x:v>0</x:v>
      </x:c>
      <x:c r="I41" s="23" t="n">
        <x:f>MAX(0,MIN('Activities'!L41,30)-MAX('Activities'!K41,24))</x:f>
        <x:v>0</x:v>
      </x:c>
      <x:c r="J41" s="23" t="n">
        <x:f>MAX(0,MIN('Activities'!L41,36)-MAX('Activities'!K41,30))</x:f>
        <x:v>0</x:v>
      </x:c>
      <x:c r="K41" s="23" t="n">
        <x:f>MAX(0,MIN('Activities'!L41,42)-MAX('Activities'!K41,36))</x:f>
        <x:v>0</x:v>
      </x:c>
      <x:c r="L41" s="23" t="n">
        <x:f>MAX(0,MIN('Activities'!L41,48)-MAX('Activities'!K41,42))</x:f>
        <x:v>0</x:v>
      </x:c>
      <x:c r="M41" s="23" t="n">
        <x:f>MAX(0,MIN('Activities'!L41,54)-MAX('Activities'!K41,48))</x:f>
        <x:v>0</x:v>
      </x:c>
      <x:c r="N41" s="23" t="n">
        <x:f>MAX(0,MIN('Activities'!L41,60)-MAX('Activities'!K41,54))</x:f>
        <x:v>0</x:v>
      </x:c>
      <x:c r="O41" s="23" t="n">
        <x:f>MAX(0,MIN('Activities'!L41,66)-MAX('Activities'!K41,60))</x:f>
        <x:v>0</x:v>
      </x:c>
      <x:c r="P41" s="23" t="n">
        <x:f>MAX(0,MIN('Activities'!L41,72)-MAX('Activities'!K41,66))</x:f>
        <x:v>0</x:v>
      </x:c>
      <x:c r="Q41" s="23" t="n">
        <x:f>MAX(0,MIN('Activities'!L41,78)-MAX('Activities'!K41,72))</x:f>
        <x:v>0</x:v>
      </x:c>
      <x:c r="R41" s="23" t="n">
        <x:f>MAX(0,MIN('Activities'!L41,84)-MAX('Activities'!K41,78))</x:f>
        <x:v>0</x:v>
      </x:c>
      <x:c r="S41" s="23" t="n">
        <x:f>MAX(0,MIN('Activities'!L41,90)-MAX('Activities'!K41,84))</x:f>
        <x:v>0</x:v>
      </x:c>
      <x:c r="T41" s="23" t="n">
        <x:f>MAX(0,MIN('Activities'!L41,96)-MAX('Activities'!K41,90))</x:f>
        <x:v>0</x:v>
      </x:c>
      <x:c r="U41" s="23" t="n">
        <x:f>MAX(0,MIN('Activities'!L41,102)-MAX('Activities'!K41,96))</x:f>
        <x:v>0</x:v>
      </x:c>
      <x:c r="V41" s="23" t="n">
        <x:f>MAX(0,MIN('Activities'!L41,108)-MAX('Activities'!K41,102))</x:f>
        <x:v>0</x:v>
      </x:c>
      <x:c r="W41" s="23" t="n">
        <x:f>MAX(0,MIN('Activities'!L41,114)-MAX('Activities'!K41,108))</x:f>
        <x:v>0</x:v>
      </x:c>
      <x:c r="X41" s="23" t="n">
        <x:f>MAX(0,MIN('Activities'!L41,120)-MAX('Activities'!K41,114))</x:f>
        <x:v>0</x:v>
      </x:c>
      <x:c r="Y41" s="23" t="n">
        <x:f>MAX(0,MIN('Activities'!L41,126)-MAX('Activities'!K41,120))</x:f>
        <x:v>0</x:v>
      </x:c>
      <x:c r="Z41" s="23" t="n">
        <x:f>MAX(0,MIN('Activities'!L41,132)-MAX('Activities'!K41,126))</x:f>
        <x:v>0</x:v>
      </x:c>
      <x:c r="AA41" s="23" t="n">
        <x:f>MAX(0,MIN('Activities'!L41,138)-MAX('Activities'!K41,132))</x:f>
        <x:v>0</x:v>
      </x:c>
      <x:c r="AB41" s="23" t="n">
        <x:f>MAX(0,MIN('Activities'!L41,144)-MAX('Activities'!K41,138))</x:f>
        <x:v>0</x:v>
      </x:c>
      <x:c r="AC41" s="23" t="n">
        <x:f>MAX(0,MIN('Activities'!L41,150)-MAX('Activities'!K41,144))</x:f>
        <x:v>0</x:v>
      </x:c>
      <x:c r="AD41" s="23" t="n">
        <x:f>MAX(0,MIN('Activities'!L41,156)-MAX('Activities'!K41,150))</x:f>
        <x:v>0</x:v>
      </x:c>
      <x:c r="AE41" s="23" t="n">
        <x:f>MAX(0,MIN('Activities'!L41,162)-MAX('Activities'!K41,156))</x:f>
        <x:v>0</x:v>
      </x:c>
      <x:c r="AF41" s="23" t="n">
        <x:f>MAX(0,MIN('Activities'!L41,168)-MAX('Activities'!K41,162))</x:f>
        <x:v>0</x:v>
      </x:c>
      <x:c r="AG41" s="23" t="n">
        <x:f>MAX(0,MIN('Activities'!L41,174)-MAX('Activities'!K41,168))</x:f>
        <x:v>0</x:v>
      </x:c>
      <x:c r="AH41" s="23" t="n">
        <x:f>MAX(0,MIN('Activities'!L41,180)-MAX('Activities'!K41,174))</x:f>
        <x:v>0</x:v>
      </x:c>
      <x:c r="AI41" s="23" t="n">
        <x:f>MAX(0,MIN('Activities'!L41,186)-MAX('Activities'!K41,180))</x:f>
        <x:v>0</x:v>
      </x:c>
      <x:c r="AJ41" s="23" t="n">
        <x:f>MAX(0,MIN('Activities'!L41,192)-MAX('Activities'!K41,186))</x:f>
        <x:v>0</x:v>
      </x:c>
      <x:c r="AK41" s="23" t="n">
        <x:f>MAX(0,MIN('Activities'!L41,198)-MAX('Activities'!K41,192))</x:f>
        <x:v>0</x:v>
      </x:c>
      <x:c r="AL41" s="23" t="n">
        <x:f>MAX(0,MIN('Activities'!L41,204)-MAX('Activities'!K41,198))</x:f>
        <x:v>0</x:v>
      </x:c>
      <x:c r="AM41" s="23" t="n">
        <x:f>MAX(0,MIN('Activities'!L41,210)-MAX('Activities'!K41,204))</x:f>
        <x:v>0</x:v>
      </x:c>
      <x:c r="AN41" s="23" t="n">
        <x:f>MAX(0,MIN('Activities'!L41,216)-MAX('Activities'!K41,210))</x:f>
        <x:v>0</x:v>
      </x:c>
      <x:c r="AO41" s="23" t="n">
        <x:f>MAX(0,MIN('Activities'!L41,222)-MAX('Activities'!K41,216))</x:f>
        <x:v>0</x:v>
      </x:c>
      <x:c r="AP41" s="23" t="n">
        <x:f>MAX(0,MIN('Activities'!L41,228)-MAX('Activities'!K41,222))</x:f>
        <x:v>0</x:v>
      </x:c>
      <x:c r="AQ41" s="23" t="n">
        <x:f>MAX(0,MIN('Activities'!L41,234)-MAX('Activities'!K41,228))</x:f>
        <x:v>0</x:v>
      </x:c>
      <x:c r="AR41" s="23" t="n">
        <x:f>MAX(0,MIN('Activities'!L41,240)-MAX('Activities'!K41,234))</x:f>
        <x:v>0</x:v>
      </x:c>
      <x:c r="AS41" s="23" t="n">
        <x:f>MAX(0,MIN('Activities'!L41,246)-MAX('Activities'!K41,240))</x:f>
        <x:v>0</x:v>
      </x:c>
      <x:c r="AT41" s="23" t="n">
        <x:f>MAX(0,MIN('Activities'!L41,252)-MAX('Activities'!K41,246))</x:f>
        <x:v>4</x:v>
      </x:c>
      <x:c r="AU41" s="23" t="n">
        <x:f>MAX(0,MIN('Activities'!L41,258)-MAX('Activities'!K41,252))</x:f>
        <x:v>1</x:v>
      </x:c>
      <x:c r="AV41" s="23" t="n">
        <x:f>MAX(0,MIN('Activities'!L41,264)-MAX('Activities'!K41,258))</x:f>
        <x:v>0</x:v>
      </x:c>
      <x:c r="AW41" s="23" t="n">
        <x:f>MAX(0,MIN('Activities'!L41,270)-MAX('Activities'!K41,264))</x:f>
        <x:v>0</x:v>
      </x:c>
      <x:c r="AX41" s="23" t="n">
        <x:f>MAX(0,MIN('Activities'!L41,276)-MAX('Activities'!K41,270))</x:f>
        <x:v>0</x:v>
      </x:c>
      <x:c r="AY41" s="23" t="n">
        <x:f>MAX(0,MIN('Activities'!L41,282)-MAX('Activities'!K41,276))</x:f>
        <x:v>0</x:v>
      </x:c>
      <x:c r="AZ41" s="23" t="n">
        <x:f>MAX(0,MIN('Activities'!L41,288)-MAX('Activities'!K41,282))</x:f>
        <x:v>0</x:v>
      </x:c>
      <x:c r="BA41" s="23" t="n">
        <x:f>MAX(0,MIN('Activities'!L41,294)-MAX('Activities'!K41,288))</x:f>
        <x:v>0</x:v>
      </x:c>
      <x:c r="BB41" s="23" t="n">
        <x:f>MAX(0,MIN('Activities'!L41,300)-MAX('Activities'!K41,294))</x:f>
        <x:v>0</x:v>
      </x:c>
      <x:c r="BC41" s="23" t="n">
        <x:f>MAX(0,MIN('Activities'!L41,306)-MAX('Activities'!K41,300))</x:f>
        <x:v>0</x:v>
      </x:c>
      <x:c r="BD41" s="23" t="n">
        <x:f>MAX(0,MIN('Activities'!L41,312)-MAX('Activities'!K41,306))</x:f>
        <x:v>0</x:v>
      </x:c>
      <x:c r="BE41" s="23" t="n">
        <x:f>MAX(0,MIN('Activities'!L41,318)-MAX('Activities'!K41,312))</x:f>
        <x:v>0</x:v>
      </x:c>
      <x:c r="BF41" s="23" t="n">
        <x:f>MAX(0,MIN('Activities'!L41,324)-MAX('Activities'!K41,318))</x:f>
        <x:v>0</x:v>
      </x:c>
      <x:c r="BG41" s="23" t="n">
        <x:f>MAX(0,MIN('Activities'!L41,330)-MAX('Activities'!K41,324))</x:f>
        <x:v>0</x:v>
      </x:c>
      <x:c r="BH41" s="23" t="n">
        <x:f>MAX(0,MIN('Activities'!L41,336)-MAX('Activities'!K41,330))</x:f>
        <x:v>0</x:v>
      </x:c>
      <x:c r="BI41" s="23" t="n">
        <x:f>MAX(0,MIN('Activities'!L41,342)-MAX('Activities'!K41,336))</x:f>
        <x:v>0</x:v>
      </x:c>
      <x:c r="BJ41" s="23" t="n">
        <x:f>MAX(0,MIN('Activities'!L41,348)-MAX('Activities'!K41,342))</x:f>
        <x:v>0</x:v>
      </x:c>
      <x:c r="BK41" s="23" t="n">
        <x:f>MAX(0,MIN('Activities'!L41,354)-MAX('Activities'!K41,348))</x:f>
        <x:v>0</x:v>
      </x:c>
      <x:c r="BL41" s="23" t="n">
        <x:f>MAX(0,MIN('Activities'!L41,360)-MAX('Activities'!K41,354))</x:f>
        <x:v>0</x:v>
      </x:c>
      <x:c r="BM41" s="23" t="n">
        <x:f>MAX(0,MIN('Activities'!L41,366)-MAX('Activities'!K41,360))</x:f>
        <x:v>0</x:v>
      </x:c>
      <x:c r="BN41" s="23" t="n">
        <x:f>MAX(0,MIN('Activities'!L41,372)-MAX('Activities'!K41,366))</x:f>
        <x:v>0</x:v>
      </x:c>
      <x:c r="BO41" s="23" t="n">
        <x:f>MAX(0,MIN('Activities'!L41,378)-MAX('Activities'!K41,372))</x:f>
        <x:v>0</x:v>
      </x:c>
      <x:c r="BP41" s="23" t="n">
        <x:f>MAX(0,MIN('Activities'!L41,384)-MAX('Activities'!K41,378))</x:f>
        <x:v>0</x:v>
      </x:c>
      <x:c r="BQ41" s="23" t="n">
        <x:f>MAX(0,MIN('Activities'!L41,390)-MAX('Activities'!K41,384))</x:f>
        <x:v>0</x:v>
      </x:c>
      <x:c r="BR41" s="23" t="n">
        <x:f>MAX(0,MIN('Activities'!L41,396)-MAX('Activities'!K41,390))</x:f>
        <x:v>0</x:v>
      </x:c>
      <x:c r="BS41" s="23" t="n">
        <x:f>MAX(0,MIN('Activities'!L41,402)-MAX('Activities'!K41,396))</x:f>
        <x:v>0</x:v>
      </x:c>
      <x:c r="BT41" s="23" t="n">
        <x:f>MAX(0,MIN('Activities'!L41,408)-MAX('Activities'!K41,402))</x:f>
        <x:v>0</x:v>
      </x:c>
      <x:c r="BU41" s="23" t="n">
        <x:f>MAX(0,MIN('Activities'!L41,414)-MAX('Activities'!K41,408))</x:f>
        <x:v>0</x:v>
      </x:c>
      <x:c r="BV41" s="23" t="n">
        <x:f>MAX(0,MIN('Activities'!L41,420)-MAX('Activities'!K41,414))</x:f>
        <x:v>0</x:v>
      </x:c>
      <x:c r="BW41" s="23" t="n">
        <x:f>MAX(0,MIN('Activities'!L41,426)-MAX('Activities'!K41,420))</x:f>
        <x:v>0</x:v>
      </x:c>
      <x:c r="BX41" s="23" t="n">
        <x:f>MAX(0,MIN('Activities'!L41,432)-MAX('Activities'!K41,426))</x:f>
        <x:v>0</x:v>
      </x:c>
      <x:c r="BY41" s="23" t="n">
        <x:f>MAX(0,MIN('Activities'!L41,438)-MAX('Activities'!K41,432))</x:f>
        <x:v>0</x:v>
      </x:c>
      <x:c r="BZ41" s="23" t="n">
        <x:f>MAX(0,MIN('Activities'!L41,444)-MAX('Activities'!K41,438))</x:f>
        <x:v>0</x:v>
      </x:c>
      <x:c r="CA41" s="23" t="n">
        <x:f>MAX(0,MIN('Activities'!L41,450)-MAX('Activities'!K41,444))</x:f>
        <x:v>0</x:v>
      </x:c>
      <x:c r="CB41" s="23" t="n">
        <x:f>MAX(0,MIN('Activities'!L41,456)-MAX('Activities'!K41,450))</x:f>
        <x:v>0</x:v>
      </x:c>
      <x:c r="CC41" s="23" t="n">
        <x:f>MAX(0,MIN('Activities'!L41,462)-MAX('Activities'!K41,456))</x:f>
        <x:v>0</x:v>
      </x:c>
      <x:c r="CD41" s="23" t="n">
        <x:f>MAX(0,MIN('Activities'!L41,468)-MAX('Activities'!K41,462))</x:f>
        <x:v>0</x:v>
      </x:c>
      <x:c r="CE41" s="23" t="n">
        <x:f>MAX(0,MIN('Activities'!L41,474)-MAX('Activities'!K41,468))</x:f>
        <x:v>0</x:v>
      </x:c>
      <x:c r="CF41" s="23" t="n">
        <x:f>MAX(0,MIN('Activities'!L41,480)-MAX('Activities'!K41,474))</x:f>
        <x:v>0</x:v>
      </x:c>
      <x:c r="CG41" s="23" t="n">
        <x:f>MAX(0,MIN('Activities'!L41,486)-MAX('Activities'!K41,480))</x:f>
        <x:v>0</x:v>
      </x:c>
      <x:c r="CH41" s="23" t="n">
        <x:f>MAX(0,MIN('Activities'!L41,492)-MAX('Activities'!K41,486))</x:f>
        <x:v>0</x:v>
      </x:c>
      <x:c r="CI41" s="23" t="n">
        <x:f>MAX(0,MIN('Activities'!L41,498)-MAX('Activities'!K41,492))</x:f>
        <x:v>0</x:v>
      </x:c>
      <x:c r="CJ41" s="23" t="n">
        <x:f>MAX(0,MIN('Activities'!L41,504)-MAX('Activities'!K41,498))</x:f>
        <x:v>0</x:v>
      </x:c>
      <x:c r="CK41" s="23" t="n">
        <x:f>MAX(0,MIN('Activities'!L41,510)-MAX('Activities'!K41,504))</x:f>
        <x:v>0</x:v>
      </x:c>
      <x:c r="CL41" s="23" t="n">
        <x:f>MAX(0,MIN('Activities'!L41,516)-MAX('Activities'!K41,510))</x:f>
        <x:v>0</x:v>
      </x:c>
      <x:c r="CM41" s="23" t="n">
        <x:f>MAX(0,MIN('Activities'!L41,522)-MAX('Activities'!K41,516))</x:f>
        <x:v>0</x:v>
      </x:c>
      <x:c r="CN41" s="23" t="n">
        <x:f>MAX(0,MIN('Activities'!L41,528)-MAX('Activities'!K41,522))</x:f>
        <x:v>0</x:v>
      </x:c>
      <x:c r="CO41" s="23" t="n">
        <x:f>MAX(0,MIN('Activities'!L41,534)-MAX('Activities'!K41,528))</x:f>
        <x:v>0</x:v>
      </x:c>
      <x:c r="CP41" s="23" t="n">
        <x:f>MAX(0,MIN('Activities'!L41,540)-MAX('Activities'!K41,534))</x:f>
        <x:v>0</x:v>
      </x:c>
      <x:c r="CQ41" s="23" t="n">
        <x:f>MAX(0,MIN('Activities'!L41,546)-MAX('Activities'!K41,540))</x:f>
        <x:v>0</x:v>
      </x:c>
      <x:c r="CR41" s="23" t="n">
        <x:f>MAX(0,MIN('Activities'!L41,552)-MAX('Activities'!K41,546))</x:f>
        <x:v>0</x:v>
      </x:c>
      <x:c r="CS41" s="23" t="n">
        <x:f>MAX(0,MIN('Activities'!L41,558)-MAX('Activities'!K41,552))</x:f>
        <x:v>0</x:v>
      </x:c>
      <x:c r="CT41" s="23" t="n">
        <x:f>MAX(0,MIN('Activities'!L41,564)-MAX('Activities'!K41,558))</x:f>
        <x:v>0</x:v>
      </x:c>
      <x:c r="CU41" s="23" t="n">
        <x:f>MAX(0,MIN('Activities'!L41,570)-MAX('Activities'!K41,564))</x:f>
        <x:v>0</x:v>
      </x:c>
      <x:c r="CV41" s="23" t="n">
        <x:f>MAX(0,MIN('Activities'!L41,576)-MAX('Activities'!K41,570))</x:f>
        <x:v>0</x:v>
      </x:c>
      <x:c r="CW41" s="23" t="n">
        <x:f>MAX(0,MIN('Activities'!L41,582)-MAX('Activities'!K41,576))</x:f>
        <x:v>0</x:v>
      </x:c>
      <x:c r="CX41" s="23" t="n">
        <x:f>MAX(0,MIN('Activities'!L41,588)-MAX('Activities'!K41,582))</x:f>
        <x:v>0</x:v>
      </x:c>
      <x:c r="CY41" s="23" t="n">
        <x:f>MAX(0,MIN('Activities'!L41,594)-MAX('Activities'!K41,588))</x:f>
        <x:v>0</x:v>
      </x:c>
      <x:c r="CZ41" s="23" t="n">
        <x:f>MAX(0,MIN('Activities'!L41,600)-MAX('Activities'!K41,594))</x:f>
        <x:v>0</x:v>
      </x:c>
      <x:c r="DA41" s="23" t="n">
        <x:f>MAX(0,MIN('Activities'!L41,606)-MAX('Activities'!K41,600))</x:f>
        <x:v>0</x:v>
      </x:c>
      <x:c r="DB41" s="23" t="n">
        <x:f>MAX(0,MIN('Activities'!L41,612)-MAX('Activities'!K41,606))</x:f>
        <x:v>0</x:v>
      </x:c>
      <x:c r="DC41" s="23" t="n">
        <x:f>MAX(0,MIN('Activities'!L41,618)-MAX('Activities'!K41,612))</x:f>
        <x:v>0</x:v>
      </x:c>
      <x:c r="DD41" s="23" t="n">
        <x:f>MAX(0,MIN('Activities'!L41,624)-MAX('Activities'!K41,618))</x:f>
        <x:v>0</x:v>
      </x:c>
      <x:c r="DE41" s="23" t="n">
        <x:f>MAX(0,MIN('Activities'!L41,630)-MAX('Activities'!K41,624))</x:f>
        <x:v>0</x:v>
      </x:c>
      <x:c r="DF41" s="23" t="n">
        <x:f>MAX(0,MIN('Activities'!L41,636)-MAX('Activities'!K41,630))</x:f>
        <x:v>0</x:v>
      </x:c>
    </x:row>
    <x:row r="42" ht="23" customHeight="1">
      <x:c r="A42" s="6" t="str">
        <x:v>T1-L06-C</x:v>
      </x:c>
      <x:c r="B42" s="6" t="str">
        <x:v>T1</x:v>
      </x:c>
      <x:c r="C42" s="6" t="str">
        <x:v>Concrete placement and finishing</x:v>
      </x:c>
      <x:c r="D42" s="6" t="str">
        <x:v>Concrete</x:v>
      </x:c>
      <x:c r="E42" s="22" t="n">
        <x:f>MAX(0,MIN('Activities'!L42,6)-MAX('Activities'!K42,0))</x:f>
        <x:v>0</x:v>
      </x:c>
      <x:c r="F42" s="22" t="n">
        <x:f>MAX(0,MIN('Activities'!L42,12)-MAX('Activities'!K42,6))</x:f>
        <x:v>0</x:v>
      </x:c>
      <x:c r="G42" s="22" t="n">
        <x:f>MAX(0,MIN('Activities'!L42,18)-MAX('Activities'!K42,12))</x:f>
        <x:v>0</x:v>
      </x:c>
      <x:c r="H42" s="22" t="n">
        <x:f>MAX(0,MIN('Activities'!L42,24)-MAX('Activities'!K42,18))</x:f>
        <x:v>0</x:v>
      </x:c>
      <x:c r="I42" s="22" t="n">
        <x:f>MAX(0,MIN('Activities'!L42,30)-MAX('Activities'!K42,24))</x:f>
        <x:v>0</x:v>
      </x:c>
      <x:c r="J42" s="22" t="n">
        <x:f>MAX(0,MIN('Activities'!L42,36)-MAX('Activities'!K42,30))</x:f>
        <x:v>0</x:v>
      </x:c>
      <x:c r="K42" s="22" t="n">
        <x:f>MAX(0,MIN('Activities'!L42,42)-MAX('Activities'!K42,36))</x:f>
        <x:v>0</x:v>
      </x:c>
      <x:c r="L42" s="22" t="n">
        <x:f>MAX(0,MIN('Activities'!L42,48)-MAX('Activities'!K42,42))</x:f>
        <x:v>0</x:v>
      </x:c>
      <x:c r="M42" s="22" t="n">
        <x:f>MAX(0,MIN('Activities'!L42,54)-MAX('Activities'!K42,48))</x:f>
        <x:v>0</x:v>
      </x:c>
      <x:c r="N42" s="22" t="n">
        <x:f>MAX(0,MIN('Activities'!L42,60)-MAX('Activities'!K42,54))</x:f>
        <x:v>0</x:v>
      </x:c>
      <x:c r="O42" s="22" t="n">
        <x:f>MAX(0,MIN('Activities'!L42,66)-MAX('Activities'!K42,60))</x:f>
        <x:v>0</x:v>
      </x:c>
      <x:c r="P42" s="22" t="n">
        <x:f>MAX(0,MIN('Activities'!L42,72)-MAX('Activities'!K42,66))</x:f>
        <x:v>0</x:v>
      </x:c>
      <x:c r="Q42" s="22" t="n">
        <x:f>MAX(0,MIN('Activities'!L42,78)-MAX('Activities'!K42,72))</x:f>
        <x:v>0</x:v>
      </x:c>
      <x:c r="R42" s="22" t="n">
        <x:f>MAX(0,MIN('Activities'!L42,84)-MAX('Activities'!K42,78))</x:f>
        <x:v>0</x:v>
      </x:c>
      <x:c r="S42" s="22" t="n">
        <x:f>MAX(0,MIN('Activities'!L42,90)-MAX('Activities'!K42,84))</x:f>
        <x:v>0</x:v>
      </x:c>
      <x:c r="T42" s="22" t="n">
        <x:f>MAX(0,MIN('Activities'!L42,96)-MAX('Activities'!K42,90))</x:f>
        <x:v>0</x:v>
      </x:c>
      <x:c r="U42" s="22" t="n">
        <x:f>MAX(0,MIN('Activities'!L42,102)-MAX('Activities'!K42,96))</x:f>
        <x:v>0</x:v>
      </x:c>
      <x:c r="V42" s="22" t="n">
        <x:f>MAX(0,MIN('Activities'!L42,108)-MAX('Activities'!K42,102))</x:f>
        <x:v>0</x:v>
      </x:c>
      <x:c r="W42" s="22" t="n">
        <x:f>MAX(0,MIN('Activities'!L42,114)-MAX('Activities'!K42,108))</x:f>
        <x:v>0</x:v>
      </x:c>
      <x:c r="X42" s="22" t="n">
        <x:f>MAX(0,MIN('Activities'!L42,120)-MAX('Activities'!K42,114))</x:f>
        <x:v>0</x:v>
      </x:c>
      <x:c r="Y42" s="22" t="n">
        <x:f>MAX(0,MIN('Activities'!L42,126)-MAX('Activities'!K42,120))</x:f>
        <x:v>0</x:v>
      </x:c>
      <x:c r="Z42" s="22" t="n">
        <x:f>MAX(0,MIN('Activities'!L42,132)-MAX('Activities'!K42,126))</x:f>
        <x:v>0</x:v>
      </x:c>
      <x:c r="AA42" s="22" t="n">
        <x:f>MAX(0,MIN('Activities'!L42,138)-MAX('Activities'!K42,132))</x:f>
        <x:v>0</x:v>
      </x:c>
      <x:c r="AB42" s="22" t="n">
        <x:f>MAX(0,MIN('Activities'!L42,144)-MAX('Activities'!K42,138))</x:f>
        <x:v>0</x:v>
      </x:c>
      <x:c r="AC42" s="22" t="n">
        <x:f>MAX(0,MIN('Activities'!L42,150)-MAX('Activities'!K42,144))</x:f>
        <x:v>0</x:v>
      </x:c>
      <x:c r="AD42" s="22" t="n">
        <x:f>MAX(0,MIN('Activities'!L42,156)-MAX('Activities'!K42,150))</x:f>
        <x:v>0</x:v>
      </x:c>
      <x:c r="AE42" s="22" t="n">
        <x:f>MAX(0,MIN('Activities'!L42,162)-MAX('Activities'!K42,156))</x:f>
        <x:v>0</x:v>
      </x:c>
      <x:c r="AF42" s="22" t="n">
        <x:f>MAX(0,MIN('Activities'!L42,168)-MAX('Activities'!K42,162))</x:f>
        <x:v>0</x:v>
      </x:c>
      <x:c r="AG42" s="22" t="n">
        <x:f>MAX(0,MIN('Activities'!L42,174)-MAX('Activities'!K42,168))</x:f>
        <x:v>0</x:v>
      </x:c>
      <x:c r="AH42" s="22" t="n">
        <x:f>MAX(0,MIN('Activities'!L42,180)-MAX('Activities'!K42,174))</x:f>
        <x:v>0</x:v>
      </x:c>
      <x:c r="AI42" s="22" t="n">
        <x:f>MAX(0,MIN('Activities'!L42,186)-MAX('Activities'!K42,180))</x:f>
        <x:v>0</x:v>
      </x:c>
      <x:c r="AJ42" s="22" t="n">
        <x:f>MAX(0,MIN('Activities'!L42,192)-MAX('Activities'!K42,186))</x:f>
        <x:v>0</x:v>
      </x:c>
      <x:c r="AK42" s="22" t="n">
        <x:f>MAX(0,MIN('Activities'!L42,198)-MAX('Activities'!K42,192))</x:f>
        <x:v>0</x:v>
      </x:c>
      <x:c r="AL42" s="22" t="n">
        <x:f>MAX(0,MIN('Activities'!L42,204)-MAX('Activities'!K42,198))</x:f>
        <x:v>0</x:v>
      </x:c>
      <x:c r="AM42" s="22" t="n">
        <x:f>MAX(0,MIN('Activities'!L42,210)-MAX('Activities'!K42,204))</x:f>
        <x:v>0</x:v>
      </x:c>
      <x:c r="AN42" s="22" t="n">
        <x:f>MAX(0,MIN('Activities'!L42,216)-MAX('Activities'!K42,210))</x:f>
        <x:v>0</x:v>
      </x:c>
      <x:c r="AO42" s="22" t="n">
        <x:f>MAX(0,MIN('Activities'!L42,222)-MAX('Activities'!K42,216))</x:f>
        <x:v>0</x:v>
      </x:c>
      <x:c r="AP42" s="22" t="n">
        <x:f>MAX(0,MIN('Activities'!L42,228)-MAX('Activities'!K42,222))</x:f>
        <x:v>0</x:v>
      </x:c>
      <x:c r="AQ42" s="22" t="n">
        <x:f>MAX(0,MIN('Activities'!L42,234)-MAX('Activities'!K42,228))</x:f>
        <x:v>0</x:v>
      </x:c>
      <x:c r="AR42" s="22" t="n">
        <x:f>MAX(0,MIN('Activities'!L42,240)-MAX('Activities'!K42,234))</x:f>
        <x:v>0</x:v>
      </x:c>
      <x:c r="AS42" s="22" t="n">
        <x:f>MAX(0,MIN('Activities'!L42,246)-MAX('Activities'!K42,240))</x:f>
        <x:v>0</x:v>
      </x:c>
      <x:c r="AT42" s="22" t="n">
        <x:f>MAX(0,MIN('Activities'!L42,252)-MAX('Activities'!K42,246))</x:f>
        <x:v>0</x:v>
      </x:c>
      <x:c r="AU42" s="22" t="n">
        <x:f>MAX(0,MIN('Activities'!L42,258)-MAX('Activities'!K42,252))</x:f>
        <x:v>2</x:v>
      </x:c>
      <x:c r="AV42" s="22" t="n">
        <x:f>MAX(0,MIN('Activities'!L42,264)-MAX('Activities'!K42,258))</x:f>
        <x:v>0</x:v>
      </x:c>
      <x:c r="AW42" s="22" t="n">
        <x:f>MAX(0,MIN('Activities'!L42,270)-MAX('Activities'!K42,264))</x:f>
        <x:v>0</x:v>
      </x:c>
      <x:c r="AX42" s="22" t="n">
        <x:f>MAX(0,MIN('Activities'!L42,276)-MAX('Activities'!K42,270))</x:f>
        <x:v>0</x:v>
      </x:c>
      <x:c r="AY42" s="22" t="n">
        <x:f>MAX(0,MIN('Activities'!L42,282)-MAX('Activities'!K42,276))</x:f>
        <x:v>0</x:v>
      </x:c>
      <x:c r="AZ42" s="22" t="n">
        <x:f>MAX(0,MIN('Activities'!L42,288)-MAX('Activities'!K42,282))</x:f>
        <x:v>0</x:v>
      </x:c>
      <x:c r="BA42" s="22" t="n">
        <x:f>MAX(0,MIN('Activities'!L42,294)-MAX('Activities'!K42,288))</x:f>
        <x:v>0</x:v>
      </x:c>
      <x:c r="BB42" s="22" t="n">
        <x:f>MAX(0,MIN('Activities'!L42,300)-MAX('Activities'!K42,294))</x:f>
        <x:v>0</x:v>
      </x:c>
      <x:c r="BC42" s="22" t="n">
        <x:f>MAX(0,MIN('Activities'!L42,306)-MAX('Activities'!K42,300))</x:f>
        <x:v>0</x:v>
      </x:c>
      <x:c r="BD42" s="22" t="n">
        <x:f>MAX(0,MIN('Activities'!L42,312)-MAX('Activities'!K42,306))</x:f>
        <x:v>0</x:v>
      </x:c>
      <x:c r="BE42" s="22" t="n">
        <x:f>MAX(0,MIN('Activities'!L42,318)-MAX('Activities'!K42,312))</x:f>
        <x:v>0</x:v>
      </x:c>
      <x:c r="BF42" s="22" t="n">
        <x:f>MAX(0,MIN('Activities'!L42,324)-MAX('Activities'!K42,318))</x:f>
        <x:v>0</x:v>
      </x:c>
      <x:c r="BG42" s="22" t="n">
        <x:f>MAX(0,MIN('Activities'!L42,330)-MAX('Activities'!K42,324))</x:f>
        <x:v>0</x:v>
      </x:c>
      <x:c r="BH42" s="22" t="n">
        <x:f>MAX(0,MIN('Activities'!L42,336)-MAX('Activities'!K42,330))</x:f>
        <x:v>0</x:v>
      </x:c>
      <x:c r="BI42" s="22" t="n">
        <x:f>MAX(0,MIN('Activities'!L42,342)-MAX('Activities'!K42,336))</x:f>
        <x:v>0</x:v>
      </x:c>
      <x:c r="BJ42" s="22" t="n">
        <x:f>MAX(0,MIN('Activities'!L42,348)-MAX('Activities'!K42,342))</x:f>
        <x:v>0</x:v>
      </x:c>
      <x:c r="BK42" s="22" t="n">
        <x:f>MAX(0,MIN('Activities'!L42,354)-MAX('Activities'!K42,348))</x:f>
        <x:v>0</x:v>
      </x:c>
      <x:c r="BL42" s="22" t="n">
        <x:f>MAX(0,MIN('Activities'!L42,360)-MAX('Activities'!K42,354))</x:f>
        <x:v>0</x:v>
      </x:c>
      <x:c r="BM42" s="22" t="n">
        <x:f>MAX(0,MIN('Activities'!L42,366)-MAX('Activities'!K42,360))</x:f>
        <x:v>0</x:v>
      </x:c>
      <x:c r="BN42" s="22" t="n">
        <x:f>MAX(0,MIN('Activities'!L42,372)-MAX('Activities'!K42,366))</x:f>
        <x:v>0</x:v>
      </x:c>
      <x:c r="BO42" s="22" t="n">
        <x:f>MAX(0,MIN('Activities'!L42,378)-MAX('Activities'!K42,372))</x:f>
        <x:v>0</x:v>
      </x:c>
      <x:c r="BP42" s="22" t="n">
        <x:f>MAX(0,MIN('Activities'!L42,384)-MAX('Activities'!K42,378))</x:f>
        <x:v>0</x:v>
      </x:c>
      <x:c r="BQ42" s="22" t="n">
        <x:f>MAX(0,MIN('Activities'!L42,390)-MAX('Activities'!K42,384))</x:f>
        <x:v>0</x:v>
      </x:c>
      <x:c r="BR42" s="22" t="n">
        <x:f>MAX(0,MIN('Activities'!L42,396)-MAX('Activities'!K42,390))</x:f>
        <x:v>0</x:v>
      </x:c>
      <x:c r="BS42" s="22" t="n">
        <x:f>MAX(0,MIN('Activities'!L42,402)-MAX('Activities'!K42,396))</x:f>
        <x:v>0</x:v>
      </x:c>
      <x:c r="BT42" s="22" t="n">
        <x:f>MAX(0,MIN('Activities'!L42,408)-MAX('Activities'!K42,402))</x:f>
        <x:v>0</x:v>
      </x:c>
      <x:c r="BU42" s="22" t="n">
        <x:f>MAX(0,MIN('Activities'!L42,414)-MAX('Activities'!K42,408))</x:f>
        <x:v>0</x:v>
      </x:c>
      <x:c r="BV42" s="22" t="n">
        <x:f>MAX(0,MIN('Activities'!L42,420)-MAX('Activities'!K42,414))</x:f>
        <x:v>0</x:v>
      </x:c>
      <x:c r="BW42" s="22" t="n">
        <x:f>MAX(0,MIN('Activities'!L42,426)-MAX('Activities'!K42,420))</x:f>
        <x:v>0</x:v>
      </x:c>
      <x:c r="BX42" s="22" t="n">
        <x:f>MAX(0,MIN('Activities'!L42,432)-MAX('Activities'!K42,426))</x:f>
        <x:v>0</x:v>
      </x:c>
      <x:c r="BY42" s="22" t="n">
        <x:f>MAX(0,MIN('Activities'!L42,438)-MAX('Activities'!K42,432))</x:f>
        <x:v>0</x:v>
      </x:c>
      <x:c r="BZ42" s="22" t="n">
        <x:f>MAX(0,MIN('Activities'!L42,444)-MAX('Activities'!K42,438))</x:f>
        <x:v>0</x:v>
      </x:c>
      <x:c r="CA42" s="22" t="n">
        <x:f>MAX(0,MIN('Activities'!L42,450)-MAX('Activities'!K42,444))</x:f>
        <x:v>0</x:v>
      </x:c>
      <x:c r="CB42" s="22" t="n">
        <x:f>MAX(0,MIN('Activities'!L42,456)-MAX('Activities'!K42,450))</x:f>
        <x:v>0</x:v>
      </x:c>
      <x:c r="CC42" s="22" t="n">
        <x:f>MAX(0,MIN('Activities'!L42,462)-MAX('Activities'!K42,456))</x:f>
        <x:v>0</x:v>
      </x:c>
      <x:c r="CD42" s="22" t="n">
        <x:f>MAX(0,MIN('Activities'!L42,468)-MAX('Activities'!K42,462))</x:f>
        <x:v>0</x:v>
      </x:c>
      <x:c r="CE42" s="22" t="n">
        <x:f>MAX(0,MIN('Activities'!L42,474)-MAX('Activities'!K42,468))</x:f>
        <x:v>0</x:v>
      </x:c>
      <x:c r="CF42" s="22" t="n">
        <x:f>MAX(0,MIN('Activities'!L42,480)-MAX('Activities'!K42,474))</x:f>
        <x:v>0</x:v>
      </x:c>
      <x:c r="CG42" s="22" t="n">
        <x:f>MAX(0,MIN('Activities'!L42,486)-MAX('Activities'!K42,480))</x:f>
        <x:v>0</x:v>
      </x:c>
      <x:c r="CH42" s="22" t="n">
        <x:f>MAX(0,MIN('Activities'!L42,492)-MAX('Activities'!K42,486))</x:f>
        <x:v>0</x:v>
      </x:c>
      <x:c r="CI42" s="22" t="n">
        <x:f>MAX(0,MIN('Activities'!L42,498)-MAX('Activities'!K42,492))</x:f>
        <x:v>0</x:v>
      </x:c>
      <x:c r="CJ42" s="22" t="n">
        <x:f>MAX(0,MIN('Activities'!L42,504)-MAX('Activities'!K42,498))</x:f>
        <x:v>0</x:v>
      </x:c>
      <x:c r="CK42" s="22" t="n">
        <x:f>MAX(0,MIN('Activities'!L42,510)-MAX('Activities'!K42,504))</x:f>
        <x:v>0</x:v>
      </x:c>
      <x:c r="CL42" s="22" t="n">
        <x:f>MAX(0,MIN('Activities'!L42,516)-MAX('Activities'!K42,510))</x:f>
        <x:v>0</x:v>
      </x:c>
      <x:c r="CM42" s="22" t="n">
        <x:f>MAX(0,MIN('Activities'!L42,522)-MAX('Activities'!K42,516))</x:f>
        <x:v>0</x:v>
      </x:c>
      <x:c r="CN42" s="22" t="n">
        <x:f>MAX(0,MIN('Activities'!L42,528)-MAX('Activities'!K42,522))</x:f>
        <x:v>0</x:v>
      </x:c>
      <x:c r="CO42" s="22" t="n">
        <x:f>MAX(0,MIN('Activities'!L42,534)-MAX('Activities'!K42,528))</x:f>
        <x:v>0</x:v>
      </x:c>
      <x:c r="CP42" s="22" t="n">
        <x:f>MAX(0,MIN('Activities'!L42,540)-MAX('Activities'!K42,534))</x:f>
        <x:v>0</x:v>
      </x:c>
      <x:c r="CQ42" s="22" t="n">
        <x:f>MAX(0,MIN('Activities'!L42,546)-MAX('Activities'!K42,540))</x:f>
        <x:v>0</x:v>
      </x:c>
      <x:c r="CR42" s="22" t="n">
        <x:f>MAX(0,MIN('Activities'!L42,552)-MAX('Activities'!K42,546))</x:f>
        <x:v>0</x:v>
      </x:c>
      <x:c r="CS42" s="22" t="n">
        <x:f>MAX(0,MIN('Activities'!L42,558)-MAX('Activities'!K42,552))</x:f>
        <x:v>0</x:v>
      </x:c>
      <x:c r="CT42" s="22" t="n">
        <x:f>MAX(0,MIN('Activities'!L42,564)-MAX('Activities'!K42,558))</x:f>
        <x:v>0</x:v>
      </x:c>
      <x:c r="CU42" s="22" t="n">
        <x:f>MAX(0,MIN('Activities'!L42,570)-MAX('Activities'!K42,564))</x:f>
        <x:v>0</x:v>
      </x:c>
      <x:c r="CV42" s="22" t="n">
        <x:f>MAX(0,MIN('Activities'!L42,576)-MAX('Activities'!K42,570))</x:f>
        <x:v>0</x:v>
      </x:c>
      <x:c r="CW42" s="22" t="n">
        <x:f>MAX(0,MIN('Activities'!L42,582)-MAX('Activities'!K42,576))</x:f>
        <x:v>0</x:v>
      </x:c>
      <x:c r="CX42" s="22" t="n">
        <x:f>MAX(0,MIN('Activities'!L42,588)-MAX('Activities'!K42,582))</x:f>
        <x:v>0</x:v>
      </x:c>
      <x:c r="CY42" s="22" t="n">
        <x:f>MAX(0,MIN('Activities'!L42,594)-MAX('Activities'!K42,588))</x:f>
        <x:v>0</x:v>
      </x:c>
      <x:c r="CZ42" s="22" t="n">
        <x:f>MAX(0,MIN('Activities'!L42,600)-MAX('Activities'!K42,594))</x:f>
        <x:v>0</x:v>
      </x:c>
      <x:c r="DA42" s="22" t="n">
        <x:f>MAX(0,MIN('Activities'!L42,606)-MAX('Activities'!K42,600))</x:f>
        <x:v>0</x:v>
      </x:c>
      <x:c r="DB42" s="22" t="n">
        <x:f>MAX(0,MIN('Activities'!L42,612)-MAX('Activities'!K42,606))</x:f>
        <x:v>0</x:v>
      </x:c>
      <x:c r="DC42" s="22" t="n">
        <x:f>MAX(0,MIN('Activities'!L42,618)-MAX('Activities'!K42,612))</x:f>
        <x:v>0</x:v>
      </x:c>
      <x:c r="DD42" s="22" t="n">
        <x:f>MAX(0,MIN('Activities'!L42,624)-MAX('Activities'!K42,618))</x:f>
        <x:v>0</x:v>
      </x:c>
      <x:c r="DE42" s="22" t="n">
        <x:f>MAX(0,MIN('Activities'!L42,630)-MAX('Activities'!K42,624))</x:f>
        <x:v>0</x:v>
      </x:c>
      <x:c r="DF42" s="22" t="n">
        <x:f>MAX(0,MIN('Activities'!L42,636)-MAX('Activities'!K42,630))</x:f>
        <x:v>0</x:v>
      </x:c>
    </x:row>
    <x:row r="43" ht="23" customHeight="1">
      <x:c r="A43" s="1" t="str">
        <x:v>T1-L06-H</x:v>
      </x:c>
      <x:c r="B43" s="1" t="str">
        <x:v>T1</x:v>
      </x:c>
      <x:c r="C43" s="1" t="str">
        <x:v>Curing and release hold point</x:v>
      </x:c>
      <x:c r="D43" s="1" t="str">
        <x:v>Site</x:v>
      </x:c>
      <x:c r="E43" s="23" t="n">
        <x:f>MAX(0,MIN('Activities'!L43,6)-MAX('Activities'!K43,0))</x:f>
        <x:v>0</x:v>
      </x:c>
      <x:c r="F43" s="23" t="n">
        <x:f>MAX(0,MIN('Activities'!L43,12)-MAX('Activities'!K43,6))</x:f>
        <x:v>0</x:v>
      </x:c>
      <x:c r="G43" s="23" t="n">
        <x:f>MAX(0,MIN('Activities'!L43,18)-MAX('Activities'!K43,12))</x:f>
        <x:v>0</x:v>
      </x:c>
      <x:c r="H43" s="23" t="n">
        <x:f>MAX(0,MIN('Activities'!L43,24)-MAX('Activities'!K43,18))</x:f>
        <x:v>0</x:v>
      </x:c>
      <x:c r="I43" s="23" t="n">
        <x:f>MAX(0,MIN('Activities'!L43,30)-MAX('Activities'!K43,24))</x:f>
        <x:v>0</x:v>
      </x:c>
      <x:c r="J43" s="23" t="n">
        <x:f>MAX(0,MIN('Activities'!L43,36)-MAX('Activities'!K43,30))</x:f>
        <x:v>0</x:v>
      </x:c>
      <x:c r="K43" s="23" t="n">
        <x:f>MAX(0,MIN('Activities'!L43,42)-MAX('Activities'!K43,36))</x:f>
        <x:v>0</x:v>
      </x:c>
      <x:c r="L43" s="23" t="n">
        <x:f>MAX(0,MIN('Activities'!L43,48)-MAX('Activities'!K43,42))</x:f>
        <x:v>0</x:v>
      </x:c>
      <x:c r="M43" s="23" t="n">
        <x:f>MAX(0,MIN('Activities'!L43,54)-MAX('Activities'!K43,48))</x:f>
        <x:v>0</x:v>
      </x:c>
      <x:c r="N43" s="23" t="n">
        <x:f>MAX(0,MIN('Activities'!L43,60)-MAX('Activities'!K43,54))</x:f>
        <x:v>0</x:v>
      </x:c>
      <x:c r="O43" s="23" t="n">
        <x:f>MAX(0,MIN('Activities'!L43,66)-MAX('Activities'!K43,60))</x:f>
        <x:v>0</x:v>
      </x:c>
      <x:c r="P43" s="23" t="n">
        <x:f>MAX(0,MIN('Activities'!L43,72)-MAX('Activities'!K43,66))</x:f>
        <x:v>0</x:v>
      </x:c>
      <x:c r="Q43" s="23" t="n">
        <x:f>MAX(0,MIN('Activities'!L43,78)-MAX('Activities'!K43,72))</x:f>
        <x:v>0</x:v>
      </x:c>
      <x:c r="R43" s="23" t="n">
        <x:f>MAX(0,MIN('Activities'!L43,84)-MAX('Activities'!K43,78))</x:f>
        <x:v>0</x:v>
      </x:c>
      <x:c r="S43" s="23" t="n">
        <x:f>MAX(0,MIN('Activities'!L43,90)-MAX('Activities'!K43,84))</x:f>
        <x:v>0</x:v>
      </x:c>
      <x:c r="T43" s="23" t="n">
        <x:f>MAX(0,MIN('Activities'!L43,96)-MAX('Activities'!K43,90))</x:f>
        <x:v>0</x:v>
      </x:c>
      <x:c r="U43" s="23" t="n">
        <x:f>MAX(0,MIN('Activities'!L43,102)-MAX('Activities'!K43,96))</x:f>
        <x:v>0</x:v>
      </x:c>
      <x:c r="V43" s="23" t="n">
        <x:f>MAX(0,MIN('Activities'!L43,108)-MAX('Activities'!K43,102))</x:f>
        <x:v>0</x:v>
      </x:c>
      <x:c r="W43" s="23" t="n">
        <x:f>MAX(0,MIN('Activities'!L43,114)-MAX('Activities'!K43,108))</x:f>
        <x:v>0</x:v>
      </x:c>
      <x:c r="X43" s="23" t="n">
        <x:f>MAX(0,MIN('Activities'!L43,120)-MAX('Activities'!K43,114))</x:f>
        <x:v>0</x:v>
      </x:c>
      <x:c r="Y43" s="23" t="n">
        <x:f>MAX(0,MIN('Activities'!L43,126)-MAX('Activities'!K43,120))</x:f>
        <x:v>0</x:v>
      </x:c>
      <x:c r="Z43" s="23" t="n">
        <x:f>MAX(0,MIN('Activities'!L43,132)-MAX('Activities'!K43,126))</x:f>
        <x:v>0</x:v>
      </x:c>
      <x:c r="AA43" s="23" t="n">
        <x:f>MAX(0,MIN('Activities'!L43,138)-MAX('Activities'!K43,132))</x:f>
        <x:v>0</x:v>
      </x:c>
      <x:c r="AB43" s="23" t="n">
        <x:f>MAX(0,MIN('Activities'!L43,144)-MAX('Activities'!K43,138))</x:f>
        <x:v>0</x:v>
      </x:c>
      <x:c r="AC43" s="23" t="n">
        <x:f>MAX(0,MIN('Activities'!L43,150)-MAX('Activities'!K43,144))</x:f>
        <x:v>0</x:v>
      </x:c>
      <x:c r="AD43" s="23" t="n">
        <x:f>MAX(0,MIN('Activities'!L43,156)-MAX('Activities'!K43,150))</x:f>
        <x:v>0</x:v>
      </x:c>
      <x:c r="AE43" s="23" t="n">
        <x:f>MAX(0,MIN('Activities'!L43,162)-MAX('Activities'!K43,156))</x:f>
        <x:v>0</x:v>
      </x:c>
      <x:c r="AF43" s="23" t="n">
        <x:f>MAX(0,MIN('Activities'!L43,168)-MAX('Activities'!K43,162))</x:f>
        <x:v>0</x:v>
      </x:c>
      <x:c r="AG43" s="23" t="n">
        <x:f>MAX(0,MIN('Activities'!L43,174)-MAX('Activities'!K43,168))</x:f>
        <x:v>0</x:v>
      </x:c>
      <x:c r="AH43" s="23" t="n">
        <x:f>MAX(0,MIN('Activities'!L43,180)-MAX('Activities'!K43,174))</x:f>
        <x:v>0</x:v>
      </x:c>
      <x:c r="AI43" s="23" t="n">
        <x:f>MAX(0,MIN('Activities'!L43,186)-MAX('Activities'!K43,180))</x:f>
        <x:v>0</x:v>
      </x:c>
      <x:c r="AJ43" s="23" t="n">
        <x:f>MAX(0,MIN('Activities'!L43,192)-MAX('Activities'!K43,186))</x:f>
        <x:v>0</x:v>
      </x:c>
      <x:c r="AK43" s="23" t="n">
        <x:f>MAX(0,MIN('Activities'!L43,198)-MAX('Activities'!K43,192))</x:f>
        <x:v>0</x:v>
      </x:c>
      <x:c r="AL43" s="23" t="n">
        <x:f>MAX(0,MIN('Activities'!L43,204)-MAX('Activities'!K43,198))</x:f>
        <x:v>0</x:v>
      </x:c>
      <x:c r="AM43" s="23" t="n">
        <x:f>MAX(0,MIN('Activities'!L43,210)-MAX('Activities'!K43,204))</x:f>
        <x:v>0</x:v>
      </x:c>
      <x:c r="AN43" s="23" t="n">
        <x:f>MAX(0,MIN('Activities'!L43,216)-MAX('Activities'!K43,210))</x:f>
        <x:v>0</x:v>
      </x:c>
      <x:c r="AO43" s="23" t="n">
        <x:f>MAX(0,MIN('Activities'!L43,222)-MAX('Activities'!K43,216))</x:f>
        <x:v>0</x:v>
      </x:c>
      <x:c r="AP43" s="23" t="n">
        <x:f>MAX(0,MIN('Activities'!L43,228)-MAX('Activities'!K43,222))</x:f>
        <x:v>0</x:v>
      </x:c>
      <x:c r="AQ43" s="23" t="n">
        <x:f>MAX(0,MIN('Activities'!L43,234)-MAX('Activities'!K43,228))</x:f>
        <x:v>0</x:v>
      </x:c>
      <x:c r="AR43" s="23" t="n">
        <x:f>MAX(0,MIN('Activities'!L43,240)-MAX('Activities'!K43,234))</x:f>
        <x:v>0</x:v>
      </x:c>
      <x:c r="AS43" s="23" t="n">
        <x:f>MAX(0,MIN('Activities'!L43,246)-MAX('Activities'!K43,240))</x:f>
        <x:v>0</x:v>
      </x:c>
      <x:c r="AT43" s="23" t="n">
        <x:f>MAX(0,MIN('Activities'!L43,252)-MAX('Activities'!K43,246))</x:f>
        <x:v>0</x:v>
      </x:c>
      <x:c r="AU43" s="23" t="n">
        <x:f>MAX(0,MIN('Activities'!L43,258)-MAX('Activities'!K43,252))</x:f>
        <x:v>3</x:v>
      </x:c>
      <x:c r="AV43" s="23" t="n">
        <x:f>MAX(0,MIN('Activities'!L43,264)-MAX('Activities'!K43,258))</x:f>
        <x:v>2</x:v>
      </x:c>
      <x:c r="AW43" s="23" t="n">
        <x:f>MAX(0,MIN('Activities'!L43,270)-MAX('Activities'!K43,264))</x:f>
        <x:v>0</x:v>
      </x:c>
      <x:c r="AX43" s="23" t="n">
        <x:f>MAX(0,MIN('Activities'!L43,276)-MAX('Activities'!K43,270))</x:f>
        <x:v>0</x:v>
      </x:c>
      <x:c r="AY43" s="23" t="n">
        <x:f>MAX(0,MIN('Activities'!L43,282)-MAX('Activities'!K43,276))</x:f>
        <x:v>0</x:v>
      </x:c>
      <x:c r="AZ43" s="23" t="n">
        <x:f>MAX(0,MIN('Activities'!L43,288)-MAX('Activities'!K43,282))</x:f>
        <x:v>0</x:v>
      </x:c>
      <x:c r="BA43" s="23" t="n">
        <x:f>MAX(0,MIN('Activities'!L43,294)-MAX('Activities'!K43,288))</x:f>
        <x:v>0</x:v>
      </x:c>
      <x:c r="BB43" s="23" t="n">
        <x:f>MAX(0,MIN('Activities'!L43,300)-MAX('Activities'!K43,294))</x:f>
        <x:v>0</x:v>
      </x:c>
      <x:c r="BC43" s="23" t="n">
        <x:f>MAX(0,MIN('Activities'!L43,306)-MAX('Activities'!K43,300))</x:f>
        <x:v>0</x:v>
      </x:c>
      <x:c r="BD43" s="23" t="n">
        <x:f>MAX(0,MIN('Activities'!L43,312)-MAX('Activities'!K43,306))</x:f>
        <x:v>0</x:v>
      </x:c>
      <x:c r="BE43" s="23" t="n">
        <x:f>MAX(0,MIN('Activities'!L43,318)-MAX('Activities'!K43,312))</x:f>
        <x:v>0</x:v>
      </x:c>
      <x:c r="BF43" s="23" t="n">
        <x:f>MAX(0,MIN('Activities'!L43,324)-MAX('Activities'!K43,318))</x:f>
        <x:v>0</x:v>
      </x:c>
      <x:c r="BG43" s="23" t="n">
        <x:f>MAX(0,MIN('Activities'!L43,330)-MAX('Activities'!K43,324))</x:f>
        <x:v>0</x:v>
      </x:c>
      <x:c r="BH43" s="23" t="n">
        <x:f>MAX(0,MIN('Activities'!L43,336)-MAX('Activities'!K43,330))</x:f>
        <x:v>0</x:v>
      </x:c>
      <x:c r="BI43" s="23" t="n">
        <x:f>MAX(0,MIN('Activities'!L43,342)-MAX('Activities'!K43,336))</x:f>
        <x:v>0</x:v>
      </x:c>
      <x:c r="BJ43" s="23" t="n">
        <x:f>MAX(0,MIN('Activities'!L43,348)-MAX('Activities'!K43,342))</x:f>
        <x:v>0</x:v>
      </x:c>
      <x:c r="BK43" s="23" t="n">
        <x:f>MAX(0,MIN('Activities'!L43,354)-MAX('Activities'!K43,348))</x:f>
        <x:v>0</x:v>
      </x:c>
      <x:c r="BL43" s="23" t="n">
        <x:f>MAX(0,MIN('Activities'!L43,360)-MAX('Activities'!K43,354))</x:f>
        <x:v>0</x:v>
      </x:c>
      <x:c r="BM43" s="23" t="n">
        <x:f>MAX(0,MIN('Activities'!L43,366)-MAX('Activities'!K43,360))</x:f>
        <x:v>0</x:v>
      </x:c>
      <x:c r="BN43" s="23" t="n">
        <x:f>MAX(0,MIN('Activities'!L43,372)-MAX('Activities'!K43,366))</x:f>
        <x:v>0</x:v>
      </x:c>
      <x:c r="BO43" s="23" t="n">
        <x:f>MAX(0,MIN('Activities'!L43,378)-MAX('Activities'!K43,372))</x:f>
        <x:v>0</x:v>
      </x:c>
      <x:c r="BP43" s="23" t="n">
        <x:f>MAX(0,MIN('Activities'!L43,384)-MAX('Activities'!K43,378))</x:f>
        <x:v>0</x:v>
      </x:c>
      <x:c r="BQ43" s="23" t="n">
        <x:f>MAX(0,MIN('Activities'!L43,390)-MAX('Activities'!K43,384))</x:f>
        <x:v>0</x:v>
      </x:c>
      <x:c r="BR43" s="23" t="n">
        <x:f>MAX(0,MIN('Activities'!L43,396)-MAX('Activities'!K43,390))</x:f>
        <x:v>0</x:v>
      </x:c>
      <x:c r="BS43" s="23" t="n">
        <x:f>MAX(0,MIN('Activities'!L43,402)-MAX('Activities'!K43,396))</x:f>
        <x:v>0</x:v>
      </x:c>
      <x:c r="BT43" s="23" t="n">
        <x:f>MAX(0,MIN('Activities'!L43,408)-MAX('Activities'!K43,402))</x:f>
        <x:v>0</x:v>
      </x:c>
      <x:c r="BU43" s="23" t="n">
        <x:f>MAX(0,MIN('Activities'!L43,414)-MAX('Activities'!K43,408))</x:f>
        <x:v>0</x:v>
      </x:c>
      <x:c r="BV43" s="23" t="n">
        <x:f>MAX(0,MIN('Activities'!L43,420)-MAX('Activities'!K43,414))</x:f>
        <x:v>0</x:v>
      </x:c>
      <x:c r="BW43" s="23" t="n">
        <x:f>MAX(0,MIN('Activities'!L43,426)-MAX('Activities'!K43,420))</x:f>
        <x:v>0</x:v>
      </x:c>
      <x:c r="BX43" s="23" t="n">
        <x:f>MAX(0,MIN('Activities'!L43,432)-MAX('Activities'!K43,426))</x:f>
        <x:v>0</x:v>
      </x:c>
      <x:c r="BY43" s="23" t="n">
        <x:f>MAX(0,MIN('Activities'!L43,438)-MAX('Activities'!K43,432))</x:f>
        <x:v>0</x:v>
      </x:c>
      <x:c r="BZ43" s="23" t="n">
        <x:f>MAX(0,MIN('Activities'!L43,444)-MAX('Activities'!K43,438))</x:f>
        <x:v>0</x:v>
      </x:c>
      <x:c r="CA43" s="23" t="n">
        <x:f>MAX(0,MIN('Activities'!L43,450)-MAX('Activities'!K43,444))</x:f>
        <x:v>0</x:v>
      </x:c>
      <x:c r="CB43" s="23" t="n">
        <x:f>MAX(0,MIN('Activities'!L43,456)-MAX('Activities'!K43,450))</x:f>
        <x:v>0</x:v>
      </x:c>
      <x:c r="CC43" s="23" t="n">
        <x:f>MAX(0,MIN('Activities'!L43,462)-MAX('Activities'!K43,456))</x:f>
        <x:v>0</x:v>
      </x:c>
      <x:c r="CD43" s="23" t="n">
        <x:f>MAX(0,MIN('Activities'!L43,468)-MAX('Activities'!K43,462))</x:f>
        <x:v>0</x:v>
      </x:c>
      <x:c r="CE43" s="23" t="n">
        <x:f>MAX(0,MIN('Activities'!L43,474)-MAX('Activities'!K43,468))</x:f>
        <x:v>0</x:v>
      </x:c>
      <x:c r="CF43" s="23" t="n">
        <x:f>MAX(0,MIN('Activities'!L43,480)-MAX('Activities'!K43,474))</x:f>
        <x:v>0</x:v>
      </x:c>
      <x:c r="CG43" s="23" t="n">
        <x:f>MAX(0,MIN('Activities'!L43,486)-MAX('Activities'!K43,480))</x:f>
        <x:v>0</x:v>
      </x:c>
      <x:c r="CH43" s="23" t="n">
        <x:f>MAX(0,MIN('Activities'!L43,492)-MAX('Activities'!K43,486))</x:f>
        <x:v>0</x:v>
      </x:c>
      <x:c r="CI43" s="23" t="n">
        <x:f>MAX(0,MIN('Activities'!L43,498)-MAX('Activities'!K43,492))</x:f>
        <x:v>0</x:v>
      </x:c>
      <x:c r="CJ43" s="23" t="n">
        <x:f>MAX(0,MIN('Activities'!L43,504)-MAX('Activities'!K43,498))</x:f>
        <x:v>0</x:v>
      </x:c>
      <x:c r="CK43" s="23" t="n">
        <x:f>MAX(0,MIN('Activities'!L43,510)-MAX('Activities'!K43,504))</x:f>
        <x:v>0</x:v>
      </x:c>
      <x:c r="CL43" s="23" t="n">
        <x:f>MAX(0,MIN('Activities'!L43,516)-MAX('Activities'!K43,510))</x:f>
        <x:v>0</x:v>
      </x:c>
      <x:c r="CM43" s="23" t="n">
        <x:f>MAX(0,MIN('Activities'!L43,522)-MAX('Activities'!K43,516))</x:f>
        <x:v>0</x:v>
      </x:c>
      <x:c r="CN43" s="23" t="n">
        <x:f>MAX(0,MIN('Activities'!L43,528)-MAX('Activities'!K43,522))</x:f>
        <x:v>0</x:v>
      </x:c>
      <x:c r="CO43" s="23" t="n">
        <x:f>MAX(0,MIN('Activities'!L43,534)-MAX('Activities'!K43,528))</x:f>
        <x:v>0</x:v>
      </x:c>
      <x:c r="CP43" s="23" t="n">
        <x:f>MAX(0,MIN('Activities'!L43,540)-MAX('Activities'!K43,534))</x:f>
        <x:v>0</x:v>
      </x:c>
      <x:c r="CQ43" s="23" t="n">
        <x:f>MAX(0,MIN('Activities'!L43,546)-MAX('Activities'!K43,540))</x:f>
        <x:v>0</x:v>
      </x:c>
      <x:c r="CR43" s="23" t="n">
        <x:f>MAX(0,MIN('Activities'!L43,552)-MAX('Activities'!K43,546))</x:f>
        <x:v>0</x:v>
      </x:c>
      <x:c r="CS43" s="23" t="n">
        <x:f>MAX(0,MIN('Activities'!L43,558)-MAX('Activities'!K43,552))</x:f>
        <x:v>0</x:v>
      </x:c>
      <x:c r="CT43" s="23" t="n">
        <x:f>MAX(0,MIN('Activities'!L43,564)-MAX('Activities'!K43,558))</x:f>
        <x:v>0</x:v>
      </x:c>
      <x:c r="CU43" s="23" t="n">
        <x:f>MAX(0,MIN('Activities'!L43,570)-MAX('Activities'!K43,564))</x:f>
        <x:v>0</x:v>
      </x:c>
      <x:c r="CV43" s="23" t="n">
        <x:f>MAX(0,MIN('Activities'!L43,576)-MAX('Activities'!K43,570))</x:f>
        <x:v>0</x:v>
      </x:c>
      <x:c r="CW43" s="23" t="n">
        <x:f>MAX(0,MIN('Activities'!L43,582)-MAX('Activities'!K43,576))</x:f>
        <x:v>0</x:v>
      </x:c>
      <x:c r="CX43" s="23" t="n">
        <x:f>MAX(0,MIN('Activities'!L43,588)-MAX('Activities'!K43,582))</x:f>
        <x:v>0</x:v>
      </x:c>
      <x:c r="CY43" s="23" t="n">
        <x:f>MAX(0,MIN('Activities'!L43,594)-MAX('Activities'!K43,588))</x:f>
        <x:v>0</x:v>
      </x:c>
      <x:c r="CZ43" s="23" t="n">
        <x:f>MAX(0,MIN('Activities'!L43,600)-MAX('Activities'!K43,594))</x:f>
        <x:v>0</x:v>
      </x:c>
      <x:c r="DA43" s="23" t="n">
        <x:f>MAX(0,MIN('Activities'!L43,606)-MAX('Activities'!K43,600))</x:f>
        <x:v>0</x:v>
      </x:c>
      <x:c r="DB43" s="23" t="n">
        <x:f>MAX(0,MIN('Activities'!L43,612)-MAX('Activities'!K43,606))</x:f>
        <x:v>0</x:v>
      </x:c>
      <x:c r="DC43" s="23" t="n">
        <x:f>MAX(0,MIN('Activities'!L43,618)-MAX('Activities'!K43,612))</x:f>
        <x:v>0</x:v>
      </x:c>
      <x:c r="DD43" s="23" t="n">
        <x:f>MAX(0,MIN('Activities'!L43,624)-MAX('Activities'!K43,618))</x:f>
        <x:v>0</x:v>
      </x:c>
      <x:c r="DE43" s="23" t="n">
        <x:f>MAX(0,MIN('Activities'!L43,630)-MAX('Activities'!K43,624))</x:f>
        <x:v>0</x:v>
      </x:c>
      <x:c r="DF43" s="23" t="n">
        <x:f>MAX(0,MIN('Activities'!L43,636)-MAX('Activities'!K43,630))</x:f>
        <x:v>0</x:v>
      </x:c>
    </x:row>
    <x:row r="44" ht="23" customHeight="1">
      <x:c r="A44" s="6" t="str">
        <x:v>T1-L07-F</x:v>
      </x:c>
      <x:c r="B44" s="6" t="str">
        <x:v>T1</x:v>
      </x:c>
      <x:c r="C44" s="6" t="str">
        <x:v>Columns, core and deck formwork</x:v>
      </x:c>
      <x:c r="D44" s="6" t="str">
        <x:v>Formwork</x:v>
      </x:c>
      <x:c r="E44" s="22" t="n">
        <x:f>MAX(0,MIN('Activities'!L44,6)-MAX('Activities'!K44,0))</x:f>
        <x:v>0</x:v>
      </x:c>
      <x:c r="F44" s="22" t="n">
        <x:f>MAX(0,MIN('Activities'!L44,12)-MAX('Activities'!K44,6))</x:f>
        <x:v>0</x:v>
      </x:c>
      <x:c r="G44" s="22" t="n">
        <x:f>MAX(0,MIN('Activities'!L44,18)-MAX('Activities'!K44,12))</x:f>
        <x:v>0</x:v>
      </x:c>
      <x:c r="H44" s="22" t="n">
        <x:f>MAX(0,MIN('Activities'!L44,24)-MAX('Activities'!K44,18))</x:f>
        <x:v>0</x:v>
      </x:c>
      <x:c r="I44" s="22" t="n">
        <x:f>MAX(0,MIN('Activities'!L44,30)-MAX('Activities'!K44,24))</x:f>
        <x:v>0</x:v>
      </x:c>
      <x:c r="J44" s="22" t="n">
        <x:f>MAX(0,MIN('Activities'!L44,36)-MAX('Activities'!K44,30))</x:f>
        <x:v>0</x:v>
      </x:c>
      <x:c r="K44" s="22" t="n">
        <x:f>MAX(0,MIN('Activities'!L44,42)-MAX('Activities'!K44,36))</x:f>
        <x:v>0</x:v>
      </x:c>
      <x:c r="L44" s="22" t="n">
        <x:f>MAX(0,MIN('Activities'!L44,48)-MAX('Activities'!K44,42))</x:f>
        <x:v>0</x:v>
      </x:c>
      <x:c r="M44" s="22" t="n">
        <x:f>MAX(0,MIN('Activities'!L44,54)-MAX('Activities'!K44,48))</x:f>
        <x:v>0</x:v>
      </x:c>
      <x:c r="N44" s="22" t="n">
        <x:f>MAX(0,MIN('Activities'!L44,60)-MAX('Activities'!K44,54))</x:f>
        <x:v>0</x:v>
      </x:c>
      <x:c r="O44" s="22" t="n">
        <x:f>MAX(0,MIN('Activities'!L44,66)-MAX('Activities'!K44,60))</x:f>
        <x:v>0</x:v>
      </x:c>
      <x:c r="P44" s="22" t="n">
        <x:f>MAX(0,MIN('Activities'!L44,72)-MAX('Activities'!K44,66))</x:f>
        <x:v>0</x:v>
      </x:c>
      <x:c r="Q44" s="22" t="n">
        <x:f>MAX(0,MIN('Activities'!L44,78)-MAX('Activities'!K44,72))</x:f>
        <x:v>0</x:v>
      </x:c>
      <x:c r="R44" s="22" t="n">
        <x:f>MAX(0,MIN('Activities'!L44,84)-MAX('Activities'!K44,78))</x:f>
        <x:v>0</x:v>
      </x:c>
      <x:c r="S44" s="22" t="n">
        <x:f>MAX(0,MIN('Activities'!L44,90)-MAX('Activities'!K44,84))</x:f>
        <x:v>0</x:v>
      </x:c>
      <x:c r="T44" s="22" t="n">
        <x:f>MAX(0,MIN('Activities'!L44,96)-MAX('Activities'!K44,90))</x:f>
        <x:v>0</x:v>
      </x:c>
      <x:c r="U44" s="22" t="n">
        <x:f>MAX(0,MIN('Activities'!L44,102)-MAX('Activities'!K44,96))</x:f>
        <x:v>0</x:v>
      </x:c>
      <x:c r="V44" s="22" t="n">
        <x:f>MAX(0,MIN('Activities'!L44,108)-MAX('Activities'!K44,102))</x:f>
        <x:v>0</x:v>
      </x:c>
      <x:c r="W44" s="22" t="n">
        <x:f>MAX(0,MIN('Activities'!L44,114)-MAX('Activities'!K44,108))</x:f>
        <x:v>0</x:v>
      </x:c>
      <x:c r="X44" s="22" t="n">
        <x:f>MAX(0,MIN('Activities'!L44,120)-MAX('Activities'!K44,114))</x:f>
        <x:v>0</x:v>
      </x:c>
      <x:c r="Y44" s="22" t="n">
        <x:f>MAX(0,MIN('Activities'!L44,126)-MAX('Activities'!K44,120))</x:f>
        <x:v>0</x:v>
      </x:c>
      <x:c r="Z44" s="22" t="n">
        <x:f>MAX(0,MIN('Activities'!L44,132)-MAX('Activities'!K44,126))</x:f>
        <x:v>0</x:v>
      </x:c>
      <x:c r="AA44" s="22" t="n">
        <x:f>MAX(0,MIN('Activities'!L44,138)-MAX('Activities'!K44,132))</x:f>
        <x:v>0</x:v>
      </x:c>
      <x:c r="AB44" s="22" t="n">
        <x:f>MAX(0,MIN('Activities'!L44,144)-MAX('Activities'!K44,138))</x:f>
        <x:v>0</x:v>
      </x:c>
      <x:c r="AC44" s="22" t="n">
        <x:f>MAX(0,MIN('Activities'!L44,150)-MAX('Activities'!K44,144))</x:f>
        <x:v>0</x:v>
      </x:c>
      <x:c r="AD44" s="22" t="n">
        <x:f>MAX(0,MIN('Activities'!L44,156)-MAX('Activities'!K44,150))</x:f>
        <x:v>0</x:v>
      </x:c>
      <x:c r="AE44" s="22" t="n">
        <x:f>MAX(0,MIN('Activities'!L44,162)-MAX('Activities'!K44,156))</x:f>
        <x:v>0</x:v>
      </x:c>
      <x:c r="AF44" s="22" t="n">
        <x:f>MAX(0,MIN('Activities'!L44,168)-MAX('Activities'!K44,162))</x:f>
        <x:v>0</x:v>
      </x:c>
      <x:c r="AG44" s="22" t="n">
        <x:f>MAX(0,MIN('Activities'!L44,174)-MAX('Activities'!K44,168))</x:f>
        <x:v>0</x:v>
      </x:c>
      <x:c r="AH44" s="22" t="n">
        <x:f>MAX(0,MIN('Activities'!L44,180)-MAX('Activities'!K44,174))</x:f>
        <x:v>0</x:v>
      </x:c>
      <x:c r="AI44" s="22" t="n">
        <x:f>MAX(0,MIN('Activities'!L44,186)-MAX('Activities'!K44,180))</x:f>
        <x:v>0</x:v>
      </x:c>
      <x:c r="AJ44" s="22" t="n">
        <x:f>MAX(0,MIN('Activities'!L44,192)-MAX('Activities'!K44,186))</x:f>
        <x:v>0</x:v>
      </x:c>
      <x:c r="AK44" s="22" t="n">
        <x:f>MAX(0,MIN('Activities'!L44,198)-MAX('Activities'!K44,192))</x:f>
        <x:v>0</x:v>
      </x:c>
      <x:c r="AL44" s="22" t="n">
        <x:f>MAX(0,MIN('Activities'!L44,204)-MAX('Activities'!K44,198))</x:f>
        <x:v>0</x:v>
      </x:c>
      <x:c r="AM44" s="22" t="n">
        <x:f>MAX(0,MIN('Activities'!L44,210)-MAX('Activities'!K44,204))</x:f>
        <x:v>0</x:v>
      </x:c>
      <x:c r="AN44" s="22" t="n">
        <x:f>MAX(0,MIN('Activities'!L44,216)-MAX('Activities'!K44,210))</x:f>
        <x:v>0</x:v>
      </x:c>
      <x:c r="AO44" s="22" t="n">
        <x:f>MAX(0,MIN('Activities'!L44,222)-MAX('Activities'!K44,216))</x:f>
        <x:v>0</x:v>
      </x:c>
      <x:c r="AP44" s="22" t="n">
        <x:f>MAX(0,MIN('Activities'!L44,228)-MAX('Activities'!K44,222))</x:f>
        <x:v>0</x:v>
      </x:c>
      <x:c r="AQ44" s="22" t="n">
        <x:f>MAX(0,MIN('Activities'!L44,234)-MAX('Activities'!K44,228))</x:f>
        <x:v>0</x:v>
      </x:c>
      <x:c r="AR44" s="22" t="n">
        <x:f>MAX(0,MIN('Activities'!L44,240)-MAX('Activities'!K44,234))</x:f>
        <x:v>0</x:v>
      </x:c>
      <x:c r="AS44" s="22" t="n">
        <x:f>MAX(0,MIN('Activities'!L44,246)-MAX('Activities'!K44,240))</x:f>
        <x:v>0</x:v>
      </x:c>
      <x:c r="AT44" s="22" t="n">
        <x:f>MAX(0,MIN('Activities'!L44,252)-MAX('Activities'!K44,246))</x:f>
        <x:v>0</x:v>
      </x:c>
      <x:c r="AU44" s="22" t="n">
        <x:f>MAX(0,MIN('Activities'!L44,258)-MAX('Activities'!K44,252))</x:f>
        <x:v>0</x:v>
      </x:c>
      <x:c r="AV44" s="22" t="n">
        <x:f>MAX(0,MIN('Activities'!L44,264)-MAX('Activities'!K44,258))</x:f>
        <x:v>4</x:v>
      </x:c>
      <x:c r="AW44" s="22" t="n">
        <x:f>MAX(0,MIN('Activities'!L44,270)-MAX('Activities'!K44,264))</x:f>
        <x:v>2</x:v>
      </x:c>
      <x:c r="AX44" s="22" t="n">
        <x:f>MAX(0,MIN('Activities'!L44,276)-MAX('Activities'!K44,270))</x:f>
        <x:v>0</x:v>
      </x:c>
      <x:c r="AY44" s="22" t="n">
        <x:f>MAX(0,MIN('Activities'!L44,282)-MAX('Activities'!K44,276))</x:f>
        <x:v>0</x:v>
      </x:c>
      <x:c r="AZ44" s="22" t="n">
        <x:f>MAX(0,MIN('Activities'!L44,288)-MAX('Activities'!K44,282))</x:f>
        <x:v>0</x:v>
      </x:c>
      <x:c r="BA44" s="22" t="n">
        <x:f>MAX(0,MIN('Activities'!L44,294)-MAX('Activities'!K44,288))</x:f>
        <x:v>0</x:v>
      </x:c>
      <x:c r="BB44" s="22" t="n">
        <x:f>MAX(0,MIN('Activities'!L44,300)-MAX('Activities'!K44,294))</x:f>
        <x:v>0</x:v>
      </x:c>
      <x:c r="BC44" s="22" t="n">
        <x:f>MAX(0,MIN('Activities'!L44,306)-MAX('Activities'!K44,300))</x:f>
        <x:v>0</x:v>
      </x:c>
      <x:c r="BD44" s="22" t="n">
        <x:f>MAX(0,MIN('Activities'!L44,312)-MAX('Activities'!K44,306))</x:f>
        <x:v>0</x:v>
      </x:c>
      <x:c r="BE44" s="22" t="n">
        <x:f>MAX(0,MIN('Activities'!L44,318)-MAX('Activities'!K44,312))</x:f>
        <x:v>0</x:v>
      </x:c>
      <x:c r="BF44" s="22" t="n">
        <x:f>MAX(0,MIN('Activities'!L44,324)-MAX('Activities'!K44,318))</x:f>
        <x:v>0</x:v>
      </x:c>
      <x:c r="BG44" s="22" t="n">
        <x:f>MAX(0,MIN('Activities'!L44,330)-MAX('Activities'!K44,324))</x:f>
        <x:v>0</x:v>
      </x:c>
      <x:c r="BH44" s="22" t="n">
        <x:f>MAX(0,MIN('Activities'!L44,336)-MAX('Activities'!K44,330))</x:f>
        <x:v>0</x:v>
      </x:c>
      <x:c r="BI44" s="22" t="n">
        <x:f>MAX(0,MIN('Activities'!L44,342)-MAX('Activities'!K44,336))</x:f>
        <x:v>0</x:v>
      </x:c>
      <x:c r="BJ44" s="22" t="n">
        <x:f>MAX(0,MIN('Activities'!L44,348)-MAX('Activities'!K44,342))</x:f>
        <x:v>0</x:v>
      </x:c>
      <x:c r="BK44" s="22" t="n">
        <x:f>MAX(0,MIN('Activities'!L44,354)-MAX('Activities'!K44,348))</x:f>
        <x:v>0</x:v>
      </x:c>
      <x:c r="BL44" s="22" t="n">
        <x:f>MAX(0,MIN('Activities'!L44,360)-MAX('Activities'!K44,354))</x:f>
        <x:v>0</x:v>
      </x:c>
      <x:c r="BM44" s="22" t="n">
        <x:f>MAX(0,MIN('Activities'!L44,366)-MAX('Activities'!K44,360))</x:f>
        <x:v>0</x:v>
      </x:c>
      <x:c r="BN44" s="22" t="n">
        <x:f>MAX(0,MIN('Activities'!L44,372)-MAX('Activities'!K44,366))</x:f>
        <x:v>0</x:v>
      </x:c>
      <x:c r="BO44" s="22" t="n">
        <x:f>MAX(0,MIN('Activities'!L44,378)-MAX('Activities'!K44,372))</x:f>
        <x:v>0</x:v>
      </x:c>
      <x:c r="BP44" s="22" t="n">
        <x:f>MAX(0,MIN('Activities'!L44,384)-MAX('Activities'!K44,378))</x:f>
        <x:v>0</x:v>
      </x:c>
      <x:c r="BQ44" s="22" t="n">
        <x:f>MAX(0,MIN('Activities'!L44,390)-MAX('Activities'!K44,384))</x:f>
        <x:v>0</x:v>
      </x:c>
      <x:c r="BR44" s="22" t="n">
        <x:f>MAX(0,MIN('Activities'!L44,396)-MAX('Activities'!K44,390))</x:f>
        <x:v>0</x:v>
      </x:c>
      <x:c r="BS44" s="22" t="n">
        <x:f>MAX(0,MIN('Activities'!L44,402)-MAX('Activities'!K44,396))</x:f>
        <x:v>0</x:v>
      </x:c>
      <x:c r="BT44" s="22" t="n">
        <x:f>MAX(0,MIN('Activities'!L44,408)-MAX('Activities'!K44,402))</x:f>
        <x:v>0</x:v>
      </x:c>
      <x:c r="BU44" s="22" t="n">
        <x:f>MAX(0,MIN('Activities'!L44,414)-MAX('Activities'!K44,408))</x:f>
        <x:v>0</x:v>
      </x:c>
      <x:c r="BV44" s="22" t="n">
        <x:f>MAX(0,MIN('Activities'!L44,420)-MAX('Activities'!K44,414))</x:f>
        <x:v>0</x:v>
      </x:c>
      <x:c r="BW44" s="22" t="n">
        <x:f>MAX(0,MIN('Activities'!L44,426)-MAX('Activities'!K44,420))</x:f>
        <x:v>0</x:v>
      </x:c>
      <x:c r="BX44" s="22" t="n">
        <x:f>MAX(0,MIN('Activities'!L44,432)-MAX('Activities'!K44,426))</x:f>
        <x:v>0</x:v>
      </x:c>
      <x:c r="BY44" s="22" t="n">
        <x:f>MAX(0,MIN('Activities'!L44,438)-MAX('Activities'!K44,432))</x:f>
        <x:v>0</x:v>
      </x:c>
      <x:c r="BZ44" s="22" t="n">
        <x:f>MAX(0,MIN('Activities'!L44,444)-MAX('Activities'!K44,438))</x:f>
        <x:v>0</x:v>
      </x:c>
      <x:c r="CA44" s="22" t="n">
        <x:f>MAX(0,MIN('Activities'!L44,450)-MAX('Activities'!K44,444))</x:f>
        <x:v>0</x:v>
      </x:c>
      <x:c r="CB44" s="22" t="n">
        <x:f>MAX(0,MIN('Activities'!L44,456)-MAX('Activities'!K44,450))</x:f>
        <x:v>0</x:v>
      </x:c>
      <x:c r="CC44" s="22" t="n">
        <x:f>MAX(0,MIN('Activities'!L44,462)-MAX('Activities'!K44,456))</x:f>
        <x:v>0</x:v>
      </x:c>
      <x:c r="CD44" s="22" t="n">
        <x:f>MAX(0,MIN('Activities'!L44,468)-MAX('Activities'!K44,462))</x:f>
        <x:v>0</x:v>
      </x:c>
      <x:c r="CE44" s="22" t="n">
        <x:f>MAX(0,MIN('Activities'!L44,474)-MAX('Activities'!K44,468))</x:f>
        <x:v>0</x:v>
      </x:c>
      <x:c r="CF44" s="22" t="n">
        <x:f>MAX(0,MIN('Activities'!L44,480)-MAX('Activities'!K44,474))</x:f>
        <x:v>0</x:v>
      </x:c>
      <x:c r="CG44" s="22" t="n">
        <x:f>MAX(0,MIN('Activities'!L44,486)-MAX('Activities'!K44,480))</x:f>
        <x:v>0</x:v>
      </x:c>
      <x:c r="CH44" s="22" t="n">
        <x:f>MAX(0,MIN('Activities'!L44,492)-MAX('Activities'!K44,486))</x:f>
        <x:v>0</x:v>
      </x:c>
      <x:c r="CI44" s="22" t="n">
        <x:f>MAX(0,MIN('Activities'!L44,498)-MAX('Activities'!K44,492))</x:f>
        <x:v>0</x:v>
      </x:c>
      <x:c r="CJ44" s="22" t="n">
        <x:f>MAX(0,MIN('Activities'!L44,504)-MAX('Activities'!K44,498))</x:f>
        <x:v>0</x:v>
      </x:c>
      <x:c r="CK44" s="22" t="n">
        <x:f>MAX(0,MIN('Activities'!L44,510)-MAX('Activities'!K44,504))</x:f>
        <x:v>0</x:v>
      </x:c>
      <x:c r="CL44" s="22" t="n">
        <x:f>MAX(0,MIN('Activities'!L44,516)-MAX('Activities'!K44,510))</x:f>
        <x:v>0</x:v>
      </x:c>
      <x:c r="CM44" s="22" t="n">
        <x:f>MAX(0,MIN('Activities'!L44,522)-MAX('Activities'!K44,516))</x:f>
        <x:v>0</x:v>
      </x:c>
      <x:c r="CN44" s="22" t="n">
        <x:f>MAX(0,MIN('Activities'!L44,528)-MAX('Activities'!K44,522))</x:f>
        <x:v>0</x:v>
      </x:c>
      <x:c r="CO44" s="22" t="n">
        <x:f>MAX(0,MIN('Activities'!L44,534)-MAX('Activities'!K44,528))</x:f>
        <x:v>0</x:v>
      </x:c>
      <x:c r="CP44" s="22" t="n">
        <x:f>MAX(0,MIN('Activities'!L44,540)-MAX('Activities'!K44,534))</x:f>
        <x:v>0</x:v>
      </x:c>
      <x:c r="CQ44" s="22" t="n">
        <x:f>MAX(0,MIN('Activities'!L44,546)-MAX('Activities'!K44,540))</x:f>
        <x:v>0</x:v>
      </x:c>
      <x:c r="CR44" s="22" t="n">
        <x:f>MAX(0,MIN('Activities'!L44,552)-MAX('Activities'!K44,546))</x:f>
        <x:v>0</x:v>
      </x:c>
      <x:c r="CS44" s="22" t="n">
        <x:f>MAX(0,MIN('Activities'!L44,558)-MAX('Activities'!K44,552))</x:f>
        <x:v>0</x:v>
      </x:c>
      <x:c r="CT44" s="22" t="n">
        <x:f>MAX(0,MIN('Activities'!L44,564)-MAX('Activities'!K44,558))</x:f>
        <x:v>0</x:v>
      </x:c>
      <x:c r="CU44" s="22" t="n">
        <x:f>MAX(0,MIN('Activities'!L44,570)-MAX('Activities'!K44,564))</x:f>
        <x:v>0</x:v>
      </x:c>
      <x:c r="CV44" s="22" t="n">
        <x:f>MAX(0,MIN('Activities'!L44,576)-MAX('Activities'!K44,570))</x:f>
        <x:v>0</x:v>
      </x:c>
      <x:c r="CW44" s="22" t="n">
        <x:f>MAX(0,MIN('Activities'!L44,582)-MAX('Activities'!K44,576))</x:f>
        <x:v>0</x:v>
      </x:c>
      <x:c r="CX44" s="22" t="n">
        <x:f>MAX(0,MIN('Activities'!L44,588)-MAX('Activities'!K44,582))</x:f>
        <x:v>0</x:v>
      </x:c>
      <x:c r="CY44" s="22" t="n">
        <x:f>MAX(0,MIN('Activities'!L44,594)-MAX('Activities'!K44,588))</x:f>
        <x:v>0</x:v>
      </x:c>
      <x:c r="CZ44" s="22" t="n">
        <x:f>MAX(0,MIN('Activities'!L44,600)-MAX('Activities'!K44,594))</x:f>
        <x:v>0</x:v>
      </x:c>
      <x:c r="DA44" s="22" t="n">
        <x:f>MAX(0,MIN('Activities'!L44,606)-MAX('Activities'!K44,600))</x:f>
        <x:v>0</x:v>
      </x:c>
      <x:c r="DB44" s="22" t="n">
        <x:f>MAX(0,MIN('Activities'!L44,612)-MAX('Activities'!K44,606))</x:f>
        <x:v>0</x:v>
      </x:c>
      <x:c r="DC44" s="22" t="n">
        <x:f>MAX(0,MIN('Activities'!L44,618)-MAX('Activities'!K44,612))</x:f>
        <x:v>0</x:v>
      </x:c>
      <x:c r="DD44" s="22" t="n">
        <x:f>MAX(0,MIN('Activities'!L44,624)-MAX('Activities'!K44,618))</x:f>
        <x:v>0</x:v>
      </x:c>
      <x:c r="DE44" s="22" t="n">
        <x:f>MAX(0,MIN('Activities'!L44,630)-MAX('Activities'!K44,624))</x:f>
        <x:v>0</x:v>
      </x:c>
      <x:c r="DF44" s="22" t="n">
        <x:f>MAX(0,MIN('Activities'!L44,636)-MAX('Activities'!K44,630))</x:f>
        <x:v>0</x:v>
      </x:c>
    </x:row>
    <x:row r="45" ht="23" customHeight="1">
      <x:c r="A45" s="1" t="str">
        <x:v>T1-L07-R</x:v>
      </x:c>
      <x:c r="B45" s="1" t="str">
        <x:v>T1</x:v>
      </x:c>
      <x:c r="C45" s="1" t="str">
        <x:v>Column, wall, beam and slab reinforcement</x:v>
      </x:c>
      <x:c r="D45" s="1" t="str">
        <x:v>Rebar</x:v>
      </x:c>
      <x:c r="E45" s="23" t="n">
        <x:f>MAX(0,MIN('Activities'!L45,6)-MAX('Activities'!K45,0))</x:f>
        <x:v>0</x:v>
      </x:c>
      <x:c r="F45" s="23" t="n">
        <x:f>MAX(0,MIN('Activities'!L45,12)-MAX('Activities'!K45,6))</x:f>
        <x:v>0</x:v>
      </x:c>
      <x:c r="G45" s="23" t="n">
        <x:f>MAX(0,MIN('Activities'!L45,18)-MAX('Activities'!K45,12))</x:f>
        <x:v>0</x:v>
      </x:c>
      <x:c r="H45" s="23" t="n">
        <x:f>MAX(0,MIN('Activities'!L45,24)-MAX('Activities'!K45,18))</x:f>
        <x:v>0</x:v>
      </x:c>
      <x:c r="I45" s="23" t="n">
        <x:f>MAX(0,MIN('Activities'!L45,30)-MAX('Activities'!K45,24))</x:f>
        <x:v>0</x:v>
      </x:c>
      <x:c r="J45" s="23" t="n">
        <x:f>MAX(0,MIN('Activities'!L45,36)-MAX('Activities'!K45,30))</x:f>
        <x:v>0</x:v>
      </x:c>
      <x:c r="K45" s="23" t="n">
        <x:f>MAX(0,MIN('Activities'!L45,42)-MAX('Activities'!K45,36))</x:f>
        <x:v>0</x:v>
      </x:c>
      <x:c r="L45" s="23" t="n">
        <x:f>MAX(0,MIN('Activities'!L45,48)-MAX('Activities'!K45,42))</x:f>
        <x:v>0</x:v>
      </x:c>
      <x:c r="M45" s="23" t="n">
        <x:f>MAX(0,MIN('Activities'!L45,54)-MAX('Activities'!K45,48))</x:f>
        <x:v>0</x:v>
      </x:c>
      <x:c r="N45" s="23" t="n">
        <x:f>MAX(0,MIN('Activities'!L45,60)-MAX('Activities'!K45,54))</x:f>
        <x:v>0</x:v>
      </x:c>
      <x:c r="O45" s="23" t="n">
        <x:f>MAX(0,MIN('Activities'!L45,66)-MAX('Activities'!K45,60))</x:f>
        <x:v>0</x:v>
      </x:c>
      <x:c r="P45" s="23" t="n">
        <x:f>MAX(0,MIN('Activities'!L45,72)-MAX('Activities'!K45,66))</x:f>
        <x:v>0</x:v>
      </x:c>
      <x:c r="Q45" s="23" t="n">
        <x:f>MAX(0,MIN('Activities'!L45,78)-MAX('Activities'!K45,72))</x:f>
        <x:v>0</x:v>
      </x:c>
      <x:c r="R45" s="23" t="n">
        <x:f>MAX(0,MIN('Activities'!L45,84)-MAX('Activities'!K45,78))</x:f>
        <x:v>0</x:v>
      </x:c>
      <x:c r="S45" s="23" t="n">
        <x:f>MAX(0,MIN('Activities'!L45,90)-MAX('Activities'!K45,84))</x:f>
        <x:v>0</x:v>
      </x:c>
      <x:c r="T45" s="23" t="n">
        <x:f>MAX(0,MIN('Activities'!L45,96)-MAX('Activities'!K45,90))</x:f>
        <x:v>0</x:v>
      </x:c>
      <x:c r="U45" s="23" t="n">
        <x:f>MAX(0,MIN('Activities'!L45,102)-MAX('Activities'!K45,96))</x:f>
        <x:v>0</x:v>
      </x:c>
      <x:c r="V45" s="23" t="n">
        <x:f>MAX(0,MIN('Activities'!L45,108)-MAX('Activities'!K45,102))</x:f>
        <x:v>0</x:v>
      </x:c>
      <x:c r="W45" s="23" t="n">
        <x:f>MAX(0,MIN('Activities'!L45,114)-MAX('Activities'!K45,108))</x:f>
        <x:v>0</x:v>
      </x:c>
      <x:c r="X45" s="23" t="n">
        <x:f>MAX(0,MIN('Activities'!L45,120)-MAX('Activities'!K45,114))</x:f>
        <x:v>0</x:v>
      </x:c>
      <x:c r="Y45" s="23" t="n">
        <x:f>MAX(0,MIN('Activities'!L45,126)-MAX('Activities'!K45,120))</x:f>
        <x:v>0</x:v>
      </x:c>
      <x:c r="Z45" s="23" t="n">
        <x:f>MAX(0,MIN('Activities'!L45,132)-MAX('Activities'!K45,126))</x:f>
        <x:v>0</x:v>
      </x:c>
      <x:c r="AA45" s="23" t="n">
        <x:f>MAX(0,MIN('Activities'!L45,138)-MAX('Activities'!K45,132))</x:f>
        <x:v>0</x:v>
      </x:c>
      <x:c r="AB45" s="23" t="n">
        <x:f>MAX(0,MIN('Activities'!L45,144)-MAX('Activities'!K45,138))</x:f>
        <x:v>0</x:v>
      </x:c>
      <x:c r="AC45" s="23" t="n">
        <x:f>MAX(0,MIN('Activities'!L45,150)-MAX('Activities'!K45,144))</x:f>
        <x:v>0</x:v>
      </x:c>
      <x:c r="AD45" s="23" t="n">
        <x:f>MAX(0,MIN('Activities'!L45,156)-MAX('Activities'!K45,150))</x:f>
        <x:v>0</x:v>
      </x:c>
      <x:c r="AE45" s="23" t="n">
        <x:f>MAX(0,MIN('Activities'!L45,162)-MAX('Activities'!K45,156))</x:f>
        <x:v>0</x:v>
      </x:c>
      <x:c r="AF45" s="23" t="n">
        <x:f>MAX(0,MIN('Activities'!L45,168)-MAX('Activities'!K45,162))</x:f>
        <x:v>0</x:v>
      </x:c>
      <x:c r="AG45" s="23" t="n">
        <x:f>MAX(0,MIN('Activities'!L45,174)-MAX('Activities'!K45,168))</x:f>
        <x:v>0</x:v>
      </x:c>
      <x:c r="AH45" s="23" t="n">
        <x:f>MAX(0,MIN('Activities'!L45,180)-MAX('Activities'!K45,174))</x:f>
        <x:v>0</x:v>
      </x:c>
      <x:c r="AI45" s="23" t="n">
        <x:f>MAX(0,MIN('Activities'!L45,186)-MAX('Activities'!K45,180))</x:f>
        <x:v>0</x:v>
      </x:c>
      <x:c r="AJ45" s="23" t="n">
        <x:f>MAX(0,MIN('Activities'!L45,192)-MAX('Activities'!K45,186))</x:f>
        <x:v>0</x:v>
      </x:c>
      <x:c r="AK45" s="23" t="n">
        <x:f>MAX(0,MIN('Activities'!L45,198)-MAX('Activities'!K45,192))</x:f>
        <x:v>0</x:v>
      </x:c>
      <x:c r="AL45" s="23" t="n">
        <x:f>MAX(0,MIN('Activities'!L45,204)-MAX('Activities'!K45,198))</x:f>
        <x:v>0</x:v>
      </x:c>
      <x:c r="AM45" s="23" t="n">
        <x:f>MAX(0,MIN('Activities'!L45,210)-MAX('Activities'!K45,204))</x:f>
        <x:v>0</x:v>
      </x:c>
      <x:c r="AN45" s="23" t="n">
        <x:f>MAX(0,MIN('Activities'!L45,216)-MAX('Activities'!K45,210))</x:f>
        <x:v>0</x:v>
      </x:c>
      <x:c r="AO45" s="23" t="n">
        <x:f>MAX(0,MIN('Activities'!L45,222)-MAX('Activities'!K45,216))</x:f>
        <x:v>0</x:v>
      </x:c>
      <x:c r="AP45" s="23" t="n">
        <x:f>MAX(0,MIN('Activities'!L45,228)-MAX('Activities'!K45,222))</x:f>
        <x:v>0</x:v>
      </x:c>
      <x:c r="AQ45" s="23" t="n">
        <x:f>MAX(0,MIN('Activities'!L45,234)-MAX('Activities'!K45,228))</x:f>
        <x:v>0</x:v>
      </x:c>
      <x:c r="AR45" s="23" t="n">
        <x:f>MAX(0,MIN('Activities'!L45,240)-MAX('Activities'!K45,234))</x:f>
        <x:v>0</x:v>
      </x:c>
      <x:c r="AS45" s="23" t="n">
        <x:f>MAX(0,MIN('Activities'!L45,246)-MAX('Activities'!K45,240))</x:f>
        <x:v>0</x:v>
      </x:c>
      <x:c r="AT45" s="23" t="n">
        <x:f>MAX(0,MIN('Activities'!L45,252)-MAX('Activities'!K45,246))</x:f>
        <x:v>0</x:v>
      </x:c>
      <x:c r="AU45" s="23" t="n">
        <x:f>MAX(0,MIN('Activities'!L45,258)-MAX('Activities'!K45,252))</x:f>
        <x:v>0</x:v>
      </x:c>
      <x:c r="AV45" s="23" t="n">
        <x:f>MAX(0,MIN('Activities'!L45,264)-MAX('Activities'!K45,258))</x:f>
        <x:v>0</x:v>
      </x:c>
      <x:c r="AW45" s="23" t="n">
        <x:f>MAX(0,MIN('Activities'!L45,270)-MAX('Activities'!K45,264))</x:f>
        <x:v>4</x:v>
      </x:c>
      <x:c r="AX45" s="23" t="n">
        <x:f>MAX(0,MIN('Activities'!L45,276)-MAX('Activities'!K45,270))</x:f>
        <x:v>1</x:v>
      </x:c>
      <x:c r="AY45" s="23" t="n">
        <x:f>MAX(0,MIN('Activities'!L45,282)-MAX('Activities'!K45,276))</x:f>
        <x:v>0</x:v>
      </x:c>
      <x:c r="AZ45" s="23" t="n">
        <x:f>MAX(0,MIN('Activities'!L45,288)-MAX('Activities'!K45,282))</x:f>
        <x:v>0</x:v>
      </x:c>
      <x:c r="BA45" s="23" t="n">
        <x:f>MAX(0,MIN('Activities'!L45,294)-MAX('Activities'!K45,288))</x:f>
        <x:v>0</x:v>
      </x:c>
      <x:c r="BB45" s="23" t="n">
        <x:f>MAX(0,MIN('Activities'!L45,300)-MAX('Activities'!K45,294))</x:f>
        <x:v>0</x:v>
      </x:c>
      <x:c r="BC45" s="23" t="n">
        <x:f>MAX(0,MIN('Activities'!L45,306)-MAX('Activities'!K45,300))</x:f>
        <x:v>0</x:v>
      </x:c>
      <x:c r="BD45" s="23" t="n">
        <x:f>MAX(0,MIN('Activities'!L45,312)-MAX('Activities'!K45,306))</x:f>
        <x:v>0</x:v>
      </x:c>
      <x:c r="BE45" s="23" t="n">
        <x:f>MAX(0,MIN('Activities'!L45,318)-MAX('Activities'!K45,312))</x:f>
        <x:v>0</x:v>
      </x:c>
      <x:c r="BF45" s="23" t="n">
        <x:f>MAX(0,MIN('Activities'!L45,324)-MAX('Activities'!K45,318))</x:f>
        <x:v>0</x:v>
      </x:c>
      <x:c r="BG45" s="23" t="n">
        <x:f>MAX(0,MIN('Activities'!L45,330)-MAX('Activities'!K45,324))</x:f>
        <x:v>0</x:v>
      </x:c>
      <x:c r="BH45" s="23" t="n">
        <x:f>MAX(0,MIN('Activities'!L45,336)-MAX('Activities'!K45,330))</x:f>
        <x:v>0</x:v>
      </x:c>
      <x:c r="BI45" s="23" t="n">
        <x:f>MAX(0,MIN('Activities'!L45,342)-MAX('Activities'!K45,336))</x:f>
        <x:v>0</x:v>
      </x:c>
      <x:c r="BJ45" s="23" t="n">
        <x:f>MAX(0,MIN('Activities'!L45,348)-MAX('Activities'!K45,342))</x:f>
        <x:v>0</x:v>
      </x:c>
      <x:c r="BK45" s="23" t="n">
        <x:f>MAX(0,MIN('Activities'!L45,354)-MAX('Activities'!K45,348))</x:f>
        <x:v>0</x:v>
      </x:c>
      <x:c r="BL45" s="23" t="n">
        <x:f>MAX(0,MIN('Activities'!L45,360)-MAX('Activities'!K45,354))</x:f>
        <x:v>0</x:v>
      </x:c>
      <x:c r="BM45" s="23" t="n">
        <x:f>MAX(0,MIN('Activities'!L45,366)-MAX('Activities'!K45,360))</x:f>
        <x:v>0</x:v>
      </x:c>
      <x:c r="BN45" s="23" t="n">
        <x:f>MAX(0,MIN('Activities'!L45,372)-MAX('Activities'!K45,366))</x:f>
        <x:v>0</x:v>
      </x:c>
      <x:c r="BO45" s="23" t="n">
        <x:f>MAX(0,MIN('Activities'!L45,378)-MAX('Activities'!K45,372))</x:f>
        <x:v>0</x:v>
      </x:c>
      <x:c r="BP45" s="23" t="n">
        <x:f>MAX(0,MIN('Activities'!L45,384)-MAX('Activities'!K45,378))</x:f>
        <x:v>0</x:v>
      </x:c>
      <x:c r="BQ45" s="23" t="n">
        <x:f>MAX(0,MIN('Activities'!L45,390)-MAX('Activities'!K45,384))</x:f>
        <x:v>0</x:v>
      </x:c>
      <x:c r="BR45" s="23" t="n">
        <x:f>MAX(0,MIN('Activities'!L45,396)-MAX('Activities'!K45,390))</x:f>
        <x:v>0</x:v>
      </x:c>
      <x:c r="BS45" s="23" t="n">
        <x:f>MAX(0,MIN('Activities'!L45,402)-MAX('Activities'!K45,396))</x:f>
        <x:v>0</x:v>
      </x:c>
      <x:c r="BT45" s="23" t="n">
        <x:f>MAX(0,MIN('Activities'!L45,408)-MAX('Activities'!K45,402))</x:f>
        <x:v>0</x:v>
      </x:c>
      <x:c r="BU45" s="23" t="n">
        <x:f>MAX(0,MIN('Activities'!L45,414)-MAX('Activities'!K45,408))</x:f>
        <x:v>0</x:v>
      </x:c>
      <x:c r="BV45" s="23" t="n">
        <x:f>MAX(0,MIN('Activities'!L45,420)-MAX('Activities'!K45,414))</x:f>
        <x:v>0</x:v>
      </x:c>
      <x:c r="BW45" s="23" t="n">
        <x:f>MAX(0,MIN('Activities'!L45,426)-MAX('Activities'!K45,420))</x:f>
        <x:v>0</x:v>
      </x:c>
      <x:c r="BX45" s="23" t="n">
        <x:f>MAX(0,MIN('Activities'!L45,432)-MAX('Activities'!K45,426))</x:f>
        <x:v>0</x:v>
      </x:c>
      <x:c r="BY45" s="23" t="n">
        <x:f>MAX(0,MIN('Activities'!L45,438)-MAX('Activities'!K45,432))</x:f>
        <x:v>0</x:v>
      </x:c>
      <x:c r="BZ45" s="23" t="n">
        <x:f>MAX(0,MIN('Activities'!L45,444)-MAX('Activities'!K45,438))</x:f>
        <x:v>0</x:v>
      </x:c>
      <x:c r="CA45" s="23" t="n">
        <x:f>MAX(0,MIN('Activities'!L45,450)-MAX('Activities'!K45,444))</x:f>
        <x:v>0</x:v>
      </x:c>
      <x:c r="CB45" s="23" t="n">
        <x:f>MAX(0,MIN('Activities'!L45,456)-MAX('Activities'!K45,450))</x:f>
        <x:v>0</x:v>
      </x:c>
      <x:c r="CC45" s="23" t="n">
        <x:f>MAX(0,MIN('Activities'!L45,462)-MAX('Activities'!K45,456))</x:f>
        <x:v>0</x:v>
      </x:c>
      <x:c r="CD45" s="23" t="n">
        <x:f>MAX(0,MIN('Activities'!L45,468)-MAX('Activities'!K45,462))</x:f>
        <x:v>0</x:v>
      </x:c>
      <x:c r="CE45" s="23" t="n">
        <x:f>MAX(0,MIN('Activities'!L45,474)-MAX('Activities'!K45,468))</x:f>
        <x:v>0</x:v>
      </x:c>
      <x:c r="CF45" s="23" t="n">
        <x:f>MAX(0,MIN('Activities'!L45,480)-MAX('Activities'!K45,474))</x:f>
        <x:v>0</x:v>
      </x:c>
      <x:c r="CG45" s="23" t="n">
        <x:f>MAX(0,MIN('Activities'!L45,486)-MAX('Activities'!K45,480))</x:f>
        <x:v>0</x:v>
      </x:c>
      <x:c r="CH45" s="23" t="n">
        <x:f>MAX(0,MIN('Activities'!L45,492)-MAX('Activities'!K45,486))</x:f>
        <x:v>0</x:v>
      </x:c>
      <x:c r="CI45" s="23" t="n">
        <x:f>MAX(0,MIN('Activities'!L45,498)-MAX('Activities'!K45,492))</x:f>
        <x:v>0</x:v>
      </x:c>
      <x:c r="CJ45" s="23" t="n">
        <x:f>MAX(0,MIN('Activities'!L45,504)-MAX('Activities'!K45,498))</x:f>
        <x:v>0</x:v>
      </x:c>
      <x:c r="CK45" s="23" t="n">
        <x:f>MAX(0,MIN('Activities'!L45,510)-MAX('Activities'!K45,504))</x:f>
        <x:v>0</x:v>
      </x:c>
      <x:c r="CL45" s="23" t="n">
        <x:f>MAX(0,MIN('Activities'!L45,516)-MAX('Activities'!K45,510))</x:f>
        <x:v>0</x:v>
      </x:c>
      <x:c r="CM45" s="23" t="n">
        <x:f>MAX(0,MIN('Activities'!L45,522)-MAX('Activities'!K45,516))</x:f>
        <x:v>0</x:v>
      </x:c>
      <x:c r="CN45" s="23" t="n">
        <x:f>MAX(0,MIN('Activities'!L45,528)-MAX('Activities'!K45,522))</x:f>
        <x:v>0</x:v>
      </x:c>
      <x:c r="CO45" s="23" t="n">
        <x:f>MAX(0,MIN('Activities'!L45,534)-MAX('Activities'!K45,528))</x:f>
        <x:v>0</x:v>
      </x:c>
      <x:c r="CP45" s="23" t="n">
        <x:f>MAX(0,MIN('Activities'!L45,540)-MAX('Activities'!K45,534))</x:f>
        <x:v>0</x:v>
      </x:c>
      <x:c r="CQ45" s="23" t="n">
        <x:f>MAX(0,MIN('Activities'!L45,546)-MAX('Activities'!K45,540))</x:f>
        <x:v>0</x:v>
      </x:c>
      <x:c r="CR45" s="23" t="n">
        <x:f>MAX(0,MIN('Activities'!L45,552)-MAX('Activities'!K45,546))</x:f>
        <x:v>0</x:v>
      </x:c>
      <x:c r="CS45" s="23" t="n">
        <x:f>MAX(0,MIN('Activities'!L45,558)-MAX('Activities'!K45,552))</x:f>
        <x:v>0</x:v>
      </x:c>
      <x:c r="CT45" s="23" t="n">
        <x:f>MAX(0,MIN('Activities'!L45,564)-MAX('Activities'!K45,558))</x:f>
        <x:v>0</x:v>
      </x:c>
      <x:c r="CU45" s="23" t="n">
        <x:f>MAX(0,MIN('Activities'!L45,570)-MAX('Activities'!K45,564))</x:f>
        <x:v>0</x:v>
      </x:c>
      <x:c r="CV45" s="23" t="n">
        <x:f>MAX(0,MIN('Activities'!L45,576)-MAX('Activities'!K45,570))</x:f>
        <x:v>0</x:v>
      </x:c>
      <x:c r="CW45" s="23" t="n">
        <x:f>MAX(0,MIN('Activities'!L45,582)-MAX('Activities'!K45,576))</x:f>
        <x:v>0</x:v>
      </x:c>
      <x:c r="CX45" s="23" t="n">
        <x:f>MAX(0,MIN('Activities'!L45,588)-MAX('Activities'!K45,582))</x:f>
        <x:v>0</x:v>
      </x:c>
      <x:c r="CY45" s="23" t="n">
        <x:f>MAX(0,MIN('Activities'!L45,594)-MAX('Activities'!K45,588))</x:f>
        <x:v>0</x:v>
      </x:c>
      <x:c r="CZ45" s="23" t="n">
        <x:f>MAX(0,MIN('Activities'!L45,600)-MAX('Activities'!K45,594))</x:f>
        <x:v>0</x:v>
      </x:c>
      <x:c r="DA45" s="23" t="n">
        <x:f>MAX(0,MIN('Activities'!L45,606)-MAX('Activities'!K45,600))</x:f>
        <x:v>0</x:v>
      </x:c>
      <x:c r="DB45" s="23" t="n">
        <x:f>MAX(0,MIN('Activities'!L45,612)-MAX('Activities'!K45,606))</x:f>
        <x:v>0</x:v>
      </x:c>
      <x:c r="DC45" s="23" t="n">
        <x:f>MAX(0,MIN('Activities'!L45,618)-MAX('Activities'!K45,612))</x:f>
        <x:v>0</x:v>
      </x:c>
      <x:c r="DD45" s="23" t="n">
        <x:f>MAX(0,MIN('Activities'!L45,624)-MAX('Activities'!K45,618))</x:f>
        <x:v>0</x:v>
      </x:c>
      <x:c r="DE45" s="23" t="n">
        <x:f>MAX(0,MIN('Activities'!L45,630)-MAX('Activities'!K45,624))</x:f>
        <x:v>0</x:v>
      </x:c>
      <x:c r="DF45" s="23" t="n">
        <x:f>MAX(0,MIN('Activities'!L45,636)-MAX('Activities'!K45,630))</x:f>
        <x:v>0</x:v>
      </x:c>
    </x:row>
    <x:row r="46" ht="23" customHeight="1">
      <x:c r="A46" s="6" t="str">
        <x:v>T1-L07-C</x:v>
      </x:c>
      <x:c r="B46" s="6" t="str">
        <x:v>T1</x:v>
      </x:c>
      <x:c r="C46" s="6" t="str">
        <x:v>Concrete placement and finishing</x:v>
      </x:c>
      <x:c r="D46" s="6" t="str">
        <x:v>Concrete</x:v>
      </x:c>
      <x:c r="E46" s="22" t="n">
        <x:f>MAX(0,MIN('Activities'!L46,6)-MAX('Activities'!K46,0))</x:f>
        <x:v>0</x:v>
      </x:c>
      <x:c r="F46" s="22" t="n">
        <x:f>MAX(0,MIN('Activities'!L46,12)-MAX('Activities'!K46,6))</x:f>
        <x:v>0</x:v>
      </x:c>
      <x:c r="G46" s="22" t="n">
        <x:f>MAX(0,MIN('Activities'!L46,18)-MAX('Activities'!K46,12))</x:f>
        <x:v>0</x:v>
      </x:c>
      <x:c r="H46" s="22" t="n">
        <x:f>MAX(0,MIN('Activities'!L46,24)-MAX('Activities'!K46,18))</x:f>
        <x:v>0</x:v>
      </x:c>
      <x:c r="I46" s="22" t="n">
        <x:f>MAX(0,MIN('Activities'!L46,30)-MAX('Activities'!K46,24))</x:f>
        <x:v>0</x:v>
      </x:c>
      <x:c r="J46" s="22" t="n">
        <x:f>MAX(0,MIN('Activities'!L46,36)-MAX('Activities'!K46,30))</x:f>
        <x:v>0</x:v>
      </x:c>
      <x:c r="K46" s="22" t="n">
        <x:f>MAX(0,MIN('Activities'!L46,42)-MAX('Activities'!K46,36))</x:f>
        <x:v>0</x:v>
      </x:c>
      <x:c r="L46" s="22" t="n">
        <x:f>MAX(0,MIN('Activities'!L46,48)-MAX('Activities'!K46,42))</x:f>
        <x:v>0</x:v>
      </x:c>
      <x:c r="M46" s="22" t="n">
        <x:f>MAX(0,MIN('Activities'!L46,54)-MAX('Activities'!K46,48))</x:f>
        <x:v>0</x:v>
      </x:c>
      <x:c r="N46" s="22" t="n">
        <x:f>MAX(0,MIN('Activities'!L46,60)-MAX('Activities'!K46,54))</x:f>
        <x:v>0</x:v>
      </x:c>
      <x:c r="O46" s="22" t="n">
        <x:f>MAX(0,MIN('Activities'!L46,66)-MAX('Activities'!K46,60))</x:f>
        <x:v>0</x:v>
      </x:c>
      <x:c r="P46" s="22" t="n">
        <x:f>MAX(0,MIN('Activities'!L46,72)-MAX('Activities'!K46,66))</x:f>
        <x:v>0</x:v>
      </x:c>
      <x:c r="Q46" s="22" t="n">
        <x:f>MAX(0,MIN('Activities'!L46,78)-MAX('Activities'!K46,72))</x:f>
        <x:v>0</x:v>
      </x:c>
      <x:c r="R46" s="22" t="n">
        <x:f>MAX(0,MIN('Activities'!L46,84)-MAX('Activities'!K46,78))</x:f>
        <x:v>0</x:v>
      </x:c>
      <x:c r="S46" s="22" t="n">
        <x:f>MAX(0,MIN('Activities'!L46,90)-MAX('Activities'!K46,84))</x:f>
        <x:v>0</x:v>
      </x:c>
      <x:c r="T46" s="22" t="n">
        <x:f>MAX(0,MIN('Activities'!L46,96)-MAX('Activities'!K46,90))</x:f>
        <x:v>0</x:v>
      </x:c>
      <x:c r="U46" s="22" t="n">
        <x:f>MAX(0,MIN('Activities'!L46,102)-MAX('Activities'!K46,96))</x:f>
        <x:v>0</x:v>
      </x:c>
      <x:c r="V46" s="22" t="n">
        <x:f>MAX(0,MIN('Activities'!L46,108)-MAX('Activities'!K46,102))</x:f>
        <x:v>0</x:v>
      </x:c>
      <x:c r="W46" s="22" t="n">
        <x:f>MAX(0,MIN('Activities'!L46,114)-MAX('Activities'!K46,108))</x:f>
        <x:v>0</x:v>
      </x:c>
      <x:c r="X46" s="22" t="n">
        <x:f>MAX(0,MIN('Activities'!L46,120)-MAX('Activities'!K46,114))</x:f>
        <x:v>0</x:v>
      </x:c>
      <x:c r="Y46" s="22" t="n">
        <x:f>MAX(0,MIN('Activities'!L46,126)-MAX('Activities'!K46,120))</x:f>
        <x:v>0</x:v>
      </x:c>
      <x:c r="Z46" s="22" t="n">
        <x:f>MAX(0,MIN('Activities'!L46,132)-MAX('Activities'!K46,126))</x:f>
        <x:v>0</x:v>
      </x:c>
      <x:c r="AA46" s="22" t="n">
        <x:f>MAX(0,MIN('Activities'!L46,138)-MAX('Activities'!K46,132))</x:f>
        <x:v>0</x:v>
      </x:c>
      <x:c r="AB46" s="22" t="n">
        <x:f>MAX(0,MIN('Activities'!L46,144)-MAX('Activities'!K46,138))</x:f>
        <x:v>0</x:v>
      </x:c>
      <x:c r="AC46" s="22" t="n">
        <x:f>MAX(0,MIN('Activities'!L46,150)-MAX('Activities'!K46,144))</x:f>
        <x:v>0</x:v>
      </x:c>
      <x:c r="AD46" s="22" t="n">
        <x:f>MAX(0,MIN('Activities'!L46,156)-MAX('Activities'!K46,150))</x:f>
        <x:v>0</x:v>
      </x:c>
      <x:c r="AE46" s="22" t="n">
        <x:f>MAX(0,MIN('Activities'!L46,162)-MAX('Activities'!K46,156))</x:f>
        <x:v>0</x:v>
      </x:c>
      <x:c r="AF46" s="22" t="n">
        <x:f>MAX(0,MIN('Activities'!L46,168)-MAX('Activities'!K46,162))</x:f>
        <x:v>0</x:v>
      </x:c>
      <x:c r="AG46" s="22" t="n">
        <x:f>MAX(0,MIN('Activities'!L46,174)-MAX('Activities'!K46,168))</x:f>
        <x:v>0</x:v>
      </x:c>
      <x:c r="AH46" s="22" t="n">
        <x:f>MAX(0,MIN('Activities'!L46,180)-MAX('Activities'!K46,174))</x:f>
        <x:v>0</x:v>
      </x:c>
      <x:c r="AI46" s="22" t="n">
        <x:f>MAX(0,MIN('Activities'!L46,186)-MAX('Activities'!K46,180))</x:f>
        <x:v>0</x:v>
      </x:c>
      <x:c r="AJ46" s="22" t="n">
        <x:f>MAX(0,MIN('Activities'!L46,192)-MAX('Activities'!K46,186))</x:f>
        <x:v>0</x:v>
      </x:c>
      <x:c r="AK46" s="22" t="n">
        <x:f>MAX(0,MIN('Activities'!L46,198)-MAX('Activities'!K46,192))</x:f>
        <x:v>0</x:v>
      </x:c>
      <x:c r="AL46" s="22" t="n">
        <x:f>MAX(0,MIN('Activities'!L46,204)-MAX('Activities'!K46,198))</x:f>
        <x:v>0</x:v>
      </x:c>
      <x:c r="AM46" s="22" t="n">
        <x:f>MAX(0,MIN('Activities'!L46,210)-MAX('Activities'!K46,204))</x:f>
        <x:v>0</x:v>
      </x:c>
      <x:c r="AN46" s="22" t="n">
        <x:f>MAX(0,MIN('Activities'!L46,216)-MAX('Activities'!K46,210))</x:f>
        <x:v>0</x:v>
      </x:c>
      <x:c r="AO46" s="22" t="n">
        <x:f>MAX(0,MIN('Activities'!L46,222)-MAX('Activities'!K46,216))</x:f>
        <x:v>0</x:v>
      </x:c>
      <x:c r="AP46" s="22" t="n">
        <x:f>MAX(0,MIN('Activities'!L46,228)-MAX('Activities'!K46,222))</x:f>
        <x:v>0</x:v>
      </x:c>
      <x:c r="AQ46" s="22" t="n">
        <x:f>MAX(0,MIN('Activities'!L46,234)-MAX('Activities'!K46,228))</x:f>
        <x:v>0</x:v>
      </x:c>
      <x:c r="AR46" s="22" t="n">
        <x:f>MAX(0,MIN('Activities'!L46,240)-MAX('Activities'!K46,234))</x:f>
        <x:v>0</x:v>
      </x:c>
      <x:c r="AS46" s="22" t="n">
        <x:f>MAX(0,MIN('Activities'!L46,246)-MAX('Activities'!K46,240))</x:f>
        <x:v>0</x:v>
      </x:c>
      <x:c r="AT46" s="22" t="n">
        <x:f>MAX(0,MIN('Activities'!L46,252)-MAX('Activities'!K46,246))</x:f>
        <x:v>0</x:v>
      </x:c>
      <x:c r="AU46" s="22" t="n">
        <x:f>MAX(0,MIN('Activities'!L46,258)-MAX('Activities'!K46,252))</x:f>
        <x:v>0</x:v>
      </x:c>
      <x:c r="AV46" s="22" t="n">
        <x:f>MAX(0,MIN('Activities'!L46,264)-MAX('Activities'!K46,258))</x:f>
        <x:v>0</x:v>
      </x:c>
      <x:c r="AW46" s="22" t="n">
        <x:f>MAX(0,MIN('Activities'!L46,270)-MAX('Activities'!K46,264))</x:f>
        <x:v>0</x:v>
      </x:c>
      <x:c r="AX46" s="22" t="n">
        <x:f>MAX(0,MIN('Activities'!L46,276)-MAX('Activities'!K46,270))</x:f>
        <x:v>2</x:v>
      </x:c>
      <x:c r="AY46" s="22" t="n">
        <x:f>MAX(0,MIN('Activities'!L46,282)-MAX('Activities'!K46,276))</x:f>
        <x:v>0</x:v>
      </x:c>
      <x:c r="AZ46" s="22" t="n">
        <x:f>MAX(0,MIN('Activities'!L46,288)-MAX('Activities'!K46,282))</x:f>
        <x:v>0</x:v>
      </x:c>
      <x:c r="BA46" s="22" t="n">
        <x:f>MAX(0,MIN('Activities'!L46,294)-MAX('Activities'!K46,288))</x:f>
        <x:v>0</x:v>
      </x:c>
      <x:c r="BB46" s="22" t="n">
        <x:f>MAX(0,MIN('Activities'!L46,300)-MAX('Activities'!K46,294))</x:f>
        <x:v>0</x:v>
      </x:c>
      <x:c r="BC46" s="22" t="n">
        <x:f>MAX(0,MIN('Activities'!L46,306)-MAX('Activities'!K46,300))</x:f>
        <x:v>0</x:v>
      </x:c>
      <x:c r="BD46" s="22" t="n">
        <x:f>MAX(0,MIN('Activities'!L46,312)-MAX('Activities'!K46,306))</x:f>
        <x:v>0</x:v>
      </x:c>
      <x:c r="BE46" s="22" t="n">
        <x:f>MAX(0,MIN('Activities'!L46,318)-MAX('Activities'!K46,312))</x:f>
        <x:v>0</x:v>
      </x:c>
      <x:c r="BF46" s="22" t="n">
        <x:f>MAX(0,MIN('Activities'!L46,324)-MAX('Activities'!K46,318))</x:f>
        <x:v>0</x:v>
      </x:c>
      <x:c r="BG46" s="22" t="n">
        <x:f>MAX(0,MIN('Activities'!L46,330)-MAX('Activities'!K46,324))</x:f>
        <x:v>0</x:v>
      </x:c>
      <x:c r="BH46" s="22" t="n">
        <x:f>MAX(0,MIN('Activities'!L46,336)-MAX('Activities'!K46,330))</x:f>
        <x:v>0</x:v>
      </x:c>
      <x:c r="BI46" s="22" t="n">
        <x:f>MAX(0,MIN('Activities'!L46,342)-MAX('Activities'!K46,336))</x:f>
        <x:v>0</x:v>
      </x:c>
      <x:c r="BJ46" s="22" t="n">
        <x:f>MAX(0,MIN('Activities'!L46,348)-MAX('Activities'!K46,342))</x:f>
        <x:v>0</x:v>
      </x:c>
      <x:c r="BK46" s="22" t="n">
        <x:f>MAX(0,MIN('Activities'!L46,354)-MAX('Activities'!K46,348))</x:f>
        <x:v>0</x:v>
      </x:c>
      <x:c r="BL46" s="22" t="n">
        <x:f>MAX(0,MIN('Activities'!L46,360)-MAX('Activities'!K46,354))</x:f>
        <x:v>0</x:v>
      </x:c>
      <x:c r="BM46" s="22" t="n">
        <x:f>MAX(0,MIN('Activities'!L46,366)-MAX('Activities'!K46,360))</x:f>
        <x:v>0</x:v>
      </x:c>
      <x:c r="BN46" s="22" t="n">
        <x:f>MAX(0,MIN('Activities'!L46,372)-MAX('Activities'!K46,366))</x:f>
        <x:v>0</x:v>
      </x:c>
      <x:c r="BO46" s="22" t="n">
        <x:f>MAX(0,MIN('Activities'!L46,378)-MAX('Activities'!K46,372))</x:f>
        <x:v>0</x:v>
      </x:c>
      <x:c r="BP46" s="22" t="n">
        <x:f>MAX(0,MIN('Activities'!L46,384)-MAX('Activities'!K46,378))</x:f>
        <x:v>0</x:v>
      </x:c>
      <x:c r="BQ46" s="22" t="n">
        <x:f>MAX(0,MIN('Activities'!L46,390)-MAX('Activities'!K46,384))</x:f>
        <x:v>0</x:v>
      </x:c>
      <x:c r="BR46" s="22" t="n">
        <x:f>MAX(0,MIN('Activities'!L46,396)-MAX('Activities'!K46,390))</x:f>
        <x:v>0</x:v>
      </x:c>
      <x:c r="BS46" s="22" t="n">
        <x:f>MAX(0,MIN('Activities'!L46,402)-MAX('Activities'!K46,396))</x:f>
        <x:v>0</x:v>
      </x:c>
      <x:c r="BT46" s="22" t="n">
        <x:f>MAX(0,MIN('Activities'!L46,408)-MAX('Activities'!K46,402))</x:f>
        <x:v>0</x:v>
      </x:c>
      <x:c r="BU46" s="22" t="n">
        <x:f>MAX(0,MIN('Activities'!L46,414)-MAX('Activities'!K46,408))</x:f>
        <x:v>0</x:v>
      </x:c>
      <x:c r="BV46" s="22" t="n">
        <x:f>MAX(0,MIN('Activities'!L46,420)-MAX('Activities'!K46,414))</x:f>
        <x:v>0</x:v>
      </x:c>
      <x:c r="BW46" s="22" t="n">
        <x:f>MAX(0,MIN('Activities'!L46,426)-MAX('Activities'!K46,420))</x:f>
        <x:v>0</x:v>
      </x:c>
      <x:c r="BX46" s="22" t="n">
        <x:f>MAX(0,MIN('Activities'!L46,432)-MAX('Activities'!K46,426))</x:f>
        <x:v>0</x:v>
      </x:c>
      <x:c r="BY46" s="22" t="n">
        <x:f>MAX(0,MIN('Activities'!L46,438)-MAX('Activities'!K46,432))</x:f>
        <x:v>0</x:v>
      </x:c>
      <x:c r="BZ46" s="22" t="n">
        <x:f>MAX(0,MIN('Activities'!L46,444)-MAX('Activities'!K46,438))</x:f>
        <x:v>0</x:v>
      </x:c>
      <x:c r="CA46" s="22" t="n">
        <x:f>MAX(0,MIN('Activities'!L46,450)-MAX('Activities'!K46,444))</x:f>
        <x:v>0</x:v>
      </x:c>
      <x:c r="CB46" s="22" t="n">
        <x:f>MAX(0,MIN('Activities'!L46,456)-MAX('Activities'!K46,450))</x:f>
        <x:v>0</x:v>
      </x:c>
      <x:c r="CC46" s="22" t="n">
        <x:f>MAX(0,MIN('Activities'!L46,462)-MAX('Activities'!K46,456))</x:f>
        <x:v>0</x:v>
      </x:c>
      <x:c r="CD46" s="22" t="n">
        <x:f>MAX(0,MIN('Activities'!L46,468)-MAX('Activities'!K46,462))</x:f>
        <x:v>0</x:v>
      </x:c>
      <x:c r="CE46" s="22" t="n">
        <x:f>MAX(0,MIN('Activities'!L46,474)-MAX('Activities'!K46,468))</x:f>
        <x:v>0</x:v>
      </x:c>
      <x:c r="CF46" s="22" t="n">
        <x:f>MAX(0,MIN('Activities'!L46,480)-MAX('Activities'!K46,474))</x:f>
        <x:v>0</x:v>
      </x:c>
      <x:c r="CG46" s="22" t="n">
        <x:f>MAX(0,MIN('Activities'!L46,486)-MAX('Activities'!K46,480))</x:f>
        <x:v>0</x:v>
      </x:c>
      <x:c r="CH46" s="22" t="n">
        <x:f>MAX(0,MIN('Activities'!L46,492)-MAX('Activities'!K46,486))</x:f>
        <x:v>0</x:v>
      </x:c>
      <x:c r="CI46" s="22" t="n">
        <x:f>MAX(0,MIN('Activities'!L46,498)-MAX('Activities'!K46,492))</x:f>
        <x:v>0</x:v>
      </x:c>
      <x:c r="CJ46" s="22" t="n">
        <x:f>MAX(0,MIN('Activities'!L46,504)-MAX('Activities'!K46,498))</x:f>
        <x:v>0</x:v>
      </x:c>
      <x:c r="CK46" s="22" t="n">
        <x:f>MAX(0,MIN('Activities'!L46,510)-MAX('Activities'!K46,504))</x:f>
        <x:v>0</x:v>
      </x:c>
      <x:c r="CL46" s="22" t="n">
        <x:f>MAX(0,MIN('Activities'!L46,516)-MAX('Activities'!K46,510))</x:f>
        <x:v>0</x:v>
      </x:c>
      <x:c r="CM46" s="22" t="n">
        <x:f>MAX(0,MIN('Activities'!L46,522)-MAX('Activities'!K46,516))</x:f>
        <x:v>0</x:v>
      </x:c>
      <x:c r="CN46" s="22" t="n">
        <x:f>MAX(0,MIN('Activities'!L46,528)-MAX('Activities'!K46,522))</x:f>
        <x:v>0</x:v>
      </x:c>
      <x:c r="CO46" s="22" t="n">
        <x:f>MAX(0,MIN('Activities'!L46,534)-MAX('Activities'!K46,528))</x:f>
        <x:v>0</x:v>
      </x:c>
      <x:c r="CP46" s="22" t="n">
        <x:f>MAX(0,MIN('Activities'!L46,540)-MAX('Activities'!K46,534))</x:f>
        <x:v>0</x:v>
      </x:c>
      <x:c r="CQ46" s="22" t="n">
        <x:f>MAX(0,MIN('Activities'!L46,546)-MAX('Activities'!K46,540))</x:f>
        <x:v>0</x:v>
      </x:c>
      <x:c r="CR46" s="22" t="n">
        <x:f>MAX(0,MIN('Activities'!L46,552)-MAX('Activities'!K46,546))</x:f>
        <x:v>0</x:v>
      </x:c>
      <x:c r="CS46" s="22" t="n">
        <x:f>MAX(0,MIN('Activities'!L46,558)-MAX('Activities'!K46,552))</x:f>
        <x:v>0</x:v>
      </x:c>
      <x:c r="CT46" s="22" t="n">
        <x:f>MAX(0,MIN('Activities'!L46,564)-MAX('Activities'!K46,558))</x:f>
        <x:v>0</x:v>
      </x:c>
      <x:c r="CU46" s="22" t="n">
        <x:f>MAX(0,MIN('Activities'!L46,570)-MAX('Activities'!K46,564))</x:f>
        <x:v>0</x:v>
      </x:c>
      <x:c r="CV46" s="22" t="n">
        <x:f>MAX(0,MIN('Activities'!L46,576)-MAX('Activities'!K46,570))</x:f>
        <x:v>0</x:v>
      </x:c>
      <x:c r="CW46" s="22" t="n">
        <x:f>MAX(0,MIN('Activities'!L46,582)-MAX('Activities'!K46,576))</x:f>
        <x:v>0</x:v>
      </x:c>
      <x:c r="CX46" s="22" t="n">
        <x:f>MAX(0,MIN('Activities'!L46,588)-MAX('Activities'!K46,582))</x:f>
        <x:v>0</x:v>
      </x:c>
      <x:c r="CY46" s="22" t="n">
        <x:f>MAX(0,MIN('Activities'!L46,594)-MAX('Activities'!K46,588))</x:f>
        <x:v>0</x:v>
      </x:c>
      <x:c r="CZ46" s="22" t="n">
        <x:f>MAX(0,MIN('Activities'!L46,600)-MAX('Activities'!K46,594))</x:f>
        <x:v>0</x:v>
      </x:c>
      <x:c r="DA46" s="22" t="n">
        <x:f>MAX(0,MIN('Activities'!L46,606)-MAX('Activities'!K46,600))</x:f>
        <x:v>0</x:v>
      </x:c>
      <x:c r="DB46" s="22" t="n">
        <x:f>MAX(0,MIN('Activities'!L46,612)-MAX('Activities'!K46,606))</x:f>
        <x:v>0</x:v>
      </x:c>
      <x:c r="DC46" s="22" t="n">
        <x:f>MAX(0,MIN('Activities'!L46,618)-MAX('Activities'!K46,612))</x:f>
        <x:v>0</x:v>
      </x:c>
      <x:c r="DD46" s="22" t="n">
        <x:f>MAX(0,MIN('Activities'!L46,624)-MAX('Activities'!K46,618))</x:f>
        <x:v>0</x:v>
      </x:c>
      <x:c r="DE46" s="22" t="n">
        <x:f>MAX(0,MIN('Activities'!L46,630)-MAX('Activities'!K46,624))</x:f>
        <x:v>0</x:v>
      </x:c>
      <x:c r="DF46" s="22" t="n">
        <x:f>MAX(0,MIN('Activities'!L46,636)-MAX('Activities'!K46,630))</x:f>
        <x:v>0</x:v>
      </x:c>
    </x:row>
    <x:row r="47" ht="23" customHeight="1">
      <x:c r="A47" s="1" t="str">
        <x:v>T1-L07-H</x:v>
      </x:c>
      <x:c r="B47" s="1" t="str">
        <x:v>T1</x:v>
      </x:c>
      <x:c r="C47" s="1" t="str">
        <x:v>Curing and release hold point</x:v>
      </x:c>
      <x:c r="D47" s="1" t="str">
        <x:v>Site</x:v>
      </x:c>
      <x:c r="E47" s="23" t="n">
        <x:f>MAX(0,MIN('Activities'!L47,6)-MAX('Activities'!K47,0))</x:f>
        <x:v>0</x:v>
      </x:c>
      <x:c r="F47" s="23" t="n">
        <x:f>MAX(0,MIN('Activities'!L47,12)-MAX('Activities'!K47,6))</x:f>
        <x:v>0</x:v>
      </x:c>
      <x:c r="G47" s="23" t="n">
        <x:f>MAX(0,MIN('Activities'!L47,18)-MAX('Activities'!K47,12))</x:f>
        <x:v>0</x:v>
      </x:c>
      <x:c r="H47" s="23" t="n">
        <x:f>MAX(0,MIN('Activities'!L47,24)-MAX('Activities'!K47,18))</x:f>
        <x:v>0</x:v>
      </x:c>
      <x:c r="I47" s="23" t="n">
        <x:f>MAX(0,MIN('Activities'!L47,30)-MAX('Activities'!K47,24))</x:f>
        <x:v>0</x:v>
      </x:c>
      <x:c r="J47" s="23" t="n">
        <x:f>MAX(0,MIN('Activities'!L47,36)-MAX('Activities'!K47,30))</x:f>
        <x:v>0</x:v>
      </x:c>
      <x:c r="K47" s="23" t="n">
        <x:f>MAX(0,MIN('Activities'!L47,42)-MAX('Activities'!K47,36))</x:f>
        <x:v>0</x:v>
      </x:c>
      <x:c r="L47" s="23" t="n">
        <x:f>MAX(0,MIN('Activities'!L47,48)-MAX('Activities'!K47,42))</x:f>
        <x:v>0</x:v>
      </x:c>
      <x:c r="M47" s="23" t="n">
        <x:f>MAX(0,MIN('Activities'!L47,54)-MAX('Activities'!K47,48))</x:f>
        <x:v>0</x:v>
      </x:c>
      <x:c r="N47" s="23" t="n">
        <x:f>MAX(0,MIN('Activities'!L47,60)-MAX('Activities'!K47,54))</x:f>
        <x:v>0</x:v>
      </x:c>
      <x:c r="O47" s="23" t="n">
        <x:f>MAX(0,MIN('Activities'!L47,66)-MAX('Activities'!K47,60))</x:f>
        <x:v>0</x:v>
      </x:c>
      <x:c r="P47" s="23" t="n">
        <x:f>MAX(0,MIN('Activities'!L47,72)-MAX('Activities'!K47,66))</x:f>
        <x:v>0</x:v>
      </x:c>
      <x:c r="Q47" s="23" t="n">
        <x:f>MAX(0,MIN('Activities'!L47,78)-MAX('Activities'!K47,72))</x:f>
        <x:v>0</x:v>
      </x:c>
      <x:c r="R47" s="23" t="n">
        <x:f>MAX(0,MIN('Activities'!L47,84)-MAX('Activities'!K47,78))</x:f>
        <x:v>0</x:v>
      </x:c>
      <x:c r="S47" s="23" t="n">
        <x:f>MAX(0,MIN('Activities'!L47,90)-MAX('Activities'!K47,84))</x:f>
        <x:v>0</x:v>
      </x:c>
      <x:c r="T47" s="23" t="n">
        <x:f>MAX(0,MIN('Activities'!L47,96)-MAX('Activities'!K47,90))</x:f>
        <x:v>0</x:v>
      </x:c>
      <x:c r="U47" s="23" t="n">
        <x:f>MAX(0,MIN('Activities'!L47,102)-MAX('Activities'!K47,96))</x:f>
        <x:v>0</x:v>
      </x:c>
      <x:c r="V47" s="23" t="n">
        <x:f>MAX(0,MIN('Activities'!L47,108)-MAX('Activities'!K47,102))</x:f>
        <x:v>0</x:v>
      </x:c>
      <x:c r="W47" s="23" t="n">
        <x:f>MAX(0,MIN('Activities'!L47,114)-MAX('Activities'!K47,108))</x:f>
        <x:v>0</x:v>
      </x:c>
      <x:c r="X47" s="23" t="n">
        <x:f>MAX(0,MIN('Activities'!L47,120)-MAX('Activities'!K47,114))</x:f>
        <x:v>0</x:v>
      </x:c>
      <x:c r="Y47" s="23" t="n">
        <x:f>MAX(0,MIN('Activities'!L47,126)-MAX('Activities'!K47,120))</x:f>
        <x:v>0</x:v>
      </x:c>
      <x:c r="Z47" s="23" t="n">
        <x:f>MAX(0,MIN('Activities'!L47,132)-MAX('Activities'!K47,126))</x:f>
        <x:v>0</x:v>
      </x:c>
      <x:c r="AA47" s="23" t="n">
        <x:f>MAX(0,MIN('Activities'!L47,138)-MAX('Activities'!K47,132))</x:f>
        <x:v>0</x:v>
      </x:c>
      <x:c r="AB47" s="23" t="n">
        <x:f>MAX(0,MIN('Activities'!L47,144)-MAX('Activities'!K47,138))</x:f>
        <x:v>0</x:v>
      </x:c>
      <x:c r="AC47" s="23" t="n">
        <x:f>MAX(0,MIN('Activities'!L47,150)-MAX('Activities'!K47,144))</x:f>
        <x:v>0</x:v>
      </x:c>
      <x:c r="AD47" s="23" t="n">
        <x:f>MAX(0,MIN('Activities'!L47,156)-MAX('Activities'!K47,150))</x:f>
        <x:v>0</x:v>
      </x:c>
      <x:c r="AE47" s="23" t="n">
        <x:f>MAX(0,MIN('Activities'!L47,162)-MAX('Activities'!K47,156))</x:f>
        <x:v>0</x:v>
      </x:c>
      <x:c r="AF47" s="23" t="n">
        <x:f>MAX(0,MIN('Activities'!L47,168)-MAX('Activities'!K47,162))</x:f>
        <x:v>0</x:v>
      </x:c>
      <x:c r="AG47" s="23" t="n">
        <x:f>MAX(0,MIN('Activities'!L47,174)-MAX('Activities'!K47,168))</x:f>
        <x:v>0</x:v>
      </x:c>
      <x:c r="AH47" s="23" t="n">
        <x:f>MAX(0,MIN('Activities'!L47,180)-MAX('Activities'!K47,174))</x:f>
        <x:v>0</x:v>
      </x:c>
      <x:c r="AI47" s="23" t="n">
        <x:f>MAX(0,MIN('Activities'!L47,186)-MAX('Activities'!K47,180))</x:f>
        <x:v>0</x:v>
      </x:c>
      <x:c r="AJ47" s="23" t="n">
        <x:f>MAX(0,MIN('Activities'!L47,192)-MAX('Activities'!K47,186))</x:f>
        <x:v>0</x:v>
      </x:c>
      <x:c r="AK47" s="23" t="n">
        <x:f>MAX(0,MIN('Activities'!L47,198)-MAX('Activities'!K47,192))</x:f>
        <x:v>0</x:v>
      </x:c>
      <x:c r="AL47" s="23" t="n">
        <x:f>MAX(0,MIN('Activities'!L47,204)-MAX('Activities'!K47,198))</x:f>
        <x:v>0</x:v>
      </x:c>
      <x:c r="AM47" s="23" t="n">
        <x:f>MAX(0,MIN('Activities'!L47,210)-MAX('Activities'!K47,204))</x:f>
        <x:v>0</x:v>
      </x:c>
      <x:c r="AN47" s="23" t="n">
        <x:f>MAX(0,MIN('Activities'!L47,216)-MAX('Activities'!K47,210))</x:f>
        <x:v>0</x:v>
      </x:c>
      <x:c r="AO47" s="23" t="n">
        <x:f>MAX(0,MIN('Activities'!L47,222)-MAX('Activities'!K47,216))</x:f>
        <x:v>0</x:v>
      </x:c>
      <x:c r="AP47" s="23" t="n">
        <x:f>MAX(0,MIN('Activities'!L47,228)-MAX('Activities'!K47,222))</x:f>
        <x:v>0</x:v>
      </x:c>
      <x:c r="AQ47" s="23" t="n">
        <x:f>MAX(0,MIN('Activities'!L47,234)-MAX('Activities'!K47,228))</x:f>
        <x:v>0</x:v>
      </x:c>
      <x:c r="AR47" s="23" t="n">
        <x:f>MAX(0,MIN('Activities'!L47,240)-MAX('Activities'!K47,234))</x:f>
        <x:v>0</x:v>
      </x:c>
      <x:c r="AS47" s="23" t="n">
        <x:f>MAX(0,MIN('Activities'!L47,246)-MAX('Activities'!K47,240))</x:f>
        <x:v>0</x:v>
      </x:c>
      <x:c r="AT47" s="23" t="n">
        <x:f>MAX(0,MIN('Activities'!L47,252)-MAX('Activities'!K47,246))</x:f>
        <x:v>0</x:v>
      </x:c>
      <x:c r="AU47" s="23" t="n">
        <x:f>MAX(0,MIN('Activities'!L47,258)-MAX('Activities'!K47,252))</x:f>
        <x:v>0</x:v>
      </x:c>
      <x:c r="AV47" s="23" t="n">
        <x:f>MAX(0,MIN('Activities'!L47,264)-MAX('Activities'!K47,258))</x:f>
        <x:v>0</x:v>
      </x:c>
      <x:c r="AW47" s="23" t="n">
        <x:f>MAX(0,MIN('Activities'!L47,270)-MAX('Activities'!K47,264))</x:f>
        <x:v>0</x:v>
      </x:c>
      <x:c r="AX47" s="23" t="n">
        <x:f>MAX(0,MIN('Activities'!L47,276)-MAX('Activities'!K47,270))</x:f>
        <x:v>3</x:v>
      </x:c>
      <x:c r="AY47" s="23" t="n">
        <x:f>MAX(0,MIN('Activities'!L47,282)-MAX('Activities'!K47,276))</x:f>
        <x:v>2</x:v>
      </x:c>
      <x:c r="AZ47" s="23" t="n">
        <x:f>MAX(0,MIN('Activities'!L47,288)-MAX('Activities'!K47,282))</x:f>
        <x:v>0</x:v>
      </x:c>
      <x:c r="BA47" s="23" t="n">
        <x:f>MAX(0,MIN('Activities'!L47,294)-MAX('Activities'!K47,288))</x:f>
        <x:v>0</x:v>
      </x:c>
      <x:c r="BB47" s="23" t="n">
        <x:f>MAX(0,MIN('Activities'!L47,300)-MAX('Activities'!K47,294))</x:f>
        <x:v>0</x:v>
      </x:c>
      <x:c r="BC47" s="23" t="n">
        <x:f>MAX(0,MIN('Activities'!L47,306)-MAX('Activities'!K47,300))</x:f>
        <x:v>0</x:v>
      </x:c>
      <x:c r="BD47" s="23" t="n">
        <x:f>MAX(0,MIN('Activities'!L47,312)-MAX('Activities'!K47,306))</x:f>
        <x:v>0</x:v>
      </x:c>
      <x:c r="BE47" s="23" t="n">
        <x:f>MAX(0,MIN('Activities'!L47,318)-MAX('Activities'!K47,312))</x:f>
        <x:v>0</x:v>
      </x:c>
      <x:c r="BF47" s="23" t="n">
        <x:f>MAX(0,MIN('Activities'!L47,324)-MAX('Activities'!K47,318))</x:f>
        <x:v>0</x:v>
      </x:c>
      <x:c r="BG47" s="23" t="n">
        <x:f>MAX(0,MIN('Activities'!L47,330)-MAX('Activities'!K47,324))</x:f>
        <x:v>0</x:v>
      </x:c>
      <x:c r="BH47" s="23" t="n">
        <x:f>MAX(0,MIN('Activities'!L47,336)-MAX('Activities'!K47,330))</x:f>
        <x:v>0</x:v>
      </x:c>
      <x:c r="BI47" s="23" t="n">
        <x:f>MAX(0,MIN('Activities'!L47,342)-MAX('Activities'!K47,336))</x:f>
        <x:v>0</x:v>
      </x:c>
      <x:c r="BJ47" s="23" t="n">
        <x:f>MAX(0,MIN('Activities'!L47,348)-MAX('Activities'!K47,342))</x:f>
        <x:v>0</x:v>
      </x:c>
      <x:c r="BK47" s="23" t="n">
        <x:f>MAX(0,MIN('Activities'!L47,354)-MAX('Activities'!K47,348))</x:f>
        <x:v>0</x:v>
      </x:c>
      <x:c r="BL47" s="23" t="n">
        <x:f>MAX(0,MIN('Activities'!L47,360)-MAX('Activities'!K47,354))</x:f>
        <x:v>0</x:v>
      </x:c>
      <x:c r="BM47" s="23" t="n">
        <x:f>MAX(0,MIN('Activities'!L47,366)-MAX('Activities'!K47,360))</x:f>
        <x:v>0</x:v>
      </x:c>
      <x:c r="BN47" s="23" t="n">
        <x:f>MAX(0,MIN('Activities'!L47,372)-MAX('Activities'!K47,366))</x:f>
        <x:v>0</x:v>
      </x:c>
      <x:c r="BO47" s="23" t="n">
        <x:f>MAX(0,MIN('Activities'!L47,378)-MAX('Activities'!K47,372))</x:f>
        <x:v>0</x:v>
      </x:c>
      <x:c r="BP47" s="23" t="n">
        <x:f>MAX(0,MIN('Activities'!L47,384)-MAX('Activities'!K47,378))</x:f>
        <x:v>0</x:v>
      </x:c>
      <x:c r="BQ47" s="23" t="n">
        <x:f>MAX(0,MIN('Activities'!L47,390)-MAX('Activities'!K47,384))</x:f>
        <x:v>0</x:v>
      </x:c>
      <x:c r="BR47" s="23" t="n">
        <x:f>MAX(0,MIN('Activities'!L47,396)-MAX('Activities'!K47,390))</x:f>
        <x:v>0</x:v>
      </x:c>
      <x:c r="BS47" s="23" t="n">
        <x:f>MAX(0,MIN('Activities'!L47,402)-MAX('Activities'!K47,396))</x:f>
        <x:v>0</x:v>
      </x:c>
      <x:c r="BT47" s="23" t="n">
        <x:f>MAX(0,MIN('Activities'!L47,408)-MAX('Activities'!K47,402))</x:f>
        <x:v>0</x:v>
      </x:c>
      <x:c r="BU47" s="23" t="n">
        <x:f>MAX(0,MIN('Activities'!L47,414)-MAX('Activities'!K47,408))</x:f>
        <x:v>0</x:v>
      </x:c>
      <x:c r="BV47" s="23" t="n">
        <x:f>MAX(0,MIN('Activities'!L47,420)-MAX('Activities'!K47,414))</x:f>
        <x:v>0</x:v>
      </x:c>
      <x:c r="BW47" s="23" t="n">
        <x:f>MAX(0,MIN('Activities'!L47,426)-MAX('Activities'!K47,420))</x:f>
        <x:v>0</x:v>
      </x:c>
      <x:c r="BX47" s="23" t="n">
        <x:f>MAX(0,MIN('Activities'!L47,432)-MAX('Activities'!K47,426))</x:f>
        <x:v>0</x:v>
      </x:c>
      <x:c r="BY47" s="23" t="n">
        <x:f>MAX(0,MIN('Activities'!L47,438)-MAX('Activities'!K47,432))</x:f>
        <x:v>0</x:v>
      </x:c>
      <x:c r="BZ47" s="23" t="n">
        <x:f>MAX(0,MIN('Activities'!L47,444)-MAX('Activities'!K47,438))</x:f>
        <x:v>0</x:v>
      </x:c>
      <x:c r="CA47" s="23" t="n">
        <x:f>MAX(0,MIN('Activities'!L47,450)-MAX('Activities'!K47,444))</x:f>
        <x:v>0</x:v>
      </x:c>
      <x:c r="CB47" s="23" t="n">
        <x:f>MAX(0,MIN('Activities'!L47,456)-MAX('Activities'!K47,450))</x:f>
        <x:v>0</x:v>
      </x:c>
      <x:c r="CC47" s="23" t="n">
        <x:f>MAX(0,MIN('Activities'!L47,462)-MAX('Activities'!K47,456))</x:f>
        <x:v>0</x:v>
      </x:c>
      <x:c r="CD47" s="23" t="n">
        <x:f>MAX(0,MIN('Activities'!L47,468)-MAX('Activities'!K47,462))</x:f>
        <x:v>0</x:v>
      </x:c>
      <x:c r="CE47" s="23" t="n">
        <x:f>MAX(0,MIN('Activities'!L47,474)-MAX('Activities'!K47,468))</x:f>
        <x:v>0</x:v>
      </x:c>
      <x:c r="CF47" s="23" t="n">
        <x:f>MAX(0,MIN('Activities'!L47,480)-MAX('Activities'!K47,474))</x:f>
        <x:v>0</x:v>
      </x:c>
      <x:c r="CG47" s="23" t="n">
        <x:f>MAX(0,MIN('Activities'!L47,486)-MAX('Activities'!K47,480))</x:f>
        <x:v>0</x:v>
      </x:c>
      <x:c r="CH47" s="23" t="n">
        <x:f>MAX(0,MIN('Activities'!L47,492)-MAX('Activities'!K47,486))</x:f>
        <x:v>0</x:v>
      </x:c>
      <x:c r="CI47" s="23" t="n">
        <x:f>MAX(0,MIN('Activities'!L47,498)-MAX('Activities'!K47,492))</x:f>
        <x:v>0</x:v>
      </x:c>
      <x:c r="CJ47" s="23" t="n">
        <x:f>MAX(0,MIN('Activities'!L47,504)-MAX('Activities'!K47,498))</x:f>
        <x:v>0</x:v>
      </x:c>
      <x:c r="CK47" s="23" t="n">
        <x:f>MAX(0,MIN('Activities'!L47,510)-MAX('Activities'!K47,504))</x:f>
        <x:v>0</x:v>
      </x:c>
      <x:c r="CL47" s="23" t="n">
        <x:f>MAX(0,MIN('Activities'!L47,516)-MAX('Activities'!K47,510))</x:f>
        <x:v>0</x:v>
      </x:c>
      <x:c r="CM47" s="23" t="n">
        <x:f>MAX(0,MIN('Activities'!L47,522)-MAX('Activities'!K47,516))</x:f>
        <x:v>0</x:v>
      </x:c>
      <x:c r="CN47" s="23" t="n">
        <x:f>MAX(0,MIN('Activities'!L47,528)-MAX('Activities'!K47,522))</x:f>
        <x:v>0</x:v>
      </x:c>
      <x:c r="CO47" s="23" t="n">
        <x:f>MAX(0,MIN('Activities'!L47,534)-MAX('Activities'!K47,528))</x:f>
        <x:v>0</x:v>
      </x:c>
      <x:c r="CP47" s="23" t="n">
        <x:f>MAX(0,MIN('Activities'!L47,540)-MAX('Activities'!K47,534))</x:f>
        <x:v>0</x:v>
      </x:c>
      <x:c r="CQ47" s="23" t="n">
        <x:f>MAX(0,MIN('Activities'!L47,546)-MAX('Activities'!K47,540))</x:f>
        <x:v>0</x:v>
      </x:c>
      <x:c r="CR47" s="23" t="n">
        <x:f>MAX(0,MIN('Activities'!L47,552)-MAX('Activities'!K47,546))</x:f>
        <x:v>0</x:v>
      </x:c>
      <x:c r="CS47" s="23" t="n">
        <x:f>MAX(0,MIN('Activities'!L47,558)-MAX('Activities'!K47,552))</x:f>
        <x:v>0</x:v>
      </x:c>
      <x:c r="CT47" s="23" t="n">
        <x:f>MAX(0,MIN('Activities'!L47,564)-MAX('Activities'!K47,558))</x:f>
        <x:v>0</x:v>
      </x:c>
      <x:c r="CU47" s="23" t="n">
        <x:f>MAX(0,MIN('Activities'!L47,570)-MAX('Activities'!K47,564))</x:f>
        <x:v>0</x:v>
      </x:c>
      <x:c r="CV47" s="23" t="n">
        <x:f>MAX(0,MIN('Activities'!L47,576)-MAX('Activities'!K47,570))</x:f>
        <x:v>0</x:v>
      </x:c>
      <x:c r="CW47" s="23" t="n">
        <x:f>MAX(0,MIN('Activities'!L47,582)-MAX('Activities'!K47,576))</x:f>
        <x:v>0</x:v>
      </x:c>
      <x:c r="CX47" s="23" t="n">
        <x:f>MAX(0,MIN('Activities'!L47,588)-MAX('Activities'!K47,582))</x:f>
        <x:v>0</x:v>
      </x:c>
      <x:c r="CY47" s="23" t="n">
        <x:f>MAX(0,MIN('Activities'!L47,594)-MAX('Activities'!K47,588))</x:f>
        <x:v>0</x:v>
      </x:c>
      <x:c r="CZ47" s="23" t="n">
        <x:f>MAX(0,MIN('Activities'!L47,600)-MAX('Activities'!K47,594))</x:f>
        <x:v>0</x:v>
      </x:c>
      <x:c r="DA47" s="23" t="n">
        <x:f>MAX(0,MIN('Activities'!L47,606)-MAX('Activities'!K47,600))</x:f>
        <x:v>0</x:v>
      </x:c>
      <x:c r="DB47" s="23" t="n">
        <x:f>MAX(0,MIN('Activities'!L47,612)-MAX('Activities'!K47,606))</x:f>
        <x:v>0</x:v>
      </x:c>
      <x:c r="DC47" s="23" t="n">
        <x:f>MAX(0,MIN('Activities'!L47,618)-MAX('Activities'!K47,612))</x:f>
        <x:v>0</x:v>
      </x:c>
      <x:c r="DD47" s="23" t="n">
        <x:f>MAX(0,MIN('Activities'!L47,624)-MAX('Activities'!K47,618))</x:f>
        <x:v>0</x:v>
      </x:c>
      <x:c r="DE47" s="23" t="n">
        <x:f>MAX(0,MIN('Activities'!L47,630)-MAX('Activities'!K47,624))</x:f>
        <x:v>0</x:v>
      </x:c>
      <x:c r="DF47" s="23" t="n">
        <x:f>MAX(0,MIN('Activities'!L47,636)-MAX('Activities'!K47,630))</x:f>
        <x:v>0</x:v>
      </x:c>
    </x:row>
    <x:row r="48" ht="23" customHeight="1">
      <x:c r="A48" s="6" t="str">
        <x:v>T1-L08-F</x:v>
      </x:c>
      <x:c r="B48" s="6" t="str">
        <x:v>T1</x:v>
      </x:c>
      <x:c r="C48" s="6" t="str">
        <x:v>Columns, core and deck formwork</x:v>
      </x:c>
      <x:c r="D48" s="6" t="str">
        <x:v>Formwork</x:v>
      </x:c>
      <x:c r="E48" s="22" t="n">
        <x:f>MAX(0,MIN('Activities'!L48,6)-MAX('Activities'!K48,0))</x:f>
        <x:v>0</x:v>
      </x:c>
      <x:c r="F48" s="22" t="n">
        <x:f>MAX(0,MIN('Activities'!L48,12)-MAX('Activities'!K48,6))</x:f>
        <x:v>0</x:v>
      </x:c>
      <x:c r="G48" s="22" t="n">
        <x:f>MAX(0,MIN('Activities'!L48,18)-MAX('Activities'!K48,12))</x:f>
        <x:v>0</x:v>
      </x:c>
      <x:c r="H48" s="22" t="n">
        <x:f>MAX(0,MIN('Activities'!L48,24)-MAX('Activities'!K48,18))</x:f>
        <x:v>0</x:v>
      </x:c>
      <x:c r="I48" s="22" t="n">
        <x:f>MAX(0,MIN('Activities'!L48,30)-MAX('Activities'!K48,24))</x:f>
        <x:v>0</x:v>
      </x:c>
      <x:c r="J48" s="22" t="n">
        <x:f>MAX(0,MIN('Activities'!L48,36)-MAX('Activities'!K48,30))</x:f>
        <x:v>0</x:v>
      </x:c>
      <x:c r="K48" s="22" t="n">
        <x:f>MAX(0,MIN('Activities'!L48,42)-MAX('Activities'!K48,36))</x:f>
        <x:v>0</x:v>
      </x:c>
      <x:c r="L48" s="22" t="n">
        <x:f>MAX(0,MIN('Activities'!L48,48)-MAX('Activities'!K48,42))</x:f>
        <x:v>0</x:v>
      </x:c>
      <x:c r="M48" s="22" t="n">
        <x:f>MAX(0,MIN('Activities'!L48,54)-MAX('Activities'!K48,48))</x:f>
        <x:v>0</x:v>
      </x:c>
      <x:c r="N48" s="22" t="n">
        <x:f>MAX(0,MIN('Activities'!L48,60)-MAX('Activities'!K48,54))</x:f>
        <x:v>0</x:v>
      </x:c>
      <x:c r="O48" s="22" t="n">
        <x:f>MAX(0,MIN('Activities'!L48,66)-MAX('Activities'!K48,60))</x:f>
        <x:v>0</x:v>
      </x:c>
      <x:c r="P48" s="22" t="n">
        <x:f>MAX(0,MIN('Activities'!L48,72)-MAX('Activities'!K48,66))</x:f>
        <x:v>0</x:v>
      </x:c>
      <x:c r="Q48" s="22" t="n">
        <x:f>MAX(0,MIN('Activities'!L48,78)-MAX('Activities'!K48,72))</x:f>
        <x:v>0</x:v>
      </x:c>
      <x:c r="R48" s="22" t="n">
        <x:f>MAX(0,MIN('Activities'!L48,84)-MAX('Activities'!K48,78))</x:f>
        <x:v>0</x:v>
      </x:c>
      <x:c r="S48" s="22" t="n">
        <x:f>MAX(0,MIN('Activities'!L48,90)-MAX('Activities'!K48,84))</x:f>
        <x:v>0</x:v>
      </x:c>
      <x:c r="T48" s="22" t="n">
        <x:f>MAX(0,MIN('Activities'!L48,96)-MAX('Activities'!K48,90))</x:f>
        <x:v>0</x:v>
      </x:c>
      <x:c r="U48" s="22" t="n">
        <x:f>MAX(0,MIN('Activities'!L48,102)-MAX('Activities'!K48,96))</x:f>
        <x:v>0</x:v>
      </x:c>
      <x:c r="V48" s="22" t="n">
        <x:f>MAX(0,MIN('Activities'!L48,108)-MAX('Activities'!K48,102))</x:f>
        <x:v>0</x:v>
      </x:c>
      <x:c r="W48" s="22" t="n">
        <x:f>MAX(0,MIN('Activities'!L48,114)-MAX('Activities'!K48,108))</x:f>
        <x:v>0</x:v>
      </x:c>
      <x:c r="X48" s="22" t="n">
        <x:f>MAX(0,MIN('Activities'!L48,120)-MAX('Activities'!K48,114))</x:f>
        <x:v>0</x:v>
      </x:c>
      <x:c r="Y48" s="22" t="n">
        <x:f>MAX(0,MIN('Activities'!L48,126)-MAX('Activities'!K48,120))</x:f>
        <x:v>0</x:v>
      </x:c>
      <x:c r="Z48" s="22" t="n">
        <x:f>MAX(0,MIN('Activities'!L48,132)-MAX('Activities'!K48,126))</x:f>
        <x:v>0</x:v>
      </x:c>
      <x:c r="AA48" s="22" t="n">
        <x:f>MAX(0,MIN('Activities'!L48,138)-MAX('Activities'!K48,132))</x:f>
        <x:v>0</x:v>
      </x:c>
      <x:c r="AB48" s="22" t="n">
        <x:f>MAX(0,MIN('Activities'!L48,144)-MAX('Activities'!K48,138))</x:f>
        <x:v>0</x:v>
      </x:c>
      <x:c r="AC48" s="22" t="n">
        <x:f>MAX(0,MIN('Activities'!L48,150)-MAX('Activities'!K48,144))</x:f>
        <x:v>0</x:v>
      </x:c>
      <x:c r="AD48" s="22" t="n">
        <x:f>MAX(0,MIN('Activities'!L48,156)-MAX('Activities'!K48,150))</x:f>
        <x:v>0</x:v>
      </x:c>
      <x:c r="AE48" s="22" t="n">
        <x:f>MAX(0,MIN('Activities'!L48,162)-MAX('Activities'!K48,156))</x:f>
        <x:v>0</x:v>
      </x:c>
      <x:c r="AF48" s="22" t="n">
        <x:f>MAX(0,MIN('Activities'!L48,168)-MAX('Activities'!K48,162))</x:f>
        <x:v>0</x:v>
      </x:c>
      <x:c r="AG48" s="22" t="n">
        <x:f>MAX(0,MIN('Activities'!L48,174)-MAX('Activities'!K48,168))</x:f>
        <x:v>0</x:v>
      </x:c>
      <x:c r="AH48" s="22" t="n">
        <x:f>MAX(0,MIN('Activities'!L48,180)-MAX('Activities'!K48,174))</x:f>
        <x:v>0</x:v>
      </x:c>
      <x:c r="AI48" s="22" t="n">
        <x:f>MAX(0,MIN('Activities'!L48,186)-MAX('Activities'!K48,180))</x:f>
        <x:v>0</x:v>
      </x:c>
      <x:c r="AJ48" s="22" t="n">
        <x:f>MAX(0,MIN('Activities'!L48,192)-MAX('Activities'!K48,186))</x:f>
        <x:v>0</x:v>
      </x:c>
      <x:c r="AK48" s="22" t="n">
        <x:f>MAX(0,MIN('Activities'!L48,198)-MAX('Activities'!K48,192))</x:f>
        <x:v>0</x:v>
      </x:c>
      <x:c r="AL48" s="22" t="n">
        <x:f>MAX(0,MIN('Activities'!L48,204)-MAX('Activities'!K48,198))</x:f>
        <x:v>0</x:v>
      </x:c>
      <x:c r="AM48" s="22" t="n">
        <x:f>MAX(0,MIN('Activities'!L48,210)-MAX('Activities'!K48,204))</x:f>
        <x:v>0</x:v>
      </x:c>
      <x:c r="AN48" s="22" t="n">
        <x:f>MAX(0,MIN('Activities'!L48,216)-MAX('Activities'!K48,210))</x:f>
        <x:v>0</x:v>
      </x:c>
      <x:c r="AO48" s="22" t="n">
        <x:f>MAX(0,MIN('Activities'!L48,222)-MAX('Activities'!K48,216))</x:f>
        <x:v>0</x:v>
      </x:c>
      <x:c r="AP48" s="22" t="n">
        <x:f>MAX(0,MIN('Activities'!L48,228)-MAX('Activities'!K48,222))</x:f>
        <x:v>0</x:v>
      </x:c>
      <x:c r="AQ48" s="22" t="n">
        <x:f>MAX(0,MIN('Activities'!L48,234)-MAX('Activities'!K48,228))</x:f>
        <x:v>0</x:v>
      </x:c>
      <x:c r="AR48" s="22" t="n">
        <x:f>MAX(0,MIN('Activities'!L48,240)-MAX('Activities'!K48,234))</x:f>
        <x:v>0</x:v>
      </x:c>
      <x:c r="AS48" s="22" t="n">
        <x:f>MAX(0,MIN('Activities'!L48,246)-MAX('Activities'!K48,240))</x:f>
        <x:v>0</x:v>
      </x:c>
      <x:c r="AT48" s="22" t="n">
        <x:f>MAX(0,MIN('Activities'!L48,252)-MAX('Activities'!K48,246))</x:f>
        <x:v>0</x:v>
      </x:c>
      <x:c r="AU48" s="22" t="n">
        <x:f>MAX(0,MIN('Activities'!L48,258)-MAX('Activities'!K48,252))</x:f>
        <x:v>0</x:v>
      </x:c>
      <x:c r="AV48" s="22" t="n">
        <x:f>MAX(0,MIN('Activities'!L48,264)-MAX('Activities'!K48,258))</x:f>
        <x:v>0</x:v>
      </x:c>
      <x:c r="AW48" s="22" t="n">
        <x:f>MAX(0,MIN('Activities'!L48,270)-MAX('Activities'!K48,264))</x:f>
        <x:v>0</x:v>
      </x:c>
      <x:c r="AX48" s="22" t="n">
        <x:f>MAX(0,MIN('Activities'!L48,276)-MAX('Activities'!K48,270))</x:f>
        <x:v>0</x:v>
      </x:c>
      <x:c r="AY48" s="22" t="n">
        <x:f>MAX(0,MIN('Activities'!L48,282)-MAX('Activities'!K48,276))</x:f>
        <x:v>4</x:v>
      </x:c>
      <x:c r="AZ48" s="22" t="n">
        <x:f>MAX(0,MIN('Activities'!L48,288)-MAX('Activities'!K48,282))</x:f>
        <x:v>2</x:v>
      </x:c>
      <x:c r="BA48" s="22" t="n">
        <x:f>MAX(0,MIN('Activities'!L48,294)-MAX('Activities'!K48,288))</x:f>
        <x:v>0</x:v>
      </x:c>
      <x:c r="BB48" s="22" t="n">
        <x:f>MAX(0,MIN('Activities'!L48,300)-MAX('Activities'!K48,294))</x:f>
        <x:v>0</x:v>
      </x:c>
      <x:c r="BC48" s="22" t="n">
        <x:f>MAX(0,MIN('Activities'!L48,306)-MAX('Activities'!K48,300))</x:f>
        <x:v>0</x:v>
      </x:c>
      <x:c r="BD48" s="22" t="n">
        <x:f>MAX(0,MIN('Activities'!L48,312)-MAX('Activities'!K48,306))</x:f>
        <x:v>0</x:v>
      </x:c>
      <x:c r="BE48" s="22" t="n">
        <x:f>MAX(0,MIN('Activities'!L48,318)-MAX('Activities'!K48,312))</x:f>
        <x:v>0</x:v>
      </x:c>
      <x:c r="BF48" s="22" t="n">
        <x:f>MAX(0,MIN('Activities'!L48,324)-MAX('Activities'!K48,318))</x:f>
        <x:v>0</x:v>
      </x:c>
      <x:c r="BG48" s="22" t="n">
        <x:f>MAX(0,MIN('Activities'!L48,330)-MAX('Activities'!K48,324))</x:f>
        <x:v>0</x:v>
      </x:c>
      <x:c r="BH48" s="22" t="n">
        <x:f>MAX(0,MIN('Activities'!L48,336)-MAX('Activities'!K48,330))</x:f>
        <x:v>0</x:v>
      </x:c>
      <x:c r="BI48" s="22" t="n">
        <x:f>MAX(0,MIN('Activities'!L48,342)-MAX('Activities'!K48,336))</x:f>
        <x:v>0</x:v>
      </x:c>
      <x:c r="BJ48" s="22" t="n">
        <x:f>MAX(0,MIN('Activities'!L48,348)-MAX('Activities'!K48,342))</x:f>
        <x:v>0</x:v>
      </x:c>
      <x:c r="BK48" s="22" t="n">
        <x:f>MAX(0,MIN('Activities'!L48,354)-MAX('Activities'!K48,348))</x:f>
        <x:v>0</x:v>
      </x:c>
      <x:c r="BL48" s="22" t="n">
        <x:f>MAX(0,MIN('Activities'!L48,360)-MAX('Activities'!K48,354))</x:f>
        <x:v>0</x:v>
      </x:c>
      <x:c r="BM48" s="22" t="n">
        <x:f>MAX(0,MIN('Activities'!L48,366)-MAX('Activities'!K48,360))</x:f>
        <x:v>0</x:v>
      </x:c>
      <x:c r="BN48" s="22" t="n">
        <x:f>MAX(0,MIN('Activities'!L48,372)-MAX('Activities'!K48,366))</x:f>
        <x:v>0</x:v>
      </x:c>
      <x:c r="BO48" s="22" t="n">
        <x:f>MAX(0,MIN('Activities'!L48,378)-MAX('Activities'!K48,372))</x:f>
        <x:v>0</x:v>
      </x:c>
      <x:c r="BP48" s="22" t="n">
        <x:f>MAX(0,MIN('Activities'!L48,384)-MAX('Activities'!K48,378))</x:f>
        <x:v>0</x:v>
      </x:c>
      <x:c r="BQ48" s="22" t="n">
        <x:f>MAX(0,MIN('Activities'!L48,390)-MAX('Activities'!K48,384))</x:f>
        <x:v>0</x:v>
      </x:c>
      <x:c r="BR48" s="22" t="n">
        <x:f>MAX(0,MIN('Activities'!L48,396)-MAX('Activities'!K48,390))</x:f>
        <x:v>0</x:v>
      </x:c>
      <x:c r="BS48" s="22" t="n">
        <x:f>MAX(0,MIN('Activities'!L48,402)-MAX('Activities'!K48,396))</x:f>
        <x:v>0</x:v>
      </x:c>
      <x:c r="BT48" s="22" t="n">
        <x:f>MAX(0,MIN('Activities'!L48,408)-MAX('Activities'!K48,402))</x:f>
        <x:v>0</x:v>
      </x:c>
      <x:c r="BU48" s="22" t="n">
        <x:f>MAX(0,MIN('Activities'!L48,414)-MAX('Activities'!K48,408))</x:f>
        <x:v>0</x:v>
      </x:c>
      <x:c r="BV48" s="22" t="n">
        <x:f>MAX(0,MIN('Activities'!L48,420)-MAX('Activities'!K48,414))</x:f>
        <x:v>0</x:v>
      </x:c>
      <x:c r="BW48" s="22" t="n">
        <x:f>MAX(0,MIN('Activities'!L48,426)-MAX('Activities'!K48,420))</x:f>
        <x:v>0</x:v>
      </x:c>
      <x:c r="BX48" s="22" t="n">
        <x:f>MAX(0,MIN('Activities'!L48,432)-MAX('Activities'!K48,426))</x:f>
        <x:v>0</x:v>
      </x:c>
      <x:c r="BY48" s="22" t="n">
        <x:f>MAX(0,MIN('Activities'!L48,438)-MAX('Activities'!K48,432))</x:f>
        <x:v>0</x:v>
      </x:c>
      <x:c r="BZ48" s="22" t="n">
        <x:f>MAX(0,MIN('Activities'!L48,444)-MAX('Activities'!K48,438))</x:f>
        <x:v>0</x:v>
      </x:c>
      <x:c r="CA48" s="22" t="n">
        <x:f>MAX(0,MIN('Activities'!L48,450)-MAX('Activities'!K48,444))</x:f>
        <x:v>0</x:v>
      </x:c>
      <x:c r="CB48" s="22" t="n">
        <x:f>MAX(0,MIN('Activities'!L48,456)-MAX('Activities'!K48,450))</x:f>
        <x:v>0</x:v>
      </x:c>
      <x:c r="CC48" s="22" t="n">
        <x:f>MAX(0,MIN('Activities'!L48,462)-MAX('Activities'!K48,456))</x:f>
        <x:v>0</x:v>
      </x:c>
      <x:c r="CD48" s="22" t="n">
        <x:f>MAX(0,MIN('Activities'!L48,468)-MAX('Activities'!K48,462))</x:f>
        <x:v>0</x:v>
      </x:c>
      <x:c r="CE48" s="22" t="n">
        <x:f>MAX(0,MIN('Activities'!L48,474)-MAX('Activities'!K48,468))</x:f>
        <x:v>0</x:v>
      </x:c>
      <x:c r="CF48" s="22" t="n">
        <x:f>MAX(0,MIN('Activities'!L48,480)-MAX('Activities'!K48,474))</x:f>
        <x:v>0</x:v>
      </x:c>
      <x:c r="CG48" s="22" t="n">
        <x:f>MAX(0,MIN('Activities'!L48,486)-MAX('Activities'!K48,480))</x:f>
        <x:v>0</x:v>
      </x:c>
      <x:c r="CH48" s="22" t="n">
        <x:f>MAX(0,MIN('Activities'!L48,492)-MAX('Activities'!K48,486))</x:f>
        <x:v>0</x:v>
      </x:c>
      <x:c r="CI48" s="22" t="n">
        <x:f>MAX(0,MIN('Activities'!L48,498)-MAX('Activities'!K48,492))</x:f>
        <x:v>0</x:v>
      </x:c>
      <x:c r="CJ48" s="22" t="n">
        <x:f>MAX(0,MIN('Activities'!L48,504)-MAX('Activities'!K48,498))</x:f>
        <x:v>0</x:v>
      </x:c>
      <x:c r="CK48" s="22" t="n">
        <x:f>MAX(0,MIN('Activities'!L48,510)-MAX('Activities'!K48,504))</x:f>
        <x:v>0</x:v>
      </x:c>
      <x:c r="CL48" s="22" t="n">
        <x:f>MAX(0,MIN('Activities'!L48,516)-MAX('Activities'!K48,510))</x:f>
        <x:v>0</x:v>
      </x:c>
      <x:c r="CM48" s="22" t="n">
        <x:f>MAX(0,MIN('Activities'!L48,522)-MAX('Activities'!K48,516))</x:f>
        <x:v>0</x:v>
      </x:c>
      <x:c r="CN48" s="22" t="n">
        <x:f>MAX(0,MIN('Activities'!L48,528)-MAX('Activities'!K48,522))</x:f>
        <x:v>0</x:v>
      </x:c>
      <x:c r="CO48" s="22" t="n">
        <x:f>MAX(0,MIN('Activities'!L48,534)-MAX('Activities'!K48,528))</x:f>
        <x:v>0</x:v>
      </x:c>
      <x:c r="CP48" s="22" t="n">
        <x:f>MAX(0,MIN('Activities'!L48,540)-MAX('Activities'!K48,534))</x:f>
        <x:v>0</x:v>
      </x:c>
      <x:c r="CQ48" s="22" t="n">
        <x:f>MAX(0,MIN('Activities'!L48,546)-MAX('Activities'!K48,540))</x:f>
        <x:v>0</x:v>
      </x:c>
      <x:c r="CR48" s="22" t="n">
        <x:f>MAX(0,MIN('Activities'!L48,552)-MAX('Activities'!K48,546))</x:f>
        <x:v>0</x:v>
      </x:c>
      <x:c r="CS48" s="22" t="n">
        <x:f>MAX(0,MIN('Activities'!L48,558)-MAX('Activities'!K48,552))</x:f>
        <x:v>0</x:v>
      </x:c>
      <x:c r="CT48" s="22" t="n">
        <x:f>MAX(0,MIN('Activities'!L48,564)-MAX('Activities'!K48,558))</x:f>
        <x:v>0</x:v>
      </x:c>
      <x:c r="CU48" s="22" t="n">
        <x:f>MAX(0,MIN('Activities'!L48,570)-MAX('Activities'!K48,564))</x:f>
        <x:v>0</x:v>
      </x:c>
      <x:c r="CV48" s="22" t="n">
        <x:f>MAX(0,MIN('Activities'!L48,576)-MAX('Activities'!K48,570))</x:f>
        <x:v>0</x:v>
      </x:c>
      <x:c r="CW48" s="22" t="n">
        <x:f>MAX(0,MIN('Activities'!L48,582)-MAX('Activities'!K48,576))</x:f>
        <x:v>0</x:v>
      </x:c>
      <x:c r="CX48" s="22" t="n">
        <x:f>MAX(0,MIN('Activities'!L48,588)-MAX('Activities'!K48,582))</x:f>
        <x:v>0</x:v>
      </x:c>
      <x:c r="CY48" s="22" t="n">
        <x:f>MAX(0,MIN('Activities'!L48,594)-MAX('Activities'!K48,588))</x:f>
        <x:v>0</x:v>
      </x:c>
      <x:c r="CZ48" s="22" t="n">
        <x:f>MAX(0,MIN('Activities'!L48,600)-MAX('Activities'!K48,594))</x:f>
        <x:v>0</x:v>
      </x:c>
      <x:c r="DA48" s="22" t="n">
        <x:f>MAX(0,MIN('Activities'!L48,606)-MAX('Activities'!K48,600))</x:f>
        <x:v>0</x:v>
      </x:c>
      <x:c r="DB48" s="22" t="n">
        <x:f>MAX(0,MIN('Activities'!L48,612)-MAX('Activities'!K48,606))</x:f>
        <x:v>0</x:v>
      </x:c>
      <x:c r="DC48" s="22" t="n">
        <x:f>MAX(0,MIN('Activities'!L48,618)-MAX('Activities'!K48,612))</x:f>
        <x:v>0</x:v>
      </x:c>
      <x:c r="DD48" s="22" t="n">
        <x:f>MAX(0,MIN('Activities'!L48,624)-MAX('Activities'!K48,618))</x:f>
        <x:v>0</x:v>
      </x:c>
      <x:c r="DE48" s="22" t="n">
        <x:f>MAX(0,MIN('Activities'!L48,630)-MAX('Activities'!K48,624))</x:f>
        <x:v>0</x:v>
      </x:c>
      <x:c r="DF48" s="22" t="n">
        <x:f>MAX(0,MIN('Activities'!L48,636)-MAX('Activities'!K48,630))</x:f>
        <x:v>0</x:v>
      </x:c>
    </x:row>
    <x:row r="49" ht="23" customHeight="1">
      <x:c r="A49" s="1" t="str">
        <x:v>T1-L08-R</x:v>
      </x:c>
      <x:c r="B49" s="1" t="str">
        <x:v>T1</x:v>
      </x:c>
      <x:c r="C49" s="1" t="str">
        <x:v>Column, wall, beam and slab reinforcement</x:v>
      </x:c>
      <x:c r="D49" s="1" t="str">
        <x:v>Rebar</x:v>
      </x:c>
      <x:c r="E49" s="23" t="n">
        <x:f>MAX(0,MIN('Activities'!L49,6)-MAX('Activities'!K49,0))</x:f>
        <x:v>0</x:v>
      </x:c>
      <x:c r="F49" s="23" t="n">
        <x:f>MAX(0,MIN('Activities'!L49,12)-MAX('Activities'!K49,6))</x:f>
        <x:v>0</x:v>
      </x:c>
      <x:c r="G49" s="23" t="n">
        <x:f>MAX(0,MIN('Activities'!L49,18)-MAX('Activities'!K49,12))</x:f>
        <x:v>0</x:v>
      </x:c>
      <x:c r="H49" s="23" t="n">
        <x:f>MAX(0,MIN('Activities'!L49,24)-MAX('Activities'!K49,18))</x:f>
        <x:v>0</x:v>
      </x:c>
      <x:c r="I49" s="23" t="n">
        <x:f>MAX(0,MIN('Activities'!L49,30)-MAX('Activities'!K49,24))</x:f>
        <x:v>0</x:v>
      </x:c>
      <x:c r="J49" s="23" t="n">
        <x:f>MAX(0,MIN('Activities'!L49,36)-MAX('Activities'!K49,30))</x:f>
        <x:v>0</x:v>
      </x:c>
      <x:c r="K49" s="23" t="n">
        <x:f>MAX(0,MIN('Activities'!L49,42)-MAX('Activities'!K49,36))</x:f>
        <x:v>0</x:v>
      </x:c>
      <x:c r="L49" s="23" t="n">
        <x:f>MAX(0,MIN('Activities'!L49,48)-MAX('Activities'!K49,42))</x:f>
        <x:v>0</x:v>
      </x:c>
      <x:c r="M49" s="23" t="n">
        <x:f>MAX(0,MIN('Activities'!L49,54)-MAX('Activities'!K49,48))</x:f>
        <x:v>0</x:v>
      </x:c>
      <x:c r="N49" s="23" t="n">
        <x:f>MAX(0,MIN('Activities'!L49,60)-MAX('Activities'!K49,54))</x:f>
        <x:v>0</x:v>
      </x:c>
      <x:c r="O49" s="23" t="n">
        <x:f>MAX(0,MIN('Activities'!L49,66)-MAX('Activities'!K49,60))</x:f>
        <x:v>0</x:v>
      </x:c>
      <x:c r="P49" s="23" t="n">
        <x:f>MAX(0,MIN('Activities'!L49,72)-MAX('Activities'!K49,66))</x:f>
        <x:v>0</x:v>
      </x:c>
      <x:c r="Q49" s="23" t="n">
        <x:f>MAX(0,MIN('Activities'!L49,78)-MAX('Activities'!K49,72))</x:f>
        <x:v>0</x:v>
      </x:c>
      <x:c r="R49" s="23" t="n">
        <x:f>MAX(0,MIN('Activities'!L49,84)-MAX('Activities'!K49,78))</x:f>
        <x:v>0</x:v>
      </x:c>
      <x:c r="S49" s="23" t="n">
        <x:f>MAX(0,MIN('Activities'!L49,90)-MAX('Activities'!K49,84))</x:f>
        <x:v>0</x:v>
      </x:c>
      <x:c r="T49" s="23" t="n">
        <x:f>MAX(0,MIN('Activities'!L49,96)-MAX('Activities'!K49,90))</x:f>
        <x:v>0</x:v>
      </x:c>
      <x:c r="U49" s="23" t="n">
        <x:f>MAX(0,MIN('Activities'!L49,102)-MAX('Activities'!K49,96))</x:f>
        <x:v>0</x:v>
      </x:c>
      <x:c r="V49" s="23" t="n">
        <x:f>MAX(0,MIN('Activities'!L49,108)-MAX('Activities'!K49,102))</x:f>
        <x:v>0</x:v>
      </x:c>
      <x:c r="W49" s="23" t="n">
        <x:f>MAX(0,MIN('Activities'!L49,114)-MAX('Activities'!K49,108))</x:f>
        <x:v>0</x:v>
      </x:c>
      <x:c r="X49" s="23" t="n">
        <x:f>MAX(0,MIN('Activities'!L49,120)-MAX('Activities'!K49,114))</x:f>
        <x:v>0</x:v>
      </x:c>
      <x:c r="Y49" s="23" t="n">
        <x:f>MAX(0,MIN('Activities'!L49,126)-MAX('Activities'!K49,120))</x:f>
        <x:v>0</x:v>
      </x:c>
      <x:c r="Z49" s="23" t="n">
        <x:f>MAX(0,MIN('Activities'!L49,132)-MAX('Activities'!K49,126))</x:f>
        <x:v>0</x:v>
      </x:c>
      <x:c r="AA49" s="23" t="n">
        <x:f>MAX(0,MIN('Activities'!L49,138)-MAX('Activities'!K49,132))</x:f>
        <x:v>0</x:v>
      </x:c>
      <x:c r="AB49" s="23" t="n">
        <x:f>MAX(0,MIN('Activities'!L49,144)-MAX('Activities'!K49,138))</x:f>
        <x:v>0</x:v>
      </x:c>
      <x:c r="AC49" s="23" t="n">
        <x:f>MAX(0,MIN('Activities'!L49,150)-MAX('Activities'!K49,144))</x:f>
        <x:v>0</x:v>
      </x:c>
      <x:c r="AD49" s="23" t="n">
        <x:f>MAX(0,MIN('Activities'!L49,156)-MAX('Activities'!K49,150))</x:f>
        <x:v>0</x:v>
      </x:c>
      <x:c r="AE49" s="23" t="n">
        <x:f>MAX(0,MIN('Activities'!L49,162)-MAX('Activities'!K49,156))</x:f>
        <x:v>0</x:v>
      </x:c>
      <x:c r="AF49" s="23" t="n">
        <x:f>MAX(0,MIN('Activities'!L49,168)-MAX('Activities'!K49,162))</x:f>
        <x:v>0</x:v>
      </x:c>
      <x:c r="AG49" s="23" t="n">
        <x:f>MAX(0,MIN('Activities'!L49,174)-MAX('Activities'!K49,168))</x:f>
        <x:v>0</x:v>
      </x:c>
      <x:c r="AH49" s="23" t="n">
        <x:f>MAX(0,MIN('Activities'!L49,180)-MAX('Activities'!K49,174))</x:f>
        <x:v>0</x:v>
      </x:c>
      <x:c r="AI49" s="23" t="n">
        <x:f>MAX(0,MIN('Activities'!L49,186)-MAX('Activities'!K49,180))</x:f>
        <x:v>0</x:v>
      </x:c>
      <x:c r="AJ49" s="23" t="n">
        <x:f>MAX(0,MIN('Activities'!L49,192)-MAX('Activities'!K49,186))</x:f>
        <x:v>0</x:v>
      </x:c>
      <x:c r="AK49" s="23" t="n">
        <x:f>MAX(0,MIN('Activities'!L49,198)-MAX('Activities'!K49,192))</x:f>
        <x:v>0</x:v>
      </x:c>
      <x:c r="AL49" s="23" t="n">
        <x:f>MAX(0,MIN('Activities'!L49,204)-MAX('Activities'!K49,198))</x:f>
        <x:v>0</x:v>
      </x:c>
      <x:c r="AM49" s="23" t="n">
        <x:f>MAX(0,MIN('Activities'!L49,210)-MAX('Activities'!K49,204))</x:f>
        <x:v>0</x:v>
      </x:c>
      <x:c r="AN49" s="23" t="n">
        <x:f>MAX(0,MIN('Activities'!L49,216)-MAX('Activities'!K49,210))</x:f>
        <x:v>0</x:v>
      </x:c>
      <x:c r="AO49" s="23" t="n">
        <x:f>MAX(0,MIN('Activities'!L49,222)-MAX('Activities'!K49,216))</x:f>
        <x:v>0</x:v>
      </x:c>
      <x:c r="AP49" s="23" t="n">
        <x:f>MAX(0,MIN('Activities'!L49,228)-MAX('Activities'!K49,222))</x:f>
        <x:v>0</x:v>
      </x:c>
      <x:c r="AQ49" s="23" t="n">
        <x:f>MAX(0,MIN('Activities'!L49,234)-MAX('Activities'!K49,228))</x:f>
        <x:v>0</x:v>
      </x:c>
      <x:c r="AR49" s="23" t="n">
        <x:f>MAX(0,MIN('Activities'!L49,240)-MAX('Activities'!K49,234))</x:f>
        <x:v>0</x:v>
      </x:c>
      <x:c r="AS49" s="23" t="n">
        <x:f>MAX(0,MIN('Activities'!L49,246)-MAX('Activities'!K49,240))</x:f>
        <x:v>0</x:v>
      </x:c>
      <x:c r="AT49" s="23" t="n">
        <x:f>MAX(0,MIN('Activities'!L49,252)-MAX('Activities'!K49,246))</x:f>
        <x:v>0</x:v>
      </x:c>
      <x:c r="AU49" s="23" t="n">
        <x:f>MAX(0,MIN('Activities'!L49,258)-MAX('Activities'!K49,252))</x:f>
        <x:v>0</x:v>
      </x:c>
      <x:c r="AV49" s="23" t="n">
        <x:f>MAX(0,MIN('Activities'!L49,264)-MAX('Activities'!K49,258))</x:f>
        <x:v>0</x:v>
      </x:c>
      <x:c r="AW49" s="23" t="n">
        <x:f>MAX(0,MIN('Activities'!L49,270)-MAX('Activities'!K49,264))</x:f>
        <x:v>0</x:v>
      </x:c>
      <x:c r="AX49" s="23" t="n">
        <x:f>MAX(0,MIN('Activities'!L49,276)-MAX('Activities'!K49,270))</x:f>
        <x:v>0</x:v>
      </x:c>
      <x:c r="AY49" s="23" t="n">
        <x:f>MAX(0,MIN('Activities'!L49,282)-MAX('Activities'!K49,276))</x:f>
        <x:v>0</x:v>
      </x:c>
      <x:c r="AZ49" s="23" t="n">
        <x:f>MAX(0,MIN('Activities'!L49,288)-MAX('Activities'!K49,282))</x:f>
        <x:v>4</x:v>
      </x:c>
      <x:c r="BA49" s="23" t="n">
        <x:f>MAX(0,MIN('Activities'!L49,294)-MAX('Activities'!K49,288))</x:f>
        <x:v>1</x:v>
      </x:c>
      <x:c r="BB49" s="23" t="n">
        <x:f>MAX(0,MIN('Activities'!L49,300)-MAX('Activities'!K49,294))</x:f>
        <x:v>0</x:v>
      </x:c>
      <x:c r="BC49" s="23" t="n">
        <x:f>MAX(0,MIN('Activities'!L49,306)-MAX('Activities'!K49,300))</x:f>
        <x:v>0</x:v>
      </x:c>
      <x:c r="BD49" s="23" t="n">
        <x:f>MAX(0,MIN('Activities'!L49,312)-MAX('Activities'!K49,306))</x:f>
        <x:v>0</x:v>
      </x:c>
      <x:c r="BE49" s="23" t="n">
        <x:f>MAX(0,MIN('Activities'!L49,318)-MAX('Activities'!K49,312))</x:f>
        <x:v>0</x:v>
      </x:c>
      <x:c r="BF49" s="23" t="n">
        <x:f>MAX(0,MIN('Activities'!L49,324)-MAX('Activities'!K49,318))</x:f>
        <x:v>0</x:v>
      </x:c>
      <x:c r="BG49" s="23" t="n">
        <x:f>MAX(0,MIN('Activities'!L49,330)-MAX('Activities'!K49,324))</x:f>
        <x:v>0</x:v>
      </x:c>
      <x:c r="BH49" s="23" t="n">
        <x:f>MAX(0,MIN('Activities'!L49,336)-MAX('Activities'!K49,330))</x:f>
        <x:v>0</x:v>
      </x:c>
      <x:c r="BI49" s="23" t="n">
        <x:f>MAX(0,MIN('Activities'!L49,342)-MAX('Activities'!K49,336))</x:f>
        <x:v>0</x:v>
      </x:c>
      <x:c r="BJ49" s="23" t="n">
        <x:f>MAX(0,MIN('Activities'!L49,348)-MAX('Activities'!K49,342))</x:f>
        <x:v>0</x:v>
      </x:c>
      <x:c r="BK49" s="23" t="n">
        <x:f>MAX(0,MIN('Activities'!L49,354)-MAX('Activities'!K49,348))</x:f>
        <x:v>0</x:v>
      </x:c>
      <x:c r="BL49" s="23" t="n">
        <x:f>MAX(0,MIN('Activities'!L49,360)-MAX('Activities'!K49,354))</x:f>
        <x:v>0</x:v>
      </x:c>
      <x:c r="BM49" s="23" t="n">
        <x:f>MAX(0,MIN('Activities'!L49,366)-MAX('Activities'!K49,360))</x:f>
        <x:v>0</x:v>
      </x:c>
      <x:c r="BN49" s="23" t="n">
        <x:f>MAX(0,MIN('Activities'!L49,372)-MAX('Activities'!K49,366))</x:f>
        <x:v>0</x:v>
      </x:c>
      <x:c r="BO49" s="23" t="n">
        <x:f>MAX(0,MIN('Activities'!L49,378)-MAX('Activities'!K49,372))</x:f>
        <x:v>0</x:v>
      </x:c>
      <x:c r="BP49" s="23" t="n">
        <x:f>MAX(0,MIN('Activities'!L49,384)-MAX('Activities'!K49,378))</x:f>
        <x:v>0</x:v>
      </x:c>
      <x:c r="BQ49" s="23" t="n">
        <x:f>MAX(0,MIN('Activities'!L49,390)-MAX('Activities'!K49,384))</x:f>
        <x:v>0</x:v>
      </x:c>
      <x:c r="BR49" s="23" t="n">
        <x:f>MAX(0,MIN('Activities'!L49,396)-MAX('Activities'!K49,390))</x:f>
        <x:v>0</x:v>
      </x:c>
      <x:c r="BS49" s="23" t="n">
        <x:f>MAX(0,MIN('Activities'!L49,402)-MAX('Activities'!K49,396))</x:f>
        <x:v>0</x:v>
      </x:c>
      <x:c r="BT49" s="23" t="n">
        <x:f>MAX(0,MIN('Activities'!L49,408)-MAX('Activities'!K49,402))</x:f>
        <x:v>0</x:v>
      </x:c>
      <x:c r="BU49" s="23" t="n">
        <x:f>MAX(0,MIN('Activities'!L49,414)-MAX('Activities'!K49,408))</x:f>
        <x:v>0</x:v>
      </x:c>
      <x:c r="BV49" s="23" t="n">
        <x:f>MAX(0,MIN('Activities'!L49,420)-MAX('Activities'!K49,414))</x:f>
        <x:v>0</x:v>
      </x:c>
      <x:c r="BW49" s="23" t="n">
        <x:f>MAX(0,MIN('Activities'!L49,426)-MAX('Activities'!K49,420))</x:f>
        <x:v>0</x:v>
      </x:c>
      <x:c r="BX49" s="23" t="n">
        <x:f>MAX(0,MIN('Activities'!L49,432)-MAX('Activities'!K49,426))</x:f>
        <x:v>0</x:v>
      </x:c>
      <x:c r="BY49" s="23" t="n">
        <x:f>MAX(0,MIN('Activities'!L49,438)-MAX('Activities'!K49,432))</x:f>
        <x:v>0</x:v>
      </x:c>
      <x:c r="BZ49" s="23" t="n">
        <x:f>MAX(0,MIN('Activities'!L49,444)-MAX('Activities'!K49,438))</x:f>
        <x:v>0</x:v>
      </x:c>
      <x:c r="CA49" s="23" t="n">
        <x:f>MAX(0,MIN('Activities'!L49,450)-MAX('Activities'!K49,444))</x:f>
        <x:v>0</x:v>
      </x:c>
      <x:c r="CB49" s="23" t="n">
        <x:f>MAX(0,MIN('Activities'!L49,456)-MAX('Activities'!K49,450))</x:f>
        <x:v>0</x:v>
      </x:c>
      <x:c r="CC49" s="23" t="n">
        <x:f>MAX(0,MIN('Activities'!L49,462)-MAX('Activities'!K49,456))</x:f>
        <x:v>0</x:v>
      </x:c>
      <x:c r="CD49" s="23" t="n">
        <x:f>MAX(0,MIN('Activities'!L49,468)-MAX('Activities'!K49,462))</x:f>
        <x:v>0</x:v>
      </x:c>
      <x:c r="CE49" s="23" t="n">
        <x:f>MAX(0,MIN('Activities'!L49,474)-MAX('Activities'!K49,468))</x:f>
        <x:v>0</x:v>
      </x:c>
      <x:c r="CF49" s="23" t="n">
        <x:f>MAX(0,MIN('Activities'!L49,480)-MAX('Activities'!K49,474))</x:f>
        <x:v>0</x:v>
      </x:c>
      <x:c r="CG49" s="23" t="n">
        <x:f>MAX(0,MIN('Activities'!L49,486)-MAX('Activities'!K49,480))</x:f>
        <x:v>0</x:v>
      </x:c>
      <x:c r="CH49" s="23" t="n">
        <x:f>MAX(0,MIN('Activities'!L49,492)-MAX('Activities'!K49,486))</x:f>
        <x:v>0</x:v>
      </x:c>
      <x:c r="CI49" s="23" t="n">
        <x:f>MAX(0,MIN('Activities'!L49,498)-MAX('Activities'!K49,492))</x:f>
        <x:v>0</x:v>
      </x:c>
      <x:c r="CJ49" s="23" t="n">
        <x:f>MAX(0,MIN('Activities'!L49,504)-MAX('Activities'!K49,498))</x:f>
        <x:v>0</x:v>
      </x:c>
      <x:c r="CK49" s="23" t="n">
        <x:f>MAX(0,MIN('Activities'!L49,510)-MAX('Activities'!K49,504))</x:f>
        <x:v>0</x:v>
      </x:c>
      <x:c r="CL49" s="23" t="n">
        <x:f>MAX(0,MIN('Activities'!L49,516)-MAX('Activities'!K49,510))</x:f>
        <x:v>0</x:v>
      </x:c>
      <x:c r="CM49" s="23" t="n">
        <x:f>MAX(0,MIN('Activities'!L49,522)-MAX('Activities'!K49,516))</x:f>
        <x:v>0</x:v>
      </x:c>
      <x:c r="CN49" s="23" t="n">
        <x:f>MAX(0,MIN('Activities'!L49,528)-MAX('Activities'!K49,522))</x:f>
        <x:v>0</x:v>
      </x:c>
      <x:c r="CO49" s="23" t="n">
        <x:f>MAX(0,MIN('Activities'!L49,534)-MAX('Activities'!K49,528))</x:f>
        <x:v>0</x:v>
      </x:c>
      <x:c r="CP49" s="23" t="n">
        <x:f>MAX(0,MIN('Activities'!L49,540)-MAX('Activities'!K49,534))</x:f>
        <x:v>0</x:v>
      </x:c>
      <x:c r="CQ49" s="23" t="n">
        <x:f>MAX(0,MIN('Activities'!L49,546)-MAX('Activities'!K49,540))</x:f>
        <x:v>0</x:v>
      </x:c>
      <x:c r="CR49" s="23" t="n">
        <x:f>MAX(0,MIN('Activities'!L49,552)-MAX('Activities'!K49,546))</x:f>
        <x:v>0</x:v>
      </x:c>
      <x:c r="CS49" s="23" t="n">
        <x:f>MAX(0,MIN('Activities'!L49,558)-MAX('Activities'!K49,552))</x:f>
        <x:v>0</x:v>
      </x:c>
      <x:c r="CT49" s="23" t="n">
        <x:f>MAX(0,MIN('Activities'!L49,564)-MAX('Activities'!K49,558))</x:f>
        <x:v>0</x:v>
      </x:c>
      <x:c r="CU49" s="23" t="n">
        <x:f>MAX(0,MIN('Activities'!L49,570)-MAX('Activities'!K49,564))</x:f>
        <x:v>0</x:v>
      </x:c>
      <x:c r="CV49" s="23" t="n">
        <x:f>MAX(0,MIN('Activities'!L49,576)-MAX('Activities'!K49,570))</x:f>
        <x:v>0</x:v>
      </x:c>
      <x:c r="CW49" s="23" t="n">
        <x:f>MAX(0,MIN('Activities'!L49,582)-MAX('Activities'!K49,576))</x:f>
        <x:v>0</x:v>
      </x:c>
      <x:c r="CX49" s="23" t="n">
        <x:f>MAX(0,MIN('Activities'!L49,588)-MAX('Activities'!K49,582))</x:f>
        <x:v>0</x:v>
      </x:c>
      <x:c r="CY49" s="23" t="n">
        <x:f>MAX(0,MIN('Activities'!L49,594)-MAX('Activities'!K49,588))</x:f>
        <x:v>0</x:v>
      </x:c>
      <x:c r="CZ49" s="23" t="n">
        <x:f>MAX(0,MIN('Activities'!L49,600)-MAX('Activities'!K49,594))</x:f>
        <x:v>0</x:v>
      </x:c>
      <x:c r="DA49" s="23" t="n">
        <x:f>MAX(0,MIN('Activities'!L49,606)-MAX('Activities'!K49,600))</x:f>
        <x:v>0</x:v>
      </x:c>
      <x:c r="DB49" s="23" t="n">
        <x:f>MAX(0,MIN('Activities'!L49,612)-MAX('Activities'!K49,606))</x:f>
        <x:v>0</x:v>
      </x:c>
      <x:c r="DC49" s="23" t="n">
        <x:f>MAX(0,MIN('Activities'!L49,618)-MAX('Activities'!K49,612))</x:f>
        <x:v>0</x:v>
      </x:c>
      <x:c r="DD49" s="23" t="n">
        <x:f>MAX(0,MIN('Activities'!L49,624)-MAX('Activities'!K49,618))</x:f>
        <x:v>0</x:v>
      </x:c>
      <x:c r="DE49" s="23" t="n">
        <x:f>MAX(0,MIN('Activities'!L49,630)-MAX('Activities'!K49,624))</x:f>
        <x:v>0</x:v>
      </x:c>
      <x:c r="DF49" s="23" t="n">
        <x:f>MAX(0,MIN('Activities'!L49,636)-MAX('Activities'!K49,630))</x:f>
        <x:v>0</x:v>
      </x:c>
    </x:row>
    <x:row r="50" ht="23" customHeight="1">
      <x:c r="A50" s="6" t="str">
        <x:v>T1-L08-C</x:v>
      </x:c>
      <x:c r="B50" s="6" t="str">
        <x:v>T1</x:v>
      </x:c>
      <x:c r="C50" s="6" t="str">
        <x:v>Concrete placement and finishing</x:v>
      </x:c>
      <x:c r="D50" s="6" t="str">
        <x:v>Concrete</x:v>
      </x:c>
      <x:c r="E50" s="22" t="n">
        <x:f>MAX(0,MIN('Activities'!L50,6)-MAX('Activities'!K50,0))</x:f>
        <x:v>0</x:v>
      </x:c>
      <x:c r="F50" s="22" t="n">
        <x:f>MAX(0,MIN('Activities'!L50,12)-MAX('Activities'!K50,6))</x:f>
        <x:v>0</x:v>
      </x:c>
      <x:c r="G50" s="22" t="n">
        <x:f>MAX(0,MIN('Activities'!L50,18)-MAX('Activities'!K50,12))</x:f>
        <x:v>0</x:v>
      </x:c>
      <x:c r="H50" s="22" t="n">
        <x:f>MAX(0,MIN('Activities'!L50,24)-MAX('Activities'!K50,18))</x:f>
        <x:v>0</x:v>
      </x:c>
      <x:c r="I50" s="22" t="n">
        <x:f>MAX(0,MIN('Activities'!L50,30)-MAX('Activities'!K50,24))</x:f>
        <x:v>0</x:v>
      </x:c>
      <x:c r="J50" s="22" t="n">
        <x:f>MAX(0,MIN('Activities'!L50,36)-MAX('Activities'!K50,30))</x:f>
        <x:v>0</x:v>
      </x:c>
      <x:c r="K50" s="22" t="n">
        <x:f>MAX(0,MIN('Activities'!L50,42)-MAX('Activities'!K50,36))</x:f>
        <x:v>0</x:v>
      </x:c>
      <x:c r="L50" s="22" t="n">
        <x:f>MAX(0,MIN('Activities'!L50,48)-MAX('Activities'!K50,42))</x:f>
        <x:v>0</x:v>
      </x:c>
      <x:c r="M50" s="22" t="n">
        <x:f>MAX(0,MIN('Activities'!L50,54)-MAX('Activities'!K50,48))</x:f>
        <x:v>0</x:v>
      </x:c>
      <x:c r="N50" s="22" t="n">
        <x:f>MAX(0,MIN('Activities'!L50,60)-MAX('Activities'!K50,54))</x:f>
        <x:v>0</x:v>
      </x:c>
      <x:c r="O50" s="22" t="n">
        <x:f>MAX(0,MIN('Activities'!L50,66)-MAX('Activities'!K50,60))</x:f>
        <x:v>0</x:v>
      </x:c>
      <x:c r="P50" s="22" t="n">
        <x:f>MAX(0,MIN('Activities'!L50,72)-MAX('Activities'!K50,66))</x:f>
        <x:v>0</x:v>
      </x:c>
      <x:c r="Q50" s="22" t="n">
        <x:f>MAX(0,MIN('Activities'!L50,78)-MAX('Activities'!K50,72))</x:f>
        <x:v>0</x:v>
      </x:c>
      <x:c r="R50" s="22" t="n">
        <x:f>MAX(0,MIN('Activities'!L50,84)-MAX('Activities'!K50,78))</x:f>
        <x:v>0</x:v>
      </x:c>
      <x:c r="S50" s="22" t="n">
        <x:f>MAX(0,MIN('Activities'!L50,90)-MAX('Activities'!K50,84))</x:f>
        <x:v>0</x:v>
      </x:c>
      <x:c r="T50" s="22" t="n">
        <x:f>MAX(0,MIN('Activities'!L50,96)-MAX('Activities'!K50,90))</x:f>
        <x:v>0</x:v>
      </x:c>
      <x:c r="U50" s="22" t="n">
        <x:f>MAX(0,MIN('Activities'!L50,102)-MAX('Activities'!K50,96))</x:f>
        <x:v>0</x:v>
      </x:c>
      <x:c r="V50" s="22" t="n">
        <x:f>MAX(0,MIN('Activities'!L50,108)-MAX('Activities'!K50,102))</x:f>
        <x:v>0</x:v>
      </x:c>
      <x:c r="W50" s="22" t="n">
        <x:f>MAX(0,MIN('Activities'!L50,114)-MAX('Activities'!K50,108))</x:f>
        <x:v>0</x:v>
      </x:c>
      <x:c r="X50" s="22" t="n">
        <x:f>MAX(0,MIN('Activities'!L50,120)-MAX('Activities'!K50,114))</x:f>
        <x:v>0</x:v>
      </x:c>
      <x:c r="Y50" s="22" t="n">
        <x:f>MAX(0,MIN('Activities'!L50,126)-MAX('Activities'!K50,120))</x:f>
        <x:v>0</x:v>
      </x:c>
      <x:c r="Z50" s="22" t="n">
        <x:f>MAX(0,MIN('Activities'!L50,132)-MAX('Activities'!K50,126))</x:f>
        <x:v>0</x:v>
      </x:c>
      <x:c r="AA50" s="22" t="n">
        <x:f>MAX(0,MIN('Activities'!L50,138)-MAX('Activities'!K50,132))</x:f>
        <x:v>0</x:v>
      </x:c>
      <x:c r="AB50" s="22" t="n">
        <x:f>MAX(0,MIN('Activities'!L50,144)-MAX('Activities'!K50,138))</x:f>
        <x:v>0</x:v>
      </x:c>
      <x:c r="AC50" s="22" t="n">
        <x:f>MAX(0,MIN('Activities'!L50,150)-MAX('Activities'!K50,144))</x:f>
        <x:v>0</x:v>
      </x:c>
      <x:c r="AD50" s="22" t="n">
        <x:f>MAX(0,MIN('Activities'!L50,156)-MAX('Activities'!K50,150))</x:f>
        <x:v>0</x:v>
      </x:c>
      <x:c r="AE50" s="22" t="n">
        <x:f>MAX(0,MIN('Activities'!L50,162)-MAX('Activities'!K50,156))</x:f>
        <x:v>0</x:v>
      </x:c>
      <x:c r="AF50" s="22" t="n">
        <x:f>MAX(0,MIN('Activities'!L50,168)-MAX('Activities'!K50,162))</x:f>
        <x:v>0</x:v>
      </x:c>
      <x:c r="AG50" s="22" t="n">
        <x:f>MAX(0,MIN('Activities'!L50,174)-MAX('Activities'!K50,168))</x:f>
        <x:v>0</x:v>
      </x:c>
      <x:c r="AH50" s="22" t="n">
        <x:f>MAX(0,MIN('Activities'!L50,180)-MAX('Activities'!K50,174))</x:f>
        <x:v>0</x:v>
      </x:c>
      <x:c r="AI50" s="22" t="n">
        <x:f>MAX(0,MIN('Activities'!L50,186)-MAX('Activities'!K50,180))</x:f>
        <x:v>0</x:v>
      </x:c>
      <x:c r="AJ50" s="22" t="n">
        <x:f>MAX(0,MIN('Activities'!L50,192)-MAX('Activities'!K50,186))</x:f>
        <x:v>0</x:v>
      </x:c>
      <x:c r="AK50" s="22" t="n">
        <x:f>MAX(0,MIN('Activities'!L50,198)-MAX('Activities'!K50,192))</x:f>
        <x:v>0</x:v>
      </x:c>
      <x:c r="AL50" s="22" t="n">
        <x:f>MAX(0,MIN('Activities'!L50,204)-MAX('Activities'!K50,198))</x:f>
        <x:v>0</x:v>
      </x:c>
      <x:c r="AM50" s="22" t="n">
        <x:f>MAX(0,MIN('Activities'!L50,210)-MAX('Activities'!K50,204))</x:f>
        <x:v>0</x:v>
      </x:c>
      <x:c r="AN50" s="22" t="n">
        <x:f>MAX(0,MIN('Activities'!L50,216)-MAX('Activities'!K50,210))</x:f>
        <x:v>0</x:v>
      </x:c>
      <x:c r="AO50" s="22" t="n">
        <x:f>MAX(0,MIN('Activities'!L50,222)-MAX('Activities'!K50,216))</x:f>
        <x:v>0</x:v>
      </x:c>
      <x:c r="AP50" s="22" t="n">
        <x:f>MAX(0,MIN('Activities'!L50,228)-MAX('Activities'!K50,222))</x:f>
        <x:v>0</x:v>
      </x:c>
      <x:c r="AQ50" s="22" t="n">
        <x:f>MAX(0,MIN('Activities'!L50,234)-MAX('Activities'!K50,228))</x:f>
        <x:v>0</x:v>
      </x:c>
      <x:c r="AR50" s="22" t="n">
        <x:f>MAX(0,MIN('Activities'!L50,240)-MAX('Activities'!K50,234))</x:f>
        <x:v>0</x:v>
      </x:c>
      <x:c r="AS50" s="22" t="n">
        <x:f>MAX(0,MIN('Activities'!L50,246)-MAX('Activities'!K50,240))</x:f>
        <x:v>0</x:v>
      </x:c>
      <x:c r="AT50" s="22" t="n">
        <x:f>MAX(0,MIN('Activities'!L50,252)-MAX('Activities'!K50,246))</x:f>
        <x:v>0</x:v>
      </x:c>
      <x:c r="AU50" s="22" t="n">
        <x:f>MAX(0,MIN('Activities'!L50,258)-MAX('Activities'!K50,252))</x:f>
        <x:v>0</x:v>
      </x:c>
      <x:c r="AV50" s="22" t="n">
        <x:f>MAX(0,MIN('Activities'!L50,264)-MAX('Activities'!K50,258))</x:f>
        <x:v>0</x:v>
      </x:c>
      <x:c r="AW50" s="22" t="n">
        <x:f>MAX(0,MIN('Activities'!L50,270)-MAX('Activities'!K50,264))</x:f>
        <x:v>0</x:v>
      </x:c>
      <x:c r="AX50" s="22" t="n">
        <x:f>MAX(0,MIN('Activities'!L50,276)-MAX('Activities'!K50,270))</x:f>
        <x:v>0</x:v>
      </x:c>
      <x:c r="AY50" s="22" t="n">
        <x:f>MAX(0,MIN('Activities'!L50,282)-MAX('Activities'!K50,276))</x:f>
        <x:v>0</x:v>
      </x:c>
      <x:c r="AZ50" s="22" t="n">
        <x:f>MAX(0,MIN('Activities'!L50,288)-MAX('Activities'!K50,282))</x:f>
        <x:v>0</x:v>
      </x:c>
      <x:c r="BA50" s="22" t="n">
        <x:f>MAX(0,MIN('Activities'!L50,294)-MAX('Activities'!K50,288))</x:f>
        <x:v>2</x:v>
      </x:c>
      <x:c r="BB50" s="22" t="n">
        <x:f>MAX(0,MIN('Activities'!L50,300)-MAX('Activities'!K50,294))</x:f>
        <x:v>0</x:v>
      </x:c>
      <x:c r="BC50" s="22" t="n">
        <x:f>MAX(0,MIN('Activities'!L50,306)-MAX('Activities'!K50,300))</x:f>
        <x:v>0</x:v>
      </x:c>
      <x:c r="BD50" s="22" t="n">
        <x:f>MAX(0,MIN('Activities'!L50,312)-MAX('Activities'!K50,306))</x:f>
        <x:v>0</x:v>
      </x:c>
      <x:c r="BE50" s="22" t="n">
        <x:f>MAX(0,MIN('Activities'!L50,318)-MAX('Activities'!K50,312))</x:f>
        <x:v>0</x:v>
      </x:c>
      <x:c r="BF50" s="22" t="n">
        <x:f>MAX(0,MIN('Activities'!L50,324)-MAX('Activities'!K50,318))</x:f>
        <x:v>0</x:v>
      </x:c>
      <x:c r="BG50" s="22" t="n">
        <x:f>MAX(0,MIN('Activities'!L50,330)-MAX('Activities'!K50,324))</x:f>
        <x:v>0</x:v>
      </x:c>
      <x:c r="BH50" s="22" t="n">
        <x:f>MAX(0,MIN('Activities'!L50,336)-MAX('Activities'!K50,330))</x:f>
        <x:v>0</x:v>
      </x:c>
      <x:c r="BI50" s="22" t="n">
        <x:f>MAX(0,MIN('Activities'!L50,342)-MAX('Activities'!K50,336))</x:f>
        <x:v>0</x:v>
      </x:c>
      <x:c r="BJ50" s="22" t="n">
        <x:f>MAX(0,MIN('Activities'!L50,348)-MAX('Activities'!K50,342))</x:f>
        <x:v>0</x:v>
      </x:c>
      <x:c r="BK50" s="22" t="n">
        <x:f>MAX(0,MIN('Activities'!L50,354)-MAX('Activities'!K50,348))</x:f>
        <x:v>0</x:v>
      </x:c>
      <x:c r="BL50" s="22" t="n">
        <x:f>MAX(0,MIN('Activities'!L50,360)-MAX('Activities'!K50,354))</x:f>
        <x:v>0</x:v>
      </x:c>
      <x:c r="BM50" s="22" t="n">
        <x:f>MAX(0,MIN('Activities'!L50,366)-MAX('Activities'!K50,360))</x:f>
        <x:v>0</x:v>
      </x:c>
      <x:c r="BN50" s="22" t="n">
        <x:f>MAX(0,MIN('Activities'!L50,372)-MAX('Activities'!K50,366))</x:f>
        <x:v>0</x:v>
      </x:c>
      <x:c r="BO50" s="22" t="n">
        <x:f>MAX(0,MIN('Activities'!L50,378)-MAX('Activities'!K50,372))</x:f>
        <x:v>0</x:v>
      </x:c>
      <x:c r="BP50" s="22" t="n">
        <x:f>MAX(0,MIN('Activities'!L50,384)-MAX('Activities'!K50,378))</x:f>
        <x:v>0</x:v>
      </x:c>
      <x:c r="BQ50" s="22" t="n">
        <x:f>MAX(0,MIN('Activities'!L50,390)-MAX('Activities'!K50,384))</x:f>
        <x:v>0</x:v>
      </x:c>
      <x:c r="BR50" s="22" t="n">
        <x:f>MAX(0,MIN('Activities'!L50,396)-MAX('Activities'!K50,390))</x:f>
        <x:v>0</x:v>
      </x:c>
      <x:c r="BS50" s="22" t="n">
        <x:f>MAX(0,MIN('Activities'!L50,402)-MAX('Activities'!K50,396))</x:f>
        <x:v>0</x:v>
      </x:c>
      <x:c r="BT50" s="22" t="n">
        <x:f>MAX(0,MIN('Activities'!L50,408)-MAX('Activities'!K50,402))</x:f>
        <x:v>0</x:v>
      </x:c>
      <x:c r="BU50" s="22" t="n">
        <x:f>MAX(0,MIN('Activities'!L50,414)-MAX('Activities'!K50,408))</x:f>
        <x:v>0</x:v>
      </x:c>
      <x:c r="BV50" s="22" t="n">
        <x:f>MAX(0,MIN('Activities'!L50,420)-MAX('Activities'!K50,414))</x:f>
        <x:v>0</x:v>
      </x:c>
      <x:c r="BW50" s="22" t="n">
        <x:f>MAX(0,MIN('Activities'!L50,426)-MAX('Activities'!K50,420))</x:f>
        <x:v>0</x:v>
      </x:c>
      <x:c r="BX50" s="22" t="n">
        <x:f>MAX(0,MIN('Activities'!L50,432)-MAX('Activities'!K50,426))</x:f>
        <x:v>0</x:v>
      </x:c>
      <x:c r="BY50" s="22" t="n">
        <x:f>MAX(0,MIN('Activities'!L50,438)-MAX('Activities'!K50,432))</x:f>
        <x:v>0</x:v>
      </x:c>
      <x:c r="BZ50" s="22" t="n">
        <x:f>MAX(0,MIN('Activities'!L50,444)-MAX('Activities'!K50,438))</x:f>
        <x:v>0</x:v>
      </x:c>
      <x:c r="CA50" s="22" t="n">
        <x:f>MAX(0,MIN('Activities'!L50,450)-MAX('Activities'!K50,444))</x:f>
        <x:v>0</x:v>
      </x:c>
      <x:c r="CB50" s="22" t="n">
        <x:f>MAX(0,MIN('Activities'!L50,456)-MAX('Activities'!K50,450))</x:f>
        <x:v>0</x:v>
      </x:c>
      <x:c r="CC50" s="22" t="n">
        <x:f>MAX(0,MIN('Activities'!L50,462)-MAX('Activities'!K50,456))</x:f>
        <x:v>0</x:v>
      </x:c>
      <x:c r="CD50" s="22" t="n">
        <x:f>MAX(0,MIN('Activities'!L50,468)-MAX('Activities'!K50,462))</x:f>
        <x:v>0</x:v>
      </x:c>
      <x:c r="CE50" s="22" t="n">
        <x:f>MAX(0,MIN('Activities'!L50,474)-MAX('Activities'!K50,468))</x:f>
        <x:v>0</x:v>
      </x:c>
      <x:c r="CF50" s="22" t="n">
        <x:f>MAX(0,MIN('Activities'!L50,480)-MAX('Activities'!K50,474))</x:f>
        <x:v>0</x:v>
      </x:c>
      <x:c r="CG50" s="22" t="n">
        <x:f>MAX(0,MIN('Activities'!L50,486)-MAX('Activities'!K50,480))</x:f>
        <x:v>0</x:v>
      </x:c>
      <x:c r="CH50" s="22" t="n">
        <x:f>MAX(0,MIN('Activities'!L50,492)-MAX('Activities'!K50,486))</x:f>
        <x:v>0</x:v>
      </x:c>
      <x:c r="CI50" s="22" t="n">
        <x:f>MAX(0,MIN('Activities'!L50,498)-MAX('Activities'!K50,492))</x:f>
        <x:v>0</x:v>
      </x:c>
      <x:c r="CJ50" s="22" t="n">
        <x:f>MAX(0,MIN('Activities'!L50,504)-MAX('Activities'!K50,498))</x:f>
        <x:v>0</x:v>
      </x:c>
      <x:c r="CK50" s="22" t="n">
        <x:f>MAX(0,MIN('Activities'!L50,510)-MAX('Activities'!K50,504))</x:f>
        <x:v>0</x:v>
      </x:c>
      <x:c r="CL50" s="22" t="n">
        <x:f>MAX(0,MIN('Activities'!L50,516)-MAX('Activities'!K50,510))</x:f>
        <x:v>0</x:v>
      </x:c>
      <x:c r="CM50" s="22" t="n">
        <x:f>MAX(0,MIN('Activities'!L50,522)-MAX('Activities'!K50,516))</x:f>
        <x:v>0</x:v>
      </x:c>
      <x:c r="CN50" s="22" t="n">
        <x:f>MAX(0,MIN('Activities'!L50,528)-MAX('Activities'!K50,522))</x:f>
        <x:v>0</x:v>
      </x:c>
      <x:c r="CO50" s="22" t="n">
        <x:f>MAX(0,MIN('Activities'!L50,534)-MAX('Activities'!K50,528))</x:f>
        <x:v>0</x:v>
      </x:c>
      <x:c r="CP50" s="22" t="n">
        <x:f>MAX(0,MIN('Activities'!L50,540)-MAX('Activities'!K50,534))</x:f>
        <x:v>0</x:v>
      </x:c>
      <x:c r="CQ50" s="22" t="n">
        <x:f>MAX(0,MIN('Activities'!L50,546)-MAX('Activities'!K50,540))</x:f>
        <x:v>0</x:v>
      </x:c>
      <x:c r="CR50" s="22" t="n">
        <x:f>MAX(0,MIN('Activities'!L50,552)-MAX('Activities'!K50,546))</x:f>
        <x:v>0</x:v>
      </x:c>
      <x:c r="CS50" s="22" t="n">
        <x:f>MAX(0,MIN('Activities'!L50,558)-MAX('Activities'!K50,552))</x:f>
        <x:v>0</x:v>
      </x:c>
      <x:c r="CT50" s="22" t="n">
        <x:f>MAX(0,MIN('Activities'!L50,564)-MAX('Activities'!K50,558))</x:f>
        <x:v>0</x:v>
      </x:c>
      <x:c r="CU50" s="22" t="n">
        <x:f>MAX(0,MIN('Activities'!L50,570)-MAX('Activities'!K50,564))</x:f>
        <x:v>0</x:v>
      </x:c>
      <x:c r="CV50" s="22" t="n">
        <x:f>MAX(0,MIN('Activities'!L50,576)-MAX('Activities'!K50,570))</x:f>
        <x:v>0</x:v>
      </x:c>
      <x:c r="CW50" s="22" t="n">
        <x:f>MAX(0,MIN('Activities'!L50,582)-MAX('Activities'!K50,576))</x:f>
        <x:v>0</x:v>
      </x:c>
      <x:c r="CX50" s="22" t="n">
        <x:f>MAX(0,MIN('Activities'!L50,588)-MAX('Activities'!K50,582))</x:f>
        <x:v>0</x:v>
      </x:c>
      <x:c r="CY50" s="22" t="n">
        <x:f>MAX(0,MIN('Activities'!L50,594)-MAX('Activities'!K50,588))</x:f>
        <x:v>0</x:v>
      </x:c>
      <x:c r="CZ50" s="22" t="n">
        <x:f>MAX(0,MIN('Activities'!L50,600)-MAX('Activities'!K50,594))</x:f>
        <x:v>0</x:v>
      </x:c>
      <x:c r="DA50" s="22" t="n">
        <x:f>MAX(0,MIN('Activities'!L50,606)-MAX('Activities'!K50,600))</x:f>
        <x:v>0</x:v>
      </x:c>
      <x:c r="DB50" s="22" t="n">
        <x:f>MAX(0,MIN('Activities'!L50,612)-MAX('Activities'!K50,606))</x:f>
        <x:v>0</x:v>
      </x:c>
      <x:c r="DC50" s="22" t="n">
        <x:f>MAX(0,MIN('Activities'!L50,618)-MAX('Activities'!K50,612))</x:f>
        <x:v>0</x:v>
      </x:c>
      <x:c r="DD50" s="22" t="n">
        <x:f>MAX(0,MIN('Activities'!L50,624)-MAX('Activities'!K50,618))</x:f>
        <x:v>0</x:v>
      </x:c>
      <x:c r="DE50" s="22" t="n">
        <x:f>MAX(0,MIN('Activities'!L50,630)-MAX('Activities'!K50,624))</x:f>
        <x:v>0</x:v>
      </x:c>
      <x:c r="DF50" s="22" t="n">
        <x:f>MAX(0,MIN('Activities'!L50,636)-MAX('Activities'!K50,630))</x:f>
        <x:v>0</x:v>
      </x:c>
    </x:row>
    <x:row r="51" ht="23" customHeight="1">
      <x:c r="A51" s="1" t="str">
        <x:v>T1-L08-H</x:v>
      </x:c>
      <x:c r="B51" s="1" t="str">
        <x:v>T1</x:v>
      </x:c>
      <x:c r="C51" s="1" t="str">
        <x:v>Curing and release hold point</x:v>
      </x:c>
      <x:c r="D51" s="1" t="str">
        <x:v>Site</x:v>
      </x:c>
      <x:c r="E51" s="23" t="n">
        <x:f>MAX(0,MIN('Activities'!L51,6)-MAX('Activities'!K51,0))</x:f>
        <x:v>0</x:v>
      </x:c>
      <x:c r="F51" s="23" t="n">
        <x:f>MAX(0,MIN('Activities'!L51,12)-MAX('Activities'!K51,6))</x:f>
        <x:v>0</x:v>
      </x:c>
      <x:c r="G51" s="23" t="n">
        <x:f>MAX(0,MIN('Activities'!L51,18)-MAX('Activities'!K51,12))</x:f>
        <x:v>0</x:v>
      </x:c>
      <x:c r="H51" s="23" t="n">
        <x:f>MAX(0,MIN('Activities'!L51,24)-MAX('Activities'!K51,18))</x:f>
        <x:v>0</x:v>
      </x:c>
      <x:c r="I51" s="23" t="n">
        <x:f>MAX(0,MIN('Activities'!L51,30)-MAX('Activities'!K51,24))</x:f>
        <x:v>0</x:v>
      </x:c>
      <x:c r="J51" s="23" t="n">
        <x:f>MAX(0,MIN('Activities'!L51,36)-MAX('Activities'!K51,30))</x:f>
        <x:v>0</x:v>
      </x:c>
      <x:c r="K51" s="23" t="n">
        <x:f>MAX(0,MIN('Activities'!L51,42)-MAX('Activities'!K51,36))</x:f>
        <x:v>0</x:v>
      </x:c>
      <x:c r="L51" s="23" t="n">
        <x:f>MAX(0,MIN('Activities'!L51,48)-MAX('Activities'!K51,42))</x:f>
        <x:v>0</x:v>
      </x:c>
      <x:c r="M51" s="23" t="n">
        <x:f>MAX(0,MIN('Activities'!L51,54)-MAX('Activities'!K51,48))</x:f>
        <x:v>0</x:v>
      </x:c>
      <x:c r="N51" s="23" t="n">
        <x:f>MAX(0,MIN('Activities'!L51,60)-MAX('Activities'!K51,54))</x:f>
        <x:v>0</x:v>
      </x:c>
      <x:c r="O51" s="23" t="n">
        <x:f>MAX(0,MIN('Activities'!L51,66)-MAX('Activities'!K51,60))</x:f>
        <x:v>0</x:v>
      </x:c>
      <x:c r="P51" s="23" t="n">
        <x:f>MAX(0,MIN('Activities'!L51,72)-MAX('Activities'!K51,66))</x:f>
        <x:v>0</x:v>
      </x:c>
      <x:c r="Q51" s="23" t="n">
        <x:f>MAX(0,MIN('Activities'!L51,78)-MAX('Activities'!K51,72))</x:f>
        <x:v>0</x:v>
      </x:c>
      <x:c r="R51" s="23" t="n">
        <x:f>MAX(0,MIN('Activities'!L51,84)-MAX('Activities'!K51,78))</x:f>
        <x:v>0</x:v>
      </x:c>
      <x:c r="S51" s="23" t="n">
        <x:f>MAX(0,MIN('Activities'!L51,90)-MAX('Activities'!K51,84))</x:f>
        <x:v>0</x:v>
      </x:c>
      <x:c r="T51" s="23" t="n">
        <x:f>MAX(0,MIN('Activities'!L51,96)-MAX('Activities'!K51,90))</x:f>
        <x:v>0</x:v>
      </x:c>
      <x:c r="U51" s="23" t="n">
        <x:f>MAX(0,MIN('Activities'!L51,102)-MAX('Activities'!K51,96))</x:f>
        <x:v>0</x:v>
      </x:c>
      <x:c r="V51" s="23" t="n">
        <x:f>MAX(0,MIN('Activities'!L51,108)-MAX('Activities'!K51,102))</x:f>
        <x:v>0</x:v>
      </x:c>
      <x:c r="W51" s="23" t="n">
        <x:f>MAX(0,MIN('Activities'!L51,114)-MAX('Activities'!K51,108))</x:f>
        <x:v>0</x:v>
      </x:c>
      <x:c r="X51" s="23" t="n">
        <x:f>MAX(0,MIN('Activities'!L51,120)-MAX('Activities'!K51,114))</x:f>
        <x:v>0</x:v>
      </x:c>
      <x:c r="Y51" s="23" t="n">
        <x:f>MAX(0,MIN('Activities'!L51,126)-MAX('Activities'!K51,120))</x:f>
        <x:v>0</x:v>
      </x:c>
      <x:c r="Z51" s="23" t="n">
        <x:f>MAX(0,MIN('Activities'!L51,132)-MAX('Activities'!K51,126))</x:f>
        <x:v>0</x:v>
      </x:c>
      <x:c r="AA51" s="23" t="n">
        <x:f>MAX(0,MIN('Activities'!L51,138)-MAX('Activities'!K51,132))</x:f>
        <x:v>0</x:v>
      </x:c>
      <x:c r="AB51" s="23" t="n">
        <x:f>MAX(0,MIN('Activities'!L51,144)-MAX('Activities'!K51,138))</x:f>
        <x:v>0</x:v>
      </x:c>
      <x:c r="AC51" s="23" t="n">
        <x:f>MAX(0,MIN('Activities'!L51,150)-MAX('Activities'!K51,144))</x:f>
        <x:v>0</x:v>
      </x:c>
      <x:c r="AD51" s="23" t="n">
        <x:f>MAX(0,MIN('Activities'!L51,156)-MAX('Activities'!K51,150))</x:f>
        <x:v>0</x:v>
      </x:c>
      <x:c r="AE51" s="23" t="n">
        <x:f>MAX(0,MIN('Activities'!L51,162)-MAX('Activities'!K51,156))</x:f>
        <x:v>0</x:v>
      </x:c>
      <x:c r="AF51" s="23" t="n">
        <x:f>MAX(0,MIN('Activities'!L51,168)-MAX('Activities'!K51,162))</x:f>
        <x:v>0</x:v>
      </x:c>
      <x:c r="AG51" s="23" t="n">
        <x:f>MAX(0,MIN('Activities'!L51,174)-MAX('Activities'!K51,168))</x:f>
        <x:v>0</x:v>
      </x:c>
      <x:c r="AH51" s="23" t="n">
        <x:f>MAX(0,MIN('Activities'!L51,180)-MAX('Activities'!K51,174))</x:f>
        <x:v>0</x:v>
      </x:c>
      <x:c r="AI51" s="23" t="n">
        <x:f>MAX(0,MIN('Activities'!L51,186)-MAX('Activities'!K51,180))</x:f>
        <x:v>0</x:v>
      </x:c>
      <x:c r="AJ51" s="23" t="n">
        <x:f>MAX(0,MIN('Activities'!L51,192)-MAX('Activities'!K51,186))</x:f>
        <x:v>0</x:v>
      </x:c>
      <x:c r="AK51" s="23" t="n">
        <x:f>MAX(0,MIN('Activities'!L51,198)-MAX('Activities'!K51,192))</x:f>
        <x:v>0</x:v>
      </x:c>
      <x:c r="AL51" s="23" t="n">
        <x:f>MAX(0,MIN('Activities'!L51,204)-MAX('Activities'!K51,198))</x:f>
        <x:v>0</x:v>
      </x:c>
      <x:c r="AM51" s="23" t="n">
        <x:f>MAX(0,MIN('Activities'!L51,210)-MAX('Activities'!K51,204))</x:f>
        <x:v>0</x:v>
      </x:c>
      <x:c r="AN51" s="23" t="n">
        <x:f>MAX(0,MIN('Activities'!L51,216)-MAX('Activities'!K51,210))</x:f>
        <x:v>0</x:v>
      </x:c>
      <x:c r="AO51" s="23" t="n">
        <x:f>MAX(0,MIN('Activities'!L51,222)-MAX('Activities'!K51,216))</x:f>
        <x:v>0</x:v>
      </x:c>
      <x:c r="AP51" s="23" t="n">
        <x:f>MAX(0,MIN('Activities'!L51,228)-MAX('Activities'!K51,222))</x:f>
        <x:v>0</x:v>
      </x:c>
      <x:c r="AQ51" s="23" t="n">
        <x:f>MAX(0,MIN('Activities'!L51,234)-MAX('Activities'!K51,228))</x:f>
        <x:v>0</x:v>
      </x:c>
      <x:c r="AR51" s="23" t="n">
        <x:f>MAX(0,MIN('Activities'!L51,240)-MAX('Activities'!K51,234))</x:f>
        <x:v>0</x:v>
      </x:c>
      <x:c r="AS51" s="23" t="n">
        <x:f>MAX(0,MIN('Activities'!L51,246)-MAX('Activities'!K51,240))</x:f>
        <x:v>0</x:v>
      </x:c>
      <x:c r="AT51" s="23" t="n">
        <x:f>MAX(0,MIN('Activities'!L51,252)-MAX('Activities'!K51,246))</x:f>
        <x:v>0</x:v>
      </x:c>
      <x:c r="AU51" s="23" t="n">
        <x:f>MAX(0,MIN('Activities'!L51,258)-MAX('Activities'!K51,252))</x:f>
        <x:v>0</x:v>
      </x:c>
      <x:c r="AV51" s="23" t="n">
        <x:f>MAX(0,MIN('Activities'!L51,264)-MAX('Activities'!K51,258))</x:f>
        <x:v>0</x:v>
      </x:c>
      <x:c r="AW51" s="23" t="n">
        <x:f>MAX(0,MIN('Activities'!L51,270)-MAX('Activities'!K51,264))</x:f>
        <x:v>0</x:v>
      </x:c>
      <x:c r="AX51" s="23" t="n">
        <x:f>MAX(0,MIN('Activities'!L51,276)-MAX('Activities'!K51,270))</x:f>
        <x:v>0</x:v>
      </x:c>
      <x:c r="AY51" s="23" t="n">
        <x:f>MAX(0,MIN('Activities'!L51,282)-MAX('Activities'!K51,276))</x:f>
        <x:v>0</x:v>
      </x:c>
      <x:c r="AZ51" s="23" t="n">
        <x:f>MAX(0,MIN('Activities'!L51,288)-MAX('Activities'!K51,282))</x:f>
        <x:v>0</x:v>
      </x:c>
      <x:c r="BA51" s="23" t="n">
        <x:f>MAX(0,MIN('Activities'!L51,294)-MAX('Activities'!K51,288))</x:f>
        <x:v>3</x:v>
      </x:c>
      <x:c r="BB51" s="23" t="n">
        <x:f>MAX(0,MIN('Activities'!L51,300)-MAX('Activities'!K51,294))</x:f>
        <x:v>2</x:v>
      </x:c>
      <x:c r="BC51" s="23" t="n">
        <x:f>MAX(0,MIN('Activities'!L51,306)-MAX('Activities'!K51,300))</x:f>
        <x:v>0</x:v>
      </x:c>
      <x:c r="BD51" s="23" t="n">
        <x:f>MAX(0,MIN('Activities'!L51,312)-MAX('Activities'!K51,306))</x:f>
        <x:v>0</x:v>
      </x:c>
      <x:c r="BE51" s="23" t="n">
        <x:f>MAX(0,MIN('Activities'!L51,318)-MAX('Activities'!K51,312))</x:f>
        <x:v>0</x:v>
      </x:c>
      <x:c r="BF51" s="23" t="n">
        <x:f>MAX(0,MIN('Activities'!L51,324)-MAX('Activities'!K51,318))</x:f>
        <x:v>0</x:v>
      </x:c>
      <x:c r="BG51" s="23" t="n">
        <x:f>MAX(0,MIN('Activities'!L51,330)-MAX('Activities'!K51,324))</x:f>
        <x:v>0</x:v>
      </x:c>
      <x:c r="BH51" s="23" t="n">
        <x:f>MAX(0,MIN('Activities'!L51,336)-MAX('Activities'!K51,330))</x:f>
        <x:v>0</x:v>
      </x:c>
      <x:c r="BI51" s="23" t="n">
        <x:f>MAX(0,MIN('Activities'!L51,342)-MAX('Activities'!K51,336))</x:f>
        <x:v>0</x:v>
      </x:c>
      <x:c r="BJ51" s="23" t="n">
        <x:f>MAX(0,MIN('Activities'!L51,348)-MAX('Activities'!K51,342))</x:f>
        <x:v>0</x:v>
      </x:c>
      <x:c r="BK51" s="23" t="n">
        <x:f>MAX(0,MIN('Activities'!L51,354)-MAX('Activities'!K51,348))</x:f>
        <x:v>0</x:v>
      </x:c>
      <x:c r="BL51" s="23" t="n">
        <x:f>MAX(0,MIN('Activities'!L51,360)-MAX('Activities'!K51,354))</x:f>
        <x:v>0</x:v>
      </x:c>
      <x:c r="BM51" s="23" t="n">
        <x:f>MAX(0,MIN('Activities'!L51,366)-MAX('Activities'!K51,360))</x:f>
        <x:v>0</x:v>
      </x:c>
      <x:c r="BN51" s="23" t="n">
        <x:f>MAX(0,MIN('Activities'!L51,372)-MAX('Activities'!K51,366))</x:f>
        <x:v>0</x:v>
      </x:c>
      <x:c r="BO51" s="23" t="n">
        <x:f>MAX(0,MIN('Activities'!L51,378)-MAX('Activities'!K51,372))</x:f>
        <x:v>0</x:v>
      </x:c>
      <x:c r="BP51" s="23" t="n">
        <x:f>MAX(0,MIN('Activities'!L51,384)-MAX('Activities'!K51,378))</x:f>
        <x:v>0</x:v>
      </x:c>
      <x:c r="BQ51" s="23" t="n">
        <x:f>MAX(0,MIN('Activities'!L51,390)-MAX('Activities'!K51,384))</x:f>
        <x:v>0</x:v>
      </x:c>
      <x:c r="BR51" s="23" t="n">
        <x:f>MAX(0,MIN('Activities'!L51,396)-MAX('Activities'!K51,390))</x:f>
        <x:v>0</x:v>
      </x:c>
      <x:c r="BS51" s="23" t="n">
        <x:f>MAX(0,MIN('Activities'!L51,402)-MAX('Activities'!K51,396))</x:f>
        <x:v>0</x:v>
      </x:c>
      <x:c r="BT51" s="23" t="n">
        <x:f>MAX(0,MIN('Activities'!L51,408)-MAX('Activities'!K51,402))</x:f>
        <x:v>0</x:v>
      </x:c>
      <x:c r="BU51" s="23" t="n">
        <x:f>MAX(0,MIN('Activities'!L51,414)-MAX('Activities'!K51,408))</x:f>
        <x:v>0</x:v>
      </x:c>
      <x:c r="BV51" s="23" t="n">
        <x:f>MAX(0,MIN('Activities'!L51,420)-MAX('Activities'!K51,414))</x:f>
        <x:v>0</x:v>
      </x:c>
      <x:c r="BW51" s="23" t="n">
        <x:f>MAX(0,MIN('Activities'!L51,426)-MAX('Activities'!K51,420))</x:f>
        <x:v>0</x:v>
      </x:c>
      <x:c r="BX51" s="23" t="n">
        <x:f>MAX(0,MIN('Activities'!L51,432)-MAX('Activities'!K51,426))</x:f>
        <x:v>0</x:v>
      </x:c>
      <x:c r="BY51" s="23" t="n">
        <x:f>MAX(0,MIN('Activities'!L51,438)-MAX('Activities'!K51,432))</x:f>
        <x:v>0</x:v>
      </x:c>
      <x:c r="BZ51" s="23" t="n">
        <x:f>MAX(0,MIN('Activities'!L51,444)-MAX('Activities'!K51,438))</x:f>
        <x:v>0</x:v>
      </x:c>
      <x:c r="CA51" s="23" t="n">
        <x:f>MAX(0,MIN('Activities'!L51,450)-MAX('Activities'!K51,444))</x:f>
        <x:v>0</x:v>
      </x:c>
      <x:c r="CB51" s="23" t="n">
        <x:f>MAX(0,MIN('Activities'!L51,456)-MAX('Activities'!K51,450))</x:f>
        <x:v>0</x:v>
      </x:c>
      <x:c r="CC51" s="23" t="n">
        <x:f>MAX(0,MIN('Activities'!L51,462)-MAX('Activities'!K51,456))</x:f>
        <x:v>0</x:v>
      </x:c>
      <x:c r="CD51" s="23" t="n">
        <x:f>MAX(0,MIN('Activities'!L51,468)-MAX('Activities'!K51,462))</x:f>
        <x:v>0</x:v>
      </x:c>
      <x:c r="CE51" s="23" t="n">
        <x:f>MAX(0,MIN('Activities'!L51,474)-MAX('Activities'!K51,468))</x:f>
        <x:v>0</x:v>
      </x:c>
      <x:c r="CF51" s="23" t="n">
        <x:f>MAX(0,MIN('Activities'!L51,480)-MAX('Activities'!K51,474))</x:f>
        <x:v>0</x:v>
      </x:c>
      <x:c r="CG51" s="23" t="n">
        <x:f>MAX(0,MIN('Activities'!L51,486)-MAX('Activities'!K51,480))</x:f>
        <x:v>0</x:v>
      </x:c>
      <x:c r="CH51" s="23" t="n">
        <x:f>MAX(0,MIN('Activities'!L51,492)-MAX('Activities'!K51,486))</x:f>
        <x:v>0</x:v>
      </x:c>
      <x:c r="CI51" s="23" t="n">
        <x:f>MAX(0,MIN('Activities'!L51,498)-MAX('Activities'!K51,492))</x:f>
        <x:v>0</x:v>
      </x:c>
      <x:c r="CJ51" s="23" t="n">
        <x:f>MAX(0,MIN('Activities'!L51,504)-MAX('Activities'!K51,498))</x:f>
        <x:v>0</x:v>
      </x:c>
      <x:c r="CK51" s="23" t="n">
        <x:f>MAX(0,MIN('Activities'!L51,510)-MAX('Activities'!K51,504))</x:f>
        <x:v>0</x:v>
      </x:c>
      <x:c r="CL51" s="23" t="n">
        <x:f>MAX(0,MIN('Activities'!L51,516)-MAX('Activities'!K51,510))</x:f>
        <x:v>0</x:v>
      </x:c>
      <x:c r="CM51" s="23" t="n">
        <x:f>MAX(0,MIN('Activities'!L51,522)-MAX('Activities'!K51,516))</x:f>
        <x:v>0</x:v>
      </x:c>
      <x:c r="CN51" s="23" t="n">
        <x:f>MAX(0,MIN('Activities'!L51,528)-MAX('Activities'!K51,522))</x:f>
        <x:v>0</x:v>
      </x:c>
      <x:c r="CO51" s="23" t="n">
        <x:f>MAX(0,MIN('Activities'!L51,534)-MAX('Activities'!K51,528))</x:f>
        <x:v>0</x:v>
      </x:c>
      <x:c r="CP51" s="23" t="n">
        <x:f>MAX(0,MIN('Activities'!L51,540)-MAX('Activities'!K51,534))</x:f>
        <x:v>0</x:v>
      </x:c>
      <x:c r="CQ51" s="23" t="n">
        <x:f>MAX(0,MIN('Activities'!L51,546)-MAX('Activities'!K51,540))</x:f>
        <x:v>0</x:v>
      </x:c>
      <x:c r="CR51" s="23" t="n">
        <x:f>MAX(0,MIN('Activities'!L51,552)-MAX('Activities'!K51,546))</x:f>
        <x:v>0</x:v>
      </x:c>
      <x:c r="CS51" s="23" t="n">
        <x:f>MAX(0,MIN('Activities'!L51,558)-MAX('Activities'!K51,552))</x:f>
        <x:v>0</x:v>
      </x:c>
      <x:c r="CT51" s="23" t="n">
        <x:f>MAX(0,MIN('Activities'!L51,564)-MAX('Activities'!K51,558))</x:f>
        <x:v>0</x:v>
      </x:c>
      <x:c r="CU51" s="23" t="n">
        <x:f>MAX(0,MIN('Activities'!L51,570)-MAX('Activities'!K51,564))</x:f>
        <x:v>0</x:v>
      </x:c>
      <x:c r="CV51" s="23" t="n">
        <x:f>MAX(0,MIN('Activities'!L51,576)-MAX('Activities'!K51,570))</x:f>
        <x:v>0</x:v>
      </x:c>
      <x:c r="CW51" s="23" t="n">
        <x:f>MAX(0,MIN('Activities'!L51,582)-MAX('Activities'!K51,576))</x:f>
        <x:v>0</x:v>
      </x:c>
      <x:c r="CX51" s="23" t="n">
        <x:f>MAX(0,MIN('Activities'!L51,588)-MAX('Activities'!K51,582))</x:f>
        <x:v>0</x:v>
      </x:c>
      <x:c r="CY51" s="23" t="n">
        <x:f>MAX(0,MIN('Activities'!L51,594)-MAX('Activities'!K51,588))</x:f>
        <x:v>0</x:v>
      </x:c>
      <x:c r="CZ51" s="23" t="n">
        <x:f>MAX(0,MIN('Activities'!L51,600)-MAX('Activities'!K51,594))</x:f>
        <x:v>0</x:v>
      </x:c>
      <x:c r="DA51" s="23" t="n">
        <x:f>MAX(0,MIN('Activities'!L51,606)-MAX('Activities'!K51,600))</x:f>
        <x:v>0</x:v>
      </x:c>
      <x:c r="DB51" s="23" t="n">
        <x:f>MAX(0,MIN('Activities'!L51,612)-MAX('Activities'!K51,606))</x:f>
        <x:v>0</x:v>
      </x:c>
      <x:c r="DC51" s="23" t="n">
        <x:f>MAX(0,MIN('Activities'!L51,618)-MAX('Activities'!K51,612))</x:f>
        <x:v>0</x:v>
      </x:c>
      <x:c r="DD51" s="23" t="n">
        <x:f>MAX(0,MIN('Activities'!L51,624)-MAX('Activities'!K51,618))</x:f>
        <x:v>0</x:v>
      </x:c>
      <x:c r="DE51" s="23" t="n">
        <x:f>MAX(0,MIN('Activities'!L51,630)-MAX('Activities'!K51,624))</x:f>
        <x:v>0</x:v>
      </x:c>
      <x:c r="DF51" s="23" t="n">
        <x:f>MAX(0,MIN('Activities'!L51,636)-MAX('Activities'!K51,630))</x:f>
        <x:v>0</x:v>
      </x:c>
    </x:row>
    <x:row r="52" ht="23" customHeight="1">
      <x:c r="A52" s="6" t="str">
        <x:v>T1-L09-F</x:v>
      </x:c>
      <x:c r="B52" s="6" t="str">
        <x:v>T1</x:v>
      </x:c>
      <x:c r="C52" s="6" t="str">
        <x:v>Columns, core and deck formwork</x:v>
      </x:c>
      <x:c r="D52" s="6" t="str">
        <x:v>Formwork</x:v>
      </x:c>
      <x:c r="E52" s="22" t="n">
        <x:f>MAX(0,MIN('Activities'!L52,6)-MAX('Activities'!K52,0))</x:f>
        <x:v>0</x:v>
      </x:c>
      <x:c r="F52" s="22" t="n">
        <x:f>MAX(0,MIN('Activities'!L52,12)-MAX('Activities'!K52,6))</x:f>
        <x:v>0</x:v>
      </x:c>
      <x:c r="G52" s="22" t="n">
        <x:f>MAX(0,MIN('Activities'!L52,18)-MAX('Activities'!K52,12))</x:f>
        <x:v>0</x:v>
      </x:c>
      <x:c r="H52" s="22" t="n">
        <x:f>MAX(0,MIN('Activities'!L52,24)-MAX('Activities'!K52,18))</x:f>
        <x:v>0</x:v>
      </x:c>
      <x:c r="I52" s="22" t="n">
        <x:f>MAX(0,MIN('Activities'!L52,30)-MAX('Activities'!K52,24))</x:f>
        <x:v>0</x:v>
      </x:c>
      <x:c r="J52" s="22" t="n">
        <x:f>MAX(0,MIN('Activities'!L52,36)-MAX('Activities'!K52,30))</x:f>
        <x:v>0</x:v>
      </x:c>
      <x:c r="K52" s="22" t="n">
        <x:f>MAX(0,MIN('Activities'!L52,42)-MAX('Activities'!K52,36))</x:f>
        <x:v>0</x:v>
      </x:c>
      <x:c r="L52" s="22" t="n">
        <x:f>MAX(0,MIN('Activities'!L52,48)-MAX('Activities'!K52,42))</x:f>
        <x:v>0</x:v>
      </x:c>
      <x:c r="M52" s="22" t="n">
        <x:f>MAX(0,MIN('Activities'!L52,54)-MAX('Activities'!K52,48))</x:f>
        <x:v>0</x:v>
      </x:c>
      <x:c r="N52" s="22" t="n">
        <x:f>MAX(0,MIN('Activities'!L52,60)-MAX('Activities'!K52,54))</x:f>
        <x:v>0</x:v>
      </x:c>
      <x:c r="O52" s="22" t="n">
        <x:f>MAX(0,MIN('Activities'!L52,66)-MAX('Activities'!K52,60))</x:f>
        <x:v>0</x:v>
      </x:c>
      <x:c r="P52" s="22" t="n">
        <x:f>MAX(0,MIN('Activities'!L52,72)-MAX('Activities'!K52,66))</x:f>
        <x:v>0</x:v>
      </x:c>
      <x:c r="Q52" s="22" t="n">
        <x:f>MAX(0,MIN('Activities'!L52,78)-MAX('Activities'!K52,72))</x:f>
        <x:v>0</x:v>
      </x:c>
      <x:c r="R52" s="22" t="n">
        <x:f>MAX(0,MIN('Activities'!L52,84)-MAX('Activities'!K52,78))</x:f>
        <x:v>0</x:v>
      </x:c>
      <x:c r="S52" s="22" t="n">
        <x:f>MAX(0,MIN('Activities'!L52,90)-MAX('Activities'!K52,84))</x:f>
        <x:v>0</x:v>
      </x:c>
      <x:c r="T52" s="22" t="n">
        <x:f>MAX(0,MIN('Activities'!L52,96)-MAX('Activities'!K52,90))</x:f>
        <x:v>0</x:v>
      </x:c>
      <x:c r="U52" s="22" t="n">
        <x:f>MAX(0,MIN('Activities'!L52,102)-MAX('Activities'!K52,96))</x:f>
        <x:v>0</x:v>
      </x:c>
      <x:c r="V52" s="22" t="n">
        <x:f>MAX(0,MIN('Activities'!L52,108)-MAX('Activities'!K52,102))</x:f>
        <x:v>0</x:v>
      </x:c>
      <x:c r="W52" s="22" t="n">
        <x:f>MAX(0,MIN('Activities'!L52,114)-MAX('Activities'!K52,108))</x:f>
        <x:v>0</x:v>
      </x:c>
      <x:c r="X52" s="22" t="n">
        <x:f>MAX(0,MIN('Activities'!L52,120)-MAX('Activities'!K52,114))</x:f>
        <x:v>0</x:v>
      </x:c>
      <x:c r="Y52" s="22" t="n">
        <x:f>MAX(0,MIN('Activities'!L52,126)-MAX('Activities'!K52,120))</x:f>
        <x:v>0</x:v>
      </x:c>
      <x:c r="Z52" s="22" t="n">
        <x:f>MAX(0,MIN('Activities'!L52,132)-MAX('Activities'!K52,126))</x:f>
        <x:v>0</x:v>
      </x:c>
      <x:c r="AA52" s="22" t="n">
        <x:f>MAX(0,MIN('Activities'!L52,138)-MAX('Activities'!K52,132))</x:f>
        <x:v>0</x:v>
      </x:c>
      <x:c r="AB52" s="22" t="n">
        <x:f>MAX(0,MIN('Activities'!L52,144)-MAX('Activities'!K52,138))</x:f>
        <x:v>0</x:v>
      </x:c>
      <x:c r="AC52" s="22" t="n">
        <x:f>MAX(0,MIN('Activities'!L52,150)-MAX('Activities'!K52,144))</x:f>
        <x:v>0</x:v>
      </x:c>
      <x:c r="AD52" s="22" t="n">
        <x:f>MAX(0,MIN('Activities'!L52,156)-MAX('Activities'!K52,150))</x:f>
        <x:v>0</x:v>
      </x:c>
      <x:c r="AE52" s="22" t="n">
        <x:f>MAX(0,MIN('Activities'!L52,162)-MAX('Activities'!K52,156))</x:f>
        <x:v>0</x:v>
      </x:c>
      <x:c r="AF52" s="22" t="n">
        <x:f>MAX(0,MIN('Activities'!L52,168)-MAX('Activities'!K52,162))</x:f>
        <x:v>0</x:v>
      </x:c>
      <x:c r="AG52" s="22" t="n">
        <x:f>MAX(0,MIN('Activities'!L52,174)-MAX('Activities'!K52,168))</x:f>
        <x:v>0</x:v>
      </x:c>
      <x:c r="AH52" s="22" t="n">
        <x:f>MAX(0,MIN('Activities'!L52,180)-MAX('Activities'!K52,174))</x:f>
        <x:v>0</x:v>
      </x:c>
      <x:c r="AI52" s="22" t="n">
        <x:f>MAX(0,MIN('Activities'!L52,186)-MAX('Activities'!K52,180))</x:f>
        <x:v>0</x:v>
      </x:c>
      <x:c r="AJ52" s="22" t="n">
        <x:f>MAX(0,MIN('Activities'!L52,192)-MAX('Activities'!K52,186))</x:f>
        <x:v>0</x:v>
      </x:c>
      <x:c r="AK52" s="22" t="n">
        <x:f>MAX(0,MIN('Activities'!L52,198)-MAX('Activities'!K52,192))</x:f>
        <x:v>0</x:v>
      </x:c>
      <x:c r="AL52" s="22" t="n">
        <x:f>MAX(0,MIN('Activities'!L52,204)-MAX('Activities'!K52,198))</x:f>
        <x:v>0</x:v>
      </x:c>
      <x:c r="AM52" s="22" t="n">
        <x:f>MAX(0,MIN('Activities'!L52,210)-MAX('Activities'!K52,204))</x:f>
        <x:v>0</x:v>
      </x:c>
      <x:c r="AN52" s="22" t="n">
        <x:f>MAX(0,MIN('Activities'!L52,216)-MAX('Activities'!K52,210))</x:f>
        <x:v>0</x:v>
      </x:c>
      <x:c r="AO52" s="22" t="n">
        <x:f>MAX(0,MIN('Activities'!L52,222)-MAX('Activities'!K52,216))</x:f>
        <x:v>0</x:v>
      </x:c>
      <x:c r="AP52" s="22" t="n">
        <x:f>MAX(0,MIN('Activities'!L52,228)-MAX('Activities'!K52,222))</x:f>
        <x:v>0</x:v>
      </x:c>
      <x:c r="AQ52" s="22" t="n">
        <x:f>MAX(0,MIN('Activities'!L52,234)-MAX('Activities'!K52,228))</x:f>
        <x:v>0</x:v>
      </x:c>
      <x:c r="AR52" s="22" t="n">
        <x:f>MAX(0,MIN('Activities'!L52,240)-MAX('Activities'!K52,234))</x:f>
        <x:v>0</x:v>
      </x:c>
      <x:c r="AS52" s="22" t="n">
        <x:f>MAX(0,MIN('Activities'!L52,246)-MAX('Activities'!K52,240))</x:f>
        <x:v>0</x:v>
      </x:c>
      <x:c r="AT52" s="22" t="n">
        <x:f>MAX(0,MIN('Activities'!L52,252)-MAX('Activities'!K52,246))</x:f>
        <x:v>0</x:v>
      </x:c>
      <x:c r="AU52" s="22" t="n">
        <x:f>MAX(0,MIN('Activities'!L52,258)-MAX('Activities'!K52,252))</x:f>
        <x:v>0</x:v>
      </x:c>
      <x:c r="AV52" s="22" t="n">
        <x:f>MAX(0,MIN('Activities'!L52,264)-MAX('Activities'!K52,258))</x:f>
        <x:v>0</x:v>
      </x:c>
      <x:c r="AW52" s="22" t="n">
        <x:f>MAX(0,MIN('Activities'!L52,270)-MAX('Activities'!K52,264))</x:f>
        <x:v>0</x:v>
      </x:c>
      <x:c r="AX52" s="22" t="n">
        <x:f>MAX(0,MIN('Activities'!L52,276)-MAX('Activities'!K52,270))</x:f>
        <x:v>0</x:v>
      </x:c>
      <x:c r="AY52" s="22" t="n">
        <x:f>MAX(0,MIN('Activities'!L52,282)-MAX('Activities'!K52,276))</x:f>
        <x:v>0</x:v>
      </x:c>
      <x:c r="AZ52" s="22" t="n">
        <x:f>MAX(0,MIN('Activities'!L52,288)-MAX('Activities'!K52,282))</x:f>
        <x:v>0</x:v>
      </x:c>
      <x:c r="BA52" s="22" t="n">
        <x:f>MAX(0,MIN('Activities'!L52,294)-MAX('Activities'!K52,288))</x:f>
        <x:v>0</x:v>
      </x:c>
      <x:c r="BB52" s="22" t="n">
        <x:f>MAX(0,MIN('Activities'!L52,300)-MAX('Activities'!K52,294))</x:f>
        <x:v>4</x:v>
      </x:c>
      <x:c r="BC52" s="22" t="n">
        <x:f>MAX(0,MIN('Activities'!L52,306)-MAX('Activities'!K52,300))</x:f>
        <x:v>2</x:v>
      </x:c>
      <x:c r="BD52" s="22" t="n">
        <x:f>MAX(0,MIN('Activities'!L52,312)-MAX('Activities'!K52,306))</x:f>
        <x:v>0</x:v>
      </x:c>
      <x:c r="BE52" s="22" t="n">
        <x:f>MAX(0,MIN('Activities'!L52,318)-MAX('Activities'!K52,312))</x:f>
        <x:v>0</x:v>
      </x:c>
      <x:c r="BF52" s="22" t="n">
        <x:f>MAX(0,MIN('Activities'!L52,324)-MAX('Activities'!K52,318))</x:f>
        <x:v>0</x:v>
      </x:c>
      <x:c r="BG52" s="22" t="n">
        <x:f>MAX(0,MIN('Activities'!L52,330)-MAX('Activities'!K52,324))</x:f>
        <x:v>0</x:v>
      </x:c>
      <x:c r="BH52" s="22" t="n">
        <x:f>MAX(0,MIN('Activities'!L52,336)-MAX('Activities'!K52,330))</x:f>
        <x:v>0</x:v>
      </x:c>
      <x:c r="BI52" s="22" t="n">
        <x:f>MAX(0,MIN('Activities'!L52,342)-MAX('Activities'!K52,336))</x:f>
        <x:v>0</x:v>
      </x:c>
      <x:c r="BJ52" s="22" t="n">
        <x:f>MAX(0,MIN('Activities'!L52,348)-MAX('Activities'!K52,342))</x:f>
        <x:v>0</x:v>
      </x:c>
      <x:c r="BK52" s="22" t="n">
        <x:f>MAX(0,MIN('Activities'!L52,354)-MAX('Activities'!K52,348))</x:f>
        <x:v>0</x:v>
      </x:c>
      <x:c r="BL52" s="22" t="n">
        <x:f>MAX(0,MIN('Activities'!L52,360)-MAX('Activities'!K52,354))</x:f>
        <x:v>0</x:v>
      </x:c>
      <x:c r="BM52" s="22" t="n">
        <x:f>MAX(0,MIN('Activities'!L52,366)-MAX('Activities'!K52,360))</x:f>
        <x:v>0</x:v>
      </x:c>
      <x:c r="BN52" s="22" t="n">
        <x:f>MAX(0,MIN('Activities'!L52,372)-MAX('Activities'!K52,366))</x:f>
        <x:v>0</x:v>
      </x:c>
      <x:c r="BO52" s="22" t="n">
        <x:f>MAX(0,MIN('Activities'!L52,378)-MAX('Activities'!K52,372))</x:f>
        <x:v>0</x:v>
      </x:c>
      <x:c r="BP52" s="22" t="n">
        <x:f>MAX(0,MIN('Activities'!L52,384)-MAX('Activities'!K52,378))</x:f>
        <x:v>0</x:v>
      </x:c>
      <x:c r="BQ52" s="22" t="n">
        <x:f>MAX(0,MIN('Activities'!L52,390)-MAX('Activities'!K52,384))</x:f>
        <x:v>0</x:v>
      </x:c>
      <x:c r="BR52" s="22" t="n">
        <x:f>MAX(0,MIN('Activities'!L52,396)-MAX('Activities'!K52,390))</x:f>
        <x:v>0</x:v>
      </x:c>
      <x:c r="BS52" s="22" t="n">
        <x:f>MAX(0,MIN('Activities'!L52,402)-MAX('Activities'!K52,396))</x:f>
        <x:v>0</x:v>
      </x:c>
      <x:c r="BT52" s="22" t="n">
        <x:f>MAX(0,MIN('Activities'!L52,408)-MAX('Activities'!K52,402))</x:f>
        <x:v>0</x:v>
      </x:c>
      <x:c r="BU52" s="22" t="n">
        <x:f>MAX(0,MIN('Activities'!L52,414)-MAX('Activities'!K52,408))</x:f>
        <x:v>0</x:v>
      </x:c>
      <x:c r="BV52" s="22" t="n">
        <x:f>MAX(0,MIN('Activities'!L52,420)-MAX('Activities'!K52,414))</x:f>
        <x:v>0</x:v>
      </x:c>
      <x:c r="BW52" s="22" t="n">
        <x:f>MAX(0,MIN('Activities'!L52,426)-MAX('Activities'!K52,420))</x:f>
        <x:v>0</x:v>
      </x:c>
      <x:c r="BX52" s="22" t="n">
        <x:f>MAX(0,MIN('Activities'!L52,432)-MAX('Activities'!K52,426))</x:f>
        <x:v>0</x:v>
      </x:c>
      <x:c r="BY52" s="22" t="n">
        <x:f>MAX(0,MIN('Activities'!L52,438)-MAX('Activities'!K52,432))</x:f>
        <x:v>0</x:v>
      </x:c>
      <x:c r="BZ52" s="22" t="n">
        <x:f>MAX(0,MIN('Activities'!L52,444)-MAX('Activities'!K52,438))</x:f>
        <x:v>0</x:v>
      </x:c>
      <x:c r="CA52" s="22" t="n">
        <x:f>MAX(0,MIN('Activities'!L52,450)-MAX('Activities'!K52,444))</x:f>
        <x:v>0</x:v>
      </x:c>
      <x:c r="CB52" s="22" t="n">
        <x:f>MAX(0,MIN('Activities'!L52,456)-MAX('Activities'!K52,450))</x:f>
        <x:v>0</x:v>
      </x:c>
      <x:c r="CC52" s="22" t="n">
        <x:f>MAX(0,MIN('Activities'!L52,462)-MAX('Activities'!K52,456))</x:f>
        <x:v>0</x:v>
      </x:c>
      <x:c r="CD52" s="22" t="n">
        <x:f>MAX(0,MIN('Activities'!L52,468)-MAX('Activities'!K52,462))</x:f>
        <x:v>0</x:v>
      </x:c>
      <x:c r="CE52" s="22" t="n">
        <x:f>MAX(0,MIN('Activities'!L52,474)-MAX('Activities'!K52,468))</x:f>
        <x:v>0</x:v>
      </x:c>
      <x:c r="CF52" s="22" t="n">
        <x:f>MAX(0,MIN('Activities'!L52,480)-MAX('Activities'!K52,474))</x:f>
        <x:v>0</x:v>
      </x:c>
      <x:c r="CG52" s="22" t="n">
        <x:f>MAX(0,MIN('Activities'!L52,486)-MAX('Activities'!K52,480))</x:f>
        <x:v>0</x:v>
      </x:c>
      <x:c r="CH52" s="22" t="n">
        <x:f>MAX(0,MIN('Activities'!L52,492)-MAX('Activities'!K52,486))</x:f>
        <x:v>0</x:v>
      </x:c>
      <x:c r="CI52" s="22" t="n">
        <x:f>MAX(0,MIN('Activities'!L52,498)-MAX('Activities'!K52,492))</x:f>
        <x:v>0</x:v>
      </x:c>
      <x:c r="CJ52" s="22" t="n">
        <x:f>MAX(0,MIN('Activities'!L52,504)-MAX('Activities'!K52,498))</x:f>
        <x:v>0</x:v>
      </x:c>
      <x:c r="CK52" s="22" t="n">
        <x:f>MAX(0,MIN('Activities'!L52,510)-MAX('Activities'!K52,504))</x:f>
        <x:v>0</x:v>
      </x:c>
      <x:c r="CL52" s="22" t="n">
        <x:f>MAX(0,MIN('Activities'!L52,516)-MAX('Activities'!K52,510))</x:f>
        <x:v>0</x:v>
      </x:c>
      <x:c r="CM52" s="22" t="n">
        <x:f>MAX(0,MIN('Activities'!L52,522)-MAX('Activities'!K52,516))</x:f>
        <x:v>0</x:v>
      </x:c>
      <x:c r="CN52" s="22" t="n">
        <x:f>MAX(0,MIN('Activities'!L52,528)-MAX('Activities'!K52,522))</x:f>
        <x:v>0</x:v>
      </x:c>
      <x:c r="CO52" s="22" t="n">
        <x:f>MAX(0,MIN('Activities'!L52,534)-MAX('Activities'!K52,528))</x:f>
        <x:v>0</x:v>
      </x:c>
      <x:c r="CP52" s="22" t="n">
        <x:f>MAX(0,MIN('Activities'!L52,540)-MAX('Activities'!K52,534))</x:f>
        <x:v>0</x:v>
      </x:c>
      <x:c r="CQ52" s="22" t="n">
        <x:f>MAX(0,MIN('Activities'!L52,546)-MAX('Activities'!K52,540))</x:f>
        <x:v>0</x:v>
      </x:c>
      <x:c r="CR52" s="22" t="n">
        <x:f>MAX(0,MIN('Activities'!L52,552)-MAX('Activities'!K52,546))</x:f>
        <x:v>0</x:v>
      </x:c>
      <x:c r="CS52" s="22" t="n">
        <x:f>MAX(0,MIN('Activities'!L52,558)-MAX('Activities'!K52,552))</x:f>
        <x:v>0</x:v>
      </x:c>
      <x:c r="CT52" s="22" t="n">
        <x:f>MAX(0,MIN('Activities'!L52,564)-MAX('Activities'!K52,558))</x:f>
        <x:v>0</x:v>
      </x:c>
      <x:c r="CU52" s="22" t="n">
        <x:f>MAX(0,MIN('Activities'!L52,570)-MAX('Activities'!K52,564))</x:f>
        <x:v>0</x:v>
      </x:c>
      <x:c r="CV52" s="22" t="n">
        <x:f>MAX(0,MIN('Activities'!L52,576)-MAX('Activities'!K52,570))</x:f>
        <x:v>0</x:v>
      </x:c>
      <x:c r="CW52" s="22" t="n">
        <x:f>MAX(0,MIN('Activities'!L52,582)-MAX('Activities'!K52,576))</x:f>
        <x:v>0</x:v>
      </x:c>
      <x:c r="CX52" s="22" t="n">
        <x:f>MAX(0,MIN('Activities'!L52,588)-MAX('Activities'!K52,582))</x:f>
        <x:v>0</x:v>
      </x:c>
      <x:c r="CY52" s="22" t="n">
        <x:f>MAX(0,MIN('Activities'!L52,594)-MAX('Activities'!K52,588))</x:f>
        <x:v>0</x:v>
      </x:c>
      <x:c r="CZ52" s="22" t="n">
        <x:f>MAX(0,MIN('Activities'!L52,600)-MAX('Activities'!K52,594))</x:f>
        <x:v>0</x:v>
      </x:c>
      <x:c r="DA52" s="22" t="n">
        <x:f>MAX(0,MIN('Activities'!L52,606)-MAX('Activities'!K52,600))</x:f>
        <x:v>0</x:v>
      </x:c>
      <x:c r="DB52" s="22" t="n">
        <x:f>MAX(0,MIN('Activities'!L52,612)-MAX('Activities'!K52,606))</x:f>
        <x:v>0</x:v>
      </x:c>
      <x:c r="DC52" s="22" t="n">
        <x:f>MAX(0,MIN('Activities'!L52,618)-MAX('Activities'!K52,612))</x:f>
        <x:v>0</x:v>
      </x:c>
      <x:c r="DD52" s="22" t="n">
        <x:f>MAX(0,MIN('Activities'!L52,624)-MAX('Activities'!K52,618))</x:f>
        <x:v>0</x:v>
      </x:c>
      <x:c r="DE52" s="22" t="n">
        <x:f>MAX(0,MIN('Activities'!L52,630)-MAX('Activities'!K52,624))</x:f>
        <x:v>0</x:v>
      </x:c>
      <x:c r="DF52" s="22" t="n">
        <x:f>MAX(0,MIN('Activities'!L52,636)-MAX('Activities'!K52,630))</x:f>
        <x:v>0</x:v>
      </x:c>
    </x:row>
    <x:row r="53" ht="23" customHeight="1">
      <x:c r="A53" s="1" t="str">
        <x:v>T1-L09-R</x:v>
      </x:c>
      <x:c r="B53" s="1" t="str">
        <x:v>T1</x:v>
      </x:c>
      <x:c r="C53" s="1" t="str">
        <x:v>Column, wall, beam and slab reinforcement</x:v>
      </x:c>
      <x:c r="D53" s="1" t="str">
        <x:v>Rebar</x:v>
      </x:c>
      <x:c r="E53" s="23" t="n">
        <x:f>MAX(0,MIN('Activities'!L53,6)-MAX('Activities'!K53,0))</x:f>
        <x:v>0</x:v>
      </x:c>
      <x:c r="F53" s="23" t="n">
        <x:f>MAX(0,MIN('Activities'!L53,12)-MAX('Activities'!K53,6))</x:f>
        <x:v>0</x:v>
      </x:c>
      <x:c r="G53" s="23" t="n">
        <x:f>MAX(0,MIN('Activities'!L53,18)-MAX('Activities'!K53,12))</x:f>
        <x:v>0</x:v>
      </x:c>
      <x:c r="H53" s="23" t="n">
        <x:f>MAX(0,MIN('Activities'!L53,24)-MAX('Activities'!K53,18))</x:f>
        <x:v>0</x:v>
      </x:c>
      <x:c r="I53" s="23" t="n">
        <x:f>MAX(0,MIN('Activities'!L53,30)-MAX('Activities'!K53,24))</x:f>
        <x:v>0</x:v>
      </x:c>
      <x:c r="J53" s="23" t="n">
        <x:f>MAX(0,MIN('Activities'!L53,36)-MAX('Activities'!K53,30))</x:f>
        <x:v>0</x:v>
      </x:c>
      <x:c r="K53" s="23" t="n">
        <x:f>MAX(0,MIN('Activities'!L53,42)-MAX('Activities'!K53,36))</x:f>
        <x:v>0</x:v>
      </x:c>
      <x:c r="L53" s="23" t="n">
        <x:f>MAX(0,MIN('Activities'!L53,48)-MAX('Activities'!K53,42))</x:f>
        <x:v>0</x:v>
      </x:c>
      <x:c r="M53" s="23" t="n">
        <x:f>MAX(0,MIN('Activities'!L53,54)-MAX('Activities'!K53,48))</x:f>
        <x:v>0</x:v>
      </x:c>
      <x:c r="N53" s="23" t="n">
        <x:f>MAX(0,MIN('Activities'!L53,60)-MAX('Activities'!K53,54))</x:f>
        <x:v>0</x:v>
      </x:c>
      <x:c r="O53" s="23" t="n">
        <x:f>MAX(0,MIN('Activities'!L53,66)-MAX('Activities'!K53,60))</x:f>
        <x:v>0</x:v>
      </x:c>
      <x:c r="P53" s="23" t="n">
        <x:f>MAX(0,MIN('Activities'!L53,72)-MAX('Activities'!K53,66))</x:f>
        <x:v>0</x:v>
      </x:c>
      <x:c r="Q53" s="23" t="n">
        <x:f>MAX(0,MIN('Activities'!L53,78)-MAX('Activities'!K53,72))</x:f>
        <x:v>0</x:v>
      </x:c>
      <x:c r="R53" s="23" t="n">
        <x:f>MAX(0,MIN('Activities'!L53,84)-MAX('Activities'!K53,78))</x:f>
        <x:v>0</x:v>
      </x:c>
      <x:c r="S53" s="23" t="n">
        <x:f>MAX(0,MIN('Activities'!L53,90)-MAX('Activities'!K53,84))</x:f>
        <x:v>0</x:v>
      </x:c>
      <x:c r="T53" s="23" t="n">
        <x:f>MAX(0,MIN('Activities'!L53,96)-MAX('Activities'!K53,90))</x:f>
        <x:v>0</x:v>
      </x:c>
      <x:c r="U53" s="23" t="n">
        <x:f>MAX(0,MIN('Activities'!L53,102)-MAX('Activities'!K53,96))</x:f>
        <x:v>0</x:v>
      </x:c>
      <x:c r="V53" s="23" t="n">
        <x:f>MAX(0,MIN('Activities'!L53,108)-MAX('Activities'!K53,102))</x:f>
        <x:v>0</x:v>
      </x:c>
      <x:c r="W53" s="23" t="n">
        <x:f>MAX(0,MIN('Activities'!L53,114)-MAX('Activities'!K53,108))</x:f>
        <x:v>0</x:v>
      </x:c>
      <x:c r="X53" s="23" t="n">
        <x:f>MAX(0,MIN('Activities'!L53,120)-MAX('Activities'!K53,114))</x:f>
        <x:v>0</x:v>
      </x:c>
      <x:c r="Y53" s="23" t="n">
        <x:f>MAX(0,MIN('Activities'!L53,126)-MAX('Activities'!K53,120))</x:f>
        <x:v>0</x:v>
      </x:c>
      <x:c r="Z53" s="23" t="n">
        <x:f>MAX(0,MIN('Activities'!L53,132)-MAX('Activities'!K53,126))</x:f>
        <x:v>0</x:v>
      </x:c>
      <x:c r="AA53" s="23" t="n">
        <x:f>MAX(0,MIN('Activities'!L53,138)-MAX('Activities'!K53,132))</x:f>
        <x:v>0</x:v>
      </x:c>
      <x:c r="AB53" s="23" t="n">
        <x:f>MAX(0,MIN('Activities'!L53,144)-MAX('Activities'!K53,138))</x:f>
        <x:v>0</x:v>
      </x:c>
      <x:c r="AC53" s="23" t="n">
        <x:f>MAX(0,MIN('Activities'!L53,150)-MAX('Activities'!K53,144))</x:f>
        <x:v>0</x:v>
      </x:c>
      <x:c r="AD53" s="23" t="n">
        <x:f>MAX(0,MIN('Activities'!L53,156)-MAX('Activities'!K53,150))</x:f>
        <x:v>0</x:v>
      </x:c>
      <x:c r="AE53" s="23" t="n">
        <x:f>MAX(0,MIN('Activities'!L53,162)-MAX('Activities'!K53,156))</x:f>
        <x:v>0</x:v>
      </x:c>
      <x:c r="AF53" s="23" t="n">
        <x:f>MAX(0,MIN('Activities'!L53,168)-MAX('Activities'!K53,162))</x:f>
        <x:v>0</x:v>
      </x:c>
      <x:c r="AG53" s="23" t="n">
        <x:f>MAX(0,MIN('Activities'!L53,174)-MAX('Activities'!K53,168))</x:f>
        <x:v>0</x:v>
      </x:c>
      <x:c r="AH53" s="23" t="n">
        <x:f>MAX(0,MIN('Activities'!L53,180)-MAX('Activities'!K53,174))</x:f>
        <x:v>0</x:v>
      </x:c>
      <x:c r="AI53" s="23" t="n">
        <x:f>MAX(0,MIN('Activities'!L53,186)-MAX('Activities'!K53,180))</x:f>
        <x:v>0</x:v>
      </x:c>
      <x:c r="AJ53" s="23" t="n">
        <x:f>MAX(0,MIN('Activities'!L53,192)-MAX('Activities'!K53,186))</x:f>
        <x:v>0</x:v>
      </x:c>
      <x:c r="AK53" s="23" t="n">
        <x:f>MAX(0,MIN('Activities'!L53,198)-MAX('Activities'!K53,192))</x:f>
        <x:v>0</x:v>
      </x:c>
      <x:c r="AL53" s="23" t="n">
        <x:f>MAX(0,MIN('Activities'!L53,204)-MAX('Activities'!K53,198))</x:f>
        <x:v>0</x:v>
      </x:c>
      <x:c r="AM53" s="23" t="n">
        <x:f>MAX(0,MIN('Activities'!L53,210)-MAX('Activities'!K53,204))</x:f>
        <x:v>0</x:v>
      </x:c>
      <x:c r="AN53" s="23" t="n">
        <x:f>MAX(0,MIN('Activities'!L53,216)-MAX('Activities'!K53,210))</x:f>
        <x:v>0</x:v>
      </x:c>
      <x:c r="AO53" s="23" t="n">
        <x:f>MAX(0,MIN('Activities'!L53,222)-MAX('Activities'!K53,216))</x:f>
        <x:v>0</x:v>
      </x:c>
      <x:c r="AP53" s="23" t="n">
        <x:f>MAX(0,MIN('Activities'!L53,228)-MAX('Activities'!K53,222))</x:f>
        <x:v>0</x:v>
      </x:c>
      <x:c r="AQ53" s="23" t="n">
        <x:f>MAX(0,MIN('Activities'!L53,234)-MAX('Activities'!K53,228))</x:f>
        <x:v>0</x:v>
      </x:c>
      <x:c r="AR53" s="23" t="n">
        <x:f>MAX(0,MIN('Activities'!L53,240)-MAX('Activities'!K53,234))</x:f>
        <x:v>0</x:v>
      </x:c>
      <x:c r="AS53" s="23" t="n">
        <x:f>MAX(0,MIN('Activities'!L53,246)-MAX('Activities'!K53,240))</x:f>
        <x:v>0</x:v>
      </x:c>
      <x:c r="AT53" s="23" t="n">
        <x:f>MAX(0,MIN('Activities'!L53,252)-MAX('Activities'!K53,246))</x:f>
        <x:v>0</x:v>
      </x:c>
      <x:c r="AU53" s="23" t="n">
        <x:f>MAX(0,MIN('Activities'!L53,258)-MAX('Activities'!K53,252))</x:f>
        <x:v>0</x:v>
      </x:c>
      <x:c r="AV53" s="23" t="n">
        <x:f>MAX(0,MIN('Activities'!L53,264)-MAX('Activities'!K53,258))</x:f>
        <x:v>0</x:v>
      </x:c>
      <x:c r="AW53" s="23" t="n">
        <x:f>MAX(0,MIN('Activities'!L53,270)-MAX('Activities'!K53,264))</x:f>
        <x:v>0</x:v>
      </x:c>
      <x:c r="AX53" s="23" t="n">
        <x:f>MAX(0,MIN('Activities'!L53,276)-MAX('Activities'!K53,270))</x:f>
        <x:v>0</x:v>
      </x:c>
      <x:c r="AY53" s="23" t="n">
        <x:f>MAX(0,MIN('Activities'!L53,282)-MAX('Activities'!K53,276))</x:f>
        <x:v>0</x:v>
      </x:c>
      <x:c r="AZ53" s="23" t="n">
        <x:f>MAX(0,MIN('Activities'!L53,288)-MAX('Activities'!K53,282))</x:f>
        <x:v>0</x:v>
      </x:c>
      <x:c r="BA53" s="23" t="n">
        <x:f>MAX(0,MIN('Activities'!L53,294)-MAX('Activities'!K53,288))</x:f>
        <x:v>0</x:v>
      </x:c>
      <x:c r="BB53" s="23" t="n">
        <x:f>MAX(0,MIN('Activities'!L53,300)-MAX('Activities'!K53,294))</x:f>
        <x:v>0</x:v>
      </x:c>
      <x:c r="BC53" s="23" t="n">
        <x:f>MAX(0,MIN('Activities'!L53,306)-MAX('Activities'!K53,300))</x:f>
        <x:v>4</x:v>
      </x:c>
      <x:c r="BD53" s="23" t="n">
        <x:f>MAX(0,MIN('Activities'!L53,312)-MAX('Activities'!K53,306))</x:f>
        <x:v>1</x:v>
      </x:c>
      <x:c r="BE53" s="23" t="n">
        <x:f>MAX(0,MIN('Activities'!L53,318)-MAX('Activities'!K53,312))</x:f>
        <x:v>0</x:v>
      </x:c>
      <x:c r="BF53" s="23" t="n">
        <x:f>MAX(0,MIN('Activities'!L53,324)-MAX('Activities'!K53,318))</x:f>
        <x:v>0</x:v>
      </x:c>
      <x:c r="BG53" s="23" t="n">
        <x:f>MAX(0,MIN('Activities'!L53,330)-MAX('Activities'!K53,324))</x:f>
        <x:v>0</x:v>
      </x:c>
      <x:c r="BH53" s="23" t="n">
        <x:f>MAX(0,MIN('Activities'!L53,336)-MAX('Activities'!K53,330))</x:f>
        <x:v>0</x:v>
      </x:c>
      <x:c r="BI53" s="23" t="n">
        <x:f>MAX(0,MIN('Activities'!L53,342)-MAX('Activities'!K53,336))</x:f>
        <x:v>0</x:v>
      </x:c>
      <x:c r="BJ53" s="23" t="n">
        <x:f>MAX(0,MIN('Activities'!L53,348)-MAX('Activities'!K53,342))</x:f>
        <x:v>0</x:v>
      </x:c>
      <x:c r="BK53" s="23" t="n">
        <x:f>MAX(0,MIN('Activities'!L53,354)-MAX('Activities'!K53,348))</x:f>
        <x:v>0</x:v>
      </x:c>
      <x:c r="BL53" s="23" t="n">
        <x:f>MAX(0,MIN('Activities'!L53,360)-MAX('Activities'!K53,354))</x:f>
        <x:v>0</x:v>
      </x:c>
      <x:c r="BM53" s="23" t="n">
        <x:f>MAX(0,MIN('Activities'!L53,366)-MAX('Activities'!K53,360))</x:f>
        <x:v>0</x:v>
      </x:c>
      <x:c r="BN53" s="23" t="n">
        <x:f>MAX(0,MIN('Activities'!L53,372)-MAX('Activities'!K53,366))</x:f>
        <x:v>0</x:v>
      </x:c>
      <x:c r="BO53" s="23" t="n">
        <x:f>MAX(0,MIN('Activities'!L53,378)-MAX('Activities'!K53,372))</x:f>
        <x:v>0</x:v>
      </x:c>
      <x:c r="BP53" s="23" t="n">
        <x:f>MAX(0,MIN('Activities'!L53,384)-MAX('Activities'!K53,378))</x:f>
        <x:v>0</x:v>
      </x:c>
      <x:c r="BQ53" s="23" t="n">
        <x:f>MAX(0,MIN('Activities'!L53,390)-MAX('Activities'!K53,384))</x:f>
        <x:v>0</x:v>
      </x:c>
      <x:c r="BR53" s="23" t="n">
        <x:f>MAX(0,MIN('Activities'!L53,396)-MAX('Activities'!K53,390))</x:f>
        <x:v>0</x:v>
      </x:c>
      <x:c r="BS53" s="23" t="n">
        <x:f>MAX(0,MIN('Activities'!L53,402)-MAX('Activities'!K53,396))</x:f>
        <x:v>0</x:v>
      </x:c>
      <x:c r="BT53" s="23" t="n">
        <x:f>MAX(0,MIN('Activities'!L53,408)-MAX('Activities'!K53,402))</x:f>
        <x:v>0</x:v>
      </x:c>
      <x:c r="BU53" s="23" t="n">
        <x:f>MAX(0,MIN('Activities'!L53,414)-MAX('Activities'!K53,408))</x:f>
        <x:v>0</x:v>
      </x:c>
      <x:c r="BV53" s="23" t="n">
        <x:f>MAX(0,MIN('Activities'!L53,420)-MAX('Activities'!K53,414))</x:f>
        <x:v>0</x:v>
      </x:c>
      <x:c r="BW53" s="23" t="n">
        <x:f>MAX(0,MIN('Activities'!L53,426)-MAX('Activities'!K53,420))</x:f>
        <x:v>0</x:v>
      </x:c>
      <x:c r="BX53" s="23" t="n">
        <x:f>MAX(0,MIN('Activities'!L53,432)-MAX('Activities'!K53,426))</x:f>
        <x:v>0</x:v>
      </x:c>
      <x:c r="BY53" s="23" t="n">
        <x:f>MAX(0,MIN('Activities'!L53,438)-MAX('Activities'!K53,432))</x:f>
        <x:v>0</x:v>
      </x:c>
      <x:c r="BZ53" s="23" t="n">
        <x:f>MAX(0,MIN('Activities'!L53,444)-MAX('Activities'!K53,438))</x:f>
        <x:v>0</x:v>
      </x:c>
      <x:c r="CA53" s="23" t="n">
        <x:f>MAX(0,MIN('Activities'!L53,450)-MAX('Activities'!K53,444))</x:f>
        <x:v>0</x:v>
      </x:c>
      <x:c r="CB53" s="23" t="n">
        <x:f>MAX(0,MIN('Activities'!L53,456)-MAX('Activities'!K53,450))</x:f>
        <x:v>0</x:v>
      </x:c>
      <x:c r="CC53" s="23" t="n">
        <x:f>MAX(0,MIN('Activities'!L53,462)-MAX('Activities'!K53,456))</x:f>
        <x:v>0</x:v>
      </x:c>
      <x:c r="CD53" s="23" t="n">
        <x:f>MAX(0,MIN('Activities'!L53,468)-MAX('Activities'!K53,462))</x:f>
        <x:v>0</x:v>
      </x:c>
      <x:c r="CE53" s="23" t="n">
        <x:f>MAX(0,MIN('Activities'!L53,474)-MAX('Activities'!K53,468))</x:f>
        <x:v>0</x:v>
      </x:c>
      <x:c r="CF53" s="23" t="n">
        <x:f>MAX(0,MIN('Activities'!L53,480)-MAX('Activities'!K53,474))</x:f>
        <x:v>0</x:v>
      </x:c>
      <x:c r="CG53" s="23" t="n">
        <x:f>MAX(0,MIN('Activities'!L53,486)-MAX('Activities'!K53,480))</x:f>
        <x:v>0</x:v>
      </x:c>
      <x:c r="CH53" s="23" t="n">
        <x:f>MAX(0,MIN('Activities'!L53,492)-MAX('Activities'!K53,486))</x:f>
        <x:v>0</x:v>
      </x:c>
      <x:c r="CI53" s="23" t="n">
        <x:f>MAX(0,MIN('Activities'!L53,498)-MAX('Activities'!K53,492))</x:f>
        <x:v>0</x:v>
      </x:c>
      <x:c r="CJ53" s="23" t="n">
        <x:f>MAX(0,MIN('Activities'!L53,504)-MAX('Activities'!K53,498))</x:f>
        <x:v>0</x:v>
      </x:c>
      <x:c r="CK53" s="23" t="n">
        <x:f>MAX(0,MIN('Activities'!L53,510)-MAX('Activities'!K53,504))</x:f>
        <x:v>0</x:v>
      </x:c>
      <x:c r="CL53" s="23" t="n">
        <x:f>MAX(0,MIN('Activities'!L53,516)-MAX('Activities'!K53,510))</x:f>
        <x:v>0</x:v>
      </x:c>
      <x:c r="CM53" s="23" t="n">
        <x:f>MAX(0,MIN('Activities'!L53,522)-MAX('Activities'!K53,516))</x:f>
        <x:v>0</x:v>
      </x:c>
      <x:c r="CN53" s="23" t="n">
        <x:f>MAX(0,MIN('Activities'!L53,528)-MAX('Activities'!K53,522))</x:f>
        <x:v>0</x:v>
      </x:c>
      <x:c r="CO53" s="23" t="n">
        <x:f>MAX(0,MIN('Activities'!L53,534)-MAX('Activities'!K53,528))</x:f>
        <x:v>0</x:v>
      </x:c>
      <x:c r="CP53" s="23" t="n">
        <x:f>MAX(0,MIN('Activities'!L53,540)-MAX('Activities'!K53,534))</x:f>
        <x:v>0</x:v>
      </x:c>
      <x:c r="CQ53" s="23" t="n">
        <x:f>MAX(0,MIN('Activities'!L53,546)-MAX('Activities'!K53,540))</x:f>
        <x:v>0</x:v>
      </x:c>
      <x:c r="CR53" s="23" t="n">
        <x:f>MAX(0,MIN('Activities'!L53,552)-MAX('Activities'!K53,546))</x:f>
        <x:v>0</x:v>
      </x:c>
      <x:c r="CS53" s="23" t="n">
        <x:f>MAX(0,MIN('Activities'!L53,558)-MAX('Activities'!K53,552))</x:f>
        <x:v>0</x:v>
      </x:c>
      <x:c r="CT53" s="23" t="n">
        <x:f>MAX(0,MIN('Activities'!L53,564)-MAX('Activities'!K53,558))</x:f>
        <x:v>0</x:v>
      </x:c>
      <x:c r="CU53" s="23" t="n">
        <x:f>MAX(0,MIN('Activities'!L53,570)-MAX('Activities'!K53,564))</x:f>
        <x:v>0</x:v>
      </x:c>
      <x:c r="CV53" s="23" t="n">
        <x:f>MAX(0,MIN('Activities'!L53,576)-MAX('Activities'!K53,570))</x:f>
        <x:v>0</x:v>
      </x:c>
      <x:c r="CW53" s="23" t="n">
        <x:f>MAX(0,MIN('Activities'!L53,582)-MAX('Activities'!K53,576))</x:f>
        <x:v>0</x:v>
      </x:c>
      <x:c r="CX53" s="23" t="n">
        <x:f>MAX(0,MIN('Activities'!L53,588)-MAX('Activities'!K53,582))</x:f>
        <x:v>0</x:v>
      </x:c>
      <x:c r="CY53" s="23" t="n">
        <x:f>MAX(0,MIN('Activities'!L53,594)-MAX('Activities'!K53,588))</x:f>
        <x:v>0</x:v>
      </x:c>
      <x:c r="CZ53" s="23" t="n">
        <x:f>MAX(0,MIN('Activities'!L53,600)-MAX('Activities'!K53,594))</x:f>
        <x:v>0</x:v>
      </x:c>
      <x:c r="DA53" s="23" t="n">
        <x:f>MAX(0,MIN('Activities'!L53,606)-MAX('Activities'!K53,600))</x:f>
        <x:v>0</x:v>
      </x:c>
      <x:c r="DB53" s="23" t="n">
        <x:f>MAX(0,MIN('Activities'!L53,612)-MAX('Activities'!K53,606))</x:f>
        <x:v>0</x:v>
      </x:c>
      <x:c r="DC53" s="23" t="n">
        <x:f>MAX(0,MIN('Activities'!L53,618)-MAX('Activities'!K53,612))</x:f>
        <x:v>0</x:v>
      </x:c>
      <x:c r="DD53" s="23" t="n">
        <x:f>MAX(0,MIN('Activities'!L53,624)-MAX('Activities'!K53,618))</x:f>
        <x:v>0</x:v>
      </x:c>
      <x:c r="DE53" s="23" t="n">
        <x:f>MAX(0,MIN('Activities'!L53,630)-MAX('Activities'!K53,624))</x:f>
        <x:v>0</x:v>
      </x:c>
      <x:c r="DF53" s="23" t="n">
        <x:f>MAX(0,MIN('Activities'!L53,636)-MAX('Activities'!K53,630))</x:f>
        <x:v>0</x:v>
      </x:c>
    </x:row>
    <x:row r="54" ht="23" customHeight="1">
      <x:c r="A54" s="6" t="str">
        <x:v>T1-L09-C</x:v>
      </x:c>
      <x:c r="B54" s="6" t="str">
        <x:v>T1</x:v>
      </x:c>
      <x:c r="C54" s="6" t="str">
        <x:v>Concrete placement and finishing</x:v>
      </x:c>
      <x:c r="D54" s="6" t="str">
        <x:v>Concrete</x:v>
      </x:c>
      <x:c r="E54" s="22" t="n">
        <x:f>MAX(0,MIN('Activities'!L54,6)-MAX('Activities'!K54,0))</x:f>
        <x:v>0</x:v>
      </x:c>
      <x:c r="F54" s="22" t="n">
        <x:f>MAX(0,MIN('Activities'!L54,12)-MAX('Activities'!K54,6))</x:f>
        <x:v>0</x:v>
      </x:c>
      <x:c r="G54" s="22" t="n">
        <x:f>MAX(0,MIN('Activities'!L54,18)-MAX('Activities'!K54,12))</x:f>
        <x:v>0</x:v>
      </x:c>
      <x:c r="H54" s="22" t="n">
        <x:f>MAX(0,MIN('Activities'!L54,24)-MAX('Activities'!K54,18))</x:f>
        <x:v>0</x:v>
      </x:c>
      <x:c r="I54" s="22" t="n">
        <x:f>MAX(0,MIN('Activities'!L54,30)-MAX('Activities'!K54,24))</x:f>
        <x:v>0</x:v>
      </x:c>
      <x:c r="J54" s="22" t="n">
        <x:f>MAX(0,MIN('Activities'!L54,36)-MAX('Activities'!K54,30))</x:f>
        <x:v>0</x:v>
      </x:c>
      <x:c r="K54" s="22" t="n">
        <x:f>MAX(0,MIN('Activities'!L54,42)-MAX('Activities'!K54,36))</x:f>
        <x:v>0</x:v>
      </x:c>
      <x:c r="L54" s="22" t="n">
        <x:f>MAX(0,MIN('Activities'!L54,48)-MAX('Activities'!K54,42))</x:f>
        <x:v>0</x:v>
      </x:c>
      <x:c r="M54" s="22" t="n">
        <x:f>MAX(0,MIN('Activities'!L54,54)-MAX('Activities'!K54,48))</x:f>
        <x:v>0</x:v>
      </x:c>
      <x:c r="N54" s="22" t="n">
        <x:f>MAX(0,MIN('Activities'!L54,60)-MAX('Activities'!K54,54))</x:f>
        <x:v>0</x:v>
      </x:c>
      <x:c r="O54" s="22" t="n">
        <x:f>MAX(0,MIN('Activities'!L54,66)-MAX('Activities'!K54,60))</x:f>
        <x:v>0</x:v>
      </x:c>
      <x:c r="P54" s="22" t="n">
        <x:f>MAX(0,MIN('Activities'!L54,72)-MAX('Activities'!K54,66))</x:f>
        <x:v>0</x:v>
      </x:c>
      <x:c r="Q54" s="22" t="n">
        <x:f>MAX(0,MIN('Activities'!L54,78)-MAX('Activities'!K54,72))</x:f>
        <x:v>0</x:v>
      </x:c>
      <x:c r="R54" s="22" t="n">
        <x:f>MAX(0,MIN('Activities'!L54,84)-MAX('Activities'!K54,78))</x:f>
        <x:v>0</x:v>
      </x:c>
      <x:c r="S54" s="22" t="n">
        <x:f>MAX(0,MIN('Activities'!L54,90)-MAX('Activities'!K54,84))</x:f>
        <x:v>0</x:v>
      </x:c>
      <x:c r="T54" s="22" t="n">
        <x:f>MAX(0,MIN('Activities'!L54,96)-MAX('Activities'!K54,90))</x:f>
        <x:v>0</x:v>
      </x:c>
      <x:c r="U54" s="22" t="n">
        <x:f>MAX(0,MIN('Activities'!L54,102)-MAX('Activities'!K54,96))</x:f>
        <x:v>0</x:v>
      </x:c>
      <x:c r="V54" s="22" t="n">
        <x:f>MAX(0,MIN('Activities'!L54,108)-MAX('Activities'!K54,102))</x:f>
        <x:v>0</x:v>
      </x:c>
      <x:c r="W54" s="22" t="n">
        <x:f>MAX(0,MIN('Activities'!L54,114)-MAX('Activities'!K54,108))</x:f>
        <x:v>0</x:v>
      </x:c>
      <x:c r="X54" s="22" t="n">
        <x:f>MAX(0,MIN('Activities'!L54,120)-MAX('Activities'!K54,114))</x:f>
        <x:v>0</x:v>
      </x:c>
      <x:c r="Y54" s="22" t="n">
        <x:f>MAX(0,MIN('Activities'!L54,126)-MAX('Activities'!K54,120))</x:f>
        <x:v>0</x:v>
      </x:c>
      <x:c r="Z54" s="22" t="n">
        <x:f>MAX(0,MIN('Activities'!L54,132)-MAX('Activities'!K54,126))</x:f>
        <x:v>0</x:v>
      </x:c>
      <x:c r="AA54" s="22" t="n">
        <x:f>MAX(0,MIN('Activities'!L54,138)-MAX('Activities'!K54,132))</x:f>
        <x:v>0</x:v>
      </x:c>
      <x:c r="AB54" s="22" t="n">
        <x:f>MAX(0,MIN('Activities'!L54,144)-MAX('Activities'!K54,138))</x:f>
        <x:v>0</x:v>
      </x:c>
      <x:c r="AC54" s="22" t="n">
        <x:f>MAX(0,MIN('Activities'!L54,150)-MAX('Activities'!K54,144))</x:f>
        <x:v>0</x:v>
      </x:c>
      <x:c r="AD54" s="22" t="n">
        <x:f>MAX(0,MIN('Activities'!L54,156)-MAX('Activities'!K54,150))</x:f>
        <x:v>0</x:v>
      </x:c>
      <x:c r="AE54" s="22" t="n">
        <x:f>MAX(0,MIN('Activities'!L54,162)-MAX('Activities'!K54,156))</x:f>
        <x:v>0</x:v>
      </x:c>
      <x:c r="AF54" s="22" t="n">
        <x:f>MAX(0,MIN('Activities'!L54,168)-MAX('Activities'!K54,162))</x:f>
        <x:v>0</x:v>
      </x:c>
      <x:c r="AG54" s="22" t="n">
        <x:f>MAX(0,MIN('Activities'!L54,174)-MAX('Activities'!K54,168))</x:f>
        <x:v>0</x:v>
      </x:c>
      <x:c r="AH54" s="22" t="n">
        <x:f>MAX(0,MIN('Activities'!L54,180)-MAX('Activities'!K54,174))</x:f>
        <x:v>0</x:v>
      </x:c>
      <x:c r="AI54" s="22" t="n">
        <x:f>MAX(0,MIN('Activities'!L54,186)-MAX('Activities'!K54,180))</x:f>
        <x:v>0</x:v>
      </x:c>
      <x:c r="AJ54" s="22" t="n">
        <x:f>MAX(0,MIN('Activities'!L54,192)-MAX('Activities'!K54,186))</x:f>
        <x:v>0</x:v>
      </x:c>
      <x:c r="AK54" s="22" t="n">
        <x:f>MAX(0,MIN('Activities'!L54,198)-MAX('Activities'!K54,192))</x:f>
        <x:v>0</x:v>
      </x:c>
      <x:c r="AL54" s="22" t="n">
        <x:f>MAX(0,MIN('Activities'!L54,204)-MAX('Activities'!K54,198))</x:f>
        <x:v>0</x:v>
      </x:c>
      <x:c r="AM54" s="22" t="n">
        <x:f>MAX(0,MIN('Activities'!L54,210)-MAX('Activities'!K54,204))</x:f>
        <x:v>0</x:v>
      </x:c>
      <x:c r="AN54" s="22" t="n">
        <x:f>MAX(0,MIN('Activities'!L54,216)-MAX('Activities'!K54,210))</x:f>
        <x:v>0</x:v>
      </x:c>
      <x:c r="AO54" s="22" t="n">
        <x:f>MAX(0,MIN('Activities'!L54,222)-MAX('Activities'!K54,216))</x:f>
        <x:v>0</x:v>
      </x:c>
      <x:c r="AP54" s="22" t="n">
        <x:f>MAX(0,MIN('Activities'!L54,228)-MAX('Activities'!K54,222))</x:f>
        <x:v>0</x:v>
      </x:c>
      <x:c r="AQ54" s="22" t="n">
        <x:f>MAX(0,MIN('Activities'!L54,234)-MAX('Activities'!K54,228))</x:f>
        <x:v>0</x:v>
      </x:c>
      <x:c r="AR54" s="22" t="n">
        <x:f>MAX(0,MIN('Activities'!L54,240)-MAX('Activities'!K54,234))</x:f>
        <x:v>0</x:v>
      </x:c>
      <x:c r="AS54" s="22" t="n">
        <x:f>MAX(0,MIN('Activities'!L54,246)-MAX('Activities'!K54,240))</x:f>
        <x:v>0</x:v>
      </x:c>
      <x:c r="AT54" s="22" t="n">
        <x:f>MAX(0,MIN('Activities'!L54,252)-MAX('Activities'!K54,246))</x:f>
        <x:v>0</x:v>
      </x:c>
      <x:c r="AU54" s="22" t="n">
        <x:f>MAX(0,MIN('Activities'!L54,258)-MAX('Activities'!K54,252))</x:f>
        <x:v>0</x:v>
      </x:c>
      <x:c r="AV54" s="22" t="n">
        <x:f>MAX(0,MIN('Activities'!L54,264)-MAX('Activities'!K54,258))</x:f>
        <x:v>0</x:v>
      </x:c>
      <x:c r="AW54" s="22" t="n">
        <x:f>MAX(0,MIN('Activities'!L54,270)-MAX('Activities'!K54,264))</x:f>
        <x:v>0</x:v>
      </x:c>
      <x:c r="AX54" s="22" t="n">
        <x:f>MAX(0,MIN('Activities'!L54,276)-MAX('Activities'!K54,270))</x:f>
        <x:v>0</x:v>
      </x:c>
      <x:c r="AY54" s="22" t="n">
        <x:f>MAX(0,MIN('Activities'!L54,282)-MAX('Activities'!K54,276))</x:f>
        <x:v>0</x:v>
      </x:c>
      <x:c r="AZ54" s="22" t="n">
        <x:f>MAX(0,MIN('Activities'!L54,288)-MAX('Activities'!K54,282))</x:f>
        <x:v>0</x:v>
      </x:c>
      <x:c r="BA54" s="22" t="n">
        <x:f>MAX(0,MIN('Activities'!L54,294)-MAX('Activities'!K54,288))</x:f>
        <x:v>0</x:v>
      </x:c>
      <x:c r="BB54" s="22" t="n">
        <x:f>MAX(0,MIN('Activities'!L54,300)-MAX('Activities'!K54,294))</x:f>
        <x:v>0</x:v>
      </x:c>
      <x:c r="BC54" s="22" t="n">
        <x:f>MAX(0,MIN('Activities'!L54,306)-MAX('Activities'!K54,300))</x:f>
        <x:v>0</x:v>
      </x:c>
      <x:c r="BD54" s="22" t="n">
        <x:f>MAX(0,MIN('Activities'!L54,312)-MAX('Activities'!K54,306))</x:f>
        <x:v>2</x:v>
      </x:c>
      <x:c r="BE54" s="22" t="n">
        <x:f>MAX(0,MIN('Activities'!L54,318)-MAX('Activities'!K54,312))</x:f>
        <x:v>0</x:v>
      </x:c>
      <x:c r="BF54" s="22" t="n">
        <x:f>MAX(0,MIN('Activities'!L54,324)-MAX('Activities'!K54,318))</x:f>
        <x:v>0</x:v>
      </x:c>
      <x:c r="BG54" s="22" t="n">
        <x:f>MAX(0,MIN('Activities'!L54,330)-MAX('Activities'!K54,324))</x:f>
        <x:v>0</x:v>
      </x:c>
      <x:c r="BH54" s="22" t="n">
        <x:f>MAX(0,MIN('Activities'!L54,336)-MAX('Activities'!K54,330))</x:f>
        <x:v>0</x:v>
      </x:c>
      <x:c r="BI54" s="22" t="n">
        <x:f>MAX(0,MIN('Activities'!L54,342)-MAX('Activities'!K54,336))</x:f>
        <x:v>0</x:v>
      </x:c>
      <x:c r="BJ54" s="22" t="n">
        <x:f>MAX(0,MIN('Activities'!L54,348)-MAX('Activities'!K54,342))</x:f>
        <x:v>0</x:v>
      </x:c>
      <x:c r="BK54" s="22" t="n">
        <x:f>MAX(0,MIN('Activities'!L54,354)-MAX('Activities'!K54,348))</x:f>
        <x:v>0</x:v>
      </x:c>
      <x:c r="BL54" s="22" t="n">
        <x:f>MAX(0,MIN('Activities'!L54,360)-MAX('Activities'!K54,354))</x:f>
        <x:v>0</x:v>
      </x:c>
      <x:c r="BM54" s="22" t="n">
        <x:f>MAX(0,MIN('Activities'!L54,366)-MAX('Activities'!K54,360))</x:f>
        <x:v>0</x:v>
      </x:c>
      <x:c r="BN54" s="22" t="n">
        <x:f>MAX(0,MIN('Activities'!L54,372)-MAX('Activities'!K54,366))</x:f>
        <x:v>0</x:v>
      </x:c>
      <x:c r="BO54" s="22" t="n">
        <x:f>MAX(0,MIN('Activities'!L54,378)-MAX('Activities'!K54,372))</x:f>
        <x:v>0</x:v>
      </x:c>
      <x:c r="BP54" s="22" t="n">
        <x:f>MAX(0,MIN('Activities'!L54,384)-MAX('Activities'!K54,378))</x:f>
        <x:v>0</x:v>
      </x:c>
      <x:c r="BQ54" s="22" t="n">
        <x:f>MAX(0,MIN('Activities'!L54,390)-MAX('Activities'!K54,384))</x:f>
        <x:v>0</x:v>
      </x:c>
      <x:c r="BR54" s="22" t="n">
        <x:f>MAX(0,MIN('Activities'!L54,396)-MAX('Activities'!K54,390))</x:f>
        <x:v>0</x:v>
      </x:c>
      <x:c r="BS54" s="22" t="n">
        <x:f>MAX(0,MIN('Activities'!L54,402)-MAX('Activities'!K54,396))</x:f>
        <x:v>0</x:v>
      </x:c>
      <x:c r="BT54" s="22" t="n">
        <x:f>MAX(0,MIN('Activities'!L54,408)-MAX('Activities'!K54,402))</x:f>
        <x:v>0</x:v>
      </x:c>
      <x:c r="BU54" s="22" t="n">
        <x:f>MAX(0,MIN('Activities'!L54,414)-MAX('Activities'!K54,408))</x:f>
        <x:v>0</x:v>
      </x:c>
      <x:c r="BV54" s="22" t="n">
        <x:f>MAX(0,MIN('Activities'!L54,420)-MAX('Activities'!K54,414))</x:f>
        <x:v>0</x:v>
      </x:c>
      <x:c r="BW54" s="22" t="n">
        <x:f>MAX(0,MIN('Activities'!L54,426)-MAX('Activities'!K54,420))</x:f>
        <x:v>0</x:v>
      </x:c>
      <x:c r="BX54" s="22" t="n">
        <x:f>MAX(0,MIN('Activities'!L54,432)-MAX('Activities'!K54,426))</x:f>
        <x:v>0</x:v>
      </x:c>
      <x:c r="BY54" s="22" t="n">
        <x:f>MAX(0,MIN('Activities'!L54,438)-MAX('Activities'!K54,432))</x:f>
        <x:v>0</x:v>
      </x:c>
      <x:c r="BZ54" s="22" t="n">
        <x:f>MAX(0,MIN('Activities'!L54,444)-MAX('Activities'!K54,438))</x:f>
        <x:v>0</x:v>
      </x:c>
      <x:c r="CA54" s="22" t="n">
        <x:f>MAX(0,MIN('Activities'!L54,450)-MAX('Activities'!K54,444))</x:f>
        <x:v>0</x:v>
      </x:c>
      <x:c r="CB54" s="22" t="n">
        <x:f>MAX(0,MIN('Activities'!L54,456)-MAX('Activities'!K54,450))</x:f>
        <x:v>0</x:v>
      </x:c>
      <x:c r="CC54" s="22" t="n">
        <x:f>MAX(0,MIN('Activities'!L54,462)-MAX('Activities'!K54,456))</x:f>
        <x:v>0</x:v>
      </x:c>
      <x:c r="CD54" s="22" t="n">
        <x:f>MAX(0,MIN('Activities'!L54,468)-MAX('Activities'!K54,462))</x:f>
        <x:v>0</x:v>
      </x:c>
      <x:c r="CE54" s="22" t="n">
        <x:f>MAX(0,MIN('Activities'!L54,474)-MAX('Activities'!K54,468))</x:f>
        <x:v>0</x:v>
      </x:c>
      <x:c r="CF54" s="22" t="n">
        <x:f>MAX(0,MIN('Activities'!L54,480)-MAX('Activities'!K54,474))</x:f>
        <x:v>0</x:v>
      </x:c>
      <x:c r="CG54" s="22" t="n">
        <x:f>MAX(0,MIN('Activities'!L54,486)-MAX('Activities'!K54,480))</x:f>
        <x:v>0</x:v>
      </x:c>
      <x:c r="CH54" s="22" t="n">
        <x:f>MAX(0,MIN('Activities'!L54,492)-MAX('Activities'!K54,486))</x:f>
        <x:v>0</x:v>
      </x:c>
      <x:c r="CI54" s="22" t="n">
        <x:f>MAX(0,MIN('Activities'!L54,498)-MAX('Activities'!K54,492))</x:f>
        <x:v>0</x:v>
      </x:c>
      <x:c r="CJ54" s="22" t="n">
        <x:f>MAX(0,MIN('Activities'!L54,504)-MAX('Activities'!K54,498))</x:f>
        <x:v>0</x:v>
      </x:c>
      <x:c r="CK54" s="22" t="n">
        <x:f>MAX(0,MIN('Activities'!L54,510)-MAX('Activities'!K54,504))</x:f>
        <x:v>0</x:v>
      </x:c>
      <x:c r="CL54" s="22" t="n">
        <x:f>MAX(0,MIN('Activities'!L54,516)-MAX('Activities'!K54,510))</x:f>
        <x:v>0</x:v>
      </x:c>
      <x:c r="CM54" s="22" t="n">
        <x:f>MAX(0,MIN('Activities'!L54,522)-MAX('Activities'!K54,516))</x:f>
        <x:v>0</x:v>
      </x:c>
      <x:c r="CN54" s="22" t="n">
        <x:f>MAX(0,MIN('Activities'!L54,528)-MAX('Activities'!K54,522))</x:f>
        <x:v>0</x:v>
      </x:c>
      <x:c r="CO54" s="22" t="n">
        <x:f>MAX(0,MIN('Activities'!L54,534)-MAX('Activities'!K54,528))</x:f>
        <x:v>0</x:v>
      </x:c>
      <x:c r="CP54" s="22" t="n">
        <x:f>MAX(0,MIN('Activities'!L54,540)-MAX('Activities'!K54,534))</x:f>
        <x:v>0</x:v>
      </x:c>
      <x:c r="CQ54" s="22" t="n">
        <x:f>MAX(0,MIN('Activities'!L54,546)-MAX('Activities'!K54,540))</x:f>
        <x:v>0</x:v>
      </x:c>
      <x:c r="CR54" s="22" t="n">
        <x:f>MAX(0,MIN('Activities'!L54,552)-MAX('Activities'!K54,546))</x:f>
        <x:v>0</x:v>
      </x:c>
      <x:c r="CS54" s="22" t="n">
        <x:f>MAX(0,MIN('Activities'!L54,558)-MAX('Activities'!K54,552))</x:f>
        <x:v>0</x:v>
      </x:c>
      <x:c r="CT54" s="22" t="n">
        <x:f>MAX(0,MIN('Activities'!L54,564)-MAX('Activities'!K54,558))</x:f>
        <x:v>0</x:v>
      </x:c>
      <x:c r="CU54" s="22" t="n">
        <x:f>MAX(0,MIN('Activities'!L54,570)-MAX('Activities'!K54,564))</x:f>
        <x:v>0</x:v>
      </x:c>
      <x:c r="CV54" s="22" t="n">
        <x:f>MAX(0,MIN('Activities'!L54,576)-MAX('Activities'!K54,570))</x:f>
        <x:v>0</x:v>
      </x:c>
      <x:c r="CW54" s="22" t="n">
        <x:f>MAX(0,MIN('Activities'!L54,582)-MAX('Activities'!K54,576))</x:f>
        <x:v>0</x:v>
      </x:c>
      <x:c r="CX54" s="22" t="n">
        <x:f>MAX(0,MIN('Activities'!L54,588)-MAX('Activities'!K54,582))</x:f>
        <x:v>0</x:v>
      </x:c>
      <x:c r="CY54" s="22" t="n">
        <x:f>MAX(0,MIN('Activities'!L54,594)-MAX('Activities'!K54,588))</x:f>
        <x:v>0</x:v>
      </x:c>
      <x:c r="CZ54" s="22" t="n">
        <x:f>MAX(0,MIN('Activities'!L54,600)-MAX('Activities'!K54,594))</x:f>
        <x:v>0</x:v>
      </x:c>
      <x:c r="DA54" s="22" t="n">
        <x:f>MAX(0,MIN('Activities'!L54,606)-MAX('Activities'!K54,600))</x:f>
        <x:v>0</x:v>
      </x:c>
      <x:c r="DB54" s="22" t="n">
        <x:f>MAX(0,MIN('Activities'!L54,612)-MAX('Activities'!K54,606))</x:f>
        <x:v>0</x:v>
      </x:c>
      <x:c r="DC54" s="22" t="n">
        <x:f>MAX(0,MIN('Activities'!L54,618)-MAX('Activities'!K54,612))</x:f>
        <x:v>0</x:v>
      </x:c>
      <x:c r="DD54" s="22" t="n">
        <x:f>MAX(0,MIN('Activities'!L54,624)-MAX('Activities'!K54,618))</x:f>
        <x:v>0</x:v>
      </x:c>
      <x:c r="DE54" s="22" t="n">
        <x:f>MAX(0,MIN('Activities'!L54,630)-MAX('Activities'!K54,624))</x:f>
        <x:v>0</x:v>
      </x:c>
      <x:c r="DF54" s="22" t="n">
        <x:f>MAX(0,MIN('Activities'!L54,636)-MAX('Activities'!K54,630))</x:f>
        <x:v>0</x:v>
      </x:c>
    </x:row>
    <x:row r="55" ht="23" customHeight="1">
      <x:c r="A55" s="1" t="str">
        <x:v>T1-L09-H</x:v>
      </x:c>
      <x:c r="B55" s="1" t="str">
        <x:v>T1</x:v>
      </x:c>
      <x:c r="C55" s="1" t="str">
        <x:v>Curing and release hold point</x:v>
      </x:c>
      <x:c r="D55" s="1" t="str">
        <x:v>Site</x:v>
      </x:c>
      <x:c r="E55" s="23" t="n">
        <x:f>MAX(0,MIN('Activities'!L55,6)-MAX('Activities'!K55,0))</x:f>
        <x:v>0</x:v>
      </x:c>
      <x:c r="F55" s="23" t="n">
        <x:f>MAX(0,MIN('Activities'!L55,12)-MAX('Activities'!K55,6))</x:f>
        <x:v>0</x:v>
      </x:c>
      <x:c r="G55" s="23" t="n">
        <x:f>MAX(0,MIN('Activities'!L55,18)-MAX('Activities'!K55,12))</x:f>
        <x:v>0</x:v>
      </x:c>
      <x:c r="H55" s="23" t="n">
        <x:f>MAX(0,MIN('Activities'!L55,24)-MAX('Activities'!K55,18))</x:f>
        <x:v>0</x:v>
      </x:c>
      <x:c r="I55" s="23" t="n">
        <x:f>MAX(0,MIN('Activities'!L55,30)-MAX('Activities'!K55,24))</x:f>
        <x:v>0</x:v>
      </x:c>
      <x:c r="J55" s="23" t="n">
        <x:f>MAX(0,MIN('Activities'!L55,36)-MAX('Activities'!K55,30))</x:f>
        <x:v>0</x:v>
      </x:c>
      <x:c r="K55" s="23" t="n">
        <x:f>MAX(0,MIN('Activities'!L55,42)-MAX('Activities'!K55,36))</x:f>
        <x:v>0</x:v>
      </x:c>
      <x:c r="L55" s="23" t="n">
        <x:f>MAX(0,MIN('Activities'!L55,48)-MAX('Activities'!K55,42))</x:f>
        <x:v>0</x:v>
      </x:c>
      <x:c r="M55" s="23" t="n">
        <x:f>MAX(0,MIN('Activities'!L55,54)-MAX('Activities'!K55,48))</x:f>
        <x:v>0</x:v>
      </x:c>
      <x:c r="N55" s="23" t="n">
        <x:f>MAX(0,MIN('Activities'!L55,60)-MAX('Activities'!K55,54))</x:f>
        <x:v>0</x:v>
      </x:c>
      <x:c r="O55" s="23" t="n">
        <x:f>MAX(0,MIN('Activities'!L55,66)-MAX('Activities'!K55,60))</x:f>
        <x:v>0</x:v>
      </x:c>
      <x:c r="P55" s="23" t="n">
        <x:f>MAX(0,MIN('Activities'!L55,72)-MAX('Activities'!K55,66))</x:f>
        <x:v>0</x:v>
      </x:c>
      <x:c r="Q55" s="23" t="n">
        <x:f>MAX(0,MIN('Activities'!L55,78)-MAX('Activities'!K55,72))</x:f>
        <x:v>0</x:v>
      </x:c>
      <x:c r="R55" s="23" t="n">
        <x:f>MAX(0,MIN('Activities'!L55,84)-MAX('Activities'!K55,78))</x:f>
        <x:v>0</x:v>
      </x:c>
      <x:c r="S55" s="23" t="n">
        <x:f>MAX(0,MIN('Activities'!L55,90)-MAX('Activities'!K55,84))</x:f>
        <x:v>0</x:v>
      </x:c>
      <x:c r="T55" s="23" t="n">
        <x:f>MAX(0,MIN('Activities'!L55,96)-MAX('Activities'!K55,90))</x:f>
        <x:v>0</x:v>
      </x:c>
      <x:c r="U55" s="23" t="n">
        <x:f>MAX(0,MIN('Activities'!L55,102)-MAX('Activities'!K55,96))</x:f>
        <x:v>0</x:v>
      </x:c>
      <x:c r="V55" s="23" t="n">
        <x:f>MAX(0,MIN('Activities'!L55,108)-MAX('Activities'!K55,102))</x:f>
        <x:v>0</x:v>
      </x:c>
      <x:c r="W55" s="23" t="n">
        <x:f>MAX(0,MIN('Activities'!L55,114)-MAX('Activities'!K55,108))</x:f>
        <x:v>0</x:v>
      </x:c>
      <x:c r="X55" s="23" t="n">
        <x:f>MAX(0,MIN('Activities'!L55,120)-MAX('Activities'!K55,114))</x:f>
        <x:v>0</x:v>
      </x:c>
      <x:c r="Y55" s="23" t="n">
        <x:f>MAX(0,MIN('Activities'!L55,126)-MAX('Activities'!K55,120))</x:f>
        <x:v>0</x:v>
      </x:c>
      <x:c r="Z55" s="23" t="n">
        <x:f>MAX(0,MIN('Activities'!L55,132)-MAX('Activities'!K55,126))</x:f>
        <x:v>0</x:v>
      </x:c>
      <x:c r="AA55" s="23" t="n">
        <x:f>MAX(0,MIN('Activities'!L55,138)-MAX('Activities'!K55,132))</x:f>
        <x:v>0</x:v>
      </x:c>
      <x:c r="AB55" s="23" t="n">
        <x:f>MAX(0,MIN('Activities'!L55,144)-MAX('Activities'!K55,138))</x:f>
        <x:v>0</x:v>
      </x:c>
      <x:c r="AC55" s="23" t="n">
        <x:f>MAX(0,MIN('Activities'!L55,150)-MAX('Activities'!K55,144))</x:f>
        <x:v>0</x:v>
      </x:c>
      <x:c r="AD55" s="23" t="n">
        <x:f>MAX(0,MIN('Activities'!L55,156)-MAX('Activities'!K55,150))</x:f>
        <x:v>0</x:v>
      </x:c>
      <x:c r="AE55" s="23" t="n">
        <x:f>MAX(0,MIN('Activities'!L55,162)-MAX('Activities'!K55,156))</x:f>
        <x:v>0</x:v>
      </x:c>
      <x:c r="AF55" s="23" t="n">
        <x:f>MAX(0,MIN('Activities'!L55,168)-MAX('Activities'!K55,162))</x:f>
        <x:v>0</x:v>
      </x:c>
      <x:c r="AG55" s="23" t="n">
        <x:f>MAX(0,MIN('Activities'!L55,174)-MAX('Activities'!K55,168))</x:f>
        <x:v>0</x:v>
      </x:c>
      <x:c r="AH55" s="23" t="n">
        <x:f>MAX(0,MIN('Activities'!L55,180)-MAX('Activities'!K55,174))</x:f>
        <x:v>0</x:v>
      </x:c>
      <x:c r="AI55" s="23" t="n">
        <x:f>MAX(0,MIN('Activities'!L55,186)-MAX('Activities'!K55,180))</x:f>
        <x:v>0</x:v>
      </x:c>
      <x:c r="AJ55" s="23" t="n">
        <x:f>MAX(0,MIN('Activities'!L55,192)-MAX('Activities'!K55,186))</x:f>
        <x:v>0</x:v>
      </x:c>
      <x:c r="AK55" s="23" t="n">
        <x:f>MAX(0,MIN('Activities'!L55,198)-MAX('Activities'!K55,192))</x:f>
        <x:v>0</x:v>
      </x:c>
      <x:c r="AL55" s="23" t="n">
        <x:f>MAX(0,MIN('Activities'!L55,204)-MAX('Activities'!K55,198))</x:f>
        <x:v>0</x:v>
      </x:c>
      <x:c r="AM55" s="23" t="n">
        <x:f>MAX(0,MIN('Activities'!L55,210)-MAX('Activities'!K55,204))</x:f>
        <x:v>0</x:v>
      </x:c>
      <x:c r="AN55" s="23" t="n">
        <x:f>MAX(0,MIN('Activities'!L55,216)-MAX('Activities'!K55,210))</x:f>
        <x:v>0</x:v>
      </x:c>
      <x:c r="AO55" s="23" t="n">
        <x:f>MAX(0,MIN('Activities'!L55,222)-MAX('Activities'!K55,216))</x:f>
        <x:v>0</x:v>
      </x:c>
      <x:c r="AP55" s="23" t="n">
        <x:f>MAX(0,MIN('Activities'!L55,228)-MAX('Activities'!K55,222))</x:f>
        <x:v>0</x:v>
      </x:c>
      <x:c r="AQ55" s="23" t="n">
        <x:f>MAX(0,MIN('Activities'!L55,234)-MAX('Activities'!K55,228))</x:f>
        <x:v>0</x:v>
      </x:c>
      <x:c r="AR55" s="23" t="n">
        <x:f>MAX(0,MIN('Activities'!L55,240)-MAX('Activities'!K55,234))</x:f>
        <x:v>0</x:v>
      </x:c>
      <x:c r="AS55" s="23" t="n">
        <x:f>MAX(0,MIN('Activities'!L55,246)-MAX('Activities'!K55,240))</x:f>
        <x:v>0</x:v>
      </x:c>
      <x:c r="AT55" s="23" t="n">
        <x:f>MAX(0,MIN('Activities'!L55,252)-MAX('Activities'!K55,246))</x:f>
        <x:v>0</x:v>
      </x:c>
      <x:c r="AU55" s="23" t="n">
        <x:f>MAX(0,MIN('Activities'!L55,258)-MAX('Activities'!K55,252))</x:f>
        <x:v>0</x:v>
      </x:c>
      <x:c r="AV55" s="23" t="n">
        <x:f>MAX(0,MIN('Activities'!L55,264)-MAX('Activities'!K55,258))</x:f>
        <x:v>0</x:v>
      </x:c>
      <x:c r="AW55" s="23" t="n">
        <x:f>MAX(0,MIN('Activities'!L55,270)-MAX('Activities'!K55,264))</x:f>
        <x:v>0</x:v>
      </x:c>
      <x:c r="AX55" s="23" t="n">
        <x:f>MAX(0,MIN('Activities'!L55,276)-MAX('Activities'!K55,270))</x:f>
        <x:v>0</x:v>
      </x:c>
      <x:c r="AY55" s="23" t="n">
        <x:f>MAX(0,MIN('Activities'!L55,282)-MAX('Activities'!K55,276))</x:f>
        <x:v>0</x:v>
      </x:c>
      <x:c r="AZ55" s="23" t="n">
        <x:f>MAX(0,MIN('Activities'!L55,288)-MAX('Activities'!K55,282))</x:f>
        <x:v>0</x:v>
      </x:c>
      <x:c r="BA55" s="23" t="n">
        <x:f>MAX(0,MIN('Activities'!L55,294)-MAX('Activities'!K55,288))</x:f>
        <x:v>0</x:v>
      </x:c>
      <x:c r="BB55" s="23" t="n">
        <x:f>MAX(0,MIN('Activities'!L55,300)-MAX('Activities'!K55,294))</x:f>
        <x:v>0</x:v>
      </x:c>
      <x:c r="BC55" s="23" t="n">
        <x:f>MAX(0,MIN('Activities'!L55,306)-MAX('Activities'!K55,300))</x:f>
        <x:v>0</x:v>
      </x:c>
      <x:c r="BD55" s="23" t="n">
        <x:f>MAX(0,MIN('Activities'!L55,312)-MAX('Activities'!K55,306))</x:f>
        <x:v>3</x:v>
      </x:c>
      <x:c r="BE55" s="23" t="n">
        <x:f>MAX(0,MIN('Activities'!L55,318)-MAX('Activities'!K55,312))</x:f>
        <x:v>2</x:v>
      </x:c>
      <x:c r="BF55" s="23" t="n">
        <x:f>MAX(0,MIN('Activities'!L55,324)-MAX('Activities'!K55,318))</x:f>
        <x:v>0</x:v>
      </x:c>
      <x:c r="BG55" s="23" t="n">
        <x:f>MAX(0,MIN('Activities'!L55,330)-MAX('Activities'!K55,324))</x:f>
        <x:v>0</x:v>
      </x:c>
      <x:c r="BH55" s="23" t="n">
        <x:f>MAX(0,MIN('Activities'!L55,336)-MAX('Activities'!K55,330))</x:f>
        <x:v>0</x:v>
      </x:c>
      <x:c r="BI55" s="23" t="n">
        <x:f>MAX(0,MIN('Activities'!L55,342)-MAX('Activities'!K55,336))</x:f>
        <x:v>0</x:v>
      </x:c>
      <x:c r="BJ55" s="23" t="n">
        <x:f>MAX(0,MIN('Activities'!L55,348)-MAX('Activities'!K55,342))</x:f>
        <x:v>0</x:v>
      </x:c>
      <x:c r="BK55" s="23" t="n">
        <x:f>MAX(0,MIN('Activities'!L55,354)-MAX('Activities'!K55,348))</x:f>
        <x:v>0</x:v>
      </x:c>
      <x:c r="BL55" s="23" t="n">
        <x:f>MAX(0,MIN('Activities'!L55,360)-MAX('Activities'!K55,354))</x:f>
        <x:v>0</x:v>
      </x:c>
      <x:c r="BM55" s="23" t="n">
        <x:f>MAX(0,MIN('Activities'!L55,366)-MAX('Activities'!K55,360))</x:f>
        <x:v>0</x:v>
      </x:c>
      <x:c r="BN55" s="23" t="n">
        <x:f>MAX(0,MIN('Activities'!L55,372)-MAX('Activities'!K55,366))</x:f>
        <x:v>0</x:v>
      </x:c>
      <x:c r="BO55" s="23" t="n">
        <x:f>MAX(0,MIN('Activities'!L55,378)-MAX('Activities'!K55,372))</x:f>
        <x:v>0</x:v>
      </x:c>
      <x:c r="BP55" s="23" t="n">
        <x:f>MAX(0,MIN('Activities'!L55,384)-MAX('Activities'!K55,378))</x:f>
        <x:v>0</x:v>
      </x:c>
      <x:c r="BQ55" s="23" t="n">
        <x:f>MAX(0,MIN('Activities'!L55,390)-MAX('Activities'!K55,384))</x:f>
        <x:v>0</x:v>
      </x:c>
      <x:c r="BR55" s="23" t="n">
        <x:f>MAX(0,MIN('Activities'!L55,396)-MAX('Activities'!K55,390))</x:f>
        <x:v>0</x:v>
      </x:c>
      <x:c r="BS55" s="23" t="n">
        <x:f>MAX(0,MIN('Activities'!L55,402)-MAX('Activities'!K55,396))</x:f>
        <x:v>0</x:v>
      </x:c>
      <x:c r="BT55" s="23" t="n">
        <x:f>MAX(0,MIN('Activities'!L55,408)-MAX('Activities'!K55,402))</x:f>
        <x:v>0</x:v>
      </x:c>
      <x:c r="BU55" s="23" t="n">
        <x:f>MAX(0,MIN('Activities'!L55,414)-MAX('Activities'!K55,408))</x:f>
        <x:v>0</x:v>
      </x:c>
      <x:c r="BV55" s="23" t="n">
        <x:f>MAX(0,MIN('Activities'!L55,420)-MAX('Activities'!K55,414))</x:f>
        <x:v>0</x:v>
      </x:c>
      <x:c r="BW55" s="23" t="n">
        <x:f>MAX(0,MIN('Activities'!L55,426)-MAX('Activities'!K55,420))</x:f>
        <x:v>0</x:v>
      </x:c>
      <x:c r="BX55" s="23" t="n">
        <x:f>MAX(0,MIN('Activities'!L55,432)-MAX('Activities'!K55,426))</x:f>
        <x:v>0</x:v>
      </x:c>
      <x:c r="BY55" s="23" t="n">
        <x:f>MAX(0,MIN('Activities'!L55,438)-MAX('Activities'!K55,432))</x:f>
        <x:v>0</x:v>
      </x:c>
      <x:c r="BZ55" s="23" t="n">
        <x:f>MAX(0,MIN('Activities'!L55,444)-MAX('Activities'!K55,438))</x:f>
        <x:v>0</x:v>
      </x:c>
      <x:c r="CA55" s="23" t="n">
        <x:f>MAX(0,MIN('Activities'!L55,450)-MAX('Activities'!K55,444))</x:f>
        <x:v>0</x:v>
      </x:c>
      <x:c r="CB55" s="23" t="n">
        <x:f>MAX(0,MIN('Activities'!L55,456)-MAX('Activities'!K55,450))</x:f>
        <x:v>0</x:v>
      </x:c>
      <x:c r="CC55" s="23" t="n">
        <x:f>MAX(0,MIN('Activities'!L55,462)-MAX('Activities'!K55,456))</x:f>
        <x:v>0</x:v>
      </x:c>
      <x:c r="CD55" s="23" t="n">
        <x:f>MAX(0,MIN('Activities'!L55,468)-MAX('Activities'!K55,462))</x:f>
        <x:v>0</x:v>
      </x:c>
      <x:c r="CE55" s="23" t="n">
        <x:f>MAX(0,MIN('Activities'!L55,474)-MAX('Activities'!K55,468))</x:f>
        <x:v>0</x:v>
      </x:c>
      <x:c r="CF55" s="23" t="n">
        <x:f>MAX(0,MIN('Activities'!L55,480)-MAX('Activities'!K55,474))</x:f>
        <x:v>0</x:v>
      </x:c>
      <x:c r="CG55" s="23" t="n">
        <x:f>MAX(0,MIN('Activities'!L55,486)-MAX('Activities'!K55,480))</x:f>
        <x:v>0</x:v>
      </x:c>
      <x:c r="CH55" s="23" t="n">
        <x:f>MAX(0,MIN('Activities'!L55,492)-MAX('Activities'!K55,486))</x:f>
        <x:v>0</x:v>
      </x:c>
      <x:c r="CI55" s="23" t="n">
        <x:f>MAX(0,MIN('Activities'!L55,498)-MAX('Activities'!K55,492))</x:f>
        <x:v>0</x:v>
      </x:c>
      <x:c r="CJ55" s="23" t="n">
        <x:f>MAX(0,MIN('Activities'!L55,504)-MAX('Activities'!K55,498))</x:f>
        <x:v>0</x:v>
      </x:c>
      <x:c r="CK55" s="23" t="n">
        <x:f>MAX(0,MIN('Activities'!L55,510)-MAX('Activities'!K55,504))</x:f>
        <x:v>0</x:v>
      </x:c>
      <x:c r="CL55" s="23" t="n">
        <x:f>MAX(0,MIN('Activities'!L55,516)-MAX('Activities'!K55,510))</x:f>
        <x:v>0</x:v>
      </x:c>
      <x:c r="CM55" s="23" t="n">
        <x:f>MAX(0,MIN('Activities'!L55,522)-MAX('Activities'!K55,516))</x:f>
        <x:v>0</x:v>
      </x:c>
      <x:c r="CN55" s="23" t="n">
        <x:f>MAX(0,MIN('Activities'!L55,528)-MAX('Activities'!K55,522))</x:f>
        <x:v>0</x:v>
      </x:c>
      <x:c r="CO55" s="23" t="n">
        <x:f>MAX(0,MIN('Activities'!L55,534)-MAX('Activities'!K55,528))</x:f>
        <x:v>0</x:v>
      </x:c>
      <x:c r="CP55" s="23" t="n">
        <x:f>MAX(0,MIN('Activities'!L55,540)-MAX('Activities'!K55,534))</x:f>
        <x:v>0</x:v>
      </x:c>
      <x:c r="CQ55" s="23" t="n">
        <x:f>MAX(0,MIN('Activities'!L55,546)-MAX('Activities'!K55,540))</x:f>
        <x:v>0</x:v>
      </x:c>
      <x:c r="CR55" s="23" t="n">
        <x:f>MAX(0,MIN('Activities'!L55,552)-MAX('Activities'!K55,546))</x:f>
        <x:v>0</x:v>
      </x:c>
      <x:c r="CS55" s="23" t="n">
        <x:f>MAX(0,MIN('Activities'!L55,558)-MAX('Activities'!K55,552))</x:f>
        <x:v>0</x:v>
      </x:c>
      <x:c r="CT55" s="23" t="n">
        <x:f>MAX(0,MIN('Activities'!L55,564)-MAX('Activities'!K55,558))</x:f>
        <x:v>0</x:v>
      </x:c>
      <x:c r="CU55" s="23" t="n">
        <x:f>MAX(0,MIN('Activities'!L55,570)-MAX('Activities'!K55,564))</x:f>
        <x:v>0</x:v>
      </x:c>
      <x:c r="CV55" s="23" t="n">
        <x:f>MAX(0,MIN('Activities'!L55,576)-MAX('Activities'!K55,570))</x:f>
        <x:v>0</x:v>
      </x:c>
      <x:c r="CW55" s="23" t="n">
        <x:f>MAX(0,MIN('Activities'!L55,582)-MAX('Activities'!K55,576))</x:f>
        <x:v>0</x:v>
      </x:c>
      <x:c r="CX55" s="23" t="n">
        <x:f>MAX(0,MIN('Activities'!L55,588)-MAX('Activities'!K55,582))</x:f>
        <x:v>0</x:v>
      </x:c>
      <x:c r="CY55" s="23" t="n">
        <x:f>MAX(0,MIN('Activities'!L55,594)-MAX('Activities'!K55,588))</x:f>
        <x:v>0</x:v>
      </x:c>
      <x:c r="CZ55" s="23" t="n">
        <x:f>MAX(0,MIN('Activities'!L55,600)-MAX('Activities'!K55,594))</x:f>
        <x:v>0</x:v>
      </x:c>
      <x:c r="DA55" s="23" t="n">
        <x:f>MAX(0,MIN('Activities'!L55,606)-MAX('Activities'!K55,600))</x:f>
        <x:v>0</x:v>
      </x:c>
      <x:c r="DB55" s="23" t="n">
        <x:f>MAX(0,MIN('Activities'!L55,612)-MAX('Activities'!K55,606))</x:f>
        <x:v>0</x:v>
      </x:c>
      <x:c r="DC55" s="23" t="n">
        <x:f>MAX(0,MIN('Activities'!L55,618)-MAX('Activities'!K55,612))</x:f>
        <x:v>0</x:v>
      </x:c>
      <x:c r="DD55" s="23" t="n">
        <x:f>MAX(0,MIN('Activities'!L55,624)-MAX('Activities'!K55,618))</x:f>
        <x:v>0</x:v>
      </x:c>
      <x:c r="DE55" s="23" t="n">
        <x:f>MAX(0,MIN('Activities'!L55,630)-MAX('Activities'!K55,624))</x:f>
        <x:v>0</x:v>
      </x:c>
      <x:c r="DF55" s="23" t="n">
        <x:f>MAX(0,MIN('Activities'!L55,636)-MAX('Activities'!K55,630))</x:f>
        <x:v>0</x:v>
      </x:c>
    </x:row>
    <x:row r="56" ht="23" customHeight="1">
      <x:c r="A56" s="6" t="str">
        <x:v>T1-L10-F</x:v>
      </x:c>
      <x:c r="B56" s="6" t="str">
        <x:v>T1</x:v>
      </x:c>
      <x:c r="C56" s="6" t="str">
        <x:v>Columns, core and deck formwork</x:v>
      </x:c>
      <x:c r="D56" s="6" t="str">
        <x:v>Formwork</x:v>
      </x:c>
      <x:c r="E56" s="22" t="n">
        <x:f>MAX(0,MIN('Activities'!L56,6)-MAX('Activities'!K56,0))</x:f>
        <x:v>0</x:v>
      </x:c>
      <x:c r="F56" s="22" t="n">
        <x:f>MAX(0,MIN('Activities'!L56,12)-MAX('Activities'!K56,6))</x:f>
        <x:v>0</x:v>
      </x:c>
      <x:c r="G56" s="22" t="n">
        <x:f>MAX(0,MIN('Activities'!L56,18)-MAX('Activities'!K56,12))</x:f>
        <x:v>0</x:v>
      </x:c>
      <x:c r="H56" s="22" t="n">
        <x:f>MAX(0,MIN('Activities'!L56,24)-MAX('Activities'!K56,18))</x:f>
        <x:v>0</x:v>
      </x:c>
      <x:c r="I56" s="22" t="n">
        <x:f>MAX(0,MIN('Activities'!L56,30)-MAX('Activities'!K56,24))</x:f>
        <x:v>0</x:v>
      </x:c>
      <x:c r="J56" s="22" t="n">
        <x:f>MAX(0,MIN('Activities'!L56,36)-MAX('Activities'!K56,30))</x:f>
        <x:v>0</x:v>
      </x:c>
      <x:c r="K56" s="22" t="n">
        <x:f>MAX(0,MIN('Activities'!L56,42)-MAX('Activities'!K56,36))</x:f>
        <x:v>0</x:v>
      </x:c>
      <x:c r="L56" s="22" t="n">
        <x:f>MAX(0,MIN('Activities'!L56,48)-MAX('Activities'!K56,42))</x:f>
        <x:v>0</x:v>
      </x:c>
      <x:c r="M56" s="22" t="n">
        <x:f>MAX(0,MIN('Activities'!L56,54)-MAX('Activities'!K56,48))</x:f>
        <x:v>0</x:v>
      </x:c>
      <x:c r="N56" s="22" t="n">
        <x:f>MAX(0,MIN('Activities'!L56,60)-MAX('Activities'!K56,54))</x:f>
        <x:v>0</x:v>
      </x:c>
      <x:c r="O56" s="22" t="n">
        <x:f>MAX(0,MIN('Activities'!L56,66)-MAX('Activities'!K56,60))</x:f>
        <x:v>0</x:v>
      </x:c>
      <x:c r="P56" s="22" t="n">
        <x:f>MAX(0,MIN('Activities'!L56,72)-MAX('Activities'!K56,66))</x:f>
        <x:v>0</x:v>
      </x:c>
      <x:c r="Q56" s="22" t="n">
        <x:f>MAX(0,MIN('Activities'!L56,78)-MAX('Activities'!K56,72))</x:f>
        <x:v>0</x:v>
      </x:c>
      <x:c r="R56" s="22" t="n">
        <x:f>MAX(0,MIN('Activities'!L56,84)-MAX('Activities'!K56,78))</x:f>
        <x:v>0</x:v>
      </x:c>
      <x:c r="S56" s="22" t="n">
        <x:f>MAX(0,MIN('Activities'!L56,90)-MAX('Activities'!K56,84))</x:f>
        <x:v>0</x:v>
      </x:c>
      <x:c r="T56" s="22" t="n">
        <x:f>MAX(0,MIN('Activities'!L56,96)-MAX('Activities'!K56,90))</x:f>
        <x:v>0</x:v>
      </x:c>
      <x:c r="U56" s="22" t="n">
        <x:f>MAX(0,MIN('Activities'!L56,102)-MAX('Activities'!K56,96))</x:f>
        <x:v>0</x:v>
      </x:c>
      <x:c r="V56" s="22" t="n">
        <x:f>MAX(0,MIN('Activities'!L56,108)-MAX('Activities'!K56,102))</x:f>
        <x:v>0</x:v>
      </x:c>
      <x:c r="W56" s="22" t="n">
        <x:f>MAX(0,MIN('Activities'!L56,114)-MAX('Activities'!K56,108))</x:f>
        <x:v>0</x:v>
      </x:c>
      <x:c r="X56" s="22" t="n">
        <x:f>MAX(0,MIN('Activities'!L56,120)-MAX('Activities'!K56,114))</x:f>
        <x:v>0</x:v>
      </x:c>
      <x:c r="Y56" s="22" t="n">
        <x:f>MAX(0,MIN('Activities'!L56,126)-MAX('Activities'!K56,120))</x:f>
        <x:v>0</x:v>
      </x:c>
      <x:c r="Z56" s="22" t="n">
        <x:f>MAX(0,MIN('Activities'!L56,132)-MAX('Activities'!K56,126))</x:f>
        <x:v>0</x:v>
      </x:c>
      <x:c r="AA56" s="22" t="n">
        <x:f>MAX(0,MIN('Activities'!L56,138)-MAX('Activities'!K56,132))</x:f>
        <x:v>0</x:v>
      </x:c>
      <x:c r="AB56" s="22" t="n">
        <x:f>MAX(0,MIN('Activities'!L56,144)-MAX('Activities'!K56,138))</x:f>
        <x:v>0</x:v>
      </x:c>
      <x:c r="AC56" s="22" t="n">
        <x:f>MAX(0,MIN('Activities'!L56,150)-MAX('Activities'!K56,144))</x:f>
        <x:v>0</x:v>
      </x:c>
      <x:c r="AD56" s="22" t="n">
        <x:f>MAX(0,MIN('Activities'!L56,156)-MAX('Activities'!K56,150))</x:f>
        <x:v>0</x:v>
      </x:c>
      <x:c r="AE56" s="22" t="n">
        <x:f>MAX(0,MIN('Activities'!L56,162)-MAX('Activities'!K56,156))</x:f>
        <x:v>0</x:v>
      </x:c>
      <x:c r="AF56" s="22" t="n">
        <x:f>MAX(0,MIN('Activities'!L56,168)-MAX('Activities'!K56,162))</x:f>
        <x:v>0</x:v>
      </x:c>
      <x:c r="AG56" s="22" t="n">
        <x:f>MAX(0,MIN('Activities'!L56,174)-MAX('Activities'!K56,168))</x:f>
        <x:v>0</x:v>
      </x:c>
      <x:c r="AH56" s="22" t="n">
        <x:f>MAX(0,MIN('Activities'!L56,180)-MAX('Activities'!K56,174))</x:f>
        <x:v>0</x:v>
      </x:c>
      <x:c r="AI56" s="22" t="n">
        <x:f>MAX(0,MIN('Activities'!L56,186)-MAX('Activities'!K56,180))</x:f>
        <x:v>0</x:v>
      </x:c>
      <x:c r="AJ56" s="22" t="n">
        <x:f>MAX(0,MIN('Activities'!L56,192)-MAX('Activities'!K56,186))</x:f>
        <x:v>0</x:v>
      </x:c>
      <x:c r="AK56" s="22" t="n">
        <x:f>MAX(0,MIN('Activities'!L56,198)-MAX('Activities'!K56,192))</x:f>
        <x:v>0</x:v>
      </x:c>
      <x:c r="AL56" s="22" t="n">
        <x:f>MAX(0,MIN('Activities'!L56,204)-MAX('Activities'!K56,198))</x:f>
        <x:v>0</x:v>
      </x:c>
      <x:c r="AM56" s="22" t="n">
        <x:f>MAX(0,MIN('Activities'!L56,210)-MAX('Activities'!K56,204))</x:f>
        <x:v>0</x:v>
      </x:c>
      <x:c r="AN56" s="22" t="n">
        <x:f>MAX(0,MIN('Activities'!L56,216)-MAX('Activities'!K56,210))</x:f>
        <x:v>0</x:v>
      </x:c>
      <x:c r="AO56" s="22" t="n">
        <x:f>MAX(0,MIN('Activities'!L56,222)-MAX('Activities'!K56,216))</x:f>
        <x:v>0</x:v>
      </x:c>
      <x:c r="AP56" s="22" t="n">
        <x:f>MAX(0,MIN('Activities'!L56,228)-MAX('Activities'!K56,222))</x:f>
        <x:v>0</x:v>
      </x:c>
      <x:c r="AQ56" s="22" t="n">
        <x:f>MAX(0,MIN('Activities'!L56,234)-MAX('Activities'!K56,228))</x:f>
        <x:v>0</x:v>
      </x:c>
      <x:c r="AR56" s="22" t="n">
        <x:f>MAX(0,MIN('Activities'!L56,240)-MAX('Activities'!K56,234))</x:f>
        <x:v>0</x:v>
      </x:c>
      <x:c r="AS56" s="22" t="n">
        <x:f>MAX(0,MIN('Activities'!L56,246)-MAX('Activities'!K56,240))</x:f>
        <x:v>0</x:v>
      </x:c>
      <x:c r="AT56" s="22" t="n">
        <x:f>MAX(0,MIN('Activities'!L56,252)-MAX('Activities'!K56,246))</x:f>
        <x:v>0</x:v>
      </x:c>
      <x:c r="AU56" s="22" t="n">
        <x:f>MAX(0,MIN('Activities'!L56,258)-MAX('Activities'!K56,252))</x:f>
        <x:v>0</x:v>
      </x:c>
      <x:c r="AV56" s="22" t="n">
        <x:f>MAX(0,MIN('Activities'!L56,264)-MAX('Activities'!K56,258))</x:f>
        <x:v>0</x:v>
      </x:c>
      <x:c r="AW56" s="22" t="n">
        <x:f>MAX(0,MIN('Activities'!L56,270)-MAX('Activities'!K56,264))</x:f>
        <x:v>0</x:v>
      </x:c>
      <x:c r="AX56" s="22" t="n">
        <x:f>MAX(0,MIN('Activities'!L56,276)-MAX('Activities'!K56,270))</x:f>
        <x:v>0</x:v>
      </x:c>
      <x:c r="AY56" s="22" t="n">
        <x:f>MAX(0,MIN('Activities'!L56,282)-MAX('Activities'!K56,276))</x:f>
        <x:v>0</x:v>
      </x:c>
      <x:c r="AZ56" s="22" t="n">
        <x:f>MAX(0,MIN('Activities'!L56,288)-MAX('Activities'!K56,282))</x:f>
        <x:v>0</x:v>
      </x:c>
      <x:c r="BA56" s="22" t="n">
        <x:f>MAX(0,MIN('Activities'!L56,294)-MAX('Activities'!K56,288))</x:f>
        <x:v>0</x:v>
      </x:c>
      <x:c r="BB56" s="22" t="n">
        <x:f>MAX(0,MIN('Activities'!L56,300)-MAX('Activities'!K56,294))</x:f>
        <x:v>0</x:v>
      </x:c>
      <x:c r="BC56" s="22" t="n">
        <x:f>MAX(0,MIN('Activities'!L56,306)-MAX('Activities'!K56,300))</x:f>
        <x:v>0</x:v>
      </x:c>
      <x:c r="BD56" s="22" t="n">
        <x:f>MAX(0,MIN('Activities'!L56,312)-MAX('Activities'!K56,306))</x:f>
        <x:v>0</x:v>
      </x:c>
      <x:c r="BE56" s="22" t="n">
        <x:f>MAX(0,MIN('Activities'!L56,318)-MAX('Activities'!K56,312))</x:f>
        <x:v>4</x:v>
      </x:c>
      <x:c r="BF56" s="22" t="n">
        <x:f>MAX(0,MIN('Activities'!L56,324)-MAX('Activities'!K56,318))</x:f>
        <x:v>2</x:v>
      </x:c>
      <x:c r="BG56" s="22" t="n">
        <x:f>MAX(0,MIN('Activities'!L56,330)-MAX('Activities'!K56,324))</x:f>
        <x:v>0</x:v>
      </x:c>
      <x:c r="BH56" s="22" t="n">
        <x:f>MAX(0,MIN('Activities'!L56,336)-MAX('Activities'!K56,330))</x:f>
        <x:v>0</x:v>
      </x:c>
      <x:c r="BI56" s="22" t="n">
        <x:f>MAX(0,MIN('Activities'!L56,342)-MAX('Activities'!K56,336))</x:f>
        <x:v>0</x:v>
      </x:c>
      <x:c r="BJ56" s="22" t="n">
        <x:f>MAX(0,MIN('Activities'!L56,348)-MAX('Activities'!K56,342))</x:f>
        <x:v>0</x:v>
      </x:c>
      <x:c r="BK56" s="22" t="n">
        <x:f>MAX(0,MIN('Activities'!L56,354)-MAX('Activities'!K56,348))</x:f>
        <x:v>0</x:v>
      </x:c>
      <x:c r="BL56" s="22" t="n">
        <x:f>MAX(0,MIN('Activities'!L56,360)-MAX('Activities'!K56,354))</x:f>
        <x:v>0</x:v>
      </x:c>
      <x:c r="BM56" s="22" t="n">
        <x:f>MAX(0,MIN('Activities'!L56,366)-MAX('Activities'!K56,360))</x:f>
        <x:v>0</x:v>
      </x:c>
      <x:c r="BN56" s="22" t="n">
        <x:f>MAX(0,MIN('Activities'!L56,372)-MAX('Activities'!K56,366))</x:f>
        <x:v>0</x:v>
      </x:c>
      <x:c r="BO56" s="22" t="n">
        <x:f>MAX(0,MIN('Activities'!L56,378)-MAX('Activities'!K56,372))</x:f>
        <x:v>0</x:v>
      </x:c>
      <x:c r="BP56" s="22" t="n">
        <x:f>MAX(0,MIN('Activities'!L56,384)-MAX('Activities'!K56,378))</x:f>
        <x:v>0</x:v>
      </x:c>
      <x:c r="BQ56" s="22" t="n">
        <x:f>MAX(0,MIN('Activities'!L56,390)-MAX('Activities'!K56,384))</x:f>
        <x:v>0</x:v>
      </x:c>
      <x:c r="BR56" s="22" t="n">
        <x:f>MAX(0,MIN('Activities'!L56,396)-MAX('Activities'!K56,390))</x:f>
        <x:v>0</x:v>
      </x:c>
      <x:c r="BS56" s="22" t="n">
        <x:f>MAX(0,MIN('Activities'!L56,402)-MAX('Activities'!K56,396))</x:f>
        <x:v>0</x:v>
      </x:c>
      <x:c r="BT56" s="22" t="n">
        <x:f>MAX(0,MIN('Activities'!L56,408)-MAX('Activities'!K56,402))</x:f>
        <x:v>0</x:v>
      </x:c>
      <x:c r="BU56" s="22" t="n">
        <x:f>MAX(0,MIN('Activities'!L56,414)-MAX('Activities'!K56,408))</x:f>
        <x:v>0</x:v>
      </x:c>
      <x:c r="BV56" s="22" t="n">
        <x:f>MAX(0,MIN('Activities'!L56,420)-MAX('Activities'!K56,414))</x:f>
        <x:v>0</x:v>
      </x:c>
      <x:c r="BW56" s="22" t="n">
        <x:f>MAX(0,MIN('Activities'!L56,426)-MAX('Activities'!K56,420))</x:f>
        <x:v>0</x:v>
      </x:c>
      <x:c r="BX56" s="22" t="n">
        <x:f>MAX(0,MIN('Activities'!L56,432)-MAX('Activities'!K56,426))</x:f>
        <x:v>0</x:v>
      </x:c>
      <x:c r="BY56" s="22" t="n">
        <x:f>MAX(0,MIN('Activities'!L56,438)-MAX('Activities'!K56,432))</x:f>
        <x:v>0</x:v>
      </x:c>
      <x:c r="BZ56" s="22" t="n">
        <x:f>MAX(0,MIN('Activities'!L56,444)-MAX('Activities'!K56,438))</x:f>
        <x:v>0</x:v>
      </x:c>
      <x:c r="CA56" s="22" t="n">
        <x:f>MAX(0,MIN('Activities'!L56,450)-MAX('Activities'!K56,444))</x:f>
        <x:v>0</x:v>
      </x:c>
      <x:c r="CB56" s="22" t="n">
        <x:f>MAX(0,MIN('Activities'!L56,456)-MAX('Activities'!K56,450))</x:f>
        <x:v>0</x:v>
      </x:c>
      <x:c r="CC56" s="22" t="n">
        <x:f>MAX(0,MIN('Activities'!L56,462)-MAX('Activities'!K56,456))</x:f>
        <x:v>0</x:v>
      </x:c>
      <x:c r="CD56" s="22" t="n">
        <x:f>MAX(0,MIN('Activities'!L56,468)-MAX('Activities'!K56,462))</x:f>
        <x:v>0</x:v>
      </x:c>
      <x:c r="CE56" s="22" t="n">
        <x:f>MAX(0,MIN('Activities'!L56,474)-MAX('Activities'!K56,468))</x:f>
        <x:v>0</x:v>
      </x:c>
      <x:c r="CF56" s="22" t="n">
        <x:f>MAX(0,MIN('Activities'!L56,480)-MAX('Activities'!K56,474))</x:f>
        <x:v>0</x:v>
      </x:c>
      <x:c r="CG56" s="22" t="n">
        <x:f>MAX(0,MIN('Activities'!L56,486)-MAX('Activities'!K56,480))</x:f>
        <x:v>0</x:v>
      </x:c>
      <x:c r="CH56" s="22" t="n">
        <x:f>MAX(0,MIN('Activities'!L56,492)-MAX('Activities'!K56,486))</x:f>
        <x:v>0</x:v>
      </x:c>
      <x:c r="CI56" s="22" t="n">
        <x:f>MAX(0,MIN('Activities'!L56,498)-MAX('Activities'!K56,492))</x:f>
        <x:v>0</x:v>
      </x:c>
      <x:c r="CJ56" s="22" t="n">
        <x:f>MAX(0,MIN('Activities'!L56,504)-MAX('Activities'!K56,498))</x:f>
        <x:v>0</x:v>
      </x:c>
      <x:c r="CK56" s="22" t="n">
        <x:f>MAX(0,MIN('Activities'!L56,510)-MAX('Activities'!K56,504))</x:f>
        <x:v>0</x:v>
      </x:c>
      <x:c r="CL56" s="22" t="n">
        <x:f>MAX(0,MIN('Activities'!L56,516)-MAX('Activities'!K56,510))</x:f>
        <x:v>0</x:v>
      </x:c>
      <x:c r="CM56" s="22" t="n">
        <x:f>MAX(0,MIN('Activities'!L56,522)-MAX('Activities'!K56,516))</x:f>
        <x:v>0</x:v>
      </x:c>
      <x:c r="CN56" s="22" t="n">
        <x:f>MAX(0,MIN('Activities'!L56,528)-MAX('Activities'!K56,522))</x:f>
        <x:v>0</x:v>
      </x:c>
      <x:c r="CO56" s="22" t="n">
        <x:f>MAX(0,MIN('Activities'!L56,534)-MAX('Activities'!K56,528))</x:f>
        <x:v>0</x:v>
      </x:c>
      <x:c r="CP56" s="22" t="n">
        <x:f>MAX(0,MIN('Activities'!L56,540)-MAX('Activities'!K56,534))</x:f>
        <x:v>0</x:v>
      </x:c>
      <x:c r="CQ56" s="22" t="n">
        <x:f>MAX(0,MIN('Activities'!L56,546)-MAX('Activities'!K56,540))</x:f>
        <x:v>0</x:v>
      </x:c>
      <x:c r="CR56" s="22" t="n">
        <x:f>MAX(0,MIN('Activities'!L56,552)-MAX('Activities'!K56,546))</x:f>
        <x:v>0</x:v>
      </x:c>
      <x:c r="CS56" s="22" t="n">
        <x:f>MAX(0,MIN('Activities'!L56,558)-MAX('Activities'!K56,552))</x:f>
        <x:v>0</x:v>
      </x:c>
      <x:c r="CT56" s="22" t="n">
        <x:f>MAX(0,MIN('Activities'!L56,564)-MAX('Activities'!K56,558))</x:f>
        <x:v>0</x:v>
      </x:c>
      <x:c r="CU56" s="22" t="n">
        <x:f>MAX(0,MIN('Activities'!L56,570)-MAX('Activities'!K56,564))</x:f>
        <x:v>0</x:v>
      </x:c>
      <x:c r="CV56" s="22" t="n">
        <x:f>MAX(0,MIN('Activities'!L56,576)-MAX('Activities'!K56,570))</x:f>
        <x:v>0</x:v>
      </x:c>
      <x:c r="CW56" s="22" t="n">
        <x:f>MAX(0,MIN('Activities'!L56,582)-MAX('Activities'!K56,576))</x:f>
        <x:v>0</x:v>
      </x:c>
      <x:c r="CX56" s="22" t="n">
        <x:f>MAX(0,MIN('Activities'!L56,588)-MAX('Activities'!K56,582))</x:f>
        <x:v>0</x:v>
      </x:c>
      <x:c r="CY56" s="22" t="n">
        <x:f>MAX(0,MIN('Activities'!L56,594)-MAX('Activities'!K56,588))</x:f>
        <x:v>0</x:v>
      </x:c>
      <x:c r="CZ56" s="22" t="n">
        <x:f>MAX(0,MIN('Activities'!L56,600)-MAX('Activities'!K56,594))</x:f>
        <x:v>0</x:v>
      </x:c>
      <x:c r="DA56" s="22" t="n">
        <x:f>MAX(0,MIN('Activities'!L56,606)-MAX('Activities'!K56,600))</x:f>
        <x:v>0</x:v>
      </x:c>
      <x:c r="DB56" s="22" t="n">
        <x:f>MAX(0,MIN('Activities'!L56,612)-MAX('Activities'!K56,606))</x:f>
        <x:v>0</x:v>
      </x:c>
      <x:c r="DC56" s="22" t="n">
        <x:f>MAX(0,MIN('Activities'!L56,618)-MAX('Activities'!K56,612))</x:f>
        <x:v>0</x:v>
      </x:c>
      <x:c r="DD56" s="22" t="n">
        <x:f>MAX(0,MIN('Activities'!L56,624)-MAX('Activities'!K56,618))</x:f>
        <x:v>0</x:v>
      </x:c>
      <x:c r="DE56" s="22" t="n">
        <x:f>MAX(0,MIN('Activities'!L56,630)-MAX('Activities'!K56,624))</x:f>
        <x:v>0</x:v>
      </x:c>
      <x:c r="DF56" s="22" t="n">
        <x:f>MAX(0,MIN('Activities'!L56,636)-MAX('Activities'!K56,630))</x:f>
        <x:v>0</x:v>
      </x:c>
    </x:row>
    <x:row r="57" ht="23" customHeight="1">
      <x:c r="A57" s="1" t="str">
        <x:v>T1-L10-R</x:v>
      </x:c>
      <x:c r="B57" s="1" t="str">
        <x:v>T1</x:v>
      </x:c>
      <x:c r="C57" s="1" t="str">
        <x:v>Column, wall, beam and slab reinforcement</x:v>
      </x:c>
      <x:c r="D57" s="1" t="str">
        <x:v>Rebar</x:v>
      </x:c>
      <x:c r="E57" s="23" t="n">
        <x:f>MAX(0,MIN('Activities'!L57,6)-MAX('Activities'!K57,0))</x:f>
        <x:v>0</x:v>
      </x:c>
      <x:c r="F57" s="23" t="n">
        <x:f>MAX(0,MIN('Activities'!L57,12)-MAX('Activities'!K57,6))</x:f>
        <x:v>0</x:v>
      </x:c>
      <x:c r="G57" s="23" t="n">
        <x:f>MAX(0,MIN('Activities'!L57,18)-MAX('Activities'!K57,12))</x:f>
        <x:v>0</x:v>
      </x:c>
      <x:c r="H57" s="23" t="n">
        <x:f>MAX(0,MIN('Activities'!L57,24)-MAX('Activities'!K57,18))</x:f>
        <x:v>0</x:v>
      </x:c>
      <x:c r="I57" s="23" t="n">
        <x:f>MAX(0,MIN('Activities'!L57,30)-MAX('Activities'!K57,24))</x:f>
        <x:v>0</x:v>
      </x:c>
      <x:c r="J57" s="23" t="n">
        <x:f>MAX(0,MIN('Activities'!L57,36)-MAX('Activities'!K57,30))</x:f>
        <x:v>0</x:v>
      </x:c>
      <x:c r="K57" s="23" t="n">
        <x:f>MAX(0,MIN('Activities'!L57,42)-MAX('Activities'!K57,36))</x:f>
        <x:v>0</x:v>
      </x:c>
      <x:c r="L57" s="23" t="n">
        <x:f>MAX(0,MIN('Activities'!L57,48)-MAX('Activities'!K57,42))</x:f>
        <x:v>0</x:v>
      </x:c>
      <x:c r="M57" s="23" t="n">
        <x:f>MAX(0,MIN('Activities'!L57,54)-MAX('Activities'!K57,48))</x:f>
        <x:v>0</x:v>
      </x:c>
      <x:c r="N57" s="23" t="n">
        <x:f>MAX(0,MIN('Activities'!L57,60)-MAX('Activities'!K57,54))</x:f>
        <x:v>0</x:v>
      </x:c>
      <x:c r="O57" s="23" t="n">
        <x:f>MAX(0,MIN('Activities'!L57,66)-MAX('Activities'!K57,60))</x:f>
        <x:v>0</x:v>
      </x:c>
      <x:c r="P57" s="23" t="n">
        <x:f>MAX(0,MIN('Activities'!L57,72)-MAX('Activities'!K57,66))</x:f>
        <x:v>0</x:v>
      </x:c>
      <x:c r="Q57" s="23" t="n">
        <x:f>MAX(0,MIN('Activities'!L57,78)-MAX('Activities'!K57,72))</x:f>
        <x:v>0</x:v>
      </x:c>
      <x:c r="R57" s="23" t="n">
        <x:f>MAX(0,MIN('Activities'!L57,84)-MAX('Activities'!K57,78))</x:f>
        <x:v>0</x:v>
      </x:c>
      <x:c r="S57" s="23" t="n">
        <x:f>MAX(0,MIN('Activities'!L57,90)-MAX('Activities'!K57,84))</x:f>
        <x:v>0</x:v>
      </x:c>
      <x:c r="T57" s="23" t="n">
        <x:f>MAX(0,MIN('Activities'!L57,96)-MAX('Activities'!K57,90))</x:f>
        <x:v>0</x:v>
      </x:c>
      <x:c r="U57" s="23" t="n">
        <x:f>MAX(0,MIN('Activities'!L57,102)-MAX('Activities'!K57,96))</x:f>
        <x:v>0</x:v>
      </x:c>
      <x:c r="V57" s="23" t="n">
        <x:f>MAX(0,MIN('Activities'!L57,108)-MAX('Activities'!K57,102))</x:f>
        <x:v>0</x:v>
      </x:c>
      <x:c r="W57" s="23" t="n">
        <x:f>MAX(0,MIN('Activities'!L57,114)-MAX('Activities'!K57,108))</x:f>
        <x:v>0</x:v>
      </x:c>
      <x:c r="X57" s="23" t="n">
        <x:f>MAX(0,MIN('Activities'!L57,120)-MAX('Activities'!K57,114))</x:f>
        <x:v>0</x:v>
      </x:c>
      <x:c r="Y57" s="23" t="n">
        <x:f>MAX(0,MIN('Activities'!L57,126)-MAX('Activities'!K57,120))</x:f>
        <x:v>0</x:v>
      </x:c>
      <x:c r="Z57" s="23" t="n">
        <x:f>MAX(0,MIN('Activities'!L57,132)-MAX('Activities'!K57,126))</x:f>
        <x:v>0</x:v>
      </x:c>
      <x:c r="AA57" s="23" t="n">
        <x:f>MAX(0,MIN('Activities'!L57,138)-MAX('Activities'!K57,132))</x:f>
        <x:v>0</x:v>
      </x:c>
      <x:c r="AB57" s="23" t="n">
        <x:f>MAX(0,MIN('Activities'!L57,144)-MAX('Activities'!K57,138))</x:f>
        <x:v>0</x:v>
      </x:c>
      <x:c r="AC57" s="23" t="n">
        <x:f>MAX(0,MIN('Activities'!L57,150)-MAX('Activities'!K57,144))</x:f>
        <x:v>0</x:v>
      </x:c>
      <x:c r="AD57" s="23" t="n">
        <x:f>MAX(0,MIN('Activities'!L57,156)-MAX('Activities'!K57,150))</x:f>
        <x:v>0</x:v>
      </x:c>
      <x:c r="AE57" s="23" t="n">
        <x:f>MAX(0,MIN('Activities'!L57,162)-MAX('Activities'!K57,156))</x:f>
        <x:v>0</x:v>
      </x:c>
      <x:c r="AF57" s="23" t="n">
        <x:f>MAX(0,MIN('Activities'!L57,168)-MAX('Activities'!K57,162))</x:f>
        <x:v>0</x:v>
      </x:c>
      <x:c r="AG57" s="23" t="n">
        <x:f>MAX(0,MIN('Activities'!L57,174)-MAX('Activities'!K57,168))</x:f>
        <x:v>0</x:v>
      </x:c>
      <x:c r="AH57" s="23" t="n">
        <x:f>MAX(0,MIN('Activities'!L57,180)-MAX('Activities'!K57,174))</x:f>
        <x:v>0</x:v>
      </x:c>
      <x:c r="AI57" s="23" t="n">
        <x:f>MAX(0,MIN('Activities'!L57,186)-MAX('Activities'!K57,180))</x:f>
        <x:v>0</x:v>
      </x:c>
      <x:c r="AJ57" s="23" t="n">
        <x:f>MAX(0,MIN('Activities'!L57,192)-MAX('Activities'!K57,186))</x:f>
        <x:v>0</x:v>
      </x:c>
      <x:c r="AK57" s="23" t="n">
        <x:f>MAX(0,MIN('Activities'!L57,198)-MAX('Activities'!K57,192))</x:f>
        <x:v>0</x:v>
      </x:c>
      <x:c r="AL57" s="23" t="n">
        <x:f>MAX(0,MIN('Activities'!L57,204)-MAX('Activities'!K57,198))</x:f>
        <x:v>0</x:v>
      </x:c>
      <x:c r="AM57" s="23" t="n">
        <x:f>MAX(0,MIN('Activities'!L57,210)-MAX('Activities'!K57,204))</x:f>
        <x:v>0</x:v>
      </x:c>
      <x:c r="AN57" s="23" t="n">
        <x:f>MAX(0,MIN('Activities'!L57,216)-MAX('Activities'!K57,210))</x:f>
        <x:v>0</x:v>
      </x:c>
      <x:c r="AO57" s="23" t="n">
        <x:f>MAX(0,MIN('Activities'!L57,222)-MAX('Activities'!K57,216))</x:f>
        <x:v>0</x:v>
      </x:c>
      <x:c r="AP57" s="23" t="n">
        <x:f>MAX(0,MIN('Activities'!L57,228)-MAX('Activities'!K57,222))</x:f>
        <x:v>0</x:v>
      </x:c>
      <x:c r="AQ57" s="23" t="n">
        <x:f>MAX(0,MIN('Activities'!L57,234)-MAX('Activities'!K57,228))</x:f>
        <x:v>0</x:v>
      </x:c>
      <x:c r="AR57" s="23" t="n">
        <x:f>MAX(0,MIN('Activities'!L57,240)-MAX('Activities'!K57,234))</x:f>
        <x:v>0</x:v>
      </x:c>
      <x:c r="AS57" s="23" t="n">
        <x:f>MAX(0,MIN('Activities'!L57,246)-MAX('Activities'!K57,240))</x:f>
        <x:v>0</x:v>
      </x:c>
      <x:c r="AT57" s="23" t="n">
        <x:f>MAX(0,MIN('Activities'!L57,252)-MAX('Activities'!K57,246))</x:f>
        <x:v>0</x:v>
      </x:c>
      <x:c r="AU57" s="23" t="n">
        <x:f>MAX(0,MIN('Activities'!L57,258)-MAX('Activities'!K57,252))</x:f>
        <x:v>0</x:v>
      </x:c>
      <x:c r="AV57" s="23" t="n">
        <x:f>MAX(0,MIN('Activities'!L57,264)-MAX('Activities'!K57,258))</x:f>
        <x:v>0</x:v>
      </x:c>
      <x:c r="AW57" s="23" t="n">
        <x:f>MAX(0,MIN('Activities'!L57,270)-MAX('Activities'!K57,264))</x:f>
        <x:v>0</x:v>
      </x:c>
      <x:c r="AX57" s="23" t="n">
        <x:f>MAX(0,MIN('Activities'!L57,276)-MAX('Activities'!K57,270))</x:f>
        <x:v>0</x:v>
      </x:c>
      <x:c r="AY57" s="23" t="n">
        <x:f>MAX(0,MIN('Activities'!L57,282)-MAX('Activities'!K57,276))</x:f>
        <x:v>0</x:v>
      </x:c>
      <x:c r="AZ57" s="23" t="n">
        <x:f>MAX(0,MIN('Activities'!L57,288)-MAX('Activities'!K57,282))</x:f>
        <x:v>0</x:v>
      </x:c>
      <x:c r="BA57" s="23" t="n">
        <x:f>MAX(0,MIN('Activities'!L57,294)-MAX('Activities'!K57,288))</x:f>
        <x:v>0</x:v>
      </x:c>
      <x:c r="BB57" s="23" t="n">
        <x:f>MAX(0,MIN('Activities'!L57,300)-MAX('Activities'!K57,294))</x:f>
        <x:v>0</x:v>
      </x:c>
      <x:c r="BC57" s="23" t="n">
        <x:f>MAX(0,MIN('Activities'!L57,306)-MAX('Activities'!K57,300))</x:f>
        <x:v>0</x:v>
      </x:c>
      <x:c r="BD57" s="23" t="n">
        <x:f>MAX(0,MIN('Activities'!L57,312)-MAX('Activities'!K57,306))</x:f>
        <x:v>0</x:v>
      </x:c>
      <x:c r="BE57" s="23" t="n">
        <x:f>MAX(0,MIN('Activities'!L57,318)-MAX('Activities'!K57,312))</x:f>
        <x:v>0</x:v>
      </x:c>
      <x:c r="BF57" s="23" t="n">
        <x:f>MAX(0,MIN('Activities'!L57,324)-MAX('Activities'!K57,318))</x:f>
        <x:v>4</x:v>
      </x:c>
      <x:c r="BG57" s="23" t="n">
        <x:f>MAX(0,MIN('Activities'!L57,330)-MAX('Activities'!K57,324))</x:f>
        <x:v>1</x:v>
      </x:c>
      <x:c r="BH57" s="23" t="n">
        <x:f>MAX(0,MIN('Activities'!L57,336)-MAX('Activities'!K57,330))</x:f>
        <x:v>0</x:v>
      </x:c>
      <x:c r="BI57" s="23" t="n">
        <x:f>MAX(0,MIN('Activities'!L57,342)-MAX('Activities'!K57,336))</x:f>
        <x:v>0</x:v>
      </x:c>
      <x:c r="BJ57" s="23" t="n">
        <x:f>MAX(0,MIN('Activities'!L57,348)-MAX('Activities'!K57,342))</x:f>
        <x:v>0</x:v>
      </x:c>
      <x:c r="BK57" s="23" t="n">
        <x:f>MAX(0,MIN('Activities'!L57,354)-MAX('Activities'!K57,348))</x:f>
        <x:v>0</x:v>
      </x:c>
      <x:c r="BL57" s="23" t="n">
        <x:f>MAX(0,MIN('Activities'!L57,360)-MAX('Activities'!K57,354))</x:f>
        <x:v>0</x:v>
      </x:c>
      <x:c r="BM57" s="23" t="n">
        <x:f>MAX(0,MIN('Activities'!L57,366)-MAX('Activities'!K57,360))</x:f>
        <x:v>0</x:v>
      </x:c>
      <x:c r="BN57" s="23" t="n">
        <x:f>MAX(0,MIN('Activities'!L57,372)-MAX('Activities'!K57,366))</x:f>
        <x:v>0</x:v>
      </x:c>
      <x:c r="BO57" s="23" t="n">
        <x:f>MAX(0,MIN('Activities'!L57,378)-MAX('Activities'!K57,372))</x:f>
        <x:v>0</x:v>
      </x:c>
      <x:c r="BP57" s="23" t="n">
        <x:f>MAX(0,MIN('Activities'!L57,384)-MAX('Activities'!K57,378))</x:f>
        <x:v>0</x:v>
      </x:c>
      <x:c r="BQ57" s="23" t="n">
        <x:f>MAX(0,MIN('Activities'!L57,390)-MAX('Activities'!K57,384))</x:f>
        <x:v>0</x:v>
      </x:c>
      <x:c r="BR57" s="23" t="n">
        <x:f>MAX(0,MIN('Activities'!L57,396)-MAX('Activities'!K57,390))</x:f>
        <x:v>0</x:v>
      </x:c>
      <x:c r="BS57" s="23" t="n">
        <x:f>MAX(0,MIN('Activities'!L57,402)-MAX('Activities'!K57,396))</x:f>
        <x:v>0</x:v>
      </x:c>
      <x:c r="BT57" s="23" t="n">
        <x:f>MAX(0,MIN('Activities'!L57,408)-MAX('Activities'!K57,402))</x:f>
        <x:v>0</x:v>
      </x:c>
      <x:c r="BU57" s="23" t="n">
        <x:f>MAX(0,MIN('Activities'!L57,414)-MAX('Activities'!K57,408))</x:f>
        <x:v>0</x:v>
      </x:c>
      <x:c r="BV57" s="23" t="n">
        <x:f>MAX(0,MIN('Activities'!L57,420)-MAX('Activities'!K57,414))</x:f>
        <x:v>0</x:v>
      </x:c>
      <x:c r="BW57" s="23" t="n">
        <x:f>MAX(0,MIN('Activities'!L57,426)-MAX('Activities'!K57,420))</x:f>
        <x:v>0</x:v>
      </x:c>
      <x:c r="BX57" s="23" t="n">
        <x:f>MAX(0,MIN('Activities'!L57,432)-MAX('Activities'!K57,426))</x:f>
        <x:v>0</x:v>
      </x:c>
      <x:c r="BY57" s="23" t="n">
        <x:f>MAX(0,MIN('Activities'!L57,438)-MAX('Activities'!K57,432))</x:f>
        <x:v>0</x:v>
      </x:c>
      <x:c r="BZ57" s="23" t="n">
        <x:f>MAX(0,MIN('Activities'!L57,444)-MAX('Activities'!K57,438))</x:f>
        <x:v>0</x:v>
      </x:c>
      <x:c r="CA57" s="23" t="n">
        <x:f>MAX(0,MIN('Activities'!L57,450)-MAX('Activities'!K57,444))</x:f>
        <x:v>0</x:v>
      </x:c>
      <x:c r="CB57" s="23" t="n">
        <x:f>MAX(0,MIN('Activities'!L57,456)-MAX('Activities'!K57,450))</x:f>
        <x:v>0</x:v>
      </x:c>
      <x:c r="CC57" s="23" t="n">
        <x:f>MAX(0,MIN('Activities'!L57,462)-MAX('Activities'!K57,456))</x:f>
        <x:v>0</x:v>
      </x:c>
      <x:c r="CD57" s="23" t="n">
        <x:f>MAX(0,MIN('Activities'!L57,468)-MAX('Activities'!K57,462))</x:f>
        <x:v>0</x:v>
      </x:c>
      <x:c r="CE57" s="23" t="n">
        <x:f>MAX(0,MIN('Activities'!L57,474)-MAX('Activities'!K57,468))</x:f>
        <x:v>0</x:v>
      </x:c>
      <x:c r="CF57" s="23" t="n">
        <x:f>MAX(0,MIN('Activities'!L57,480)-MAX('Activities'!K57,474))</x:f>
        <x:v>0</x:v>
      </x:c>
      <x:c r="CG57" s="23" t="n">
        <x:f>MAX(0,MIN('Activities'!L57,486)-MAX('Activities'!K57,480))</x:f>
        <x:v>0</x:v>
      </x:c>
      <x:c r="CH57" s="23" t="n">
        <x:f>MAX(0,MIN('Activities'!L57,492)-MAX('Activities'!K57,486))</x:f>
        <x:v>0</x:v>
      </x:c>
      <x:c r="CI57" s="23" t="n">
        <x:f>MAX(0,MIN('Activities'!L57,498)-MAX('Activities'!K57,492))</x:f>
        <x:v>0</x:v>
      </x:c>
      <x:c r="CJ57" s="23" t="n">
        <x:f>MAX(0,MIN('Activities'!L57,504)-MAX('Activities'!K57,498))</x:f>
        <x:v>0</x:v>
      </x:c>
      <x:c r="CK57" s="23" t="n">
        <x:f>MAX(0,MIN('Activities'!L57,510)-MAX('Activities'!K57,504))</x:f>
        <x:v>0</x:v>
      </x:c>
      <x:c r="CL57" s="23" t="n">
        <x:f>MAX(0,MIN('Activities'!L57,516)-MAX('Activities'!K57,510))</x:f>
        <x:v>0</x:v>
      </x:c>
      <x:c r="CM57" s="23" t="n">
        <x:f>MAX(0,MIN('Activities'!L57,522)-MAX('Activities'!K57,516))</x:f>
        <x:v>0</x:v>
      </x:c>
      <x:c r="CN57" s="23" t="n">
        <x:f>MAX(0,MIN('Activities'!L57,528)-MAX('Activities'!K57,522))</x:f>
        <x:v>0</x:v>
      </x:c>
      <x:c r="CO57" s="23" t="n">
        <x:f>MAX(0,MIN('Activities'!L57,534)-MAX('Activities'!K57,528))</x:f>
        <x:v>0</x:v>
      </x:c>
      <x:c r="CP57" s="23" t="n">
        <x:f>MAX(0,MIN('Activities'!L57,540)-MAX('Activities'!K57,534))</x:f>
        <x:v>0</x:v>
      </x:c>
      <x:c r="CQ57" s="23" t="n">
        <x:f>MAX(0,MIN('Activities'!L57,546)-MAX('Activities'!K57,540))</x:f>
        <x:v>0</x:v>
      </x:c>
      <x:c r="CR57" s="23" t="n">
        <x:f>MAX(0,MIN('Activities'!L57,552)-MAX('Activities'!K57,546))</x:f>
        <x:v>0</x:v>
      </x:c>
      <x:c r="CS57" s="23" t="n">
        <x:f>MAX(0,MIN('Activities'!L57,558)-MAX('Activities'!K57,552))</x:f>
        <x:v>0</x:v>
      </x:c>
      <x:c r="CT57" s="23" t="n">
        <x:f>MAX(0,MIN('Activities'!L57,564)-MAX('Activities'!K57,558))</x:f>
        <x:v>0</x:v>
      </x:c>
      <x:c r="CU57" s="23" t="n">
        <x:f>MAX(0,MIN('Activities'!L57,570)-MAX('Activities'!K57,564))</x:f>
        <x:v>0</x:v>
      </x:c>
      <x:c r="CV57" s="23" t="n">
        <x:f>MAX(0,MIN('Activities'!L57,576)-MAX('Activities'!K57,570))</x:f>
        <x:v>0</x:v>
      </x:c>
      <x:c r="CW57" s="23" t="n">
        <x:f>MAX(0,MIN('Activities'!L57,582)-MAX('Activities'!K57,576))</x:f>
        <x:v>0</x:v>
      </x:c>
      <x:c r="CX57" s="23" t="n">
        <x:f>MAX(0,MIN('Activities'!L57,588)-MAX('Activities'!K57,582))</x:f>
        <x:v>0</x:v>
      </x:c>
      <x:c r="CY57" s="23" t="n">
        <x:f>MAX(0,MIN('Activities'!L57,594)-MAX('Activities'!K57,588))</x:f>
        <x:v>0</x:v>
      </x:c>
      <x:c r="CZ57" s="23" t="n">
        <x:f>MAX(0,MIN('Activities'!L57,600)-MAX('Activities'!K57,594))</x:f>
        <x:v>0</x:v>
      </x:c>
      <x:c r="DA57" s="23" t="n">
        <x:f>MAX(0,MIN('Activities'!L57,606)-MAX('Activities'!K57,600))</x:f>
        <x:v>0</x:v>
      </x:c>
      <x:c r="DB57" s="23" t="n">
        <x:f>MAX(0,MIN('Activities'!L57,612)-MAX('Activities'!K57,606))</x:f>
        <x:v>0</x:v>
      </x:c>
      <x:c r="DC57" s="23" t="n">
        <x:f>MAX(0,MIN('Activities'!L57,618)-MAX('Activities'!K57,612))</x:f>
        <x:v>0</x:v>
      </x:c>
      <x:c r="DD57" s="23" t="n">
        <x:f>MAX(0,MIN('Activities'!L57,624)-MAX('Activities'!K57,618))</x:f>
        <x:v>0</x:v>
      </x:c>
      <x:c r="DE57" s="23" t="n">
        <x:f>MAX(0,MIN('Activities'!L57,630)-MAX('Activities'!K57,624))</x:f>
        <x:v>0</x:v>
      </x:c>
      <x:c r="DF57" s="23" t="n">
        <x:f>MAX(0,MIN('Activities'!L57,636)-MAX('Activities'!K57,630))</x:f>
        <x:v>0</x:v>
      </x:c>
    </x:row>
    <x:row r="58" ht="23" customHeight="1">
      <x:c r="A58" s="6" t="str">
        <x:v>T1-L10-C</x:v>
      </x:c>
      <x:c r="B58" s="6" t="str">
        <x:v>T1</x:v>
      </x:c>
      <x:c r="C58" s="6" t="str">
        <x:v>Concrete placement and finishing</x:v>
      </x:c>
      <x:c r="D58" s="6" t="str">
        <x:v>Concrete</x:v>
      </x:c>
      <x:c r="E58" s="22" t="n">
        <x:f>MAX(0,MIN('Activities'!L58,6)-MAX('Activities'!K58,0))</x:f>
        <x:v>0</x:v>
      </x:c>
      <x:c r="F58" s="22" t="n">
        <x:f>MAX(0,MIN('Activities'!L58,12)-MAX('Activities'!K58,6))</x:f>
        <x:v>0</x:v>
      </x:c>
      <x:c r="G58" s="22" t="n">
        <x:f>MAX(0,MIN('Activities'!L58,18)-MAX('Activities'!K58,12))</x:f>
        <x:v>0</x:v>
      </x:c>
      <x:c r="H58" s="22" t="n">
        <x:f>MAX(0,MIN('Activities'!L58,24)-MAX('Activities'!K58,18))</x:f>
        <x:v>0</x:v>
      </x:c>
      <x:c r="I58" s="22" t="n">
        <x:f>MAX(0,MIN('Activities'!L58,30)-MAX('Activities'!K58,24))</x:f>
        <x:v>0</x:v>
      </x:c>
      <x:c r="J58" s="22" t="n">
        <x:f>MAX(0,MIN('Activities'!L58,36)-MAX('Activities'!K58,30))</x:f>
        <x:v>0</x:v>
      </x:c>
      <x:c r="K58" s="22" t="n">
        <x:f>MAX(0,MIN('Activities'!L58,42)-MAX('Activities'!K58,36))</x:f>
        <x:v>0</x:v>
      </x:c>
      <x:c r="L58" s="22" t="n">
        <x:f>MAX(0,MIN('Activities'!L58,48)-MAX('Activities'!K58,42))</x:f>
        <x:v>0</x:v>
      </x:c>
      <x:c r="M58" s="22" t="n">
        <x:f>MAX(0,MIN('Activities'!L58,54)-MAX('Activities'!K58,48))</x:f>
        <x:v>0</x:v>
      </x:c>
      <x:c r="N58" s="22" t="n">
        <x:f>MAX(0,MIN('Activities'!L58,60)-MAX('Activities'!K58,54))</x:f>
        <x:v>0</x:v>
      </x:c>
      <x:c r="O58" s="22" t="n">
        <x:f>MAX(0,MIN('Activities'!L58,66)-MAX('Activities'!K58,60))</x:f>
        <x:v>0</x:v>
      </x:c>
      <x:c r="P58" s="22" t="n">
        <x:f>MAX(0,MIN('Activities'!L58,72)-MAX('Activities'!K58,66))</x:f>
        <x:v>0</x:v>
      </x:c>
      <x:c r="Q58" s="22" t="n">
        <x:f>MAX(0,MIN('Activities'!L58,78)-MAX('Activities'!K58,72))</x:f>
        <x:v>0</x:v>
      </x:c>
      <x:c r="R58" s="22" t="n">
        <x:f>MAX(0,MIN('Activities'!L58,84)-MAX('Activities'!K58,78))</x:f>
        <x:v>0</x:v>
      </x:c>
      <x:c r="S58" s="22" t="n">
        <x:f>MAX(0,MIN('Activities'!L58,90)-MAX('Activities'!K58,84))</x:f>
        <x:v>0</x:v>
      </x:c>
      <x:c r="T58" s="22" t="n">
        <x:f>MAX(0,MIN('Activities'!L58,96)-MAX('Activities'!K58,90))</x:f>
        <x:v>0</x:v>
      </x:c>
      <x:c r="U58" s="22" t="n">
        <x:f>MAX(0,MIN('Activities'!L58,102)-MAX('Activities'!K58,96))</x:f>
        <x:v>0</x:v>
      </x:c>
      <x:c r="V58" s="22" t="n">
        <x:f>MAX(0,MIN('Activities'!L58,108)-MAX('Activities'!K58,102))</x:f>
        <x:v>0</x:v>
      </x:c>
      <x:c r="W58" s="22" t="n">
        <x:f>MAX(0,MIN('Activities'!L58,114)-MAX('Activities'!K58,108))</x:f>
        <x:v>0</x:v>
      </x:c>
      <x:c r="X58" s="22" t="n">
        <x:f>MAX(0,MIN('Activities'!L58,120)-MAX('Activities'!K58,114))</x:f>
        <x:v>0</x:v>
      </x:c>
      <x:c r="Y58" s="22" t="n">
        <x:f>MAX(0,MIN('Activities'!L58,126)-MAX('Activities'!K58,120))</x:f>
        <x:v>0</x:v>
      </x:c>
      <x:c r="Z58" s="22" t="n">
        <x:f>MAX(0,MIN('Activities'!L58,132)-MAX('Activities'!K58,126))</x:f>
        <x:v>0</x:v>
      </x:c>
      <x:c r="AA58" s="22" t="n">
        <x:f>MAX(0,MIN('Activities'!L58,138)-MAX('Activities'!K58,132))</x:f>
        <x:v>0</x:v>
      </x:c>
      <x:c r="AB58" s="22" t="n">
        <x:f>MAX(0,MIN('Activities'!L58,144)-MAX('Activities'!K58,138))</x:f>
        <x:v>0</x:v>
      </x:c>
      <x:c r="AC58" s="22" t="n">
        <x:f>MAX(0,MIN('Activities'!L58,150)-MAX('Activities'!K58,144))</x:f>
        <x:v>0</x:v>
      </x:c>
      <x:c r="AD58" s="22" t="n">
        <x:f>MAX(0,MIN('Activities'!L58,156)-MAX('Activities'!K58,150))</x:f>
        <x:v>0</x:v>
      </x:c>
      <x:c r="AE58" s="22" t="n">
        <x:f>MAX(0,MIN('Activities'!L58,162)-MAX('Activities'!K58,156))</x:f>
        <x:v>0</x:v>
      </x:c>
      <x:c r="AF58" s="22" t="n">
        <x:f>MAX(0,MIN('Activities'!L58,168)-MAX('Activities'!K58,162))</x:f>
        <x:v>0</x:v>
      </x:c>
      <x:c r="AG58" s="22" t="n">
        <x:f>MAX(0,MIN('Activities'!L58,174)-MAX('Activities'!K58,168))</x:f>
        <x:v>0</x:v>
      </x:c>
      <x:c r="AH58" s="22" t="n">
        <x:f>MAX(0,MIN('Activities'!L58,180)-MAX('Activities'!K58,174))</x:f>
        <x:v>0</x:v>
      </x:c>
      <x:c r="AI58" s="22" t="n">
        <x:f>MAX(0,MIN('Activities'!L58,186)-MAX('Activities'!K58,180))</x:f>
        <x:v>0</x:v>
      </x:c>
      <x:c r="AJ58" s="22" t="n">
        <x:f>MAX(0,MIN('Activities'!L58,192)-MAX('Activities'!K58,186))</x:f>
        <x:v>0</x:v>
      </x:c>
      <x:c r="AK58" s="22" t="n">
        <x:f>MAX(0,MIN('Activities'!L58,198)-MAX('Activities'!K58,192))</x:f>
        <x:v>0</x:v>
      </x:c>
      <x:c r="AL58" s="22" t="n">
        <x:f>MAX(0,MIN('Activities'!L58,204)-MAX('Activities'!K58,198))</x:f>
        <x:v>0</x:v>
      </x:c>
      <x:c r="AM58" s="22" t="n">
        <x:f>MAX(0,MIN('Activities'!L58,210)-MAX('Activities'!K58,204))</x:f>
        <x:v>0</x:v>
      </x:c>
      <x:c r="AN58" s="22" t="n">
        <x:f>MAX(0,MIN('Activities'!L58,216)-MAX('Activities'!K58,210))</x:f>
        <x:v>0</x:v>
      </x:c>
      <x:c r="AO58" s="22" t="n">
        <x:f>MAX(0,MIN('Activities'!L58,222)-MAX('Activities'!K58,216))</x:f>
        <x:v>0</x:v>
      </x:c>
      <x:c r="AP58" s="22" t="n">
        <x:f>MAX(0,MIN('Activities'!L58,228)-MAX('Activities'!K58,222))</x:f>
        <x:v>0</x:v>
      </x:c>
      <x:c r="AQ58" s="22" t="n">
        <x:f>MAX(0,MIN('Activities'!L58,234)-MAX('Activities'!K58,228))</x:f>
        <x:v>0</x:v>
      </x:c>
      <x:c r="AR58" s="22" t="n">
        <x:f>MAX(0,MIN('Activities'!L58,240)-MAX('Activities'!K58,234))</x:f>
        <x:v>0</x:v>
      </x:c>
      <x:c r="AS58" s="22" t="n">
        <x:f>MAX(0,MIN('Activities'!L58,246)-MAX('Activities'!K58,240))</x:f>
        <x:v>0</x:v>
      </x:c>
      <x:c r="AT58" s="22" t="n">
        <x:f>MAX(0,MIN('Activities'!L58,252)-MAX('Activities'!K58,246))</x:f>
        <x:v>0</x:v>
      </x:c>
      <x:c r="AU58" s="22" t="n">
        <x:f>MAX(0,MIN('Activities'!L58,258)-MAX('Activities'!K58,252))</x:f>
        <x:v>0</x:v>
      </x:c>
      <x:c r="AV58" s="22" t="n">
        <x:f>MAX(0,MIN('Activities'!L58,264)-MAX('Activities'!K58,258))</x:f>
        <x:v>0</x:v>
      </x:c>
      <x:c r="AW58" s="22" t="n">
        <x:f>MAX(0,MIN('Activities'!L58,270)-MAX('Activities'!K58,264))</x:f>
        <x:v>0</x:v>
      </x:c>
      <x:c r="AX58" s="22" t="n">
        <x:f>MAX(0,MIN('Activities'!L58,276)-MAX('Activities'!K58,270))</x:f>
        <x:v>0</x:v>
      </x:c>
      <x:c r="AY58" s="22" t="n">
        <x:f>MAX(0,MIN('Activities'!L58,282)-MAX('Activities'!K58,276))</x:f>
        <x:v>0</x:v>
      </x:c>
      <x:c r="AZ58" s="22" t="n">
        <x:f>MAX(0,MIN('Activities'!L58,288)-MAX('Activities'!K58,282))</x:f>
        <x:v>0</x:v>
      </x:c>
      <x:c r="BA58" s="22" t="n">
        <x:f>MAX(0,MIN('Activities'!L58,294)-MAX('Activities'!K58,288))</x:f>
        <x:v>0</x:v>
      </x:c>
      <x:c r="BB58" s="22" t="n">
        <x:f>MAX(0,MIN('Activities'!L58,300)-MAX('Activities'!K58,294))</x:f>
        <x:v>0</x:v>
      </x:c>
      <x:c r="BC58" s="22" t="n">
        <x:f>MAX(0,MIN('Activities'!L58,306)-MAX('Activities'!K58,300))</x:f>
        <x:v>0</x:v>
      </x:c>
      <x:c r="BD58" s="22" t="n">
        <x:f>MAX(0,MIN('Activities'!L58,312)-MAX('Activities'!K58,306))</x:f>
        <x:v>0</x:v>
      </x:c>
      <x:c r="BE58" s="22" t="n">
        <x:f>MAX(0,MIN('Activities'!L58,318)-MAX('Activities'!K58,312))</x:f>
        <x:v>0</x:v>
      </x:c>
      <x:c r="BF58" s="22" t="n">
        <x:f>MAX(0,MIN('Activities'!L58,324)-MAX('Activities'!K58,318))</x:f>
        <x:v>0</x:v>
      </x:c>
      <x:c r="BG58" s="22" t="n">
        <x:f>MAX(0,MIN('Activities'!L58,330)-MAX('Activities'!K58,324))</x:f>
        <x:v>2</x:v>
      </x:c>
      <x:c r="BH58" s="22" t="n">
        <x:f>MAX(0,MIN('Activities'!L58,336)-MAX('Activities'!K58,330))</x:f>
        <x:v>0</x:v>
      </x:c>
      <x:c r="BI58" s="22" t="n">
        <x:f>MAX(0,MIN('Activities'!L58,342)-MAX('Activities'!K58,336))</x:f>
        <x:v>0</x:v>
      </x:c>
      <x:c r="BJ58" s="22" t="n">
        <x:f>MAX(0,MIN('Activities'!L58,348)-MAX('Activities'!K58,342))</x:f>
        <x:v>0</x:v>
      </x:c>
      <x:c r="BK58" s="22" t="n">
        <x:f>MAX(0,MIN('Activities'!L58,354)-MAX('Activities'!K58,348))</x:f>
        <x:v>0</x:v>
      </x:c>
      <x:c r="BL58" s="22" t="n">
        <x:f>MAX(0,MIN('Activities'!L58,360)-MAX('Activities'!K58,354))</x:f>
        <x:v>0</x:v>
      </x:c>
      <x:c r="BM58" s="22" t="n">
        <x:f>MAX(0,MIN('Activities'!L58,366)-MAX('Activities'!K58,360))</x:f>
        <x:v>0</x:v>
      </x:c>
      <x:c r="BN58" s="22" t="n">
        <x:f>MAX(0,MIN('Activities'!L58,372)-MAX('Activities'!K58,366))</x:f>
        <x:v>0</x:v>
      </x:c>
      <x:c r="BO58" s="22" t="n">
        <x:f>MAX(0,MIN('Activities'!L58,378)-MAX('Activities'!K58,372))</x:f>
        <x:v>0</x:v>
      </x:c>
      <x:c r="BP58" s="22" t="n">
        <x:f>MAX(0,MIN('Activities'!L58,384)-MAX('Activities'!K58,378))</x:f>
        <x:v>0</x:v>
      </x:c>
      <x:c r="BQ58" s="22" t="n">
        <x:f>MAX(0,MIN('Activities'!L58,390)-MAX('Activities'!K58,384))</x:f>
        <x:v>0</x:v>
      </x:c>
      <x:c r="BR58" s="22" t="n">
        <x:f>MAX(0,MIN('Activities'!L58,396)-MAX('Activities'!K58,390))</x:f>
        <x:v>0</x:v>
      </x:c>
      <x:c r="BS58" s="22" t="n">
        <x:f>MAX(0,MIN('Activities'!L58,402)-MAX('Activities'!K58,396))</x:f>
        <x:v>0</x:v>
      </x:c>
      <x:c r="BT58" s="22" t="n">
        <x:f>MAX(0,MIN('Activities'!L58,408)-MAX('Activities'!K58,402))</x:f>
        <x:v>0</x:v>
      </x:c>
      <x:c r="BU58" s="22" t="n">
        <x:f>MAX(0,MIN('Activities'!L58,414)-MAX('Activities'!K58,408))</x:f>
        <x:v>0</x:v>
      </x:c>
      <x:c r="BV58" s="22" t="n">
        <x:f>MAX(0,MIN('Activities'!L58,420)-MAX('Activities'!K58,414))</x:f>
        <x:v>0</x:v>
      </x:c>
      <x:c r="BW58" s="22" t="n">
        <x:f>MAX(0,MIN('Activities'!L58,426)-MAX('Activities'!K58,420))</x:f>
        <x:v>0</x:v>
      </x:c>
      <x:c r="BX58" s="22" t="n">
        <x:f>MAX(0,MIN('Activities'!L58,432)-MAX('Activities'!K58,426))</x:f>
        <x:v>0</x:v>
      </x:c>
      <x:c r="BY58" s="22" t="n">
        <x:f>MAX(0,MIN('Activities'!L58,438)-MAX('Activities'!K58,432))</x:f>
        <x:v>0</x:v>
      </x:c>
      <x:c r="BZ58" s="22" t="n">
        <x:f>MAX(0,MIN('Activities'!L58,444)-MAX('Activities'!K58,438))</x:f>
        <x:v>0</x:v>
      </x:c>
      <x:c r="CA58" s="22" t="n">
        <x:f>MAX(0,MIN('Activities'!L58,450)-MAX('Activities'!K58,444))</x:f>
        <x:v>0</x:v>
      </x:c>
      <x:c r="CB58" s="22" t="n">
        <x:f>MAX(0,MIN('Activities'!L58,456)-MAX('Activities'!K58,450))</x:f>
        <x:v>0</x:v>
      </x:c>
      <x:c r="CC58" s="22" t="n">
        <x:f>MAX(0,MIN('Activities'!L58,462)-MAX('Activities'!K58,456))</x:f>
        <x:v>0</x:v>
      </x:c>
      <x:c r="CD58" s="22" t="n">
        <x:f>MAX(0,MIN('Activities'!L58,468)-MAX('Activities'!K58,462))</x:f>
        <x:v>0</x:v>
      </x:c>
      <x:c r="CE58" s="22" t="n">
        <x:f>MAX(0,MIN('Activities'!L58,474)-MAX('Activities'!K58,468))</x:f>
        <x:v>0</x:v>
      </x:c>
      <x:c r="CF58" s="22" t="n">
        <x:f>MAX(0,MIN('Activities'!L58,480)-MAX('Activities'!K58,474))</x:f>
        <x:v>0</x:v>
      </x:c>
      <x:c r="CG58" s="22" t="n">
        <x:f>MAX(0,MIN('Activities'!L58,486)-MAX('Activities'!K58,480))</x:f>
        <x:v>0</x:v>
      </x:c>
      <x:c r="CH58" s="22" t="n">
        <x:f>MAX(0,MIN('Activities'!L58,492)-MAX('Activities'!K58,486))</x:f>
        <x:v>0</x:v>
      </x:c>
      <x:c r="CI58" s="22" t="n">
        <x:f>MAX(0,MIN('Activities'!L58,498)-MAX('Activities'!K58,492))</x:f>
        <x:v>0</x:v>
      </x:c>
      <x:c r="CJ58" s="22" t="n">
        <x:f>MAX(0,MIN('Activities'!L58,504)-MAX('Activities'!K58,498))</x:f>
        <x:v>0</x:v>
      </x:c>
      <x:c r="CK58" s="22" t="n">
        <x:f>MAX(0,MIN('Activities'!L58,510)-MAX('Activities'!K58,504))</x:f>
        <x:v>0</x:v>
      </x:c>
      <x:c r="CL58" s="22" t="n">
        <x:f>MAX(0,MIN('Activities'!L58,516)-MAX('Activities'!K58,510))</x:f>
        <x:v>0</x:v>
      </x:c>
      <x:c r="CM58" s="22" t="n">
        <x:f>MAX(0,MIN('Activities'!L58,522)-MAX('Activities'!K58,516))</x:f>
        <x:v>0</x:v>
      </x:c>
      <x:c r="CN58" s="22" t="n">
        <x:f>MAX(0,MIN('Activities'!L58,528)-MAX('Activities'!K58,522))</x:f>
        <x:v>0</x:v>
      </x:c>
      <x:c r="CO58" s="22" t="n">
        <x:f>MAX(0,MIN('Activities'!L58,534)-MAX('Activities'!K58,528))</x:f>
        <x:v>0</x:v>
      </x:c>
      <x:c r="CP58" s="22" t="n">
        <x:f>MAX(0,MIN('Activities'!L58,540)-MAX('Activities'!K58,534))</x:f>
        <x:v>0</x:v>
      </x:c>
      <x:c r="CQ58" s="22" t="n">
        <x:f>MAX(0,MIN('Activities'!L58,546)-MAX('Activities'!K58,540))</x:f>
        <x:v>0</x:v>
      </x:c>
      <x:c r="CR58" s="22" t="n">
        <x:f>MAX(0,MIN('Activities'!L58,552)-MAX('Activities'!K58,546))</x:f>
        <x:v>0</x:v>
      </x:c>
      <x:c r="CS58" s="22" t="n">
        <x:f>MAX(0,MIN('Activities'!L58,558)-MAX('Activities'!K58,552))</x:f>
        <x:v>0</x:v>
      </x:c>
      <x:c r="CT58" s="22" t="n">
        <x:f>MAX(0,MIN('Activities'!L58,564)-MAX('Activities'!K58,558))</x:f>
        <x:v>0</x:v>
      </x:c>
      <x:c r="CU58" s="22" t="n">
        <x:f>MAX(0,MIN('Activities'!L58,570)-MAX('Activities'!K58,564))</x:f>
        <x:v>0</x:v>
      </x:c>
      <x:c r="CV58" s="22" t="n">
        <x:f>MAX(0,MIN('Activities'!L58,576)-MAX('Activities'!K58,570))</x:f>
        <x:v>0</x:v>
      </x:c>
      <x:c r="CW58" s="22" t="n">
        <x:f>MAX(0,MIN('Activities'!L58,582)-MAX('Activities'!K58,576))</x:f>
        <x:v>0</x:v>
      </x:c>
      <x:c r="CX58" s="22" t="n">
        <x:f>MAX(0,MIN('Activities'!L58,588)-MAX('Activities'!K58,582))</x:f>
        <x:v>0</x:v>
      </x:c>
      <x:c r="CY58" s="22" t="n">
        <x:f>MAX(0,MIN('Activities'!L58,594)-MAX('Activities'!K58,588))</x:f>
        <x:v>0</x:v>
      </x:c>
      <x:c r="CZ58" s="22" t="n">
        <x:f>MAX(0,MIN('Activities'!L58,600)-MAX('Activities'!K58,594))</x:f>
        <x:v>0</x:v>
      </x:c>
      <x:c r="DA58" s="22" t="n">
        <x:f>MAX(0,MIN('Activities'!L58,606)-MAX('Activities'!K58,600))</x:f>
        <x:v>0</x:v>
      </x:c>
      <x:c r="DB58" s="22" t="n">
        <x:f>MAX(0,MIN('Activities'!L58,612)-MAX('Activities'!K58,606))</x:f>
        <x:v>0</x:v>
      </x:c>
      <x:c r="DC58" s="22" t="n">
        <x:f>MAX(0,MIN('Activities'!L58,618)-MAX('Activities'!K58,612))</x:f>
        <x:v>0</x:v>
      </x:c>
      <x:c r="DD58" s="22" t="n">
        <x:f>MAX(0,MIN('Activities'!L58,624)-MAX('Activities'!K58,618))</x:f>
        <x:v>0</x:v>
      </x:c>
      <x:c r="DE58" s="22" t="n">
        <x:f>MAX(0,MIN('Activities'!L58,630)-MAX('Activities'!K58,624))</x:f>
        <x:v>0</x:v>
      </x:c>
      <x:c r="DF58" s="22" t="n">
        <x:f>MAX(0,MIN('Activities'!L58,636)-MAX('Activities'!K58,630))</x:f>
        <x:v>0</x:v>
      </x:c>
    </x:row>
    <x:row r="59" ht="23" customHeight="1">
      <x:c r="A59" s="1" t="str">
        <x:v>T1-L10-H</x:v>
      </x:c>
      <x:c r="B59" s="1" t="str">
        <x:v>T1</x:v>
      </x:c>
      <x:c r="C59" s="1" t="str">
        <x:v>Curing and release hold point</x:v>
      </x:c>
      <x:c r="D59" s="1" t="str">
        <x:v>Site</x:v>
      </x:c>
      <x:c r="E59" s="23" t="n">
        <x:f>MAX(0,MIN('Activities'!L59,6)-MAX('Activities'!K59,0))</x:f>
        <x:v>0</x:v>
      </x:c>
      <x:c r="F59" s="23" t="n">
        <x:f>MAX(0,MIN('Activities'!L59,12)-MAX('Activities'!K59,6))</x:f>
        <x:v>0</x:v>
      </x:c>
      <x:c r="G59" s="23" t="n">
        <x:f>MAX(0,MIN('Activities'!L59,18)-MAX('Activities'!K59,12))</x:f>
        <x:v>0</x:v>
      </x:c>
      <x:c r="H59" s="23" t="n">
        <x:f>MAX(0,MIN('Activities'!L59,24)-MAX('Activities'!K59,18))</x:f>
        <x:v>0</x:v>
      </x:c>
      <x:c r="I59" s="23" t="n">
        <x:f>MAX(0,MIN('Activities'!L59,30)-MAX('Activities'!K59,24))</x:f>
        <x:v>0</x:v>
      </x:c>
      <x:c r="J59" s="23" t="n">
        <x:f>MAX(0,MIN('Activities'!L59,36)-MAX('Activities'!K59,30))</x:f>
        <x:v>0</x:v>
      </x:c>
      <x:c r="K59" s="23" t="n">
        <x:f>MAX(0,MIN('Activities'!L59,42)-MAX('Activities'!K59,36))</x:f>
        <x:v>0</x:v>
      </x:c>
      <x:c r="L59" s="23" t="n">
        <x:f>MAX(0,MIN('Activities'!L59,48)-MAX('Activities'!K59,42))</x:f>
        <x:v>0</x:v>
      </x:c>
      <x:c r="M59" s="23" t="n">
        <x:f>MAX(0,MIN('Activities'!L59,54)-MAX('Activities'!K59,48))</x:f>
        <x:v>0</x:v>
      </x:c>
      <x:c r="N59" s="23" t="n">
        <x:f>MAX(0,MIN('Activities'!L59,60)-MAX('Activities'!K59,54))</x:f>
        <x:v>0</x:v>
      </x:c>
      <x:c r="O59" s="23" t="n">
        <x:f>MAX(0,MIN('Activities'!L59,66)-MAX('Activities'!K59,60))</x:f>
        <x:v>0</x:v>
      </x:c>
      <x:c r="P59" s="23" t="n">
        <x:f>MAX(0,MIN('Activities'!L59,72)-MAX('Activities'!K59,66))</x:f>
        <x:v>0</x:v>
      </x:c>
      <x:c r="Q59" s="23" t="n">
        <x:f>MAX(0,MIN('Activities'!L59,78)-MAX('Activities'!K59,72))</x:f>
        <x:v>0</x:v>
      </x:c>
      <x:c r="R59" s="23" t="n">
        <x:f>MAX(0,MIN('Activities'!L59,84)-MAX('Activities'!K59,78))</x:f>
        <x:v>0</x:v>
      </x:c>
      <x:c r="S59" s="23" t="n">
        <x:f>MAX(0,MIN('Activities'!L59,90)-MAX('Activities'!K59,84))</x:f>
        <x:v>0</x:v>
      </x:c>
      <x:c r="T59" s="23" t="n">
        <x:f>MAX(0,MIN('Activities'!L59,96)-MAX('Activities'!K59,90))</x:f>
        <x:v>0</x:v>
      </x:c>
      <x:c r="U59" s="23" t="n">
        <x:f>MAX(0,MIN('Activities'!L59,102)-MAX('Activities'!K59,96))</x:f>
        <x:v>0</x:v>
      </x:c>
      <x:c r="V59" s="23" t="n">
        <x:f>MAX(0,MIN('Activities'!L59,108)-MAX('Activities'!K59,102))</x:f>
        <x:v>0</x:v>
      </x:c>
      <x:c r="W59" s="23" t="n">
        <x:f>MAX(0,MIN('Activities'!L59,114)-MAX('Activities'!K59,108))</x:f>
        <x:v>0</x:v>
      </x:c>
      <x:c r="X59" s="23" t="n">
        <x:f>MAX(0,MIN('Activities'!L59,120)-MAX('Activities'!K59,114))</x:f>
        <x:v>0</x:v>
      </x:c>
      <x:c r="Y59" s="23" t="n">
        <x:f>MAX(0,MIN('Activities'!L59,126)-MAX('Activities'!K59,120))</x:f>
        <x:v>0</x:v>
      </x:c>
      <x:c r="Z59" s="23" t="n">
        <x:f>MAX(0,MIN('Activities'!L59,132)-MAX('Activities'!K59,126))</x:f>
        <x:v>0</x:v>
      </x:c>
      <x:c r="AA59" s="23" t="n">
        <x:f>MAX(0,MIN('Activities'!L59,138)-MAX('Activities'!K59,132))</x:f>
        <x:v>0</x:v>
      </x:c>
      <x:c r="AB59" s="23" t="n">
        <x:f>MAX(0,MIN('Activities'!L59,144)-MAX('Activities'!K59,138))</x:f>
        <x:v>0</x:v>
      </x:c>
      <x:c r="AC59" s="23" t="n">
        <x:f>MAX(0,MIN('Activities'!L59,150)-MAX('Activities'!K59,144))</x:f>
        <x:v>0</x:v>
      </x:c>
      <x:c r="AD59" s="23" t="n">
        <x:f>MAX(0,MIN('Activities'!L59,156)-MAX('Activities'!K59,150))</x:f>
        <x:v>0</x:v>
      </x:c>
      <x:c r="AE59" s="23" t="n">
        <x:f>MAX(0,MIN('Activities'!L59,162)-MAX('Activities'!K59,156))</x:f>
        <x:v>0</x:v>
      </x:c>
      <x:c r="AF59" s="23" t="n">
        <x:f>MAX(0,MIN('Activities'!L59,168)-MAX('Activities'!K59,162))</x:f>
        <x:v>0</x:v>
      </x:c>
      <x:c r="AG59" s="23" t="n">
        <x:f>MAX(0,MIN('Activities'!L59,174)-MAX('Activities'!K59,168))</x:f>
        <x:v>0</x:v>
      </x:c>
      <x:c r="AH59" s="23" t="n">
        <x:f>MAX(0,MIN('Activities'!L59,180)-MAX('Activities'!K59,174))</x:f>
        <x:v>0</x:v>
      </x:c>
      <x:c r="AI59" s="23" t="n">
        <x:f>MAX(0,MIN('Activities'!L59,186)-MAX('Activities'!K59,180))</x:f>
        <x:v>0</x:v>
      </x:c>
      <x:c r="AJ59" s="23" t="n">
        <x:f>MAX(0,MIN('Activities'!L59,192)-MAX('Activities'!K59,186))</x:f>
        <x:v>0</x:v>
      </x:c>
      <x:c r="AK59" s="23" t="n">
        <x:f>MAX(0,MIN('Activities'!L59,198)-MAX('Activities'!K59,192))</x:f>
        <x:v>0</x:v>
      </x:c>
      <x:c r="AL59" s="23" t="n">
        <x:f>MAX(0,MIN('Activities'!L59,204)-MAX('Activities'!K59,198))</x:f>
        <x:v>0</x:v>
      </x:c>
      <x:c r="AM59" s="23" t="n">
        <x:f>MAX(0,MIN('Activities'!L59,210)-MAX('Activities'!K59,204))</x:f>
        <x:v>0</x:v>
      </x:c>
      <x:c r="AN59" s="23" t="n">
        <x:f>MAX(0,MIN('Activities'!L59,216)-MAX('Activities'!K59,210))</x:f>
        <x:v>0</x:v>
      </x:c>
      <x:c r="AO59" s="23" t="n">
        <x:f>MAX(0,MIN('Activities'!L59,222)-MAX('Activities'!K59,216))</x:f>
        <x:v>0</x:v>
      </x:c>
      <x:c r="AP59" s="23" t="n">
        <x:f>MAX(0,MIN('Activities'!L59,228)-MAX('Activities'!K59,222))</x:f>
        <x:v>0</x:v>
      </x:c>
      <x:c r="AQ59" s="23" t="n">
        <x:f>MAX(0,MIN('Activities'!L59,234)-MAX('Activities'!K59,228))</x:f>
        <x:v>0</x:v>
      </x:c>
      <x:c r="AR59" s="23" t="n">
        <x:f>MAX(0,MIN('Activities'!L59,240)-MAX('Activities'!K59,234))</x:f>
        <x:v>0</x:v>
      </x:c>
      <x:c r="AS59" s="23" t="n">
        <x:f>MAX(0,MIN('Activities'!L59,246)-MAX('Activities'!K59,240))</x:f>
        <x:v>0</x:v>
      </x:c>
      <x:c r="AT59" s="23" t="n">
        <x:f>MAX(0,MIN('Activities'!L59,252)-MAX('Activities'!K59,246))</x:f>
        <x:v>0</x:v>
      </x:c>
      <x:c r="AU59" s="23" t="n">
        <x:f>MAX(0,MIN('Activities'!L59,258)-MAX('Activities'!K59,252))</x:f>
        <x:v>0</x:v>
      </x:c>
      <x:c r="AV59" s="23" t="n">
        <x:f>MAX(0,MIN('Activities'!L59,264)-MAX('Activities'!K59,258))</x:f>
        <x:v>0</x:v>
      </x:c>
      <x:c r="AW59" s="23" t="n">
        <x:f>MAX(0,MIN('Activities'!L59,270)-MAX('Activities'!K59,264))</x:f>
        <x:v>0</x:v>
      </x:c>
      <x:c r="AX59" s="23" t="n">
        <x:f>MAX(0,MIN('Activities'!L59,276)-MAX('Activities'!K59,270))</x:f>
        <x:v>0</x:v>
      </x:c>
      <x:c r="AY59" s="23" t="n">
        <x:f>MAX(0,MIN('Activities'!L59,282)-MAX('Activities'!K59,276))</x:f>
        <x:v>0</x:v>
      </x:c>
      <x:c r="AZ59" s="23" t="n">
        <x:f>MAX(0,MIN('Activities'!L59,288)-MAX('Activities'!K59,282))</x:f>
        <x:v>0</x:v>
      </x:c>
      <x:c r="BA59" s="23" t="n">
        <x:f>MAX(0,MIN('Activities'!L59,294)-MAX('Activities'!K59,288))</x:f>
        <x:v>0</x:v>
      </x:c>
      <x:c r="BB59" s="23" t="n">
        <x:f>MAX(0,MIN('Activities'!L59,300)-MAX('Activities'!K59,294))</x:f>
        <x:v>0</x:v>
      </x:c>
      <x:c r="BC59" s="23" t="n">
        <x:f>MAX(0,MIN('Activities'!L59,306)-MAX('Activities'!K59,300))</x:f>
        <x:v>0</x:v>
      </x:c>
      <x:c r="BD59" s="23" t="n">
        <x:f>MAX(0,MIN('Activities'!L59,312)-MAX('Activities'!K59,306))</x:f>
        <x:v>0</x:v>
      </x:c>
      <x:c r="BE59" s="23" t="n">
        <x:f>MAX(0,MIN('Activities'!L59,318)-MAX('Activities'!K59,312))</x:f>
        <x:v>0</x:v>
      </x:c>
      <x:c r="BF59" s="23" t="n">
        <x:f>MAX(0,MIN('Activities'!L59,324)-MAX('Activities'!K59,318))</x:f>
        <x:v>0</x:v>
      </x:c>
      <x:c r="BG59" s="23" t="n">
        <x:f>MAX(0,MIN('Activities'!L59,330)-MAX('Activities'!K59,324))</x:f>
        <x:v>3</x:v>
      </x:c>
      <x:c r="BH59" s="23" t="n">
        <x:f>MAX(0,MIN('Activities'!L59,336)-MAX('Activities'!K59,330))</x:f>
        <x:v>2</x:v>
      </x:c>
      <x:c r="BI59" s="23" t="n">
        <x:f>MAX(0,MIN('Activities'!L59,342)-MAX('Activities'!K59,336))</x:f>
        <x:v>0</x:v>
      </x:c>
      <x:c r="BJ59" s="23" t="n">
        <x:f>MAX(0,MIN('Activities'!L59,348)-MAX('Activities'!K59,342))</x:f>
        <x:v>0</x:v>
      </x:c>
      <x:c r="BK59" s="23" t="n">
        <x:f>MAX(0,MIN('Activities'!L59,354)-MAX('Activities'!K59,348))</x:f>
        <x:v>0</x:v>
      </x:c>
      <x:c r="BL59" s="23" t="n">
        <x:f>MAX(0,MIN('Activities'!L59,360)-MAX('Activities'!K59,354))</x:f>
        <x:v>0</x:v>
      </x:c>
      <x:c r="BM59" s="23" t="n">
        <x:f>MAX(0,MIN('Activities'!L59,366)-MAX('Activities'!K59,360))</x:f>
        <x:v>0</x:v>
      </x:c>
      <x:c r="BN59" s="23" t="n">
        <x:f>MAX(0,MIN('Activities'!L59,372)-MAX('Activities'!K59,366))</x:f>
        <x:v>0</x:v>
      </x:c>
      <x:c r="BO59" s="23" t="n">
        <x:f>MAX(0,MIN('Activities'!L59,378)-MAX('Activities'!K59,372))</x:f>
        <x:v>0</x:v>
      </x:c>
      <x:c r="BP59" s="23" t="n">
        <x:f>MAX(0,MIN('Activities'!L59,384)-MAX('Activities'!K59,378))</x:f>
        <x:v>0</x:v>
      </x:c>
      <x:c r="BQ59" s="23" t="n">
        <x:f>MAX(0,MIN('Activities'!L59,390)-MAX('Activities'!K59,384))</x:f>
        <x:v>0</x:v>
      </x:c>
      <x:c r="BR59" s="23" t="n">
        <x:f>MAX(0,MIN('Activities'!L59,396)-MAX('Activities'!K59,390))</x:f>
        <x:v>0</x:v>
      </x:c>
      <x:c r="BS59" s="23" t="n">
        <x:f>MAX(0,MIN('Activities'!L59,402)-MAX('Activities'!K59,396))</x:f>
        <x:v>0</x:v>
      </x:c>
      <x:c r="BT59" s="23" t="n">
        <x:f>MAX(0,MIN('Activities'!L59,408)-MAX('Activities'!K59,402))</x:f>
        <x:v>0</x:v>
      </x:c>
      <x:c r="BU59" s="23" t="n">
        <x:f>MAX(0,MIN('Activities'!L59,414)-MAX('Activities'!K59,408))</x:f>
        <x:v>0</x:v>
      </x:c>
      <x:c r="BV59" s="23" t="n">
        <x:f>MAX(0,MIN('Activities'!L59,420)-MAX('Activities'!K59,414))</x:f>
        <x:v>0</x:v>
      </x:c>
      <x:c r="BW59" s="23" t="n">
        <x:f>MAX(0,MIN('Activities'!L59,426)-MAX('Activities'!K59,420))</x:f>
        <x:v>0</x:v>
      </x:c>
      <x:c r="BX59" s="23" t="n">
        <x:f>MAX(0,MIN('Activities'!L59,432)-MAX('Activities'!K59,426))</x:f>
        <x:v>0</x:v>
      </x:c>
      <x:c r="BY59" s="23" t="n">
        <x:f>MAX(0,MIN('Activities'!L59,438)-MAX('Activities'!K59,432))</x:f>
        <x:v>0</x:v>
      </x:c>
      <x:c r="BZ59" s="23" t="n">
        <x:f>MAX(0,MIN('Activities'!L59,444)-MAX('Activities'!K59,438))</x:f>
        <x:v>0</x:v>
      </x:c>
      <x:c r="CA59" s="23" t="n">
        <x:f>MAX(0,MIN('Activities'!L59,450)-MAX('Activities'!K59,444))</x:f>
        <x:v>0</x:v>
      </x:c>
      <x:c r="CB59" s="23" t="n">
        <x:f>MAX(0,MIN('Activities'!L59,456)-MAX('Activities'!K59,450))</x:f>
        <x:v>0</x:v>
      </x:c>
      <x:c r="CC59" s="23" t="n">
        <x:f>MAX(0,MIN('Activities'!L59,462)-MAX('Activities'!K59,456))</x:f>
        <x:v>0</x:v>
      </x:c>
      <x:c r="CD59" s="23" t="n">
        <x:f>MAX(0,MIN('Activities'!L59,468)-MAX('Activities'!K59,462))</x:f>
        <x:v>0</x:v>
      </x:c>
      <x:c r="CE59" s="23" t="n">
        <x:f>MAX(0,MIN('Activities'!L59,474)-MAX('Activities'!K59,468))</x:f>
        <x:v>0</x:v>
      </x:c>
      <x:c r="CF59" s="23" t="n">
        <x:f>MAX(0,MIN('Activities'!L59,480)-MAX('Activities'!K59,474))</x:f>
        <x:v>0</x:v>
      </x:c>
      <x:c r="CG59" s="23" t="n">
        <x:f>MAX(0,MIN('Activities'!L59,486)-MAX('Activities'!K59,480))</x:f>
        <x:v>0</x:v>
      </x:c>
      <x:c r="CH59" s="23" t="n">
        <x:f>MAX(0,MIN('Activities'!L59,492)-MAX('Activities'!K59,486))</x:f>
        <x:v>0</x:v>
      </x:c>
      <x:c r="CI59" s="23" t="n">
        <x:f>MAX(0,MIN('Activities'!L59,498)-MAX('Activities'!K59,492))</x:f>
        <x:v>0</x:v>
      </x:c>
      <x:c r="CJ59" s="23" t="n">
        <x:f>MAX(0,MIN('Activities'!L59,504)-MAX('Activities'!K59,498))</x:f>
        <x:v>0</x:v>
      </x:c>
      <x:c r="CK59" s="23" t="n">
        <x:f>MAX(0,MIN('Activities'!L59,510)-MAX('Activities'!K59,504))</x:f>
        <x:v>0</x:v>
      </x:c>
      <x:c r="CL59" s="23" t="n">
        <x:f>MAX(0,MIN('Activities'!L59,516)-MAX('Activities'!K59,510))</x:f>
        <x:v>0</x:v>
      </x:c>
      <x:c r="CM59" s="23" t="n">
        <x:f>MAX(0,MIN('Activities'!L59,522)-MAX('Activities'!K59,516))</x:f>
        <x:v>0</x:v>
      </x:c>
      <x:c r="CN59" s="23" t="n">
        <x:f>MAX(0,MIN('Activities'!L59,528)-MAX('Activities'!K59,522))</x:f>
        <x:v>0</x:v>
      </x:c>
      <x:c r="CO59" s="23" t="n">
        <x:f>MAX(0,MIN('Activities'!L59,534)-MAX('Activities'!K59,528))</x:f>
        <x:v>0</x:v>
      </x:c>
      <x:c r="CP59" s="23" t="n">
        <x:f>MAX(0,MIN('Activities'!L59,540)-MAX('Activities'!K59,534))</x:f>
        <x:v>0</x:v>
      </x:c>
      <x:c r="CQ59" s="23" t="n">
        <x:f>MAX(0,MIN('Activities'!L59,546)-MAX('Activities'!K59,540))</x:f>
        <x:v>0</x:v>
      </x:c>
      <x:c r="CR59" s="23" t="n">
        <x:f>MAX(0,MIN('Activities'!L59,552)-MAX('Activities'!K59,546))</x:f>
        <x:v>0</x:v>
      </x:c>
      <x:c r="CS59" s="23" t="n">
        <x:f>MAX(0,MIN('Activities'!L59,558)-MAX('Activities'!K59,552))</x:f>
        <x:v>0</x:v>
      </x:c>
      <x:c r="CT59" s="23" t="n">
        <x:f>MAX(0,MIN('Activities'!L59,564)-MAX('Activities'!K59,558))</x:f>
        <x:v>0</x:v>
      </x:c>
      <x:c r="CU59" s="23" t="n">
        <x:f>MAX(0,MIN('Activities'!L59,570)-MAX('Activities'!K59,564))</x:f>
        <x:v>0</x:v>
      </x:c>
      <x:c r="CV59" s="23" t="n">
        <x:f>MAX(0,MIN('Activities'!L59,576)-MAX('Activities'!K59,570))</x:f>
        <x:v>0</x:v>
      </x:c>
      <x:c r="CW59" s="23" t="n">
        <x:f>MAX(0,MIN('Activities'!L59,582)-MAX('Activities'!K59,576))</x:f>
        <x:v>0</x:v>
      </x:c>
      <x:c r="CX59" s="23" t="n">
        <x:f>MAX(0,MIN('Activities'!L59,588)-MAX('Activities'!K59,582))</x:f>
        <x:v>0</x:v>
      </x:c>
      <x:c r="CY59" s="23" t="n">
        <x:f>MAX(0,MIN('Activities'!L59,594)-MAX('Activities'!K59,588))</x:f>
        <x:v>0</x:v>
      </x:c>
      <x:c r="CZ59" s="23" t="n">
        <x:f>MAX(0,MIN('Activities'!L59,600)-MAX('Activities'!K59,594))</x:f>
        <x:v>0</x:v>
      </x:c>
      <x:c r="DA59" s="23" t="n">
        <x:f>MAX(0,MIN('Activities'!L59,606)-MAX('Activities'!K59,600))</x:f>
        <x:v>0</x:v>
      </x:c>
      <x:c r="DB59" s="23" t="n">
        <x:f>MAX(0,MIN('Activities'!L59,612)-MAX('Activities'!K59,606))</x:f>
        <x:v>0</x:v>
      </x:c>
      <x:c r="DC59" s="23" t="n">
        <x:f>MAX(0,MIN('Activities'!L59,618)-MAX('Activities'!K59,612))</x:f>
        <x:v>0</x:v>
      </x:c>
      <x:c r="DD59" s="23" t="n">
        <x:f>MAX(0,MIN('Activities'!L59,624)-MAX('Activities'!K59,618))</x:f>
        <x:v>0</x:v>
      </x:c>
      <x:c r="DE59" s="23" t="n">
        <x:f>MAX(0,MIN('Activities'!L59,630)-MAX('Activities'!K59,624))</x:f>
        <x:v>0</x:v>
      </x:c>
      <x:c r="DF59" s="23" t="n">
        <x:f>MAX(0,MIN('Activities'!L59,636)-MAX('Activities'!K59,630))</x:f>
        <x:v>0</x:v>
      </x:c>
    </x:row>
    <x:row r="60" ht="23" customHeight="1">
      <x:c r="A60" s="6" t="str">
        <x:v>T1-L11-F</x:v>
      </x:c>
      <x:c r="B60" s="6" t="str">
        <x:v>T1</x:v>
      </x:c>
      <x:c r="C60" s="6" t="str">
        <x:v>Columns, core and deck formwork</x:v>
      </x:c>
      <x:c r="D60" s="6" t="str">
        <x:v>Formwork</x:v>
      </x:c>
      <x:c r="E60" s="22" t="n">
        <x:f>MAX(0,MIN('Activities'!L60,6)-MAX('Activities'!K60,0))</x:f>
        <x:v>0</x:v>
      </x:c>
      <x:c r="F60" s="22" t="n">
        <x:f>MAX(0,MIN('Activities'!L60,12)-MAX('Activities'!K60,6))</x:f>
        <x:v>0</x:v>
      </x:c>
      <x:c r="G60" s="22" t="n">
        <x:f>MAX(0,MIN('Activities'!L60,18)-MAX('Activities'!K60,12))</x:f>
        <x:v>0</x:v>
      </x:c>
      <x:c r="H60" s="22" t="n">
        <x:f>MAX(0,MIN('Activities'!L60,24)-MAX('Activities'!K60,18))</x:f>
        <x:v>0</x:v>
      </x:c>
      <x:c r="I60" s="22" t="n">
        <x:f>MAX(0,MIN('Activities'!L60,30)-MAX('Activities'!K60,24))</x:f>
        <x:v>0</x:v>
      </x:c>
      <x:c r="J60" s="22" t="n">
        <x:f>MAX(0,MIN('Activities'!L60,36)-MAX('Activities'!K60,30))</x:f>
        <x:v>0</x:v>
      </x:c>
      <x:c r="K60" s="22" t="n">
        <x:f>MAX(0,MIN('Activities'!L60,42)-MAX('Activities'!K60,36))</x:f>
        <x:v>0</x:v>
      </x:c>
      <x:c r="L60" s="22" t="n">
        <x:f>MAX(0,MIN('Activities'!L60,48)-MAX('Activities'!K60,42))</x:f>
        <x:v>0</x:v>
      </x:c>
      <x:c r="M60" s="22" t="n">
        <x:f>MAX(0,MIN('Activities'!L60,54)-MAX('Activities'!K60,48))</x:f>
        <x:v>0</x:v>
      </x:c>
      <x:c r="N60" s="22" t="n">
        <x:f>MAX(0,MIN('Activities'!L60,60)-MAX('Activities'!K60,54))</x:f>
        <x:v>0</x:v>
      </x:c>
      <x:c r="O60" s="22" t="n">
        <x:f>MAX(0,MIN('Activities'!L60,66)-MAX('Activities'!K60,60))</x:f>
        <x:v>0</x:v>
      </x:c>
      <x:c r="P60" s="22" t="n">
        <x:f>MAX(0,MIN('Activities'!L60,72)-MAX('Activities'!K60,66))</x:f>
        <x:v>0</x:v>
      </x:c>
      <x:c r="Q60" s="22" t="n">
        <x:f>MAX(0,MIN('Activities'!L60,78)-MAX('Activities'!K60,72))</x:f>
        <x:v>0</x:v>
      </x:c>
      <x:c r="R60" s="22" t="n">
        <x:f>MAX(0,MIN('Activities'!L60,84)-MAX('Activities'!K60,78))</x:f>
        <x:v>0</x:v>
      </x:c>
      <x:c r="S60" s="22" t="n">
        <x:f>MAX(0,MIN('Activities'!L60,90)-MAX('Activities'!K60,84))</x:f>
        <x:v>0</x:v>
      </x:c>
      <x:c r="T60" s="22" t="n">
        <x:f>MAX(0,MIN('Activities'!L60,96)-MAX('Activities'!K60,90))</x:f>
        <x:v>0</x:v>
      </x:c>
      <x:c r="U60" s="22" t="n">
        <x:f>MAX(0,MIN('Activities'!L60,102)-MAX('Activities'!K60,96))</x:f>
        <x:v>0</x:v>
      </x:c>
      <x:c r="V60" s="22" t="n">
        <x:f>MAX(0,MIN('Activities'!L60,108)-MAX('Activities'!K60,102))</x:f>
        <x:v>0</x:v>
      </x:c>
      <x:c r="W60" s="22" t="n">
        <x:f>MAX(0,MIN('Activities'!L60,114)-MAX('Activities'!K60,108))</x:f>
        <x:v>0</x:v>
      </x:c>
      <x:c r="X60" s="22" t="n">
        <x:f>MAX(0,MIN('Activities'!L60,120)-MAX('Activities'!K60,114))</x:f>
        <x:v>0</x:v>
      </x:c>
      <x:c r="Y60" s="22" t="n">
        <x:f>MAX(0,MIN('Activities'!L60,126)-MAX('Activities'!K60,120))</x:f>
        <x:v>0</x:v>
      </x:c>
      <x:c r="Z60" s="22" t="n">
        <x:f>MAX(0,MIN('Activities'!L60,132)-MAX('Activities'!K60,126))</x:f>
        <x:v>0</x:v>
      </x:c>
      <x:c r="AA60" s="22" t="n">
        <x:f>MAX(0,MIN('Activities'!L60,138)-MAX('Activities'!K60,132))</x:f>
        <x:v>0</x:v>
      </x:c>
      <x:c r="AB60" s="22" t="n">
        <x:f>MAX(0,MIN('Activities'!L60,144)-MAX('Activities'!K60,138))</x:f>
        <x:v>0</x:v>
      </x:c>
      <x:c r="AC60" s="22" t="n">
        <x:f>MAX(0,MIN('Activities'!L60,150)-MAX('Activities'!K60,144))</x:f>
        <x:v>0</x:v>
      </x:c>
      <x:c r="AD60" s="22" t="n">
        <x:f>MAX(0,MIN('Activities'!L60,156)-MAX('Activities'!K60,150))</x:f>
        <x:v>0</x:v>
      </x:c>
      <x:c r="AE60" s="22" t="n">
        <x:f>MAX(0,MIN('Activities'!L60,162)-MAX('Activities'!K60,156))</x:f>
        <x:v>0</x:v>
      </x:c>
      <x:c r="AF60" s="22" t="n">
        <x:f>MAX(0,MIN('Activities'!L60,168)-MAX('Activities'!K60,162))</x:f>
        <x:v>0</x:v>
      </x:c>
      <x:c r="AG60" s="22" t="n">
        <x:f>MAX(0,MIN('Activities'!L60,174)-MAX('Activities'!K60,168))</x:f>
        <x:v>0</x:v>
      </x:c>
      <x:c r="AH60" s="22" t="n">
        <x:f>MAX(0,MIN('Activities'!L60,180)-MAX('Activities'!K60,174))</x:f>
        <x:v>0</x:v>
      </x:c>
      <x:c r="AI60" s="22" t="n">
        <x:f>MAX(0,MIN('Activities'!L60,186)-MAX('Activities'!K60,180))</x:f>
        <x:v>0</x:v>
      </x:c>
      <x:c r="AJ60" s="22" t="n">
        <x:f>MAX(0,MIN('Activities'!L60,192)-MAX('Activities'!K60,186))</x:f>
        <x:v>0</x:v>
      </x:c>
      <x:c r="AK60" s="22" t="n">
        <x:f>MAX(0,MIN('Activities'!L60,198)-MAX('Activities'!K60,192))</x:f>
        <x:v>0</x:v>
      </x:c>
      <x:c r="AL60" s="22" t="n">
        <x:f>MAX(0,MIN('Activities'!L60,204)-MAX('Activities'!K60,198))</x:f>
        <x:v>0</x:v>
      </x:c>
      <x:c r="AM60" s="22" t="n">
        <x:f>MAX(0,MIN('Activities'!L60,210)-MAX('Activities'!K60,204))</x:f>
        <x:v>0</x:v>
      </x:c>
      <x:c r="AN60" s="22" t="n">
        <x:f>MAX(0,MIN('Activities'!L60,216)-MAX('Activities'!K60,210))</x:f>
        <x:v>0</x:v>
      </x:c>
      <x:c r="AO60" s="22" t="n">
        <x:f>MAX(0,MIN('Activities'!L60,222)-MAX('Activities'!K60,216))</x:f>
        <x:v>0</x:v>
      </x:c>
      <x:c r="AP60" s="22" t="n">
        <x:f>MAX(0,MIN('Activities'!L60,228)-MAX('Activities'!K60,222))</x:f>
        <x:v>0</x:v>
      </x:c>
      <x:c r="AQ60" s="22" t="n">
        <x:f>MAX(0,MIN('Activities'!L60,234)-MAX('Activities'!K60,228))</x:f>
        <x:v>0</x:v>
      </x:c>
      <x:c r="AR60" s="22" t="n">
        <x:f>MAX(0,MIN('Activities'!L60,240)-MAX('Activities'!K60,234))</x:f>
        <x:v>0</x:v>
      </x:c>
      <x:c r="AS60" s="22" t="n">
        <x:f>MAX(0,MIN('Activities'!L60,246)-MAX('Activities'!K60,240))</x:f>
        <x:v>0</x:v>
      </x:c>
      <x:c r="AT60" s="22" t="n">
        <x:f>MAX(0,MIN('Activities'!L60,252)-MAX('Activities'!K60,246))</x:f>
        <x:v>0</x:v>
      </x:c>
      <x:c r="AU60" s="22" t="n">
        <x:f>MAX(0,MIN('Activities'!L60,258)-MAX('Activities'!K60,252))</x:f>
        <x:v>0</x:v>
      </x:c>
      <x:c r="AV60" s="22" t="n">
        <x:f>MAX(0,MIN('Activities'!L60,264)-MAX('Activities'!K60,258))</x:f>
        <x:v>0</x:v>
      </x:c>
      <x:c r="AW60" s="22" t="n">
        <x:f>MAX(0,MIN('Activities'!L60,270)-MAX('Activities'!K60,264))</x:f>
        <x:v>0</x:v>
      </x:c>
      <x:c r="AX60" s="22" t="n">
        <x:f>MAX(0,MIN('Activities'!L60,276)-MAX('Activities'!K60,270))</x:f>
        <x:v>0</x:v>
      </x:c>
      <x:c r="AY60" s="22" t="n">
        <x:f>MAX(0,MIN('Activities'!L60,282)-MAX('Activities'!K60,276))</x:f>
        <x:v>0</x:v>
      </x:c>
      <x:c r="AZ60" s="22" t="n">
        <x:f>MAX(0,MIN('Activities'!L60,288)-MAX('Activities'!K60,282))</x:f>
        <x:v>0</x:v>
      </x:c>
      <x:c r="BA60" s="22" t="n">
        <x:f>MAX(0,MIN('Activities'!L60,294)-MAX('Activities'!K60,288))</x:f>
        <x:v>0</x:v>
      </x:c>
      <x:c r="BB60" s="22" t="n">
        <x:f>MAX(0,MIN('Activities'!L60,300)-MAX('Activities'!K60,294))</x:f>
        <x:v>0</x:v>
      </x:c>
      <x:c r="BC60" s="22" t="n">
        <x:f>MAX(0,MIN('Activities'!L60,306)-MAX('Activities'!K60,300))</x:f>
        <x:v>0</x:v>
      </x:c>
      <x:c r="BD60" s="22" t="n">
        <x:f>MAX(0,MIN('Activities'!L60,312)-MAX('Activities'!K60,306))</x:f>
        <x:v>0</x:v>
      </x:c>
      <x:c r="BE60" s="22" t="n">
        <x:f>MAX(0,MIN('Activities'!L60,318)-MAX('Activities'!K60,312))</x:f>
        <x:v>0</x:v>
      </x:c>
      <x:c r="BF60" s="22" t="n">
        <x:f>MAX(0,MIN('Activities'!L60,324)-MAX('Activities'!K60,318))</x:f>
        <x:v>0</x:v>
      </x:c>
      <x:c r="BG60" s="22" t="n">
        <x:f>MAX(0,MIN('Activities'!L60,330)-MAX('Activities'!K60,324))</x:f>
        <x:v>0</x:v>
      </x:c>
      <x:c r="BH60" s="22" t="n">
        <x:f>MAX(0,MIN('Activities'!L60,336)-MAX('Activities'!K60,330))</x:f>
        <x:v>4</x:v>
      </x:c>
      <x:c r="BI60" s="22" t="n">
        <x:f>MAX(0,MIN('Activities'!L60,342)-MAX('Activities'!K60,336))</x:f>
        <x:v>2</x:v>
      </x:c>
      <x:c r="BJ60" s="22" t="n">
        <x:f>MAX(0,MIN('Activities'!L60,348)-MAX('Activities'!K60,342))</x:f>
        <x:v>0</x:v>
      </x:c>
      <x:c r="BK60" s="22" t="n">
        <x:f>MAX(0,MIN('Activities'!L60,354)-MAX('Activities'!K60,348))</x:f>
        <x:v>0</x:v>
      </x:c>
      <x:c r="BL60" s="22" t="n">
        <x:f>MAX(0,MIN('Activities'!L60,360)-MAX('Activities'!K60,354))</x:f>
        <x:v>0</x:v>
      </x:c>
      <x:c r="BM60" s="22" t="n">
        <x:f>MAX(0,MIN('Activities'!L60,366)-MAX('Activities'!K60,360))</x:f>
        <x:v>0</x:v>
      </x:c>
      <x:c r="BN60" s="22" t="n">
        <x:f>MAX(0,MIN('Activities'!L60,372)-MAX('Activities'!K60,366))</x:f>
        <x:v>0</x:v>
      </x:c>
      <x:c r="BO60" s="22" t="n">
        <x:f>MAX(0,MIN('Activities'!L60,378)-MAX('Activities'!K60,372))</x:f>
        <x:v>0</x:v>
      </x:c>
      <x:c r="BP60" s="22" t="n">
        <x:f>MAX(0,MIN('Activities'!L60,384)-MAX('Activities'!K60,378))</x:f>
        <x:v>0</x:v>
      </x:c>
      <x:c r="BQ60" s="22" t="n">
        <x:f>MAX(0,MIN('Activities'!L60,390)-MAX('Activities'!K60,384))</x:f>
        <x:v>0</x:v>
      </x:c>
      <x:c r="BR60" s="22" t="n">
        <x:f>MAX(0,MIN('Activities'!L60,396)-MAX('Activities'!K60,390))</x:f>
        <x:v>0</x:v>
      </x:c>
      <x:c r="BS60" s="22" t="n">
        <x:f>MAX(0,MIN('Activities'!L60,402)-MAX('Activities'!K60,396))</x:f>
        <x:v>0</x:v>
      </x:c>
      <x:c r="BT60" s="22" t="n">
        <x:f>MAX(0,MIN('Activities'!L60,408)-MAX('Activities'!K60,402))</x:f>
        <x:v>0</x:v>
      </x:c>
      <x:c r="BU60" s="22" t="n">
        <x:f>MAX(0,MIN('Activities'!L60,414)-MAX('Activities'!K60,408))</x:f>
        <x:v>0</x:v>
      </x:c>
      <x:c r="BV60" s="22" t="n">
        <x:f>MAX(0,MIN('Activities'!L60,420)-MAX('Activities'!K60,414))</x:f>
        <x:v>0</x:v>
      </x:c>
      <x:c r="BW60" s="22" t="n">
        <x:f>MAX(0,MIN('Activities'!L60,426)-MAX('Activities'!K60,420))</x:f>
        <x:v>0</x:v>
      </x:c>
      <x:c r="BX60" s="22" t="n">
        <x:f>MAX(0,MIN('Activities'!L60,432)-MAX('Activities'!K60,426))</x:f>
        <x:v>0</x:v>
      </x:c>
      <x:c r="BY60" s="22" t="n">
        <x:f>MAX(0,MIN('Activities'!L60,438)-MAX('Activities'!K60,432))</x:f>
        <x:v>0</x:v>
      </x:c>
      <x:c r="BZ60" s="22" t="n">
        <x:f>MAX(0,MIN('Activities'!L60,444)-MAX('Activities'!K60,438))</x:f>
        <x:v>0</x:v>
      </x:c>
      <x:c r="CA60" s="22" t="n">
        <x:f>MAX(0,MIN('Activities'!L60,450)-MAX('Activities'!K60,444))</x:f>
        <x:v>0</x:v>
      </x:c>
      <x:c r="CB60" s="22" t="n">
        <x:f>MAX(0,MIN('Activities'!L60,456)-MAX('Activities'!K60,450))</x:f>
        <x:v>0</x:v>
      </x:c>
      <x:c r="CC60" s="22" t="n">
        <x:f>MAX(0,MIN('Activities'!L60,462)-MAX('Activities'!K60,456))</x:f>
        <x:v>0</x:v>
      </x:c>
      <x:c r="CD60" s="22" t="n">
        <x:f>MAX(0,MIN('Activities'!L60,468)-MAX('Activities'!K60,462))</x:f>
        <x:v>0</x:v>
      </x:c>
      <x:c r="CE60" s="22" t="n">
        <x:f>MAX(0,MIN('Activities'!L60,474)-MAX('Activities'!K60,468))</x:f>
        <x:v>0</x:v>
      </x:c>
      <x:c r="CF60" s="22" t="n">
        <x:f>MAX(0,MIN('Activities'!L60,480)-MAX('Activities'!K60,474))</x:f>
        <x:v>0</x:v>
      </x:c>
      <x:c r="CG60" s="22" t="n">
        <x:f>MAX(0,MIN('Activities'!L60,486)-MAX('Activities'!K60,480))</x:f>
        <x:v>0</x:v>
      </x:c>
      <x:c r="CH60" s="22" t="n">
        <x:f>MAX(0,MIN('Activities'!L60,492)-MAX('Activities'!K60,486))</x:f>
        <x:v>0</x:v>
      </x:c>
      <x:c r="CI60" s="22" t="n">
        <x:f>MAX(0,MIN('Activities'!L60,498)-MAX('Activities'!K60,492))</x:f>
        <x:v>0</x:v>
      </x:c>
      <x:c r="CJ60" s="22" t="n">
        <x:f>MAX(0,MIN('Activities'!L60,504)-MAX('Activities'!K60,498))</x:f>
        <x:v>0</x:v>
      </x:c>
      <x:c r="CK60" s="22" t="n">
        <x:f>MAX(0,MIN('Activities'!L60,510)-MAX('Activities'!K60,504))</x:f>
        <x:v>0</x:v>
      </x:c>
      <x:c r="CL60" s="22" t="n">
        <x:f>MAX(0,MIN('Activities'!L60,516)-MAX('Activities'!K60,510))</x:f>
        <x:v>0</x:v>
      </x:c>
      <x:c r="CM60" s="22" t="n">
        <x:f>MAX(0,MIN('Activities'!L60,522)-MAX('Activities'!K60,516))</x:f>
        <x:v>0</x:v>
      </x:c>
      <x:c r="CN60" s="22" t="n">
        <x:f>MAX(0,MIN('Activities'!L60,528)-MAX('Activities'!K60,522))</x:f>
        <x:v>0</x:v>
      </x:c>
      <x:c r="CO60" s="22" t="n">
        <x:f>MAX(0,MIN('Activities'!L60,534)-MAX('Activities'!K60,528))</x:f>
        <x:v>0</x:v>
      </x:c>
      <x:c r="CP60" s="22" t="n">
        <x:f>MAX(0,MIN('Activities'!L60,540)-MAX('Activities'!K60,534))</x:f>
        <x:v>0</x:v>
      </x:c>
      <x:c r="CQ60" s="22" t="n">
        <x:f>MAX(0,MIN('Activities'!L60,546)-MAX('Activities'!K60,540))</x:f>
        <x:v>0</x:v>
      </x:c>
      <x:c r="CR60" s="22" t="n">
        <x:f>MAX(0,MIN('Activities'!L60,552)-MAX('Activities'!K60,546))</x:f>
        <x:v>0</x:v>
      </x:c>
      <x:c r="CS60" s="22" t="n">
        <x:f>MAX(0,MIN('Activities'!L60,558)-MAX('Activities'!K60,552))</x:f>
        <x:v>0</x:v>
      </x:c>
      <x:c r="CT60" s="22" t="n">
        <x:f>MAX(0,MIN('Activities'!L60,564)-MAX('Activities'!K60,558))</x:f>
        <x:v>0</x:v>
      </x:c>
      <x:c r="CU60" s="22" t="n">
        <x:f>MAX(0,MIN('Activities'!L60,570)-MAX('Activities'!K60,564))</x:f>
        <x:v>0</x:v>
      </x:c>
      <x:c r="CV60" s="22" t="n">
        <x:f>MAX(0,MIN('Activities'!L60,576)-MAX('Activities'!K60,570))</x:f>
        <x:v>0</x:v>
      </x:c>
      <x:c r="CW60" s="22" t="n">
        <x:f>MAX(0,MIN('Activities'!L60,582)-MAX('Activities'!K60,576))</x:f>
        <x:v>0</x:v>
      </x:c>
      <x:c r="CX60" s="22" t="n">
        <x:f>MAX(0,MIN('Activities'!L60,588)-MAX('Activities'!K60,582))</x:f>
        <x:v>0</x:v>
      </x:c>
      <x:c r="CY60" s="22" t="n">
        <x:f>MAX(0,MIN('Activities'!L60,594)-MAX('Activities'!K60,588))</x:f>
        <x:v>0</x:v>
      </x:c>
      <x:c r="CZ60" s="22" t="n">
        <x:f>MAX(0,MIN('Activities'!L60,600)-MAX('Activities'!K60,594))</x:f>
        <x:v>0</x:v>
      </x:c>
      <x:c r="DA60" s="22" t="n">
        <x:f>MAX(0,MIN('Activities'!L60,606)-MAX('Activities'!K60,600))</x:f>
        <x:v>0</x:v>
      </x:c>
      <x:c r="DB60" s="22" t="n">
        <x:f>MAX(0,MIN('Activities'!L60,612)-MAX('Activities'!K60,606))</x:f>
        <x:v>0</x:v>
      </x:c>
      <x:c r="DC60" s="22" t="n">
        <x:f>MAX(0,MIN('Activities'!L60,618)-MAX('Activities'!K60,612))</x:f>
        <x:v>0</x:v>
      </x:c>
      <x:c r="DD60" s="22" t="n">
        <x:f>MAX(0,MIN('Activities'!L60,624)-MAX('Activities'!K60,618))</x:f>
        <x:v>0</x:v>
      </x:c>
      <x:c r="DE60" s="22" t="n">
        <x:f>MAX(0,MIN('Activities'!L60,630)-MAX('Activities'!K60,624))</x:f>
        <x:v>0</x:v>
      </x:c>
      <x:c r="DF60" s="22" t="n">
        <x:f>MAX(0,MIN('Activities'!L60,636)-MAX('Activities'!K60,630))</x:f>
        <x:v>0</x:v>
      </x:c>
    </x:row>
    <x:row r="61" ht="23" customHeight="1">
      <x:c r="A61" s="1" t="str">
        <x:v>T1-L11-R</x:v>
      </x:c>
      <x:c r="B61" s="1" t="str">
        <x:v>T1</x:v>
      </x:c>
      <x:c r="C61" s="1" t="str">
        <x:v>Column, wall, beam and slab reinforcement</x:v>
      </x:c>
      <x:c r="D61" s="1" t="str">
        <x:v>Rebar</x:v>
      </x:c>
      <x:c r="E61" s="23" t="n">
        <x:f>MAX(0,MIN('Activities'!L61,6)-MAX('Activities'!K61,0))</x:f>
        <x:v>0</x:v>
      </x:c>
      <x:c r="F61" s="23" t="n">
        <x:f>MAX(0,MIN('Activities'!L61,12)-MAX('Activities'!K61,6))</x:f>
        <x:v>0</x:v>
      </x:c>
      <x:c r="G61" s="23" t="n">
        <x:f>MAX(0,MIN('Activities'!L61,18)-MAX('Activities'!K61,12))</x:f>
        <x:v>0</x:v>
      </x:c>
      <x:c r="H61" s="23" t="n">
        <x:f>MAX(0,MIN('Activities'!L61,24)-MAX('Activities'!K61,18))</x:f>
        <x:v>0</x:v>
      </x:c>
      <x:c r="I61" s="23" t="n">
        <x:f>MAX(0,MIN('Activities'!L61,30)-MAX('Activities'!K61,24))</x:f>
        <x:v>0</x:v>
      </x:c>
      <x:c r="J61" s="23" t="n">
        <x:f>MAX(0,MIN('Activities'!L61,36)-MAX('Activities'!K61,30))</x:f>
        <x:v>0</x:v>
      </x:c>
      <x:c r="K61" s="23" t="n">
        <x:f>MAX(0,MIN('Activities'!L61,42)-MAX('Activities'!K61,36))</x:f>
        <x:v>0</x:v>
      </x:c>
      <x:c r="L61" s="23" t="n">
        <x:f>MAX(0,MIN('Activities'!L61,48)-MAX('Activities'!K61,42))</x:f>
        <x:v>0</x:v>
      </x:c>
      <x:c r="M61" s="23" t="n">
        <x:f>MAX(0,MIN('Activities'!L61,54)-MAX('Activities'!K61,48))</x:f>
        <x:v>0</x:v>
      </x:c>
      <x:c r="N61" s="23" t="n">
        <x:f>MAX(0,MIN('Activities'!L61,60)-MAX('Activities'!K61,54))</x:f>
        <x:v>0</x:v>
      </x:c>
      <x:c r="O61" s="23" t="n">
        <x:f>MAX(0,MIN('Activities'!L61,66)-MAX('Activities'!K61,60))</x:f>
        <x:v>0</x:v>
      </x:c>
      <x:c r="P61" s="23" t="n">
        <x:f>MAX(0,MIN('Activities'!L61,72)-MAX('Activities'!K61,66))</x:f>
        <x:v>0</x:v>
      </x:c>
      <x:c r="Q61" s="23" t="n">
        <x:f>MAX(0,MIN('Activities'!L61,78)-MAX('Activities'!K61,72))</x:f>
        <x:v>0</x:v>
      </x:c>
      <x:c r="R61" s="23" t="n">
        <x:f>MAX(0,MIN('Activities'!L61,84)-MAX('Activities'!K61,78))</x:f>
        <x:v>0</x:v>
      </x:c>
      <x:c r="S61" s="23" t="n">
        <x:f>MAX(0,MIN('Activities'!L61,90)-MAX('Activities'!K61,84))</x:f>
        <x:v>0</x:v>
      </x:c>
      <x:c r="T61" s="23" t="n">
        <x:f>MAX(0,MIN('Activities'!L61,96)-MAX('Activities'!K61,90))</x:f>
        <x:v>0</x:v>
      </x:c>
      <x:c r="U61" s="23" t="n">
        <x:f>MAX(0,MIN('Activities'!L61,102)-MAX('Activities'!K61,96))</x:f>
        <x:v>0</x:v>
      </x:c>
      <x:c r="V61" s="23" t="n">
        <x:f>MAX(0,MIN('Activities'!L61,108)-MAX('Activities'!K61,102))</x:f>
        <x:v>0</x:v>
      </x:c>
      <x:c r="W61" s="23" t="n">
        <x:f>MAX(0,MIN('Activities'!L61,114)-MAX('Activities'!K61,108))</x:f>
        <x:v>0</x:v>
      </x:c>
      <x:c r="X61" s="23" t="n">
        <x:f>MAX(0,MIN('Activities'!L61,120)-MAX('Activities'!K61,114))</x:f>
        <x:v>0</x:v>
      </x:c>
      <x:c r="Y61" s="23" t="n">
        <x:f>MAX(0,MIN('Activities'!L61,126)-MAX('Activities'!K61,120))</x:f>
        <x:v>0</x:v>
      </x:c>
      <x:c r="Z61" s="23" t="n">
        <x:f>MAX(0,MIN('Activities'!L61,132)-MAX('Activities'!K61,126))</x:f>
        <x:v>0</x:v>
      </x:c>
      <x:c r="AA61" s="23" t="n">
        <x:f>MAX(0,MIN('Activities'!L61,138)-MAX('Activities'!K61,132))</x:f>
        <x:v>0</x:v>
      </x:c>
      <x:c r="AB61" s="23" t="n">
        <x:f>MAX(0,MIN('Activities'!L61,144)-MAX('Activities'!K61,138))</x:f>
        <x:v>0</x:v>
      </x:c>
      <x:c r="AC61" s="23" t="n">
        <x:f>MAX(0,MIN('Activities'!L61,150)-MAX('Activities'!K61,144))</x:f>
        <x:v>0</x:v>
      </x:c>
      <x:c r="AD61" s="23" t="n">
        <x:f>MAX(0,MIN('Activities'!L61,156)-MAX('Activities'!K61,150))</x:f>
        <x:v>0</x:v>
      </x:c>
      <x:c r="AE61" s="23" t="n">
        <x:f>MAX(0,MIN('Activities'!L61,162)-MAX('Activities'!K61,156))</x:f>
        <x:v>0</x:v>
      </x:c>
      <x:c r="AF61" s="23" t="n">
        <x:f>MAX(0,MIN('Activities'!L61,168)-MAX('Activities'!K61,162))</x:f>
        <x:v>0</x:v>
      </x:c>
      <x:c r="AG61" s="23" t="n">
        <x:f>MAX(0,MIN('Activities'!L61,174)-MAX('Activities'!K61,168))</x:f>
        <x:v>0</x:v>
      </x:c>
      <x:c r="AH61" s="23" t="n">
        <x:f>MAX(0,MIN('Activities'!L61,180)-MAX('Activities'!K61,174))</x:f>
        <x:v>0</x:v>
      </x:c>
      <x:c r="AI61" s="23" t="n">
        <x:f>MAX(0,MIN('Activities'!L61,186)-MAX('Activities'!K61,180))</x:f>
        <x:v>0</x:v>
      </x:c>
      <x:c r="AJ61" s="23" t="n">
        <x:f>MAX(0,MIN('Activities'!L61,192)-MAX('Activities'!K61,186))</x:f>
        <x:v>0</x:v>
      </x:c>
      <x:c r="AK61" s="23" t="n">
        <x:f>MAX(0,MIN('Activities'!L61,198)-MAX('Activities'!K61,192))</x:f>
        <x:v>0</x:v>
      </x:c>
      <x:c r="AL61" s="23" t="n">
        <x:f>MAX(0,MIN('Activities'!L61,204)-MAX('Activities'!K61,198))</x:f>
        <x:v>0</x:v>
      </x:c>
      <x:c r="AM61" s="23" t="n">
        <x:f>MAX(0,MIN('Activities'!L61,210)-MAX('Activities'!K61,204))</x:f>
        <x:v>0</x:v>
      </x:c>
      <x:c r="AN61" s="23" t="n">
        <x:f>MAX(0,MIN('Activities'!L61,216)-MAX('Activities'!K61,210))</x:f>
        <x:v>0</x:v>
      </x:c>
      <x:c r="AO61" s="23" t="n">
        <x:f>MAX(0,MIN('Activities'!L61,222)-MAX('Activities'!K61,216))</x:f>
        <x:v>0</x:v>
      </x:c>
      <x:c r="AP61" s="23" t="n">
        <x:f>MAX(0,MIN('Activities'!L61,228)-MAX('Activities'!K61,222))</x:f>
        <x:v>0</x:v>
      </x:c>
      <x:c r="AQ61" s="23" t="n">
        <x:f>MAX(0,MIN('Activities'!L61,234)-MAX('Activities'!K61,228))</x:f>
        <x:v>0</x:v>
      </x:c>
      <x:c r="AR61" s="23" t="n">
        <x:f>MAX(0,MIN('Activities'!L61,240)-MAX('Activities'!K61,234))</x:f>
        <x:v>0</x:v>
      </x:c>
      <x:c r="AS61" s="23" t="n">
        <x:f>MAX(0,MIN('Activities'!L61,246)-MAX('Activities'!K61,240))</x:f>
        <x:v>0</x:v>
      </x:c>
      <x:c r="AT61" s="23" t="n">
        <x:f>MAX(0,MIN('Activities'!L61,252)-MAX('Activities'!K61,246))</x:f>
        <x:v>0</x:v>
      </x:c>
      <x:c r="AU61" s="23" t="n">
        <x:f>MAX(0,MIN('Activities'!L61,258)-MAX('Activities'!K61,252))</x:f>
        <x:v>0</x:v>
      </x:c>
      <x:c r="AV61" s="23" t="n">
        <x:f>MAX(0,MIN('Activities'!L61,264)-MAX('Activities'!K61,258))</x:f>
        <x:v>0</x:v>
      </x:c>
      <x:c r="AW61" s="23" t="n">
        <x:f>MAX(0,MIN('Activities'!L61,270)-MAX('Activities'!K61,264))</x:f>
        <x:v>0</x:v>
      </x:c>
      <x:c r="AX61" s="23" t="n">
        <x:f>MAX(0,MIN('Activities'!L61,276)-MAX('Activities'!K61,270))</x:f>
        <x:v>0</x:v>
      </x:c>
      <x:c r="AY61" s="23" t="n">
        <x:f>MAX(0,MIN('Activities'!L61,282)-MAX('Activities'!K61,276))</x:f>
        <x:v>0</x:v>
      </x:c>
      <x:c r="AZ61" s="23" t="n">
        <x:f>MAX(0,MIN('Activities'!L61,288)-MAX('Activities'!K61,282))</x:f>
        <x:v>0</x:v>
      </x:c>
      <x:c r="BA61" s="23" t="n">
        <x:f>MAX(0,MIN('Activities'!L61,294)-MAX('Activities'!K61,288))</x:f>
        <x:v>0</x:v>
      </x:c>
      <x:c r="BB61" s="23" t="n">
        <x:f>MAX(0,MIN('Activities'!L61,300)-MAX('Activities'!K61,294))</x:f>
        <x:v>0</x:v>
      </x:c>
      <x:c r="BC61" s="23" t="n">
        <x:f>MAX(0,MIN('Activities'!L61,306)-MAX('Activities'!K61,300))</x:f>
        <x:v>0</x:v>
      </x:c>
      <x:c r="BD61" s="23" t="n">
        <x:f>MAX(0,MIN('Activities'!L61,312)-MAX('Activities'!K61,306))</x:f>
        <x:v>0</x:v>
      </x:c>
      <x:c r="BE61" s="23" t="n">
        <x:f>MAX(0,MIN('Activities'!L61,318)-MAX('Activities'!K61,312))</x:f>
        <x:v>0</x:v>
      </x:c>
      <x:c r="BF61" s="23" t="n">
        <x:f>MAX(0,MIN('Activities'!L61,324)-MAX('Activities'!K61,318))</x:f>
        <x:v>0</x:v>
      </x:c>
      <x:c r="BG61" s="23" t="n">
        <x:f>MAX(0,MIN('Activities'!L61,330)-MAX('Activities'!K61,324))</x:f>
        <x:v>0</x:v>
      </x:c>
      <x:c r="BH61" s="23" t="n">
        <x:f>MAX(0,MIN('Activities'!L61,336)-MAX('Activities'!K61,330))</x:f>
        <x:v>0</x:v>
      </x:c>
      <x:c r="BI61" s="23" t="n">
        <x:f>MAX(0,MIN('Activities'!L61,342)-MAX('Activities'!K61,336))</x:f>
        <x:v>4</x:v>
      </x:c>
      <x:c r="BJ61" s="23" t="n">
        <x:f>MAX(0,MIN('Activities'!L61,348)-MAX('Activities'!K61,342))</x:f>
        <x:v>1</x:v>
      </x:c>
      <x:c r="BK61" s="23" t="n">
        <x:f>MAX(0,MIN('Activities'!L61,354)-MAX('Activities'!K61,348))</x:f>
        <x:v>0</x:v>
      </x:c>
      <x:c r="BL61" s="23" t="n">
        <x:f>MAX(0,MIN('Activities'!L61,360)-MAX('Activities'!K61,354))</x:f>
        <x:v>0</x:v>
      </x:c>
      <x:c r="BM61" s="23" t="n">
        <x:f>MAX(0,MIN('Activities'!L61,366)-MAX('Activities'!K61,360))</x:f>
        <x:v>0</x:v>
      </x:c>
      <x:c r="BN61" s="23" t="n">
        <x:f>MAX(0,MIN('Activities'!L61,372)-MAX('Activities'!K61,366))</x:f>
        <x:v>0</x:v>
      </x:c>
      <x:c r="BO61" s="23" t="n">
        <x:f>MAX(0,MIN('Activities'!L61,378)-MAX('Activities'!K61,372))</x:f>
        <x:v>0</x:v>
      </x:c>
      <x:c r="BP61" s="23" t="n">
        <x:f>MAX(0,MIN('Activities'!L61,384)-MAX('Activities'!K61,378))</x:f>
        <x:v>0</x:v>
      </x:c>
      <x:c r="BQ61" s="23" t="n">
        <x:f>MAX(0,MIN('Activities'!L61,390)-MAX('Activities'!K61,384))</x:f>
        <x:v>0</x:v>
      </x:c>
      <x:c r="BR61" s="23" t="n">
        <x:f>MAX(0,MIN('Activities'!L61,396)-MAX('Activities'!K61,390))</x:f>
        <x:v>0</x:v>
      </x:c>
      <x:c r="BS61" s="23" t="n">
        <x:f>MAX(0,MIN('Activities'!L61,402)-MAX('Activities'!K61,396))</x:f>
        <x:v>0</x:v>
      </x:c>
      <x:c r="BT61" s="23" t="n">
        <x:f>MAX(0,MIN('Activities'!L61,408)-MAX('Activities'!K61,402))</x:f>
        <x:v>0</x:v>
      </x:c>
      <x:c r="BU61" s="23" t="n">
        <x:f>MAX(0,MIN('Activities'!L61,414)-MAX('Activities'!K61,408))</x:f>
        <x:v>0</x:v>
      </x:c>
      <x:c r="BV61" s="23" t="n">
        <x:f>MAX(0,MIN('Activities'!L61,420)-MAX('Activities'!K61,414))</x:f>
        <x:v>0</x:v>
      </x:c>
      <x:c r="BW61" s="23" t="n">
        <x:f>MAX(0,MIN('Activities'!L61,426)-MAX('Activities'!K61,420))</x:f>
        <x:v>0</x:v>
      </x:c>
      <x:c r="BX61" s="23" t="n">
        <x:f>MAX(0,MIN('Activities'!L61,432)-MAX('Activities'!K61,426))</x:f>
        <x:v>0</x:v>
      </x:c>
      <x:c r="BY61" s="23" t="n">
        <x:f>MAX(0,MIN('Activities'!L61,438)-MAX('Activities'!K61,432))</x:f>
        <x:v>0</x:v>
      </x:c>
      <x:c r="BZ61" s="23" t="n">
        <x:f>MAX(0,MIN('Activities'!L61,444)-MAX('Activities'!K61,438))</x:f>
        <x:v>0</x:v>
      </x:c>
      <x:c r="CA61" s="23" t="n">
        <x:f>MAX(0,MIN('Activities'!L61,450)-MAX('Activities'!K61,444))</x:f>
        <x:v>0</x:v>
      </x:c>
      <x:c r="CB61" s="23" t="n">
        <x:f>MAX(0,MIN('Activities'!L61,456)-MAX('Activities'!K61,450))</x:f>
        <x:v>0</x:v>
      </x:c>
      <x:c r="CC61" s="23" t="n">
        <x:f>MAX(0,MIN('Activities'!L61,462)-MAX('Activities'!K61,456))</x:f>
        <x:v>0</x:v>
      </x:c>
      <x:c r="CD61" s="23" t="n">
        <x:f>MAX(0,MIN('Activities'!L61,468)-MAX('Activities'!K61,462))</x:f>
        <x:v>0</x:v>
      </x:c>
      <x:c r="CE61" s="23" t="n">
        <x:f>MAX(0,MIN('Activities'!L61,474)-MAX('Activities'!K61,468))</x:f>
        <x:v>0</x:v>
      </x:c>
      <x:c r="CF61" s="23" t="n">
        <x:f>MAX(0,MIN('Activities'!L61,480)-MAX('Activities'!K61,474))</x:f>
        <x:v>0</x:v>
      </x:c>
      <x:c r="CG61" s="23" t="n">
        <x:f>MAX(0,MIN('Activities'!L61,486)-MAX('Activities'!K61,480))</x:f>
        <x:v>0</x:v>
      </x:c>
      <x:c r="CH61" s="23" t="n">
        <x:f>MAX(0,MIN('Activities'!L61,492)-MAX('Activities'!K61,486))</x:f>
        <x:v>0</x:v>
      </x:c>
      <x:c r="CI61" s="23" t="n">
        <x:f>MAX(0,MIN('Activities'!L61,498)-MAX('Activities'!K61,492))</x:f>
        <x:v>0</x:v>
      </x:c>
      <x:c r="CJ61" s="23" t="n">
        <x:f>MAX(0,MIN('Activities'!L61,504)-MAX('Activities'!K61,498))</x:f>
        <x:v>0</x:v>
      </x:c>
      <x:c r="CK61" s="23" t="n">
        <x:f>MAX(0,MIN('Activities'!L61,510)-MAX('Activities'!K61,504))</x:f>
        <x:v>0</x:v>
      </x:c>
      <x:c r="CL61" s="23" t="n">
        <x:f>MAX(0,MIN('Activities'!L61,516)-MAX('Activities'!K61,510))</x:f>
        <x:v>0</x:v>
      </x:c>
      <x:c r="CM61" s="23" t="n">
        <x:f>MAX(0,MIN('Activities'!L61,522)-MAX('Activities'!K61,516))</x:f>
        <x:v>0</x:v>
      </x:c>
      <x:c r="CN61" s="23" t="n">
        <x:f>MAX(0,MIN('Activities'!L61,528)-MAX('Activities'!K61,522))</x:f>
        <x:v>0</x:v>
      </x:c>
      <x:c r="CO61" s="23" t="n">
        <x:f>MAX(0,MIN('Activities'!L61,534)-MAX('Activities'!K61,528))</x:f>
        <x:v>0</x:v>
      </x:c>
      <x:c r="CP61" s="23" t="n">
        <x:f>MAX(0,MIN('Activities'!L61,540)-MAX('Activities'!K61,534))</x:f>
        <x:v>0</x:v>
      </x:c>
      <x:c r="CQ61" s="23" t="n">
        <x:f>MAX(0,MIN('Activities'!L61,546)-MAX('Activities'!K61,540))</x:f>
        <x:v>0</x:v>
      </x:c>
      <x:c r="CR61" s="23" t="n">
        <x:f>MAX(0,MIN('Activities'!L61,552)-MAX('Activities'!K61,546))</x:f>
        <x:v>0</x:v>
      </x:c>
      <x:c r="CS61" s="23" t="n">
        <x:f>MAX(0,MIN('Activities'!L61,558)-MAX('Activities'!K61,552))</x:f>
        <x:v>0</x:v>
      </x:c>
      <x:c r="CT61" s="23" t="n">
        <x:f>MAX(0,MIN('Activities'!L61,564)-MAX('Activities'!K61,558))</x:f>
        <x:v>0</x:v>
      </x:c>
      <x:c r="CU61" s="23" t="n">
        <x:f>MAX(0,MIN('Activities'!L61,570)-MAX('Activities'!K61,564))</x:f>
        <x:v>0</x:v>
      </x:c>
      <x:c r="CV61" s="23" t="n">
        <x:f>MAX(0,MIN('Activities'!L61,576)-MAX('Activities'!K61,570))</x:f>
        <x:v>0</x:v>
      </x:c>
      <x:c r="CW61" s="23" t="n">
        <x:f>MAX(0,MIN('Activities'!L61,582)-MAX('Activities'!K61,576))</x:f>
        <x:v>0</x:v>
      </x:c>
      <x:c r="CX61" s="23" t="n">
        <x:f>MAX(0,MIN('Activities'!L61,588)-MAX('Activities'!K61,582))</x:f>
        <x:v>0</x:v>
      </x:c>
      <x:c r="CY61" s="23" t="n">
        <x:f>MAX(0,MIN('Activities'!L61,594)-MAX('Activities'!K61,588))</x:f>
        <x:v>0</x:v>
      </x:c>
      <x:c r="CZ61" s="23" t="n">
        <x:f>MAX(0,MIN('Activities'!L61,600)-MAX('Activities'!K61,594))</x:f>
        <x:v>0</x:v>
      </x:c>
      <x:c r="DA61" s="23" t="n">
        <x:f>MAX(0,MIN('Activities'!L61,606)-MAX('Activities'!K61,600))</x:f>
        <x:v>0</x:v>
      </x:c>
      <x:c r="DB61" s="23" t="n">
        <x:f>MAX(0,MIN('Activities'!L61,612)-MAX('Activities'!K61,606))</x:f>
        <x:v>0</x:v>
      </x:c>
      <x:c r="DC61" s="23" t="n">
        <x:f>MAX(0,MIN('Activities'!L61,618)-MAX('Activities'!K61,612))</x:f>
        <x:v>0</x:v>
      </x:c>
      <x:c r="DD61" s="23" t="n">
        <x:f>MAX(0,MIN('Activities'!L61,624)-MAX('Activities'!K61,618))</x:f>
        <x:v>0</x:v>
      </x:c>
      <x:c r="DE61" s="23" t="n">
        <x:f>MAX(0,MIN('Activities'!L61,630)-MAX('Activities'!K61,624))</x:f>
        <x:v>0</x:v>
      </x:c>
      <x:c r="DF61" s="23" t="n">
        <x:f>MAX(0,MIN('Activities'!L61,636)-MAX('Activities'!K61,630))</x:f>
        <x:v>0</x:v>
      </x:c>
    </x:row>
    <x:row r="62" ht="23" customHeight="1">
      <x:c r="A62" s="6" t="str">
        <x:v>T1-L11-C</x:v>
      </x:c>
      <x:c r="B62" s="6" t="str">
        <x:v>T1</x:v>
      </x:c>
      <x:c r="C62" s="6" t="str">
        <x:v>Concrete placement and finishing</x:v>
      </x:c>
      <x:c r="D62" s="6" t="str">
        <x:v>Concrete</x:v>
      </x:c>
      <x:c r="E62" s="22" t="n">
        <x:f>MAX(0,MIN('Activities'!L62,6)-MAX('Activities'!K62,0))</x:f>
        <x:v>0</x:v>
      </x:c>
      <x:c r="F62" s="22" t="n">
        <x:f>MAX(0,MIN('Activities'!L62,12)-MAX('Activities'!K62,6))</x:f>
        <x:v>0</x:v>
      </x:c>
      <x:c r="G62" s="22" t="n">
        <x:f>MAX(0,MIN('Activities'!L62,18)-MAX('Activities'!K62,12))</x:f>
        <x:v>0</x:v>
      </x:c>
      <x:c r="H62" s="22" t="n">
        <x:f>MAX(0,MIN('Activities'!L62,24)-MAX('Activities'!K62,18))</x:f>
        <x:v>0</x:v>
      </x:c>
      <x:c r="I62" s="22" t="n">
        <x:f>MAX(0,MIN('Activities'!L62,30)-MAX('Activities'!K62,24))</x:f>
        <x:v>0</x:v>
      </x:c>
      <x:c r="J62" s="22" t="n">
        <x:f>MAX(0,MIN('Activities'!L62,36)-MAX('Activities'!K62,30))</x:f>
        <x:v>0</x:v>
      </x:c>
      <x:c r="K62" s="22" t="n">
        <x:f>MAX(0,MIN('Activities'!L62,42)-MAX('Activities'!K62,36))</x:f>
        <x:v>0</x:v>
      </x:c>
      <x:c r="L62" s="22" t="n">
        <x:f>MAX(0,MIN('Activities'!L62,48)-MAX('Activities'!K62,42))</x:f>
        <x:v>0</x:v>
      </x:c>
      <x:c r="M62" s="22" t="n">
        <x:f>MAX(0,MIN('Activities'!L62,54)-MAX('Activities'!K62,48))</x:f>
        <x:v>0</x:v>
      </x:c>
      <x:c r="N62" s="22" t="n">
        <x:f>MAX(0,MIN('Activities'!L62,60)-MAX('Activities'!K62,54))</x:f>
        <x:v>0</x:v>
      </x:c>
      <x:c r="O62" s="22" t="n">
        <x:f>MAX(0,MIN('Activities'!L62,66)-MAX('Activities'!K62,60))</x:f>
        <x:v>0</x:v>
      </x:c>
      <x:c r="P62" s="22" t="n">
        <x:f>MAX(0,MIN('Activities'!L62,72)-MAX('Activities'!K62,66))</x:f>
        <x:v>0</x:v>
      </x:c>
      <x:c r="Q62" s="22" t="n">
        <x:f>MAX(0,MIN('Activities'!L62,78)-MAX('Activities'!K62,72))</x:f>
        <x:v>0</x:v>
      </x:c>
      <x:c r="R62" s="22" t="n">
        <x:f>MAX(0,MIN('Activities'!L62,84)-MAX('Activities'!K62,78))</x:f>
        <x:v>0</x:v>
      </x:c>
      <x:c r="S62" s="22" t="n">
        <x:f>MAX(0,MIN('Activities'!L62,90)-MAX('Activities'!K62,84))</x:f>
        <x:v>0</x:v>
      </x:c>
      <x:c r="T62" s="22" t="n">
        <x:f>MAX(0,MIN('Activities'!L62,96)-MAX('Activities'!K62,90))</x:f>
        <x:v>0</x:v>
      </x:c>
      <x:c r="U62" s="22" t="n">
        <x:f>MAX(0,MIN('Activities'!L62,102)-MAX('Activities'!K62,96))</x:f>
        <x:v>0</x:v>
      </x:c>
      <x:c r="V62" s="22" t="n">
        <x:f>MAX(0,MIN('Activities'!L62,108)-MAX('Activities'!K62,102))</x:f>
        <x:v>0</x:v>
      </x:c>
      <x:c r="W62" s="22" t="n">
        <x:f>MAX(0,MIN('Activities'!L62,114)-MAX('Activities'!K62,108))</x:f>
        <x:v>0</x:v>
      </x:c>
      <x:c r="X62" s="22" t="n">
        <x:f>MAX(0,MIN('Activities'!L62,120)-MAX('Activities'!K62,114))</x:f>
        <x:v>0</x:v>
      </x:c>
      <x:c r="Y62" s="22" t="n">
        <x:f>MAX(0,MIN('Activities'!L62,126)-MAX('Activities'!K62,120))</x:f>
        <x:v>0</x:v>
      </x:c>
      <x:c r="Z62" s="22" t="n">
        <x:f>MAX(0,MIN('Activities'!L62,132)-MAX('Activities'!K62,126))</x:f>
        <x:v>0</x:v>
      </x:c>
      <x:c r="AA62" s="22" t="n">
        <x:f>MAX(0,MIN('Activities'!L62,138)-MAX('Activities'!K62,132))</x:f>
        <x:v>0</x:v>
      </x:c>
      <x:c r="AB62" s="22" t="n">
        <x:f>MAX(0,MIN('Activities'!L62,144)-MAX('Activities'!K62,138))</x:f>
        <x:v>0</x:v>
      </x:c>
      <x:c r="AC62" s="22" t="n">
        <x:f>MAX(0,MIN('Activities'!L62,150)-MAX('Activities'!K62,144))</x:f>
        <x:v>0</x:v>
      </x:c>
      <x:c r="AD62" s="22" t="n">
        <x:f>MAX(0,MIN('Activities'!L62,156)-MAX('Activities'!K62,150))</x:f>
        <x:v>0</x:v>
      </x:c>
      <x:c r="AE62" s="22" t="n">
        <x:f>MAX(0,MIN('Activities'!L62,162)-MAX('Activities'!K62,156))</x:f>
        <x:v>0</x:v>
      </x:c>
      <x:c r="AF62" s="22" t="n">
        <x:f>MAX(0,MIN('Activities'!L62,168)-MAX('Activities'!K62,162))</x:f>
        <x:v>0</x:v>
      </x:c>
      <x:c r="AG62" s="22" t="n">
        <x:f>MAX(0,MIN('Activities'!L62,174)-MAX('Activities'!K62,168))</x:f>
        <x:v>0</x:v>
      </x:c>
      <x:c r="AH62" s="22" t="n">
        <x:f>MAX(0,MIN('Activities'!L62,180)-MAX('Activities'!K62,174))</x:f>
        <x:v>0</x:v>
      </x:c>
      <x:c r="AI62" s="22" t="n">
        <x:f>MAX(0,MIN('Activities'!L62,186)-MAX('Activities'!K62,180))</x:f>
        <x:v>0</x:v>
      </x:c>
      <x:c r="AJ62" s="22" t="n">
        <x:f>MAX(0,MIN('Activities'!L62,192)-MAX('Activities'!K62,186))</x:f>
        <x:v>0</x:v>
      </x:c>
      <x:c r="AK62" s="22" t="n">
        <x:f>MAX(0,MIN('Activities'!L62,198)-MAX('Activities'!K62,192))</x:f>
        <x:v>0</x:v>
      </x:c>
      <x:c r="AL62" s="22" t="n">
        <x:f>MAX(0,MIN('Activities'!L62,204)-MAX('Activities'!K62,198))</x:f>
        <x:v>0</x:v>
      </x:c>
      <x:c r="AM62" s="22" t="n">
        <x:f>MAX(0,MIN('Activities'!L62,210)-MAX('Activities'!K62,204))</x:f>
        <x:v>0</x:v>
      </x:c>
      <x:c r="AN62" s="22" t="n">
        <x:f>MAX(0,MIN('Activities'!L62,216)-MAX('Activities'!K62,210))</x:f>
        <x:v>0</x:v>
      </x:c>
      <x:c r="AO62" s="22" t="n">
        <x:f>MAX(0,MIN('Activities'!L62,222)-MAX('Activities'!K62,216))</x:f>
        <x:v>0</x:v>
      </x:c>
      <x:c r="AP62" s="22" t="n">
        <x:f>MAX(0,MIN('Activities'!L62,228)-MAX('Activities'!K62,222))</x:f>
        <x:v>0</x:v>
      </x:c>
      <x:c r="AQ62" s="22" t="n">
        <x:f>MAX(0,MIN('Activities'!L62,234)-MAX('Activities'!K62,228))</x:f>
        <x:v>0</x:v>
      </x:c>
      <x:c r="AR62" s="22" t="n">
        <x:f>MAX(0,MIN('Activities'!L62,240)-MAX('Activities'!K62,234))</x:f>
        <x:v>0</x:v>
      </x:c>
      <x:c r="AS62" s="22" t="n">
        <x:f>MAX(0,MIN('Activities'!L62,246)-MAX('Activities'!K62,240))</x:f>
        <x:v>0</x:v>
      </x:c>
      <x:c r="AT62" s="22" t="n">
        <x:f>MAX(0,MIN('Activities'!L62,252)-MAX('Activities'!K62,246))</x:f>
        <x:v>0</x:v>
      </x:c>
      <x:c r="AU62" s="22" t="n">
        <x:f>MAX(0,MIN('Activities'!L62,258)-MAX('Activities'!K62,252))</x:f>
        <x:v>0</x:v>
      </x:c>
      <x:c r="AV62" s="22" t="n">
        <x:f>MAX(0,MIN('Activities'!L62,264)-MAX('Activities'!K62,258))</x:f>
        <x:v>0</x:v>
      </x:c>
      <x:c r="AW62" s="22" t="n">
        <x:f>MAX(0,MIN('Activities'!L62,270)-MAX('Activities'!K62,264))</x:f>
        <x:v>0</x:v>
      </x:c>
      <x:c r="AX62" s="22" t="n">
        <x:f>MAX(0,MIN('Activities'!L62,276)-MAX('Activities'!K62,270))</x:f>
        <x:v>0</x:v>
      </x:c>
      <x:c r="AY62" s="22" t="n">
        <x:f>MAX(0,MIN('Activities'!L62,282)-MAX('Activities'!K62,276))</x:f>
        <x:v>0</x:v>
      </x:c>
      <x:c r="AZ62" s="22" t="n">
        <x:f>MAX(0,MIN('Activities'!L62,288)-MAX('Activities'!K62,282))</x:f>
        <x:v>0</x:v>
      </x:c>
      <x:c r="BA62" s="22" t="n">
        <x:f>MAX(0,MIN('Activities'!L62,294)-MAX('Activities'!K62,288))</x:f>
        <x:v>0</x:v>
      </x:c>
      <x:c r="BB62" s="22" t="n">
        <x:f>MAX(0,MIN('Activities'!L62,300)-MAX('Activities'!K62,294))</x:f>
        <x:v>0</x:v>
      </x:c>
      <x:c r="BC62" s="22" t="n">
        <x:f>MAX(0,MIN('Activities'!L62,306)-MAX('Activities'!K62,300))</x:f>
        <x:v>0</x:v>
      </x:c>
      <x:c r="BD62" s="22" t="n">
        <x:f>MAX(0,MIN('Activities'!L62,312)-MAX('Activities'!K62,306))</x:f>
        <x:v>0</x:v>
      </x:c>
      <x:c r="BE62" s="22" t="n">
        <x:f>MAX(0,MIN('Activities'!L62,318)-MAX('Activities'!K62,312))</x:f>
        <x:v>0</x:v>
      </x:c>
      <x:c r="BF62" s="22" t="n">
        <x:f>MAX(0,MIN('Activities'!L62,324)-MAX('Activities'!K62,318))</x:f>
        <x:v>0</x:v>
      </x:c>
      <x:c r="BG62" s="22" t="n">
        <x:f>MAX(0,MIN('Activities'!L62,330)-MAX('Activities'!K62,324))</x:f>
        <x:v>0</x:v>
      </x:c>
      <x:c r="BH62" s="22" t="n">
        <x:f>MAX(0,MIN('Activities'!L62,336)-MAX('Activities'!K62,330))</x:f>
        <x:v>0</x:v>
      </x:c>
      <x:c r="BI62" s="22" t="n">
        <x:f>MAX(0,MIN('Activities'!L62,342)-MAX('Activities'!K62,336))</x:f>
        <x:v>0</x:v>
      </x:c>
      <x:c r="BJ62" s="22" t="n">
        <x:f>MAX(0,MIN('Activities'!L62,348)-MAX('Activities'!K62,342))</x:f>
        <x:v>2</x:v>
      </x:c>
      <x:c r="BK62" s="22" t="n">
        <x:f>MAX(0,MIN('Activities'!L62,354)-MAX('Activities'!K62,348))</x:f>
        <x:v>0</x:v>
      </x:c>
      <x:c r="BL62" s="22" t="n">
        <x:f>MAX(0,MIN('Activities'!L62,360)-MAX('Activities'!K62,354))</x:f>
        <x:v>0</x:v>
      </x:c>
      <x:c r="BM62" s="22" t="n">
        <x:f>MAX(0,MIN('Activities'!L62,366)-MAX('Activities'!K62,360))</x:f>
        <x:v>0</x:v>
      </x:c>
      <x:c r="BN62" s="22" t="n">
        <x:f>MAX(0,MIN('Activities'!L62,372)-MAX('Activities'!K62,366))</x:f>
        <x:v>0</x:v>
      </x:c>
      <x:c r="BO62" s="22" t="n">
        <x:f>MAX(0,MIN('Activities'!L62,378)-MAX('Activities'!K62,372))</x:f>
        <x:v>0</x:v>
      </x:c>
      <x:c r="BP62" s="22" t="n">
        <x:f>MAX(0,MIN('Activities'!L62,384)-MAX('Activities'!K62,378))</x:f>
        <x:v>0</x:v>
      </x:c>
      <x:c r="BQ62" s="22" t="n">
        <x:f>MAX(0,MIN('Activities'!L62,390)-MAX('Activities'!K62,384))</x:f>
        <x:v>0</x:v>
      </x:c>
      <x:c r="BR62" s="22" t="n">
        <x:f>MAX(0,MIN('Activities'!L62,396)-MAX('Activities'!K62,390))</x:f>
        <x:v>0</x:v>
      </x:c>
      <x:c r="BS62" s="22" t="n">
        <x:f>MAX(0,MIN('Activities'!L62,402)-MAX('Activities'!K62,396))</x:f>
        <x:v>0</x:v>
      </x:c>
      <x:c r="BT62" s="22" t="n">
        <x:f>MAX(0,MIN('Activities'!L62,408)-MAX('Activities'!K62,402))</x:f>
        <x:v>0</x:v>
      </x:c>
      <x:c r="BU62" s="22" t="n">
        <x:f>MAX(0,MIN('Activities'!L62,414)-MAX('Activities'!K62,408))</x:f>
        <x:v>0</x:v>
      </x:c>
      <x:c r="BV62" s="22" t="n">
        <x:f>MAX(0,MIN('Activities'!L62,420)-MAX('Activities'!K62,414))</x:f>
        <x:v>0</x:v>
      </x:c>
      <x:c r="BW62" s="22" t="n">
        <x:f>MAX(0,MIN('Activities'!L62,426)-MAX('Activities'!K62,420))</x:f>
        <x:v>0</x:v>
      </x:c>
      <x:c r="BX62" s="22" t="n">
        <x:f>MAX(0,MIN('Activities'!L62,432)-MAX('Activities'!K62,426))</x:f>
        <x:v>0</x:v>
      </x:c>
      <x:c r="BY62" s="22" t="n">
        <x:f>MAX(0,MIN('Activities'!L62,438)-MAX('Activities'!K62,432))</x:f>
        <x:v>0</x:v>
      </x:c>
      <x:c r="BZ62" s="22" t="n">
        <x:f>MAX(0,MIN('Activities'!L62,444)-MAX('Activities'!K62,438))</x:f>
        <x:v>0</x:v>
      </x:c>
      <x:c r="CA62" s="22" t="n">
        <x:f>MAX(0,MIN('Activities'!L62,450)-MAX('Activities'!K62,444))</x:f>
        <x:v>0</x:v>
      </x:c>
      <x:c r="CB62" s="22" t="n">
        <x:f>MAX(0,MIN('Activities'!L62,456)-MAX('Activities'!K62,450))</x:f>
        <x:v>0</x:v>
      </x:c>
      <x:c r="CC62" s="22" t="n">
        <x:f>MAX(0,MIN('Activities'!L62,462)-MAX('Activities'!K62,456))</x:f>
        <x:v>0</x:v>
      </x:c>
      <x:c r="CD62" s="22" t="n">
        <x:f>MAX(0,MIN('Activities'!L62,468)-MAX('Activities'!K62,462))</x:f>
        <x:v>0</x:v>
      </x:c>
      <x:c r="CE62" s="22" t="n">
        <x:f>MAX(0,MIN('Activities'!L62,474)-MAX('Activities'!K62,468))</x:f>
        <x:v>0</x:v>
      </x:c>
      <x:c r="CF62" s="22" t="n">
        <x:f>MAX(0,MIN('Activities'!L62,480)-MAX('Activities'!K62,474))</x:f>
        <x:v>0</x:v>
      </x:c>
      <x:c r="CG62" s="22" t="n">
        <x:f>MAX(0,MIN('Activities'!L62,486)-MAX('Activities'!K62,480))</x:f>
        <x:v>0</x:v>
      </x:c>
      <x:c r="CH62" s="22" t="n">
        <x:f>MAX(0,MIN('Activities'!L62,492)-MAX('Activities'!K62,486))</x:f>
        <x:v>0</x:v>
      </x:c>
      <x:c r="CI62" s="22" t="n">
        <x:f>MAX(0,MIN('Activities'!L62,498)-MAX('Activities'!K62,492))</x:f>
        <x:v>0</x:v>
      </x:c>
      <x:c r="CJ62" s="22" t="n">
        <x:f>MAX(0,MIN('Activities'!L62,504)-MAX('Activities'!K62,498))</x:f>
        <x:v>0</x:v>
      </x:c>
      <x:c r="CK62" s="22" t="n">
        <x:f>MAX(0,MIN('Activities'!L62,510)-MAX('Activities'!K62,504))</x:f>
        <x:v>0</x:v>
      </x:c>
      <x:c r="CL62" s="22" t="n">
        <x:f>MAX(0,MIN('Activities'!L62,516)-MAX('Activities'!K62,510))</x:f>
        <x:v>0</x:v>
      </x:c>
      <x:c r="CM62" s="22" t="n">
        <x:f>MAX(0,MIN('Activities'!L62,522)-MAX('Activities'!K62,516))</x:f>
        <x:v>0</x:v>
      </x:c>
      <x:c r="CN62" s="22" t="n">
        <x:f>MAX(0,MIN('Activities'!L62,528)-MAX('Activities'!K62,522))</x:f>
        <x:v>0</x:v>
      </x:c>
      <x:c r="CO62" s="22" t="n">
        <x:f>MAX(0,MIN('Activities'!L62,534)-MAX('Activities'!K62,528))</x:f>
        <x:v>0</x:v>
      </x:c>
      <x:c r="CP62" s="22" t="n">
        <x:f>MAX(0,MIN('Activities'!L62,540)-MAX('Activities'!K62,534))</x:f>
        <x:v>0</x:v>
      </x:c>
      <x:c r="CQ62" s="22" t="n">
        <x:f>MAX(0,MIN('Activities'!L62,546)-MAX('Activities'!K62,540))</x:f>
        <x:v>0</x:v>
      </x:c>
      <x:c r="CR62" s="22" t="n">
        <x:f>MAX(0,MIN('Activities'!L62,552)-MAX('Activities'!K62,546))</x:f>
        <x:v>0</x:v>
      </x:c>
      <x:c r="CS62" s="22" t="n">
        <x:f>MAX(0,MIN('Activities'!L62,558)-MAX('Activities'!K62,552))</x:f>
        <x:v>0</x:v>
      </x:c>
      <x:c r="CT62" s="22" t="n">
        <x:f>MAX(0,MIN('Activities'!L62,564)-MAX('Activities'!K62,558))</x:f>
        <x:v>0</x:v>
      </x:c>
      <x:c r="CU62" s="22" t="n">
        <x:f>MAX(0,MIN('Activities'!L62,570)-MAX('Activities'!K62,564))</x:f>
        <x:v>0</x:v>
      </x:c>
      <x:c r="CV62" s="22" t="n">
        <x:f>MAX(0,MIN('Activities'!L62,576)-MAX('Activities'!K62,570))</x:f>
        <x:v>0</x:v>
      </x:c>
      <x:c r="CW62" s="22" t="n">
        <x:f>MAX(0,MIN('Activities'!L62,582)-MAX('Activities'!K62,576))</x:f>
        <x:v>0</x:v>
      </x:c>
      <x:c r="CX62" s="22" t="n">
        <x:f>MAX(0,MIN('Activities'!L62,588)-MAX('Activities'!K62,582))</x:f>
        <x:v>0</x:v>
      </x:c>
      <x:c r="CY62" s="22" t="n">
        <x:f>MAX(0,MIN('Activities'!L62,594)-MAX('Activities'!K62,588))</x:f>
        <x:v>0</x:v>
      </x:c>
      <x:c r="CZ62" s="22" t="n">
        <x:f>MAX(0,MIN('Activities'!L62,600)-MAX('Activities'!K62,594))</x:f>
        <x:v>0</x:v>
      </x:c>
      <x:c r="DA62" s="22" t="n">
        <x:f>MAX(0,MIN('Activities'!L62,606)-MAX('Activities'!K62,600))</x:f>
        <x:v>0</x:v>
      </x:c>
      <x:c r="DB62" s="22" t="n">
        <x:f>MAX(0,MIN('Activities'!L62,612)-MAX('Activities'!K62,606))</x:f>
        <x:v>0</x:v>
      </x:c>
      <x:c r="DC62" s="22" t="n">
        <x:f>MAX(0,MIN('Activities'!L62,618)-MAX('Activities'!K62,612))</x:f>
        <x:v>0</x:v>
      </x:c>
      <x:c r="DD62" s="22" t="n">
        <x:f>MAX(0,MIN('Activities'!L62,624)-MAX('Activities'!K62,618))</x:f>
        <x:v>0</x:v>
      </x:c>
      <x:c r="DE62" s="22" t="n">
        <x:f>MAX(0,MIN('Activities'!L62,630)-MAX('Activities'!K62,624))</x:f>
        <x:v>0</x:v>
      </x:c>
      <x:c r="DF62" s="22" t="n">
        <x:f>MAX(0,MIN('Activities'!L62,636)-MAX('Activities'!K62,630))</x:f>
        <x:v>0</x:v>
      </x:c>
    </x:row>
    <x:row r="63" ht="23" customHeight="1">
      <x:c r="A63" s="1" t="str">
        <x:v>T1-L11-H</x:v>
      </x:c>
      <x:c r="B63" s="1" t="str">
        <x:v>T1</x:v>
      </x:c>
      <x:c r="C63" s="1" t="str">
        <x:v>Curing and release hold point</x:v>
      </x:c>
      <x:c r="D63" s="1" t="str">
        <x:v>Site</x:v>
      </x:c>
      <x:c r="E63" s="23" t="n">
        <x:f>MAX(0,MIN('Activities'!L63,6)-MAX('Activities'!K63,0))</x:f>
        <x:v>0</x:v>
      </x:c>
      <x:c r="F63" s="23" t="n">
        <x:f>MAX(0,MIN('Activities'!L63,12)-MAX('Activities'!K63,6))</x:f>
        <x:v>0</x:v>
      </x:c>
      <x:c r="G63" s="23" t="n">
        <x:f>MAX(0,MIN('Activities'!L63,18)-MAX('Activities'!K63,12))</x:f>
        <x:v>0</x:v>
      </x:c>
      <x:c r="H63" s="23" t="n">
        <x:f>MAX(0,MIN('Activities'!L63,24)-MAX('Activities'!K63,18))</x:f>
        <x:v>0</x:v>
      </x:c>
      <x:c r="I63" s="23" t="n">
        <x:f>MAX(0,MIN('Activities'!L63,30)-MAX('Activities'!K63,24))</x:f>
        <x:v>0</x:v>
      </x:c>
      <x:c r="J63" s="23" t="n">
        <x:f>MAX(0,MIN('Activities'!L63,36)-MAX('Activities'!K63,30))</x:f>
        <x:v>0</x:v>
      </x:c>
      <x:c r="K63" s="23" t="n">
        <x:f>MAX(0,MIN('Activities'!L63,42)-MAX('Activities'!K63,36))</x:f>
        <x:v>0</x:v>
      </x:c>
      <x:c r="L63" s="23" t="n">
        <x:f>MAX(0,MIN('Activities'!L63,48)-MAX('Activities'!K63,42))</x:f>
        <x:v>0</x:v>
      </x:c>
      <x:c r="M63" s="23" t="n">
        <x:f>MAX(0,MIN('Activities'!L63,54)-MAX('Activities'!K63,48))</x:f>
        <x:v>0</x:v>
      </x:c>
      <x:c r="N63" s="23" t="n">
        <x:f>MAX(0,MIN('Activities'!L63,60)-MAX('Activities'!K63,54))</x:f>
        <x:v>0</x:v>
      </x:c>
      <x:c r="O63" s="23" t="n">
        <x:f>MAX(0,MIN('Activities'!L63,66)-MAX('Activities'!K63,60))</x:f>
        <x:v>0</x:v>
      </x:c>
      <x:c r="P63" s="23" t="n">
        <x:f>MAX(0,MIN('Activities'!L63,72)-MAX('Activities'!K63,66))</x:f>
        <x:v>0</x:v>
      </x:c>
      <x:c r="Q63" s="23" t="n">
        <x:f>MAX(0,MIN('Activities'!L63,78)-MAX('Activities'!K63,72))</x:f>
        <x:v>0</x:v>
      </x:c>
      <x:c r="R63" s="23" t="n">
        <x:f>MAX(0,MIN('Activities'!L63,84)-MAX('Activities'!K63,78))</x:f>
        <x:v>0</x:v>
      </x:c>
      <x:c r="S63" s="23" t="n">
        <x:f>MAX(0,MIN('Activities'!L63,90)-MAX('Activities'!K63,84))</x:f>
        <x:v>0</x:v>
      </x:c>
      <x:c r="T63" s="23" t="n">
        <x:f>MAX(0,MIN('Activities'!L63,96)-MAX('Activities'!K63,90))</x:f>
        <x:v>0</x:v>
      </x:c>
      <x:c r="U63" s="23" t="n">
        <x:f>MAX(0,MIN('Activities'!L63,102)-MAX('Activities'!K63,96))</x:f>
        <x:v>0</x:v>
      </x:c>
      <x:c r="V63" s="23" t="n">
        <x:f>MAX(0,MIN('Activities'!L63,108)-MAX('Activities'!K63,102))</x:f>
        <x:v>0</x:v>
      </x:c>
      <x:c r="W63" s="23" t="n">
        <x:f>MAX(0,MIN('Activities'!L63,114)-MAX('Activities'!K63,108))</x:f>
        <x:v>0</x:v>
      </x:c>
      <x:c r="X63" s="23" t="n">
        <x:f>MAX(0,MIN('Activities'!L63,120)-MAX('Activities'!K63,114))</x:f>
        <x:v>0</x:v>
      </x:c>
      <x:c r="Y63" s="23" t="n">
        <x:f>MAX(0,MIN('Activities'!L63,126)-MAX('Activities'!K63,120))</x:f>
        <x:v>0</x:v>
      </x:c>
      <x:c r="Z63" s="23" t="n">
        <x:f>MAX(0,MIN('Activities'!L63,132)-MAX('Activities'!K63,126))</x:f>
        <x:v>0</x:v>
      </x:c>
      <x:c r="AA63" s="23" t="n">
        <x:f>MAX(0,MIN('Activities'!L63,138)-MAX('Activities'!K63,132))</x:f>
        <x:v>0</x:v>
      </x:c>
      <x:c r="AB63" s="23" t="n">
        <x:f>MAX(0,MIN('Activities'!L63,144)-MAX('Activities'!K63,138))</x:f>
        <x:v>0</x:v>
      </x:c>
      <x:c r="AC63" s="23" t="n">
        <x:f>MAX(0,MIN('Activities'!L63,150)-MAX('Activities'!K63,144))</x:f>
        <x:v>0</x:v>
      </x:c>
      <x:c r="AD63" s="23" t="n">
        <x:f>MAX(0,MIN('Activities'!L63,156)-MAX('Activities'!K63,150))</x:f>
        <x:v>0</x:v>
      </x:c>
      <x:c r="AE63" s="23" t="n">
        <x:f>MAX(0,MIN('Activities'!L63,162)-MAX('Activities'!K63,156))</x:f>
        <x:v>0</x:v>
      </x:c>
      <x:c r="AF63" s="23" t="n">
        <x:f>MAX(0,MIN('Activities'!L63,168)-MAX('Activities'!K63,162))</x:f>
        <x:v>0</x:v>
      </x:c>
      <x:c r="AG63" s="23" t="n">
        <x:f>MAX(0,MIN('Activities'!L63,174)-MAX('Activities'!K63,168))</x:f>
        <x:v>0</x:v>
      </x:c>
      <x:c r="AH63" s="23" t="n">
        <x:f>MAX(0,MIN('Activities'!L63,180)-MAX('Activities'!K63,174))</x:f>
        <x:v>0</x:v>
      </x:c>
      <x:c r="AI63" s="23" t="n">
        <x:f>MAX(0,MIN('Activities'!L63,186)-MAX('Activities'!K63,180))</x:f>
        <x:v>0</x:v>
      </x:c>
      <x:c r="AJ63" s="23" t="n">
        <x:f>MAX(0,MIN('Activities'!L63,192)-MAX('Activities'!K63,186))</x:f>
        <x:v>0</x:v>
      </x:c>
      <x:c r="AK63" s="23" t="n">
        <x:f>MAX(0,MIN('Activities'!L63,198)-MAX('Activities'!K63,192))</x:f>
        <x:v>0</x:v>
      </x:c>
      <x:c r="AL63" s="23" t="n">
        <x:f>MAX(0,MIN('Activities'!L63,204)-MAX('Activities'!K63,198))</x:f>
        <x:v>0</x:v>
      </x:c>
      <x:c r="AM63" s="23" t="n">
        <x:f>MAX(0,MIN('Activities'!L63,210)-MAX('Activities'!K63,204))</x:f>
        <x:v>0</x:v>
      </x:c>
      <x:c r="AN63" s="23" t="n">
        <x:f>MAX(0,MIN('Activities'!L63,216)-MAX('Activities'!K63,210))</x:f>
        <x:v>0</x:v>
      </x:c>
      <x:c r="AO63" s="23" t="n">
        <x:f>MAX(0,MIN('Activities'!L63,222)-MAX('Activities'!K63,216))</x:f>
        <x:v>0</x:v>
      </x:c>
      <x:c r="AP63" s="23" t="n">
        <x:f>MAX(0,MIN('Activities'!L63,228)-MAX('Activities'!K63,222))</x:f>
        <x:v>0</x:v>
      </x:c>
      <x:c r="AQ63" s="23" t="n">
        <x:f>MAX(0,MIN('Activities'!L63,234)-MAX('Activities'!K63,228))</x:f>
        <x:v>0</x:v>
      </x:c>
      <x:c r="AR63" s="23" t="n">
        <x:f>MAX(0,MIN('Activities'!L63,240)-MAX('Activities'!K63,234))</x:f>
        <x:v>0</x:v>
      </x:c>
      <x:c r="AS63" s="23" t="n">
        <x:f>MAX(0,MIN('Activities'!L63,246)-MAX('Activities'!K63,240))</x:f>
        <x:v>0</x:v>
      </x:c>
      <x:c r="AT63" s="23" t="n">
        <x:f>MAX(0,MIN('Activities'!L63,252)-MAX('Activities'!K63,246))</x:f>
        <x:v>0</x:v>
      </x:c>
      <x:c r="AU63" s="23" t="n">
        <x:f>MAX(0,MIN('Activities'!L63,258)-MAX('Activities'!K63,252))</x:f>
        <x:v>0</x:v>
      </x:c>
      <x:c r="AV63" s="23" t="n">
        <x:f>MAX(0,MIN('Activities'!L63,264)-MAX('Activities'!K63,258))</x:f>
        <x:v>0</x:v>
      </x:c>
      <x:c r="AW63" s="23" t="n">
        <x:f>MAX(0,MIN('Activities'!L63,270)-MAX('Activities'!K63,264))</x:f>
        <x:v>0</x:v>
      </x:c>
      <x:c r="AX63" s="23" t="n">
        <x:f>MAX(0,MIN('Activities'!L63,276)-MAX('Activities'!K63,270))</x:f>
        <x:v>0</x:v>
      </x:c>
      <x:c r="AY63" s="23" t="n">
        <x:f>MAX(0,MIN('Activities'!L63,282)-MAX('Activities'!K63,276))</x:f>
        <x:v>0</x:v>
      </x:c>
      <x:c r="AZ63" s="23" t="n">
        <x:f>MAX(0,MIN('Activities'!L63,288)-MAX('Activities'!K63,282))</x:f>
        <x:v>0</x:v>
      </x:c>
      <x:c r="BA63" s="23" t="n">
        <x:f>MAX(0,MIN('Activities'!L63,294)-MAX('Activities'!K63,288))</x:f>
        <x:v>0</x:v>
      </x:c>
      <x:c r="BB63" s="23" t="n">
        <x:f>MAX(0,MIN('Activities'!L63,300)-MAX('Activities'!K63,294))</x:f>
        <x:v>0</x:v>
      </x:c>
      <x:c r="BC63" s="23" t="n">
        <x:f>MAX(0,MIN('Activities'!L63,306)-MAX('Activities'!K63,300))</x:f>
        <x:v>0</x:v>
      </x:c>
      <x:c r="BD63" s="23" t="n">
        <x:f>MAX(0,MIN('Activities'!L63,312)-MAX('Activities'!K63,306))</x:f>
        <x:v>0</x:v>
      </x:c>
      <x:c r="BE63" s="23" t="n">
        <x:f>MAX(0,MIN('Activities'!L63,318)-MAX('Activities'!K63,312))</x:f>
        <x:v>0</x:v>
      </x:c>
      <x:c r="BF63" s="23" t="n">
        <x:f>MAX(0,MIN('Activities'!L63,324)-MAX('Activities'!K63,318))</x:f>
        <x:v>0</x:v>
      </x:c>
      <x:c r="BG63" s="23" t="n">
        <x:f>MAX(0,MIN('Activities'!L63,330)-MAX('Activities'!K63,324))</x:f>
        <x:v>0</x:v>
      </x:c>
      <x:c r="BH63" s="23" t="n">
        <x:f>MAX(0,MIN('Activities'!L63,336)-MAX('Activities'!K63,330))</x:f>
        <x:v>0</x:v>
      </x:c>
      <x:c r="BI63" s="23" t="n">
        <x:f>MAX(0,MIN('Activities'!L63,342)-MAX('Activities'!K63,336))</x:f>
        <x:v>0</x:v>
      </x:c>
      <x:c r="BJ63" s="23" t="n">
        <x:f>MAX(0,MIN('Activities'!L63,348)-MAX('Activities'!K63,342))</x:f>
        <x:v>3</x:v>
      </x:c>
      <x:c r="BK63" s="23" t="n">
        <x:f>MAX(0,MIN('Activities'!L63,354)-MAX('Activities'!K63,348))</x:f>
        <x:v>2</x:v>
      </x:c>
      <x:c r="BL63" s="23" t="n">
        <x:f>MAX(0,MIN('Activities'!L63,360)-MAX('Activities'!K63,354))</x:f>
        <x:v>0</x:v>
      </x:c>
      <x:c r="BM63" s="23" t="n">
        <x:f>MAX(0,MIN('Activities'!L63,366)-MAX('Activities'!K63,360))</x:f>
        <x:v>0</x:v>
      </x:c>
      <x:c r="BN63" s="23" t="n">
        <x:f>MAX(0,MIN('Activities'!L63,372)-MAX('Activities'!K63,366))</x:f>
        <x:v>0</x:v>
      </x:c>
      <x:c r="BO63" s="23" t="n">
        <x:f>MAX(0,MIN('Activities'!L63,378)-MAX('Activities'!K63,372))</x:f>
        <x:v>0</x:v>
      </x:c>
      <x:c r="BP63" s="23" t="n">
        <x:f>MAX(0,MIN('Activities'!L63,384)-MAX('Activities'!K63,378))</x:f>
        <x:v>0</x:v>
      </x:c>
      <x:c r="BQ63" s="23" t="n">
        <x:f>MAX(0,MIN('Activities'!L63,390)-MAX('Activities'!K63,384))</x:f>
        <x:v>0</x:v>
      </x:c>
      <x:c r="BR63" s="23" t="n">
        <x:f>MAX(0,MIN('Activities'!L63,396)-MAX('Activities'!K63,390))</x:f>
        <x:v>0</x:v>
      </x:c>
      <x:c r="BS63" s="23" t="n">
        <x:f>MAX(0,MIN('Activities'!L63,402)-MAX('Activities'!K63,396))</x:f>
        <x:v>0</x:v>
      </x:c>
      <x:c r="BT63" s="23" t="n">
        <x:f>MAX(0,MIN('Activities'!L63,408)-MAX('Activities'!K63,402))</x:f>
        <x:v>0</x:v>
      </x:c>
      <x:c r="BU63" s="23" t="n">
        <x:f>MAX(0,MIN('Activities'!L63,414)-MAX('Activities'!K63,408))</x:f>
        <x:v>0</x:v>
      </x:c>
      <x:c r="BV63" s="23" t="n">
        <x:f>MAX(0,MIN('Activities'!L63,420)-MAX('Activities'!K63,414))</x:f>
        <x:v>0</x:v>
      </x:c>
      <x:c r="BW63" s="23" t="n">
        <x:f>MAX(0,MIN('Activities'!L63,426)-MAX('Activities'!K63,420))</x:f>
        <x:v>0</x:v>
      </x:c>
      <x:c r="BX63" s="23" t="n">
        <x:f>MAX(0,MIN('Activities'!L63,432)-MAX('Activities'!K63,426))</x:f>
        <x:v>0</x:v>
      </x:c>
      <x:c r="BY63" s="23" t="n">
        <x:f>MAX(0,MIN('Activities'!L63,438)-MAX('Activities'!K63,432))</x:f>
        <x:v>0</x:v>
      </x:c>
      <x:c r="BZ63" s="23" t="n">
        <x:f>MAX(0,MIN('Activities'!L63,444)-MAX('Activities'!K63,438))</x:f>
        <x:v>0</x:v>
      </x:c>
      <x:c r="CA63" s="23" t="n">
        <x:f>MAX(0,MIN('Activities'!L63,450)-MAX('Activities'!K63,444))</x:f>
        <x:v>0</x:v>
      </x:c>
      <x:c r="CB63" s="23" t="n">
        <x:f>MAX(0,MIN('Activities'!L63,456)-MAX('Activities'!K63,450))</x:f>
        <x:v>0</x:v>
      </x:c>
      <x:c r="CC63" s="23" t="n">
        <x:f>MAX(0,MIN('Activities'!L63,462)-MAX('Activities'!K63,456))</x:f>
        <x:v>0</x:v>
      </x:c>
      <x:c r="CD63" s="23" t="n">
        <x:f>MAX(0,MIN('Activities'!L63,468)-MAX('Activities'!K63,462))</x:f>
        <x:v>0</x:v>
      </x:c>
      <x:c r="CE63" s="23" t="n">
        <x:f>MAX(0,MIN('Activities'!L63,474)-MAX('Activities'!K63,468))</x:f>
        <x:v>0</x:v>
      </x:c>
      <x:c r="CF63" s="23" t="n">
        <x:f>MAX(0,MIN('Activities'!L63,480)-MAX('Activities'!K63,474))</x:f>
        <x:v>0</x:v>
      </x:c>
      <x:c r="CG63" s="23" t="n">
        <x:f>MAX(0,MIN('Activities'!L63,486)-MAX('Activities'!K63,480))</x:f>
        <x:v>0</x:v>
      </x:c>
      <x:c r="CH63" s="23" t="n">
        <x:f>MAX(0,MIN('Activities'!L63,492)-MAX('Activities'!K63,486))</x:f>
        <x:v>0</x:v>
      </x:c>
      <x:c r="CI63" s="23" t="n">
        <x:f>MAX(0,MIN('Activities'!L63,498)-MAX('Activities'!K63,492))</x:f>
        <x:v>0</x:v>
      </x:c>
      <x:c r="CJ63" s="23" t="n">
        <x:f>MAX(0,MIN('Activities'!L63,504)-MAX('Activities'!K63,498))</x:f>
        <x:v>0</x:v>
      </x:c>
      <x:c r="CK63" s="23" t="n">
        <x:f>MAX(0,MIN('Activities'!L63,510)-MAX('Activities'!K63,504))</x:f>
        <x:v>0</x:v>
      </x:c>
      <x:c r="CL63" s="23" t="n">
        <x:f>MAX(0,MIN('Activities'!L63,516)-MAX('Activities'!K63,510))</x:f>
        <x:v>0</x:v>
      </x:c>
      <x:c r="CM63" s="23" t="n">
        <x:f>MAX(0,MIN('Activities'!L63,522)-MAX('Activities'!K63,516))</x:f>
        <x:v>0</x:v>
      </x:c>
      <x:c r="CN63" s="23" t="n">
        <x:f>MAX(0,MIN('Activities'!L63,528)-MAX('Activities'!K63,522))</x:f>
        <x:v>0</x:v>
      </x:c>
      <x:c r="CO63" s="23" t="n">
        <x:f>MAX(0,MIN('Activities'!L63,534)-MAX('Activities'!K63,528))</x:f>
        <x:v>0</x:v>
      </x:c>
      <x:c r="CP63" s="23" t="n">
        <x:f>MAX(0,MIN('Activities'!L63,540)-MAX('Activities'!K63,534))</x:f>
        <x:v>0</x:v>
      </x:c>
      <x:c r="CQ63" s="23" t="n">
        <x:f>MAX(0,MIN('Activities'!L63,546)-MAX('Activities'!K63,540))</x:f>
        <x:v>0</x:v>
      </x:c>
      <x:c r="CR63" s="23" t="n">
        <x:f>MAX(0,MIN('Activities'!L63,552)-MAX('Activities'!K63,546))</x:f>
        <x:v>0</x:v>
      </x:c>
      <x:c r="CS63" s="23" t="n">
        <x:f>MAX(0,MIN('Activities'!L63,558)-MAX('Activities'!K63,552))</x:f>
        <x:v>0</x:v>
      </x:c>
      <x:c r="CT63" s="23" t="n">
        <x:f>MAX(0,MIN('Activities'!L63,564)-MAX('Activities'!K63,558))</x:f>
        <x:v>0</x:v>
      </x:c>
      <x:c r="CU63" s="23" t="n">
        <x:f>MAX(0,MIN('Activities'!L63,570)-MAX('Activities'!K63,564))</x:f>
        <x:v>0</x:v>
      </x:c>
      <x:c r="CV63" s="23" t="n">
        <x:f>MAX(0,MIN('Activities'!L63,576)-MAX('Activities'!K63,570))</x:f>
        <x:v>0</x:v>
      </x:c>
      <x:c r="CW63" s="23" t="n">
        <x:f>MAX(0,MIN('Activities'!L63,582)-MAX('Activities'!K63,576))</x:f>
        <x:v>0</x:v>
      </x:c>
      <x:c r="CX63" s="23" t="n">
        <x:f>MAX(0,MIN('Activities'!L63,588)-MAX('Activities'!K63,582))</x:f>
        <x:v>0</x:v>
      </x:c>
      <x:c r="CY63" s="23" t="n">
        <x:f>MAX(0,MIN('Activities'!L63,594)-MAX('Activities'!K63,588))</x:f>
        <x:v>0</x:v>
      </x:c>
      <x:c r="CZ63" s="23" t="n">
        <x:f>MAX(0,MIN('Activities'!L63,600)-MAX('Activities'!K63,594))</x:f>
        <x:v>0</x:v>
      </x:c>
      <x:c r="DA63" s="23" t="n">
        <x:f>MAX(0,MIN('Activities'!L63,606)-MAX('Activities'!K63,600))</x:f>
        <x:v>0</x:v>
      </x:c>
      <x:c r="DB63" s="23" t="n">
        <x:f>MAX(0,MIN('Activities'!L63,612)-MAX('Activities'!K63,606))</x:f>
        <x:v>0</x:v>
      </x:c>
      <x:c r="DC63" s="23" t="n">
        <x:f>MAX(0,MIN('Activities'!L63,618)-MAX('Activities'!K63,612))</x:f>
        <x:v>0</x:v>
      </x:c>
      <x:c r="DD63" s="23" t="n">
        <x:f>MAX(0,MIN('Activities'!L63,624)-MAX('Activities'!K63,618))</x:f>
        <x:v>0</x:v>
      </x:c>
      <x:c r="DE63" s="23" t="n">
        <x:f>MAX(0,MIN('Activities'!L63,630)-MAX('Activities'!K63,624))</x:f>
        <x:v>0</x:v>
      </x:c>
      <x:c r="DF63" s="23" t="n">
        <x:f>MAX(0,MIN('Activities'!L63,636)-MAX('Activities'!K63,630))</x:f>
        <x:v>0</x:v>
      </x:c>
    </x:row>
    <x:row r="64" ht="23" customHeight="1">
      <x:c r="A64" s="6" t="str">
        <x:v>T1-L12-F</x:v>
      </x:c>
      <x:c r="B64" s="6" t="str">
        <x:v>T1</x:v>
      </x:c>
      <x:c r="C64" s="6" t="str">
        <x:v>Columns, core and deck formwork</x:v>
      </x:c>
      <x:c r="D64" s="6" t="str">
        <x:v>Formwork</x:v>
      </x:c>
      <x:c r="E64" s="22" t="n">
        <x:f>MAX(0,MIN('Activities'!L64,6)-MAX('Activities'!K64,0))</x:f>
        <x:v>0</x:v>
      </x:c>
      <x:c r="F64" s="22" t="n">
        <x:f>MAX(0,MIN('Activities'!L64,12)-MAX('Activities'!K64,6))</x:f>
        <x:v>0</x:v>
      </x:c>
      <x:c r="G64" s="22" t="n">
        <x:f>MAX(0,MIN('Activities'!L64,18)-MAX('Activities'!K64,12))</x:f>
        <x:v>0</x:v>
      </x:c>
      <x:c r="H64" s="22" t="n">
        <x:f>MAX(0,MIN('Activities'!L64,24)-MAX('Activities'!K64,18))</x:f>
        <x:v>0</x:v>
      </x:c>
      <x:c r="I64" s="22" t="n">
        <x:f>MAX(0,MIN('Activities'!L64,30)-MAX('Activities'!K64,24))</x:f>
        <x:v>0</x:v>
      </x:c>
      <x:c r="J64" s="22" t="n">
        <x:f>MAX(0,MIN('Activities'!L64,36)-MAX('Activities'!K64,30))</x:f>
        <x:v>0</x:v>
      </x:c>
      <x:c r="K64" s="22" t="n">
        <x:f>MAX(0,MIN('Activities'!L64,42)-MAX('Activities'!K64,36))</x:f>
        <x:v>0</x:v>
      </x:c>
      <x:c r="L64" s="22" t="n">
        <x:f>MAX(0,MIN('Activities'!L64,48)-MAX('Activities'!K64,42))</x:f>
        <x:v>0</x:v>
      </x:c>
      <x:c r="M64" s="22" t="n">
        <x:f>MAX(0,MIN('Activities'!L64,54)-MAX('Activities'!K64,48))</x:f>
        <x:v>0</x:v>
      </x:c>
      <x:c r="N64" s="22" t="n">
        <x:f>MAX(0,MIN('Activities'!L64,60)-MAX('Activities'!K64,54))</x:f>
        <x:v>0</x:v>
      </x:c>
      <x:c r="O64" s="22" t="n">
        <x:f>MAX(0,MIN('Activities'!L64,66)-MAX('Activities'!K64,60))</x:f>
        <x:v>0</x:v>
      </x:c>
      <x:c r="P64" s="22" t="n">
        <x:f>MAX(0,MIN('Activities'!L64,72)-MAX('Activities'!K64,66))</x:f>
        <x:v>0</x:v>
      </x:c>
      <x:c r="Q64" s="22" t="n">
        <x:f>MAX(0,MIN('Activities'!L64,78)-MAX('Activities'!K64,72))</x:f>
        <x:v>0</x:v>
      </x:c>
      <x:c r="R64" s="22" t="n">
        <x:f>MAX(0,MIN('Activities'!L64,84)-MAX('Activities'!K64,78))</x:f>
        <x:v>0</x:v>
      </x:c>
      <x:c r="S64" s="22" t="n">
        <x:f>MAX(0,MIN('Activities'!L64,90)-MAX('Activities'!K64,84))</x:f>
        <x:v>0</x:v>
      </x:c>
      <x:c r="T64" s="22" t="n">
        <x:f>MAX(0,MIN('Activities'!L64,96)-MAX('Activities'!K64,90))</x:f>
        <x:v>0</x:v>
      </x:c>
      <x:c r="U64" s="22" t="n">
        <x:f>MAX(0,MIN('Activities'!L64,102)-MAX('Activities'!K64,96))</x:f>
        <x:v>0</x:v>
      </x:c>
      <x:c r="V64" s="22" t="n">
        <x:f>MAX(0,MIN('Activities'!L64,108)-MAX('Activities'!K64,102))</x:f>
        <x:v>0</x:v>
      </x:c>
      <x:c r="W64" s="22" t="n">
        <x:f>MAX(0,MIN('Activities'!L64,114)-MAX('Activities'!K64,108))</x:f>
        <x:v>0</x:v>
      </x:c>
      <x:c r="X64" s="22" t="n">
        <x:f>MAX(0,MIN('Activities'!L64,120)-MAX('Activities'!K64,114))</x:f>
        <x:v>0</x:v>
      </x:c>
      <x:c r="Y64" s="22" t="n">
        <x:f>MAX(0,MIN('Activities'!L64,126)-MAX('Activities'!K64,120))</x:f>
        <x:v>0</x:v>
      </x:c>
      <x:c r="Z64" s="22" t="n">
        <x:f>MAX(0,MIN('Activities'!L64,132)-MAX('Activities'!K64,126))</x:f>
        <x:v>0</x:v>
      </x:c>
      <x:c r="AA64" s="22" t="n">
        <x:f>MAX(0,MIN('Activities'!L64,138)-MAX('Activities'!K64,132))</x:f>
        <x:v>0</x:v>
      </x:c>
      <x:c r="AB64" s="22" t="n">
        <x:f>MAX(0,MIN('Activities'!L64,144)-MAX('Activities'!K64,138))</x:f>
        <x:v>0</x:v>
      </x:c>
      <x:c r="AC64" s="22" t="n">
        <x:f>MAX(0,MIN('Activities'!L64,150)-MAX('Activities'!K64,144))</x:f>
        <x:v>0</x:v>
      </x:c>
      <x:c r="AD64" s="22" t="n">
        <x:f>MAX(0,MIN('Activities'!L64,156)-MAX('Activities'!K64,150))</x:f>
        <x:v>0</x:v>
      </x:c>
      <x:c r="AE64" s="22" t="n">
        <x:f>MAX(0,MIN('Activities'!L64,162)-MAX('Activities'!K64,156))</x:f>
        <x:v>0</x:v>
      </x:c>
      <x:c r="AF64" s="22" t="n">
        <x:f>MAX(0,MIN('Activities'!L64,168)-MAX('Activities'!K64,162))</x:f>
        <x:v>0</x:v>
      </x:c>
      <x:c r="AG64" s="22" t="n">
        <x:f>MAX(0,MIN('Activities'!L64,174)-MAX('Activities'!K64,168))</x:f>
        <x:v>0</x:v>
      </x:c>
      <x:c r="AH64" s="22" t="n">
        <x:f>MAX(0,MIN('Activities'!L64,180)-MAX('Activities'!K64,174))</x:f>
        <x:v>0</x:v>
      </x:c>
      <x:c r="AI64" s="22" t="n">
        <x:f>MAX(0,MIN('Activities'!L64,186)-MAX('Activities'!K64,180))</x:f>
        <x:v>0</x:v>
      </x:c>
      <x:c r="AJ64" s="22" t="n">
        <x:f>MAX(0,MIN('Activities'!L64,192)-MAX('Activities'!K64,186))</x:f>
        <x:v>0</x:v>
      </x:c>
      <x:c r="AK64" s="22" t="n">
        <x:f>MAX(0,MIN('Activities'!L64,198)-MAX('Activities'!K64,192))</x:f>
        <x:v>0</x:v>
      </x:c>
      <x:c r="AL64" s="22" t="n">
        <x:f>MAX(0,MIN('Activities'!L64,204)-MAX('Activities'!K64,198))</x:f>
        <x:v>0</x:v>
      </x:c>
      <x:c r="AM64" s="22" t="n">
        <x:f>MAX(0,MIN('Activities'!L64,210)-MAX('Activities'!K64,204))</x:f>
        <x:v>0</x:v>
      </x:c>
      <x:c r="AN64" s="22" t="n">
        <x:f>MAX(0,MIN('Activities'!L64,216)-MAX('Activities'!K64,210))</x:f>
        <x:v>0</x:v>
      </x:c>
      <x:c r="AO64" s="22" t="n">
        <x:f>MAX(0,MIN('Activities'!L64,222)-MAX('Activities'!K64,216))</x:f>
        <x:v>0</x:v>
      </x:c>
      <x:c r="AP64" s="22" t="n">
        <x:f>MAX(0,MIN('Activities'!L64,228)-MAX('Activities'!K64,222))</x:f>
        <x:v>0</x:v>
      </x:c>
      <x:c r="AQ64" s="22" t="n">
        <x:f>MAX(0,MIN('Activities'!L64,234)-MAX('Activities'!K64,228))</x:f>
        <x:v>0</x:v>
      </x:c>
      <x:c r="AR64" s="22" t="n">
        <x:f>MAX(0,MIN('Activities'!L64,240)-MAX('Activities'!K64,234))</x:f>
        <x:v>0</x:v>
      </x:c>
      <x:c r="AS64" s="22" t="n">
        <x:f>MAX(0,MIN('Activities'!L64,246)-MAX('Activities'!K64,240))</x:f>
        <x:v>0</x:v>
      </x:c>
      <x:c r="AT64" s="22" t="n">
        <x:f>MAX(0,MIN('Activities'!L64,252)-MAX('Activities'!K64,246))</x:f>
        <x:v>0</x:v>
      </x:c>
      <x:c r="AU64" s="22" t="n">
        <x:f>MAX(0,MIN('Activities'!L64,258)-MAX('Activities'!K64,252))</x:f>
        <x:v>0</x:v>
      </x:c>
      <x:c r="AV64" s="22" t="n">
        <x:f>MAX(0,MIN('Activities'!L64,264)-MAX('Activities'!K64,258))</x:f>
        <x:v>0</x:v>
      </x:c>
      <x:c r="AW64" s="22" t="n">
        <x:f>MAX(0,MIN('Activities'!L64,270)-MAX('Activities'!K64,264))</x:f>
        <x:v>0</x:v>
      </x:c>
      <x:c r="AX64" s="22" t="n">
        <x:f>MAX(0,MIN('Activities'!L64,276)-MAX('Activities'!K64,270))</x:f>
        <x:v>0</x:v>
      </x:c>
      <x:c r="AY64" s="22" t="n">
        <x:f>MAX(0,MIN('Activities'!L64,282)-MAX('Activities'!K64,276))</x:f>
        <x:v>0</x:v>
      </x:c>
      <x:c r="AZ64" s="22" t="n">
        <x:f>MAX(0,MIN('Activities'!L64,288)-MAX('Activities'!K64,282))</x:f>
        <x:v>0</x:v>
      </x:c>
      <x:c r="BA64" s="22" t="n">
        <x:f>MAX(0,MIN('Activities'!L64,294)-MAX('Activities'!K64,288))</x:f>
        <x:v>0</x:v>
      </x:c>
      <x:c r="BB64" s="22" t="n">
        <x:f>MAX(0,MIN('Activities'!L64,300)-MAX('Activities'!K64,294))</x:f>
        <x:v>0</x:v>
      </x:c>
      <x:c r="BC64" s="22" t="n">
        <x:f>MAX(0,MIN('Activities'!L64,306)-MAX('Activities'!K64,300))</x:f>
        <x:v>0</x:v>
      </x:c>
      <x:c r="BD64" s="22" t="n">
        <x:f>MAX(0,MIN('Activities'!L64,312)-MAX('Activities'!K64,306))</x:f>
        <x:v>0</x:v>
      </x:c>
      <x:c r="BE64" s="22" t="n">
        <x:f>MAX(0,MIN('Activities'!L64,318)-MAX('Activities'!K64,312))</x:f>
        <x:v>0</x:v>
      </x:c>
      <x:c r="BF64" s="22" t="n">
        <x:f>MAX(0,MIN('Activities'!L64,324)-MAX('Activities'!K64,318))</x:f>
        <x:v>0</x:v>
      </x:c>
      <x:c r="BG64" s="22" t="n">
        <x:f>MAX(0,MIN('Activities'!L64,330)-MAX('Activities'!K64,324))</x:f>
        <x:v>0</x:v>
      </x:c>
      <x:c r="BH64" s="22" t="n">
        <x:f>MAX(0,MIN('Activities'!L64,336)-MAX('Activities'!K64,330))</x:f>
        <x:v>0</x:v>
      </x:c>
      <x:c r="BI64" s="22" t="n">
        <x:f>MAX(0,MIN('Activities'!L64,342)-MAX('Activities'!K64,336))</x:f>
        <x:v>0</x:v>
      </x:c>
      <x:c r="BJ64" s="22" t="n">
        <x:f>MAX(0,MIN('Activities'!L64,348)-MAX('Activities'!K64,342))</x:f>
        <x:v>0</x:v>
      </x:c>
      <x:c r="BK64" s="22" t="n">
        <x:f>MAX(0,MIN('Activities'!L64,354)-MAX('Activities'!K64,348))</x:f>
        <x:v>4</x:v>
      </x:c>
      <x:c r="BL64" s="22" t="n">
        <x:f>MAX(0,MIN('Activities'!L64,360)-MAX('Activities'!K64,354))</x:f>
        <x:v>2</x:v>
      </x:c>
      <x:c r="BM64" s="22" t="n">
        <x:f>MAX(0,MIN('Activities'!L64,366)-MAX('Activities'!K64,360))</x:f>
        <x:v>0</x:v>
      </x:c>
      <x:c r="BN64" s="22" t="n">
        <x:f>MAX(0,MIN('Activities'!L64,372)-MAX('Activities'!K64,366))</x:f>
        <x:v>0</x:v>
      </x:c>
      <x:c r="BO64" s="22" t="n">
        <x:f>MAX(0,MIN('Activities'!L64,378)-MAX('Activities'!K64,372))</x:f>
        <x:v>0</x:v>
      </x:c>
      <x:c r="BP64" s="22" t="n">
        <x:f>MAX(0,MIN('Activities'!L64,384)-MAX('Activities'!K64,378))</x:f>
        <x:v>0</x:v>
      </x:c>
      <x:c r="BQ64" s="22" t="n">
        <x:f>MAX(0,MIN('Activities'!L64,390)-MAX('Activities'!K64,384))</x:f>
        <x:v>0</x:v>
      </x:c>
      <x:c r="BR64" s="22" t="n">
        <x:f>MAX(0,MIN('Activities'!L64,396)-MAX('Activities'!K64,390))</x:f>
        <x:v>0</x:v>
      </x:c>
      <x:c r="BS64" s="22" t="n">
        <x:f>MAX(0,MIN('Activities'!L64,402)-MAX('Activities'!K64,396))</x:f>
        <x:v>0</x:v>
      </x:c>
      <x:c r="BT64" s="22" t="n">
        <x:f>MAX(0,MIN('Activities'!L64,408)-MAX('Activities'!K64,402))</x:f>
        <x:v>0</x:v>
      </x:c>
      <x:c r="BU64" s="22" t="n">
        <x:f>MAX(0,MIN('Activities'!L64,414)-MAX('Activities'!K64,408))</x:f>
        <x:v>0</x:v>
      </x:c>
      <x:c r="BV64" s="22" t="n">
        <x:f>MAX(0,MIN('Activities'!L64,420)-MAX('Activities'!K64,414))</x:f>
        <x:v>0</x:v>
      </x:c>
      <x:c r="BW64" s="22" t="n">
        <x:f>MAX(0,MIN('Activities'!L64,426)-MAX('Activities'!K64,420))</x:f>
        <x:v>0</x:v>
      </x:c>
      <x:c r="BX64" s="22" t="n">
        <x:f>MAX(0,MIN('Activities'!L64,432)-MAX('Activities'!K64,426))</x:f>
        <x:v>0</x:v>
      </x:c>
      <x:c r="BY64" s="22" t="n">
        <x:f>MAX(0,MIN('Activities'!L64,438)-MAX('Activities'!K64,432))</x:f>
        <x:v>0</x:v>
      </x:c>
      <x:c r="BZ64" s="22" t="n">
        <x:f>MAX(0,MIN('Activities'!L64,444)-MAX('Activities'!K64,438))</x:f>
        <x:v>0</x:v>
      </x:c>
      <x:c r="CA64" s="22" t="n">
        <x:f>MAX(0,MIN('Activities'!L64,450)-MAX('Activities'!K64,444))</x:f>
        <x:v>0</x:v>
      </x:c>
      <x:c r="CB64" s="22" t="n">
        <x:f>MAX(0,MIN('Activities'!L64,456)-MAX('Activities'!K64,450))</x:f>
        <x:v>0</x:v>
      </x:c>
      <x:c r="CC64" s="22" t="n">
        <x:f>MAX(0,MIN('Activities'!L64,462)-MAX('Activities'!K64,456))</x:f>
        <x:v>0</x:v>
      </x:c>
      <x:c r="CD64" s="22" t="n">
        <x:f>MAX(0,MIN('Activities'!L64,468)-MAX('Activities'!K64,462))</x:f>
        <x:v>0</x:v>
      </x:c>
      <x:c r="CE64" s="22" t="n">
        <x:f>MAX(0,MIN('Activities'!L64,474)-MAX('Activities'!K64,468))</x:f>
        <x:v>0</x:v>
      </x:c>
      <x:c r="CF64" s="22" t="n">
        <x:f>MAX(0,MIN('Activities'!L64,480)-MAX('Activities'!K64,474))</x:f>
        <x:v>0</x:v>
      </x:c>
      <x:c r="CG64" s="22" t="n">
        <x:f>MAX(0,MIN('Activities'!L64,486)-MAX('Activities'!K64,480))</x:f>
        <x:v>0</x:v>
      </x:c>
      <x:c r="CH64" s="22" t="n">
        <x:f>MAX(0,MIN('Activities'!L64,492)-MAX('Activities'!K64,486))</x:f>
        <x:v>0</x:v>
      </x:c>
      <x:c r="CI64" s="22" t="n">
        <x:f>MAX(0,MIN('Activities'!L64,498)-MAX('Activities'!K64,492))</x:f>
        <x:v>0</x:v>
      </x:c>
      <x:c r="CJ64" s="22" t="n">
        <x:f>MAX(0,MIN('Activities'!L64,504)-MAX('Activities'!K64,498))</x:f>
        <x:v>0</x:v>
      </x:c>
      <x:c r="CK64" s="22" t="n">
        <x:f>MAX(0,MIN('Activities'!L64,510)-MAX('Activities'!K64,504))</x:f>
        <x:v>0</x:v>
      </x:c>
      <x:c r="CL64" s="22" t="n">
        <x:f>MAX(0,MIN('Activities'!L64,516)-MAX('Activities'!K64,510))</x:f>
        <x:v>0</x:v>
      </x:c>
      <x:c r="CM64" s="22" t="n">
        <x:f>MAX(0,MIN('Activities'!L64,522)-MAX('Activities'!K64,516))</x:f>
        <x:v>0</x:v>
      </x:c>
      <x:c r="CN64" s="22" t="n">
        <x:f>MAX(0,MIN('Activities'!L64,528)-MAX('Activities'!K64,522))</x:f>
        <x:v>0</x:v>
      </x:c>
      <x:c r="CO64" s="22" t="n">
        <x:f>MAX(0,MIN('Activities'!L64,534)-MAX('Activities'!K64,528))</x:f>
        <x:v>0</x:v>
      </x:c>
      <x:c r="CP64" s="22" t="n">
        <x:f>MAX(0,MIN('Activities'!L64,540)-MAX('Activities'!K64,534))</x:f>
        <x:v>0</x:v>
      </x:c>
      <x:c r="CQ64" s="22" t="n">
        <x:f>MAX(0,MIN('Activities'!L64,546)-MAX('Activities'!K64,540))</x:f>
        <x:v>0</x:v>
      </x:c>
      <x:c r="CR64" s="22" t="n">
        <x:f>MAX(0,MIN('Activities'!L64,552)-MAX('Activities'!K64,546))</x:f>
        <x:v>0</x:v>
      </x:c>
      <x:c r="CS64" s="22" t="n">
        <x:f>MAX(0,MIN('Activities'!L64,558)-MAX('Activities'!K64,552))</x:f>
        <x:v>0</x:v>
      </x:c>
      <x:c r="CT64" s="22" t="n">
        <x:f>MAX(0,MIN('Activities'!L64,564)-MAX('Activities'!K64,558))</x:f>
        <x:v>0</x:v>
      </x:c>
      <x:c r="CU64" s="22" t="n">
        <x:f>MAX(0,MIN('Activities'!L64,570)-MAX('Activities'!K64,564))</x:f>
        <x:v>0</x:v>
      </x:c>
      <x:c r="CV64" s="22" t="n">
        <x:f>MAX(0,MIN('Activities'!L64,576)-MAX('Activities'!K64,570))</x:f>
        <x:v>0</x:v>
      </x:c>
      <x:c r="CW64" s="22" t="n">
        <x:f>MAX(0,MIN('Activities'!L64,582)-MAX('Activities'!K64,576))</x:f>
        <x:v>0</x:v>
      </x:c>
      <x:c r="CX64" s="22" t="n">
        <x:f>MAX(0,MIN('Activities'!L64,588)-MAX('Activities'!K64,582))</x:f>
        <x:v>0</x:v>
      </x:c>
      <x:c r="CY64" s="22" t="n">
        <x:f>MAX(0,MIN('Activities'!L64,594)-MAX('Activities'!K64,588))</x:f>
        <x:v>0</x:v>
      </x:c>
      <x:c r="CZ64" s="22" t="n">
        <x:f>MAX(0,MIN('Activities'!L64,600)-MAX('Activities'!K64,594))</x:f>
        <x:v>0</x:v>
      </x:c>
      <x:c r="DA64" s="22" t="n">
        <x:f>MAX(0,MIN('Activities'!L64,606)-MAX('Activities'!K64,600))</x:f>
        <x:v>0</x:v>
      </x:c>
      <x:c r="DB64" s="22" t="n">
        <x:f>MAX(0,MIN('Activities'!L64,612)-MAX('Activities'!K64,606))</x:f>
        <x:v>0</x:v>
      </x:c>
      <x:c r="DC64" s="22" t="n">
        <x:f>MAX(0,MIN('Activities'!L64,618)-MAX('Activities'!K64,612))</x:f>
        <x:v>0</x:v>
      </x:c>
      <x:c r="DD64" s="22" t="n">
        <x:f>MAX(0,MIN('Activities'!L64,624)-MAX('Activities'!K64,618))</x:f>
        <x:v>0</x:v>
      </x:c>
      <x:c r="DE64" s="22" t="n">
        <x:f>MAX(0,MIN('Activities'!L64,630)-MAX('Activities'!K64,624))</x:f>
        <x:v>0</x:v>
      </x:c>
      <x:c r="DF64" s="22" t="n">
        <x:f>MAX(0,MIN('Activities'!L64,636)-MAX('Activities'!K64,630))</x:f>
        <x:v>0</x:v>
      </x:c>
    </x:row>
    <x:row r="65" ht="23" customHeight="1">
      <x:c r="A65" s="1" t="str">
        <x:v>T1-L12-R</x:v>
      </x:c>
      <x:c r="B65" s="1" t="str">
        <x:v>T1</x:v>
      </x:c>
      <x:c r="C65" s="1" t="str">
        <x:v>Column, wall, beam and slab reinforcement</x:v>
      </x:c>
      <x:c r="D65" s="1" t="str">
        <x:v>Rebar</x:v>
      </x:c>
      <x:c r="E65" s="23" t="n">
        <x:f>MAX(0,MIN('Activities'!L65,6)-MAX('Activities'!K65,0))</x:f>
        <x:v>0</x:v>
      </x:c>
      <x:c r="F65" s="23" t="n">
        <x:f>MAX(0,MIN('Activities'!L65,12)-MAX('Activities'!K65,6))</x:f>
        <x:v>0</x:v>
      </x:c>
      <x:c r="G65" s="23" t="n">
        <x:f>MAX(0,MIN('Activities'!L65,18)-MAX('Activities'!K65,12))</x:f>
        <x:v>0</x:v>
      </x:c>
      <x:c r="H65" s="23" t="n">
        <x:f>MAX(0,MIN('Activities'!L65,24)-MAX('Activities'!K65,18))</x:f>
        <x:v>0</x:v>
      </x:c>
      <x:c r="I65" s="23" t="n">
        <x:f>MAX(0,MIN('Activities'!L65,30)-MAX('Activities'!K65,24))</x:f>
        <x:v>0</x:v>
      </x:c>
      <x:c r="J65" s="23" t="n">
        <x:f>MAX(0,MIN('Activities'!L65,36)-MAX('Activities'!K65,30))</x:f>
        <x:v>0</x:v>
      </x:c>
      <x:c r="K65" s="23" t="n">
        <x:f>MAX(0,MIN('Activities'!L65,42)-MAX('Activities'!K65,36))</x:f>
        <x:v>0</x:v>
      </x:c>
      <x:c r="L65" s="23" t="n">
        <x:f>MAX(0,MIN('Activities'!L65,48)-MAX('Activities'!K65,42))</x:f>
        <x:v>0</x:v>
      </x:c>
      <x:c r="M65" s="23" t="n">
        <x:f>MAX(0,MIN('Activities'!L65,54)-MAX('Activities'!K65,48))</x:f>
        <x:v>0</x:v>
      </x:c>
      <x:c r="N65" s="23" t="n">
        <x:f>MAX(0,MIN('Activities'!L65,60)-MAX('Activities'!K65,54))</x:f>
        <x:v>0</x:v>
      </x:c>
      <x:c r="O65" s="23" t="n">
        <x:f>MAX(0,MIN('Activities'!L65,66)-MAX('Activities'!K65,60))</x:f>
        <x:v>0</x:v>
      </x:c>
      <x:c r="P65" s="23" t="n">
        <x:f>MAX(0,MIN('Activities'!L65,72)-MAX('Activities'!K65,66))</x:f>
        <x:v>0</x:v>
      </x:c>
      <x:c r="Q65" s="23" t="n">
        <x:f>MAX(0,MIN('Activities'!L65,78)-MAX('Activities'!K65,72))</x:f>
        <x:v>0</x:v>
      </x:c>
      <x:c r="R65" s="23" t="n">
        <x:f>MAX(0,MIN('Activities'!L65,84)-MAX('Activities'!K65,78))</x:f>
        <x:v>0</x:v>
      </x:c>
      <x:c r="S65" s="23" t="n">
        <x:f>MAX(0,MIN('Activities'!L65,90)-MAX('Activities'!K65,84))</x:f>
        <x:v>0</x:v>
      </x:c>
      <x:c r="T65" s="23" t="n">
        <x:f>MAX(0,MIN('Activities'!L65,96)-MAX('Activities'!K65,90))</x:f>
        <x:v>0</x:v>
      </x:c>
      <x:c r="U65" s="23" t="n">
        <x:f>MAX(0,MIN('Activities'!L65,102)-MAX('Activities'!K65,96))</x:f>
        <x:v>0</x:v>
      </x:c>
      <x:c r="V65" s="23" t="n">
        <x:f>MAX(0,MIN('Activities'!L65,108)-MAX('Activities'!K65,102))</x:f>
        <x:v>0</x:v>
      </x:c>
      <x:c r="W65" s="23" t="n">
        <x:f>MAX(0,MIN('Activities'!L65,114)-MAX('Activities'!K65,108))</x:f>
        <x:v>0</x:v>
      </x:c>
      <x:c r="X65" s="23" t="n">
        <x:f>MAX(0,MIN('Activities'!L65,120)-MAX('Activities'!K65,114))</x:f>
        <x:v>0</x:v>
      </x:c>
      <x:c r="Y65" s="23" t="n">
        <x:f>MAX(0,MIN('Activities'!L65,126)-MAX('Activities'!K65,120))</x:f>
        <x:v>0</x:v>
      </x:c>
      <x:c r="Z65" s="23" t="n">
        <x:f>MAX(0,MIN('Activities'!L65,132)-MAX('Activities'!K65,126))</x:f>
        <x:v>0</x:v>
      </x:c>
      <x:c r="AA65" s="23" t="n">
        <x:f>MAX(0,MIN('Activities'!L65,138)-MAX('Activities'!K65,132))</x:f>
        <x:v>0</x:v>
      </x:c>
      <x:c r="AB65" s="23" t="n">
        <x:f>MAX(0,MIN('Activities'!L65,144)-MAX('Activities'!K65,138))</x:f>
        <x:v>0</x:v>
      </x:c>
      <x:c r="AC65" s="23" t="n">
        <x:f>MAX(0,MIN('Activities'!L65,150)-MAX('Activities'!K65,144))</x:f>
        <x:v>0</x:v>
      </x:c>
      <x:c r="AD65" s="23" t="n">
        <x:f>MAX(0,MIN('Activities'!L65,156)-MAX('Activities'!K65,150))</x:f>
        <x:v>0</x:v>
      </x:c>
      <x:c r="AE65" s="23" t="n">
        <x:f>MAX(0,MIN('Activities'!L65,162)-MAX('Activities'!K65,156))</x:f>
        <x:v>0</x:v>
      </x:c>
      <x:c r="AF65" s="23" t="n">
        <x:f>MAX(0,MIN('Activities'!L65,168)-MAX('Activities'!K65,162))</x:f>
        <x:v>0</x:v>
      </x:c>
      <x:c r="AG65" s="23" t="n">
        <x:f>MAX(0,MIN('Activities'!L65,174)-MAX('Activities'!K65,168))</x:f>
        <x:v>0</x:v>
      </x:c>
      <x:c r="AH65" s="23" t="n">
        <x:f>MAX(0,MIN('Activities'!L65,180)-MAX('Activities'!K65,174))</x:f>
        <x:v>0</x:v>
      </x:c>
      <x:c r="AI65" s="23" t="n">
        <x:f>MAX(0,MIN('Activities'!L65,186)-MAX('Activities'!K65,180))</x:f>
        <x:v>0</x:v>
      </x:c>
      <x:c r="AJ65" s="23" t="n">
        <x:f>MAX(0,MIN('Activities'!L65,192)-MAX('Activities'!K65,186))</x:f>
        <x:v>0</x:v>
      </x:c>
      <x:c r="AK65" s="23" t="n">
        <x:f>MAX(0,MIN('Activities'!L65,198)-MAX('Activities'!K65,192))</x:f>
        <x:v>0</x:v>
      </x:c>
      <x:c r="AL65" s="23" t="n">
        <x:f>MAX(0,MIN('Activities'!L65,204)-MAX('Activities'!K65,198))</x:f>
        <x:v>0</x:v>
      </x:c>
      <x:c r="AM65" s="23" t="n">
        <x:f>MAX(0,MIN('Activities'!L65,210)-MAX('Activities'!K65,204))</x:f>
        <x:v>0</x:v>
      </x:c>
      <x:c r="AN65" s="23" t="n">
        <x:f>MAX(0,MIN('Activities'!L65,216)-MAX('Activities'!K65,210))</x:f>
        <x:v>0</x:v>
      </x:c>
      <x:c r="AO65" s="23" t="n">
        <x:f>MAX(0,MIN('Activities'!L65,222)-MAX('Activities'!K65,216))</x:f>
        <x:v>0</x:v>
      </x:c>
      <x:c r="AP65" s="23" t="n">
        <x:f>MAX(0,MIN('Activities'!L65,228)-MAX('Activities'!K65,222))</x:f>
        <x:v>0</x:v>
      </x:c>
      <x:c r="AQ65" s="23" t="n">
        <x:f>MAX(0,MIN('Activities'!L65,234)-MAX('Activities'!K65,228))</x:f>
        <x:v>0</x:v>
      </x:c>
      <x:c r="AR65" s="23" t="n">
        <x:f>MAX(0,MIN('Activities'!L65,240)-MAX('Activities'!K65,234))</x:f>
        <x:v>0</x:v>
      </x:c>
      <x:c r="AS65" s="23" t="n">
        <x:f>MAX(0,MIN('Activities'!L65,246)-MAX('Activities'!K65,240))</x:f>
        <x:v>0</x:v>
      </x:c>
      <x:c r="AT65" s="23" t="n">
        <x:f>MAX(0,MIN('Activities'!L65,252)-MAX('Activities'!K65,246))</x:f>
        <x:v>0</x:v>
      </x:c>
      <x:c r="AU65" s="23" t="n">
        <x:f>MAX(0,MIN('Activities'!L65,258)-MAX('Activities'!K65,252))</x:f>
        <x:v>0</x:v>
      </x:c>
      <x:c r="AV65" s="23" t="n">
        <x:f>MAX(0,MIN('Activities'!L65,264)-MAX('Activities'!K65,258))</x:f>
        <x:v>0</x:v>
      </x:c>
      <x:c r="AW65" s="23" t="n">
        <x:f>MAX(0,MIN('Activities'!L65,270)-MAX('Activities'!K65,264))</x:f>
        <x:v>0</x:v>
      </x:c>
      <x:c r="AX65" s="23" t="n">
        <x:f>MAX(0,MIN('Activities'!L65,276)-MAX('Activities'!K65,270))</x:f>
        <x:v>0</x:v>
      </x:c>
      <x:c r="AY65" s="23" t="n">
        <x:f>MAX(0,MIN('Activities'!L65,282)-MAX('Activities'!K65,276))</x:f>
        <x:v>0</x:v>
      </x:c>
      <x:c r="AZ65" s="23" t="n">
        <x:f>MAX(0,MIN('Activities'!L65,288)-MAX('Activities'!K65,282))</x:f>
        <x:v>0</x:v>
      </x:c>
      <x:c r="BA65" s="23" t="n">
        <x:f>MAX(0,MIN('Activities'!L65,294)-MAX('Activities'!K65,288))</x:f>
        <x:v>0</x:v>
      </x:c>
      <x:c r="BB65" s="23" t="n">
        <x:f>MAX(0,MIN('Activities'!L65,300)-MAX('Activities'!K65,294))</x:f>
        <x:v>0</x:v>
      </x:c>
      <x:c r="BC65" s="23" t="n">
        <x:f>MAX(0,MIN('Activities'!L65,306)-MAX('Activities'!K65,300))</x:f>
        <x:v>0</x:v>
      </x:c>
      <x:c r="BD65" s="23" t="n">
        <x:f>MAX(0,MIN('Activities'!L65,312)-MAX('Activities'!K65,306))</x:f>
        <x:v>0</x:v>
      </x:c>
      <x:c r="BE65" s="23" t="n">
        <x:f>MAX(0,MIN('Activities'!L65,318)-MAX('Activities'!K65,312))</x:f>
        <x:v>0</x:v>
      </x:c>
      <x:c r="BF65" s="23" t="n">
        <x:f>MAX(0,MIN('Activities'!L65,324)-MAX('Activities'!K65,318))</x:f>
        <x:v>0</x:v>
      </x:c>
      <x:c r="BG65" s="23" t="n">
        <x:f>MAX(0,MIN('Activities'!L65,330)-MAX('Activities'!K65,324))</x:f>
        <x:v>0</x:v>
      </x:c>
      <x:c r="BH65" s="23" t="n">
        <x:f>MAX(0,MIN('Activities'!L65,336)-MAX('Activities'!K65,330))</x:f>
        <x:v>0</x:v>
      </x:c>
      <x:c r="BI65" s="23" t="n">
        <x:f>MAX(0,MIN('Activities'!L65,342)-MAX('Activities'!K65,336))</x:f>
        <x:v>0</x:v>
      </x:c>
      <x:c r="BJ65" s="23" t="n">
        <x:f>MAX(0,MIN('Activities'!L65,348)-MAX('Activities'!K65,342))</x:f>
        <x:v>0</x:v>
      </x:c>
      <x:c r="BK65" s="23" t="n">
        <x:f>MAX(0,MIN('Activities'!L65,354)-MAX('Activities'!K65,348))</x:f>
        <x:v>0</x:v>
      </x:c>
      <x:c r="BL65" s="23" t="n">
        <x:f>MAX(0,MIN('Activities'!L65,360)-MAX('Activities'!K65,354))</x:f>
        <x:v>4</x:v>
      </x:c>
      <x:c r="BM65" s="23" t="n">
        <x:f>MAX(0,MIN('Activities'!L65,366)-MAX('Activities'!K65,360))</x:f>
        <x:v>1</x:v>
      </x:c>
      <x:c r="BN65" s="23" t="n">
        <x:f>MAX(0,MIN('Activities'!L65,372)-MAX('Activities'!K65,366))</x:f>
        <x:v>0</x:v>
      </x:c>
      <x:c r="BO65" s="23" t="n">
        <x:f>MAX(0,MIN('Activities'!L65,378)-MAX('Activities'!K65,372))</x:f>
        <x:v>0</x:v>
      </x:c>
      <x:c r="BP65" s="23" t="n">
        <x:f>MAX(0,MIN('Activities'!L65,384)-MAX('Activities'!K65,378))</x:f>
        <x:v>0</x:v>
      </x:c>
      <x:c r="BQ65" s="23" t="n">
        <x:f>MAX(0,MIN('Activities'!L65,390)-MAX('Activities'!K65,384))</x:f>
        <x:v>0</x:v>
      </x:c>
      <x:c r="BR65" s="23" t="n">
        <x:f>MAX(0,MIN('Activities'!L65,396)-MAX('Activities'!K65,390))</x:f>
        <x:v>0</x:v>
      </x:c>
      <x:c r="BS65" s="23" t="n">
        <x:f>MAX(0,MIN('Activities'!L65,402)-MAX('Activities'!K65,396))</x:f>
        <x:v>0</x:v>
      </x:c>
      <x:c r="BT65" s="23" t="n">
        <x:f>MAX(0,MIN('Activities'!L65,408)-MAX('Activities'!K65,402))</x:f>
        <x:v>0</x:v>
      </x:c>
      <x:c r="BU65" s="23" t="n">
        <x:f>MAX(0,MIN('Activities'!L65,414)-MAX('Activities'!K65,408))</x:f>
        <x:v>0</x:v>
      </x:c>
      <x:c r="BV65" s="23" t="n">
        <x:f>MAX(0,MIN('Activities'!L65,420)-MAX('Activities'!K65,414))</x:f>
        <x:v>0</x:v>
      </x:c>
      <x:c r="BW65" s="23" t="n">
        <x:f>MAX(0,MIN('Activities'!L65,426)-MAX('Activities'!K65,420))</x:f>
        <x:v>0</x:v>
      </x:c>
      <x:c r="BX65" s="23" t="n">
        <x:f>MAX(0,MIN('Activities'!L65,432)-MAX('Activities'!K65,426))</x:f>
        <x:v>0</x:v>
      </x:c>
      <x:c r="BY65" s="23" t="n">
        <x:f>MAX(0,MIN('Activities'!L65,438)-MAX('Activities'!K65,432))</x:f>
        <x:v>0</x:v>
      </x:c>
      <x:c r="BZ65" s="23" t="n">
        <x:f>MAX(0,MIN('Activities'!L65,444)-MAX('Activities'!K65,438))</x:f>
        <x:v>0</x:v>
      </x:c>
      <x:c r="CA65" s="23" t="n">
        <x:f>MAX(0,MIN('Activities'!L65,450)-MAX('Activities'!K65,444))</x:f>
        <x:v>0</x:v>
      </x:c>
      <x:c r="CB65" s="23" t="n">
        <x:f>MAX(0,MIN('Activities'!L65,456)-MAX('Activities'!K65,450))</x:f>
        <x:v>0</x:v>
      </x:c>
      <x:c r="CC65" s="23" t="n">
        <x:f>MAX(0,MIN('Activities'!L65,462)-MAX('Activities'!K65,456))</x:f>
        <x:v>0</x:v>
      </x:c>
      <x:c r="CD65" s="23" t="n">
        <x:f>MAX(0,MIN('Activities'!L65,468)-MAX('Activities'!K65,462))</x:f>
        <x:v>0</x:v>
      </x:c>
      <x:c r="CE65" s="23" t="n">
        <x:f>MAX(0,MIN('Activities'!L65,474)-MAX('Activities'!K65,468))</x:f>
        <x:v>0</x:v>
      </x:c>
      <x:c r="CF65" s="23" t="n">
        <x:f>MAX(0,MIN('Activities'!L65,480)-MAX('Activities'!K65,474))</x:f>
        <x:v>0</x:v>
      </x:c>
      <x:c r="CG65" s="23" t="n">
        <x:f>MAX(0,MIN('Activities'!L65,486)-MAX('Activities'!K65,480))</x:f>
        <x:v>0</x:v>
      </x:c>
      <x:c r="CH65" s="23" t="n">
        <x:f>MAX(0,MIN('Activities'!L65,492)-MAX('Activities'!K65,486))</x:f>
        <x:v>0</x:v>
      </x:c>
      <x:c r="CI65" s="23" t="n">
        <x:f>MAX(0,MIN('Activities'!L65,498)-MAX('Activities'!K65,492))</x:f>
        <x:v>0</x:v>
      </x:c>
      <x:c r="CJ65" s="23" t="n">
        <x:f>MAX(0,MIN('Activities'!L65,504)-MAX('Activities'!K65,498))</x:f>
        <x:v>0</x:v>
      </x:c>
      <x:c r="CK65" s="23" t="n">
        <x:f>MAX(0,MIN('Activities'!L65,510)-MAX('Activities'!K65,504))</x:f>
        <x:v>0</x:v>
      </x:c>
      <x:c r="CL65" s="23" t="n">
        <x:f>MAX(0,MIN('Activities'!L65,516)-MAX('Activities'!K65,510))</x:f>
        <x:v>0</x:v>
      </x:c>
      <x:c r="CM65" s="23" t="n">
        <x:f>MAX(0,MIN('Activities'!L65,522)-MAX('Activities'!K65,516))</x:f>
        <x:v>0</x:v>
      </x:c>
      <x:c r="CN65" s="23" t="n">
        <x:f>MAX(0,MIN('Activities'!L65,528)-MAX('Activities'!K65,522))</x:f>
        <x:v>0</x:v>
      </x:c>
      <x:c r="CO65" s="23" t="n">
        <x:f>MAX(0,MIN('Activities'!L65,534)-MAX('Activities'!K65,528))</x:f>
        <x:v>0</x:v>
      </x:c>
      <x:c r="CP65" s="23" t="n">
        <x:f>MAX(0,MIN('Activities'!L65,540)-MAX('Activities'!K65,534))</x:f>
        <x:v>0</x:v>
      </x:c>
      <x:c r="CQ65" s="23" t="n">
        <x:f>MAX(0,MIN('Activities'!L65,546)-MAX('Activities'!K65,540))</x:f>
        <x:v>0</x:v>
      </x:c>
      <x:c r="CR65" s="23" t="n">
        <x:f>MAX(0,MIN('Activities'!L65,552)-MAX('Activities'!K65,546))</x:f>
        <x:v>0</x:v>
      </x:c>
      <x:c r="CS65" s="23" t="n">
        <x:f>MAX(0,MIN('Activities'!L65,558)-MAX('Activities'!K65,552))</x:f>
        <x:v>0</x:v>
      </x:c>
      <x:c r="CT65" s="23" t="n">
        <x:f>MAX(0,MIN('Activities'!L65,564)-MAX('Activities'!K65,558))</x:f>
        <x:v>0</x:v>
      </x:c>
      <x:c r="CU65" s="23" t="n">
        <x:f>MAX(0,MIN('Activities'!L65,570)-MAX('Activities'!K65,564))</x:f>
        <x:v>0</x:v>
      </x:c>
      <x:c r="CV65" s="23" t="n">
        <x:f>MAX(0,MIN('Activities'!L65,576)-MAX('Activities'!K65,570))</x:f>
        <x:v>0</x:v>
      </x:c>
      <x:c r="CW65" s="23" t="n">
        <x:f>MAX(0,MIN('Activities'!L65,582)-MAX('Activities'!K65,576))</x:f>
        <x:v>0</x:v>
      </x:c>
      <x:c r="CX65" s="23" t="n">
        <x:f>MAX(0,MIN('Activities'!L65,588)-MAX('Activities'!K65,582))</x:f>
        <x:v>0</x:v>
      </x:c>
      <x:c r="CY65" s="23" t="n">
        <x:f>MAX(0,MIN('Activities'!L65,594)-MAX('Activities'!K65,588))</x:f>
        <x:v>0</x:v>
      </x:c>
      <x:c r="CZ65" s="23" t="n">
        <x:f>MAX(0,MIN('Activities'!L65,600)-MAX('Activities'!K65,594))</x:f>
        <x:v>0</x:v>
      </x:c>
      <x:c r="DA65" s="23" t="n">
        <x:f>MAX(0,MIN('Activities'!L65,606)-MAX('Activities'!K65,600))</x:f>
        <x:v>0</x:v>
      </x:c>
      <x:c r="DB65" s="23" t="n">
        <x:f>MAX(0,MIN('Activities'!L65,612)-MAX('Activities'!K65,606))</x:f>
        <x:v>0</x:v>
      </x:c>
      <x:c r="DC65" s="23" t="n">
        <x:f>MAX(0,MIN('Activities'!L65,618)-MAX('Activities'!K65,612))</x:f>
        <x:v>0</x:v>
      </x:c>
      <x:c r="DD65" s="23" t="n">
        <x:f>MAX(0,MIN('Activities'!L65,624)-MAX('Activities'!K65,618))</x:f>
        <x:v>0</x:v>
      </x:c>
      <x:c r="DE65" s="23" t="n">
        <x:f>MAX(0,MIN('Activities'!L65,630)-MAX('Activities'!K65,624))</x:f>
        <x:v>0</x:v>
      </x:c>
      <x:c r="DF65" s="23" t="n">
        <x:f>MAX(0,MIN('Activities'!L65,636)-MAX('Activities'!K65,630))</x:f>
        <x:v>0</x:v>
      </x:c>
    </x:row>
    <x:row r="66" ht="23" customHeight="1">
      <x:c r="A66" s="6" t="str">
        <x:v>T1-L12-C</x:v>
      </x:c>
      <x:c r="B66" s="6" t="str">
        <x:v>T1</x:v>
      </x:c>
      <x:c r="C66" s="6" t="str">
        <x:v>Concrete placement and finishing</x:v>
      </x:c>
      <x:c r="D66" s="6" t="str">
        <x:v>Concrete</x:v>
      </x:c>
      <x:c r="E66" s="22" t="n">
        <x:f>MAX(0,MIN('Activities'!L66,6)-MAX('Activities'!K66,0))</x:f>
        <x:v>0</x:v>
      </x:c>
      <x:c r="F66" s="22" t="n">
        <x:f>MAX(0,MIN('Activities'!L66,12)-MAX('Activities'!K66,6))</x:f>
        <x:v>0</x:v>
      </x:c>
      <x:c r="G66" s="22" t="n">
        <x:f>MAX(0,MIN('Activities'!L66,18)-MAX('Activities'!K66,12))</x:f>
        <x:v>0</x:v>
      </x:c>
      <x:c r="H66" s="22" t="n">
        <x:f>MAX(0,MIN('Activities'!L66,24)-MAX('Activities'!K66,18))</x:f>
        <x:v>0</x:v>
      </x:c>
      <x:c r="I66" s="22" t="n">
        <x:f>MAX(0,MIN('Activities'!L66,30)-MAX('Activities'!K66,24))</x:f>
        <x:v>0</x:v>
      </x:c>
      <x:c r="J66" s="22" t="n">
        <x:f>MAX(0,MIN('Activities'!L66,36)-MAX('Activities'!K66,30))</x:f>
        <x:v>0</x:v>
      </x:c>
      <x:c r="K66" s="22" t="n">
        <x:f>MAX(0,MIN('Activities'!L66,42)-MAX('Activities'!K66,36))</x:f>
        <x:v>0</x:v>
      </x:c>
      <x:c r="L66" s="22" t="n">
        <x:f>MAX(0,MIN('Activities'!L66,48)-MAX('Activities'!K66,42))</x:f>
        <x:v>0</x:v>
      </x:c>
      <x:c r="M66" s="22" t="n">
        <x:f>MAX(0,MIN('Activities'!L66,54)-MAX('Activities'!K66,48))</x:f>
        <x:v>0</x:v>
      </x:c>
      <x:c r="N66" s="22" t="n">
        <x:f>MAX(0,MIN('Activities'!L66,60)-MAX('Activities'!K66,54))</x:f>
        <x:v>0</x:v>
      </x:c>
      <x:c r="O66" s="22" t="n">
        <x:f>MAX(0,MIN('Activities'!L66,66)-MAX('Activities'!K66,60))</x:f>
        <x:v>0</x:v>
      </x:c>
      <x:c r="P66" s="22" t="n">
        <x:f>MAX(0,MIN('Activities'!L66,72)-MAX('Activities'!K66,66))</x:f>
        <x:v>0</x:v>
      </x:c>
      <x:c r="Q66" s="22" t="n">
        <x:f>MAX(0,MIN('Activities'!L66,78)-MAX('Activities'!K66,72))</x:f>
        <x:v>0</x:v>
      </x:c>
      <x:c r="R66" s="22" t="n">
        <x:f>MAX(0,MIN('Activities'!L66,84)-MAX('Activities'!K66,78))</x:f>
        <x:v>0</x:v>
      </x:c>
      <x:c r="S66" s="22" t="n">
        <x:f>MAX(0,MIN('Activities'!L66,90)-MAX('Activities'!K66,84))</x:f>
        <x:v>0</x:v>
      </x:c>
      <x:c r="T66" s="22" t="n">
        <x:f>MAX(0,MIN('Activities'!L66,96)-MAX('Activities'!K66,90))</x:f>
        <x:v>0</x:v>
      </x:c>
      <x:c r="U66" s="22" t="n">
        <x:f>MAX(0,MIN('Activities'!L66,102)-MAX('Activities'!K66,96))</x:f>
        <x:v>0</x:v>
      </x:c>
      <x:c r="V66" s="22" t="n">
        <x:f>MAX(0,MIN('Activities'!L66,108)-MAX('Activities'!K66,102))</x:f>
        <x:v>0</x:v>
      </x:c>
      <x:c r="W66" s="22" t="n">
        <x:f>MAX(0,MIN('Activities'!L66,114)-MAX('Activities'!K66,108))</x:f>
        <x:v>0</x:v>
      </x:c>
      <x:c r="X66" s="22" t="n">
        <x:f>MAX(0,MIN('Activities'!L66,120)-MAX('Activities'!K66,114))</x:f>
        <x:v>0</x:v>
      </x:c>
      <x:c r="Y66" s="22" t="n">
        <x:f>MAX(0,MIN('Activities'!L66,126)-MAX('Activities'!K66,120))</x:f>
        <x:v>0</x:v>
      </x:c>
      <x:c r="Z66" s="22" t="n">
        <x:f>MAX(0,MIN('Activities'!L66,132)-MAX('Activities'!K66,126))</x:f>
        <x:v>0</x:v>
      </x:c>
      <x:c r="AA66" s="22" t="n">
        <x:f>MAX(0,MIN('Activities'!L66,138)-MAX('Activities'!K66,132))</x:f>
        <x:v>0</x:v>
      </x:c>
      <x:c r="AB66" s="22" t="n">
        <x:f>MAX(0,MIN('Activities'!L66,144)-MAX('Activities'!K66,138))</x:f>
        <x:v>0</x:v>
      </x:c>
      <x:c r="AC66" s="22" t="n">
        <x:f>MAX(0,MIN('Activities'!L66,150)-MAX('Activities'!K66,144))</x:f>
        <x:v>0</x:v>
      </x:c>
      <x:c r="AD66" s="22" t="n">
        <x:f>MAX(0,MIN('Activities'!L66,156)-MAX('Activities'!K66,150))</x:f>
        <x:v>0</x:v>
      </x:c>
      <x:c r="AE66" s="22" t="n">
        <x:f>MAX(0,MIN('Activities'!L66,162)-MAX('Activities'!K66,156))</x:f>
        <x:v>0</x:v>
      </x:c>
      <x:c r="AF66" s="22" t="n">
        <x:f>MAX(0,MIN('Activities'!L66,168)-MAX('Activities'!K66,162))</x:f>
        <x:v>0</x:v>
      </x:c>
      <x:c r="AG66" s="22" t="n">
        <x:f>MAX(0,MIN('Activities'!L66,174)-MAX('Activities'!K66,168))</x:f>
        <x:v>0</x:v>
      </x:c>
      <x:c r="AH66" s="22" t="n">
        <x:f>MAX(0,MIN('Activities'!L66,180)-MAX('Activities'!K66,174))</x:f>
        <x:v>0</x:v>
      </x:c>
      <x:c r="AI66" s="22" t="n">
        <x:f>MAX(0,MIN('Activities'!L66,186)-MAX('Activities'!K66,180))</x:f>
        <x:v>0</x:v>
      </x:c>
      <x:c r="AJ66" s="22" t="n">
        <x:f>MAX(0,MIN('Activities'!L66,192)-MAX('Activities'!K66,186))</x:f>
        <x:v>0</x:v>
      </x:c>
      <x:c r="AK66" s="22" t="n">
        <x:f>MAX(0,MIN('Activities'!L66,198)-MAX('Activities'!K66,192))</x:f>
        <x:v>0</x:v>
      </x:c>
      <x:c r="AL66" s="22" t="n">
        <x:f>MAX(0,MIN('Activities'!L66,204)-MAX('Activities'!K66,198))</x:f>
        <x:v>0</x:v>
      </x:c>
      <x:c r="AM66" s="22" t="n">
        <x:f>MAX(0,MIN('Activities'!L66,210)-MAX('Activities'!K66,204))</x:f>
        <x:v>0</x:v>
      </x:c>
      <x:c r="AN66" s="22" t="n">
        <x:f>MAX(0,MIN('Activities'!L66,216)-MAX('Activities'!K66,210))</x:f>
        <x:v>0</x:v>
      </x:c>
      <x:c r="AO66" s="22" t="n">
        <x:f>MAX(0,MIN('Activities'!L66,222)-MAX('Activities'!K66,216))</x:f>
        <x:v>0</x:v>
      </x:c>
      <x:c r="AP66" s="22" t="n">
        <x:f>MAX(0,MIN('Activities'!L66,228)-MAX('Activities'!K66,222))</x:f>
        <x:v>0</x:v>
      </x:c>
      <x:c r="AQ66" s="22" t="n">
        <x:f>MAX(0,MIN('Activities'!L66,234)-MAX('Activities'!K66,228))</x:f>
        <x:v>0</x:v>
      </x:c>
      <x:c r="AR66" s="22" t="n">
        <x:f>MAX(0,MIN('Activities'!L66,240)-MAX('Activities'!K66,234))</x:f>
        <x:v>0</x:v>
      </x:c>
      <x:c r="AS66" s="22" t="n">
        <x:f>MAX(0,MIN('Activities'!L66,246)-MAX('Activities'!K66,240))</x:f>
        <x:v>0</x:v>
      </x:c>
      <x:c r="AT66" s="22" t="n">
        <x:f>MAX(0,MIN('Activities'!L66,252)-MAX('Activities'!K66,246))</x:f>
        <x:v>0</x:v>
      </x:c>
      <x:c r="AU66" s="22" t="n">
        <x:f>MAX(0,MIN('Activities'!L66,258)-MAX('Activities'!K66,252))</x:f>
        <x:v>0</x:v>
      </x:c>
      <x:c r="AV66" s="22" t="n">
        <x:f>MAX(0,MIN('Activities'!L66,264)-MAX('Activities'!K66,258))</x:f>
        <x:v>0</x:v>
      </x:c>
      <x:c r="AW66" s="22" t="n">
        <x:f>MAX(0,MIN('Activities'!L66,270)-MAX('Activities'!K66,264))</x:f>
        <x:v>0</x:v>
      </x:c>
      <x:c r="AX66" s="22" t="n">
        <x:f>MAX(0,MIN('Activities'!L66,276)-MAX('Activities'!K66,270))</x:f>
        <x:v>0</x:v>
      </x:c>
      <x:c r="AY66" s="22" t="n">
        <x:f>MAX(0,MIN('Activities'!L66,282)-MAX('Activities'!K66,276))</x:f>
        <x:v>0</x:v>
      </x:c>
      <x:c r="AZ66" s="22" t="n">
        <x:f>MAX(0,MIN('Activities'!L66,288)-MAX('Activities'!K66,282))</x:f>
        <x:v>0</x:v>
      </x:c>
      <x:c r="BA66" s="22" t="n">
        <x:f>MAX(0,MIN('Activities'!L66,294)-MAX('Activities'!K66,288))</x:f>
        <x:v>0</x:v>
      </x:c>
      <x:c r="BB66" s="22" t="n">
        <x:f>MAX(0,MIN('Activities'!L66,300)-MAX('Activities'!K66,294))</x:f>
        <x:v>0</x:v>
      </x:c>
      <x:c r="BC66" s="22" t="n">
        <x:f>MAX(0,MIN('Activities'!L66,306)-MAX('Activities'!K66,300))</x:f>
        <x:v>0</x:v>
      </x:c>
      <x:c r="BD66" s="22" t="n">
        <x:f>MAX(0,MIN('Activities'!L66,312)-MAX('Activities'!K66,306))</x:f>
        <x:v>0</x:v>
      </x:c>
      <x:c r="BE66" s="22" t="n">
        <x:f>MAX(0,MIN('Activities'!L66,318)-MAX('Activities'!K66,312))</x:f>
        <x:v>0</x:v>
      </x:c>
      <x:c r="BF66" s="22" t="n">
        <x:f>MAX(0,MIN('Activities'!L66,324)-MAX('Activities'!K66,318))</x:f>
        <x:v>0</x:v>
      </x:c>
      <x:c r="BG66" s="22" t="n">
        <x:f>MAX(0,MIN('Activities'!L66,330)-MAX('Activities'!K66,324))</x:f>
        <x:v>0</x:v>
      </x:c>
      <x:c r="BH66" s="22" t="n">
        <x:f>MAX(0,MIN('Activities'!L66,336)-MAX('Activities'!K66,330))</x:f>
        <x:v>0</x:v>
      </x:c>
      <x:c r="BI66" s="22" t="n">
        <x:f>MAX(0,MIN('Activities'!L66,342)-MAX('Activities'!K66,336))</x:f>
        <x:v>0</x:v>
      </x:c>
      <x:c r="BJ66" s="22" t="n">
        <x:f>MAX(0,MIN('Activities'!L66,348)-MAX('Activities'!K66,342))</x:f>
        <x:v>0</x:v>
      </x:c>
      <x:c r="BK66" s="22" t="n">
        <x:f>MAX(0,MIN('Activities'!L66,354)-MAX('Activities'!K66,348))</x:f>
        <x:v>0</x:v>
      </x:c>
      <x:c r="BL66" s="22" t="n">
        <x:f>MAX(0,MIN('Activities'!L66,360)-MAX('Activities'!K66,354))</x:f>
        <x:v>0</x:v>
      </x:c>
      <x:c r="BM66" s="22" t="n">
        <x:f>MAX(0,MIN('Activities'!L66,366)-MAX('Activities'!K66,360))</x:f>
        <x:v>2</x:v>
      </x:c>
      <x:c r="BN66" s="22" t="n">
        <x:f>MAX(0,MIN('Activities'!L66,372)-MAX('Activities'!K66,366))</x:f>
        <x:v>0</x:v>
      </x:c>
      <x:c r="BO66" s="22" t="n">
        <x:f>MAX(0,MIN('Activities'!L66,378)-MAX('Activities'!K66,372))</x:f>
        <x:v>0</x:v>
      </x:c>
      <x:c r="BP66" s="22" t="n">
        <x:f>MAX(0,MIN('Activities'!L66,384)-MAX('Activities'!K66,378))</x:f>
        <x:v>0</x:v>
      </x:c>
      <x:c r="BQ66" s="22" t="n">
        <x:f>MAX(0,MIN('Activities'!L66,390)-MAX('Activities'!K66,384))</x:f>
        <x:v>0</x:v>
      </x:c>
      <x:c r="BR66" s="22" t="n">
        <x:f>MAX(0,MIN('Activities'!L66,396)-MAX('Activities'!K66,390))</x:f>
        <x:v>0</x:v>
      </x:c>
      <x:c r="BS66" s="22" t="n">
        <x:f>MAX(0,MIN('Activities'!L66,402)-MAX('Activities'!K66,396))</x:f>
        <x:v>0</x:v>
      </x:c>
      <x:c r="BT66" s="22" t="n">
        <x:f>MAX(0,MIN('Activities'!L66,408)-MAX('Activities'!K66,402))</x:f>
        <x:v>0</x:v>
      </x:c>
      <x:c r="BU66" s="22" t="n">
        <x:f>MAX(0,MIN('Activities'!L66,414)-MAX('Activities'!K66,408))</x:f>
        <x:v>0</x:v>
      </x:c>
      <x:c r="BV66" s="22" t="n">
        <x:f>MAX(0,MIN('Activities'!L66,420)-MAX('Activities'!K66,414))</x:f>
        <x:v>0</x:v>
      </x:c>
      <x:c r="BW66" s="22" t="n">
        <x:f>MAX(0,MIN('Activities'!L66,426)-MAX('Activities'!K66,420))</x:f>
        <x:v>0</x:v>
      </x:c>
      <x:c r="BX66" s="22" t="n">
        <x:f>MAX(0,MIN('Activities'!L66,432)-MAX('Activities'!K66,426))</x:f>
        <x:v>0</x:v>
      </x:c>
      <x:c r="BY66" s="22" t="n">
        <x:f>MAX(0,MIN('Activities'!L66,438)-MAX('Activities'!K66,432))</x:f>
        <x:v>0</x:v>
      </x:c>
      <x:c r="BZ66" s="22" t="n">
        <x:f>MAX(0,MIN('Activities'!L66,444)-MAX('Activities'!K66,438))</x:f>
        <x:v>0</x:v>
      </x:c>
      <x:c r="CA66" s="22" t="n">
        <x:f>MAX(0,MIN('Activities'!L66,450)-MAX('Activities'!K66,444))</x:f>
        <x:v>0</x:v>
      </x:c>
      <x:c r="CB66" s="22" t="n">
        <x:f>MAX(0,MIN('Activities'!L66,456)-MAX('Activities'!K66,450))</x:f>
        <x:v>0</x:v>
      </x:c>
      <x:c r="CC66" s="22" t="n">
        <x:f>MAX(0,MIN('Activities'!L66,462)-MAX('Activities'!K66,456))</x:f>
        <x:v>0</x:v>
      </x:c>
      <x:c r="CD66" s="22" t="n">
        <x:f>MAX(0,MIN('Activities'!L66,468)-MAX('Activities'!K66,462))</x:f>
        <x:v>0</x:v>
      </x:c>
      <x:c r="CE66" s="22" t="n">
        <x:f>MAX(0,MIN('Activities'!L66,474)-MAX('Activities'!K66,468))</x:f>
        <x:v>0</x:v>
      </x:c>
      <x:c r="CF66" s="22" t="n">
        <x:f>MAX(0,MIN('Activities'!L66,480)-MAX('Activities'!K66,474))</x:f>
        <x:v>0</x:v>
      </x:c>
      <x:c r="CG66" s="22" t="n">
        <x:f>MAX(0,MIN('Activities'!L66,486)-MAX('Activities'!K66,480))</x:f>
        <x:v>0</x:v>
      </x:c>
      <x:c r="CH66" s="22" t="n">
        <x:f>MAX(0,MIN('Activities'!L66,492)-MAX('Activities'!K66,486))</x:f>
        <x:v>0</x:v>
      </x:c>
      <x:c r="CI66" s="22" t="n">
        <x:f>MAX(0,MIN('Activities'!L66,498)-MAX('Activities'!K66,492))</x:f>
        <x:v>0</x:v>
      </x:c>
      <x:c r="CJ66" s="22" t="n">
        <x:f>MAX(0,MIN('Activities'!L66,504)-MAX('Activities'!K66,498))</x:f>
        <x:v>0</x:v>
      </x:c>
      <x:c r="CK66" s="22" t="n">
        <x:f>MAX(0,MIN('Activities'!L66,510)-MAX('Activities'!K66,504))</x:f>
        <x:v>0</x:v>
      </x:c>
      <x:c r="CL66" s="22" t="n">
        <x:f>MAX(0,MIN('Activities'!L66,516)-MAX('Activities'!K66,510))</x:f>
        <x:v>0</x:v>
      </x:c>
      <x:c r="CM66" s="22" t="n">
        <x:f>MAX(0,MIN('Activities'!L66,522)-MAX('Activities'!K66,516))</x:f>
        <x:v>0</x:v>
      </x:c>
      <x:c r="CN66" s="22" t="n">
        <x:f>MAX(0,MIN('Activities'!L66,528)-MAX('Activities'!K66,522))</x:f>
        <x:v>0</x:v>
      </x:c>
      <x:c r="CO66" s="22" t="n">
        <x:f>MAX(0,MIN('Activities'!L66,534)-MAX('Activities'!K66,528))</x:f>
        <x:v>0</x:v>
      </x:c>
      <x:c r="CP66" s="22" t="n">
        <x:f>MAX(0,MIN('Activities'!L66,540)-MAX('Activities'!K66,534))</x:f>
        <x:v>0</x:v>
      </x:c>
      <x:c r="CQ66" s="22" t="n">
        <x:f>MAX(0,MIN('Activities'!L66,546)-MAX('Activities'!K66,540))</x:f>
        <x:v>0</x:v>
      </x:c>
      <x:c r="CR66" s="22" t="n">
        <x:f>MAX(0,MIN('Activities'!L66,552)-MAX('Activities'!K66,546))</x:f>
        <x:v>0</x:v>
      </x:c>
      <x:c r="CS66" s="22" t="n">
        <x:f>MAX(0,MIN('Activities'!L66,558)-MAX('Activities'!K66,552))</x:f>
        <x:v>0</x:v>
      </x:c>
      <x:c r="CT66" s="22" t="n">
        <x:f>MAX(0,MIN('Activities'!L66,564)-MAX('Activities'!K66,558))</x:f>
        <x:v>0</x:v>
      </x:c>
      <x:c r="CU66" s="22" t="n">
        <x:f>MAX(0,MIN('Activities'!L66,570)-MAX('Activities'!K66,564))</x:f>
        <x:v>0</x:v>
      </x:c>
      <x:c r="CV66" s="22" t="n">
        <x:f>MAX(0,MIN('Activities'!L66,576)-MAX('Activities'!K66,570))</x:f>
        <x:v>0</x:v>
      </x:c>
      <x:c r="CW66" s="22" t="n">
        <x:f>MAX(0,MIN('Activities'!L66,582)-MAX('Activities'!K66,576))</x:f>
        <x:v>0</x:v>
      </x:c>
      <x:c r="CX66" s="22" t="n">
        <x:f>MAX(0,MIN('Activities'!L66,588)-MAX('Activities'!K66,582))</x:f>
        <x:v>0</x:v>
      </x:c>
      <x:c r="CY66" s="22" t="n">
        <x:f>MAX(0,MIN('Activities'!L66,594)-MAX('Activities'!K66,588))</x:f>
        <x:v>0</x:v>
      </x:c>
      <x:c r="CZ66" s="22" t="n">
        <x:f>MAX(0,MIN('Activities'!L66,600)-MAX('Activities'!K66,594))</x:f>
        <x:v>0</x:v>
      </x:c>
      <x:c r="DA66" s="22" t="n">
        <x:f>MAX(0,MIN('Activities'!L66,606)-MAX('Activities'!K66,600))</x:f>
        <x:v>0</x:v>
      </x:c>
      <x:c r="DB66" s="22" t="n">
        <x:f>MAX(0,MIN('Activities'!L66,612)-MAX('Activities'!K66,606))</x:f>
        <x:v>0</x:v>
      </x:c>
      <x:c r="DC66" s="22" t="n">
        <x:f>MAX(0,MIN('Activities'!L66,618)-MAX('Activities'!K66,612))</x:f>
        <x:v>0</x:v>
      </x:c>
      <x:c r="DD66" s="22" t="n">
        <x:f>MAX(0,MIN('Activities'!L66,624)-MAX('Activities'!K66,618))</x:f>
        <x:v>0</x:v>
      </x:c>
      <x:c r="DE66" s="22" t="n">
        <x:f>MAX(0,MIN('Activities'!L66,630)-MAX('Activities'!K66,624))</x:f>
        <x:v>0</x:v>
      </x:c>
      <x:c r="DF66" s="22" t="n">
        <x:f>MAX(0,MIN('Activities'!L66,636)-MAX('Activities'!K66,630))</x:f>
        <x:v>0</x:v>
      </x:c>
    </x:row>
    <x:row r="67" ht="23" customHeight="1">
      <x:c r="A67" s="1" t="str">
        <x:v>T1-L12-H</x:v>
      </x:c>
      <x:c r="B67" s="1" t="str">
        <x:v>T1</x:v>
      </x:c>
      <x:c r="C67" s="1" t="str">
        <x:v>Curing and release hold point</x:v>
      </x:c>
      <x:c r="D67" s="1" t="str">
        <x:v>Site</x:v>
      </x:c>
      <x:c r="E67" s="23" t="n">
        <x:f>MAX(0,MIN('Activities'!L67,6)-MAX('Activities'!K67,0))</x:f>
        <x:v>0</x:v>
      </x:c>
      <x:c r="F67" s="23" t="n">
        <x:f>MAX(0,MIN('Activities'!L67,12)-MAX('Activities'!K67,6))</x:f>
        <x:v>0</x:v>
      </x:c>
      <x:c r="G67" s="23" t="n">
        <x:f>MAX(0,MIN('Activities'!L67,18)-MAX('Activities'!K67,12))</x:f>
        <x:v>0</x:v>
      </x:c>
      <x:c r="H67" s="23" t="n">
        <x:f>MAX(0,MIN('Activities'!L67,24)-MAX('Activities'!K67,18))</x:f>
        <x:v>0</x:v>
      </x:c>
      <x:c r="I67" s="23" t="n">
        <x:f>MAX(0,MIN('Activities'!L67,30)-MAX('Activities'!K67,24))</x:f>
        <x:v>0</x:v>
      </x:c>
      <x:c r="J67" s="23" t="n">
        <x:f>MAX(0,MIN('Activities'!L67,36)-MAX('Activities'!K67,30))</x:f>
        <x:v>0</x:v>
      </x:c>
      <x:c r="K67" s="23" t="n">
        <x:f>MAX(0,MIN('Activities'!L67,42)-MAX('Activities'!K67,36))</x:f>
        <x:v>0</x:v>
      </x:c>
      <x:c r="L67" s="23" t="n">
        <x:f>MAX(0,MIN('Activities'!L67,48)-MAX('Activities'!K67,42))</x:f>
        <x:v>0</x:v>
      </x:c>
      <x:c r="M67" s="23" t="n">
        <x:f>MAX(0,MIN('Activities'!L67,54)-MAX('Activities'!K67,48))</x:f>
        <x:v>0</x:v>
      </x:c>
      <x:c r="N67" s="23" t="n">
        <x:f>MAX(0,MIN('Activities'!L67,60)-MAX('Activities'!K67,54))</x:f>
        <x:v>0</x:v>
      </x:c>
      <x:c r="O67" s="23" t="n">
        <x:f>MAX(0,MIN('Activities'!L67,66)-MAX('Activities'!K67,60))</x:f>
        <x:v>0</x:v>
      </x:c>
      <x:c r="P67" s="23" t="n">
        <x:f>MAX(0,MIN('Activities'!L67,72)-MAX('Activities'!K67,66))</x:f>
        <x:v>0</x:v>
      </x:c>
      <x:c r="Q67" s="23" t="n">
        <x:f>MAX(0,MIN('Activities'!L67,78)-MAX('Activities'!K67,72))</x:f>
        <x:v>0</x:v>
      </x:c>
      <x:c r="R67" s="23" t="n">
        <x:f>MAX(0,MIN('Activities'!L67,84)-MAX('Activities'!K67,78))</x:f>
        <x:v>0</x:v>
      </x:c>
      <x:c r="S67" s="23" t="n">
        <x:f>MAX(0,MIN('Activities'!L67,90)-MAX('Activities'!K67,84))</x:f>
        <x:v>0</x:v>
      </x:c>
      <x:c r="T67" s="23" t="n">
        <x:f>MAX(0,MIN('Activities'!L67,96)-MAX('Activities'!K67,90))</x:f>
        <x:v>0</x:v>
      </x:c>
      <x:c r="U67" s="23" t="n">
        <x:f>MAX(0,MIN('Activities'!L67,102)-MAX('Activities'!K67,96))</x:f>
        <x:v>0</x:v>
      </x:c>
      <x:c r="V67" s="23" t="n">
        <x:f>MAX(0,MIN('Activities'!L67,108)-MAX('Activities'!K67,102))</x:f>
        <x:v>0</x:v>
      </x:c>
      <x:c r="W67" s="23" t="n">
        <x:f>MAX(0,MIN('Activities'!L67,114)-MAX('Activities'!K67,108))</x:f>
        <x:v>0</x:v>
      </x:c>
      <x:c r="X67" s="23" t="n">
        <x:f>MAX(0,MIN('Activities'!L67,120)-MAX('Activities'!K67,114))</x:f>
        <x:v>0</x:v>
      </x:c>
      <x:c r="Y67" s="23" t="n">
        <x:f>MAX(0,MIN('Activities'!L67,126)-MAX('Activities'!K67,120))</x:f>
        <x:v>0</x:v>
      </x:c>
      <x:c r="Z67" s="23" t="n">
        <x:f>MAX(0,MIN('Activities'!L67,132)-MAX('Activities'!K67,126))</x:f>
        <x:v>0</x:v>
      </x:c>
      <x:c r="AA67" s="23" t="n">
        <x:f>MAX(0,MIN('Activities'!L67,138)-MAX('Activities'!K67,132))</x:f>
        <x:v>0</x:v>
      </x:c>
      <x:c r="AB67" s="23" t="n">
        <x:f>MAX(0,MIN('Activities'!L67,144)-MAX('Activities'!K67,138))</x:f>
        <x:v>0</x:v>
      </x:c>
      <x:c r="AC67" s="23" t="n">
        <x:f>MAX(0,MIN('Activities'!L67,150)-MAX('Activities'!K67,144))</x:f>
        <x:v>0</x:v>
      </x:c>
      <x:c r="AD67" s="23" t="n">
        <x:f>MAX(0,MIN('Activities'!L67,156)-MAX('Activities'!K67,150))</x:f>
        <x:v>0</x:v>
      </x:c>
      <x:c r="AE67" s="23" t="n">
        <x:f>MAX(0,MIN('Activities'!L67,162)-MAX('Activities'!K67,156))</x:f>
        <x:v>0</x:v>
      </x:c>
      <x:c r="AF67" s="23" t="n">
        <x:f>MAX(0,MIN('Activities'!L67,168)-MAX('Activities'!K67,162))</x:f>
        <x:v>0</x:v>
      </x:c>
      <x:c r="AG67" s="23" t="n">
        <x:f>MAX(0,MIN('Activities'!L67,174)-MAX('Activities'!K67,168))</x:f>
        <x:v>0</x:v>
      </x:c>
      <x:c r="AH67" s="23" t="n">
        <x:f>MAX(0,MIN('Activities'!L67,180)-MAX('Activities'!K67,174))</x:f>
        <x:v>0</x:v>
      </x:c>
      <x:c r="AI67" s="23" t="n">
        <x:f>MAX(0,MIN('Activities'!L67,186)-MAX('Activities'!K67,180))</x:f>
        <x:v>0</x:v>
      </x:c>
      <x:c r="AJ67" s="23" t="n">
        <x:f>MAX(0,MIN('Activities'!L67,192)-MAX('Activities'!K67,186))</x:f>
        <x:v>0</x:v>
      </x:c>
      <x:c r="AK67" s="23" t="n">
        <x:f>MAX(0,MIN('Activities'!L67,198)-MAX('Activities'!K67,192))</x:f>
        <x:v>0</x:v>
      </x:c>
      <x:c r="AL67" s="23" t="n">
        <x:f>MAX(0,MIN('Activities'!L67,204)-MAX('Activities'!K67,198))</x:f>
        <x:v>0</x:v>
      </x:c>
      <x:c r="AM67" s="23" t="n">
        <x:f>MAX(0,MIN('Activities'!L67,210)-MAX('Activities'!K67,204))</x:f>
        <x:v>0</x:v>
      </x:c>
      <x:c r="AN67" s="23" t="n">
        <x:f>MAX(0,MIN('Activities'!L67,216)-MAX('Activities'!K67,210))</x:f>
        <x:v>0</x:v>
      </x:c>
      <x:c r="AO67" s="23" t="n">
        <x:f>MAX(0,MIN('Activities'!L67,222)-MAX('Activities'!K67,216))</x:f>
        <x:v>0</x:v>
      </x:c>
      <x:c r="AP67" s="23" t="n">
        <x:f>MAX(0,MIN('Activities'!L67,228)-MAX('Activities'!K67,222))</x:f>
        <x:v>0</x:v>
      </x:c>
      <x:c r="AQ67" s="23" t="n">
        <x:f>MAX(0,MIN('Activities'!L67,234)-MAX('Activities'!K67,228))</x:f>
        <x:v>0</x:v>
      </x:c>
      <x:c r="AR67" s="23" t="n">
        <x:f>MAX(0,MIN('Activities'!L67,240)-MAX('Activities'!K67,234))</x:f>
        <x:v>0</x:v>
      </x:c>
      <x:c r="AS67" s="23" t="n">
        <x:f>MAX(0,MIN('Activities'!L67,246)-MAX('Activities'!K67,240))</x:f>
        <x:v>0</x:v>
      </x:c>
      <x:c r="AT67" s="23" t="n">
        <x:f>MAX(0,MIN('Activities'!L67,252)-MAX('Activities'!K67,246))</x:f>
        <x:v>0</x:v>
      </x:c>
      <x:c r="AU67" s="23" t="n">
        <x:f>MAX(0,MIN('Activities'!L67,258)-MAX('Activities'!K67,252))</x:f>
        <x:v>0</x:v>
      </x:c>
      <x:c r="AV67" s="23" t="n">
        <x:f>MAX(0,MIN('Activities'!L67,264)-MAX('Activities'!K67,258))</x:f>
        <x:v>0</x:v>
      </x:c>
      <x:c r="AW67" s="23" t="n">
        <x:f>MAX(0,MIN('Activities'!L67,270)-MAX('Activities'!K67,264))</x:f>
        <x:v>0</x:v>
      </x:c>
      <x:c r="AX67" s="23" t="n">
        <x:f>MAX(0,MIN('Activities'!L67,276)-MAX('Activities'!K67,270))</x:f>
        <x:v>0</x:v>
      </x:c>
      <x:c r="AY67" s="23" t="n">
        <x:f>MAX(0,MIN('Activities'!L67,282)-MAX('Activities'!K67,276))</x:f>
        <x:v>0</x:v>
      </x:c>
      <x:c r="AZ67" s="23" t="n">
        <x:f>MAX(0,MIN('Activities'!L67,288)-MAX('Activities'!K67,282))</x:f>
        <x:v>0</x:v>
      </x:c>
      <x:c r="BA67" s="23" t="n">
        <x:f>MAX(0,MIN('Activities'!L67,294)-MAX('Activities'!K67,288))</x:f>
        <x:v>0</x:v>
      </x:c>
      <x:c r="BB67" s="23" t="n">
        <x:f>MAX(0,MIN('Activities'!L67,300)-MAX('Activities'!K67,294))</x:f>
        <x:v>0</x:v>
      </x:c>
      <x:c r="BC67" s="23" t="n">
        <x:f>MAX(0,MIN('Activities'!L67,306)-MAX('Activities'!K67,300))</x:f>
        <x:v>0</x:v>
      </x:c>
      <x:c r="BD67" s="23" t="n">
        <x:f>MAX(0,MIN('Activities'!L67,312)-MAX('Activities'!K67,306))</x:f>
        <x:v>0</x:v>
      </x:c>
      <x:c r="BE67" s="23" t="n">
        <x:f>MAX(0,MIN('Activities'!L67,318)-MAX('Activities'!K67,312))</x:f>
        <x:v>0</x:v>
      </x:c>
      <x:c r="BF67" s="23" t="n">
        <x:f>MAX(0,MIN('Activities'!L67,324)-MAX('Activities'!K67,318))</x:f>
        <x:v>0</x:v>
      </x:c>
      <x:c r="BG67" s="23" t="n">
        <x:f>MAX(0,MIN('Activities'!L67,330)-MAX('Activities'!K67,324))</x:f>
        <x:v>0</x:v>
      </x:c>
      <x:c r="BH67" s="23" t="n">
        <x:f>MAX(0,MIN('Activities'!L67,336)-MAX('Activities'!K67,330))</x:f>
        <x:v>0</x:v>
      </x:c>
      <x:c r="BI67" s="23" t="n">
        <x:f>MAX(0,MIN('Activities'!L67,342)-MAX('Activities'!K67,336))</x:f>
        <x:v>0</x:v>
      </x:c>
      <x:c r="BJ67" s="23" t="n">
        <x:f>MAX(0,MIN('Activities'!L67,348)-MAX('Activities'!K67,342))</x:f>
        <x:v>0</x:v>
      </x:c>
      <x:c r="BK67" s="23" t="n">
        <x:f>MAX(0,MIN('Activities'!L67,354)-MAX('Activities'!K67,348))</x:f>
        <x:v>0</x:v>
      </x:c>
      <x:c r="BL67" s="23" t="n">
        <x:f>MAX(0,MIN('Activities'!L67,360)-MAX('Activities'!K67,354))</x:f>
        <x:v>0</x:v>
      </x:c>
      <x:c r="BM67" s="23" t="n">
        <x:f>MAX(0,MIN('Activities'!L67,366)-MAX('Activities'!K67,360))</x:f>
        <x:v>3</x:v>
      </x:c>
      <x:c r="BN67" s="23" t="n">
        <x:f>MAX(0,MIN('Activities'!L67,372)-MAX('Activities'!K67,366))</x:f>
        <x:v>2</x:v>
      </x:c>
      <x:c r="BO67" s="23" t="n">
        <x:f>MAX(0,MIN('Activities'!L67,378)-MAX('Activities'!K67,372))</x:f>
        <x:v>0</x:v>
      </x:c>
      <x:c r="BP67" s="23" t="n">
        <x:f>MAX(0,MIN('Activities'!L67,384)-MAX('Activities'!K67,378))</x:f>
        <x:v>0</x:v>
      </x:c>
      <x:c r="BQ67" s="23" t="n">
        <x:f>MAX(0,MIN('Activities'!L67,390)-MAX('Activities'!K67,384))</x:f>
        <x:v>0</x:v>
      </x:c>
      <x:c r="BR67" s="23" t="n">
        <x:f>MAX(0,MIN('Activities'!L67,396)-MAX('Activities'!K67,390))</x:f>
        <x:v>0</x:v>
      </x:c>
      <x:c r="BS67" s="23" t="n">
        <x:f>MAX(0,MIN('Activities'!L67,402)-MAX('Activities'!K67,396))</x:f>
        <x:v>0</x:v>
      </x:c>
      <x:c r="BT67" s="23" t="n">
        <x:f>MAX(0,MIN('Activities'!L67,408)-MAX('Activities'!K67,402))</x:f>
        <x:v>0</x:v>
      </x:c>
      <x:c r="BU67" s="23" t="n">
        <x:f>MAX(0,MIN('Activities'!L67,414)-MAX('Activities'!K67,408))</x:f>
        <x:v>0</x:v>
      </x:c>
      <x:c r="BV67" s="23" t="n">
        <x:f>MAX(0,MIN('Activities'!L67,420)-MAX('Activities'!K67,414))</x:f>
        <x:v>0</x:v>
      </x:c>
      <x:c r="BW67" s="23" t="n">
        <x:f>MAX(0,MIN('Activities'!L67,426)-MAX('Activities'!K67,420))</x:f>
        <x:v>0</x:v>
      </x:c>
      <x:c r="BX67" s="23" t="n">
        <x:f>MAX(0,MIN('Activities'!L67,432)-MAX('Activities'!K67,426))</x:f>
        <x:v>0</x:v>
      </x:c>
      <x:c r="BY67" s="23" t="n">
        <x:f>MAX(0,MIN('Activities'!L67,438)-MAX('Activities'!K67,432))</x:f>
        <x:v>0</x:v>
      </x:c>
      <x:c r="BZ67" s="23" t="n">
        <x:f>MAX(0,MIN('Activities'!L67,444)-MAX('Activities'!K67,438))</x:f>
        <x:v>0</x:v>
      </x:c>
      <x:c r="CA67" s="23" t="n">
        <x:f>MAX(0,MIN('Activities'!L67,450)-MAX('Activities'!K67,444))</x:f>
        <x:v>0</x:v>
      </x:c>
      <x:c r="CB67" s="23" t="n">
        <x:f>MAX(0,MIN('Activities'!L67,456)-MAX('Activities'!K67,450))</x:f>
        <x:v>0</x:v>
      </x:c>
      <x:c r="CC67" s="23" t="n">
        <x:f>MAX(0,MIN('Activities'!L67,462)-MAX('Activities'!K67,456))</x:f>
        <x:v>0</x:v>
      </x:c>
      <x:c r="CD67" s="23" t="n">
        <x:f>MAX(0,MIN('Activities'!L67,468)-MAX('Activities'!K67,462))</x:f>
        <x:v>0</x:v>
      </x:c>
      <x:c r="CE67" s="23" t="n">
        <x:f>MAX(0,MIN('Activities'!L67,474)-MAX('Activities'!K67,468))</x:f>
        <x:v>0</x:v>
      </x:c>
      <x:c r="CF67" s="23" t="n">
        <x:f>MAX(0,MIN('Activities'!L67,480)-MAX('Activities'!K67,474))</x:f>
        <x:v>0</x:v>
      </x:c>
      <x:c r="CG67" s="23" t="n">
        <x:f>MAX(0,MIN('Activities'!L67,486)-MAX('Activities'!K67,480))</x:f>
        <x:v>0</x:v>
      </x:c>
      <x:c r="CH67" s="23" t="n">
        <x:f>MAX(0,MIN('Activities'!L67,492)-MAX('Activities'!K67,486))</x:f>
        <x:v>0</x:v>
      </x:c>
      <x:c r="CI67" s="23" t="n">
        <x:f>MAX(0,MIN('Activities'!L67,498)-MAX('Activities'!K67,492))</x:f>
        <x:v>0</x:v>
      </x:c>
      <x:c r="CJ67" s="23" t="n">
        <x:f>MAX(0,MIN('Activities'!L67,504)-MAX('Activities'!K67,498))</x:f>
        <x:v>0</x:v>
      </x:c>
      <x:c r="CK67" s="23" t="n">
        <x:f>MAX(0,MIN('Activities'!L67,510)-MAX('Activities'!K67,504))</x:f>
        <x:v>0</x:v>
      </x:c>
      <x:c r="CL67" s="23" t="n">
        <x:f>MAX(0,MIN('Activities'!L67,516)-MAX('Activities'!K67,510))</x:f>
        <x:v>0</x:v>
      </x:c>
      <x:c r="CM67" s="23" t="n">
        <x:f>MAX(0,MIN('Activities'!L67,522)-MAX('Activities'!K67,516))</x:f>
        <x:v>0</x:v>
      </x:c>
      <x:c r="CN67" s="23" t="n">
        <x:f>MAX(0,MIN('Activities'!L67,528)-MAX('Activities'!K67,522))</x:f>
        <x:v>0</x:v>
      </x:c>
      <x:c r="CO67" s="23" t="n">
        <x:f>MAX(0,MIN('Activities'!L67,534)-MAX('Activities'!K67,528))</x:f>
        <x:v>0</x:v>
      </x:c>
      <x:c r="CP67" s="23" t="n">
        <x:f>MAX(0,MIN('Activities'!L67,540)-MAX('Activities'!K67,534))</x:f>
        <x:v>0</x:v>
      </x:c>
      <x:c r="CQ67" s="23" t="n">
        <x:f>MAX(0,MIN('Activities'!L67,546)-MAX('Activities'!K67,540))</x:f>
        <x:v>0</x:v>
      </x:c>
      <x:c r="CR67" s="23" t="n">
        <x:f>MAX(0,MIN('Activities'!L67,552)-MAX('Activities'!K67,546))</x:f>
        <x:v>0</x:v>
      </x:c>
      <x:c r="CS67" s="23" t="n">
        <x:f>MAX(0,MIN('Activities'!L67,558)-MAX('Activities'!K67,552))</x:f>
        <x:v>0</x:v>
      </x:c>
      <x:c r="CT67" s="23" t="n">
        <x:f>MAX(0,MIN('Activities'!L67,564)-MAX('Activities'!K67,558))</x:f>
        <x:v>0</x:v>
      </x:c>
      <x:c r="CU67" s="23" t="n">
        <x:f>MAX(0,MIN('Activities'!L67,570)-MAX('Activities'!K67,564))</x:f>
        <x:v>0</x:v>
      </x:c>
      <x:c r="CV67" s="23" t="n">
        <x:f>MAX(0,MIN('Activities'!L67,576)-MAX('Activities'!K67,570))</x:f>
        <x:v>0</x:v>
      </x:c>
      <x:c r="CW67" s="23" t="n">
        <x:f>MAX(0,MIN('Activities'!L67,582)-MAX('Activities'!K67,576))</x:f>
        <x:v>0</x:v>
      </x:c>
      <x:c r="CX67" s="23" t="n">
        <x:f>MAX(0,MIN('Activities'!L67,588)-MAX('Activities'!K67,582))</x:f>
        <x:v>0</x:v>
      </x:c>
      <x:c r="CY67" s="23" t="n">
        <x:f>MAX(0,MIN('Activities'!L67,594)-MAX('Activities'!K67,588))</x:f>
        <x:v>0</x:v>
      </x:c>
      <x:c r="CZ67" s="23" t="n">
        <x:f>MAX(0,MIN('Activities'!L67,600)-MAX('Activities'!K67,594))</x:f>
        <x:v>0</x:v>
      </x:c>
      <x:c r="DA67" s="23" t="n">
        <x:f>MAX(0,MIN('Activities'!L67,606)-MAX('Activities'!K67,600))</x:f>
        <x:v>0</x:v>
      </x:c>
      <x:c r="DB67" s="23" t="n">
        <x:f>MAX(0,MIN('Activities'!L67,612)-MAX('Activities'!K67,606))</x:f>
        <x:v>0</x:v>
      </x:c>
      <x:c r="DC67" s="23" t="n">
        <x:f>MAX(0,MIN('Activities'!L67,618)-MAX('Activities'!K67,612))</x:f>
        <x:v>0</x:v>
      </x:c>
      <x:c r="DD67" s="23" t="n">
        <x:f>MAX(0,MIN('Activities'!L67,624)-MAX('Activities'!K67,618))</x:f>
        <x:v>0</x:v>
      </x:c>
      <x:c r="DE67" s="23" t="n">
        <x:f>MAX(0,MIN('Activities'!L67,630)-MAX('Activities'!K67,624))</x:f>
        <x:v>0</x:v>
      </x:c>
      <x:c r="DF67" s="23" t="n">
        <x:f>MAX(0,MIN('Activities'!L67,636)-MAX('Activities'!K67,630))</x:f>
        <x:v>0</x:v>
      </x:c>
    </x:row>
    <x:row r="68" ht="23" customHeight="1">
      <x:c r="A68" s="6" t="str">
        <x:v>T1-RF</x:v>
      </x:c>
      <x:c r="B68" s="6" t="str">
        <x:v>T1</x:v>
      </x:c>
      <x:c r="C68" s="6" t="str">
        <x:v>Roof membrane and weatherproofing</x:v>
      </x:c>
      <x:c r="D68" s="6" t="str">
        <x:v>Envelope</x:v>
      </x:c>
      <x:c r="E68" s="22" t="n">
        <x:f>MAX(0,MIN('Activities'!L68,6)-MAX('Activities'!K68,0))</x:f>
        <x:v>0</x:v>
      </x:c>
      <x:c r="F68" s="22" t="n">
        <x:f>MAX(0,MIN('Activities'!L68,12)-MAX('Activities'!K68,6))</x:f>
        <x:v>0</x:v>
      </x:c>
      <x:c r="G68" s="22" t="n">
        <x:f>MAX(0,MIN('Activities'!L68,18)-MAX('Activities'!K68,12))</x:f>
        <x:v>0</x:v>
      </x:c>
      <x:c r="H68" s="22" t="n">
        <x:f>MAX(0,MIN('Activities'!L68,24)-MAX('Activities'!K68,18))</x:f>
        <x:v>0</x:v>
      </x:c>
      <x:c r="I68" s="22" t="n">
        <x:f>MAX(0,MIN('Activities'!L68,30)-MAX('Activities'!K68,24))</x:f>
        <x:v>0</x:v>
      </x:c>
      <x:c r="J68" s="22" t="n">
        <x:f>MAX(0,MIN('Activities'!L68,36)-MAX('Activities'!K68,30))</x:f>
        <x:v>0</x:v>
      </x:c>
      <x:c r="K68" s="22" t="n">
        <x:f>MAX(0,MIN('Activities'!L68,42)-MAX('Activities'!K68,36))</x:f>
        <x:v>0</x:v>
      </x:c>
      <x:c r="L68" s="22" t="n">
        <x:f>MAX(0,MIN('Activities'!L68,48)-MAX('Activities'!K68,42))</x:f>
        <x:v>0</x:v>
      </x:c>
      <x:c r="M68" s="22" t="n">
        <x:f>MAX(0,MIN('Activities'!L68,54)-MAX('Activities'!K68,48))</x:f>
        <x:v>0</x:v>
      </x:c>
      <x:c r="N68" s="22" t="n">
        <x:f>MAX(0,MIN('Activities'!L68,60)-MAX('Activities'!K68,54))</x:f>
        <x:v>0</x:v>
      </x:c>
      <x:c r="O68" s="22" t="n">
        <x:f>MAX(0,MIN('Activities'!L68,66)-MAX('Activities'!K68,60))</x:f>
        <x:v>0</x:v>
      </x:c>
      <x:c r="P68" s="22" t="n">
        <x:f>MAX(0,MIN('Activities'!L68,72)-MAX('Activities'!K68,66))</x:f>
        <x:v>0</x:v>
      </x:c>
      <x:c r="Q68" s="22" t="n">
        <x:f>MAX(0,MIN('Activities'!L68,78)-MAX('Activities'!K68,72))</x:f>
        <x:v>0</x:v>
      </x:c>
      <x:c r="R68" s="22" t="n">
        <x:f>MAX(0,MIN('Activities'!L68,84)-MAX('Activities'!K68,78))</x:f>
        <x:v>0</x:v>
      </x:c>
      <x:c r="S68" s="22" t="n">
        <x:f>MAX(0,MIN('Activities'!L68,90)-MAX('Activities'!K68,84))</x:f>
        <x:v>0</x:v>
      </x:c>
      <x:c r="T68" s="22" t="n">
        <x:f>MAX(0,MIN('Activities'!L68,96)-MAX('Activities'!K68,90))</x:f>
        <x:v>0</x:v>
      </x:c>
      <x:c r="U68" s="22" t="n">
        <x:f>MAX(0,MIN('Activities'!L68,102)-MAX('Activities'!K68,96))</x:f>
        <x:v>0</x:v>
      </x:c>
      <x:c r="V68" s="22" t="n">
        <x:f>MAX(0,MIN('Activities'!L68,108)-MAX('Activities'!K68,102))</x:f>
        <x:v>0</x:v>
      </x:c>
      <x:c r="W68" s="22" t="n">
        <x:f>MAX(0,MIN('Activities'!L68,114)-MAX('Activities'!K68,108))</x:f>
        <x:v>0</x:v>
      </x:c>
      <x:c r="X68" s="22" t="n">
        <x:f>MAX(0,MIN('Activities'!L68,120)-MAX('Activities'!K68,114))</x:f>
        <x:v>0</x:v>
      </x:c>
      <x:c r="Y68" s="22" t="n">
        <x:f>MAX(0,MIN('Activities'!L68,126)-MAX('Activities'!K68,120))</x:f>
        <x:v>0</x:v>
      </x:c>
      <x:c r="Z68" s="22" t="n">
        <x:f>MAX(0,MIN('Activities'!L68,132)-MAX('Activities'!K68,126))</x:f>
        <x:v>0</x:v>
      </x:c>
      <x:c r="AA68" s="22" t="n">
        <x:f>MAX(0,MIN('Activities'!L68,138)-MAX('Activities'!K68,132))</x:f>
        <x:v>0</x:v>
      </x:c>
      <x:c r="AB68" s="22" t="n">
        <x:f>MAX(0,MIN('Activities'!L68,144)-MAX('Activities'!K68,138))</x:f>
        <x:v>0</x:v>
      </x:c>
      <x:c r="AC68" s="22" t="n">
        <x:f>MAX(0,MIN('Activities'!L68,150)-MAX('Activities'!K68,144))</x:f>
        <x:v>0</x:v>
      </x:c>
      <x:c r="AD68" s="22" t="n">
        <x:f>MAX(0,MIN('Activities'!L68,156)-MAX('Activities'!K68,150))</x:f>
        <x:v>0</x:v>
      </x:c>
      <x:c r="AE68" s="22" t="n">
        <x:f>MAX(0,MIN('Activities'!L68,162)-MAX('Activities'!K68,156))</x:f>
        <x:v>0</x:v>
      </x:c>
      <x:c r="AF68" s="22" t="n">
        <x:f>MAX(0,MIN('Activities'!L68,168)-MAX('Activities'!K68,162))</x:f>
        <x:v>0</x:v>
      </x:c>
      <x:c r="AG68" s="22" t="n">
        <x:f>MAX(0,MIN('Activities'!L68,174)-MAX('Activities'!K68,168))</x:f>
        <x:v>0</x:v>
      </x:c>
      <x:c r="AH68" s="22" t="n">
        <x:f>MAX(0,MIN('Activities'!L68,180)-MAX('Activities'!K68,174))</x:f>
        <x:v>0</x:v>
      </x:c>
      <x:c r="AI68" s="22" t="n">
        <x:f>MAX(0,MIN('Activities'!L68,186)-MAX('Activities'!K68,180))</x:f>
        <x:v>0</x:v>
      </x:c>
      <x:c r="AJ68" s="22" t="n">
        <x:f>MAX(0,MIN('Activities'!L68,192)-MAX('Activities'!K68,186))</x:f>
        <x:v>0</x:v>
      </x:c>
      <x:c r="AK68" s="22" t="n">
        <x:f>MAX(0,MIN('Activities'!L68,198)-MAX('Activities'!K68,192))</x:f>
        <x:v>0</x:v>
      </x:c>
      <x:c r="AL68" s="22" t="n">
        <x:f>MAX(0,MIN('Activities'!L68,204)-MAX('Activities'!K68,198))</x:f>
        <x:v>0</x:v>
      </x:c>
      <x:c r="AM68" s="22" t="n">
        <x:f>MAX(0,MIN('Activities'!L68,210)-MAX('Activities'!K68,204))</x:f>
        <x:v>0</x:v>
      </x:c>
      <x:c r="AN68" s="22" t="n">
        <x:f>MAX(0,MIN('Activities'!L68,216)-MAX('Activities'!K68,210))</x:f>
        <x:v>0</x:v>
      </x:c>
      <x:c r="AO68" s="22" t="n">
        <x:f>MAX(0,MIN('Activities'!L68,222)-MAX('Activities'!K68,216))</x:f>
        <x:v>0</x:v>
      </x:c>
      <x:c r="AP68" s="22" t="n">
        <x:f>MAX(0,MIN('Activities'!L68,228)-MAX('Activities'!K68,222))</x:f>
        <x:v>0</x:v>
      </x:c>
      <x:c r="AQ68" s="22" t="n">
        <x:f>MAX(0,MIN('Activities'!L68,234)-MAX('Activities'!K68,228))</x:f>
        <x:v>0</x:v>
      </x:c>
      <x:c r="AR68" s="22" t="n">
        <x:f>MAX(0,MIN('Activities'!L68,240)-MAX('Activities'!K68,234))</x:f>
        <x:v>0</x:v>
      </x:c>
      <x:c r="AS68" s="22" t="n">
        <x:f>MAX(0,MIN('Activities'!L68,246)-MAX('Activities'!K68,240))</x:f>
        <x:v>0</x:v>
      </x:c>
      <x:c r="AT68" s="22" t="n">
        <x:f>MAX(0,MIN('Activities'!L68,252)-MAX('Activities'!K68,246))</x:f>
        <x:v>0</x:v>
      </x:c>
      <x:c r="AU68" s="22" t="n">
        <x:f>MAX(0,MIN('Activities'!L68,258)-MAX('Activities'!K68,252))</x:f>
        <x:v>0</x:v>
      </x:c>
      <x:c r="AV68" s="22" t="n">
        <x:f>MAX(0,MIN('Activities'!L68,264)-MAX('Activities'!K68,258))</x:f>
        <x:v>0</x:v>
      </x:c>
      <x:c r="AW68" s="22" t="n">
        <x:f>MAX(0,MIN('Activities'!L68,270)-MAX('Activities'!K68,264))</x:f>
        <x:v>0</x:v>
      </x:c>
      <x:c r="AX68" s="22" t="n">
        <x:f>MAX(0,MIN('Activities'!L68,276)-MAX('Activities'!K68,270))</x:f>
        <x:v>0</x:v>
      </x:c>
      <x:c r="AY68" s="22" t="n">
        <x:f>MAX(0,MIN('Activities'!L68,282)-MAX('Activities'!K68,276))</x:f>
        <x:v>0</x:v>
      </x:c>
      <x:c r="AZ68" s="22" t="n">
        <x:f>MAX(0,MIN('Activities'!L68,288)-MAX('Activities'!K68,282))</x:f>
        <x:v>0</x:v>
      </x:c>
      <x:c r="BA68" s="22" t="n">
        <x:f>MAX(0,MIN('Activities'!L68,294)-MAX('Activities'!K68,288))</x:f>
        <x:v>0</x:v>
      </x:c>
      <x:c r="BB68" s="22" t="n">
        <x:f>MAX(0,MIN('Activities'!L68,300)-MAX('Activities'!K68,294))</x:f>
        <x:v>0</x:v>
      </x:c>
      <x:c r="BC68" s="22" t="n">
        <x:f>MAX(0,MIN('Activities'!L68,306)-MAX('Activities'!K68,300))</x:f>
        <x:v>0</x:v>
      </x:c>
      <x:c r="BD68" s="22" t="n">
        <x:f>MAX(0,MIN('Activities'!L68,312)-MAX('Activities'!K68,306))</x:f>
        <x:v>0</x:v>
      </x:c>
      <x:c r="BE68" s="22" t="n">
        <x:f>MAX(0,MIN('Activities'!L68,318)-MAX('Activities'!K68,312))</x:f>
        <x:v>0</x:v>
      </x:c>
      <x:c r="BF68" s="22" t="n">
        <x:f>MAX(0,MIN('Activities'!L68,324)-MAX('Activities'!K68,318))</x:f>
        <x:v>0</x:v>
      </x:c>
      <x:c r="BG68" s="22" t="n">
        <x:f>MAX(0,MIN('Activities'!L68,330)-MAX('Activities'!K68,324))</x:f>
        <x:v>0</x:v>
      </x:c>
      <x:c r="BH68" s="22" t="n">
        <x:f>MAX(0,MIN('Activities'!L68,336)-MAX('Activities'!K68,330))</x:f>
        <x:v>0</x:v>
      </x:c>
      <x:c r="BI68" s="22" t="n">
        <x:f>MAX(0,MIN('Activities'!L68,342)-MAX('Activities'!K68,336))</x:f>
        <x:v>0</x:v>
      </x:c>
      <x:c r="BJ68" s="22" t="n">
        <x:f>MAX(0,MIN('Activities'!L68,348)-MAX('Activities'!K68,342))</x:f>
        <x:v>0</x:v>
      </x:c>
      <x:c r="BK68" s="22" t="n">
        <x:f>MAX(0,MIN('Activities'!L68,354)-MAX('Activities'!K68,348))</x:f>
        <x:v>0</x:v>
      </x:c>
      <x:c r="BL68" s="22" t="n">
        <x:f>MAX(0,MIN('Activities'!L68,360)-MAX('Activities'!K68,354))</x:f>
        <x:v>0</x:v>
      </x:c>
      <x:c r="BM68" s="22" t="n">
        <x:f>MAX(0,MIN('Activities'!L68,366)-MAX('Activities'!K68,360))</x:f>
        <x:v>0</x:v>
      </x:c>
      <x:c r="BN68" s="22" t="n">
        <x:f>MAX(0,MIN('Activities'!L68,372)-MAX('Activities'!K68,366))</x:f>
        <x:v>0</x:v>
      </x:c>
      <x:c r="BO68" s="22" t="n">
        <x:f>MAX(0,MIN('Activities'!L68,378)-MAX('Activities'!K68,372))</x:f>
        <x:v>5</x:v>
      </x:c>
      <x:c r="BP68" s="22" t="n">
        <x:f>MAX(0,MIN('Activities'!L68,384)-MAX('Activities'!K68,378))</x:f>
        <x:v>6</x:v>
      </x:c>
      <x:c r="BQ68" s="22" t="n">
        <x:f>MAX(0,MIN('Activities'!L68,390)-MAX('Activities'!K68,384))</x:f>
        <x:v>3</x:v>
      </x:c>
      <x:c r="BR68" s="22" t="n">
        <x:f>MAX(0,MIN('Activities'!L68,396)-MAX('Activities'!K68,390))</x:f>
        <x:v>0</x:v>
      </x:c>
      <x:c r="BS68" s="22" t="n">
        <x:f>MAX(0,MIN('Activities'!L68,402)-MAX('Activities'!K68,396))</x:f>
        <x:v>0</x:v>
      </x:c>
      <x:c r="BT68" s="22" t="n">
        <x:f>MAX(0,MIN('Activities'!L68,408)-MAX('Activities'!K68,402))</x:f>
        <x:v>0</x:v>
      </x:c>
      <x:c r="BU68" s="22" t="n">
        <x:f>MAX(0,MIN('Activities'!L68,414)-MAX('Activities'!K68,408))</x:f>
        <x:v>0</x:v>
      </x:c>
      <x:c r="BV68" s="22" t="n">
        <x:f>MAX(0,MIN('Activities'!L68,420)-MAX('Activities'!K68,414))</x:f>
        <x:v>0</x:v>
      </x:c>
      <x:c r="BW68" s="22" t="n">
        <x:f>MAX(0,MIN('Activities'!L68,426)-MAX('Activities'!K68,420))</x:f>
        <x:v>0</x:v>
      </x:c>
      <x:c r="BX68" s="22" t="n">
        <x:f>MAX(0,MIN('Activities'!L68,432)-MAX('Activities'!K68,426))</x:f>
        <x:v>0</x:v>
      </x:c>
      <x:c r="BY68" s="22" t="n">
        <x:f>MAX(0,MIN('Activities'!L68,438)-MAX('Activities'!K68,432))</x:f>
        <x:v>0</x:v>
      </x:c>
      <x:c r="BZ68" s="22" t="n">
        <x:f>MAX(0,MIN('Activities'!L68,444)-MAX('Activities'!K68,438))</x:f>
        <x:v>0</x:v>
      </x:c>
      <x:c r="CA68" s="22" t="n">
        <x:f>MAX(0,MIN('Activities'!L68,450)-MAX('Activities'!K68,444))</x:f>
        <x:v>0</x:v>
      </x:c>
      <x:c r="CB68" s="22" t="n">
        <x:f>MAX(0,MIN('Activities'!L68,456)-MAX('Activities'!K68,450))</x:f>
        <x:v>0</x:v>
      </x:c>
      <x:c r="CC68" s="22" t="n">
        <x:f>MAX(0,MIN('Activities'!L68,462)-MAX('Activities'!K68,456))</x:f>
        <x:v>0</x:v>
      </x:c>
      <x:c r="CD68" s="22" t="n">
        <x:f>MAX(0,MIN('Activities'!L68,468)-MAX('Activities'!K68,462))</x:f>
        <x:v>0</x:v>
      </x:c>
      <x:c r="CE68" s="22" t="n">
        <x:f>MAX(0,MIN('Activities'!L68,474)-MAX('Activities'!K68,468))</x:f>
        <x:v>0</x:v>
      </x:c>
      <x:c r="CF68" s="22" t="n">
        <x:f>MAX(0,MIN('Activities'!L68,480)-MAX('Activities'!K68,474))</x:f>
        <x:v>0</x:v>
      </x:c>
      <x:c r="CG68" s="22" t="n">
        <x:f>MAX(0,MIN('Activities'!L68,486)-MAX('Activities'!K68,480))</x:f>
        <x:v>0</x:v>
      </x:c>
      <x:c r="CH68" s="22" t="n">
        <x:f>MAX(0,MIN('Activities'!L68,492)-MAX('Activities'!K68,486))</x:f>
        <x:v>0</x:v>
      </x:c>
      <x:c r="CI68" s="22" t="n">
        <x:f>MAX(0,MIN('Activities'!L68,498)-MAX('Activities'!K68,492))</x:f>
        <x:v>0</x:v>
      </x:c>
      <x:c r="CJ68" s="22" t="n">
        <x:f>MAX(0,MIN('Activities'!L68,504)-MAX('Activities'!K68,498))</x:f>
        <x:v>0</x:v>
      </x:c>
      <x:c r="CK68" s="22" t="n">
        <x:f>MAX(0,MIN('Activities'!L68,510)-MAX('Activities'!K68,504))</x:f>
        <x:v>0</x:v>
      </x:c>
      <x:c r="CL68" s="22" t="n">
        <x:f>MAX(0,MIN('Activities'!L68,516)-MAX('Activities'!K68,510))</x:f>
        <x:v>0</x:v>
      </x:c>
      <x:c r="CM68" s="22" t="n">
        <x:f>MAX(0,MIN('Activities'!L68,522)-MAX('Activities'!K68,516))</x:f>
        <x:v>0</x:v>
      </x:c>
      <x:c r="CN68" s="22" t="n">
        <x:f>MAX(0,MIN('Activities'!L68,528)-MAX('Activities'!K68,522))</x:f>
        <x:v>0</x:v>
      </x:c>
      <x:c r="CO68" s="22" t="n">
        <x:f>MAX(0,MIN('Activities'!L68,534)-MAX('Activities'!K68,528))</x:f>
        <x:v>0</x:v>
      </x:c>
      <x:c r="CP68" s="22" t="n">
        <x:f>MAX(0,MIN('Activities'!L68,540)-MAX('Activities'!K68,534))</x:f>
        <x:v>0</x:v>
      </x:c>
      <x:c r="CQ68" s="22" t="n">
        <x:f>MAX(0,MIN('Activities'!L68,546)-MAX('Activities'!K68,540))</x:f>
        <x:v>0</x:v>
      </x:c>
      <x:c r="CR68" s="22" t="n">
        <x:f>MAX(0,MIN('Activities'!L68,552)-MAX('Activities'!K68,546))</x:f>
        <x:v>0</x:v>
      </x:c>
      <x:c r="CS68" s="22" t="n">
        <x:f>MAX(0,MIN('Activities'!L68,558)-MAX('Activities'!K68,552))</x:f>
        <x:v>0</x:v>
      </x:c>
      <x:c r="CT68" s="22" t="n">
        <x:f>MAX(0,MIN('Activities'!L68,564)-MAX('Activities'!K68,558))</x:f>
        <x:v>0</x:v>
      </x:c>
      <x:c r="CU68" s="22" t="n">
        <x:f>MAX(0,MIN('Activities'!L68,570)-MAX('Activities'!K68,564))</x:f>
        <x:v>0</x:v>
      </x:c>
      <x:c r="CV68" s="22" t="n">
        <x:f>MAX(0,MIN('Activities'!L68,576)-MAX('Activities'!K68,570))</x:f>
        <x:v>0</x:v>
      </x:c>
      <x:c r="CW68" s="22" t="n">
        <x:f>MAX(0,MIN('Activities'!L68,582)-MAX('Activities'!K68,576))</x:f>
        <x:v>0</x:v>
      </x:c>
      <x:c r="CX68" s="22" t="n">
        <x:f>MAX(0,MIN('Activities'!L68,588)-MAX('Activities'!K68,582))</x:f>
        <x:v>0</x:v>
      </x:c>
      <x:c r="CY68" s="22" t="n">
        <x:f>MAX(0,MIN('Activities'!L68,594)-MAX('Activities'!K68,588))</x:f>
        <x:v>0</x:v>
      </x:c>
      <x:c r="CZ68" s="22" t="n">
        <x:f>MAX(0,MIN('Activities'!L68,600)-MAX('Activities'!K68,594))</x:f>
        <x:v>0</x:v>
      </x:c>
      <x:c r="DA68" s="22" t="n">
        <x:f>MAX(0,MIN('Activities'!L68,606)-MAX('Activities'!K68,600))</x:f>
        <x:v>0</x:v>
      </x:c>
      <x:c r="DB68" s="22" t="n">
        <x:f>MAX(0,MIN('Activities'!L68,612)-MAX('Activities'!K68,606))</x:f>
        <x:v>0</x:v>
      </x:c>
      <x:c r="DC68" s="22" t="n">
        <x:f>MAX(0,MIN('Activities'!L68,618)-MAX('Activities'!K68,612))</x:f>
        <x:v>0</x:v>
      </x:c>
      <x:c r="DD68" s="22" t="n">
        <x:f>MAX(0,MIN('Activities'!L68,624)-MAX('Activities'!K68,618))</x:f>
        <x:v>0</x:v>
      </x:c>
      <x:c r="DE68" s="22" t="n">
        <x:f>MAX(0,MIN('Activities'!L68,630)-MAX('Activities'!K68,624))</x:f>
        <x:v>0</x:v>
      </x:c>
      <x:c r="DF68" s="22" t="n">
        <x:f>MAX(0,MIN('Activities'!L68,636)-MAX('Activities'!K68,630))</x:f>
        <x:v>0</x:v>
      </x:c>
    </x:row>
    <x:row r="69" ht="23" customHeight="1">
      <x:c r="A69" s="1" t="str">
        <x:v>T1-FA</x:v>
      </x:c>
      <x:c r="B69" s="1" t="str">
        <x:v>T1</x:v>
      </x:c>
      <x:c r="C69" s="1" t="str">
        <x:v>Insulated facade installation</x:v>
      </x:c>
      <x:c r="D69" s="1" t="str">
        <x:v>Envelope</x:v>
      </x:c>
      <x:c r="E69" s="23" t="n">
        <x:f>MAX(0,MIN('Activities'!L69,6)-MAX('Activities'!K69,0))</x:f>
        <x:v>0</x:v>
      </x:c>
      <x:c r="F69" s="23" t="n">
        <x:f>MAX(0,MIN('Activities'!L69,12)-MAX('Activities'!K69,6))</x:f>
        <x:v>0</x:v>
      </x:c>
      <x:c r="G69" s="23" t="n">
        <x:f>MAX(0,MIN('Activities'!L69,18)-MAX('Activities'!K69,12))</x:f>
        <x:v>0</x:v>
      </x:c>
      <x:c r="H69" s="23" t="n">
        <x:f>MAX(0,MIN('Activities'!L69,24)-MAX('Activities'!K69,18))</x:f>
        <x:v>0</x:v>
      </x:c>
      <x:c r="I69" s="23" t="n">
        <x:f>MAX(0,MIN('Activities'!L69,30)-MAX('Activities'!K69,24))</x:f>
        <x:v>0</x:v>
      </x:c>
      <x:c r="J69" s="23" t="n">
        <x:f>MAX(0,MIN('Activities'!L69,36)-MAX('Activities'!K69,30))</x:f>
        <x:v>0</x:v>
      </x:c>
      <x:c r="K69" s="23" t="n">
        <x:f>MAX(0,MIN('Activities'!L69,42)-MAX('Activities'!K69,36))</x:f>
        <x:v>0</x:v>
      </x:c>
      <x:c r="L69" s="23" t="n">
        <x:f>MAX(0,MIN('Activities'!L69,48)-MAX('Activities'!K69,42))</x:f>
        <x:v>0</x:v>
      </x:c>
      <x:c r="M69" s="23" t="n">
        <x:f>MAX(0,MIN('Activities'!L69,54)-MAX('Activities'!K69,48))</x:f>
        <x:v>0</x:v>
      </x:c>
      <x:c r="N69" s="23" t="n">
        <x:f>MAX(0,MIN('Activities'!L69,60)-MAX('Activities'!K69,54))</x:f>
        <x:v>0</x:v>
      </x:c>
      <x:c r="O69" s="23" t="n">
        <x:f>MAX(0,MIN('Activities'!L69,66)-MAX('Activities'!K69,60))</x:f>
        <x:v>0</x:v>
      </x:c>
      <x:c r="P69" s="23" t="n">
        <x:f>MAX(0,MIN('Activities'!L69,72)-MAX('Activities'!K69,66))</x:f>
        <x:v>0</x:v>
      </x:c>
      <x:c r="Q69" s="23" t="n">
        <x:f>MAX(0,MIN('Activities'!L69,78)-MAX('Activities'!K69,72))</x:f>
        <x:v>0</x:v>
      </x:c>
      <x:c r="R69" s="23" t="n">
        <x:f>MAX(0,MIN('Activities'!L69,84)-MAX('Activities'!K69,78))</x:f>
        <x:v>0</x:v>
      </x:c>
      <x:c r="S69" s="23" t="n">
        <x:f>MAX(0,MIN('Activities'!L69,90)-MAX('Activities'!K69,84))</x:f>
        <x:v>0</x:v>
      </x:c>
      <x:c r="T69" s="23" t="n">
        <x:f>MAX(0,MIN('Activities'!L69,96)-MAX('Activities'!K69,90))</x:f>
        <x:v>0</x:v>
      </x:c>
      <x:c r="U69" s="23" t="n">
        <x:f>MAX(0,MIN('Activities'!L69,102)-MAX('Activities'!K69,96))</x:f>
        <x:v>0</x:v>
      </x:c>
      <x:c r="V69" s="23" t="n">
        <x:f>MAX(0,MIN('Activities'!L69,108)-MAX('Activities'!K69,102))</x:f>
        <x:v>0</x:v>
      </x:c>
      <x:c r="W69" s="23" t="n">
        <x:f>MAX(0,MIN('Activities'!L69,114)-MAX('Activities'!K69,108))</x:f>
        <x:v>0</x:v>
      </x:c>
      <x:c r="X69" s="23" t="n">
        <x:f>MAX(0,MIN('Activities'!L69,120)-MAX('Activities'!K69,114))</x:f>
        <x:v>0</x:v>
      </x:c>
      <x:c r="Y69" s="23" t="n">
        <x:f>MAX(0,MIN('Activities'!L69,126)-MAX('Activities'!K69,120))</x:f>
        <x:v>0</x:v>
      </x:c>
      <x:c r="Z69" s="23" t="n">
        <x:f>MAX(0,MIN('Activities'!L69,132)-MAX('Activities'!K69,126))</x:f>
        <x:v>0</x:v>
      </x:c>
      <x:c r="AA69" s="23" t="n">
        <x:f>MAX(0,MIN('Activities'!L69,138)-MAX('Activities'!K69,132))</x:f>
        <x:v>0</x:v>
      </x:c>
      <x:c r="AB69" s="23" t="n">
        <x:f>MAX(0,MIN('Activities'!L69,144)-MAX('Activities'!K69,138))</x:f>
        <x:v>0</x:v>
      </x:c>
      <x:c r="AC69" s="23" t="n">
        <x:f>MAX(0,MIN('Activities'!L69,150)-MAX('Activities'!K69,144))</x:f>
        <x:v>0</x:v>
      </x:c>
      <x:c r="AD69" s="23" t="n">
        <x:f>MAX(0,MIN('Activities'!L69,156)-MAX('Activities'!K69,150))</x:f>
        <x:v>0</x:v>
      </x:c>
      <x:c r="AE69" s="23" t="n">
        <x:f>MAX(0,MIN('Activities'!L69,162)-MAX('Activities'!K69,156))</x:f>
        <x:v>0</x:v>
      </x:c>
      <x:c r="AF69" s="23" t="n">
        <x:f>MAX(0,MIN('Activities'!L69,168)-MAX('Activities'!K69,162))</x:f>
        <x:v>0</x:v>
      </x:c>
      <x:c r="AG69" s="23" t="n">
        <x:f>MAX(0,MIN('Activities'!L69,174)-MAX('Activities'!K69,168))</x:f>
        <x:v>0</x:v>
      </x:c>
      <x:c r="AH69" s="23" t="n">
        <x:f>MAX(0,MIN('Activities'!L69,180)-MAX('Activities'!K69,174))</x:f>
        <x:v>0</x:v>
      </x:c>
      <x:c r="AI69" s="23" t="n">
        <x:f>MAX(0,MIN('Activities'!L69,186)-MAX('Activities'!K69,180))</x:f>
        <x:v>0</x:v>
      </x:c>
      <x:c r="AJ69" s="23" t="n">
        <x:f>MAX(0,MIN('Activities'!L69,192)-MAX('Activities'!K69,186))</x:f>
        <x:v>0</x:v>
      </x:c>
      <x:c r="AK69" s="23" t="n">
        <x:f>MAX(0,MIN('Activities'!L69,198)-MAX('Activities'!K69,192))</x:f>
        <x:v>0</x:v>
      </x:c>
      <x:c r="AL69" s="23" t="n">
        <x:f>MAX(0,MIN('Activities'!L69,204)-MAX('Activities'!K69,198))</x:f>
        <x:v>0</x:v>
      </x:c>
      <x:c r="AM69" s="23" t="n">
        <x:f>MAX(0,MIN('Activities'!L69,210)-MAX('Activities'!K69,204))</x:f>
        <x:v>0</x:v>
      </x:c>
      <x:c r="AN69" s="23" t="n">
        <x:f>MAX(0,MIN('Activities'!L69,216)-MAX('Activities'!K69,210))</x:f>
        <x:v>0</x:v>
      </x:c>
      <x:c r="AO69" s="23" t="n">
        <x:f>MAX(0,MIN('Activities'!L69,222)-MAX('Activities'!K69,216))</x:f>
        <x:v>0</x:v>
      </x:c>
      <x:c r="AP69" s="23" t="n">
        <x:f>MAX(0,MIN('Activities'!L69,228)-MAX('Activities'!K69,222))</x:f>
        <x:v>0</x:v>
      </x:c>
      <x:c r="AQ69" s="23" t="n">
        <x:f>MAX(0,MIN('Activities'!L69,234)-MAX('Activities'!K69,228))</x:f>
        <x:v>0</x:v>
      </x:c>
      <x:c r="AR69" s="23" t="n">
        <x:f>MAX(0,MIN('Activities'!L69,240)-MAX('Activities'!K69,234))</x:f>
        <x:v>0</x:v>
      </x:c>
      <x:c r="AS69" s="23" t="n">
        <x:f>MAX(0,MIN('Activities'!L69,246)-MAX('Activities'!K69,240))</x:f>
        <x:v>0</x:v>
      </x:c>
      <x:c r="AT69" s="23" t="n">
        <x:f>MAX(0,MIN('Activities'!L69,252)-MAX('Activities'!K69,246))</x:f>
        <x:v>0</x:v>
      </x:c>
      <x:c r="AU69" s="23" t="n">
        <x:f>MAX(0,MIN('Activities'!L69,258)-MAX('Activities'!K69,252))</x:f>
        <x:v>0</x:v>
      </x:c>
      <x:c r="AV69" s="23" t="n">
        <x:f>MAX(0,MIN('Activities'!L69,264)-MAX('Activities'!K69,258))</x:f>
        <x:v>0</x:v>
      </x:c>
      <x:c r="AW69" s="23" t="n">
        <x:f>MAX(0,MIN('Activities'!L69,270)-MAX('Activities'!K69,264))</x:f>
        <x:v>0</x:v>
      </x:c>
      <x:c r="AX69" s="23" t="n">
        <x:f>MAX(0,MIN('Activities'!L69,276)-MAX('Activities'!K69,270))</x:f>
        <x:v>0</x:v>
      </x:c>
      <x:c r="AY69" s="23" t="n">
        <x:f>MAX(0,MIN('Activities'!L69,282)-MAX('Activities'!K69,276))</x:f>
        <x:v>0</x:v>
      </x:c>
      <x:c r="AZ69" s="23" t="n">
        <x:f>MAX(0,MIN('Activities'!L69,288)-MAX('Activities'!K69,282))</x:f>
        <x:v>0</x:v>
      </x:c>
      <x:c r="BA69" s="23" t="n">
        <x:f>MAX(0,MIN('Activities'!L69,294)-MAX('Activities'!K69,288))</x:f>
        <x:v>0</x:v>
      </x:c>
      <x:c r="BB69" s="23" t="n">
        <x:f>MAX(0,MIN('Activities'!L69,300)-MAX('Activities'!K69,294))</x:f>
        <x:v>0</x:v>
      </x:c>
      <x:c r="BC69" s="23" t="n">
        <x:f>MAX(0,MIN('Activities'!L69,306)-MAX('Activities'!K69,300))</x:f>
        <x:v>0</x:v>
      </x:c>
      <x:c r="BD69" s="23" t="n">
        <x:f>MAX(0,MIN('Activities'!L69,312)-MAX('Activities'!K69,306))</x:f>
        <x:v>6</x:v>
      </x:c>
      <x:c r="BE69" s="23" t="n">
        <x:f>MAX(0,MIN('Activities'!L69,318)-MAX('Activities'!K69,312))</x:f>
        <x:v>6</x:v>
      </x:c>
      <x:c r="BF69" s="23" t="n">
        <x:f>MAX(0,MIN('Activities'!L69,324)-MAX('Activities'!K69,318))</x:f>
        <x:v>6</x:v>
      </x:c>
      <x:c r="BG69" s="23" t="n">
        <x:f>MAX(0,MIN('Activities'!L69,330)-MAX('Activities'!K69,324))</x:f>
        <x:v>4</x:v>
      </x:c>
      <x:c r="BH69" s="23" t="n">
        <x:f>MAX(0,MIN('Activities'!L69,336)-MAX('Activities'!K69,330))</x:f>
        <x:v>0</x:v>
      </x:c>
      <x:c r="BI69" s="23" t="n">
        <x:f>MAX(0,MIN('Activities'!L69,342)-MAX('Activities'!K69,336))</x:f>
        <x:v>0</x:v>
      </x:c>
      <x:c r="BJ69" s="23" t="n">
        <x:f>MAX(0,MIN('Activities'!L69,348)-MAX('Activities'!K69,342))</x:f>
        <x:v>0</x:v>
      </x:c>
      <x:c r="BK69" s="23" t="n">
        <x:f>MAX(0,MIN('Activities'!L69,354)-MAX('Activities'!K69,348))</x:f>
        <x:v>0</x:v>
      </x:c>
      <x:c r="BL69" s="23" t="n">
        <x:f>MAX(0,MIN('Activities'!L69,360)-MAX('Activities'!K69,354))</x:f>
        <x:v>0</x:v>
      </x:c>
      <x:c r="BM69" s="23" t="n">
        <x:f>MAX(0,MIN('Activities'!L69,366)-MAX('Activities'!K69,360))</x:f>
        <x:v>0</x:v>
      </x:c>
      <x:c r="BN69" s="23" t="n">
        <x:f>MAX(0,MIN('Activities'!L69,372)-MAX('Activities'!K69,366))</x:f>
        <x:v>0</x:v>
      </x:c>
      <x:c r="BO69" s="23" t="n">
        <x:f>MAX(0,MIN('Activities'!L69,378)-MAX('Activities'!K69,372))</x:f>
        <x:v>0</x:v>
      </x:c>
      <x:c r="BP69" s="23" t="n">
        <x:f>MAX(0,MIN('Activities'!L69,384)-MAX('Activities'!K69,378))</x:f>
        <x:v>0</x:v>
      </x:c>
      <x:c r="BQ69" s="23" t="n">
        <x:f>MAX(0,MIN('Activities'!L69,390)-MAX('Activities'!K69,384))</x:f>
        <x:v>0</x:v>
      </x:c>
      <x:c r="BR69" s="23" t="n">
        <x:f>MAX(0,MIN('Activities'!L69,396)-MAX('Activities'!K69,390))</x:f>
        <x:v>0</x:v>
      </x:c>
      <x:c r="BS69" s="23" t="n">
        <x:f>MAX(0,MIN('Activities'!L69,402)-MAX('Activities'!K69,396))</x:f>
        <x:v>0</x:v>
      </x:c>
      <x:c r="BT69" s="23" t="n">
        <x:f>MAX(0,MIN('Activities'!L69,408)-MAX('Activities'!K69,402))</x:f>
        <x:v>0</x:v>
      </x:c>
      <x:c r="BU69" s="23" t="n">
        <x:f>MAX(0,MIN('Activities'!L69,414)-MAX('Activities'!K69,408))</x:f>
        <x:v>0</x:v>
      </x:c>
      <x:c r="BV69" s="23" t="n">
        <x:f>MAX(0,MIN('Activities'!L69,420)-MAX('Activities'!K69,414))</x:f>
        <x:v>0</x:v>
      </x:c>
      <x:c r="BW69" s="23" t="n">
        <x:f>MAX(0,MIN('Activities'!L69,426)-MAX('Activities'!K69,420))</x:f>
        <x:v>0</x:v>
      </x:c>
      <x:c r="BX69" s="23" t="n">
        <x:f>MAX(0,MIN('Activities'!L69,432)-MAX('Activities'!K69,426))</x:f>
        <x:v>0</x:v>
      </x:c>
      <x:c r="BY69" s="23" t="n">
        <x:f>MAX(0,MIN('Activities'!L69,438)-MAX('Activities'!K69,432))</x:f>
        <x:v>0</x:v>
      </x:c>
      <x:c r="BZ69" s="23" t="n">
        <x:f>MAX(0,MIN('Activities'!L69,444)-MAX('Activities'!K69,438))</x:f>
        <x:v>0</x:v>
      </x:c>
      <x:c r="CA69" s="23" t="n">
        <x:f>MAX(0,MIN('Activities'!L69,450)-MAX('Activities'!K69,444))</x:f>
        <x:v>0</x:v>
      </x:c>
      <x:c r="CB69" s="23" t="n">
        <x:f>MAX(0,MIN('Activities'!L69,456)-MAX('Activities'!K69,450))</x:f>
        <x:v>0</x:v>
      </x:c>
      <x:c r="CC69" s="23" t="n">
        <x:f>MAX(0,MIN('Activities'!L69,462)-MAX('Activities'!K69,456))</x:f>
        <x:v>0</x:v>
      </x:c>
      <x:c r="CD69" s="23" t="n">
        <x:f>MAX(0,MIN('Activities'!L69,468)-MAX('Activities'!K69,462))</x:f>
        <x:v>0</x:v>
      </x:c>
      <x:c r="CE69" s="23" t="n">
        <x:f>MAX(0,MIN('Activities'!L69,474)-MAX('Activities'!K69,468))</x:f>
        <x:v>0</x:v>
      </x:c>
      <x:c r="CF69" s="23" t="n">
        <x:f>MAX(0,MIN('Activities'!L69,480)-MAX('Activities'!K69,474))</x:f>
        <x:v>0</x:v>
      </x:c>
      <x:c r="CG69" s="23" t="n">
        <x:f>MAX(0,MIN('Activities'!L69,486)-MAX('Activities'!K69,480))</x:f>
        <x:v>0</x:v>
      </x:c>
      <x:c r="CH69" s="23" t="n">
        <x:f>MAX(0,MIN('Activities'!L69,492)-MAX('Activities'!K69,486))</x:f>
        <x:v>0</x:v>
      </x:c>
      <x:c r="CI69" s="23" t="n">
        <x:f>MAX(0,MIN('Activities'!L69,498)-MAX('Activities'!K69,492))</x:f>
        <x:v>0</x:v>
      </x:c>
      <x:c r="CJ69" s="23" t="n">
        <x:f>MAX(0,MIN('Activities'!L69,504)-MAX('Activities'!K69,498))</x:f>
        <x:v>0</x:v>
      </x:c>
      <x:c r="CK69" s="23" t="n">
        <x:f>MAX(0,MIN('Activities'!L69,510)-MAX('Activities'!K69,504))</x:f>
        <x:v>0</x:v>
      </x:c>
      <x:c r="CL69" s="23" t="n">
        <x:f>MAX(0,MIN('Activities'!L69,516)-MAX('Activities'!K69,510))</x:f>
        <x:v>0</x:v>
      </x:c>
      <x:c r="CM69" s="23" t="n">
        <x:f>MAX(0,MIN('Activities'!L69,522)-MAX('Activities'!K69,516))</x:f>
        <x:v>0</x:v>
      </x:c>
      <x:c r="CN69" s="23" t="n">
        <x:f>MAX(0,MIN('Activities'!L69,528)-MAX('Activities'!K69,522))</x:f>
        <x:v>0</x:v>
      </x:c>
      <x:c r="CO69" s="23" t="n">
        <x:f>MAX(0,MIN('Activities'!L69,534)-MAX('Activities'!K69,528))</x:f>
        <x:v>0</x:v>
      </x:c>
      <x:c r="CP69" s="23" t="n">
        <x:f>MAX(0,MIN('Activities'!L69,540)-MAX('Activities'!K69,534))</x:f>
        <x:v>0</x:v>
      </x:c>
      <x:c r="CQ69" s="23" t="n">
        <x:f>MAX(0,MIN('Activities'!L69,546)-MAX('Activities'!K69,540))</x:f>
        <x:v>0</x:v>
      </x:c>
      <x:c r="CR69" s="23" t="n">
        <x:f>MAX(0,MIN('Activities'!L69,552)-MAX('Activities'!K69,546))</x:f>
        <x:v>0</x:v>
      </x:c>
      <x:c r="CS69" s="23" t="n">
        <x:f>MAX(0,MIN('Activities'!L69,558)-MAX('Activities'!K69,552))</x:f>
        <x:v>0</x:v>
      </x:c>
      <x:c r="CT69" s="23" t="n">
        <x:f>MAX(0,MIN('Activities'!L69,564)-MAX('Activities'!K69,558))</x:f>
        <x:v>0</x:v>
      </x:c>
      <x:c r="CU69" s="23" t="n">
        <x:f>MAX(0,MIN('Activities'!L69,570)-MAX('Activities'!K69,564))</x:f>
        <x:v>0</x:v>
      </x:c>
      <x:c r="CV69" s="23" t="n">
        <x:f>MAX(0,MIN('Activities'!L69,576)-MAX('Activities'!K69,570))</x:f>
        <x:v>0</x:v>
      </x:c>
      <x:c r="CW69" s="23" t="n">
        <x:f>MAX(0,MIN('Activities'!L69,582)-MAX('Activities'!K69,576))</x:f>
        <x:v>0</x:v>
      </x:c>
      <x:c r="CX69" s="23" t="n">
        <x:f>MAX(0,MIN('Activities'!L69,588)-MAX('Activities'!K69,582))</x:f>
        <x:v>0</x:v>
      </x:c>
      <x:c r="CY69" s="23" t="n">
        <x:f>MAX(0,MIN('Activities'!L69,594)-MAX('Activities'!K69,588))</x:f>
        <x:v>0</x:v>
      </x:c>
      <x:c r="CZ69" s="23" t="n">
        <x:f>MAX(0,MIN('Activities'!L69,600)-MAX('Activities'!K69,594))</x:f>
        <x:v>0</x:v>
      </x:c>
      <x:c r="DA69" s="23" t="n">
        <x:f>MAX(0,MIN('Activities'!L69,606)-MAX('Activities'!K69,600))</x:f>
        <x:v>0</x:v>
      </x:c>
      <x:c r="DB69" s="23" t="n">
        <x:f>MAX(0,MIN('Activities'!L69,612)-MAX('Activities'!K69,606))</x:f>
        <x:v>0</x:v>
      </x:c>
      <x:c r="DC69" s="23" t="n">
        <x:f>MAX(0,MIN('Activities'!L69,618)-MAX('Activities'!K69,612))</x:f>
        <x:v>0</x:v>
      </x:c>
      <x:c r="DD69" s="23" t="n">
        <x:f>MAX(0,MIN('Activities'!L69,624)-MAX('Activities'!K69,618))</x:f>
        <x:v>0</x:v>
      </x:c>
      <x:c r="DE69" s="23" t="n">
        <x:f>MAX(0,MIN('Activities'!L69,630)-MAX('Activities'!K69,624))</x:f>
        <x:v>0</x:v>
      </x:c>
      <x:c r="DF69" s="23" t="n">
        <x:f>MAX(0,MIN('Activities'!L69,636)-MAX('Activities'!K69,630))</x:f>
        <x:v>0</x:v>
      </x:c>
    </x:row>
    <x:row r="70" ht="23" customHeight="1">
      <x:c r="A70" s="6" t="str">
        <x:v>T1-GL</x:v>
      </x:c>
      <x:c r="B70" s="6" t="str">
        <x:v>T1</x:v>
      </x:c>
      <x:c r="C70" s="6" t="str">
        <x:v>Glazing and frame installation</x:v>
      </x:c>
      <x:c r="D70" s="6" t="str">
        <x:v>Envelope</x:v>
      </x:c>
      <x:c r="E70" s="22" t="n">
        <x:f>MAX(0,MIN('Activities'!L70,6)-MAX('Activities'!K70,0))</x:f>
        <x:v>0</x:v>
      </x:c>
      <x:c r="F70" s="22" t="n">
        <x:f>MAX(0,MIN('Activities'!L70,12)-MAX('Activities'!K70,6))</x:f>
        <x:v>0</x:v>
      </x:c>
      <x:c r="G70" s="22" t="n">
        <x:f>MAX(0,MIN('Activities'!L70,18)-MAX('Activities'!K70,12))</x:f>
        <x:v>0</x:v>
      </x:c>
      <x:c r="H70" s="22" t="n">
        <x:f>MAX(0,MIN('Activities'!L70,24)-MAX('Activities'!K70,18))</x:f>
        <x:v>0</x:v>
      </x:c>
      <x:c r="I70" s="22" t="n">
        <x:f>MAX(0,MIN('Activities'!L70,30)-MAX('Activities'!K70,24))</x:f>
        <x:v>0</x:v>
      </x:c>
      <x:c r="J70" s="22" t="n">
        <x:f>MAX(0,MIN('Activities'!L70,36)-MAX('Activities'!K70,30))</x:f>
        <x:v>0</x:v>
      </x:c>
      <x:c r="K70" s="22" t="n">
        <x:f>MAX(0,MIN('Activities'!L70,42)-MAX('Activities'!K70,36))</x:f>
        <x:v>0</x:v>
      </x:c>
      <x:c r="L70" s="22" t="n">
        <x:f>MAX(0,MIN('Activities'!L70,48)-MAX('Activities'!K70,42))</x:f>
        <x:v>0</x:v>
      </x:c>
      <x:c r="M70" s="22" t="n">
        <x:f>MAX(0,MIN('Activities'!L70,54)-MAX('Activities'!K70,48))</x:f>
        <x:v>0</x:v>
      </x:c>
      <x:c r="N70" s="22" t="n">
        <x:f>MAX(0,MIN('Activities'!L70,60)-MAX('Activities'!K70,54))</x:f>
        <x:v>0</x:v>
      </x:c>
      <x:c r="O70" s="22" t="n">
        <x:f>MAX(0,MIN('Activities'!L70,66)-MAX('Activities'!K70,60))</x:f>
        <x:v>0</x:v>
      </x:c>
      <x:c r="P70" s="22" t="n">
        <x:f>MAX(0,MIN('Activities'!L70,72)-MAX('Activities'!K70,66))</x:f>
        <x:v>0</x:v>
      </x:c>
      <x:c r="Q70" s="22" t="n">
        <x:f>MAX(0,MIN('Activities'!L70,78)-MAX('Activities'!K70,72))</x:f>
        <x:v>0</x:v>
      </x:c>
      <x:c r="R70" s="22" t="n">
        <x:f>MAX(0,MIN('Activities'!L70,84)-MAX('Activities'!K70,78))</x:f>
        <x:v>0</x:v>
      </x:c>
      <x:c r="S70" s="22" t="n">
        <x:f>MAX(0,MIN('Activities'!L70,90)-MAX('Activities'!K70,84))</x:f>
        <x:v>0</x:v>
      </x:c>
      <x:c r="T70" s="22" t="n">
        <x:f>MAX(0,MIN('Activities'!L70,96)-MAX('Activities'!K70,90))</x:f>
        <x:v>0</x:v>
      </x:c>
      <x:c r="U70" s="22" t="n">
        <x:f>MAX(0,MIN('Activities'!L70,102)-MAX('Activities'!K70,96))</x:f>
        <x:v>0</x:v>
      </x:c>
      <x:c r="V70" s="22" t="n">
        <x:f>MAX(0,MIN('Activities'!L70,108)-MAX('Activities'!K70,102))</x:f>
        <x:v>0</x:v>
      </x:c>
      <x:c r="W70" s="22" t="n">
        <x:f>MAX(0,MIN('Activities'!L70,114)-MAX('Activities'!K70,108))</x:f>
        <x:v>0</x:v>
      </x:c>
      <x:c r="X70" s="22" t="n">
        <x:f>MAX(0,MIN('Activities'!L70,120)-MAX('Activities'!K70,114))</x:f>
        <x:v>0</x:v>
      </x:c>
      <x:c r="Y70" s="22" t="n">
        <x:f>MAX(0,MIN('Activities'!L70,126)-MAX('Activities'!K70,120))</x:f>
        <x:v>0</x:v>
      </x:c>
      <x:c r="Z70" s="22" t="n">
        <x:f>MAX(0,MIN('Activities'!L70,132)-MAX('Activities'!K70,126))</x:f>
        <x:v>0</x:v>
      </x:c>
      <x:c r="AA70" s="22" t="n">
        <x:f>MAX(0,MIN('Activities'!L70,138)-MAX('Activities'!K70,132))</x:f>
        <x:v>0</x:v>
      </x:c>
      <x:c r="AB70" s="22" t="n">
        <x:f>MAX(0,MIN('Activities'!L70,144)-MAX('Activities'!K70,138))</x:f>
        <x:v>0</x:v>
      </x:c>
      <x:c r="AC70" s="22" t="n">
        <x:f>MAX(0,MIN('Activities'!L70,150)-MAX('Activities'!K70,144))</x:f>
        <x:v>0</x:v>
      </x:c>
      <x:c r="AD70" s="22" t="n">
        <x:f>MAX(0,MIN('Activities'!L70,156)-MAX('Activities'!K70,150))</x:f>
        <x:v>0</x:v>
      </x:c>
      <x:c r="AE70" s="22" t="n">
        <x:f>MAX(0,MIN('Activities'!L70,162)-MAX('Activities'!K70,156))</x:f>
        <x:v>0</x:v>
      </x:c>
      <x:c r="AF70" s="22" t="n">
        <x:f>MAX(0,MIN('Activities'!L70,168)-MAX('Activities'!K70,162))</x:f>
        <x:v>0</x:v>
      </x:c>
      <x:c r="AG70" s="22" t="n">
        <x:f>MAX(0,MIN('Activities'!L70,174)-MAX('Activities'!K70,168))</x:f>
        <x:v>0</x:v>
      </x:c>
      <x:c r="AH70" s="22" t="n">
        <x:f>MAX(0,MIN('Activities'!L70,180)-MAX('Activities'!K70,174))</x:f>
        <x:v>0</x:v>
      </x:c>
      <x:c r="AI70" s="22" t="n">
        <x:f>MAX(0,MIN('Activities'!L70,186)-MAX('Activities'!K70,180))</x:f>
        <x:v>0</x:v>
      </x:c>
      <x:c r="AJ70" s="22" t="n">
        <x:f>MAX(0,MIN('Activities'!L70,192)-MAX('Activities'!K70,186))</x:f>
        <x:v>0</x:v>
      </x:c>
      <x:c r="AK70" s="22" t="n">
        <x:f>MAX(0,MIN('Activities'!L70,198)-MAX('Activities'!K70,192))</x:f>
        <x:v>0</x:v>
      </x:c>
      <x:c r="AL70" s="22" t="n">
        <x:f>MAX(0,MIN('Activities'!L70,204)-MAX('Activities'!K70,198))</x:f>
        <x:v>0</x:v>
      </x:c>
      <x:c r="AM70" s="22" t="n">
        <x:f>MAX(0,MIN('Activities'!L70,210)-MAX('Activities'!K70,204))</x:f>
        <x:v>0</x:v>
      </x:c>
      <x:c r="AN70" s="22" t="n">
        <x:f>MAX(0,MIN('Activities'!L70,216)-MAX('Activities'!K70,210))</x:f>
        <x:v>0</x:v>
      </x:c>
      <x:c r="AO70" s="22" t="n">
        <x:f>MAX(0,MIN('Activities'!L70,222)-MAX('Activities'!K70,216))</x:f>
        <x:v>0</x:v>
      </x:c>
      <x:c r="AP70" s="22" t="n">
        <x:f>MAX(0,MIN('Activities'!L70,228)-MAX('Activities'!K70,222))</x:f>
        <x:v>0</x:v>
      </x:c>
      <x:c r="AQ70" s="22" t="n">
        <x:f>MAX(0,MIN('Activities'!L70,234)-MAX('Activities'!K70,228))</x:f>
        <x:v>0</x:v>
      </x:c>
      <x:c r="AR70" s="22" t="n">
        <x:f>MAX(0,MIN('Activities'!L70,240)-MAX('Activities'!K70,234))</x:f>
        <x:v>0</x:v>
      </x:c>
      <x:c r="AS70" s="22" t="n">
        <x:f>MAX(0,MIN('Activities'!L70,246)-MAX('Activities'!K70,240))</x:f>
        <x:v>0</x:v>
      </x:c>
      <x:c r="AT70" s="22" t="n">
        <x:f>MAX(0,MIN('Activities'!L70,252)-MAX('Activities'!K70,246))</x:f>
        <x:v>0</x:v>
      </x:c>
      <x:c r="AU70" s="22" t="n">
        <x:f>MAX(0,MIN('Activities'!L70,258)-MAX('Activities'!K70,252))</x:f>
        <x:v>0</x:v>
      </x:c>
      <x:c r="AV70" s="22" t="n">
        <x:f>MAX(0,MIN('Activities'!L70,264)-MAX('Activities'!K70,258))</x:f>
        <x:v>0</x:v>
      </x:c>
      <x:c r="AW70" s="22" t="n">
        <x:f>MAX(0,MIN('Activities'!L70,270)-MAX('Activities'!K70,264))</x:f>
        <x:v>0</x:v>
      </x:c>
      <x:c r="AX70" s="22" t="n">
        <x:f>MAX(0,MIN('Activities'!L70,276)-MAX('Activities'!K70,270))</x:f>
        <x:v>0</x:v>
      </x:c>
      <x:c r="AY70" s="22" t="n">
        <x:f>MAX(0,MIN('Activities'!L70,282)-MAX('Activities'!K70,276))</x:f>
        <x:v>0</x:v>
      </x:c>
      <x:c r="AZ70" s="22" t="n">
        <x:f>MAX(0,MIN('Activities'!L70,288)-MAX('Activities'!K70,282))</x:f>
        <x:v>0</x:v>
      </x:c>
      <x:c r="BA70" s="22" t="n">
        <x:f>MAX(0,MIN('Activities'!L70,294)-MAX('Activities'!K70,288))</x:f>
        <x:v>0</x:v>
      </x:c>
      <x:c r="BB70" s="22" t="n">
        <x:f>MAX(0,MIN('Activities'!L70,300)-MAX('Activities'!K70,294))</x:f>
        <x:v>0</x:v>
      </x:c>
      <x:c r="BC70" s="22" t="n">
        <x:f>MAX(0,MIN('Activities'!L70,306)-MAX('Activities'!K70,300))</x:f>
        <x:v>0</x:v>
      </x:c>
      <x:c r="BD70" s="22" t="n">
        <x:f>MAX(0,MIN('Activities'!L70,312)-MAX('Activities'!K70,306))</x:f>
        <x:v>0</x:v>
      </x:c>
      <x:c r="BE70" s="22" t="n">
        <x:f>MAX(0,MIN('Activities'!L70,318)-MAX('Activities'!K70,312))</x:f>
        <x:v>0</x:v>
      </x:c>
      <x:c r="BF70" s="22" t="n">
        <x:f>MAX(0,MIN('Activities'!L70,324)-MAX('Activities'!K70,318))</x:f>
        <x:v>0</x:v>
      </x:c>
      <x:c r="BG70" s="22" t="n">
        <x:f>MAX(0,MIN('Activities'!L70,330)-MAX('Activities'!K70,324))</x:f>
        <x:v>0</x:v>
      </x:c>
      <x:c r="BH70" s="22" t="n">
        <x:f>MAX(0,MIN('Activities'!L70,336)-MAX('Activities'!K70,330))</x:f>
        <x:v>0</x:v>
      </x:c>
      <x:c r="BI70" s="22" t="n">
        <x:f>MAX(0,MIN('Activities'!L70,342)-MAX('Activities'!K70,336))</x:f>
        <x:v>0</x:v>
      </x:c>
      <x:c r="BJ70" s="22" t="n">
        <x:f>MAX(0,MIN('Activities'!L70,348)-MAX('Activities'!K70,342))</x:f>
        <x:v>0</x:v>
      </x:c>
      <x:c r="BK70" s="22" t="n">
        <x:f>MAX(0,MIN('Activities'!L70,354)-MAX('Activities'!K70,348))</x:f>
        <x:v>0</x:v>
      </x:c>
      <x:c r="BL70" s="22" t="n">
        <x:f>MAX(0,MIN('Activities'!L70,360)-MAX('Activities'!K70,354))</x:f>
        <x:v>0</x:v>
      </x:c>
      <x:c r="BM70" s="22" t="n">
        <x:f>MAX(0,MIN('Activities'!L70,366)-MAX('Activities'!K70,360))</x:f>
        <x:v>0</x:v>
      </x:c>
      <x:c r="BN70" s="22" t="n">
        <x:f>MAX(0,MIN('Activities'!L70,372)-MAX('Activities'!K70,366))</x:f>
        <x:v>0</x:v>
      </x:c>
      <x:c r="BO70" s="22" t="n">
        <x:f>MAX(0,MIN('Activities'!L70,378)-MAX('Activities'!K70,372))</x:f>
        <x:v>0</x:v>
      </x:c>
      <x:c r="BP70" s="22" t="n">
        <x:f>MAX(0,MIN('Activities'!L70,384)-MAX('Activities'!K70,378))</x:f>
        <x:v>0</x:v>
      </x:c>
      <x:c r="BQ70" s="22" t="n">
        <x:f>MAX(0,MIN('Activities'!L70,390)-MAX('Activities'!K70,384))</x:f>
        <x:v>3</x:v>
      </x:c>
      <x:c r="BR70" s="22" t="n">
        <x:f>MAX(0,MIN('Activities'!L70,396)-MAX('Activities'!K70,390))</x:f>
        <x:v>6</x:v>
      </x:c>
      <x:c r="BS70" s="22" t="n">
        <x:f>MAX(0,MIN('Activities'!L70,402)-MAX('Activities'!K70,396))</x:f>
        <x:v>5</x:v>
      </x:c>
      <x:c r="BT70" s="22" t="n">
        <x:f>MAX(0,MIN('Activities'!L70,408)-MAX('Activities'!K70,402))</x:f>
        <x:v>0</x:v>
      </x:c>
      <x:c r="BU70" s="22" t="n">
        <x:f>MAX(0,MIN('Activities'!L70,414)-MAX('Activities'!K70,408))</x:f>
        <x:v>0</x:v>
      </x:c>
      <x:c r="BV70" s="22" t="n">
        <x:f>MAX(0,MIN('Activities'!L70,420)-MAX('Activities'!K70,414))</x:f>
        <x:v>0</x:v>
      </x:c>
      <x:c r="BW70" s="22" t="n">
        <x:f>MAX(0,MIN('Activities'!L70,426)-MAX('Activities'!K70,420))</x:f>
        <x:v>0</x:v>
      </x:c>
      <x:c r="BX70" s="22" t="n">
        <x:f>MAX(0,MIN('Activities'!L70,432)-MAX('Activities'!K70,426))</x:f>
        <x:v>0</x:v>
      </x:c>
      <x:c r="BY70" s="22" t="n">
        <x:f>MAX(0,MIN('Activities'!L70,438)-MAX('Activities'!K70,432))</x:f>
        <x:v>0</x:v>
      </x:c>
      <x:c r="BZ70" s="22" t="n">
        <x:f>MAX(0,MIN('Activities'!L70,444)-MAX('Activities'!K70,438))</x:f>
        <x:v>0</x:v>
      </x:c>
      <x:c r="CA70" s="22" t="n">
        <x:f>MAX(0,MIN('Activities'!L70,450)-MAX('Activities'!K70,444))</x:f>
        <x:v>0</x:v>
      </x:c>
      <x:c r="CB70" s="22" t="n">
        <x:f>MAX(0,MIN('Activities'!L70,456)-MAX('Activities'!K70,450))</x:f>
        <x:v>0</x:v>
      </x:c>
      <x:c r="CC70" s="22" t="n">
        <x:f>MAX(0,MIN('Activities'!L70,462)-MAX('Activities'!K70,456))</x:f>
        <x:v>0</x:v>
      </x:c>
      <x:c r="CD70" s="22" t="n">
        <x:f>MAX(0,MIN('Activities'!L70,468)-MAX('Activities'!K70,462))</x:f>
        <x:v>0</x:v>
      </x:c>
      <x:c r="CE70" s="22" t="n">
        <x:f>MAX(0,MIN('Activities'!L70,474)-MAX('Activities'!K70,468))</x:f>
        <x:v>0</x:v>
      </x:c>
      <x:c r="CF70" s="22" t="n">
        <x:f>MAX(0,MIN('Activities'!L70,480)-MAX('Activities'!K70,474))</x:f>
        <x:v>0</x:v>
      </x:c>
      <x:c r="CG70" s="22" t="n">
        <x:f>MAX(0,MIN('Activities'!L70,486)-MAX('Activities'!K70,480))</x:f>
        <x:v>0</x:v>
      </x:c>
      <x:c r="CH70" s="22" t="n">
        <x:f>MAX(0,MIN('Activities'!L70,492)-MAX('Activities'!K70,486))</x:f>
        <x:v>0</x:v>
      </x:c>
      <x:c r="CI70" s="22" t="n">
        <x:f>MAX(0,MIN('Activities'!L70,498)-MAX('Activities'!K70,492))</x:f>
        <x:v>0</x:v>
      </x:c>
      <x:c r="CJ70" s="22" t="n">
        <x:f>MAX(0,MIN('Activities'!L70,504)-MAX('Activities'!K70,498))</x:f>
        <x:v>0</x:v>
      </x:c>
      <x:c r="CK70" s="22" t="n">
        <x:f>MAX(0,MIN('Activities'!L70,510)-MAX('Activities'!K70,504))</x:f>
        <x:v>0</x:v>
      </x:c>
      <x:c r="CL70" s="22" t="n">
        <x:f>MAX(0,MIN('Activities'!L70,516)-MAX('Activities'!K70,510))</x:f>
        <x:v>0</x:v>
      </x:c>
      <x:c r="CM70" s="22" t="n">
        <x:f>MAX(0,MIN('Activities'!L70,522)-MAX('Activities'!K70,516))</x:f>
        <x:v>0</x:v>
      </x:c>
      <x:c r="CN70" s="22" t="n">
        <x:f>MAX(0,MIN('Activities'!L70,528)-MAX('Activities'!K70,522))</x:f>
        <x:v>0</x:v>
      </x:c>
      <x:c r="CO70" s="22" t="n">
        <x:f>MAX(0,MIN('Activities'!L70,534)-MAX('Activities'!K70,528))</x:f>
        <x:v>0</x:v>
      </x:c>
      <x:c r="CP70" s="22" t="n">
        <x:f>MAX(0,MIN('Activities'!L70,540)-MAX('Activities'!K70,534))</x:f>
        <x:v>0</x:v>
      </x:c>
      <x:c r="CQ70" s="22" t="n">
        <x:f>MAX(0,MIN('Activities'!L70,546)-MAX('Activities'!K70,540))</x:f>
        <x:v>0</x:v>
      </x:c>
      <x:c r="CR70" s="22" t="n">
        <x:f>MAX(0,MIN('Activities'!L70,552)-MAX('Activities'!K70,546))</x:f>
        <x:v>0</x:v>
      </x:c>
      <x:c r="CS70" s="22" t="n">
        <x:f>MAX(0,MIN('Activities'!L70,558)-MAX('Activities'!K70,552))</x:f>
        <x:v>0</x:v>
      </x:c>
      <x:c r="CT70" s="22" t="n">
        <x:f>MAX(0,MIN('Activities'!L70,564)-MAX('Activities'!K70,558))</x:f>
        <x:v>0</x:v>
      </x:c>
      <x:c r="CU70" s="22" t="n">
        <x:f>MAX(0,MIN('Activities'!L70,570)-MAX('Activities'!K70,564))</x:f>
        <x:v>0</x:v>
      </x:c>
      <x:c r="CV70" s="22" t="n">
        <x:f>MAX(0,MIN('Activities'!L70,576)-MAX('Activities'!K70,570))</x:f>
        <x:v>0</x:v>
      </x:c>
      <x:c r="CW70" s="22" t="n">
        <x:f>MAX(0,MIN('Activities'!L70,582)-MAX('Activities'!K70,576))</x:f>
        <x:v>0</x:v>
      </x:c>
      <x:c r="CX70" s="22" t="n">
        <x:f>MAX(0,MIN('Activities'!L70,588)-MAX('Activities'!K70,582))</x:f>
        <x:v>0</x:v>
      </x:c>
      <x:c r="CY70" s="22" t="n">
        <x:f>MAX(0,MIN('Activities'!L70,594)-MAX('Activities'!K70,588))</x:f>
        <x:v>0</x:v>
      </x:c>
      <x:c r="CZ70" s="22" t="n">
        <x:f>MAX(0,MIN('Activities'!L70,600)-MAX('Activities'!K70,594))</x:f>
        <x:v>0</x:v>
      </x:c>
      <x:c r="DA70" s="22" t="n">
        <x:f>MAX(0,MIN('Activities'!L70,606)-MAX('Activities'!K70,600))</x:f>
        <x:v>0</x:v>
      </x:c>
      <x:c r="DB70" s="22" t="n">
        <x:f>MAX(0,MIN('Activities'!L70,612)-MAX('Activities'!K70,606))</x:f>
        <x:v>0</x:v>
      </x:c>
      <x:c r="DC70" s="22" t="n">
        <x:f>MAX(0,MIN('Activities'!L70,618)-MAX('Activities'!K70,612))</x:f>
        <x:v>0</x:v>
      </x:c>
      <x:c r="DD70" s="22" t="n">
        <x:f>MAX(0,MIN('Activities'!L70,624)-MAX('Activities'!K70,618))</x:f>
        <x:v>0</x:v>
      </x:c>
      <x:c r="DE70" s="22" t="n">
        <x:f>MAX(0,MIN('Activities'!L70,630)-MAX('Activities'!K70,624))</x:f>
        <x:v>0</x:v>
      </x:c>
      <x:c r="DF70" s="22" t="n">
        <x:f>MAX(0,MIN('Activities'!L70,636)-MAX('Activities'!K70,630))</x:f>
        <x:v>0</x:v>
      </x:c>
    </x:row>
    <x:row r="71" ht="23" customHeight="1">
      <x:c r="A71" s="1" t="str">
        <x:v>T1-L00-M</x:v>
      </x:c>
      <x:c r="B71" s="1" t="str">
        <x:v>T1</x:v>
      </x:c>
      <x:c r="C71" s="1" t="str">
        <x:v>Partition masonry</x:v>
      </x:c>
      <x:c r="D71" s="1" t="str">
        <x:v>Masonry</x:v>
      </x:c>
      <x:c r="E71" s="23" t="n">
        <x:f>MAX(0,MIN('Activities'!L71,6)-MAX('Activities'!K71,0))</x:f>
        <x:v>0</x:v>
      </x:c>
      <x:c r="F71" s="23" t="n">
        <x:f>MAX(0,MIN('Activities'!L71,12)-MAX('Activities'!K71,6))</x:f>
        <x:v>0</x:v>
      </x:c>
      <x:c r="G71" s="23" t="n">
        <x:f>MAX(0,MIN('Activities'!L71,18)-MAX('Activities'!K71,12))</x:f>
        <x:v>0</x:v>
      </x:c>
      <x:c r="H71" s="23" t="n">
        <x:f>MAX(0,MIN('Activities'!L71,24)-MAX('Activities'!K71,18))</x:f>
        <x:v>0</x:v>
      </x:c>
      <x:c r="I71" s="23" t="n">
        <x:f>MAX(0,MIN('Activities'!L71,30)-MAX('Activities'!K71,24))</x:f>
        <x:v>0</x:v>
      </x:c>
      <x:c r="J71" s="23" t="n">
        <x:f>MAX(0,MIN('Activities'!L71,36)-MAX('Activities'!K71,30))</x:f>
        <x:v>0</x:v>
      </x:c>
      <x:c r="K71" s="23" t="n">
        <x:f>MAX(0,MIN('Activities'!L71,42)-MAX('Activities'!K71,36))</x:f>
        <x:v>0</x:v>
      </x:c>
      <x:c r="L71" s="23" t="n">
        <x:f>MAX(0,MIN('Activities'!L71,48)-MAX('Activities'!K71,42))</x:f>
        <x:v>0</x:v>
      </x:c>
      <x:c r="M71" s="23" t="n">
        <x:f>MAX(0,MIN('Activities'!L71,54)-MAX('Activities'!K71,48))</x:f>
        <x:v>0</x:v>
      </x:c>
      <x:c r="N71" s="23" t="n">
        <x:f>MAX(0,MIN('Activities'!L71,60)-MAX('Activities'!K71,54))</x:f>
        <x:v>0</x:v>
      </x:c>
      <x:c r="O71" s="23" t="n">
        <x:f>MAX(0,MIN('Activities'!L71,66)-MAX('Activities'!K71,60))</x:f>
        <x:v>0</x:v>
      </x:c>
      <x:c r="P71" s="23" t="n">
        <x:f>MAX(0,MIN('Activities'!L71,72)-MAX('Activities'!K71,66))</x:f>
        <x:v>0</x:v>
      </x:c>
      <x:c r="Q71" s="23" t="n">
        <x:f>MAX(0,MIN('Activities'!L71,78)-MAX('Activities'!K71,72))</x:f>
        <x:v>0</x:v>
      </x:c>
      <x:c r="R71" s="23" t="n">
        <x:f>MAX(0,MIN('Activities'!L71,84)-MAX('Activities'!K71,78))</x:f>
        <x:v>0</x:v>
      </x:c>
      <x:c r="S71" s="23" t="n">
        <x:f>MAX(0,MIN('Activities'!L71,90)-MAX('Activities'!K71,84))</x:f>
        <x:v>0</x:v>
      </x:c>
      <x:c r="T71" s="23" t="n">
        <x:f>MAX(0,MIN('Activities'!L71,96)-MAX('Activities'!K71,90))</x:f>
        <x:v>0</x:v>
      </x:c>
      <x:c r="U71" s="23" t="n">
        <x:f>MAX(0,MIN('Activities'!L71,102)-MAX('Activities'!K71,96))</x:f>
        <x:v>0</x:v>
      </x:c>
      <x:c r="V71" s="23" t="n">
        <x:f>MAX(0,MIN('Activities'!L71,108)-MAX('Activities'!K71,102))</x:f>
        <x:v>0</x:v>
      </x:c>
      <x:c r="W71" s="23" t="n">
        <x:f>MAX(0,MIN('Activities'!L71,114)-MAX('Activities'!K71,108))</x:f>
        <x:v>0</x:v>
      </x:c>
      <x:c r="X71" s="23" t="n">
        <x:f>MAX(0,MIN('Activities'!L71,120)-MAX('Activities'!K71,114))</x:f>
        <x:v>0</x:v>
      </x:c>
      <x:c r="Y71" s="23" t="n">
        <x:f>MAX(0,MIN('Activities'!L71,126)-MAX('Activities'!K71,120))</x:f>
        <x:v>0</x:v>
      </x:c>
      <x:c r="Z71" s="23" t="n">
        <x:f>MAX(0,MIN('Activities'!L71,132)-MAX('Activities'!K71,126))</x:f>
        <x:v>0</x:v>
      </x:c>
      <x:c r="AA71" s="23" t="n">
        <x:f>MAX(0,MIN('Activities'!L71,138)-MAX('Activities'!K71,132))</x:f>
        <x:v>0</x:v>
      </x:c>
      <x:c r="AB71" s="23" t="n">
        <x:f>MAX(0,MIN('Activities'!L71,144)-MAX('Activities'!K71,138))</x:f>
        <x:v>0</x:v>
      </x:c>
      <x:c r="AC71" s="23" t="n">
        <x:f>MAX(0,MIN('Activities'!L71,150)-MAX('Activities'!K71,144))</x:f>
        <x:v>0</x:v>
      </x:c>
      <x:c r="AD71" s="23" t="n">
        <x:f>MAX(0,MIN('Activities'!L71,156)-MAX('Activities'!K71,150))</x:f>
        <x:v>0</x:v>
      </x:c>
      <x:c r="AE71" s="23" t="n">
        <x:f>MAX(0,MIN('Activities'!L71,162)-MAX('Activities'!K71,156))</x:f>
        <x:v>0</x:v>
      </x:c>
      <x:c r="AF71" s="23" t="n">
        <x:f>MAX(0,MIN('Activities'!L71,168)-MAX('Activities'!K71,162))</x:f>
        <x:v>0</x:v>
      </x:c>
      <x:c r="AG71" s="23" t="n">
        <x:f>MAX(0,MIN('Activities'!L71,174)-MAX('Activities'!K71,168))</x:f>
        <x:v>0</x:v>
      </x:c>
      <x:c r="AH71" s="23" t="n">
        <x:f>MAX(0,MIN('Activities'!L71,180)-MAX('Activities'!K71,174))</x:f>
        <x:v>0</x:v>
      </x:c>
      <x:c r="AI71" s="23" t="n">
        <x:f>MAX(0,MIN('Activities'!L71,186)-MAX('Activities'!K71,180))</x:f>
        <x:v>0</x:v>
      </x:c>
      <x:c r="AJ71" s="23" t="n">
        <x:f>MAX(0,MIN('Activities'!L71,192)-MAX('Activities'!K71,186))</x:f>
        <x:v>0</x:v>
      </x:c>
      <x:c r="AK71" s="23" t="n">
        <x:f>MAX(0,MIN('Activities'!L71,198)-MAX('Activities'!K71,192))</x:f>
        <x:v>0</x:v>
      </x:c>
      <x:c r="AL71" s="23" t="n">
        <x:f>MAX(0,MIN('Activities'!L71,204)-MAX('Activities'!K71,198))</x:f>
        <x:v>0</x:v>
      </x:c>
      <x:c r="AM71" s="23" t="n">
        <x:f>MAX(0,MIN('Activities'!L71,210)-MAX('Activities'!K71,204))</x:f>
        <x:v>0</x:v>
      </x:c>
      <x:c r="AN71" s="23" t="n">
        <x:f>MAX(0,MIN('Activities'!L71,216)-MAX('Activities'!K71,210))</x:f>
        <x:v>5</x:v>
      </x:c>
      <x:c r="AO71" s="23" t="n">
        <x:f>MAX(0,MIN('Activities'!L71,222)-MAX('Activities'!K71,216))</x:f>
        <x:v>0</x:v>
      </x:c>
      <x:c r="AP71" s="23" t="n">
        <x:f>MAX(0,MIN('Activities'!L71,228)-MAX('Activities'!K71,222))</x:f>
        <x:v>0</x:v>
      </x:c>
      <x:c r="AQ71" s="23" t="n">
        <x:f>MAX(0,MIN('Activities'!L71,234)-MAX('Activities'!K71,228))</x:f>
        <x:v>0</x:v>
      </x:c>
      <x:c r="AR71" s="23" t="n">
        <x:f>MAX(0,MIN('Activities'!L71,240)-MAX('Activities'!K71,234))</x:f>
        <x:v>0</x:v>
      </x:c>
      <x:c r="AS71" s="23" t="n">
        <x:f>MAX(0,MIN('Activities'!L71,246)-MAX('Activities'!K71,240))</x:f>
        <x:v>0</x:v>
      </x:c>
      <x:c r="AT71" s="23" t="n">
        <x:f>MAX(0,MIN('Activities'!L71,252)-MAX('Activities'!K71,246))</x:f>
        <x:v>0</x:v>
      </x:c>
      <x:c r="AU71" s="23" t="n">
        <x:f>MAX(0,MIN('Activities'!L71,258)-MAX('Activities'!K71,252))</x:f>
        <x:v>0</x:v>
      </x:c>
      <x:c r="AV71" s="23" t="n">
        <x:f>MAX(0,MIN('Activities'!L71,264)-MAX('Activities'!K71,258))</x:f>
        <x:v>0</x:v>
      </x:c>
      <x:c r="AW71" s="23" t="n">
        <x:f>MAX(0,MIN('Activities'!L71,270)-MAX('Activities'!K71,264))</x:f>
        <x:v>0</x:v>
      </x:c>
      <x:c r="AX71" s="23" t="n">
        <x:f>MAX(0,MIN('Activities'!L71,276)-MAX('Activities'!K71,270))</x:f>
        <x:v>0</x:v>
      </x:c>
      <x:c r="AY71" s="23" t="n">
        <x:f>MAX(0,MIN('Activities'!L71,282)-MAX('Activities'!K71,276))</x:f>
        <x:v>0</x:v>
      </x:c>
      <x:c r="AZ71" s="23" t="n">
        <x:f>MAX(0,MIN('Activities'!L71,288)-MAX('Activities'!K71,282))</x:f>
        <x:v>0</x:v>
      </x:c>
      <x:c r="BA71" s="23" t="n">
        <x:f>MAX(0,MIN('Activities'!L71,294)-MAX('Activities'!K71,288))</x:f>
        <x:v>0</x:v>
      </x:c>
      <x:c r="BB71" s="23" t="n">
        <x:f>MAX(0,MIN('Activities'!L71,300)-MAX('Activities'!K71,294))</x:f>
        <x:v>0</x:v>
      </x:c>
      <x:c r="BC71" s="23" t="n">
        <x:f>MAX(0,MIN('Activities'!L71,306)-MAX('Activities'!K71,300))</x:f>
        <x:v>0</x:v>
      </x:c>
      <x:c r="BD71" s="23" t="n">
        <x:f>MAX(0,MIN('Activities'!L71,312)-MAX('Activities'!K71,306))</x:f>
        <x:v>0</x:v>
      </x:c>
      <x:c r="BE71" s="23" t="n">
        <x:f>MAX(0,MIN('Activities'!L71,318)-MAX('Activities'!K71,312))</x:f>
        <x:v>0</x:v>
      </x:c>
      <x:c r="BF71" s="23" t="n">
        <x:f>MAX(0,MIN('Activities'!L71,324)-MAX('Activities'!K71,318))</x:f>
        <x:v>0</x:v>
      </x:c>
      <x:c r="BG71" s="23" t="n">
        <x:f>MAX(0,MIN('Activities'!L71,330)-MAX('Activities'!K71,324))</x:f>
        <x:v>0</x:v>
      </x:c>
      <x:c r="BH71" s="23" t="n">
        <x:f>MAX(0,MIN('Activities'!L71,336)-MAX('Activities'!K71,330))</x:f>
        <x:v>0</x:v>
      </x:c>
      <x:c r="BI71" s="23" t="n">
        <x:f>MAX(0,MIN('Activities'!L71,342)-MAX('Activities'!K71,336))</x:f>
        <x:v>0</x:v>
      </x:c>
      <x:c r="BJ71" s="23" t="n">
        <x:f>MAX(0,MIN('Activities'!L71,348)-MAX('Activities'!K71,342))</x:f>
        <x:v>0</x:v>
      </x:c>
      <x:c r="BK71" s="23" t="n">
        <x:f>MAX(0,MIN('Activities'!L71,354)-MAX('Activities'!K71,348))</x:f>
        <x:v>0</x:v>
      </x:c>
      <x:c r="BL71" s="23" t="n">
        <x:f>MAX(0,MIN('Activities'!L71,360)-MAX('Activities'!K71,354))</x:f>
        <x:v>0</x:v>
      </x:c>
      <x:c r="BM71" s="23" t="n">
        <x:f>MAX(0,MIN('Activities'!L71,366)-MAX('Activities'!K71,360))</x:f>
        <x:v>0</x:v>
      </x:c>
      <x:c r="BN71" s="23" t="n">
        <x:f>MAX(0,MIN('Activities'!L71,372)-MAX('Activities'!K71,366))</x:f>
        <x:v>0</x:v>
      </x:c>
      <x:c r="BO71" s="23" t="n">
        <x:f>MAX(0,MIN('Activities'!L71,378)-MAX('Activities'!K71,372))</x:f>
        <x:v>0</x:v>
      </x:c>
      <x:c r="BP71" s="23" t="n">
        <x:f>MAX(0,MIN('Activities'!L71,384)-MAX('Activities'!K71,378))</x:f>
        <x:v>0</x:v>
      </x:c>
      <x:c r="BQ71" s="23" t="n">
        <x:f>MAX(0,MIN('Activities'!L71,390)-MAX('Activities'!K71,384))</x:f>
        <x:v>0</x:v>
      </x:c>
      <x:c r="BR71" s="23" t="n">
        <x:f>MAX(0,MIN('Activities'!L71,396)-MAX('Activities'!K71,390))</x:f>
        <x:v>0</x:v>
      </x:c>
      <x:c r="BS71" s="23" t="n">
        <x:f>MAX(0,MIN('Activities'!L71,402)-MAX('Activities'!K71,396))</x:f>
        <x:v>0</x:v>
      </x:c>
      <x:c r="BT71" s="23" t="n">
        <x:f>MAX(0,MIN('Activities'!L71,408)-MAX('Activities'!K71,402))</x:f>
        <x:v>0</x:v>
      </x:c>
      <x:c r="BU71" s="23" t="n">
        <x:f>MAX(0,MIN('Activities'!L71,414)-MAX('Activities'!K71,408))</x:f>
        <x:v>0</x:v>
      </x:c>
      <x:c r="BV71" s="23" t="n">
        <x:f>MAX(0,MIN('Activities'!L71,420)-MAX('Activities'!K71,414))</x:f>
        <x:v>0</x:v>
      </x:c>
      <x:c r="BW71" s="23" t="n">
        <x:f>MAX(0,MIN('Activities'!L71,426)-MAX('Activities'!K71,420))</x:f>
        <x:v>0</x:v>
      </x:c>
      <x:c r="BX71" s="23" t="n">
        <x:f>MAX(0,MIN('Activities'!L71,432)-MAX('Activities'!K71,426))</x:f>
        <x:v>0</x:v>
      </x:c>
      <x:c r="BY71" s="23" t="n">
        <x:f>MAX(0,MIN('Activities'!L71,438)-MAX('Activities'!K71,432))</x:f>
        <x:v>0</x:v>
      </x:c>
      <x:c r="BZ71" s="23" t="n">
        <x:f>MAX(0,MIN('Activities'!L71,444)-MAX('Activities'!K71,438))</x:f>
        <x:v>0</x:v>
      </x:c>
      <x:c r="CA71" s="23" t="n">
        <x:f>MAX(0,MIN('Activities'!L71,450)-MAX('Activities'!K71,444))</x:f>
        <x:v>0</x:v>
      </x:c>
      <x:c r="CB71" s="23" t="n">
        <x:f>MAX(0,MIN('Activities'!L71,456)-MAX('Activities'!K71,450))</x:f>
        <x:v>0</x:v>
      </x:c>
      <x:c r="CC71" s="23" t="n">
        <x:f>MAX(0,MIN('Activities'!L71,462)-MAX('Activities'!K71,456))</x:f>
        <x:v>0</x:v>
      </x:c>
      <x:c r="CD71" s="23" t="n">
        <x:f>MAX(0,MIN('Activities'!L71,468)-MAX('Activities'!K71,462))</x:f>
        <x:v>0</x:v>
      </x:c>
      <x:c r="CE71" s="23" t="n">
        <x:f>MAX(0,MIN('Activities'!L71,474)-MAX('Activities'!K71,468))</x:f>
        <x:v>0</x:v>
      </x:c>
      <x:c r="CF71" s="23" t="n">
        <x:f>MAX(0,MIN('Activities'!L71,480)-MAX('Activities'!K71,474))</x:f>
        <x:v>0</x:v>
      </x:c>
      <x:c r="CG71" s="23" t="n">
        <x:f>MAX(0,MIN('Activities'!L71,486)-MAX('Activities'!K71,480))</x:f>
        <x:v>0</x:v>
      </x:c>
      <x:c r="CH71" s="23" t="n">
        <x:f>MAX(0,MIN('Activities'!L71,492)-MAX('Activities'!K71,486))</x:f>
        <x:v>0</x:v>
      </x:c>
      <x:c r="CI71" s="23" t="n">
        <x:f>MAX(0,MIN('Activities'!L71,498)-MAX('Activities'!K71,492))</x:f>
        <x:v>0</x:v>
      </x:c>
      <x:c r="CJ71" s="23" t="n">
        <x:f>MAX(0,MIN('Activities'!L71,504)-MAX('Activities'!K71,498))</x:f>
        <x:v>0</x:v>
      </x:c>
      <x:c r="CK71" s="23" t="n">
        <x:f>MAX(0,MIN('Activities'!L71,510)-MAX('Activities'!K71,504))</x:f>
        <x:v>0</x:v>
      </x:c>
      <x:c r="CL71" s="23" t="n">
        <x:f>MAX(0,MIN('Activities'!L71,516)-MAX('Activities'!K71,510))</x:f>
        <x:v>0</x:v>
      </x:c>
      <x:c r="CM71" s="23" t="n">
        <x:f>MAX(0,MIN('Activities'!L71,522)-MAX('Activities'!K71,516))</x:f>
        <x:v>0</x:v>
      </x:c>
      <x:c r="CN71" s="23" t="n">
        <x:f>MAX(0,MIN('Activities'!L71,528)-MAX('Activities'!K71,522))</x:f>
        <x:v>0</x:v>
      </x:c>
      <x:c r="CO71" s="23" t="n">
        <x:f>MAX(0,MIN('Activities'!L71,534)-MAX('Activities'!K71,528))</x:f>
        <x:v>0</x:v>
      </x:c>
      <x:c r="CP71" s="23" t="n">
        <x:f>MAX(0,MIN('Activities'!L71,540)-MAX('Activities'!K71,534))</x:f>
        <x:v>0</x:v>
      </x:c>
      <x:c r="CQ71" s="23" t="n">
        <x:f>MAX(0,MIN('Activities'!L71,546)-MAX('Activities'!K71,540))</x:f>
        <x:v>0</x:v>
      </x:c>
      <x:c r="CR71" s="23" t="n">
        <x:f>MAX(0,MIN('Activities'!L71,552)-MAX('Activities'!K71,546))</x:f>
        <x:v>0</x:v>
      </x:c>
      <x:c r="CS71" s="23" t="n">
        <x:f>MAX(0,MIN('Activities'!L71,558)-MAX('Activities'!K71,552))</x:f>
        <x:v>0</x:v>
      </x:c>
      <x:c r="CT71" s="23" t="n">
        <x:f>MAX(0,MIN('Activities'!L71,564)-MAX('Activities'!K71,558))</x:f>
        <x:v>0</x:v>
      </x:c>
      <x:c r="CU71" s="23" t="n">
        <x:f>MAX(0,MIN('Activities'!L71,570)-MAX('Activities'!K71,564))</x:f>
        <x:v>0</x:v>
      </x:c>
      <x:c r="CV71" s="23" t="n">
        <x:f>MAX(0,MIN('Activities'!L71,576)-MAX('Activities'!K71,570))</x:f>
        <x:v>0</x:v>
      </x:c>
      <x:c r="CW71" s="23" t="n">
        <x:f>MAX(0,MIN('Activities'!L71,582)-MAX('Activities'!K71,576))</x:f>
        <x:v>0</x:v>
      </x:c>
      <x:c r="CX71" s="23" t="n">
        <x:f>MAX(0,MIN('Activities'!L71,588)-MAX('Activities'!K71,582))</x:f>
        <x:v>0</x:v>
      </x:c>
      <x:c r="CY71" s="23" t="n">
        <x:f>MAX(0,MIN('Activities'!L71,594)-MAX('Activities'!K71,588))</x:f>
        <x:v>0</x:v>
      </x:c>
      <x:c r="CZ71" s="23" t="n">
        <x:f>MAX(0,MIN('Activities'!L71,600)-MAX('Activities'!K71,594))</x:f>
        <x:v>0</x:v>
      </x:c>
      <x:c r="DA71" s="23" t="n">
        <x:f>MAX(0,MIN('Activities'!L71,606)-MAX('Activities'!K71,600))</x:f>
        <x:v>0</x:v>
      </x:c>
      <x:c r="DB71" s="23" t="n">
        <x:f>MAX(0,MIN('Activities'!L71,612)-MAX('Activities'!K71,606))</x:f>
        <x:v>0</x:v>
      </x:c>
      <x:c r="DC71" s="23" t="n">
        <x:f>MAX(0,MIN('Activities'!L71,618)-MAX('Activities'!K71,612))</x:f>
        <x:v>0</x:v>
      </x:c>
      <x:c r="DD71" s="23" t="n">
        <x:f>MAX(0,MIN('Activities'!L71,624)-MAX('Activities'!K71,618))</x:f>
        <x:v>0</x:v>
      </x:c>
      <x:c r="DE71" s="23" t="n">
        <x:f>MAX(0,MIN('Activities'!L71,630)-MAX('Activities'!K71,624))</x:f>
        <x:v>0</x:v>
      </x:c>
      <x:c r="DF71" s="23" t="n">
        <x:f>MAX(0,MIN('Activities'!L71,636)-MAX('Activities'!K71,630))</x:f>
        <x:v>0</x:v>
      </x:c>
    </x:row>
    <x:row r="72" ht="23" customHeight="1">
      <x:c r="A72" s="6" t="str">
        <x:v>T1-L00-P</x:v>
      </x:c>
      <x:c r="B72" s="6" t="str">
        <x:v>T1</x:v>
      </x:c>
      <x:c r="C72" s="6" t="str">
        <x:v>Internal plaster</x:v>
      </x:c>
      <x:c r="D72" s="6" t="str">
        <x:v>Finishes</x:v>
      </x:c>
      <x:c r="E72" s="22" t="n">
        <x:f>MAX(0,MIN('Activities'!L72,6)-MAX('Activities'!K72,0))</x:f>
        <x:v>0</x:v>
      </x:c>
      <x:c r="F72" s="22" t="n">
        <x:f>MAX(0,MIN('Activities'!L72,12)-MAX('Activities'!K72,6))</x:f>
        <x:v>0</x:v>
      </x:c>
      <x:c r="G72" s="22" t="n">
        <x:f>MAX(0,MIN('Activities'!L72,18)-MAX('Activities'!K72,12))</x:f>
        <x:v>0</x:v>
      </x:c>
      <x:c r="H72" s="22" t="n">
        <x:f>MAX(0,MIN('Activities'!L72,24)-MAX('Activities'!K72,18))</x:f>
        <x:v>0</x:v>
      </x:c>
      <x:c r="I72" s="22" t="n">
        <x:f>MAX(0,MIN('Activities'!L72,30)-MAX('Activities'!K72,24))</x:f>
        <x:v>0</x:v>
      </x:c>
      <x:c r="J72" s="22" t="n">
        <x:f>MAX(0,MIN('Activities'!L72,36)-MAX('Activities'!K72,30))</x:f>
        <x:v>0</x:v>
      </x:c>
      <x:c r="K72" s="22" t="n">
        <x:f>MAX(0,MIN('Activities'!L72,42)-MAX('Activities'!K72,36))</x:f>
        <x:v>0</x:v>
      </x:c>
      <x:c r="L72" s="22" t="n">
        <x:f>MAX(0,MIN('Activities'!L72,48)-MAX('Activities'!K72,42))</x:f>
        <x:v>0</x:v>
      </x:c>
      <x:c r="M72" s="22" t="n">
        <x:f>MAX(0,MIN('Activities'!L72,54)-MAX('Activities'!K72,48))</x:f>
        <x:v>0</x:v>
      </x:c>
      <x:c r="N72" s="22" t="n">
        <x:f>MAX(0,MIN('Activities'!L72,60)-MAX('Activities'!K72,54))</x:f>
        <x:v>0</x:v>
      </x:c>
      <x:c r="O72" s="22" t="n">
        <x:f>MAX(0,MIN('Activities'!L72,66)-MAX('Activities'!K72,60))</x:f>
        <x:v>0</x:v>
      </x:c>
      <x:c r="P72" s="22" t="n">
        <x:f>MAX(0,MIN('Activities'!L72,72)-MAX('Activities'!K72,66))</x:f>
        <x:v>0</x:v>
      </x:c>
      <x:c r="Q72" s="22" t="n">
        <x:f>MAX(0,MIN('Activities'!L72,78)-MAX('Activities'!K72,72))</x:f>
        <x:v>0</x:v>
      </x:c>
      <x:c r="R72" s="22" t="n">
        <x:f>MAX(0,MIN('Activities'!L72,84)-MAX('Activities'!K72,78))</x:f>
        <x:v>0</x:v>
      </x:c>
      <x:c r="S72" s="22" t="n">
        <x:f>MAX(0,MIN('Activities'!L72,90)-MAX('Activities'!K72,84))</x:f>
        <x:v>0</x:v>
      </x:c>
      <x:c r="T72" s="22" t="n">
        <x:f>MAX(0,MIN('Activities'!L72,96)-MAX('Activities'!K72,90))</x:f>
        <x:v>0</x:v>
      </x:c>
      <x:c r="U72" s="22" t="n">
        <x:f>MAX(0,MIN('Activities'!L72,102)-MAX('Activities'!K72,96))</x:f>
        <x:v>0</x:v>
      </x:c>
      <x:c r="V72" s="22" t="n">
        <x:f>MAX(0,MIN('Activities'!L72,108)-MAX('Activities'!K72,102))</x:f>
        <x:v>0</x:v>
      </x:c>
      <x:c r="W72" s="22" t="n">
        <x:f>MAX(0,MIN('Activities'!L72,114)-MAX('Activities'!K72,108))</x:f>
        <x:v>0</x:v>
      </x:c>
      <x:c r="X72" s="22" t="n">
        <x:f>MAX(0,MIN('Activities'!L72,120)-MAX('Activities'!K72,114))</x:f>
        <x:v>0</x:v>
      </x:c>
      <x:c r="Y72" s="22" t="n">
        <x:f>MAX(0,MIN('Activities'!L72,126)-MAX('Activities'!K72,120))</x:f>
        <x:v>0</x:v>
      </x:c>
      <x:c r="Z72" s="22" t="n">
        <x:f>MAX(0,MIN('Activities'!L72,132)-MAX('Activities'!K72,126))</x:f>
        <x:v>0</x:v>
      </x:c>
      <x:c r="AA72" s="22" t="n">
        <x:f>MAX(0,MIN('Activities'!L72,138)-MAX('Activities'!K72,132))</x:f>
        <x:v>0</x:v>
      </x:c>
      <x:c r="AB72" s="22" t="n">
        <x:f>MAX(0,MIN('Activities'!L72,144)-MAX('Activities'!K72,138))</x:f>
        <x:v>0</x:v>
      </x:c>
      <x:c r="AC72" s="22" t="n">
        <x:f>MAX(0,MIN('Activities'!L72,150)-MAX('Activities'!K72,144))</x:f>
        <x:v>0</x:v>
      </x:c>
      <x:c r="AD72" s="22" t="n">
        <x:f>MAX(0,MIN('Activities'!L72,156)-MAX('Activities'!K72,150))</x:f>
        <x:v>0</x:v>
      </x:c>
      <x:c r="AE72" s="22" t="n">
        <x:f>MAX(0,MIN('Activities'!L72,162)-MAX('Activities'!K72,156))</x:f>
        <x:v>0</x:v>
      </x:c>
      <x:c r="AF72" s="22" t="n">
        <x:f>MAX(0,MIN('Activities'!L72,168)-MAX('Activities'!K72,162))</x:f>
        <x:v>0</x:v>
      </x:c>
      <x:c r="AG72" s="22" t="n">
        <x:f>MAX(0,MIN('Activities'!L72,174)-MAX('Activities'!K72,168))</x:f>
        <x:v>0</x:v>
      </x:c>
      <x:c r="AH72" s="22" t="n">
        <x:f>MAX(0,MIN('Activities'!L72,180)-MAX('Activities'!K72,174))</x:f>
        <x:v>0</x:v>
      </x:c>
      <x:c r="AI72" s="22" t="n">
        <x:f>MAX(0,MIN('Activities'!L72,186)-MAX('Activities'!K72,180))</x:f>
        <x:v>0</x:v>
      </x:c>
      <x:c r="AJ72" s="22" t="n">
        <x:f>MAX(0,MIN('Activities'!L72,192)-MAX('Activities'!K72,186))</x:f>
        <x:v>0</x:v>
      </x:c>
      <x:c r="AK72" s="22" t="n">
        <x:f>MAX(0,MIN('Activities'!L72,198)-MAX('Activities'!K72,192))</x:f>
        <x:v>0</x:v>
      </x:c>
      <x:c r="AL72" s="22" t="n">
        <x:f>MAX(0,MIN('Activities'!L72,204)-MAX('Activities'!K72,198))</x:f>
        <x:v>0</x:v>
      </x:c>
      <x:c r="AM72" s="22" t="n">
        <x:f>MAX(0,MIN('Activities'!L72,210)-MAX('Activities'!K72,204))</x:f>
        <x:v>0</x:v>
      </x:c>
      <x:c r="AN72" s="22" t="n">
        <x:f>MAX(0,MIN('Activities'!L72,216)-MAX('Activities'!K72,210))</x:f>
        <x:v>0</x:v>
      </x:c>
      <x:c r="AO72" s="22" t="n">
        <x:f>MAX(0,MIN('Activities'!L72,222)-MAX('Activities'!K72,216))</x:f>
        <x:v>3</x:v>
      </x:c>
      <x:c r="AP72" s="22" t="n">
        <x:f>MAX(0,MIN('Activities'!L72,228)-MAX('Activities'!K72,222))</x:f>
        <x:v>3</x:v>
      </x:c>
      <x:c r="AQ72" s="22" t="n">
        <x:f>MAX(0,MIN('Activities'!L72,234)-MAX('Activities'!K72,228))</x:f>
        <x:v>0</x:v>
      </x:c>
      <x:c r="AR72" s="22" t="n">
        <x:f>MAX(0,MIN('Activities'!L72,240)-MAX('Activities'!K72,234))</x:f>
        <x:v>0</x:v>
      </x:c>
      <x:c r="AS72" s="22" t="n">
        <x:f>MAX(0,MIN('Activities'!L72,246)-MAX('Activities'!K72,240))</x:f>
        <x:v>0</x:v>
      </x:c>
      <x:c r="AT72" s="22" t="n">
        <x:f>MAX(0,MIN('Activities'!L72,252)-MAX('Activities'!K72,246))</x:f>
        <x:v>0</x:v>
      </x:c>
      <x:c r="AU72" s="22" t="n">
        <x:f>MAX(0,MIN('Activities'!L72,258)-MAX('Activities'!K72,252))</x:f>
        <x:v>0</x:v>
      </x:c>
      <x:c r="AV72" s="22" t="n">
        <x:f>MAX(0,MIN('Activities'!L72,264)-MAX('Activities'!K72,258))</x:f>
        <x:v>0</x:v>
      </x:c>
      <x:c r="AW72" s="22" t="n">
        <x:f>MAX(0,MIN('Activities'!L72,270)-MAX('Activities'!K72,264))</x:f>
        <x:v>0</x:v>
      </x:c>
      <x:c r="AX72" s="22" t="n">
        <x:f>MAX(0,MIN('Activities'!L72,276)-MAX('Activities'!K72,270))</x:f>
        <x:v>0</x:v>
      </x:c>
      <x:c r="AY72" s="22" t="n">
        <x:f>MAX(0,MIN('Activities'!L72,282)-MAX('Activities'!K72,276))</x:f>
        <x:v>0</x:v>
      </x:c>
      <x:c r="AZ72" s="22" t="n">
        <x:f>MAX(0,MIN('Activities'!L72,288)-MAX('Activities'!K72,282))</x:f>
        <x:v>0</x:v>
      </x:c>
      <x:c r="BA72" s="22" t="n">
        <x:f>MAX(0,MIN('Activities'!L72,294)-MAX('Activities'!K72,288))</x:f>
        <x:v>0</x:v>
      </x:c>
      <x:c r="BB72" s="22" t="n">
        <x:f>MAX(0,MIN('Activities'!L72,300)-MAX('Activities'!K72,294))</x:f>
        <x:v>0</x:v>
      </x:c>
      <x:c r="BC72" s="22" t="n">
        <x:f>MAX(0,MIN('Activities'!L72,306)-MAX('Activities'!K72,300))</x:f>
        <x:v>0</x:v>
      </x:c>
      <x:c r="BD72" s="22" t="n">
        <x:f>MAX(0,MIN('Activities'!L72,312)-MAX('Activities'!K72,306))</x:f>
        <x:v>0</x:v>
      </x:c>
      <x:c r="BE72" s="22" t="n">
        <x:f>MAX(0,MIN('Activities'!L72,318)-MAX('Activities'!K72,312))</x:f>
        <x:v>0</x:v>
      </x:c>
      <x:c r="BF72" s="22" t="n">
        <x:f>MAX(0,MIN('Activities'!L72,324)-MAX('Activities'!K72,318))</x:f>
        <x:v>0</x:v>
      </x:c>
      <x:c r="BG72" s="22" t="n">
        <x:f>MAX(0,MIN('Activities'!L72,330)-MAX('Activities'!K72,324))</x:f>
        <x:v>0</x:v>
      </x:c>
      <x:c r="BH72" s="22" t="n">
        <x:f>MAX(0,MIN('Activities'!L72,336)-MAX('Activities'!K72,330))</x:f>
        <x:v>0</x:v>
      </x:c>
      <x:c r="BI72" s="22" t="n">
        <x:f>MAX(0,MIN('Activities'!L72,342)-MAX('Activities'!K72,336))</x:f>
        <x:v>0</x:v>
      </x:c>
      <x:c r="BJ72" s="22" t="n">
        <x:f>MAX(0,MIN('Activities'!L72,348)-MAX('Activities'!K72,342))</x:f>
        <x:v>0</x:v>
      </x:c>
      <x:c r="BK72" s="22" t="n">
        <x:f>MAX(0,MIN('Activities'!L72,354)-MAX('Activities'!K72,348))</x:f>
        <x:v>0</x:v>
      </x:c>
      <x:c r="BL72" s="22" t="n">
        <x:f>MAX(0,MIN('Activities'!L72,360)-MAX('Activities'!K72,354))</x:f>
        <x:v>0</x:v>
      </x:c>
      <x:c r="BM72" s="22" t="n">
        <x:f>MAX(0,MIN('Activities'!L72,366)-MAX('Activities'!K72,360))</x:f>
        <x:v>0</x:v>
      </x:c>
      <x:c r="BN72" s="22" t="n">
        <x:f>MAX(0,MIN('Activities'!L72,372)-MAX('Activities'!K72,366))</x:f>
        <x:v>0</x:v>
      </x:c>
      <x:c r="BO72" s="22" t="n">
        <x:f>MAX(0,MIN('Activities'!L72,378)-MAX('Activities'!K72,372))</x:f>
        <x:v>0</x:v>
      </x:c>
      <x:c r="BP72" s="22" t="n">
        <x:f>MAX(0,MIN('Activities'!L72,384)-MAX('Activities'!K72,378))</x:f>
        <x:v>0</x:v>
      </x:c>
      <x:c r="BQ72" s="22" t="n">
        <x:f>MAX(0,MIN('Activities'!L72,390)-MAX('Activities'!K72,384))</x:f>
        <x:v>0</x:v>
      </x:c>
      <x:c r="BR72" s="22" t="n">
        <x:f>MAX(0,MIN('Activities'!L72,396)-MAX('Activities'!K72,390))</x:f>
        <x:v>0</x:v>
      </x:c>
      <x:c r="BS72" s="22" t="n">
        <x:f>MAX(0,MIN('Activities'!L72,402)-MAX('Activities'!K72,396))</x:f>
        <x:v>0</x:v>
      </x:c>
      <x:c r="BT72" s="22" t="n">
        <x:f>MAX(0,MIN('Activities'!L72,408)-MAX('Activities'!K72,402))</x:f>
        <x:v>0</x:v>
      </x:c>
      <x:c r="BU72" s="22" t="n">
        <x:f>MAX(0,MIN('Activities'!L72,414)-MAX('Activities'!K72,408))</x:f>
        <x:v>0</x:v>
      </x:c>
      <x:c r="BV72" s="22" t="n">
        <x:f>MAX(0,MIN('Activities'!L72,420)-MAX('Activities'!K72,414))</x:f>
        <x:v>0</x:v>
      </x:c>
      <x:c r="BW72" s="22" t="n">
        <x:f>MAX(0,MIN('Activities'!L72,426)-MAX('Activities'!K72,420))</x:f>
        <x:v>0</x:v>
      </x:c>
      <x:c r="BX72" s="22" t="n">
        <x:f>MAX(0,MIN('Activities'!L72,432)-MAX('Activities'!K72,426))</x:f>
        <x:v>0</x:v>
      </x:c>
      <x:c r="BY72" s="22" t="n">
        <x:f>MAX(0,MIN('Activities'!L72,438)-MAX('Activities'!K72,432))</x:f>
        <x:v>0</x:v>
      </x:c>
      <x:c r="BZ72" s="22" t="n">
        <x:f>MAX(0,MIN('Activities'!L72,444)-MAX('Activities'!K72,438))</x:f>
        <x:v>0</x:v>
      </x:c>
      <x:c r="CA72" s="22" t="n">
        <x:f>MAX(0,MIN('Activities'!L72,450)-MAX('Activities'!K72,444))</x:f>
        <x:v>0</x:v>
      </x:c>
      <x:c r="CB72" s="22" t="n">
        <x:f>MAX(0,MIN('Activities'!L72,456)-MAX('Activities'!K72,450))</x:f>
        <x:v>0</x:v>
      </x:c>
      <x:c r="CC72" s="22" t="n">
        <x:f>MAX(0,MIN('Activities'!L72,462)-MAX('Activities'!K72,456))</x:f>
        <x:v>0</x:v>
      </x:c>
      <x:c r="CD72" s="22" t="n">
        <x:f>MAX(0,MIN('Activities'!L72,468)-MAX('Activities'!K72,462))</x:f>
        <x:v>0</x:v>
      </x:c>
      <x:c r="CE72" s="22" t="n">
        <x:f>MAX(0,MIN('Activities'!L72,474)-MAX('Activities'!K72,468))</x:f>
        <x:v>0</x:v>
      </x:c>
      <x:c r="CF72" s="22" t="n">
        <x:f>MAX(0,MIN('Activities'!L72,480)-MAX('Activities'!K72,474))</x:f>
        <x:v>0</x:v>
      </x:c>
      <x:c r="CG72" s="22" t="n">
        <x:f>MAX(0,MIN('Activities'!L72,486)-MAX('Activities'!K72,480))</x:f>
        <x:v>0</x:v>
      </x:c>
      <x:c r="CH72" s="22" t="n">
        <x:f>MAX(0,MIN('Activities'!L72,492)-MAX('Activities'!K72,486))</x:f>
        <x:v>0</x:v>
      </x:c>
      <x:c r="CI72" s="22" t="n">
        <x:f>MAX(0,MIN('Activities'!L72,498)-MAX('Activities'!K72,492))</x:f>
        <x:v>0</x:v>
      </x:c>
      <x:c r="CJ72" s="22" t="n">
        <x:f>MAX(0,MIN('Activities'!L72,504)-MAX('Activities'!K72,498))</x:f>
        <x:v>0</x:v>
      </x:c>
      <x:c r="CK72" s="22" t="n">
        <x:f>MAX(0,MIN('Activities'!L72,510)-MAX('Activities'!K72,504))</x:f>
        <x:v>0</x:v>
      </x:c>
      <x:c r="CL72" s="22" t="n">
        <x:f>MAX(0,MIN('Activities'!L72,516)-MAX('Activities'!K72,510))</x:f>
        <x:v>0</x:v>
      </x:c>
      <x:c r="CM72" s="22" t="n">
        <x:f>MAX(0,MIN('Activities'!L72,522)-MAX('Activities'!K72,516))</x:f>
        <x:v>0</x:v>
      </x:c>
      <x:c r="CN72" s="22" t="n">
        <x:f>MAX(0,MIN('Activities'!L72,528)-MAX('Activities'!K72,522))</x:f>
        <x:v>0</x:v>
      </x:c>
      <x:c r="CO72" s="22" t="n">
        <x:f>MAX(0,MIN('Activities'!L72,534)-MAX('Activities'!K72,528))</x:f>
        <x:v>0</x:v>
      </x:c>
      <x:c r="CP72" s="22" t="n">
        <x:f>MAX(0,MIN('Activities'!L72,540)-MAX('Activities'!K72,534))</x:f>
        <x:v>0</x:v>
      </x:c>
      <x:c r="CQ72" s="22" t="n">
        <x:f>MAX(0,MIN('Activities'!L72,546)-MAX('Activities'!K72,540))</x:f>
        <x:v>0</x:v>
      </x:c>
      <x:c r="CR72" s="22" t="n">
        <x:f>MAX(0,MIN('Activities'!L72,552)-MAX('Activities'!K72,546))</x:f>
        <x:v>0</x:v>
      </x:c>
      <x:c r="CS72" s="22" t="n">
        <x:f>MAX(0,MIN('Activities'!L72,558)-MAX('Activities'!K72,552))</x:f>
        <x:v>0</x:v>
      </x:c>
      <x:c r="CT72" s="22" t="n">
        <x:f>MAX(0,MIN('Activities'!L72,564)-MAX('Activities'!K72,558))</x:f>
        <x:v>0</x:v>
      </x:c>
      <x:c r="CU72" s="22" t="n">
        <x:f>MAX(0,MIN('Activities'!L72,570)-MAX('Activities'!K72,564))</x:f>
        <x:v>0</x:v>
      </x:c>
      <x:c r="CV72" s="22" t="n">
        <x:f>MAX(0,MIN('Activities'!L72,576)-MAX('Activities'!K72,570))</x:f>
        <x:v>0</x:v>
      </x:c>
      <x:c r="CW72" s="22" t="n">
        <x:f>MAX(0,MIN('Activities'!L72,582)-MAX('Activities'!K72,576))</x:f>
        <x:v>0</x:v>
      </x:c>
      <x:c r="CX72" s="22" t="n">
        <x:f>MAX(0,MIN('Activities'!L72,588)-MAX('Activities'!K72,582))</x:f>
        <x:v>0</x:v>
      </x:c>
      <x:c r="CY72" s="22" t="n">
        <x:f>MAX(0,MIN('Activities'!L72,594)-MAX('Activities'!K72,588))</x:f>
        <x:v>0</x:v>
      </x:c>
      <x:c r="CZ72" s="22" t="n">
        <x:f>MAX(0,MIN('Activities'!L72,600)-MAX('Activities'!K72,594))</x:f>
        <x:v>0</x:v>
      </x:c>
      <x:c r="DA72" s="22" t="n">
        <x:f>MAX(0,MIN('Activities'!L72,606)-MAX('Activities'!K72,600))</x:f>
        <x:v>0</x:v>
      </x:c>
      <x:c r="DB72" s="22" t="n">
        <x:f>MAX(0,MIN('Activities'!L72,612)-MAX('Activities'!K72,606))</x:f>
        <x:v>0</x:v>
      </x:c>
      <x:c r="DC72" s="22" t="n">
        <x:f>MAX(0,MIN('Activities'!L72,618)-MAX('Activities'!K72,612))</x:f>
        <x:v>0</x:v>
      </x:c>
      <x:c r="DD72" s="22" t="n">
        <x:f>MAX(0,MIN('Activities'!L72,624)-MAX('Activities'!K72,618))</x:f>
        <x:v>0</x:v>
      </x:c>
      <x:c r="DE72" s="22" t="n">
        <x:f>MAX(0,MIN('Activities'!L72,630)-MAX('Activities'!K72,624))</x:f>
        <x:v>0</x:v>
      </x:c>
      <x:c r="DF72" s="22" t="n">
        <x:f>MAX(0,MIN('Activities'!L72,636)-MAX('Activities'!K72,630))</x:f>
        <x:v>0</x:v>
      </x:c>
    </x:row>
    <x:row r="73" ht="23" customHeight="1">
      <x:c r="A73" s="1" t="str">
        <x:v>T1-L00-S</x:v>
      </x:c>
      <x:c r="B73" s="1" t="str">
        <x:v>T1</x:v>
      </x:c>
      <x:c r="C73" s="1" t="str">
        <x:v>Screed and substrate preparation</x:v>
      </x:c>
      <x:c r="D73" s="1" t="str">
        <x:v>Finishes</x:v>
      </x:c>
      <x:c r="E73" s="23" t="n">
        <x:f>MAX(0,MIN('Activities'!L73,6)-MAX('Activities'!K73,0))</x:f>
        <x:v>0</x:v>
      </x:c>
      <x:c r="F73" s="23" t="n">
        <x:f>MAX(0,MIN('Activities'!L73,12)-MAX('Activities'!K73,6))</x:f>
        <x:v>0</x:v>
      </x:c>
      <x:c r="G73" s="23" t="n">
        <x:f>MAX(0,MIN('Activities'!L73,18)-MAX('Activities'!K73,12))</x:f>
        <x:v>0</x:v>
      </x:c>
      <x:c r="H73" s="23" t="n">
        <x:f>MAX(0,MIN('Activities'!L73,24)-MAX('Activities'!K73,18))</x:f>
        <x:v>0</x:v>
      </x:c>
      <x:c r="I73" s="23" t="n">
        <x:f>MAX(0,MIN('Activities'!L73,30)-MAX('Activities'!K73,24))</x:f>
        <x:v>0</x:v>
      </x:c>
      <x:c r="J73" s="23" t="n">
        <x:f>MAX(0,MIN('Activities'!L73,36)-MAX('Activities'!K73,30))</x:f>
        <x:v>0</x:v>
      </x:c>
      <x:c r="K73" s="23" t="n">
        <x:f>MAX(0,MIN('Activities'!L73,42)-MAX('Activities'!K73,36))</x:f>
        <x:v>0</x:v>
      </x:c>
      <x:c r="L73" s="23" t="n">
        <x:f>MAX(0,MIN('Activities'!L73,48)-MAX('Activities'!K73,42))</x:f>
        <x:v>0</x:v>
      </x:c>
      <x:c r="M73" s="23" t="n">
        <x:f>MAX(0,MIN('Activities'!L73,54)-MAX('Activities'!K73,48))</x:f>
        <x:v>0</x:v>
      </x:c>
      <x:c r="N73" s="23" t="n">
        <x:f>MAX(0,MIN('Activities'!L73,60)-MAX('Activities'!K73,54))</x:f>
        <x:v>0</x:v>
      </x:c>
      <x:c r="O73" s="23" t="n">
        <x:f>MAX(0,MIN('Activities'!L73,66)-MAX('Activities'!K73,60))</x:f>
        <x:v>0</x:v>
      </x:c>
      <x:c r="P73" s="23" t="n">
        <x:f>MAX(0,MIN('Activities'!L73,72)-MAX('Activities'!K73,66))</x:f>
        <x:v>0</x:v>
      </x:c>
      <x:c r="Q73" s="23" t="n">
        <x:f>MAX(0,MIN('Activities'!L73,78)-MAX('Activities'!K73,72))</x:f>
        <x:v>0</x:v>
      </x:c>
      <x:c r="R73" s="23" t="n">
        <x:f>MAX(0,MIN('Activities'!L73,84)-MAX('Activities'!K73,78))</x:f>
        <x:v>0</x:v>
      </x:c>
      <x:c r="S73" s="23" t="n">
        <x:f>MAX(0,MIN('Activities'!L73,90)-MAX('Activities'!K73,84))</x:f>
        <x:v>0</x:v>
      </x:c>
      <x:c r="T73" s="23" t="n">
        <x:f>MAX(0,MIN('Activities'!L73,96)-MAX('Activities'!K73,90))</x:f>
        <x:v>0</x:v>
      </x:c>
      <x:c r="U73" s="23" t="n">
        <x:f>MAX(0,MIN('Activities'!L73,102)-MAX('Activities'!K73,96))</x:f>
        <x:v>0</x:v>
      </x:c>
      <x:c r="V73" s="23" t="n">
        <x:f>MAX(0,MIN('Activities'!L73,108)-MAX('Activities'!K73,102))</x:f>
        <x:v>0</x:v>
      </x:c>
      <x:c r="W73" s="23" t="n">
        <x:f>MAX(0,MIN('Activities'!L73,114)-MAX('Activities'!K73,108))</x:f>
        <x:v>0</x:v>
      </x:c>
      <x:c r="X73" s="23" t="n">
        <x:f>MAX(0,MIN('Activities'!L73,120)-MAX('Activities'!K73,114))</x:f>
        <x:v>0</x:v>
      </x:c>
      <x:c r="Y73" s="23" t="n">
        <x:f>MAX(0,MIN('Activities'!L73,126)-MAX('Activities'!K73,120))</x:f>
        <x:v>0</x:v>
      </x:c>
      <x:c r="Z73" s="23" t="n">
        <x:f>MAX(0,MIN('Activities'!L73,132)-MAX('Activities'!K73,126))</x:f>
        <x:v>0</x:v>
      </x:c>
      <x:c r="AA73" s="23" t="n">
        <x:f>MAX(0,MIN('Activities'!L73,138)-MAX('Activities'!K73,132))</x:f>
        <x:v>0</x:v>
      </x:c>
      <x:c r="AB73" s="23" t="n">
        <x:f>MAX(0,MIN('Activities'!L73,144)-MAX('Activities'!K73,138))</x:f>
        <x:v>0</x:v>
      </x:c>
      <x:c r="AC73" s="23" t="n">
        <x:f>MAX(0,MIN('Activities'!L73,150)-MAX('Activities'!K73,144))</x:f>
        <x:v>0</x:v>
      </x:c>
      <x:c r="AD73" s="23" t="n">
        <x:f>MAX(0,MIN('Activities'!L73,156)-MAX('Activities'!K73,150))</x:f>
        <x:v>0</x:v>
      </x:c>
      <x:c r="AE73" s="23" t="n">
        <x:f>MAX(0,MIN('Activities'!L73,162)-MAX('Activities'!K73,156))</x:f>
        <x:v>0</x:v>
      </x:c>
      <x:c r="AF73" s="23" t="n">
        <x:f>MAX(0,MIN('Activities'!L73,168)-MAX('Activities'!K73,162))</x:f>
        <x:v>0</x:v>
      </x:c>
      <x:c r="AG73" s="23" t="n">
        <x:f>MAX(0,MIN('Activities'!L73,174)-MAX('Activities'!K73,168))</x:f>
        <x:v>0</x:v>
      </x:c>
      <x:c r="AH73" s="23" t="n">
        <x:f>MAX(0,MIN('Activities'!L73,180)-MAX('Activities'!K73,174))</x:f>
        <x:v>0</x:v>
      </x:c>
      <x:c r="AI73" s="23" t="n">
        <x:f>MAX(0,MIN('Activities'!L73,186)-MAX('Activities'!K73,180))</x:f>
        <x:v>0</x:v>
      </x:c>
      <x:c r="AJ73" s="23" t="n">
        <x:f>MAX(0,MIN('Activities'!L73,192)-MAX('Activities'!K73,186))</x:f>
        <x:v>0</x:v>
      </x:c>
      <x:c r="AK73" s="23" t="n">
        <x:f>MAX(0,MIN('Activities'!L73,198)-MAX('Activities'!K73,192))</x:f>
        <x:v>0</x:v>
      </x:c>
      <x:c r="AL73" s="23" t="n">
        <x:f>MAX(0,MIN('Activities'!L73,204)-MAX('Activities'!K73,198))</x:f>
        <x:v>0</x:v>
      </x:c>
      <x:c r="AM73" s="23" t="n">
        <x:f>MAX(0,MIN('Activities'!L73,210)-MAX('Activities'!K73,204))</x:f>
        <x:v>0</x:v>
      </x:c>
      <x:c r="AN73" s="23" t="n">
        <x:f>MAX(0,MIN('Activities'!L73,216)-MAX('Activities'!K73,210))</x:f>
        <x:v>0</x:v>
      </x:c>
      <x:c r="AO73" s="23" t="n">
        <x:f>MAX(0,MIN('Activities'!L73,222)-MAX('Activities'!K73,216))</x:f>
        <x:v>0</x:v>
      </x:c>
      <x:c r="AP73" s="23" t="n">
        <x:f>MAX(0,MIN('Activities'!L73,228)-MAX('Activities'!K73,222))</x:f>
        <x:v>1</x:v>
      </x:c>
      <x:c r="AQ73" s="23" t="n">
        <x:f>MAX(0,MIN('Activities'!L73,234)-MAX('Activities'!K73,228))</x:f>
        <x:v>2</x:v>
      </x:c>
      <x:c r="AR73" s="23" t="n">
        <x:f>MAX(0,MIN('Activities'!L73,240)-MAX('Activities'!K73,234))</x:f>
        <x:v>0</x:v>
      </x:c>
      <x:c r="AS73" s="23" t="n">
        <x:f>MAX(0,MIN('Activities'!L73,246)-MAX('Activities'!K73,240))</x:f>
        <x:v>0</x:v>
      </x:c>
      <x:c r="AT73" s="23" t="n">
        <x:f>MAX(0,MIN('Activities'!L73,252)-MAX('Activities'!K73,246))</x:f>
        <x:v>0</x:v>
      </x:c>
      <x:c r="AU73" s="23" t="n">
        <x:f>MAX(0,MIN('Activities'!L73,258)-MAX('Activities'!K73,252))</x:f>
        <x:v>0</x:v>
      </x:c>
      <x:c r="AV73" s="23" t="n">
        <x:f>MAX(0,MIN('Activities'!L73,264)-MAX('Activities'!K73,258))</x:f>
        <x:v>0</x:v>
      </x:c>
      <x:c r="AW73" s="23" t="n">
        <x:f>MAX(0,MIN('Activities'!L73,270)-MAX('Activities'!K73,264))</x:f>
        <x:v>0</x:v>
      </x:c>
      <x:c r="AX73" s="23" t="n">
        <x:f>MAX(0,MIN('Activities'!L73,276)-MAX('Activities'!K73,270))</x:f>
        <x:v>0</x:v>
      </x:c>
      <x:c r="AY73" s="23" t="n">
        <x:f>MAX(0,MIN('Activities'!L73,282)-MAX('Activities'!K73,276))</x:f>
        <x:v>0</x:v>
      </x:c>
      <x:c r="AZ73" s="23" t="n">
        <x:f>MAX(0,MIN('Activities'!L73,288)-MAX('Activities'!K73,282))</x:f>
        <x:v>0</x:v>
      </x:c>
      <x:c r="BA73" s="23" t="n">
        <x:f>MAX(0,MIN('Activities'!L73,294)-MAX('Activities'!K73,288))</x:f>
        <x:v>0</x:v>
      </x:c>
      <x:c r="BB73" s="23" t="n">
        <x:f>MAX(0,MIN('Activities'!L73,300)-MAX('Activities'!K73,294))</x:f>
        <x:v>0</x:v>
      </x:c>
      <x:c r="BC73" s="23" t="n">
        <x:f>MAX(0,MIN('Activities'!L73,306)-MAX('Activities'!K73,300))</x:f>
        <x:v>0</x:v>
      </x:c>
      <x:c r="BD73" s="23" t="n">
        <x:f>MAX(0,MIN('Activities'!L73,312)-MAX('Activities'!K73,306))</x:f>
        <x:v>0</x:v>
      </x:c>
      <x:c r="BE73" s="23" t="n">
        <x:f>MAX(0,MIN('Activities'!L73,318)-MAX('Activities'!K73,312))</x:f>
        <x:v>0</x:v>
      </x:c>
      <x:c r="BF73" s="23" t="n">
        <x:f>MAX(0,MIN('Activities'!L73,324)-MAX('Activities'!K73,318))</x:f>
        <x:v>0</x:v>
      </x:c>
      <x:c r="BG73" s="23" t="n">
        <x:f>MAX(0,MIN('Activities'!L73,330)-MAX('Activities'!K73,324))</x:f>
        <x:v>0</x:v>
      </x:c>
      <x:c r="BH73" s="23" t="n">
        <x:f>MAX(0,MIN('Activities'!L73,336)-MAX('Activities'!K73,330))</x:f>
        <x:v>0</x:v>
      </x:c>
      <x:c r="BI73" s="23" t="n">
        <x:f>MAX(0,MIN('Activities'!L73,342)-MAX('Activities'!K73,336))</x:f>
        <x:v>0</x:v>
      </x:c>
      <x:c r="BJ73" s="23" t="n">
        <x:f>MAX(0,MIN('Activities'!L73,348)-MAX('Activities'!K73,342))</x:f>
        <x:v>0</x:v>
      </x:c>
      <x:c r="BK73" s="23" t="n">
        <x:f>MAX(0,MIN('Activities'!L73,354)-MAX('Activities'!K73,348))</x:f>
        <x:v>0</x:v>
      </x:c>
      <x:c r="BL73" s="23" t="n">
        <x:f>MAX(0,MIN('Activities'!L73,360)-MAX('Activities'!K73,354))</x:f>
        <x:v>0</x:v>
      </x:c>
      <x:c r="BM73" s="23" t="n">
        <x:f>MAX(0,MIN('Activities'!L73,366)-MAX('Activities'!K73,360))</x:f>
        <x:v>0</x:v>
      </x:c>
      <x:c r="BN73" s="23" t="n">
        <x:f>MAX(0,MIN('Activities'!L73,372)-MAX('Activities'!K73,366))</x:f>
        <x:v>0</x:v>
      </x:c>
      <x:c r="BO73" s="23" t="n">
        <x:f>MAX(0,MIN('Activities'!L73,378)-MAX('Activities'!K73,372))</x:f>
        <x:v>0</x:v>
      </x:c>
      <x:c r="BP73" s="23" t="n">
        <x:f>MAX(0,MIN('Activities'!L73,384)-MAX('Activities'!K73,378))</x:f>
        <x:v>0</x:v>
      </x:c>
      <x:c r="BQ73" s="23" t="n">
        <x:f>MAX(0,MIN('Activities'!L73,390)-MAX('Activities'!K73,384))</x:f>
        <x:v>0</x:v>
      </x:c>
      <x:c r="BR73" s="23" t="n">
        <x:f>MAX(0,MIN('Activities'!L73,396)-MAX('Activities'!K73,390))</x:f>
        <x:v>0</x:v>
      </x:c>
      <x:c r="BS73" s="23" t="n">
        <x:f>MAX(0,MIN('Activities'!L73,402)-MAX('Activities'!K73,396))</x:f>
        <x:v>0</x:v>
      </x:c>
      <x:c r="BT73" s="23" t="n">
        <x:f>MAX(0,MIN('Activities'!L73,408)-MAX('Activities'!K73,402))</x:f>
        <x:v>0</x:v>
      </x:c>
      <x:c r="BU73" s="23" t="n">
        <x:f>MAX(0,MIN('Activities'!L73,414)-MAX('Activities'!K73,408))</x:f>
        <x:v>0</x:v>
      </x:c>
      <x:c r="BV73" s="23" t="n">
        <x:f>MAX(0,MIN('Activities'!L73,420)-MAX('Activities'!K73,414))</x:f>
        <x:v>0</x:v>
      </x:c>
      <x:c r="BW73" s="23" t="n">
        <x:f>MAX(0,MIN('Activities'!L73,426)-MAX('Activities'!K73,420))</x:f>
        <x:v>0</x:v>
      </x:c>
      <x:c r="BX73" s="23" t="n">
        <x:f>MAX(0,MIN('Activities'!L73,432)-MAX('Activities'!K73,426))</x:f>
        <x:v>0</x:v>
      </x:c>
      <x:c r="BY73" s="23" t="n">
        <x:f>MAX(0,MIN('Activities'!L73,438)-MAX('Activities'!K73,432))</x:f>
        <x:v>0</x:v>
      </x:c>
      <x:c r="BZ73" s="23" t="n">
        <x:f>MAX(0,MIN('Activities'!L73,444)-MAX('Activities'!K73,438))</x:f>
        <x:v>0</x:v>
      </x:c>
      <x:c r="CA73" s="23" t="n">
        <x:f>MAX(0,MIN('Activities'!L73,450)-MAX('Activities'!K73,444))</x:f>
        <x:v>0</x:v>
      </x:c>
      <x:c r="CB73" s="23" t="n">
        <x:f>MAX(0,MIN('Activities'!L73,456)-MAX('Activities'!K73,450))</x:f>
        <x:v>0</x:v>
      </x:c>
      <x:c r="CC73" s="23" t="n">
        <x:f>MAX(0,MIN('Activities'!L73,462)-MAX('Activities'!K73,456))</x:f>
        <x:v>0</x:v>
      </x:c>
      <x:c r="CD73" s="23" t="n">
        <x:f>MAX(0,MIN('Activities'!L73,468)-MAX('Activities'!K73,462))</x:f>
        <x:v>0</x:v>
      </x:c>
      <x:c r="CE73" s="23" t="n">
        <x:f>MAX(0,MIN('Activities'!L73,474)-MAX('Activities'!K73,468))</x:f>
        <x:v>0</x:v>
      </x:c>
      <x:c r="CF73" s="23" t="n">
        <x:f>MAX(0,MIN('Activities'!L73,480)-MAX('Activities'!K73,474))</x:f>
        <x:v>0</x:v>
      </x:c>
      <x:c r="CG73" s="23" t="n">
        <x:f>MAX(0,MIN('Activities'!L73,486)-MAX('Activities'!K73,480))</x:f>
        <x:v>0</x:v>
      </x:c>
      <x:c r="CH73" s="23" t="n">
        <x:f>MAX(0,MIN('Activities'!L73,492)-MAX('Activities'!K73,486))</x:f>
        <x:v>0</x:v>
      </x:c>
      <x:c r="CI73" s="23" t="n">
        <x:f>MAX(0,MIN('Activities'!L73,498)-MAX('Activities'!K73,492))</x:f>
        <x:v>0</x:v>
      </x:c>
      <x:c r="CJ73" s="23" t="n">
        <x:f>MAX(0,MIN('Activities'!L73,504)-MAX('Activities'!K73,498))</x:f>
        <x:v>0</x:v>
      </x:c>
      <x:c r="CK73" s="23" t="n">
        <x:f>MAX(0,MIN('Activities'!L73,510)-MAX('Activities'!K73,504))</x:f>
        <x:v>0</x:v>
      </x:c>
      <x:c r="CL73" s="23" t="n">
        <x:f>MAX(0,MIN('Activities'!L73,516)-MAX('Activities'!K73,510))</x:f>
        <x:v>0</x:v>
      </x:c>
      <x:c r="CM73" s="23" t="n">
        <x:f>MAX(0,MIN('Activities'!L73,522)-MAX('Activities'!K73,516))</x:f>
        <x:v>0</x:v>
      </x:c>
      <x:c r="CN73" s="23" t="n">
        <x:f>MAX(0,MIN('Activities'!L73,528)-MAX('Activities'!K73,522))</x:f>
        <x:v>0</x:v>
      </x:c>
      <x:c r="CO73" s="23" t="n">
        <x:f>MAX(0,MIN('Activities'!L73,534)-MAX('Activities'!K73,528))</x:f>
        <x:v>0</x:v>
      </x:c>
      <x:c r="CP73" s="23" t="n">
        <x:f>MAX(0,MIN('Activities'!L73,540)-MAX('Activities'!K73,534))</x:f>
        <x:v>0</x:v>
      </x:c>
      <x:c r="CQ73" s="23" t="n">
        <x:f>MAX(0,MIN('Activities'!L73,546)-MAX('Activities'!K73,540))</x:f>
        <x:v>0</x:v>
      </x:c>
      <x:c r="CR73" s="23" t="n">
        <x:f>MAX(0,MIN('Activities'!L73,552)-MAX('Activities'!K73,546))</x:f>
        <x:v>0</x:v>
      </x:c>
      <x:c r="CS73" s="23" t="n">
        <x:f>MAX(0,MIN('Activities'!L73,558)-MAX('Activities'!K73,552))</x:f>
        <x:v>0</x:v>
      </x:c>
      <x:c r="CT73" s="23" t="n">
        <x:f>MAX(0,MIN('Activities'!L73,564)-MAX('Activities'!K73,558))</x:f>
        <x:v>0</x:v>
      </x:c>
      <x:c r="CU73" s="23" t="n">
        <x:f>MAX(0,MIN('Activities'!L73,570)-MAX('Activities'!K73,564))</x:f>
        <x:v>0</x:v>
      </x:c>
      <x:c r="CV73" s="23" t="n">
        <x:f>MAX(0,MIN('Activities'!L73,576)-MAX('Activities'!K73,570))</x:f>
        <x:v>0</x:v>
      </x:c>
      <x:c r="CW73" s="23" t="n">
        <x:f>MAX(0,MIN('Activities'!L73,582)-MAX('Activities'!K73,576))</x:f>
        <x:v>0</x:v>
      </x:c>
      <x:c r="CX73" s="23" t="n">
        <x:f>MAX(0,MIN('Activities'!L73,588)-MAX('Activities'!K73,582))</x:f>
        <x:v>0</x:v>
      </x:c>
      <x:c r="CY73" s="23" t="n">
        <x:f>MAX(0,MIN('Activities'!L73,594)-MAX('Activities'!K73,588))</x:f>
        <x:v>0</x:v>
      </x:c>
      <x:c r="CZ73" s="23" t="n">
        <x:f>MAX(0,MIN('Activities'!L73,600)-MAX('Activities'!K73,594))</x:f>
        <x:v>0</x:v>
      </x:c>
      <x:c r="DA73" s="23" t="n">
        <x:f>MAX(0,MIN('Activities'!L73,606)-MAX('Activities'!K73,600))</x:f>
        <x:v>0</x:v>
      </x:c>
      <x:c r="DB73" s="23" t="n">
        <x:f>MAX(0,MIN('Activities'!L73,612)-MAX('Activities'!K73,606))</x:f>
        <x:v>0</x:v>
      </x:c>
      <x:c r="DC73" s="23" t="n">
        <x:f>MAX(0,MIN('Activities'!L73,618)-MAX('Activities'!K73,612))</x:f>
        <x:v>0</x:v>
      </x:c>
      <x:c r="DD73" s="23" t="n">
        <x:f>MAX(0,MIN('Activities'!L73,624)-MAX('Activities'!K73,618))</x:f>
        <x:v>0</x:v>
      </x:c>
      <x:c r="DE73" s="23" t="n">
        <x:f>MAX(0,MIN('Activities'!L73,630)-MAX('Activities'!K73,624))</x:f>
        <x:v>0</x:v>
      </x:c>
      <x:c r="DF73" s="23" t="n">
        <x:f>MAX(0,MIN('Activities'!L73,636)-MAX('Activities'!K73,630))</x:f>
        <x:v>0</x:v>
      </x:c>
    </x:row>
    <x:row r="74" ht="23" customHeight="1">
      <x:c r="A74" s="6" t="str">
        <x:v>T1-L00-T</x:v>
      </x:c>
      <x:c r="B74" s="6" t="str">
        <x:v>T1</x:v>
      </x:c>
      <x:c r="C74" s="6" t="str">
        <x:v>Floor finishes and skirtings</x:v>
      </x:c>
      <x:c r="D74" s="6" t="str">
        <x:v>Finishes</x:v>
      </x:c>
      <x:c r="E74" s="22" t="n">
        <x:f>MAX(0,MIN('Activities'!L74,6)-MAX('Activities'!K74,0))</x:f>
        <x:v>0</x:v>
      </x:c>
      <x:c r="F74" s="22" t="n">
        <x:f>MAX(0,MIN('Activities'!L74,12)-MAX('Activities'!K74,6))</x:f>
        <x:v>0</x:v>
      </x:c>
      <x:c r="G74" s="22" t="n">
        <x:f>MAX(0,MIN('Activities'!L74,18)-MAX('Activities'!K74,12))</x:f>
        <x:v>0</x:v>
      </x:c>
      <x:c r="H74" s="22" t="n">
        <x:f>MAX(0,MIN('Activities'!L74,24)-MAX('Activities'!K74,18))</x:f>
        <x:v>0</x:v>
      </x:c>
      <x:c r="I74" s="22" t="n">
        <x:f>MAX(0,MIN('Activities'!L74,30)-MAX('Activities'!K74,24))</x:f>
        <x:v>0</x:v>
      </x:c>
      <x:c r="J74" s="22" t="n">
        <x:f>MAX(0,MIN('Activities'!L74,36)-MAX('Activities'!K74,30))</x:f>
        <x:v>0</x:v>
      </x:c>
      <x:c r="K74" s="22" t="n">
        <x:f>MAX(0,MIN('Activities'!L74,42)-MAX('Activities'!K74,36))</x:f>
        <x:v>0</x:v>
      </x:c>
      <x:c r="L74" s="22" t="n">
        <x:f>MAX(0,MIN('Activities'!L74,48)-MAX('Activities'!K74,42))</x:f>
        <x:v>0</x:v>
      </x:c>
      <x:c r="M74" s="22" t="n">
        <x:f>MAX(0,MIN('Activities'!L74,54)-MAX('Activities'!K74,48))</x:f>
        <x:v>0</x:v>
      </x:c>
      <x:c r="N74" s="22" t="n">
        <x:f>MAX(0,MIN('Activities'!L74,60)-MAX('Activities'!K74,54))</x:f>
        <x:v>0</x:v>
      </x:c>
      <x:c r="O74" s="22" t="n">
        <x:f>MAX(0,MIN('Activities'!L74,66)-MAX('Activities'!K74,60))</x:f>
        <x:v>0</x:v>
      </x:c>
      <x:c r="P74" s="22" t="n">
        <x:f>MAX(0,MIN('Activities'!L74,72)-MAX('Activities'!K74,66))</x:f>
        <x:v>0</x:v>
      </x:c>
      <x:c r="Q74" s="22" t="n">
        <x:f>MAX(0,MIN('Activities'!L74,78)-MAX('Activities'!K74,72))</x:f>
        <x:v>0</x:v>
      </x:c>
      <x:c r="R74" s="22" t="n">
        <x:f>MAX(0,MIN('Activities'!L74,84)-MAX('Activities'!K74,78))</x:f>
        <x:v>0</x:v>
      </x:c>
      <x:c r="S74" s="22" t="n">
        <x:f>MAX(0,MIN('Activities'!L74,90)-MAX('Activities'!K74,84))</x:f>
        <x:v>0</x:v>
      </x:c>
      <x:c r="T74" s="22" t="n">
        <x:f>MAX(0,MIN('Activities'!L74,96)-MAX('Activities'!K74,90))</x:f>
        <x:v>0</x:v>
      </x:c>
      <x:c r="U74" s="22" t="n">
        <x:f>MAX(0,MIN('Activities'!L74,102)-MAX('Activities'!K74,96))</x:f>
        <x:v>0</x:v>
      </x:c>
      <x:c r="V74" s="22" t="n">
        <x:f>MAX(0,MIN('Activities'!L74,108)-MAX('Activities'!K74,102))</x:f>
        <x:v>0</x:v>
      </x:c>
      <x:c r="W74" s="22" t="n">
        <x:f>MAX(0,MIN('Activities'!L74,114)-MAX('Activities'!K74,108))</x:f>
        <x:v>0</x:v>
      </x:c>
      <x:c r="X74" s="22" t="n">
        <x:f>MAX(0,MIN('Activities'!L74,120)-MAX('Activities'!K74,114))</x:f>
        <x:v>0</x:v>
      </x:c>
      <x:c r="Y74" s="22" t="n">
        <x:f>MAX(0,MIN('Activities'!L74,126)-MAX('Activities'!K74,120))</x:f>
        <x:v>0</x:v>
      </x:c>
      <x:c r="Z74" s="22" t="n">
        <x:f>MAX(0,MIN('Activities'!L74,132)-MAX('Activities'!K74,126))</x:f>
        <x:v>0</x:v>
      </x:c>
      <x:c r="AA74" s="22" t="n">
        <x:f>MAX(0,MIN('Activities'!L74,138)-MAX('Activities'!K74,132))</x:f>
        <x:v>0</x:v>
      </x:c>
      <x:c r="AB74" s="22" t="n">
        <x:f>MAX(0,MIN('Activities'!L74,144)-MAX('Activities'!K74,138))</x:f>
        <x:v>0</x:v>
      </x:c>
      <x:c r="AC74" s="22" t="n">
        <x:f>MAX(0,MIN('Activities'!L74,150)-MAX('Activities'!K74,144))</x:f>
        <x:v>0</x:v>
      </x:c>
      <x:c r="AD74" s="22" t="n">
        <x:f>MAX(0,MIN('Activities'!L74,156)-MAX('Activities'!K74,150))</x:f>
        <x:v>0</x:v>
      </x:c>
      <x:c r="AE74" s="22" t="n">
        <x:f>MAX(0,MIN('Activities'!L74,162)-MAX('Activities'!K74,156))</x:f>
        <x:v>0</x:v>
      </x:c>
      <x:c r="AF74" s="22" t="n">
        <x:f>MAX(0,MIN('Activities'!L74,168)-MAX('Activities'!K74,162))</x:f>
        <x:v>0</x:v>
      </x:c>
      <x:c r="AG74" s="22" t="n">
        <x:f>MAX(0,MIN('Activities'!L74,174)-MAX('Activities'!K74,168))</x:f>
        <x:v>0</x:v>
      </x:c>
      <x:c r="AH74" s="22" t="n">
        <x:f>MAX(0,MIN('Activities'!L74,180)-MAX('Activities'!K74,174))</x:f>
        <x:v>0</x:v>
      </x:c>
      <x:c r="AI74" s="22" t="n">
        <x:f>MAX(0,MIN('Activities'!L74,186)-MAX('Activities'!K74,180))</x:f>
        <x:v>0</x:v>
      </x:c>
      <x:c r="AJ74" s="22" t="n">
        <x:f>MAX(0,MIN('Activities'!L74,192)-MAX('Activities'!K74,186))</x:f>
        <x:v>0</x:v>
      </x:c>
      <x:c r="AK74" s="22" t="n">
        <x:f>MAX(0,MIN('Activities'!L74,198)-MAX('Activities'!K74,192))</x:f>
        <x:v>0</x:v>
      </x:c>
      <x:c r="AL74" s="22" t="n">
        <x:f>MAX(0,MIN('Activities'!L74,204)-MAX('Activities'!K74,198))</x:f>
        <x:v>0</x:v>
      </x:c>
      <x:c r="AM74" s="22" t="n">
        <x:f>MAX(0,MIN('Activities'!L74,210)-MAX('Activities'!K74,204))</x:f>
        <x:v>0</x:v>
      </x:c>
      <x:c r="AN74" s="22" t="n">
        <x:f>MAX(0,MIN('Activities'!L74,216)-MAX('Activities'!K74,210))</x:f>
        <x:v>0</x:v>
      </x:c>
      <x:c r="AO74" s="22" t="n">
        <x:f>MAX(0,MIN('Activities'!L74,222)-MAX('Activities'!K74,216))</x:f>
        <x:v>0</x:v>
      </x:c>
      <x:c r="AP74" s="22" t="n">
        <x:f>MAX(0,MIN('Activities'!L74,228)-MAX('Activities'!K74,222))</x:f>
        <x:v>0</x:v>
      </x:c>
      <x:c r="AQ74" s="22" t="n">
        <x:f>MAX(0,MIN('Activities'!L74,234)-MAX('Activities'!K74,228))</x:f>
        <x:v>0</x:v>
      </x:c>
      <x:c r="AR74" s="22" t="n">
        <x:f>MAX(0,MIN('Activities'!L74,240)-MAX('Activities'!K74,234))</x:f>
        <x:v>0</x:v>
      </x:c>
      <x:c r="AS74" s="22" t="n">
        <x:f>MAX(0,MIN('Activities'!L74,246)-MAX('Activities'!K74,240))</x:f>
        <x:v>0</x:v>
      </x:c>
      <x:c r="AT74" s="22" t="n">
        <x:f>MAX(0,MIN('Activities'!L74,252)-MAX('Activities'!K74,246))</x:f>
        <x:v>0</x:v>
      </x:c>
      <x:c r="AU74" s="22" t="n">
        <x:f>MAX(0,MIN('Activities'!L74,258)-MAX('Activities'!K74,252))</x:f>
        <x:v>0</x:v>
      </x:c>
      <x:c r="AV74" s="22" t="n">
        <x:f>MAX(0,MIN('Activities'!L74,264)-MAX('Activities'!K74,258))</x:f>
        <x:v>0</x:v>
      </x:c>
      <x:c r="AW74" s="22" t="n">
        <x:f>MAX(0,MIN('Activities'!L74,270)-MAX('Activities'!K74,264))</x:f>
        <x:v>0</x:v>
      </x:c>
      <x:c r="AX74" s="22" t="n">
        <x:f>MAX(0,MIN('Activities'!L74,276)-MAX('Activities'!K74,270))</x:f>
        <x:v>0</x:v>
      </x:c>
      <x:c r="AY74" s="22" t="n">
        <x:f>MAX(0,MIN('Activities'!L74,282)-MAX('Activities'!K74,276))</x:f>
        <x:v>0</x:v>
      </x:c>
      <x:c r="AZ74" s="22" t="n">
        <x:f>MAX(0,MIN('Activities'!L74,288)-MAX('Activities'!K74,282))</x:f>
        <x:v>0</x:v>
      </x:c>
      <x:c r="BA74" s="22" t="n">
        <x:f>MAX(0,MIN('Activities'!L74,294)-MAX('Activities'!K74,288))</x:f>
        <x:v>0</x:v>
      </x:c>
      <x:c r="BB74" s="22" t="n">
        <x:f>MAX(0,MIN('Activities'!L74,300)-MAX('Activities'!K74,294))</x:f>
        <x:v>0</x:v>
      </x:c>
      <x:c r="BC74" s="22" t="n">
        <x:f>MAX(0,MIN('Activities'!L74,306)-MAX('Activities'!K74,300))</x:f>
        <x:v>0</x:v>
      </x:c>
      <x:c r="BD74" s="22" t="n">
        <x:f>MAX(0,MIN('Activities'!L74,312)-MAX('Activities'!K74,306))</x:f>
        <x:v>0</x:v>
      </x:c>
      <x:c r="BE74" s="22" t="n">
        <x:f>MAX(0,MIN('Activities'!L74,318)-MAX('Activities'!K74,312))</x:f>
        <x:v>0</x:v>
      </x:c>
      <x:c r="BF74" s="22" t="n">
        <x:f>MAX(0,MIN('Activities'!L74,324)-MAX('Activities'!K74,318))</x:f>
        <x:v>0</x:v>
      </x:c>
      <x:c r="BG74" s="22" t="n">
        <x:f>MAX(0,MIN('Activities'!L74,330)-MAX('Activities'!K74,324))</x:f>
        <x:v>0</x:v>
      </x:c>
      <x:c r="BH74" s="22" t="n">
        <x:f>MAX(0,MIN('Activities'!L74,336)-MAX('Activities'!K74,330))</x:f>
        <x:v>0</x:v>
      </x:c>
      <x:c r="BI74" s="22" t="n">
        <x:f>MAX(0,MIN('Activities'!L74,342)-MAX('Activities'!K74,336))</x:f>
        <x:v>0</x:v>
      </x:c>
      <x:c r="BJ74" s="22" t="n">
        <x:f>MAX(0,MIN('Activities'!L74,348)-MAX('Activities'!K74,342))</x:f>
        <x:v>0</x:v>
      </x:c>
      <x:c r="BK74" s="22" t="n">
        <x:f>MAX(0,MIN('Activities'!L74,354)-MAX('Activities'!K74,348))</x:f>
        <x:v>0</x:v>
      </x:c>
      <x:c r="BL74" s="22" t="n">
        <x:f>MAX(0,MIN('Activities'!L74,360)-MAX('Activities'!K74,354))</x:f>
        <x:v>0</x:v>
      </x:c>
      <x:c r="BM74" s="22" t="n">
        <x:f>MAX(0,MIN('Activities'!L74,366)-MAX('Activities'!K74,360))</x:f>
        <x:v>0</x:v>
      </x:c>
      <x:c r="BN74" s="22" t="n">
        <x:f>MAX(0,MIN('Activities'!L74,372)-MAX('Activities'!K74,366))</x:f>
        <x:v>0</x:v>
      </x:c>
      <x:c r="BO74" s="22" t="n">
        <x:f>MAX(0,MIN('Activities'!L74,378)-MAX('Activities'!K74,372))</x:f>
        <x:v>0</x:v>
      </x:c>
      <x:c r="BP74" s="22" t="n">
        <x:f>MAX(0,MIN('Activities'!L74,384)-MAX('Activities'!K74,378))</x:f>
        <x:v>0</x:v>
      </x:c>
      <x:c r="BQ74" s="22" t="n">
        <x:f>MAX(0,MIN('Activities'!L74,390)-MAX('Activities'!K74,384))</x:f>
        <x:v>0</x:v>
      </x:c>
      <x:c r="BR74" s="22" t="n">
        <x:f>MAX(0,MIN('Activities'!L74,396)-MAX('Activities'!K74,390))</x:f>
        <x:v>0</x:v>
      </x:c>
      <x:c r="BS74" s="22" t="n">
        <x:f>MAX(0,MIN('Activities'!L74,402)-MAX('Activities'!K74,396))</x:f>
        <x:v>1</x:v>
      </x:c>
      <x:c r="BT74" s="22" t="n">
        <x:f>MAX(0,MIN('Activities'!L74,408)-MAX('Activities'!K74,402))</x:f>
        <x:v>5</x:v>
      </x:c>
      <x:c r="BU74" s="22" t="n">
        <x:f>MAX(0,MIN('Activities'!L74,414)-MAX('Activities'!K74,408))</x:f>
        <x:v>0</x:v>
      </x:c>
      <x:c r="BV74" s="22" t="n">
        <x:f>MAX(0,MIN('Activities'!L74,420)-MAX('Activities'!K74,414))</x:f>
        <x:v>0</x:v>
      </x:c>
      <x:c r="BW74" s="22" t="n">
        <x:f>MAX(0,MIN('Activities'!L74,426)-MAX('Activities'!K74,420))</x:f>
        <x:v>0</x:v>
      </x:c>
      <x:c r="BX74" s="22" t="n">
        <x:f>MAX(0,MIN('Activities'!L74,432)-MAX('Activities'!K74,426))</x:f>
        <x:v>0</x:v>
      </x:c>
      <x:c r="BY74" s="22" t="n">
        <x:f>MAX(0,MIN('Activities'!L74,438)-MAX('Activities'!K74,432))</x:f>
        <x:v>0</x:v>
      </x:c>
      <x:c r="BZ74" s="22" t="n">
        <x:f>MAX(0,MIN('Activities'!L74,444)-MAX('Activities'!K74,438))</x:f>
        <x:v>0</x:v>
      </x:c>
      <x:c r="CA74" s="22" t="n">
        <x:f>MAX(0,MIN('Activities'!L74,450)-MAX('Activities'!K74,444))</x:f>
        <x:v>0</x:v>
      </x:c>
      <x:c r="CB74" s="22" t="n">
        <x:f>MAX(0,MIN('Activities'!L74,456)-MAX('Activities'!K74,450))</x:f>
        <x:v>0</x:v>
      </x:c>
      <x:c r="CC74" s="22" t="n">
        <x:f>MAX(0,MIN('Activities'!L74,462)-MAX('Activities'!K74,456))</x:f>
        <x:v>0</x:v>
      </x:c>
      <x:c r="CD74" s="22" t="n">
        <x:f>MAX(0,MIN('Activities'!L74,468)-MAX('Activities'!K74,462))</x:f>
        <x:v>0</x:v>
      </x:c>
      <x:c r="CE74" s="22" t="n">
        <x:f>MAX(0,MIN('Activities'!L74,474)-MAX('Activities'!K74,468))</x:f>
        <x:v>0</x:v>
      </x:c>
      <x:c r="CF74" s="22" t="n">
        <x:f>MAX(0,MIN('Activities'!L74,480)-MAX('Activities'!K74,474))</x:f>
        <x:v>0</x:v>
      </x:c>
      <x:c r="CG74" s="22" t="n">
        <x:f>MAX(0,MIN('Activities'!L74,486)-MAX('Activities'!K74,480))</x:f>
        <x:v>0</x:v>
      </x:c>
      <x:c r="CH74" s="22" t="n">
        <x:f>MAX(0,MIN('Activities'!L74,492)-MAX('Activities'!K74,486))</x:f>
        <x:v>0</x:v>
      </x:c>
      <x:c r="CI74" s="22" t="n">
        <x:f>MAX(0,MIN('Activities'!L74,498)-MAX('Activities'!K74,492))</x:f>
        <x:v>0</x:v>
      </x:c>
      <x:c r="CJ74" s="22" t="n">
        <x:f>MAX(0,MIN('Activities'!L74,504)-MAX('Activities'!K74,498))</x:f>
        <x:v>0</x:v>
      </x:c>
      <x:c r="CK74" s="22" t="n">
        <x:f>MAX(0,MIN('Activities'!L74,510)-MAX('Activities'!K74,504))</x:f>
        <x:v>0</x:v>
      </x:c>
      <x:c r="CL74" s="22" t="n">
        <x:f>MAX(0,MIN('Activities'!L74,516)-MAX('Activities'!K74,510))</x:f>
        <x:v>0</x:v>
      </x:c>
      <x:c r="CM74" s="22" t="n">
        <x:f>MAX(0,MIN('Activities'!L74,522)-MAX('Activities'!K74,516))</x:f>
        <x:v>0</x:v>
      </x:c>
      <x:c r="CN74" s="22" t="n">
        <x:f>MAX(0,MIN('Activities'!L74,528)-MAX('Activities'!K74,522))</x:f>
        <x:v>0</x:v>
      </x:c>
      <x:c r="CO74" s="22" t="n">
        <x:f>MAX(0,MIN('Activities'!L74,534)-MAX('Activities'!K74,528))</x:f>
        <x:v>0</x:v>
      </x:c>
      <x:c r="CP74" s="22" t="n">
        <x:f>MAX(0,MIN('Activities'!L74,540)-MAX('Activities'!K74,534))</x:f>
        <x:v>0</x:v>
      </x:c>
      <x:c r="CQ74" s="22" t="n">
        <x:f>MAX(0,MIN('Activities'!L74,546)-MAX('Activities'!K74,540))</x:f>
        <x:v>0</x:v>
      </x:c>
      <x:c r="CR74" s="22" t="n">
        <x:f>MAX(0,MIN('Activities'!L74,552)-MAX('Activities'!K74,546))</x:f>
        <x:v>0</x:v>
      </x:c>
      <x:c r="CS74" s="22" t="n">
        <x:f>MAX(0,MIN('Activities'!L74,558)-MAX('Activities'!K74,552))</x:f>
        <x:v>0</x:v>
      </x:c>
      <x:c r="CT74" s="22" t="n">
        <x:f>MAX(0,MIN('Activities'!L74,564)-MAX('Activities'!K74,558))</x:f>
        <x:v>0</x:v>
      </x:c>
      <x:c r="CU74" s="22" t="n">
        <x:f>MAX(0,MIN('Activities'!L74,570)-MAX('Activities'!K74,564))</x:f>
        <x:v>0</x:v>
      </x:c>
      <x:c r="CV74" s="22" t="n">
        <x:f>MAX(0,MIN('Activities'!L74,576)-MAX('Activities'!K74,570))</x:f>
        <x:v>0</x:v>
      </x:c>
      <x:c r="CW74" s="22" t="n">
        <x:f>MAX(0,MIN('Activities'!L74,582)-MAX('Activities'!K74,576))</x:f>
        <x:v>0</x:v>
      </x:c>
      <x:c r="CX74" s="22" t="n">
        <x:f>MAX(0,MIN('Activities'!L74,588)-MAX('Activities'!K74,582))</x:f>
        <x:v>0</x:v>
      </x:c>
      <x:c r="CY74" s="22" t="n">
        <x:f>MAX(0,MIN('Activities'!L74,594)-MAX('Activities'!K74,588))</x:f>
        <x:v>0</x:v>
      </x:c>
      <x:c r="CZ74" s="22" t="n">
        <x:f>MAX(0,MIN('Activities'!L74,600)-MAX('Activities'!K74,594))</x:f>
        <x:v>0</x:v>
      </x:c>
      <x:c r="DA74" s="22" t="n">
        <x:f>MAX(0,MIN('Activities'!L74,606)-MAX('Activities'!K74,600))</x:f>
        <x:v>0</x:v>
      </x:c>
      <x:c r="DB74" s="22" t="n">
        <x:f>MAX(0,MIN('Activities'!L74,612)-MAX('Activities'!K74,606))</x:f>
        <x:v>0</x:v>
      </x:c>
      <x:c r="DC74" s="22" t="n">
        <x:f>MAX(0,MIN('Activities'!L74,618)-MAX('Activities'!K74,612))</x:f>
        <x:v>0</x:v>
      </x:c>
      <x:c r="DD74" s="22" t="n">
        <x:f>MAX(0,MIN('Activities'!L74,624)-MAX('Activities'!K74,618))</x:f>
        <x:v>0</x:v>
      </x:c>
      <x:c r="DE74" s="22" t="n">
        <x:f>MAX(0,MIN('Activities'!L74,630)-MAX('Activities'!K74,624))</x:f>
        <x:v>0</x:v>
      </x:c>
      <x:c r="DF74" s="22" t="n">
        <x:f>MAX(0,MIN('Activities'!L74,636)-MAX('Activities'!K74,630))</x:f>
        <x:v>0</x:v>
      </x:c>
    </x:row>
    <x:row r="75" ht="23" customHeight="1">
      <x:c r="A75" s="1" t="str">
        <x:v>T1-L00-A</x:v>
      </x:c>
      <x:c r="B75" s="1" t="str">
        <x:v>T1</x:v>
      </x:c>
      <x:c r="C75" s="1" t="str">
        <x:v>Paint and final decorations</x:v>
      </x:c>
      <x:c r="D75" s="1" t="str">
        <x:v>Finishes</x:v>
      </x:c>
      <x:c r="E75" s="23" t="n">
        <x:f>MAX(0,MIN('Activities'!L75,6)-MAX('Activities'!K75,0))</x:f>
        <x:v>0</x:v>
      </x:c>
      <x:c r="F75" s="23" t="n">
        <x:f>MAX(0,MIN('Activities'!L75,12)-MAX('Activities'!K75,6))</x:f>
        <x:v>0</x:v>
      </x:c>
      <x:c r="G75" s="23" t="n">
        <x:f>MAX(0,MIN('Activities'!L75,18)-MAX('Activities'!K75,12))</x:f>
        <x:v>0</x:v>
      </x:c>
      <x:c r="H75" s="23" t="n">
        <x:f>MAX(0,MIN('Activities'!L75,24)-MAX('Activities'!K75,18))</x:f>
        <x:v>0</x:v>
      </x:c>
      <x:c r="I75" s="23" t="n">
        <x:f>MAX(0,MIN('Activities'!L75,30)-MAX('Activities'!K75,24))</x:f>
        <x:v>0</x:v>
      </x:c>
      <x:c r="J75" s="23" t="n">
        <x:f>MAX(0,MIN('Activities'!L75,36)-MAX('Activities'!K75,30))</x:f>
        <x:v>0</x:v>
      </x:c>
      <x:c r="K75" s="23" t="n">
        <x:f>MAX(0,MIN('Activities'!L75,42)-MAX('Activities'!K75,36))</x:f>
        <x:v>0</x:v>
      </x:c>
      <x:c r="L75" s="23" t="n">
        <x:f>MAX(0,MIN('Activities'!L75,48)-MAX('Activities'!K75,42))</x:f>
        <x:v>0</x:v>
      </x:c>
      <x:c r="M75" s="23" t="n">
        <x:f>MAX(0,MIN('Activities'!L75,54)-MAX('Activities'!K75,48))</x:f>
        <x:v>0</x:v>
      </x:c>
      <x:c r="N75" s="23" t="n">
        <x:f>MAX(0,MIN('Activities'!L75,60)-MAX('Activities'!K75,54))</x:f>
        <x:v>0</x:v>
      </x:c>
      <x:c r="O75" s="23" t="n">
        <x:f>MAX(0,MIN('Activities'!L75,66)-MAX('Activities'!K75,60))</x:f>
        <x:v>0</x:v>
      </x:c>
      <x:c r="P75" s="23" t="n">
        <x:f>MAX(0,MIN('Activities'!L75,72)-MAX('Activities'!K75,66))</x:f>
        <x:v>0</x:v>
      </x:c>
      <x:c r="Q75" s="23" t="n">
        <x:f>MAX(0,MIN('Activities'!L75,78)-MAX('Activities'!K75,72))</x:f>
        <x:v>0</x:v>
      </x:c>
      <x:c r="R75" s="23" t="n">
        <x:f>MAX(0,MIN('Activities'!L75,84)-MAX('Activities'!K75,78))</x:f>
        <x:v>0</x:v>
      </x:c>
      <x:c r="S75" s="23" t="n">
        <x:f>MAX(0,MIN('Activities'!L75,90)-MAX('Activities'!K75,84))</x:f>
        <x:v>0</x:v>
      </x:c>
      <x:c r="T75" s="23" t="n">
        <x:f>MAX(0,MIN('Activities'!L75,96)-MAX('Activities'!K75,90))</x:f>
        <x:v>0</x:v>
      </x:c>
      <x:c r="U75" s="23" t="n">
        <x:f>MAX(0,MIN('Activities'!L75,102)-MAX('Activities'!K75,96))</x:f>
        <x:v>0</x:v>
      </x:c>
      <x:c r="V75" s="23" t="n">
        <x:f>MAX(0,MIN('Activities'!L75,108)-MAX('Activities'!K75,102))</x:f>
        <x:v>0</x:v>
      </x:c>
      <x:c r="W75" s="23" t="n">
        <x:f>MAX(0,MIN('Activities'!L75,114)-MAX('Activities'!K75,108))</x:f>
        <x:v>0</x:v>
      </x:c>
      <x:c r="X75" s="23" t="n">
        <x:f>MAX(0,MIN('Activities'!L75,120)-MAX('Activities'!K75,114))</x:f>
        <x:v>0</x:v>
      </x:c>
      <x:c r="Y75" s="23" t="n">
        <x:f>MAX(0,MIN('Activities'!L75,126)-MAX('Activities'!K75,120))</x:f>
        <x:v>0</x:v>
      </x:c>
      <x:c r="Z75" s="23" t="n">
        <x:f>MAX(0,MIN('Activities'!L75,132)-MAX('Activities'!K75,126))</x:f>
        <x:v>0</x:v>
      </x:c>
      <x:c r="AA75" s="23" t="n">
        <x:f>MAX(0,MIN('Activities'!L75,138)-MAX('Activities'!K75,132))</x:f>
        <x:v>0</x:v>
      </x:c>
      <x:c r="AB75" s="23" t="n">
        <x:f>MAX(0,MIN('Activities'!L75,144)-MAX('Activities'!K75,138))</x:f>
        <x:v>0</x:v>
      </x:c>
      <x:c r="AC75" s="23" t="n">
        <x:f>MAX(0,MIN('Activities'!L75,150)-MAX('Activities'!K75,144))</x:f>
        <x:v>0</x:v>
      </x:c>
      <x:c r="AD75" s="23" t="n">
        <x:f>MAX(0,MIN('Activities'!L75,156)-MAX('Activities'!K75,150))</x:f>
        <x:v>0</x:v>
      </x:c>
      <x:c r="AE75" s="23" t="n">
        <x:f>MAX(0,MIN('Activities'!L75,162)-MAX('Activities'!K75,156))</x:f>
        <x:v>0</x:v>
      </x:c>
      <x:c r="AF75" s="23" t="n">
        <x:f>MAX(0,MIN('Activities'!L75,168)-MAX('Activities'!K75,162))</x:f>
        <x:v>0</x:v>
      </x:c>
      <x:c r="AG75" s="23" t="n">
        <x:f>MAX(0,MIN('Activities'!L75,174)-MAX('Activities'!K75,168))</x:f>
        <x:v>0</x:v>
      </x:c>
      <x:c r="AH75" s="23" t="n">
        <x:f>MAX(0,MIN('Activities'!L75,180)-MAX('Activities'!K75,174))</x:f>
        <x:v>0</x:v>
      </x:c>
      <x:c r="AI75" s="23" t="n">
        <x:f>MAX(0,MIN('Activities'!L75,186)-MAX('Activities'!K75,180))</x:f>
        <x:v>0</x:v>
      </x:c>
      <x:c r="AJ75" s="23" t="n">
        <x:f>MAX(0,MIN('Activities'!L75,192)-MAX('Activities'!K75,186))</x:f>
        <x:v>0</x:v>
      </x:c>
      <x:c r="AK75" s="23" t="n">
        <x:f>MAX(0,MIN('Activities'!L75,198)-MAX('Activities'!K75,192))</x:f>
        <x:v>0</x:v>
      </x:c>
      <x:c r="AL75" s="23" t="n">
        <x:f>MAX(0,MIN('Activities'!L75,204)-MAX('Activities'!K75,198))</x:f>
        <x:v>0</x:v>
      </x:c>
      <x:c r="AM75" s="23" t="n">
        <x:f>MAX(0,MIN('Activities'!L75,210)-MAX('Activities'!K75,204))</x:f>
        <x:v>0</x:v>
      </x:c>
      <x:c r="AN75" s="23" t="n">
        <x:f>MAX(0,MIN('Activities'!L75,216)-MAX('Activities'!K75,210))</x:f>
        <x:v>0</x:v>
      </x:c>
      <x:c r="AO75" s="23" t="n">
        <x:f>MAX(0,MIN('Activities'!L75,222)-MAX('Activities'!K75,216))</x:f>
        <x:v>0</x:v>
      </x:c>
      <x:c r="AP75" s="23" t="n">
        <x:f>MAX(0,MIN('Activities'!L75,228)-MAX('Activities'!K75,222))</x:f>
        <x:v>0</x:v>
      </x:c>
      <x:c r="AQ75" s="23" t="n">
        <x:f>MAX(0,MIN('Activities'!L75,234)-MAX('Activities'!K75,228))</x:f>
        <x:v>0</x:v>
      </x:c>
      <x:c r="AR75" s="23" t="n">
        <x:f>MAX(0,MIN('Activities'!L75,240)-MAX('Activities'!K75,234))</x:f>
        <x:v>0</x:v>
      </x:c>
      <x:c r="AS75" s="23" t="n">
        <x:f>MAX(0,MIN('Activities'!L75,246)-MAX('Activities'!K75,240))</x:f>
        <x:v>0</x:v>
      </x:c>
      <x:c r="AT75" s="23" t="n">
        <x:f>MAX(0,MIN('Activities'!L75,252)-MAX('Activities'!K75,246))</x:f>
        <x:v>0</x:v>
      </x:c>
      <x:c r="AU75" s="23" t="n">
        <x:f>MAX(0,MIN('Activities'!L75,258)-MAX('Activities'!K75,252))</x:f>
        <x:v>0</x:v>
      </x:c>
      <x:c r="AV75" s="23" t="n">
        <x:f>MAX(0,MIN('Activities'!L75,264)-MAX('Activities'!K75,258))</x:f>
        <x:v>0</x:v>
      </x:c>
      <x:c r="AW75" s="23" t="n">
        <x:f>MAX(0,MIN('Activities'!L75,270)-MAX('Activities'!K75,264))</x:f>
        <x:v>0</x:v>
      </x:c>
      <x:c r="AX75" s="23" t="n">
        <x:f>MAX(0,MIN('Activities'!L75,276)-MAX('Activities'!K75,270))</x:f>
        <x:v>0</x:v>
      </x:c>
      <x:c r="AY75" s="23" t="n">
        <x:f>MAX(0,MIN('Activities'!L75,282)-MAX('Activities'!K75,276))</x:f>
        <x:v>0</x:v>
      </x:c>
      <x:c r="AZ75" s="23" t="n">
        <x:f>MAX(0,MIN('Activities'!L75,288)-MAX('Activities'!K75,282))</x:f>
        <x:v>0</x:v>
      </x:c>
      <x:c r="BA75" s="23" t="n">
        <x:f>MAX(0,MIN('Activities'!L75,294)-MAX('Activities'!K75,288))</x:f>
        <x:v>0</x:v>
      </x:c>
      <x:c r="BB75" s="23" t="n">
        <x:f>MAX(0,MIN('Activities'!L75,300)-MAX('Activities'!K75,294))</x:f>
        <x:v>0</x:v>
      </x:c>
      <x:c r="BC75" s="23" t="n">
        <x:f>MAX(0,MIN('Activities'!L75,306)-MAX('Activities'!K75,300))</x:f>
        <x:v>0</x:v>
      </x:c>
      <x:c r="BD75" s="23" t="n">
        <x:f>MAX(0,MIN('Activities'!L75,312)-MAX('Activities'!K75,306))</x:f>
        <x:v>0</x:v>
      </x:c>
      <x:c r="BE75" s="23" t="n">
        <x:f>MAX(0,MIN('Activities'!L75,318)-MAX('Activities'!K75,312))</x:f>
        <x:v>0</x:v>
      </x:c>
      <x:c r="BF75" s="23" t="n">
        <x:f>MAX(0,MIN('Activities'!L75,324)-MAX('Activities'!K75,318))</x:f>
        <x:v>0</x:v>
      </x:c>
      <x:c r="BG75" s="23" t="n">
        <x:f>MAX(0,MIN('Activities'!L75,330)-MAX('Activities'!K75,324))</x:f>
        <x:v>0</x:v>
      </x:c>
      <x:c r="BH75" s="23" t="n">
        <x:f>MAX(0,MIN('Activities'!L75,336)-MAX('Activities'!K75,330))</x:f>
        <x:v>0</x:v>
      </x:c>
      <x:c r="BI75" s="23" t="n">
        <x:f>MAX(0,MIN('Activities'!L75,342)-MAX('Activities'!K75,336))</x:f>
        <x:v>0</x:v>
      </x:c>
      <x:c r="BJ75" s="23" t="n">
        <x:f>MAX(0,MIN('Activities'!L75,348)-MAX('Activities'!K75,342))</x:f>
        <x:v>0</x:v>
      </x:c>
      <x:c r="BK75" s="23" t="n">
        <x:f>MAX(0,MIN('Activities'!L75,354)-MAX('Activities'!K75,348))</x:f>
        <x:v>0</x:v>
      </x:c>
      <x:c r="BL75" s="23" t="n">
        <x:f>MAX(0,MIN('Activities'!L75,360)-MAX('Activities'!K75,354))</x:f>
        <x:v>0</x:v>
      </x:c>
      <x:c r="BM75" s="23" t="n">
        <x:f>MAX(0,MIN('Activities'!L75,366)-MAX('Activities'!K75,360))</x:f>
        <x:v>0</x:v>
      </x:c>
      <x:c r="BN75" s="23" t="n">
        <x:f>MAX(0,MIN('Activities'!L75,372)-MAX('Activities'!K75,366))</x:f>
        <x:v>0</x:v>
      </x:c>
      <x:c r="BO75" s="23" t="n">
        <x:f>MAX(0,MIN('Activities'!L75,378)-MAX('Activities'!K75,372))</x:f>
        <x:v>0</x:v>
      </x:c>
      <x:c r="BP75" s="23" t="n">
        <x:f>MAX(0,MIN('Activities'!L75,384)-MAX('Activities'!K75,378))</x:f>
        <x:v>0</x:v>
      </x:c>
      <x:c r="BQ75" s="23" t="n">
        <x:f>MAX(0,MIN('Activities'!L75,390)-MAX('Activities'!K75,384))</x:f>
        <x:v>0</x:v>
      </x:c>
      <x:c r="BR75" s="23" t="n">
        <x:f>MAX(0,MIN('Activities'!L75,396)-MAX('Activities'!K75,390))</x:f>
        <x:v>0</x:v>
      </x:c>
      <x:c r="BS75" s="23" t="n">
        <x:f>MAX(0,MIN('Activities'!L75,402)-MAX('Activities'!K75,396))</x:f>
        <x:v>0</x:v>
      </x:c>
      <x:c r="BT75" s="23" t="n">
        <x:f>MAX(0,MIN('Activities'!L75,408)-MAX('Activities'!K75,402))</x:f>
        <x:v>0</x:v>
      </x:c>
      <x:c r="BU75" s="23" t="n">
        <x:f>MAX(0,MIN('Activities'!L75,414)-MAX('Activities'!K75,408))</x:f>
        <x:v>5</x:v>
      </x:c>
      <x:c r="BV75" s="23" t="n">
        <x:f>MAX(0,MIN('Activities'!L75,420)-MAX('Activities'!K75,414))</x:f>
        <x:v>0</x:v>
      </x:c>
      <x:c r="BW75" s="23" t="n">
        <x:f>MAX(0,MIN('Activities'!L75,426)-MAX('Activities'!K75,420))</x:f>
        <x:v>0</x:v>
      </x:c>
      <x:c r="BX75" s="23" t="n">
        <x:f>MAX(0,MIN('Activities'!L75,432)-MAX('Activities'!K75,426))</x:f>
        <x:v>0</x:v>
      </x:c>
      <x:c r="BY75" s="23" t="n">
        <x:f>MAX(0,MIN('Activities'!L75,438)-MAX('Activities'!K75,432))</x:f>
        <x:v>0</x:v>
      </x:c>
      <x:c r="BZ75" s="23" t="n">
        <x:f>MAX(0,MIN('Activities'!L75,444)-MAX('Activities'!K75,438))</x:f>
        <x:v>0</x:v>
      </x:c>
      <x:c r="CA75" s="23" t="n">
        <x:f>MAX(0,MIN('Activities'!L75,450)-MAX('Activities'!K75,444))</x:f>
        <x:v>0</x:v>
      </x:c>
      <x:c r="CB75" s="23" t="n">
        <x:f>MAX(0,MIN('Activities'!L75,456)-MAX('Activities'!K75,450))</x:f>
        <x:v>0</x:v>
      </x:c>
      <x:c r="CC75" s="23" t="n">
        <x:f>MAX(0,MIN('Activities'!L75,462)-MAX('Activities'!K75,456))</x:f>
        <x:v>0</x:v>
      </x:c>
      <x:c r="CD75" s="23" t="n">
        <x:f>MAX(0,MIN('Activities'!L75,468)-MAX('Activities'!K75,462))</x:f>
        <x:v>0</x:v>
      </x:c>
      <x:c r="CE75" s="23" t="n">
        <x:f>MAX(0,MIN('Activities'!L75,474)-MAX('Activities'!K75,468))</x:f>
        <x:v>0</x:v>
      </x:c>
      <x:c r="CF75" s="23" t="n">
        <x:f>MAX(0,MIN('Activities'!L75,480)-MAX('Activities'!K75,474))</x:f>
        <x:v>0</x:v>
      </x:c>
      <x:c r="CG75" s="23" t="n">
        <x:f>MAX(0,MIN('Activities'!L75,486)-MAX('Activities'!K75,480))</x:f>
        <x:v>0</x:v>
      </x:c>
      <x:c r="CH75" s="23" t="n">
        <x:f>MAX(0,MIN('Activities'!L75,492)-MAX('Activities'!K75,486))</x:f>
        <x:v>0</x:v>
      </x:c>
      <x:c r="CI75" s="23" t="n">
        <x:f>MAX(0,MIN('Activities'!L75,498)-MAX('Activities'!K75,492))</x:f>
        <x:v>0</x:v>
      </x:c>
      <x:c r="CJ75" s="23" t="n">
        <x:f>MAX(0,MIN('Activities'!L75,504)-MAX('Activities'!K75,498))</x:f>
        <x:v>0</x:v>
      </x:c>
      <x:c r="CK75" s="23" t="n">
        <x:f>MAX(0,MIN('Activities'!L75,510)-MAX('Activities'!K75,504))</x:f>
        <x:v>0</x:v>
      </x:c>
      <x:c r="CL75" s="23" t="n">
        <x:f>MAX(0,MIN('Activities'!L75,516)-MAX('Activities'!K75,510))</x:f>
        <x:v>0</x:v>
      </x:c>
      <x:c r="CM75" s="23" t="n">
        <x:f>MAX(0,MIN('Activities'!L75,522)-MAX('Activities'!K75,516))</x:f>
        <x:v>0</x:v>
      </x:c>
      <x:c r="CN75" s="23" t="n">
        <x:f>MAX(0,MIN('Activities'!L75,528)-MAX('Activities'!K75,522))</x:f>
        <x:v>0</x:v>
      </x:c>
      <x:c r="CO75" s="23" t="n">
        <x:f>MAX(0,MIN('Activities'!L75,534)-MAX('Activities'!K75,528))</x:f>
        <x:v>0</x:v>
      </x:c>
      <x:c r="CP75" s="23" t="n">
        <x:f>MAX(0,MIN('Activities'!L75,540)-MAX('Activities'!K75,534))</x:f>
        <x:v>0</x:v>
      </x:c>
      <x:c r="CQ75" s="23" t="n">
        <x:f>MAX(0,MIN('Activities'!L75,546)-MAX('Activities'!K75,540))</x:f>
        <x:v>0</x:v>
      </x:c>
      <x:c r="CR75" s="23" t="n">
        <x:f>MAX(0,MIN('Activities'!L75,552)-MAX('Activities'!K75,546))</x:f>
        <x:v>0</x:v>
      </x:c>
      <x:c r="CS75" s="23" t="n">
        <x:f>MAX(0,MIN('Activities'!L75,558)-MAX('Activities'!K75,552))</x:f>
        <x:v>0</x:v>
      </x:c>
      <x:c r="CT75" s="23" t="n">
        <x:f>MAX(0,MIN('Activities'!L75,564)-MAX('Activities'!K75,558))</x:f>
        <x:v>0</x:v>
      </x:c>
      <x:c r="CU75" s="23" t="n">
        <x:f>MAX(0,MIN('Activities'!L75,570)-MAX('Activities'!K75,564))</x:f>
        <x:v>0</x:v>
      </x:c>
      <x:c r="CV75" s="23" t="n">
        <x:f>MAX(0,MIN('Activities'!L75,576)-MAX('Activities'!K75,570))</x:f>
        <x:v>0</x:v>
      </x:c>
      <x:c r="CW75" s="23" t="n">
        <x:f>MAX(0,MIN('Activities'!L75,582)-MAX('Activities'!K75,576))</x:f>
        <x:v>0</x:v>
      </x:c>
      <x:c r="CX75" s="23" t="n">
        <x:f>MAX(0,MIN('Activities'!L75,588)-MAX('Activities'!K75,582))</x:f>
        <x:v>0</x:v>
      </x:c>
      <x:c r="CY75" s="23" t="n">
        <x:f>MAX(0,MIN('Activities'!L75,594)-MAX('Activities'!K75,588))</x:f>
        <x:v>0</x:v>
      </x:c>
      <x:c r="CZ75" s="23" t="n">
        <x:f>MAX(0,MIN('Activities'!L75,600)-MAX('Activities'!K75,594))</x:f>
        <x:v>0</x:v>
      </x:c>
      <x:c r="DA75" s="23" t="n">
        <x:f>MAX(0,MIN('Activities'!L75,606)-MAX('Activities'!K75,600))</x:f>
        <x:v>0</x:v>
      </x:c>
      <x:c r="DB75" s="23" t="n">
        <x:f>MAX(0,MIN('Activities'!L75,612)-MAX('Activities'!K75,606))</x:f>
        <x:v>0</x:v>
      </x:c>
      <x:c r="DC75" s="23" t="n">
        <x:f>MAX(0,MIN('Activities'!L75,618)-MAX('Activities'!K75,612))</x:f>
        <x:v>0</x:v>
      </x:c>
      <x:c r="DD75" s="23" t="n">
        <x:f>MAX(0,MIN('Activities'!L75,624)-MAX('Activities'!K75,618))</x:f>
        <x:v>0</x:v>
      </x:c>
      <x:c r="DE75" s="23" t="n">
        <x:f>MAX(0,MIN('Activities'!L75,630)-MAX('Activities'!K75,624))</x:f>
        <x:v>0</x:v>
      </x:c>
      <x:c r="DF75" s="23" t="n">
        <x:f>MAX(0,MIN('Activities'!L75,636)-MAX('Activities'!K75,630))</x:f>
        <x:v>0</x:v>
      </x:c>
    </x:row>
    <x:row r="76" ht="23" customHeight="1">
      <x:c r="A76" s="6" t="str">
        <x:v>T1-L00-D</x:v>
      </x:c>
      <x:c r="B76" s="6" t="str">
        <x:v>T1</x:v>
      </x:c>
      <x:c r="C76" s="6" t="str">
        <x:v>Door sets and ironmongery</x:v>
      </x:c>
      <x:c r="D76" s="6" t="str">
        <x:v>Finishes</x:v>
      </x:c>
      <x:c r="E76" s="22" t="n">
        <x:f>MAX(0,MIN('Activities'!L76,6)-MAX('Activities'!K76,0))</x:f>
        <x:v>0</x:v>
      </x:c>
      <x:c r="F76" s="22" t="n">
        <x:f>MAX(0,MIN('Activities'!L76,12)-MAX('Activities'!K76,6))</x:f>
        <x:v>0</x:v>
      </x:c>
      <x:c r="G76" s="22" t="n">
        <x:f>MAX(0,MIN('Activities'!L76,18)-MAX('Activities'!K76,12))</x:f>
        <x:v>0</x:v>
      </x:c>
      <x:c r="H76" s="22" t="n">
        <x:f>MAX(0,MIN('Activities'!L76,24)-MAX('Activities'!K76,18))</x:f>
        <x:v>0</x:v>
      </x:c>
      <x:c r="I76" s="22" t="n">
        <x:f>MAX(0,MIN('Activities'!L76,30)-MAX('Activities'!K76,24))</x:f>
        <x:v>0</x:v>
      </x:c>
      <x:c r="J76" s="22" t="n">
        <x:f>MAX(0,MIN('Activities'!L76,36)-MAX('Activities'!K76,30))</x:f>
        <x:v>0</x:v>
      </x:c>
      <x:c r="K76" s="22" t="n">
        <x:f>MAX(0,MIN('Activities'!L76,42)-MAX('Activities'!K76,36))</x:f>
        <x:v>0</x:v>
      </x:c>
      <x:c r="L76" s="22" t="n">
        <x:f>MAX(0,MIN('Activities'!L76,48)-MAX('Activities'!K76,42))</x:f>
        <x:v>0</x:v>
      </x:c>
      <x:c r="M76" s="22" t="n">
        <x:f>MAX(0,MIN('Activities'!L76,54)-MAX('Activities'!K76,48))</x:f>
        <x:v>0</x:v>
      </x:c>
      <x:c r="N76" s="22" t="n">
        <x:f>MAX(0,MIN('Activities'!L76,60)-MAX('Activities'!K76,54))</x:f>
        <x:v>0</x:v>
      </x:c>
      <x:c r="O76" s="22" t="n">
        <x:f>MAX(0,MIN('Activities'!L76,66)-MAX('Activities'!K76,60))</x:f>
        <x:v>0</x:v>
      </x:c>
      <x:c r="P76" s="22" t="n">
        <x:f>MAX(0,MIN('Activities'!L76,72)-MAX('Activities'!K76,66))</x:f>
        <x:v>0</x:v>
      </x:c>
      <x:c r="Q76" s="22" t="n">
        <x:f>MAX(0,MIN('Activities'!L76,78)-MAX('Activities'!K76,72))</x:f>
        <x:v>0</x:v>
      </x:c>
      <x:c r="R76" s="22" t="n">
        <x:f>MAX(0,MIN('Activities'!L76,84)-MAX('Activities'!K76,78))</x:f>
        <x:v>0</x:v>
      </x:c>
      <x:c r="S76" s="22" t="n">
        <x:f>MAX(0,MIN('Activities'!L76,90)-MAX('Activities'!K76,84))</x:f>
        <x:v>0</x:v>
      </x:c>
      <x:c r="T76" s="22" t="n">
        <x:f>MAX(0,MIN('Activities'!L76,96)-MAX('Activities'!K76,90))</x:f>
        <x:v>0</x:v>
      </x:c>
      <x:c r="U76" s="22" t="n">
        <x:f>MAX(0,MIN('Activities'!L76,102)-MAX('Activities'!K76,96))</x:f>
        <x:v>0</x:v>
      </x:c>
      <x:c r="V76" s="22" t="n">
        <x:f>MAX(0,MIN('Activities'!L76,108)-MAX('Activities'!K76,102))</x:f>
        <x:v>0</x:v>
      </x:c>
      <x:c r="W76" s="22" t="n">
        <x:f>MAX(0,MIN('Activities'!L76,114)-MAX('Activities'!K76,108))</x:f>
        <x:v>0</x:v>
      </x:c>
      <x:c r="X76" s="22" t="n">
        <x:f>MAX(0,MIN('Activities'!L76,120)-MAX('Activities'!K76,114))</x:f>
        <x:v>0</x:v>
      </x:c>
      <x:c r="Y76" s="22" t="n">
        <x:f>MAX(0,MIN('Activities'!L76,126)-MAX('Activities'!K76,120))</x:f>
        <x:v>0</x:v>
      </x:c>
      <x:c r="Z76" s="22" t="n">
        <x:f>MAX(0,MIN('Activities'!L76,132)-MAX('Activities'!K76,126))</x:f>
        <x:v>0</x:v>
      </x:c>
      <x:c r="AA76" s="22" t="n">
        <x:f>MAX(0,MIN('Activities'!L76,138)-MAX('Activities'!K76,132))</x:f>
        <x:v>0</x:v>
      </x:c>
      <x:c r="AB76" s="22" t="n">
        <x:f>MAX(0,MIN('Activities'!L76,144)-MAX('Activities'!K76,138))</x:f>
        <x:v>0</x:v>
      </x:c>
      <x:c r="AC76" s="22" t="n">
        <x:f>MAX(0,MIN('Activities'!L76,150)-MAX('Activities'!K76,144))</x:f>
        <x:v>0</x:v>
      </x:c>
      <x:c r="AD76" s="22" t="n">
        <x:f>MAX(0,MIN('Activities'!L76,156)-MAX('Activities'!K76,150))</x:f>
        <x:v>0</x:v>
      </x:c>
      <x:c r="AE76" s="22" t="n">
        <x:f>MAX(0,MIN('Activities'!L76,162)-MAX('Activities'!K76,156))</x:f>
        <x:v>0</x:v>
      </x:c>
      <x:c r="AF76" s="22" t="n">
        <x:f>MAX(0,MIN('Activities'!L76,168)-MAX('Activities'!K76,162))</x:f>
        <x:v>0</x:v>
      </x:c>
      <x:c r="AG76" s="22" t="n">
        <x:f>MAX(0,MIN('Activities'!L76,174)-MAX('Activities'!K76,168))</x:f>
        <x:v>0</x:v>
      </x:c>
      <x:c r="AH76" s="22" t="n">
        <x:f>MAX(0,MIN('Activities'!L76,180)-MAX('Activities'!K76,174))</x:f>
        <x:v>0</x:v>
      </x:c>
      <x:c r="AI76" s="22" t="n">
        <x:f>MAX(0,MIN('Activities'!L76,186)-MAX('Activities'!K76,180))</x:f>
        <x:v>0</x:v>
      </x:c>
      <x:c r="AJ76" s="22" t="n">
        <x:f>MAX(0,MIN('Activities'!L76,192)-MAX('Activities'!K76,186))</x:f>
        <x:v>0</x:v>
      </x:c>
      <x:c r="AK76" s="22" t="n">
        <x:f>MAX(0,MIN('Activities'!L76,198)-MAX('Activities'!K76,192))</x:f>
        <x:v>0</x:v>
      </x:c>
      <x:c r="AL76" s="22" t="n">
        <x:f>MAX(0,MIN('Activities'!L76,204)-MAX('Activities'!K76,198))</x:f>
        <x:v>0</x:v>
      </x:c>
      <x:c r="AM76" s="22" t="n">
        <x:f>MAX(0,MIN('Activities'!L76,210)-MAX('Activities'!K76,204))</x:f>
        <x:v>0</x:v>
      </x:c>
      <x:c r="AN76" s="22" t="n">
        <x:f>MAX(0,MIN('Activities'!L76,216)-MAX('Activities'!K76,210))</x:f>
        <x:v>0</x:v>
      </x:c>
      <x:c r="AO76" s="22" t="n">
        <x:f>MAX(0,MIN('Activities'!L76,222)-MAX('Activities'!K76,216))</x:f>
        <x:v>0</x:v>
      </x:c>
      <x:c r="AP76" s="22" t="n">
        <x:f>MAX(0,MIN('Activities'!L76,228)-MAX('Activities'!K76,222))</x:f>
        <x:v>0</x:v>
      </x:c>
      <x:c r="AQ76" s="22" t="n">
        <x:f>MAX(0,MIN('Activities'!L76,234)-MAX('Activities'!K76,228))</x:f>
        <x:v>0</x:v>
      </x:c>
      <x:c r="AR76" s="22" t="n">
        <x:f>MAX(0,MIN('Activities'!L76,240)-MAX('Activities'!K76,234))</x:f>
        <x:v>0</x:v>
      </x:c>
      <x:c r="AS76" s="22" t="n">
        <x:f>MAX(0,MIN('Activities'!L76,246)-MAX('Activities'!K76,240))</x:f>
        <x:v>0</x:v>
      </x:c>
      <x:c r="AT76" s="22" t="n">
        <x:f>MAX(0,MIN('Activities'!L76,252)-MAX('Activities'!K76,246))</x:f>
        <x:v>0</x:v>
      </x:c>
      <x:c r="AU76" s="22" t="n">
        <x:f>MAX(0,MIN('Activities'!L76,258)-MAX('Activities'!K76,252))</x:f>
        <x:v>0</x:v>
      </x:c>
      <x:c r="AV76" s="22" t="n">
        <x:f>MAX(0,MIN('Activities'!L76,264)-MAX('Activities'!K76,258))</x:f>
        <x:v>0</x:v>
      </x:c>
      <x:c r="AW76" s="22" t="n">
        <x:f>MAX(0,MIN('Activities'!L76,270)-MAX('Activities'!K76,264))</x:f>
        <x:v>0</x:v>
      </x:c>
      <x:c r="AX76" s="22" t="n">
        <x:f>MAX(0,MIN('Activities'!L76,276)-MAX('Activities'!K76,270))</x:f>
        <x:v>0</x:v>
      </x:c>
      <x:c r="AY76" s="22" t="n">
        <x:f>MAX(0,MIN('Activities'!L76,282)-MAX('Activities'!K76,276))</x:f>
        <x:v>0</x:v>
      </x:c>
      <x:c r="AZ76" s="22" t="n">
        <x:f>MAX(0,MIN('Activities'!L76,288)-MAX('Activities'!K76,282))</x:f>
        <x:v>0</x:v>
      </x:c>
      <x:c r="BA76" s="22" t="n">
        <x:f>MAX(0,MIN('Activities'!L76,294)-MAX('Activities'!K76,288))</x:f>
        <x:v>0</x:v>
      </x:c>
      <x:c r="BB76" s="22" t="n">
        <x:f>MAX(0,MIN('Activities'!L76,300)-MAX('Activities'!K76,294))</x:f>
        <x:v>0</x:v>
      </x:c>
      <x:c r="BC76" s="22" t="n">
        <x:f>MAX(0,MIN('Activities'!L76,306)-MAX('Activities'!K76,300))</x:f>
        <x:v>0</x:v>
      </x:c>
      <x:c r="BD76" s="22" t="n">
        <x:f>MAX(0,MIN('Activities'!L76,312)-MAX('Activities'!K76,306))</x:f>
        <x:v>0</x:v>
      </x:c>
      <x:c r="BE76" s="22" t="n">
        <x:f>MAX(0,MIN('Activities'!L76,318)-MAX('Activities'!K76,312))</x:f>
        <x:v>0</x:v>
      </x:c>
      <x:c r="BF76" s="22" t="n">
        <x:f>MAX(0,MIN('Activities'!L76,324)-MAX('Activities'!K76,318))</x:f>
        <x:v>0</x:v>
      </x:c>
      <x:c r="BG76" s="22" t="n">
        <x:f>MAX(0,MIN('Activities'!L76,330)-MAX('Activities'!K76,324))</x:f>
        <x:v>0</x:v>
      </x:c>
      <x:c r="BH76" s="22" t="n">
        <x:f>MAX(0,MIN('Activities'!L76,336)-MAX('Activities'!K76,330))</x:f>
        <x:v>0</x:v>
      </x:c>
      <x:c r="BI76" s="22" t="n">
        <x:f>MAX(0,MIN('Activities'!L76,342)-MAX('Activities'!K76,336))</x:f>
        <x:v>0</x:v>
      </x:c>
      <x:c r="BJ76" s="22" t="n">
        <x:f>MAX(0,MIN('Activities'!L76,348)-MAX('Activities'!K76,342))</x:f>
        <x:v>0</x:v>
      </x:c>
      <x:c r="BK76" s="22" t="n">
        <x:f>MAX(0,MIN('Activities'!L76,354)-MAX('Activities'!K76,348))</x:f>
        <x:v>0</x:v>
      </x:c>
      <x:c r="BL76" s="22" t="n">
        <x:f>MAX(0,MIN('Activities'!L76,360)-MAX('Activities'!K76,354))</x:f>
        <x:v>0</x:v>
      </x:c>
      <x:c r="BM76" s="22" t="n">
        <x:f>MAX(0,MIN('Activities'!L76,366)-MAX('Activities'!K76,360))</x:f>
        <x:v>0</x:v>
      </x:c>
      <x:c r="BN76" s="22" t="n">
        <x:f>MAX(0,MIN('Activities'!L76,372)-MAX('Activities'!K76,366))</x:f>
        <x:v>0</x:v>
      </x:c>
      <x:c r="BO76" s="22" t="n">
        <x:f>MAX(0,MIN('Activities'!L76,378)-MAX('Activities'!K76,372))</x:f>
        <x:v>0</x:v>
      </x:c>
      <x:c r="BP76" s="22" t="n">
        <x:f>MAX(0,MIN('Activities'!L76,384)-MAX('Activities'!K76,378))</x:f>
        <x:v>0</x:v>
      </x:c>
      <x:c r="BQ76" s="22" t="n">
        <x:f>MAX(0,MIN('Activities'!L76,390)-MAX('Activities'!K76,384))</x:f>
        <x:v>0</x:v>
      </x:c>
      <x:c r="BR76" s="22" t="n">
        <x:f>MAX(0,MIN('Activities'!L76,396)-MAX('Activities'!K76,390))</x:f>
        <x:v>0</x:v>
      </x:c>
      <x:c r="BS76" s="22" t="n">
        <x:f>MAX(0,MIN('Activities'!L76,402)-MAX('Activities'!K76,396))</x:f>
        <x:v>0</x:v>
      </x:c>
      <x:c r="BT76" s="22" t="n">
        <x:f>MAX(0,MIN('Activities'!L76,408)-MAX('Activities'!K76,402))</x:f>
        <x:v>0</x:v>
      </x:c>
      <x:c r="BU76" s="22" t="n">
        <x:f>MAX(0,MIN('Activities'!L76,414)-MAX('Activities'!K76,408))</x:f>
        <x:v>0</x:v>
      </x:c>
      <x:c r="BV76" s="22" t="n">
        <x:f>MAX(0,MIN('Activities'!L76,420)-MAX('Activities'!K76,414))</x:f>
        <x:v>3</x:v>
      </x:c>
      <x:c r="BW76" s="22" t="n">
        <x:f>MAX(0,MIN('Activities'!L76,426)-MAX('Activities'!K76,420))</x:f>
        <x:v>0</x:v>
      </x:c>
      <x:c r="BX76" s="22" t="n">
        <x:f>MAX(0,MIN('Activities'!L76,432)-MAX('Activities'!K76,426))</x:f>
        <x:v>0</x:v>
      </x:c>
      <x:c r="BY76" s="22" t="n">
        <x:f>MAX(0,MIN('Activities'!L76,438)-MAX('Activities'!K76,432))</x:f>
        <x:v>0</x:v>
      </x:c>
      <x:c r="BZ76" s="22" t="n">
        <x:f>MAX(0,MIN('Activities'!L76,444)-MAX('Activities'!K76,438))</x:f>
        <x:v>0</x:v>
      </x:c>
      <x:c r="CA76" s="22" t="n">
        <x:f>MAX(0,MIN('Activities'!L76,450)-MAX('Activities'!K76,444))</x:f>
        <x:v>0</x:v>
      </x:c>
      <x:c r="CB76" s="22" t="n">
        <x:f>MAX(0,MIN('Activities'!L76,456)-MAX('Activities'!K76,450))</x:f>
        <x:v>0</x:v>
      </x:c>
      <x:c r="CC76" s="22" t="n">
        <x:f>MAX(0,MIN('Activities'!L76,462)-MAX('Activities'!K76,456))</x:f>
        <x:v>0</x:v>
      </x:c>
      <x:c r="CD76" s="22" t="n">
        <x:f>MAX(0,MIN('Activities'!L76,468)-MAX('Activities'!K76,462))</x:f>
        <x:v>0</x:v>
      </x:c>
      <x:c r="CE76" s="22" t="n">
        <x:f>MAX(0,MIN('Activities'!L76,474)-MAX('Activities'!K76,468))</x:f>
        <x:v>0</x:v>
      </x:c>
      <x:c r="CF76" s="22" t="n">
        <x:f>MAX(0,MIN('Activities'!L76,480)-MAX('Activities'!K76,474))</x:f>
        <x:v>0</x:v>
      </x:c>
      <x:c r="CG76" s="22" t="n">
        <x:f>MAX(0,MIN('Activities'!L76,486)-MAX('Activities'!K76,480))</x:f>
        <x:v>0</x:v>
      </x:c>
      <x:c r="CH76" s="22" t="n">
        <x:f>MAX(0,MIN('Activities'!L76,492)-MAX('Activities'!K76,486))</x:f>
        <x:v>0</x:v>
      </x:c>
      <x:c r="CI76" s="22" t="n">
        <x:f>MAX(0,MIN('Activities'!L76,498)-MAX('Activities'!K76,492))</x:f>
        <x:v>0</x:v>
      </x:c>
      <x:c r="CJ76" s="22" t="n">
        <x:f>MAX(0,MIN('Activities'!L76,504)-MAX('Activities'!K76,498))</x:f>
        <x:v>0</x:v>
      </x:c>
      <x:c r="CK76" s="22" t="n">
        <x:f>MAX(0,MIN('Activities'!L76,510)-MAX('Activities'!K76,504))</x:f>
        <x:v>0</x:v>
      </x:c>
      <x:c r="CL76" s="22" t="n">
        <x:f>MAX(0,MIN('Activities'!L76,516)-MAX('Activities'!K76,510))</x:f>
        <x:v>0</x:v>
      </x:c>
      <x:c r="CM76" s="22" t="n">
        <x:f>MAX(0,MIN('Activities'!L76,522)-MAX('Activities'!K76,516))</x:f>
        <x:v>0</x:v>
      </x:c>
      <x:c r="CN76" s="22" t="n">
        <x:f>MAX(0,MIN('Activities'!L76,528)-MAX('Activities'!K76,522))</x:f>
        <x:v>0</x:v>
      </x:c>
      <x:c r="CO76" s="22" t="n">
        <x:f>MAX(0,MIN('Activities'!L76,534)-MAX('Activities'!K76,528))</x:f>
        <x:v>0</x:v>
      </x:c>
      <x:c r="CP76" s="22" t="n">
        <x:f>MAX(0,MIN('Activities'!L76,540)-MAX('Activities'!K76,534))</x:f>
        <x:v>0</x:v>
      </x:c>
      <x:c r="CQ76" s="22" t="n">
        <x:f>MAX(0,MIN('Activities'!L76,546)-MAX('Activities'!K76,540))</x:f>
        <x:v>0</x:v>
      </x:c>
      <x:c r="CR76" s="22" t="n">
        <x:f>MAX(0,MIN('Activities'!L76,552)-MAX('Activities'!K76,546))</x:f>
        <x:v>0</x:v>
      </x:c>
      <x:c r="CS76" s="22" t="n">
        <x:f>MAX(0,MIN('Activities'!L76,558)-MAX('Activities'!K76,552))</x:f>
        <x:v>0</x:v>
      </x:c>
      <x:c r="CT76" s="22" t="n">
        <x:f>MAX(0,MIN('Activities'!L76,564)-MAX('Activities'!K76,558))</x:f>
        <x:v>0</x:v>
      </x:c>
      <x:c r="CU76" s="22" t="n">
        <x:f>MAX(0,MIN('Activities'!L76,570)-MAX('Activities'!K76,564))</x:f>
        <x:v>0</x:v>
      </x:c>
      <x:c r="CV76" s="22" t="n">
        <x:f>MAX(0,MIN('Activities'!L76,576)-MAX('Activities'!K76,570))</x:f>
        <x:v>0</x:v>
      </x:c>
      <x:c r="CW76" s="22" t="n">
        <x:f>MAX(0,MIN('Activities'!L76,582)-MAX('Activities'!K76,576))</x:f>
        <x:v>0</x:v>
      </x:c>
      <x:c r="CX76" s="22" t="n">
        <x:f>MAX(0,MIN('Activities'!L76,588)-MAX('Activities'!K76,582))</x:f>
        <x:v>0</x:v>
      </x:c>
      <x:c r="CY76" s="22" t="n">
        <x:f>MAX(0,MIN('Activities'!L76,594)-MAX('Activities'!K76,588))</x:f>
        <x:v>0</x:v>
      </x:c>
      <x:c r="CZ76" s="22" t="n">
        <x:f>MAX(0,MIN('Activities'!L76,600)-MAX('Activities'!K76,594))</x:f>
        <x:v>0</x:v>
      </x:c>
      <x:c r="DA76" s="22" t="n">
        <x:f>MAX(0,MIN('Activities'!L76,606)-MAX('Activities'!K76,600))</x:f>
        <x:v>0</x:v>
      </x:c>
      <x:c r="DB76" s="22" t="n">
        <x:f>MAX(0,MIN('Activities'!L76,612)-MAX('Activities'!K76,606))</x:f>
        <x:v>0</x:v>
      </x:c>
      <x:c r="DC76" s="22" t="n">
        <x:f>MAX(0,MIN('Activities'!L76,618)-MAX('Activities'!K76,612))</x:f>
        <x:v>0</x:v>
      </x:c>
      <x:c r="DD76" s="22" t="n">
        <x:f>MAX(0,MIN('Activities'!L76,624)-MAX('Activities'!K76,618))</x:f>
        <x:v>0</x:v>
      </x:c>
      <x:c r="DE76" s="22" t="n">
        <x:f>MAX(0,MIN('Activities'!L76,630)-MAX('Activities'!K76,624))</x:f>
        <x:v>0</x:v>
      </x:c>
      <x:c r="DF76" s="22" t="n">
        <x:f>MAX(0,MIN('Activities'!L76,636)-MAX('Activities'!K76,630))</x:f>
        <x:v>0</x:v>
      </x:c>
    </x:row>
    <x:row r="77" ht="23" customHeight="1">
      <x:c r="A77" s="1" t="str">
        <x:v>T1-L01-M</x:v>
      </x:c>
      <x:c r="B77" s="1" t="str">
        <x:v>T1</x:v>
      </x:c>
      <x:c r="C77" s="1" t="str">
        <x:v>Partition masonry</x:v>
      </x:c>
      <x:c r="D77" s="1" t="str">
        <x:v>Masonry</x:v>
      </x:c>
      <x:c r="E77" s="23" t="n">
        <x:f>MAX(0,MIN('Activities'!L77,6)-MAX('Activities'!K77,0))</x:f>
        <x:v>0</x:v>
      </x:c>
      <x:c r="F77" s="23" t="n">
        <x:f>MAX(0,MIN('Activities'!L77,12)-MAX('Activities'!K77,6))</x:f>
        <x:v>0</x:v>
      </x:c>
      <x:c r="G77" s="23" t="n">
        <x:f>MAX(0,MIN('Activities'!L77,18)-MAX('Activities'!K77,12))</x:f>
        <x:v>0</x:v>
      </x:c>
      <x:c r="H77" s="23" t="n">
        <x:f>MAX(0,MIN('Activities'!L77,24)-MAX('Activities'!K77,18))</x:f>
        <x:v>0</x:v>
      </x:c>
      <x:c r="I77" s="23" t="n">
        <x:f>MAX(0,MIN('Activities'!L77,30)-MAX('Activities'!K77,24))</x:f>
        <x:v>0</x:v>
      </x:c>
      <x:c r="J77" s="23" t="n">
        <x:f>MAX(0,MIN('Activities'!L77,36)-MAX('Activities'!K77,30))</x:f>
        <x:v>0</x:v>
      </x:c>
      <x:c r="K77" s="23" t="n">
        <x:f>MAX(0,MIN('Activities'!L77,42)-MAX('Activities'!K77,36))</x:f>
        <x:v>0</x:v>
      </x:c>
      <x:c r="L77" s="23" t="n">
        <x:f>MAX(0,MIN('Activities'!L77,48)-MAX('Activities'!K77,42))</x:f>
        <x:v>0</x:v>
      </x:c>
      <x:c r="M77" s="23" t="n">
        <x:f>MAX(0,MIN('Activities'!L77,54)-MAX('Activities'!K77,48))</x:f>
        <x:v>0</x:v>
      </x:c>
      <x:c r="N77" s="23" t="n">
        <x:f>MAX(0,MIN('Activities'!L77,60)-MAX('Activities'!K77,54))</x:f>
        <x:v>0</x:v>
      </x:c>
      <x:c r="O77" s="23" t="n">
        <x:f>MAX(0,MIN('Activities'!L77,66)-MAX('Activities'!K77,60))</x:f>
        <x:v>0</x:v>
      </x:c>
      <x:c r="P77" s="23" t="n">
        <x:f>MAX(0,MIN('Activities'!L77,72)-MAX('Activities'!K77,66))</x:f>
        <x:v>0</x:v>
      </x:c>
      <x:c r="Q77" s="23" t="n">
        <x:f>MAX(0,MIN('Activities'!L77,78)-MAX('Activities'!K77,72))</x:f>
        <x:v>0</x:v>
      </x:c>
      <x:c r="R77" s="23" t="n">
        <x:f>MAX(0,MIN('Activities'!L77,84)-MAX('Activities'!K77,78))</x:f>
        <x:v>0</x:v>
      </x:c>
      <x:c r="S77" s="23" t="n">
        <x:f>MAX(0,MIN('Activities'!L77,90)-MAX('Activities'!K77,84))</x:f>
        <x:v>0</x:v>
      </x:c>
      <x:c r="T77" s="23" t="n">
        <x:f>MAX(0,MIN('Activities'!L77,96)-MAX('Activities'!K77,90))</x:f>
        <x:v>0</x:v>
      </x:c>
      <x:c r="U77" s="23" t="n">
        <x:f>MAX(0,MIN('Activities'!L77,102)-MAX('Activities'!K77,96))</x:f>
        <x:v>0</x:v>
      </x:c>
      <x:c r="V77" s="23" t="n">
        <x:f>MAX(0,MIN('Activities'!L77,108)-MAX('Activities'!K77,102))</x:f>
        <x:v>0</x:v>
      </x:c>
      <x:c r="W77" s="23" t="n">
        <x:f>MAX(0,MIN('Activities'!L77,114)-MAX('Activities'!K77,108))</x:f>
        <x:v>0</x:v>
      </x:c>
      <x:c r="X77" s="23" t="n">
        <x:f>MAX(0,MIN('Activities'!L77,120)-MAX('Activities'!K77,114))</x:f>
        <x:v>0</x:v>
      </x:c>
      <x:c r="Y77" s="23" t="n">
        <x:f>MAX(0,MIN('Activities'!L77,126)-MAX('Activities'!K77,120))</x:f>
        <x:v>0</x:v>
      </x:c>
      <x:c r="Z77" s="23" t="n">
        <x:f>MAX(0,MIN('Activities'!L77,132)-MAX('Activities'!K77,126))</x:f>
        <x:v>0</x:v>
      </x:c>
      <x:c r="AA77" s="23" t="n">
        <x:f>MAX(0,MIN('Activities'!L77,138)-MAX('Activities'!K77,132))</x:f>
        <x:v>0</x:v>
      </x:c>
      <x:c r="AB77" s="23" t="n">
        <x:f>MAX(0,MIN('Activities'!L77,144)-MAX('Activities'!K77,138))</x:f>
        <x:v>0</x:v>
      </x:c>
      <x:c r="AC77" s="23" t="n">
        <x:f>MAX(0,MIN('Activities'!L77,150)-MAX('Activities'!K77,144))</x:f>
        <x:v>0</x:v>
      </x:c>
      <x:c r="AD77" s="23" t="n">
        <x:f>MAX(0,MIN('Activities'!L77,156)-MAX('Activities'!K77,150))</x:f>
        <x:v>0</x:v>
      </x:c>
      <x:c r="AE77" s="23" t="n">
        <x:f>MAX(0,MIN('Activities'!L77,162)-MAX('Activities'!K77,156))</x:f>
        <x:v>0</x:v>
      </x:c>
      <x:c r="AF77" s="23" t="n">
        <x:f>MAX(0,MIN('Activities'!L77,168)-MAX('Activities'!K77,162))</x:f>
        <x:v>0</x:v>
      </x:c>
      <x:c r="AG77" s="23" t="n">
        <x:f>MAX(0,MIN('Activities'!L77,174)-MAX('Activities'!K77,168))</x:f>
        <x:v>0</x:v>
      </x:c>
      <x:c r="AH77" s="23" t="n">
        <x:f>MAX(0,MIN('Activities'!L77,180)-MAX('Activities'!K77,174))</x:f>
        <x:v>0</x:v>
      </x:c>
      <x:c r="AI77" s="23" t="n">
        <x:f>MAX(0,MIN('Activities'!L77,186)-MAX('Activities'!K77,180))</x:f>
        <x:v>0</x:v>
      </x:c>
      <x:c r="AJ77" s="23" t="n">
        <x:f>MAX(0,MIN('Activities'!L77,192)-MAX('Activities'!K77,186))</x:f>
        <x:v>0</x:v>
      </x:c>
      <x:c r="AK77" s="23" t="n">
        <x:f>MAX(0,MIN('Activities'!L77,198)-MAX('Activities'!K77,192))</x:f>
        <x:v>0</x:v>
      </x:c>
      <x:c r="AL77" s="23" t="n">
        <x:f>MAX(0,MIN('Activities'!L77,204)-MAX('Activities'!K77,198))</x:f>
        <x:v>0</x:v>
      </x:c>
      <x:c r="AM77" s="23" t="n">
        <x:f>MAX(0,MIN('Activities'!L77,210)-MAX('Activities'!K77,204))</x:f>
        <x:v>0</x:v>
      </x:c>
      <x:c r="AN77" s="23" t="n">
        <x:f>MAX(0,MIN('Activities'!L77,216)-MAX('Activities'!K77,210))</x:f>
        <x:v>0</x:v>
      </x:c>
      <x:c r="AO77" s="23" t="n">
        <x:f>MAX(0,MIN('Activities'!L77,222)-MAX('Activities'!K77,216))</x:f>
        <x:v>0</x:v>
      </x:c>
      <x:c r="AP77" s="23" t="n">
        <x:f>MAX(0,MIN('Activities'!L77,228)-MAX('Activities'!K77,222))</x:f>
        <x:v>0</x:v>
      </x:c>
      <x:c r="AQ77" s="23" t="n">
        <x:f>MAX(0,MIN('Activities'!L77,234)-MAX('Activities'!K77,228))</x:f>
        <x:v>5</x:v>
      </x:c>
      <x:c r="AR77" s="23" t="n">
        <x:f>MAX(0,MIN('Activities'!L77,240)-MAX('Activities'!K77,234))</x:f>
        <x:v>0</x:v>
      </x:c>
      <x:c r="AS77" s="23" t="n">
        <x:f>MAX(0,MIN('Activities'!L77,246)-MAX('Activities'!K77,240))</x:f>
        <x:v>0</x:v>
      </x:c>
      <x:c r="AT77" s="23" t="n">
        <x:f>MAX(0,MIN('Activities'!L77,252)-MAX('Activities'!K77,246))</x:f>
        <x:v>0</x:v>
      </x:c>
      <x:c r="AU77" s="23" t="n">
        <x:f>MAX(0,MIN('Activities'!L77,258)-MAX('Activities'!K77,252))</x:f>
        <x:v>0</x:v>
      </x:c>
      <x:c r="AV77" s="23" t="n">
        <x:f>MAX(0,MIN('Activities'!L77,264)-MAX('Activities'!K77,258))</x:f>
        <x:v>0</x:v>
      </x:c>
      <x:c r="AW77" s="23" t="n">
        <x:f>MAX(0,MIN('Activities'!L77,270)-MAX('Activities'!K77,264))</x:f>
        <x:v>0</x:v>
      </x:c>
      <x:c r="AX77" s="23" t="n">
        <x:f>MAX(0,MIN('Activities'!L77,276)-MAX('Activities'!K77,270))</x:f>
        <x:v>0</x:v>
      </x:c>
      <x:c r="AY77" s="23" t="n">
        <x:f>MAX(0,MIN('Activities'!L77,282)-MAX('Activities'!K77,276))</x:f>
        <x:v>0</x:v>
      </x:c>
      <x:c r="AZ77" s="23" t="n">
        <x:f>MAX(0,MIN('Activities'!L77,288)-MAX('Activities'!K77,282))</x:f>
        <x:v>0</x:v>
      </x:c>
      <x:c r="BA77" s="23" t="n">
        <x:f>MAX(0,MIN('Activities'!L77,294)-MAX('Activities'!K77,288))</x:f>
        <x:v>0</x:v>
      </x:c>
      <x:c r="BB77" s="23" t="n">
        <x:f>MAX(0,MIN('Activities'!L77,300)-MAX('Activities'!K77,294))</x:f>
        <x:v>0</x:v>
      </x:c>
      <x:c r="BC77" s="23" t="n">
        <x:f>MAX(0,MIN('Activities'!L77,306)-MAX('Activities'!K77,300))</x:f>
        <x:v>0</x:v>
      </x:c>
      <x:c r="BD77" s="23" t="n">
        <x:f>MAX(0,MIN('Activities'!L77,312)-MAX('Activities'!K77,306))</x:f>
        <x:v>0</x:v>
      </x:c>
      <x:c r="BE77" s="23" t="n">
        <x:f>MAX(0,MIN('Activities'!L77,318)-MAX('Activities'!K77,312))</x:f>
        <x:v>0</x:v>
      </x:c>
      <x:c r="BF77" s="23" t="n">
        <x:f>MAX(0,MIN('Activities'!L77,324)-MAX('Activities'!K77,318))</x:f>
        <x:v>0</x:v>
      </x:c>
      <x:c r="BG77" s="23" t="n">
        <x:f>MAX(0,MIN('Activities'!L77,330)-MAX('Activities'!K77,324))</x:f>
        <x:v>0</x:v>
      </x:c>
      <x:c r="BH77" s="23" t="n">
        <x:f>MAX(0,MIN('Activities'!L77,336)-MAX('Activities'!K77,330))</x:f>
        <x:v>0</x:v>
      </x:c>
      <x:c r="BI77" s="23" t="n">
        <x:f>MAX(0,MIN('Activities'!L77,342)-MAX('Activities'!K77,336))</x:f>
        <x:v>0</x:v>
      </x:c>
      <x:c r="BJ77" s="23" t="n">
        <x:f>MAX(0,MIN('Activities'!L77,348)-MAX('Activities'!K77,342))</x:f>
        <x:v>0</x:v>
      </x:c>
      <x:c r="BK77" s="23" t="n">
        <x:f>MAX(0,MIN('Activities'!L77,354)-MAX('Activities'!K77,348))</x:f>
        <x:v>0</x:v>
      </x:c>
      <x:c r="BL77" s="23" t="n">
        <x:f>MAX(0,MIN('Activities'!L77,360)-MAX('Activities'!K77,354))</x:f>
        <x:v>0</x:v>
      </x:c>
      <x:c r="BM77" s="23" t="n">
        <x:f>MAX(0,MIN('Activities'!L77,366)-MAX('Activities'!K77,360))</x:f>
        <x:v>0</x:v>
      </x:c>
      <x:c r="BN77" s="23" t="n">
        <x:f>MAX(0,MIN('Activities'!L77,372)-MAX('Activities'!K77,366))</x:f>
        <x:v>0</x:v>
      </x:c>
      <x:c r="BO77" s="23" t="n">
        <x:f>MAX(0,MIN('Activities'!L77,378)-MAX('Activities'!K77,372))</x:f>
        <x:v>0</x:v>
      </x:c>
      <x:c r="BP77" s="23" t="n">
        <x:f>MAX(0,MIN('Activities'!L77,384)-MAX('Activities'!K77,378))</x:f>
        <x:v>0</x:v>
      </x:c>
      <x:c r="BQ77" s="23" t="n">
        <x:f>MAX(0,MIN('Activities'!L77,390)-MAX('Activities'!K77,384))</x:f>
        <x:v>0</x:v>
      </x:c>
      <x:c r="BR77" s="23" t="n">
        <x:f>MAX(0,MIN('Activities'!L77,396)-MAX('Activities'!K77,390))</x:f>
        <x:v>0</x:v>
      </x:c>
      <x:c r="BS77" s="23" t="n">
        <x:f>MAX(0,MIN('Activities'!L77,402)-MAX('Activities'!K77,396))</x:f>
        <x:v>0</x:v>
      </x:c>
      <x:c r="BT77" s="23" t="n">
        <x:f>MAX(0,MIN('Activities'!L77,408)-MAX('Activities'!K77,402))</x:f>
        <x:v>0</x:v>
      </x:c>
      <x:c r="BU77" s="23" t="n">
        <x:f>MAX(0,MIN('Activities'!L77,414)-MAX('Activities'!K77,408))</x:f>
        <x:v>0</x:v>
      </x:c>
      <x:c r="BV77" s="23" t="n">
        <x:f>MAX(0,MIN('Activities'!L77,420)-MAX('Activities'!K77,414))</x:f>
        <x:v>0</x:v>
      </x:c>
      <x:c r="BW77" s="23" t="n">
        <x:f>MAX(0,MIN('Activities'!L77,426)-MAX('Activities'!K77,420))</x:f>
        <x:v>0</x:v>
      </x:c>
      <x:c r="BX77" s="23" t="n">
        <x:f>MAX(0,MIN('Activities'!L77,432)-MAX('Activities'!K77,426))</x:f>
        <x:v>0</x:v>
      </x:c>
      <x:c r="BY77" s="23" t="n">
        <x:f>MAX(0,MIN('Activities'!L77,438)-MAX('Activities'!K77,432))</x:f>
        <x:v>0</x:v>
      </x:c>
      <x:c r="BZ77" s="23" t="n">
        <x:f>MAX(0,MIN('Activities'!L77,444)-MAX('Activities'!K77,438))</x:f>
        <x:v>0</x:v>
      </x:c>
      <x:c r="CA77" s="23" t="n">
        <x:f>MAX(0,MIN('Activities'!L77,450)-MAX('Activities'!K77,444))</x:f>
        <x:v>0</x:v>
      </x:c>
      <x:c r="CB77" s="23" t="n">
        <x:f>MAX(0,MIN('Activities'!L77,456)-MAX('Activities'!K77,450))</x:f>
        <x:v>0</x:v>
      </x:c>
      <x:c r="CC77" s="23" t="n">
        <x:f>MAX(0,MIN('Activities'!L77,462)-MAX('Activities'!K77,456))</x:f>
        <x:v>0</x:v>
      </x:c>
      <x:c r="CD77" s="23" t="n">
        <x:f>MAX(0,MIN('Activities'!L77,468)-MAX('Activities'!K77,462))</x:f>
        <x:v>0</x:v>
      </x:c>
      <x:c r="CE77" s="23" t="n">
        <x:f>MAX(0,MIN('Activities'!L77,474)-MAX('Activities'!K77,468))</x:f>
        <x:v>0</x:v>
      </x:c>
      <x:c r="CF77" s="23" t="n">
        <x:f>MAX(0,MIN('Activities'!L77,480)-MAX('Activities'!K77,474))</x:f>
        <x:v>0</x:v>
      </x:c>
      <x:c r="CG77" s="23" t="n">
        <x:f>MAX(0,MIN('Activities'!L77,486)-MAX('Activities'!K77,480))</x:f>
        <x:v>0</x:v>
      </x:c>
      <x:c r="CH77" s="23" t="n">
        <x:f>MAX(0,MIN('Activities'!L77,492)-MAX('Activities'!K77,486))</x:f>
        <x:v>0</x:v>
      </x:c>
      <x:c r="CI77" s="23" t="n">
        <x:f>MAX(0,MIN('Activities'!L77,498)-MAX('Activities'!K77,492))</x:f>
        <x:v>0</x:v>
      </x:c>
      <x:c r="CJ77" s="23" t="n">
        <x:f>MAX(0,MIN('Activities'!L77,504)-MAX('Activities'!K77,498))</x:f>
        <x:v>0</x:v>
      </x:c>
      <x:c r="CK77" s="23" t="n">
        <x:f>MAX(0,MIN('Activities'!L77,510)-MAX('Activities'!K77,504))</x:f>
        <x:v>0</x:v>
      </x:c>
      <x:c r="CL77" s="23" t="n">
        <x:f>MAX(0,MIN('Activities'!L77,516)-MAX('Activities'!K77,510))</x:f>
        <x:v>0</x:v>
      </x:c>
      <x:c r="CM77" s="23" t="n">
        <x:f>MAX(0,MIN('Activities'!L77,522)-MAX('Activities'!K77,516))</x:f>
        <x:v>0</x:v>
      </x:c>
      <x:c r="CN77" s="23" t="n">
        <x:f>MAX(0,MIN('Activities'!L77,528)-MAX('Activities'!K77,522))</x:f>
        <x:v>0</x:v>
      </x:c>
      <x:c r="CO77" s="23" t="n">
        <x:f>MAX(0,MIN('Activities'!L77,534)-MAX('Activities'!K77,528))</x:f>
        <x:v>0</x:v>
      </x:c>
      <x:c r="CP77" s="23" t="n">
        <x:f>MAX(0,MIN('Activities'!L77,540)-MAX('Activities'!K77,534))</x:f>
        <x:v>0</x:v>
      </x:c>
      <x:c r="CQ77" s="23" t="n">
        <x:f>MAX(0,MIN('Activities'!L77,546)-MAX('Activities'!K77,540))</x:f>
        <x:v>0</x:v>
      </x:c>
      <x:c r="CR77" s="23" t="n">
        <x:f>MAX(0,MIN('Activities'!L77,552)-MAX('Activities'!K77,546))</x:f>
        <x:v>0</x:v>
      </x:c>
      <x:c r="CS77" s="23" t="n">
        <x:f>MAX(0,MIN('Activities'!L77,558)-MAX('Activities'!K77,552))</x:f>
        <x:v>0</x:v>
      </x:c>
      <x:c r="CT77" s="23" t="n">
        <x:f>MAX(0,MIN('Activities'!L77,564)-MAX('Activities'!K77,558))</x:f>
        <x:v>0</x:v>
      </x:c>
      <x:c r="CU77" s="23" t="n">
        <x:f>MAX(0,MIN('Activities'!L77,570)-MAX('Activities'!K77,564))</x:f>
        <x:v>0</x:v>
      </x:c>
      <x:c r="CV77" s="23" t="n">
        <x:f>MAX(0,MIN('Activities'!L77,576)-MAX('Activities'!K77,570))</x:f>
        <x:v>0</x:v>
      </x:c>
      <x:c r="CW77" s="23" t="n">
        <x:f>MAX(0,MIN('Activities'!L77,582)-MAX('Activities'!K77,576))</x:f>
        <x:v>0</x:v>
      </x:c>
      <x:c r="CX77" s="23" t="n">
        <x:f>MAX(0,MIN('Activities'!L77,588)-MAX('Activities'!K77,582))</x:f>
        <x:v>0</x:v>
      </x:c>
      <x:c r="CY77" s="23" t="n">
        <x:f>MAX(0,MIN('Activities'!L77,594)-MAX('Activities'!K77,588))</x:f>
        <x:v>0</x:v>
      </x:c>
      <x:c r="CZ77" s="23" t="n">
        <x:f>MAX(0,MIN('Activities'!L77,600)-MAX('Activities'!K77,594))</x:f>
        <x:v>0</x:v>
      </x:c>
      <x:c r="DA77" s="23" t="n">
        <x:f>MAX(0,MIN('Activities'!L77,606)-MAX('Activities'!K77,600))</x:f>
        <x:v>0</x:v>
      </x:c>
      <x:c r="DB77" s="23" t="n">
        <x:f>MAX(0,MIN('Activities'!L77,612)-MAX('Activities'!K77,606))</x:f>
        <x:v>0</x:v>
      </x:c>
      <x:c r="DC77" s="23" t="n">
        <x:f>MAX(0,MIN('Activities'!L77,618)-MAX('Activities'!K77,612))</x:f>
        <x:v>0</x:v>
      </x:c>
      <x:c r="DD77" s="23" t="n">
        <x:f>MAX(0,MIN('Activities'!L77,624)-MAX('Activities'!K77,618))</x:f>
        <x:v>0</x:v>
      </x:c>
      <x:c r="DE77" s="23" t="n">
        <x:f>MAX(0,MIN('Activities'!L77,630)-MAX('Activities'!K77,624))</x:f>
        <x:v>0</x:v>
      </x:c>
      <x:c r="DF77" s="23" t="n">
        <x:f>MAX(0,MIN('Activities'!L77,636)-MAX('Activities'!K77,630))</x:f>
        <x:v>0</x:v>
      </x:c>
    </x:row>
    <x:row r="78" ht="23" customHeight="1">
      <x:c r="A78" s="6" t="str">
        <x:v>T1-L01-P</x:v>
      </x:c>
      <x:c r="B78" s="6" t="str">
        <x:v>T1</x:v>
      </x:c>
      <x:c r="C78" s="6" t="str">
        <x:v>Internal plaster</x:v>
      </x:c>
      <x:c r="D78" s="6" t="str">
        <x:v>Finishes</x:v>
      </x:c>
      <x:c r="E78" s="22" t="n">
        <x:f>MAX(0,MIN('Activities'!L78,6)-MAX('Activities'!K78,0))</x:f>
        <x:v>0</x:v>
      </x:c>
      <x:c r="F78" s="22" t="n">
        <x:f>MAX(0,MIN('Activities'!L78,12)-MAX('Activities'!K78,6))</x:f>
        <x:v>0</x:v>
      </x:c>
      <x:c r="G78" s="22" t="n">
        <x:f>MAX(0,MIN('Activities'!L78,18)-MAX('Activities'!K78,12))</x:f>
        <x:v>0</x:v>
      </x:c>
      <x:c r="H78" s="22" t="n">
        <x:f>MAX(0,MIN('Activities'!L78,24)-MAX('Activities'!K78,18))</x:f>
        <x:v>0</x:v>
      </x:c>
      <x:c r="I78" s="22" t="n">
        <x:f>MAX(0,MIN('Activities'!L78,30)-MAX('Activities'!K78,24))</x:f>
        <x:v>0</x:v>
      </x:c>
      <x:c r="J78" s="22" t="n">
        <x:f>MAX(0,MIN('Activities'!L78,36)-MAX('Activities'!K78,30))</x:f>
        <x:v>0</x:v>
      </x:c>
      <x:c r="K78" s="22" t="n">
        <x:f>MAX(0,MIN('Activities'!L78,42)-MAX('Activities'!K78,36))</x:f>
        <x:v>0</x:v>
      </x:c>
      <x:c r="L78" s="22" t="n">
        <x:f>MAX(0,MIN('Activities'!L78,48)-MAX('Activities'!K78,42))</x:f>
        <x:v>0</x:v>
      </x:c>
      <x:c r="M78" s="22" t="n">
        <x:f>MAX(0,MIN('Activities'!L78,54)-MAX('Activities'!K78,48))</x:f>
        <x:v>0</x:v>
      </x:c>
      <x:c r="N78" s="22" t="n">
        <x:f>MAX(0,MIN('Activities'!L78,60)-MAX('Activities'!K78,54))</x:f>
        <x:v>0</x:v>
      </x:c>
      <x:c r="O78" s="22" t="n">
        <x:f>MAX(0,MIN('Activities'!L78,66)-MAX('Activities'!K78,60))</x:f>
        <x:v>0</x:v>
      </x:c>
      <x:c r="P78" s="22" t="n">
        <x:f>MAX(0,MIN('Activities'!L78,72)-MAX('Activities'!K78,66))</x:f>
        <x:v>0</x:v>
      </x:c>
      <x:c r="Q78" s="22" t="n">
        <x:f>MAX(0,MIN('Activities'!L78,78)-MAX('Activities'!K78,72))</x:f>
        <x:v>0</x:v>
      </x:c>
      <x:c r="R78" s="22" t="n">
        <x:f>MAX(0,MIN('Activities'!L78,84)-MAX('Activities'!K78,78))</x:f>
        <x:v>0</x:v>
      </x:c>
      <x:c r="S78" s="22" t="n">
        <x:f>MAX(0,MIN('Activities'!L78,90)-MAX('Activities'!K78,84))</x:f>
        <x:v>0</x:v>
      </x:c>
      <x:c r="T78" s="22" t="n">
        <x:f>MAX(0,MIN('Activities'!L78,96)-MAX('Activities'!K78,90))</x:f>
        <x:v>0</x:v>
      </x:c>
      <x:c r="U78" s="22" t="n">
        <x:f>MAX(0,MIN('Activities'!L78,102)-MAX('Activities'!K78,96))</x:f>
        <x:v>0</x:v>
      </x:c>
      <x:c r="V78" s="22" t="n">
        <x:f>MAX(0,MIN('Activities'!L78,108)-MAX('Activities'!K78,102))</x:f>
        <x:v>0</x:v>
      </x:c>
      <x:c r="W78" s="22" t="n">
        <x:f>MAX(0,MIN('Activities'!L78,114)-MAX('Activities'!K78,108))</x:f>
        <x:v>0</x:v>
      </x:c>
      <x:c r="X78" s="22" t="n">
        <x:f>MAX(0,MIN('Activities'!L78,120)-MAX('Activities'!K78,114))</x:f>
        <x:v>0</x:v>
      </x:c>
      <x:c r="Y78" s="22" t="n">
        <x:f>MAX(0,MIN('Activities'!L78,126)-MAX('Activities'!K78,120))</x:f>
        <x:v>0</x:v>
      </x:c>
      <x:c r="Z78" s="22" t="n">
        <x:f>MAX(0,MIN('Activities'!L78,132)-MAX('Activities'!K78,126))</x:f>
        <x:v>0</x:v>
      </x:c>
      <x:c r="AA78" s="22" t="n">
        <x:f>MAX(0,MIN('Activities'!L78,138)-MAX('Activities'!K78,132))</x:f>
        <x:v>0</x:v>
      </x:c>
      <x:c r="AB78" s="22" t="n">
        <x:f>MAX(0,MIN('Activities'!L78,144)-MAX('Activities'!K78,138))</x:f>
        <x:v>0</x:v>
      </x:c>
      <x:c r="AC78" s="22" t="n">
        <x:f>MAX(0,MIN('Activities'!L78,150)-MAX('Activities'!K78,144))</x:f>
        <x:v>0</x:v>
      </x:c>
      <x:c r="AD78" s="22" t="n">
        <x:f>MAX(0,MIN('Activities'!L78,156)-MAX('Activities'!K78,150))</x:f>
        <x:v>0</x:v>
      </x:c>
      <x:c r="AE78" s="22" t="n">
        <x:f>MAX(0,MIN('Activities'!L78,162)-MAX('Activities'!K78,156))</x:f>
        <x:v>0</x:v>
      </x:c>
      <x:c r="AF78" s="22" t="n">
        <x:f>MAX(0,MIN('Activities'!L78,168)-MAX('Activities'!K78,162))</x:f>
        <x:v>0</x:v>
      </x:c>
      <x:c r="AG78" s="22" t="n">
        <x:f>MAX(0,MIN('Activities'!L78,174)-MAX('Activities'!K78,168))</x:f>
        <x:v>0</x:v>
      </x:c>
      <x:c r="AH78" s="22" t="n">
        <x:f>MAX(0,MIN('Activities'!L78,180)-MAX('Activities'!K78,174))</x:f>
        <x:v>0</x:v>
      </x:c>
      <x:c r="AI78" s="22" t="n">
        <x:f>MAX(0,MIN('Activities'!L78,186)-MAX('Activities'!K78,180))</x:f>
        <x:v>0</x:v>
      </x:c>
      <x:c r="AJ78" s="22" t="n">
        <x:f>MAX(0,MIN('Activities'!L78,192)-MAX('Activities'!K78,186))</x:f>
        <x:v>0</x:v>
      </x:c>
      <x:c r="AK78" s="22" t="n">
        <x:f>MAX(0,MIN('Activities'!L78,198)-MAX('Activities'!K78,192))</x:f>
        <x:v>0</x:v>
      </x:c>
      <x:c r="AL78" s="22" t="n">
        <x:f>MAX(0,MIN('Activities'!L78,204)-MAX('Activities'!K78,198))</x:f>
        <x:v>0</x:v>
      </x:c>
      <x:c r="AM78" s="22" t="n">
        <x:f>MAX(0,MIN('Activities'!L78,210)-MAX('Activities'!K78,204))</x:f>
        <x:v>0</x:v>
      </x:c>
      <x:c r="AN78" s="22" t="n">
        <x:f>MAX(0,MIN('Activities'!L78,216)-MAX('Activities'!K78,210))</x:f>
        <x:v>0</x:v>
      </x:c>
      <x:c r="AO78" s="22" t="n">
        <x:f>MAX(0,MIN('Activities'!L78,222)-MAX('Activities'!K78,216))</x:f>
        <x:v>0</x:v>
      </x:c>
      <x:c r="AP78" s="22" t="n">
        <x:f>MAX(0,MIN('Activities'!L78,228)-MAX('Activities'!K78,222))</x:f>
        <x:v>0</x:v>
      </x:c>
      <x:c r="AQ78" s="22" t="n">
        <x:f>MAX(0,MIN('Activities'!L78,234)-MAX('Activities'!K78,228))</x:f>
        <x:v>0</x:v>
      </x:c>
      <x:c r="AR78" s="22" t="n">
        <x:f>MAX(0,MIN('Activities'!L78,240)-MAX('Activities'!K78,234))</x:f>
        <x:v>3</x:v>
      </x:c>
      <x:c r="AS78" s="22" t="n">
        <x:f>MAX(0,MIN('Activities'!L78,246)-MAX('Activities'!K78,240))</x:f>
        <x:v>3</x:v>
      </x:c>
      <x:c r="AT78" s="22" t="n">
        <x:f>MAX(0,MIN('Activities'!L78,252)-MAX('Activities'!K78,246))</x:f>
        <x:v>0</x:v>
      </x:c>
      <x:c r="AU78" s="22" t="n">
        <x:f>MAX(0,MIN('Activities'!L78,258)-MAX('Activities'!K78,252))</x:f>
        <x:v>0</x:v>
      </x:c>
      <x:c r="AV78" s="22" t="n">
        <x:f>MAX(0,MIN('Activities'!L78,264)-MAX('Activities'!K78,258))</x:f>
        <x:v>0</x:v>
      </x:c>
      <x:c r="AW78" s="22" t="n">
        <x:f>MAX(0,MIN('Activities'!L78,270)-MAX('Activities'!K78,264))</x:f>
        <x:v>0</x:v>
      </x:c>
      <x:c r="AX78" s="22" t="n">
        <x:f>MAX(0,MIN('Activities'!L78,276)-MAX('Activities'!K78,270))</x:f>
        <x:v>0</x:v>
      </x:c>
      <x:c r="AY78" s="22" t="n">
        <x:f>MAX(0,MIN('Activities'!L78,282)-MAX('Activities'!K78,276))</x:f>
        <x:v>0</x:v>
      </x:c>
      <x:c r="AZ78" s="22" t="n">
        <x:f>MAX(0,MIN('Activities'!L78,288)-MAX('Activities'!K78,282))</x:f>
        <x:v>0</x:v>
      </x:c>
      <x:c r="BA78" s="22" t="n">
        <x:f>MAX(0,MIN('Activities'!L78,294)-MAX('Activities'!K78,288))</x:f>
        <x:v>0</x:v>
      </x:c>
      <x:c r="BB78" s="22" t="n">
        <x:f>MAX(0,MIN('Activities'!L78,300)-MAX('Activities'!K78,294))</x:f>
        <x:v>0</x:v>
      </x:c>
      <x:c r="BC78" s="22" t="n">
        <x:f>MAX(0,MIN('Activities'!L78,306)-MAX('Activities'!K78,300))</x:f>
        <x:v>0</x:v>
      </x:c>
      <x:c r="BD78" s="22" t="n">
        <x:f>MAX(0,MIN('Activities'!L78,312)-MAX('Activities'!K78,306))</x:f>
        <x:v>0</x:v>
      </x:c>
      <x:c r="BE78" s="22" t="n">
        <x:f>MAX(0,MIN('Activities'!L78,318)-MAX('Activities'!K78,312))</x:f>
        <x:v>0</x:v>
      </x:c>
      <x:c r="BF78" s="22" t="n">
        <x:f>MAX(0,MIN('Activities'!L78,324)-MAX('Activities'!K78,318))</x:f>
        <x:v>0</x:v>
      </x:c>
      <x:c r="BG78" s="22" t="n">
        <x:f>MAX(0,MIN('Activities'!L78,330)-MAX('Activities'!K78,324))</x:f>
        <x:v>0</x:v>
      </x:c>
      <x:c r="BH78" s="22" t="n">
        <x:f>MAX(0,MIN('Activities'!L78,336)-MAX('Activities'!K78,330))</x:f>
        <x:v>0</x:v>
      </x:c>
      <x:c r="BI78" s="22" t="n">
        <x:f>MAX(0,MIN('Activities'!L78,342)-MAX('Activities'!K78,336))</x:f>
        <x:v>0</x:v>
      </x:c>
      <x:c r="BJ78" s="22" t="n">
        <x:f>MAX(0,MIN('Activities'!L78,348)-MAX('Activities'!K78,342))</x:f>
        <x:v>0</x:v>
      </x:c>
      <x:c r="BK78" s="22" t="n">
        <x:f>MAX(0,MIN('Activities'!L78,354)-MAX('Activities'!K78,348))</x:f>
        <x:v>0</x:v>
      </x:c>
      <x:c r="BL78" s="22" t="n">
        <x:f>MAX(0,MIN('Activities'!L78,360)-MAX('Activities'!K78,354))</x:f>
        <x:v>0</x:v>
      </x:c>
      <x:c r="BM78" s="22" t="n">
        <x:f>MAX(0,MIN('Activities'!L78,366)-MAX('Activities'!K78,360))</x:f>
        <x:v>0</x:v>
      </x:c>
      <x:c r="BN78" s="22" t="n">
        <x:f>MAX(0,MIN('Activities'!L78,372)-MAX('Activities'!K78,366))</x:f>
        <x:v>0</x:v>
      </x:c>
      <x:c r="BO78" s="22" t="n">
        <x:f>MAX(0,MIN('Activities'!L78,378)-MAX('Activities'!K78,372))</x:f>
        <x:v>0</x:v>
      </x:c>
      <x:c r="BP78" s="22" t="n">
        <x:f>MAX(0,MIN('Activities'!L78,384)-MAX('Activities'!K78,378))</x:f>
        <x:v>0</x:v>
      </x:c>
      <x:c r="BQ78" s="22" t="n">
        <x:f>MAX(0,MIN('Activities'!L78,390)-MAX('Activities'!K78,384))</x:f>
        <x:v>0</x:v>
      </x:c>
      <x:c r="BR78" s="22" t="n">
        <x:f>MAX(0,MIN('Activities'!L78,396)-MAX('Activities'!K78,390))</x:f>
        <x:v>0</x:v>
      </x:c>
      <x:c r="BS78" s="22" t="n">
        <x:f>MAX(0,MIN('Activities'!L78,402)-MAX('Activities'!K78,396))</x:f>
        <x:v>0</x:v>
      </x:c>
      <x:c r="BT78" s="22" t="n">
        <x:f>MAX(0,MIN('Activities'!L78,408)-MAX('Activities'!K78,402))</x:f>
        <x:v>0</x:v>
      </x:c>
      <x:c r="BU78" s="22" t="n">
        <x:f>MAX(0,MIN('Activities'!L78,414)-MAX('Activities'!K78,408))</x:f>
        <x:v>0</x:v>
      </x:c>
      <x:c r="BV78" s="22" t="n">
        <x:f>MAX(0,MIN('Activities'!L78,420)-MAX('Activities'!K78,414))</x:f>
        <x:v>0</x:v>
      </x:c>
      <x:c r="BW78" s="22" t="n">
        <x:f>MAX(0,MIN('Activities'!L78,426)-MAX('Activities'!K78,420))</x:f>
        <x:v>0</x:v>
      </x:c>
      <x:c r="BX78" s="22" t="n">
        <x:f>MAX(0,MIN('Activities'!L78,432)-MAX('Activities'!K78,426))</x:f>
        <x:v>0</x:v>
      </x:c>
      <x:c r="BY78" s="22" t="n">
        <x:f>MAX(0,MIN('Activities'!L78,438)-MAX('Activities'!K78,432))</x:f>
        <x:v>0</x:v>
      </x:c>
      <x:c r="BZ78" s="22" t="n">
        <x:f>MAX(0,MIN('Activities'!L78,444)-MAX('Activities'!K78,438))</x:f>
        <x:v>0</x:v>
      </x:c>
      <x:c r="CA78" s="22" t="n">
        <x:f>MAX(0,MIN('Activities'!L78,450)-MAX('Activities'!K78,444))</x:f>
        <x:v>0</x:v>
      </x:c>
      <x:c r="CB78" s="22" t="n">
        <x:f>MAX(0,MIN('Activities'!L78,456)-MAX('Activities'!K78,450))</x:f>
        <x:v>0</x:v>
      </x:c>
      <x:c r="CC78" s="22" t="n">
        <x:f>MAX(0,MIN('Activities'!L78,462)-MAX('Activities'!K78,456))</x:f>
        <x:v>0</x:v>
      </x:c>
      <x:c r="CD78" s="22" t="n">
        <x:f>MAX(0,MIN('Activities'!L78,468)-MAX('Activities'!K78,462))</x:f>
        <x:v>0</x:v>
      </x:c>
      <x:c r="CE78" s="22" t="n">
        <x:f>MAX(0,MIN('Activities'!L78,474)-MAX('Activities'!K78,468))</x:f>
        <x:v>0</x:v>
      </x:c>
      <x:c r="CF78" s="22" t="n">
        <x:f>MAX(0,MIN('Activities'!L78,480)-MAX('Activities'!K78,474))</x:f>
        <x:v>0</x:v>
      </x:c>
      <x:c r="CG78" s="22" t="n">
        <x:f>MAX(0,MIN('Activities'!L78,486)-MAX('Activities'!K78,480))</x:f>
        <x:v>0</x:v>
      </x:c>
      <x:c r="CH78" s="22" t="n">
        <x:f>MAX(0,MIN('Activities'!L78,492)-MAX('Activities'!K78,486))</x:f>
        <x:v>0</x:v>
      </x:c>
      <x:c r="CI78" s="22" t="n">
        <x:f>MAX(0,MIN('Activities'!L78,498)-MAX('Activities'!K78,492))</x:f>
        <x:v>0</x:v>
      </x:c>
      <x:c r="CJ78" s="22" t="n">
        <x:f>MAX(0,MIN('Activities'!L78,504)-MAX('Activities'!K78,498))</x:f>
        <x:v>0</x:v>
      </x:c>
      <x:c r="CK78" s="22" t="n">
        <x:f>MAX(0,MIN('Activities'!L78,510)-MAX('Activities'!K78,504))</x:f>
        <x:v>0</x:v>
      </x:c>
      <x:c r="CL78" s="22" t="n">
        <x:f>MAX(0,MIN('Activities'!L78,516)-MAX('Activities'!K78,510))</x:f>
        <x:v>0</x:v>
      </x:c>
      <x:c r="CM78" s="22" t="n">
        <x:f>MAX(0,MIN('Activities'!L78,522)-MAX('Activities'!K78,516))</x:f>
        <x:v>0</x:v>
      </x:c>
      <x:c r="CN78" s="22" t="n">
        <x:f>MAX(0,MIN('Activities'!L78,528)-MAX('Activities'!K78,522))</x:f>
        <x:v>0</x:v>
      </x:c>
      <x:c r="CO78" s="22" t="n">
        <x:f>MAX(0,MIN('Activities'!L78,534)-MAX('Activities'!K78,528))</x:f>
        <x:v>0</x:v>
      </x:c>
      <x:c r="CP78" s="22" t="n">
        <x:f>MAX(0,MIN('Activities'!L78,540)-MAX('Activities'!K78,534))</x:f>
        <x:v>0</x:v>
      </x:c>
      <x:c r="CQ78" s="22" t="n">
        <x:f>MAX(0,MIN('Activities'!L78,546)-MAX('Activities'!K78,540))</x:f>
        <x:v>0</x:v>
      </x:c>
      <x:c r="CR78" s="22" t="n">
        <x:f>MAX(0,MIN('Activities'!L78,552)-MAX('Activities'!K78,546))</x:f>
        <x:v>0</x:v>
      </x:c>
      <x:c r="CS78" s="22" t="n">
        <x:f>MAX(0,MIN('Activities'!L78,558)-MAX('Activities'!K78,552))</x:f>
        <x:v>0</x:v>
      </x:c>
      <x:c r="CT78" s="22" t="n">
        <x:f>MAX(0,MIN('Activities'!L78,564)-MAX('Activities'!K78,558))</x:f>
        <x:v>0</x:v>
      </x:c>
      <x:c r="CU78" s="22" t="n">
        <x:f>MAX(0,MIN('Activities'!L78,570)-MAX('Activities'!K78,564))</x:f>
        <x:v>0</x:v>
      </x:c>
      <x:c r="CV78" s="22" t="n">
        <x:f>MAX(0,MIN('Activities'!L78,576)-MAX('Activities'!K78,570))</x:f>
        <x:v>0</x:v>
      </x:c>
      <x:c r="CW78" s="22" t="n">
        <x:f>MAX(0,MIN('Activities'!L78,582)-MAX('Activities'!K78,576))</x:f>
        <x:v>0</x:v>
      </x:c>
      <x:c r="CX78" s="22" t="n">
        <x:f>MAX(0,MIN('Activities'!L78,588)-MAX('Activities'!K78,582))</x:f>
        <x:v>0</x:v>
      </x:c>
      <x:c r="CY78" s="22" t="n">
        <x:f>MAX(0,MIN('Activities'!L78,594)-MAX('Activities'!K78,588))</x:f>
        <x:v>0</x:v>
      </x:c>
      <x:c r="CZ78" s="22" t="n">
        <x:f>MAX(0,MIN('Activities'!L78,600)-MAX('Activities'!K78,594))</x:f>
        <x:v>0</x:v>
      </x:c>
      <x:c r="DA78" s="22" t="n">
        <x:f>MAX(0,MIN('Activities'!L78,606)-MAX('Activities'!K78,600))</x:f>
        <x:v>0</x:v>
      </x:c>
      <x:c r="DB78" s="22" t="n">
        <x:f>MAX(0,MIN('Activities'!L78,612)-MAX('Activities'!K78,606))</x:f>
        <x:v>0</x:v>
      </x:c>
      <x:c r="DC78" s="22" t="n">
        <x:f>MAX(0,MIN('Activities'!L78,618)-MAX('Activities'!K78,612))</x:f>
        <x:v>0</x:v>
      </x:c>
      <x:c r="DD78" s="22" t="n">
        <x:f>MAX(0,MIN('Activities'!L78,624)-MAX('Activities'!K78,618))</x:f>
        <x:v>0</x:v>
      </x:c>
      <x:c r="DE78" s="22" t="n">
        <x:f>MAX(0,MIN('Activities'!L78,630)-MAX('Activities'!K78,624))</x:f>
        <x:v>0</x:v>
      </x:c>
      <x:c r="DF78" s="22" t="n">
        <x:f>MAX(0,MIN('Activities'!L78,636)-MAX('Activities'!K78,630))</x:f>
        <x:v>0</x:v>
      </x:c>
    </x:row>
    <x:row r="79" ht="23" customHeight="1">
      <x:c r="A79" s="1" t="str">
        <x:v>T1-L01-S</x:v>
      </x:c>
      <x:c r="B79" s="1" t="str">
        <x:v>T1</x:v>
      </x:c>
      <x:c r="C79" s="1" t="str">
        <x:v>Screed and substrate preparation</x:v>
      </x:c>
      <x:c r="D79" s="1" t="str">
        <x:v>Finishes</x:v>
      </x:c>
      <x:c r="E79" s="23" t="n">
        <x:f>MAX(0,MIN('Activities'!L79,6)-MAX('Activities'!K79,0))</x:f>
        <x:v>0</x:v>
      </x:c>
      <x:c r="F79" s="23" t="n">
        <x:f>MAX(0,MIN('Activities'!L79,12)-MAX('Activities'!K79,6))</x:f>
        <x:v>0</x:v>
      </x:c>
      <x:c r="G79" s="23" t="n">
        <x:f>MAX(0,MIN('Activities'!L79,18)-MAX('Activities'!K79,12))</x:f>
        <x:v>0</x:v>
      </x:c>
      <x:c r="H79" s="23" t="n">
        <x:f>MAX(0,MIN('Activities'!L79,24)-MAX('Activities'!K79,18))</x:f>
        <x:v>0</x:v>
      </x:c>
      <x:c r="I79" s="23" t="n">
        <x:f>MAX(0,MIN('Activities'!L79,30)-MAX('Activities'!K79,24))</x:f>
        <x:v>0</x:v>
      </x:c>
      <x:c r="J79" s="23" t="n">
        <x:f>MAX(0,MIN('Activities'!L79,36)-MAX('Activities'!K79,30))</x:f>
        <x:v>0</x:v>
      </x:c>
      <x:c r="K79" s="23" t="n">
        <x:f>MAX(0,MIN('Activities'!L79,42)-MAX('Activities'!K79,36))</x:f>
        <x:v>0</x:v>
      </x:c>
      <x:c r="L79" s="23" t="n">
        <x:f>MAX(0,MIN('Activities'!L79,48)-MAX('Activities'!K79,42))</x:f>
        <x:v>0</x:v>
      </x:c>
      <x:c r="M79" s="23" t="n">
        <x:f>MAX(0,MIN('Activities'!L79,54)-MAX('Activities'!K79,48))</x:f>
        <x:v>0</x:v>
      </x:c>
      <x:c r="N79" s="23" t="n">
        <x:f>MAX(0,MIN('Activities'!L79,60)-MAX('Activities'!K79,54))</x:f>
        <x:v>0</x:v>
      </x:c>
      <x:c r="O79" s="23" t="n">
        <x:f>MAX(0,MIN('Activities'!L79,66)-MAX('Activities'!K79,60))</x:f>
        <x:v>0</x:v>
      </x:c>
      <x:c r="P79" s="23" t="n">
        <x:f>MAX(0,MIN('Activities'!L79,72)-MAX('Activities'!K79,66))</x:f>
        <x:v>0</x:v>
      </x:c>
      <x:c r="Q79" s="23" t="n">
        <x:f>MAX(0,MIN('Activities'!L79,78)-MAX('Activities'!K79,72))</x:f>
        <x:v>0</x:v>
      </x:c>
      <x:c r="R79" s="23" t="n">
        <x:f>MAX(0,MIN('Activities'!L79,84)-MAX('Activities'!K79,78))</x:f>
        <x:v>0</x:v>
      </x:c>
      <x:c r="S79" s="23" t="n">
        <x:f>MAX(0,MIN('Activities'!L79,90)-MAX('Activities'!K79,84))</x:f>
        <x:v>0</x:v>
      </x:c>
      <x:c r="T79" s="23" t="n">
        <x:f>MAX(0,MIN('Activities'!L79,96)-MAX('Activities'!K79,90))</x:f>
        <x:v>0</x:v>
      </x:c>
      <x:c r="U79" s="23" t="n">
        <x:f>MAX(0,MIN('Activities'!L79,102)-MAX('Activities'!K79,96))</x:f>
        <x:v>0</x:v>
      </x:c>
      <x:c r="V79" s="23" t="n">
        <x:f>MAX(0,MIN('Activities'!L79,108)-MAX('Activities'!K79,102))</x:f>
        <x:v>0</x:v>
      </x:c>
      <x:c r="W79" s="23" t="n">
        <x:f>MAX(0,MIN('Activities'!L79,114)-MAX('Activities'!K79,108))</x:f>
        <x:v>0</x:v>
      </x:c>
      <x:c r="X79" s="23" t="n">
        <x:f>MAX(0,MIN('Activities'!L79,120)-MAX('Activities'!K79,114))</x:f>
        <x:v>0</x:v>
      </x:c>
      <x:c r="Y79" s="23" t="n">
        <x:f>MAX(0,MIN('Activities'!L79,126)-MAX('Activities'!K79,120))</x:f>
        <x:v>0</x:v>
      </x:c>
      <x:c r="Z79" s="23" t="n">
        <x:f>MAX(0,MIN('Activities'!L79,132)-MAX('Activities'!K79,126))</x:f>
        <x:v>0</x:v>
      </x:c>
      <x:c r="AA79" s="23" t="n">
        <x:f>MAX(0,MIN('Activities'!L79,138)-MAX('Activities'!K79,132))</x:f>
        <x:v>0</x:v>
      </x:c>
      <x:c r="AB79" s="23" t="n">
        <x:f>MAX(0,MIN('Activities'!L79,144)-MAX('Activities'!K79,138))</x:f>
        <x:v>0</x:v>
      </x:c>
      <x:c r="AC79" s="23" t="n">
        <x:f>MAX(0,MIN('Activities'!L79,150)-MAX('Activities'!K79,144))</x:f>
        <x:v>0</x:v>
      </x:c>
      <x:c r="AD79" s="23" t="n">
        <x:f>MAX(0,MIN('Activities'!L79,156)-MAX('Activities'!K79,150))</x:f>
        <x:v>0</x:v>
      </x:c>
      <x:c r="AE79" s="23" t="n">
        <x:f>MAX(0,MIN('Activities'!L79,162)-MAX('Activities'!K79,156))</x:f>
        <x:v>0</x:v>
      </x:c>
      <x:c r="AF79" s="23" t="n">
        <x:f>MAX(0,MIN('Activities'!L79,168)-MAX('Activities'!K79,162))</x:f>
        <x:v>0</x:v>
      </x:c>
      <x:c r="AG79" s="23" t="n">
        <x:f>MAX(0,MIN('Activities'!L79,174)-MAX('Activities'!K79,168))</x:f>
        <x:v>0</x:v>
      </x:c>
      <x:c r="AH79" s="23" t="n">
        <x:f>MAX(0,MIN('Activities'!L79,180)-MAX('Activities'!K79,174))</x:f>
        <x:v>0</x:v>
      </x:c>
      <x:c r="AI79" s="23" t="n">
        <x:f>MAX(0,MIN('Activities'!L79,186)-MAX('Activities'!K79,180))</x:f>
        <x:v>0</x:v>
      </x:c>
      <x:c r="AJ79" s="23" t="n">
        <x:f>MAX(0,MIN('Activities'!L79,192)-MAX('Activities'!K79,186))</x:f>
        <x:v>0</x:v>
      </x:c>
      <x:c r="AK79" s="23" t="n">
        <x:f>MAX(0,MIN('Activities'!L79,198)-MAX('Activities'!K79,192))</x:f>
        <x:v>0</x:v>
      </x:c>
      <x:c r="AL79" s="23" t="n">
        <x:f>MAX(0,MIN('Activities'!L79,204)-MAX('Activities'!K79,198))</x:f>
        <x:v>0</x:v>
      </x:c>
      <x:c r="AM79" s="23" t="n">
        <x:f>MAX(0,MIN('Activities'!L79,210)-MAX('Activities'!K79,204))</x:f>
        <x:v>0</x:v>
      </x:c>
      <x:c r="AN79" s="23" t="n">
        <x:f>MAX(0,MIN('Activities'!L79,216)-MAX('Activities'!K79,210))</x:f>
        <x:v>0</x:v>
      </x:c>
      <x:c r="AO79" s="23" t="n">
        <x:f>MAX(0,MIN('Activities'!L79,222)-MAX('Activities'!K79,216))</x:f>
        <x:v>0</x:v>
      </x:c>
      <x:c r="AP79" s="23" t="n">
        <x:f>MAX(0,MIN('Activities'!L79,228)-MAX('Activities'!K79,222))</x:f>
        <x:v>0</x:v>
      </x:c>
      <x:c r="AQ79" s="23" t="n">
        <x:f>MAX(0,MIN('Activities'!L79,234)-MAX('Activities'!K79,228))</x:f>
        <x:v>0</x:v>
      </x:c>
      <x:c r="AR79" s="23" t="n">
        <x:f>MAX(0,MIN('Activities'!L79,240)-MAX('Activities'!K79,234))</x:f>
        <x:v>0</x:v>
      </x:c>
      <x:c r="AS79" s="23" t="n">
        <x:f>MAX(0,MIN('Activities'!L79,246)-MAX('Activities'!K79,240))</x:f>
        <x:v>1</x:v>
      </x:c>
      <x:c r="AT79" s="23" t="n">
        <x:f>MAX(0,MIN('Activities'!L79,252)-MAX('Activities'!K79,246))</x:f>
        <x:v>2</x:v>
      </x:c>
      <x:c r="AU79" s="23" t="n">
        <x:f>MAX(0,MIN('Activities'!L79,258)-MAX('Activities'!K79,252))</x:f>
        <x:v>0</x:v>
      </x:c>
      <x:c r="AV79" s="23" t="n">
        <x:f>MAX(0,MIN('Activities'!L79,264)-MAX('Activities'!K79,258))</x:f>
        <x:v>0</x:v>
      </x:c>
      <x:c r="AW79" s="23" t="n">
        <x:f>MAX(0,MIN('Activities'!L79,270)-MAX('Activities'!K79,264))</x:f>
        <x:v>0</x:v>
      </x:c>
      <x:c r="AX79" s="23" t="n">
        <x:f>MAX(0,MIN('Activities'!L79,276)-MAX('Activities'!K79,270))</x:f>
        <x:v>0</x:v>
      </x:c>
      <x:c r="AY79" s="23" t="n">
        <x:f>MAX(0,MIN('Activities'!L79,282)-MAX('Activities'!K79,276))</x:f>
        <x:v>0</x:v>
      </x:c>
      <x:c r="AZ79" s="23" t="n">
        <x:f>MAX(0,MIN('Activities'!L79,288)-MAX('Activities'!K79,282))</x:f>
        <x:v>0</x:v>
      </x:c>
      <x:c r="BA79" s="23" t="n">
        <x:f>MAX(0,MIN('Activities'!L79,294)-MAX('Activities'!K79,288))</x:f>
        <x:v>0</x:v>
      </x:c>
      <x:c r="BB79" s="23" t="n">
        <x:f>MAX(0,MIN('Activities'!L79,300)-MAX('Activities'!K79,294))</x:f>
        <x:v>0</x:v>
      </x:c>
      <x:c r="BC79" s="23" t="n">
        <x:f>MAX(0,MIN('Activities'!L79,306)-MAX('Activities'!K79,300))</x:f>
        <x:v>0</x:v>
      </x:c>
      <x:c r="BD79" s="23" t="n">
        <x:f>MAX(0,MIN('Activities'!L79,312)-MAX('Activities'!K79,306))</x:f>
        <x:v>0</x:v>
      </x:c>
      <x:c r="BE79" s="23" t="n">
        <x:f>MAX(0,MIN('Activities'!L79,318)-MAX('Activities'!K79,312))</x:f>
        <x:v>0</x:v>
      </x:c>
      <x:c r="BF79" s="23" t="n">
        <x:f>MAX(0,MIN('Activities'!L79,324)-MAX('Activities'!K79,318))</x:f>
        <x:v>0</x:v>
      </x:c>
      <x:c r="BG79" s="23" t="n">
        <x:f>MAX(0,MIN('Activities'!L79,330)-MAX('Activities'!K79,324))</x:f>
        <x:v>0</x:v>
      </x:c>
      <x:c r="BH79" s="23" t="n">
        <x:f>MAX(0,MIN('Activities'!L79,336)-MAX('Activities'!K79,330))</x:f>
        <x:v>0</x:v>
      </x:c>
      <x:c r="BI79" s="23" t="n">
        <x:f>MAX(0,MIN('Activities'!L79,342)-MAX('Activities'!K79,336))</x:f>
        <x:v>0</x:v>
      </x:c>
      <x:c r="BJ79" s="23" t="n">
        <x:f>MAX(0,MIN('Activities'!L79,348)-MAX('Activities'!K79,342))</x:f>
        <x:v>0</x:v>
      </x:c>
      <x:c r="BK79" s="23" t="n">
        <x:f>MAX(0,MIN('Activities'!L79,354)-MAX('Activities'!K79,348))</x:f>
        <x:v>0</x:v>
      </x:c>
      <x:c r="BL79" s="23" t="n">
        <x:f>MAX(0,MIN('Activities'!L79,360)-MAX('Activities'!K79,354))</x:f>
        <x:v>0</x:v>
      </x:c>
      <x:c r="BM79" s="23" t="n">
        <x:f>MAX(0,MIN('Activities'!L79,366)-MAX('Activities'!K79,360))</x:f>
        <x:v>0</x:v>
      </x:c>
      <x:c r="BN79" s="23" t="n">
        <x:f>MAX(0,MIN('Activities'!L79,372)-MAX('Activities'!K79,366))</x:f>
        <x:v>0</x:v>
      </x:c>
      <x:c r="BO79" s="23" t="n">
        <x:f>MAX(0,MIN('Activities'!L79,378)-MAX('Activities'!K79,372))</x:f>
        <x:v>0</x:v>
      </x:c>
      <x:c r="BP79" s="23" t="n">
        <x:f>MAX(0,MIN('Activities'!L79,384)-MAX('Activities'!K79,378))</x:f>
        <x:v>0</x:v>
      </x:c>
      <x:c r="BQ79" s="23" t="n">
        <x:f>MAX(0,MIN('Activities'!L79,390)-MAX('Activities'!K79,384))</x:f>
        <x:v>0</x:v>
      </x:c>
      <x:c r="BR79" s="23" t="n">
        <x:f>MAX(0,MIN('Activities'!L79,396)-MAX('Activities'!K79,390))</x:f>
        <x:v>0</x:v>
      </x:c>
      <x:c r="BS79" s="23" t="n">
        <x:f>MAX(0,MIN('Activities'!L79,402)-MAX('Activities'!K79,396))</x:f>
        <x:v>0</x:v>
      </x:c>
      <x:c r="BT79" s="23" t="n">
        <x:f>MAX(0,MIN('Activities'!L79,408)-MAX('Activities'!K79,402))</x:f>
        <x:v>0</x:v>
      </x:c>
      <x:c r="BU79" s="23" t="n">
        <x:f>MAX(0,MIN('Activities'!L79,414)-MAX('Activities'!K79,408))</x:f>
        <x:v>0</x:v>
      </x:c>
      <x:c r="BV79" s="23" t="n">
        <x:f>MAX(0,MIN('Activities'!L79,420)-MAX('Activities'!K79,414))</x:f>
        <x:v>0</x:v>
      </x:c>
      <x:c r="BW79" s="23" t="n">
        <x:f>MAX(0,MIN('Activities'!L79,426)-MAX('Activities'!K79,420))</x:f>
        <x:v>0</x:v>
      </x:c>
      <x:c r="BX79" s="23" t="n">
        <x:f>MAX(0,MIN('Activities'!L79,432)-MAX('Activities'!K79,426))</x:f>
        <x:v>0</x:v>
      </x:c>
      <x:c r="BY79" s="23" t="n">
        <x:f>MAX(0,MIN('Activities'!L79,438)-MAX('Activities'!K79,432))</x:f>
        <x:v>0</x:v>
      </x:c>
      <x:c r="BZ79" s="23" t="n">
        <x:f>MAX(0,MIN('Activities'!L79,444)-MAX('Activities'!K79,438))</x:f>
        <x:v>0</x:v>
      </x:c>
      <x:c r="CA79" s="23" t="n">
        <x:f>MAX(0,MIN('Activities'!L79,450)-MAX('Activities'!K79,444))</x:f>
        <x:v>0</x:v>
      </x:c>
      <x:c r="CB79" s="23" t="n">
        <x:f>MAX(0,MIN('Activities'!L79,456)-MAX('Activities'!K79,450))</x:f>
        <x:v>0</x:v>
      </x:c>
      <x:c r="CC79" s="23" t="n">
        <x:f>MAX(0,MIN('Activities'!L79,462)-MAX('Activities'!K79,456))</x:f>
        <x:v>0</x:v>
      </x:c>
      <x:c r="CD79" s="23" t="n">
        <x:f>MAX(0,MIN('Activities'!L79,468)-MAX('Activities'!K79,462))</x:f>
        <x:v>0</x:v>
      </x:c>
      <x:c r="CE79" s="23" t="n">
        <x:f>MAX(0,MIN('Activities'!L79,474)-MAX('Activities'!K79,468))</x:f>
        <x:v>0</x:v>
      </x:c>
      <x:c r="CF79" s="23" t="n">
        <x:f>MAX(0,MIN('Activities'!L79,480)-MAX('Activities'!K79,474))</x:f>
        <x:v>0</x:v>
      </x:c>
      <x:c r="CG79" s="23" t="n">
        <x:f>MAX(0,MIN('Activities'!L79,486)-MAX('Activities'!K79,480))</x:f>
        <x:v>0</x:v>
      </x:c>
      <x:c r="CH79" s="23" t="n">
        <x:f>MAX(0,MIN('Activities'!L79,492)-MAX('Activities'!K79,486))</x:f>
        <x:v>0</x:v>
      </x:c>
      <x:c r="CI79" s="23" t="n">
        <x:f>MAX(0,MIN('Activities'!L79,498)-MAX('Activities'!K79,492))</x:f>
        <x:v>0</x:v>
      </x:c>
      <x:c r="CJ79" s="23" t="n">
        <x:f>MAX(0,MIN('Activities'!L79,504)-MAX('Activities'!K79,498))</x:f>
        <x:v>0</x:v>
      </x:c>
      <x:c r="CK79" s="23" t="n">
        <x:f>MAX(0,MIN('Activities'!L79,510)-MAX('Activities'!K79,504))</x:f>
        <x:v>0</x:v>
      </x:c>
      <x:c r="CL79" s="23" t="n">
        <x:f>MAX(0,MIN('Activities'!L79,516)-MAX('Activities'!K79,510))</x:f>
        <x:v>0</x:v>
      </x:c>
      <x:c r="CM79" s="23" t="n">
        <x:f>MAX(0,MIN('Activities'!L79,522)-MAX('Activities'!K79,516))</x:f>
        <x:v>0</x:v>
      </x:c>
      <x:c r="CN79" s="23" t="n">
        <x:f>MAX(0,MIN('Activities'!L79,528)-MAX('Activities'!K79,522))</x:f>
        <x:v>0</x:v>
      </x:c>
      <x:c r="CO79" s="23" t="n">
        <x:f>MAX(0,MIN('Activities'!L79,534)-MAX('Activities'!K79,528))</x:f>
        <x:v>0</x:v>
      </x:c>
      <x:c r="CP79" s="23" t="n">
        <x:f>MAX(0,MIN('Activities'!L79,540)-MAX('Activities'!K79,534))</x:f>
        <x:v>0</x:v>
      </x:c>
      <x:c r="CQ79" s="23" t="n">
        <x:f>MAX(0,MIN('Activities'!L79,546)-MAX('Activities'!K79,540))</x:f>
        <x:v>0</x:v>
      </x:c>
      <x:c r="CR79" s="23" t="n">
        <x:f>MAX(0,MIN('Activities'!L79,552)-MAX('Activities'!K79,546))</x:f>
        <x:v>0</x:v>
      </x:c>
      <x:c r="CS79" s="23" t="n">
        <x:f>MAX(0,MIN('Activities'!L79,558)-MAX('Activities'!K79,552))</x:f>
        <x:v>0</x:v>
      </x:c>
      <x:c r="CT79" s="23" t="n">
        <x:f>MAX(0,MIN('Activities'!L79,564)-MAX('Activities'!K79,558))</x:f>
        <x:v>0</x:v>
      </x:c>
      <x:c r="CU79" s="23" t="n">
        <x:f>MAX(0,MIN('Activities'!L79,570)-MAX('Activities'!K79,564))</x:f>
        <x:v>0</x:v>
      </x:c>
      <x:c r="CV79" s="23" t="n">
        <x:f>MAX(0,MIN('Activities'!L79,576)-MAX('Activities'!K79,570))</x:f>
        <x:v>0</x:v>
      </x:c>
      <x:c r="CW79" s="23" t="n">
        <x:f>MAX(0,MIN('Activities'!L79,582)-MAX('Activities'!K79,576))</x:f>
        <x:v>0</x:v>
      </x:c>
      <x:c r="CX79" s="23" t="n">
        <x:f>MAX(0,MIN('Activities'!L79,588)-MAX('Activities'!K79,582))</x:f>
        <x:v>0</x:v>
      </x:c>
      <x:c r="CY79" s="23" t="n">
        <x:f>MAX(0,MIN('Activities'!L79,594)-MAX('Activities'!K79,588))</x:f>
        <x:v>0</x:v>
      </x:c>
      <x:c r="CZ79" s="23" t="n">
        <x:f>MAX(0,MIN('Activities'!L79,600)-MAX('Activities'!K79,594))</x:f>
        <x:v>0</x:v>
      </x:c>
      <x:c r="DA79" s="23" t="n">
        <x:f>MAX(0,MIN('Activities'!L79,606)-MAX('Activities'!K79,600))</x:f>
        <x:v>0</x:v>
      </x:c>
      <x:c r="DB79" s="23" t="n">
        <x:f>MAX(0,MIN('Activities'!L79,612)-MAX('Activities'!K79,606))</x:f>
        <x:v>0</x:v>
      </x:c>
      <x:c r="DC79" s="23" t="n">
        <x:f>MAX(0,MIN('Activities'!L79,618)-MAX('Activities'!K79,612))</x:f>
        <x:v>0</x:v>
      </x:c>
      <x:c r="DD79" s="23" t="n">
        <x:f>MAX(0,MIN('Activities'!L79,624)-MAX('Activities'!K79,618))</x:f>
        <x:v>0</x:v>
      </x:c>
      <x:c r="DE79" s="23" t="n">
        <x:f>MAX(0,MIN('Activities'!L79,630)-MAX('Activities'!K79,624))</x:f>
        <x:v>0</x:v>
      </x:c>
      <x:c r="DF79" s="23" t="n">
        <x:f>MAX(0,MIN('Activities'!L79,636)-MAX('Activities'!K79,630))</x:f>
        <x:v>0</x:v>
      </x:c>
    </x:row>
    <x:row r="80" ht="23" customHeight="1">
      <x:c r="A80" s="6" t="str">
        <x:v>T1-L01-T</x:v>
      </x:c>
      <x:c r="B80" s="6" t="str">
        <x:v>T1</x:v>
      </x:c>
      <x:c r="C80" s="6" t="str">
        <x:v>Floor finishes and skirtings</x:v>
      </x:c>
      <x:c r="D80" s="6" t="str">
        <x:v>Finishes</x:v>
      </x:c>
      <x:c r="E80" s="22" t="n">
        <x:f>MAX(0,MIN('Activities'!L80,6)-MAX('Activities'!K80,0))</x:f>
        <x:v>0</x:v>
      </x:c>
      <x:c r="F80" s="22" t="n">
        <x:f>MAX(0,MIN('Activities'!L80,12)-MAX('Activities'!K80,6))</x:f>
        <x:v>0</x:v>
      </x:c>
      <x:c r="G80" s="22" t="n">
        <x:f>MAX(0,MIN('Activities'!L80,18)-MAX('Activities'!K80,12))</x:f>
        <x:v>0</x:v>
      </x:c>
      <x:c r="H80" s="22" t="n">
        <x:f>MAX(0,MIN('Activities'!L80,24)-MAX('Activities'!K80,18))</x:f>
        <x:v>0</x:v>
      </x:c>
      <x:c r="I80" s="22" t="n">
        <x:f>MAX(0,MIN('Activities'!L80,30)-MAX('Activities'!K80,24))</x:f>
        <x:v>0</x:v>
      </x:c>
      <x:c r="J80" s="22" t="n">
        <x:f>MAX(0,MIN('Activities'!L80,36)-MAX('Activities'!K80,30))</x:f>
        <x:v>0</x:v>
      </x:c>
      <x:c r="K80" s="22" t="n">
        <x:f>MAX(0,MIN('Activities'!L80,42)-MAX('Activities'!K80,36))</x:f>
        <x:v>0</x:v>
      </x:c>
      <x:c r="L80" s="22" t="n">
        <x:f>MAX(0,MIN('Activities'!L80,48)-MAX('Activities'!K80,42))</x:f>
        <x:v>0</x:v>
      </x:c>
      <x:c r="M80" s="22" t="n">
        <x:f>MAX(0,MIN('Activities'!L80,54)-MAX('Activities'!K80,48))</x:f>
        <x:v>0</x:v>
      </x:c>
      <x:c r="N80" s="22" t="n">
        <x:f>MAX(0,MIN('Activities'!L80,60)-MAX('Activities'!K80,54))</x:f>
        <x:v>0</x:v>
      </x:c>
      <x:c r="O80" s="22" t="n">
        <x:f>MAX(0,MIN('Activities'!L80,66)-MAX('Activities'!K80,60))</x:f>
        <x:v>0</x:v>
      </x:c>
      <x:c r="P80" s="22" t="n">
        <x:f>MAX(0,MIN('Activities'!L80,72)-MAX('Activities'!K80,66))</x:f>
        <x:v>0</x:v>
      </x:c>
      <x:c r="Q80" s="22" t="n">
        <x:f>MAX(0,MIN('Activities'!L80,78)-MAX('Activities'!K80,72))</x:f>
        <x:v>0</x:v>
      </x:c>
      <x:c r="R80" s="22" t="n">
        <x:f>MAX(0,MIN('Activities'!L80,84)-MAX('Activities'!K80,78))</x:f>
        <x:v>0</x:v>
      </x:c>
      <x:c r="S80" s="22" t="n">
        <x:f>MAX(0,MIN('Activities'!L80,90)-MAX('Activities'!K80,84))</x:f>
        <x:v>0</x:v>
      </x:c>
      <x:c r="T80" s="22" t="n">
        <x:f>MAX(0,MIN('Activities'!L80,96)-MAX('Activities'!K80,90))</x:f>
        <x:v>0</x:v>
      </x:c>
      <x:c r="U80" s="22" t="n">
        <x:f>MAX(0,MIN('Activities'!L80,102)-MAX('Activities'!K80,96))</x:f>
        <x:v>0</x:v>
      </x:c>
      <x:c r="V80" s="22" t="n">
        <x:f>MAX(0,MIN('Activities'!L80,108)-MAX('Activities'!K80,102))</x:f>
        <x:v>0</x:v>
      </x:c>
      <x:c r="W80" s="22" t="n">
        <x:f>MAX(0,MIN('Activities'!L80,114)-MAX('Activities'!K80,108))</x:f>
        <x:v>0</x:v>
      </x:c>
      <x:c r="X80" s="22" t="n">
        <x:f>MAX(0,MIN('Activities'!L80,120)-MAX('Activities'!K80,114))</x:f>
        <x:v>0</x:v>
      </x:c>
      <x:c r="Y80" s="22" t="n">
        <x:f>MAX(0,MIN('Activities'!L80,126)-MAX('Activities'!K80,120))</x:f>
        <x:v>0</x:v>
      </x:c>
      <x:c r="Z80" s="22" t="n">
        <x:f>MAX(0,MIN('Activities'!L80,132)-MAX('Activities'!K80,126))</x:f>
        <x:v>0</x:v>
      </x:c>
      <x:c r="AA80" s="22" t="n">
        <x:f>MAX(0,MIN('Activities'!L80,138)-MAX('Activities'!K80,132))</x:f>
        <x:v>0</x:v>
      </x:c>
      <x:c r="AB80" s="22" t="n">
        <x:f>MAX(0,MIN('Activities'!L80,144)-MAX('Activities'!K80,138))</x:f>
        <x:v>0</x:v>
      </x:c>
      <x:c r="AC80" s="22" t="n">
        <x:f>MAX(0,MIN('Activities'!L80,150)-MAX('Activities'!K80,144))</x:f>
        <x:v>0</x:v>
      </x:c>
      <x:c r="AD80" s="22" t="n">
        <x:f>MAX(0,MIN('Activities'!L80,156)-MAX('Activities'!K80,150))</x:f>
        <x:v>0</x:v>
      </x:c>
      <x:c r="AE80" s="22" t="n">
        <x:f>MAX(0,MIN('Activities'!L80,162)-MAX('Activities'!K80,156))</x:f>
        <x:v>0</x:v>
      </x:c>
      <x:c r="AF80" s="22" t="n">
        <x:f>MAX(0,MIN('Activities'!L80,168)-MAX('Activities'!K80,162))</x:f>
        <x:v>0</x:v>
      </x:c>
      <x:c r="AG80" s="22" t="n">
        <x:f>MAX(0,MIN('Activities'!L80,174)-MAX('Activities'!K80,168))</x:f>
        <x:v>0</x:v>
      </x:c>
      <x:c r="AH80" s="22" t="n">
        <x:f>MAX(0,MIN('Activities'!L80,180)-MAX('Activities'!K80,174))</x:f>
        <x:v>0</x:v>
      </x:c>
      <x:c r="AI80" s="22" t="n">
        <x:f>MAX(0,MIN('Activities'!L80,186)-MAX('Activities'!K80,180))</x:f>
        <x:v>0</x:v>
      </x:c>
      <x:c r="AJ80" s="22" t="n">
        <x:f>MAX(0,MIN('Activities'!L80,192)-MAX('Activities'!K80,186))</x:f>
        <x:v>0</x:v>
      </x:c>
      <x:c r="AK80" s="22" t="n">
        <x:f>MAX(0,MIN('Activities'!L80,198)-MAX('Activities'!K80,192))</x:f>
        <x:v>0</x:v>
      </x:c>
      <x:c r="AL80" s="22" t="n">
        <x:f>MAX(0,MIN('Activities'!L80,204)-MAX('Activities'!K80,198))</x:f>
        <x:v>0</x:v>
      </x:c>
      <x:c r="AM80" s="22" t="n">
        <x:f>MAX(0,MIN('Activities'!L80,210)-MAX('Activities'!K80,204))</x:f>
        <x:v>0</x:v>
      </x:c>
      <x:c r="AN80" s="22" t="n">
        <x:f>MAX(0,MIN('Activities'!L80,216)-MAX('Activities'!K80,210))</x:f>
        <x:v>0</x:v>
      </x:c>
      <x:c r="AO80" s="22" t="n">
        <x:f>MAX(0,MIN('Activities'!L80,222)-MAX('Activities'!K80,216))</x:f>
        <x:v>0</x:v>
      </x:c>
      <x:c r="AP80" s="22" t="n">
        <x:f>MAX(0,MIN('Activities'!L80,228)-MAX('Activities'!K80,222))</x:f>
        <x:v>0</x:v>
      </x:c>
      <x:c r="AQ80" s="22" t="n">
        <x:f>MAX(0,MIN('Activities'!L80,234)-MAX('Activities'!K80,228))</x:f>
        <x:v>0</x:v>
      </x:c>
      <x:c r="AR80" s="22" t="n">
        <x:f>MAX(0,MIN('Activities'!L80,240)-MAX('Activities'!K80,234))</x:f>
        <x:v>0</x:v>
      </x:c>
      <x:c r="AS80" s="22" t="n">
        <x:f>MAX(0,MIN('Activities'!L80,246)-MAX('Activities'!K80,240))</x:f>
        <x:v>0</x:v>
      </x:c>
      <x:c r="AT80" s="22" t="n">
        <x:f>MAX(0,MIN('Activities'!L80,252)-MAX('Activities'!K80,246))</x:f>
        <x:v>0</x:v>
      </x:c>
      <x:c r="AU80" s="22" t="n">
        <x:f>MAX(0,MIN('Activities'!L80,258)-MAX('Activities'!K80,252))</x:f>
        <x:v>0</x:v>
      </x:c>
      <x:c r="AV80" s="22" t="n">
        <x:f>MAX(0,MIN('Activities'!L80,264)-MAX('Activities'!K80,258))</x:f>
        <x:v>0</x:v>
      </x:c>
      <x:c r="AW80" s="22" t="n">
        <x:f>MAX(0,MIN('Activities'!L80,270)-MAX('Activities'!K80,264))</x:f>
        <x:v>0</x:v>
      </x:c>
      <x:c r="AX80" s="22" t="n">
        <x:f>MAX(0,MIN('Activities'!L80,276)-MAX('Activities'!K80,270))</x:f>
        <x:v>0</x:v>
      </x:c>
      <x:c r="AY80" s="22" t="n">
        <x:f>MAX(0,MIN('Activities'!L80,282)-MAX('Activities'!K80,276))</x:f>
        <x:v>0</x:v>
      </x:c>
      <x:c r="AZ80" s="22" t="n">
        <x:f>MAX(0,MIN('Activities'!L80,288)-MAX('Activities'!K80,282))</x:f>
        <x:v>0</x:v>
      </x:c>
      <x:c r="BA80" s="22" t="n">
        <x:f>MAX(0,MIN('Activities'!L80,294)-MAX('Activities'!K80,288))</x:f>
        <x:v>0</x:v>
      </x:c>
      <x:c r="BB80" s="22" t="n">
        <x:f>MAX(0,MIN('Activities'!L80,300)-MAX('Activities'!K80,294))</x:f>
        <x:v>0</x:v>
      </x:c>
      <x:c r="BC80" s="22" t="n">
        <x:f>MAX(0,MIN('Activities'!L80,306)-MAX('Activities'!K80,300))</x:f>
        <x:v>0</x:v>
      </x:c>
      <x:c r="BD80" s="22" t="n">
        <x:f>MAX(0,MIN('Activities'!L80,312)-MAX('Activities'!K80,306))</x:f>
        <x:v>0</x:v>
      </x:c>
      <x:c r="BE80" s="22" t="n">
        <x:f>MAX(0,MIN('Activities'!L80,318)-MAX('Activities'!K80,312))</x:f>
        <x:v>0</x:v>
      </x:c>
      <x:c r="BF80" s="22" t="n">
        <x:f>MAX(0,MIN('Activities'!L80,324)-MAX('Activities'!K80,318))</x:f>
        <x:v>0</x:v>
      </x:c>
      <x:c r="BG80" s="22" t="n">
        <x:f>MAX(0,MIN('Activities'!L80,330)-MAX('Activities'!K80,324))</x:f>
        <x:v>0</x:v>
      </x:c>
      <x:c r="BH80" s="22" t="n">
        <x:f>MAX(0,MIN('Activities'!L80,336)-MAX('Activities'!K80,330))</x:f>
        <x:v>0</x:v>
      </x:c>
      <x:c r="BI80" s="22" t="n">
        <x:f>MAX(0,MIN('Activities'!L80,342)-MAX('Activities'!K80,336))</x:f>
        <x:v>0</x:v>
      </x:c>
      <x:c r="BJ80" s="22" t="n">
        <x:f>MAX(0,MIN('Activities'!L80,348)-MAX('Activities'!K80,342))</x:f>
        <x:v>0</x:v>
      </x:c>
      <x:c r="BK80" s="22" t="n">
        <x:f>MAX(0,MIN('Activities'!L80,354)-MAX('Activities'!K80,348))</x:f>
        <x:v>0</x:v>
      </x:c>
      <x:c r="BL80" s="22" t="n">
        <x:f>MAX(0,MIN('Activities'!L80,360)-MAX('Activities'!K80,354))</x:f>
        <x:v>0</x:v>
      </x:c>
      <x:c r="BM80" s="22" t="n">
        <x:f>MAX(0,MIN('Activities'!L80,366)-MAX('Activities'!K80,360))</x:f>
        <x:v>0</x:v>
      </x:c>
      <x:c r="BN80" s="22" t="n">
        <x:f>MAX(0,MIN('Activities'!L80,372)-MAX('Activities'!K80,366))</x:f>
        <x:v>0</x:v>
      </x:c>
      <x:c r="BO80" s="22" t="n">
        <x:f>MAX(0,MIN('Activities'!L80,378)-MAX('Activities'!K80,372))</x:f>
        <x:v>0</x:v>
      </x:c>
      <x:c r="BP80" s="22" t="n">
        <x:f>MAX(0,MIN('Activities'!L80,384)-MAX('Activities'!K80,378))</x:f>
        <x:v>0</x:v>
      </x:c>
      <x:c r="BQ80" s="22" t="n">
        <x:f>MAX(0,MIN('Activities'!L80,390)-MAX('Activities'!K80,384))</x:f>
        <x:v>0</x:v>
      </x:c>
      <x:c r="BR80" s="22" t="n">
        <x:f>MAX(0,MIN('Activities'!L80,396)-MAX('Activities'!K80,390))</x:f>
        <x:v>0</x:v>
      </x:c>
      <x:c r="BS80" s="22" t="n">
        <x:f>MAX(0,MIN('Activities'!L80,402)-MAX('Activities'!K80,396))</x:f>
        <x:v>1</x:v>
      </x:c>
      <x:c r="BT80" s="22" t="n">
        <x:f>MAX(0,MIN('Activities'!L80,408)-MAX('Activities'!K80,402))</x:f>
        <x:v>5</x:v>
      </x:c>
      <x:c r="BU80" s="22" t="n">
        <x:f>MAX(0,MIN('Activities'!L80,414)-MAX('Activities'!K80,408))</x:f>
        <x:v>0</x:v>
      </x:c>
      <x:c r="BV80" s="22" t="n">
        <x:f>MAX(0,MIN('Activities'!L80,420)-MAX('Activities'!K80,414))</x:f>
        <x:v>0</x:v>
      </x:c>
      <x:c r="BW80" s="22" t="n">
        <x:f>MAX(0,MIN('Activities'!L80,426)-MAX('Activities'!K80,420))</x:f>
        <x:v>0</x:v>
      </x:c>
      <x:c r="BX80" s="22" t="n">
        <x:f>MAX(0,MIN('Activities'!L80,432)-MAX('Activities'!K80,426))</x:f>
        <x:v>0</x:v>
      </x:c>
      <x:c r="BY80" s="22" t="n">
        <x:f>MAX(0,MIN('Activities'!L80,438)-MAX('Activities'!K80,432))</x:f>
        <x:v>0</x:v>
      </x:c>
      <x:c r="BZ80" s="22" t="n">
        <x:f>MAX(0,MIN('Activities'!L80,444)-MAX('Activities'!K80,438))</x:f>
        <x:v>0</x:v>
      </x:c>
      <x:c r="CA80" s="22" t="n">
        <x:f>MAX(0,MIN('Activities'!L80,450)-MAX('Activities'!K80,444))</x:f>
        <x:v>0</x:v>
      </x:c>
      <x:c r="CB80" s="22" t="n">
        <x:f>MAX(0,MIN('Activities'!L80,456)-MAX('Activities'!K80,450))</x:f>
        <x:v>0</x:v>
      </x:c>
      <x:c r="CC80" s="22" t="n">
        <x:f>MAX(0,MIN('Activities'!L80,462)-MAX('Activities'!K80,456))</x:f>
        <x:v>0</x:v>
      </x:c>
      <x:c r="CD80" s="22" t="n">
        <x:f>MAX(0,MIN('Activities'!L80,468)-MAX('Activities'!K80,462))</x:f>
        <x:v>0</x:v>
      </x:c>
      <x:c r="CE80" s="22" t="n">
        <x:f>MAX(0,MIN('Activities'!L80,474)-MAX('Activities'!K80,468))</x:f>
        <x:v>0</x:v>
      </x:c>
      <x:c r="CF80" s="22" t="n">
        <x:f>MAX(0,MIN('Activities'!L80,480)-MAX('Activities'!K80,474))</x:f>
        <x:v>0</x:v>
      </x:c>
      <x:c r="CG80" s="22" t="n">
        <x:f>MAX(0,MIN('Activities'!L80,486)-MAX('Activities'!K80,480))</x:f>
        <x:v>0</x:v>
      </x:c>
      <x:c r="CH80" s="22" t="n">
        <x:f>MAX(0,MIN('Activities'!L80,492)-MAX('Activities'!K80,486))</x:f>
        <x:v>0</x:v>
      </x:c>
      <x:c r="CI80" s="22" t="n">
        <x:f>MAX(0,MIN('Activities'!L80,498)-MAX('Activities'!K80,492))</x:f>
        <x:v>0</x:v>
      </x:c>
      <x:c r="CJ80" s="22" t="n">
        <x:f>MAX(0,MIN('Activities'!L80,504)-MAX('Activities'!K80,498))</x:f>
        <x:v>0</x:v>
      </x:c>
      <x:c r="CK80" s="22" t="n">
        <x:f>MAX(0,MIN('Activities'!L80,510)-MAX('Activities'!K80,504))</x:f>
        <x:v>0</x:v>
      </x:c>
      <x:c r="CL80" s="22" t="n">
        <x:f>MAX(0,MIN('Activities'!L80,516)-MAX('Activities'!K80,510))</x:f>
        <x:v>0</x:v>
      </x:c>
      <x:c r="CM80" s="22" t="n">
        <x:f>MAX(0,MIN('Activities'!L80,522)-MAX('Activities'!K80,516))</x:f>
        <x:v>0</x:v>
      </x:c>
      <x:c r="CN80" s="22" t="n">
        <x:f>MAX(0,MIN('Activities'!L80,528)-MAX('Activities'!K80,522))</x:f>
        <x:v>0</x:v>
      </x:c>
      <x:c r="CO80" s="22" t="n">
        <x:f>MAX(0,MIN('Activities'!L80,534)-MAX('Activities'!K80,528))</x:f>
        <x:v>0</x:v>
      </x:c>
      <x:c r="CP80" s="22" t="n">
        <x:f>MAX(0,MIN('Activities'!L80,540)-MAX('Activities'!K80,534))</x:f>
        <x:v>0</x:v>
      </x:c>
      <x:c r="CQ80" s="22" t="n">
        <x:f>MAX(0,MIN('Activities'!L80,546)-MAX('Activities'!K80,540))</x:f>
        <x:v>0</x:v>
      </x:c>
      <x:c r="CR80" s="22" t="n">
        <x:f>MAX(0,MIN('Activities'!L80,552)-MAX('Activities'!K80,546))</x:f>
        <x:v>0</x:v>
      </x:c>
      <x:c r="CS80" s="22" t="n">
        <x:f>MAX(0,MIN('Activities'!L80,558)-MAX('Activities'!K80,552))</x:f>
        <x:v>0</x:v>
      </x:c>
      <x:c r="CT80" s="22" t="n">
        <x:f>MAX(0,MIN('Activities'!L80,564)-MAX('Activities'!K80,558))</x:f>
        <x:v>0</x:v>
      </x:c>
      <x:c r="CU80" s="22" t="n">
        <x:f>MAX(0,MIN('Activities'!L80,570)-MAX('Activities'!K80,564))</x:f>
        <x:v>0</x:v>
      </x:c>
      <x:c r="CV80" s="22" t="n">
        <x:f>MAX(0,MIN('Activities'!L80,576)-MAX('Activities'!K80,570))</x:f>
        <x:v>0</x:v>
      </x:c>
      <x:c r="CW80" s="22" t="n">
        <x:f>MAX(0,MIN('Activities'!L80,582)-MAX('Activities'!K80,576))</x:f>
        <x:v>0</x:v>
      </x:c>
      <x:c r="CX80" s="22" t="n">
        <x:f>MAX(0,MIN('Activities'!L80,588)-MAX('Activities'!K80,582))</x:f>
        <x:v>0</x:v>
      </x:c>
      <x:c r="CY80" s="22" t="n">
        <x:f>MAX(0,MIN('Activities'!L80,594)-MAX('Activities'!K80,588))</x:f>
        <x:v>0</x:v>
      </x:c>
      <x:c r="CZ80" s="22" t="n">
        <x:f>MAX(0,MIN('Activities'!L80,600)-MAX('Activities'!K80,594))</x:f>
        <x:v>0</x:v>
      </x:c>
      <x:c r="DA80" s="22" t="n">
        <x:f>MAX(0,MIN('Activities'!L80,606)-MAX('Activities'!K80,600))</x:f>
        <x:v>0</x:v>
      </x:c>
      <x:c r="DB80" s="22" t="n">
        <x:f>MAX(0,MIN('Activities'!L80,612)-MAX('Activities'!K80,606))</x:f>
        <x:v>0</x:v>
      </x:c>
      <x:c r="DC80" s="22" t="n">
        <x:f>MAX(0,MIN('Activities'!L80,618)-MAX('Activities'!K80,612))</x:f>
        <x:v>0</x:v>
      </x:c>
      <x:c r="DD80" s="22" t="n">
        <x:f>MAX(0,MIN('Activities'!L80,624)-MAX('Activities'!K80,618))</x:f>
        <x:v>0</x:v>
      </x:c>
      <x:c r="DE80" s="22" t="n">
        <x:f>MAX(0,MIN('Activities'!L80,630)-MAX('Activities'!K80,624))</x:f>
        <x:v>0</x:v>
      </x:c>
      <x:c r="DF80" s="22" t="n">
        <x:f>MAX(0,MIN('Activities'!L80,636)-MAX('Activities'!K80,630))</x:f>
        <x:v>0</x:v>
      </x:c>
    </x:row>
    <x:row r="81" ht="23" customHeight="1">
      <x:c r="A81" s="1" t="str">
        <x:v>T1-L01-A</x:v>
      </x:c>
      <x:c r="B81" s="1" t="str">
        <x:v>T1</x:v>
      </x:c>
      <x:c r="C81" s="1" t="str">
        <x:v>Paint and final decorations</x:v>
      </x:c>
      <x:c r="D81" s="1" t="str">
        <x:v>Finishes</x:v>
      </x:c>
      <x:c r="E81" s="23" t="n">
        <x:f>MAX(0,MIN('Activities'!L81,6)-MAX('Activities'!K81,0))</x:f>
        <x:v>0</x:v>
      </x:c>
      <x:c r="F81" s="23" t="n">
        <x:f>MAX(0,MIN('Activities'!L81,12)-MAX('Activities'!K81,6))</x:f>
        <x:v>0</x:v>
      </x:c>
      <x:c r="G81" s="23" t="n">
        <x:f>MAX(0,MIN('Activities'!L81,18)-MAX('Activities'!K81,12))</x:f>
        <x:v>0</x:v>
      </x:c>
      <x:c r="H81" s="23" t="n">
        <x:f>MAX(0,MIN('Activities'!L81,24)-MAX('Activities'!K81,18))</x:f>
        <x:v>0</x:v>
      </x:c>
      <x:c r="I81" s="23" t="n">
        <x:f>MAX(0,MIN('Activities'!L81,30)-MAX('Activities'!K81,24))</x:f>
        <x:v>0</x:v>
      </x:c>
      <x:c r="J81" s="23" t="n">
        <x:f>MAX(0,MIN('Activities'!L81,36)-MAX('Activities'!K81,30))</x:f>
        <x:v>0</x:v>
      </x:c>
      <x:c r="K81" s="23" t="n">
        <x:f>MAX(0,MIN('Activities'!L81,42)-MAX('Activities'!K81,36))</x:f>
        <x:v>0</x:v>
      </x:c>
      <x:c r="L81" s="23" t="n">
        <x:f>MAX(0,MIN('Activities'!L81,48)-MAX('Activities'!K81,42))</x:f>
        <x:v>0</x:v>
      </x:c>
      <x:c r="M81" s="23" t="n">
        <x:f>MAX(0,MIN('Activities'!L81,54)-MAX('Activities'!K81,48))</x:f>
        <x:v>0</x:v>
      </x:c>
      <x:c r="N81" s="23" t="n">
        <x:f>MAX(0,MIN('Activities'!L81,60)-MAX('Activities'!K81,54))</x:f>
        <x:v>0</x:v>
      </x:c>
      <x:c r="O81" s="23" t="n">
        <x:f>MAX(0,MIN('Activities'!L81,66)-MAX('Activities'!K81,60))</x:f>
        <x:v>0</x:v>
      </x:c>
      <x:c r="P81" s="23" t="n">
        <x:f>MAX(0,MIN('Activities'!L81,72)-MAX('Activities'!K81,66))</x:f>
        <x:v>0</x:v>
      </x:c>
      <x:c r="Q81" s="23" t="n">
        <x:f>MAX(0,MIN('Activities'!L81,78)-MAX('Activities'!K81,72))</x:f>
        <x:v>0</x:v>
      </x:c>
      <x:c r="R81" s="23" t="n">
        <x:f>MAX(0,MIN('Activities'!L81,84)-MAX('Activities'!K81,78))</x:f>
        <x:v>0</x:v>
      </x:c>
      <x:c r="S81" s="23" t="n">
        <x:f>MAX(0,MIN('Activities'!L81,90)-MAX('Activities'!K81,84))</x:f>
        <x:v>0</x:v>
      </x:c>
      <x:c r="T81" s="23" t="n">
        <x:f>MAX(0,MIN('Activities'!L81,96)-MAX('Activities'!K81,90))</x:f>
        <x:v>0</x:v>
      </x:c>
      <x:c r="U81" s="23" t="n">
        <x:f>MAX(0,MIN('Activities'!L81,102)-MAX('Activities'!K81,96))</x:f>
        <x:v>0</x:v>
      </x:c>
      <x:c r="V81" s="23" t="n">
        <x:f>MAX(0,MIN('Activities'!L81,108)-MAX('Activities'!K81,102))</x:f>
        <x:v>0</x:v>
      </x:c>
      <x:c r="W81" s="23" t="n">
        <x:f>MAX(0,MIN('Activities'!L81,114)-MAX('Activities'!K81,108))</x:f>
        <x:v>0</x:v>
      </x:c>
      <x:c r="X81" s="23" t="n">
        <x:f>MAX(0,MIN('Activities'!L81,120)-MAX('Activities'!K81,114))</x:f>
        <x:v>0</x:v>
      </x:c>
      <x:c r="Y81" s="23" t="n">
        <x:f>MAX(0,MIN('Activities'!L81,126)-MAX('Activities'!K81,120))</x:f>
        <x:v>0</x:v>
      </x:c>
      <x:c r="Z81" s="23" t="n">
        <x:f>MAX(0,MIN('Activities'!L81,132)-MAX('Activities'!K81,126))</x:f>
        <x:v>0</x:v>
      </x:c>
      <x:c r="AA81" s="23" t="n">
        <x:f>MAX(0,MIN('Activities'!L81,138)-MAX('Activities'!K81,132))</x:f>
        <x:v>0</x:v>
      </x:c>
      <x:c r="AB81" s="23" t="n">
        <x:f>MAX(0,MIN('Activities'!L81,144)-MAX('Activities'!K81,138))</x:f>
        <x:v>0</x:v>
      </x:c>
      <x:c r="AC81" s="23" t="n">
        <x:f>MAX(0,MIN('Activities'!L81,150)-MAX('Activities'!K81,144))</x:f>
        <x:v>0</x:v>
      </x:c>
      <x:c r="AD81" s="23" t="n">
        <x:f>MAX(0,MIN('Activities'!L81,156)-MAX('Activities'!K81,150))</x:f>
        <x:v>0</x:v>
      </x:c>
      <x:c r="AE81" s="23" t="n">
        <x:f>MAX(0,MIN('Activities'!L81,162)-MAX('Activities'!K81,156))</x:f>
        <x:v>0</x:v>
      </x:c>
      <x:c r="AF81" s="23" t="n">
        <x:f>MAX(0,MIN('Activities'!L81,168)-MAX('Activities'!K81,162))</x:f>
        <x:v>0</x:v>
      </x:c>
      <x:c r="AG81" s="23" t="n">
        <x:f>MAX(0,MIN('Activities'!L81,174)-MAX('Activities'!K81,168))</x:f>
        <x:v>0</x:v>
      </x:c>
      <x:c r="AH81" s="23" t="n">
        <x:f>MAX(0,MIN('Activities'!L81,180)-MAX('Activities'!K81,174))</x:f>
        <x:v>0</x:v>
      </x:c>
      <x:c r="AI81" s="23" t="n">
        <x:f>MAX(0,MIN('Activities'!L81,186)-MAX('Activities'!K81,180))</x:f>
        <x:v>0</x:v>
      </x:c>
      <x:c r="AJ81" s="23" t="n">
        <x:f>MAX(0,MIN('Activities'!L81,192)-MAX('Activities'!K81,186))</x:f>
        <x:v>0</x:v>
      </x:c>
      <x:c r="AK81" s="23" t="n">
        <x:f>MAX(0,MIN('Activities'!L81,198)-MAX('Activities'!K81,192))</x:f>
        <x:v>0</x:v>
      </x:c>
      <x:c r="AL81" s="23" t="n">
        <x:f>MAX(0,MIN('Activities'!L81,204)-MAX('Activities'!K81,198))</x:f>
        <x:v>0</x:v>
      </x:c>
      <x:c r="AM81" s="23" t="n">
        <x:f>MAX(0,MIN('Activities'!L81,210)-MAX('Activities'!K81,204))</x:f>
        <x:v>0</x:v>
      </x:c>
      <x:c r="AN81" s="23" t="n">
        <x:f>MAX(0,MIN('Activities'!L81,216)-MAX('Activities'!K81,210))</x:f>
        <x:v>0</x:v>
      </x:c>
      <x:c r="AO81" s="23" t="n">
        <x:f>MAX(0,MIN('Activities'!L81,222)-MAX('Activities'!K81,216))</x:f>
        <x:v>0</x:v>
      </x:c>
      <x:c r="AP81" s="23" t="n">
        <x:f>MAX(0,MIN('Activities'!L81,228)-MAX('Activities'!K81,222))</x:f>
        <x:v>0</x:v>
      </x:c>
      <x:c r="AQ81" s="23" t="n">
        <x:f>MAX(0,MIN('Activities'!L81,234)-MAX('Activities'!K81,228))</x:f>
        <x:v>0</x:v>
      </x:c>
      <x:c r="AR81" s="23" t="n">
        <x:f>MAX(0,MIN('Activities'!L81,240)-MAX('Activities'!K81,234))</x:f>
        <x:v>0</x:v>
      </x:c>
      <x:c r="AS81" s="23" t="n">
        <x:f>MAX(0,MIN('Activities'!L81,246)-MAX('Activities'!K81,240))</x:f>
        <x:v>0</x:v>
      </x:c>
      <x:c r="AT81" s="23" t="n">
        <x:f>MAX(0,MIN('Activities'!L81,252)-MAX('Activities'!K81,246))</x:f>
        <x:v>0</x:v>
      </x:c>
      <x:c r="AU81" s="23" t="n">
        <x:f>MAX(0,MIN('Activities'!L81,258)-MAX('Activities'!K81,252))</x:f>
        <x:v>0</x:v>
      </x:c>
      <x:c r="AV81" s="23" t="n">
        <x:f>MAX(0,MIN('Activities'!L81,264)-MAX('Activities'!K81,258))</x:f>
        <x:v>0</x:v>
      </x:c>
      <x:c r="AW81" s="23" t="n">
        <x:f>MAX(0,MIN('Activities'!L81,270)-MAX('Activities'!K81,264))</x:f>
        <x:v>0</x:v>
      </x:c>
      <x:c r="AX81" s="23" t="n">
        <x:f>MAX(0,MIN('Activities'!L81,276)-MAX('Activities'!K81,270))</x:f>
        <x:v>0</x:v>
      </x:c>
      <x:c r="AY81" s="23" t="n">
        <x:f>MAX(0,MIN('Activities'!L81,282)-MAX('Activities'!K81,276))</x:f>
        <x:v>0</x:v>
      </x:c>
      <x:c r="AZ81" s="23" t="n">
        <x:f>MAX(0,MIN('Activities'!L81,288)-MAX('Activities'!K81,282))</x:f>
        <x:v>0</x:v>
      </x:c>
      <x:c r="BA81" s="23" t="n">
        <x:f>MAX(0,MIN('Activities'!L81,294)-MAX('Activities'!K81,288))</x:f>
        <x:v>0</x:v>
      </x:c>
      <x:c r="BB81" s="23" t="n">
        <x:f>MAX(0,MIN('Activities'!L81,300)-MAX('Activities'!K81,294))</x:f>
        <x:v>0</x:v>
      </x:c>
      <x:c r="BC81" s="23" t="n">
        <x:f>MAX(0,MIN('Activities'!L81,306)-MAX('Activities'!K81,300))</x:f>
        <x:v>0</x:v>
      </x:c>
      <x:c r="BD81" s="23" t="n">
        <x:f>MAX(0,MIN('Activities'!L81,312)-MAX('Activities'!K81,306))</x:f>
        <x:v>0</x:v>
      </x:c>
      <x:c r="BE81" s="23" t="n">
        <x:f>MAX(0,MIN('Activities'!L81,318)-MAX('Activities'!K81,312))</x:f>
        <x:v>0</x:v>
      </x:c>
      <x:c r="BF81" s="23" t="n">
        <x:f>MAX(0,MIN('Activities'!L81,324)-MAX('Activities'!K81,318))</x:f>
        <x:v>0</x:v>
      </x:c>
      <x:c r="BG81" s="23" t="n">
        <x:f>MAX(0,MIN('Activities'!L81,330)-MAX('Activities'!K81,324))</x:f>
        <x:v>0</x:v>
      </x:c>
      <x:c r="BH81" s="23" t="n">
        <x:f>MAX(0,MIN('Activities'!L81,336)-MAX('Activities'!K81,330))</x:f>
        <x:v>0</x:v>
      </x:c>
      <x:c r="BI81" s="23" t="n">
        <x:f>MAX(0,MIN('Activities'!L81,342)-MAX('Activities'!K81,336))</x:f>
        <x:v>0</x:v>
      </x:c>
      <x:c r="BJ81" s="23" t="n">
        <x:f>MAX(0,MIN('Activities'!L81,348)-MAX('Activities'!K81,342))</x:f>
        <x:v>0</x:v>
      </x:c>
      <x:c r="BK81" s="23" t="n">
        <x:f>MAX(0,MIN('Activities'!L81,354)-MAX('Activities'!K81,348))</x:f>
        <x:v>0</x:v>
      </x:c>
      <x:c r="BL81" s="23" t="n">
        <x:f>MAX(0,MIN('Activities'!L81,360)-MAX('Activities'!K81,354))</x:f>
        <x:v>0</x:v>
      </x:c>
      <x:c r="BM81" s="23" t="n">
        <x:f>MAX(0,MIN('Activities'!L81,366)-MAX('Activities'!K81,360))</x:f>
        <x:v>0</x:v>
      </x:c>
      <x:c r="BN81" s="23" t="n">
        <x:f>MAX(0,MIN('Activities'!L81,372)-MAX('Activities'!K81,366))</x:f>
        <x:v>0</x:v>
      </x:c>
      <x:c r="BO81" s="23" t="n">
        <x:f>MAX(0,MIN('Activities'!L81,378)-MAX('Activities'!K81,372))</x:f>
        <x:v>0</x:v>
      </x:c>
      <x:c r="BP81" s="23" t="n">
        <x:f>MAX(0,MIN('Activities'!L81,384)-MAX('Activities'!K81,378))</x:f>
        <x:v>0</x:v>
      </x:c>
      <x:c r="BQ81" s="23" t="n">
        <x:f>MAX(0,MIN('Activities'!L81,390)-MAX('Activities'!K81,384))</x:f>
        <x:v>0</x:v>
      </x:c>
      <x:c r="BR81" s="23" t="n">
        <x:f>MAX(0,MIN('Activities'!L81,396)-MAX('Activities'!K81,390))</x:f>
        <x:v>0</x:v>
      </x:c>
      <x:c r="BS81" s="23" t="n">
        <x:f>MAX(0,MIN('Activities'!L81,402)-MAX('Activities'!K81,396))</x:f>
        <x:v>0</x:v>
      </x:c>
      <x:c r="BT81" s="23" t="n">
        <x:f>MAX(0,MIN('Activities'!L81,408)-MAX('Activities'!K81,402))</x:f>
        <x:v>0</x:v>
      </x:c>
      <x:c r="BU81" s="23" t="n">
        <x:f>MAX(0,MIN('Activities'!L81,414)-MAX('Activities'!K81,408))</x:f>
        <x:v>5</x:v>
      </x:c>
      <x:c r="BV81" s="23" t="n">
        <x:f>MAX(0,MIN('Activities'!L81,420)-MAX('Activities'!K81,414))</x:f>
        <x:v>0</x:v>
      </x:c>
      <x:c r="BW81" s="23" t="n">
        <x:f>MAX(0,MIN('Activities'!L81,426)-MAX('Activities'!K81,420))</x:f>
        <x:v>0</x:v>
      </x:c>
      <x:c r="BX81" s="23" t="n">
        <x:f>MAX(0,MIN('Activities'!L81,432)-MAX('Activities'!K81,426))</x:f>
        <x:v>0</x:v>
      </x:c>
      <x:c r="BY81" s="23" t="n">
        <x:f>MAX(0,MIN('Activities'!L81,438)-MAX('Activities'!K81,432))</x:f>
        <x:v>0</x:v>
      </x:c>
      <x:c r="BZ81" s="23" t="n">
        <x:f>MAX(0,MIN('Activities'!L81,444)-MAX('Activities'!K81,438))</x:f>
        <x:v>0</x:v>
      </x:c>
      <x:c r="CA81" s="23" t="n">
        <x:f>MAX(0,MIN('Activities'!L81,450)-MAX('Activities'!K81,444))</x:f>
        <x:v>0</x:v>
      </x:c>
      <x:c r="CB81" s="23" t="n">
        <x:f>MAX(0,MIN('Activities'!L81,456)-MAX('Activities'!K81,450))</x:f>
        <x:v>0</x:v>
      </x:c>
      <x:c r="CC81" s="23" t="n">
        <x:f>MAX(0,MIN('Activities'!L81,462)-MAX('Activities'!K81,456))</x:f>
        <x:v>0</x:v>
      </x:c>
      <x:c r="CD81" s="23" t="n">
        <x:f>MAX(0,MIN('Activities'!L81,468)-MAX('Activities'!K81,462))</x:f>
        <x:v>0</x:v>
      </x:c>
      <x:c r="CE81" s="23" t="n">
        <x:f>MAX(0,MIN('Activities'!L81,474)-MAX('Activities'!K81,468))</x:f>
        <x:v>0</x:v>
      </x:c>
      <x:c r="CF81" s="23" t="n">
        <x:f>MAX(0,MIN('Activities'!L81,480)-MAX('Activities'!K81,474))</x:f>
        <x:v>0</x:v>
      </x:c>
      <x:c r="CG81" s="23" t="n">
        <x:f>MAX(0,MIN('Activities'!L81,486)-MAX('Activities'!K81,480))</x:f>
        <x:v>0</x:v>
      </x:c>
      <x:c r="CH81" s="23" t="n">
        <x:f>MAX(0,MIN('Activities'!L81,492)-MAX('Activities'!K81,486))</x:f>
        <x:v>0</x:v>
      </x:c>
      <x:c r="CI81" s="23" t="n">
        <x:f>MAX(0,MIN('Activities'!L81,498)-MAX('Activities'!K81,492))</x:f>
        <x:v>0</x:v>
      </x:c>
      <x:c r="CJ81" s="23" t="n">
        <x:f>MAX(0,MIN('Activities'!L81,504)-MAX('Activities'!K81,498))</x:f>
        <x:v>0</x:v>
      </x:c>
      <x:c r="CK81" s="23" t="n">
        <x:f>MAX(0,MIN('Activities'!L81,510)-MAX('Activities'!K81,504))</x:f>
        <x:v>0</x:v>
      </x:c>
      <x:c r="CL81" s="23" t="n">
        <x:f>MAX(0,MIN('Activities'!L81,516)-MAX('Activities'!K81,510))</x:f>
        <x:v>0</x:v>
      </x:c>
      <x:c r="CM81" s="23" t="n">
        <x:f>MAX(0,MIN('Activities'!L81,522)-MAX('Activities'!K81,516))</x:f>
        <x:v>0</x:v>
      </x:c>
      <x:c r="CN81" s="23" t="n">
        <x:f>MAX(0,MIN('Activities'!L81,528)-MAX('Activities'!K81,522))</x:f>
        <x:v>0</x:v>
      </x:c>
      <x:c r="CO81" s="23" t="n">
        <x:f>MAX(0,MIN('Activities'!L81,534)-MAX('Activities'!K81,528))</x:f>
        <x:v>0</x:v>
      </x:c>
      <x:c r="CP81" s="23" t="n">
        <x:f>MAX(0,MIN('Activities'!L81,540)-MAX('Activities'!K81,534))</x:f>
        <x:v>0</x:v>
      </x:c>
      <x:c r="CQ81" s="23" t="n">
        <x:f>MAX(0,MIN('Activities'!L81,546)-MAX('Activities'!K81,540))</x:f>
        <x:v>0</x:v>
      </x:c>
      <x:c r="CR81" s="23" t="n">
        <x:f>MAX(0,MIN('Activities'!L81,552)-MAX('Activities'!K81,546))</x:f>
        <x:v>0</x:v>
      </x:c>
      <x:c r="CS81" s="23" t="n">
        <x:f>MAX(0,MIN('Activities'!L81,558)-MAX('Activities'!K81,552))</x:f>
        <x:v>0</x:v>
      </x:c>
      <x:c r="CT81" s="23" t="n">
        <x:f>MAX(0,MIN('Activities'!L81,564)-MAX('Activities'!K81,558))</x:f>
        <x:v>0</x:v>
      </x:c>
      <x:c r="CU81" s="23" t="n">
        <x:f>MAX(0,MIN('Activities'!L81,570)-MAX('Activities'!K81,564))</x:f>
        <x:v>0</x:v>
      </x:c>
      <x:c r="CV81" s="23" t="n">
        <x:f>MAX(0,MIN('Activities'!L81,576)-MAX('Activities'!K81,570))</x:f>
        <x:v>0</x:v>
      </x:c>
      <x:c r="CW81" s="23" t="n">
        <x:f>MAX(0,MIN('Activities'!L81,582)-MAX('Activities'!K81,576))</x:f>
        <x:v>0</x:v>
      </x:c>
      <x:c r="CX81" s="23" t="n">
        <x:f>MAX(0,MIN('Activities'!L81,588)-MAX('Activities'!K81,582))</x:f>
        <x:v>0</x:v>
      </x:c>
      <x:c r="CY81" s="23" t="n">
        <x:f>MAX(0,MIN('Activities'!L81,594)-MAX('Activities'!K81,588))</x:f>
        <x:v>0</x:v>
      </x:c>
      <x:c r="CZ81" s="23" t="n">
        <x:f>MAX(0,MIN('Activities'!L81,600)-MAX('Activities'!K81,594))</x:f>
        <x:v>0</x:v>
      </x:c>
      <x:c r="DA81" s="23" t="n">
        <x:f>MAX(0,MIN('Activities'!L81,606)-MAX('Activities'!K81,600))</x:f>
        <x:v>0</x:v>
      </x:c>
      <x:c r="DB81" s="23" t="n">
        <x:f>MAX(0,MIN('Activities'!L81,612)-MAX('Activities'!K81,606))</x:f>
        <x:v>0</x:v>
      </x:c>
      <x:c r="DC81" s="23" t="n">
        <x:f>MAX(0,MIN('Activities'!L81,618)-MAX('Activities'!K81,612))</x:f>
        <x:v>0</x:v>
      </x:c>
      <x:c r="DD81" s="23" t="n">
        <x:f>MAX(0,MIN('Activities'!L81,624)-MAX('Activities'!K81,618))</x:f>
        <x:v>0</x:v>
      </x:c>
      <x:c r="DE81" s="23" t="n">
        <x:f>MAX(0,MIN('Activities'!L81,630)-MAX('Activities'!K81,624))</x:f>
        <x:v>0</x:v>
      </x:c>
      <x:c r="DF81" s="23" t="n">
        <x:f>MAX(0,MIN('Activities'!L81,636)-MAX('Activities'!K81,630))</x:f>
        <x:v>0</x:v>
      </x:c>
    </x:row>
    <x:row r="82" ht="23" customHeight="1">
      <x:c r="A82" s="6" t="str">
        <x:v>T1-L01-D</x:v>
      </x:c>
      <x:c r="B82" s="6" t="str">
        <x:v>T1</x:v>
      </x:c>
      <x:c r="C82" s="6" t="str">
        <x:v>Door sets and ironmongery</x:v>
      </x:c>
      <x:c r="D82" s="6" t="str">
        <x:v>Finishes</x:v>
      </x:c>
      <x:c r="E82" s="22" t="n">
        <x:f>MAX(0,MIN('Activities'!L82,6)-MAX('Activities'!K82,0))</x:f>
        <x:v>0</x:v>
      </x:c>
      <x:c r="F82" s="22" t="n">
        <x:f>MAX(0,MIN('Activities'!L82,12)-MAX('Activities'!K82,6))</x:f>
        <x:v>0</x:v>
      </x:c>
      <x:c r="G82" s="22" t="n">
        <x:f>MAX(0,MIN('Activities'!L82,18)-MAX('Activities'!K82,12))</x:f>
        <x:v>0</x:v>
      </x:c>
      <x:c r="H82" s="22" t="n">
        <x:f>MAX(0,MIN('Activities'!L82,24)-MAX('Activities'!K82,18))</x:f>
        <x:v>0</x:v>
      </x:c>
      <x:c r="I82" s="22" t="n">
        <x:f>MAX(0,MIN('Activities'!L82,30)-MAX('Activities'!K82,24))</x:f>
        <x:v>0</x:v>
      </x:c>
      <x:c r="J82" s="22" t="n">
        <x:f>MAX(0,MIN('Activities'!L82,36)-MAX('Activities'!K82,30))</x:f>
        <x:v>0</x:v>
      </x:c>
      <x:c r="K82" s="22" t="n">
        <x:f>MAX(0,MIN('Activities'!L82,42)-MAX('Activities'!K82,36))</x:f>
        <x:v>0</x:v>
      </x:c>
      <x:c r="L82" s="22" t="n">
        <x:f>MAX(0,MIN('Activities'!L82,48)-MAX('Activities'!K82,42))</x:f>
        <x:v>0</x:v>
      </x:c>
      <x:c r="M82" s="22" t="n">
        <x:f>MAX(0,MIN('Activities'!L82,54)-MAX('Activities'!K82,48))</x:f>
        <x:v>0</x:v>
      </x:c>
      <x:c r="N82" s="22" t="n">
        <x:f>MAX(0,MIN('Activities'!L82,60)-MAX('Activities'!K82,54))</x:f>
        <x:v>0</x:v>
      </x:c>
      <x:c r="O82" s="22" t="n">
        <x:f>MAX(0,MIN('Activities'!L82,66)-MAX('Activities'!K82,60))</x:f>
        <x:v>0</x:v>
      </x:c>
      <x:c r="P82" s="22" t="n">
        <x:f>MAX(0,MIN('Activities'!L82,72)-MAX('Activities'!K82,66))</x:f>
        <x:v>0</x:v>
      </x:c>
      <x:c r="Q82" s="22" t="n">
        <x:f>MAX(0,MIN('Activities'!L82,78)-MAX('Activities'!K82,72))</x:f>
        <x:v>0</x:v>
      </x:c>
      <x:c r="R82" s="22" t="n">
        <x:f>MAX(0,MIN('Activities'!L82,84)-MAX('Activities'!K82,78))</x:f>
        <x:v>0</x:v>
      </x:c>
      <x:c r="S82" s="22" t="n">
        <x:f>MAX(0,MIN('Activities'!L82,90)-MAX('Activities'!K82,84))</x:f>
        <x:v>0</x:v>
      </x:c>
      <x:c r="T82" s="22" t="n">
        <x:f>MAX(0,MIN('Activities'!L82,96)-MAX('Activities'!K82,90))</x:f>
        <x:v>0</x:v>
      </x:c>
      <x:c r="U82" s="22" t="n">
        <x:f>MAX(0,MIN('Activities'!L82,102)-MAX('Activities'!K82,96))</x:f>
        <x:v>0</x:v>
      </x:c>
      <x:c r="V82" s="22" t="n">
        <x:f>MAX(0,MIN('Activities'!L82,108)-MAX('Activities'!K82,102))</x:f>
        <x:v>0</x:v>
      </x:c>
      <x:c r="W82" s="22" t="n">
        <x:f>MAX(0,MIN('Activities'!L82,114)-MAX('Activities'!K82,108))</x:f>
        <x:v>0</x:v>
      </x:c>
      <x:c r="X82" s="22" t="n">
        <x:f>MAX(0,MIN('Activities'!L82,120)-MAX('Activities'!K82,114))</x:f>
        <x:v>0</x:v>
      </x:c>
      <x:c r="Y82" s="22" t="n">
        <x:f>MAX(0,MIN('Activities'!L82,126)-MAX('Activities'!K82,120))</x:f>
        <x:v>0</x:v>
      </x:c>
      <x:c r="Z82" s="22" t="n">
        <x:f>MAX(0,MIN('Activities'!L82,132)-MAX('Activities'!K82,126))</x:f>
        <x:v>0</x:v>
      </x:c>
      <x:c r="AA82" s="22" t="n">
        <x:f>MAX(0,MIN('Activities'!L82,138)-MAX('Activities'!K82,132))</x:f>
        <x:v>0</x:v>
      </x:c>
      <x:c r="AB82" s="22" t="n">
        <x:f>MAX(0,MIN('Activities'!L82,144)-MAX('Activities'!K82,138))</x:f>
        <x:v>0</x:v>
      </x:c>
      <x:c r="AC82" s="22" t="n">
        <x:f>MAX(0,MIN('Activities'!L82,150)-MAX('Activities'!K82,144))</x:f>
        <x:v>0</x:v>
      </x:c>
      <x:c r="AD82" s="22" t="n">
        <x:f>MAX(0,MIN('Activities'!L82,156)-MAX('Activities'!K82,150))</x:f>
        <x:v>0</x:v>
      </x:c>
      <x:c r="AE82" s="22" t="n">
        <x:f>MAX(0,MIN('Activities'!L82,162)-MAX('Activities'!K82,156))</x:f>
        <x:v>0</x:v>
      </x:c>
      <x:c r="AF82" s="22" t="n">
        <x:f>MAX(0,MIN('Activities'!L82,168)-MAX('Activities'!K82,162))</x:f>
        <x:v>0</x:v>
      </x:c>
      <x:c r="AG82" s="22" t="n">
        <x:f>MAX(0,MIN('Activities'!L82,174)-MAX('Activities'!K82,168))</x:f>
        <x:v>0</x:v>
      </x:c>
      <x:c r="AH82" s="22" t="n">
        <x:f>MAX(0,MIN('Activities'!L82,180)-MAX('Activities'!K82,174))</x:f>
        <x:v>0</x:v>
      </x:c>
      <x:c r="AI82" s="22" t="n">
        <x:f>MAX(0,MIN('Activities'!L82,186)-MAX('Activities'!K82,180))</x:f>
        <x:v>0</x:v>
      </x:c>
      <x:c r="AJ82" s="22" t="n">
        <x:f>MAX(0,MIN('Activities'!L82,192)-MAX('Activities'!K82,186))</x:f>
        <x:v>0</x:v>
      </x:c>
      <x:c r="AK82" s="22" t="n">
        <x:f>MAX(0,MIN('Activities'!L82,198)-MAX('Activities'!K82,192))</x:f>
        <x:v>0</x:v>
      </x:c>
      <x:c r="AL82" s="22" t="n">
        <x:f>MAX(0,MIN('Activities'!L82,204)-MAX('Activities'!K82,198))</x:f>
        <x:v>0</x:v>
      </x:c>
      <x:c r="AM82" s="22" t="n">
        <x:f>MAX(0,MIN('Activities'!L82,210)-MAX('Activities'!K82,204))</x:f>
        <x:v>0</x:v>
      </x:c>
      <x:c r="AN82" s="22" t="n">
        <x:f>MAX(0,MIN('Activities'!L82,216)-MAX('Activities'!K82,210))</x:f>
        <x:v>0</x:v>
      </x:c>
      <x:c r="AO82" s="22" t="n">
        <x:f>MAX(0,MIN('Activities'!L82,222)-MAX('Activities'!K82,216))</x:f>
        <x:v>0</x:v>
      </x:c>
      <x:c r="AP82" s="22" t="n">
        <x:f>MAX(0,MIN('Activities'!L82,228)-MAX('Activities'!K82,222))</x:f>
        <x:v>0</x:v>
      </x:c>
      <x:c r="AQ82" s="22" t="n">
        <x:f>MAX(0,MIN('Activities'!L82,234)-MAX('Activities'!K82,228))</x:f>
        <x:v>0</x:v>
      </x:c>
      <x:c r="AR82" s="22" t="n">
        <x:f>MAX(0,MIN('Activities'!L82,240)-MAX('Activities'!K82,234))</x:f>
        <x:v>0</x:v>
      </x:c>
      <x:c r="AS82" s="22" t="n">
        <x:f>MAX(0,MIN('Activities'!L82,246)-MAX('Activities'!K82,240))</x:f>
        <x:v>0</x:v>
      </x:c>
      <x:c r="AT82" s="22" t="n">
        <x:f>MAX(0,MIN('Activities'!L82,252)-MAX('Activities'!K82,246))</x:f>
        <x:v>0</x:v>
      </x:c>
      <x:c r="AU82" s="22" t="n">
        <x:f>MAX(0,MIN('Activities'!L82,258)-MAX('Activities'!K82,252))</x:f>
        <x:v>0</x:v>
      </x:c>
      <x:c r="AV82" s="22" t="n">
        <x:f>MAX(0,MIN('Activities'!L82,264)-MAX('Activities'!K82,258))</x:f>
        <x:v>0</x:v>
      </x:c>
      <x:c r="AW82" s="22" t="n">
        <x:f>MAX(0,MIN('Activities'!L82,270)-MAX('Activities'!K82,264))</x:f>
        <x:v>0</x:v>
      </x:c>
      <x:c r="AX82" s="22" t="n">
        <x:f>MAX(0,MIN('Activities'!L82,276)-MAX('Activities'!K82,270))</x:f>
        <x:v>0</x:v>
      </x:c>
      <x:c r="AY82" s="22" t="n">
        <x:f>MAX(0,MIN('Activities'!L82,282)-MAX('Activities'!K82,276))</x:f>
        <x:v>0</x:v>
      </x:c>
      <x:c r="AZ82" s="22" t="n">
        <x:f>MAX(0,MIN('Activities'!L82,288)-MAX('Activities'!K82,282))</x:f>
        <x:v>0</x:v>
      </x:c>
      <x:c r="BA82" s="22" t="n">
        <x:f>MAX(0,MIN('Activities'!L82,294)-MAX('Activities'!K82,288))</x:f>
        <x:v>0</x:v>
      </x:c>
      <x:c r="BB82" s="22" t="n">
        <x:f>MAX(0,MIN('Activities'!L82,300)-MAX('Activities'!K82,294))</x:f>
        <x:v>0</x:v>
      </x:c>
      <x:c r="BC82" s="22" t="n">
        <x:f>MAX(0,MIN('Activities'!L82,306)-MAX('Activities'!K82,300))</x:f>
        <x:v>0</x:v>
      </x:c>
      <x:c r="BD82" s="22" t="n">
        <x:f>MAX(0,MIN('Activities'!L82,312)-MAX('Activities'!K82,306))</x:f>
        <x:v>0</x:v>
      </x:c>
      <x:c r="BE82" s="22" t="n">
        <x:f>MAX(0,MIN('Activities'!L82,318)-MAX('Activities'!K82,312))</x:f>
        <x:v>0</x:v>
      </x:c>
      <x:c r="BF82" s="22" t="n">
        <x:f>MAX(0,MIN('Activities'!L82,324)-MAX('Activities'!K82,318))</x:f>
        <x:v>0</x:v>
      </x:c>
      <x:c r="BG82" s="22" t="n">
        <x:f>MAX(0,MIN('Activities'!L82,330)-MAX('Activities'!K82,324))</x:f>
        <x:v>0</x:v>
      </x:c>
      <x:c r="BH82" s="22" t="n">
        <x:f>MAX(0,MIN('Activities'!L82,336)-MAX('Activities'!K82,330))</x:f>
        <x:v>0</x:v>
      </x:c>
      <x:c r="BI82" s="22" t="n">
        <x:f>MAX(0,MIN('Activities'!L82,342)-MAX('Activities'!K82,336))</x:f>
        <x:v>0</x:v>
      </x:c>
      <x:c r="BJ82" s="22" t="n">
        <x:f>MAX(0,MIN('Activities'!L82,348)-MAX('Activities'!K82,342))</x:f>
        <x:v>0</x:v>
      </x:c>
      <x:c r="BK82" s="22" t="n">
        <x:f>MAX(0,MIN('Activities'!L82,354)-MAX('Activities'!K82,348))</x:f>
        <x:v>0</x:v>
      </x:c>
      <x:c r="BL82" s="22" t="n">
        <x:f>MAX(0,MIN('Activities'!L82,360)-MAX('Activities'!K82,354))</x:f>
        <x:v>0</x:v>
      </x:c>
      <x:c r="BM82" s="22" t="n">
        <x:f>MAX(0,MIN('Activities'!L82,366)-MAX('Activities'!K82,360))</x:f>
        <x:v>0</x:v>
      </x:c>
      <x:c r="BN82" s="22" t="n">
        <x:f>MAX(0,MIN('Activities'!L82,372)-MAX('Activities'!K82,366))</x:f>
        <x:v>0</x:v>
      </x:c>
      <x:c r="BO82" s="22" t="n">
        <x:f>MAX(0,MIN('Activities'!L82,378)-MAX('Activities'!K82,372))</x:f>
        <x:v>0</x:v>
      </x:c>
      <x:c r="BP82" s="22" t="n">
        <x:f>MAX(0,MIN('Activities'!L82,384)-MAX('Activities'!K82,378))</x:f>
        <x:v>0</x:v>
      </x:c>
      <x:c r="BQ82" s="22" t="n">
        <x:f>MAX(0,MIN('Activities'!L82,390)-MAX('Activities'!K82,384))</x:f>
        <x:v>0</x:v>
      </x:c>
      <x:c r="BR82" s="22" t="n">
        <x:f>MAX(0,MIN('Activities'!L82,396)-MAX('Activities'!K82,390))</x:f>
        <x:v>0</x:v>
      </x:c>
      <x:c r="BS82" s="22" t="n">
        <x:f>MAX(0,MIN('Activities'!L82,402)-MAX('Activities'!K82,396))</x:f>
        <x:v>0</x:v>
      </x:c>
      <x:c r="BT82" s="22" t="n">
        <x:f>MAX(0,MIN('Activities'!L82,408)-MAX('Activities'!K82,402))</x:f>
        <x:v>0</x:v>
      </x:c>
      <x:c r="BU82" s="22" t="n">
        <x:f>MAX(0,MIN('Activities'!L82,414)-MAX('Activities'!K82,408))</x:f>
        <x:v>0</x:v>
      </x:c>
      <x:c r="BV82" s="22" t="n">
        <x:f>MAX(0,MIN('Activities'!L82,420)-MAX('Activities'!K82,414))</x:f>
        <x:v>3</x:v>
      </x:c>
      <x:c r="BW82" s="22" t="n">
        <x:f>MAX(0,MIN('Activities'!L82,426)-MAX('Activities'!K82,420))</x:f>
        <x:v>0</x:v>
      </x:c>
      <x:c r="BX82" s="22" t="n">
        <x:f>MAX(0,MIN('Activities'!L82,432)-MAX('Activities'!K82,426))</x:f>
        <x:v>0</x:v>
      </x:c>
      <x:c r="BY82" s="22" t="n">
        <x:f>MAX(0,MIN('Activities'!L82,438)-MAX('Activities'!K82,432))</x:f>
        <x:v>0</x:v>
      </x:c>
      <x:c r="BZ82" s="22" t="n">
        <x:f>MAX(0,MIN('Activities'!L82,444)-MAX('Activities'!K82,438))</x:f>
        <x:v>0</x:v>
      </x:c>
      <x:c r="CA82" s="22" t="n">
        <x:f>MAX(0,MIN('Activities'!L82,450)-MAX('Activities'!K82,444))</x:f>
        <x:v>0</x:v>
      </x:c>
      <x:c r="CB82" s="22" t="n">
        <x:f>MAX(0,MIN('Activities'!L82,456)-MAX('Activities'!K82,450))</x:f>
        <x:v>0</x:v>
      </x:c>
      <x:c r="CC82" s="22" t="n">
        <x:f>MAX(0,MIN('Activities'!L82,462)-MAX('Activities'!K82,456))</x:f>
        <x:v>0</x:v>
      </x:c>
      <x:c r="CD82" s="22" t="n">
        <x:f>MAX(0,MIN('Activities'!L82,468)-MAX('Activities'!K82,462))</x:f>
        <x:v>0</x:v>
      </x:c>
      <x:c r="CE82" s="22" t="n">
        <x:f>MAX(0,MIN('Activities'!L82,474)-MAX('Activities'!K82,468))</x:f>
        <x:v>0</x:v>
      </x:c>
      <x:c r="CF82" s="22" t="n">
        <x:f>MAX(0,MIN('Activities'!L82,480)-MAX('Activities'!K82,474))</x:f>
        <x:v>0</x:v>
      </x:c>
      <x:c r="CG82" s="22" t="n">
        <x:f>MAX(0,MIN('Activities'!L82,486)-MAX('Activities'!K82,480))</x:f>
        <x:v>0</x:v>
      </x:c>
      <x:c r="CH82" s="22" t="n">
        <x:f>MAX(0,MIN('Activities'!L82,492)-MAX('Activities'!K82,486))</x:f>
        <x:v>0</x:v>
      </x:c>
      <x:c r="CI82" s="22" t="n">
        <x:f>MAX(0,MIN('Activities'!L82,498)-MAX('Activities'!K82,492))</x:f>
        <x:v>0</x:v>
      </x:c>
      <x:c r="CJ82" s="22" t="n">
        <x:f>MAX(0,MIN('Activities'!L82,504)-MAX('Activities'!K82,498))</x:f>
        <x:v>0</x:v>
      </x:c>
      <x:c r="CK82" s="22" t="n">
        <x:f>MAX(0,MIN('Activities'!L82,510)-MAX('Activities'!K82,504))</x:f>
        <x:v>0</x:v>
      </x:c>
      <x:c r="CL82" s="22" t="n">
        <x:f>MAX(0,MIN('Activities'!L82,516)-MAX('Activities'!K82,510))</x:f>
        <x:v>0</x:v>
      </x:c>
      <x:c r="CM82" s="22" t="n">
        <x:f>MAX(0,MIN('Activities'!L82,522)-MAX('Activities'!K82,516))</x:f>
        <x:v>0</x:v>
      </x:c>
      <x:c r="CN82" s="22" t="n">
        <x:f>MAX(0,MIN('Activities'!L82,528)-MAX('Activities'!K82,522))</x:f>
        <x:v>0</x:v>
      </x:c>
      <x:c r="CO82" s="22" t="n">
        <x:f>MAX(0,MIN('Activities'!L82,534)-MAX('Activities'!K82,528))</x:f>
        <x:v>0</x:v>
      </x:c>
      <x:c r="CP82" s="22" t="n">
        <x:f>MAX(0,MIN('Activities'!L82,540)-MAX('Activities'!K82,534))</x:f>
        <x:v>0</x:v>
      </x:c>
      <x:c r="CQ82" s="22" t="n">
        <x:f>MAX(0,MIN('Activities'!L82,546)-MAX('Activities'!K82,540))</x:f>
        <x:v>0</x:v>
      </x:c>
      <x:c r="CR82" s="22" t="n">
        <x:f>MAX(0,MIN('Activities'!L82,552)-MAX('Activities'!K82,546))</x:f>
        <x:v>0</x:v>
      </x:c>
      <x:c r="CS82" s="22" t="n">
        <x:f>MAX(0,MIN('Activities'!L82,558)-MAX('Activities'!K82,552))</x:f>
        <x:v>0</x:v>
      </x:c>
      <x:c r="CT82" s="22" t="n">
        <x:f>MAX(0,MIN('Activities'!L82,564)-MAX('Activities'!K82,558))</x:f>
        <x:v>0</x:v>
      </x:c>
      <x:c r="CU82" s="22" t="n">
        <x:f>MAX(0,MIN('Activities'!L82,570)-MAX('Activities'!K82,564))</x:f>
        <x:v>0</x:v>
      </x:c>
      <x:c r="CV82" s="22" t="n">
        <x:f>MAX(0,MIN('Activities'!L82,576)-MAX('Activities'!K82,570))</x:f>
        <x:v>0</x:v>
      </x:c>
      <x:c r="CW82" s="22" t="n">
        <x:f>MAX(0,MIN('Activities'!L82,582)-MAX('Activities'!K82,576))</x:f>
        <x:v>0</x:v>
      </x:c>
      <x:c r="CX82" s="22" t="n">
        <x:f>MAX(0,MIN('Activities'!L82,588)-MAX('Activities'!K82,582))</x:f>
        <x:v>0</x:v>
      </x:c>
      <x:c r="CY82" s="22" t="n">
        <x:f>MAX(0,MIN('Activities'!L82,594)-MAX('Activities'!K82,588))</x:f>
        <x:v>0</x:v>
      </x:c>
      <x:c r="CZ82" s="22" t="n">
        <x:f>MAX(0,MIN('Activities'!L82,600)-MAX('Activities'!K82,594))</x:f>
        <x:v>0</x:v>
      </x:c>
      <x:c r="DA82" s="22" t="n">
        <x:f>MAX(0,MIN('Activities'!L82,606)-MAX('Activities'!K82,600))</x:f>
        <x:v>0</x:v>
      </x:c>
      <x:c r="DB82" s="22" t="n">
        <x:f>MAX(0,MIN('Activities'!L82,612)-MAX('Activities'!K82,606))</x:f>
        <x:v>0</x:v>
      </x:c>
      <x:c r="DC82" s="22" t="n">
        <x:f>MAX(0,MIN('Activities'!L82,618)-MAX('Activities'!K82,612))</x:f>
        <x:v>0</x:v>
      </x:c>
      <x:c r="DD82" s="22" t="n">
        <x:f>MAX(0,MIN('Activities'!L82,624)-MAX('Activities'!K82,618))</x:f>
        <x:v>0</x:v>
      </x:c>
      <x:c r="DE82" s="22" t="n">
        <x:f>MAX(0,MIN('Activities'!L82,630)-MAX('Activities'!K82,624))</x:f>
        <x:v>0</x:v>
      </x:c>
      <x:c r="DF82" s="22" t="n">
        <x:f>MAX(0,MIN('Activities'!L82,636)-MAX('Activities'!K82,630))</x:f>
        <x:v>0</x:v>
      </x:c>
    </x:row>
    <x:row r="83" ht="23" customHeight="1">
      <x:c r="A83" s="1" t="str">
        <x:v>T1-L02-M</x:v>
      </x:c>
      <x:c r="B83" s="1" t="str">
        <x:v>T1</x:v>
      </x:c>
      <x:c r="C83" s="1" t="str">
        <x:v>Partition masonry</x:v>
      </x:c>
      <x:c r="D83" s="1" t="str">
        <x:v>Masonry</x:v>
      </x:c>
      <x:c r="E83" s="23" t="n">
        <x:f>MAX(0,MIN('Activities'!L83,6)-MAX('Activities'!K83,0))</x:f>
        <x:v>0</x:v>
      </x:c>
      <x:c r="F83" s="23" t="n">
        <x:f>MAX(0,MIN('Activities'!L83,12)-MAX('Activities'!K83,6))</x:f>
        <x:v>0</x:v>
      </x:c>
      <x:c r="G83" s="23" t="n">
        <x:f>MAX(0,MIN('Activities'!L83,18)-MAX('Activities'!K83,12))</x:f>
        <x:v>0</x:v>
      </x:c>
      <x:c r="H83" s="23" t="n">
        <x:f>MAX(0,MIN('Activities'!L83,24)-MAX('Activities'!K83,18))</x:f>
        <x:v>0</x:v>
      </x:c>
      <x:c r="I83" s="23" t="n">
        <x:f>MAX(0,MIN('Activities'!L83,30)-MAX('Activities'!K83,24))</x:f>
        <x:v>0</x:v>
      </x:c>
      <x:c r="J83" s="23" t="n">
        <x:f>MAX(0,MIN('Activities'!L83,36)-MAX('Activities'!K83,30))</x:f>
        <x:v>0</x:v>
      </x:c>
      <x:c r="K83" s="23" t="n">
        <x:f>MAX(0,MIN('Activities'!L83,42)-MAX('Activities'!K83,36))</x:f>
        <x:v>0</x:v>
      </x:c>
      <x:c r="L83" s="23" t="n">
        <x:f>MAX(0,MIN('Activities'!L83,48)-MAX('Activities'!K83,42))</x:f>
        <x:v>0</x:v>
      </x:c>
      <x:c r="M83" s="23" t="n">
        <x:f>MAX(0,MIN('Activities'!L83,54)-MAX('Activities'!K83,48))</x:f>
        <x:v>0</x:v>
      </x:c>
      <x:c r="N83" s="23" t="n">
        <x:f>MAX(0,MIN('Activities'!L83,60)-MAX('Activities'!K83,54))</x:f>
        <x:v>0</x:v>
      </x:c>
      <x:c r="O83" s="23" t="n">
        <x:f>MAX(0,MIN('Activities'!L83,66)-MAX('Activities'!K83,60))</x:f>
        <x:v>0</x:v>
      </x:c>
      <x:c r="P83" s="23" t="n">
        <x:f>MAX(0,MIN('Activities'!L83,72)-MAX('Activities'!K83,66))</x:f>
        <x:v>0</x:v>
      </x:c>
      <x:c r="Q83" s="23" t="n">
        <x:f>MAX(0,MIN('Activities'!L83,78)-MAX('Activities'!K83,72))</x:f>
        <x:v>0</x:v>
      </x:c>
      <x:c r="R83" s="23" t="n">
        <x:f>MAX(0,MIN('Activities'!L83,84)-MAX('Activities'!K83,78))</x:f>
        <x:v>0</x:v>
      </x:c>
      <x:c r="S83" s="23" t="n">
        <x:f>MAX(0,MIN('Activities'!L83,90)-MAX('Activities'!K83,84))</x:f>
        <x:v>0</x:v>
      </x:c>
      <x:c r="T83" s="23" t="n">
        <x:f>MAX(0,MIN('Activities'!L83,96)-MAX('Activities'!K83,90))</x:f>
        <x:v>0</x:v>
      </x:c>
      <x:c r="U83" s="23" t="n">
        <x:f>MAX(0,MIN('Activities'!L83,102)-MAX('Activities'!K83,96))</x:f>
        <x:v>0</x:v>
      </x:c>
      <x:c r="V83" s="23" t="n">
        <x:f>MAX(0,MIN('Activities'!L83,108)-MAX('Activities'!K83,102))</x:f>
        <x:v>0</x:v>
      </x:c>
      <x:c r="W83" s="23" t="n">
        <x:f>MAX(0,MIN('Activities'!L83,114)-MAX('Activities'!K83,108))</x:f>
        <x:v>0</x:v>
      </x:c>
      <x:c r="X83" s="23" t="n">
        <x:f>MAX(0,MIN('Activities'!L83,120)-MAX('Activities'!K83,114))</x:f>
        <x:v>0</x:v>
      </x:c>
      <x:c r="Y83" s="23" t="n">
        <x:f>MAX(0,MIN('Activities'!L83,126)-MAX('Activities'!K83,120))</x:f>
        <x:v>0</x:v>
      </x:c>
      <x:c r="Z83" s="23" t="n">
        <x:f>MAX(0,MIN('Activities'!L83,132)-MAX('Activities'!K83,126))</x:f>
        <x:v>0</x:v>
      </x:c>
      <x:c r="AA83" s="23" t="n">
        <x:f>MAX(0,MIN('Activities'!L83,138)-MAX('Activities'!K83,132))</x:f>
        <x:v>0</x:v>
      </x:c>
      <x:c r="AB83" s="23" t="n">
        <x:f>MAX(0,MIN('Activities'!L83,144)-MAX('Activities'!K83,138))</x:f>
        <x:v>0</x:v>
      </x:c>
      <x:c r="AC83" s="23" t="n">
        <x:f>MAX(0,MIN('Activities'!L83,150)-MAX('Activities'!K83,144))</x:f>
        <x:v>0</x:v>
      </x:c>
      <x:c r="AD83" s="23" t="n">
        <x:f>MAX(0,MIN('Activities'!L83,156)-MAX('Activities'!K83,150))</x:f>
        <x:v>0</x:v>
      </x:c>
      <x:c r="AE83" s="23" t="n">
        <x:f>MAX(0,MIN('Activities'!L83,162)-MAX('Activities'!K83,156))</x:f>
        <x:v>0</x:v>
      </x:c>
      <x:c r="AF83" s="23" t="n">
        <x:f>MAX(0,MIN('Activities'!L83,168)-MAX('Activities'!K83,162))</x:f>
        <x:v>0</x:v>
      </x:c>
      <x:c r="AG83" s="23" t="n">
        <x:f>MAX(0,MIN('Activities'!L83,174)-MAX('Activities'!K83,168))</x:f>
        <x:v>0</x:v>
      </x:c>
      <x:c r="AH83" s="23" t="n">
        <x:f>MAX(0,MIN('Activities'!L83,180)-MAX('Activities'!K83,174))</x:f>
        <x:v>0</x:v>
      </x:c>
      <x:c r="AI83" s="23" t="n">
        <x:f>MAX(0,MIN('Activities'!L83,186)-MAX('Activities'!K83,180))</x:f>
        <x:v>0</x:v>
      </x:c>
      <x:c r="AJ83" s="23" t="n">
        <x:f>MAX(0,MIN('Activities'!L83,192)-MAX('Activities'!K83,186))</x:f>
        <x:v>0</x:v>
      </x:c>
      <x:c r="AK83" s="23" t="n">
        <x:f>MAX(0,MIN('Activities'!L83,198)-MAX('Activities'!K83,192))</x:f>
        <x:v>0</x:v>
      </x:c>
      <x:c r="AL83" s="23" t="n">
        <x:f>MAX(0,MIN('Activities'!L83,204)-MAX('Activities'!K83,198))</x:f>
        <x:v>0</x:v>
      </x:c>
      <x:c r="AM83" s="23" t="n">
        <x:f>MAX(0,MIN('Activities'!L83,210)-MAX('Activities'!K83,204))</x:f>
        <x:v>0</x:v>
      </x:c>
      <x:c r="AN83" s="23" t="n">
        <x:f>MAX(0,MIN('Activities'!L83,216)-MAX('Activities'!K83,210))</x:f>
        <x:v>0</x:v>
      </x:c>
      <x:c r="AO83" s="23" t="n">
        <x:f>MAX(0,MIN('Activities'!L83,222)-MAX('Activities'!K83,216))</x:f>
        <x:v>0</x:v>
      </x:c>
      <x:c r="AP83" s="23" t="n">
        <x:f>MAX(0,MIN('Activities'!L83,228)-MAX('Activities'!K83,222))</x:f>
        <x:v>0</x:v>
      </x:c>
      <x:c r="AQ83" s="23" t="n">
        <x:f>MAX(0,MIN('Activities'!L83,234)-MAX('Activities'!K83,228))</x:f>
        <x:v>0</x:v>
      </x:c>
      <x:c r="AR83" s="23" t="n">
        <x:f>MAX(0,MIN('Activities'!L83,240)-MAX('Activities'!K83,234))</x:f>
        <x:v>0</x:v>
      </x:c>
      <x:c r="AS83" s="23" t="n">
        <x:f>MAX(0,MIN('Activities'!L83,246)-MAX('Activities'!K83,240))</x:f>
        <x:v>0</x:v>
      </x:c>
      <x:c r="AT83" s="23" t="n">
        <x:f>MAX(0,MIN('Activities'!L83,252)-MAX('Activities'!K83,246))</x:f>
        <x:v>5</x:v>
      </x:c>
      <x:c r="AU83" s="23" t="n">
        <x:f>MAX(0,MIN('Activities'!L83,258)-MAX('Activities'!K83,252))</x:f>
        <x:v>0</x:v>
      </x:c>
      <x:c r="AV83" s="23" t="n">
        <x:f>MAX(0,MIN('Activities'!L83,264)-MAX('Activities'!K83,258))</x:f>
        <x:v>0</x:v>
      </x:c>
      <x:c r="AW83" s="23" t="n">
        <x:f>MAX(0,MIN('Activities'!L83,270)-MAX('Activities'!K83,264))</x:f>
        <x:v>0</x:v>
      </x:c>
      <x:c r="AX83" s="23" t="n">
        <x:f>MAX(0,MIN('Activities'!L83,276)-MAX('Activities'!K83,270))</x:f>
        <x:v>0</x:v>
      </x:c>
      <x:c r="AY83" s="23" t="n">
        <x:f>MAX(0,MIN('Activities'!L83,282)-MAX('Activities'!K83,276))</x:f>
        <x:v>0</x:v>
      </x:c>
      <x:c r="AZ83" s="23" t="n">
        <x:f>MAX(0,MIN('Activities'!L83,288)-MAX('Activities'!K83,282))</x:f>
        <x:v>0</x:v>
      </x:c>
      <x:c r="BA83" s="23" t="n">
        <x:f>MAX(0,MIN('Activities'!L83,294)-MAX('Activities'!K83,288))</x:f>
        <x:v>0</x:v>
      </x:c>
      <x:c r="BB83" s="23" t="n">
        <x:f>MAX(0,MIN('Activities'!L83,300)-MAX('Activities'!K83,294))</x:f>
        <x:v>0</x:v>
      </x:c>
      <x:c r="BC83" s="23" t="n">
        <x:f>MAX(0,MIN('Activities'!L83,306)-MAX('Activities'!K83,300))</x:f>
        <x:v>0</x:v>
      </x:c>
      <x:c r="BD83" s="23" t="n">
        <x:f>MAX(0,MIN('Activities'!L83,312)-MAX('Activities'!K83,306))</x:f>
        <x:v>0</x:v>
      </x:c>
      <x:c r="BE83" s="23" t="n">
        <x:f>MAX(0,MIN('Activities'!L83,318)-MAX('Activities'!K83,312))</x:f>
        <x:v>0</x:v>
      </x:c>
      <x:c r="BF83" s="23" t="n">
        <x:f>MAX(0,MIN('Activities'!L83,324)-MAX('Activities'!K83,318))</x:f>
        <x:v>0</x:v>
      </x:c>
      <x:c r="BG83" s="23" t="n">
        <x:f>MAX(0,MIN('Activities'!L83,330)-MAX('Activities'!K83,324))</x:f>
        <x:v>0</x:v>
      </x:c>
      <x:c r="BH83" s="23" t="n">
        <x:f>MAX(0,MIN('Activities'!L83,336)-MAX('Activities'!K83,330))</x:f>
        <x:v>0</x:v>
      </x:c>
      <x:c r="BI83" s="23" t="n">
        <x:f>MAX(0,MIN('Activities'!L83,342)-MAX('Activities'!K83,336))</x:f>
        <x:v>0</x:v>
      </x:c>
      <x:c r="BJ83" s="23" t="n">
        <x:f>MAX(0,MIN('Activities'!L83,348)-MAX('Activities'!K83,342))</x:f>
        <x:v>0</x:v>
      </x:c>
      <x:c r="BK83" s="23" t="n">
        <x:f>MAX(0,MIN('Activities'!L83,354)-MAX('Activities'!K83,348))</x:f>
        <x:v>0</x:v>
      </x:c>
      <x:c r="BL83" s="23" t="n">
        <x:f>MAX(0,MIN('Activities'!L83,360)-MAX('Activities'!K83,354))</x:f>
        <x:v>0</x:v>
      </x:c>
      <x:c r="BM83" s="23" t="n">
        <x:f>MAX(0,MIN('Activities'!L83,366)-MAX('Activities'!K83,360))</x:f>
        <x:v>0</x:v>
      </x:c>
      <x:c r="BN83" s="23" t="n">
        <x:f>MAX(0,MIN('Activities'!L83,372)-MAX('Activities'!K83,366))</x:f>
        <x:v>0</x:v>
      </x:c>
      <x:c r="BO83" s="23" t="n">
        <x:f>MAX(0,MIN('Activities'!L83,378)-MAX('Activities'!K83,372))</x:f>
        <x:v>0</x:v>
      </x:c>
      <x:c r="BP83" s="23" t="n">
        <x:f>MAX(0,MIN('Activities'!L83,384)-MAX('Activities'!K83,378))</x:f>
        <x:v>0</x:v>
      </x:c>
      <x:c r="BQ83" s="23" t="n">
        <x:f>MAX(0,MIN('Activities'!L83,390)-MAX('Activities'!K83,384))</x:f>
        <x:v>0</x:v>
      </x:c>
      <x:c r="BR83" s="23" t="n">
        <x:f>MAX(0,MIN('Activities'!L83,396)-MAX('Activities'!K83,390))</x:f>
        <x:v>0</x:v>
      </x:c>
      <x:c r="BS83" s="23" t="n">
        <x:f>MAX(0,MIN('Activities'!L83,402)-MAX('Activities'!K83,396))</x:f>
        <x:v>0</x:v>
      </x:c>
      <x:c r="BT83" s="23" t="n">
        <x:f>MAX(0,MIN('Activities'!L83,408)-MAX('Activities'!K83,402))</x:f>
        <x:v>0</x:v>
      </x:c>
      <x:c r="BU83" s="23" t="n">
        <x:f>MAX(0,MIN('Activities'!L83,414)-MAX('Activities'!K83,408))</x:f>
        <x:v>0</x:v>
      </x:c>
      <x:c r="BV83" s="23" t="n">
        <x:f>MAX(0,MIN('Activities'!L83,420)-MAX('Activities'!K83,414))</x:f>
        <x:v>0</x:v>
      </x:c>
      <x:c r="BW83" s="23" t="n">
        <x:f>MAX(0,MIN('Activities'!L83,426)-MAX('Activities'!K83,420))</x:f>
        <x:v>0</x:v>
      </x:c>
      <x:c r="BX83" s="23" t="n">
        <x:f>MAX(0,MIN('Activities'!L83,432)-MAX('Activities'!K83,426))</x:f>
        <x:v>0</x:v>
      </x:c>
      <x:c r="BY83" s="23" t="n">
        <x:f>MAX(0,MIN('Activities'!L83,438)-MAX('Activities'!K83,432))</x:f>
        <x:v>0</x:v>
      </x:c>
      <x:c r="BZ83" s="23" t="n">
        <x:f>MAX(0,MIN('Activities'!L83,444)-MAX('Activities'!K83,438))</x:f>
        <x:v>0</x:v>
      </x:c>
      <x:c r="CA83" s="23" t="n">
        <x:f>MAX(0,MIN('Activities'!L83,450)-MAX('Activities'!K83,444))</x:f>
        <x:v>0</x:v>
      </x:c>
      <x:c r="CB83" s="23" t="n">
        <x:f>MAX(0,MIN('Activities'!L83,456)-MAX('Activities'!K83,450))</x:f>
        <x:v>0</x:v>
      </x:c>
      <x:c r="CC83" s="23" t="n">
        <x:f>MAX(0,MIN('Activities'!L83,462)-MAX('Activities'!K83,456))</x:f>
        <x:v>0</x:v>
      </x:c>
      <x:c r="CD83" s="23" t="n">
        <x:f>MAX(0,MIN('Activities'!L83,468)-MAX('Activities'!K83,462))</x:f>
        <x:v>0</x:v>
      </x:c>
      <x:c r="CE83" s="23" t="n">
        <x:f>MAX(0,MIN('Activities'!L83,474)-MAX('Activities'!K83,468))</x:f>
        <x:v>0</x:v>
      </x:c>
      <x:c r="CF83" s="23" t="n">
        <x:f>MAX(0,MIN('Activities'!L83,480)-MAX('Activities'!K83,474))</x:f>
        <x:v>0</x:v>
      </x:c>
      <x:c r="CG83" s="23" t="n">
        <x:f>MAX(0,MIN('Activities'!L83,486)-MAX('Activities'!K83,480))</x:f>
        <x:v>0</x:v>
      </x:c>
      <x:c r="CH83" s="23" t="n">
        <x:f>MAX(0,MIN('Activities'!L83,492)-MAX('Activities'!K83,486))</x:f>
        <x:v>0</x:v>
      </x:c>
      <x:c r="CI83" s="23" t="n">
        <x:f>MAX(0,MIN('Activities'!L83,498)-MAX('Activities'!K83,492))</x:f>
        <x:v>0</x:v>
      </x:c>
      <x:c r="CJ83" s="23" t="n">
        <x:f>MAX(0,MIN('Activities'!L83,504)-MAX('Activities'!K83,498))</x:f>
        <x:v>0</x:v>
      </x:c>
      <x:c r="CK83" s="23" t="n">
        <x:f>MAX(0,MIN('Activities'!L83,510)-MAX('Activities'!K83,504))</x:f>
        <x:v>0</x:v>
      </x:c>
      <x:c r="CL83" s="23" t="n">
        <x:f>MAX(0,MIN('Activities'!L83,516)-MAX('Activities'!K83,510))</x:f>
        <x:v>0</x:v>
      </x:c>
      <x:c r="CM83" s="23" t="n">
        <x:f>MAX(0,MIN('Activities'!L83,522)-MAX('Activities'!K83,516))</x:f>
        <x:v>0</x:v>
      </x:c>
      <x:c r="CN83" s="23" t="n">
        <x:f>MAX(0,MIN('Activities'!L83,528)-MAX('Activities'!K83,522))</x:f>
        <x:v>0</x:v>
      </x:c>
      <x:c r="CO83" s="23" t="n">
        <x:f>MAX(0,MIN('Activities'!L83,534)-MAX('Activities'!K83,528))</x:f>
        <x:v>0</x:v>
      </x:c>
      <x:c r="CP83" s="23" t="n">
        <x:f>MAX(0,MIN('Activities'!L83,540)-MAX('Activities'!K83,534))</x:f>
        <x:v>0</x:v>
      </x:c>
      <x:c r="CQ83" s="23" t="n">
        <x:f>MAX(0,MIN('Activities'!L83,546)-MAX('Activities'!K83,540))</x:f>
        <x:v>0</x:v>
      </x:c>
      <x:c r="CR83" s="23" t="n">
        <x:f>MAX(0,MIN('Activities'!L83,552)-MAX('Activities'!K83,546))</x:f>
        <x:v>0</x:v>
      </x:c>
      <x:c r="CS83" s="23" t="n">
        <x:f>MAX(0,MIN('Activities'!L83,558)-MAX('Activities'!K83,552))</x:f>
        <x:v>0</x:v>
      </x:c>
      <x:c r="CT83" s="23" t="n">
        <x:f>MAX(0,MIN('Activities'!L83,564)-MAX('Activities'!K83,558))</x:f>
        <x:v>0</x:v>
      </x:c>
      <x:c r="CU83" s="23" t="n">
        <x:f>MAX(0,MIN('Activities'!L83,570)-MAX('Activities'!K83,564))</x:f>
        <x:v>0</x:v>
      </x:c>
      <x:c r="CV83" s="23" t="n">
        <x:f>MAX(0,MIN('Activities'!L83,576)-MAX('Activities'!K83,570))</x:f>
        <x:v>0</x:v>
      </x:c>
      <x:c r="CW83" s="23" t="n">
        <x:f>MAX(0,MIN('Activities'!L83,582)-MAX('Activities'!K83,576))</x:f>
        <x:v>0</x:v>
      </x:c>
      <x:c r="CX83" s="23" t="n">
        <x:f>MAX(0,MIN('Activities'!L83,588)-MAX('Activities'!K83,582))</x:f>
        <x:v>0</x:v>
      </x:c>
      <x:c r="CY83" s="23" t="n">
        <x:f>MAX(0,MIN('Activities'!L83,594)-MAX('Activities'!K83,588))</x:f>
        <x:v>0</x:v>
      </x:c>
      <x:c r="CZ83" s="23" t="n">
        <x:f>MAX(0,MIN('Activities'!L83,600)-MAX('Activities'!K83,594))</x:f>
        <x:v>0</x:v>
      </x:c>
      <x:c r="DA83" s="23" t="n">
        <x:f>MAX(0,MIN('Activities'!L83,606)-MAX('Activities'!K83,600))</x:f>
        <x:v>0</x:v>
      </x:c>
      <x:c r="DB83" s="23" t="n">
        <x:f>MAX(0,MIN('Activities'!L83,612)-MAX('Activities'!K83,606))</x:f>
        <x:v>0</x:v>
      </x:c>
      <x:c r="DC83" s="23" t="n">
        <x:f>MAX(0,MIN('Activities'!L83,618)-MAX('Activities'!K83,612))</x:f>
        <x:v>0</x:v>
      </x:c>
      <x:c r="DD83" s="23" t="n">
        <x:f>MAX(0,MIN('Activities'!L83,624)-MAX('Activities'!K83,618))</x:f>
        <x:v>0</x:v>
      </x:c>
      <x:c r="DE83" s="23" t="n">
        <x:f>MAX(0,MIN('Activities'!L83,630)-MAX('Activities'!K83,624))</x:f>
        <x:v>0</x:v>
      </x:c>
      <x:c r="DF83" s="23" t="n">
        <x:f>MAX(0,MIN('Activities'!L83,636)-MAX('Activities'!K83,630))</x:f>
        <x:v>0</x:v>
      </x:c>
    </x:row>
    <x:row r="84" ht="23" customHeight="1">
      <x:c r="A84" s="6" t="str">
        <x:v>T1-L02-P</x:v>
      </x:c>
      <x:c r="B84" s="6" t="str">
        <x:v>T1</x:v>
      </x:c>
      <x:c r="C84" s="6" t="str">
        <x:v>Internal plaster</x:v>
      </x:c>
      <x:c r="D84" s="6" t="str">
        <x:v>Finishes</x:v>
      </x:c>
      <x:c r="E84" s="22" t="n">
        <x:f>MAX(0,MIN('Activities'!L84,6)-MAX('Activities'!K84,0))</x:f>
        <x:v>0</x:v>
      </x:c>
      <x:c r="F84" s="22" t="n">
        <x:f>MAX(0,MIN('Activities'!L84,12)-MAX('Activities'!K84,6))</x:f>
        <x:v>0</x:v>
      </x:c>
      <x:c r="G84" s="22" t="n">
        <x:f>MAX(0,MIN('Activities'!L84,18)-MAX('Activities'!K84,12))</x:f>
        <x:v>0</x:v>
      </x:c>
      <x:c r="H84" s="22" t="n">
        <x:f>MAX(0,MIN('Activities'!L84,24)-MAX('Activities'!K84,18))</x:f>
        <x:v>0</x:v>
      </x:c>
      <x:c r="I84" s="22" t="n">
        <x:f>MAX(0,MIN('Activities'!L84,30)-MAX('Activities'!K84,24))</x:f>
        <x:v>0</x:v>
      </x:c>
      <x:c r="J84" s="22" t="n">
        <x:f>MAX(0,MIN('Activities'!L84,36)-MAX('Activities'!K84,30))</x:f>
        <x:v>0</x:v>
      </x:c>
      <x:c r="K84" s="22" t="n">
        <x:f>MAX(0,MIN('Activities'!L84,42)-MAX('Activities'!K84,36))</x:f>
        <x:v>0</x:v>
      </x:c>
      <x:c r="L84" s="22" t="n">
        <x:f>MAX(0,MIN('Activities'!L84,48)-MAX('Activities'!K84,42))</x:f>
        <x:v>0</x:v>
      </x:c>
      <x:c r="M84" s="22" t="n">
        <x:f>MAX(0,MIN('Activities'!L84,54)-MAX('Activities'!K84,48))</x:f>
        <x:v>0</x:v>
      </x:c>
      <x:c r="N84" s="22" t="n">
        <x:f>MAX(0,MIN('Activities'!L84,60)-MAX('Activities'!K84,54))</x:f>
        <x:v>0</x:v>
      </x:c>
      <x:c r="O84" s="22" t="n">
        <x:f>MAX(0,MIN('Activities'!L84,66)-MAX('Activities'!K84,60))</x:f>
        <x:v>0</x:v>
      </x:c>
      <x:c r="P84" s="22" t="n">
        <x:f>MAX(0,MIN('Activities'!L84,72)-MAX('Activities'!K84,66))</x:f>
        <x:v>0</x:v>
      </x:c>
      <x:c r="Q84" s="22" t="n">
        <x:f>MAX(0,MIN('Activities'!L84,78)-MAX('Activities'!K84,72))</x:f>
        <x:v>0</x:v>
      </x:c>
      <x:c r="R84" s="22" t="n">
        <x:f>MAX(0,MIN('Activities'!L84,84)-MAX('Activities'!K84,78))</x:f>
        <x:v>0</x:v>
      </x:c>
      <x:c r="S84" s="22" t="n">
        <x:f>MAX(0,MIN('Activities'!L84,90)-MAX('Activities'!K84,84))</x:f>
        <x:v>0</x:v>
      </x:c>
      <x:c r="T84" s="22" t="n">
        <x:f>MAX(0,MIN('Activities'!L84,96)-MAX('Activities'!K84,90))</x:f>
        <x:v>0</x:v>
      </x:c>
      <x:c r="U84" s="22" t="n">
        <x:f>MAX(0,MIN('Activities'!L84,102)-MAX('Activities'!K84,96))</x:f>
        <x:v>0</x:v>
      </x:c>
      <x:c r="V84" s="22" t="n">
        <x:f>MAX(0,MIN('Activities'!L84,108)-MAX('Activities'!K84,102))</x:f>
        <x:v>0</x:v>
      </x:c>
      <x:c r="W84" s="22" t="n">
        <x:f>MAX(0,MIN('Activities'!L84,114)-MAX('Activities'!K84,108))</x:f>
        <x:v>0</x:v>
      </x:c>
      <x:c r="X84" s="22" t="n">
        <x:f>MAX(0,MIN('Activities'!L84,120)-MAX('Activities'!K84,114))</x:f>
        <x:v>0</x:v>
      </x:c>
      <x:c r="Y84" s="22" t="n">
        <x:f>MAX(0,MIN('Activities'!L84,126)-MAX('Activities'!K84,120))</x:f>
        <x:v>0</x:v>
      </x:c>
      <x:c r="Z84" s="22" t="n">
        <x:f>MAX(0,MIN('Activities'!L84,132)-MAX('Activities'!K84,126))</x:f>
        <x:v>0</x:v>
      </x:c>
      <x:c r="AA84" s="22" t="n">
        <x:f>MAX(0,MIN('Activities'!L84,138)-MAX('Activities'!K84,132))</x:f>
        <x:v>0</x:v>
      </x:c>
      <x:c r="AB84" s="22" t="n">
        <x:f>MAX(0,MIN('Activities'!L84,144)-MAX('Activities'!K84,138))</x:f>
        <x:v>0</x:v>
      </x:c>
      <x:c r="AC84" s="22" t="n">
        <x:f>MAX(0,MIN('Activities'!L84,150)-MAX('Activities'!K84,144))</x:f>
        <x:v>0</x:v>
      </x:c>
      <x:c r="AD84" s="22" t="n">
        <x:f>MAX(0,MIN('Activities'!L84,156)-MAX('Activities'!K84,150))</x:f>
        <x:v>0</x:v>
      </x:c>
      <x:c r="AE84" s="22" t="n">
        <x:f>MAX(0,MIN('Activities'!L84,162)-MAX('Activities'!K84,156))</x:f>
        <x:v>0</x:v>
      </x:c>
      <x:c r="AF84" s="22" t="n">
        <x:f>MAX(0,MIN('Activities'!L84,168)-MAX('Activities'!K84,162))</x:f>
        <x:v>0</x:v>
      </x:c>
      <x:c r="AG84" s="22" t="n">
        <x:f>MAX(0,MIN('Activities'!L84,174)-MAX('Activities'!K84,168))</x:f>
        <x:v>0</x:v>
      </x:c>
      <x:c r="AH84" s="22" t="n">
        <x:f>MAX(0,MIN('Activities'!L84,180)-MAX('Activities'!K84,174))</x:f>
        <x:v>0</x:v>
      </x:c>
      <x:c r="AI84" s="22" t="n">
        <x:f>MAX(0,MIN('Activities'!L84,186)-MAX('Activities'!K84,180))</x:f>
        <x:v>0</x:v>
      </x:c>
      <x:c r="AJ84" s="22" t="n">
        <x:f>MAX(0,MIN('Activities'!L84,192)-MAX('Activities'!K84,186))</x:f>
        <x:v>0</x:v>
      </x:c>
      <x:c r="AK84" s="22" t="n">
        <x:f>MAX(0,MIN('Activities'!L84,198)-MAX('Activities'!K84,192))</x:f>
        <x:v>0</x:v>
      </x:c>
      <x:c r="AL84" s="22" t="n">
        <x:f>MAX(0,MIN('Activities'!L84,204)-MAX('Activities'!K84,198))</x:f>
        <x:v>0</x:v>
      </x:c>
      <x:c r="AM84" s="22" t="n">
        <x:f>MAX(0,MIN('Activities'!L84,210)-MAX('Activities'!K84,204))</x:f>
        <x:v>0</x:v>
      </x:c>
      <x:c r="AN84" s="22" t="n">
        <x:f>MAX(0,MIN('Activities'!L84,216)-MAX('Activities'!K84,210))</x:f>
        <x:v>0</x:v>
      </x:c>
      <x:c r="AO84" s="22" t="n">
        <x:f>MAX(0,MIN('Activities'!L84,222)-MAX('Activities'!K84,216))</x:f>
        <x:v>0</x:v>
      </x:c>
      <x:c r="AP84" s="22" t="n">
        <x:f>MAX(0,MIN('Activities'!L84,228)-MAX('Activities'!K84,222))</x:f>
        <x:v>0</x:v>
      </x:c>
      <x:c r="AQ84" s="22" t="n">
        <x:f>MAX(0,MIN('Activities'!L84,234)-MAX('Activities'!K84,228))</x:f>
        <x:v>0</x:v>
      </x:c>
      <x:c r="AR84" s="22" t="n">
        <x:f>MAX(0,MIN('Activities'!L84,240)-MAX('Activities'!K84,234))</x:f>
        <x:v>0</x:v>
      </x:c>
      <x:c r="AS84" s="22" t="n">
        <x:f>MAX(0,MIN('Activities'!L84,246)-MAX('Activities'!K84,240))</x:f>
        <x:v>0</x:v>
      </x:c>
      <x:c r="AT84" s="22" t="n">
        <x:f>MAX(0,MIN('Activities'!L84,252)-MAX('Activities'!K84,246))</x:f>
        <x:v>0</x:v>
      </x:c>
      <x:c r="AU84" s="22" t="n">
        <x:f>MAX(0,MIN('Activities'!L84,258)-MAX('Activities'!K84,252))</x:f>
        <x:v>3</x:v>
      </x:c>
      <x:c r="AV84" s="22" t="n">
        <x:f>MAX(0,MIN('Activities'!L84,264)-MAX('Activities'!K84,258))</x:f>
        <x:v>3</x:v>
      </x:c>
      <x:c r="AW84" s="22" t="n">
        <x:f>MAX(0,MIN('Activities'!L84,270)-MAX('Activities'!K84,264))</x:f>
        <x:v>0</x:v>
      </x:c>
      <x:c r="AX84" s="22" t="n">
        <x:f>MAX(0,MIN('Activities'!L84,276)-MAX('Activities'!K84,270))</x:f>
        <x:v>0</x:v>
      </x:c>
      <x:c r="AY84" s="22" t="n">
        <x:f>MAX(0,MIN('Activities'!L84,282)-MAX('Activities'!K84,276))</x:f>
        <x:v>0</x:v>
      </x:c>
      <x:c r="AZ84" s="22" t="n">
        <x:f>MAX(0,MIN('Activities'!L84,288)-MAX('Activities'!K84,282))</x:f>
        <x:v>0</x:v>
      </x:c>
      <x:c r="BA84" s="22" t="n">
        <x:f>MAX(0,MIN('Activities'!L84,294)-MAX('Activities'!K84,288))</x:f>
        <x:v>0</x:v>
      </x:c>
      <x:c r="BB84" s="22" t="n">
        <x:f>MAX(0,MIN('Activities'!L84,300)-MAX('Activities'!K84,294))</x:f>
        <x:v>0</x:v>
      </x:c>
      <x:c r="BC84" s="22" t="n">
        <x:f>MAX(0,MIN('Activities'!L84,306)-MAX('Activities'!K84,300))</x:f>
        <x:v>0</x:v>
      </x:c>
      <x:c r="BD84" s="22" t="n">
        <x:f>MAX(0,MIN('Activities'!L84,312)-MAX('Activities'!K84,306))</x:f>
        <x:v>0</x:v>
      </x:c>
      <x:c r="BE84" s="22" t="n">
        <x:f>MAX(0,MIN('Activities'!L84,318)-MAX('Activities'!K84,312))</x:f>
        <x:v>0</x:v>
      </x:c>
      <x:c r="BF84" s="22" t="n">
        <x:f>MAX(0,MIN('Activities'!L84,324)-MAX('Activities'!K84,318))</x:f>
        <x:v>0</x:v>
      </x:c>
      <x:c r="BG84" s="22" t="n">
        <x:f>MAX(0,MIN('Activities'!L84,330)-MAX('Activities'!K84,324))</x:f>
        <x:v>0</x:v>
      </x:c>
      <x:c r="BH84" s="22" t="n">
        <x:f>MAX(0,MIN('Activities'!L84,336)-MAX('Activities'!K84,330))</x:f>
        <x:v>0</x:v>
      </x:c>
      <x:c r="BI84" s="22" t="n">
        <x:f>MAX(0,MIN('Activities'!L84,342)-MAX('Activities'!K84,336))</x:f>
        <x:v>0</x:v>
      </x:c>
      <x:c r="BJ84" s="22" t="n">
        <x:f>MAX(0,MIN('Activities'!L84,348)-MAX('Activities'!K84,342))</x:f>
        <x:v>0</x:v>
      </x:c>
      <x:c r="BK84" s="22" t="n">
        <x:f>MAX(0,MIN('Activities'!L84,354)-MAX('Activities'!K84,348))</x:f>
        <x:v>0</x:v>
      </x:c>
      <x:c r="BL84" s="22" t="n">
        <x:f>MAX(0,MIN('Activities'!L84,360)-MAX('Activities'!K84,354))</x:f>
        <x:v>0</x:v>
      </x:c>
      <x:c r="BM84" s="22" t="n">
        <x:f>MAX(0,MIN('Activities'!L84,366)-MAX('Activities'!K84,360))</x:f>
        <x:v>0</x:v>
      </x:c>
      <x:c r="BN84" s="22" t="n">
        <x:f>MAX(0,MIN('Activities'!L84,372)-MAX('Activities'!K84,366))</x:f>
        <x:v>0</x:v>
      </x:c>
      <x:c r="BO84" s="22" t="n">
        <x:f>MAX(0,MIN('Activities'!L84,378)-MAX('Activities'!K84,372))</x:f>
        <x:v>0</x:v>
      </x:c>
      <x:c r="BP84" s="22" t="n">
        <x:f>MAX(0,MIN('Activities'!L84,384)-MAX('Activities'!K84,378))</x:f>
        <x:v>0</x:v>
      </x:c>
      <x:c r="BQ84" s="22" t="n">
        <x:f>MAX(0,MIN('Activities'!L84,390)-MAX('Activities'!K84,384))</x:f>
        <x:v>0</x:v>
      </x:c>
      <x:c r="BR84" s="22" t="n">
        <x:f>MAX(0,MIN('Activities'!L84,396)-MAX('Activities'!K84,390))</x:f>
        <x:v>0</x:v>
      </x:c>
      <x:c r="BS84" s="22" t="n">
        <x:f>MAX(0,MIN('Activities'!L84,402)-MAX('Activities'!K84,396))</x:f>
        <x:v>0</x:v>
      </x:c>
      <x:c r="BT84" s="22" t="n">
        <x:f>MAX(0,MIN('Activities'!L84,408)-MAX('Activities'!K84,402))</x:f>
        <x:v>0</x:v>
      </x:c>
      <x:c r="BU84" s="22" t="n">
        <x:f>MAX(0,MIN('Activities'!L84,414)-MAX('Activities'!K84,408))</x:f>
        <x:v>0</x:v>
      </x:c>
      <x:c r="BV84" s="22" t="n">
        <x:f>MAX(0,MIN('Activities'!L84,420)-MAX('Activities'!K84,414))</x:f>
        <x:v>0</x:v>
      </x:c>
      <x:c r="BW84" s="22" t="n">
        <x:f>MAX(0,MIN('Activities'!L84,426)-MAX('Activities'!K84,420))</x:f>
        <x:v>0</x:v>
      </x:c>
      <x:c r="BX84" s="22" t="n">
        <x:f>MAX(0,MIN('Activities'!L84,432)-MAX('Activities'!K84,426))</x:f>
        <x:v>0</x:v>
      </x:c>
      <x:c r="BY84" s="22" t="n">
        <x:f>MAX(0,MIN('Activities'!L84,438)-MAX('Activities'!K84,432))</x:f>
        <x:v>0</x:v>
      </x:c>
      <x:c r="BZ84" s="22" t="n">
        <x:f>MAX(0,MIN('Activities'!L84,444)-MAX('Activities'!K84,438))</x:f>
        <x:v>0</x:v>
      </x:c>
      <x:c r="CA84" s="22" t="n">
        <x:f>MAX(0,MIN('Activities'!L84,450)-MAX('Activities'!K84,444))</x:f>
        <x:v>0</x:v>
      </x:c>
      <x:c r="CB84" s="22" t="n">
        <x:f>MAX(0,MIN('Activities'!L84,456)-MAX('Activities'!K84,450))</x:f>
        <x:v>0</x:v>
      </x:c>
      <x:c r="CC84" s="22" t="n">
        <x:f>MAX(0,MIN('Activities'!L84,462)-MAX('Activities'!K84,456))</x:f>
        <x:v>0</x:v>
      </x:c>
      <x:c r="CD84" s="22" t="n">
        <x:f>MAX(0,MIN('Activities'!L84,468)-MAX('Activities'!K84,462))</x:f>
        <x:v>0</x:v>
      </x:c>
      <x:c r="CE84" s="22" t="n">
        <x:f>MAX(0,MIN('Activities'!L84,474)-MAX('Activities'!K84,468))</x:f>
        <x:v>0</x:v>
      </x:c>
      <x:c r="CF84" s="22" t="n">
        <x:f>MAX(0,MIN('Activities'!L84,480)-MAX('Activities'!K84,474))</x:f>
        <x:v>0</x:v>
      </x:c>
      <x:c r="CG84" s="22" t="n">
        <x:f>MAX(0,MIN('Activities'!L84,486)-MAX('Activities'!K84,480))</x:f>
        <x:v>0</x:v>
      </x:c>
      <x:c r="CH84" s="22" t="n">
        <x:f>MAX(0,MIN('Activities'!L84,492)-MAX('Activities'!K84,486))</x:f>
        <x:v>0</x:v>
      </x:c>
      <x:c r="CI84" s="22" t="n">
        <x:f>MAX(0,MIN('Activities'!L84,498)-MAX('Activities'!K84,492))</x:f>
        <x:v>0</x:v>
      </x:c>
      <x:c r="CJ84" s="22" t="n">
        <x:f>MAX(0,MIN('Activities'!L84,504)-MAX('Activities'!K84,498))</x:f>
        <x:v>0</x:v>
      </x:c>
      <x:c r="CK84" s="22" t="n">
        <x:f>MAX(0,MIN('Activities'!L84,510)-MAX('Activities'!K84,504))</x:f>
        <x:v>0</x:v>
      </x:c>
      <x:c r="CL84" s="22" t="n">
        <x:f>MAX(0,MIN('Activities'!L84,516)-MAX('Activities'!K84,510))</x:f>
        <x:v>0</x:v>
      </x:c>
      <x:c r="CM84" s="22" t="n">
        <x:f>MAX(0,MIN('Activities'!L84,522)-MAX('Activities'!K84,516))</x:f>
        <x:v>0</x:v>
      </x:c>
      <x:c r="CN84" s="22" t="n">
        <x:f>MAX(0,MIN('Activities'!L84,528)-MAX('Activities'!K84,522))</x:f>
        <x:v>0</x:v>
      </x:c>
      <x:c r="CO84" s="22" t="n">
        <x:f>MAX(0,MIN('Activities'!L84,534)-MAX('Activities'!K84,528))</x:f>
        <x:v>0</x:v>
      </x:c>
      <x:c r="CP84" s="22" t="n">
        <x:f>MAX(0,MIN('Activities'!L84,540)-MAX('Activities'!K84,534))</x:f>
        <x:v>0</x:v>
      </x:c>
      <x:c r="CQ84" s="22" t="n">
        <x:f>MAX(0,MIN('Activities'!L84,546)-MAX('Activities'!K84,540))</x:f>
        <x:v>0</x:v>
      </x:c>
      <x:c r="CR84" s="22" t="n">
        <x:f>MAX(0,MIN('Activities'!L84,552)-MAX('Activities'!K84,546))</x:f>
        <x:v>0</x:v>
      </x:c>
      <x:c r="CS84" s="22" t="n">
        <x:f>MAX(0,MIN('Activities'!L84,558)-MAX('Activities'!K84,552))</x:f>
        <x:v>0</x:v>
      </x:c>
      <x:c r="CT84" s="22" t="n">
        <x:f>MAX(0,MIN('Activities'!L84,564)-MAX('Activities'!K84,558))</x:f>
        <x:v>0</x:v>
      </x:c>
      <x:c r="CU84" s="22" t="n">
        <x:f>MAX(0,MIN('Activities'!L84,570)-MAX('Activities'!K84,564))</x:f>
        <x:v>0</x:v>
      </x:c>
      <x:c r="CV84" s="22" t="n">
        <x:f>MAX(0,MIN('Activities'!L84,576)-MAX('Activities'!K84,570))</x:f>
        <x:v>0</x:v>
      </x:c>
      <x:c r="CW84" s="22" t="n">
        <x:f>MAX(0,MIN('Activities'!L84,582)-MAX('Activities'!K84,576))</x:f>
        <x:v>0</x:v>
      </x:c>
      <x:c r="CX84" s="22" t="n">
        <x:f>MAX(0,MIN('Activities'!L84,588)-MAX('Activities'!K84,582))</x:f>
        <x:v>0</x:v>
      </x:c>
      <x:c r="CY84" s="22" t="n">
        <x:f>MAX(0,MIN('Activities'!L84,594)-MAX('Activities'!K84,588))</x:f>
        <x:v>0</x:v>
      </x:c>
      <x:c r="CZ84" s="22" t="n">
        <x:f>MAX(0,MIN('Activities'!L84,600)-MAX('Activities'!K84,594))</x:f>
        <x:v>0</x:v>
      </x:c>
      <x:c r="DA84" s="22" t="n">
        <x:f>MAX(0,MIN('Activities'!L84,606)-MAX('Activities'!K84,600))</x:f>
        <x:v>0</x:v>
      </x:c>
      <x:c r="DB84" s="22" t="n">
        <x:f>MAX(0,MIN('Activities'!L84,612)-MAX('Activities'!K84,606))</x:f>
        <x:v>0</x:v>
      </x:c>
      <x:c r="DC84" s="22" t="n">
        <x:f>MAX(0,MIN('Activities'!L84,618)-MAX('Activities'!K84,612))</x:f>
        <x:v>0</x:v>
      </x:c>
      <x:c r="DD84" s="22" t="n">
        <x:f>MAX(0,MIN('Activities'!L84,624)-MAX('Activities'!K84,618))</x:f>
        <x:v>0</x:v>
      </x:c>
      <x:c r="DE84" s="22" t="n">
        <x:f>MAX(0,MIN('Activities'!L84,630)-MAX('Activities'!K84,624))</x:f>
        <x:v>0</x:v>
      </x:c>
      <x:c r="DF84" s="22" t="n">
        <x:f>MAX(0,MIN('Activities'!L84,636)-MAX('Activities'!K84,630))</x:f>
        <x:v>0</x:v>
      </x:c>
    </x:row>
    <x:row r="85" ht="23" customHeight="1">
      <x:c r="A85" s="1" t="str">
        <x:v>T1-L02-S</x:v>
      </x:c>
      <x:c r="B85" s="1" t="str">
        <x:v>T1</x:v>
      </x:c>
      <x:c r="C85" s="1" t="str">
        <x:v>Screed and substrate preparation</x:v>
      </x:c>
      <x:c r="D85" s="1" t="str">
        <x:v>Finishes</x:v>
      </x:c>
      <x:c r="E85" s="23" t="n">
        <x:f>MAX(0,MIN('Activities'!L85,6)-MAX('Activities'!K85,0))</x:f>
        <x:v>0</x:v>
      </x:c>
      <x:c r="F85" s="23" t="n">
        <x:f>MAX(0,MIN('Activities'!L85,12)-MAX('Activities'!K85,6))</x:f>
        <x:v>0</x:v>
      </x:c>
      <x:c r="G85" s="23" t="n">
        <x:f>MAX(0,MIN('Activities'!L85,18)-MAX('Activities'!K85,12))</x:f>
        <x:v>0</x:v>
      </x:c>
      <x:c r="H85" s="23" t="n">
        <x:f>MAX(0,MIN('Activities'!L85,24)-MAX('Activities'!K85,18))</x:f>
        <x:v>0</x:v>
      </x:c>
      <x:c r="I85" s="23" t="n">
        <x:f>MAX(0,MIN('Activities'!L85,30)-MAX('Activities'!K85,24))</x:f>
        <x:v>0</x:v>
      </x:c>
      <x:c r="J85" s="23" t="n">
        <x:f>MAX(0,MIN('Activities'!L85,36)-MAX('Activities'!K85,30))</x:f>
        <x:v>0</x:v>
      </x:c>
      <x:c r="K85" s="23" t="n">
        <x:f>MAX(0,MIN('Activities'!L85,42)-MAX('Activities'!K85,36))</x:f>
        <x:v>0</x:v>
      </x:c>
      <x:c r="L85" s="23" t="n">
        <x:f>MAX(0,MIN('Activities'!L85,48)-MAX('Activities'!K85,42))</x:f>
        <x:v>0</x:v>
      </x:c>
      <x:c r="M85" s="23" t="n">
        <x:f>MAX(0,MIN('Activities'!L85,54)-MAX('Activities'!K85,48))</x:f>
        <x:v>0</x:v>
      </x:c>
      <x:c r="N85" s="23" t="n">
        <x:f>MAX(0,MIN('Activities'!L85,60)-MAX('Activities'!K85,54))</x:f>
        <x:v>0</x:v>
      </x:c>
      <x:c r="O85" s="23" t="n">
        <x:f>MAX(0,MIN('Activities'!L85,66)-MAX('Activities'!K85,60))</x:f>
        <x:v>0</x:v>
      </x:c>
      <x:c r="P85" s="23" t="n">
        <x:f>MAX(0,MIN('Activities'!L85,72)-MAX('Activities'!K85,66))</x:f>
        <x:v>0</x:v>
      </x:c>
      <x:c r="Q85" s="23" t="n">
        <x:f>MAX(0,MIN('Activities'!L85,78)-MAX('Activities'!K85,72))</x:f>
        <x:v>0</x:v>
      </x:c>
      <x:c r="R85" s="23" t="n">
        <x:f>MAX(0,MIN('Activities'!L85,84)-MAX('Activities'!K85,78))</x:f>
        <x:v>0</x:v>
      </x:c>
      <x:c r="S85" s="23" t="n">
        <x:f>MAX(0,MIN('Activities'!L85,90)-MAX('Activities'!K85,84))</x:f>
        <x:v>0</x:v>
      </x:c>
      <x:c r="T85" s="23" t="n">
        <x:f>MAX(0,MIN('Activities'!L85,96)-MAX('Activities'!K85,90))</x:f>
        <x:v>0</x:v>
      </x:c>
      <x:c r="U85" s="23" t="n">
        <x:f>MAX(0,MIN('Activities'!L85,102)-MAX('Activities'!K85,96))</x:f>
        <x:v>0</x:v>
      </x:c>
      <x:c r="V85" s="23" t="n">
        <x:f>MAX(0,MIN('Activities'!L85,108)-MAX('Activities'!K85,102))</x:f>
        <x:v>0</x:v>
      </x:c>
      <x:c r="W85" s="23" t="n">
        <x:f>MAX(0,MIN('Activities'!L85,114)-MAX('Activities'!K85,108))</x:f>
        <x:v>0</x:v>
      </x:c>
      <x:c r="X85" s="23" t="n">
        <x:f>MAX(0,MIN('Activities'!L85,120)-MAX('Activities'!K85,114))</x:f>
        <x:v>0</x:v>
      </x:c>
      <x:c r="Y85" s="23" t="n">
        <x:f>MAX(0,MIN('Activities'!L85,126)-MAX('Activities'!K85,120))</x:f>
        <x:v>0</x:v>
      </x:c>
      <x:c r="Z85" s="23" t="n">
        <x:f>MAX(0,MIN('Activities'!L85,132)-MAX('Activities'!K85,126))</x:f>
        <x:v>0</x:v>
      </x:c>
      <x:c r="AA85" s="23" t="n">
        <x:f>MAX(0,MIN('Activities'!L85,138)-MAX('Activities'!K85,132))</x:f>
        <x:v>0</x:v>
      </x:c>
      <x:c r="AB85" s="23" t="n">
        <x:f>MAX(0,MIN('Activities'!L85,144)-MAX('Activities'!K85,138))</x:f>
        <x:v>0</x:v>
      </x:c>
      <x:c r="AC85" s="23" t="n">
        <x:f>MAX(0,MIN('Activities'!L85,150)-MAX('Activities'!K85,144))</x:f>
        <x:v>0</x:v>
      </x:c>
      <x:c r="AD85" s="23" t="n">
        <x:f>MAX(0,MIN('Activities'!L85,156)-MAX('Activities'!K85,150))</x:f>
        <x:v>0</x:v>
      </x:c>
      <x:c r="AE85" s="23" t="n">
        <x:f>MAX(0,MIN('Activities'!L85,162)-MAX('Activities'!K85,156))</x:f>
        <x:v>0</x:v>
      </x:c>
      <x:c r="AF85" s="23" t="n">
        <x:f>MAX(0,MIN('Activities'!L85,168)-MAX('Activities'!K85,162))</x:f>
        <x:v>0</x:v>
      </x:c>
      <x:c r="AG85" s="23" t="n">
        <x:f>MAX(0,MIN('Activities'!L85,174)-MAX('Activities'!K85,168))</x:f>
        <x:v>0</x:v>
      </x:c>
      <x:c r="AH85" s="23" t="n">
        <x:f>MAX(0,MIN('Activities'!L85,180)-MAX('Activities'!K85,174))</x:f>
        <x:v>0</x:v>
      </x:c>
      <x:c r="AI85" s="23" t="n">
        <x:f>MAX(0,MIN('Activities'!L85,186)-MAX('Activities'!K85,180))</x:f>
        <x:v>0</x:v>
      </x:c>
      <x:c r="AJ85" s="23" t="n">
        <x:f>MAX(0,MIN('Activities'!L85,192)-MAX('Activities'!K85,186))</x:f>
        <x:v>0</x:v>
      </x:c>
      <x:c r="AK85" s="23" t="n">
        <x:f>MAX(0,MIN('Activities'!L85,198)-MAX('Activities'!K85,192))</x:f>
        <x:v>0</x:v>
      </x:c>
      <x:c r="AL85" s="23" t="n">
        <x:f>MAX(0,MIN('Activities'!L85,204)-MAX('Activities'!K85,198))</x:f>
        <x:v>0</x:v>
      </x:c>
      <x:c r="AM85" s="23" t="n">
        <x:f>MAX(0,MIN('Activities'!L85,210)-MAX('Activities'!K85,204))</x:f>
        <x:v>0</x:v>
      </x:c>
      <x:c r="AN85" s="23" t="n">
        <x:f>MAX(0,MIN('Activities'!L85,216)-MAX('Activities'!K85,210))</x:f>
        <x:v>0</x:v>
      </x:c>
      <x:c r="AO85" s="23" t="n">
        <x:f>MAX(0,MIN('Activities'!L85,222)-MAX('Activities'!K85,216))</x:f>
        <x:v>0</x:v>
      </x:c>
      <x:c r="AP85" s="23" t="n">
        <x:f>MAX(0,MIN('Activities'!L85,228)-MAX('Activities'!K85,222))</x:f>
        <x:v>0</x:v>
      </x:c>
      <x:c r="AQ85" s="23" t="n">
        <x:f>MAX(0,MIN('Activities'!L85,234)-MAX('Activities'!K85,228))</x:f>
        <x:v>0</x:v>
      </x:c>
      <x:c r="AR85" s="23" t="n">
        <x:f>MAX(0,MIN('Activities'!L85,240)-MAX('Activities'!K85,234))</x:f>
        <x:v>0</x:v>
      </x:c>
      <x:c r="AS85" s="23" t="n">
        <x:f>MAX(0,MIN('Activities'!L85,246)-MAX('Activities'!K85,240))</x:f>
        <x:v>0</x:v>
      </x:c>
      <x:c r="AT85" s="23" t="n">
        <x:f>MAX(0,MIN('Activities'!L85,252)-MAX('Activities'!K85,246))</x:f>
        <x:v>0</x:v>
      </x:c>
      <x:c r="AU85" s="23" t="n">
        <x:f>MAX(0,MIN('Activities'!L85,258)-MAX('Activities'!K85,252))</x:f>
        <x:v>0</x:v>
      </x:c>
      <x:c r="AV85" s="23" t="n">
        <x:f>MAX(0,MIN('Activities'!L85,264)-MAX('Activities'!K85,258))</x:f>
        <x:v>1</x:v>
      </x:c>
      <x:c r="AW85" s="23" t="n">
        <x:f>MAX(0,MIN('Activities'!L85,270)-MAX('Activities'!K85,264))</x:f>
        <x:v>2</x:v>
      </x:c>
      <x:c r="AX85" s="23" t="n">
        <x:f>MAX(0,MIN('Activities'!L85,276)-MAX('Activities'!K85,270))</x:f>
        <x:v>0</x:v>
      </x:c>
      <x:c r="AY85" s="23" t="n">
        <x:f>MAX(0,MIN('Activities'!L85,282)-MAX('Activities'!K85,276))</x:f>
        <x:v>0</x:v>
      </x:c>
      <x:c r="AZ85" s="23" t="n">
        <x:f>MAX(0,MIN('Activities'!L85,288)-MAX('Activities'!K85,282))</x:f>
        <x:v>0</x:v>
      </x:c>
      <x:c r="BA85" s="23" t="n">
        <x:f>MAX(0,MIN('Activities'!L85,294)-MAX('Activities'!K85,288))</x:f>
        <x:v>0</x:v>
      </x:c>
      <x:c r="BB85" s="23" t="n">
        <x:f>MAX(0,MIN('Activities'!L85,300)-MAX('Activities'!K85,294))</x:f>
        <x:v>0</x:v>
      </x:c>
      <x:c r="BC85" s="23" t="n">
        <x:f>MAX(0,MIN('Activities'!L85,306)-MAX('Activities'!K85,300))</x:f>
        <x:v>0</x:v>
      </x:c>
      <x:c r="BD85" s="23" t="n">
        <x:f>MAX(0,MIN('Activities'!L85,312)-MAX('Activities'!K85,306))</x:f>
        <x:v>0</x:v>
      </x:c>
      <x:c r="BE85" s="23" t="n">
        <x:f>MAX(0,MIN('Activities'!L85,318)-MAX('Activities'!K85,312))</x:f>
        <x:v>0</x:v>
      </x:c>
      <x:c r="BF85" s="23" t="n">
        <x:f>MAX(0,MIN('Activities'!L85,324)-MAX('Activities'!K85,318))</x:f>
        <x:v>0</x:v>
      </x:c>
      <x:c r="BG85" s="23" t="n">
        <x:f>MAX(0,MIN('Activities'!L85,330)-MAX('Activities'!K85,324))</x:f>
        <x:v>0</x:v>
      </x:c>
      <x:c r="BH85" s="23" t="n">
        <x:f>MAX(0,MIN('Activities'!L85,336)-MAX('Activities'!K85,330))</x:f>
        <x:v>0</x:v>
      </x:c>
      <x:c r="BI85" s="23" t="n">
        <x:f>MAX(0,MIN('Activities'!L85,342)-MAX('Activities'!K85,336))</x:f>
        <x:v>0</x:v>
      </x:c>
      <x:c r="BJ85" s="23" t="n">
        <x:f>MAX(0,MIN('Activities'!L85,348)-MAX('Activities'!K85,342))</x:f>
        <x:v>0</x:v>
      </x:c>
      <x:c r="BK85" s="23" t="n">
        <x:f>MAX(0,MIN('Activities'!L85,354)-MAX('Activities'!K85,348))</x:f>
        <x:v>0</x:v>
      </x:c>
      <x:c r="BL85" s="23" t="n">
        <x:f>MAX(0,MIN('Activities'!L85,360)-MAX('Activities'!K85,354))</x:f>
        <x:v>0</x:v>
      </x:c>
      <x:c r="BM85" s="23" t="n">
        <x:f>MAX(0,MIN('Activities'!L85,366)-MAX('Activities'!K85,360))</x:f>
        <x:v>0</x:v>
      </x:c>
      <x:c r="BN85" s="23" t="n">
        <x:f>MAX(0,MIN('Activities'!L85,372)-MAX('Activities'!K85,366))</x:f>
        <x:v>0</x:v>
      </x:c>
      <x:c r="BO85" s="23" t="n">
        <x:f>MAX(0,MIN('Activities'!L85,378)-MAX('Activities'!K85,372))</x:f>
        <x:v>0</x:v>
      </x:c>
      <x:c r="BP85" s="23" t="n">
        <x:f>MAX(0,MIN('Activities'!L85,384)-MAX('Activities'!K85,378))</x:f>
        <x:v>0</x:v>
      </x:c>
      <x:c r="BQ85" s="23" t="n">
        <x:f>MAX(0,MIN('Activities'!L85,390)-MAX('Activities'!K85,384))</x:f>
        <x:v>0</x:v>
      </x:c>
      <x:c r="BR85" s="23" t="n">
        <x:f>MAX(0,MIN('Activities'!L85,396)-MAX('Activities'!K85,390))</x:f>
        <x:v>0</x:v>
      </x:c>
      <x:c r="BS85" s="23" t="n">
        <x:f>MAX(0,MIN('Activities'!L85,402)-MAX('Activities'!K85,396))</x:f>
        <x:v>0</x:v>
      </x:c>
      <x:c r="BT85" s="23" t="n">
        <x:f>MAX(0,MIN('Activities'!L85,408)-MAX('Activities'!K85,402))</x:f>
        <x:v>0</x:v>
      </x:c>
      <x:c r="BU85" s="23" t="n">
        <x:f>MAX(0,MIN('Activities'!L85,414)-MAX('Activities'!K85,408))</x:f>
        <x:v>0</x:v>
      </x:c>
      <x:c r="BV85" s="23" t="n">
        <x:f>MAX(0,MIN('Activities'!L85,420)-MAX('Activities'!K85,414))</x:f>
        <x:v>0</x:v>
      </x:c>
      <x:c r="BW85" s="23" t="n">
        <x:f>MAX(0,MIN('Activities'!L85,426)-MAX('Activities'!K85,420))</x:f>
        <x:v>0</x:v>
      </x:c>
      <x:c r="BX85" s="23" t="n">
        <x:f>MAX(0,MIN('Activities'!L85,432)-MAX('Activities'!K85,426))</x:f>
        <x:v>0</x:v>
      </x:c>
      <x:c r="BY85" s="23" t="n">
        <x:f>MAX(0,MIN('Activities'!L85,438)-MAX('Activities'!K85,432))</x:f>
        <x:v>0</x:v>
      </x:c>
      <x:c r="BZ85" s="23" t="n">
        <x:f>MAX(0,MIN('Activities'!L85,444)-MAX('Activities'!K85,438))</x:f>
        <x:v>0</x:v>
      </x:c>
      <x:c r="CA85" s="23" t="n">
        <x:f>MAX(0,MIN('Activities'!L85,450)-MAX('Activities'!K85,444))</x:f>
        <x:v>0</x:v>
      </x:c>
      <x:c r="CB85" s="23" t="n">
        <x:f>MAX(0,MIN('Activities'!L85,456)-MAX('Activities'!K85,450))</x:f>
        <x:v>0</x:v>
      </x:c>
      <x:c r="CC85" s="23" t="n">
        <x:f>MAX(0,MIN('Activities'!L85,462)-MAX('Activities'!K85,456))</x:f>
        <x:v>0</x:v>
      </x:c>
      <x:c r="CD85" s="23" t="n">
        <x:f>MAX(0,MIN('Activities'!L85,468)-MAX('Activities'!K85,462))</x:f>
        <x:v>0</x:v>
      </x:c>
      <x:c r="CE85" s="23" t="n">
        <x:f>MAX(0,MIN('Activities'!L85,474)-MAX('Activities'!K85,468))</x:f>
        <x:v>0</x:v>
      </x:c>
      <x:c r="CF85" s="23" t="n">
        <x:f>MAX(0,MIN('Activities'!L85,480)-MAX('Activities'!K85,474))</x:f>
        <x:v>0</x:v>
      </x:c>
      <x:c r="CG85" s="23" t="n">
        <x:f>MAX(0,MIN('Activities'!L85,486)-MAX('Activities'!K85,480))</x:f>
        <x:v>0</x:v>
      </x:c>
      <x:c r="CH85" s="23" t="n">
        <x:f>MAX(0,MIN('Activities'!L85,492)-MAX('Activities'!K85,486))</x:f>
        <x:v>0</x:v>
      </x:c>
      <x:c r="CI85" s="23" t="n">
        <x:f>MAX(0,MIN('Activities'!L85,498)-MAX('Activities'!K85,492))</x:f>
        <x:v>0</x:v>
      </x:c>
      <x:c r="CJ85" s="23" t="n">
        <x:f>MAX(0,MIN('Activities'!L85,504)-MAX('Activities'!K85,498))</x:f>
        <x:v>0</x:v>
      </x:c>
      <x:c r="CK85" s="23" t="n">
        <x:f>MAX(0,MIN('Activities'!L85,510)-MAX('Activities'!K85,504))</x:f>
        <x:v>0</x:v>
      </x:c>
      <x:c r="CL85" s="23" t="n">
        <x:f>MAX(0,MIN('Activities'!L85,516)-MAX('Activities'!K85,510))</x:f>
        <x:v>0</x:v>
      </x:c>
      <x:c r="CM85" s="23" t="n">
        <x:f>MAX(0,MIN('Activities'!L85,522)-MAX('Activities'!K85,516))</x:f>
        <x:v>0</x:v>
      </x:c>
      <x:c r="CN85" s="23" t="n">
        <x:f>MAX(0,MIN('Activities'!L85,528)-MAX('Activities'!K85,522))</x:f>
        <x:v>0</x:v>
      </x:c>
      <x:c r="CO85" s="23" t="n">
        <x:f>MAX(0,MIN('Activities'!L85,534)-MAX('Activities'!K85,528))</x:f>
        <x:v>0</x:v>
      </x:c>
      <x:c r="CP85" s="23" t="n">
        <x:f>MAX(0,MIN('Activities'!L85,540)-MAX('Activities'!K85,534))</x:f>
        <x:v>0</x:v>
      </x:c>
      <x:c r="CQ85" s="23" t="n">
        <x:f>MAX(0,MIN('Activities'!L85,546)-MAX('Activities'!K85,540))</x:f>
        <x:v>0</x:v>
      </x:c>
      <x:c r="CR85" s="23" t="n">
        <x:f>MAX(0,MIN('Activities'!L85,552)-MAX('Activities'!K85,546))</x:f>
        <x:v>0</x:v>
      </x:c>
      <x:c r="CS85" s="23" t="n">
        <x:f>MAX(0,MIN('Activities'!L85,558)-MAX('Activities'!K85,552))</x:f>
        <x:v>0</x:v>
      </x:c>
      <x:c r="CT85" s="23" t="n">
        <x:f>MAX(0,MIN('Activities'!L85,564)-MAX('Activities'!K85,558))</x:f>
        <x:v>0</x:v>
      </x:c>
      <x:c r="CU85" s="23" t="n">
        <x:f>MAX(0,MIN('Activities'!L85,570)-MAX('Activities'!K85,564))</x:f>
        <x:v>0</x:v>
      </x:c>
      <x:c r="CV85" s="23" t="n">
        <x:f>MAX(0,MIN('Activities'!L85,576)-MAX('Activities'!K85,570))</x:f>
        <x:v>0</x:v>
      </x:c>
      <x:c r="CW85" s="23" t="n">
        <x:f>MAX(0,MIN('Activities'!L85,582)-MAX('Activities'!K85,576))</x:f>
        <x:v>0</x:v>
      </x:c>
      <x:c r="CX85" s="23" t="n">
        <x:f>MAX(0,MIN('Activities'!L85,588)-MAX('Activities'!K85,582))</x:f>
        <x:v>0</x:v>
      </x:c>
      <x:c r="CY85" s="23" t="n">
        <x:f>MAX(0,MIN('Activities'!L85,594)-MAX('Activities'!K85,588))</x:f>
        <x:v>0</x:v>
      </x:c>
      <x:c r="CZ85" s="23" t="n">
        <x:f>MAX(0,MIN('Activities'!L85,600)-MAX('Activities'!K85,594))</x:f>
        <x:v>0</x:v>
      </x:c>
      <x:c r="DA85" s="23" t="n">
        <x:f>MAX(0,MIN('Activities'!L85,606)-MAX('Activities'!K85,600))</x:f>
        <x:v>0</x:v>
      </x:c>
      <x:c r="DB85" s="23" t="n">
        <x:f>MAX(0,MIN('Activities'!L85,612)-MAX('Activities'!K85,606))</x:f>
        <x:v>0</x:v>
      </x:c>
      <x:c r="DC85" s="23" t="n">
        <x:f>MAX(0,MIN('Activities'!L85,618)-MAX('Activities'!K85,612))</x:f>
        <x:v>0</x:v>
      </x:c>
      <x:c r="DD85" s="23" t="n">
        <x:f>MAX(0,MIN('Activities'!L85,624)-MAX('Activities'!K85,618))</x:f>
        <x:v>0</x:v>
      </x:c>
      <x:c r="DE85" s="23" t="n">
        <x:f>MAX(0,MIN('Activities'!L85,630)-MAX('Activities'!K85,624))</x:f>
        <x:v>0</x:v>
      </x:c>
      <x:c r="DF85" s="23" t="n">
        <x:f>MAX(0,MIN('Activities'!L85,636)-MAX('Activities'!K85,630))</x:f>
        <x:v>0</x:v>
      </x:c>
    </x:row>
    <x:row r="86" ht="23" customHeight="1">
      <x:c r="A86" s="6" t="str">
        <x:v>T1-L02-T</x:v>
      </x:c>
      <x:c r="B86" s="6" t="str">
        <x:v>T1</x:v>
      </x:c>
      <x:c r="C86" s="6" t="str">
        <x:v>Floor finishes and skirtings</x:v>
      </x:c>
      <x:c r="D86" s="6" t="str">
        <x:v>Finishes</x:v>
      </x:c>
      <x:c r="E86" s="22" t="n">
        <x:f>MAX(0,MIN('Activities'!L86,6)-MAX('Activities'!K86,0))</x:f>
        <x:v>0</x:v>
      </x:c>
      <x:c r="F86" s="22" t="n">
        <x:f>MAX(0,MIN('Activities'!L86,12)-MAX('Activities'!K86,6))</x:f>
        <x:v>0</x:v>
      </x:c>
      <x:c r="G86" s="22" t="n">
        <x:f>MAX(0,MIN('Activities'!L86,18)-MAX('Activities'!K86,12))</x:f>
        <x:v>0</x:v>
      </x:c>
      <x:c r="H86" s="22" t="n">
        <x:f>MAX(0,MIN('Activities'!L86,24)-MAX('Activities'!K86,18))</x:f>
        <x:v>0</x:v>
      </x:c>
      <x:c r="I86" s="22" t="n">
        <x:f>MAX(0,MIN('Activities'!L86,30)-MAX('Activities'!K86,24))</x:f>
        <x:v>0</x:v>
      </x:c>
      <x:c r="J86" s="22" t="n">
        <x:f>MAX(0,MIN('Activities'!L86,36)-MAX('Activities'!K86,30))</x:f>
        <x:v>0</x:v>
      </x:c>
      <x:c r="K86" s="22" t="n">
        <x:f>MAX(0,MIN('Activities'!L86,42)-MAX('Activities'!K86,36))</x:f>
        <x:v>0</x:v>
      </x:c>
      <x:c r="L86" s="22" t="n">
        <x:f>MAX(0,MIN('Activities'!L86,48)-MAX('Activities'!K86,42))</x:f>
        <x:v>0</x:v>
      </x:c>
      <x:c r="M86" s="22" t="n">
        <x:f>MAX(0,MIN('Activities'!L86,54)-MAX('Activities'!K86,48))</x:f>
        <x:v>0</x:v>
      </x:c>
      <x:c r="N86" s="22" t="n">
        <x:f>MAX(0,MIN('Activities'!L86,60)-MAX('Activities'!K86,54))</x:f>
        <x:v>0</x:v>
      </x:c>
      <x:c r="O86" s="22" t="n">
        <x:f>MAX(0,MIN('Activities'!L86,66)-MAX('Activities'!K86,60))</x:f>
        <x:v>0</x:v>
      </x:c>
      <x:c r="P86" s="22" t="n">
        <x:f>MAX(0,MIN('Activities'!L86,72)-MAX('Activities'!K86,66))</x:f>
        <x:v>0</x:v>
      </x:c>
      <x:c r="Q86" s="22" t="n">
        <x:f>MAX(0,MIN('Activities'!L86,78)-MAX('Activities'!K86,72))</x:f>
        <x:v>0</x:v>
      </x:c>
      <x:c r="R86" s="22" t="n">
        <x:f>MAX(0,MIN('Activities'!L86,84)-MAX('Activities'!K86,78))</x:f>
        <x:v>0</x:v>
      </x:c>
      <x:c r="S86" s="22" t="n">
        <x:f>MAX(0,MIN('Activities'!L86,90)-MAX('Activities'!K86,84))</x:f>
        <x:v>0</x:v>
      </x:c>
      <x:c r="T86" s="22" t="n">
        <x:f>MAX(0,MIN('Activities'!L86,96)-MAX('Activities'!K86,90))</x:f>
        <x:v>0</x:v>
      </x:c>
      <x:c r="U86" s="22" t="n">
        <x:f>MAX(0,MIN('Activities'!L86,102)-MAX('Activities'!K86,96))</x:f>
        <x:v>0</x:v>
      </x:c>
      <x:c r="V86" s="22" t="n">
        <x:f>MAX(0,MIN('Activities'!L86,108)-MAX('Activities'!K86,102))</x:f>
        <x:v>0</x:v>
      </x:c>
      <x:c r="W86" s="22" t="n">
        <x:f>MAX(0,MIN('Activities'!L86,114)-MAX('Activities'!K86,108))</x:f>
        <x:v>0</x:v>
      </x:c>
      <x:c r="X86" s="22" t="n">
        <x:f>MAX(0,MIN('Activities'!L86,120)-MAX('Activities'!K86,114))</x:f>
        <x:v>0</x:v>
      </x:c>
      <x:c r="Y86" s="22" t="n">
        <x:f>MAX(0,MIN('Activities'!L86,126)-MAX('Activities'!K86,120))</x:f>
        <x:v>0</x:v>
      </x:c>
      <x:c r="Z86" s="22" t="n">
        <x:f>MAX(0,MIN('Activities'!L86,132)-MAX('Activities'!K86,126))</x:f>
        <x:v>0</x:v>
      </x:c>
      <x:c r="AA86" s="22" t="n">
        <x:f>MAX(0,MIN('Activities'!L86,138)-MAX('Activities'!K86,132))</x:f>
        <x:v>0</x:v>
      </x:c>
      <x:c r="AB86" s="22" t="n">
        <x:f>MAX(0,MIN('Activities'!L86,144)-MAX('Activities'!K86,138))</x:f>
        <x:v>0</x:v>
      </x:c>
      <x:c r="AC86" s="22" t="n">
        <x:f>MAX(0,MIN('Activities'!L86,150)-MAX('Activities'!K86,144))</x:f>
        <x:v>0</x:v>
      </x:c>
      <x:c r="AD86" s="22" t="n">
        <x:f>MAX(0,MIN('Activities'!L86,156)-MAX('Activities'!K86,150))</x:f>
        <x:v>0</x:v>
      </x:c>
      <x:c r="AE86" s="22" t="n">
        <x:f>MAX(0,MIN('Activities'!L86,162)-MAX('Activities'!K86,156))</x:f>
        <x:v>0</x:v>
      </x:c>
      <x:c r="AF86" s="22" t="n">
        <x:f>MAX(0,MIN('Activities'!L86,168)-MAX('Activities'!K86,162))</x:f>
        <x:v>0</x:v>
      </x:c>
      <x:c r="AG86" s="22" t="n">
        <x:f>MAX(0,MIN('Activities'!L86,174)-MAX('Activities'!K86,168))</x:f>
        <x:v>0</x:v>
      </x:c>
      <x:c r="AH86" s="22" t="n">
        <x:f>MAX(0,MIN('Activities'!L86,180)-MAX('Activities'!K86,174))</x:f>
        <x:v>0</x:v>
      </x:c>
      <x:c r="AI86" s="22" t="n">
        <x:f>MAX(0,MIN('Activities'!L86,186)-MAX('Activities'!K86,180))</x:f>
        <x:v>0</x:v>
      </x:c>
      <x:c r="AJ86" s="22" t="n">
        <x:f>MAX(0,MIN('Activities'!L86,192)-MAX('Activities'!K86,186))</x:f>
        <x:v>0</x:v>
      </x:c>
      <x:c r="AK86" s="22" t="n">
        <x:f>MAX(0,MIN('Activities'!L86,198)-MAX('Activities'!K86,192))</x:f>
        <x:v>0</x:v>
      </x:c>
      <x:c r="AL86" s="22" t="n">
        <x:f>MAX(0,MIN('Activities'!L86,204)-MAX('Activities'!K86,198))</x:f>
        <x:v>0</x:v>
      </x:c>
      <x:c r="AM86" s="22" t="n">
        <x:f>MAX(0,MIN('Activities'!L86,210)-MAX('Activities'!K86,204))</x:f>
        <x:v>0</x:v>
      </x:c>
      <x:c r="AN86" s="22" t="n">
        <x:f>MAX(0,MIN('Activities'!L86,216)-MAX('Activities'!K86,210))</x:f>
        <x:v>0</x:v>
      </x:c>
      <x:c r="AO86" s="22" t="n">
        <x:f>MAX(0,MIN('Activities'!L86,222)-MAX('Activities'!K86,216))</x:f>
        <x:v>0</x:v>
      </x:c>
      <x:c r="AP86" s="22" t="n">
        <x:f>MAX(0,MIN('Activities'!L86,228)-MAX('Activities'!K86,222))</x:f>
        <x:v>0</x:v>
      </x:c>
      <x:c r="AQ86" s="22" t="n">
        <x:f>MAX(0,MIN('Activities'!L86,234)-MAX('Activities'!K86,228))</x:f>
        <x:v>0</x:v>
      </x:c>
      <x:c r="AR86" s="22" t="n">
        <x:f>MAX(0,MIN('Activities'!L86,240)-MAX('Activities'!K86,234))</x:f>
        <x:v>0</x:v>
      </x:c>
      <x:c r="AS86" s="22" t="n">
        <x:f>MAX(0,MIN('Activities'!L86,246)-MAX('Activities'!K86,240))</x:f>
        <x:v>0</x:v>
      </x:c>
      <x:c r="AT86" s="22" t="n">
        <x:f>MAX(0,MIN('Activities'!L86,252)-MAX('Activities'!K86,246))</x:f>
        <x:v>0</x:v>
      </x:c>
      <x:c r="AU86" s="22" t="n">
        <x:f>MAX(0,MIN('Activities'!L86,258)-MAX('Activities'!K86,252))</x:f>
        <x:v>0</x:v>
      </x:c>
      <x:c r="AV86" s="22" t="n">
        <x:f>MAX(0,MIN('Activities'!L86,264)-MAX('Activities'!K86,258))</x:f>
        <x:v>0</x:v>
      </x:c>
      <x:c r="AW86" s="22" t="n">
        <x:f>MAX(0,MIN('Activities'!L86,270)-MAX('Activities'!K86,264))</x:f>
        <x:v>0</x:v>
      </x:c>
      <x:c r="AX86" s="22" t="n">
        <x:f>MAX(0,MIN('Activities'!L86,276)-MAX('Activities'!K86,270))</x:f>
        <x:v>0</x:v>
      </x:c>
      <x:c r="AY86" s="22" t="n">
        <x:f>MAX(0,MIN('Activities'!L86,282)-MAX('Activities'!K86,276))</x:f>
        <x:v>0</x:v>
      </x:c>
      <x:c r="AZ86" s="22" t="n">
        <x:f>MAX(0,MIN('Activities'!L86,288)-MAX('Activities'!K86,282))</x:f>
        <x:v>0</x:v>
      </x:c>
      <x:c r="BA86" s="22" t="n">
        <x:f>MAX(0,MIN('Activities'!L86,294)-MAX('Activities'!K86,288))</x:f>
        <x:v>0</x:v>
      </x:c>
      <x:c r="BB86" s="22" t="n">
        <x:f>MAX(0,MIN('Activities'!L86,300)-MAX('Activities'!K86,294))</x:f>
        <x:v>0</x:v>
      </x:c>
      <x:c r="BC86" s="22" t="n">
        <x:f>MAX(0,MIN('Activities'!L86,306)-MAX('Activities'!K86,300))</x:f>
        <x:v>0</x:v>
      </x:c>
      <x:c r="BD86" s="22" t="n">
        <x:f>MAX(0,MIN('Activities'!L86,312)-MAX('Activities'!K86,306))</x:f>
        <x:v>0</x:v>
      </x:c>
      <x:c r="BE86" s="22" t="n">
        <x:f>MAX(0,MIN('Activities'!L86,318)-MAX('Activities'!K86,312))</x:f>
        <x:v>0</x:v>
      </x:c>
      <x:c r="BF86" s="22" t="n">
        <x:f>MAX(0,MIN('Activities'!L86,324)-MAX('Activities'!K86,318))</x:f>
        <x:v>0</x:v>
      </x:c>
      <x:c r="BG86" s="22" t="n">
        <x:f>MAX(0,MIN('Activities'!L86,330)-MAX('Activities'!K86,324))</x:f>
        <x:v>0</x:v>
      </x:c>
      <x:c r="BH86" s="22" t="n">
        <x:f>MAX(0,MIN('Activities'!L86,336)-MAX('Activities'!K86,330))</x:f>
        <x:v>0</x:v>
      </x:c>
      <x:c r="BI86" s="22" t="n">
        <x:f>MAX(0,MIN('Activities'!L86,342)-MAX('Activities'!K86,336))</x:f>
        <x:v>0</x:v>
      </x:c>
      <x:c r="BJ86" s="22" t="n">
        <x:f>MAX(0,MIN('Activities'!L86,348)-MAX('Activities'!K86,342))</x:f>
        <x:v>0</x:v>
      </x:c>
      <x:c r="BK86" s="22" t="n">
        <x:f>MAX(0,MIN('Activities'!L86,354)-MAX('Activities'!K86,348))</x:f>
        <x:v>0</x:v>
      </x:c>
      <x:c r="BL86" s="22" t="n">
        <x:f>MAX(0,MIN('Activities'!L86,360)-MAX('Activities'!K86,354))</x:f>
        <x:v>0</x:v>
      </x:c>
      <x:c r="BM86" s="22" t="n">
        <x:f>MAX(0,MIN('Activities'!L86,366)-MAX('Activities'!K86,360))</x:f>
        <x:v>0</x:v>
      </x:c>
      <x:c r="BN86" s="22" t="n">
        <x:f>MAX(0,MIN('Activities'!L86,372)-MAX('Activities'!K86,366))</x:f>
        <x:v>0</x:v>
      </x:c>
      <x:c r="BO86" s="22" t="n">
        <x:f>MAX(0,MIN('Activities'!L86,378)-MAX('Activities'!K86,372))</x:f>
        <x:v>0</x:v>
      </x:c>
      <x:c r="BP86" s="22" t="n">
        <x:f>MAX(0,MIN('Activities'!L86,384)-MAX('Activities'!K86,378))</x:f>
        <x:v>0</x:v>
      </x:c>
      <x:c r="BQ86" s="22" t="n">
        <x:f>MAX(0,MIN('Activities'!L86,390)-MAX('Activities'!K86,384))</x:f>
        <x:v>0</x:v>
      </x:c>
      <x:c r="BR86" s="22" t="n">
        <x:f>MAX(0,MIN('Activities'!L86,396)-MAX('Activities'!K86,390))</x:f>
        <x:v>0</x:v>
      </x:c>
      <x:c r="BS86" s="22" t="n">
        <x:f>MAX(0,MIN('Activities'!L86,402)-MAX('Activities'!K86,396))</x:f>
        <x:v>1</x:v>
      </x:c>
      <x:c r="BT86" s="22" t="n">
        <x:f>MAX(0,MIN('Activities'!L86,408)-MAX('Activities'!K86,402))</x:f>
        <x:v>5</x:v>
      </x:c>
      <x:c r="BU86" s="22" t="n">
        <x:f>MAX(0,MIN('Activities'!L86,414)-MAX('Activities'!K86,408))</x:f>
        <x:v>0</x:v>
      </x:c>
      <x:c r="BV86" s="22" t="n">
        <x:f>MAX(0,MIN('Activities'!L86,420)-MAX('Activities'!K86,414))</x:f>
        <x:v>0</x:v>
      </x:c>
      <x:c r="BW86" s="22" t="n">
        <x:f>MAX(0,MIN('Activities'!L86,426)-MAX('Activities'!K86,420))</x:f>
        <x:v>0</x:v>
      </x:c>
      <x:c r="BX86" s="22" t="n">
        <x:f>MAX(0,MIN('Activities'!L86,432)-MAX('Activities'!K86,426))</x:f>
        <x:v>0</x:v>
      </x:c>
      <x:c r="BY86" s="22" t="n">
        <x:f>MAX(0,MIN('Activities'!L86,438)-MAX('Activities'!K86,432))</x:f>
        <x:v>0</x:v>
      </x:c>
      <x:c r="BZ86" s="22" t="n">
        <x:f>MAX(0,MIN('Activities'!L86,444)-MAX('Activities'!K86,438))</x:f>
        <x:v>0</x:v>
      </x:c>
      <x:c r="CA86" s="22" t="n">
        <x:f>MAX(0,MIN('Activities'!L86,450)-MAX('Activities'!K86,444))</x:f>
        <x:v>0</x:v>
      </x:c>
      <x:c r="CB86" s="22" t="n">
        <x:f>MAX(0,MIN('Activities'!L86,456)-MAX('Activities'!K86,450))</x:f>
        <x:v>0</x:v>
      </x:c>
      <x:c r="CC86" s="22" t="n">
        <x:f>MAX(0,MIN('Activities'!L86,462)-MAX('Activities'!K86,456))</x:f>
        <x:v>0</x:v>
      </x:c>
      <x:c r="CD86" s="22" t="n">
        <x:f>MAX(0,MIN('Activities'!L86,468)-MAX('Activities'!K86,462))</x:f>
        <x:v>0</x:v>
      </x:c>
      <x:c r="CE86" s="22" t="n">
        <x:f>MAX(0,MIN('Activities'!L86,474)-MAX('Activities'!K86,468))</x:f>
        <x:v>0</x:v>
      </x:c>
      <x:c r="CF86" s="22" t="n">
        <x:f>MAX(0,MIN('Activities'!L86,480)-MAX('Activities'!K86,474))</x:f>
        <x:v>0</x:v>
      </x:c>
      <x:c r="CG86" s="22" t="n">
        <x:f>MAX(0,MIN('Activities'!L86,486)-MAX('Activities'!K86,480))</x:f>
        <x:v>0</x:v>
      </x:c>
      <x:c r="CH86" s="22" t="n">
        <x:f>MAX(0,MIN('Activities'!L86,492)-MAX('Activities'!K86,486))</x:f>
        <x:v>0</x:v>
      </x:c>
      <x:c r="CI86" s="22" t="n">
        <x:f>MAX(0,MIN('Activities'!L86,498)-MAX('Activities'!K86,492))</x:f>
        <x:v>0</x:v>
      </x:c>
      <x:c r="CJ86" s="22" t="n">
        <x:f>MAX(0,MIN('Activities'!L86,504)-MAX('Activities'!K86,498))</x:f>
        <x:v>0</x:v>
      </x:c>
      <x:c r="CK86" s="22" t="n">
        <x:f>MAX(0,MIN('Activities'!L86,510)-MAX('Activities'!K86,504))</x:f>
        <x:v>0</x:v>
      </x:c>
      <x:c r="CL86" s="22" t="n">
        <x:f>MAX(0,MIN('Activities'!L86,516)-MAX('Activities'!K86,510))</x:f>
        <x:v>0</x:v>
      </x:c>
      <x:c r="CM86" s="22" t="n">
        <x:f>MAX(0,MIN('Activities'!L86,522)-MAX('Activities'!K86,516))</x:f>
        <x:v>0</x:v>
      </x:c>
      <x:c r="CN86" s="22" t="n">
        <x:f>MAX(0,MIN('Activities'!L86,528)-MAX('Activities'!K86,522))</x:f>
        <x:v>0</x:v>
      </x:c>
      <x:c r="CO86" s="22" t="n">
        <x:f>MAX(0,MIN('Activities'!L86,534)-MAX('Activities'!K86,528))</x:f>
        <x:v>0</x:v>
      </x:c>
      <x:c r="CP86" s="22" t="n">
        <x:f>MAX(0,MIN('Activities'!L86,540)-MAX('Activities'!K86,534))</x:f>
        <x:v>0</x:v>
      </x:c>
      <x:c r="CQ86" s="22" t="n">
        <x:f>MAX(0,MIN('Activities'!L86,546)-MAX('Activities'!K86,540))</x:f>
        <x:v>0</x:v>
      </x:c>
      <x:c r="CR86" s="22" t="n">
        <x:f>MAX(0,MIN('Activities'!L86,552)-MAX('Activities'!K86,546))</x:f>
        <x:v>0</x:v>
      </x:c>
      <x:c r="CS86" s="22" t="n">
        <x:f>MAX(0,MIN('Activities'!L86,558)-MAX('Activities'!K86,552))</x:f>
        <x:v>0</x:v>
      </x:c>
      <x:c r="CT86" s="22" t="n">
        <x:f>MAX(0,MIN('Activities'!L86,564)-MAX('Activities'!K86,558))</x:f>
        <x:v>0</x:v>
      </x:c>
      <x:c r="CU86" s="22" t="n">
        <x:f>MAX(0,MIN('Activities'!L86,570)-MAX('Activities'!K86,564))</x:f>
        <x:v>0</x:v>
      </x:c>
      <x:c r="CV86" s="22" t="n">
        <x:f>MAX(0,MIN('Activities'!L86,576)-MAX('Activities'!K86,570))</x:f>
        <x:v>0</x:v>
      </x:c>
      <x:c r="CW86" s="22" t="n">
        <x:f>MAX(0,MIN('Activities'!L86,582)-MAX('Activities'!K86,576))</x:f>
        <x:v>0</x:v>
      </x:c>
      <x:c r="CX86" s="22" t="n">
        <x:f>MAX(0,MIN('Activities'!L86,588)-MAX('Activities'!K86,582))</x:f>
        <x:v>0</x:v>
      </x:c>
      <x:c r="CY86" s="22" t="n">
        <x:f>MAX(0,MIN('Activities'!L86,594)-MAX('Activities'!K86,588))</x:f>
        <x:v>0</x:v>
      </x:c>
      <x:c r="CZ86" s="22" t="n">
        <x:f>MAX(0,MIN('Activities'!L86,600)-MAX('Activities'!K86,594))</x:f>
        <x:v>0</x:v>
      </x:c>
      <x:c r="DA86" s="22" t="n">
        <x:f>MAX(0,MIN('Activities'!L86,606)-MAX('Activities'!K86,600))</x:f>
        <x:v>0</x:v>
      </x:c>
      <x:c r="DB86" s="22" t="n">
        <x:f>MAX(0,MIN('Activities'!L86,612)-MAX('Activities'!K86,606))</x:f>
        <x:v>0</x:v>
      </x:c>
      <x:c r="DC86" s="22" t="n">
        <x:f>MAX(0,MIN('Activities'!L86,618)-MAX('Activities'!K86,612))</x:f>
        <x:v>0</x:v>
      </x:c>
      <x:c r="DD86" s="22" t="n">
        <x:f>MAX(0,MIN('Activities'!L86,624)-MAX('Activities'!K86,618))</x:f>
        <x:v>0</x:v>
      </x:c>
      <x:c r="DE86" s="22" t="n">
        <x:f>MAX(0,MIN('Activities'!L86,630)-MAX('Activities'!K86,624))</x:f>
        <x:v>0</x:v>
      </x:c>
      <x:c r="DF86" s="22" t="n">
        <x:f>MAX(0,MIN('Activities'!L86,636)-MAX('Activities'!K86,630))</x:f>
        <x:v>0</x:v>
      </x:c>
    </x:row>
    <x:row r="87" ht="23" customHeight="1">
      <x:c r="A87" s="1" t="str">
        <x:v>T1-L02-A</x:v>
      </x:c>
      <x:c r="B87" s="1" t="str">
        <x:v>T1</x:v>
      </x:c>
      <x:c r="C87" s="1" t="str">
        <x:v>Paint and final decorations</x:v>
      </x:c>
      <x:c r="D87" s="1" t="str">
        <x:v>Finishes</x:v>
      </x:c>
      <x:c r="E87" s="23" t="n">
        <x:f>MAX(0,MIN('Activities'!L87,6)-MAX('Activities'!K87,0))</x:f>
        <x:v>0</x:v>
      </x:c>
      <x:c r="F87" s="23" t="n">
        <x:f>MAX(0,MIN('Activities'!L87,12)-MAX('Activities'!K87,6))</x:f>
        <x:v>0</x:v>
      </x:c>
      <x:c r="G87" s="23" t="n">
        <x:f>MAX(0,MIN('Activities'!L87,18)-MAX('Activities'!K87,12))</x:f>
        <x:v>0</x:v>
      </x:c>
      <x:c r="H87" s="23" t="n">
        <x:f>MAX(0,MIN('Activities'!L87,24)-MAX('Activities'!K87,18))</x:f>
        <x:v>0</x:v>
      </x:c>
      <x:c r="I87" s="23" t="n">
        <x:f>MAX(0,MIN('Activities'!L87,30)-MAX('Activities'!K87,24))</x:f>
        <x:v>0</x:v>
      </x:c>
      <x:c r="J87" s="23" t="n">
        <x:f>MAX(0,MIN('Activities'!L87,36)-MAX('Activities'!K87,30))</x:f>
        <x:v>0</x:v>
      </x:c>
      <x:c r="K87" s="23" t="n">
        <x:f>MAX(0,MIN('Activities'!L87,42)-MAX('Activities'!K87,36))</x:f>
        <x:v>0</x:v>
      </x:c>
      <x:c r="L87" s="23" t="n">
        <x:f>MAX(0,MIN('Activities'!L87,48)-MAX('Activities'!K87,42))</x:f>
        <x:v>0</x:v>
      </x:c>
      <x:c r="M87" s="23" t="n">
        <x:f>MAX(0,MIN('Activities'!L87,54)-MAX('Activities'!K87,48))</x:f>
        <x:v>0</x:v>
      </x:c>
      <x:c r="N87" s="23" t="n">
        <x:f>MAX(0,MIN('Activities'!L87,60)-MAX('Activities'!K87,54))</x:f>
        <x:v>0</x:v>
      </x:c>
      <x:c r="O87" s="23" t="n">
        <x:f>MAX(0,MIN('Activities'!L87,66)-MAX('Activities'!K87,60))</x:f>
        <x:v>0</x:v>
      </x:c>
      <x:c r="P87" s="23" t="n">
        <x:f>MAX(0,MIN('Activities'!L87,72)-MAX('Activities'!K87,66))</x:f>
        <x:v>0</x:v>
      </x:c>
      <x:c r="Q87" s="23" t="n">
        <x:f>MAX(0,MIN('Activities'!L87,78)-MAX('Activities'!K87,72))</x:f>
        <x:v>0</x:v>
      </x:c>
      <x:c r="R87" s="23" t="n">
        <x:f>MAX(0,MIN('Activities'!L87,84)-MAX('Activities'!K87,78))</x:f>
        <x:v>0</x:v>
      </x:c>
      <x:c r="S87" s="23" t="n">
        <x:f>MAX(0,MIN('Activities'!L87,90)-MAX('Activities'!K87,84))</x:f>
        <x:v>0</x:v>
      </x:c>
      <x:c r="T87" s="23" t="n">
        <x:f>MAX(0,MIN('Activities'!L87,96)-MAX('Activities'!K87,90))</x:f>
        <x:v>0</x:v>
      </x:c>
      <x:c r="U87" s="23" t="n">
        <x:f>MAX(0,MIN('Activities'!L87,102)-MAX('Activities'!K87,96))</x:f>
        <x:v>0</x:v>
      </x:c>
      <x:c r="V87" s="23" t="n">
        <x:f>MAX(0,MIN('Activities'!L87,108)-MAX('Activities'!K87,102))</x:f>
        <x:v>0</x:v>
      </x:c>
      <x:c r="W87" s="23" t="n">
        <x:f>MAX(0,MIN('Activities'!L87,114)-MAX('Activities'!K87,108))</x:f>
        <x:v>0</x:v>
      </x:c>
      <x:c r="X87" s="23" t="n">
        <x:f>MAX(0,MIN('Activities'!L87,120)-MAX('Activities'!K87,114))</x:f>
        <x:v>0</x:v>
      </x:c>
      <x:c r="Y87" s="23" t="n">
        <x:f>MAX(0,MIN('Activities'!L87,126)-MAX('Activities'!K87,120))</x:f>
        <x:v>0</x:v>
      </x:c>
      <x:c r="Z87" s="23" t="n">
        <x:f>MAX(0,MIN('Activities'!L87,132)-MAX('Activities'!K87,126))</x:f>
        <x:v>0</x:v>
      </x:c>
      <x:c r="AA87" s="23" t="n">
        <x:f>MAX(0,MIN('Activities'!L87,138)-MAX('Activities'!K87,132))</x:f>
        <x:v>0</x:v>
      </x:c>
      <x:c r="AB87" s="23" t="n">
        <x:f>MAX(0,MIN('Activities'!L87,144)-MAX('Activities'!K87,138))</x:f>
        <x:v>0</x:v>
      </x:c>
      <x:c r="AC87" s="23" t="n">
        <x:f>MAX(0,MIN('Activities'!L87,150)-MAX('Activities'!K87,144))</x:f>
        <x:v>0</x:v>
      </x:c>
      <x:c r="AD87" s="23" t="n">
        <x:f>MAX(0,MIN('Activities'!L87,156)-MAX('Activities'!K87,150))</x:f>
        <x:v>0</x:v>
      </x:c>
      <x:c r="AE87" s="23" t="n">
        <x:f>MAX(0,MIN('Activities'!L87,162)-MAX('Activities'!K87,156))</x:f>
        <x:v>0</x:v>
      </x:c>
      <x:c r="AF87" s="23" t="n">
        <x:f>MAX(0,MIN('Activities'!L87,168)-MAX('Activities'!K87,162))</x:f>
        <x:v>0</x:v>
      </x:c>
      <x:c r="AG87" s="23" t="n">
        <x:f>MAX(0,MIN('Activities'!L87,174)-MAX('Activities'!K87,168))</x:f>
        <x:v>0</x:v>
      </x:c>
      <x:c r="AH87" s="23" t="n">
        <x:f>MAX(0,MIN('Activities'!L87,180)-MAX('Activities'!K87,174))</x:f>
        <x:v>0</x:v>
      </x:c>
      <x:c r="AI87" s="23" t="n">
        <x:f>MAX(0,MIN('Activities'!L87,186)-MAX('Activities'!K87,180))</x:f>
        <x:v>0</x:v>
      </x:c>
      <x:c r="AJ87" s="23" t="n">
        <x:f>MAX(0,MIN('Activities'!L87,192)-MAX('Activities'!K87,186))</x:f>
        <x:v>0</x:v>
      </x:c>
      <x:c r="AK87" s="23" t="n">
        <x:f>MAX(0,MIN('Activities'!L87,198)-MAX('Activities'!K87,192))</x:f>
        <x:v>0</x:v>
      </x:c>
      <x:c r="AL87" s="23" t="n">
        <x:f>MAX(0,MIN('Activities'!L87,204)-MAX('Activities'!K87,198))</x:f>
        <x:v>0</x:v>
      </x:c>
      <x:c r="AM87" s="23" t="n">
        <x:f>MAX(0,MIN('Activities'!L87,210)-MAX('Activities'!K87,204))</x:f>
        <x:v>0</x:v>
      </x:c>
      <x:c r="AN87" s="23" t="n">
        <x:f>MAX(0,MIN('Activities'!L87,216)-MAX('Activities'!K87,210))</x:f>
        <x:v>0</x:v>
      </x:c>
      <x:c r="AO87" s="23" t="n">
        <x:f>MAX(0,MIN('Activities'!L87,222)-MAX('Activities'!K87,216))</x:f>
        <x:v>0</x:v>
      </x:c>
      <x:c r="AP87" s="23" t="n">
        <x:f>MAX(0,MIN('Activities'!L87,228)-MAX('Activities'!K87,222))</x:f>
        <x:v>0</x:v>
      </x:c>
      <x:c r="AQ87" s="23" t="n">
        <x:f>MAX(0,MIN('Activities'!L87,234)-MAX('Activities'!K87,228))</x:f>
        <x:v>0</x:v>
      </x:c>
      <x:c r="AR87" s="23" t="n">
        <x:f>MAX(0,MIN('Activities'!L87,240)-MAX('Activities'!K87,234))</x:f>
        <x:v>0</x:v>
      </x:c>
      <x:c r="AS87" s="23" t="n">
        <x:f>MAX(0,MIN('Activities'!L87,246)-MAX('Activities'!K87,240))</x:f>
        <x:v>0</x:v>
      </x:c>
      <x:c r="AT87" s="23" t="n">
        <x:f>MAX(0,MIN('Activities'!L87,252)-MAX('Activities'!K87,246))</x:f>
        <x:v>0</x:v>
      </x:c>
      <x:c r="AU87" s="23" t="n">
        <x:f>MAX(0,MIN('Activities'!L87,258)-MAX('Activities'!K87,252))</x:f>
        <x:v>0</x:v>
      </x:c>
      <x:c r="AV87" s="23" t="n">
        <x:f>MAX(0,MIN('Activities'!L87,264)-MAX('Activities'!K87,258))</x:f>
        <x:v>0</x:v>
      </x:c>
      <x:c r="AW87" s="23" t="n">
        <x:f>MAX(0,MIN('Activities'!L87,270)-MAX('Activities'!K87,264))</x:f>
        <x:v>0</x:v>
      </x:c>
      <x:c r="AX87" s="23" t="n">
        <x:f>MAX(0,MIN('Activities'!L87,276)-MAX('Activities'!K87,270))</x:f>
        <x:v>0</x:v>
      </x:c>
      <x:c r="AY87" s="23" t="n">
        <x:f>MAX(0,MIN('Activities'!L87,282)-MAX('Activities'!K87,276))</x:f>
        <x:v>0</x:v>
      </x:c>
      <x:c r="AZ87" s="23" t="n">
        <x:f>MAX(0,MIN('Activities'!L87,288)-MAX('Activities'!K87,282))</x:f>
        <x:v>0</x:v>
      </x:c>
      <x:c r="BA87" s="23" t="n">
        <x:f>MAX(0,MIN('Activities'!L87,294)-MAX('Activities'!K87,288))</x:f>
        <x:v>0</x:v>
      </x:c>
      <x:c r="BB87" s="23" t="n">
        <x:f>MAX(0,MIN('Activities'!L87,300)-MAX('Activities'!K87,294))</x:f>
        <x:v>0</x:v>
      </x:c>
      <x:c r="BC87" s="23" t="n">
        <x:f>MAX(0,MIN('Activities'!L87,306)-MAX('Activities'!K87,300))</x:f>
        <x:v>0</x:v>
      </x:c>
      <x:c r="BD87" s="23" t="n">
        <x:f>MAX(0,MIN('Activities'!L87,312)-MAX('Activities'!K87,306))</x:f>
        <x:v>0</x:v>
      </x:c>
      <x:c r="BE87" s="23" t="n">
        <x:f>MAX(0,MIN('Activities'!L87,318)-MAX('Activities'!K87,312))</x:f>
        <x:v>0</x:v>
      </x:c>
      <x:c r="BF87" s="23" t="n">
        <x:f>MAX(0,MIN('Activities'!L87,324)-MAX('Activities'!K87,318))</x:f>
        <x:v>0</x:v>
      </x:c>
      <x:c r="BG87" s="23" t="n">
        <x:f>MAX(0,MIN('Activities'!L87,330)-MAX('Activities'!K87,324))</x:f>
        <x:v>0</x:v>
      </x:c>
      <x:c r="BH87" s="23" t="n">
        <x:f>MAX(0,MIN('Activities'!L87,336)-MAX('Activities'!K87,330))</x:f>
        <x:v>0</x:v>
      </x:c>
      <x:c r="BI87" s="23" t="n">
        <x:f>MAX(0,MIN('Activities'!L87,342)-MAX('Activities'!K87,336))</x:f>
        <x:v>0</x:v>
      </x:c>
      <x:c r="BJ87" s="23" t="n">
        <x:f>MAX(0,MIN('Activities'!L87,348)-MAX('Activities'!K87,342))</x:f>
        <x:v>0</x:v>
      </x:c>
      <x:c r="BK87" s="23" t="n">
        <x:f>MAX(0,MIN('Activities'!L87,354)-MAX('Activities'!K87,348))</x:f>
        <x:v>0</x:v>
      </x:c>
      <x:c r="BL87" s="23" t="n">
        <x:f>MAX(0,MIN('Activities'!L87,360)-MAX('Activities'!K87,354))</x:f>
        <x:v>0</x:v>
      </x:c>
      <x:c r="BM87" s="23" t="n">
        <x:f>MAX(0,MIN('Activities'!L87,366)-MAX('Activities'!K87,360))</x:f>
        <x:v>0</x:v>
      </x:c>
      <x:c r="BN87" s="23" t="n">
        <x:f>MAX(0,MIN('Activities'!L87,372)-MAX('Activities'!K87,366))</x:f>
        <x:v>0</x:v>
      </x:c>
      <x:c r="BO87" s="23" t="n">
        <x:f>MAX(0,MIN('Activities'!L87,378)-MAX('Activities'!K87,372))</x:f>
        <x:v>0</x:v>
      </x:c>
      <x:c r="BP87" s="23" t="n">
        <x:f>MAX(0,MIN('Activities'!L87,384)-MAX('Activities'!K87,378))</x:f>
        <x:v>0</x:v>
      </x:c>
      <x:c r="BQ87" s="23" t="n">
        <x:f>MAX(0,MIN('Activities'!L87,390)-MAX('Activities'!K87,384))</x:f>
        <x:v>0</x:v>
      </x:c>
      <x:c r="BR87" s="23" t="n">
        <x:f>MAX(0,MIN('Activities'!L87,396)-MAX('Activities'!K87,390))</x:f>
        <x:v>0</x:v>
      </x:c>
      <x:c r="BS87" s="23" t="n">
        <x:f>MAX(0,MIN('Activities'!L87,402)-MAX('Activities'!K87,396))</x:f>
        <x:v>0</x:v>
      </x:c>
      <x:c r="BT87" s="23" t="n">
        <x:f>MAX(0,MIN('Activities'!L87,408)-MAX('Activities'!K87,402))</x:f>
        <x:v>0</x:v>
      </x:c>
      <x:c r="BU87" s="23" t="n">
        <x:f>MAX(0,MIN('Activities'!L87,414)-MAX('Activities'!K87,408))</x:f>
        <x:v>5</x:v>
      </x:c>
      <x:c r="BV87" s="23" t="n">
        <x:f>MAX(0,MIN('Activities'!L87,420)-MAX('Activities'!K87,414))</x:f>
        <x:v>0</x:v>
      </x:c>
      <x:c r="BW87" s="23" t="n">
        <x:f>MAX(0,MIN('Activities'!L87,426)-MAX('Activities'!K87,420))</x:f>
        <x:v>0</x:v>
      </x:c>
      <x:c r="BX87" s="23" t="n">
        <x:f>MAX(0,MIN('Activities'!L87,432)-MAX('Activities'!K87,426))</x:f>
        <x:v>0</x:v>
      </x:c>
      <x:c r="BY87" s="23" t="n">
        <x:f>MAX(0,MIN('Activities'!L87,438)-MAX('Activities'!K87,432))</x:f>
        <x:v>0</x:v>
      </x:c>
      <x:c r="BZ87" s="23" t="n">
        <x:f>MAX(0,MIN('Activities'!L87,444)-MAX('Activities'!K87,438))</x:f>
        <x:v>0</x:v>
      </x:c>
      <x:c r="CA87" s="23" t="n">
        <x:f>MAX(0,MIN('Activities'!L87,450)-MAX('Activities'!K87,444))</x:f>
        <x:v>0</x:v>
      </x:c>
      <x:c r="CB87" s="23" t="n">
        <x:f>MAX(0,MIN('Activities'!L87,456)-MAX('Activities'!K87,450))</x:f>
        <x:v>0</x:v>
      </x:c>
      <x:c r="CC87" s="23" t="n">
        <x:f>MAX(0,MIN('Activities'!L87,462)-MAX('Activities'!K87,456))</x:f>
        <x:v>0</x:v>
      </x:c>
      <x:c r="CD87" s="23" t="n">
        <x:f>MAX(0,MIN('Activities'!L87,468)-MAX('Activities'!K87,462))</x:f>
        <x:v>0</x:v>
      </x:c>
      <x:c r="CE87" s="23" t="n">
        <x:f>MAX(0,MIN('Activities'!L87,474)-MAX('Activities'!K87,468))</x:f>
        <x:v>0</x:v>
      </x:c>
      <x:c r="CF87" s="23" t="n">
        <x:f>MAX(0,MIN('Activities'!L87,480)-MAX('Activities'!K87,474))</x:f>
        <x:v>0</x:v>
      </x:c>
      <x:c r="CG87" s="23" t="n">
        <x:f>MAX(0,MIN('Activities'!L87,486)-MAX('Activities'!K87,480))</x:f>
        <x:v>0</x:v>
      </x:c>
      <x:c r="CH87" s="23" t="n">
        <x:f>MAX(0,MIN('Activities'!L87,492)-MAX('Activities'!K87,486))</x:f>
        <x:v>0</x:v>
      </x:c>
      <x:c r="CI87" s="23" t="n">
        <x:f>MAX(0,MIN('Activities'!L87,498)-MAX('Activities'!K87,492))</x:f>
        <x:v>0</x:v>
      </x:c>
      <x:c r="CJ87" s="23" t="n">
        <x:f>MAX(0,MIN('Activities'!L87,504)-MAX('Activities'!K87,498))</x:f>
        <x:v>0</x:v>
      </x:c>
      <x:c r="CK87" s="23" t="n">
        <x:f>MAX(0,MIN('Activities'!L87,510)-MAX('Activities'!K87,504))</x:f>
        <x:v>0</x:v>
      </x:c>
      <x:c r="CL87" s="23" t="n">
        <x:f>MAX(0,MIN('Activities'!L87,516)-MAX('Activities'!K87,510))</x:f>
        <x:v>0</x:v>
      </x:c>
      <x:c r="CM87" s="23" t="n">
        <x:f>MAX(0,MIN('Activities'!L87,522)-MAX('Activities'!K87,516))</x:f>
        <x:v>0</x:v>
      </x:c>
      <x:c r="CN87" s="23" t="n">
        <x:f>MAX(0,MIN('Activities'!L87,528)-MAX('Activities'!K87,522))</x:f>
        <x:v>0</x:v>
      </x:c>
      <x:c r="CO87" s="23" t="n">
        <x:f>MAX(0,MIN('Activities'!L87,534)-MAX('Activities'!K87,528))</x:f>
        <x:v>0</x:v>
      </x:c>
      <x:c r="CP87" s="23" t="n">
        <x:f>MAX(0,MIN('Activities'!L87,540)-MAX('Activities'!K87,534))</x:f>
        <x:v>0</x:v>
      </x:c>
      <x:c r="CQ87" s="23" t="n">
        <x:f>MAX(0,MIN('Activities'!L87,546)-MAX('Activities'!K87,540))</x:f>
        <x:v>0</x:v>
      </x:c>
      <x:c r="CR87" s="23" t="n">
        <x:f>MAX(0,MIN('Activities'!L87,552)-MAX('Activities'!K87,546))</x:f>
        <x:v>0</x:v>
      </x:c>
      <x:c r="CS87" s="23" t="n">
        <x:f>MAX(0,MIN('Activities'!L87,558)-MAX('Activities'!K87,552))</x:f>
        <x:v>0</x:v>
      </x:c>
      <x:c r="CT87" s="23" t="n">
        <x:f>MAX(0,MIN('Activities'!L87,564)-MAX('Activities'!K87,558))</x:f>
        <x:v>0</x:v>
      </x:c>
      <x:c r="CU87" s="23" t="n">
        <x:f>MAX(0,MIN('Activities'!L87,570)-MAX('Activities'!K87,564))</x:f>
        <x:v>0</x:v>
      </x:c>
      <x:c r="CV87" s="23" t="n">
        <x:f>MAX(0,MIN('Activities'!L87,576)-MAX('Activities'!K87,570))</x:f>
        <x:v>0</x:v>
      </x:c>
      <x:c r="CW87" s="23" t="n">
        <x:f>MAX(0,MIN('Activities'!L87,582)-MAX('Activities'!K87,576))</x:f>
        <x:v>0</x:v>
      </x:c>
      <x:c r="CX87" s="23" t="n">
        <x:f>MAX(0,MIN('Activities'!L87,588)-MAX('Activities'!K87,582))</x:f>
        <x:v>0</x:v>
      </x:c>
      <x:c r="CY87" s="23" t="n">
        <x:f>MAX(0,MIN('Activities'!L87,594)-MAX('Activities'!K87,588))</x:f>
        <x:v>0</x:v>
      </x:c>
      <x:c r="CZ87" s="23" t="n">
        <x:f>MAX(0,MIN('Activities'!L87,600)-MAX('Activities'!K87,594))</x:f>
        <x:v>0</x:v>
      </x:c>
      <x:c r="DA87" s="23" t="n">
        <x:f>MAX(0,MIN('Activities'!L87,606)-MAX('Activities'!K87,600))</x:f>
        <x:v>0</x:v>
      </x:c>
      <x:c r="DB87" s="23" t="n">
        <x:f>MAX(0,MIN('Activities'!L87,612)-MAX('Activities'!K87,606))</x:f>
        <x:v>0</x:v>
      </x:c>
      <x:c r="DC87" s="23" t="n">
        <x:f>MAX(0,MIN('Activities'!L87,618)-MAX('Activities'!K87,612))</x:f>
        <x:v>0</x:v>
      </x:c>
      <x:c r="DD87" s="23" t="n">
        <x:f>MAX(0,MIN('Activities'!L87,624)-MAX('Activities'!K87,618))</x:f>
        <x:v>0</x:v>
      </x:c>
      <x:c r="DE87" s="23" t="n">
        <x:f>MAX(0,MIN('Activities'!L87,630)-MAX('Activities'!K87,624))</x:f>
        <x:v>0</x:v>
      </x:c>
      <x:c r="DF87" s="23" t="n">
        <x:f>MAX(0,MIN('Activities'!L87,636)-MAX('Activities'!K87,630))</x:f>
        <x:v>0</x:v>
      </x:c>
    </x:row>
    <x:row r="88" ht="23" customHeight="1">
      <x:c r="A88" s="6" t="str">
        <x:v>T1-L02-D</x:v>
      </x:c>
      <x:c r="B88" s="6" t="str">
        <x:v>T1</x:v>
      </x:c>
      <x:c r="C88" s="6" t="str">
        <x:v>Door sets and ironmongery</x:v>
      </x:c>
      <x:c r="D88" s="6" t="str">
        <x:v>Finishes</x:v>
      </x:c>
      <x:c r="E88" s="22" t="n">
        <x:f>MAX(0,MIN('Activities'!L88,6)-MAX('Activities'!K88,0))</x:f>
        <x:v>0</x:v>
      </x:c>
      <x:c r="F88" s="22" t="n">
        <x:f>MAX(0,MIN('Activities'!L88,12)-MAX('Activities'!K88,6))</x:f>
        <x:v>0</x:v>
      </x:c>
      <x:c r="G88" s="22" t="n">
        <x:f>MAX(0,MIN('Activities'!L88,18)-MAX('Activities'!K88,12))</x:f>
        <x:v>0</x:v>
      </x:c>
      <x:c r="H88" s="22" t="n">
        <x:f>MAX(0,MIN('Activities'!L88,24)-MAX('Activities'!K88,18))</x:f>
        <x:v>0</x:v>
      </x:c>
      <x:c r="I88" s="22" t="n">
        <x:f>MAX(0,MIN('Activities'!L88,30)-MAX('Activities'!K88,24))</x:f>
        <x:v>0</x:v>
      </x:c>
      <x:c r="J88" s="22" t="n">
        <x:f>MAX(0,MIN('Activities'!L88,36)-MAX('Activities'!K88,30))</x:f>
        <x:v>0</x:v>
      </x:c>
      <x:c r="K88" s="22" t="n">
        <x:f>MAX(0,MIN('Activities'!L88,42)-MAX('Activities'!K88,36))</x:f>
        <x:v>0</x:v>
      </x:c>
      <x:c r="L88" s="22" t="n">
        <x:f>MAX(0,MIN('Activities'!L88,48)-MAX('Activities'!K88,42))</x:f>
        <x:v>0</x:v>
      </x:c>
      <x:c r="M88" s="22" t="n">
        <x:f>MAX(0,MIN('Activities'!L88,54)-MAX('Activities'!K88,48))</x:f>
        <x:v>0</x:v>
      </x:c>
      <x:c r="N88" s="22" t="n">
        <x:f>MAX(0,MIN('Activities'!L88,60)-MAX('Activities'!K88,54))</x:f>
        <x:v>0</x:v>
      </x:c>
      <x:c r="O88" s="22" t="n">
        <x:f>MAX(0,MIN('Activities'!L88,66)-MAX('Activities'!K88,60))</x:f>
        <x:v>0</x:v>
      </x:c>
      <x:c r="P88" s="22" t="n">
        <x:f>MAX(0,MIN('Activities'!L88,72)-MAX('Activities'!K88,66))</x:f>
        <x:v>0</x:v>
      </x:c>
      <x:c r="Q88" s="22" t="n">
        <x:f>MAX(0,MIN('Activities'!L88,78)-MAX('Activities'!K88,72))</x:f>
        <x:v>0</x:v>
      </x:c>
      <x:c r="R88" s="22" t="n">
        <x:f>MAX(0,MIN('Activities'!L88,84)-MAX('Activities'!K88,78))</x:f>
        <x:v>0</x:v>
      </x:c>
      <x:c r="S88" s="22" t="n">
        <x:f>MAX(0,MIN('Activities'!L88,90)-MAX('Activities'!K88,84))</x:f>
        <x:v>0</x:v>
      </x:c>
      <x:c r="T88" s="22" t="n">
        <x:f>MAX(0,MIN('Activities'!L88,96)-MAX('Activities'!K88,90))</x:f>
        <x:v>0</x:v>
      </x:c>
      <x:c r="U88" s="22" t="n">
        <x:f>MAX(0,MIN('Activities'!L88,102)-MAX('Activities'!K88,96))</x:f>
        <x:v>0</x:v>
      </x:c>
      <x:c r="V88" s="22" t="n">
        <x:f>MAX(0,MIN('Activities'!L88,108)-MAX('Activities'!K88,102))</x:f>
        <x:v>0</x:v>
      </x:c>
      <x:c r="W88" s="22" t="n">
        <x:f>MAX(0,MIN('Activities'!L88,114)-MAX('Activities'!K88,108))</x:f>
        <x:v>0</x:v>
      </x:c>
      <x:c r="X88" s="22" t="n">
        <x:f>MAX(0,MIN('Activities'!L88,120)-MAX('Activities'!K88,114))</x:f>
        <x:v>0</x:v>
      </x:c>
      <x:c r="Y88" s="22" t="n">
        <x:f>MAX(0,MIN('Activities'!L88,126)-MAX('Activities'!K88,120))</x:f>
        <x:v>0</x:v>
      </x:c>
      <x:c r="Z88" s="22" t="n">
        <x:f>MAX(0,MIN('Activities'!L88,132)-MAX('Activities'!K88,126))</x:f>
        <x:v>0</x:v>
      </x:c>
      <x:c r="AA88" s="22" t="n">
        <x:f>MAX(0,MIN('Activities'!L88,138)-MAX('Activities'!K88,132))</x:f>
        <x:v>0</x:v>
      </x:c>
      <x:c r="AB88" s="22" t="n">
        <x:f>MAX(0,MIN('Activities'!L88,144)-MAX('Activities'!K88,138))</x:f>
        <x:v>0</x:v>
      </x:c>
      <x:c r="AC88" s="22" t="n">
        <x:f>MAX(0,MIN('Activities'!L88,150)-MAX('Activities'!K88,144))</x:f>
        <x:v>0</x:v>
      </x:c>
      <x:c r="AD88" s="22" t="n">
        <x:f>MAX(0,MIN('Activities'!L88,156)-MAX('Activities'!K88,150))</x:f>
        <x:v>0</x:v>
      </x:c>
      <x:c r="AE88" s="22" t="n">
        <x:f>MAX(0,MIN('Activities'!L88,162)-MAX('Activities'!K88,156))</x:f>
        <x:v>0</x:v>
      </x:c>
      <x:c r="AF88" s="22" t="n">
        <x:f>MAX(0,MIN('Activities'!L88,168)-MAX('Activities'!K88,162))</x:f>
        <x:v>0</x:v>
      </x:c>
      <x:c r="AG88" s="22" t="n">
        <x:f>MAX(0,MIN('Activities'!L88,174)-MAX('Activities'!K88,168))</x:f>
        <x:v>0</x:v>
      </x:c>
      <x:c r="AH88" s="22" t="n">
        <x:f>MAX(0,MIN('Activities'!L88,180)-MAX('Activities'!K88,174))</x:f>
        <x:v>0</x:v>
      </x:c>
      <x:c r="AI88" s="22" t="n">
        <x:f>MAX(0,MIN('Activities'!L88,186)-MAX('Activities'!K88,180))</x:f>
        <x:v>0</x:v>
      </x:c>
      <x:c r="AJ88" s="22" t="n">
        <x:f>MAX(0,MIN('Activities'!L88,192)-MAX('Activities'!K88,186))</x:f>
        <x:v>0</x:v>
      </x:c>
      <x:c r="AK88" s="22" t="n">
        <x:f>MAX(0,MIN('Activities'!L88,198)-MAX('Activities'!K88,192))</x:f>
        <x:v>0</x:v>
      </x:c>
      <x:c r="AL88" s="22" t="n">
        <x:f>MAX(0,MIN('Activities'!L88,204)-MAX('Activities'!K88,198))</x:f>
        <x:v>0</x:v>
      </x:c>
      <x:c r="AM88" s="22" t="n">
        <x:f>MAX(0,MIN('Activities'!L88,210)-MAX('Activities'!K88,204))</x:f>
        <x:v>0</x:v>
      </x:c>
      <x:c r="AN88" s="22" t="n">
        <x:f>MAX(0,MIN('Activities'!L88,216)-MAX('Activities'!K88,210))</x:f>
        <x:v>0</x:v>
      </x:c>
      <x:c r="AO88" s="22" t="n">
        <x:f>MAX(0,MIN('Activities'!L88,222)-MAX('Activities'!K88,216))</x:f>
        <x:v>0</x:v>
      </x:c>
      <x:c r="AP88" s="22" t="n">
        <x:f>MAX(0,MIN('Activities'!L88,228)-MAX('Activities'!K88,222))</x:f>
        <x:v>0</x:v>
      </x:c>
      <x:c r="AQ88" s="22" t="n">
        <x:f>MAX(0,MIN('Activities'!L88,234)-MAX('Activities'!K88,228))</x:f>
        <x:v>0</x:v>
      </x:c>
      <x:c r="AR88" s="22" t="n">
        <x:f>MAX(0,MIN('Activities'!L88,240)-MAX('Activities'!K88,234))</x:f>
        <x:v>0</x:v>
      </x:c>
      <x:c r="AS88" s="22" t="n">
        <x:f>MAX(0,MIN('Activities'!L88,246)-MAX('Activities'!K88,240))</x:f>
        <x:v>0</x:v>
      </x:c>
      <x:c r="AT88" s="22" t="n">
        <x:f>MAX(0,MIN('Activities'!L88,252)-MAX('Activities'!K88,246))</x:f>
        <x:v>0</x:v>
      </x:c>
      <x:c r="AU88" s="22" t="n">
        <x:f>MAX(0,MIN('Activities'!L88,258)-MAX('Activities'!K88,252))</x:f>
        <x:v>0</x:v>
      </x:c>
      <x:c r="AV88" s="22" t="n">
        <x:f>MAX(0,MIN('Activities'!L88,264)-MAX('Activities'!K88,258))</x:f>
        <x:v>0</x:v>
      </x:c>
      <x:c r="AW88" s="22" t="n">
        <x:f>MAX(0,MIN('Activities'!L88,270)-MAX('Activities'!K88,264))</x:f>
        <x:v>0</x:v>
      </x:c>
      <x:c r="AX88" s="22" t="n">
        <x:f>MAX(0,MIN('Activities'!L88,276)-MAX('Activities'!K88,270))</x:f>
        <x:v>0</x:v>
      </x:c>
      <x:c r="AY88" s="22" t="n">
        <x:f>MAX(0,MIN('Activities'!L88,282)-MAX('Activities'!K88,276))</x:f>
        <x:v>0</x:v>
      </x:c>
      <x:c r="AZ88" s="22" t="n">
        <x:f>MAX(0,MIN('Activities'!L88,288)-MAX('Activities'!K88,282))</x:f>
        <x:v>0</x:v>
      </x:c>
      <x:c r="BA88" s="22" t="n">
        <x:f>MAX(0,MIN('Activities'!L88,294)-MAX('Activities'!K88,288))</x:f>
        <x:v>0</x:v>
      </x:c>
      <x:c r="BB88" s="22" t="n">
        <x:f>MAX(0,MIN('Activities'!L88,300)-MAX('Activities'!K88,294))</x:f>
        <x:v>0</x:v>
      </x:c>
      <x:c r="BC88" s="22" t="n">
        <x:f>MAX(0,MIN('Activities'!L88,306)-MAX('Activities'!K88,300))</x:f>
        <x:v>0</x:v>
      </x:c>
      <x:c r="BD88" s="22" t="n">
        <x:f>MAX(0,MIN('Activities'!L88,312)-MAX('Activities'!K88,306))</x:f>
        <x:v>0</x:v>
      </x:c>
      <x:c r="BE88" s="22" t="n">
        <x:f>MAX(0,MIN('Activities'!L88,318)-MAX('Activities'!K88,312))</x:f>
        <x:v>0</x:v>
      </x:c>
      <x:c r="BF88" s="22" t="n">
        <x:f>MAX(0,MIN('Activities'!L88,324)-MAX('Activities'!K88,318))</x:f>
        <x:v>0</x:v>
      </x:c>
      <x:c r="BG88" s="22" t="n">
        <x:f>MAX(0,MIN('Activities'!L88,330)-MAX('Activities'!K88,324))</x:f>
        <x:v>0</x:v>
      </x:c>
      <x:c r="BH88" s="22" t="n">
        <x:f>MAX(0,MIN('Activities'!L88,336)-MAX('Activities'!K88,330))</x:f>
        <x:v>0</x:v>
      </x:c>
      <x:c r="BI88" s="22" t="n">
        <x:f>MAX(0,MIN('Activities'!L88,342)-MAX('Activities'!K88,336))</x:f>
        <x:v>0</x:v>
      </x:c>
      <x:c r="BJ88" s="22" t="n">
        <x:f>MAX(0,MIN('Activities'!L88,348)-MAX('Activities'!K88,342))</x:f>
        <x:v>0</x:v>
      </x:c>
      <x:c r="BK88" s="22" t="n">
        <x:f>MAX(0,MIN('Activities'!L88,354)-MAX('Activities'!K88,348))</x:f>
        <x:v>0</x:v>
      </x:c>
      <x:c r="BL88" s="22" t="n">
        <x:f>MAX(0,MIN('Activities'!L88,360)-MAX('Activities'!K88,354))</x:f>
        <x:v>0</x:v>
      </x:c>
      <x:c r="BM88" s="22" t="n">
        <x:f>MAX(0,MIN('Activities'!L88,366)-MAX('Activities'!K88,360))</x:f>
        <x:v>0</x:v>
      </x:c>
      <x:c r="BN88" s="22" t="n">
        <x:f>MAX(0,MIN('Activities'!L88,372)-MAX('Activities'!K88,366))</x:f>
        <x:v>0</x:v>
      </x:c>
      <x:c r="BO88" s="22" t="n">
        <x:f>MAX(0,MIN('Activities'!L88,378)-MAX('Activities'!K88,372))</x:f>
        <x:v>0</x:v>
      </x:c>
      <x:c r="BP88" s="22" t="n">
        <x:f>MAX(0,MIN('Activities'!L88,384)-MAX('Activities'!K88,378))</x:f>
        <x:v>0</x:v>
      </x:c>
      <x:c r="BQ88" s="22" t="n">
        <x:f>MAX(0,MIN('Activities'!L88,390)-MAX('Activities'!K88,384))</x:f>
        <x:v>0</x:v>
      </x:c>
      <x:c r="BR88" s="22" t="n">
        <x:f>MAX(0,MIN('Activities'!L88,396)-MAX('Activities'!K88,390))</x:f>
        <x:v>0</x:v>
      </x:c>
      <x:c r="BS88" s="22" t="n">
        <x:f>MAX(0,MIN('Activities'!L88,402)-MAX('Activities'!K88,396))</x:f>
        <x:v>0</x:v>
      </x:c>
      <x:c r="BT88" s="22" t="n">
        <x:f>MAX(0,MIN('Activities'!L88,408)-MAX('Activities'!K88,402))</x:f>
        <x:v>0</x:v>
      </x:c>
      <x:c r="BU88" s="22" t="n">
        <x:f>MAX(0,MIN('Activities'!L88,414)-MAX('Activities'!K88,408))</x:f>
        <x:v>0</x:v>
      </x:c>
      <x:c r="BV88" s="22" t="n">
        <x:f>MAX(0,MIN('Activities'!L88,420)-MAX('Activities'!K88,414))</x:f>
        <x:v>3</x:v>
      </x:c>
      <x:c r="BW88" s="22" t="n">
        <x:f>MAX(0,MIN('Activities'!L88,426)-MAX('Activities'!K88,420))</x:f>
        <x:v>0</x:v>
      </x:c>
      <x:c r="BX88" s="22" t="n">
        <x:f>MAX(0,MIN('Activities'!L88,432)-MAX('Activities'!K88,426))</x:f>
        <x:v>0</x:v>
      </x:c>
      <x:c r="BY88" s="22" t="n">
        <x:f>MAX(0,MIN('Activities'!L88,438)-MAX('Activities'!K88,432))</x:f>
        <x:v>0</x:v>
      </x:c>
      <x:c r="BZ88" s="22" t="n">
        <x:f>MAX(0,MIN('Activities'!L88,444)-MAX('Activities'!K88,438))</x:f>
        <x:v>0</x:v>
      </x:c>
      <x:c r="CA88" s="22" t="n">
        <x:f>MAX(0,MIN('Activities'!L88,450)-MAX('Activities'!K88,444))</x:f>
        <x:v>0</x:v>
      </x:c>
      <x:c r="CB88" s="22" t="n">
        <x:f>MAX(0,MIN('Activities'!L88,456)-MAX('Activities'!K88,450))</x:f>
        <x:v>0</x:v>
      </x:c>
      <x:c r="CC88" s="22" t="n">
        <x:f>MAX(0,MIN('Activities'!L88,462)-MAX('Activities'!K88,456))</x:f>
        <x:v>0</x:v>
      </x:c>
      <x:c r="CD88" s="22" t="n">
        <x:f>MAX(0,MIN('Activities'!L88,468)-MAX('Activities'!K88,462))</x:f>
        <x:v>0</x:v>
      </x:c>
      <x:c r="CE88" s="22" t="n">
        <x:f>MAX(0,MIN('Activities'!L88,474)-MAX('Activities'!K88,468))</x:f>
        <x:v>0</x:v>
      </x:c>
      <x:c r="CF88" s="22" t="n">
        <x:f>MAX(0,MIN('Activities'!L88,480)-MAX('Activities'!K88,474))</x:f>
        <x:v>0</x:v>
      </x:c>
      <x:c r="CG88" s="22" t="n">
        <x:f>MAX(0,MIN('Activities'!L88,486)-MAX('Activities'!K88,480))</x:f>
        <x:v>0</x:v>
      </x:c>
      <x:c r="CH88" s="22" t="n">
        <x:f>MAX(0,MIN('Activities'!L88,492)-MAX('Activities'!K88,486))</x:f>
        <x:v>0</x:v>
      </x:c>
      <x:c r="CI88" s="22" t="n">
        <x:f>MAX(0,MIN('Activities'!L88,498)-MAX('Activities'!K88,492))</x:f>
        <x:v>0</x:v>
      </x:c>
      <x:c r="CJ88" s="22" t="n">
        <x:f>MAX(0,MIN('Activities'!L88,504)-MAX('Activities'!K88,498))</x:f>
        <x:v>0</x:v>
      </x:c>
      <x:c r="CK88" s="22" t="n">
        <x:f>MAX(0,MIN('Activities'!L88,510)-MAX('Activities'!K88,504))</x:f>
        <x:v>0</x:v>
      </x:c>
      <x:c r="CL88" s="22" t="n">
        <x:f>MAX(0,MIN('Activities'!L88,516)-MAX('Activities'!K88,510))</x:f>
        <x:v>0</x:v>
      </x:c>
      <x:c r="CM88" s="22" t="n">
        <x:f>MAX(0,MIN('Activities'!L88,522)-MAX('Activities'!K88,516))</x:f>
        <x:v>0</x:v>
      </x:c>
      <x:c r="CN88" s="22" t="n">
        <x:f>MAX(0,MIN('Activities'!L88,528)-MAX('Activities'!K88,522))</x:f>
        <x:v>0</x:v>
      </x:c>
      <x:c r="CO88" s="22" t="n">
        <x:f>MAX(0,MIN('Activities'!L88,534)-MAX('Activities'!K88,528))</x:f>
        <x:v>0</x:v>
      </x:c>
      <x:c r="CP88" s="22" t="n">
        <x:f>MAX(0,MIN('Activities'!L88,540)-MAX('Activities'!K88,534))</x:f>
        <x:v>0</x:v>
      </x:c>
      <x:c r="CQ88" s="22" t="n">
        <x:f>MAX(0,MIN('Activities'!L88,546)-MAX('Activities'!K88,540))</x:f>
        <x:v>0</x:v>
      </x:c>
      <x:c r="CR88" s="22" t="n">
        <x:f>MAX(0,MIN('Activities'!L88,552)-MAX('Activities'!K88,546))</x:f>
        <x:v>0</x:v>
      </x:c>
      <x:c r="CS88" s="22" t="n">
        <x:f>MAX(0,MIN('Activities'!L88,558)-MAX('Activities'!K88,552))</x:f>
        <x:v>0</x:v>
      </x:c>
      <x:c r="CT88" s="22" t="n">
        <x:f>MAX(0,MIN('Activities'!L88,564)-MAX('Activities'!K88,558))</x:f>
        <x:v>0</x:v>
      </x:c>
      <x:c r="CU88" s="22" t="n">
        <x:f>MAX(0,MIN('Activities'!L88,570)-MAX('Activities'!K88,564))</x:f>
        <x:v>0</x:v>
      </x:c>
      <x:c r="CV88" s="22" t="n">
        <x:f>MAX(0,MIN('Activities'!L88,576)-MAX('Activities'!K88,570))</x:f>
        <x:v>0</x:v>
      </x:c>
      <x:c r="CW88" s="22" t="n">
        <x:f>MAX(0,MIN('Activities'!L88,582)-MAX('Activities'!K88,576))</x:f>
        <x:v>0</x:v>
      </x:c>
      <x:c r="CX88" s="22" t="n">
        <x:f>MAX(0,MIN('Activities'!L88,588)-MAX('Activities'!K88,582))</x:f>
        <x:v>0</x:v>
      </x:c>
      <x:c r="CY88" s="22" t="n">
        <x:f>MAX(0,MIN('Activities'!L88,594)-MAX('Activities'!K88,588))</x:f>
        <x:v>0</x:v>
      </x:c>
      <x:c r="CZ88" s="22" t="n">
        <x:f>MAX(0,MIN('Activities'!L88,600)-MAX('Activities'!K88,594))</x:f>
        <x:v>0</x:v>
      </x:c>
      <x:c r="DA88" s="22" t="n">
        <x:f>MAX(0,MIN('Activities'!L88,606)-MAX('Activities'!K88,600))</x:f>
        <x:v>0</x:v>
      </x:c>
      <x:c r="DB88" s="22" t="n">
        <x:f>MAX(0,MIN('Activities'!L88,612)-MAX('Activities'!K88,606))</x:f>
        <x:v>0</x:v>
      </x:c>
      <x:c r="DC88" s="22" t="n">
        <x:f>MAX(0,MIN('Activities'!L88,618)-MAX('Activities'!K88,612))</x:f>
        <x:v>0</x:v>
      </x:c>
      <x:c r="DD88" s="22" t="n">
        <x:f>MAX(0,MIN('Activities'!L88,624)-MAX('Activities'!K88,618))</x:f>
        <x:v>0</x:v>
      </x:c>
      <x:c r="DE88" s="22" t="n">
        <x:f>MAX(0,MIN('Activities'!L88,630)-MAX('Activities'!K88,624))</x:f>
        <x:v>0</x:v>
      </x:c>
      <x:c r="DF88" s="22" t="n">
        <x:f>MAX(0,MIN('Activities'!L88,636)-MAX('Activities'!K88,630))</x:f>
        <x:v>0</x:v>
      </x:c>
    </x:row>
    <x:row r="89" ht="23" customHeight="1">
      <x:c r="A89" s="1" t="str">
        <x:v>T1-L03-M</x:v>
      </x:c>
      <x:c r="B89" s="1" t="str">
        <x:v>T1</x:v>
      </x:c>
      <x:c r="C89" s="1" t="str">
        <x:v>Partition masonry</x:v>
      </x:c>
      <x:c r="D89" s="1" t="str">
        <x:v>Masonry</x:v>
      </x:c>
      <x:c r="E89" s="23" t="n">
        <x:f>MAX(0,MIN('Activities'!L89,6)-MAX('Activities'!K89,0))</x:f>
        <x:v>0</x:v>
      </x:c>
      <x:c r="F89" s="23" t="n">
        <x:f>MAX(0,MIN('Activities'!L89,12)-MAX('Activities'!K89,6))</x:f>
        <x:v>0</x:v>
      </x:c>
      <x:c r="G89" s="23" t="n">
        <x:f>MAX(0,MIN('Activities'!L89,18)-MAX('Activities'!K89,12))</x:f>
        <x:v>0</x:v>
      </x:c>
      <x:c r="H89" s="23" t="n">
        <x:f>MAX(0,MIN('Activities'!L89,24)-MAX('Activities'!K89,18))</x:f>
        <x:v>0</x:v>
      </x:c>
      <x:c r="I89" s="23" t="n">
        <x:f>MAX(0,MIN('Activities'!L89,30)-MAX('Activities'!K89,24))</x:f>
        <x:v>0</x:v>
      </x:c>
      <x:c r="J89" s="23" t="n">
        <x:f>MAX(0,MIN('Activities'!L89,36)-MAX('Activities'!K89,30))</x:f>
        <x:v>0</x:v>
      </x:c>
      <x:c r="K89" s="23" t="n">
        <x:f>MAX(0,MIN('Activities'!L89,42)-MAX('Activities'!K89,36))</x:f>
        <x:v>0</x:v>
      </x:c>
      <x:c r="L89" s="23" t="n">
        <x:f>MAX(0,MIN('Activities'!L89,48)-MAX('Activities'!K89,42))</x:f>
        <x:v>0</x:v>
      </x:c>
      <x:c r="M89" s="23" t="n">
        <x:f>MAX(0,MIN('Activities'!L89,54)-MAX('Activities'!K89,48))</x:f>
        <x:v>0</x:v>
      </x:c>
      <x:c r="N89" s="23" t="n">
        <x:f>MAX(0,MIN('Activities'!L89,60)-MAX('Activities'!K89,54))</x:f>
        <x:v>0</x:v>
      </x:c>
      <x:c r="O89" s="23" t="n">
        <x:f>MAX(0,MIN('Activities'!L89,66)-MAX('Activities'!K89,60))</x:f>
        <x:v>0</x:v>
      </x:c>
      <x:c r="P89" s="23" t="n">
        <x:f>MAX(0,MIN('Activities'!L89,72)-MAX('Activities'!K89,66))</x:f>
        <x:v>0</x:v>
      </x:c>
      <x:c r="Q89" s="23" t="n">
        <x:f>MAX(0,MIN('Activities'!L89,78)-MAX('Activities'!K89,72))</x:f>
        <x:v>0</x:v>
      </x:c>
      <x:c r="R89" s="23" t="n">
        <x:f>MAX(0,MIN('Activities'!L89,84)-MAX('Activities'!K89,78))</x:f>
        <x:v>0</x:v>
      </x:c>
      <x:c r="S89" s="23" t="n">
        <x:f>MAX(0,MIN('Activities'!L89,90)-MAX('Activities'!K89,84))</x:f>
        <x:v>0</x:v>
      </x:c>
      <x:c r="T89" s="23" t="n">
        <x:f>MAX(0,MIN('Activities'!L89,96)-MAX('Activities'!K89,90))</x:f>
        <x:v>0</x:v>
      </x:c>
      <x:c r="U89" s="23" t="n">
        <x:f>MAX(0,MIN('Activities'!L89,102)-MAX('Activities'!K89,96))</x:f>
        <x:v>0</x:v>
      </x:c>
      <x:c r="V89" s="23" t="n">
        <x:f>MAX(0,MIN('Activities'!L89,108)-MAX('Activities'!K89,102))</x:f>
        <x:v>0</x:v>
      </x:c>
      <x:c r="W89" s="23" t="n">
        <x:f>MAX(0,MIN('Activities'!L89,114)-MAX('Activities'!K89,108))</x:f>
        <x:v>0</x:v>
      </x:c>
      <x:c r="X89" s="23" t="n">
        <x:f>MAX(0,MIN('Activities'!L89,120)-MAX('Activities'!K89,114))</x:f>
        <x:v>0</x:v>
      </x:c>
      <x:c r="Y89" s="23" t="n">
        <x:f>MAX(0,MIN('Activities'!L89,126)-MAX('Activities'!K89,120))</x:f>
        <x:v>0</x:v>
      </x:c>
      <x:c r="Z89" s="23" t="n">
        <x:f>MAX(0,MIN('Activities'!L89,132)-MAX('Activities'!K89,126))</x:f>
        <x:v>0</x:v>
      </x:c>
      <x:c r="AA89" s="23" t="n">
        <x:f>MAX(0,MIN('Activities'!L89,138)-MAX('Activities'!K89,132))</x:f>
        <x:v>0</x:v>
      </x:c>
      <x:c r="AB89" s="23" t="n">
        <x:f>MAX(0,MIN('Activities'!L89,144)-MAX('Activities'!K89,138))</x:f>
        <x:v>0</x:v>
      </x:c>
      <x:c r="AC89" s="23" t="n">
        <x:f>MAX(0,MIN('Activities'!L89,150)-MAX('Activities'!K89,144))</x:f>
        <x:v>0</x:v>
      </x:c>
      <x:c r="AD89" s="23" t="n">
        <x:f>MAX(0,MIN('Activities'!L89,156)-MAX('Activities'!K89,150))</x:f>
        <x:v>0</x:v>
      </x:c>
      <x:c r="AE89" s="23" t="n">
        <x:f>MAX(0,MIN('Activities'!L89,162)-MAX('Activities'!K89,156))</x:f>
        <x:v>0</x:v>
      </x:c>
      <x:c r="AF89" s="23" t="n">
        <x:f>MAX(0,MIN('Activities'!L89,168)-MAX('Activities'!K89,162))</x:f>
        <x:v>0</x:v>
      </x:c>
      <x:c r="AG89" s="23" t="n">
        <x:f>MAX(0,MIN('Activities'!L89,174)-MAX('Activities'!K89,168))</x:f>
        <x:v>0</x:v>
      </x:c>
      <x:c r="AH89" s="23" t="n">
        <x:f>MAX(0,MIN('Activities'!L89,180)-MAX('Activities'!K89,174))</x:f>
        <x:v>0</x:v>
      </x:c>
      <x:c r="AI89" s="23" t="n">
        <x:f>MAX(0,MIN('Activities'!L89,186)-MAX('Activities'!K89,180))</x:f>
        <x:v>0</x:v>
      </x:c>
      <x:c r="AJ89" s="23" t="n">
        <x:f>MAX(0,MIN('Activities'!L89,192)-MAX('Activities'!K89,186))</x:f>
        <x:v>0</x:v>
      </x:c>
      <x:c r="AK89" s="23" t="n">
        <x:f>MAX(0,MIN('Activities'!L89,198)-MAX('Activities'!K89,192))</x:f>
        <x:v>0</x:v>
      </x:c>
      <x:c r="AL89" s="23" t="n">
        <x:f>MAX(0,MIN('Activities'!L89,204)-MAX('Activities'!K89,198))</x:f>
        <x:v>0</x:v>
      </x:c>
      <x:c r="AM89" s="23" t="n">
        <x:f>MAX(0,MIN('Activities'!L89,210)-MAX('Activities'!K89,204))</x:f>
        <x:v>0</x:v>
      </x:c>
      <x:c r="AN89" s="23" t="n">
        <x:f>MAX(0,MIN('Activities'!L89,216)-MAX('Activities'!K89,210))</x:f>
        <x:v>0</x:v>
      </x:c>
      <x:c r="AO89" s="23" t="n">
        <x:f>MAX(0,MIN('Activities'!L89,222)-MAX('Activities'!K89,216))</x:f>
        <x:v>0</x:v>
      </x:c>
      <x:c r="AP89" s="23" t="n">
        <x:f>MAX(0,MIN('Activities'!L89,228)-MAX('Activities'!K89,222))</x:f>
        <x:v>0</x:v>
      </x:c>
      <x:c r="AQ89" s="23" t="n">
        <x:f>MAX(0,MIN('Activities'!L89,234)-MAX('Activities'!K89,228))</x:f>
        <x:v>0</x:v>
      </x:c>
      <x:c r="AR89" s="23" t="n">
        <x:f>MAX(0,MIN('Activities'!L89,240)-MAX('Activities'!K89,234))</x:f>
        <x:v>0</x:v>
      </x:c>
      <x:c r="AS89" s="23" t="n">
        <x:f>MAX(0,MIN('Activities'!L89,246)-MAX('Activities'!K89,240))</x:f>
        <x:v>0</x:v>
      </x:c>
      <x:c r="AT89" s="23" t="n">
        <x:f>MAX(0,MIN('Activities'!L89,252)-MAX('Activities'!K89,246))</x:f>
        <x:v>0</x:v>
      </x:c>
      <x:c r="AU89" s="23" t="n">
        <x:f>MAX(0,MIN('Activities'!L89,258)-MAX('Activities'!K89,252))</x:f>
        <x:v>0</x:v>
      </x:c>
      <x:c r="AV89" s="23" t="n">
        <x:f>MAX(0,MIN('Activities'!L89,264)-MAX('Activities'!K89,258))</x:f>
        <x:v>0</x:v>
      </x:c>
      <x:c r="AW89" s="23" t="n">
        <x:f>MAX(0,MIN('Activities'!L89,270)-MAX('Activities'!K89,264))</x:f>
        <x:v>5</x:v>
      </x:c>
      <x:c r="AX89" s="23" t="n">
        <x:f>MAX(0,MIN('Activities'!L89,276)-MAX('Activities'!K89,270))</x:f>
        <x:v>0</x:v>
      </x:c>
      <x:c r="AY89" s="23" t="n">
        <x:f>MAX(0,MIN('Activities'!L89,282)-MAX('Activities'!K89,276))</x:f>
        <x:v>0</x:v>
      </x:c>
      <x:c r="AZ89" s="23" t="n">
        <x:f>MAX(0,MIN('Activities'!L89,288)-MAX('Activities'!K89,282))</x:f>
        <x:v>0</x:v>
      </x:c>
      <x:c r="BA89" s="23" t="n">
        <x:f>MAX(0,MIN('Activities'!L89,294)-MAX('Activities'!K89,288))</x:f>
        <x:v>0</x:v>
      </x:c>
      <x:c r="BB89" s="23" t="n">
        <x:f>MAX(0,MIN('Activities'!L89,300)-MAX('Activities'!K89,294))</x:f>
        <x:v>0</x:v>
      </x:c>
      <x:c r="BC89" s="23" t="n">
        <x:f>MAX(0,MIN('Activities'!L89,306)-MAX('Activities'!K89,300))</x:f>
        <x:v>0</x:v>
      </x:c>
      <x:c r="BD89" s="23" t="n">
        <x:f>MAX(0,MIN('Activities'!L89,312)-MAX('Activities'!K89,306))</x:f>
        <x:v>0</x:v>
      </x:c>
      <x:c r="BE89" s="23" t="n">
        <x:f>MAX(0,MIN('Activities'!L89,318)-MAX('Activities'!K89,312))</x:f>
        <x:v>0</x:v>
      </x:c>
      <x:c r="BF89" s="23" t="n">
        <x:f>MAX(0,MIN('Activities'!L89,324)-MAX('Activities'!K89,318))</x:f>
        <x:v>0</x:v>
      </x:c>
      <x:c r="BG89" s="23" t="n">
        <x:f>MAX(0,MIN('Activities'!L89,330)-MAX('Activities'!K89,324))</x:f>
        <x:v>0</x:v>
      </x:c>
      <x:c r="BH89" s="23" t="n">
        <x:f>MAX(0,MIN('Activities'!L89,336)-MAX('Activities'!K89,330))</x:f>
        <x:v>0</x:v>
      </x:c>
      <x:c r="BI89" s="23" t="n">
        <x:f>MAX(0,MIN('Activities'!L89,342)-MAX('Activities'!K89,336))</x:f>
        <x:v>0</x:v>
      </x:c>
      <x:c r="BJ89" s="23" t="n">
        <x:f>MAX(0,MIN('Activities'!L89,348)-MAX('Activities'!K89,342))</x:f>
        <x:v>0</x:v>
      </x:c>
      <x:c r="BK89" s="23" t="n">
        <x:f>MAX(0,MIN('Activities'!L89,354)-MAX('Activities'!K89,348))</x:f>
        <x:v>0</x:v>
      </x:c>
      <x:c r="BL89" s="23" t="n">
        <x:f>MAX(0,MIN('Activities'!L89,360)-MAX('Activities'!K89,354))</x:f>
        <x:v>0</x:v>
      </x:c>
      <x:c r="BM89" s="23" t="n">
        <x:f>MAX(0,MIN('Activities'!L89,366)-MAX('Activities'!K89,360))</x:f>
        <x:v>0</x:v>
      </x:c>
      <x:c r="BN89" s="23" t="n">
        <x:f>MAX(0,MIN('Activities'!L89,372)-MAX('Activities'!K89,366))</x:f>
        <x:v>0</x:v>
      </x:c>
      <x:c r="BO89" s="23" t="n">
        <x:f>MAX(0,MIN('Activities'!L89,378)-MAX('Activities'!K89,372))</x:f>
        <x:v>0</x:v>
      </x:c>
      <x:c r="BP89" s="23" t="n">
        <x:f>MAX(0,MIN('Activities'!L89,384)-MAX('Activities'!K89,378))</x:f>
        <x:v>0</x:v>
      </x:c>
      <x:c r="BQ89" s="23" t="n">
        <x:f>MAX(0,MIN('Activities'!L89,390)-MAX('Activities'!K89,384))</x:f>
        <x:v>0</x:v>
      </x:c>
      <x:c r="BR89" s="23" t="n">
        <x:f>MAX(0,MIN('Activities'!L89,396)-MAX('Activities'!K89,390))</x:f>
        <x:v>0</x:v>
      </x:c>
      <x:c r="BS89" s="23" t="n">
        <x:f>MAX(0,MIN('Activities'!L89,402)-MAX('Activities'!K89,396))</x:f>
        <x:v>0</x:v>
      </x:c>
      <x:c r="BT89" s="23" t="n">
        <x:f>MAX(0,MIN('Activities'!L89,408)-MAX('Activities'!K89,402))</x:f>
        <x:v>0</x:v>
      </x:c>
      <x:c r="BU89" s="23" t="n">
        <x:f>MAX(0,MIN('Activities'!L89,414)-MAX('Activities'!K89,408))</x:f>
        <x:v>0</x:v>
      </x:c>
      <x:c r="BV89" s="23" t="n">
        <x:f>MAX(0,MIN('Activities'!L89,420)-MAX('Activities'!K89,414))</x:f>
        <x:v>0</x:v>
      </x:c>
      <x:c r="BW89" s="23" t="n">
        <x:f>MAX(0,MIN('Activities'!L89,426)-MAX('Activities'!K89,420))</x:f>
        <x:v>0</x:v>
      </x:c>
      <x:c r="BX89" s="23" t="n">
        <x:f>MAX(0,MIN('Activities'!L89,432)-MAX('Activities'!K89,426))</x:f>
        <x:v>0</x:v>
      </x:c>
      <x:c r="BY89" s="23" t="n">
        <x:f>MAX(0,MIN('Activities'!L89,438)-MAX('Activities'!K89,432))</x:f>
        <x:v>0</x:v>
      </x:c>
      <x:c r="BZ89" s="23" t="n">
        <x:f>MAX(0,MIN('Activities'!L89,444)-MAX('Activities'!K89,438))</x:f>
        <x:v>0</x:v>
      </x:c>
      <x:c r="CA89" s="23" t="n">
        <x:f>MAX(0,MIN('Activities'!L89,450)-MAX('Activities'!K89,444))</x:f>
        <x:v>0</x:v>
      </x:c>
      <x:c r="CB89" s="23" t="n">
        <x:f>MAX(0,MIN('Activities'!L89,456)-MAX('Activities'!K89,450))</x:f>
        <x:v>0</x:v>
      </x:c>
      <x:c r="CC89" s="23" t="n">
        <x:f>MAX(0,MIN('Activities'!L89,462)-MAX('Activities'!K89,456))</x:f>
        <x:v>0</x:v>
      </x:c>
      <x:c r="CD89" s="23" t="n">
        <x:f>MAX(0,MIN('Activities'!L89,468)-MAX('Activities'!K89,462))</x:f>
        <x:v>0</x:v>
      </x:c>
      <x:c r="CE89" s="23" t="n">
        <x:f>MAX(0,MIN('Activities'!L89,474)-MAX('Activities'!K89,468))</x:f>
        <x:v>0</x:v>
      </x:c>
      <x:c r="CF89" s="23" t="n">
        <x:f>MAX(0,MIN('Activities'!L89,480)-MAX('Activities'!K89,474))</x:f>
        <x:v>0</x:v>
      </x:c>
      <x:c r="CG89" s="23" t="n">
        <x:f>MAX(0,MIN('Activities'!L89,486)-MAX('Activities'!K89,480))</x:f>
        <x:v>0</x:v>
      </x:c>
      <x:c r="CH89" s="23" t="n">
        <x:f>MAX(0,MIN('Activities'!L89,492)-MAX('Activities'!K89,486))</x:f>
        <x:v>0</x:v>
      </x:c>
      <x:c r="CI89" s="23" t="n">
        <x:f>MAX(0,MIN('Activities'!L89,498)-MAX('Activities'!K89,492))</x:f>
        <x:v>0</x:v>
      </x:c>
      <x:c r="CJ89" s="23" t="n">
        <x:f>MAX(0,MIN('Activities'!L89,504)-MAX('Activities'!K89,498))</x:f>
        <x:v>0</x:v>
      </x:c>
      <x:c r="CK89" s="23" t="n">
        <x:f>MAX(0,MIN('Activities'!L89,510)-MAX('Activities'!K89,504))</x:f>
        <x:v>0</x:v>
      </x:c>
      <x:c r="CL89" s="23" t="n">
        <x:f>MAX(0,MIN('Activities'!L89,516)-MAX('Activities'!K89,510))</x:f>
        <x:v>0</x:v>
      </x:c>
      <x:c r="CM89" s="23" t="n">
        <x:f>MAX(0,MIN('Activities'!L89,522)-MAX('Activities'!K89,516))</x:f>
        <x:v>0</x:v>
      </x:c>
      <x:c r="CN89" s="23" t="n">
        <x:f>MAX(0,MIN('Activities'!L89,528)-MAX('Activities'!K89,522))</x:f>
        <x:v>0</x:v>
      </x:c>
      <x:c r="CO89" s="23" t="n">
        <x:f>MAX(0,MIN('Activities'!L89,534)-MAX('Activities'!K89,528))</x:f>
        <x:v>0</x:v>
      </x:c>
      <x:c r="CP89" s="23" t="n">
        <x:f>MAX(0,MIN('Activities'!L89,540)-MAX('Activities'!K89,534))</x:f>
        <x:v>0</x:v>
      </x:c>
      <x:c r="CQ89" s="23" t="n">
        <x:f>MAX(0,MIN('Activities'!L89,546)-MAX('Activities'!K89,540))</x:f>
        <x:v>0</x:v>
      </x:c>
      <x:c r="CR89" s="23" t="n">
        <x:f>MAX(0,MIN('Activities'!L89,552)-MAX('Activities'!K89,546))</x:f>
        <x:v>0</x:v>
      </x:c>
      <x:c r="CS89" s="23" t="n">
        <x:f>MAX(0,MIN('Activities'!L89,558)-MAX('Activities'!K89,552))</x:f>
        <x:v>0</x:v>
      </x:c>
      <x:c r="CT89" s="23" t="n">
        <x:f>MAX(0,MIN('Activities'!L89,564)-MAX('Activities'!K89,558))</x:f>
        <x:v>0</x:v>
      </x:c>
      <x:c r="CU89" s="23" t="n">
        <x:f>MAX(0,MIN('Activities'!L89,570)-MAX('Activities'!K89,564))</x:f>
        <x:v>0</x:v>
      </x:c>
      <x:c r="CV89" s="23" t="n">
        <x:f>MAX(0,MIN('Activities'!L89,576)-MAX('Activities'!K89,570))</x:f>
        <x:v>0</x:v>
      </x:c>
      <x:c r="CW89" s="23" t="n">
        <x:f>MAX(0,MIN('Activities'!L89,582)-MAX('Activities'!K89,576))</x:f>
        <x:v>0</x:v>
      </x:c>
      <x:c r="CX89" s="23" t="n">
        <x:f>MAX(0,MIN('Activities'!L89,588)-MAX('Activities'!K89,582))</x:f>
        <x:v>0</x:v>
      </x:c>
      <x:c r="CY89" s="23" t="n">
        <x:f>MAX(0,MIN('Activities'!L89,594)-MAX('Activities'!K89,588))</x:f>
        <x:v>0</x:v>
      </x:c>
      <x:c r="CZ89" s="23" t="n">
        <x:f>MAX(0,MIN('Activities'!L89,600)-MAX('Activities'!K89,594))</x:f>
        <x:v>0</x:v>
      </x:c>
      <x:c r="DA89" s="23" t="n">
        <x:f>MAX(0,MIN('Activities'!L89,606)-MAX('Activities'!K89,600))</x:f>
        <x:v>0</x:v>
      </x:c>
      <x:c r="DB89" s="23" t="n">
        <x:f>MAX(0,MIN('Activities'!L89,612)-MAX('Activities'!K89,606))</x:f>
        <x:v>0</x:v>
      </x:c>
      <x:c r="DC89" s="23" t="n">
        <x:f>MAX(0,MIN('Activities'!L89,618)-MAX('Activities'!K89,612))</x:f>
        <x:v>0</x:v>
      </x:c>
      <x:c r="DD89" s="23" t="n">
        <x:f>MAX(0,MIN('Activities'!L89,624)-MAX('Activities'!K89,618))</x:f>
        <x:v>0</x:v>
      </x:c>
      <x:c r="DE89" s="23" t="n">
        <x:f>MAX(0,MIN('Activities'!L89,630)-MAX('Activities'!K89,624))</x:f>
        <x:v>0</x:v>
      </x:c>
      <x:c r="DF89" s="23" t="n">
        <x:f>MAX(0,MIN('Activities'!L89,636)-MAX('Activities'!K89,630))</x:f>
        <x:v>0</x:v>
      </x:c>
    </x:row>
    <x:row r="90" ht="23" customHeight="1">
      <x:c r="A90" s="6" t="str">
        <x:v>T1-L03-P</x:v>
      </x:c>
      <x:c r="B90" s="6" t="str">
        <x:v>T1</x:v>
      </x:c>
      <x:c r="C90" s="6" t="str">
        <x:v>Internal plaster</x:v>
      </x:c>
      <x:c r="D90" s="6" t="str">
        <x:v>Finishes</x:v>
      </x:c>
      <x:c r="E90" s="22" t="n">
        <x:f>MAX(0,MIN('Activities'!L90,6)-MAX('Activities'!K90,0))</x:f>
        <x:v>0</x:v>
      </x:c>
      <x:c r="F90" s="22" t="n">
        <x:f>MAX(0,MIN('Activities'!L90,12)-MAX('Activities'!K90,6))</x:f>
        <x:v>0</x:v>
      </x:c>
      <x:c r="G90" s="22" t="n">
        <x:f>MAX(0,MIN('Activities'!L90,18)-MAX('Activities'!K90,12))</x:f>
        <x:v>0</x:v>
      </x:c>
      <x:c r="H90" s="22" t="n">
        <x:f>MAX(0,MIN('Activities'!L90,24)-MAX('Activities'!K90,18))</x:f>
        <x:v>0</x:v>
      </x:c>
      <x:c r="I90" s="22" t="n">
        <x:f>MAX(0,MIN('Activities'!L90,30)-MAX('Activities'!K90,24))</x:f>
        <x:v>0</x:v>
      </x:c>
      <x:c r="J90" s="22" t="n">
        <x:f>MAX(0,MIN('Activities'!L90,36)-MAX('Activities'!K90,30))</x:f>
        <x:v>0</x:v>
      </x:c>
      <x:c r="K90" s="22" t="n">
        <x:f>MAX(0,MIN('Activities'!L90,42)-MAX('Activities'!K90,36))</x:f>
        <x:v>0</x:v>
      </x:c>
      <x:c r="L90" s="22" t="n">
        <x:f>MAX(0,MIN('Activities'!L90,48)-MAX('Activities'!K90,42))</x:f>
        <x:v>0</x:v>
      </x:c>
      <x:c r="M90" s="22" t="n">
        <x:f>MAX(0,MIN('Activities'!L90,54)-MAX('Activities'!K90,48))</x:f>
        <x:v>0</x:v>
      </x:c>
      <x:c r="N90" s="22" t="n">
        <x:f>MAX(0,MIN('Activities'!L90,60)-MAX('Activities'!K90,54))</x:f>
        <x:v>0</x:v>
      </x:c>
      <x:c r="O90" s="22" t="n">
        <x:f>MAX(0,MIN('Activities'!L90,66)-MAX('Activities'!K90,60))</x:f>
        <x:v>0</x:v>
      </x:c>
      <x:c r="P90" s="22" t="n">
        <x:f>MAX(0,MIN('Activities'!L90,72)-MAX('Activities'!K90,66))</x:f>
        <x:v>0</x:v>
      </x:c>
      <x:c r="Q90" s="22" t="n">
        <x:f>MAX(0,MIN('Activities'!L90,78)-MAX('Activities'!K90,72))</x:f>
        <x:v>0</x:v>
      </x:c>
      <x:c r="R90" s="22" t="n">
        <x:f>MAX(0,MIN('Activities'!L90,84)-MAX('Activities'!K90,78))</x:f>
        <x:v>0</x:v>
      </x:c>
      <x:c r="S90" s="22" t="n">
        <x:f>MAX(0,MIN('Activities'!L90,90)-MAX('Activities'!K90,84))</x:f>
        <x:v>0</x:v>
      </x:c>
      <x:c r="T90" s="22" t="n">
        <x:f>MAX(0,MIN('Activities'!L90,96)-MAX('Activities'!K90,90))</x:f>
        <x:v>0</x:v>
      </x:c>
      <x:c r="U90" s="22" t="n">
        <x:f>MAX(0,MIN('Activities'!L90,102)-MAX('Activities'!K90,96))</x:f>
        <x:v>0</x:v>
      </x:c>
      <x:c r="V90" s="22" t="n">
        <x:f>MAX(0,MIN('Activities'!L90,108)-MAX('Activities'!K90,102))</x:f>
        <x:v>0</x:v>
      </x:c>
      <x:c r="W90" s="22" t="n">
        <x:f>MAX(0,MIN('Activities'!L90,114)-MAX('Activities'!K90,108))</x:f>
        <x:v>0</x:v>
      </x:c>
      <x:c r="X90" s="22" t="n">
        <x:f>MAX(0,MIN('Activities'!L90,120)-MAX('Activities'!K90,114))</x:f>
        <x:v>0</x:v>
      </x:c>
      <x:c r="Y90" s="22" t="n">
        <x:f>MAX(0,MIN('Activities'!L90,126)-MAX('Activities'!K90,120))</x:f>
        <x:v>0</x:v>
      </x:c>
      <x:c r="Z90" s="22" t="n">
        <x:f>MAX(0,MIN('Activities'!L90,132)-MAX('Activities'!K90,126))</x:f>
        <x:v>0</x:v>
      </x:c>
      <x:c r="AA90" s="22" t="n">
        <x:f>MAX(0,MIN('Activities'!L90,138)-MAX('Activities'!K90,132))</x:f>
        <x:v>0</x:v>
      </x:c>
      <x:c r="AB90" s="22" t="n">
        <x:f>MAX(0,MIN('Activities'!L90,144)-MAX('Activities'!K90,138))</x:f>
        <x:v>0</x:v>
      </x:c>
      <x:c r="AC90" s="22" t="n">
        <x:f>MAX(0,MIN('Activities'!L90,150)-MAX('Activities'!K90,144))</x:f>
        <x:v>0</x:v>
      </x:c>
      <x:c r="AD90" s="22" t="n">
        <x:f>MAX(0,MIN('Activities'!L90,156)-MAX('Activities'!K90,150))</x:f>
        <x:v>0</x:v>
      </x:c>
      <x:c r="AE90" s="22" t="n">
        <x:f>MAX(0,MIN('Activities'!L90,162)-MAX('Activities'!K90,156))</x:f>
        <x:v>0</x:v>
      </x:c>
      <x:c r="AF90" s="22" t="n">
        <x:f>MAX(0,MIN('Activities'!L90,168)-MAX('Activities'!K90,162))</x:f>
        <x:v>0</x:v>
      </x:c>
      <x:c r="AG90" s="22" t="n">
        <x:f>MAX(0,MIN('Activities'!L90,174)-MAX('Activities'!K90,168))</x:f>
        <x:v>0</x:v>
      </x:c>
      <x:c r="AH90" s="22" t="n">
        <x:f>MAX(0,MIN('Activities'!L90,180)-MAX('Activities'!K90,174))</x:f>
        <x:v>0</x:v>
      </x:c>
      <x:c r="AI90" s="22" t="n">
        <x:f>MAX(0,MIN('Activities'!L90,186)-MAX('Activities'!K90,180))</x:f>
        <x:v>0</x:v>
      </x:c>
      <x:c r="AJ90" s="22" t="n">
        <x:f>MAX(0,MIN('Activities'!L90,192)-MAX('Activities'!K90,186))</x:f>
        <x:v>0</x:v>
      </x:c>
      <x:c r="AK90" s="22" t="n">
        <x:f>MAX(0,MIN('Activities'!L90,198)-MAX('Activities'!K90,192))</x:f>
        <x:v>0</x:v>
      </x:c>
      <x:c r="AL90" s="22" t="n">
        <x:f>MAX(0,MIN('Activities'!L90,204)-MAX('Activities'!K90,198))</x:f>
        <x:v>0</x:v>
      </x:c>
      <x:c r="AM90" s="22" t="n">
        <x:f>MAX(0,MIN('Activities'!L90,210)-MAX('Activities'!K90,204))</x:f>
        <x:v>0</x:v>
      </x:c>
      <x:c r="AN90" s="22" t="n">
        <x:f>MAX(0,MIN('Activities'!L90,216)-MAX('Activities'!K90,210))</x:f>
        <x:v>0</x:v>
      </x:c>
      <x:c r="AO90" s="22" t="n">
        <x:f>MAX(0,MIN('Activities'!L90,222)-MAX('Activities'!K90,216))</x:f>
        <x:v>0</x:v>
      </x:c>
      <x:c r="AP90" s="22" t="n">
        <x:f>MAX(0,MIN('Activities'!L90,228)-MAX('Activities'!K90,222))</x:f>
        <x:v>0</x:v>
      </x:c>
      <x:c r="AQ90" s="22" t="n">
        <x:f>MAX(0,MIN('Activities'!L90,234)-MAX('Activities'!K90,228))</x:f>
        <x:v>0</x:v>
      </x:c>
      <x:c r="AR90" s="22" t="n">
        <x:f>MAX(0,MIN('Activities'!L90,240)-MAX('Activities'!K90,234))</x:f>
        <x:v>0</x:v>
      </x:c>
      <x:c r="AS90" s="22" t="n">
        <x:f>MAX(0,MIN('Activities'!L90,246)-MAX('Activities'!K90,240))</x:f>
        <x:v>0</x:v>
      </x:c>
      <x:c r="AT90" s="22" t="n">
        <x:f>MAX(0,MIN('Activities'!L90,252)-MAX('Activities'!K90,246))</x:f>
        <x:v>0</x:v>
      </x:c>
      <x:c r="AU90" s="22" t="n">
        <x:f>MAX(0,MIN('Activities'!L90,258)-MAX('Activities'!K90,252))</x:f>
        <x:v>0</x:v>
      </x:c>
      <x:c r="AV90" s="22" t="n">
        <x:f>MAX(0,MIN('Activities'!L90,264)-MAX('Activities'!K90,258))</x:f>
        <x:v>0</x:v>
      </x:c>
      <x:c r="AW90" s="22" t="n">
        <x:f>MAX(0,MIN('Activities'!L90,270)-MAX('Activities'!K90,264))</x:f>
        <x:v>0</x:v>
      </x:c>
      <x:c r="AX90" s="22" t="n">
        <x:f>MAX(0,MIN('Activities'!L90,276)-MAX('Activities'!K90,270))</x:f>
        <x:v>3</x:v>
      </x:c>
      <x:c r="AY90" s="22" t="n">
        <x:f>MAX(0,MIN('Activities'!L90,282)-MAX('Activities'!K90,276))</x:f>
        <x:v>3</x:v>
      </x:c>
      <x:c r="AZ90" s="22" t="n">
        <x:f>MAX(0,MIN('Activities'!L90,288)-MAX('Activities'!K90,282))</x:f>
        <x:v>0</x:v>
      </x:c>
      <x:c r="BA90" s="22" t="n">
        <x:f>MAX(0,MIN('Activities'!L90,294)-MAX('Activities'!K90,288))</x:f>
        <x:v>0</x:v>
      </x:c>
      <x:c r="BB90" s="22" t="n">
        <x:f>MAX(0,MIN('Activities'!L90,300)-MAX('Activities'!K90,294))</x:f>
        <x:v>0</x:v>
      </x:c>
      <x:c r="BC90" s="22" t="n">
        <x:f>MAX(0,MIN('Activities'!L90,306)-MAX('Activities'!K90,300))</x:f>
        <x:v>0</x:v>
      </x:c>
      <x:c r="BD90" s="22" t="n">
        <x:f>MAX(0,MIN('Activities'!L90,312)-MAX('Activities'!K90,306))</x:f>
        <x:v>0</x:v>
      </x:c>
      <x:c r="BE90" s="22" t="n">
        <x:f>MAX(0,MIN('Activities'!L90,318)-MAX('Activities'!K90,312))</x:f>
        <x:v>0</x:v>
      </x:c>
      <x:c r="BF90" s="22" t="n">
        <x:f>MAX(0,MIN('Activities'!L90,324)-MAX('Activities'!K90,318))</x:f>
        <x:v>0</x:v>
      </x:c>
      <x:c r="BG90" s="22" t="n">
        <x:f>MAX(0,MIN('Activities'!L90,330)-MAX('Activities'!K90,324))</x:f>
        <x:v>0</x:v>
      </x:c>
      <x:c r="BH90" s="22" t="n">
        <x:f>MAX(0,MIN('Activities'!L90,336)-MAX('Activities'!K90,330))</x:f>
        <x:v>0</x:v>
      </x:c>
      <x:c r="BI90" s="22" t="n">
        <x:f>MAX(0,MIN('Activities'!L90,342)-MAX('Activities'!K90,336))</x:f>
        <x:v>0</x:v>
      </x:c>
      <x:c r="BJ90" s="22" t="n">
        <x:f>MAX(0,MIN('Activities'!L90,348)-MAX('Activities'!K90,342))</x:f>
        <x:v>0</x:v>
      </x:c>
      <x:c r="BK90" s="22" t="n">
        <x:f>MAX(0,MIN('Activities'!L90,354)-MAX('Activities'!K90,348))</x:f>
        <x:v>0</x:v>
      </x:c>
      <x:c r="BL90" s="22" t="n">
        <x:f>MAX(0,MIN('Activities'!L90,360)-MAX('Activities'!K90,354))</x:f>
        <x:v>0</x:v>
      </x:c>
      <x:c r="BM90" s="22" t="n">
        <x:f>MAX(0,MIN('Activities'!L90,366)-MAX('Activities'!K90,360))</x:f>
        <x:v>0</x:v>
      </x:c>
      <x:c r="BN90" s="22" t="n">
        <x:f>MAX(0,MIN('Activities'!L90,372)-MAX('Activities'!K90,366))</x:f>
        <x:v>0</x:v>
      </x:c>
      <x:c r="BO90" s="22" t="n">
        <x:f>MAX(0,MIN('Activities'!L90,378)-MAX('Activities'!K90,372))</x:f>
        <x:v>0</x:v>
      </x:c>
      <x:c r="BP90" s="22" t="n">
        <x:f>MAX(0,MIN('Activities'!L90,384)-MAX('Activities'!K90,378))</x:f>
        <x:v>0</x:v>
      </x:c>
      <x:c r="BQ90" s="22" t="n">
        <x:f>MAX(0,MIN('Activities'!L90,390)-MAX('Activities'!K90,384))</x:f>
        <x:v>0</x:v>
      </x:c>
      <x:c r="BR90" s="22" t="n">
        <x:f>MAX(0,MIN('Activities'!L90,396)-MAX('Activities'!K90,390))</x:f>
        <x:v>0</x:v>
      </x:c>
      <x:c r="BS90" s="22" t="n">
        <x:f>MAX(0,MIN('Activities'!L90,402)-MAX('Activities'!K90,396))</x:f>
        <x:v>0</x:v>
      </x:c>
      <x:c r="BT90" s="22" t="n">
        <x:f>MAX(0,MIN('Activities'!L90,408)-MAX('Activities'!K90,402))</x:f>
        <x:v>0</x:v>
      </x:c>
      <x:c r="BU90" s="22" t="n">
        <x:f>MAX(0,MIN('Activities'!L90,414)-MAX('Activities'!K90,408))</x:f>
        <x:v>0</x:v>
      </x:c>
      <x:c r="BV90" s="22" t="n">
        <x:f>MAX(0,MIN('Activities'!L90,420)-MAX('Activities'!K90,414))</x:f>
        <x:v>0</x:v>
      </x:c>
      <x:c r="BW90" s="22" t="n">
        <x:f>MAX(0,MIN('Activities'!L90,426)-MAX('Activities'!K90,420))</x:f>
        <x:v>0</x:v>
      </x:c>
      <x:c r="BX90" s="22" t="n">
        <x:f>MAX(0,MIN('Activities'!L90,432)-MAX('Activities'!K90,426))</x:f>
        <x:v>0</x:v>
      </x:c>
      <x:c r="BY90" s="22" t="n">
        <x:f>MAX(0,MIN('Activities'!L90,438)-MAX('Activities'!K90,432))</x:f>
        <x:v>0</x:v>
      </x:c>
      <x:c r="BZ90" s="22" t="n">
        <x:f>MAX(0,MIN('Activities'!L90,444)-MAX('Activities'!K90,438))</x:f>
        <x:v>0</x:v>
      </x:c>
      <x:c r="CA90" s="22" t="n">
        <x:f>MAX(0,MIN('Activities'!L90,450)-MAX('Activities'!K90,444))</x:f>
        <x:v>0</x:v>
      </x:c>
      <x:c r="CB90" s="22" t="n">
        <x:f>MAX(0,MIN('Activities'!L90,456)-MAX('Activities'!K90,450))</x:f>
        <x:v>0</x:v>
      </x:c>
      <x:c r="CC90" s="22" t="n">
        <x:f>MAX(0,MIN('Activities'!L90,462)-MAX('Activities'!K90,456))</x:f>
        <x:v>0</x:v>
      </x:c>
      <x:c r="CD90" s="22" t="n">
        <x:f>MAX(0,MIN('Activities'!L90,468)-MAX('Activities'!K90,462))</x:f>
        <x:v>0</x:v>
      </x:c>
      <x:c r="CE90" s="22" t="n">
        <x:f>MAX(0,MIN('Activities'!L90,474)-MAX('Activities'!K90,468))</x:f>
        <x:v>0</x:v>
      </x:c>
      <x:c r="CF90" s="22" t="n">
        <x:f>MAX(0,MIN('Activities'!L90,480)-MAX('Activities'!K90,474))</x:f>
        <x:v>0</x:v>
      </x:c>
      <x:c r="CG90" s="22" t="n">
        <x:f>MAX(0,MIN('Activities'!L90,486)-MAX('Activities'!K90,480))</x:f>
        <x:v>0</x:v>
      </x:c>
      <x:c r="CH90" s="22" t="n">
        <x:f>MAX(0,MIN('Activities'!L90,492)-MAX('Activities'!K90,486))</x:f>
        <x:v>0</x:v>
      </x:c>
      <x:c r="CI90" s="22" t="n">
        <x:f>MAX(0,MIN('Activities'!L90,498)-MAX('Activities'!K90,492))</x:f>
        <x:v>0</x:v>
      </x:c>
      <x:c r="CJ90" s="22" t="n">
        <x:f>MAX(0,MIN('Activities'!L90,504)-MAX('Activities'!K90,498))</x:f>
        <x:v>0</x:v>
      </x:c>
      <x:c r="CK90" s="22" t="n">
        <x:f>MAX(0,MIN('Activities'!L90,510)-MAX('Activities'!K90,504))</x:f>
        <x:v>0</x:v>
      </x:c>
      <x:c r="CL90" s="22" t="n">
        <x:f>MAX(0,MIN('Activities'!L90,516)-MAX('Activities'!K90,510))</x:f>
        <x:v>0</x:v>
      </x:c>
      <x:c r="CM90" s="22" t="n">
        <x:f>MAX(0,MIN('Activities'!L90,522)-MAX('Activities'!K90,516))</x:f>
        <x:v>0</x:v>
      </x:c>
      <x:c r="CN90" s="22" t="n">
        <x:f>MAX(0,MIN('Activities'!L90,528)-MAX('Activities'!K90,522))</x:f>
        <x:v>0</x:v>
      </x:c>
      <x:c r="CO90" s="22" t="n">
        <x:f>MAX(0,MIN('Activities'!L90,534)-MAX('Activities'!K90,528))</x:f>
        <x:v>0</x:v>
      </x:c>
      <x:c r="CP90" s="22" t="n">
        <x:f>MAX(0,MIN('Activities'!L90,540)-MAX('Activities'!K90,534))</x:f>
        <x:v>0</x:v>
      </x:c>
      <x:c r="CQ90" s="22" t="n">
        <x:f>MAX(0,MIN('Activities'!L90,546)-MAX('Activities'!K90,540))</x:f>
        <x:v>0</x:v>
      </x:c>
      <x:c r="CR90" s="22" t="n">
        <x:f>MAX(0,MIN('Activities'!L90,552)-MAX('Activities'!K90,546))</x:f>
        <x:v>0</x:v>
      </x:c>
      <x:c r="CS90" s="22" t="n">
        <x:f>MAX(0,MIN('Activities'!L90,558)-MAX('Activities'!K90,552))</x:f>
        <x:v>0</x:v>
      </x:c>
      <x:c r="CT90" s="22" t="n">
        <x:f>MAX(0,MIN('Activities'!L90,564)-MAX('Activities'!K90,558))</x:f>
        <x:v>0</x:v>
      </x:c>
      <x:c r="CU90" s="22" t="n">
        <x:f>MAX(0,MIN('Activities'!L90,570)-MAX('Activities'!K90,564))</x:f>
        <x:v>0</x:v>
      </x:c>
      <x:c r="CV90" s="22" t="n">
        <x:f>MAX(0,MIN('Activities'!L90,576)-MAX('Activities'!K90,570))</x:f>
        <x:v>0</x:v>
      </x:c>
      <x:c r="CW90" s="22" t="n">
        <x:f>MAX(0,MIN('Activities'!L90,582)-MAX('Activities'!K90,576))</x:f>
        <x:v>0</x:v>
      </x:c>
      <x:c r="CX90" s="22" t="n">
        <x:f>MAX(0,MIN('Activities'!L90,588)-MAX('Activities'!K90,582))</x:f>
        <x:v>0</x:v>
      </x:c>
      <x:c r="CY90" s="22" t="n">
        <x:f>MAX(0,MIN('Activities'!L90,594)-MAX('Activities'!K90,588))</x:f>
        <x:v>0</x:v>
      </x:c>
      <x:c r="CZ90" s="22" t="n">
        <x:f>MAX(0,MIN('Activities'!L90,600)-MAX('Activities'!K90,594))</x:f>
        <x:v>0</x:v>
      </x:c>
      <x:c r="DA90" s="22" t="n">
        <x:f>MAX(0,MIN('Activities'!L90,606)-MAX('Activities'!K90,600))</x:f>
        <x:v>0</x:v>
      </x:c>
      <x:c r="DB90" s="22" t="n">
        <x:f>MAX(0,MIN('Activities'!L90,612)-MAX('Activities'!K90,606))</x:f>
        <x:v>0</x:v>
      </x:c>
      <x:c r="DC90" s="22" t="n">
        <x:f>MAX(0,MIN('Activities'!L90,618)-MAX('Activities'!K90,612))</x:f>
        <x:v>0</x:v>
      </x:c>
      <x:c r="DD90" s="22" t="n">
        <x:f>MAX(0,MIN('Activities'!L90,624)-MAX('Activities'!K90,618))</x:f>
        <x:v>0</x:v>
      </x:c>
      <x:c r="DE90" s="22" t="n">
        <x:f>MAX(0,MIN('Activities'!L90,630)-MAX('Activities'!K90,624))</x:f>
        <x:v>0</x:v>
      </x:c>
      <x:c r="DF90" s="22" t="n">
        <x:f>MAX(0,MIN('Activities'!L90,636)-MAX('Activities'!K90,630))</x:f>
        <x:v>0</x:v>
      </x:c>
    </x:row>
    <x:row r="91" ht="23" customHeight="1">
      <x:c r="A91" s="1" t="str">
        <x:v>T1-L03-S</x:v>
      </x:c>
      <x:c r="B91" s="1" t="str">
        <x:v>T1</x:v>
      </x:c>
      <x:c r="C91" s="1" t="str">
        <x:v>Screed and substrate preparation</x:v>
      </x:c>
      <x:c r="D91" s="1" t="str">
        <x:v>Finishes</x:v>
      </x:c>
      <x:c r="E91" s="23" t="n">
        <x:f>MAX(0,MIN('Activities'!L91,6)-MAX('Activities'!K91,0))</x:f>
        <x:v>0</x:v>
      </x:c>
      <x:c r="F91" s="23" t="n">
        <x:f>MAX(0,MIN('Activities'!L91,12)-MAX('Activities'!K91,6))</x:f>
        <x:v>0</x:v>
      </x:c>
      <x:c r="G91" s="23" t="n">
        <x:f>MAX(0,MIN('Activities'!L91,18)-MAX('Activities'!K91,12))</x:f>
        <x:v>0</x:v>
      </x:c>
      <x:c r="H91" s="23" t="n">
        <x:f>MAX(0,MIN('Activities'!L91,24)-MAX('Activities'!K91,18))</x:f>
        <x:v>0</x:v>
      </x:c>
      <x:c r="I91" s="23" t="n">
        <x:f>MAX(0,MIN('Activities'!L91,30)-MAX('Activities'!K91,24))</x:f>
        <x:v>0</x:v>
      </x:c>
      <x:c r="J91" s="23" t="n">
        <x:f>MAX(0,MIN('Activities'!L91,36)-MAX('Activities'!K91,30))</x:f>
        <x:v>0</x:v>
      </x:c>
      <x:c r="K91" s="23" t="n">
        <x:f>MAX(0,MIN('Activities'!L91,42)-MAX('Activities'!K91,36))</x:f>
        <x:v>0</x:v>
      </x:c>
      <x:c r="L91" s="23" t="n">
        <x:f>MAX(0,MIN('Activities'!L91,48)-MAX('Activities'!K91,42))</x:f>
        <x:v>0</x:v>
      </x:c>
      <x:c r="M91" s="23" t="n">
        <x:f>MAX(0,MIN('Activities'!L91,54)-MAX('Activities'!K91,48))</x:f>
        <x:v>0</x:v>
      </x:c>
      <x:c r="N91" s="23" t="n">
        <x:f>MAX(0,MIN('Activities'!L91,60)-MAX('Activities'!K91,54))</x:f>
        <x:v>0</x:v>
      </x:c>
      <x:c r="O91" s="23" t="n">
        <x:f>MAX(0,MIN('Activities'!L91,66)-MAX('Activities'!K91,60))</x:f>
        <x:v>0</x:v>
      </x:c>
      <x:c r="P91" s="23" t="n">
        <x:f>MAX(0,MIN('Activities'!L91,72)-MAX('Activities'!K91,66))</x:f>
        <x:v>0</x:v>
      </x:c>
      <x:c r="Q91" s="23" t="n">
        <x:f>MAX(0,MIN('Activities'!L91,78)-MAX('Activities'!K91,72))</x:f>
        <x:v>0</x:v>
      </x:c>
      <x:c r="R91" s="23" t="n">
        <x:f>MAX(0,MIN('Activities'!L91,84)-MAX('Activities'!K91,78))</x:f>
        <x:v>0</x:v>
      </x:c>
      <x:c r="S91" s="23" t="n">
        <x:f>MAX(0,MIN('Activities'!L91,90)-MAX('Activities'!K91,84))</x:f>
        <x:v>0</x:v>
      </x:c>
      <x:c r="T91" s="23" t="n">
        <x:f>MAX(0,MIN('Activities'!L91,96)-MAX('Activities'!K91,90))</x:f>
        <x:v>0</x:v>
      </x:c>
      <x:c r="U91" s="23" t="n">
        <x:f>MAX(0,MIN('Activities'!L91,102)-MAX('Activities'!K91,96))</x:f>
        <x:v>0</x:v>
      </x:c>
      <x:c r="V91" s="23" t="n">
        <x:f>MAX(0,MIN('Activities'!L91,108)-MAX('Activities'!K91,102))</x:f>
        <x:v>0</x:v>
      </x:c>
      <x:c r="W91" s="23" t="n">
        <x:f>MAX(0,MIN('Activities'!L91,114)-MAX('Activities'!K91,108))</x:f>
        <x:v>0</x:v>
      </x:c>
      <x:c r="X91" s="23" t="n">
        <x:f>MAX(0,MIN('Activities'!L91,120)-MAX('Activities'!K91,114))</x:f>
        <x:v>0</x:v>
      </x:c>
      <x:c r="Y91" s="23" t="n">
        <x:f>MAX(0,MIN('Activities'!L91,126)-MAX('Activities'!K91,120))</x:f>
        <x:v>0</x:v>
      </x:c>
      <x:c r="Z91" s="23" t="n">
        <x:f>MAX(0,MIN('Activities'!L91,132)-MAX('Activities'!K91,126))</x:f>
        <x:v>0</x:v>
      </x:c>
      <x:c r="AA91" s="23" t="n">
        <x:f>MAX(0,MIN('Activities'!L91,138)-MAX('Activities'!K91,132))</x:f>
        <x:v>0</x:v>
      </x:c>
      <x:c r="AB91" s="23" t="n">
        <x:f>MAX(0,MIN('Activities'!L91,144)-MAX('Activities'!K91,138))</x:f>
        <x:v>0</x:v>
      </x:c>
      <x:c r="AC91" s="23" t="n">
        <x:f>MAX(0,MIN('Activities'!L91,150)-MAX('Activities'!K91,144))</x:f>
        <x:v>0</x:v>
      </x:c>
      <x:c r="AD91" s="23" t="n">
        <x:f>MAX(0,MIN('Activities'!L91,156)-MAX('Activities'!K91,150))</x:f>
        <x:v>0</x:v>
      </x:c>
      <x:c r="AE91" s="23" t="n">
        <x:f>MAX(0,MIN('Activities'!L91,162)-MAX('Activities'!K91,156))</x:f>
        <x:v>0</x:v>
      </x:c>
      <x:c r="AF91" s="23" t="n">
        <x:f>MAX(0,MIN('Activities'!L91,168)-MAX('Activities'!K91,162))</x:f>
        <x:v>0</x:v>
      </x:c>
      <x:c r="AG91" s="23" t="n">
        <x:f>MAX(0,MIN('Activities'!L91,174)-MAX('Activities'!K91,168))</x:f>
        <x:v>0</x:v>
      </x:c>
      <x:c r="AH91" s="23" t="n">
        <x:f>MAX(0,MIN('Activities'!L91,180)-MAX('Activities'!K91,174))</x:f>
        <x:v>0</x:v>
      </x:c>
      <x:c r="AI91" s="23" t="n">
        <x:f>MAX(0,MIN('Activities'!L91,186)-MAX('Activities'!K91,180))</x:f>
        <x:v>0</x:v>
      </x:c>
      <x:c r="AJ91" s="23" t="n">
        <x:f>MAX(0,MIN('Activities'!L91,192)-MAX('Activities'!K91,186))</x:f>
        <x:v>0</x:v>
      </x:c>
      <x:c r="AK91" s="23" t="n">
        <x:f>MAX(0,MIN('Activities'!L91,198)-MAX('Activities'!K91,192))</x:f>
        <x:v>0</x:v>
      </x:c>
      <x:c r="AL91" s="23" t="n">
        <x:f>MAX(0,MIN('Activities'!L91,204)-MAX('Activities'!K91,198))</x:f>
        <x:v>0</x:v>
      </x:c>
      <x:c r="AM91" s="23" t="n">
        <x:f>MAX(0,MIN('Activities'!L91,210)-MAX('Activities'!K91,204))</x:f>
        <x:v>0</x:v>
      </x:c>
      <x:c r="AN91" s="23" t="n">
        <x:f>MAX(0,MIN('Activities'!L91,216)-MAX('Activities'!K91,210))</x:f>
        <x:v>0</x:v>
      </x:c>
      <x:c r="AO91" s="23" t="n">
        <x:f>MAX(0,MIN('Activities'!L91,222)-MAX('Activities'!K91,216))</x:f>
        <x:v>0</x:v>
      </x:c>
      <x:c r="AP91" s="23" t="n">
        <x:f>MAX(0,MIN('Activities'!L91,228)-MAX('Activities'!K91,222))</x:f>
        <x:v>0</x:v>
      </x:c>
      <x:c r="AQ91" s="23" t="n">
        <x:f>MAX(0,MIN('Activities'!L91,234)-MAX('Activities'!K91,228))</x:f>
        <x:v>0</x:v>
      </x:c>
      <x:c r="AR91" s="23" t="n">
        <x:f>MAX(0,MIN('Activities'!L91,240)-MAX('Activities'!K91,234))</x:f>
        <x:v>0</x:v>
      </x:c>
      <x:c r="AS91" s="23" t="n">
        <x:f>MAX(0,MIN('Activities'!L91,246)-MAX('Activities'!K91,240))</x:f>
        <x:v>0</x:v>
      </x:c>
      <x:c r="AT91" s="23" t="n">
        <x:f>MAX(0,MIN('Activities'!L91,252)-MAX('Activities'!K91,246))</x:f>
        <x:v>0</x:v>
      </x:c>
      <x:c r="AU91" s="23" t="n">
        <x:f>MAX(0,MIN('Activities'!L91,258)-MAX('Activities'!K91,252))</x:f>
        <x:v>0</x:v>
      </x:c>
      <x:c r="AV91" s="23" t="n">
        <x:f>MAX(0,MIN('Activities'!L91,264)-MAX('Activities'!K91,258))</x:f>
        <x:v>0</x:v>
      </x:c>
      <x:c r="AW91" s="23" t="n">
        <x:f>MAX(0,MIN('Activities'!L91,270)-MAX('Activities'!K91,264))</x:f>
        <x:v>0</x:v>
      </x:c>
      <x:c r="AX91" s="23" t="n">
        <x:f>MAX(0,MIN('Activities'!L91,276)-MAX('Activities'!K91,270))</x:f>
        <x:v>0</x:v>
      </x:c>
      <x:c r="AY91" s="23" t="n">
        <x:f>MAX(0,MIN('Activities'!L91,282)-MAX('Activities'!K91,276))</x:f>
        <x:v>1</x:v>
      </x:c>
      <x:c r="AZ91" s="23" t="n">
        <x:f>MAX(0,MIN('Activities'!L91,288)-MAX('Activities'!K91,282))</x:f>
        <x:v>2</x:v>
      </x:c>
      <x:c r="BA91" s="23" t="n">
        <x:f>MAX(0,MIN('Activities'!L91,294)-MAX('Activities'!K91,288))</x:f>
        <x:v>0</x:v>
      </x:c>
      <x:c r="BB91" s="23" t="n">
        <x:f>MAX(0,MIN('Activities'!L91,300)-MAX('Activities'!K91,294))</x:f>
        <x:v>0</x:v>
      </x:c>
      <x:c r="BC91" s="23" t="n">
        <x:f>MAX(0,MIN('Activities'!L91,306)-MAX('Activities'!K91,300))</x:f>
        <x:v>0</x:v>
      </x:c>
      <x:c r="BD91" s="23" t="n">
        <x:f>MAX(0,MIN('Activities'!L91,312)-MAX('Activities'!K91,306))</x:f>
        <x:v>0</x:v>
      </x:c>
      <x:c r="BE91" s="23" t="n">
        <x:f>MAX(0,MIN('Activities'!L91,318)-MAX('Activities'!K91,312))</x:f>
        <x:v>0</x:v>
      </x:c>
      <x:c r="BF91" s="23" t="n">
        <x:f>MAX(0,MIN('Activities'!L91,324)-MAX('Activities'!K91,318))</x:f>
        <x:v>0</x:v>
      </x:c>
      <x:c r="BG91" s="23" t="n">
        <x:f>MAX(0,MIN('Activities'!L91,330)-MAX('Activities'!K91,324))</x:f>
        <x:v>0</x:v>
      </x:c>
      <x:c r="BH91" s="23" t="n">
        <x:f>MAX(0,MIN('Activities'!L91,336)-MAX('Activities'!K91,330))</x:f>
        <x:v>0</x:v>
      </x:c>
      <x:c r="BI91" s="23" t="n">
        <x:f>MAX(0,MIN('Activities'!L91,342)-MAX('Activities'!K91,336))</x:f>
        <x:v>0</x:v>
      </x:c>
      <x:c r="BJ91" s="23" t="n">
        <x:f>MAX(0,MIN('Activities'!L91,348)-MAX('Activities'!K91,342))</x:f>
        <x:v>0</x:v>
      </x:c>
      <x:c r="BK91" s="23" t="n">
        <x:f>MAX(0,MIN('Activities'!L91,354)-MAX('Activities'!K91,348))</x:f>
        <x:v>0</x:v>
      </x:c>
      <x:c r="BL91" s="23" t="n">
        <x:f>MAX(0,MIN('Activities'!L91,360)-MAX('Activities'!K91,354))</x:f>
        <x:v>0</x:v>
      </x:c>
      <x:c r="BM91" s="23" t="n">
        <x:f>MAX(0,MIN('Activities'!L91,366)-MAX('Activities'!K91,360))</x:f>
        <x:v>0</x:v>
      </x:c>
      <x:c r="BN91" s="23" t="n">
        <x:f>MAX(0,MIN('Activities'!L91,372)-MAX('Activities'!K91,366))</x:f>
        <x:v>0</x:v>
      </x:c>
      <x:c r="BO91" s="23" t="n">
        <x:f>MAX(0,MIN('Activities'!L91,378)-MAX('Activities'!K91,372))</x:f>
        <x:v>0</x:v>
      </x:c>
      <x:c r="BP91" s="23" t="n">
        <x:f>MAX(0,MIN('Activities'!L91,384)-MAX('Activities'!K91,378))</x:f>
        <x:v>0</x:v>
      </x:c>
      <x:c r="BQ91" s="23" t="n">
        <x:f>MAX(0,MIN('Activities'!L91,390)-MAX('Activities'!K91,384))</x:f>
        <x:v>0</x:v>
      </x:c>
      <x:c r="BR91" s="23" t="n">
        <x:f>MAX(0,MIN('Activities'!L91,396)-MAX('Activities'!K91,390))</x:f>
        <x:v>0</x:v>
      </x:c>
      <x:c r="BS91" s="23" t="n">
        <x:f>MAX(0,MIN('Activities'!L91,402)-MAX('Activities'!K91,396))</x:f>
        <x:v>0</x:v>
      </x:c>
      <x:c r="BT91" s="23" t="n">
        <x:f>MAX(0,MIN('Activities'!L91,408)-MAX('Activities'!K91,402))</x:f>
        <x:v>0</x:v>
      </x:c>
      <x:c r="BU91" s="23" t="n">
        <x:f>MAX(0,MIN('Activities'!L91,414)-MAX('Activities'!K91,408))</x:f>
        <x:v>0</x:v>
      </x:c>
      <x:c r="BV91" s="23" t="n">
        <x:f>MAX(0,MIN('Activities'!L91,420)-MAX('Activities'!K91,414))</x:f>
        <x:v>0</x:v>
      </x:c>
      <x:c r="BW91" s="23" t="n">
        <x:f>MAX(0,MIN('Activities'!L91,426)-MAX('Activities'!K91,420))</x:f>
        <x:v>0</x:v>
      </x:c>
      <x:c r="BX91" s="23" t="n">
        <x:f>MAX(0,MIN('Activities'!L91,432)-MAX('Activities'!K91,426))</x:f>
        <x:v>0</x:v>
      </x:c>
      <x:c r="BY91" s="23" t="n">
        <x:f>MAX(0,MIN('Activities'!L91,438)-MAX('Activities'!K91,432))</x:f>
        <x:v>0</x:v>
      </x:c>
      <x:c r="BZ91" s="23" t="n">
        <x:f>MAX(0,MIN('Activities'!L91,444)-MAX('Activities'!K91,438))</x:f>
        <x:v>0</x:v>
      </x:c>
      <x:c r="CA91" s="23" t="n">
        <x:f>MAX(0,MIN('Activities'!L91,450)-MAX('Activities'!K91,444))</x:f>
        <x:v>0</x:v>
      </x:c>
      <x:c r="CB91" s="23" t="n">
        <x:f>MAX(0,MIN('Activities'!L91,456)-MAX('Activities'!K91,450))</x:f>
        <x:v>0</x:v>
      </x:c>
      <x:c r="CC91" s="23" t="n">
        <x:f>MAX(0,MIN('Activities'!L91,462)-MAX('Activities'!K91,456))</x:f>
        <x:v>0</x:v>
      </x:c>
      <x:c r="CD91" s="23" t="n">
        <x:f>MAX(0,MIN('Activities'!L91,468)-MAX('Activities'!K91,462))</x:f>
        <x:v>0</x:v>
      </x:c>
      <x:c r="CE91" s="23" t="n">
        <x:f>MAX(0,MIN('Activities'!L91,474)-MAX('Activities'!K91,468))</x:f>
        <x:v>0</x:v>
      </x:c>
      <x:c r="CF91" s="23" t="n">
        <x:f>MAX(0,MIN('Activities'!L91,480)-MAX('Activities'!K91,474))</x:f>
        <x:v>0</x:v>
      </x:c>
      <x:c r="CG91" s="23" t="n">
        <x:f>MAX(0,MIN('Activities'!L91,486)-MAX('Activities'!K91,480))</x:f>
        <x:v>0</x:v>
      </x:c>
      <x:c r="CH91" s="23" t="n">
        <x:f>MAX(0,MIN('Activities'!L91,492)-MAX('Activities'!K91,486))</x:f>
        <x:v>0</x:v>
      </x:c>
      <x:c r="CI91" s="23" t="n">
        <x:f>MAX(0,MIN('Activities'!L91,498)-MAX('Activities'!K91,492))</x:f>
        <x:v>0</x:v>
      </x:c>
      <x:c r="CJ91" s="23" t="n">
        <x:f>MAX(0,MIN('Activities'!L91,504)-MAX('Activities'!K91,498))</x:f>
        <x:v>0</x:v>
      </x:c>
      <x:c r="CK91" s="23" t="n">
        <x:f>MAX(0,MIN('Activities'!L91,510)-MAX('Activities'!K91,504))</x:f>
        <x:v>0</x:v>
      </x:c>
      <x:c r="CL91" s="23" t="n">
        <x:f>MAX(0,MIN('Activities'!L91,516)-MAX('Activities'!K91,510))</x:f>
        <x:v>0</x:v>
      </x:c>
      <x:c r="CM91" s="23" t="n">
        <x:f>MAX(0,MIN('Activities'!L91,522)-MAX('Activities'!K91,516))</x:f>
        <x:v>0</x:v>
      </x:c>
      <x:c r="CN91" s="23" t="n">
        <x:f>MAX(0,MIN('Activities'!L91,528)-MAX('Activities'!K91,522))</x:f>
        <x:v>0</x:v>
      </x:c>
      <x:c r="CO91" s="23" t="n">
        <x:f>MAX(0,MIN('Activities'!L91,534)-MAX('Activities'!K91,528))</x:f>
        <x:v>0</x:v>
      </x:c>
      <x:c r="CP91" s="23" t="n">
        <x:f>MAX(0,MIN('Activities'!L91,540)-MAX('Activities'!K91,534))</x:f>
        <x:v>0</x:v>
      </x:c>
      <x:c r="CQ91" s="23" t="n">
        <x:f>MAX(0,MIN('Activities'!L91,546)-MAX('Activities'!K91,540))</x:f>
        <x:v>0</x:v>
      </x:c>
      <x:c r="CR91" s="23" t="n">
        <x:f>MAX(0,MIN('Activities'!L91,552)-MAX('Activities'!K91,546))</x:f>
        <x:v>0</x:v>
      </x:c>
      <x:c r="CS91" s="23" t="n">
        <x:f>MAX(0,MIN('Activities'!L91,558)-MAX('Activities'!K91,552))</x:f>
        <x:v>0</x:v>
      </x:c>
      <x:c r="CT91" s="23" t="n">
        <x:f>MAX(0,MIN('Activities'!L91,564)-MAX('Activities'!K91,558))</x:f>
        <x:v>0</x:v>
      </x:c>
      <x:c r="CU91" s="23" t="n">
        <x:f>MAX(0,MIN('Activities'!L91,570)-MAX('Activities'!K91,564))</x:f>
        <x:v>0</x:v>
      </x:c>
      <x:c r="CV91" s="23" t="n">
        <x:f>MAX(0,MIN('Activities'!L91,576)-MAX('Activities'!K91,570))</x:f>
        <x:v>0</x:v>
      </x:c>
      <x:c r="CW91" s="23" t="n">
        <x:f>MAX(0,MIN('Activities'!L91,582)-MAX('Activities'!K91,576))</x:f>
        <x:v>0</x:v>
      </x:c>
      <x:c r="CX91" s="23" t="n">
        <x:f>MAX(0,MIN('Activities'!L91,588)-MAX('Activities'!K91,582))</x:f>
        <x:v>0</x:v>
      </x:c>
      <x:c r="CY91" s="23" t="n">
        <x:f>MAX(0,MIN('Activities'!L91,594)-MAX('Activities'!K91,588))</x:f>
        <x:v>0</x:v>
      </x:c>
      <x:c r="CZ91" s="23" t="n">
        <x:f>MAX(0,MIN('Activities'!L91,600)-MAX('Activities'!K91,594))</x:f>
        <x:v>0</x:v>
      </x:c>
      <x:c r="DA91" s="23" t="n">
        <x:f>MAX(0,MIN('Activities'!L91,606)-MAX('Activities'!K91,600))</x:f>
        <x:v>0</x:v>
      </x:c>
      <x:c r="DB91" s="23" t="n">
        <x:f>MAX(0,MIN('Activities'!L91,612)-MAX('Activities'!K91,606))</x:f>
        <x:v>0</x:v>
      </x:c>
      <x:c r="DC91" s="23" t="n">
        <x:f>MAX(0,MIN('Activities'!L91,618)-MAX('Activities'!K91,612))</x:f>
        <x:v>0</x:v>
      </x:c>
      <x:c r="DD91" s="23" t="n">
        <x:f>MAX(0,MIN('Activities'!L91,624)-MAX('Activities'!K91,618))</x:f>
        <x:v>0</x:v>
      </x:c>
      <x:c r="DE91" s="23" t="n">
        <x:f>MAX(0,MIN('Activities'!L91,630)-MAX('Activities'!K91,624))</x:f>
        <x:v>0</x:v>
      </x:c>
      <x:c r="DF91" s="23" t="n">
        <x:f>MAX(0,MIN('Activities'!L91,636)-MAX('Activities'!K91,630))</x:f>
        <x:v>0</x:v>
      </x:c>
    </x:row>
    <x:row r="92" ht="23" customHeight="1">
      <x:c r="A92" s="6" t="str">
        <x:v>T1-L03-T</x:v>
      </x:c>
      <x:c r="B92" s="6" t="str">
        <x:v>T1</x:v>
      </x:c>
      <x:c r="C92" s="6" t="str">
        <x:v>Floor finishes and skirtings</x:v>
      </x:c>
      <x:c r="D92" s="6" t="str">
        <x:v>Finishes</x:v>
      </x:c>
      <x:c r="E92" s="22" t="n">
        <x:f>MAX(0,MIN('Activities'!L92,6)-MAX('Activities'!K92,0))</x:f>
        <x:v>0</x:v>
      </x:c>
      <x:c r="F92" s="22" t="n">
        <x:f>MAX(0,MIN('Activities'!L92,12)-MAX('Activities'!K92,6))</x:f>
        <x:v>0</x:v>
      </x:c>
      <x:c r="G92" s="22" t="n">
        <x:f>MAX(0,MIN('Activities'!L92,18)-MAX('Activities'!K92,12))</x:f>
        <x:v>0</x:v>
      </x:c>
      <x:c r="H92" s="22" t="n">
        <x:f>MAX(0,MIN('Activities'!L92,24)-MAX('Activities'!K92,18))</x:f>
        <x:v>0</x:v>
      </x:c>
      <x:c r="I92" s="22" t="n">
        <x:f>MAX(0,MIN('Activities'!L92,30)-MAX('Activities'!K92,24))</x:f>
        <x:v>0</x:v>
      </x:c>
      <x:c r="J92" s="22" t="n">
        <x:f>MAX(0,MIN('Activities'!L92,36)-MAX('Activities'!K92,30))</x:f>
        <x:v>0</x:v>
      </x:c>
      <x:c r="K92" s="22" t="n">
        <x:f>MAX(0,MIN('Activities'!L92,42)-MAX('Activities'!K92,36))</x:f>
        <x:v>0</x:v>
      </x:c>
      <x:c r="L92" s="22" t="n">
        <x:f>MAX(0,MIN('Activities'!L92,48)-MAX('Activities'!K92,42))</x:f>
        <x:v>0</x:v>
      </x:c>
      <x:c r="M92" s="22" t="n">
        <x:f>MAX(0,MIN('Activities'!L92,54)-MAX('Activities'!K92,48))</x:f>
        <x:v>0</x:v>
      </x:c>
      <x:c r="N92" s="22" t="n">
        <x:f>MAX(0,MIN('Activities'!L92,60)-MAX('Activities'!K92,54))</x:f>
        <x:v>0</x:v>
      </x:c>
      <x:c r="O92" s="22" t="n">
        <x:f>MAX(0,MIN('Activities'!L92,66)-MAX('Activities'!K92,60))</x:f>
        <x:v>0</x:v>
      </x:c>
      <x:c r="P92" s="22" t="n">
        <x:f>MAX(0,MIN('Activities'!L92,72)-MAX('Activities'!K92,66))</x:f>
        <x:v>0</x:v>
      </x:c>
      <x:c r="Q92" s="22" t="n">
        <x:f>MAX(0,MIN('Activities'!L92,78)-MAX('Activities'!K92,72))</x:f>
        <x:v>0</x:v>
      </x:c>
      <x:c r="R92" s="22" t="n">
        <x:f>MAX(0,MIN('Activities'!L92,84)-MAX('Activities'!K92,78))</x:f>
        <x:v>0</x:v>
      </x:c>
      <x:c r="S92" s="22" t="n">
        <x:f>MAX(0,MIN('Activities'!L92,90)-MAX('Activities'!K92,84))</x:f>
        <x:v>0</x:v>
      </x:c>
      <x:c r="T92" s="22" t="n">
        <x:f>MAX(0,MIN('Activities'!L92,96)-MAX('Activities'!K92,90))</x:f>
        <x:v>0</x:v>
      </x:c>
      <x:c r="U92" s="22" t="n">
        <x:f>MAX(0,MIN('Activities'!L92,102)-MAX('Activities'!K92,96))</x:f>
        <x:v>0</x:v>
      </x:c>
      <x:c r="V92" s="22" t="n">
        <x:f>MAX(0,MIN('Activities'!L92,108)-MAX('Activities'!K92,102))</x:f>
        <x:v>0</x:v>
      </x:c>
      <x:c r="W92" s="22" t="n">
        <x:f>MAX(0,MIN('Activities'!L92,114)-MAX('Activities'!K92,108))</x:f>
        <x:v>0</x:v>
      </x:c>
      <x:c r="X92" s="22" t="n">
        <x:f>MAX(0,MIN('Activities'!L92,120)-MAX('Activities'!K92,114))</x:f>
        <x:v>0</x:v>
      </x:c>
      <x:c r="Y92" s="22" t="n">
        <x:f>MAX(0,MIN('Activities'!L92,126)-MAX('Activities'!K92,120))</x:f>
        <x:v>0</x:v>
      </x:c>
      <x:c r="Z92" s="22" t="n">
        <x:f>MAX(0,MIN('Activities'!L92,132)-MAX('Activities'!K92,126))</x:f>
        <x:v>0</x:v>
      </x:c>
      <x:c r="AA92" s="22" t="n">
        <x:f>MAX(0,MIN('Activities'!L92,138)-MAX('Activities'!K92,132))</x:f>
        <x:v>0</x:v>
      </x:c>
      <x:c r="AB92" s="22" t="n">
        <x:f>MAX(0,MIN('Activities'!L92,144)-MAX('Activities'!K92,138))</x:f>
        <x:v>0</x:v>
      </x:c>
      <x:c r="AC92" s="22" t="n">
        <x:f>MAX(0,MIN('Activities'!L92,150)-MAX('Activities'!K92,144))</x:f>
        <x:v>0</x:v>
      </x:c>
      <x:c r="AD92" s="22" t="n">
        <x:f>MAX(0,MIN('Activities'!L92,156)-MAX('Activities'!K92,150))</x:f>
        <x:v>0</x:v>
      </x:c>
      <x:c r="AE92" s="22" t="n">
        <x:f>MAX(0,MIN('Activities'!L92,162)-MAX('Activities'!K92,156))</x:f>
        <x:v>0</x:v>
      </x:c>
      <x:c r="AF92" s="22" t="n">
        <x:f>MAX(0,MIN('Activities'!L92,168)-MAX('Activities'!K92,162))</x:f>
        <x:v>0</x:v>
      </x:c>
      <x:c r="AG92" s="22" t="n">
        <x:f>MAX(0,MIN('Activities'!L92,174)-MAX('Activities'!K92,168))</x:f>
        <x:v>0</x:v>
      </x:c>
      <x:c r="AH92" s="22" t="n">
        <x:f>MAX(0,MIN('Activities'!L92,180)-MAX('Activities'!K92,174))</x:f>
        <x:v>0</x:v>
      </x:c>
      <x:c r="AI92" s="22" t="n">
        <x:f>MAX(0,MIN('Activities'!L92,186)-MAX('Activities'!K92,180))</x:f>
        <x:v>0</x:v>
      </x:c>
      <x:c r="AJ92" s="22" t="n">
        <x:f>MAX(0,MIN('Activities'!L92,192)-MAX('Activities'!K92,186))</x:f>
        <x:v>0</x:v>
      </x:c>
      <x:c r="AK92" s="22" t="n">
        <x:f>MAX(0,MIN('Activities'!L92,198)-MAX('Activities'!K92,192))</x:f>
        <x:v>0</x:v>
      </x:c>
      <x:c r="AL92" s="22" t="n">
        <x:f>MAX(0,MIN('Activities'!L92,204)-MAX('Activities'!K92,198))</x:f>
        <x:v>0</x:v>
      </x:c>
      <x:c r="AM92" s="22" t="n">
        <x:f>MAX(0,MIN('Activities'!L92,210)-MAX('Activities'!K92,204))</x:f>
        <x:v>0</x:v>
      </x:c>
      <x:c r="AN92" s="22" t="n">
        <x:f>MAX(0,MIN('Activities'!L92,216)-MAX('Activities'!K92,210))</x:f>
        <x:v>0</x:v>
      </x:c>
      <x:c r="AO92" s="22" t="n">
        <x:f>MAX(0,MIN('Activities'!L92,222)-MAX('Activities'!K92,216))</x:f>
        <x:v>0</x:v>
      </x:c>
      <x:c r="AP92" s="22" t="n">
        <x:f>MAX(0,MIN('Activities'!L92,228)-MAX('Activities'!K92,222))</x:f>
        <x:v>0</x:v>
      </x:c>
      <x:c r="AQ92" s="22" t="n">
        <x:f>MAX(0,MIN('Activities'!L92,234)-MAX('Activities'!K92,228))</x:f>
        <x:v>0</x:v>
      </x:c>
      <x:c r="AR92" s="22" t="n">
        <x:f>MAX(0,MIN('Activities'!L92,240)-MAX('Activities'!K92,234))</x:f>
        <x:v>0</x:v>
      </x:c>
      <x:c r="AS92" s="22" t="n">
        <x:f>MAX(0,MIN('Activities'!L92,246)-MAX('Activities'!K92,240))</x:f>
        <x:v>0</x:v>
      </x:c>
      <x:c r="AT92" s="22" t="n">
        <x:f>MAX(0,MIN('Activities'!L92,252)-MAX('Activities'!K92,246))</x:f>
        <x:v>0</x:v>
      </x:c>
      <x:c r="AU92" s="22" t="n">
        <x:f>MAX(0,MIN('Activities'!L92,258)-MAX('Activities'!K92,252))</x:f>
        <x:v>0</x:v>
      </x:c>
      <x:c r="AV92" s="22" t="n">
        <x:f>MAX(0,MIN('Activities'!L92,264)-MAX('Activities'!K92,258))</x:f>
        <x:v>0</x:v>
      </x:c>
      <x:c r="AW92" s="22" t="n">
        <x:f>MAX(0,MIN('Activities'!L92,270)-MAX('Activities'!K92,264))</x:f>
        <x:v>0</x:v>
      </x:c>
      <x:c r="AX92" s="22" t="n">
        <x:f>MAX(0,MIN('Activities'!L92,276)-MAX('Activities'!K92,270))</x:f>
        <x:v>0</x:v>
      </x:c>
      <x:c r="AY92" s="22" t="n">
        <x:f>MAX(0,MIN('Activities'!L92,282)-MAX('Activities'!K92,276))</x:f>
        <x:v>0</x:v>
      </x:c>
      <x:c r="AZ92" s="22" t="n">
        <x:f>MAX(0,MIN('Activities'!L92,288)-MAX('Activities'!K92,282))</x:f>
        <x:v>0</x:v>
      </x:c>
      <x:c r="BA92" s="22" t="n">
        <x:f>MAX(0,MIN('Activities'!L92,294)-MAX('Activities'!K92,288))</x:f>
        <x:v>0</x:v>
      </x:c>
      <x:c r="BB92" s="22" t="n">
        <x:f>MAX(0,MIN('Activities'!L92,300)-MAX('Activities'!K92,294))</x:f>
        <x:v>0</x:v>
      </x:c>
      <x:c r="BC92" s="22" t="n">
        <x:f>MAX(0,MIN('Activities'!L92,306)-MAX('Activities'!K92,300))</x:f>
        <x:v>0</x:v>
      </x:c>
      <x:c r="BD92" s="22" t="n">
        <x:f>MAX(0,MIN('Activities'!L92,312)-MAX('Activities'!K92,306))</x:f>
        <x:v>0</x:v>
      </x:c>
      <x:c r="BE92" s="22" t="n">
        <x:f>MAX(0,MIN('Activities'!L92,318)-MAX('Activities'!K92,312))</x:f>
        <x:v>0</x:v>
      </x:c>
      <x:c r="BF92" s="22" t="n">
        <x:f>MAX(0,MIN('Activities'!L92,324)-MAX('Activities'!K92,318))</x:f>
        <x:v>0</x:v>
      </x:c>
      <x:c r="BG92" s="22" t="n">
        <x:f>MAX(0,MIN('Activities'!L92,330)-MAX('Activities'!K92,324))</x:f>
        <x:v>0</x:v>
      </x:c>
      <x:c r="BH92" s="22" t="n">
        <x:f>MAX(0,MIN('Activities'!L92,336)-MAX('Activities'!K92,330))</x:f>
        <x:v>0</x:v>
      </x:c>
      <x:c r="BI92" s="22" t="n">
        <x:f>MAX(0,MIN('Activities'!L92,342)-MAX('Activities'!K92,336))</x:f>
        <x:v>0</x:v>
      </x:c>
      <x:c r="BJ92" s="22" t="n">
        <x:f>MAX(0,MIN('Activities'!L92,348)-MAX('Activities'!K92,342))</x:f>
        <x:v>0</x:v>
      </x:c>
      <x:c r="BK92" s="22" t="n">
        <x:f>MAX(0,MIN('Activities'!L92,354)-MAX('Activities'!K92,348))</x:f>
        <x:v>0</x:v>
      </x:c>
      <x:c r="BL92" s="22" t="n">
        <x:f>MAX(0,MIN('Activities'!L92,360)-MAX('Activities'!K92,354))</x:f>
        <x:v>0</x:v>
      </x:c>
      <x:c r="BM92" s="22" t="n">
        <x:f>MAX(0,MIN('Activities'!L92,366)-MAX('Activities'!K92,360))</x:f>
        <x:v>0</x:v>
      </x:c>
      <x:c r="BN92" s="22" t="n">
        <x:f>MAX(0,MIN('Activities'!L92,372)-MAX('Activities'!K92,366))</x:f>
        <x:v>0</x:v>
      </x:c>
      <x:c r="BO92" s="22" t="n">
        <x:f>MAX(0,MIN('Activities'!L92,378)-MAX('Activities'!K92,372))</x:f>
        <x:v>0</x:v>
      </x:c>
      <x:c r="BP92" s="22" t="n">
        <x:f>MAX(0,MIN('Activities'!L92,384)-MAX('Activities'!K92,378))</x:f>
        <x:v>0</x:v>
      </x:c>
      <x:c r="BQ92" s="22" t="n">
        <x:f>MAX(0,MIN('Activities'!L92,390)-MAX('Activities'!K92,384))</x:f>
        <x:v>0</x:v>
      </x:c>
      <x:c r="BR92" s="22" t="n">
        <x:f>MAX(0,MIN('Activities'!L92,396)-MAX('Activities'!K92,390))</x:f>
        <x:v>0</x:v>
      </x:c>
      <x:c r="BS92" s="22" t="n">
        <x:f>MAX(0,MIN('Activities'!L92,402)-MAX('Activities'!K92,396))</x:f>
        <x:v>1</x:v>
      </x:c>
      <x:c r="BT92" s="22" t="n">
        <x:f>MAX(0,MIN('Activities'!L92,408)-MAX('Activities'!K92,402))</x:f>
        <x:v>5</x:v>
      </x:c>
      <x:c r="BU92" s="22" t="n">
        <x:f>MAX(0,MIN('Activities'!L92,414)-MAX('Activities'!K92,408))</x:f>
        <x:v>0</x:v>
      </x:c>
      <x:c r="BV92" s="22" t="n">
        <x:f>MAX(0,MIN('Activities'!L92,420)-MAX('Activities'!K92,414))</x:f>
        <x:v>0</x:v>
      </x:c>
      <x:c r="BW92" s="22" t="n">
        <x:f>MAX(0,MIN('Activities'!L92,426)-MAX('Activities'!K92,420))</x:f>
        <x:v>0</x:v>
      </x:c>
      <x:c r="BX92" s="22" t="n">
        <x:f>MAX(0,MIN('Activities'!L92,432)-MAX('Activities'!K92,426))</x:f>
        <x:v>0</x:v>
      </x:c>
      <x:c r="BY92" s="22" t="n">
        <x:f>MAX(0,MIN('Activities'!L92,438)-MAX('Activities'!K92,432))</x:f>
        <x:v>0</x:v>
      </x:c>
      <x:c r="BZ92" s="22" t="n">
        <x:f>MAX(0,MIN('Activities'!L92,444)-MAX('Activities'!K92,438))</x:f>
        <x:v>0</x:v>
      </x:c>
      <x:c r="CA92" s="22" t="n">
        <x:f>MAX(0,MIN('Activities'!L92,450)-MAX('Activities'!K92,444))</x:f>
        <x:v>0</x:v>
      </x:c>
      <x:c r="CB92" s="22" t="n">
        <x:f>MAX(0,MIN('Activities'!L92,456)-MAX('Activities'!K92,450))</x:f>
        <x:v>0</x:v>
      </x:c>
      <x:c r="CC92" s="22" t="n">
        <x:f>MAX(0,MIN('Activities'!L92,462)-MAX('Activities'!K92,456))</x:f>
        <x:v>0</x:v>
      </x:c>
      <x:c r="CD92" s="22" t="n">
        <x:f>MAX(0,MIN('Activities'!L92,468)-MAX('Activities'!K92,462))</x:f>
        <x:v>0</x:v>
      </x:c>
      <x:c r="CE92" s="22" t="n">
        <x:f>MAX(0,MIN('Activities'!L92,474)-MAX('Activities'!K92,468))</x:f>
        <x:v>0</x:v>
      </x:c>
      <x:c r="CF92" s="22" t="n">
        <x:f>MAX(0,MIN('Activities'!L92,480)-MAX('Activities'!K92,474))</x:f>
        <x:v>0</x:v>
      </x:c>
      <x:c r="CG92" s="22" t="n">
        <x:f>MAX(0,MIN('Activities'!L92,486)-MAX('Activities'!K92,480))</x:f>
        <x:v>0</x:v>
      </x:c>
      <x:c r="CH92" s="22" t="n">
        <x:f>MAX(0,MIN('Activities'!L92,492)-MAX('Activities'!K92,486))</x:f>
        <x:v>0</x:v>
      </x:c>
      <x:c r="CI92" s="22" t="n">
        <x:f>MAX(0,MIN('Activities'!L92,498)-MAX('Activities'!K92,492))</x:f>
        <x:v>0</x:v>
      </x:c>
      <x:c r="CJ92" s="22" t="n">
        <x:f>MAX(0,MIN('Activities'!L92,504)-MAX('Activities'!K92,498))</x:f>
        <x:v>0</x:v>
      </x:c>
      <x:c r="CK92" s="22" t="n">
        <x:f>MAX(0,MIN('Activities'!L92,510)-MAX('Activities'!K92,504))</x:f>
        <x:v>0</x:v>
      </x:c>
      <x:c r="CL92" s="22" t="n">
        <x:f>MAX(0,MIN('Activities'!L92,516)-MAX('Activities'!K92,510))</x:f>
        <x:v>0</x:v>
      </x:c>
      <x:c r="CM92" s="22" t="n">
        <x:f>MAX(0,MIN('Activities'!L92,522)-MAX('Activities'!K92,516))</x:f>
        <x:v>0</x:v>
      </x:c>
      <x:c r="CN92" s="22" t="n">
        <x:f>MAX(0,MIN('Activities'!L92,528)-MAX('Activities'!K92,522))</x:f>
        <x:v>0</x:v>
      </x:c>
      <x:c r="CO92" s="22" t="n">
        <x:f>MAX(0,MIN('Activities'!L92,534)-MAX('Activities'!K92,528))</x:f>
        <x:v>0</x:v>
      </x:c>
      <x:c r="CP92" s="22" t="n">
        <x:f>MAX(0,MIN('Activities'!L92,540)-MAX('Activities'!K92,534))</x:f>
        <x:v>0</x:v>
      </x:c>
      <x:c r="CQ92" s="22" t="n">
        <x:f>MAX(0,MIN('Activities'!L92,546)-MAX('Activities'!K92,540))</x:f>
        <x:v>0</x:v>
      </x:c>
      <x:c r="CR92" s="22" t="n">
        <x:f>MAX(0,MIN('Activities'!L92,552)-MAX('Activities'!K92,546))</x:f>
        <x:v>0</x:v>
      </x:c>
      <x:c r="CS92" s="22" t="n">
        <x:f>MAX(0,MIN('Activities'!L92,558)-MAX('Activities'!K92,552))</x:f>
        <x:v>0</x:v>
      </x:c>
      <x:c r="CT92" s="22" t="n">
        <x:f>MAX(0,MIN('Activities'!L92,564)-MAX('Activities'!K92,558))</x:f>
        <x:v>0</x:v>
      </x:c>
      <x:c r="CU92" s="22" t="n">
        <x:f>MAX(0,MIN('Activities'!L92,570)-MAX('Activities'!K92,564))</x:f>
        <x:v>0</x:v>
      </x:c>
      <x:c r="CV92" s="22" t="n">
        <x:f>MAX(0,MIN('Activities'!L92,576)-MAX('Activities'!K92,570))</x:f>
        <x:v>0</x:v>
      </x:c>
      <x:c r="CW92" s="22" t="n">
        <x:f>MAX(0,MIN('Activities'!L92,582)-MAX('Activities'!K92,576))</x:f>
        <x:v>0</x:v>
      </x:c>
      <x:c r="CX92" s="22" t="n">
        <x:f>MAX(0,MIN('Activities'!L92,588)-MAX('Activities'!K92,582))</x:f>
        <x:v>0</x:v>
      </x:c>
      <x:c r="CY92" s="22" t="n">
        <x:f>MAX(0,MIN('Activities'!L92,594)-MAX('Activities'!K92,588))</x:f>
        <x:v>0</x:v>
      </x:c>
      <x:c r="CZ92" s="22" t="n">
        <x:f>MAX(0,MIN('Activities'!L92,600)-MAX('Activities'!K92,594))</x:f>
        <x:v>0</x:v>
      </x:c>
      <x:c r="DA92" s="22" t="n">
        <x:f>MAX(0,MIN('Activities'!L92,606)-MAX('Activities'!K92,600))</x:f>
        <x:v>0</x:v>
      </x:c>
      <x:c r="DB92" s="22" t="n">
        <x:f>MAX(0,MIN('Activities'!L92,612)-MAX('Activities'!K92,606))</x:f>
        <x:v>0</x:v>
      </x:c>
      <x:c r="DC92" s="22" t="n">
        <x:f>MAX(0,MIN('Activities'!L92,618)-MAX('Activities'!K92,612))</x:f>
        <x:v>0</x:v>
      </x:c>
      <x:c r="DD92" s="22" t="n">
        <x:f>MAX(0,MIN('Activities'!L92,624)-MAX('Activities'!K92,618))</x:f>
        <x:v>0</x:v>
      </x:c>
      <x:c r="DE92" s="22" t="n">
        <x:f>MAX(0,MIN('Activities'!L92,630)-MAX('Activities'!K92,624))</x:f>
        <x:v>0</x:v>
      </x:c>
      <x:c r="DF92" s="22" t="n">
        <x:f>MAX(0,MIN('Activities'!L92,636)-MAX('Activities'!K92,630))</x:f>
        <x:v>0</x:v>
      </x:c>
    </x:row>
    <x:row r="93" ht="23" customHeight="1">
      <x:c r="A93" s="1" t="str">
        <x:v>T1-L03-A</x:v>
      </x:c>
      <x:c r="B93" s="1" t="str">
        <x:v>T1</x:v>
      </x:c>
      <x:c r="C93" s="1" t="str">
        <x:v>Paint and final decorations</x:v>
      </x:c>
      <x:c r="D93" s="1" t="str">
        <x:v>Finishes</x:v>
      </x:c>
      <x:c r="E93" s="23" t="n">
        <x:f>MAX(0,MIN('Activities'!L93,6)-MAX('Activities'!K93,0))</x:f>
        <x:v>0</x:v>
      </x:c>
      <x:c r="F93" s="23" t="n">
        <x:f>MAX(0,MIN('Activities'!L93,12)-MAX('Activities'!K93,6))</x:f>
        <x:v>0</x:v>
      </x:c>
      <x:c r="G93" s="23" t="n">
        <x:f>MAX(0,MIN('Activities'!L93,18)-MAX('Activities'!K93,12))</x:f>
        <x:v>0</x:v>
      </x:c>
      <x:c r="H93" s="23" t="n">
        <x:f>MAX(0,MIN('Activities'!L93,24)-MAX('Activities'!K93,18))</x:f>
        <x:v>0</x:v>
      </x:c>
      <x:c r="I93" s="23" t="n">
        <x:f>MAX(0,MIN('Activities'!L93,30)-MAX('Activities'!K93,24))</x:f>
        <x:v>0</x:v>
      </x:c>
      <x:c r="J93" s="23" t="n">
        <x:f>MAX(0,MIN('Activities'!L93,36)-MAX('Activities'!K93,30))</x:f>
        <x:v>0</x:v>
      </x:c>
      <x:c r="K93" s="23" t="n">
        <x:f>MAX(0,MIN('Activities'!L93,42)-MAX('Activities'!K93,36))</x:f>
        <x:v>0</x:v>
      </x:c>
      <x:c r="L93" s="23" t="n">
        <x:f>MAX(0,MIN('Activities'!L93,48)-MAX('Activities'!K93,42))</x:f>
        <x:v>0</x:v>
      </x:c>
      <x:c r="M93" s="23" t="n">
        <x:f>MAX(0,MIN('Activities'!L93,54)-MAX('Activities'!K93,48))</x:f>
        <x:v>0</x:v>
      </x:c>
      <x:c r="N93" s="23" t="n">
        <x:f>MAX(0,MIN('Activities'!L93,60)-MAX('Activities'!K93,54))</x:f>
        <x:v>0</x:v>
      </x:c>
      <x:c r="O93" s="23" t="n">
        <x:f>MAX(0,MIN('Activities'!L93,66)-MAX('Activities'!K93,60))</x:f>
        <x:v>0</x:v>
      </x:c>
      <x:c r="P93" s="23" t="n">
        <x:f>MAX(0,MIN('Activities'!L93,72)-MAX('Activities'!K93,66))</x:f>
        <x:v>0</x:v>
      </x:c>
      <x:c r="Q93" s="23" t="n">
        <x:f>MAX(0,MIN('Activities'!L93,78)-MAX('Activities'!K93,72))</x:f>
        <x:v>0</x:v>
      </x:c>
      <x:c r="R93" s="23" t="n">
        <x:f>MAX(0,MIN('Activities'!L93,84)-MAX('Activities'!K93,78))</x:f>
        <x:v>0</x:v>
      </x:c>
      <x:c r="S93" s="23" t="n">
        <x:f>MAX(0,MIN('Activities'!L93,90)-MAX('Activities'!K93,84))</x:f>
        <x:v>0</x:v>
      </x:c>
      <x:c r="T93" s="23" t="n">
        <x:f>MAX(0,MIN('Activities'!L93,96)-MAX('Activities'!K93,90))</x:f>
        <x:v>0</x:v>
      </x:c>
      <x:c r="U93" s="23" t="n">
        <x:f>MAX(0,MIN('Activities'!L93,102)-MAX('Activities'!K93,96))</x:f>
        <x:v>0</x:v>
      </x:c>
      <x:c r="V93" s="23" t="n">
        <x:f>MAX(0,MIN('Activities'!L93,108)-MAX('Activities'!K93,102))</x:f>
        <x:v>0</x:v>
      </x:c>
      <x:c r="W93" s="23" t="n">
        <x:f>MAX(0,MIN('Activities'!L93,114)-MAX('Activities'!K93,108))</x:f>
        <x:v>0</x:v>
      </x:c>
      <x:c r="X93" s="23" t="n">
        <x:f>MAX(0,MIN('Activities'!L93,120)-MAX('Activities'!K93,114))</x:f>
        <x:v>0</x:v>
      </x:c>
      <x:c r="Y93" s="23" t="n">
        <x:f>MAX(0,MIN('Activities'!L93,126)-MAX('Activities'!K93,120))</x:f>
        <x:v>0</x:v>
      </x:c>
      <x:c r="Z93" s="23" t="n">
        <x:f>MAX(0,MIN('Activities'!L93,132)-MAX('Activities'!K93,126))</x:f>
        <x:v>0</x:v>
      </x:c>
      <x:c r="AA93" s="23" t="n">
        <x:f>MAX(0,MIN('Activities'!L93,138)-MAX('Activities'!K93,132))</x:f>
        <x:v>0</x:v>
      </x:c>
      <x:c r="AB93" s="23" t="n">
        <x:f>MAX(0,MIN('Activities'!L93,144)-MAX('Activities'!K93,138))</x:f>
        <x:v>0</x:v>
      </x:c>
      <x:c r="AC93" s="23" t="n">
        <x:f>MAX(0,MIN('Activities'!L93,150)-MAX('Activities'!K93,144))</x:f>
        <x:v>0</x:v>
      </x:c>
      <x:c r="AD93" s="23" t="n">
        <x:f>MAX(0,MIN('Activities'!L93,156)-MAX('Activities'!K93,150))</x:f>
        <x:v>0</x:v>
      </x:c>
      <x:c r="AE93" s="23" t="n">
        <x:f>MAX(0,MIN('Activities'!L93,162)-MAX('Activities'!K93,156))</x:f>
        <x:v>0</x:v>
      </x:c>
      <x:c r="AF93" s="23" t="n">
        <x:f>MAX(0,MIN('Activities'!L93,168)-MAX('Activities'!K93,162))</x:f>
        <x:v>0</x:v>
      </x:c>
      <x:c r="AG93" s="23" t="n">
        <x:f>MAX(0,MIN('Activities'!L93,174)-MAX('Activities'!K93,168))</x:f>
        <x:v>0</x:v>
      </x:c>
      <x:c r="AH93" s="23" t="n">
        <x:f>MAX(0,MIN('Activities'!L93,180)-MAX('Activities'!K93,174))</x:f>
        <x:v>0</x:v>
      </x:c>
      <x:c r="AI93" s="23" t="n">
        <x:f>MAX(0,MIN('Activities'!L93,186)-MAX('Activities'!K93,180))</x:f>
        <x:v>0</x:v>
      </x:c>
      <x:c r="AJ93" s="23" t="n">
        <x:f>MAX(0,MIN('Activities'!L93,192)-MAX('Activities'!K93,186))</x:f>
        <x:v>0</x:v>
      </x:c>
      <x:c r="AK93" s="23" t="n">
        <x:f>MAX(0,MIN('Activities'!L93,198)-MAX('Activities'!K93,192))</x:f>
        <x:v>0</x:v>
      </x:c>
      <x:c r="AL93" s="23" t="n">
        <x:f>MAX(0,MIN('Activities'!L93,204)-MAX('Activities'!K93,198))</x:f>
        <x:v>0</x:v>
      </x:c>
      <x:c r="AM93" s="23" t="n">
        <x:f>MAX(0,MIN('Activities'!L93,210)-MAX('Activities'!K93,204))</x:f>
        <x:v>0</x:v>
      </x:c>
      <x:c r="AN93" s="23" t="n">
        <x:f>MAX(0,MIN('Activities'!L93,216)-MAX('Activities'!K93,210))</x:f>
        <x:v>0</x:v>
      </x:c>
      <x:c r="AO93" s="23" t="n">
        <x:f>MAX(0,MIN('Activities'!L93,222)-MAX('Activities'!K93,216))</x:f>
        <x:v>0</x:v>
      </x:c>
      <x:c r="AP93" s="23" t="n">
        <x:f>MAX(0,MIN('Activities'!L93,228)-MAX('Activities'!K93,222))</x:f>
        <x:v>0</x:v>
      </x:c>
      <x:c r="AQ93" s="23" t="n">
        <x:f>MAX(0,MIN('Activities'!L93,234)-MAX('Activities'!K93,228))</x:f>
        <x:v>0</x:v>
      </x:c>
      <x:c r="AR93" s="23" t="n">
        <x:f>MAX(0,MIN('Activities'!L93,240)-MAX('Activities'!K93,234))</x:f>
        <x:v>0</x:v>
      </x:c>
      <x:c r="AS93" s="23" t="n">
        <x:f>MAX(0,MIN('Activities'!L93,246)-MAX('Activities'!K93,240))</x:f>
        <x:v>0</x:v>
      </x:c>
      <x:c r="AT93" s="23" t="n">
        <x:f>MAX(0,MIN('Activities'!L93,252)-MAX('Activities'!K93,246))</x:f>
        <x:v>0</x:v>
      </x:c>
      <x:c r="AU93" s="23" t="n">
        <x:f>MAX(0,MIN('Activities'!L93,258)-MAX('Activities'!K93,252))</x:f>
        <x:v>0</x:v>
      </x:c>
      <x:c r="AV93" s="23" t="n">
        <x:f>MAX(0,MIN('Activities'!L93,264)-MAX('Activities'!K93,258))</x:f>
        <x:v>0</x:v>
      </x:c>
      <x:c r="AW93" s="23" t="n">
        <x:f>MAX(0,MIN('Activities'!L93,270)-MAX('Activities'!K93,264))</x:f>
        <x:v>0</x:v>
      </x:c>
      <x:c r="AX93" s="23" t="n">
        <x:f>MAX(0,MIN('Activities'!L93,276)-MAX('Activities'!K93,270))</x:f>
        <x:v>0</x:v>
      </x:c>
      <x:c r="AY93" s="23" t="n">
        <x:f>MAX(0,MIN('Activities'!L93,282)-MAX('Activities'!K93,276))</x:f>
        <x:v>0</x:v>
      </x:c>
      <x:c r="AZ93" s="23" t="n">
        <x:f>MAX(0,MIN('Activities'!L93,288)-MAX('Activities'!K93,282))</x:f>
        <x:v>0</x:v>
      </x:c>
      <x:c r="BA93" s="23" t="n">
        <x:f>MAX(0,MIN('Activities'!L93,294)-MAX('Activities'!K93,288))</x:f>
        <x:v>0</x:v>
      </x:c>
      <x:c r="BB93" s="23" t="n">
        <x:f>MAX(0,MIN('Activities'!L93,300)-MAX('Activities'!K93,294))</x:f>
        <x:v>0</x:v>
      </x:c>
      <x:c r="BC93" s="23" t="n">
        <x:f>MAX(0,MIN('Activities'!L93,306)-MAX('Activities'!K93,300))</x:f>
        <x:v>0</x:v>
      </x:c>
      <x:c r="BD93" s="23" t="n">
        <x:f>MAX(0,MIN('Activities'!L93,312)-MAX('Activities'!K93,306))</x:f>
        <x:v>0</x:v>
      </x:c>
      <x:c r="BE93" s="23" t="n">
        <x:f>MAX(0,MIN('Activities'!L93,318)-MAX('Activities'!K93,312))</x:f>
        <x:v>0</x:v>
      </x:c>
      <x:c r="BF93" s="23" t="n">
        <x:f>MAX(0,MIN('Activities'!L93,324)-MAX('Activities'!K93,318))</x:f>
        <x:v>0</x:v>
      </x:c>
      <x:c r="BG93" s="23" t="n">
        <x:f>MAX(0,MIN('Activities'!L93,330)-MAX('Activities'!K93,324))</x:f>
        <x:v>0</x:v>
      </x:c>
      <x:c r="BH93" s="23" t="n">
        <x:f>MAX(0,MIN('Activities'!L93,336)-MAX('Activities'!K93,330))</x:f>
        <x:v>0</x:v>
      </x:c>
      <x:c r="BI93" s="23" t="n">
        <x:f>MAX(0,MIN('Activities'!L93,342)-MAX('Activities'!K93,336))</x:f>
        <x:v>0</x:v>
      </x:c>
      <x:c r="BJ93" s="23" t="n">
        <x:f>MAX(0,MIN('Activities'!L93,348)-MAX('Activities'!K93,342))</x:f>
        <x:v>0</x:v>
      </x:c>
      <x:c r="BK93" s="23" t="n">
        <x:f>MAX(0,MIN('Activities'!L93,354)-MAX('Activities'!K93,348))</x:f>
        <x:v>0</x:v>
      </x:c>
      <x:c r="BL93" s="23" t="n">
        <x:f>MAX(0,MIN('Activities'!L93,360)-MAX('Activities'!K93,354))</x:f>
        <x:v>0</x:v>
      </x:c>
      <x:c r="BM93" s="23" t="n">
        <x:f>MAX(0,MIN('Activities'!L93,366)-MAX('Activities'!K93,360))</x:f>
        <x:v>0</x:v>
      </x:c>
      <x:c r="BN93" s="23" t="n">
        <x:f>MAX(0,MIN('Activities'!L93,372)-MAX('Activities'!K93,366))</x:f>
        <x:v>0</x:v>
      </x:c>
      <x:c r="BO93" s="23" t="n">
        <x:f>MAX(0,MIN('Activities'!L93,378)-MAX('Activities'!K93,372))</x:f>
        <x:v>0</x:v>
      </x:c>
      <x:c r="BP93" s="23" t="n">
        <x:f>MAX(0,MIN('Activities'!L93,384)-MAX('Activities'!K93,378))</x:f>
        <x:v>0</x:v>
      </x:c>
      <x:c r="BQ93" s="23" t="n">
        <x:f>MAX(0,MIN('Activities'!L93,390)-MAX('Activities'!K93,384))</x:f>
        <x:v>0</x:v>
      </x:c>
      <x:c r="BR93" s="23" t="n">
        <x:f>MAX(0,MIN('Activities'!L93,396)-MAX('Activities'!K93,390))</x:f>
        <x:v>0</x:v>
      </x:c>
      <x:c r="BS93" s="23" t="n">
        <x:f>MAX(0,MIN('Activities'!L93,402)-MAX('Activities'!K93,396))</x:f>
        <x:v>0</x:v>
      </x:c>
      <x:c r="BT93" s="23" t="n">
        <x:f>MAX(0,MIN('Activities'!L93,408)-MAX('Activities'!K93,402))</x:f>
        <x:v>0</x:v>
      </x:c>
      <x:c r="BU93" s="23" t="n">
        <x:f>MAX(0,MIN('Activities'!L93,414)-MAX('Activities'!K93,408))</x:f>
        <x:v>5</x:v>
      </x:c>
      <x:c r="BV93" s="23" t="n">
        <x:f>MAX(0,MIN('Activities'!L93,420)-MAX('Activities'!K93,414))</x:f>
        <x:v>0</x:v>
      </x:c>
      <x:c r="BW93" s="23" t="n">
        <x:f>MAX(0,MIN('Activities'!L93,426)-MAX('Activities'!K93,420))</x:f>
        <x:v>0</x:v>
      </x:c>
      <x:c r="BX93" s="23" t="n">
        <x:f>MAX(0,MIN('Activities'!L93,432)-MAX('Activities'!K93,426))</x:f>
        <x:v>0</x:v>
      </x:c>
      <x:c r="BY93" s="23" t="n">
        <x:f>MAX(0,MIN('Activities'!L93,438)-MAX('Activities'!K93,432))</x:f>
        <x:v>0</x:v>
      </x:c>
      <x:c r="BZ93" s="23" t="n">
        <x:f>MAX(0,MIN('Activities'!L93,444)-MAX('Activities'!K93,438))</x:f>
        <x:v>0</x:v>
      </x:c>
      <x:c r="CA93" s="23" t="n">
        <x:f>MAX(0,MIN('Activities'!L93,450)-MAX('Activities'!K93,444))</x:f>
        <x:v>0</x:v>
      </x:c>
      <x:c r="CB93" s="23" t="n">
        <x:f>MAX(0,MIN('Activities'!L93,456)-MAX('Activities'!K93,450))</x:f>
        <x:v>0</x:v>
      </x:c>
      <x:c r="CC93" s="23" t="n">
        <x:f>MAX(0,MIN('Activities'!L93,462)-MAX('Activities'!K93,456))</x:f>
        <x:v>0</x:v>
      </x:c>
      <x:c r="CD93" s="23" t="n">
        <x:f>MAX(0,MIN('Activities'!L93,468)-MAX('Activities'!K93,462))</x:f>
        <x:v>0</x:v>
      </x:c>
      <x:c r="CE93" s="23" t="n">
        <x:f>MAX(0,MIN('Activities'!L93,474)-MAX('Activities'!K93,468))</x:f>
        <x:v>0</x:v>
      </x:c>
      <x:c r="CF93" s="23" t="n">
        <x:f>MAX(0,MIN('Activities'!L93,480)-MAX('Activities'!K93,474))</x:f>
        <x:v>0</x:v>
      </x:c>
      <x:c r="CG93" s="23" t="n">
        <x:f>MAX(0,MIN('Activities'!L93,486)-MAX('Activities'!K93,480))</x:f>
        <x:v>0</x:v>
      </x:c>
      <x:c r="CH93" s="23" t="n">
        <x:f>MAX(0,MIN('Activities'!L93,492)-MAX('Activities'!K93,486))</x:f>
        <x:v>0</x:v>
      </x:c>
      <x:c r="CI93" s="23" t="n">
        <x:f>MAX(0,MIN('Activities'!L93,498)-MAX('Activities'!K93,492))</x:f>
        <x:v>0</x:v>
      </x:c>
      <x:c r="CJ93" s="23" t="n">
        <x:f>MAX(0,MIN('Activities'!L93,504)-MAX('Activities'!K93,498))</x:f>
        <x:v>0</x:v>
      </x:c>
      <x:c r="CK93" s="23" t="n">
        <x:f>MAX(0,MIN('Activities'!L93,510)-MAX('Activities'!K93,504))</x:f>
        <x:v>0</x:v>
      </x:c>
      <x:c r="CL93" s="23" t="n">
        <x:f>MAX(0,MIN('Activities'!L93,516)-MAX('Activities'!K93,510))</x:f>
        <x:v>0</x:v>
      </x:c>
      <x:c r="CM93" s="23" t="n">
        <x:f>MAX(0,MIN('Activities'!L93,522)-MAX('Activities'!K93,516))</x:f>
        <x:v>0</x:v>
      </x:c>
      <x:c r="CN93" s="23" t="n">
        <x:f>MAX(0,MIN('Activities'!L93,528)-MAX('Activities'!K93,522))</x:f>
        <x:v>0</x:v>
      </x:c>
      <x:c r="CO93" s="23" t="n">
        <x:f>MAX(0,MIN('Activities'!L93,534)-MAX('Activities'!K93,528))</x:f>
        <x:v>0</x:v>
      </x:c>
      <x:c r="CP93" s="23" t="n">
        <x:f>MAX(0,MIN('Activities'!L93,540)-MAX('Activities'!K93,534))</x:f>
        <x:v>0</x:v>
      </x:c>
      <x:c r="CQ93" s="23" t="n">
        <x:f>MAX(0,MIN('Activities'!L93,546)-MAX('Activities'!K93,540))</x:f>
        <x:v>0</x:v>
      </x:c>
      <x:c r="CR93" s="23" t="n">
        <x:f>MAX(0,MIN('Activities'!L93,552)-MAX('Activities'!K93,546))</x:f>
        <x:v>0</x:v>
      </x:c>
      <x:c r="CS93" s="23" t="n">
        <x:f>MAX(0,MIN('Activities'!L93,558)-MAX('Activities'!K93,552))</x:f>
        <x:v>0</x:v>
      </x:c>
      <x:c r="CT93" s="23" t="n">
        <x:f>MAX(0,MIN('Activities'!L93,564)-MAX('Activities'!K93,558))</x:f>
        <x:v>0</x:v>
      </x:c>
      <x:c r="CU93" s="23" t="n">
        <x:f>MAX(0,MIN('Activities'!L93,570)-MAX('Activities'!K93,564))</x:f>
        <x:v>0</x:v>
      </x:c>
      <x:c r="CV93" s="23" t="n">
        <x:f>MAX(0,MIN('Activities'!L93,576)-MAX('Activities'!K93,570))</x:f>
        <x:v>0</x:v>
      </x:c>
      <x:c r="CW93" s="23" t="n">
        <x:f>MAX(0,MIN('Activities'!L93,582)-MAX('Activities'!K93,576))</x:f>
        <x:v>0</x:v>
      </x:c>
      <x:c r="CX93" s="23" t="n">
        <x:f>MAX(0,MIN('Activities'!L93,588)-MAX('Activities'!K93,582))</x:f>
        <x:v>0</x:v>
      </x:c>
      <x:c r="CY93" s="23" t="n">
        <x:f>MAX(0,MIN('Activities'!L93,594)-MAX('Activities'!K93,588))</x:f>
        <x:v>0</x:v>
      </x:c>
      <x:c r="CZ93" s="23" t="n">
        <x:f>MAX(0,MIN('Activities'!L93,600)-MAX('Activities'!K93,594))</x:f>
        <x:v>0</x:v>
      </x:c>
      <x:c r="DA93" s="23" t="n">
        <x:f>MAX(0,MIN('Activities'!L93,606)-MAX('Activities'!K93,600))</x:f>
        <x:v>0</x:v>
      </x:c>
      <x:c r="DB93" s="23" t="n">
        <x:f>MAX(0,MIN('Activities'!L93,612)-MAX('Activities'!K93,606))</x:f>
        <x:v>0</x:v>
      </x:c>
      <x:c r="DC93" s="23" t="n">
        <x:f>MAX(0,MIN('Activities'!L93,618)-MAX('Activities'!K93,612))</x:f>
        <x:v>0</x:v>
      </x:c>
      <x:c r="DD93" s="23" t="n">
        <x:f>MAX(0,MIN('Activities'!L93,624)-MAX('Activities'!K93,618))</x:f>
        <x:v>0</x:v>
      </x:c>
      <x:c r="DE93" s="23" t="n">
        <x:f>MAX(0,MIN('Activities'!L93,630)-MAX('Activities'!K93,624))</x:f>
        <x:v>0</x:v>
      </x:c>
      <x:c r="DF93" s="23" t="n">
        <x:f>MAX(0,MIN('Activities'!L93,636)-MAX('Activities'!K93,630))</x:f>
        <x:v>0</x:v>
      </x:c>
    </x:row>
    <x:row r="94" ht="23" customHeight="1">
      <x:c r="A94" s="6" t="str">
        <x:v>T1-L03-D</x:v>
      </x:c>
      <x:c r="B94" s="6" t="str">
        <x:v>T1</x:v>
      </x:c>
      <x:c r="C94" s="6" t="str">
        <x:v>Door sets and ironmongery</x:v>
      </x:c>
      <x:c r="D94" s="6" t="str">
        <x:v>Finishes</x:v>
      </x:c>
      <x:c r="E94" s="22" t="n">
        <x:f>MAX(0,MIN('Activities'!L94,6)-MAX('Activities'!K94,0))</x:f>
        <x:v>0</x:v>
      </x:c>
      <x:c r="F94" s="22" t="n">
        <x:f>MAX(0,MIN('Activities'!L94,12)-MAX('Activities'!K94,6))</x:f>
        <x:v>0</x:v>
      </x:c>
      <x:c r="G94" s="22" t="n">
        <x:f>MAX(0,MIN('Activities'!L94,18)-MAX('Activities'!K94,12))</x:f>
        <x:v>0</x:v>
      </x:c>
      <x:c r="H94" s="22" t="n">
        <x:f>MAX(0,MIN('Activities'!L94,24)-MAX('Activities'!K94,18))</x:f>
        <x:v>0</x:v>
      </x:c>
      <x:c r="I94" s="22" t="n">
        <x:f>MAX(0,MIN('Activities'!L94,30)-MAX('Activities'!K94,24))</x:f>
        <x:v>0</x:v>
      </x:c>
      <x:c r="J94" s="22" t="n">
        <x:f>MAX(0,MIN('Activities'!L94,36)-MAX('Activities'!K94,30))</x:f>
        <x:v>0</x:v>
      </x:c>
      <x:c r="K94" s="22" t="n">
        <x:f>MAX(0,MIN('Activities'!L94,42)-MAX('Activities'!K94,36))</x:f>
        <x:v>0</x:v>
      </x:c>
      <x:c r="L94" s="22" t="n">
        <x:f>MAX(0,MIN('Activities'!L94,48)-MAX('Activities'!K94,42))</x:f>
        <x:v>0</x:v>
      </x:c>
      <x:c r="M94" s="22" t="n">
        <x:f>MAX(0,MIN('Activities'!L94,54)-MAX('Activities'!K94,48))</x:f>
        <x:v>0</x:v>
      </x:c>
      <x:c r="N94" s="22" t="n">
        <x:f>MAX(0,MIN('Activities'!L94,60)-MAX('Activities'!K94,54))</x:f>
        <x:v>0</x:v>
      </x:c>
      <x:c r="O94" s="22" t="n">
        <x:f>MAX(0,MIN('Activities'!L94,66)-MAX('Activities'!K94,60))</x:f>
        <x:v>0</x:v>
      </x:c>
      <x:c r="P94" s="22" t="n">
        <x:f>MAX(0,MIN('Activities'!L94,72)-MAX('Activities'!K94,66))</x:f>
        <x:v>0</x:v>
      </x:c>
      <x:c r="Q94" s="22" t="n">
        <x:f>MAX(0,MIN('Activities'!L94,78)-MAX('Activities'!K94,72))</x:f>
        <x:v>0</x:v>
      </x:c>
      <x:c r="R94" s="22" t="n">
        <x:f>MAX(0,MIN('Activities'!L94,84)-MAX('Activities'!K94,78))</x:f>
        <x:v>0</x:v>
      </x:c>
      <x:c r="S94" s="22" t="n">
        <x:f>MAX(0,MIN('Activities'!L94,90)-MAX('Activities'!K94,84))</x:f>
        <x:v>0</x:v>
      </x:c>
      <x:c r="T94" s="22" t="n">
        <x:f>MAX(0,MIN('Activities'!L94,96)-MAX('Activities'!K94,90))</x:f>
        <x:v>0</x:v>
      </x:c>
      <x:c r="U94" s="22" t="n">
        <x:f>MAX(0,MIN('Activities'!L94,102)-MAX('Activities'!K94,96))</x:f>
        <x:v>0</x:v>
      </x:c>
      <x:c r="V94" s="22" t="n">
        <x:f>MAX(0,MIN('Activities'!L94,108)-MAX('Activities'!K94,102))</x:f>
        <x:v>0</x:v>
      </x:c>
      <x:c r="W94" s="22" t="n">
        <x:f>MAX(0,MIN('Activities'!L94,114)-MAX('Activities'!K94,108))</x:f>
        <x:v>0</x:v>
      </x:c>
      <x:c r="X94" s="22" t="n">
        <x:f>MAX(0,MIN('Activities'!L94,120)-MAX('Activities'!K94,114))</x:f>
        <x:v>0</x:v>
      </x:c>
      <x:c r="Y94" s="22" t="n">
        <x:f>MAX(0,MIN('Activities'!L94,126)-MAX('Activities'!K94,120))</x:f>
        <x:v>0</x:v>
      </x:c>
      <x:c r="Z94" s="22" t="n">
        <x:f>MAX(0,MIN('Activities'!L94,132)-MAX('Activities'!K94,126))</x:f>
        <x:v>0</x:v>
      </x:c>
      <x:c r="AA94" s="22" t="n">
        <x:f>MAX(0,MIN('Activities'!L94,138)-MAX('Activities'!K94,132))</x:f>
        <x:v>0</x:v>
      </x:c>
      <x:c r="AB94" s="22" t="n">
        <x:f>MAX(0,MIN('Activities'!L94,144)-MAX('Activities'!K94,138))</x:f>
        <x:v>0</x:v>
      </x:c>
      <x:c r="AC94" s="22" t="n">
        <x:f>MAX(0,MIN('Activities'!L94,150)-MAX('Activities'!K94,144))</x:f>
        <x:v>0</x:v>
      </x:c>
      <x:c r="AD94" s="22" t="n">
        <x:f>MAX(0,MIN('Activities'!L94,156)-MAX('Activities'!K94,150))</x:f>
        <x:v>0</x:v>
      </x:c>
      <x:c r="AE94" s="22" t="n">
        <x:f>MAX(0,MIN('Activities'!L94,162)-MAX('Activities'!K94,156))</x:f>
        <x:v>0</x:v>
      </x:c>
      <x:c r="AF94" s="22" t="n">
        <x:f>MAX(0,MIN('Activities'!L94,168)-MAX('Activities'!K94,162))</x:f>
        <x:v>0</x:v>
      </x:c>
      <x:c r="AG94" s="22" t="n">
        <x:f>MAX(0,MIN('Activities'!L94,174)-MAX('Activities'!K94,168))</x:f>
        <x:v>0</x:v>
      </x:c>
      <x:c r="AH94" s="22" t="n">
        <x:f>MAX(0,MIN('Activities'!L94,180)-MAX('Activities'!K94,174))</x:f>
        <x:v>0</x:v>
      </x:c>
      <x:c r="AI94" s="22" t="n">
        <x:f>MAX(0,MIN('Activities'!L94,186)-MAX('Activities'!K94,180))</x:f>
        <x:v>0</x:v>
      </x:c>
      <x:c r="AJ94" s="22" t="n">
        <x:f>MAX(0,MIN('Activities'!L94,192)-MAX('Activities'!K94,186))</x:f>
        <x:v>0</x:v>
      </x:c>
      <x:c r="AK94" s="22" t="n">
        <x:f>MAX(0,MIN('Activities'!L94,198)-MAX('Activities'!K94,192))</x:f>
        <x:v>0</x:v>
      </x:c>
      <x:c r="AL94" s="22" t="n">
        <x:f>MAX(0,MIN('Activities'!L94,204)-MAX('Activities'!K94,198))</x:f>
        <x:v>0</x:v>
      </x:c>
      <x:c r="AM94" s="22" t="n">
        <x:f>MAX(0,MIN('Activities'!L94,210)-MAX('Activities'!K94,204))</x:f>
        <x:v>0</x:v>
      </x:c>
      <x:c r="AN94" s="22" t="n">
        <x:f>MAX(0,MIN('Activities'!L94,216)-MAX('Activities'!K94,210))</x:f>
        <x:v>0</x:v>
      </x:c>
      <x:c r="AO94" s="22" t="n">
        <x:f>MAX(0,MIN('Activities'!L94,222)-MAX('Activities'!K94,216))</x:f>
        <x:v>0</x:v>
      </x:c>
      <x:c r="AP94" s="22" t="n">
        <x:f>MAX(0,MIN('Activities'!L94,228)-MAX('Activities'!K94,222))</x:f>
        <x:v>0</x:v>
      </x:c>
      <x:c r="AQ94" s="22" t="n">
        <x:f>MAX(0,MIN('Activities'!L94,234)-MAX('Activities'!K94,228))</x:f>
        <x:v>0</x:v>
      </x:c>
      <x:c r="AR94" s="22" t="n">
        <x:f>MAX(0,MIN('Activities'!L94,240)-MAX('Activities'!K94,234))</x:f>
        <x:v>0</x:v>
      </x:c>
      <x:c r="AS94" s="22" t="n">
        <x:f>MAX(0,MIN('Activities'!L94,246)-MAX('Activities'!K94,240))</x:f>
        <x:v>0</x:v>
      </x:c>
      <x:c r="AT94" s="22" t="n">
        <x:f>MAX(0,MIN('Activities'!L94,252)-MAX('Activities'!K94,246))</x:f>
        <x:v>0</x:v>
      </x:c>
      <x:c r="AU94" s="22" t="n">
        <x:f>MAX(0,MIN('Activities'!L94,258)-MAX('Activities'!K94,252))</x:f>
        <x:v>0</x:v>
      </x:c>
      <x:c r="AV94" s="22" t="n">
        <x:f>MAX(0,MIN('Activities'!L94,264)-MAX('Activities'!K94,258))</x:f>
        <x:v>0</x:v>
      </x:c>
      <x:c r="AW94" s="22" t="n">
        <x:f>MAX(0,MIN('Activities'!L94,270)-MAX('Activities'!K94,264))</x:f>
        <x:v>0</x:v>
      </x:c>
      <x:c r="AX94" s="22" t="n">
        <x:f>MAX(0,MIN('Activities'!L94,276)-MAX('Activities'!K94,270))</x:f>
        <x:v>0</x:v>
      </x:c>
      <x:c r="AY94" s="22" t="n">
        <x:f>MAX(0,MIN('Activities'!L94,282)-MAX('Activities'!K94,276))</x:f>
        <x:v>0</x:v>
      </x:c>
      <x:c r="AZ94" s="22" t="n">
        <x:f>MAX(0,MIN('Activities'!L94,288)-MAX('Activities'!K94,282))</x:f>
        <x:v>0</x:v>
      </x:c>
      <x:c r="BA94" s="22" t="n">
        <x:f>MAX(0,MIN('Activities'!L94,294)-MAX('Activities'!K94,288))</x:f>
        <x:v>0</x:v>
      </x:c>
      <x:c r="BB94" s="22" t="n">
        <x:f>MAX(0,MIN('Activities'!L94,300)-MAX('Activities'!K94,294))</x:f>
        <x:v>0</x:v>
      </x:c>
      <x:c r="BC94" s="22" t="n">
        <x:f>MAX(0,MIN('Activities'!L94,306)-MAX('Activities'!K94,300))</x:f>
        <x:v>0</x:v>
      </x:c>
      <x:c r="BD94" s="22" t="n">
        <x:f>MAX(0,MIN('Activities'!L94,312)-MAX('Activities'!K94,306))</x:f>
        <x:v>0</x:v>
      </x:c>
      <x:c r="BE94" s="22" t="n">
        <x:f>MAX(0,MIN('Activities'!L94,318)-MAX('Activities'!K94,312))</x:f>
        <x:v>0</x:v>
      </x:c>
      <x:c r="BF94" s="22" t="n">
        <x:f>MAX(0,MIN('Activities'!L94,324)-MAX('Activities'!K94,318))</x:f>
        <x:v>0</x:v>
      </x:c>
      <x:c r="BG94" s="22" t="n">
        <x:f>MAX(0,MIN('Activities'!L94,330)-MAX('Activities'!K94,324))</x:f>
        <x:v>0</x:v>
      </x:c>
      <x:c r="BH94" s="22" t="n">
        <x:f>MAX(0,MIN('Activities'!L94,336)-MAX('Activities'!K94,330))</x:f>
        <x:v>0</x:v>
      </x:c>
      <x:c r="BI94" s="22" t="n">
        <x:f>MAX(0,MIN('Activities'!L94,342)-MAX('Activities'!K94,336))</x:f>
        <x:v>0</x:v>
      </x:c>
      <x:c r="BJ94" s="22" t="n">
        <x:f>MAX(0,MIN('Activities'!L94,348)-MAX('Activities'!K94,342))</x:f>
        <x:v>0</x:v>
      </x:c>
      <x:c r="BK94" s="22" t="n">
        <x:f>MAX(0,MIN('Activities'!L94,354)-MAX('Activities'!K94,348))</x:f>
        <x:v>0</x:v>
      </x:c>
      <x:c r="BL94" s="22" t="n">
        <x:f>MAX(0,MIN('Activities'!L94,360)-MAX('Activities'!K94,354))</x:f>
        <x:v>0</x:v>
      </x:c>
      <x:c r="BM94" s="22" t="n">
        <x:f>MAX(0,MIN('Activities'!L94,366)-MAX('Activities'!K94,360))</x:f>
        <x:v>0</x:v>
      </x:c>
      <x:c r="BN94" s="22" t="n">
        <x:f>MAX(0,MIN('Activities'!L94,372)-MAX('Activities'!K94,366))</x:f>
        <x:v>0</x:v>
      </x:c>
      <x:c r="BO94" s="22" t="n">
        <x:f>MAX(0,MIN('Activities'!L94,378)-MAX('Activities'!K94,372))</x:f>
        <x:v>0</x:v>
      </x:c>
      <x:c r="BP94" s="22" t="n">
        <x:f>MAX(0,MIN('Activities'!L94,384)-MAX('Activities'!K94,378))</x:f>
        <x:v>0</x:v>
      </x:c>
      <x:c r="BQ94" s="22" t="n">
        <x:f>MAX(0,MIN('Activities'!L94,390)-MAX('Activities'!K94,384))</x:f>
        <x:v>0</x:v>
      </x:c>
      <x:c r="BR94" s="22" t="n">
        <x:f>MAX(0,MIN('Activities'!L94,396)-MAX('Activities'!K94,390))</x:f>
        <x:v>0</x:v>
      </x:c>
      <x:c r="BS94" s="22" t="n">
        <x:f>MAX(0,MIN('Activities'!L94,402)-MAX('Activities'!K94,396))</x:f>
        <x:v>0</x:v>
      </x:c>
      <x:c r="BT94" s="22" t="n">
        <x:f>MAX(0,MIN('Activities'!L94,408)-MAX('Activities'!K94,402))</x:f>
        <x:v>0</x:v>
      </x:c>
      <x:c r="BU94" s="22" t="n">
        <x:f>MAX(0,MIN('Activities'!L94,414)-MAX('Activities'!K94,408))</x:f>
        <x:v>0</x:v>
      </x:c>
      <x:c r="BV94" s="22" t="n">
        <x:f>MAX(0,MIN('Activities'!L94,420)-MAX('Activities'!K94,414))</x:f>
        <x:v>3</x:v>
      </x:c>
      <x:c r="BW94" s="22" t="n">
        <x:f>MAX(0,MIN('Activities'!L94,426)-MAX('Activities'!K94,420))</x:f>
        <x:v>0</x:v>
      </x:c>
      <x:c r="BX94" s="22" t="n">
        <x:f>MAX(0,MIN('Activities'!L94,432)-MAX('Activities'!K94,426))</x:f>
        <x:v>0</x:v>
      </x:c>
      <x:c r="BY94" s="22" t="n">
        <x:f>MAX(0,MIN('Activities'!L94,438)-MAX('Activities'!K94,432))</x:f>
        <x:v>0</x:v>
      </x:c>
      <x:c r="BZ94" s="22" t="n">
        <x:f>MAX(0,MIN('Activities'!L94,444)-MAX('Activities'!K94,438))</x:f>
        <x:v>0</x:v>
      </x:c>
      <x:c r="CA94" s="22" t="n">
        <x:f>MAX(0,MIN('Activities'!L94,450)-MAX('Activities'!K94,444))</x:f>
        <x:v>0</x:v>
      </x:c>
      <x:c r="CB94" s="22" t="n">
        <x:f>MAX(0,MIN('Activities'!L94,456)-MAX('Activities'!K94,450))</x:f>
        <x:v>0</x:v>
      </x:c>
      <x:c r="CC94" s="22" t="n">
        <x:f>MAX(0,MIN('Activities'!L94,462)-MAX('Activities'!K94,456))</x:f>
        <x:v>0</x:v>
      </x:c>
      <x:c r="CD94" s="22" t="n">
        <x:f>MAX(0,MIN('Activities'!L94,468)-MAX('Activities'!K94,462))</x:f>
        <x:v>0</x:v>
      </x:c>
      <x:c r="CE94" s="22" t="n">
        <x:f>MAX(0,MIN('Activities'!L94,474)-MAX('Activities'!K94,468))</x:f>
        <x:v>0</x:v>
      </x:c>
      <x:c r="CF94" s="22" t="n">
        <x:f>MAX(0,MIN('Activities'!L94,480)-MAX('Activities'!K94,474))</x:f>
        <x:v>0</x:v>
      </x:c>
      <x:c r="CG94" s="22" t="n">
        <x:f>MAX(0,MIN('Activities'!L94,486)-MAX('Activities'!K94,480))</x:f>
        <x:v>0</x:v>
      </x:c>
      <x:c r="CH94" s="22" t="n">
        <x:f>MAX(0,MIN('Activities'!L94,492)-MAX('Activities'!K94,486))</x:f>
        <x:v>0</x:v>
      </x:c>
      <x:c r="CI94" s="22" t="n">
        <x:f>MAX(0,MIN('Activities'!L94,498)-MAX('Activities'!K94,492))</x:f>
        <x:v>0</x:v>
      </x:c>
      <x:c r="CJ94" s="22" t="n">
        <x:f>MAX(0,MIN('Activities'!L94,504)-MAX('Activities'!K94,498))</x:f>
        <x:v>0</x:v>
      </x:c>
      <x:c r="CK94" s="22" t="n">
        <x:f>MAX(0,MIN('Activities'!L94,510)-MAX('Activities'!K94,504))</x:f>
        <x:v>0</x:v>
      </x:c>
      <x:c r="CL94" s="22" t="n">
        <x:f>MAX(0,MIN('Activities'!L94,516)-MAX('Activities'!K94,510))</x:f>
        <x:v>0</x:v>
      </x:c>
      <x:c r="CM94" s="22" t="n">
        <x:f>MAX(0,MIN('Activities'!L94,522)-MAX('Activities'!K94,516))</x:f>
        <x:v>0</x:v>
      </x:c>
      <x:c r="CN94" s="22" t="n">
        <x:f>MAX(0,MIN('Activities'!L94,528)-MAX('Activities'!K94,522))</x:f>
        <x:v>0</x:v>
      </x:c>
      <x:c r="CO94" s="22" t="n">
        <x:f>MAX(0,MIN('Activities'!L94,534)-MAX('Activities'!K94,528))</x:f>
        <x:v>0</x:v>
      </x:c>
      <x:c r="CP94" s="22" t="n">
        <x:f>MAX(0,MIN('Activities'!L94,540)-MAX('Activities'!K94,534))</x:f>
        <x:v>0</x:v>
      </x:c>
      <x:c r="CQ94" s="22" t="n">
        <x:f>MAX(0,MIN('Activities'!L94,546)-MAX('Activities'!K94,540))</x:f>
        <x:v>0</x:v>
      </x:c>
      <x:c r="CR94" s="22" t="n">
        <x:f>MAX(0,MIN('Activities'!L94,552)-MAX('Activities'!K94,546))</x:f>
        <x:v>0</x:v>
      </x:c>
      <x:c r="CS94" s="22" t="n">
        <x:f>MAX(0,MIN('Activities'!L94,558)-MAX('Activities'!K94,552))</x:f>
        <x:v>0</x:v>
      </x:c>
      <x:c r="CT94" s="22" t="n">
        <x:f>MAX(0,MIN('Activities'!L94,564)-MAX('Activities'!K94,558))</x:f>
        <x:v>0</x:v>
      </x:c>
      <x:c r="CU94" s="22" t="n">
        <x:f>MAX(0,MIN('Activities'!L94,570)-MAX('Activities'!K94,564))</x:f>
        <x:v>0</x:v>
      </x:c>
      <x:c r="CV94" s="22" t="n">
        <x:f>MAX(0,MIN('Activities'!L94,576)-MAX('Activities'!K94,570))</x:f>
        <x:v>0</x:v>
      </x:c>
      <x:c r="CW94" s="22" t="n">
        <x:f>MAX(0,MIN('Activities'!L94,582)-MAX('Activities'!K94,576))</x:f>
        <x:v>0</x:v>
      </x:c>
      <x:c r="CX94" s="22" t="n">
        <x:f>MAX(0,MIN('Activities'!L94,588)-MAX('Activities'!K94,582))</x:f>
        <x:v>0</x:v>
      </x:c>
      <x:c r="CY94" s="22" t="n">
        <x:f>MAX(0,MIN('Activities'!L94,594)-MAX('Activities'!K94,588))</x:f>
        <x:v>0</x:v>
      </x:c>
      <x:c r="CZ94" s="22" t="n">
        <x:f>MAX(0,MIN('Activities'!L94,600)-MAX('Activities'!K94,594))</x:f>
        <x:v>0</x:v>
      </x:c>
      <x:c r="DA94" s="22" t="n">
        <x:f>MAX(0,MIN('Activities'!L94,606)-MAX('Activities'!K94,600))</x:f>
        <x:v>0</x:v>
      </x:c>
      <x:c r="DB94" s="22" t="n">
        <x:f>MAX(0,MIN('Activities'!L94,612)-MAX('Activities'!K94,606))</x:f>
        <x:v>0</x:v>
      </x:c>
      <x:c r="DC94" s="22" t="n">
        <x:f>MAX(0,MIN('Activities'!L94,618)-MAX('Activities'!K94,612))</x:f>
        <x:v>0</x:v>
      </x:c>
      <x:c r="DD94" s="22" t="n">
        <x:f>MAX(0,MIN('Activities'!L94,624)-MAX('Activities'!K94,618))</x:f>
        <x:v>0</x:v>
      </x:c>
      <x:c r="DE94" s="22" t="n">
        <x:f>MAX(0,MIN('Activities'!L94,630)-MAX('Activities'!K94,624))</x:f>
        <x:v>0</x:v>
      </x:c>
      <x:c r="DF94" s="22" t="n">
        <x:f>MAX(0,MIN('Activities'!L94,636)-MAX('Activities'!K94,630))</x:f>
        <x:v>0</x:v>
      </x:c>
    </x:row>
    <x:row r="95" ht="23" customHeight="1">
      <x:c r="A95" s="1" t="str">
        <x:v>T1-L04-M</x:v>
      </x:c>
      <x:c r="B95" s="1" t="str">
        <x:v>T1</x:v>
      </x:c>
      <x:c r="C95" s="1" t="str">
        <x:v>Partition masonry</x:v>
      </x:c>
      <x:c r="D95" s="1" t="str">
        <x:v>Masonry</x:v>
      </x:c>
      <x:c r="E95" s="23" t="n">
        <x:f>MAX(0,MIN('Activities'!L95,6)-MAX('Activities'!K95,0))</x:f>
        <x:v>0</x:v>
      </x:c>
      <x:c r="F95" s="23" t="n">
        <x:f>MAX(0,MIN('Activities'!L95,12)-MAX('Activities'!K95,6))</x:f>
        <x:v>0</x:v>
      </x:c>
      <x:c r="G95" s="23" t="n">
        <x:f>MAX(0,MIN('Activities'!L95,18)-MAX('Activities'!K95,12))</x:f>
        <x:v>0</x:v>
      </x:c>
      <x:c r="H95" s="23" t="n">
        <x:f>MAX(0,MIN('Activities'!L95,24)-MAX('Activities'!K95,18))</x:f>
        <x:v>0</x:v>
      </x:c>
      <x:c r="I95" s="23" t="n">
        <x:f>MAX(0,MIN('Activities'!L95,30)-MAX('Activities'!K95,24))</x:f>
        <x:v>0</x:v>
      </x:c>
      <x:c r="J95" s="23" t="n">
        <x:f>MAX(0,MIN('Activities'!L95,36)-MAX('Activities'!K95,30))</x:f>
        <x:v>0</x:v>
      </x:c>
      <x:c r="K95" s="23" t="n">
        <x:f>MAX(0,MIN('Activities'!L95,42)-MAX('Activities'!K95,36))</x:f>
        <x:v>0</x:v>
      </x:c>
      <x:c r="L95" s="23" t="n">
        <x:f>MAX(0,MIN('Activities'!L95,48)-MAX('Activities'!K95,42))</x:f>
        <x:v>0</x:v>
      </x:c>
      <x:c r="M95" s="23" t="n">
        <x:f>MAX(0,MIN('Activities'!L95,54)-MAX('Activities'!K95,48))</x:f>
        <x:v>0</x:v>
      </x:c>
      <x:c r="N95" s="23" t="n">
        <x:f>MAX(0,MIN('Activities'!L95,60)-MAX('Activities'!K95,54))</x:f>
        <x:v>0</x:v>
      </x:c>
      <x:c r="O95" s="23" t="n">
        <x:f>MAX(0,MIN('Activities'!L95,66)-MAX('Activities'!K95,60))</x:f>
        <x:v>0</x:v>
      </x:c>
      <x:c r="P95" s="23" t="n">
        <x:f>MAX(0,MIN('Activities'!L95,72)-MAX('Activities'!K95,66))</x:f>
        <x:v>0</x:v>
      </x:c>
      <x:c r="Q95" s="23" t="n">
        <x:f>MAX(0,MIN('Activities'!L95,78)-MAX('Activities'!K95,72))</x:f>
        <x:v>0</x:v>
      </x:c>
      <x:c r="R95" s="23" t="n">
        <x:f>MAX(0,MIN('Activities'!L95,84)-MAX('Activities'!K95,78))</x:f>
        <x:v>0</x:v>
      </x:c>
      <x:c r="S95" s="23" t="n">
        <x:f>MAX(0,MIN('Activities'!L95,90)-MAX('Activities'!K95,84))</x:f>
        <x:v>0</x:v>
      </x:c>
      <x:c r="T95" s="23" t="n">
        <x:f>MAX(0,MIN('Activities'!L95,96)-MAX('Activities'!K95,90))</x:f>
        <x:v>0</x:v>
      </x:c>
      <x:c r="U95" s="23" t="n">
        <x:f>MAX(0,MIN('Activities'!L95,102)-MAX('Activities'!K95,96))</x:f>
        <x:v>0</x:v>
      </x:c>
      <x:c r="V95" s="23" t="n">
        <x:f>MAX(0,MIN('Activities'!L95,108)-MAX('Activities'!K95,102))</x:f>
        <x:v>0</x:v>
      </x:c>
      <x:c r="W95" s="23" t="n">
        <x:f>MAX(0,MIN('Activities'!L95,114)-MAX('Activities'!K95,108))</x:f>
        <x:v>0</x:v>
      </x:c>
      <x:c r="X95" s="23" t="n">
        <x:f>MAX(0,MIN('Activities'!L95,120)-MAX('Activities'!K95,114))</x:f>
        <x:v>0</x:v>
      </x:c>
      <x:c r="Y95" s="23" t="n">
        <x:f>MAX(0,MIN('Activities'!L95,126)-MAX('Activities'!K95,120))</x:f>
        <x:v>0</x:v>
      </x:c>
      <x:c r="Z95" s="23" t="n">
        <x:f>MAX(0,MIN('Activities'!L95,132)-MAX('Activities'!K95,126))</x:f>
        <x:v>0</x:v>
      </x:c>
      <x:c r="AA95" s="23" t="n">
        <x:f>MAX(0,MIN('Activities'!L95,138)-MAX('Activities'!K95,132))</x:f>
        <x:v>0</x:v>
      </x:c>
      <x:c r="AB95" s="23" t="n">
        <x:f>MAX(0,MIN('Activities'!L95,144)-MAX('Activities'!K95,138))</x:f>
        <x:v>0</x:v>
      </x:c>
      <x:c r="AC95" s="23" t="n">
        <x:f>MAX(0,MIN('Activities'!L95,150)-MAX('Activities'!K95,144))</x:f>
        <x:v>0</x:v>
      </x:c>
      <x:c r="AD95" s="23" t="n">
        <x:f>MAX(0,MIN('Activities'!L95,156)-MAX('Activities'!K95,150))</x:f>
        <x:v>0</x:v>
      </x:c>
      <x:c r="AE95" s="23" t="n">
        <x:f>MAX(0,MIN('Activities'!L95,162)-MAX('Activities'!K95,156))</x:f>
        <x:v>0</x:v>
      </x:c>
      <x:c r="AF95" s="23" t="n">
        <x:f>MAX(0,MIN('Activities'!L95,168)-MAX('Activities'!K95,162))</x:f>
        <x:v>0</x:v>
      </x:c>
      <x:c r="AG95" s="23" t="n">
        <x:f>MAX(0,MIN('Activities'!L95,174)-MAX('Activities'!K95,168))</x:f>
        <x:v>0</x:v>
      </x:c>
      <x:c r="AH95" s="23" t="n">
        <x:f>MAX(0,MIN('Activities'!L95,180)-MAX('Activities'!K95,174))</x:f>
        <x:v>0</x:v>
      </x:c>
      <x:c r="AI95" s="23" t="n">
        <x:f>MAX(0,MIN('Activities'!L95,186)-MAX('Activities'!K95,180))</x:f>
        <x:v>0</x:v>
      </x:c>
      <x:c r="AJ95" s="23" t="n">
        <x:f>MAX(0,MIN('Activities'!L95,192)-MAX('Activities'!K95,186))</x:f>
        <x:v>0</x:v>
      </x:c>
      <x:c r="AK95" s="23" t="n">
        <x:f>MAX(0,MIN('Activities'!L95,198)-MAX('Activities'!K95,192))</x:f>
        <x:v>0</x:v>
      </x:c>
      <x:c r="AL95" s="23" t="n">
        <x:f>MAX(0,MIN('Activities'!L95,204)-MAX('Activities'!K95,198))</x:f>
        <x:v>0</x:v>
      </x:c>
      <x:c r="AM95" s="23" t="n">
        <x:f>MAX(0,MIN('Activities'!L95,210)-MAX('Activities'!K95,204))</x:f>
        <x:v>0</x:v>
      </x:c>
      <x:c r="AN95" s="23" t="n">
        <x:f>MAX(0,MIN('Activities'!L95,216)-MAX('Activities'!K95,210))</x:f>
        <x:v>0</x:v>
      </x:c>
      <x:c r="AO95" s="23" t="n">
        <x:f>MAX(0,MIN('Activities'!L95,222)-MAX('Activities'!K95,216))</x:f>
        <x:v>0</x:v>
      </x:c>
      <x:c r="AP95" s="23" t="n">
        <x:f>MAX(0,MIN('Activities'!L95,228)-MAX('Activities'!K95,222))</x:f>
        <x:v>0</x:v>
      </x:c>
      <x:c r="AQ95" s="23" t="n">
        <x:f>MAX(0,MIN('Activities'!L95,234)-MAX('Activities'!K95,228))</x:f>
        <x:v>0</x:v>
      </x:c>
      <x:c r="AR95" s="23" t="n">
        <x:f>MAX(0,MIN('Activities'!L95,240)-MAX('Activities'!K95,234))</x:f>
        <x:v>0</x:v>
      </x:c>
      <x:c r="AS95" s="23" t="n">
        <x:f>MAX(0,MIN('Activities'!L95,246)-MAX('Activities'!K95,240))</x:f>
        <x:v>0</x:v>
      </x:c>
      <x:c r="AT95" s="23" t="n">
        <x:f>MAX(0,MIN('Activities'!L95,252)-MAX('Activities'!K95,246))</x:f>
        <x:v>0</x:v>
      </x:c>
      <x:c r="AU95" s="23" t="n">
        <x:f>MAX(0,MIN('Activities'!L95,258)-MAX('Activities'!K95,252))</x:f>
        <x:v>0</x:v>
      </x:c>
      <x:c r="AV95" s="23" t="n">
        <x:f>MAX(0,MIN('Activities'!L95,264)-MAX('Activities'!K95,258))</x:f>
        <x:v>0</x:v>
      </x:c>
      <x:c r="AW95" s="23" t="n">
        <x:f>MAX(0,MIN('Activities'!L95,270)-MAX('Activities'!K95,264))</x:f>
        <x:v>0</x:v>
      </x:c>
      <x:c r="AX95" s="23" t="n">
        <x:f>MAX(0,MIN('Activities'!L95,276)-MAX('Activities'!K95,270))</x:f>
        <x:v>0</x:v>
      </x:c>
      <x:c r="AY95" s="23" t="n">
        <x:f>MAX(0,MIN('Activities'!L95,282)-MAX('Activities'!K95,276))</x:f>
        <x:v>0</x:v>
      </x:c>
      <x:c r="AZ95" s="23" t="n">
        <x:f>MAX(0,MIN('Activities'!L95,288)-MAX('Activities'!K95,282))</x:f>
        <x:v>5</x:v>
      </x:c>
      <x:c r="BA95" s="23" t="n">
        <x:f>MAX(0,MIN('Activities'!L95,294)-MAX('Activities'!K95,288))</x:f>
        <x:v>0</x:v>
      </x:c>
      <x:c r="BB95" s="23" t="n">
        <x:f>MAX(0,MIN('Activities'!L95,300)-MAX('Activities'!K95,294))</x:f>
        <x:v>0</x:v>
      </x:c>
      <x:c r="BC95" s="23" t="n">
        <x:f>MAX(0,MIN('Activities'!L95,306)-MAX('Activities'!K95,300))</x:f>
        <x:v>0</x:v>
      </x:c>
      <x:c r="BD95" s="23" t="n">
        <x:f>MAX(0,MIN('Activities'!L95,312)-MAX('Activities'!K95,306))</x:f>
        <x:v>0</x:v>
      </x:c>
      <x:c r="BE95" s="23" t="n">
        <x:f>MAX(0,MIN('Activities'!L95,318)-MAX('Activities'!K95,312))</x:f>
        <x:v>0</x:v>
      </x:c>
      <x:c r="BF95" s="23" t="n">
        <x:f>MAX(0,MIN('Activities'!L95,324)-MAX('Activities'!K95,318))</x:f>
        <x:v>0</x:v>
      </x:c>
      <x:c r="BG95" s="23" t="n">
        <x:f>MAX(0,MIN('Activities'!L95,330)-MAX('Activities'!K95,324))</x:f>
        <x:v>0</x:v>
      </x:c>
      <x:c r="BH95" s="23" t="n">
        <x:f>MAX(0,MIN('Activities'!L95,336)-MAX('Activities'!K95,330))</x:f>
        <x:v>0</x:v>
      </x:c>
      <x:c r="BI95" s="23" t="n">
        <x:f>MAX(0,MIN('Activities'!L95,342)-MAX('Activities'!K95,336))</x:f>
        <x:v>0</x:v>
      </x:c>
      <x:c r="BJ95" s="23" t="n">
        <x:f>MAX(0,MIN('Activities'!L95,348)-MAX('Activities'!K95,342))</x:f>
        <x:v>0</x:v>
      </x:c>
      <x:c r="BK95" s="23" t="n">
        <x:f>MAX(0,MIN('Activities'!L95,354)-MAX('Activities'!K95,348))</x:f>
        <x:v>0</x:v>
      </x:c>
      <x:c r="BL95" s="23" t="n">
        <x:f>MAX(0,MIN('Activities'!L95,360)-MAX('Activities'!K95,354))</x:f>
        <x:v>0</x:v>
      </x:c>
      <x:c r="BM95" s="23" t="n">
        <x:f>MAX(0,MIN('Activities'!L95,366)-MAX('Activities'!K95,360))</x:f>
        <x:v>0</x:v>
      </x:c>
      <x:c r="BN95" s="23" t="n">
        <x:f>MAX(0,MIN('Activities'!L95,372)-MAX('Activities'!K95,366))</x:f>
        <x:v>0</x:v>
      </x:c>
      <x:c r="BO95" s="23" t="n">
        <x:f>MAX(0,MIN('Activities'!L95,378)-MAX('Activities'!K95,372))</x:f>
        <x:v>0</x:v>
      </x:c>
      <x:c r="BP95" s="23" t="n">
        <x:f>MAX(0,MIN('Activities'!L95,384)-MAX('Activities'!K95,378))</x:f>
        <x:v>0</x:v>
      </x:c>
      <x:c r="BQ95" s="23" t="n">
        <x:f>MAX(0,MIN('Activities'!L95,390)-MAX('Activities'!K95,384))</x:f>
        <x:v>0</x:v>
      </x:c>
      <x:c r="BR95" s="23" t="n">
        <x:f>MAX(0,MIN('Activities'!L95,396)-MAX('Activities'!K95,390))</x:f>
        <x:v>0</x:v>
      </x:c>
      <x:c r="BS95" s="23" t="n">
        <x:f>MAX(0,MIN('Activities'!L95,402)-MAX('Activities'!K95,396))</x:f>
        <x:v>0</x:v>
      </x:c>
      <x:c r="BT95" s="23" t="n">
        <x:f>MAX(0,MIN('Activities'!L95,408)-MAX('Activities'!K95,402))</x:f>
        <x:v>0</x:v>
      </x:c>
      <x:c r="BU95" s="23" t="n">
        <x:f>MAX(0,MIN('Activities'!L95,414)-MAX('Activities'!K95,408))</x:f>
        <x:v>0</x:v>
      </x:c>
      <x:c r="BV95" s="23" t="n">
        <x:f>MAX(0,MIN('Activities'!L95,420)-MAX('Activities'!K95,414))</x:f>
        <x:v>0</x:v>
      </x:c>
      <x:c r="BW95" s="23" t="n">
        <x:f>MAX(0,MIN('Activities'!L95,426)-MAX('Activities'!K95,420))</x:f>
        <x:v>0</x:v>
      </x:c>
      <x:c r="BX95" s="23" t="n">
        <x:f>MAX(0,MIN('Activities'!L95,432)-MAX('Activities'!K95,426))</x:f>
        <x:v>0</x:v>
      </x:c>
      <x:c r="BY95" s="23" t="n">
        <x:f>MAX(0,MIN('Activities'!L95,438)-MAX('Activities'!K95,432))</x:f>
        <x:v>0</x:v>
      </x:c>
      <x:c r="BZ95" s="23" t="n">
        <x:f>MAX(0,MIN('Activities'!L95,444)-MAX('Activities'!K95,438))</x:f>
        <x:v>0</x:v>
      </x:c>
      <x:c r="CA95" s="23" t="n">
        <x:f>MAX(0,MIN('Activities'!L95,450)-MAX('Activities'!K95,444))</x:f>
        <x:v>0</x:v>
      </x:c>
      <x:c r="CB95" s="23" t="n">
        <x:f>MAX(0,MIN('Activities'!L95,456)-MAX('Activities'!K95,450))</x:f>
        <x:v>0</x:v>
      </x:c>
      <x:c r="CC95" s="23" t="n">
        <x:f>MAX(0,MIN('Activities'!L95,462)-MAX('Activities'!K95,456))</x:f>
        <x:v>0</x:v>
      </x:c>
      <x:c r="CD95" s="23" t="n">
        <x:f>MAX(0,MIN('Activities'!L95,468)-MAX('Activities'!K95,462))</x:f>
        <x:v>0</x:v>
      </x:c>
      <x:c r="CE95" s="23" t="n">
        <x:f>MAX(0,MIN('Activities'!L95,474)-MAX('Activities'!K95,468))</x:f>
        <x:v>0</x:v>
      </x:c>
      <x:c r="CF95" s="23" t="n">
        <x:f>MAX(0,MIN('Activities'!L95,480)-MAX('Activities'!K95,474))</x:f>
        <x:v>0</x:v>
      </x:c>
      <x:c r="CG95" s="23" t="n">
        <x:f>MAX(0,MIN('Activities'!L95,486)-MAX('Activities'!K95,480))</x:f>
        <x:v>0</x:v>
      </x:c>
      <x:c r="CH95" s="23" t="n">
        <x:f>MAX(0,MIN('Activities'!L95,492)-MAX('Activities'!K95,486))</x:f>
        <x:v>0</x:v>
      </x:c>
      <x:c r="CI95" s="23" t="n">
        <x:f>MAX(0,MIN('Activities'!L95,498)-MAX('Activities'!K95,492))</x:f>
        <x:v>0</x:v>
      </x:c>
      <x:c r="CJ95" s="23" t="n">
        <x:f>MAX(0,MIN('Activities'!L95,504)-MAX('Activities'!K95,498))</x:f>
        <x:v>0</x:v>
      </x:c>
      <x:c r="CK95" s="23" t="n">
        <x:f>MAX(0,MIN('Activities'!L95,510)-MAX('Activities'!K95,504))</x:f>
        <x:v>0</x:v>
      </x:c>
      <x:c r="CL95" s="23" t="n">
        <x:f>MAX(0,MIN('Activities'!L95,516)-MAX('Activities'!K95,510))</x:f>
        <x:v>0</x:v>
      </x:c>
      <x:c r="CM95" s="23" t="n">
        <x:f>MAX(0,MIN('Activities'!L95,522)-MAX('Activities'!K95,516))</x:f>
        <x:v>0</x:v>
      </x:c>
      <x:c r="CN95" s="23" t="n">
        <x:f>MAX(0,MIN('Activities'!L95,528)-MAX('Activities'!K95,522))</x:f>
        <x:v>0</x:v>
      </x:c>
      <x:c r="CO95" s="23" t="n">
        <x:f>MAX(0,MIN('Activities'!L95,534)-MAX('Activities'!K95,528))</x:f>
        <x:v>0</x:v>
      </x:c>
      <x:c r="CP95" s="23" t="n">
        <x:f>MAX(0,MIN('Activities'!L95,540)-MAX('Activities'!K95,534))</x:f>
        <x:v>0</x:v>
      </x:c>
      <x:c r="CQ95" s="23" t="n">
        <x:f>MAX(0,MIN('Activities'!L95,546)-MAX('Activities'!K95,540))</x:f>
        <x:v>0</x:v>
      </x:c>
      <x:c r="CR95" s="23" t="n">
        <x:f>MAX(0,MIN('Activities'!L95,552)-MAX('Activities'!K95,546))</x:f>
        <x:v>0</x:v>
      </x:c>
      <x:c r="CS95" s="23" t="n">
        <x:f>MAX(0,MIN('Activities'!L95,558)-MAX('Activities'!K95,552))</x:f>
        <x:v>0</x:v>
      </x:c>
      <x:c r="CT95" s="23" t="n">
        <x:f>MAX(0,MIN('Activities'!L95,564)-MAX('Activities'!K95,558))</x:f>
        <x:v>0</x:v>
      </x:c>
      <x:c r="CU95" s="23" t="n">
        <x:f>MAX(0,MIN('Activities'!L95,570)-MAX('Activities'!K95,564))</x:f>
        <x:v>0</x:v>
      </x:c>
      <x:c r="CV95" s="23" t="n">
        <x:f>MAX(0,MIN('Activities'!L95,576)-MAX('Activities'!K95,570))</x:f>
        <x:v>0</x:v>
      </x:c>
      <x:c r="CW95" s="23" t="n">
        <x:f>MAX(0,MIN('Activities'!L95,582)-MAX('Activities'!K95,576))</x:f>
        <x:v>0</x:v>
      </x:c>
      <x:c r="CX95" s="23" t="n">
        <x:f>MAX(0,MIN('Activities'!L95,588)-MAX('Activities'!K95,582))</x:f>
        <x:v>0</x:v>
      </x:c>
      <x:c r="CY95" s="23" t="n">
        <x:f>MAX(0,MIN('Activities'!L95,594)-MAX('Activities'!K95,588))</x:f>
        <x:v>0</x:v>
      </x:c>
      <x:c r="CZ95" s="23" t="n">
        <x:f>MAX(0,MIN('Activities'!L95,600)-MAX('Activities'!K95,594))</x:f>
        <x:v>0</x:v>
      </x:c>
      <x:c r="DA95" s="23" t="n">
        <x:f>MAX(0,MIN('Activities'!L95,606)-MAX('Activities'!K95,600))</x:f>
        <x:v>0</x:v>
      </x:c>
      <x:c r="DB95" s="23" t="n">
        <x:f>MAX(0,MIN('Activities'!L95,612)-MAX('Activities'!K95,606))</x:f>
        <x:v>0</x:v>
      </x:c>
      <x:c r="DC95" s="23" t="n">
        <x:f>MAX(0,MIN('Activities'!L95,618)-MAX('Activities'!K95,612))</x:f>
        <x:v>0</x:v>
      </x:c>
      <x:c r="DD95" s="23" t="n">
        <x:f>MAX(0,MIN('Activities'!L95,624)-MAX('Activities'!K95,618))</x:f>
        <x:v>0</x:v>
      </x:c>
      <x:c r="DE95" s="23" t="n">
        <x:f>MAX(0,MIN('Activities'!L95,630)-MAX('Activities'!K95,624))</x:f>
        <x:v>0</x:v>
      </x:c>
      <x:c r="DF95" s="23" t="n">
        <x:f>MAX(0,MIN('Activities'!L95,636)-MAX('Activities'!K95,630))</x:f>
        <x:v>0</x:v>
      </x:c>
    </x:row>
    <x:row r="96" ht="23" customHeight="1">
      <x:c r="A96" s="6" t="str">
        <x:v>T1-L04-P</x:v>
      </x:c>
      <x:c r="B96" s="6" t="str">
        <x:v>T1</x:v>
      </x:c>
      <x:c r="C96" s="6" t="str">
        <x:v>Internal plaster</x:v>
      </x:c>
      <x:c r="D96" s="6" t="str">
        <x:v>Finishes</x:v>
      </x:c>
      <x:c r="E96" s="22" t="n">
        <x:f>MAX(0,MIN('Activities'!L96,6)-MAX('Activities'!K96,0))</x:f>
        <x:v>0</x:v>
      </x:c>
      <x:c r="F96" s="22" t="n">
        <x:f>MAX(0,MIN('Activities'!L96,12)-MAX('Activities'!K96,6))</x:f>
        <x:v>0</x:v>
      </x:c>
      <x:c r="G96" s="22" t="n">
        <x:f>MAX(0,MIN('Activities'!L96,18)-MAX('Activities'!K96,12))</x:f>
        <x:v>0</x:v>
      </x:c>
      <x:c r="H96" s="22" t="n">
        <x:f>MAX(0,MIN('Activities'!L96,24)-MAX('Activities'!K96,18))</x:f>
        <x:v>0</x:v>
      </x:c>
      <x:c r="I96" s="22" t="n">
        <x:f>MAX(0,MIN('Activities'!L96,30)-MAX('Activities'!K96,24))</x:f>
        <x:v>0</x:v>
      </x:c>
      <x:c r="J96" s="22" t="n">
        <x:f>MAX(0,MIN('Activities'!L96,36)-MAX('Activities'!K96,30))</x:f>
        <x:v>0</x:v>
      </x:c>
      <x:c r="K96" s="22" t="n">
        <x:f>MAX(0,MIN('Activities'!L96,42)-MAX('Activities'!K96,36))</x:f>
        <x:v>0</x:v>
      </x:c>
      <x:c r="L96" s="22" t="n">
        <x:f>MAX(0,MIN('Activities'!L96,48)-MAX('Activities'!K96,42))</x:f>
        <x:v>0</x:v>
      </x:c>
      <x:c r="M96" s="22" t="n">
        <x:f>MAX(0,MIN('Activities'!L96,54)-MAX('Activities'!K96,48))</x:f>
        <x:v>0</x:v>
      </x:c>
      <x:c r="N96" s="22" t="n">
        <x:f>MAX(0,MIN('Activities'!L96,60)-MAX('Activities'!K96,54))</x:f>
        <x:v>0</x:v>
      </x:c>
      <x:c r="O96" s="22" t="n">
        <x:f>MAX(0,MIN('Activities'!L96,66)-MAX('Activities'!K96,60))</x:f>
        <x:v>0</x:v>
      </x:c>
      <x:c r="P96" s="22" t="n">
        <x:f>MAX(0,MIN('Activities'!L96,72)-MAX('Activities'!K96,66))</x:f>
        <x:v>0</x:v>
      </x:c>
      <x:c r="Q96" s="22" t="n">
        <x:f>MAX(0,MIN('Activities'!L96,78)-MAX('Activities'!K96,72))</x:f>
        <x:v>0</x:v>
      </x:c>
      <x:c r="R96" s="22" t="n">
        <x:f>MAX(0,MIN('Activities'!L96,84)-MAX('Activities'!K96,78))</x:f>
        <x:v>0</x:v>
      </x:c>
      <x:c r="S96" s="22" t="n">
        <x:f>MAX(0,MIN('Activities'!L96,90)-MAX('Activities'!K96,84))</x:f>
        <x:v>0</x:v>
      </x:c>
      <x:c r="T96" s="22" t="n">
        <x:f>MAX(0,MIN('Activities'!L96,96)-MAX('Activities'!K96,90))</x:f>
        <x:v>0</x:v>
      </x:c>
      <x:c r="U96" s="22" t="n">
        <x:f>MAX(0,MIN('Activities'!L96,102)-MAX('Activities'!K96,96))</x:f>
        <x:v>0</x:v>
      </x:c>
      <x:c r="V96" s="22" t="n">
        <x:f>MAX(0,MIN('Activities'!L96,108)-MAX('Activities'!K96,102))</x:f>
        <x:v>0</x:v>
      </x:c>
      <x:c r="W96" s="22" t="n">
        <x:f>MAX(0,MIN('Activities'!L96,114)-MAX('Activities'!K96,108))</x:f>
        <x:v>0</x:v>
      </x:c>
      <x:c r="X96" s="22" t="n">
        <x:f>MAX(0,MIN('Activities'!L96,120)-MAX('Activities'!K96,114))</x:f>
        <x:v>0</x:v>
      </x:c>
      <x:c r="Y96" s="22" t="n">
        <x:f>MAX(0,MIN('Activities'!L96,126)-MAX('Activities'!K96,120))</x:f>
        <x:v>0</x:v>
      </x:c>
      <x:c r="Z96" s="22" t="n">
        <x:f>MAX(0,MIN('Activities'!L96,132)-MAX('Activities'!K96,126))</x:f>
        <x:v>0</x:v>
      </x:c>
      <x:c r="AA96" s="22" t="n">
        <x:f>MAX(0,MIN('Activities'!L96,138)-MAX('Activities'!K96,132))</x:f>
        <x:v>0</x:v>
      </x:c>
      <x:c r="AB96" s="22" t="n">
        <x:f>MAX(0,MIN('Activities'!L96,144)-MAX('Activities'!K96,138))</x:f>
        <x:v>0</x:v>
      </x:c>
      <x:c r="AC96" s="22" t="n">
        <x:f>MAX(0,MIN('Activities'!L96,150)-MAX('Activities'!K96,144))</x:f>
        <x:v>0</x:v>
      </x:c>
      <x:c r="AD96" s="22" t="n">
        <x:f>MAX(0,MIN('Activities'!L96,156)-MAX('Activities'!K96,150))</x:f>
        <x:v>0</x:v>
      </x:c>
      <x:c r="AE96" s="22" t="n">
        <x:f>MAX(0,MIN('Activities'!L96,162)-MAX('Activities'!K96,156))</x:f>
        <x:v>0</x:v>
      </x:c>
      <x:c r="AF96" s="22" t="n">
        <x:f>MAX(0,MIN('Activities'!L96,168)-MAX('Activities'!K96,162))</x:f>
        <x:v>0</x:v>
      </x:c>
      <x:c r="AG96" s="22" t="n">
        <x:f>MAX(0,MIN('Activities'!L96,174)-MAX('Activities'!K96,168))</x:f>
        <x:v>0</x:v>
      </x:c>
      <x:c r="AH96" s="22" t="n">
        <x:f>MAX(0,MIN('Activities'!L96,180)-MAX('Activities'!K96,174))</x:f>
        <x:v>0</x:v>
      </x:c>
      <x:c r="AI96" s="22" t="n">
        <x:f>MAX(0,MIN('Activities'!L96,186)-MAX('Activities'!K96,180))</x:f>
        <x:v>0</x:v>
      </x:c>
      <x:c r="AJ96" s="22" t="n">
        <x:f>MAX(0,MIN('Activities'!L96,192)-MAX('Activities'!K96,186))</x:f>
        <x:v>0</x:v>
      </x:c>
      <x:c r="AK96" s="22" t="n">
        <x:f>MAX(0,MIN('Activities'!L96,198)-MAX('Activities'!K96,192))</x:f>
        <x:v>0</x:v>
      </x:c>
      <x:c r="AL96" s="22" t="n">
        <x:f>MAX(0,MIN('Activities'!L96,204)-MAX('Activities'!K96,198))</x:f>
        <x:v>0</x:v>
      </x:c>
      <x:c r="AM96" s="22" t="n">
        <x:f>MAX(0,MIN('Activities'!L96,210)-MAX('Activities'!K96,204))</x:f>
        <x:v>0</x:v>
      </x:c>
      <x:c r="AN96" s="22" t="n">
        <x:f>MAX(0,MIN('Activities'!L96,216)-MAX('Activities'!K96,210))</x:f>
        <x:v>0</x:v>
      </x:c>
      <x:c r="AO96" s="22" t="n">
        <x:f>MAX(0,MIN('Activities'!L96,222)-MAX('Activities'!K96,216))</x:f>
        <x:v>0</x:v>
      </x:c>
      <x:c r="AP96" s="22" t="n">
        <x:f>MAX(0,MIN('Activities'!L96,228)-MAX('Activities'!K96,222))</x:f>
        <x:v>0</x:v>
      </x:c>
      <x:c r="AQ96" s="22" t="n">
        <x:f>MAX(0,MIN('Activities'!L96,234)-MAX('Activities'!K96,228))</x:f>
        <x:v>0</x:v>
      </x:c>
      <x:c r="AR96" s="22" t="n">
        <x:f>MAX(0,MIN('Activities'!L96,240)-MAX('Activities'!K96,234))</x:f>
        <x:v>0</x:v>
      </x:c>
      <x:c r="AS96" s="22" t="n">
        <x:f>MAX(0,MIN('Activities'!L96,246)-MAX('Activities'!K96,240))</x:f>
        <x:v>0</x:v>
      </x:c>
      <x:c r="AT96" s="22" t="n">
        <x:f>MAX(0,MIN('Activities'!L96,252)-MAX('Activities'!K96,246))</x:f>
        <x:v>0</x:v>
      </x:c>
      <x:c r="AU96" s="22" t="n">
        <x:f>MAX(0,MIN('Activities'!L96,258)-MAX('Activities'!K96,252))</x:f>
        <x:v>0</x:v>
      </x:c>
      <x:c r="AV96" s="22" t="n">
        <x:f>MAX(0,MIN('Activities'!L96,264)-MAX('Activities'!K96,258))</x:f>
        <x:v>0</x:v>
      </x:c>
      <x:c r="AW96" s="22" t="n">
        <x:f>MAX(0,MIN('Activities'!L96,270)-MAX('Activities'!K96,264))</x:f>
        <x:v>0</x:v>
      </x:c>
      <x:c r="AX96" s="22" t="n">
        <x:f>MAX(0,MIN('Activities'!L96,276)-MAX('Activities'!K96,270))</x:f>
        <x:v>0</x:v>
      </x:c>
      <x:c r="AY96" s="22" t="n">
        <x:f>MAX(0,MIN('Activities'!L96,282)-MAX('Activities'!K96,276))</x:f>
        <x:v>0</x:v>
      </x:c>
      <x:c r="AZ96" s="22" t="n">
        <x:f>MAX(0,MIN('Activities'!L96,288)-MAX('Activities'!K96,282))</x:f>
        <x:v>0</x:v>
      </x:c>
      <x:c r="BA96" s="22" t="n">
        <x:f>MAX(0,MIN('Activities'!L96,294)-MAX('Activities'!K96,288))</x:f>
        <x:v>3</x:v>
      </x:c>
      <x:c r="BB96" s="22" t="n">
        <x:f>MAX(0,MIN('Activities'!L96,300)-MAX('Activities'!K96,294))</x:f>
        <x:v>3</x:v>
      </x:c>
      <x:c r="BC96" s="22" t="n">
        <x:f>MAX(0,MIN('Activities'!L96,306)-MAX('Activities'!K96,300))</x:f>
        <x:v>0</x:v>
      </x:c>
      <x:c r="BD96" s="22" t="n">
        <x:f>MAX(0,MIN('Activities'!L96,312)-MAX('Activities'!K96,306))</x:f>
        <x:v>0</x:v>
      </x:c>
      <x:c r="BE96" s="22" t="n">
        <x:f>MAX(0,MIN('Activities'!L96,318)-MAX('Activities'!K96,312))</x:f>
        <x:v>0</x:v>
      </x:c>
      <x:c r="BF96" s="22" t="n">
        <x:f>MAX(0,MIN('Activities'!L96,324)-MAX('Activities'!K96,318))</x:f>
        <x:v>0</x:v>
      </x:c>
      <x:c r="BG96" s="22" t="n">
        <x:f>MAX(0,MIN('Activities'!L96,330)-MAX('Activities'!K96,324))</x:f>
        <x:v>0</x:v>
      </x:c>
      <x:c r="BH96" s="22" t="n">
        <x:f>MAX(0,MIN('Activities'!L96,336)-MAX('Activities'!K96,330))</x:f>
        <x:v>0</x:v>
      </x:c>
      <x:c r="BI96" s="22" t="n">
        <x:f>MAX(0,MIN('Activities'!L96,342)-MAX('Activities'!K96,336))</x:f>
        <x:v>0</x:v>
      </x:c>
      <x:c r="BJ96" s="22" t="n">
        <x:f>MAX(0,MIN('Activities'!L96,348)-MAX('Activities'!K96,342))</x:f>
        <x:v>0</x:v>
      </x:c>
      <x:c r="BK96" s="22" t="n">
        <x:f>MAX(0,MIN('Activities'!L96,354)-MAX('Activities'!K96,348))</x:f>
        <x:v>0</x:v>
      </x:c>
      <x:c r="BL96" s="22" t="n">
        <x:f>MAX(0,MIN('Activities'!L96,360)-MAX('Activities'!K96,354))</x:f>
        <x:v>0</x:v>
      </x:c>
      <x:c r="BM96" s="22" t="n">
        <x:f>MAX(0,MIN('Activities'!L96,366)-MAX('Activities'!K96,360))</x:f>
        <x:v>0</x:v>
      </x:c>
      <x:c r="BN96" s="22" t="n">
        <x:f>MAX(0,MIN('Activities'!L96,372)-MAX('Activities'!K96,366))</x:f>
        <x:v>0</x:v>
      </x:c>
      <x:c r="BO96" s="22" t="n">
        <x:f>MAX(0,MIN('Activities'!L96,378)-MAX('Activities'!K96,372))</x:f>
        <x:v>0</x:v>
      </x:c>
      <x:c r="BP96" s="22" t="n">
        <x:f>MAX(0,MIN('Activities'!L96,384)-MAX('Activities'!K96,378))</x:f>
        <x:v>0</x:v>
      </x:c>
      <x:c r="BQ96" s="22" t="n">
        <x:f>MAX(0,MIN('Activities'!L96,390)-MAX('Activities'!K96,384))</x:f>
        <x:v>0</x:v>
      </x:c>
      <x:c r="BR96" s="22" t="n">
        <x:f>MAX(0,MIN('Activities'!L96,396)-MAX('Activities'!K96,390))</x:f>
        <x:v>0</x:v>
      </x:c>
      <x:c r="BS96" s="22" t="n">
        <x:f>MAX(0,MIN('Activities'!L96,402)-MAX('Activities'!K96,396))</x:f>
        <x:v>0</x:v>
      </x:c>
      <x:c r="BT96" s="22" t="n">
        <x:f>MAX(0,MIN('Activities'!L96,408)-MAX('Activities'!K96,402))</x:f>
        <x:v>0</x:v>
      </x:c>
      <x:c r="BU96" s="22" t="n">
        <x:f>MAX(0,MIN('Activities'!L96,414)-MAX('Activities'!K96,408))</x:f>
        <x:v>0</x:v>
      </x:c>
      <x:c r="BV96" s="22" t="n">
        <x:f>MAX(0,MIN('Activities'!L96,420)-MAX('Activities'!K96,414))</x:f>
        <x:v>0</x:v>
      </x:c>
      <x:c r="BW96" s="22" t="n">
        <x:f>MAX(0,MIN('Activities'!L96,426)-MAX('Activities'!K96,420))</x:f>
        <x:v>0</x:v>
      </x:c>
      <x:c r="BX96" s="22" t="n">
        <x:f>MAX(0,MIN('Activities'!L96,432)-MAX('Activities'!K96,426))</x:f>
        <x:v>0</x:v>
      </x:c>
      <x:c r="BY96" s="22" t="n">
        <x:f>MAX(0,MIN('Activities'!L96,438)-MAX('Activities'!K96,432))</x:f>
        <x:v>0</x:v>
      </x:c>
      <x:c r="BZ96" s="22" t="n">
        <x:f>MAX(0,MIN('Activities'!L96,444)-MAX('Activities'!K96,438))</x:f>
        <x:v>0</x:v>
      </x:c>
      <x:c r="CA96" s="22" t="n">
        <x:f>MAX(0,MIN('Activities'!L96,450)-MAX('Activities'!K96,444))</x:f>
        <x:v>0</x:v>
      </x:c>
      <x:c r="CB96" s="22" t="n">
        <x:f>MAX(0,MIN('Activities'!L96,456)-MAX('Activities'!K96,450))</x:f>
        <x:v>0</x:v>
      </x:c>
      <x:c r="CC96" s="22" t="n">
        <x:f>MAX(0,MIN('Activities'!L96,462)-MAX('Activities'!K96,456))</x:f>
        <x:v>0</x:v>
      </x:c>
      <x:c r="CD96" s="22" t="n">
        <x:f>MAX(0,MIN('Activities'!L96,468)-MAX('Activities'!K96,462))</x:f>
        <x:v>0</x:v>
      </x:c>
      <x:c r="CE96" s="22" t="n">
        <x:f>MAX(0,MIN('Activities'!L96,474)-MAX('Activities'!K96,468))</x:f>
        <x:v>0</x:v>
      </x:c>
      <x:c r="CF96" s="22" t="n">
        <x:f>MAX(0,MIN('Activities'!L96,480)-MAX('Activities'!K96,474))</x:f>
        <x:v>0</x:v>
      </x:c>
      <x:c r="CG96" s="22" t="n">
        <x:f>MAX(0,MIN('Activities'!L96,486)-MAX('Activities'!K96,480))</x:f>
        <x:v>0</x:v>
      </x:c>
      <x:c r="CH96" s="22" t="n">
        <x:f>MAX(0,MIN('Activities'!L96,492)-MAX('Activities'!K96,486))</x:f>
        <x:v>0</x:v>
      </x:c>
      <x:c r="CI96" s="22" t="n">
        <x:f>MAX(0,MIN('Activities'!L96,498)-MAX('Activities'!K96,492))</x:f>
        <x:v>0</x:v>
      </x:c>
      <x:c r="CJ96" s="22" t="n">
        <x:f>MAX(0,MIN('Activities'!L96,504)-MAX('Activities'!K96,498))</x:f>
        <x:v>0</x:v>
      </x:c>
      <x:c r="CK96" s="22" t="n">
        <x:f>MAX(0,MIN('Activities'!L96,510)-MAX('Activities'!K96,504))</x:f>
        <x:v>0</x:v>
      </x:c>
      <x:c r="CL96" s="22" t="n">
        <x:f>MAX(0,MIN('Activities'!L96,516)-MAX('Activities'!K96,510))</x:f>
        <x:v>0</x:v>
      </x:c>
      <x:c r="CM96" s="22" t="n">
        <x:f>MAX(0,MIN('Activities'!L96,522)-MAX('Activities'!K96,516))</x:f>
        <x:v>0</x:v>
      </x:c>
      <x:c r="CN96" s="22" t="n">
        <x:f>MAX(0,MIN('Activities'!L96,528)-MAX('Activities'!K96,522))</x:f>
        <x:v>0</x:v>
      </x:c>
      <x:c r="CO96" s="22" t="n">
        <x:f>MAX(0,MIN('Activities'!L96,534)-MAX('Activities'!K96,528))</x:f>
        <x:v>0</x:v>
      </x:c>
      <x:c r="CP96" s="22" t="n">
        <x:f>MAX(0,MIN('Activities'!L96,540)-MAX('Activities'!K96,534))</x:f>
        <x:v>0</x:v>
      </x:c>
      <x:c r="CQ96" s="22" t="n">
        <x:f>MAX(0,MIN('Activities'!L96,546)-MAX('Activities'!K96,540))</x:f>
        <x:v>0</x:v>
      </x:c>
      <x:c r="CR96" s="22" t="n">
        <x:f>MAX(0,MIN('Activities'!L96,552)-MAX('Activities'!K96,546))</x:f>
        <x:v>0</x:v>
      </x:c>
      <x:c r="CS96" s="22" t="n">
        <x:f>MAX(0,MIN('Activities'!L96,558)-MAX('Activities'!K96,552))</x:f>
        <x:v>0</x:v>
      </x:c>
      <x:c r="CT96" s="22" t="n">
        <x:f>MAX(0,MIN('Activities'!L96,564)-MAX('Activities'!K96,558))</x:f>
        <x:v>0</x:v>
      </x:c>
      <x:c r="CU96" s="22" t="n">
        <x:f>MAX(0,MIN('Activities'!L96,570)-MAX('Activities'!K96,564))</x:f>
        <x:v>0</x:v>
      </x:c>
      <x:c r="CV96" s="22" t="n">
        <x:f>MAX(0,MIN('Activities'!L96,576)-MAX('Activities'!K96,570))</x:f>
        <x:v>0</x:v>
      </x:c>
      <x:c r="CW96" s="22" t="n">
        <x:f>MAX(0,MIN('Activities'!L96,582)-MAX('Activities'!K96,576))</x:f>
        <x:v>0</x:v>
      </x:c>
      <x:c r="CX96" s="22" t="n">
        <x:f>MAX(0,MIN('Activities'!L96,588)-MAX('Activities'!K96,582))</x:f>
        <x:v>0</x:v>
      </x:c>
      <x:c r="CY96" s="22" t="n">
        <x:f>MAX(0,MIN('Activities'!L96,594)-MAX('Activities'!K96,588))</x:f>
        <x:v>0</x:v>
      </x:c>
      <x:c r="CZ96" s="22" t="n">
        <x:f>MAX(0,MIN('Activities'!L96,600)-MAX('Activities'!K96,594))</x:f>
        <x:v>0</x:v>
      </x:c>
      <x:c r="DA96" s="22" t="n">
        <x:f>MAX(0,MIN('Activities'!L96,606)-MAX('Activities'!K96,600))</x:f>
        <x:v>0</x:v>
      </x:c>
      <x:c r="DB96" s="22" t="n">
        <x:f>MAX(0,MIN('Activities'!L96,612)-MAX('Activities'!K96,606))</x:f>
        <x:v>0</x:v>
      </x:c>
      <x:c r="DC96" s="22" t="n">
        <x:f>MAX(0,MIN('Activities'!L96,618)-MAX('Activities'!K96,612))</x:f>
        <x:v>0</x:v>
      </x:c>
      <x:c r="DD96" s="22" t="n">
        <x:f>MAX(0,MIN('Activities'!L96,624)-MAX('Activities'!K96,618))</x:f>
        <x:v>0</x:v>
      </x:c>
      <x:c r="DE96" s="22" t="n">
        <x:f>MAX(0,MIN('Activities'!L96,630)-MAX('Activities'!K96,624))</x:f>
        <x:v>0</x:v>
      </x:c>
      <x:c r="DF96" s="22" t="n">
        <x:f>MAX(0,MIN('Activities'!L96,636)-MAX('Activities'!K96,630))</x:f>
        <x:v>0</x:v>
      </x:c>
    </x:row>
    <x:row r="97" ht="23" customHeight="1">
      <x:c r="A97" s="1" t="str">
        <x:v>T1-L04-S</x:v>
      </x:c>
      <x:c r="B97" s="1" t="str">
        <x:v>T1</x:v>
      </x:c>
      <x:c r="C97" s="1" t="str">
        <x:v>Screed and substrate preparation</x:v>
      </x:c>
      <x:c r="D97" s="1" t="str">
        <x:v>Finishes</x:v>
      </x:c>
      <x:c r="E97" s="23" t="n">
        <x:f>MAX(0,MIN('Activities'!L97,6)-MAX('Activities'!K97,0))</x:f>
        <x:v>0</x:v>
      </x:c>
      <x:c r="F97" s="23" t="n">
        <x:f>MAX(0,MIN('Activities'!L97,12)-MAX('Activities'!K97,6))</x:f>
        <x:v>0</x:v>
      </x:c>
      <x:c r="G97" s="23" t="n">
        <x:f>MAX(0,MIN('Activities'!L97,18)-MAX('Activities'!K97,12))</x:f>
        <x:v>0</x:v>
      </x:c>
      <x:c r="H97" s="23" t="n">
        <x:f>MAX(0,MIN('Activities'!L97,24)-MAX('Activities'!K97,18))</x:f>
        <x:v>0</x:v>
      </x:c>
      <x:c r="I97" s="23" t="n">
        <x:f>MAX(0,MIN('Activities'!L97,30)-MAX('Activities'!K97,24))</x:f>
        <x:v>0</x:v>
      </x:c>
      <x:c r="J97" s="23" t="n">
        <x:f>MAX(0,MIN('Activities'!L97,36)-MAX('Activities'!K97,30))</x:f>
        <x:v>0</x:v>
      </x:c>
      <x:c r="K97" s="23" t="n">
        <x:f>MAX(0,MIN('Activities'!L97,42)-MAX('Activities'!K97,36))</x:f>
        <x:v>0</x:v>
      </x:c>
      <x:c r="L97" s="23" t="n">
        <x:f>MAX(0,MIN('Activities'!L97,48)-MAX('Activities'!K97,42))</x:f>
        <x:v>0</x:v>
      </x:c>
      <x:c r="M97" s="23" t="n">
        <x:f>MAX(0,MIN('Activities'!L97,54)-MAX('Activities'!K97,48))</x:f>
        <x:v>0</x:v>
      </x:c>
      <x:c r="N97" s="23" t="n">
        <x:f>MAX(0,MIN('Activities'!L97,60)-MAX('Activities'!K97,54))</x:f>
        <x:v>0</x:v>
      </x:c>
      <x:c r="O97" s="23" t="n">
        <x:f>MAX(0,MIN('Activities'!L97,66)-MAX('Activities'!K97,60))</x:f>
        <x:v>0</x:v>
      </x:c>
      <x:c r="P97" s="23" t="n">
        <x:f>MAX(0,MIN('Activities'!L97,72)-MAX('Activities'!K97,66))</x:f>
        <x:v>0</x:v>
      </x:c>
      <x:c r="Q97" s="23" t="n">
        <x:f>MAX(0,MIN('Activities'!L97,78)-MAX('Activities'!K97,72))</x:f>
        <x:v>0</x:v>
      </x:c>
      <x:c r="R97" s="23" t="n">
        <x:f>MAX(0,MIN('Activities'!L97,84)-MAX('Activities'!K97,78))</x:f>
        <x:v>0</x:v>
      </x:c>
      <x:c r="S97" s="23" t="n">
        <x:f>MAX(0,MIN('Activities'!L97,90)-MAX('Activities'!K97,84))</x:f>
        <x:v>0</x:v>
      </x:c>
      <x:c r="T97" s="23" t="n">
        <x:f>MAX(0,MIN('Activities'!L97,96)-MAX('Activities'!K97,90))</x:f>
        <x:v>0</x:v>
      </x:c>
      <x:c r="U97" s="23" t="n">
        <x:f>MAX(0,MIN('Activities'!L97,102)-MAX('Activities'!K97,96))</x:f>
        <x:v>0</x:v>
      </x:c>
      <x:c r="V97" s="23" t="n">
        <x:f>MAX(0,MIN('Activities'!L97,108)-MAX('Activities'!K97,102))</x:f>
        <x:v>0</x:v>
      </x:c>
      <x:c r="W97" s="23" t="n">
        <x:f>MAX(0,MIN('Activities'!L97,114)-MAX('Activities'!K97,108))</x:f>
        <x:v>0</x:v>
      </x:c>
      <x:c r="X97" s="23" t="n">
        <x:f>MAX(0,MIN('Activities'!L97,120)-MAX('Activities'!K97,114))</x:f>
        <x:v>0</x:v>
      </x:c>
      <x:c r="Y97" s="23" t="n">
        <x:f>MAX(0,MIN('Activities'!L97,126)-MAX('Activities'!K97,120))</x:f>
        <x:v>0</x:v>
      </x:c>
      <x:c r="Z97" s="23" t="n">
        <x:f>MAX(0,MIN('Activities'!L97,132)-MAX('Activities'!K97,126))</x:f>
        <x:v>0</x:v>
      </x:c>
      <x:c r="AA97" s="23" t="n">
        <x:f>MAX(0,MIN('Activities'!L97,138)-MAX('Activities'!K97,132))</x:f>
        <x:v>0</x:v>
      </x:c>
      <x:c r="AB97" s="23" t="n">
        <x:f>MAX(0,MIN('Activities'!L97,144)-MAX('Activities'!K97,138))</x:f>
        <x:v>0</x:v>
      </x:c>
      <x:c r="AC97" s="23" t="n">
        <x:f>MAX(0,MIN('Activities'!L97,150)-MAX('Activities'!K97,144))</x:f>
        <x:v>0</x:v>
      </x:c>
      <x:c r="AD97" s="23" t="n">
        <x:f>MAX(0,MIN('Activities'!L97,156)-MAX('Activities'!K97,150))</x:f>
        <x:v>0</x:v>
      </x:c>
      <x:c r="AE97" s="23" t="n">
        <x:f>MAX(0,MIN('Activities'!L97,162)-MAX('Activities'!K97,156))</x:f>
        <x:v>0</x:v>
      </x:c>
      <x:c r="AF97" s="23" t="n">
        <x:f>MAX(0,MIN('Activities'!L97,168)-MAX('Activities'!K97,162))</x:f>
        <x:v>0</x:v>
      </x:c>
      <x:c r="AG97" s="23" t="n">
        <x:f>MAX(0,MIN('Activities'!L97,174)-MAX('Activities'!K97,168))</x:f>
        <x:v>0</x:v>
      </x:c>
      <x:c r="AH97" s="23" t="n">
        <x:f>MAX(0,MIN('Activities'!L97,180)-MAX('Activities'!K97,174))</x:f>
        <x:v>0</x:v>
      </x:c>
      <x:c r="AI97" s="23" t="n">
        <x:f>MAX(0,MIN('Activities'!L97,186)-MAX('Activities'!K97,180))</x:f>
        <x:v>0</x:v>
      </x:c>
      <x:c r="AJ97" s="23" t="n">
        <x:f>MAX(0,MIN('Activities'!L97,192)-MAX('Activities'!K97,186))</x:f>
        <x:v>0</x:v>
      </x:c>
      <x:c r="AK97" s="23" t="n">
        <x:f>MAX(0,MIN('Activities'!L97,198)-MAX('Activities'!K97,192))</x:f>
        <x:v>0</x:v>
      </x:c>
      <x:c r="AL97" s="23" t="n">
        <x:f>MAX(0,MIN('Activities'!L97,204)-MAX('Activities'!K97,198))</x:f>
        <x:v>0</x:v>
      </x:c>
      <x:c r="AM97" s="23" t="n">
        <x:f>MAX(0,MIN('Activities'!L97,210)-MAX('Activities'!K97,204))</x:f>
        <x:v>0</x:v>
      </x:c>
      <x:c r="AN97" s="23" t="n">
        <x:f>MAX(0,MIN('Activities'!L97,216)-MAX('Activities'!K97,210))</x:f>
        <x:v>0</x:v>
      </x:c>
      <x:c r="AO97" s="23" t="n">
        <x:f>MAX(0,MIN('Activities'!L97,222)-MAX('Activities'!K97,216))</x:f>
        <x:v>0</x:v>
      </x:c>
      <x:c r="AP97" s="23" t="n">
        <x:f>MAX(0,MIN('Activities'!L97,228)-MAX('Activities'!K97,222))</x:f>
        <x:v>0</x:v>
      </x:c>
      <x:c r="AQ97" s="23" t="n">
        <x:f>MAX(0,MIN('Activities'!L97,234)-MAX('Activities'!K97,228))</x:f>
        <x:v>0</x:v>
      </x:c>
      <x:c r="AR97" s="23" t="n">
        <x:f>MAX(0,MIN('Activities'!L97,240)-MAX('Activities'!K97,234))</x:f>
        <x:v>0</x:v>
      </x:c>
      <x:c r="AS97" s="23" t="n">
        <x:f>MAX(0,MIN('Activities'!L97,246)-MAX('Activities'!K97,240))</x:f>
        <x:v>0</x:v>
      </x:c>
      <x:c r="AT97" s="23" t="n">
        <x:f>MAX(0,MIN('Activities'!L97,252)-MAX('Activities'!K97,246))</x:f>
        <x:v>0</x:v>
      </x:c>
      <x:c r="AU97" s="23" t="n">
        <x:f>MAX(0,MIN('Activities'!L97,258)-MAX('Activities'!K97,252))</x:f>
        <x:v>0</x:v>
      </x:c>
      <x:c r="AV97" s="23" t="n">
        <x:f>MAX(0,MIN('Activities'!L97,264)-MAX('Activities'!K97,258))</x:f>
        <x:v>0</x:v>
      </x:c>
      <x:c r="AW97" s="23" t="n">
        <x:f>MAX(0,MIN('Activities'!L97,270)-MAX('Activities'!K97,264))</x:f>
        <x:v>0</x:v>
      </x:c>
      <x:c r="AX97" s="23" t="n">
        <x:f>MAX(0,MIN('Activities'!L97,276)-MAX('Activities'!K97,270))</x:f>
        <x:v>0</x:v>
      </x:c>
      <x:c r="AY97" s="23" t="n">
        <x:f>MAX(0,MIN('Activities'!L97,282)-MAX('Activities'!K97,276))</x:f>
        <x:v>0</x:v>
      </x:c>
      <x:c r="AZ97" s="23" t="n">
        <x:f>MAX(0,MIN('Activities'!L97,288)-MAX('Activities'!K97,282))</x:f>
        <x:v>0</x:v>
      </x:c>
      <x:c r="BA97" s="23" t="n">
        <x:f>MAX(0,MIN('Activities'!L97,294)-MAX('Activities'!K97,288))</x:f>
        <x:v>0</x:v>
      </x:c>
      <x:c r="BB97" s="23" t="n">
        <x:f>MAX(0,MIN('Activities'!L97,300)-MAX('Activities'!K97,294))</x:f>
        <x:v>1</x:v>
      </x:c>
      <x:c r="BC97" s="23" t="n">
        <x:f>MAX(0,MIN('Activities'!L97,306)-MAX('Activities'!K97,300))</x:f>
        <x:v>2</x:v>
      </x:c>
      <x:c r="BD97" s="23" t="n">
        <x:f>MAX(0,MIN('Activities'!L97,312)-MAX('Activities'!K97,306))</x:f>
        <x:v>0</x:v>
      </x:c>
      <x:c r="BE97" s="23" t="n">
        <x:f>MAX(0,MIN('Activities'!L97,318)-MAX('Activities'!K97,312))</x:f>
        <x:v>0</x:v>
      </x:c>
      <x:c r="BF97" s="23" t="n">
        <x:f>MAX(0,MIN('Activities'!L97,324)-MAX('Activities'!K97,318))</x:f>
        <x:v>0</x:v>
      </x:c>
      <x:c r="BG97" s="23" t="n">
        <x:f>MAX(0,MIN('Activities'!L97,330)-MAX('Activities'!K97,324))</x:f>
        <x:v>0</x:v>
      </x:c>
      <x:c r="BH97" s="23" t="n">
        <x:f>MAX(0,MIN('Activities'!L97,336)-MAX('Activities'!K97,330))</x:f>
        <x:v>0</x:v>
      </x:c>
      <x:c r="BI97" s="23" t="n">
        <x:f>MAX(0,MIN('Activities'!L97,342)-MAX('Activities'!K97,336))</x:f>
        <x:v>0</x:v>
      </x:c>
      <x:c r="BJ97" s="23" t="n">
        <x:f>MAX(0,MIN('Activities'!L97,348)-MAX('Activities'!K97,342))</x:f>
        <x:v>0</x:v>
      </x:c>
      <x:c r="BK97" s="23" t="n">
        <x:f>MAX(0,MIN('Activities'!L97,354)-MAX('Activities'!K97,348))</x:f>
        <x:v>0</x:v>
      </x:c>
      <x:c r="BL97" s="23" t="n">
        <x:f>MAX(0,MIN('Activities'!L97,360)-MAX('Activities'!K97,354))</x:f>
        <x:v>0</x:v>
      </x:c>
      <x:c r="BM97" s="23" t="n">
        <x:f>MAX(0,MIN('Activities'!L97,366)-MAX('Activities'!K97,360))</x:f>
        <x:v>0</x:v>
      </x:c>
      <x:c r="BN97" s="23" t="n">
        <x:f>MAX(0,MIN('Activities'!L97,372)-MAX('Activities'!K97,366))</x:f>
        <x:v>0</x:v>
      </x:c>
      <x:c r="BO97" s="23" t="n">
        <x:f>MAX(0,MIN('Activities'!L97,378)-MAX('Activities'!K97,372))</x:f>
        <x:v>0</x:v>
      </x:c>
      <x:c r="BP97" s="23" t="n">
        <x:f>MAX(0,MIN('Activities'!L97,384)-MAX('Activities'!K97,378))</x:f>
        <x:v>0</x:v>
      </x:c>
      <x:c r="BQ97" s="23" t="n">
        <x:f>MAX(0,MIN('Activities'!L97,390)-MAX('Activities'!K97,384))</x:f>
        <x:v>0</x:v>
      </x:c>
      <x:c r="BR97" s="23" t="n">
        <x:f>MAX(0,MIN('Activities'!L97,396)-MAX('Activities'!K97,390))</x:f>
        <x:v>0</x:v>
      </x:c>
      <x:c r="BS97" s="23" t="n">
        <x:f>MAX(0,MIN('Activities'!L97,402)-MAX('Activities'!K97,396))</x:f>
        <x:v>0</x:v>
      </x:c>
      <x:c r="BT97" s="23" t="n">
        <x:f>MAX(0,MIN('Activities'!L97,408)-MAX('Activities'!K97,402))</x:f>
        <x:v>0</x:v>
      </x:c>
      <x:c r="BU97" s="23" t="n">
        <x:f>MAX(0,MIN('Activities'!L97,414)-MAX('Activities'!K97,408))</x:f>
        <x:v>0</x:v>
      </x:c>
      <x:c r="BV97" s="23" t="n">
        <x:f>MAX(0,MIN('Activities'!L97,420)-MAX('Activities'!K97,414))</x:f>
        <x:v>0</x:v>
      </x:c>
      <x:c r="BW97" s="23" t="n">
        <x:f>MAX(0,MIN('Activities'!L97,426)-MAX('Activities'!K97,420))</x:f>
        <x:v>0</x:v>
      </x:c>
      <x:c r="BX97" s="23" t="n">
        <x:f>MAX(0,MIN('Activities'!L97,432)-MAX('Activities'!K97,426))</x:f>
        <x:v>0</x:v>
      </x:c>
      <x:c r="BY97" s="23" t="n">
        <x:f>MAX(0,MIN('Activities'!L97,438)-MAX('Activities'!K97,432))</x:f>
        <x:v>0</x:v>
      </x:c>
      <x:c r="BZ97" s="23" t="n">
        <x:f>MAX(0,MIN('Activities'!L97,444)-MAX('Activities'!K97,438))</x:f>
        <x:v>0</x:v>
      </x:c>
      <x:c r="CA97" s="23" t="n">
        <x:f>MAX(0,MIN('Activities'!L97,450)-MAX('Activities'!K97,444))</x:f>
        <x:v>0</x:v>
      </x:c>
      <x:c r="CB97" s="23" t="n">
        <x:f>MAX(0,MIN('Activities'!L97,456)-MAX('Activities'!K97,450))</x:f>
        <x:v>0</x:v>
      </x:c>
      <x:c r="CC97" s="23" t="n">
        <x:f>MAX(0,MIN('Activities'!L97,462)-MAX('Activities'!K97,456))</x:f>
        <x:v>0</x:v>
      </x:c>
      <x:c r="CD97" s="23" t="n">
        <x:f>MAX(0,MIN('Activities'!L97,468)-MAX('Activities'!K97,462))</x:f>
        <x:v>0</x:v>
      </x:c>
      <x:c r="CE97" s="23" t="n">
        <x:f>MAX(0,MIN('Activities'!L97,474)-MAX('Activities'!K97,468))</x:f>
        <x:v>0</x:v>
      </x:c>
      <x:c r="CF97" s="23" t="n">
        <x:f>MAX(0,MIN('Activities'!L97,480)-MAX('Activities'!K97,474))</x:f>
        <x:v>0</x:v>
      </x:c>
      <x:c r="CG97" s="23" t="n">
        <x:f>MAX(0,MIN('Activities'!L97,486)-MAX('Activities'!K97,480))</x:f>
        <x:v>0</x:v>
      </x:c>
      <x:c r="CH97" s="23" t="n">
        <x:f>MAX(0,MIN('Activities'!L97,492)-MAX('Activities'!K97,486))</x:f>
        <x:v>0</x:v>
      </x:c>
      <x:c r="CI97" s="23" t="n">
        <x:f>MAX(0,MIN('Activities'!L97,498)-MAX('Activities'!K97,492))</x:f>
        <x:v>0</x:v>
      </x:c>
      <x:c r="CJ97" s="23" t="n">
        <x:f>MAX(0,MIN('Activities'!L97,504)-MAX('Activities'!K97,498))</x:f>
        <x:v>0</x:v>
      </x:c>
      <x:c r="CK97" s="23" t="n">
        <x:f>MAX(0,MIN('Activities'!L97,510)-MAX('Activities'!K97,504))</x:f>
        <x:v>0</x:v>
      </x:c>
      <x:c r="CL97" s="23" t="n">
        <x:f>MAX(0,MIN('Activities'!L97,516)-MAX('Activities'!K97,510))</x:f>
        <x:v>0</x:v>
      </x:c>
      <x:c r="CM97" s="23" t="n">
        <x:f>MAX(0,MIN('Activities'!L97,522)-MAX('Activities'!K97,516))</x:f>
        <x:v>0</x:v>
      </x:c>
      <x:c r="CN97" s="23" t="n">
        <x:f>MAX(0,MIN('Activities'!L97,528)-MAX('Activities'!K97,522))</x:f>
        <x:v>0</x:v>
      </x:c>
      <x:c r="CO97" s="23" t="n">
        <x:f>MAX(0,MIN('Activities'!L97,534)-MAX('Activities'!K97,528))</x:f>
        <x:v>0</x:v>
      </x:c>
      <x:c r="CP97" s="23" t="n">
        <x:f>MAX(0,MIN('Activities'!L97,540)-MAX('Activities'!K97,534))</x:f>
        <x:v>0</x:v>
      </x:c>
      <x:c r="CQ97" s="23" t="n">
        <x:f>MAX(0,MIN('Activities'!L97,546)-MAX('Activities'!K97,540))</x:f>
        <x:v>0</x:v>
      </x:c>
      <x:c r="CR97" s="23" t="n">
        <x:f>MAX(0,MIN('Activities'!L97,552)-MAX('Activities'!K97,546))</x:f>
        <x:v>0</x:v>
      </x:c>
      <x:c r="CS97" s="23" t="n">
        <x:f>MAX(0,MIN('Activities'!L97,558)-MAX('Activities'!K97,552))</x:f>
        <x:v>0</x:v>
      </x:c>
      <x:c r="CT97" s="23" t="n">
        <x:f>MAX(0,MIN('Activities'!L97,564)-MAX('Activities'!K97,558))</x:f>
        <x:v>0</x:v>
      </x:c>
      <x:c r="CU97" s="23" t="n">
        <x:f>MAX(0,MIN('Activities'!L97,570)-MAX('Activities'!K97,564))</x:f>
        <x:v>0</x:v>
      </x:c>
      <x:c r="CV97" s="23" t="n">
        <x:f>MAX(0,MIN('Activities'!L97,576)-MAX('Activities'!K97,570))</x:f>
        <x:v>0</x:v>
      </x:c>
      <x:c r="CW97" s="23" t="n">
        <x:f>MAX(0,MIN('Activities'!L97,582)-MAX('Activities'!K97,576))</x:f>
        <x:v>0</x:v>
      </x:c>
      <x:c r="CX97" s="23" t="n">
        <x:f>MAX(0,MIN('Activities'!L97,588)-MAX('Activities'!K97,582))</x:f>
        <x:v>0</x:v>
      </x:c>
      <x:c r="CY97" s="23" t="n">
        <x:f>MAX(0,MIN('Activities'!L97,594)-MAX('Activities'!K97,588))</x:f>
        <x:v>0</x:v>
      </x:c>
      <x:c r="CZ97" s="23" t="n">
        <x:f>MAX(0,MIN('Activities'!L97,600)-MAX('Activities'!K97,594))</x:f>
        <x:v>0</x:v>
      </x:c>
      <x:c r="DA97" s="23" t="n">
        <x:f>MAX(0,MIN('Activities'!L97,606)-MAX('Activities'!K97,600))</x:f>
        <x:v>0</x:v>
      </x:c>
      <x:c r="DB97" s="23" t="n">
        <x:f>MAX(0,MIN('Activities'!L97,612)-MAX('Activities'!K97,606))</x:f>
        <x:v>0</x:v>
      </x:c>
      <x:c r="DC97" s="23" t="n">
        <x:f>MAX(0,MIN('Activities'!L97,618)-MAX('Activities'!K97,612))</x:f>
        <x:v>0</x:v>
      </x:c>
      <x:c r="DD97" s="23" t="n">
        <x:f>MAX(0,MIN('Activities'!L97,624)-MAX('Activities'!K97,618))</x:f>
        <x:v>0</x:v>
      </x:c>
      <x:c r="DE97" s="23" t="n">
        <x:f>MAX(0,MIN('Activities'!L97,630)-MAX('Activities'!K97,624))</x:f>
        <x:v>0</x:v>
      </x:c>
      <x:c r="DF97" s="23" t="n">
        <x:f>MAX(0,MIN('Activities'!L97,636)-MAX('Activities'!K97,630))</x:f>
        <x:v>0</x:v>
      </x:c>
    </x:row>
    <x:row r="98" ht="23" customHeight="1">
      <x:c r="A98" s="6" t="str">
        <x:v>T1-L04-T</x:v>
      </x:c>
      <x:c r="B98" s="6" t="str">
        <x:v>T1</x:v>
      </x:c>
      <x:c r="C98" s="6" t="str">
        <x:v>Floor finishes and skirtings</x:v>
      </x:c>
      <x:c r="D98" s="6" t="str">
        <x:v>Finishes</x:v>
      </x:c>
      <x:c r="E98" s="22" t="n">
        <x:f>MAX(0,MIN('Activities'!L98,6)-MAX('Activities'!K98,0))</x:f>
        <x:v>0</x:v>
      </x:c>
      <x:c r="F98" s="22" t="n">
        <x:f>MAX(0,MIN('Activities'!L98,12)-MAX('Activities'!K98,6))</x:f>
        <x:v>0</x:v>
      </x:c>
      <x:c r="G98" s="22" t="n">
        <x:f>MAX(0,MIN('Activities'!L98,18)-MAX('Activities'!K98,12))</x:f>
        <x:v>0</x:v>
      </x:c>
      <x:c r="H98" s="22" t="n">
        <x:f>MAX(0,MIN('Activities'!L98,24)-MAX('Activities'!K98,18))</x:f>
        <x:v>0</x:v>
      </x:c>
      <x:c r="I98" s="22" t="n">
        <x:f>MAX(0,MIN('Activities'!L98,30)-MAX('Activities'!K98,24))</x:f>
        <x:v>0</x:v>
      </x:c>
      <x:c r="J98" s="22" t="n">
        <x:f>MAX(0,MIN('Activities'!L98,36)-MAX('Activities'!K98,30))</x:f>
        <x:v>0</x:v>
      </x:c>
      <x:c r="K98" s="22" t="n">
        <x:f>MAX(0,MIN('Activities'!L98,42)-MAX('Activities'!K98,36))</x:f>
        <x:v>0</x:v>
      </x:c>
      <x:c r="L98" s="22" t="n">
        <x:f>MAX(0,MIN('Activities'!L98,48)-MAX('Activities'!K98,42))</x:f>
        <x:v>0</x:v>
      </x:c>
      <x:c r="M98" s="22" t="n">
        <x:f>MAX(0,MIN('Activities'!L98,54)-MAX('Activities'!K98,48))</x:f>
        <x:v>0</x:v>
      </x:c>
      <x:c r="N98" s="22" t="n">
        <x:f>MAX(0,MIN('Activities'!L98,60)-MAX('Activities'!K98,54))</x:f>
        <x:v>0</x:v>
      </x:c>
      <x:c r="O98" s="22" t="n">
        <x:f>MAX(0,MIN('Activities'!L98,66)-MAX('Activities'!K98,60))</x:f>
        <x:v>0</x:v>
      </x:c>
      <x:c r="P98" s="22" t="n">
        <x:f>MAX(0,MIN('Activities'!L98,72)-MAX('Activities'!K98,66))</x:f>
        <x:v>0</x:v>
      </x:c>
      <x:c r="Q98" s="22" t="n">
        <x:f>MAX(0,MIN('Activities'!L98,78)-MAX('Activities'!K98,72))</x:f>
        <x:v>0</x:v>
      </x:c>
      <x:c r="R98" s="22" t="n">
        <x:f>MAX(0,MIN('Activities'!L98,84)-MAX('Activities'!K98,78))</x:f>
        <x:v>0</x:v>
      </x:c>
      <x:c r="S98" s="22" t="n">
        <x:f>MAX(0,MIN('Activities'!L98,90)-MAX('Activities'!K98,84))</x:f>
        <x:v>0</x:v>
      </x:c>
      <x:c r="T98" s="22" t="n">
        <x:f>MAX(0,MIN('Activities'!L98,96)-MAX('Activities'!K98,90))</x:f>
        <x:v>0</x:v>
      </x:c>
      <x:c r="U98" s="22" t="n">
        <x:f>MAX(0,MIN('Activities'!L98,102)-MAX('Activities'!K98,96))</x:f>
        <x:v>0</x:v>
      </x:c>
      <x:c r="V98" s="22" t="n">
        <x:f>MAX(0,MIN('Activities'!L98,108)-MAX('Activities'!K98,102))</x:f>
        <x:v>0</x:v>
      </x:c>
      <x:c r="W98" s="22" t="n">
        <x:f>MAX(0,MIN('Activities'!L98,114)-MAX('Activities'!K98,108))</x:f>
        <x:v>0</x:v>
      </x:c>
      <x:c r="X98" s="22" t="n">
        <x:f>MAX(0,MIN('Activities'!L98,120)-MAX('Activities'!K98,114))</x:f>
        <x:v>0</x:v>
      </x:c>
      <x:c r="Y98" s="22" t="n">
        <x:f>MAX(0,MIN('Activities'!L98,126)-MAX('Activities'!K98,120))</x:f>
        <x:v>0</x:v>
      </x:c>
      <x:c r="Z98" s="22" t="n">
        <x:f>MAX(0,MIN('Activities'!L98,132)-MAX('Activities'!K98,126))</x:f>
        <x:v>0</x:v>
      </x:c>
      <x:c r="AA98" s="22" t="n">
        <x:f>MAX(0,MIN('Activities'!L98,138)-MAX('Activities'!K98,132))</x:f>
        <x:v>0</x:v>
      </x:c>
      <x:c r="AB98" s="22" t="n">
        <x:f>MAX(0,MIN('Activities'!L98,144)-MAX('Activities'!K98,138))</x:f>
        <x:v>0</x:v>
      </x:c>
      <x:c r="AC98" s="22" t="n">
        <x:f>MAX(0,MIN('Activities'!L98,150)-MAX('Activities'!K98,144))</x:f>
        <x:v>0</x:v>
      </x:c>
      <x:c r="AD98" s="22" t="n">
        <x:f>MAX(0,MIN('Activities'!L98,156)-MAX('Activities'!K98,150))</x:f>
        <x:v>0</x:v>
      </x:c>
      <x:c r="AE98" s="22" t="n">
        <x:f>MAX(0,MIN('Activities'!L98,162)-MAX('Activities'!K98,156))</x:f>
        <x:v>0</x:v>
      </x:c>
      <x:c r="AF98" s="22" t="n">
        <x:f>MAX(0,MIN('Activities'!L98,168)-MAX('Activities'!K98,162))</x:f>
        <x:v>0</x:v>
      </x:c>
      <x:c r="AG98" s="22" t="n">
        <x:f>MAX(0,MIN('Activities'!L98,174)-MAX('Activities'!K98,168))</x:f>
        <x:v>0</x:v>
      </x:c>
      <x:c r="AH98" s="22" t="n">
        <x:f>MAX(0,MIN('Activities'!L98,180)-MAX('Activities'!K98,174))</x:f>
        <x:v>0</x:v>
      </x:c>
      <x:c r="AI98" s="22" t="n">
        <x:f>MAX(0,MIN('Activities'!L98,186)-MAX('Activities'!K98,180))</x:f>
        <x:v>0</x:v>
      </x:c>
      <x:c r="AJ98" s="22" t="n">
        <x:f>MAX(0,MIN('Activities'!L98,192)-MAX('Activities'!K98,186))</x:f>
        <x:v>0</x:v>
      </x:c>
      <x:c r="AK98" s="22" t="n">
        <x:f>MAX(0,MIN('Activities'!L98,198)-MAX('Activities'!K98,192))</x:f>
        <x:v>0</x:v>
      </x:c>
      <x:c r="AL98" s="22" t="n">
        <x:f>MAX(0,MIN('Activities'!L98,204)-MAX('Activities'!K98,198))</x:f>
        <x:v>0</x:v>
      </x:c>
      <x:c r="AM98" s="22" t="n">
        <x:f>MAX(0,MIN('Activities'!L98,210)-MAX('Activities'!K98,204))</x:f>
        <x:v>0</x:v>
      </x:c>
      <x:c r="AN98" s="22" t="n">
        <x:f>MAX(0,MIN('Activities'!L98,216)-MAX('Activities'!K98,210))</x:f>
        <x:v>0</x:v>
      </x:c>
      <x:c r="AO98" s="22" t="n">
        <x:f>MAX(0,MIN('Activities'!L98,222)-MAX('Activities'!K98,216))</x:f>
        <x:v>0</x:v>
      </x:c>
      <x:c r="AP98" s="22" t="n">
        <x:f>MAX(0,MIN('Activities'!L98,228)-MAX('Activities'!K98,222))</x:f>
        <x:v>0</x:v>
      </x:c>
      <x:c r="AQ98" s="22" t="n">
        <x:f>MAX(0,MIN('Activities'!L98,234)-MAX('Activities'!K98,228))</x:f>
        <x:v>0</x:v>
      </x:c>
      <x:c r="AR98" s="22" t="n">
        <x:f>MAX(0,MIN('Activities'!L98,240)-MAX('Activities'!K98,234))</x:f>
        <x:v>0</x:v>
      </x:c>
      <x:c r="AS98" s="22" t="n">
        <x:f>MAX(0,MIN('Activities'!L98,246)-MAX('Activities'!K98,240))</x:f>
        <x:v>0</x:v>
      </x:c>
      <x:c r="AT98" s="22" t="n">
        <x:f>MAX(0,MIN('Activities'!L98,252)-MAX('Activities'!K98,246))</x:f>
        <x:v>0</x:v>
      </x:c>
      <x:c r="AU98" s="22" t="n">
        <x:f>MAX(0,MIN('Activities'!L98,258)-MAX('Activities'!K98,252))</x:f>
        <x:v>0</x:v>
      </x:c>
      <x:c r="AV98" s="22" t="n">
        <x:f>MAX(0,MIN('Activities'!L98,264)-MAX('Activities'!K98,258))</x:f>
        <x:v>0</x:v>
      </x:c>
      <x:c r="AW98" s="22" t="n">
        <x:f>MAX(0,MIN('Activities'!L98,270)-MAX('Activities'!K98,264))</x:f>
        <x:v>0</x:v>
      </x:c>
      <x:c r="AX98" s="22" t="n">
        <x:f>MAX(0,MIN('Activities'!L98,276)-MAX('Activities'!K98,270))</x:f>
        <x:v>0</x:v>
      </x:c>
      <x:c r="AY98" s="22" t="n">
        <x:f>MAX(0,MIN('Activities'!L98,282)-MAX('Activities'!K98,276))</x:f>
        <x:v>0</x:v>
      </x:c>
      <x:c r="AZ98" s="22" t="n">
        <x:f>MAX(0,MIN('Activities'!L98,288)-MAX('Activities'!K98,282))</x:f>
        <x:v>0</x:v>
      </x:c>
      <x:c r="BA98" s="22" t="n">
        <x:f>MAX(0,MIN('Activities'!L98,294)-MAX('Activities'!K98,288))</x:f>
        <x:v>0</x:v>
      </x:c>
      <x:c r="BB98" s="22" t="n">
        <x:f>MAX(0,MIN('Activities'!L98,300)-MAX('Activities'!K98,294))</x:f>
        <x:v>0</x:v>
      </x:c>
      <x:c r="BC98" s="22" t="n">
        <x:f>MAX(0,MIN('Activities'!L98,306)-MAX('Activities'!K98,300))</x:f>
        <x:v>0</x:v>
      </x:c>
      <x:c r="BD98" s="22" t="n">
        <x:f>MAX(0,MIN('Activities'!L98,312)-MAX('Activities'!K98,306))</x:f>
        <x:v>0</x:v>
      </x:c>
      <x:c r="BE98" s="22" t="n">
        <x:f>MAX(0,MIN('Activities'!L98,318)-MAX('Activities'!K98,312))</x:f>
        <x:v>0</x:v>
      </x:c>
      <x:c r="BF98" s="22" t="n">
        <x:f>MAX(0,MIN('Activities'!L98,324)-MAX('Activities'!K98,318))</x:f>
        <x:v>0</x:v>
      </x:c>
      <x:c r="BG98" s="22" t="n">
        <x:f>MAX(0,MIN('Activities'!L98,330)-MAX('Activities'!K98,324))</x:f>
        <x:v>0</x:v>
      </x:c>
      <x:c r="BH98" s="22" t="n">
        <x:f>MAX(0,MIN('Activities'!L98,336)-MAX('Activities'!K98,330))</x:f>
        <x:v>0</x:v>
      </x:c>
      <x:c r="BI98" s="22" t="n">
        <x:f>MAX(0,MIN('Activities'!L98,342)-MAX('Activities'!K98,336))</x:f>
        <x:v>0</x:v>
      </x:c>
      <x:c r="BJ98" s="22" t="n">
        <x:f>MAX(0,MIN('Activities'!L98,348)-MAX('Activities'!K98,342))</x:f>
        <x:v>0</x:v>
      </x:c>
      <x:c r="BK98" s="22" t="n">
        <x:f>MAX(0,MIN('Activities'!L98,354)-MAX('Activities'!K98,348))</x:f>
        <x:v>0</x:v>
      </x:c>
      <x:c r="BL98" s="22" t="n">
        <x:f>MAX(0,MIN('Activities'!L98,360)-MAX('Activities'!K98,354))</x:f>
        <x:v>0</x:v>
      </x:c>
      <x:c r="BM98" s="22" t="n">
        <x:f>MAX(0,MIN('Activities'!L98,366)-MAX('Activities'!K98,360))</x:f>
        <x:v>0</x:v>
      </x:c>
      <x:c r="BN98" s="22" t="n">
        <x:f>MAX(0,MIN('Activities'!L98,372)-MAX('Activities'!K98,366))</x:f>
        <x:v>0</x:v>
      </x:c>
      <x:c r="BO98" s="22" t="n">
        <x:f>MAX(0,MIN('Activities'!L98,378)-MAX('Activities'!K98,372))</x:f>
        <x:v>0</x:v>
      </x:c>
      <x:c r="BP98" s="22" t="n">
        <x:f>MAX(0,MIN('Activities'!L98,384)-MAX('Activities'!K98,378))</x:f>
        <x:v>0</x:v>
      </x:c>
      <x:c r="BQ98" s="22" t="n">
        <x:f>MAX(0,MIN('Activities'!L98,390)-MAX('Activities'!K98,384))</x:f>
        <x:v>0</x:v>
      </x:c>
      <x:c r="BR98" s="22" t="n">
        <x:f>MAX(0,MIN('Activities'!L98,396)-MAX('Activities'!K98,390))</x:f>
        <x:v>0</x:v>
      </x:c>
      <x:c r="BS98" s="22" t="n">
        <x:f>MAX(0,MIN('Activities'!L98,402)-MAX('Activities'!K98,396))</x:f>
        <x:v>1</x:v>
      </x:c>
      <x:c r="BT98" s="22" t="n">
        <x:f>MAX(0,MIN('Activities'!L98,408)-MAX('Activities'!K98,402))</x:f>
        <x:v>5</x:v>
      </x:c>
      <x:c r="BU98" s="22" t="n">
        <x:f>MAX(0,MIN('Activities'!L98,414)-MAX('Activities'!K98,408))</x:f>
        <x:v>0</x:v>
      </x:c>
      <x:c r="BV98" s="22" t="n">
        <x:f>MAX(0,MIN('Activities'!L98,420)-MAX('Activities'!K98,414))</x:f>
        <x:v>0</x:v>
      </x:c>
      <x:c r="BW98" s="22" t="n">
        <x:f>MAX(0,MIN('Activities'!L98,426)-MAX('Activities'!K98,420))</x:f>
        <x:v>0</x:v>
      </x:c>
      <x:c r="BX98" s="22" t="n">
        <x:f>MAX(0,MIN('Activities'!L98,432)-MAX('Activities'!K98,426))</x:f>
        <x:v>0</x:v>
      </x:c>
      <x:c r="BY98" s="22" t="n">
        <x:f>MAX(0,MIN('Activities'!L98,438)-MAX('Activities'!K98,432))</x:f>
        <x:v>0</x:v>
      </x:c>
      <x:c r="BZ98" s="22" t="n">
        <x:f>MAX(0,MIN('Activities'!L98,444)-MAX('Activities'!K98,438))</x:f>
        <x:v>0</x:v>
      </x:c>
      <x:c r="CA98" s="22" t="n">
        <x:f>MAX(0,MIN('Activities'!L98,450)-MAX('Activities'!K98,444))</x:f>
        <x:v>0</x:v>
      </x:c>
      <x:c r="CB98" s="22" t="n">
        <x:f>MAX(0,MIN('Activities'!L98,456)-MAX('Activities'!K98,450))</x:f>
        <x:v>0</x:v>
      </x:c>
      <x:c r="CC98" s="22" t="n">
        <x:f>MAX(0,MIN('Activities'!L98,462)-MAX('Activities'!K98,456))</x:f>
        <x:v>0</x:v>
      </x:c>
      <x:c r="CD98" s="22" t="n">
        <x:f>MAX(0,MIN('Activities'!L98,468)-MAX('Activities'!K98,462))</x:f>
        <x:v>0</x:v>
      </x:c>
      <x:c r="CE98" s="22" t="n">
        <x:f>MAX(0,MIN('Activities'!L98,474)-MAX('Activities'!K98,468))</x:f>
        <x:v>0</x:v>
      </x:c>
      <x:c r="CF98" s="22" t="n">
        <x:f>MAX(0,MIN('Activities'!L98,480)-MAX('Activities'!K98,474))</x:f>
        <x:v>0</x:v>
      </x:c>
      <x:c r="CG98" s="22" t="n">
        <x:f>MAX(0,MIN('Activities'!L98,486)-MAX('Activities'!K98,480))</x:f>
        <x:v>0</x:v>
      </x:c>
      <x:c r="CH98" s="22" t="n">
        <x:f>MAX(0,MIN('Activities'!L98,492)-MAX('Activities'!K98,486))</x:f>
        <x:v>0</x:v>
      </x:c>
      <x:c r="CI98" s="22" t="n">
        <x:f>MAX(0,MIN('Activities'!L98,498)-MAX('Activities'!K98,492))</x:f>
        <x:v>0</x:v>
      </x:c>
      <x:c r="CJ98" s="22" t="n">
        <x:f>MAX(0,MIN('Activities'!L98,504)-MAX('Activities'!K98,498))</x:f>
        <x:v>0</x:v>
      </x:c>
      <x:c r="CK98" s="22" t="n">
        <x:f>MAX(0,MIN('Activities'!L98,510)-MAX('Activities'!K98,504))</x:f>
        <x:v>0</x:v>
      </x:c>
      <x:c r="CL98" s="22" t="n">
        <x:f>MAX(0,MIN('Activities'!L98,516)-MAX('Activities'!K98,510))</x:f>
        <x:v>0</x:v>
      </x:c>
      <x:c r="CM98" s="22" t="n">
        <x:f>MAX(0,MIN('Activities'!L98,522)-MAX('Activities'!K98,516))</x:f>
        <x:v>0</x:v>
      </x:c>
      <x:c r="CN98" s="22" t="n">
        <x:f>MAX(0,MIN('Activities'!L98,528)-MAX('Activities'!K98,522))</x:f>
        <x:v>0</x:v>
      </x:c>
      <x:c r="CO98" s="22" t="n">
        <x:f>MAX(0,MIN('Activities'!L98,534)-MAX('Activities'!K98,528))</x:f>
        <x:v>0</x:v>
      </x:c>
      <x:c r="CP98" s="22" t="n">
        <x:f>MAX(0,MIN('Activities'!L98,540)-MAX('Activities'!K98,534))</x:f>
        <x:v>0</x:v>
      </x:c>
      <x:c r="CQ98" s="22" t="n">
        <x:f>MAX(0,MIN('Activities'!L98,546)-MAX('Activities'!K98,540))</x:f>
        <x:v>0</x:v>
      </x:c>
      <x:c r="CR98" s="22" t="n">
        <x:f>MAX(0,MIN('Activities'!L98,552)-MAX('Activities'!K98,546))</x:f>
        <x:v>0</x:v>
      </x:c>
      <x:c r="CS98" s="22" t="n">
        <x:f>MAX(0,MIN('Activities'!L98,558)-MAX('Activities'!K98,552))</x:f>
        <x:v>0</x:v>
      </x:c>
      <x:c r="CT98" s="22" t="n">
        <x:f>MAX(0,MIN('Activities'!L98,564)-MAX('Activities'!K98,558))</x:f>
        <x:v>0</x:v>
      </x:c>
      <x:c r="CU98" s="22" t="n">
        <x:f>MAX(0,MIN('Activities'!L98,570)-MAX('Activities'!K98,564))</x:f>
        <x:v>0</x:v>
      </x:c>
      <x:c r="CV98" s="22" t="n">
        <x:f>MAX(0,MIN('Activities'!L98,576)-MAX('Activities'!K98,570))</x:f>
        <x:v>0</x:v>
      </x:c>
      <x:c r="CW98" s="22" t="n">
        <x:f>MAX(0,MIN('Activities'!L98,582)-MAX('Activities'!K98,576))</x:f>
        <x:v>0</x:v>
      </x:c>
      <x:c r="CX98" s="22" t="n">
        <x:f>MAX(0,MIN('Activities'!L98,588)-MAX('Activities'!K98,582))</x:f>
        <x:v>0</x:v>
      </x:c>
      <x:c r="CY98" s="22" t="n">
        <x:f>MAX(0,MIN('Activities'!L98,594)-MAX('Activities'!K98,588))</x:f>
        <x:v>0</x:v>
      </x:c>
      <x:c r="CZ98" s="22" t="n">
        <x:f>MAX(0,MIN('Activities'!L98,600)-MAX('Activities'!K98,594))</x:f>
        <x:v>0</x:v>
      </x:c>
      <x:c r="DA98" s="22" t="n">
        <x:f>MAX(0,MIN('Activities'!L98,606)-MAX('Activities'!K98,600))</x:f>
        <x:v>0</x:v>
      </x:c>
      <x:c r="DB98" s="22" t="n">
        <x:f>MAX(0,MIN('Activities'!L98,612)-MAX('Activities'!K98,606))</x:f>
        <x:v>0</x:v>
      </x:c>
      <x:c r="DC98" s="22" t="n">
        <x:f>MAX(0,MIN('Activities'!L98,618)-MAX('Activities'!K98,612))</x:f>
        <x:v>0</x:v>
      </x:c>
      <x:c r="DD98" s="22" t="n">
        <x:f>MAX(0,MIN('Activities'!L98,624)-MAX('Activities'!K98,618))</x:f>
        <x:v>0</x:v>
      </x:c>
      <x:c r="DE98" s="22" t="n">
        <x:f>MAX(0,MIN('Activities'!L98,630)-MAX('Activities'!K98,624))</x:f>
        <x:v>0</x:v>
      </x:c>
      <x:c r="DF98" s="22" t="n">
        <x:f>MAX(0,MIN('Activities'!L98,636)-MAX('Activities'!K98,630))</x:f>
        <x:v>0</x:v>
      </x:c>
    </x:row>
    <x:row r="99" ht="23" customHeight="1">
      <x:c r="A99" s="1" t="str">
        <x:v>T1-L04-A</x:v>
      </x:c>
      <x:c r="B99" s="1" t="str">
        <x:v>T1</x:v>
      </x:c>
      <x:c r="C99" s="1" t="str">
        <x:v>Paint and final decorations</x:v>
      </x:c>
      <x:c r="D99" s="1" t="str">
        <x:v>Finishes</x:v>
      </x:c>
      <x:c r="E99" s="23" t="n">
        <x:f>MAX(0,MIN('Activities'!L99,6)-MAX('Activities'!K99,0))</x:f>
        <x:v>0</x:v>
      </x:c>
      <x:c r="F99" s="23" t="n">
        <x:f>MAX(0,MIN('Activities'!L99,12)-MAX('Activities'!K99,6))</x:f>
        <x:v>0</x:v>
      </x:c>
      <x:c r="G99" s="23" t="n">
        <x:f>MAX(0,MIN('Activities'!L99,18)-MAX('Activities'!K99,12))</x:f>
        <x:v>0</x:v>
      </x:c>
      <x:c r="H99" s="23" t="n">
        <x:f>MAX(0,MIN('Activities'!L99,24)-MAX('Activities'!K99,18))</x:f>
        <x:v>0</x:v>
      </x:c>
      <x:c r="I99" s="23" t="n">
        <x:f>MAX(0,MIN('Activities'!L99,30)-MAX('Activities'!K99,24))</x:f>
        <x:v>0</x:v>
      </x:c>
      <x:c r="J99" s="23" t="n">
        <x:f>MAX(0,MIN('Activities'!L99,36)-MAX('Activities'!K99,30))</x:f>
        <x:v>0</x:v>
      </x:c>
      <x:c r="K99" s="23" t="n">
        <x:f>MAX(0,MIN('Activities'!L99,42)-MAX('Activities'!K99,36))</x:f>
        <x:v>0</x:v>
      </x:c>
      <x:c r="L99" s="23" t="n">
        <x:f>MAX(0,MIN('Activities'!L99,48)-MAX('Activities'!K99,42))</x:f>
        <x:v>0</x:v>
      </x:c>
      <x:c r="M99" s="23" t="n">
        <x:f>MAX(0,MIN('Activities'!L99,54)-MAX('Activities'!K99,48))</x:f>
        <x:v>0</x:v>
      </x:c>
      <x:c r="N99" s="23" t="n">
        <x:f>MAX(0,MIN('Activities'!L99,60)-MAX('Activities'!K99,54))</x:f>
        <x:v>0</x:v>
      </x:c>
      <x:c r="O99" s="23" t="n">
        <x:f>MAX(0,MIN('Activities'!L99,66)-MAX('Activities'!K99,60))</x:f>
        <x:v>0</x:v>
      </x:c>
      <x:c r="P99" s="23" t="n">
        <x:f>MAX(0,MIN('Activities'!L99,72)-MAX('Activities'!K99,66))</x:f>
        <x:v>0</x:v>
      </x:c>
      <x:c r="Q99" s="23" t="n">
        <x:f>MAX(0,MIN('Activities'!L99,78)-MAX('Activities'!K99,72))</x:f>
        <x:v>0</x:v>
      </x:c>
      <x:c r="R99" s="23" t="n">
        <x:f>MAX(0,MIN('Activities'!L99,84)-MAX('Activities'!K99,78))</x:f>
        <x:v>0</x:v>
      </x:c>
      <x:c r="S99" s="23" t="n">
        <x:f>MAX(0,MIN('Activities'!L99,90)-MAX('Activities'!K99,84))</x:f>
        <x:v>0</x:v>
      </x:c>
      <x:c r="T99" s="23" t="n">
        <x:f>MAX(0,MIN('Activities'!L99,96)-MAX('Activities'!K99,90))</x:f>
        <x:v>0</x:v>
      </x:c>
      <x:c r="U99" s="23" t="n">
        <x:f>MAX(0,MIN('Activities'!L99,102)-MAX('Activities'!K99,96))</x:f>
        <x:v>0</x:v>
      </x:c>
      <x:c r="V99" s="23" t="n">
        <x:f>MAX(0,MIN('Activities'!L99,108)-MAX('Activities'!K99,102))</x:f>
        <x:v>0</x:v>
      </x:c>
      <x:c r="W99" s="23" t="n">
        <x:f>MAX(0,MIN('Activities'!L99,114)-MAX('Activities'!K99,108))</x:f>
        <x:v>0</x:v>
      </x:c>
      <x:c r="X99" s="23" t="n">
        <x:f>MAX(0,MIN('Activities'!L99,120)-MAX('Activities'!K99,114))</x:f>
        <x:v>0</x:v>
      </x:c>
      <x:c r="Y99" s="23" t="n">
        <x:f>MAX(0,MIN('Activities'!L99,126)-MAX('Activities'!K99,120))</x:f>
        <x:v>0</x:v>
      </x:c>
      <x:c r="Z99" s="23" t="n">
        <x:f>MAX(0,MIN('Activities'!L99,132)-MAX('Activities'!K99,126))</x:f>
        <x:v>0</x:v>
      </x:c>
      <x:c r="AA99" s="23" t="n">
        <x:f>MAX(0,MIN('Activities'!L99,138)-MAX('Activities'!K99,132))</x:f>
        <x:v>0</x:v>
      </x:c>
      <x:c r="AB99" s="23" t="n">
        <x:f>MAX(0,MIN('Activities'!L99,144)-MAX('Activities'!K99,138))</x:f>
        <x:v>0</x:v>
      </x:c>
      <x:c r="AC99" s="23" t="n">
        <x:f>MAX(0,MIN('Activities'!L99,150)-MAX('Activities'!K99,144))</x:f>
        <x:v>0</x:v>
      </x:c>
      <x:c r="AD99" s="23" t="n">
        <x:f>MAX(0,MIN('Activities'!L99,156)-MAX('Activities'!K99,150))</x:f>
        <x:v>0</x:v>
      </x:c>
      <x:c r="AE99" s="23" t="n">
        <x:f>MAX(0,MIN('Activities'!L99,162)-MAX('Activities'!K99,156))</x:f>
        <x:v>0</x:v>
      </x:c>
      <x:c r="AF99" s="23" t="n">
        <x:f>MAX(0,MIN('Activities'!L99,168)-MAX('Activities'!K99,162))</x:f>
        <x:v>0</x:v>
      </x:c>
      <x:c r="AG99" s="23" t="n">
        <x:f>MAX(0,MIN('Activities'!L99,174)-MAX('Activities'!K99,168))</x:f>
        <x:v>0</x:v>
      </x:c>
      <x:c r="AH99" s="23" t="n">
        <x:f>MAX(0,MIN('Activities'!L99,180)-MAX('Activities'!K99,174))</x:f>
        <x:v>0</x:v>
      </x:c>
      <x:c r="AI99" s="23" t="n">
        <x:f>MAX(0,MIN('Activities'!L99,186)-MAX('Activities'!K99,180))</x:f>
        <x:v>0</x:v>
      </x:c>
      <x:c r="AJ99" s="23" t="n">
        <x:f>MAX(0,MIN('Activities'!L99,192)-MAX('Activities'!K99,186))</x:f>
        <x:v>0</x:v>
      </x:c>
      <x:c r="AK99" s="23" t="n">
        <x:f>MAX(0,MIN('Activities'!L99,198)-MAX('Activities'!K99,192))</x:f>
        <x:v>0</x:v>
      </x:c>
      <x:c r="AL99" s="23" t="n">
        <x:f>MAX(0,MIN('Activities'!L99,204)-MAX('Activities'!K99,198))</x:f>
        <x:v>0</x:v>
      </x:c>
      <x:c r="AM99" s="23" t="n">
        <x:f>MAX(0,MIN('Activities'!L99,210)-MAX('Activities'!K99,204))</x:f>
        <x:v>0</x:v>
      </x:c>
      <x:c r="AN99" s="23" t="n">
        <x:f>MAX(0,MIN('Activities'!L99,216)-MAX('Activities'!K99,210))</x:f>
        <x:v>0</x:v>
      </x:c>
      <x:c r="AO99" s="23" t="n">
        <x:f>MAX(0,MIN('Activities'!L99,222)-MAX('Activities'!K99,216))</x:f>
        <x:v>0</x:v>
      </x:c>
      <x:c r="AP99" s="23" t="n">
        <x:f>MAX(0,MIN('Activities'!L99,228)-MAX('Activities'!K99,222))</x:f>
        <x:v>0</x:v>
      </x:c>
      <x:c r="AQ99" s="23" t="n">
        <x:f>MAX(0,MIN('Activities'!L99,234)-MAX('Activities'!K99,228))</x:f>
        <x:v>0</x:v>
      </x:c>
      <x:c r="AR99" s="23" t="n">
        <x:f>MAX(0,MIN('Activities'!L99,240)-MAX('Activities'!K99,234))</x:f>
        <x:v>0</x:v>
      </x:c>
      <x:c r="AS99" s="23" t="n">
        <x:f>MAX(0,MIN('Activities'!L99,246)-MAX('Activities'!K99,240))</x:f>
        <x:v>0</x:v>
      </x:c>
      <x:c r="AT99" s="23" t="n">
        <x:f>MAX(0,MIN('Activities'!L99,252)-MAX('Activities'!K99,246))</x:f>
        <x:v>0</x:v>
      </x:c>
      <x:c r="AU99" s="23" t="n">
        <x:f>MAX(0,MIN('Activities'!L99,258)-MAX('Activities'!K99,252))</x:f>
        <x:v>0</x:v>
      </x:c>
      <x:c r="AV99" s="23" t="n">
        <x:f>MAX(0,MIN('Activities'!L99,264)-MAX('Activities'!K99,258))</x:f>
        <x:v>0</x:v>
      </x:c>
      <x:c r="AW99" s="23" t="n">
        <x:f>MAX(0,MIN('Activities'!L99,270)-MAX('Activities'!K99,264))</x:f>
        <x:v>0</x:v>
      </x:c>
      <x:c r="AX99" s="23" t="n">
        <x:f>MAX(0,MIN('Activities'!L99,276)-MAX('Activities'!K99,270))</x:f>
        <x:v>0</x:v>
      </x:c>
      <x:c r="AY99" s="23" t="n">
        <x:f>MAX(0,MIN('Activities'!L99,282)-MAX('Activities'!K99,276))</x:f>
        <x:v>0</x:v>
      </x:c>
      <x:c r="AZ99" s="23" t="n">
        <x:f>MAX(0,MIN('Activities'!L99,288)-MAX('Activities'!K99,282))</x:f>
        <x:v>0</x:v>
      </x:c>
      <x:c r="BA99" s="23" t="n">
        <x:f>MAX(0,MIN('Activities'!L99,294)-MAX('Activities'!K99,288))</x:f>
        <x:v>0</x:v>
      </x:c>
      <x:c r="BB99" s="23" t="n">
        <x:f>MAX(0,MIN('Activities'!L99,300)-MAX('Activities'!K99,294))</x:f>
        <x:v>0</x:v>
      </x:c>
      <x:c r="BC99" s="23" t="n">
        <x:f>MAX(0,MIN('Activities'!L99,306)-MAX('Activities'!K99,300))</x:f>
        <x:v>0</x:v>
      </x:c>
      <x:c r="BD99" s="23" t="n">
        <x:f>MAX(0,MIN('Activities'!L99,312)-MAX('Activities'!K99,306))</x:f>
        <x:v>0</x:v>
      </x:c>
      <x:c r="BE99" s="23" t="n">
        <x:f>MAX(0,MIN('Activities'!L99,318)-MAX('Activities'!K99,312))</x:f>
        <x:v>0</x:v>
      </x:c>
      <x:c r="BF99" s="23" t="n">
        <x:f>MAX(0,MIN('Activities'!L99,324)-MAX('Activities'!K99,318))</x:f>
        <x:v>0</x:v>
      </x:c>
      <x:c r="BG99" s="23" t="n">
        <x:f>MAX(0,MIN('Activities'!L99,330)-MAX('Activities'!K99,324))</x:f>
        <x:v>0</x:v>
      </x:c>
      <x:c r="BH99" s="23" t="n">
        <x:f>MAX(0,MIN('Activities'!L99,336)-MAX('Activities'!K99,330))</x:f>
        <x:v>0</x:v>
      </x:c>
      <x:c r="BI99" s="23" t="n">
        <x:f>MAX(0,MIN('Activities'!L99,342)-MAX('Activities'!K99,336))</x:f>
        <x:v>0</x:v>
      </x:c>
      <x:c r="BJ99" s="23" t="n">
        <x:f>MAX(0,MIN('Activities'!L99,348)-MAX('Activities'!K99,342))</x:f>
        <x:v>0</x:v>
      </x:c>
      <x:c r="BK99" s="23" t="n">
        <x:f>MAX(0,MIN('Activities'!L99,354)-MAX('Activities'!K99,348))</x:f>
        <x:v>0</x:v>
      </x:c>
      <x:c r="BL99" s="23" t="n">
        <x:f>MAX(0,MIN('Activities'!L99,360)-MAX('Activities'!K99,354))</x:f>
        <x:v>0</x:v>
      </x:c>
      <x:c r="BM99" s="23" t="n">
        <x:f>MAX(0,MIN('Activities'!L99,366)-MAX('Activities'!K99,360))</x:f>
        <x:v>0</x:v>
      </x:c>
      <x:c r="BN99" s="23" t="n">
        <x:f>MAX(0,MIN('Activities'!L99,372)-MAX('Activities'!K99,366))</x:f>
        <x:v>0</x:v>
      </x:c>
      <x:c r="BO99" s="23" t="n">
        <x:f>MAX(0,MIN('Activities'!L99,378)-MAX('Activities'!K99,372))</x:f>
        <x:v>0</x:v>
      </x:c>
      <x:c r="BP99" s="23" t="n">
        <x:f>MAX(0,MIN('Activities'!L99,384)-MAX('Activities'!K99,378))</x:f>
        <x:v>0</x:v>
      </x:c>
      <x:c r="BQ99" s="23" t="n">
        <x:f>MAX(0,MIN('Activities'!L99,390)-MAX('Activities'!K99,384))</x:f>
        <x:v>0</x:v>
      </x:c>
      <x:c r="BR99" s="23" t="n">
        <x:f>MAX(0,MIN('Activities'!L99,396)-MAX('Activities'!K99,390))</x:f>
        <x:v>0</x:v>
      </x:c>
      <x:c r="BS99" s="23" t="n">
        <x:f>MAX(0,MIN('Activities'!L99,402)-MAX('Activities'!K99,396))</x:f>
        <x:v>0</x:v>
      </x:c>
      <x:c r="BT99" s="23" t="n">
        <x:f>MAX(0,MIN('Activities'!L99,408)-MAX('Activities'!K99,402))</x:f>
        <x:v>0</x:v>
      </x:c>
      <x:c r="BU99" s="23" t="n">
        <x:f>MAX(0,MIN('Activities'!L99,414)-MAX('Activities'!K99,408))</x:f>
        <x:v>5</x:v>
      </x:c>
      <x:c r="BV99" s="23" t="n">
        <x:f>MAX(0,MIN('Activities'!L99,420)-MAX('Activities'!K99,414))</x:f>
        <x:v>0</x:v>
      </x:c>
      <x:c r="BW99" s="23" t="n">
        <x:f>MAX(0,MIN('Activities'!L99,426)-MAX('Activities'!K99,420))</x:f>
        <x:v>0</x:v>
      </x:c>
      <x:c r="BX99" s="23" t="n">
        <x:f>MAX(0,MIN('Activities'!L99,432)-MAX('Activities'!K99,426))</x:f>
        <x:v>0</x:v>
      </x:c>
      <x:c r="BY99" s="23" t="n">
        <x:f>MAX(0,MIN('Activities'!L99,438)-MAX('Activities'!K99,432))</x:f>
        <x:v>0</x:v>
      </x:c>
      <x:c r="BZ99" s="23" t="n">
        <x:f>MAX(0,MIN('Activities'!L99,444)-MAX('Activities'!K99,438))</x:f>
        <x:v>0</x:v>
      </x:c>
      <x:c r="CA99" s="23" t="n">
        <x:f>MAX(0,MIN('Activities'!L99,450)-MAX('Activities'!K99,444))</x:f>
        <x:v>0</x:v>
      </x:c>
      <x:c r="CB99" s="23" t="n">
        <x:f>MAX(0,MIN('Activities'!L99,456)-MAX('Activities'!K99,450))</x:f>
        <x:v>0</x:v>
      </x:c>
      <x:c r="CC99" s="23" t="n">
        <x:f>MAX(0,MIN('Activities'!L99,462)-MAX('Activities'!K99,456))</x:f>
        <x:v>0</x:v>
      </x:c>
      <x:c r="CD99" s="23" t="n">
        <x:f>MAX(0,MIN('Activities'!L99,468)-MAX('Activities'!K99,462))</x:f>
        <x:v>0</x:v>
      </x:c>
      <x:c r="CE99" s="23" t="n">
        <x:f>MAX(0,MIN('Activities'!L99,474)-MAX('Activities'!K99,468))</x:f>
        <x:v>0</x:v>
      </x:c>
      <x:c r="CF99" s="23" t="n">
        <x:f>MAX(0,MIN('Activities'!L99,480)-MAX('Activities'!K99,474))</x:f>
        <x:v>0</x:v>
      </x:c>
      <x:c r="CG99" s="23" t="n">
        <x:f>MAX(0,MIN('Activities'!L99,486)-MAX('Activities'!K99,480))</x:f>
        <x:v>0</x:v>
      </x:c>
      <x:c r="CH99" s="23" t="n">
        <x:f>MAX(0,MIN('Activities'!L99,492)-MAX('Activities'!K99,486))</x:f>
        <x:v>0</x:v>
      </x:c>
      <x:c r="CI99" s="23" t="n">
        <x:f>MAX(0,MIN('Activities'!L99,498)-MAX('Activities'!K99,492))</x:f>
        <x:v>0</x:v>
      </x:c>
      <x:c r="CJ99" s="23" t="n">
        <x:f>MAX(0,MIN('Activities'!L99,504)-MAX('Activities'!K99,498))</x:f>
        <x:v>0</x:v>
      </x:c>
      <x:c r="CK99" s="23" t="n">
        <x:f>MAX(0,MIN('Activities'!L99,510)-MAX('Activities'!K99,504))</x:f>
        <x:v>0</x:v>
      </x:c>
      <x:c r="CL99" s="23" t="n">
        <x:f>MAX(0,MIN('Activities'!L99,516)-MAX('Activities'!K99,510))</x:f>
        <x:v>0</x:v>
      </x:c>
      <x:c r="CM99" s="23" t="n">
        <x:f>MAX(0,MIN('Activities'!L99,522)-MAX('Activities'!K99,516))</x:f>
        <x:v>0</x:v>
      </x:c>
      <x:c r="CN99" s="23" t="n">
        <x:f>MAX(0,MIN('Activities'!L99,528)-MAX('Activities'!K99,522))</x:f>
        <x:v>0</x:v>
      </x:c>
      <x:c r="CO99" s="23" t="n">
        <x:f>MAX(0,MIN('Activities'!L99,534)-MAX('Activities'!K99,528))</x:f>
        <x:v>0</x:v>
      </x:c>
      <x:c r="CP99" s="23" t="n">
        <x:f>MAX(0,MIN('Activities'!L99,540)-MAX('Activities'!K99,534))</x:f>
        <x:v>0</x:v>
      </x:c>
      <x:c r="CQ99" s="23" t="n">
        <x:f>MAX(0,MIN('Activities'!L99,546)-MAX('Activities'!K99,540))</x:f>
        <x:v>0</x:v>
      </x:c>
      <x:c r="CR99" s="23" t="n">
        <x:f>MAX(0,MIN('Activities'!L99,552)-MAX('Activities'!K99,546))</x:f>
        <x:v>0</x:v>
      </x:c>
      <x:c r="CS99" s="23" t="n">
        <x:f>MAX(0,MIN('Activities'!L99,558)-MAX('Activities'!K99,552))</x:f>
        <x:v>0</x:v>
      </x:c>
      <x:c r="CT99" s="23" t="n">
        <x:f>MAX(0,MIN('Activities'!L99,564)-MAX('Activities'!K99,558))</x:f>
        <x:v>0</x:v>
      </x:c>
      <x:c r="CU99" s="23" t="n">
        <x:f>MAX(0,MIN('Activities'!L99,570)-MAX('Activities'!K99,564))</x:f>
        <x:v>0</x:v>
      </x:c>
      <x:c r="CV99" s="23" t="n">
        <x:f>MAX(0,MIN('Activities'!L99,576)-MAX('Activities'!K99,570))</x:f>
        <x:v>0</x:v>
      </x:c>
      <x:c r="CW99" s="23" t="n">
        <x:f>MAX(0,MIN('Activities'!L99,582)-MAX('Activities'!K99,576))</x:f>
        <x:v>0</x:v>
      </x:c>
      <x:c r="CX99" s="23" t="n">
        <x:f>MAX(0,MIN('Activities'!L99,588)-MAX('Activities'!K99,582))</x:f>
        <x:v>0</x:v>
      </x:c>
      <x:c r="CY99" s="23" t="n">
        <x:f>MAX(0,MIN('Activities'!L99,594)-MAX('Activities'!K99,588))</x:f>
        <x:v>0</x:v>
      </x:c>
      <x:c r="CZ99" s="23" t="n">
        <x:f>MAX(0,MIN('Activities'!L99,600)-MAX('Activities'!K99,594))</x:f>
        <x:v>0</x:v>
      </x:c>
      <x:c r="DA99" s="23" t="n">
        <x:f>MAX(0,MIN('Activities'!L99,606)-MAX('Activities'!K99,600))</x:f>
        <x:v>0</x:v>
      </x:c>
      <x:c r="DB99" s="23" t="n">
        <x:f>MAX(0,MIN('Activities'!L99,612)-MAX('Activities'!K99,606))</x:f>
        <x:v>0</x:v>
      </x:c>
      <x:c r="DC99" s="23" t="n">
        <x:f>MAX(0,MIN('Activities'!L99,618)-MAX('Activities'!K99,612))</x:f>
        <x:v>0</x:v>
      </x:c>
      <x:c r="DD99" s="23" t="n">
        <x:f>MAX(0,MIN('Activities'!L99,624)-MAX('Activities'!K99,618))</x:f>
        <x:v>0</x:v>
      </x:c>
      <x:c r="DE99" s="23" t="n">
        <x:f>MAX(0,MIN('Activities'!L99,630)-MAX('Activities'!K99,624))</x:f>
        <x:v>0</x:v>
      </x:c>
      <x:c r="DF99" s="23" t="n">
        <x:f>MAX(0,MIN('Activities'!L99,636)-MAX('Activities'!K99,630))</x:f>
        <x:v>0</x:v>
      </x:c>
    </x:row>
    <x:row r="100" ht="23" customHeight="1">
      <x:c r="A100" s="6" t="str">
        <x:v>T1-L04-D</x:v>
      </x:c>
      <x:c r="B100" s="6" t="str">
        <x:v>T1</x:v>
      </x:c>
      <x:c r="C100" s="6" t="str">
        <x:v>Door sets and ironmongery</x:v>
      </x:c>
      <x:c r="D100" s="6" t="str">
        <x:v>Finishes</x:v>
      </x:c>
      <x:c r="E100" s="22" t="n">
        <x:f>MAX(0,MIN('Activities'!L100,6)-MAX('Activities'!K100,0))</x:f>
        <x:v>0</x:v>
      </x:c>
      <x:c r="F100" s="22" t="n">
        <x:f>MAX(0,MIN('Activities'!L100,12)-MAX('Activities'!K100,6))</x:f>
        <x:v>0</x:v>
      </x:c>
      <x:c r="G100" s="22" t="n">
        <x:f>MAX(0,MIN('Activities'!L100,18)-MAX('Activities'!K100,12))</x:f>
        <x:v>0</x:v>
      </x:c>
      <x:c r="H100" s="22" t="n">
        <x:f>MAX(0,MIN('Activities'!L100,24)-MAX('Activities'!K100,18))</x:f>
        <x:v>0</x:v>
      </x:c>
      <x:c r="I100" s="22" t="n">
        <x:f>MAX(0,MIN('Activities'!L100,30)-MAX('Activities'!K100,24))</x:f>
        <x:v>0</x:v>
      </x:c>
      <x:c r="J100" s="22" t="n">
        <x:f>MAX(0,MIN('Activities'!L100,36)-MAX('Activities'!K100,30))</x:f>
        <x:v>0</x:v>
      </x:c>
      <x:c r="K100" s="22" t="n">
        <x:f>MAX(0,MIN('Activities'!L100,42)-MAX('Activities'!K100,36))</x:f>
        <x:v>0</x:v>
      </x:c>
      <x:c r="L100" s="22" t="n">
        <x:f>MAX(0,MIN('Activities'!L100,48)-MAX('Activities'!K100,42))</x:f>
        <x:v>0</x:v>
      </x:c>
      <x:c r="M100" s="22" t="n">
        <x:f>MAX(0,MIN('Activities'!L100,54)-MAX('Activities'!K100,48))</x:f>
        <x:v>0</x:v>
      </x:c>
      <x:c r="N100" s="22" t="n">
        <x:f>MAX(0,MIN('Activities'!L100,60)-MAX('Activities'!K100,54))</x:f>
        <x:v>0</x:v>
      </x:c>
      <x:c r="O100" s="22" t="n">
        <x:f>MAX(0,MIN('Activities'!L100,66)-MAX('Activities'!K100,60))</x:f>
        <x:v>0</x:v>
      </x:c>
      <x:c r="P100" s="22" t="n">
        <x:f>MAX(0,MIN('Activities'!L100,72)-MAX('Activities'!K100,66))</x:f>
        <x:v>0</x:v>
      </x:c>
      <x:c r="Q100" s="22" t="n">
        <x:f>MAX(0,MIN('Activities'!L100,78)-MAX('Activities'!K100,72))</x:f>
        <x:v>0</x:v>
      </x:c>
      <x:c r="R100" s="22" t="n">
        <x:f>MAX(0,MIN('Activities'!L100,84)-MAX('Activities'!K100,78))</x:f>
        <x:v>0</x:v>
      </x:c>
      <x:c r="S100" s="22" t="n">
        <x:f>MAX(0,MIN('Activities'!L100,90)-MAX('Activities'!K100,84))</x:f>
        <x:v>0</x:v>
      </x:c>
      <x:c r="T100" s="22" t="n">
        <x:f>MAX(0,MIN('Activities'!L100,96)-MAX('Activities'!K100,90))</x:f>
        <x:v>0</x:v>
      </x:c>
      <x:c r="U100" s="22" t="n">
        <x:f>MAX(0,MIN('Activities'!L100,102)-MAX('Activities'!K100,96))</x:f>
        <x:v>0</x:v>
      </x:c>
      <x:c r="V100" s="22" t="n">
        <x:f>MAX(0,MIN('Activities'!L100,108)-MAX('Activities'!K100,102))</x:f>
        <x:v>0</x:v>
      </x:c>
      <x:c r="W100" s="22" t="n">
        <x:f>MAX(0,MIN('Activities'!L100,114)-MAX('Activities'!K100,108))</x:f>
        <x:v>0</x:v>
      </x:c>
      <x:c r="X100" s="22" t="n">
        <x:f>MAX(0,MIN('Activities'!L100,120)-MAX('Activities'!K100,114))</x:f>
        <x:v>0</x:v>
      </x:c>
      <x:c r="Y100" s="22" t="n">
        <x:f>MAX(0,MIN('Activities'!L100,126)-MAX('Activities'!K100,120))</x:f>
        <x:v>0</x:v>
      </x:c>
      <x:c r="Z100" s="22" t="n">
        <x:f>MAX(0,MIN('Activities'!L100,132)-MAX('Activities'!K100,126))</x:f>
        <x:v>0</x:v>
      </x:c>
      <x:c r="AA100" s="22" t="n">
        <x:f>MAX(0,MIN('Activities'!L100,138)-MAX('Activities'!K100,132))</x:f>
        <x:v>0</x:v>
      </x:c>
      <x:c r="AB100" s="22" t="n">
        <x:f>MAX(0,MIN('Activities'!L100,144)-MAX('Activities'!K100,138))</x:f>
        <x:v>0</x:v>
      </x:c>
      <x:c r="AC100" s="22" t="n">
        <x:f>MAX(0,MIN('Activities'!L100,150)-MAX('Activities'!K100,144))</x:f>
        <x:v>0</x:v>
      </x:c>
      <x:c r="AD100" s="22" t="n">
        <x:f>MAX(0,MIN('Activities'!L100,156)-MAX('Activities'!K100,150))</x:f>
        <x:v>0</x:v>
      </x:c>
      <x:c r="AE100" s="22" t="n">
        <x:f>MAX(0,MIN('Activities'!L100,162)-MAX('Activities'!K100,156))</x:f>
        <x:v>0</x:v>
      </x:c>
      <x:c r="AF100" s="22" t="n">
        <x:f>MAX(0,MIN('Activities'!L100,168)-MAX('Activities'!K100,162))</x:f>
        <x:v>0</x:v>
      </x:c>
      <x:c r="AG100" s="22" t="n">
        <x:f>MAX(0,MIN('Activities'!L100,174)-MAX('Activities'!K100,168))</x:f>
        <x:v>0</x:v>
      </x:c>
      <x:c r="AH100" s="22" t="n">
        <x:f>MAX(0,MIN('Activities'!L100,180)-MAX('Activities'!K100,174))</x:f>
        <x:v>0</x:v>
      </x:c>
      <x:c r="AI100" s="22" t="n">
        <x:f>MAX(0,MIN('Activities'!L100,186)-MAX('Activities'!K100,180))</x:f>
        <x:v>0</x:v>
      </x:c>
      <x:c r="AJ100" s="22" t="n">
        <x:f>MAX(0,MIN('Activities'!L100,192)-MAX('Activities'!K100,186))</x:f>
        <x:v>0</x:v>
      </x:c>
      <x:c r="AK100" s="22" t="n">
        <x:f>MAX(0,MIN('Activities'!L100,198)-MAX('Activities'!K100,192))</x:f>
        <x:v>0</x:v>
      </x:c>
      <x:c r="AL100" s="22" t="n">
        <x:f>MAX(0,MIN('Activities'!L100,204)-MAX('Activities'!K100,198))</x:f>
        <x:v>0</x:v>
      </x:c>
      <x:c r="AM100" s="22" t="n">
        <x:f>MAX(0,MIN('Activities'!L100,210)-MAX('Activities'!K100,204))</x:f>
        <x:v>0</x:v>
      </x:c>
      <x:c r="AN100" s="22" t="n">
        <x:f>MAX(0,MIN('Activities'!L100,216)-MAX('Activities'!K100,210))</x:f>
        <x:v>0</x:v>
      </x:c>
      <x:c r="AO100" s="22" t="n">
        <x:f>MAX(0,MIN('Activities'!L100,222)-MAX('Activities'!K100,216))</x:f>
        <x:v>0</x:v>
      </x:c>
      <x:c r="AP100" s="22" t="n">
        <x:f>MAX(0,MIN('Activities'!L100,228)-MAX('Activities'!K100,222))</x:f>
        <x:v>0</x:v>
      </x:c>
      <x:c r="AQ100" s="22" t="n">
        <x:f>MAX(0,MIN('Activities'!L100,234)-MAX('Activities'!K100,228))</x:f>
        <x:v>0</x:v>
      </x:c>
      <x:c r="AR100" s="22" t="n">
        <x:f>MAX(0,MIN('Activities'!L100,240)-MAX('Activities'!K100,234))</x:f>
        <x:v>0</x:v>
      </x:c>
      <x:c r="AS100" s="22" t="n">
        <x:f>MAX(0,MIN('Activities'!L100,246)-MAX('Activities'!K100,240))</x:f>
        <x:v>0</x:v>
      </x:c>
      <x:c r="AT100" s="22" t="n">
        <x:f>MAX(0,MIN('Activities'!L100,252)-MAX('Activities'!K100,246))</x:f>
        <x:v>0</x:v>
      </x:c>
      <x:c r="AU100" s="22" t="n">
        <x:f>MAX(0,MIN('Activities'!L100,258)-MAX('Activities'!K100,252))</x:f>
        <x:v>0</x:v>
      </x:c>
      <x:c r="AV100" s="22" t="n">
        <x:f>MAX(0,MIN('Activities'!L100,264)-MAX('Activities'!K100,258))</x:f>
        <x:v>0</x:v>
      </x:c>
      <x:c r="AW100" s="22" t="n">
        <x:f>MAX(0,MIN('Activities'!L100,270)-MAX('Activities'!K100,264))</x:f>
        <x:v>0</x:v>
      </x:c>
      <x:c r="AX100" s="22" t="n">
        <x:f>MAX(0,MIN('Activities'!L100,276)-MAX('Activities'!K100,270))</x:f>
        <x:v>0</x:v>
      </x:c>
      <x:c r="AY100" s="22" t="n">
        <x:f>MAX(0,MIN('Activities'!L100,282)-MAX('Activities'!K100,276))</x:f>
        <x:v>0</x:v>
      </x:c>
      <x:c r="AZ100" s="22" t="n">
        <x:f>MAX(0,MIN('Activities'!L100,288)-MAX('Activities'!K100,282))</x:f>
        <x:v>0</x:v>
      </x:c>
      <x:c r="BA100" s="22" t="n">
        <x:f>MAX(0,MIN('Activities'!L100,294)-MAX('Activities'!K100,288))</x:f>
        <x:v>0</x:v>
      </x:c>
      <x:c r="BB100" s="22" t="n">
        <x:f>MAX(0,MIN('Activities'!L100,300)-MAX('Activities'!K100,294))</x:f>
        <x:v>0</x:v>
      </x:c>
      <x:c r="BC100" s="22" t="n">
        <x:f>MAX(0,MIN('Activities'!L100,306)-MAX('Activities'!K100,300))</x:f>
        <x:v>0</x:v>
      </x:c>
      <x:c r="BD100" s="22" t="n">
        <x:f>MAX(0,MIN('Activities'!L100,312)-MAX('Activities'!K100,306))</x:f>
        <x:v>0</x:v>
      </x:c>
      <x:c r="BE100" s="22" t="n">
        <x:f>MAX(0,MIN('Activities'!L100,318)-MAX('Activities'!K100,312))</x:f>
        <x:v>0</x:v>
      </x:c>
      <x:c r="BF100" s="22" t="n">
        <x:f>MAX(0,MIN('Activities'!L100,324)-MAX('Activities'!K100,318))</x:f>
        <x:v>0</x:v>
      </x:c>
      <x:c r="BG100" s="22" t="n">
        <x:f>MAX(0,MIN('Activities'!L100,330)-MAX('Activities'!K100,324))</x:f>
        <x:v>0</x:v>
      </x:c>
      <x:c r="BH100" s="22" t="n">
        <x:f>MAX(0,MIN('Activities'!L100,336)-MAX('Activities'!K100,330))</x:f>
        <x:v>0</x:v>
      </x:c>
      <x:c r="BI100" s="22" t="n">
        <x:f>MAX(0,MIN('Activities'!L100,342)-MAX('Activities'!K100,336))</x:f>
        <x:v>0</x:v>
      </x:c>
      <x:c r="BJ100" s="22" t="n">
        <x:f>MAX(0,MIN('Activities'!L100,348)-MAX('Activities'!K100,342))</x:f>
        <x:v>0</x:v>
      </x:c>
      <x:c r="BK100" s="22" t="n">
        <x:f>MAX(0,MIN('Activities'!L100,354)-MAX('Activities'!K100,348))</x:f>
        <x:v>0</x:v>
      </x:c>
      <x:c r="BL100" s="22" t="n">
        <x:f>MAX(0,MIN('Activities'!L100,360)-MAX('Activities'!K100,354))</x:f>
        <x:v>0</x:v>
      </x:c>
      <x:c r="BM100" s="22" t="n">
        <x:f>MAX(0,MIN('Activities'!L100,366)-MAX('Activities'!K100,360))</x:f>
        <x:v>0</x:v>
      </x:c>
      <x:c r="BN100" s="22" t="n">
        <x:f>MAX(0,MIN('Activities'!L100,372)-MAX('Activities'!K100,366))</x:f>
        <x:v>0</x:v>
      </x:c>
      <x:c r="BO100" s="22" t="n">
        <x:f>MAX(0,MIN('Activities'!L100,378)-MAX('Activities'!K100,372))</x:f>
        <x:v>0</x:v>
      </x:c>
      <x:c r="BP100" s="22" t="n">
        <x:f>MAX(0,MIN('Activities'!L100,384)-MAX('Activities'!K100,378))</x:f>
        <x:v>0</x:v>
      </x:c>
      <x:c r="BQ100" s="22" t="n">
        <x:f>MAX(0,MIN('Activities'!L100,390)-MAX('Activities'!K100,384))</x:f>
        <x:v>0</x:v>
      </x:c>
      <x:c r="BR100" s="22" t="n">
        <x:f>MAX(0,MIN('Activities'!L100,396)-MAX('Activities'!K100,390))</x:f>
        <x:v>0</x:v>
      </x:c>
      <x:c r="BS100" s="22" t="n">
        <x:f>MAX(0,MIN('Activities'!L100,402)-MAX('Activities'!K100,396))</x:f>
        <x:v>0</x:v>
      </x:c>
      <x:c r="BT100" s="22" t="n">
        <x:f>MAX(0,MIN('Activities'!L100,408)-MAX('Activities'!K100,402))</x:f>
        <x:v>0</x:v>
      </x:c>
      <x:c r="BU100" s="22" t="n">
        <x:f>MAX(0,MIN('Activities'!L100,414)-MAX('Activities'!K100,408))</x:f>
        <x:v>0</x:v>
      </x:c>
      <x:c r="BV100" s="22" t="n">
        <x:f>MAX(0,MIN('Activities'!L100,420)-MAX('Activities'!K100,414))</x:f>
        <x:v>3</x:v>
      </x:c>
      <x:c r="BW100" s="22" t="n">
        <x:f>MAX(0,MIN('Activities'!L100,426)-MAX('Activities'!K100,420))</x:f>
        <x:v>0</x:v>
      </x:c>
      <x:c r="BX100" s="22" t="n">
        <x:f>MAX(0,MIN('Activities'!L100,432)-MAX('Activities'!K100,426))</x:f>
        <x:v>0</x:v>
      </x:c>
      <x:c r="BY100" s="22" t="n">
        <x:f>MAX(0,MIN('Activities'!L100,438)-MAX('Activities'!K100,432))</x:f>
        <x:v>0</x:v>
      </x:c>
      <x:c r="BZ100" s="22" t="n">
        <x:f>MAX(0,MIN('Activities'!L100,444)-MAX('Activities'!K100,438))</x:f>
        <x:v>0</x:v>
      </x:c>
      <x:c r="CA100" s="22" t="n">
        <x:f>MAX(0,MIN('Activities'!L100,450)-MAX('Activities'!K100,444))</x:f>
        <x:v>0</x:v>
      </x:c>
      <x:c r="CB100" s="22" t="n">
        <x:f>MAX(0,MIN('Activities'!L100,456)-MAX('Activities'!K100,450))</x:f>
        <x:v>0</x:v>
      </x:c>
      <x:c r="CC100" s="22" t="n">
        <x:f>MAX(0,MIN('Activities'!L100,462)-MAX('Activities'!K100,456))</x:f>
        <x:v>0</x:v>
      </x:c>
      <x:c r="CD100" s="22" t="n">
        <x:f>MAX(0,MIN('Activities'!L100,468)-MAX('Activities'!K100,462))</x:f>
        <x:v>0</x:v>
      </x:c>
      <x:c r="CE100" s="22" t="n">
        <x:f>MAX(0,MIN('Activities'!L100,474)-MAX('Activities'!K100,468))</x:f>
        <x:v>0</x:v>
      </x:c>
      <x:c r="CF100" s="22" t="n">
        <x:f>MAX(0,MIN('Activities'!L100,480)-MAX('Activities'!K100,474))</x:f>
        <x:v>0</x:v>
      </x:c>
      <x:c r="CG100" s="22" t="n">
        <x:f>MAX(0,MIN('Activities'!L100,486)-MAX('Activities'!K100,480))</x:f>
        <x:v>0</x:v>
      </x:c>
      <x:c r="CH100" s="22" t="n">
        <x:f>MAX(0,MIN('Activities'!L100,492)-MAX('Activities'!K100,486))</x:f>
        <x:v>0</x:v>
      </x:c>
      <x:c r="CI100" s="22" t="n">
        <x:f>MAX(0,MIN('Activities'!L100,498)-MAX('Activities'!K100,492))</x:f>
        <x:v>0</x:v>
      </x:c>
      <x:c r="CJ100" s="22" t="n">
        <x:f>MAX(0,MIN('Activities'!L100,504)-MAX('Activities'!K100,498))</x:f>
        <x:v>0</x:v>
      </x:c>
      <x:c r="CK100" s="22" t="n">
        <x:f>MAX(0,MIN('Activities'!L100,510)-MAX('Activities'!K100,504))</x:f>
        <x:v>0</x:v>
      </x:c>
      <x:c r="CL100" s="22" t="n">
        <x:f>MAX(0,MIN('Activities'!L100,516)-MAX('Activities'!K100,510))</x:f>
        <x:v>0</x:v>
      </x:c>
      <x:c r="CM100" s="22" t="n">
        <x:f>MAX(0,MIN('Activities'!L100,522)-MAX('Activities'!K100,516))</x:f>
        <x:v>0</x:v>
      </x:c>
      <x:c r="CN100" s="22" t="n">
        <x:f>MAX(0,MIN('Activities'!L100,528)-MAX('Activities'!K100,522))</x:f>
        <x:v>0</x:v>
      </x:c>
      <x:c r="CO100" s="22" t="n">
        <x:f>MAX(0,MIN('Activities'!L100,534)-MAX('Activities'!K100,528))</x:f>
        <x:v>0</x:v>
      </x:c>
      <x:c r="CP100" s="22" t="n">
        <x:f>MAX(0,MIN('Activities'!L100,540)-MAX('Activities'!K100,534))</x:f>
        <x:v>0</x:v>
      </x:c>
      <x:c r="CQ100" s="22" t="n">
        <x:f>MAX(0,MIN('Activities'!L100,546)-MAX('Activities'!K100,540))</x:f>
        <x:v>0</x:v>
      </x:c>
      <x:c r="CR100" s="22" t="n">
        <x:f>MAX(0,MIN('Activities'!L100,552)-MAX('Activities'!K100,546))</x:f>
        <x:v>0</x:v>
      </x:c>
      <x:c r="CS100" s="22" t="n">
        <x:f>MAX(0,MIN('Activities'!L100,558)-MAX('Activities'!K100,552))</x:f>
        <x:v>0</x:v>
      </x:c>
      <x:c r="CT100" s="22" t="n">
        <x:f>MAX(0,MIN('Activities'!L100,564)-MAX('Activities'!K100,558))</x:f>
        <x:v>0</x:v>
      </x:c>
      <x:c r="CU100" s="22" t="n">
        <x:f>MAX(0,MIN('Activities'!L100,570)-MAX('Activities'!K100,564))</x:f>
        <x:v>0</x:v>
      </x:c>
      <x:c r="CV100" s="22" t="n">
        <x:f>MAX(0,MIN('Activities'!L100,576)-MAX('Activities'!K100,570))</x:f>
        <x:v>0</x:v>
      </x:c>
      <x:c r="CW100" s="22" t="n">
        <x:f>MAX(0,MIN('Activities'!L100,582)-MAX('Activities'!K100,576))</x:f>
        <x:v>0</x:v>
      </x:c>
      <x:c r="CX100" s="22" t="n">
        <x:f>MAX(0,MIN('Activities'!L100,588)-MAX('Activities'!K100,582))</x:f>
        <x:v>0</x:v>
      </x:c>
      <x:c r="CY100" s="22" t="n">
        <x:f>MAX(0,MIN('Activities'!L100,594)-MAX('Activities'!K100,588))</x:f>
        <x:v>0</x:v>
      </x:c>
      <x:c r="CZ100" s="22" t="n">
        <x:f>MAX(0,MIN('Activities'!L100,600)-MAX('Activities'!K100,594))</x:f>
        <x:v>0</x:v>
      </x:c>
      <x:c r="DA100" s="22" t="n">
        <x:f>MAX(0,MIN('Activities'!L100,606)-MAX('Activities'!K100,600))</x:f>
        <x:v>0</x:v>
      </x:c>
      <x:c r="DB100" s="22" t="n">
        <x:f>MAX(0,MIN('Activities'!L100,612)-MAX('Activities'!K100,606))</x:f>
        <x:v>0</x:v>
      </x:c>
      <x:c r="DC100" s="22" t="n">
        <x:f>MAX(0,MIN('Activities'!L100,618)-MAX('Activities'!K100,612))</x:f>
        <x:v>0</x:v>
      </x:c>
      <x:c r="DD100" s="22" t="n">
        <x:f>MAX(0,MIN('Activities'!L100,624)-MAX('Activities'!K100,618))</x:f>
        <x:v>0</x:v>
      </x:c>
      <x:c r="DE100" s="22" t="n">
        <x:f>MAX(0,MIN('Activities'!L100,630)-MAX('Activities'!K100,624))</x:f>
        <x:v>0</x:v>
      </x:c>
      <x:c r="DF100" s="22" t="n">
        <x:f>MAX(0,MIN('Activities'!L100,636)-MAX('Activities'!K100,630))</x:f>
        <x:v>0</x:v>
      </x:c>
    </x:row>
    <x:row r="101" ht="23" customHeight="1">
      <x:c r="A101" s="1" t="str">
        <x:v>T1-L05-M</x:v>
      </x:c>
      <x:c r="B101" s="1" t="str">
        <x:v>T1</x:v>
      </x:c>
      <x:c r="C101" s="1" t="str">
        <x:v>Partition masonry</x:v>
      </x:c>
      <x:c r="D101" s="1" t="str">
        <x:v>Masonry</x:v>
      </x:c>
      <x:c r="E101" s="23" t="n">
        <x:f>MAX(0,MIN('Activities'!L101,6)-MAX('Activities'!K101,0))</x:f>
        <x:v>0</x:v>
      </x:c>
      <x:c r="F101" s="23" t="n">
        <x:f>MAX(0,MIN('Activities'!L101,12)-MAX('Activities'!K101,6))</x:f>
        <x:v>0</x:v>
      </x:c>
      <x:c r="G101" s="23" t="n">
        <x:f>MAX(0,MIN('Activities'!L101,18)-MAX('Activities'!K101,12))</x:f>
        <x:v>0</x:v>
      </x:c>
      <x:c r="H101" s="23" t="n">
        <x:f>MAX(0,MIN('Activities'!L101,24)-MAX('Activities'!K101,18))</x:f>
        <x:v>0</x:v>
      </x:c>
      <x:c r="I101" s="23" t="n">
        <x:f>MAX(0,MIN('Activities'!L101,30)-MAX('Activities'!K101,24))</x:f>
        <x:v>0</x:v>
      </x:c>
      <x:c r="J101" s="23" t="n">
        <x:f>MAX(0,MIN('Activities'!L101,36)-MAX('Activities'!K101,30))</x:f>
        <x:v>0</x:v>
      </x:c>
      <x:c r="K101" s="23" t="n">
        <x:f>MAX(0,MIN('Activities'!L101,42)-MAX('Activities'!K101,36))</x:f>
        <x:v>0</x:v>
      </x:c>
      <x:c r="L101" s="23" t="n">
        <x:f>MAX(0,MIN('Activities'!L101,48)-MAX('Activities'!K101,42))</x:f>
        <x:v>0</x:v>
      </x:c>
      <x:c r="M101" s="23" t="n">
        <x:f>MAX(0,MIN('Activities'!L101,54)-MAX('Activities'!K101,48))</x:f>
        <x:v>0</x:v>
      </x:c>
      <x:c r="N101" s="23" t="n">
        <x:f>MAX(0,MIN('Activities'!L101,60)-MAX('Activities'!K101,54))</x:f>
        <x:v>0</x:v>
      </x:c>
      <x:c r="O101" s="23" t="n">
        <x:f>MAX(0,MIN('Activities'!L101,66)-MAX('Activities'!K101,60))</x:f>
        <x:v>0</x:v>
      </x:c>
      <x:c r="P101" s="23" t="n">
        <x:f>MAX(0,MIN('Activities'!L101,72)-MAX('Activities'!K101,66))</x:f>
        <x:v>0</x:v>
      </x:c>
      <x:c r="Q101" s="23" t="n">
        <x:f>MAX(0,MIN('Activities'!L101,78)-MAX('Activities'!K101,72))</x:f>
        <x:v>0</x:v>
      </x:c>
      <x:c r="R101" s="23" t="n">
        <x:f>MAX(0,MIN('Activities'!L101,84)-MAX('Activities'!K101,78))</x:f>
        <x:v>0</x:v>
      </x:c>
      <x:c r="S101" s="23" t="n">
        <x:f>MAX(0,MIN('Activities'!L101,90)-MAX('Activities'!K101,84))</x:f>
        <x:v>0</x:v>
      </x:c>
      <x:c r="T101" s="23" t="n">
        <x:f>MAX(0,MIN('Activities'!L101,96)-MAX('Activities'!K101,90))</x:f>
        <x:v>0</x:v>
      </x:c>
      <x:c r="U101" s="23" t="n">
        <x:f>MAX(0,MIN('Activities'!L101,102)-MAX('Activities'!K101,96))</x:f>
        <x:v>0</x:v>
      </x:c>
      <x:c r="V101" s="23" t="n">
        <x:f>MAX(0,MIN('Activities'!L101,108)-MAX('Activities'!K101,102))</x:f>
        <x:v>0</x:v>
      </x:c>
      <x:c r="W101" s="23" t="n">
        <x:f>MAX(0,MIN('Activities'!L101,114)-MAX('Activities'!K101,108))</x:f>
        <x:v>0</x:v>
      </x:c>
      <x:c r="X101" s="23" t="n">
        <x:f>MAX(0,MIN('Activities'!L101,120)-MAX('Activities'!K101,114))</x:f>
        <x:v>0</x:v>
      </x:c>
      <x:c r="Y101" s="23" t="n">
        <x:f>MAX(0,MIN('Activities'!L101,126)-MAX('Activities'!K101,120))</x:f>
        <x:v>0</x:v>
      </x:c>
      <x:c r="Z101" s="23" t="n">
        <x:f>MAX(0,MIN('Activities'!L101,132)-MAX('Activities'!K101,126))</x:f>
        <x:v>0</x:v>
      </x:c>
      <x:c r="AA101" s="23" t="n">
        <x:f>MAX(0,MIN('Activities'!L101,138)-MAX('Activities'!K101,132))</x:f>
        <x:v>0</x:v>
      </x:c>
      <x:c r="AB101" s="23" t="n">
        <x:f>MAX(0,MIN('Activities'!L101,144)-MAX('Activities'!K101,138))</x:f>
        <x:v>0</x:v>
      </x:c>
      <x:c r="AC101" s="23" t="n">
        <x:f>MAX(0,MIN('Activities'!L101,150)-MAX('Activities'!K101,144))</x:f>
        <x:v>0</x:v>
      </x:c>
      <x:c r="AD101" s="23" t="n">
        <x:f>MAX(0,MIN('Activities'!L101,156)-MAX('Activities'!K101,150))</x:f>
        <x:v>0</x:v>
      </x:c>
      <x:c r="AE101" s="23" t="n">
        <x:f>MAX(0,MIN('Activities'!L101,162)-MAX('Activities'!K101,156))</x:f>
        <x:v>0</x:v>
      </x:c>
      <x:c r="AF101" s="23" t="n">
        <x:f>MAX(0,MIN('Activities'!L101,168)-MAX('Activities'!K101,162))</x:f>
        <x:v>0</x:v>
      </x:c>
      <x:c r="AG101" s="23" t="n">
        <x:f>MAX(0,MIN('Activities'!L101,174)-MAX('Activities'!K101,168))</x:f>
        <x:v>0</x:v>
      </x:c>
      <x:c r="AH101" s="23" t="n">
        <x:f>MAX(0,MIN('Activities'!L101,180)-MAX('Activities'!K101,174))</x:f>
        <x:v>0</x:v>
      </x:c>
      <x:c r="AI101" s="23" t="n">
        <x:f>MAX(0,MIN('Activities'!L101,186)-MAX('Activities'!K101,180))</x:f>
        <x:v>0</x:v>
      </x:c>
      <x:c r="AJ101" s="23" t="n">
        <x:f>MAX(0,MIN('Activities'!L101,192)-MAX('Activities'!K101,186))</x:f>
        <x:v>0</x:v>
      </x:c>
      <x:c r="AK101" s="23" t="n">
        <x:f>MAX(0,MIN('Activities'!L101,198)-MAX('Activities'!K101,192))</x:f>
        <x:v>0</x:v>
      </x:c>
      <x:c r="AL101" s="23" t="n">
        <x:f>MAX(0,MIN('Activities'!L101,204)-MAX('Activities'!K101,198))</x:f>
        <x:v>0</x:v>
      </x:c>
      <x:c r="AM101" s="23" t="n">
        <x:f>MAX(0,MIN('Activities'!L101,210)-MAX('Activities'!K101,204))</x:f>
        <x:v>0</x:v>
      </x:c>
      <x:c r="AN101" s="23" t="n">
        <x:f>MAX(0,MIN('Activities'!L101,216)-MAX('Activities'!K101,210))</x:f>
        <x:v>0</x:v>
      </x:c>
      <x:c r="AO101" s="23" t="n">
        <x:f>MAX(0,MIN('Activities'!L101,222)-MAX('Activities'!K101,216))</x:f>
        <x:v>0</x:v>
      </x:c>
      <x:c r="AP101" s="23" t="n">
        <x:f>MAX(0,MIN('Activities'!L101,228)-MAX('Activities'!K101,222))</x:f>
        <x:v>0</x:v>
      </x:c>
      <x:c r="AQ101" s="23" t="n">
        <x:f>MAX(0,MIN('Activities'!L101,234)-MAX('Activities'!K101,228))</x:f>
        <x:v>0</x:v>
      </x:c>
      <x:c r="AR101" s="23" t="n">
        <x:f>MAX(0,MIN('Activities'!L101,240)-MAX('Activities'!K101,234))</x:f>
        <x:v>0</x:v>
      </x:c>
      <x:c r="AS101" s="23" t="n">
        <x:f>MAX(0,MIN('Activities'!L101,246)-MAX('Activities'!K101,240))</x:f>
        <x:v>0</x:v>
      </x:c>
      <x:c r="AT101" s="23" t="n">
        <x:f>MAX(0,MIN('Activities'!L101,252)-MAX('Activities'!K101,246))</x:f>
        <x:v>0</x:v>
      </x:c>
      <x:c r="AU101" s="23" t="n">
        <x:f>MAX(0,MIN('Activities'!L101,258)-MAX('Activities'!K101,252))</x:f>
        <x:v>0</x:v>
      </x:c>
      <x:c r="AV101" s="23" t="n">
        <x:f>MAX(0,MIN('Activities'!L101,264)-MAX('Activities'!K101,258))</x:f>
        <x:v>0</x:v>
      </x:c>
      <x:c r="AW101" s="23" t="n">
        <x:f>MAX(0,MIN('Activities'!L101,270)-MAX('Activities'!K101,264))</x:f>
        <x:v>0</x:v>
      </x:c>
      <x:c r="AX101" s="23" t="n">
        <x:f>MAX(0,MIN('Activities'!L101,276)-MAX('Activities'!K101,270))</x:f>
        <x:v>0</x:v>
      </x:c>
      <x:c r="AY101" s="23" t="n">
        <x:f>MAX(0,MIN('Activities'!L101,282)-MAX('Activities'!K101,276))</x:f>
        <x:v>0</x:v>
      </x:c>
      <x:c r="AZ101" s="23" t="n">
        <x:f>MAX(0,MIN('Activities'!L101,288)-MAX('Activities'!K101,282))</x:f>
        <x:v>0</x:v>
      </x:c>
      <x:c r="BA101" s="23" t="n">
        <x:f>MAX(0,MIN('Activities'!L101,294)-MAX('Activities'!K101,288))</x:f>
        <x:v>0</x:v>
      </x:c>
      <x:c r="BB101" s="23" t="n">
        <x:f>MAX(0,MIN('Activities'!L101,300)-MAX('Activities'!K101,294))</x:f>
        <x:v>0</x:v>
      </x:c>
      <x:c r="BC101" s="23" t="n">
        <x:f>MAX(0,MIN('Activities'!L101,306)-MAX('Activities'!K101,300))</x:f>
        <x:v>5</x:v>
      </x:c>
      <x:c r="BD101" s="23" t="n">
        <x:f>MAX(0,MIN('Activities'!L101,312)-MAX('Activities'!K101,306))</x:f>
        <x:v>0</x:v>
      </x:c>
      <x:c r="BE101" s="23" t="n">
        <x:f>MAX(0,MIN('Activities'!L101,318)-MAX('Activities'!K101,312))</x:f>
        <x:v>0</x:v>
      </x:c>
      <x:c r="BF101" s="23" t="n">
        <x:f>MAX(0,MIN('Activities'!L101,324)-MAX('Activities'!K101,318))</x:f>
        <x:v>0</x:v>
      </x:c>
      <x:c r="BG101" s="23" t="n">
        <x:f>MAX(0,MIN('Activities'!L101,330)-MAX('Activities'!K101,324))</x:f>
        <x:v>0</x:v>
      </x:c>
      <x:c r="BH101" s="23" t="n">
        <x:f>MAX(0,MIN('Activities'!L101,336)-MAX('Activities'!K101,330))</x:f>
        <x:v>0</x:v>
      </x:c>
      <x:c r="BI101" s="23" t="n">
        <x:f>MAX(0,MIN('Activities'!L101,342)-MAX('Activities'!K101,336))</x:f>
        <x:v>0</x:v>
      </x:c>
      <x:c r="BJ101" s="23" t="n">
        <x:f>MAX(0,MIN('Activities'!L101,348)-MAX('Activities'!K101,342))</x:f>
        <x:v>0</x:v>
      </x:c>
      <x:c r="BK101" s="23" t="n">
        <x:f>MAX(0,MIN('Activities'!L101,354)-MAX('Activities'!K101,348))</x:f>
        <x:v>0</x:v>
      </x:c>
      <x:c r="BL101" s="23" t="n">
        <x:f>MAX(0,MIN('Activities'!L101,360)-MAX('Activities'!K101,354))</x:f>
        <x:v>0</x:v>
      </x:c>
      <x:c r="BM101" s="23" t="n">
        <x:f>MAX(0,MIN('Activities'!L101,366)-MAX('Activities'!K101,360))</x:f>
        <x:v>0</x:v>
      </x:c>
      <x:c r="BN101" s="23" t="n">
        <x:f>MAX(0,MIN('Activities'!L101,372)-MAX('Activities'!K101,366))</x:f>
        <x:v>0</x:v>
      </x:c>
      <x:c r="BO101" s="23" t="n">
        <x:f>MAX(0,MIN('Activities'!L101,378)-MAX('Activities'!K101,372))</x:f>
        <x:v>0</x:v>
      </x:c>
      <x:c r="BP101" s="23" t="n">
        <x:f>MAX(0,MIN('Activities'!L101,384)-MAX('Activities'!K101,378))</x:f>
        <x:v>0</x:v>
      </x:c>
      <x:c r="BQ101" s="23" t="n">
        <x:f>MAX(0,MIN('Activities'!L101,390)-MAX('Activities'!K101,384))</x:f>
        <x:v>0</x:v>
      </x:c>
      <x:c r="BR101" s="23" t="n">
        <x:f>MAX(0,MIN('Activities'!L101,396)-MAX('Activities'!K101,390))</x:f>
        <x:v>0</x:v>
      </x:c>
      <x:c r="BS101" s="23" t="n">
        <x:f>MAX(0,MIN('Activities'!L101,402)-MAX('Activities'!K101,396))</x:f>
        <x:v>0</x:v>
      </x:c>
      <x:c r="BT101" s="23" t="n">
        <x:f>MAX(0,MIN('Activities'!L101,408)-MAX('Activities'!K101,402))</x:f>
        <x:v>0</x:v>
      </x:c>
      <x:c r="BU101" s="23" t="n">
        <x:f>MAX(0,MIN('Activities'!L101,414)-MAX('Activities'!K101,408))</x:f>
        <x:v>0</x:v>
      </x:c>
      <x:c r="BV101" s="23" t="n">
        <x:f>MAX(0,MIN('Activities'!L101,420)-MAX('Activities'!K101,414))</x:f>
        <x:v>0</x:v>
      </x:c>
      <x:c r="BW101" s="23" t="n">
        <x:f>MAX(0,MIN('Activities'!L101,426)-MAX('Activities'!K101,420))</x:f>
        <x:v>0</x:v>
      </x:c>
      <x:c r="BX101" s="23" t="n">
        <x:f>MAX(0,MIN('Activities'!L101,432)-MAX('Activities'!K101,426))</x:f>
        <x:v>0</x:v>
      </x:c>
      <x:c r="BY101" s="23" t="n">
        <x:f>MAX(0,MIN('Activities'!L101,438)-MAX('Activities'!K101,432))</x:f>
        <x:v>0</x:v>
      </x:c>
      <x:c r="BZ101" s="23" t="n">
        <x:f>MAX(0,MIN('Activities'!L101,444)-MAX('Activities'!K101,438))</x:f>
        <x:v>0</x:v>
      </x:c>
      <x:c r="CA101" s="23" t="n">
        <x:f>MAX(0,MIN('Activities'!L101,450)-MAX('Activities'!K101,444))</x:f>
        <x:v>0</x:v>
      </x:c>
      <x:c r="CB101" s="23" t="n">
        <x:f>MAX(0,MIN('Activities'!L101,456)-MAX('Activities'!K101,450))</x:f>
        <x:v>0</x:v>
      </x:c>
      <x:c r="CC101" s="23" t="n">
        <x:f>MAX(0,MIN('Activities'!L101,462)-MAX('Activities'!K101,456))</x:f>
        <x:v>0</x:v>
      </x:c>
      <x:c r="CD101" s="23" t="n">
        <x:f>MAX(0,MIN('Activities'!L101,468)-MAX('Activities'!K101,462))</x:f>
        <x:v>0</x:v>
      </x:c>
      <x:c r="CE101" s="23" t="n">
        <x:f>MAX(0,MIN('Activities'!L101,474)-MAX('Activities'!K101,468))</x:f>
        <x:v>0</x:v>
      </x:c>
      <x:c r="CF101" s="23" t="n">
        <x:f>MAX(0,MIN('Activities'!L101,480)-MAX('Activities'!K101,474))</x:f>
        <x:v>0</x:v>
      </x:c>
      <x:c r="CG101" s="23" t="n">
        <x:f>MAX(0,MIN('Activities'!L101,486)-MAX('Activities'!K101,480))</x:f>
        <x:v>0</x:v>
      </x:c>
      <x:c r="CH101" s="23" t="n">
        <x:f>MAX(0,MIN('Activities'!L101,492)-MAX('Activities'!K101,486))</x:f>
        <x:v>0</x:v>
      </x:c>
      <x:c r="CI101" s="23" t="n">
        <x:f>MAX(0,MIN('Activities'!L101,498)-MAX('Activities'!K101,492))</x:f>
        <x:v>0</x:v>
      </x:c>
      <x:c r="CJ101" s="23" t="n">
        <x:f>MAX(0,MIN('Activities'!L101,504)-MAX('Activities'!K101,498))</x:f>
        <x:v>0</x:v>
      </x:c>
      <x:c r="CK101" s="23" t="n">
        <x:f>MAX(0,MIN('Activities'!L101,510)-MAX('Activities'!K101,504))</x:f>
        <x:v>0</x:v>
      </x:c>
      <x:c r="CL101" s="23" t="n">
        <x:f>MAX(0,MIN('Activities'!L101,516)-MAX('Activities'!K101,510))</x:f>
        <x:v>0</x:v>
      </x:c>
      <x:c r="CM101" s="23" t="n">
        <x:f>MAX(0,MIN('Activities'!L101,522)-MAX('Activities'!K101,516))</x:f>
        <x:v>0</x:v>
      </x:c>
      <x:c r="CN101" s="23" t="n">
        <x:f>MAX(0,MIN('Activities'!L101,528)-MAX('Activities'!K101,522))</x:f>
        <x:v>0</x:v>
      </x:c>
      <x:c r="CO101" s="23" t="n">
        <x:f>MAX(0,MIN('Activities'!L101,534)-MAX('Activities'!K101,528))</x:f>
        <x:v>0</x:v>
      </x:c>
      <x:c r="CP101" s="23" t="n">
        <x:f>MAX(0,MIN('Activities'!L101,540)-MAX('Activities'!K101,534))</x:f>
        <x:v>0</x:v>
      </x:c>
      <x:c r="CQ101" s="23" t="n">
        <x:f>MAX(0,MIN('Activities'!L101,546)-MAX('Activities'!K101,540))</x:f>
        <x:v>0</x:v>
      </x:c>
      <x:c r="CR101" s="23" t="n">
        <x:f>MAX(0,MIN('Activities'!L101,552)-MAX('Activities'!K101,546))</x:f>
        <x:v>0</x:v>
      </x:c>
      <x:c r="CS101" s="23" t="n">
        <x:f>MAX(0,MIN('Activities'!L101,558)-MAX('Activities'!K101,552))</x:f>
        <x:v>0</x:v>
      </x:c>
      <x:c r="CT101" s="23" t="n">
        <x:f>MAX(0,MIN('Activities'!L101,564)-MAX('Activities'!K101,558))</x:f>
        <x:v>0</x:v>
      </x:c>
      <x:c r="CU101" s="23" t="n">
        <x:f>MAX(0,MIN('Activities'!L101,570)-MAX('Activities'!K101,564))</x:f>
        <x:v>0</x:v>
      </x:c>
      <x:c r="CV101" s="23" t="n">
        <x:f>MAX(0,MIN('Activities'!L101,576)-MAX('Activities'!K101,570))</x:f>
        <x:v>0</x:v>
      </x:c>
      <x:c r="CW101" s="23" t="n">
        <x:f>MAX(0,MIN('Activities'!L101,582)-MAX('Activities'!K101,576))</x:f>
        <x:v>0</x:v>
      </x:c>
      <x:c r="CX101" s="23" t="n">
        <x:f>MAX(0,MIN('Activities'!L101,588)-MAX('Activities'!K101,582))</x:f>
        <x:v>0</x:v>
      </x:c>
      <x:c r="CY101" s="23" t="n">
        <x:f>MAX(0,MIN('Activities'!L101,594)-MAX('Activities'!K101,588))</x:f>
        <x:v>0</x:v>
      </x:c>
      <x:c r="CZ101" s="23" t="n">
        <x:f>MAX(0,MIN('Activities'!L101,600)-MAX('Activities'!K101,594))</x:f>
        <x:v>0</x:v>
      </x:c>
      <x:c r="DA101" s="23" t="n">
        <x:f>MAX(0,MIN('Activities'!L101,606)-MAX('Activities'!K101,600))</x:f>
        <x:v>0</x:v>
      </x:c>
      <x:c r="DB101" s="23" t="n">
        <x:f>MAX(0,MIN('Activities'!L101,612)-MAX('Activities'!K101,606))</x:f>
        <x:v>0</x:v>
      </x:c>
      <x:c r="DC101" s="23" t="n">
        <x:f>MAX(0,MIN('Activities'!L101,618)-MAX('Activities'!K101,612))</x:f>
        <x:v>0</x:v>
      </x:c>
      <x:c r="DD101" s="23" t="n">
        <x:f>MAX(0,MIN('Activities'!L101,624)-MAX('Activities'!K101,618))</x:f>
        <x:v>0</x:v>
      </x:c>
      <x:c r="DE101" s="23" t="n">
        <x:f>MAX(0,MIN('Activities'!L101,630)-MAX('Activities'!K101,624))</x:f>
        <x:v>0</x:v>
      </x:c>
      <x:c r="DF101" s="23" t="n">
        <x:f>MAX(0,MIN('Activities'!L101,636)-MAX('Activities'!K101,630))</x:f>
        <x:v>0</x:v>
      </x:c>
    </x:row>
    <x:row r="102" ht="23" customHeight="1">
      <x:c r="A102" s="6" t="str">
        <x:v>T1-L05-P</x:v>
      </x:c>
      <x:c r="B102" s="6" t="str">
        <x:v>T1</x:v>
      </x:c>
      <x:c r="C102" s="6" t="str">
        <x:v>Internal plaster</x:v>
      </x:c>
      <x:c r="D102" s="6" t="str">
        <x:v>Finishes</x:v>
      </x:c>
      <x:c r="E102" s="22" t="n">
        <x:f>MAX(0,MIN('Activities'!L102,6)-MAX('Activities'!K102,0))</x:f>
        <x:v>0</x:v>
      </x:c>
      <x:c r="F102" s="22" t="n">
        <x:f>MAX(0,MIN('Activities'!L102,12)-MAX('Activities'!K102,6))</x:f>
        <x:v>0</x:v>
      </x:c>
      <x:c r="G102" s="22" t="n">
        <x:f>MAX(0,MIN('Activities'!L102,18)-MAX('Activities'!K102,12))</x:f>
        <x:v>0</x:v>
      </x:c>
      <x:c r="H102" s="22" t="n">
        <x:f>MAX(0,MIN('Activities'!L102,24)-MAX('Activities'!K102,18))</x:f>
        <x:v>0</x:v>
      </x:c>
      <x:c r="I102" s="22" t="n">
        <x:f>MAX(0,MIN('Activities'!L102,30)-MAX('Activities'!K102,24))</x:f>
        <x:v>0</x:v>
      </x:c>
      <x:c r="J102" s="22" t="n">
        <x:f>MAX(0,MIN('Activities'!L102,36)-MAX('Activities'!K102,30))</x:f>
        <x:v>0</x:v>
      </x:c>
      <x:c r="K102" s="22" t="n">
        <x:f>MAX(0,MIN('Activities'!L102,42)-MAX('Activities'!K102,36))</x:f>
        <x:v>0</x:v>
      </x:c>
      <x:c r="L102" s="22" t="n">
        <x:f>MAX(0,MIN('Activities'!L102,48)-MAX('Activities'!K102,42))</x:f>
        <x:v>0</x:v>
      </x:c>
      <x:c r="M102" s="22" t="n">
        <x:f>MAX(0,MIN('Activities'!L102,54)-MAX('Activities'!K102,48))</x:f>
        <x:v>0</x:v>
      </x:c>
      <x:c r="N102" s="22" t="n">
        <x:f>MAX(0,MIN('Activities'!L102,60)-MAX('Activities'!K102,54))</x:f>
        <x:v>0</x:v>
      </x:c>
      <x:c r="O102" s="22" t="n">
        <x:f>MAX(0,MIN('Activities'!L102,66)-MAX('Activities'!K102,60))</x:f>
        <x:v>0</x:v>
      </x:c>
      <x:c r="P102" s="22" t="n">
        <x:f>MAX(0,MIN('Activities'!L102,72)-MAX('Activities'!K102,66))</x:f>
        <x:v>0</x:v>
      </x:c>
      <x:c r="Q102" s="22" t="n">
        <x:f>MAX(0,MIN('Activities'!L102,78)-MAX('Activities'!K102,72))</x:f>
        <x:v>0</x:v>
      </x:c>
      <x:c r="R102" s="22" t="n">
        <x:f>MAX(0,MIN('Activities'!L102,84)-MAX('Activities'!K102,78))</x:f>
        <x:v>0</x:v>
      </x:c>
      <x:c r="S102" s="22" t="n">
        <x:f>MAX(0,MIN('Activities'!L102,90)-MAX('Activities'!K102,84))</x:f>
        <x:v>0</x:v>
      </x:c>
      <x:c r="T102" s="22" t="n">
        <x:f>MAX(0,MIN('Activities'!L102,96)-MAX('Activities'!K102,90))</x:f>
        <x:v>0</x:v>
      </x:c>
      <x:c r="U102" s="22" t="n">
        <x:f>MAX(0,MIN('Activities'!L102,102)-MAX('Activities'!K102,96))</x:f>
        <x:v>0</x:v>
      </x:c>
      <x:c r="V102" s="22" t="n">
        <x:f>MAX(0,MIN('Activities'!L102,108)-MAX('Activities'!K102,102))</x:f>
        <x:v>0</x:v>
      </x:c>
      <x:c r="W102" s="22" t="n">
        <x:f>MAX(0,MIN('Activities'!L102,114)-MAX('Activities'!K102,108))</x:f>
        <x:v>0</x:v>
      </x:c>
      <x:c r="X102" s="22" t="n">
        <x:f>MAX(0,MIN('Activities'!L102,120)-MAX('Activities'!K102,114))</x:f>
        <x:v>0</x:v>
      </x:c>
      <x:c r="Y102" s="22" t="n">
        <x:f>MAX(0,MIN('Activities'!L102,126)-MAX('Activities'!K102,120))</x:f>
        <x:v>0</x:v>
      </x:c>
      <x:c r="Z102" s="22" t="n">
        <x:f>MAX(0,MIN('Activities'!L102,132)-MAX('Activities'!K102,126))</x:f>
        <x:v>0</x:v>
      </x:c>
      <x:c r="AA102" s="22" t="n">
        <x:f>MAX(0,MIN('Activities'!L102,138)-MAX('Activities'!K102,132))</x:f>
        <x:v>0</x:v>
      </x:c>
      <x:c r="AB102" s="22" t="n">
        <x:f>MAX(0,MIN('Activities'!L102,144)-MAX('Activities'!K102,138))</x:f>
        <x:v>0</x:v>
      </x:c>
      <x:c r="AC102" s="22" t="n">
        <x:f>MAX(0,MIN('Activities'!L102,150)-MAX('Activities'!K102,144))</x:f>
        <x:v>0</x:v>
      </x:c>
      <x:c r="AD102" s="22" t="n">
        <x:f>MAX(0,MIN('Activities'!L102,156)-MAX('Activities'!K102,150))</x:f>
        <x:v>0</x:v>
      </x:c>
      <x:c r="AE102" s="22" t="n">
        <x:f>MAX(0,MIN('Activities'!L102,162)-MAX('Activities'!K102,156))</x:f>
        <x:v>0</x:v>
      </x:c>
      <x:c r="AF102" s="22" t="n">
        <x:f>MAX(0,MIN('Activities'!L102,168)-MAX('Activities'!K102,162))</x:f>
        <x:v>0</x:v>
      </x:c>
      <x:c r="AG102" s="22" t="n">
        <x:f>MAX(0,MIN('Activities'!L102,174)-MAX('Activities'!K102,168))</x:f>
        <x:v>0</x:v>
      </x:c>
      <x:c r="AH102" s="22" t="n">
        <x:f>MAX(0,MIN('Activities'!L102,180)-MAX('Activities'!K102,174))</x:f>
        <x:v>0</x:v>
      </x:c>
      <x:c r="AI102" s="22" t="n">
        <x:f>MAX(0,MIN('Activities'!L102,186)-MAX('Activities'!K102,180))</x:f>
        <x:v>0</x:v>
      </x:c>
      <x:c r="AJ102" s="22" t="n">
        <x:f>MAX(0,MIN('Activities'!L102,192)-MAX('Activities'!K102,186))</x:f>
        <x:v>0</x:v>
      </x:c>
      <x:c r="AK102" s="22" t="n">
        <x:f>MAX(0,MIN('Activities'!L102,198)-MAX('Activities'!K102,192))</x:f>
        <x:v>0</x:v>
      </x:c>
      <x:c r="AL102" s="22" t="n">
        <x:f>MAX(0,MIN('Activities'!L102,204)-MAX('Activities'!K102,198))</x:f>
        <x:v>0</x:v>
      </x:c>
      <x:c r="AM102" s="22" t="n">
        <x:f>MAX(0,MIN('Activities'!L102,210)-MAX('Activities'!K102,204))</x:f>
        <x:v>0</x:v>
      </x:c>
      <x:c r="AN102" s="22" t="n">
        <x:f>MAX(0,MIN('Activities'!L102,216)-MAX('Activities'!K102,210))</x:f>
        <x:v>0</x:v>
      </x:c>
      <x:c r="AO102" s="22" t="n">
        <x:f>MAX(0,MIN('Activities'!L102,222)-MAX('Activities'!K102,216))</x:f>
        <x:v>0</x:v>
      </x:c>
      <x:c r="AP102" s="22" t="n">
        <x:f>MAX(0,MIN('Activities'!L102,228)-MAX('Activities'!K102,222))</x:f>
        <x:v>0</x:v>
      </x:c>
      <x:c r="AQ102" s="22" t="n">
        <x:f>MAX(0,MIN('Activities'!L102,234)-MAX('Activities'!K102,228))</x:f>
        <x:v>0</x:v>
      </x:c>
      <x:c r="AR102" s="22" t="n">
        <x:f>MAX(0,MIN('Activities'!L102,240)-MAX('Activities'!K102,234))</x:f>
        <x:v>0</x:v>
      </x:c>
      <x:c r="AS102" s="22" t="n">
        <x:f>MAX(0,MIN('Activities'!L102,246)-MAX('Activities'!K102,240))</x:f>
        <x:v>0</x:v>
      </x:c>
      <x:c r="AT102" s="22" t="n">
        <x:f>MAX(0,MIN('Activities'!L102,252)-MAX('Activities'!K102,246))</x:f>
        <x:v>0</x:v>
      </x:c>
      <x:c r="AU102" s="22" t="n">
        <x:f>MAX(0,MIN('Activities'!L102,258)-MAX('Activities'!K102,252))</x:f>
        <x:v>0</x:v>
      </x:c>
      <x:c r="AV102" s="22" t="n">
        <x:f>MAX(0,MIN('Activities'!L102,264)-MAX('Activities'!K102,258))</x:f>
        <x:v>0</x:v>
      </x:c>
      <x:c r="AW102" s="22" t="n">
        <x:f>MAX(0,MIN('Activities'!L102,270)-MAX('Activities'!K102,264))</x:f>
        <x:v>0</x:v>
      </x:c>
      <x:c r="AX102" s="22" t="n">
        <x:f>MAX(0,MIN('Activities'!L102,276)-MAX('Activities'!K102,270))</x:f>
        <x:v>0</x:v>
      </x:c>
      <x:c r="AY102" s="22" t="n">
        <x:f>MAX(0,MIN('Activities'!L102,282)-MAX('Activities'!K102,276))</x:f>
        <x:v>0</x:v>
      </x:c>
      <x:c r="AZ102" s="22" t="n">
        <x:f>MAX(0,MIN('Activities'!L102,288)-MAX('Activities'!K102,282))</x:f>
        <x:v>0</x:v>
      </x:c>
      <x:c r="BA102" s="22" t="n">
        <x:f>MAX(0,MIN('Activities'!L102,294)-MAX('Activities'!K102,288))</x:f>
        <x:v>0</x:v>
      </x:c>
      <x:c r="BB102" s="22" t="n">
        <x:f>MAX(0,MIN('Activities'!L102,300)-MAX('Activities'!K102,294))</x:f>
        <x:v>0</x:v>
      </x:c>
      <x:c r="BC102" s="22" t="n">
        <x:f>MAX(0,MIN('Activities'!L102,306)-MAX('Activities'!K102,300))</x:f>
        <x:v>0</x:v>
      </x:c>
      <x:c r="BD102" s="22" t="n">
        <x:f>MAX(0,MIN('Activities'!L102,312)-MAX('Activities'!K102,306))</x:f>
        <x:v>3</x:v>
      </x:c>
      <x:c r="BE102" s="22" t="n">
        <x:f>MAX(0,MIN('Activities'!L102,318)-MAX('Activities'!K102,312))</x:f>
        <x:v>3</x:v>
      </x:c>
      <x:c r="BF102" s="22" t="n">
        <x:f>MAX(0,MIN('Activities'!L102,324)-MAX('Activities'!K102,318))</x:f>
        <x:v>0</x:v>
      </x:c>
      <x:c r="BG102" s="22" t="n">
        <x:f>MAX(0,MIN('Activities'!L102,330)-MAX('Activities'!K102,324))</x:f>
        <x:v>0</x:v>
      </x:c>
      <x:c r="BH102" s="22" t="n">
        <x:f>MAX(0,MIN('Activities'!L102,336)-MAX('Activities'!K102,330))</x:f>
        <x:v>0</x:v>
      </x:c>
      <x:c r="BI102" s="22" t="n">
        <x:f>MAX(0,MIN('Activities'!L102,342)-MAX('Activities'!K102,336))</x:f>
        <x:v>0</x:v>
      </x:c>
      <x:c r="BJ102" s="22" t="n">
        <x:f>MAX(0,MIN('Activities'!L102,348)-MAX('Activities'!K102,342))</x:f>
        <x:v>0</x:v>
      </x:c>
      <x:c r="BK102" s="22" t="n">
        <x:f>MAX(0,MIN('Activities'!L102,354)-MAX('Activities'!K102,348))</x:f>
        <x:v>0</x:v>
      </x:c>
      <x:c r="BL102" s="22" t="n">
        <x:f>MAX(0,MIN('Activities'!L102,360)-MAX('Activities'!K102,354))</x:f>
        <x:v>0</x:v>
      </x:c>
      <x:c r="BM102" s="22" t="n">
        <x:f>MAX(0,MIN('Activities'!L102,366)-MAX('Activities'!K102,360))</x:f>
        <x:v>0</x:v>
      </x:c>
      <x:c r="BN102" s="22" t="n">
        <x:f>MAX(0,MIN('Activities'!L102,372)-MAX('Activities'!K102,366))</x:f>
        <x:v>0</x:v>
      </x:c>
      <x:c r="BO102" s="22" t="n">
        <x:f>MAX(0,MIN('Activities'!L102,378)-MAX('Activities'!K102,372))</x:f>
        <x:v>0</x:v>
      </x:c>
      <x:c r="BP102" s="22" t="n">
        <x:f>MAX(0,MIN('Activities'!L102,384)-MAX('Activities'!K102,378))</x:f>
        <x:v>0</x:v>
      </x:c>
      <x:c r="BQ102" s="22" t="n">
        <x:f>MAX(0,MIN('Activities'!L102,390)-MAX('Activities'!K102,384))</x:f>
        <x:v>0</x:v>
      </x:c>
      <x:c r="BR102" s="22" t="n">
        <x:f>MAX(0,MIN('Activities'!L102,396)-MAX('Activities'!K102,390))</x:f>
        <x:v>0</x:v>
      </x:c>
      <x:c r="BS102" s="22" t="n">
        <x:f>MAX(0,MIN('Activities'!L102,402)-MAX('Activities'!K102,396))</x:f>
        <x:v>0</x:v>
      </x:c>
      <x:c r="BT102" s="22" t="n">
        <x:f>MAX(0,MIN('Activities'!L102,408)-MAX('Activities'!K102,402))</x:f>
        <x:v>0</x:v>
      </x:c>
      <x:c r="BU102" s="22" t="n">
        <x:f>MAX(0,MIN('Activities'!L102,414)-MAX('Activities'!K102,408))</x:f>
        <x:v>0</x:v>
      </x:c>
      <x:c r="BV102" s="22" t="n">
        <x:f>MAX(0,MIN('Activities'!L102,420)-MAX('Activities'!K102,414))</x:f>
        <x:v>0</x:v>
      </x:c>
      <x:c r="BW102" s="22" t="n">
        <x:f>MAX(0,MIN('Activities'!L102,426)-MAX('Activities'!K102,420))</x:f>
        <x:v>0</x:v>
      </x:c>
      <x:c r="BX102" s="22" t="n">
        <x:f>MAX(0,MIN('Activities'!L102,432)-MAX('Activities'!K102,426))</x:f>
        <x:v>0</x:v>
      </x:c>
      <x:c r="BY102" s="22" t="n">
        <x:f>MAX(0,MIN('Activities'!L102,438)-MAX('Activities'!K102,432))</x:f>
        <x:v>0</x:v>
      </x:c>
      <x:c r="BZ102" s="22" t="n">
        <x:f>MAX(0,MIN('Activities'!L102,444)-MAX('Activities'!K102,438))</x:f>
        <x:v>0</x:v>
      </x:c>
      <x:c r="CA102" s="22" t="n">
        <x:f>MAX(0,MIN('Activities'!L102,450)-MAX('Activities'!K102,444))</x:f>
        <x:v>0</x:v>
      </x:c>
      <x:c r="CB102" s="22" t="n">
        <x:f>MAX(0,MIN('Activities'!L102,456)-MAX('Activities'!K102,450))</x:f>
        <x:v>0</x:v>
      </x:c>
      <x:c r="CC102" s="22" t="n">
        <x:f>MAX(0,MIN('Activities'!L102,462)-MAX('Activities'!K102,456))</x:f>
        <x:v>0</x:v>
      </x:c>
      <x:c r="CD102" s="22" t="n">
        <x:f>MAX(0,MIN('Activities'!L102,468)-MAX('Activities'!K102,462))</x:f>
        <x:v>0</x:v>
      </x:c>
      <x:c r="CE102" s="22" t="n">
        <x:f>MAX(0,MIN('Activities'!L102,474)-MAX('Activities'!K102,468))</x:f>
        <x:v>0</x:v>
      </x:c>
      <x:c r="CF102" s="22" t="n">
        <x:f>MAX(0,MIN('Activities'!L102,480)-MAX('Activities'!K102,474))</x:f>
        <x:v>0</x:v>
      </x:c>
      <x:c r="CG102" s="22" t="n">
        <x:f>MAX(0,MIN('Activities'!L102,486)-MAX('Activities'!K102,480))</x:f>
        <x:v>0</x:v>
      </x:c>
      <x:c r="CH102" s="22" t="n">
        <x:f>MAX(0,MIN('Activities'!L102,492)-MAX('Activities'!K102,486))</x:f>
        <x:v>0</x:v>
      </x:c>
      <x:c r="CI102" s="22" t="n">
        <x:f>MAX(0,MIN('Activities'!L102,498)-MAX('Activities'!K102,492))</x:f>
        <x:v>0</x:v>
      </x:c>
      <x:c r="CJ102" s="22" t="n">
        <x:f>MAX(0,MIN('Activities'!L102,504)-MAX('Activities'!K102,498))</x:f>
        <x:v>0</x:v>
      </x:c>
      <x:c r="CK102" s="22" t="n">
        <x:f>MAX(0,MIN('Activities'!L102,510)-MAX('Activities'!K102,504))</x:f>
        <x:v>0</x:v>
      </x:c>
      <x:c r="CL102" s="22" t="n">
        <x:f>MAX(0,MIN('Activities'!L102,516)-MAX('Activities'!K102,510))</x:f>
        <x:v>0</x:v>
      </x:c>
      <x:c r="CM102" s="22" t="n">
        <x:f>MAX(0,MIN('Activities'!L102,522)-MAX('Activities'!K102,516))</x:f>
        <x:v>0</x:v>
      </x:c>
      <x:c r="CN102" s="22" t="n">
        <x:f>MAX(0,MIN('Activities'!L102,528)-MAX('Activities'!K102,522))</x:f>
        <x:v>0</x:v>
      </x:c>
      <x:c r="CO102" s="22" t="n">
        <x:f>MAX(0,MIN('Activities'!L102,534)-MAX('Activities'!K102,528))</x:f>
        <x:v>0</x:v>
      </x:c>
      <x:c r="CP102" s="22" t="n">
        <x:f>MAX(0,MIN('Activities'!L102,540)-MAX('Activities'!K102,534))</x:f>
        <x:v>0</x:v>
      </x:c>
      <x:c r="CQ102" s="22" t="n">
        <x:f>MAX(0,MIN('Activities'!L102,546)-MAX('Activities'!K102,540))</x:f>
        <x:v>0</x:v>
      </x:c>
      <x:c r="CR102" s="22" t="n">
        <x:f>MAX(0,MIN('Activities'!L102,552)-MAX('Activities'!K102,546))</x:f>
        <x:v>0</x:v>
      </x:c>
      <x:c r="CS102" s="22" t="n">
        <x:f>MAX(0,MIN('Activities'!L102,558)-MAX('Activities'!K102,552))</x:f>
        <x:v>0</x:v>
      </x:c>
      <x:c r="CT102" s="22" t="n">
        <x:f>MAX(0,MIN('Activities'!L102,564)-MAX('Activities'!K102,558))</x:f>
        <x:v>0</x:v>
      </x:c>
      <x:c r="CU102" s="22" t="n">
        <x:f>MAX(0,MIN('Activities'!L102,570)-MAX('Activities'!K102,564))</x:f>
        <x:v>0</x:v>
      </x:c>
      <x:c r="CV102" s="22" t="n">
        <x:f>MAX(0,MIN('Activities'!L102,576)-MAX('Activities'!K102,570))</x:f>
        <x:v>0</x:v>
      </x:c>
      <x:c r="CW102" s="22" t="n">
        <x:f>MAX(0,MIN('Activities'!L102,582)-MAX('Activities'!K102,576))</x:f>
        <x:v>0</x:v>
      </x:c>
      <x:c r="CX102" s="22" t="n">
        <x:f>MAX(0,MIN('Activities'!L102,588)-MAX('Activities'!K102,582))</x:f>
        <x:v>0</x:v>
      </x:c>
      <x:c r="CY102" s="22" t="n">
        <x:f>MAX(0,MIN('Activities'!L102,594)-MAX('Activities'!K102,588))</x:f>
        <x:v>0</x:v>
      </x:c>
      <x:c r="CZ102" s="22" t="n">
        <x:f>MAX(0,MIN('Activities'!L102,600)-MAX('Activities'!K102,594))</x:f>
        <x:v>0</x:v>
      </x:c>
      <x:c r="DA102" s="22" t="n">
        <x:f>MAX(0,MIN('Activities'!L102,606)-MAX('Activities'!K102,600))</x:f>
        <x:v>0</x:v>
      </x:c>
      <x:c r="DB102" s="22" t="n">
        <x:f>MAX(0,MIN('Activities'!L102,612)-MAX('Activities'!K102,606))</x:f>
        <x:v>0</x:v>
      </x:c>
      <x:c r="DC102" s="22" t="n">
        <x:f>MAX(0,MIN('Activities'!L102,618)-MAX('Activities'!K102,612))</x:f>
        <x:v>0</x:v>
      </x:c>
      <x:c r="DD102" s="22" t="n">
        <x:f>MAX(0,MIN('Activities'!L102,624)-MAX('Activities'!K102,618))</x:f>
        <x:v>0</x:v>
      </x:c>
      <x:c r="DE102" s="22" t="n">
        <x:f>MAX(0,MIN('Activities'!L102,630)-MAX('Activities'!K102,624))</x:f>
        <x:v>0</x:v>
      </x:c>
      <x:c r="DF102" s="22" t="n">
        <x:f>MAX(0,MIN('Activities'!L102,636)-MAX('Activities'!K102,630))</x:f>
        <x:v>0</x:v>
      </x:c>
    </x:row>
    <x:row r="103" ht="23" customHeight="1">
      <x:c r="A103" s="1" t="str">
        <x:v>T1-L05-S</x:v>
      </x:c>
      <x:c r="B103" s="1" t="str">
        <x:v>T1</x:v>
      </x:c>
      <x:c r="C103" s="1" t="str">
        <x:v>Screed and substrate preparation</x:v>
      </x:c>
      <x:c r="D103" s="1" t="str">
        <x:v>Finishes</x:v>
      </x:c>
      <x:c r="E103" s="23" t="n">
        <x:f>MAX(0,MIN('Activities'!L103,6)-MAX('Activities'!K103,0))</x:f>
        <x:v>0</x:v>
      </x:c>
      <x:c r="F103" s="23" t="n">
        <x:f>MAX(0,MIN('Activities'!L103,12)-MAX('Activities'!K103,6))</x:f>
        <x:v>0</x:v>
      </x:c>
      <x:c r="G103" s="23" t="n">
        <x:f>MAX(0,MIN('Activities'!L103,18)-MAX('Activities'!K103,12))</x:f>
        <x:v>0</x:v>
      </x:c>
      <x:c r="H103" s="23" t="n">
        <x:f>MAX(0,MIN('Activities'!L103,24)-MAX('Activities'!K103,18))</x:f>
        <x:v>0</x:v>
      </x:c>
      <x:c r="I103" s="23" t="n">
        <x:f>MAX(0,MIN('Activities'!L103,30)-MAX('Activities'!K103,24))</x:f>
        <x:v>0</x:v>
      </x:c>
      <x:c r="J103" s="23" t="n">
        <x:f>MAX(0,MIN('Activities'!L103,36)-MAX('Activities'!K103,30))</x:f>
        <x:v>0</x:v>
      </x:c>
      <x:c r="K103" s="23" t="n">
        <x:f>MAX(0,MIN('Activities'!L103,42)-MAX('Activities'!K103,36))</x:f>
        <x:v>0</x:v>
      </x:c>
      <x:c r="L103" s="23" t="n">
        <x:f>MAX(0,MIN('Activities'!L103,48)-MAX('Activities'!K103,42))</x:f>
        <x:v>0</x:v>
      </x:c>
      <x:c r="M103" s="23" t="n">
        <x:f>MAX(0,MIN('Activities'!L103,54)-MAX('Activities'!K103,48))</x:f>
        <x:v>0</x:v>
      </x:c>
      <x:c r="N103" s="23" t="n">
        <x:f>MAX(0,MIN('Activities'!L103,60)-MAX('Activities'!K103,54))</x:f>
        <x:v>0</x:v>
      </x:c>
      <x:c r="O103" s="23" t="n">
        <x:f>MAX(0,MIN('Activities'!L103,66)-MAX('Activities'!K103,60))</x:f>
        <x:v>0</x:v>
      </x:c>
      <x:c r="P103" s="23" t="n">
        <x:f>MAX(0,MIN('Activities'!L103,72)-MAX('Activities'!K103,66))</x:f>
        <x:v>0</x:v>
      </x:c>
      <x:c r="Q103" s="23" t="n">
        <x:f>MAX(0,MIN('Activities'!L103,78)-MAX('Activities'!K103,72))</x:f>
        <x:v>0</x:v>
      </x:c>
      <x:c r="R103" s="23" t="n">
        <x:f>MAX(0,MIN('Activities'!L103,84)-MAX('Activities'!K103,78))</x:f>
        <x:v>0</x:v>
      </x:c>
      <x:c r="S103" s="23" t="n">
        <x:f>MAX(0,MIN('Activities'!L103,90)-MAX('Activities'!K103,84))</x:f>
        <x:v>0</x:v>
      </x:c>
      <x:c r="T103" s="23" t="n">
        <x:f>MAX(0,MIN('Activities'!L103,96)-MAX('Activities'!K103,90))</x:f>
        <x:v>0</x:v>
      </x:c>
      <x:c r="U103" s="23" t="n">
        <x:f>MAX(0,MIN('Activities'!L103,102)-MAX('Activities'!K103,96))</x:f>
        <x:v>0</x:v>
      </x:c>
      <x:c r="V103" s="23" t="n">
        <x:f>MAX(0,MIN('Activities'!L103,108)-MAX('Activities'!K103,102))</x:f>
        <x:v>0</x:v>
      </x:c>
      <x:c r="W103" s="23" t="n">
        <x:f>MAX(0,MIN('Activities'!L103,114)-MAX('Activities'!K103,108))</x:f>
        <x:v>0</x:v>
      </x:c>
      <x:c r="X103" s="23" t="n">
        <x:f>MAX(0,MIN('Activities'!L103,120)-MAX('Activities'!K103,114))</x:f>
        <x:v>0</x:v>
      </x:c>
      <x:c r="Y103" s="23" t="n">
        <x:f>MAX(0,MIN('Activities'!L103,126)-MAX('Activities'!K103,120))</x:f>
        <x:v>0</x:v>
      </x:c>
      <x:c r="Z103" s="23" t="n">
        <x:f>MAX(0,MIN('Activities'!L103,132)-MAX('Activities'!K103,126))</x:f>
        <x:v>0</x:v>
      </x:c>
      <x:c r="AA103" s="23" t="n">
        <x:f>MAX(0,MIN('Activities'!L103,138)-MAX('Activities'!K103,132))</x:f>
        <x:v>0</x:v>
      </x:c>
      <x:c r="AB103" s="23" t="n">
        <x:f>MAX(0,MIN('Activities'!L103,144)-MAX('Activities'!K103,138))</x:f>
        <x:v>0</x:v>
      </x:c>
      <x:c r="AC103" s="23" t="n">
        <x:f>MAX(0,MIN('Activities'!L103,150)-MAX('Activities'!K103,144))</x:f>
        <x:v>0</x:v>
      </x:c>
      <x:c r="AD103" s="23" t="n">
        <x:f>MAX(0,MIN('Activities'!L103,156)-MAX('Activities'!K103,150))</x:f>
        <x:v>0</x:v>
      </x:c>
      <x:c r="AE103" s="23" t="n">
        <x:f>MAX(0,MIN('Activities'!L103,162)-MAX('Activities'!K103,156))</x:f>
        <x:v>0</x:v>
      </x:c>
      <x:c r="AF103" s="23" t="n">
        <x:f>MAX(0,MIN('Activities'!L103,168)-MAX('Activities'!K103,162))</x:f>
        <x:v>0</x:v>
      </x:c>
      <x:c r="AG103" s="23" t="n">
        <x:f>MAX(0,MIN('Activities'!L103,174)-MAX('Activities'!K103,168))</x:f>
        <x:v>0</x:v>
      </x:c>
      <x:c r="AH103" s="23" t="n">
        <x:f>MAX(0,MIN('Activities'!L103,180)-MAX('Activities'!K103,174))</x:f>
        <x:v>0</x:v>
      </x:c>
      <x:c r="AI103" s="23" t="n">
        <x:f>MAX(0,MIN('Activities'!L103,186)-MAX('Activities'!K103,180))</x:f>
        <x:v>0</x:v>
      </x:c>
      <x:c r="AJ103" s="23" t="n">
        <x:f>MAX(0,MIN('Activities'!L103,192)-MAX('Activities'!K103,186))</x:f>
        <x:v>0</x:v>
      </x:c>
      <x:c r="AK103" s="23" t="n">
        <x:f>MAX(0,MIN('Activities'!L103,198)-MAX('Activities'!K103,192))</x:f>
        <x:v>0</x:v>
      </x:c>
      <x:c r="AL103" s="23" t="n">
        <x:f>MAX(0,MIN('Activities'!L103,204)-MAX('Activities'!K103,198))</x:f>
        <x:v>0</x:v>
      </x:c>
      <x:c r="AM103" s="23" t="n">
        <x:f>MAX(0,MIN('Activities'!L103,210)-MAX('Activities'!K103,204))</x:f>
        <x:v>0</x:v>
      </x:c>
      <x:c r="AN103" s="23" t="n">
        <x:f>MAX(0,MIN('Activities'!L103,216)-MAX('Activities'!K103,210))</x:f>
        <x:v>0</x:v>
      </x:c>
      <x:c r="AO103" s="23" t="n">
        <x:f>MAX(0,MIN('Activities'!L103,222)-MAX('Activities'!K103,216))</x:f>
        <x:v>0</x:v>
      </x:c>
      <x:c r="AP103" s="23" t="n">
        <x:f>MAX(0,MIN('Activities'!L103,228)-MAX('Activities'!K103,222))</x:f>
        <x:v>0</x:v>
      </x:c>
      <x:c r="AQ103" s="23" t="n">
        <x:f>MAX(0,MIN('Activities'!L103,234)-MAX('Activities'!K103,228))</x:f>
        <x:v>0</x:v>
      </x:c>
      <x:c r="AR103" s="23" t="n">
        <x:f>MAX(0,MIN('Activities'!L103,240)-MAX('Activities'!K103,234))</x:f>
        <x:v>0</x:v>
      </x:c>
      <x:c r="AS103" s="23" t="n">
        <x:f>MAX(0,MIN('Activities'!L103,246)-MAX('Activities'!K103,240))</x:f>
        <x:v>0</x:v>
      </x:c>
      <x:c r="AT103" s="23" t="n">
        <x:f>MAX(0,MIN('Activities'!L103,252)-MAX('Activities'!K103,246))</x:f>
        <x:v>0</x:v>
      </x:c>
      <x:c r="AU103" s="23" t="n">
        <x:f>MAX(0,MIN('Activities'!L103,258)-MAX('Activities'!K103,252))</x:f>
        <x:v>0</x:v>
      </x:c>
      <x:c r="AV103" s="23" t="n">
        <x:f>MAX(0,MIN('Activities'!L103,264)-MAX('Activities'!K103,258))</x:f>
        <x:v>0</x:v>
      </x:c>
      <x:c r="AW103" s="23" t="n">
        <x:f>MAX(0,MIN('Activities'!L103,270)-MAX('Activities'!K103,264))</x:f>
        <x:v>0</x:v>
      </x:c>
      <x:c r="AX103" s="23" t="n">
        <x:f>MAX(0,MIN('Activities'!L103,276)-MAX('Activities'!K103,270))</x:f>
        <x:v>0</x:v>
      </x:c>
      <x:c r="AY103" s="23" t="n">
        <x:f>MAX(0,MIN('Activities'!L103,282)-MAX('Activities'!K103,276))</x:f>
        <x:v>0</x:v>
      </x:c>
      <x:c r="AZ103" s="23" t="n">
        <x:f>MAX(0,MIN('Activities'!L103,288)-MAX('Activities'!K103,282))</x:f>
        <x:v>0</x:v>
      </x:c>
      <x:c r="BA103" s="23" t="n">
        <x:f>MAX(0,MIN('Activities'!L103,294)-MAX('Activities'!K103,288))</x:f>
        <x:v>0</x:v>
      </x:c>
      <x:c r="BB103" s="23" t="n">
        <x:f>MAX(0,MIN('Activities'!L103,300)-MAX('Activities'!K103,294))</x:f>
        <x:v>0</x:v>
      </x:c>
      <x:c r="BC103" s="23" t="n">
        <x:f>MAX(0,MIN('Activities'!L103,306)-MAX('Activities'!K103,300))</x:f>
        <x:v>0</x:v>
      </x:c>
      <x:c r="BD103" s="23" t="n">
        <x:f>MAX(0,MIN('Activities'!L103,312)-MAX('Activities'!K103,306))</x:f>
        <x:v>0</x:v>
      </x:c>
      <x:c r="BE103" s="23" t="n">
        <x:f>MAX(0,MIN('Activities'!L103,318)-MAX('Activities'!K103,312))</x:f>
        <x:v>1</x:v>
      </x:c>
      <x:c r="BF103" s="23" t="n">
        <x:f>MAX(0,MIN('Activities'!L103,324)-MAX('Activities'!K103,318))</x:f>
        <x:v>2</x:v>
      </x:c>
      <x:c r="BG103" s="23" t="n">
        <x:f>MAX(0,MIN('Activities'!L103,330)-MAX('Activities'!K103,324))</x:f>
        <x:v>0</x:v>
      </x:c>
      <x:c r="BH103" s="23" t="n">
        <x:f>MAX(0,MIN('Activities'!L103,336)-MAX('Activities'!K103,330))</x:f>
        <x:v>0</x:v>
      </x:c>
      <x:c r="BI103" s="23" t="n">
        <x:f>MAX(0,MIN('Activities'!L103,342)-MAX('Activities'!K103,336))</x:f>
        <x:v>0</x:v>
      </x:c>
      <x:c r="BJ103" s="23" t="n">
        <x:f>MAX(0,MIN('Activities'!L103,348)-MAX('Activities'!K103,342))</x:f>
        <x:v>0</x:v>
      </x:c>
      <x:c r="BK103" s="23" t="n">
        <x:f>MAX(0,MIN('Activities'!L103,354)-MAX('Activities'!K103,348))</x:f>
        <x:v>0</x:v>
      </x:c>
      <x:c r="BL103" s="23" t="n">
        <x:f>MAX(0,MIN('Activities'!L103,360)-MAX('Activities'!K103,354))</x:f>
        <x:v>0</x:v>
      </x:c>
      <x:c r="BM103" s="23" t="n">
        <x:f>MAX(0,MIN('Activities'!L103,366)-MAX('Activities'!K103,360))</x:f>
        <x:v>0</x:v>
      </x:c>
      <x:c r="BN103" s="23" t="n">
        <x:f>MAX(0,MIN('Activities'!L103,372)-MAX('Activities'!K103,366))</x:f>
        <x:v>0</x:v>
      </x:c>
      <x:c r="BO103" s="23" t="n">
        <x:f>MAX(0,MIN('Activities'!L103,378)-MAX('Activities'!K103,372))</x:f>
        <x:v>0</x:v>
      </x:c>
      <x:c r="BP103" s="23" t="n">
        <x:f>MAX(0,MIN('Activities'!L103,384)-MAX('Activities'!K103,378))</x:f>
        <x:v>0</x:v>
      </x:c>
      <x:c r="BQ103" s="23" t="n">
        <x:f>MAX(0,MIN('Activities'!L103,390)-MAX('Activities'!K103,384))</x:f>
        <x:v>0</x:v>
      </x:c>
      <x:c r="BR103" s="23" t="n">
        <x:f>MAX(0,MIN('Activities'!L103,396)-MAX('Activities'!K103,390))</x:f>
        <x:v>0</x:v>
      </x:c>
      <x:c r="BS103" s="23" t="n">
        <x:f>MAX(0,MIN('Activities'!L103,402)-MAX('Activities'!K103,396))</x:f>
        <x:v>0</x:v>
      </x:c>
      <x:c r="BT103" s="23" t="n">
        <x:f>MAX(0,MIN('Activities'!L103,408)-MAX('Activities'!K103,402))</x:f>
        <x:v>0</x:v>
      </x:c>
      <x:c r="BU103" s="23" t="n">
        <x:f>MAX(0,MIN('Activities'!L103,414)-MAX('Activities'!K103,408))</x:f>
        <x:v>0</x:v>
      </x:c>
      <x:c r="BV103" s="23" t="n">
        <x:f>MAX(0,MIN('Activities'!L103,420)-MAX('Activities'!K103,414))</x:f>
        <x:v>0</x:v>
      </x:c>
      <x:c r="BW103" s="23" t="n">
        <x:f>MAX(0,MIN('Activities'!L103,426)-MAX('Activities'!K103,420))</x:f>
        <x:v>0</x:v>
      </x:c>
      <x:c r="BX103" s="23" t="n">
        <x:f>MAX(0,MIN('Activities'!L103,432)-MAX('Activities'!K103,426))</x:f>
        <x:v>0</x:v>
      </x:c>
      <x:c r="BY103" s="23" t="n">
        <x:f>MAX(0,MIN('Activities'!L103,438)-MAX('Activities'!K103,432))</x:f>
        <x:v>0</x:v>
      </x:c>
      <x:c r="BZ103" s="23" t="n">
        <x:f>MAX(0,MIN('Activities'!L103,444)-MAX('Activities'!K103,438))</x:f>
        <x:v>0</x:v>
      </x:c>
      <x:c r="CA103" s="23" t="n">
        <x:f>MAX(0,MIN('Activities'!L103,450)-MAX('Activities'!K103,444))</x:f>
        <x:v>0</x:v>
      </x:c>
      <x:c r="CB103" s="23" t="n">
        <x:f>MAX(0,MIN('Activities'!L103,456)-MAX('Activities'!K103,450))</x:f>
        <x:v>0</x:v>
      </x:c>
      <x:c r="CC103" s="23" t="n">
        <x:f>MAX(0,MIN('Activities'!L103,462)-MAX('Activities'!K103,456))</x:f>
        <x:v>0</x:v>
      </x:c>
      <x:c r="CD103" s="23" t="n">
        <x:f>MAX(0,MIN('Activities'!L103,468)-MAX('Activities'!K103,462))</x:f>
        <x:v>0</x:v>
      </x:c>
      <x:c r="CE103" s="23" t="n">
        <x:f>MAX(0,MIN('Activities'!L103,474)-MAX('Activities'!K103,468))</x:f>
        <x:v>0</x:v>
      </x:c>
      <x:c r="CF103" s="23" t="n">
        <x:f>MAX(0,MIN('Activities'!L103,480)-MAX('Activities'!K103,474))</x:f>
        <x:v>0</x:v>
      </x:c>
      <x:c r="CG103" s="23" t="n">
        <x:f>MAX(0,MIN('Activities'!L103,486)-MAX('Activities'!K103,480))</x:f>
        <x:v>0</x:v>
      </x:c>
      <x:c r="CH103" s="23" t="n">
        <x:f>MAX(0,MIN('Activities'!L103,492)-MAX('Activities'!K103,486))</x:f>
        <x:v>0</x:v>
      </x:c>
      <x:c r="CI103" s="23" t="n">
        <x:f>MAX(0,MIN('Activities'!L103,498)-MAX('Activities'!K103,492))</x:f>
        <x:v>0</x:v>
      </x:c>
      <x:c r="CJ103" s="23" t="n">
        <x:f>MAX(0,MIN('Activities'!L103,504)-MAX('Activities'!K103,498))</x:f>
        <x:v>0</x:v>
      </x:c>
      <x:c r="CK103" s="23" t="n">
        <x:f>MAX(0,MIN('Activities'!L103,510)-MAX('Activities'!K103,504))</x:f>
        <x:v>0</x:v>
      </x:c>
      <x:c r="CL103" s="23" t="n">
        <x:f>MAX(0,MIN('Activities'!L103,516)-MAX('Activities'!K103,510))</x:f>
        <x:v>0</x:v>
      </x:c>
      <x:c r="CM103" s="23" t="n">
        <x:f>MAX(0,MIN('Activities'!L103,522)-MAX('Activities'!K103,516))</x:f>
        <x:v>0</x:v>
      </x:c>
      <x:c r="CN103" s="23" t="n">
        <x:f>MAX(0,MIN('Activities'!L103,528)-MAX('Activities'!K103,522))</x:f>
        <x:v>0</x:v>
      </x:c>
      <x:c r="CO103" s="23" t="n">
        <x:f>MAX(0,MIN('Activities'!L103,534)-MAX('Activities'!K103,528))</x:f>
        <x:v>0</x:v>
      </x:c>
      <x:c r="CP103" s="23" t="n">
        <x:f>MAX(0,MIN('Activities'!L103,540)-MAX('Activities'!K103,534))</x:f>
        <x:v>0</x:v>
      </x:c>
      <x:c r="CQ103" s="23" t="n">
        <x:f>MAX(0,MIN('Activities'!L103,546)-MAX('Activities'!K103,540))</x:f>
        <x:v>0</x:v>
      </x:c>
      <x:c r="CR103" s="23" t="n">
        <x:f>MAX(0,MIN('Activities'!L103,552)-MAX('Activities'!K103,546))</x:f>
        <x:v>0</x:v>
      </x:c>
      <x:c r="CS103" s="23" t="n">
        <x:f>MAX(0,MIN('Activities'!L103,558)-MAX('Activities'!K103,552))</x:f>
        <x:v>0</x:v>
      </x:c>
      <x:c r="CT103" s="23" t="n">
        <x:f>MAX(0,MIN('Activities'!L103,564)-MAX('Activities'!K103,558))</x:f>
        <x:v>0</x:v>
      </x:c>
      <x:c r="CU103" s="23" t="n">
        <x:f>MAX(0,MIN('Activities'!L103,570)-MAX('Activities'!K103,564))</x:f>
        <x:v>0</x:v>
      </x:c>
      <x:c r="CV103" s="23" t="n">
        <x:f>MAX(0,MIN('Activities'!L103,576)-MAX('Activities'!K103,570))</x:f>
        <x:v>0</x:v>
      </x:c>
      <x:c r="CW103" s="23" t="n">
        <x:f>MAX(0,MIN('Activities'!L103,582)-MAX('Activities'!K103,576))</x:f>
        <x:v>0</x:v>
      </x:c>
      <x:c r="CX103" s="23" t="n">
        <x:f>MAX(0,MIN('Activities'!L103,588)-MAX('Activities'!K103,582))</x:f>
        <x:v>0</x:v>
      </x:c>
      <x:c r="CY103" s="23" t="n">
        <x:f>MAX(0,MIN('Activities'!L103,594)-MAX('Activities'!K103,588))</x:f>
        <x:v>0</x:v>
      </x:c>
      <x:c r="CZ103" s="23" t="n">
        <x:f>MAX(0,MIN('Activities'!L103,600)-MAX('Activities'!K103,594))</x:f>
        <x:v>0</x:v>
      </x:c>
      <x:c r="DA103" s="23" t="n">
        <x:f>MAX(0,MIN('Activities'!L103,606)-MAX('Activities'!K103,600))</x:f>
        <x:v>0</x:v>
      </x:c>
      <x:c r="DB103" s="23" t="n">
        <x:f>MAX(0,MIN('Activities'!L103,612)-MAX('Activities'!K103,606))</x:f>
        <x:v>0</x:v>
      </x:c>
      <x:c r="DC103" s="23" t="n">
        <x:f>MAX(0,MIN('Activities'!L103,618)-MAX('Activities'!K103,612))</x:f>
        <x:v>0</x:v>
      </x:c>
      <x:c r="DD103" s="23" t="n">
        <x:f>MAX(0,MIN('Activities'!L103,624)-MAX('Activities'!K103,618))</x:f>
        <x:v>0</x:v>
      </x:c>
      <x:c r="DE103" s="23" t="n">
        <x:f>MAX(0,MIN('Activities'!L103,630)-MAX('Activities'!K103,624))</x:f>
        <x:v>0</x:v>
      </x:c>
      <x:c r="DF103" s="23" t="n">
        <x:f>MAX(0,MIN('Activities'!L103,636)-MAX('Activities'!K103,630))</x:f>
        <x:v>0</x:v>
      </x:c>
    </x:row>
    <x:row r="104" ht="23" customHeight="1">
      <x:c r="A104" s="6" t="str">
        <x:v>T1-L05-T</x:v>
      </x:c>
      <x:c r="B104" s="6" t="str">
        <x:v>T1</x:v>
      </x:c>
      <x:c r="C104" s="6" t="str">
        <x:v>Floor finishes and skirtings</x:v>
      </x:c>
      <x:c r="D104" s="6" t="str">
        <x:v>Finishes</x:v>
      </x:c>
      <x:c r="E104" s="22" t="n">
        <x:f>MAX(0,MIN('Activities'!L104,6)-MAX('Activities'!K104,0))</x:f>
        <x:v>0</x:v>
      </x:c>
      <x:c r="F104" s="22" t="n">
        <x:f>MAX(0,MIN('Activities'!L104,12)-MAX('Activities'!K104,6))</x:f>
        <x:v>0</x:v>
      </x:c>
      <x:c r="G104" s="22" t="n">
        <x:f>MAX(0,MIN('Activities'!L104,18)-MAX('Activities'!K104,12))</x:f>
        <x:v>0</x:v>
      </x:c>
      <x:c r="H104" s="22" t="n">
        <x:f>MAX(0,MIN('Activities'!L104,24)-MAX('Activities'!K104,18))</x:f>
        <x:v>0</x:v>
      </x:c>
      <x:c r="I104" s="22" t="n">
        <x:f>MAX(0,MIN('Activities'!L104,30)-MAX('Activities'!K104,24))</x:f>
        <x:v>0</x:v>
      </x:c>
      <x:c r="J104" s="22" t="n">
        <x:f>MAX(0,MIN('Activities'!L104,36)-MAX('Activities'!K104,30))</x:f>
        <x:v>0</x:v>
      </x:c>
      <x:c r="K104" s="22" t="n">
        <x:f>MAX(0,MIN('Activities'!L104,42)-MAX('Activities'!K104,36))</x:f>
        <x:v>0</x:v>
      </x:c>
      <x:c r="L104" s="22" t="n">
        <x:f>MAX(0,MIN('Activities'!L104,48)-MAX('Activities'!K104,42))</x:f>
        <x:v>0</x:v>
      </x:c>
      <x:c r="M104" s="22" t="n">
        <x:f>MAX(0,MIN('Activities'!L104,54)-MAX('Activities'!K104,48))</x:f>
        <x:v>0</x:v>
      </x:c>
      <x:c r="N104" s="22" t="n">
        <x:f>MAX(0,MIN('Activities'!L104,60)-MAX('Activities'!K104,54))</x:f>
        <x:v>0</x:v>
      </x:c>
      <x:c r="O104" s="22" t="n">
        <x:f>MAX(0,MIN('Activities'!L104,66)-MAX('Activities'!K104,60))</x:f>
        <x:v>0</x:v>
      </x:c>
      <x:c r="P104" s="22" t="n">
        <x:f>MAX(0,MIN('Activities'!L104,72)-MAX('Activities'!K104,66))</x:f>
        <x:v>0</x:v>
      </x:c>
      <x:c r="Q104" s="22" t="n">
        <x:f>MAX(0,MIN('Activities'!L104,78)-MAX('Activities'!K104,72))</x:f>
        <x:v>0</x:v>
      </x:c>
      <x:c r="R104" s="22" t="n">
        <x:f>MAX(0,MIN('Activities'!L104,84)-MAX('Activities'!K104,78))</x:f>
        <x:v>0</x:v>
      </x:c>
      <x:c r="S104" s="22" t="n">
        <x:f>MAX(0,MIN('Activities'!L104,90)-MAX('Activities'!K104,84))</x:f>
        <x:v>0</x:v>
      </x:c>
      <x:c r="T104" s="22" t="n">
        <x:f>MAX(0,MIN('Activities'!L104,96)-MAX('Activities'!K104,90))</x:f>
        <x:v>0</x:v>
      </x:c>
      <x:c r="U104" s="22" t="n">
        <x:f>MAX(0,MIN('Activities'!L104,102)-MAX('Activities'!K104,96))</x:f>
        <x:v>0</x:v>
      </x:c>
      <x:c r="V104" s="22" t="n">
        <x:f>MAX(0,MIN('Activities'!L104,108)-MAX('Activities'!K104,102))</x:f>
        <x:v>0</x:v>
      </x:c>
      <x:c r="W104" s="22" t="n">
        <x:f>MAX(0,MIN('Activities'!L104,114)-MAX('Activities'!K104,108))</x:f>
        <x:v>0</x:v>
      </x:c>
      <x:c r="X104" s="22" t="n">
        <x:f>MAX(0,MIN('Activities'!L104,120)-MAX('Activities'!K104,114))</x:f>
        <x:v>0</x:v>
      </x:c>
      <x:c r="Y104" s="22" t="n">
        <x:f>MAX(0,MIN('Activities'!L104,126)-MAX('Activities'!K104,120))</x:f>
        <x:v>0</x:v>
      </x:c>
      <x:c r="Z104" s="22" t="n">
        <x:f>MAX(0,MIN('Activities'!L104,132)-MAX('Activities'!K104,126))</x:f>
        <x:v>0</x:v>
      </x:c>
      <x:c r="AA104" s="22" t="n">
        <x:f>MAX(0,MIN('Activities'!L104,138)-MAX('Activities'!K104,132))</x:f>
        <x:v>0</x:v>
      </x:c>
      <x:c r="AB104" s="22" t="n">
        <x:f>MAX(0,MIN('Activities'!L104,144)-MAX('Activities'!K104,138))</x:f>
        <x:v>0</x:v>
      </x:c>
      <x:c r="AC104" s="22" t="n">
        <x:f>MAX(0,MIN('Activities'!L104,150)-MAX('Activities'!K104,144))</x:f>
        <x:v>0</x:v>
      </x:c>
      <x:c r="AD104" s="22" t="n">
        <x:f>MAX(0,MIN('Activities'!L104,156)-MAX('Activities'!K104,150))</x:f>
        <x:v>0</x:v>
      </x:c>
      <x:c r="AE104" s="22" t="n">
        <x:f>MAX(0,MIN('Activities'!L104,162)-MAX('Activities'!K104,156))</x:f>
        <x:v>0</x:v>
      </x:c>
      <x:c r="AF104" s="22" t="n">
        <x:f>MAX(0,MIN('Activities'!L104,168)-MAX('Activities'!K104,162))</x:f>
        <x:v>0</x:v>
      </x:c>
      <x:c r="AG104" s="22" t="n">
        <x:f>MAX(0,MIN('Activities'!L104,174)-MAX('Activities'!K104,168))</x:f>
        <x:v>0</x:v>
      </x:c>
      <x:c r="AH104" s="22" t="n">
        <x:f>MAX(0,MIN('Activities'!L104,180)-MAX('Activities'!K104,174))</x:f>
        <x:v>0</x:v>
      </x:c>
      <x:c r="AI104" s="22" t="n">
        <x:f>MAX(0,MIN('Activities'!L104,186)-MAX('Activities'!K104,180))</x:f>
        <x:v>0</x:v>
      </x:c>
      <x:c r="AJ104" s="22" t="n">
        <x:f>MAX(0,MIN('Activities'!L104,192)-MAX('Activities'!K104,186))</x:f>
        <x:v>0</x:v>
      </x:c>
      <x:c r="AK104" s="22" t="n">
        <x:f>MAX(0,MIN('Activities'!L104,198)-MAX('Activities'!K104,192))</x:f>
        <x:v>0</x:v>
      </x:c>
      <x:c r="AL104" s="22" t="n">
        <x:f>MAX(0,MIN('Activities'!L104,204)-MAX('Activities'!K104,198))</x:f>
        <x:v>0</x:v>
      </x:c>
      <x:c r="AM104" s="22" t="n">
        <x:f>MAX(0,MIN('Activities'!L104,210)-MAX('Activities'!K104,204))</x:f>
        <x:v>0</x:v>
      </x:c>
      <x:c r="AN104" s="22" t="n">
        <x:f>MAX(0,MIN('Activities'!L104,216)-MAX('Activities'!K104,210))</x:f>
        <x:v>0</x:v>
      </x:c>
      <x:c r="AO104" s="22" t="n">
        <x:f>MAX(0,MIN('Activities'!L104,222)-MAX('Activities'!K104,216))</x:f>
        <x:v>0</x:v>
      </x:c>
      <x:c r="AP104" s="22" t="n">
        <x:f>MAX(0,MIN('Activities'!L104,228)-MAX('Activities'!K104,222))</x:f>
        <x:v>0</x:v>
      </x:c>
      <x:c r="AQ104" s="22" t="n">
        <x:f>MAX(0,MIN('Activities'!L104,234)-MAX('Activities'!K104,228))</x:f>
        <x:v>0</x:v>
      </x:c>
      <x:c r="AR104" s="22" t="n">
        <x:f>MAX(0,MIN('Activities'!L104,240)-MAX('Activities'!K104,234))</x:f>
        <x:v>0</x:v>
      </x:c>
      <x:c r="AS104" s="22" t="n">
        <x:f>MAX(0,MIN('Activities'!L104,246)-MAX('Activities'!K104,240))</x:f>
        <x:v>0</x:v>
      </x:c>
      <x:c r="AT104" s="22" t="n">
        <x:f>MAX(0,MIN('Activities'!L104,252)-MAX('Activities'!K104,246))</x:f>
        <x:v>0</x:v>
      </x:c>
      <x:c r="AU104" s="22" t="n">
        <x:f>MAX(0,MIN('Activities'!L104,258)-MAX('Activities'!K104,252))</x:f>
        <x:v>0</x:v>
      </x:c>
      <x:c r="AV104" s="22" t="n">
        <x:f>MAX(0,MIN('Activities'!L104,264)-MAX('Activities'!K104,258))</x:f>
        <x:v>0</x:v>
      </x:c>
      <x:c r="AW104" s="22" t="n">
        <x:f>MAX(0,MIN('Activities'!L104,270)-MAX('Activities'!K104,264))</x:f>
        <x:v>0</x:v>
      </x:c>
      <x:c r="AX104" s="22" t="n">
        <x:f>MAX(0,MIN('Activities'!L104,276)-MAX('Activities'!K104,270))</x:f>
        <x:v>0</x:v>
      </x:c>
      <x:c r="AY104" s="22" t="n">
        <x:f>MAX(0,MIN('Activities'!L104,282)-MAX('Activities'!K104,276))</x:f>
        <x:v>0</x:v>
      </x:c>
      <x:c r="AZ104" s="22" t="n">
        <x:f>MAX(0,MIN('Activities'!L104,288)-MAX('Activities'!K104,282))</x:f>
        <x:v>0</x:v>
      </x:c>
      <x:c r="BA104" s="22" t="n">
        <x:f>MAX(0,MIN('Activities'!L104,294)-MAX('Activities'!K104,288))</x:f>
        <x:v>0</x:v>
      </x:c>
      <x:c r="BB104" s="22" t="n">
        <x:f>MAX(0,MIN('Activities'!L104,300)-MAX('Activities'!K104,294))</x:f>
        <x:v>0</x:v>
      </x:c>
      <x:c r="BC104" s="22" t="n">
        <x:f>MAX(0,MIN('Activities'!L104,306)-MAX('Activities'!K104,300))</x:f>
        <x:v>0</x:v>
      </x:c>
      <x:c r="BD104" s="22" t="n">
        <x:f>MAX(0,MIN('Activities'!L104,312)-MAX('Activities'!K104,306))</x:f>
        <x:v>0</x:v>
      </x:c>
      <x:c r="BE104" s="22" t="n">
        <x:f>MAX(0,MIN('Activities'!L104,318)-MAX('Activities'!K104,312))</x:f>
        <x:v>0</x:v>
      </x:c>
      <x:c r="BF104" s="22" t="n">
        <x:f>MAX(0,MIN('Activities'!L104,324)-MAX('Activities'!K104,318))</x:f>
        <x:v>0</x:v>
      </x:c>
      <x:c r="BG104" s="22" t="n">
        <x:f>MAX(0,MIN('Activities'!L104,330)-MAX('Activities'!K104,324))</x:f>
        <x:v>0</x:v>
      </x:c>
      <x:c r="BH104" s="22" t="n">
        <x:f>MAX(0,MIN('Activities'!L104,336)-MAX('Activities'!K104,330))</x:f>
        <x:v>0</x:v>
      </x:c>
      <x:c r="BI104" s="22" t="n">
        <x:f>MAX(0,MIN('Activities'!L104,342)-MAX('Activities'!K104,336))</x:f>
        <x:v>0</x:v>
      </x:c>
      <x:c r="BJ104" s="22" t="n">
        <x:f>MAX(0,MIN('Activities'!L104,348)-MAX('Activities'!K104,342))</x:f>
        <x:v>0</x:v>
      </x:c>
      <x:c r="BK104" s="22" t="n">
        <x:f>MAX(0,MIN('Activities'!L104,354)-MAX('Activities'!K104,348))</x:f>
        <x:v>0</x:v>
      </x:c>
      <x:c r="BL104" s="22" t="n">
        <x:f>MAX(0,MIN('Activities'!L104,360)-MAX('Activities'!K104,354))</x:f>
        <x:v>0</x:v>
      </x:c>
      <x:c r="BM104" s="22" t="n">
        <x:f>MAX(0,MIN('Activities'!L104,366)-MAX('Activities'!K104,360))</x:f>
        <x:v>0</x:v>
      </x:c>
      <x:c r="BN104" s="22" t="n">
        <x:f>MAX(0,MIN('Activities'!L104,372)-MAX('Activities'!K104,366))</x:f>
        <x:v>0</x:v>
      </x:c>
      <x:c r="BO104" s="22" t="n">
        <x:f>MAX(0,MIN('Activities'!L104,378)-MAX('Activities'!K104,372))</x:f>
        <x:v>0</x:v>
      </x:c>
      <x:c r="BP104" s="22" t="n">
        <x:f>MAX(0,MIN('Activities'!L104,384)-MAX('Activities'!K104,378))</x:f>
        <x:v>0</x:v>
      </x:c>
      <x:c r="BQ104" s="22" t="n">
        <x:f>MAX(0,MIN('Activities'!L104,390)-MAX('Activities'!K104,384))</x:f>
        <x:v>0</x:v>
      </x:c>
      <x:c r="BR104" s="22" t="n">
        <x:f>MAX(0,MIN('Activities'!L104,396)-MAX('Activities'!K104,390))</x:f>
        <x:v>0</x:v>
      </x:c>
      <x:c r="BS104" s="22" t="n">
        <x:f>MAX(0,MIN('Activities'!L104,402)-MAX('Activities'!K104,396))</x:f>
        <x:v>1</x:v>
      </x:c>
      <x:c r="BT104" s="22" t="n">
        <x:f>MAX(0,MIN('Activities'!L104,408)-MAX('Activities'!K104,402))</x:f>
        <x:v>5</x:v>
      </x:c>
      <x:c r="BU104" s="22" t="n">
        <x:f>MAX(0,MIN('Activities'!L104,414)-MAX('Activities'!K104,408))</x:f>
        <x:v>0</x:v>
      </x:c>
      <x:c r="BV104" s="22" t="n">
        <x:f>MAX(0,MIN('Activities'!L104,420)-MAX('Activities'!K104,414))</x:f>
        <x:v>0</x:v>
      </x:c>
      <x:c r="BW104" s="22" t="n">
        <x:f>MAX(0,MIN('Activities'!L104,426)-MAX('Activities'!K104,420))</x:f>
        <x:v>0</x:v>
      </x:c>
      <x:c r="BX104" s="22" t="n">
        <x:f>MAX(0,MIN('Activities'!L104,432)-MAX('Activities'!K104,426))</x:f>
        <x:v>0</x:v>
      </x:c>
      <x:c r="BY104" s="22" t="n">
        <x:f>MAX(0,MIN('Activities'!L104,438)-MAX('Activities'!K104,432))</x:f>
        <x:v>0</x:v>
      </x:c>
      <x:c r="BZ104" s="22" t="n">
        <x:f>MAX(0,MIN('Activities'!L104,444)-MAX('Activities'!K104,438))</x:f>
        <x:v>0</x:v>
      </x:c>
      <x:c r="CA104" s="22" t="n">
        <x:f>MAX(0,MIN('Activities'!L104,450)-MAX('Activities'!K104,444))</x:f>
        <x:v>0</x:v>
      </x:c>
      <x:c r="CB104" s="22" t="n">
        <x:f>MAX(0,MIN('Activities'!L104,456)-MAX('Activities'!K104,450))</x:f>
        <x:v>0</x:v>
      </x:c>
      <x:c r="CC104" s="22" t="n">
        <x:f>MAX(0,MIN('Activities'!L104,462)-MAX('Activities'!K104,456))</x:f>
        <x:v>0</x:v>
      </x:c>
      <x:c r="CD104" s="22" t="n">
        <x:f>MAX(0,MIN('Activities'!L104,468)-MAX('Activities'!K104,462))</x:f>
        <x:v>0</x:v>
      </x:c>
      <x:c r="CE104" s="22" t="n">
        <x:f>MAX(0,MIN('Activities'!L104,474)-MAX('Activities'!K104,468))</x:f>
        <x:v>0</x:v>
      </x:c>
      <x:c r="CF104" s="22" t="n">
        <x:f>MAX(0,MIN('Activities'!L104,480)-MAX('Activities'!K104,474))</x:f>
        <x:v>0</x:v>
      </x:c>
      <x:c r="CG104" s="22" t="n">
        <x:f>MAX(0,MIN('Activities'!L104,486)-MAX('Activities'!K104,480))</x:f>
        <x:v>0</x:v>
      </x:c>
      <x:c r="CH104" s="22" t="n">
        <x:f>MAX(0,MIN('Activities'!L104,492)-MAX('Activities'!K104,486))</x:f>
        <x:v>0</x:v>
      </x:c>
      <x:c r="CI104" s="22" t="n">
        <x:f>MAX(0,MIN('Activities'!L104,498)-MAX('Activities'!K104,492))</x:f>
        <x:v>0</x:v>
      </x:c>
      <x:c r="CJ104" s="22" t="n">
        <x:f>MAX(0,MIN('Activities'!L104,504)-MAX('Activities'!K104,498))</x:f>
        <x:v>0</x:v>
      </x:c>
      <x:c r="CK104" s="22" t="n">
        <x:f>MAX(0,MIN('Activities'!L104,510)-MAX('Activities'!K104,504))</x:f>
        <x:v>0</x:v>
      </x:c>
      <x:c r="CL104" s="22" t="n">
        <x:f>MAX(0,MIN('Activities'!L104,516)-MAX('Activities'!K104,510))</x:f>
        <x:v>0</x:v>
      </x:c>
      <x:c r="CM104" s="22" t="n">
        <x:f>MAX(0,MIN('Activities'!L104,522)-MAX('Activities'!K104,516))</x:f>
        <x:v>0</x:v>
      </x:c>
      <x:c r="CN104" s="22" t="n">
        <x:f>MAX(0,MIN('Activities'!L104,528)-MAX('Activities'!K104,522))</x:f>
        <x:v>0</x:v>
      </x:c>
      <x:c r="CO104" s="22" t="n">
        <x:f>MAX(0,MIN('Activities'!L104,534)-MAX('Activities'!K104,528))</x:f>
        <x:v>0</x:v>
      </x:c>
      <x:c r="CP104" s="22" t="n">
        <x:f>MAX(0,MIN('Activities'!L104,540)-MAX('Activities'!K104,534))</x:f>
        <x:v>0</x:v>
      </x:c>
      <x:c r="CQ104" s="22" t="n">
        <x:f>MAX(0,MIN('Activities'!L104,546)-MAX('Activities'!K104,540))</x:f>
        <x:v>0</x:v>
      </x:c>
      <x:c r="CR104" s="22" t="n">
        <x:f>MAX(0,MIN('Activities'!L104,552)-MAX('Activities'!K104,546))</x:f>
        <x:v>0</x:v>
      </x:c>
      <x:c r="CS104" s="22" t="n">
        <x:f>MAX(0,MIN('Activities'!L104,558)-MAX('Activities'!K104,552))</x:f>
        <x:v>0</x:v>
      </x:c>
      <x:c r="CT104" s="22" t="n">
        <x:f>MAX(0,MIN('Activities'!L104,564)-MAX('Activities'!K104,558))</x:f>
        <x:v>0</x:v>
      </x:c>
      <x:c r="CU104" s="22" t="n">
        <x:f>MAX(0,MIN('Activities'!L104,570)-MAX('Activities'!K104,564))</x:f>
        <x:v>0</x:v>
      </x:c>
      <x:c r="CV104" s="22" t="n">
        <x:f>MAX(0,MIN('Activities'!L104,576)-MAX('Activities'!K104,570))</x:f>
        <x:v>0</x:v>
      </x:c>
      <x:c r="CW104" s="22" t="n">
        <x:f>MAX(0,MIN('Activities'!L104,582)-MAX('Activities'!K104,576))</x:f>
        <x:v>0</x:v>
      </x:c>
      <x:c r="CX104" s="22" t="n">
        <x:f>MAX(0,MIN('Activities'!L104,588)-MAX('Activities'!K104,582))</x:f>
        <x:v>0</x:v>
      </x:c>
      <x:c r="CY104" s="22" t="n">
        <x:f>MAX(0,MIN('Activities'!L104,594)-MAX('Activities'!K104,588))</x:f>
        <x:v>0</x:v>
      </x:c>
      <x:c r="CZ104" s="22" t="n">
        <x:f>MAX(0,MIN('Activities'!L104,600)-MAX('Activities'!K104,594))</x:f>
        <x:v>0</x:v>
      </x:c>
      <x:c r="DA104" s="22" t="n">
        <x:f>MAX(0,MIN('Activities'!L104,606)-MAX('Activities'!K104,600))</x:f>
        <x:v>0</x:v>
      </x:c>
      <x:c r="DB104" s="22" t="n">
        <x:f>MAX(0,MIN('Activities'!L104,612)-MAX('Activities'!K104,606))</x:f>
        <x:v>0</x:v>
      </x:c>
      <x:c r="DC104" s="22" t="n">
        <x:f>MAX(0,MIN('Activities'!L104,618)-MAX('Activities'!K104,612))</x:f>
        <x:v>0</x:v>
      </x:c>
      <x:c r="DD104" s="22" t="n">
        <x:f>MAX(0,MIN('Activities'!L104,624)-MAX('Activities'!K104,618))</x:f>
        <x:v>0</x:v>
      </x:c>
      <x:c r="DE104" s="22" t="n">
        <x:f>MAX(0,MIN('Activities'!L104,630)-MAX('Activities'!K104,624))</x:f>
        <x:v>0</x:v>
      </x:c>
      <x:c r="DF104" s="22" t="n">
        <x:f>MAX(0,MIN('Activities'!L104,636)-MAX('Activities'!K104,630))</x:f>
        <x:v>0</x:v>
      </x:c>
    </x:row>
    <x:row r="105" ht="23" customHeight="1">
      <x:c r="A105" s="1" t="str">
        <x:v>T1-L05-A</x:v>
      </x:c>
      <x:c r="B105" s="1" t="str">
        <x:v>T1</x:v>
      </x:c>
      <x:c r="C105" s="1" t="str">
        <x:v>Paint and final decorations</x:v>
      </x:c>
      <x:c r="D105" s="1" t="str">
        <x:v>Finishes</x:v>
      </x:c>
      <x:c r="E105" s="23" t="n">
        <x:f>MAX(0,MIN('Activities'!L105,6)-MAX('Activities'!K105,0))</x:f>
        <x:v>0</x:v>
      </x:c>
      <x:c r="F105" s="23" t="n">
        <x:f>MAX(0,MIN('Activities'!L105,12)-MAX('Activities'!K105,6))</x:f>
        <x:v>0</x:v>
      </x:c>
      <x:c r="G105" s="23" t="n">
        <x:f>MAX(0,MIN('Activities'!L105,18)-MAX('Activities'!K105,12))</x:f>
        <x:v>0</x:v>
      </x:c>
      <x:c r="H105" s="23" t="n">
        <x:f>MAX(0,MIN('Activities'!L105,24)-MAX('Activities'!K105,18))</x:f>
        <x:v>0</x:v>
      </x:c>
      <x:c r="I105" s="23" t="n">
        <x:f>MAX(0,MIN('Activities'!L105,30)-MAX('Activities'!K105,24))</x:f>
        <x:v>0</x:v>
      </x:c>
      <x:c r="J105" s="23" t="n">
        <x:f>MAX(0,MIN('Activities'!L105,36)-MAX('Activities'!K105,30))</x:f>
        <x:v>0</x:v>
      </x:c>
      <x:c r="K105" s="23" t="n">
        <x:f>MAX(0,MIN('Activities'!L105,42)-MAX('Activities'!K105,36))</x:f>
        <x:v>0</x:v>
      </x:c>
      <x:c r="L105" s="23" t="n">
        <x:f>MAX(0,MIN('Activities'!L105,48)-MAX('Activities'!K105,42))</x:f>
        <x:v>0</x:v>
      </x:c>
      <x:c r="M105" s="23" t="n">
        <x:f>MAX(0,MIN('Activities'!L105,54)-MAX('Activities'!K105,48))</x:f>
        <x:v>0</x:v>
      </x:c>
      <x:c r="N105" s="23" t="n">
        <x:f>MAX(0,MIN('Activities'!L105,60)-MAX('Activities'!K105,54))</x:f>
        <x:v>0</x:v>
      </x:c>
      <x:c r="O105" s="23" t="n">
        <x:f>MAX(0,MIN('Activities'!L105,66)-MAX('Activities'!K105,60))</x:f>
        <x:v>0</x:v>
      </x:c>
      <x:c r="P105" s="23" t="n">
        <x:f>MAX(0,MIN('Activities'!L105,72)-MAX('Activities'!K105,66))</x:f>
        <x:v>0</x:v>
      </x:c>
      <x:c r="Q105" s="23" t="n">
        <x:f>MAX(0,MIN('Activities'!L105,78)-MAX('Activities'!K105,72))</x:f>
        <x:v>0</x:v>
      </x:c>
      <x:c r="R105" s="23" t="n">
        <x:f>MAX(0,MIN('Activities'!L105,84)-MAX('Activities'!K105,78))</x:f>
        <x:v>0</x:v>
      </x:c>
      <x:c r="S105" s="23" t="n">
        <x:f>MAX(0,MIN('Activities'!L105,90)-MAX('Activities'!K105,84))</x:f>
        <x:v>0</x:v>
      </x:c>
      <x:c r="T105" s="23" t="n">
        <x:f>MAX(0,MIN('Activities'!L105,96)-MAX('Activities'!K105,90))</x:f>
        <x:v>0</x:v>
      </x:c>
      <x:c r="U105" s="23" t="n">
        <x:f>MAX(0,MIN('Activities'!L105,102)-MAX('Activities'!K105,96))</x:f>
        <x:v>0</x:v>
      </x:c>
      <x:c r="V105" s="23" t="n">
        <x:f>MAX(0,MIN('Activities'!L105,108)-MAX('Activities'!K105,102))</x:f>
        <x:v>0</x:v>
      </x:c>
      <x:c r="W105" s="23" t="n">
        <x:f>MAX(0,MIN('Activities'!L105,114)-MAX('Activities'!K105,108))</x:f>
        <x:v>0</x:v>
      </x:c>
      <x:c r="X105" s="23" t="n">
        <x:f>MAX(0,MIN('Activities'!L105,120)-MAX('Activities'!K105,114))</x:f>
        <x:v>0</x:v>
      </x:c>
      <x:c r="Y105" s="23" t="n">
        <x:f>MAX(0,MIN('Activities'!L105,126)-MAX('Activities'!K105,120))</x:f>
        <x:v>0</x:v>
      </x:c>
      <x:c r="Z105" s="23" t="n">
        <x:f>MAX(0,MIN('Activities'!L105,132)-MAX('Activities'!K105,126))</x:f>
        <x:v>0</x:v>
      </x:c>
      <x:c r="AA105" s="23" t="n">
        <x:f>MAX(0,MIN('Activities'!L105,138)-MAX('Activities'!K105,132))</x:f>
        <x:v>0</x:v>
      </x:c>
      <x:c r="AB105" s="23" t="n">
        <x:f>MAX(0,MIN('Activities'!L105,144)-MAX('Activities'!K105,138))</x:f>
        <x:v>0</x:v>
      </x:c>
      <x:c r="AC105" s="23" t="n">
        <x:f>MAX(0,MIN('Activities'!L105,150)-MAX('Activities'!K105,144))</x:f>
        <x:v>0</x:v>
      </x:c>
      <x:c r="AD105" s="23" t="n">
        <x:f>MAX(0,MIN('Activities'!L105,156)-MAX('Activities'!K105,150))</x:f>
        <x:v>0</x:v>
      </x:c>
      <x:c r="AE105" s="23" t="n">
        <x:f>MAX(0,MIN('Activities'!L105,162)-MAX('Activities'!K105,156))</x:f>
        <x:v>0</x:v>
      </x:c>
      <x:c r="AF105" s="23" t="n">
        <x:f>MAX(0,MIN('Activities'!L105,168)-MAX('Activities'!K105,162))</x:f>
        <x:v>0</x:v>
      </x:c>
      <x:c r="AG105" s="23" t="n">
        <x:f>MAX(0,MIN('Activities'!L105,174)-MAX('Activities'!K105,168))</x:f>
        <x:v>0</x:v>
      </x:c>
      <x:c r="AH105" s="23" t="n">
        <x:f>MAX(0,MIN('Activities'!L105,180)-MAX('Activities'!K105,174))</x:f>
        <x:v>0</x:v>
      </x:c>
      <x:c r="AI105" s="23" t="n">
        <x:f>MAX(0,MIN('Activities'!L105,186)-MAX('Activities'!K105,180))</x:f>
        <x:v>0</x:v>
      </x:c>
      <x:c r="AJ105" s="23" t="n">
        <x:f>MAX(0,MIN('Activities'!L105,192)-MAX('Activities'!K105,186))</x:f>
        <x:v>0</x:v>
      </x:c>
      <x:c r="AK105" s="23" t="n">
        <x:f>MAX(0,MIN('Activities'!L105,198)-MAX('Activities'!K105,192))</x:f>
        <x:v>0</x:v>
      </x:c>
      <x:c r="AL105" s="23" t="n">
        <x:f>MAX(0,MIN('Activities'!L105,204)-MAX('Activities'!K105,198))</x:f>
        <x:v>0</x:v>
      </x:c>
      <x:c r="AM105" s="23" t="n">
        <x:f>MAX(0,MIN('Activities'!L105,210)-MAX('Activities'!K105,204))</x:f>
        <x:v>0</x:v>
      </x:c>
      <x:c r="AN105" s="23" t="n">
        <x:f>MAX(0,MIN('Activities'!L105,216)-MAX('Activities'!K105,210))</x:f>
        <x:v>0</x:v>
      </x:c>
      <x:c r="AO105" s="23" t="n">
        <x:f>MAX(0,MIN('Activities'!L105,222)-MAX('Activities'!K105,216))</x:f>
        <x:v>0</x:v>
      </x:c>
      <x:c r="AP105" s="23" t="n">
        <x:f>MAX(0,MIN('Activities'!L105,228)-MAX('Activities'!K105,222))</x:f>
        <x:v>0</x:v>
      </x:c>
      <x:c r="AQ105" s="23" t="n">
        <x:f>MAX(0,MIN('Activities'!L105,234)-MAX('Activities'!K105,228))</x:f>
        <x:v>0</x:v>
      </x:c>
      <x:c r="AR105" s="23" t="n">
        <x:f>MAX(0,MIN('Activities'!L105,240)-MAX('Activities'!K105,234))</x:f>
        <x:v>0</x:v>
      </x:c>
      <x:c r="AS105" s="23" t="n">
        <x:f>MAX(0,MIN('Activities'!L105,246)-MAX('Activities'!K105,240))</x:f>
        <x:v>0</x:v>
      </x:c>
      <x:c r="AT105" s="23" t="n">
        <x:f>MAX(0,MIN('Activities'!L105,252)-MAX('Activities'!K105,246))</x:f>
        <x:v>0</x:v>
      </x:c>
      <x:c r="AU105" s="23" t="n">
        <x:f>MAX(0,MIN('Activities'!L105,258)-MAX('Activities'!K105,252))</x:f>
        <x:v>0</x:v>
      </x:c>
      <x:c r="AV105" s="23" t="n">
        <x:f>MAX(0,MIN('Activities'!L105,264)-MAX('Activities'!K105,258))</x:f>
        <x:v>0</x:v>
      </x:c>
      <x:c r="AW105" s="23" t="n">
        <x:f>MAX(0,MIN('Activities'!L105,270)-MAX('Activities'!K105,264))</x:f>
        <x:v>0</x:v>
      </x:c>
      <x:c r="AX105" s="23" t="n">
        <x:f>MAX(0,MIN('Activities'!L105,276)-MAX('Activities'!K105,270))</x:f>
        <x:v>0</x:v>
      </x:c>
      <x:c r="AY105" s="23" t="n">
        <x:f>MAX(0,MIN('Activities'!L105,282)-MAX('Activities'!K105,276))</x:f>
        <x:v>0</x:v>
      </x:c>
      <x:c r="AZ105" s="23" t="n">
        <x:f>MAX(0,MIN('Activities'!L105,288)-MAX('Activities'!K105,282))</x:f>
        <x:v>0</x:v>
      </x:c>
      <x:c r="BA105" s="23" t="n">
        <x:f>MAX(0,MIN('Activities'!L105,294)-MAX('Activities'!K105,288))</x:f>
        <x:v>0</x:v>
      </x:c>
      <x:c r="BB105" s="23" t="n">
        <x:f>MAX(0,MIN('Activities'!L105,300)-MAX('Activities'!K105,294))</x:f>
        <x:v>0</x:v>
      </x:c>
      <x:c r="BC105" s="23" t="n">
        <x:f>MAX(0,MIN('Activities'!L105,306)-MAX('Activities'!K105,300))</x:f>
        <x:v>0</x:v>
      </x:c>
      <x:c r="BD105" s="23" t="n">
        <x:f>MAX(0,MIN('Activities'!L105,312)-MAX('Activities'!K105,306))</x:f>
        <x:v>0</x:v>
      </x:c>
      <x:c r="BE105" s="23" t="n">
        <x:f>MAX(0,MIN('Activities'!L105,318)-MAX('Activities'!K105,312))</x:f>
        <x:v>0</x:v>
      </x:c>
      <x:c r="BF105" s="23" t="n">
        <x:f>MAX(0,MIN('Activities'!L105,324)-MAX('Activities'!K105,318))</x:f>
        <x:v>0</x:v>
      </x:c>
      <x:c r="BG105" s="23" t="n">
        <x:f>MAX(0,MIN('Activities'!L105,330)-MAX('Activities'!K105,324))</x:f>
        <x:v>0</x:v>
      </x:c>
      <x:c r="BH105" s="23" t="n">
        <x:f>MAX(0,MIN('Activities'!L105,336)-MAX('Activities'!K105,330))</x:f>
        <x:v>0</x:v>
      </x:c>
      <x:c r="BI105" s="23" t="n">
        <x:f>MAX(0,MIN('Activities'!L105,342)-MAX('Activities'!K105,336))</x:f>
        <x:v>0</x:v>
      </x:c>
      <x:c r="BJ105" s="23" t="n">
        <x:f>MAX(0,MIN('Activities'!L105,348)-MAX('Activities'!K105,342))</x:f>
        <x:v>0</x:v>
      </x:c>
      <x:c r="BK105" s="23" t="n">
        <x:f>MAX(0,MIN('Activities'!L105,354)-MAX('Activities'!K105,348))</x:f>
        <x:v>0</x:v>
      </x:c>
      <x:c r="BL105" s="23" t="n">
        <x:f>MAX(0,MIN('Activities'!L105,360)-MAX('Activities'!K105,354))</x:f>
        <x:v>0</x:v>
      </x:c>
      <x:c r="BM105" s="23" t="n">
        <x:f>MAX(0,MIN('Activities'!L105,366)-MAX('Activities'!K105,360))</x:f>
        <x:v>0</x:v>
      </x:c>
      <x:c r="BN105" s="23" t="n">
        <x:f>MAX(0,MIN('Activities'!L105,372)-MAX('Activities'!K105,366))</x:f>
        <x:v>0</x:v>
      </x:c>
      <x:c r="BO105" s="23" t="n">
        <x:f>MAX(0,MIN('Activities'!L105,378)-MAX('Activities'!K105,372))</x:f>
        <x:v>0</x:v>
      </x:c>
      <x:c r="BP105" s="23" t="n">
        <x:f>MAX(0,MIN('Activities'!L105,384)-MAX('Activities'!K105,378))</x:f>
        <x:v>0</x:v>
      </x:c>
      <x:c r="BQ105" s="23" t="n">
        <x:f>MAX(0,MIN('Activities'!L105,390)-MAX('Activities'!K105,384))</x:f>
        <x:v>0</x:v>
      </x:c>
      <x:c r="BR105" s="23" t="n">
        <x:f>MAX(0,MIN('Activities'!L105,396)-MAX('Activities'!K105,390))</x:f>
        <x:v>0</x:v>
      </x:c>
      <x:c r="BS105" s="23" t="n">
        <x:f>MAX(0,MIN('Activities'!L105,402)-MAX('Activities'!K105,396))</x:f>
        <x:v>0</x:v>
      </x:c>
      <x:c r="BT105" s="23" t="n">
        <x:f>MAX(0,MIN('Activities'!L105,408)-MAX('Activities'!K105,402))</x:f>
        <x:v>0</x:v>
      </x:c>
      <x:c r="BU105" s="23" t="n">
        <x:f>MAX(0,MIN('Activities'!L105,414)-MAX('Activities'!K105,408))</x:f>
        <x:v>5</x:v>
      </x:c>
      <x:c r="BV105" s="23" t="n">
        <x:f>MAX(0,MIN('Activities'!L105,420)-MAX('Activities'!K105,414))</x:f>
        <x:v>0</x:v>
      </x:c>
      <x:c r="BW105" s="23" t="n">
        <x:f>MAX(0,MIN('Activities'!L105,426)-MAX('Activities'!K105,420))</x:f>
        <x:v>0</x:v>
      </x:c>
      <x:c r="BX105" s="23" t="n">
        <x:f>MAX(0,MIN('Activities'!L105,432)-MAX('Activities'!K105,426))</x:f>
        <x:v>0</x:v>
      </x:c>
      <x:c r="BY105" s="23" t="n">
        <x:f>MAX(0,MIN('Activities'!L105,438)-MAX('Activities'!K105,432))</x:f>
        <x:v>0</x:v>
      </x:c>
      <x:c r="BZ105" s="23" t="n">
        <x:f>MAX(0,MIN('Activities'!L105,444)-MAX('Activities'!K105,438))</x:f>
        <x:v>0</x:v>
      </x:c>
      <x:c r="CA105" s="23" t="n">
        <x:f>MAX(0,MIN('Activities'!L105,450)-MAX('Activities'!K105,444))</x:f>
        <x:v>0</x:v>
      </x:c>
      <x:c r="CB105" s="23" t="n">
        <x:f>MAX(0,MIN('Activities'!L105,456)-MAX('Activities'!K105,450))</x:f>
        <x:v>0</x:v>
      </x:c>
      <x:c r="CC105" s="23" t="n">
        <x:f>MAX(0,MIN('Activities'!L105,462)-MAX('Activities'!K105,456))</x:f>
        <x:v>0</x:v>
      </x:c>
      <x:c r="CD105" s="23" t="n">
        <x:f>MAX(0,MIN('Activities'!L105,468)-MAX('Activities'!K105,462))</x:f>
        <x:v>0</x:v>
      </x:c>
      <x:c r="CE105" s="23" t="n">
        <x:f>MAX(0,MIN('Activities'!L105,474)-MAX('Activities'!K105,468))</x:f>
        <x:v>0</x:v>
      </x:c>
      <x:c r="CF105" s="23" t="n">
        <x:f>MAX(0,MIN('Activities'!L105,480)-MAX('Activities'!K105,474))</x:f>
        <x:v>0</x:v>
      </x:c>
      <x:c r="CG105" s="23" t="n">
        <x:f>MAX(0,MIN('Activities'!L105,486)-MAX('Activities'!K105,480))</x:f>
        <x:v>0</x:v>
      </x:c>
      <x:c r="CH105" s="23" t="n">
        <x:f>MAX(0,MIN('Activities'!L105,492)-MAX('Activities'!K105,486))</x:f>
        <x:v>0</x:v>
      </x:c>
      <x:c r="CI105" s="23" t="n">
        <x:f>MAX(0,MIN('Activities'!L105,498)-MAX('Activities'!K105,492))</x:f>
        <x:v>0</x:v>
      </x:c>
      <x:c r="CJ105" s="23" t="n">
        <x:f>MAX(0,MIN('Activities'!L105,504)-MAX('Activities'!K105,498))</x:f>
        <x:v>0</x:v>
      </x:c>
      <x:c r="CK105" s="23" t="n">
        <x:f>MAX(0,MIN('Activities'!L105,510)-MAX('Activities'!K105,504))</x:f>
        <x:v>0</x:v>
      </x:c>
      <x:c r="CL105" s="23" t="n">
        <x:f>MAX(0,MIN('Activities'!L105,516)-MAX('Activities'!K105,510))</x:f>
        <x:v>0</x:v>
      </x:c>
      <x:c r="CM105" s="23" t="n">
        <x:f>MAX(0,MIN('Activities'!L105,522)-MAX('Activities'!K105,516))</x:f>
        <x:v>0</x:v>
      </x:c>
      <x:c r="CN105" s="23" t="n">
        <x:f>MAX(0,MIN('Activities'!L105,528)-MAX('Activities'!K105,522))</x:f>
        <x:v>0</x:v>
      </x:c>
      <x:c r="CO105" s="23" t="n">
        <x:f>MAX(0,MIN('Activities'!L105,534)-MAX('Activities'!K105,528))</x:f>
        <x:v>0</x:v>
      </x:c>
      <x:c r="CP105" s="23" t="n">
        <x:f>MAX(0,MIN('Activities'!L105,540)-MAX('Activities'!K105,534))</x:f>
        <x:v>0</x:v>
      </x:c>
      <x:c r="CQ105" s="23" t="n">
        <x:f>MAX(0,MIN('Activities'!L105,546)-MAX('Activities'!K105,540))</x:f>
        <x:v>0</x:v>
      </x:c>
      <x:c r="CR105" s="23" t="n">
        <x:f>MAX(0,MIN('Activities'!L105,552)-MAX('Activities'!K105,546))</x:f>
        <x:v>0</x:v>
      </x:c>
      <x:c r="CS105" s="23" t="n">
        <x:f>MAX(0,MIN('Activities'!L105,558)-MAX('Activities'!K105,552))</x:f>
        <x:v>0</x:v>
      </x:c>
      <x:c r="CT105" s="23" t="n">
        <x:f>MAX(0,MIN('Activities'!L105,564)-MAX('Activities'!K105,558))</x:f>
        <x:v>0</x:v>
      </x:c>
      <x:c r="CU105" s="23" t="n">
        <x:f>MAX(0,MIN('Activities'!L105,570)-MAX('Activities'!K105,564))</x:f>
        <x:v>0</x:v>
      </x:c>
      <x:c r="CV105" s="23" t="n">
        <x:f>MAX(0,MIN('Activities'!L105,576)-MAX('Activities'!K105,570))</x:f>
        <x:v>0</x:v>
      </x:c>
      <x:c r="CW105" s="23" t="n">
        <x:f>MAX(0,MIN('Activities'!L105,582)-MAX('Activities'!K105,576))</x:f>
        <x:v>0</x:v>
      </x:c>
      <x:c r="CX105" s="23" t="n">
        <x:f>MAX(0,MIN('Activities'!L105,588)-MAX('Activities'!K105,582))</x:f>
        <x:v>0</x:v>
      </x:c>
      <x:c r="CY105" s="23" t="n">
        <x:f>MAX(0,MIN('Activities'!L105,594)-MAX('Activities'!K105,588))</x:f>
        <x:v>0</x:v>
      </x:c>
      <x:c r="CZ105" s="23" t="n">
        <x:f>MAX(0,MIN('Activities'!L105,600)-MAX('Activities'!K105,594))</x:f>
        <x:v>0</x:v>
      </x:c>
      <x:c r="DA105" s="23" t="n">
        <x:f>MAX(0,MIN('Activities'!L105,606)-MAX('Activities'!K105,600))</x:f>
        <x:v>0</x:v>
      </x:c>
      <x:c r="DB105" s="23" t="n">
        <x:f>MAX(0,MIN('Activities'!L105,612)-MAX('Activities'!K105,606))</x:f>
        <x:v>0</x:v>
      </x:c>
      <x:c r="DC105" s="23" t="n">
        <x:f>MAX(0,MIN('Activities'!L105,618)-MAX('Activities'!K105,612))</x:f>
        <x:v>0</x:v>
      </x:c>
      <x:c r="DD105" s="23" t="n">
        <x:f>MAX(0,MIN('Activities'!L105,624)-MAX('Activities'!K105,618))</x:f>
        <x:v>0</x:v>
      </x:c>
      <x:c r="DE105" s="23" t="n">
        <x:f>MAX(0,MIN('Activities'!L105,630)-MAX('Activities'!K105,624))</x:f>
        <x:v>0</x:v>
      </x:c>
      <x:c r="DF105" s="23" t="n">
        <x:f>MAX(0,MIN('Activities'!L105,636)-MAX('Activities'!K105,630))</x:f>
        <x:v>0</x:v>
      </x:c>
    </x:row>
    <x:row r="106" ht="23" customHeight="1">
      <x:c r="A106" s="6" t="str">
        <x:v>T1-L05-D</x:v>
      </x:c>
      <x:c r="B106" s="6" t="str">
        <x:v>T1</x:v>
      </x:c>
      <x:c r="C106" s="6" t="str">
        <x:v>Door sets and ironmongery</x:v>
      </x:c>
      <x:c r="D106" s="6" t="str">
        <x:v>Finishes</x:v>
      </x:c>
      <x:c r="E106" s="22" t="n">
        <x:f>MAX(0,MIN('Activities'!L106,6)-MAX('Activities'!K106,0))</x:f>
        <x:v>0</x:v>
      </x:c>
      <x:c r="F106" s="22" t="n">
        <x:f>MAX(0,MIN('Activities'!L106,12)-MAX('Activities'!K106,6))</x:f>
        <x:v>0</x:v>
      </x:c>
      <x:c r="G106" s="22" t="n">
        <x:f>MAX(0,MIN('Activities'!L106,18)-MAX('Activities'!K106,12))</x:f>
        <x:v>0</x:v>
      </x:c>
      <x:c r="H106" s="22" t="n">
        <x:f>MAX(0,MIN('Activities'!L106,24)-MAX('Activities'!K106,18))</x:f>
        <x:v>0</x:v>
      </x:c>
      <x:c r="I106" s="22" t="n">
        <x:f>MAX(0,MIN('Activities'!L106,30)-MAX('Activities'!K106,24))</x:f>
        <x:v>0</x:v>
      </x:c>
      <x:c r="J106" s="22" t="n">
        <x:f>MAX(0,MIN('Activities'!L106,36)-MAX('Activities'!K106,30))</x:f>
        <x:v>0</x:v>
      </x:c>
      <x:c r="K106" s="22" t="n">
        <x:f>MAX(0,MIN('Activities'!L106,42)-MAX('Activities'!K106,36))</x:f>
        <x:v>0</x:v>
      </x:c>
      <x:c r="L106" s="22" t="n">
        <x:f>MAX(0,MIN('Activities'!L106,48)-MAX('Activities'!K106,42))</x:f>
        <x:v>0</x:v>
      </x:c>
      <x:c r="M106" s="22" t="n">
        <x:f>MAX(0,MIN('Activities'!L106,54)-MAX('Activities'!K106,48))</x:f>
        <x:v>0</x:v>
      </x:c>
      <x:c r="N106" s="22" t="n">
        <x:f>MAX(0,MIN('Activities'!L106,60)-MAX('Activities'!K106,54))</x:f>
        <x:v>0</x:v>
      </x:c>
      <x:c r="O106" s="22" t="n">
        <x:f>MAX(0,MIN('Activities'!L106,66)-MAX('Activities'!K106,60))</x:f>
        <x:v>0</x:v>
      </x:c>
      <x:c r="P106" s="22" t="n">
        <x:f>MAX(0,MIN('Activities'!L106,72)-MAX('Activities'!K106,66))</x:f>
        <x:v>0</x:v>
      </x:c>
      <x:c r="Q106" s="22" t="n">
        <x:f>MAX(0,MIN('Activities'!L106,78)-MAX('Activities'!K106,72))</x:f>
        <x:v>0</x:v>
      </x:c>
      <x:c r="R106" s="22" t="n">
        <x:f>MAX(0,MIN('Activities'!L106,84)-MAX('Activities'!K106,78))</x:f>
        <x:v>0</x:v>
      </x:c>
      <x:c r="S106" s="22" t="n">
        <x:f>MAX(0,MIN('Activities'!L106,90)-MAX('Activities'!K106,84))</x:f>
        <x:v>0</x:v>
      </x:c>
      <x:c r="T106" s="22" t="n">
        <x:f>MAX(0,MIN('Activities'!L106,96)-MAX('Activities'!K106,90))</x:f>
        <x:v>0</x:v>
      </x:c>
      <x:c r="U106" s="22" t="n">
        <x:f>MAX(0,MIN('Activities'!L106,102)-MAX('Activities'!K106,96))</x:f>
        <x:v>0</x:v>
      </x:c>
      <x:c r="V106" s="22" t="n">
        <x:f>MAX(0,MIN('Activities'!L106,108)-MAX('Activities'!K106,102))</x:f>
        <x:v>0</x:v>
      </x:c>
      <x:c r="W106" s="22" t="n">
        <x:f>MAX(0,MIN('Activities'!L106,114)-MAX('Activities'!K106,108))</x:f>
        <x:v>0</x:v>
      </x:c>
      <x:c r="X106" s="22" t="n">
        <x:f>MAX(0,MIN('Activities'!L106,120)-MAX('Activities'!K106,114))</x:f>
        <x:v>0</x:v>
      </x:c>
      <x:c r="Y106" s="22" t="n">
        <x:f>MAX(0,MIN('Activities'!L106,126)-MAX('Activities'!K106,120))</x:f>
        <x:v>0</x:v>
      </x:c>
      <x:c r="Z106" s="22" t="n">
        <x:f>MAX(0,MIN('Activities'!L106,132)-MAX('Activities'!K106,126))</x:f>
        <x:v>0</x:v>
      </x:c>
      <x:c r="AA106" s="22" t="n">
        <x:f>MAX(0,MIN('Activities'!L106,138)-MAX('Activities'!K106,132))</x:f>
        <x:v>0</x:v>
      </x:c>
      <x:c r="AB106" s="22" t="n">
        <x:f>MAX(0,MIN('Activities'!L106,144)-MAX('Activities'!K106,138))</x:f>
        <x:v>0</x:v>
      </x:c>
      <x:c r="AC106" s="22" t="n">
        <x:f>MAX(0,MIN('Activities'!L106,150)-MAX('Activities'!K106,144))</x:f>
        <x:v>0</x:v>
      </x:c>
      <x:c r="AD106" s="22" t="n">
        <x:f>MAX(0,MIN('Activities'!L106,156)-MAX('Activities'!K106,150))</x:f>
        <x:v>0</x:v>
      </x:c>
      <x:c r="AE106" s="22" t="n">
        <x:f>MAX(0,MIN('Activities'!L106,162)-MAX('Activities'!K106,156))</x:f>
        <x:v>0</x:v>
      </x:c>
      <x:c r="AF106" s="22" t="n">
        <x:f>MAX(0,MIN('Activities'!L106,168)-MAX('Activities'!K106,162))</x:f>
        <x:v>0</x:v>
      </x:c>
      <x:c r="AG106" s="22" t="n">
        <x:f>MAX(0,MIN('Activities'!L106,174)-MAX('Activities'!K106,168))</x:f>
        <x:v>0</x:v>
      </x:c>
      <x:c r="AH106" s="22" t="n">
        <x:f>MAX(0,MIN('Activities'!L106,180)-MAX('Activities'!K106,174))</x:f>
        <x:v>0</x:v>
      </x:c>
      <x:c r="AI106" s="22" t="n">
        <x:f>MAX(0,MIN('Activities'!L106,186)-MAX('Activities'!K106,180))</x:f>
        <x:v>0</x:v>
      </x:c>
      <x:c r="AJ106" s="22" t="n">
        <x:f>MAX(0,MIN('Activities'!L106,192)-MAX('Activities'!K106,186))</x:f>
        <x:v>0</x:v>
      </x:c>
      <x:c r="AK106" s="22" t="n">
        <x:f>MAX(0,MIN('Activities'!L106,198)-MAX('Activities'!K106,192))</x:f>
        <x:v>0</x:v>
      </x:c>
      <x:c r="AL106" s="22" t="n">
        <x:f>MAX(0,MIN('Activities'!L106,204)-MAX('Activities'!K106,198))</x:f>
        <x:v>0</x:v>
      </x:c>
      <x:c r="AM106" s="22" t="n">
        <x:f>MAX(0,MIN('Activities'!L106,210)-MAX('Activities'!K106,204))</x:f>
        <x:v>0</x:v>
      </x:c>
      <x:c r="AN106" s="22" t="n">
        <x:f>MAX(0,MIN('Activities'!L106,216)-MAX('Activities'!K106,210))</x:f>
        <x:v>0</x:v>
      </x:c>
      <x:c r="AO106" s="22" t="n">
        <x:f>MAX(0,MIN('Activities'!L106,222)-MAX('Activities'!K106,216))</x:f>
        <x:v>0</x:v>
      </x:c>
      <x:c r="AP106" s="22" t="n">
        <x:f>MAX(0,MIN('Activities'!L106,228)-MAX('Activities'!K106,222))</x:f>
        <x:v>0</x:v>
      </x:c>
      <x:c r="AQ106" s="22" t="n">
        <x:f>MAX(0,MIN('Activities'!L106,234)-MAX('Activities'!K106,228))</x:f>
        <x:v>0</x:v>
      </x:c>
      <x:c r="AR106" s="22" t="n">
        <x:f>MAX(0,MIN('Activities'!L106,240)-MAX('Activities'!K106,234))</x:f>
        <x:v>0</x:v>
      </x:c>
      <x:c r="AS106" s="22" t="n">
        <x:f>MAX(0,MIN('Activities'!L106,246)-MAX('Activities'!K106,240))</x:f>
        <x:v>0</x:v>
      </x:c>
      <x:c r="AT106" s="22" t="n">
        <x:f>MAX(0,MIN('Activities'!L106,252)-MAX('Activities'!K106,246))</x:f>
        <x:v>0</x:v>
      </x:c>
      <x:c r="AU106" s="22" t="n">
        <x:f>MAX(0,MIN('Activities'!L106,258)-MAX('Activities'!K106,252))</x:f>
        <x:v>0</x:v>
      </x:c>
      <x:c r="AV106" s="22" t="n">
        <x:f>MAX(0,MIN('Activities'!L106,264)-MAX('Activities'!K106,258))</x:f>
        <x:v>0</x:v>
      </x:c>
      <x:c r="AW106" s="22" t="n">
        <x:f>MAX(0,MIN('Activities'!L106,270)-MAX('Activities'!K106,264))</x:f>
        <x:v>0</x:v>
      </x:c>
      <x:c r="AX106" s="22" t="n">
        <x:f>MAX(0,MIN('Activities'!L106,276)-MAX('Activities'!K106,270))</x:f>
        <x:v>0</x:v>
      </x:c>
      <x:c r="AY106" s="22" t="n">
        <x:f>MAX(0,MIN('Activities'!L106,282)-MAX('Activities'!K106,276))</x:f>
        <x:v>0</x:v>
      </x:c>
      <x:c r="AZ106" s="22" t="n">
        <x:f>MAX(0,MIN('Activities'!L106,288)-MAX('Activities'!K106,282))</x:f>
        <x:v>0</x:v>
      </x:c>
      <x:c r="BA106" s="22" t="n">
        <x:f>MAX(0,MIN('Activities'!L106,294)-MAX('Activities'!K106,288))</x:f>
        <x:v>0</x:v>
      </x:c>
      <x:c r="BB106" s="22" t="n">
        <x:f>MAX(0,MIN('Activities'!L106,300)-MAX('Activities'!K106,294))</x:f>
        <x:v>0</x:v>
      </x:c>
      <x:c r="BC106" s="22" t="n">
        <x:f>MAX(0,MIN('Activities'!L106,306)-MAX('Activities'!K106,300))</x:f>
        <x:v>0</x:v>
      </x:c>
      <x:c r="BD106" s="22" t="n">
        <x:f>MAX(0,MIN('Activities'!L106,312)-MAX('Activities'!K106,306))</x:f>
        <x:v>0</x:v>
      </x:c>
      <x:c r="BE106" s="22" t="n">
        <x:f>MAX(0,MIN('Activities'!L106,318)-MAX('Activities'!K106,312))</x:f>
        <x:v>0</x:v>
      </x:c>
      <x:c r="BF106" s="22" t="n">
        <x:f>MAX(0,MIN('Activities'!L106,324)-MAX('Activities'!K106,318))</x:f>
        <x:v>0</x:v>
      </x:c>
      <x:c r="BG106" s="22" t="n">
        <x:f>MAX(0,MIN('Activities'!L106,330)-MAX('Activities'!K106,324))</x:f>
        <x:v>0</x:v>
      </x:c>
      <x:c r="BH106" s="22" t="n">
        <x:f>MAX(0,MIN('Activities'!L106,336)-MAX('Activities'!K106,330))</x:f>
        <x:v>0</x:v>
      </x:c>
      <x:c r="BI106" s="22" t="n">
        <x:f>MAX(0,MIN('Activities'!L106,342)-MAX('Activities'!K106,336))</x:f>
        <x:v>0</x:v>
      </x:c>
      <x:c r="BJ106" s="22" t="n">
        <x:f>MAX(0,MIN('Activities'!L106,348)-MAX('Activities'!K106,342))</x:f>
        <x:v>0</x:v>
      </x:c>
      <x:c r="BK106" s="22" t="n">
        <x:f>MAX(0,MIN('Activities'!L106,354)-MAX('Activities'!K106,348))</x:f>
        <x:v>0</x:v>
      </x:c>
      <x:c r="BL106" s="22" t="n">
        <x:f>MAX(0,MIN('Activities'!L106,360)-MAX('Activities'!K106,354))</x:f>
        <x:v>0</x:v>
      </x:c>
      <x:c r="BM106" s="22" t="n">
        <x:f>MAX(0,MIN('Activities'!L106,366)-MAX('Activities'!K106,360))</x:f>
        <x:v>0</x:v>
      </x:c>
      <x:c r="BN106" s="22" t="n">
        <x:f>MAX(0,MIN('Activities'!L106,372)-MAX('Activities'!K106,366))</x:f>
        <x:v>0</x:v>
      </x:c>
      <x:c r="BO106" s="22" t="n">
        <x:f>MAX(0,MIN('Activities'!L106,378)-MAX('Activities'!K106,372))</x:f>
        <x:v>0</x:v>
      </x:c>
      <x:c r="BP106" s="22" t="n">
        <x:f>MAX(0,MIN('Activities'!L106,384)-MAX('Activities'!K106,378))</x:f>
        <x:v>0</x:v>
      </x:c>
      <x:c r="BQ106" s="22" t="n">
        <x:f>MAX(0,MIN('Activities'!L106,390)-MAX('Activities'!K106,384))</x:f>
        <x:v>0</x:v>
      </x:c>
      <x:c r="BR106" s="22" t="n">
        <x:f>MAX(0,MIN('Activities'!L106,396)-MAX('Activities'!K106,390))</x:f>
        <x:v>0</x:v>
      </x:c>
      <x:c r="BS106" s="22" t="n">
        <x:f>MAX(0,MIN('Activities'!L106,402)-MAX('Activities'!K106,396))</x:f>
        <x:v>0</x:v>
      </x:c>
      <x:c r="BT106" s="22" t="n">
        <x:f>MAX(0,MIN('Activities'!L106,408)-MAX('Activities'!K106,402))</x:f>
        <x:v>0</x:v>
      </x:c>
      <x:c r="BU106" s="22" t="n">
        <x:f>MAX(0,MIN('Activities'!L106,414)-MAX('Activities'!K106,408))</x:f>
        <x:v>0</x:v>
      </x:c>
      <x:c r="BV106" s="22" t="n">
        <x:f>MAX(0,MIN('Activities'!L106,420)-MAX('Activities'!K106,414))</x:f>
        <x:v>3</x:v>
      </x:c>
      <x:c r="BW106" s="22" t="n">
        <x:f>MAX(0,MIN('Activities'!L106,426)-MAX('Activities'!K106,420))</x:f>
        <x:v>0</x:v>
      </x:c>
      <x:c r="BX106" s="22" t="n">
        <x:f>MAX(0,MIN('Activities'!L106,432)-MAX('Activities'!K106,426))</x:f>
        <x:v>0</x:v>
      </x:c>
      <x:c r="BY106" s="22" t="n">
        <x:f>MAX(0,MIN('Activities'!L106,438)-MAX('Activities'!K106,432))</x:f>
        <x:v>0</x:v>
      </x:c>
      <x:c r="BZ106" s="22" t="n">
        <x:f>MAX(0,MIN('Activities'!L106,444)-MAX('Activities'!K106,438))</x:f>
        <x:v>0</x:v>
      </x:c>
      <x:c r="CA106" s="22" t="n">
        <x:f>MAX(0,MIN('Activities'!L106,450)-MAX('Activities'!K106,444))</x:f>
        <x:v>0</x:v>
      </x:c>
      <x:c r="CB106" s="22" t="n">
        <x:f>MAX(0,MIN('Activities'!L106,456)-MAX('Activities'!K106,450))</x:f>
        <x:v>0</x:v>
      </x:c>
      <x:c r="CC106" s="22" t="n">
        <x:f>MAX(0,MIN('Activities'!L106,462)-MAX('Activities'!K106,456))</x:f>
        <x:v>0</x:v>
      </x:c>
      <x:c r="CD106" s="22" t="n">
        <x:f>MAX(0,MIN('Activities'!L106,468)-MAX('Activities'!K106,462))</x:f>
        <x:v>0</x:v>
      </x:c>
      <x:c r="CE106" s="22" t="n">
        <x:f>MAX(0,MIN('Activities'!L106,474)-MAX('Activities'!K106,468))</x:f>
        <x:v>0</x:v>
      </x:c>
      <x:c r="CF106" s="22" t="n">
        <x:f>MAX(0,MIN('Activities'!L106,480)-MAX('Activities'!K106,474))</x:f>
        <x:v>0</x:v>
      </x:c>
      <x:c r="CG106" s="22" t="n">
        <x:f>MAX(0,MIN('Activities'!L106,486)-MAX('Activities'!K106,480))</x:f>
        <x:v>0</x:v>
      </x:c>
      <x:c r="CH106" s="22" t="n">
        <x:f>MAX(0,MIN('Activities'!L106,492)-MAX('Activities'!K106,486))</x:f>
        <x:v>0</x:v>
      </x:c>
      <x:c r="CI106" s="22" t="n">
        <x:f>MAX(0,MIN('Activities'!L106,498)-MAX('Activities'!K106,492))</x:f>
        <x:v>0</x:v>
      </x:c>
      <x:c r="CJ106" s="22" t="n">
        <x:f>MAX(0,MIN('Activities'!L106,504)-MAX('Activities'!K106,498))</x:f>
        <x:v>0</x:v>
      </x:c>
      <x:c r="CK106" s="22" t="n">
        <x:f>MAX(0,MIN('Activities'!L106,510)-MAX('Activities'!K106,504))</x:f>
        <x:v>0</x:v>
      </x:c>
      <x:c r="CL106" s="22" t="n">
        <x:f>MAX(0,MIN('Activities'!L106,516)-MAX('Activities'!K106,510))</x:f>
        <x:v>0</x:v>
      </x:c>
      <x:c r="CM106" s="22" t="n">
        <x:f>MAX(0,MIN('Activities'!L106,522)-MAX('Activities'!K106,516))</x:f>
        <x:v>0</x:v>
      </x:c>
      <x:c r="CN106" s="22" t="n">
        <x:f>MAX(0,MIN('Activities'!L106,528)-MAX('Activities'!K106,522))</x:f>
        <x:v>0</x:v>
      </x:c>
      <x:c r="CO106" s="22" t="n">
        <x:f>MAX(0,MIN('Activities'!L106,534)-MAX('Activities'!K106,528))</x:f>
        <x:v>0</x:v>
      </x:c>
      <x:c r="CP106" s="22" t="n">
        <x:f>MAX(0,MIN('Activities'!L106,540)-MAX('Activities'!K106,534))</x:f>
        <x:v>0</x:v>
      </x:c>
      <x:c r="CQ106" s="22" t="n">
        <x:f>MAX(0,MIN('Activities'!L106,546)-MAX('Activities'!K106,540))</x:f>
        <x:v>0</x:v>
      </x:c>
      <x:c r="CR106" s="22" t="n">
        <x:f>MAX(0,MIN('Activities'!L106,552)-MAX('Activities'!K106,546))</x:f>
        <x:v>0</x:v>
      </x:c>
      <x:c r="CS106" s="22" t="n">
        <x:f>MAX(0,MIN('Activities'!L106,558)-MAX('Activities'!K106,552))</x:f>
        <x:v>0</x:v>
      </x:c>
      <x:c r="CT106" s="22" t="n">
        <x:f>MAX(0,MIN('Activities'!L106,564)-MAX('Activities'!K106,558))</x:f>
        <x:v>0</x:v>
      </x:c>
      <x:c r="CU106" s="22" t="n">
        <x:f>MAX(0,MIN('Activities'!L106,570)-MAX('Activities'!K106,564))</x:f>
        <x:v>0</x:v>
      </x:c>
      <x:c r="CV106" s="22" t="n">
        <x:f>MAX(0,MIN('Activities'!L106,576)-MAX('Activities'!K106,570))</x:f>
        <x:v>0</x:v>
      </x:c>
      <x:c r="CW106" s="22" t="n">
        <x:f>MAX(0,MIN('Activities'!L106,582)-MAX('Activities'!K106,576))</x:f>
        <x:v>0</x:v>
      </x:c>
      <x:c r="CX106" s="22" t="n">
        <x:f>MAX(0,MIN('Activities'!L106,588)-MAX('Activities'!K106,582))</x:f>
        <x:v>0</x:v>
      </x:c>
      <x:c r="CY106" s="22" t="n">
        <x:f>MAX(0,MIN('Activities'!L106,594)-MAX('Activities'!K106,588))</x:f>
        <x:v>0</x:v>
      </x:c>
      <x:c r="CZ106" s="22" t="n">
        <x:f>MAX(0,MIN('Activities'!L106,600)-MAX('Activities'!K106,594))</x:f>
        <x:v>0</x:v>
      </x:c>
      <x:c r="DA106" s="22" t="n">
        <x:f>MAX(0,MIN('Activities'!L106,606)-MAX('Activities'!K106,600))</x:f>
        <x:v>0</x:v>
      </x:c>
      <x:c r="DB106" s="22" t="n">
        <x:f>MAX(0,MIN('Activities'!L106,612)-MAX('Activities'!K106,606))</x:f>
        <x:v>0</x:v>
      </x:c>
      <x:c r="DC106" s="22" t="n">
        <x:f>MAX(0,MIN('Activities'!L106,618)-MAX('Activities'!K106,612))</x:f>
        <x:v>0</x:v>
      </x:c>
      <x:c r="DD106" s="22" t="n">
        <x:f>MAX(0,MIN('Activities'!L106,624)-MAX('Activities'!K106,618))</x:f>
        <x:v>0</x:v>
      </x:c>
      <x:c r="DE106" s="22" t="n">
        <x:f>MAX(0,MIN('Activities'!L106,630)-MAX('Activities'!K106,624))</x:f>
        <x:v>0</x:v>
      </x:c>
      <x:c r="DF106" s="22" t="n">
        <x:f>MAX(0,MIN('Activities'!L106,636)-MAX('Activities'!K106,630))</x:f>
        <x:v>0</x:v>
      </x:c>
    </x:row>
    <x:row r="107" ht="23" customHeight="1">
      <x:c r="A107" s="1" t="str">
        <x:v>T1-L06-M</x:v>
      </x:c>
      <x:c r="B107" s="1" t="str">
        <x:v>T1</x:v>
      </x:c>
      <x:c r="C107" s="1" t="str">
        <x:v>Partition masonry</x:v>
      </x:c>
      <x:c r="D107" s="1" t="str">
        <x:v>Masonry</x:v>
      </x:c>
      <x:c r="E107" s="23" t="n">
        <x:f>MAX(0,MIN('Activities'!L107,6)-MAX('Activities'!K107,0))</x:f>
        <x:v>0</x:v>
      </x:c>
      <x:c r="F107" s="23" t="n">
        <x:f>MAX(0,MIN('Activities'!L107,12)-MAX('Activities'!K107,6))</x:f>
        <x:v>0</x:v>
      </x:c>
      <x:c r="G107" s="23" t="n">
        <x:f>MAX(0,MIN('Activities'!L107,18)-MAX('Activities'!K107,12))</x:f>
        <x:v>0</x:v>
      </x:c>
      <x:c r="H107" s="23" t="n">
        <x:f>MAX(0,MIN('Activities'!L107,24)-MAX('Activities'!K107,18))</x:f>
        <x:v>0</x:v>
      </x:c>
      <x:c r="I107" s="23" t="n">
        <x:f>MAX(0,MIN('Activities'!L107,30)-MAX('Activities'!K107,24))</x:f>
        <x:v>0</x:v>
      </x:c>
      <x:c r="J107" s="23" t="n">
        <x:f>MAX(0,MIN('Activities'!L107,36)-MAX('Activities'!K107,30))</x:f>
        <x:v>0</x:v>
      </x:c>
      <x:c r="K107" s="23" t="n">
        <x:f>MAX(0,MIN('Activities'!L107,42)-MAX('Activities'!K107,36))</x:f>
        <x:v>0</x:v>
      </x:c>
      <x:c r="L107" s="23" t="n">
        <x:f>MAX(0,MIN('Activities'!L107,48)-MAX('Activities'!K107,42))</x:f>
        <x:v>0</x:v>
      </x:c>
      <x:c r="M107" s="23" t="n">
        <x:f>MAX(0,MIN('Activities'!L107,54)-MAX('Activities'!K107,48))</x:f>
        <x:v>0</x:v>
      </x:c>
      <x:c r="N107" s="23" t="n">
        <x:f>MAX(0,MIN('Activities'!L107,60)-MAX('Activities'!K107,54))</x:f>
        <x:v>0</x:v>
      </x:c>
      <x:c r="O107" s="23" t="n">
        <x:f>MAX(0,MIN('Activities'!L107,66)-MAX('Activities'!K107,60))</x:f>
        <x:v>0</x:v>
      </x:c>
      <x:c r="P107" s="23" t="n">
        <x:f>MAX(0,MIN('Activities'!L107,72)-MAX('Activities'!K107,66))</x:f>
        <x:v>0</x:v>
      </x:c>
      <x:c r="Q107" s="23" t="n">
        <x:f>MAX(0,MIN('Activities'!L107,78)-MAX('Activities'!K107,72))</x:f>
        <x:v>0</x:v>
      </x:c>
      <x:c r="R107" s="23" t="n">
        <x:f>MAX(0,MIN('Activities'!L107,84)-MAX('Activities'!K107,78))</x:f>
        <x:v>0</x:v>
      </x:c>
      <x:c r="S107" s="23" t="n">
        <x:f>MAX(0,MIN('Activities'!L107,90)-MAX('Activities'!K107,84))</x:f>
        <x:v>0</x:v>
      </x:c>
      <x:c r="T107" s="23" t="n">
        <x:f>MAX(0,MIN('Activities'!L107,96)-MAX('Activities'!K107,90))</x:f>
        <x:v>0</x:v>
      </x:c>
      <x:c r="U107" s="23" t="n">
        <x:f>MAX(0,MIN('Activities'!L107,102)-MAX('Activities'!K107,96))</x:f>
        <x:v>0</x:v>
      </x:c>
      <x:c r="V107" s="23" t="n">
        <x:f>MAX(0,MIN('Activities'!L107,108)-MAX('Activities'!K107,102))</x:f>
        <x:v>0</x:v>
      </x:c>
      <x:c r="W107" s="23" t="n">
        <x:f>MAX(0,MIN('Activities'!L107,114)-MAX('Activities'!K107,108))</x:f>
        <x:v>0</x:v>
      </x:c>
      <x:c r="X107" s="23" t="n">
        <x:f>MAX(0,MIN('Activities'!L107,120)-MAX('Activities'!K107,114))</x:f>
        <x:v>0</x:v>
      </x:c>
      <x:c r="Y107" s="23" t="n">
        <x:f>MAX(0,MIN('Activities'!L107,126)-MAX('Activities'!K107,120))</x:f>
        <x:v>0</x:v>
      </x:c>
      <x:c r="Z107" s="23" t="n">
        <x:f>MAX(0,MIN('Activities'!L107,132)-MAX('Activities'!K107,126))</x:f>
        <x:v>0</x:v>
      </x:c>
      <x:c r="AA107" s="23" t="n">
        <x:f>MAX(0,MIN('Activities'!L107,138)-MAX('Activities'!K107,132))</x:f>
        <x:v>0</x:v>
      </x:c>
      <x:c r="AB107" s="23" t="n">
        <x:f>MAX(0,MIN('Activities'!L107,144)-MAX('Activities'!K107,138))</x:f>
        <x:v>0</x:v>
      </x:c>
      <x:c r="AC107" s="23" t="n">
        <x:f>MAX(0,MIN('Activities'!L107,150)-MAX('Activities'!K107,144))</x:f>
        <x:v>0</x:v>
      </x:c>
      <x:c r="AD107" s="23" t="n">
        <x:f>MAX(0,MIN('Activities'!L107,156)-MAX('Activities'!K107,150))</x:f>
        <x:v>0</x:v>
      </x:c>
      <x:c r="AE107" s="23" t="n">
        <x:f>MAX(0,MIN('Activities'!L107,162)-MAX('Activities'!K107,156))</x:f>
        <x:v>0</x:v>
      </x:c>
      <x:c r="AF107" s="23" t="n">
        <x:f>MAX(0,MIN('Activities'!L107,168)-MAX('Activities'!K107,162))</x:f>
        <x:v>0</x:v>
      </x:c>
      <x:c r="AG107" s="23" t="n">
        <x:f>MAX(0,MIN('Activities'!L107,174)-MAX('Activities'!K107,168))</x:f>
        <x:v>0</x:v>
      </x:c>
      <x:c r="AH107" s="23" t="n">
        <x:f>MAX(0,MIN('Activities'!L107,180)-MAX('Activities'!K107,174))</x:f>
        <x:v>0</x:v>
      </x:c>
      <x:c r="AI107" s="23" t="n">
        <x:f>MAX(0,MIN('Activities'!L107,186)-MAX('Activities'!K107,180))</x:f>
        <x:v>0</x:v>
      </x:c>
      <x:c r="AJ107" s="23" t="n">
        <x:f>MAX(0,MIN('Activities'!L107,192)-MAX('Activities'!K107,186))</x:f>
        <x:v>0</x:v>
      </x:c>
      <x:c r="AK107" s="23" t="n">
        <x:f>MAX(0,MIN('Activities'!L107,198)-MAX('Activities'!K107,192))</x:f>
        <x:v>0</x:v>
      </x:c>
      <x:c r="AL107" s="23" t="n">
        <x:f>MAX(0,MIN('Activities'!L107,204)-MAX('Activities'!K107,198))</x:f>
        <x:v>0</x:v>
      </x:c>
      <x:c r="AM107" s="23" t="n">
        <x:f>MAX(0,MIN('Activities'!L107,210)-MAX('Activities'!K107,204))</x:f>
        <x:v>0</x:v>
      </x:c>
      <x:c r="AN107" s="23" t="n">
        <x:f>MAX(0,MIN('Activities'!L107,216)-MAX('Activities'!K107,210))</x:f>
        <x:v>0</x:v>
      </x:c>
      <x:c r="AO107" s="23" t="n">
        <x:f>MAX(0,MIN('Activities'!L107,222)-MAX('Activities'!K107,216))</x:f>
        <x:v>0</x:v>
      </x:c>
      <x:c r="AP107" s="23" t="n">
        <x:f>MAX(0,MIN('Activities'!L107,228)-MAX('Activities'!K107,222))</x:f>
        <x:v>0</x:v>
      </x:c>
      <x:c r="AQ107" s="23" t="n">
        <x:f>MAX(0,MIN('Activities'!L107,234)-MAX('Activities'!K107,228))</x:f>
        <x:v>0</x:v>
      </x:c>
      <x:c r="AR107" s="23" t="n">
        <x:f>MAX(0,MIN('Activities'!L107,240)-MAX('Activities'!K107,234))</x:f>
        <x:v>0</x:v>
      </x:c>
      <x:c r="AS107" s="23" t="n">
        <x:f>MAX(0,MIN('Activities'!L107,246)-MAX('Activities'!K107,240))</x:f>
        <x:v>0</x:v>
      </x:c>
      <x:c r="AT107" s="23" t="n">
        <x:f>MAX(0,MIN('Activities'!L107,252)-MAX('Activities'!K107,246))</x:f>
        <x:v>0</x:v>
      </x:c>
      <x:c r="AU107" s="23" t="n">
        <x:f>MAX(0,MIN('Activities'!L107,258)-MAX('Activities'!K107,252))</x:f>
        <x:v>0</x:v>
      </x:c>
      <x:c r="AV107" s="23" t="n">
        <x:f>MAX(0,MIN('Activities'!L107,264)-MAX('Activities'!K107,258))</x:f>
        <x:v>0</x:v>
      </x:c>
      <x:c r="AW107" s="23" t="n">
        <x:f>MAX(0,MIN('Activities'!L107,270)-MAX('Activities'!K107,264))</x:f>
        <x:v>0</x:v>
      </x:c>
      <x:c r="AX107" s="23" t="n">
        <x:f>MAX(0,MIN('Activities'!L107,276)-MAX('Activities'!K107,270))</x:f>
        <x:v>0</x:v>
      </x:c>
      <x:c r="AY107" s="23" t="n">
        <x:f>MAX(0,MIN('Activities'!L107,282)-MAX('Activities'!K107,276))</x:f>
        <x:v>0</x:v>
      </x:c>
      <x:c r="AZ107" s="23" t="n">
        <x:f>MAX(0,MIN('Activities'!L107,288)-MAX('Activities'!K107,282))</x:f>
        <x:v>0</x:v>
      </x:c>
      <x:c r="BA107" s="23" t="n">
        <x:f>MAX(0,MIN('Activities'!L107,294)-MAX('Activities'!K107,288))</x:f>
        <x:v>0</x:v>
      </x:c>
      <x:c r="BB107" s="23" t="n">
        <x:f>MAX(0,MIN('Activities'!L107,300)-MAX('Activities'!K107,294))</x:f>
        <x:v>0</x:v>
      </x:c>
      <x:c r="BC107" s="23" t="n">
        <x:f>MAX(0,MIN('Activities'!L107,306)-MAX('Activities'!K107,300))</x:f>
        <x:v>0</x:v>
      </x:c>
      <x:c r="BD107" s="23" t="n">
        <x:f>MAX(0,MIN('Activities'!L107,312)-MAX('Activities'!K107,306))</x:f>
        <x:v>0</x:v>
      </x:c>
      <x:c r="BE107" s="23" t="n">
        <x:f>MAX(0,MIN('Activities'!L107,318)-MAX('Activities'!K107,312))</x:f>
        <x:v>0</x:v>
      </x:c>
      <x:c r="BF107" s="23" t="n">
        <x:f>MAX(0,MIN('Activities'!L107,324)-MAX('Activities'!K107,318))</x:f>
        <x:v>5</x:v>
      </x:c>
      <x:c r="BG107" s="23" t="n">
        <x:f>MAX(0,MIN('Activities'!L107,330)-MAX('Activities'!K107,324))</x:f>
        <x:v>0</x:v>
      </x:c>
      <x:c r="BH107" s="23" t="n">
        <x:f>MAX(0,MIN('Activities'!L107,336)-MAX('Activities'!K107,330))</x:f>
        <x:v>0</x:v>
      </x:c>
      <x:c r="BI107" s="23" t="n">
        <x:f>MAX(0,MIN('Activities'!L107,342)-MAX('Activities'!K107,336))</x:f>
        <x:v>0</x:v>
      </x:c>
      <x:c r="BJ107" s="23" t="n">
        <x:f>MAX(0,MIN('Activities'!L107,348)-MAX('Activities'!K107,342))</x:f>
        <x:v>0</x:v>
      </x:c>
      <x:c r="BK107" s="23" t="n">
        <x:f>MAX(0,MIN('Activities'!L107,354)-MAX('Activities'!K107,348))</x:f>
        <x:v>0</x:v>
      </x:c>
      <x:c r="BL107" s="23" t="n">
        <x:f>MAX(0,MIN('Activities'!L107,360)-MAX('Activities'!K107,354))</x:f>
        <x:v>0</x:v>
      </x:c>
      <x:c r="BM107" s="23" t="n">
        <x:f>MAX(0,MIN('Activities'!L107,366)-MAX('Activities'!K107,360))</x:f>
        <x:v>0</x:v>
      </x:c>
      <x:c r="BN107" s="23" t="n">
        <x:f>MAX(0,MIN('Activities'!L107,372)-MAX('Activities'!K107,366))</x:f>
        <x:v>0</x:v>
      </x:c>
      <x:c r="BO107" s="23" t="n">
        <x:f>MAX(0,MIN('Activities'!L107,378)-MAX('Activities'!K107,372))</x:f>
        <x:v>0</x:v>
      </x:c>
      <x:c r="BP107" s="23" t="n">
        <x:f>MAX(0,MIN('Activities'!L107,384)-MAX('Activities'!K107,378))</x:f>
        <x:v>0</x:v>
      </x:c>
      <x:c r="BQ107" s="23" t="n">
        <x:f>MAX(0,MIN('Activities'!L107,390)-MAX('Activities'!K107,384))</x:f>
        <x:v>0</x:v>
      </x:c>
      <x:c r="BR107" s="23" t="n">
        <x:f>MAX(0,MIN('Activities'!L107,396)-MAX('Activities'!K107,390))</x:f>
        <x:v>0</x:v>
      </x:c>
      <x:c r="BS107" s="23" t="n">
        <x:f>MAX(0,MIN('Activities'!L107,402)-MAX('Activities'!K107,396))</x:f>
        <x:v>0</x:v>
      </x:c>
      <x:c r="BT107" s="23" t="n">
        <x:f>MAX(0,MIN('Activities'!L107,408)-MAX('Activities'!K107,402))</x:f>
        <x:v>0</x:v>
      </x:c>
      <x:c r="BU107" s="23" t="n">
        <x:f>MAX(0,MIN('Activities'!L107,414)-MAX('Activities'!K107,408))</x:f>
        <x:v>0</x:v>
      </x:c>
      <x:c r="BV107" s="23" t="n">
        <x:f>MAX(0,MIN('Activities'!L107,420)-MAX('Activities'!K107,414))</x:f>
        <x:v>0</x:v>
      </x:c>
      <x:c r="BW107" s="23" t="n">
        <x:f>MAX(0,MIN('Activities'!L107,426)-MAX('Activities'!K107,420))</x:f>
        <x:v>0</x:v>
      </x:c>
      <x:c r="BX107" s="23" t="n">
        <x:f>MAX(0,MIN('Activities'!L107,432)-MAX('Activities'!K107,426))</x:f>
        <x:v>0</x:v>
      </x:c>
      <x:c r="BY107" s="23" t="n">
        <x:f>MAX(0,MIN('Activities'!L107,438)-MAX('Activities'!K107,432))</x:f>
        <x:v>0</x:v>
      </x:c>
      <x:c r="BZ107" s="23" t="n">
        <x:f>MAX(0,MIN('Activities'!L107,444)-MAX('Activities'!K107,438))</x:f>
        <x:v>0</x:v>
      </x:c>
      <x:c r="CA107" s="23" t="n">
        <x:f>MAX(0,MIN('Activities'!L107,450)-MAX('Activities'!K107,444))</x:f>
        <x:v>0</x:v>
      </x:c>
      <x:c r="CB107" s="23" t="n">
        <x:f>MAX(0,MIN('Activities'!L107,456)-MAX('Activities'!K107,450))</x:f>
        <x:v>0</x:v>
      </x:c>
      <x:c r="CC107" s="23" t="n">
        <x:f>MAX(0,MIN('Activities'!L107,462)-MAX('Activities'!K107,456))</x:f>
        <x:v>0</x:v>
      </x:c>
      <x:c r="CD107" s="23" t="n">
        <x:f>MAX(0,MIN('Activities'!L107,468)-MAX('Activities'!K107,462))</x:f>
        <x:v>0</x:v>
      </x:c>
      <x:c r="CE107" s="23" t="n">
        <x:f>MAX(0,MIN('Activities'!L107,474)-MAX('Activities'!K107,468))</x:f>
        <x:v>0</x:v>
      </x:c>
      <x:c r="CF107" s="23" t="n">
        <x:f>MAX(0,MIN('Activities'!L107,480)-MAX('Activities'!K107,474))</x:f>
        <x:v>0</x:v>
      </x:c>
      <x:c r="CG107" s="23" t="n">
        <x:f>MAX(0,MIN('Activities'!L107,486)-MAX('Activities'!K107,480))</x:f>
        <x:v>0</x:v>
      </x:c>
      <x:c r="CH107" s="23" t="n">
        <x:f>MAX(0,MIN('Activities'!L107,492)-MAX('Activities'!K107,486))</x:f>
        <x:v>0</x:v>
      </x:c>
      <x:c r="CI107" s="23" t="n">
        <x:f>MAX(0,MIN('Activities'!L107,498)-MAX('Activities'!K107,492))</x:f>
        <x:v>0</x:v>
      </x:c>
      <x:c r="CJ107" s="23" t="n">
        <x:f>MAX(0,MIN('Activities'!L107,504)-MAX('Activities'!K107,498))</x:f>
        <x:v>0</x:v>
      </x:c>
      <x:c r="CK107" s="23" t="n">
        <x:f>MAX(0,MIN('Activities'!L107,510)-MAX('Activities'!K107,504))</x:f>
        <x:v>0</x:v>
      </x:c>
      <x:c r="CL107" s="23" t="n">
        <x:f>MAX(0,MIN('Activities'!L107,516)-MAX('Activities'!K107,510))</x:f>
        <x:v>0</x:v>
      </x:c>
      <x:c r="CM107" s="23" t="n">
        <x:f>MAX(0,MIN('Activities'!L107,522)-MAX('Activities'!K107,516))</x:f>
        <x:v>0</x:v>
      </x:c>
      <x:c r="CN107" s="23" t="n">
        <x:f>MAX(0,MIN('Activities'!L107,528)-MAX('Activities'!K107,522))</x:f>
        <x:v>0</x:v>
      </x:c>
      <x:c r="CO107" s="23" t="n">
        <x:f>MAX(0,MIN('Activities'!L107,534)-MAX('Activities'!K107,528))</x:f>
        <x:v>0</x:v>
      </x:c>
      <x:c r="CP107" s="23" t="n">
        <x:f>MAX(0,MIN('Activities'!L107,540)-MAX('Activities'!K107,534))</x:f>
        <x:v>0</x:v>
      </x:c>
      <x:c r="CQ107" s="23" t="n">
        <x:f>MAX(0,MIN('Activities'!L107,546)-MAX('Activities'!K107,540))</x:f>
        <x:v>0</x:v>
      </x:c>
      <x:c r="CR107" s="23" t="n">
        <x:f>MAX(0,MIN('Activities'!L107,552)-MAX('Activities'!K107,546))</x:f>
        <x:v>0</x:v>
      </x:c>
      <x:c r="CS107" s="23" t="n">
        <x:f>MAX(0,MIN('Activities'!L107,558)-MAX('Activities'!K107,552))</x:f>
        <x:v>0</x:v>
      </x:c>
      <x:c r="CT107" s="23" t="n">
        <x:f>MAX(0,MIN('Activities'!L107,564)-MAX('Activities'!K107,558))</x:f>
        <x:v>0</x:v>
      </x:c>
      <x:c r="CU107" s="23" t="n">
        <x:f>MAX(0,MIN('Activities'!L107,570)-MAX('Activities'!K107,564))</x:f>
        <x:v>0</x:v>
      </x:c>
      <x:c r="CV107" s="23" t="n">
        <x:f>MAX(0,MIN('Activities'!L107,576)-MAX('Activities'!K107,570))</x:f>
        <x:v>0</x:v>
      </x:c>
      <x:c r="CW107" s="23" t="n">
        <x:f>MAX(0,MIN('Activities'!L107,582)-MAX('Activities'!K107,576))</x:f>
        <x:v>0</x:v>
      </x:c>
      <x:c r="CX107" s="23" t="n">
        <x:f>MAX(0,MIN('Activities'!L107,588)-MAX('Activities'!K107,582))</x:f>
        <x:v>0</x:v>
      </x:c>
      <x:c r="CY107" s="23" t="n">
        <x:f>MAX(0,MIN('Activities'!L107,594)-MAX('Activities'!K107,588))</x:f>
        <x:v>0</x:v>
      </x:c>
      <x:c r="CZ107" s="23" t="n">
        <x:f>MAX(0,MIN('Activities'!L107,600)-MAX('Activities'!K107,594))</x:f>
        <x:v>0</x:v>
      </x:c>
      <x:c r="DA107" s="23" t="n">
        <x:f>MAX(0,MIN('Activities'!L107,606)-MAX('Activities'!K107,600))</x:f>
        <x:v>0</x:v>
      </x:c>
      <x:c r="DB107" s="23" t="n">
        <x:f>MAX(0,MIN('Activities'!L107,612)-MAX('Activities'!K107,606))</x:f>
        <x:v>0</x:v>
      </x:c>
      <x:c r="DC107" s="23" t="n">
        <x:f>MAX(0,MIN('Activities'!L107,618)-MAX('Activities'!K107,612))</x:f>
        <x:v>0</x:v>
      </x:c>
      <x:c r="DD107" s="23" t="n">
        <x:f>MAX(0,MIN('Activities'!L107,624)-MAX('Activities'!K107,618))</x:f>
        <x:v>0</x:v>
      </x:c>
      <x:c r="DE107" s="23" t="n">
        <x:f>MAX(0,MIN('Activities'!L107,630)-MAX('Activities'!K107,624))</x:f>
        <x:v>0</x:v>
      </x:c>
      <x:c r="DF107" s="23" t="n">
        <x:f>MAX(0,MIN('Activities'!L107,636)-MAX('Activities'!K107,630))</x:f>
        <x:v>0</x:v>
      </x:c>
    </x:row>
    <x:row r="108" ht="23" customHeight="1">
      <x:c r="A108" s="6" t="str">
        <x:v>T1-L06-P</x:v>
      </x:c>
      <x:c r="B108" s="6" t="str">
        <x:v>T1</x:v>
      </x:c>
      <x:c r="C108" s="6" t="str">
        <x:v>Internal plaster</x:v>
      </x:c>
      <x:c r="D108" s="6" t="str">
        <x:v>Finishes</x:v>
      </x:c>
      <x:c r="E108" s="22" t="n">
        <x:f>MAX(0,MIN('Activities'!L108,6)-MAX('Activities'!K108,0))</x:f>
        <x:v>0</x:v>
      </x:c>
      <x:c r="F108" s="22" t="n">
        <x:f>MAX(0,MIN('Activities'!L108,12)-MAX('Activities'!K108,6))</x:f>
        <x:v>0</x:v>
      </x:c>
      <x:c r="G108" s="22" t="n">
        <x:f>MAX(0,MIN('Activities'!L108,18)-MAX('Activities'!K108,12))</x:f>
        <x:v>0</x:v>
      </x:c>
      <x:c r="H108" s="22" t="n">
        <x:f>MAX(0,MIN('Activities'!L108,24)-MAX('Activities'!K108,18))</x:f>
        <x:v>0</x:v>
      </x:c>
      <x:c r="I108" s="22" t="n">
        <x:f>MAX(0,MIN('Activities'!L108,30)-MAX('Activities'!K108,24))</x:f>
        <x:v>0</x:v>
      </x:c>
      <x:c r="J108" s="22" t="n">
        <x:f>MAX(0,MIN('Activities'!L108,36)-MAX('Activities'!K108,30))</x:f>
        <x:v>0</x:v>
      </x:c>
      <x:c r="K108" s="22" t="n">
        <x:f>MAX(0,MIN('Activities'!L108,42)-MAX('Activities'!K108,36))</x:f>
        <x:v>0</x:v>
      </x:c>
      <x:c r="L108" s="22" t="n">
        <x:f>MAX(0,MIN('Activities'!L108,48)-MAX('Activities'!K108,42))</x:f>
        <x:v>0</x:v>
      </x:c>
      <x:c r="M108" s="22" t="n">
        <x:f>MAX(0,MIN('Activities'!L108,54)-MAX('Activities'!K108,48))</x:f>
        <x:v>0</x:v>
      </x:c>
      <x:c r="N108" s="22" t="n">
        <x:f>MAX(0,MIN('Activities'!L108,60)-MAX('Activities'!K108,54))</x:f>
        <x:v>0</x:v>
      </x:c>
      <x:c r="O108" s="22" t="n">
        <x:f>MAX(0,MIN('Activities'!L108,66)-MAX('Activities'!K108,60))</x:f>
        <x:v>0</x:v>
      </x:c>
      <x:c r="P108" s="22" t="n">
        <x:f>MAX(0,MIN('Activities'!L108,72)-MAX('Activities'!K108,66))</x:f>
        <x:v>0</x:v>
      </x:c>
      <x:c r="Q108" s="22" t="n">
        <x:f>MAX(0,MIN('Activities'!L108,78)-MAX('Activities'!K108,72))</x:f>
        <x:v>0</x:v>
      </x:c>
      <x:c r="R108" s="22" t="n">
        <x:f>MAX(0,MIN('Activities'!L108,84)-MAX('Activities'!K108,78))</x:f>
        <x:v>0</x:v>
      </x:c>
      <x:c r="S108" s="22" t="n">
        <x:f>MAX(0,MIN('Activities'!L108,90)-MAX('Activities'!K108,84))</x:f>
        <x:v>0</x:v>
      </x:c>
      <x:c r="T108" s="22" t="n">
        <x:f>MAX(0,MIN('Activities'!L108,96)-MAX('Activities'!K108,90))</x:f>
        <x:v>0</x:v>
      </x:c>
      <x:c r="U108" s="22" t="n">
        <x:f>MAX(0,MIN('Activities'!L108,102)-MAX('Activities'!K108,96))</x:f>
        <x:v>0</x:v>
      </x:c>
      <x:c r="V108" s="22" t="n">
        <x:f>MAX(0,MIN('Activities'!L108,108)-MAX('Activities'!K108,102))</x:f>
        <x:v>0</x:v>
      </x:c>
      <x:c r="W108" s="22" t="n">
        <x:f>MAX(0,MIN('Activities'!L108,114)-MAX('Activities'!K108,108))</x:f>
        <x:v>0</x:v>
      </x:c>
      <x:c r="X108" s="22" t="n">
        <x:f>MAX(0,MIN('Activities'!L108,120)-MAX('Activities'!K108,114))</x:f>
        <x:v>0</x:v>
      </x:c>
      <x:c r="Y108" s="22" t="n">
        <x:f>MAX(0,MIN('Activities'!L108,126)-MAX('Activities'!K108,120))</x:f>
        <x:v>0</x:v>
      </x:c>
      <x:c r="Z108" s="22" t="n">
        <x:f>MAX(0,MIN('Activities'!L108,132)-MAX('Activities'!K108,126))</x:f>
        <x:v>0</x:v>
      </x:c>
      <x:c r="AA108" s="22" t="n">
        <x:f>MAX(0,MIN('Activities'!L108,138)-MAX('Activities'!K108,132))</x:f>
        <x:v>0</x:v>
      </x:c>
      <x:c r="AB108" s="22" t="n">
        <x:f>MAX(0,MIN('Activities'!L108,144)-MAX('Activities'!K108,138))</x:f>
        <x:v>0</x:v>
      </x:c>
      <x:c r="AC108" s="22" t="n">
        <x:f>MAX(0,MIN('Activities'!L108,150)-MAX('Activities'!K108,144))</x:f>
        <x:v>0</x:v>
      </x:c>
      <x:c r="AD108" s="22" t="n">
        <x:f>MAX(0,MIN('Activities'!L108,156)-MAX('Activities'!K108,150))</x:f>
        <x:v>0</x:v>
      </x:c>
      <x:c r="AE108" s="22" t="n">
        <x:f>MAX(0,MIN('Activities'!L108,162)-MAX('Activities'!K108,156))</x:f>
        <x:v>0</x:v>
      </x:c>
      <x:c r="AF108" s="22" t="n">
        <x:f>MAX(0,MIN('Activities'!L108,168)-MAX('Activities'!K108,162))</x:f>
        <x:v>0</x:v>
      </x:c>
      <x:c r="AG108" s="22" t="n">
        <x:f>MAX(0,MIN('Activities'!L108,174)-MAX('Activities'!K108,168))</x:f>
        <x:v>0</x:v>
      </x:c>
      <x:c r="AH108" s="22" t="n">
        <x:f>MAX(0,MIN('Activities'!L108,180)-MAX('Activities'!K108,174))</x:f>
        <x:v>0</x:v>
      </x:c>
      <x:c r="AI108" s="22" t="n">
        <x:f>MAX(0,MIN('Activities'!L108,186)-MAX('Activities'!K108,180))</x:f>
        <x:v>0</x:v>
      </x:c>
      <x:c r="AJ108" s="22" t="n">
        <x:f>MAX(0,MIN('Activities'!L108,192)-MAX('Activities'!K108,186))</x:f>
        <x:v>0</x:v>
      </x:c>
      <x:c r="AK108" s="22" t="n">
        <x:f>MAX(0,MIN('Activities'!L108,198)-MAX('Activities'!K108,192))</x:f>
        <x:v>0</x:v>
      </x:c>
      <x:c r="AL108" s="22" t="n">
        <x:f>MAX(0,MIN('Activities'!L108,204)-MAX('Activities'!K108,198))</x:f>
        <x:v>0</x:v>
      </x:c>
      <x:c r="AM108" s="22" t="n">
        <x:f>MAX(0,MIN('Activities'!L108,210)-MAX('Activities'!K108,204))</x:f>
        <x:v>0</x:v>
      </x:c>
      <x:c r="AN108" s="22" t="n">
        <x:f>MAX(0,MIN('Activities'!L108,216)-MAX('Activities'!K108,210))</x:f>
        <x:v>0</x:v>
      </x:c>
      <x:c r="AO108" s="22" t="n">
        <x:f>MAX(0,MIN('Activities'!L108,222)-MAX('Activities'!K108,216))</x:f>
        <x:v>0</x:v>
      </x:c>
      <x:c r="AP108" s="22" t="n">
        <x:f>MAX(0,MIN('Activities'!L108,228)-MAX('Activities'!K108,222))</x:f>
        <x:v>0</x:v>
      </x:c>
      <x:c r="AQ108" s="22" t="n">
        <x:f>MAX(0,MIN('Activities'!L108,234)-MAX('Activities'!K108,228))</x:f>
        <x:v>0</x:v>
      </x:c>
      <x:c r="AR108" s="22" t="n">
        <x:f>MAX(0,MIN('Activities'!L108,240)-MAX('Activities'!K108,234))</x:f>
        <x:v>0</x:v>
      </x:c>
      <x:c r="AS108" s="22" t="n">
        <x:f>MAX(0,MIN('Activities'!L108,246)-MAX('Activities'!K108,240))</x:f>
        <x:v>0</x:v>
      </x:c>
      <x:c r="AT108" s="22" t="n">
        <x:f>MAX(0,MIN('Activities'!L108,252)-MAX('Activities'!K108,246))</x:f>
        <x:v>0</x:v>
      </x:c>
      <x:c r="AU108" s="22" t="n">
        <x:f>MAX(0,MIN('Activities'!L108,258)-MAX('Activities'!K108,252))</x:f>
        <x:v>0</x:v>
      </x:c>
      <x:c r="AV108" s="22" t="n">
        <x:f>MAX(0,MIN('Activities'!L108,264)-MAX('Activities'!K108,258))</x:f>
        <x:v>0</x:v>
      </x:c>
      <x:c r="AW108" s="22" t="n">
        <x:f>MAX(0,MIN('Activities'!L108,270)-MAX('Activities'!K108,264))</x:f>
        <x:v>0</x:v>
      </x:c>
      <x:c r="AX108" s="22" t="n">
        <x:f>MAX(0,MIN('Activities'!L108,276)-MAX('Activities'!K108,270))</x:f>
        <x:v>0</x:v>
      </x:c>
      <x:c r="AY108" s="22" t="n">
        <x:f>MAX(0,MIN('Activities'!L108,282)-MAX('Activities'!K108,276))</x:f>
        <x:v>0</x:v>
      </x:c>
      <x:c r="AZ108" s="22" t="n">
        <x:f>MAX(0,MIN('Activities'!L108,288)-MAX('Activities'!K108,282))</x:f>
        <x:v>0</x:v>
      </x:c>
      <x:c r="BA108" s="22" t="n">
        <x:f>MAX(0,MIN('Activities'!L108,294)-MAX('Activities'!K108,288))</x:f>
        <x:v>0</x:v>
      </x:c>
      <x:c r="BB108" s="22" t="n">
        <x:f>MAX(0,MIN('Activities'!L108,300)-MAX('Activities'!K108,294))</x:f>
        <x:v>0</x:v>
      </x:c>
      <x:c r="BC108" s="22" t="n">
        <x:f>MAX(0,MIN('Activities'!L108,306)-MAX('Activities'!K108,300))</x:f>
        <x:v>0</x:v>
      </x:c>
      <x:c r="BD108" s="22" t="n">
        <x:f>MAX(0,MIN('Activities'!L108,312)-MAX('Activities'!K108,306))</x:f>
        <x:v>0</x:v>
      </x:c>
      <x:c r="BE108" s="22" t="n">
        <x:f>MAX(0,MIN('Activities'!L108,318)-MAX('Activities'!K108,312))</x:f>
        <x:v>0</x:v>
      </x:c>
      <x:c r="BF108" s="22" t="n">
        <x:f>MAX(0,MIN('Activities'!L108,324)-MAX('Activities'!K108,318))</x:f>
        <x:v>0</x:v>
      </x:c>
      <x:c r="BG108" s="22" t="n">
        <x:f>MAX(0,MIN('Activities'!L108,330)-MAX('Activities'!K108,324))</x:f>
        <x:v>3</x:v>
      </x:c>
      <x:c r="BH108" s="22" t="n">
        <x:f>MAX(0,MIN('Activities'!L108,336)-MAX('Activities'!K108,330))</x:f>
        <x:v>3</x:v>
      </x:c>
      <x:c r="BI108" s="22" t="n">
        <x:f>MAX(0,MIN('Activities'!L108,342)-MAX('Activities'!K108,336))</x:f>
        <x:v>0</x:v>
      </x:c>
      <x:c r="BJ108" s="22" t="n">
        <x:f>MAX(0,MIN('Activities'!L108,348)-MAX('Activities'!K108,342))</x:f>
        <x:v>0</x:v>
      </x:c>
      <x:c r="BK108" s="22" t="n">
        <x:f>MAX(0,MIN('Activities'!L108,354)-MAX('Activities'!K108,348))</x:f>
        <x:v>0</x:v>
      </x:c>
      <x:c r="BL108" s="22" t="n">
        <x:f>MAX(0,MIN('Activities'!L108,360)-MAX('Activities'!K108,354))</x:f>
        <x:v>0</x:v>
      </x:c>
      <x:c r="BM108" s="22" t="n">
        <x:f>MAX(0,MIN('Activities'!L108,366)-MAX('Activities'!K108,360))</x:f>
        <x:v>0</x:v>
      </x:c>
      <x:c r="BN108" s="22" t="n">
        <x:f>MAX(0,MIN('Activities'!L108,372)-MAX('Activities'!K108,366))</x:f>
        <x:v>0</x:v>
      </x:c>
      <x:c r="BO108" s="22" t="n">
        <x:f>MAX(0,MIN('Activities'!L108,378)-MAX('Activities'!K108,372))</x:f>
        <x:v>0</x:v>
      </x:c>
      <x:c r="BP108" s="22" t="n">
        <x:f>MAX(0,MIN('Activities'!L108,384)-MAX('Activities'!K108,378))</x:f>
        <x:v>0</x:v>
      </x:c>
      <x:c r="BQ108" s="22" t="n">
        <x:f>MAX(0,MIN('Activities'!L108,390)-MAX('Activities'!K108,384))</x:f>
        <x:v>0</x:v>
      </x:c>
      <x:c r="BR108" s="22" t="n">
        <x:f>MAX(0,MIN('Activities'!L108,396)-MAX('Activities'!K108,390))</x:f>
        <x:v>0</x:v>
      </x:c>
      <x:c r="BS108" s="22" t="n">
        <x:f>MAX(0,MIN('Activities'!L108,402)-MAX('Activities'!K108,396))</x:f>
        <x:v>0</x:v>
      </x:c>
      <x:c r="BT108" s="22" t="n">
        <x:f>MAX(0,MIN('Activities'!L108,408)-MAX('Activities'!K108,402))</x:f>
        <x:v>0</x:v>
      </x:c>
      <x:c r="BU108" s="22" t="n">
        <x:f>MAX(0,MIN('Activities'!L108,414)-MAX('Activities'!K108,408))</x:f>
        <x:v>0</x:v>
      </x:c>
      <x:c r="BV108" s="22" t="n">
        <x:f>MAX(0,MIN('Activities'!L108,420)-MAX('Activities'!K108,414))</x:f>
        <x:v>0</x:v>
      </x:c>
      <x:c r="BW108" s="22" t="n">
        <x:f>MAX(0,MIN('Activities'!L108,426)-MAX('Activities'!K108,420))</x:f>
        <x:v>0</x:v>
      </x:c>
      <x:c r="BX108" s="22" t="n">
        <x:f>MAX(0,MIN('Activities'!L108,432)-MAX('Activities'!K108,426))</x:f>
        <x:v>0</x:v>
      </x:c>
      <x:c r="BY108" s="22" t="n">
        <x:f>MAX(0,MIN('Activities'!L108,438)-MAX('Activities'!K108,432))</x:f>
        <x:v>0</x:v>
      </x:c>
      <x:c r="BZ108" s="22" t="n">
        <x:f>MAX(0,MIN('Activities'!L108,444)-MAX('Activities'!K108,438))</x:f>
        <x:v>0</x:v>
      </x:c>
      <x:c r="CA108" s="22" t="n">
        <x:f>MAX(0,MIN('Activities'!L108,450)-MAX('Activities'!K108,444))</x:f>
        <x:v>0</x:v>
      </x:c>
      <x:c r="CB108" s="22" t="n">
        <x:f>MAX(0,MIN('Activities'!L108,456)-MAX('Activities'!K108,450))</x:f>
        <x:v>0</x:v>
      </x:c>
      <x:c r="CC108" s="22" t="n">
        <x:f>MAX(0,MIN('Activities'!L108,462)-MAX('Activities'!K108,456))</x:f>
        <x:v>0</x:v>
      </x:c>
      <x:c r="CD108" s="22" t="n">
        <x:f>MAX(0,MIN('Activities'!L108,468)-MAX('Activities'!K108,462))</x:f>
        <x:v>0</x:v>
      </x:c>
      <x:c r="CE108" s="22" t="n">
        <x:f>MAX(0,MIN('Activities'!L108,474)-MAX('Activities'!K108,468))</x:f>
        <x:v>0</x:v>
      </x:c>
      <x:c r="CF108" s="22" t="n">
        <x:f>MAX(0,MIN('Activities'!L108,480)-MAX('Activities'!K108,474))</x:f>
        <x:v>0</x:v>
      </x:c>
      <x:c r="CG108" s="22" t="n">
        <x:f>MAX(0,MIN('Activities'!L108,486)-MAX('Activities'!K108,480))</x:f>
        <x:v>0</x:v>
      </x:c>
      <x:c r="CH108" s="22" t="n">
        <x:f>MAX(0,MIN('Activities'!L108,492)-MAX('Activities'!K108,486))</x:f>
        <x:v>0</x:v>
      </x:c>
      <x:c r="CI108" s="22" t="n">
        <x:f>MAX(0,MIN('Activities'!L108,498)-MAX('Activities'!K108,492))</x:f>
        <x:v>0</x:v>
      </x:c>
      <x:c r="CJ108" s="22" t="n">
        <x:f>MAX(0,MIN('Activities'!L108,504)-MAX('Activities'!K108,498))</x:f>
        <x:v>0</x:v>
      </x:c>
      <x:c r="CK108" s="22" t="n">
        <x:f>MAX(0,MIN('Activities'!L108,510)-MAX('Activities'!K108,504))</x:f>
        <x:v>0</x:v>
      </x:c>
      <x:c r="CL108" s="22" t="n">
        <x:f>MAX(0,MIN('Activities'!L108,516)-MAX('Activities'!K108,510))</x:f>
        <x:v>0</x:v>
      </x:c>
      <x:c r="CM108" s="22" t="n">
        <x:f>MAX(0,MIN('Activities'!L108,522)-MAX('Activities'!K108,516))</x:f>
        <x:v>0</x:v>
      </x:c>
      <x:c r="CN108" s="22" t="n">
        <x:f>MAX(0,MIN('Activities'!L108,528)-MAX('Activities'!K108,522))</x:f>
        <x:v>0</x:v>
      </x:c>
      <x:c r="CO108" s="22" t="n">
        <x:f>MAX(0,MIN('Activities'!L108,534)-MAX('Activities'!K108,528))</x:f>
        <x:v>0</x:v>
      </x:c>
      <x:c r="CP108" s="22" t="n">
        <x:f>MAX(0,MIN('Activities'!L108,540)-MAX('Activities'!K108,534))</x:f>
        <x:v>0</x:v>
      </x:c>
      <x:c r="CQ108" s="22" t="n">
        <x:f>MAX(0,MIN('Activities'!L108,546)-MAX('Activities'!K108,540))</x:f>
        <x:v>0</x:v>
      </x:c>
      <x:c r="CR108" s="22" t="n">
        <x:f>MAX(0,MIN('Activities'!L108,552)-MAX('Activities'!K108,546))</x:f>
        <x:v>0</x:v>
      </x:c>
      <x:c r="CS108" s="22" t="n">
        <x:f>MAX(0,MIN('Activities'!L108,558)-MAX('Activities'!K108,552))</x:f>
        <x:v>0</x:v>
      </x:c>
      <x:c r="CT108" s="22" t="n">
        <x:f>MAX(0,MIN('Activities'!L108,564)-MAX('Activities'!K108,558))</x:f>
        <x:v>0</x:v>
      </x:c>
      <x:c r="CU108" s="22" t="n">
        <x:f>MAX(0,MIN('Activities'!L108,570)-MAX('Activities'!K108,564))</x:f>
        <x:v>0</x:v>
      </x:c>
      <x:c r="CV108" s="22" t="n">
        <x:f>MAX(0,MIN('Activities'!L108,576)-MAX('Activities'!K108,570))</x:f>
        <x:v>0</x:v>
      </x:c>
      <x:c r="CW108" s="22" t="n">
        <x:f>MAX(0,MIN('Activities'!L108,582)-MAX('Activities'!K108,576))</x:f>
        <x:v>0</x:v>
      </x:c>
      <x:c r="CX108" s="22" t="n">
        <x:f>MAX(0,MIN('Activities'!L108,588)-MAX('Activities'!K108,582))</x:f>
        <x:v>0</x:v>
      </x:c>
      <x:c r="CY108" s="22" t="n">
        <x:f>MAX(0,MIN('Activities'!L108,594)-MAX('Activities'!K108,588))</x:f>
        <x:v>0</x:v>
      </x:c>
      <x:c r="CZ108" s="22" t="n">
        <x:f>MAX(0,MIN('Activities'!L108,600)-MAX('Activities'!K108,594))</x:f>
        <x:v>0</x:v>
      </x:c>
      <x:c r="DA108" s="22" t="n">
        <x:f>MAX(0,MIN('Activities'!L108,606)-MAX('Activities'!K108,600))</x:f>
        <x:v>0</x:v>
      </x:c>
      <x:c r="DB108" s="22" t="n">
        <x:f>MAX(0,MIN('Activities'!L108,612)-MAX('Activities'!K108,606))</x:f>
        <x:v>0</x:v>
      </x:c>
      <x:c r="DC108" s="22" t="n">
        <x:f>MAX(0,MIN('Activities'!L108,618)-MAX('Activities'!K108,612))</x:f>
        <x:v>0</x:v>
      </x:c>
      <x:c r="DD108" s="22" t="n">
        <x:f>MAX(0,MIN('Activities'!L108,624)-MAX('Activities'!K108,618))</x:f>
        <x:v>0</x:v>
      </x:c>
      <x:c r="DE108" s="22" t="n">
        <x:f>MAX(0,MIN('Activities'!L108,630)-MAX('Activities'!K108,624))</x:f>
        <x:v>0</x:v>
      </x:c>
      <x:c r="DF108" s="22" t="n">
        <x:f>MAX(0,MIN('Activities'!L108,636)-MAX('Activities'!K108,630))</x:f>
        <x:v>0</x:v>
      </x:c>
    </x:row>
    <x:row r="109" ht="23" customHeight="1">
      <x:c r="A109" s="1" t="str">
        <x:v>T1-L06-S</x:v>
      </x:c>
      <x:c r="B109" s="1" t="str">
        <x:v>T1</x:v>
      </x:c>
      <x:c r="C109" s="1" t="str">
        <x:v>Screed and substrate preparation</x:v>
      </x:c>
      <x:c r="D109" s="1" t="str">
        <x:v>Finishes</x:v>
      </x:c>
      <x:c r="E109" s="23" t="n">
        <x:f>MAX(0,MIN('Activities'!L109,6)-MAX('Activities'!K109,0))</x:f>
        <x:v>0</x:v>
      </x:c>
      <x:c r="F109" s="23" t="n">
        <x:f>MAX(0,MIN('Activities'!L109,12)-MAX('Activities'!K109,6))</x:f>
        <x:v>0</x:v>
      </x:c>
      <x:c r="G109" s="23" t="n">
        <x:f>MAX(0,MIN('Activities'!L109,18)-MAX('Activities'!K109,12))</x:f>
        <x:v>0</x:v>
      </x:c>
      <x:c r="H109" s="23" t="n">
        <x:f>MAX(0,MIN('Activities'!L109,24)-MAX('Activities'!K109,18))</x:f>
        <x:v>0</x:v>
      </x:c>
      <x:c r="I109" s="23" t="n">
        <x:f>MAX(0,MIN('Activities'!L109,30)-MAX('Activities'!K109,24))</x:f>
        <x:v>0</x:v>
      </x:c>
      <x:c r="J109" s="23" t="n">
        <x:f>MAX(0,MIN('Activities'!L109,36)-MAX('Activities'!K109,30))</x:f>
        <x:v>0</x:v>
      </x:c>
      <x:c r="K109" s="23" t="n">
        <x:f>MAX(0,MIN('Activities'!L109,42)-MAX('Activities'!K109,36))</x:f>
        <x:v>0</x:v>
      </x:c>
      <x:c r="L109" s="23" t="n">
        <x:f>MAX(0,MIN('Activities'!L109,48)-MAX('Activities'!K109,42))</x:f>
        <x:v>0</x:v>
      </x:c>
      <x:c r="M109" s="23" t="n">
        <x:f>MAX(0,MIN('Activities'!L109,54)-MAX('Activities'!K109,48))</x:f>
        <x:v>0</x:v>
      </x:c>
      <x:c r="N109" s="23" t="n">
        <x:f>MAX(0,MIN('Activities'!L109,60)-MAX('Activities'!K109,54))</x:f>
        <x:v>0</x:v>
      </x:c>
      <x:c r="O109" s="23" t="n">
        <x:f>MAX(0,MIN('Activities'!L109,66)-MAX('Activities'!K109,60))</x:f>
        <x:v>0</x:v>
      </x:c>
      <x:c r="P109" s="23" t="n">
        <x:f>MAX(0,MIN('Activities'!L109,72)-MAX('Activities'!K109,66))</x:f>
        <x:v>0</x:v>
      </x:c>
      <x:c r="Q109" s="23" t="n">
        <x:f>MAX(0,MIN('Activities'!L109,78)-MAX('Activities'!K109,72))</x:f>
        <x:v>0</x:v>
      </x:c>
      <x:c r="R109" s="23" t="n">
        <x:f>MAX(0,MIN('Activities'!L109,84)-MAX('Activities'!K109,78))</x:f>
        <x:v>0</x:v>
      </x:c>
      <x:c r="S109" s="23" t="n">
        <x:f>MAX(0,MIN('Activities'!L109,90)-MAX('Activities'!K109,84))</x:f>
        <x:v>0</x:v>
      </x:c>
      <x:c r="T109" s="23" t="n">
        <x:f>MAX(0,MIN('Activities'!L109,96)-MAX('Activities'!K109,90))</x:f>
        <x:v>0</x:v>
      </x:c>
      <x:c r="U109" s="23" t="n">
        <x:f>MAX(0,MIN('Activities'!L109,102)-MAX('Activities'!K109,96))</x:f>
        <x:v>0</x:v>
      </x:c>
      <x:c r="V109" s="23" t="n">
        <x:f>MAX(0,MIN('Activities'!L109,108)-MAX('Activities'!K109,102))</x:f>
        <x:v>0</x:v>
      </x:c>
      <x:c r="W109" s="23" t="n">
        <x:f>MAX(0,MIN('Activities'!L109,114)-MAX('Activities'!K109,108))</x:f>
        <x:v>0</x:v>
      </x:c>
      <x:c r="X109" s="23" t="n">
        <x:f>MAX(0,MIN('Activities'!L109,120)-MAX('Activities'!K109,114))</x:f>
        <x:v>0</x:v>
      </x:c>
      <x:c r="Y109" s="23" t="n">
        <x:f>MAX(0,MIN('Activities'!L109,126)-MAX('Activities'!K109,120))</x:f>
        <x:v>0</x:v>
      </x:c>
      <x:c r="Z109" s="23" t="n">
        <x:f>MAX(0,MIN('Activities'!L109,132)-MAX('Activities'!K109,126))</x:f>
        <x:v>0</x:v>
      </x:c>
      <x:c r="AA109" s="23" t="n">
        <x:f>MAX(0,MIN('Activities'!L109,138)-MAX('Activities'!K109,132))</x:f>
        <x:v>0</x:v>
      </x:c>
      <x:c r="AB109" s="23" t="n">
        <x:f>MAX(0,MIN('Activities'!L109,144)-MAX('Activities'!K109,138))</x:f>
        <x:v>0</x:v>
      </x:c>
      <x:c r="AC109" s="23" t="n">
        <x:f>MAX(0,MIN('Activities'!L109,150)-MAX('Activities'!K109,144))</x:f>
        <x:v>0</x:v>
      </x:c>
      <x:c r="AD109" s="23" t="n">
        <x:f>MAX(0,MIN('Activities'!L109,156)-MAX('Activities'!K109,150))</x:f>
        <x:v>0</x:v>
      </x:c>
      <x:c r="AE109" s="23" t="n">
        <x:f>MAX(0,MIN('Activities'!L109,162)-MAX('Activities'!K109,156))</x:f>
        <x:v>0</x:v>
      </x:c>
      <x:c r="AF109" s="23" t="n">
        <x:f>MAX(0,MIN('Activities'!L109,168)-MAX('Activities'!K109,162))</x:f>
        <x:v>0</x:v>
      </x:c>
      <x:c r="AG109" s="23" t="n">
        <x:f>MAX(0,MIN('Activities'!L109,174)-MAX('Activities'!K109,168))</x:f>
        <x:v>0</x:v>
      </x:c>
      <x:c r="AH109" s="23" t="n">
        <x:f>MAX(0,MIN('Activities'!L109,180)-MAX('Activities'!K109,174))</x:f>
        <x:v>0</x:v>
      </x:c>
      <x:c r="AI109" s="23" t="n">
        <x:f>MAX(0,MIN('Activities'!L109,186)-MAX('Activities'!K109,180))</x:f>
        <x:v>0</x:v>
      </x:c>
      <x:c r="AJ109" s="23" t="n">
        <x:f>MAX(0,MIN('Activities'!L109,192)-MAX('Activities'!K109,186))</x:f>
        <x:v>0</x:v>
      </x:c>
      <x:c r="AK109" s="23" t="n">
        <x:f>MAX(0,MIN('Activities'!L109,198)-MAX('Activities'!K109,192))</x:f>
        <x:v>0</x:v>
      </x:c>
      <x:c r="AL109" s="23" t="n">
        <x:f>MAX(0,MIN('Activities'!L109,204)-MAX('Activities'!K109,198))</x:f>
        <x:v>0</x:v>
      </x:c>
      <x:c r="AM109" s="23" t="n">
        <x:f>MAX(0,MIN('Activities'!L109,210)-MAX('Activities'!K109,204))</x:f>
        <x:v>0</x:v>
      </x:c>
      <x:c r="AN109" s="23" t="n">
        <x:f>MAX(0,MIN('Activities'!L109,216)-MAX('Activities'!K109,210))</x:f>
        <x:v>0</x:v>
      </x:c>
      <x:c r="AO109" s="23" t="n">
        <x:f>MAX(0,MIN('Activities'!L109,222)-MAX('Activities'!K109,216))</x:f>
        <x:v>0</x:v>
      </x:c>
      <x:c r="AP109" s="23" t="n">
        <x:f>MAX(0,MIN('Activities'!L109,228)-MAX('Activities'!K109,222))</x:f>
        <x:v>0</x:v>
      </x:c>
      <x:c r="AQ109" s="23" t="n">
        <x:f>MAX(0,MIN('Activities'!L109,234)-MAX('Activities'!K109,228))</x:f>
        <x:v>0</x:v>
      </x:c>
      <x:c r="AR109" s="23" t="n">
        <x:f>MAX(0,MIN('Activities'!L109,240)-MAX('Activities'!K109,234))</x:f>
        <x:v>0</x:v>
      </x:c>
      <x:c r="AS109" s="23" t="n">
        <x:f>MAX(0,MIN('Activities'!L109,246)-MAX('Activities'!K109,240))</x:f>
        <x:v>0</x:v>
      </x:c>
      <x:c r="AT109" s="23" t="n">
        <x:f>MAX(0,MIN('Activities'!L109,252)-MAX('Activities'!K109,246))</x:f>
        <x:v>0</x:v>
      </x:c>
      <x:c r="AU109" s="23" t="n">
        <x:f>MAX(0,MIN('Activities'!L109,258)-MAX('Activities'!K109,252))</x:f>
        <x:v>0</x:v>
      </x:c>
      <x:c r="AV109" s="23" t="n">
        <x:f>MAX(0,MIN('Activities'!L109,264)-MAX('Activities'!K109,258))</x:f>
        <x:v>0</x:v>
      </x:c>
      <x:c r="AW109" s="23" t="n">
        <x:f>MAX(0,MIN('Activities'!L109,270)-MAX('Activities'!K109,264))</x:f>
        <x:v>0</x:v>
      </x:c>
      <x:c r="AX109" s="23" t="n">
        <x:f>MAX(0,MIN('Activities'!L109,276)-MAX('Activities'!K109,270))</x:f>
        <x:v>0</x:v>
      </x:c>
      <x:c r="AY109" s="23" t="n">
        <x:f>MAX(0,MIN('Activities'!L109,282)-MAX('Activities'!K109,276))</x:f>
        <x:v>0</x:v>
      </x:c>
      <x:c r="AZ109" s="23" t="n">
        <x:f>MAX(0,MIN('Activities'!L109,288)-MAX('Activities'!K109,282))</x:f>
        <x:v>0</x:v>
      </x:c>
      <x:c r="BA109" s="23" t="n">
        <x:f>MAX(0,MIN('Activities'!L109,294)-MAX('Activities'!K109,288))</x:f>
        <x:v>0</x:v>
      </x:c>
      <x:c r="BB109" s="23" t="n">
        <x:f>MAX(0,MIN('Activities'!L109,300)-MAX('Activities'!K109,294))</x:f>
        <x:v>0</x:v>
      </x:c>
      <x:c r="BC109" s="23" t="n">
        <x:f>MAX(0,MIN('Activities'!L109,306)-MAX('Activities'!K109,300))</x:f>
        <x:v>0</x:v>
      </x:c>
      <x:c r="BD109" s="23" t="n">
        <x:f>MAX(0,MIN('Activities'!L109,312)-MAX('Activities'!K109,306))</x:f>
        <x:v>0</x:v>
      </x:c>
      <x:c r="BE109" s="23" t="n">
        <x:f>MAX(0,MIN('Activities'!L109,318)-MAX('Activities'!K109,312))</x:f>
        <x:v>0</x:v>
      </x:c>
      <x:c r="BF109" s="23" t="n">
        <x:f>MAX(0,MIN('Activities'!L109,324)-MAX('Activities'!K109,318))</x:f>
        <x:v>0</x:v>
      </x:c>
      <x:c r="BG109" s="23" t="n">
        <x:f>MAX(0,MIN('Activities'!L109,330)-MAX('Activities'!K109,324))</x:f>
        <x:v>0</x:v>
      </x:c>
      <x:c r="BH109" s="23" t="n">
        <x:f>MAX(0,MIN('Activities'!L109,336)-MAX('Activities'!K109,330))</x:f>
        <x:v>1</x:v>
      </x:c>
      <x:c r="BI109" s="23" t="n">
        <x:f>MAX(0,MIN('Activities'!L109,342)-MAX('Activities'!K109,336))</x:f>
        <x:v>2</x:v>
      </x:c>
      <x:c r="BJ109" s="23" t="n">
        <x:f>MAX(0,MIN('Activities'!L109,348)-MAX('Activities'!K109,342))</x:f>
        <x:v>0</x:v>
      </x:c>
      <x:c r="BK109" s="23" t="n">
        <x:f>MAX(0,MIN('Activities'!L109,354)-MAX('Activities'!K109,348))</x:f>
        <x:v>0</x:v>
      </x:c>
      <x:c r="BL109" s="23" t="n">
        <x:f>MAX(0,MIN('Activities'!L109,360)-MAX('Activities'!K109,354))</x:f>
        <x:v>0</x:v>
      </x:c>
      <x:c r="BM109" s="23" t="n">
        <x:f>MAX(0,MIN('Activities'!L109,366)-MAX('Activities'!K109,360))</x:f>
        <x:v>0</x:v>
      </x:c>
      <x:c r="BN109" s="23" t="n">
        <x:f>MAX(0,MIN('Activities'!L109,372)-MAX('Activities'!K109,366))</x:f>
        <x:v>0</x:v>
      </x:c>
      <x:c r="BO109" s="23" t="n">
        <x:f>MAX(0,MIN('Activities'!L109,378)-MAX('Activities'!K109,372))</x:f>
        <x:v>0</x:v>
      </x:c>
      <x:c r="BP109" s="23" t="n">
        <x:f>MAX(0,MIN('Activities'!L109,384)-MAX('Activities'!K109,378))</x:f>
        <x:v>0</x:v>
      </x:c>
      <x:c r="BQ109" s="23" t="n">
        <x:f>MAX(0,MIN('Activities'!L109,390)-MAX('Activities'!K109,384))</x:f>
        <x:v>0</x:v>
      </x:c>
      <x:c r="BR109" s="23" t="n">
        <x:f>MAX(0,MIN('Activities'!L109,396)-MAX('Activities'!K109,390))</x:f>
        <x:v>0</x:v>
      </x:c>
      <x:c r="BS109" s="23" t="n">
        <x:f>MAX(0,MIN('Activities'!L109,402)-MAX('Activities'!K109,396))</x:f>
        <x:v>0</x:v>
      </x:c>
      <x:c r="BT109" s="23" t="n">
        <x:f>MAX(0,MIN('Activities'!L109,408)-MAX('Activities'!K109,402))</x:f>
        <x:v>0</x:v>
      </x:c>
      <x:c r="BU109" s="23" t="n">
        <x:f>MAX(0,MIN('Activities'!L109,414)-MAX('Activities'!K109,408))</x:f>
        <x:v>0</x:v>
      </x:c>
      <x:c r="BV109" s="23" t="n">
        <x:f>MAX(0,MIN('Activities'!L109,420)-MAX('Activities'!K109,414))</x:f>
        <x:v>0</x:v>
      </x:c>
      <x:c r="BW109" s="23" t="n">
        <x:f>MAX(0,MIN('Activities'!L109,426)-MAX('Activities'!K109,420))</x:f>
        <x:v>0</x:v>
      </x:c>
      <x:c r="BX109" s="23" t="n">
        <x:f>MAX(0,MIN('Activities'!L109,432)-MAX('Activities'!K109,426))</x:f>
        <x:v>0</x:v>
      </x:c>
      <x:c r="BY109" s="23" t="n">
        <x:f>MAX(0,MIN('Activities'!L109,438)-MAX('Activities'!K109,432))</x:f>
        <x:v>0</x:v>
      </x:c>
      <x:c r="BZ109" s="23" t="n">
        <x:f>MAX(0,MIN('Activities'!L109,444)-MAX('Activities'!K109,438))</x:f>
        <x:v>0</x:v>
      </x:c>
      <x:c r="CA109" s="23" t="n">
        <x:f>MAX(0,MIN('Activities'!L109,450)-MAX('Activities'!K109,444))</x:f>
        <x:v>0</x:v>
      </x:c>
      <x:c r="CB109" s="23" t="n">
        <x:f>MAX(0,MIN('Activities'!L109,456)-MAX('Activities'!K109,450))</x:f>
        <x:v>0</x:v>
      </x:c>
      <x:c r="CC109" s="23" t="n">
        <x:f>MAX(0,MIN('Activities'!L109,462)-MAX('Activities'!K109,456))</x:f>
        <x:v>0</x:v>
      </x:c>
      <x:c r="CD109" s="23" t="n">
        <x:f>MAX(0,MIN('Activities'!L109,468)-MAX('Activities'!K109,462))</x:f>
        <x:v>0</x:v>
      </x:c>
      <x:c r="CE109" s="23" t="n">
        <x:f>MAX(0,MIN('Activities'!L109,474)-MAX('Activities'!K109,468))</x:f>
        <x:v>0</x:v>
      </x:c>
      <x:c r="CF109" s="23" t="n">
        <x:f>MAX(0,MIN('Activities'!L109,480)-MAX('Activities'!K109,474))</x:f>
        <x:v>0</x:v>
      </x:c>
      <x:c r="CG109" s="23" t="n">
        <x:f>MAX(0,MIN('Activities'!L109,486)-MAX('Activities'!K109,480))</x:f>
        <x:v>0</x:v>
      </x:c>
      <x:c r="CH109" s="23" t="n">
        <x:f>MAX(0,MIN('Activities'!L109,492)-MAX('Activities'!K109,486))</x:f>
        <x:v>0</x:v>
      </x:c>
      <x:c r="CI109" s="23" t="n">
        <x:f>MAX(0,MIN('Activities'!L109,498)-MAX('Activities'!K109,492))</x:f>
        <x:v>0</x:v>
      </x:c>
      <x:c r="CJ109" s="23" t="n">
        <x:f>MAX(0,MIN('Activities'!L109,504)-MAX('Activities'!K109,498))</x:f>
        <x:v>0</x:v>
      </x:c>
      <x:c r="CK109" s="23" t="n">
        <x:f>MAX(0,MIN('Activities'!L109,510)-MAX('Activities'!K109,504))</x:f>
        <x:v>0</x:v>
      </x:c>
      <x:c r="CL109" s="23" t="n">
        <x:f>MAX(0,MIN('Activities'!L109,516)-MAX('Activities'!K109,510))</x:f>
        <x:v>0</x:v>
      </x:c>
      <x:c r="CM109" s="23" t="n">
        <x:f>MAX(0,MIN('Activities'!L109,522)-MAX('Activities'!K109,516))</x:f>
        <x:v>0</x:v>
      </x:c>
      <x:c r="CN109" s="23" t="n">
        <x:f>MAX(0,MIN('Activities'!L109,528)-MAX('Activities'!K109,522))</x:f>
        <x:v>0</x:v>
      </x:c>
      <x:c r="CO109" s="23" t="n">
        <x:f>MAX(0,MIN('Activities'!L109,534)-MAX('Activities'!K109,528))</x:f>
        <x:v>0</x:v>
      </x:c>
      <x:c r="CP109" s="23" t="n">
        <x:f>MAX(0,MIN('Activities'!L109,540)-MAX('Activities'!K109,534))</x:f>
        <x:v>0</x:v>
      </x:c>
      <x:c r="CQ109" s="23" t="n">
        <x:f>MAX(0,MIN('Activities'!L109,546)-MAX('Activities'!K109,540))</x:f>
        <x:v>0</x:v>
      </x:c>
      <x:c r="CR109" s="23" t="n">
        <x:f>MAX(0,MIN('Activities'!L109,552)-MAX('Activities'!K109,546))</x:f>
        <x:v>0</x:v>
      </x:c>
      <x:c r="CS109" s="23" t="n">
        <x:f>MAX(0,MIN('Activities'!L109,558)-MAX('Activities'!K109,552))</x:f>
        <x:v>0</x:v>
      </x:c>
      <x:c r="CT109" s="23" t="n">
        <x:f>MAX(0,MIN('Activities'!L109,564)-MAX('Activities'!K109,558))</x:f>
        <x:v>0</x:v>
      </x:c>
      <x:c r="CU109" s="23" t="n">
        <x:f>MAX(0,MIN('Activities'!L109,570)-MAX('Activities'!K109,564))</x:f>
        <x:v>0</x:v>
      </x:c>
      <x:c r="CV109" s="23" t="n">
        <x:f>MAX(0,MIN('Activities'!L109,576)-MAX('Activities'!K109,570))</x:f>
        <x:v>0</x:v>
      </x:c>
      <x:c r="CW109" s="23" t="n">
        <x:f>MAX(0,MIN('Activities'!L109,582)-MAX('Activities'!K109,576))</x:f>
        <x:v>0</x:v>
      </x:c>
      <x:c r="CX109" s="23" t="n">
        <x:f>MAX(0,MIN('Activities'!L109,588)-MAX('Activities'!K109,582))</x:f>
        <x:v>0</x:v>
      </x:c>
      <x:c r="CY109" s="23" t="n">
        <x:f>MAX(0,MIN('Activities'!L109,594)-MAX('Activities'!K109,588))</x:f>
        <x:v>0</x:v>
      </x:c>
      <x:c r="CZ109" s="23" t="n">
        <x:f>MAX(0,MIN('Activities'!L109,600)-MAX('Activities'!K109,594))</x:f>
        <x:v>0</x:v>
      </x:c>
      <x:c r="DA109" s="23" t="n">
        <x:f>MAX(0,MIN('Activities'!L109,606)-MAX('Activities'!K109,600))</x:f>
        <x:v>0</x:v>
      </x:c>
      <x:c r="DB109" s="23" t="n">
        <x:f>MAX(0,MIN('Activities'!L109,612)-MAX('Activities'!K109,606))</x:f>
        <x:v>0</x:v>
      </x:c>
      <x:c r="DC109" s="23" t="n">
        <x:f>MAX(0,MIN('Activities'!L109,618)-MAX('Activities'!K109,612))</x:f>
        <x:v>0</x:v>
      </x:c>
      <x:c r="DD109" s="23" t="n">
        <x:f>MAX(0,MIN('Activities'!L109,624)-MAX('Activities'!K109,618))</x:f>
        <x:v>0</x:v>
      </x:c>
      <x:c r="DE109" s="23" t="n">
        <x:f>MAX(0,MIN('Activities'!L109,630)-MAX('Activities'!K109,624))</x:f>
        <x:v>0</x:v>
      </x:c>
      <x:c r="DF109" s="23" t="n">
        <x:f>MAX(0,MIN('Activities'!L109,636)-MAX('Activities'!K109,630))</x:f>
        <x:v>0</x:v>
      </x:c>
    </x:row>
    <x:row r="110" ht="23" customHeight="1">
      <x:c r="A110" s="6" t="str">
        <x:v>T1-L06-T</x:v>
      </x:c>
      <x:c r="B110" s="6" t="str">
        <x:v>T1</x:v>
      </x:c>
      <x:c r="C110" s="6" t="str">
        <x:v>Floor finishes and skirtings</x:v>
      </x:c>
      <x:c r="D110" s="6" t="str">
        <x:v>Finishes</x:v>
      </x:c>
      <x:c r="E110" s="22" t="n">
        <x:f>MAX(0,MIN('Activities'!L110,6)-MAX('Activities'!K110,0))</x:f>
        <x:v>0</x:v>
      </x:c>
      <x:c r="F110" s="22" t="n">
        <x:f>MAX(0,MIN('Activities'!L110,12)-MAX('Activities'!K110,6))</x:f>
        <x:v>0</x:v>
      </x:c>
      <x:c r="G110" s="22" t="n">
        <x:f>MAX(0,MIN('Activities'!L110,18)-MAX('Activities'!K110,12))</x:f>
        <x:v>0</x:v>
      </x:c>
      <x:c r="H110" s="22" t="n">
        <x:f>MAX(0,MIN('Activities'!L110,24)-MAX('Activities'!K110,18))</x:f>
        <x:v>0</x:v>
      </x:c>
      <x:c r="I110" s="22" t="n">
        <x:f>MAX(0,MIN('Activities'!L110,30)-MAX('Activities'!K110,24))</x:f>
        <x:v>0</x:v>
      </x:c>
      <x:c r="J110" s="22" t="n">
        <x:f>MAX(0,MIN('Activities'!L110,36)-MAX('Activities'!K110,30))</x:f>
        <x:v>0</x:v>
      </x:c>
      <x:c r="K110" s="22" t="n">
        <x:f>MAX(0,MIN('Activities'!L110,42)-MAX('Activities'!K110,36))</x:f>
        <x:v>0</x:v>
      </x:c>
      <x:c r="L110" s="22" t="n">
        <x:f>MAX(0,MIN('Activities'!L110,48)-MAX('Activities'!K110,42))</x:f>
        <x:v>0</x:v>
      </x:c>
      <x:c r="M110" s="22" t="n">
        <x:f>MAX(0,MIN('Activities'!L110,54)-MAX('Activities'!K110,48))</x:f>
        <x:v>0</x:v>
      </x:c>
      <x:c r="N110" s="22" t="n">
        <x:f>MAX(0,MIN('Activities'!L110,60)-MAX('Activities'!K110,54))</x:f>
        <x:v>0</x:v>
      </x:c>
      <x:c r="O110" s="22" t="n">
        <x:f>MAX(0,MIN('Activities'!L110,66)-MAX('Activities'!K110,60))</x:f>
        <x:v>0</x:v>
      </x:c>
      <x:c r="P110" s="22" t="n">
        <x:f>MAX(0,MIN('Activities'!L110,72)-MAX('Activities'!K110,66))</x:f>
        <x:v>0</x:v>
      </x:c>
      <x:c r="Q110" s="22" t="n">
        <x:f>MAX(0,MIN('Activities'!L110,78)-MAX('Activities'!K110,72))</x:f>
        <x:v>0</x:v>
      </x:c>
      <x:c r="R110" s="22" t="n">
        <x:f>MAX(0,MIN('Activities'!L110,84)-MAX('Activities'!K110,78))</x:f>
        <x:v>0</x:v>
      </x:c>
      <x:c r="S110" s="22" t="n">
        <x:f>MAX(0,MIN('Activities'!L110,90)-MAX('Activities'!K110,84))</x:f>
        <x:v>0</x:v>
      </x:c>
      <x:c r="T110" s="22" t="n">
        <x:f>MAX(0,MIN('Activities'!L110,96)-MAX('Activities'!K110,90))</x:f>
        <x:v>0</x:v>
      </x:c>
      <x:c r="U110" s="22" t="n">
        <x:f>MAX(0,MIN('Activities'!L110,102)-MAX('Activities'!K110,96))</x:f>
        <x:v>0</x:v>
      </x:c>
      <x:c r="V110" s="22" t="n">
        <x:f>MAX(0,MIN('Activities'!L110,108)-MAX('Activities'!K110,102))</x:f>
        <x:v>0</x:v>
      </x:c>
      <x:c r="W110" s="22" t="n">
        <x:f>MAX(0,MIN('Activities'!L110,114)-MAX('Activities'!K110,108))</x:f>
        <x:v>0</x:v>
      </x:c>
      <x:c r="X110" s="22" t="n">
        <x:f>MAX(0,MIN('Activities'!L110,120)-MAX('Activities'!K110,114))</x:f>
        <x:v>0</x:v>
      </x:c>
      <x:c r="Y110" s="22" t="n">
        <x:f>MAX(0,MIN('Activities'!L110,126)-MAX('Activities'!K110,120))</x:f>
        <x:v>0</x:v>
      </x:c>
      <x:c r="Z110" s="22" t="n">
        <x:f>MAX(0,MIN('Activities'!L110,132)-MAX('Activities'!K110,126))</x:f>
        <x:v>0</x:v>
      </x:c>
      <x:c r="AA110" s="22" t="n">
        <x:f>MAX(0,MIN('Activities'!L110,138)-MAX('Activities'!K110,132))</x:f>
        <x:v>0</x:v>
      </x:c>
      <x:c r="AB110" s="22" t="n">
        <x:f>MAX(0,MIN('Activities'!L110,144)-MAX('Activities'!K110,138))</x:f>
        <x:v>0</x:v>
      </x:c>
      <x:c r="AC110" s="22" t="n">
        <x:f>MAX(0,MIN('Activities'!L110,150)-MAX('Activities'!K110,144))</x:f>
        <x:v>0</x:v>
      </x:c>
      <x:c r="AD110" s="22" t="n">
        <x:f>MAX(0,MIN('Activities'!L110,156)-MAX('Activities'!K110,150))</x:f>
        <x:v>0</x:v>
      </x:c>
      <x:c r="AE110" s="22" t="n">
        <x:f>MAX(0,MIN('Activities'!L110,162)-MAX('Activities'!K110,156))</x:f>
        <x:v>0</x:v>
      </x:c>
      <x:c r="AF110" s="22" t="n">
        <x:f>MAX(0,MIN('Activities'!L110,168)-MAX('Activities'!K110,162))</x:f>
        <x:v>0</x:v>
      </x:c>
      <x:c r="AG110" s="22" t="n">
        <x:f>MAX(0,MIN('Activities'!L110,174)-MAX('Activities'!K110,168))</x:f>
        <x:v>0</x:v>
      </x:c>
      <x:c r="AH110" s="22" t="n">
        <x:f>MAX(0,MIN('Activities'!L110,180)-MAX('Activities'!K110,174))</x:f>
        <x:v>0</x:v>
      </x:c>
      <x:c r="AI110" s="22" t="n">
        <x:f>MAX(0,MIN('Activities'!L110,186)-MAX('Activities'!K110,180))</x:f>
        <x:v>0</x:v>
      </x:c>
      <x:c r="AJ110" s="22" t="n">
        <x:f>MAX(0,MIN('Activities'!L110,192)-MAX('Activities'!K110,186))</x:f>
        <x:v>0</x:v>
      </x:c>
      <x:c r="AK110" s="22" t="n">
        <x:f>MAX(0,MIN('Activities'!L110,198)-MAX('Activities'!K110,192))</x:f>
        <x:v>0</x:v>
      </x:c>
      <x:c r="AL110" s="22" t="n">
        <x:f>MAX(0,MIN('Activities'!L110,204)-MAX('Activities'!K110,198))</x:f>
        <x:v>0</x:v>
      </x:c>
      <x:c r="AM110" s="22" t="n">
        <x:f>MAX(0,MIN('Activities'!L110,210)-MAX('Activities'!K110,204))</x:f>
        <x:v>0</x:v>
      </x:c>
      <x:c r="AN110" s="22" t="n">
        <x:f>MAX(0,MIN('Activities'!L110,216)-MAX('Activities'!K110,210))</x:f>
        <x:v>0</x:v>
      </x:c>
      <x:c r="AO110" s="22" t="n">
        <x:f>MAX(0,MIN('Activities'!L110,222)-MAX('Activities'!K110,216))</x:f>
        <x:v>0</x:v>
      </x:c>
      <x:c r="AP110" s="22" t="n">
        <x:f>MAX(0,MIN('Activities'!L110,228)-MAX('Activities'!K110,222))</x:f>
        <x:v>0</x:v>
      </x:c>
      <x:c r="AQ110" s="22" t="n">
        <x:f>MAX(0,MIN('Activities'!L110,234)-MAX('Activities'!K110,228))</x:f>
        <x:v>0</x:v>
      </x:c>
      <x:c r="AR110" s="22" t="n">
        <x:f>MAX(0,MIN('Activities'!L110,240)-MAX('Activities'!K110,234))</x:f>
        <x:v>0</x:v>
      </x:c>
      <x:c r="AS110" s="22" t="n">
        <x:f>MAX(0,MIN('Activities'!L110,246)-MAX('Activities'!K110,240))</x:f>
        <x:v>0</x:v>
      </x:c>
      <x:c r="AT110" s="22" t="n">
        <x:f>MAX(0,MIN('Activities'!L110,252)-MAX('Activities'!K110,246))</x:f>
        <x:v>0</x:v>
      </x:c>
      <x:c r="AU110" s="22" t="n">
        <x:f>MAX(0,MIN('Activities'!L110,258)-MAX('Activities'!K110,252))</x:f>
        <x:v>0</x:v>
      </x:c>
      <x:c r="AV110" s="22" t="n">
        <x:f>MAX(0,MIN('Activities'!L110,264)-MAX('Activities'!K110,258))</x:f>
        <x:v>0</x:v>
      </x:c>
      <x:c r="AW110" s="22" t="n">
        <x:f>MAX(0,MIN('Activities'!L110,270)-MAX('Activities'!K110,264))</x:f>
        <x:v>0</x:v>
      </x:c>
      <x:c r="AX110" s="22" t="n">
        <x:f>MAX(0,MIN('Activities'!L110,276)-MAX('Activities'!K110,270))</x:f>
        <x:v>0</x:v>
      </x:c>
      <x:c r="AY110" s="22" t="n">
        <x:f>MAX(0,MIN('Activities'!L110,282)-MAX('Activities'!K110,276))</x:f>
        <x:v>0</x:v>
      </x:c>
      <x:c r="AZ110" s="22" t="n">
        <x:f>MAX(0,MIN('Activities'!L110,288)-MAX('Activities'!K110,282))</x:f>
        <x:v>0</x:v>
      </x:c>
      <x:c r="BA110" s="22" t="n">
        <x:f>MAX(0,MIN('Activities'!L110,294)-MAX('Activities'!K110,288))</x:f>
        <x:v>0</x:v>
      </x:c>
      <x:c r="BB110" s="22" t="n">
        <x:f>MAX(0,MIN('Activities'!L110,300)-MAX('Activities'!K110,294))</x:f>
        <x:v>0</x:v>
      </x:c>
      <x:c r="BC110" s="22" t="n">
        <x:f>MAX(0,MIN('Activities'!L110,306)-MAX('Activities'!K110,300))</x:f>
        <x:v>0</x:v>
      </x:c>
      <x:c r="BD110" s="22" t="n">
        <x:f>MAX(0,MIN('Activities'!L110,312)-MAX('Activities'!K110,306))</x:f>
        <x:v>0</x:v>
      </x:c>
      <x:c r="BE110" s="22" t="n">
        <x:f>MAX(0,MIN('Activities'!L110,318)-MAX('Activities'!K110,312))</x:f>
        <x:v>0</x:v>
      </x:c>
      <x:c r="BF110" s="22" t="n">
        <x:f>MAX(0,MIN('Activities'!L110,324)-MAX('Activities'!K110,318))</x:f>
        <x:v>0</x:v>
      </x:c>
      <x:c r="BG110" s="22" t="n">
        <x:f>MAX(0,MIN('Activities'!L110,330)-MAX('Activities'!K110,324))</x:f>
        <x:v>0</x:v>
      </x:c>
      <x:c r="BH110" s="22" t="n">
        <x:f>MAX(0,MIN('Activities'!L110,336)-MAX('Activities'!K110,330))</x:f>
        <x:v>0</x:v>
      </x:c>
      <x:c r="BI110" s="22" t="n">
        <x:f>MAX(0,MIN('Activities'!L110,342)-MAX('Activities'!K110,336))</x:f>
        <x:v>0</x:v>
      </x:c>
      <x:c r="BJ110" s="22" t="n">
        <x:f>MAX(0,MIN('Activities'!L110,348)-MAX('Activities'!K110,342))</x:f>
        <x:v>0</x:v>
      </x:c>
      <x:c r="BK110" s="22" t="n">
        <x:f>MAX(0,MIN('Activities'!L110,354)-MAX('Activities'!K110,348))</x:f>
        <x:v>0</x:v>
      </x:c>
      <x:c r="BL110" s="22" t="n">
        <x:f>MAX(0,MIN('Activities'!L110,360)-MAX('Activities'!K110,354))</x:f>
        <x:v>0</x:v>
      </x:c>
      <x:c r="BM110" s="22" t="n">
        <x:f>MAX(0,MIN('Activities'!L110,366)-MAX('Activities'!K110,360))</x:f>
        <x:v>0</x:v>
      </x:c>
      <x:c r="BN110" s="22" t="n">
        <x:f>MAX(0,MIN('Activities'!L110,372)-MAX('Activities'!K110,366))</x:f>
        <x:v>0</x:v>
      </x:c>
      <x:c r="BO110" s="22" t="n">
        <x:f>MAX(0,MIN('Activities'!L110,378)-MAX('Activities'!K110,372))</x:f>
        <x:v>0</x:v>
      </x:c>
      <x:c r="BP110" s="22" t="n">
        <x:f>MAX(0,MIN('Activities'!L110,384)-MAX('Activities'!K110,378))</x:f>
        <x:v>0</x:v>
      </x:c>
      <x:c r="BQ110" s="22" t="n">
        <x:f>MAX(0,MIN('Activities'!L110,390)-MAX('Activities'!K110,384))</x:f>
        <x:v>0</x:v>
      </x:c>
      <x:c r="BR110" s="22" t="n">
        <x:f>MAX(0,MIN('Activities'!L110,396)-MAX('Activities'!K110,390))</x:f>
        <x:v>0</x:v>
      </x:c>
      <x:c r="BS110" s="22" t="n">
        <x:f>MAX(0,MIN('Activities'!L110,402)-MAX('Activities'!K110,396))</x:f>
        <x:v>1</x:v>
      </x:c>
      <x:c r="BT110" s="22" t="n">
        <x:f>MAX(0,MIN('Activities'!L110,408)-MAX('Activities'!K110,402))</x:f>
        <x:v>5</x:v>
      </x:c>
      <x:c r="BU110" s="22" t="n">
        <x:f>MAX(0,MIN('Activities'!L110,414)-MAX('Activities'!K110,408))</x:f>
        <x:v>0</x:v>
      </x:c>
      <x:c r="BV110" s="22" t="n">
        <x:f>MAX(0,MIN('Activities'!L110,420)-MAX('Activities'!K110,414))</x:f>
        <x:v>0</x:v>
      </x:c>
      <x:c r="BW110" s="22" t="n">
        <x:f>MAX(0,MIN('Activities'!L110,426)-MAX('Activities'!K110,420))</x:f>
        <x:v>0</x:v>
      </x:c>
      <x:c r="BX110" s="22" t="n">
        <x:f>MAX(0,MIN('Activities'!L110,432)-MAX('Activities'!K110,426))</x:f>
        <x:v>0</x:v>
      </x:c>
      <x:c r="BY110" s="22" t="n">
        <x:f>MAX(0,MIN('Activities'!L110,438)-MAX('Activities'!K110,432))</x:f>
        <x:v>0</x:v>
      </x:c>
      <x:c r="BZ110" s="22" t="n">
        <x:f>MAX(0,MIN('Activities'!L110,444)-MAX('Activities'!K110,438))</x:f>
        <x:v>0</x:v>
      </x:c>
      <x:c r="CA110" s="22" t="n">
        <x:f>MAX(0,MIN('Activities'!L110,450)-MAX('Activities'!K110,444))</x:f>
        <x:v>0</x:v>
      </x:c>
      <x:c r="CB110" s="22" t="n">
        <x:f>MAX(0,MIN('Activities'!L110,456)-MAX('Activities'!K110,450))</x:f>
        <x:v>0</x:v>
      </x:c>
      <x:c r="CC110" s="22" t="n">
        <x:f>MAX(0,MIN('Activities'!L110,462)-MAX('Activities'!K110,456))</x:f>
        <x:v>0</x:v>
      </x:c>
      <x:c r="CD110" s="22" t="n">
        <x:f>MAX(0,MIN('Activities'!L110,468)-MAX('Activities'!K110,462))</x:f>
        <x:v>0</x:v>
      </x:c>
      <x:c r="CE110" s="22" t="n">
        <x:f>MAX(0,MIN('Activities'!L110,474)-MAX('Activities'!K110,468))</x:f>
        <x:v>0</x:v>
      </x:c>
      <x:c r="CF110" s="22" t="n">
        <x:f>MAX(0,MIN('Activities'!L110,480)-MAX('Activities'!K110,474))</x:f>
        <x:v>0</x:v>
      </x:c>
      <x:c r="CG110" s="22" t="n">
        <x:f>MAX(0,MIN('Activities'!L110,486)-MAX('Activities'!K110,480))</x:f>
        <x:v>0</x:v>
      </x:c>
      <x:c r="CH110" s="22" t="n">
        <x:f>MAX(0,MIN('Activities'!L110,492)-MAX('Activities'!K110,486))</x:f>
        <x:v>0</x:v>
      </x:c>
      <x:c r="CI110" s="22" t="n">
        <x:f>MAX(0,MIN('Activities'!L110,498)-MAX('Activities'!K110,492))</x:f>
        <x:v>0</x:v>
      </x:c>
      <x:c r="CJ110" s="22" t="n">
        <x:f>MAX(0,MIN('Activities'!L110,504)-MAX('Activities'!K110,498))</x:f>
        <x:v>0</x:v>
      </x:c>
      <x:c r="CK110" s="22" t="n">
        <x:f>MAX(0,MIN('Activities'!L110,510)-MAX('Activities'!K110,504))</x:f>
        <x:v>0</x:v>
      </x:c>
      <x:c r="CL110" s="22" t="n">
        <x:f>MAX(0,MIN('Activities'!L110,516)-MAX('Activities'!K110,510))</x:f>
        <x:v>0</x:v>
      </x:c>
      <x:c r="CM110" s="22" t="n">
        <x:f>MAX(0,MIN('Activities'!L110,522)-MAX('Activities'!K110,516))</x:f>
        <x:v>0</x:v>
      </x:c>
      <x:c r="CN110" s="22" t="n">
        <x:f>MAX(0,MIN('Activities'!L110,528)-MAX('Activities'!K110,522))</x:f>
        <x:v>0</x:v>
      </x:c>
      <x:c r="CO110" s="22" t="n">
        <x:f>MAX(0,MIN('Activities'!L110,534)-MAX('Activities'!K110,528))</x:f>
        <x:v>0</x:v>
      </x:c>
      <x:c r="CP110" s="22" t="n">
        <x:f>MAX(0,MIN('Activities'!L110,540)-MAX('Activities'!K110,534))</x:f>
        <x:v>0</x:v>
      </x:c>
      <x:c r="CQ110" s="22" t="n">
        <x:f>MAX(0,MIN('Activities'!L110,546)-MAX('Activities'!K110,540))</x:f>
        <x:v>0</x:v>
      </x:c>
      <x:c r="CR110" s="22" t="n">
        <x:f>MAX(0,MIN('Activities'!L110,552)-MAX('Activities'!K110,546))</x:f>
        <x:v>0</x:v>
      </x:c>
      <x:c r="CS110" s="22" t="n">
        <x:f>MAX(0,MIN('Activities'!L110,558)-MAX('Activities'!K110,552))</x:f>
        <x:v>0</x:v>
      </x:c>
      <x:c r="CT110" s="22" t="n">
        <x:f>MAX(0,MIN('Activities'!L110,564)-MAX('Activities'!K110,558))</x:f>
        <x:v>0</x:v>
      </x:c>
      <x:c r="CU110" s="22" t="n">
        <x:f>MAX(0,MIN('Activities'!L110,570)-MAX('Activities'!K110,564))</x:f>
        <x:v>0</x:v>
      </x:c>
      <x:c r="CV110" s="22" t="n">
        <x:f>MAX(0,MIN('Activities'!L110,576)-MAX('Activities'!K110,570))</x:f>
        <x:v>0</x:v>
      </x:c>
      <x:c r="CW110" s="22" t="n">
        <x:f>MAX(0,MIN('Activities'!L110,582)-MAX('Activities'!K110,576))</x:f>
        <x:v>0</x:v>
      </x:c>
      <x:c r="CX110" s="22" t="n">
        <x:f>MAX(0,MIN('Activities'!L110,588)-MAX('Activities'!K110,582))</x:f>
        <x:v>0</x:v>
      </x:c>
      <x:c r="CY110" s="22" t="n">
        <x:f>MAX(0,MIN('Activities'!L110,594)-MAX('Activities'!K110,588))</x:f>
        <x:v>0</x:v>
      </x:c>
      <x:c r="CZ110" s="22" t="n">
        <x:f>MAX(0,MIN('Activities'!L110,600)-MAX('Activities'!K110,594))</x:f>
        <x:v>0</x:v>
      </x:c>
      <x:c r="DA110" s="22" t="n">
        <x:f>MAX(0,MIN('Activities'!L110,606)-MAX('Activities'!K110,600))</x:f>
        <x:v>0</x:v>
      </x:c>
      <x:c r="DB110" s="22" t="n">
        <x:f>MAX(0,MIN('Activities'!L110,612)-MAX('Activities'!K110,606))</x:f>
        <x:v>0</x:v>
      </x:c>
      <x:c r="DC110" s="22" t="n">
        <x:f>MAX(0,MIN('Activities'!L110,618)-MAX('Activities'!K110,612))</x:f>
        <x:v>0</x:v>
      </x:c>
      <x:c r="DD110" s="22" t="n">
        <x:f>MAX(0,MIN('Activities'!L110,624)-MAX('Activities'!K110,618))</x:f>
        <x:v>0</x:v>
      </x:c>
      <x:c r="DE110" s="22" t="n">
        <x:f>MAX(0,MIN('Activities'!L110,630)-MAX('Activities'!K110,624))</x:f>
        <x:v>0</x:v>
      </x:c>
      <x:c r="DF110" s="22" t="n">
        <x:f>MAX(0,MIN('Activities'!L110,636)-MAX('Activities'!K110,630))</x:f>
        <x:v>0</x:v>
      </x:c>
    </x:row>
    <x:row r="111" ht="23" customHeight="1">
      <x:c r="A111" s="1" t="str">
        <x:v>T1-L06-A</x:v>
      </x:c>
      <x:c r="B111" s="1" t="str">
        <x:v>T1</x:v>
      </x:c>
      <x:c r="C111" s="1" t="str">
        <x:v>Paint and final decorations</x:v>
      </x:c>
      <x:c r="D111" s="1" t="str">
        <x:v>Finishes</x:v>
      </x:c>
      <x:c r="E111" s="23" t="n">
        <x:f>MAX(0,MIN('Activities'!L111,6)-MAX('Activities'!K111,0))</x:f>
        <x:v>0</x:v>
      </x:c>
      <x:c r="F111" s="23" t="n">
        <x:f>MAX(0,MIN('Activities'!L111,12)-MAX('Activities'!K111,6))</x:f>
        <x:v>0</x:v>
      </x:c>
      <x:c r="G111" s="23" t="n">
        <x:f>MAX(0,MIN('Activities'!L111,18)-MAX('Activities'!K111,12))</x:f>
        <x:v>0</x:v>
      </x:c>
      <x:c r="H111" s="23" t="n">
        <x:f>MAX(0,MIN('Activities'!L111,24)-MAX('Activities'!K111,18))</x:f>
        <x:v>0</x:v>
      </x:c>
      <x:c r="I111" s="23" t="n">
        <x:f>MAX(0,MIN('Activities'!L111,30)-MAX('Activities'!K111,24))</x:f>
        <x:v>0</x:v>
      </x:c>
      <x:c r="J111" s="23" t="n">
        <x:f>MAX(0,MIN('Activities'!L111,36)-MAX('Activities'!K111,30))</x:f>
        <x:v>0</x:v>
      </x:c>
      <x:c r="K111" s="23" t="n">
        <x:f>MAX(0,MIN('Activities'!L111,42)-MAX('Activities'!K111,36))</x:f>
        <x:v>0</x:v>
      </x:c>
      <x:c r="L111" s="23" t="n">
        <x:f>MAX(0,MIN('Activities'!L111,48)-MAX('Activities'!K111,42))</x:f>
        <x:v>0</x:v>
      </x:c>
      <x:c r="M111" s="23" t="n">
        <x:f>MAX(0,MIN('Activities'!L111,54)-MAX('Activities'!K111,48))</x:f>
        <x:v>0</x:v>
      </x:c>
      <x:c r="N111" s="23" t="n">
        <x:f>MAX(0,MIN('Activities'!L111,60)-MAX('Activities'!K111,54))</x:f>
        <x:v>0</x:v>
      </x:c>
      <x:c r="O111" s="23" t="n">
        <x:f>MAX(0,MIN('Activities'!L111,66)-MAX('Activities'!K111,60))</x:f>
        <x:v>0</x:v>
      </x:c>
      <x:c r="P111" s="23" t="n">
        <x:f>MAX(0,MIN('Activities'!L111,72)-MAX('Activities'!K111,66))</x:f>
        <x:v>0</x:v>
      </x:c>
      <x:c r="Q111" s="23" t="n">
        <x:f>MAX(0,MIN('Activities'!L111,78)-MAX('Activities'!K111,72))</x:f>
        <x:v>0</x:v>
      </x:c>
      <x:c r="R111" s="23" t="n">
        <x:f>MAX(0,MIN('Activities'!L111,84)-MAX('Activities'!K111,78))</x:f>
        <x:v>0</x:v>
      </x:c>
      <x:c r="S111" s="23" t="n">
        <x:f>MAX(0,MIN('Activities'!L111,90)-MAX('Activities'!K111,84))</x:f>
        <x:v>0</x:v>
      </x:c>
      <x:c r="T111" s="23" t="n">
        <x:f>MAX(0,MIN('Activities'!L111,96)-MAX('Activities'!K111,90))</x:f>
        <x:v>0</x:v>
      </x:c>
      <x:c r="U111" s="23" t="n">
        <x:f>MAX(0,MIN('Activities'!L111,102)-MAX('Activities'!K111,96))</x:f>
        <x:v>0</x:v>
      </x:c>
      <x:c r="V111" s="23" t="n">
        <x:f>MAX(0,MIN('Activities'!L111,108)-MAX('Activities'!K111,102))</x:f>
        <x:v>0</x:v>
      </x:c>
      <x:c r="W111" s="23" t="n">
        <x:f>MAX(0,MIN('Activities'!L111,114)-MAX('Activities'!K111,108))</x:f>
        <x:v>0</x:v>
      </x:c>
      <x:c r="X111" s="23" t="n">
        <x:f>MAX(0,MIN('Activities'!L111,120)-MAX('Activities'!K111,114))</x:f>
        <x:v>0</x:v>
      </x:c>
      <x:c r="Y111" s="23" t="n">
        <x:f>MAX(0,MIN('Activities'!L111,126)-MAX('Activities'!K111,120))</x:f>
        <x:v>0</x:v>
      </x:c>
      <x:c r="Z111" s="23" t="n">
        <x:f>MAX(0,MIN('Activities'!L111,132)-MAX('Activities'!K111,126))</x:f>
        <x:v>0</x:v>
      </x:c>
      <x:c r="AA111" s="23" t="n">
        <x:f>MAX(0,MIN('Activities'!L111,138)-MAX('Activities'!K111,132))</x:f>
        <x:v>0</x:v>
      </x:c>
      <x:c r="AB111" s="23" t="n">
        <x:f>MAX(0,MIN('Activities'!L111,144)-MAX('Activities'!K111,138))</x:f>
        <x:v>0</x:v>
      </x:c>
      <x:c r="AC111" s="23" t="n">
        <x:f>MAX(0,MIN('Activities'!L111,150)-MAX('Activities'!K111,144))</x:f>
        <x:v>0</x:v>
      </x:c>
      <x:c r="AD111" s="23" t="n">
        <x:f>MAX(0,MIN('Activities'!L111,156)-MAX('Activities'!K111,150))</x:f>
        <x:v>0</x:v>
      </x:c>
      <x:c r="AE111" s="23" t="n">
        <x:f>MAX(0,MIN('Activities'!L111,162)-MAX('Activities'!K111,156))</x:f>
        <x:v>0</x:v>
      </x:c>
      <x:c r="AF111" s="23" t="n">
        <x:f>MAX(0,MIN('Activities'!L111,168)-MAX('Activities'!K111,162))</x:f>
        <x:v>0</x:v>
      </x:c>
      <x:c r="AG111" s="23" t="n">
        <x:f>MAX(0,MIN('Activities'!L111,174)-MAX('Activities'!K111,168))</x:f>
        <x:v>0</x:v>
      </x:c>
      <x:c r="AH111" s="23" t="n">
        <x:f>MAX(0,MIN('Activities'!L111,180)-MAX('Activities'!K111,174))</x:f>
        <x:v>0</x:v>
      </x:c>
      <x:c r="AI111" s="23" t="n">
        <x:f>MAX(0,MIN('Activities'!L111,186)-MAX('Activities'!K111,180))</x:f>
        <x:v>0</x:v>
      </x:c>
      <x:c r="AJ111" s="23" t="n">
        <x:f>MAX(0,MIN('Activities'!L111,192)-MAX('Activities'!K111,186))</x:f>
        <x:v>0</x:v>
      </x:c>
      <x:c r="AK111" s="23" t="n">
        <x:f>MAX(0,MIN('Activities'!L111,198)-MAX('Activities'!K111,192))</x:f>
        <x:v>0</x:v>
      </x:c>
      <x:c r="AL111" s="23" t="n">
        <x:f>MAX(0,MIN('Activities'!L111,204)-MAX('Activities'!K111,198))</x:f>
        <x:v>0</x:v>
      </x:c>
      <x:c r="AM111" s="23" t="n">
        <x:f>MAX(0,MIN('Activities'!L111,210)-MAX('Activities'!K111,204))</x:f>
        <x:v>0</x:v>
      </x:c>
      <x:c r="AN111" s="23" t="n">
        <x:f>MAX(0,MIN('Activities'!L111,216)-MAX('Activities'!K111,210))</x:f>
        <x:v>0</x:v>
      </x:c>
      <x:c r="AO111" s="23" t="n">
        <x:f>MAX(0,MIN('Activities'!L111,222)-MAX('Activities'!K111,216))</x:f>
        <x:v>0</x:v>
      </x:c>
      <x:c r="AP111" s="23" t="n">
        <x:f>MAX(0,MIN('Activities'!L111,228)-MAX('Activities'!K111,222))</x:f>
        <x:v>0</x:v>
      </x:c>
      <x:c r="AQ111" s="23" t="n">
        <x:f>MAX(0,MIN('Activities'!L111,234)-MAX('Activities'!K111,228))</x:f>
        <x:v>0</x:v>
      </x:c>
      <x:c r="AR111" s="23" t="n">
        <x:f>MAX(0,MIN('Activities'!L111,240)-MAX('Activities'!K111,234))</x:f>
        <x:v>0</x:v>
      </x:c>
      <x:c r="AS111" s="23" t="n">
        <x:f>MAX(0,MIN('Activities'!L111,246)-MAX('Activities'!K111,240))</x:f>
        <x:v>0</x:v>
      </x:c>
      <x:c r="AT111" s="23" t="n">
        <x:f>MAX(0,MIN('Activities'!L111,252)-MAX('Activities'!K111,246))</x:f>
        <x:v>0</x:v>
      </x:c>
      <x:c r="AU111" s="23" t="n">
        <x:f>MAX(0,MIN('Activities'!L111,258)-MAX('Activities'!K111,252))</x:f>
        <x:v>0</x:v>
      </x:c>
      <x:c r="AV111" s="23" t="n">
        <x:f>MAX(0,MIN('Activities'!L111,264)-MAX('Activities'!K111,258))</x:f>
        <x:v>0</x:v>
      </x:c>
      <x:c r="AW111" s="23" t="n">
        <x:f>MAX(0,MIN('Activities'!L111,270)-MAX('Activities'!K111,264))</x:f>
        <x:v>0</x:v>
      </x:c>
      <x:c r="AX111" s="23" t="n">
        <x:f>MAX(0,MIN('Activities'!L111,276)-MAX('Activities'!K111,270))</x:f>
        <x:v>0</x:v>
      </x:c>
      <x:c r="AY111" s="23" t="n">
        <x:f>MAX(0,MIN('Activities'!L111,282)-MAX('Activities'!K111,276))</x:f>
        <x:v>0</x:v>
      </x:c>
      <x:c r="AZ111" s="23" t="n">
        <x:f>MAX(0,MIN('Activities'!L111,288)-MAX('Activities'!K111,282))</x:f>
        <x:v>0</x:v>
      </x:c>
      <x:c r="BA111" s="23" t="n">
        <x:f>MAX(0,MIN('Activities'!L111,294)-MAX('Activities'!K111,288))</x:f>
        <x:v>0</x:v>
      </x:c>
      <x:c r="BB111" s="23" t="n">
        <x:f>MAX(0,MIN('Activities'!L111,300)-MAX('Activities'!K111,294))</x:f>
        <x:v>0</x:v>
      </x:c>
      <x:c r="BC111" s="23" t="n">
        <x:f>MAX(0,MIN('Activities'!L111,306)-MAX('Activities'!K111,300))</x:f>
        <x:v>0</x:v>
      </x:c>
      <x:c r="BD111" s="23" t="n">
        <x:f>MAX(0,MIN('Activities'!L111,312)-MAX('Activities'!K111,306))</x:f>
        <x:v>0</x:v>
      </x:c>
      <x:c r="BE111" s="23" t="n">
        <x:f>MAX(0,MIN('Activities'!L111,318)-MAX('Activities'!K111,312))</x:f>
        <x:v>0</x:v>
      </x:c>
      <x:c r="BF111" s="23" t="n">
        <x:f>MAX(0,MIN('Activities'!L111,324)-MAX('Activities'!K111,318))</x:f>
        <x:v>0</x:v>
      </x:c>
      <x:c r="BG111" s="23" t="n">
        <x:f>MAX(0,MIN('Activities'!L111,330)-MAX('Activities'!K111,324))</x:f>
        <x:v>0</x:v>
      </x:c>
      <x:c r="BH111" s="23" t="n">
        <x:f>MAX(0,MIN('Activities'!L111,336)-MAX('Activities'!K111,330))</x:f>
        <x:v>0</x:v>
      </x:c>
      <x:c r="BI111" s="23" t="n">
        <x:f>MAX(0,MIN('Activities'!L111,342)-MAX('Activities'!K111,336))</x:f>
        <x:v>0</x:v>
      </x:c>
      <x:c r="BJ111" s="23" t="n">
        <x:f>MAX(0,MIN('Activities'!L111,348)-MAX('Activities'!K111,342))</x:f>
        <x:v>0</x:v>
      </x:c>
      <x:c r="BK111" s="23" t="n">
        <x:f>MAX(0,MIN('Activities'!L111,354)-MAX('Activities'!K111,348))</x:f>
        <x:v>0</x:v>
      </x:c>
      <x:c r="BL111" s="23" t="n">
        <x:f>MAX(0,MIN('Activities'!L111,360)-MAX('Activities'!K111,354))</x:f>
        <x:v>0</x:v>
      </x:c>
      <x:c r="BM111" s="23" t="n">
        <x:f>MAX(0,MIN('Activities'!L111,366)-MAX('Activities'!K111,360))</x:f>
        <x:v>0</x:v>
      </x:c>
      <x:c r="BN111" s="23" t="n">
        <x:f>MAX(0,MIN('Activities'!L111,372)-MAX('Activities'!K111,366))</x:f>
        <x:v>0</x:v>
      </x:c>
      <x:c r="BO111" s="23" t="n">
        <x:f>MAX(0,MIN('Activities'!L111,378)-MAX('Activities'!K111,372))</x:f>
        <x:v>0</x:v>
      </x:c>
      <x:c r="BP111" s="23" t="n">
        <x:f>MAX(0,MIN('Activities'!L111,384)-MAX('Activities'!K111,378))</x:f>
        <x:v>0</x:v>
      </x:c>
      <x:c r="BQ111" s="23" t="n">
        <x:f>MAX(0,MIN('Activities'!L111,390)-MAX('Activities'!K111,384))</x:f>
        <x:v>0</x:v>
      </x:c>
      <x:c r="BR111" s="23" t="n">
        <x:f>MAX(0,MIN('Activities'!L111,396)-MAX('Activities'!K111,390))</x:f>
        <x:v>0</x:v>
      </x:c>
      <x:c r="BS111" s="23" t="n">
        <x:f>MAX(0,MIN('Activities'!L111,402)-MAX('Activities'!K111,396))</x:f>
        <x:v>0</x:v>
      </x:c>
      <x:c r="BT111" s="23" t="n">
        <x:f>MAX(0,MIN('Activities'!L111,408)-MAX('Activities'!K111,402))</x:f>
        <x:v>0</x:v>
      </x:c>
      <x:c r="BU111" s="23" t="n">
        <x:f>MAX(0,MIN('Activities'!L111,414)-MAX('Activities'!K111,408))</x:f>
        <x:v>5</x:v>
      </x:c>
      <x:c r="BV111" s="23" t="n">
        <x:f>MAX(0,MIN('Activities'!L111,420)-MAX('Activities'!K111,414))</x:f>
        <x:v>0</x:v>
      </x:c>
      <x:c r="BW111" s="23" t="n">
        <x:f>MAX(0,MIN('Activities'!L111,426)-MAX('Activities'!K111,420))</x:f>
        <x:v>0</x:v>
      </x:c>
      <x:c r="BX111" s="23" t="n">
        <x:f>MAX(0,MIN('Activities'!L111,432)-MAX('Activities'!K111,426))</x:f>
        <x:v>0</x:v>
      </x:c>
      <x:c r="BY111" s="23" t="n">
        <x:f>MAX(0,MIN('Activities'!L111,438)-MAX('Activities'!K111,432))</x:f>
        <x:v>0</x:v>
      </x:c>
      <x:c r="BZ111" s="23" t="n">
        <x:f>MAX(0,MIN('Activities'!L111,444)-MAX('Activities'!K111,438))</x:f>
        <x:v>0</x:v>
      </x:c>
      <x:c r="CA111" s="23" t="n">
        <x:f>MAX(0,MIN('Activities'!L111,450)-MAX('Activities'!K111,444))</x:f>
        <x:v>0</x:v>
      </x:c>
      <x:c r="CB111" s="23" t="n">
        <x:f>MAX(0,MIN('Activities'!L111,456)-MAX('Activities'!K111,450))</x:f>
        <x:v>0</x:v>
      </x:c>
      <x:c r="CC111" s="23" t="n">
        <x:f>MAX(0,MIN('Activities'!L111,462)-MAX('Activities'!K111,456))</x:f>
        <x:v>0</x:v>
      </x:c>
      <x:c r="CD111" s="23" t="n">
        <x:f>MAX(0,MIN('Activities'!L111,468)-MAX('Activities'!K111,462))</x:f>
        <x:v>0</x:v>
      </x:c>
      <x:c r="CE111" s="23" t="n">
        <x:f>MAX(0,MIN('Activities'!L111,474)-MAX('Activities'!K111,468))</x:f>
        <x:v>0</x:v>
      </x:c>
      <x:c r="CF111" s="23" t="n">
        <x:f>MAX(0,MIN('Activities'!L111,480)-MAX('Activities'!K111,474))</x:f>
        <x:v>0</x:v>
      </x:c>
      <x:c r="CG111" s="23" t="n">
        <x:f>MAX(0,MIN('Activities'!L111,486)-MAX('Activities'!K111,480))</x:f>
        <x:v>0</x:v>
      </x:c>
      <x:c r="CH111" s="23" t="n">
        <x:f>MAX(0,MIN('Activities'!L111,492)-MAX('Activities'!K111,486))</x:f>
        <x:v>0</x:v>
      </x:c>
      <x:c r="CI111" s="23" t="n">
        <x:f>MAX(0,MIN('Activities'!L111,498)-MAX('Activities'!K111,492))</x:f>
        <x:v>0</x:v>
      </x:c>
      <x:c r="CJ111" s="23" t="n">
        <x:f>MAX(0,MIN('Activities'!L111,504)-MAX('Activities'!K111,498))</x:f>
        <x:v>0</x:v>
      </x:c>
      <x:c r="CK111" s="23" t="n">
        <x:f>MAX(0,MIN('Activities'!L111,510)-MAX('Activities'!K111,504))</x:f>
        <x:v>0</x:v>
      </x:c>
      <x:c r="CL111" s="23" t="n">
        <x:f>MAX(0,MIN('Activities'!L111,516)-MAX('Activities'!K111,510))</x:f>
        <x:v>0</x:v>
      </x:c>
      <x:c r="CM111" s="23" t="n">
        <x:f>MAX(0,MIN('Activities'!L111,522)-MAX('Activities'!K111,516))</x:f>
        <x:v>0</x:v>
      </x:c>
      <x:c r="CN111" s="23" t="n">
        <x:f>MAX(0,MIN('Activities'!L111,528)-MAX('Activities'!K111,522))</x:f>
        <x:v>0</x:v>
      </x:c>
      <x:c r="CO111" s="23" t="n">
        <x:f>MAX(0,MIN('Activities'!L111,534)-MAX('Activities'!K111,528))</x:f>
        <x:v>0</x:v>
      </x:c>
      <x:c r="CP111" s="23" t="n">
        <x:f>MAX(0,MIN('Activities'!L111,540)-MAX('Activities'!K111,534))</x:f>
        <x:v>0</x:v>
      </x:c>
      <x:c r="CQ111" s="23" t="n">
        <x:f>MAX(0,MIN('Activities'!L111,546)-MAX('Activities'!K111,540))</x:f>
        <x:v>0</x:v>
      </x:c>
      <x:c r="CR111" s="23" t="n">
        <x:f>MAX(0,MIN('Activities'!L111,552)-MAX('Activities'!K111,546))</x:f>
        <x:v>0</x:v>
      </x:c>
      <x:c r="CS111" s="23" t="n">
        <x:f>MAX(0,MIN('Activities'!L111,558)-MAX('Activities'!K111,552))</x:f>
        <x:v>0</x:v>
      </x:c>
      <x:c r="CT111" s="23" t="n">
        <x:f>MAX(0,MIN('Activities'!L111,564)-MAX('Activities'!K111,558))</x:f>
        <x:v>0</x:v>
      </x:c>
      <x:c r="CU111" s="23" t="n">
        <x:f>MAX(0,MIN('Activities'!L111,570)-MAX('Activities'!K111,564))</x:f>
        <x:v>0</x:v>
      </x:c>
      <x:c r="CV111" s="23" t="n">
        <x:f>MAX(0,MIN('Activities'!L111,576)-MAX('Activities'!K111,570))</x:f>
        <x:v>0</x:v>
      </x:c>
      <x:c r="CW111" s="23" t="n">
        <x:f>MAX(0,MIN('Activities'!L111,582)-MAX('Activities'!K111,576))</x:f>
        <x:v>0</x:v>
      </x:c>
      <x:c r="CX111" s="23" t="n">
        <x:f>MAX(0,MIN('Activities'!L111,588)-MAX('Activities'!K111,582))</x:f>
        <x:v>0</x:v>
      </x:c>
      <x:c r="CY111" s="23" t="n">
        <x:f>MAX(0,MIN('Activities'!L111,594)-MAX('Activities'!K111,588))</x:f>
        <x:v>0</x:v>
      </x:c>
      <x:c r="CZ111" s="23" t="n">
        <x:f>MAX(0,MIN('Activities'!L111,600)-MAX('Activities'!K111,594))</x:f>
        <x:v>0</x:v>
      </x:c>
      <x:c r="DA111" s="23" t="n">
        <x:f>MAX(0,MIN('Activities'!L111,606)-MAX('Activities'!K111,600))</x:f>
        <x:v>0</x:v>
      </x:c>
      <x:c r="DB111" s="23" t="n">
        <x:f>MAX(0,MIN('Activities'!L111,612)-MAX('Activities'!K111,606))</x:f>
        <x:v>0</x:v>
      </x:c>
      <x:c r="DC111" s="23" t="n">
        <x:f>MAX(0,MIN('Activities'!L111,618)-MAX('Activities'!K111,612))</x:f>
        <x:v>0</x:v>
      </x:c>
      <x:c r="DD111" s="23" t="n">
        <x:f>MAX(0,MIN('Activities'!L111,624)-MAX('Activities'!K111,618))</x:f>
        <x:v>0</x:v>
      </x:c>
      <x:c r="DE111" s="23" t="n">
        <x:f>MAX(0,MIN('Activities'!L111,630)-MAX('Activities'!K111,624))</x:f>
        <x:v>0</x:v>
      </x:c>
      <x:c r="DF111" s="23" t="n">
        <x:f>MAX(0,MIN('Activities'!L111,636)-MAX('Activities'!K111,630))</x:f>
        <x:v>0</x:v>
      </x:c>
    </x:row>
    <x:row r="112" ht="23" customHeight="1">
      <x:c r="A112" s="6" t="str">
        <x:v>T1-L06-D</x:v>
      </x:c>
      <x:c r="B112" s="6" t="str">
        <x:v>T1</x:v>
      </x:c>
      <x:c r="C112" s="6" t="str">
        <x:v>Door sets and ironmongery</x:v>
      </x:c>
      <x:c r="D112" s="6" t="str">
        <x:v>Finishes</x:v>
      </x:c>
      <x:c r="E112" s="22" t="n">
        <x:f>MAX(0,MIN('Activities'!L112,6)-MAX('Activities'!K112,0))</x:f>
        <x:v>0</x:v>
      </x:c>
      <x:c r="F112" s="22" t="n">
        <x:f>MAX(0,MIN('Activities'!L112,12)-MAX('Activities'!K112,6))</x:f>
        <x:v>0</x:v>
      </x:c>
      <x:c r="G112" s="22" t="n">
        <x:f>MAX(0,MIN('Activities'!L112,18)-MAX('Activities'!K112,12))</x:f>
        <x:v>0</x:v>
      </x:c>
      <x:c r="H112" s="22" t="n">
        <x:f>MAX(0,MIN('Activities'!L112,24)-MAX('Activities'!K112,18))</x:f>
        <x:v>0</x:v>
      </x:c>
      <x:c r="I112" s="22" t="n">
        <x:f>MAX(0,MIN('Activities'!L112,30)-MAX('Activities'!K112,24))</x:f>
        <x:v>0</x:v>
      </x:c>
      <x:c r="J112" s="22" t="n">
        <x:f>MAX(0,MIN('Activities'!L112,36)-MAX('Activities'!K112,30))</x:f>
        <x:v>0</x:v>
      </x:c>
      <x:c r="K112" s="22" t="n">
        <x:f>MAX(0,MIN('Activities'!L112,42)-MAX('Activities'!K112,36))</x:f>
        <x:v>0</x:v>
      </x:c>
      <x:c r="L112" s="22" t="n">
        <x:f>MAX(0,MIN('Activities'!L112,48)-MAX('Activities'!K112,42))</x:f>
        <x:v>0</x:v>
      </x:c>
      <x:c r="M112" s="22" t="n">
        <x:f>MAX(0,MIN('Activities'!L112,54)-MAX('Activities'!K112,48))</x:f>
        <x:v>0</x:v>
      </x:c>
      <x:c r="N112" s="22" t="n">
        <x:f>MAX(0,MIN('Activities'!L112,60)-MAX('Activities'!K112,54))</x:f>
        <x:v>0</x:v>
      </x:c>
      <x:c r="O112" s="22" t="n">
        <x:f>MAX(0,MIN('Activities'!L112,66)-MAX('Activities'!K112,60))</x:f>
        <x:v>0</x:v>
      </x:c>
      <x:c r="P112" s="22" t="n">
        <x:f>MAX(0,MIN('Activities'!L112,72)-MAX('Activities'!K112,66))</x:f>
        <x:v>0</x:v>
      </x:c>
      <x:c r="Q112" s="22" t="n">
        <x:f>MAX(0,MIN('Activities'!L112,78)-MAX('Activities'!K112,72))</x:f>
        <x:v>0</x:v>
      </x:c>
      <x:c r="R112" s="22" t="n">
        <x:f>MAX(0,MIN('Activities'!L112,84)-MAX('Activities'!K112,78))</x:f>
        <x:v>0</x:v>
      </x:c>
      <x:c r="S112" s="22" t="n">
        <x:f>MAX(0,MIN('Activities'!L112,90)-MAX('Activities'!K112,84))</x:f>
        <x:v>0</x:v>
      </x:c>
      <x:c r="T112" s="22" t="n">
        <x:f>MAX(0,MIN('Activities'!L112,96)-MAX('Activities'!K112,90))</x:f>
        <x:v>0</x:v>
      </x:c>
      <x:c r="U112" s="22" t="n">
        <x:f>MAX(0,MIN('Activities'!L112,102)-MAX('Activities'!K112,96))</x:f>
        <x:v>0</x:v>
      </x:c>
      <x:c r="V112" s="22" t="n">
        <x:f>MAX(0,MIN('Activities'!L112,108)-MAX('Activities'!K112,102))</x:f>
        <x:v>0</x:v>
      </x:c>
      <x:c r="W112" s="22" t="n">
        <x:f>MAX(0,MIN('Activities'!L112,114)-MAX('Activities'!K112,108))</x:f>
        <x:v>0</x:v>
      </x:c>
      <x:c r="X112" s="22" t="n">
        <x:f>MAX(0,MIN('Activities'!L112,120)-MAX('Activities'!K112,114))</x:f>
        <x:v>0</x:v>
      </x:c>
      <x:c r="Y112" s="22" t="n">
        <x:f>MAX(0,MIN('Activities'!L112,126)-MAX('Activities'!K112,120))</x:f>
        <x:v>0</x:v>
      </x:c>
      <x:c r="Z112" s="22" t="n">
        <x:f>MAX(0,MIN('Activities'!L112,132)-MAX('Activities'!K112,126))</x:f>
        <x:v>0</x:v>
      </x:c>
      <x:c r="AA112" s="22" t="n">
        <x:f>MAX(0,MIN('Activities'!L112,138)-MAX('Activities'!K112,132))</x:f>
        <x:v>0</x:v>
      </x:c>
      <x:c r="AB112" s="22" t="n">
        <x:f>MAX(0,MIN('Activities'!L112,144)-MAX('Activities'!K112,138))</x:f>
        <x:v>0</x:v>
      </x:c>
      <x:c r="AC112" s="22" t="n">
        <x:f>MAX(0,MIN('Activities'!L112,150)-MAX('Activities'!K112,144))</x:f>
        <x:v>0</x:v>
      </x:c>
      <x:c r="AD112" s="22" t="n">
        <x:f>MAX(0,MIN('Activities'!L112,156)-MAX('Activities'!K112,150))</x:f>
        <x:v>0</x:v>
      </x:c>
      <x:c r="AE112" s="22" t="n">
        <x:f>MAX(0,MIN('Activities'!L112,162)-MAX('Activities'!K112,156))</x:f>
        <x:v>0</x:v>
      </x:c>
      <x:c r="AF112" s="22" t="n">
        <x:f>MAX(0,MIN('Activities'!L112,168)-MAX('Activities'!K112,162))</x:f>
        <x:v>0</x:v>
      </x:c>
      <x:c r="AG112" s="22" t="n">
        <x:f>MAX(0,MIN('Activities'!L112,174)-MAX('Activities'!K112,168))</x:f>
        <x:v>0</x:v>
      </x:c>
      <x:c r="AH112" s="22" t="n">
        <x:f>MAX(0,MIN('Activities'!L112,180)-MAX('Activities'!K112,174))</x:f>
        <x:v>0</x:v>
      </x:c>
      <x:c r="AI112" s="22" t="n">
        <x:f>MAX(0,MIN('Activities'!L112,186)-MAX('Activities'!K112,180))</x:f>
        <x:v>0</x:v>
      </x:c>
      <x:c r="AJ112" s="22" t="n">
        <x:f>MAX(0,MIN('Activities'!L112,192)-MAX('Activities'!K112,186))</x:f>
        <x:v>0</x:v>
      </x:c>
      <x:c r="AK112" s="22" t="n">
        <x:f>MAX(0,MIN('Activities'!L112,198)-MAX('Activities'!K112,192))</x:f>
        <x:v>0</x:v>
      </x:c>
      <x:c r="AL112" s="22" t="n">
        <x:f>MAX(0,MIN('Activities'!L112,204)-MAX('Activities'!K112,198))</x:f>
        <x:v>0</x:v>
      </x:c>
      <x:c r="AM112" s="22" t="n">
        <x:f>MAX(0,MIN('Activities'!L112,210)-MAX('Activities'!K112,204))</x:f>
        <x:v>0</x:v>
      </x:c>
      <x:c r="AN112" s="22" t="n">
        <x:f>MAX(0,MIN('Activities'!L112,216)-MAX('Activities'!K112,210))</x:f>
        <x:v>0</x:v>
      </x:c>
      <x:c r="AO112" s="22" t="n">
        <x:f>MAX(0,MIN('Activities'!L112,222)-MAX('Activities'!K112,216))</x:f>
        <x:v>0</x:v>
      </x:c>
      <x:c r="AP112" s="22" t="n">
        <x:f>MAX(0,MIN('Activities'!L112,228)-MAX('Activities'!K112,222))</x:f>
        <x:v>0</x:v>
      </x:c>
      <x:c r="AQ112" s="22" t="n">
        <x:f>MAX(0,MIN('Activities'!L112,234)-MAX('Activities'!K112,228))</x:f>
        <x:v>0</x:v>
      </x:c>
      <x:c r="AR112" s="22" t="n">
        <x:f>MAX(0,MIN('Activities'!L112,240)-MAX('Activities'!K112,234))</x:f>
        <x:v>0</x:v>
      </x:c>
      <x:c r="AS112" s="22" t="n">
        <x:f>MAX(0,MIN('Activities'!L112,246)-MAX('Activities'!K112,240))</x:f>
        <x:v>0</x:v>
      </x:c>
      <x:c r="AT112" s="22" t="n">
        <x:f>MAX(0,MIN('Activities'!L112,252)-MAX('Activities'!K112,246))</x:f>
        <x:v>0</x:v>
      </x:c>
      <x:c r="AU112" s="22" t="n">
        <x:f>MAX(0,MIN('Activities'!L112,258)-MAX('Activities'!K112,252))</x:f>
        <x:v>0</x:v>
      </x:c>
      <x:c r="AV112" s="22" t="n">
        <x:f>MAX(0,MIN('Activities'!L112,264)-MAX('Activities'!K112,258))</x:f>
        <x:v>0</x:v>
      </x:c>
      <x:c r="AW112" s="22" t="n">
        <x:f>MAX(0,MIN('Activities'!L112,270)-MAX('Activities'!K112,264))</x:f>
        <x:v>0</x:v>
      </x:c>
      <x:c r="AX112" s="22" t="n">
        <x:f>MAX(0,MIN('Activities'!L112,276)-MAX('Activities'!K112,270))</x:f>
        <x:v>0</x:v>
      </x:c>
      <x:c r="AY112" s="22" t="n">
        <x:f>MAX(0,MIN('Activities'!L112,282)-MAX('Activities'!K112,276))</x:f>
        <x:v>0</x:v>
      </x:c>
      <x:c r="AZ112" s="22" t="n">
        <x:f>MAX(0,MIN('Activities'!L112,288)-MAX('Activities'!K112,282))</x:f>
        <x:v>0</x:v>
      </x:c>
      <x:c r="BA112" s="22" t="n">
        <x:f>MAX(0,MIN('Activities'!L112,294)-MAX('Activities'!K112,288))</x:f>
        <x:v>0</x:v>
      </x:c>
      <x:c r="BB112" s="22" t="n">
        <x:f>MAX(0,MIN('Activities'!L112,300)-MAX('Activities'!K112,294))</x:f>
        <x:v>0</x:v>
      </x:c>
      <x:c r="BC112" s="22" t="n">
        <x:f>MAX(0,MIN('Activities'!L112,306)-MAX('Activities'!K112,300))</x:f>
        <x:v>0</x:v>
      </x:c>
      <x:c r="BD112" s="22" t="n">
        <x:f>MAX(0,MIN('Activities'!L112,312)-MAX('Activities'!K112,306))</x:f>
        <x:v>0</x:v>
      </x:c>
      <x:c r="BE112" s="22" t="n">
        <x:f>MAX(0,MIN('Activities'!L112,318)-MAX('Activities'!K112,312))</x:f>
        <x:v>0</x:v>
      </x:c>
      <x:c r="BF112" s="22" t="n">
        <x:f>MAX(0,MIN('Activities'!L112,324)-MAX('Activities'!K112,318))</x:f>
        <x:v>0</x:v>
      </x:c>
      <x:c r="BG112" s="22" t="n">
        <x:f>MAX(0,MIN('Activities'!L112,330)-MAX('Activities'!K112,324))</x:f>
        <x:v>0</x:v>
      </x:c>
      <x:c r="BH112" s="22" t="n">
        <x:f>MAX(0,MIN('Activities'!L112,336)-MAX('Activities'!K112,330))</x:f>
        <x:v>0</x:v>
      </x:c>
      <x:c r="BI112" s="22" t="n">
        <x:f>MAX(0,MIN('Activities'!L112,342)-MAX('Activities'!K112,336))</x:f>
        <x:v>0</x:v>
      </x:c>
      <x:c r="BJ112" s="22" t="n">
        <x:f>MAX(0,MIN('Activities'!L112,348)-MAX('Activities'!K112,342))</x:f>
        <x:v>0</x:v>
      </x:c>
      <x:c r="BK112" s="22" t="n">
        <x:f>MAX(0,MIN('Activities'!L112,354)-MAX('Activities'!K112,348))</x:f>
        <x:v>0</x:v>
      </x:c>
      <x:c r="BL112" s="22" t="n">
        <x:f>MAX(0,MIN('Activities'!L112,360)-MAX('Activities'!K112,354))</x:f>
        <x:v>0</x:v>
      </x:c>
      <x:c r="BM112" s="22" t="n">
        <x:f>MAX(0,MIN('Activities'!L112,366)-MAX('Activities'!K112,360))</x:f>
        <x:v>0</x:v>
      </x:c>
      <x:c r="BN112" s="22" t="n">
        <x:f>MAX(0,MIN('Activities'!L112,372)-MAX('Activities'!K112,366))</x:f>
        <x:v>0</x:v>
      </x:c>
      <x:c r="BO112" s="22" t="n">
        <x:f>MAX(0,MIN('Activities'!L112,378)-MAX('Activities'!K112,372))</x:f>
        <x:v>0</x:v>
      </x:c>
      <x:c r="BP112" s="22" t="n">
        <x:f>MAX(0,MIN('Activities'!L112,384)-MAX('Activities'!K112,378))</x:f>
        <x:v>0</x:v>
      </x:c>
      <x:c r="BQ112" s="22" t="n">
        <x:f>MAX(0,MIN('Activities'!L112,390)-MAX('Activities'!K112,384))</x:f>
        <x:v>0</x:v>
      </x:c>
      <x:c r="BR112" s="22" t="n">
        <x:f>MAX(0,MIN('Activities'!L112,396)-MAX('Activities'!K112,390))</x:f>
        <x:v>0</x:v>
      </x:c>
      <x:c r="BS112" s="22" t="n">
        <x:f>MAX(0,MIN('Activities'!L112,402)-MAX('Activities'!K112,396))</x:f>
        <x:v>0</x:v>
      </x:c>
      <x:c r="BT112" s="22" t="n">
        <x:f>MAX(0,MIN('Activities'!L112,408)-MAX('Activities'!K112,402))</x:f>
        <x:v>0</x:v>
      </x:c>
      <x:c r="BU112" s="22" t="n">
        <x:f>MAX(0,MIN('Activities'!L112,414)-MAX('Activities'!K112,408))</x:f>
        <x:v>0</x:v>
      </x:c>
      <x:c r="BV112" s="22" t="n">
        <x:f>MAX(0,MIN('Activities'!L112,420)-MAX('Activities'!K112,414))</x:f>
        <x:v>3</x:v>
      </x:c>
      <x:c r="BW112" s="22" t="n">
        <x:f>MAX(0,MIN('Activities'!L112,426)-MAX('Activities'!K112,420))</x:f>
        <x:v>0</x:v>
      </x:c>
      <x:c r="BX112" s="22" t="n">
        <x:f>MAX(0,MIN('Activities'!L112,432)-MAX('Activities'!K112,426))</x:f>
        <x:v>0</x:v>
      </x:c>
      <x:c r="BY112" s="22" t="n">
        <x:f>MAX(0,MIN('Activities'!L112,438)-MAX('Activities'!K112,432))</x:f>
        <x:v>0</x:v>
      </x:c>
      <x:c r="BZ112" s="22" t="n">
        <x:f>MAX(0,MIN('Activities'!L112,444)-MAX('Activities'!K112,438))</x:f>
        <x:v>0</x:v>
      </x:c>
      <x:c r="CA112" s="22" t="n">
        <x:f>MAX(0,MIN('Activities'!L112,450)-MAX('Activities'!K112,444))</x:f>
        <x:v>0</x:v>
      </x:c>
      <x:c r="CB112" s="22" t="n">
        <x:f>MAX(0,MIN('Activities'!L112,456)-MAX('Activities'!K112,450))</x:f>
        <x:v>0</x:v>
      </x:c>
      <x:c r="CC112" s="22" t="n">
        <x:f>MAX(0,MIN('Activities'!L112,462)-MAX('Activities'!K112,456))</x:f>
        <x:v>0</x:v>
      </x:c>
      <x:c r="CD112" s="22" t="n">
        <x:f>MAX(0,MIN('Activities'!L112,468)-MAX('Activities'!K112,462))</x:f>
        <x:v>0</x:v>
      </x:c>
      <x:c r="CE112" s="22" t="n">
        <x:f>MAX(0,MIN('Activities'!L112,474)-MAX('Activities'!K112,468))</x:f>
        <x:v>0</x:v>
      </x:c>
      <x:c r="CF112" s="22" t="n">
        <x:f>MAX(0,MIN('Activities'!L112,480)-MAX('Activities'!K112,474))</x:f>
        <x:v>0</x:v>
      </x:c>
      <x:c r="CG112" s="22" t="n">
        <x:f>MAX(0,MIN('Activities'!L112,486)-MAX('Activities'!K112,480))</x:f>
        <x:v>0</x:v>
      </x:c>
      <x:c r="CH112" s="22" t="n">
        <x:f>MAX(0,MIN('Activities'!L112,492)-MAX('Activities'!K112,486))</x:f>
        <x:v>0</x:v>
      </x:c>
      <x:c r="CI112" s="22" t="n">
        <x:f>MAX(0,MIN('Activities'!L112,498)-MAX('Activities'!K112,492))</x:f>
        <x:v>0</x:v>
      </x:c>
      <x:c r="CJ112" s="22" t="n">
        <x:f>MAX(0,MIN('Activities'!L112,504)-MAX('Activities'!K112,498))</x:f>
        <x:v>0</x:v>
      </x:c>
      <x:c r="CK112" s="22" t="n">
        <x:f>MAX(0,MIN('Activities'!L112,510)-MAX('Activities'!K112,504))</x:f>
        <x:v>0</x:v>
      </x:c>
      <x:c r="CL112" s="22" t="n">
        <x:f>MAX(0,MIN('Activities'!L112,516)-MAX('Activities'!K112,510))</x:f>
        <x:v>0</x:v>
      </x:c>
      <x:c r="CM112" s="22" t="n">
        <x:f>MAX(0,MIN('Activities'!L112,522)-MAX('Activities'!K112,516))</x:f>
        <x:v>0</x:v>
      </x:c>
      <x:c r="CN112" s="22" t="n">
        <x:f>MAX(0,MIN('Activities'!L112,528)-MAX('Activities'!K112,522))</x:f>
        <x:v>0</x:v>
      </x:c>
      <x:c r="CO112" s="22" t="n">
        <x:f>MAX(0,MIN('Activities'!L112,534)-MAX('Activities'!K112,528))</x:f>
        <x:v>0</x:v>
      </x:c>
      <x:c r="CP112" s="22" t="n">
        <x:f>MAX(0,MIN('Activities'!L112,540)-MAX('Activities'!K112,534))</x:f>
        <x:v>0</x:v>
      </x:c>
      <x:c r="CQ112" s="22" t="n">
        <x:f>MAX(0,MIN('Activities'!L112,546)-MAX('Activities'!K112,540))</x:f>
        <x:v>0</x:v>
      </x:c>
      <x:c r="CR112" s="22" t="n">
        <x:f>MAX(0,MIN('Activities'!L112,552)-MAX('Activities'!K112,546))</x:f>
        <x:v>0</x:v>
      </x:c>
      <x:c r="CS112" s="22" t="n">
        <x:f>MAX(0,MIN('Activities'!L112,558)-MAX('Activities'!K112,552))</x:f>
        <x:v>0</x:v>
      </x:c>
      <x:c r="CT112" s="22" t="n">
        <x:f>MAX(0,MIN('Activities'!L112,564)-MAX('Activities'!K112,558))</x:f>
        <x:v>0</x:v>
      </x:c>
      <x:c r="CU112" s="22" t="n">
        <x:f>MAX(0,MIN('Activities'!L112,570)-MAX('Activities'!K112,564))</x:f>
        <x:v>0</x:v>
      </x:c>
      <x:c r="CV112" s="22" t="n">
        <x:f>MAX(0,MIN('Activities'!L112,576)-MAX('Activities'!K112,570))</x:f>
        <x:v>0</x:v>
      </x:c>
      <x:c r="CW112" s="22" t="n">
        <x:f>MAX(0,MIN('Activities'!L112,582)-MAX('Activities'!K112,576))</x:f>
        <x:v>0</x:v>
      </x:c>
      <x:c r="CX112" s="22" t="n">
        <x:f>MAX(0,MIN('Activities'!L112,588)-MAX('Activities'!K112,582))</x:f>
        <x:v>0</x:v>
      </x:c>
      <x:c r="CY112" s="22" t="n">
        <x:f>MAX(0,MIN('Activities'!L112,594)-MAX('Activities'!K112,588))</x:f>
        <x:v>0</x:v>
      </x:c>
      <x:c r="CZ112" s="22" t="n">
        <x:f>MAX(0,MIN('Activities'!L112,600)-MAX('Activities'!K112,594))</x:f>
        <x:v>0</x:v>
      </x:c>
      <x:c r="DA112" s="22" t="n">
        <x:f>MAX(0,MIN('Activities'!L112,606)-MAX('Activities'!K112,600))</x:f>
        <x:v>0</x:v>
      </x:c>
      <x:c r="DB112" s="22" t="n">
        <x:f>MAX(0,MIN('Activities'!L112,612)-MAX('Activities'!K112,606))</x:f>
        <x:v>0</x:v>
      </x:c>
      <x:c r="DC112" s="22" t="n">
        <x:f>MAX(0,MIN('Activities'!L112,618)-MAX('Activities'!K112,612))</x:f>
        <x:v>0</x:v>
      </x:c>
      <x:c r="DD112" s="22" t="n">
        <x:f>MAX(0,MIN('Activities'!L112,624)-MAX('Activities'!K112,618))</x:f>
        <x:v>0</x:v>
      </x:c>
      <x:c r="DE112" s="22" t="n">
        <x:f>MAX(0,MIN('Activities'!L112,630)-MAX('Activities'!K112,624))</x:f>
        <x:v>0</x:v>
      </x:c>
      <x:c r="DF112" s="22" t="n">
        <x:f>MAX(0,MIN('Activities'!L112,636)-MAX('Activities'!K112,630))</x:f>
        <x:v>0</x:v>
      </x:c>
    </x:row>
    <x:row r="113" ht="23" customHeight="1">
      <x:c r="A113" s="1" t="str">
        <x:v>T1-L07-M</x:v>
      </x:c>
      <x:c r="B113" s="1" t="str">
        <x:v>T1</x:v>
      </x:c>
      <x:c r="C113" s="1" t="str">
        <x:v>Partition masonry</x:v>
      </x:c>
      <x:c r="D113" s="1" t="str">
        <x:v>Masonry</x:v>
      </x:c>
      <x:c r="E113" s="23" t="n">
        <x:f>MAX(0,MIN('Activities'!L113,6)-MAX('Activities'!K113,0))</x:f>
        <x:v>0</x:v>
      </x:c>
      <x:c r="F113" s="23" t="n">
        <x:f>MAX(0,MIN('Activities'!L113,12)-MAX('Activities'!K113,6))</x:f>
        <x:v>0</x:v>
      </x:c>
      <x:c r="G113" s="23" t="n">
        <x:f>MAX(0,MIN('Activities'!L113,18)-MAX('Activities'!K113,12))</x:f>
        <x:v>0</x:v>
      </x:c>
      <x:c r="H113" s="23" t="n">
        <x:f>MAX(0,MIN('Activities'!L113,24)-MAX('Activities'!K113,18))</x:f>
        <x:v>0</x:v>
      </x:c>
      <x:c r="I113" s="23" t="n">
        <x:f>MAX(0,MIN('Activities'!L113,30)-MAX('Activities'!K113,24))</x:f>
        <x:v>0</x:v>
      </x:c>
      <x:c r="J113" s="23" t="n">
        <x:f>MAX(0,MIN('Activities'!L113,36)-MAX('Activities'!K113,30))</x:f>
        <x:v>0</x:v>
      </x:c>
      <x:c r="K113" s="23" t="n">
        <x:f>MAX(0,MIN('Activities'!L113,42)-MAX('Activities'!K113,36))</x:f>
        <x:v>0</x:v>
      </x:c>
      <x:c r="L113" s="23" t="n">
        <x:f>MAX(0,MIN('Activities'!L113,48)-MAX('Activities'!K113,42))</x:f>
        <x:v>0</x:v>
      </x:c>
      <x:c r="M113" s="23" t="n">
        <x:f>MAX(0,MIN('Activities'!L113,54)-MAX('Activities'!K113,48))</x:f>
        <x:v>0</x:v>
      </x:c>
      <x:c r="N113" s="23" t="n">
        <x:f>MAX(0,MIN('Activities'!L113,60)-MAX('Activities'!K113,54))</x:f>
        <x:v>0</x:v>
      </x:c>
      <x:c r="O113" s="23" t="n">
        <x:f>MAX(0,MIN('Activities'!L113,66)-MAX('Activities'!K113,60))</x:f>
        <x:v>0</x:v>
      </x:c>
      <x:c r="P113" s="23" t="n">
        <x:f>MAX(0,MIN('Activities'!L113,72)-MAX('Activities'!K113,66))</x:f>
        <x:v>0</x:v>
      </x:c>
      <x:c r="Q113" s="23" t="n">
        <x:f>MAX(0,MIN('Activities'!L113,78)-MAX('Activities'!K113,72))</x:f>
        <x:v>0</x:v>
      </x:c>
      <x:c r="R113" s="23" t="n">
        <x:f>MAX(0,MIN('Activities'!L113,84)-MAX('Activities'!K113,78))</x:f>
        <x:v>0</x:v>
      </x:c>
      <x:c r="S113" s="23" t="n">
        <x:f>MAX(0,MIN('Activities'!L113,90)-MAX('Activities'!K113,84))</x:f>
        <x:v>0</x:v>
      </x:c>
      <x:c r="T113" s="23" t="n">
        <x:f>MAX(0,MIN('Activities'!L113,96)-MAX('Activities'!K113,90))</x:f>
        <x:v>0</x:v>
      </x:c>
      <x:c r="U113" s="23" t="n">
        <x:f>MAX(0,MIN('Activities'!L113,102)-MAX('Activities'!K113,96))</x:f>
        <x:v>0</x:v>
      </x:c>
      <x:c r="V113" s="23" t="n">
        <x:f>MAX(0,MIN('Activities'!L113,108)-MAX('Activities'!K113,102))</x:f>
        <x:v>0</x:v>
      </x:c>
      <x:c r="W113" s="23" t="n">
        <x:f>MAX(0,MIN('Activities'!L113,114)-MAX('Activities'!K113,108))</x:f>
        <x:v>0</x:v>
      </x:c>
      <x:c r="X113" s="23" t="n">
        <x:f>MAX(0,MIN('Activities'!L113,120)-MAX('Activities'!K113,114))</x:f>
        <x:v>0</x:v>
      </x:c>
      <x:c r="Y113" s="23" t="n">
        <x:f>MAX(0,MIN('Activities'!L113,126)-MAX('Activities'!K113,120))</x:f>
        <x:v>0</x:v>
      </x:c>
      <x:c r="Z113" s="23" t="n">
        <x:f>MAX(0,MIN('Activities'!L113,132)-MAX('Activities'!K113,126))</x:f>
        <x:v>0</x:v>
      </x:c>
      <x:c r="AA113" s="23" t="n">
        <x:f>MAX(0,MIN('Activities'!L113,138)-MAX('Activities'!K113,132))</x:f>
        <x:v>0</x:v>
      </x:c>
      <x:c r="AB113" s="23" t="n">
        <x:f>MAX(0,MIN('Activities'!L113,144)-MAX('Activities'!K113,138))</x:f>
        <x:v>0</x:v>
      </x:c>
      <x:c r="AC113" s="23" t="n">
        <x:f>MAX(0,MIN('Activities'!L113,150)-MAX('Activities'!K113,144))</x:f>
        <x:v>0</x:v>
      </x:c>
      <x:c r="AD113" s="23" t="n">
        <x:f>MAX(0,MIN('Activities'!L113,156)-MAX('Activities'!K113,150))</x:f>
        <x:v>0</x:v>
      </x:c>
      <x:c r="AE113" s="23" t="n">
        <x:f>MAX(0,MIN('Activities'!L113,162)-MAX('Activities'!K113,156))</x:f>
        <x:v>0</x:v>
      </x:c>
      <x:c r="AF113" s="23" t="n">
        <x:f>MAX(0,MIN('Activities'!L113,168)-MAX('Activities'!K113,162))</x:f>
        <x:v>0</x:v>
      </x:c>
      <x:c r="AG113" s="23" t="n">
        <x:f>MAX(0,MIN('Activities'!L113,174)-MAX('Activities'!K113,168))</x:f>
        <x:v>0</x:v>
      </x:c>
      <x:c r="AH113" s="23" t="n">
        <x:f>MAX(0,MIN('Activities'!L113,180)-MAX('Activities'!K113,174))</x:f>
        <x:v>0</x:v>
      </x:c>
      <x:c r="AI113" s="23" t="n">
        <x:f>MAX(0,MIN('Activities'!L113,186)-MAX('Activities'!K113,180))</x:f>
        <x:v>0</x:v>
      </x:c>
      <x:c r="AJ113" s="23" t="n">
        <x:f>MAX(0,MIN('Activities'!L113,192)-MAX('Activities'!K113,186))</x:f>
        <x:v>0</x:v>
      </x:c>
      <x:c r="AK113" s="23" t="n">
        <x:f>MAX(0,MIN('Activities'!L113,198)-MAX('Activities'!K113,192))</x:f>
        <x:v>0</x:v>
      </x:c>
      <x:c r="AL113" s="23" t="n">
        <x:f>MAX(0,MIN('Activities'!L113,204)-MAX('Activities'!K113,198))</x:f>
        <x:v>0</x:v>
      </x:c>
      <x:c r="AM113" s="23" t="n">
        <x:f>MAX(0,MIN('Activities'!L113,210)-MAX('Activities'!K113,204))</x:f>
        <x:v>0</x:v>
      </x:c>
      <x:c r="AN113" s="23" t="n">
        <x:f>MAX(0,MIN('Activities'!L113,216)-MAX('Activities'!K113,210))</x:f>
        <x:v>0</x:v>
      </x:c>
      <x:c r="AO113" s="23" t="n">
        <x:f>MAX(0,MIN('Activities'!L113,222)-MAX('Activities'!K113,216))</x:f>
        <x:v>0</x:v>
      </x:c>
      <x:c r="AP113" s="23" t="n">
        <x:f>MAX(0,MIN('Activities'!L113,228)-MAX('Activities'!K113,222))</x:f>
        <x:v>0</x:v>
      </x:c>
      <x:c r="AQ113" s="23" t="n">
        <x:f>MAX(0,MIN('Activities'!L113,234)-MAX('Activities'!K113,228))</x:f>
        <x:v>0</x:v>
      </x:c>
      <x:c r="AR113" s="23" t="n">
        <x:f>MAX(0,MIN('Activities'!L113,240)-MAX('Activities'!K113,234))</x:f>
        <x:v>0</x:v>
      </x:c>
      <x:c r="AS113" s="23" t="n">
        <x:f>MAX(0,MIN('Activities'!L113,246)-MAX('Activities'!K113,240))</x:f>
        <x:v>0</x:v>
      </x:c>
      <x:c r="AT113" s="23" t="n">
        <x:f>MAX(0,MIN('Activities'!L113,252)-MAX('Activities'!K113,246))</x:f>
        <x:v>0</x:v>
      </x:c>
      <x:c r="AU113" s="23" t="n">
        <x:f>MAX(0,MIN('Activities'!L113,258)-MAX('Activities'!K113,252))</x:f>
        <x:v>0</x:v>
      </x:c>
      <x:c r="AV113" s="23" t="n">
        <x:f>MAX(0,MIN('Activities'!L113,264)-MAX('Activities'!K113,258))</x:f>
        <x:v>0</x:v>
      </x:c>
      <x:c r="AW113" s="23" t="n">
        <x:f>MAX(0,MIN('Activities'!L113,270)-MAX('Activities'!K113,264))</x:f>
        <x:v>0</x:v>
      </x:c>
      <x:c r="AX113" s="23" t="n">
        <x:f>MAX(0,MIN('Activities'!L113,276)-MAX('Activities'!K113,270))</x:f>
        <x:v>0</x:v>
      </x:c>
      <x:c r="AY113" s="23" t="n">
        <x:f>MAX(0,MIN('Activities'!L113,282)-MAX('Activities'!K113,276))</x:f>
        <x:v>0</x:v>
      </x:c>
      <x:c r="AZ113" s="23" t="n">
        <x:f>MAX(0,MIN('Activities'!L113,288)-MAX('Activities'!K113,282))</x:f>
        <x:v>0</x:v>
      </x:c>
      <x:c r="BA113" s="23" t="n">
        <x:f>MAX(0,MIN('Activities'!L113,294)-MAX('Activities'!K113,288))</x:f>
        <x:v>0</x:v>
      </x:c>
      <x:c r="BB113" s="23" t="n">
        <x:f>MAX(0,MIN('Activities'!L113,300)-MAX('Activities'!K113,294))</x:f>
        <x:v>0</x:v>
      </x:c>
      <x:c r="BC113" s="23" t="n">
        <x:f>MAX(0,MIN('Activities'!L113,306)-MAX('Activities'!K113,300))</x:f>
        <x:v>0</x:v>
      </x:c>
      <x:c r="BD113" s="23" t="n">
        <x:f>MAX(0,MIN('Activities'!L113,312)-MAX('Activities'!K113,306))</x:f>
        <x:v>0</x:v>
      </x:c>
      <x:c r="BE113" s="23" t="n">
        <x:f>MAX(0,MIN('Activities'!L113,318)-MAX('Activities'!K113,312))</x:f>
        <x:v>0</x:v>
      </x:c>
      <x:c r="BF113" s="23" t="n">
        <x:f>MAX(0,MIN('Activities'!L113,324)-MAX('Activities'!K113,318))</x:f>
        <x:v>0</x:v>
      </x:c>
      <x:c r="BG113" s="23" t="n">
        <x:f>MAX(0,MIN('Activities'!L113,330)-MAX('Activities'!K113,324))</x:f>
        <x:v>0</x:v>
      </x:c>
      <x:c r="BH113" s="23" t="n">
        <x:f>MAX(0,MIN('Activities'!L113,336)-MAX('Activities'!K113,330))</x:f>
        <x:v>0</x:v>
      </x:c>
      <x:c r="BI113" s="23" t="n">
        <x:f>MAX(0,MIN('Activities'!L113,342)-MAX('Activities'!K113,336))</x:f>
        <x:v>5</x:v>
      </x:c>
      <x:c r="BJ113" s="23" t="n">
        <x:f>MAX(0,MIN('Activities'!L113,348)-MAX('Activities'!K113,342))</x:f>
        <x:v>0</x:v>
      </x:c>
      <x:c r="BK113" s="23" t="n">
        <x:f>MAX(0,MIN('Activities'!L113,354)-MAX('Activities'!K113,348))</x:f>
        <x:v>0</x:v>
      </x:c>
      <x:c r="BL113" s="23" t="n">
        <x:f>MAX(0,MIN('Activities'!L113,360)-MAX('Activities'!K113,354))</x:f>
        <x:v>0</x:v>
      </x:c>
      <x:c r="BM113" s="23" t="n">
        <x:f>MAX(0,MIN('Activities'!L113,366)-MAX('Activities'!K113,360))</x:f>
        <x:v>0</x:v>
      </x:c>
      <x:c r="BN113" s="23" t="n">
        <x:f>MAX(0,MIN('Activities'!L113,372)-MAX('Activities'!K113,366))</x:f>
        <x:v>0</x:v>
      </x:c>
      <x:c r="BO113" s="23" t="n">
        <x:f>MAX(0,MIN('Activities'!L113,378)-MAX('Activities'!K113,372))</x:f>
        <x:v>0</x:v>
      </x:c>
      <x:c r="BP113" s="23" t="n">
        <x:f>MAX(0,MIN('Activities'!L113,384)-MAX('Activities'!K113,378))</x:f>
        <x:v>0</x:v>
      </x:c>
      <x:c r="BQ113" s="23" t="n">
        <x:f>MAX(0,MIN('Activities'!L113,390)-MAX('Activities'!K113,384))</x:f>
        <x:v>0</x:v>
      </x:c>
      <x:c r="BR113" s="23" t="n">
        <x:f>MAX(0,MIN('Activities'!L113,396)-MAX('Activities'!K113,390))</x:f>
        <x:v>0</x:v>
      </x:c>
      <x:c r="BS113" s="23" t="n">
        <x:f>MAX(0,MIN('Activities'!L113,402)-MAX('Activities'!K113,396))</x:f>
        <x:v>0</x:v>
      </x:c>
      <x:c r="BT113" s="23" t="n">
        <x:f>MAX(0,MIN('Activities'!L113,408)-MAX('Activities'!K113,402))</x:f>
        <x:v>0</x:v>
      </x:c>
      <x:c r="BU113" s="23" t="n">
        <x:f>MAX(0,MIN('Activities'!L113,414)-MAX('Activities'!K113,408))</x:f>
        <x:v>0</x:v>
      </x:c>
      <x:c r="BV113" s="23" t="n">
        <x:f>MAX(0,MIN('Activities'!L113,420)-MAX('Activities'!K113,414))</x:f>
        <x:v>0</x:v>
      </x:c>
      <x:c r="BW113" s="23" t="n">
        <x:f>MAX(0,MIN('Activities'!L113,426)-MAX('Activities'!K113,420))</x:f>
        <x:v>0</x:v>
      </x:c>
      <x:c r="BX113" s="23" t="n">
        <x:f>MAX(0,MIN('Activities'!L113,432)-MAX('Activities'!K113,426))</x:f>
        <x:v>0</x:v>
      </x:c>
      <x:c r="BY113" s="23" t="n">
        <x:f>MAX(0,MIN('Activities'!L113,438)-MAX('Activities'!K113,432))</x:f>
        <x:v>0</x:v>
      </x:c>
      <x:c r="BZ113" s="23" t="n">
        <x:f>MAX(0,MIN('Activities'!L113,444)-MAX('Activities'!K113,438))</x:f>
        <x:v>0</x:v>
      </x:c>
      <x:c r="CA113" s="23" t="n">
        <x:f>MAX(0,MIN('Activities'!L113,450)-MAX('Activities'!K113,444))</x:f>
        <x:v>0</x:v>
      </x:c>
      <x:c r="CB113" s="23" t="n">
        <x:f>MAX(0,MIN('Activities'!L113,456)-MAX('Activities'!K113,450))</x:f>
        <x:v>0</x:v>
      </x:c>
      <x:c r="CC113" s="23" t="n">
        <x:f>MAX(0,MIN('Activities'!L113,462)-MAX('Activities'!K113,456))</x:f>
        <x:v>0</x:v>
      </x:c>
      <x:c r="CD113" s="23" t="n">
        <x:f>MAX(0,MIN('Activities'!L113,468)-MAX('Activities'!K113,462))</x:f>
        <x:v>0</x:v>
      </x:c>
      <x:c r="CE113" s="23" t="n">
        <x:f>MAX(0,MIN('Activities'!L113,474)-MAX('Activities'!K113,468))</x:f>
        <x:v>0</x:v>
      </x:c>
      <x:c r="CF113" s="23" t="n">
        <x:f>MAX(0,MIN('Activities'!L113,480)-MAX('Activities'!K113,474))</x:f>
        <x:v>0</x:v>
      </x:c>
      <x:c r="CG113" s="23" t="n">
        <x:f>MAX(0,MIN('Activities'!L113,486)-MAX('Activities'!K113,480))</x:f>
        <x:v>0</x:v>
      </x:c>
      <x:c r="CH113" s="23" t="n">
        <x:f>MAX(0,MIN('Activities'!L113,492)-MAX('Activities'!K113,486))</x:f>
        <x:v>0</x:v>
      </x:c>
      <x:c r="CI113" s="23" t="n">
        <x:f>MAX(0,MIN('Activities'!L113,498)-MAX('Activities'!K113,492))</x:f>
        <x:v>0</x:v>
      </x:c>
      <x:c r="CJ113" s="23" t="n">
        <x:f>MAX(0,MIN('Activities'!L113,504)-MAX('Activities'!K113,498))</x:f>
        <x:v>0</x:v>
      </x:c>
      <x:c r="CK113" s="23" t="n">
        <x:f>MAX(0,MIN('Activities'!L113,510)-MAX('Activities'!K113,504))</x:f>
        <x:v>0</x:v>
      </x:c>
      <x:c r="CL113" s="23" t="n">
        <x:f>MAX(0,MIN('Activities'!L113,516)-MAX('Activities'!K113,510))</x:f>
        <x:v>0</x:v>
      </x:c>
      <x:c r="CM113" s="23" t="n">
        <x:f>MAX(0,MIN('Activities'!L113,522)-MAX('Activities'!K113,516))</x:f>
        <x:v>0</x:v>
      </x:c>
      <x:c r="CN113" s="23" t="n">
        <x:f>MAX(0,MIN('Activities'!L113,528)-MAX('Activities'!K113,522))</x:f>
        <x:v>0</x:v>
      </x:c>
      <x:c r="CO113" s="23" t="n">
        <x:f>MAX(0,MIN('Activities'!L113,534)-MAX('Activities'!K113,528))</x:f>
        <x:v>0</x:v>
      </x:c>
      <x:c r="CP113" s="23" t="n">
        <x:f>MAX(0,MIN('Activities'!L113,540)-MAX('Activities'!K113,534))</x:f>
        <x:v>0</x:v>
      </x:c>
      <x:c r="CQ113" s="23" t="n">
        <x:f>MAX(0,MIN('Activities'!L113,546)-MAX('Activities'!K113,540))</x:f>
        <x:v>0</x:v>
      </x:c>
      <x:c r="CR113" s="23" t="n">
        <x:f>MAX(0,MIN('Activities'!L113,552)-MAX('Activities'!K113,546))</x:f>
        <x:v>0</x:v>
      </x:c>
      <x:c r="CS113" s="23" t="n">
        <x:f>MAX(0,MIN('Activities'!L113,558)-MAX('Activities'!K113,552))</x:f>
        <x:v>0</x:v>
      </x:c>
      <x:c r="CT113" s="23" t="n">
        <x:f>MAX(0,MIN('Activities'!L113,564)-MAX('Activities'!K113,558))</x:f>
        <x:v>0</x:v>
      </x:c>
      <x:c r="CU113" s="23" t="n">
        <x:f>MAX(0,MIN('Activities'!L113,570)-MAX('Activities'!K113,564))</x:f>
        <x:v>0</x:v>
      </x:c>
      <x:c r="CV113" s="23" t="n">
        <x:f>MAX(0,MIN('Activities'!L113,576)-MAX('Activities'!K113,570))</x:f>
        <x:v>0</x:v>
      </x:c>
      <x:c r="CW113" s="23" t="n">
        <x:f>MAX(0,MIN('Activities'!L113,582)-MAX('Activities'!K113,576))</x:f>
        <x:v>0</x:v>
      </x:c>
      <x:c r="CX113" s="23" t="n">
        <x:f>MAX(0,MIN('Activities'!L113,588)-MAX('Activities'!K113,582))</x:f>
        <x:v>0</x:v>
      </x:c>
      <x:c r="CY113" s="23" t="n">
        <x:f>MAX(0,MIN('Activities'!L113,594)-MAX('Activities'!K113,588))</x:f>
        <x:v>0</x:v>
      </x:c>
      <x:c r="CZ113" s="23" t="n">
        <x:f>MAX(0,MIN('Activities'!L113,600)-MAX('Activities'!K113,594))</x:f>
        <x:v>0</x:v>
      </x:c>
      <x:c r="DA113" s="23" t="n">
        <x:f>MAX(0,MIN('Activities'!L113,606)-MAX('Activities'!K113,600))</x:f>
        <x:v>0</x:v>
      </x:c>
      <x:c r="DB113" s="23" t="n">
        <x:f>MAX(0,MIN('Activities'!L113,612)-MAX('Activities'!K113,606))</x:f>
        <x:v>0</x:v>
      </x:c>
      <x:c r="DC113" s="23" t="n">
        <x:f>MAX(0,MIN('Activities'!L113,618)-MAX('Activities'!K113,612))</x:f>
        <x:v>0</x:v>
      </x:c>
      <x:c r="DD113" s="23" t="n">
        <x:f>MAX(0,MIN('Activities'!L113,624)-MAX('Activities'!K113,618))</x:f>
        <x:v>0</x:v>
      </x:c>
      <x:c r="DE113" s="23" t="n">
        <x:f>MAX(0,MIN('Activities'!L113,630)-MAX('Activities'!K113,624))</x:f>
        <x:v>0</x:v>
      </x:c>
      <x:c r="DF113" s="23" t="n">
        <x:f>MAX(0,MIN('Activities'!L113,636)-MAX('Activities'!K113,630))</x:f>
        <x:v>0</x:v>
      </x:c>
    </x:row>
    <x:row r="114" ht="23" customHeight="1">
      <x:c r="A114" s="6" t="str">
        <x:v>T1-L07-P</x:v>
      </x:c>
      <x:c r="B114" s="6" t="str">
        <x:v>T1</x:v>
      </x:c>
      <x:c r="C114" s="6" t="str">
        <x:v>Internal plaster</x:v>
      </x:c>
      <x:c r="D114" s="6" t="str">
        <x:v>Finishes</x:v>
      </x:c>
      <x:c r="E114" s="22" t="n">
        <x:f>MAX(0,MIN('Activities'!L114,6)-MAX('Activities'!K114,0))</x:f>
        <x:v>0</x:v>
      </x:c>
      <x:c r="F114" s="22" t="n">
        <x:f>MAX(0,MIN('Activities'!L114,12)-MAX('Activities'!K114,6))</x:f>
        <x:v>0</x:v>
      </x:c>
      <x:c r="G114" s="22" t="n">
        <x:f>MAX(0,MIN('Activities'!L114,18)-MAX('Activities'!K114,12))</x:f>
        <x:v>0</x:v>
      </x:c>
      <x:c r="H114" s="22" t="n">
        <x:f>MAX(0,MIN('Activities'!L114,24)-MAX('Activities'!K114,18))</x:f>
        <x:v>0</x:v>
      </x:c>
      <x:c r="I114" s="22" t="n">
        <x:f>MAX(0,MIN('Activities'!L114,30)-MAX('Activities'!K114,24))</x:f>
        <x:v>0</x:v>
      </x:c>
      <x:c r="J114" s="22" t="n">
        <x:f>MAX(0,MIN('Activities'!L114,36)-MAX('Activities'!K114,30))</x:f>
        <x:v>0</x:v>
      </x:c>
      <x:c r="K114" s="22" t="n">
        <x:f>MAX(0,MIN('Activities'!L114,42)-MAX('Activities'!K114,36))</x:f>
        <x:v>0</x:v>
      </x:c>
      <x:c r="L114" s="22" t="n">
        <x:f>MAX(0,MIN('Activities'!L114,48)-MAX('Activities'!K114,42))</x:f>
        <x:v>0</x:v>
      </x:c>
      <x:c r="M114" s="22" t="n">
        <x:f>MAX(0,MIN('Activities'!L114,54)-MAX('Activities'!K114,48))</x:f>
        <x:v>0</x:v>
      </x:c>
      <x:c r="N114" s="22" t="n">
        <x:f>MAX(0,MIN('Activities'!L114,60)-MAX('Activities'!K114,54))</x:f>
        <x:v>0</x:v>
      </x:c>
      <x:c r="O114" s="22" t="n">
        <x:f>MAX(0,MIN('Activities'!L114,66)-MAX('Activities'!K114,60))</x:f>
        <x:v>0</x:v>
      </x:c>
      <x:c r="P114" s="22" t="n">
        <x:f>MAX(0,MIN('Activities'!L114,72)-MAX('Activities'!K114,66))</x:f>
        <x:v>0</x:v>
      </x:c>
      <x:c r="Q114" s="22" t="n">
        <x:f>MAX(0,MIN('Activities'!L114,78)-MAX('Activities'!K114,72))</x:f>
        <x:v>0</x:v>
      </x:c>
      <x:c r="R114" s="22" t="n">
        <x:f>MAX(0,MIN('Activities'!L114,84)-MAX('Activities'!K114,78))</x:f>
        <x:v>0</x:v>
      </x:c>
      <x:c r="S114" s="22" t="n">
        <x:f>MAX(0,MIN('Activities'!L114,90)-MAX('Activities'!K114,84))</x:f>
        <x:v>0</x:v>
      </x:c>
      <x:c r="T114" s="22" t="n">
        <x:f>MAX(0,MIN('Activities'!L114,96)-MAX('Activities'!K114,90))</x:f>
        <x:v>0</x:v>
      </x:c>
      <x:c r="U114" s="22" t="n">
        <x:f>MAX(0,MIN('Activities'!L114,102)-MAX('Activities'!K114,96))</x:f>
        <x:v>0</x:v>
      </x:c>
      <x:c r="V114" s="22" t="n">
        <x:f>MAX(0,MIN('Activities'!L114,108)-MAX('Activities'!K114,102))</x:f>
        <x:v>0</x:v>
      </x:c>
      <x:c r="W114" s="22" t="n">
        <x:f>MAX(0,MIN('Activities'!L114,114)-MAX('Activities'!K114,108))</x:f>
        <x:v>0</x:v>
      </x:c>
      <x:c r="X114" s="22" t="n">
        <x:f>MAX(0,MIN('Activities'!L114,120)-MAX('Activities'!K114,114))</x:f>
        <x:v>0</x:v>
      </x:c>
      <x:c r="Y114" s="22" t="n">
        <x:f>MAX(0,MIN('Activities'!L114,126)-MAX('Activities'!K114,120))</x:f>
        <x:v>0</x:v>
      </x:c>
      <x:c r="Z114" s="22" t="n">
        <x:f>MAX(0,MIN('Activities'!L114,132)-MAX('Activities'!K114,126))</x:f>
        <x:v>0</x:v>
      </x:c>
      <x:c r="AA114" s="22" t="n">
        <x:f>MAX(0,MIN('Activities'!L114,138)-MAX('Activities'!K114,132))</x:f>
        <x:v>0</x:v>
      </x:c>
      <x:c r="AB114" s="22" t="n">
        <x:f>MAX(0,MIN('Activities'!L114,144)-MAX('Activities'!K114,138))</x:f>
        <x:v>0</x:v>
      </x:c>
      <x:c r="AC114" s="22" t="n">
        <x:f>MAX(0,MIN('Activities'!L114,150)-MAX('Activities'!K114,144))</x:f>
        <x:v>0</x:v>
      </x:c>
      <x:c r="AD114" s="22" t="n">
        <x:f>MAX(0,MIN('Activities'!L114,156)-MAX('Activities'!K114,150))</x:f>
        <x:v>0</x:v>
      </x:c>
      <x:c r="AE114" s="22" t="n">
        <x:f>MAX(0,MIN('Activities'!L114,162)-MAX('Activities'!K114,156))</x:f>
        <x:v>0</x:v>
      </x:c>
      <x:c r="AF114" s="22" t="n">
        <x:f>MAX(0,MIN('Activities'!L114,168)-MAX('Activities'!K114,162))</x:f>
        <x:v>0</x:v>
      </x:c>
      <x:c r="AG114" s="22" t="n">
        <x:f>MAX(0,MIN('Activities'!L114,174)-MAX('Activities'!K114,168))</x:f>
        <x:v>0</x:v>
      </x:c>
      <x:c r="AH114" s="22" t="n">
        <x:f>MAX(0,MIN('Activities'!L114,180)-MAX('Activities'!K114,174))</x:f>
        <x:v>0</x:v>
      </x:c>
      <x:c r="AI114" s="22" t="n">
        <x:f>MAX(0,MIN('Activities'!L114,186)-MAX('Activities'!K114,180))</x:f>
        <x:v>0</x:v>
      </x:c>
      <x:c r="AJ114" s="22" t="n">
        <x:f>MAX(0,MIN('Activities'!L114,192)-MAX('Activities'!K114,186))</x:f>
        <x:v>0</x:v>
      </x:c>
      <x:c r="AK114" s="22" t="n">
        <x:f>MAX(0,MIN('Activities'!L114,198)-MAX('Activities'!K114,192))</x:f>
        <x:v>0</x:v>
      </x:c>
      <x:c r="AL114" s="22" t="n">
        <x:f>MAX(0,MIN('Activities'!L114,204)-MAX('Activities'!K114,198))</x:f>
        <x:v>0</x:v>
      </x:c>
      <x:c r="AM114" s="22" t="n">
        <x:f>MAX(0,MIN('Activities'!L114,210)-MAX('Activities'!K114,204))</x:f>
        <x:v>0</x:v>
      </x:c>
      <x:c r="AN114" s="22" t="n">
        <x:f>MAX(0,MIN('Activities'!L114,216)-MAX('Activities'!K114,210))</x:f>
        <x:v>0</x:v>
      </x:c>
      <x:c r="AO114" s="22" t="n">
        <x:f>MAX(0,MIN('Activities'!L114,222)-MAX('Activities'!K114,216))</x:f>
        <x:v>0</x:v>
      </x:c>
      <x:c r="AP114" s="22" t="n">
        <x:f>MAX(0,MIN('Activities'!L114,228)-MAX('Activities'!K114,222))</x:f>
        <x:v>0</x:v>
      </x:c>
      <x:c r="AQ114" s="22" t="n">
        <x:f>MAX(0,MIN('Activities'!L114,234)-MAX('Activities'!K114,228))</x:f>
        <x:v>0</x:v>
      </x:c>
      <x:c r="AR114" s="22" t="n">
        <x:f>MAX(0,MIN('Activities'!L114,240)-MAX('Activities'!K114,234))</x:f>
        <x:v>0</x:v>
      </x:c>
      <x:c r="AS114" s="22" t="n">
        <x:f>MAX(0,MIN('Activities'!L114,246)-MAX('Activities'!K114,240))</x:f>
        <x:v>0</x:v>
      </x:c>
      <x:c r="AT114" s="22" t="n">
        <x:f>MAX(0,MIN('Activities'!L114,252)-MAX('Activities'!K114,246))</x:f>
        <x:v>0</x:v>
      </x:c>
      <x:c r="AU114" s="22" t="n">
        <x:f>MAX(0,MIN('Activities'!L114,258)-MAX('Activities'!K114,252))</x:f>
        <x:v>0</x:v>
      </x:c>
      <x:c r="AV114" s="22" t="n">
        <x:f>MAX(0,MIN('Activities'!L114,264)-MAX('Activities'!K114,258))</x:f>
        <x:v>0</x:v>
      </x:c>
      <x:c r="AW114" s="22" t="n">
        <x:f>MAX(0,MIN('Activities'!L114,270)-MAX('Activities'!K114,264))</x:f>
        <x:v>0</x:v>
      </x:c>
      <x:c r="AX114" s="22" t="n">
        <x:f>MAX(0,MIN('Activities'!L114,276)-MAX('Activities'!K114,270))</x:f>
        <x:v>0</x:v>
      </x:c>
      <x:c r="AY114" s="22" t="n">
        <x:f>MAX(0,MIN('Activities'!L114,282)-MAX('Activities'!K114,276))</x:f>
        <x:v>0</x:v>
      </x:c>
      <x:c r="AZ114" s="22" t="n">
        <x:f>MAX(0,MIN('Activities'!L114,288)-MAX('Activities'!K114,282))</x:f>
        <x:v>0</x:v>
      </x:c>
      <x:c r="BA114" s="22" t="n">
        <x:f>MAX(0,MIN('Activities'!L114,294)-MAX('Activities'!K114,288))</x:f>
        <x:v>0</x:v>
      </x:c>
      <x:c r="BB114" s="22" t="n">
        <x:f>MAX(0,MIN('Activities'!L114,300)-MAX('Activities'!K114,294))</x:f>
        <x:v>0</x:v>
      </x:c>
      <x:c r="BC114" s="22" t="n">
        <x:f>MAX(0,MIN('Activities'!L114,306)-MAX('Activities'!K114,300))</x:f>
        <x:v>0</x:v>
      </x:c>
      <x:c r="BD114" s="22" t="n">
        <x:f>MAX(0,MIN('Activities'!L114,312)-MAX('Activities'!K114,306))</x:f>
        <x:v>0</x:v>
      </x:c>
      <x:c r="BE114" s="22" t="n">
        <x:f>MAX(0,MIN('Activities'!L114,318)-MAX('Activities'!K114,312))</x:f>
        <x:v>0</x:v>
      </x:c>
      <x:c r="BF114" s="22" t="n">
        <x:f>MAX(0,MIN('Activities'!L114,324)-MAX('Activities'!K114,318))</x:f>
        <x:v>0</x:v>
      </x:c>
      <x:c r="BG114" s="22" t="n">
        <x:f>MAX(0,MIN('Activities'!L114,330)-MAX('Activities'!K114,324))</x:f>
        <x:v>0</x:v>
      </x:c>
      <x:c r="BH114" s="22" t="n">
        <x:f>MAX(0,MIN('Activities'!L114,336)-MAX('Activities'!K114,330))</x:f>
        <x:v>0</x:v>
      </x:c>
      <x:c r="BI114" s="22" t="n">
        <x:f>MAX(0,MIN('Activities'!L114,342)-MAX('Activities'!K114,336))</x:f>
        <x:v>0</x:v>
      </x:c>
      <x:c r="BJ114" s="22" t="n">
        <x:f>MAX(0,MIN('Activities'!L114,348)-MAX('Activities'!K114,342))</x:f>
        <x:v>3</x:v>
      </x:c>
      <x:c r="BK114" s="22" t="n">
        <x:f>MAX(0,MIN('Activities'!L114,354)-MAX('Activities'!K114,348))</x:f>
        <x:v>3</x:v>
      </x:c>
      <x:c r="BL114" s="22" t="n">
        <x:f>MAX(0,MIN('Activities'!L114,360)-MAX('Activities'!K114,354))</x:f>
        <x:v>0</x:v>
      </x:c>
      <x:c r="BM114" s="22" t="n">
        <x:f>MAX(0,MIN('Activities'!L114,366)-MAX('Activities'!K114,360))</x:f>
        <x:v>0</x:v>
      </x:c>
      <x:c r="BN114" s="22" t="n">
        <x:f>MAX(0,MIN('Activities'!L114,372)-MAX('Activities'!K114,366))</x:f>
        <x:v>0</x:v>
      </x:c>
      <x:c r="BO114" s="22" t="n">
        <x:f>MAX(0,MIN('Activities'!L114,378)-MAX('Activities'!K114,372))</x:f>
        <x:v>0</x:v>
      </x:c>
      <x:c r="BP114" s="22" t="n">
        <x:f>MAX(0,MIN('Activities'!L114,384)-MAX('Activities'!K114,378))</x:f>
        <x:v>0</x:v>
      </x:c>
      <x:c r="BQ114" s="22" t="n">
        <x:f>MAX(0,MIN('Activities'!L114,390)-MAX('Activities'!K114,384))</x:f>
        <x:v>0</x:v>
      </x:c>
      <x:c r="BR114" s="22" t="n">
        <x:f>MAX(0,MIN('Activities'!L114,396)-MAX('Activities'!K114,390))</x:f>
        <x:v>0</x:v>
      </x:c>
      <x:c r="BS114" s="22" t="n">
        <x:f>MAX(0,MIN('Activities'!L114,402)-MAX('Activities'!K114,396))</x:f>
        <x:v>0</x:v>
      </x:c>
      <x:c r="BT114" s="22" t="n">
        <x:f>MAX(0,MIN('Activities'!L114,408)-MAX('Activities'!K114,402))</x:f>
        <x:v>0</x:v>
      </x:c>
      <x:c r="BU114" s="22" t="n">
        <x:f>MAX(0,MIN('Activities'!L114,414)-MAX('Activities'!K114,408))</x:f>
        <x:v>0</x:v>
      </x:c>
      <x:c r="BV114" s="22" t="n">
        <x:f>MAX(0,MIN('Activities'!L114,420)-MAX('Activities'!K114,414))</x:f>
        <x:v>0</x:v>
      </x:c>
      <x:c r="BW114" s="22" t="n">
        <x:f>MAX(0,MIN('Activities'!L114,426)-MAX('Activities'!K114,420))</x:f>
        <x:v>0</x:v>
      </x:c>
      <x:c r="BX114" s="22" t="n">
        <x:f>MAX(0,MIN('Activities'!L114,432)-MAX('Activities'!K114,426))</x:f>
        <x:v>0</x:v>
      </x:c>
      <x:c r="BY114" s="22" t="n">
        <x:f>MAX(0,MIN('Activities'!L114,438)-MAX('Activities'!K114,432))</x:f>
        <x:v>0</x:v>
      </x:c>
      <x:c r="BZ114" s="22" t="n">
        <x:f>MAX(0,MIN('Activities'!L114,444)-MAX('Activities'!K114,438))</x:f>
        <x:v>0</x:v>
      </x:c>
      <x:c r="CA114" s="22" t="n">
        <x:f>MAX(0,MIN('Activities'!L114,450)-MAX('Activities'!K114,444))</x:f>
        <x:v>0</x:v>
      </x:c>
      <x:c r="CB114" s="22" t="n">
        <x:f>MAX(0,MIN('Activities'!L114,456)-MAX('Activities'!K114,450))</x:f>
        <x:v>0</x:v>
      </x:c>
      <x:c r="CC114" s="22" t="n">
        <x:f>MAX(0,MIN('Activities'!L114,462)-MAX('Activities'!K114,456))</x:f>
        <x:v>0</x:v>
      </x:c>
      <x:c r="CD114" s="22" t="n">
        <x:f>MAX(0,MIN('Activities'!L114,468)-MAX('Activities'!K114,462))</x:f>
        <x:v>0</x:v>
      </x:c>
      <x:c r="CE114" s="22" t="n">
        <x:f>MAX(0,MIN('Activities'!L114,474)-MAX('Activities'!K114,468))</x:f>
        <x:v>0</x:v>
      </x:c>
      <x:c r="CF114" s="22" t="n">
        <x:f>MAX(0,MIN('Activities'!L114,480)-MAX('Activities'!K114,474))</x:f>
        <x:v>0</x:v>
      </x:c>
      <x:c r="CG114" s="22" t="n">
        <x:f>MAX(0,MIN('Activities'!L114,486)-MAX('Activities'!K114,480))</x:f>
        <x:v>0</x:v>
      </x:c>
      <x:c r="CH114" s="22" t="n">
        <x:f>MAX(0,MIN('Activities'!L114,492)-MAX('Activities'!K114,486))</x:f>
        <x:v>0</x:v>
      </x:c>
      <x:c r="CI114" s="22" t="n">
        <x:f>MAX(0,MIN('Activities'!L114,498)-MAX('Activities'!K114,492))</x:f>
        <x:v>0</x:v>
      </x:c>
      <x:c r="CJ114" s="22" t="n">
        <x:f>MAX(0,MIN('Activities'!L114,504)-MAX('Activities'!K114,498))</x:f>
        <x:v>0</x:v>
      </x:c>
      <x:c r="CK114" s="22" t="n">
        <x:f>MAX(0,MIN('Activities'!L114,510)-MAX('Activities'!K114,504))</x:f>
        <x:v>0</x:v>
      </x:c>
      <x:c r="CL114" s="22" t="n">
        <x:f>MAX(0,MIN('Activities'!L114,516)-MAX('Activities'!K114,510))</x:f>
        <x:v>0</x:v>
      </x:c>
      <x:c r="CM114" s="22" t="n">
        <x:f>MAX(0,MIN('Activities'!L114,522)-MAX('Activities'!K114,516))</x:f>
        <x:v>0</x:v>
      </x:c>
      <x:c r="CN114" s="22" t="n">
        <x:f>MAX(0,MIN('Activities'!L114,528)-MAX('Activities'!K114,522))</x:f>
        <x:v>0</x:v>
      </x:c>
      <x:c r="CO114" s="22" t="n">
        <x:f>MAX(0,MIN('Activities'!L114,534)-MAX('Activities'!K114,528))</x:f>
        <x:v>0</x:v>
      </x:c>
      <x:c r="CP114" s="22" t="n">
        <x:f>MAX(0,MIN('Activities'!L114,540)-MAX('Activities'!K114,534))</x:f>
        <x:v>0</x:v>
      </x:c>
      <x:c r="CQ114" s="22" t="n">
        <x:f>MAX(0,MIN('Activities'!L114,546)-MAX('Activities'!K114,540))</x:f>
        <x:v>0</x:v>
      </x:c>
      <x:c r="CR114" s="22" t="n">
        <x:f>MAX(0,MIN('Activities'!L114,552)-MAX('Activities'!K114,546))</x:f>
        <x:v>0</x:v>
      </x:c>
      <x:c r="CS114" s="22" t="n">
        <x:f>MAX(0,MIN('Activities'!L114,558)-MAX('Activities'!K114,552))</x:f>
        <x:v>0</x:v>
      </x:c>
      <x:c r="CT114" s="22" t="n">
        <x:f>MAX(0,MIN('Activities'!L114,564)-MAX('Activities'!K114,558))</x:f>
        <x:v>0</x:v>
      </x:c>
      <x:c r="CU114" s="22" t="n">
        <x:f>MAX(0,MIN('Activities'!L114,570)-MAX('Activities'!K114,564))</x:f>
        <x:v>0</x:v>
      </x:c>
      <x:c r="CV114" s="22" t="n">
        <x:f>MAX(0,MIN('Activities'!L114,576)-MAX('Activities'!K114,570))</x:f>
        <x:v>0</x:v>
      </x:c>
      <x:c r="CW114" s="22" t="n">
        <x:f>MAX(0,MIN('Activities'!L114,582)-MAX('Activities'!K114,576))</x:f>
        <x:v>0</x:v>
      </x:c>
      <x:c r="CX114" s="22" t="n">
        <x:f>MAX(0,MIN('Activities'!L114,588)-MAX('Activities'!K114,582))</x:f>
        <x:v>0</x:v>
      </x:c>
      <x:c r="CY114" s="22" t="n">
        <x:f>MAX(0,MIN('Activities'!L114,594)-MAX('Activities'!K114,588))</x:f>
        <x:v>0</x:v>
      </x:c>
      <x:c r="CZ114" s="22" t="n">
        <x:f>MAX(0,MIN('Activities'!L114,600)-MAX('Activities'!K114,594))</x:f>
        <x:v>0</x:v>
      </x:c>
      <x:c r="DA114" s="22" t="n">
        <x:f>MAX(0,MIN('Activities'!L114,606)-MAX('Activities'!K114,600))</x:f>
        <x:v>0</x:v>
      </x:c>
      <x:c r="DB114" s="22" t="n">
        <x:f>MAX(0,MIN('Activities'!L114,612)-MAX('Activities'!K114,606))</x:f>
        <x:v>0</x:v>
      </x:c>
      <x:c r="DC114" s="22" t="n">
        <x:f>MAX(0,MIN('Activities'!L114,618)-MAX('Activities'!K114,612))</x:f>
        <x:v>0</x:v>
      </x:c>
      <x:c r="DD114" s="22" t="n">
        <x:f>MAX(0,MIN('Activities'!L114,624)-MAX('Activities'!K114,618))</x:f>
        <x:v>0</x:v>
      </x:c>
      <x:c r="DE114" s="22" t="n">
        <x:f>MAX(0,MIN('Activities'!L114,630)-MAX('Activities'!K114,624))</x:f>
        <x:v>0</x:v>
      </x:c>
      <x:c r="DF114" s="22" t="n">
        <x:f>MAX(0,MIN('Activities'!L114,636)-MAX('Activities'!K114,630))</x:f>
        <x:v>0</x:v>
      </x:c>
    </x:row>
    <x:row r="115" ht="23" customHeight="1">
      <x:c r="A115" s="1" t="str">
        <x:v>T1-L07-S</x:v>
      </x:c>
      <x:c r="B115" s="1" t="str">
        <x:v>T1</x:v>
      </x:c>
      <x:c r="C115" s="1" t="str">
        <x:v>Screed and substrate preparation</x:v>
      </x:c>
      <x:c r="D115" s="1" t="str">
        <x:v>Finishes</x:v>
      </x:c>
      <x:c r="E115" s="23" t="n">
        <x:f>MAX(0,MIN('Activities'!L115,6)-MAX('Activities'!K115,0))</x:f>
        <x:v>0</x:v>
      </x:c>
      <x:c r="F115" s="23" t="n">
        <x:f>MAX(0,MIN('Activities'!L115,12)-MAX('Activities'!K115,6))</x:f>
        <x:v>0</x:v>
      </x:c>
      <x:c r="G115" s="23" t="n">
        <x:f>MAX(0,MIN('Activities'!L115,18)-MAX('Activities'!K115,12))</x:f>
        <x:v>0</x:v>
      </x:c>
      <x:c r="H115" s="23" t="n">
        <x:f>MAX(0,MIN('Activities'!L115,24)-MAX('Activities'!K115,18))</x:f>
        <x:v>0</x:v>
      </x:c>
      <x:c r="I115" s="23" t="n">
        <x:f>MAX(0,MIN('Activities'!L115,30)-MAX('Activities'!K115,24))</x:f>
        <x:v>0</x:v>
      </x:c>
      <x:c r="J115" s="23" t="n">
        <x:f>MAX(0,MIN('Activities'!L115,36)-MAX('Activities'!K115,30))</x:f>
        <x:v>0</x:v>
      </x:c>
      <x:c r="K115" s="23" t="n">
        <x:f>MAX(0,MIN('Activities'!L115,42)-MAX('Activities'!K115,36))</x:f>
        <x:v>0</x:v>
      </x:c>
      <x:c r="L115" s="23" t="n">
        <x:f>MAX(0,MIN('Activities'!L115,48)-MAX('Activities'!K115,42))</x:f>
        <x:v>0</x:v>
      </x:c>
      <x:c r="M115" s="23" t="n">
        <x:f>MAX(0,MIN('Activities'!L115,54)-MAX('Activities'!K115,48))</x:f>
        <x:v>0</x:v>
      </x:c>
      <x:c r="N115" s="23" t="n">
        <x:f>MAX(0,MIN('Activities'!L115,60)-MAX('Activities'!K115,54))</x:f>
        <x:v>0</x:v>
      </x:c>
      <x:c r="O115" s="23" t="n">
        <x:f>MAX(0,MIN('Activities'!L115,66)-MAX('Activities'!K115,60))</x:f>
        <x:v>0</x:v>
      </x:c>
      <x:c r="P115" s="23" t="n">
        <x:f>MAX(0,MIN('Activities'!L115,72)-MAX('Activities'!K115,66))</x:f>
        <x:v>0</x:v>
      </x:c>
      <x:c r="Q115" s="23" t="n">
        <x:f>MAX(0,MIN('Activities'!L115,78)-MAX('Activities'!K115,72))</x:f>
        <x:v>0</x:v>
      </x:c>
      <x:c r="R115" s="23" t="n">
        <x:f>MAX(0,MIN('Activities'!L115,84)-MAX('Activities'!K115,78))</x:f>
        <x:v>0</x:v>
      </x:c>
      <x:c r="S115" s="23" t="n">
        <x:f>MAX(0,MIN('Activities'!L115,90)-MAX('Activities'!K115,84))</x:f>
        <x:v>0</x:v>
      </x:c>
      <x:c r="T115" s="23" t="n">
        <x:f>MAX(0,MIN('Activities'!L115,96)-MAX('Activities'!K115,90))</x:f>
        <x:v>0</x:v>
      </x:c>
      <x:c r="U115" s="23" t="n">
        <x:f>MAX(0,MIN('Activities'!L115,102)-MAX('Activities'!K115,96))</x:f>
        <x:v>0</x:v>
      </x:c>
      <x:c r="V115" s="23" t="n">
        <x:f>MAX(0,MIN('Activities'!L115,108)-MAX('Activities'!K115,102))</x:f>
        <x:v>0</x:v>
      </x:c>
      <x:c r="W115" s="23" t="n">
        <x:f>MAX(0,MIN('Activities'!L115,114)-MAX('Activities'!K115,108))</x:f>
        <x:v>0</x:v>
      </x:c>
      <x:c r="X115" s="23" t="n">
        <x:f>MAX(0,MIN('Activities'!L115,120)-MAX('Activities'!K115,114))</x:f>
        <x:v>0</x:v>
      </x:c>
      <x:c r="Y115" s="23" t="n">
        <x:f>MAX(0,MIN('Activities'!L115,126)-MAX('Activities'!K115,120))</x:f>
        <x:v>0</x:v>
      </x:c>
      <x:c r="Z115" s="23" t="n">
        <x:f>MAX(0,MIN('Activities'!L115,132)-MAX('Activities'!K115,126))</x:f>
        <x:v>0</x:v>
      </x:c>
      <x:c r="AA115" s="23" t="n">
        <x:f>MAX(0,MIN('Activities'!L115,138)-MAX('Activities'!K115,132))</x:f>
        <x:v>0</x:v>
      </x:c>
      <x:c r="AB115" s="23" t="n">
        <x:f>MAX(0,MIN('Activities'!L115,144)-MAX('Activities'!K115,138))</x:f>
        <x:v>0</x:v>
      </x:c>
      <x:c r="AC115" s="23" t="n">
        <x:f>MAX(0,MIN('Activities'!L115,150)-MAX('Activities'!K115,144))</x:f>
        <x:v>0</x:v>
      </x:c>
      <x:c r="AD115" s="23" t="n">
        <x:f>MAX(0,MIN('Activities'!L115,156)-MAX('Activities'!K115,150))</x:f>
        <x:v>0</x:v>
      </x:c>
      <x:c r="AE115" s="23" t="n">
        <x:f>MAX(0,MIN('Activities'!L115,162)-MAX('Activities'!K115,156))</x:f>
        <x:v>0</x:v>
      </x:c>
      <x:c r="AF115" s="23" t="n">
        <x:f>MAX(0,MIN('Activities'!L115,168)-MAX('Activities'!K115,162))</x:f>
        <x:v>0</x:v>
      </x:c>
      <x:c r="AG115" s="23" t="n">
        <x:f>MAX(0,MIN('Activities'!L115,174)-MAX('Activities'!K115,168))</x:f>
        <x:v>0</x:v>
      </x:c>
      <x:c r="AH115" s="23" t="n">
        <x:f>MAX(0,MIN('Activities'!L115,180)-MAX('Activities'!K115,174))</x:f>
        <x:v>0</x:v>
      </x:c>
      <x:c r="AI115" s="23" t="n">
        <x:f>MAX(0,MIN('Activities'!L115,186)-MAX('Activities'!K115,180))</x:f>
        <x:v>0</x:v>
      </x:c>
      <x:c r="AJ115" s="23" t="n">
        <x:f>MAX(0,MIN('Activities'!L115,192)-MAX('Activities'!K115,186))</x:f>
        <x:v>0</x:v>
      </x:c>
      <x:c r="AK115" s="23" t="n">
        <x:f>MAX(0,MIN('Activities'!L115,198)-MAX('Activities'!K115,192))</x:f>
        <x:v>0</x:v>
      </x:c>
      <x:c r="AL115" s="23" t="n">
        <x:f>MAX(0,MIN('Activities'!L115,204)-MAX('Activities'!K115,198))</x:f>
        <x:v>0</x:v>
      </x:c>
      <x:c r="AM115" s="23" t="n">
        <x:f>MAX(0,MIN('Activities'!L115,210)-MAX('Activities'!K115,204))</x:f>
        <x:v>0</x:v>
      </x:c>
      <x:c r="AN115" s="23" t="n">
        <x:f>MAX(0,MIN('Activities'!L115,216)-MAX('Activities'!K115,210))</x:f>
        <x:v>0</x:v>
      </x:c>
      <x:c r="AO115" s="23" t="n">
        <x:f>MAX(0,MIN('Activities'!L115,222)-MAX('Activities'!K115,216))</x:f>
        <x:v>0</x:v>
      </x:c>
      <x:c r="AP115" s="23" t="n">
        <x:f>MAX(0,MIN('Activities'!L115,228)-MAX('Activities'!K115,222))</x:f>
        <x:v>0</x:v>
      </x:c>
      <x:c r="AQ115" s="23" t="n">
        <x:f>MAX(0,MIN('Activities'!L115,234)-MAX('Activities'!K115,228))</x:f>
        <x:v>0</x:v>
      </x:c>
      <x:c r="AR115" s="23" t="n">
        <x:f>MAX(0,MIN('Activities'!L115,240)-MAX('Activities'!K115,234))</x:f>
        <x:v>0</x:v>
      </x:c>
      <x:c r="AS115" s="23" t="n">
        <x:f>MAX(0,MIN('Activities'!L115,246)-MAX('Activities'!K115,240))</x:f>
        <x:v>0</x:v>
      </x:c>
      <x:c r="AT115" s="23" t="n">
        <x:f>MAX(0,MIN('Activities'!L115,252)-MAX('Activities'!K115,246))</x:f>
        <x:v>0</x:v>
      </x:c>
      <x:c r="AU115" s="23" t="n">
        <x:f>MAX(0,MIN('Activities'!L115,258)-MAX('Activities'!K115,252))</x:f>
        <x:v>0</x:v>
      </x:c>
      <x:c r="AV115" s="23" t="n">
        <x:f>MAX(0,MIN('Activities'!L115,264)-MAX('Activities'!K115,258))</x:f>
        <x:v>0</x:v>
      </x:c>
      <x:c r="AW115" s="23" t="n">
        <x:f>MAX(0,MIN('Activities'!L115,270)-MAX('Activities'!K115,264))</x:f>
        <x:v>0</x:v>
      </x:c>
      <x:c r="AX115" s="23" t="n">
        <x:f>MAX(0,MIN('Activities'!L115,276)-MAX('Activities'!K115,270))</x:f>
        <x:v>0</x:v>
      </x:c>
      <x:c r="AY115" s="23" t="n">
        <x:f>MAX(0,MIN('Activities'!L115,282)-MAX('Activities'!K115,276))</x:f>
        <x:v>0</x:v>
      </x:c>
      <x:c r="AZ115" s="23" t="n">
        <x:f>MAX(0,MIN('Activities'!L115,288)-MAX('Activities'!K115,282))</x:f>
        <x:v>0</x:v>
      </x:c>
      <x:c r="BA115" s="23" t="n">
        <x:f>MAX(0,MIN('Activities'!L115,294)-MAX('Activities'!K115,288))</x:f>
        <x:v>0</x:v>
      </x:c>
      <x:c r="BB115" s="23" t="n">
        <x:f>MAX(0,MIN('Activities'!L115,300)-MAX('Activities'!K115,294))</x:f>
        <x:v>0</x:v>
      </x:c>
      <x:c r="BC115" s="23" t="n">
        <x:f>MAX(0,MIN('Activities'!L115,306)-MAX('Activities'!K115,300))</x:f>
        <x:v>0</x:v>
      </x:c>
      <x:c r="BD115" s="23" t="n">
        <x:f>MAX(0,MIN('Activities'!L115,312)-MAX('Activities'!K115,306))</x:f>
        <x:v>0</x:v>
      </x:c>
      <x:c r="BE115" s="23" t="n">
        <x:f>MAX(0,MIN('Activities'!L115,318)-MAX('Activities'!K115,312))</x:f>
        <x:v>0</x:v>
      </x:c>
      <x:c r="BF115" s="23" t="n">
        <x:f>MAX(0,MIN('Activities'!L115,324)-MAX('Activities'!K115,318))</x:f>
        <x:v>0</x:v>
      </x:c>
      <x:c r="BG115" s="23" t="n">
        <x:f>MAX(0,MIN('Activities'!L115,330)-MAX('Activities'!K115,324))</x:f>
        <x:v>0</x:v>
      </x:c>
      <x:c r="BH115" s="23" t="n">
        <x:f>MAX(0,MIN('Activities'!L115,336)-MAX('Activities'!K115,330))</x:f>
        <x:v>0</x:v>
      </x:c>
      <x:c r="BI115" s="23" t="n">
        <x:f>MAX(0,MIN('Activities'!L115,342)-MAX('Activities'!K115,336))</x:f>
        <x:v>0</x:v>
      </x:c>
      <x:c r="BJ115" s="23" t="n">
        <x:f>MAX(0,MIN('Activities'!L115,348)-MAX('Activities'!K115,342))</x:f>
        <x:v>0</x:v>
      </x:c>
      <x:c r="BK115" s="23" t="n">
        <x:f>MAX(0,MIN('Activities'!L115,354)-MAX('Activities'!K115,348))</x:f>
        <x:v>1</x:v>
      </x:c>
      <x:c r="BL115" s="23" t="n">
        <x:f>MAX(0,MIN('Activities'!L115,360)-MAX('Activities'!K115,354))</x:f>
        <x:v>2</x:v>
      </x:c>
      <x:c r="BM115" s="23" t="n">
        <x:f>MAX(0,MIN('Activities'!L115,366)-MAX('Activities'!K115,360))</x:f>
        <x:v>0</x:v>
      </x:c>
      <x:c r="BN115" s="23" t="n">
        <x:f>MAX(0,MIN('Activities'!L115,372)-MAX('Activities'!K115,366))</x:f>
        <x:v>0</x:v>
      </x:c>
      <x:c r="BO115" s="23" t="n">
        <x:f>MAX(0,MIN('Activities'!L115,378)-MAX('Activities'!K115,372))</x:f>
        <x:v>0</x:v>
      </x:c>
      <x:c r="BP115" s="23" t="n">
        <x:f>MAX(0,MIN('Activities'!L115,384)-MAX('Activities'!K115,378))</x:f>
        <x:v>0</x:v>
      </x:c>
      <x:c r="BQ115" s="23" t="n">
        <x:f>MAX(0,MIN('Activities'!L115,390)-MAX('Activities'!K115,384))</x:f>
        <x:v>0</x:v>
      </x:c>
      <x:c r="BR115" s="23" t="n">
        <x:f>MAX(0,MIN('Activities'!L115,396)-MAX('Activities'!K115,390))</x:f>
        <x:v>0</x:v>
      </x:c>
      <x:c r="BS115" s="23" t="n">
        <x:f>MAX(0,MIN('Activities'!L115,402)-MAX('Activities'!K115,396))</x:f>
        <x:v>0</x:v>
      </x:c>
      <x:c r="BT115" s="23" t="n">
        <x:f>MAX(0,MIN('Activities'!L115,408)-MAX('Activities'!K115,402))</x:f>
        <x:v>0</x:v>
      </x:c>
      <x:c r="BU115" s="23" t="n">
        <x:f>MAX(0,MIN('Activities'!L115,414)-MAX('Activities'!K115,408))</x:f>
        <x:v>0</x:v>
      </x:c>
      <x:c r="BV115" s="23" t="n">
        <x:f>MAX(0,MIN('Activities'!L115,420)-MAX('Activities'!K115,414))</x:f>
        <x:v>0</x:v>
      </x:c>
      <x:c r="BW115" s="23" t="n">
        <x:f>MAX(0,MIN('Activities'!L115,426)-MAX('Activities'!K115,420))</x:f>
        <x:v>0</x:v>
      </x:c>
      <x:c r="BX115" s="23" t="n">
        <x:f>MAX(0,MIN('Activities'!L115,432)-MAX('Activities'!K115,426))</x:f>
        <x:v>0</x:v>
      </x:c>
      <x:c r="BY115" s="23" t="n">
        <x:f>MAX(0,MIN('Activities'!L115,438)-MAX('Activities'!K115,432))</x:f>
        <x:v>0</x:v>
      </x:c>
      <x:c r="BZ115" s="23" t="n">
        <x:f>MAX(0,MIN('Activities'!L115,444)-MAX('Activities'!K115,438))</x:f>
        <x:v>0</x:v>
      </x:c>
      <x:c r="CA115" s="23" t="n">
        <x:f>MAX(0,MIN('Activities'!L115,450)-MAX('Activities'!K115,444))</x:f>
        <x:v>0</x:v>
      </x:c>
      <x:c r="CB115" s="23" t="n">
        <x:f>MAX(0,MIN('Activities'!L115,456)-MAX('Activities'!K115,450))</x:f>
        <x:v>0</x:v>
      </x:c>
      <x:c r="CC115" s="23" t="n">
        <x:f>MAX(0,MIN('Activities'!L115,462)-MAX('Activities'!K115,456))</x:f>
        <x:v>0</x:v>
      </x:c>
      <x:c r="CD115" s="23" t="n">
        <x:f>MAX(0,MIN('Activities'!L115,468)-MAX('Activities'!K115,462))</x:f>
        <x:v>0</x:v>
      </x:c>
      <x:c r="CE115" s="23" t="n">
        <x:f>MAX(0,MIN('Activities'!L115,474)-MAX('Activities'!K115,468))</x:f>
        <x:v>0</x:v>
      </x:c>
      <x:c r="CF115" s="23" t="n">
        <x:f>MAX(0,MIN('Activities'!L115,480)-MAX('Activities'!K115,474))</x:f>
        <x:v>0</x:v>
      </x:c>
      <x:c r="CG115" s="23" t="n">
        <x:f>MAX(0,MIN('Activities'!L115,486)-MAX('Activities'!K115,480))</x:f>
        <x:v>0</x:v>
      </x:c>
      <x:c r="CH115" s="23" t="n">
        <x:f>MAX(0,MIN('Activities'!L115,492)-MAX('Activities'!K115,486))</x:f>
        <x:v>0</x:v>
      </x:c>
      <x:c r="CI115" s="23" t="n">
        <x:f>MAX(0,MIN('Activities'!L115,498)-MAX('Activities'!K115,492))</x:f>
        <x:v>0</x:v>
      </x:c>
      <x:c r="CJ115" s="23" t="n">
        <x:f>MAX(0,MIN('Activities'!L115,504)-MAX('Activities'!K115,498))</x:f>
        <x:v>0</x:v>
      </x:c>
      <x:c r="CK115" s="23" t="n">
        <x:f>MAX(0,MIN('Activities'!L115,510)-MAX('Activities'!K115,504))</x:f>
        <x:v>0</x:v>
      </x:c>
      <x:c r="CL115" s="23" t="n">
        <x:f>MAX(0,MIN('Activities'!L115,516)-MAX('Activities'!K115,510))</x:f>
        <x:v>0</x:v>
      </x:c>
      <x:c r="CM115" s="23" t="n">
        <x:f>MAX(0,MIN('Activities'!L115,522)-MAX('Activities'!K115,516))</x:f>
        <x:v>0</x:v>
      </x:c>
      <x:c r="CN115" s="23" t="n">
        <x:f>MAX(0,MIN('Activities'!L115,528)-MAX('Activities'!K115,522))</x:f>
        <x:v>0</x:v>
      </x:c>
      <x:c r="CO115" s="23" t="n">
        <x:f>MAX(0,MIN('Activities'!L115,534)-MAX('Activities'!K115,528))</x:f>
        <x:v>0</x:v>
      </x:c>
      <x:c r="CP115" s="23" t="n">
        <x:f>MAX(0,MIN('Activities'!L115,540)-MAX('Activities'!K115,534))</x:f>
        <x:v>0</x:v>
      </x:c>
      <x:c r="CQ115" s="23" t="n">
        <x:f>MAX(0,MIN('Activities'!L115,546)-MAX('Activities'!K115,540))</x:f>
        <x:v>0</x:v>
      </x:c>
      <x:c r="CR115" s="23" t="n">
        <x:f>MAX(0,MIN('Activities'!L115,552)-MAX('Activities'!K115,546))</x:f>
        <x:v>0</x:v>
      </x:c>
      <x:c r="CS115" s="23" t="n">
        <x:f>MAX(0,MIN('Activities'!L115,558)-MAX('Activities'!K115,552))</x:f>
        <x:v>0</x:v>
      </x:c>
      <x:c r="CT115" s="23" t="n">
        <x:f>MAX(0,MIN('Activities'!L115,564)-MAX('Activities'!K115,558))</x:f>
        <x:v>0</x:v>
      </x:c>
      <x:c r="CU115" s="23" t="n">
        <x:f>MAX(0,MIN('Activities'!L115,570)-MAX('Activities'!K115,564))</x:f>
        <x:v>0</x:v>
      </x:c>
      <x:c r="CV115" s="23" t="n">
        <x:f>MAX(0,MIN('Activities'!L115,576)-MAX('Activities'!K115,570))</x:f>
        <x:v>0</x:v>
      </x:c>
      <x:c r="CW115" s="23" t="n">
        <x:f>MAX(0,MIN('Activities'!L115,582)-MAX('Activities'!K115,576))</x:f>
        <x:v>0</x:v>
      </x:c>
      <x:c r="CX115" s="23" t="n">
        <x:f>MAX(0,MIN('Activities'!L115,588)-MAX('Activities'!K115,582))</x:f>
        <x:v>0</x:v>
      </x:c>
      <x:c r="CY115" s="23" t="n">
        <x:f>MAX(0,MIN('Activities'!L115,594)-MAX('Activities'!K115,588))</x:f>
        <x:v>0</x:v>
      </x:c>
      <x:c r="CZ115" s="23" t="n">
        <x:f>MAX(0,MIN('Activities'!L115,600)-MAX('Activities'!K115,594))</x:f>
        <x:v>0</x:v>
      </x:c>
      <x:c r="DA115" s="23" t="n">
        <x:f>MAX(0,MIN('Activities'!L115,606)-MAX('Activities'!K115,600))</x:f>
        <x:v>0</x:v>
      </x:c>
      <x:c r="DB115" s="23" t="n">
        <x:f>MAX(0,MIN('Activities'!L115,612)-MAX('Activities'!K115,606))</x:f>
        <x:v>0</x:v>
      </x:c>
      <x:c r="DC115" s="23" t="n">
        <x:f>MAX(0,MIN('Activities'!L115,618)-MAX('Activities'!K115,612))</x:f>
        <x:v>0</x:v>
      </x:c>
      <x:c r="DD115" s="23" t="n">
        <x:f>MAX(0,MIN('Activities'!L115,624)-MAX('Activities'!K115,618))</x:f>
        <x:v>0</x:v>
      </x:c>
      <x:c r="DE115" s="23" t="n">
        <x:f>MAX(0,MIN('Activities'!L115,630)-MAX('Activities'!K115,624))</x:f>
        <x:v>0</x:v>
      </x:c>
      <x:c r="DF115" s="23" t="n">
        <x:f>MAX(0,MIN('Activities'!L115,636)-MAX('Activities'!K115,630))</x:f>
        <x:v>0</x:v>
      </x:c>
    </x:row>
    <x:row r="116" ht="23" customHeight="1">
      <x:c r="A116" s="6" t="str">
        <x:v>T1-L07-T</x:v>
      </x:c>
      <x:c r="B116" s="6" t="str">
        <x:v>T1</x:v>
      </x:c>
      <x:c r="C116" s="6" t="str">
        <x:v>Floor finishes and skirtings</x:v>
      </x:c>
      <x:c r="D116" s="6" t="str">
        <x:v>Finishes</x:v>
      </x:c>
      <x:c r="E116" s="22" t="n">
        <x:f>MAX(0,MIN('Activities'!L116,6)-MAX('Activities'!K116,0))</x:f>
        <x:v>0</x:v>
      </x:c>
      <x:c r="F116" s="22" t="n">
        <x:f>MAX(0,MIN('Activities'!L116,12)-MAX('Activities'!K116,6))</x:f>
        <x:v>0</x:v>
      </x:c>
      <x:c r="G116" s="22" t="n">
        <x:f>MAX(0,MIN('Activities'!L116,18)-MAX('Activities'!K116,12))</x:f>
        <x:v>0</x:v>
      </x:c>
      <x:c r="H116" s="22" t="n">
        <x:f>MAX(0,MIN('Activities'!L116,24)-MAX('Activities'!K116,18))</x:f>
        <x:v>0</x:v>
      </x:c>
      <x:c r="I116" s="22" t="n">
        <x:f>MAX(0,MIN('Activities'!L116,30)-MAX('Activities'!K116,24))</x:f>
        <x:v>0</x:v>
      </x:c>
      <x:c r="J116" s="22" t="n">
        <x:f>MAX(0,MIN('Activities'!L116,36)-MAX('Activities'!K116,30))</x:f>
        <x:v>0</x:v>
      </x:c>
      <x:c r="K116" s="22" t="n">
        <x:f>MAX(0,MIN('Activities'!L116,42)-MAX('Activities'!K116,36))</x:f>
        <x:v>0</x:v>
      </x:c>
      <x:c r="L116" s="22" t="n">
        <x:f>MAX(0,MIN('Activities'!L116,48)-MAX('Activities'!K116,42))</x:f>
        <x:v>0</x:v>
      </x:c>
      <x:c r="M116" s="22" t="n">
        <x:f>MAX(0,MIN('Activities'!L116,54)-MAX('Activities'!K116,48))</x:f>
        <x:v>0</x:v>
      </x:c>
      <x:c r="N116" s="22" t="n">
        <x:f>MAX(0,MIN('Activities'!L116,60)-MAX('Activities'!K116,54))</x:f>
        <x:v>0</x:v>
      </x:c>
      <x:c r="O116" s="22" t="n">
        <x:f>MAX(0,MIN('Activities'!L116,66)-MAX('Activities'!K116,60))</x:f>
        <x:v>0</x:v>
      </x:c>
      <x:c r="P116" s="22" t="n">
        <x:f>MAX(0,MIN('Activities'!L116,72)-MAX('Activities'!K116,66))</x:f>
        <x:v>0</x:v>
      </x:c>
      <x:c r="Q116" s="22" t="n">
        <x:f>MAX(0,MIN('Activities'!L116,78)-MAX('Activities'!K116,72))</x:f>
        <x:v>0</x:v>
      </x:c>
      <x:c r="R116" s="22" t="n">
        <x:f>MAX(0,MIN('Activities'!L116,84)-MAX('Activities'!K116,78))</x:f>
        <x:v>0</x:v>
      </x:c>
      <x:c r="S116" s="22" t="n">
        <x:f>MAX(0,MIN('Activities'!L116,90)-MAX('Activities'!K116,84))</x:f>
        <x:v>0</x:v>
      </x:c>
      <x:c r="T116" s="22" t="n">
        <x:f>MAX(0,MIN('Activities'!L116,96)-MAX('Activities'!K116,90))</x:f>
        <x:v>0</x:v>
      </x:c>
      <x:c r="U116" s="22" t="n">
        <x:f>MAX(0,MIN('Activities'!L116,102)-MAX('Activities'!K116,96))</x:f>
        <x:v>0</x:v>
      </x:c>
      <x:c r="V116" s="22" t="n">
        <x:f>MAX(0,MIN('Activities'!L116,108)-MAX('Activities'!K116,102))</x:f>
        <x:v>0</x:v>
      </x:c>
      <x:c r="W116" s="22" t="n">
        <x:f>MAX(0,MIN('Activities'!L116,114)-MAX('Activities'!K116,108))</x:f>
        <x:v>0</x:v>
      </x:c>
      <x:c r="X116" s="22" t="n">
        <x:f>MAX(0,MIN('Activities'!L116,120)-MAX('Activities'!K116,114))</x:f>
        <x:v>0</x:v>
      </x:c>
      <x:c r="Y116" s="22" t="n">
        <x:f>MAX(0,MIN('Activities'!L116,126)-MAX('Activities'!K116,120))</x:f>
        <x:v>0</x:v>
      </x:c>
      <x:c r="Z116" s="22" t="n">
        <x:f>MAX(0,MIN('Activities'!L116,132)-MAX('Activities'!K116,126))</x:f>
        <x:v>0</x:v>
      </x:c>
      <x:c r="AA116" s="22" t="n">
        <x:f>MAX(0,MIN('Activities'!L116,138)-MAX('Activities'!K116,132))</x:f>
        <x:v>0</x:v>
      </x:c>
      <x:c r="AB116" s="22" t="n">
        <x:f>MAX(0,MIN('Activities'!L116,144)-MAX('Activities'!K116,138))</x:f>
        <x:v>0</x:v>
      </x:c>
      <x:c r="AC116" s="22" t="n">
        <x:f>MAX(0,MIN('Activities'!L116,150)-MAX('Activities'!K116,144))</x:f>
        <x:v>0</x:v>
      </x:c>
      <x:c r="AD116" s="22" t="n">
        <x:f>MAX(0,MIN('Activities'!L116,156)-MAX('Activities'!K116,150))</x:f>
        <x:v>0</x:v>
      </x:c>
      <x:c r="AE116" s="22" t="n">
        <x:f>MAX(0,MIN('Activities'!L116,162)-MAX('Activities'!K116,156))</x:f>
        <x:v>0</x:v>
      </x:c>
      <x:c r="AF116" s="22" t="n">
        <x:f>MAX(0,MIN('Activities'!L116,168)-MAX('Activities'!K116,162))</x:f>
        <x:v>0</x:v>
      </x:c>
      <x:c r="AG116" s="22" t="n">
        <x:f>MAX(0,MIN('Activities'!L116,174)-MAX('Activities'!K116,168))</x:f>
        <x:v>0</x:v>
      </x:c>
      <x:c r="AH116" s="22" t="n">
        <x:f>MAX(0,MIN('Activities'!L116,180)-MAX('Activities'!K116,174))</x:f>
        <x:v>0</x:v>
      </x:c>
      <x:c r="AI116" s="22" t="n">
        <x:f>MAX(0,MIN('Activities'!L116,186)-MAX('Activities'!K116,180))</x:f>
        <x:v>0</x:v>
      </x:c>
      <x:c r="AJ116" s="22" t="n">
        <x:f>MAX(0,MIN('Activities'!L116,192)-MAX('Activities'!K116,186))</x:f>
        <x:v>0</x:v>
      </x:c>
      <x:c r="AK116" s="22" t="n">
        <x:f>MAX(0,MIN('Activities'!L116,198)-MAX('Activities'!K116,192))</x:f>
        <x:v>0</x:v>
      </x:c>
      <x:c r="AL116" s="22" t="n">
        <x:f>MAX(0,MIN('Activities'!L116,204)-MAX('Activities'!K116,198))</x:f>
        <x:v>0</x:v>
      </x:c>
      <x:c r="AM116" s="22" t="n">
        <x:f>MAX(0,MIN('Activities'!L116,210)-MAX('Activities'!K116,204))</x:f>
        <x:v>0</x:v>
      </x:c>
      <x:c r="AN116" s="22" t="n">
        <x:f>MAX(0,MIN('Activities'!L116,216)-MAX('Activities'!K116,210))</x:f>
        <x:v>0</x:v>
      </x:c>
      <x:c r="AO116" s="22" t="n">
        <x:f>MAX(0,MIN('Activities'!L116,222)-MAX('Activities'!K116,216))</x:f>
        <x:v>0</x:v>
      </x:c>
      <x:c r="AP116" s="22" t="n">
        <x:f>MAX(0,MIN('Activities'!L116,228)-MAX('Activities'!K116,222))</x:f>
        <x:v>0</x:v>
      </x:c>
      <x:c r="AQ116" s="22" t="n">
        <x:f>MAX(0,MIN('Activities'!L116,234)-MAX('Activities'!K116,228))</x:f>
        <x:v>0</x:v>
      </x:c>
      <x:c r="AR116" s="22" t="n">
        <x:f>MAX(0,MIN('Activities'!L116,240)-MAX('Activities'!K116,234))</x:f>
        <x:v>0</x:v>
      </x:c>
      <x:c r="AS116" s="22" t="n">
        <x:f>MAX(0,MIN('Activities'!L116,246)-MAX('Activities'!K116,240))</x:f>
        <x:v>0</x:v>
      </x:c>
      <x:c r="AT116" s="22" t="n">
        <x:f>MAX(0,MIN('Activities'!L116,252)-MAX('Activities'!K116,246))</x:f>
        <x:v>0</x:v>
      </x:c>
      <x:c r="AU116" s="22" t="n">
        <x:f>MAX(0,MIN('Activities'!L116,258)-MAX('Activities'!K116,252))</x:f>
        <x:v>0</x:v>
      </x:c>
      <x:c r="AV116" s="22" t="n">
        <x:f>MAX(0,MIN('Activities'!L116,264)-MAX('Activities'!K116,258))</x:f>
        <x:v>0</x:v>
      </x:c>
      <x:c r="AW116" s="22" t="n">
        <x:f>MAX(0,MIN('Activities'!L116,270)-MAX('Activities'!K116,264))</x:f>
        <x:v>0</x:v>
      </x:c>
      <x:c r="AX116" s="22" t="n">
        <x:f>MAX(0,MIN('Activities'!L116,276)-MAX('Activities'!K116,270))</x:f>
        <x:v>0</x:v>
      </x:c>
      <x:c r="AY116" s="22" t="n">
        <x:f>MAX(0,MIN('Activities'!L116,282)-MAX('Activities'!K116,276))</x:f>
        <x:v>0</x:v>
      </x:c>
      <x:c r="AZ116" s="22" t="n">
        <x:f>MAX(0,MIN('Activities'!L116,288)-MAX('Activities'!K116,282))</x:f>
        <x:v>0</x:v>
      </x:c>
      <x:c r="BA116" s="22" t="n">
        <x:f>MAX(0,MIN('Activities'!L116,294)-MAX('Activities'!K116,288))</x:f>
        <x:v>0</x:v>
      </x:c>
      <x:c r="BB116" s="22" t="n">
        <x:f>MAX(0,MIN('Activities'!L116,300)-MAX('Activities'!K116,294))</x:f>
        <x:v>0</x:v>
      </x:c>
      <x:c r="BC116" s="22" t="n">
        <x:f>MAX(0,MIN('Activities'!L116,306)-MAX('Activities'!K116,300))</x:f>
        <x:v>0</x:v>
      </x:c>
      <x:c r="BD116" s="22" t="n">
        <x:f>MAX(0,MIN('Activities'!L116,312)-MAX('Activities'!K116,306))</x:f>
        <x:v>0</x:v>
      </x:c>
      <x:c r="BE116" s="22" t="n">
        <x:f>MAX(0,MIN('Activities'!L116,318)-MAX('Activities'!K116,312))</x:f>
        <x:v>0</x:v>
      </x:c>
      <x:c r="BF116" s="22" t="n">
        <x:f>MAX(0,MIN('Activities'!L116,324)-MAX('Activities'!K116,318))</x:f>
        <x:v>0</x:v>
      </x:c>
      <x:c r="BG116" s="22" t="n">
        <x:f>MAX(0,MIN('Activities'!L116,330)-MAX('Activities'!K116,324))</x:f>
        <x:v>0</x:v>
      </x:c>
      <x:c r="BH116" s="22" t="n">
        <x:f>MAX(0,MIN('Activities'!L116,336)-MAX('Activities'!K116,330))</x:f>
        <x:v>0</x:v>
      </x:c>
      <x:c r="BI116" s="22" t="n">
        <x:f>MAX(0,MIN('Activities'!L116,342)-MAX('Activities'!K116,336))</x:f>
        <x:v>0</x:v>
      </x:c>
      <x:c r="BJ116" s="22" t="n">
        <x:f>MAX(0,MIN('Activities'!L116,348)-MAX('Activities'!K116,342))</x:f>
        <x:v>0</x:v>
      </x:c>
      <x:c r="BK116" s="22" t="n">
        <x:f>MAX(0,MIN('Activities'!L116,354)-MAX('Activities'!K116,348))</x:f>
        <x:v>0</x:v>
      </x:c>
      <x:c r="BL116" s="22" t="n">
        <x:f>MAX(0,MIN('Activities'!L116,360)-MAX('Activities'!K116,354))</x:f>
        <x:v>0</x:v>
      </x:c>
      <x:c r="BM116" s="22" t="n">
        <x:f>MAX(0,MIN('Activities'!L116,366)-MAX('Activities'!K116,360))</x:f>
        <x:v>0</x:v>
      </x:c>
      <x:c r="BN116" s="22" t="n">
        <x:f>MAX(0,MIN('Activities'!L116,372)-MAX('Activities'!K116,366))</x:f>
        <x:v>0</x:v>
      </x:c>
      <x:c r="BO116" s="22" t="n">
        <x:f>MAX(0,MIN('Activities'!L116,378)-MAX('Activities'!K116,372))</x:f>
        <x:v>0</x:v>
      </x:c>
      <x:c r="BP116" s="22" t="n">
        <x:f>MAX(0,MIN('Activities'!L116,384)-MAX('Activities'!K116,378))</x:f>
        <x:v>0</x:v>
      </x:c>
      <x:c r="BQ116" s="22" t="n">
        <x:f>MAX(0,MIN('Activities'!L116,390)-MAX('Activities'!K116,384))</x:f>
        <x:v>0</x:v>
      </x:c>
      <x:c r="BR116" s="22" t="n">
        <x:f>MAX(0,MIN('Activities'!L116,396)-MAX('Activities'!K116,390))</x:f>
        <x:v>0</x:v>
      </x:c>
      <x:c r="BS116" s="22" t="n">
        <x:f>MAX(0,MIN('Activities'!L116,402)-MAX('Activities'!K116,396))</x:f>
        <x:v>1</x:v>
      </x:c>
      <x:c r="BT116" s="22" t="n">
        <x:f>MAX(0,MIN('Activities'!L116,408)-MAX('Activities'!K116,402))</x:f>
        <x:v>5</x:v>
      </x:c>
      <x:c r="BU116" s="22" t="n">
        <x:f>MAX(0,MIN('Activities'!L116,414)-MAX('Activities'!K116,408))</x:f>
        <x:v>0</x:v>
      </x:c>
      <x:c r="BV116" s="22" t="n">
        <x:f>MAX(0,MIN('Activities'!L116,420)-MAX('Activities'!K116,414))</x:f>
        <x:v>0</x:v>
      </x:c>
      <x:c r="BW116" s="22" t="n">
        <x:f>MAX(0,MIN('Activities'!L116,426)-MAX('Activities'!K116,420))</x:f>
        <x:v>0</x:v>
      </x:c>
      <x:c r="BX116" s="22" t="n">
        <x:f>MAX(0,MIN('Activities'!L116,432)-MAX('Activities'!K116,426))</x:f>
        <x:v>0</x:v>
      </x:c>
      <x:c r="BY116" s="22" t="n">
        <x:f>MAX(0,MIN('Activities'!L116,438)-MAX('Activities'!K116,432))</x:f>
        <x:v>0</x:v>
      </x:c>
      <x:c r="BZ116" s="22" t="n">
        <x:f>MAX(0,MIN('Activities'!L116,444)-MAX('Activities'!K116,438))</x:f>
        <x:v>0</x:v>
      </x:c>
      <x:c r="CA116" s="22" t="n">
        <x:f>MAX(0,MIN('Activities'!L116,450)-MAX('Activities'!K116,444))</x:f>
        <x:v>0</x:v>
      </x:c>
      <x:c r="CB116" s="22" t="n">
        <x:f>MAX(0,MIN('Activities'!L116,456)-MAX('Activities'!K116,450))</x:f>
        <x:v>0</x:v>
      </x:c>
      <x:c r="CC116" s="22" t="n">
        <x:f>MAX(0,MIN('Activities'!L116,462)-MAX('Activities'!K116,456))</x:f>
        <x:v>0</x:v>
      </x:c>
      <x:c r="CD116" s="22" t="n">
        <x:f>MAX(0,MIN('Activities'!L116,468)-MAX('Activities'!K116,462))</x:f>
        <x:v>0</x:v>
      </x:c>
      <x:c r="CE116" s="22" t="n">
        <x:f>MAX(0,MIN('Activities'!L116,474)-MAX('Activities'!K116,468))</x:f>
        <x:v>0</x:v>
      </x:c>
      <x:c r="CF116" s="22" t="n">
        <x:f>MAX(0,MIN('Activities'!L116,480)-MAX('Activities'!K116,474))</x:f>
        <x:v>0</x:v>
      </x:c>
      <x:c r="CG116" s="22" t="n">
        <x:f>MAX(0,MIN('Activities'!L116,486)-MAX('Activities'!K116,480))</x:f>
        <x:v>0</x:v>
      </x:c>
      <x:c r="CH116" s="22" t="n">
        <x:f>MAX(0,MIN('Activities'!L116,492)-MAX('Activities'!K116,486))</x:f>
        <x:v>0</x:v>
      </x:c>
      <x:c r="CI116" s="22" t="n">
        <x:f>MAX(0,MIN('Activities'!L116,498)-MAX('Activities'!K116,492))</x:f>
        <x:v>0</x:v>
      </x:c>
      <x:c r="CJ116" s="22" t="n">
        <x:f>MAX(0,MIN('Activities'!L116,504)-MAX('Activities'!K116,498))</x:f>
        <x:v>0</x:v>
      </x:c>
      <x:c r="CK116" s="22" t="n">
        <x:f>MAX(0,MIN('Activities'!L116,510)-MAX('Activities'!K116,504))</x:f>
        <x:v>0</x:v>
      </x:c>
      <x:c r="CL116" s="22" t="n">
        <x:f>MAX(0,MIN('Activities'!L116,516)-MAX('Activities'!K116,510))</x:f>
        <x:v>0</x:v>
      </x:c>
      <x:c r="CM116" s="22" t="n">
        <x:f>MAX(0,MIN('Activities'!L116,522)-MAX('Activities'!K116,516))</x:f>
        <x:v>0</x:v>
      </x:c>
      <x:c r="CN116" s="22" t="n">
        <x:f>MAX(0,MIN('Activities'!L116,528)-MAX('Activities'!K116,522))</x:f>
        <x:v>0</x:v>
      </x:c>
      <x:c r="CO116" s="22" t="n">
        <x:f>MAX(0,MIN('Activities'!L116,534)-MAX('Activities'!K116,528))</x:f>
        <x:v>0</x:v>
      </x:c>
      <x:c r="CP116" s="22" t="n">
        <x:f>MAX(0,MIN('Activities'!L116,540)-MAX('Activities'!K116,534))</x:f>
        <x:v>0</x:v>
      </x:c>
      <x:c r="CQ116" s="22" t="n">
        <x:f>MAX(0,MIN('Activities'!L116,546)-MAX('Activities'!K116,540))</x:f>
        <x:v>0</x:v>
      </x:c>
      <x:c r="CR116" s="22" t="n">
        <x:f>MAX(0,MIN('Activities'!L116,552)-MAX('Activities'!K116,546))</x:f>
        <x:v>0</x:v>
      </x:c>
      <x:c r="CS116" s="22" t="n">
        <x:f>MAX(0,MIN('Activities'!L116,558)-MAX('Activities'!K116,552))</x:f>
        <x:v>0</x:v>
      </x:c>
      <x:c r="CT116" s="22" t="n">
        <x:f>MAX(0,MIN('Activities'!L116,564)-MAX('Activities'!K116,558))</x:f>
        <x:v>0</x:v>
      </x:c>
      <x:c r="CU116" s="22" t="n">
        <x:f>MAX(0,MIN('Activities'!L116,570)-MAX('Activities'!K116,564))</x:f>
        <x:v>0</x:v>
      </x:c>
      <x:c r="CV116" s="22" t="n">
        <x:f>MAX(0,MIN('Activities'!L116,576)-MAX('Activities'!K116,570))</x:f>
        <x:v>0</x:v>
      </x:c>
      <x:c r="CW116" s="22" t="n">
        <x:f>MAX(0,MIN('Activities'!L116,582)-MAX('Activities'!K116,576))</x:f>
        <x:v>0</x:v>
      </x:c>
      <x:c r="CX116" s="22" t="n">
        <x:f>MAX(0,MIN('Activities'!L116,588)-MAX('Activities'!K116,582))</x:f>
        <x:v>0</x:v>
      </x:c>
      <x:c r="CY116" s="22" t="n">
        <x:f>MAX(0,MIN('Activities'!L116,594)-MAX('Activities'!K116,588))</x:f>
        <x:v>0</x:v>
      </x:c>
      <x:c r="CZ116" s="22" t="n">
        <x:f>MAX(0,MIN('Activities'!L116,600)-MAX('Activities'!K116,594))</x:f>
        <x:v>0</x:v>
      </x:c>
      <x:c r="DA116" s="22" t="n">
        <x:f>MAX(0,MIN('Activities'!L116,606)-MAX('Activities'!K116,600))</x:f>
        <x:v>0</x:v>
      </x:c>
      <x:c r="DB116" s="22" t="n">
        <x:f>MAX(0,MIN('Activities'!L116,612)-MAX('Activities'!K116,606))</x:f>
        <x:v>0</x:v>
      </x:c>
      <x:c r="DC116" s="22" t="n">
        <x:f>MAX(0,MIN('Activities'!L116,618)-MAX('Activities'!K116,612))</x:f>
        <x:v>0</x:v>
      </x:c>
      <x:c r="DD116" s="22" t="n">
        <x:f>MAX(0,MIN('Activities'!L116,624)-MAX('Activities'!K116,618))</x:f>
        <x:v>0</x:v>
      </x:c>
      <x:c r="DE116" s="22" t="n">
        <x:f>MAX(0,MIN('Activities'!L116,630)-MAX('Activities'!K116,624))</x:f>
        <x:v>0</x:v>
      </x:c>
      <x:c r="DF116" s="22" t="n">
        <x:f>MAX(0,MIN('Activities'!L116,636)-MAX('Activities'!K116,630))</x:f>
        <x:v>0</x:v>
      </x:c>
    </x:row>
    <x:row r="117" ht="23" customHeight="1">
      <x:c r="A117" s="1" t="str">
        <x:v>T1-L07-A</x:v>
      </x:c>
      <x:c r="B117" s="1" t="str">
        <x:v>T1</x:v>
      </x:c>
      <x:c r="C117" s="1" t="str">
        <x:v>Paint and final decorations</x:v>
      </x:c>
      <x:c r="D117" s="1" t="str">
        <x:v>Finishes</x:v>
      </x:c>
      <x:c r="E117" s="23" t="n">
        <x:f>MAX(0,MIN('Activities'!L117,6)-MAX('Activities'!K117,0))</x:f>
        <x:v>0</x:v>
      </x:c>
      <x:c r="F117" s="23" t="n">
        <x:f>MAX(0,MIN('Activities'!L117,12)-MAX('Activities'!K117,6))</x:f>
        <x:v>0</x:v>
      </x:c>
      <x:c r="G117" s="23" t="n">
        <x:f>MAX(0,MIN('Activities'!L117,18)-MAX('Activities'!K117,12))</x:f>
        <x:v>0</x:v>
      </x:c>
      <x:c r="H117" s="23" t="n">
        <x:f>MAX(0,MIN('Activities'!L117,24)-MAX('Activities'!K117,18))</x:f>
        <x:v>0</x:v>
      </x:c>
      <x:c r="I117" s="23" t="n">
        <x:f>MAX(0,MIN('Activities'!L117,30)-MAX('Activities'!K117,24))</x:f>
        <x:v>0</x:v>
      </x:c>
      <x:c r="J117" s="23" t="n">
        <x:f>MAX(0,MIN('Activities'!L117,36)-MAX('Activities'!K117,30))</x:f>
        <x:v>0</x:v>
      </x:c>
      <x:c r="K117" s="23" t="n">
        <x:f>MAX(0,MIN('Activities'!L117,42)-MAX('Activities'!K117,36))</x:f>
        <x:v>0</x:v>
      </x:c>
      <x:c r="L117" s="23" t="n">
        <x:f>MAX(0,MIN('Activities'!L117,48)-MAX('Activities'!K117,42))</x:f>
        <x:v>0</x:v>
      </x:c>
      <x:c r="M117" s="23" t="n">
        <x:f>MAX(0,MIN('Activities'!L117,54)-MAX('Activities'!K117,48))</x:f>
        <x:v>0</x:v>
      </x:c>
      <x:c r="N117" s="23" t="n">
        <x:f>MAX(0,MIN('Activities'!L117,60)-MAX('Activities'!K117,54))</x:f>
        <x:v>0</x:v>
      </x:c>
      <x:c r="O117" s="23" t="n">
        <x:f>MAX(0,MIN('Activities'!L117,66)-MAX('Activities'!K117,60))</x:f>
        <x:v>0</x:v>
      </x:c>
      <x:c r="P117" s="23" t="n">
        <x:f>MAX(0,MIN('Activities'!L117,72)-MAX('Activities'!K117,66))</x:f>
        <x:v>0</x:v>
      </x:c>
      <x:c r="Q117" s="23" t="n">
        <x:f>MAX(0,MIN('Activities'!L117,78)-MAX('Activities'!K117,72))</x:f>
        <x:v>0</x:v>
      </x:c>
      <x:c r="R117" s="23" t="n">
        <x:f>MAX(0,MIN('Activities'!L117,84)-MAX('Activities'!K117,78))</x:f>
        <x:v>0</x:v>
      </x:c>
      <x:c r="S117" s="23" t="n">
        <x:f>MAX(0,MIN('Activities'!L117,90)-MAX('Activities'!K117,84))</x:f>
        <x:v>0</x:v>
      </x:c>
      <x:c r="T117" s="23" t="n">
        <x:f>MAX(0,MIN('Activities'!L117,96)-MAX('Activities'!K117,90))</x:f>
        <x:v>0</x:v>
      </x:c>
      <x:c r="U117" s="23" t="n">
        <x:f>MAX(0,MIN('Activities'!L117,102)-MAX('Activities'!K117,96))</x:f>
        <x:v>0</x:v>
      </x:c>
      <x:c r="V117" s="23" t="n">
        <x:f>MAX(0,MIN('Activities'!L117,108)-MAX('Activities'!K117,102))</x:f>
        <x:v>0</x:v>
      </x:c>
      <x:c r="W117" s="23" t="n">
        <x:f>MAX(0,MIN('Activities'!L117,114)-MAX('Activities'!K117,108))</x:f>
        <x:v>0</x:v>
      </x:c>
      <x:c r="X117" s="23" t="n">
        <x:f>MAX(0,MIN('Activities'!L117,120)-MAX('Activities'!K117,114))</x:f>
        <x:v>0</x:v>
      </x:c>
      <x:c r="Y117" s="23" t="n">
        <x:f>MAX(0,MIN('Activities'!L117,126)-MAX('Activities'!K117,120))</x:f>
        <x:v>0</x:v>
      </x:c>
      <x:c r="Z117" s="23" t="n">
        <x:f>MAX(0,MIN('Activities'!L117,132)-MAX('Activities'!K117,126))</x:f>
        <x:v>0</x:v>
      </x:c>
      <x:c r="AA117" s="23" t="n">
        <x:f>MAX(0,MIN('Activities'!L117,138)-MAX('Activities'!K117,132))</x:f>
        <x:v>0</x:v>
      </x:c>
      <x:c r="AB117" s="23" t="n">
        <x:f>MAX(0,MIN('Activities'!L117,144)-MAX('Activities'!K117,138))</x:f>
        <x:v>0</x:v>
      </x:c>
      <x:c r="AC117" s="23" t="n">
        <x:f>MAX(0,MIN('Activities'!L117,150)-MAX('Activities'!K117,144))</x:f>
        <x:v>0</x:v>
      </x:c>
      <x:c r="AD117" s="23" t="n">
        <x:f>MAX(0,MIN('Activities'!L117,156)-MAX('Activities'!K117,150))</x:f>
        <x:v>0</x:v>
      </x:c>
      <x:c r="AE117" s="23" t="n">
        <x:f>MAX(0,MIN('Activities'!L117,162)-MAX('Activities'!K117,156))</x:f>
        <x:v>0</x:v>
      </x:c>
      <x:c r="AF117" s="23" t="n">
        <x:f>MAX(0,MIN('Activities'!L117,168)-MAX('Activities'!K117,162))</x:f>
        <x:v>0</x:v>
      </x:c>
      <x:c r="AG117" s="23" t="n">
        <x:f>MAX(0,MIN('Activities'!L117,174)-MAX('Activities'!K117,168))</x:f>
        <x:v>0</x:v>
      </x:c>
      <x:c r="AH117" s="23" t="n">
        <x:f>MAX(0,MIN('Activities'!L117,180)-MAX('Activities'!K117,174))</x:f>
        <x:v>0</x:v>
      </x:c>
      <x:c r="AI117" s="23" t="n">
        <x:f>MAX(0,MIN('Activities'!L117,186)-MAX('Activities'!K117,180))</x:f>
        <x:v>0</x:v>
      </x:c>
      <x:c r="AJ117" s="23" t="n">
        <x:f>MAX(0,MIN('Activities'!L117,192)-MAX('Activities'!K117,186))</x:f>
        <x:v>0</x:v>
      </x:c>
      <x:c r="AK117" s="23" t="n">
        <x:f>MAX(0,MIN('Activities'!L117,198)-MAX('Activities'!K117,192))</x:f>
        <x:v>0</x:v>
      </x:c>
      <x:c r="AL117" s="23" t="n">
        <x:f>MAX(0,MIN('Activities'!L117,204)-MAX('Activities'!K117,198))</x:f>
        <x:v>0</x:v>
      </x:c>
      <x:c r="AM117" s="23" t="n">
        <x:f>MAX(0,MIN('Activities'!L117,210)-MAX('Activities'!K117,204))</x:f>
        <x:v>0</x:v>
      </x:c>
      <x:c r="AN117" s="23" t="n">
        <x:f>MAX(0,MIN('Activities'!L117,216)-MAX('Activities'!K117,210))</x:f>
        <x:v>0</x:v>
      </x:c>
      <x:c r="AO117" s="23" t="n">
        <x:f>MAX(0,MIN('Activities'!L117,222)-MAX('Activities'!K117,216))</x:f>
        <x:v>0</x:v>
      </x:c>
      <x:c r="AP117" s="23" t="n">
        <x:f>MAX(0,MIN('Activities'!L117,228)-MAX('Activities'!K117,222))</x:f>
        <x:v>0</x:v>
      </x:c>
      <x:c r="AQ117" s="23" t="n">
        <x:f>MAX(0,MIN('Activities'!L117,234)-MAX('Activities'!K117,228))</x:f>
        <x:v>0</x:v>
      </x:c>
      <x:c r="AR117" s="23" t="n">
        <x:f>MAX(0,MIN('Activities'!L117,240)-MAX('Activities'!K117,234))</x:f>
        <x:v>0</x:v>
      </x:c>
      <x:c r="AS117" s="23" t="n">
        <x:f>MAX(0,MIN('Activities'!L117,246)-MAX('Activities'!K117,240))</x:f>
        <x:v>0</x:v>
      </x:c>
      <x:c r="AT117" s="23" t="n">
        <x:f>MAX(0,MIN('Activities'!L117,252)-MAX('Activities'!K117,246))</x:f>
        <x:v>0</x:v>
      </x:c>
      <x:c r="AU117" s="23" t="n">
        <x:f>MAX(0,MIN('Activities'!L117,258)-MAX('Activities'!K117,252))</x:f>
        <x:v>0</x:v>
      </x:c>
      <x:c r="AV117" s="23" t="n">
        <x:f>MAX(0,MIN('Activities'!L117,264)-MAX('Activities'!K117,258))</x:f>
        <x:v>0</x:v>
      </x:c>
      <x:c r="AW117" s="23" t="n">
        <x:f>MAX(0,MIN('Activities'!L117,270)-MAX('Activities'!K117,264))</x:f>
        <x:v>0</x:v>
      </x:c>
      <x:c r="AX117" s="23" t="n">
        <x:f>MAX(0,MIN('Activities'!L117,276)-MAX('Activities'!K117,270))</x:f>
        <x:v>0</x:v>
      </x:c>
      <x:c r="AY117" s="23" t="n">
        <x:f>MAX(0,MIN('Activities'!L117,282)-MAX('Activities'!K117,276))</x:f>
        <x:v>0</x:v>
      </x:c>
      <x:c r="AZ117" s="23" t="n">
        <x:f>MAX(0,MIN('Activities'!L117,288)-MAX('Activities'!K117,282))</x:f>
        <x:v>0</x:v>
      </x:c>
      <x:c r="BA117" s="23" t="n">
        <x:f>MAX(0,MIN('Activities'!L117,294)-MAX('Activities'!K117,288))</x:f>
        <x:v>0</x:v>
      </x:c>
      <x:c r="BB117" s="23" t="n">
        <x:f>MAX(0,MIN('Activities'!L117,300)-MAX('Activities'!K117,294))</x:f>
        <x:v>0</x:v>
      </x:c>
      <x:c r="BC117" s="23" t="n">
        <x:f>MAX(0,MIN('Activities'!L117,306)-MAX('Activities'!K117,300))</x:f>
        <x:v>0</x:v>
      </x:c>
      <x:c r="BD117" s="23" t="n">
        <x:f>MAX(0,MIN('Activities'!L117,312)-MAX('Activities'!K117,306))</x:f>
        <x:v>0</x:v>
      </x:c>
      <x:c r="BE117" s="23" t="n">
        <x:f>MAX(0,MIN('Activities'!L117,318)-MAX('Activities'!K117,312))</x:f>
        <x:v>0</x:v>
      </x:c>
      <x:c r="BF117" s="23" t="n">
        <x:f>MAX(0,MIN('Activities'!L117,324)-MAX('Activities'!K117,318))</x:f>
        <x:v>0</x:v>
      </x:c>
      <x:c r="BG117" s="23" t="n">
        <x:f>MAX(0,MIN('Activities'!L117,330)-MAX('Activities'!K117,324))</x:f>
        <x:v>0</x:v>
      </x:c>
      <x:c r="BH117" s="23" t="n">
        <x:f>MAX(0,MIN('Activities'!L117,336)-MAX('Activities'!K117,330))</x:f>
        <x:v>0</x:v>
      </x:c>
      <x:c r="BI117" s="23" t="n">
        <x:f>MAX(0,MIN('Activities'!L117,342)-MAX('Activities'!K117,336))</x:f>
        <x:v>0</x:v>
      </x:c>
      <x:c r="BJ117" s="23" t="n">
        <x:f>MAX(0,MIN('Activities'!L117,348)-MAX('Activities'!K117,342))</x:f>
        <x:v>0</x:v>
      </x:c>
      <x:c r="BK117" s="23" t="n">
        <x:f>MAX(0,MIN('Activities'!L117,354)-MAX('Activities'!K117,348))</x:f>
        <x:v>0</x:v>
      </x:c>
      <x:c r="BL117" s="23" t="n">
        <x:f>MAX(0,MIN('Activities'!L117,360)-MAX('Activities'!K117,354))</x:f>
        <x:v>0</x:v>
      </x:c>
      <x:c r="BM117" s="23" t="n">
        <x:f>MAX(0,MIN('Activities'!L117,366)-MAX('Activities'!K117,360))</x:f>
        <x:v>0</x:v>
      </x:c>
      <x:c r="BN117" s="23" t="n">
        <x:f>MAX(0,MIN('Activities'!L117,372)-MAX('Activities'!K117,366))</x:f>
        <x:v>0</x:v>
      </x:c>
      <x:c r="BO117" s="23" t="n">
        <x:f>MAX(0,MIN('Activities'!L117,378)-MAX('Activities'!K117,372))</x:f>
        <x:v>0</x:v>
      </x:c>
      <x:c r="BP117" s="23" t="n">
        <x:f>MAX(0,MIN('Activities'!L117,384)-MAX('Activities'!K117,378))</x:f>
        <x:v>0</x:v>
      </x:c>
      <x:c r="BQ117" s="23" t="n">
        <x:f>MAX(0,MIN('Activities'!L117,390)-MAX('Activities'!K117,384))</x:f>
        <x:v>0</x:v>
      </x:c>
      <x:c r="BR117" s="23" t="n">
        <x:f>MAX(0,MIN('Activities'!L117,396)-MAX('Activities'!K117,390))</x:f>
        <x:v>0</x:v>
      </x:c>
      <x:c r="BS117" s="23" t="n">
        <x:f>MAX(0,MIN('Activities'!L117,402)-MAX('Activities'!K117,396))</x:f>
        <x:v>0</x:v>
      </x:c>
      <x:c r="BT117" s="23" t="n">
        <x:f>MAX(0,MIN('Activities'!L117,408)-MAX('Activities'!K117,402))</x:f>
        <x:v>0</x:v>
      </x:c>
      <x:c r="BU117" s="23" t="n">
        <x:f>MAX(0,MIN('Activities'!L117,414)-MAX('Activities'!K117,408))</x:f>
        <x:v>5</x:v>
      </x:c>
      <x:c r="BV117" s="23" t="n">
        <x:f>MAX(0,MIN('Activities'!L117,420)-MAX('Activities'!K117,414))</x:f>
        <x:v>0</x:v>
      </x:c>
      <x:c r="BW117" s="23" t="n">
        <x:f>MAX(0,MIN('Activities'!L117,426)-MAX('Activities'!K117,420))</x:f>
        <x:v>0</x:v>
      </x:c>
      <x:c r="BX117" s="23" t="n">
        <x:f>MAX(0,MIN('Activities'!L117,432)-MAX('Activities'!K117,426))</x:f>
        <x:v>0</x:v>
      </x:c>
      <x:c r="BY117" s="23" t="n">
        <x:f>MAX(0,MIN('Activities'!L117,438)-MAX('Activities'!K117,432))</x:f>
        <x:v>0</x:v>
      </x:c>
      <x:c r="BZ117" s="23" t="n">
        <x:f>MAX(0,MIN('Activities'!L117,444)-MAX('Activities'!K117,438))</x:f>
        <x:v>0</x:v>
      </x:c>
      <x:c r="CA117" s="23" t="n">
        <x:f>MAX(0,MIN('Activities'!L117,450)-MAX('Activities'!K117,444))</x:f>
        <x:v>0</x:v>
      </x:c>
      <x:c r="CB117" s="23" t="n">
        <x:f>MAX(0,MIN('Activities'!L117,456)-MAX('Activities'!K117,450))</x:f>
        <x:v>0</x:v>
      </x:c>
      <x:c r="CC117" s="23" t="n">
        <x:f>MAX(0,MIN('Activities'!L117,462)-MAX('Activities'!K117,456))</x:f>
        <x:v>0</x:v>
      </x:c>
      <x:c r="CD117" s="23" t="n">
        <x:f>MAX(0,MIN('Activities'!L117,468)-MAX('Activities'!K117,462))</x:f>
        <x:v>0</x:v>
      </x:c>
      <x:c r="CE117" s="23" t="n">
        <x:f>MAX(0,MIN('Activities'!L117,474)-MAX('Activities'!K117,468))</x:f>
        <x:v>0</x:v>
      </x:c>
      <x:c r="CF117" s="23" t="n">
        <x:f>MAX(0,MIN('Activities'!L117,480)-MAX('Activities'!K117,474))</x:f>
        <x:v>0</x:v>
      </x:c>
      <x:c r="CG117" s="23" t="n">
        <x:f>MAX(0,MIN('Activities'!L117,486)-MAX('Activities'!K117,480))</x:f>
        <x:v>0</x:v>
      </x:c>
      <x:c r="CH117" s="23" t="n">
        <x:f>MAX(0,MIN('Activities'!L117,492)-MAX('Activities'!K117,486))</x:f>
        <x:v>0</x:v>
      </x:c>
      <x:c r="CI117" s="23" t="n">
        <x:f>MAX(0,MIN('Activities'!L117,498)-MAX('Activities'!K117,492))</x:f>
        <x:v>0</x:v>
      </x:c>
      <x:c r="CJ117" s="23" t="n">
        <x:f>MAX(0,MIN('Activities'!L117,504)-MAX('Activities'!K117,498))</x:f>
        <x:v>0</x:v>
      </x:c>
      <x:c r="CK117" s="23" t="n">
        <x:f>MAX(0,MIN('Activities'!L117,510)-MAX('Activities'!K117,504))</x:f>
        <x:v>0</x:v>
      </x:c>
      <x:c r="CL117" s="23" t="n">
        <x:f>MAX(0,MIN('Activities'!L117,516)-MAX('Activities'!K117,510))</x:f>
        <x:v>0</x:v>
      </x:c>
      <x:c r="CM117" s="23" t="n">
        <x:f>MAX(0,MIN('Activities'!L117,522)-MAX('Activities'!K117,516))</x:f>
        <x:v>0</x:v>
      </x:c>
      <x:c r="CN117" s="23" t="n">
        <x:f>MAX(0,MIN('Activities'!L117,528)-MAX('Activities'!K117,522))</x:f>
        <x:v>0</x:v>
      </x:c>
      <x:c r="CO117" s="23" t="n">
        <x:f>MAX(0,MIN('Activities'!L117,534)-MAX('Activities'!K117,528))</x:f>
        <x:v>0</x:v>
      </x:c>
      <x:c r="CP117" s="23" t="n">
        <x:f>MAX(0,MIN('Activities'!L117,540)-MAX('Activities'!K117,534))</x:f>
        <x:v>0</x:v>
      </x:c>
      <x:c r="CQ117" s="23" t="n">
        <x:f>MAX(0,MIN('Activities'!L117,546)-MAX('Activities'!K117,540))</x:f>
        <x:v>0</x:v>
      </x:c>
      <x:c r="CR117" s="23" t="n">
        <x:f>MAX(0,MIN('Activities'!L117,552)-MAX('Activities'!K117,546))</x:f>
        <x:v>0</x:v>
      </x:c>
      <x:c r="CS117" s="23" t="n">
        <x:f>MAX(0,MIN('Activities'!L117,558)-MAX('Activities'!K117,552))</x:f>
        <x:v>0</x:v>
      </x:c>
      <x:c r="CT117" s="23" t="n">
        <x:f>MAX(0,MIN('Activities'!L117,564)-MAX('Activities'!K117,558))</x:f>
        <x:v>0</x:v>
      </x:c>
      <x:c r="CU117" s="23" t="n">
        <x:f>MAX(0,MIN('Activities'!L117,570)-MAX('Activities'!K117,564))</x:f>
        <x:v>0</x:v>
      </x:c>
      <x:c r="CV117" s="23" t="n">
        <x:f>MAX(0,MIN('Activities'!L117,576)-MAX('Activities'!K117,570))</x:f>
        <x:v>0</x:v>
      </x:c>
      <x:c r="CW117" s="23" t="n">
        <x:f>MAX(0,MIN('Activities'!L117,582)-MAX('Activities'!K117,576))</x:f>
        <x:v>0</x:v>
      </x:c>
      <x:c r="CX117" s="23" t="n">
        <x:f>MAX(0,MIN('Activities'!L117,588)-MAX('Activities'!K117,582))</x:f>
        <x:v>0</x:v>
      </x:c>
      <x:c r="CY117" s="23" t="n">
        <x:f>MAX(0,MIN('Activities'!L117,594)-MAX('Activities'!K117,588))</x:f>
        <x:v>0</x:v>
      </x:c>
      <x:c r="CZ117" s="23" t="n">
        <x:f>MAX(0,MIN('Activities'!L117,600)-MAX('Activities'!K117,594))</x:f>
        <x:v>0</x:v>
      </x:c>
      <x:c r="DA117" s="23" t="n">
        <x:f>MAX(0,MIN('Activities'!L117,606)-MAX('Activities'!K117,600))</x:f>
        <x:v>0</x:v>
      </x:c>
      <x:c r="DB117" s="23" t="n">
        <x:f>MAX(0,MIN('Activities'!L117,612)-MAX('Activities'!K117,606))</x:f>
        <x:v>0</x:v>
      </x:c>
      <x:c r="DC117" s="23" t="n">
        <x:f>MAX(0,MIN('Activities'!L117,618)-MAX('Activities'!K117,612))</x:f>
        <x:v>0</x:v>
      </x:c>
      <x:c r="DD117" s="23" t="n">
        <x:f>MAX(0,MIN('Activities'!L117,624)-MAX('Activities'!K117,618))</x:f>
        <x:v>0</x:v>
      </x:c>
      <x:c r="DE117" s="23" t="n">
        <x:f>MAX(0,MIN('Activities'!L117,630)-MAX('Activities'!K117,624))</x:f>
        <x:v>0</x:v>
      </x:c>
      <x:c r="DF117" s="23" t="n">
        <x:f>MAX(0,MIN('Activities'!L117,636)-MAX('Activities'!K117,630))</x:f>
        <x:v>0</x:v>
      </x:c>
    </x:row>
    <x:row r="118" ht="23" customHeight="1">
      <x:c r="A118" s="6" t="str">
        <x:v>T1-L07-D</x:v>
      </x:c>
      <x:c r="B118" s="6" t="str">
        <x:v>T1</x:v>
      </x:c>
      <x:c r="C118" s="6" t="str">
        <x:v>Door sets and ironmongery</x:v>
      </x:c>
      <x:c r="D118" s="6" t="str">
        <x:v>Finishes</x:v>
      </x:c>
      <x:c r="E118" s="22" t="n">
        <x:f>MAX(0,MIN('Activities'!L118,6)-MAX('Activities'!K118,0))</x:f>
        <x:v>0</x:v>
      </x:c>
      <x:c r="F118" s="22" t="n">
        <x:f>MAX(0,MIN('Activities'!L118,12)-MAX('Activities'!K118,6))</x:f>
        <x:v>0</x:v>
      </x:c>
      <x:c r="G118" s="22" t="n">
        <x:f>MAX(0,MIN('Activities'!L118,18)-MAX('Activities'!K118,12))</x:f>
        <x:v>0</x:v>
      </x:c>
      <x:c r="H118" s="22" t="n">
        <x:f>MAX(0,MIN('Activities'!L118,24)-MAX('Activities'!K118,18))</x:f>
        <x:v>0</x:v>
      </x:c>
      <x:c r="I118" s="22" t="n">
        <x:f>MAX(0,MIN('Activities'!L118,30)-MAX('Activities'!K118,24))</x:f>
        <x:v>0</x:v>
      </x:c>
      <x:c r="J118" s="22" t="n">
        <x:f>MAX(0,MIN('Activities'!L118,36)-MAX('Activities'!K118,30))</x:f>
        <x:v>0</x:v>
      </x:c>
      <x:c r="K118" s="22" t="n">
        <x:f>MAX(0,MIN('Activities'!L118,42)-MAX('Activities'!K118,36))</x:f>
        <x:v>0</x:v>
      </x:c>
      <x:c r="L118" s="22" t="n">
        <x:f>MAX(0,MIN('Activities'!L118,48)-MAX('Activities'!K118,42))</x:f>
        <x:v>0</x:v>
      </x:c>
      <x:c r="M118" s="22" t="n">
        <x:f>MAX(0,MIN('Activities'!L118,54)-MAX('Activities'!K118,48))</x:f>
        <x:v>0</x:v>
      </x:c>
      <x:c r="N118" s="22" t="n">
        <x:f>MAX(0,MIN('Activities'!L118,60)-MAX('Activities'!K118,54))</x:f>
        <x:v>0</x:v>
      </x:c>
      <x:c r="O118" s="22" t="n">
        <x:f>MAX(0,MIN('Activities'!L118,66)-MAX('Activities'!K118,60))</x:f>
        <x:v>0</x:v>
      </x:c>
      <x:c r="P118" s="22" t="n">
        <x:f>MAX(0,MIN('Activities'!L118,72)-MAX('Activities'!K118,66))</x:f>
        <x:v>0</x:v>
      </x:c>
      <x:c r="Q118" s="22" t="n">
        <x:f>MAX(0,MIN('Activities'!L118,78)-MAX('Activities'!K118,72))</x:f>
        <x:v>0</x:v>
      </x:c>
      <x:c r="R118" s="22" t="n">
        <x:f>MAX(0,MIN('Activities'!L118,84)-MAX('Activities'!K118,78))</x:f>
        <x:v>0</x:v>
      </x:c>
      <x:c r="S118" s="22" t="n">
        <x:f>MAX(0,MIN('Activities'!L118,90)-MAX('Activities'!K118,84))</x:f>
        <x:v>0</x:v>
      </x:c>
      <x:c r="T118" s="22" t="n">
        <x:f>MAX(0,MIN('Activities'!L118,96)-MAX('Activities'!K118,90))</x:f>
        <x:v>0</x:v>
      </x:c>
      <x:c r="U118" s="22" t="n">
        <x:f>MAX(0,MIN('Activities'!L118,102)-MAX('Activities'!K118,96))</x:f>
        <x:v>0</x:v>
      </x:c>
      <x:c r="V118" s="22" t="n">
        <x:f>MAX(0,MIN('Activities'!L118,108)-MAX('Activities'!K118,102))</x:f>
        <x:v>0</x:v>
      </x:c>
      <x:c r="W118" s="22" t="n">
        <x:f>MAX(0,MIN('Activities'!L118,114)-MAX('Activities'!K118,108))</x:f>
        <x:v>0</x:v>
      </x:c>
      <x:c r="X118" s="22" t="n">
        <x:f>MAX(0,MIN('Activities'!L118,120)-MAX('Activities'!K118,114))</x:f>
        <x:v>0</x:v>
      </x:c>
      <x:c r="Y118" s="22" t="n">
        <x:f>MAX(0,MIN('Activities'!L118,126)-MAX('Activities'!K118,120))</x:f>
        <x:v>0</x:v>
      </x:c>
      <x:c r="Z118" s="22" t="n">
        <x:f>MAX(0,MIN('Activities'!L118,132)-MAX('Activities'!K118,126))</x:f>
        <x:v>0</x:v>
      </x:c>
      <x:c r="AA118" s="22" t="n">
        <x:f>MAX(0,MIN('Activities'!L118,138)-MAX('Activities'!K118,132))</x:f>
        <x:v>0</x:v>
      </x:c>
      <x:c r="AB118" s="22" t="n">
        <x:f>MAX(0,MIN('Activities'!L118,144)-MAX('Activities'!K118,138))</x:f>
        <x:v>0</x:v>
      </x:c>
      <x:c r="AC118" s="22" t="n">
        <x:f>MAX(0,MIN('Activities'!L118,150)-MAX('Activities'!K118,144))</x:f>
        <x:v>0</x:v>
      </x:c>
      <x:c r="AD118" s="22" t="n">
        <x:f>MAX(0,MIN('Activities'!L118,156)-MAX('Activities'!K118,150))</x:f>
        <x:v>0</x:v>
      </x:c>
      <x:c r="AE118" s="22" t="n">
        <x:f>MAX(0,MIN('Activities'!L118,162)-MAX('Activities'!K118,156))</x:f>
        <x:v>0</x:v>
      </x:c>
      <x:c r="AF118" s="22" t="n">
        <x:f>MAX(0,MIN('Activities'!L118,168)-MAX('Activities'!K118,162))</x:f>
        <x:v>0</x:v>
      </x:c>
      <x:c r="AG118" s="22" t="n">
        <x:f>MAX(0,MIN('Activities'!L118,174)-MAX('Activities'!K118,168))</x:f>
        <x:v>0</x:v>
      </x:c>
      <x:c r="AH118" s="22" t="n">
        <x:f>MAX(0,MIN('Activities'!L118,180)-MAX('Activities'!K118,174))</x:f>
        <x:v>0</x:v>
      </x:c>
      <x:c r="AI118" s="22" t="n">
        <x:f>MAX(0,MIN('Activities'!L118,186)-MAX('Activities'!K118,180))</x:f>
        <x:v>0</x:v>
      </x:c>
      <x:c r="AJ118" s="22" t="n">
        <x:f>MAX(0,MIN('Activities'!L118,192)-MAX('Activities'!K118,186))</x:f>
        <x:v>0</x:v>
      </x:c>
      <x:c r="AK118" s="22" t="n">
        <x:f>MAX(0,MIN('Activities'!L118,198)-MAX('Activities'!K118,192))</x:f>
        <x:v>0</x:v>
      </x:c>
      <x:c r="AL118" s="22" t="n">
        <x:f>MAX(0,MIN('Activities'!L118,204)-MAX('Activities'!K118,198))</x:f>
        <x:v>0</x:v>
      </x:c>
      <x:c r="AM118" s="22" t="n">
        <x:f>MAX(0,MIN('Activities'!L118,210)-MAX('Activities'!K118,204))</x:f>
        <x:v>0</x:v>
      </x:c>
      <x:c r="AN118" s="22" t="n">
        <x:f>MAX(0,MIN('Activities'!L118,216)-MAX('Activities'!K118,210))</x:f>
        <x:v>0</x:v>
      </x:c>
      <x:c r="AO118" s="22" t="n">
        <x:f>MAX(0,MIN('Activities'!L118,222)-MAX('Activities'!K118,216))</x:f>
        <x:v>0</x:v>
      </x:c>
      <x:c r="AP118" s="22" t="n">
        <x:f>MAX(0,MIN('Activities'!L118,228)-MAX('Activities'!K118,222))</x:f>
        <x:v>0</x:v>
      </x:c>
      <x:c r="AQ118" s="22" t="n">
        <x:f>MAX(0,MIN('Activities'!L118,234)-MAX('Activities'!K118,228))</x:f>
        <x:v>0</x:v>
      </x:c>
      <x:c r="AR118" s="22" t="n">
        <x:f>MAX(0,MIN('Activities'!L118,240)-MAX('Activities'!K118,234))</x:f>
        <x:v>0</x:v>
      </x:c>
      <x:c r="AS118" s="22" t="n">
        <x:f>MAX(0,MIN('Activities'!L118,246)-MAX('Activities'!K118,240))</x:f>
        <x:v>0</x:v>
      </x:c>
      <x:c r="AT118" s="22" t="n">
        <x:f>MAX(0,MIN('Activities'!L118,252)-MAX('Activities'!K118,246))</x:f>
        <x:v>0</x:v>
      </x:c>
      <x:c r="AU118" s="22" t="n">
        <x:f>MAX(0,MIN('Activities'!L118,258)-MAX('Activities'!K118,252))</x:f>
        <x:v>0</x:v>
      </x:c>
      <x:c r="AV118" s="22" t="n">
        <x:f>MAX(0,MIN('Activities'!L118,264)-MAX('Activities'!K118,258))</x:f>
        <x:v>0</x:v>
      </x:c>
      <x:c r="AW118" s="22" t="n">
        <x:f>MAX(0,MIN('Activities'!L118,270)-MAX('Activities'!K118,264))</x:f>
        <x:v>0</x:v>
      </x:c>
      <x:c r="AX118" s="22" t="n">
        <x:f>MAX(0,MIN('Activities'!L118,276)-MAX('Activities'!K118,270))</x:f>
        <x:v>0</x:v>
      </x:c>
      <x:c r="AY118" s="22" t="n">
        <x:f>MAX(0,MIN('Activities'!L118,282)-MAX('Activities'!K118,276))</x:f>
        <x:v>0</x:v>
      </x:c>
      <x:c r="AZ118" s="22" t="n">
        <x:f>MAX(0,MIN('Activities'!L118,288)-MAX('Activities'!K118,282))</x:f>
        <x:v>0</x:v>
      </x:c>
      <x:c r="BA118" s="22" t="n">
        <x:f>MAX(0,MIN('Activities'!L118,294)-MAX('Activities'!K118,288))</x:f>
        <x:v>0</x:v>
      </x:c>
      <x:c r="BB118" s="22" t="n">
        <x:f>MAX(0,MIN('Activities'!L118,300)-MAX('Activities'!K118,294))</x:f>
        <x:v>0</x:v>
      </x:c>
      <x:c r="BC118" s="22" t="n">
        <x:f>MAX(0,MIN('Activities'!L118,306)-MAX('Activities'!K118,300))</x:f>
        <x:v>0</x:v>
      </x:c>
      <x:c r="BD118" s="22" t="n">
        <x:f>MAX(0,MIN('Activities'!L118,312)-MAX('Activities'!K118,306))</x:f>
        <x:v>0</x:v>
      </x:c>
      <x:c r="BE118" s="22" t="n">
        <x:f>MAX(0,MIN('Activities'!L118,318)-MAX('Activities'!K118,312))</x:f>
        <x:v>0</x:v>
      </x:c>
      <x:c r="BF118" s="22" t="n">
        <x:f>MAX(0,MIN('Activities'!L118,324)-MAX('Activities'!K118,318))</x:f>
        <x:v>0</x:v>
      </x:c>
      <x:c r="BG118" s="22" t="n">
        <x:f>MAX(0,MIN('Activities'!L118,330)-MAX('Activities'!K118,324))</x:f>
        <x:v>0</x:v>
      </x:c>
      <x:c r="BH118" s="22" t="n">
        <x:f>MAX(0,MIN('Activities'!L118,336)-MAX('Activities'!K118,330))</x:f>
        <x:v>0</x:v>
      </x:c>
      <x:c r="BI118" s="22" t="n">
        <x:f>MAX(0,MIN('Activities'!L118,342)-MAX('Activities'!K118,336))</x:f>
        <x:v>0</x:v>
      </x:c>
      <x:c r="BJ118" s="22" t="n">
        <x:f>MAX(0,MIN('Activities'!L118,348)-MAX('Activities'!K118,342))</x:f>
        <x:v>0</x:v>
      </x:c>
      <x:c r="BK118" s="22" t="n">
        <x:f>MAX(0,MIN('Activities'!L118,354)-MAX('Activities'!K118,348))</x:f>
        <x:v>0</x:v>
      </x:c>
      <x:c r="BL118" s="22" t="n">
        <x:f>MAX(0,MIN('Activities'!L118,360)-MAX('Activities'!K118,354))</x:f>
        <x:v>0</x:v>
      </x:c>
      <x:c r="BM118" s="22" t="n">
        <x:f>MAX(0,MIN('Activities'!L118,366)-MAX('Activities'!K118,360))</x:f>
        <x:v>0</x:v>
      </x:c>
      <x:c r="BN118" s="22" t="n">
        <x:f>MAX(0,MIN('Activities'!L118,372)-MAX('Activities'!K118,366))</x:f>
        <x:v>0</x:v>
      </x:c>
      <x:c r="BO118" s="22" t="n">
        <x:f>MAX(0,MIN('Activities'!L118,378)-MAX('Activities'!K118,372))</x:f>
        <x:v>0</x:v>
      </x:c>
      <x:c r="BP118" s="22" t="n">
        <x:f>MAX(0,MIN('Activities'!L118,384)-MAX('Activities'!K118,378))</x:f>
        <x:v>0</x:v>
      </x:c>
      <x:c r="BQ118" s="22" t="n">
        <x:f>MAX(0,MIN('Activities'!L118,390)-MAX('Activities'!K118,384))</x:f>
        <x:v>0</x:v>
      </x:c>
      <x:c r="BR118" s="22" t="n">
        <x:f>MAX(0,MIN('Activities'!L118,396)-MAX('Activities'!K118,390))</x:f>
        <x:v>0</x:v>
      </x:c>
      <x:c r="BS118" s="22" t="n">
        <x:f>MAX(0,MIN('Activities'!L118,402)-MAX('Activities'!K118,396))</x:f>
        <x:v>0</x:v>
      </x:c>
      <x:c r="BT118" s="22" t="n">
        <x:f>MAX(0,MIN('Activities'!L118,408)-MAX('Activities'!K118,402))</x:f>
        <x:v>0</x:v>
      </x:c>
      <x:c r="BU118" s="22" t="n">
        <x:f>MAX(0,MIN('Activities'!L118,414)-MAX('Activities'!K118,408))</x:f>
        <x:v>0</x:v>
      </x:c>
      <x:c r="BV118" s="22" t="n">
        <x:f>MAX(0,MIN('Activities'!L118,420)-MAX('Activities'!K118,414))</x:f>
        <x:v>3</x:v>
      </x:c>
      <x:c r="BW118" s="22" t="n">
        <x:f>MAX(0,MIN('Activities'!L118,426)-MAX('Activities'!K118,420))</x:f>
        <x:v>0</x:v>
      </x:c>
      <x:c r="BX118" s="22" t="n">
        <x:f>MAX(0,MIN('Activities'!L118,432)-MAX('Activities'!K118,426))</x:f>
        <x:v>0</x:v>
      </x:c>
      <x:c r="BY118" s="22" t="n">
        <x:f>MAX(0,MIN('Activities'!L118,438)-MAX('Activities'!K118,432))</x:f>
        <x:v>0</x:v>
      </x:c>
      <x:c r="BZ118" s="22" t="n">
        <x:f>MAX(0,MIN('Activities'!L118,444)-MAX('Activities'!K118,438))</x:f>
        <x:v>0</x:v>
      </x:c>
      <x:c r="CA118" s="22" t="n">
        <x:f>MAX(0,MIN('Activities'!L118,450)-MAX('Activities'!K118,444))</x:f>
        <x:v>0</x:v>
      </x:c>
      <x:c r="CB118" s="22" t="n">
        <x:f>MAX(0,MIN('Activities'!L118,456)-MAX('Activities'!K118,450))</x:f>
        <x:v>0</x:v>
      </x:c>
      <x:c r="CC118" s="22" t="n">
        <x:f>MAX(0,MIN('Activities'!L118,462)-MAX('Activities'!K118,456))</x:f>
        <x:v>0</x:v>
      </x:c>
      <x:c r="CD118" s="22" t="n">
        <x:f>MAX(0,MIN('Activities'!L118,468)-MAX('Activities'!K118,462))</x:f>
        <x:v>0</x:v>
      </x:c>
      <x:c r="CE118" s="22" t="n">
        <x:f>MAX(0,MIN('Activities'!L118,474)-MAX('Activities'!K118,468))</x:f>
        <x:v>0</x:v>
      </x:c>
      <x:c r="CF118" s="22" t="n">
        <x:f>MAX(0,MIN('Activities'!L118,480)-MAX('Activities'!K118,474))</x:f>
        <x:v>0</x:v>
      </x:c>
      <x:c r="CG118" s="22" t="n">
        <x:f>MAX(0,MIN('Activities'!L118,486)-MAX('Activities'!K118,480))</x:f>
        <x:v>0</x:v>
      </x:c>
      <x:c r="CH118" s="22" t="n">
        <x:f>MAX(0,MIN('Activities'!L118,492)-MAX('Activities'!K118,486))</x:f>
        <x:v>0</x:v>
      </x:c>
      <x:c r="CI118" s="22" t="n">
        <x:f>MAX(0,MIN('Activities'!L118,498)-MAX('Activities'!K118,492))</x:f>
        <x:v>0</x:v>
      </x:c>
      <x:c r="CJ118" s="22" t="n">
        <x:f>MAX(0,MIN('Activities'!L118,504)-MAX('Activities'!K118,498))</x:f>
        <x:v>0</x:v>
      </x:c>
      <x:c r="CK118" s="22" t="n">
        <x:f>MAX(0,MIN('Activities'!L118,510)-MAX('Activities'!K118,504))</x:f>
        <x:v>0</x:v>
      </x:c>
      <x:c r="CL118" s="22" t="n">
        <x:f>MAX(0,MIN('Activities'!L118,516)-MAX('Activities'!K118,510))</x:f>
        <x:v>0</x:v>
      </x:c>
      <x:c r="CM118" s="22" t="n">
        <x:f>MAX(0,MIN('Activities'!L118,522)-MAX('Activities'!K118,516))</x:f>
        <x:v>0</x:v>
      </x:c>
      <x:c r="CN118" s="22" t="n">
        <x:f>MAX(0,MIN('Activities'!L118,528)-MAX('Activities'!K118,522))</x:f>
        <x:v>0</x:v>
      </x:c>
      <x:c r="CO118" s="22" t="n">
        <x:f>MAX(0,MIN('Activities'!L118,534)-MAX('Activities'!K118,528))</x:f>
        <x:v>0</x:v>
      </x:c>
      <x:c r="CP118" s="22" t="n">
        <x:f>MAX(0,MIN('Activities'!L118,540)-MAX('Activities'!K118,534))</x:f>
        <x:v>0</x:v>
      </x:c>
      <x:c r="CQ118" s="22" t="n">
        <x:f>MAX(0,MIN('Activities'!L118,546)-MAX('Activities'!K118,540))</x:f>
        <x:v>0</x:v>
      </x:c>
      <x:c r="CR118" s="22" t="n">
        <x:f>MAX(0,MIN('Activities'!L118,552)-MAX('Activities'!K118,546))</x:f>
        <x:v>0</x:v>
      </x:c>
      <x:c r="CS118" s="22" t="n">
        <x:f>MAX(0,MIN('Activities'!L118,558)-MAX('Activities'!K118,552))</x:f>
        <x:v>0</x:v>
      </x:c>
      <x:c r="CT118" s="22" t="n">
        <x:f>MAX(0,MIN('Activities'!L118,564)-MAX('Activities'!K118,558))</x:f>
        <x:v>0</x:v>
      </x:c>
      <x:c r="CU118" s="22" t="n">
        <x:f>MAX(0,MIN('Activities'!L118,570)-MAX('Activities'!K118,564))</x:f>
        <x:v>0</x:v>
      </x:c>
      <x:c r="CV118" s="22" t="n">
        <x:f>MAX(0,MIN('Activities'!L118,576)-MAX('Activities'!K118,570))</x:f>
        <x:v>0</x:v>
      </x:c>
      <x:c r="CW118" s="22" t="n">
        <x:f>MAX(0,MIN('Activities'!L118,582)-MAX('Activities'!K118,576))</x:f>
        <x:v>0</x:v>
      </x:c>
      <x:c r="CX118" s="22" t="n">
        <x:f>MAX(0,MIN('Activities'!L118,588)-MAX('Activities'!K118,582))</x:f>
        <x:v>0</x:v>
      </x:c>
      <x:c r="CY118" s="22" t="n">
        <x:f>MAX(0,MIN('Activities'!L118,594)-MAX('Activities'!K118,588))</x:f>
        <x:v>0</x:v>
      </x:c>
      <x:c r="CZ118" s="22" t="n">
        <x:f>MAX(0,MIN('Activities'!L118,600)-MAX('Activities'!K118,594))</x:f>
        <x:v>0</x:v>
      </x:c>
      <x:c r="DA118" s="22" t="n">
        <x:f>MAX(0,MIN('Activities'!L118,606)-MAX('Activities'!K118,600))</x:f>
        <x:v>0</x:v>
      </x:c>
      <x:c r="DB118" s="22" t="n">
        <x:f>MAX(0,MIN('Activities'!L118,612)-MAX('Activities'!K118,606))</x:f>
        <x:v>0</x:v>
      </x:c>
      <x:c r="DC118" s="22" t="n">
        <x:f>MAX(0,MIN('Activities'!L118,618)-MAX('Activities'!K118,612))</x:f>
        <x:v>0</x:v>
      </x:c>
      <x:c r="DD118" s="22" t="n">
        <x:f>MAX(0,MIN('Activities'!L118,624)-MAX('Activities'!K118,618))</x:f>
        <x:v>0</x:v>
      </x:c>
      <x:c r="DE118" s="22" t="n">
        <x:f>MAX(0,MIN('Activities'!L118,630)-MAX('Activities'!K118,624))</x:f>
        <x:v>0</x:v>
      </x:c>
      <x:c r="DF118" s="22" t="n">
        <x:f>MAX(0,MIN('Activities'!L118,636)-MAX('Activities'!K118,630))</x:f>
        <x:v>0</x:v>
      </x:c>
    </x:row>
    <x:row r="119" ht="23" customHeight="1">
      <x:c r="A119" s="1" t="str">
        <x:v>T1-L08-M</x:v>
      </x:c>
      <x:c r="B119" s="1" t="str">
        <x:v>T1</x:v>
      </x:c>
      <x:c r="C119" s="1" t="str">
        <x:v>Partition masonry</x:v>
      </x:c>
      <x:c r="D119" s="1" t="str">
        <x:v>Masonry</x:v>
      </x:c>
      <x:c r="E119" s="23" t="n">
        <x:f>MAX(0,MIN('Activities'!L119,6)-MAX('Activities'!K119,0))</x:f>
        <x:v>0</x:v>
      </x:c>
      <x:c r="F119" s="23" t="n">
        <x:f>MAX(0,MIN('Activities'!L119,12)-MAX('Activities'!K119,6))</x:f>
        <x:v>0</x:v>
      </x:c>
      <x:c r="G119" s="23" t="n">
        <x:f>MAX(0,MIN('Activities'!L119,18)-MAX('Activities'!K119,12))</x:f>
        <x:v>0</x:v>
      </x:c>
      <x:c r="H119" s="23" t="n">
        <x:f>MAX(0,MIN('Activities'!L119,24)-MAX('Activities'!K119,18))</x:f>
        <x:v>0</x:v>
      </x:c>
      <x:c r="I119" s="23" t="n">
        <x:f>MAX(0,MIN('Activities'!L119,30)-MAX('Activities'!K119,24))</x:f>
        <x:v>0</x:v>
      </x:c>
      <x:c r="J119" s="23" t="n">
        <x:f>MAX(0,MIN('Activities'!L119,36)-MAX('Activities'!K119,30))</x:f>
        <x:v>0</x:v>
      </x:c>
      <x:c r="K119" s="23" t="n">
        <x:f>MAX(0,MIN('Activities'!L119,42)-MAX('Activities'!K119,36))</x:f>
        <x:v>0</x:v>
      </x:c>
      <x:c r="L119" s="23" t="n">
        <x:f>MAX(0,MIN('Activities'!L119,48)-MAX('Activities'!K119,42))</x:f>
        <x:v>0</x:v>
      </x:c>
      <x:c r="M119" s="23" t="n">
        <x:f>MAX(0,MIN('Activities'!L119,54)-MAX('Activities'!K119,48))</x:f>
        <x:v>0</x:v>
      </x:c>
      <x:c r="N119" s="23" t="n">
        <x:f>MAX(0,MIN('Activities'!L119,60)-MAX('Activities'!K119,54))</x:f>
        <x:v>0</x:v>
      </x:c>
      <x:c r="O119" s="23" t="n">
        <x:f>MAX(0,MIN('Activities'!L119,66)-MAX('Activities'!K119,60))</x:f>
        <x:v>0</x:v>
      </x:c>
      <x:c r="P119" s="23" t="n">
        <x:f>MAX(0,MIN('Activities'!L119,72)-MAX('Activities'!K119,66))</x:f>
        <x:v>0</x:v>
      </x:c>
      <x:c r="Q119" s="23" t="n">
        <x:f>MAX(0,MIN('Activities'!L119,78)-MAX('Activities'!K119,72))</x:f>
        <x:v>0</x:v>
      </x:c>
      <x:c r="R119" s="23" t="n">
        <x:f>MAX(0,MIN('Activities'!L119,84)-MAX('Activities'!K119,78))</x:f>
        <x:v>0</x:v>
      </x:c>
      <x:c r="S119" s="23" t="n">
        <x:f>MAX(0,MIN('Activities'!L119,90)-MAX('Activities'!K119,84))</x:f>
        <x:v>0</x:v>
      </x:c>
      <x:c r="T119" s="23" t="n">
        <x:f>MAX(0,MIN('Activities'!L119,96)-MAX('Activities'!K119,90))</x:f>
        <x:v>0</x:v>
      </x:c>
      <x:c r="U119" s="23" t="n">
        <x:f>MAX(0,MIN('Activities'!L119,102)-MAX('Activities'!K119,96))</x:f>
        <x:v>0</x:v>
      </x:c>
      <x:c r="V119" s="23" t="n">
        <x:f>MAX(0,MIN('Activities'!L119,108)-MAX('Activities'!K119,102))</x:f>
        <x:v>0</x:v>
      </x:c>
      <x:c r="W119" s="23" t="n">
        <x:f>MAX(0,MIN('Activities'!L119,114)-MAX('Activities'!K119,108))</x:f>
        <x:v>0</x:v>
      </x:c>
      <x:c r="X119" s="23" t="n">
        <x:f>MAX(0,MIN('Activities'!L119,120)-MAX('Activities'!K119,114))</x:f>
        <x:v>0</x:v>
      </x:c>
      <x:c r="Y119" s="23" t="n">
        <x:f>MAX(0,MIN('Activities'!L119,126)-MAX('Activities'!K119,120))</x:f>
        <x:v>0</x:v>
      </x:c>
      <x:c r="Z119" s="23" t="n">
        <x:f>MAX(0,MIN('Activities'!L119,132)-MAX('Activities'!K119,126))</x:f>
        <x:v>0</x:v>
      </x:c>
      <x:c r="AA119" s="23" t="n">
        <x:f>MAX(0,MIN('Activities'!L119,138)-MAX('Activities'!K119,132))</x:f>
        <x:v>0</x:v>
      </x:c>
      <x:c r="AB119" s="23" t="n">
        <x:f>MAX(0,MIN('Activities'!L119,144)-MAX('Activities'!K119,138))</x:f>
        <x:v>0</x:v>
      </x:c>
      <x:c r="AC119" s="23" t="n">
        <x:f>MAX(0,MIN('Activities'!L119,150)-MAX('Activities'!K119,144))</x:f>
        <x:v>0</x:v>
      </x:c>
      <x:c r="AD119" s="23" t="n">
        <x:f>MAX(0,MIN('Activities'!L119,156)-MAX('Activities'!K119,150))</x:f>
        <x:v>0</x:v>
      </x:c>
      <x:c r="AE119" s="23" t="n">
        <x:f>MAX(0,MIN('Activities'!L119,162)-MAX('Activities'!K119,156))</x:f>
        <x:v>0</x:v>
      </x:c>
      <x:c r="AF119" s="23" t="n">
        <x:f>MAX(0,MIN('Activities'!L119,168)-MAX('Activities'!K119,162))</x:f>
        <x:v>0</x:v>
      </x:c>
      <x:c r="AG119" s="23" t="n">
        <x:f>MAX(0,MIN('Activities'!L119,174)-MAX('Activities'!K119,168))</x:f>
        <x:v>0</x:v>
      </x:c>
      <x:c r="AH119" s="23" t="n">
        <x:f>MAX(0,MIN('Activities'!L119,180)-MAX('Activities'!K119,174))</x:f>
        <x:v>0</x:v>
      </x:c>
      <x:c r="AI119" s="23" t="n">
        <x:f>MAX(0,MIN('Activities'!L119,186)-MAX('Activities'!K119,180))</x:f>
        <x:v>0</x:v>
      </x:c>
      <x:c r="AJ119" s="23" t="n">
        <x:f>MAX(0,MIN('Activities'!L119,192)-MAX('Activities'!K119,186))</x:f>
        <x:v>0</x:v>
      </x:c>
      <x:c r="AK119" s="23" t="n">
        <x:f>MAX(0,MIN('Activities'!L119,198)-MAX('Activities'!K119,192))</x:f>
        <x:v>0</x:v>
      </x:c>
      <x:c r="AL119" s="23" t="n">
        <x:f>MAX(0,MIN('Activities'!L119,204)-MAX('Activities'!K119,198))</x:f>
        <x:v>0</x:v>
      </x:c>
      <x:c r="AM119" s="23" t="n">
        <x:f>MAX(0,MIN('Activities'!L119,210)-MAX('Activities'!K119,204))</x:f>
        <x:v>0</x:v>
      </x:c>
      <x:c r="AN119" s="23" t="n">
        <x:f>MAX(0,MIN('Activities'!L119,216)-MAX('Activities'!K119,210))</x:f>
        <x:v>0</x:v>
      </x:c>
      <x:c r="AO119" s="23" t="n">
        <x:f>MAX(0,MIN('Activities'!L119,222)-MAX('Activities'!K119,216))</x:f>
        <x:v>0</x:v>
      </x:c>
      <x:c r="AP119" s="23" t="n">
        <x:f>MAX(0,MIN('Activities'!L119,228)-MAX('Activities'!K119,222))</x:f>
        <x:v>0</x:v>
      </x:c>
      <x:c r="AQ119" s="23" t="n">
        <x:f>MAX(0,MIN('Activities'!L119,234)-MAX('Activities'!K119,228))</x:f>
        <x:v>0</x:v>
      </x:c>
      <x:c r="AR119" s="23" t="n">
        <x:f>MAX(0,MIN('Activities'!L119,240)-MAX('Activities'!K119,234))</x:f>
        <x:v>0</x:v>
      </x:c>
      <x:c r="AS119" s="23" t="n">
        <x:f>MAX(0,MIN('Activities'!L119,246)-MAX('Activities'!K119,240))</x:f>
        <x:v>0</x:v>
      </x:c>
      <x:c r="AT119" s="23" t="n">
        <x:f>MAX(0,MIN('Activities'!L119,252)-MAX('Activities'!K119,246))</x:f>
        <x:v>0</x:v>
      </x:c>
      <x:c r="AU119" s="23" t="n">
        <x:f>MAX(0,MIN('Activities'!L119,258)-MAX('Activities'!K119,252))</x:f>
        <x:v>0</x:v>
      </x:c>
      <x:c r="AV119" s="23" t="n">
        <x:f>MAX(0,MIN('Activities'!L119,264)-MAX('Activities'!K119,258))</x:f>
        <x:v>0</x:v>
      </x:c>
      <x:c r="AW119" s="23" t="n">
        <x:f>MAX(0,MIN('Activities'!L119,270)-MAX('Activities'!K119,264))</x:f>
        <x:v>0</x:v>
      </x:c>
      <x:c r="AX119" s="23" t="n">
        <x:f>MAX(0,MIN('Activities'!L119,276)-MAX('Activities'!K119,270))</x:f>
        <x:v>0</x:v>
      </x:c>
      <x:c r="AY119" s="23" t="n">
        <x:f>MAX(0,MIN('Activities'!L119,282)-MAX('Activities'!K119,276))</x:f>
        <x:v>0</x:v>
      </x:c>
      <x:c r="AZ119" s="23" t="n">
        <x:f>MAX(0,MIN('Activities'!L119,288)-MAX('Activities'!K119,282))</x:f>
        <x:v>0</x:v>
      </x:c>
      <x:c r="BA119" s="23" t="n">
        <x:f>MAX(0,MIN('Activities'!L119,294)-MAX('Activities'!K119,288))</x:f>
        <x:v>0</x:v>
      </x:c>
      <x:c r="BB119" s="23" t="n">
        <x:f>MAX(0,MIN('Activities'!L119,300)-MAX('Activities'!K119,294))</x:f>
        <x:v>0</x:v>
      </x:c>
      <x:c r="BC119" s="23" t="n">
        <x:f>MAX(0,MIN('Activities'!L119,306)-MAX('Activities'!K119,300))</x:f>
        <x:v>0</x:v>
      </x:c>
      <x:c r="BD119" s="23" t="n">
        <x:f>MAX(0,MIN('Activities'!L119,312)-MAX('Activities'!K119,306))</x:f>
        <x:v>0</x:v>
      </x:c>
      <x:c r="BE119" s="23" t="n">
        <x:f>MAX(0,MIN('Activities'!L119,318)-MAX('Activities'!K119,312))</x:f>
        <x:v>0</x:v>
      </x:c>
      <x:c r="BF119" s="23" t="n">
        <x:f>MAX(0,MIN('Activities'!L119,324)-MAX('Activities'!K119,318))</x:f>
        <x:v>0</x:v>
      </x:c>
      <x:c r="BG119" s="23" t="n">
        <x:f>MAX(0,MIN('Activities'!L119,330)-MAX('Activities'!K119,324))</x:f>
        <x:v>0</x:v>
      </x:c>
      <x:c r="BH119" s="23" t="n">
        <x:f>MAX(0,MIN('Activities'!L119,336)-MAX('Activities'!K119,330))</x:f>
        <x:v>0</x:v>
      </x:c>
      <x:c r="BI119" s="23" t="n">
        <x:f>MAX(0,MIN('Activities'!L119,342)-MAX('Activities'!K119,336))</x:f>
        <x:v>0</x:v>
      </x:c>
      <x:c r="BJ119" s="23" t="n">
        <x:f>MAX(0,MIN('Activities'!L119,348)-MAX('Activities'!K119,342))</x:f>
        <x:v>0</x:v>
      </x:c>
      <x:c r="BK119" s="23" t="n">
        <x:f>MAX(0,MIN('Activities'!L119,354)-MAX('Activities'!K119,348))</x:f>
        <x:v>0</x:v>
      </x:c>
      <x:c r="BL119" s="23" t="n">
        <x:f>MAX(0,MIN('Activities'!L119,360)-MAX('Activities'!K119,354))</x:f>
        <x:v>5</x:v>
      </x:c>
      <x:c r="BM119" s="23" t="n">
        <x:f>MAX(0,MIN('Activities'!L119,366)-MAX('Activities'!K119,360))</x:f>
        <x:v>0</x:v>
      </x:c>
      <x:c r="BN119" s="23" t="n">
        <x:f>MAX(0,MIN('Activities'!L119,372)-MAX('Activities'!K119,366))</x:f>
        <x:v>0</x:v>
      </x:c>
      <x:c r="BO119" s="23" t="n">
        <x:f>MAX(0,MIN('Activities'!L119,378)-MAX('Activities'!K119,372))</x:f>
        <x:v>0</x:v>
      </x:c>
      <x:c r="BP119" s="23" t="n">
        <x:f>MAX(0,MIN('Activities'!L119,384)-MAX('Activities'!K119,378))</x:f>
        <x:v>0</x:v>
      </x:c>
      <x:c r="BQ119" s="23" t="n">
        <x:f>MAX(0,MIN('Activities'!L119,390)-MAX('Activities'!K119,384))</x:f>
        <x:v>0</x:v>
      </x:c>
      <x:c r="BR119" s="23" t="n">
        <x:f>MAX(0,MIN('Activities'!L119,396)-MAX('Activities'!K119,390))</x:f>
        <x:v>0</x:v>
      </x:c>
      <x:c r="BS119" s="23" t="n">
        <x:f>MAX(0,MIN('Activities'!L119,402)-MAX('Activities'!K119,396))</x:f>
        <x:v>0</x:v>
      </x:c>
      <x:c r="BT119" s="23" t="n">
        <x:f>MAX(0,MIN('Activities'!L119,408)-MAX('Activities'!K119,402))</x:f>
        <x:v>0</x:v>
      </x:c>
      <x:c r="BU119" s="23" t="n">
        <x:f>MAX(0,MIN('Activities'!L119,414)-MAX('Activities'!K119,408))</x:f>
        <x:v>0</x:v>
      </x:c>
      <x:c r="BV119" s="23" t="n">
        <x:f>MAX(0,MIN('Activities'!L119,420)-MAX('Activities'!K119,414))</x:f>
        <x:v>0</x:v>
      </x:c>
      <x:c r="BW119" s="23" t="n">
        <x:f>MAX(0,MIN('Activities'!L119,426)-MAX('Activities'!K119,420))</x:f>
        <x:v>0</x:v>
      </x:c>
      <x:c r="BX119" s="23" t="n">
        <x:f>MAX(0,MIN('Activities'!L119,432)-MAX('Activities'!K119,426))</x:f>
        <x:v>0</x:v>
      </x:c>
      <x:c r="BY119" s="23" t="n">
        <x:f>MAX(0,MIN('Activities'!L119,438)-MAX('Activities'!K119,432))</x:f>
        <x:v>0</x:v>
      </x:c>
      <x:c r="BZ119" s="23" t="n">
        <x:f>MAX(0,MIN('Activities'!L119,444)-MAX('Activities'!K119,438))</x:f>
        <x:v>0</x:v>
      </x:c>
      <x:c r="CA119" s="23" t="n">
        <x:f>MAX(0,MIN('Activities'!L119,450)-MAX('Activities'!K119,444))</x:f>
        <x:v>0</x:v>
      </x:c>
      <x:c r="CB119" s="23" t="n">
        <x:f>MAX(0,MIN('Activities'!L119,456)-MAX('Activities'!K119,450))</x:f>
        <x:v>0</x:v>
      </x:c>
      <x:c r="CC119" s="23" t="n">
        <x:f>MAX(0,MIN('Activities'!L119,462)-MAX('Activities'!K119,456))</x:f>
        <x:v>0</x:v>
      </x:c>
      <x:c r="CD119" s="23" t="n">
        <x:f>MAX(0,MIN('Activities'!L119,468)-MAX('Activities'!K119,462))</x:f>
        <x:v>0</x:v>
      </x:c>
      <x:c r="CE119" s="23" t="n">
        <x:f>MAX(0,MIN('Activities'!L119,474)-MAX('Activities'!K119,468))</x:f>
        <x:v>0</x:v>
      </x:c>
      <x:c r="CF119" s="23" t="n">
        <x:f>MAX(0,MIN('Activities'!L119,480)-MAX('Activities'!K119,474))</x:f>
        <x:v>0</x:v>
      </x:c>
      <x:c r="CG119" s="23" t="n">
        <x:f>MAX(0,MIN('Activities'!L119,486)-MAX('Activities'!K119,480))</x:f>
        <x:v>0</x:v>
      </x:c>
      <x:c r="CH119" s="23" t="n">
        <x:f>MAX(0,MIN('Activities'!L119,492)-MAX('Activities'!K119,486))</x:f>
        <x:v>0</x:v>
      </x:c>
      <x:c r="CI119" s="23" t="n">
        <x:f>MAX(0,MIN('Activities'!L119,498)-MAX('Activities'!K119,492))</x:f>
        <x:v>0</x:v>
      </x:c>
      <x:c r="CJ119" s="23" t="n">
        <x:f>MAX(0,MIN('Activities'!L119,504)-MAX('Activities'!K119,498))</x:f>
        <x:v>0</x:v>
      </x:c>
      <x:c r="CK119" s="23" t="n">
        <x:f>MAX(0,MIN('Activities'!L119,510)-MAX('Activities'!K119,504))</x:f>
        <x:v>0</x:v>
      </x:c>
      <x:c r="CL119" s="23" t="n">
        <x:f>MAX(0,MIN('Activities'!L119,516)-MAX('Activities'!K119,510))</x:f>
        <x:v>0</x:v>
      </x:c>
      <x:c r="CM119" s="23" t="n">
        <x:f>MAX(0,MIN('Activities'!L119,522)-MAX('Activities'!K119,516))</x:f>
        <x:v>0</x:v>
      </x:c>
      <x:c r="CN119" s="23" t="n">
        <x:f>MAX(0,MIN('Activities'!L119,528)-MAX('Activities'!K119,522))</x:f>
        <x:v>0</x:v>
      </x:c>
      <x:c r="CO119" s="23" t="n">
        <x:f>MAX(0,MIN('Activities'!L119,534)-MAX('Activities'!K119,528))</x:f>
        <x:v>0</x:v>
      </x:c>
      <x:c r="CP119" s="23" t="n">
        <x:f>MAX(0,MIN('Activities'!L119,540)-MAX('Activities'!K119,534))</x:f>
        <x:v>0</x:v>
      </x:c>
      <x:c r="CQ119" s="23" t="n">
        <x:f>MAX(0,MIN('Activities'!L119,546)-MAX('Activities'!K119,540))</x:f>
        <x:v>0</x:v>
      </x:c>
      <x:c r="CR119" s="23" t="n">
        <x:f>MAX(0,MIN('Activities'!L119,552)-MAX('Activities'!K119,546))</x:f>
        <x:v>0</x:v>
      </x:c>
      <x:c r="CS119" s="23" t="n">
        <x:f>MAX(0,MIN('Activities'!L119,558)-MAX('Activities'!K119,552))</x:f>
        <x:v>0</x:v>
      </x:c>
      <x:c r="CT119" s="23" t="n">
        <x:f>MAX(0,MIN('Activities'!L119,564)-MAX('Activities'!K119,558))</x:f>
        <x:v>0</x:v>
      </x:c>
      <x:c r="CU119" s="23" t="n">
        <x:f>MAX(0,MIN('Activities'!L119,570)-MAX('Activities'!K119,564))</x:f>
        <x:v>0</x:v>
      </x:c>
      <x:c r="CV119" s="23" t="n">
        <x:f>MAX(0,MIN('Activities'!L119,576)-MAX('Activities'!K119,570))</x:f>
        <x:v>0</x:v>
      </x:c>
      <x:c r="CW119" s="23" t="n">
        <x:f>MAX(0,MIN('Activities'!L119,582)-MAX('Activities'!K119,576))</x:f>
        <x:v>0</x:v>
      </x:c>
      <x:c r="CX119" s="23" t="n">
        <x:f>MAX(0,MIN('Activities'!L119,588)-MAX('Activities'!K119,582))</x:f>
        <x:v>0</x:v>
      </x:c>
      <x:c r="CY119" s="23" t="n">
        <x:f>MAX(0,MIN('Activities'!L119,594)-MAX('Activities'!K119,588))</x:f>
        <x:v>0</x:v>
      </x:c>
      <x:c r="CZ119" s="23" t="n">
        <x:f>MAX(0,MIN('Activities'!L119,600)-MAX('Activities'!K119,594))</x:f>
        <x:v>0</x:v>
      </x:c>
      <x:c r="DA119" s="23" t="n">
        <x:f>MAX(0,MIN('Activities'!L119,606)-MAX('Activities'!K119,600))</x:f>
        <x:v>0</x:v>
      </x:c>
      <x:c r="DB119" s="23" t="n">
        <x:f>MAX(0,MIN('Activities'!L119,612)-MAX('Activities'!K119,606))</x:f>
        <x:v>0</x:v>
      </x:c>
      <x:c r="DC119" s="23" t="n">
        <x:f>MAX(0,MIN('Activities'!L119,618)-MAX('Activities'!K119,612))</x:f>
        <x:v>0</x:v>
      </x:c>
      <x:c r="DD119" s="23" t="n">
        <x:f>MAX(0,MIN('Activities'!L119,624)-MAX('Activities'!K119,618))</x:f>
        <x:v>0</x:v>
      </x:c>
      <x:c r="DE119" s="23" t="n">
        <x:f>MAX(0,MIN('Activities'!L119,630)-MAX('Activities'!K119,624))</x:f>
        <x:v>0</x:v>
      </x:c>
      <x:c r="DF119" s="23" t="n">
        <x:f>MAX(0,MIN('Activities'!L119,636)-MAX('Activities'!K119,630))</x:f>
        <x:v>0</x:v>
      </x:c>
    </x:row>
    <x:row r="120" ht="23" customHeight="1">
      <x:c r="A120" s="6" t="str">
        <x:v>T1-L08-P</x:v>
      </x:c>
      <x:c r="B120" s="6" t="str">
        <x:v>T1</x:v>
      </x:c>
      <x:c r="C120" s="6" t="str">
        <x:v>Internal plaster</x:v>
      </x:c>
      <x:c r="D120" s="6" t="str">
        <x:v>Finishes</x:v>
      </x:c>
      <x:c r="E120" s="22" t="n">
        <x:f>MAX(0,MIN('Activities'!L120,6)-MAX('Activities'!K120,0))</x:f>
        <x:v>0</x:v>
      </x:c>
      <x:c r="F120" s="22" t="n">
        <x:f>MAX(0,MIN('Activities'!L120,12)-MAX('Activities'!K120,6))</x:f>
        <x:v>0</x:v>
      </x:c>
      <x:c r="G120" s="22" t="n">
        <x:f>MAX(0,MIN('Activities'!L120,18)-MAX('Activities'!K120,12))</x:f>
        <x:v>0</x:v>
      </x:c>
      <x:c r="H120" s="22" t="n">
        <x:f>MAX(0,MIN('Activities'!L120,24)-MAX('Activities'!K120,18))</x:f>
        <x:v>0</x:v>
      </x:c>
      <x:c r="I120" s="22" t="n">
        <x:f>MAX(0,MIN('Activities'!L120,30)-MAX('Activities'!K120,24))</x:f>
        <x:v>0</x:v>
      </x:c>
      <x:c r="J120" s="22" t="n">
        <x:f>MAX(0,MIN('Activities'!L120,36)-MAX('Activities'!K120,30))</x:f>
        <x:v>0</x:v>
      </x:c>
      <x:c r="K120" s="22" t="n">
        <x:f>MAX(0,MIN('Activities'!L120,42)-MAX('Activities'!K120,36))</x:f>
        <x:v>0</x:v>
      </x:c>
      <x:c r="L120" s="22" t="n">
        <x:f>MAX(0,MIN('Activities'!L120,48)-MAX('Activities'!K120,42))</x:f>
        <x:v>0</x:v>
      </x:c>
      <x:c r="M120" s="22" t="n">
        <x:f>MAX(0,MIN('Activities'!L120,54)-MAX('Activities'!K120,48))</x:f>
        <x:v>0</x:v>
      </x:c>
      <x:c r="N120" s="22" t="n">
        <x:f>MAX(0,MIN('Activities'!L120,60)-MAX('Activities'!K120,54))</x:f>
        <x:v>0</x:v>
      </x:c>
      <x:c r="O120" s="22" t="n">
        <x:f>MAX(0,MIN('Activities'!L120,66)-MAX('Activities'!K120,60))</x:f>
        <x:v>0</x:v>
      </x:c>
      <x:c r="P120" s="22" t="n">
        <x:f>MAX(0,MIN('Activities'!L120,72)-MAX('Activities'!K120,66))</x:f>
        <x:v>0</x:v>
      </x:c>
      <x:c r="Q120" s="22" t="n">
        <x:f>MAX(0,MIN('Activities'!L120,78)-MAX('Activities'!K120,72))</x:f>
        <x:v>0</x:v>
      </x:c>
      <x:c r="R120" s="22" t="n">
        <x:f>MAX(0,MIN('Activities'!L120,84)-MAX('Activities'!K120,78))</x:f>
        <x:v>0</x:v>
      </x:c>
      <x:c r="S120" s="22" t="n">
        <x:f>MAX(0,MIN('Activities'!L120,90)-MAX('Activities'!K120,84))</x:f>
        <x:v>0</x:v>
      </x:c>
      <x:c r="T120" s="22" t="n">
        <x:f>MAX(0,MIN('Activities'!L120,96)-MAX('Activities'!K120,90))</x:f>
        <x:v>0</x:v>
      </x:c>
      <x:c r="U120" s="22" t="n">
        <x:f>MAX(0,MIN('Activities'!L120,102)-MAX('Activities'!K120,96))</x:f>
        <x:v>0</x:v>
      </x:c>
      <x:c r="V120" s="22" t="n">
        <x:f>MAX(0,MIN('Activities'!L120,108)-MAX('Activities'!K120,102))</x:f>
        <x:v>0</x:v>
      </x:c>
      <x:c r="W120" s="22" t="n">
        <x:f>MAX(0,MIN('Activities'!L120,114)-MAX('Activities'!K120,108))</x:f>
        <x:v>0</x:v>
      </x:c>
      <x:c r="X120" s="22" t="n">
        <x:f>MAX(0,MIN('Activities'!L120,120)-MAX('Activities'!K120,114))</x:f>
        <x:v>0</x:v>
      </x:c>
      <x:c r="Y120" s="22" t="n">
        <x:f>MAX(0,MIN('Activities'!L120,126)-MAX('Activities'!K120,120))</x:f>
        <x:v>0</x:v>
      </x:c>
      <x:c r="Z120" s="22" t="n">
        <x:f>MAX(0,MIN('Activities'!L120,132)-MAX('Activities'!K120,126))</x:f>
        <x:v>0</x:v>
      </x:c>
      <x:c r="AA120" s="22" t="n">
        <x:f>MAX(0,MIN('Activities'!L120,138)-MAX('Activities'!K120,132))</x:f>
        <x:v>0</x:v>
      </x:c>
      <x:c r="AB120" s="22" t="n">
        <x:f>MAX(0,MIN('Activities'!L120,144)-MAX('Activities'!K120,138))</x:f>
        <x:v>0</x:v>
      </x:c>
      <x:c r="AC120" s="22" t="n">
        <x:f>MAX(0,MIN('Activities'!L120,150)-MAX('Activities'!K120,144))</x:f>
        <x:v>0</x:v>
      </x:c>
      <x:c r="AD120" s="22" t="n">
        <x:f>MAX(0,MIN('Activities'!L120,156)-MAX('Activities'!K120,150))</x:f>
        <x:v>0</x:v>
      </x:c>
      <x:c r="AE120" s="22" t="n">
        <x:f>MAX(0,MIN('Activities'!L120,162)-MAX('Activities'!K120,156))</x:f>
        <x:v>0</x:v>
      </x:c>
      <x:c r="AF120" s="22" t="n">
        <x:f>MAX(0,MIN('Activities'!L120,168)-MAX('Activities'!K120,162))</x:f>
        <x:v>0</x:v>
      </x:c>
      <x:c r="AG120" s="22" t="n">
        <x:f>MAX(0,MIN('Activities'!L120,174)-MAX('Activities'!K120,168))</x:f>
        <x:v>0</x:v>
      </x:c>
      <x:c r="AH120" s="22" t="n">
        <x:f>MAX(0,MIN('Activities'!L120,180)-MAX('Activities'!K120,174))</x:f>
        <x:v>0</x:v>
      </x:c>
      <x:c r="AI120" s="22" t="n">
        <x:f>MAX(0,MIN('Activities'!L120,186)-MAX('Activities'!K120,180))</x:f>
        <x:v>0</x:v>
      </x:c>
      <x:c r="AJ120" s="22" t="n">
        <x:f>MAX(0,MIN('Activities'!L120,192)-MAX('Activities'!K120,186))</x:f>
        <x:v>0</x:v>
      </x:c>
      <x:c r="AK120" s="22" t="n">
        <x:f>MAX(0,MIN('Activities'!L120,198)-MAX('Activities'!K120,192))</x:f>
        <x:v>0</x:v>
      </x:c>
      <x:c r="AL120" s="22" t="n">
        <x:f>MAX(0,MIN('Activities'!L120,204)-MAX('Activities'!K120,198))</x:f>
        <x:v>0</x:v>
      </x:c>
      <x:c r="AM120" s="22" t="n">
        <x:f>MAX(0,MIN('Activities'!L120,210)-MAX('Activities'!K120,204))</x:f>
        <x:v>0</x:v>
      </x:c>
      <x:c r="AN120" s="22" t="n">
        <x:f>MAX(0,MIN('Activities'!L120,216)-MAX('Activities'!K120,210))</x:f>
        <x:v>0</x:v>
      </x:c>
      <x:c r="AO120" s="22" t="n">
        <x:f>MAX(0,MIN('Activities'!L120,222)-MAX('Activities'!K120,216))</x:f>
        <x:v>0</x:v>
      </x:c>
      <x:c r="AP120" s="22" t="n">
        <x:f>MAX(0,MIN('Activities'!L120,228)-MAX('Activities'!K120,222))</x:f>
        <x:v>0</x:v>
      </x:c>
      <x:c r="AQ120" s="22" t="n">
        <x:f>MAX(0,MIN('Activities'!L120,234)-MAX('Activities'!K120,228))</x:f>
        <x:v>0</x:v>
      </x:c>
      <x:c r="AR120" s="22" t="n">
        <x:f>MAX(0,MIN('Activities'!L120,240)-MAX('Activities'!K120,234))</x:f>
        <x:v>0</x:v>
      </x:c>
      <x:c r="AS120" s="22" t="n">
        <x:f>MAX(0,MIN('Activities'!L120,246)-MAX('Activities'!K120,240))</x:f>
        <x:v>0</x:v>
      </x:c>
      <x:c r="AT120" s="22" t="n">
        <x:f>MAX(0,MIN('Activities'!L120,252)-MAX('Activities'!K120,246))</x:f>
        <x:v>0</x:v>
      </x:c>
      <x:c r="AU120" s="22" t="n">
        <x:f>MAX(0,MIN('Activities'!L120,258)-MAX('Activities'!K120,252))</x:f>
        <x:v>0</x:v>
      </x:c>
      <x:c r="AV120" s="22" t="n">
        <x:f>MAX(0,MIN('Activities'!L120,264)-MAX('Activities'!K120,258))</x:f>
        <x:v>0</x:v>
      </x:c>
      <x:c r="AW120" s="22" t="n">
        <x:f>MAX(0,MIN('Activities'!L120,270)-MAX('Activities'!K120,264))</x:f>
        <x:v>0</x:v>
      </x:c>
      <x:c r="AX120" s="22" t="n">
        <x:f>MAX(0,MIN('Activities'!L120,276)-MAX('Activities'!K120,270))</x:f>
        <x:v>0</x:v>
      </x:c>
      <x:c r="AY120" s="22" t="n">
        <x:f>MAX(0,MIN('Activities'!L120,282)-MAX('Activities'!K120,276))</x:f>
        <x:v>0</x:v>
      </x:c>
      <x:c r="AZ120" s="22" t="n">
        <x:f>MAX(0,MIN('Activities'!L120,288)-MAX('Activities'!K120,282))</x:f>
        <x:v>0</x:v>
      </x:c>
      <x:c r="BA120" s="22" t="n">
        <x:f>MAX(0,MIN('Activities'!L120,294)-MAX('Activities'!K120,288))</x:f>
        <x:v>0</x:v>
      </x:c>
      <x:c r="BB120" s="22" t="n">
        <x:f>MAX(0,MIN('Activities'!L120,300)-MAX('Activities'!K120,294))</x:f>
        <x:v>0</x:v>
      </x:c>
      <x:c r="BC120" s="22" t="n">
        <x:f>MAX(0,MIN('Activities'!L120,306)-MAX('Activities'!K120,300))</x:f>
        <x:v>0</x:v>
      </x:c>
      <x:c r="BD120" s="22" t="n">
        <x:f>MAX(0,MIN('Activities'!L120,312)-MAX('Activities'!K120,306))</x:f>
        <x:v>0</x:v>
      </x:c>
      <x:c r="BE120" s="22" t="n">
        <x:f>MAX(0,MIN('Activities'!L120,318)-MAX('Activities'!K120,312))</x:f>
        <x:v>0</x:v>
      </x:c>
      <x:c r="BF120" s="22" t="n">
        <x:f>MAX(0,MIN('Activities'!L120,324)-MAX('Activities'!K120,318))</x:f>
        <x:v>0</x:v>
      </x:c>
      <x:c r="BG120" s="22" t="n">
        <x:f>MAX(0,MIN('Activities'!L120,330)-MAX('Activities'!K120,324))</x:f>
        <x:v>0</x:v>
      </x:c>
      <x:c r="BH120" s="22" t="n">
        <x:f>MAX(0,MIN('Activities'!L120,336)-MAX('Activities'!K120,330))</x:f>
        <x:v>0</x:v>
      </x:c>
      <x:c r="BI120" s="22" t="n">
        <x:f>MAX(0,MIN('Activities'!L120,342)-MAX('Activities'!K120,336))</x:f>
        <x:v>0</x:v>
      </x:c>
      <x:c r="BJ120" s="22" t="n">
        <x:f>MAX(0,MIN('Activities'!L120,348)-MAX('Activities'!K120,342))</x:f>
        <x:v>0</x:v>
      </x:c>
      <x:c r="BK120" s="22" t="n">
        <x:f>MAX(0,MIN('Activities'!L120,354)-MAX('Activities'!K120,348))</x:f>
        <x:v>0</x:v>
      </x:c>
      <x:c r="BL120" s="22" t="n">
        <x:f>MAX(0,MIN('Activities'!L120,360)-MAX('Activities'!K120,354))</x:f>
        <x:v>0</x:v>
      </x:c>
      <x:c r="BM120" s="22" t="n">
        <x:f>MAX(0,MIN('Activities'!L120,366)-MAX('Activities'!K120,360))</x:f>
        <x:v>3</x:v>
      </x:c>
      <x:c r="BN120" s="22" t="n">
        <x:f>MAX(0,MIN('Activities'!L120,372)-MAX('Activities'!K120,366))</x:f>
        <x:v>3</x:v>
      </x:c>
      <x:c r="BO120" s="22" t="n">
        <x:f>MAX(0,MIN('Activities'!L120,378)-MAX('Activities'!K120,372))</x:f>
        <x:v>0</x:v>
      </x:c>
      <x:c r="BP120" s="22" t="n">
        <x:f>MAX(0,MIN('Activities'!L120,384)-MAX('Activities'!K120,378))</x:f>
        <x:v>0</x:v>
      </x:c>
      <x:c r="BQ120" s="22" t="n">
        <x:f>MAX(0,MIN('Activities'!L120,390)-MAX('Activities'!K120,384))</x:f>
        <x:v>0</x:v>
      </x:c>
      <x:c r="BR120" s="22" t="n">
        <x:f>MAX(0,MIN('Activities'!L120,396)-MAX('Activities'!K120,390))</x:f>
        <x:v>0</x:v>
      </x:c>
      <x:c r="BS120" s="22" t="n">
        <x:f>MAX(0,MIN('Activities'!L120,402)-MAX('Activities'!K120,396))</x:f>
        <x:v>0</x:v>
      </x:c>
      <x:c r="BT120" s="22" t="n">
        <x:f>MAX(0,MIN('Activities'!L120,408)-MAX('Activities'!K120,402))</x:f>
        <x:v>0</x:v>
      </x:c>
      <x:c r="BU120" s="22" t="n">
        <x:f>MAX(0,MIN('Activities'!L120,414)-MAX('Activities'!K120,408))</x:f>
        <x:v>0</x:v>
      </x:c>
      <x:c r="BV120" s="22" t="n">
        <x:f>MAX(0,MIN('Activities'!L120,420)-MAX('Activities'!K120,414))</x:f>
        <x:v>0</x:v>
      </x:c>
      <x:c r="BW120" s="22" t="n">
        <x:f>MAX(0,MIN('Activities'!L120,426)-MAX('Activities'!K120,420))</x:f>
        <x:v>0</x:v>
      </x:c>
      <x:c r="BX120" s="22" t="n">
        <x:f>MAX(0,MIN('Activities'!L120,432)-MAX('Activities'!K120,426))</x:f>
        <x:v>0</x:v>
      </x:c>
      <x:c r="BY120" s="22" t="n">
        <x:f>MAX(0,MIN('Activities'!L120,438)-MAX('Activities'!K120,432))</x:f>
        <x:v>0</x:v>
      </x:c>
      <x:c r="BZ120" s="22" t="n">
        <x:f>MAX(0,MIN('Activities'!L120,444)-MAX('Activities'!K120,438))</x:f>
        <x:v>0</x:v>
      </x:c>
      <x:c r="CA120" s="22" t="n">
        <x:f>MAX(0,MIN('Activities'!L120,450)-MAX('Activities'!K120,444))</x:f>
        <x:v>0</x:v>
      </x:c>
      <x:c r="CB120" s="22" t="n">
        <x:f>MAX(0,MIN('Activities'!L120,456)-MAX('Activities'!K120,450))</x:f>
        <x:v>0</x:v>
      </x:c>
      <x:c r="CC120" s="22" t="n">
        <x:f>MAX(0,MIN('Activities'!L120,462)-MAX('Activities'!K120,456))</x:f>
        <x:v>0</x:v>
      </x:c>
      <x:c r="CD120" s="22" t="n">
        <x:f>MAX(0,MIN('Activities'!L120,468)-MAX('Activities'!K120,462))</x:f>
        <x:v>0</x:v>
      </x:c>
      <x:c r="CE120" s="22" t="n">
        <x:f>MAX(0,MIN('Activities'!L120,474)-MAX('Activities'!K120,468))</x:f>
        <x:v>0</x:v>
      </x:c>
      <x:c r="CF120" s="22" t="n">
        <x:f>MAX(0,MIN('Activities'!L120,480)-MAX('Activities'!K120,474))</x:f>
        <x:v>0</x:v>
      </x:c>
      <x:c r="CG120" s="22" t="n">
        <x:f>MAX(0,MIN('Activities'!L120,486)-MAX('Activities'!K120,480))</x:f>
        <x:v>0</x:v>
      </x:c>
      <x:c r="CH120" s="22" t="n">
        <x:f>MAX(0,MIN('Activities'!L120,492)-MAX('Activities'!K120,486))</x:f>
        <x:v>0</x:v>
      </x:c>
      <x:c r="CI120" s="22" t="n">
        <x:f>MAX(0,MIN('Activities'!L120,498)-MAX('Activities'!K120,492))</x:f>
        <x:v>0</x:v>
      </x:c>
      <x:c r="CJ120" s="22" t="n">
        <x:f>MAX(0,MIN('Activities'!L120,504)-MAX('Activities'!K120,498))</x:f>
        <x:v>0</x:v>
      </x:c>
      <x:c r="CK120" s="22" t="n">
        <x:f>MAX(0,MIN('Activities'!L120,510)-MAX('Activities'!K120,504))</x:f>
        <x:v>0</x:v>
      </x:c>
      <x:c r="CL120" s="22" t="n">
        <x:f>MAX(0,MIN('Activities'!L120,516)-MAX('Activities'!K120,510))</x:f>
        <x:v>0</x:v>
      </x:c>
      <x:c r="CM120" s="22" t="n">
        <x:f>MAX(0,MIN('Activities'!L120,522)-MAX('Activities'!K120,516))</x:f>
        <x:v>0</x:v>
      </x:c>
      <x:c r="CN120" s="22" t="n">
        <x:f>MAX(0,MIN('Activities'!L120,528)-MAX('Activities'!K120,522))</x:f>
        <x:v>0</x:v>
      </x:c>
      <x:c r="CO120" s="22" t="n">
        <x:f>MAX(0,MIN('Activities'!L120,534)-MAX('Activities'!K120,528))</x:f>
        <x:v>0</x:v>
      </x:c>
      <x:c r="CP120" s="22" t="n">
        <x:f>MAX(0,MIN('Activities'!L120,540)-MAX('Activities'!K120,534))</x:f>
        <x:v>0</x:v>
      </x:c>
      <x:c r="CQ120" s="22" t="n">
        <x:f>MAX(0,MIN('Activities'!L120,546)-MAX('Activities'!K120,540))</x:f>
        <x:v>0</x:v>
      </x:c>
      <x:c r="CR120" s="22" t="n">
        <x:f>MAX(0,MIN('Activities'!L120,552)-MAX('Activities'!K120,546))</x:f>
        <x:v>0</x:v>
      </x:c>
      <x:c r="CS120" s="22" t="n">
        <x:f>MAX(0,MIN('Activities'!L120,558)-MAX('Activities'!K120,552))</x:f>
        <x:v>0</x:v>
      </x:c>
      <x:c r="CT120" s="22" t="n">
        <x:f>MAX(0,MIN('Activities'!L120,564)-MAX('Activities'!K120,558))</x:f>
        <x:v>0</x:v>
      </x:c>
      <x:c r="CU120" s="22" t="n">
        <x:f>MAX(0,MIN('Activities'!L120,570)-MAX('Activities'!K120,564))</x:f>
        <x:v>0</x:v>
      </x:c>
      <x:c r="CV120" s="22" t="n">
        <x:f>MAX(0,MIN('Activities'!L120,576)-MAX('Activities'!K120,570))</x:f>
        <x:v>0</x:v>
      </x:c>
      <x:c r="CW120" s="22" t="n">
        <x:f>MAX(0,MIN('Activities'!L120,582)-MAX('Activities'!K120,576))</x:f>
        <x:v>0</x:v>
      </x:c>
      <x:c r="CX120" s="22" t="n">
        <x:f>MAX(0,MIN('Activities'!L120,588)-MAX('Activities'!K120,582))</x:f>
        <x:v>0</x:v>
      </x:c>
      <x:c r="CY120" s="22" t="n">
        <x:f>MAX(0,MIN('Activities'!L120,594)-MAX('Activities'!K120,588))</x:f>
        <x:v>0</x:v>
      </x:c>
      <x:c r="CZ120" s="22" t="n">
        <x:f>MAX(0,MIN('Activities'!L120,600)-MAX('Activities'!K120,594))</x:f>
        <x:v>0</x:v>
      </x:c>
      <x:c r="DA120" s="22" t="n">
        <x:f>MAX(0,MIN('Activities'!L120,606)-MAX('Activities'!K120,600))</x:f>
        <x:v>0</x:v>
      </x:c>
      <x:c r="DB120" s="22" t="n">
        <x:f>MAX(0,MIN('Activities'!L120,612)-MAX('Activities'!K120,606))</x:f>
        <x:v>0</x:v>
      </x:c>
      <x:c r="DC120" s="22" t="n">
        <x:f>MAX(0,MIN('Activities'!L120,618)-MAX('Activities'!K120,612))</x:f>
        <x:v>0</x:v>
      </x:c>
      <x:c r="DD120" s="22" t="n">
        <x:f>MAX(0,MIN('Activities'!L120,624)-MAX('Activities'!K120,618))</x:f>
        <x:v>0</x:v>
      </x:c>
      <x:c r="DE120" s="22" t="n">
        <x:f>MAX(0,MIN('Activities'!L120,630)-MAX('Activities'!K120,624))</x:f>
        <x:v>0</x:v>
      </x:c>
      <x:c r="DF120" s="22" t="n">
        <x:f>MAX(0,MIN('Activities'!L120,636)-MAX('Activities'!K120,630))</x:f>
        <x:v>0</x:v>
      </x:c>
    </x:row>
    <x:row r="121" ht="23" customHeight="1">
      <x:c r="A121" s="1" t="str">
        <x:v>T1-L08-S</x:v>
      </x:c>
      <x:c r="B121" s="1" t="str">
        <x:v>T1</x:v>
      </x:c>
      <x:c r="C121" s="1" t="str">
        <x:v>Screed and substrate preparation</x:v>
      </x:c>
      <x:c r="D121" s="1" t="str">
        <x:v>Finishes</x:v>
      </x:c>
      <x:c r="E121" s="23" t="n">
        <x:f>MAX(0,MIN('Activities'!L121,6)-MAX('Activities'!K121,0))</x:f>
        <x:v>0</x:v>
      </x:c>
      <x:c r="F121" s="23" t="n">
        <x:f>MAX(0,MIN('Activities'!L121,12)-MAX('Activities'!K121,6))</x:f>
        <x:v>0</x:v>
      </x:c>
      <x:c r="G121" s="23" t="n">
        <x:f>MAX(0,MIN('Activities'!L121,18)-MAX('Activities'!K121,12))</x:f>
        <x:v>0</x:v>
      </x:c>
      <x:c r="H121" s="23" t="n">
        <x:f>MAX(0,MIN('Activities'!L121,24)-MAX('Activities'!K121,18))</x:f>
        <x:v>0</x:v>
      </x:c>
      <x:c r="I121" s="23" t="n">
        <x:f>MAX(0,MIN('Activities'!L121,30)-MAX('Activities'!K121,24))</x:f>
        <x:v>0</x:v>
      </x:c>
      <x:c r="J121" s="23" t="n">
        <x:f>MAX(0,MIN('Activities'!L121,36)-MAX('Activities'!K121,30))</x:f>
        <x:v>0</x:v>
      </x:c>
      <x:c r="K121" s="23" t="n">
        <x:f>MAX(0,MIN('Activities'!L121,42)-MAX('Activities'!K121,36))</x:f>
        <x:v>0</x:v>
      </x:c>
      <x:c r="L121" s="23" t="n">
        <x:f>MAX(0,MIN('Activities'!L121,48)-MAX('Activities'!K121,42))</x:f>
        <x:v>0</x:v>
      </x:c>
      <x:c r="M121" s="23" t="n">
        <x:f>MAX(0,MIN('Activities'!L121,54)-MAX('Activities'!K121,48))</x:f>
        <x:v>0</x:v>
      </x:c>
      <x:c r="N121" s="23" t="n">
        <x:f>MAX(0,MIN('Activities'!L121,60)-MAX('Activities'!K121,54))</x:f>
        <x:v>0</x:v>
      </x:c>
      <x:c r="O121" s="23" t="n">
        <x:f>MAX(0,MIN('Activities'!L121,66)-MAX('Activities'!K121,60))</x:f>
        <x:v>0</x:v>
      </x:c>
      <x:c r="P121" s="23" t="n">
        <x:f>MAX(0,MIN('Activities'!L121,72)-MAX('Activities'!K121,66))</x:f>
        <x:v>0</x:v>
      </x:c>
      <x:c r="Q121" s="23" t="n">
        <x:f>MAX(0,MIN('Activities'!L121,78)-MAX('Activities'!K121,72))</x:f>
        <x:v>0</x:v>
      </x:c>
      <x:c r="R121" s="23" t="n">
        <x:f>MAX(0,MIN('Activities'!L121,84)-MAX('Activities'!K121,78))</x:f>
        <x:v>0</x:v>
      </x:c>
      <x:c r="S121" s="23" t="n">
        <x:f>MAX(0,MIN('Activities'!L121,90)-MAX('Activities'!K121,84))</x:f>
        <x:v>0</x:v>
      </x:c>
      <x:c r="T121" s="23" t="n">
        <x:f>MAX(0,MIN('Activities'!L121,96)-MAX('Activities'!K121,90))</x:f>
        <x:v>0</x:v>
      </x:c>
      <x:c r="U121" s="23" t="n">
        <x:f>MAX(0,MIN('Activities'!L121,102)-MAX('Activities'!K121,96))</x:f>
        <x:v>0</x:v>
      </x:c>
      <x:c r="V121" s="23" t="n">
        <x:f>MAX(0,MIN('Activities'!L121,108)-MAX('Activities'!K121,102))</x:f>
        <x:v>0</x:v>
      </x:c>
      <x:c r="W121" s="23" t="n">
        <x:f>MAX(0,MIN('Activities'!L121,114)-MAX('Activities'!K121,108))</x:f>
        <x:v>0</x:v>
      </x:c>
      <x:c r="X121" s="23" t="n">
        <x:f>MAX(0,MIN('Activities'!L121,120)-MAX('Activities'!K121,114))</x:f>
        <x:v>0</x:v>
      </x:c>
      <x:c r="Y121" s="23" t="n">
        <x:f>MAX(0,MIN('Activities'!L121,126)-MAX('Activities'!K121,120))</x:f>
        <x:v>0</x:v>
      </x:c>
      <x:c r="Z121" s="23" t="n">
        <x:f>MAX(0,MIN('Activities'!L121,132)-MAX('Activities'!K121,126))</x:f>
        <x:v>0</x:v>
      </x:c>
      <x:c r="AA121" s="23" t="n">
        <x:f>MAX(0,MIN('Activities'!L121,138)-MAX('Activities'!K121,132))</x:f>
        <x:v>0</x:v>
      </x:c>
      <x:c r="AB121" s="23" t="n">
        <x:f>MAX(0,MIN('Activities'!L121,144)-MAX('Activities'!K121,138))</x:f>
        <x:v>0</x:v>
      </x:c>
      <x:c r="AC121" s="23" t="n">
        <x:f>MAX(0,MIN('Activities'!L121,150)-MAX('Activities'!K121,144))</x:f>
        <x:v>0</x:v>
      </x:c>
      <x:c r="AD121" s="23" t="n">
        <x:f>MAX(0,MIN('Activities'!L121,156)-MAX('Activities'!K121,150))</x:f>
        <x:v>0</x:v>
      </x:c>
      <x:c r="AE121" s="23" t="n">
        <x:f>MAX(0,MIN('Activities'!L121,162)-MAX('Activities'!K121,156))</x:f>
        <x:v>0</x:v>
      </x:c>
      <x:c r="AF121" s="23" t="n">
        <x:f>MAX(0,MIN('Activities'!L121,168)-MAX('Activities'!K121,162))</x:f>
        <x:v>0</x:v>
      </x:c>
      <x:c r="AG121" s="23" t="n">
        <x:f>MAX(0,MIN('Activities'!L121,174)-MAX('Activities'!K121,168))</x:f>
        <x:v>0</x:v>
      </x:c>
      <x:c r="AH121" s="23" t="n">
        <x:f>MAX(0,MIN('Activities'!L121,180)-MAX('Activities'!K121,174))</x:f>
        <x:v>0</x:v>
      </x:c>
      <x:c r="AI121" s="23" t="n">
        <x:f>MAX(0,MIN('Activities'!L121,186)-MAX('Activities'!K121,180))</x:f>
        <x:v>0</x:v>
      </x:c>
      <x:c r="AJ121" s="23" t="n">
        <x:f>MAX(0,MIN('Activities'!L121,192)-MAX('Activities'!K121,186))</x:f>
        <x:v>0</x:v>
      </x:c>
      <x:c r="AK121" s="23" t="n">
        <x:f>MAX(0,MIN('Activities'!L121,198)-MAX('Activities'!K121,192))</x:f>
        <x:v>0</x:v>
      </x:c>
      <x:c r="AL121" s="23" t="n">
        <x:f>MAX(0,MIN('Activities'!L121,204)-MAX('Activities'!K121,198))</x:f>
        <x:v>0</x:v>
      </x:c>
      <x:c r="AM121" s="23" t="n">
        <x:f>MAX(0,MIN('Activities'!L121,210)-MAX('Activities'!K121,204))</x:f>
        <x:v>0</x:v>
      </x:c>
      <x:c r="AN121" s="23" t="n">
        <x:f>MAX(0,MIN('Activities'!L121,216)-MAX('Activities'!K121,210))</x:f>
        <x:v>0</x:v>
      </x:c>
      <x:c r="AO121" s="23" t="n">
        <x:f>MAX(0,MIN('Activities'!L121,222)-MAX('Activities'!K121,216))</x:f>
        <x:v>0</x:v>
      </x:c>
      <x:c r="AP121" s="23" t="n">
        <x:f>MAX(0,MIN('Activities'!L121,228)-MAX('Activities'!K121,222))</x:f>
        <x:v>0</x:v>
      </x:c>
      <x:c r="AQ121" s="23" t="n">
        <x:f>MAX(0,MIN('Activities'!L121,234)-MAX('Activities'!K121,228))</x:f>
        <x:v>0</x:v>
      </x:c>
      <x:c r="AR121" s="23" t="n">
        <x:f>MAX(0,MIN('Activities'!L121,240)-MAX('Activities'!K121,234))</x:f>
        <x:v>0</x:v>
      </x:c>
      <x:c r="AS121" s="23" t="n">
        <x:f>MAX(0,MIN('Activities'!L121,246)-MAX('Activities'!K121,240))</x:f>
        <x:v>0</x:v>
      </x:c>
      <x:c r="AT121" s="23" t="n">
        <x:f>MAX(0,MIN('Activities'!L121,252)-MAX('Activities'!K121,246))</x:f>
        <x:v>0</x:v>
      </x:c>
      <x:c r="AU121" s="23" t="n">
        <x:f>MAX(0,MIN('Activities'!L121,258)-MAX('Activities'!K121,252))</x:f>
        <x:v>0</x:v>
      </x:c>
      <x:c r="AV121" s="23" t="n">
        <x:f>MAX(0,MIN('Activities'!L121,264)-MAX('Activities'!K121,258))</x:f>
        <x:v>0</x:v>
      </x:c>
      <x:c r="AW121" s="23" t="n">
        <x:f>MAX(0,MIN('Activities'!L121,270)-MAX('Activities'!K121,264))</x:f>
        <x:v>0</x:v>
      </x:c>
      <x:c r="AX121" s="23" t="n">
        <x:f>MAX(0,MIN('Activities'!L121,276)-MAX('Activities'!K121,270))</x:f>
        <x:v>0</x:v>
      </x:c>
      <x:c r="AY121" s="23" t="n">
        <x:f>MAX(0,MIN('Activities'!L121,282)-MAX('Activities'!K121,276))</x:f>
        <x:v>0</x:v>
      </x:c>
      <x:c r="AZ121" s="23" t="n">
        <x:f>MAX(0,MIN('Activities'!L121,288)-MAX('Activities'!K121,282))</x:f>
        <x:v>0</x:v>
      </x:c>
      <x:c r="BA121" s="23" t="n">
        <x:f>MAX(0,MIN('Activities'!L121,294)-MAX('Activities'!K121,288))</x:f>
        <x:v>0</x:v>
      </x:c>
      <x:c r="BB121" s="23" t="n">
        <x:f>MAX(0,MIN('Activities'!L121,300)-MAX('Activities'!K121,294))</x:f>
        <x:v>0</x:v>
      </x:c>
      <x:c r="BC121" s="23" t="n">
        <x:f>MAX(0,MIN('Activities'!L121,306)-MAX('Activities'!K121,300))</x:f>
        <x:v>0</x:v>
      </x:c>
      <x:c r="BD121" s="23" t="n">
        <x:f>MAX(0,MIN('Activities'!L121,312)-MAX('Activities'!K121,306))</x:f>
        <x:v>0</x:v>
      </x:c>
      <x:c r="BE121" s="23" t="n">
        <x:f>MAX(0,MIN('Activities'!L121,318)-MAX('Activities'!K121,312))</x:f>
        <x:v>0</x:v>
      </x:c>
      <x:c r="BF121" s="23" t="n">
        <x:f>MAX(0,MIN('Activities'!L121,324)-MAX('Activities'!K121,318))</x:f>
        <x:v>0</x:v>
      </x:c>
      <x:c r="BG121" s="23" t="n">
        <x:f>MAX(0,MIN('Activities'!L121,330)-MAX('Activities'!K121,324))</x:f>
        <x:v>0</x:v>
      </x:c>
      <x:c r="BH121" s="23" t="n">
        <x:f>MAX(0,MIN('Activities'!L121,336)-MAX('Activities'!K121,330))</x:f>
        <x:v>0</x:v>
      </x:c>
      <x:c r="BI121" s="23" t="n">
        <x:f>MAX(0,MIN('Activities'!L121,342)-MAX('Activities'!K121,336))</x:f>
        <x:v>0</x:v>
      </x:c>
      <x:c r="BJ121" s="23" t="n">
        <x:f>MAX(0,MIN('Activities'!L121,348)-MAX('Activities'!K121,342))</x:f>
        <x:v>0</x:v>
      </x:c>
      <x:c r="BK121" s="23" t="n">
        <x:f>MAX(0,MIN('Activities'!L121,354)-MAX('Activities'!K121,348))</x:f>
        <x:v>0</x:v>
      </x:c>
      <x:c r="BL121" s="23" t="n">
        <x:f>MAX(0,MIN('Activities'!L121,360)-MAX('Activities'!K121,354))</x:f>
        <x:v>0</x:v>
      </x:c>
      <x:c r="BM121" s="23" t="n">
        <x:f>MAX(0,MIN('Activities'!L121,366)-MAX('Activities'!K121,360))</x:f>
        <x:v>0</x:v>
      </x:c>
      <x:c r="BN121" s="23" t="n">
        <x:f>MAX(0,MIN('Activities'!L121,372)-MAX('Activities'!K121,366))</x:f>
        <x:v>1</x:v>
      </x:c>
      <x:c r="BO121" s="23" t="n">
        <x:f>MAX(0,MIN('Activities'!L121,378)-MAX('Activities'!K121,372))</x:f>
        <x:v>2</x:v>
      </x:c>
      <x:c r="BP121" s="23" t="n">
        <x:f>MAX(0,MIN('Activities'!L121,384)-MAX('Activities'!K121,378))</x:f>
        <x:v>0</x:v>
      </x:c>
      <x:c r="BQ121" s="23" t="n">
        <x:f>MAX(0,MIN('Activities'!L121,390)-MAX('Activities'!K121,384))</x:f>
        <x:v>0</x:v>
      </x:c>
      <x:c r="BR121" s="23" t="n">
        <x:f>MAX(0,MIN('Activities'!L121,396)-MAX('Activities'!K121,390))</x:f>
        <x:v>0</x:v>
      </x:c>
      <x:c r="BS121" s="23" t="n">
        <x:f>MAX(0,MIN('Activities'!L121,402)-MAX('Activities'!K121,396))</x:f>
        <x:v>0</x:v>
      </x:c>
      <x:c r="BT121" s="23" t="n">
        <x:f>MAX(0,MIN('Activities'!L121,408)-MAX('Activities'!K121,402))</x:f>
        <x:v>0</x:v>
      </x:c>
      <x:c r="BU121" s="23" t="n">
        <x:f>MAX(0,MIN('Activities'!L121,414)-MAX('Activities'!K121,408))</x:f>
        <x:v>0</x:v>
      </x:c>
      <x:c r="BV121" s="23" t="n">
        <x:f>MAX(0,MIN('Activities'!L121,420)-MAX('Activities'!K121,414))</x:f>
        <x:v>0</x:v>
      </x:c>
      <x:c r="BW121" s="23" t="n">
        <x:f>MAX(0,MIN('Activities'!L121,426)-MAX('Activities'!K121,420))</x:f>
        <x:v>0</x:v>
      </x:c>
      <x:c r="BX121" s="23" t="n">
        <x:f>MAX(0,MIN('Activities'!L121,432)-MAX('Activities'!K121,426))</x:f>
        <x:v>0</x:v>
      </x:c>
      <x:c r="BY121" s="23" t="n">
        <x:f>MAX(0,MIN('Activities'!L121,438)-MAX('Activities'!K121,432))</x:f>
        <x:v>0</x:v>
      </x:c>
      <x:c r="BZ121" s="23" t="n">
        <x:f>MAX(0,MIN('Activities'!L121,444)-MAX('Activities'!K121,438))</x:f>
        <x:v>0</x:v>
      </x:c>
      <x:c r="CA121" s="23" t="n">
        <x:f>MAX(0,MIN('Activities'!L121,450)-MAX('Activities'!K121,444))</x:f>
        <x:v>0</x:v>
      </x:c>
      <x:c r="CB121" s="23" t="n">
        <x:f>MAX(0,MIN('Activities'!L121,456)-MAX('Activities'!K121,450))</x:f>
        <x:v>0</x:v>
      </x:c>
      <x:c r="CC121" s="23" t="n">
        <x:f>MAX(0,MIN('Activities'!L121,462)-MAX('Activities'!K121,456))</x:f>
        <x:v>0</x:v>
      </x:c>
      <x:c r="CD121" s="23" t="n">
        <x:f>MAX(0,MIN('Activities'!L121,468)-MAX('Activities'!K121,462))</x:f>
        <x:v>0</x:v>
      </x:c>
      <x:c r="CE121" s="23" t="n">
        <x:f>MAX(0,MIN('Activities'!L121,474)-MAX('Activities'!K121,468))</x:f>
        <x:v>0</x:v>
      </x:c>
      <x:c r="CF121" s="23" t="n">
        <x:f>MAX(0,MIN('Activities'!L121,480)-MAX('Activities'!K121,474))</x:f>
        <x:v>0</x:v>
      </x:c>
      <x:c r="CG121" s="23" t="n">
        <x:f>MAX(0,MIN('Activities'!L121,486)-MAX('Activities'!K121,480))</x:f>
        <x:v>0</x:v>
      </x:c>
      <x:c r="CH121" s="23" t="n">
        <x:f>MAX(0,MIN('Activities'!L121,492)-MAX('Activities'!K121,486))</x:f>
        <x:v>0</x:v>
      </x:c>
      <x:c r="CI121" s="23" t="n">
        <x:f>MAX(0,MIN('Activities'!L121,498)-MAX('Activities'!K121,492))</x:f>
        <x:v>0</x:v>
      </x:c>
      <x:c r="CJ121" s="23" t="n">
        <x:f>MAX(0,MIN('Activities'!L121,504)-MAX('Activities'!K121,498))</x:f>
        <x:v>0</x:v>
      </x:c>
      <x:c r="CK121" s="23" t="n">
        <x:f>MAX(0,MIN('Activities'!L121,510)-MAX('Activities'!K121,504))</x:f>
        <x:v>0</x:v>
      </x:c>
      <x:c r="CL121" s="23" t="n">
        <x:f>MAX(0,MIN('Activities'!L121,516)-MAX('Activities'!K121,510))</x:f>
        <x:v>0</x:v>
      </x:c>
      <x:c r="CM121" s="23" t="n">
        <x:f>MAX(0,MIN('Activities'!L121,522)-MAX('Activities'!K121,516))</x:f>
        <x:v>0</x:v>
      </x:c>
      <x:c r="CN121" s="23" t="n">
        <x:f>MAX(0,MIN('Activities'!L121,528)-MAX('Activities'!K121,522))</x:f>
        <x:v>0</x:v>
      </x:c>
      <x:c r="CO121" s="23" t="n">
        <x:f>MAX(0,MIN('Activities'!L121,534)-MAX('Activities'!K121,528))</x:f>
        <x:v>0</x:v>
      </x:c>
      <x:c r="CP121" s="23" t="n">
        <x:f>MAX(0,MIN('Activities'!L121,540)-MAX('Activities'!K121,534))</x:f>
        <x:v>0</x:v>
      </x:c>
      <x:c r="CQ121" s="23" t="n">
        <x:f>MAX(0,MIN('Activities'!L121,546)-MAX('Activities'!K121,540))</x:f>
        <x:v>0</x:v>
      </x:c>
      <x:c r="CR121" s="23" t="n">
        <x:f>MAX(0,MIN('Activities'!L121,552)-MAX('Activities'!K121,546))</x:f>
        <x:v>0</x:v>
      </x:c>
      <x:c r="CS121" s="23" t="n">
        <x:f>MAX(0,MIN('Activities'!L121,558)-MAX('Activities'!K121,552))</x:f>
        <x:v>0</x:v>
      </x:c>
      <x:c r="CT121" s="23" t="n">
        <x:f>MAX(0,MIN('Activities'!L121,564)-MAX('Activities'!K121,558))</x:f>
        <x:v>0</x:v>
      </x:c>
      <x:c r="CU121" s="23" t="n">
        <x:f>MAX(0,MIN('Activities'!L121,570)-MAX('Activities'!K121,564))</x:f>
        <x:v>0</x:v>
      </x:c>
      <x:c r="CV121" s="23" t="n">
        <x:f>MAX(0,MIN('Activities'!L121,576)-MAX('Activities'!K121,570))</x:f>
        <x:v>0</x:v>
      </x:c>
      <x:c r="CW121" s="23" t="n">
        <x:f>MAX(0,MIN('Activities'!L121,582)-MAX('Activities'!K121,576))</x:f>
        <x:v>0</x:v>
      </x:c>
      <x:c r="CX121" s="23" t="n">
        <x:f>MAX(0,MIN('Activities'!L121,588)-MAX('Activities'!K121,582))</x:f>
        <x:v>0</x:v>
      </x:c>
      <x:c r="CY121" s="23" t="n">
        <x:f>MAX(0,MIN('Activities'!L121,594)-MAX('Activities'!K121,588))</x:f>
        <x:v>0</x:v>
      </x:c>
      <x:c r="CZ121" s="23" t="n">
        <x:f>MAX(0,MIN('Activities'!L121,600)-MAX('Activities'!K121,594))</x:f>
        <x:v>0</x:v>
      </x:c>
      <x:c r="DA121" s="23" t="n">
        <x:f>MAX(0,MIN('Activities'!L121,606)-MAX('Activities'!K121,600))</x:f>
        <x:v>0</x:v>
      </x:c>
      <x:c r="DB121" s="23" t="n">
        <x:f>MAX(0,MIN('Activities'!L121,612)-MAX('Activities'!K121,606))</x:f>
        <x:v>0</x:v>
      </x:c>
      <x:c r="DC121" s="23" t="n">
        <x:f>MAX(0,MIN('Activities'!L121,618)-MAX('Activities'!K121,612))</x:f>
        <x:v>0</x:v>
      </x:c>
      <x:c r="DD121" s="23" t="n">
        <x:f>MAX(0,MIN('Activities'!L121,624)-MAX('Activities'!K121,618))</x:f>
        <x:v>0</x:v>
      </x:c>
      <x:c r="DE121" s="23" t="n">
        <x:f>MAX(0,MIN('Activities'!L121,630)-MAX('Activities'!K121,624))</x:f>
        <x:v>0</x:v>
      </x:c>
      <x:c r="DF121" s="23" t="n">
        <x:f>MAX(0,MIN('Activities'!L121,636)-MAX('Activities'!K121,630))</x:f>
        <x:v>0</x:v>
      </x:c>
    </x:row>
    <x:row r="122" ht="23" customHeight="1">
      <x:c r="A122" s="6" t="str">
        <x:v>T1-L08-T</x:v>
      </x:c>
      <x:c r="B122" s="6" t="str">
        <x:v>T1</x:v>
      </x:c>
      <x:c r="C122" s="6" t="str">
        <x:v>Floor finishes and skirtings</x:v>
      </x:c>
      <x:c r="D122" s="6" t="str">
        <x:v>Finishes</x:v>
      </x:c>
      <x:c r="E122" s="22" t="n">
        <x:f>MAX(0,MIN('Activities'!L122,6)-MAX('Activities'!K122,0))</x:f>
        <x:v>0</x:v>
      </x:c>
      <x:c r="F122" s="22" t="n">
        <x:f>MAX(0,MIN('Activities'!L122,12)-MAX('Activities'!K122,6))</x:f>
        <x:v>0</x:v>
      </x:c>
      <x:c r="G122" s="22" t="n">
        <x:f>MAX(0,MIN('Activities'!L122,18)-MAX('Activities'!K122,12))</x:f>
        <x:v>0</x:v>
      </x:c>
      <x:c r="H122" s="22" t="n">
        <x:f>MAX(0,MIN('Activities'!L122,24)-MAX('Activities'!K122,18))</x:f>
        <x:v>0</x:v>
      </x:c>
      <x:c r="I122" s="22" t="n">
        <x:f>MAX(0,MIN('Activities'!L122,30)-MAX('Activities'!K122,24))</x:f>
        <x:v>0</x:v>
      </x:c>
      <x:c r="J122" s="22" t="n">
        <x:f>MAX(0,MIN('Activities'!L122,36)-MAX('Activities'!K122,30))</x:f>
        <x:v>0</x:v>
      </x:c>
      <x:c r="K122" s="22" t="n">
        <x:f>MAX(0,MIN('Activities'!L122,42)-MAX('Activities'!K122,36))</x:f>
        <x:v>0</x:v>
      </x:c>
      <x:c r="L122" s="22" t="n">
        <x:f>MAX(0,MIN('Activities'!L122,48)-MAX('Activities'!K122,42))</x:f>
        <x:v>0</x:v>
      </x:c>
      <x:c r="M122" s="22" t="n">
        <x:f>MAX(0,MIN('Activities'!L122,54)-MAX('Activities'!K122,48))</x:f>
        <x:v>0</x:v>
      </x:c>
      <x:c r="N122" s="22" t="n">
        <x:f>MAX(0,MIN('Activities'!L122,60)-MAX('Activities'!K122,54))</x:f>
        <x:v>0</x:v>
      </x:c>
      <x:c r="O122" s="22" t="n">
        <x:f>MAX(0,MIN('Activities'!L122,66)-MAX('Activities'!K122,60))</x:f>
        <x:v>0</x:v>
      </x:c>
      <x:c r="P122" s="22" t="n">
        <x:f>MAX(0,MIN('Activities'!L122,72)-MAX('Activities'!K122,66))</x:f>
        <x:v>0</x:v>
      </x:c>
      <x:c r="Q122" s="22" t="n">
        <x:f>MAX(0,MIN('Activities'!L122,78)-MAX('Activities'!K122,72))</x:f>
        <x:v>0</x:v>
      </x:c>
      <x:c r="R122" s="22" t="n">
        <x:f>MAX(0,MIN('Activities'!L122,84)-MAX('Activities'!K122,78))</x:f>
        <x:v>0</x:v>
      </x:c>
      <x:c r="S122" s="22" t="n">
        <x:f>MAX(0,MIN('Activities'!L122,90)-MAX('Activities'!K122,84))</x:f>
        <x:v>0</x:v>
      </x:c>
      <x:c r="T122" s="22" t="n">
        <x:f>MAX(0,MIN('Activities'!L122,96)-MAX('Activities'!K122,90))</x:f>
        <x:v>0</x:v>
      </x:c>
      <x:c r="U122" s="22" t="n">
        <x:f>MAX(0,MIN('Activities'!L122,102)-MAX('Activities'!K122,96))</x:f>
        <x:v>0</x:v>
      </x:c>
      <x:c r="V122" s="22" t="n">
        <x:f>MAX(0,MIN('Activities'!L122,108)-MAX('Activities'!K122,102))</x:f>
        <x:v>0</x:v>
      </x:c>
      <x:c r="W122" s="22" t="n">
        <x:f>MAX(0,MIN('Activities'!L122,114)-MAX('Activities'!K122,108))</x:f>
        <x:v>0</x:v>
      </x:c>
      <x:c r="X122" s="22" t="n">
        <x:f>MAX(0,MIN('Activities'!L122,120)-MAX('Activities'!K122,114))</x:f>
        <x:v>0</x:v>
      </x:c>
      <x:c r="Y122" s="22" t="n">
        <x:f>MAX(0,MIN('Activities'!L122,126)-MAX('Activities'!K122,120))</x:f>
        <x:v>0</x:v>
      </x:c>
      <x:c r="Z122" s="22" t="n">
        <x:f>MAX(0,MIN('Activities'!L122,132)-MAX('Activities'!K122,126))</x:f>
        <x:v>0</x:v>
      </x:c>
      <x:c r="AA122" s="22" t="n">
        <x:f>MAX(0,MIN('Activities'!L122,138)-MAX('Activities'!K122,132))</x:f>
        <x:v>0</x:v>
      </x:c>
      <x:c r="AB122" s="22" t="n">
        <x:f>MAX(0,MIN('Activities'!L122,144)-MAX('Activities'!K122,138))</x:f>
        <x:v>0</x:v>
      </x:c>
      <x:c r="AC122" s="22" t="n">
        <x:f>MAX(0,MIN('Activities'!L122,150)-MAX('Activities'!K122,144))</x:f>
        <x:v>0</x:v>
      </x:c>
      <x:c r="AD122" s="22" t="n">
        <x:f>MAX(0,MIN('Activities'!L122,156)-MAX('Activities'!K122,150))</x:f>
        <x:v>0</x:v>
      </x:c>
      <x:c r="AE122" s="22" t="n">
        <x:f>MAX(0,MIN('Activities'!L122,162)-MAX('Activities'!K122,156))</x:f>
        <x:v>0</x:v>
      </x:c>
      <x:c r="AF122" s="22" t="n">
        <x:f>MAX(0,MIN('Activities'!L122,168)-MAX('Activities'!K122,162))</x:f>
        <x:v>0</x:v>
      </x:c>
      <x:c r="AG122" s="22" t="n">
        <x:f>MAX(0,MIN('Activities'!L122,174)-MAX('Activities'!K122,168))</x:f>
        <x:v>0</x:v>
      </x:c>
      <x:c r="AH122" s="22" t="n">
        <x:f>MAX(0,MIN('Activities'!L122,180)-MAX('Activities'!K122,174))</x:f>
        <x:v>0</x:v>
      </x:c>
      <x:c r="AI122" s="22" t="n">
        <x:f>MAX(0,MIN('Activities'!L122,186)-MAX('Activities'!K122,180))</x:f>
        <x:v>0</x:v>
      </x:c>
      <x:c r="AJ122" s="22" t="n">
        <x:f>MAX(0,MIN('Activities'!L122,192)-MAX('Activities'!K122,186))</x:f>
        <x:v>0</x:v>
      </x:c>
      <x:c r="AK122" s="22" t="n">
        <x:f>MAX(0,MIN('Activities'!L122,198)-MAX('Activities'!K122,192))</x:f>
        <x:v>0</x:v>
      </x:c>
      <x:c r="AL122" s="22" t="n">
        <x:f>MAX(0,MIN('Activities'!L122,204)-MAX('Activities'!K122,198))</x:f>
        <x:v>0</x:v>
      </x:c>
      <x:c r="AM122" s="22" t="n">
        <x:f>MAX(0,MIN('Activities'!L122,210)-MAX('Activities'!K122,204))</x:f>
        <x:v>0</x:v>
      </x:c>
      <x:c r="AN122" s="22" t="n">
        <x:f>MAX(0,MIN('Activities'!L122,216)-MAX('Activities'!K122,210))</x:f>
        <x:v>0</x:v>
      </x:c>
      <x:c r="AO122" s="22" t="n">
        <x:f>MAX(0,MIN('Activities'!L122,222)-MAX('Activities'!K122,216))</x:f>
        <x:v>0</x:v>
      </x:c>
      <x:c r="AP122" s="22" t="n">
        <x:f>MAX(0,MIN('Activities'!L122,228)-MAX('Activities'!K122,222))</x:f>
        <x:v>0</x:v>
      </x:c>
      <x:c r="AQ122" s="22" t="n">
        <x:f>MAX(0,MIN('Activities'!L122,234)-MAX('Activities'!K122,228))</x:f>
        <x:v>0</x:v>
      </x:c>
      <x:c r="AR122" s="22" t="n">
        <x:f>MAX(0,MIN('Activities'!L122,240)-MAX('Activities'!K122,234))</x:f>
        <x:v>0</x:v>
      </x:c>
      <x:c r="AS122" s="22" t="n">
        <x:f>MAX(0,MIN('Activities'!L122,246)-MAX('Activities'!K122,240))</x:f>
        <x:v>0</x:v>
      </x:c>
      <x:c r="AT122" s="22" t="n">
        <x:f>MAX(0,MIN('Activities'!L122,252)-MAX('Activities'!K122,246))</x:f>
        <x:v>0</x:v>
      </x:c>
      <x:c r="AU122" s="22" t="n">
        <x:f>MAX(0,MIN('Activities'!L122,258)-MAX('Activities'!K122,252))</x:f>
        <x:v>0</x:v>
      </x:c>
      <x:c r="AV122" s="22" t="n">
        <x:f>MAX(0,MIN('Activities'!L122,264)-MAX('Activities'!K122,258))</x:f>
        <x:v>0</x:v>
      </x:c>
      <x:c r="AW122" s="22" t="n">
        <x:f>MAX(0,MIN('Activities'!L122,270)-MAX('Activities'!K122,264))</x:f>
        <x:v>0</x:v>
      </x:c>
      <x:c r="AX122" s="22" t="n">
        <x:f>MAX(0,MIN('Activities'!L122,276)-MAX('Activities'!K122,270))</x:f>
        <x:v>0</x:v>
      </x:c>
      <x:c r="AY122" s="22" t="n">
        <x:f>MAX(0,MIN('Activities'!L122,282)-MAX('Activities'!K122,276))</x:f>
        <x:v>0</x:v>
      </x:c>
      <x:c r="AZ122" s="22" t="n">
        <x:f>MAX(0,MIN('Activities'!L122,288)-MAX('Activities'!K122,282))</x:f>
        <x:v>0</x:v>
      </x:c>
      <x:c r="BA122" s="22" t="n">
        <x:f>MAX(0,MIN('Activities'!L122,294)-MAX('Activities'!K122,288))</x:f>
        <x:v>0</x:v>
      </x:c>
      <x:c r="BB122" s="22" t="n">
        <x:f>MAX(0,MIN('Activities'!L122,300)-MAX('Activities'!K122,294))</x:f>
        <x:v>0</x:v>
      </x:c>
      <x:c r="BC122" s="22" t="n">
        <x:f>MAX(0,MIN('Activities'!L122,306)-MAX('Activities'!K122,300))</x:f>
        <x:v>0</x:v>
      </x:c>
      <x:c r="BD122" s="22" t="n">
        <x:f>MAX(0,MIN('Activities'!L122,312)-MAX('Activities'!K122,306))</x:f>
        <x:v>0</x:v>
      </x:c>
      <x:c r="BE122" s="22" t="n">
        <x:f>MAX(0,MIN('Activities'!L122,318)-MAX('Activities'!K122,312))</x:f>
        <x:v>0</x:v>
      </x:c>
      <x:c r="BF122" s="22" t="n">
        <x:f>MAX(0,MIN('Activities'!L122,324)-MAX('Activities'!K122,318))</x:f>
        <x:v>0</x:v>
      </x:c>
      <x:c r="BG122" s="22" t="n">
        <x:f>MAX(0,MIN('Activities'!L122,330)-MAX('Activities'!K122,324))</x:f>
        <x:v>0</x:v>
      </x:c>
      <x:c r="BH122" s="22" t="n">
        <x:f>MAX(0,MIN('Activities'!L122,336)-MAX('Activities'!K122,330))</x:f>
        <x:v>0</x:v>
      </x:c>
      <x:c r="BI122" s="22" t="n">
        <x:f>MAX(0,MIN('Activities'!L122,342)-MAX('Activities'!K122,336))</x:f>
        <x:v>0</x:v>
      </x:c>
      <x:c r="BJ122" s="22" t="n">
        <x:f>MAX(0,MIN('Activities'!L122,348)-MAX('Activities'!K122,342))</x:f>
        <x:v>0</x:v>
      </x:c>
      <x:c r="BK122" s="22" t="n">
        <x:f>MAX(0,MIN('Activities'!L122,354)-MAX('Activities'!K122,348))</x:f>
        <x:v>0</x:v>
      </x:c>
      <x:c r="BL122" s="22" t="n">
        <x:f>MAX(0,MIN('Activities'!L122,360)-MAX('Activities'!K122,354))</x:f>
        <x:v>0</x:v>
      </x:c>
      <x:c r="BM122" s="22" t="n">
        <x:f>MAX(0,MIN('Activities'!L122,366)-MAX('Activities'!K122,360))</x:f>
        <x:v>0</x:v>
      </x:c>
      <x:c r="BN122" s="22" t="n">
        <x:f>MAX(0,MIN('Activities'!L122,372)-MAX('Activities'!K122,366))</x:f>
        <x:v>0</x:v>
      </x:c>
      <x:c r="BO122" s="22" t="n">
        <x:f>MAX(0,MIN('Activities'!L122,378)-MAX('Activities'!K122,372))</x:f>
        <x:v>0</x:v>
      </x:c>
      <x:c r="BP122" s="22" t="n">
        <x:f>MAX(0,MIN('Activities'!L122,384)-MAX('Activities'!K122,378))</x:f>
        <x:v>0</x:v>
      </x:c>
      <x:c r="BQ122" s="22" t="n">
        <x:f>MAX(0,MIN('Activities'!L122,390)-MAX('Activities'!K122,384))</x:f>
        <x:v>0</x:v>
      </x:c>
      <x:c r="BR122" s="22" t="n">
        <x:f>MAX(0,MIN('Activities'!L122,396)-MAX('Activities'!K122,390))</x:f>
        <x:v>0</x:v>
      </x:c>
      <x:c r="BS122" s="22" t="n">
        <x:f>MAX(0,MIN('Activities'!L122,402)-MAX('Activities'!K122,396))</x:f>
        <x:v>1</x:v>
      </x:c>
      <x:c r="BT122" s="22" t="n">
        <x:f>MAX(0,MIN('Activities'!L122,408)-MAX('Activities'!K122,402))</x:f>
        <x:v>5</x:v>
      </x:c>
      <x:c r="BU122" s="22" t="n">
        <x:f>MAX(0,MIN('Activities'!L122,414)-MAX('Activities'!K122,408))</x:f>
        <x:v>0</x:v>
      </x:c>
      <x:c r="BV122" s="22" t="n">
        <x:f>MAX(0,MIN('Activities'!L122,420)-MAX('Activities'!K122,414))</x:f>
        <x:v>0</x:v>
      </x:c>
      <x:c r="BW122" s="22" t="n">
        <x:f>MAX(0,MIN('Activities'!L122,426)-MAX('Activities'!K122,420))</x:f>
        <x:v>0</x:v>
      </x:c>
      <x:c r="BX122" s="22" t="n">
        <x:f>MAX(0,MIN('Activities'!L122,432)-MAX('Activities'!K122,426))</x:f>
        <x:v>0</x:v>
      </x:c>
      <x:c r="BY122" s="22" t="n">
        <x:f>MAX(0,MIN('Activities'!L122,438)-MAX('Activities'!K122,432))</x:f>
        <x:v>0</x:v>
      </x:c>
      <x:c r="BZ122" s="22" t="n">
        <x:f>MAX(0,MIN('Activities'!L122,444)-MAX('Activities'!K122,438))</x:f>
        <x:v>0</x:v>
      </x:c>
      <x:c r="CA122" s="22" t="n">
        <x:f>MAX(0,MIN('Activities'!L122,450)-MAX('Activities'!K122,444))</x:f>
        <x:v>0</x:v>
      </x:c>
      <x:c r="CB122" s="22" t="n">
        <x:f>MAX(0,MIN('Activities'!L122,456)-MAX('Activities'!K122,450))</x:f>
        <x:v>0</x:v>
      </x:c>
      <x:c r="CC122" s="22" t="n">
        <x:f>MAX(0,MIN('Activities'!L122,462)-MAX('Activities'!K122,456))</x:f>
        <x:v>0</x:v>
      </x:c>
      <x:c r="CD122" s="22" t="n">
        <x:f>MAX(0,MIN('Activities'!L122,468)-MAX('Activities'!K122,462))</x:f>
        <x:v>0</x:v>
      </x:c>
      <x:c r="CE122" s="22" t="n">
        <x:f>MAX(0,MIN('Activities'!L122,474)-MAX('Activities'!K122,468))</x:f>
        <x:v>0</x:v>
      </x:c>
      <x:c r="CF122" s="22" t="n">
        <x:f>MAX(0,MIN('Activities'!L122,480)-MAX('Activities'!K122,474))</x:f>
        <x:v>0</x:v>
      </x:c>
      <x:c r="CG122" s="22" t="n">
        <x:f>MAX(0,MIN('Activities'!L122,486)-MAX('Activities'!K122,480))</x:f>
        <x:v>0</x:v>
      </x:c>
      <x:c r="CH122" s="22" t="n">
        <x:f>MAX(0,MIN('Activities'!L122,492)-MAX('Activities'!K122,486))</x:f>
        <x:v>0</x:v>
      </x:c>
      <x:c r="CI122" s="22" t="n">
        <x:f>MAX(0,MIN('Activities'!L122,498)-MAX('Activities'!K122,492))</x:f>
        <x:v>0</x:v>
      </x:c>
      <x:c r="CJ122" s="22" t="n">
        <x:f>MAX(0,MIN('Activities'!L122,504)-MAX('Activities'!K122,498))</x:f>
        <x:v>0</x:v>
      </x:c>
      <x:c r="CK122" s="22" t="n">
        <x:f>MAX(0,MIN('Activities'!L122,510)-MAX('Activities'!K122,504))</x:f>
        <x:v>0</x:v>
      </x:c>
      <x:c r="CL122" s="22" t="n">
        <x:f>MAX(0,MIN('Activities'!L122,516)-MAX('Activities'!K122,510))</x:f>
        <x:v>0</x:v>
      </x:c>
      <x:c r="CM122" s="22" t="n">
        <x:f>MAX(0,MIN('Activities'!L122,522)-MAX('Activities'!K122,516))</x:f>
        <x:v>0</x:v>
      </x:c>
      <x:c r="CN122" s="22" t="n">
        <x:f>MAX(0,MIN('Activities'!L122,528)-MAX('Activities'!K122,522))</x:f>
        <x:v>0</x:v>
      </x:c>
      <x:c r="CO122" s="22" t="n">
        <x:f>MAX(0,MIN('Activities'!L122,534)-MAX('Activities'!K122,528))</x:f>
        <x:v>0</x:v>
      </x:c>
      <x:c r="CP122" s="22" t="n">
        <x:f>MAX(0,MIN('Activities'!L122,540)-MAX('Activities'!K122,534))</x:f>
        <x:v>0</x:v>
      </x:c>
      <x:c r="CQ122" s="22" t="n">
        <x:f>MAX(0,MIN('Activities'!L122,546)-MAX('Activities'!K122,540))</x:f>
        <x:v>0</x:v>
      </x:c>
      <x:c r="CR122" s="22" t="n">
        <x:f>MAX(0,MIN('Activities'!L122,552)-MAX('Activities'!K122,546))</x:f>
        <x:v>0</x:v>
      </x:c>
      <x:c r="CS122" s="22" t="n">
        <x:f>MAX(0,MIN('Activities'!L122,558)-MAX('Activities'!K122,552))</x:f>
        <x:v>0</x:v>
      </x:c>
      <x:c r="CT122" s="22" t="n">
        <x:f>MAX(0,MIN('Activities'!L122,564)-MAX('Activities'!K122,558))</x:f>
        <x:v>0</x:v>
      </x:c>
      <x:c r="CU122" s="22" t="n">
        <x:f>MAX(0,MIN('Activities'!L122,570)-MAX('Activities'!K122,564))</x:f>
        <x:v>0</x:v>
      </x:c>
      <x:c r="CV122" s="22" t="n">
        <x:f>MAX(0,MIN('Activities'!L122,576)-MAX('Activities'!K122,570))</x:f>
        <x:v>0</x:v>
      </x:c>
      <x:c r="CW122" s="22" t="n">
        <x:f>MAX(0,MIN('Activities'!L122,582)-MAX('Activities'!K122,576))</x:f>
        <x:v>0</x:v>
      </x:c>
      <x:c r="CX122" s="22" t="n">
        <x:f>MAX(0,MIN('Activities'!L122,588)-MAX('Activities'!K122,582))</x:f>
        <x:v>0</x:v>
      </x:c>
      <x:c r="CY122" s="22" t="n">
        <x:f>MAX(0,MIN('Activities'!L122,594)-MAX('Activities'!K122,588))</x:f>
        <x:v>0</x:v>
      </x:c>
      <x:c r="CZ122" s="22" t="n">
        <x:f>MAX(0,MIN('Activities'!L122,600)-MAX('Activities'!K122,594))</x:f>
        <x:v>0</x:v>
      </x:c>
      <x:c r="DA122" s="22" t="n">
        <x:f>MAX(0,MIN('Activities'!L122,606)-MAX('Activities'!K122,600))</x:f>
        <x:v>0</x:v>
      </x:c>
      <x:c r="DB122" s="22" t="n">
        <x:f>MAX(0,MIN('Activities'!L122,612)-MAX('Activities'!K122,606))</x:f>
        <x:v>0</x:v>
      </x:c>
      <x:c r="DC122" s="22" t="n">
        <x:f>MAX(0,MIN('Activities'!L122,618)-MAX('Activities'!K122,612))</x:f>
        <x:v>0</x:v>
      </x:c>
      <x:c r="DD122" s="22" t="n">
        <x:f>MAX(0,MIN('Activities'!L122,624)-MAX('Activities'!K122,618))</x:f>
        <x:v>0</x:v>
      </x:c>
      <x:c r="DE122" s="22" t="n">
        <x:f>MAX(0,MIN('Activities'!L122,630)-MAX('Activities'!K122,624))</x:f>
        <x:v>0</x:v>
      </x:c>
      <x:c r="DF122" s="22" t="n">
        <x:f>MAX(0,MIN('Activities'!L122,636)-MAX('Activities'!K122,630))</x:f>
        <x:v>0</x:v>
      </x:c>
    </x:row>
    <x:row r="123" ht="23" customHeight="1">
      <x:c r="A123" s="1" t="str">
        <x:v>T1-L08-A</x:v>
      </x:c>
      <x:c r="B123" s="1" t="str">
        <x:v>T1</x:v>
      </x:c>
      <x:c r="C123" s="1" t="str">
        <x:v>Paint and final decorations</x:v>
      </x:c>
      <x:c r="D123" s="1" t="str">
        <x:v>Finishes</x:v>
      </x:c>
      <x:c r="E123" s="23" t="n">
        <x:f>MAX(0,MIN('Activities'!L123,6)-MAX('Activities'!K123,0))</x:f>
        <x:v>0</x:v>
      </x:c>
      <x:c r="F123" s="23" t="n">
        <x:f>MAX(0,MIN('Activities'!L123,12)-MAX('Activities'!K123,6))</x:f>
        <x:v>0</x:v>
      </x:c>
      <x:c r="G123" s="23" t="n">
        <x:f>MAX(0,MIN('Activities'!L123,18)-MAX('Activities'!K123,12))</x:f>
        <x:v>0</x:v>
      </x:c>
      <x:c r="H123" s="23" t="n">
        <x:f>MAX(0,MIN('Activities'!L123,24)-MAX('Activities'!K123,18))</x:f>
        <x:v>0</x:v>
      </x:c>
      <x:c r="I123" s="23" t="n">
        <x:f>MAX(0,MIN('Activities'!L123,30)-MAX('Activities'!K123,24))</x:f>
        <x:v>0</x:v>
      </x:c>
      <x:c r="J123" s="23" t="n">
        <x:f>MAX(0,MIN('Activities'!L123,36)-MAX('Activities'!K123,30))</x:f>
        <x:v>0</x:v>
      </x:c>
      <x:c r="K123" s="23" t="n">
        <x:f>MAX(0,MIN('Activities'!L123,42)-MAX('Activities'!K123,36))</x:f>
        <x:v>0</x:v>
      </x:c>
      <x:c r="L123" s="23" t="n">
        <x:f>MAX(0,MIN('Activities'!L123,48)-MAX('Activities'!K123,42))</x:f>
        <x:v>0</x:v>
      </x:c>
      <x:c r="M123" s="23" t="n">
        <x:f>MAX(0,MIN('Activities'!L123,54)-MAX('Activities'!K123,48))</x:f>
        <x:v>0</x:v>
      </x:c>
      <x:c r="N123" s="23" t="n">
        <x:f>MAX(0,MIN('Activities'!L123,60)-MAX('Activities'!K123,54))</x:f>
        <x:v>0</x:v>
      </x:c>
      <x:c r="O123" s="23" t="n">
        <x:f>MAX(0,MIN('Activities'!L123,66)-MAX('Activities'!K123,60))</x:f>
        <x:v>0</x:v>
      </x:c>
      <x:c r="P123" s="23" t="n">
        <x:f>MAX(0,MIN('Activities'!L123,72)-MAX('Activities'!K123,66))</x:f>
        <x:v>0</x:v>
      </x:c>
      <x:c r="Q123" s="23" t="n">
        <x:f>MAX(0,MIN('Activities'!L123,78)-MAX('Activities'!K123,72))</x:f>
        <x:v>0</x:v>
      </x:c>
      <x:c r="R123" s="23" t="n">
        <x:f>MAX(0,MIN('Activities'!L123,84)-MAX('Activities'!K123,78))</x:f>
        <x:v>0</x:v>
      </x:c>
      <x:c r="S123" s="23" t="n">
        <x:f>MAX(0,MIN('Activities'!L123,90)-MAX('Activities'!K123,84))</x:f>
        <x:v>0</x:v>
      </x:c>
      <x:c r="T123" s="23" t="n">
        <x:f>MAX(0,MIN('Activities'!L123,96)-MAX('Activities'!K123,90))</x:f>
        <x:v>0</x:v>
      </x:c>
      <x:c r="U123" s="23" t="n">
        <x:f>MAX(0,MIN('Activities'!L123,102)-MAX('Activities'!K123,96))</x:f>
        <x:v>0</x:v>
      </x:c>
      <x:c r="V123" s="23" t="n">
        <x:f>MAX(0,MIN('Activities'!L123,108)-MAX('Activities'!K123,102))</x:f>
        <x:v>0</x:v>
      </x:c>
      <x:c r="W123" s="23" t="n">
        <x:f>MAX(0,MIN('Activities'!L123,114)-MAX('Activities'!K123,108))</x:f>
        <x:v>0</x:v>
      </x:c>
      <x:c r="X123" s="23" t="n">
        <x:f>MAX(0,MIN('Activities'!L123,120)-MAX('Activities'!K123,114))</x:f>
        <x:v>0</x:v>
      </x:c>
      <x:c r="Y123" s="23" t="n">
        <x:f>MAX(0,MIN('Activities'!L123,126)-MAX('Activities'!K123,120))</x:f>
        <x:v>0</x:v>
      </x:c>
      <x:c r="Z123" s="23" t="n">
        <x:f>MAX(0,MIN('Activities'!L123,132)-MAX('Activities'!K123,126))</x:f>
        <x:v>0</x:v>
      </x:c>
      <x:c r="AA123" s="23" t="n">
        <x:f>MAX(0,MIN('Activities'!L123,138)-MAX('Activities'!K123,132))</x:f>
        <x:v>0</x:v>
      </x:c>
      <x:c r="AB123" s="23" t="n">
        <x:f>MAX(0,MIN('Activities'!L123,144)-MAX('Activities'!K123,138))</x:f>
        <x:v>0</x:v>
      </x:c>
      <x:c r="AC123" s="23" t="n">
        <x:f>MAX(0,MIN('Activities'!L123,150)-MAX('Activities'!K123,144))</x:f>
        <x:v>0</x:v>
      </x:c>
      <x:c r="AD123" s="23" t="n">
        <x:f>MAX(0,MIN('Activities'!L123,156)-MAX('Activities'!K123,150))</x:f>
        <x:v>0</x:v>
      </x:c>
      <x:c r="AE123" s="23" t="n">
        <x:f>MAX(0,MIN('Activities'!L123,162)-MAX('Activities'!K123,156))</x:f>
        <x:v>0</x:v>
      </x:c>
      <x:c r="AF123" s="23" t="n">
        <x:f>MAX(0,MIN('Activities'!L123,168)-MAX('Activities'!K123,162))</x:f>
        <x:v>0</x:v>
      </x:c>
      <x:c r="AG123" s="23" t="n">
        <x:f>MAX(0,MIN('Activities'!L123,174)-MAX('Activities'!K123,168))</x:f>
        <x:v>0</x:v>
      </x:c>
      <x:c r="AH123" s="23" t="n">
        <x:f>MAX(0,MIN('Activities'!L123,180)-MAX('Activities'!K123,174))</x:f>
        <x:v>0</x:v>
      </x:c>
      <x:c r="AI123" s="23" t="n">
        <x:f>MAX(0,MIN('Activities'!L123,186)-MAX('Activities'!K123,180))</x:f>
        <x:v>0</x:v>
      </x:c>
      <x:c r="AJ123" s="23" t="n">
        <x:f>MAX(0,MIN('Activities'!L123,192)-MAX('Activities'!K123,186))</x:f>
        <x:v>0</x:v>
      </x:c>
      <x:c r="AK123" s="23" t="n">
        <x:f>MAX(0,MIN('Activities'!L123,198)-MAX('Activities'!K123,192))</x:f>
        <x:v>0</x:v>
      </x:c>
      <x:c r="AL123" s="23" t="n">
        <x:f>MAX(0,MIN('Activities'!L123,204)-MAX('Activities'!K123,198))</x:f>
        <x:v>0</x:v>
      </x:c>
      <x:c r="AM123" s="23" t="n">
        <x:f>MAX(0,MIN('Activities'!L123,210)-MAX('Activities'!K123,204))</x:f>
        <x:v>0</x:v>
      </x:c>
      <x:c r="AN123" s="23" t="n">
        <x:f>MAX(0,MIN('Activities'!L123,216)-MAX('Activities'!K123,210))</x:f>
        <x:v>0</x:v>
      </x:c>
      <x:c r="AO123" s="23" t="n">
        <x:f>MAX(0,MIN('Activities'!L123,222)-MAX('Activities'!K123,216))</x:f>
        <x:v>0</x:v>
      </x:c>
      <x:c r="AP123" s="23" t="n">
        <x:f>MAX(0,MIN('Activities'!L123,228)-MAX('Activities'!K123,222))</x:f>
        <x:v>0</x:v>
      </x:c>
      <x:c r="AQ123" s="23" t="n">
        <x:f>MAX(0,MIN('Activities'!L123,234)-MAX('Activities'!K123,228))</x:f>
        <x:v>0</x:v>
      </x:c>
      <x:c r="AR123" s="23" t="n">
        <x:f>MAX(0,MIN('Activities'!L123,240)-MAX('Activities'!K123,234))</x:f>
        <x:v>0</x:v>
      </x:c>
      <x:c r="AS123" s="23" t="n">
        <x:f>MAX(0,MIN('Activities'!L123,246)-MAX('Activities'!K123,240))</x:f>
        <x:v>0</x:v>
      </x:c>
      <x:c r="AT123" s="23" t="n">
        <x:f>MAX(0,MIN('Activities'!L123,252)-MAX('Activities'!K123,246))</x:f>
        <x:v>0</x:v>
      </x:c>
      <x:c r="AU123" s="23" t="n">
        <x:f>MAX(0,MIN('Activities'!L123,258)-MAX('Activities'!K123,252))</x:f>
        <x:v>0</x:v>
      </x:c>
      <x:c r="AV123" s="23" t="n">
        <x:f>MAX(0,MIN('Activities'!L123,264)-MAX('Activities'!K123,258))</x:f>
        <x:v>0</x:v>
      </x:c>
      <x:c r="AW123" s="23" t="n">
        <x:f>MAX(0,MIN('Activities'!L123,270)-MAX('Activities'!K123,264))</x:f>
        <x:v>0</x:v>
      </x:c>
      <x:c r="AX123" s="23" t="n">
        <x:f>MAX(0,MIN('Activities'!L123,276)-MAX('Activities'!K123,270))</x:f>
        <x:v>0</x:v>
      </x:c>
      <x:c r="AY123" s="23" t="n">
        <x:f>MAX(0,MIN('Activities'!L123,282)-MAX('Activities'!K123,276))</x:f>
        <x:v>0</x:v>
      </x:c>
      <x:c r="AZ123" s="23" t="n">
        <x:f>MAX(0,MIN('Activities'!L123,288)-MAX('Activities'!K123,282))</x:f>
        <x:v>0</x:v>
      </x:c>
      <x:c r="BA123" s="23" t="n">
        <x:f>MAX(0,MIN('Activities'!L123,294)-MAX('Activities'!K123,288))</x:f>
        <x:v>0</x:v>
      </x:c>
      <x:c r="BB123" s="23" t="n">
        <x:f>MAX(0,MIN('Activities'!L123,300)-MAX('Activities'!K123,294))</x:f>
        <x:v>0</x:v>
      </x:c>
      <x:c r="BC123" s="23" t="n">
        <x:f>MAX(0,MIN('Activities'!L123,306)-MAX('Activities'!K123,300))</x:f>
        <x:v>0</x:v>
      </x:c>
      <x:c r="BD123" s="23" t="n">
        <x:f>MAX(0,MIN('Activities'!L123,312)-MAX('Activities'!K123,306))</x:f>
        <x:v>0</x:v>
      </x:c>
      <x:c r="BE123" s="23" t="n">
        <x:f>MAX(0,MIN('Activities'!L123,318)-MAX('Activities'!K123,312))</x:f>
        <x:v>0</x:v>
      </x:c>
      <x:c r="BF123" s="23" t="n">
        <x:f>MAX(0,MIN('Activities'!L123,324)-MAX('Activities'!K123,318))</x:f>
        <x:v>0</x:v>
      </x:c>
      <x:c r="BG123" s="23" t="n">
        <x:f>MAX(0,MIN('Activities'!L123,330)-MAX('Activities'!K123,324))</x:f>
        <x:v>0</x:v>
      </x:c>
      <x:c r="BH123" s="23" t="n">
        <x:f>MAX(0,MIN('Activities'!L123,336)-MAX('Activities'!K123,330))</x:f>
        <x:v>0</x:v>
      </x:c>
      <x:c r="BI123" s="23" t="n">
        <x:f>MAX(0,MIN('Activities'!L123,342)-MAX('Activities'!K123,336))</x:f>
        <x:v>0</x:v>
      </x:c>
      <x:c r="BJ123" s="23" t="n">
        <x:f>MAX(0,MIN('Activities'!L123,348)-MAX('Activities'!K123,342))</x:f>
        <x:v>0</x:v>
      </x:c>
      <x:c r="BK123" s="23" t="n">
        <x:f>MAX(0,MIN('Activities'!L123,354)-MAX('Activities'!K123,348))</x:f>
        <x:v>0</x:v>
      </x:c>
      <x:c r="BL123" s="23" t="n">
        <x:f>MAX(0,MIN('Activities'!L123,360)-MAX('Activities'!K123,354))</x:f>
        <x:v>0</x:v>
      </x:c>
      <x:c r="BM123" s="23" t="n">
        <x:f>MAX(0,MIN('Activities'!L123,366)-MAX('Activities'!K123,360))</x:f>
        <x:v>0</x:v>
      </x:c>
      <x:c r="BN123" s="23" t="n">
        <x:f>MAX(0,MIN('Activities'!L123,372)-MAX('Activities'!K123,366))</x:f>
        <x:v>0</x:v>
      </x:c>
      <x:c r="BO123" s="23" t="n">
        <x:f>MAX(0,MIN('Activities'!L123,378)-MAX('Activities'!K123,372))</x:f>
        <x:v>0</x:v>
      </x:c>
      <x:c r="BP123" s="23" t="n">
        <x:f>MAX(0,MIN('Activities'!L123,384)-MAX('Activities'!K123,378))</x:f>
        <x:v>0</x:v>
      </x:c>
      <x:c r="BQ123" s="23" t="n">
        <x:f>MAX(0,MIN('Activities'!L123,390)-MAX('Activities'!K123,384))</x:f>
        <x:v>0</x:v>
      </x:c>
      <x:c r="BR123" s="23" t="n">
        <x:f>MAX(0,MIN('Activities'!L123,396)-MAX('Activities'!K123,390))</x:f>
        <x:v>0</x:v>
      </x:c>
      <x:c r="BS123" s="23" t="n">
        <x:f>MAX(0,MIN('Activities'!L123,402)-MAX('Activities'!K123,396))</x:f>
        <x:v>0</x:v>
      </x:c>
      <x:c r="BT123" s="23" t="n">
        <x:f>MAX(0,MIN('Activities'!L123,408)-MAX('Activities'!K123,402))</x:f>
        <x:v>0</x:v>
      </x:c>
      <x:c r="BU123" s="23" t="n">
        <x:f>MAX(0,MIN('Activities'!L123,414)-MAX('Activities'!K123,408))</x:f>
        <x:v>5</x:v>
      </x:c>
      <x:c r="BV123" s="23" t="n">
        <x:f>MAX(0,MIN('Activities'!L123,420)-MAX('Activities'!K123,414))</x:f>
        <x:v>0</x:v>
      </x:c>
      <x:c r="BW123" s="23" t="n">
        <x:f>MAX(0,MIN('Activities'!L123,426)-MAX('Activities'!K123,420))</x:f>
        <x:v>0</x:v>
      </x:c>
      <x:c r="BX123" s="23" t="n">
        <x:f>MAX(0,MIN('Activities'!L123,432)-MAX('Activities'!K123,426))</x:f>
        <x:v>0</x:v>
      </x:c>
      <x:c r="BY123" s="23" t="n">
        <x:f>MAX(0,MIN('Activities'!L123,438)-MAX('Activities'!K123,432))</x:f>
        <x:v>0</x:v>
      </x:c>
      <x:c r="BZ123" s="23" t="n">
        <x:f>MAX(0,MIN('Activities'!L123,444)-MAX('Activities'!K123,438))</x:f>
        <x:v>0</x:v>
      </x:c>
      <x:c r="CA123" s="23" t="n">
        <x:f>MAX(0,MIN('Activities'!L123,450)-MAX('Activities'!K123,444))</x:f>
        <x:v>0</x:v>
      </x:c>
      <x:c r="CB123" s="23" t="n">
        <x:f>MAX(0,MIN('Activities'!L123,456)-MAX('Activities'!K123,450))</x:f>
        <x:v>0</x:v>
      </x:c>
      <x:c r="CC123" s="23" t="n">
        <x:f>MAX(0,MIN('Activities'!L123,462)-MAX('Activities'!K123,456))</x:f>
        <x:v>0</x:v>
      </x:c>
      <x:c r="CD123" s="23" t="n">
        <x:f>MAX(0,MIN('Activities'!L123,468)-MAX('Activities'!K123,462))</x:f>
        <x:v>0</x:v>
      </x:c>
      <x:c r="CE123" s="23" t="n">
        <x:f>MAX(0,MIN('Activities'!L123,474)-MAX('Activities'!K123,468))</x:f>
        <x:v>0</x:v>
      </x:c>
      <x:c r="CF123" s="23" t="n">
        <x:f>MAX(0,MIN('Activities'!L123,480)-MAX('Activities'!K123,474))</x:f>
        <x:v>0</x:v>
      </x:c>
      <x:c r="CG123" s="23" t="n">
        <x:f>MAX(0,MIN('Activities'!L123,486)-MAX('Activities'!K123,480))</x:f>
        <x:v>0</x:v>
      </x:c>
      <x:c r="CH123" s="23" t="n">
        <x:f>MAX(0,MIN('Activities'!L123,492)-MAX('Activities'!K123,486))</x:f>
        <x:v>0</x:v>
      </x:c>
      <x:c r="CI123" s="23" t="n">
        <x:f>MAX(0,MIN('Activities'!L123,498)-MAX('Activities'!K123,492))</x:f>
        <x:v>0</x:v>
      </x:c>
      <x:c r="CJ123" s="23" t="n">
        <x:f>MAX(0,MIN('Activities'!L123,504)-MAX('Activities'!K123,498))</x:f>
        <x:v>0</x:v>
      </x:c>
      <x:c r="CK123" s="23" t="n">
        <x:f>MAX(0,MIN('Activities'!L123,510)-MAX('Activities'!K123,504))</x:f>
        <x:v>0</x:v>
      </x:c>
      <x:c r="CL123" s="23" t="n">
        <x:f>MAX(0,MIN('Activities'!L123,516)-MAX('Activities'!K123,510))</x:f>
        <x:v>0</x:v>
      </x:c>
      <x:c r="CM123" s="23" t="n">
        <x:f>MAX(0,MIN('Activities'!L123,522)-MAX('Activities'!K123,516))</x:f>
        <x:v>0</x:v>
      </x:c>
      <x:c r="CN123" s="23" t="n">
        <x:f>MAX(0,MIN('Activities'!L123,528)-MAX('Activities'!K123,522))</x:f>
        <x:v>0</x:v>
      </x:c>
      <x:c r="CO123" s="23" t="n">
        <x:f>MAX(0,MIN('Activities'!L123,534)-MAX('Activities'!K123,528))</x:f>
        <x:v>0</x:v>
      </x:c>
      <x:c r="CP123" s="23" t="n">
        <x:f>MAX(0,MIN('Activities'!L123,540)-MAX('Activities'!K123,534))</x:f>
        <x:v>0</x:v>
      </x:c>
      <x:c r="CQ123" s="23" t="n">
        <x:f>MAX(0,MIN('Activities'!L123,546)-MAX('Activities'!K123,540))</x:f>
        <x:v>0</x:v>
      </x:c>
      <x:c r="CR123" s="23" t="n">
        <x:f>MAX(0,MIN('Activities'!L123,552)-MAX('Activities'!K123,546))</x:f>
        <x:v>0</x:v>
      </x:c>
      <x:c r="CS123" s="23" t="n">
        <x:f>MAX(0,MIN('Activities'!L123,558)-MAX('Activities'!K123,552))</x:f>
        <x:v>0</x:v>
      </x:c>
      <x:c r="CT123" s="23" t="n">
        <x:f>MAX(0,MIN('Activities'!L123,564)-MAX('Activities'!K123,558))</x:f>
        <x:v>0</x:v>
      </x:c>
      <x:c r="CU123" s="23" t="n">
        <x:f>MAX(0,MIN('Activities'!L123,570)-MAX('Activities'!K123,564))</x:f>
        <x:v>0</x:v>
      </x:c>
      <x:c r="CV123" s="23" t="n">
        <x:f>MAX(0,MIN('Activities'!L123,576)-MAX('Activities'!K123,570))</x:f>
        <x:v>0</x:v>
      </x:c>
      <x:c r="CW123" s="23" t="n">
        <x:f>MAX(0,MIN('Activities'!L123,582)-MAX('Activities'!K123,576))</x:f>
        <x:v>0</x:v>
      </x:c>
      <x:c r="CX123" s="23" t="n">
        <x:f>MAX(0,MIN('Activities'!L123,588)-MAX('Activities'!K123,582))</x:f>
        <x:v>0</x:v>
      </x:c>
      <x:c r="CY123" s="23" t="n">
        <x:f>MAX(0,MIN('Activities'!L123,594)-MAX('Activities'!K123,588))</x:f>
        <x:v>0</x:v>
      </x:c>
      <x:c r="CZ123" s="23" t="n">
        <x:f>MAX(0,MIN('Activities'!L123,600)-MAX('Activities'!K123,594))</x:f>
        <x:v>0</x:v>
      </x:c>
      <x:c r="DA123" s="23" t="n">
        <x:f>MAX(0,MIN('Activities'!L123,606)-MAX('Activities'!K123,600))</x:f>
        <x:v>0</x:v>
      </x:c>
      <x:c r="DB123" s="23" t="n">
        <x:f>MAX(0,MIN('Activities'!L123,612)-MAX('Activities'!K123,606))</x:f>
        <x:v>0</x:v>
      </x:c>
      <x:c r="DC123" s="23" t="n">
        <x:f>MAX(0,MIN('Activities'!L123,618)-MAX('Activities'!K123,612))</x:f>
        <x:v>0</x:v>
      </x:c>
      <x:c r="DD123" s="23" t="n">
        <x:f>MAX(0,MIN('Activities'!L123,624)-MAX('Activities'!K123,618))</x:f>
        <x:v>0</x:v>
      </x:c>
      <x:c r="DE123" s="23" t="n">
        <x:f>MAX(0,MIN('Activities'!L123,630)-MAX('Activities'!K123,624))</x:f>
        <x:v>0</x:v>
      </x:c>
      <x:c r="DF123" s="23" t="n">
        <x:f>MAX(0,MIN('Activities'!L123,636)-MAX('Activities'!K123,630))</x:f>
        <x:v>0</x:v>
      </x:c>
    </x:row>
    <x:row r="124" ht="23" customHeight="1">
      <x:c r="A124" s="6" t="str">
        <x:v>T1-L08-D</x:v>
      </x:c>
      <x:c r="B124" s="6" t="str">
        <x:v>T1</x:v>
      </x:c>
      <x:c r="C124" s="6" t="str">
        <x:v>Door sets and ironmongery</x:v>
      </x:c>
      <x:c r="D124" s="6" t="str">
        <x:v>Finishes</x:v>
      </x:c>
      <x:c r="E124" s="22" t="n">
        <x:f>MAX(0,MIN('Activities'!L124,6)-MAX('Activities'!K124,0))</x:f>
        <x:v>0</x:v>
      </x:c>
      <x:c r="F124" s="22" t="n">
        <x:f>MAX(0,MIN('Activities'!L124,12)-MAX('Activities'!K124,6))</x:f>
        <x:v>0</x:v>
      </x:c>
      <x:c r="G124" s="22" t="n">
        <x:f>MAX(0,MIN('Activities'!L124,18)-MAX('Activities'!K124,12))</x:f>
        <x:v>0</x:v>
      </x:c>
      <x:c r="H124" s="22" t="n">
        <x:f>MAX(0,MIN('Activities'!L124,24)-MAX('Activities'!K124,18))</x:f>
        <x:v>0</x:v>
      </x:c>
      <x:c r="I124" s="22" t="n">
        <x:f>MAX(0,MIN('Activities'!L124,30)-MAX('Activities'!K124,24))</x:f>
        <x:v>0</x:v>
      </x:c>
      <x:c r="J124" s="22" t="n">
        <x:f>MAX(0,MIN('Activities'!L124,36)-MAX('Activities'!K124,30))</x:f>
        <x:v>0</x:v>
      </x:c>
      <x:c r="K124" s="22" t="n">
        <x:f>MAX(0,MIN('Activities'!L124,42)-MAX('Activities'!K124,36))</x:f>
        <x:v>0</x:v>
      </x:c>
      <x:c r="L124" s="22" t="n">
        <x:f>MAX(0,MIN('Activities'!L124,48)-MAX('Activities'!K124,42))</x:f>
        <x:v>0</x:v>
      </x:c>
      <x:c r="M124" s="22" t="n">
        <x:f>MAX(0,MIN('Activities'!L124,54)-MAX('Activities'!K124,48))</x:f>
        <x:v>0</x:v>
      </x:c>
      <x:c r="N124" s="22" t="n">
        <x:f>MAX(0,MIN('Activities'!L124,60)-MAX('Activities'!K124,54))</x:f>
        <x:v>0</x:v>
      </x:c>
      <x:c r="O124" s="22" t="n">
        <x:f>MAX(0,MIN('Activities'!L124,66)-MAX('Activities'!K124,60))</x:f>
        <x:v>0</x:v>
      </x:c>
      <x:c r="P124" s="22" t="n">
        <x:f>MAX(0,MIN('Activities'!L124,72)-MAX('Activities'!K124,66))</x:f>
        <x:v>0</x:v>
      </x:c>
      <x:c r="Q124" s="22" t="n">
        <x:f>MAX(0,MIN('Activities'!L124,78)-MAX('Activities'!K124,72))</x:f>
        <x:v>0</x:v>
      </x:c>
      <x:c r="R124" s="22" t="n">
        <x:f>MAX(0,MIN('Activities'!L124,84)-MAX('Activities'!K124,78))</x:f>
        <x:v>0</x:v>
      </x:c>
      <x:c r="S124" s="22" t="n">
        <x:f>MAX(0,MIN('Activities'!L124,90)-MAX('Activities'!K124,84))</x:f>
        <x:v>0</x:v>
      </x:c>
      <x:c r="T124" s="22" t="n">
        <x:f>MAX(0,MIN('Activities'!L124,96)-MAX('Activities'!K124,90))</x:f>
        <x:v>0</x:v>
      </x:c>
      <x:c r="U124" s="22" t="n">
        <x:f>MAX(0,MIN('Activities'!L124,102)-MAX('Activities'!K124,96))</x:f>
        <x:v>0</x:v>
      </x:c>
      <x:c r="V124" s="22" t="n">
        <x:f>MAX(0,MIN('Activities'!L124,108)-MAX('Activities'!K124,102))</x:f>
        <x:v>0</x:v>
      </x:c>
      <x:c r="W124" s="22" t="n">
        <x:f>MAX(0,MIN('Activities'!L124,114)-MAX('Activities'!K124,108))</x:f>
        <x:v>0</x:v>
      </x:c>
      <x:c r="X124" s="22" t="n">
        <x:f>MAX(0,MIN('Activities'!L124,120)-MAX('Activities'!K124,114))</x:f>
        <x:v>0</x:v>
      </x:c>
      <x:c r="Y124" s="22" t="n">
        <x:f>MAX(0,MIN('Activities'!L124,126)-MAX('Activities'!K124,120))</x:f>
        <x:v>0</x:v>
      </x:c>
      <x:c r="Z124" s="22" t="n">
        <x:f>MAX(0,MIN('Activities'!L124,132)-MAX('Activities'!K124,126))</x:f>
        <x:v>0</x:v>
      </x:c>
      <x:c r="AA124" s="22" t="n">
        <x:f>MAX(0,MIN('Activities'!L124,138)-MAX('Activities'!K124,132))</x:f>
        <x:v>0</x:v>
      </x:c>
      <x:c r="AB124" s="22" t="n">
        <x:f>MAX(0,MIN('Activities'!L124,144)-MAX('Activities'!K124,138))</x:f>
        <x:v>0</x:v>
      </x:c>
      <x:c r="AC124" s="22" t="n">
        <x:f>MAX(0,MIN('Activities'!L124,150)-MAX('Activities'!K124,144))</x:f>
        <x:v>0</x:v>
      </x:c>
      <x:c r="AD124" s="22" t="n">
        <x:f>MAX(0,MIN('Activities'!L124,156)-MAX('Activities'!K124,150))</x:f>
        <x:v>0</x:v>
      </x:c>
      <x:c r="AE124" s="22" t="n">
        <x:f>MAX(0,MIN('Activities'!L124,162)-MAX('Activities'!K124,156))</x:f>
        <x:v>0</x:v>
      </x:c>
      <x:c r="AF124" s="22" t="n">
        <x:f>MAX(0,MIN('Activities'!L124,168)-MAX('Activities'!K124,162))</x:f>
        <x:v>0</x:v>
      </x:c>
      <x:c r="AG124" s="22" t="n">
        <x:f>MAX(0,MIN('Activities'!L124,174)-MAX('Activities'!K124,168))</x:f>
        <x:v>0</x:v>
      </x:c>
      <x:c r="AH124" s="22" t="n">
        <x:f>MAX(0,MIN('Activities'!L124,180)-MAX('Activities'!K124,174))</x:f>
        <x:v>0</x:v>
      </x:c>
      <x:c r="AI124" s="22" t="n">
        <x:f>MAX(0,MIN('Activities'!L124,186)-MAX('Activities'!K124,180))</x:f>
        <x:v>0</x:v>
      </x:c>
      <x:c r="AJ124" s="22" t="n">
        <x:f>MAX(0,MIN('Activities'!L124,192)-MAX('Activities'!K124,186))</x:f>
        <x:v>0</x:v>
      </x:c>
      <x:c r="AK124" s="22" t="n">
        <x:f>MAX(0,MIN('Activities'!L124,198)-MAX('Activities'!K124,192))</x:f>
        <x:v>0</x:v>
      </x:c>
      <x:c r="AL124" s="22" t="n">
        <x:f>MAX(0,MIN('Activities'!L124,204)-MAX('Activities'!K124,198))</x:f>
        <x:v>0</x:v>
      </x:c>
      <x:c r="AM124" s="22" t="n">
        <x:f>MAX(0,MIN('Activities'!L124,210)-MAX('Activities'!K124,204))</x:f>
        <x:v>0</x:v>
      </x:c>
      <x:c r="AN124" s="22" t="n">
        <x:f>MAX(0,MIN('Activities'!L124,216)-MAX('Activities'!K124,210))</x:f>
        <x:v>0</x:v>
      </x:c>
      <x:c r="AO124" s="22" t="n">
        <x:f>MAX(0,MIN('Activities'!L124,222)-MAX('Activities'!K124,216))</x:f>
        <x:v>0</x:v>
      </x:c>
      <x:c r="AP124" s="22" t="n">
        <x:f>MAX(0,MIN('Activities'!L124,228)-MAX('Activities'!K124,222))</x:f>
        <x:v>0</x:v>
      </x:c>
      <x:c r="AQ124" s="22" t="n">
        <x:f>MAX(0,MIN('Activities'!L124,234)-MAX('Activities'!K124,228))</x:f>
        <x:v>0</x:v>
      </x:c>
      <x:c r="AR124" s="22" t="n">
        <x:f>MAX(0,MIN('Activities'!L124,240)-MAX('Activities'!K124,234))</x:f>
        <x:v>0</x:v>
      </x:c>
      <x:c r="AS124" s="22" t="n">
        <x:f>MAX(0,MIN('Activities'!L124,246)-MAX('Activities'!K124,240))</x:f>
        <x:v>0</x:v>
      </x:c>
      <x:c r="AT124" s="22" t="n">
        <x:f>MAX(0,MIN('Activities'!L124,252)-MAX('Activities'!K124,246))</x:f>
        <x:v>0</x:v>
      </x:c>
      <x:c r="AU124" s="22" t="n">
        <x:f>MAX(0,MIN('Activities'!L124,258)-MAX('Activities'!K124,252))</x:f>
        <x:v>0</x:v>
      </x:c>
      <x:c r="AV124" s="22" t="n">
        <x:f>MAX(0,MIN('Activities'!L124,264)-MAX('Activities'!K124,258))</x:f>
        <x:v>0</x:v>
      </x:c>
      <x:c r="AW124" s="22" t="n">
        <x:f>MAX(0,MIN('Activities'!L124,270)-MAX('Activities'!K124,264))</x:f>
        <x:v>0</x:v>
      </x:c>
      <x:c r="AX124" s="22" t="n">
        <x:f>MAX(0,MIN('Activities'!L124,276)-MAX('Activities'!K124,270))</x:f>
        <x:v>0</x:v>
      </x:c>
      <x:c r="AY124" s="22" t="n">
        <x:f>MAX(0,MIN('Activities'!L124,282)-MAX('Activities'!K124,276))</x:f>
        <x:v>0</x:v>
      </x:c>
      <x:c r="AZ124" s="22" t="n">
        <x:f>MAX(0,MIN('Activities'!L124,288)-MAX('Activities'!K124,282))</x:f>
        <x:v>0</x:v>
      </x:c>
      <x:c r="BA124" s="22" t="n">
        <x:f>MAX(0,MIN('Activities'!L124,294)-MAX('Activities'!K124,288))</x:f>
        <x:v>0</x:v>
      </x:c>
      <x:c r="BB124" s="22" t="n">
        <x:f>MAX(0,MIN('Activities'!L124,300)-MAX('Activities'!K124,294))</x:f>
        <x:v>0</x:v>
      </x:c>
      <x:c r="BC124" s="22" t="n">
        <x:f>MAX(0,MIN('Activities'!L124,306)-MAX('Activities'!K124,300))</x:f>
        <x:v>0</x:v>
      </x:c>
      <x:c r="BD124" s="22" t="n">
        <x:f>MAX(0,MIN('Activities'!L124,312)-MAX('Activities'!K124,306))</x:f>
        <x:v>0</x:v>
      </x:c>
      <x:c r="BE124" s="22" t="n">
        <x:f>MAX(0,MIN('Activities'!L124,318)-MAX('Activities'!K124,312))</x:f>
        <x:v>0</x:v>
      </x:c>
      <x:c r="BF124" s="22" t="n">
        <x:f>MAX(0,MIN('Activities'!L124,324)-MAX('Activities'!K124,318))</x:f>
        <x:v>0</x:v>
      </x:c>
      <x:c r="BG124" s="22" t="n">
        <x:f>MAX(0,MIN('Activities'!L124,330)-MAX('Activities'!K124,324))</x:f>
        <x:v>0</x:v>
      </x:c>
      <x:c r="BH124" s="22" t="n">
        <x:f>MAX(0,MIN('Activities'!L124,336)-MAX('Activities'!K124,330))</x:f>
        <x:v>0</x:v>
      </x:c>
      <x:c r="BI124" s="22" t="n">
        <x:f>MAX(0,MIN('Activities'!L124,342)-MAX('Activities'!K124,336))</x:f>
        <x:v>0</x:v>
      </x:c>
      <x:c r="BJ124" s="22" t="n">
        <x:f>MAX(0,MIN('Activities'!L124,348)-MAX('Activities'!K124,342))</x:f>
        <x:v>0</x:v>
      </x:c>
      <x:c r="BK124" s="22" t="n">
        <x:f>MAX(0,MIN('Activities'!L124,354)-MAX('Activities'!K124,348))</x:f>
        <x:v>0</x:v>
      </x:c>
      <x:c r="BL124" s="22" t="n">
        <x:f>MAX(0,MIN('Activities'!L124,360)-MAX('Activities'!K124,354))</x:f>
        <x:v>0</x:v>
      </x:c>
      <x:c r="BM124" s="22" t="n">
        <x:f>MAX(0,MIN('Activities'!L124,366)-MAX('Activities'!K124,360))</x:f>
        <x:v>0</x:v>
      </x:c>
      <x:c r="BN124" s="22" t="n">
        <x:f>MAX(0,MIN('Activities'!L124,372)-MAX('Activities'!K124,366))</x:f>
        <x:v>0</x:v>
      </x:c>
      <x:c r="BO124" s="22" t="n">
        <x:f>MAX(0,MIN('Activities'!L124,378)-MAX('Activities'!K124,372))</x:f>
        <x:v>0</x:v>
      </x:c>
      <x:c r="BP124" s="22" t="n">
        <x:f>MAX(0,MIN('Activities'!L124,384)-MAX('Activities'!K124,378))</x:f>
        <x:v>0</x:v>
      </x:c>
      <x:c r="BQ124" s="22" t="n">
        <x:f>MAX(0,MIN('Activities'!L124,390)-MAX('Activities'!K124,384))</x:f>
        <x:v>0</x:v>
      </x:c>
      <x:c r="BR124" s="22" t="n">
        <x:f>MAX(0,MIN('Activities'!L124,396)-MAX('Activities'!K124,390))</x:f>
        <x:v>0</x:v>
      </x:c>
      <x:c r="BS124" s="22" t="n">
        <x:f>MAX(0,MIN('Activities'!L124,402)-MAX('Activities'!K124,396))</x:f>
        <x:v>0</x:v>
      </x:c>
      <x:c r="BT124" s="22" t="n">
        <x:f>MAX(0,MIN('Activities'!L124,408)-MAX('Activities'!K124,402))</x:f>
        <x:v>0</x:v>
      </x:c>
      <x:c r="BU124" s="22" t="n">
        <x:f>MAX(0,MIN('Activities'!L124,414)-MAX('Activities'!K124,408))</x:f>
        <x:v>0</x:v>
      </x:c>
      <x:c r="BV124" s="22" t="n">
        <x:f>MAX(0,MIN('Activities'!L124,420)-MAX('Activities'!K124,414))</x:f>
        <x:v>3</x:v>
      </x:c>
      <x:c r="BW124" s="22" t="n">
        <x:f>MAX(0,MIN('Activities'!L124,426)-MAX('Activities'!K124,420))</x:f>
        <x:v>0</x:v>
      </x:c>
      <x:c r="BX124" s="22" t="n">
        <x:f>MAX(0,MIN('Activities'!L124,432)-MAX('Activities'!K124,426))</x:f>
        <x:v>0</x:v>
      </x:c>
      <x:c r="BY124" s="22" t="n">
        <x:f>MAX(0,MIN('Activities'!L124,438)-MAX('Activities'!K124,432))</x:f>
        <x:v>0</x:v>
      </x:c>
      <x:c r="BZ124" s="22" t="n">
        <x:f>MAX(0,MIN('Activities'!L124,444)-MAX('Activities'!K124,438))</x:f>
        <x:v>0</x:v>
      </x:c>
      <x:c r="CA124" s="22" t="n">
        <x:f>MAX(0,MIN('Activities'!L124,450)-MAX('Activities'!K124,444))</x:f>
        <x:v>0</x:v>
      </x:c>
      <x:c r="CB124" s="22" t="n">
        <x:f>MAX(0,MIN('Activities'!L124,456)-MAX('Activities'!K124,450))</x:f>
        <x:v>0</x:v>
      </x:c>
      <x:c r="CC124" s="22" t="n">
        <x:f>MAX(0,MIN('Activities'!L124,462)-MAX('Activities'!K124,456))</x:f>
        <x:v>0</x:v>
      </x:c>
      <x:c r="CD124" s="22" t="n">
        <x:f>MAX(0,MIN('Activities'!L124,468)-MAX('Activities'!K124,462))</x:f>
        <x:v>0</x:v>
      </x:c>
      <x:c r="CE124" s="22" t="n">
        <x:f>MAX(0,MIN('Activities'!L124,474)-MAX('Activities'!K124,468))</x:f>
        <x:v>0</x:v>
      </x:c>
      <x:c r="CF124" s="22" t="n">
        <x:f>MAX(0,MIN('Activities'!L124,480)-MAX('Activities'!K124,474))</x:f>
        <x:v>0</x:v>
      </x:c>
      <x:c r="CG124" s="22" t="n">
        <x:f>MAX(0,MIN('Activities'!L124,486)-MAX('Activities'!K124,480))</x:f>
        <x:v>0</x:v>
      </x:c>
      <x:c r="CH124" s="22" t="n">
        <x:f>MAX(0,MIN('Activities'!L124,492)-MAX('Activities'!K124,486))</x:f>
        <x:v>0</x:v>
      </x:c>
      <x:c r="CI124" s="22" t="n">
        <x:f>MAX(0,MIN('Activities'!L124,498)-MAX('Activities'!K124,492))</x:f>
        <x:v>0</x:v>
      </x:c>
      <x:c r="CJ124" s="22" t="n">
        <x:f>MAX(0,MIN('Activities'!L124,504)-MAX('Activities'!K124,498))</x:f>
        <x:v>0</x:v>
      </x:c>
      <x:c r="CK124" s="22" t="n">
        <x:f>MAX(0,MIN('Activities'!L124,510)-MAX('Activities'!K124,504))</x:f>
        <x:v>0</x:v>
      </x:c>
      <x:c r="CL124" s="22" t="n">
        <x:f>MAX(0,MIN('Activities'!L124,516)-MAX('Activities'!K124,510))</x:f>
        <x:v>0</x:v>
      </x:c>
      <x:c r="CM124" s="22" t="n">
        <x:f>MAX(0,MIN('Activities'!L124,522)-MAX('Activities'!K124,516))</x:f>
        <x:v>0</x:v>
      </x:c>
      <x:c r="CN124" s="22" t="n">
        <x:f>MAX(0,MIN('Activities'!L124,528)-MAX('Activities'!K124,522))</x:f>
        <x:v>0</x:v>
      </x:c>
      <x:c r="CO124" s="22" t="n">
        <x:f>MAX(0,MIN('Activities'!L124,534)-MAX('Activities'!K124,528))</x:f>
        <x:v>0</x:v>
      </x:c>
      <x:c r="CP124" s="22" t="n">
        <x:f>MAX(0,MIN('Activities'!L124,540)-MAX('Activities'!K124,534))</x:f>
        <x:v>0</x:v>
      </x:c>
      <x:c r="CQ124" s="22" t="n">
        <x:f>MAX(0,MIN('Activities'!L124,546)-MAX('Activities'!K124,540))</x:f>
        <x:v>0</x:v>
      </x:c>
      <x:c r="CR124" s="22" t="n">
        <x:f>MAX(0,MIN('Activities'!L124,552)-MAX('Activities'!K124,546))</x:f>
        <x:v>0</x:v>
      </x:c>
      <x:c r="CS124" s="22" t="n">
        <x:f>MAX(0,MIN('Activities'!L124,558)-MAX('Activities'!K124,552))</x:f>
        <x:v>0</x:v>
      </x:c>
      <x:c r="CT124" s="22" t="n">
        <x:f>MAX(0,MIN('Activities'!L124,564)-MAX('Activities'!K124,558))</x:f>
        <x:v>0</x:v>
      </x:c>
      <x:c r="CU124" s="22" t="n">
        <x:f>MAX(0,MIN('Activities'!L124,570)-MAX('Activities'!K124,564))</x:f>
        <x:v>0</x:v>
      </x:c>
      <x:c r="CV124" s="22" t="n">
        <x:f>MAX(0,MIN('Activities'!L124,576)-MAX('Activities'!K124,570))</x:f>
        <x:v>0</x:v>
      </x:c>
      <x:c r="CW124" s="22" t="n">
        <x:f>MAX(0,MIN('Activities'!L124,582)-MAX('Activities'!K124,576))</x:f>
        <x:v>0</x:v>
      </x:c>
      <x:c r="CX124" s="22" t="n">
        <x:f>MAX(0,MIN('Activities'!L124,588)-MAX('Activities'!K124,582))</x:f>
        <x:v>0</x:v>
      </x:c>
      <x:c r="CY124" s="22" t="n">
        <x:f>MAX(0,MIN('Activities'!L124,594)-MAX('Activities'!K124,588))</x:f>
        <x:v>0</x:v>
      </x:c>
      <x:c r="CZ124" s="22" t="n">
        <x:f>MAX(0,MIN('Activities'!L124,600)-MAX('Activities'!K124,594))</x:f>
        <x:v>0</x:v>
      </x:c>
      <x:c r="DA124" s="22" t="n">
        <x:f>MAX(0,MIN('Activities'!L124,606)-MAX('Activities'!K124,600))</x:f>
        <x:v>0</x:v>
      </x:c>
      <x:c r="DB124" s="22" t="n">
        <x:f>MAX(0,MIN('Activities'!L124,612)-MAX('Activities'!K124,606))</x:f>
        <x:v>0</x:v>
      </x:c>
      <x:c r="DC124" s="22" t="n">
        <x:f>MAX(0,MIN('Activities'!L124,618)-MAX('Activities'!K124,612))</x:f>
        <x:v>0</x:v>
      </x:c>
      <x:c r="DD124" s="22" t="n">
        <x:f>MAX(0,MIN('Activities'!L124,624)-MAX('Activities'!K124,618))</x:f>
        <x:v>0</x:v>
      </x:c>
      <x:c r="DE124" s="22" t="n">
        <x:f>MAX(0,MIN('Activities'!L124,630)-MAX('Activities'!K124,624))</x:f>
        <x:v>0</x:v>
      </x:c>
      <x:c r="DF124" s="22" t="n">
        <x:f>MAX(0,MIN('Activities'!L124,636)-MAX('Activities'!K124,630))</x:f>
        <x:v>0</x:v>
      </x:c>
    </x:row>
    <x:row r="125" ht="23" customHeight="1">
      <x:c r="A125" s="1" t="str">
        <x:v>T1-L09-M</x:v>
      </x:c>
      <x:c r="B125" s="1" t="str">
        <x:v>T1</x:v>
      </x:c>
      <x:c r="C125" s="1" t="str">
        <x:v>Partition masonry</x:v>
      </x:c>
      <x:c r="D125" s="1" t="str">
        <x:v>Masonry</x:v>
      </x:c>
      <x:c r="E125" s="23" t="n">
        <x:f>MAX(0,MIN('Activities'!L125,6)-MAX('Activities'!K125,0))</x:f>
        <x:v>0</x:v>
      </x:c>
      <x:c r="F125" s="23" t="n">
        <x:f>MAX(0,MIN('Activities'!L125,12)-MAX('Activities'!K125,6))</x:f>
        <x:v>0</x:v>
      </x:c>
      <x:c r="G125" s="23" t="n">
        <x:f>MAX(0,MIN('Activities'!L125,18)-MAX('Activities'!K125,12))</x:f>
        <x:v>0</x:v>
      </x:c>
      <x:c r="H125" s="23" t="n">
        <x:f>MAX(0,MIN('Activities'!L125,24)-MAX('Activities'!K125,18))</x:f>
        <x:v>0</x:v>
      </x:c>
      <x:c r="I125" s="23" t="n">
        <x:f>MAX(0,MIN('Activities'!L125,30)-MAX('Activities'!K125,24))</x:f>
        <x:v>0</x:v>
      </x:c>
      <x:c r="J125" s="23" t="n">
        <x:f>MAX(0,MIN('Activities'!L125,36)-MAX('Activities'!K125,30))</x:f>
        <x:v>0</x:v>
      </x:c>
      <x:c r="K125" s="23" t="n">
        <x:f>MAX(0,MIN('Activities'!L125,42)-MAX('Activities'!K125,36))</x:f>
        <x:v>0</x:v>
      </x:c>
      <x:c r="L125" s="23" t="n">
        <x:f>MAX(0,MIN('Activities'!L125,48)-MAX('Activities'!K125,42))</x:f>
        <x:v>0</x:v>
      </x:c>
      <x:c r="M125" s="23" t="n">
        <x:f>MAX(0,MIN('Activities'!L125,54)-MAX('Activities'!K125,48))</x:f>
        <x:v>0</x:v>
      </x:c>
      <x:c r="N125" s="23" t="n">
        <x:f>MAX(0,MIN('Activities'!L125,60)-MAX('Activities'!K125,54))</x:f>
        <x:v>0</x:v>
      </x:c>
      <x:c r="O125" s="23" t="n">
        <x:f>MAX(0,MIN('Activities'!L125,66)-MAX('Activities'!K125,60))</x:f>
        <x:v>0</x:v>
      </x:c>
      <x:c r="P125" s="23" t="n">
        <x:f>MAX(0,MIN('Activities'!L125,72)-MAX('Activities'!K125,66))</x:f>
        <x:v>0</x:v>
      </x:c>
      <x:c r="Q125" s="23" t="n">
        <x:f>MAX(0,MIN('Activities'!L125,78)-MAX('Activities'!K125,72))</x:f>
        <x:v>0</x:v>
      </x:c>
      <x:c r="R125" s="23" t="n">
        <x:f>MAX(0,MIN('Activities'!L125,84)-MAX('Activities'!K125,78))</x:f>
        <x:v>0</x:v>
      </x:c>
      <x:c r="S125" s="23" t="n">
        <x:f>MAX(0,MIN('Activities'!L125,90)-MAX('Activities'!K125,84))</x:f>
        <x:v>0</x:v>
      </x:c>
      <x:c r="T125" s="23" t="n">
        <x:f>MAX(0,MIN('Activities'!L125,96)-MAX('Activities'!K125,90))</x:f>
        <x:v>0</x:v>
      </x:c>
      <x:c r="U125" s="23" t="n">
        <x:f>MAX(0,MIN('Activities'!L125,102)-MAX('Activities'!K125,96))</x:f>
        <x:v>0</x:v>
      </x:c>
      <x:c r="V125" s="23" t="n">
        <x:f>MAX(0,MIN('Activities'!L125,108)-MAX('Activities'!K125,102))</x:f>
        <x:v>0</x:v>
      </x:c>
      <x:c r="W125" s="23" t="n">
        <x:f>MAX(0,MIN('Activities'!L125,114)-MAX('Activities'!K125,108))</x:f>
        <x:v>0</x:v>
      </x:c>
      <x:c r="X125" s="23" t="n">
        <x:f>MAX(0,MIN('Activities'!L125,120)-MAX('Activities'!K125,114))</x:f>
        <x:v>0</x:v>
      </x:c>
      <x:c r="Y125" s="23" t="n">
        <x:f>MAX(0,MIN('Activities'!L125,126)-MAX('Activities'!K125,120))</x:f>
        <x:v>0</x:v>
      </x:c>
      <x:c r="Z125" s="23" t="n">
        <x:f>MAX(0,MIN('Activities'!L125,132)-MAX('Activities'!K125,126))</x:f>
        <x:v>0</x:v>
      </x:c>
      <x:c r="AA125" s="23" t="n">
        <x:f>MAX(0,MIN('Activities'!L125,138)-MAX('Activities'!K125,132))</x:f>
        <x:v>0</x:v>
      </x:c>
      <x:c r="AB125" s="23" t="n">
        <x:f>MAX(0,MIN('Activities'!L125,144)-MAX('Activities'!K125,138))</x:f>
        <x:v>0</x:v>
      </x:c>
      <x:c r="AC125" s="23" t="n">
        <x:f>MAX(0,MIN('Activities'!L125,150)-MAX('Activities'!K125,144))</x:f>
        <x:v>0</x:v>
      </x:c>
      <x:c r="AD125" s="23" t="n">
        <x:f>MAX(0,MIN('Activities'!L125,156)-MAX('Activities'!K125,150))</x:f>
        <x:v>0</x:v>
      </x:c>
      <x:c r="AE125" s="23" t="n">
        <x:f>MAX(0,MIN('Activities'!L125,162)-MAX('Activities'!K125,156))</x:f>
        <x:v>0</x:v>
      </x:c>
      <x:c r="AF125" s="23" t="n">
        <x:f>MAX(0,MIN('Activities'!L125,168)-MAX('Activities'!K125,162))</x:f>
        <x:v>0</x:v>
      </x:c>
      <x:c r="AG125" s="23" t="n">
        <x:f>MAX(0,MIN('Activities'!L125,174)-MAX('Activities'!K125,168))</x:f>
        <x:v>0</x:v>
      </x:c>
      <x:c r="AH125" s="23" t="n">
        <x:f>MAX(0,MIN('Activities'!L125,180)-MAX('Activities'!K125,174))</x:f>
        <x:v>0</x:v>
      </x:c>
      <x:c r="AI125" s="23" t="n">
        <x:f>MAX(0,MIN('Activities'!L125,186)-MAX('Activities'!K125,180))</x:f>
        <x:v>0</x:v>
      </x:c>
      <x:c r="AJ125" s="23" t="n">
        <x:f>MAX(0,MIN('Activities'!L125,192)-MAX('Activities'!K125,186))</x:f>
        <x:v>0</x:v>
      </x:c>
      <x:c r="AK125" s="23" t="n">
        <x:f>MAX(0,MIN('Activities'!L125,198)-MAX('Activities'!K125,192))</x:f>
        <x:v>0</x:v>
      </x:c>
      <x:c r="AL125" s="23" t="n">
        <x:f>MAX(0,MIN('Activities'!L125,204)-MAX('Activities'!K125,198))</x:f>
        <x:v>0</x:v>
      </x:c>
      <x:c r="AM125" s="23" t="n">
        <x:f>MAX(0,MIN('Activities'!L125,210)-MAX('Activities'!K125,204))</x:f>
        <x:v>0</x:v>
      </x:c>
      <x:c r="AN125" s="23" t="n">
        <x:f>MAX(0,MIN('Activities'!L125,216)-MAX('Activities'!K125,210))</x:f>
        <x:v>0</x:v>
      </x:c>
      <x:c r="AO125" s="23" t="n">
        <x:f>MAX(0,MIN('Activities'!L125,222)-MAX('Activities'!K125,216))</x:f>
        <x:v>0</x:v>
      </x:c>
      <x:c r="AP125" s="23" t="n">
        <x:f>MAX(0,MIN('Activities'!L125,228)-MAX('Activities'!K125,222))</x:f>
        <x:v>0</x:v>
      </x:c>
      <x:c r="AQ125" s="23" t="n">
        <x:f>MAX(0,MIN('Activities'!L125,234)-MAX('Activities'!K125,228))</x:f>
        <x:v>0</x:v>
      </x:c>
      <x:c r="AR125" s="23" t="n">
        <x:f>MAX(0,MIN('Activities'!L125,240)-MAX('Activities'!K125,234))</x:f>
        <x:v>0</x:v>
      </x:c>
      <x:c r="AS125" s="23" t="n">
        <x:f>MAX(0,MIN('Activities'!L125,246)-MAX('Activities'!K125,240))</x:f>
        <x:v>0</x:v>
      </x:c>
      <x:c r="AT125" s="23" t="n">
        <x:f>MAX(0,MIN('Activities'!L125,252)-MAX('Activities'!K125,246))</x:f>
        <x:v>0</x:v>
      </x:c>
      <x:c r="AU125" s="23" t="n">
        <x:f>MAX(0,MIN('Activities'!L125,258)-MAX('Activities'!K125,252))</x:f>
        <x:v>0</x:v>
      </x:c>
      <x:c r="AV125" s="23" t="n">
        <x:f>MAX(0,MIN('Activities'!L125,264)-MAX('Activities'!K125,258))</x:f>
        <x:v>0</x:v>
      </x:c>
      <x:c r="AW125" s="23" t="n">
        <x:f>MAX(0,MIN('Activities'!L125,270)-MAX('Activities'!K125,264))</x:f>
        <x:v>0</x:v>
      </x:c>
      <x:c r="AX125" s="23" t="n">
        <x:f>MAX(0,MIN('Activities'!L125,276)-MAX('Activities'!K125,270))</x:f>
        <x:v>0</x:v>
      </x:c>
      <x:c r="AY125" s="23" t="n">
        <x:f>MAX(0,MIN('Activities'!L125,282)-MAX('Activities'!K125,276))</x:f>
        <x:v>0</x:v>
      </x:c>
      <x:c r="AZ125" s="23" t="n">
        <x:f>MAX(0,MIN('Activities'!L125,288)-MAX('Activities'!K125,282))</x:f>
        <x:v>0</x:v>
      </x:c>
      <x:c r="BA125" s="23" t="n">
        <x:f>MAX(0,MIN('Activities'!L125,294)-MAX('Activities'!K125,288))</x:f>
        <x:v>0</x:v>
      </x:c>
      <x:c r="BB125" s="23" t="n">
        <x:f>MAX(0,MIN('Activities'!L125,300)-MAX('Activities'!K125,294))</x:f>
        <x:v>0</x:v>
      </x:c>
      <x:c r="BC125" s="23" t="n">
        <x:f>MAX(0,MIN('Activities'!L125,306)-MAX('Activities'!K125,300))</x:f>
        <x:v>0</x:v>
      </x:c>
      <x:c r="BD125" s="23" t="n">
        <x:f>MAX(0,MIN('Activities'!L125,312)-MAX('Activities'!K125,306))</x:f>
        <x:v>0</x:v>
      </x:c>
      <x:c r="BE125" s="23" t="n">
        <x:f>MAX(0,MIN('Activities'!L125,318)-MAX('Activities'!K125,312))</x:f>
        <x:v>0</x:v>
      </x:c>
      <x:c r="BF125" s="23" t="n">
        <x:f>MAX(0,MIN('Activities'!L125,324)-MAX('Activities'!K125,318))</x:f>
        <x:v>0</x:v>
      </x:c>
      <x:c r="BG125" s="23" t="n">
        <x:f>MAX(0,MIN('Activities'!L125,330)-MAX('Activities'!K125,324))</x:f>
        <x:v>0</x:v>
      </x:c>
      <x:c r="BH125" s="23" t="n">
        <x:f>MAX(0,MIN('Activities'!L125,336)-MAX('Activities'!K125,330))</x:f>
        <x:v>0</x:v>
      </x:c>
      <x:c r="BI125" s="23" t="n">
        <x:f>MAX(0,MIN('Activities'!L125,342)-MAX('Activities'!K125,336))</x:f>
        <x:v>0</x:v>
      </x:c>
      <x:c r="BJ125" s="23" t="n">
        <x:f>MAX(0,MIN('Activities'!L125,348)-MAX('Activities'!K125,342))</x:f>
        <x:v>0</x:v>
      </x:c>
      <x:c r="BK125" s="23" t="n">
        <x:f>MAX(0,MIN('Activities'!L125,354)-MAX('Activities'!K125,348))</x:f>
        <x:v>0</x:v>
      </x:c>
      <x:c r="BL125" s="23" t="n">
        <x:f>MAX(0,MIN('Activities'!L125,360)-MAX('Activities'!K125,354))</x:f>
        <x:v>0</x:v>
      </x:c>
      <x:c r="BM125" s="23" t="n">
        <x:f>MAX(0,MIN('Activities'!L125,366)-MAX('Activities'!K125,360))</x:f>
        <x:v>0</x:v>
      </x:c>
      <x:c r="BN125" s="23" t="n">
        <x:f>MAX(0,MIN('Activities'!L125,372)-MAX('Activities'!K125,366))</x:f>
        <x:v>0</x:v>
      </x:c>
      <x:c r="BO125" s="23" t="n">
        <x:f>MAX(0,MIN('Activities'!L125,378)-MAX('Activities'!K125,372))</x:f>
        <x:v>5</x:v>
      </x:c>
      <x:c r="BP125" s="23" t="n">
        <x:f>MAX(0,MIN('Activities'!L125,384)-MAX('Activities'!K125,378))</x:f>
        <x:v>0</x:v>
      </x:c>
      <x:c r="BQ125" s="23" t="n">
        <x:f>MAX(0,MIN('Activities'!L125,390)-MAX('Activities'!K125,384))</x:f>
        <x:v>0</x:v>
      </x:c>
      <x:c r="BR125" s="23" t="n">
        <x:f>MAX(0,MIN('Activities'!L125,396)-MAX('Activities'!K125,390))</x:f>
        <x:v>0</x:v>
      </x:c>
      <x:c r="BS125" s="23" t="n">
        <x:f>MAX(0,MIN('Activities'!L125,402)-MAX('Activities'!K125,396))</x:f>
        <x:v>0</x:v>
      </x:c>
      <x:c r="BT125" s="23" t="n">
        <x:f>MAX(0,MIN('Activities'!L125,408)-MAX('Activities'!K125,402))</x:f>
        <x:v>0</x:v>
      </x:c>
      <x:c r="BU125" s="23" t="n">
        <x:f>MAX(0,MIN('Activities'!L125,414)-MAX('Activities'!K125,408))</x:f>
        <x:v>0</x:v>
      </x:c>
      <x:c r="BV125" s="23" t="n">
        <x:f>MAX(0,MIN('Activities'!L125,420)-MAX('Activities'!K125,414))</x:f>
        <x:v>0</x:v>
      </x:c>
      <x:c r="BW125" s="23" t="n">
        <x:f>MAX(0,MIN('Activities'!L125,426)-MAX('Activities'!K125,420))</x:f>
        <x:v>0</x:v>
      </x:c>
      <x:c r="BX125" s="23" t="n">
        <x:f>MAX(0,MIN('Activities'!L125,432)-MAX('Activities'!K125,426))</x:f>
        <x:v>0</x:v>
      </x:c>
      <x:c r="BY125" s="23" t="n">
        <x:f>MAX(0,MIN('Activities'!L125,438)-MAX('Activities'!K125,432))</x:f>
        <x:v>0</x:v>
      </x:c>
      <x:c r="BZ125" s="23" t="n">
        <x:f>MAX(0,MIN('Activities'!L125,444)-MAX('Activities'!K125,438))</x:f>
        <x:v>0</x:v>
      </x:c>
      <x:c r="CA125" s="23" t="n">
        <x:f>MAX(0,MIN('Activities'!L125,450)-MAX('Activities'!K125,444))</x:f>
        <x:v>0</x:v>
      </x:c>
      <x:c r="CB125" s="23" t="n">
        <x:f>MAX(0,MIN('Activities'!L125,456)-MAX('Activities'!K125,450))</x:f>
        <x:v>0</x:v>
      </x:c>
      <x:c r="CC125" s="23" t="n">
        <x:f>MAX(0,MIN('Activities'!L125,462)-MAX('Activities'!K125,456))</x:f>
        <x:v>0</x:v>
      </x:c>
      <x:c r="CD125" s="23" t="n">
        <x:f>MAX(0,MIN('Activities'!L125,468)-MAX('Activities'!K125,462))</x:f>
        <x:v>0</x:v>
      </x:c>
      <x:c r="CE125" s="23" t="n">
        <x:f>MAX(0,MIN('Activities'!L125,474)-MAX('Activities'!K125,468))</x:f>
        <x:v>0</x:v>
      </x:c>
      <x:c r="CF125" s="23" t="n">
        <x:f>MAX(0,MIN('Activities'!L125,480)-MAX('Activities'!K125,474))</x:f>
        <x:v>0</x:v>
      </x:c>
      <x:c r="CG125" s="23" t="n">
        <x:f>MAX(0,MIN('Activities'!L125,486)-MAX('Activities'!K125,480))</x:f>
        <x:v>0</x:v>
      </x:c>
      <x:c r="CH125" s="23" t="n">
        <x:f>MAX(0,MIN('Activities'!L125,492)-MAX('Activities'!K125,486))</x:f>
        <x:v>0</x:v>
      </x:c>
      <x:c r="CI125" s="23" t="n">
        <x:f>MAX(0,MIN('Activities'!L125,498)-MAX('Activities'!K125,492))</x:f>
        <x:v>0</x:v>
      </x:c>
      <x:c r="CJ125" s="23" t="n">
        <x:f>MAX(0,MIN('Activities'!L125,504)-MAX('Activities'!K125,498))</x:f>
        <x:v>0</x:v>
      </x:c>
      <x:c r="CK125" s="23" t="n">
        <x:f>MAX(0,MIN('Activities'!L125,510)-MAX('Activities'!K125,504))</x:f>
        <x:v>0</x:v>
      </x:c>
      <x:c r="CL125" s="23" t="n">
        <x:f>MAX(0,MIN('Activities'!L125,516)-MAX('Activities'!K125,510))</x:f>
        <x:v>0</x:v>
      </x:c>
      <x:c r="CM125" s="23" t="n">
        <x:f>MAX(0,MIN('Activities'!L125,522)-MAX('Activities'!K125,516))</x:f>
        <x:v>0</x:v>
      </x:c>
      <x:c r="CN125" s="23" t="n">
        <x:f>MAX(0,MIN('Activities'!L125,528)-MAX('Activities'!K125,522))</x:f>
        <x:v>0</x:v>
      </x:c>
      <x:c r="CO125" s="23" t="n">
        <x:f>MAX(0,MIN('Activities'!L125,534)-MAX('Activities'!K125,528))</x:f>
        <x:v>0</x:v>
      </x:c>
      <x:c r="CP125" s="23" t="n">
        <x:f>MAX(0,MIN('Activities'!L125,540)-MAX('Activities'!K125,534))</x:f>
        <x:v>0</x:v>
      </x:c>
      <x:c r="CQ125" s="23" t="n">
        <x:f>MAX(0,MIN('Activities'!L125,546)-MAX('Activities'!K125,540))</x:f>
        <x:v>0</x:v>
      </x:c>
      <x:c r="CR125" s="23" t="n">
        <x:f>MAX(0,MIN('Activities'!L125,552)-MAX('Activities'!K125,546))</x:f>
        <x:v>0</x:v>
      </x:c>
      <x:c r="CS125" s="23" t="n">
        <x:f>MAX(0,MIN('Activities'!L125,558)-MAX('Activities'!K125,552))</x:f>
        <x:v>0</x:v>
      </x:c>
      <x:c r="CT125" s="23" t="n">
        <x:f>MAX(0,MIN('Activities'!L125,564)-MAX('Activities'!K125,558))</x:f>
        <x:v>0</x:v>
      </x:c>
      <x:c r="CU125" s="23" t="n">
        <x:f>MAX(0,MIN('Activities'!L125,570)-MAX('Activities'!K125,564))</x:f>
        <x:v>0</x:v>
      </x:c>
      <x:c r="CV125" s="23" t="n">
        <x:f>MAX(0,MIN('Activities'!L125,576)-MAX('Activities'!K125,570))</x:f>
        <x:v>0</x:v>
      </x:c>
      <x:c r="CW125" s="23" t="n">
        <x:f>MAX(0,MIN('Activities'!L125,582)-MAX('Activities'!K125,576))</x:f>
        <x:v>0</x:v>
      </x:c>
      <x:c r="CX125" s="23" t="n">
        <x:f>MAX(0,MIN('Activities'!L125,588)-MAX('Activities'!K125,582))</x:f>
        <x:v>0</x:v>
      </x:c>
      <x:c r="CY125" s="23" t="n">
        <x:f>MAX(0,MIN('Activities'!L125,594)-MAX('Activities'!K125,588))</x:f>
        <x:v>0</x:v>
      </x:c>
      <x:c r="CZ125" s="23" t="n">
        <x:f>MAX(0,MIN('Activities'!L125,600)-MAX('Activities'!K125,594))</x:f>
        <x:v>0</x:v>
      </x:c>
      <x:c r="DA125" s="23" t="n">
        <x:f>MAX(0,MIN('Activities'!L125,606)-MAX('Activities'!K125,600))</x:f>
        <x:v>0</x:v>
      </x:c>
      <x:c r="DB125" s="23" t="n">
        <x:f>MAX(0,MIN('Activities'!L125,612)-MAX('Activities'!K125,606))</x:f>
        <x:v>0</x:v>
      </x:c>
      <x:c r="DC125" s="23" t="n">
        <x:f>MAX(0,MIN('Activities'!L125,618)-MAX('Activities'!K125,612))</x:f>
        <x:v>0</x:v>
      </x:c>
      <x:c r="DD125" s="23" t="n">
        <x:f>MAX(0,MIN('Activities'!L125,624)-MAX('Activities'!K125,618))</x:f>
        <x:v>0</x:v>
      </x:c>
      <x:c r="DE125" s="23" t="n">
        <x:f>MAX(0,MIN('Activities'!L125,630)-MAX('Activities'!K125,624))</x:f>
        <x:v>0</x:v>
      </x:c>
      <x:c r="DF125" s="23" t="n">
        <x:f>MAX(0,MIN('Activities'!L125,636)-MAX('Activities'!K125,630))</x:f>
        <x:v>0</x:v>
      </x:c>
    </x:row>
    <x:row r="126" ht="23" customHeight="1">
      <x:c r="A126" s="6" t="str">
        <x:v>T1-L09-P</x:v>
      </x:c>
      <x:c r="B126" s="6" t="str">
        <x:v>T1</x:v>
      </x:c>
      <x:c r="C126" s="6" t="str">
        <x:v>Internal plaster</x:v>
      </x:c>
      <x:c r="D126" s="6" t="str">
        <x:v>Finishes</x:v>
      </x:c>
      <x:c r="E126" s="22" t="n">
        <x:f>MAX(0,MIN('Activities'!L126,6)-MAX('Activities'!K126,0))</x:f>
        <x:v>0</x:v>
      </x:c>
      <x:c r="F126" s="22" t="n">
        <x:f>MAX(0,MIN('Activities'!L126,12)-MAX('Activities'!K126,6))</x:f>
        <x:v>0</x:v>
      </x:c>
      <x:c r="G126" s="22" t="n">
        <x:f>MAX(0,MIN('Activities'!L126,18)-MAX('Activities'!K126,12))</x:f>
        <x:v>0</x:v>
      </x:c>
      <x:c r="H126" s="22" t="n">
        <x:f>MAX(0,MIN('Activities'!L126,24)-MAX('Activities'!K126,18))</x:f>
        <x:v>0</x:v>
      </x:c>
      <x:c r="I126" s="22" t="n">
        <x:f>MAX(0,MIN('Activities'!L126,30)-MAX('Activities'!K126,24))</x:f>
        <x:v>0</x:v>
      </x:c>
      <x:c r="J126" s="22" t="n">
        <x:f>MAX(0,MIN('Activities'!L126,36)-MAX('Activities'!K126,30))</x:f>
        <x:v>0</x:v>
      </x:c>
      <x:c r="K126" s="22" t="n">
        <x:f>MAX(0,MIN('Activities'!L126,42)-MAX('Activities'!K126,36))</x:f>
        <x:v>0</x:v>
      </x:c>
      <x:c r="L126" s="22" t="n">
        <x:f>MAX(0,MIN('Activities'!L126,48)-MAX('Activities'!K126,42))</x:f>
        <x:v>0</x:v>
      </x:c>
      <x:c r="M126" s="22" t="n">
        <x:f>MAX(0,MIN('Activities'!L126,54)-MAX('Activities'!K126,48))</x:f>
        <x:v>0</x:v>
      </x:c>
      <x:c r="N126" s="22" t="n">
        <x:f>MAX(0,MIN('Activities'!L126,60)-MAX('Activities'!K126,54))</x:f>
        <x:v>0</x:v>
      </x:c>
      <x:c r="O126" s="22" t="n">
        <x:f>MAX(0,MIN('Activities'!L126,66)-MAX('Activities'!K126,60))</x:f>
        <x:v>0</x:v>
      </x:c>
      <x:c r="P126" s="22" t="n">
        <x:f>MAX(0,MIN('Activities'!L126,72)-MAX('Activities'!K126,66))</x:f>
        <x:v>0</x:v>
      </x:c>
      <x:c r="Q126" s="22" t="n">
        <x:f>MAX(0,MIN('Activities'!L126,78)-MAX('Activities'!K126,72))</x:f>
        <x:v>0</x:v>
      </x:c>
      <x:c r="R126" s="22" t="n">
        <x:f>MAX(0,MIN('Activities'!L126,84)-MAX('Activities'!K126,78))</x:f>
        <x:v>0</x:v>
      </x:c>
      <x:c r="S126" s="22" t="n">
        <x:f>MAX(0,MIN('Activities'!L126,90)-MAX('Activities'!K126,84))</x:f>
        <x:v>0</x:v>
      </x:c>
      <x:c r="T126" s="22" t="n">
        <x:f>MAX(0,MIN('Activities'!L126,96)-MAX('Activities'!K126,90))</x:f>
        <x:v>0</x:v>
      </x:c>
      <x:c r="U126" s="22" t="n">
        <x:f>MAX(0,MIN('Activities'!L126,102)-MAX('Activities'!K126,96))</x:f>
        <x:v>0</x:v>
      </x:c>
      <x:c r="V126" s="22" t="n">
        <x:f>MAX(0,MIN('Activities'!L126,108)-MAX('Activities'!K126,102))</x:f>
        <x:v>0</x:v>
      </x:c>
      <x:c r="W126" s="22" t="n">
        <x:f>MAX(0,MIN('Activities'!L126,114)-MAX('Activities'!K126,108))</x:f>
        <x:v>0</x:v>
      </x:c>
      <x:c r="X126" s="22" t="n">
        <x:f>MAX(0,MIN('Activities'!L126,120)-MAX('Activities'!K126,114))</x:f>
        <x:v>0</x:v>
      </x:c>
      <x:c r="Y126" s="22" t="n">
        <x:f>MAX(0,MIN('Activities'!L126,126)-MAX('Activities'!K126,120))</x:f>
        <x:v>0</x:v>
      </x:c>
      <x:c r="Z126" s="22" t="n">
        <x:f>MAX(0,MIN('Activities'!L126,132)-MAX('Activities'!K126,126))</x:f>
        <x:v>0</x:v>
      </x:c>
      <x:c r="AA126" s="22" t="n">
        <x:f>MAX(0,MIN('Activities'!L126,138)-MAX('Activities'!K126,132))</x:f>
        <x:v>0</x:v>
      </x:c>
      <x:c r="AB126" s="22" t="n">
        <x:f>MAX(0,MIN('Activities'!L126,144)-MAX('Activities'!K126,138))</x:f>
        <x:v>0</x:v>
      </x:c>
      <x:c r="AC126" s="22" t="n">
        <x:f>MAX(0,MIN('Activities'!L126,150)-MAX('Activities'!K126,144))</x:f>
        <x:v>0</x:v>
      </x:c>
      <x:c r="AD126" s="22" t="n">
        <x:f>MAX(0,MIN('Activities'!L126,156)-MAX('Activities'!K126,150))</x:f>
        <x:v>0</x:v>
      </x:c>
      <x:c r="AE126" s="22" t="n">
        <x:f>MAX(0,MIN('Activities'!L126,162)-MAX('Activities'!K126,156))</x:f>
        <x:v>0</x:v>
      </x:c>
      <x:c r="AF126" s="22" t="n">
        <x:f>MAX(0,MIN('Activities'!L126,168)-MAX('Activities'!K126,162))</x:f>
        <x:v>0</x:v>
      </x:c>
      <x:c r="AG126" s="22" t="n">
        <x:f>MAX(0,MIN('Activities'!L126,174)-MAX('Activities'!K126,168))</x:f>
        <x:v>0</x:v>
      </x:c>
      <x:c r="AH126" s="22" t="n">
        <x:f>MAX(0,MIN('Activities'!L126,180)-MAX('Activities'!K126,174))</x:f>
        <x:v>0</x:v>
      </x:c>
      <x:c r="AI126" s="22" t="n">
        <x:f>MAX(0,MIN('Activities'!L126,186)-MAX('Activities'!K126,180))</x:f>
        <x:v>0</x:v>
      </x:c>
      <x:c r="AJ126" s="22" t="n">
        <x:f>MAX(0,MIN('Activities'!L126,192)-MAX('Activities'!K126,186))</x:f>
        <x:v>0</x:v>
      </x:c>
      <x:c r="AK126" s="22" t="n">
        <x:f>MAX(0,MIN('Activities'!L126,198)-MAX('Activities'!K126,192))</x:f>
        <x:v>0</x:v>
      </x:c>
      <x:c r="AL126" s="22" t="n">
        <x:f>MAX(0,MIN('Activities'!L126,204)-MAX('Activities'!K126,198))</x:f>
        <x:v>0</x:v>
      </x:c>
      <x:c r="AM126" s="22" t="n">
        <x:f>MAX(0,MIN('Activities'!L126,210)-MAX('Activities'!K126,204))</x:f>
        <x:v>0</x:v>
      </x:c>
      <x:c r="AN126" s="22" t="n">
        <x:f>MAX(0,MIN('Activities'!L126,216)-MAX('Activities'!K126,210))</x:f>
        <x:v>0</x:v>
      </x:c>
      <x:c r="AO126" s="22" t="n">
        <x:f>MAX(0,MIN('Activities'!L126,222)-MAX('Activities'!K126,216))</x:f>
        <x:v>0</x:v>
      </x:c>
      <x:c r="AP126" s="22" t="n">
        <x:f>MAX(0,MIN('Activities'!L126,228)-MAX('Activities'!K126,222))</x:f>
        <x:v>0</x:v>
      </x:c>
      <x:c r="AQ126" s="22" t="n">
        <x:f>MAX(0,MIN('Activities'!L126,234)-MAX('Activities'!K126,228))</x:f>
        <x:v>0</x:v>
      </x:c>
      <x:c r="AR126" s="22" t="n">
        <x:f>MAX(0,MIN('Activities'!L126,240)-MAX('Activities'!K126,234))</x:f>
        <x:v>0</x:v>
      </x:c>
      <x:c r="AS126" s="22" t="n">
        <x:f>MAX(0,MIN('Activities'!L126,246)-MAX('Activities'!K126,240))</x:f>
        <x:v>0</x:v>
      </x:c>
      <x:c r="AT126" s="22" t="n">
        <x:f>MAX(0,MIN('Activities'!L126,252)-MAX('Activities'!K126,246))</x:f>
        <x:v>0</x:v>
      </x:c>
      <x:c r="AU126" s="22" t="n">
        <x:f>MAX(0,MIN('Activities'!L126,258)-MAX('Activities'!K126,252))</x:f>
        <x:v>0</x:v>
      </x:c>
      <x:c r="AV126" s="22" t="n">
        <x:f>MAX(0,MIN('Activities'!L126,264)-MAX('Activities'!K126,258))</x:f>
        <x:v>0</x:v>
      </x:c>
      <x:c r="AW126" s="22" t="n">
        <x:f>MAX(0,MIN('Activities'!L126,270)-MAX('Activities'!K126,264))</x:f>
        <x:v>0</x:v>
      </x:c>
      <x:c r="AX126" s="22" t="n">
        <x:f>MAX(0,MIN('Activities'!L126,276)-MAX('Activities'!K126,270))</x:f>
        <x:v>0</x:v>
      </x:c>
      <x:c r="AY126" s="22" t="n">
        <x:f>MAX(0,MIN('Activities'!L126,282)-MAX('Activities'!K126,276))</x:f>
        <x:v>0</x:v>
      </x:c>
      <x:c r="AZ126" s="22" t="n">
        <x:f>MAX(0,MIN('Activities'!L126,288)-MAX('Activities'!K126,282))</x:f>
        <x:v>0</x:v>
      </x:c>
      <x:c r="BA126" s="22" t="n">
        <x:f>MAX(0,MIN('Activities'!L126,294)-MAX('Activities'!K126,288))</x:f>
        <x:v>0</x:v>
      </x:c>
      <x:c r="BB126" s="22" t="n">
        <x:f>MAX(0,MIN('Activities'!L126,300)-MAX('Activities'!K126,294))</x:f>
        <x:v>0</x:v>
      </x:c>
      <x:c r="BC126" s="22" t="n">
        <x:f>MAX(0,MIN('Activities'!L126,306)-MAX('Activities'!K126,300))</x:f>
        <x:v>0</x:v>
      </x:c>
      <x:c r="BD126" s="22" t="n">
        <x:f>MAX(0,MIN('Activities'!L126,312)-MAX('Activities'!K126,306))</x:f>
        <x:v>0</x:v>
      </x:c>
      <x:c r="BE126" s="22" t="n">
        <x:f>MAX(0,MIN('Activities'!L126,318)-MAX('Activities'!K126,312))</x:f>
        <x:v>0</x:v>
      </x:c>
      <x:c r="BF126" s="22" t="n">
        <x:f>MAX(0,MIN('Activities'!L126,324)-MAX('Activities'!K126,318))</x:f>
        <x:v>0</x:v>
      </x:c>
      <x:c r="BG126" s="22" t="n">
        <x:f>MAX(0,MIN('Activities'!L126,330)-MAX('Activities'!K126,324))</x:f>
        <x:v>0</x:v>
      </x:c>
      <x:c r="BH126" s="22" t="n">
        <x:f>MAX(0,MIN('Activities'!L126,336)-MAX('Activities'!K126,330))</x:f>
        <x:v>0</x:v>
      </x:c>
      <x:c r="BI126" s="22" t="n">
        <x:f>MAX(0,MIN('Activities'!L126,342)-MAX('Activities'!K126,336))</x:f>
        <x:v>0</x:v>
      </x:c>
      <x:c r="BJ126" s="22" t="n">
        <x:f>MAX(0,MIN('Activities'!L126,348)-MAX('Activities'!K126,342))</x:f>
        <x:v>0</x:v>
      </x:c>
      <x:c r="BK126" s="22" t="n">
        <x:f>MAX(0,MIN('Activities'!L126,354)-MAX('Activities'!K126,348))</x:f>
        <x:v>0</x:v>
      </x:c>
      <x:c r="BL126" s="22" t="n">
        <x:f>MAX(0,MIN('Activities'!L126,360)-MAX('Activities'!K126,354))</x:f>
        <x:v>0</x:v>
      </x:c>
      <x:c r="BM126" s="22" t="n">
        <x:f>MAX(0,MIN('Activities'!L126,366)-MAX('Activities'!K126,360))</x:f>
        <x:v>0</x:v>
      </x:c>
      <x:c r="BN126" s="22" t="n">
        <x:f>MAX(0,MIN('Activities'!L126,372)-MAX('Activities'!K126,366))</x:f>
        <x:v>0</x:v>
      </x:c>
      <x:c r="BO126" s="22" t="n">
        <x:f>MAX(0,MIN('Activities'!L126,378)-MAX('Activities'!K126,372))</x:f>
        <x:v>0</x:v>
      </x:c>
      <x:c r="BP126" s="22" t="n">
        <x:f>MAX(0,MIN('Activities'!L126,384)-MAX('Activities'!K126,378))</x:f>
        <x:v>3</x:v>
      </x:c>
      <x:c r="BQ126" s="22" t="n">
        <x:f>MAX(0,MIN('Activities'!L126,390)-MAX('Activities'!K126,384))</x:f>
        <x:v>3</x:v>
      </x:c>
      <x:c r="BR126" s="22" t="n">
        <x:f>MAX(0,MIN('Activities'!L126,396)-MAX('Activities'!K126,390))</x:f>
        <x:v>0</x:v>
      </x:c>
      <x:c r="BS126" s="22" t="n">
        <x:f>MAX(0,MIN('Activities'!L126,402)-MAX('Activities'!K126,396))</x:f>
        <x:v>0</x:v>
      </x:c>
      <x:c r="BT126" s="22" t="n">
        <x:f>MAX(0,MIN('Activities'!L126,408)-MAX('Activities'!K126,402))</x:f>
        <x:v>0</x:v>
      </x:c>
      <x:c r="BU126" s="22" t="n">
        <x:f>MAX(0,MIN('Activities'!L126,414)-MAX('Activities'!K126,408))</x:f>
        <x:v>0</x:v>
      </x:c>
      <x:c r="BV126" s="22" t="n">
        <x:f>MAX(0,MIN('Activities'!L126,420)-MAX('Activities'!K126,414))</x:f>
        <x:v>0</x:v>
      </x:c>
      <x:c r="BW126" s="22" t="n">
        <x:f>MAX(0,MIN('Activities'!L126,426)-MAX('Activities'!K126,420))</x:f>
        <x:v>0</x:v>
      </x:c>
      <x:c r="BX126" s="22" t="n">
        <x:f>MAX(0,MIN('Activities'!L126,432)-MAX('Activities'!K126,426))</x:f>
        <x:v>0</x:v>
      </x:c>
      <x:c r="BY126" s="22" t="n">
        <x:f>MAX(0,MIN('Activities'!L126,438)-MAX('Activities'!K126,432))</x:f>
        <x:v>0</x:v>
      </x:c>
      <x:c r="BZ126" s="22" t="n">
        <x:f>MAX(0,MIN('Activities'!L126,444)-MAX('Activities'!K126,438))</x:f>
        <x:v>0</x:v>
      </x:c>
      <x:c r="CA126" s="22" t="n">
        <x:f>MAX(0,MIN('Activities'!L126,450)-MAX('Activities'!K126,444))</x:f>
        <x:v>0</x:v>
      </x:c>
      <x:c r="CB126" s="22" t="n">
        <x:f>MAX(0,MIN('Activities'!L126,456)-MAX('Activities'!K126,450))</x:f>
        <x:v>0</x:v>
      </x:c>
      <x:c r="CC126" s="22" t="n">
        <x:f>MAX(0,MIN('Activities'!L126,462)-MAX('Activities'!K126,456))</x:f>
        <x:v>0</x:v>
      </x:c>
      <x:c r="CD126" s="22" t="n">
        <x:f>MAX(0,MIN('Activities'!L126,468)-MAX('Activities'!K126,462))</x:f>
        <x:v>0</x:v>
      </x:c>
      <x:c r="CE126" s="22" t="n">
        <x:f>MAX(0,MIN('Activities'!L126,474)-MAX('Activities'!K126,468))</x:f>
        <x:v>0</x:v>
      </x:c>
      <x:c r="CF126" s="22" t="n">
        <x:f>MAX(0,MIN('Activities'!L126,480)-MAX('Activities'!K126,474))</x:f>
        <x:v>0</x:v>
      </x:c>
      <x:c r="CG126" s="22" t="n">
        <x:f>MAX(0,MIN('Activities'!L126,486)-MAX('Activities'!K126,480))</x:f>
        <x:v>0</x:v>
      </x:c>
      <x:c r="CH126" s="22" t="n">
        <x:f>MAX(0,MIN('Activities'!L126,492)-MAX('Activities'!K126,486))</x:f>
        <x:v>0</x:v>
      </x:c>
      <x:c r="CI126" s="22" t="n">
        <x:f>MAX(0,MIN('Activities'!L126,498)-MAX('Activities'!K126,492))</x:f>
        <x:v>0</x:v>
      </x:c>
      <x:c r="CJ126" s="22" t="n">
        <x:f>MAX(0,MIN('Activities'!L126,504)-MAX('Activities'!K126,498))</x:f>
        <x:v>0</x:v>
      </x:c>
      <x:c r="CK126" s="22" t="n">
        <x:f>MAX(0,MIN('Activities'!L126,510)-MAX('Activities'!K126,504))</x:f>
        <x:v>0</x:v>
      </x:c>
      <x:c r="CL126" s="22" t="n">
        <x:f>MAX(0,MIN('Activities'!L126,516)-MAX('Activities'!K126,510))</x:f>
        <x:v>0</x:v>
      </x:c>
      <x:c r="CM126" s="22" t="n">
        <x:f>MAX(0,MIN('Activities'!L126,522)-MAX('Activities'!K126,516))</x:f>
        <x:v>0</x:v>
      </x:c>
      <x:c r="CN126" s="22" t="n">
        <x:f>MAX(0,MIN('Activities'!L126,528)-MAX('Activities'!K126,522))</x:f>
        <x:v>0</x:v>
      </x:c>
      <x:c r="CO126" s="22" t="n">
        <x:f>MAX(0,MIN('Activities'!L126,534)-MAX('Activities'!K126,528))</x:f>
        <x:v>0</x:v>
      </x:c>
      <x:c r="CP126" s="22" t="n">
        <x:f>MAX(0,MIN('Activities'!L126,540)-MAX('Activities'!K126,534))</x:f>
        <x:v>0</x:v>
      </x:c>
      <x:c r="CQ126" s="22" t="n">
        <x:f>MAX(0,MIN('Activities'!L126,546)-MAX('Activities'!K126,540))</x:f>
        <x:v>0</x:v>
      </x:c>
      <x:c r="CR126" s="22" t="n">
        <x:f>MAX(0,MIN('Activities'!L126,552)-MAX('Activities'!K126,546))</x:f>
        <x:v>0</x:v>
      </x:c>
      <x:c r="CS126" s="22" t="n">
        <x:f>MAX(0,MIN('Activities'!L126,558)-MAX('Activities'!K126,552))</x:f>
        <x:v>0</x:v>
      </x:c>
      <x:c r="CT126" s="22" t="n">
        <x:f>MAX(0,MIN('Activities'!L126,564)-MAX('Activities'!K126,558))</x:f>
        <x:v>0</x:v>
      </x:c>
      <x:c r="CU126" s="22" t="n">
        <x:f>MAX(0,MIN('Activities'!L126,570)-MAX('Activities'!K126,564))</x:f>
        <x:v>0</x:v>
      </x:c>
      <x:c r="CV126" s="22" t="n">
        <x:f>MAX(0,MIN('Activities'!L126,576)-MAX('Activities'!K126,570))</x:f>
        <x:v>0</x:v>
      </x:c>
      <x:c r="CW126" s="22" t="n">
        <x:f>MAX(0,MIN('Activities'!L126,582)-MAX('Activities'!K126,576))</x:f>
        <x:v>0</x:v>
      </x:c>
      <x:c r="CX126" s="22" t="n">
        <x:f>MAX(0,MIN('Activities'!L126,588)-MAX('Activities'!K126,582))</x:f>
        <x:v>0</x:v>
      </x:c>
      <x:c r="CY126" s="22" t="n">
        <x:f>MAX(0,MIN('Activities'!L126,594)-MAX('Activities'!K126,588))</x:f>
        <x:v>0</x:v>
      </x:c>
      <x:c r="CZ126" s="22" t="n">
        <x:f>MAX(0,MIN('Activities'!L126,600)-MAX('Activities'!K126,594))</x:f>
        <x:v>0</x:v>
      </x:c>
      <x:c r="DA126" s="22" t="n">
        <x:f>MAX(0,MIN('Activities'!L126,606)-MAX('Activities'!K126,600))</x:f>
        <x:v>0</x:v>
      </x:c>
      <x:c r="DB126" s="22" t="n">
        <x:f>MAX(0,MIN('Activities'!L126,612)-MAX('Activities'!K126,606))</x:f>
        <x:v>0</x:v>
      </x:c>
      <x:c r="DC126" s="22" t="n">
        <x:f>MAX(0,MIN('Activities'!L126,618)-MAX('Activities'!K126,612))</x:f>
        <x:v>0</x:v>
      </x:c>
      <x:c r="DD126" s="22" t="n">
        <x:f>MAX(0,MIN('Activities'!L126,624)-MAX('Activities'!K126,618))</x:f>
        <x:v>0</x:v>
      </x:c>
      <x:c r="DE126" s="22" t="n">
        <x:f>MAX(0,MIN('Activities'!L126,630)-MAX('Activities'!K126,624))</x:f>
        <x:v>0</x:v>
      </x:c>
      <x:c r="DF126" s="22" t="n">
        <x:f>MAX(0,MIN('Activities'!L126,636)-MAX('Activities'!K126,630))</x:f>
        <x:v>0</x:v>
      </x:c>
    </x:row>
    <x:row r="127" ht="23" customHeight="1">
      <x:c r="A127" s="1" t="str">
        <x:v>T1-L09-S</x:v>
      </x:c>
      <x:c r="B127" s="1" t="str">
        <x:v>T1</x:v>
      </x:c>
      <x:c r="C127" s="1" t="str">
        <x:v>Screed and substrate preparation</x:v>
      </x:c>
      <x:c r="D127" s="1" t="str">
        <x:v>Finishes</x:v>
      </x:c>
      <x:c r="E127" s="23" t="n">
        <x:f>MAX(0,MIN('Activities'!L127,6)-MAX('Activities'!K127,0))</x:f>
        <x:v>0</x:v>
      </x:c>
      <x:c r="F127" s="23" t="n">
        <x:f>MAX(0,MIN('Activities'!L127,12)-MAX('Activities'!K127,6))</x:f>
        <x:v>0</x:v>
      </x:c>
      <x:c r="G127" s="23" t="n">
        <x:f>MAX(0,MIN('Activities'!L127,18)-MAX('Activities'!K127,12))</x:f>
        <x:v>0</x:v>
      </x:c>
      <x:c r="H127" s="23" t="n">
        <x:f>MAX(0,MIN('Activities'!L127,24)-MAX('Activities'!K127,18))</x:f>
        <x:v>0</x:v>
      </x:c>
      <x:c r="I127" s="23" t="n">
        <x:f>MAX(0,MIN('Activities'!L127,30)-MAX('Activities'!K127,24))</x:f>
        <x:v>0</x:v>
      </x:c>
      <x:c r="J127" s="23" t="n">
        <x:f>MAX(0,MIN('Activities'!L127,36)-MAX('Activities'!K127,30))</x:f>
        <x:v>0</x:v>
      </x:c>
      <x:c r="K127" s="23" t="n">
        <x:f>MAX(0,MIN('Activities'!L127,42)-MAX('Activities'!K127,36))</x:f>
        <x:v>0</x:v>
      </x:c>
      <x:c r="L127" s="23" t="n">
        <x:f>MAX(0,MIN('Activities'!L127,48)-MAX('Activities'!K127,42))</x:f>
        <x:v>0</x:v>
      </x:c>
      <x:c r="M127" s="23" t="n">
        <x:f>MAX(0,MIN('Activities'!L127,54)-MAX('Activities'!K127,48))</x:f>
        <x:v>0</x:v>
      </x:c>
      <x:c r="N127" s="23" t="n">
        <x:f>MAX(0,MIN('Activities'!L127,60)-MAX('Activities'!K127,54))</x:f>
        <x:v>0</x:v>
      </x:c>
      <x:c r="O127" s="23" t="n">
        <x:f>MAX(0,MIN('Activities'!L127,66)-MAX('Activities'!K127,60))</x:f>
        <x:v>0</x:v>
      </x:c>
      <x:c r="P127" s="23" t="n">
        <x:f>MAX(0,MIN('Activities'!L127,72)-MAX('Activities'!K127,66))</x:f>
        <x:v>0</x:v>
      </x:c>
      <x:c r="Q127" s="23" t="n">
        <x:f>MAX(0,MIN('Activities'!L127,78)-MAX('Activities'!K127,72))</x:f>
        <x:v>0</x:v>
      </x:c>
      <x:c r="R127" s="23" t="n">
        <x:f>MAX(0,MIN('Activities'!L127,84)-MAX('Activities'!K127,78))</x:f>
        <x:v>0</x:v>
      </x:c>
      <x:c r="S127" s="23" t="n">
        <x:f>MAX(0,MIN('Activities'!L127,90)-MAX('Activities'!K127,84))</x:f>
        <x:v>0</x:v>
      </x:c>
      <x:c r="T127" s="23" t="n">
        <x:f>MAX(0,MIN('Activities'!L127,96)-MAX('Activities'!K127,90))</x:f>
        <x:v>0</x:v>
      </x:c>
      <x:c r="U127" s="23" t="n">
        <x:f>MAX(0,MIN('Activities'!L127,102)-MAX('Activities'!K127,96))</x:f>
        <x:v>0</x:v>
      </x:c>
      <x:c r="V127" s="23" t="n">
        <x:f>MAX(0,MIN('Activities'!L127,108)-MAX('Activities'!K127,102))</x:f>
        <x:v>0</x:v>
      </x:c>
      <x:c r="W127" s="23" t="n">
        <x:f>MAX(0,MIN('Activities'!L127,114)-MAX('Activities'!K127,108))</x:f>
        <x:v>0</x:v>
      </x:c>
      <x:c r="X127" s="23" t="n">
        <x:f>MAX(0,MIN('Activities'!L127,120)-MAX('Activities'!K127,114))</x:f>
        <x:v>0</x:v>
      </x:c>
      <x:c r="Y127" s="23" t="n">
        <x:f>MAX(0,MIN('Activities'!L127,126)-MAX('Activities'!K127,120))</x:f>
        <x:v>0</x:v>
      </x:c>
      <x:c r="Z127" s="23" t="n">
        <x:f>MAX(0,MIN('Activities'!L127,132)-MAX('Activities'!K127,126))</x:f>
        <x:v>0</x:v>
      </x:c>
      <x:c r="AA127" s="23" t="n">
        <x:f>MAX(0,MIN('Activities'!L127,138)-MAX('Activities'!K127,132))</x:f>
        <x:v>0</x:v>
      </x:c>
      <x:c r="AB127" s="23" t="n">
        <x:f>MAX(0,MIN('Activities'!L127,144)-MAX('Activities'!K127,138))</x:f>
        <x:v>0</x:v>
      </x:c>
      <x:c r="AC127" s="23" t="n">
        <x:f>MAX(0,MIN('Activities'!L127,150)-MAX('Activities'!K127,144))</x:f>
        <x:v>0</x:v>
      </x:c>
      <x:c r="AD127" s="23" t="n">
        <x:f>MAX(0,MIN('Activities'!L127,156)-MAX('Activities'!K127,150))</x:f>
        <x:v>0</x:v>
      </x:c>
      <x:c r="AE127" s="23" t="n">
        <x:f>MAX(0,MIN('Activities'!L127,162)-MAX('Activities'!K127,156))</x:f>
        <x:v>0</x:v>
      </x:c>
      <x:c r="AF127" s="23" t="n">
        <x:f>MAX(0,MIN('Activities'!L127,168)-MAX('Activities'!K127,162))</x:f>
        <x:v>0</x:v>
      </x:c>
      <x:c r="AG127" s="23" t="n">
        <x:f>MAX(0,MIN('Activities'!L127,174)-MAX('Activities'!K127,168))</x:f>
        <x:v>0</x:v>
      </x:c>
      <x:c r="AH127" s="23" t="n">
        <x:f>MAX(0,MIN('Activities'!L127,180)-MAX('Activities'!K127,174))</x:f>
        <x:v>0</x:v>
      </x:c>
      <x:c r="AI127" s="23" t="n">
        <x:f>MAX(0,MIN('Activities'!L127,186)-MAX('Activities'!K127,180))</x:f>
        <x:v>0</x:v>
      </x:c>
      <x:c r="AJ127" s="23" t="n">
        <x:f>MAX(0,MIN('Activities'!L127,192)-MAX('Activities'!K127,186))</x:f>
        <x:v>0</x:v>
      </x:c>
      <x:c r="AK127" s="23" t="n">
        <x:f>MAX(0,MIN('Activities'!L127,198)-MAX('Activities'!K127,192))</x:f>
        <x:v>0</x:v>
      </x:c>
      <x:c r="AL127" s="23" t="n">
        <x:f>MAX(0,MIN('Activities'!L127,204)-MAX('Activities'!K127,198))</x:f>
        <x:v>0</x:v>
      </x:c>
      <x:c r="AM127" s="23" t="n">
        <x:f>MAX(0,MIN('Activities'!L127,210)-MAX('Activities'!K127,204))</x:f>
        <x:v>0</x:v>
      </x:c>
      <x:c r="AN127" s="23" t="n">
        <x:f>MAX(0,MIN('Activities'!L127,216)-MAX('Activities'!K127,210))</x:f>
        <x:v>0</x:v>
      </x:c>
      <x:c r="AO127" s="23" t="n">
        <x:f>MAX(0,MIN('Activities'!L127,222)-MAX('Activities'!K127,216))</x:f>
        <x:v>0</x:v>
      </x:c>
      <x:c r="AP127" s="23" t="n">
        <x:f>MAX(0,MIN('Activities'!L127,228)-MAX('Activities'!K127,222))</x:f>
        <x:v>0</x:v>
      </x:c>
      <x:c r="AQ127" s="23" t="n">
        <x:f>MAX(0,MIN('Activities'!L127,234)-MAX('Activities'!K127,228))</x:f>
        <x:v>0</x:v>
      </x:c>
      <x:c r="AR127" s="23" t="n">
        <x:f>MAX(0,MIN('Activities'!L127,240)-MAX('Activities'!K127,234))</x:f>
        <x:v>0</x:v>
      </x:c>
      <x:c r="AS127" s="23" t="n">
        <x:f>MAX(0,MIN('Activities'!L127,246)-MAX('Activities'!K127,240))</x:f>
        <x:v>0</x:v>
      </x:c>
      <x:c r="AT127" s="23" t="n">
        <x:f>MAX(0,MIN('Activities'!L127,252)-MAX('Activities'!K127,246))</x:f>
        <x:v>0</x:v>
      </x:c>
      <x:c r="AU127" s="23" t="n">
        <x:f>MAX(0,MIN('Activities'!L127,258)-MAX('Activities'!K127,252))</x:f>
        <x:v>0</x:v>
      </x:c>
      <x:c r="AV127" s="23" t="n">
        <x:f>MAX(0,MIN('Activities'!L127,264)-MAX('Activities'!K127,258))</x:f>
        <x:v>0</x:v>
      </x:c>
      <x:c r="AW127" s="23" t="n">
        <x:f>MAX(0,MIN('Activities'!L127,270)-MAX('Activities'!K127,264))</x:f>
        <x:v>0</x:v>
      </x:c>
      <x:c r="AX127" s="23" t="n">
        <x:f>MAX(0,MIN('Activities'!L127,276)-MAX('Activities'!K127,270))</x:f>
        <x:v>0</x:v>
      </x:c>
      <x:c r="AY127" s="23" t="n">
        <x:f>MAX(0,MIN('Activities'!L127,282)-MAX('Activities'!K127,276))</x:f>
        <x:v>0</x:v>
      </x:c>
      <x:c r="AZ127" s="23" t="n">
        <x:f>MAX(0,MIN('Activities'!L127,288)-MAX('Activities'!K127,282))</x:f>
        <x:v>0</x:v>
      </x:c>
      <x:c r="BA127" s="23" t="n">
        <x:f>MAX(0,MIN('Activities'!L127,294)-MAX('Activities'!K127,288))</x:f>
        <x:v>0</x:v>
      </x:c>
      <x:c r="BB127" s="23" t="n">
        <x:f>MAX(0,MIN('Activities'!L127,300)-MAX('Activities'!K127,294))</x:f>
        <x:v>0</x:v>
      </x:c>
      <x:c r="BC127" s="23" t="n">
        <x:f>MAX(0,MIN('Activities'!L127,306)-MAX('Activities'!K127,300))</x:f>
        <x:v>0</x:v>
      </x:c>
      <x:c r="BD127" s="23" t="n">
        <x:f>MAX(0,MIN('Activities'!L127,312)-MAX('Activities'!K127,306))</x:f>
        <x:v>0</x:v>
      </x:c>
      <x:c r="BE127" s="23" t="n">
        <x:f>MAX(0,MIN('Activities'!L127,318)-MAX('Activities'!K127,312))</x:f>
        <x:v>0</x:v>
      </x:c>
      <x:c r="BF127" s="23" t="n">
        <x:f>MAX(0,MIN('Activities'!L127,324)-MAX('Activities'!K127,318))</x:f>
        <x:v>0</x:v>
      </x:c>
      <x:c r="BG127" s="23" t="n">
        <x:f>MAX(0,MIN('Activities'!L127,330)-MAX('Activities'!K127,324))</x:f>
        <x:v>0</x:v>
      </x:c>
      <x:c r="BH127" s="23" t="n">
        <x:f>MAX(0,MIN('Activities'!L127,336)-MAX('Activities'!K127,330))</x:f>
        <x:v>0</x:v>
      </x:c>
      <x:c r="BI127" s="23" t="n">
        <x:f>MAX(0,MIN('Activities'!L127,342)-MAX('Activities'!K127,336))</x:f>
        <x:v>0</x:v>
      </x:c>
      <x:c r="BJ127" s="23" t="n">
        <x:f>MAX(0,MIN('Activities'!L127,348)-MAX('Activities'!K127,342))</x:f>
        <x:v>0</x:v>
      </x:c>
      <x:c r="BK127" s="23" t="n">
        <x:f>MAX(0,MIN('Activities'!L127,354)-MAX('Activities'!K127,348))</x:f>
        <x:v>0</x:v>
      </x:c>
      <x:c r="BL127" s="23" t="n">
        <x:f>MAX(0,MIN('Activities'!L127,360)-MAX('Activities'!K127,354))</x:f>
        <x:v>0</x:v>
      </x:c>
      <x:c r="BM127" s="23" t="n">
        <x:f>MAX(0,MIN('Activities'!L127,366)-MAX('Activities'!K127,360))</x:f>
        <x:v>0</x:v>
      </x:c>
      <x:c r="BN127" s="23" t="n">
        <x:f>MAX(0,MIN('Activities'!L127,372)-MAX('Activities'!K127,366))</x:f>
        <x:v>0</x:v>
      </x:c>
      <x:c r="BO127" s="23" t="n">
        <x:f>MAX(0,MIN('Activities'!L127,378)-MAX('Activities'!K127,372))</x:f>
        <x:v>0</x:v>
      </x:c>
      <x:c r="BP127" s="23" t="n">
        <x:f>MAX(0,MIN('Activities'!L127,384)-MAX('Activities'!K127,378))</x:f>
        <x:v>0</x:v>
      </x:c>
      <x:c r="BQ127" s="23" t="n">
        <x:f>MAX(0,MIN('Activities'!L127,390)-MAX('Activities'!K127,384))</x:f>
        <x:v>1</x:v>
      </x:c>
      <x:c r="BR127" s="23" t="n">
        <x:f>MAX(0,MIN('Activities'!L127,396)-MAX('Activities'!K127,390))</x:f>
        <x:v>2</x:v>
      </x:c>
      <x:c r="BS127" s="23" t="n">
        <x:f>MAX(0,MIN('Activities'!L127,402)-MAX('Activities'!K127,396))</x:f>
        <x:v>0</x:v>
      </x:c>
      <x:c r="BT127" s="23" t="n">
        <x:f>MAX(0,MIN('Activities'!L127,408)-MAX('Activities'!K127,402))</x:f>
        <x:v>0</x:v>
      </x:c>
      <x:c r="BU127" s="23" t="n">
        <x:f>MAX(0,MIN('Activities'!L127,414)-MAX('Activities'!K127,408))</x:f>
        <x:v>0</x:v>
      </x:c>
      <x:c r="BV127" s="23" t="n">
        <x:f>MAX(0,MIN('Activities'!L127,420)-MAX('Activities'!K127,414))</x:f>
        <x:v>0</x:v>
      </x:c>
      <x:c r="BW127" s="23" t="n">
        <x:f>MAX(0,MIN('Activities'!L127,426)-MAX('Activities'!K127,420))</x:f>
        <x:v>0</x:v>
      </x:c>
      <x:c r="BX127" s="23" t="n">
        <x:f>MAX(0,MIN('Activities'!L127,432)-MAX('Activities'!K127,426))</x:f>
        <x:v>0</x:v>
      </x:c>
      <x:c r="BY127" s="23" t="n">
        <x:f>MAX(0,MIN('Activities'!L127,438)-MAX('Activities'!K127,432))</x:f>
        <x:v>0</x:v>
      </x:c>
      <x:c r="BZ127" s="23" t="n">
        <x:f>MAX(0,MIN('Activities'!L127,444)-MAX('Activities'!K127,438))</x:f>
        <x:v>0</x:v>
      </x:c>
      <x:c r="CA127" s="23" t="n">
        <x:f>MAX(0,MIN('Activities'!L127,450)-MAX('Activities'!K127,444))</x:f>
        <x:v>0</x:v>
      </x:c>
      <x:c r="CB127" s="23" t="n">
        <x:f>MAX(0,MIN('Activities'!L127,456)-MAX('Activities'!K127,450))</x:f>
        <x:v>0</x:v>
      </x:c>
      <x:c r="CC127" s="23" t="n">
        <x:f>MAX(0,MIN('Activities'!L127,462)-MAX('Activities'!K127,456))</x:f>
        <x:v>0</x:v>
      </x:c>
      <x:c r="CD127" s="23" t="n">
        <x:f>MAX(0,MIN('Activities'!L127,468)-MAX('Activities'!K127,462))</x:f>
        <x:v>0</x:v>
      </x:c>
      <x:c r="CE127" s="23" t="n">
        <x:f>MAX(0,MIN('Activities'!L127,474)-MAX('Activities'!K127,468))</x:f>
        <x:v>0</x:v>
      </x:c>
      <x:c r="CF127" s="23" t="n">
        <x:f>MAX(0,MIN('Activities'!L127,480)-MAX('Activities'!K127,474))</x:f>
        <x:v>0</x:v>
      </x:c>
      <x:c r="CG127" s="23" t="n">
        <x:f>MAX(0,MIN('Activities'!L127,486)-MAX('Activities'!K127,480))</x:f>
        <x:v>0</x:v>
      </x:c>
      <x:c r="CH127" s="23" t="n">
        <x:f>MAX(0,MIN('Activities'!L127,492)-MAX('Activities'!K127,486))</x:f>
        <x:v>0</x:v>
      </x:c>
      <x:c r="CI127" s="23" t="n">
        <x:f>MAX(0,MIN('Activities'!L127,498)-MAX('Activities'!K127,492))</x:f>
        <x:v>0</x:v>
      </x:c>
      <x:c r="CJ127" s="23" t="n">
        <x:f>MAX(0,MIN('Activities'!L127,504)-MAX('Activities'!K127,498))</x:f>
        <x:v>0</x:v>
      </x:c>
      <x:c r="CK127" s="23" t="n">
        <x:f>MAX(0,MIN('Activities'!L127,510)-MAX('Activities'!K127,504))</x:f>
        <x:v>0</x:v>
      </x:c>
      <x:c r="CL127" s="23" t="n">
        <x:f>MAX(0,MIN('Activities'!L127,516)-MAX('Activities'!K127,510))</x:f>
        <x:v>0</x:v>
      </x:c>
      <x:c r="CM127" s="23" t="n">
        <x:f>MAX(0,MIN('Activities'!L127,522)-MAX('Activities'!K127,516))</x:f>
        <x:v>0</x:v>
      </x:c>
      <x:c r="CN127" s="23" t="n">
        <x:f>MAX(0,MIN('Activities'!L127,528)-MAX('Activities'!K127,522))</x:f>
        <x:v>0</x:v>
      </x:c>
      <x:c r="CO127" s="23" t="n">
        <x:f>MAX(0,MIN('Activities'!L127,534)-MAX('Activities'!K127,528))</x:f>
        <x:v>0</x:v>
      </x:c>
      <x:c r="CP127" s="23" t="n">
        <x:f>MAX(0,MIN('Activities'!L127,540)-MAX('Activities'!K127,534))</x:f>
        <x:v>0</x:v>
      </x:c>
      <x:c r="CQ127" s="23" t="n">
        <x:f>MAX(0,MIN('Activities'!L127,546)-MAX('Activities'!K127,540))</x:f>
        <x:v>0</x:v>
      </x:c>
      <x:c r="CR127" s="23" t="n">
        <x:f>MAX(0,MIN('Activities'!L127,552)-MAX('Activities'!K127,546))</x:f>
        <x:v>0</x:v>
      </x:c>
      <x:c r="CS127" s="23" t="n">
        <x:f>MAX(0,MIN('Activities'!L127,558)-MAX('Activities'!K127,552))</x:f>
        <x:v>0</x:v>
      </x:c>
      <x:c r="CT127" s="23" t="n">
        <x:f>MAX(0,MIN('Activities'!L127,564)-MAX('Activities'!K127,558))</x:f>
        <x:v>0</x:v>
      </x:c>
      <x:c r="CU127" s="23" t="n">
        <x:f>MAX(0,MIN('Activities'!L127,570)-MAX('Activities'!K127,564))</x:f>
        <x:v>0</x:v>
      </x:c>
      <x:c r="CV127" s="23" t="n">
        <x:f>MAX(0,MIN('Activities'!L127,576)-MAX('Activities'!K127,570))</x:f>
        <x:v>0</x:v>
      </x:c>
      <x:c r="CW127" s="23" t="n">
        <x:f>MAX(0,MIN('Activities'!L127,582)-MAX('Activities'!K127,576))</x:f>
        <x:v>0</x:v>
      </x:c>
      <x:c r="CX127" s="23" t="n">
        <x:f>MAX(0,MIN('Activities'!L127,588)-MAX('Activities'!K127,582))</x:f>
        <x:v>0</x:v>
      </x:c>
      <x:c r="CY127" s="23" t="n">
        <x:f>MAX(0,MIN('Activities'!L127,594)-MAX('Activities'!K127,588))</x:f>
        <x:v>0</x:v>
      </x:c>
      <x:c r="CZ127" s="23" t="n">
        <x:f>MAX(0,MIN('Activities'!L127,600)-MAX('Activities'!K127,594))</x:f>
        <x:v>0</x:v>
      </x:c>
      <x:c r="DA127" s="23" t="n">
        <x:f>MAX(0,MIN('Activities'!L127,606)-MAX('Activities'!K127,600))</x:f>
        <x:v>0</x:v>
      </x:c>
      <x:c r="DB127" s="23" t="n">
        <x:f>MAX(0,MIN('Activities'!L127,612)-MAX('Activities'!K127,606))</x:f>
        <x:v>0</x:v>
      </x:c>
      <x:c r="DC127" s="23" t="n">
        <x:f>MAX(0,MIN('Activities'!L127,618)-MAX('Activities'!K127,612))</x:f>
        <x:v>0</x:v>
      </x:c>
      <x:c r="DD127" s="23" t="n">
        <x:f>MAX(0,MIN('Activities'!L127,624)-MAX('Activities'!K127,618))</x:f>
        <x:v>0</x:v>
      </x:c>
      <x:c r="DE127" s="23" t="n">
        <x:f>MAX(0,MIN('Activities'!L127,630)-MAX('Activities'!K127,624))</x:f>
        <x:v>0</x:v>
      </x:c>
      <x:c r="DF127" s="23" t="n">
        <x:f>MAX(0,MIN('Activities'!L127,636)-MAX('Activities'!K127,630))</x:f>
        <x:v>0</x:v>
      </x:c>
    </x:row>
    <x:row r="128" ht="23" customHeight="1">
      <x:c r="A128" s="6" t="str">
        <x:v>T1-L09-T</x:v>
      </x:c>
      <x:c r="B128" s="6" t="str">
        <x:v>T1</x:v>
      </x:c>
      <x:c r="C128" s="6" t="str">
        <x:v>Floor finishes and skirtings</x:v>
      </x:c>
      <x:c r="D128" s="6" t="str">
        <x:v>Finishes</x:v>
      </x:c>
      <x:c r="E128" s="22" t="n">
        <x:f>MAX(0,MIN('Activities'!L128,6)-MAX('Activities'!K128,0))</x:f>
        <x:v>0</x:v>
      </x:c>
      <x:c r="F128" s="22" t="n">
        <x:f>MAX(0,MIN('Activities'!L128,12)-MAX('Activities'!K128,6))</x:f>
        <x:v>0</x:v>
      </x:c>
      <x:c r="G128" s="22" t="n">
        <x:f>MAX(0,MIN('Activities'!L128,18)-MAX('Activities'!K128,12))</x:f>
        <x:v>0</x:v>
      </x:c>
      <x:c r="H128" s="22" t="n">
        <x:f>MAX(0,MIN('Activities'!L128,24)-MAX('Activities'!K128,18))</x:f>
        <x:v>0</x:v>
      </x:c>
      <x:c r="I128" s="22" t="n">
        <x:f>MAX(0,MIN('Activities'!L128,30)-MAX('Activities'!K128,24))</x:f>
        <x:v>0</x:v>
      </x:c>
      <x:c r="J128" s="22" t="n">
        <x:f>MAX(0,MIN('Activities'!L128,36)-MAX('Activities'!K128,30))</x:f>
        <x:v>0</x:v>
      </x:c>
      <x:c r="K128" s="22" t="n">
        <x:f>MAX(0,MIN('Activities'!L128,42)-MAX('Activities'!K128,36))</x:f>
        <x:v>0</x:v>
      </x:c>
      <x:c r="L128" s="22" t="n">
        <x:f>MAX(0,MIN('Activities'!L128,48)-MAX('Activities'!K128,42))</x:f>
        <x:v>0</x:v>
      </x:c>
      <x:c r="M128" s="22" t="n">
        <x:f>MAX(0,MIN('Activities'!L128,54)-MAX('Activities'!K128,48))</x:f>
        <x:v>0</x:v>
      </x:c>
      <x:c r="N128" s="22" t="n">
        <x:f>MAX(0,MIN('Activities'!L128,60)-MAX('Activities'!K128,54))</x:f>
        <x:v>0</x:v>
      </x:c>
      <x:c r="O128" s="22" t="n">
        <x:f>MAX(0,MIN('Activities'!L128,66)-MAX('Activities'!K128,60))</x:f>
        <x:v>0</x:v>
      </x:c>
      <x:c r="P128" s="22" t="n">
        <x:f>MAX(0,MIN('Activities'!L128,72)-MAX('Activities'!K128,66))</x:f>
        <x:v>0</x:v>
      </x:c>
      <x:c r="Q128" s="22" t="n">
        <x:f>MAX(0,MIN('Activities'!L128,78)-MAX('Activities'!K128,72))</x:f>
        <x:v>0</x:v>
      </x:c>
      <x:c r="R128" s="22" t="n">
        <x:f>MAX(0,MIN('Activities'!L128,84)-MAX('Activities'!K128,78))</x:f>
        <x:v>0</x:v>
      </x:c>
      <x:c r="S128" s="22" t="n">
        <x:f>MAX(0,MIN('Activities'!L128,90)-MAX('Activities'!K128,84))</x:f>
        <x:v>0</x:v>
      </x:c>
      <x:c r="T128" s="22" t="n">
        <x:f>MAX(0,MIN('Activities'!L128,96)-MAX('Activities'!K128,90))</x:f>
        <x:v>0</x:v>
      </x:c>
      <x:c r="U128" s="22" t="n">
        <x:f>MAX(0,MIN('Activities'!L128,102)-MAX('Activities'!K128,96))</x:f>
        <x:v>0</x:v>
      </x:c>
      <x:c r="V128" s="22" t="n">
        <x:f>MAX(0,MIN('Activities'!L128,108)-MAX('Activities'!K128,102))</x:f>
        <x:v>0</x:v>
      </x:c>
      <x:c r="W128" s="22" t="n">
        <x:f>MAX(0,MIN('Activities'!L128,114)-MAX('Activities'!K128,108))</x:f>
        <x:v>0</x:v>
      </x:c>
      <x:c r="X128" s="22" t="n">
        <x:f>MAX(0,MIN('Activities'!L128,120)-MAX('Activities'!K128,114))</x:f>
        <x:v>0</x:v>
      </x:c>
      <x:c r="Y128" s="22" t="n">
        <x:f>MAX(0,MIN('Activities'!L128,126)-MAX('Activities'!K128,120))</x:f>
        <x:v>0</x:v>
      </x:c>
      <x:c r="Z128" s="22" t="n">
        <x:f>MAX(0,MIN('Activities'!L128,132)-MAX('Activities'!K128,126))</x:f>
        <x:v>0</x:v>
      </x:c>
      <x:c r="AA128" s="22" t="n">
        <x:f>MAX(0,MIN('Activities'!L128,138)-MAX('Activities'!K128,132))</x:f>
        <x:v>0</x:v>
      </x:c>
      <x:c r="AB128" s="22" t="n">
        <x:f>MAX(0,MIN('Activities'!L128,144)-MAX('Activities'!K128,138))</x:f>
        <x:v>0</x:v>
      </x:c>
      <x:c r="AC128" s="22" t="n">
        <x:f>MAX(0,MIN('Activities'!L128,150)-MAX('Activities'!K128,144))</x:f>
        <x:v>0</x:v>
      </x:c>
      <x:c r="AD128" s="22" t="n">
        <x:f>MAX(0,MIN('Activities'!L128,156)-MAX('Activities'!K128,150))</x:f>
        <x:v>0</x:v>
      </x:c>
      <x:c r="AE128" s="22" t="n">
        <x:f>MAX(0,MIN('Activities'!L128,162)-MAX('Activities'!K128,156))</x:f>
        <x:v>0</x:v>
      </x:c>
      <x:c r="AF128" s="22" t="n">
        <x:f>MAX(0,MIN('Activities'!L128,168)-MAX('Activities'!K128,162))</x:f>
        <x:v>0</x:v>
      </x:c>
      <x:c r="AG128" s="22" t="n">
        <x:f>MAX(0,MIN('Activities'!L128,174)-MAX('Activities'!K128,168))</x:f>
        <x:v>0</x:v>
      </x:c>
      <x:c r="AH128" s="22" t="n">
        <x:f>MAX(0,MIN('Activities'!L128,180)-MAX('Activities'!K128,174))</x:f>
        <x:v>0</x:v>
      </x:c>
      <x:c r="AI128" s="22" t="n">
        <x:f>MAX(0,MIN('Activities'!L128,186)-MAX('Activities'!K128,180))</x:f>
        <x:v>0</x:v>
      </x:c>
      <x:c r="AJ128" s="22" t="n">
        <x:f>MAX(0,MIN('Activities'!L128,192)-MAX('Activities'!K128,186))</x:f>
        <x:v>0</x:v>
      </x:c>
      <x:c r="AK128" s="22" t="n">
        <x:f>MAX(0,MIN('Activities'!L128,198)-MAX('Activities'!K128,192))</x:f>
        <x:v>0</x:v>
      </x:c>
      <x:c r="AL128" s="22" t="n">
        <x:f>MAX(0,MIN('Activities'!L128,204)-MAX('Activities'!K128,198))</x:f>
        <x:v>0</x:v>
      </x:c>
      <x:c r="AM128" s="22" t="n">
        <x:f>MAX(0,MIN('Activities'!L128,210)-MAX('Activities'!K128,204))</x:f>
        <x:v>0</x:v>
      </x:c>
      <x:c r="AN128" s="22" t="n">
        <x:f>MAX(0,MIN('Activities'!L128,216)-MAX('Activities'!K128,210))</x:f>
        <x:v>0</x:v>
      </x:c>
      <x:c r="AO128" s="22" t="n">
        <x:f>MAX(0,MIN('Activities'!L128,222)-MAX('Activities'!K128,216))</x:f>
        <x:v>0</x:v>
      </x:c>
      <x:c r="AP128" s="22" t="n">
        <x:f>MAX(0,MIN('Activities'!L128,228)-MAX('Activities'!K128,222))</x:f>
        <x:v>0</x:v>
      </x:c>
      <x:c r="AQ128" s="22" t="n">
        <x:f>MAX(0,MIN('Activities'!L128,234)-MAX('Activities'!K128,228))</x:f>
        <x:v>0</x:v>
      </x:c>
      <x:c r="AR128" s="22" t="n">
        <x:f>MAX(0,MIN('Activities'!L128,240)-MAX('Activities'!K128,234))</x:f>
        <x:v>0</x:v>
      </x:c>
      <x:c r="AS128" s="22" t="n">
        <x:f>MAX(0,MIN('Activities'!L128,246)-MAX('Activities'!K128,240))</x:f>
        <x:v>0</x:v>
      </x:c>
      <x:c r="AT128" s="22" t="n">
        <x:f>MAX(0,MIN('Activities'!L128,252)-MAX('Activities'!K128,246))</x:f>
        <x:v>0</x:v>
      </x:c>
      <x:c r="AU128" s="22" t="n">
        <x:f>MAX(0,MIN('Activities'!L128,258)-MAX('Activities'!K128,252))</x:f>
        <x:v>0</x:v>
      </x:c>
      <x:c r="AV128" s="22" t="n">
        <x:f>MAX(0,MIN('Activities'!L128,264)-MAX('Activities'!K128,258))</x:f>
        <x:v>0</x:v>
      </x:c>
      <x:c r="AW128" s="22" t="n">
        <x:f>MAX(0,MIN('Activities'!L128,270)-MAX('Activities'!K128,264))</x:f>
        <x:v>0</x:v>
      </x:c>
      <x:c r="AX128" s="22" t="n">
        <x:f>MAX(0,MIN('Activities'!L128,276)-MAX('Activities'!K128,270))</x:f>
        <x:v>0</x:v>
      </x:c>
      <x:c r="AY128" s="22" t="n">
        <x:f>MAX(0,MIN('Activities'!L128,282)-MAX('Activities'!K128,276))</x:f>
        <x:v>0</x:v>
      </x:c>
      <x:c r="AZ128" s="22" t="n">
        <x:f>MAX(0,MIN('Activities'!L128,288)-MAX('Activities'!K128,282))</x:f>
        <x:v>0</x:v>
      </x:c>
      <x:c r="BA128" s="22" t="n">
        <x:f>MAX(0,MIN('Activities'!L128,294)-MAX('Activities'!K128,288))</x:f>
        <x:v>0</x:v>
      </x:c>
      <x:c r="BB128" s="22" t="n">
        <x:f>MAX(0,MIN('Activities'!L128,300)-MAX('Activities'!K128,294))</x:f>
        <x:v>0</x:v>
      </x:c>
      <x:c r="BC128" s="22" t="n">
        <x:f>MAX(0,MIN('Activities'!L128,306)-MAX('Activities'!K128,300))</x:f>
        <x:v>0</x:v>
      </x:c>
      <x:c r="BD128" s="22" t="n">
        <x:f>MAX(0,MIN('Activities'!L128,312)-MAX('Activities'!K128,306))</x:f>
        <x:v>0</x:v>
      </x:c>
      <x:c r="BE128" s="22" t="n">
        <x:f>MAX(0,MIN('Activities'!L128,318)-MAX('Activities'!K128,312))</x:f>
        <x:v>0</x:v>
      </x:c>
      <x:c r="BF128" s="22" t="n">
        <x:f>MAX(0,MIN('Activities'!L128,324)-MAX('Activities'!K128,318))</x:f>
        <x:v>0</x:v>
      </x:c>
      <x:c r="BG128" s="22" t="n">
        <x:f>MAX(0,MIN('Activities'!L128,330)-MAX('Activities'!K128,324))</x:f>
        <x:v>0</x:v>
      </x:c>
      <x:c r="BH128" s="22" t="n">
        <x:f>MAX(0,MIN('Activities'!L128,336)-MAX('Activities'!K128,330))</x:f>
        <x:v>0</x:v>
      </x:c>
      <x:c r="BI128" s="22" t="n">
        <x:f>MAX(0,MIN('Activities'!L128,342)-MAX('Activities'!K128,336))</x:f>
        <x:v>0</x:v>
      </x:c>
      <x:c r="BJ128" s="22" t="n">
        <x:f>MAX(0,MIN('Activities'!L128,348)-MAX('Activities'!K128,342))</x:f>
        <x:v>0</x:v>
      </x:c>
      <x:c r="BK128" s="22" t="n">
        <x:f>MAX(0,MIN('Activities'!L128,354)-MAX('Activities'!K128,348))</x:f>
        <x:v>0</x:v>
      </x:c>
      <x:c r="BL128" s="22" t="n">
        <x:f>MAX(0,MIN('Activities'!L128,360)-MAX('Activities'!K128,354))</x:f>
        <x:v>0</x:v>
      </x:c>
      <x:c r="BM128" s="22" t="n">
        <x:f>MAX(0,MIN('Activities'!L128,366)-MAX('Activities'!K128,360))</x:f>
        <x:v>0</x:v>
      </x:c>
      <x:c r="BN128" s="22" t="n">
        <x:f>MAX(0,MIN('Activities'!L128,372)-MAX('Activities'!K128,366))</x:f>
        <x:v>0</x:v>
      </x:c>
      <x:c r="BO128" s="22" t="n">
        <x:f>MAX(0,MIN('Activities'!L128,378)-MAX('Activities'!K128,372))</x:f>
        <x:v>0</x:v>
      </x:c>
      <x:c r="BP128" s="22" t="n">
        <x:f>MAX(0,MIN('Activities'!L128,384)-MAX('Activities'!K128,378))</x:f>
        <x:v>0</x:v>
      </x:c>
      <x:c r="BQ128" s="22" t="n">
        <x:f>MAX(0,MIN('Activities'!L128,390)-MAX('Activities'!K128,384))</x:f>
        <x:v>0</x:v>
      </x:c>
      <x:c r="BR128" s="22" t="n">
        <x:f>MAX(0,MIN('Activities'!L128,396)-MAX('Activities'!K128,390))</x:f>
        <x:v>0</x:v>
      </x:c>
      <x:c r="BS128" s="22" t="n">
        <x:f>MAX(0,MIN('Activities'!L128,402)-MAX('Activities'!K128,396))</x:f>
        <x:v>0</x:v>
      </x:c>
      <x:c r="BT128" s="22" t="n">
        <x:f>MAX(0,MIN('Activities'!L128,408)-MAX('Activities'!K128,402))</x:f>
        <x:v>2</x:v>
      </x:c>
      <x:c r="BU128" s="22" t="n">
        <x:f>MAX(0,MIN('Activities'!L128,414)-MAX('Activities'!K128,408))</x:f>
        <x:v>4</x:v>
      </x:c>
      <x:c r="BV128" s="22" t="n">
        <x:f>MAX(0,MIN('Activities'!L128,420)-MAX('Activities'!K128,414))</x:f>
        <x:v>0</x:v>
      </x:c>
      <x:c r="BW128" s="22" t="n">
        <x:f>MAX(0,MIN('Activities'!L128,426)-MAX('Activities'!K128,420))</x:f>
        <x:v>0</x:v>
      </x:c>
      <x:c r="BX128" s="22" t="n">
        <x:f>MAX(0,MIN('Activities'!L128,432)-MAX('Activities'!K128,426))</x:f>
        <x:v>0</x:v>
      </x:c>
      <x:c r="BY128" s="22" t="n">
        <x:f>MAX(0,MIN('Activities'!L128,438)-MAX('Activities'!K128,432))</x:f>
        <x:v>0</x:v>
      </x:c>
      <x:c r="BZ128" s="22" t="n">
        <x:f>MAX(0,MIN('Activities'!L128,444)-MAX('Activities'!K128,438))</x:f>
        <x:v>0</x:v>
      </x:c>
      <x:c r="CA128" s="22" t="n">
        <x:f>MAX(0,MIN('Activities'!L128,450)-MAX('Activities'!K128,444))</x:f>
        <x:v>0</x:v>
      </x:c>
      <x:c r="CB128" s="22" t="n">
        <x:f>MAX(0,MIN('Activities'!L128,456)-MAX('Activities'!K128,450))</x:f>
        <x:v>0</x:v>
      </x:c>
      <x:c r="CC128" s="22" t="n">
        <x:f>MAX(0,MIN('Activities'!L128,462)-MAX('Activities'!K128,456))</x:f>
        <x:v>0</x:v>
      </x:c>
      <x:c r="CD128" s="22" t="n">
        <x:f>MAX(0,MIN('Activities'!L128,468)-MAX('Activities'!K128,462))</x:f>
        <x:v>0</x:v>
      </x:c>
      <x:c r="CE128" s="22" t="n">
        <x:f>MAX(0,MIN('Activities'!L128,474)-MAX('Activities'!K128,468))</x:f>
        <x:v>0</x:v>
      </x:c>
      <x:c r="CF128" s="22" t="n">
        <x:f>MAX(0,MIN('Activities'!L128,480)-MAX('Activities'!K128,474))</x:f>
        <x:v>0</x:v>
      </x:c>
      <x:c r="CG128" s="22" t="n">
        <x:f>MAX(0,MIN('Activities'!L128,486)-MAX('Activities'!K128,480))</x:f>
        <x:v>0</x:v>
      </x:c>
      <x:c r="CH128" s="22" t="n">
        <x:f>MAX(0,MIN('Activities'!L128,492)-MAX('Activities'!K128,486))</x:f>
        <x:v>0</x:v>
      </x:c>
      <x:c r="CI128" s="22" t="n">
        <x:f>MAX(0,MIN('Activities'!L128,498)-MAX('Activities'!K128,492))</x:f>
        <x:v>0</x:v>
      </x:c>
      <x:c r="CJ128" s="22" t="n">
        <x:f>MAX(0,MIN('Activities'!L128,504)-MAX('Activities'!K128,498))</x:f>
        <x:v>0</x:v>
      </x:c>
      <x:c r="CK128" s="22" t="n">
        <x:f>MAX(0,MIN('Activities'!L128,510)-MAX('Activities'!K128,504))</x:f>
        <x:v>0</x:v>
      </x:c>
      <x:c r="CL128" s="22" t="n">
        <x:f>MAX(0,MIN('Activities'!L128,516)-MAX('Activities'!K128,510))</x:f>
        <x:v>0</x:v>
      </x:c>
      <x:c r="CM128" s="22" t="n">
        <x:f>MAX(0,MIN('Activities'!L128,522)-MAX('Activities'!K128,516))</x:f>
        <x:v>0</x:v>
      </x:c>
      <x:c r="CN128" s="22" t="n">
        <x:f>MAX(0,MIN('Activities'!L128,528)-MAX('Activities'!K128,522))</x:f>
        <x:v>0</x:v>
      </x:c>
      <x:c r="CO128" s="22" t="n">
        <x:f>MAX(0,MIN('Activities'!L128,534)-MAX('Activities'!K128,528))</x:f>
        <x:v>0</x:v>
      </x:c>
      <x:c r="CP128" s="22" t="n">
        <x:f>MAX(0,MIN('Activities'!L128,540)-MAX('Activities'!K128,534))</x:f>
        <x:v>0</x:v>
      </x:c>
      <x:c r="CQ128" s="22" t="n">
        <x:f>MAX(0,MIN('Activities'!L128,546)-MAX('Activities'!K128,540))</x:f>
        <x:v>0</x:v>
      </x:c>
      <x:c r="CR128" s="22" t="n">
        <x:f>MAX(0,MIN('Activities'!L128,552)-MAX('Activities'!K128,546))</x:f>
        <x:v>0</x:v>
      </x:c>
      <x:c r="CS128" s="22" t="n">
        <x:f>MAX(0,MIN('Activities'!L128,558)-MAX('Activities'!K128,552))</x:f>
        <x:v>0</x:v>
      </x:c>
      <x:c r="CT128" s="22" t="n">
        <x:f>MAX(0,MIN('Activities'!L128,564)-MAX('Activities'!K128,558))</x:f>
        <x:v>0</x:v>
      </x:c>
      <x:c r="CU128" s="22" t="n">
        <x:f>MAX(0,MIN('Activities'!L128,570)-MAX('Activities'!K128,564))</x:f>
        <x:v>0</x:v>
      </x:c>
      <x:c r="CV128" s="22" t="n">
        <x:f>MAX(0,MIN('Activities'!L128,576)-MAX('Activities'!K128,570))</x:f>
        <x:v>0</x:v>
      </x:c>
      <x:c r="CW128" s="22" t="n">
        <x:f>MAX(0,MIN('Activities'!L128,582)-MAX('Activities'!K128,576))</x:f>
        <x:v>0</x:v>
      </x:c>
      <x:c r="CX128" s="22" t="n">
        <x:f>MAX(0,MIN('Activities'!L128,588)-MAX('Activities'!K128,582))</x:f>
        <x:v>0</x:v>
      </x:c>
      <x:c r="CY128" s="22" t="n">
        <x:f>MAX(0,MIN('Activities'!L128,594)-MAX('Activities'!K128,588))</x:f>
        <x:v>0</x:v>
      </x:c>
      <x:c r="CZ128" s="22" t="n">
        <x:f>MAX(0,MIN('Activities'!L128,600)-MAX('Activities'!K128,594))</x:f>
        <x:v>0</x:v>
      </x:c>
      <x:c r="DA128" s="22" t="n">
        <x:f>MAX(0,MIN('Activities'!L128,606)-MAX('Activities'!K128,600))</x:f>
        <x:v>0</x:v>
      </x:c>
      <x:c r="DB128" s="22" t="n">
        <x:f>MAX(0,MIN('Activities'!L128,612)-MAX('Activities'!K128,606))</x:f>
        <x:v>0</x:v>
      </x:c>
      <x:c r="DC128" s="22" t="n">
        <x:f>MAX(0,MIN('Activities'!L128,618)-MAX('Activities'!K128,612))</x:f>
        <x:v>0</x:v>
      </x:c>
      <x:c r="DD128" s="22" t="n">
        <x:f>MAX(0,MIN('Activities'!L128,624)-MAX('Activities'!K128,618))</x:f>
        <x:v>0</x:v>
      </x:c>
      <x:c r="DE128" s="22" t="n">
        <x:f>MAX(0,MIN('Activities'!L128,630)-MAX('Activities'!K128,624))</x:f>
        <x:v>0</x:v>
      </x:c>
      <x:c r="DF128" s="22" t="n">
        <x:f>MAX(0,MIN('Activities'!L128,636)-MAX('Activities'!K128,630))</x:f>
        <x:v>0</x:v>
      </x:c>
    </x:row>
    <x:row r="129" ht="23" customHeight="1">
      <x:c r="A129" s="1" t="str">
        <x:v>T1-L09-A</x:v>
      </x:c>
      <x:c r="B129" s="1" t="str">
        <x:v>T1</x:v>
      </x:c>
      <x:c r="C129" s="1" t="str">
        <x:v>Paint and final decorations</x:v>
      </x:c>
      <x:c r="D129" s="1" t="str">
        <x:v>Finishes</x:v>
      </x:c>
      <x:c r="E129" s="23" t="n">
        <x:f>MAX(0,MIN('Activities'!L129,6)-MAX('Activities'!K129,0))</x:f>
        <x:v>0</x:v>
      </x:c>
      <x:c r="F129" s="23" t="n">
        <x:f>MAX(0,MIN('Activities'!L129,12)-MAX('Activities'!K129,6))</x:f>
        <x:v>0</x:v>
      </x:c>
      <x:c r="G129" s="23" t="n">
        <x:f>MAX(0,MIN('Activities'!L129,18)-MAX('Activities'!K129,12))</x:f>
        <x:v>0</x:v>
      </x:c>
      <x:c r="H129" s="23" t="n">
        <x:f>MAX(0,MIN('Activities'!L129,24)-MAX('Activities'!K129,18))</x:f>
        <x:v>0</x:v>
      </x:c>
      <x:c r="I129" s="23" t="n">
        <x:f>MAX(0,MIN('Activities'!L129,30)-MAX('Activities'!K129,24))</x:f>
        <x:v>0</x:v>
      </x:c>
      <x:c r="J129" s="23" t="n">
        <x:f>MAX(0,MIN('Activities'!L129,36)-MAX('Activities'!K129,30))</x:f>
        <x:v>0</x:v>
      </x:c>
      <x:c r="K129" s="23" t="n">
        <x:f>MAX(0,MIN('Activities'!L129,42)-MAX('Activities'!K129,36))</x:f>
        <x:v>0</x:v>
      </x:c>
      <x:c r="L129" s="23" t="n">
        <x:f>MAX(0,MIN('Activities'!L129,48)-MAX('Activities'!K129,42))</x:f>
        <x:v>0</x:v>
      </x:c>
      <x:c r="M129" s="23" t="n">
        <x:f>MAX(0,MIN('Activities'!L129,54)-MAX('Activities'!K129,48))</x:f>
        <x:v>0</x:v>
      </x:c>
      <x:c r="N129" s="23" t="n">
        <x:f>MAX(0,MIN('Activities'!L129,60)-MAX('Activities'!K129,54))</x:f>
        <x:v>0</x:v>
      </x:c>
      <x:c r="O129" s="23" t="n">
        <x:f>MAX(0,MIN('Activities'!L129,66)-MAX('Activities'!K129,60))</x:f>
        <x:v>0</x:v>
      </x:c>
      <x:c r="P129" s="23" t="n">
        <x:f>MAX(0,MIN('Activities'!L129,72)-MAX('Activities'!K129,66))</x:f>
        <x:v>0</x:v>
      </x:c>
      <x:c r="Q129" s="23" t="n">
        <x:f>MAX(0,MIN('Activities'!L129,78)-MAX('Activities'!K129,72))</x:f>
        <x:v>0</x:v>
      </x:c>
      <x:c r="R129" s="23" t="n">
        <x:f>MAX(0,MIN('Activities'!L129,84)-MAX('Activities'!K129,78))</x:f>
        <x:v>0</x:v>
      </x:c>
      <x:c r="S129" s="23" t="n">
        <x:f>MAX(0,MIN('Activities'!L129,90)-MAX('Activities'!K129,84))</x:f>
        <x:v>0</x:v>
      </x:c>
      <x:c r="T129" s="23" t="n">
        <x:f>MAX(0,MIN('Activities'!L129,96)-MAX('Activities'!K129,90))</x:f>
        <x:v>0</x:v>
      </x:c>
      <x:c r="U129" s="23" t="n">
        <x:f>MAX(0,MIN('Activities'!L129,102)-MAX('Activities'!K129,96))</x:f>
        <x:v>0</x:v>
      </x:c>
      <x:c r="V129" s="23" t="n">
        <x:f>MAX(0,MIN('Activities'!L129,108)-MAX('Activities'!K129,102))</x:f>
        <x:v>0</x:v>
      </x:c>
      <x:c r="W129" s="23" t="n">
        <x:f>MAX(0,MIN('Activities'!L129,114)-MAX('Activities'!K129,108))</x:f>
        <x:v>0</x:v>
      </x:c>
      <x:c r="X129" s="23" t="n">
        <x:f>MAX(0,MIN('Activities'!L129,120)-MAX('Activities'!K129,114))</x:f>
        <x:v>0</x:v>
      </x:c>
      <x:c r="Y129" s="23" t="n">
        <x:f>MAX(0,MIN('Activities'!L129,126)-MAX('Activities'!K129,120))</x:f>
        <x:v>0</x:v>
      </x:c>
      <x:c r="Z129" s="23" t="n">
        <x:f>MAX(0,MIN('Activities'!L129,132)-MAX('Activities'!K129,126))</x:f>
        <x:v>0</x:v>
      </x:c>
      <x:c r="AA129" s="23" t="n">
        <x:f>MAX(0,MIN('Activities'!L129,138)-MAX('Activities'!K129,132))</x:f>
        <x:v>0</x:v>
      </x:c>
      <x:c r="AB129" s="23" t="n">
        <x:f>MAX(0,MIN('Activities'!L129,144)-MAX('Activities'!K129,138))</x:f>
        <x:v>0</x:v>
      </x:c>
      <x:c r="AC129" s="23" t="n">
        <x:f>MAX(0,MIN('Activities'!L129,150)-MAX('Activities'!K129,144))</x:f>
        <x:v>0</x:v>
      </x:c>
      <x:c r="AD129" s="23" t="n">
        <x:f>MAX(0,MIN('Activities'!L129,156)-MAX('Activities'!K129,150))</x:f>
        <x:v>0</x:v>
      </x:c>
      <x:c r="AE129" s="23" t="n">
        <x:f>MAX(0,MIN('Activities'!L129,162)-MAX('Activities'!K129,156))</x:f>
        <x:v>0</x:v>
      </x:c>
      <x:c r="AF129" s="23" t="n">
        <x:f>MAX(0,MIN('Activities'!L129,168)-MAX('Activities'!K129,162))</x:f>
        <x:v>0</x:v>
      </x:c>
      <x:c r="AG129" s="23" t="n">
        <x:f>MAX(0,MIN('Activities'!L129,174)-MAX('Activities'!K129,168))</x:f>
        <x:v>0</x:v>
      </x:c>
      <x:c r="AH129" s="23" t="n">
        <x:f>MAX(0,MIN('Activities'!L129,180)-MAX('Activities'!K129,174))</x:f>
        <x:v>0</x:v>
      </x:c>
      <x:c r="AI129" s="23" t="n">
        <x:f>MAX(0,MIN('Activities'!L129,186)-MAX('Activities'!K129,180))</x:f>
        <x:v>0</x:v>
      </x:c>
      <x:c r="AJ129" s="23" t="n">
        <x:f>MAX(0,MIN('Activities'!L129,192)-MAX('Activities'!K129,186))</x:f>
        <x:v>0</x:v>
      </x:c>
      <x:c r="AK129" s="23" t="n">
        <x:f>MAX(0,MIN('Activities'!L129,198)-MAX('Activities'!K129,192))</x:f>
        <x:v>0</x:v>
      </x:c>
      <x:c r="AL129" s="23" t="n">
        <x:f>MAX(0,MIN('Activities'!L129,204)-MAX('Activities'!K129,198))</x:f>
        <x:v>0</x:v>
      </x:c>
      <x:c r="AM129" s="23" t="n">
        <x:f>MAX(0,MIN('Activities'!L129,210)-MAX('Activities'!K129,204))</x:f>
        <x:v>0</x:v>
      </x:c>
      <x:c r="AN129" s="23" t="n">
        <x:f>MAX(0,MIN('Activities'!L129,216)-MAX('Activities'!K129,210))</x:f>
        <x:v>0</x:v>
      </x:c>
      <x:c r="AO129" s="23" t="n">
        <x:f>MAX(0,MIN('Activities'!L129,222)-MAX('Activities'!K129,216))</x:f>
        <x:v>0</x:v>
      </x:c>
      <x:c r="AP129" s="23" t="n">
        <x:f>MAX(0,MIN('Activities'!L129,228)-MAX('Activities'!K129,222))</x:f>
        <x:v>0</x:v>
      </x:c>
      <x:c r="AQ129" s="23" t="n">
        <x:f>MAX(0,MIN('Activities'!L129,234)-MAX('Activities'!K129,228))</x:f>
        <x:v>0</x:v>
      </x:c>
      <x:c r="AR129" s="23" t="n">
        <x:f>MAX(0,MIN('Activities'!L129,240)-MAX('Activities'!K129,234))</x:f>
        <x:v>0</x:v>
      </x:c>
      <x:c r="AS129" s="23" t="n">
        <x:f>MAX(0,MIN('Activities'!L129,246)-MAX('Activities'!K129,240))</x:f>
        <x:v>0</x:v>
      </x:c>
      <x:c r="AT129" s="23" t="n">
        <x:f>MAX(0,MIN('Activities'!L129,252)-MAX('Activities'!K129,246))</x:f>
        <x:v>0</x:v>
      </x:c>
      <x:c r="AU129" s="23" t="n">
        <x:f>MAX(0,MIN('Activities'!L129,258)-MAX('Activities'!K129,252))</x:f>
        <x:v>0</x:v>
      </x:c>
      <x:c r="AV129" s="23" t="n">
        <x:f>MAX(0,MIN('Activities'!L129,264)-MAX('Activities'!K129,258))</x:f>
        <x:v>0</x:v>
      </x:c>
      <x:c r="AW129" s="23" t="n">
        <x:f>MAX(0,MIN('Activities'!L129,270)-MAX('Activities'!K129,264))</x:f>
        <x:v>0</x:v>
      </x:c>
      <x:c r="AX129" s="23" t="n">
        <x:f>MAX(0,MIN('Activities'!L129,276)-MAX('Activities'!K129,270))</x:f>
        <x:v>0</x:v>
      </x:c>
      <x:c r="AY129" s="23" t="n">
        <x:f>MAX(0,MIN('Activities'!L129,282)-MAX('Activities'!K129,276))</x:f>
        <x:v>0</x:v>
      </x:c>
      <x:c r="AZ129" s="23" t="n">
        <x:f>MAX(0,MIN('Activities'!L129,288)-MAX('Activities'!K129,282))</x:f>
        <x:v>0</x:v>
      </x:c>
      <x:c r="BA129" s="23" t="n">
        <x:f>MAX(0,MIN('Activities'!L129,294)-MAX('Activities'!K129,288))</x:f>
        <x:v>0</x:v>
      </x:c>
      <x:c r="BB129" s="23" t="n">
        <x:f>MAX(0,MIN('Activities'!L129,300)-MAX('Activities'!K129,294))</x:f>
        <x:v>0</x:v>
      </x:c>
      <x:c r="BC129" s="23" t="n">
        <x:f>MAX(0,MIN('Activities'!L129,306)-MAX('Activities'!K129,300))</x:f>
        <x:v>0</x:v>
      </x:c>
      <x:c r="BD129" s="23" t="n">
        <x:f>MAX(0,MIN('Activities'!L129,312)-MAX('Activities'!K129,306))</x:f>
        <x:v>0</x:v>
      </x:c>
      <x:c r="BE129" s="23" t="n">
        <x:f>MAX(0,MIN('Activities'!L129,318)-MAX('Activities'!K129,312))</x:f>
        <x:v>0</x:v>
      </x:c>
      <x:c r="BF129" s="23" t="n">
        <x:f>MAX(0,MIN('Activities'!L129,324)-MAX('Activities'!K129,318))</x:f>
        <x:v>0</x:v>
      </x:c>
      <x:c r="BG129" s="23" t="n">
        <x:f>MAX(0,MIN('Activities'!L129,330)-MAX('Activities'!K129,324))</x:f>
        <x:v>0</x:v>
      </x:c>
      <x:c r="BH129" s="23" t="n">
        <x:f>MAX(0,MIN('Activities'!L129,336)-MAX('Activities'!K129,330))</x:f>
        <x:v>0</x:v>
      </x:c>
      <x:c r="BI129" s="23" t="n">
        <x:f>MAX(0,MIN('Activities'!L129,342)-MAX('Activities'!K129,336))</x:f>
        <x:v>0</x:v>
      </x:c>
      <x:c r="BJ129" s="23" t="n">
        <x:f>MAX(0,MIN('Activities'!L129,348)-MAX('Activities'!K129,342))</x:f>
        <x:v>0</x:v>
      </x:c>
      <x:c r="BK129" s="23" t="n">
        <x:f>MAX(0,MIN('Activities'!L129,354)-MAX('Activities'!K129,348))</x:f>
        <x:v>0</x:v>
      </x:c>
      <x:c r="BL129" s="23" t="n">
        <x:f>MAX(0,MIN('Activities'!L129,360)-MAX('Activities'!K129,354))</x:f>
        <x:v>0</x:v>
      </x:c>
      <x:c r="BM129" s="23" t="n">
        <x:f>MAX(0,MIN('Activities'!L129,366)-MAX('Activities'!K129,360))</x:f>
        <x:v>0</x:v>
      </x:c>
      <x:c r="BN129" s="23" t="n">
        <x:f>MAX(0,MIN('Activities'!L129,372)-MAX('Activities'!K129,366))</x:f>
        <x:v>0</x:v>
      </x:c>
      <x:c r="BO129" s="23" t="n">
        <x:f>MAX(0,MIN('Activities'!L129,378)-MAX('Activities'!K129,372))</x:f>
        <x:v>0</x:v>
      </x:c>
      <x:c r="BP129" s="23" t="n">
        <x:f>MAX(0,MIN('Activities'!L129,384)-MAX('Activities'!K129,378))</x:f>
        <x:v>0</x:v>
      </x:c>
      <x:c r="BQ129" s="23" t="n">
        <x:f>MAX(0,MIN('Activities'!L129,390)-MAX('Activities'!K129,384))</x:f>
        <x:v>0</x:v>
      </x:c>
      <x:c r="BR129" s="23" t="n">
        <x:f>MAX(0,MIN('Activities'!L129,396)-MAX('Activities'!K129,390))</x:f>
        <x:v>0</x:v>
      </x:c>
      <x:c r="BS129" s="23" t="n">
        <x:f>MAX(0,MIN('Activities'!L129,402)-MAX('Activities'!K129,396))</x:f>
        <x:v>0</x:v>
      </x:c>
      <x:c r="BT129" s="23" t="n">
        <x:f>MAX(0,MIN('Activities'!L129,408)-MAX('Activities'!K129,402))</x:f>
        <x:v>0</x:v>
      </x:c>
      <x:c r="BU129" s="23" t="n">
        <x:f>MAX(0,MIN('Activities'!L129,414)-MAX('Activities'!K129,408))</x:f>
        <x:v>0</x:v>
      </x:c>
      <x:c r="BV129" s="23" t="n">
        <x:f>MAX(0,MIN('Activities'!L129,420)-MAX('Activities'!K129,414))</x:f>
        <x:v>5</x:v>
      </x:c>
      <x:c r="BW129" s="23" t="n">
        <x:f>MAX(0,MIN('Activities'!L129,426)-MAX('Activities'!K129,420))</x:f>
        <x:v>0</x:v>
      </x:c>
      <x:c r="BX129" s="23" t="n">
        <x:f>MAX(0,MIN('Activities'!L129,432)-MAX('Activities'!K129,426))</x:f>
        <x:v>0</x:v>
      </x:c>
      <x:c r="BY129" s="23" t="n">
        <x:f>MAX(0,MIN('Activities'!L129,438)-MAX('Activities'!K129,432))</x:f>
        <x:v>0</x:v>
      </x:c>
      <x:c r="BZ129" s="23" t="n">
        <x:f>MAX(0,MIN('Activities'!L129,444)-MAX('Activities'!K129,438))</x:f>
        <x:v>0</x:v>
      </x:c>
      <x:c r="CA129" s="23" t="n">
        <x:f>MAX(0,MIN('Activities'!L129,450)-MAX('Activities'!K129,444))</x:f>
        <x:v>0</x:v>
      </x:c>
      <x:c r="CB129" s="23" t="n">
        <x:f>MAX(0,MIN('Activities'!L129,456)-MAX('Activities'!K129,450))</x:f>
        <x:v>0</x:v>
      </x:c>
      <x:c r="CC129" s="23" t="n">
        <x:f>MAX(0,MIN('Activities'!L129,462)-MAX('Activities'!K129,456))</x:f>
        <x:v>0</x:v>
      </x:c>
      <x:c r="CD129" s="23" t="n">
        <x:f>MAX(0,MIN('Activities'!L129,468)-MAX('Activities'!K129,462))</x:f>
        <x:v>0</x:v>
      </x:c>
      <x:c r="CE129" s="23" t="n">
        <x:f>MAX(0,MIN('Activities'!L129,474)-MAX('Activities'!K129,468))</x:f>
        <x:v>0</x:v>
      </x:c>
      <x:c r="CF129" s="23" t="n">
        <x:f>MAX(0,MIN('Activities'!L129,480)-MAX('Activities'!K129,474))</x:f>
        <x:v>0</x:v>
      </x:c>
      <x:c r="CG129" s="23" t="n">
        <x:f>MAX(0,MIN('Activities'!L129,486)-MAX('Activities'!K129,480))</x:f>
        <x:v>0</x:v>
      </x:c>
      <x:c r="CH129" s="23" t="n">
        <x:f>MAX(0,MIN('Activities'!L129,492)-MAX('Activities'!K129,486))</x:f>
        <x:v>0</x:v>
      </x:c>
      <x:c r="CI129" s="23" t="n">
        <x:f>MAX(0,MIN('Activities'!L129,498)-MAX('Activities'!K129,492))</x:f>
        <x:v>0</x:v>
      </x:c>
      <x:c r="CJ129" s="23" t="n">
        <x:f>MAX(0,MIN('Activities'!L129,504)-MAX('Activities'!K129,498))</x:f>
        <x:v>0</x:v>
      </x:c>
      <x:c r="CK129" s="23" t="n">
        <x:f>MAX(0,MIN('Activities'!L129,510)-MAX('Activities'!K129,504))</x:f>
        <x:v>0</x:v>
      </x:c>
      <x:c r="CL129" s="23" t="n">
        <x:f>MAX(0,MIN('Activities'!L129,516)-MAX('Activities'!K129,510))</x:f>
        <x:v>0</x:v>
      </x:c>
      <x:c r="CM129" s="23" t="n">
        <x:f>MAX(0,MIN('Activities'!L129,522)-MAX('Activities'!K129,516))</x:f>
        <x:v>0</x:v>
      </x:c>
      <x:c r="CN129" s="23" t="n">
        <x:f>MAX(0,MIN('Activities'!L129,528)-MAX('Activities'!K129,522))</x:f>
        <x:v>0</x:v>
      </x:c>
      <x:c r="CO129" s="23" t="n">
        <x:f>MAX(0,MIN('Activities'!L129,534)-MAX('Activities'!K129,528))</x:f>
        <x:v>0</x:v>
      </x:c>
      <x:c r="CP129" s="23" t="n">
        <x:f>MAX(0,MIN('Activities'!L129,540)-MAX('Activities'!K129,534))</x:f>
        <x:v>0</x:v>
      </x:c>
      <x:c r="CQ129" s="23" t="n">
        <x:f>MAX(0,MIN('Activities'!L129,546)-MAX('Activities'!K129,540))</x:f>
        <x:v>0</x:v>
      </x:c>
      <x:c r="CR129" s="23" t="n">
        <x:f>MAX(0,MIN('Activities'!L129,552)-MAX('Activities'!K129,546))</x:f>
        <x:v>0</x:v>
      </x:c>
      <x:c r="CS129" s="23" t="n">
        <x:f>MAX(0,MIN('Activities'!L129,558)-MAX('Activities'!K129,552))</x:f>
        <x:v>0</x:v>
      </x:c>
      <x:c r="CT129" s="23" t="n">
        <x:f>MAX(0,MIN('Activities'!L129,564)-MAX('Activities'!K129,558))</x:f>
        <x:v>0</x:v>
      </x:c>
      <x:c r="CU129" s="23" t="n">
        <x:f>MAX(0,MIN('Activities'!L129,570)-MAX('Activities'!K129,564))</x:f>
        <x:v>0</x:v>
      </x:c>
      <x:c r="CV129" s="23" t="n">
        <x:f>MAX(0,MIN('Activities'!L129,576)-MAX('Activities'!K129,570))</x:f>
        <x:v>0</x:v>
      </x:c>
      <x:c r="CW129" s="23" t="n">
        <x:f>MAX(0,MIN('Activities'!L129,582)-MAX('Activities'!K129,576))</x:f>
        <x:v>0</x:v>
      </x:c>
      <x:c r="CX129" s="23" t="n">
        <x:f>MAX(0,MIN('Activities'!L129,588)-MAX('Activities'!K129,582))</x:f>
        <x:v>0</x:v>
      </x:c>
      <x:c r="CY129" s="23" t="n">
        <x:f>MAX(0,MIN('Activities'!L129,594)-MAX('Activities'!K129,588))</x:f>
        <x:v>0</x:v>
      </x:c>
      <x:c r="CZ129" s="23" t="n">
        <x:f>MAX(0,MIN('Activities'!L129,600)-MAX('Activities'!K129,594))</x:f>
        <x:v>0</x:v>
      </x:c>
      <x:c r="DA129" s="23" t="n">
        <x:f>MAX(0,MIN('Activities'!L129,606)-MAX('Activities'!K129,600))</x:f>
        <x:v>0</x:v>
      </x:c>
      <x:c r="DB129" s="23" t="n">
        <x:f>MAX(0,MIN('Activities'!L129,612)-MAX('Activities'!K129,606))</x:f>
        <x:v>0</x:v>
      </x:c>
      <x:c r="DC129" s="23" t="n">
        <x:f>MAX(0,MIN('Activities'!L129,618)-MAX('Activities'!K129,612))</x:f>
        <x:v>0</x:v>
      </x:c>
      <x:c r="DD129" s="23" t="n">
        <x:f>MAX(0,MIN('Activities'!L129,624)-MAX('Activities'!K129,618))</x:f>
        <x:v>0</x:v>
      </x:c>
      <x:c r="DE129" s="23" t="n">
        <x:f>MAX(0,MIN('Activities'!L129,630)-MAX('Activities'!K129,624))</x:f>
        <x:v>0</x:v>
      </x:c>
      <x:c r="DF129" s="23" t="n">
        <x:f>MAX(0,MIN('Activities'!L129,636)-MAX('Activities'!K129,630))</x:f>
        <x:v>0</x:v>
      </x:c>
    </x:row>
    <x:row r="130" ht="23" customHeight="1">
      <x:c r="A130" s="6" t="str">
        <x:v>T1-L09-D</x:v>
      </x:c>
      <x:c r="B130" s="6" t="str">
        <x:v>T1</x:v>
      </x:c>
      <x:c r="C130" s="6" t="str">
        <x:v>Door sets and ironmongery</x:v>
      </x:c>
      <x:c r="D130" s="6" t="str">
        <x:v>Finishes</x:v>
      </x:c>
      <x:c r="E130" s="22" t="n">
        <x:f>MAX(0,MIN('Activities'!L130,6)-MAX('Activities'!K130,0))</x:f>
        <x:v>0</x:v>
      </x:c>
      <x:c r="F130" s="22" t="n">
        <x:f>MAX(0,MIN('Activities'!L130,12)-MAX('Activities'!K130,6))</x:f>
        <x:v>0</x:v>
      </x:c>
      <x:c r="G130" s="22" t="n">
        <x:f>MAX(0,MIN('Activities'!L130,18)-MAX('Activities'!K130,12))</x:f>
        <x:v>0</x:v>
      </x:c>
      <x:c r="H130" s="22" t="n">
        <x:f>MAX(0,MIN('Activities'!L130,24)-MAX('Activities'!K130,18))</x:f>
        <x:v>0</x:v>
      </x:c>
      <x:c r="I130" s="22" t="n">
        <x:f>MAX(0,MIN('Activities'!L130,30)-MAX('Activities'!K130,24))</x:f>
        <x:v>0</x:v>
      </x:c>
      <x:c r="J130" s="22" t="n">
        <x:f>MAX(0,MIN('Activities'!L130,36)-MAX('Activities'!K130,30))</x:f>
        <x:v>0</x:v>
      </x:c>
      <x:c r="K130" s="22" t="n">
        <x:f>MAX(0,MIN('Activities'!L130,42)-MAX('Activities'!K130,36))</x:f>
        <x:v>0</x:v>
      </x:c>
      <x:c r="L130" s="22" t="n">
        <x:f>MAX(0,MIN('Activities'!L130,48)-MAX('Activities'!K130,42))</x:f>
        <x:v>0</x:v>
      </x:c>
      <x:c r="M130" s="22" t="n">
        <x:f>MAX(0,MIN('Activities'!L130,54)-MAX('Activities'!K130,48))</x:f>
        <x:v>0</x:v>
      </x:c>
      <x:c r="N130" s="22" t="n">
        <x:f>MAX(0,MIN('Activities'!L130,60)-MAX('Activities'!K130,54))</x:f>
        <x:v>0</x:v>
      </x:c>
      <x:c r="O130" s="22" t="n">
        <x:f>MAX(0,MIN('Activities'!L130,66)-MAX('Activities'!K130,60))</x:f>
        <x:v>0</x:v>
      </x:c>
      <x:c r="P130" s="22" t="n">
        <x:f>MAX(0,MIN('Activities'!L130,72)-MAX('Activities'!K130,66))</x:f>
        <x:v>0</x:v>
      </x:c>
      <x:c r="Q130" s="22" t="n">
        <x:f>MAX(0,MIN('Activities'!L130,78)-MAX('Activities'!K130,72))</x:f>
        <x:v>0</x:v>
      </x:c>
      <x:c r="R130" s="22" t="n">
        <x:f>MAX(0,MIN('Activities'!L130,84)-MAX('Activities'!K130,78))</x:f>
        <x:v>0</x:v>
      </x:c>
      <x:c r="S130" s="22" t="n">
        <x:f>MAX(0,MIN('Activities'!L130,90)-MAX('Activities'!K130,84))</x:f>
        <x:v>0</x:v>
      </x:c>
      <x:c r="T130" s="22" t="n">
        <x:f>MAX(0,MIN('Activities'!L130,96)-MAX('Activities'!K130,90))</x:f>
        <x:v>0</x:v>
      </x:c>
      <x:c r="U130" s="22" t="n">
        <x:f>MAX(0,MIN('Activities'!L130,102)-MAX('Activities'!K130,96))</x:f>
        <x:v>0</x:v>
      </x:c>
      <x:c r="V130" s="22" t="n">
        <x:f>MAX(0,MIN('Activities'!L130,108)-MAX('Activities'!K130,102))</x:f>
        <x:v>0</x:v>
      </x:c>
      <x:c r="W130" s="22" t="n">
        <x:f>MAX(0,MIN('Activities'!L130,114)-MAX('Activities'!K130,108))</x:f>
        <x:v>0</x:v>
      </x:c>
      <x:c r="X130" s="22" t="n">
        <x:f>MAX(0,MIN('Activities'!L130,120)-MAX('Activities'!K130,114))</x:f>
        <x:v>0</x:v>
      </x:c>
      <x:c r="Y130" s="22" t="n">
        <x:f>MAX(0,MIN('Activities'!L130,126)-MAX('Activities'!K130,120))</x:f>
        <x:v>0</x:v>
      </x:c>
      <x:c r="Z130" s="22" t="n">
        <x:f>MAX(0,MIN('Activities'!L130,132)-MAX('Activities'!K130,126))</x:f>
        <x:v>0</x:v>
      </x:c>
      <x:c r="AA130" s="22" t="n">
        <x:f>MAX(0,MIN('Activities'!L130,138)-MAX('Activities'!K130,132))</x:f>
        <x:v>0</x:v>
      </x:c>
      <x:c r="AB130" s="22" t="n">
        <x:f>MAX(0,MIN('Activities'!L130,144)-MAX('Activities'!K130,138))</x:f>
        <x:v>0</x:v>
      </x:c>
      <x:c r="AC130" s="22" t="n">
        <x:f>MAX(0,MIN('Activities'!L130,150)-MAX('Activities'!K130,144))</x:f>
        <x:v>0</x:v>
      </x:c>
      <x:c r="AD130" s="22" t="n">
        <x:f>MAX(0,MIN('Activities'!L130,156)-MAX('Activities'!K130,150))</x:f>
        <x:v>0</x:v>
      </x:c>
      <x:c r="AE130" s="22" t="n">
        <x:f>MAX(0,MIN('Activities'!L130,162)-MAX('Activities'!K130,156))</x:f>
        <x:v>0</x:v>
      </x:c>
      <x:c r="AF130" s="22" t="n">
        <x:f>MAX(0,MIN('Activities'!L130,168)-MAX('Activities'!K130,162))</x:f>
        <x:v>0</x:v>
      </x:c>
      <x:c r="AG130" s="22" t="n">
        <x:f>MAX(0,MIN('Activities'!L130,174)-MAX('Activities'!K130,168))</x:f>
        <x:v>0</x:v>
      </x:c>
      <x:c r="AH130" s="22" t="n">
        <x:f>MAX(0,MIN('Activities'!L130,180)-MAX('Activities'!K130,174))</x:f>
        <x:v>0</x:v>
      </x:c>
      <x:c r="AI130" s="22" t="n">
        <x:f>MAX(0,MIN('Activities'!L130,186)-MAX('Activities'!K130,180))</x:f>
        <x:v>0</x:v>
      </x:c>
      <x:c r="AJ130" s="22" t="n">
        <x:f>MAX(0,MIN('Activities'!L130,192)-MAX('Activities'!K130,186))</x:f>
        <x:v>0</x:v>
      </x:c>
      <x:c r="AK130" s="22" t="n">
        <x:f>MAX(0,MIN('Activities'!L130,198)-MAX('Activities'!K130,192))</x:f>
        <x:v>0</x:v>
      </x:c>
      <x:c r="AL130" s="22" t="n">
        <x:f>MAX(0,MIN('Activities'!L130,204)-MAX('Activities'!K130,198))</x:f>
        <x:v>0</x:v>
      </x:c>
      <x:c r="AM130" s="22" t="n">
        <x:f>MAX(0,MIN('Activities'!L130,210)-MAX('Activities'!K130,204))</x:f>
        <x:v>0</x:v>
      </x:c>
      <x:c r="AN130" s="22" t="n">
        <x:f>MAX(0,MIN('Activities'!L130,216)-MAX('Activities'!K130,210))</x:f>
        <x:v>0</x:v>
      </x:c>
      <x:c r="AO130" s="22" t="n">
        <x:f>MAX(0,MIN('Activities'!L130,222)-MAX('Activities'!K130,216))</x:f>
        <x:v>0</x:v>
      </x:c>
      <x:c r="AP130" s="22" t="n">
        <x:f>MAX(0,MIN('Activities'!L130,228)-MAX('Activities'!K130,222))</x:f>
        <x:v>0</x:v>
      </x:c>
      <x:c r="AQ130" s="22" t="n">
        <x:f>MAX(0,MIN('Activities'!L130,234)-MAX('Activities'!K130,228))</x:f>
        <x:v>0</x:v>
      </x:c>
      <x:c r="AR130" s="22" t="n">
        <x:f>MAX(0,MIN('Activities'!L130,240)-MAX('Activities'!K130,234))</x:f>
        <x:v>0</x:v>
      </x:c>
      <x:c r="AS130" s="22" t="n">
        <x:f>MAX(0,MIN('Activities'!L130,246)-MAX('Activities'!K130,240))</x:f>
        <x:v>0</x:v>
      </x:c>
      <x:c r="AT130" s="22" t="n">
        <x:f>MAX(0,MIN('Activities'!L130,252)-MAX('Activities'!K130,246))</x:f>
        <x:v>0</x:v>
      </x:c>
      <x:c r="AU130" s="22" t="n">
        <x:f>MAX(0,MIN('Activities'!L130,258)-MAX('Activities'!K130,252))</x:f>
        <x:v>0</x:v>
      </x:c>
      <x:c r="AV130" s="22" t="n">
        <x:f>MAX(0,MIN('Activities'!L130,264)-MAX('Activities'!K130,258))</x:f>
        <x:v>0</x:v>
      </x:c>
      <x:c r="AW130" s="22" t="n">
        <x:f>MAX(0,MIN('Activities'!L130,270)-MAX('Activities'!K130,264))</x:f>
        <x:v>0</x:v>
      </x:c>
      <x:c r="AX130" s="22" t="n">
        <x:f>MAX(0,MIN('Activities'!L130,276)-MAX('Activities'!K130,270))</x:f>
        <x:v>0</x:v>
      </x:c>
      <x:c r="AY130" s="22" t="n">
        <x:f>MAX(0,MIN('Activities'!L130,282)-MAX('Activities'!K130,276))</x:f>
        <x:v>0</x:v>
      </x:c>
      <x:c r="AZ130" s="22" t="n">
        <x:f>MAX(0,MIN('Activities'!L130,288)-MAX('Activities'!K130,282))</x:f>
        <x:v>0</x:v>
      </x:c>
      <x:c r="BA130" s="22" t="n">
        <x:f>MAX(0,MIN('Activities'!L130,294)-MAX('Activities'!K130,288))</x:f>
        <x:v>0</x:v>
      </x:c>
      <x:c r="BB130" s="22" t="n">
        <x:f>MAX(0,MIN('Activities'!L130,300)-MAX('Activities'!K130,294))</x:f>
        <x:v>0</x:v>
      </x:c>
      <x:c r="BC130" s="22" t="n">
        <x:f>MAX(0,MIN('Activities'!L130,306)-MAX('Activities'!K130,300))</x:f>
        <x:v>0</x:v>
      </x:c>
      <x:c r="BD130" s="22" t="n">
        <x:f>MAX(0,MIN('Activities'!L130,312)-MAX('Activities'!K130,306))</x:f>
        <x:v>0</x:v>
      </x:c>
      <x:c r="BE130" s="22" t="n">
        <x:f>MAX(0,MIN('Activities'!L130,318)-MAX('Activities'!K130,312))</x:f>
        <x:v>0</x:v>
      </x:c>
      <x:c r="BF130" s="22" t="n">
        <x:f>MAX(0,MIN('Activities'!L130,324)-MAX('Activities'!K130,318))</x:f>
        <x:v>0</x:v>
      </x:c>
      <x:c r="BG130" s="22" t="n">
        <x:f>MAX(0,MIN('Activities'!L130,330)-MAX('Activities'!K130,324))</x:f>
        <x:v>0</x:v>
      </x:c>
      <x:c r="BH130" s="22" t="n">
        <x:f>MAX(0,MIN('Activities'!L130,336)-MAX('Activities'!K130,330))</x:f>
        <x:v>0</x:v>
      </x:c>
      <x:c r="BI130" s="22" t="n">
        <x:f>MAX(0,MIN('Activities'!L130,342)-MAX('Activities'!K130,336))</x:f>
        <x:v>0</x:v>
      </x:c>
      <x:c r="BJ130" s="22" t="n">
        <x:f>MAX(0,MIN('Activities'!L130,348)-MAX('Activities'!K130,342))</x:f>
        <x:v>0</x:v>
      </x:c>
      <x:c r="BK130" s="22" t="n">
        <x:f>MAX(0,MIN('Activities'!L130,354)-MAX('Activities'!K130,348))</x:f>
        <x:v>0</x:v>
      </x:c>
      <x:c r="BL130" s="22" t="n">
        <x:f>MAX(0,MIN('Activities'!L130,360)-MAX('Activities'!K130,354))</x:f>
        <x:v>0</x:v>
      </x:c>
      <x:c r="BM130" s="22" t="n">
        <x:f>MAX(0,MIN('Activities'!L130,366)-MAX('Activities'!K130,360))</x:f>
        <x:v>0</x:v>
      </x:c>
      <x:c r="BN130" s="22" t="n">
        <x:f>MAX(0,MIN('Activities'!L130,372)-MAX('Activities'!K130,366))</x:f>
        <x:v>0</x:v>
      </x:c>
      <x:c r="BO130" s="22" t="n">
        <x:f>MAX(0,MIN('Activities'!L130,378)-MAX('Activities'!K130,372))</x:f>
        <x:v>0</x:v>
      </x:c>
      <x:c r="BP130" s="22" t="n">
        <x:f>MAX(0,MIN('Activities'!L130,384)-MAX('Activities'!K130,378))</x:f>
        <x:v>0</x:v>
      </x:c>
      <x:c r="BQ130" s="22" t="n">
        <x:f>MAX(0,MIN('Activities'!L130,390)-MAX('Activities'!K130,384))</x:f>
        <x:v>0</x:v>
      </x:c>
      <x:c r="BR130" s="22" t="n">
        <x:f>MAX(0,MIN('Activities'!L130,396)-MAX('Activities'!K130,390))</x:f>
        <x:v>0</x:v>
      </x:c>
      <x:c r="BS130" s="22" t="n">
        <x:f>MAX(0,MIN('Activities'!L130,402)-MAX('Activities'!K130,396))</x:f>
        <x:v>0</x:v>
      </x:c>
      <x:c r="BT130" s="22" t="n">
        <x:f>MAX(0,MIN('Activities'!L130,408)-MAX('Activities'!K130,402))</x:f>
        <x:v>0</x:v>
      </x:c>
      <x:c r="BU130" s="22" t="n">
        <x:f>MAX(0,MIN('Activities'!L130,414)-MAX('Activities'!K130,408))</x:f>
        <x:v>0</x:v>
      </x:c>
      <x:c r="BV130" s="22" t="n">
        <x:f>MAX(0,MIN('Activities'!L130,420)-MAX('Activities'!K130,414))</x:f>
        <x:v>1</x:v>
      </x:c>
      <x:c r="BW130" s="22" t="n">
        <x:f>MAX(0,MIN('Activities'!L130,426)-MAX('Activities'!K130,420))</x:f>
        <x:v>2</x:v>
      </x:c>
      <x:c r="BX130" s="22" t="n">
        <x:f>MAX(0,MIN('Activities'!L130,432)-MAX('Activities'!K130,426))</x:f>
        <x:v>0</x:v>
      </x:c>
      <x:c r="BY130" s="22" t="n">
        <x:f>MAX(0,MIN('Activities'!L130,438)-MAX('Activities'!K130,432))</x:f>
        <x:v>0</x:v>
      </x:c>
      <x:c r="BZ130" s="22" t="n">
        <x:f>MAX(0,MIN('Activities'!L130,444)-MAX('Activities'!K130,438))</x:f>
        <x:v>0</x:v>
      </x:c>
      <x:c r="CA130" s="22" t="n">
        <x:f>MAX(0,MIN('Activities'!L130,450)-MAX('Activities'!K130,444))</x:f>
        <x:v>0</x:v>
      </x:c>
      <x:c r="CB130" s="22" t="n">
        <x:f>MAX(0,MIN('Activities'!L130,456)-MAX('Activities'!K130,450))</x:f>
        <x:v>0</x:v>
      </x:c>
      <x:c r="CC130" s="22" t="n">
        <x:f>MAX(0,MIN('Activities'!L130,462)-MAX('Activities'!K130,456))</x:f>
        <x:v>0</x:v>
      </x:c>
      <x:c r="CD130" s="22" t="n">
        <x:f>MAX(0,MIN('Activities'!L130,468)-MAX('Activities'!K130,462))</x:f>
        <x:v>0</x:v>
      </x:c>
      <x:c r="CE130" s="22" t="n">
        <x:f>MAX(0,MIN('Activities'!L130,474)-MAX('Activities'!K130,468))</x:f>
        <x:v>0</x:v>
      </x:c>
      <x:c r="CF130" s="22" t="n">
        <x:f>MAX(0,MIN('Activities'!L130,480)-MAX('Activities'!K130,474))</x:f>
        <x:v>0</x:v>
      </x:c>
      <x:c r="CG130" s="22" t="n">
        <x:f>MAX(0,MIN('Activities'!L130,486)-MAX('Activities'!K130,480))</x:f>
        <x:v>0</x:v>
      </x:c>
      <x:c r="CH130" s="22" t="n">
        <x:f>MAX(0,MIN('Activities'!L130,492)-MAX('Activities'!K130,486))</x:f>
        <x:v>0</x:v>
      </x:c>
      <x:c r="CI130" s="22" t="n">
        <x:f>MAX(0,MIN('Activities'!L130,498)-MAX('Activities'!K130,492))</x:f>
        <x:v>0</x:v>
      </x:c>
      <x:c r="CJ130" s="22" t="n">
        <x:f>MAX(0,MIN('Activities'!L130,504)-MAX('Activities'!K130,498))</x:f>
        <x:v>0</x:v>
      </x:c>
      <x:c r="CK130" s="22" t="n">
        <x:f>MAX(0,MIN('Activities'!L130,510)-MAX('Activities'!K130,504))</x:f>
        <x:v>0</x:v>
      </x:c>
      <x:c r="CL130" s="22" t="n">
        <x:f>MAX(0,MIN('Activities'!L130,516)-MAX('Activities'!K130,510))</x:f>
        <x:v>0</x:v>
      </x:c>
      <x:c r="CM130" s="22" t="n">
        <x:f>MAX(0,MIN('Activities'!L130,522)-MAX('Activities'!K130,516))</x:f>
        <x:v>0</x:v>
      </x:c>
      <x:c r="CN130" s="22" t="n">
        <x:f>MAX(0,MIN('Activities'!L130,528)-MAX('Activities'!K130,522))</x:f>
        <x:v>0</x:v>
      </x:c>
      <x:c r="CO130" s="22" t="n">
        <x:f>MAX(0,MIN('Activities'!L130,534)-MAX('Activities'!K130,528))</x:f>
        <x:v>0</x:v>
      </x:c>
      <x:c r="CP130" s="22" t="n">
        <x:f>MAX(0,MIN('Activities'!L130,540)-MAX('Activities'!K130,534))</x:f>
        <x:v>0</x:v>
      </x:c>
      <x:c r="CQ130" s="22" t="n">
        <x:f>MAX(0,MIN('Activities'!L130,546)-MAX('Activities'!K130,540))</x:f>
        <x:v>0</x:v>
      </x:c>
      <x:c r="CR130" s="22" t="n">
        <x:f>MAX(0,MIN('Activities'!L130,552)-MAX('Activities'!K130,546))</x:f>
        <x:v>0</x:v>
      </x:c>
      <x:c r="CS130" s="22" t="n">
        <x:f>MAX(0,MIN('Activities'!L130,558)-MAX('Activities'!K130,552))</x:f>
        <x:v>0</x:v>
      </x:c>
      <x:c r="CT130" s="22" t="n">
        <x:f>MAX(0,MIN('Activities'!L130,564)-MAX('Activities'!K130,558))</x:f>
        <x:v>0</x:v>
      </x:c>
      <x:c r="CU130" s="22" t="n">
        <x:f>MAX(0,MIN('Activities'!L130,570)-MAX('Activities'!K130,564))</x:f>
        <x:v>0</x:v>
      </x:c>
      <x:c r="CV130" s="22" t="n">
        <x:f>MAX(0,MIN('Activities'!L130,576)-MAX('Activities'!K130,570))</x:f>
        <x:v>0</x:v>
      </x:c>
      <x:c r="CW130" s="22" t="n">
        <x:f>MAX(0,MIN('Activities'!L130,582)-MAX('Activities'!K130,576))</x:f>
        <x:v>0</x:v>
      </x:c>
      <x:c r="CX130" s="22" t="n">
        <x:f>MAX(0,MIN('Activities'!L130,588)-MAX('Activities'!K130,582))</x:f>
        <x:v>0</x:v>
      </x:c>
      <x:c r="CY130" s="22" t="n">
        <x:f>MAX(0,MIN('Activities'!L130,594)-MAX('Activities'!K130,588))</x:f>
        <x:v>0</x:v>
      </x:c>
      <x:c r="CZ130" s="22" t="n">
        <x:f>MAX(0,MIN('Activities'!L130,600)-MAX('Activities'!K130,594))</x:f>
        <x:v>0</x:v>
      </x:c>
      <x:c r="DA130" s="22" t="n">
        <x:f>MAX(0,MIN('Activities'!L130,606)-MAX('Activities'!K130,600))</x:f>
        <x:v>0</x:v>
      </x:c>
      <x:c r="DB130" s="22" t="n">
        <x:f>MAX(0,MIN('Activities'!L130,612)-MAX('Activities'!K130,606))</x:f>
        <x:v>0</x:v>
      </x:c>
      <x:c r="DC130" s="22" t="n">
        <x:f>MAX(0,MIN('Activities'!L130,618)-MAX('Activities'!K130,612))</x:f>
        <x:v>0</x:v>
      </x:c>
      <x:c r="DD130" s="22" t="n">
        <x:f>MAX(0,MIN('Activities'!L130,624)-MAX('Activities'!K130,618))</x:f>
        <x:v>0</x:v>
      </x:c>
      <x:c r="DE130" s="22" t="n">
        <x:f>MAX(0,MIN('Activities'!L130,630)-MAX('Activities'!K130,624))</x:f>
        <x:v>0</x:v>
      </x:c>
      <x:c r="DF130" s="22" t="n">
        <x:f>MAX(0,MIN('Activities'!L130,636)-MAX('Activities'!K130,630))</x:f>
        <x:v>0</x:v>
      </x:c>
    </x:row>
    <x:row r="131" ht="23" customHeight="1">
      <x:c r="A131" s="1" t="str">
        <x:v>T1-L10-M</x:v>
      </x:c>
      <x:c r="B131" s="1" t="str">
        <x:v>T1</x:v>
      </x:c>
      <x:c r="C131" s="1" t="str">
        <x:v>Partition masonry</x:v>
      </x:c>
      <x:c r="D131" s="1" t="str">
        <x:v>Masonry</x:v>
      </x:c>
      <x:c r="E131" s="23" t="n">
        <x:f>MAX(0,MIN('Activities'!L131,6)-MAX('Activities'!K131,0))</x:f>
        <x:v>0</x:v>
      </x:c>
      <x:c r="F131" s="23" t="n">
        <x:f>MAX(0,MIN('Activities'!L131,12)-MAX('Activities'!K131,6))</x:f>
        <x:v>0</x:v>
      </x:c>
      <x:c r="G131" s="23" t="n">
        <x:f>MAX(0,MIN('Activities'!L131,18)-MAX('Activities'!K131,12))</x:f>
        <x:v>0</x:v>
      </x:c>
      <x:c r="H131" s="23" t="n">
        <x:f>MAX(0,MIN('Activities'!L131,24)-MAX('Activities'!K131,18))</x:f>
        <x:v>0</x:v>
      </x:c>
      <x:c r="I131" s="23" t="n">
        <x:f>MAX(0,MIN('Activities'!L131,30)-MAX('Activities'!K131,24))</x:f>
        <x:v>0</x:v>
      </x:c>
      <x:c r="J131" s="23" t="n">
        <x:f>MAX(0,MIN('Activities'!L131,36)-MAX('Activities'!K131,30))</x:f>
        <x:v>0</x:v>
      </x:c>
      <x:c r="K131" s="23" t="n">
        <x:f>MAX(0,MIN('Activities'!L131,42)-MAX('Activities'!K131,36))</x:f>
        <x:v>0</x:v>
      </x:c>
      <x:c r="L131" s="23" t="n">
        <x:f>MAX(0,MIN('Activities'!L131,48)-MAX('Activities'!K131,42))</x:f>
        <x:v>0</x:v>
      </x:c>
      <x:c r="M131" s="23" t="n">
        <x:f>MAX(0,MIN('Activities'!L131,54)-MAX('Activities'!K131,48))</x:f>
        <x:v>0</x:v>
      </x:c>
      <x:c r="N131" s="23" t="n">
        <x:f>MAX(0,MIN('Activities'!L131,60)-MAX('Activities'!K131,54))</x:f>
        <x:v>0</x:v>
      </x:c>
      <x:c r="O131" s="23" t="n">
        <x:f>MAX(0,MIN('Activities'!L131,66)-MAX('Activities'!K131,60))</x:f>
        <x:v>0</x:v>
      </x:c>
      <x:c r="P131" s="23" t="n">
        <x:f>MAX(0,MIN('Activities'!L131,72)-MAX('Activities'!K131,66))</x:f>
        <x:v>0</x:v>
      </x:c>
      <x:c r="Q131" s="23" t="n">
        <x:f>MAX(0,MIN('Activities'!L131,78)-MAX('Activities'!K131,72))</x:f>
        <x:v>0</x:v>
      </x:c>
      <x:c r="R131" s="23" t="n">
        <x:f>MAX(0,MIN('Activities'!L131,84)-MAX('Activities'!K131,78))</x:f>
        <x:v>0</x:v>
      </x:c>
      <x:c r="S131" s="23" t="n">
        <x:f>MAX(0,MIN('Activities'!L131,90)-MAX('Activities'!K131,84))</x:f>
        <x:v>0</x:v>
      </x:c>
      <x:c r="T131" s="23" t="n">
        <x:f>MAX(0,MIN('Activities'!L131,96)-MAX('Activities'!K131,90))</x:f>
        <x:v>0</x:v>
      </x:c>
      <x:c r="U131" s="23" t="n">
        <x:f>MAX(0,MIN('Activities'!L131,102)-MAX('Activities'!K131,96))</x:f>
        <x:v>0</x:v>
      </x:c>
      <x:c r="V131" s="23" t="n">
        <x:f>MAX(0,MIN('Activities'!L131,108)-MAX('Activities'!K131,102))</x:f>
        <x:v>0</x:v>
      </x:c>
      <x:c r="W131" s="23" t="n">
        <x:f>MAX(0,MIN('Activities'!L131,114)-MAX('Activities'!K131,108))</x:f>
        <x:v>0</x:v>
      </x:c>
      <x:c r="X131" s="23" t="n">
        <x:f>MAX(0,MIN('Activities'!L131,120)-MAX('Activities'!K131,114))</x:f>
        <x:v>0</x:v>
      </x:c>
      <x:c r="Y131" s="23" t="n">
        <x:f>MAX(0,MIN('Activities'!L131,126)-MAX('Activities'!K131,120))</x:f>
        <x:v>0</x:v>
      </x:c>
      <x:c r="Z131" s="23" t="n">
        <x:f>MAX(0,MIN('Activities'!L131,132)-MAX('Activities'!K131,126))</x:f>
        <x:v>0</x:v>
      </x:c>
      <x:c r="AA131" s="23" t="n">
        <x:f>MAX(0,MIN('Activities'!L131,138)-MAX('Activities'!K131,132))</x:f>
        <x:v>0</x:v>
      </x:c>
      <x:c r="AB131" s="23" t="n">
        <x:f>MAX(0,MIN('Activities'!L131,144)-MAX('Activities'!K131,138))</x:f>
        <x:v>0</x:v>
      </x:c>
      <x:c r="AC131" s="23" t="n">
        <x:f>MAX(0,MIN('Activities'!L131,150)-MAX('Activities'!K131,144))</x:f>
        <x:v>0</x:v>
      </x:c>
      <x:c r="AD131" s="23" t="n">
        <x:f>MAX(0,MIN('Activities'!L131,156)-MAX('Activities'!K131,150))</x:f>
        <x:v>0</x:v>
      </x:c>
      <x:c r="AE131" s="23" t="n">
        <x:f>MAX(0,MIN('Activities'!L131,162)-MAX('Activities'!K131,156))</x:f>
        <x:v>0</x:v>
      </x:c>
      <x:c r="AF131" s="23" t="n">
        <x:f>MAX(0,MIN('Activities'!L131,168)-MAX('Activities'!K131,162))</x:f>
        <x:v>0</x:v>
      </x:c>
      <x:c r="AG131" s="23" t="n">
        <x:f>MAX(0,MIN('Activities'!L131,174)-MAX('Activities'!K131,168))</x:f>
        <x:v>0</x:v>
      </x:c>
      <x:c r="AH131" s="23" t="n">
        <x:f>MAX(0,MIN('Activities'!L131,180)-MAX('Activities'!K131,174))</x:f>
        <x:v>0</x:v>
      </x:c>
      <x:c r="AI131" s="23" t="n">
        <x:f>MAX(0,MIN('Activities'!L131,186)-MAX('Activities'!K131,180))</x:f>
        <x:v>0</x:v>
      </x:c>
      <x:c r="AJ131" s="23" t="n">
        <x:f>MAX(0,MIN('Activities'!L131,192)-MAX('Activities'!K131,186))</x:f>
        <x:v>0</x:v>
      </x:c>
      <x:c r="AK131" s="23" t="n">
        <x:f>MAX(0,MIN('Activities'!L131,198)-MAX('Activities'!K131,192))</x:f>
        <x:v>0</x:v>
      </x:c>
      <x:c r="AL131" s="23" t="n">
        <x:f>MAX(0,MIN('Activities'!L131,204)-MAX('Activities'!K131,198))</x:f>
        <x:v>0</x:v>
      </x:c>
      <x:c r="AM131" s="23" t="n">
        <x:f>MAX(0,MIN('Activities'!L131,210)-MAX('Activities'!K131,204))</x:f>
        <x:v>0</x:v>
      </x:c>
      <x:c r="AN131" s="23" t="n">
        <x:f>MAX(0,MIN('Activities'!L131,216)-MAX('Activities'!K131,210))</x:f>
        <x:v>0</x:v>
      </x:c>
      <x:c r="AO131" s="23" t="n">
        <x:f>MAX(0,MIN('Activities'!L131,222)-MAX('Activities'!K131,216))</x:f>
        <x:v>0</x:v>
      </x:c>
      <x:c r="AP131" s="23" t="n">
        <x:f>MAX(0,MIN('Activities'!L131,228)-MAX('Activities'!K131,222))</x:f>
        <x:v>0</x:v>
      </x:c>
      <x:c r="AQ131" s="23" t="n">
        <x:f>MAX(0,MIN('Activities'!L131,234)-MAX('Activities'!K131,228))</x:f>
        <x:v>0</x:v>
      </x:c>
      <x:c r="AR131" s="23" t="n">
        <x:f>MAX(0,MIN('Activities'!L131,240)-MAX('Activities'!K131,234))</x:f>
        <x:v>0</x:v>
      </x:c>
      <x:c r="AS131" s="23" t="n">
        <x:f>MAX(0,MIN('Activities'!L131,246)-MAX('Activities'!K131,240))</x:f>
        <x:v>0</x:v>
      </x:c>
      <x:c r="AT131" s="23" t="n">
        <x:f>MAX(0,MIN('Activities'!L131,252)-MAX('Activities'!K131,246))</x:f>
        <x:v>0</x:v>
      </x:c>
      <x:c r="AU131" s="23" t="n">
        <x:f>MAX(0,MIN('Activities'!L131,258)-MAX('Activities'!K131,252))</x:f>
        <x:v>0</x:v>
      </x:c>
      <x:c r="AV131" s="23" t="n">
        <x:f>MAX(0,MIN('Activities'!L131,264)-MAX('Activities'!K131,258))</x:f>
        <x:v>0</x:v>
      </x:c>
      <x:c r="AW131" s="23" t="n">
        <x:f>MAX(0,MIN('Activities'!L131,270)-MAX('Activities'!K131,264))</x:f>
        <x:v>0</x:v>
      </x:c>
      <x:c r="AX131" s="23" t="n">
        <x:f>MAX(0,MIN('Activities'!L131,276)-MAX('Activities'!K131,270))</x:f>
        <x:v>0</x:v>
      </x:c>
      <x:c r="AY131" s="23" t="n">
        <x:f>MAX(0,MIN('Activities'!L131,282)-MAX('Activities'!K131,276))</x:f>
        <x:v>0</x:v>
      </x:c>
      <x:c r="AZ131" s="23" t="n">
        <x:f>MAX(0,MIN('Activities'!L131,288)-MAX('Activities'!K131,282))</x:f>
        <x:v>0</x:v>
      </x:c>
      <x:c r="BA131" s="23" t="n">
        <x:f>MAX(0,MIN('Activities'!L131,294)-MAX('Activities'!K131,288))</x:f>
        <x:v>0</x:v>
      </x:c>
      <x:c r="BB131" s="23" t="n">
        <x:f>MAX(0,MIN('Activities'!L131,300)-MAX('Activities'!K131,294))</x:f>
        <x:v>0</x:v>
      </x:c>
      <x:c r="BC131" s="23" t="n">
        <x:f>MAX(0,MIN('Activities'!L131,306)-MAX('Activities'!K131,300))</x:f>
        <x:v>0</x:v>
      </x:c>
      <x:c r="BD131" s="23" t="n">
        <x:f>MAX(0,MIN('Activities'!L131,312)-MAX('Activities'!K131,306))</x:f>
        <x:v>0</x:v>
      </x:c>
      <x:c r="BE131" s="23" t="n">
        <x:f>MAX(0,MIN('Activities'!L131,318)-MAX('Activities'!K131,312))</x:f>
        <x:v>0</x:v>
      </x:c>
      <x:c r="BF131" s="23" t="n">
        <x:f>MAX(0,MIN('Activities'!L131,324)-MAX('Activities'!K131,318))</x:f>
        <x:v>0</x:v>
      </x:c>
      <x:c r="BG131" s="23" t="n">
        <x:f>MAX(0,MIN('Activities'!L131,330)-MAX('Activities'!K131,324))</x:f>
        <x:v>0</x:v>
      </x:c>
      <x:c r="BH131" s="23" t="n">
        <x:f>MAX(0,MIN('Activities'!L131,336)-MAX('Activities'!K131,330))</x:f>
        <x:v>0</x:v>
      </x:c>
      <x:c r="BI131" s="23" t="n">
        <x:f>MAX(0,MIN('Activities'!L131,342)-MAX('Activities'!K131,336))</x:f>
        <x:v>0</x:v>
      </x:c>
      <x:c r="BJ131" s="23" t="n">
        <x:f>MAX(0,MIN('Activities'!L131,348)-MAX('Activities'!K131,342))</x:f>
        <x:v>0</x:v>
      </x:c>
      <x:c r="BK131" s="23" t="n">
        <x:f>MAX(0,MIN('Activities'!L131,354)-MAX('Activities'!K131,348))</x:f>
        <x:v>0</x:v>
      </x:c>
      <x:c r="BL131" s="23" t="n">
        <x:f>MAX(0,MIN('Activities'!L131,360)-MAX('Activities'!K131,354))</x:f>
        <x:v>0</x:v>
      </x:c>
      <x:c r="BM131" s="23" t="n">
        <x:f>MAX(0,MIN('Activities'!L131,366)-MAX('Activities'!K131,360))</x:f>
        <x:v>0</x:v>
      </x:c>
      <x:c r="BN131" s="23" t="n">
        <x:f>MAX(0,MIN('Activities'!L131,372)-MAX('Activities'!K131,366))</x:f>
        <x:v>0</x:v>
      </x:c>
      <x:c r="BO131" s="23" t="n">
        <x:f>MAX(0,MIN('Activities'!L131,378)-MAX('Activities'!K131,372))</x:f>
        <x:v>5</x:v>
      </x:c>
      <x:c r="BP131" s="23" t="n">
        <x:f>MAX(0,MIN('Activities'!L131,384)-MAX('Activities'!K131,378))</x:f>
        <x:v>0</x:v>
      </x:c>
      <x:c r="BQ131" s="23" t="n">
        <x:f>MAX(0,MIN('Activities'!L131,390)-MAX('Activities'!K131,384))</x:f>
        <x:v>0</x:v>
      </x:c>
      <x:c r="BR131" s="23" t="n">
        <x:f>MAX(0,MIN('Activities'!L131,396)-MAX('Activities'!K131,390))</x:f>
        <x:v>0</x:v>
      </x:c>
      <x:c r="BS131" s="23" t="n">
        <x:f>MAX(0,MIN('Activities'!L131,402)-MAX('Activities'!K131,396))</x:f>
        <x:v>0</x:v>
      </x:c>
      <x:c r="BT131" s="23" t="n">
        <x:f>MAX(0,MIN('Activities'!L131,408)-MAX('Activities'!K131,402))</x:f>
        <x:v>0</x:v>
      </x:c>
      <x:c r="BU131" s="23" t="n">
        <x:f>MAX(0,MIN('Activities'!L131,414)-MAX('Activities'!K131,408))</x:f>
        <x:v>0</x:v>
      </x:c>
      <x:c r="BV131" s="23" t="n">
        <x:f>MAX(0,MIN('Activities'!L131,420)-MAX('Activities'!K131,414))</x:f>
        <x:v>0</x:v>
      </x:c>
      <x:c r="BW131" s="23" t="n">
        <x:f>MAX(0,MIN('Activities'!L131,426)-MAX('Activities'!K131,420))</x:f>
        <x:v>0</x:v>
      </x:c>
      <x:c r="BX131" s="23" t="n">
        <x:f>MAX(0,MIN('Activities'!L131,432)-MAX('Activities'!K131,426))</x:f>
        <x:v>0</x:v>
      </x:c>
      <x:c r="BY131" s="23" t="n">
        <x:f>MAX(0,MIN('Activities'!L131,438)-MAX('Activities'!K131,432))</x:f>
        <x:v>0</x:v>
      </x:c>
      <x:c r="BZ131" s="23" t="n">
        <x:f>MAX(0,MIN('Activities'!L131,444)-MAX('Activities'!K131,438))</x:f>
        <x:v>0</x:v>
      </x:c>
      <x:c r="CA131" s="23" t="n">
        <x:f>MAX(0,MIN('Activities'!L131,450)-MAX('Activities'!K131,444))</x:f>
        <x:v>0</x:v>
      </x:c>
      <x:c r="CB131" s="23" t="n">
        <x:f>MAX(0,MIN('Activities'!L131,456)-MAX('Activities'!K131,450))</x:f>
        <x:v>0</x:v>
      </x:c>
      <x:c r="CC131" s="23" t="n">
        <x:f>MAX(0,MIN('Activities'!L131,462)-MAX('Activities'!K131,456))</x:f>
        <x:v>0</x:v>
      </x:c>
      <x:c r="CD131" s="23" t="n">
        <x:f>MAX(0,MIN('Activities'!L131,468)-MAX('Activities'!K131,462))</x:f>
        <x:v>0</x:v>
      </x:c>
      <x:c r="CE131" s="23" t="n">
        <x:f>MAX(0,MIN('Activities'!L131,474)-MAX('Activities'!K131,468))</x:f>
        <x:v>0</x:v>
      </x:c>
      <x:c r="CF131" s="23" t="n">
        <x:f>MAX(0,MIN('Activities'!L131,480)-MAX('Activities'!K131,474))</x:f>
        <x:v>0</x:v>
      </x:c>
      <x:c r="CG131" s="23" t="n">
        <x:f>MAX(0,MIN('Activities'!L131,486)-MAX('Activities'!K131,480))</x:f>
        <x:v>0</x:v>
      </x:c>
      <x:c r="CH131" s="23" t="n">
        <x:f>MAX(0,MIN('Activities'!L131,492)-MAX('Activities'!K131,486))</x:f>
        <x:v>0</x:v>
      </x:c>
      <x:c r="CI131" s="23" t="n">
        <x:f>MAX(0,MIN('Activities'!L131,498)-MAX('Activities'!K131,492))</x:f>
        <x:v>0</x:v>
      </x:c>
      <x:c r="CJ131" s="23" t="n">
        <x:f>MAX(0,MIN('Activities'!L131,504)-MAX('Activities'!K131,498))</x:f>
        <x:v>0</x:v>
      </x:c>
      <x:c r="CK131" s="23" t="n">
        <x:f>MAX(0,MIN('Activities'!L131,510)-MAX('Activities'!K131,504))</x:f>
        <x:v>0</x:v>
      </x:c>
      <x:c r="CL131" s="23" t="n">
        <x:f>MAX(0,MIN('Activities'!L131,516)-MAX('Activities'!K131,510))</x:f>
        <x:v>0</x:v>
      </x:c>
      <x:c r="CM131" s="23" t="n">
        <x:f>MAX(0,MIN('Activities'!L131,522)-MAX('Activities'!K131,516))</x:f>
        <x:v>0</x:v>
      </x:c>
      <x:c r="CN131" s="23" t="n">
        <x:f>MAX(0,MIN('Activities'!L131,528)-MAX('Activities'!K131,522))</x:f>
        <x:v>0</x:v>
      </x:c>
      <x:c r="CO131" s="23" t="n">
        <x:f>MAX(0,MIN('Activities'!L131,534)-MAX('Activities'!K131,528))</x:f>
        <x:v>0</x:v>
      </x:c>
      <x:c r="CP131" s="23" t="n">
        <x:f>MAX(0,MIN('Activities'!L131,540)-MAX('Activities'!K131,534))</x:f>
        <x:v>0</x:v>
      </x:c>
      <x:c r="CQ131" s="23" t="n">
        <x:f>MAX(0,MIN('Activities'!L131,546)-MAX('Activities'!K131,540))</x:f>
        <x:v>0</x:v>
      </x:c>
      <x:c r="CR131" s="23" t="n">
        <x:f>MAX(0,MIN('Activities'!L131,552)-MAX('Activities'!K131,546))</x:f>
        <x:v>0</x:v>
      </x:c>
      <x:c r="CS131" s="23" t="n">
        <x:f>MAX(0,MIN('Activities'!L131,558)-MAX('Activities'!K131,552))</x:f>
        <x:v>0</x:v>
      </x:c>
      <x:c r="CT131" s="23" t="n">
        <x:f>MAX(0,MIN('Activities'!L131,564)-MAX('Activities'!K131,558))</x:f>
        <x:v>0</x:v>
      </x:c>
      <x:c r="CU131" s="23" t="n">
        <x:f>MAX(0,MIN('Activities'!L131,570)-MAX('Activities'!K131,564))</x:f>
        <x:v>0</x:v>
      </x:c>
      <x:c r="CV131" s="23" t="n">
        <x:f>MAX(0,MIN('Activities'!L131,576)-MAX('Activities'!K131,570))</x:f>
        <x:v>0</x:v>
      </x:c>
      <x:c r="CW131" s="23" t="n">
        <x:f>MAX(0,MIN('Activities'!L131,582)-MAX('Activities'!K131,576))</x:f>
        <x:v>0</x:v>
      </x:c>
      <x:c r="CX131" s="23" t="n">
        <x:f>MAX(0,MIN('Activities'!L131,588)-MAX('Activities'!K131,582))</x:f>
        <x:v>0</x:v>
      </x:c>
      <x:c r="CY131" s="23" t="n">
        <x:f>MAX(0,MIN('Activities'!L131,594)-MAX('Activities'!K131,588))</x:f>
        <x:v>0</x:v>
      </x:c>
      <x:c r="CZ131" s="23" t="n">
        <x:f>MAX(0,MIN('Activities'!L131,600)-MAX('Activities'!K131,594))</x:f>
        <x:v>0</x:v>
      </x:c>
      <x:c r="DA131" s="23" t="n">
        <x:f>MAX(0,MIN('Activities'!L131,606)-MAX('Activities'!K131,600))</x:f>
        <x:v>0</x:v>
      </x:c>
      <x:c r="DB131" s="23" t="n">
        <x:f>MAX(0,MIN('Activities'!L131,612)-MAX('Activities'!K131,606))</x:f>
        <x:v>0</x:v>
      </x:c>
      <x:c r="DC131" s="23" t="n">
        <x:f>MAX(0,MIN('Activities'!L131,618)-MAX('Activities'!K131,612))</x:f>
        <x:v>0</x:v>
      </x:c>
      <x:c r="DD131" s="23" t="n">
        <x:f>MAX(0,MIN('Activities'!L131,624)-MAX('Activities'!K131,618))</x:f>
        <x:v>0</x:v>
      </x:c>
      <x:c r="DE131" s="23" t="n">
        <x:f>MAX(0,MIN('Activities'!L131,630)-MAX('Activities'!K131,624))</x:f>
        <x:v>0</x:v>
      </x:c>
      <x:c r="DF131" s="23" t="n">
        <x:f>MAX(0,MIN('Activities'!L131,636)-MAX('Activities'!K131,630))</x:f>
        <x:v>0</x:v>
      </x:c>
    </x:row>
    <x:row r="132" ht="23" customHeight="1">
      <x:c r="A132" s="6" t="str">
        <x:v>T1-L10-P</x:v>
      </x:c>
      <x:c r="B132" s="6" t="str">
        <x:v>T1</x:v>
      </x:c>
      <x:c r="C132" s="6" t="str">
        <x:v>Internal plaster</x:v>
      </x:c>
      <x:c r="D132" s="6" t="str">
        <x:v>Finishes</x:v>
      </x:c>
      <x:c r="E132" s="22" t="n">
        <x:f>MAX(0,MIN('Activities'!L132,6)-MAX('Activities'!K132,0))</x:f>
        <x:v>0</x:v>
      </x:c>
      <x:c r="F132" s="22" t="n">
        <x:f>MAX(0,MIN('Activities'!L132,12)-MAX('Activities'!K132,6))</x:f>
        <x:v>0</x:v>
      </x:c>
      <x:c r="G132" s="22" t="n">
        <x:f>MAX(0,MIN('Activities'!L132,18)-MAX('Activities'!K132,12))</x:f>
        <x:v>0</x:v>
      </x:c>
      <x:c r="H132" s="22" t="n">
        <x:f>MAX(0,MIN('Activities'!L132,24)-MAX('Activities'!K132,18))</x:f>
        <x:v>0</x:v>
      </x:c>
      <x:c r="I132" s="22" t="n">
        <x:f>MAX(0,MIN('Activities'!L132,30)-MAX('Activities'!K132,24))</x:f>
        <x:v>0</x:v>
      </x:c>
      <x:c r="J132" s="22" t="n">
        <x:f>MAX(0,MIN('Activities'!L132,36)-MAX('Activities'!K132,30))</x:f>
        <x:v>0</x:v>
      </x:c>
      <x:c r="K132" s="22" t="n">
        <x:f>MAX(0,MIN('Activities'!L132,42)-MAX('Activities'!K132,36))</x:f>
        <x:v>0</x:v>
      </x:c>
      <x:c r="L132" s="22" t="n">
        <x:f>MAX(0,MIN('Activities'!L132,48)-MAX('Activities'!K132,42))</x:f>
        <x:v>0</x:v>
      </x:c>
      <x:c r="M132" s="22" t="n">
        <x:f>MAX(0,MIN('Activities'!L132,54)-MAX('Activities'!K132,48))</x:f>
        <x:v>0</x:v>
      </x:c>
      <x:c r="N132" s="22" t="n">
        <x:f>MAX(0,MIN('Activities'!L132,60)-MAX('Activities'!K132,54))</x:f>
        <x:v>0</x:v>
      </x:c>
      <x:c r="O132" s="22" t="n">
        <x:f>MAX(0,MIN('Activities'!L132,66)-MAX('Activities'!K132,60))</x:f>
        <x:v>0</x:v>
      </x:c>
      <x:c r="P132" s="22" t="n">
        <x:f>MAX(0,MIN('Activities'!L132,72)-MAX('Activities'!K132,66))</x:f>
        <x:v>0</x:v>
      </x:c>
      <x:c r="Q132" s="22" t="n">
        <x:f>MAX(0,MIN('Activities'!L132,78)-MAX('Activities'!K132,72))</x:f>
        <x:v>0</x:v>
      </x:c>
      <x:c r="R132" s="22" t="n">
        <x:f>MAX(0,MIN('Activities'!L132,84)-MAX('Activities'!K132,78))</x:f>
        <x:v>0</x:v>
      </x:c>
      <x:c r="S132" s="22" t="n">
        <x:f>MAX(0,MIN('Activities'!L132,90)-MAX('Activities'!K132,84))</x:f>
        <x:v>0</x:v>
      </x:c>
      <x:c r="T132" s="22" t="n">
        <x:f>MAX(0,MIN('Activities'!L132,96)-MAX('Activities'!K132,90))</x:f>
        <x:v>0</x:v>
      </x:c>
      <x:c r="U132" s="22" t="n">
        <x:f>MAX(0,MIN('Activities'!L132,102)-MAX('Activities'!K132,96))</x:f>
        <x:v>0</x:v>
      </x:c>
      <x:c r="V132" s="22" t="n">
        <x:f>MAX(0,MIN('Activities'!L132,108)-MAX('Activities'!K132,102))</x:f>
        <x:v>0</x:v>
      </x:c>
      <x:c r="W132" s="22" t="n">
        <x:f>MAX(0,MIN('Activities'!L132,114)-MAX('Activities'!K132,108))</x:f>
        <x:v>0</x:v>
      </x:c>
      <x:c r="X132" s="22" t="n">
        <x:f>MAX(0,MIN('Activities'!L132,120)-MAX('Activities'!K132,114))</x:f>
        <x:v>0</x:v>
      </x:c>
      <x:c r="Y132" s="22" t="n">
        <x:f>MAX(0,MIN('Activities'!L132,126)-MAX('Activities'!K132,120))</x:f>
        <x:v>0</x:v>
      </x:c>
      <x:c r="Z132" s="22" t="n">
        <x:f>MAX(0,MIN('Activities'!L132,132)-MAX('Activities'!K132,126))</x:f>
        <x:v>0</x:v>
      </x:c>
      <x:c r="AA132" s="22" t="n">
        <x:f>MAX(0,MIN('Activities'!L132,138)-MAX('Activities'!K132,132))</x:f>
        <x:v>0</x:v>
      </x:c>
      <x:c r="AB132" s="22" t="n">
        <x:f>MAX(0,MIN('Activities'!L132,144)-MAX('Activities'!K132,138))</x:f>
        <x:v>0</x:v>
      </x:c>
      <x:c r="AC132" s="22" t="n">
        <x:f>MAX(0,MIN('Activities'!L132,150)-MAX('Activities'!K132,144))</x:f>
        <x:v>0</x:v>
      </x:c>
      <x:c r="AD132" s="22" t="n">
        <x:f>MAX(0,MIN('Activities'!L132,156)-MAX('Activities'!K132,150))</x:f>
        <x:v>0</x:v>
      </x:c>
      <x:c r="AE132" s="22" t="n">
        <x:f>MAX(0,MIN('Activities'!L132,162)-MAX('Activities'!K132,156))</x:f>
        <x:v>0</x:v>
      </x:c>
      <x:c r="AF132" s="22" t="n">
        <x:f>MAX(0,MIN('Activities'!L132,168)-MAX('Activities'!K132,162))</x:f>
        <x:v>0</x:v>
      </x:c>
      <x:c r="AG132" s="22" t="n">
        <x:f>MAX(0,MIN('Activities'!L132,174)-MAX('Activities'!K132,168))</x:f>
        <x:v>0</x:v>
      </x:c>
      <x:c r="AH132" s="22" t="n">
        <x:f>MAX(0,MIN('Activities'!L132,180)-MAX('Activities'!K132,174))</x:f>
        <x:v>0</x:v>
      </x:c>
      <x:c r="AI132" s="22" t="n">
        <x:f>MAX(0,MIN('Activities'!L132,186)-MAX('Activities'!K132,180))</x:f>
        <x:v>0</x:v>
      </x:c>
      <x:c r="AJ132" s="22" t="n">
        <x:f>MAX(0,MIN('Activities'!L132,192)-MAX('Activities'!K132,186))</x:f>
        <x:v>0</x:v>
      </x:c>
      <x:c r="AK132" s="22" t="n">
        <x:f>MAX(0,MIN('Activities'!L132,198)-MAX('Activities'!K132,192))</x:f>
        <x:v>0</x:v>
      </x:c>
      <x:c r="AL132" s="22" t="n">
        <x:f>MAX(0,MIN('Activities'!L132,204)-MAX('Activities'!K132,198))</x:f>
        <x:v>0</x:v>
      </x:c>
      <x:c r="AM132" s="22" t="n">
        <x:f>MAX(0,MIN('Activities'!L132,210)-MAX('Activities'!K132,204))</x:f>
        <x:v>0</x:v>
      </x:c>
      <x:c r="AN132" s="22" t="n">
        <x:f>MAX(0,MIN('Activities'!L132,216)-MAX('Activities'!K132,210))</x:f>
        <x:v>0</x:v>
      </x:c>
      <x:c r="AO132" s="22" t="n">
        <x:f>MAX(0,MIN('Activities'!L132,222)-MAX('Activities'!K132,216))</x:f>
        <x:v>0</x:v>
      </x:c>
      <x:c r="AP132" s="22" t="n">
        <x:f>MAX(0,MIN('Activities'!L132,228)-MAX('Activities'!K132,222))</x:f>
        <x:v>0</x:v>
      </x:c>
      <x:c r="AQ132" s="22" t="n">
        <x:f>MAX(0,MIN('Activities'!L132,234)-MAX('Activities'!K132,228))</x:f>
        <x:v>0</x:v>
      </x:c>
      <x:c r="AR132" s="22" t="n">
        <x:f>MAX(0,MIN('Activities'!L132,240)-MAX('Activities'!K132,234))</x:f>
        <x:v>0</x:v>
      </x:c>
      <x:c r="AS132" s="22" t="n">
        <x:f>MAX(0,MIN('Activities'!L132,246)-MAX('Activities'!K132,240))</x:f>
        <x:v>0</x:v>
      </x:c>
      <x:c r="AT132" s="22" t="n">
        <x:f>MAX(0,MIN('Activities'!L132,252)-MAX('Activities'!K132,246))</x:f>
        <x:v>0</x:v>
      </x:c>
      <x:c r="AU132" s="22" t="n">
        <x:f>MAX(0,MIN('Activities'!L132,258)-MAX('Activities'!K132,252))</x:f>
        <x:v>0</x:v>
      </x:c>
      <x:c r="AV132" s="22" t="n">
        <x:f>MAX(0,MIN('Activities'!L132,264)-MAX('Activities'!K132,258))</x:f>
        <x:v>0</x:v>
      </x:c>
      <x:c r="AW132" s="22" t="n">
        <x:f>MAX(0,MIN('Activities'!L132,270)-MAX('Activities'!K132,264))</x:f>
        <x:v>0</x:v>
      </x:c>
      <x:c r="AX132" s="22" t="n">
        <x:f>MAX(0,MIN('Activities'!L132,276)-MAX('Activities'!K132,270))</x:f>
        <x:v>0</x:v>
      </x:c>
      <x:c r="AY132" s="22" t="n">
        <x:f>MAX(0,MIN('Activities'!L132,282)-MAX('Activities'!K132,276))</x:f>
        <x:v>0</x:v>
      </x:c>
      <x:c r="AZ132" s="22" t="n">
        <x:f>MAX(0,MIN('Activities'!L132,288)-MAX('Activities'!K132,282))</x:f>
        <x:v>0</x:v>
      </x:c>
      <x:c r="BA132" s="22" t="n">
        <x:f>MAX(0,MIN('Activities'!L132,294)-MAX('Activities'!K132,288))</x:f>
        <x:v>0</x:v>
      </x:c>
      <x:c r="BB132" s="22" t="n">
        <x:f>MAX(0,MIN('Activities'!L132,300)-MAX('Activities'!K132,294))</x:f>
        <x:v>0</x:v>
      </x:c>
      <x:c r="BC132" s="22" t="n">
        <x:f>MAX(0,MIN('Activities'!L132,306)-MAX('Activities'!K132,300))</x:f>
        <x:v>0</x:v>
      </x:c>
      <x:c r="BD132" s="22" t="n">
        <x:f>MAX(0,MIN('Activities'!L132,312)-MAX('Activities'!K132,306))</x:f>
        <x:v>0</x:v>
      </x:c>
      <x:c r="BE132" s="22" t="n">
        <x:f>MAX(0,MIN('Activities'!L132,318)-MAX('Activities'!K132,312))</x:f>
        <x:v>0</x:v>
      </x:c>
      <x:c r="BF132" s="22" t="n">
        <x:f>MAX(0,MIN('Activities'!L132,324)-MAX('Activities'!K132,318))</x:f>
        <x:v>0</x:v>
      </x:c>
      <x:c r="BG132" s="22" t="n">
        <x:f>MAX(0,MIN('Activities'!L132,330)-MAX('Activities'!K132,324))</x:f>
        <x:v>0</x:v>
      </x:c>
      <x:c r="BH132" s="22" t="n">
        <x:f>MAX(0,MIN('Activities'!L132,336)-MAX('Activities'!K132,330))</x:f>
        <x:v>0</x:v>
      </x:c>
      <x:c r="BI132" s="22" t="n">
        <x:f>MAX(0,MIN('Activities'!L132,342)-MAX('Activities'!K132,336))</x:f>
        <x:v>0</x:v>
      </x:c>
      <x:c r="BJ132" s="22" t="n">
        <x:f>MAX(0,MIN('Activities'!L132,348)-MAX('Activities'!K132,342))</x:f>
        <x:v>0</x:v>
      </x:c>
      <x:c r="BK132" s="22" t="n">
        <x:f>MAX(0,MIN('Activities'!L132,354)-MAX('Activities'!K132,348))</x:f>
        <x:v>0</x:v>
      </x:c>
      <x:c r="BL132" s="22" t="n">
        <x:f>MAX(0,MIN('Activities'!L132,360)-MAX('Activities'!K132,354))</x:f>
        <x:v>0</x:v>
      </x:c>
      <x:c r="BM132" s="22" t="n">
        <x:f>MAX(0,MIN('Activities'!L132,366)-MAX('Activities'!K132,360))</x:f>
        <x:v>0</x:v>
      </x:c>
      <x:c r="BN132" s="22" t="n">
        <x:f>MAX(0,MIN('Activities'!L132,372)-MAX('Activities'!K132,366))</x:f>
        <x:v>0</x:v>
      </x:c>
      <x:c r="BO132" s="22" t="n">
        <x:f>MAX(0,MIN('Activities'!L132,378)-MAX('Activities'!K132,372))</x:f>
        <x:v>0</x:v>
      </x:c>
      <x:c r="BP132" s="22" t="n">
        <x:f>MAX(0,MIN('Activities'!L132,384)-MAX('Activities'!K132,378))</x:f>
        <x:v>3</x:v>
      </x:c>
      <x:c r="BQ132" s="22" t="n">
        <x:f>MAX(0,MIN('Activities'!L132,390)-MAX('Activities'!K132,384))</x:f>
        <x:v>3</x:v>
      </x:c>
      <x:c r="BR132" s="22" t="n">
        <x:f>MAX(0,MIN('Activities'!L132,396)-MAX('Activities'!K132,390))</x:f>
        <x:v>0</x:v>
      </x:c>
      <x:c r="BS132" s="22" t="n">
        <x:f>MAX(0,MIN('Activities'!L132,402)-MAX('Activities'!K132,396))</x:f>
        <x:v>0</x:v>
      </x:c>
      <x:c r="BT132" s="22" t="n">
        <x:f>MAX(0,MIN('Activities'!L132,408)-MAX('Activities'!K132,402))</x:f>
        <x:v>0</x:v>
      </x:c>
      <x:c r="BU132" s="22" t="n">
        <x:f>MAX(0,MIN('Activities'!L132,414)-MAX('Activities'!K132,408))</x:f>
        <x:v>0</x:v>
      </x:c>
      <x:c r="BV132" s="22" t="n">
        <x:f>MAX(0,MIN('Activities'!L132,420)-MAX('Activities'!K132,414))</x:f>
        <x:v>0</x:v>
      </x:c>
      <x:c r="BW132" s="22" t="n">
        <x:f>MAX(0,MIN('Activities'!L132,426)-MAX('Activities'!K132,420))</x:f>
        <x:v>0</x:v>
      </x:c>
      <x:c r="BX132" s="22" t="n">
        <x:f>MAX(0,MIN('Activities'!L132,432)-MAX('Activities'!K132,426))</x:f>
        <x:v>0</x:v>
      </x:c>
      <x:c r="BY132" s="22" t="n">
        <x:f>MAX(0,MIN('Activities'!L132,438)-MAX('Activities'!K132,432))</x:f>
        <x:v>0</x:v>
      </x:c>
      <x:c r="BZ132" s="22" t="n">
        <x:f>MAX(0,MIN('Activities'!L132,444)-MAX('Activities'!K132,438))</x:f>
        <x:v>0</x:v>
      </x:c>
      <x:c r="CA132" s="22" t="n">
        <x:f>MAX(0,MIN('Activities'!L132,450)-MAX('Activities'!K132,444))</x:f>
        <x:v>0</x:v>
      </x:c>
      <x:c r="CB132" s="22" t="n">
        <x:f>MAX(0,MIN('Activities'!L132,456)-MAX('Activities'!K132,450))</x:f>
        <x:v>0</x:v>
      </x:c>
      <x:c r="CC132" s="22" t="n">
        <x:f>MAX(0,MIN('Activities'!L132,462)-MAX('Activities'!K132,456))</x:f>
        <x:v>0</x:v>
      </x:c>
      <x:c r="CD132" s="22" t="n">
        <x:f>MAX(0,MIN('Activities'!L132,468)-MAX('Activities'!K132,462))</x:f>
        <x:v>0</x:v>
      </x:c>
      <x:c r="CE132" s="22" t="n">
        <x:f>MAX(0,MIN('Activities'!L132,474)-MAX('Activities'!K132,468))</x:f>
        <x:v>0</x:v>
      </x:c>
      <x:c r="CF132" s="22" t="n">
        <x:f>MAX(0,MIN('Activities'!L132,480)-MAX('Activities'!K132,474))</x:f>
        <x:v>0</x:v>
      </x:c>
      <x:c r="CG132" s="22" t="n">
        <x:f>MAX(0,MIN('Activities'!L132,486)-MAX('Activities'!K132,480))</x:f>
        <x:v>0</x:v>
      </x:c>
      <x:c r="CH132" s="22" t="n">
        <x:f>MAX(0,MIN('Activities'!L132,492)-MAX('Activities'!K132,486))</x:f>
        <x:v>0</x:v>
      </x:c>
      <x:c r="CI132" s="22" t="n">
        <x:f>MAX(0,MIN('Activities'!L132,498)-MAX('Activities'!K132,492))</x:f>
        <x:v>0</x:v>
      </x:c>
      <x:c r="CJ132" s="22" t="n">
        <x:f>MAX(0,MIN('Activities'!L132,504)-MAX('Activities'!K132,498))</x:f>
        <x:v>0</x:v>
      </x:c>
      <x:c r="CK132" s="22" t="n">
        <x:f>MAX(0,MIN('Activities'!L132,510)-MAX('Activities'!K132,504))</x:f>
        <x:v>0</x:v>
      </x:c>
      <x:c r="CL132" s="22" t="n">
        <x:f>MAX(0,MIN('Activities'!L132,516)-MAX('Activities'!K132,510))</x:f>
        <x:v>0</x:v>
      </x:c>
      <x:c r="CM132" s="22" t="n">
        <x:f>MAX(0,MIN('Activities'!L132,522)-MAX('Activities'!K132,516))</x:f>
        <x:v>0</x:v>
      </x:c>
      <x:c r="CN132" s="22" t="n">
        <x:f>MAX(0,MIN('Activities'!L132,528)-MAX('Activities'!K132,522))</x:f>
        <x:v>0</x:v>
      </x:c>
      <x:c r="CO132" s="22" t="n">
        <x:f>MAX(0,MIN('Activities'!L132,534)-MAX('Activities'!K132,528))</x:f>
        <x:v>0</x:v>
      </x:c>
      <x:c r="CP132" s="22" t="n">
        <x:f>MAX(0,MIN('Activities'!L132,540)-MAX('Activities'!K132,534))</x:f>
        <x:v>0</x:v>
      </x:c>
      <x:c r="CQ132" s="22" t="n">
        <x:f>MAX(0,MIN('Activities'!L132,546)-MAX('Activities'!K132,540))</x:f>
        <x:v>0</x:v>
      </x:c>
      <x:c r="CR132" s="22" t="n">
        <x:f>MAX(0,MIN('Activities'!L132,552)-MAX('Activities'!K132,546))</x:f>
        <x:v>0</x:v>
      </x:c>
      <x:c r="CS132" s="22" t="n">
        <x:f>MAX(0,MIN('Activities'!L132,558)-MAX('Activities'!K132,552))</x:f>
        <x:v>0</x:v>
      </x:c>
      <x:c r="CT132" s="22" t="n">
        <x:f>MAX(0,MIN('Activities'!L132,564)-MAX('Activities'!K132,558))</x:f>
        <x:v>0</x:v>
      </x:c>
      <x:c r="CU132" s="22" t="n">
        <x:f>MAX(0,MIN('Activities'!L132,570)-MAX('Activities'!K132,564))</x:f>
        <x:v>0</x:v>
      </x:c>
      <x:c r="CV132" s="22" t="n">
        <x:f>MAX(0,MIN('Activities'!L132,576)-MAX('Activities'!K132,570))</x:f>
        <x:v>0</x:v>
      </x:c>
      <x:c r="CW132" s="22" t="n">
        <x:f>MAX(0,MIN('Activities'!L132,582)-MAX('Activities'!K132,576))</x:f>
        <x:v>0</x:v>
      </x:c>
      <x:c r="CX132" s="22" t="n">
        <x:f>MAX(0,MIN('Activities'!L132,588)-MAX('Activities'!K132,582))</x:f>
        <x:v>0</x:v>
      </x:c>
      <x:c r="CY132" s="22" t="n">
        <x:f>MAX(0,MIN('Activities'!L132,594)-MAX('Activities'!K132,588))</x:f>
        <x:v>0</x:v>
      </x:c>
      <x:c r="CZ132" s="22" t="n">
        <x:f>MAX(0,MIN('Activities'!L132,600)-MAX('Activities'!K132,594))</x:f>
        <x:v>0</x:v>
      </x:c>
      <x:c r="DA132" s="22" t="n">
        <x:f>MAX(0,MIN('Activities'!L132,606)-MAX('Activities'!K132,600))</x:f>
        <x:v>0</x:v>
      </x:c>
      <x:c r="DB132" s="22" t="n">
        <x:f>MAX(0,MIN('Activities'!L132,612)-MAX('Activities'!K132,606))</x:f>
        <x:v>0</x:v>
      </x:c>
      <x:c r="DC132" s="22" t="n">
        <x:f>MAX(0,MIN('Activities'!L132,618)-MAX('Activities'!K132,612))</x:f>
        <x:v>0</x:v>
      </x:c>
      <x:c r="DD132" s="22" t="n">
        <x:f>MAX(0,MIN('Activities'!L132,624)-MAX('Activities'!K132,618))</x:f>
        <x:v>0</x:v>
      </x:c>
      <x:c r="DE132" s="22" t="n">
        <x:f>MAX(0,MIN('Activities'!L132,630)-MAX('Activities'!K132,624))</x:f>
        <x:v>0</x:v>
      </x:c>
      <x:c r="DF132" s="22" t="n">
        <x:f>MAX(0,MIN('Activities'!L132,636)-MAX('Activities'!K132,630))</x:f>
        <x:v>0</x:v>
      </x:c>
    </x:row>
    <x:row r="133" ht="23" customHeight="1">
      <x:c r="A133" s="1" t="str">
        <x:v>T1-L10-S</x:v>
      </x:c>
      <x:c r="B133" s="1" t="str">
        <x:v>T1</x:v>
      </x:c>
      <x:c r="C133" s="1" t="str">
        <x:v>Screed and substrate preparation</x:v>
      </x:c>
      <x:c r="D133" s="1" t="str">
        <x:v>Finishes</x:v>
      </x:c>
      <x:c r="E133" s="23" t="n">
        <x:f>MAX(0,MIN('Activities'!L133,6)-MAX('Activities'!K133,0))</x:f>
        <x:v>0</x:v>
      </x:c>
      <x:c r="F133" s="23" t="n">
        <x:f>MAX(0,MIN('Activities'!L133,12)-MAX('Activities'!K133,6))</x:f>
        <x:v>0</x:v>
      </x:c>
      <x:c r="G133" s="23" t="n">
        <x:f>MAX(0,MIN('Activities'!L133,18)-MAX('Activities'!K133,12))</x:f>
        <x:v>0</x:v>
      </x:c>
      <x:c r="H133" s="23" t="n">
        <x:f>MAX(0,MIN('Activities'!L133,24)-MAX('Activities'!K133,18))</x:f>
        <x:v>0</x:v>
      </x:c>
      <x:c r="I133" s="23" t="n">
        <x:f>MAX(0,MIN('Activities'!L133,30)-MAX('Activities'!K133,24))</x:f>
        <x:v>0</x:v>
      </x:c>
      <x:c r="J133" s="23" t="n">
        <x:f>MAX(0,MIN('Activities'!L133,36)-MAX('Activities'!K133,30))</x:f>
        <x:v>0</x:v>
      </x:c>
      <x:c r="K133" s="23" t="n">
        <x:f>MAX(0,MIN('Activities'!L133,42)-MAX('Activities'!K133,36))</x:f>
        <x:v>0</x:v>
      </x:c>
      <x:c r="L133" s="23" t="n">
        <x:f>MAX(0,MIN('Activities'!L133,48)-MAX('Activities'!K133,42))</x:f>
        <x:v>0</x:v>
      </x:c>
      <x:c r="M133" s="23" t="n">
        <x:f>MAX(0,MIN('Activities'!L133,54)-MAX('Activities'!K133,48))</x:f>
        <x:v>0</x:v>
      </x:c>
      <x:c r="N133" s="23" t="n">
        <x:f>MAX(0,MIN('Activities'!L133,60)-MAX('Activities'!K133,54))</x:f>
        <x:v>0</x:v>
      </x:c>
      <x:c r="O133" s="23" t="n">
        <x:f>MAX(0,MIN('Activities'!L133,66)-MAX('Activities'!K133,60))</x:f>
        <x:v>0</x:v>
      </x:c>
      <x:c r="P133" s="23" t="n">
        <x:f>MAX(0,MIN('Activities'!L133,72)-MAX('Activities'!K133,66))</x:f>
        <x:v>0</x:v>
      </x:c>
      <x:c r="Q133" s="23" t="n">
        <x:f>MAX(0,MIN('Activities'!L133,78)-MAX('Activities'!K133,72))</x:f>
        <x:v>0</x:v>
      </x:c>
      <x:c r="R133" s="23" t="n">
        <x:f>MAX(0,MIN('Activities'!L133,84)-MAX('Activities'!K133,78))</x:f>
        <x:v>0</x:v>
      </x:c>
      <x:c r="S133" s="23" t="n">
        <x:f>MAX(0,MIN('Activities'!L133,90)-MAX('Activities'!K133,84))</x:f>
        <x:v>0</x:v>
      </x:c>
      <x:c r="T133" s="23" t="n">
        <x:f>MAX(0,MIN('Activities'!L133,96)-MAX('Activities'!K133,90))</x:f>
        <x:v>0</x:v>
      </x:c>
      <x:c r="U133" s="23" t="n">
        <x:f>MAX(0,MIN('Activities'!L133,102)-MAX('Activities'!K133,96))</x:f>
        <x:v>0</x:v>
      </x:c>
      <x:c r="V133" s="23" t="n">
        <x:f>MAX(0,MIN('Activities'!L133,108)-MAX('Activities'!K133,102))</x:f>
        <x:v>0</x:v>
      </x:c>
      <x:c r="W133" s="23" t="n">
        <x:f>MAX(0,MIN('Activities'!L133,114)-MAX('Activities'!K133,108))</x:f>
        <x:v>0</x:v>
      </x:c>
      <x:c r="X133" s="23" t="n">
        <x:f>MAX(0,MIN('Activities'!L133,120)-MAX('Activities'!K133,114))</x:f>
        <x:v>0</x:v>
      </x:c>
      <x:c r="Y133" s="23" t="n">
        <x:f>MAX(0,MIN('Activities'!L133,126)-MAX('Activities'!K133,120))</x:f>
        <x:v>0</x:v>
      </x:c>
      <x:c r="Z133" s="23" t="n">
        <x:f>MAX(0,MIN('Activities'!L133,132)-MAX('Activities'!K133,126))</x:f>
        <x:v>0</x:v>
      </x:c>
      <x:c r="AA133" s="23" t="n">
        <x:f>MAX(0,MIN('Activities'!L133,138)-MAX('Activities'!K133,132))</x:f>
        <x:v>0</x:v>
      </x:c>
      <x:c r="AB133" s="23" t="n">
        <x:f>MAX(0,MIN('Activities'!L133,144)-MAX('Activities'!K133,138))</x:f>
        <x:v>0</x:v>
      </x:c>
      <x:c r="AC133" s="23" t="n">
        <x:f>MAX(0,MIN('Activities'!L133,150)-MAX('Activities'!K133,144))</x:f>
        <x:v>0</x:v>
      </x:c>
      <x:c r="AD133" s="23" t="n">
        <x:f>MAX(0,MIN('Activities'!L133,156)-MAX('Activities'!K133,150))</x:f>
        <x:v>0</x:v>
      </x:c>
      <x:c r="AE133" s="23" t="n">
        <x:f>MAX(0,MIN('Activities'!L133,162)-MAX('Activities'!K133,156))</x:f>
        <x:v>0</x:v>
      </x:c>
      <x:c r="AF133" s="23" t="n">
        <x:f>MAX(0,MIN('Activities'!L133,168)-MAX('Activities'!K133,162))</x:f>
        <x:v>0</x:v>
      </x:c>
      <x:c r="AG133" s="23" t="n">
        <x:f>MAX(0,MIN('Activities'!L133,174)-MAX('Activities'!K133,168))</x:f>
        <x:v>0</x:v>
      </x:c>
      <x:c r="AH133" s="23" t="n">
        <x:f>MAX(0,MIN('Activities'!L133,180)-MAX('Activities'!K133,174))</x:f>
        <x:v>0</x:v>
      </x:c>
      <x:c r="AI133" s="23" t="n">
        <x:f>MAX(0,MIN('Activities'!L133,186)-MAX('Activities'!K133,180))</x:f>
        <x:v>0</x:v>
      </x:c>
      <x:c r="AJ133" s="23" t="n">
        <x:f>MAX(0,MIN('Activities'!L133,192)-MAX('Activities'!K133,186))</x:f>
        <x:v>0</x:v>
      </x:c>
      <x:c r="AK133" s="23" t="n">
        <x:f>MAX(0,MIN('Activities'!L133,198)-MAX('Activities'!K133,192))</x:f>
        <x:v>0</x:v>
      </x:c>
      <x:c r="AL133" s="23" t="n">
        <x:f>MAX(0,MIN('Activities'!L133,204)-MAX('Activities'!K133,198))</x:f>
        <x:v>0</x:v>
      </x:c>
      <x:c r="AM133" s="23" t="n">
        <x:f>MAX(0,MIN('Activities'!L133,210)-MAX('Activities'!K133,204))</x:f>
        <x:v>0</x:v>
      </x:c>
      <x:c r="AN133" s="23" t="n">
        <x:f>MAX(0,MIN('Activities'!L133,216)-MAX('Activities'!K133,210))</x:f>
        <x:v>0</x:v>
      </x:c>
      <x:c r="AO133" s="23" t="n">
        <x:f>MAX(0,MIN('Activities'!L133,222)-MAX('Activities'!K133,216))</x:f>
        <x:v>0</x:v>
      </x:c>
      <x:c r="AP133" s="23" t="n">
        <x:f>MAX(0,MIN('Activities'!L133,228)-MAX('Activities'!K133,222))</x:f>
        <x:v>0</x:v>
      </x:c>
      <x:c r="AQ133" s="23" t="n">
        <x:f>MAX(0,MIN('Activities'!L133,234)-MAX('Activities'!K133,228))</x:f>
        <x:v>0</x:v>
      </x:c>
      <x:c r="AR133" s="23" t="n">
        <x:f>MAX(0,MIN('Activities'!L133,240)-MAX('Activities'!K133,234))</x:f>
        <x:v>0</x:v>
      </x:c>
      <x:c r="AS133" s="23" t="n">
        <x:f>MAX(0,MIN('Activities'!L133,246)-MAX('Activities'!K133,240))</x:f>
        <x:v>0</x:v>
      </x:c>
      <x:c r="AT133" s="23" t="n">
        <x:f>MAX(0,MIN('Activities'!L133,252)-MAX('Activities'!K133,246))</x:f>
        <x:v>0</x:v>
      </x:c>
      <x:c r="AU133" s="23" t="n">
        <x:f>MAX(0,MIN('Activities'!L133,258)-MAX('Activities'!K133,252))</x:f>
        <x:v>0</x:v>
      </x:c>
      <x:c r="AV133" s="23" t="n">
        <x:f>MAX(0,MIN('Activities'!L133,264)-MAX('Activities'!K133,258))</x:f>
        <x:v>0</x:v>
      </x:c>
      <x:c r="AW133" s="23" t="n">
        <x:f>MAX(0,MIN('Activities'!L133,270)-MAX('Activities'!K133,264))</x:f>
        <x:v>0</x:v>
      </x:c>
      <x:c r="AX133" s="23" t="n">
        <x:f>MAX(0,MIN('Activities'!L133,276)-MAX('Activities'!K133,270))</x:f>
        <x:v>0</x:v>
      </x:c>
      <x:c r="AY133" s="23" t="n">
        <x:f>MAX(0,MIN('Activities'!L133,282)-MAX('Activities'!K133,276))</x:f>
        <x:v>0</x:v>
      </x:c>
      <x:c r="AZ133" s="23" t="n">
        <x:f>MAX(0,MIN('Activities'!L133,288)-MAX('Activities'!K133,282))</x:f>
        <x:v>0</x:v>
      </x:c>
      <x:c r="BA133" s="23" t="n">
        <x:f>MAX(0,MIN('Activities'!L133,294)-MAX('Activities'!K133,288))</x:f>
        <x:v>0</x:v>
      </x:c>
      <x:c r="BB133" s="23" t="n">
        <x:f>MAX(0,MIN('Activities'!L133,300)-MAX('Activities'!K133,294))</x:f>
        <x:v>0</x:v>
      </x:c>
      <x:c r="BC133" s="23" t="n">
        <x:f>MAX(0,MIN('Activities'!L133,306)-MAX('Activities'!K133,300))</x:f>
        <x:v>0</x:v>
      </x:c>
      <x:c r="BD133" s="23" t="n">
        <x:f>MAX(0,MIN('Activities'!L133,312)-MAX('Activities'!K133,306))</x:f>
        <x:v>0</x:v>
      </x:c>
      <x:c r="BE133" s="23" t="n">
        <x:f>MAX(0,MIN('Activities'!L133,318)-MAX('Activities'!K133,312))</x:f>
        <x:v>0</x:v>
      </x:c>
      <x:c r="BF133" s="23" t="n">
        <x:f>MAX(0,MIN('Activities'!L133,324)-MAX('Activities'!K133,318))</x:f>
        <x:v>0</x:v>
      </x:c>
      <x:c r="BG133" s="23" t="n">
        <x:f>MAX(0,MIN('Activities'!L133,330)-MAX('Activities'!K133,324))</x:f>
        <x:v>0</x:v>
      </x:c>
      <x:c r="BH133" s="23" t="n">
        <x:f>MAX(0,MIN('Activities'!L133,336)-MAX('Activities'!K133,330))</x:f>
        <x:v>0</x:v>
      </x:c>
      <x:c r="BI133" s="23" t="n">
        <x:f>MAX(0,MIN('Activities'!L133,342)-MAX('Activities'!K133,336))</x:f>
        <x:v>0</x:v>
      </x:c>
      <x:c r="BJ133" s="23" t="n">
        <x:f>MAX(0,MIN('Activities'!L133,348)-MAX('Activities'!K133,342))</x:f>
        <x:v>0</x:v>
      </x:c>
      <x:c r="BK133" s="23" t="n">
        <x:f>MAX(0,MIN('Activities'!L133,354)-MAX('Activities'!K133,348))</x:f>
        <x:v>0</x:v>
      </x:c>
      <x:c r="BL133" s="23" t="n">
        <x:f>MAX(0,MIN('Activities'!L133,360)-MAX('Activities'!K133,354))</x:f>
        <x:v>0</x:v>
      </x:c>
      <x:c r="BM133" s="23" t="n">
        <x:f>MAX(0,MIN('Activities'!L133,366)-MAX('Activities'!K133,360))</x:f>
        <x:v>0</x:v>
      </x:c>
      <x:c r="BN133" s="23" t="n">
        <x:f>MAX(0,MIN('Activities'!L133,372)-MAX('Activities'!K133,366))</x:f>
        <x:v>0</x:v>
      </x:c>
      <x:c r="BO133" s="23" t="n">
        <x:f>MAX(0,MIN('Activities'!L133,378)-MAX('Activities'!K133,372))</x:f>
        <x:v>0</x:v>
      </x:c>
      <x:c r="BP133" s="23" t="n">
        <x:f>MAX(0,MIN('Activities'!L133,384)-MAX('Activities'!K133,378))</x:f>
        <x:v>0</x:v>
      </x:c>
      <x:c r="BQ133" s="23" t="n">
        <x:f>MAX(0,MIN('Activities'!L133,390)-MAX('Activities'!K133,384))</x:f>
        <x:v>1</x:v>
      </x:c>
      <x:c r="BR133" s="23" t="n">
        <x:f>MAX(0,MIN('Activities'!L133,396)-MAX('Activities'!K133,390))</x:f>
        <x:v>2</x:v>
      </x:c>
      <x:c r="BS133" s="23" t="n">
        <x:f>MAX(0,MIN('Activities'!L133,402)-MAX('Activities'!K133,396))</x:f>
        <x:v>0</x:v>
      </x:c>
      <x:c r="BT133" s="23" t="n">
        <x:f>MAX(0,MIN('Activities'!L133,408)-MAX('Activities'!K133,402))</x:f>
        <x:v>0</x:v>
      </x:c>
      <x:c r="BU133" s="23" t="n">
        <x:f>MAX(0,MIN('Activities'!L133,414)-MAX('Activities'!K133,408))</x:f>
        <x:v>0</x:v>
      </x:c>
      <x:c r="BV133" s="23" t="n">
        <x:f>MAX(0,MIN('Activities'!L133,420)-MAX('Activities'!K133,414))</x:f>
        <x:v>0</x:v>
      </x:c>
      <x:c r="BW133" s="23" t="n">
        <x:f>MAX(0,MIN('Activities'!L133,426)-MAX('Activities'!K133,420))</x:f>
        <x:v>0</x:v>
      </x:c>
      <x:c r="BX133" s="23" t="n">
        <x:f>MAX(0,MIN('Activities'!L133,432)-MAX('Activities'!K133,426))</x:f>
        <x:v>0</x:v>
      </x:c>
      <x:c r="BY133" s="23" t="n">
        <x:f>MAX(0,MIN('Activities'!L133,438)-MAX('Activities'!K133,432))</x:f>
        <x:v>0</x:v>
      </x:c>
      <x:c r="BZ133" s="23" t="n">
        <x:f>MAX(0,MIN('Activities'!L133,444)-MAX('Activities'!K133,438))</x:f>
        <x:v>0</x:v>
      </x:c>
      <x:c r="CA133" s="23" t="n">
        <x:f>MAX(0,MIN('Activities'!L133,450)-MAX('Activities'!K133,444))</x:f>
        <x:v>0</x:v>
      </x:c>
      <x:c r="CB133" s="23" t="n">
        <x:f>MAX(0,MIN('Activities'!L133,456)-MAX('Activities'!K133,450))</x:f>
        <x:v>0</x:v>
      </x:c>
      <x:c r="CC133" s="23" t="n">
        <x:f>MAX(0,MIN('Activities'!L133,462)-MAX('Activities'!K133,456))</x:f>
        <x:v>0</x:v>
      </x:c>
      <x:c r="CD133" s="23" t="n">
        <x:f>MAX(0,MIN('Activities'!L133,468)-MAX('Activities'!K133,462))</x:f>
        <x:v>0</x:v>
      </x:c>
      <x:c r="CE133" s="23" t="n">
        <x:f>MAX(0,MIN('Activities'!L133,474)-MAX('Activities'!K133,468))</x:f>
        <x:v>0</x:v>
      </x:c>
      <x:c r="CF133" s="23" t="n">
        <x:f>MAX(0,MIN('Activities'!L133,480)-MAX('Activities'!K133,474))</x:f>
        <x:v>0</x:v>
      </x:c>
      <x:c r="CG133" s="23" t="n">
        <x:f>MAX(0,MIN('Activities'!L133,486)-MAX('Activities'!K133,480))</x:f>
        <x:v>0</x:v>
      </x:c>
      <x:c r="CH133" s="23" t="n">
        <x:f>MAX(0,MIN('Activities'!L133,492)-MAX('Activities'!K133,486))</x:f>
        <x:v>0</x:v>
      </x:c>
      <x:c r="CI133" s="23" t="n">
        <x:f>MAX(0,MIN('Activities'!L133,498)-MAX('Activities'!K133,492))</x:f>
        <x:v>0</x:v>
      </x:c>
      <x:c r="CJ133" s="23" t="n">
        <x:f>MAX(0,MIN('Activities'!L133,504)-MAX('Activities'!K133,498))</x:f>
        <x:v>0</x:v>
      </x:c>
      <x:c r="CK133" s="23" t="n">
        <x:f>MAX(0,MIN('Activities'!L133,510)-MAX('Activities'!K133,504))</x:f>
        <x:v>0</x:v>
      </x:c>
      <x:c r="CL133" s="23" t="n">
        <x:f>MAX(0,MIN('Activities'!L133,516)-MAX('Activities'!K133,510))</x:f>
        <x:v>0</x:v>
      </x:c>
      <x:c r="CM133" s="23" t="n">
        <x:f>MAX(0,MIN('Activities'!L133,522)-MAX('Activities'!K133,516))</x:f>
        <x:v>0</x:v>
      </x:c>
      <x:c r="CN133" s="23" t="n">
        <x:f>MAX(0,MIN('Activities'!L133,528)-MAX('Activities'!K133,522))</x:f>
        <x:v>0</x:v>
      </x:c>
      <x:c r="CO133" s="23" t="n">
        <x:f>MAX(0,MIN('Activities'!L133,534)-MAX('Activities'!K133,528))</x:f>
        <x:v>0</x:v>
      </x:c>
      <x:c r="CP133" s="23" t="n">
        <x:f>MAX(0,MIN('Activities'!L133,540)-MAX('Activities'!K133,534))</x:f>
        <x:v>0</x:v>
      </x:c>
      <x:c r="CQ133" s="23" t="n">
        <x:f>MAX(0,MIN('Activities'!L133,546)-MAX('Activities'!K133,540))</x:f>
        <x:v>0</x:v>
      </x:c>
      <x:c r="CR133" s="23" t="n">
        <x:f>MAX(0,MIN('Activities'!L133,552)-MAX('Activities'!K133,546))</x:f>
        <x:v>0</x:v>
      </x:c>
      <x:c r="CS133" s="23" t="n">
        <x:f>MAX(0,MIN('Activities'!L133,558)-MAX('Activities'!K133,552))</x:f>
        <x:v>0</x:v>
      </x:c>
      <x:c r="CT133" s="23" t="n">
        <x:f>MAX(0,MIN('Activities'!L133,564)-MAX('Activities'!K133,558))</x:f>
        <x:v>0</x:v>
      </x:c>
      <x:c r="CU133" s="23" t="n">
        <x:f>MAX(0,MIN('Activities'!L133,570)-MAX('Activities'!K133,564))</x:f>
        <x:v>0</x:v>
      </x:c>
      <x:c r="CV133" s="23" t="n">
        <x:f>MAX(0,MIN('Activities'!L133,576)-MAX('Activities'!K133,570))</x:f>
        <x:v>0</x:v>
      </x:c>
      <x:c r="CW133" s="23" t="n">
        <x:f>MAX(0,MIN('Activities'!L133,582)-MAX('Activities'!K133,576))</x:f>
        <x:v>0</x:v>
      </x:c>
      <x:c r="CX133" s="23" t="n">
        <x:f>MAX(0,MIN('Activities'!L133,588)-MAX('Activities'!K133,582))</x:f>
        <x:v>0</x:v>
      </x:c>
      <x:c r="CY133" s="23" t="n">
        <x:f>MAX(0,MIN('Activities'!L133,594)-MAX('Activities'!K133,588))</x:f>
        <x:v>0</x:v>
      </x:c>
      <x:c r="CZ133" s="23" t="n">
        <x:f>MAX(0,MIN('Activities'!L133,600)-MAX('Activities'!K133,594))</x:f>
        <x:v>0</x:v>
      </x:c>
      <x:c r="DA133" s="23" t="n">
        <x:f>MAX(0,MIN('Activities'!L133,606)-MAX('Activities'!K133,600))</x:f>
        <x:v>0</x:v>
      </x:c>
      <x:c r="DB133" s="23" t="n">
        <x:f>MAX(0,MIN('Activities'!L133,612)-MAX('Activities'!K133,606))</x:f>
        <x:v>0</x:v>
      </x:c>
      <x:c r="DC133" s="23" t="n">
        <x:f>MAX(0,MIN('Activities'!L133,618)-MAX('Activities'!K133,612))</x:f>
        <x:v>0</x:v>
      </x:c>
      <x:c r="DD133" s="23" t="n">
        <x:f>MAX(0,MIN('Activities'!L133,624)-MAX('Activities'!K133,618))</x:f>
        <x:v>0</x:v>
      </x:c>
      <x:c r="DE133" s="23" t="n">
        <x:f>MAX(0,MIN('Activities'!L133,630)-MAX('Activities'!K133,624))</x:f>
        <x:v>0</x:v>
      </x:c>
      <x:c r="DF133" s="23" t="n">
        <x:f>MAX(0,MIN('Activities'!L133,636)-MAX('Activities'!K133,630))</x:f>
        <x:v>0</x:v>
      </x:c>
    </x:row>
    <x:row r="134" ht="23" customHeight="1">
      <x:c r="A134" s="6" t="str">
        <x:v>T1-L10-T</x:v>
      </x:c>
      <x:c r="B134" s="6" t="str">
        <x:v>T1</x:v>
      </x:c>
      <x:c r="C134" s="6" t="str">
        <x:v>Floor finishes and skirtings</x:v>
      </x:c>
      <x:c r="D134" s="6" t="str">
        <x:v>Finishes</x:v>
      </x:c>
      <x:c r="E134" s="22" t="n">
        <x:f>MAX(0,MIN('Activities'!L134,6)-MAX('Activities'!K134,0))</x:f>
        <x:v>0</x:v>
      </x:c>
      <x:c r="F134" s="22" t="n">
        <x:f>MAX(0,MIN('Activities'!L134,12)-MAX('Activities'!K134,6))</x:f>
        <x:v>0</x:v>
      </x:c>
      <x:c r="G134" s="22" t="n">
        <x:f>MAX(0,MIN('Activities'!L134,18)-MAX('Activities'!K134,12))</x:f>
        <x:v>0</x:v>
      </x:c>
      <x:c r="H134" s="22" t="n">
        <x:f>MAX(0,MIN('Activities'!L134,24)-MAX('Activities'!K134,18))</x:f>
        <x:v>0</x:v>
      </x:c>
      <x:c r="I134" s="22" t="n">
        <x:f>MAX(0,MIN('Activities'!L134,30)-MAX('Activities'!K134,24))</x:f>
        <x:v>0</x:v>
      </x:c>
      <x:c r="J134" s="22" t="n">
        <x:f>MAX(0,MIN('Activities'!L134,36)-MAX('Activities'!K134,30))</x:f>
        <x:v>0</x:v>
      </x:c>
      <x:c r="K134" s="22" t="n">
        <x:f>MAX(0,MIN('Activities'!L134,42)-MAX('Activities'!K134,36))</x:f>
        <x:v>0</x:v>
      </x:c>
      <x:c r="L134" s="22" t="n">
        <x:f>MAX(0,MIN('Activities'!L134,48)-MAX('Activities'!K134,42))</x:f>
        <x:v>0</x:v>
      </x:c>
      <x:c r="M134" s="22" t="n">
        <x:f>MAX(0,MIN('Activities'!L134,54)-MAX('Activities'!K134,48))</x:f>
        <x:v>0</x:v>
      </x:c>
      <x:c r="N134" s="22" t="n">
        <x:f>MAX(0,MIN('Activities'!L134,60)-MAX('Activities'!K134,54))</x:f>
        <x:v>0</x:v>
      </x:c>
      <x:c r="O134" s="22" t="n">
        <x:f>MAX(0,MIN('Activities'!L134,66)-MAX('Activities'!K134,60))</x:f>
        <x:v>0</x:v>
      </x:c>
      <x:c r="P134" s="22" t="n">
        <x:f>MAX(0,MIN('Activities'!L134,72)-MAX('Activities'!K134,66))</x:f>
        <x:v>0</x:v>
      </x:c>
      <x:c r="Q134" s="22" t="n">
        <x:f>MAX(0,MIN('Activities'!L134,78)-MAX('Activities'!K134,72))</x:f>
        <x:v>0</x:v>
      </x:c>
      <x:c r="R134" s="22" t="n">
        <x:f>MAX(0,MIN('Activities'!L134,84)-MAX('Activities'!K134,78))</x:f>
        <x:v>0</x:v>
      </x:c>
      <x:c r="S134" s="22" t="n">
        <x:f>MAX(0,MIN('Activities'!L134,90)-MAX('Activities'!K134,84))</x:f>
        <x:v>0</x:v>
      </x:c>
      <x:c r="T134" s="22" t="n">
        <x:f>MAX(0,MIN('Activities'!L134,96)-MAX('Activities'!K134,90))</x:f>
        <x:v>0</x:v>
      </x:c>
      <x:c r="U134" s="22" t="n">
        <x:f>MAX(0,MIN('Activities'!L134,102)-MAX('Activities'!K134,96))</x:f>
        <x:v>0</x:v>
      </x:c>
      <x:c r="V134" s="22" t="n">
        <x:f>MAX(0,MIN('Activities'!L134,108)-MAX('Activities'!K134,102))</x:f>
        <x:v>0</x:v>
      </x:c>
      <x:c r="W134" s="22" t="n">
        <x:f>MAX(0,MIN('Activities'!L134,114)-MAX('Activities'!K134,108))</x:f>
        <x:v>0</x:v>
      </x:c>
      <x:c r="X134" s="22" t="n">
        <x:f>MAX(0,MIN('Activities'!L134,120)-MAX('Activities'!K134,114))</x:f>
        <x:v>0</x:v>
      </x:c>
      <x:c r="Y134" s="22" t="n">
        <x:f>MAX(0,MIN('Activities'!L134,126)-MAX('Activities'!K134,120))</x:f>
        <x:v>0</x:v>
      </x:c>
      <x:c r="Z134" s="22" t="n">
        <x:f>MAX(0,MIN('Activities'!L134,132)-MAX('Activities'!K134,126))</x:f>
        <x:v>0</x:v>
      </x:c>
      <x:c r="AA134" s="22" t="n">
        <x:f>MAX(0,MIN('Activities'!L134,138)-MAX('Activities'!K134,132))</x:f>
        <x:v>0</x:v>
      </x:c>
      <x:c r="AB134" s="22" t="n">
        <x:f>MAX(0,MIN('Activities'!L134,144)-MAX('Activities'!K134,138))</x:f>
        <x:v>0</x:v>
      </x:c>
      <x:c r="AC134" s="22" t="n">
        <x:f>MAX(0,MIN('Activities'!L134,150)-MAX('Activities'!K134,144))</x:f>
        <x:v>0</x:v>
      </x:c>
      <x:c r="AD134" s="22" t="n">
        <x:f>MAX(0,MIN('Activities'!L134,156)-MAX('Activities'!K134,150))</x:f>
        <x:v>0</x:v>
      </x:c>
      <x:c r="AE134" s="22" t="n">
        <x:f>MAX(0,MIN('Activities'!L134,162)-MAX('Activities'!K134,156))</x:f>
        <x:v>0</x:v>
      </x:c>
      <x:c r="AF134" s="22" t="n">
        <x:f>MAX(0,MIN('Activities'!L134,168)-MAX('Activities'!K134,162))</x:f>
        <x:v>0</x:v>
      </x:c>
      <x:c r="AG134" s="22" t="n">
        <x:f>MAX(0,MIN('Activities'!L134,174)-MAX('Activities'!K134,168))</x:f>
        <x:v>0</x:v>
      </x:c>
      <x:c r="AH134" s="22" t="n">
        <x:f>MAX(0,MIN('Activities'!L134,180)-MAX('Activities'!K134,174))</x:f>
        <x:v>0</x:v>
      </x:c>
      <x:c r="AI134" s="22" t="n">
        <x:f>MAX(0,MIN('Activities'!L134,186)-MAX('Activities'!K134,180))</x:f>
        <x:v>0</x:v>
      </x:c>
      <x:c r="AJ134" s="22" t="n">
        <x:f>MAX(0,MIN('Activities'!L134,192)-MAX('Activities'!K134,186))</x:f>
        <x:v>0</x:v>
      </x:c>
      <x:c r="AK134" s="22" t="n">
        <x:f>MAX(0,MIN('Activities'!L134,198)-MAX('Activities'!K134,192))</x:f>
        <x:v>0</x:v>
      </x:c>
      <x:c r="AL134" s="22" t="n">
        <x:f>MAX(0,MIN('Activities'!L134,204)-MAX('Activities'!K134,198))</x:f>
        <x:v>0</x:v>
      </x:c>
      <x:c r="AM134" s="22" t="n">
        <x:f>MAX(0,MIN('Activities'!L134,210)-MAX('Activities'!K134,204))</x:f>
        <x:v>0</x:v>
      </x:c>
      <x:c r="AN134" s="22" t="n">
        <x:f>MAX(0,MIN('Activities'!L134,216)-MAX('Activities'!K134,210))</x:f>
        <x:v>0</x:v>
      </x:c>
      <x:c r="AO134" s="22" t="n">
        <x:f>MAX(0,MIN('Activities'!L134,222)-MAX('Activities'!K134,216))</x:f>
        <x:v>0</x:v>
      </x:c>
      <x:c r="AP134" s="22" t="n">
        <x:f>MAX(0,MIN('Activities'!L134,228)-MAX('Activities'!K134,222))</x:f>
        <x:v>0</x:v>
      </x:c>
      <x:c r="AQ134" s="22" t="n">
        <x:f>MAX(0,MIN('Activities'!L134,234)-MAX('Activities'!K134,228))</x:f>
        <x:v>0</x:v>
      </x:c>
      <x:c r="AR134" s="22" t="n">
        <x:f>MAX(0,MIN('Activities'!L134,240)-MAX('Activities'!K134,234))</x:f>
        <x:v>0</x:v>
      </x:c>
      <x:c r="AS134" s="22" t="n">
        <x:f>MAX(0,MIN('Activities'!L134,246)-MAX('Activities'!K134,240))</x:f>
        <x:v>0</x:v>
      </x:c>
      <x:c r="AT134" s="22" t="n">
        <x:f>MAX(0,MIN('Activities'!L134,252)-MAX('Activities'!K134,246))</x:f>
        <x:v>0</x:v>
      </x:c>
      <x:c r="AU134" s="22" t="n">
        <x:f>MAX(0,MIN('Activities'!L134,258)-MAX('Activities'!K134,252))</x:f>
        <x:v>0</x:v>
      </x:c>
      <x:c r="AV134" s="22" t="n">
        <x:f>MAX(0,MIN('Activities'!L134,264)-MAX('Activities'!K134,258))</x:f>
        <x:v>0</x:v>
      </x:c>
      <x:c r="AW134" s="22" t="n">
        <x:f>MAX(0,MIN('Activities'!L134,270)-MAX('Activities'!K134,264))</x:f>
        <x:v>0</x:v>
      </x:c>
      <x:c r="AX134" s="22" t="n">
        <x:f>MAX(0,MIN('Activities'!L134,276)-MAX('Activities'!K134,270))</x:f>
        <x:v>0</x:v>
      </x:c>
      <x:c r="AY134" s="22" t="n">
        <x:f>MAX(0,MIN('Activities'!L134,282)-MAX('Activities'!K134,276))</x:f>
        <x:v>0</x:v>
      </x:c>
      <x:c r="AZ134" s="22" t="n">
        <x:f>MAX(0,MIN('Activities'!L134,288)-MAX('Activities'!K134,282))</x:f>
        <x:v>0</x:v>
      </x:c>
      <x:c r="BA134" s="22" t="n">
        <x:f>MAX(0,MIN('Activities'!L134,294)-MAX('Activities'!K134,288))</x:f>
        <x:v>0</x:v>
      </x:c>
      <x:c r="BB134" s="22" t="n">
        <x:f>MAX(0,MIN('Activities'!L134,300)-MAX('Activities'!K134,294))</x:f>
        <x:v>0</x:v>
      </x:c>
      <x:c r="BC134" s="22" t="n">
        <x:f>MAX(0,MIN('Activities'!L134,306)-MAX('Activities'!K134,300))</x:f>
        <x:v>0</x:v>
      </x:c>
      <x:c r="BD134" s="22" t="n">
        <x:f>MAX(0,MIN('Activities'!L134,312)-MAX('Activities'!K134,306))</x:f>
        <x:v>0</x:v>
      </x:c>
      <x:c r="BE134" s="22" t="n">
        <x:f>MAX(0,MIN('Activities'!L134,318)-MAX('Activities'!K134,312))</x:f>
        <x:v>0</x:v>
      </x:c>
      <x:c r="BF134" s="22" t="n">
        <x:f>MAX(0,MIN('Activities'!L134,324)-MAX('Activities'!K134,318))</x:f>
        <x:v>0</x:v>
      </x:c>
      <x:c r="BG134" s="22" t="n">
        <x:f>MAX(0,MIN('Activities'!L134,330)-MAX('Activities'!K134,324))</x:f>
        <x:v>0</x:v>
      </x:c>
      <x:c r="BH134" s="22" t="n">
        <x:f>MAX(0,MIN('Activities'!L134,336)-MAX('Activities'!K134,330))</x:f>
        <x:v>0</x:v>
      </x:c>
      <x:c r="BI134" s="22" t="n">
        <x:f>MAX(0,MIN('Activities'!L134,342)-MAX('Activities'!K134,336))</x:f>
        <x:v>0</x:v>
      </x:c>
      <x:c r="BJ134" s="22" t="n">
        <x:f>MAX(0,MIN('Activities'!L134,348)-MAX('Activities'!K134,342))</x:f>
        <x:v>0</x:v>
      </x:c>
      <x:c r="BK134" s="22" t="n">
        <x:f>MAX(0,MIN('Activities'!L134,354)-MAX('Activities'!K134,348))</x:f>
        <x:v>0</x:v>
      </x:c>
      <x:c r="BL134" s="22" t="n">
        <x:f>MAX(0,MIN('Activities'!L134,360)-MAX('Activities'!K134,354))</x:f>
        <x:v>0</x:v>
      </x:c>
      <x:c r="BM134" s="22" t="n">
        <x:f>MAX(0,MIN('Activities'!L134,366)-MAX('Activities'!K134,360))</x:f>
        <x:v>0</x:v>
      </x:c>
      <x:c r="BN134" s="22" t="n">
        <x:f>MAX(0,MIN('Activities'!L134,372)-MAX('Activities'!K134,366))</x:f>
        <x:v>0</x:v>
      </x:c>
      <x:c r="BO134" s="22" t="n">
        <x:f>MAX(0,MIN('Activities'!L134,378)-MAX('Activities'!K134,372))</x:f>
        <x:v>0</x:v>
      </x:c>
      <x:c r="BP134" s="22" t="n">
        <x:f>MAX(0,MIN('Activities'!L134,384)-MAX('Activities'!K134,378))</x:f>
        <x:v>0</x:v>
      </x:c>
      <x:c r="BQ134" s="22" t="n">
        <x:f>MAX(0,MIN('Activities'!L134,390)-MAX('Activities'!K134,384))</x:f>
        <x:v>0</x:v>
      </x:c>
      <x:c r="BR134" s="22" t="n">
        <x:f>MAX(0,MIN('Activities'!L134,396)-MAX('Activities'!K134,390))</x:f>
        <x:v>0</x:v>
      </x:c>
      <x:c r="BS134" s="22" t="n">
        <x:f>MAX(0,MIN('Activities'!L134,402)-MAX('Activities'!K134,396))</x:f>
        <x:v>0</x:v>
      </x:c>
      <x:c r="BT134" s="22" t="n">
        <x:f>MAX(0,MIN('Activities'!L134,408)-MAX('Activities'!K134,402))</x:f>
        <x:v>2</x:v>
      </x:c>
      <x:c r="BU134" s="22" t="n">
        <x:f>MAX(0,MIN('Activities'!L134,414)-MAX('Activities'!K134,408))</x:f>
        <x:v>4</x:v>
      </x:c>
      <x:c r="BV134" s="22" t="n">
        <x:f>MAX(0,MIN('Activities'!L134,420)-MAX('Activities'!K134,414))</x:f>
        <x:v>0</x:v>
      </x:c>
      <x:c r="BW134" s="22" t="n">
        <x:f>MAX(0,MIN('Activities'!L134,426)-MAX('Activities'!K134,420))</x:f>
        <x:v>0</x:v>
      </x:c>
      <x:c r="BX134" s="22" t="n">
        <x:f>MAX(0,MIN('Activities'!L134,432)-MAX('Activities'!K134,426))</x:f>
        <x:v>0</x:v>
      </x:c>
      <x:c r="BY134" s="22" t="n">
        <x:f>MAX(0,MIN('Activities'!L134,438)-MAX('Activities'!K134,432))</x:f>
        <x:v>0</x:v>
      </x:c>
      <x:c r="BZ134" s="22" t="n">
        <x:f>MAX(0,MIN('Activities'!L134,444)-MAX('Activities'!K134,438))</x:f>
        <x:v>0</x:v>
      </x:c>
      <x:c r="CA134" s="22" t="n">
        <x:f>MAX(0,MIN('Activities'!L134,450)-MAX('Activities'!K134,444))</x:f>
        <x:v>0</x:v>
      </x:c>
      <x:c r="CB134" s="22" t="n">
        <x:f>MAX(0,MIN('Activities'!L134,456)-MAX('Activities'!K134,450))</x:f>
        <x:v>0</x:v>
      </x:c>
      <x:c r="CC134" s="22" t="n">
        <x:f>MAX(0,MIN('Activities'!L134,462)-MAX('Activities'!K134,456))</x:f>
        <x:v>0</x:v>
      </x:c>
      <x:c r="CD134" s="22" t="n">
        <x:f>MAX(0,MIN('Activities'!L134,468)-MAX('Activities'!K134,462))</x:f>
        <x:v>0</x:v>
      </x:c>
      <x:c r="CE134" s="22" t="n">
        <x:f>MAX(0,MIN('Activities'!L134,474)-MAX('Activities'!K134,468))</x:f>
        <x:v>0</x:v>
      </x:c>
      <x:c r="CF134" s="22" t="n">
        <x:f>MAX(0,MIN('Activities'!L134,480)-MAX('Activities'!K134,474))</x:f>
        <x:v>0</x:v>
      </x:c>
      <x:c r="CG134" s="22" t="n">
        <x:f>MAX(0,MIN('Activities'!L134,486)-MAX('Activities'!K134,480))</x:f>
        <x:v>0</x:v>
      </x:c>
      <x:c r="CH134" s="22" t="n">
        <x:f>MAX(0,MIN('Activities'!L134,492)-MAX('Activities'!K134,486))</x:f>
        <x:v>0</x:v>
      </x:c>
      <x:c r="CI134" s="22" t="n">
        <x:f>MAX(0,MIN('Activities'!L134,498)-MAX('Activities'!K134,492))</x:f>
        <x:v>0</x:v>
      </x:c>
      <x:c r="CJ134" s="22" t="n">
        <x:f>MAX(0,MIN('Activities'!L134,504)-MAX('Activities'!K134,498))</x:f>
        <x:v>0</x:v>
      </x:c>
      <x:c r="CK134" s="22" t="n">
        <x:f>MAX(0,MIN('Activities'!L134,510)-MAX('Activities'!K134,504))</x:f>
        <x:v>0</x:v>
      </x:c>
      <x:c r="CL134" s="22" t="n">
        <x:f>MAX(0,MIN('Activities'!L134,516)-MAX('Activities'!K134,510))</x:f>
        <x:v>0</x:v>
      </x:c>
      <x:c r="CM134" s="22" t="n">
        <x:f>MAX(0,MIN('Activities'!L134,522)-MAX('Activities'!K134,516))</x:f>
        <x:v>0</x:v>
      </x:c>
      <x:c r="CN134" s="22" t="n">
        <x:f>MAX(0,MIN('Activities'!L134,528)-MAX('Activities'!K134,522))</x:f>
        <x:v>0</x:v>
      </x:c>
      <x:c r="CO134" s="22" t="n">
        <x:f>MAX(0,MIN('Activities'!L134,534)-MAX('Activities'!K134,528))</x:f>
        <x:v>0</x:v>
      </x:c>
      <x:c r="CP134" s="22" t="n">
        <x:f>MAX(0,MIN('Activities'!L134,540)-MAX('Activities'!K134,534))</x:f>
        <x:v>0</x:v>
      </x:c>
      <x:c r="CQ134" s="22" t="n">
        <x:f>MAX(0,MIN('Activities'!L134,546)-MAX('Activities'!K134,540))</x:f>
        <x:v>0</x:v>
      </x:c>
      <x:c r="CR134" s="22" t="n">
        <x:f>MAX(0,MIN('Activities'!L134,552)-MAX('Activities'!K134,546))</x:f>
        <x:v>0</x:v>
      </x:c>
      <x:c r="CS134" s="22" t="n">
        <x:f>MAX(0,MIN('Activities'!L134,558)-MAX('Activities'!K134,552))</x:f>
        <x:v>0</x:v>
      </x:c>
      <x:c r="CT134" s="22" t="n">
        <x:f>MAX(0,MIN('Activities'!L134,564)-MAX('Activities'!K134,558))</x:f>
        <x:v>0</x:v>
      </x:c>
      <x:c r="CU134" s="22" t="n">
        <x:f>MAX(0,MIN('Activities'!L134,570)-MAX('Activities'!K134,564))</x:f>
        <x:v>0</x:v>
      </x:c>
      <x:c r="CV134" s="22" t="n">
        <x:f>MAX(0,MIN('Activities'!L134,576)-MAX('Activities'!K134,570))</x:f>
        <x:v>0</x:v>
      </x:c>
      <x:c r="CW134" s="22" t="n">
        <x:f>MAX(0,MIN('Activities'!L134,582)-MAX('Activities'!K134,576))</x:f>
        <x:v>0</x:v>
      </x:c>
      <x:c r="CX134" s="22" t="n">
        <x:f>MAX(0,MIN('Activities'!L134,588)-MAX('Activities'!K134,582))</x:f>
        <x:v>0</x:v>
      </x:c>
      <x:c r="CY134" s="22" t="n">
        <x:f>MAX(0,MIN('Activities'!L134,594)-MAX('Activities'!K134,588))</x:f>
        <x:v>0</x:v>
      </x:c>
      <x:c r="CZ134" s="22" t="n">
        <x:f>MAX(0,MIN('Activities'!L134,600)-MAX('Activities'!K134,594))</x:f>
        <x:v>0</x:v>
      </x:c>
      <x:c r="DA134" s="22" t="n">
        <x:f>MAX(0,MIN('Activities'!L134,606)-MAX('Activities'!K134,600))</x:f>
        <x:v>0</x:v>
      </x:c>
      <x:c r="DB134" s="22" t="n">
        <x:f>MAX(0,MIN('Activities'!L134,612)-MAX('Activities'!K134,606))</x:f>
        <x:v>0</x:v>
      </x:c>
      <x:c r="DC134" s="22" t="n">
        <x:f>MAX(0,MIN('Activities'!L134,618)-MAX('Activities'!K134,612))</x:f>
        <x:v>0</x:v>
      </x:c>
      <x:c r="DD134" s="22" t="n">
        <x:f>MAX(0,MIN('Activities'!L134,624)-MAX('Activities'!K134,618))</x:f>
        <x:v>0</x:v>
      </x:c>
      <x:c r="DE134" s="22" t="n">
        <x:f>MAX(0,MIN('Activities'!L134,630)-MAX('Activities'!K134,624))</x:f>
        <x:v>0</x:v>
      </x:c>
      <x:c r="DF134" s="22" t="n">
        <x:f>MAX(0,MIN('Activities'!L134,636)-MAX('Activities'!K134,630))</x:f>
        <x:v>0</x:v>
      </x:c>
    </x:row>
    <x:row r="135" ht="23" customHeight="1">
      <x:c r="A135" s="1" t="str">
        <x:v>T1-L10-A</x:v>
      </x:c>
      <x:c r="B135" s="1" t="str">
        <x:v>T1</x:v>
      </x:c>
      <x:c r="C135" s="1" t="str">
        <x:v>Paint and final decorations</x:v>
      </x:c>
      <x:c r="D135" s="1" t="str">
        <x:v>Finishes</x:v>
      </x:c>
      <x:c r="E135" s="23" t="n">
        <x:f>MAX(0,MIN('Activities'!L135,6)-MAX('Activities'!K135,0))</x:f>
        <x:v>0</x:v>
      </x:c>
      <x:c r="F135" s="23" t="n">
        <x:f>MAX(0,MIN('Activities'!L135,12)-MAX('Activities'!K135,6))</x:f>
        <x:v>0</x:v>
      </x:c>
      <x:c r="G135" s="23" t="n">
        <x:f>MAX(0,MIN('Activities'!L135,18)-MAX('Activities'!K135,12))</x:f>
        <x:v>0</x:v>
      </x:c>
      <x:c r="H135" s="23" t="n">
        <x:f>MAX(0,MIN('Activities'!L135,24)-MAX('Activities'!K135,18))</x:f>
        <x:v>0</x:v>
      </x:c>
      <x:c r="I135" s="23" t="n">
        <x:f>MAX(0,MIN('Activities'!L135,30)-MAX('Activities'!K135,24))</x:f>
        <x:v>0</x:v>
      </x:c>
      <x:c r="J135" s="23" t="n">
        <x:f>MAX(0,MIN('Activities'!L135,36)-MAX('Activities'!K135,30))</x:f>
        <x:v>0</x:v>
      </x:c>
      <x:c r="K135" s="23" t="n">
        <x:f>MAX(0,MIN('Activities'!L135,42)-MAX('Activities'!K135,36))</x:f>
        <x:v>0</x:v>
      </x:c>
      <x:c r="L135" s="23" t="n">
        <x:f>MAX(0,MIN('Activities'!L135,48)-MAX('Activities'!K135,42))</x:f>
        <x:v>0</x:v>
      </x:c>
      <x:c r="M135" s="23" t="n">
        <x:f>MAX(0,MIN('Activities'!L135,54)-MAX('Activities'!K135,48))</x:f>
        <x:v>0</x:v>
      </x:c>
      <x:c r="N135" s="23" t="n">
        <x:f>MAX(0,MIN('Activities'!L135,60)-MAX('Activities'!K135,54))</x:f>
        <x:v>0</x:v>
      </x:c>
      <x:c r="O135" s="23" t="n">
        <x:f>MAX(0,MIN('Activities'!L135,66)-MAX('Activities'!K135,60))</x:f>
        <x:v>0</x:v>
      </x:c>
      <x:c r="P135" s="23" t="n">
        <x:f>MAX(0,MIN('Activities'!L135,72)-MAX('Activities'!K135,66))</x:f>
        <x:v>0</x:v>
      </x:c>
      <x:c r="Q135" s="23" t="n">
        <x:f>MAX(0,MIN('Activities'!L135,78)-MAX('Activities'!K135,72))</x:f>
        <x:v>0</x:v>
      </x:c>
      <x:c r="R135" s="23" t="n">
        <x:f>MAX(0,MIN('Activities'!L135,84)-MAX('Activities'!K135,78))</x:f>
        <x:v>0</x:v>
      </x:c>
      <x:c r="S135" s="23" t="n">
        <x:f>MAX(0,MIN('Activities'!L135,90)-MAX('Activities'!K135,84))</x:f>
        <x:v>0</x:v>
      </x:c>
      <x:c r="T135" s="23" t="n">
        <x:f>MAX(0,MIN('Activities'!L135,96)-MAX('Activities'!K135,90))</x:f>
        <x:v>0</x:v>
      </x:c>
      <x:c r="U135" s="23" t="n">
        <x:f>MAX(0,MIN('Activities'!L135,102)-MAX('Activities'!K135,96))</x:f>
        <x:v>0</x:v>
      </x:c>
      <x:c r="V135" s="23" t="n">
        <x:f>MAX(0,MIN('Activities'!L135,108)-MAX('Activities'!K135,102))</x:f>
        <x:v>0</x:v>
      </x:c>
      <x:c r="W135" s="23" t="n">
        <x:f>MAX(0,MIN('Activities'!L135,114)-MAX('Activities'!K135,108))</x:f>
        <x:v>0</x:v>
      </x:c>
      <x:c r="X135" s="23" t="n">
        <x:f>MAX(0,MIN('Activities'!L135,120)-MAX('Activities'!K135,114))</x:f>
        <x:v>0</x:v>
      </x:c>
      <x:c r="Y135" s="23" t="n">
        <x:f>MAX(0,MIN('Activities'!L135,126)-MAX('Activities'!K135,120))</x:f>
        <x:v>0</x:v>
      </x:c>
      <x:c r="Z135" s="23" t="n">
        <x:f>MAX(0,MIN('Activities'!L135,132)-MAX('Activities'!K135,126))</x:f>
        <x:v>0</x:v>
      </x:c>
      <x:c r="AA135" s="23" t="n">
        <x:f>MAX(0,MIN('Activities'!L135,138)-MAX('Activities'!K135,132))</x:f>
        <x:v>0</x:v>
      </x:c>
      <x:c r="AB135" s="23" t="n">
        <x:f>MAX(0,MIN('Activities'!L135,144)-MAX('Activities'!K135,138))</x:f>
        <x:v>0</x:v>
      </x:c>
      <x:c r="AC135" s="23" t="n">
        <x:f>MAX(0,MIN('Activities'!L135,150)-MAX('Activities'!K135,144))</x:f>
        <x:v>0</x:v>
      </x:c>
      <x:c r="AD135" s="23" t="n">
        <x:f>MAX(0,MIN('Activities'!L135,156)-MAX('Activities'!K135,150))</x:f>
        <x:v>0</x:v>
      </x:c>
      <x:c r="AE135" s="23" t="n">
        <x:f>MAX(0,MIN('Activities'!L135,162)-MAX('Activities'!K135,156))</x:f>
        <x:v>0</x:v>
      </x:c>
      <x:c r="AF135" s="23" t="n">
        <x:f>MAX(0,MIN('Activities'!L135,168)-MAX('Activities'!K135,162))</x:f>
        <x:v>0</x:v>
      </x:c>
      <x:c r="AG135" s="23" t="n">
        <x:f>MAX(0,MIN('Activities'!L135,174)-MAX('Activities'!K135,168))</x:f>
        <x:v>0</x:v>
      </x:c>
      <x:c r="AH135" s="23" t="n">
        <x:f>MAX(0,MIN('Activities'!L135,180)-MAX('Activities'!K135,174))</x:f>
        <x:v>0</x:v>
      </x:c>
      <x:c r="AI135" s="23" t="n">
        <x:f>MAX(0,MIN('Activities'!L135,186)-MAX('Activities'!K135,180))</x:f>
        <x:v>0</x:v>
      </x:c>
      <x:c r="AJ135" s="23" t="n">
        <x:f>MAX(0,MIN('Activities'!L135,192)-MAX('Activities'!K135,186))</x:f>
        <x:v>0</x:v>
      </x:c>
      <x:c r="AK135" s="23" t="n">
        <x:f>MAX(0,MIN('Activities'!L135,198)-MAX('Activities'!K135,192))</x:f>
        <x:v>0</x:v>
      </x:c>
      <x:c r="AL135" s="23" t="n">
        <x:f>MAX(0,MIN('Activities'!L135,204)-MAX('Activities'!K135,198))</x:f>
        <x:v>0</x:v>
      </x:c>
      <x:c r="AM135" s="23" t="n">
        <x:f>MAX(0,MIN('Activities'!L135,210)-MAX('Activities'!K135,204))</x:f>
        <x:v>0</x:v>
      </x:c>
      <x:c r="AN135" s="23" t="n">
        <x:f>MAX(0,MIN('Activities'!L135,216)-MAX('Activities'!K135,210))</x:f>
        <x:v>0</x:v>
      </x:c>
      <x:c r="AO135" s="23" t="n">
        <x:f>MAX(0,MIN('Activities'!L135,222)-MAX('Activities'!K135,216))</x:f>
        <x:v>0</x:v>
      </x:c>
      <x:c r="AP135" s="23" t="n">
        <x:f>MAX(0,MIN('Activities'!L135,228)-MAX('Activities'!K135,222))</x:f>
        <x:v>0</x:v>
      </x:c>
      <x:c r="AQ135" s="23" t="n">
        <x:f>MAX(0,MIN('Activities'!L135,234)-MAX('Activities'!K135,228))</x:f>
        <x:v>0</x:v>
      </x:c>
      <x:c r="AR135" s="23" t="n">
        <x:f>MAX(0,MIN('Activities'!L135,240)-MAX('Activities'!K135,234))</x:f>
        <x:v>0</x:v>
      </x:c>
      <x:c r="AS135" s="23" t="n">
        <x:f>MAX(0,MIN('Activities'!L135,246)-MAX('Activities'!K135,240))</x:f>
        <x:v>0</x:v>
      </x:c>
      <x:c r="AT135" s="23" t="n">
        <x:f>MAX(0,MIN('Activities'!L135,252)-MAX('Activities'!K135,246))</x:f>
        <x:v>0</x:v>
      </x:c>
      <x:c r="AU135" s="23" t="n">
        <x:f>MAX(0,MIN('Activities'!L135,258)-MAX('Activities'!K135,252))</x:f>
        <x:v>0</x:v>
      </x:c>
      <x:c r="AV135" s="23" t="n">
        <x:f>MAX(0,MIN('Activities'!L135,264)-MAX('Activities'!K135,258))</x:f>
        <x:v>0</x:v>
      </x:c>
      <x:c r="AW135" s="23" t="n">
        <x:f>MAX(0,MIN('Activities'!L135,270)-MAX('Activities'!K135,264))</x:f>
        <x:v>0</x:v>
      </x:c>
      <x:c r="AX135" s="23" t="n">
        <x:f>MAX(0,MIN('Activities'!L135,276)-MAX('Activities'!K135,270))</x:f>
        <x:v>0</x:v>
      </x:c>
      <x:c r="AY135" s="23" t="n">
        <x:f>MAX(0,MIN('Activities'!L135,282)-MAX('Activities'!K135,276))</x:f>
        <x:v>0</x:v>
      </x:c>
      <x:c r="AZ135" s="23" t="n">
        <x:f>MAX(0,MIN('Activities'!L135,288)-MAX('Activities'!K135,282))</x:f>
        <x:v>0</x:v>
      </x:c>
      <x:c r="BA135" s="23" t="n">
        <x:f>MAX(0,MIN('Activities'!L135,294)-MAX('Activities'!K135,288))</x:f>
        <x:v>0</x:v>
      </x:c>
      <x:c r="BB135" s="23" t="n">
        <x:f>MAX(0,MIN('Activities'!L135,300)-MAX('Activities'!K135,294))</x:f>
        <x:v>0</x:v>
      </x:c>
      <x:c r="BC135" s="23" t="n">
        <x:f>MAX(0,MIN('Activities'!L135,306)-MAX('Activities'!K135,300))</x:f>
        <x:v>0</x:v>
      </x:c>
      <x:c r="BD135" s="23" t="n">
        <x:f>MAX(0,MIN('Activities'!L135,312)-MAX('Activities'!K135,306))</x:f>
        <x:v>0</x:v>
      </x:c>
      <x:c r="BE135" s="23" t="n">
        <x:f>MAX(0,MIN('Activities'!L135,318)-MAX('Activities'!K135,312))</x:f>
        <x:v>0</x:v>
      </x:c>
      <x:c r="BF135" s="23" t="n">
        <x:f>MAX(0,MIN('Activities'!L135,324)-MAX('Activities'!K135,318))</x:f>
        <x:v>0</x:v>
      </x:c>
      <x:c r="BG135" s="23" t="n">
        <x:f>MAX(0,MIN('Activities'!L135,330)-MAX('Activities'!K135,324))</x:f>
        <x:v>0</x:v>
      </x:c>
      <x:c r="BH135" s="23" t="n">
        <x:f>MAX(0,MIN('Activities'!L135,336)-MAX('Activities'!K135,330))</x:f>
        <x:v>0</x:v>
      </x:c>
      <x:c r="BI135" s="23" t="n">
        <x:f>MAX(0,MIN('Activities'!L135,342)-MAX('Activities'!K135,336))</x:f>
        <x:v>0</x:v>
      </x:c>
      <x:c r="BJ135" s="23" t="n">
        <x:f>MAX(0,MIN('Activities'!L135,348)-MAX('Activities'!K135,342))</x:f>
        <x:v>0</x:v>
      </x:c>
      <x:c r="BK135" s="23" t="n">
        <x:f>MAX(0,MIN('Activities'!L135,354)-MAX('Activities'!K135,348))</x:f>
        <x:v>0</x:v>
      </x:c>
      <x:c r="BL135" s="23" t="n">
        <x:f>MAX(0,MIN('Activities'!L135,360)-MAX('Activities'!K135,354))</x:f>
        <x:v>0</x:v>
      </x:c>
      <x:c r="BM135" s="23" t="n">
        <x:f>MAX(0,MIN('Activities'!L135,366)-MAX('Activities'!K135,360))</x:f>
        <x:v>0</x:v>
      </x:c>
      <x:c r="BN135" s="23" t="n">
        <x:f>MAX(0,MIN('Activities'!L135,372)-MAX('Activities'!K135,366))</x:f>
        <x:v>0</x:v>
      </x:c>
      <x:c r="BO135" s="23" t="n">
        <x:f>MAX(0,MIN('Activities'!L135,378)-MAX('Activities'!K135,372))</x:f>
        <x:v>0</x:v>
      </x:c>
      <x:c r="BP135" s="23" t="n">
        <x:f>MAX(0,MIN('Activities'!L135,384)-MAX('Activities'!K135,378))</x:f>
        <x:v>0</x:v>
      </x:c>
      <x:c r="BQ135" s="23" t="n">
        <x:f>MAX(0,MIN('Activities'!L135,390)-MAX('Activities'!K135,384))</x:f>
        <x:v>0</x:v>
      </x:c>
      <x:c r="BR135" s="23" t="n">
        <x:f>MAX(0,MIN('Activities'!L135,396)-MAX('Activities'!K135,390))</x:f>
        <x:v>0</x:v>
      </x:c>
      <x:c r="BS135" s="23" t="n">
        <x:f>MAX(0,MIN('Activities'!L135,402)-MAX('Activities'!K135,396))</x:f>
        <x:v>0</x:v>
      </x:c>
      <x:c r="BT135" s="23" t="n">
        <x:f>MAX(0,MIN('Activities'!L135,408)-MAX('Activities'!K135,402))</x:f>
        <x:v>0</x:v>
      </x:c>
      <x:c r="BU135" s="23" t="n">
        <x:f>MAX(0,MIN('Activities'!L135,414)-MAX('Activities'!K135,408))</x:f>
        <x:v>0</x:v>
      </x:c>
      <x:c r="BV135" s="23" t="n">
        <x:f>MAX(0,MIN('Activities'!L135,420)-MAX('Activities'!K135,414))</x:f>
        <x:v>5</x:v>
      </x:c>
      <x:c r="BW135" s="23" t="n">
        <x:f>MAX(0,MIN('Activities'!L135,426)-MAX('Activities'!K135,420))</x:f>
        <x:v>0</x:v>
      </x:c>
      <x:c r="BX135" s="23" t="n">
        <x:f>MAX(0,MIN('Activities'!L135,432)-MAX('Activities'!K135,426))</x:f>
        <x:v>0</x:v>
      </x:c>
      <x:c r="BY135" s="23" t="n">
        <x:f>MAX(0,MIN('Activities'!L135,438)-MAX('Activities'!K135,432))</x:f>
        <x:v>0</x:v>
      </x:c>
      <x:c r="BZ135" s="23" t="n">
        <x:f>MAX(0,MIN('Activities'!L135,444)-MAX('Activities'!K135,438))</x:f>
        <x:v>0</x:v>
      </x:c>
      <x:c r="CA135" s="23" t="n">
        <x:f>MAX(0,MIN('Activities'!L135,450)-MAX('Activities'!K135,444))</x:f>
        <x:v>0</x:v>
      </x:c>
      <x:c r="CB135" s="23" t="n">
        <x:f>MAX(0,MIN('Activities'!L135,456)-MAX('Activities'!K135,450))</x:f>
        <x:v>0</x:v>
      </x:c>
      <x:c r="CC135" s="23" t="n">
        <x:f>MAX(0,MIN('Activities'!L135,462)-MAX('Activities'!K135,456))</x:f>
        <x:v>0</x:v>
      </x:c>
      <x:c r="CD135" s="23" t="n">
        <x:f>MAX(0,MIN('Activities'!L135,468)-MAX('Activities'!K135,462))</x:f>
        <x:v>0</x:v>
      </x:c>
      <x:c r="CE135" s="23" t="n">
        <x:f>MAX(0,MIN('Activities'!L135,474)-MAX('Activities'!K135,468))</x:f>
        <x:v>0</x:v>
      </x:c>
      <x:c r="CF135" s="23" t="n">
        <x:f>MAX(0,MIN('Activities'!L135,480)-MAX('Activities'!K135,474))</x:f>
        <x:v>0</x:v>
      </x:c>
      <x:c r="CG135" s="23" t="n">
        <x:f>MAX(0,MIN('Activities'!L135,486)-MAX('Activities'!K135,480))</x:f>
        <x:v>0</x:v>
      </x:c>
      <x:c r="CH135" s="23" t="n">
        <x:f>MAX(0,MIN('Activities'!L135,492)-MAX('Activities'!K135,486))</x:f>
        <x:v>0</x:v>
      </x:c>
      <x:c r="CI135" s="23" t="n">
        <x:f>MAX(0,MIN('Activities'!L135,498)-MAX('Activities'!K135,492))</x:f>
        <x:v>0</x:v>
      </x:c>
      <x:c r="CJ135" s="23" t="n">
        <x:f>MAX(0,MIN('Activities'!L135,504)-MAX('Activities'!K135,498))</x:f>
        <x:v>0</x:v>
      </x:c>
      <x:c r="CK135" s="23" t="n">
        <x:f>MAX(0,MIN('Activities'!L135,510)-MAX('Activities'!K135,504))</x:f>
        <x:v>0</x:v>
      </x:c>
      <x:c r="CL135" s="23" t="n">
        <x:f>MAX(0,MIN('Activities'!L135,516)-MAX('Activities'!K135,510))</x:f>
        <x:v>0</x:v>
      </x:c>
      <x:c r="CM135" s="23" t="n">
        <x:f>MAX(0,MIN('Activities'!L135,522)-MAX('Activities'!K135,516))</x:f>
        <x:v>0</x:v>
      </x:c>
      <x:c r="CN135" s="23" t="n">
        <x:f>MAX(0,MIN('Activities'!L135,528)-MAX('Activities'!K135,522))</x:f>
        <x:v>0</x:v>
      </x:c>
      <x:c r="CO135" s="23" t="n">
        <x:f>MAX(0,MIN('Activities'!L135,534)-MAX('Activities'!K135,528))</x:f>
        <x:v>0</x:v>
      </x:c>
      <x:c r="CP135" s="23" t="n">
        <x:f>MAX(0,MIN('Activities'!L135,540)-MAX('Activities'!K135,534))</x:f>
        <x:v>0</x:v>
      </x:c>
      <x:c r="CQ135" s="23" t="n">
        <x:f>MAX(0,MIN('Activities'!L135,546)-MAX('Activities'!K135,540))</x:f>
        <x:v>0</x:v>
      </x:c>
      <x:c r="CR135" s="23" t="n">
        <x:f>MAX(0,MIN('Activities'!L135,552)-MAX('Activities'!K135,546))</x:f>
        <x:v>0</x:v>
      </x:c>
      <x:c r="CS135" s="23" t="n">
        <x:f>MAX(0,MIN('Activities'!L135,558)-MAX('Activities'!K135,552))</x:f>
        <x:v>0</x:v>
      </x:c>
      <x:c r="CT135" s="23" t="n">
        <x:f>MAX(0,MIN('Activities'!L135,564)-MAX('Activities'!K135,558))</x:f>
        <x:v>0</x:v>
      </x:c>
      <x:c r="CU135" s="23" t="n">
        <x:f>MAX(0,MIN('Activities'!L135,570)-MAX('Activities'!K135,564))</x:f>
        <x:v>0</x:v>
      </x:c>
      <x:c r="CV135" s="23" t="n">
        <x:f>MAX(0,MIN('Activities'!L135,576)-MAX('Activities'!K135,570))</x:f>
        <x:v>0</x:v>
      </x:c>
      <x:c r="CW135" s="23" t="n">
        <x:f>MAX(0,MIN('Activities'!L135,582)-MAX('Activities'!K135,576))</x:f>
        <x:v>0</x:v>
      </x:c>
      <x:c r="CX135" s="23" t="n">
        <x:f>MAX(0,MIN('Activities'!L135,588)-MAX('Activities'!K135,582))</x:f>
        <x:v>0</x:v>
      </x:c>
      <x:c r="CY135" s="23" t="n">
        <x:f>MAX(0,MIN('Activities'!L135,594)-MAX('Activities'!K135,588))</x:f>
        <x:v>0</x:v>
      </x:c>
      <x:c r="CZ135" s="23" t="n">
        <x:f>MAX(0,MIN('Activities'!L135,600)-MAX('Activities'!K135,594))</x:f>
        <x:v>0</x:v>
      </x:c>
      <x:c r="DA135" s="23" t="n">
        <x:f>MAX(0,MIN('Activities'!L135,606)-MAX('Activities'!K135,600))</x:f>
        <x:v>0</x:v>
      </x:c>
      <x:c r="DB135" s="23" t="n">
        <x:f>MAX(0,MIN('Activities'!L135,612)-MAX('Activities'!K135,606))</x:f>
        <x:v>0</x:v>
      </x:c>
      <x:c r="DC135" s="23" t="n">
        <x:f>MAX(0,MIN('Activities'!L135,618)-MAX('Activities'!K135,612))</x:f>
        <x:v>0</x:v>
      </x:c>
      <x:c r="DD135" s="23" t="n">
        <x:f>MAX(0,MIN('Activities'!L135,624)-MAX('Activities'!K135,618))</x:f>
        <x:v>0</x:v>
      </x:c>
      <x:c r="DE135" s="23" t="n">
        <x:f>MAX(0,MIN('Activities'!L135,630)-MAX('Activities'!K135,624))</x:f>
        <x:v>0</x:v>
      </x:c>
      <x:c r="DF135" s="23" t="n">
        <x:f>MAX(0,MIN('Activities'!L135,636)-MAX('Activities'!K135,630))</x:f>
        <x:v>0</x:v>
      </x:c>
    </x:row>
    <x:row r="136" ht="23" customHeight="1">
      <x:c r="A136" s="6" t="str">
        <x:v>T1-L10-D</x:v>
      </x:c>
      <x:c r="B136" s="6" t="str">
        <x:v>T1</x:v>
      </x:c>
      <x:c r="C136" s="6" t="str">
        <x:v>Door sets and ironmongery</x:v>
      </x:c>
      <x:c r="D136" s="6" t="str">
        <x:v>Finishes</x:v>
      </x:c>
      <x:c r="E136" s="22" t="n">
        <x:f>MAX(0,MIN('Activities'!L136,6)-MAX('Activities'!K136,0))</x:f>
        <x:v>0</x:v>
      </x:c>
      <x:c r="F136" s="22" t="n">
        <x:f>MAX(0,MIN('Activities'!L136,12)-MAX('Activities'!K136,6))</x:f>
        <x:v>0</x:v>
      </x:c>
      <x:c r="G136" s="22" t="n">
        <x:f>MAX(0,MIN('Activities'!L136,18)-MAX('Activities'!K136,12))</x:f>
        <x:v>0</x:v>
      </x:c>
      <x:c r="H136" s="22" t="n">
        <x:f>MAX(0,MIN('Activities'!L136,24)-MAX('Activities'!K136,18))</x:f>
        <x:v>0</x:v>
      </x:c>
      <x:c r="I136" s="22" t="n">
        <x:f>MAX(0,MIN('Activities'!L136,30)-MAX('Activities'!K136,24))</x:f>
        <x:v>0</x:v>
      </x:c>
      <x:c r="J136" s="22" t="n">
        <x:f>MAX(0,MIN('Activities'!L136,36)-MAX('Activities'!K136,30))</x:f>
        <x:v>0</x:v>
      </x:c>
      <x:c r="K136" s="22" t="n">
        <x:f>MAX(0,MIN('Activities'!L136,42)-MAX('Activities'!K136,36))</x:f>
        <x:v>0</x:v>
      </x:c>
      <x:c r="L136" s="22" t="n">
        <x:f>MAX(0,MIN('Activities'!L136,48)-MAX('Activities'!K136,42))</x:f>
        <x:v>0</x:v>
      </x:c>
      <x:c r="M136" s="22" t="n">
        <x:f>MAX(0,MIN('Activities'!L136,54)-MAX('Activities'!K136,48))</x:f>
        <x:v>0</x:v>
      </x:c>
      <x:c r="N136" s="22" t="n">
        <x:f>MAX(0,MIN('Activities'!L136,60)-MAX('Activities'!K136,54))</x:f>
        <x:v>0</x:v>
      </x:c>
      <x:c r="O136" s="22" t="n">
        <x:f>MAX(0,MIN('Activities'!L136,66)-MAX('Activities'!K136,60))</x:f>
        <x:v>0</x:v>
      </x:c>
      <x:c r="P136" s="22" t="n">
        <x:f>MAX(0,MIN('Activities'!L136,72)-MAX('Activities'!K136,66))</x:f>
        <x:v>0</x:v>
      </x:c>
      <x:c r="Q136" s="22" t="n">
        <x:f>MAX(0,MIN('Activities'!L136,78)-MAX('Activities'!K136,72))</x:f>
        <x:v>0</x:v>
      </x:c>
      <x:c r="R136" s="22" t="n">
        <x:f>MAX(0,MIN('Activities'!L136,84)-MAX('Activities'!K136,78))</x:f>
        <x:v>0</x:v>
      </x:c>
      <x:c r="S136" s="22" t="n">
        <x:f>MAX(0,MIN('Activities'!L136,90)-MAX('Activities'!K136,84))</x:f>
        <x:v>0</x:v>
      </x:c>
      <x:c r="T136" s="22" t="n">
        <x:f>MAX(0,MIN('Activities'!L136,96)-MAX('Activities'!K136,90))</x:f>
        <x:v>0</x:v>
      </x:c>
      <x:c r="U136" s="22" t="n">
        <x:f>MAX(0,MIN('Activities'!L136,102)-MAX('Activities'!K136,96))</x:f>
        <x:v>0</x:v>
      </x:c>
      <x:c r="V136" s="22" t="n">
        <x:f>MAX(0,MIN('Activities'!L136,108)-MAX('Activities'!K136,102))</x:f>
        <x:v>0</x:v>
      </x:c>
      <x:c r="W136" s="22" t="n">
        <x:f>MAX(0,MIN('Activities'!L136,114)-MAX('Activities'!K136,108))</x:f>
        <x:v>0</x:v>
      </x:c>
      <x:c r="X136" s="22" t="n">
        <x:f>MAX(0,MIN('Activities'!L136,120)-MAX('Activities'!K136,114))</x:f>
        <x:v>0</x:v>
      </x:c>
      <x:c r="Y136" s="22" t="n">
        <x:f>MAX(0,MIN('Activities'!L136,126)-MAX('Activities'!K136,120))</x:f>
        <x:v>0</x:v>
      </x:c>
      <x:c r="Z136" s="22" t="n">
        <x:f>MAX(0,MIN('Activities'!L136,132)-MAX('Activities'!K136,126))</x:f>
        <x:v>0</x:v>
      </x:c>
      <x:c r="AA136" s="22" t="n">
        <x:f>MAX(0,MIN('Activities'!L136,138)-MAX('Activities'!K136,132))</x:f>
        <x:v>0</x:v>
      </x:c>
      <x:c r="AB136" s="22" t="n">
        <x:f>MAX(0,MIN('Activities'!L136,144)-MAX('Activities'!K136,138))</x:f>
        <x:v>0</x:v>
      </x:c>
      <x:c r="AC136" s="22" t="n">
        <x:f>MAX(0,MIN('Activities'!L136,150)-MAX('Activities'!K136,144))</x:f>
        <x:v>0</x:v>
      </x:c>
      <x:c r="AD136" s="22" t="n">
        <x:f>MAX(0,MIN('Activities'!L136,156)-MAX('Activities'!K136,150))</x:f>
        <x:v>0</x:v>
      </x:c>
      <x:c r="AE136" s="22" t="n">
        <x:f>MAX(0,MIN('Activities'!L136,162)-MAX('Activities'!K136,156))</x:f>
        <x:v>0</x:v>
      </x:c>
      <x:c r="AF136" s="22" t="n">
        <x:f>MAX(0,MIN('Activities'!L136,168)-MAX('Activities'!K136,162))</x:f>
        <x:v>0</x:v>
      </x:c>
      <x:c r="AG136" s="22" t="n">
        <x:f>MAX(0,MIN('Activities'!L136,174)-MAX('Activities'!K136,168))</x:f>
        <x:v>0</x:v>
      </x:c>
      <x:c r="AH136" s="22" t="n">
        <x:f>MAX(0,MIN('Activities'!L136,180)-MAX('Activities'!K136,174))</x:f>
        <x:v>0</x:v>
      </x:c>
      <x:c r="AI136" s="22" t="n">
        <x:f>MAX(0,MIN('Activities'!L136,186)-MAX('Activities'!K136,180))</x:f>
        <x:v>0</x:v>
      </x:c>
      <x:c r="AJ136" s="22" t="n">
        <x:f>MAX(0,MIN('Activities'!L136,192)-MAX('Activities'!K136,186))</x:f>
        <x:v>0</x:v>
      </x:c>
      <x:c r="AK136" s="22" t="n">
        <x:f>MAX(0,MIN('Activities'!L136,198)-MAX('Activities'!K136,192))</x:f>
        <x:v>0</x:v>
      </x:c>
      <x:c r="AL136" s="22" t="n">
        <x:f>MAX(0,MIN('Activities'!L136,204)-MAX('Activities'!K136,198))</x:f>
        <x:v>0</x:v>
      </x:c>
      <x:c r="AM136" s="22" t="n">
        <x:f>MAX(0,MIN('Activities'!L136,210)-MAX('Activities'!K136,204))</x:f>
        <x:v>0</x:v>
      </x:c>
      <x:c r="AN136" s="22" t="n">
        <x:f>MAX(0,MIN('Activities'!L136,216)-MAX('Activities'!K136,210))</x:f>
        <x:v>0</x:v>
      </x:c>
      <x:c r="AO136" s="22" t="n">
        <x:f>MAX(0,MIN('Activities'!L136,222)-MAX('Activities'!K136,216))</x:f>
        <x:v>0</x:v>
      </x:c>
      <x:c r="AP136" s="22" t="n">
        <x:f>MAX(0,MIN('Activities'!L136,228)-MAX('Activities'!K136,222))</x:f>
        <x:v>0</x:v>
      </x:c>
      <x:c r="AQ136" s="22" t="n">
        <x:f>MAX(0,MIN('Activities'!L136,234)-MAX('Activities'!K136,228))</x:f>
        <x:v>0</x:v>
      </x:c>
      <x:c r="AR136" s="22" t="n">
        <x:f>MAX(0,MIN('Activities'!L136,240)-MAX('Activities'!K136,234))</x:f>
        <x:v>0</x:v>
      </x:c>
      <x:c r="AS136" s="22" t="n">
        <x:f>MAX(0,MIN('Activities'!L136,246)-MAX('Activities'!K136,240))</x:f>
        <x:v>0</x:v>
      </x:c>
      <x:c r="AT136" s="22" t="n">
        <x:f>MAX(0,MIN('Activities'!L136,252)-MAX('Activities'!K136,246))</x:f>
        <x:v>0</x:v>
      </x:c>
      <x:c r="AU136" s="22" t="n">
        <x:f>MAX(0,MIN('Activities'!L136,258)-MAX('Activities'!K136,252))</x:f>
        <x:v>0</x:v>
      </x:c>
      <x:c r="AV136" s="22" t="n">
        <x:f>MAX(0,MIN('Activities'!L136,264)-MAX('Activities'!K136,258))</x:f>
        <x:v>0</x:v>
      </x:c>
      <x:c r="AW136" s="22" t="n">
        <x:f>MAX(0,MIN('Activities'!L136,270)-MAX('Activities'!K136,264))</x:f>
        <x:v>0</x:v>
      </x:c>
      <x:c r="AX136" s="22" t="n">
        <x:f>MAX(0,MIN('Activities'!L136,276)-MAX('Activities'!K136,270))</x:f>
        <x:v>0</x:v>
      </x:c>
      <x:c r="AY136" s="22" t="n">
        <x:f>MAX(0,MIN('Activities'!L136,282)-MAX('Activities'!K136,276))</x:f>
        <x:v>0</x:v>
      </x:c>
      <x:c r="AZ136" s="22" t="n">
        <x:f>MAX(0,MIN('Activities'!L136,288)-MAX('Activities'!K136,282))</x:f>
        <x:v>0</x:v>
      </x:c>
      <x:c r="BA136" s="22" t="n">
        <x:f>MAX(0,MIN('Activities'!L136,294)-MAX('Activities'!K136,288))</x:f>
        <x:v>0</x:v>
      </x:c>
      <x:c r="BB136" s="22" t="n">
        <x:f>MAX(0,MIN('Activities'!L136,300)-MAX('Activities'!K136,294))</x:f>
        <x:v>0</x:v>
      </x:c>
      <x:c r="BC136" s="22" t="n">
        <x:f>MAX(0,MIN('Activities'!L136,306)-MAX('Activities'!K136,300))</x:f>
        <x:v>0</x:v>
      </x:c>
      <x:c r="BD136" s="22" t="n">
        <x:f>MAX(0,MIN('Activities'!L136,312)-MAX('Activities'!K136,306))</x:f>
        <x:v>0</x:v>
      </x:c>
      <x:c r="BE136" s="22" t="n">
        <x:f>MAX(0,MIN('Activities'!L136,318)-MAX('Activities'!K136,312))</x:f>
        <x:v>0</x:v>
      </x:c>
      <x:c r="BF136" s="22" t="n">
        <x:f>MAX(0,MIN('Activities'!L136,324)-MAX('Activities'!K136,318))</x:f>
        <x:v>0</x:v>
      </x:c>
      <x:c r="BG136" s="22" t="n">
        <x:f>MAX(0,MIN('Activities'!L136,330)-MAX('Activities'!K136,324))</x:f>
        <x:v>0</x:v>
      </x:c>
      <x:c r="BH136" s="22" t="n">
        <x:f>MAX(0,MIN('Activities'!L136,336)-MAX('Activities'!K136,330))</x:f>
        <x:v>0</x:v>
      </x:c>
      <x:c r="BI136" s="22" t="n">
        <x:f>MAX(0,MIN('Activities'!L136,342)-MAX('Activities'!K136,336))</x:f>
        <x:v>0</x:v>
      </x:c>
      <x:c r="BJ136" s="22" t="n">
        <x:f>MAX(0,MIN('Activities'!L136,348)-MAX('Activities'!K136,342))</x:f>
        <x:v>0</x:v>
      </x:c>
      <x:c r="BK136" s="22" t="n">
        <x:f>MAX(0,MIN('Activities'!L136,354)-MAX('Activities'!K136,348))</x:f>
        <x:v>0</x:v>
      </x:c>
      <x:c r="BL136" s="22" t="n">
        <x:f>MAX(0,MIN('Activities'!L136,360)-MAX('Activities'!K136,354))</x:f>
        <x:v>0</x:v>
      </x:c>
      <x:c r="BM136" s="22" t="n">
        <x:f>MAX(0,MIN('Activities'!L136,366)-MAX('Activities'!K136,360))</x:f>
        <x:v>0</x:v>
      </x:c>
      <x:c r="BN136" s="22" t="n">
        <x:f>MAX(0,MIN('Activities'!L136,372)-MAX('Activities'!K136,366))</x:f>
        <x:v>0</x:v>
      </x:c>
      <x:c r="BO136" s="22" t="n">
        <x:f>MAX(0,MIN('Activities'!L136,378)-MAX('Activities'!K136,372))</x:f>
        <x:v>0</x:v>
      </x:c>
      <x:c r="BP136" s="22" t="n">
        <x:f>MAX(0,MIN('Activities'!L136,384)-MAX('Activities'!K136,378))</x:f>
        <x:v>0</x:v>
      </x:c>
      <x:c r="BQ136" s="22" t="n">
        <x:f>MAX(0,MIN('Activities'!L136,390)-MAX('Activities'!K136,384))</x:f>
        <x:v>0</x:v>
      </x:c>
      <x:c r="BR136" s="22" t="n">
        <x:f>MAX(0,MIN('Activities'!L136,396)-MAX('Activities'!K136,390))</x:f>
        <x:v>0</x:v>
      </x:c>
      <x:c r="BS136" s="22" t="n">
        <x:f>MAX(0,MIN('Activities'!L136,402)-MAX('Activities'!K136,396))</x:f>
        <x:v>0</x:v>
      </x:c>
      <x:c r="BT136" s="22" t="n">
        <x:f>MAX(0,MIN('Activities'!L136,408)-MAX('Activities'!K136,402))</x:f>
        <x:v>0</x:v>
      </x:c>
      <x:c r="BU136" s="22" t="n">
        <x:f>MAX(0,MIN('Activities'!L136,414)-MAX('Activities'!K136,408))</x:f>
        <x:v>0</x:v>
      </x:c>
      <x:c r="BV136" s="22" t="n">
        <x:f>MAX(0,MIN('Activities'!L136,420)-MAX('Activities'!K136,414))</x:f>
        <x:v>1</x:v>
      </x:c>
      <x:c r="BW136" s="22" t="n">
        <x:f>MAX(0,MIN('Activities'!L136,426)-MAX('Activities'!K136,420))</x:f>
        <x:v>2</x:v>
      </x:c>
      <x:c r="BX136" s="22" t="n">
        <x:f>MAX(0,MIN('Activities'!L136,432)-MAX('Activities'!K136,426))</x:f>
        <x:v>0</x:v>
      </x:c>
      <x:c r="BY136" s="22" t="n">
        <x:f>MAX(0,MIN('Activities'!L136,438)-MAX('Activities'!K136,432))</x:f>
        <x:v>0</x:v>
      </x:c>
      <x:c r="BZ136" s="22" t="n">
        <x:f>MAX(0,MIN('Activities'!L136,444)-MAX('Activities'!K136,438))</x:f>
        <x:v>0</x:v>
      </x:c>
      <x:c r="CA136" s="22" t="n">
        <x:f>MAX(0,MIN('Activities'!L136,450)-MAX('Activities'!K136,444))</x:f>
        <x:v>0</x:v>
      </x:c>
      <x:c r="CB136" s="22" t="n">
        <x:f>MAX(0,MIN('Activities'!L136,456)-MAX('Activities'!K136,450))</x:f>
        <x:v>0</x:v>
      </x:c>
      <x:c r="CC136" s="22" t="n">
        <x:f>MAX(0,MIN('Activities'!L136,462)-MAX('Activities'!K136,456))</x:f>
        <x:v>0</x:v>
      </x:c>
      <x:c r="CD136" s="22" t="n">
        <x:f>MAX(0,MIN('Activities'!L136,468)-MAX('Activities'!K136,462))</x:f>
        <x:v>0</x:v>
      </x:c>
      <x:c r="CE136" s="22" t="n">
        <x:f>MAX(0,MIN('Activities'!L136,474)-MAX('Activities'!K136,468))</x:f>
        <x:v>0</x:v>
      </x:c>
      <x:c r="CF136" s="22" t="n">
        <x:f>MAX(0,MIN('Activities'!L136,480)-MAX('Activities'!K136,474))</x:f>
        <x:v>0</x:v>
      </x:c>
      <x:c r="CG136" s="22" t="n">
        <x:f>MAX(0,MIN('Activities'!L136,486)-MAX('Activities'!K136,480))</x:f>
        <x:v>0</x:v>
      </x:c>
      <x:c r="CH136" s="22" t="n">
        <x:f>MAX(0,MIN('Activities'!L136,492)-MAX('Activities'!K136,486))</x:f>
        <x:v>0</x:v>
      </x:c>
      <x:c r="CI136" s="22" t="n">
        <x:f>MAX(0,MIN('Activities'!L136,498)-MAX('Activities'!K136,492))</x:f>
        <x:v>0</x:v>
      </x:c>
      <x:c r="CJ136" s="22" t="n">
        <x:f>MAX(0,MIN('Activities'!L136,504)-MAX('Activities'!K136,498))</x:f>
        <x:v>0</x:v>
      </x:c>
      <x:c r="CK136" s="22" t="n">
        <x:f>MAX(0,MIN('Activities'!L136,510)-MAX('Activities'!K136,504))</x:f>
        <x:v>0</x:v>
      </x:c>
      <x:c r="CL136" s="22" t="n">
        <x:f>MAX(0,MIN('Activities'!L136,516)-MAX('Activities'!K136,510))</x:f>
        <x:v>0</x:v>
      </x:c>
      <x:c r="CM136" s="22" t="n">
        <x:f>MAX(0,MIN('Activities'!L136,522)-MAX('Activities'!K136,516))</x:f>
        <x:v>0</x:v>
      </x:c>
      <x:c r="CN136" s="22" t="n">
        <x:f>MAX(0,MIN('Activities'!L136,528)-MAX('Activities'!K136,522))</x:f>
        <x:v>0</x:v>
      </x:c>
      <x:c r="CO136" s="22" t="n">
        <x:f>MAX(0,MIN('Activities'!L136,534)-MAX('Activities'!K136,528))</x:f>
        <x:v>0</x:v>
      </x:c>
      <x:c r="CP136" s="22" t="n">
        <x:f>MAX(0,MIN('Activities'!L136,540)-MAX('Activities'!K136,534))</x:f>
        <x:v>0</x:v>
      </x:c>
      <x:c r="CQ136" s="22" t="n">
        <x:f>MAX(0,MIN('Activities'!L136,546)-MAX('Activities'!K136,540))</x:f>
        <x:v>0</x:v>
      </x:c>
      <x:c r="CR136" s="22" t="n">
        <x:f>MAX(0,MIN('Activities'!L136,552)-MAX('Activities'!K136,546))</x:f>
        <x:v>0</x:v>
      </x:c>
      <x:c r="CS136" s="22" t="n">
        <x:f>MAX(0,MIN('Activities'!L136,558)-MAX('Activities'!K136,552))</x:f>
        <x:v>0</x:v>
      </x:c>
      <x:c r="CT136" s="22" t="n">
        <x:f>MAX(0,MIN('Activities'!L136,564)-MAX('Activities'!K136,558))</x:f>
        <x:v>0</x:v>
      </x:c>
      <x:c r="CU136" s="22" t="n">
        <x:f>MAX(0,MIN('Activities'!L136,570)-MAX('Activities'!K136,564))</x:f>
        <x:v>0</x:v>
      </x:c>
      <x:c r="CV136" s="22" t="n">
        <x:f>MAX(0,MIN('Activities'!L136,576)-MAX('Activities'!K136,570))</x:f>
        <x:v>0</x:v>
      </x:c>
      <x:c r="CW136" s="22" t="n">
        <x:f>MAX(0,MIN('Activities'!L136,582)-MAX('Activities'!K136,576))</x:f>
        <x:v>0</x:v>
      </x:c>
      <x:c r="CX136" s="22" t="n">
        <x:f>MAX(0,MIN('Activities'!L136,588)-MAX('Activities'!K136,582))</x:f>
        <x:v>0</x:v>
      </x:c>
      <x:c r="CY136" s="22" t="n">
        <x:f>MAX(0,MIN('Activities'!L136,594)-MAX('Activities'!K136,588))</x:f>
        <x:v>0</x:v>
      </x:c>
      <x:c r="CZ136" s="22" t="n">
        <x:f>MAX(0,MIN('Activities'!L136,600)-MAX('Activities'!K136,594))</x:f>
        <x:v>0</x:v>
      </x:c>
      <x:c r="DA136" s="22" t="n">
        <x:f>MAX(0,MIN('Activities'!L136,606)-MAX('Activities'!K136,600))</x:f>
        <x:v>0</x:v>
      </x:c>
      <x:c r="DB136" s="22" t="n">
        <x:f>MAX(0,MIN('Activities'!L136,612)-MAX('Activities'!K136,606))</x:f>
        <x:v>0</x:v>
      </x:c>
      <x:c r="DC136" s="22" t="n">
        <x:f>MAX(0,MIN('Activities'!L136,618)-MAX('Activities'!K136,612))</x:f>
        <x:v>0</x:v>
      </x:c>
      <x:c r="DD136" s="22" t="n">
        <x:f>MAX(0,MIN('Activities'!L136,624)-MAX('Activities'!K136,618))</x:f>
        <x:v>0</x:v>
      </x:c>
      <x:c r="DE136" s="22" t="n">
        <x:f>MAX(0,MIN('Activities'!L136,630)-MAX('Activities'!K136,624))</x:f>
        <x:v>0</x:v>
      </x:c>
      <x:c r="DF136" s="22" t="n">
        <x:f>MAX(0,MIN('Activities'!L136,636)-MAX('Activities'!K136,630))</x:f>
        <x:v>0</x:v>
      </x:c>
    </x:row>
    <x:row r="137" ht="23" customHeight="1">
      <x:c r="A137" s="1" t="str">
        <x:v>T1-L11-M</x:v>
      </x:c>
      <x:c r="B137" s="1" t="str">
        <x:v>T1</x:v>
      </x:c>
      <x:c r="C137" s="1" t="str">
        <x:v>Partition masonry</x:v>
      </x:c>
      <x:c r="D137" s="1" t="str">
        <x:v>Masonry</x:v>
      </x:c>
      <x:c r="E137" s="23" t="n">
        <x:f>MAX(0,MIN('Activities'!L137,6)-MAX('Activities'!K137,0))</x:f>
        <x:v>0</x:v>
      </x:c>
      <x:c r="F137" s="23" t="n">
        <x:f>MAX(0,MIN('Activities'!L137,12)-MAX('Activities'!K137,6))</x:f>
        <x:v>0</x:v>
      </x:c>
      <x:c r="G137" s="23" t="n">
        <x:f>MAX(0,MIN('Activities'!L137,18)-MAX('Activities'!K137,12))</x:f>
        <x:v>0</x:v>
      </x:c>
      <x:c r="H137" s="23" t="n">
        <x:f>MAX(0,MIN('Activities'!L137,24)-MAX('Activities'!K137,18))</x:f>
        <x:v>0</x:v>
      </x:c>
      <x:c r="I137" s="23" t="n">
        <x:f>MAX(0,MIN('Activities'!L137,30)-MAX('Activities'!K137,24))</x:f>
        <x:v>0</x:v>
      </x:c>
      <x:c r="J137" s="23" t="n">
        <x:f>MAX(0,MIN('Activities'!L137,36)-MAX('Activities'!K137,30))</x:f>
        <x:v>0</x:v>
      </x:c>
      <x:c r="K137" s="23" t="n">
        <x:f>MAX(0,MIN('Activities'!L137,42)-MAX('Activities'!K137,36))</x:f>
        <x:v>0</x:v>
      </x:c>
      <x:c r="L137" s="23" t="n">
        <x:f>MAX(0,MIN('Activities'!L137,48)-MAX('Activities'!K137,42))</x:f>
        <x:v>0</x:v>
      </x:c>
      <x:c r="M137" s="23" t="n">
        <x:f>MAX(0,MIN('Activities'!L137,54)-MAX('Activities'!K137,48))</x:f>
        <x:v>0</x:v>
      </x:c>
      <x:c r="N137" s="23" t="n">
        <x:f>MAX(0,MIN('Activities'!L137,60)-MAX('Activities'!K137,54))</x:f>
        <x:v>0</x:v>
      </x:c>
      <x:c r="O137" s="23" t="n">
        <x:f>MAX(0,MIN('Activities'!L137,66)-MAX('Activities'!K137,60))</x:f>
        <x:v>0</x:v>
      </x:c>
      <x:c r="P137" s="23" t="n">
        <x:f>MAX(0,MIN('Activities'!L137,72)-MAX('Activities'!K137,66))</x:f>
        <x:v>0</x:v>
      </x:c>
      <x:c r="Q137" s="23" t="n">
        <x:f>MAX(0,MIN('Activities'!L137,78)-MAX('Activities'!K137,72))</x:f>
        <x:v>0</x:v>
      </x:c>
      <x:c r="R137" s="23" t="n">
        <x:f>MAX(0,MIN('Activities'!L137,84)-MAX('Activities'!K137,78))</x:f>
        <x:v>0</x:v>
      </x:c>
      <x:c r="S137" s="23" t="n">
        <x:f>MAX(0,MIN('Activities'!L137,90)-MAX('Activities'!K137,84))</x:f>
        <x:v>0</x:v>
      </x:c>
      <x:c r="T137" s="23" t="n">
        <x:f>MAX(0,MIN('Activities'!L137,96)-MAX('Activities'!K137,90))</x:f>
        <x:v>0</x:v>
      </x:c>
      <x:c r="U137" s="23" t="n">
        <x:f>MAX(0,MIN('Activities'!L137,102)-MAX('Activities'!K137,96))</x:f>
        <x:v>0</x:v>
      </x:c>
      <x:c r="V137" s="23" t="n">
        <x:f>MAX(0,MIN('Activities'!L137,108)-MAX('Activities'!K137,102))</x:f>
        <x:v>0</x:v>
      </x:c>
      <x:c r="W137" s="23" t="n">
        <x:f>MAX(0,MIN('Activities'!L137,114)-MAX('Activities'!K137,108))</x:f>
        <x:v>0</x:v>
      </x:c>
      <x:c r="X137" s="23" t="n">
        <x:f>MAX(0,MIN('Activities'!L137,120)-MAX('Activities'!K137,114))</x:f>
        <x:v>0</x:v>
      </x:c>
      <x:c r="Y137" s="23" t="n">
        <x:f>MAX(0,MIN('Activities'!L137,126)-MAX('Activities'!K137,120))</x:f>
        <x:v>0</x:v>
      </x:c>
      <x:c r="Z137" s="23" t="n">
        <x:f>MAX(0,MIN('Activities'!L137,132)-MAX('Activities'!K137,126))</x:f>
        <x:v>0</x:v>
      </x:c>
      <x:c r="AA137" s="23" t="n">
        <x:f>MAX(0,MIN('Activities'!L137,138)-MAX('Activities'!K137,132))</x:f>
        <x:v>0</x:v>
      </x:c>
      <x:c r="AB137" s="23" t="n">
        <x:f>MAX(0,MIN('Activities'!L137,144)-MAX('Activities'!K137,138))</x:f>
        <x:v>0</x:v>
      </x:c>
      <x:c r="AC137" s="23" t="n">
        <x:f>MAX(0,MIN('Activities'!L137,150)-MAX('Activities'!K137,144))</x:f>
        <x:v>0</x:v>
      </x:c>
      <x:c r="AD137" s="23" t="n">
        <x:f>MAX(0,MIN('Activities'!L137,156)-MAX('Activities'!K137,150))</x:f>
        <x:v>0</x:v>
      </x:c>
      <x:c r="AE137" s="23" t="n">
        <x:f>MAX(0,MIN('Activities'!L137,162)-MAX('Activities'!K137,156))</x:f>
        <x:v>0</x:v>
      </x:c>
      <x:c r="AF137" s="23" t="n">
        <x:f>MAX(0,MIN('Activities'!L137,168)-MAX('Activities'!K137,162))</x:f>
        <x:v>0</x:v>
      </x:c>
      <x:c r="AG137" s="23" t="n">
        <x:f>MAX(0,MIN('Activities'!L137,174)-MAX('Activities'!K137,168))</x:f>
        <x:v>0</x:v>
      </x:c>
      <x:c r="AH137" s="23" t="n">
        <x:f>MAX(0,MIN('Activities'!L137,180)-MAX('Activities'!K137,174))</x:f>
        <x:v>0</x:v>
      </x:c>
      <x:c r="AI137" s="23" t="n">
        <x:f>MAX(0,MIN('Activities'!L137,186)-MAX('Activities'!K137,180))</x:f>
        <x:v>0</x:v>
      </x:c>
      <x:c r="AJ137" s="23" t="n">
        <x:f>MAX(0,MIN('Activities'!L137,192)-MAX('Activities'!K137,186))</x:f>
        <x:v>0</x:v>
      </x:c>
      <x:c r="AK137" s="23" t="n">
        <x:f>MAX(0,MIN('Activities'!L137,198)-MAX('Activities'!K137,192))</x:f>
        <x:v>0</x:v>
      </x:c>
      <x:c r="AL137" s="23" t="n">
        <x:f>MAX(0,MIN('Activities'!L137,204)-MAX('Activities'!K137,198))</x:f>
        <x:v>0</x:v>
      </x:c>
      <x:c r="AM137" s="23" t="n">
        <x:f>MAX(0,MIN('Activities'!L137,210)-MAX('Activities'!K137,204))</x:f>
        <x:v>0</x:v>
      </x:c>
      <x:c r="AN137" s="23" t="n">
        <x:f>MAX(0,MIN('Activities'!L137,216)-MAX('Activities'!K137,210))</x:f>
        <x:v>0</x:v>
      </x:c>
      <x:c r="AO137" s="23" t="n">
        <x:f>MAX(0,MIN('Activities'!L137,222)-MAX('Activities'!K137,216))</x:f>
        <x:v>0</x:v>
      </x:c>
      <x:c r="AP137" s="23" t="n">
        <x:f>MAX(0,MIN('Activities'!L137,228)-MAX('Activities'!K137,222))</x:f>
        <x:v>0</x:v>
      </x:c>
      <x:c r="AQ137" s="23" t="n">
        <x:f>MAX(0,MIN('Activities'!L137,234)-MAX('Activities'!K137,228))</x:f>
        <x:v>0</x:v>
      </x:c>
      <x:c r="AR137" s="23" t="n">
        <x:f>MAX(0,MIN('Activities'!L137,240)-MAX('Activities'!K137,234))</x:f>
        <x:v>0</x:v>
      </x:c>
      <x:c r="AS137" s="23" t="n">
        <x:f>MAX(0,MIN('Activities'!L137,246)-MAX('Activities'!K137,240))</x:f>
        <x:v>0</x:v>
      </x:c>
      <x:c r="AT137" s="23" t="n">
        <x:f>MAX(0,MIN('Activities'!L137,252)-MAX('Activities'!K137,246))</x:f>
        <x:v>0</x:v>
      </x:c>
      <x:c r="AU137" s="23" t="n">
        <x:f>MAX(0,MIN('Activities'!L137,258)-MAX('Activities'!K137,252))</x:f>
        <x:v>0</x:v>
      </x:c>
      <x:c r="AV137" s="23" t="n">
        <x:f>MAX(0,MIN('Activities'!L137,264)-MAX('Activities'!K137,258))</x:f>
        <x:v>0</x:v>
      </x:c>
      <x:c r="AW137" s="23" t="n">
        <x:f>MAX(0,MIN('Activities'!L137,270)-MAX('Activities'!K137,264))</x:f>
        <x:v>0</x:v>
      </x:c>
      <x:c r="AX137" s="23" t="n">
        <x:f>MAX(0,MIN('Activities'!L137,276)-MAX('Activities'!K137,270))</x:f>
        <x:v>0</x:v>
      </x:c>
      <x:c r="AY137" s="23" t="n">
        <x:f>MAX(0,MIN('Activities'!L137,282)-MAX('Activities'!K137,276))</x:f>
        <x:v>0</x:v>
      </x:c>
      <x:c r="AZ137" s="23" t="n">
        <x:f>MAX(0,MIN('Activities'!L137,288)-MAX('Activities'!K137,282))</x:f>
        <x:v>0</x:v>
      </x:c>
      <x:c r="BA137" s="23" t="n">
        <x:f>MAX(0,MIN('Activities'!L137,294)-MAX('Activities'!K137,288))</x:f>
        <x:v>0</x:v>
      </x:c>
      <x:c r="BB137" s="23" t="n">
        <x:f>MAX(0,MIN('Activities'!L137,300)-MAX('Activities'!K137,294))</x:f>
        <x:v>0</x:v>
      </x:c>
      <x:c r="BC137" s="23" t="n">
        <x:f>MAX(0,MIN('Activities'!L137,306)-MAX('Activities'!K137,300))</x:f>
        <x:v>0</x:v>
      </x:c>
      <x:c r="BD137" s="23" t="n">
        <x:f>MAX(0,MIN('Activities'!L137,312)-MAX('Activities'!K137,306))</x:f>
        <x:v>0</x:v>
      </x:c>
      <x:c r="BE137" s="23" t="n">
        <x:f>MAX(0,MIN('Activities'!L137,318)-MAX('Activities'!K137,312))</x:f>
        <x:v>0</x:v>
      </x:c>
      <x:c r="BF137" s="23" t="n">
        <x:f>MAX(0,MIN('Activities'!L137,324)-MAX('Activities'!K137,318))</x:f>
        <x:v>0</x:v>
      </x:c>
      <x:c r="BG137" s="23" t="n">
        <x:f>MAX(0,MIN('Activities'!L137,330)-MAX('Activities'!K137,324))</x:f>
        <x:v>0</x:v>
      </x:c>
      <x:c r="BH137" s="23" t="n">
        <x:f>MAX(0,MIN('Activities'!L137,336)-MAX('Activities'!K137,330))</x:f>
        <x:v>0</x:v>
      </x:c>
      <x:c r="BI137" s="23" t="n">
        <x:f>MAX(0,MIN('Activities'!L137,342)-MAX('Activities'!K137,336))</x:f>
        <x:v>0</x:v>
      </x:c>
      <x:c r="BJ137" s="23" t="n">
        <x:f>MAX(0,MIN('Activities'!L137,348)-MAX('Activities'!K137,342))</x:f>
        <x:v>0</x:v>
      </x:c>
      <x:c r="BK137" s="23" t="n">
        <x:f>MAX(0,MIN('Activities'!L137,354)-MAX('Activities'!K137,348))</x:f>
        <x:v>0</x:v>
      </x:c>
      <x:c r="BL137" s="23" t="n">
        <x:f>MAX(0,MIN('Activities'!L137,360)-MAX('Activities'!K137,354))</x:f>
        <x:v>0</x:v>
      </x:c>
      <x:c r="BM137" s="23" t="n">
        <x:f>MAX(0,MIN('Activities'!L137,366)-MAX('Activities'!K137,360))</x:f>
        <x:v>0</x:v>
      </x:c>
      <x:c r="BN137" s="23" t="n">
        <x:f>MAX(0,MIN('Activities'!L137,372)-MAX('Activities'!K137,366))</x:f>
        <x:v>0</x:v>
      </x:c>
      <x:c r="BO137" s="23" t="n">
        <x:f>MAX(0,MIN('Activities'!L137,378)-MAX('Activities'!K137,372))</x:f>
        <x:v>5</x:v>
      </x:c>
      <x:c r="BP137" s="23" t="n">
        <x:f>MAX(0,MIN('Activities'!L137,384)-MAX('Activities'!K137,378))</x:f>
        <x:v>0</x:v>
      </x:c>
      <x:c r="BQ137" s="23" t="n">
        <x:f>MAX(0,MIN('Activities'!L137,390)-MAX('Activities'!K137,384))</x:f>
        <x:v>0</x:v>
      </x:c>
      <x:c r="BR137" s="23" t="n">
        <x:f>MAX(0,MIN('Activities'!L137,396)-MAX('Activities'!K137,390))</x:f>
        <x:v>0</x:v>
      </x:c>
      <x:c r="BS137" s="23" t="n">
        <x:f>MAX(0,MIN('Activities'!L137,402)-MAX('Activities'!K137,396))</x:f>
        <x:v>0</x:v>
      </x:c>
      <x:c r="BT137" s="23" t="n">
        <x:f>MAX(0,MIN('Activities'!L137,408)-MAX('Activities'!K137,402))</x:f>
        <x:v>0</x:v>
      </x:c>
      <x:c r="BU137" s="23" t="n">
        <x:f>MAX(0,MIN('Activities'!L137,414)-MAX('Activities'!K137,408))</x:f>
        <x:v>0</x:v>
      </x:c>
      <x:c r="BV137" s="23" t="n">
        <x:f>MAX(0,MIN('Activities'!L137,420)-MAX('Activities'!K137,414))</x:f>
        <x:v>0</x:v>
      </x:c>
      <x:c r="BW137" s="23" t="n">
        <x:f>MAX(0,MIN('Activities'!L137,426)-MAX('Activities'!K137,420))</x:f>
        <x:v>0</x:v>
      </x:c>
      <x:c r="BX137" s="23" t="n">
        <x:f>MAX(0,MIN('Activities'!L137,432)-MAX('Activities'!K137,426))</x:f>
        <x:v>0</x:v>
      </x:c>
      <x:c r="BY137" s="23" t="n">
        <x:f>MAX(0,MIN('Activities'!L137,438)-MAX('Activities'!K137,432))</x:f>
        <x:v>0</x:v>
      </x:c>
      <x:c r="BZ137" s="23" t="n">
        <x:f>MAX(0,MIN('Activities'!L137,444)-MAX('Activities'!K137,438))</x:f>
        <x:v>0</x:v>
      </x:c>
      <x:c r="CA137" s="23" t="n">
        <x:f>MAX(0,MIN('Activities'!L137,450)-MAX('Activities'!K137,444))</x:f>
        <x:v>0</x:v>
      </x:c>
      <x:c r="CB137" s="23" t="n">
        <x:f>MAX(0,MIN('Activities'!L137,456)-MAX('Activities'!K137,450))</x:f>
        <x:v>0</x:v>
      </x:c>
      <x:c r="CC137" s="23" t="n">
        <x:f>MAX(0,MIN('Activities'!L137,462)-MAX('Activities'!K137,456))</x:f>
        <x:v>0</x:v>
      </x:c>
      <x:c r="CD137" s="23" t="n">
        <x:f>MAX(0,MIN('Activities'!L137,468)-MAX('Activities'!K137,462))</x:f>
        <x:v>0</x:v>
      </x:c>
      <x:c r="CE137" s="23" t="n">
        <x:f>MAX(0,MIN('Activities'!L137,474)-MAX('Activities'!K137,468))</x:f>
        <x:v>0</x:v>
      </x:c>
      <x:c r="CF137" s="23" t="n">
        <x:f>MAX(0,MIN('Activities'!L137,480)-MAX('Activities'!K137,474))</x:f>
        <x:v>0</x:v>
      </x:c>
      <x:c r="CG137" s="23" t="n">
        <x:f>MAX(0,MIN('Activities'!L137,486)-MAX('Activities'!K137,480))</x:f>
        <x:v>0</x:v>
      </x:c>
      <x:c r="CH137" s="23" t="n">
        <x:f>MAX(0,MIN('Activities'!L137,492)-MAX('Activities'!K137,486))</x:f>
        <x:v>0</x:v>
      </x:c>
      <x:c r="CI137" s="23" t="n">
        <x:f>MAX(0,MIN('Activities'!L137,498)-MAX('Activities'!K137,492))</x:f>
        <x:v>0</x:v>
      </x:c>
      <x:c r="CJ137" s="23" t="n">
        <x:f>MAX(0,MIN('Activities'!L137,504)-MAX('Activities'!K137,498))</x:f>
        <x:v>0</x:v>
      </x:c>
      <x:c r="CK137" s="23" t="n">
        <x:f>MAX(0,MIN('Activities'!L137,510)-MAX('Activities'!K137,504))</x:f>
        <x:v>0</x:v>
      </x:c>
      <x:c r="CL137" s="23" t="n">
        <x:f>MAX(0,MIN('Activities'!L137,516)-MAX('Activities'!K137,510))</x:f>
        <x:v>0</x:v>
      </x:c>
      <x:c r="CM137" s="23" t="n">
        <x:f>MAX(0,MIN('Activities'!L137,522)-MAX('Activities'!K137,516))</x:f>
        <x:v>0</x:v>
      </x:c>
      <x:c r="CN137" s="23" t="n">
        <x:f>MAX(0,MIN('Activities'!L137,528)-MAX('Activities'!K137,522))</x:f>
        <x:v>0</x:v>
      </x:c>
      <x:c r="CO137" s="23" t="n">
        <x:f>MAX(0,MIN('Activities'!L137,534)-MAX('Activities'!K137,528))</x:f>
        <x:v>0</x:v>
      </x:c>
      <x:c r="CP137" s="23" t="n">
        <x:f>MAX(0,MIN('Activities'!L137,540)-MAX('Activities'!K137,534))</x:f>
        <x:v>0</x:v>
      </x:c>
      <x:c r="CQ137" s="23" t="n">
        <x:f>MAX(0,MIN('Activities'!L137,546)-MAX('Activities'!K137,540))</x:f>
        <x:v>0</x:v>
      </x:c>
      <x:c r="CR137" s="23" t="n">
        <x:f>MAX(0,MIN('Activities'!L137,552)-MAX('Activities'!K137,546))</x:f>
        <x:v>0</x:v>
      </x:c>
      <x:c r="CS137" s="23" t="n">
        <x:f>MAX(0,MIN('Activities'!L137,558)-MAX('Activities'!K137,552))</x:f>
        <x:v>0</x:v>
      </x:c>
      <x:c r="CT137" s="23" t="n">
        <x:f>MAX(0,MIN('Activities'!L137,564)-MAX('Activities'!K137,558))</x:f>
        <x:v>0</x:v>
      </x:c>
      <x:c r="CU137" s="23" t="n">
        <x:f>MAX(0,MIN('Activities'!L137,570)-MAX('Activities'!K137,564))</x:f>
        <x:v>0</x:v>
      </x:c>
      <x:c r="CV137" s="23" t="n">
        <x:f>MAX(0,MIN('Activities'!L137,576)-MAX('Activities'!K137,570))</x:f>
        <x:v>0</x:v>
      </x:c>
      <x:c r="CW137" s="23" t="n">
        <x:f>MAX(0,MIN('Activities'!L137,582)-MAX('Activities'!K137,576))</x:f>
        <x:v>0</x:v>
      </x:c>
      <x:c r="CX137" s="23" t="n">
        <x:f>MAX(0,MIN('Activities'!L137,588)-MAX('Activities'!K137,582))</x:f>
        <x:v>0</x:v>
      </x:c>
      <x:c r="CY137" s="23" t="n">
        <x:f>MAX(0,MIN('Activities'!L137,594)-MAX('Activities'!K137,588))</x:f>
        <x:v>0</x:v>
      </x:c>
      <x:c r="CZ137" s="23" t="n">
        <x:f>MAX(0,MIN('Activities'!L137,600)-MAX('Activities'!K137,594))</x:f>
        <x:v>0</x:v>
      </x:c>
      <x:c r="DA137" s="23" t="n">
        <x:f>MAX(0,MIN('Activities'!L137,606)-MAX('Activities'!K137,600))</x:f>
        <x:v>0</x:v>
      </x:c>
      <x:c r="DB137" s="23" t="n">
        <x:f>MAX(0,MIN('Activities'!L137,612)-MAX('Activities'!K137,606))</x:f>
        <x:v>0</x:v>
      </x:c>
      <x:c r="DC137" s="23" t="n">
        <x:f>MAX(0,MIN('Activities'!L137,618)-MAX('Activities'!K137,612))</x:f>
        <x:v>0</x:v>
      </x:c>
      <x:c r="DD137" s="23" t="n">
        <x:f>MAX(0,MIN('Activities'!L137,624)-MAX('Activities'!K137,618))</x:f>
        <x:v>0</x:v>
      </x:c>
      <x:c r="DE137" s="23" t="n">
        <x:f>MAX(0,MIN('Activities'!L137,630)-MAX('Activities'!K137,624))</x:f>
        <x:v>0</x:v>
      </x:c>
      <x:c r="DF137" s="23" t="n">
        <x:f>MAX(0,MIN('Activities'!L137,636)-MAX('Activities'!K137,630))</x:f>
        <x:v>0</x:v>
      </x:c>
    </x:row>
    <x:row r="138" ht="23" customHeight="1">
      <x:c r="A138" s="6" t="str">
        <x:v>T1-L11-P</x:v>
      </x:c>
      <x:c r="B138" s="6" t="str">
        <x:v>T1</x:v>
      </x:c>
      <x:c r="C138" s="6" t="str">
        <x:v>Internal plaster</x:v>
      </x:c>
      <x:c r="D138" s="6" t="str">
        <x:v>Finishes</x:v>
      </x:c>
      <x:c r="E138" s="22" t="n">
        <x:f>MAX(0,MIN('Activities'!L138,6)-MAX('Activities'!K138,0))</x:f>
        <x:v>0</x:v>
      </x:c>
      <x:c r="F138" s="22" t="n">
        <x:f>MAX(0,MIN('Activities'!L138,12)-MAX('Activities'!K138,6))</x:f>
        <x:v>0</x:v>
      </x:c>
      <x:c r="G138" s="22" t="n">
        <x:f>MAX(0,MIN('Activities'!L138,18)-MAX('Activities'!K138,12))</x:f>
        <x:v>0</x:v>
      </x:c>
      <x:c r="H138" s="22" t="n">
        <x:f>MAX(0,MIN('Activities'!L138,24)-MAX('Activities'!K138,18))</x:f>
        <x:v>0</x:v>
      </x:c>
      <x:c r="I138" s="22" t="n">
        <x:f>MAX(0,MIN('Activities'!L138,30)-MAX('Activities'!K138,24))</x:f>
        <x:v>0</x:v>
      </x:c>
      <x:c r="J138" s="22" t="n">
        <x:f>MAX(0,MIN('Activities'!L138,36)-MAX('Activities'!K138,30))</x:f>
        <x:v>0</x:v>
      </x:c>
      <x:c r="K138" s="22" t="n">
        <x:f>MAX(0,MIN('Activities'!L138,42)-MAX('Activities'!K138,36))</x:f>
        <x:v>0</x:v>
      </x:c>
      <x:c r="L138" s="22" t="n">
        <x:f>MAX(0,MIN('Activities'!L138,48)-MAX('Activities'!K138,42))</x:f>
        <x:v>0</x:v>
      </x:c>
      <x:c r="M138" s="22" t="n">
        <x:f>MAX(0,MIN('Activities'!L138,54)-MAX('Activities'!K138,48))</x:f>
        <x:v>0</x:v>
      </x:c>
      <x:c r="N138" s="22" t="n">
        <x:f>MAX(0,MIN('Activities'!L138,60)-MAX('Activities'!K138,54))</x:f>
        <x:v>0</x:v>
      </x:c>
      <x:c r="O138" s="22" t="n">
        <x:f>MAX(0,MIN('Activities'!L138,66)-MAX('Activities'!K138,60))</x:f>
        <x:v>0</x:v>
      </x:c>
      <x:c r="P138" s="22" t="n">
        <x:f>MAX(0,MIN('Activities'!L138,72)-MAX('Activities'!K138,66))</x:f>
        <x:v>0</x:v>
      </x:c>
      <x:c r="Q138" s="22" t="n">
        <x:f>MAX(0,MIN('Activities'!L138,78)-MAX('Activities'!K138,72))</x:f>
        <x:v>0</x:v>
      </x:c>
      <x:c r="R138" s="22" t="n">
        <x:f>MAX(0,MIN('Activities'!L138,84)-MAX('Activities'!K138,78))</x:f>
        <x:v>0</x:v>
      </x:c>
      <x:c r="S138" s="22" t="n">
        <x:f>MAX(0,MIN('Activities'!L138,90)-MAX('Activities'!K138,84))</x:f>
        <x:v>0</x:v>
      </x:c>
      <x:c r="T138" s="22" t="n">
        <x:f>MAX(0,MIN('Activities'!L138,96)-MAX('Activities'!K138,90))</x:f>
        <x:v>0</x:v>
      </x:c>
      <x:c r="U138" s="22" t="n">
        <x:f>MAX(0,MIN('Activities'!L138,102)-MAX('Activities'!K138,96))</x:f>
        <x:v>0</x:v>
      </x:c>
      <x:c r="V138" s="22" t="n">
        <x:f>MAX(0,MIN('Activities'!L138,108)-MAX('Activities'!K138,102))</x:f>
        <x:v>0</x:v>
      </x:c>
      <x:c r="W138" s="22" t="n">
        <x:f>MAX(0,MIN('Activities'!L138,114)-MAX('Activities'!K138,108))</x:f>
        <x:v>0</x:v>
      </x:c>
      <x:c r="X138" s="22" t="n">
        <x:f>MAX(0,MIN('Activities'!L138,120)-MAX('Activities'!K138,114))</x:f>
        <x:v>0</x:v>
      </x:c>
      <x:c r="Y138" s="22" t="n">
        <x:f>MAX(0,MIN('Activities'!L138,126)-MAX('Activities'!K138,120))</x:f>
        <x:v>0</x:v>
      </x:c>
      <x:c r="Z138" s="22" t="n">
        <x:f>MAX(0,MIN('Activities'!L138,132)-MAX('Activities'!K138,126))</x:f>
        <x:v>0</x:v>
      </x:c>
      <x:c r="AA138" s="22" t="n">
        <x:f>MAX(0,MIN('Activities'!L138,138)-MAX('Activities'!K138,132))</x:f>
        <x:v>0</x:v>
      </x:c>
      <x:c r="AB138" s="22" t="n">
        <x:f>MAX(0,MIN('Activities'!L138,144)-MAX('Activities'!K138,138))</x:f>
        <x:v>0</x:v>
      </x:c>
      <x:c r="AC138" s="22" t="n">
        <x:f>MAX(0,MIN('Activities'!L138,150)-MAX('Activities'!K138,144))</x:f>
        <x:v>0</x:v>
      </x:c>
      <x:c r="AD138" s="22" t="n">
        <x:f>MAX(0,MIN('Activities'!L138,156)-MAX('Activities'!K138,150))</x:f>
        <x:v>0</x:v>
      </x:c>
      <x:c r="AE138" s="22" t="n">
        <x:f>MAX(0,MIN('Activities'!L138,162)-MAX('Activities'!K138,156))</x:f>
        <x:v>0</x:v>
      </x:c>
      <x:c r="AF138" s="22" t="n">
        <x:f>MAX(0,MIN('Activities'!L138,168)-MAX('Activities'!K138,162))</x:f>
        <x:v>0</x:v>
      </x:c>
      <x:c r="AG138" s="22" t="n">
        <x:f>MAX(0,MIN('Activities'!L138,174)-MAX('Activities'!K138,168))</x:f>
        <x:v>0</x:v>
      </x:c>
      <x:c r="AH138" s="22" t="n">
        <x:f>MAX(0,MIN('Activities'!L138,180)-MAX('Activities'!K138,174))</x:f>
        <x:v>0</x:v>
      </x:c>
      <x:c r="AI138" s="22" t="n">
        <x:f>MAX(0,MIN('Activities'!L138,186)-MAX('Activities'!K138,180))</x:f>
        <x:v>0</x:v>
      </x:c>
      <x:c r="AJ138" s="22" t="n">
        <x:f>MAX(0,MIN('Activities'!L138,192)-MAX('Activities'!K138,186))</x:f>
        <x:v>0</x:v>
      </x:c>
      <x:c r="AK138" s="22" t="n">
        <x:f>MAX(0,MIN('Activities'!L138,198)-MAX('Activities'!K138,192))</x:f>
        <x:v>0</x:v>
      </x:c>
      <x:c r="AL138" s="22" t="n">
        <x:f>MAX(0,MIN('Activities'!L138,204)-MAX('Activities'!K138,198))</x:f>
        <x:v>0</x:v>
      </x:c>
      <x:c r="AM138" s="22" t="n">
        <x:f>MAX(0,MIN('Activities'!L138,210)-MAX('Activities'!K138,204))</x:f>
        <x:v>0</x:v>
      </x:c>
      <x:c r="AN138" s="22" t="n">
        <x:f>MAX(0,MIN('Activities'!L138,216)-MAX('Activities'!K138,210))</x:f>
        <x:v>0</x:v>
      </x:c>
      <x:c r="AO138" s="22" t="n">
        <x:f>MAX(0,MIN('Activities'!L138,222)-MAX('Activities'!K138,216))</x:f>
        <x:v>0</x:v>
      </x:c>
      <x:c r="AP138" s="22" t="n">
        <x:f>MAX(0,MIN('Activities'!L138,228)-MAX('Activities'!K138,222))</x:f>
        <x:v>0</x:v>
      </x:c>
      <x:c r="AQ138" s="22" t="n">
        <x:f>MAX(0,MIN('Activities'!L138,234)-MAX('Activities'!K138,228))</x:f>
        <x:v>0</x:v>
      </x:c>
      <x:c r="AR138" s="22" t="n">
        <x:f>MAX(0,MIN('Activities'!L138,240)-MAX('Activities'!K138,234))</x:f>
        <x:v>0</x:v>
      </x:c>
      <x:c r="AS138" s="22" t="n">
        <x:f>MAX(0,MIN('Activities'!L138,246)-MAX('Activities'!K138,240))</x:f>
        <x:v>0</x:v>
      </x:c>
      <x:c r="AT138" s="22" t="n">
        <x:f>MAX(0,MIN('Activities'!L138,252)-MAX('Activities'!K138,246))</x:f>
        <x:v>0</x:v>
      </x:c>
      <x:c r="AU138" s="22" t="n">
        <x:f>MAX(0,MIN('Activities'!L138,258)-MAX('Activities'!K138,252))</x:f>
        <x:v>0</x:v>
      </x:c>
      <x:c r="AV138" s="22" t="n">
        <x:f>MAX(0,MIN('Activities'!L138,264)-MAX('Activities'!K138,258))</x:f>
        <x:v>0</x:v>
      </x:c>
      <x:c r="AW138" s="22" t="n">
        <x:f>MAX(0,MIN('Activities'!L138,270)-MAX('Activities'!K138,264))</x:f>
        <x:v>0</x:v>
      </x:c>
      <x:c r="AX138" s="22" t="n">
        <x:f>MAX(0,MIN('Activities'!L138,276)-MAX('Activities'!K138,270))</x:f>
        <x:v>0</x:v>
      </x:c>
      <x:c r="AY138" s="22" t="n">
        <x:f>MAX(0,MIN('Activities'!L138,282)-MAX('Activities'!K138,276))</x:f>
        <x:v>0</x:v>
      </x:c>
      <x:c r="AZ138" s="22" t="n">
        <x:f>MAX(0,MIN('Activities'!L138,288)-MAX('Activities'!K138,282))</x:f>
        <x:v>0</x:v>
      </x:c>
      <x:c r="BA138" s="22" t="n">
        <x:f>MAX(0,MIN('Activities'!L138,294)-MAX('Activities'!K138,288))</x:f>
        <x:v>0</x:v>
      </x:c>
      <x:c r="BB138" s="22" t="n">
        <x:f>MAX(0,MIN('Activities'!L138,300)-MAX('Activities'!K138,294))</x:f>
        <x:v>0</x:v>
      </x:c>
      <x:c r="BC138" s="22" t="n">
        <x:f>MAX(0,MIN('Activities'!L138,306)-MAX('Activities'!K138,300))</x:f>
        <x:v>0</x:v>
      </x:c>
      <x:c r="BD138" s="22" t="n">
        <x:f>MAX(0,MIN('Activities'!L138,312)-MAX('Activities'!K138,306))</x:f>
        <x:v>0</x:v>
      </x:c>
      <x:c r="BE138" s="22" t="n">
        <x:f>MAX(0,MIN('Activities'!L138,318)-MAX('Activities'!K138,312))</x:f>
        <x:v>0</x:v>
      </x:c>
      <x:c r="BF138" s="22" t="n">
        <x:f>MAX(0,MIN('Activities'!L138,324)-MAX('Activities'!K138,318))</x:f>
        <x:v>0</x:v>
      </x:c>
      <x:c r="BG138" s="22" t="n">
        <x:f>MAX(0,MIN('Activities'!L138,330)-MAX('Activities'!K138,324))</x:f>
        <x:v>0</x:v>
      </x:c>
      <x:c r="BH138" s="22" t="n">
        <x:f>MAX(0,MIN('Activities'!L138,336)-MAX('Activities'!K138,330))</x:f>
        <x:v>0</x:v>
      </x:c>
      <x:c r="BI138" s="22" t="n">
        <x:f>MAX(0,MIN('Activities'!L138,342)-MAX('Activities'!K138,336))</x:f>
        <x:v>0</x:v>
      </x:c>
      <x:c r="BJ138" s="22" t="n">
        <x:f>MAX(0,MIN('Activities'!L138,348)-MAX('Activities'!K138,342))</x:f>
        <x:v>0</x:v>
      </x:c>
      <x:c r="BK138" s="22" t="n">
        <x:f>MAX(0,MIN('Activities'!L138,354)-MAX('Activities'!K138,348))</x:f>
        <x:v>0</x:v>
      </x:c>
      <x:c r="BL138" s="22" t="n">
        <x:f>MAX(0,MIN('Activities'!L138,360)-MAX('Activities'!K138,354))</x:f>
        <x:v>0</x:v>
      </x:c>
      <x:c r="BM138" s="22" t="n">
        <x:f>MAX(0,MIN('Activities'!L138,366)-MAX('Activities'!K138,360))</x:f>
        <x:v>0</x:v>
      </x:c>
      <x:c r="BN138" s="22" t="n">
        <x:f>MAX(0,MIN('Activities'!L138,372)-MAX('Activities'!K138,366))</x:f>
        <x:v>0</x:v>
      </x:c>
      <x:c r="BO138" s="22" t="n">
        <x:f>MAX(0,MIN('Activities'!L138,378)-MAX('Activities'!K138,372))</x:f>
        <x:v>0</x:v>
      </x:c>
      <x:c r="BP138" s="22" t="n">
        <x:f>MAX(0,MIN('Activities'!L138,384)-MAX('Activities'!K138,378))</x:f>
        <x:v>3</x:v>
      </x:c>
      <x:c r="BQ138" s="22" t="n">
        <x:f>MAX(0,MIN('Activities'!L138,390)-MAX('Activities'!K138,384))</x:f>
        <x:v>3</x:v>
      </x:c>
      <x:c r="BR138" s="22" t="n">
        <x:f>MAX(0,MIN('Activities'!L138,396)-MAX('Activities'!K138,390))</x:f>
        <x:v>0</x:v>
      </x:c>
      <x:c r="BS138" s="22" t="n">
        <x:f>MAX(0,MIN('Activities'!L138,402)-MAX('Activities'!K138,396))</x:f>
        <x:v>0</x:v>
      </x:c>
      <x:c r="BT138" s="22" t="n">
        <x:f>MAX(0,MIN('Activities'!L138,408)-MAX('Activities'!K138,402))</x:f>
        <x:v>0</x:v>
      </x:c>
      <x:c r="BU138" s="22" t="n">
        <x:f>MAX(0,MIN('Activities'!L138,414)-MAX('Activities'!K138,408))</x:f>
        <x:v>0</x:v>
      </x:c>
      <x:c r="BV138" s="22" t="n">
        <x:f>MAX(0,MIN('Activities'!L138,420)-MAX('Activities'!K138,414))</x:f>
        <x:v>0</x:v>
      </x:c>
      <x:c r="BW138" s="22" t="n">
        <x:f>MAX(0,MIN('Activities'!L138,426)-MAX('Activities'!K138,420))</x:f>
        <x:v>0</x:v>
      </x:c>
      <x:c r="BX138" s="22" t="n">
        <x:f>MAX(0,MIN('Activities'!L138,432)-MAX('Activities'!K138,426))</x:f>
        <x:v>0</x:v>
      </x:c>
      <x:c r="BY138" s="22" t="n">
        <x:f>MAX(0,MIN('Activities'!L138,438)-MAX('Activities'!K138,432))</x:f>
        <x:v>0</x:v>
      </x:c>
      <x:c r="BZ138" s="22" t="n">
        <x:f>MAX(0,MIN('Activities'!L138,444)-MAX('Activities'!K138,438))</x:f>
        <x:v>0</x:v>
      </x:c>
      <x:c r="CA138" s="22" t="n">
        <x:f>MAX(0,MIN('Activities'!L138,450)-MAX('Activities'!K138,444))</x:f>
        <x:v>0</x:v>
      </x:c>
      <x:c r="CB138" s="22" t="n">
        <x:f>MAX(0,MIN('Activities'!L138,456)-MAX('Activities'!K138,450))</x:f>
        <x:v>0</x:v>
      </x:c>
      <x:c r="CC138" s="22" t="n">
        <x:f>MAX(0,MIN('Activities'!L138,462)-MAX('Activities'!K138,456))</x:f>
        <x:v>0</x:v>
      </x:c>
      <x:c r="CD138" s="22" t="n">
        <x:f>MAX(0,MIN('Activities'!L138,468)-MAX('Activities'!K138,462))</x:f>
        <x:v>0</x:v>
      </x:c>
      <x:c r="CE138" s="22" t="n">
        <x:f>MAX(0,MIN('Activities'!L138,474)-MAX('Activities'!K138,468))</x:f>
        <x:v>0</x:v>
      </x:c>
      <x:c r="CF138" s="22" t="n">
        <x:f>MAX(0,MIN('Activities'!L138,480)-MAX('Activities'!K138,474))</x:f>
        <x:v>0</x:v>
      </x:c>
      <x:c r="CG138" s="22" t="n">
        <x:f>MAX(0,MIN('Activities'!L138,486)-MAX('Activities'!K138,480))</x:f>
        <x:v>0</x:v>
      </x:c>
      <x:c r="CH138" s="22" t="n">
        <x:f>MAX(0,MIN('Activities'!L138,492)-MAX('Activities'!K138,486))</x:f>
        <x:v>0</x:v>
      </x:c>
      <x:c r="CI138" s="22" t="n">
        <x:f>MAX(0,MIN('Activities'!L138,498)-MAX('Activities'!K138,492))</x:f>
        <x:v>0</x:v>
      </x:c>
      <x:c r="CJ138" s="22" t="n">
        <x:f>MAX(0,MIN('Activities'!L138,504)-MAX('Activities'!K138,498))</x:f>
        <x:v>0</x:v>
      </x:c>
      <x:c r="CK138" s="22" t="n">
        <x:f>MAX(0,MIN('Activities'!L138,510)-MAX('Activities'!K138,504))</x:f>
        <x:v>0</x:v>
      </x:c>
      <x:c r="CL138" s="22" t="n">
        <x:f>MAX(0,MIN('Activities'!L138,516)-MAX('Activities'!K138,510))</x:f>
        <x:v>0</x:v>
      </x:c>
      <x:c r="CM138" s="22" t="n">
        <x:f>MAX(0,MIN('Activities'!L138,522)-MAX('Activities'!K138,516))</x:f>
        <x:v>0</x:v>
      </x:c>
      <x:c r="CN138" s="22" t="n">
        <x:f>MAX(0,MIN('Activities'!L138,528)-MAX('Activities'!K138,522))</x:f>
        <x:v>0</x:v>
      </x:c>
      <x:c r="CO138" s="22" t="n">
        <x:f>MAX(0,MIN('Activities'!L138,534)-MAX('Activities'!K138,528))</x:f>
        <x:v>0</x:v>
      </x:c>
      <x:c r="CP138" s="22" t="n">
        <x:f>MAX(0,MIN('Activities'!L138,540)-MAX('Activities'!K138,534))</x:f>
        <x:v>0</x:v>
      </x:c>
      <x:c r="CQ138" s="22" t="n">
        <x:f>MAX(0,MIN('Activities'!L138,546)-MAX('Activities'!K138,540))</x:f>
        <x:v>0</x:v>
      </x:c>
      <x:c r="CR138" s="22" t="n">
        <x:f>MAX(0,MIN('Activities'!L138,552)-MAX('Activities'!K138,546))</x:f>
        <x:v>0</x:v>
      </x:c>
      <x:c r="CS138" s="22" t="n">
        <x:f>MAX(0,MIN('Activities'!L138,558)-MAX('Activities'!K138,552))</x:f>
        <x:v>0</x:v>
      </x:c>
      <x:c r="CT138" s="22" t="n">
        <x:f>MAX(0,MIN('Activities'!L138,564)-MAX('Activities'!K138,558))</x:f>
        <x:v>0</x:v>
      </x:c>
      <x:c r="CU138" s="22" t="n">
        <x:f>MAX(0,MIN('Activities'!L138,570)-MAX('Activities'!K138,564))</x:f>
        <x:v>0</x:v>
      </x:c>
      <x:c r="CV138" s="22" t="n">
        <x:f>MAX(0,MIN('Activities'!L138,576)-MAX('Activities'!K138,570))</x:f>
        <x:v>0</x:v>
      </x:c>
      <x:c r="CW138" s="22" t="n">
        <x:f>MAX(0,MIN('Activities'!L138,582)-MAX('Activities'!K138,576))</x:f>
        <x:v>0</x:v>
      </x:c>
      <x:c r="CX138" s="22" t="n">
        <x:f>MAX(0,MIN('Activities'!L138,588)-MAX('Activities'!K138,582))</x:f>
        <x:v>0</x:v>
      </x:c>
      <x:c r="CY138" s="22" t="n">
        <x:f>MAX(0,MIN('Activities'!L138,594)-MAX('Activities'!K138,588))</x:f>
        <x:v>0</x:v>
      </x:c>
      <x:c r="CZ138" s="22" t="n">
        <x:f>MAX(0,MIN('Activities'!L138,600)-MAX('Activities'!K138,594))</x:f>
        <x:v>0</x:v>
      </x:c>
      <x:c r="DA138" s="22" t="n">
        <x:f>MAX(0,MIN('Activities'!L138,606)-MAX('Activities'!K138,600))</x:f>
        <x:v>0</x:v>
      </x:c>
      <x:c r="DB138" s="22" t="n">
        <x:f>MAX(0,MIN('Activities'!L138,612)-MAX('Activities'!K138,606))</x:f>
        <x:v>0</x:v>
      </x:c>
      <x:c r="DC138" s="22" t="n">
        <x:f>MAX(0,MIN('Activities'!L138,618)-MAX('Activities'!K138,612))</x:f>
        <x:v>0</x:v>
      </x:c>
      <x:c r="DD138" s="22" t="n">
        <x:f>MAX(0,MIN('Activities'!L138,624)-MAX('Activities'!K138,618))</x:f>
        <x:v>0</x:v>
      </x:c>
      <x:c r="DE138" s="22" t="n">
        <x:f>MAX(0,MIN('Activities'!L138,630)-MAX('Activities'!K138,624))</x:f>
        <x:v>0</x:v>
      </x:c>
      <x:c r="DF138" s="22" t="n">
        <x:f>MAX(0,MIN('Activities'!L138,636)-MAX('Activities'!K138,630))</x:f>
        <x:v>0</x:v>
      </x:c>
    </x:row>
    <x:row r="139" ht="23" customHeight="1">
      <x:c r="A139" s="1" t="str">
        <x:v>T1-L11-S</x:v>
      </x:c>
      <x:c r="B139" s="1" t="str">
        <x:v>T1</x:v>
      </x:c>
      <x:c r="C139" s="1" t="str">
        <x:v>Screed and substrate preparation</x:v>
      </x:c>
      <x:c r="D139" s="1" t="str">
        <x:v>Finishes</x:v>
      </x:c>
      <x:c r="E139" s="23" t="n">
        <x:f>MAX(0,MIN('Activities'!L139,6)-MAX('Activities'!K139,0))</x:f>
        <x:v>0</x:v>
      </x:c>
      <x:c r="F139" s="23" t="n">
        <x:f>MAX(0,MIN('Activities'!L139,12)-MAX('Activities'!K139,6))</x:f>
        <x:v>0</x:v>
      </x:c>
      <x:c r="G139" s="23" t="n">
        <x:f>MAX(0,MIN('Activities'!L139,18)-MAX('Activities'!K139,12))</x:f>
        <x:v>0</x:v>
      </x:c>
      <x:c r="H139" s="23" t="n">
        <x:f>MAX(0,MIN('Activities'!L139,24)-MAX('Activities'!K139,18))</x:f>
        <x:v>0</x:v>
      </x:c>
      <x:c r="I139" s="23" t="n">
        <x:f>MAX(0,MIN('Activities'!L139,30)-MAX('Activities'!K139,24))</x:f>
        <x:v>0</x:v>
      </x:c>
      <x:c r="J139" s="23" t="n">
        <x:f>MAX(0,MIN('Activities'!L139,36)-MAX('Activities'!K139,30))</x:f>
        <x:v>0</x:v>
      </x:c>
      <x:c r="K139" s="23" t="n">
        <x:f>MAX(0,MIN('Activities'!L139,42)-MAX('Activities'!K139,36))</x:f>
        <x:v>0</x:v>
      </x:c>
      <x:c r="L139" s="23" t="n">
        <x:f>MAX(0,MIN('Activities'!L139,48)-MAX('Activities'!K139,42))</x:f>
        <x:v>0</x:v>
      </x:c>
      <x:c r="M139" s="23" t="n">
        <x:f>MAX(0,MIN('Activities'!L139,54)-MAX('Activities'!K139,48))</x:f>
        <x:v>0</x:v>
      </x:c>
      <x:c r="N139" s="23" t="n">
        <x:f>MAX(0,MIN('Activities'!L139,60)-MAX('Activities'!K139,54))</x:f>
        <x:v>0</x:v>
      </x:c>
      <x:c r="O139" s="23" t="n">
        <x:f>MAX(0,MIN('Activities'!L139,66)-MAX('Activities'!K139,60))</x:f>
        <x:v>0</x:v>
      </x:c>
      <x:c r="P139" s="23" t="n">
        <x:f>MAX(0,MIN('Activities'!L139,72)-MAX('Activities'!K139,66))</x:f>
        <x:v>0</x:v>
      </x:c>
      <x:c r="Q139" s="23" t="n">
        <x:f>MAX(0,MIN('Activities'!L139,78)-MAX('Activities'!K139,72))</x:f>
        <x:v>0</x:v>
      </x:c>
      <x:c r="R139" s="23" t="n">
        <x:f>MAX(0,MIN('Activities'!L139,84)-MAX('Activities'!K139,78))</x:f>
        <x:v>0</x:v>
      </x:c>
      <x:c r="S139" s="23" t="n">
        <x:f>MAX(0,MIN('Activities'!L139,90)-MAX('Activities'!K139,84))</x:f>
        <x:v>0</x:v>
      </x:c>
      <x:c r="T139" s="23" t="n">
        <x:f>MAX(0,MIN('Activities'!L139,96)-MAX('Activities'!K139,90))</x:f>
        <x:v>0</x:v>
      </x:c>
      <x:c r="U139" s="23" t="n">
        <x:f>MAX(0,MIN('Activities'!L139,102)-MAX('Activities'!K139,96))</x:f>
        <x:v>0</x:v>
      </x:c>
      <x:c r="V139" s="23" t="n">
        <x:f>MAX(0,MIN('Activities'!L139,108)-MAX('Activities'!K139,102))</x:f>
        <x:v>0</x:v>
      </x:c>
      <x:c r="W139" s="23" t="n">
        <x:f>MAX(0,MIN('Activities'!L139,114)-MAX('Activities'!K139,108))</x:f>
        <x:v>0</x:v>
      </x:c>
      <x:c r="X139" s="23" t="n">
        <x:f>MAX(0,MIN('Activities'!L139,120)-MAX('Activities'!K139,114))</x:f>
        <x:v>0</x:v>
      </x:c>
      <x:c r="Y139" s="23" t="n">
        <x:f>MAX(0,MIN('Activities'!L139,126)-MAX('Activities'!K139,120))</x:f>
        <x:v>0</x:v>
      </x:c>
      <x:c r="Z139" s="23" t="n">
        <x:f>MAX(0,MIN('Activities'!L139,132)-MAX('Activities'!K139,126))</x:f>
        <x:v>0</x:v>
      </x:c>
      <x:c r="AA139" s="23" t="n">
        <x:f>MAX(0,MIN('Activities'!L139,138)-MAX('Activities'!K139,132))</x:f>
        <x:v>0</x:v>
      </x:c>
      <x:c r="AB139" s="23" t="n">
        <x:f>MAX(0,MIN('Activities'!L139,144)-MAX('Activities'!K139,138))</x:f>
        <x:v>0</x:v>
      </x:c>
      <x:c r="AC139" s="23" t="n">
        <x:f>MAX(0,MIN('Activities'!L139,150)-MAX('Activities'!K139,144))</x:f>
        <x:v>0</x:v>
      </x:c>
      <x:c r="AD139" s="23" t="n">
        <x:f>MAX(0,MIN('Activities'!L139,156)-MAX('Activities'!K139,150))</x:f>
        <x:v>0</x:v>
      </x:c>
      <x:c r="AE139" s="23" t="n">
        <x:f>MAX(0,MIN('Activities'!L139,162)-MAX('Activities'!K139,156))</x:f>
        <x:v>0</x:v>
      </x:c>
      <x:c r="AF139" s="23" t="n">
        <x:f>MAX(0,MIN('Activities'!L139,168)-MAX('Activities'!K139,162))</x:f>
        <x:v>0</x:v>
      </x:c>
      <x:c r="AG139" s="23" t="n">
        <x:f>MAX(0,MIN('Activities'!L139,174)-MAX('Activities'!K139,168))</x:f>
        <x:v>0</x:v>
      </x:c>
      <x:c r="AH139" s="23" t="n">
        <x:f>MAX(0,MIN('Activities'!L139,180)-MAX('Activities'!K139,174))</x:f>
        <x:v>0</x:v>
      </x:c>
      <x:c r="AI139" s="23" t="n">
        <x:f>MAX(0,MIN('Activities'!L139,186)-MAX('Activities'!K139,180))</x:f>
        <x:v>0</x:v>
      </x:c>
      <x:c r="AJ139" s="23" t="n">
        <x:f>MAX(0,MIN('Activities'!L139,192)-MAX('Activities'!K139,186))</x:f>
        <x:v>0</x:v>
      </x:c>
      <x:c r="AK139" s="23" t="n">
        <x:f>MAX(0,MIN('Activities'!L139,198)-MAX('Activities'!K139,192))</x:f>
        <x:v>0</x:v>
      </x:c>
      <x:c r="AL139" s="23" t="n">
        <x:f>MAX(0,MIN('Activities'!L139,204)-MAX('Activities'!K139,198))</x:f>
        <x:v>0</x:v>
      </x:c>
      <x:c r="AM139" s="23" t="n">
        <x:f>MAX(0,MIN('Activities'!L139,210)-MAX('Activities'!K139,204))</x:f>
        <x:v>0</x:v>
      </x:c>
      <x:c r="AN139" s="23" t="n">
        <x:f>MAX(0,MIN('Activities'!L139,216)-MAX('Activities'!K139,210))</x:f>
        <x:v>0</x:v>
      </x:c>
      <x:c r="AO139" s="23" t="n">
        <x:f>MAX(0,MIN('Activities'!L139,222)-MAX('Activities'!K139,216))</x:f>
        <x:v>0</x:v>
      </x:c>
      <x:c r="AP139" s="23" t="n">
        <x:f>MAX(0,MIN('Activities'!L139,228)-MAX('Activities'!K139,222))</x:f>
        <x:v>0</x:v>
      </x:c>
      <x:c r="AQ139" s="23" t="n">
        <x:f>MAX(0,MIN('Activities'!L139,234)-MAX('Activities'!K139,228))</x:f>
        <x:v>0</x:v>
      </x:c>
      <x:c r="AR139" s="23" t="n">
        <x:f>MAX(0,MIN('Activities'!L139,240)-MAX('Activities'!K139,234))</x:f>
        <x:v>0</x:v>
      </x:c>
      <x:c r="AS139" s="23" t="n">
        <x:f>MAX(0,MIN('Activities'!L139,246)-MAX('Activities'!K139,240))</x:f>
        <x:v>0</x:v>
      </x:c>
      <x:c r="AT139" s="23" t="n">
        <x:f>MAX(0,MIN('Activities'!L139,252)-MAX('Activities'!K139,246))</x:f>
        <x:v>0</x:v>
      </x:c>
      <x:c r="AU139" s="23" t="n">
        <x:f>MAX(0,MIN('Activities'!L139,258)-MAX('Activities'!K139,252))</x:f>
        <x:v>0</x:v>
      </x:c>
      <x:c r="AV139" s="23" t="n">
        <x:f>MAX(0,MIN('Activities'!L139,264)-MAX('Activities'!K139,258))</x:f>
        <x:v>0</x:v>
      </x:c>
      <x:c r="AW139" s="23" t="n">
        <x:f>MAX(0,MIN('Activities'!L139,270)-MAX('Activities'!K139,264))</x:f>
        <x:v>0</x:v>
      </x:c>
      <x:c r="AX139" s="23" t="n">
        <x:f>MAX(0,MIN('Activities'!L139,276)-MAX('Activities'!K139,270))</x:f>
        <x:v>0</x:v>
      </x:c>
      <x:c r="AY139" s="23" t="n">
        <x:f>MAX(0,MIN('Activities'!L139,282)-MAX('Activities'!K139,276))</x:f>
        <x:v>0</x:v>
      </x:c>
      <x:c r="AZ139" s="23" t="n">
        <x:f>MAX(0,MIN('Activities'!L139,288)-MAX('Activities'!K139,282))</x:f>
        <x:v>0</x:v>
      </x:c>
      <x:c r="BA139" s="23" t="n">
        <x:f>MAX(0,MIN('Activities'!L139,294)-MAX('Activities'!K139,288))</x:f>
        <x:v>0</x:v>
      </x:c>
      <x:c r="BB139" s="23" t="n">
        <x:f>MAX(0,MIN('Activities'!L139,300)-MAX('Activities'!K139,294))</x:f>
        <x:v>0</x:v>
      </x:c>
      <x:c r="BC139" s="23" t="n">
        <x:f>MAX(0,MIN('Activities'!L139,306)-MAX('Activities'!K139,300))</x:f>
        <x:v>0</x:v>
      </x:c>
      <x:c r="BD139" s="23" t="n">
        <x:f>MAX(0,MIN('Activities'!L139,312)-MAX('Activities'!K139,306))</x:f>
        <x:v>0</x:v>
      </x:c>
      <x:c r="BE139" s="23" t="n">
        <x:f>MAX(0,MIN('Activities'!L139,318)-MAX('Activities'!K139,312))</x:f>
        <x:v>0</x:v>
      </x:c>
      <x:c r="BF139" s="23" t="n">
        <x:f>MAX(0,MIN('Activities'!L139,324)-MAX('Activities'!K139,318))</x:f>
        <x:v>0</x:v>
      </x:c>
      <x:c r="BG139" s="23" t="n">
        <x:f>MAX(0,MIN('Activities'!L139,330)-MAX('Activities'!K139,324))</x:f>
        <x:v>0</x:v>
      </x:c>
      <x:c r="BH139" s="23" t="n">
        <x:f>MAX(0,MIN('Activities'!L139,336)-MAX('Activities'!K139,330))</x:f>
        <x:v>0</x:v>
      </x:c>
      <x:c r="BI139" s="23" t="n">
        <x:f>MAX(0,MIN('Activities'!L139,342)-MAX('Activities'!K139,336))</x:f>
        <x:v>0</x:v>
      </x:c>
      <x:c r="BJ139" s="23" t="n">
        <x:f>MAX(0,MIN('Activities'!L139,348)-MAX('Activities'!K139,342))</x:f>
        <x:v>0</x:v>
      </x:c>
      <x:c r="BK139" s="23" t="n">
        <x:f>MAX(0,MIN('Activities'!L139,354)-MAX('Activities'!K139,348))</x:f>
        <x:v>0</x:v>
      </x:c>
      <x:c r="BL139" s="23" t="n">
        <x:f>MAX(0,MIN('Activities'!L139,360)-MAX('Activities'!K139,354))</x:f>
        <x:v>0</x:v>
      </x:c>
      <x:c r="BM139" s="23" t="n">
        <x:f>MAX(0,MIN('Activities'!L139,366)-MAX('Activities'!K139,360))</x:f>
        <x:v>0</x:v>
      </x:c>
      <x:c r="BN139" s="23" t="n">
        <x:f>MAX(0,MIN('Activities'!L139,372)-MAX('Activities'!K139,366))</x:f>
        <x:v>0</x:v>
      </x:c>
      <x:c r="BO139" s="23" t="n">
        <x:f>MAX(0,MIN('Activities'!L139,378)-MAX('Activities'!K139,372))</x:f>
        <x:v>0</x:v>
      </x:c>
      <x:c r="BP139" s="23" t="n">
        <x:f>MAX(0,MIN('Activities'!L139,384)-MAX('Activities'!K139,378))</x:f>
        <x:v>0</x:v>
      </x:c>
      <x:c r="BQ139" s="23" t="n">
        <x:f>MAX(0,MIN('Activities'!L139,390)-MAX('Activities'!K139,384))</x:f>
        <x:v>1</x:v>
      </x:c>
      <x:c r="BR139" s="23" t="n">
        <x:f>MAX(0,MIN('Activities'!L139,396)-MAX('Activities'!K139,390))</x:f>
        <x:v>2</x:v>
      </x:c>
      <x:c r="BS139" s="23" t="n">
        <x:f>MAX(0,MIN('Activities'!L139,402)-MAX('Activities'!K139,396))</x:f>
        <x:v>0</x:v>
      </x:c>
      <x:c r="BT139" s="23" t="n">
        <x:f>MAX(0,MIN('Activities'!L139,408)-MAX('Activities'!K139,402))</x:f>
        <x:v>0</x:v>
      </x:c>
      <x:c r="BU139" s="23" t="n">
        <x:f>MAX(0,MIN('Activities'!L139,414)-MAX('Activities'!K139,408))</x:f>
        <x:v>0</x:v>
      </x:c>
      <x:c r="BV139" s="23" t="n">
        <x:f>MAX(0,MIN('Activities'!L139,420)-MAX('Activities'!K139,414))</x:f>
        <x:v>0</x:v>
      </x:c>
      <x:c r="BW139" s="23" t="n">
        <x:f>MAX(0,MIN('Activities'!L139,426)-MAX('Activities'!K139,420))</x:f>
        <x:v>0</x:v>
      </x:c>
      <x:c r="BX139" s="23" t="n">
        <x:f>MAX(0,MIN('Activities'!L139,432)-MAX('Activities'!K139,426))</x:f>
        <x:v>0</x:v>
      </x:c>
      <x:c r="BY139" s="23" t="n">
        <x:f>MAX(0,MIN('Activities'!L139,438)-MAX('Activities'!K139,432))</x:f>
        <x:v>0</x:v>
      </x:c>
      <x:c r="BZ139" s="23" t="n">
        <x:f>MAX(0,MIN('Activities'!L139,444)-MAX('Activities'!K139,438))</x:f>
        <x:v>0</x:v>
      </x:c>
      <x:c r="CA139" s="23" t="n">
        <x:f>MAX(0,MIN('Activities'!L139,450)-MAX('Activities'!K139,444))</x:f>
        <x:v>0</x:v>
      </x:c>
      <x:c r="CB139" s="23" t="n">
        <x:f>MAX(0,MIN('Activities'!L139,456)-MAX('Activities'!K139,450))</x:f>
        <x:v>0</x:v>
      </x:c>
      <x:c r="CC139" s="23" t="n">
        <x:f>MAX(0,MIN('Activities'!L139,462)-MAX('Activities'!K139,456))</x:f>
        <x:v>0</x:v>
      </x:c>
      <x:c r="CD139" s="23" t="n">
        <x:f>MAX(0,MIN('Activities'!L139,468)-MAX('Activities'!K139,462))</x:f>
        <x:v>0</x:v>
      </x:c>
      <x:c r="CE139" s="23" t="n">
        <x:f>MAX(0,MIN('Activities'!L139,474)-MAX('Activities'!K139,468))</x:f>
        <x:v>0</x:v>
      </x:c>
      <x:c r="CF139" s="23" t="n">
        <x:f>MAX(0,MIN('Activities'!L139,480)-MAX('Activities'!K139,474))</x:f>
        <x:v>0</x:v>
      </x:c>
      <x:c r="CG139" s="23" t="n">
        <x:f>MAX(0,MIN('Activities'!L139,486)-MAX('Activities'!K139,480))</x:f>
        <x:v>0</x:v>
      </x:c>
      <x:c r="CH139" s="23" t="n">
        <x:f>MAX(0,MIN('Activities'!L139,492)-MAX('Activities'!K139,486))</x:f>
        <x:v>0</x:v>
      </x:c>
      <x:c r="CI139" s="23" t="n">
        <x:f>MAX(0,MIN('Activities'!L139,498)-MAX('Activities'!K139,492))</x:f>
        <x:v>0</x:v>
      </x:c>
      <x:c r="CJ139" s="23" t="n">
        <x:f>MAX(0,MIN('Activities'!L139,504)-MAX('Activities'!K139,498))</x:f>
        <x:v>0</x:v>
      </x:c>
      <x:c r="CK139" s="23" t="n">
        <x:f>MAX(0,MIN('Activities'!L139,510)-MAX('Activities'!K139,504))</x:f>
        <x:v>0</x:v>
      </x:c>
      <x:c r="CL139" s="23" t="n">
        <x:f>MAX(0,MIN('Activities'!L139,516)-MAX('Activities'!K139,510))</x:f>
        <x:v>0</x:v>
      </x:c>
      <x:c r="CM139" s="23" t="n">
        <x:f>MAX(0,MIN('Activities'!L139,522)-MAX('Activities'!K139,516))</x:f>
        <x:v>0</x:v>
      </x:c>
      <x:c r="CN139" s="23" t="n">
        <x:f>MAX(0,MIN('Activities'!L139,528)-MAX('Activities'!K139,522))</x:f>
        <x:v>0</x:v>
      </x:c>
      <x:c r="CO139" s="23" t="n">
        <x:f>MAX(0,MIN('Activities'!L139,534)-MAX('Activities'!K139,528))</x:f>
        <x:v>0</x:v>
      </x:c>
      <x:c r="CP139" s="23" t="n">
        <x:f>MAX(0,MIN('Activities'!L139,540)-MAX('Activities'!K139,534))</x:f>
        <x:v>0</x:v>
      </x:c>
      <x:c r="CQ139" s="23" t="n">
        <x:f>MAX(0,MIN('Activities'!L139,546)-MAX('Activities'!K139,540))</x:f>
        <x:v>0</x:v>
      </x:c>
      <x:c r="CR139" s="23" t="n">
        <x:f>MAX(0,MIN('Activities'!L139,552)-MAX('Activities'!K139,546))</x:f>
        <x:v>0</x:v>
      </x:c>
      <x:c r="CS139" s="23" t="n">
        <x:f>MAX(0,MIN('Activities'!L139,558)-MAX('Activities'!K139,552))</x:f>
        <x:v>0</x:v>
      </x:c>
      <x:c r="CT139" s="23" t="n">
        <x:f>MAX(0,MIN('Activities'!L139,564)-MAX('Activities'!K139,558))</x:f>
        <x:v>0</x:v>
      </x:c>
      <x:c r="CU139" s="23" t="n">
        <x:f>MAX(0,MIN('Activities'!L139,570)-MAX('Activities'!K139,564))</x:f>
        <x:v>0</x:v>
      </x:c>
      <x:c r="CV139" s="23" t="n">
        <x:f>MAX(0,MIN('Activities'!L139,576)-MAX('Activities'!K139,570))</x:f>
        <x:v>0</x:v>
      </x:c>
      <x:c r="CW139" s="23" t="n">
        <x:f>MAX(0,MIN('Activities'!L139,582)-MAX('Activities'!K139,576))</x:f>
        <x:v>0</x:v>
      </x:c>
      <x:c r="CX139" s="23" t="n">
        <x:f>MAX(0,MIN('Activities'!L139,588)-MAX('Activities'!K139,582))</x:f>
        <x:v>0</x:v>
      </x:c>
      <x:c r="CY139" s="23" t="n">
        <x:f>MAX(0,MIN('Activities'!L139,594)-MAX('Activities'!K139,588))</x:f>
        <x:v>0</x:v>
      </x:c>
      <x:c r="CZ139" s="23" t="n">
        <x:f>MAX(0,MIN('Activities'!L139,600)-MAX('Activities'!K139,594))</x:f>
        <x:v>0</x:v>
      </x:c>
      <x:c r="DA139" s="23" t="n">
        <x:f>MAX(0,MIN('Activities'!L139,606)-MAX('Activities'!K139,600))</x:f>
        <x:v>0</x:v>
      </x:c>
      <x:c r="DB139" s="23" t="n">
        <x:f>MAX(0,MIN('Activities'!L139,612)-MAX('Activities'!K139,606))</x:f>
        <x:v>0</x:v>
      </x:c>
      <x:c r="DC139" s="23" t="n">
        <x:f>MAX(0,MIN('Activities'!L139,618)-MAX('Activities'!K139,612))</x:f>
        <x:v>0</x:v>
      </x:c>
      <x:c r="DD139" s="23" t="n">
        <x:f>MAX(0,MIN('Activities'!L139,624)-MAX('Activities'!K139,618))</x:f>
        <x:v>0</x:v>
      </x:c>
      <x:c r="DE139" s="23" t="n">
        <x:f>MAX(0,MIN('Activities'!L139,630)-MAX('Activities'!K139,624))</x:f>
        <x:v>0</x:v>
      </x:c>
      <x:c r="DF139" s="23" t="n">
        <x:f>MAX(0,MIN('Activities'!L139,636)-MAX('Activities'!K139,630))</x:f>
        <x:v>0</x:v>
      </x:c>
    </x:row>
    <x:row r="140" ht="23" customHeight="1">
      <x:c r="A140" s="6" t="str">
        <x:v>T1-L11-T</x:v>
      </x:c>
      <x:c r="B140" s="6" t="str">
        <x:v>T1</x:v>
      </x:c>
      <x:c r="C140" s="6" t="str">
        <x:v>Floor finishes and skirtings</x:v>
      </x:c>
      <x:c r="D140" s="6" t="str">
        <x:v>Finishes</x:v>
      </x:c>
      <x:c r="E140" s="22" t="n">
        <x:f>MAX(0,MIN('Activities'!L140,6)-MAX('Activities'!K140,0))</x:f>
        <x:v>0</x:v>
      </x:c>
      <x:c r="F140" s="22" t="n">
        <x:f>MAX(0,MIN('Activities'!L140,12)-MAX('Activities'!K140,6))</x:f>
        <x:v>0</x:v>
      </x:c>
      <x:c r="G140" s="22" t="n">
        <x:f>MAX(0,MIN('Activities'!L140,18)-MAX('Activities'!K140,12))</x:f>
        <x:v>0</x:v>
      </x:c>
      <x:c r="H140" s="22" t="n">
        <x:f>MAX(0,MIN('Activities'!L140,24)-MAX('Activities'!K140,18))</x:f>
        <x:v>0</x:v>
      </x:c>
      <x:c r="I140" s="22" t="n">
        <x:f>MAX(0,MIN('Activities'!L140,30)-MAX('Activities'!K140,24))</x:f>
        <x:v>0</x:v>
      </x:c>
      <x:c r="J140" s="22" t="n">
        <x:f>MAX(0,MIN('Activities'!L140,36)-MAX('Activities'!K140,30))</x:f>
        <x:v>0</x:v>
      </x:c>
      <x:c r="K140" s="22" t="n">
        <x:f>MAX(0,MIN('Activities'!L140,42)-MAX('Activities'!K140,36))</x:f>
        <x:v>0</x:v>
      </x:c>
      <x:c r="L140" s="22" t="n">
        <x:f>MAX(0,MIN('Activities'!L140,48)-MAX('Activities'!K140,42))</x:f>
        <x:v>0</x:v>
      </x:c>
      <x:c r="M140" s="22" t="n">
        <x:f>MAX(0,MIN('Activities'!L140,54)-MAX('Activities'!K140,48))</x:f>
        <x:v>0</x:v>
      </x:c>
      <x:c r="N140" s="22" t="n">
        <x:f>MAX(0,MIN('Activities'!L140,60)-MAX('Activities'!K140,54))</x:f>
        <x:v>0</x:v>
      </x:c>
      <x:c r="O140" s="22" t="n">
        <x:f>MAX(0,MIN('Activities'!L140,66)-MAX('Activities'!K140,60))</x:f>
        <x:v>0</x:v>
      </x:c>
      <x:c r="P140" s="22" t="n">
        <x:f>MAX(0,MIN('Activities'!L140,72)-MAX('Activities'!K140,66))</x:f>
        <x:v>0</x:v>
      </x:c>
      <x:c r="Q140" s="22" t="n">
        <x:f>MAX(0,MIN('Activities'!L140,78)-MAX('Activities'!K140,72))</x:f>
        <x:v>0</x:v>
      </x:c>
      <x:c r="R140" s="22" t="n">
        <x:f>MAX(0,MIN('Activities'!L140,84)-MAX('Activities'!K140,78))</x:f>
        <x:v>0</x:v>
      </x:c>
      <x:c r="S140" s="22" t="n">
        <x:f>MAX(0,MIN('Activities'!L140,90)-MAX('Activities'!K140,84))</x:f>
        <x:v>0</x:v>
      </x:c>
      <x:c r="T140" s="22" t="n">
        <x:f>MAX(0,MIN('Activities'!L140,96)-MAX('Activities'!K140,90))</x:f>
        <x:v>0</x:v>
      </x:c>
      <x:c r="U140" s="22" t="n">
        <x:f>MAX(0,MIN('Activities'!L140,102)-MAX('Activities'!K140,96))</x:f>
        <x:v>0</x:v>
      </x:c>
      <x:c r="V140" s="22" t="n">
        <x:f>MAX(0,MIN('Activities'!L140,108)-MAX('Activities'!K140,102))</x:f>
        <x:v>0</x:v>
      </x:c>
      <x:c r="W140" s="22" t="n">
        <x:f>MAX(0,MIN('Activities'!L140,114)-MAX('Activities'!K140,108))</x:f>
        <x:v>0</x:v>
      </x:c>
      <x:c r="X140" s="22" t="n">
        <x:f>MAX(0,MIN('Activities'!L140,120)-MAX('Activities'!K140,114))</x:f>
        <x:v>0</x:v>
      </x:c>
      <x:c r="Y140" s="22" t="n">
        <x:f>MAX(0,MIN('Activities'!L140,126)-MAX('Activities'!K140,120))</x:f>
        <x:v>0</x:v>
      </x:c>
      <x:c r="Z140" s="22" t="n">
        <x:f>MAX(0,MIN('Activities'!L140,132)-MAX('Activities'!K140,126))</x:f>
        <x:v>0</x:v>
      </x:c>
      <x:c r="AA140" s="22" t="n">
        <x:f>MAX(0,MIN('Activities'!L140,138)-MAX('Activities'!K140,132))</x:f>
        <x:v>0</x:v>
      </x:c>
      <x:c r="AB140" s="22" t="n">
        <x:f>MAX(0,MIN('Activities'!L140,144)-MAX('Activities'!K140,138))</x:f>
        <x:v>0</x:v>
      </x:c>
      <x:c r="AC140" s="22" t="n">
        <x:f>MAX(0,MIN('Activities'!L140,150)-MAX('Activities'!K140,144))</x:f>
        <x:v>0</x:v>
      </x:c>
      <x:c r="AD140" s="22" t="n">
        <x:f>MAX(0,MIN('Activities'!L140,156)-MAX('Activities'!K140,150))</x:f>
        <x:v>0</x:v>
      </x:c>
      <x:c r="AE140" s="22" t="n">
        <x:f>MAX(0,MIN('Activities'!L140,162)-MAX('Activities'!K140,156))</x:f>
        <x:v>0</x:v>
      </x:c>
      <x:c r="AF140" s="22" t="n">
        <x:f>MAX(0,MIN('Activities'!L140,168)-MAX('Activities'!K140,162))</x:f>
        <x:v>0</x:v>
      </x:c>
      <x:c r="AG140" s="22" t="n">
        <x:f>MAX(0,MIN('Activities'!L140,174)-MAX('Activities'!K140,168))</x:f>
        <x:v>0</x:v>
      </x:c>
      <x:c r="AH140" s="22" t="n">
        <x:f>MAX(0,MIN('Activities'!L140,180)-MAX('Activities'!K140,174))</x:f>
        <x:v>0</x:v>
      </x:c>
      <x:c r="AI140" s="22" t="n">
        <x:f>MAX(0,MIN('Activities'!L140,186)-MAX('Activities'!K140,180))</x:f>
        <x:v>0</x:v>
      </x:c>
      <x:c r="AJ140" s="22" t="n">
        <x:f>MAX(0,MIN('Activities'!L140,192)-MAX('Activities'!K140,186))</x:f>
        <x:v>0</x:v>
      </x:c>
      <x:c r="AK140" s="22" t="n">
        <x:f>MAX(0,MIN('Activities'!L140,198)-MAX('Activities'!K140,192))</x:f>
        <x:v>0</x:v>
      </x:c>
      <x:c r="AL140" s="22" t="n">
        <x:f>MAX(0,MIN('Activities'!L140,204)-MAX('Activities'!K140,198))</x:f>
        <x:v>0</x:v>
      </x:c>
      <x:c r="AM140" s="22" t="n">
        <x:f>MAX(0,MIN('Activities'!L140,210)-MAX('Activities'!K140,204))</x:f>
        <x:v>0</x:v>
      </x:c>
      <x:c r="AN140" s="22" t="n">
        <x:f>MAX(0,MIN('Activities'!L140,216)-MAX('Activities'!K140,210))</x:f>
        <x:v>0</x:v>
      </x:c>
      <x:c r="AO140" s="22" t="n">
        <x:f>MAX(0,MIN('Activities'!L140,222)-MAX('Activities'!K140,216))</x:f>
        <x:v>0</x:v>
      </x:c>
      <x:c r="AP140" s="22" t="n">
        <x:f>MAX(0,MIN('Activities'!L140,228)-MAX('Activities'!K140,222))</x:f>
        <x:v>0</x:v>
      </x:c>
      <x:c r="AQ140" s="22" t="n">
        <x:f>MAX(0,MIN('Activities'!L140,234)-MAX('Activities'!K140,228))</x:f>
        <x:v>0</x:v>
      </x:c>
      <x:c r="AR140" s="22" t="n">
        <x:f>MAX(0,MIN('Activities'!L140,240)-MAX('Activities'!K140,234))</x:f>
        <x:v>0</x:v>
      </x:c>
      <x:c r="AS140" s="22" t="n">
        <x:f>MAX(0,MIN('Activities'!L140,246)-MAX('Activities'!K140,240))</x:f>
        <x:v>0</x:v>
      </x:c>
      <x:c r="AT140" s="22" t="n">
        <x:f>MAX(0,MIN('Activities'!L140,252)-MAX('Activities'!K140,246))</x:f>
        <x:v>0</x:v>
      </x:c>
      <x:c r="AU140" s="22" t="n">
        <x:f>MAX(0,MIN('Activities'!L140,258)-MAX('Activities'!K140,252))</x:f>
        <x:v>0</x:v>
      </x:c>
      <x:c r="AV140" s="22" t="n">
        <x:f>MAX(0,MIN('Activities'!L140,264)-MAX('Activities'!K140,258))</x:f>
        <x:v>0</x:v>
      </x:c>
      <x:c r="AW140" s="22" t="n">
        <x:f>MAX(0,MIN('Activities'!L140,270)-MAX('Activities'!K140,264))</x:f>
        <x:v>0</x:v>
      </x:c>
      <x:c r="AX140" s="22" t="n">
        <x:f>MAX(0,MIN('Activities'!L140,276)-MAX('Activities'!K140,270))</x:f>
        <x:v>0</x:v>
      </x:c>
      <x:c r="AY140" s="22" t="n">
        <x:f>MAX(0,MIN('Activities'!L140,282)-MAX('Activities'!K140,276))</x:f>
        <x:v>0</x:v>
      </x:c>
      <x:c r="AZ140" s="22" t="n">
        <x:f>MAX(0,MIN('Activities'!L140,288)-MAX('Activities'!K140,282))</x:f>
        <x:v>0</x:v>
      </x:c>
      <x:c r="BA140" s="22" t="n">
        <x:f>MAX(0,MIN('Activities'!L140,294)-MAX('Activities'!K140,288))</x:f>
        <x:v>0</x:v>
      </x:c>
      <x:c r="BB140" s="22" t="n">
        <x:f>MAX(0,MIN('Activities'!L140,300)-MAX('Activities'!K140,294))</x:f>
        <x:v>0</x:v>
      </x:c>
      <x:c r="BC140" s="22" t="n">
        <x:f>MAX(0,MIN('Activities'!L140,306)-MAX('Activities'!K140,300))</x:f>
        <x:v>0</x:v>
      </x:c>
      <x:c r="BD140" s="22" t="n">
        <x:f>MAX(0,MIN('Activities'!L140,312)-MAX('Activities'!K140,306))</x:f>
        <x:v>0</x:v>
      </x:c>
      <x:c r="BE140" s="22" t="n">
        <x:f>MAX(0,MIN('Activities'!L140,318)-MAX('Activities'!K140,312))</x:f>
        <x:v>0</x:v>
      </x:c>
      <x:c r="BF140" s="22" t="n">
        <x:f>MAX(0,MIN('Activities'!L140,324)-MAX('Activities'!K140,318))</x:f>
        <x:v>0</x:v>
      </x:c>
      <x:c r="BG140" s="22" t="n">
        <x:f>MAX(0,MIN('Activities'!L140,330)-MAX('Activities'!K140,324))</x:f>
        <x:v>0</x:v>
      </x:c>
      <x:c r="BH140" s="22" t="n">
        <x:f>MAX(0,MIN('Activities'!L140,336)-MAX('Activities'!K140,330))</x:f>
        <x:v>0</x:v>
      </x:c>
      <x:c r="BI140" s="22" t="n">
        <x:f>MAX(0,MIN('Activities'!L140,342)-MAX('Activities'!K140,336))</x:f>
        <x:v>0</x:v>
      </x:c>
      <x:c r="BJ140" s="22" t="n">
        <x:f>MAX(0,MIN('Activities'!L140,348)-MAX('Activities'!K140,342))</x:f>
        <x:v>0</x:v>
      </x:c>
      <x:c r="BK140" s="22" t="n">
        <x:f>MAX(0,MIN('Activities'!L140,354)-MAX('Activities'!K140,348))</x:f>
        <x:v>0</x:v>
      </x:c>
      <x:c r="BL140" s="22" t="n">
        <x:f>MAX(0,MIN('Activities'!L140,360)-MAX('Activities'!K140,354))</x:f>
        <x:v>0</x:v>
      </x:c>
      <x:c r="BM140" s="22" t="n">
        <x:f>MAX(0,MIN('Activities'!L140,366)-MAX('Activities'!K140,360))</x:f>
        <x:v>0</x:v>
      </x:c>
      <x:c r="BN140" s="22" t="n">
        <x:f>MAX(0,MIN('Activities'!L140,372)-MAX('Activities'!K140,366))</x:f>
        <x:v>0</x:v>
      </x:c>
      <x:c r="BO140" s="22" t="n">
        <x:f>MAX(0,MIN('Activities'!L140,378)-MAX('Activities'!K140,372))</x:f>
        <x:v>0</x:v>
      </x:c>
      <x:c r="BP140" s="22" t="n">
        <x:f>MAX(0,MIN('Activities'!L140,384)-MAX('Activities'!K140,378))</x:f>
        <x:v>0</x:v>
      </x:c>
      <x:c r="BQ140" s="22" t="n">
        <x:f>MAX(0,MIN('Activities'!L140,390)-MAX('Activities'!K140,384))</x:f>
        <x:v>0</x:v>
      </x:c>
      <x:c r="BR140" s="22" t="n">
        <x:f>MAX(0,MIN('Activities'!L140,396)-MAX('Activities'!K140,390))</x:f>
        <x:v>0</x:v>
      </x:c>
      <x:c r="BS140" s="22" t="n">
        <x:f>MAX(0,MIN('Activities'!L140,402)-MAX('Activities'!K140,396))</x:f>
        <x:v>0</x:v>
      </x:c>
      <x:c r="BT140" s="22" t="n">
        <x:f>MAX(0,MIN('Activities'!L140,408)-MAX('Activities'!K140,402))</x:f>
        <x:v>2</x:v>
      </x:c>
      <x:c r="BU140" s="22" t="n">
        <x:f>MAX(0,MIN('Activities'!L140,414)-MAX('Activities'!K140,408))</x:f>
        <x:v>4</x:v>
      </x:c>
      <x:c r="BV140" s="22" t="n">
        <x:f>MAX(0,MIN('Activities'!L140,420)-MAX('Activities'!K140,414))</x:f>
        <x:v>0</x:v>
      </x:c>
      <x:c r="BW140" s="22" t="n">
        <x:f>MAX(0,MIN('Activities'!L140,426)-MAX('Activities'!K140,420))</x:f>
        <x:v>0</x:v>
      </x:c>
      <x:c r="BX140" s="22" t="n">
        <x:f>MAX(0,MIN('Activities'!L140,432)-MAX('Activities'!K140,426))</x:f>
        <x:v>0</x:v>
      </x:c>
      <x:c r="BY140" s="22" t="n">
        <x:f>MAX(0,MIN('Activities'!L140,438)-MAX('Activities'!K140,432))</x:f>
        <x:v>0</x:v>
      </x:c>
      <x:c r="BZ140" s="22" t="n">
        <x:f>MAX(0,MIN('Activities'!L140,444)-MAX('Activities'!K140,438))</x:f>
        <x:v>0</x:v>
      </x:c>
      <x:c r="CA140" s="22" t="n">
        <x:f>MAX(0,MIN('Activities'!L140,450)-MAX('Activities'!K140,444))</x:f>
        <x:v>0</x:v>
      </x:c>
      <x:c r="CB140" s="22" t="n">
        <x:f>MAX(0,MIN('Activities'!L140,456)-MAX('Activities'!K140,450))</x:f>
        <x:v>0</x:v>
      </x:c>
      <x:c r="CC140" s="22" t="n">
        <x:f>MAX(0,MIN('Activities'!L140,462)-MAX('Activities'!K140,456))</x:f>
        <x:v>0</x:v>
      </x:c>
      <x:c r="CD140" s="22" t="n">
        <x:f>MAX(0,MIN('Activities'!L140,468)-MAX('Activities'!K140,462))</x:f>
        <x:v>0</x:v>
      </x:c>
      <x:c r="CE140" s="22" t="n">
        <x:f>MAX(0,MIN('Activities'!L140,474)-MAX('Activities'!K140,468))</x:f>
        <x:v>0</x:v>
      </x:c>
      <x:c r="CF140" s="22" t="n">
        <x:f>MAX(0,MIN('Activities'!L140,480)-MAX('Activities'!K140,474))</x:f>
        <x:v>0</x:v>
      </x:c>
      <x:c r="CG140" s="22" t="n">
        <x:f>MAX(0,MIN('Activities'!L140,486)-MAX('Activities'!K140,480))</x:f>
        <x:v>0</x:v>
      </x:c>
      <x:c r="CH140" s="22" t="n">
        <x:f>MAX(0,MIN('Activities'!L140,492)-MAX('Activities'!K140,486))</x:f>
        <x:v>0</x:v>
      </x:c>
      <x:c r="CI140" s="22" t="n">
        <x:f>MAX(0,MIN('Activities'!L140,498)-MAX('Activities'!K140,492))</x:f>
        <x:v>0</x:v>
      </x:c>
      <x:c r="CJ140" s="22" t="n">
        <x:f>MAX(0,MIN('Activities'!L140,504)-MAX('Activities'!K140,498))</x:f>
        <x:v>0</x:v>
      </x:c>
      <x:c r="CK140" s="22" t="n">
        <x:f>MAX(0,MIN('Activities'!L140,510)-MAX('Activities'!K140,504))</x:f>
        <x:v>0</x:v>
      </x:c>
      <x:c r="CL140" s="22" t="n">
        <x:f>MAX(0,MIN('Activities'!L140,516)-MAX('Activities'!K140,510))</x:f>
        <x:v>0</x:v>
      </x:c>
      <x:c r="CM140" s="22" t="n">
        <x:f>MAX(0,MIN('Activities'!L140,522)-MAX('Activities'!K140,516))</x:f>
        <x:v>0</x:v>
      </x:c>
      <x:c r="CN140" s="22" t="n">
        <x:f>MAX(0,MIN('Activities'!L140,528)-MAX('Activities'!K140,522))</x:f>
        <x:v>0</x:v>
      </x:c>
      <x:c r="CO140" s="22" t="n">
        <x:f>MAX(0,MIN('Activities'!L140,534)-MAX('Activities'!K140,528))</x:f>
        <x:v>0</x:v>
      </x:c>
      <x:c r="CP140" s="22" t="n">
        <x:f>MAX(0,MIN('Activities'!L140,540)-MAX('Activities'!K140,534))</x:f>
        <x:v>0</x:v>
      </x:c>
      <x:c r="CQ140" s="22" t="n">
        <x:f>MAX(0,MIN('Activities'!L140,546)-MAX('Activities'!K140,540))</x:f>
        <x:v>0</x:v>
      </x:c>
      <x:c r="CR140" s="22" t="n">
        <x:f>MAX(0,MIN('Activities'!L140,552)-MAX('Activities'!K140,546))</x:f>
        <x:v>0</x:v>
      </x:c>
      <x:c r="CS140" s="22" t="n">
        <x:f>MAX(0,MIN('Activities'!L140,558)-MAX('Activities'!K140,552))</x:f>
        <x:v>0</x:v>
      </x:c>
      <x:c r="CT140" s="22" t="n">
        <x:f>MAX(0,MIN('Activities'!L140,564)-MAX('Activities'!K140,558))</x:f>
        <x:v>0</x:v>
      </x:c>
      <x:c r="CU140" s="22" t="n">
        <x:f>MAX(0,MIN('Activities'!L140,570)-MAX('Activities'!K140,564))</x:f>
        <x:v>0</x:v>
      </x:c>
      <x:c r="CV140" s="22" t="n">
        <x:f>MAX(0,MIN('Activities'!L140,576)-MAX('Activities'!K140,570))</x:f>
        <x:v>0</x:v>
      </x:c>
      <x:c r="CW140" s="22" t="n">
        <x:f>MAX(0,MIN('Activities'!L140,582)-MAX('Activities'!K140,576))</x:f>
        <x:v>0</x:v>
      </x:c>
      <x:c r="CX140" s="22" t="n">
        <x:f>MAX(0,MIN('Activities'!L140,588)-MAX('Activities'!K140,582))</x:f>
        <x:v>0</x:v>
      </x:c>
      <x:c r="CY140" s="22" t="n">
        <x:f>MAX(0,MIN('Activities'!L140,594)-MAX('Activities'!K140,588))</x:f>
        <x:v>0</x:v>
      </x:c>
      <x:c r="CZ140" s="22" t="n">
        <x:f>MAX(0,MIN('Activities'!L140,600)-MAX('Activities'!K140,594))</x:f>
        <x:v>0</x:v>
      </x:c>
      <x:c r="DA140" s="22" t="n">
        <x:f>MAX(0,MIN('Activities'!L140,606)-MAX('Activities'!K140,600))</x:f>
        <x:v>0</x:v>
      </x:c>
      <x:c r="DB140" s="22" t="n">
        <x:f>MAX(0,MIN('Activities'!L140,612)-MAX('Activities'!K140,606))</x:f>
        <x:v>0</x:v>
      </x:c>
      <x:c r="DC140" s="22" t="n">
        <x:f>MAX(0,MIN('Activities'!L140,618)-MAX('Activities'!K140,612))</x:f>
        <x:v>0</x:v>
      </x:c>
      <x:c r="DD140" s="22" t="n">
        <x:f>MAX(0,MIN('Activities'!L140,624)-MAX('Activities'!K140,618))</x:f>
        <x:v>0</x:v>
      </x:c>
      <x:c r="DE140" s="22" t="n">
        <x:f>MAX(0,MIN('Activities'!L140,630)-MAX('Activities'!K140,624))</x:f>
        <x:v>0</x:v>
      </x:c>
      <x:c r="DF140" s="22" t="n">
        <x:f>MAX(0,MIN('Activities'!L140,636)-MAX('Activities'!K140,630))</x:f>
        <x:v>0</x:v>
      </x:c>
    </x:row>
    <x:row r="141" ht="23" customHeight="1">
      <x:c r="A141" s="1" t="str">
        <x:v>T1-L11-A</x:v>
      </x:c>
      <x:c r="B141" s="1" t="str">
        <x:v>T1</x:v>
      </x:c>
      <x:c r="C141" s="1" t="str">
        <x:v>Paint and final decorations</x:v>
      </x:c>
      <x:c r="D141" s="1" t="str">
        <x:v>Finishes</x:v>
      </x:c>
      <x:c r="E141" s="23" t="n">
        <x:f>MAX(0,MIN('Activities'!L141,6)-MAX('Activities'!K141,0))</x:f>
        <x:v>0</x:v>
      </x:c>
      <x:c r="F141" s="23" t="n">
        <x:f>MAX(0,MIN('Activities'!L141,12)-MAX('Activities'!K141,6))</x:f>
        <x:v>0</x:v>
      </x:c>
      <x:c r="G141" s="23" t="n">
        <x:f>MAX(0,MIN('Activities'!L141,18)-MAX('Activities'!K141,12))</x:f>
        <x:v>0</x:v>
      </x:c>
      <x:c r="H141" s="23" t="n">
        <x:f>MAX(0,MIN('Activities'!L141,24)-MAX('Activities'!K141,18))</x:f>
        <x:v>0</x:v>
      </x:c>
      <x:c r="I141" s="23" t="n">
        <x:f>MAX(0,MIN('Activities'!L141,30)-MAX('Activities'!K141,24))</x:f>
        <x:v>0</x:v>
      </x:c>
      <x:c r="J141" s="23" t="n">
        <x:f>MAX(0,MIN('Activities'!L141,36)-MAX('Activities'!K141,30))</x:f>
        <x:v>0</x:v>
      </x:c>
      <x:c r="K141" s="23" t="n">
        <x:f>MAX(0,MIN('Activities'!L141,42)-MAX('Activities'!K141,36))</x:f>
        <x:v>0</x:v>
      </x:c>
      <x:c r="L141" s="23" t="n">
        <x:f>MAX(0,MIN('Activities'!L141,48)-MAX('Activities'!K141,42))</x:f>
        <x:v>0</x:v>
      </x:c>
      <x:c r="M141" s="23" t="n">
        <x:f>MAX(0,MIN('Activities'!L141,54)-MAX('Activities'!K141,48))</x:f>
        <x:v>0</x:v>
      </x:c>
      <x:c r="N141" s="23" t="n">
        <x:f>MAX(0,MIN('Activities'!L141,60)-MAX('Activities'!K141,54))</x:f>
        <x:v>0</x:v>
      </x:c>
      <x:c r="O141" s="23" t="n">
        <x:f>MAX(0,MIN('Activities'!L141,66)-MAX('Activities'!K141,60))</x:f>
        <x:v>0</x:v>
      </x:c>
      <x:c r="P141" s="23" t="n">
        <x:f>MAX(0,MIN('Activities'!L141,72)-MAX('Activities'!K141,66))</x:f>
        <x:v>0</x:v>
      </x:c>
      <x:c r="Q141" s="23" t="n">
        <x:f>MAX(0,MIN('Activities'!L141,78)-MAX('Activities'!K141,72))</x:f>
        <x:v>0</x:v>
      </x:c>
      <x:c r="R141" s="23" t="n">
        <x:f>MAX(0,MIN('Activities'!L141,84)-MAX('Activities'!K141,78))</x:f>
        <x:v>0</x:v>
      </x:c>
      <x:c r="S141" s="23" t="n">
        <x:f>MAX(0,MIN('Activities'!L141,90)-MAX('Activities'!K141,84))</x:f>
        <x:v>0</x:v>
      </x:c>
      <x:c r="T141" s="23" t="n">
        <x:f>MAX(0,MIN('Activities'!L141,96)-MAX('Activities'!K141,90))</x:f>
        <x:v>0</x:v>
      </x:c>
      <x:c r="U141" s="23" t="n">
        <x:f>MAX(0,MIN('Activities'!L141,102)-MAX('Activities'!K141,96))</x:f>
        <x:v>0</x:v>
      </x:c>
      <x:c r="V141" s="23" t="n">
        <x:f>MAX(0,MIN('Activities'!L141,108)-MAX('Activities'!K141,102))</x:f>
        <x:v>0</x:v>
      </x:c>
      <x:c r="W141" s="23" t="n">
        <x:f>MAX(0,MIN('Activities'!L141,114)-MAX('Activities'!K141,108))</x:f>
        <x:v>0</x:v>
      </x:c>
      <x:c r="X141" s="23" t="n">
        <x:f>MAX(0,MIN('Activities'!L141,120)-MAX('Activities'!K141,114))</x:f>
        <x:v>0</x:v>
      </x:c>
      <x:c r="Y141" s="23" t="n">
        <x:f>MAX(0,MIN('Activities'!L141,126)-MAX('Activities'!K141,120))</x:f>
        <x:v>0</x:v>
      </x:c>
      <x:c r="Z141" s="23" t="n">
        <x:f>MAX(0,MIN('Activities'!L141,132)-MAX('Activities'!K141,126))</x:f>
        <x:v>0</x:v>
      </x:c>
      <x:c r="AA141" s="23" t="n">
        <x:f>MAX(0,MIN('Activities'!L141,138)-MAX('Activities'!K141,132))</x:f>
        <x:v>0</x:v>
      </x:c>
      <x:c r="AB141" s="23" t="n">
        <x:f>MAX(0,MIN('Activities'!L141,144)-MAX('Activities'!K141,138))</x:f>
        <x:v>0</x:v>
      </x:c>
      <x:c r="AC141" s="23" t="n">
        <x:f>MAX(0,MIN('Activities'!L141,150)-MAX('Activities'!K141,144))</x:f>
        <x:v>0</x:v>
      </x:c>
      <x:c r="AD141" s="23" t="n">
        <x:f>MAX(0,MIN('Activities'!L141,156)-MAX('Activities'!K141,150))</x:f>
        <x:v>0</x:v>
      </x:c>
      <x:c r="AE141" s="23" t="n">
        <x:f>MAX(0,MIN('Activities'!L141,162)-MAX('Activities'!K141,156))</x:f>
        <x:v>0</x:v>
      </x:c>
      <x:c r="AF141" s="23" t="n">
        <x:f>MAX(0,MIN('Activities'!L141,168)-MAX('Activities'!K141,162))</x:f>
        <x:v>0</x:v>
      </x:c>
      <x:c r="AG141" s="23" t="n">
        <x:f>MAX(0,MIN('Activities'!L141,174)-MAX('Activities'!K141,168))</x:f>
        <x:v>0</x:v>
      </x:c>
      <x:c r="AH141" s="23" t="n">
        <x:f>MAX(0,MIN('Activities'!L141,180)-MAX('Activities'!K141,174))</x:f>
        <x:v>0</x:v>
      </x:c>
      <x:c r="AI141" s="23" t="n">
        <x:f>MAX(0,MIN('Activities'!L141,186)-MAX('Activities'!K141,180))</x:f>
        <x:v>0</x:v>
      </x:c>
      <x:c r="AJ141" s="23" t="n">
        <x:f>MAX(0,MIN('Activities'!L141,192)-MAX('Activities'!K141,186))</x:f>
        <x:v>0</x:v>
      </x:c>
      <x:c r="AK141" s="23" t="n">
        <x:f>MAX(0,MIN('Activities'!L141,198)-MAX('Activities'!K141,192))</x:f>
        <x:v>0</x:v>
      </x:c>
      <x:c r="AL141" s="23" t="n">
        <x:f>MAX(0,MIN('Activities'!L141,204)-MAX('Activities'!K141,198))</x:f>
        <x:v>0</x:v>
      </x:c>
      <x:c r="AM141" s="23" t="n">
        <x:f>MAX(0,MIN('Activities'!L141,210)-MAX('Activities'!K141,204))</x:f>
        <x:v>0</x:v>
      </x:c>
      <x:c r="AN141" s="23" t="n">
        <x:f>MAX(0,MIN('Activities'!L141,216)-MAX('Activities'!K141,210))</x:f>
        <x:v>0</x:v>
      </x:c>
      <x:c r="AO141" s="23" t="n">
        <x:f>MAX(0,MIN('Activities'!L141,222)-MAX('Activities'!K141,216))</x:f>
        <x:v>0</x:v>
      </x:c>
      <x:c r="AP141" s="23" t="n">
        <x:f>MAX(0,MIN('Activities'!L141,228)-MAX('Activities'!K141,222))</x:f>
        <x:v>0</x:v>
      </x:c>
      <x:c r="AQ141" s="23" t="n">
        <x:f>MAX(0,MIN('Activities'!L141,234)-MAX('Activities'!K141,228))</x:f>
        <x:v>0</x:v>
      </x:c>
      <x:c r="AR141" s="23" t="n">
        <x:f>MAX(0,MIN('Activities'!L141,240)-MAX('Activities'!K141,234))</x:f>
        <x:v>0</x:v>
      </x:c>
      <x:c r="AS141" s="23" t="n">
        <x:f>MAX(0,MIN('Activities'!L141,246)-MAX('Activities'!K141,240))</x:f>
        <x:v>0</x:v>
      </x:c>
      <x:c r="AT141" s="23" t="n">
        <x:f>MAX(0,MIN('Activities'!L141,252)-MAX('Activities'!K141,246))</x:f>
        <x:v>0</x:v>
      </x:c>
      <x:c r="AU141" s="23" t="n">
        <x:f>MAX(0,MIN('Activities'!L141,258)-MAX('Activities'!K141,252))</x:f>
        <x:v>0</x:v>
      </x:c>
      <x:c r="AV141" s="23" t="n">
        <x:f>MAX(0,MIN('Activities'!L141,264)-MAX('Activities'!K141,258))</x:f>
        <x:v>0</x:v>
      </x:c>
      <x:c r="AW141" s="23" t="n">
        <x:f>MAX(0,MIN('Activities'!L141,270)-MAX('Activities'!K141,264))</x:f>
        <x:v>0</x:v>
      </x:c>
      <x:c r="AX141" s="23" t="n">
        <x:f>MAX(0,MIN('Activities'!L141,276)-MAX('Activities'!K141,270))</x:f>
        <x:v>0</x:v>
      </x:c>
      <x:c r="AY141" s="23" t="n">
        <x:f>MAX(0,MIN('Activities'!L141,282)-MAX('Activities'!K141,276))</x:f>
        <x:v>0</x:v>
      </x:c>
      <x:c r="AZ141" s="23" t="n">
        <x:f>MAX(0,MIN('Activities'!L141,288)-MAX('Activities'!K141,282))</x:f>
        <x:v>0</x:v>
      </x:c>
      <x:c r="BA141" s="23" t="n">
        <x:f>MAX(0,MIN('Activities'!L141,294)-MAX('Activities'!K141,288))</x:f>
        <x:v>0</x:v>
      </x:c>
      <x:c r="BB141" s="23" t="n">
        <x:f>MAX(0,MIN('Activities'!L141,300)-MAX('Activities'!K141,294))</x:f>
        <x:v>0</x:v>
      </x:c>
      <x:c r="BC141" s="23" t="n">
        <x:f>MAX(0,MIN('Activities'!L141,306)-MAX('Activities'!K141,300))</x:f>
        <x:v>0</x:v>
      </x:c>
      <x:c r="BD141" s="23" t="n">
        <x:f>MAX(0,MIN('Activities'!L141,312)-MAX('Activities'!K141,306))</x:f>
        <x:v>0</x:v>
      </x:c>
      <x:c r="BE141" s="23" t="n">
        <x:f>MAX(0,MIN('Activities'!L141,318)-MAX('Activities'!K141,312))</x:f>
        <x:v>0</x:v>
      </x:c>
      <x:c r="BF141" s="23" t="n">
        <x:f>MAX(0,MIN('Activities'!L141,324)-MAX('Activities'!K141,318))</x:f>
        <x:v>0</x:v>
      </x:c>
      <x:c r="BG141" s="23" t="n">
        <x:f>MAX(0,MIN('Activities'!L141,330)-MAX('Activities'!K141,324))</x:f>
        <x:v>0</x:v>
      </x:c>
      <x:c r="BH141" s="23" t="n">
        <x:f>MAX(0,MIN('Activities'!L141,336)-MAX('Activities'!K141,330))</x:f>
        <x:v>0</x:v>
      </x:c>
      <x:c r="BI141" s="23" t="n">
        <x:f>MAX(0,MIN('Activities'!L141,342)-MAX('Activities'!K141,336))</x:f>
        <x:v>0</x:v>
      </x:c>
      <x:c r="BJ141" s="23" t="n">
        <x:f>MAX(0,MIN('Activities'!L141,348)-MAX('Activities'!K141,342))</x:f>
        <x:v>0</x:v>
      </x:c>
      <x:c r="BK141" s="23" t="n">
        <x:f>MAX(0,MIN('Activities'!L141,354)-MAX('Activities'!K141,348))</x:f>
        <x:v>0</x:v>
      </x:c>
      <x:c r="BL141" s="23" t="n">
        <x:f>MAX(0,MIN('Activities'!L141,360)-MAX('Activities'!K141,354))</x:f>
        <x:v>0</x:v>
      </x:c>
      <x:c r="BM141" s="23" t="n">
        <x:f>MAX(0,MIN('Activities'!L141,366)-MAX('Activities'!K141,360))</x:f>
        <x:v>0</x:v>
      </x:c>
      <x:c r="BN141" s="23" t="n">
        <x:f>MAX(0,MIN('Activities'!L141,372)-MAX('Activities'!K141,366))</x:f>
        <x:v>0</x:v>
      </x:c>
      <x:c r="BO141" s="23" t="n">
        <x:f>MAX(0,MIN('Activities'!L141,378)-MAX('Activities'!K141,372))</x:f>
        <x:v>0</x:v>
      </x:c>
      <x:c r="BP141" s="23" t="n">
        <x:f>MAX(0,MIN('Activities'!L141,384)-MAX('Activities'!K141,378))</x:f>
        <x:v>0</x:v>
      </x:c>
      <x:c r="BQ141" s="23" t="n">
        <x:f>MAX(0,MIN('Activities'!L141,390)-MAX('Activities'!K141,384))</x:f>
        <x:v>0</x:v>
      </x:c>
      <x:c r="BR141" s="23" t="n">
        <x:f>MAX(0,MIN('Activities'!L141,396)-MAX('Activities'!K141,390))</x:f>
        <x:v>0</x:v>
      </x:c>
      <x:c r="BS141" s="23" t="n">
        <x:f>MAX(0,MIN('Activities'!L141,402)-MAX('Activities'!K141,396))</x:f>
        <x:v>0</x:v>
      </x:c>
      <x:c r="BT141" s="23" t="n">
        <x:f>MAX(0,MIN('Activities'!L141,408)-MAX('Activities'!K141,402))</x:f>
        <x:v>0</x:v>
      </x:c>
      <x:c r="BU141" s="23" t="n">
        <x:f>MAX(0,MIN('Activities'!L141,414)-MAX('Activities'!K141,408))</x:f>
        <x:v>0</x:v>
      </x:c>
      <x:c r="BV141" s="23" t="n">
        <x:f>MAX(0,MIN('Activities'!L141,420)-MAX('Activities'!K141,414))</x:f>
        <x:v>5</x:v>
      </x:c>
      <x:c r="BW141" s="23" t="n">
        <x:f>MAX(0,MIN('Activities'!L141,426)-MAX('Activities'!K141,420))</x:f>
        <x:v>0</x:v>
      </x:c>
      <x:c r="BX141" s="23" t="n">
        <x:f>MAX(0,MIN('Activities'!L141,432)-MAX('Activities'!K141,426))</x:f>
        <x:v>0</x:v>
      </x:c>
      <x:c r="BY141" s="23" t="n">
        <x:f>MAX(0,MIN('Activities'!L141,438)-MAX('Activities'!K141,432))</x:f>
        <x:v>0</x:v>
      </x:c>
      <x:c r="BZ141" s="23" t="n">
        <x:f>MAX(0,MIN('Activities'!L141,444)-MAX('Activities'!K141,438))</x:f>
        <x:v>0</x:v>
      </x:c>
      <x:c r="CA141" s="23" t="n">
        <x:f>MAX(0,MIN('Activities'!L141,450)-MAX('Activities'!K141,444))</x:f>
        <x:v>0</x:v>
      </x:c>
      <x:c r="CB141" s="23" t="n">
        <x:f>MAX(0,MIN('Activities'!L141,456)-MAX('Activities'!K141,450))</x:f>
        <x:v>0</x:v>
      </x:c>
      <x:c r="CC141" s="23" t="n">
        <x:f>MAX(0,MIN('Activities'!L141,462)-MAX('Activities'!K141,456))</x:f>
        <x:v>0</x:v>
      </x:c>
      <x:c r="CD141" s="23" t="n">
        <x:f>MAX(0,MIN('Activities'!L141,468)-MAX('Activities'!K141,462))</x:f>
        <x:v>0</x:v>
      </x:c>
      <x:c r="CE141" s="23" t="n">
        <x:f>MAX(0,MIN('Activities'!L141,474)-MAX('Activities'!K141,468))</x:f>
        <x:v>0</x:v>
      </x:c>
      <x:c r="CF141" s="23" t="n">
        <x:f>MAX(0,MIN('Activities'!L141,480)-MAX('Activities'!K141,474))</x:f>
        <x:v>0</x:v>
      </x:c>
      <x:c r="CG141" s="23" t="n">
        <x:f>MAX(0,MIN('Activities'!L141,486)-MAX('Activities'!K141,480))</x:f>
        <x:v>0</x:v>
      </x:c>
      <x:c r="CH141" s="23" t="n">
        <x:f>MAX(0,MIN('Activities'!L141,492)-MAX('Activities'!K141,486))</x:f>
        <x:v>0</x:v>
      </x:c>
      <x:c r="CI141" s="23" t="n">
        <x:f>MAX(0,MIN('Activities'!L141,498)-MAX('Activities'!K141,492))</x:f>
        <x:v>0</x:v>
      </x:c>
      <x:c r="CJ141" s="23" t="n">
        <x:f>MAX(0,MIN('Activities'!L141,504)-MAX('Activities'!K141,498))</x:f>
        <x:v>0</x:v>
      </x:c>
      <x:c r="CK141" s="23" t="n">
        <x:f>MAX(0,MIN('Activities'!L141,510)-MAX('Activities'!K141,504))</x:f>
        <x:v>0</x:v>
      </x:c>
      <x:c r="CL141" s="23" t="n">
        <x:f>MAX(0,MIN('Activities'!L141,516)-MAX('Activities'!K141,510))</x:f>
        <x:v>0</x:v>
      </x:c>
      <x:c r="CM141" s="23" t="n">
        <x:f>MAX(0,MIN('Activities'!L141,522)-MAX('Activities'!K141,516))</x:f>
        <x:v>0</x:v>
      </x:c>
      <x:c r="CN141" s="23" t="n">
        <x:f>MAX(0,MIN('Activities'!L141,528)-MAX('Activities'!K141,522))</x:f>
        <x:v>0</x:v>
      </x:c>
      <x:c r="CO141" s="23" t="n">
        <x:f>MAX(0,MIN('Activities'!L141,534)-MAX('Activities'!K141,528))</x:f>
        <x:v>0</x:v>
      </x:c>
      <x:c r="CP141" s="23" t="n">
        <x:f>MAX(0,MIN('Activities'!L141,540)-MAX('Activities'!K141,534))</x:f>
        <x:v>0</x:v>
      </x:c>
      <x:c r="CQ141" s="23" t="n">
        <x:f>MAX(0,MIN('Activities'!L141,546)-MAX('Activities'!K141,540))</x:f>
        <x:v>0</x:v>
      </x:c>
      <x:c r="CR141" s="23" t="n">
        <x:f>MAX(0,MIN('Activities'!L141,552)-MAX('Activities'!K141,546))</x:f>
        <x:v>0</x:v>
      </x:c>
      <x:c r="CS141" s="23" t="n">
        <x:f>MAX(0,MIN('Activities'!L141,558)-MAX('Activities'!K141,552))</x:f>
        <x:v>0</x:v>
      </x:c>
      <x:c r="CT141" s="23" t="n">
        <x:f>MAX(0,MIN('Activities'!L141,564)-MAX('Activities'!K141,558))</x:f>
        <x:v>0</x:v>
      </x:c>
      <x:c r="CU141" s="23" t="n">
        <x:f>MAX(0,MIN('Activities'!L141,570)-MAX('Activities'!K141,564))</x:f>
        <x:v>0</x:v>
      </x:c>
      <x:c r="CV141" s="23" t="n">
        <x:f>MAX(0,MIN('Activities'!L141,576)-MAX('Activities'!K141,570))</x:f>
        <x:v>0</x:v>
      </x:c>
      <x:c r="CW141" s="23" t="n">
        <x:f>MAX(0,MIN('Activities'!L141,582)-MAX('Activities'!K141,576))</x:f>
        <x:v>0</x:v>
      </x:c>
      <x:c r="CX141" s="23" t="n">
        <x:f>MAX(0,MIN('Activities'!L141,588)-MAX('Activities'!K141,582))</x:f>
        <x:v>0</x:v>
      </x:c>
      <x:c r="CY141" s="23" t="n">
        <x:f>MAX(0,MIN('Activities'!L141,594)-MAX('Activities'!K141,588))</x:f>
        <x:v>0</x:v>
      </x:c>
      <x:c r="CZ141" s="23" t="n">
        <x:f>MAX(0,MIN('Activities'!L141,600)-MAX('Activities'!K141,594))</x:f>
        <x:v>0</x:v>
      </x:c>
      <x:c r="DA141" s="23" t="n">
        <x:f>MAX(0,MIN('Activities'!L141,606)-MAX('Activities'!K141,600))</x:f>
        <x:v>0</x:v>
      </x:c>
      <x:c r="DB141" s="23" t="n">
        <x:f>MAX(0,MIN('Activities'!L141,612)-MAX('Activities'!K141,606))</x:f>
        <x:v>0</x:v>
      </x:c>
      <x:c r="DC141" s="23" t="n">
        <x:f>MAX(0,MIN('Activities'!L141,618)-MAX('Activities'!K141,612))</x:f>
        <x:v>0</x:v>
      </x:c>
      <x:c r="DD141" s="23" t="n">
        <x:f>MAX(0,MIN('Activities'!L141,624)-MAX('Activities'!K141,618))</x:f>
        <x:v>0</x:v>
      </x:c>
      <x:c r="DE141" s="23" t="n">
        <x:f>MAX(0,MIN('Activities'!L141,630)-MAX('Activities'!K141,624))</x:f>
        <x:v>0</x:v>
      </x:c>
      <x:c r="DF141" s="23" t="n">
        <x:f>MAX(0,MIN('Activities'!L141,636)-MAX('Activities'!K141,630))</x:f>
        <x:v>0</x:v>
      </x:c>
    </x:row>
    <x:row r="142" ht="23" customHeight="1">
      <x:c r="A142" s="6" t="str">
        <x:v>T1-L11-D</x:v>
      </x:c>
      <x:c r="B142" s="6" t="str">
        <x:v>T1</x:v>
      </x:c>
      <x:c r="C142" s="6" t="str">
        <x:v>Door sets and ironmongery</x:v>
      </x:c>
      <x:c r="D142" s="6" t="str">
        <x:v>Finishes</x:v>
      </x:c>
      <x:c r="E142" s="22" t="n">
        <x:f>MAX(0,MIN('Activities'!L142,6)-MAX('Activities'!K142,0))</x:f>
        <x:v>0</x:v>
      </x:c>
      <x:c r="F142" s="22" t="n">
        <x:f>MAX(0,MIN('Activities'!L142,12)-MAX('Activities'!K142,6))</x:f>
        <x:v>0</x:v>
      </x:c>
      <x:c r="G142" s="22" t="n">
        <x:f>MAX(0,MIN('Activities'!L142,18)-MAX('Activities'!K142,12))</x:f>
        <x:v>0</x:v>
      </x:c>
      <x:c r="H142" s="22" t="n">
        <x:f>MAX(0,MIN('Activities'!L142,24)-MAX('Activities'!K142,18))</x:f>
        <x:v>0</x:v>
      </x:c>
      <x:c r="I142" s="22" t="n">
        <x:f>MAX(0,MIN('Activities'!L142,30)-MAX('Activities'!K142,24))</x:f>
        <x:v>0</x:v>
      </x:c>
      <x:c r="J142" s="22" t="n">
        <x:f>MAX(0,MIN('Activities'!L142,36)-MAX('Activities'!K142,30))</x:f>
        <x:v>0</x:v>
      </x:c>
      <x:c r="K142" s="22" t="n">
        <x:f>MAX(0,MIN('Activities'!L142,42)-MAX('Activities'!K142,36))</x:f>
        <x:v>0</x:v>
      </x:c>
      <x:c r="L142" s="22" t="n">
        <x:f>MAX(0,MIN('Activities'!L142,48)-MAX('Activities'!K142,42))</x:f>
        <x:v>0</x:v>
      </x:c>
      <x:c r="M142" s="22" t="n">
        <x:f>MAX(0,MIN('Activities'!L142,54)-MAX('Activities'!K142,48))</x:f>
        <x:v>0</x:v>
      </x:c>
      <x:c r="N142" s="22" t="n">
        <x:f>MAX(0,MIN('Activities'!L142,60)-MAX('Activities'!K142,54))</x:f>
        <x:v>0</x:v>
      </x:c>
      <x:c r="O142" s="22" t="n">
        <x:f>MAX(0,MIN('Activities'!L142,66)-MAX('Activities'!K142,60))</x:f>
        <x:v>0</x:v>
      </x:c>
      <x:c r="P142" s="22" t="n">
        <x:f>MAX(0,MIN('Activities'!L142,72)-MAX('Activities'!K142,66))</x:f>
        <x:v>0</x:v>
      </x:c>
      <x:c r="Q142" s="22" t="n">
        <x:f>MAX(0,MIN('Activities'!L142,78)-MAX('Activities'!K142,72))</x:f>
        <x:v>0</x:v>
      </x:c>
      <x:c r="R142" s="22" t="n">
        <x:f>MAX(0,MIN('Activities'!L142,84)-MAX('Activities'!K142,78))</x:f>
        <x:v>0</x:v>
      </x:c>
      <x:c r="S142" s="22" t="n">
        <x:f>MAX(0,MIN('Activities'!L142,90)-MAX('Activities'!K142,84))</x:f>
        <x:v>0</x:v>
      </x:c>
      <x:c r="T142" s="22" t="n">
        <x:f>MAX(0,MIN('Activities'!L142,96)-MAX('Activities'!K142,90))</x:f>
        <x:v>0</x:v>
      </x:c>
      <x:c r="U142" s="22" t="n">
        <x:f>MAX(0,MIN('Activities'!L142,102)-MAX('Activities'!K142,96))</x:f>
        <x:v>0</x:v>
      </x:c>
      <x:c r="V142" s="22" t="n">
        <x:f>MAX(0,MIN('Activities'!L142,108)-MAX('Activities'!K142,102))</x:f>
        <x:v>0</x:v>
      </x:c>
      <x:c r="W142" s="22" t="n">
        <x:f>MAX(0,MIN('Activities'!L142,114)-MAX('Activities'!K142,108))</x:f>
        <x:v>0</x:v>
      </x:c>
      <x:c r="X142" s="22" t="n">
        <x:f>MAX(0,MIN('Activities'!L142,120)-MAX('Activities'!K142,114))</x:f>
        <x:v>0</x:v>
      </x:c>
      <x:c r="Y142" s="22" t="n">
        <x:f>MAX(0,MIN('Activities'!L142,126)-MAX('Activities'!K142,120))</x:f>
        <x:v>0</x:v>
      </x:c>
      <x:c r="Z142" s="22" t="n">
        <x:f>MAX(0,MIN('Activities'!L142,132)-MAX('Activities'!K142,126))</x:f>
        <x:v>0</x:v>
      </x:c>
      <x:c r="AA142" s="22" t="n">
        <x:f>MAX(0,MIN('Activities'!L142,138)-MAX('Activities'!K142,132))</x:f>
        <x:v>0</x:v>
      </x:c>
      <x:c r="AB142" s="22" t="n">
        <x:f>MAX(0,MIN('Activities'!L142,144)-MAX('Activities'!K142,138))</x:f>
        <x:v>0</x:v>
      </x:c>
      <x:c r="AC142" s="22" t="n">
        <x:f>MAX(0,MIN('Activities'!L142,150)-MAX('Activities'!K142,144))</x:f>
        <x:v>0</x:v>
      </x:c>
      <x:c r="AD142" s="22" t="n">
        <x:f>MAX(0,MIN('Activities'!L142,156)-MAX('Activities'!K142,150))</x:f>
        <x:v>0</x:v>
      </x:c>
      <x:c r="AE142" s="22" t="n">
        <x:f>MAX(0,MIN('Activities'!L142,162)-MAX('Activities'!K142,156))</x:f>
        <x:v>0</x:v>
      </x:c>
      <x:c r="AF142" s="22" t="n">
        <x:f>MAX(0,MIN('Activities'!L142,168)-MAX('Activities'!K142,162))</x:f>
        <x:v>0</x:v>
      </x:c>
      <x:c r="AG142" s="22" t="n">
        <x:f>MAX(0,MIN('Activities'!L142,174)-MAX('Activities'!K142,168))</x:f>
        <x:v>0</x:v>
      </x:c>
      <x:c r="AH142" s="22" t="n">
        <x:f>MAX(0,MIN('Activities'!L142,180)-MAX('Activities'!K142,174))</x:f>
        <x:v>0</x:v>
      </x:c>
      <x:c r="AI142" s="22" t="n">
        <x:f>MAX(0,MIN('Activities'!L142,186)-MAX('Activities'!K142,180))</x:f>
        <x:v>0</x:v>
      </x:c>
      <x:c r="AJ142" s="22" t="n">
        <x:f>MAX(0,MIN('Activities'!L142,192)-MAX('Activities'!K142,186))</x:f>
        <x:v>0</x:v>
      </x:c>
      <x:c r="AK142" s="22" t="n">
        <x:f>MAX(0,MIN('Activities'!L142,198)-MAX('Activities'!K142,192))</x:f>
        <x:v>0</x:v>
      </x:c>
      <x:c r="AL142" s="22" t="n">
        <x:f>MAX(0,MIN('Activities'!L142,204)-MAX('Activities'!K142,198))</x:f>
        <x:v>0</x:v>
      </x:c>
      <x:c r="AM142" s="22" t="n">
        <x:f>MAX(0,MIN('Activities'!L142,210)-MAX('Activities'!K142,204))</x:f>
        <x:v>0</x:v>
      </x:c>
      <x:c r="AN142" s="22" t="n">
        <x:f>MAX(0,MIN('Activities'!L142,216)-MAX('Activities'!K142,210))</x:f>
        <x:v>0</x:v>
      </x:c>
      <x:c r="AO142" s="22" t="n">
        <x:f>MAX(0,MIN('Activities'!L142,222)-MAX('Activities'!K142,216))</x:f>
        <x:v>0</x:v>
      </x:c>
      <x:c r="AP142" s="22" t="n">
        <x:f>MAX(0,MIN('Activities'!L142,228)-MAX('Activities'!K142,222))</x:f>
        <x:v>0</x:v>
      </x:c>
      <x:c r="AQ142" s="22" t="n">
        <x:f>MAX(0,MIN('Activities'!L142,234)-MAX('Activities'!K142,228))</x:f>
        <x:v>0</x:v>
      </x:c>
      <x:c r="AR142" s="22" t="n">
        <x:f>MAX(0,MIN('Activities'!L142,240)-MAX('Activities'!K142,234))</x:f>
        <x:v>0</x:v>
      </x:c>
      <x:c r="AS142" s="22" t="n">
        <x:f>MAX(0,MIN('Activities'!L142,246)-MAX('Activities'!K142,240))</x:f>
        <x:v>0</x:v>
      </x:c>
      <x:c r="AT142" s="22" t="n">
        <x:f>MAX(0,MIN('Activities'!L142,252)-MAX('Activities'!K142,246))</x:f>
        <x:v>0</x:v>
      </x:c>
      <x:c r="AU142" s="22" t="n">
        <x:f>MAX(0,MIN('Activities'!L142,258)-MAX('Activities'!K142,252))</x:f>
        <x:v>0</x:v>
      </x:c>
      <x:c r="AV142" s="22" t="n">
        <x:f>MAX(0,MIN('Activities'!L142,264)-MAX('Activities'!K142,258))</x:f>
        <x:v>0</x:v>
      </x:c>
      <x:c r="AW142" s="22" t="n">
        <x:f>MAX(0,MIN('Activities'!L142,270)-MAX('Activities'!K142,264))</x:f>
        <x:v>0</x:v>
      </x:c>
      <x:c r="AX142" s="22" t="n">
        <x:f>MAX(0,MIN('Activities'!L142,276)-MAX('Activities'!K142,270))</x:f>
        <x:v>0</x:v>
      </x:c>
      <x:c r="AY142" s="22" t="n">
        <x:f>MAX(0,MIN('Activities'!L142,282)-MAX('Activities'!K142,276))</x:f>
        <x:v>0</x:v>
      </x:c>
      <x:c r="AZ142" s="22" t="n">
        <x:f>MAX(0,MIN('Activities'!L142,288)-MAX('Activities'!K142,282))</x:f>
        <x:v>0</x:v>
      </x:c>
      <x:c r="BA142" s="22" t="n">
        <x:f>MAX(0,MIN('Activities'!L142,294)-MAX('Activities'!K142,288))</x:f>
        <x:v>0</x:v>
      </x:c>
      <x:c r="BB142" s="22" t="n">
        <x:f>MAX(0,MIN('Activities'!L142,300)-MAX('Activities'!K142,294))</x:f>
        <x:v>0</x:v>
      </x:c>
      <x:c r="BC142" s="22" t="n">
        <x:f>MAX(0,MIN('Activities'!L142,306)-MAX('Activities'!K142,300))</x:f>
        <x:v>0</x:v>
      </x:c>
      <x:c r="BD142" s="22" t="n">
        <x:f>MAX(0,MIN('Activities'!L142,312)-MAX('Activities'!K142,306))</x:f>
        <x:v>0</x:v>
      </x:c>
      <x:c r="BE142" s="22" t="n">
        <x:f>MAX(0,MIN('Activities'!L142,318)-MAX('Activities'!K142,312))</x:f>
        <x:v>0</x:v>
      </x:c>
      <x:c r="BF142" s="22" t="n">
        <x:f>MAX(0,MIN('Activities'!L142,324)-MAX('Activities'!K142,318))</x:f>
        <x:v>0</x:v>
      </x:c>
      <x:c r="BG142" s="22" t="n">
        <x:f>MAX(0,MIN('Activities'!L142,330)-MAX('Activities'!K142,324))</x:f>
        <x:v>0</x:v>
      </x:c>
      <x:c r="BH142" s="22" t="n">
        <x:f>MAX(0,MIN('Activities'!L142,336)-MAX('Activities'!K142,330))</x:f>
        <x:v>0</x:v>
      </x:c>
      <x:c r="BI142" s="22" t="n">
        <x:f>MAX(0,MIN('Activities'!L142,342)-MAX('Activities'!K142,336))</x:f>
        <x:v>0</x:v>
      </x:c>
      <x:c r="BJ142" s="22" t="n">
        <x:f>MAX(0,MIN('Activities'!L142,348)-MAX('Activities'!K142,342))</x:f>
        <x:v>0</x:v>
      </x:c>
      <x:c r="BK142" s="22" t="n">
        <x:f>MAX(0,MIN('Activities'!L142,354)-MAX('Activities'!K142,348))</x:f>
        <x:v>0</x:v>
      </x:c>
      <x:c r="BL142" s="22" t="n">
        <x:f>MAX(0,MIN('Activities'!L142,360)-MAX('Activities'!K142,354))</x:f>
        <x:v>0</x:v>
      </x:c>
      <x:c r="BM142" s="22" t="n">
        <x:f>MAX(0,MIN('Activities'!L142,366)-MAX('Activities'!K142,360))</x:f>
        <x:v>0</x:v>
      </x:c>
      <x:c r="BN142" s="22" t="n">
        <x:f>MAX(0,MIN('Activities'!L142,372)-MAX('Activities'!K142,366))</x:f>
        <x:v>0</x:v>
      </x:c>
      <x:c r="BO142" s="22" t="n">
        <x:f>MAX(0,MIN('Activities'!L142,378)-MAX('Activities'!K142,372))</x:f>
        <x:v>0</x:v>
      </x:c>
      <x:c r="BP142" s="22" t="n">
        <x:f>MAX(0,MIN('Activities'!L142,384)-MAX('Activities'!K142,378))</x:f>
        <x:v>0</x:v>
      </x:c>
      <x:c r="BQ142" s="22" t="n">
        <x:f>MAX(0,MIN('Activities'!L142,390)-MAX('Activities'!K142,384))</x:f>
        <x:v>0</x:v>
      </x:c>
      <x:c r="BR142" s="22" t="n">
        <x:f>MAX(0,MIN('Activities'!L142,396)-MAX('Activities'!K142,390))</x:f>
        <x:v>0</x:v>
      </x:c>
      <x:c r="BS142" s="22" t="n">
        <x:f>MAX(0,MIN('Activities'!L142,402)-MAX('Activities'!K142,396))</x:f>
        <x:v>0</x:v>
      </x:c>
      <x:c r="BT142" s="22" t="n">
        <x:f>MAX(0,MIN('Activities'!L142,408)-MAX('Activities'!K142,402))</x:f>
        <x:v>0</x:v>
      </x:c>
      <x:c r="BU142" s="22" t="n">
        <x:f>MAX(0,MIN('Activities'!L142,414)-MAX('Activities'!K142,408))</x:f>
        <x:v>0</x:v>
      </x:c>
      <x:c r="BV142" s="22" t="n">
        <x:f>MAX(0,MIN('Activities'!L142,420)-MAX('Activities'!K142,414))</x:f>
        <x:v>1</x:v>
      </x:c>
      <x:c r="BW142" s="22" t="n">
        <x:f>MAX(0,MIN('Activities'!L142,426)-MAX('Activities'!K142,420))</x:f>
        <x:v>2</x:v>
      </x:c>
      <x:c r="BX142" s="22" t="n">
        <x:f>MAX(0,MIN('Activities'!L142,432)-MAX('Activities'!K142,426))</x:f>
        <x:v>0</x:v>
      </x:c>
      <x:c r="BY142" s="22" t="n">
        <x:f>MAX(0,MIN('Activities'!L142,438)-MAX('Activities'!K142,432))</x:f>
        <x:v>0</x:v>
      </x:c>
      <x:c r="BZ142" s="22" t="n">
        <x:f>MAX(0,MIN('Activities'!L142,444)-MAX('Activities'!K142,438))</x:f>
        <x:v>0</x:v>
      </x:c>
      <x:c r="CA142" s="22" t="n">
        <x:f>MAX(0,MIN('Activities'!L142,450)-MAX('Activities'!K142,444))</x:f>
        <x:v>0</x:v>
      </x:c>
      <x:c r="CB142" s="22" t="n">
        <x:f>MAX(0,MIN('Activities'!L142,456)-MAX('Activities'!K142,450))</x:f>
        <x:v>0</x:v>
      </x:c>
      <x:c r="CC142" s="22" t="n">
        <x:f>MAX(0,MIN('Activities'!L142,462)-MAX('Activities'!K142,456))</x:f>
        <x:v>0</x:v>
      </x:c>
      <x:c r="CD142" s="22" t="n">
        <x:f>MAX(0,MIN('Activities'!L142,468)-MAX('Activities'!K142,462))</x:f>
        <x:v>0</x:v>
      </x:c>
      <x:c r="CE142" s="22" t="n">
        <x:f>MAX(0,MIN('Activities'!L142,474)-MAX('Activities'!K142,468))</x:f>
        <x:v>0</x:v>
      </x:c>
      <x:c r="CF142" s="22" t="n">
        <x:f>MAX(0,MIN('Activities'!L142,480)-MAX('Activities'!K142,474))</x:f>
        <x:v>0</x:v>
      </x:c>
      <x:c r="CG142" s="22" t="n">
        <x:f>MAX(0,MIN('Activities'!L142,486)-MAX('Activities'!K142,480))</x:f>
        <x:v>0</x:v>
      </x:c>
      <x:c r="CH142" s="22" t="n">
        <x:f>MAX(0,MIN('Activities'!L142,492)-MAX('Activities'!K142,486))</x:f>
        <x:v>0</x:v>
      </x:c>
      <x:c r="CI142" s="22" t="n">
        <x:f>MAX(0,MIN('Activities'!L142,498)-MAX('Activities'!K142,492))</x:f>
        <x:v>0</x:v>
      </x:c>
      <x:c r="CJ142" s="22" t="n">
        <x:f>MAX(0,MIN('Activities'!L142,504)-MAX('Activities'!K142,498))</x:f>
        <x:v>0</x:v>
      </x:c>
      <x:c r="CK142" s="22" t="n">
        <x:f>MAX(0,MIN('Activities'!L142,510)-MAX('Activities'!K142,504))</x:f>
        <x:v>0</x:v>
      </x:c>
      <x:c r="CL142" s="22" t="n">
        <x:f>MAX(0,MIN('Activities'!L142,516)-MAX('Activities'!K142,510))</x:f>
        <x:v>0</x:v>
      </x:c>
      <x:c r="CM142" s="22" t="n">
        <x:f>MAX(0,MIN('Activities'!L142,522)-MAX('Activities'!K142,516))</x:f>
        <x:v>0</x:v>
      </x:c>
      <x:c r="CN142" s="22" t="n">
        <x:f>MAX(0,MIN('Activities'!L142,528)-MAX('Activities'!K142,522))</x:f>
        <x:v>0</x:v>
      </x:c>
      <x:c r="CO142" s="22" t="n">
        <x:f>MAX(0,MIN('Activities'!L142,534)-MAX('Activities'!K142,528))</x:f>
        <x:v>0</x:v>
      </x:c>
      <x:c r="CP142" s="22" t="n">
        <x:f>MAX(0,MIN('Activities'!L142,540)-MAX('Activities'!K142,534))</x:f>
        <x:v>0</x:v>
      </x:c>
      <x:c r="CQ142" s="22" t="n">
        <x:f>MAX(0,MIN('Activities'!L142,546)-MAX('Activities'!K142,540))</x:f>
        <x:v>0</x:v>
      </x:c>
      <x:c r="CR142" s="22" t="n">
        <x:f>MAX(0,MIN('Activities'!L142,552)-MAX('Activities'!K142,546))</x:f>
        <x:v>0</x:v>
      </x:c>
      <x:c r="CS142" s="22" t="n">
        <x:f>MAX(0,MIN('Activities'!L142,558)-MAX('Activities'!K142,552))</x:f>
        <x:v>0</x:v>
      </x:c>
      <x:c r="CT142" s="22" t="n">
        <x:f>MAX(0,MIN('Activities'!L142,564)-MAX('Activities'!K142,558))</x:f>
        <x:v>0</x:v>
      </x:c>
      <x:c r="CU142" s="22" t="n">
        <x:f>MAX(0,MIN('Activities'!L142,570)-MAX('Activities'!K142,564))</x:f>
        <x:v>0</x:v>
      </x:c>
      <x:c r="CV142" s="22" t="n">
        <x:f>MAX(0,MIN('Activities'!L142,576)-MAX('Activities'!K142,570))</x:f>
        <x:v>0</x:v>
      </x:c>
      <x:c r="CW142" s="22" t="n">
        <x:f>MAX(0,MIN('Activities'!L142,582)-MAX('Activities'!K142,576))</x:f>
        <x:v>0</x:v>
      </x:c>
      <x:c r="CX142" s="22" t="n">
        <x:f>MAX(0,MIN('Activities'!L142,588)-MAX('Activities'!K142,582))</x:f>
        <x:v>0</x:v>
      </x:c>
      <x:c r="CY142" s="22" t="n">
        <x:f>MAX(0,MIN('Activities'!L142,594)-MAX('Activities'!K142,588))</x:f>
        <x:v>0</x:v>
      </x:c>
      <x:c r="CZ142" s="22" t="n">
        <x:f>MAX(0,MIN('Activities'!L142,600)-MAX('Activities'!K142,594))</x:f>
        <x:v>0</x:v>
      </x:c>
      <x:c r="DA142" s="22" t="n">
        <x:f>MAX(0,MIN('Activities'!L142,606)-MAX('Activities'!K142,600))</x:f>
        <x:v>0</x:v>
      </x:c>
      <x:c r="DB142" s="22" t="n">
        <x:f>MAX(0,MIN('Activities'!L142,612)-MAX('Activities'!K142,606))</x:f>
        <x:v>0</x:v>
      </x:c>
      <x:c r="DC142" s="22" t="n">
        <x:f>MAX(0,MIN('Activities'!L142,618)-MAX('Activities'!K142,612))</x:f>
        <x:v>0</x:v>
      </x:c>
      <x:c r="DD142" s="22" t="n">
        <x:f>MAX(0,MIN('Activities'!L142,624)-MAX('Activities'!K142,618))</x:f>
        <x:v>0</x:v>
      </x:c>
      <x:c r="DE142" s="22" t="n">
        <x:f>MAX(0,MIN('Activities'!L142,630)-MAX('Activities'!K142,624))</x:f>
        <x:v>0</x:v>
      </x:c>
      <x:c r="DF142" s="22" t="n">
        <x:f>MAX(0,MIN('Activities'!L142,636)-MAX('Activities'!K142,630))</x:f>
        <x:v>0</x:v>
      </x:c>
    </x:row>
    <x:row r="143" ht="23" customHeight="1">
      <x:c r="A143" s="1" t="str">
        <x:v>T1-L12-M</x:v>
      </x:c>
      <x:c r="B143" s="1" t="str">
        <x:v>T1</x:v>
      </x:c>
      <x:c r="C143" s="1" t="str">
        <x:v>Partition masonry</x:v>
      </x:c>
      <x:c r="D143" s="1" t="str">
        <x:v>Masonry</x:v>
      </x:c>
      <x:c r="E143" s="23" t="n">
        <x:f>MAX(0,MIN('Activities'!L143,6)-MAX('Activities'!K143,0))</x:f>
        <x:v>0</x:v>
      </x:c>
      <x:c r="F143" s="23" t="n">
        <x:f>MAX(0,MIN('Activities'!L143,12)-MAX('Activities'!K143,6))</x:f>
        <x:v>0</x:v>
      </x:c>
      <x:c r="G143" s="23" t="n">
        <x:f>MAX(0,MIN('Activities'!L143,18)-MAX('Activities'!K143,12))</x:f>
        <x:v>0</x:v>
      </x:c>
      <x:c r="H143" s="23" t="n">
        <x:f>MAX(0,MIN('Activities'!L143,24)-MAX('Activities'!K143,18))</x:f>
        <x:v>0</x:v>
      </x:c>
      <x:c r="I143" s="23" t="n">
        <x:f>MAX(0,MIN('Activities'!L143,30)-MAX('Activities'!K143,24))</x:f>
        <x:v>0</x:v>
      </x:c>
      <x:c r="J143" s="23" t="n">
        <x:f>MAX(0,MIN('Activities'!L143,36)-MAX('Activities'!K143,30))</x:f>
        <x:v>0</x:v>
      </x:c>
      <x:c r="K143" s="23" t="n">
        <x:f>MAX(0,MIN('Activities'!L143,42)-MAX('Activities'!K143,36))</x:f>
        <x:v>0</x:v>
      </x:c>
      <x:c r="L143" s="23" t="n">
        <x:f>MAX(0,MIN('Activities'!L143,48)-MAX('Activities'!K143,42))</x:f>
        <x:v>0</x:v>
      </x:c>
      <x:c r="M143" s="23" t="n">
        <x:f>MAX(0,MIN('Activities'!L143,54)-MAX('Activities'!K143,48))</x:f>
        <x:v>0</x:v>
      </x:c>
      <x:c r="N143" s="23" t="n">
        <x:f>MAX(0,MIN('Activities'!L143,60)-MAX('Activities'!K143,54))</x:f>
        <x:v>0</x:v>
      </x:c>
      <x:c r="O143" s="23" t="n">
        <x:f>MAX(0,MIN('Activities'!L143,66)-MAX('Activities'!K143,60))</x:f>
        <x:v>0</x:v>
      </x:c>
      <x:c r="P143" s="23" t="n">
        <x:f>MAX(0,MIN('Activities'!L143,72)-MAX('Activities'!K143,66))</x:f>
        <x:v>0</x:v>
      </x:c>
      <x:c r="Q143" s="23" t="n">
        <x:f>MAX(0,MIN('Activities'!L143,78)-MAX('Activities'!K143,72))</x:f>
        <x:v>0</x:v>
      </x:c>
      <x:c r="R143" s="23" t="n">
        <x:f>MAX(0,MIN('Activities'!L143,84)-MAX('Activities'!K143,78))</x:f>
        <x:v>0</x:v>
      </x:c>
      <x:c r="S143" s="23" t="n">
        <x:f>MAX(0,MIN('Activities'!L143,90)-MAX('Activities'!K143,84))</x:f>
        <x:v>0</x:v>
      </x:c>
      <x:c r="T143" s="23" t="n">
        <x:f>MAX(0,MIN('Activities'!L143,96)-MAX('Activities'!K143,90))</x:f>
        <x:v>0</x:v>
      </x:c>
      <x:c r="U143" s="23" t="n">
        <x:f>MAX(0,MIN('Activities'!L143,102)-MAX('Activities'!K143,96))</x:f>
        <x:v>0</x:v>
      </x:c>
      <x:c r="V143" s="23" t="n">
        <x:f>MAX(0,MIN('Activities'!L143,108)-MAX('Activities'!K143,102))</x:f>
        <x:v>0</x:v>
      </x:c>
      <x:c r="W143" s="23" t="n">
        <x:f>MAX(0,MIN('Activities'!L143,114)-MAX('Activities'!K143,108))</x:f>
        <x:v>0</x:v>
      </x:c>
      <x:c r="X143" s="23" t="n">
        <x:f>MAX(0,MIN('Activities'!L143,120)-MAX('Activities'!K143,114))</x:f>
        <x:v>0</x:v>
      </x:c>
      <x:c r="Y143" s="23" t="n">
        <x:f>MAX(0,MIN('Activities'!L143,126)-MAX('Activities'!K143,120))</x:f>
        <x:v>0</x:v>
      </x:c>
      <x:c r="Z143" s="23" t="n">
        <x:f>MAX(0,MIN('Activities'!L143,132)-MAX('Activities'!K143,126))</x:f>
        <x:v>0</x:v>
      </x:c>
      <x:c r="AA143" s="23" t="n">
        <x:f>MAX(0,MIN('Activities'!L143,138)-MAX('Activities'!K143,132))</x:f>
        <x:v>0</x:v>
      </x:c>
      <x:c r="AB143" s="23" t="n">
        <x:f>MAX(0,MIN('Activities'!L143,144)-MAX('Activities'!K143,138))</x:f>
        <x:v>0</x:v>
      </x:c>
      <x:c r="AC143" s="23" t="n">
        <x:f>MAX(0,MIN('Activities'!L143,150)-MAX('Activities'!K143,144))</x:f>
        <x:v>0</x:v>
      </x:c>
      <x:c r="AD143" s="23" t="n">
        <x:f>MAX(0,MIN('Activities'!L143,156)-MAX('Activities'!K143,150))</x:f>
        <x:v>0</x:v>
      </x:c>
      <x:c r="AE143" s="23" t="n">
        <x:f>MAX(0,MIN('Activities'!L143,162)-MAX('Activities'!K143,156))</x:f>
        <x:v>0</x:v>
      </x:c>
      <x:c r="AF143" s="23" t="n">
        <x:f>MAX(0,MIN('Activities'!L143,168)-MAX('Activities'!K143,162))</x:f>
        <x:v>0</x:v>
      </x:c>
      <x:c r="AG143" s="23" t="n">
        <x:f>MAX(0,MIN('Activities'!L143,174)-MAX('Activities'!K143,168))</x:f>
        <x:v>0</x:v>
      </x:c>
      <x:c r="AH143" s="23" t="n">
        <x:f>MAX(0,MIN('Activities'!L143,180)-MAX('Activities'!K143,174))</x:f>
        <x:v>0</x:v>
      </x:c>
      <x:c r="AI143" s="23" t="n">
        <x:f>MAX(0,MIN('Activities'!L143,186)-MAX('Activities'!K143,180))</x:f>
        <x:v>0</x:v>
      </x:c>
      <x:c r="AJ143" s="23" t="n">
        <x:f>MAX(0,MIN('Activities'!L143,192)-MAX('Activities'!K143,186))</x:f>
        <x:v>0</x:v>
      </x:c>
      <x:c r="AK143" s="23" t="n">
        <x:f>MAX(0,MIN('Activities'!L143,198)-MAX('Activities'!K143,192))</x:f>
        <x:v>0</x:v>
      </x:c>
      <x:c r="AL143" s="23" t="n">
        <x:f>MAX(0,MIN('Activities'!L143,204)-MAX('Activities'!K143,198))</x:f>
        <x:v>0</x:v>
      </x:c>
      <x:c r="AM143" s="23" t="n">
        <x:f>MAX(0,MIN('Activities'!L143,210)-MAX('Activities'!K143,204))</x:f>
        <x:v>0</x:v>
      </x:c>
      <x:c r="AN143" s="23" t="n">
        <x:f>MAX(0,MIN('Activities'!L143,216)-MAX('Activities'!K143,210))</x:f>
        <x:v>0</x:v>
      </x:c>
      <x:c r="AO143" s="23" t="n">
        <x:f>MAX(0,MIN('Activities'!L143,222)-MAX('Activities'!K143,216))</x:f>
        <x:v>0</x:v>
      </x:c>
      <x:c r="AP143" s="23" t="n">
        <x:f>MAX(0,MIN('Activities'!L143,228)-MAX('Activities'!K143,222))</x:f>
        <x:v>0</x:v>
      </x:c>
      <x:c r="AQ143" s="23" t="n">
        <x:f>MAX(0,MIN('Activities'!L143,234)-MAX('Activities'!K143,228))</x:f>
        <x:v>0</x:v>
      </x:c>
      <x:c r="AR143" s="23" t="n">
        <x:f>MAX(0,MIN('Activities'!L143,240)-MAX('Activities'!K143,234))</x:f>
        <x:v>0</x:v>
      </x:c>
      <x:c r="AS143" s="23" t="n">
        <x:f>MAX(0,MIN('Activities'!L143,246)-MAX('Activities'!K143,240))</x:f>
        <x:v>0</x:v>
      </x:c>
      <x:c r="AT143" s="23" t="n">
        <x:f>MAX(0,MIN('Activities'!L143,252)-MAX('Activities'!K143,246))</x:f>
        <x:v>0</x:v>
      </x:c>
      <x:c r="AU143" s="23" t="n">
        <x:f>MAX(0,MIN('Activities'!L143,258)-MAX('Activities'!K143,252))</x:f>
        <x:v>0</x:v>
      </x:c>
      <x:c r="AV143" s="23" t="n">
        <x:f>MAX(0,MIN('Activities'!L143,264)-MAX('Activities'!K143,258))</x:f>
        <x:v>0</x:v>
      </x:c>
      <x:c r="AW143" s="23" t="n">
        <x:f>MAX(0,MIN('Activities'!L143,270)-MAX('Activities'!K143,264))</x:f>
        <x:v>0</x:v>
      </x:c>
      <x:c r="AX143" s="23" t="n">
        <x:f>MAX(0,MIN('Activities'!L143,276)-MAX('Activities'!K143,270))</x:f>
        <x:v>0</x:v>
      </x:c>
      <x:c r="AY143" s="23" t="n">
        <x:f>MAX(0,MIN('Activities'!L143,282)-MAX('Activities'!K143,276))</x:f>
        <x:v>0</x:v>
      </x:c>
      <x:c r="AZ143" s="23" t="n">
        <x:f>MAX(0,MIN('Activities'!L143,288)-MAX('Activities'!K143,282))</x:f>
        <x:v>0</x:v>
      </x:c>
      <x:c r="BA143" s="23" t="n">
        <x:f>MAX(0,MIN('Activities'!L143,294)-MAX('Activities'!K143,288))</x:f>
        <x:v>0</x:v>
      </x:c>
      <x:c r="BB143" s="23" t="n">
        <x:f>MAX(0,MIN('Activities'!L143,300)-MAX('Activities'!K143,294))</x:f>
        <x:v>0</x:v>
      </x:c>
      <x:c r="BC143" s="23" t="n">
        <x:f>MAX(0,MIN('Activities'!L143,306)-MAX('Activities'!K143,300))</x:f>
        <x:v>0</x:v>
      </x:c>
      <x:c r="BD143" s="23" t="n">
        <x:f>MAX(0,MIN('Activities'!L143,312)-MAX('Activities'!K143,306))</x:f>
        <x:v>0</x:v>
      </x:c>
      <x:c r="BE143" s="23" t="n">
        <x:f>MAX(0,MIN('Activities'!L143,318)-MAX('Activities'!K143,312))</x:f>
        <x:v>0</x:v>
      </x:c>
      <x:c r="BF143" s="23" t="n">
        <x:f>MAX(0,MIN('Activities'!L143,324)-MAX('Activities'!K143,318))</x:f>
        <x:v>0</x:v>
      </x:c>
      <x:c r="BG143" s="23" t="n">
        <x:f>MAX(0,MIN('Activities'!L143,330)-MAX('Activities'!K143,324))</x:f>
        <x:v>0</x:v>
      </x:c>
      <x:c r="BH143" s="23" t="n">
        <x:f>MAX(0,MIN('Activities'!L143,336)-MAX('Activities'!K143,330))</x:f>
        <x:v>0</x:v>
      </x:c>
      <x:c r="BI143" s="23" t="n">
        <x:f>MAX(0,MIN('Activities'!L143,342)-MAX('Activities'!K143,336))</x:f>
        <x:v>0</x:v>
      </x:c>
      <x:c r="BJ143" s="23" t="n">
        <x:f>MAX(0,MIN('Activities'!L143,348)-MAX('Activities'!K143,342))</x:f>
        <x:v>0</x:v>
      </x:c>
      <x:c r="BK143" s="23" t="n">
        <x:f>MAX(0,MIN('Activities'!L143,354)-MAX('Activities'!K143,348))</x:f>
        <x:v>0</x:v>
      </x:c>
      <x:c r="BL143" s="23" t="n">
        <x:f>MAX(0,MIN('Activities'!L143,360)-MAX('Activities'!K143,354))</x:f>
        <x:v>0</x:v>
      </x:c>
      <x:c r="BM143" s="23" t="n">
        <x:f>MAX(0,MIN('Activities'!L143,366)-MAX('Activities'!K143,360))</x:f>
        <x:v>0</x:v>
      </x:c>
      <x:c r="BN143" s="23" t="n">
        <x:f>MAX(0,MIN('Activities'!L143,372)-MAX('Activities'!K143,366))</x:f>
        <x:v>0</x:v>
      </x:c>
      <x:c r="BO143" s="23" t="n">
        <x:f>MAX(0,MIN('Activities'!L143,378)-MAX('Activities'!K143,372))</x:f>
        <x:v>5</x:v>
      </x:c>
      <x:c r="BP143" s="23" t="n">
        <x:f>MAX(0,MIN('Activities'!L143,384)-MAX('Activities'!K143,378))</x:f>
        <x:v>0</x:v>
      </x:c>
      <x:c r="BQ143" s="23" t="n">
        <x:f>MAX(0,MIN('Activities'!L143,390)-MAX('Activities'!K143,384))</x:f>
        <x:v>0</x:v>
      </x:c>
      <x:c r="BR143" s="23" t="n">
        <x:f>MAX(0,MIN('Activities'!L143,396)-MAX('Activities'!K143,390))</x:f>
        <x:v>0</x:v>
      </x:c>
      <x:c r="BS143" s="23" t="n">
        <x:f>MAX(0,MIN('Activities'!L143,402)-MAX('Activities'!K143,396))</x:f>
        <x:v>0</x:v>
      </x:c>
      <x:c r="BT143" s="23" t="n">
        <x:f>MAX(0,MIN('Activities'!L143,408)-MAX('Activities'!K143,402))</x:f>
        <x:v>0</x:v>
      </x:c>
      <x:c r="BU143" s="23" t="n">
        <x:f>MAX(0,MIN('Activities'!L143,414)-MAX('Activities'!K143,408))</x:f>
        <x:v>0</x:v>
      </x:c>
      <x:c r="BV143" s="23" t="n">
        <x:f>MAX(0,MIN('Activities'!L143,420)-MAX('Activities'!K143,414))</x:f>
        <x:v>0</x:v>
      </x:c>
      <x:c r="BW143" s="23" t="n">
        <x:f>MAX(0,MIN('Activities'!L143,426)-MAX('Activities'!K143,420))</x:f>
        <x:v>0</x:v>
      </x:c>
      <x:c r="BX143" s="23" t="n">
        <x:f>MAX(0,MIN('Activities'!L143,432)-MAX('Activities'!K143,426))</x:f>
        <x:v>0</x:v>
      </x:c>
      <x:c r="BY143" s="23" t="n">
        <x:f>MAX(0,MIN('Activities'!L143,438)-MAX('Activities'!K143,432))</x:f>
        <x:v>0</x:v>
      </x:c>
      <x:c r="BZ143" s="23" t="n">
        <x:f>MAX(0,MIN('Activities'!L143,444)-MAX('Activities'!K143,438))</x:f>
        <x:v>0</x:v>
      </x:c>
      <x:c r="CA143" s="23" t="n">
        <x:f>MAX(0,MIN('Activities'!L143,450)-MAX('Activities'!K143,444))</x:f>
        <x:v>0</x:v>
      </x:c>
      <x:c r="CB143" s="23" t="n">
        <x:f>MAX(0,MIN('Activities'!L143,456)-MAX('Activities'!K143,450))</x:f>
        <x:v>0</x:v>
      </x:c>
      <x:c r="CC143" s="23" t="n">
        <x:f>MAX(0,MIN('Activities'!L143,462)-MAX('Activities'!K143,456))</x:f>
        <x:v>0</x:v>
      </x:c>
      <x:c r="CD143" s="23" t="n">
        <x:f>MAX(0,MIN('Activities'!L143,468)-MAX('Activities'!K143,462))</x:f>
        <x:v>0</x:v>
      </x:c>
      <x:c r="CE143" s="23" t="n">
        <x:f>MAX(0,MIN('Activities'!L143,474)-MAX('Activities'!K143,468))</x:f>
        <x:v>0</x:v>
      </x:c>
      <x:c r="CF143" s="23" t="n">
        <x:f>MAX(0,MIN('Activities'!L143,480)-MAX('Activities'!K143,474))</x:f>
        <x:v>0</x:v>
      </x:c>
      <x:c r="CG143" s="23" t="n">
        <x:f>MAX(0,MIN('Activities'!L143,486)-MAX('Activities'!K143,480))</x:f>
        <x:v>0</x:v>
      </x:c>
      <x:c r="CH143" s="23" t="n">
        <x:f>MAX(0,MIN('Activities'!L143,492)-MAX('Activities'!K143,486))</x:f>
        <x:v>0</x:v>
      </x:c>
      <x:c r="CI143" s="23" t="n">
        <x:f>MAX(0,MIN('Activities'!L143,498)-MAX('Activities'!K143,492))</x:f>
        <x:v>0</x:v>
      </x:c>
      <x:c r="CJ143" s="23" t="n">
        <x:f>MAX(0,MIN('Activities'!L143,504)-MAX('Activities'!K143,498))</x:f>
        <x:v>0</x:v>
      </x:c>
      <x:c r="CK143" s="23" t="n">
        <x:f>MAX(0,MIN('Activities'!L143,510)-MAX('Activities'!K143,504))</x:f>
        <x:v>0</x:v>
      </x:c>
      <x:c r="CL143" s="23" t="n">
        <x:f>MAX(0,MIN('Activities'!L143,516)-MAX('Activities'!K143,510))</x:f>
        <x:v>0</x:v>
      </x:c>
      <x:c r="CM143" s="23" t="n">
        <x:f>MAX(0,MIN('Activities'!L143,522)-MAX('Activities'!K143,516))</x:f>
        <x:v>0</x:v>
      </x:c>
      <x:c r="CN143" s="23" t="n">
        <x:f>MAX(0,MIN('Activities'!L143,528)-MAX('Activities'!K143,522))</x:f>
        <x:v>0</x:v>
      </x:c>
      <x:c r="CO143" s="23" t="n">
        <x:f>MAX(0,MIN('Activities'!L143,534)-MAX('Activities'!K143,528))</x:f>
        <x:v>0</x:v>
      </x:c>
      <x:c r="CP143" s="23" t="n">
        <x:f>MAX(0,MIN('Activities'!L143,540)-MAX('Activities'!K143,534))</x:f>
        <x:v>0</x:v>
      </x:c>
      <x:c r="CQ143" s="23" t="n">
        <x:f>MAX(0,MIN('Activities'!L143,546)-MAX('Activities'!K143,540))</x:f>
        <x:v>0</x:v>
      </x:c>
      <x:c r="CR143" s="23" t="n">
        <x:f>MAX(0,MIN('Activities'!L143,552)-MAX('Activities'!K143,546))</x:f>
        <x:v>0</x:v>
      </x:c>
      <x:c r="CS143" s="23" t="n">
        <x:f>MAX(0,MIN('Activities'!L143,558)-MAX('Activities'!K143,552))</x:f>
        <x:v>0</x:v>
      </x:c>
      <x:c r="CT143" s="23" t="n">
        <x:f>MAX(0,MIN('Activities'!L143,564)-MAX('Activities'!K143,558))</x:f>
        <x:v>0</x:v>
      </x:c>
      <x:c r="CU143" s="23" t="n">
        <x:f>MAX(0,MIN('Activities'!L143,570)-MAX('Activities'!K143,564))</x:f>
        <x:v>0</x:v>
      </x:c>
      <x:c r="CV143" s="23" t="n">
        <x:f>MAX(0,MIN('Activities'!L143,576)-MAX('Activities'!K143,570))</x:f>
        <x:v>0</x:v>
      </x:c>
      <x:c r="CW143" s="23" t="n">
        <x:f>MAX(0,MIN('Activities'!L143,582)-MAX('Activities'!K143,576))</x:f>
        <x:v>0</x:v>
      </x:c>
      <x:c r="CX143" s="23" t="n">
        <x:f>MAX(0,MIN('Activities'!L143,588)-MAX('Activities'!K143,582))</x:f>
        <x:v>0</x:v>
      </x:c>
      <x:c r="CY143" s="23" t="n">
        <x:f>MAX(0,MIN('Activities'!L143,594)-MAX('Activities'!K143,588))</x:f>
        <x:v>0</x:v>
      </x:c>
      <x:c r="CZ143" s="23" t="n">
        <x:f>MAX(0,MIN('Activities'!L143,600)-MAX('Activities'!K143,594))</x:f>
        <x:v>0</x:v>
      </x:c>
      <x:c r="DA143" s="23" t="n">
        <x:f>MAX(0,MIN('Activities'!L143,606)-MAX('Activities'!K143,600))</x:f>
        <x:v>0</x:v>
      </x:c>
      <x:c r="DB143" s="23" t="n">
        <x:f>MAX(0,MIN('Activities'!L143,612)-MAX('Activities'!K143,606))</x:f>
        <x:v>0</x:v>
      </x:c>
      <x:c r="DC143" s="23" t="n">
        <x:f>MAX(0,MIN('Activities'!L143,618)-MAX('Activities'!K143,612))</x:f>
        <x:v>0</x:v>
      </x:c>
      <x:c r="DD143" s="23" t="n">
        <x:f>MAX(0,MIN('Activities'!L143,624)-MAX('Activities'!K143,618))</x:f>
        <x:v>0</x:v>
      </x:c>
      <x:c r="DE143" s="23" t="n">
        <x:f>MAX(0,MIN('Activities'!L143,630)-MAX('Activities'!K143,624))</x:f>
        <x:v>0</x:v>
      </x:c>
      <x:c r="DF143" s="23" t="n">
        <x:f>MAX(0,MIN('Activities'!L143,636)-MAX('Activities'!K143,630))</x:f>
        <x:v>0</x:v>
      </x:c>
    </x:row>
    <x:row r="144" ht="23" customHeight="1">
      <x:c r="A144" s="6" t="str">
        <x:v>T1-L12-P</x:v>
      </x:c>
      <x:c r="B144" s="6" t="str">
        <x:v>T1</x:v>
      </x:c>
      <x:c r="C144" s="6" t="str">
        <x:v>Internal plaster</x:v>
      </x:c>
      <x:c r="D144" s="6" t="str">
        <x:v>Finishes</x:v>
      </x:c>
      <x:c r="E144" s="22" t="n">
        <x:f>MAX(0,MIN('Activities'!L144,6)-MAX('Activities'!K144,0))</x:f>
        <x:v>0</x:v>
      </x:c>
      <x:c r="F144" s="22" t="n">
        <x:f>MAX(0,MIN('Activities'!L144,12)-MAX('Activities'!K144,6))</x:f>
        <x:v>0</x:v>
      </x:c>
      <x:c r="G144" s="22" t="n">
        <x:f>MAX(0,MIN('Activities'!L144,18)-MAX('Activities'!K144,12))</x:f>
        <x:v>0</x:v>
      </x:c>
      <x:c r="H144" s="22" t="n">
        <x:f>MAX(0,MIN('Activities'!L144,24)-MAX('Activities'!K144,18))</x:f>
        <x:v>0</x:v>
      </x:c>
      <x:c r="I144" s="22" t="n">
        <x:f>MAX(0,MIN('Activities'!L144,30)-MAX('Activities'!K144,24))</x:f>
        <x:v>0</x:v>
      </x:c>
      <x:c r="J144" s="22" t="n">
        <x:f>MAX(0,MIN('Activities'!L144,36)-MAX('Activities'!K144,30))</x:f>
        <x:v>0</x:v>
      </x:c>
      <x:c r="K144" s="22" t="n">
        <x:f>MAX(0,MIN('Activities'!L144,42)-MAX('Activities'!K144,36))</x:f>
        <x:v>0</x:v>
      </x:c>
      <x:c r="L144" s="22" t="n">
        <x:f>MAX(0,MIN('Activities'!L144,48)-MAX('Activities'!K144,42))</x:f>
        <x:v>0</x:v>
      </x:c>
      <x:c r="M144" s="22" t="n">
        <x:f>MAX(0,MIN('Activities'!L144,54)-MAX('Activities'!K144,48))</x:f>
        <x:v>0</x:v>
      </x:c>
      <x:c r="N144" s="22" t="n">
        <x:f>MAX(0,MIN('Activities'!L144,60)-MAX('Activities'!K144,54))</x:f>
        <x:v>0</x:v>
      </x:c>
      <x:c r="O144" s="22" t="n">
        <x:f>MAX(0,MIN('Activities'!L144,66)-MAX('Activities'!K144,60))</x:f>
        <x:v>0</x:v>
      </x:c>
      <x:c r="P144" s="22" t="n">
        <x:f>MAX(0,MIN('Activities'!L144,72)-MAX('Activities'!K144,66))</x:f>
        <x:v>0</x:v>
      </x:c>
      <x:c r="Q144" s="22" t="n">
        <x:f>MAX(0,MIN('Activities'!L144,78)-MAX('Activities'!K144,72))</x:f>
        <x:v>0</x:v>
      </x:c>
      <x:c r="R144" s="22" t="n">
        <x:f>MAX(0,MIN('Activities'!L144,84)-MAX('Activities'!K144,78))</x:f>
        <x:v>0</x:v>
      </x:c>
      <x:c r="S144" s="22" t="n">
        <x:f>MAX(0,MIN('Activities'!L144,90)-MAX('Activities'!K144,84))</x:f>
        <x:v>0</x:v>
      </x:c>
      <x:c r="T144" s="22" t="n">
        <x:f>MAX(0,MIN('Activities'!L144,96)-MAX('Activities'!K144,90))</x:f>
        <x:v>0</x:v>
      </x:c>
      <x:c r="U144" s="22" t="n">
        <x:f>MAX(0,MIN('Activities'!L144,102)-MAX('Activities'!K144,96))</x:f>
        <x:v>0</x:v>
      </x:c>
      <x:c r="V144" s="22" t="n">
        <x:f>MAX(0,MIN('Activities'!L144,108)-MAX('Activities'!K144,102))</x:f>
        <x:v>0</x:v>
      </x:c>
      <x:c r="W144" s="22" t="n">
        <x:f>MAX(0,MIN('Activities'!L144,114)-MAX('Activities'!K144,108))</x:f>
        <x:v>0</x:v>
      </x:c>
      <x:c r="X144" s="22" t="n">
        <x:f>MAX(0,MIN('Activities'!L144,120)-MAX('Activities'!K144,114))</x:f>
        <x:v>0</x:v>
      </x:c>
      <x:c r="Y144" s="22" t="n">
        <x:f>MAX(0,MIN('Activities'!L144,126)-MAX('Activities'!K144,120))</x:f>
        <x:v>0</x:v>
      </x:c>
      <x:c r="Z144" s="22" t="n">
        <x:f>MAX(0,MIN('Activities'!L144,132)-MAX('Activities'!K144,126))</x:f>
        <x:v>0</x:v>
      </x:c>
      <x:c r="AA144" s="22" t="n">
        <x:f>MAX(0,MIN('Activities'!L144,138)-MAX('Activities'!K144,132))</x:f>
        <x:v>0</x:v>
      </x:c>
      <x:c r="AB144" s="22" t="n">
        <x:f>MAX(0,MIN('Activities'!L144,144)-MAX('Activities'!K144,138))</x:f>
        <x:v>0</x:v>
      </x:c>
      <x:c r="AC144" s="22" t="n">
        <x:f>MAX(0,MIN('Activities'!L144,150)-MAX('Activities'!K144,144))</x:f>
        <x:v>0</x:v>
      </x:c>
      <x:c r="AD144" s="22" t="n">
        <x:f>MAX(0,MIN('Activities'!L144,156)-MAX('Activities'!K144,150))</x:f>
        <x:v>0</x:v>
      </x:c>
      <x:c r="AE144" s="22" t="n">
        <x:f>MAX(0,MIN('Activities'!L144,162)-MAX('Activities'!K144,156))</x:f>
        <x:v>0</x:v>
      </x:c>
      <x:c r="AF144" s="22" t="n">
        <x:f>MAX(0,MIN('Activities'!L144,168)-MAX('Activities'!K144,162))</x:f>
        <x:v>0</x:v>
      </x:c>
      <x:c r="AG144" s="22" t="n">
        <x:f>MAX(0,MIN('Activities'!L144,174)-MAX('Activities'!K144,168))</x:f>
        <x:v>0</x:v>
      </x:c>
      <x:c r="AH144" s="22" t="n">
        <x:f>MAX(0,MIN('Activities'!L144,180)-MAX('Activities'!K144,174))</x:f>
        <x:v>0</x:v>
      </x:c>
      <x:c r="AI144" s="22" t="n">
        <x:f>MAX(0,MIN('Activities'!L144,186)-MAX('Activities'!K144,180))</x:f>
        <x:v>0</x:v>
      </x:c>
      <x:c r="AJ144" s="22" t="n">
        <x:f>MAX(0,MIN('Activities'!L144,192)-MAX('Activities'!K144,186))</x:f>
        <x:v>0</x:v>
      </x:c>
      <x:c r="AK144" s="22" t="n">
        <x:f>MAX(0,MIN('Activities'!L144,198)-MAX('Activities'!K144,192))</x:f>
        <x:v>0</x:v>
      </x:c>
      <x:c r="AL144" s="22" t="n">
        <x:f>MAX(0,MIN('Activities'!L144,204)-MAX('Activities'!K144,198))</x:f>
        <x:v>0</x:v>
      </x:c>
      <x:c r="AM144" s="22" t="n">
        <x:f>MAX(0,MIN('Activities'!L144,210)-MAX('Activities'!K144,204))</x:f>
        <x:v>0</x:v>
      </x:c>
      <x:c r="AN144" s="22" t="n">
        <x:f>MAX(0,MIN('Activities'!L144,216)-MAX('Activities'!K144,210))</x:f>
        <x:v>0</x:v>
      </x:c>
      <x:c r="AO144" s="22" t="n">
        <x:f>MAX(0,MIN('Activities'!L144,222)-MAX('Activities'!K144,216))</x:f>
        <x:v>0</x:v>
      </x:c>
      <x:c r="AP144" s="22" t="n">
        <x:f>MAX(0,MIN('Activities'!L144,228)-MAX('Activities'!K144,222))</x:f>
        <x:v>0</x:v>
      </x:c>
      <x:c r="AQ144" s="22" t="n">
        <x:f>MAX(0,MIN('Activities'!L144,234)-MAX('Activities'!K144,228))</x:f>
        <x:v>0</x:v>
      </x:c>
      <x:c r="AR144" s="22" t="n">
        <x:f>MAX(0,MIN('Activities'!L144,240)-MAX('Activities'!K144,234))</x:f>
        <x:v>0</x:v>
      </x:c>
      <x:c r="AS144" s="22" t="n">
        <x:f>MAX(0,MIN('Activities'!L144,246)-MAX('Activities'!K144,240))</x:f>
        <x:v>0</x:v>
      </x:c>
      <x:c r="AT144" s="22" t="n">
        <x:f>MAX(0,MIN('Activities'!L144,252)-MAX('Activities'!K144,246))</x:f>
        <x:v>0</x:v>
      </x:c>
      <x:c r="AU144" s="22" t="n">
        <x:f>MAX(0,MIN('Activities'!L144,258)-MAX('Activities'!K144,252))</x:f>
        <x:v>0</x:v>
      </x:c>
      <x:c r="AV144" s="22" t="n">
        <x:f>MAX(0,MIN('Activities'!L144,264)-MAX('Activities'!K144,258))</x:f>
        <x:v>0</x:v>
      </x:c>
      <x:c r="AW144" s="22" t="n">
        <x:f>MAX(0,MIN('Activities'!L144,270)-MAX('Activities'!K144,264))</x:f>
        <x:v>0</x:v>
      </x:c>
      <x:c r="AX144" s="22" t="n">
        <x:f>MAX(0,MIN('Activities'!L144,276)-MAX('Activities'!K144,270))</x:f>
        <x:v>0</x:v>
      </x:c>
      <x:c r="AY144" s="22" t="n">
        <x:f>MAX(0,MIN('Activities'!L144,282)-MAX('Activities'!K144,276))</x:f>
        <x:v>0</x:v>
      </x:c>
      <x:c r="AZ144" s="22" t="n">
        <x:f>MAX(0,MIN('Activities'!L144,288)-MAX('Activities'!K144,282))</x:f>
        <x:v>0</x:v>
      </x:c>
      <x:c r="BA144" s="22" t="n">
        <x:f>MAX(0,MIN('Activities'!L144,294)-MAX('Activities'!K144,288))</x:f>
        <x:v>0</x:v>
      </x:c>
      <x:c r="BB144" s="22" t="n">
        <x:f>MAX(0,MIN('Activities'!L144,300)-MAX('Activities'!K144,294))</x:f>
        <x:v>0</x:v>
      </x:c>
      <x:c r="BC144" s="22" t="n">
        <x:f>MAX(0,MIN('Activities'!L144,306)-MAX('Activities'!K144,300))</x:f>
        <x:v>0</x:v>
      </x:c>
      <x:c r="BD144" s="22" t="n">
        <x:f>MAX(0,MIN('Activities'!L144,312)-MAX('Activities'!K144,306))</x:f>
        <x:v>0</x:v>
      </x:c>
      <x:c r="BE144" s="22" t="n">
        <x:f>MAX(0,MIN('Activities'!L144,318)-MAX('Activities'!K144,312))</x:f>
        <x:v>0</x:v>
      </x:c>
      <x:c r="BF144" s="22" t="n">
        <x:f>MAX(0,MIN('Activities'!L144,324)-MAX('Activities'!K144,318))</x:f>
        <x:v>0</x:v>
      </x:c>
      <x:c r="BG144" s="22" t="n">
        <x:f>MAX(0,MIN('Activities'!L144,330)-MAX('Activities'!K144,324))</x:f>
        <x:v>0</x:v>
      </x:c>
      <x:c r="BH144" s="22" t="n">
        <x:f>MAX(0,MIN('Activities'!L144,336)-MAX('Activities'!K144,330))</x:f>
        <x:v>0</x:v>
      </x:c>
      <x:c r="BI144" s="22" t="n">
        <x:f>MAX(0,MIN('Activities'!L144,342)-MAX('Activities'!K144,336))</x:f>
        <x:v>0</x:v>
      </x:c>
      <x:c r="BJ144" s="22" t="n">
        <x:f>MAX(0,MIN('Activities'!L144,348)-MAX('Activities'!K144,342))</x:f>
        <x:v>0</x:v>
      </x:c>
      <x:c r="BK144" s="22" t="n">
        <x:f>MAX(0,MIN('Activities'!L144,354)-MAX('Activities'!K144,348))</x:f>
        <x:v>0</x:v>
      </x:c>
      <x:c r="BL144" s="22" t="n">
        <x:f>MAX(0,MIN('Activities'!L144,360)-MAX('Activities'!K144,354))</x:f>
        <x:v>0</x:v>
      </x:c>
      <x:c r="BM144" s="22" t="n">
        <x:f>MAX(0,MIN('Activities'!L144,366)-MAX('Activities'!K144,360))</x:f>
        <x:v>0</x:v>
      </x:c>
      <x:c r="BN144" s="22" t="n">
        <x:f>MAX(0,MIN('Activities'!L144,372)-MAX('Activities'!K144,366))</x:f>
        <x:v>0</x:v>
      </x:c>
      <x:c r="BO144" s="22" t="n">
        <x:f>MAX(0,MIN('Activities'!L144,378)-MAX('Activities'!K144,372))</x:f>
        <x:v>0</x:v>
      </x:c>
      <x:c r="BP144" s="22" t="n">
        <x:f>MAX(0,MIN('Activities'!L144,384)-MAX('Activities'!K144,378))</x:f>
        <x:v>3</x:v>
      </x:c>
      <x:c r="BQ144" s="22" t="n">
        <x:f>MAX(0,MIN('Activities'!L144,390)-MAX('Activities'!K144,384))</x:f>
        <x:v>3</x:v>
      </x:c>
      <x:c r="BR144" s="22" t="n">
        <x:f>MAX(0,MIN('Activities'!L144,396)-MAX('Activities'!K144,390))</x:f>
        <x:v>0</x:v>
      </x:c>
      <x:c r="BS144" s="22" t="n">
        <x:f>MAX(0,MIN('Activities'!L144,402)-MAX('Activities'!K144,396))</x:f>
        <x:v>0</x:v>
      </x:c>
      <x:c r="BT144" s="22" t="n">
        <x:f>MAX(0,MIN('Activities'!L144,408)-MAX('Activities'!K144,402))</x:f>
        <x:v>0</x:v>
      </x:c>
      <x:c r="BU144" s="22" t="n">
        <x:f>MAX(0,MIN('Activities'!L144,414)-MAX('Activities'!K144,408))</x:f>
        <x:v>0</x:v>
      </x:c>
      <x:c r="BV144" s="22" t="n">
        <x:f>MAX(0,MIN('Activities'!L144,420)-MAX('Activities'!K144,414))</x:f>
        <x:v>0</x:v>
      </x:c>
      <x:c r="BW144" s="22" t="n">
        <x:f>MAX(0,MIN('Activities'!L144,426)-MAX('Activities'!K144,420))</x:f>
        <x:v>0</x:v>
      </x:c>
      <x:c r="BX144" s="22" t="n">
        <x:f>MAX(0,MIN('Activities'!L144,432)-MAX('Activities'!K144,426))</x:f>
        <x:v>0</x:v>
      </x:c>
      <x:c r="BY144" s="22" t="n">
        <x:f>MAX(0,MIN('Activities'!L144,438)-MAX('Activities'!K144,432))</x:f>
        <x:v>0</x:v>
      </x:c>
      <x:c r="BZ144" s="22" t="n">
        <x:f>MAX(0,MIN('Activities'!L144,444)-MAX('Activities'!K144,438))</x:f>
        <x:v>0</x:v>
      </x:c>
      <x:c r="CA144" s="22" t="n">
        <x:f>MAX(0,MIN('Activities'!L144,450)-MAX('Activities'!K144,444))</x:f>
        <x:v>0</x:v>
      </x:c>
      <x:c r="CB144" s="22" t="n">
        <x:f>MAX(0,MIN('Activities'!L144,456)-MAX('Activities'!K144,450))</x:f>
        <x:v>0</x:v>
      </x:c>
      <x:c r="CC144" s="22" t="n">
        <x:f>MAX(0,MIN('Activities'!L144,462)-MAX('Activities'!K144,456))</x:f>
        <x:v>0</x:v>
      </x:c>
      <x:c r="CD144" s="22" t="n">
        <x:f>MAX(0,MIN('Activities'!L144,468)-MAX('Activities'!K144,462))</x:f>
        <x:v>0</x:v>
      </x:c>
      <x:c r="CE144" s="22" t="n">
        <x:f>MAX(0,MIN('Activities'!L144,474)-MAX('Activities'!K144,468))</x:f>
        <x:v>0</x:v>
      </x:c>
      <x:c r="CF144" s="22" t="n">
        <x:f>MAX(0,MIN('Activities'!L144,480)-MAX('Activities'!K144,474))</x:f>
        <x:v>0</x:v>
      </x:c>
      <x:c r="CG144" s="22" t="n">
        <x:f>MAX(0,MIN('Activities'!L144,486)-MAX('Activities'!K144,480))</x:f>
        <x:v>0</x:v>
      </x:c>
      <x:c r="CH144" s="22" t="n">
        <x:f>MAX(0,MIN('Activities'!L144,492)-MAX('Activities'!K144,486))</x:f>
        <x:v>0</x:v>
      </x:c>
      <x:c r="CI144" s="22" t="n">
        <x:f>MAX(0,MIN('Activities'!L144,498)-MAX('Activities'!K144,492))</x:f>
        <x:v>0</x:v>
      </x:c>
      <x:c r="CJ144" s="22" t="n">
        <x:f>MAX(0,MIN('Activities'!L144,504)-MAX('Activities'!K144,498))</x:f>
        <x:v>0</x:v>
      </x:c>
      <x:c r="CK144" s="22" t="n">
        <x:f>MAX(0,MIN('Activities'!L144,510)-MAX('Activities'!K144,504))</x:f>
        <x:v>0</x:v>
      </x:c>
      <x:c r="CL144" s="22" t="n">
        <x:f>MAX(0,MIN('Activities'!L144,516)-MAX('Activities'!K144,510))</x:f>
        <x:v>0</x:v>
      </x:c>
      <x:c r="CM144" s="22" t="n">
        <x:f>MAX(0,MIN('Activities'!L144,522)-MAX('Activities'!K144,516))</x:f>
        <x:v>0</x:v>
      </x:c>
      <x:c r="CN144" s="22" t="n">
        <x:f>MAX(0,MIN('Activities'!L144,528)-MAX('Activities'!K144,522))</x:f>
        <x:v>0</x:v>
      </x:c>
      <x:c r="CO144" s="22" t="n">
        <x:f>MAX(0,MIN('Activities'!L144,534)-MAX('Activities'!K144,528))</x:f>
        <x:v>0</x:v>
      </x:c>
      <x:c r="CP144" s="22" t="n">
        <x:f>MAX(0,MIN('Activities'!L144,540)-MAX('Activities'!K144,534))</x:f>
        <x:v>0</x:v>
      </x:c>
      <x:c r="CQ144" s="22" t="n">
        <x:f>MAX(0,MIN('Activities'!L144,546)-MAX('Activities'!K144,540))</x:f>
        <x:v>0</x:v>
      </x:c>
      <x:c r="CR144" s="22" t="n">
        <x:f>MAX(0,MIN('Activities'!L144,552)-MAX('Activities'!K144,546))</x:f>
        <x:v>0</x:v>
      </x:c>
      <x:c r="CS144" s="22" t="n">
        <x:f>MAX(0,MIN('Activities'!L144,558)-MAX('Activities'!K144,552))</x:f>
        <x:v>0</x:v>
      </x:c>
      <x:c r="CT144" s="22" t="n">
        <x:f>MAX(0,MIN('Activities'!L144,564)-MAX('Activities'!K144,558))</x:f>
        <x:v>0</x:v>
      </x:c>
      <x:c r="CU144" s="22" t="n">
        <x:f>MAX(0,MIN('Activities'!L144,570)-MAX('Activities'!K144,564))</x:f>
        <x:v>0</x:v>
      </x:c>
      <x:c r="CV144" s="22" t="n">
        <x:f>MAX(0,MIN('Activities'!L144,576)-MAX('Activities'!K144,570))</x:f>
        <x:v>0</x:v>
      </x:c>
      <x:c r="CW144" s="22" t="n">
        <x:f>MAX(0,MIN('Activities'!L144,582)-MAX('Activities'!K144,576))</x:f>
        <x:v>0</x:v>
      </x:c>
      <x:c r="CX144" s="22" t="n">
        <x:f>MAX(0,MIN('Activities'!L144,588)-MAX('Activities'!K144,582))</x:f>
        <x:v>0</x:v>
      </x:c>
      <x:c r="CY144" s="22" t="n">
        <x:f>MAX(0,MIN('Activities'!L144,594)-MAX('Activities'!K144,588))</x:f>
        <x:v>0</x:v>
      </x:c>
      <x:c r="CZ144" s="22" t="n">
        <x:f>MAX(0,MIN('Activities'!L144,600)-MAX('Activities'!K144,594))</x:f>
        <x:v>0</x:v>
      </x:c>
      <x:c r="DA144" s="22" t="n">
        <x:f>MAX(0,MIN('Activities'!L144,606)-MAX('Activities'!K144,600))</x:f>
        <x:v>0</x:v>
      </x:c>
      <x:c r="DB144" s="22" t="n">
        <x:f>MAX(0,MIN('Activities'!L144,612)-MAX('Activities'!K144,606))</x:f>
        <x:v>0</x:v>
      </x:c>
      <x:c r="DC144" s="22" t="n">
        <x:f>MAX(0,MIN('Activities'!L144,618)-MAX('Activities'!K144,612))</x:f>
        <x:v>0</x:v>
      </x:c>
      <x:c r="DD144" s="22" t="n">
        <x:f>MAX(0,MIN('Activities'!L144,624)-MAX('Activities'!K144,618))</x:f>
        <x:v>0</x:v>
      </x:c>
      <x:c r="DE144" s="22" t="n">
        <x:f>MAX(0,MIN('Activities'!L144,630)-MAX('Activities'!K144,624))</x:f>
        <x:v>0</x:v>
      </x:c>
      <x:c r="DF144" s="22" t="n">
        <x:f>MAX(0,MIN('Activities'!L144,636)-MAX('Activities'!K144,630))</x:f>
        <x:v>0</x:v>
      </x:c>
    </x:row>
    <x:row r="145" ht="23" customHeight="1">
      <x:c r="A145" s="1" t="str">
        <x:v>T1-L12-S</x:v>
      </x:c>
      <x:c r="B145" s="1" t="str">
        <x:v>T1</x:v>
      </x:c>
      <x:c r="C145" s="1" t="str">
        <x:v>Screed and substrate preparation</x:v>
      </x:c>
      <x:c r="D145" s="1" t="str">
        <x:v>Finishes</x:v>
      </x:c>
      <x:c r="E145" s="23" t="n">
        <x:f>MAX(0,MIN('Activities'!L145,6)-MAX('Activities'!K145,0))</x:f>
        <x:v>0</x:v>
      </x:c>
      <x:c r="F145" s="23" t="n">
        <x:f>MAX(0,MIN('Activities'!L145,12)-MAX('Activities'!K145,6))</x:f>
        <x:v>0</x:v>
      </x:c>
      <x:c r="G145" s="23" t="n">
        <x:f>MAX(0,MIN('Activities'!L145,18)-MAX('Activities'!K145,12))</x:f>
        <x:v>0</x:v>
      </x:c>
      <x:c r="H145" s="23" t="n">
        <x:f>MAX(0,MIN('Activities'!L145,24)-MAX('Activities'!K145,18))</x:f>
        <x:v>0</x:v>
      </x:c>
      <x:c r="I145" s="23" t="n">
        <x:f>MAX(0,MIN('Activities'!L145,30)-MAX('Activities'!K145,24))</x:f>
        <x:v>0</x:v>
      </x:c>
      <x:c r="J145" s="23" t="n">
        <x:f>MAX(0,MIN('Activities'!L145,36)-MAX('Activities'!K145,30))</x:f>
        <x:v>0</x:v>
      </x:c>
      <x:c r="K145" s="23" t="n">
        <x:f>MAX(0,MIN('Activities'!L145,42)-MAX('Activities'!K145,36))</x:f>
        <x:v>0</x:v>
      </x:c>
      <x:c r="L145" s="23" t="n">
        <x:f>MAX(0,MIN('Activities'!L145,48)-MAX('Activities'!K145,42))</x:f>
        <x:v>0</x:v>
      </x:c>
      <x:c r="M145" s="23" t="n">
        <x:f>MAX(0,MIN('Activities'!L145,54)-MAX('Activities'!K145,48))</x:f>
        <x:v>0</x:v>
      </x:c>
      <x:c r="N145" s="23" t="n">
        <x:f>MAX(0,MIN('Activities'!L145,60)-MAX('Activities'!K145,54))</x:f>
        <x:v>0</x:v>
      </x:c>
      <x:c r="O145" s="23" t="n">
        <x:f>MAX(0,MIN('Activities'!L145,66)-MAX('Activities'!K145,60))</x:f>
        <x:v>0</x:v>
      </x:c>
      <x:c r="P145" s="23" t="n">
        <x:f>MAX(0,MIN('Activities'!L145,72)-MAX('Activities'!K145,66))</x:f>
        <x:v>0</x:v>
      </x:c>
      <x:c r="Q145" s="23" t="n">
        <x:f>MAX(0,MIN('Activities'!L145,78)-MAX('Activities'!K145,72))</x:f>
        <x:v>0</x:v>
      </x:c>
      <x:c r="R145" s="23" t="n">
        <x:f>MAX(0,MIN('Activities'!L145,84)-MAX('Activities'!K145,78))</x:f>
        <x:v>0</x:v>
      </x:c>
      <x:c r="S145" s="23" t="n">
        <x:f>MAX(0,MIN('Activities'!L145,90)-MAX('Activities'!K145,84))</x:f>
        <x:v>0</x:v>
      </x:c>
      <x:c r="T145" s="23" t="n">
        <x:f>MAX(0,MIN('Activities'!L145,96)-MAX('Activities'!K145,90))</x:f>
        <x:v>0</x:v>
      </x:c>
      <x:c r="U145" s="23" t="n">
        <x:f>MAX(0,MIN('Activities'!L145,102)-MAX('Activities'!K145,96))</x:f>
        <x:v>0</x:v>
      </x:c>
      <x:c r="V145" s="23" t="n">
        <x:f>MAX(0,MIN('Activities'!L145,108)-MAX('Activities'!K145,102))</x:f>
        <x:v>0</x:v>
      </x:c>
      <x:c r="W145" s="23" t="n">
        <x:f>MAX(0,MIN('Activities'!L145,114)-MAX('Activities'!K145,108))</x:f>
        <x:v>0</x:v>
      </x:c>
      <x:c r="X145" s="23" t="n">
        <x:f>MAX(0,MIN('Activities'!L145,120)-MAX('Activities'!K145,114))</x:f>
        <x:v>0</x:v>
      </x:c>
      <x:c r="Y145" s="23" t="n">
        <x:f>MAX(0,MIN('Activities'!L145,126)-MAX('Activities'!K145,120))</x:f>
        <x:v>0</x:v>
      </x:c>
      <x:c r="Z145" s="23" t="n">
        <x:f>MAX(0,MIN('Activities'!L145,132)-MAX('Activities'!K145,126))</x:f>
        <x:v>0</x:v>
      </x:c>
      <x:c r="AA145" s="23" t="n">
        <x:f>MAX(0,MIN('Activities'!L145,138)-MAX('Activities'!K145,132))</x:f>
        <x:v>0</x:v>
      </x:c>
      <x:c r="AB145" s="23" t="n">
        <x:f>MAX(0,MIN('Activities'!L145,144)-MAX('Activities'!K145,138))</x:f>
        <x:v>0</x:v>
      </x:c>
      <x:c r="AC145" s="23" t="n">
        <x:f>MAX(0,MIN('Activities'!L145,150)-MAX('Activities'!K145,144))</x:f>
        <x:v>0</x:v>
      </x:c>
      <x:c r="AD145" s="23" t="n">
        <x:f>MAX(0,MIN('Activities'!L145,156)-MAX('Activities'!K145,150))</x:f>
        <x:v>0</x:v>
      </x:c>
      <x:c r="AE145" s="23" t="n">
        <x:f>MAX(0,MIN('Activities'!L145,162)-MAX('Activities'!K145,156))</x:f>
        <x:v>0</x:v>
      </x:c>
      <x:c r="AF145" s="23" t="n">
        <x:f>MAX(0,MIN('Activities'!L145,168)-MAX('Activities'!K145,162))</x:f>
        <x:v>0</x:v>
      </x:c>
      <x:c r="AG145" s="23" t="n">
        <x:f>MAX(0,MIN('Activities'!L145,174)-MAX('Activities'!K145,168))</x:f>
        <x:v>0</x:v>
      </x:c>
      <x:c r="AH145" s="23" t="n">
        <x:f>MAX(0,MIN('Activities'!L145,180)-MAX('Activities'!K145,174))</x:f>
        <x:v>0</x:v>
      </x:c>
      <x:c r="AI145" s="23" t="n">
        <x:f>MAX(0,MIN('Activities'!L145,186)-MAX('Activities'!K145,180))</x:f>
        <x:v>0</x:v>
      </x:c>
      <x:c r="AJ145" s="23" t="n">
        <x:f>MAX(0,MIN('Activities'!L145,192)-MAX('Activities'!K145,186))</x:f>
        <x:v>0</x:v>
      </x:c>
      <x:c r="AK145" s="23" t="n">
        <x:f>MAX(0,MIN('Activities'!L145,198)-MAX('Activities'!K145,192))</x:f>
        <x:v>0</x:v>
      </x:c>
      <x:c r="AL145" s="23" t="n">
        <x:f>MAX(0,MIN('Activities'!L145,204)-MAX('Activities'!K145,198))</x:f>
        <x:v>0</x:v>
      </x:c>
      <x:c r="AM145" s="23" t="n">
        <x:f>MAX(0,MIN('Activities'!L145,210)-MAX('Activities'!K145,204))</x:f>
        <x:v>0</x:v>
      </x:c>
      <x:c r="AN145" s="23" t="n">
        <x:f>MAX(0,MIN('Activities'!L145,216)-MAX('Activities'!K145,210))</x:f>
        <x:v>0</x:v>
      </x:c>
      <x:c r="AO145" s="23" t="n">
        <x:f>MAX(0,MIN('Activities'!L145,222)-MAX('Activities'!K145,216))</x:f>
        <x:v>0</x:v>
      </x:c>
      <x:c r="AP145" s="23" t="n">
        <x:f>MAX(0,MIN('Activities'!L145,228)-MAX('Activities'!K145,222))</x:f>
        <x:v>0</x:v>
      </x:c>
      <x:c r="AQ145" s="23" t="n">
        <x:f>MAX(0,MIN('Activities'!L145,234)-MAX('Activities'!K145,228))</x:f>
        <x:v>0</x:v>
      </x:c>
      <x:c r="AR145" s="23" t="n">
        <x:f>MAX(0,MIN('Activities'!L145,240)-MAX('Activities'!K145,234))</x:f>
        <x:v>0</x:v>
      </x:c>
      <x:c r="AS145" s="23" t="n">
        <x:f>MAX(0,MIN('Activities'!L145,246)-MAX('Activities'!K145,240))</x:f>
        <x:v>0</x:v>
      </x:c>
      <x:c r="AT145" s="23" t="n">
        <x:f>MAX(0,MIN('Activities'!L145,252)-MAX('Activities'!K145,246))</x:f>
        <x:v>0</x:v>
      </x:c>
      <x:c r="AU145" s="23" t="n">
        <x:f>MAX(0,MIN('Activities'!L145,258)-MAX('Activities'!K145,252))</x:f>
        <x:v>0</x:v>
      </x:c>
      <x:c r="AV145" s="23" t="n">
        <x:f>MAX(0,MIN('Activities'!L145,264)-MAX('Activities'!K145,258))</x:f>
        <x:v>0</x:v>
      </x:c>
      <x:c r="AW145" s="23" t="n">
        <x:f>MAX(0,MIN('Activities'!L145,270)-MAX('Activities'!K145,264))</x:f>
        <x:v>0</x:v>
      </x:c>
      <x:c r="AX145" s="23" t="n">
        <x:f>MAX(0,MIN('Activities'!L145,276)-MAX('Activities'!K145,270))</x:f>
        <x:v>0</x:v>
      </x:c>
      <x:c r="AY145" s="23" t="n">
        <x:f>MAX(0,MIN('Activities'!L145,282)-MAX('Activities'!K145,276))</x:f>
        <x:v>0</x:v>
      </x:c>
      <x:c r="AZ145" s="23" t="n">
        <x:f>MAX(0,MIN('Activities'!L145,288)-MAX('Activities'!K145,282))</x:f>
        <x:v>0</x:v>
      </x:c>
      <x:c r="BA145" s="23" t="n">
        <x:f>MAX(0,MIN('Activities'!L145,294)-MAX('Activities'!K145,288))</x:f>
        <x:v>0</x:v>
      </x:c>
      <x:c r="BB145" s="23" t="n">
        <x:f>MAX(0,MIN('Activities'!L145,300)-MAX('Activities'!K145,294))</x:f>
        <x:v>0</x:v>
      </x:c>
      <x:c r="BC145" s="23" t="n">
        <x:f>MAX(0,MIN('Activities'!L145,306)-MAX('Activities'!K145,300))</x:f>
        <x:v>0</x:v>
      </x:c>
      <x:c r="BD145" s="23" t="n">
        <x:f>MAX(0,MIN('Activities'!L145,312)-MAX('Activities'!K145,306))</x:f>
        <x:v>0</x:v>
      </x:c>
      <x:c r="BE145" s="23" t="n">
        <x:f>MAX(0,MIN('Activities'!L145,318)-MAX('Activities'!K145,312))</x:f>
        <x:v>0</x:v>
      </x:c>
      <x:c r="BF145" s="23" t="n">
        <x:f>MAX(0,MIN('Activities'!L145,324)-MAX('Activities'!K145,318))</x:f>
        <x:v>0</x:v>
      </x:c>
      <x:c r="BG145" s="23" t="n">
        <x:f>MAX(0,MIN('Activities'!L145,330)-MAX('Activities'!K145,324))</x:f>
        <x:v>0</x:v>
      </x:c>
      <x:c r="BH145" s="23" t="n">
        <x:f>MAX(0,MIN('Activities'!L145,336)-MAX('Activities'!K145,330))</x:f>
        <x:v>0</x:v>
      </x:c>
      <x:c r="BI145" s="23" t="n">
        <x:f>MAX(0,MIN('Activities'!L145,342)-MAX('Activities'!K145,336))</x:f>
        <x:v>0</x:v>
      </x:c>
      <x:c r="BJ145" s="23" t="n">
        <x:f>MAX(0,MIN('Activities'!L145,348)-MAX('Activities'!K145,342))</x:f>
        <x:v>0</x:v>
      </x:c>
      <x:c r="BK145" s="23" t="n">
        <x:f>MAX(0,MIN('Activities'!L145,354)-MAX('Activities'!K145,348))</x:f>
        <x:v>0</x:v>
      </x:c>
      <x:c r="BL145" s="23" t="n">
        <x:f>MAX(0,MIN('Activities'!L145,360)-MAX('Activities'!K145,354))</x:f>
        <x:v>0</x:v>
      </x:c>
      <x:c r="BM145" s="23" t="n">
        <x:f>MAX(0,MIN('Activities'!L145,366)-MAX('Activities'!K145,360))</x:f>
        <x:v>0</x:v>
      </x:c>
      <x:c r="BN145" s="23" t="n">
        <x:f>MAX(0,MIN('Activities'!L145,372)-MAX('Activities'!K145,366))</x:f>
        <x:v>0</x:v>
      </x:c>
      <x:c r="BO145" s="23" t="n">
        <x:f>MAX(0,MIN('Activities'!L145,378)-MAX('Activities'!K145,372))</x:f>
        <x:v>0</x:v>
      </x:c>
      <x:c r="BP145" s="23" t="n">
        <x:f>MAX(0,MIN('Activities'!L145,384)-MAX('Activities'!K145,378))</x:f>
        <x:v>0</x:v>
      </x:c>
      <x:c r="BQ145" s="23" t="n">
        <x:f>MAX(0,MIN('Activities'!L145,390)-MAX('Activities'!K145,384))</x:f>
        <x:v>1</x:v>
      </x:c>
      <x:c r="BR145" s="23" t="n">
        <x:f>MAX(0,MIN('Activities'!L145,396)-MAX('Activities'!K145,390))</x:f>
        <x:v>2</x:v>
      </x:c>
      <x:c r="BS145" s="23" t="n">
        <x:f>MAX(0,MIN('Activities'!L145,402)-MAX('Activities'!K145,396))</x:f>
        <x:v>0</x:v>
      </x:c>
      <x:c r="BT145" s="23" t="n">
        <x:f>MAX(0,MIN('Activities'!L145,408)-MAX('Activities'!K145,402))</x:f>
        <x:v>0</x:v>
      </x:c>
      <x:c r="BU145" s="23" t="n">
        <x:f>MAX(0,MIN('Activities'!L145,414)-MAX('Activities'!K145,408))</x:f>
        <x:v>0</x:v>
      </x:c>
      <x:c r="BV145" s="23" t="n">
        <x:f>MAX(0,MIN('Activities'!L145,420)-MAX('Activities'!K145,414))</x:f>
        <x:v>0</x:v>
      </x:c>
      <x:c r="BW145" s="23" t="n">
        <x:f>MAX(0,MIN('Activities'!L145,426)-MAX('Activities'!K145,420))</x:f>
        <x:v>0</x:v>
      </x:c>
      <x:c r="BX145" s="23" t="n">
        <x:f>MAX(0,MIN('Activities'!L145,432)-MAX('Activities'!K145,426))</x:f>
        <x:v>0</x:v>
      </x:c>
      <x:c r="BY145" s="23" t="n">
        <x:f>MAX(0,MIN('Activities'!L145,438)-MAX('Activities'!K145,432))</x:f>
        <x:v>0</x:v>
      </x:c>
      <x:c r="BZ145" s="23" t="n">
        <x:f>MAX(0,MIN('Activities'!L145,444)-MAX('Activities'!K145,438))</x:f>
        <x:v>0</x:v>
      </x:c>
      <x:c r="CA145" s="23" t="n">
        <x:f>MAX(0,MIN('Activities'!L145,450)-MAX('Activities'!K145,444))</x:f>
        <x:v>0</x:v>
      </x:c>
      <x:c r="CB145" s="23" t="n">
        <x:f>MAX(0,MIN('Activities'!L145,456)-MAX('Activities'!K145,450))</x:f>
        <x:v>0</x:v>
      </x:c>
      <x:c r="CC145" s="23" t="n">
        <x:f>MAX(0,MIN('Activities'!L145,462)-MAX('Activities'!K145,456))</x:f>
        <x:v>0</x:v>
      </x:c>
      <x:c r="CD145" s="23" t="n">
        <x:f>MAX(0,MIN('Activities'!L145,468)-MAX('Activities'!K145,462))</x:f>
        <x:v>0</x:v>
      </x:c>
      <x:c r="CE145" s="23" t="n">
        <x:f>MAX(0,MIN('Activities'!L145,474)-MAX('Activities'!K145,468))</x:f>
        <x:v>0</x:v>
      </x:c>
      <x:c r="CF145" s="23" t="n">
        <x:f>MAX(0,MIN('Activities'!L145,480)-MAX('Activities'!K145,474))</x:f>
        <x:v>0</x:v>
      </x:c>
      <x:c r="CG145" s="23" t="n">
        <x:f>MAX(0,MIN('Activities'!L145,486)-MAX('Activities'!K145,480))</x:f>
        <x:v>0</x:v>
      </x:c>
      <x:c r="CH145" s="23" t="n">
        <x:f>MAX(0,MIN('Activities'!L145,492)-MAX('Activities'!K145,486))</x:f>
        <x:v>0</x:v>
      </x:c>
      <x:c r="CI145" s="23" t="n">
        <x:f>MAX(0,MIN('Activities'!L145,498)-MAX('Activities'!K145,492))</x:f>
        <x:v>0</x:v>
      </x:c>
      <x:c r="CJ145" s="23" t="n">
        <x:f>MAX(0,MIN('Activities'!L145,504)-MAX('Activities'!K145,498))</x:f>
        <x:v>0</x:v>
      </x:c>
      <x:c r="CK145" s="23" t="n">
        <x:f>MAX(0,MIN('Activities'!L145,510)-MAX('Activities'!K145,504))</x:f>
        <x:v>0</x:v>
      </x:c>
      <x:c r="CL145" s="23" t="n">
        <x:f>MAX(0,MIN('Activities'!L145,516)-MAX('Activities'!K145,510))</x:f>
        <x:v>0</x:v>
      </x:c>
      <x:c r="CM145" s="23" t="n">
        <x:f>MAX(0,MIN('Activities'!L145,522)-MAX('Activities'!K145,516))</x:f>
        <x:v>0</x:v>
      </x:c>
      <x:c r="CN145" s="23" t="n">
        <x:f>MAX(0,MIN('Activities'!L145,528)-MAX('Activities'!K145,522))</x:f>
        <x:v>0</x:v>
      </x:c>
      <x:c r="CO145" s="23" t="n">
        <x:f>MAX(0,MIN('Activities'!L145,534)-MAX('Activities'!K145,528))</x:f>
        <x:v>0</x:v>
      </x:c>
      <x:c r="CP145" s="23" t="n">
        <x:f>MAX(0,MIN('Activities'!L145,540)-MAX('Activities'!K145,534))</x:f>
        <x:v>0</x:v>
      </x:c>
      <x:c r="CQ145" s="23" t="n">
        <x:f>MAX(0,MIN('Activities'!L145,546)-MAX('Activities'!K145,540))</x:f>
        <x:v>0</x:v>
      </x:c>
      <x:c r="CR145" s="23" t="n">
        <x:f>MAX(0,MIN('Activities'!L145,552)-MAX('Activities'!K145,546))</x:f>
        <x:v>0</x:v>
      </x:c>
      <x:c r="CS145" s="23" t="n">
        <x:f>MAX(0,MIN('Activities'!L145,558)-MAX('Activities'!K145,552))</x:f>
        <x:v>0</x:v>
      </x:c>
      <x:c r="CT145" s="23" t="n">
        <x:f>MAX(0,MIN('Activities'!L145,564)-MAX('Activities'!K145,558))</x:f>
        <x:v>0</x:v>
      </x:c>
      <x:c r="CU145" s="23" t="n">
        <x:f>MAX(0,MIN('Activities'!L145,570)-MAX('Activities'!K145,564))</x:f>
        <x:v>0</x:v>
      </x:c>
      <x:c r="CV145" s="23" t="n">
        <x:f>MAX(0,MIN('Activities'!L145,576)-MAX('Activities'!K145,570))</x:f>
        <x:v>0</x:v>
      </x:c>
      <x:c r="CW145" s="23" t="n">
        <x:f>MAX(0,MIN('Activities'!L145,582)-MAX('Activities'!K145,576))</x:f>
        <x:v>0</x:v>
      </x:c>
      <x:c r="CX145" s="23" t="n">
        <x:f>MAX(0,MIN('Activities'!L145,588)-MAX('Activities'!K145,582))</x:f>
        <x:v>0</x:v>
      </x:c>
      <x:c r="CY145" s="23" t="n">
        <x:f>MAX(0,MIN('Activities'!L145,594)-MAX('Activities'!K145,588))</x:f>
        <x:v>0</x:v>
      </x:c>
      <x:c r="CZ145" s="23" t="n">
        <x:f>MAX(0,MIN('Activities'!L145,600)-MAX('Activities'!K145,594))</x:f>
        <x:v>0</x:v>
      </x:c>
      <x:c r="DA145" s="23" t="n">
        <x:f>MAX(0,MIN('Activities'!L145,606)-MAX('Activities'!K145,600))</x:f>
        <x:v>0</x:v>
      </x:c>
      <x:c r="DB145" s="23" t="n">
        <x:f>MAX(0,MIN('Activities'!L145,612)-MAX('Activities'!K145,606))</x:f>
        <x:v>0</x:v>
      </x:c>
      <x:c r="DC145" s="23" t="n">
        <x:f>MAX(0,MIN('Activities'!L145,618)-MAX('Activities'!K145,612))</x:f>
        <x:v>0</x:v>
      </x:c>
      <x:c r="DD145" s="23" t="n">
        <x:f>MAX(0,MIN('Activities'!L145,624)-MAX('Activities'!K145,618))</x:f>
        <x:v>0</x:v>
      </x:c>
      <x:c r="DE145" s="23" t="n">
        <x:f>MAX(0,MIN('Activities'!L145,630)-MAX('Activities'!K145,624))</x:f>
        <x:v>0</x:v>
      </x:c>
      <x:c r="DF145" s="23" t="n">
        <x:f>MAX(0,MIN('Activities'!L145,636)-MAX('Activities'!K145,630))</x:f>
        <x:v>0</x:v>
      </x:c>
    </x:row>
    <x:row r="146" ht="23" customHeight="1">
      <x:c r="A146" s="6" t="str">
        <x:v>T1-L12-T</x:v>
      </x:c>
      <x:c r="B146" s="6" t="str">
        <x:v>T1</x:v>
      </x:c>
      <x:c r="C146" s="6" t="str">
        <x:v>Floor finishes and skirtings</x:v>
      </x:c>
      <x:c r="D146" s="6" t="str">
        <x:v>Finishes</x:v>
      </x:c>
      <x:c r="E146" s="22" t="n">
        <x:f>MAX(0,MIN('Activities'!L146,6)-MAX('Activities'!K146,0))</x:f>
        <x:v>0</x:v>
      </x:c>
      <x:c r="F146" s="22" t="n">
        <x:f>MAX(0,MIN('Activities'!L146,12)-MAX('Activities'!K146,6))</x:f>
        <x:v>0</x:v>
      </x:c>
      <x:c r="G146" s="22" t="n">
        <x:f>MAX(0,MIN('Activities'!L146,18)-MAX('Activities'!K146,12))</x:f>
        <x:v>0</x:v>
      </x:c>
      <x:c r="H146" s="22" t="n">
        <x:f>MAX(0,MIN('Activities'!L146,24)-MAX('Activities'!K146,18))</x:f>
        <x:v>0</x:v>
      </x:c>
      <x:c r="I146" s="22" t="n">
        <x:f>MAX(0,MIN('Activities'!L146,30)-MAX('Activities'!K146,24))</x:f>
        <x:v>0</x:v>
      </x:c>
      <x:c r="J146" s="22" t="n">
        <x:f>MAX(0,MIN('Activities'!L146,36)-MAX('Activities'!K146,30))</x:f>
        <x:v>0</x:v>
      </x:c>
      <x:c r="K146" s="22" t="n">
        <x:f>MAX(0,MIN('Activities'!L146,42)-MAX('Activities'!K146,36))</x:f>
        <x:v>0</x:v>
      </x:c>
      <x:c r="L146" s="22" t="n">
        <x:f>MAX(0,MIN('Activities'!L146,48)-MAX('Activities'!K146,42))</x:f>
        <x:v>0</x:v>
      </x:c>
      <x:c r="M146" s="22" t="n">
        <x:f>MAX(0,MIN('Activities'!L146,54)-MAX('Activities'!K146,48))</x:f>
        <x:v>0</x:v>
      </x:c>
      <x:c r="N146" s="22" t="n">
        <x:f>MAX(0,MIN('Activities'!L146,60)-MAX('Activities'!K146,54))</x:f>
        <x:v>0</x:v>
      </x:c>
      <x:c r="O146" s="22" t="n">
        <x:f>MAX(0,MIN('Activities'!L146,66)-MAX('Activities'!K146,60))</x:f>
        <x:v>0</x:v>
      </x:c>
      <x:c r="P146" s="22" t="n">
        <x:f>MAX(0,MIN('Activities'!L146,72)-MAX('Activities'!K146,66))</x:f>
        <x:v>0</x:v>
      </x:c>
      <x:c r="Q146" s="22" t="n">
        <x:f>MAX(0,MIN('Activities'!L146,78)-MAX('Activities'!K146,72))</x:f>
        <x:v>0</x:v>
      </x:c>
      <x:c r="R146" s="22" t="n">
        <x:f>MAX(0,MIN('Activities'!L146,84)-MAX('Activities'!K146,78))</x:f>
        <x:v>0</x:v>
      </x:c>
      <x:c r="S146" s="22" t="n">
        <x:f>MAX(0,MIN('Activities'!L146,90)-MAX('Activities'!K146,84))</x:f>
        <x:v>0</x:v>
      </x:c>
      <x:c r="T146" s="22" t="n">
        <x:f>MAX(0,MIN('Activities'!L146,96)-MAX('Activities'!K146,90))</x:f>
        <x:v>0</x:v>
      </x:c>
      <x:c r="U146" s="22" t="n">
        <x:f>MAX(0,MIN('Activities'!L146,102)-MAX('Activities'!K146,96))</x:f>
        <x:v>0</x:v>
      </x:c>
      <x:c r="V146" s="22" t="n">
        <x:f>MAX(0,MIN('Activities'!L146,108)-MAX('Activities'!K146,102))</x:f>
        <x:v>0</x:v>
      </x:c>
      <x:c r="W146" s="22" t="n">
        <x:f>MAX(0,MIN('Activities'!L146,114)-MAX('Activities'!K146,108))</x:f>
        <x:v>0</x:v>
      </x:c>
      <x:c r="X146" s="22" t="n">
        <x:f>MAX(0,MIN('Activities'!L146,120)-MAX('Activities'!K146,114))</x:f>
        <x:v>0</x:v>
      </x:c>
      <x:c r="Y146" s="22" t="n">
        <x:f>MAX(0,MIN('Activities'!L146,126)-MAX('Activities'!K146,120))</x:f>
        <x:v>0</x:v>
      </x:c>
      <x:c r="Z146" s="22" t="n">
        <x:f>MAX(0,MIN('Activities'!L146,132)-MAX('Activities'!K146,126))</x:f>
        <x:v>0</x:v>
      </x:c>
      <x:c r="AA146" s="22" t="n">
        <x:f>MAX(0,MIN('Activities'!L146,138)-MAX('Activities'!K146,132))</x:f>
        <x:v>0</x:v>
      </x:c>
      <x:c r="AB146" s="22" t="n">
        <x:f>MAX(0,MIN('Activities'!L146,144)-MAX('Activities'!K146,138))</x:f>
        <x:v>0</x:v>
      </x:c>
      <x:c r="AC146" s="22" t="n">
        <x:f>MAX(0,MIN('Activities'!L146,150)-MAX('Activities'!K146,144))</x:f>
        <x:v>0</x:v>
      </x:c>
      <x:c r="AD146" s="22" t="n">
        <x:f>MAX(0,MIN('Activities'!L146,156)-MAX('Activities'!K146,150))</x:f>
        <x:v>0</x:v>
      </x:c>
      <x:c r="AE146" s="22" t="n">
        <x:f>MAX(0,MIN('Activities'!L146,162)-MAX('Activities'!K146,156))</x:f>
        <x:v>0</x:v>
      </x:c>
      <x:c r="AF146" s="22" t="n">
        <x:f>MAX(0,MIN('Activities'!L146,168)-MAX('Activities'!K146,162))</x:f>
        <x:v>0</x:v>
      </x:c>
      <x:c r="AG146" s="22" t="n">
        <x:f>MAX(0,MIN('Activities'!L146,174)-MAX('Activities'!K146,168))</x:f>
        <x:v>0</x:v>
      </x:c>
      <x:c r="AH146" s="22" t="n">
        <x:f>MAX(0,MIN('Activities'!L146,180)-MAX('Activities'!K146,174))</x:f>
        <x:v>0</x:v>
      </x:c>
      <x:c r="AI146" s="22" t="n">
        <x:f>MAX(0,MIN('Activities'!L146,186)-MAX('Activities'!K146,180))</x:f>
        <x:v>0</x:v>
      </x:c>
      <x:c r="AJ146" s="22" t="n">
        <x:f>MAX(0,MIN('Activities'!L146,192)-MAX('Activities'!K146,186))</x:f>
        <x:v>0</x:v>
      </x:c>
      <x:c r="AK146" s="22" t="n">
        <x:f>MAX(0,MIN('Activities'!L146,198)-MAX('Activities'!K146,192))</x:f>
        <x:v>0</x:v>
      </x:c>
      <x:c r="AL146" s="22" t="n">
        <x:f>MAX(0,MIN('Activities'!L146,204)-MAX('Activities'!K146,198))</x:f>
        <x:v>0</x:v>
      </x:c>
      <x:c r="AM146" s="22" t="n">
        <x:f>MAX(0,MIN('Activities'!L146,210)-MAX('Activities'!K146,204))</x:f>
        <x:v>0</x:v>
      </x:c>
      <x:c r="AN146" s="22" t="n">
        <x:f>MAX(0,MIN('Activities'!L146,216)-MAX('Activities'!K146,210))</x:f>
        <x:v>0</x:v>
      </x:c>
      <x:c r="AO146" s="22" t="n">
        <x:f>MAX(0,MIN('Activities'!L146,222)-MAX('Activities'!K146,216))</x:f>
        <x:v>0</x:v>
      </x:c>
      <x:c r="AP146" s="22" t="n">
        <x:f>MAX(0,MIN('Activities'!L146,228)-MAX('Activities'!K146,222))</x:f>
        <x:v>0</x:v>
      </x:c>
      <x:c r="AQ146" s="22" t="n">
        <x:f>MAX(0,MIN('Activities'!L146,234)-MAX('Activities'!K146,228))</x:f>
        <x:v>0</x:v>
      </x:c>
      <x:c r="AR146" s="22" t="n">
        <x:f>MAX(0,MIN('Activities'!L146,240)-MAX('Activities'!K146,234))</x:f>
        <x:v>0</x:v>
      </x:c>
      <x:c r="AS146" s="22" t="n">
        <x:f>MAX(0,MIN('Activities'!L146,246)-MAX('Activities'!K146,240))</x:f>
        <x:v>0</x:v>
      </x:c>
      <x:c r="AT146" s="22" t="n">
        <x:f>MAX(0,MIN('Activities'!L146,252)-MAX('Activities'!K146,246))</x:f>
        <x:v>0</x:v>
      </x:c>
      <x:c r="AU146" s="22" t="n">
        <x:f>MAX(0,MIN('Activities'!L146,258)-MAX('Activities'!K146,252))</x:f>
        <x:v>0</x:v>
      </x:c>
      <x:c r="AV146" s="22" t="n">
        <x:f>MAX(0,MIN('Activities'!L146,264)-MAX('Activities'!K146,258))</x:f>
        <x:v>0</x:v>
      </x:c>
      <x:c r="AW146" s="22" t="n">
        <x:f>MAX(0,MIN('Activities'!L146,270)-MAX('Activities'!K146,264))</x:f>
        <x:v>0</x:v>
      </x:c>
      <x:c r="AX146" s="22" t="n">
        <x:f>MAX(0,MIN('Activities'!L146,276)-MAX('Activities'!K146,270))</x:f>
        <x:v>0</x:v>
      </x:c>
      <x:c r="AY146" s="22" t="n">
        <x:f>MAX(0,MIN('Activities'!L146,282)-MAX('Activities'!K146,276))</x:f>
        <x:v>0</x:v>
      </x:c>
      <x:c r="AZ146" s="22" t="n">
        <x:f>MAX(0,MIN('Activities'!L146,288)-MAX('Activities'!K146,282))</x:f>
        <x:v>0</x:v>
      </x:c>
      <x:c r="BA146" s="22" t="n">
        <x:f>MAX(0,MIN('Activities'!L146,294)-MAX('Activities'!K146,288))</x:f>
        <x:v>0</x:v>
      </x:c>
      <x:c r="BB146" s="22" t="n">
        <x:f>MAX(0,MIN('Activities'!L146,300)-MAX('Activities'!K146,294))</x:f>
        <x:v>0</x:v>
      </x:c>
      <x:c r="BC146" s="22" t="n">
        <x:f>MAX(0,MIN('Activities'!L146,306)-MAX('Activities'!K146,300))</x:f>
        <x:v>0</x:v>
      </x:c>
      <x:c r="BD146" s="22" t="n">
        <x:f>MAX(0,MIN('Activities'!L146,312)-MAX('Activities'!K146,306))</x:f>
        <x:v>0</x:v>
      </x:c>
      <x:c r="BE146" s="22" t="n">
        <x:f>MAX(0,MIN('Activities'!L146,318)-MAX('Activities'!K146,312))</x:f>
        <x:v>0</x:v>
      </x:c>
      <x:c r="BF146" s="22" t="n">
        <x:f>MAX(0,MIN('Activities'!L146,324)-MAX('Activities'!K146,318))</x:f>
        <x:v>0</x:v>
      </x:c>
      <x:c r="BG146" s="22" t="n">
        <x:f>MAX(0,MIN('Activities'!L146,330)-MAX('Activities'!K146,324))</x:f>
        <x:v>0</x:v>
      </x:c>
      <x:c r="BH146" s="22" t="n">
        <x:f>MAX(0,MIN('Activities'!L146,336)-MAX('Activities'!K146,330))</x:f>
        <x:v>0</x:v>
      </x:c>
      <x:c r="BI146" s="22" t="n">
        <x:f>MAX(0,MIN('Activities'!L146,342)-MAX('Activities'!K146,336))</x:f>
        <x:v>0</x:v>
      </x:c>
      <x:c r="BJ146" s="22" t="n">
        <x:f>MAX(0,MIN('Activities'!L146,348)-MAX('Activities'!K146,342))</x:f>
        <x:v>0</x:v>
      </x:c>
      <x:c r="BK146" s="22" t="n">
        <x:f>MAX(0,MIN('Activities'!L146,354)-MAX('Activities'!K146,348))</x:f>
        <x:v>0</x:v>
      </x:c>
      <x:c r="BL146" s="22" t="n">
        <x:f>MAX(0,MIN('Activities'!L146,360)-MAX('Activities'!K146,354))</x:f>
        <x:v>0</x:v>
      </x:c>
      <x:c r="BM146" s="22" t="n">
        <x:f>MAX(0,MIN('Activities'!L146,366)-MAX('Activities'!K146,360))</x:f>
        <x:v>0</x:v>
      </x:c>
      <x:c r="BN146" s="22" t="n">
        <x:f>MAX(0,MIN('Activities'!L146,372)-MAX('Activities'!K146,366))</x:f>
        <x:v>0</x:v>
      </x:c>
      <x:c r="BO146" s="22" t="n">
        <x:f>MAX(0,MIN('Activities'!L146,378)-MAX('Activities'!K146,372))</x:f>
        <x:v>0</x:v>
      </x:c>
      <x:c r="BP146" s="22" t="n">
        <x:f>MAX(0,MIN('Activities'!L146,384)-MAX('Activities'!K146,378))</x:f>
        <x:v>0</x:v>
      </x:c>
      <x:c r="BQ146" s="22" t="n">
        <x:f>MAX(0,MIN('Activities'!L146,390)-MAX('Activities'!K146,384))</x:f>
        <x:v>0</x:v>
      </x:c>
      <x:c r="BR146" s="22" t="n">
        <x:f>MAX(0,MIN('Activities'!L146,396)-MAX('Activities'!K146,390))</x:f>
        <x:v>0</x:v>
      </x:c>
      <x:c r="BS146" s="22" t="n">
        <x:f>MAX(0,MIN('Activities'!L146,402)-MAX('Activities'!K146,396))</x:f>
        <x:v>0</x:v>
      </x:c>
      <x:c r="BT146" s="22" t="n">
        <x:f>MAX(0,MIN('Activities'!L146,408)-MAX('Activities'!K146,402))</x:f>
        <x:v>2</x:v>
      </x:c>
      <x:c r="BU146" s="22" t="n">
        <x:f>MAX(0,MIN('Activities'!L146,414)-MAX('Activities'!K146,408))</x:f>
        <x:v>4</x:v>
      </x:c>
      <x:c r="BV146" s="22" t="n">
        <x:f>MAX(0,MIN('Activities'!L146,420)-MAX('Activities'!K146,414))</x:f>
        <x:v>0</x:v>
      </x:c>
      <x:c r="BW146" s="22" t="n">
        <x:f>MAX(0,MIN('Activities'!L146,426)-MAX('Activities'!K146,420))</x:f>
        <x:v>0</x:v>
      </x:c>
      <x:c r="BX146" s="22" t="n">
        <x:f>MAX(0,MIN('Activities'!L146,432)-MAX('Activities'!K146,426))</x:f>
        <x:v>0</x:v>
      </x:c>
      <x:c r="BY146" s="22" t="n">
        <x:f>MAX(0,MIN('Activities'!L146,438)-MAX('Activities'!K146,432))</x:f>
        <x:v>0</x:v>
      </x:c>
      <x:c r="BZ146" s="22" t="n">
        <x:f>MAX(0,MIN('Activities'!L146,444)-MAX('Activities'!K146,438))</x:f>
        <x:v>0</x:v>
      </x:c>
      <x:c r="CA146" s="22" t="n">
        <x:f>MAX(0,MIN('Activities'!L146,450)-MAX('Activities'!K146,444))</x:f>
        <x:v>0</x:v>
      </x:c>
      <x:c r="CB146" s="22" t="n">
        <x:f>MAX(0,MIN('Activities'!L146,456)-MAX('Activities'!K146,450))</x:f>
        <x:v>0</x:v>
      </x:c>
      <x:c r="CC146" s="22" t="n">
        <x:f>MAX(0,MIN('Activities'!L146,462)-MAX('Activities'!K146,456))</x:f>
        <x:v>0</x:v>
      </x:c>
      <x:c r="CD146" s="22" t="n">
        <x:f>MAX(0,MIN('Activities'!L146,468)-MAX('Activities'!K146,462))</x:f>
        <x:v>0</x:v>
      </x:c>
      <x:c r="CE146" s="22" t="n">
        <x:f>MAX(0,MIN('Activities'!L146,474)-MAX('Activities'!K146,468))</x:f>
        <x:v>0</x:v>
      </x:c>
      <x:c r="CF146" s="22" t="n">
        <x:f>MAX(0,MIN('Activities'!L146,480)-MAX('Activities'!K146,474))</x:f>
        <x:v>0</x:v>
      </x:c>
      <x:c r="CG146" s="22" t="n">
        <x:f>MAX(0,MIN('Activities'!L146,486)-MAX('Activities'!K146,480))</x:f>
        <x:v>0</x:v>
      </x:c>
      <x:c r="CH146" s="22" t="n">
        <x:f>MAX(0,MIN('Activities'!L146,492)-MAX('Activities'!K146,486))</x:f>
        <x:v>0</x:v>
      </x:c>
      <x:c r="CI146" s="22" t="n">
        <x:f>MAX(0,MIN('Activities'!L146,498)-MAX('Activities'!K146,492))</x:f>
        <x:v>0</x:v>
      </x:c>
      <x:c r="CJ146" s="22" t="n">
        <x:f>MAX(0,MIN('Activities'!L146,504)-MAX('Activities'!K146,498))</x:f>
        <x:v>0</x:v>
      </x:c>
      <x:c r="CK146" s="22" t="n">
        <x:f>MAX(0,MIN('Activities'!L146,510)-MAX('Activities'!K146,504))</x:f>
        <x:v>0</x:v>
      </x:c>
      <x:c r="CL146" s="22" t="n">
        <x:f>MAX(0,MIN('Activities'!L146,516)-MAX('Activities'!K146,510))</x:f>
        <x:v>0</x:v>
      </x:c>
      <x:c r="CM146" s="22" t="n">
        <x:f>MAX(0,MIN('Activities'!L146,522)-MAX('Activities'!K146,516))</x:f>
        <x:v>0</x:v>
      </x:c>
      <x:c r="CN146" s="22" t="n">
        <x:f>MAX(0,MIN('Activities'!L146,528)-MAX('Activities'!K146,522))</x:f>
        <x:v>0</x:v>
      </x:c>
      <x:c r="CO146" s="22" t="n">
        <x:f>MAX(0,MIN('Activities'!L146,534)-MAX('Activities'!K146,528))</x:f>
        <x:v>0</x:v>
      </x:c>
      <x:c r="CP146" s="22" t="n">
        <x:f>MAX(0,MIN('Activities'!L146,540)-MAX('Activities'!K146,534))</x:f>
        <x:v>0</x:v>
      </x:c>
      <x:c r="CQ146" s="22" t="n">
        <x:f>MAX(0,MIN('Activities'!L146,546)-MAX('Activities'!K146,540))</x:f>
        <x:v>0</x:v>
      </x:c>
      <x:c r="CR146" s="22" t="n">
        <x:f>MAX(0,MIN('Activities'!L146,552)-MAX('Activities'!K146,546))</x:f>
        <x:v>0</x:v>
      </x:c>
      <x:c r="CS146" s="22" t="n">
        <x:f>MAX(0,MIN('Activities'!L146,558)-MAX('Activities'!K146,552))</x:f>
        <x:v>0</x:v>
      </x:c>
      <x:c r="CT146" s="22" t="n">
        <x:f>MAX(0,MIN('Activities'!L146,564)-MAX('Activities'!K146,558))</x:f>
        <x:v>0</x:v>
      </x:c>
      <x:c r="CU146" s="22" t="n">
        <x:f>MAX(0,MIN('Activities'!L146,570)-MAX('Activities'!K146,564))</x:f>
        <x:v>0</x:v>
      </x:c>
      <x:c r="CV146" s="22" t="n">
        <x:f>MAX(0,MIN('Activities'!L146,576)-MAX('Activities'!K146,570))</x:f>
        <x:v>0</x:v>
      </x:c>
      <x:c r="CW146" s="22" t="n">
        <x:f>MAX(0,MIN('Activities'!L146,582)-MAX('Activities'!K146,576))</x:f>
        <x:v>0</x:v>
      </x:c>
      <x:c r="CX146" s="22" t="n">
        <x:f>MAX(0,MIN('Activities'!L146,588)-MAX('Activities'!K146,582))</x:f>
        <x:v>0</x:v>
      </x:c>
      <x:c r="CY146" s="22" t="n">
        <x:f>MAX(0,MIN('Activities'!L146,594)-MAX('Activities'!K146,588))</x:f>
        <x:v>0</x:v>
      </x:c>
      <x:c r="CZ146" s="22" t="n">
        <x:f>MAX(0,MIN('Activities'!L146,600)-MAX('Activities'!K146,594))</x:f>
        <x:v>0</x:v>
      </x:c>
      <x:c r="DA146" s="22" t="n">
        <x:f>MAX(0,MIN('Activities'!L146,606)-MAX('Activities'!K146,600))</x:f>
        <x:v>0</x:v>
      </x:c>
      <x:c r="DB146" s="22" t="n">
        <x:f>MAX(0,MIN('Activities'!L146,612)-MAX('Activities'!K146,606))</x:f>
        <x:v>0</x:v>
      </x:c>
      <x:c r="DC146" s="22" t="n">
        <x:f>MAX(0,MIN('Activities'!L146,618)-MAX('Activities'!K146,612))</x:f>
        <x:v>0</x:v>
      </x:c>
      <x:c r="DD146" s="22" t="n">
        <x:f>MAX(0,MIN('Activities'!L146,624)-MAX('Activities'!K146,618))</x:f>
        <x:v>0</x:v>
      </x:c>
      <x:c r="DE146" s="22" t="n">
        <x:f>MAX(0,MIN('Activities'!L146,630)-MAX('Activities'!K146,624))</x:f>
        <x:v>0</x:v>
      </x:c>
      <x:c r="DF146" s="22" t="n">
        <x:f>MAX(0,MIN('Activities'!L146,636)-MAX('Activities'!K146,630))</x:f>
        <x:v>0</x:v>
      </x:c>
    </x:row>
    <x:row r="147" ht="23" customHeight="1">
      <x:c r="A147" s="1" t="str">
        <x:v>T1-L12-A</x:v>
      </x:c>
      <x:c r="B147" s="1" t="str">
        <x:v>T1</x:v>
      </x:c>
      <x:c r="C147" s="1" t="str">
        <x:v>Paint and final decorations</x:v>
      </x:c>
      <x:c r="D147" s="1" t="str">
        <x:v>Finishes</x:v>
      </x:c>
      <x:c r="E147" s="23" t="n">
        <x:f>MAX(0,MIN('Activities'!L147,6)-MAX('Activities'!K147,0))</x:f>
        <x:v>0</x:v>
      </x:c>
      <x:c r="F147" s="23" t="n">
        <x:f>MAX(0,MIN('Activities'!L147,12)-MAX('Activities'!K147,6))</x:f>
        <x:v>0</x:v>
      </x:c>
      <x:c r="G147" s="23" t="n">
        <x:f>MAX(0,MIN('Activities'!L147,18)-MAX('Activities'!K147,12))</x:f>
        <x:v>0</x:v>
      </x:c>
      <x:c r="H147" s="23" t="n">
        <x:f>MAX(0,MIN('Activities'!L147,24)-MAX('Activities'!K147,18))</x:f>
        <x:v>0</x:v>
      </x:c>
      <x:c r="I147" s="23" t="n">
        <x:f>MAX(0,MIN('Activities'!L147,30)-MAX('Activities'!K147,24))</x:f>
        <x:v>0</x:v>
      </x:c>
      <x:c r="J147" s="23" t="n">
        <x:f>MAX(0,MIN('Activities'!L147,36)-MAX('Activities'!K147,30))</x:f>
        <x:v>0</x:v>
      </x:c>
      <x:c r="K147" s="23" t="n">
        <x:f>MAX(0,MIN('Activities'!L147,42)-MAX('Activities'!K147,36))</x:f>
        <x:v>0</x:v>
      </x:c>
      <x:c r="L147" s="23" t="n">
        <x:f>MAX(0,MIN('Activities'!L147,48)-MAX('Activities'!K147,42))</x:f>
        <x:v>0</x:v>
      </x:c>
      <x:c r="M147" s="23" t="n">
        <x:f>MAX(0,MIN('Activities'!L147,54)-MAX('Activities'!K147,48))</x:f>
        <x:v>0</x:v>
      </x:c>
      <x:c r="N147" s="23" t="n">
        <x:f>MAX(0,MIN('Activities'!L147,60)-MAX('Activities'!K147,54))</x:f>
        <x:v>0</x:v>
      </x:c>
      <x:c r="O147" s="23" t="n">
        <x:f>MAX(0,MIN('Activities'!L147,66)-MAX('Activities'!K147,60))</x:f>
        <x:v>0</x:v>
      </x:c>
      <x:c r="P147" s="23" t="n">
        <x:f>MAX(0,MIN('Activities'!L147,72)-MAX('Activities'!K147,66))</x:f>
        <x:v>0</x:v>
      </x:c>
      <x:c r="Q147" s="23" t="n">
        <x:f>MAX(0,MIN('Activities'!L147,78)-MAX('Activities'!K147,72))</x:f>
        <x:v>0</x:v>
      </x:c>
      <x:c r="R147" s="23" t="n">
        <x:f>MAX(0,MIN('Activities'!L147,84)-MAX('Activities'!K147,78))</x:f>
        <x:v>0</x:v>
      </x:c>
      <x:c r="S147" s="23" t="n">
        <x:f>MAX(0,MIN('Activities'!L147,90)-MAX('Activities'!K147,84))</x:f>
        <x:v>0</x:v>
      </x:c>
      <x:c r="T147" s="23" t="n">
        <x:f>MAX(0,MIN('Activities'!L147,96)-MAX('Activities'!K147,90))</x:f>
        <x:v>0</x:v>
      </x:c>
      <x:c r="U147" s="23" t="n">
        <x:f>MAX(0,MIN('Activities'!L147,102)-MAX('Activities'!K147,96))</x:f>
        <x:v>0</x:v>
      </x:c>
      <x:c r="V147" s="23" t="n">
        <x:f>MAX(0,MIN('Activities'!L147,108)-MAX('Activities'!K147,102))</x:f>
        <x:v>0</x:v>
      </x:c>
      <x:c r="W147" s="23" t="n">
        <x:f>MAX(0,MIN('Activities'!L147,114)-MAX('Activities'!K147,108))</x:f>
        <x:v>0</x:v>
      </x:c>
      <x:c r="X147" s="23" t="n">
        <x:f>MAX(0,MIN('Activities'!L147,120)-MAX('Activities'!K147,114))</x:f>
        <x:v>0</x:v>
      </x:c>
      <x:c r="Y147" s="23" t="n">
        <x:f>MAX(0,MIN('Activities'!L147,126)-MAX('Activities'!K147,120))</x:f>
        <x:v>0</x:v>
      </x:c>
      <x:c r="Z147" s="23" t="n">
        <x:f>MAX(0,MIN('Activities'!L147,132)-MAX('Activities'!K147,126))</x:f>
        <x:v>0</x:v>
      </x:c>
      <x:c r="AA147" s="23" t="n">
        <x:f>MAX(0,MIN('Activities'!L147,138)-MAX('Activities'!K147,132))</x:f>
        <x:v>0</x:v>
      </x:c>
      <x:c r="AB147" s="23" t="n">
        <x:f>MAX(0,MIN('Activities'!L147,144)-MAX('Activities'!K147,138))</x:f>
        <x:v>0</x:v>
      </x:c>
      <x:c r="AC147" s="23" t="n">
        <x:f>MAX(0,MIN('Activities'!L147,150)-MAX('Activities'!K147,144))</x:f>
        <x:v>0</x:v>
      </x:c>
      <x:c r="AD147" s="23" t="n">
        <x:f>MAX(0,MIN('Activities'!L147,156)-MAX('Activities'!K147,150))</x:f>
        <x:v>0</x:v>
      </x:c>
      <x:c r="AE147" s="23" t="n">
        <x:f>MAX(0,MIN('Activities'!L147,162)-MAX('Activities'!K147,156))</x:f>
        <x:v>0</x:v>
      </x:c>
      <x:c r="AF147" s="23" t="n">
        <x:f>MAX(0,MIN('Activities'!L147,168)-MAX('Activities'!K147,162))</x:f>
        <x:v>0</x:v>
      </x:c>
      <x:c r="AG147" s="23" t="n">
        <x:f>MAX(0,MIN('Activities'!L147,174)-MAX('Activities'!K147,168))</x:f>
        <x:v>0</x:v>
      </x:c>
      <x:c r="AH147" s="23" t="n">
        <x:f>MAX(0,MIN('Activities'!L147,180)-MAX('Activities'!K147,174))</x:f>
        <x:v>0</x:v>
      </x:c>
      <x:c r="AI147" s="23" t="n">
        <x:f>MAX(0,MIN('Activities'!L147,186)-MAX('Activities'!K147,180))</x:f>
        <x:v>0</x:v>
      </x:c>
      <x:c r="AJ147" s="23" t="n">
        <x:f>MAX(0,MIN('Activities'!L147,192)-MAX('Activities'!K147,186))</x:f>
        <x:v>0</x:v>
      </x:c>
      <x:c r="AK147" s="23" t="n">
        <x:f>MAX(0,MIN('Activities'!L147,198)-MAX('Activities'!K147,192))</x:f>
        <x:v>0</x:v>
      </x:c>
      <x:c r="AL147" s="23" t="n">
        <x:f>MAX(0,MIN('Activities'!L147,204)-MAX('Activities'!K147,198))</x:f>
        <x:v>0</x:v>
      </x:c>
      <x:c r="AM147" s="23" t="n">
        <x:f>MAX(0,MIN('Activities'!L147,210)-MAX('Activities'!K147,204))</x:f>
        <x:v>0</x:v>
      </x:c>
      <x:c r="AN147" s="23" t="n">
        <x:f>MAX(0,MIN('Activities'!L147,216)-MAX('Activities'!K147,210))</x:f>
        <x:v>0</x:v>
      </x:c>
      <x:c r="AO147" s="23" t="n">
        <x:f>MAX(0,MIN('Activities'!L147,222)-MAX('Activities'!K147,216))</x:f>
        <x:v>0</x:v>
      </x:c>
      <x:c r="AP147" s="23" t="n">
        <x:f>MAX(0,MIN('Activities'!L147,228)-MAX('Activities'!K147,222))</x:f>
        <x:v>0</x:v>
      </x:c>
      <x:c r="AQ147" s="23" t="n">
        <x:f>MAX(0,MIN('Activities'!L147,234)-MAX('Activities'!K147,228))</x:f>
        <x:v>0</x:v>
      </x:c>
      <x:c r="AR147" s="23" t="n">
        <x:f>MAX(0,MIN('Activities'!L147,240)-MAX('Activities'!K147,234))</x:f>
        <x:v>0</x:v>
      </x:c>
      <x:c r="AS147" s="23" t="n">
        <x:f>MAX(0,MIN('Activities'!L147,246)-MAX('Activities'!K147,240))</x:f>
        <x:v>0</x:v>
      </x:c>
      <x:c r="AT147" s="23" t="n">
        <x:f>MAX(0,MIN('Activities'!L147,252)-MAX('Activities'!K147,246))</x:f>
        <x:v>0</x:v>
      </x:c>
      <x:c r="AU147" s="23" t="n">
        <x:f>MAX(0,MIN('Activities'!L147,258)-MAX('Activities'!K147,252))</x:f>
        <x:v>0</x:v>
      </x:c>
      <x:c r="AV147" s="23" t="n">
        <x:f>MAX(0,MIN('Activities'!L147,264)-MAX('Activities'!K147,258))</x:f>
        <x:v>0</x:v>
      </x:c>
      <x:c r="AW147" s="23" t="n">
        <x:f>MAX(0,MIN('Activities'!L147,270)-MAX('Activities'!K147,264))</x:f>
        <x:v>0</x:v>
      </x:c>
      <x:c r="AX147" s="23" t="n">
        <x:f>MAX(0,MIN('Activities'!L147,276)-MAX('Activities'!K147,270))</x:f>
        <x:v>0</x:v>
      </x:c>
      <x:c r="AY147" s="23" t="n">
        <x:f>MAX(0,MIN('Activities'!L147,282)-MAX('Activities'!K147,276))</x:f>
        <x:v>0</x:v>
      </x:c>
      <x:c r="AZ147" s="23" t="n">
        <x:f>MAX(0,MIN('Activities'!L147,288)-MAX('Activities'!K147,282))</x:f>
        <x:v>0</x:v>
      </x:c>
      <x:c r="BA147" s="23" t="n">
        <x:f>MAX(0,MIN('Activities'!L147,294)-MAX('Activities'!K147,288))</x:f>
        <x:v>0</x:v>
      </x:c>
      <x:c r="BB147" s="23" t="n">
        <x:f>MAX(0,MIN('Activities'!L147,300)-MAX('Activities'!K147,294))</x:f>
        <x:v>0</x:v>
      </x:c>
      <x:c r="BC147" s="23" t="n">
        <x:f>MAX(0,MIN('Activities'!L147,306)-MAX('Activities'!K147,300))</x:f>
        <x:v>0</x:v>
      </x:c>
      <x:c r="BD147" s="23" t="n">
        <x:f>MAX(0,MIN('Activities'!L147,312)-MAX('Activities'!K147,306))</x:f>
        <x:v>0</x:v>
      </x:c>
      <x:c r="BE147" s="23" t="n">
        <x:f>MAX(0,MIN('Activities'!L147,318)-MAX('Activities'!K147,312))</x:f>
        <x:v>0</x:v>
      </x:c>
      <x:c r="BF147" s="23" t="n">
        <x:f>MAX(0,MIN('Activities'!L147,324)-MAX('Activities'!K147,318))</x:f>
        <x:v>0</x:v>
      </x:c>
      <x:c r="BG147" s="23" t="n">
        <x:f>MAX(0,MIN('Activities'!L147,330)-MAX('Activities'!K147,324))</x:f>
        <x:v>0</x:v>
      </x:c>
      <x:c r="BH147" s="23" t="n">
        <x:f>MAX(0,MIN('Activities'!L147,336)-MAX('Activities'!K147,330))</x:f>
        <x:v>0</x:v>
      </x:c>
      <x:c r="BI147" s="23" t="n">
        <x:f>MAX(0,MIN('Activities'!L147,342)-MAX('Activities'!K147,336))</x:f>
        <x:v>0</x:v>
      </x:c>
      <x:c r="BJ147" s="23" t="n">
        <x:f>MAX(0,MIN('Activities'!L147,348)-MAX('Activities'!K147,342))</x:f>
        <x:v>0</x:v>
      </x:c>
      <x:c r="BK147" s="23" t="n">
        <x:f>MAX(0,MIN('Activities'!L147,354)-MAX('Activities'!K147,348))</x:f>
        <x:v>0</x:v>
      </x:c>
      <x:c r="BL147" s="23" t="n">
        <x:f>MAX(0,MIN('Activities'!L147,360)-MAX('Activities'!K147,354))</x:f>
        <x:v>0</x:v>
      </x:c>
      <x:c r="BM147" s="23" t="n">
        <x:f>MAX(0,MIN('Activities'!L147,366)-MAX('Activities'!K147,360))</x:f>
        <x:v>0</x:v>
      </x:c>
      <x:c r="BN147" s="23" t="n">
        <x:f>MAX(0,MIN('Activities'!L147,372)-MAX('Activities'!K147,366))</x:f>
        <x:v>0</x:v>
      </x:c>
      <x:c r="BO147" s="23" t="n">
        <x:f>MAX(0,MIN('Activities'!L147,378)-MAX('Activities'!K147,372))</x:f>
        <x:v>0</x:v>
      </x:c>
      <x:c r="BP147" s="23" t="n">
        <x:f>MAX(0,MIN('Activities'!L147,384)-MAX('Activities'!K147,378))</x:f>
        <x:v>0</x:v>
      </x:c>
      <x:c r="BQ147" s="23" t="n">
        <x:f>MAX(0,MIN('Activities'!L147,390)-MAX('Activities'!K147,384))</x:f>
        <x:v>0</x:v>
      </x:c>
      <x:c r="BR147" s="23" t="n">
        <x:f>MAX(0,MIN('Activities'!L147,396)-MAX('Activities'!K147,390))</x:f>
        <x:v>0</x:v>
      </x:c>
      <x:c r="BS147" s="23" t="n">
        <x:f>MAX(0,MIN('Activities'!L147,402)-MAX('Activities'!K147,396))</x:f>
        <x:v>0</x:v>
      </x:c>
      <x:c r="BT147" s="23" t="n">
        <x:f>MAX(0,MIN('Activities'!L147,408)-MAX('Activities'!K147,402))</x:f>
        <x:v>0</x:v>
      </x:c>
      <x:c r="BU147" s="23" t="n">
        <x:f>MAX(0,MIN('Activities'!L147,414)-MAX('Activities'!K147,408))</x:f>
        <x:v>0</x:v>
      </x:c>
      <x:c r="BV147" s="23" t="n">
        <x:f>MAX(0,MIN('Activities'!L147,420)-MAX('Activities'!K147,414))</x:f>
        <x:v>5</x:v>
      </x:c>
      <x:c r="BW147" s="23" t="n">
        <x:f>MAX(0,MIN('Activities'!L147,426)-MAX('Activities'!K147,420))</x:f>
        <x:v>0</x:v>
      </x:c>
      <x:c r="BX147" s="23" t="n">
        <x:f>MAX(0,MIN('Activities'!L147,432)-MAX('Activities'!K147,426))</x:f>
        <x:v>0</x:v>
      </x:c>
      <x:c r="BY147" s="23" t="n">
        <x:f>MAX(0,MIN('Activities'!L147,438)-MAX('Activities'!K147,432))</x:f>
        <x:v>0</x:v>
      </x:c>
      <x:c r="BZ147" s="23" t="n">
        <x:f>MAX(0,MIN('Activities'!L147,444)-MAX('Activities'!K147,438))</x:f>
        <x:v>0</x:v>
      </x:c>
      <x:c r="CA147" s="23" t="n">
        <x:f>MAX(0,MIN('Activities'!L147,450)-MAX('Activities'!K147,444))</x:f>
        <x:v>0</x:v>
      </x:c>
      <x:c r="CB147" s="23" t="n">
        <x:f>MAX(0,MIN('Activities'!L147,456)-MAX('Activities'!K147,450))</x:f>
        <x:v>0</x:v>
      </x:c>
      <x:c r="CC147" s="23" t="n">
        <x:f>MAX(0,MIN('Activities'!L147,462)-MAX('Activities'!K147,456))</x:f>
        <x:v>0</x:v>
      </x:c>
      <x:c r="CD147" s="23" t="n">
        <x:f>MAX(0,MIN('Activities'!L147,468)-MAX('Activities'!K147,462))</x:f>
        <x:v>0</x:v>
      </x:c>
      <x:c r="CE147" s="23" t="n">
        <x:f>MAX(0,MIN('Activities'!L147,474)-MAX('Activities'!K147,468))</x:f>
        <x:v>0</x:v>
      </x:c>
      <x:c r="CF147" s="23" t="n">
        <x:f>MAX(0,MIN('Activities'!L147,480)-MAX('Activities'!K147,474))</x:f>
        <x:v>0</x:v>
      </x:c>
      <x:c r="CG147" s="23" t="n">
        <x:f>MAX(0,MIN('Activities'!L147,486)-MAX('Activities'!K147,480))</x:f>
        <x:v>0</x:v>
      </x:c>
      <x:c r="CH147" s="23" t="n">
        <x:f>MAX(0,MIN('Activities'!L147,492)-MAX('Activities'!K147,486))</x:f>
        <x:v>0</x:v>
      </x:c>
      <x:c r="CI147" s="23" t="n">
        <x:f>MAX(0,MIN('Activities'!L147,498)-MAX('Activities'!K147,492))</x:f>
        <x:v>0</x:v>
      </x:c>
      <x:c r="CJ147" s="23" t="n">
        <x:f>MAX(0,MIN('Activities'!L147,504)-MAX('Activities'!K147,498))</x:f>
        <x:v>0</x:v>
      </x:c>
      <x:c r="CK147" s="23" t="n">
        <x:f>MAX(0,MIN('Activities'!L147,510)-MAX('Activities'!K147,504))</x:f>
        <x:v>0</x:v>
      </x:c>
      <x:c r="CL147" s="23" t="n">
        <x:f>MAX(0,MIN('Activities'!L147,516)-MAX('Activities'!K147,510))</x:f>
        <x:v>0</x:v>
      </x:c>
      <x:c r="CM147" s="23" t="n">
        <x:f>MAX(0,MIN('Activities'!L147,522)-MAX('Activities'!K147,516))</x:f>
        <x:v>0</x:v>
      </x:c>
      <x:c r="CN147" s="23" t="n">
        <x:f>MAX(0,MIN('Activities'!L147,528)-MAX('Activities'!K147,522))</x:f>
        <x:v>0</x:v>
      </x:c>
      <x:c r="CO147" s="23" t="n">
        <x:f>MAX(0,MIN('Activities'!L147,534)-MAX('Activities'!K147,528))</x:f>
        <x:v>0</x:v>
      </x:c>
      <x:c r="CP147" s="23" t="n">
        <x:f>MAX(0,MIN('Activities'!L147,540)-MAX('Activities'!K147,534))</x:f>
        <x:v>0</x:v>
      </x:c>
      <x:c r="CQ147" s="23" t="n">
        <x:f>MAX(0,MIN('Activities'!L147,546)-MAX('Activities'!K147,540))</x:f>
        <x:v>0</x:v>
      </x:c>
      <x:c r="CR147" s="23" t="n">
        <x:f>MAX(0,MIN('Activities'!L147,552)-MAX('Activities'!K147,546))</x:f>
        <x:v>0</x:v>
      </x:c>
      <x:c r="CS147" s="23" t="n">
        <x:f>MAX(0,MIN('Activities'!L147,558)-MAX('Activities'!K147,552))</x:f>
        <x:v>0</x:v>
      </x:c>
      <x:c r="CT147" s="23" t="n">
        <x:f>MAX(0,MIN('Activities'!L147,564)-MAX('Activities'!K147,558))</x:f>
        <x:v>0</x:v>
      </x:c>
      <x:c r="CU147" s="23" t="n">
        <x:f>MAX(0,MIN('Activities'!L147,570)-MAX('Activities'!K147,564))</x:f>
        <x:v>0</x:v>
      </x:c>
      <x:c r="CV147" s="23" t="n">
        <x:f>MAX(0,MIN('Activities'!L147,576)-MAX('Activities'!K147,570))</x:f>
        <x:v>0</x:v>
      </x:c>
      <x:c r="CW147" s="23" t="n">
        <x:f>MAX(0,MIN('Activities'!L147,582)-MAX('Activities'!K147,576))</x:f>
        <x:v>0</x:v>
      </x:c>
      <x:c r="CX147" s="23" t="n">
        <x:f>MAX(0,MIN('Activities'!L147,588)-MAX('Activities'!K147,582))</x:f>
        <x:v>0</x:v>
      </x:c>
      <x:c r="CY147" s="23" t="n">
        <x:f>MAX(0,MIN('Activities'!L147,594)-MAX('Activities'!K147,588))</x:f>
        <x:v>0</x:v>
      </x:c>
      <x:c r="CZ147" s="23" t="n">
        <x:f>MAX(0,MIN('Activities'!L147,600)-MAX('Activities'!K147,594))</x:f>
        <x:v>0</x:v>
      </x:c>
      <x:c r="DA147" s="23" t="n">
        <x:f>MAX(0,MIN('Activities'!L147,606)-MAX('Activities'!K147,600))</x:f>
        <x:v>0</x:v>
      </x:c>
      <x:c r="DB147" s="23" t="n">
        <x:f>MAX(0,MIN('Activities'!L147,612)-MAX('Activities'!K147,606))</x:f>
        <x:v>0</x:v>
      </x:c>
      <x:c r="DC147" s="23" t="n">
        <x:f>MAX(0,MIN('Activities'!L147,618)-MAX('Activities'!K147,612))</x:f>
        <x:v>0</x:v>
      </x:c>
      <x:c r="DD147" s="23" t="n">
        <x:f>MAX(0,MIN('Activities'!L147,624)-MAX('Activities'!K147,618))</x:f>
        <x:v>0</x:v>
      </x:c>
      <x:c r="DE147" s="23" t="n">
        <x:f>MAX(0,MIN('Activities'!L147,630)-MAX('Activities'!K147,624))</x:f>
        <x:v>0</x:v>
      </x:c>
      <x:c r="DF147" s="23" t="n">
        <x:f>MAX(0,MIN('Activities'!L147,636)-MAX('Activities'!K147,630))</x:f>
        <x:v>0</x:v>
      </x:c>
    </x:row>
    <x:row r="148" ht="23" customHeight="1">
      <x:c r="A148" s="6" t="str">
        <x:v>T1-L12-D</x:v>
      </x:c>
      <x:c r="B148" s="6" t="str">
        <x:v>T1</x:v>
      </x:c>
      <x:c r="C148" s="6" t="str">
        <x:v>Door sets and ironmongery</x:v>
      </x:c>
      <x:c r="D148" s="6" t="str">
        <x:v>Finishes</x:v>
      </x:c>
      <x:c r="E148" s="22" t="n">
        <x:f>MAX(0,MIN('Activities'!L148,6)-MAX('Activities'!K148,0))</x:f>
        <x:v>0</x:v>
      </x:c>
      <x:c r="F148" s="22" t="n">
        <x:f>MAX(0,MIN('Activities'!L148,12)-MAX('Activities'!K148,6))</x:f>
        <x:v>0</x:v>
      </x:c>
      <x:c r="G148" s="22" t="n">
        <x:f>MAX(0,MIN('Activities'!L148,18)-MAX('Activities'!K148,12))</x:f>
        <x:v>0</x:v>
      </x:c>
      <x:c r="H148" s="22" t="n">
        <x:f>MAX(0,MIN('Activities'!L148,24)-MAX('Activities'!K148,18))</x:f>
        <x:v>0</x:v>
      </x:c>
      <x:c r="I148" s="22" t="n">
        <x:f>MAX(0,MIN('Activities'!L148,30)-MAX('Activities'!K148,24))</x:f>
        <x:v>0</x:v>
      </x:c>
      <x:c r="J148" s="22" t="n">
        <x:f>MAX(0,MIN('Activities'!L148,36)-MAX('Activities'!K148,30))</x:f>
        <x:v>0</x:v>
      </x:c>
      <x:c r="K148" s="22" t="n">
        <x:f>MAX(0,MIN('Activities'!L148,42)-MAX('Activities'!K148,36))</x:f>
        <x:v>0</x:v>
      </x:c>
      <x:c r="L148" s="22" t="n">
        <x:f>MAX(0,MIN('Activities'!L148,48)-MAX('Activities'!K148,42))</x:f>
        <x:v>0</x:v>
      </x:c>
      <x:c r="M148" s="22" t="n">
        <x:f>MAX(0,MIN('Activities'!L148,54)-MAX('Activities'!K148,48))</x:f>
        <x:v>0</x:v>
      </x:c>
      <x:c r="N148" s="22" t="n">
        <x:f>MAX(0,MIN('Activities'!L148,60)-MAX('Activities'!K148,54))</x:f>
        <x:v>0</x:v>
      </x:c>
      <x:c r="O148" s="22" t="n">
        <x:f>MAX(0,MIN('Activities'!L148,66)-MAX('Activities'!K148,60))</x:f>
        <x:v>0</x:v>
      </x:c>
      <x:c r="P148" s="22" t="n">
        <x:f>MAX(0,MIN('Activities'!L148,72)-MAX('Activities'!K148,66))</x:f>
        <x:v>0</x:v>
      </x:c>
      <x:c r="Q148" s="22" t="n">
        <x:f>MAX(0,MIN('Activities'!L148,78)-MAX('Activities'!K148,72))</x:f>
        <x:v>0</x:v>
      </x:c>
      <x:c r="R148" s="22" t="n">
        <x:f>MAX(0,MIN('Activities'!L148,84)-MAX('Activities'!K148,78))</x:f>
        <x:v>0</x:v>
      </x:c>
      <x:c r="S148" s="22" t="n">
        <x:f>MAX(0,MIN('Activities'!L148,90)-MAX('Activities'!K148,84))</x:f>
        <x:v>0</x:v>
      </x:c>
      <x:c r="T148" s="22" t="n">
        <x:f>MAX(0,MIN('Activities'!L148,96)-MAX('Activities'!K148,90))</x:f>
        <x:v>0</x:v>
      </x:c>
      <x:c r="U148" s="22" t="n">
        <x:f>MAX(0,MIN('Activities'!L148,102)-MAX('Activities'!K148,96))</x:f>
        <x:v>0</x:v>
      </x:c>
      <x:c r="V148" s="22" t="n">
        <x:f>MAX(0,MIN('Activities'!L148,108)-MAX('Activities'!K148,102))</x:f>
        <x:v>0</x:v>
      </x:c>
      <x:c r="W148" s="22" t="n">
        <x:f>MAX(0,MIN('Activities'!L148,114)-MAX('Activities'!K148,108))</x:f>
        <x:v>0</x:v>
      </x:c>
      <x:c r="X148" s="22" t="n">
        <x:f>MAX(0,MIN('Activities'!L148,120)-MAX('Activities'!K148,114))</x:f>
        <x:v>0</x:v>
      </x:c>
      <x:c r="Y148" s="22" t="n">
        <x:f>MAX(0,MIN('Activities'!L148,126)-MAX('Activities'!K148,120))</x:f>
        <x:v>0</x:v>
      </x:c>
      <x:c r="Z148" s="22" t="n">
        <x:f>MAX(0,MIN('Activities'!L148,132)-MAX('Activities'!K148,126))</x:f>
        <x:v>0</x:v>
      </x:c>
      <x:c r="AA148" s="22" t="n">
        <x:f>MAX(0,MIN('Activities'!L148,138)-MAX('Activities'!K148,132))</x:f>
        <x:v>0</x:v>
      </x:c>
      <x:c r="AB148" s="22" t="n">
        <x:f>MAX(0,MIN('Activities'!L148,144)-MAX('Activities'!K148,138))</x:f>
        <x:v>0</x:v>
      </x:c>
      <x:c r="AC148" s="22" t="n">
        <x:f>MAX(0,MIN('Activities'!L148,150)-MAX('Activities'!K148,144))</x:f>
        <x:v>0</x:v>
      </x:c>
      <x:c r="AD148" s="22" t="n">
        <x:f>MAX(0,MIN('Activities'!L148,156)-MAX('Activities'!K148,150))</x:f>
        <x:v>0</x:v>
      </x:c>
      <x:c r="AE148" s="22" t="n">
        <x:f>MAX(0,MIN('Activities'!L148,162)-MAX('Activities'!K148,156))</x:f>
        <x:v>0</x:v>
      </x:c>
      <x:c r="AF148" s="22" t="n">
        <x:f>MAX(0,MIN('Activities'!L148,168)-MAX('Activities'!K148,162))</x:f>
        <x:v>0</x:v>
      </x:c>
      <x:c r="AG148" s="22" t="n">
        <x:f>MAX(0,MIN('Activities'!L148,174)-MAX('Activities'!K148,168))</x:f>
        <x:v>0</x:v>
      </x:c>
      <x:c r="AH148" s="22" t="n">
        <x:f>MAX(0,MIN('Activities'!L148,180)-MAX('Activities'!K148,174))</x:f>
        <x:v>0</x:v>
      </x:c>
      <x:c r="AI148" s="22" t="n">
        <x:f>MAX(0,MIN('Activities'!L148,186)-MAX('Activities'!K148,180))</x:f>
        <x:v>0</x:v>
      </x:c>
      <x:c r="AJ148" s="22" t="n">
        <x:f>MAX(0,MIN('Activities'!L148,192)-MAX('Activities'!K148,186))</x:f>
        <x:v>0</x:v>
      </x:c>
      <x:c r="AK148" s="22" t="n">
        <x:f>MAX(0,MIN('Activities'!L148,198)-MAX('Activities'!K148,192))</x:f>
        <x:v>0</x:v>
      </x:c>
      <x:c r="AL148" s="22" t="n">
        <x:f>MAX(0,MIN('Activities'!L148,204)-MAX('Activities'!K148,198))</x:f>
        <x:v>0</x:v>
      </x:c>
      <x:c r="AM148" s="22" t="n">
        <x:f>MAX(0,MIN('Activities'!L148,210)-MAX('Activities'!K148,204))</x:f>
        <x:v>0</x:v>
      </x:c>
      <x:c r="AN148" s="22" t="n">
        <x:f>MAX(0,MIN('Activities'!L148,216)-MAX('Activities'!K148,210))</x:f>
        <x:v>0</x:v>
      </x:c>
      <x:c r="AO148" s="22" t="n">
        <x:f>MAX(0,MIN('Activities'!L148,222)-MAX('Activities'!K148,216))</x:f>
        <x:v>0</x:v>
      </x:c>
      <x:c r="AP148" s="22" t="n">
        <x:f>MAX(0,MIN('Activities'!L148,228)-MAX('Activities'!K148,222))</x:f>
        <x:v>0</x:v>
      </x:c>
      <x:c r="AQ148" s="22" t="n">
        <x:f>MAX(0,MIN('Activities'!L148,234)-MAX('Activities'!K148,228))</x:f>
        <x:v>0</x:v>
      </x:c>
      <x:c r="AR148" s="22" t="n">
        <x:f>MAX(0,MIN('Activities'!L148,240)-MAX('Activities'!K148,234))</x:f>
        <x:v>0</x:v>
      </x:c>
      <x:c r="AS148" s="22" t="n">
        <x:f>MAX(0,MIN('Activities'!L148,246)-MAX('Activities'!K148,240))</x:f>
        <x:v>0</x:v>
      </x:c>
      <x:c r="AT148" s="22" t="n">
        <x:f>MAX(0,MIN('Activities'!L148,252)-MAX('Activities'!K148,246))</x:f>
        <x:v>0</x:v>
      </x:c>
      <x:c r="AU148" s="22" t="n">
        <x:f>MAX(0,MIN('Activities'!L148,258)-MAX('Activities'!K148,252))</x:f>
        <x:v>0</x:v>
      </x:c>
      <x:c r="AV148" s="22" t="n">
        <x:f>MAX(0,MIN('Activities'!L148,264)-MAX('Activities'!K148,258))</x:f>
        <x:v>0</x:v>
      </x:c>
      <x:c r="AW148" s="22" t="n">
        <x:f>MAX(0,MIN('Activities'!L148,270)-MAX('Activities'!K148,264))</x:f>
        <x:v>0</x:v>
      </x:c>
      <x:c r="AX148" s="22" t="n">
        <x:f>MAX(0,MIN('Activities'!L148,276)-MAX('Activities'!K148,270))</x:f>
        <x:v>0</x:v>
      </x:c>
      <x:c r="AY148" s="22" t="n">
        <x:f>MAX(0,MIN('Activities'!L148,282)-MAX('Activities'!K148,276))</x:f>
        <x:v>0</x:v>
      </x:c>
      <x:c r="AZ148" s="22" t="n">
        <x:f>MAX(0,MIN('Activities'!L148,288)-MAX('Activities'!K148,282))</x:f>
        <x:v>0</x:v>
      </x:c>
      <x:c r="BA148" s="22" t="n">
        <x:f>MAX(0,MIN('Activities'!L148,294)-MAX('Activities'!K148,288))</x:f>
        <x:v>0</x:v>
      </x:c>
      <x:c r="BB148" s="22" t="n">
        <x:f>MAX(0,MIN('Activities'!L148,300)-MAX('Activities'!K148,294))</x:f>
        <x:v>0</x:v>
      </x:c>
      <x:c r="BC148" s="22" t="n">
        <x:f>MAX(0,MIN('Activities'!L148,306)-MAX('Activities'!K148,300))</x:f>
        <x:v>0</x:v>
      </x:c>
      <x:c r="BD148" s="22" t="n">
        <x:f>MAX(0,MIN('Activities'!L148,312)-MAX('Activities'!K148,306))</x:f>
        <x:v>0</x:v>
      </x:c>
      <x:c r="BE148" s="22" t="n">
        <x:f>MAX(0,MIN('Activities'!L148,318)-MAX('Activities'!K148,312))</x:f>
        <x:v>0</x:v>
      </x:c>
      <x:c r="BF148" s="22" t="n">
        <x:f>MAX(0,MIN('Activities'!L148,324)-MAX('Activities'!K148,318))</x:f>
        <x:v>0</x:v>
      </x:c>
      <x:c r="BG148" s="22" t="n">
        <x:f>MAX(0,MIN('Activities'!L148,330)-MAX('Activities'!K148,324))</x:f>
        <x:v>0</x:v>
      </x:c>
      <x:c r="BH148" s="22" t="n">
        <x:f>MAX(0,MIN('Activities'!L148,336)-MAX('Activities'!K148,330))</x:f>
        <x:v>0</x:v>
      </x:c>
      <x:c r="BI148" s="22" t="n">
        <x:f>MAX(0,MIN('Activities'!L148,342)-MAX('Activities'!K148,336))</x:f>
        <x:v>0</x:v>
      </x:c>
      <x:c r="BJ148" s="22" t="n">
        <x:f>MAX(0,MIN('Activities'!L148,348)-MAX('Activities'!K148,342))</x:f>
        <x:v>0</x:v>
      </x:c>
      <x:c r="BK148" s="22" t="n">
        <x:f>MAX(0,MIN('Activities'!L148,354)-MAX('Activities'!K148,348))</x:f>
        <x:v>0</x:v>
      </x:c>
      <x:c r="BL148" s="22" t="n">
        <x:f>MAX(0,MIN('Activities'!L148,360)-MAX('Activities'!K148,354))</x:f>
        <x:v>0</x:v>
      </x:c>
      <x:c r="BM148" s="22" t="n">
        <x:f>MAX(0,MIN('Activities'!L148,366)-MAX('Activities'!K148,360))</x:f>
        <x:v>0</x:v>
      </x:c>
      <x:c r="BN148" s="22" t="n">
        <x:f>MAX(0,MIN('Activities'!L148,372)-MAX('Activities'!K148,366))</x:f>
        <x:v>0</x:v>
      </x:c>
      <x:c r="BO148" s="22" t="n">
        <x:f>MAX(0,MIN('Activities'!L148,378)-MAX('Activities'!K148,372))</x:f>
        <x:v>0</x:v>
      </x:c>
      <x:c r="BP148" s="22" t="n">
        <x:f>MAX(0,MIN('Activities'!L148,384)-MAX('Activities'!K148,378))</x:f>
        <x:v>0</x:v>
      </x:c>
      <x:c r="BQ148" s="22" t="n">
        <x:f>MAX(0,MIN('Activities'!L148,390)-MAX('Activities'!K148,384))</x:f>
        <x:v>0</x:v>
      </x:c>
      <x:c r="BR148" s="22" t="n">
        <x:f>MAX(0,MIN('Activities'!L148,396)-MAX('Activities'!K148,390))</x:f>
        <x:v>0</x:v>
      </x:c>
      <x:c r="BS148" s="22" t="n">
        <x:f>MAX(0,MIN('Activities'!L148,402)-MAX('Activities'!K148,396))</x:f>
        <x:v>0</x:v>
      </x:c>
      <x:c r="BT148" s="22" t="n">
        <x:f>MAX(0,MIN('Activities'!L148,408)-MAX('Activities'!K148,402))</x:f>
        <x:v>0</x:v>
      </x:c>
      <x:c r="BU148" s="22" t="n">
        <x:f>MAX(0,MIN('Activities'!L148,414)-MAX('Activities'!K148,408))</x:f>
        <x:v>0</x:v>
      </x:c>
      <x:c r="BV148" s="22" t="n">
        <x:f>MAX(0,MIN('Activities'!L148,420)-MAX('Activities'!K148,414))</x:f>
        <x:v>1</x:v>
      </x:c>
      <x:c r="BW148" s="22" t="n">
        <x:f>MAX(0,MIN('Activities'!L148,426)-MAX('Activities'!K148,420))</x:f>
        <x:v>2</x:v>
      </x:c>
      <x:c r="BX148" s="22" t="n">
        <x:f>MAX(0,MIN('Activities'!L148,432)-MAX('Activities'!K148,426))</x:f>
        <x:v>0</x:v>
      </x:c>
      <x:c r="BY148" s="22" t="n">
        <x:f>MAX(0,MIN('Activities'!L148,438)-MAX('Activities'!K148,432))</x:f>
        <x:v>0</x:v>
      </x:c>
      <x:c r="BZ148" s="22" t="n">
        <x:f>MAX(0,MIN('Activities'!L148,444)-MAX('Activities'!K148,438))</x:f>
        <x:v>0</x:v>
      </x:c>
      <x:c r="CA148" s="22" t="n">
        <x:f>MAX(0,MIN('Activities'!L148,450)-MAX('Activities'!K148,444))</x:f>
        <x:v>0</x:v>
      </x:c>
      <x:c r="CB148" s="22" t="n">
        <x:f>MAX(0,MIN('Activities'!L148,456)-MAX('Activities'!K148,450))</x:f>
        <x:v>0</x:v>
      </x:c>
      <x:c r="CC148" s="22" t="n">
        <x:f>MAX(0,MIN('Activities'!L148,462)-MAX('Activities'!K148,456))</x:f>
        <x:v>0</x:v>
      </x:c>
      <x:c r="CD148" s="22" t="n">
        <x:f>MAX(0,MIN('Activities'!L148,468)-MAX('Activities'!K148,462))</x:f>
        <x:v>0</x:v>
      </x:c>
      <x:c r="CE148" s="22" t="n">
        <x:f>MAX(0,MIN('Activities'!L148,474)-MAX('Activities'!K148,468))</x:f>
        <x:v>0</x:v>
      </x:c>
      <x:c r="CF148" s="22" t="n">
        <x:f>MAX(0,MIN('Activities'!L148,480)-MAX('Activities'!K148,474))</x:f>
        <x:v>0</x:v>
      </x:c>
      <x:c r="CG148" s="22" t="n">
        <x:f>MAX(0,MIN('Activities'!L148,486)-MAX('Activities'!K148,480))</x:f>
        <x:v>0</x:v>
      </x:c>
      <x:c r="CH148" s="22" t="n">
        <x:f>MAX(0,MIN('Activities'!L148,492)-MAX('Activities'!K148,486))</x:f>
        <x:v>0</x:v>
      </x:c>
      <x:c r="CI148" s="22" t="n">
        <x:f>MAX(0,MIN('Activities'!L148,498)-MAX('Activities'!K148,492))</x:f>
        <x:v>0</x:v>
      </x:c>
      <x:c r="CJ148" s="22" t="n">
        <x:f>MAX(0,MIN('Activities'!L148,504)-MAX('Activities'!K148,498))</x:f>
        <x:v>0</x:v>
      </x:c>
      <x:c r="CK148" s="22" t="n">
        <x:f>MAX(0,MIN('Activities'!L148,510)-MAX('Activities'!K148,504))</x:f>
        <x:v>0</x:v>
      </x:c>
      <x:c r="CL148" s="22" t="n">
        <x:f>MAX(0,MIN('Activities'!L148,516)-MAX('Activities'!K148,510))</x:f>
        <x:v>0</x:v>
      </x:c>
      <x:c r="CM148" s="22" t="n">
        <x:f>MAX(0,MIN('Activities'!L148,522)-MAX('Activities'!K148,516))</x:f>
        <x:v>0</x:v>
      </x:c>
      <x:c r="CN148" s="22" t="n">
        <x:f>MAX(0,MIN('Activities'!L148,528)-MAX('Activities'!K148,522))</x:f>
        <x:v>0</x:v>
      </x:c>
      <x:c r="CO148" s="22" t="n">
        <x:f>MAX(0,MIN('Activities'!L148,534)-MAX('Activities'!K148,528))</x:f>
        <x:v>0</x:v>
      </x:c>
      <x:c r="CP148" s="22" t="n">
        <x:f>MAX(0,MIN('Activities'!L148,540)-MAX('Activities'!K148,534))</x:f>
        <x:v>0</x:v>
      </x:c>
      <x:c r="CQ148" s="22" t="n">
        <x:f>MAX(0,MIN('Activities'!L148,546)-MAX('Activities'!K148,540))</x:f>
        <x:v>0</x:v>
      </x:c>
      <x:c r="CR148" s="22" t="n">
        <x:f>MAX(0,MIN('Activities'!L148,552)-MAX('Activities'!K148,546))</x:f>
        <x:v>0</x:v>
      </x:c>
      <x:c r="CS148" s="22" t="n">
        <x:f>MAX(0,MIN('Activities'!L148,558)-MAX('Activities'!K148,552))</x:f>
        <x:v>0</x:v>
      </x:c>
      <x:c r="CT148" s="22" t="n">
        <x:f>MAX(0,MIN('Activities'!L148,564)-MAX('Activities'!K148,558))</x:f>
        <x:v>0</x:v>
      </x:c>
      <x:c r="CU148" s="22" t="n">
        <x:f>MAX(0,MIN('Activities'!L148,570)-MAX('Activities'!K148,564))</x:f>
        <x:v>0</x:v>
      </x:c>
      <x:c r="CV148" s="22" t="n">
        <x:f>MAX(0,MIN('Activities'!L148,576)-MAX('Activities'!K148,570))</x:f>
        <x:v>0</x:v>
      </x:c>
      <x:c r="CW148" s="22" t="n">
        <x:f>MAX(0,MIN('Activities'!L148,582)-MAX('Activities'!K148,576))</x:f>
        <x:v>0</x:v>
      </x:c>
      <x:c r="CX148" s="22" t="n">
        <x:f>MAX(0,MIN('Activities'!L148,588)-MAX('Activities'!K148,582))</x:f>
        <x:v>0</x:v>
      </x:c>
      <x:c r="CY148" s="22" t="n">
        <x:f>MAX(0,MIN('Activities'!L148,594)-MAX('Activities'!K148,588))</x:f>
        <x:v>0</x:v>
      </x:c>
      <x:c r="CZ148" s="22" t="n">
        <x:f>MAX(0,MIN('Activities'!L148,600)-MAX('Activities'!K148,594))</x:f>
        <x:v>0</x:v>
      </x:c>
      <x:c r="DA148" s="22" t="n">
        <x:f>MAX(0,MIN('Activities'!L148,606)-MAX('Activities'!K148,600))</x:f>
        <x:v>0</x:v>
      </x:c>
      <x:c r="DB148" s="22" t="n">
        <x:f>MAX(0,MIN('Activities'!L148,612)-MAX('Activities'!K148,606))</x:f>
        <x:v>0</x:v>
      </x:c>
      <x:c r="DC148" s="22" t="n">
        <x:f>MAX(0,MIN('Activities'!L148,618)-MAX('Activities'!K148,612))</x:f>
        <x:v>0</x:v>
      </x:c>
      <x:c r="DD148" s="22" t="n">
        <x:f>MAX(0,MIN('Activities'!L148,624)-MAX('Activities'!K148,618))</x:f>
        <x:v>0</x:v>
      </x:c>
      <x:c r="DE148" s="22" t="n">
        <x:f>MAX(0,MIN('Activities'!L148,630)-MAX('Activities'!K148,624))</x:f>
        <x:v>0</x:v>
      </x:c>
      <x:c r="DF148" s="22" t="n">
        <x:f>MAX(0,MIN('Activities'!L148,636)-MAX('Activities'!K148,630))</x:f>
        <x:v>0</x:v>
      </x:c>
    </x:row>
    <x:row r="149" ht="23" customHeight="1">
      <x:c r="A149" s="1" t="str">
        <x:v>T2-L00-F</x:v>
      </x:c>
      <x:c r="B149" s="1" t="str">
        <x:v>T2</x:v>
      </x:c>
      <x:c r="C149" s="1" t="str">
        <x:v>Columns, core and deck formwork</x:v>
      </x:c>
      <x:c r="D149" s="1" t="str">
        <x:v>Formwork</x:v>
      </x:c>
      <x:c r="E149" s="23" t="n">
        <x:f>MAX(0,MIN('Activities'!L149,6)-MAX('Activities'!K149,0))</x:f>
        <x:v>0</x:v>
      </x:c>
      <x:c r="F149" s="23" t="n">
        <x:f>MAX(0,MIN('Activities'!L149,12)-MAX('Activities'!K149,6))</x:f>
        <x:v>0</x:v>
      </x:c>
      <x:c r="G149" s="23" t="n">
        <x:f>MAX(0,MIN('Activities'!L149,18)-MAX('Activities'!K149,12))</x:f>
        <x:v>0</x:v>
      </x:c>
      <x:c r="H149" s="23" t="n">
        <x:f>MAX(0,MIN('Activities'!L149,24)-MAX('Activities'!K149,18))</x:f>
        <x:v>0</x:v>
      </x:c>
      <x:c r="I149" s="23" t="n">
        <x:f>MAX(0,MIN('Activities'!L149,30)-MAX('Activities'!K149,24))</x:f>
        <x:v>0</x:v>
      </x:c>
      <x:c r="J149" s="23" t="n">
        <x:f>MAX(0,MIN('Activities'!L149,36)-MAX('Activities'!K149,30))</x:f>
        <x:v>0</x:v>
      </x:c>
      <x:c r="K149" s="23" t="n">
        <x:f>MAX(0,MIN('Activities'!L149,42)-MAX('Activities'!K149,36))</x:f>
        <x:v>0</x:v>
      </x:c>
      <x:c r="L149" s="23" t="n">
        <x:f>MAX(0,MIN('Activities'!L149,48)-MAX('Activities'!K149,42))</x:f>
        <x:v>0</x:v>
      </x:c>
      <x:c r="M149" s="23" t="n">
        <x:f>MAX(0,MIN('Activities'!L149,54)-MAX('Activities'!K149,48))</x:f>
        <x:v>0</x:v>
      </x:c>
      <x:c r="N149" s="23" t="n">
        <x:f>MAX(0,MIN('Activities'!L149,60)-MAX('Activities'!K149,54))</x:f>
        <x:v>0</x:v>
      </x:c>
      <x:c r="O149" s="23" t="n">
        <x:f>MAX(0,MIN('Activities'!L149,66)-MAX('Activities'!K149,60))</x:f>
        <x:v>0</x:v>
      </x:c>
      <x:c r="P149" s="23" t="n">
        <x:f>MAX(0,MIN('Activities'!L149,72)-MAX('Activities'!K149,66))</x:f>
        <x:v>0</x:v>
      </x:c>
      <x:c r="Q149" s="23" t="n">
        <x:f>MAX(0,MIN('Activities'!L149,78)-MAX('Activities'!K149,72))</x:f>
        <x:v>0</x:v>
      </x:c>
      <x:c r="R149" s="23" t="n">
        <x:f>MAX(0,MIN('Activities'!L149,84)-MAX('Activities'!K149,78))</x:f>
        <x:v>0</x:v>
      </x:c>
      <x:c r="S149" s="23" t="n">
        <x:f>MAX(0,MIN('Activities'!L149,90)-MAX('Activities'!K149,84))</x:f>
        <x:v>0</x:v>
      </x:c>
      <x:c r="T149" s="23" t="n">
        <x:f>MAX(0,MIN('Activities'!L149,96)-MAX('Activities'!K149,90))</x:f>
        <x:v>0</x:v>
      </x:c>
      <x:c r="U149" s="23" t="n">
        <x:f>MAX(0,MIN('Activities'!L149,102)-MAX('Activities'!K149,96))</x:f>
        <x:v>0</x:v>
      </x:c>
      <x:c r="V149" s="23" t="n">
        <x:f>MAX(0,MIN('Activities'!L149,108)-MAX('Activities'!K149,102))</x:f>
        <x:v>0</x:v>
      </x:c>
      <x:c r="W149" s="23" t="n">
        <x:f>MAX(0,MIN('Activities'!L149,114)-MAX('Activities'!K149,108))</x:f>
        <x:v>0</x:v>
      </x:c>
      <x:c r="X149" s="23" t="n">
        <x:f>MAX(0,MIN('Activities'!L149,120)-MAX('Activities'!K149,114))</x:f>
        <x:v>0</x:v>
      </x:c>
      <x:c r="Y149" s="23" t="n">
        <x:f>MAX(0,MIN('Activities'!L149,126)-MAX('Activities'!K149,120))</x:f>
        <x:v>0</x:v>
      </x:c>
      <x:c r="Z149" s="23" t="n">
        <x:f>MAX(0,MIN('Activities'!L149,132)-MAX('Activities'!K149,126))</x:f>
        <x:v>0</x:v>
      </x:c>
      <x:c r="AA149" s="23" t="n">
        <x:f>MAX(0,MIN('Activities'!L149,138)-MAX('Activities'!K149,132))</x:f>
        <x:v>0</x:v>
      </x:c>
      <x:c r="AB149" s="23" t="n">
        <x:f>MAX(0,MIN('Activities'!L149,144)-MAX('Activities'!K149,138))</x:f>
        <x:v>0</x:v>
      </x:c>
      <x:c r="AC149" s="23" t="n">
        <x:f>MAX(0,MIN('Activities'!L149,150)-MAX('Activities'!K149,144))</x:f>
        <x:v>4</x:v>
      </x:c>
      <x:c r="AD149" s="23" t="n">
        <x:f>MAX(0,MIN('Activities'!L149,156)-MAX('Activities'!K149,150))</x:f>
        <x:v>2</x:v>
      </x:c>
      <x:c r="AE149" s="23" t="n">
        <x:f>MAX(0,MIN('Activities'!L149,162)-MAX('Activities'!K149,156))</x:f>
        <x:v>0</x:v>
      </x:c>
      <x:c r="AF149" s="23" t="n">
        <x:f>MAX(0,MIN('Activities'!L149,168)-MAX('Activities'!K149,162))</x:f>
        <x:v>0</x:v>
      </x:c>
      <x:c r="AG149" s="23" t="n">
        <x:f>MAX(0,MIN('Activities'!L149,174)-MAX('Activities'!K149,168))</x:f>
        <x:v>0</x:v>
      </x:c>
      <x:c r="AH149" s="23" t="n">
        <x:f>MAX(0,MIN('Activities'!L149,180)-MAX('Activities'!K149,174))</x:f>
        <x:v>0</x:v>
      </x:c>
      <x:c r="AI149" s="23" t="n">
        <x:f>MAX(0,MIN('Activities'!L149,186)-MAX('Activities'!K149,180))</x:f>
        <x:v>0</x:v>
      </x:c>
      <x:c r="AJ149" s="23" t="n">
        <x:f>MAX(0,MIN('Activities'!L149,192)-MAX('Activities'!K149,186))</x:f>
        <x:v>0</x:v>
      </x:c>
      <x:c r="AK149" s="23" t="n">
        <x:f>MAX(0,MIN('Activities'!L149,198)-MAX('Activities'!K149,192))</x:f>
        <x:v>0</x:v>
      </x:c>
      <x:c r="AL149" s="23" t="n">
        <x:f>MAX(0,MIN('Activities'!L149,204)-MAX('Activities'!K149,198))</x:f>
        <x:v>0</x:v>
      </x:c>
      <x:c r="AM149" s="23" t="n">
        <x:f>MAX(0,MIN('Activities'!L149,210)-MAX('Activities'!K149,204))</x:f>
        <x:v>0</x:v>
      </x:c>
      <x:c r="AN149" s="23" t="n">
        <x:f>MAX(0,MIN('Activities'!L149,216)-MAX('Activities'!K149,210))</x:f>
        <x:v>0</x:v>
      </x:c>
      <x:c r="AO149" s="23" t="n">
        <x:f>MAX(0,MIN('Activities'!L149,222)-MAX('Activities'!K149,216))</x:f>
        <x:v>0</x:v>
      </x:c>
      <x:c r="AP149" s="23" t="n">
        <x:f>MAX(0,MIN('Activities'!L149,228)-MAX('Activities'!K149,222))</x:f>
        <x:v>0</x:v>
      </x:c>
      <x:c r="AQ149" s="23" t="n">
        <x:f>MAX(0,MIN('Activities'!L149,234)-MAX('Activities'!K149,228))</x:f>
        <x:v>0</x:v>
      </x:c>
      <x:c r="AR149" s="23" t="n">
        <x:f>MAX(0,MIN('Activities'!L149,240)-MAX('Activities'!K149,234))</x:f>
        <x:v>0</x:v>
      </x:c>
      <x:c r="AS149" s="23" t="n">
        <x:f>MAX(0,MIN('Activities'!L149,246)-MAX('Activities'!K149,240))</x:f>
        <x:v>0</x:v>
      </x:c>
      <x:c r="AT149" s="23" t="n">
        <x:f>MAX(0,MIN('Activities'!L149,252)-MAX('Activities'!K149,246))</x:f>
        <x:v>0</x:v>
      </x:c>
      <x:c r="AU149" s="23" t="n">
        <x:f>MAX(0,MIN('Activities'!L149,258)-MAX('Activities'!K149,252))</x:f>
        <x:v>0</x:v>
      </x:c>
      <x:c r="AV149" s="23" t="n">
        <x:f>MAX(0,MIN('Activities'!L149,264)-MAX('Activities'!K149,258))</x:f>
        <x:v>0</x:v>
      </x:c>
      <x:c r="AW149" s="23" t="n">
        <x:f>MAX(0,MIN('Activities'!L149,270)-MAX('Activities'!K149,264))</x:f>
        <x:v>0</x:v>
      </x:c>
      <x:c r="AX149" s="23" t="n">
        <x:f>MAX(0,MIN('Activities'!L149,276)-MAX('Activities'!K149,270))</x:f>
        <x:v>0</x:v>
      </x:c>
      <x:c r="AY149" s="23" t="n">
        <x:f>MAX(0,MIN('Activities'!L149,282)-MAX('Activities'!K149,276))</x:f>
        <x:v>0</x:v>
      </x:c>
      <x:c r="AZ149" s="23" t="n">
        <x:f>MAX(0,MIN('Activities'!L149,288)-MAX('Activities'!K149,282))</x:f>
        <x:v>0</x:v>
      </x:c>
      <x:c r="BA149" s="23" t="n">
        <x:f>MAX(0,MIN('Activities'!L149,294)-MAX('Activities'!K149,288))</x:f>
        <x:v>0</x:v>
      </x:c>
      <x:c r="BB149" s="23" t="n">
        <x:f>MAX(0,MIN('Activities'!L149,300)-MAX('Activities'!K149,294))</x:f>
        <x:v>0</x:v>
      </x:c>
      <x:c r="BC149" s="23" t="n">
        <x:f>MAX(0,MIN('Activities'!L149,306)-MAX('Activities'!K149,300))</x:f>
        <x:v>0</x:v>
      </x:c>
      <x:c r="BD149" s="23" t="n">
        <x:f>MAX(0,MIN('Activities'!L149,312)-MAX('Activities'!K149,306))</x:f>
        <x:v>0</x:v>
      </x:c>
      <x:c r="BE149" s="23" t="n">
        <x:f>MAX(0,MIN('Activities'!L149,318)-MAX('Activities'!K149,312))</x:f>
        <x:v>0</x:v>
      </x:c>
      <x:c r="BF149" s="23" t="n">
        <x:f>MAX(0,MIN('Activities'!L149,324)-MAX('Activities'!K149,318))</x:f>
        <x:v>0</x:v>
      </x:c>
      <x:c r="BG149" s="23" t="n">
        <x:f>MAX(0,MIN('Activities'!L149,330)-MAX('Activities'!K149,324))</x:f>
        <x:v>0</x:v>
      </x:c>
      <x:c r="BH149" s="23" t="n">
        <x:f>MAX(0,MIN('Activities'!L149,336)-MAX('Activities'!K149,330))</x:f>
        <x:v>0</x:v>
      </x:c>
      <x:c r="BI149" s="23" t="n">
        <x:f>MAX(0,MIN('Activities'!L149,342)-MAX('Activities'!K149,336))</x:f>
        <x:v>0</x:v>
      </x:c>
      <x:c r="BJ149" s="23" t="n">
        <x:f>MAX(0,MIN('Activities'!L149,348)-MAX('Activities'!K149,342))</x:f>
        <x:v>0</x:v>
      </x:c>
      <x:c r="BK149" s="23" t="n">
        <x:f>MAX(0,MIN('Activities'!L149,354)-MAX('Activities'!K149,348))</x:f>
        <x:v>0</x:v>
      </x:c>
      <x:c r="BL149" s="23" t="n">
        <x:f>MAX(0,MIN('Activities'!L149,360)-MAX('Activities'!K149,354))</x:f>
        <x:v>0</x:v>
      </x:c>
      <x:c r="BM149" s="23" t="n">
        <x:f>MAX(0,MIN('Activities'!L149,366)-MAX('Activities'!K149,360))</x:f>
        <x:v>0</x:v>
      </x:c>
      <x:c r="BN149" s="23" t="n">
        <x:f>MAX(0,MIN('Activities'!L149,372)-MAX('Activities'!K149,366))</x:f>
        <x:v>0</x:v>
      </x:c>
      <x:c r="BO149" s="23" t="n">
        <x:f>MAX(0,MIN('Activities'!L149,378)-MAX('Activities'!K149,372))</x:f>
        <x:v>0</x:v>
      </x:c>
      <x:c r="BP149" s="23" t="n">
        <x:f>MAX(0,MIN('Activities'!L149,384)-MAX('Activities'!K149,378))</x:f>
        <x:v>0</x:v>
      </x:c>
      <x:c r="BQ149" s="23" t="n">
        <x:f>MAX(0,MIN('Activities'!L149,390)-MAX('Activities'!K149,384))</x:f>
        <x:v>0</x:v>
      </x:c>
      <x:c r="BR149" s="23" t="n">
        <x:f>MAX(0,MIN('Activities'!L149,396)-MAX('Activities'!K149,390))</x:f>
        <x:v>0</x:v>
      </x:c>
      <x:c r="BS149" s="23" t="n">
        <x:f>MAX(0,MIN('Activities'!L149,402)-MAX('Activities'!K149,396))</x:f>
        <x:v>0</x:v>
      </x:c>
      <x:c r="BT149" s="23" t="n">
        <x:f>MAX(0,MIN('Activities'!L149,408)-MAX('Activities'!K149,402))</x:f>
        <x:v>0</x:v>
      </x:c>
      <x:c r="BU149" s="23" t="n">
        <x:f>MAX(0,MIN('Activities'!L149,414)-MAX('Activities'!K149,408))</x:f>
        <x:v>0</x:v>
      </x:c>
      <x:c r="BV149" s="23" t="n">
        <x:f>MAX(0,MIN('Activities'!L149,420)-MAX('Activities'!K149,414))</x:f>
        <x:v>0</x:v>
      </x:c>
      <x:c r="BW149" s="23" t="n">
        <x:f>MAX(0,MIN('Activities'!L149,426)-MAX('Activities'!K149,420))</x:f>
        <x:v>0</x:v>
      </x:c>
      <x:c r="BX149" s="23" t="n">
        <x:f>MAX(0,MIN('Activities'!L149,432)-MAX('Activities'!K149,426))</x:f>
        <x:v>0</x:v>
      </x:c>
      <x:c r="BY149" s="23" t="n">
        <x:f>MAX(0,MIN('Activities'!L149,438)-MAX('Activities'!K149,432))</x:f>
        <x:v>0</x:v>
      </x:c>
      <x:c r="BZ149" s="23" t="n">
        <x:f>MAX(0,MIN('Activities'!L149,444)-MAX('Activities'!K149,438))</x:f>
        <x:v>0</x:v>
      </x:c>
      <x:c r="CA149" s="23" t="n">
        <x:f>MAX(0,MIN('Activities'!L149,450)-MAX('Activities'!K149,444))</x:f>
        <x:v>0</x:v>
      </x:c>
      <x:c r="CB149" s="23" t="n">
        <x:f>MAX(0,MIN('Activities'!L149,456)-MAX('Activities'!K149,450))</x:f>
        <x:v>0</x:v>
      </x:c>
      <x:c r="CC149" s="23" t="n">
        <x:f>MAX(0,MIN('Activities'!L149,462)-MAX('Activities'!K149,456))</x:f>
        <x:v>0</x:v>
      </x:c>
      <x:c r="CD149" s="23" t="n">
        <x:f>MAX(0,MIN('Activities'!L149,468)-MAX('Activities'!K149,462))</x:f>
        <x:v>0</x:v>
      </x:c>
      <x:c r="CE149" s="23" t="n">
        <x:f>MAX(0,MIN('Activities'!L149,474)-MAX('Activities'!K149,468))</x:f>
        <x:v>0</x:v>
      </x:c>
      <x:c r="CF149" s="23" t="n">
        <x:f>MAX(0,MIN('Activities'!L149,480)-MAX('Activities'!K149,474))</x:f>
        <x:v>0</x:v>
      </x:c>
      <x:c r="CG149" s="23" t="n">
        <x:f>MAX(0,MIN('Activities'!L149,486)-MAX('Activities'!K149,480))</x:f>
        <x:v>0</x:v>
      </x:c>
      <x:c r="CH149" s="23" t="n">
        <x:f>MAX(0,MIN('Activities'!L149,492)-MAX('Activities'!K149,486))</x:f>
        <x:v>0</x:v>
      </x:c>
      <x:c r="CI149" s="23" t="n">
        <x:f>MAX(0,MIN('Activities'!L149,498)-MAX('Activities'!K149,492))</x:f>
        <x:v>0</x:v>
      </x:c>
      <x:c r="CJ149" s="23" t="n">
        <x:f>MAX(0,MIN('Activities'!L149,504)-MAX('Activities'!K149,498))</x:f>
        <x:v>0</x:v>
      </x:c>
      <x:c r="CK149" s="23" t="n">
        <x:f>MAX(0,MIN('Activities'!L149,510)-MAX('Activities'!K149,504))</x:f>
        <x:v>0</x:v>
      </x:c>
      <x:c r="CL149" s="23" t="n">
        <x:f>MAX(0,MIN('Activities'!L149,516)-MAX('Activities'!K149,510))</x:f>
        <x:v>0</x:v>
      </x:c>
      <x:c r="CM149" s="23" t="n">
        <x:f>MAX(0,MIN('Activities'!L149,522)-MAX('Activities'!K149,516))</x:f>
        <x:v>0</x:v>
      </x:c>
      <x:c r="CN149" s="23" t="n">
        <x:f>MAX(0,MIN('Activities'!L149,528)-MAX('Activities'!K149,522))</x:f>
        <x:v>0</x:v>
      </x:c>
      <x:c r="CO149" s="23" t="n">
        <x:f>MAX(0,MIN('Activities'!L149,534)-MAX('Activities'!K149,528))</x:f>
        <x:v>0</x:v>
      </x:c>
      <x:c r="CP149" s="23" t="n">
        <x:f>MAX(0,MIN('Activities'!L149,540)-MAX('Activities'!K149,534))</x:f>
        <x:v>0</x:v>
      </x:c>
      <x:c r="CQ149" s="23" t="n">
        <x:f>MAX(0,MIN('Activities'!L149,546)-MAX('Activities'!K149,540))</x:f>
        <x:v>0</x:v>
      </x:c>
      <x:c r="CR149" s="23" t="n">
        <x:f>MAX(0,MIN('Activities'!L149,552)-MAX('Activities'!K149,546))</x:f>
        <x:v>0</x:v>
      </x:c>
      <x:c r="CS149" s="23" t="n">
        <x:f>MAX(0,MIN('Activities'!L149,558)-MAX('Activities'!K149,552))</x:f>
        <x:v>0</x:v>
      </x:c>
      <x:c r="CT149" s="23" t="n">
        <x:f>MAX(0,MIN('Activities'!L149,564)-MAX('Activities'!K149,558))</x:f>
        <x:v>0</x:v>
      </x:c>
      <x:c r="CU149" s="23" t="n">
        <x:f>MAX(0,MIN('Activities'!L149,570)-MAX('Activities'!K149,564))</x:f>
        <x:v>0</x:v>
      </x:c>
      <x:c r="CV149" s="23" t="n">
        <x:f>MAX(0,MIN('Activities'!L149,576)-MAX('Activities'!K149,570))</x:f>
        <x:v>0</x:v>
      </x:c>
      <x:c r="CW149" s="23" t="n">
        <x:f>MAX(0,MIN('Activities'!L149,582)-MAX('Activities'!K149,576))</x:f>
        <x:v>0</x:v>
      </x:c>
      <x:c r="CX149" s="23" t="n">
        <x:f>MAX(0,MIN('Activities'!L149,588)-MAX('Activities'!K149,582))</x:f>
        <x:v>0</x:v>
      </x:c>
      <x:c r="CY149" s="23" t="n">
        <x:f>MAX(0,MIN('Activities'!L149,594)-MAX('Activities'!K149,588))</x:f>
        <x:v>0</x:v>
      </x:c>
      <x:c r="CZ149" s="23" t="n">
        <x:f>MAX(0,MIN('Activities'!L149,600)-MAX('Activities'!K149,594))</x:f>
        <x:v>0</x:v>
      </x:c>
      <x:c r="DA149" s="23" t="n">
        <x:f>MAX(0,MIN('Activities'!L149,606)-MAX('Activities'!K149,600))</x:f>
        <x:v>0</x:v>
      </x:c>
      <x:c r="DB149" s="23" t="n">
        <x:f>MAX(0,MIN('Activities'!L149,612)-MAX('Activities'!K149,606))</x:f>
        <x:v>0</x:v>
      </x:c>
      <x:c r="DC149" s="23" t="n">
        <x:f>MAX(0,MIN('Activities'!L149,618)-MAX('Activities'!K149,612))</x:f>
        <x:v>0</x:v>
      </x:c>
      <x:c r="DD149" s="23" t="n">
        <x:f>MAX(0,MIN('Activities'!L149,624)-MAX('Activities'!K149,618))</x:f>
        <x:v>0</x:v>
      </x:c>
      <x:c r="DE149" s="23" t="n">
        <x:f>MAX(0,MIN('Activities'!L149,630)-MAX('Activities'!K149,624))</x:f>
        <x:v>0</x:v>
      </x:c>
      <x:c r="DF149" s="23" t="n">
        <x:f>MAX(0,MIN('Activities'!L149,636)-MAX('Activities'!K149,630))</x:f>
        <x:v>0</x:v>
      </x:c>
    </x:row>
    <x:row r="150" ht="23" customHeight="1">
      <x:c r="A150" s="6" t="str">
        <x:v>T2-L00-R</x:v>
      </x:c>
      <x:c r="B150" s="6" t="str">
        <x:v>T2</x:v>
      </x:c>
      <x:c r="C150" s="6" t="str">
        <x:v>Column, wall, beam and slab reinforcement</x:v>
      </x:c>
      <x:c r="D150" s="6" t="str">
        <x:v>Rebar</x:v>
      </x:c>
      <x:c r="E150" s="22" t="n">
        <x:f>MAX(0,MIN('Activities'!L150,6)-MAX('Activities'!K150,0))</x:f>
        <x:v>0</x:v>
      </x:c>
      <x:c r="F150" s="22" t="n">
        <x:f>MAX(0,MIN('Activities'!L150,12)-MAX('Activities'!K150,6))</x:f>
        <x:v>0</x:v>
      </x:c>
      <x:c r="G150" s="22" t="n">
        <x:f>MAX(0,MIN('Activities'!L150,18)-MAX('Activities'!K150,12))</x:f>
        <x:v>0</x:v>
      </x:c>
      <x:c r="H150" s="22" t="n">
        <x:f>MAX(0,MIN('Activities'!L150,24)-MAX('Activities'!K150,18))</x:f>
        <x:v>0</x:v>
      </x:c>
      <x:c r="I150" s="22" t="n">
        <x:f>MAX(0,MIN('Activities'!L150,30)-MAX('Activities'!K150,24))</x:f>
        <x:v>0</x:v>
      </x:c>
      <x:c r="J150" s="22" t="n">
        <x:f>MAX(0,MIN('Activities'!L150,36)-MAX('Activities'!K150,30))</x:f>
        <x:v>0</x:v>
      </x:c>
      <x:c r="K150" s="22" t="n">
        <x:f>MAX(0,MIN('Activities'!L150,42)-MAX('Activities'!K150,36))</x:f>
        <x:v>0</x:v>
      </x:c>
      <x:c r="L150" s="22" t="n">
        <x:f>MAX(0,MIN('Activities'!L150,48)-MAX('Activities'!K150,42))</x:f>
        <x:v>0</x:v>
      </x:c>
      <x:c r="M150" s="22" t="n">
        <x:f>MAX(0,MIN('Activities'!L150,54)-MAX('Activities'!K150,48))</x:f>
        <x:v>0</x:v>
      </x:c>
      <x:c r="N150" s="22" t="n">
        <x:f>MAX(0,MIN('Activities'!L150,60)-MAX('Activities'!K150,54))</x:f>
        <x:v>0</x:v>
      </x:c>
      <x:c r="O150" s="22" t="n">
        <x:f>MAX(0,MIN('Activities'!L150,66)-MAX('Activities'!K150,60))</x:f>
        <x:v>0</x:v>
      </x:c>
      <x:c r="P150" s="22" t="n">
        <x:f>MAX(0,MIN('Activities'!L150,72)-MAX('Activities'!K150,66))</x:f>
        <x:v>0</x:v>
      </x:c>
      <x:c r="Q150" s="22" t="n">
        <x:f>MAX(0,MIN('Activities'!L150,78)-MAX('Activities'!K150,72))</x:f>
        <x:v>0</x:v>
      </x:c>
      <x:c r="R150" s="22" t="n">
        <x:f>MAX(0,MIN('Activities'!L150,84)-MAX('Activities'!K150,78))</x:f>
        <x:v>0</x:v>
      </x:c>
      <x:c r="S150" s="22" t="n">
        <x:f>MAX(0,MIN('Activities'!L150,90)-MAX('Activities'!K150,84))</x:f>
        <x:v>0</x:v>
      </x:c>
      <x:c r="T150" s="22" t="n">
        <x:f>MAX(0,MIN('Activities'!L150,96)-MAX('Activities'!K150,90))</x:f>
        <x:v>0</x:v>
      </x:c>
      <x:c r="U150" s="22" t="n">
        <x:f>MAX(0,MIN('Activities'!L150,102)-MAX('Activities'!K150,96))</x:f>
        <x:v>0</x:v>
      </x:c>
      <x:c r="V150" s="22" t="n">
        <x:f>MAX(0,MIN('Activities'!L150,108)-MAX('Activities'!K150,102))</x:f>
        <x:v>0</x:v>
      </x:c>
      <x:c r="W150" s="22" t="n">
        <x:f>MAX(0,MIN('Activities'!L150,114)-MAX('Activities'!K150,108))</x:f>
        <x:v>0</x:v>
      </x:c>
      <x:c r="X150" s="22" t="n">
        <x:f>MAX(0,MIN('Activities'!L150,120)-MAX('Activities'!K150,114))</x:f>
        <x:v>0</x:v>
      </x:c>
      <x:c r="Y150" s="22" t="n">
        <x:f>MAX(0,MIN('Activities'!L150,126)-MAX('Activities'!K150,120))</x:f>
        <x:v>0</x:v>
      </x:c>
      <x:c r="Z150" s="22" t="n">
        <x:f>MAX(0,MIN('Activities'!L150,132)-MAX('Activities'!K150,126))</x:f>
        <x:v>0</x:v>
      </x:c>
      <x:c r="AA150" s="22" t="n">
        <x:f>MAX(0,MIN('Activities'!L150,138)-MAX('Activities'!K150,132))</x:f>
        <x:v>0</x:v>
      </x:c>
      <x:c r="AB150" s="22" t="n">
        <x:f>MAX(0,MIN('Activities'!L150,144)-MAX('Activities'!K150,138))</x:f>
        <x:v>0</x:v>
      </x:c>
      <x:c r="AC150" s="22" t="n">
        <x:f>MAX(0,MIN('Activities'!L150,150)-MAX('Activities'!K150,144))</x:f>
        <x:v>0</x:v>
      </x:c>
      <x:c r="AD150" s="22" t="n">
        <x:f>MAX(0,MIN('Activities'!L150,156)-MAX('Activities'!K150,150))</x:f>
        <x:v>4</x:v>
      </x:c>
      <x:c r="AE150" s="22" t="n">
        <x:f>MAX(0,MIN('Activities'!L150,162)-MAX('Activities'!K150,156))</x:f>
        <x:v>1</x:v>
      </x:c>
      <x:c r="AF150" s="22" t="n">
        <x:f>MAX(0,MIN('Activities'!L150,168)-MAX('Activities'!K150,162))</x:f>
        <x:v>0</x:v>
      </x:c>
      <x:c r="AG150" s="22" t="n">
        <x:f>MAX(0,MIN('Activities'!L150,174)-MAX('Activities'!K150,168))</x:f>
        <x:v>0</x:v>
      </x:c>
      <x:c r="AH150" s="22" t="n">
        <x:f>MAX(0,MIN('Activities'!L150,180)-MAX('Activities'!K150,174))</x:f>
        <x:v>0</x:v>
      </x:c>
      <x:c r="AI150" s="22" t="n">
        <x:f>MAX(0,MIN('Activities'!L150,186)-MAX('Activities'!K150,180))</x:f>
        <x:v>0</x:v>
      </x:c>
      <x:c r="AJ150" s="22" t="n">
        <x:f>MAX(0,MIN('Activities'!L150,192)-MAX('Activities'!K150,186))</x:f>
        <x:v>0</x:v>
      </x:c>
      <x:c r="AK150" s="22" t="n">
        <x:f>MAX(0,MIN('Activities'!L150,198)-MAX('Activities'!K150,192))</x:f>
        <x:v>0</x:v>
      </x:c>
      <x:c r="AL150" s="22" t="n">
        <x:f>MAX(0,MIN('Activities'!L150,204)-MAX('Activities'!K150,198))</x:f>
        <x:v>0</x:v>
      </x:c>
      <x:c r="AM150" s="22" t="n">
        <x:f>MAX(0,MIN('Activities'!L150,210)-MAX('Activities'!K150,204))</x:f>
        <x:v>0</x:v>
      </x:c>
      <x:c r="AN150" s="22" t="n">
        <x:f>MAX(0,MIN('Activities'!L150,216)-MAX('Activities'!K150,210))</x:f>
        <x:v>0</x:v>
      </x:c>
      <x:c r="AO150" s="22" t="n">
        <x:f>MAX(0,MIN('Activities'!L150,222)-MAX('Activities'!K150,216))</x:f>
        <x:v>0</x:v>
      </x:c>
      <x:c r="AP150" s="22" t="n">
        <x:f>MAX(0,MIN('Activities'!L150,228)-MAX('Activities'!K150,222))</x:f>
        <x:v>0</x:v>
      </x:c>
      <x:c r="AQ150" s="22" t="n">
        <x:f>MAX(0,MIN('Activities'!L150,234)-MAX('Activities'!K150,228))</x:f>
        <x:v>0</x:v>
      </x:c>
      <x:c r="AR150" s="22" t="n">
        <x:f>MAX(0,MIN('Activities'!L150,240)-MAX('Activities'!K150,234))</x:f>
        <x:v>0</x:v>
      </x:c>
      <x:c r="AS150" s="22" t="n">
        <x:f>MAX(0,MIN('Activities'!L150,246)-MAX('Activities'!K150,240))</x:f>
        <x:v>0</x:v>
      </x:c>
      <x:c r="AT150" s="22" t="n">
        <x:f>MAX(0,MIN('Activities'!L150,252)-MAX('Activities'!K150,246))</x:f>
        <x:v>0</x:v>
      </x:c>
      <x:c r="AU150" s="22" t="n">
        <x:f>MAX(0,MIN('Activities'!L150,258)-MAX('Activities'!K150,252))</x:f>
        <x:v>0</x:v>
      </x:c>
      <x:c r="AV150" s="22" t="n">
        <x:f>MAX(0,MIN('Activities'!L150,264)-MAX('Activities'!K150,258))</x:f>
        <x:v>0</x:v>
      </x:c>
      <x:c r="AW150" s="22" t="n">
        <x:f>MAX(0,MIN('Activities'!L150,270)-MAX('Activities'!K150,264))</x:f>
        <x:v>0</x:v>
      </x:c>
      <x:c r="AX150" s="22" t="n">
        <x:f>MAX(0,MIN('Activities'!L150,276)-MAX('Activities'!K150,270))</x:f>
        <x:v>0</x:v>
      </x:c>
      <x:c r="AY150" s="22" t="n">
        <x:f>MAX(0,MIN('Activities'!L150,282)-MAX('Activities'!K150,276))</x:f>
        <x:v>0</x:v>
      </x:c>
      <x:c r="AZ150" s="22" t="n">
        <x:f>MAX(0,MIN('Activities'!L150,288)-MAX('Activities'!K150,282))</x:f>
        <x:v>0</x:v>
      </x:c>
      <x:c r="BA150" s="22" t="n">
        <x:f>MAX(0,MIN('Activities'!L150,294)-MAX('Activities'!K150,288))</x:f>
        <x:v>0</x:v>
      </x:c>
      <x:c r="BB150" s="22" t="n">
        <x:f>MAX(0,MIN('Activities'!L150,300)-MAX('Activities'!K150,294))</x:f>
        <x:v>0</x:v>
      </x:c>
      <x:c r="BC150" s="22" t="n">
        <x:f>MAX(0,MIN('Activities'!L150,306)-MAX('Activities'!K150,300))</x:f>
        <x:v>0</x:v>
      </x:c>
      <x:c r="BD150" s="22" t="n">
        <x:f>MAX(0,MIN('Activities'!L150,312)-MAX('Activities'!K150,306))</x:f>
        <x:v>0</x:v>
      </x:c>
      <x:c r="BE150" s="22" t="n">
        <x:f>MAX(0,MIN('Activities'!L150,318)-MAX('Activities'!K150,312))</x:f>
        <x:v>0</x:v>
      </x:c>
      <x:c r="BF150" s="22" t="n">
        <x:f>MAX(0,MIN('Activities'!L150,324)-MAX('Activities'!K150,318))</x:f>
        <x:v>0</x:v>
      </x:c>
      <x:c r="BG150" s="22" t="n">
        <x:f>MAX(0,MIN('Activities'!L150,330)-MAX('Activities'!K150,324))</x:f>
        <x:v>0</x:v>
      </x:c>
      <x:c r="BH150" s="22" t="n">
        <x:f>MAX(0,MIN('Activities'!L150,336)-MAX('Activities'!K150,330))</x:f>
        <x:v>0</x:v>
      </x:c>
      <x:c r="BI150" s="22" t="n">
        <x:f>MAX(0,MIN('Activities'!L150,342)-MAX('Activities'!K150,336))</x:f>
        <x:v>0</x:v>
      </x:c>
      <x:c r="BJ150" s="22" t="n">
        <x:f>MAX(0,MIN('Activities'!L150,348)-MAX('Activities'!K150,342))</x:f>
        <x:v>0</x:v>
      </x:c>
      <x:c r="BK150" s="22" t="n">
        <x:f>MAX(0,MIN('Activities'!L150,354)-MAX('Activities'!K150,348))</x:f>
        <x:v>0</x:v>
      </x:c>
      <x:c r="BL150" s="22" t="n">
        <x:f>MAX(0,MIN('Activities'!L150,360)-MAX('Activities'!K150,354))</x:f>
        <x:v>0</x:v>
      </x:c>
      <x:c r="BM150" s="22" t="n">
        <x:f>MAX(0,MIN('Activities'!L150,366)-MAX('Activities'!K150,360))</x:f>
        <x:v>0</x:v>
      </x:c>
      <x:c r="BN150" s="22" t="n">
        <x:f>MAX(0,MIN('Activities'!L150,372)-MAX('Activities'!K150,366))</x:f>
        <x:v>0</x:v>
      </x:c>
      <x:c r="BO150" s="22" t="n">
        <x:f>MAX(0,MIN('Activities'!L150,378)-MAX('Activities'!K150,372))</x:f>
        <x:v>0</x:v>
      </x:c>
      <x:c r="BP150" s="22" t="n">
        <x:f>MAX(0,MIN('Activities'!L150,384)-MAX('Activities'!K150,378))</x:f>
        <x:v>0</x:v>
      </x:c>
      <x:c r="BQ150" s="22" t="n">
        <x:f>MAX(0,MIN('Activities'!L150,390)-MAX('Activities'!K150,384))</x:f>
        <x:v>0</x:v>
      </x:c>
      <x:c r="BR150" s="22" t="n">
        <x:f>MAX(0,MIN('Activities'!L150,396)-MAX('Activities'!K150,390))</x:f>
        <x:v>0</x:v>
      </x:c>
      <x:c r="BS150" s="22" t="n">
        <x:f>MAX(0,MIN('Activities'!L150,402)-MAX('Activities'!K150,396))</x:f>
        <x:v>0</x:v>
      </x:c>
      <x:c r="BT150" s="22" t="n">
        <x:f>MAX(0,MIN('Activities'!L150,408)-MAX('Activities'!K150,402))</x:f>
        <x:v>0</x:v>
      </x:c>
      <x:c r="BU150" s="22" t="n">
        <x:f>MAX(0,MIN('Activities'!L150,414)-MAX('Activities'!K150,408))</x:f>
        <x:v>0</x:v>
      </x:c>
      <x:c r="BV150" s="22" t="n">
        <x:f>MAX(0,MIN('Activities'!L150,420)-MAX('Activities'!K150,414))</x:f>
        <x:v>0</x:v>
      </x:c>
      <x:c r="BW150" s="22" t="n">
        <x:f>MAX(0,MIN('Activities'!L150,426)-MAX('Activities'!K150,420))</x:f>
        <x:v>0</x:v>
      </x:c>
      <x:c r="BX150" s="22" t="n">
        <x:f>MAX(0,MIN('Activities'!L150,432)-MAX('Activities'!K150,426))</x:f>
        <x:v>0</x:v>
      </x:c>
      <x:c r="BY150" s="22" t="n">
        <x:f>MAX(0,MIN('Activities'!L150,438)-MAX('Activities'!K150,432))</x:f>
        <x:v>0</x:v>
      </x:c>
      <x:c r="BZ150" s="22" t="n">
        <x:f>MAX(0,MIN('Activities'!L150,444)-MAX('Activities'!K150,438))</x:f>
        <x:v>0</x:v>
      </x:c>
      <x:c r="CA150" s="22" t="n">
        <x:f>MAX(0,MIN('Activities'!L150,450)-MAX('Activities'!K150,444))</x:f>
        <x:v>0</x:v>
      </x:c>
      <x:c r="CB150" s="22" t="n">
        <x:f>MAX(0,MIN('Activities'!L150,456)-MAX('Activities'!K150,450))</x:f>
        <x:v>0</x:v>
      </x:c>
      <x:c r="CC150" s="22" t="n">
        <x:f>MAX(0,MIN('Activities'!L150,462)-MAX('Activities'!K150,456))</x:f>
        <x:v>0</x:v>
      </x:c>
      <x:c r="CD150" s="22" t="n">
        <x:f>MAX(0,MIN('Activities'!L150,468)-MAX('Activities'!K150,462))</x:f>
        <x:v>0</x:v>
      </x:c>
      <x:c r="CE150" s="22" t="n">
        <x:f>MAX(0,MIN('Activities'!L150,474)-MAX('Activities'!K150,468))</x:f>
        <x:v>0</x:v>
      </x:c>
      <x:c r="CF150" s="22" t="n">
        <x:f>MAX(0,MIN('Activities'!L150,480)-MAX('Activities'!K150,474))</x:f>
        <x:v>0</x:v>
      </x:c>
      <x:c r="CG150" s="22" t="n">
        <x:f>MAX(0,MIN('Activities'!L150,486)-MAX('Activities'!K150,480))</x:f>
        <x:v>0</x:v>
      </x:c>
      <x:c r="CH150" s="22" t="n">
        <x:f>MAX(0,MIN('Activities'!L150,492)-MAX('Activities'!K150,486))</x:f>
        <x:v>0</x:v>
      </x:c>
      <x:c r="CI150" s="22" t="n">
        <x:f>MAX(0,MIN('Activities'!L150,498)-MAX('Activities'!K150,492))</x:f>
        <x:v>0</x:v>
      </x:c>
      <x:c r="CJ150" s="22" t="n">
        <x:f>MAX(0,MIN('Activities'!L150,504)-MAX('Activities'!K150,498))</x:f>
        <x:v>0</x:v>
      </x:c>
      <x:c r="CK150" s="22" t="n">
        <x:f>MAX(0,MIN('Activities'!L150,510)-MAX('Activities'!K150,504))</x:f>
        <x:v>0</x:v>
      </x:c>
      <x:c r="CL150" s="22" t="n">
        <x:f>MAX(0,MIN('Activities'!L150,516)-MAX('Activities'!K150,510))</x:f>
        <x:v>0</x:v>
      </x:c>
      <x:c r="CM150" s="22" t="n">
        <x:f>MAX(0,MIN('Activities'!L150,522)-MAX('Activities'!K150,516))</x:f>
        <x:v>0</x:v>
      </x:c>
      <x:c r="CN150" s="22" t="n">
        <x:f>MAX(0,MIN('Activities'!L150,528)-MAX('Activities'!K150,522))</x:f>
        <x:v>0</x:v>
      </x:c>
      <x:c r="CO150" s="22" t="n">
        <x:f>MAX(0,MIN('Activities'!L150,534)-MAX('Activities'!K150,528))</x:f>
        <x:v>0</x:v>
      </x:c>
      <x:c r="CP150" s="22" t="n">
        <x:f>MAX(0,MIN('Activities'!L150,540)-MAX('Activities'!K150,534))</x:f>
        <x:v>0</x:v>
      </x:c>
      <x:c r="CQ150" s="22" t="n">
        <x:f>MAX(0,MIN('Activities'!L150,546)-MAX('Activities'!K150,540))</x:f>
        <x:v>0</x:v>
      </x:c>
      <x:c r="CR150" s="22" t="n">
        <x:f>MAX(0,MIN('Activities'!L150,552)-MAX('Activities'!K150,546))</x:f>
        <x:v>0</x:v>
      </x:c>
      <x:c r="CS150" s="22" t="n">
        <x:f>MAX(0,MIN('Activities'!L150,558)-MAX('Activities'!K150,552))</x:f>
        <x:v>0</x:v>
      </x:c>
      <x:c r="CT150" s="22" t="n">
        <x:f>MAX(0,MIN('Activities'!L150,564)-MAX('Activities'!K150,558))</x:f>
        <x:v>0</x:v>
      </x:c>
      <x:c r="CU150" s="22" t="n">
        <x:f>MAX(0,MIN('Activities'!L150,570)-MAX('Activities'!K150,564))</x:f>
        <x:v>0</x:v>
      </x:c>
      <x:c r="CV150" s="22" t="n">
        <x:f>MAX(0,MIN('Activities'!L150,576)-MAX('Activities'!K150,570))</x:f>
        <x:v>0</x:v>
      </x:c>
      <x:c r="CW150" s="22" t="n">
        <x:f>MAX(0,MIN('Activities'!L150,582)-MAX('Activities'!K150,576))</x:f>
        <x:v>0</x:v>
      </x:c>
      <x:c r="CX150" s="22" t="n">
        <x:f>MAX(0,MIN('Activities'!L150,588)-MAX('Activities'!K150,582))</x:f>
        <x:v>0</x:v>
      </x:c>
      <x:c r="CY150" s="22" t="n">
        <x:f>MAX(0,MIN('Activities'!L150,594)-MAX('Activities'!K150,588))</x:f>
        <x:v>0</x:v>
      </x:c>
      <x:c r="CZ150" s="22" t="n">
        <x:f>MAX(0,MIN('Activities'!L150,600)-MAX('Activities'!K150,594))</x:f>
        <x:v>0</x:v>
      </x:c>
      <x:c r="DA150" s="22" t="n">
        <x:f>MAX(0,MIN('Activities'!L150,606)-MAX('Activities'!K150,600))</x:f>
        <x:v>0</x:v>
      </x:c>
      <x:c r="DB150" s="22" t="n">
        <x:f>MAX(0,MIN('Activities'!L150,612)-MAX('Activities'!K150,606))</x:f>
        <x:v>0</x:v>
      </x:c>
      <x:c r="DC150" s="22" t="n">
        <x:f>MAX(0,MIN('Activities'!L150,618)-MAX('Activities'!K150,612))</x:f>
        <x:v>0</x:v>
      </x:c>
      <x:c r="DD150" s="22" t="n">
        <x:f>MAX(0,MIN('Activities'!L150,624)-MAX('Activities'!K150,618))</x:f>
        <x:v>0</x:v>
      </x:c>
      <x:c r="DE150" s="22" t="n">
        <x:f>MAX(0,MIN('Activities'!L150,630)-MAX('Activities'!K150,624))</x:f>
        <x:v>0</x:v>
      </x:c>
      <x:c r="DF150" s="22" t="n">
        <x:f>MAX(0,MIN('Activities'!L150,636)-MAX('Activities'!K150,630))</x:f>
        <x:v>0</x:v>
      </x:c>
    </x:row>
    <x:row r="151" ht="23" customHeight="1">
      <x:c r="A151" s="1" t="str">
        <x:v>T2-L00-C</x:v>
      </x:c>
      <x:c r="B151" s="1" t="str">
        <x:v>T2</x:v>
      </x:c>
      <x:c r="C151" s="1" t="str">
        <x:v>Concrete placement and finishing</x:v>
      </x:c>
      <x:c r="D151" s="1" t="str">
        <x:v>Concrete</x:v>
      </x:c>
      <x:c r="E151" s="23" t="n">
        <x:f>MAX(0,MIN('Activities'!L151,6)-MAX('Activities'!K151,0))</x:f>
        <x:v>0</x:v>
      </x:c>
      <x:c r="F151" s="23" t="n">
        <x:f>MAX(0,MIN('Activities'!L151,12)-MAX('Activities'!K151,6))</x:f>
        <x:v>0</x:v>
      </x:c>
      <x:c r="G151" s="23" t="n">
        <x:f>MAX(0,MIN('Activities'!L151,18)-MAX('Activities'!K151,12))</x:f>
        <x:v>0</x:v>
      </x:c>
      <x:c r="H151" s="23" t="n">
        <x:f>MAX(0,MIN('Activities'!L151,24)-MAX('Activities'!K151,18))</x:f>
        <x:v>0</x:v>
      </x:c>
      <x:c r="I151" s="23" t="n">
        <x:f>MAX(0,MIN('Activities'!L151,30)-MAX('Activities'!K151,24))</x:f>
        <x:v>0</x:v>
      </x:c>
      <x:c r="J151" s="23" t="n">
        <x:f>MAX(0,MIN('Activities'!L151,36)-MAX('Activities'!K151,30))</x:f>
        <x:v>0</x:v>
      </x:c>
      <x:c r="K151" s="23" t="n">
        <x:f>MAX(0,MIN('Activities'!L151,42)-MAX('Activities'!K151,36))</x:f>
        <x:v>0</x:v>
      </x:c>
      <x:c r="L151" s="23" t="n">
        <x:f>MAX(0,MIN('Activities'!L151,48)-MAX('Activities'!K151,42))</x:f>
        <x:v>0</x:v>
      </x:c>
      <x:c r="M151" s="23" t="n">
        <x:f>MAX(0,MIN('Activities'!L151,54)-MAX('Activities'!K151,48))</x:f>
        <x:v>0</x:v>
      </x:c>
      <x:c r="N151" s="23" t="n">
        <x:f>MAX(0,MIN('Activities'!L151,60)-MAX('Activities'!K151,54))</x:f>
        <x:v>0</x:v>
      </x:c>
      <x:c r="O151" s="23" t="n">
        <x:f>MAX(0,MIN('Activities'!L151,66)-MAX('Activities'!K151,60))</x:f>
        <x:v>0</x:v>
      </x:c>
      <x:c r="P151" s="23" t="n">
        <x:f>MAX(0,MIN('Activities'!L151,72)-MAX('Activities'!K151,66))</x:f>
        <x:v>0</x:v>
      </x:c>
      <x:c r="Q151" s="23" t="n">
        <x:f>MAX(0,MIN('Activities'!L151,78)-MAX('Activities'!K151,72))</x:f>
        <x:v>0</x:v>
      </x:c>
      <x:c r="R151" s="23" t="n">
        <x:f>MAX(0,MIN('Activities'!L151,84)-MAX('Activities'!K151,78))</x:f>
        <x:v>0</x:v>
      </x:c>
      <x:c r="S151" s="23" t="n">
        <x:f>MAX(0,MIN('Activities'!L151,90)-MAX('Activities'!K151,84))</x:f>
        <x:v>0</x:v>
      </x:c>
      <x:c r="T151" s="23" t="n">
        <x:f>MAX(0,MIN('Activities'!L151,96)-MAX('Activities'!K151,90))</x:f>
        <x:v>0</x:v>
      </x:c>
      <x:c r="U151" s="23" t="n">
        <x:f>MAX(0,MIN('Activities'!L151,102)-MAX('Activities'!K151,96))</x:f>
        <x:v>0</x:v>
      </x:c>
      <x:c r="V151" s="23" t="n">
        <x:f>MAX(0,MIN('Activities'!L151,108)-MAX('Activities'!K151,102))</x:f>
        <x:v>0</x:v>
      </x:c>
      <x:c r="W151" s="23" t="n">
        <x:f>MAX(0,MIN('Activities'!L151,114)-MAX('Activities'!K151,108))</x:f>
        <x:v>0</x:v>
      </x:c>
      <x:c r="X151" s="23" t="n">
        <x:f>MAX(0,MIN('Activities'!L151,120)-MAX('Activities'!K151,114))</x:f>
        <x:v>0</x:v>
      </x:c>
      <x:c r="Y151" s="23" t="n">
        <x:f>MAX(0,MIN('Activities'!L151,126)-MAX('Activities'!K151,120))</x:f>
        <x:v>0</x:v>
      </x:c>
      <x:c r="Z151" s="23" t="n">
        <x:f>MAX(0,MIN('Activities'!L151,132)-MAX('Activities'!K151,126))</x:f>
        <x:v>0</x:v>
      </x:c>
      <x:c r="AA151" s="23" t="n">
        <x:f>MAX(0,MIN('Activities'!L151,138)-MAX('Activities'!K151,132))</x:f>
        <x:v>0</x:v>
      </x:c>
      <x:c r="AB151" s="23" t="n">
        <x:f>MAX(0,MIN('Activities'!L151,144)-MAX('Activities'!K151,138))</x:f>
        <x:v>0</x:v>
      </x:c>
      <x:c r="AC151" s="23" t="n">
        <x:f>MAX(0,MIN('Activities'!L151,150)-MAX('Activities'!K151,144))</x:f>
        <x:v>0</x:v>
      </x:c>
      <x:c r="AD151" s="23" t="n">
        <x:f>MAX(0,MIN('Activities'!L151,156)-MAX('Activities'!K151,150))</x:f>
        <x:v>0</x:v>
      </x:c>
      <x:c r="AE151" s="23" t="n">
        <x:f>MAX(0,MIN('Activities'!L151,162)-MAX('Activities'!K151,156))</x:f>
        <x:v>2</x:v>
      </x:c>
      <x:c r="AF151" s="23" t="n">
        <x:f>MAX(0,MIN('Activities'!L151,168)-MAX('Activities'!K151,162))</x:f>
        <x:v>0</x:v>
      </x:c>
      <x:c r="AG151" s="23" t="n">
        <x:f>MAX(0,MIN('Activities'!L151,174)-MAX('Activities'!K151,168))</x:f>
        <x:v>0</x:v>
      </x:c>
      <x:c r="AH151" s="23" t="n">
        <x:f>MAX(0,MIN('Activities'!L151,180)-MAX('Activities'!K151,174))</x:f>
        <x:v>0</x:v>
      </x:c>
      <x:c r="AI151" s="23" t="n">
        <x:f>MAX(0,MIN('Activities'!L151,186)-MAX('Activities'!K151,180))</x:f>
        <x:v>0</x:v>
      </x:c>
      <x:c r="AJ151" s="23" t="n">
        <x:f>MAX(0,MIN('Activities'!L151,192)-MAX('Activities'!K151,186))</x:f>
        <x:v>0</x:v>
      </x:c>
      <x:c r="AK151" s="23" t="n">
        <x:f>MAX(0,MIN('Activities'!L151,198)-MAX('Activities'!K151,192))</x:f>
        <x:v>0</x:v>
      </x:c>
      <x:c r="AL151" s="23" t="n">
        <x:f>MAX(0,MIN('Activities'!L151,204)-MAX('Activities'!K151,198))</x:f>
        <x:v>0</x:v>
      </x:c>
      <x:c r="AM151" s="23" t="n">
        <x:f>MAX(0,MIN('Activities'!L151,210)-MAX('Activities'!K151,204))</x:f>
        <x:v>0</x:v>
      </x:c>
      <x:c r="AN151" s="23" t="n">
        <x:f>MAX(0,MIN('Activities'!L151,216)-MAX('Activities'!K151,210))</x:f>
        <x:v>0</x:v>
      </x:c>
      <x:c r="AO151" s="23" t="n">
        <x:f>MAX(0,MIN('Activities'!L151,222)-MAX('Activities'!K151,216))</x:f>
        <x:v>0</x:v>
      </x:c>
      <x:c r="AP151" s="23" t="n">
        <x:f>MAX(0,MIN('Activities'!L151,228)-MAX('Activities'!K151,222))</x:f>
        <x:v>0</x:v>
      </x:c>
      <x:c r="AQ151" s="23" t="n">
        <x:f>MAX(0,MIN('Activities'!L151,234)-MAX('Activities'!K151,228))</x:f>
        <x:v>0</x:v>
      </x:c>
      <x:c r="AR151" s="23" t="n">
        <x:f>MAX(0,MIN('Activities'!L151,240)-MAX('Activities'!K151,234))</x:f>
        <x:v>0</x:v>
      </x:c>
      <x:c r="AS151" s="23" t="n">
        <x:f>MAX(0,MIN('Activities'!L151,246)-MAX('Activities'!K151,240))</x:f>
        <x:v>0</x:v>
      </x:c>
      <x:c r="AT151" s="23" t="n">
        <x:f>MAX(0,MIN('Activities'!L151,252)-MAX('Activities'!K151,246))</x:f>
        <x:v>0</x:v>
      </x:c>
      <x:c r="AU151" s="23" t="n">
        <x:f>MAX(0,MIN('Activities'!L151,258)-MAX('Activities'!K151,252))</x:f>
        <x:v>0</x:v>
      </x:c>
      <x:c r="AV151" s="23" t="n">
        <x:f>MAX(0,MIN('Activities'!L151,264)-MAX('Activities'!K151,258))</x:f>
        <x:v>0</x:v>
      </x:c>
      <x:c r="AW151" s="23" t="n">
        <x:f>MAX(0,MIN('Activities'!L151,270)-MAX('Activities'!K151,264))</x:f>
        <x:v>0</x:v>
      </x:c>
      <x:c r="AX151" s="23" t="n">
        <x:f>MAX(0,MIN('Activities'!L151,276)-MAX('Activities'!K151,270))</x:f>
        <x:v>0</x:v>
      </x:c>
      <x:c r="AY151" s="23" t="n">
        <x:f>MAX(0,MIN('Activities'!L151,282)-MAX('Activities'!K151,276))</x:f>
        <x:v>0</x:v>
      </x:c>
      <x:c r="AZ151" s="23" t="n">
        <x:f>MAX(0,MIN('Activities'!L151,288)-MAX('Activities'!K151,282))</x:f>
        <x:v>0</x:v>
      </x:c>
      <x:c r="BA151" s="23" t="n">
        <x:f>MAX(0,MIN('Activities'!L151,294)-MAX('Activities'!K151,288))</x:f>
        <x:v>0</x:v>
      </x:c>
      <x:c r="BB151" s="23" t="n">
        <x:f>MAX(0,MIN('Activities'!L151,300)-MAX('Activities'!K151,294))</x:f>
        <x:v>0</x:v>
      </x:c>
      <x:c r="BC151" s="23" t="n">
        <x:f>MAX(0,MIN('Activities'!L151,306)-MAX('Activities'!K151,300))</x:f>
        <x:v>0</x:v>
      </x:c>
      <x:c r="BD151" s="23" t="n">
        <x:f>MAX(0,MIN('Activities'!L151,312)-MAX('Activities'!K151,306))</x:f>
        <x:v>0</x:v>
      </x:c>
      <x:c r="BE151" s="23" t="n">
        <x:f>MAX(0,MIN('Activities'!L151,318)-MAX('Activities'!K151,312))</x:f>
        <x:v>0</x:v>
      </x:c>
      <x:c r="BF151" s="23" t="n">
        <x:f>MAX(0,MIN('Activities'!L151,324)-MAX('Activities'!K151,318))</x:f>
        <x:v>0</x:v>
      </x:c>
      <x:c r="BG151" s="23" t="n">
        <x:f>MAX(0,MIN('Activities'!L151,330)-MAX('Activities'!K151,324))</x:f>
        <x:v>0</x:v>
      </x:c>
      <x:c r="BH151" s="23" t="n">
        <x:f>MAX(0,MIN('Activities'!L151,336)-MAX('Activities'!K151,330))</x:f>
        <x:v>0</x:v>
      </x:c>
      <x:c r="BI151" s="23" t="n">
        <x:f>MAX(0,MIN('Activities'!L151,342)-MAX('Activities'!K151,336))</x:f>
        <x:v>0</x:v>
      </x:c>
      <x:c r="BJ151" s="23" t="n">
        <x:f>MAX(0,MIN('Activities'!L151,348)-MAX('Activities'!K151,342))</x:f>
        <x:v>0</x:v>
      </x:c>
      <x:c r="BK151" s="23" t="n">
        <x:f>MAX(0,MIN('Activities'!L151,354)-MAX('Activities'!K151,348))</x:f>
        <x:v>0</x:v>
      </x:c>
      <x:c r="BL151" s="23" t="n">
        <x:f>MAX(0,MIN('Activities'!L151,360)-MAX('Activities'!K151,354))</x:f>
        <x:v>0</x:v>
      </x:c>
      <x:c r="BM151" s="23" t="n">
        <x:f>MAX(0,MIN('Activities'!L151,366)-MAX('Activities'!K151,360))</x:f>
        <x:v>0</x:v>
      </x:c>
      <x:c r="BN151" s="23" t="n">
        <x:f>MAX(0,MIN('Activities'!L151,372)-MAX('Activities'!K151,366))</x:f>
        <x:v>0</x:v>
      </x:c>
      <x:c r="BO151" s="23" t="n">
        <x:f>MAX(0,MIN('Activities'!L151,378)-MAX('Activities'!K151,372))</x:f>
        <x:v>0</x:v>
      </x:c>
      <x:c r="BP151" s="23" t="n">
        <x:f>MAX(0,MIN('Activities'!L151,384)-MAX('Activities'!K151,378))</x:f>
        <x:v>0</x:v>
      </x:c>
      <x:c r="BQ151" s="23" t="n">
        <x:f>MAX(0,MIN('Activities'!L151,390)-MAX('Activities'!K151,384))</x:f>
        <x:v>0</x:v>
      </x:c>
      <x:c r="BR151" s="23" t="n">
        <x:f>MAX(0,MIN('Activities'!L151,396)-MAX('Activities'!K151,390))</x:f>
        <x:v>0</x:v>
      </x:c>
      <x:c r="BS151" s="23" t="n">
        <x:f>MAX(0,MIN('Activities'!L151,402)-MAX('Activities'!K151,396))</x:f>
        <x:v>0</x:v>
      </x:c>
      <x:c r="BT151" s="23" t="n">
        <x:f>MAX(0,MIN('Activities'!L151,408)-MAX('Activities'!K151,402))</x:f>
        <x:v>0</x:v>
      </x:c>
      <x:c r="BU151" s="23" t="n">
        <x:f>MAX(0,MIN('Activities'!L151,414)-MAX('Activities'!K151,408))</x:f>
        <x:v>0</x:v>
      </x:c>
      <x:c r="BV151" s="23" t="n">
        <x:f>MAX(0,MIN('Activities'!L151,420)-MAX('Activities'!K151,414))</x:f>
        <x:v>0</x:v>
      </x:c>
      <x:c r="BW151" s="23" t="n">
        <x:f>MAX(0,MIN('Activities'!L151,426)-MAX('Activities'!K151,420))</x:f>
        <x:v>0</x:v>
      </x:c>
      <x:c r="BX151" s="23" t="n">
        <x:f>MAX(0,MIN('Activities'!L151,432)-MAX('Activities'!K151,426))</x:f>
        <x:v>0</x:v>
      </x:c>
      <x:c r="BY151" s="23" t="n">
        <x:f>MAX(0,MIN('Activities'!L151,438)-MAX('Activities'!K151,432))</x:f>
        <x:v>0</x:v>
      </x:c>
      <x:c r="BZ151" s="23" t="n">
        <x:f>MAX(0,MIN('Activities'!L151,444)-MAX('Activities'!K151,438))</x:f>
        <x:v>0</x:v>
      </x:c>
      <x:c r="CA151" s="23" t="n">
        <x:f>MAX(0,MIN('Activities'!L151,450)-MAX('Activities'!K151,444))</x:f>
        <x:v>0</x:v>
      </x:c>
      <x:c r="CB151" s="23" t="n">
        <x:f>MAX(0,MIN('Activities'!L151,456)-MAX('Activities'!K151,450))</x:f>
        <x:v>0</x:v>
      </x:c>
      <x:c r="CC151" s="23" t="n">
        <x:f>MAX(0,MIN('Activities'!L151,462)-MAX('Activities'!K151,456))</x:f>
        <x:v>0</x:v>
      </x:c>
      <x:c r="CD151" s="23" t="n">
        <x:f>MAX(0,MIN('Activities'!L151,468)-MAX('Activities'!K151,462))</x:f>
        <x:v>0</x:v>
      </x:c>
      <x:c r="CE151" s="23" t="n">
        <x:f>MAX(0,MIN('Activities'!L151,474)-MAX('Activities'!K151,468))</x:f>
        <x:v>0</x:v>
      </x:c>
      <x:c r="CF151" s="23" t="n">
        <x:f>MAX(0,MIN('Activities'!L151,480)-MAX('Activities'!K151,474))</x:f>
        <x:v>0</x:v>
      </x:c>
      <x:c r="CG151" s="23" t="n">
        <x:f>MAX(0,MIN('Activities'!L151,486)-MAX('Activities'!K151,480))</x:f>
        <x:v>0</x:v>
      </x:c>
      <x:c r="CH151" s="23" t="n">
        <x:f>MAX(0,MIN('Activities'!L151,492)-MAX('Activities'!K151,486))</x:f>
        <x:v>0</x:v>
      </x:c>
      <x:c r="CI151" s="23" t="n">
        <x:f>MAX(0,MIN('Activities'!L151,498)-MAX('Activities'!K151,492))</x:f>
        <x:v>0</x:v>
      </x:c>
      <x:c r="CJ151" s="23" t="n">
        <x:f>MAX(0,MIN('Activities'!L151,504)-MAX('Activities'!K151,498))</x:f>
        <x:v>0</x:v>
      </x:c>
      <x:c r="CK151" s="23" t="n">
        <x:f>MAX(0,MIN('Activities'!L151,510)-MAX('Activities'!K151,504))</x:f>
        <x:v>0</x:v>
      </x:c>
      <x:c r="CL151" s="23" t="n">
        <x:f>MAX(0,MIN('Activities'!L151,516)-MAX('Activities'!K151,510))</x:f>
        <x:v>0</x:v>
      </x:c>
      <x:c r="CM151" s="23" t="n">
        <x:f>MAX(0,MIN('Activities'!L151,522)-MAX('Activities'!K151,516))</x:f>
        <x:v>0</x:v>
      </x:c>
      <x:c r="CN151" s="23" t="n">
        <x:f>MAX(0,MIN('Activities'!L151,528)-MAX('Activities'!K151,522))</x:f>
        <x:v>0</x:v>
      </x:c>
      <x:c r="CO151" s="23" t="n">
        <x:f>MAX(0,MIN('Activities'!L151,534)-MAX('Activities'!K151,528))</x:f>
        <x:v>0</x:v>
      </x:c>
      <x:c r="CP151" s="23" t="n">
        <x:f>MAX(0,MIN('Activities'!L151,540)-MAX('Activities'!K151,534))</x:f>
        <x:v>0</x:v>
      </x:c>
      <x:c r="CQ151" s="23" t="n">
        <x:f>MAX(0,MIN('Activities'!L151,546)-MAX('Activities'!K151,540))</x:f>
        <x:v>0</x:v>
      </x:c>
      <x:c r="CR151" s="23" t="n">
        <x:f>MAX(0,MIN('Activities'!L151,552)-MAX('Activities'!K151,546))</x:f>
        <x:v>0</x:v>
      </x:c>
      <x:c r="CS151" s="23" t="n">
        <x:f>MAX(0,MIN('Activities'!L151,558)-MAX('Activities'!K151,552))</x:f>
        <x:v>0</x:v>
      </x:c>
      <x:c r="CT151" s="23" t="n">
        <x:f>MAX(0,MIN('Activities'!L151,564)-MAX('Activities'!K151,558))</x:f>
        <x:v>0</x:v>
      </x:c>
      <x:c r="CU151" s="23" t="n">
        <x:f>MAX(0,MIN('Activities'!L151,570)-MAX('Activities'!K151,564))</x:f>
        <x:v>0</x:v>
      </x:c>
      <x:c r="CV151" s="23" t="n">
        <x:f>MAX(0,MIN('Activities'!L151,576)-MAX('Activities'!K151,570))</x:f>
        <x:v>0</x:v>
      </x:c>
      <x:c r="CW151" s="23" t="n">
        <x:f>MAX(0,MIN('Activities'!L151,582)-MAX('Activities'!K151,576))</x:f>
        <x:v>0</x:v>
      </x:c>
      <x:c r="CX151" s="23" t="n">
        <x:f>MAX(0,MIN('Activities'!L151,588)-MAX('Activities'!K151,582))</x:f>
        <x:v>0</x:v>
      </x:c>
      <x:c r="CY151" s="23" t="n">
        <x:f>MAX(0,MIN('Activities'!L151,594)-MAX('Activities'!K151,588))</x:f>
        <x:v>0</x:v>
      </x:c>
      <x:c r="CZ151" s="23" t="n">
        <x:f>MAX(0,MIN('Activities'!L151,600)-MAX('Activities'!K151,594))</x:f>
        <x:v>0</x:v>
      </x:c>
      <x:c r="DA151" s="23" t="n">
        <x:f>MAX(0,MIN('Activities'!L151,606)-MAX('Activities'!K151,600))</x:f>
        <x:v>0</x:v>
      </x:c>
      <x:c r="DB151" s="23" t="n">
        <x:f>MAX(0,MIN('Activities'!L151,612)-MAX('Activities'!K151,606))</x:f>
        <x:v>0</x:v>
      </x:c>
      <x:c r="DC151" s="23" t="n">
        <x:f>MAX(0,MIN('Activities'!L151,618)-MAX('Activities'!K151,612))</x:f>
        <x:v>0</x:v>
      </x:c>
      <x:c r="DD151" s="23" t="n">
        <x:f>MAX(0,MIN('Activities'!L151,624)-MAX('Activities'!K151,618))</x:f>
        <x:v>0</x:v>
      </x:c>
      <x:c r="DE151" s="23" t="n">
        <x:f>MAX(0,MIN('Activities'!L151,630)-MAX('Activities'!K151,624))</x:f>
        <x:v>0</x:v>
      </x:c>
      <x:c r="DF151" s="23" t="n">
        <x:f>MAX(0,MIN('Activities'!L151,636)-MAX('Activities'!K151,630))</x:f>
        <x:v>0</x:v>
      </x:c>
    </x:row>
    <x:row r="152" ht="23" customHeight="1">
      <x:c r="A152" s="6" t="str">
        <x:v>T2-L00-H</x:v>
      </x:c>
      <x:c r="B152" s="6" t="str">
        <x:v>T2</x:v>
      </x:c>
      <x:c r="C152" s="6" t="str">
        <x:v>Curing and release hold point</x:v>
      </x:c>
      <x:c r="D152" s="6" t="str">
        <x:v>Site</x:v>
      </x:c>
      <x:c r="E152" s="22" t="n">
        <x:f>MAX(0,MIN('Activities'!L152,6)-MAX('Activities'!K152,0))</x:f>
        <x:v>0</x:v>
      </x:c>
      <x:c r="F152" s="22" t="n">
        <x:f>MAX(0,MIN('Activities'!L152,12)-MAX('Activities'!K152,6))</x:f>
        <x:v>0</x:v>
      </x:c>
      <x:c r="G152" s="22" t="n">
        <x:f>MAX(0,MIN('Activities'!L152,18)-MAX('Activities'!K152,12))</x:f>
        <x:v>0</x:v>
      </x:c>
      <x:c r="H152" s="22" t="n">
        <x:f>MAX(0,MIN('Activities'!L152,24)-MAX('Activities'!K152,18))</x:f>
        <x:v>0</x:v>
      </x:c>
      <x:c r="I152" s="22" t="n">
        <x:f>MAX(0,MIN('Activities'!L152,30)-MAX('Activities'!K152,24))</x:f>
        <x:v>0</x:v>
      </x:c>
      <x:c r="J152" s="22" t="n">
        <x:f>MAX(0,MIN('Activities'!L152,36)-MAX('Activities'!K152,30))</x:f>
        <x:v>0</x:v>
      </x:c>
      <x:c r="K152" s="22" t="n">
        <x:f>MAX(0,MIN('Activities'!L152,42)-MAX('Activities'!K152,36))</x:f>
        <x:v>0</x:v>
      </x:c>
      <x:c r="L152" s="22" t="n">
        <x:f>MAX(0,MIN('Activities'!L152,48)-MAX('Activities'!K152,42))</x:f>
        <x:v>0</x:v>
      </x:c>
      <x:c r="M152" s="22" t="n">
        <x:f>MAX(0,MIN('Activities'!L152,54)-MAX('Activities'!K152,48))</x:f>
        <x:v>0</x:v>
      </x:c>
      <x:c r="N152" s="22" t="n">
        <x:f>MAX(0,MIN('Activities'!L152,60)-MAX('Activities'!K152,54))</x:f>
        <x:v>0</x:v>
      </x:c>
      <x:c r="O152" s="22" t="n">
        <x:f>MAX(0,MIN('Activities'!L152,66)-MAX('Activities'!K152,60))</x:f>
        <x:v>0</x:v>
      </x:c>
      <x:c r="P152" s="22" t="n">
        <x:f>MAX(0,MIN('Activities'!L152,72)-MAX('Activities'!K152,66))</x:f>
        <x:v>0</x:v>
      </x:c>
      <x:c r="Q152" s="22" t="n">
        <x:f>MAX(0,MIN('Activities'!L152,78)-MAX('Activities'!K152,72))</x:f>
        <x:v>0</x:v>
      </x:c>
      <x:c r="R152" s="22" t="n">
        <x:f>MAX(0,MIN('Activities'!L152,84)-MAX('Activities'!K152,78))</x:f>
        <x:v>0</x:v>
      </x:c>
      <x:c r="S152" s="22" t="n">
        <x:f>MAX(0,MIN('Activities'!L152,90)-MAX('Activities'!K152,84))</x:f>
        <x:v>0</x:v>
      </x:c>
      <x:c r="T152" s="22" t="n">
        <x:f>MAX(0,MIN('Activities'!L152,96)-MAX('Activities'!K152,90))</x:f>
        <x:v>0</x:v>
      </x:c>
      <x:c r="U152" s="22" t="n">
        <x:f>MAX(0,MIN('Activities'!L152,102)-MAX('Activities'!K152,96))</x:f>
        <x:v>0</x:v>
      </x:c>
      <x:c r="V152" s="22" t="n">
        <x:f>MAX(0,MIN('Activities'!L152,108)-MAX('Activities'!K152,102))</x:f>
        <x:v>0</x:v>
      </x:c>
      <x:c r="W152" s="22" t="n">
        <x:f>MAX(0,MIN('Activities'!L152,114)-MAX('Activities'!K152,108))</x:f>
        <x:v>0</x:v>
      </x:c>
      <x:c r="X152" s="22" t="n">
        <x:f>MAX(0,MIN('Activities'!L152,120)-MAX('Activities'!K152,114))</x:f>
        <x:v>0</x:v>
      </x:c>
      <x:c r="Y152" s="22" t="n">
        <x:f>MAX(0,MIN('Activities'!L152,126)-MAX('Activities'!K152,120))</x:f>
        <x:v>0</x:v>
      </x:c>
      <x:c r="Z152" s="22" t="n">
        <x:f>MAX(0,MIN('Activities'!L152,132)-MAX('Activities'!K152,126))</x:f>
        <x:v>0</x:v>
      </x:c>
      <x:c r="AA152" s="22" t="n">
        <x:f>MAX(0,MIN('Activities'!L152,138)-MAX('Activities'!K152,132))</x:f>
        <x:v>0</x:v>
      </x:c>
      <x:c r="AB152" s="22" t="n">
        <x:f>MAX(0,MIN('Activities'!L152,144)-MAX('Activities'!K152,138))</x:f>
        <x:v>0</x:v>
      </x:c>
      <x:c r="AC152" s="22" t="n">
        <x:f>MAX(0,MIN('Activities'!L152,150)-MAX('Activities'!K152,144))</x:f>
        <x:v>0</x:v>
      </x:c>
      <x:c r="AD152" s="22" t="n">
        <x:f>MAX(0,MIN('Activities'!L152,156)-MAX('Activities'!K152,150))</x:f>
        <x:v>0</x:v>
      </x:c>
      <x:c r="AE152" s="22" t="n">
        <x:f>MAX(0,MIN('Activities'!L152,162)-MAX('Activities'!K152,156))</x:f>
        <x:v>3</x:v>
      </x:c>
      <x:c r="AF152" s="22" t="n">
        <x:f>MAX(0,MIN('Activities'!L152,168)-MAX('Activities'!K152,162))</x:f>
        <x:v>2</x:v>
      </x:c>
      <x:c r="AG152" s="22" t="n">
        <x:f>MAX(0,MIN('Activities'!L152,174)-MAX('Activities'!K152,168))</x:f>
        <x:v>0</x:v>
      </x:c>
      <x:c r="AH152" s="22" t="n">
        <x:f>MAX(0,MIN('Activities'!L152,180)-MAX('Activities'!K152,174))</x:f>
        <x:v>0</x:v>
      </x:c>
      <x:c r="AI152" s="22" t="n">
        <x:f>MAX(0,MIN('Activities'!L152,186)-MAX('Activities'!K152,180))</x:f>
        <x:v>0</x:v>
      </x:c>
      <x:c r="AJ152" s="22" t="n">
        <x:f>MAX(0,MIN('Activities'!L152,192)-MAX('Activities'!K152,186))</x:f>
        <x:v>0</x:v>
      </x:c>
      <x:c r="AK152" s="22" t="n">
        <x:f>MAX(0,MIN('Activities'!L152,198)-MAX('Activities'!K152,192))</x:f>
        <x:v>0</x:v>
      </x:c>
      <x:c r="AL152" s="22" t="n">
        <x:f>MAX(0,MIN('Activities'!L152,204)-MAX('Activities'!K152,198))</x:f>
        <x:v>0</x:v>
      </x:c>
      <x:c r="AM152" s="22" t="n">
        <x:f>MAX(0,MIN('Activities'!L152,210)-MAX('Activities'!K152,204))</x:f>
        <x:v>0</x:v>
      </x:c>
      <x:c r="AN152" s="22" t="n">
        <x:f>MAX(0,MIN('Activities'!L152,216)-MAX('Activities'!K152,210))</x:f>
        <x:v>0</x:v>
      </x:c>
      <x:c r="AO152" s="22" t="n">
        <x:f>MAX(0,MIN('Activities'!L152,222)-MAX('Activities'!K152,216))</x:f>
        <x:v>0</x:v>
      </x:c>
      <x:c r="AP152" s="22" t="n">
        <x:f>MAX(0,MIN('Activities'!L152,228)-MAX('Activities'!K152,222))</x:f>
        <x:v>0</x:v>
      </x:c>
      <x:c r="AQ152" s="22" t="n">
        <x:f>MAX(0,MIN('Activities'!L152,234)-MAX('Activities'!K152,228))</x:f>
        <x:v>0</x:v>
      </x:c>
      <x:c r="AR152" s="22" t="n">
        <x:f>MAX(0,MIN('Activities'!L152,240)-MAX('Activities'!K152,234))</x:f>
        <x:v>0</x:v>
      </x:c>
      <x:c r="AS152" s="22" t="n">
        <x:f>MAX(0,MIN('Activities'!L152,246)-MAX('Activities'!K152,240))</x:f>
        <x:v>0</x:v>
      </x:c>
      <x:c r="AT152" s="22" t="n">
        <x:f>MAX(0,MIN('Activities'!L152,252)-MAX('Activities'!K152,246))</x:f>
        <x:v>0</x:v>
      </x:c>
      <x:c r="AU152" s="22" t="n">
        <x:f>MAX(0,MIN('Activities'!L152,258)-MAX('Activities'!K152,252))</x:f>
        <x:v>0</x:v>
      </x:c>
      <x:c r="AV152" s="22" t="n">
        <x:f>MAX(0,MIN('Activities'!L152,264)-MAX('Activities'!K152,258))</x:f>
        <x:v>0</x:v>
      </x:c>
      <x:c r="AW152" s="22" t="n">
        <x:f>MAX(0,MIN('Activities'!L152,270)-MAX('Activities'!K152,264))</x:f>
        <x:v>0</x:v>
      </x:c>
      <x:c r="AX152" s="22" t="n">
        <x:f>MAX(0,MIN('Activities'!L152,276)-MAX('Activities'!K152,270))</x:f>
        <x:v>0</x:v>
      </x:c>
      <x:c r="AY152" s="22" t="n">
        <x:f>MAX(0,MIN('Activities'!L152,282)-MAX('Activities'!K152,276))</x:f>
        <x:v>0</x:v>
      </x:c>
      <x:c r="AZ152" s="22" t="n">
        <x:f>MAX(0,MIN('Activities'!L152,288)-MAX('Activities'!K152,282))</x:f>
        <x:v>0</x:v>
      </x:c>
      <x:c r="BA152" s="22" t="n">
        <x:f>MAX(0,MIN('Activities'!L152,294)-MAX('Activities'!K152,288))</x:f>
        <x:v>0</x:v>
      </x:c>
      <x:c r="BB152" s="22" t="n">
        <x:f>MAX(0,MIN('Activities'!L152,300)-MAX('Activities'!K152,294))</x:f>
        <x:v>0</x:v>
      </x:c>
      <x:c r="BC152" s="22" t="n">
        <x:f>MAX(0,MIN('Activities'!L152,306)-MAX('Activities'!K152,300))</x:f>
        <x:v>0</x:v>
      </x:c>
      <x:c r="BD152" s="22" t="n">
        <x:f>MAX(0,MIN('Activities'!L152,312)-MAX('Activities'!K152,306))</x:f>
        <x:v>0</x:v>
      </x:c>
      <x:c r="BE152" s="22" t="n">
        <x:f>MAX(0,MIN('Activities'!L152,318)-MAX('Activities'!K152,312))</x:f>
        <x:v>0</x:v>
      </x:c>
      <x:c r="BF152" s="22" t="n">
        <x:f>MAX(0,MIN('Activities'!L152,324)-MAX('Activities'!K152,318))</x:f>
        <x:v>0</x:v>
      </x:c>
      <x:c r="BG152" s="22" t="n">
        <x:f>MAX(0,MIN('Activities'!L152,330)-MAX('Activities'!K152,324))</x:f>
        <x:v>0</x:v>
      </x:c>
      <x:c r="BH152" s="22" t="n">
        <x:f>MAX(0,MIN('Activities'!L152,336)-MAX('Activities'!K152,330))</x:f>
        <x:v>0</x:v>
      </x:c>
      <x:c r="BI152" s="22" t="n">
        <x:f>MAX(0,MIN('Activities'!L152,342)-MAX('Activities'!K152,336))</x:f>
        <x:v>0</x:v>
      </x:c>
      <x:c r="BJ152" s="22" t="n">
        <x:f>MAX(0,MIN('Activities'!L152,348)-MAX('Activities'!K152,342))</x:f>
        <x:v>0</x:v>
      </x:c>
      <x:c r="BK152" s="22" t="n">
        <x:f>MAX(0,MIN('Activities'!L152,354)-MAX('Activities'!K152,348))</x:f>
        <x:v>0</x:v>
      </x:c>
      <x:c r="BL152" s="22" t="n">
        <x:f>MAX(0,MIN('Activities'!L152,360)-MAX('Activities'!K152,354))</x:f>
        <x:v>0</x:v>
      </x:c>
      <x:c r="BM152" s="22" t="n">
        <x:f>MAX(0,MIN('Activities'!L152,366)-MAX('Activities'!K152,360))</x:f>
        <x:v>0</x:v>
      </x:c>
      <x:c r="BN152" s="22" t="n">
        <x:f>MAX(0,MIN('Activities'!L152,372)-MAX('Activities'!K152,366))</x:f>
        <x:v>0</x:v>
      </x:c>
      <x:c r="BO152" s="22" t="n">
        <x:f>MAX(0,MIN('Activities'!L152,378)-MAX('Activities'!K152,372))</x:f>
        <x:v>0</x:v>
      </x:c>
      <x:c r="BP152" s="22" t="n">
        <x:f>MAX(0,MIN('Activities'!L152,384)-MAX('Activities'!K152,378))</x:f>
        <x:v>0</x:v>
      </x:c>
      <x:c r="BQ152" s="22" t="n">
        <x:f>MAX(0,MIN('Activities'!L152,390)-MAX('Activities'!K152,384))</x:f>
        <x:v>0</x:v>
      </x:c>
      <x:c r="BR152" s="22" t="n">
        <x:f>MAX(0,MIN('Activities'!L152,396)-MAX('Activities'!K152,390))</x:f>
        <x:v>0</x:v>
      </x:c>
      <x:c r="BS152" s="22" t="n">
        <x:f>MAX(0,MIN('Activities'!L152,402)-MAX('Activities'!K152,396))</x:f>
        <x:v>0</x:v>
      </x:c>
      <x:c r="BT152" s="22" t="n">
        <x:f>MAX(0,MIN('Activities'!L152,408)-MAX('Activities'!K152,402))</x:f>
        <x:v>0</x:v>
      </x:c>
      <x:c r="BU152" s="22" t="n">
        <x:f>MAX(0,MIN('Activities'!L152,414)-MAX('Activities'!K152,408))</x:f>
        <x:v>0</x:v>
      </x:c>
      <x:c r="BV152" s="22" t="n">
        <x:f>MAX(0,MIN('Activities'!L152,420)-MAX('Activities'!K152,414))</x:f>
        <x:v>0</x:v>
      </x:c>
      <x:c r="BW152" s="22" t="n">
        <x:f>MAX(0,MIN('Activities'!L152,426)-MAX('Activities'!K152,420))</x:f>
        <x:v>0</x:v>
      </x:c>
      <x:c r="BX152" s="22" t="n">
        <x:f>MAX(0,MIN('Activities'!L152,432)-MAX('Activities'!K152,426))</x:f>
        <x:v>0</x:v>
      </x:c>
      <x:c r="BY152" s="22" t="n">
        <x:f>MAX(0,MIN('Activities'!L152,438)-MAX('Activities'!K152,432))</x:f>
        <x:v>0</x:v>
      </x:c>
      <x:c r="BZ152" s="22" t="n">
        <x:f>MAX(0,MIN('Activities'!L152,444)-MAX('Activities'!K152,438))</x:f>
        <x:v>0</x:v>
      </x:c>
      <x:c r="CA152" s="22" t="n">
        <x:f>MAX(0,MIN('Activities'!L152,450)-MAX('Activities'!K152,444))</x:f>
        <x:v>0</x:v>
      </x:c>
      <x:c r="CB152" s="22" t="n">
        <x:f>MAX(0,MIN('Activities'!L152,456)-MAX('Activities'!K152,450))</x:f>
        <x:v>0</x:v>
      </x:c>
      <x:c r="CC152" s="22" t="n">
        <x:f>MAX(0,MIN('Activities'!L152,462)-MAX('Activities'!K152,456))</x:f>
        <x:v>0</x:v>
      </x:c>
      <x:c r="CD152" s="22" t="n">
        <x:f>MAX(0,MIN('Activities'!L152,468)-MAX('Activities'!K152,462))</x:f>
        <x:v>0</x:v>
      </x:c>
      <x:c r="CE152" s="22" t="n">
        <x:f>MAX(0,MIN('Activities'!L152,474)-MAX('Activities'!K152,468))</x:f>
        <x:v>0</x:v>
      </x:c>
      <x:c r="CF152" s="22" t="n">
        <x:f>MAX(0,MIN('Activities'!L152,480)-MAX('Activities'!K152,474))</x:f>
        <x:v>0</x:v>
      </x:c>
      <x:c r="CG152" s="22" t="n">
        <x:f>MAX(0,MIN('Activities'!L152,486)-MAX('Activities'!K152,480))</x:f>
        <x:v>0</x:v>
      </x:c>
      <x:c r="CH152" s="22" t="n">
        <x:f>MAX(0,MIN('Activities'!L152,492)-MAX('Activities'!K152,486))</x:f>
        <x:v>0</x:v>
      </x:c>
      <x:c r="CI152" s="22" t="n">
        <x:f>MAX(0,MIN('Activities'!L152,498)-MAX('Activities'!K152,492))</x:f>
        <x:v>0</x:v>
      </x:c>
      <x:c r="CJ152" s="22" t="n">
        <x:f>MAX(0,MIN('Activities'!L152,504)-MAX('Activities'!K152,498))</x:f>
        <x:v>0</x:v>
      </x:c>
      <x:c r="CK152" s="22" t="n">
        <x:f>MAX(0,MIN('Activities'!L152,510)-MAX('Activities'!K152,504))</x:f>
        <x:v>0</x:v>
      </x:c>
      <x:c r="CL152" s="22" t="n">
        <x:f>MAX(0,MIN('Activities'!L152,516)-MAX('Activities'!K152,510))</x:f>
        <x:v>0</x:v>
      </x:c>
      <x:c r="CM152" s="22" t="n">
        <x:f>MAX(0,MIN('Activities'!L152,522)-MAX('Activities'!K152,516))</x:f>
        <x:v>0</x:v>
      </x:c>
      <x:c r="CN152" s="22" t="n">
        <x:f>MAX(0,MIN('Activities'!L152,528)-MAX('Activities'!K152,522))</x:f>
        <x:v>0</x:v>
      </x:c>
      <x:c r="CO152" s="22" t="n">
        <x:f>MAX(0,MIN('Activities'!L152,534)-MAX('Activities'!K152,528))</x:f>
        <x:v>0</x:v>
      </x:c>
      <x:c r="CP152" s="22" t="n">
        <x:f>MAX(0,MIN('Activities'!L152,540)-MAX('Activities'!K152,534))</x:f>
        <x:v>0</x:v>
      </x:c>
      <x:c r="CQ152" s="22" t="n">
        <x:f>MAX(0,MIN('Activities'!L152,546)-MAX('Activities'!K152,540))</x:f>
        <x:v>0</x:v>
      </x:c>
      <x:c r="CR152" s="22" t="n">
        <x:f>MAX(0,MIN('Activities'!L152,552)-MAX('Activities'!K152,546))</x:f>
        <x:v>0</x:v>
      </x:c>
      <x:c r="CS152" s="22" t="n">
        <x:f>MAX(0,MIN('Activities'!L152,558)-MAX('Activities'!K152,552))</x:f>
        <x:v>0</x:v>
      </x:c>
      <x:c r="CT152" s="22" t="n">
        <x:f>MAX(0,MIN('Activities'!L152,564)-MAX('Activities'!K152,558))</x:f>
        <x:v>0</x:v>
      </x:c>
      <x:c r="CU152" s="22" t="n">
        <x:f>MAX(0,MIN('Activities'!L152,570)-MAX('Activities'!K152,564))</x:f>
        <x:v>0</x:v>
      </x:c>
      <x:c r="CV152" s="22" t="n">
        <x:f>MAX(0,MIN('Activities'!L152,576)-MAX('Activities'!K152,570))</x:f>
        <x:v>0</x:v>
      </x:c>
      <x:c r="CW152" s="22" t="n">
        <x:f>MAX(0,MIN('Activities'!L152,582)-MAX('Activities'!K152,576))</x:f>
        <x:v>0</x:v>
      </x:c>
      <x:c r="CX152" s="22" t="n">
        <x:f>MAX(0,MIN('Activities'!L152,588)-MAX('Activities'!K152,582))</x:f>
        <x:v>0</x:v>
      </x:c>
      <x:c r="CY152" s="22" t="n">
        <x:f>MAX(0,MIN('Activities'!L152,594)-MAX('Activities'!K152,588))</x:f>
        <x:v>0</x:v>
      </x:c>
      <x:c r="CZ152" s="22" t="n">
        <x:f>MAX(0,MIN('Activities'!L152,600)-MAX('Activities'!K152,594))</x:f>
        <x:v>0</x:v>
      </x:c>
      <x:c r="DA152" s="22" t="n">
        <x:f>MAX(0,MIN('Activities'!L152,606)-MAX('Activities'!K152,600))</x:f>
        <x:v>0</x:v>
      </x:c>
      <x:c r="DB152" s="22" t="n">
        <x:f>MAX(0,MIN('Activities'!L152,612)-MAX('Activities'!K152,606))</x:f>
        <x:v>0</x:v>
      </x:c>
      <x:c r="DC152" s="22" t="n">
        <x:f>MAX(0,MIN('Activities'!L152,618)-MAX('Activities'!K152,612))</x:f>
        <x:v>0</x:v>
      </x:c>
      <x:c r="DD152" s="22" t="n">
        <x:f>MAX(0,MIN('Activities'!L152,624)-MAX('Activities'!K152,618))</x:f>
        <x:v>0</x:v>
      </x:c>
      <x:c r="DE152" s="22" t="n">
        <x:f>MAX(0,MIN('Activities'!L152,630)-MAX('Activities'!K152,624))</x:f>
        <x:v>0</x:v>
      </x:c>
      <x:c r="DF152" s="22" t="n">
        <x:f>MAX(0,MIN('Activities'!L152,636)-MAX('Activities'!K152,630))</x:f>
        <x:v>0</x:v>
      </x:c>
    </x:row>
    <x:row r="153" ht="23" customHeight="1">
      <x:c r="A153" s="1" t="str">
        <x:v>T2-L01-F</x:v>
      </x:c>
      <x:c r="B153" s="1" t="str">
        <x:v>T2</x:v>
      </x:c>
      <x:c r="C153" s="1" t="str">
        <x:v>Columns, core and deck formwork</x:v>
      </x:c>
      <x:c r="D153" s="1" t="str">
        <x:v>Formwork</x:v>
      </x:c>
      <x:c r="E153" s="23" t="n">
        <x:f>MAX(0,MIN('Activities'!L153,6)-MAX('Activities'!K153,0))</x:f>
        <x:v>0</x:v>
      </x:c>
      <x:c r="F153" s="23" t="n">
        <x:f>MAX(0,MIN('Activities'!L153,12)-MAX('Activities'!K153,6))</x:f>
        <x:v>0</x:v>
      </x:c>
      <x:c r="G153" s="23" t="n">
        <x:f>MAX(0,MIN('Activities'!L153,18)-MAX('Activities'!K153,12))</x:f>
        <x:v>0</x:v>
      </x:c>
      <x:c r="H153" s="23" t="n">
        <x:f>MAX(0,MIN('Activities'!L153,24)-MAX('Activities'!K153,18))</x:f>
        <x:v>0</x:v>
      </x:c>
      <x:c r="I153" s="23" t="n">
        <x:f>MAX(0,MIN('Activities'!L153,30)-MAX('Activities'!K153,24))</x:f>
        <x:v>0</x:v>
      </x:c>
      <x:c r="J153" s="23" t="n">
        <x:f>MAX(0,MIN('Activities'!L153,36)-MAX('Activities'!K153,30))</x:f>
        <x:v>0</x:v>
      </x:c>
      <x:c r="K153" s="23" t="n">
        <x:f>MAX(0,MIN('Activities'!L153,42)-MAX('Activities'!K153,36))</x:f>
        <x:v>0</x:v>
      </x:c>
      <x:c r="L153" s="23" t="n">
        <x:f>MAX(0,MIN('Activities'!L153,48)-MAX('Activities'!K153,42))</x:f>
        <x:v>0</x:v>
      </x:c>
      <x:c r="M153" s="23" t="n">
        <x:f>MAX(0,MIN('Activities'!L153,54)-MAX('Activities'!K153,48))</x:f>
        <x:v>0</x:v>
      </x:c>
      <x:c r="N153" s="23" t="n">
        <x:f>MAX(0,MIN('Activities'!L153,60)-MAX('Activities'!K153,54))</x:f>
        <x:v>0</x:v>
      </x:c>
      <x:c r="O153" s="23" t="n">
        <x:f>MAX(0,MIN('Activities'!L153,66)-MAX('Activities'!K153,60))</x:f>
        <x:v>0</x:v>
      </x:c>
      <x:c r="P153" s="23" t="n">
        <x:f>MAX(0,MIN('Activities'!L153,72)-MAX('Activities'!K153,66))</x:f>
        <x:v>0</x:v>
      </x:c>
      <x:c r="Q153" s="23" t="n">
        <x:f>MAX(0,MIN('Activities'!L153,78)-MAX('Activities'!K153,72))</x:f>
        <x:v>0</x:v>
      </x:c>
      <x:c r="R153" s="23" t="n">
        <x:f>MAX(0,MIN('Activities'!L153,84)-MAX('Activities'!K153,78))</x:f>
        <x:v>0</x:v>
      </x:c>
      <x:c r="S153" s="23" t="n">
        <x:f>MAX(0,MIN('Activities'!L153,90)-MAX('Activities'!K153,84))</x:f>
        <x:v>0</x:v>
      </x:c>
      <x:c r="T153" s="23" t="n">
        <x:f>MAX(0,MIN('Activities'!L153,96)-MAX('Activities'!K153,90))</x:f>
        <x:v>0</x:v>
      </x:c>
      <x:c r="U153" s="23" t="n">
        <x:f>MAX(0,MIN('Activities'!L153,102)-MAX('Activities'!K153,96))</x:f>
        <x:v>0</x:v>
      </x:c>
      <x:c r="V153" s="23" t="n">
        <x:f>MAX(0,MIN('Activities'!L153,108)-MAX('Activities'!K153,102))</x:f>
        <x:v>0</x:v>
      </x:c>
      <x:c r="W153" s="23" t="n">
        <x:f>MAX(0,MIN('Activities'!L153,114)-MAX('Activities'!K153,108))</x:f>
        <x:v>0</x:v>
      </x:c>
      <x:c r="X153" s="23" t="n">
        <x:f>MAX(0,MIN('Activities'!L153,120)-MAX('Activities'!K153,114))</x:f>
        <x:v>0</x:v>
      </x:c>
      <x:c r="Y153" s="23" t="n">
        <x:f>MAX(0,MIN('Activities'!L153,126)-MAX('Activities'!K153,120))</x:f>
        <x:v>0</x:v>
      </x:c>
      <x:c r="Z153" s="23" t="n">
        <x:f>MAX(0,MIN('Activities'!L153,132)-MAX('Activities'!K153,126))</x:f>
        <x:v>0</x:v>
      </x:c>
      <x:c r="AA153" s="23" t="n">
        <x:f>MAX(0,MIN('Activities'!L153,138)-MAX('Activities'!K153,132))</x:f>
        <x:v>0</x:v>
      </x:c>
      <x:c r="AB153" s="23" t="n">
        <x:f>MAX(0,MIN('Activities'!L153,144)-MAX('Activities'!K153,138))</x:f>
        <x:v>0</x:v>
      </x:c>
      <x:c r="AC153" s="23" t="n">
        <x:f>MAX(0,MIN('Activities'!L153,150)-MAX('Activities'!K153,144))</x:f>
        <x:v>0</x:v>
      </x:c>
      <x:c r="AD153" s="23" t="n">
        <x:f>MAX(0,MIN('Activities'!L153,156)-MAX('Activities'!K153,150))</x:f>
        <x:v>0</x:v>
      </x:c>
      <x:c r="AE153" s="23" t="n">
        <x:f>MAX(0,MIN('Activities'!L153,162)-MAX('Activities'!K153,156))</x:f>
        <x:v>0</x:v>
      </x:c>
      <x:c r="AF153" s="23" t="n">
        <x:f>MAX(0,MIN('Activities'!L153,168)-MAX('Activities'!K153,162))</x:f>
        <x:v>4</x:v>
      </x:c>
      <x:c r="AG153" s="23" t="n">
        <x:f>MAX(0,MIN('Activities'!L153,174)-MAX('Activities'!K153,168))</x:f>
        <x:v>2</x:v>
      </x:c>
      <x:c r="AH153" s="23" t="n">
        <x:f>MAX(0,MIN('Activities'!L153,180)-MAX('Activities'!K153,174))</x:f>
        <x:v>0</x:v>
      </x:c>
      <x:c r="AI153" s="23" t="n">
        <x:f>MAX(0,MIN('Activities'!L153,186)-MAX('Activities'!K153,180))</x:f>
        <x:v>0</x:v>
      </x:c>
      <x:c r="AJ153" s="23" t="n">
        <x:f>MAX(0,MIN('Activities'!L153,192)-MAX('Activities'!K153,186))</x:f>
        <x:v>0</x:v>
      </x:c>
      <x:c r="AK153" s="23" t="n">
        <x:f>MAX(0,MIN('Activities'!L153,198)-MAX('Activities'!K153,192))</x:f>
        <x:v>0</x:v>
      </x:c>
      <x:c r="AL153" s="23" t="n">
        <x:f>MAX(0,MIN('Activities'!L153,204)-MAX('Activities'!K153,198))</x:f>
        <x:v>0</x:v>
      </x:c>
      <x:c r="AM153" s="23" t="n">
        <x:f>MAX(0,MIN('Activities'!L153,210)-MAX('Activities'!K153,204))</x:f>
        <x:v>0</x:v>
      </x:c>
      <x:c r="AN153" s="23" t="n">
        <x:f>MAX(0,MIN('Activities'!L153,216)-MAX('Activities'!K153,210))</x:f>
        <x:v>0</x:v>
      </x:c>
      <x:c r="AO153" s="23" t="n">
        <x:f>MAX(0,MIN('Activities'!L153,222)-MAX('Activities'!K153,216))</x:f>
        <x:v>0</x:v>
      </x:c>
      <x:c r="AP153" s="23" t="n">
        <x:f>MAX(0,MIN('Activities'!L153,228)-MAX('Activities'!K153,222))</x:f>
        <x:v>0</x:v>
      </x:c>
      <x:c r="AQ153" s="23" t="n">
        <x:f>MAX(0,MIN('Activities'!L153,234)-MAX('Activities'!K153,228))</x:f>
        <x:v>0</x:v>
      </x:c>
      <x:c r="AR153" s="23" t="n">
        <x:f>MAX(0,MIN('Activities'!L153,240)-MAX('Activities'!K153,234))</x:f>
        <x:v>0</x:v>
      </x:c>
      <x:c r="AS153" s="23" t="n">
        <x:f>MAX(0,MIN('Activities'!L153,246)-MAX('Activities'!K153,240))</x:f>
        <x:v>0</x:v>
      </x:c>
      <x:c r="AT153" s="23" t="n">
        <x:f>MAX(0,MIN('Activities'!L153,252)-MAX('Activities'!K153,246))</x:f>
        <x:v>0</x:v>
      </x:c>
      <x:c r="AU153" s="23" t="n">
        <x:f>MAX(0,MIN('Activities'!L153,258)-MAX('Activities'!K153,252))</x:f>
        <x:v>0</x:v>
      </x:c>
      <x:c r="AV153" s="23" t="n">
        <x:f>MAX(0,MIN('Activities'!L153,264)-MAX('Activities'!K153,258))</x:f>
        <x:v>0</x:v>
      </x:c>
      <x:c r="AW153" s="23" t="n">
        <x:f>MAX(0,MIN('Activities'!L153,270)-MAX('Activities'!K153,264))</x:f>
        <x:v>0</x:v>
      </x:c>
      <x:c r="AX153" s="23" t="n">
        <x:f>MAX(0,MIN('Activities'!L153,276)-MAX('Activities'!K153,270))</x:f>
        <x:v>0</x:v>
      </x:c>
      <x:c r="AY153" s="23" t="n">
        <x:f>MAX(0,MIN('Activities'!L153,282)-MAX('Activities'!K153,276))</x:f>
        <x:v>0</x:v>
      </x:c>
      <x:c r="AZ153" s="23" t="n">
        <x:f>MAX(0,MIN('Activities'!L153,288)-MAX('Activities'!K153,282))</x:f>
        <x:v>0</x:v>
      </x:c>
      <x:c r="BA153" s="23" t="n">
        <x:f>MAX(0,MIN('Activities'!L153,294)-MAX('Activities'!K153,288))</x:f>
        <x:v>0</x:v>
      </x:c>
      <x:c r="BB153" s="23" t="n">
        <x:f>MAX(0,MIN('Activities'!L153,300)-MAX('Activities'!K153,294))</x:f>
        <x:v>0</x:v>
      </x:c>
      <x:c r="BC153" s="23" t="n">
        <x:f>MAX(0,MIN('Activities'!L153,306)-MAX('Activities'!K153,300))</x:f>
        <x:v>0</x:v>
      </x:c>
      <x:c r="BD153" s="23" t="n">
        <x:f>MAX(0,MIN('Activities'!L153,312)-MAX('Activities'!K153,306))</x:f>
        <x:v>0</x:v>
      </x:c>
      <x:c r="BE153" s="23" t="n">
        <x:f>MAX(0,MIN('Activities'!L153,318)-MAX('Activities'!K153,312))</x:f>
        <x:v>0</x:v>
      </x:c>
      <x:c r="BF153" s="23" t="n">
        <x:f>MAX(0,MIN('Activities'!L153,324)-MAX('Activities'!K153,318))</x:f>
        <x:v>0</x:v>
      </x:c>
      <x:c r="BG153" s="23" t="n">
        <x:f>MAX(0,MIN('Activities'!L153,330)-MAX('Activities'!K153,324))</x:f>
        <x:v>0</x:v>
      </x:c>
      <x:c r="BH153" s="23" t="n">
        <x:f>MAX(0,MIN('Activities'!L153,336)-MAX('Activities'!K153,330))</x:f>
        <x:v>0</x:v>
      </x:c>
      <x:c r="BI153" s="23" t="n">
        <x:f>MAX(0,MIN('Activities'!L153,342)-MAX('Activities'!K153,336))</x:f>
        <x:v>0</x:v>
      </x:c>
      <x:c r="BJ153" s="23" t="n">
        <x:f>MAX(0,MIN('Activities'!L153,348)-MAX('Activities'!K153,342))</x:f>
        <x:v>0</x:v>
      </x:c>
      <x:c r="BK153" s="23" t="n">
        <x:f>MAX(0,MIN('Activities'!L153,354)-MAX('Activities'!K153,348))</x:f>
        <x:v>0</x:v>
      </x:c>
      <x:c r="BL153" s="23" t="n">
        <x:f>MAX(0,MIN('Activities'!L153,360)-MAX('Activities'!K153,354))</x:f>
        <x:v>0</x:v>
      </x:c>
      <x:c r="BM153" s="23" t="n">
        <x:f>MAX(0,MIN('Activities'!L153,366)-MAX('Activities'!K153,360))</x:f>
        <x:v>0</x:v>
      </x:c>
      <x:c r="BN153" s="23" t="n">
        <x:f>MAX(0,MIN('Activities'!L153,372)-MAX('Activities'!K153,366))</x:f>
        <x:v>0</x:v>
      </x:c>
      <x:c r="BO153" s="23" t="n">
        <x:f>MAX(0,MIN('Activities'!L153,378)-MAX('Activities'!K153,372))</x:f>
        <x:v>0</x:v>
      </x:c>
      <x:c r="BP153" s="23" t="n">
        <x:f>MAX(0,MIN('Activities'!L153,384)-MAX('Activities'!K153,378))</x:f>
        <x:v>0</x:v>
      </x:c>
      <x:c r="BQ153" s="23" t="n">
        <x:f>MAX(0,MIN('Activities'!L153,390)-MAX('Activities'!K153,384))</x:f>
        <x:v>0</x:v>
      </x:c>
      <x:c r="BR153" s="23" t="n">
        <x:f>MAX(0,MIN('Activities'!L153,396)-MAX('Activities'!K153,390))</x:f>
        <x:v>0</x:v>
      </x:c>
      <x:c r="BS153" s="23" t="n">
        <x:f>MAX(0,MIN('Activities'!L153,402)-MAX('Activities'!K153,396))</x:f>
        <x:v>0</x:v>
      </x:c>
      <x:c r="BT153" s="23" t="n">
        <x:f>MAX(0,MIN('Activities'!L153,408)-MAX('Activities'!K153,402))</x:f>
        <x:v>0</x:v>
      </x:c>
      <x:c r="BU153" s="23" t="n">
        <x:f>MAX(0,MIN('Activities'!L153,414)-MAX('Activities'!K153,408))</x:f>
        <x:v>0</x:v>
      </x:c>
      <x:c r="BV153" s="23" t="n">
        <x:f>MAX(0,MIN('Activities'!L153,420)-MAX('Activities'!K153,414))</x:f>
        <x:v>0</x:v>
      </x:c>
      <x:c r="BW153" s="23" t="n">
        <x:f>MAX(0,MIN('Activities'!L153,426)-MAX('Activities'!K153,420))</x:f>
        <x:v>0</x:v>
      </x:c>
      <x:c r="BX153" s="23" t="n">
        <x:f>MAX(0,MIN('Activities'!L153,432)-MAX('Activities'!K153,426))</x:f>
        <x:v>0</x:v>
      </x:c>
      <x:c r="BY153" s="23" t="n">
        <x:f>MAX(0,MIN('Activities'!L153,438)-MAX('Activities'!K153,432))</x:f>
        <x:v>0</x:v>
      </x:c>
      <x:c r="BZ153" s="23" t="n">
        <x:f>MAX(0,MIN('Activities'!L153,444)-MAX('Activities'!K153,438))</x:f>
        <x:v>0</x:v>
      </x:c>
      <x:c r="CA153" s="23" t="n">
        <x:f>MAX(0,MIN('Activities'!L153,450)-MAX('Activities'!K153,444))</x:f>
        <x:v>0</x:v>
      </x:c>
      <x:c r="CB153" s="23" t="n">
        <x:f>MAX(0,MIN('Activities'!L153,456)-MAX('Activities'!K153,450))</x:f>
        <x:v>0</x:v>
      </x:c>
      <x:c r="CC153" s="23" t="n">
        <x:f>MAX(0,MIN('Activities'!L153,462)-MAX('Activities'!K153,456))</x:f>
        <x:v>0</x:v>
      </x:c>
      <x:c r="CD153" s="23" t="n">
        <x:f>MAX(0,MIN('Activities'!L153,468)-MAX('Activities'!K153,462))</x:f>
        <x:v>0</x:v>
      </x:c>
      <x:c r="CE153" s="23" t="n">
        <x:f>MAX(0,MIN('Activities'!L153,474)-MAX('Activities'!K153,468))</x:f>
        <x:v>0</x:v>
      </x:c>
      <x:c r="CF153" s="23" t="n">
        <x:f>MAX(0,MIN('Activities'!L153,480)-MAX('Activities'!K153,474))</x:f>
        <x:v>0</x:v>
      </x:c>
      <x:c r="CG153" s="23" t="n">
        <x:f>MAX(0,MIN('Activities'!L153,486)-MAX('Activities'!K153,480))</x:f>
        <x:v>0</x:v>
      </x:c>
      <x:c r="CH153" s="23" t="n">
        <x:f>MAX(0,MIN('Activities'!L153,492)-MAX('Activities'!K153,486))</x:f>
        <x:v>0</x:v>
      </x:c>
      <x:c r="CI153" s="23" t="n">
        <x:f>MAX(0,MIN('Activities'!L153,498)-MAX('Activities'!K153,492))</x:f>
        <x:v>0</x:v>
      </x:c>
      <x:c r="CJ153" s="23" t="n">
        <x:f>MAX(0,MIN('Activities'!L153,504)-MAX('Activities'!K153,498))</x:f>
        <x:v>0</x:v>
      </x:c>
      <x:c r="CK153" s="23" t="n">
        <x:f>MAX(0,MIN('Activities'!L153,510)-MAX('Activities'!K153,504))</x:f>
        <x:v>0</x:v>
      </x:c>
      <x:c r="CL153" s="23" t="n">
        <x:f>MAX(0,MIN('Activities'!L153,516)-MAX('Activities'!K153,510))</x:f>
        <x:v>0</x:v>
      </x:c>
      <x:c r="CM153" s="23" t="n">
        <x:f>MAX(0,MIN('Activities'!L153,522)-MAX('Activities'!K153,516))</x:f>
        <x:v>0</x:v>
      </x:c>
      <x:c r="CN153" s="23" t="n">
        <x:f>MAX(0,MIN('Activities'!L153,528)-MAX('Activities'!K153,522))</x:f>
        <x:v>0</x:v>
      </x:c>
      <x:c r="CO153" s="23" t="n">
        <x:f>MAX(0,MIN('Activities'!L153,534)-MAX('Activities'!K153,528))</x:f>
        <x:v>0</x:v>
      </x:c>
      <x:c r="CP153" s="23" t="n">
        <x:f>MAX(0,MIN('Activities'!L153,540)-MAX('Activities'!K153,534))</x:f>
        <x:v>0</x:v>
      </x:c>
      <x:c r="CQ153" s="23" t="n">
        <x:f>MAX(0,MIN('Activities'!L153,546)-MAX('Activities'!K153,540))</x:f>
        <x:v>0</x:v>
      </x:c>
      <x:c r="CR153" s="23" t="n">
        <x:f>MAX(0,MIN('Activities'!L153,552)-MAX('Activities'!K153,546))</x:f>
        <x:v>0</x:v>
      </x:c>
      <x:c r="CS153" s="23" t="n">
        <x:f>MAX(0,MIN('Activities'!L153,558)-MAX('Activities'!K153,552))</x:f>
        <x:v>0</x:v>
      </x:c>
      <x:c r="CT153" s="23" t="n">
        <x:f>MAX(0,MIN('Activities'!L153,564)-MAX('Activities'!K153,558))</x:f>
        <x:v>0</x:v>
      </x:c>
      <x:c r="CU153" s="23" t="n">
        <x:f>MAX(0,MIN('Activities'!L153,570)-MAX('Activities'!K153,564))</x:f>
        <x:v>0</x:v>
      </x:c>
      <x:c r="CV153" s="23" t="n">
        <x:f>MAX(0,MIN('Activities'!L153,576)-MAX('Activities'!K153,570))</x:f>
        <x:v>0</x:v>
      </x:c>
      <x:c r="CW153" s="23" t="n">
        <x:f>MAX(0,MIN('Activities'!L153,582)-MAX('Activities'!K153,576))</x:f>
        <x:v>0</x:v>
      </x:c>
      <x:c r="CX153" s="23" t="n">
        <x:f>MAX(0,MIN('Activities'!L153,588)-MAX('Activities'!K153,582))</x:f>
        <x:v>0</x:v>
      </x:c>
      <x:c r="CY153" s="23" t="n">
        <x:f>MAX(0,MIN('Activities'!L153,594)-MAX('Activities'!K153,588))</x:f>
        <x:v>0</x:v>
      </x:c>
      <x:c r="CZ153" s="23" t="n">
        <x:f>MAX(0,MIN('Activities'!L153,600)-MAX('Activities'!K153,594))</x:f>
        <x:v>0</x:v>
      </x:c>
      <x:c r="DA153" s="23" t="n">
        <x:f>MAX(0,MIN('Activities'!L153,606)-MAX('Activities'!K153,600))</x:f>
        <x:v>0</x:v>
      </x:c>
      <x:c r="DB153" s="23" t="n">
        <x:f>MAX(0,MIN('Activities'!L153,612)-MAX('Activities'!K153,606))</x:f>
        <x:v>0</x:v>
      </x:c>
      <x:c r="DC153" s="23" t="n">
        <x:f>MAX(0,MIN('Activities'!L153,618)-MAX('Activities'!K153,612))</x:f>
        <x:v>0</x:v>
      </x:c>
      <x:c r="DD153" s="23" t="n">
        <x:f>MAX(0,MIN('Activities'!L153,624)-MAX('Activities'!K153,618))</x:f>
        <x:v>0</x:v>
      </x:c>
      <x:c r="DE153" s="23" t="n">
        <x:f>MAX(0,MIN('Activities'!L153,630)-MAX('Activities'!K153,624))</x:f>
        <x:v>0</x:v>
      </x:c>
      <x:c r="DF153" s="23" t="n">
        <x:f>MAX(0,MIN('Activities'!L153,636)-MAX('Activities'!K153,630))</x:f>
        <x:v>0</x:v>
      </x:c>
    </x:row>
    <x:row r="154" ht="23" customHeight="1">
      <x:c r="A154" s="6" t="str">
        <x:v>T2-L01-R</x:v>
      </x:c>
      <x:c r="B154" s="6" t="str">
        <x:v>T2</x:v>
      </x:c>
      <x:c r="C154" s="6" t="str">
        <x:v>Column, wall, beam and slab reinforcement</x:v>
      </x:c>
      <x:c r="D154" s="6" t="str">
        <x:v>Rebar</x:v>
      </x:c>
      <x:c r="E154" s="22" t="n">
        <x:f>MAX(0,MIN('Activities'!L154,6)-MAX('Activities'!K154,0))</x:f>
        <x:v>0</x:v>
      </x:c>
      <x:c r="F154" s="22" t="n">
        <x:f>MAX(0,MIN('Activities'!L154,12)-MAX('Activities'!K154,6))</x:f>
        <x:v>0</x:v>
      </x:c>
      <x:c r="G154" s="22" t="n">
        <x:f>MAX(0,MIN('Activities'!L154,18)-MAX('Activities'!K154,12))</x:f>
        <x:v>0</x:v>
      </x:c>
      <x:c r="H154" s="22" t="n">
        <x:f>MAX(0,MIN('Activities'!L154,24)-MAX('Activities'!K154,18))</x:f>
        <x:v>0</x:v>
      </x:c>
      <x:c r="I154" s="22" t="n">
        <x:f>MAX(0,MIN('Activities'!L154,30)-MAX('Activities'!K154,24))</x:f>
        <x:v>0</x:v>
      </x:c>
      <x:c r="J154" s="22" t="n">
        <x:f>MAX(0,MIN('Activities'!L154,36)-MAX('Activities'!K154,30))</x:f>
        <x:v>0</x:v>
      </x:c>
      <x:c r="K154" s="22" t="n">
        <x:f>MAX(0,MIN('Activities'!L154,42)-MAX('Activities'!K154,36))</x:f>
        <x:v>0</x:v>
      </x:c>
      <x:c r="L154" s="22" t="n">
        <x:f>MAX(0,MIN('Activities'!L154,48)-MAX('Activities'!K154,42))</x:f>
        <x:v>0</x:v>
      </x:c>
      <x:c r="M154" s="22" t="n">
        <x:f>MAX(0,MIN('Activities'!L154,54)-MAX('Activities'!K154,48))</x:f>
        <x:v>0</x:v>
      </x:c>
      <x:c r="N154" s="22" t="n">
        <x:f>MAX(0,MIN('Activities'!L154,60)-MAX('Activities'!K154,54))</x:f>
        <x:v>0</x:v>
      </x:c>
      <x:c r="O154" s="22" t="n">
        <x:f>MAX(0,MIN('Activities'!L154,66)-MAX('Activities'!K154,60))</x:f>
        <x:v>0</x:v>
      </x:c>
      <x:c r="P154" s="22" t="n">
        <x:f>MAX(0,MIN('Activities'!L154,72)-MAX('Activities'!K154,66))</x:f>
        <x:v>0</x:v>
      </x:c>
      <x:c r="Q154" s="22" t="n">
        <x:f>MAX(0,MIN('Activities'!L154,78)-MAX('Activities'!K154,72))</x:f>
        <x:v>0</x:v>
      </x:c>
      <x:c r="R154" s="22" t="n">
        <x:f>MAX(0,MIN('Activities'!L154,84)-MAX('Activities'!K154,78))</x:f>
        <x:v>0</x:v>
      </x:c>
      <x:c r="S154" s="22" t="n">
        <x:f>MAX(0,MIN('Activities'!L154,90)-MAX('Activities'!K154,84))</x:f>
        <x:v>0</x:v>
      </x:c>
      <x:c r="T154" s="22" t="n">
        <x:f>MAX(0,MIN('Activities'!L154,96)-MAX('Activities'!K154,90))</x:f>
        <x:v>0</x:v>
      </x:c>
      <x:c r="U154" s="22" t="n">
        <x:f>MAX(0,MIN('Activities'!L154,102)-MAX('Activities'!K154,96))</x:f>
        <x:v>0</x:v>
      </x:c>
      <x:c r="V154" s="22" t="n">
        <x:f>MAX(0,MIN('Activities'!L154,108)-MAX('Activities'!K154,102))</x:f>
        <x:v>0</x:v>
      </x:c>
      <x:c r="W154" s="22" t="n">
        <x:f>MAX(0,MIN('Activities'!L154,114)-MAX('Activities'!K154,108))</x:f>
        <x:v>0</x:v>
      </x:c>
      <x:c r="X154" s="22" t="n">
        <x:f>MAX(0,MIN('Activities'!L154,120)-MAX('Activities'!K154,114))</x:f>
        <x:v>0</x:v>
      </x:c>
      <x:c r="Y154" s="22" t="n">
        <x:f>MAX(0,MIN('Activities'!L154,126)-MAX('Activities'!K154,120))</x:f>
        <x:v>0</x:v>
      </x:c>
      <x:c r="Z154" s="22" t="n">
        <x:f>MAX(0,MIN('Activities'!L154,132)-MAX('Activities'!K154,126))</x:f>
        <x:v>0</x:v>
      </x:c>
      <x:c r="AA154" s="22" t="n">
        <x:f>MAX(0,MIN('Activities'!L154,138)-MAX('Activities'!K154,132))</x:f>
        <x:v>0</x:v>
      </x:c>
      <x:c r="AB154" s="22" t="n">
        <x:f>MAX(0,MIN('Activities'!L154,144)-MAX('Activities'!K154,138))</x:f>
        <x:v>0</x:v>
      </x:c>
      <x:c r="AC154" s="22" t="n">
        <x:f>MAX(0,MIN('Activities'!L154,150)-MAX('Activities'!K154,144))</x:f>
        <x:v>0</x:v>
      </x:c>
      <x:c r="AD154" s="22" t="n">
        <x:f>MAX(0,MIN('Activities'!L154,156)-MAX('Activities'!K154,150))</x:f>
        <x:v>0</x:v>
      </x:c>
      <x:c r="AE154" s="22" t="n">
        <x:f>MAX(0,MIN('Activities'!L154,162)-MAX('Activities'!K154,156))</x:f>
        <x:v>0</x:v>
      </x:c>
      <x:c r="AF154" s="22" t="n">
        <x:f>MAX(0,MIN('Activities'!L154,168)-MAX('Activities'!K154,162))</x:f>
        <x:v>0</x:v>
      </x:c>
      <x:c r="AG154" s="22" t="n">
        <x:f>MAX(0,MIN('Activities'!L154,174)-MAX('Activities'!K154,168))</x:f>
        <x:v>4</x:v>
      </x:c>
      <x:c r="AH154" s="22" t="n">
        <x:f>MAX(0,MIN('Activities'!L154,180)-MAX('Activities'!K154,174))</x:f>
        <x:v>1</x:v>
      </x:c>
      <x:c r="AI154" s="22" t="n">
        <x:f>MAX(0,MIN('Activities'!L154,186)-MAX('Activities'!K154,180))</x:f>
        <x:v>0</x:v>
      </x:c>
      <x:c r="AJ154" s="22" t="n">
        <x:f>MAX(0,MIN('Activities'!L154,192)-MAX('Activities'!K154,186))</x:f>
        <x:v>0</x:v>
      </x:c>
      <x:c r="AK154" s="22" t="n">
        <x:f>MAX(0,MIN('Activities'!L154,198)-MAX('Activities'!K154,192))</x:f>
        <x:v>0</x:v>
      </x:c>
      <x:c r="AL154" s="22" t="n">
        <x:f>MAX(0,MIN('Activities'!L154,204)-MAX('Activities'!K154,198))</x:f>
        <x:v>0</x:v>
      </x:c>
      <x:c r="AM154" s="22" t="n">
        <x:f>MAX(0,MIN('Activities'!L154,210)-MAX('Activities'!K154,204))</x:f>
        <x:v>0</x:v>
      </x:c>
      <x:c r="AN154" s="22" t="n">
        <x:f>MAX(0,MIN('Activities'!L154,216)-MAX('Activities'!K154,210))</x:f>
        <x:v>0</x:v>
      </x:c>
      <x:c r="AO154" s="22" t="n">
        <x:f>MAX(0,MIN('Activities'!L154,222)-MAX('Activities'!K154,216))</x:f>
        <x:v>0</x:v>
      </x:c>
      <x:c r="AP154" s="22" t="n">
        <x:f>MAX(0,MIN('Activities'!L154,228)-MAX('Activities'!K154,222))</x:f>
        <x:v>0</x:v>
      </x:c>
      <x:c r="AQ154" s="22" t="n">
        <x:f>MAX(0,MIN('Activities'!L154,234)-MAX('Activities'!K154,228))</x:f>
        <x:v>0</x:v>
      </x:c>
      <x:c r="AR154" s="22" t="n">
        <x:f>MAX(0,MIN('Activities'!L154,240)-MAX('Activities'!K154,234))</x:f>
        <x:v>0</x:v>
      </x:c>
      <x:c r="AS154" s="22" t="n">
        <x:f>MAX(0,MIN('Activities'!L154,246)-MAX('Activities'!K154,240))</x:f>
        <x:v>0</x:v>
      </x:c>
      <x:c r="AT154" s="22" t="n">
        <x:f>MAX(0,MIN('Activities'!L154,252)-MAX('Activities'!K154,246))</x:f>
        <x:v>0</x:v>
      </x:c>
      <x:c r="AU154" s="22" t="n">
        <x:f>MAX(0,MIN('Activities'!L154,258)-MAX('Activities'!K154,252))</x:f>
        <x:v>0</x:v>
      </x:c>
      <x:c r="AV154" s="22" t="n">
        <x:f>MAX(0,MIN('Activities'!L154,264)-MAX('Activities'!K154,258))</x:f>
        <x:v>0</x:v>
      </x:c>
      <x:c r="AW154" s="22" t="n">
        <x:f>MAX(0,MIN('Activities'!L154,270)-MAX('Activities'!K154,264))</x:f>
        <x:v>0</x:v>
      </x:c>
      <x:c r="AX154" s="22" t="n">
        <x:f>MAX(0,MIN('Activities'!L154,276)-MAX('Activities'!K154,270))</x:f>
        <x:v>0</x:v>
      </x:c>
      <x:c r="AY154" s="22" t="n">
        <x:f>MAX(0,MIN('Activities'!L154,282)-MAX('Activities'!K154,276))</x:f>
        <x:v>0</x:v>
      </x:c>
      <x:c r="AZ154" s="22" t="n">
        <x:f>MAX(0,MIN('Activities'!L154,288)-MAX('Activities'!K154,282))</x:f>
        <x:v>0</x:v>
      </x:c>
      <x:c r="BA154" s="22" t="n">
        <x:f>MAX(0,MIN('Activities'!L154,294)-MAX('Activities'!K154,288))</x:f>
        <x:v>0</x:v>
      </x:c>
      <x:c r="BB154" s="22" t="n">
        <x:f>MAX(0,MIN('Activities'!L154,300)-MAX('Activities'!K154,294))</x:f>
        <x:v>0</x:v>
      </x:c>
      <x:c r="BC154" s="22" t="n">
        <x:f>MAX(0,MIN('Activities'!L154,306)-MAX('Activities'!K154,300))</x:f>
        <x:v>0</x:v>
      </x:c>
      <x:c r="BD154" s="22" t="n">
        <x:f>MAX(0,MIN('Activities'!L154,312)-MAX('Activities'!K154,306))</x:f>
        <x:v>0</x:v>
      </x:c>
      <x:c r="BE154" s="22" t="n">
        <x:f>MAX(0,MIN('Activities'!L154,318)-MAX('Activities'!K154,312))</x:f>
        <x:v>0</x:v>
      </x:c>
      <x:c r="BF154" s="22" t="n">
        <x:f>MAX(0,MIN('Activities'!L154,324)-MAX('Activities'!K154,318))</x:f>
        <x:v>0</x:v>
      </x:c>
      <x:c r="BG154" s="22" t="n">
        <x:f>MAX(0,MIN('Activities'!L154,330)-MAX('Activities'!K154,324))</x:f>
        <x:v>0</x:v>
      </x:c>
      <x:c r="BH154" s="22" t="n">
        <x:f>MAX(0,MIN('Activities'!L154,336)-MAX('Activities'!K154,330))</x:f>
        <x:v>0</x:v>
      </x:c>
      <x:c r="BI154" s="22" t="n">
        <x:f>MAX(0,MIN('Activities'!L154,342)-MAX('Activities'!K154,336))</x:f>
        <x:v>0</x:v>
      </x:c>
      <x:c r="BJ154" s="22" t="n">
        <x:f>MAX(0,MIN('Activities'!L154,348)-MAX('Activities'!K154,342))</x:f>
        <x:v>0</x:v>
      </x:c>
      <x:c r="BK154" s="22" t="n">
        <x:f>MAX(0,MIN('Activities'!L154,354)-MAX('Activities'!K154,348))</x:f>
        <x:v>0</x:v>
      </x:c>
      <x:c r="BL154" s="22" t="n">
        <x:f>MAX(0,MIN('Activities'!L154,360)-MAX('Activities'!K154,354))</x:f>
        <x:v>0</x:v>
      </x:c>
      <x:c r="BM154" s="22" t="n">
        <x:f>MAX(0,MIN('Activities'!L154,366)-MAX('Activities'!K154,360))</x:f>
        <x:v>0</x:v>
      </x:c>
      <x:c r="BN154" s="22" t="n">
        <x:f>MAX(0,MIN('Activities'!L154,372)-MAX('Activities'!K154,366))</x:f>
        <x:v>0</x:v>
      </x:c>
      <x:c r="BO154" s="22" t="n">
        <x:f>MAX(0,MIN('Activities'!L154,378)-MAX('Activities'!K154,372))</x:f>
        <x:v>0</x:v>
      </x:c>
      <x:c r="BP154" s="22" t="n">
        <x:f>MAX(0,MIN('Activities'!L154,384)-MAX('Activities'!K154,378))</x:f>
        <x:v>0</x:v>
      </x:c>
      <x:c r="BQ154" s="22" t="n">
        <x:f>MAX(0,MIN('Activities'!L154,390)-MAX('Activities'!K154,384))</x:f>
        <x:v>0</x:v>
      </x:c>
      <x:c r="BR154" s="22" t="n">
        <x:f>MAX(0,MIN('Activities'!L154,396)-MAX('Activities'!K154,390))</x:f>
        <x:v>0</x:v>
      </x:c>
      <x:c r="BS154" s="22" t="n">
        <x:f>MAX(0,MIN('Activities'!L154,402)-MAX('Activities'!K154,396))</x:f>
        <x:v>0</x:v>
      </x:c>
      <x:c r="BT154" s="22" t="n">
        <x:f>MAX(0,MIN('Activities'!L154,408)-MAX('Activities'!K154,402))</x:f>
        <x:v>0</x:v>
      </x:c>
      <x:c r="BU154" s="22" t="n">
        <x:f>MAX(0,MIN('Activities'!L154,414)-MAX('Activities'!K154,408))</x:f>
        <x:v>0</x:v>
      </x:c>
      <x:c r="BV154" s="22" t="n">
        <x:f>MAX(0,MIN('Activities'!L154,420)-MAX('Activities'!K154,414))</x:f>
        <x:v>0</x:v>
      </x:c>
      <x:c r="BW154" s="22" t="n">
        <x:f>MAX(0,MIN('Activities'!L154,426)-MAX('Activities'!K154,420))</x:f>
        <x:v>0</x:v>
      </x:c>
      <x:c r="BX154" s="22" t="n">
        <x:f>MAX(0,MIN('Activities'!L154,432)-MAX('Activities'!K154,426))</x:f>
        <x:v>0</x:v>
      </x:c>
      <x:c r="BY154" s="22" t="n">
        <x:f>MAX(0,MIN('Activities'!L154,438)-MAX('Activities'!K154,432))</x:f>
        <x:v>0</x:v>
      </x:c>
      <x:c r="BZ154" s="22" t="n">
        <x:f>MAX(0,MIN('Activities'!L154,444)-MAX('Activities'!K154,438))</x:f>
        <x:v>0</x:v>
      </x:c>
      <x:c r="CA154" s="22" t="n">
        <x:f>MAX(0,MIN('Activities'!L154,450)-MAX('Activities'!K154,444))</x:f>
        <x:v>0</x:v>
      </x:c>
      <x:c r="CB154" s="22" t="n">
        <x:f>MAX(0,MIN('Activities'!L154,456)-MAX('Activities'!K154,450))</x:f>
        <x:v>0</x:v>
      </x:c>
      <x:c r="CC154" s="22" t="n">
        <x:f>MAX(0,MIN('Activities'!L154,462)-MAX('Activities'!K154,456))</x:f>
        <x:v>0</x:v>
      </x:c>
      <x:c r="CD154" s="22" t="n">
        <x:f>MAX(0,MIN('Activities'!L154,468)-MAX('Activities'!K154,462))</x:f>
        <x:v>0</x:v>
      </x:c>
      <x:c r="CE154" s="22" t="n">
        <x:f>MAX(0,MIN('Activities'!L154,474)-MAX('Activities'!K154,468))</x:f>
        <x:v>0</x:v>
      </x:c>
      <x:c r="CF154" s="22" t="n">
        <x:f>MAX(0,MIN('Activities'!L154,480)-MAX('Activities'!K154,474))</x:f>
        <x:v>0</x:v>
      </x:c>
      <x:c r="CG154" s="22" t="n">
        <x:f>MAX(0,MIN('Activities'!L154,486)-MAX('Activities'!K154,480))</x:f>
        <x:v>0</x:v>
      </x:c>
      <x:c r="CH154" s="22" t="n">
        <x:f>MAX(0,MIN('Activities'!L154,492)-MAX('Activities'!K154,486))</x:f>
        <x:v>0</x:v>
      </x:c>
      <x:c r="CI154" s="22" t="n">
        <x:f>MAX(0,MIN('Activities'!L154,498)-MAX('Activities'!K154,492))</x:f>
        <x:v>0</x:v>
      </x:c>
      <x:c r="CJ154" s="22" t="n">
        <x:f>MAX(0,MIN('Activities'!L154,504)-MAX('Activities'!K154,498))</x:f>
        <x:v>0</x:v>
      </x:c>
      <x:c r="CK154" s="22" t="n">
        <x:f>MAX(0,MIN('Activities'!L154,510)-MAX('Activities'!K154,504))</x:f>
        <x:v>0</x:v>
      </x:c>
      <x:c r="CL154" s="22" t="n">
        <x:f>MAX(0,MIN('Activities'!L154,516)-MAX('Activities'!K154,510))</x:f>
        <x:v>0</x:v>
      </x:c>
      <x:c r="CM154" s="22" t="n">
        <x:f>MAX(0,MIN('Activities'!L154,522)-MAX('Activities'!K154,516))</x:f>
        <x:v>0</x:v>
      </x:c>
      <x:c r="CN154" s="22" t="n">
        <x:f>MAX(0,MIN('Activities'!L154,528)-MAX('Activities'!K154,522))</x:f>
        <x:v>0</x:v>
      </x:c>
      <x:c r="CO154" s="22" t="n">
        <x:f>MAX(0,MIN('Activities'!L154,534)-MAX('Activities'!K154,528))</x:f>
        <x:v>0</x:v>
      </x:c>
      <x:c r="CP154" s="22" t="n">
        <x:f>MAX(0,MIN('Activities'!L154,540)-MAX('Activities'!K154,534))</x:f>
        <x:v>0</x:v>
      </x:c>
      <x:c r="CQ154" s="22" t="n">
        <x:f>MAX(0,MIN('Activities'!L154,546)-MAX('Activities'!K154,540))</x:f>
        <x:v>0</x:v>
      </x:c>
      <x:c r="CR154" s="22" t="n">
        <x:f>MAX(0,MIN('Activities'!L154,552)-MAX('Activities'!K154,546))</x:f>
        <x:v>0</x:v>
      </x:c>
      <x:c r="CS154" s="22" t="n">
        <x:f>MAX(0,MIN('Activities'!L154,558)-MAX('Activities'!K154,552))</x:f>
        <x:v>0</x:v>
      </x:c>
      <x:c r="CT154" s="22" t="n">
        <x:f>MAX(0,MIN('Activities'!L154,564)-MAX('Activities'!K154,558))</x:f>
        <x:v>0</x:v>
      </x:c>
      <x:c r="CU154" s="22" t="n">
        <x:f>MAX(0,MIN('Activities'!L154,570)-MAX('Activities'!K154,564))</x:f>
        <x:v>0</x:v>
      </x:c>
      <x:c r="CV154" s="22" t="n">
        <x:f>MAX(0,MIN('Activities'!L154,576)-MAX('Activities'!K154,570))</x:f>
        <x:v>0</x:v>
      </x:c>
      <x:c r="CW154" s="22" t="n">
        <x:f>MAX(0,MIN('Activities'!L154,582)-MAX('Activities'!K154,576))</x:f>
        <x:v>0</x:v>
      </x:c>
      <x:c r="CX154" s="22" t="n">
        <x:f>MAX(0,MIN('Activities'!L154,588)-MAX('Activities'!K154,582))</x:f>
        <x:v>0</x:v>
      </x:c>
      <x:c r="CY154" s="22" t="n">
        <x:f>MAX(0,MIN('Activities'!L154,594)-MAX('Activities'!K154,588))</x:f>
        <x:v>0</x:v>
      </x:c>
      <x:c r="CZ154" s="22" t="n">
        <x:f>MAX(0,MIN('Activities'!L154,600)-MAX('Activities'!K154,594))</x:f>
        <x:v>0</x:v>
      </x:c>
      <x:c r="DA154" s="22" t="n">
        <x:f>MAX(0,MIN('Activities'!L154,606)-MAX('Activities'!K154,600))</x:f>
        <x:v>0</x:v>
      </x:c>
      <x:c r="DB154" s="22" t="n">
        <x:f>MAX(0,MIN('Activities'!L154,612)-MAX('Activities'!K154,606))</x:f>
        <x:v>0</x:v>
      </x:c>
      <x:c r="DC154" s="22" t="n">
        <x:f>MAX(0,MIN('Activities'!L154,618)-MAX('Activities'!K154,612))</x:f>
        <x:v>0</x:v>
      </x:c>
      <x:c r="DD154" s="22" t="n">
        <x:f>MAX(0,MIN('Activities'!L154,624)-MAX('Activities'!K154,618))</x:f>
        <x:v>0</x:v>
      </x:c>
      <x:c r="DE154" s="22" t="n">
        <x:f>MAX(0,MIN('Activities'!L154,630)-MAX('Activities'!K154,624))</x:f>
        <x:v>0</x:v>
      </x:c>
      <x:c r="DF154" s="22" t="n">
        <x:f>MAX(0,MIN('Activities'!L154,636)-MAX('Activities'!K154,630))</x:f>
        <x:v>0</x:v>
      </x:c>
    </x:row>
    <x:row r="155" ht="23" customHeight="1">
      <x:c r="A155" s="1" t="str">
        <x:v>T2-L01-C</x:v>
      </x:c>
      <x:c r="B155" s="1" t="str">
        <x:v>T2</x:v>
      </x:c>
      <x:c r="C155" s="1" t="str">
        <x:v>Concrete placement and finishing</x:v>
      </x:c>
      <x:c r="D155" s="1" t="str">
        <x:v>Concrete</x:v>
      </x:c>
      <x:c r="E155" s="23" t="n">
        <x:f>MAX(0,MIN('Activities'!L155,6)-MAX('Activities'!K155,0))</x:f>
        <x:v>0</x:v>
      </x:c>
      <x:c r="F155" s="23" t="n">
        <x:f>MAX(0,MIN('Activities'!L155,12)-MAX('Activities'!K155,6))</x:f>
        <x:v>0</x:v>
      </x:c>
      <x:c r="G155" s="23" t="n">
        <x:f>MAX(0,MIN('Activities'!L155,18)-MAX('Activities'!K155,12))</x:f>
        <x:v>0</x:v>
      </x:c>
      <x:c r="H155" s="23" t="n">
        <x:f>MAX(0,MIN('Activities'!L155,24)-MAX('Activities'!K155,18))</x:f>
        <x:v>0</x:v>
      </x:c>
      <x:c r="I155" s="23" t="n">
        <x:f>MAX(0,MIN('Activities'!L155,30)-MAX('Activities'!K155,24))</x:f>
        <x:v>0</x:v>
      </x:c>
      <x:c r="J155" s="23" t="n">
        <x:f>MAX(0,MIN('Activities'!L155,36)-MAX('Activities'!K155,30))</x:f>
        <x:v>0</x:v>
      </x:c>
      <x:c r="K155" s="23" t="n">
        <x:f>MAX(0,MIN('Activities'!L155,42)-MAX('Activities'!K155,36))</x:f>
        <x:v>0</x:v>
      </x:c>
      <x:c r="L155" s="23" t="n">
        <x:f>MAX(0,MIN('Activities'!L155,48)-MAX('Activities'!K155,42))</x:f>
        <x:v>0</x:v>
      </x:c>
      <x:c r="M155" s="23" t="n">
        <x:f>MAX(0,MIN('Activities'!L155,54)-MAX('Activities'!K155,48))</x:f>
        <x:v>0</x:v>
      </x:c>
      <x:c r="N155" s="23" t="n">
        <x:f>MAX(0,MIN('Activities'!L155,60)-MAX('Activities'!K155,54))</x:f>
        <x:v>0</x:v>
      </x:c>
      <x:c r="O155" s="23" t="n">
        <x:f>MAX(0,MIN('Activities'!L155,66)-MAX('Activities'!K155,60))</x:f>
        <x:v>0</x:v>
      </x:c>
      <x:c r="P155" s="23" t="n">
        <x:f>MAX(0,MIN('Activities'!L155,72)-MAX('Activities'!K155,66))</x:f>
        <x:v>0</x:v>
      </x:c>
      <x:c r="Q155" s="23" t="n">
        <x:f>MAX(0,MIN('Activities'!L155,78)-MAX('Activities'!K155,72))</x:f>
        <x:v>0</x:v>
      </x:c>
      <x:c r="R155" s="23" t="n">
        <x:f>MAX(0,MIN('Activities'!L155,84)-MAX('Activities'!K155,78))</x:f>
        <x:v>0</x:v>
      </x:c>
      <x:c r="S155" s="23" t="n">
        <x:f>MAX(0,MIN('Activities'!L155,90)-MAX('Activities'!K155,84))</x:f>
        <x:v>0</x:v>
      </x:c>
      <x:c r="T155" s="23" t="n">
        <x:f>MAX(0,MIN('Activities'!L155,96)-MAX('Activities'!K155,90))</x:f>
        <x:v>0</x:v>
      </x:c>
      <x:c r="U155" s="23" t="n">
        <x:f>MAX(0,MIN('Activities'!L155,102)-MAX('Activities'!K155,96))</x:f>
        <x:v>0</x:v>
      </x:c>
      <x:c r="V155" s="23" t="n">
        <x:f>MAX(0,MIN('Activities'!L155,108)-MAX('Activities'!K155,102))</x:f>
        <x:v>0</x:v>
      </x:c>
      <x:c r="W155" s="23" t="n">
        <x:f>MAX(0,MIN('Activities'!L155,114)-MAX('Activities'!K155,108))</x:f>
        <x:v>0</x:v>
      </x:c>
      <x:c r="X155" s="23" t="n">
        <x:f>MAX(0,MIN('Activities'!L155,120)-MAX('Activities'!K155,114))</x:f>
        <x:v>0</x:v>
      </x:c>
      <x:c r="Y155" s="23" t="n">
        <x:f>MAX(0,MIN('Activities'!L155,126)-MAX('Activities'!K155,120))</x:f>
        <x:v>0</x:v>
      </x:c>
      <x:c r="Z155" s="23" t="n">
        <x:f>MAX(0,MIN('Activities'!L155,132)-MAX('Activities'!K155,126))</x:f>
        <x:v>0</x:v>
      </x:c>
      <x:c r="AA155" s="23" t="n">
        <x:f>MAX(0,MIN('Activities'!L155,138)-MAX('Activities'!K155,132))</x:f>
        <x:v>0</x:v>
      </x:c>
      <x:c r="AB155" s="23" t="n">
        <x:f>MAX(0,MIN('Activities'!L155,144)-MAX('Activities'!K155,138))</x:f>
        <x:v>0</x:v>
      </x:c>
      <x:c r="AC155" s="23" t="n">
        <x:f>MAX(0,MIN('Activities'!L155,150)-MAX('Activities'!K155,144))</x:f>
        <x:v>0</x:v>
      </x:c>
      <x:c r="AD155" s="23" t="n">
        <x:f>MAX(0,MIN('Activities'!L155,156)-MAX('Activities'!K155,150))</x:f>
        <x:v>0</x:v>
      </x:c>
      <x:c r="AE155" s="23" t="n">
        <x:f>MAX(0,MIN('Activities'!L155,162)-MAX('Activities'!K155,156))</x:f>
        <x:v>0</x:v>
      </x:c>
      <x:c r="AF155" s="23" t="n">
        <x:f>MAX(0,MIN('Activities'!L155,168)-MAX('Activities'!K155,162))</x:f>
        <x:v>0</x:v>
      </x:c>
      <x:c r="AG155" s="23" t="n">
        <x:f>MAX(0,MIN('Activities'!L155,174)-MAX('Activities'!K155,168))</x:f>
        <x:v>0</x:v>
      </x:c>
      <x:c r="AH155" s="23" t="n">
        <x:f>MAX(0,MIN('Activities'!L155,180)-MAX('Activities'!K155,174))</x:f>
        <x:v>2</x:v>
      </x:c>
      <x:c r="AI155" s="23" t="n">
        <x:f>MAX(0,MIN('Activities'!L155,186)-MAX('Activities'!K155,180))</x:f>
        <x:v>0</x:v>
      </x:c>
      <x:c r="AJ155" s="23" t="n">
        <x:f>MAX(0,MIN('Activities'!L155,192)-MAX('Activities'!K155,186))</x:f>
        <x:v>0</x:v>
      </x:c>
      <x:c r="AK155" s="23" t="n">
        <x:f>MAX(0,MIN('Activities'!L155,198)-MAX('Activities'!K155,192))</x:f>
        <x:v>0</x:v>
      </x:c>
      <x:c r="AL155" s="23" t="n">
        <x:f>MAX(0,MIN('Activities'!L155,204)-MAX('Activities'!K155,198))</x:f>
        <x:v>0</x:v>
      </x:c>
      <x:c r="AM155" s="23" t="n">
        <x:f>MAX(0,MIN('Activities'!L155,210)-MAX('Activities'!K155,204))</x:f>
        <x:v>0</x:v>
      </x:c>
      <x:c r="AN155" s="23" t="n">
        <x:f>MAX(0,MIN('Activities'!L155,216)-MAX('Activities'!K155,210))</x:f>
        <x:v>0</x:v>
      </x:c>
      <x:c r="AO155" s="23" t="n">
        <x:f>MAX(0,MIN('Activities'!L155,222)-MAX('Activities'!K155,216))</x:f>
        <x:v>0</x:v>
      </x:c>
      <x:c r="AP155" s="23" t="n">
        <x:f>MAX(0,MIN('Activities'!L155,228)-MAX('Activities'!K155,222))</x:f>
        <x:v>0</x:v>
      </x:c>
      <x:c r="AQ155" s="23" t="n">
        <x:f>MAX(0,MIN('Activities'!L155,234)-MAX('Activities'!K155,228))</x:f>
        <x:v>0</x:v>
      </x:c>
      <x:c r="AR155" s="23" t="n">
        <x:f>MAX(0,MIN('Activities'!L155,240)-MAX('Activities'!K155,234))</x:f>
        <x:v>0</x:v>
      </x:c>
      <x:c r="AS155" s="23" t="n">
        <x:f>MAX(0,MIN('Activities'!L155,246)-MAX('Activities'!K155,240))</x:f>
        <x:v>0</x:v>
      </x:c>
      <x:c r="AT155" s="23" t="n">
        <x:f>MAX(0,MIN('Activities'!L155,252)-MAX('Activities'!K155,246))</x:f>
        <x:v>0</x:v>
      </x:c>
      <x:c r="AU155" s="23" t="n">
        <x:f>MAX(0,MIN('Activities'!L155,258)-MAX('Activities'!K155,252))</x:f>
        <x:v>0</x:v>
      </x:c>
      <x:c r="AV155" s="23" t="n">
        <x:f>MAX(0,MIN('Activities'!L155,264)-MAX('Activities'!K155,258))</x:f>
        <x:v>0</x:v>
      </x:c>
      <x:c r="AW155" s="23" t="n">
        <x:f>MAX(0,MIN('Activities'!L155,270)-MAX('Activities'!K155,264))</x:f>
        <x:v>0</x:v>
      </x:c>
      <x:c r="AX155" s="23" t="n">
        <x:f>MAX(0,MIN('Activities'!L155,276)-MAX('Activities'!K155,270))</x:f>
        <x:v>0</x:v>
      </x:c>
      <x:c r="AY155" s="23" t="n">
        <x:f>MAX(0,MIN('Activities'!L155,282)-MAX('Activities'!K155,276))</x:f>
        <x:v>0</x:v>
      </x:c>
      <x:c r="AZ155" s="23" t="n">
        <x:f>MAX(0,MIN('Activities'!L155,288)-MAX('Activities'!K155,282))</x:f>
        <x:v>0</x:v>
      </x:c>
      <x:c r="BA155" s="23" t="n">
        <x:f>MAX(0,MIN('Activities'!L155,294)-MAX('Activities'!K155,288))</x:f>
        <x:v>0</x:v>
      </x:c>
      <x:c r="BB155" s="23" t="n">
        <x:f>MAX(0,MIN('Activities'!L155,300)-MAX('Activities'!K155,294))</x:f>
        <x:v>0</x:v>
      </x:c>
      <x:c r="BC155" s="23" t="n">
        <x:f>MAX(0,MIN('Activities'!L155,306)-MAX('Activities'!K155,300))</x:f>
        <x:v>0</x:v>
      </x:c>
      <x:c r="BD155" s="23" t="n">
        <x:f>MAX(0,MIN('Activities'!L155,312)-MAX('Activities'!K155,306))</x:f>
        <x:v>0</x:v>
      </x:c>
      <x:c r="BE155" s="23" t="n">
        <x:f>MAX(0,MIN('Activities'!L155,318)-MAX('Activities'!K155,312))</x:f>
        <x:v>0</x:v>
      </x:c>
      <x:c r="BF155" s="23" t="n">
        <x:f>MAX(0,MIN('Activities'!L155,324)-MAX('Activities'!K155,318))</x:f>
        <x:v>0</x:v>
      </x:c>
      <x:c r="BG155" s="23" t="n">
        <x:f>MAX(0,MIN('Activities'!L155,330)-MAX('Activities'!K155,324))</x:f>
        <x:v>0</x:v>
      </x:c>
      <x:c r="BH155" s="23" t="n">
        <x:f>MAX(0,MIN('Activities'!L155,336)-MAX('Activities'!K155,330))</x:f>
        <x:v>0</x:v>
      </x:c>
      <x:c r="BI155" s="23" t="n">
        <x:f>MAX(0,MIN('Activities'!L155,342)-MAX('Activities'!K155,336))</x:f>
        <x:v>0</x:v>
      </x:c>
      <x:c r="BJ155" s="23" t="n">
        <x:f>MAX(0,MIN('Activities'!L155,348)-MAX('Activities'!K155,342))</x:f>
        <x:v>0</x:v>
      </x:c>
      <x:c r="BK155" s="23" t="n">
        <x:f>MAX(0,MIN('Activities'!L155,354)-MAX('Activities'!K155,348))</x:f>
        <x:v>0</x:v>
      </x:c>
      <x:c r="BL155" s="23" t="n">
        <x:f>MAX(0,MIN('Activities'!L155,360)-MAX('Activities'!K155,354))</x:f>
        <x:v>0</x:v>
      </x:c>
      <x:c r="BM155" s="23" t="n">
        <x:f>MAX(0,MIN('Activities'!L155,366)-MAX('Activities'!K155,360))</x:f>
        <x:v>0</x:v>
      </x:c>
      <x:c r="BN155" s="23" t="n">
        <x:f>MAX(0,MIN('Activities'!L155,372)-MAX('Activities'!K155,366))</x:f>
        <x:v>0</x:v>
      </x:c>
      <x:c r="BO155" s="23" t="n">
        <x:f>MAX(0,MIN('Activities'!L155,378)-MAX('Activities'!K155,372))</x:f>
        <x:v>0</x:v>
      </x:c>
      <x:c r="BP155" s="23" t="n">
        <x:f>MAX(0,MIN('Activities'!L155,384)-MAX('Activities'!K155,378))</x:f>
        <x:v>0</x:v>
      </x:c>
      <x:c r="BQ155" s="23" t="n">
        <x:f>MAX(0,MIN('Activities'!L155,390)-MAX('Activities'!K155,384))</x:f>
        <x:v>0</x:v>
      </x:c>
      <x:c r="BR155" s="23" t="n">
        <x:f>MAX(0,MIN('Activities'!L155,396)-MAX('Activities'!K155,390))</x:f>
        <x:v>0</x:v>
      </x:c>
      <x:c r="BS155" s="23" t="n">
        <x:f>MAX(0,MIN('Activities'!L155,402)-MAX('Activities'!K155,396))</x:f>
        <x:v>0</x:v>
      </x:c>
      <x:c r="BT155" s="23" t="n">
        <x:f>MAX(0,MIN('Activities'!L155,408)-MAX('Activities'!K155,402))</x:f>
        <x:v>0</x:v>
      </x:c>
      <x:c r="BU155" s="23" t="n">
        <x:f>MAX(0,MIN('Activities'!L155,414)-MAX('Activities'!K155,408))</x:f>
        <x:v>0</x:v>
      </x:c>
      <x:c r="BV155" s="23" t="n">
        <x:f>MAX(0,MIN('Activities'!L155,420)-MAX('Activities'!K155,414))</x:f>
        <x:v>0</x:v>
      </x:c>
      <x:c r="BW155" s="23" t="n">
        <x:f>MAX(0,MIN('Activities'!L155,426)-MAX('Activities'!K155,420))</x:f>
        <x:v>0</x:v>
      </x:c>
      <x:c r="BX155" s="23" t="n">
        <x:f>MAX(0,MIN('Activities'!L155,432)-MAX('Activities'!K155,426))</x:f>
        <x:v>0</x:v>
      </x:c>
      <x:c r="BY155" s="23" t="n">
        <x:f>MAX(0,MIN('Activities'!L155,438)-MAX('Activities'!K155,432))</x:f>
        <x:v>0</x:v>
      </x:c>
      <x:c r="BZ155" s="23" t="n">
        <x:f>MAX(0,MIN('Activities'!L155,444)-MAX('Activities'!K155,438))</x:f>
        <x:v>0</x:v>
      </x:c>
      <x:c r="CA155" s="23" t="n">
        <x:f>MAX(0,MIN('Activities'!L155,450)-MAX('Activities'!K155,444))</x:f>
        <x:v>0</x:v>
      </x:c>
      <x:c r="CB155" s="23" t="n">
        <x:f>MAX(0,MIN('Activities'!L155,456)-MAX('Activities'!K155,450))</x:f>
        <x:v>0</x:v>
      </x:c>
      <x:c r="CC155" s="23" t="n">
        <x:f>MAX(0,MIN('Activities'!L155,462)-MAX('Activities'!K155,456))</x:f>
        <x:v>0</x:v>
      </x:c>
      <x:c r="CD155" s="23" t="n">
        <x:f>MAX(0,MIN('Activities'!L155,468)-MAX('Activities'!K155,462))</x:f>
        <x:v>0</x:v>
      </x:c>
      <x:c r="CE155" s="23" t="n">
        <x:f>MAX(0,MIN('Activities'!L155,474)-MAX('Activities'!K155,468))</x:f>
        <x:v>0</x:v>
      </x:c>
      <x:c r="CF155" s="23" t="n">
        <x:f>MAX(0,MIN('Activities'!L155,480)-MAX('Activities'!K155,474))</x:f>
        <x:v>0</x:v>
      </x:c>
      <x:c r="CG155" s="23" t="n">
        <x:f>MAX(0,MIN('Activities'!L155,486)-MAX('Activities'!K155,480))</x:f>
        <x:v>0</x:v>
      </x:c>
      <x:c r="CH155" s="23" t="n">
        <x:f>MAX(0,MIN('Activities'!L155,492)-MAX('Activities'!K155,486))</x:f>
        <x:v>0</x:v>
      </x:c>
      <x:c r="CI155" s="23" t="n">
        <x:f>MAX(0,MIN('Activities'!L155,498)-MAX('Activities'!K155,492))</x:f>
        <x:v>0</x:v>
      </x:c>
      <x:c r="CJ155" s="23" t="n">
        <x:f>MAX(0,MIN('Activities'!L155,504)-MAX('Activities'!K155,498))</x:f>
        <x:v>0</x:v>
      </x:c>
      <x:c r="CK155" s="23" t="n">
        <x:f>MAX(0,MIN('Activities'!L155,510)-MAX('Activities'!K155,504))</x:f>
        <x:v>0</x:v>
      </x:c>
      <x:c r="CL155" s="23" t="n">
        <x:f>MAX(0,MIN('Activities'!L155,516)-MAX('Activities'!K155,510))</x:f>
        <x:v>0</x:v>
      </x:c>
      <x:c r="CM155" s="23" t="n">
        <x:f>MAX(0,MIN('Activities'!L155,522)-MAX('Activities'!K155,516))</x:f>
        <x:v>0</x:v>
      </x:c>
      <x:c r="CN155" s="23" t="n">
        <x:f>MAX(0,MIN('Activities'!L155,528)-MAX('Activities'!K155,522))</x:f>
        <x:v>0</x:v>
      </x:c>
      <x:c r="CO155" s="23" t="n">
        <x:f>MAX(0,MIN('Activities'!L155,534)-MAX('Activities'!K155,528))</x:f>
        <x:v>0</x:v>
      </x:c>
      <x:c r="CP155" s="23" t="n">
        <x:f>MAX(0,MIN('Activities'!L155,540)-MAX('Activities'!K155,534))</x:f>
        <x:v>0</x:v>
      </x:c>
      <x:c r="CQ155" s="23" t="n">
        <x:f>MAX(0,MIN('Activities'!L155,546)-MAX('Activities'!K155,540))</x:f>
        <x:v>0</x:v>
      </x:c>
      <x:c r="CR155" s="23" t="n">
        <x:f>MAX(0,MIN('Activities'!L155,552)-MAX('Activities'!K155,546))</x:f>
        <x:v>0</x:v>
      </x:c>
      <x:c r="CS155" s="23" t="n">
        <x:f>MAX(0,MIN('Activities'!L155,558)-MAX('Activities'!K155,552))</x:f>
        <x:v>0</x:v>
      </x:c>
      <x:c r="CT155" s="23" t="n">
        <x:f>MAX(0,MIN('Activities'!L155,564)-MAX('Activities'!K155,558))</x:f>
        <x:v>0</x:v>
      </x:c>
      <x:c r="CU155" s="23" t="n">
        <x:f>MAX(0,MIN('Activities'!L155,570)-MAX('Activities'!K155,564))</x:f>
        <x:v>0</x:v>
      </x:c>
      <x:c r="CV155" s="23" t="n">
        <x:f>MAX(0,MIN('Activities'!L155,576)-MAX('Activities'!K155,570))</x:f>
        <x:v>0</x:v>
      </x:c>
      <x:c r="CW155" s="23" t="n">
        <x:f>MAX(0,MIN('Activities'!L155,582)-MAX('Activities'!K155,576))</x:f>
        <x:v>0</x:v>
      </x:c>
      <x:c r="CX155" s="23" t="n">
        <x:f>MAX(0,MIN('Activities'!L155,588)-MAX('Activities'!K155,582))</x:f>
        <x:v>0</x:v>
      </x:c>
      <x:c r="CY155" s="23" t="n">
        <x:f>MAX(0,MIN('Activities'!L155,594)-MAX('Activities'!K155,588))</x:f>
        <x:v>0</x:v>
      </x:c>
      <x:c r="CZ155" s="23" t="n">
        <x:f>MAX(0,MIN('Activities'!L155,600)-MAX('Activities'!K155,594))</x:f>
        <x:v>0</x:v>
      </x:c>
      <x:c r="DA155" s="23" t="n">
        <x:f>MAX(0,MIN('Activities'!L155,606)-MAX('Activities'!K155,600))</x:f>
        <x:v>0</x:v>
      </x:c>
      <x:c r="DB155" s="23" t="n">
        <x:f>MAX(0,MIN('Activities'!L155,612)-MAX('Activities'!K155,606))</x:f>
        <x:v>0</x:v>
      </x:c>
      <x:c r="DC155" s="23" t="n">
        <x:f>MAX(0,MIN('Activities'!L155,618)-MAX('Activities'!K155,612))</x:f>
        <x:v>0</x:v>
      </x:c>
      <x:c r="DD155" s="23" t="n">
        <x:f>MAX(0,MIN('Activities'!L155,624)-MAX('Activities'!K155,618))</x:f>
        <x:v>0</x:v>
      </x:c>
      <x:c r="DE155" s="23" t="n">
        <x:f>MAX(0,MIN('Activities'!L155,630)-MAX('Activities'!K155,624))</x:f>
        <x:v>0</x:v>
      </x:c>
      <x:c r="DF155" s="23" t="n">
        <x:f>MAX(0,MIN('Activities'!L155,636)-MAX('Activities'!K155,630))</x:f>
        <x:v>0</x:v>
      </x:c>
    </x:row>
    <x:row r="156" ht="23" customHeight="1">
      <x:c r="A156" s="6" t="str">
        <x:v>T2-L01-H</x:v>
      </x:c>
      <x:c r="B156" s="6" t="str">
        <x:v>T2</x:v>
      </x:c>
      <x:c r="C156" s="6" t="str">
        <x:v>Curing and release hold point</x:v>
      </x:c>
      <x:c r="D156" s="6" t="str">
        <x:v>Site</x:v>
      </x:c>
      <x:c r="E156" s="22" t="n">
        <x:f>MAX(0,MIN('Activities'!L156,6)-MAX('Activities'!K156,0))</x:f>
        <x:v>0</x:v>
      </x:c>
      <x:c r="F156" s="22" t="n">
        <x:f>MAX(0,MIN('Activities'!L156,12)-MAX('Activities'!K156,6))</x:f>
        <x:v>0</x:v>
      </x:c>
      <x:c r="G156" s="22" t="n">
        <x:f>MAX(0,MIN('Activities'!L156,18)-MAX('Activities'!K156,12))</x:f>
        <x:v>0</x:v>
      </x:c>
      <x:c r="H156" s="22" t="n">
        <x:f>MAX(0,MIN('Activities'!L156,24)-MAX('Activities'!K156,18))</x:f>
        <x:v>0</x:v>
      </x:c>
      <x:c r="I156" s="22" t="n">
        <x:f>MAX(0,MIN('Activities'!L156,30)-MAX('Activities'!K156,24))</x:f>
        <x:v>0</x:v>
      </x:c>
      <x:c r="J156" s="22" t="n">
        <x:f>MAX(0,MIN('Activities'!L156,36)-MAX('Activities'!K156,30))</x:f>
        <x:v>0</x:v>
      </x:c>
      <x:c r="K156" s="22" t="n">
        <x:f>MAX(0,MIN('Activities'!L156,42)-MAX('Activities'!K156,36))</x:f>
        <x:v>0</x:v>
      </x:c>
      <x:c r="L156" s="22" t="n">
        <x:f>MAX(0,MIN('Activities'!L156,48)-MAX('Activities'!K156,42))</x:f>
        <x:v>0</x:v>
      </x:c>
      <x:c r="M156" s="22" t="n">
        <x:f>MAX(0,MIN('Activities'!L156,54)-MAX('Activities'!K156,48))</x:f>
        <x:v>0</x:v>
      </x:c>
      <x:c r="N156" s="22" t="n">
        <x:f>MAX(0,MIN('Activities'!L156,60)-MAX('Activities'!K156,54))</x:f>
        <x:v>0</x:v>
      </x:c>
      <x:c r="O156" s="22" t="n">
        <x:f>MAX(0,MIN('Activities'!L156,66)-MAX('Activities'!K156,60))</x:f>
        <x:v>0</x:v>
      </x:c>
      <x:c r="P156" s="22" t="n">
        <x:f>MAX(0,MIN('Activities'!L156,72)-MAX('Activities'!K156,66))</x:f>
        <x:v>0</x:v>
      </x:c>
      <x:c r="Q156" s="22" t="n">
        <x:f>MAX(0,MIN('Activities'!L156,78)-MAX('Activities'!K156,72))</x:f>
        <x:v>0</x:v>
      </x:c>
      <x:c r="R156" s="22" t="n">
        <x:f>MAX(0,MIN('Activities'!L156,84)-MAX('Activities'!K156,78))</x:f>
        <x:v>0</x:v>
      </x:c>
      <x:c r="S156" s="22" t="n">
        <x:f>MAX(0,MIN('Activities'!L156,90)-MAX('Activities'!K156,84))</x:f>
        <x:v>0</x:v>
      </x:c>
      <x:c r="T156" s="22" t="n">
        <x:f>MAX(0,MIN('Activities'!L156,96)-MAX('Activities'!K156,90))</x:f>
        <x:v>0</x:v>
      </x:c>
      <x:c r="U156" s="22" t="n">
        <x:f>MAX(0,MIN('Activities'!L156,102)-MAX('Activities'!K156,96))</x:f>
        <x:v>0</x:v>
      </x:c>
      <x:c r="V156" s="22" t="n">
        <x:f>MAX(0,MIN('Activities'!L156,108)-MAX('Activities'!K156,102))</x:f>
        <x:v>0</x:v>
      </x:c>
      <x:c r="W156" s="22" t="n">
        <x:f>MAX(0,MIN('Activities'!L156,114)-MAX('Activities'!K156,108))</x:f>
        <x:v>0</x:v>
      </x:c>
      <x:c r="X156" s="22" t="n">
        <x:f>MAX(0,MIN('Activities'!L156,120)-MAX('Activities'!K156,114))</x:f>
        <x:v>0</x:v>
      </x:c>
      <x:c r="Y156" s="22" t="n">
        <x:f>MAX(0,MIN('Activities'!L156,126)-MAX('Activities'!K156,120))</x:f>
        <x:v>0</x:v>
      </x:c>
      <x:c r="Z156" s="22" t="n">
        <x:f>MAX(0,MIN('Activities'!L156,132)-MAX('Activities'!K156,126))</x:f>
        <x:v>0</x:v>
      </x:c>
      <x:c r="AA156" s="22" t="n">
        <x:f>MAX(0,MIN('Activities'!L156,138)-MAX('Activities'!K156,132))</x:f>
        <x:v>0</x:v>
      </x:c>
      <x:c r="AB156" s="22" t="n">
        <x:f>MAX(0,MIN('Activities'!L156,144)-MAX('Activities'!K156,138))</x:f>
        <x:v>0</x:v>
      </x:c>
      <x:c r="AC156" s="22" t="n">
        <x:f>MAX(0,MIN('Activities'!L156,150)-MAX('Activities'!K156,144))</x:f>
        <x:v>0</x:v>
      </x:c>
      <x:c r="AD156" s="22" t="n">
        <x:f>MAX(0,MIN('Activities'!L156,156)-MAX('Activities'!K156,150))</x:f>
        <x:v>0</x:v>
      </x:c>
      <x:c r="AE156" s="22" t="n">
        <x:f>MAX(0,MIN('Activities'!L156,162)-MAX('Activities'!K156,156))</x:f>
        <x:v>0</x:v>
      </x:c>
      <x:c r="AF156" s="22" t="n">
        <x:f>MAX(0,MIN('Activities'!L156,168)-MAX('Activities'!K156,162))</x:f>
        <x:v>0</x:v>
      </x:c>
      <x:c r="AG156" s="22" t="n">
        <x:f>MAX(0,MIN('Activities'!L156,174)-MAX('Activities'!K156,168))</x:f>
        <x:v>0</x:v>
      </x:c>
      <x:c r="AH156" s="22" t="n">
        <x:f>MAX(0,MIN('Activities'!L156,180)-MAX('Activities'!K156,174))</x:f>
        <x:v>3</x:v>
      </x:c>
      <x:c r="AI156" s="22" t="n">
        <x:f>MAX(0,MIN('Activities'!L156,186)-MAX('Activities'!K156,180))</x:f>
        <x:v>2</x:v>
      </x:c>
      <x:c r="AJ156" s="22" t="n">
        <x:f>MAX(0,MIN('Activities'!L156,192)-MAX('Activities'!K156,186))</x:f>
        <x:v>0</x:v>
      </x:c>
      <x:c r="AK156" s="22" t="n">
        <x:f>MAX(0,MIN('Activities'!L156,198)-MAX('Activities'!K156,192))</x:f>
        <x:v>0</x:v>
      </x:c>
      <x:c r="AL156" s="22" t="n">
        <x:f>MAX(0,MIN('Activities'!L156,204)-MAX('Activities'!K156,198))</x:f>
        <x:v>0</x:v>
      </x:c>
      <x:c r="AM156" s="22" t="n">
        <x:f>MAX(0,MIN('Activities'!L156,210)-MAX('Activities'!K156,204))</x:f>
        <x:v>0</x:v>
      </x:c>
      <x:c r="AN156" s="22" t="n">
        <x:f>MAX(0,MIN('Activities'!L156,216)-MAX('Activities'!K156,210))</x:f>
        <x:v>0</x:v>
      </x:c>
      <x:c r="AO156" s="22" t="n">
        <x:f>MAX(0,MIN('Activities'!L156,222)-MAX('Activities'!K156,216))</x:f>
        <x:v>0</x:v>
      </x:c>
      <x:c r="AP156" s="22" t="n">
        <x:f>MAX(0,MIN('Activities'!L156,228)-MAX('Activities'!K156,222))</x:f>
        <x:v>0</x:v>
      </x:c>
      <x:c r="AQ156" s="22" t="n">
        <x:f>MAX(0,MIN('Activities'!L156,234)-MAX('Activities'!K156,228))</x:f>
        <x:v>0</x:v>
      </x:c>
      <x:c r="AR156" s="22" t="n">
        <x:f>MAX(0,MIN('Activities'!L156,240)-MAX('Activities'!K156,234))</x:f>
        <x:v>0</x:v>
      </x:c>
      <x:c r="AS156" s="22" t="n">
        <x:f>MAX(0,MIN('Activities'!L156,246)-MAX('Activities'!K156,240))</x:f>
        <x:v>0</x:v>
      </x:c>
      <x:c r="AT156" s="22" t="n">
        <x:f>MAX(0,MIN('Activities'!L156,252)-MAX('Activities'!K156,246))</x:f>
        <x:v>0</x:v>
      </x:c>
      <x:c r="AU156" s="22" t="n">
        <x:f>MAX(0,MIN('Activities'!L156,258)-MAX('Activities'!K156,252))</x:f>
        <x:v>0</x:v>
      </x:c>
      <x:c r="AV156" s="22" t="n">
        <x:f>MAX(0,MIN('Activities'!L156,264)-MAX('Activities'!K156,258))</x:f>
        <x:v>0</x:v>
      </x:c>
      <x:c r="AW156" s="22" t="n">
        <x:f>MAX(0,MIN('Activities'!L156,270)-MAX('Activities'!K156,264))</x:f>
        <x:v>0</x:v>
      </x:c>
      <x:c r="AX156" s="22" t="n">
        <x:f>MAX(0,MIN('Activities'!L156,276)-MAX('Activities'!K156,270))</x:f>
        <x:v>0</x:v>
      </x:c>
      <x:c r="AY156" s="22" t="n">
        <x:f>MAX(0,MIN('Activities'!L156,282)-MAX('Activities'!K156,276))</x:f>
        <x:v>0</x:v>
      </x:c>
      <x:c r="AZ156" s="22" t="n">
        <x:f>MAX(0,MIN('Activities'!L156,288)-MAX('Activities'!K156,282))</x:f>
        <x:v>0</x:v>
      </x:c>
      <x:c r="BA156" s="22" t="n">
        <x:f>MAX(0,MIN('Activities'!L156,294)-MAX('Activities'!K156,288))</x:f>
        <x:v>0</x:v>
      </x:c>
      <x:c r="BB156" s="22" t="n">
        <x:f>MAX(0,MIN('Activities'!L156,300)-MAX('Activities'!K156,294))</x:f>
        <x:v>0</x:v>
      </x:c>
      <x:c r="BC156" s="22" t="n">
        <x:f>MAX(0,MIN('Activities'!L156,306)-MAX('Activities'!K156,300))</x:f>
        <x:v>0</x:v>
      </x:c>
      <x:c r="BD156" s="22" t="n">
        <x:f>MAX(0,MIN('Activities'!L156,312)-MAX('Activities'!K156,306))</x:f>
        <x:v>0</x:v>
      </x:c>
      <x:c r="BE156" s="22" t="n">
        <x:f>MAX(0,MIN('Activities'!L156,318)-MAX('Activities'!K156,312))</x:f>
        <x:v>0</x:v>
      </x:c>
      <x:c r="BF156" s="22" t="n">
        <x:f>MAX(0,MIN('Activities'!L156,324)-MAX('Activities'!K156,318))</x:f>
        <x:v>0</x:v>
      </x:c>
      <x:c r="BG156" s="22" t="n">
        <x:f>MAX(0,MIN('Activities'!L156,330)-MAX('Activities'!K156,324))</x:f>
        <x:v>0</x:v>
      </x:c>
      <x:c r="BH156" s="22" t="n">
        <x:f>MAX(0,MIN('Activities'!L156,336)-MAX('Activities'!K156,330))</x:f>
        <x:v>0</x:v>
      </x:c>
      <x:c r="BI156" s="22" t="n">
        <x:f>MAX(0,MIN('Activities'!L156,342)-MAX('Activities'!K156,336))</x:f>
        <x:v>0</x:v>
      </x:c>
      <x:c r="BJ156" s="22" t="n">
        <x:f>MAX(0,MIN('Activities'!L156,348)-MAX('Activities'!K156,342))</x:f>
        <x:v>0</x:v>
      </x:c>
      <x:c r="BK156" s="22" t="n">
        <x:f>MAX(0,MIN('Activities'!L156,354)-MAX('Activities'!K156,348))</x:f>
        <x:v>0</x:v>
      </x:c>
      <x:c r="BL156" s="22" t="n">
        <x:f>MAX(0,MIN('Activities'!L156,360)-MAX('Activities'!K156,354))</x:f>
        <x:v>0</x:v>
      </x:c>
      <x:c r="BM156" s="22" t="n">
        <x:f>MAX(0,MIN('Activities'!L156,366)-MAX('Activities'!K156,360))</x:f>
        <x:v>0</x:v>
      </x:c>
      <x:c r="BN156" s="22" t="n">
        <x:f>MAX(0,MIN('Activities'!L156,372)-MAX('Activities'!K156,366))</x:f>
        <x:v>0</x:v>
      </x:c>
      <x:c r="BO156" s="22" t="n">
        <x:f>MAX(0,MIN('Activities'!L156,378)-MAX('Activities'!K156,372))</x:f>
        <x:v>0</x:v>
      </x:c>
      <x:c r="BP156" s="22" t="n">
        <x:f>MAX(0,MIN('Activities'!L156,384)-MAX('Activities'!K156,378))</x:f>
        <x:v>0</x:v>
      </x:c>
      <x:c r="BQ156" s="22" t="n">
        <x:f>MAX(0,MIN('Activities'!L156,390)-MAX('Activities'!K156,384))</x:f>
        <x:v>0</x:v>
      </x:c>
      <x:c r="BR156" s="22" t="n">
        <x:f>MAX(0,MIN('Activities'!L156,396)-MAX('Activities'!K156,390))</x:f>
        <x:v>0</x:v>
      </x:c>
      <x:c r="BS156" s="22" t="n">
        <x:f>MAX(0,MIN('Activities'!L156,402)-MAX('Activities'!K156,396))</x:f>
        <x:v>0</x:v>
      </x:c>
      <x:c r="BT156" s="22" t="n">
        <x:f>MAX(0,MIN('Activities'!L156,408)-MAX('Activities'!K156,402))</x:f>
        <x:v>0</x:v>
      </x:c>
      <x:c r="BU156" s="22" t="n">
        <x:f>MAX(0,MIN('Activities'!L156,414)-MAX('Activities'!K156,408))</x:f>
        <x:v>0</x:v>
      </x:c>
      <x:c r="BV156" s="22" t="n">
        <x:f>MAX(0,MIN('Activities'!L156,420)-MAX('Activities'!K156,414))</x:f>
        <x:v>0</x:v>
      </x:c>
      <x:c r="BW156" s="22" t="n">
        <x:f>MAX(0,MIN('Activities'!L156,426)-MAX('Activities'!K156,420))</x:f>
        <x:v>0</x:v>
      </x:c>
      <x:c r="BX156" s="22" t="n">
        <x:f>MAX(0,MIN('Activities'!L156,432)-MAX('Activities'!K156,426))</x:f>
        <x:v>0</x:v>
      </x:c>
      <x:c r="BY156" s="22" t="n">
        <x:f>MAX(0,MIN('Activities'!L156,438)-MAX('Activities'!K156,432))</x:f>
        <x:v>0</x:v>
      </x:c>
      <x:c r="BZ156" s="22" t="n">
        <x:f>MAX(0,MIN('Activities'!L156,444)-MAX('Activities'!K156,438))</x:f>
        <x:v>0</x:v>
      </x:c>
      <x:c r="CA156" s="22" t="n">
        <x:f>MAX(0,MIN('Activities'!L156,450)-MAX('Activities'!K156,444))</x:f>
        <x:v>0</x:v>
      </x:c>
      <x:c r="CB156" s="22" t="n">
        <x:f>MAX(0,MIN('Activities'!L156,456)-MAX('Activities'!K156,450))</x:f>
        <x:v>0</x:v>
      </x:c>
      <x:c r="CC156" s="22" t="n">
        <x:f>MAX(0,MIN('Activities'!L156,462)-MAX('Activities'!K156,456))</x:f>
        <x:v>0</x:v>
      </x:c>
      <x:c r="CD156" s="22" t="n">
        <x:f>MAX(0,MIN('Activities'!L156,468)-MAX('Activities'!K156,462))</x:f>
        <x:v>0</x:v>
      </x:c>
      <x:c r="CE156" s="22" t="n">
        <x:f>MAX(0,MIN('Activities'!L156,474)-MAX('Activities'!K156,468))</x:f>
        <x:v>0</x:v>
      </x:c>
      <x:c r="CF156" s="22" t="n">
        <x:f>MAX(0,MIN('Activities'!L156,480)-MAX('Activities'!K156,474))</x:f>
        <x:v>0</x:v>
      </x:c>
      <x:c r="CG156" s="22" t="n">
        <x:f>MAX(0,MIN('Activities'!L156,486)-MAX('Activities'!K156,480))</x:f>
        <x:v>0</x:v>
      </x:c>
      <x:c r="CH156" s="22" t="n">
        <x:f>MAX(0,MIN('Activities'!L156,492)-MAX('Activities'!K156,486))</x:f>
        <x:v>0</x:v>
      </x:c>
      <x:c r="CI156" s="22" t="n">
        <x:f>MAX(0,MIN('Activities'!L156,498)-MAX('Activities'!K156,492))</x:f>
        <x:v>0</x:v>
      </x:c>
      <x:c r="CJ156" s="22" t="n">
        <x:f>MAX(0,MIN('Activities'!L156,504)-MAX('Activities'!K156,498))</x:f>
        <x:v>0</x:v>
      </x:c>
      <x:c r="CK156" s="22" t="n">
        <x:f>MAX(0,MIN('Activities'!L156,510)-MAX('Activities'!K156,504))</x:f>
        <x:v>0</x:v>
      </x:c>
      <x:c r="CL156" s="22" t="n">
        <x:f>MAX(0,MIN('Activities'!L156,516)-MAX('Activities'!K156,510))</x:f>
        <x:v>0</x:v>
      </x:c>
      <x:c r="CM156" s="22" t="n">
        <x:f>MAX(0,MIN('Activities'!L156,522)-MAX('Activities'!K156,516))</x:f>
        <x:v>0</x:v>
      </x:c>
      <x:c r="CN156" s="22" t="n">
        <x:f>MAX(0,MIN('Activities'!L156,528)-MAX('Activities'!K156,522))</x:f>
        <x:v>0</x:v>
      </x:c>
      <x:c r="CO156" s="22" t="n">
        <x:f>MAX(0,MIN('Activities'!L156,534)-MAX('Activities'!K156,528))</x:f>
        <x:v>0</x:v>
      </x:c>
      <x:c r="CP156" s="22" t="n">
        <x:f>MAX(0,MIN('Activities'!L156,540)-MAX('Activities'!K156,534))</x:f>
        <x:v>0</x:v>
      </x:c>
      <x:c r="CQ156" s="22" t="n">
        <x:f>MAX(0,MIN('Activities'!L156,546)-MAX('Activities'!K156,540))</x:f>
        <x:v>0</x:v>
      </x:c>
      <x:c r="CR156" s="22" t="n">
        <x:f>MAX(0,MIN('Activities'!L156,552)-MAX('Activities'!K156,546))</x:f>
        <x:v>0</x:v>
      </x:c>
      <x:c r="CS156" s="22" t="n">
        <x:f>MAX(0,MIN('Activities'!L156,558)-MAX('Activities'!K156,552))</x:f>
        <x:v>0</x:v>
      </x:c>
      <x:c r="CT156" s="22" t="n">
        <x:f>MAX(0,MIN('Activities'!L156,564)-MAX('Activities'!K156,558))</x:f>
        <x:v>0</x:v>
      </x:c>
      <x:c r="CU156" s="22" t="n">
        <x:f>MAX(0,MIN('Activities'!L156,570)-MAX('Activities'!K156,564))</x:f>
        <x:v>0</x:v>
      </x:c>
      <x:c r="CV156" s="22" t="n">
        <x:f>MAX(0,MIN('Activities'!L156,576)-MAX('Activities'!K156,570))</x:f>
        <x:v>0</x:v>
      </x:c>
      <x:c r="CW156" s="22" t="n">
        <x:f>MAX(0,MIN('Activities'!L156,582)-MAX('Activities'!K156,576))</x:f>
        <x:v>0</x:v>
      </x:c>
      <x:c r="CX156" s="22" t="n">
        <x:f>MAX(0,MIN('Activities'!L156,588)-MAX('Activities'!K156,582))</x:f>
        <x:v>0</x:v>
      </x:c>
      <x:c r="CY156" s="22" t="n">
        <x:f>MAX(0,MIN('Activities'!L156,594)-MAX('Activities'!K156,588))</x:f>
        <x:v>0</x:v>
      </x:c>
      <x:c r="CZ156" s="22" t="n">
        <x:f>MAX(0,MIN('Activities'!L156,600)-MAX('Activities'!K156,594))</x:f>
        <x:v>0</x:v>
      </x:c>
      <x:c r="DA156" s="22" t="n">
        <x:f>MAX(0,MIN('Activities'!L156,606)-MAX('Activities'!K156,600))</x:f>
        <x:v>0</x:v>
      </x:c>
      <x:c r="DB156" s="22" t="n">
        <x:f>MAX(0,MIN('Activities'!L156,612)-MAX('Activities'!K156,606))</x:f>
        <x:v>0</x:v>
      </x:c>
      <x:c r="DC156" s="22" t="n">
        <x:f>MAX(0,MIN('Activities'!L156,618)-MAX('Activities'!K156,612))</x:f>
        <x:v>0</x:v>
      </x:c>
      <x:c r="DD156" s="22" t="n">
        <x:f>MAX(0,MIN('Activities'!L156,624)-MAX('Activities'!K156,618))</x:f>
        <x:v>0</x:v>
      </x:c>
      <x:c r="DE156" s="22" t="n">
        <x:f>MAX(0,MIN('Activities'!L156,630)-MAX('Activities'!K156,624))</x:f>
        <x:v>0</x:v>
      </x:c>
      <x:c r="DF156" s="22" t="n">
        <x:f>MAX(0,MIN('Activities'!L156,636)-MAX('Activities'!K156,630))</x:f>
        <x:v>0</x:v>
      </x:c>
    </x:row>
    <x:row r="157" ht="23" customHeight="1">
      <x:c r="A157" s="1" t="str">
        <x:v>T2-L02-F</x:v>
      </x:c>
      <x:c r="B157" s="1" t="str">
        <x:v>T2</x:v>
      </x:c>
      <x:c r="C157" s="1" t="str">
        <x:v>Columns, core and deck formwork</x:v>
      </x:c>
      <x:c r="D157" s="1" t="str">
        <x:v>Formwork</x:v>
      </x:c>
      <x:c r="E157" s="23" t="n">
        <x:f>MAX(0,MIN('Activities'!L157,6)-MAX('Activities'!K157,0))</x:f>
        <x:v>0</x:v>
      </x:c>
      <x:c r="F157" s="23" t="n">
        <x:f>MAX(0,MIN('Activities'!L157,12)-MAX('Activities'!K157,6))</x:f>
        <x:v>0</x:v>
      </x:c>
      <x:c r="G157" s="23" t="n">
        <x:f>MAX(0,MIN('Activities'!L157,18)-MAX('Activities'!K157,12))</x:f>
        <x:v>0</x:v>
      </x:c>
      <x:c r="H157" s="23" t="n">
        <x:f>MAX(0,MIN('Activities'!L157,24)-MAX('Activities'!K157,18))</x:f>
        <x:v>0</x:v>
      </x:c>
      <x:c r="I157" s="23" t="n">
        <x:f>MAX(0,MIN('Activities'!L157,30)-MAX('Activities'!K157,24))</x:f>
        <x:v>0</x:v>
      </x:c>
      <x:c r="J157" s="23" t="n">
        <x:f>MAX(0,MIN('Activities'!L157,36)-MAX('Activities'!K157,30))</x:f>
        <x:v>0</x:v>
      </x:c>
      <x:c r="K157" s="23" t="n">
        <x:f>MAX(0,MIN('Activities'!L157,42)-MAX('Activities'!K157,36))</x:f>
        <x:v>0</x:v>
      </x:c>
      <x:c r="L157" s="23" t="n">
        <x:f>MAX(0,MIN('Activities'!L157,48)-MAX('Activities'!K157,42))</x:f>
        <x:v>0</x:v>
      </x:c>
      <x:c r="M157" s="23" t="n">
        <x:f>MAX(0,MIN('Activities'!L157,54)-MAX('Activities'!K157,48))</x:f>
        <x:v>0</x:v>
      </x:c>
      <x:c r="N157" s="23" t="n">
        <x:f>MAX(0,MIN('Activities'!L157,60)-MAX('Activities'!K157,54))</x:f>
        <x:v>0</x:v>
      </x:c>
      <x:c r="O157" s="23" t="n">
        <x:f>MAX(0,MIN('Activities'!L157,66)-MAX('Activities'!K157,60))</x:f>
        <x:v>0</x:v>
      </x:c>
      <x:c r="P157" s="23" t="n">
        <x:f>MAX(0,MIN('Activities'!L157,72)-MAX('Activities'!K157,66))</x:f>
        <x:v>0</x:v>
      </x:c>
      <x:c r="Q157" s="23" t="n">
        <x:f>MAX(0,MIN('Activities'!L157,78)-MAX('Activities'!K157,72))</x:f>
        <x:v>0</x:v>
      </x:c>
      <x:c r="R157" s="23" t="n">
        <x:f>MAX(0,MIN('Activities'!L157,84)-MAX('Activities'!K157,78))</x:f>
        <x:v>0</x:v>
      </x:c>
      <x:c r="S157" s="23" t="n">
        <x:f>MAX(0,MIN('Activities'!L157,90)-MAX('Activities'!K157,84))</x:f>
        <x:v>0</x:v>
      </x:c>
      <x:c r="T157" s="23" t="n">
        <x:f>MAX(0,MIN('Activities'!L157,96)-MAX('Activities'!K157,90))</x:f>
        <x:v>0</x:v>
      </x:c>
      <x:c r="U157" s="23" t="n">
        <x:f>MAX(0,MIN('Activities'!L157,102)-MAX('Activities'!K157,96))</x:f>
        <x:v>0</x:v>
      </x:c>
      <x:c r="V157" s="23" t="n">
        <x:f>MAX(0,MIN('Activities'!L157,108)-MAX('Activities'!K157,102))</x:f>
        <x:v>0</x:v>
      </x:c>
      <x:c r="W157" s="23" t="n">
        <x:f>MAX(0,MIN('Activities'!L157,114)-MAX('Activities'!K157,108))</x:f>
        <x:v>0</x:v>
      </x:c>
      <x:c r="X157" s="23" t="n">
        <x:f>MAX(0,MIN('Activities'!L157,120)-MAX('Activities'!K157,114))</x:f>
        <x:v>0</x:v>
      </x:c>
      <x:c r="Y157" s="23" t="n">
        <x:f>MAX(0,MIN('Activities'!L157,126)-MAX('Activities'!K157,120))</x:f>
        <x:v>0</x:v>
      </x:c>
      <x:c r="Z157" s="23" t="n">
        <x:f>MAX(0,MIN('Activities'!L157,132)-MAX('Activities'!K157,126))</x:f>
        <x:v>0</x:v>
      </x:c>
      <x:c r="AA157" s="23" t="n">
        <x:f>MAX(0,MIN('Activities'!L157,138)-MAX('Activities'!K157,132))</x:f>
        <x:v>0</x:v>
      </x:c>
      <x:c r="AB157" s="23" t="n">
        <x:f>MAX(0,MIN('Activities'!L157,144)-MAX('Activities'!K157,138))</x:f>
        <x:v>0</x:v>
      </x:c>
      <x:c r="AC157" s="23" t="n">
        <x:f>MAX(0,MIN('Activities'!L157,150)-MAX('Activities'!K157,144))</x:f>
        <x:v>0</x:v>
      </x:c>
      <x:c r="AD157" s="23" t="n">
        <x:f>MAX(0,MIN('Activities'!L157,156)-MAX('Activities'!K157,150))</x:f>
        <x:v>0</x:v>
      </x:c>
      <x:c r="AE157" s="23" t="n">
        <x:f>MAX(0,MIN('Activities'!L157,162)-MAX('Activities'!K157,156))</x:f>
        <x:v>0</x:v>
      </x:c>
      <x:c r="AF157" s="23" t="n">
        <x:f>MAX(0,MIN('Activities'!L157,168)-MAX('Activities'!K157,162))</x:f>
        <x:v>0</x:v>
      </x:c>
      <x:c r="AG157" s="23" t="n">
        <x:f>MAX(0,MIN('Activities'!L157,174)-MAX('Activities'!K157,168))</x:f>
        <x:v>0</x:v>
      </x:c>
      <x:c r="AH157" s="23" t="n">
        <x:f>MAX(0,MIN('Activities'!L157,180)-MAX('Activities'!K157,174))</x:f>
        <x:v>0</x:v>
      </x:c>
      <x:c r="AI157" s="23" t="n">
        <x:f>MAX(0,MIN('Activities'!L157,186)-MAX('Activities'!K157,180))</x:f>
        <x:v>4</x:v>
      </x:c>
      <x:c r="AJ157" s="23" t="n">
        <x:f>MAX(0,MIN('Activities'!L157,192)-MAX('Activities'!K157,186))</x:f>
        <x:v>2</x:v>
      </x:c>
      <x:c r="AK157" s="23" t="n">
        <x:f>MAX(0,MIN('Activities'!L157,198)-MAX('Activities'!K157,192))</x:f>
        <x:v>0</x:v>
      </x:c>
      <x:c r="AL157" s="23" t="n">
        <x:f>MAX(0,MIN('Activities'!L157,204)-MAX('Activities'!K157,198))</x:f>
        <x:v>0</x:v>
      </x:c>
      <x:c r="AM157" s="23" t="n">
        <x:f>MAX(0,MIN('Activities'!L157,210)-MAX('Activities'!K157,204))</x:f>
        <x:v>0</x:v>
      </x:c>
      <x:c r="AN157" s="23" t="n">
        <x:f>MAX(0,MIN('Activities'!L157,216)-MAX('Activities'!K157,210))</x:f>
        <x:v>0</x:v>
      </x:c>
      <x:c r="AO157" s="23" t="n">
        <x:f>MAX(0,MIN('Activities'!L157,222)-MAX('Activities'!K157,216))</x:f>
        <x:v>0</x:v>
      </x:c>
      <x:c r="AP157" s="23" t="n">
        <x:f>MAX(0,MIN('Activities'!L157,228)-MAX('Activities'!K157,222))</x:f>
        <x:v>0</x:v>
      </x:c>
      <x:c r="AQ157" s="23" t="n">
        <x:f>MAX(0,MIN('Activities'!L157,234)-MAX('Activities'!K157,228))</x:f>
        <x:v>0</x:v>
      </x:c>
      <x:c r="AR157" s="23" t="n">
        <x:f>MAX(0,MIN('Activities'!L157,240)-MAX('Activities'!K157,234))</x:f>
        <x:v>0</x:v>
      </x:c>
      <x:c r="AS157" s="23" t="n">
        <x:f>MAX(0,MIN('Activities'!L157,246)-MAX('Activities'!K157,240))</x:f>
        <x:v>0</x:v>
      </x:c>
      <x:c r="AT157" s="23" t="n">
        <x:f>MAX(0,MIN('Activities'!L157,252)-MAX('Activities'!K157,246))</x:f>
        <x:v>0</x:v>
      </x:c>
      <x:c r="AU157" s="23" t="n">
        <x:f>MAX(0,MIN('Activities'!L157,258)-MAX('Activities'!K157,252))</x:f>
        <x:v>0</x:v>
      </x:c>
      <x:c r="AV157" s="23" t="n">
        <x:f>MAX(0,MIN('Activities'!L157,264)-MAX('Activities'!K157,258))</x:f>
        <x:v>0</x:v>
      </x:c>
      <x:c r="AW157" s="23" t="n">
        <x:f>MAX(0,MIN('Activities'!L157,270)-MAX('Activities'!K157,264))</x:f>
        <x:v>0</x:v>
      </x:c>
      <x:c r="AX157" s="23" t="n">
        <x:f>MAX(0,MIN('Activities'!L157,276)-MAX('Activities'!K157,270))</x:f>
        <x:v>0</x:v>
      </x:c>
      <x:c r="AY157" s="23" t="n">
        <x:f>MAX(0,MIN('Activities'!L157,282)-MAX('Activities'!K157,276))</x:f>
        <x:v>0</x:v>
      </x:c>
      <x:c r="AZ157" s="23" t="n">
        <x:f>MAX(0,MIN('Activities'!L157,288)-MAX('Activities'!K157,282))</x:f>
        <x:v>0</x:v>
      </x:c>
      <x:c r="BA157" s="23" t="n">
        <x:f>MAX(0,MIN('Activities'!L157,294)-MAX('Activities'!K157,288))</x:f>
        <x:v>0</x:v>
      </x:c>
      <x:c r="BB157" s="23" t="n">
        <x:f>MAX(0,MIN('Activities'!L157,300)-MAX('Activities'!K157,294))</x:f>
        <x:v>0</x:v>
      </x:c>
      <x:c r="BC157" s="23" t="n">
        <x:f>MAX(0,MIN('Activities'!L157,306)-MAX('Activities'!K157,300))</x:f>
        <x:v>0</x:v>
      </x:c>
      <x:c r="BD157" s="23" t="n">
        <x:f>MAX(0,MIN('Activities'!L157,312)-MAX('Activities'!K157,306))</x:f>
        <x:v>0</x:v>
      </x:c>
      <x:c r="BE157" s="23" t="n">
        <x:f>MAX(0,MIN('Activities'!L157,318)-MAX('Activities'!K157,312))</x:f>
        <x:v>0</x:v>
      </x:c>
      <x:c r="BF157" s="23" t="n">
        <x:f>MAX(0,MIN('Activities'!L157,324)-MAX('Activities'!K157,318))</x:f>
        <x:v>0</x:v>
      </x:c>
      <x:c r="BG157" s="23" t="n">
        <x:f>MAX(0,MIN('Activities'!L157,330)-MAX('Activities'!K157,324))</x:f>
        <x:v>0</x:v>
      </x:c>
      <x:c r="BH157" s="23" t="n">
        <x:f>MAX(0,MIN('Activities'!L157,336)-MAX('Activities'!K157,330))</x:f>
        <x:v>0</x:v>
      </x:c>
      <x:c r="BI157" s="23" t="n">
        <x:f>MAX(0,MIN('Activities'!L157,342)-MAX('Activities'!K157,336))</x:f>
        <x:v>0</x:v>
      </x:c>
      <x:c r="BJ157" s="23" t="n">
        <x:f>MAX(0,MIN('Activities'!L157,348)-MAX('Activities'!K157,342))</x:f>
        <x:v>0</x:v>
      </x:c>
      <x:c r="BK157" s="23" t="n">
        <x:f>MAX(0,MIN('Activities'!L157,354)-MAX('Activities'!K157,348))</x:f>
        <x:v>0</x:v>
      </x:c>
      <x:c r="BL157" s="23" t="n">
        <x:f>MAX(0,MIN('Activities'!L157,360)-MAX('Activities'!K157,354))</x:f>
        <x:v>0</x:v>
      </x:c>
      <x:c r="BM157" s="23" t="n">
        <x:f>MAX(0,MIN('Activities'!L157,366)-MAX('Activities'!K157,360))</x:f>
        <x:v>0</x:v>
      </x:c>
      <x:c r="BN157" s="23" t="n">
        <x:f>MAX(0,MIN('Activities'!L157,372)-MAX('Activities'!K157,366))</x:f>
        <x:v>0</x:v>
      </x:c>
      <x:c r="BO157" s="23" t="n">
        <x:f>MAX(0,MIN('Activities'!L157,378)-MAX('Activities'!K157,372))</x:f>
        <x:v>0</x:v>
      </x:c>
      <x:c r="BP157" s="23" t="n">
        <x:f>MAX(0,MIN('Activities'!L157,384)-MAX('Activities'!K157,378))</x:f>
        <x:v>0</x:v>
      </x:c>
      <x:c r="BQ157" s="23" t="n">
        <x:f>MAX(0,MIN('Activities'!L157,390)-MAX('Activities'!K157,384))</x:f>
        <x:v>0</x:v>
      </x:c>
      <x:c r="BR157" s="23" t="n">
        <x:f>MAX(0,MIN('Activities'!L157,396)-MAX('Activities'!K157,390))</x:f>
        <x:v>0</x:v>
      </x:c>
      <x:c r="BS157" s="23" t="n">
        <x:f>MAX(0,MIN('Activities'!L157,402)-MAX('Activities'!K157,396))</x:f>
        <x:v>0</x:v>
      </x:c>
      <x:c r="BT157" s="23" t="n">
        <x:f>MAX(0,MIN('Activities'!L157,408)-MAX('Activities'!K157,402))</x:f>
        <x:v>0</x:v>
      </x:c>
      <x:c r="BU157" s="23" t="n">
        <x:f>MAX(0,MIN('Activities'!L157,414)-MAX('Activities'!K157,408))</x:f>
        <x:v>0</x:v>
      </x:c>
      <x:c r="BV157" s="23" t="n">
        <x:f>MAX(0,MIN('Activities'!L157,420)-MAX('Activities'!K157,414))</x:f>
        <x:v>0</x:v>
      </x:c>
      <x:c r="BW157" s="23" t="n">
        <x:f>MAX(0,MIN('Activities'!L157,426)-MAX('Activities'!K157,420))</x:f>
        <x:v>0</x:v>
      </x:c>
      <x:c r="BX157" s="23" t="n">
        <x:f>MAX(0,MIN('Activities'!L157,432)-MAX('Activities'!K157,426))</x:f>
        <x:v>0</x:v>
      </x:c>
      <x:c r="BY157" s="23" t="n">
        <x:f>MAX(0,MIN('Activities'!L157,438)-MAX('Activities'!K157,432))</x:f>
        <x:v>0</x:v>
      </x:c>
      <x:c r="BZ157" s="23" t="n">
        <x:f>MAX(0,MIN('Activities'!L157,444)-MAX('Activities'!K157,438))</x:f>
        <x:v>0</x:v>
      </x:c>
      <x:c r="CA157" s="23" t="n">
        <x:f>MAX(0,MIN('Activities'!L157,450)-MAX('Activities'!K157,444))</x:f>
        <x:v>0</x:v>
      </x:c>
      <x:c r="CB157" s="23" t="n">
        <x:f>MAX(0,MIN('Activities'!L157,456)-MAX('Activities'!K157,450))</x:f>
        <x:v>0</x:v>
      </x:c>
      <x:c r="CC157" s="23" t="n">
        <x:f>MAX(0,MIN('Activities'!L157,462)-MAX('Activities'!K157,456))</x:f>
        <x:v>0</x:v>
      </x:c>
      <x:c r="CD157" s="23" t="n">
        <x:f>MAX(0,MIN('Activities'!L157,468)-MAX('Activities'!K157,462))</x:f>
        <x:v>0</x:v>
      </x:c>
      <x:c r="CE157" s="23" t="n">
        <x:f>MAX(0,MIN('Activities'!L157,474)-MAX('Activities'!K157,468))</x:f>
        <x:v>0</x:v>
      </x:c>
      <x:c r="CF157" s="23" t="n">
        <x:f>MAX(0,MIN('Activities'!L157,480)-MAX('Activities'!K157,474))</x:f>
        <x:v>0</x:v>
      </x:c>
      <x:c r="CG157" s="23" t="n">
        <x:f>MAX(0,MIN('Activities'!L157,486)-MAX('Activities'!K157,480))</x:f>
        <x:v>0</x:v>
      </x:c>
      <x:c r="CH157" s="23" t="n">
        <x:f>MAX(0,MIN('Activities'!L157,492)-MAX('Activities'!K157,486))</x:f>
        <x:v>0</x:v>
      </x:c>
      <x:c r="CI157" s="23" t="n">
        <x:f>MAX(0,MIN('Activities'!L157,498)-MAX('Activities'!K157,492))</x:f>
        <x:v>0</x:v>
      </x:c>
      <x:c r="CJ157" s="23" t="n">
        <x:f>MAX(0,MIN('Activities'!L157,504)-MAX('Activities'!K157,498))</x:f>
        <x:v>0</x:v>
      </x:c>
      <x:c r="CK157" s="23" t="n">
        <x:f>MAX(0,MIN('Activities'!L157,510)-MAX('Activities'!K157,504))</x:f>
        <x:v>0</x:v>
      </x:c>
      <x:c r="CL157" s="23" t="n">
        <x:f>MAX(0,MIN('Activities'!L157,516)-MAX('Activities'!K157,510))</x:f>
        <x:v>0</x:v>
      </x:c>
      <x:c r="CM157" s="23" t="n">
        <x:f>MAX(0,MIN('Activities'!L157,522)-MAX('Activities'!K157,516))</x:f>
        <x:v>0</x:v>
      </x:c>
      <x:c r="CN157" s="23" t="n">
        <x:f>MAX(0,MIN('Activities'!L157,528)-MAX('Activities'!K157,522))</x:f>
        <x:v>0</x:v>
      </x:c>
      <x:c r="CO157" s="23" t="n">
        <x:f>MAX(0,MIN('Activities'!L157,534)-MAX('Activities'!K157,528))</x:f>
        <x:v>0</x:v>
      </x:c>
      <x:c r="CP157" s="23" t="n">
        <x:f>MAX(0,MIN('Activities'!L157,540)-MAX('Activities'!K157,534))</x:f>
        <x:v>0</x:v>
      </x:c>
      <x:c r="CQ157" s="23" t="n">
        <x:f>MAX(0,MIN('Activities'!L157,546)-MAX('Activities'!K157,540))</x:f>
        <x:v>0</x:v>
      </x:c>
      <x:c r="CR157" s="23" t="n">
        <x:f>MAX(0,MIN('Activities'!L157,552)-MAX('Activities'!K157,546))</x:f>
        <x:v>0</x:v>
      </x:c>
      <x:c r="CS157" s="23" t="n">
        <x:f>MAX(0,MIN('Activities'!L157,558)-MAX('Activities'!K157,552))</x:f>
        <x:v>0</x:v>
      </x:c>
      <x:c r="CT157" s="23" t="n">
        <x:f>MAX(0,MIN('Activities'!L157,564)-MAX('Activities'!K157,558))</x:f>
        <x:v>0</x:v>
      </x:c>
      <x:c r="CU157" s="23" t="n">
        <x:f>MAX(0,MIN('Activities'!L157,570)-MAX('Activities'!K157,564))</x:f>
        <x:v>0</x:v>
      </x:c>
      <x:c r="CV157" s="23" t="n">
        <x:f>MAX(0,MIN('Activities'!L157,576)-MAX('Activities'!K157,570))</x:f>
        <x:v>0</x:v>
      </x:c>
      <x:c r="CW157" s="23" t="n">
        <x:f>MAX(0,MIN('Activities'!L157,582)-MAX('Activities'!K157,576))</x:f>
        <x:v>0</x:v>
      </x:c>
      <x:c r="CX157" s="23" t="n">
        <x:f>MAX(0,MIN('Activities'!L157,588)-MAX('Activities'!K157,582))</x:f>
        <x:v>0</x:v>
      </x:c>
      <x:c r="CY157" s="23" t="n">
        <x:f>MAX(0,MIN('Activities'!L157,594)-MAX('Activities'!K157,588))</x:f>
        <x:v>0</x:v>
      </x:c>
      <x:c r="CZ157" s="23" t="n">
        <x:f>MAX(0,MIN('Activities'!L157,600)-MAX('Activities'!K157,594))</x:f>
        <x:v>0</x:v>
      </x:c>
      <x:c r="DA157" s="23" t="n">
        <x:f>MAX(0,MIN('Activities'!L157,606)-MAX('Activities'!K157,600))</x:f>
        <x:v>0</x:v>
      </x:c>
      <x:c r="DB157" s="23" t="n">
        <x:f>MAX(0,MIN('Activities'!L157,612)-MAX('Activities'!K157,606))</x:f>
        <x:v>0</x:v>
      </x:c>
      <x:c r="DC157" s="23" t="n">
        <x:f>MAX(0,MIN('Activities'!L157,618)-MAX('Activities'!K157,612))</x:f>
        <x:v>0</x:v>
      </x:c>
      <x:c r="DD157" s="23" t="n">
        <x:f>MAX(0,MIN('Activities'!L157,624)-MAX('Activities'!K157,618))</x:f>
        <x:v>0</x:v>
      </x:c>
      <x:c r="DE157" s="23" t="n">
        <x:f>MAX(0,MIN('Activities'!L157,630)-MAX('Activities'!K157,624))</x:f>
        <x:v>0</x:v>
      </x:c>
      <x:c r="DF157" s="23" t="n">
        <x:f>MAX(0,MIN('Activities'!L157,636)-MAX('Activities'!K157,630))</x:f>
        <x:v>0</x:v>
      </x:c>
    </x:row>
    <x:row r="158" ht="23" customHeight="1">
      <x:c r="A158" s="6" t="str">
        <x:v>T2-L02-R</x:v>
      </x:c>
      <x:c r="B158" s="6" t="str">
        <x:v>T2</x:v>
      </x:c>
      <x:c r="C158" s="6" t="str">
        <x:v>Column, wall, beam and slab reinforcement</x:v>
      </x:c>
      <x:c r="D158" s="6" t="str">
        <x:v>Rebar</x:v>
      </x:c>
      <x:c r="E158" s="22" t="n">
        <x:f>MAX(0,MIN('Activities'!L158,6)-MAX('Activities'!K158,0))</x:f>
        <x:v>0</x:v>
      </x:c>
      <x:c r="F158" s="22" t="n">
        <x:f>MAX(0,MIN('Activities'!L158,12)-MAX('Activities'!K158,6))</x:f>
        <x:v>0</x:v>
      </x:c>
      <x:c r="G158" s="22" t="n">
        <x:f>MAX(0,MIN('Activities'!L158,18)-MAX('Activities'!K158,12))</x:f>
        <x:v>0</x:v>
      </x:c>
      <x:c r="H158" s="22" t="n">
        <x:f>MAX(0,MIN('Activities'!L158,24)-MAX('Activities'!K158,18))</x:f>
        <x:v>0</x:v>
      </x:c>
      <x:c r="I158" s="22" t="n">
        <x:f>MAX(0,MIN('Activities'!L158,30)-MAX('Activities'!K158,24))</x:f>
        <x:v>0</x:v>
      </x:c>
      <x:c r="J158" s="22" t="n">
        <x:f>MAX(0,MIN('Activities'!L158,36)-MAX('Activities'!K158,30))</x:f>
        <x:v>0</x:v>
      </x:c>
      <x:c r="K158" s="22" t="n">
        <x:f>MAX(0,MIN('Activities'!L158,42)-MAX('Activities'!K158,36))</x:f>
        <x:v>0</x:v>
      </x:c>
      <x:c r="L158" s="22" t="n">
        <x:f>MAX(0,MIN('Activities'!L158,48)-MAX('Activities'!K158,42))</x:f>
        <x:v>0</x:v>
      </x:c>
      <x:c r="M158" s="22" t="n">
        <x:f>MAX(0,MIN('Activities'!L158,54)-MAX('Activities'!K158,48))</x:f>
        <x:v>0</x:v>
      </x:c>
      <x:c r="N158" s="22" t="n">
        <x:f>MAX(0,MIN('Activities'!L158,60)-MAX('Activities'!K158,54))</x:f>
        <x:v>0</x:v>
      </x:c>
      <x:c r="O158" s="22" t="n">
        <x:f>MAX(0,MIN('Activities'!L158,66)-MAX('Activities'!K158,60))</x:f>
        <x:v>0</x:v>
      </x:c>
      <x:c r="P158" s="22" t="n">
        <x:f>MAX(0,MIN('Activities'!L158,72)-MAX('Activities'!K158,66))</x:f>
        <x:v>0</x:v>
      </x:c>
      <x:c r="Q158" s="22" t="n">
        <x:f>MAX(0,MIN('Activities'!L158,78)-MAX('Activities'!K158,72))</x:f>
        <x:v>0</x:v>
      </x:c>
      <x:c r="R158" s="22" t="n">
        <x:f>MAX(0,MIN('Activities'!L158,84)-MAX('Activities'!K158,78))</x:f>
        <x:v>0</x:v>
      </x:c>
      <x:c r="S158" s="22" t="n">
        <x:f>MAX(0,MIN('Activities'!L158,90)-MAX('Activities'!K158,84))</x:f>
        <x:v>0</x:v>
      </x:c>
      <x:c r="T158" s="22" t="n">
        <x:f>MAX(0,MIN('Activities'!L158,96)-MAX('Activities'!K158,90))</x:f>
        <x:v>0</x:v>
      </x:c>
      <x:c r="U158" s="22" t="n">
        <x:f>MAX(0,MIN('Activities'!L158,102)-MAX('Activities'!K158,96))</x:f>
        <x:v>0</x:v>
      </x:c>
      <x:c r="V158" s="22" t="n">
        <x:f>MAX(0,MIN('Activities'!L158,108)-MAX('Activities'!K158,102))</x:f>
        <x:v>0</x:v>
      </x:c>
      <x:c r="W158" s="22" t="n">
        <x:f>MAX(0,MIN('Activities'!L158,114)-MAX('Activities'!K158,108))</x:f>
        <x:v>0</x:v>
      </x:c>
      <x:c r="X158" s="22" t="n">
        <x:f>MAX(0,MIN('Activities'!L158,120)-MAX('Activities'!K158,114))</x:f>
        <x:v>0</x:v>
      </x:c>
      <x:c r="Y158" s="22" t="n">
        <x:f>MAX(0,MIN('Activities'!L158,126)-MAX('Activities'!K158,120))</x:f>
        <x:v>0</x:v>
      </x:c>
      <x:c r="Z158" s="22" t="n">
        <x:f>MAX(0,MIN('Activities'!L158,132)-MAX('Activities'!K158,126))</x:f>
        <x:v>0</x:v>
      </x:c>
      <x:c r="AA158" s="22" t="n">
        <x:f>MAX(0,MIN('Activities'!L158,138)-MAX('Activities'!K158,132))</x:f>
        <x:v>0</x:v>
      </x:c>
      <x:c r="AB158" s="22" t="n">
        <x:f>MAX(0,MIN('Activities'!L158,144)-MAX('Activities'!K158,138))</x:f>
        <x:v>0</x:v>
      </x:c>
      <x:c r="AC158" s="22" t="n">
        <x:f>MAX(0,MIN('Activities'!L158,150)-MAX('Activities'!K158,144))</x:f>
        <x:v>0</x:v>
      </x:c>
      <x:c r="AD158" s="22" t="n">
        <x:f>MAX(0,MIN('Activities'!L158,156)-MAX('Activities'!K158,150))</x:f>
        <x:v>0</x:v>
      </x:c>
      <x:c r="AE158" s="22" t="n">
        <x:f>MAX(0,MIN('Activities'!L158,162)-MAX('Activities'!K158,156))</x:f>
        <x:v>0</x:v>
      </x:c>
      <x:c r="AF158" s="22" t="n">
        <x:f>MAX(0,MIN('Activities'!L158,168)-MAX('Activities'!K158,162))</x:f>
        <x:v>0</x:v>
      </x:c>
      <x:c r="AG158" s="22" t="n">
        <x:f>MAX(0,MIN('Activities'!L158,174)-MAX('Activities'!K158,168))</x:f>
        <x:v>0</x:v>
      </x:c>
      <x:c r="AH158" s="22" t="n">
        <x:f>MAX(0,MIN('Activities'!L158,180)-MAX('Activities'!K158,174))</x:f>
        <x:v>0</x:v>
      </x:c>
      <x:c r="AI158" s="22" t="n">
        <x:f>MAX(0,MIN('Activities'!L158,186)-MAX('Activities'!K158,180))</x:f>
        <x:v>0</x:v>
      </x:c>
      <x:c r="AJ158" s="22" t="n">
        <x:f>MAX(0,MIN('Activities'!L158,192)-MAX('Activities'!K158,186))</x:f>
        <x:v>4</x:v>
      </x:c>
      <x:c r="AK158" s="22" t="n">
        <x:f>MAX(0,MIN('Activities'!L158,198)-MAX('Activities'!K158,192))</x:f>
        <x:v>1</x:v>
      </x:c>
      <x:c r="AL158" s="22" t="n">
        <x:f>MAX(0,MIN('Activities'!L158,204)-MAX('Activities'!K158,198))</x:f>
        <x:v>0</x:v>
      </x:c>
      <x:c r="AM158" s="22" t="n">
        <x:f>MAX(0,MIN('Activities'!L158,210)-MAX('Activities'!K158,204))</x:f>
        <x:v>0</x:v>
      </x:c>
      <x:c r="AN158" s="22" t="n">
        <x:f>MAX(0,MIN('Activities'!L158,216)-MAX('Activities'!K158,210))</x:f>
        <x:v>0</x:v>
      </x:c>
      <x:c r="AO158" s="22" t="n">
        <x:f>MAX(0,MIN('Activities'!L158,222)-MAX('Activities'!K158,216))</x:f>
        <x:v>0</x:v>
      </x:c>
      <x:c r="AP158" s="22" t="n">
        <x:f>MAX(0,MIN('Activities'!L158,228)-MAX('Activities'!K158,222))</x:f>
        <x:v>0</x:v>
      </x:c>
      <x:c r="AQ158" s="22" t="n">
        <x:f>MAX(0,MIN('Activities'!L158,234)-MAX('Activities'!K158,228))</x:f>
        <x:v>0</x:v>
      </x:c>
      <x:c r="AR158" s="22" t="n">
        <x:f>MAX(0,MIN('Activities'!L158,240)-MAX('Activities'!K158,234))</x:f>
        <x:v>0</x:v>
      </x:c>
      <x:c r="AS158" s="22" t="n">
        <x:f>MAX(0,MIN('Activities'!L158,246)-MAX('Activities'!K158,240))</x:f>
        <x:v>0</x:v>
      </x:c>
      <x:c r="AT158" s="22" t="n">
        <x:f>MAX(0,MIN('Activities'!L158,252)-MAX('Activities'!K158,246))</x:f>
        <x:v>0</x:v>
      </x:c>
      <x:c r="AU158" s="22" t="n">
        <x:f>MAX(0,MIN('Activities'!L158,258)-MAX('Activities'!K158,252))</x:f>
        <x:v>0</x:v>
      </x:c>
      <x:c r="AV158" s="22" t="n">
        <x:f>MAX(0,MIN('Activities'!L158,264)-MAX('Activities'!K158,258))</x:f>
        <x:v>0</x:v>
      </x:c>
      <x:c r="AW158" s="22" t="n">
        <x:f>MAX(0,MIN('Activities'!L158,270)-MAX('Activities'!K158,264))</x:f>
        <x:v>0</x:v>
      </x:c>
      <x:c r="AX158" s="22" t="n">
        <x:f>MAX(0,MIN('Activities'!L158,276)-MAX('Activities'!K158,270))</x:f>
        <x:v>0</x:v>
      </x:c>
      <x:c r="AY158" s="22" t="n">
        <x:f>MAX(0,MIN('Activities'!L158,282)-MAX('Activities'!K158,276))</x:f>
        <x:v>0</x:v>
      </x:c>
      <x:c r="AZ158" s="22" t="n">
        <x:f>MAX(0,MIN('Activities'!L158,288)-MAX('Activities'!K158,282))</x:f>
        <x:v>0</x:v>
      </x:c>
      <x:c r="BA158" s="22" t="n">
        <x:f>MAX(0,MIN('Activities'!L158,294)-MAX('Activities'!K158,288))</x:f>
        <x:v>0</x:v>
      </x:c>
      <x:c r="BB158" s="22" t="n">
        <x:f>MAX(0,MIN('Activities'!L158,300)-MAX('Activities'!K158,294))</x:f>
        <x:v>0</x:v>
      </x:c>
      <x:c r="BC158" s="22" t="n">
        <x:f>MAX(0,MIN('Activities'!L158,306)-MAX('Activities'!K158,300))</x:f>
        <x:v>0</x:v>
      </x:c>
      <x:c r="BD158" s="22" t="n">
        <x:f>MAX(0,MIN('Activities'!L158,312)-MAX('Activities'!K158,306))</x:f>
        <x:v>0</x:v>
      </x:c>
      <x:c r="BE158" s="22" t="n">
        <x:f>MAX(0,MIN('Activities'!L158,318)-MAX('Activities'!K158,312))</x:f>
        <x:v>0</x:v>
      </x:c>
      <x:c r="BF158" s="22" t="n">
        <x:f>MAX(0,MIN('Activities'!L158,324)-MAX('Activities'!K158,318))</x:f>
        <x:v>0</x:v>
      </x:c>
      <x:c r="BG158" s="22" t="n">
        <x:f>MAX(0,MIN('Activities'!L158,330)-MAX('Activities'!K158,324))</x:f>
        <x:v>0</x:v>
      </x:c>
      <x:c r="BH158" s="22" t="n">
        <x:f>MAX(0,MIN('Activities'!L158,336)-MAX('Activities'!K158,330))</x:f>
        <x:v>0</x:v>
      </x:c>
      <x:c r="BI158" s="22" t="n">
        <x:f>MAX(0,MIN('Activities'!L158,342)-MAX('Activities'!K158,336))</x:f>
        <x:v>0</x:v>
      </x:c>
      <x:c r="BJ158" s="22" t="n">
        <x:f>MAX(0,MIN('Activities'!L158,348)-MAX('Activities'!K158,342))</x:f>
        <x:v>0</x:v>
      </x:c>
      <x:c r="BK158" s="22" t="n">
        <x:f>MAX(0,MIN('Activities'!L158,354)-MAX('Activities'!K158,348))</x:f>
        <x:v>0</x:v>
      </x:c>
      <x:c r="BL158" s="22" t="n">
        <x:f>MAX(0,MIN('Activities'!L158,360)-MAX('Activities'!K158,354))</x:f>
        <x:v>0</x:v>
      </x:c>
      <x:c r="BM158" s="22" t="n">
        <x:f>MAX(0,MIN('Activities'!L158,366)-MAX('Activities'!K158,360))</x:f>
        <x:v>0</x:v>
      </x:c>
      <x:c r="BN158" s="22" t="n">
        <x:f>MAX(0,MIN('Activities'!L158,372)-MAX('Activities'!K158,366))</x:f>
        <x:v>0</x:v>
      </x:c>
      <x:c r="BO158" s="22" t="n">
        <x:f>MAX(0,MIN('Activities'!L158,378)-MAX('Activities'!K158,372))</x:f>
        <x:v>0</x:v>
      </x:c>
      <x:c r="BP158" s="22" t="n">
        <x:f>MAX(0,MIN('Activities'!L158,384)-MAX('Activities'!K158,378))</x:f>
        <x:v>0</x:v>
      </x:c>
      <x:c r="BQ158" s="22" t="n">
        <x:f>MAX(0,MIN('Activities'!L158,390)-MAX('Activities'!K158,384))</x:f>
        <x:v>0</x:v>
      </x:c>
      <x:c r="BR158" s="22" t="n">
        <x:f>MAX(0,MIN('Activities'!L158,396)-MAX('Activities'!K158,390))</x:f>
        <x:v>0</x:v>
      </x:c>
      <x:c r="BS158" s="22" t="n">
        <x:f>MAX(0,MIN('Activities'!L158,402)-MAX('Activities'!K158,396))</x:f>
        <x:v>0</x:v>
      </x:c>
      <x:c r="BT158" s="22" t="n">
        <x:f>MAX(0,MIN('Activities'!L158,408)-MAX('Activities'!K158,402))</x:f>
        <x:v>0</x:v>
      </x:c>
      <x:c r="BU158" s="22" t="n">
        <x:f>MAX(0,MIN('Activities'!L158,414)-MAX('Activities'!K158,408))</x:f>
        <x:v>0</x:v>
      </x:c>
      <x:c r="BV158" s="22" t="n">
        <x:f>MAX(0,MIN('Activities'!L158,420)-MAX('Activities'!K158,414))</x:f>
        <x:v>0</x:v>
      </x:c>
      <x:c r="BW158" s="22" t="n">
        <x:f>MAX(0,MIN('Activities'!L158,426)-MAX('Activities'!K158,420))</x:f>
        <x:v>0</x:v>
      </x:c>
      <x:c r="BX158" s="22" t="n">
        <x:f>MAX(0,MIN('Activities'!L158,432)-MAX('Activities'!K158,426))</x:f>
        <x:v>0</x:v>
      </x:c>
      <x:c r="BY158" s="22" t="n">
        <x:f>MAX(0,MIN('Activities'!L158,438)-MAX('Activities'!K158,432))</x:f>
        <x:v>0</x:v>
      </x:c>
      <x:c r="BZ158" s="22" t="n">
        <x:f>MAX(0,MIN('Activities'!L158,444)-MAX('Activities'!K158,438))</x:f>
        <x:v>0</x:v>
      </x:c>
      <x:c r="CA158" s="22" t="n">
        <x:f>MAX(0,MIN('Activities'!L158,450)-MAX('Activities'!K158,444))</x:f>
        <x:v>0</x:v>
      </x:c>
      <x:c r="CB158" s="22" t="n">
        <x:f>MAX(0,MIN('Activities'!L158,456)-MAX('Activities'!K158,450))</x:f>
        <x:v>0</x:v>
      </x:c>
      <x:c r="CC158" s="22" t="n">
        <x:f>MAX(0,MIN('Activities'!L158,462)-MAX('Activities'!K158,456))</x:f>
        <x:v>0</x:v>
      </x:c>
      <x:c r="CD158" s="22" t="n">
        <x:f>MAX(0,MIN('Activities'!L158,468)-MAX('Activities'!K158,462))</x:f>
        <x:v>0</x:v>
      </x:c>
      <x:c r="CE158" s="22" t="n">
        <x:f>MAX(0,MIN('Activities'!L158,474)-MAX('Activities'!K158,468))</x:f>
        <x:v>0</x:v>
      </x:c>
      <x:c r="CF158" s="22" t="n">
        <x:f>MAX(0,MIN('Activities'!L158,480)-MAX('Activities'!K158,474))</x:f>
        <x:v>0</x:v>
      </x:c>
      <x:c r="CG158" s="22" t="n">
        <x:f>MAX(0,MIN('Activities'!L158,486)-MAX('Activities'!K158,480))</x:f>
        <x:v>0</x:v>
      </x:c>
      <x:c r="CH158" s="22" t="n">
        <x:f>MAX(0,MIN('Activities'!L158,492)-MAX('Activities'!K158,486))</x:f>
        <x:v>0</x:v>
      </x:c>
      <x:c r="CI158" s="22" t="n">
        <x:f>MAX(0,MIN('Activities'!L158,498)-MAX('Activities'!K158,492))</x:f>
        <x:v>0</x:v>
      </x:c>
      <x:c r="CJ158" s="22" t="n">
        <x:f>MAX(0,MIN('Activities'!L158,504)-MAX('Activities'!K158,498))</x:f>
        <x:v>0</x:v>
      </x:c>
      <x:c r="CK158" s="22" t="n">
        <x:f>MAX(0,MIN('Activities'!L158,510)-MAX('Activities'!K158,504))</x:f>
        <x:v>0</x:v>
      </x:c>
      <x:c r="CL158" s="22" t="n">
        <x:f>MAX(0,MIN('Activities'!L158,516)-MAX('Activities'!K158,510))</x:f>
        <x:v>0</x:v>
      </x:c>
      <x:c r="CM158" s="22" t="n">
        <x:f>MAX(0,MIN('Activities'!L158,522)-MAX('Activities'!K158,516))</x:f>
        <x:v>0</x:v>
      </x:c>
      <x:c r="CN158" s="22" t="n">
        <x:f>MAX(0,MIN('Activities'!L158,528)-MAX('Activities'!K158,522))</x:f>
        <x:v>0</x:v>
      </x:c>
      <x:c r="CO158" s="22" t="n">
        <x:f>MAX(0,MIN('Activities'!L158,534)-MAX('Activities'!K158,528))</x:f>
        <x:v>0</x:v>
      </x:c>
      <x:c r="CP158" s="22" t="n">
        <x:f>MAX(0,MIN('Activities'!L158,540)-MAX('Activities'!K158,534))</x:f>
        <x:v>0</x:v>
      </x:c>
      <x:c r="CQ158" s="22" t="n">
        <x:f>MAX(0,MIN('Activities'!L158,546)-MAX('Activities'!K158,540))</x:f>
        <x:v>0</x:v>
      </x:c>
      <x:c r="CR158" s="22" t="n">
        <x:f>MAX(0,MIN('Activities'!L158,552)-MAX('Activities'!K158,546))</x:f>
        <x:v>0</x:v>
      </x:c>
      <x:c r="CS158" s="22" t="n">
        <x:f>MAX(0,MIN('Activities'!L158,558)-MAX('Activities'!K158,552))</x:f>
        <x:v>0</x:v>
      </x:c>
      <x:c r="CT158" s="22" t="n">
        <x:f>MAX(0,MIN('Activities'!L158,564)-MAX('Activities'!K158,558))</x:f>
        <x:v>0</x:v>
      </x:c>
      <x:c r="CU158" s="22" t="n">
        <x:f>MAX(0,MIN('Activities'!L158,570)-MAX('Activities'!K158,564))</x:f>
        <x:v>0</x:v>
      </x:c>
      <x:c r="CV158" s="22" t="n">
        <x:f>MAX(0,MIN('Activities'!L158,576)-MAX('Activities'!K158,570))</x:f>
        <x:v>0</x:v>
      </x:c>
      <x:c r="CW158" s="22" t="n">
        <x:f>MAX(0,MIN('Activities'!L158,582)-MAX('Activities'!K158,576))</x:f>
        <x:v>0</x:v>
      </x:c>
      <x:c r="CX158" s="22" t="n">
        <x:f>MAX(0,MIN('Activities'!L158,588)-MAX('Activities'!K158,582))</x:f>
        <x:v>0</x:v>
      </x:c>
      <x:c r="CY158" s="22" t="n">
        <x:f>MAX(0,MIN('Activities'!L158,594)-MAX('Activities'!K158,588))</x:f>
        <x:v>0</x:v>
      </x:c>
      <x:c r="CZ158" s="22" t="n">
        <x:f>MAX(0,MIN('Activities'!L158,600)-MAX('Activities'!K158,594))</x:f>
        <x:v>0</x:v>
      </x:c>
      <x:c r="DA158" s="22" t="n">
        <x:f>MAX(0,MIN('Activities'!L158,606)-MAX('Activities'!K158,600))</x:f>
        <x:v>0</x:v>
      </x:c>
      <x:c r="DB158" s="22" t="n">
        <x:f>MAX(0,MIN('Activities'!L158,612)-MAX('Activities'!K158,606))</x:f>
        <x:v>0</x:v>
      </x:c>
      <x:c r="DC158" s="22" t="n">
        <x:f>MAX(0,MIN('Activities'!L158,618)-MAX('Activities'!K158,612))</x:f>
        <x:v>0</x:v>
      </x:c>
      <x:c r="DD158" s="22" t="n">
        <x:f>MAX(0,MIN('Activities'!L158,624)-MAX('Activities'!K158,618))</x:f>
        <x:v>0</x:v>
      </x:c>
      <x:c r="DE158" s="22" t="n">
        <x:f>MAX(0,MIN('Activities'!L158,630)-MAX('Activities'!K158,624))</x:f>
        <x:v>0</x:v>
      </x:c>
      <x:c r="DF158" s="22" t="n">
        <x:f>MAX(0,MIN('Activities'!L158,636)-MAX('Activities'!K158,630))</x:f>
        <x:v>0</x:v>
      </x:c>
    </x:row>
    <x:row r="159" ht="23" customHeight="1">
      <x:c r="A159" s="1" t="str">
        <x:v>T2-L02-C</x:v>
      </x:c>
      <x:c r="B159" s="1" t="str">
        <x:v>T2</x:v>
      </x:c>
      <x:c r="C159" s="1" t="str">
        <x:v>Concrete placement and finishing</x:v>
      </x:c>
      <x:c r="D159" s="1" t="str">
        <x:v>Concrete</x:v>
      </x:c>
      <x:c r="E159" s="23" t="n">
        <x:f>MAX(0,MIN('Activities'!L159,6)-MAX('Activities'!K159,0))</x:f>
        <x:v>0</x:v>
      </x:c>
      <x:c r="F159" s="23" t="n">
        <x:f>MAX(0,MIN('Activities'!L159,12)-MAX('Activities'!K159,6))</x:f>
        <x:v>0</x:v>
      </x:c>
      <x:c r="G159" s="23" t="n">
        <x:f>MAX(0,MIN('Activities'!L159,18)-MAX('Activities'!K159,12))</x:f>
        <x:v>0</x:v>
      </x:c>
      <x:c r="H159" s="23" t="n">
        <x:f>MAX(0,MIN('Activities'!L159,24)-MAX('Activities'!K159,18))</x:f>
        <x:v>0</x:v>
      </x:c>
      <x:c r="I159" s="23" t="n">
        <x:f>MAX(0,MIN('Activities'!L159,30)-MAX('Activities'!K159,24))</x:f>
        <x:v>0</x:v>
      </x:c>
      <x:c r="J159" s="23" t="n">
        <x:f>MAX(0,MIN('Activities'!L159,36)-MAX('Activities'!K159,30))</x:f>
        <x:v>0</x:v>
      </x:c>
      <x:c r="K159" s="23" t="n">
        <x:f>MAX(0,MIN('Activities'!L159,42)-MAX('Activities'!K159,36))</x:f>
        <x:v>0</x:v>
      </x:c>
      <x:c r="L159" s="23" t="n">
        <x:f>MAX(0,MIN('Activities'!L159,48)-MAX('Activities'!K159,42))</x:f>
        <x:v>0</x:v>
      </x:c>
      <x:c r="M159" s="23" t="n">
        <x:f>MAX(0,MIN('Activities'!L159,54)-MAX('Activities'!K159,48))</x:f>
        <x:v>0</x:v>
      </x:c>
      <x:c r="N159" s="23" t="n">
        <x:f>MAX(0,MIN('Activities'!L159,60)-MAX('Activities'!K159,54))</x:f>
        <x:v>0</x:v>
      </x:c>
      <x:c r="O159" s="23" t="n">
        <x:f>MAX(0,MIN('Activities'!L159,66)-MAX('Activities'!K159,60))</x:f>
        <x:v>0</x:v>
      </x:c>
      <x:c r="P159" s="23" t="n">
        <x:f>MAX(0,MIN('Activities'!L159,72)-MAX('Activities'!K159,66))</x:f>
        <x:v>0</x:v>
      </x:c>
      <x:c r="Q159" s="23" t="n">
        <x:f>MAX(0,MIN('Activities'!L159,78)-MAX('Activities'!K159,72))</x:f>
        <x:v>0</x:v>
      </x:c>
      <x:c r="R159" s="23" t="n">
        <x:f>MAX(0,MIN('Activities'!L159,84)-MAX('Activities'!K159,78))</x:f>
        <x:v>0</x:v>
      </x:c>
      <x:c r="S159" s="23" t="n">
        <x:f>MAX(0,MIN('Activities'!L159,90)-MAX('Activities'!K159,84))</x:f>
        <x:v>0</x:v>
      </x:c>
      <x:c r="T159" s="23" t="n">
        <x:f>MAX(0,MIN('Activities'!L159,96)-MAX('Activities'!K159,90))</x:f>
        <x:v>0</x:v>
      </x:c>
      <x:c r="U159" s="23" t="n">
        <x:f>MAX(0,MIN('Activities'!L159,102)-MAX('Activities'!K159,96))</x:f>
        <x:v>0</x:v>
      </x:c>
      <x:c r="V159" s="23" t="n">
        <x:f>MAX(0,MIN('Activities'!L159,108)-MAX('Activities'!K159,102))</x:f>
        <x:v>0</x:v>
      </x:c>
      <x:c r="W159" s="23" t="n">
        <x:f>MAX(0,MIN('Activities'!L159,114)-MAX('Activities'!K159,108))</x:f>
        <x:v>0</x:v>
      </x:c>
      <x:c r="X159" s="23" t="n">
        <x:f>MAX(0,MIN('Activities'!L159,120)-MAX('Activities'!K159,114))</x:f>
        <x:v>0</x:v>
      </x:c>
      <x:c r="Y159" s="23" t="n">
        <x:f>MAX(0,MIN('Activities'!L159,126)-MAX('Activities'!K159,120))</x:f>
        <x:v>0</x:v>
      </x:c>
      <x:c r="Z159" s="23" t="n">
        <x:f>MAX(0,MIN('Activities'!L159,132)-MAX('Activities'!K159,126))</x:f>
        <x:v>0</x:v>
      </x:c>
      <x:c r="AA159" s="23" t="n">
        <x:f>MAX(0,MIN('Activities'!L159,138)-MAX('Activities'!K159,132))</x:f>
        <x:v>0</x:v>
      </x:c>
      <x:c r="AB159" s="23" t="n">
        <x:f>MAX(0,MIN('Activities'!L159,144)-MAX('Activities'!K159,138))</x:f>
        <x:v>0</x:v>
      </x:c>
      <x:c r="AC159" s="23" t="n">
        <x:f>MAX(0,MIN('Activities'!L159,150)-MAX('Activities'!K159,144))</x:f>
        <x:v>0</x:v>
      </x:c>
      <x:c r="AD159" s="23" t="n">
        <x:f>MAX(0,MIN('Activities'!L159,156)-MAX('Activities'!K159,150))</x:f>
        <x:v>0</x:v>
      </x:c>
      <x:c r="AE159" s="23" t="n">
        <x:f>MAX(0,MIN('Activities'!L159,162)-MAX('Activities'!K159,156))</x:f>
        <x:v>0</x:v>
      </x:c>
      <x:c r="AF159" s="23" t="n">
        <x:f>MAX(0,MIN('Activities'!L159,168)-MAX('Activities'!K159,162))</x:f>
        <x:v>0</x:v>
      </x:c>
      <x:c r="AG159" s="23" t="n">
        <x:f>MAX(0,MIN('Activities'!L159,174)-MAX('Activities'!K159,168))</x:f>
        <x:v>0</x:v>
      </x:c>
      <x:c r="AH159" s="23" t="n">
        <x:f>MAX(0,MIN('Activities'!L159,180)-MAX('Activities'!K159,174))</x:f>
        <x:v>0</x:v>
      </x:c>
      <x:c r="AI159" s="23" t="n">
        <x:f>MAX(0,MIN('Activities'!L159,186)-MAX('Activities'!K159,180))</x:f>
        <x:v>0</x:v>
      </x:c>
      <x:c r="AJ159" s="23" t="n">
        <x:f>MAX(0,MIN('Activities'!L159,192)-MAX('Activities'!K159,186))</x:f>
        <x:v>0</x:v>
      </x:c>
      <x:c r="AK159" s="23" t="n">
        <x:f>MAX(0,MIN('Activities'!L159,198)-MAX('Activities'!K159,192))</x:f>
        <x:v>2</x:v>
      </x:c>
      <x:c r="AL159" s="23" t="n">
        <x:f>MAX(0,MIN('Activities'!L159,204)-MAX('Activities'!K159,198))</x:f>
        <x:v>0</x:v>
      </x:c>
      <x:c r="AM159" s="23" t="n">
        <x:f>MAX(0,MIN('Activities'!L159,210)-MAX('Activities'!K159,204))</x:f>
        <x:v>0</x:v>
      </x:c>
      <x:c r="AN159" s="23" t="n">
        <x:f>MAX(0,MIN('Activities'!L159,216)-MAX('Activities'!K159,210))</x:f>
        <x:v>0</x:v>
      </x:c>
      <x:c r="AO159" s="23" t="n">
        <x:f>MAX(0,MIN('Activities'!L159,222)-MAX('Activities'!K159,216))</x:f>
        <x:v>0</x:v>
      </x:c>
      <x:c r="AP159" s="23" t="n">
        <x:f>MAX(0,MIN('Activities'!L159,228)-MAX('Activities'!K159,222))</x:f>
        <x:v>0</x:v>
      </x:c>
      <x:c r="AQ159" s="23" t="n">
        <x:f>MAX(0,MIN('Activities'!L159,234)-MAX('Activities'!K159,228))</x:f>
        <x:v>0</x:v>
      </x:c>
      <x:c r="AR159" s="23" t="n">
        <x:f>MAX(0,MIN('Activities'!L159,240)-MAX('Activities'!K159,234))</x:f>
        <x:v>0</x:v>
      </x:c>
      <x:c r="AS159" s="23" t="n">
        <x:f>MAX(0,MIN('Activities'!L159,246)-MAX('Activities'!K159,240))</x:f>
        <x:v>0</x:v>
      </x:c>
      <x:c r="AT159" s="23" t="n">
        <x:f>MAX(0,MIN('Activities'!L159,252)-MAX('Activities'!K159,246))</x:f>
        <x:v>0</x:v>
      </x:c>
      <x:c r="AU159" s="23" t="n">
        <x:f>MAX(0,MIN('Activities'!L159,258)-MAX('Activities'!K159,252))</x:f>
        <x:v>0</x:v>
      </x:c>
      <x:c r="AV159" s="23" t="n">
        <x:f>MAX(0,MIN('Activities'!L159,264)-MAX('Activities'!K159,258))</x:f>
        <x:v>0</x:v>
      </x:c>
      <x:c r="AW159" s="23" t="n">
        <x:f>MAX(0,MIN('Activities'!L159,270)-MAX('Activities'!K159,264))</x:f>
        <x:v>0</x:v>
      </x:c>
      <x:c r="AX159" s="23" t="n">
        <x:f>MAX(0,MIN('Activities'!L159,276)-MAX('Activities'!K159,270))</x:f>
        <x:v>0</x:v>
      </x:c>
      <x:c r="AY159" s="23" t="n">
        <x:f>MAX(0,MIN('Activities'!L159,282)-MAX('Activities'!K159,276))</x:f>
        <x:v>0</x:v>
      </x:c>
      <x:c r="AZ159" s="23" t="n">
        <x:f>MAX(0,MIN('Activities'!L159,288)-MAX('Activities'!K159,282))</x:f>
        <x:v>0</x:v>
      </x:c>
      <x:c r="BA159" s="23" t="n">
        <x:f>MAX(0,MIN('Activities'!L159,294)-MAX('Activities'!K159,288))</x:f>
        <x:v>0</x:v>
      </x:c>
      <x:c r="BB159" s="23" t="n">
        <x:f>MAX(0,MIN('Activities'!L159,300)-MAX('Activities'!K159,294))</x:f>
        <x:v>0</x:v>
      </x:c>
      <x:c r="BC159" s="23" t="n">
        <x:f>MAX(0,MIN('Activities'!L159,306)-MAX('Activities'!K159,300))</x:f>
        <x:v>0</x:v>
      </x:c>
      <x:c r="BD159" s="23" t="n">
        <x:f>MAX(0,MIN('Activities'!L159,312)-MAX('Activities'!K159,306))</x:f>
        <x:v>0</x:v>
      </x:c>
      <x:c r="BE159" s="23" t="n">
        <x:f>MAX(0,MIN('Activities'!L159,318)-MAX('Activities'!K159,312))</x:f>
        <x:v>0</x:v>
      </x:c>
      <x:c r="BF159" s="23" t="n">
        <x:f>MAX(0,MIN('Activities'!L159,324)-MAX('Activities'!K159,318))</x:f>
        <x:v>0</x:v>
      </x:c>
      <x:c r="BG159" s="23" t="n">
        <x:f>MAX(0,MIN('Activities'!L159,330)-MAX('Activities'!K159,324))</x:f>
        <x:v>0</x:v>
      </x:c>
      <x:c r="BH159" s="23" t="n">
        <x:f>MAX(0,MIN('Activities'!L159,336)-MAX('Activities'!K159,330))</x:f>
        <x:v>0</x:v>
      </x:c>
      <x:c r="BI159" s="23" t="n">
        <x:f>MAX(0,MIN('Activities'!L159,342)-MAX('Activities'!K159,336))</x:f>
        <x:v>0</x:v>
      </x:c>
      <x:c r="BJ159" s="23" t="n">
        <x:f>MAX(0,MIN('Activities'!L159,348)-MAX('Activities'!K159,342))</x:f>
        <x:v>0</x:v>
      </x:c>
      <x:c r="BK159" s="23" t="n">
        <x:f>MAX(0,MIN('Activities'!L159,354)-MAX('Activities'!K159,348))</x:f>
        <x:v>0</x:v>
      </x:c>
      <x:c r="BL159" s="23" t="n">
        <x:f>MAX(0,MIN('Activities'!L159,360)-MAX('Activities'!K159,354))</x:f>
        <x:v>0</x:v>
      </x:c>
      <x:c r="BM159" s="23" t="n">
        <x:f>MAX(0,MIN('Activities'!L159,366)-MAX('Activities'!K159,360))</x:f>
        <x:v>0</x:v>
      </x:c>
      <x:c r="BN159" s="23" t="n">
        <x:f>MAX(0,MIN('Activities'!L159,372)-MAX('Activities'!K159,366))</x:f>
        <x:v>0</x:v>
      </x:c>
      <x:c r="BO159" s="23" t="n">
        <x:f>MAX(0,MIN('Activities'!L159,378)-MAX('Activities'!K159,372))</x:f>
        <x:v>0</x:v>
      </x:c>
      <x:c r="BP159" s="23" t="n">
        <x:f>MAX(0,MIN('Activities'!L159,384)-MAX('Activities'!K159,378))</x:f>
        <x:v>0</x:v>
      </x:c>
      <x:c r="BQ159" s="23" t="n">
        <x:f>MAX(0,MIN('Activities'!L159,390)-MAX('Activities'!K159,384))</x:f>
        <x:v>0</x:v>
      </x:c>
      <x:c r="BR159" s="23" t="n">
        <x:f>MAX(0,MIN('Activities'!L159,396)-MAX('Activities'!K159,390))</x:f>
        <x:v>0</x:v>
      </x:c>
      <x:c r="BS159" s="23" t="n">
        <x:f>MAX(0,MIN('Activities'!L159,402)-MAX('Activities'!K159,396))</x:f>
        <x:v>0</x:v>
      </x:c>
      <x:c r="BT159" s="23" t="n">
        <x:f>MAX(0,MIN('Activities'!L159,408)-MAX('Activities'!K159,402))</x:f>
        <x:v>0</x:v>
      </x:c>
      <x:c r="BU159" s="23" t="n">
        <x:f>MAX(0,MIN('Activities'!L159,414)-MAX('Activities'!K159,408))</x:f>
        <x:v>0</x:v>
      </x:c>
      <x:c r="BV159" s="23" t="n">
        <x:f>MAX(0,MIN('Activities'!L159,420)-MAX('Activities'!K159,414))</x:f>
        <x:v>0</x:v>
      </x:c>
      <x:c r="BW159" s="23" t="n">
        <x:f>MAX(0,MIN('Activities'!L159,426)-MAX('Activities'!K159,420))</x:f>
        <x:v>0</x:v>
      </x:c>
      <x:c r="BX159" s="23" t="n">
        <x:f>MAX(0,MIN('Activities'!L159,432)-MAX('Activities'!K159,426))</x:f>
        <x:v>0</x:v>
      </x:c>
      <x:c r="BY159" s="23" t="n">
        <x:f>MAX(0,MIN('Activities'!L159,438)-MAX('Activities'!K159,432))</x:f>
        <x:v>0</x:v>
      </x:c>
      <x:c r="BZ159" s="23" t="n">
        <x:f>MAX(0,MIN('Activities'!L159,444)-MAX('Activities'!K159,438))</x:f>
        <x:v>0</x:v>
      </x:c>
      <x:c r="CA159" s="23" t="n">
        <x:f>MAX(0,MIN('Activities'!L159,450)-MAX('Activities'!K159,444))</x:f>
        <x:v>0</x:v>
      </x:c>
      <x:c r="CB159" s="23" t="n">
        <x:f>MAX(0,MIN('Activities'!L159,456)-MAX('Activities'!K159,450))</x:f>
        <x:v>0</x:v>
      </x:c>
      <x:c r="CC159" s="23" t="n">
        <x:f>MAX(0,MIN('Activities'!L159,462)-MAX('Activities'!K159,456))</x:f>
        <x:v>0</x:v>
      </x:c>
      <x:c r="CD159" s="23" t="n">
        <x:f>MAX(0,MIN('Activities'!L159,468)-MAX('Activities'!K159,462))</x:f>
        <x:v>0</x:v>
      </x:c>
      <x:c r="CE159" s="23" t="n">
        <x:f>MAX(0,MIN('Activities'!L159,474)-MAX('Activities'!K159,468))</x:f>
        <x:v>0</x:v>
      </x:c>
      <x:c r="CF159" s="23" t="n">
        <x:f>MAX(0,MIN('Activities'!L159,480)-MAX('Activities'!K159,474))</x:f>
        <x:v>0</x:v>
      </x:c>
      <x:c r="CG159" s="23" t="n">
        <x:f>MAX(0,MIN('Activities'!L159,486)-MAX('Activities'!K159,480))</x:f>
        <x:v>0</x:v>
      </x:c>
      <x:c r="CH159" s="23" t="n">
        <x:f>MAX(0,MIN('Activities'!L159,492)-MAX('Activities'!K159,486))</x:f>
        <x:v>0</x:v>
      </x:c>
      <x:c r="CI159" s="23" t="n">
        <x:f>MAX(0,MIN('Activities'!L159,498)-MAX('Activities'!K159,492))</x:f>
        <x:v>0</x:v>
      </x:c>
      <x:c r="CJ159" s="23" t="n">
        <x:f>MAX(0,MIN('Activities'!L159,504)-MAX('Activities'!K159,498))</x:f>
        <x:v>0</x:v>
      </x:c>
      <x:c r="CK159" s="23" t="n">
        <x:f>MAX(0,MIN('Activities'!L159,510)-MAX('Activities'!K159,504))</x:f>
        <x:v>0</x:v>
      </x:c>
      <x:c r="CL159" s="23" t="n">
        <x:f>MAX(0,MIN('Activities'!L159,516)-MAX('Activities'!K159,510))</x:f>
        <x:v>0</x:v>
      </x:c>
      <x:c r="CM159" s="23" t="n">
        <x:f>MAX(0,MIN('Activities'!L159,522)-MAX('Activities'!K159,516))</x:f>
        <x:v>0</x:v>
      </x:c>
      <x:c r="CN159" s="23" t="n">
        <x:f>MAX(0,MIN('Activities'!L159,528)-MAX('Activities'!K159,522))</x:f>
        <x:v>0</x:v>
      </x:c>
      <x:c r="CO159" s="23" t="n">
        <x:f>MAX(0,MIN('Activities'!L159,534)-MAX('Activities'!K159,528))</x:f>
        <x:v>0</x:v>
      </x:c>
      <x:c r="CP159" s="23" t="n">
        <x:f>MAX(0,MIN('Activities'!L159,540)-MAX('Activities'!K159,534))</x:f>
        <x:v>0</x:v>
      </x:c>
      <x:c r="CQ159" s="23" t="n">
        <x:f>MAX(0,MIN('Activities'!L159,546)-MAX('Activities'!K159,540))</x:f>
        <x:v>0</x:v>
      </x:c>
      <x:c r="CR159" s="23" t="n">
        <x:f>MAX(0,MIN('Activities'!L159,552)-MAX('Activities'!K159,546))</x:f>
        <x:v>0</x:v>
      </x:c>
      <x:c r="CS159" s="23" t="n">
        <x:f>MAX(0,MIN('Activities'!L159,558)-MAX('Activities'!K159,552))</x:f>
        <x:v>0</x:v>
      </x:c>
      <x:c r="CT159" s="23" t="n">
        <x:f>MAX(0,MIN('Activities'!L159,564)-MAX('Activities'!K159,558))</x:f>
        <x:v>0</x:v>
      </x:c>
      <x:c r="CU159" s="23" t="n">
        <x:f>MAX(0,MIN('Activities'!L159,570)-MAX('Activities'!K159,564))</x:f>
        <x:v>0</x:v>
      </x:c>
      <x:c r="CV159" s="23" t="n">
        <x:f>MAX(0,MIN('Activities'!L159,576)-MAX('Activities'!K159,570))</x:f>
        <x:v>0</x:v>
      </x:c>
      <x:c r="CW159" s="23" t="n">
        <x:f>MAX(0,MIN('Activities'!L159,582)-MAX('Activities'!K159,576))</x:f>
        <x:v>0</x:v>
      </x:c>
      <x:c r="CX159" s="23" t="n">
        <x:f>MAX(0,MIN('Activities'!L159,588)-MAX('Activities'!K159,582))</x:f>
        <x:v>0</x:v>
      </x:c>
      <x:c r="CY159" s="23" t="n">
        <x:f>MAX(0,MIN('Activities'!L159,594)-MAX('Activities'!K159,588))</x:f>
        <x:v>0</x:v>
      </x:c>
      <x:c r="CZ159" s="23" t="n">
        <x:f>MAX(0,MIN('Activities'!L159,600)-MAX('Activities'!K159,594))</x:f>
        <x:v>0</x:v>
      </x:c>
      <x:c r="DA159" s="23" t="n">
        <x:f>MAX(0,MIN('Activities'!L159,606)-MAX('Activities'!K159,600))</x:f>
        <x:v>0</x:v>
      </x:c>
      <x:c r="DB159" s="23" t="n">
        <x:f>MAX(0,MIN('Activities'!L159,612)-MAX('Activities'!K159,606))</x:f>
        <x:v>0</x:v>
      </x:c>
      <x:c r="DC159" s="23" t="n">
        <x:f>MAX(0,MIN('Activities'!L159,618)-MAX('Activities'!K159,612))</x:f>
        <x:v>0</x:v>
      </x:c>
      <x:c r="DD159" s="23" t="n">
        <x:f>MAX(0,MIN('Activities'!L159,624)-MAX('Activities'!K159,618))</x:f>
        <x:v>0</x:v>
      </x:c>
      <x:c r="DE159" s="23" t="n">
        <x:f>MAX(0,MIN('Activities'!L159,630)-MAX('Activities'!K159,624))</x:f>
        <x:v>0</x:v>
      </x:c>
      <x:c r="DF159" s="23" t="n">
        <x:f>MAX(0,MIN('Activities'!L159,636)-MAX('Activities'!K159,630))</x:f>
        <x:v>0</x:v>
      </x:c>
    </x:row>
    <x:row r="160" ht="23" customHeight="1">
      <x:c r="A160" s="6" t="str">
        <x:v>T2-L02-H</x:v>
      </x:c>
      <x:c r="B160" s="6" t="str">
        <x:v>T2</x:v>
      </x:c>
      <x:c r="C160" s="6" t="str">
        <x:v>Curing and release hold point</x:v>
      </x:c>
      <x:c r="D160" s="6" t="str">
        <x:v>Site</x:v>
      </x:c>
      <x:c r="E160" s="22" t="n">
        <x:f>MAX(0,MIN('Activities'!L160,6)-MAX('Activities'!K160,0))</x:f>
        <x:v>0</x:v>
      </x:c>
      <x:c r="F160" s="22" t="n">
        <x:f>MAX(0,MIN('Activities'!L160,12)-MAX('Activities'!K160,6))</x:f>
        <x:v>0</x:v>
      </x:c>
      <x:c r="G160" s="22" t="n">
        <x:f>MAX(0,MIN('Activities'!L160,18)-MAX('Activities'!K160,12))</x:f>
        <x:v>0</x:v>
      </x:c>
      <x:c r="H160" s="22" t="n">
        <x:f>MAX(0,MIN('Activities'!L160,24)-MAX('Activities'!K160,18))</x:f>
        <x:v>0</x:v>
      </x:c>
      <x:c r="I160" s="22" t="n">
        <x:f>MAX(0,MIN('Activities'!L160,30)-MAX('Activities'!K160,24))</x:f>
        <x:v>0</x:v>
      </x:c>
      <x:c r="J160" s="22" t="n">
        <x:f>MAX(0,MIN('Activities'!L160,36)-MAX('Activities'!K160,30))</x:f>
        <x:v>0</x:v>
      </x:c>
      <x:c r="K160" s="22" t="n">
        <x:f>MAX(0,MIN('Activities'!L160,42)-MAX('Activities'!K160,36))</x:f>
        <x:v>0</x:v>
      </x:c>
      <x:c r="L160" s="22" t="n">
        <x:f>MAX(0,MIN('Activities'!L160,48)-MAX('Activities'!K160,42))</x:f>
        <x:v>0</x:v>
      </x:c>
      <x:c r="M160" s="22" t="n">
        <x:f>MAX(0,MIN('Activities'!L160,54)-MAX('Activities'!K160,48))</x:f>
        <x:v>0</x:v>
      </x:c>
      <x:c r="N160" s="22" t="n">
        <x:f>MAX(0,MIN('Activities'!L160,60)-MAX('Activities'!K160,54))</x:f>
        <x:v>0</x:v>
      </x:c>
      <x:c r="O160" s="22" t="n">
        <x:f>MAX(0,MIN('Activities'!L160,66)-MAX('Activities'!K160,60))</x:f>
        <x:v>0</x:v>
      </x:c>
      <x:c r="P160" s="22" t="n">
        <x:f>MAX(0,MIN('Activities'!L160,72)-MAX('Activities'!K160,66))</x:f>
        <x:v>0</x:v>
      </x:c>
      <x:c r="Q160" s="22" t="n">
        <x:f>MAX(0,MIN('Activities'!L160,78)-MAX('Activities'!K160,72))</x:f>
        <x:v>0</x:v>
      </x:c>
      <x:c r="R160" s="22" t="n">
        <x:f>MAX(0,MIN('Activities'!L160,84)-MAX('Activities'!K160,78))</x:f>
        <x:v>0</x:v>
      </x:c>
      <x:c r="S160" s="22" t="n">
        <x:f>MAX(0,MIN('Activities'!L160,90)-MAX('Activities'!K160,84))</x:f>
        <x:v>0</x:v>
      </x:c>
      <x:c r="T160" s="22" t="n">
        <x:f>MAX(0,MIN('Activities'!L160,96)-MAX('Activities'!K160,90))</x:f>
        <x:v>0</x:v>
      </x:c>
      <x:c r="U160" s="22" t="n">
        <x:f>MAX(0,MIN('Activities'!L160,102)-MAX('Activities'!K160,96))</x:f>
        <x:v>0</x:v>
      </x:c>
      <x:c r="V160" s="22" t="n">
        <x:f>MAX(0,MIN('Activities'!L160,108)-MAX('Activities'!K160,102))</x:f>
        <x:v>0</x:v>
      </x:c>
      <x:c r="W160" s="22" t="n">
        <x:f>MAX(0,MIN('Activities'!L160,114)-MAX('Activities'!K160,108))</x:f>
        <x:v>0</x:v>
      </x:c>
      <x:c r="X160" s="22" t="n">
        <x:f>MAX(0,MIN('Activities'!L160,120)-MAX('Activities'!K160,114))</x:f>
        <x:v>0</x:v>
      </x:c>
      <x:c r="Y160" s="22" t="n">
        <x:f>MAX(0,MIN('Activities'!L160,126)-MAX('Activities'!K160,120))</x:f>
        <x:v>0</x:v>
      </x:c>
      <x:c r="Z160" s="22" t="n">
        <x:f>MAX(0,MIN('Activities'!L160,132)-MAX('Activities'!K160,126))</x:f>
        <x:v>0</x:v>
      </x:c>
      <x:c r="AA160" s="22" t="n">
        <x:f>MAX(0,MIN('Activities'!L160,138)-MAX('Activities'!K160,132))</x:f>
        <x:v>0</x:v>
      </x:c>
      <x:c r="AB160" s="22" t="n">
        <x:f>MAX(0,MIN('Activities'!L160,144)-MAX('Activities'!K160,138))</x:f>
        <x:v>0</x:v>
      </x:c>
      <x:c r="AC160" s="22" t="n">
        <x:f>MAX(0,MIN('Activities'!L160,150)-MAX('Activities'!K160,144))</x:f>
        <x:v>0</x:v>
      </x:c>
      <x:c r="AD160" s="22" t="n">
        <x:f>MAX(0,MIN('Activities'!L160,156)-MAX('Activities'!K160,150))</x:f>
        <x:v>0</x:v>
      </x:c>
      <x:c r="AE160" s="22" t="n">
        <x:f>MAX(0,MIN('Activities'!L160,162)-MAX('Activities'!K160,156))</x:f>
        <x:v>0</x:v>
      </x:c>
      <x:c r="AF160" s="22" t="n">
        <x:f>MAX(0,MIN('Activities'!L160,168)-MAX('Activities'!K160,162))</x:f>
        <x:v>0</x:v>
      </x:c>
      <x:c r="AG160" s="22" t="n">
        <x:f>MAX(0,MIN('Activities'!L160,174)-MAX('Activities'!K160,168))</x:f>
        <x:v>0</x:v>
      </x:c>
      <x:c r="AH160" s="22" t="n">
        <x:f>MAX(0,MIN('Activities'!L160,180)-MAX('Activities'!K160,174))</x:f>
        <x:v>0</x:v>
      </x:c>
      <x:c r="AI160" s="22" t="n">
        <x:f>MAX(0,MIN('Activities'!L160,186)-MAX('Activities'!K160,180))</x:f>
        <x:v>0</x:v>
      </x:c>
      <x:c r="AJ160" s="22" t="n">
        <x:f>MAX(0,MIN('Activities'!L160,192)-MAX('Activities'!K160,186))</x:f>
        <x:v>0</x:v>
      </x:c>
      <x:c r="AK160" s="22" t="n">
        <x:f>MAX(0,MIN('Activities'!L160,198)-MAX('Activities'!K160,192))</x:f>
        <x:v>3</x:v>
      </x:c>
      <x:c r="AL160" s="22" t="n">
        <x:f>MAX(0,MIN('Activities'!L160,204)-MAX('Activities'!K160,198))</x:f>
        <x:v>2</x:v>
      </x:c>
      <x:c r="AM160" s="22" t="n">
        <x:f>MAX(0,MIN('Activities'!L160,210)-MAX('Activities'!K160,204))</x:f>
        <x:v>0</x:v>
      </x:c>
      <x:c r="AN160" s="22" t="n">
        <x:f>MAX(0,MIN('Activities'!L160,216)-MAX('Activities'!K160,210))</x:f>
        <x:v>0</x:v>
      </x:c>
      <x:c r="AO160" s="22" t="n">
        <x:f>MAX(0,MIN('Activities'!L160,222)-MAX('Activities'!K160,216))</x:f>
        <x:v>0</x:v>
      </x:c>
      <x:c r="AP160" s="22" t="n">
        <x:f>MAX(0,MIN('Activities'!L160,228)-MAX('Activities'!K160,222))</x:f>
        <x:v>0</x:v>
      </x:c>
      <x:c r="AQ160" s="22" t="n">
        <x:f>MAX(0,MIN('Activities'!L160,234)-MAX('Activities'!K160,228))</x:f>
        <x:v>0</x:v>
      </x:c>
      <x:c r="AR160" s="22" t="n">
        <x:f>MAX(0,MIN('Activities'!L160,240)-MAX('Activities'!K160,234))</x:f>
        <x:v>0</x:v>
      </x:c>
      <x:c r="AS160" s="22" t="n">
        <x:f>MAX(0,MIN('Activities'!L160,246)-MAX('Activities'!K160,240))</x:f>
        <x:v>0</x:v>
      </x:c>
      <x:c r="AT160" s="22" t="n">
        <x:f>MAX(0,MIN('Activities'!L160,252)-MAX('Activities'!K160,246))</x:f>
        <x:v>0</x:v>
      </x:c>
      <x:c r="AU160" s="22" t="n">
        <x:f>MAX(0,MIN('Activities'!L160,258)-MAX('Activities'!K160,252))</x:f>
        <x:v>0</x:v>
      </x:c>
      <x:c r="AV160" s="22" t="n">
        <x:f>MAX(0,MIN('Activities'!L160,264)-MAX('Activities'!K160,258))</x:f>
        <x:v>0</x:v>
      </x:c>
      <x:c r="AW160" s="22" t="n">
        <x:f>MAX(0,MIN('Activities'!L160,270)-MAX('Activities'!K160,264))</x:f>
        <x:v>0</x:v>
      </x:c>
      <x:c r="AX160" s="22" t="n">
        <x:f>MAX(0,MIN('Activities'!L160,276)-MAX('Activities'!K160,270))</x:f>
        <x:v>0</x:v>
      </x:c>
      <x:c r="AY160" s="22" t="n">
        <x:f>MAX(0,MIN('Activities'!L160,282)-MAX('Activities'!K160,276))</x:f>
        <x:v>0</x:v>
      </x:c>
      <x:c r="AZ160" s="22" t="n">
        <x:f>MAX(0,MIN('Activities'!L160,288)-MAX('Activities'!K160,282))</x:f>
        <x:v>0</x:v>
      </x:c>
      <x:c r="BA160" s="22" t="n">
        <x:f>MAX(0,MIN('Activities'!L160,294)-MAX('Activities'!K160,288))</x:f>
        <x:v>0</x:v>
      </x:c>
      <x:c r="BB160" s="22" t="n">
        <x:f>MAX(0,MIN('Activities'!L160,300)-MAX('Activities'!K160,294))</x:f>
        <x:v>0</x:v>
      </x:c>
      <x:c r="BC160" s="22" t="n">
        <x:f>MAX(0,MIN('Activities'!L160,306)-MAX('Activities'!K160,300))</x:f>
        <x:v>0</x:v>
      </x:c>
      <x:c r="BD160" s="22" t="n">
        <x:f>MAX(0,MIN('Activities'!L160,312)-MAX('Activities'!K160,306))</x:f>
        <x:v>0</x:v>
      </x:c>
      <x:c r="BE160" s="22" t="n">
        <x:f>MAX(0,MIN('Activities'!L160,318)-MAX('Activities'!K160,312))</x:f>
        <x:v>0</x:v>
      </x:c>
      <x:c r="BF160" s="22" t="n">
        <x:f>MAX(0,MIN('Activities'!L160,324)-MAX('Activities'!K160,318))</x:f>
        <x:v>0</x:v>
      </x:c>
      <x:c r="BG160" s="22" t="n">
        <x:f>MAX(0,MIN('Activities'!L160,330)-MAX('Activities'!K160,324))</x:f>
        <x:v>0</x:v>
      </x:c>
      <x:c r="BH160" s="22" t="n">
        <x:f>MAX(0,MIN('Activities'!L160,336)-MAX('Activities'!K160,330))</x:f>
        <x:v>0</x:v>
      </x:c>
      <x:c r="BI160" s="22" t="n">
        <x:f>MAX(0,MIN('Activities'!L160,342)-MAX('Activities'!K160,336))</x:f>
        <x:v>0</x:v>
      </x:c>
      <x:c r="BJ160" s="22" t="n">
        <x:f>MAX(0,MIN('Activities'!L160,348)-MAX('Activities'!K160,342))</x:f>
        <x:v>0</x:v>
      </x:c>
      <x:c r="BK160" s="22" t="n">
        <x:f>MAX(0,MIN('Activities'!L160,354)-MAX('Activities'!K160,348))</x:f>
        <x:v>0</x:v>
      </x:c>
      <x:c r="BL160" s="22" t="n">
        <x:f>MAX(0,MIN('Activities'!L160,360)-MAX('Activities'!K160,354))</x:f>
        <x:v>0</x:v>
      </x:c>
      <x:c r="BM160" s="22" t="n">
        <x:f>MAX(0,MIN('Activities'!L160,366)-MAX('Activities'!K160,360))</x:f>
        <x:v>0</x:v>
      </x:c>
      <x:c r="BN160" s="22" t="n">
        <x:f>MAX(0,MIN('Activities'!L160,372)-MAX('Activities'!K160,366))</x:f>
        <x:v>0</x:v>
      </x:c>
      <x:c r="BO160" s="22" t="n">
        <x:f>MAX(0,MIN('Activities'!L160,378)-MAX('Activities'!K160,372))</x:f>
        <x:v>0</x:v>
      </x:c>
      <x:c r="BP160" s="22" t="n">
        <x:f>MAX(0,MIN('Activities'!L160,384)-MAX('Activities'!K160,378))</x:f>
        <x:v>0</x:v>
      </x:c>
      <x:c r="BQ160" s="22" t="n">
        <x:f>MAX(0,MIN('Activities'!L160,390)-MAX('Activities'!K160,384))</x:f>
        <x:v>0</x:v>
      </x:c>
      <x:c r="BR160" s="22" t="n">
        <x:f>MAX(0,MIN('Activities'!L160,396)-MAX('Activities'!K160,390))</x:f>
        <x:v>0</x:v>
      </x:c>
      <x:c r="BS160" s="22" t="n">
        <x:f>MAX(0,MIN('Activities'!L160,402)-MAX('Activities'!K160,396))</x:f>
        <x:v>0</x:v>
      </x:c>
      <x:c r="BT160" s="22" t="n">
        <x:f>MAX(0,MIN('Activities'!L160,408)-MAX('Activities'!K160,402))</x:f>
        <x:v>0</x:v>
      </x:c>
      <x:c r="BU160" s="22" t="n">
        <x:f>MAX(0,MIN('Activities'!L160,414)-MAX('Activities'!K160,408))</x:f>
        <x:v>0</x:v>
      </x:c>
      <x:c r="BV160" s="22" t="n">
        <x:f>MAX(0,MIN('Activities'!L160,420)-MAX('Activities'!K160,414))</x:f>
        <x:v>0</x:v>
      </x:c>
      <x:c r="BW160" s="22" t="n">
        <x:f>MAX(0,MIN('Activities'!L160,426)-MAX('Activities'!K160,420))</x:f>
        <x:v>0</x:v>
      </x:c>
      <x:c r="BX160" s="22" t="n">
        <x:f>MAX(0,MIN('Activities'!L160,432)-MAX('Activities'!K160,426))</x:f>
        <x:v>0</x:v>
      </x:c>
      <x:c r="BY160" s="22" t="n">
        <x:f>MAX(0,MIN('Activities'!L160,438)-MAX('Activities'!K160,432))</x:f>
        <x:v>0</x:v>
      </x:c>
      <x:c r="BZ160" s="22" t="n">
        <x:f>MAX(0,MIN('Activities'!L160,444)-MAX('Activities'!K160,438))</x:f>
        <x:v>0</x:v>
      </x:c>
      <x:c r="CA160" s="22" t="n">
        <x:f>MAX(0,MIN('Activities'!L160,450)-MAX('Activities'!K160,444))</x:f>
        <x:v>0</x:v>
      </x:c>
      <x:c r="CB160" s="22" t="n">
        <x:f>MAX(0,MIN('Activities'!L160,456)-MAX('Activities'!K160,450))</x:f>
        <x:v>0</x:v>
      </x:c>
      <x:c r="CC160" s="22" t="n">
        <x:f>MAX(0,MIN('Activities'!L160,462)-MAX('Activities'!K160,456))</x:f>
        <x:v>0</x:v>
      </x:c>
      <x:c r="CD160" s="22" t="n">
        <x:f>MAX(0,MIN('Activities'!L160,468)-MAX('Activities'!K160,462))</x:f>
        <x:v>0</x:v>
      </x:c>
      <x:c r="CE160" s="22" t="n">
        <x:f>MAX(0,MIN('Activities'!L160,474)-MAX('Activities'!K160,468))</x:f>
        <x:v>0</x:v>
      </x:c>
      <x:c r="CF160" s="22" t="n">
        <x:f>MAX(0,MIN('Activities'!L160,480)-MAX('Activities'!K160,474))</x:f>
        <x:v>0</x:v>
      </x:c>
      <x:c r="CG160" s="22" t="n">
        <x:f>MAX(0,MIN('Activities'!L160,486)-MAX('Activities'!K160,480))</x:f>
        <x:v>0</x:v>
      </x:c>
      <x:c r="CH160" s="22" t="n">
        <x:f>MAX(0,MIN('Activities'!L160,492)-MAX('Activities'!K160,486))</x:f>
        <x:v>0</x:v>
      </x:c>
      <x:c r="CI160" s="22" t="n">
        <x:f>MAX(0,MIN('Activities'!L160,498)-MAX('Activities'!K160,492))</x:f>
        <x:v>0</x:v>
      </x:c>
      <x:c r="CJ160" s="22" t="n">
        <x:f>MAX(0,MIN('Activities'!L160,504)-MAX('Activities'!K160,498))</x:f>
        <x:v>0</x:v>
      </x:c>
      <x:c r="CK160" s="22" t="n">
        <x:f>MAX(0,MIN('Activities'!L160,510)-MAX('Activities'!K160,504))</x:f>
        <x:v>0</x:v>
      </x:c>
      <x:c r="CL160" s="22" t="n">
        <x:f>MAX(0,MIN('Activities'!L160,516)-MAX('Activities'!K160,510))</x:f>
        <x:v>0</x:v>
      </x:c>
      <x:c r="CM160" s="22" t="n">
        <x:f>MAX(0,MIN('Activities'!L160,522)-MAX('Activities'!K160,516))</x:f>
        <x:v>0</x:v>
      </x:c>
      <x:c r="CN160" s="22" t="n">
        <x:f>MAX(0,MIN('Activities'!L160,528)-MAX('Activities'!K160,522))</x:f>
        <x:v>0</x:v>
      </x:c>
      <x:c r="CO160" s="22" t="n">
        <x:f>MAX(0,MIN('Activities'!L160,534)-MAX('Activities'!K160,528))</x:f>
        <x:v>0</x:v>
      </x:c>
      <x:c r="CP160" s="22" t="n">
        <x:f>MAX(0,MIN('Activities'!L160,540)-MAX('Activities'!K160,534))</x:f>
        <x:v>0</x:v>
      </x:c>
      <x:c r="CQ160" s="22" t="n">
        <x:f>MAX(0,MIN('Activities'!L160,546)-MAX('Activities'!K160,540))</x:f>
        <x:v>0</x:v>
      </x:c>
      <x:c r="CR160" s="22" t="n">
        <x:f>MAX(0,MIN('Activities'!L160,552)-MAX('Activities'!K160,546))</x:f>
        <x:v>0</x:v>
      </x:c>
      <x:c r="CS160" s="22" t="n">
        <x:f>MAX(0,MIN('Activities'!L160,558)-MAX('Activities'!K160,552))</x:f>
        <x:v>0</x:v>
      </x:c>
      <x:c r="CT160" s="22" t="n">
        <x:f>MAX(0,MIN('Activities'!L160,564)-MAX('Activities'!K160,558))</x:f>
        <x:v>0</x:v>
      </x:c>
      <x:c r="CU160" s="22" t="n">
        <x:f>MAX(0,MIN('Activities'!L160,570)-MAX('Activities'!K160,564))</x:f>
        <x:v>0</x:v>
      </x:c>
      <x:c r="CV160" s="22" t="n">
        <x:f>MAX(0,MIN('Activities'!L160,576)-MAX('Activities'!K160,570))</x:f>
        <x:v>0</x:v>
      </x:c>
      <x:c r="CW160" s="22" t="n">
        <x:f>MAX(0,MIN('Activities'!L160,582)-MAX('Activities'!K160,576))</x:f>
        <x:v>0</x:v>
      </x:c>
      <x:c r="CX160" s="22" t="n">
        <x:f>MAX(0,MIN('Activities'!L160,588)-MAX('Activities'!K160,582))</x:f>
        <x:v>0</x:v>
      </x:c>
      <x:c r="CY160" s="22" t="n">
        <x:f>MAX(0,MIN('Activities'!L160,594)-MAX('Activities'!K160,588))</x:f>
        <x:v>0</x:v>
      </x:c>
      <x:c r="CZ160" s="22" t="n">
        <x:f>MAX(0,MIN('Activities'!L160,600)-MAX('Activities'!K160,594))</x:f>
        <x:v>0</x:v>
      </x:c>
      <x:c r="DA160" s="22" t="n">
        <x:f>MAX(0,MIN('Activities'!L160,606)-MAX('Activities'!K160,600))</x:f>
        <x:v>0</x:v>
      </x:c>
      <x:c r="DB160" s="22" t="n">
        <x:f>MAX(0,MIN('Activities'!L160,612)-MAX('Activities'!K160,606))</x:f>
        <x:v>0</x:v>
      </x:c>
      <x:c r="DC160" s="22" t="n">
        <x:f>MAX(0,MIN('Activities'!L160,618)-MAX('Activities'!K160,612))</x:f>
        <x:v>0</x:v>
      </x:c>
      <x:c r="DD160" s="22" t="n">
        <x:f>MAX(0,MIN('Activities'!L160,624)-MAX('Activities'!K160,618))</x:f>
        <x:v>0</x:v>
      </x:c>
      <x:c r="DE160" s="22" t="n">
        <x:f>MAX(0,MIN('Activities'!L160,630)-MAX('Activities'!K160,624))</x:f>
        <x:v>0</x:v>
      </x:c>
      <x:c r="DF160" s="22" t="n">
        <x:f>MAX(0,MIN('Activities'!L160,636)-MAX('Activities'!K160,630))</x:f>
        <x:v>0</x:v>
      </x:c>
    </x:row>
    <x:row r="161" ht="23" customHeight="1">
      <x:c r="A161" s="1" t="str">
        <x:v>T2-L03-F</x:v>
      </x:c>
      <x:c r="B161" s="1" t="str">
        <x:v>T2</x:v>
      </x:c>
      <x:c r="C161" s="1" t="str">
        <x:v>Columns, core and deck formwork</x:v>
      </x:c>
      <x:c r="D161" s="1" t="str">
        <x:v>Formwork</x:v>
      </x:c>
      <x:c r="E161" s="23" t="n">
        <x:f>MAX(0,MIN('Activities'!L161,6)-MAX('Activities'!K161,0))</x:f>
        <x:v>0</x:v>
      </x:c>
      <x:c r="F161" s="23" t="n">
        <x:f>MAX(0,MIN('Activities'!L161,12)-MAX('Activities'!K161,6))</x:f>
        <x:v>0</x:v>
      </x:c>
      <x:c r="G161" s="23" t="n">
        <x:f>MAX(0,MIN('Activities'!L161,18)-MAX('Activities'!K161,12))</x:f>
        <x:v>0</x:v>
      </x:c>
      <x:c r="H161" s="23" t="n">
        <x:f>MAX(0,MIN('Activities'!L161,24)-MAX('Activities'!K161,18))</x:f>
        <x:v>0</x:v>
      </x:c>
      <x:c r="I161" s="23" t="n">
        <x:f>MAX(0,MIN('Activities'!L161,30)-MAX('Activities'!K161,24))</x:f>
        <x:v>0</x:v>
      </x:c>
      <x:c r="J161" s="23" t="n">
        <x:f>MAX(0,MIN('Activities'!L161,36)-MAX('Activities'!K161,30))</x:f>
        <x:v>0</x:v>
      </x:c>
      <x:c r="K161" s="23" t="n">
        <x:f>MAX(0,MIN('Activities'!L161,42)-MAX('Activities'!K161,36))</x:f>
        <x:v>0</x:v>
      </x:c>
      <x:c r="L161" s="23" t="n">
        <x:f>MAX(0,MIN('Activities'!L161,48)-MAX('Activities'!K161,42))</x:f>
        <x:v>0</x:v>
      </x:c>
      <x:c r="M161" s="23" t="n">
        <x:f>MAX(0,MIN('Activities'!L161,54)-MAX('Activities'!K161,48))</x:f>
        <x:v>0</x:v>
      </x:c>
      <x:c r="N161" s="23" t="n">
        <x:f>MAX(0,MIN('Activities'!L161,60)-MAX('Activities'!K161,54))</x:f>
        <x:v>0</x:v>
      </x:c>
      <x:c r="O161" s="23" t="n">
        <x:f>MAX(0,MIN('Activities'!L161,66)-MAX('Activities'!K161,60))</x:f>
        <x:v>0</x:v>
      </x:c>
      <x:c r="P161" s="23" t="n">
        <x:f>MAX(0,MIN('Activities'!L161,72)-MAX('Activities'!K161,66))</x:f>
        <x:v>0</x:v>
      </x:c>
      <x:c r="Q161" s="23" t="n">
        <x:f>MAX(0,MIN('Activities'!L161,78)-MAX('Activities'!K161,72))</x:f>
        <x:v>0</x:v>
      </x:c>
      <x:c r="R161" s="23" t="n">
        <x:f>MAX(0,MIN('Activities'!L161,84)-MAX('Activities'!K161,78))</x:f>
        <x:v>0</x:v>
      </x:c>
      <x:c r="S161" s="23" t="n">
        <x:f>MAX(0,MIN('Activities'!L161,90)-MAX('Activities'!K161,84))</x:f>
        <x:v>0</x:v>
      </x:c>
      <x:c r="T161" s="23" t="n">
        <x:f>MAX(0,MIN('Activities'!L161,96)-MAX('Activities'!K161,90))</x:f>
        <x:v>0</x:v>
      </x:c>
      <x:c r="U161" s="23" t="n">
        <x:f>MAX(0,MIN('Activities'!L161,102)-MAX('Activities'!K161,96))</x:f>
        <x:v>0</x:v>
      </x:c>
      <x:c r="V161" s="23" t="n">
        <x:f>MAX(0,MIN('Activities'!L161,108)-MAX('Activities'!K161,102))</x:f>
        <x:v>0</x:v>
      </x:c>
      <x:c r="W161" s="23" t="n">
        <x:f>MAX(0,MIN('Activities'!L161,114)-MAX('Activities'!K161,108))</x:f>
        <x:v>0</x:v>
      </x:c>
      <x:c r="X161" s="23" t="n">
        <x:f>MAX(0,MIN('Activities'!L161,120)-MAX('Activities'!K161,114))</x:f>
        <x:v>0</x:v>
      </x:c>
      <x:c r="Y161" s="23" t="n">
        <x:f>MAX(0,MIN('Activities'!L161,126)-MAX('Activities'!K161,120))</x:f>
        <x:v>0</x:v>
      </x:c>
      <x:c r="Z161" s="23" t="n">
        <x:f>MAX(0,MIN('Activities'!L161,132)-MAX('Activities'!K161,126))</x:f>
        <x:v>0</x:v>
      </x:c>
      <x:c r="AA161" s="23" t="n">
        <x:f>MAX(0,MIN('Activities'!L161,138)-MAX('Activities'!K161,132))</x:f>
        <x:v>0</x:v>
      </x:c>
      <x:c r="AB161" s="23" t="n">
        <x:f>MAX(0,MIN('Activities'!L161,144)-MAX('Activities'!K161,138))</x:f>
        <x:v>0</x:v>
      </x:c>
      <x:c r="AC161" s="23" t="n">
        <x:f>MAX(0,MIN('Activities'!L161,150)-MAX('Activities'!K161,144))</x:f>
        <x:v>0</x:v>
      </x:c>
      <x:c r="AD161" s="23" t="n">
        <x:f>MAX(0,MIN('Activities'!L161,156)-MAX('Activities'!K161,150))</x:f>
        <x:v>0</x:v>
      </x:c>
      <x:c r="AE161" s="23" t="n">
        <x:f>MAX(0,MIN('Activities'!L161,162)-MAX('Activities'!K161,156))</x:f>
        <x:v>0</x:v>
      </x:c>
      <x:c r="AF161" s="23" t="n">
        <x:f>MAX(0,MIN('Activities'!L161,168)-MAX('Activities'!K161,162))</x:f>
        <x:v>0</x:v>
      </x:c>
      <x:c r="AG161" s="23" t="n">
        <x:f>MAX(0,MIN('Activities'!L161,174)-MAX('Activities'!K161,168))</x:f>
        <x:v>0</x:v>
      </x:c>
      <x:c r="AH161" s="23" t="n">
        <x:f>MAX(0,MIN('Activities'!L161,180)-MAX('Activities'!K161,174))</x:f>
        <x:v>0</x:v>
      </x:c>
      <x:c r="AI161" s="23" t="n">
        <x:f>MAX(0,MIN('Activities'!L161,186)-MAX('Activities'!K161,180))</x:f>
        <x:v>0</x:v>
      </x:c>
      <x:c r="AJ161" s="23" t="n">
        <x:f>MAX(0,MIN('Activities'!L161,192)-MAX('Activities'!K161,186))</x:f>
        <x:v>0</x:v>
      </x:c>
      <x:c r="AK161" s="23" t="n">
        <x:f>MAX(0,MIN('Activities'!L161,198)-MAX('Activities'!K161,192))</x:f>
        <x:v>0</x:v>
      </x:c>
      <x:c r="AL161" s="23" t="n">
        <x:f>MAX(0,MIN('Activities'!L161,204)-MAX('Activities'!K161,198))</x:f>
        <x:v>4</x:v>
      </x:c>
      <x:c r="AM161" s="23" t="n">
        <x:f>MAX(0,MIN('Activities'!L161,210)-MAX('Activities'!K161,204))</x:f>
        <x:v>2</x:v>
      </x:c>
      <x:c r="AN161" s="23" t="n">
        <x:f>MAX(0,MIN('Activities'!L161,216)-MAX('Activities'!K161,210))</x:f>
        <x:v>0</x:v>
      </x:c>
      <x:c r="AO161" s="23" t="n">
        <x:f>MAX(0,MIN('Activities'!L161,222)-MAX('Activities'!K161,216))</x:f>
        <x:v>0</x:v>
      </x:c>
      <x:c r="AP161" s="23" t="n">
        <x:f>MAX(0,MIN('Activities'!L161,228)-MAX('Activities'!K161,222))</x:f>
        <x:v>0</x:v>
      </x:c>
      <x:c r="AQ161" s="23" t="n">
        <x:f>MAX(0,MIN('Activities'!L161,234)-MAX('Activities'!K161,228))</x:f>
        <x:v>0</x:v>
      </x:c>
      <x:c r="AR161" s="23" t="n">
        <x:f>MAX(0,MIN('Activities'!L161,240)-MAX('Activities'!K161,234))</x:f>
        <x:v>0</x:v>
      </x:c>
      <x:c r="AS161" s="23" t="n">
        <x:f>MAX(0,MIN('Activities'!L161,246)-MAX('Activities'!K161,240))</x:f>
        <x:v>0</x:v>
      </x:c>
      <x:c r="AT161" s="23" t="n">
        <x:f>MAX(0,MIN('Activities'!L161,252)-MAX('Activities'!K161,246))</x:f>
        <x:v>0</x:v>
      </x:c>
      <x:c r="AU161" s="23" t="n">
        <x:f>MAX(0,MIN('Activities'!L161,258)-MAX('Activities'!K161,252))</x:f>
        <x:v>0</x:v>
      </x:c>
      <x:c r="AV161" s="23" t="n">
        <x:f>MAX(0,MIN('Activities'!L161,264)-MAX('Activities'!K161,258))</x:f>
        <x:v>0</x:v>
      </x:c>
      <x:c r="AW161" s="23" t="n">
        <x:f>MAX(0,MIN('Activities'!L161,270)-MAX('Activities'!K161,264))</x:f>
        <x:v>0</x:v>
      </x:c>
      <x:c r="AX161" s="23" t="n">
        <x:f>MAX(0,MIN('Activities'!L161,276)-MAX('Activities'!K161,270))</x:f>
        <x:v>0</x:v>
      </x:c>
      <x:c r="AY161" s="23" t="n">
        <x:f>MAX(0,MIN('Activities'!L161,282)-MAX('Activities'!K161,276))</x:f>
        <x:v>0</x:v>
      </x:c>
      <x:c r="AZ161" s="23" t="n">
        <x:f>MAX(0,MIN('Activities'!L161,288)-MAX('Activities'!K161,282))</x:f>
        <x:v>0</x:v>
      </x:c>
      <x:c r="BA161" s="23" t="n">
        <x:f>MAX(0,MIN('Activities'!L161,294)-MAX('Activities'!K161,288))</x:f>
        <x:v>0</x:v>
      </x:c>
      <x:c r="BB161" s="23" t="n">
        <x:f>MAX(0,MIN('Activities'!L161,300)-MAX('Activities'!K161,294))</x:f>
        <x:v>0</x:v>
      </x:c>
      <x:c r="BC161" s="23" t="n">
        <x:f>MAX(0,MIN('Activities'!L161,306)-MAX('Activities'!K161,300))</x:f>
        <x:v>0</x:v>
      </x:c>
      <x:c r="BD161" s="23" t="n">
        <x:f>MAX(0,MIN('Activities'!L161,312)-MAX('Activities'!K161,306))</x:f>
        <x:v>0</x:v>
      </x:c>
      <x:c r="BE161" s="23" t="n">
        <x:f>MAX(0,MIN('Activities'!L161,318)-MAX('Activities'!K161,312))</x:f>
        <x:v>0</x:v>
      </x:c>
      <x:c r="BF161" s="23" t="n">
        <x:f>MAX(0,MIN('Activities'!L161,324)-MAX('Activities'!K161,318))</x:f>
        <x:v>0</x:v>
      </x:c>
      <x:c r="BG161" s="23" t="n">
        <x:f>MAX(0,MIN('Activities'!L161,330)-MAX('Activities'!K161,324))</x:f>
        <x:v>0</x:v>
      </x:c>
      <x:c r="BH161" s="23" t="n">
        <x:f>MAX(0,MIN('Activities'!L161,336)-MAX('Activities'!K161,330))</x:f>
        <x:v>0</x:v>
      </x:c>
      <x:c r="BI161" s="23" t="n">
        <x:f>MAX(0,MIN('Activities'!L161,342)-MAX('Activities'!K161,336))</x:f>
        <x:v>0</x:v>
      </x:c>
      <x:c r="BJ161" s="23" t="n">
        <x:f>MAX(0,MIN('Activities'!L161,348)-MAX('Activities'!K161,342))</x:f>
        <x:v>0</x:v>
      </x:c>
      <x:c r="BK161" s="23" t="n">
        <x:f>MAX(0,MIN('Activities'!L161,354)-MAX('Activities'!K161,348))</x:f>
        <x:v>0</x:v>
      </x:c>
      <x:c r="BL161" s="23" t="n">
        <x:f>MAX(0,MIN('Activities'!L161,360)-MAX('Activities'!K161,354))</x:f>
        <x:v>0</x:v>
      </x:c>
      <x:c r="BM161" s="23" t="n">
        <x:f>MAX(0,MIN('Activities'!L161,366)-MAX('Activities'!K161,360))</x:f>
        <x:v>0</x:v>
      </x:c>
      <x:c r="BN161" s="23" t="n">
        <x:f>MAX(0,MIN('Activities'!L161,372)-MAX('Activities'!K161,366))</x:f>
        <x:v>0</x:v>
      </x:c>
      <x:c r="BO161" s="23" t="n">
        <x:f>MAX(0,MIN('Activities'!L161,378)-MAX('Activities'!K161,372))</x:f>
        <x:v>0</x:v>
      </x:c>
      <x:c r="BP161" s="23" t="n">
        <x:f>MAX(0,MIN('Activities'!L161,384)-MAX('Activities'!K161,378))</x:f>
        <x:v>0</x:v>
      </x:c>
      <x:c r="BQ161" s="23" t="n">
        <x:f>MAX(0,MIN('Activities'!L161,390)-MAX('Activities'!K161,384))</x:f>
        <x:v>0</x:v>
      </x:c>
      <x:c r="BR161" s="23" t="n">
        <x:f>MAX(0,MIN('Activities'!L161,396)-MAX('Activities'!K161,390))</x:f>
        <x:v>0</x:v>
      </x:c>
      <x:c r="BS161" s="23" t="n">
        <x:f>MAX(0,MIN('Activities'!L161,402)-MAX('Activities'!K161,396))</x:f>
        <x:v>0</x:v>
      </x:c>
      <x:c r="BT161" s="23" t="n">
        <x:f>MAX(0,MIN('Activities'!L161,408)-MAX('Activities'!K161,402))</x:f>
        <x:v>0</x:v>
      </x:c>
      <x:c r="BU161" s="23" t="n">
        <x:f>MAX(0,MIN('Activities'!L161,414)-MAX('Activities'!K161,408))</x:f>
        <x:v>0</x:v>
      </x:c>
      <x:c r="BV161" s="23" t="n">
        <x:f>MAX(0,MIN('Activities'!L161,420)-MAX('Activities'!K161,414))</x:f>
        <x:v>0</x:v>
      </x:c>
      <x:c r="BW161" s="23" t="n">
        <x:f>MAX(0,MIN('Activities'!L161,426)-MAX('Activities'!K161,420))</x:f>
        <x:v>0</x:v>
      </x:c>
      <x:c r="BX161" s="23" t="n">
        <x:f>MAX(0,MIN('Activities'!L161,432)-MAX('Activities'!K161,426))</x:f>
        <x:v>0</x:v>
      </x:c>
      <x:c r="BY161" s="23" t="n">
        <x:f>MAX(0,MIN('Activities'!L161,438)-MAX('Activities'!K161,432))</x:f>
        <x:v>0</x:v>
      </x:c>
      <x:c r="BZ161" s="23" t="n">
        <x:f>MAX(0,MIN('Activities'!L161,444)-MAX('Activities'!K161,438))</x:f>
        <x:v>0</x:v>
      </x:c>
      <x:c r="CA161" s="23" t="n">
        <x:f>MAX(0,MIN('Activities'!L161,450)-MAX('Activities'!K161,444))</x:f>
        <x:v>0</x:v>
      </x:c>
      <x:c r="CB161" s="23" t="n">
        <x:f>MAX(0,MIN('Activities'!L161,456)-MAX('Activities'!K161,450))</x:f>
        <x:v>0</x:v>
      </x:c>
      <x:c r="CC161" s="23" t="n">
        <x:f>MAX(0,MIN('Activities'!L161,462)-MAX('Activities'!K161,456))</x:f>
        <x:v>0</x:v>
      </x:c>
      <x:c r="CD161" s="23" t="n">
        <x:f>MAX(0,MIN('Activities'!L161,468)-MAX('Activities'!K161,462))</x:f>
        <x:v>0</x:v>
      </x:c>
      <x:c r="CE161" s="23" t="n">
        <x:f>MAX(0,MIN('Activities'!L161,474)-MAX('Activities'!K161,468))</x:f>
        <x:v>0</x:v>
      </x:c>
      <x:c r="CF161" s="23" t="n">
        <x:f>MAX(0,MIN('Activities'!L161,480)-MAX('Activities'!K161,474))</x:f>
        <x:v>0</x:v>
      </x:c>
      <x:c r="CG161" s="23" t="n">
        <x:f>MAX(0,MIN('Activities'!L161,486)-MAX('Activities'!K161,480))</x:f>
        <x:v>0</x:v>
      </x:c>
      <x:c r="CH161" s="23" t="n">
        <x:f>MAX(0,MIN('Activities'!L161,492)-MAX('Activities'!K161,486))</x:f>
        <x:v>0</x:v>
      </x:c>
      <x:c r="CI161" s="23" t="n">
        <x:f>MAX(0,MIN('Activities'!L161,498)-MAX('Activities'!K161,492))</x:f>
        <x:v>0</x:v>
      </x:c>
      <x:c r="CJ161" s="23" t="n">
        <x:f>MAX(0,MIN('Activities'!L161,504)-MAX('Activities'!K161,498))</x:f>
        <x:v>0</x:v>
      </x:c>
      <x:c r="CK161" s="23" t="n">
        <x:f>MAX(0,MIN('Activities'!L161,510)-MAX('Activities'!K161,504))</x:f>
        <x:v>0</x:v>
      </x:c>
      <x:c r="CL161" s="23" t="n">
        <x:f>MAX(0,MIN('Activities'!L161,516)-MAX('Activities'!K161,510))</x:f>
        <x:v>0</x:v>
      </x:c>
      <x:c r="CM161" s="23" t="n">
        <x:f>MAX(0,MIN('Activities'!L161,522)-MAX('Activities'!K161,516))</x:f>
        <x:v>0</x:v>
      </x:c>
      <x:c r="CN161" s="23" t="n">
        <x:f>MAX(0,MIN('Activities'!L161,528)-MAX('Activities'!K161,522))</x:f>
        <x:v>0</x:v>
      </x:c>
      <x:c r="CO161" s="23" t="n">
        <x:f>MAX(0,MIN('Activities'!L161,534)-MAX('Activities'!K161,528))</x:f>
        <x:v>0</x:v>
      </x:c>
      <x:c r="CP161" s="23" t="n">
        <x:f>MAX(0,MIN('Activities'!L161,540)-MAX('Activities'!K161,534))</x:f>
        <x:v>0</x:v>
      </x:c>
      <x:c r="CQ161" s="23" t="n">
        <x:f>MAX(0,MIN('Activities'!L161,546)-MAX('Activities'!K161,540))</x:f>
        <x:v>0</x:v>
      </x:c>
      <x:c r="CR161" s="23" t="n">
        <x:f>MAX(0,MIN('Activities'!L161,552)-MAX('Activities'!K161,546))</x:f>
        <x:v>0</x:v>
      </x:c>
      <x:c r="CS161" s="23" t="n">
        <x:f>MAX(0,MIN('Activities'!L161,558)-MAX('Activities'!K161,552))</x:f>
        <x:v>0</x:v>
      </x:c>
      <x:c r="CT161" s="23" t="n">
        <x:f>MAX(0,MIN('Activities'!L161,564)-MAX('Activities'!K161,558))</x:f>
        <x:v>0</x:v>
      </x:c>
      <x:c r="CU161" s="23" t="n">
        <x:f>MAX(0,MIN('Activities'!L161,570)-MAX('Activities'!K161,564))</x:f>
        <x:v>0</x:v>
      </x:c>
      <x:c r="CV161" s="23" t="n">
        <x:f>MAX(0,MIN('Activities'!L161,576)-MAX('Activities'!K161,570))</x:f>
        <x:v>0</x:v>
      </x:c>
      <x:c r="CW161" s="23" t="n">
        <x:f>MAX(0,MIN('Activities'!L161,582)-MAX('Activities'!K161,576))</x:f>
        <x:v>0</x:v>
      </x:c>
      <x:c r="CX161" s="23" t="n">
        <x:f>MAX(0,MIN('Activities'!L161,588)-MAX('Activities'!K161,582))</x:f>
        <x:v>0</x:v>
      </x:c>
      <x:c r="CY161" s="23" t="n">
        <x:f>MAX(0,MIN('Activities'!L161,594)-MAX('Activities'!K161,588))</x:f>
        <x:v>0</x:v>
      </x:c>
      <x:c r="CZ161" s="23" t="n">
        <x:f>MAX(0,MIN('Activities'!L161,600)-MAX('Activities'!K161,594))</x:f>
        <x:v>0</x:v>
      </x:c>
      <x:c r="DA161" s="23" t="n">
        <x:f>MAX(0,MIN('Activities'!L161,606)-MAX('Activities'!K161,600))</x:f>
        <x:v>0</x:v>
      </x:c>
      <x:c r="DB161" s="23" t="n">
        <x:f>MAX(0,MIN('Activities'!L161,612)-MAX('Activities'!K161,606))</x:f>
        <x:v>0</x:v>
      </x:c>
      <x:c r="DC161" s="23" t="n">
        <x:f>MAX(0,MIN('Activities'!L161,618)-MAX('Activities'!K161,612))</x:f>
        <x:v>0</x:v>
      </x:c>
      <x:c r="DD161" s="23" t="n">
        <x:f>MAX(0,MIN('Activities'!L161,624)-MAX('Activities'!K161,618))</x:f>
        <x:v>0</x:v>
      </x:c>
      <x:c r="DE161" s="23" t="n">
        <x:f>MAX(0,MIN('Activities'!L161,630)-MAX('Activities'!K161,624))</x:f>
        <x:v>0</x:v>
      </x:c>
      <x:c r="DF161" s="23" t="n">
        <x:f>MAX(0,MIN('Activities'!L161,636)-MAX('Activities'!K161,630))</x:f>
        <x:v>0</x:v>
      </x:c>
    </x:row>
    <x:row r="162" ht="23" customHeight="1">
      <x:c r="A162" s="6" t="str">
        <x:v>T2-L03-R</x:v>
      </x:c>
      <x:c r="B162" s="6" t="str">
        <x:v>T2</x:v>
      </x:c>
      <x:c r="C162" s="6" t="str">
        <x:v>Column, wall, beam and slab reinforcement</x:v>
      </x:c>
      <x:c r="D162" s="6" t="str">
        <x:v>Rebar</x:v>
      </x:c>
      <x:c r="E162" s="22" t="n">
        <x:f>MAX(0,MIN('Activities'!L162,6)-MAX('Activities'!K162,0))</x:f>
        <x:v>0</x:v>
      </x:c>
      <x:c r="F162" s="22" t="n">
        <x:f>MAX(0,MIN('Activities'!L162,12)-MAX('Activities'!K162,6))</x:f>
        <x:v>0</x:v>
      </x:c>
      <x:c r="G162" s="22" t="n">
        <x:f>MAX(0,MIN('Activities'!L162,18)-MAX('Activities'!K162,12))</x:f>
        <x:v>0</x:v>
      </x:c>
      <x:c r="H162" s="22" t="n">
        <x:f>MAX(0,MIN('Activities'!L162,24)-MAX('Activities'!K162,18))</x:f>
        <x:v>0</x:v>
      </x:c>
      <x:c r="I162" s="22" t="n">
        <x:f>MAX(0,MIN('Activities'!L162,30)-MAX('Activities'!K162,24))</x:f>
        <x:v>0</x:v>
      </x:c>
      <x:c r="J162" s="22" t="n">
        <x:f>MAX(0,MIN('Activities'!L162,36)-MAX('Activities'!K162,30))</x:f>
        <x:v>0</x:v>
      </x:c>
      <x:c r="K162" s="22" t="n">
        <x:f>MAX(0,MIN('Activities'!L162,42)-MAX('Activities'!K162,36))</x:f>
        <x:v>0</x:v>
      </x:c>
      <x:c r="L162" s="22" t="n">
        <x:f>MAX(0,MIN('Activities'!L162,48)-MAX('Activities'!K162,42))</x:f>
        <x:v>0</x:v>
      </x:c>
      <x:c r="M162" s="22" t="n">
        <x:f>MAX(0,MIN('Activities'!L162,54)-MAX('Activities'!K162,48))</x:f>
        <x:v>0</x:v>
      </x:c>
      <x:c r="N162" s="22" t="n">
        <x:f>MAX(0,MIN('Activities'!L162,60)-MAX('Activities'!K162,54))</x:f>
        <x:v>0</x:v>
      </x:c>
      <x:c r="O162" s="22" t="n">
        <x:f>MAX(0,MIN('Activities'!L162,66)-MAX('Activities'!K162,60))</x:f>
        <x:v>0</x:v>
      </x:c>
      <x:c r="P162" s="22" t="n">
        <x:f>MAX(0,MIN('Activities'!L162,72)-MAX('Activities'!K162,66))</x:f>
        <x:v>0</x:v>
      </x:c>
      <x:c r="Q162" s="22" t="n">
        <x:f>MAX(0,MIN('Activities'!L162,78)-MAX('Activities'!K162,72))</x:f>
        <x:v>0</x:v>
      </x:c>
      <x:c r="R162" s="22" t="n">
        <x:f>MAX(0,MIN('Activities'!L162,84)-MAX('Activities'!K162,78))</x:f>
        <x:v>0</x:v>
      </x:c>
      <x:c r="S162" s="22" t="n">
        <x:f>MAX(0,MIN('Activities'!L162,90)-MAX('Activities'!K162,84))</x:f>
        <x:v>0</x:v>
      </x:c>
      <x:c r="T162" s="22" t="n">
        <x:f>MAX(0,MIN('Activities'!L162,96)-MAX('Activities'!K162,90))</x:f>
        <x:v>0</x:v>
      </x:c>
      <x:c r="U162" s="22" t="n">
        <x:f>MAX(0,MIN('Activities'!L162,102)-MAX('Activities'!K162,96))</x:f>
        <x:v>0</x:v>
      </x:c>
      <x:c r="V162" s="22" t="n">
        <x:f>MAX(0,MIN('Activities'!L162,108)-MAX('Activities'!K162,102))</x:f>
        <x:v>0</x:v>
      </x:c>
      <x:c r="W162" s="22" t="n">
        <x:f>MAX(0,MIN('Activities'!L162,114)-MAX('Activities'!K162,108))</x:f>
        <x:v>0</x:v>
      </x:c>
      <x:c r="X162" s="22" t="n">
        <x:f>MAX(0,MIN('Activities'!L162,120)-MAX('Activities'!K162,114))</x:f>
        <x:v>0</x:v>
      </x:c>
      <x:c r="Y162" s="22" t="n">
        <x:f>MAX(0,MIN('Activities'!L162,126)-MAX('Activities'!K162,120))</x:f>
        <x:v>0</x:v>
      </x:c>
      <x:c r="Z162" s="22" t="n">
        <x:f>MAX(0,MIN('Activities'!L162,132)-MAX('Activities'!K162,126))</x:f>
        <x:v>0</x:v>
      </x:c>
      <x:c r="AA162" s="22" t="n">
        <x:f>MAX(0,MIN('Activities'!L162,138)-MAX('Activities'!K162,132))</x:f>
        <x:v>0</x:v>
      </x:c>
      <x:c r="AB162" s="22" t="n">
        <x:f>MAX(0,MIN('Activities'!L162,144)-MAX('Activities'!K162,138))</x:f>
        <x:v>0</x:v>
      </x:c>
      <x:c r="AC162" s="22" t="n">
        <x:f>MAX(0,MIN('Activities'!L162,150)-MAX('Activities'!K162,144))</x:f>
        <x:v>0</x:v>
      </x:c>
      <x:c r="AD162" s="22" t="n">
        <x:f>MAX(0,MIN('Activities'!L162,156)-MAX('Activities'!K162,150))</x:f>
        <x:v>0</x:v>
      </x:c>
      <x:c r="AE162" s="22" t="n">
        <x:f>MAX(0,MIN('Activities'!L162,162)-MAX('Activities'!K162,156))</x:f>
        <x:v>0</x:v>
      </x:c>
      <x:c r="AF162" s="22" t="n">
        <x:f>MAX(0,MIN('Activities'!L162,168)-MAX('Activities'!K162,162))</x:f>
        <x:v>0</x:v>
      </x:c>
      <x:c r="AG162" s="22" t="n">
        <x:f>MAX(0,MIN('Activities'!L162,174)-MAX('Activities'!K162,168))</x:f>
        <x:v>0</x:v>
      </x:c>
      <x:c r="AH162" s="22" t="n">
        <x:f>MAX(0,MIN('Activities'!L162,180)-MAX('Activities'!K162,174))</x:f>
        <x:v>0</x:v>
      </x:c>
      <x:c r="AI162" s="22" t="n">
        <x:f>MAX(0,MIN('Activities'!L162,186)-MAX('Activities'!K162,180))</x:f>
        <x:v>0</x:v>
      </x:c>
      <x:c r="AJ162" s="22" t="n">
        <x:f>MAX(0,MIN('Activities'!L162,192)-MAX('Activities'!K162,186))</x:f>
        <x:v>0</x:v>
      </x:c>
      <x:c r="AK162" s="22" t="n">
        <x:f>MAX(0,MIN('Activities'!L162,198)-MAX('Activities'!K162,192))</x:f>
        <x:v>0</x:v>
      </x:c>
      <x:c r="AL162" s="22" t="n">
        <x:f>MAX(0,MIN('Activities'!L162,204)-MAX('Activities'!K162,198))</x:f>
        <x:v>0</x:v>
      </x:c>
      <x:c r="AM162" s="22" t="n">
        <x:f>MAX(0,MIN('Activities'!L162,210)-MAX('Activities'!K162,204))</x:f>
        <x:v>4</x:v>
      </x:c>
      <x:c r="AN162" s="22" t="n">
        <x:f>MAX(0,MIN('Activities'!L162,216)-MAX('Activities'!K162,210))</x:f>
        <x:v>1</x:v>
      </x:c>
      <x:c r="AO162" s="22" t="n">
        <x:f>MAX(0,MIN('Activities'!L162,222)-MAX('Activities'!K162,216))</x:f>
        <x:v>0</x:v>
      </x:c>
      <x:c r="AP162" s="22" t="n">
        <x:f>MAX(0,MIN('Activities'!L162,228)-MAX('Activities'!K162,222))</x:f>
        <x:v>0</x:v>
      </x:c>
      <x:c r="AQ162" s="22" t="n">
        <x:f>MAX(0,MIN('Activities'!L162,234)-MAX('Activities'!K162,228))</x:f>
        <x:v>0</x:v>
      </x:c>
      <x:c r="AR162" s="22" t="n">
        <x:f>MAX(0,MIN('Activities'!L162,240)-MAX('Activities'!K162,234))</x:f>
        <x:v>0</x:v>
      </x:c>
      <x:c r="AS162" s="22" t="n">
        <x:f>MAX(0,MIN('Activities'!L162,246)-MAX('Activities'!K162,240))</x:f>
        <x:v>0</x:v>
      </x:c>
      <x:c r="AT162" s="22" t="n">
        <x:f>MAX(0,MIN('Activities'!L162,252)-MAX('Activities'!K162,246))</x:f>
        <x:v>0</x:v>
      </x:c>
      <x:c r="AU162" s="22" t="n">
        <x:f>MAX(0,MIN('Activities'!L162,258)-MAX('Activities'!K162,252))</x:f>
        <x:v>0</x:v>
      </x:c>
      <x:c r="AV162" s="22" t="n">
        <x:f>MAX(0,MIN('Activities'!L162,264)-MAX('Activities'!K162,258))</x:f>
        <x:v>0</x:v>
      </x:c>
      <x:c r="AW162" s="22" t="n">
        <x:f>MAX(0,MIN('Activities'!L162,270)-MAX('Activities'!K162,264))</x:f>
        <x:v>0</x:v>
      </x:c>
      <x:c r="AX162" s="22" t="n">
        <x:f>MAX(0,MIN('Activities'!L162,276)-MAX('Activities'!K162,270))</x:f>
        <x:v>0</x:v>
      </x:c>
      <x:c r="AY162" s="22" t="n">
        <x:f>MAX(0,MIN('Activities'!L162,282)-MAX('Activities'!K162,276))</x:f>
        <x:v>0</x:v>
      </x:c>
      <x:c r="AZ162" s="22" t="n">
        <x:f>MAX(0,MIN('Activities'!L162,288)-MAX('Activities'!K162,282))</x:f>
        <x:v>0</x:v>
      </x:c>
      <x:c r="BA162" s="22" t="n">
        <x:f>MAX(0,MIN('Activities'!L162,294)-MAX('Activities'!K162,288))</x:f>
        <x:v>0</x:v>
      </x:c>
      <x:c r="BB162" s="22" t="n">
        <x:f>MAX(0,MIN('Activities'!L162,300)-MAX('Activities'!K162,294))</x:f>
        <x:v>0</x:v>
      </x:c>
      <x:c r="BC162" s="22" t="n">
        <x:f>MAX(0,MIN('Activities'!L162,306)-MAX('Activities'!K162,300))</x:f>
        <x:v>0</x:v>
      </x:c>
      <x:c r="BD162" s="22" t="n">
        <x:f>MAX(0,MIN('Activities'!L162,312)-MAX('Activities'!K162,306))</x:f>
        <x:v>0</x:v>
      </x:c>
      <x:c r="BE162" s="22" t="n">
        <x:f>MAX(0,MIN('Activities'!L162,318)-MAX('Activities'!K162,312))</x:f>
        <x:v>0</x:v>
      </x:c>
      <x:c r="BF162" s="22" t="n">
        <x:f>MAX(0,MIN('Activities'!L162,324)-MAX('Activities'!K162,318))</x:f>
        <x:v>0</x:v>
      </x:c>
      <x:c r="BG162" s="22" t="n">
        <x:f>MAX(0,MIN('Activities'!L162,330)-MAX('Activities'!K162,324))</x:f>
        <x:v>0</x:v>
      </x:c>
      <x:c r="BH162" s="22" t="n">
        <x:f>MAX(0,MIN('Activities'!L162,336)-MAX('Activities'!K162,330))</x:f>
        <x:v>0</x:v>
      </x:c>
      <x:c r="BI162" s="22" t="n">
        <x:f>MAX(0,MIN('Activities'!L162,342)-MAX('Activities'!K162,336))</x:f>
        <x:v>0</x:v>
      </x:c>
      <x:c r="BJ162" s="22" t="n">
        <x:f>MAX(0,MIN('Activities'!L162,348)-MAX('Activities'!K162,342))</x:f>
        <x:v>0</x:v>
      </x:c>
      <x:c r="BK162" s="22" t="n">
        <x:f>MAX(0,MIN('Activities'!L162,354)-MAX('Activities'!K162,348))</x:f>
        <x:v>0</x:v>
      </x:c>
      <x:c r="BL162" s="22" t="n">
        <x:f>MAX(0,MIN('Activities'!L162,360)-MAX('Activities'!K162,354))</x:f>
        <x:v>0</x:v>
      </x:c>
      <x:c r="BM162" s="22" t="n">
        <x:f>MAX(0,MIN('Activities'!L162,366)-MAX('Activities'!K162,360))</x:f>
        <x:v>0</x:v>
      </x:c>
      <x:c r="BN162" s="22" t="n">
        <x:f>MAX(0,MIN('Activities'!L162,372)-MAX('Activities'!K162,366))</x:f>
        <x:v>0</x:v>
      </x:c>
      <x:c r="BO162" s="22" t="n">
        <x:f>MAX(0,MIN('Activities'!L162,378)-MAX('Activities'!K162,372))</x:f>
        <x:v>0</x:v>
      </x:c>
      <x:c r="BP162" s="22" t="n">
        <x:f>MAX(0,MIN('Activities'!L162,384)-MAX('Activities'!K162,378))</x:f>
        <x:v>0</x:v>
      </x:c>
      <x:c r="BQ162" s="22" t="n">
        <x:f>MAX(0,MIN('Activities'!L162,390)-MAX('Activities'!K162,384))</x:f>
        <x:v>0</x:v>
      </x:c>
      <x:c r="BR162" s="22" t="n">
        <x:f>MAX(0,MIN('Activities'!L162,396)-MAX('Activities'!K162,390))</x:f>
        <x:v>0</x:v>
      </x:c>
      <x:c r="BS162" s="22" t="n">
        <x:f>MAX(0,MIN('Activities'!L162,402)-MAX('Activities'!K162,396))</x:f>
        <x:v>0</x:v>
      </x:c>
      <x:c r="BT162" s="22" t="n">
        <x:f>MAX(0,MIN('Activities'!L162,408)-MAX('Activities'!K162,402))</x:f>
        <x:v>0</x:v>
      </x:c>
      <x:c r="BU162" s="22" t="n">
        <x:f>MAX(0,MIN('Activities'!L162,414)-MAX('Activities'!K162,408))</x:f>
        <x:v>0</x:v>
      </x:c>
      <x:c r="BV162" s="22" t="n">
        <x:f>MAX(0,MIN('Activities'!L162,420)-MAX('Activities'!K162,414))</x:f>
        <x:v>0</x:v>
      </x:c>
      <x:c r="BW162" s="22" t="n">
        <x:f>MAX(0,MIN('Activities'!L162,426)-MAX('Activities'!K162,420))</x:f>
        <x:v>0</x:v>
      </x:c>
      <x:c r="BX162" s="22" t="n">
        <x:f>MAX(0,MIN('Activities'!L162,432)-MAX('Activities'!K162,426))</x:f>
        <x:v>0</x:v>
      </x:c>
      <x:c r="BY162" s="22" t="n">
        <x:f>MAX(0,MIN('Activities'!L162,438)-MAX('Activities'!K162,432))</x:f>
        <x:v>0</x:v>
      </x:c>
      <x:c r="BZ162" s="22" t="n">
        <x:f>MAX(0,MIN('Activities'!L162,444)-MAX('Activities'!K162,438))</x:f>
        <x:v>0</x:v>
      </x:c>
      <x:c r="CA162" s="22" t="n">
        <x:f>MAX(0,MIN('Activities'!L162,450)-MAX('Activities'!K162,444))</x:f>
        <x:v>0</x:v>
      </x:c>
      <x:c r="CB162" s="22" t="n">
        <x:f>MAX(0,MIN('Activities'!L162,456)-MAX('Activities'!K162,450))</x:f>
        <x:v>0</x:v>
      </x:c>
      <x:c r="CC162" s="22" t="n">
        <x:f>MAX(0,MIN('Activities'!L162,462)-MAX('Activities'!K162,456))</x:f>
        <x:v>0</x:v>
      </x:c>
      <x:c r="CD162" s="22" t="n">
        <x:f>MAX(0,MIN('Activities'!L162,468)-MAX('Activities'!K162,462))</x:f>
        <x:v>0</x:v>
      </x:c>
      <x:c r="CE162" s="22" t="n">
        <x:f>MAX(0,MIN('Activities'!L162,474)-MAX('Activities'!K162,468))</x:f>
        <x:v>0</x:v>
      </x:c>
      <x:c r="CF162" s="22" t="n">
        <x:f>MAX(0,MIN('Activities'!L162,480)-MAX('Activities'!K162,474))</x:f>
        <x:v>0</x:v>
      </x:c>
      <x:c r="CG162" s="22" t="n">
        <x:f>MAX(0,MIN('Activities'!L162,486)-MAX('Activities'!K162,480))</x:f>
        <x:v>0</x:v>
      </x:c>
      <x:c r="CH162" s="22" t="n">
        <x:f>MAX(0,MIN('Activities'!L162,492)-MAX('Activities'!K162,486))</x:f>
        <x:v>0</x:v>
      </x:c>
      <x:c r="CI162" s="22" t="n">
        <x:f>MAX(0,MIN('Activities'!L162,498)-MAX('Activities'!K162,492))</x:f>
        <x:v>0</x:v>
      </x:c>
      <x:c r="CJ162" s="22" t="n">
        <x:f>MAX(0,MIN('Activities'!L162,504)-MAX('Activities'!K162,498))</x:f>
        <x:v>0</x:v>
      </x:c>
      <x:c r="CK162" s="22" t="n">
        <x:f>MAX(0,MIN('Activities'!L162,510)-MAX('Activities'!K162,504))</x:f>
        <x:v>0</x:v>
      </x:c>
      <x:c r="CL162" s="22" t="n">
        <x:f>MAX(0,MIN('Activities'!L162,516)-MAX('Activities'!K162,510))</x:f>
        <x:v>0</x:v>
      </x:c>
      <x:c r="CM162" s="22" t="n">
        <x:f>MAX(0,MIN('Activities'!L162,522)-MAX('Activities'!K162,516))</x:f>
        <x:v>0</x:v>
      </x:c>
      <x:c r="CN162" s="22" t="n">
        <x:f>MAX(0,MIN('Activities'!L162,528)-MAX('Activities'!K162,522))</x:f>
        <x:v>0</x:v>
      </x:c>
      <x:c r="CO162" s="22" t="n">
        <x:f>MAX(0,MIN('Activities'!L162,534)-MAX('Activities'!K162,528))</x:f>
        <x:v>0</x:v>
      </x:c>
      <x:c r="CP162" s="22" t="n">
        <x:f>MAX(0,MIN('Activities'!L162,540)-MAX('Activities'!K162,534))</x:f>
        <x:v>0</x:v>
      </x:c>
      <x:c r="CQ162" s="22" t="n">
        <x:f>MAX(0,MIN('Activities'!L162,546)-MAX('Activities'!K162,540))</x:f>
        <x:v>0</x:v>
      </x:c>
      <x:c r="CR162" s="22" t="n">
        <x:f>MAX(0,MIN('Activities'!L162,552)-MAX('Activities'!K162,546))</x:f>
        <x:v>0</x:v>
      </x:c>
      <x:c r="CS162" s="22" t="n">
        <x:f>MAX(0,MIN('Activities'!L162,558)-MAX('Activities'!K162,552))</x:f>
        <x:v>0</x:v>
      </x:c>
      <x:c r="CT162" s="22" t="n">
        <x:f>MAX(0,MIN('Activities'!L162,564)-MAX('Activities'!K162,558))</x:f>
        <x:v>0</x:v>
      </x:c>
      <x:c r="CU162" s="22" t="n">
        <x:f>MAX(0,MIN('Activities'!L162,570)-MAX('Activities'!K162,564))</x:f>
        <x:v>0</x:v>
      </x:c>
      <x:c r="CV162" s="22" t="n">
        <x:f>MAX(0,MIN('Activities'!L162,576)-MAX('Activities'!K162,570))</x:f>
        <x:v>0</x:v>
      </x:c>
      <x:c r="CW162" s="22" t="n">
        <x:f>MAX(0,MIN('Activities'!L162,582)-MAX('Activities'!K162,576))</x:f>
        <x:v>0</x:v>
      </x:c>
      <x:c r="CX162" s="22" t="n">
        <x:f>MAX(0,MIN('Activities'!L162,588)-MAX('Activities'!K162,582))</x:f>
        <x:v>0</x:v>
      </x:c>
      <x:c r="CY162" s="22" t="n">
        <x:f>MAX(0,MIN('Activities'!L162,594)-MAX('Activities'!K162,588))</x:f>
        <x:v>0</x:v>
      </x:c>
      <x:c r="CZ162" s="22" t="n">
        <x:f>MAX(0,MIN('Activities'!L162,600)-MAX('Activities'!K162,594))</x:f>
        <x:v>0</x:v>
      </x:c>
      <x:c r="DA162" s="22" t="n">
        <x:f>MAX(0,MIN('Activities'!L162,606)-MAX('Activities'!K162,600))</x:f>
        <x:v>0</x:v>
      </x:c>
      <x:c r="DB162" s="22" t="n">
        <x:f>MAX(0,MIN('Activities'!L162,612)-MAX('Activities'!K162,606))</x:f>
        <x:v>0</x:v>
      </x:c>
      <x:c r="DC162" s="22" t="n">
        <x:f>MAX(0,MIN('Activities'!L162,618)-MAX('Activities'!K162,612))</x:f>
        <x:v>0</x:v>
      </x:c>
      <x:c r="DD162" s="22" t="n">
        <x:f>MAX(0,MIN('Activities'!L162,624)-MAX('Activities'!K162,618))</x:f>
        <x:v>0</x:v>
      </x:c>
      <x:c r="DE162" s="22" t="n">
        <x:f>MAX(0,MIN('Activities'!L162,630)-MAX('Activities'!K162,624))</x:f>
        <x:v>0</x:v>
      </x:c>
      <x:c r="DF162" s="22" t="n">
        <x:f>MAX(0,MIN('Activities'!L162,636)-MAX('Activities'!K162,630))</x:f>
        <x:v>0</x:v>
      </x:c>
    </x:row>
    <x:row r="163" ht="23" customHeight="1">
      <x:c r="A163" s="1" t="str">
        <x:v>T2-L03-C</x:v>
      </x:c>
      <x:c r="B163" s="1" t="str">
        <x:v>T2</x:v>
      </x:c>
      <x:c r="C163" s="1" t="str">
        <x:v>Concrete placement and finishing</x:v>
      </x:c>
      <x:c r="D163" s="1" t="str">
        <x:v>Concrete</x:v>
      </x:c>
      <x:c r="E163" s="23" t="n">
        <x:f>MAX(0,MIN('Activities'!L163,6)-MAX('Activities'!K163,0))</x:f>
        <x:v>0</x:v>
      </x:c>
      <x:c r="F163" s="23" t="n">
        <x:f>MAX(0,MIN('Activities'!L163,12)-MAX('Activities'!K163,6))</x:f>
        <x:v>0</x:v>
      </x:c>
      <x:c r="G163" s="23" t="n">
        <x:f>MAX(0,MIN('Activities'!L163,18)-MAX('Activities'!K163,12))</x:f>
        <x:v>0</x:v>
      </x:c>
      <x:c r="H163" s="23" t="n">
        <x:f>MAX(0,MIN('Activities'!L163,24)-MAX('Activities'!K163,18))</x:f>
        <x:v>0</x:v>
      </x:c>
      <x:c r="I163" s="23" t="n">
        <x:f>MAX(0,MIN('Activities'!L163,30)-MAX('Activities'!K163,24))</x:f>
        <x:v>0</x:v>
      </x:c>
      <x:c r="J163" s="23" t="n">
        <x:f>MAX(0,MIN('Activities'!L163,36)-MAX('Activities'!K163,30))</x:f>
        <x:v>0</x:v>
      </x:c>
      <x:c r="K163" s="23" t="n">
        <x:f>MAX(0,MIN('Activities'!L163,42)-MAX('Activities'!K163,36))</x:f>
        <x:v>0</x:v>
      </x:c>
      <x:c r="L163" s="23" t="n">
        <x:f>MAX(0,MIN('Activities'!L163,48)-MAX('Activities'!K163,42))</x:f>
        <x:v>0</x:v>
      </x:c>
      <x:c r="M163" s="23" t="n">
        <x:f>MAX(0,MIN('Activities'!L163,54)-MAX('Activities'!K163,48))</x:f>
        <x:v>0</x:v>
      </x:c>
      <x:c r="N163" s="23" t="n">
        <x:f>MAX(0,MIN('Activities'!L163,60)-MAX('Activities'!K163,54))</x:f>
        <x:v>0</x:v>
      </x:c>
      <x:c r="O163" s="23" t="n">
        <x:f>MAX(0,MIN('Activities'!L163,66)-MAX('Activities'!K163,60))</x:f>
        <x:v>0</x:v>
      </x:c>
      <x:c r="P163" s="23" t="n">
        <x:f>MAX(0,MIN('Activities'!L163,72)-MAX('Activities'!K163,66))</x:f>
        <x:v>0</x:v>
      </x:c>
      <x:c r="Q163" s="23" t="n">
        <x:f>MAX(0,MIN('Activities'!L163,78)-MAX('Activities'!K163,72))</x:f>
        <x:v>0</x:v>
      </x:c>
      <x:c r="R163" s="23" t="n">
        <x:f>MAX(0,MIN('Activities'!L163,84)-MAX('Activities'!K163,78))</x:f>
        <x:v>0</x:v>
      </x:c>
      <x:c r="S163" s="23" t="n">
        <x:f>MAX(0,MIN('Activities'!L163,90)-MAX('Activities'!K163,84))</x:f>
        <x:v>0</x:v>
      </x:c>
      <x:c r="T163" s="23" t="n">
        <x:f>MAX(0,MIN('Activities'!L163,96)-MAX('Activities'!K163,90))</x:f>
        <x:v>0</x:v>
      </x:c>
      <x:c r="U163" s="23" t="n">
        <x:f>MAX(0,MIN('Activities'!L163,102)-MAX('Activities'!K163,96))</x:f>
        <x:v>0</x:v>
      </x:c>
      <x:c r="V163" s="23" t="n">
        <x:f>MAX(0,MIN('Activities'!L163,108)-MAX('Activities'!K163,102))</x:f>
        <x:v>0</x:v>
      </x:c>
      <x:c r="W163" s="23" t="n">
        <x:f>MAX(0,MIN('Activities'!L163,114)-MAX('Activities'!K163,108))</x:f>
        <x:v>0</x:v>
      </x:c>
      <x:c r="X163" s="23" t="n">
        <x:f>MAX(0,MIN('Activities'!L163,120)-MAX('Activities'!K163,114))</x:f>
        <x:v>0</x:v>
      </x:c>
      <x:c r="Y163" s="23" t="n">
        <x:f>MAX(0,MIN('Activities'!L163,126)-MAX('Activities'!K163,120))</x:f>
        <x:v>0</x:v>
      </x:c>
      <x:c r="Z163" s="23" t="n">
        <x:f>MAX(0,MIN('Activities'!L163,132)-MAX('Activities'!K163,126))</x:f>
        <x:v>0</x:v>
      </x:c>
      <x:c r="AA163" s="23" t="n">
        <x:f>MAX(0,MIN('Activities'!L163,138)-MAX('Activities'!K163,132))</x:f>
        <x:v>0</x:v>
      </x:c>
      <x:c r="AB163" s="23" t="n">
        <x:f>MAX(0,MIN('Activities'!L163,144)-MAX('Activities'!K163,138))</x:f>
        <x:v>0</x:v>
      </x:c>
      <x:c r="AC163" s="23" t="n">
        <x:f>MAX(0,MIN('Activities'!L163,150)-MAX('Activities'!K163,144))</x:f>
        <x:v>0</x:v>
      </x:c>
      <x:c r="AD163" s="23" t="n">
        <x:f>MAX(0,MIN('Activities'!L163,156)-MAX('Activities'!K163,150))</x:f>
        <x:v>0</x:v>
      </x:c>
      <x:c r="AE163" s="23" t="n">
        <x:f>MAX(0,MIN('Activities'!L163,162)-MAX('Activities'!K163,156))</x:f>
        <x:v>0</x:v>
      </x:c>
      <x:c r="AF163" s="23" t="n">
        <x:f>MAX(0,MIN('Activities'!L163,168)-MAX('Activities'!K163,162))</x:f>
        <x:v>0</x:v>
      </x:c>
      <x:c r="AG163" s="23" t="n">
        <x:f>MAX(0,MIN('Activities'!L163,174)-MAX('Activities'!K163,168))</x:f>
        <x:v>0</x:v>
      </x:c>
      <x:c r="AH163" s="23" t="n">
        <x:f>MAX(0,MIN('Activities'!L163,180)-MAX('Activities'!K163,174))</x:f>
        <x:v>0</x:v>
      </x:c>
      <x:c r="AI163" s="23" t="n">
        <x:f>MAX(0,MIN('Activities'!L163,186)-MAX('Activities'!K163,180))</x:f>
        <x:v>0</x:v>
      </x:c>
      <x:c r="AJ163" s="23" t="n">
        <x:f>MAX(0,MIN('Activities'!L163,192)-MAX('Activities'!K163,186))</x:f>
        <x:v>0</x:v>
      </x:c>
      <x:c r="AK163" s="23" t="n">
        <x:f>MAX(0,MIN('Activities'!L163,198)-MAX('Activities'!K163,192))</x:f>
        <x:v>0</x:v>
      </x:c>
      <x:c r="AL163" s="23" t="n">
        <x:f>MAX(0,MIN('Activities'!L163,204)-MAX('Activities'!K163,198))</x:f>
        <x:v>0</x:v>
      </x:c>
      <x:c r="AM163" s="23" t="n">
        <x:f>MAX(0,MIN('Activities'!L163,210)-MAX('Activities'!K163,204))</x:f>
        <x:v>0</x:v>
      </x:c>
      <x:c r="AN163" s="23" t="n">
        <x:f>MAX(0,MIN('Activities'!L163,216)-MAX('Activities'!K163,210))</x:f>
        <x:v>2</x:v>
      </x:c>
      <x:c r="AO163" s="23" t="n">
        <x:f>MAX(0,MIN('Activities'!L163,222)-MAX('Activities'!K163,216))</x:f>
        <x:v>0</x:v>
      </x:c>
      <x:c r="AP163" s="23" t="n">
        <x:f>MAX(0,MIN('Activities'!L163,228)-MAX('Activities'!K163,222))</x:f>
        <x:v>0</x:v>
      </x:c>
      <x:c r="AQ163" s="23" t="n">
        <x:f>MAX(0,MIN('Activities'!L163,234)-MAX('Activities'!K163,228))</x:f>
        <x:v>0</x:v>
      </x:c>
      <x:c r="AR163" s="23" t="n">
        <x:f>MAX(0,MIN('Activities'!L163,240)-MAX('Activities'!K163,234))</x:f>
        <x:v>0</x:v>
      </x:c>
      <x:c r="AS163" s="23" t="n">
        <x:f>MAX(0,MIN('Activities'!L163,246)-MAX('Activities'!K163,240))</x:f>
        <x:v>0</x:v>
      </x:c>
      <x:c r="AT163" s="23" t="n">
        <x:f>MAX(0,MIN('Activities'!L163,252)-MAX('Activities'!K163,246))</x:f>
        <x:v>0</x:v>
      </x:c>
      <x:c r="AU163" s="23" t="n">
        <x:f>MAX(0,MIN('Activities'!L163,258)-MAX('Activities'!K163,252))</x:f>
        <x:v>0</x:v>
      </x:c>
      <x:c r="AV163" s="23" t="n">
        <x:f>MAX(0,MIN('Activities'!L163,264)-MAX('Activities'!K163,258))</x:f>
        <x:v>0</x:v>
      </x:c>
      <x:c r="AW163" s="23" t="n">
        <x:f>MAX(0,MIN('Activities'!L163,270)-MAX('Activities'!K163,264))</x:f>
        <x:v>0</x:v>
      </x:c>
      <x:c r="AX163" s="23" t="n">
        <x:f>MAX(0,MIN('Activities'!L163,276)-MAX('Activities'!K163,270))</x:f>
        <x:v>0</x:v>
      </x:c>
      <x:c r="AY163" s="23" t="n">
        <x:f>MAX(0,MIN('Activities'!L163,282)-MAX('Activities'!K163,276))</x:f>
        <x:v>0</x:v>
      </x:c>
      <x:c r="AZ163" s="23" t="n">
        <x:f>MAX(0,MIN('Activities'!L163,288)-MAX('Activities'!K163,282))</x:f>
        <x:v>0</x:v>
      </x:c>
      <x:c r="BA163" s="23" t="n">
        <x:f>MAX(0,MIN('Activities'!L163,294)-MAX('Activities'!K163,288))</x:f>
        <x:v>0</x:v>
      </x:c>
      <x:c r="BB163" s="23" t="n">
        <x:f>MAX(0,MIN('Activities'!L163,300)-MAX('Activities'!K163,294))</x:f>
        <x:v>0</x:v>
      </x:c>
      <x:c r="BC163" s="23" t="n">
        <x:f>MAX(0,MIN('Activities'!L163,306)-MAX('Activities'!K163,300))</x:f>
        <x:v>0</x:v>
      </x:c>
      <x:c r="BD163" s="23" t="n">
        <x:f>MAX(0,MIN('Activities'!L163,312)-MAX('Activities'!K163,306))</x:f>
        <x:v>0</x:v>
      </x:c>
      <x:c r="BE163" s="23" t="n">
        <x:f>MAX(0,MIN('Activities'!L163,318)-MAX('Activities'!K163,312))</x:f>
        <x:v>0</x:v>
      </x:c>
      <x:c r="BF163" s="23" t="n">
        <x:f>MAX(0,MIN('Activities'!L163,324)-MAX('Activities'!K163,318))</x:f>
        <x:v>0</x:v>
      </x:c>
      <x:c r="BG163" s="23" t="n">
        <x:f>MAX(0,MIN('Activities'!L163,330)-MAX('Activities'!K163,324))</x:f>
        <x:v>0</x:v>
      </x:c>
      <x:c r="BH163" s="23" t="n">
        <x:f>MAX(0,MIN('Activities'!L163,336)-MAX('Activities'!K163,330))</x:f>
        <x:v>0</x:v>
      </x:c>
      <x:c r="BI163" s="23" t="n">
        <x:f>MAX(0,MIN('Activities'!L163,342)-MAX('Activities'!K163,336))</x:f>
        <x:v>0</x:v>
      </x:c>
      <x:c r="BJ163" s="23" t="n">
        <x:f>MAX(0,MIN('Activities'!L163,348)-MAX('Activities'!K163,342))</x:f>
        <x:v>0</x:v>
      </x:c>
      <x:c r="BK163" s="23" t="n">
        <x:f>MAX(0,MIN('Activities'!L163,354)-MAX('Activities'!K163,348))</x:f>
        <x:v>0</x:v>
      </x:c>
      <x:c r="BL163" s="23" t="n">
        <x:f>MAX(0,MIN('Activities'!L163,360)-MAX('Activities'!K163,354))</x:f>
        <x:v>0</x:v>
      </x:c>
      <x:c r="BM163" s="23" t="n">
        <x:f>MAX(0,MIN('Activities'!L163,366)-MAX('Activities'!K163,360))</x:f>
        <x:v>0</x:v>
      </x:c>
      <x:c r="BN163" s="23" t="n">
        <x:f>MAX(0,MIN('Activities'!L163,372)-MAX('Activities'!K163,366))</x:f>
        <x:v>0</x:v>
      </x:c>
      <x:c r="BO163" s="23" t="n">
        <x:f>MAX(0,MIN('Activities'!L163,378)-MAX('Activities'!K163,372))</x:f>
        <x:v>0</x:v>
      </x:c>
      <x:c r="BP163" s="23" t="n">
        <x:f>MAX(0,MIN('Activities'!L163,384)-MAX('Activities'!K163,378))</x:f>
        <x:v>0</x:v>
      </x:c>
      <x:c r="BQ163" s="23" t="n">
        <x:f>MAX(0,MIN('Activities'!L163,390)-MAX('Activities'!K163,384))</x:f>
        <x:v>0</x:v>
      </x:c>
      <x:c r="BR163" s="23" t="n">
        <x:f>MAX(0,MIN('Activities'!L163,396)-MAX('Activities'!K163,390))</x:f>
        <x:v>0</x:v>
      </x:c>
      <x:c r="BS163" s="23" t="n">
        <x:f>MAX(0,MIN('Activities'!L163,402)-MAX('Activities'!K163,396))</x:f>
        <x:v>0</x:v>
      </x:c>
      <x:c r="BT163" s="23" t="n">
        <x:f>MAX(0,MIN('Activities'!L163,408)-MAX('Activities'!K163,402))</x:f>
        <x:v>0</x:v>
      </x:c>
      <x:c r="BU163" s="23" t="n">
        <x:f>MAX(0,MIN('Activities'!L163,414)-MAX('Activities'!K163,408))</x:f>
        <x:v>0</x:v>
      </x:c>
      <x:c r="BV163" s="23" t="n">
        <x:f>MAX(0,MIN('Activities'!L163,420)-MAX('Activities'!K163,414))</x:f>
        <x:v>0</x:v>
      </x:c>
      <x:c r="BW163" s="23" t="n">
        <x:f>MAX(0,MIN('Activities'!L163,426)-MAX('Activities'!K163,420))</x:f>
        <x:v>0</x:v>
      </x:c>
      <x:c r="BX163" s="23" t="n">
        <x:f>MAX(0,MIN('Activities'!L163,432)-MAX('Activities'!K163,426))</x:f>
        <x:v>0</x:v>
      </x:c>
      <x:c r="BY163" s="23" t="n">
        <x:f>MAX(0,MIN('Activities'!L163,438)-MAX('Activities'!K163,432))</x:f>
        <x:v>0</x:v>
      </x:c>
      <x:c r="BZ163" s="23" t="n">
        <x:f>MAX(0,MIN('Activities'!L163,444)-MAX('Activities'!K163,438))</x:f>
        <x:v>0</x:v>
      </x:c>
      <x:c r="CA163" s="23" t="n">
        <x:f>MAX(0,MIN('Activities'!L163,450)-MAX('Activities'!K163,444))</x:f>
        <x:v>0</x:v>
      </x:c>
      <x:c r="CB163" s="23" t="n">
        <x:f>MAX(0,MIN('Activities'!L163,456)-MAX('Activities'!K163,450))</x:f>
        <x:v>0</x:v>
      </x:c>
      <x:c r="CC163" s="23" t="n">
        <x:f>MAX(0,MIN('Activities'!L163,462)-MAX('Activities'!K163,456))</x:f>
        <x:v>0</x:v>
      </x:c>
      <x:c r="CD163" s="23" t="n">
        <x:f>MAX(0,MIN('Activities'!L163,468)-MAX('Activities'!K163,462))</x:f>
        <x:v>0</x:v>
      </x:c>
      <x:c r="CE163" s="23" t="n">
        <x:f>MAX(0,MIN('Activities'!L163,474)-MAX('Activities'!K163,468))</x:f>
        <x:v>0</x:v>
      </x:c>
      <x:c r="CF163" s="23" t="n">
        <x:f>MAX(0,MIN('Activities'!L163,480)-MAX('Activities'!K163,474))</x:f>
        <x:v>0</x:v>
      </x:c>
      <x:c r="CG163" s="23" t="n">
        <x:f>MAX(0,MIN('Activities'!L163,486)-MAX('Activities'!K163,480))</x:f>
        <x:v>0</x:v>
      </x:c>
      <x:c r="CH163" s="23" t="n">
        <x:f>MAX(0,MIN('Activities'!L163,492)-MAX('Activities'!K163,486))</x:f>
        <x:v>0</x:v>
      </x:c>
      <x:c r="CI163" s="23" t="n">
        <x:f>MAX(0,MIN('Activities'!L163,498)-MAX('Activities'!K163,492))</x:f>
        <x:v>0</x:v>
      </x:c>
      <x:c r="CJ163" s="23" t="n">
        <x:f>MAX(0,MIN('Activities'!L163,504)-MAX('Activities'!K163,498))</x:f>
        <x:v>0</x:v>
      </x:c>
      <x:c r="CK163" s="23" t="n">
        <x:f>MAX(0,MIN('Activities'!L163,510)-MAX('Activities'!K163,504))</x:f>
        <x:v>0</x:v>
      </x:c>
      <x:c r="CL163" s="23" t="n">
        <x:f>MAX(0,MIN('Activities'!L163,516)-MAX('Activities'!K163,510))</x:f>
        <x:v>0</x:v>
      </x:c>
      <x:c r="CM163" s="23" t="n">
        <x:f>MAX(0,MIN('Activities'!L163,522)-MAX('Activities'!K163,516))</x:f>
        <x:v>0</x:v>
      </x:c>
      <x:c r="CN163" s="23" t="n">
        <x:f>MAX(0,MIN('Activities'!L163,528)-MAX('Activities'!K163,522))</x:f>
        <x:v>0</x:v>
      </x:c>
      <x:c r="CO163" s="23" t="n">
        <x:f>MAX(0,MIN('Activities'!L163,534)-MAX('Activities'!K163,528))</x:f>
        <x:v>0</x:v>
      </x:c>
      <x:c r="CP163" s="23" t="n">
        <x:f>MAX(0,MIN('Activities'!L163,540)-MAX('Activities'!K163,534))</x:f>
        <x:v>0</x:v>
      </x:c>
      <x:c r="CQ163" s="23" t="n">
        <x:f>MAX(0,MIN('Activities'!L163,546)-MAX('Activities'!K163,540))</x:f>
        <x:v>0</x:v>
      </x:c>
      <x:c r="CR163" s="23" t="n">
        <x:f>MAX(0,MIN('Activities'!L163,552)-MAX('Activities'!K163,546))</x:f>
        <x:v>0</x:v>
      </x:c>
      <x:c r="CS163" s="23" t="n">
        <x:f>MAX(0,MIN('Activities'!L163,558)-MAX('Activities'!K163,552))</x:f>
        <x:v>0</x:v>
      </x:c>
      <x:c r="CT163" s="23" t="n">
        <x:f>MAX(0,MIN('Activities'!L163,564)-MAX('Activities'!K163,558))</x:f>
        <x:v>0</x:v>
      </x:c>
      <x:c r="CU163" s="23" t="n">
        <x:f>MAX(0,MIN('Activities'!L163,570)-MAX('Activities'!K163,564))</x:f>
        <x:v>0</x:v>
      </x:c>
      <x:c r="CV163" s="23" t="n">
        <x:f>MAX(0,MIN('Activities'!L163,576)-MAX('Activities'!K163,570))</x:f>
        <x:v>0</x:v>
      </x:c>
      <x:c r="CW163" s="23" t="n">
        <x:f>MAX(0,MIN('Activities'!L163,582)-MAX('Activities'!K163,576))</x:f>
        <x:v>0</x:v>
      </x:c>
      <x:c r="CX163" s="23" t="n">
        <x:f>MAX(0,MIN('Activities'!L163,588)-MAX('Activities'!K163,582))</x:f>
        <x:v>0</x:v>
      </x:c>
      <x:c r="CY163" s="23" t="n">
        <x:f>MAX(0,MIN('Activities'!L163,594)-MAX('Activities'!K163,588))</x:f>
        <x:v>0</x:v>
      </x:c>
      <x:c r="CZ163" s="23" t="n">
        <x:f>MAX(0,MIN('Activities'!L163,600)-MAX('Activities'!K163,594))</x:f>
        <x:v>0</x:v>
      </x:c>
      <x:c r="DA163" s="23" t="n">
        <x:f>MAX(0,MIN('Activities'!L163,606)-MAX('Activities'!K163,600))</x:f>
        <x:v>0</x:v>
      </x:c>
      <x:c r="DB163" s="23" t="n">
        <x:f>MAX(0,MIN('Activities'!L163,612)-MAX('Activities'!K163,606))</x:f>
        <x:v>0</x:v>
      </x:c>
      <x:c r="DC163" s="23" t="n">
        <x:f>MAX(0,MIN('Activities'!L163,618)-MAX('Activities'!K163,612))</x:f>
        <x:v>0</x:v>
      </x:c>
      <x:c r="DD163" s="23" t="n">
        <x:f>MAX(0,MIN('Activities'!L163,624)-MAX('Activities'!K163,618))</x:f>
        <x:v>0</x:v>
      </x:c>
      <x:c r="DE163" s="23" t="n">
        <x:f>MAX(0,MIN('Activities'!L163,630)-MAX('Activities'!K163,624))</x:f>
        <x:v>0</x:v>
      </x:c>
      <x:c r="DF163" s="23" t="n">
        <x:f>MAX(0,MIN('Activities'!L163,636)-MAX('Activities'!K163,630))</x:f>
        <x:v>0</x:v>
      </x:c>
    </x:row>
    <x:row r="164" ht="23" customHeight="1">
      <x:c r="A164" s="6" t="str">
        <x:v>T2-L03-H</x:v>
      </x:c>
      <x:c r="B164" s="6" t="str">
        <x:v>T2</x:v>
      </x:c>
      <x:c r="C164" s="6" t="str">
        <x:v>Curing and release hold point</x:v>
      </x:c>
      <x:c r="D164" s="6" t="str">
        <x:v>Site</x:v>
      </x:c>
      <x:c r="E164" s="22" t="n">
        <x:f>MAX(0,MIN('Activities'!L164,6)-MAX('Activities'!K164,0))</x:f>
        <x:v>0</x:v>
      </x:c>
      <x:c r="F164" s="22" t="n">
        <x:f>MAX(0,MIN('Activities'!L164,12)-MAX('Activities'!K164,6))</x:f>
        <x:v>0</x:v>
      </x:c>
      <x:c r="G164" s="22" t="n">
        <x:f>MAX(0,MIN('Activities'!L164,18)-MAX('Activities'!K164,12))</x:f>
        <x:v>0</x:v>
      </x:c>
      <x:c r="H164" s="22" t="n">
        <x:f>MAX(0,MIN('Activities'!L164,24)-MAX('Activities'!K164,18))</x:f>
        <x:v>0</x:v>
      </x:c>
      <x:c r="I164" s="22" t="n">
        <x:f>MAX(0,MIN('Activities'!L164,30)-MAX('Activities'!K164,24))</x:f>
        <x:v>0</x:v>
      </x:c>
      <x:c r="J164" s="22" t="n">
        <x:f>MAX(0,MIN('Activities'!L164,36)-MAX('Activities'!K164,30))</x:f>
        <x:v>0</x:v>
      </x:c>
      <x:c r="K164" s="22" t="n">
        <x:f>MAX(0,MIN('Activities'!L164,42)-MAX('Activities'!K164,36))</x:f>
        <x:v>0</x:v>
      </x:c>
      <x:c r="L164" s="22" t="n">
        <x:f>MAX(0,MIN('Activities'!L164,48)-MAX('Activities'!K164,42))</x:f>
        <x:v>0</x:v>
      </x:c>
      <x:c r="M164" s="22" t="n">
        <x:f>MAX(0,MIN('Activities'!L164,54)-MAX('Activities'!K164,48))</x:f>
        <x:v>0</x:v>
      </x:c>
      <x:c r="N164" s="22" t="n">
        <x:f>MAX(0,MIN('Activities'!L164,60)-MAX('Activities'!K164,54))</x:f>
        <x:v>0</x:v>
      </x:c>
      <x:c r="O164" s="22" t="n">
        <x:f>MAX(0,MIN('Activities'!L164,66)-MAX('Activities'!K164,60))</x:f>
        <x:v>0</x:v>
      </x:c>
      <x:c r="P164" s="22" t="n">
        <x:f>MAX(0,MIN('Activities'!L164,72)-MAX('Activities'!K164,66))</x:f>
        <x:v>0</x:v>
      </x:c>
      <x:c r="Q164" s="22" t="n">
        <x:f>MAX(0,MIN('Activities'!L164,78)-MAX('Activities'!K164,72))</x:f>
        <x:v>0</x:v>
      </x:c>
      <x:c r="R164" s="22" t="n">
        <x:f>MAX(0,MIN('Activities'!L164,84)-MAX('Activities'!K164,78))</x:f>
        <x:v>0</x:v>
      </x:c>
      <x:c r="S164" s="22" t="n">
        <x:f>MAX(0,MIN('Activities'!L164,90)-MAX('Activities'!K164,84))</x:f>
        <x:v>0</x:v>
      </x:c>
      <x:c r="T164" s="22" t="n">
        <x:f>MAX(0,MIN('Activities'!L164,96)-MAX('Activities'!K164,90))</x:f>
        <x:v>0</x:v>
      </x:c>
      <x:c r="U164" s="22" t="n">
        <x:f>MAX(0,MIN('Activities'!L164,102)-MAX('Activities'!K164,96))</x:f>
        <x:v>0</x:v>
      </x:c>
      <x:c r="V164" s="22" t="n">
        <x:f>MAX(0,MIN('Activities'!L164,108)-MAX('Activities'!K164,102))</x:f>
        <x:v>0</x:v>
      </x:c>
      <x:c r="W164" s="22" t="n">
        <x:f>MAX(0,MIN('Activities'!L164,114)-MAX('Activities'!K164,108))</x:f>
        <x:v>0</x:v>
      </x:c>
      <x:c r="X164" s="22" t="n">
        <x:f>MAX(0,MIN('Activities'!L164,120)-MAX('Activities'!K164,114))</x:f>
        <x:v>0</x:v>
      </x:c>
      <x:c r="Y164" s="22" t="n">
        <x:f>MAX(0,MIN('Activities'!L164,126)-MAX('Activities'!K164,120))</x:f>
        <x:v>0</x:v>
      </x:c>
      <x:c r="Z164" s="22" t="n">
        <x:f>MAX(0,MIN('Activities'!L164,132)-MAX('Activities'!K164,126))</x:f>
        <x:v>0</x:v>
      </x:c>
      <x:c r="AA164" s="22" t="n">
        <x:f>MAX(0,MIN('Activities'!L164,138)-MAX('Activities'!K164,132))</x:f>
        <x:v>0</x:v>
      </x:c>
      <x:c r="AB164" s="22" t="n">
        <x:f>MAX(0,MIN('Activities'!L164,144)-MAX('Activities'!K164,138))</x:f>
        <x:v>0</x:v>
      </x:c>
      <x:c r="AC164" s="22" t="n">
        <x:f>MAX(0,MIN('Activities'!L164,150)-MAX('Activities'!K164,144))</x:f>
        <x:v>0</x:v>
      </x:c>
      <x:c r="AD164" s="22" t="n">
        <x:f>MAX(0,MIN('Activities'!L164,156)-MAX('Activities'!K164,150))</x:f>
        <x:v>0</x:v>
      </x:c>
      <x:c r="AE164" s="22" t="n">
        <x:f>MAX(0,MIN('Activities'!L164,162)-MAX('Activities'!K164,156))</x:f>
        <x:v>0</x:v>
      </x:c>
      <x:c r="AF164" s="22" t="n">
        <x:f>MAX(0,MIN('Activities'!L164,168)-MAX('Activities'!K164,162))</x:f>
        <x:v>0</x:v>
      </x:c>
      <x:c r="AG164" s="22" t="n">
        <x:f>MAX(0,MIN('Activities'!L164,174)-MAX('Activities'!K164,168))</x:f>
        <x:v>0</x:v>
      </x:c>
      <x:c r="AH164" s="22" t="n">
        <x:f>MAX(0,MIN('Activities'!L164,180)-MAX('Activities'!K164,174))</x:f>
        <x:v>0</x:v>
      </x:c>
      <x:c r="AI164" s="22" t="n">
        <x:f>MAX(0,MIN('Activities'!L164,186)-MAX('Activities'!K164,180))</x:f>
        <x:v>0</x:v>
      </x:c>
      <x:c r="AJ164" s="22" t="n">
        <x:f>MAX(0,MIN('Activities'!L164,192)-MAX('Activities'!K164,186))</x:f>
        <x:v>0</x:v>
      </x:c>
      <x:c r="AK164" s="22" t="n">
        <x:f>MAX(0,MIN('Activities'!L164,198)-MAX('Activities'!K164,192))</x:f>
        <x:v>0</x:v>
      </x:c>
      <x:c r="AL164" s="22" t="n">
        <x:f>MAX(0,MIN('Activities'!L164,204)-MAX('Activities'!K164,198))</x:f>
        <x:v>0</x:v>
      </x:c>
      <x:c r="AM164" s="22" t="n">
        <x:f>MAX(0,MIN('Activities'!L164,210)-MAX('Activities'!K164,204))</x:f>
        <x:v>0</x:v>
      </x:c>
      <x:c r="AN164" s="22" t="n">
        <x:f>MAX(0,MIN('Activities'!L164,216)-MAX('Activities'!K164,210))</x:f>
        <x:v>3</x:v>
      </x:c>
      <x:c r="AO164" s="22" t="n">
        <x:f>MAX(0,MIN('Activities'!L164,222)-MAX('Activities'!K164,216))</x:f>
        <x:v>2</x:v>
      </x:c>
      <x:c r="AP164" s="22" t="n">
        <x:f>MAX(0,MIN('Activities'!L164,228)-MAX('Activities'!K164,222))</x:f>
        <x:v>0</x:v>
      </x:c>
      <x:c r="AQ164" s="22" t="n">
        <x:f>MAX(0,MIN('Activities'!L164,234)-MAX('Activities'!K164,228))</x:f>
        <x:v>0</x:v>
      </x:c>
      <x:c r="AR164" s="22" t="n">
        <x:f>MAX(0,MIN('Activities'!L164,240)-MAX('Activities'!K164,234))</x:f>
        <x:v>0</x:v>
      </x:c>
      <x:c r="AS164" s="22" t="n">
        <x:f>MAX(0,MIN('Activities'!L164,246)-MAX('Activities'!K164,240))</x:f>
        <x:v>0</x:v>
      </x:c>
      <x:c r="AT164" s="22" t="n">
        <x:f>MAX(0,MIN('Activities'!L164,252)-MAX('Activities'!K164,246))</x:f>
        <x:v>0</x:v>
      </x:c>
      <x:c r="AU164" s="22" t="n">
        <x:f>MAX(0,MIN('Activities'!L164,258)-MAX('Activities'!K164,252))</x:f>
        <x:v>0</x:v>
      </x:c>
      <x:c r="AV164" s="22" t="n">
        <x:f>MAX(0,MIN('Activities'!L164,264)-MAX('Activities'!K164,258))</x:f>
        <x:v>0</x:v>
      </x:c>
      <x:c r="AW164" s="22" t="n">
        <x:f>MAX(0,MIN('Activities'!L164,270)-MAX('Activities'!K164,264))</x:f>
        <x:v>0</x:v>
      </x:c>
      <x:c r="AX164" s="22" t="n">
        <x:f>MAX(0,MIN('Activities'!L164,276)-MAX('Activities'!K164,270))</x:f>
        <x:v>0</x:v>
      </x:c>
      <x:c r="AY164" s="22" t="n">
        <x:f>MAX(0,MIN('Activities'!L164,282)-MAX('Activities'!K164,276))</x:f>
        <x:v>0</x:v>
      </x:c>
      <x:c r="AZ164" s="22" t="n">
        <x:f>MAX(0,MIN('Activities'!L164,288)-MAX('Activities'!K164,282))</x:f>
        <x:v>0</x:v>
      </x:c>
      <x:c r="BA164" s="22" t="n">
        <x:f>MAX(0,MIN('Activities'!L164,294)-MAX('Activities'!K164,288))</x:f>
        <x:v>0</x:v>
      </x:c>
      <x:c r="BB164" s="22" t="n">
        <x:f>MAX(0,MIN('Activities'!L164,300)-MAX('Activities'!K164,294))</x:f>
        <x:v>0</x:v>
      </x:c>
      <x:c r="BC164" s="22" t="n">
        <x:f>MAX(0,MIN('Activities'!L164,306)-MAX('Activities'!K164,300))</x:f>
        <x:v>0</x:v>
      </x:c>
      <x:c r="BD164" s="22" t="n">
        <x:f>MAX(0,MIN('Activities'!L164,312)-MAX('Activities'!K164,306))</x:f>
        <x:v>0</x:v>
      </x:c>
      <x:c r="BE164" s="22" t="n">
        <x:f>MAX(0,MIN('Activities'!L164,318)-MAX('Activities'!K164,312))</x:f>
        <x:v>0</x:v>
      </x:c>
      <x:c r="BF164" s="22" t="n">
        <x:f>MAX(0,MIN('Activities'!L164,324)-MAX('Activities'!K164,318))</x:f>
        <x:v>0</x:v>
      </x:c>
      <x:c r="BG164" s="22" t="n">
        <x:f>MAX(0,MIN('Activities'!L164,330)-MAX('Activities'!K164,324))</x:f>
        <x:v>0</x:v>
      </x:c>
      <x:c r="BH164" s="22" t="n">
        <x:f>MAX(0,MIN('Activities'!L164,336)-MAX('Activities'!K164,330))</x:f>
        <x:v>0</x:v>
      </x:c>
      <x:c r="BI164" s="22" t="n">
        <x:f>MAX(0,MIN('Activities'!L164,342)-MAX('Activities'!K164,336))</x:f>
        <x:v>0</x:v>
      </x:c>
      <x:c r="BJ164" s="22" t="n">
        <x:f>MAX(0,MIN('Activities'!L164,348)-MAX('Activities'!K164,342))</x:f>
        <x:v>0</x:v>
      </x:c>
      <x:c r="BK164" s="22" t="n">
        <x:f>MAX(0,MIN('Activities'!L164,354)-MAX('Activities'!K164,348))</x:f>
        <x:v>0</x:v>
      </x:c>
      <x:c r="BL164" s="22" t="n">
        <x:f>MAX(0,MIN('Activities'!L164,360)-MAX('Activities'!K164,354))</x:f>
        <x:v>0</x:v>
      </x:c>
      <x:c r="BM164" s="22" t="n">
        <x:f>MAX(0,MIN('Activities'!L164,366)-MAX('Activities'!K164,360))</x:f>
        <x:v>0</x:v>
      </x:c>
      <x:c r="BN164" s="22" t="n">
        <x:f>MAX(0,MIN('Activities'!L164,372)-MAX('Activities'!K164,366))</x:f>
        <x:v>0</x:v>
      </x:c>
      <x:c r="BO164" s="22" t="n">
        <x:f>MAX(0,MIN('Activities'!L164,378)-MAX('Activities'!K164,372))</x:f>
        <x:v>0</x:v>
      </x:c>
      <x:c r="BP164" s="22" t="n">
        <x:f>MAX(0,MIN('Activities'!L164,384)-MAX('Activities'!K164,378))</x:f>
        <x:v>0</x:v>
      </x:c>
      <x:c r="BQ164" s="22" t="n">
        <x:f>MAX(0,MIN('Activities'!L164,390)-MAX('Activities'!K164,384))</x:f>
        <x:v>0</x:v>
      </x:c>
      <x:c r="BR164" s="22" t="n">
        <x:f>MAX(0,MIN('Activities'!L164,396)-MAX('Activities'!K164,390))</x:f>
        <x:v>0</x:v>
      </x:c>
      <x:c r="BS164" s="22" t="n">
        <x:f>MAX(0,MIN('Activities'!L164,402)-MAX('Activities'!K164,396))</x:f>
        <x:v>0</x:v>
      </x:c>
      <x:c r="BT164" s="22" t="n">
        <x:f>MAX(0,MIN('Activities'!L164,408)-MAX('Activities'!K164,402))</x:f>
        <x:v>0</x:v>
      </x:c>
      <x:c r="BU164" s="22" t="n">
        <x:f>MAX(0,MIN('Activities'!L164,414)-MAX('Activities'!K164,408))</x:f>
        <x:v>0</x:v>
      </x:c>
      <x:c r="BV164" s="22" t="n">
        <x:f>MAX(0,MIN('Activities'!L164,420)-MAX('Activities'!K164,414))</x:f>
        <x:v>0</x:v>
      </x:c>
      <x:c r="BW164" s="22" t="n">
        <x:f>MAX(0,MIN('Activities'!L164,426)-MAX('Activities'!K164,420))</x:f>
        <x:v>0</x:v>
      </x:c>
      <x:c r="BX164" s="22" t="n">
        <x:f>MAX(0,MIN('Activities'!L164,432)-MAX('Activities'!K164,426))</x:f>
        <x:v>0</x:v>
      </x:c>
      <x:c r="BY164" s="22" t="n">
        <x:f>MAX(0,MIN('Activities'!L164,438)-MAX('Activities'!K164,432))</x:f>
        <x:v>0</x:v>
      </x:c>
      <x:c r="BZ164" s="22" t="n">
        <x:f>MAX(0,MIN('Activities'!L164,444)-MAX('Activities'!K164,438))</x:f>
        <x:v>0</x:v>
      </x:c>
      <x:c r="CA164" s="22" t="n">
        <x:f>MAX(0,MIN('Activities'!L164,450)-MAX('Activities'!K164,444))</x:f>
        <x:v>0</x:v>
      </x:c>
      <x:c r="CB164" s="22" t="n">
        <x:f>MAX(0,MIN('Activities'!L164,456)-MAX('Activities'!K164,450))</x:f>
        <x:v>0</x:v>
      </x:c>
      <x:c r="CC164" s="22" t="n">
        <x:f>MAX(0,MIN('Activities'!L164,462)-MAX('Activities'!K164,456))</x:f>
        <x:v>0</x:v>
      </x:c>
      <x:c r="CD164" s="22" t="n">
        <x:f>MAX(0,MIN('Activities'!L164,468)-MAX('Activities'!K164,462))</x:f>
        <x:v>0</x:v>
      </x:c>
      <x:c r="CE164" s="22" t="n">
        <x:f>MAX(0,MIN('Activities'!L164,474)-MAX('Activities'!K164,468))</x:f>
        <x:v>0</x:v>
      </x:c>
      <x:c r="CF164" s="22" t="n">
        <x:f>MAX(0,MIN('Activities'!L164,480)-MAX('Activities'!K164,474))</x:f>
        <x:v>0</x:v>
      </x:c>
      <x:c r="CG164" s="22" t="n">
        <x:f>MAX(0,MIN('Activities'!L164,486)-MAX('Activities'!K164,480))</x:f>
        <x:v>0</x:v>
      </x:c>
      <x:c r="CH164" s="22" t="n">
        <x:f>MAX(0,MIN('Activities'!L164,492)-MAX('Activities'!K164,486))</x:f>
        <x:v>0</x:v>
      </x:c>
      <x:c r="CI164" s="22" t="n">
        <x:f>MAX(0,MIN('Activities'!L164,498)-MAX('Activities'!K164,492))</x:f>
        <x:v>0</x:v>
      </x:c>
      <x:c r="CJ164" s="22" t="n">
        <x:f>MAX(0,MIN('Activities'!L164,504)-MAX('Activities'!K164,498))</x:f>
        <x:v>0</x:v>
      </x:c>
      <x:c r="CK164" s="22" t="n">
        <x:f>MAX(0,MIN('Activities'!L164,510)-MAX('Activities'!K164,504))</x:f>
        <x:v>0</x:v>
      </x:c>
      <x:c r="CL164" s="22" t="n">
        <x:f>MAX(0,MIN('Activities'!L164,516)-MAX('Activities'!K164,510))</x:f>
        <x:v>0</x:v>
      </x:c>
      <x:c r="CM164" s="22" t="n">
        <x:f>MAX(0,MIN('Activities'!L164,522)-MAX('Activities'!K164,516))</x:f>
        <x:v>0</x:v>
      </x:c>
      <x:c r="CN164" s="22" t="n">
        <x:f>MAX(0,MIN('Activities'!L164,528)-MAX('Activities'!K164,522))</x:f>
        <x:v>0</x:v>
      </x:c>
      <x:c r="CO164" s="22" t="n">
        <x:f>MAX(0,MIN('Activities'!L164,534)-MAX('Activities'!K164,528))</x:f>
        <x:v>0</x:v>
      </x:c>
      <x:c r="CP164" s="22" t="n">
        <x:f>MAX(0,MIN('Activities'!L164,540)-MAX('Activities'!K164,534))</x:f>
        <x:v>0</x:v>
      </x:c>
      <x:c r="CQ164" s="22" t="n">
        <x:f>MAX(0,MIN('Activities'!L164,546)-MAX('Activities'!K164,540))</x:f>
        <x:v>0</x:v>
      </x:c>
      <x:c r="CR164" s="22" t="n">
        <x:f>MAX(0,MIN('Activities'!L164,552)-MAX('Activities'!K164,546))</x:f>
        <x:v>0</x:v>
      </x:c>
      <x:c r="CS164" s="22" t="n">
        <x:f>MAX(0,MIN('Activities'!L164,558)-MAX('Activities'!K164,552))</x:f>
        <x:v>0</x:v>
      </x:c>
      <x:c r="CT164" s="22" t="n">
        <x:f>MAX(0,MIN('Activities'!L164,564)-MAX('Activities'!K164,558))</x:f>
        <x:v>0</x:v>
      </x:c>
      <x:c r="CU164" s="22" t="n">
        <x:f>MAX(0,MIN('Activities'!L164,570)-MAX('Activities'!K164,564))</x:f>
        <x:v>0</x:v>
      </x:c>
      <x:c r="CV164" s="22" t="n">
        <x:f>MAX(0,MIN('Activities'!L164,576)-MAX('Activities'!K164,570))</x:f>
        <x:v>0</x:v>
      </x:c>
      <x:c r="CW164" s="22" t="n">
        <x:f>MAX(0,MIN('Activities'!L164,582)-MAX('Activities'!K164,576))</x:f>
        <x:v>0</x:v>
      </x:c>
      <x:c r="CX164" s="22" t="n">
        <x:f>MAX(0,MIN('Activities'!L164,588)-MAX('Activities'!K164,582))</x:f>
        <x:v>0</x:v>
      </x:c>
      <x:c r="CY164" s="22" t="n">
        <x:f>MAX(0,MIN('Activities'!L164,594)-MAX('Activities'!K164,588))</x:f>
        <x:v>0</x:v>
      </x:c>
      <x:c r="CZ164" s="22" t="n">
        <x:f>MAX(0,MIN('Activities'!L164,600)-MAX('Activities'!K164,594))</x:f>
        <x:v>0</x:v>
      </x:c>
      <x:c r="DA164" s="22" t="n">
        <x:f>MAX(0,MIN('Activities'!L164,606)-MAX('Activities'!K164,600))</x:f>
        <x:v>0</x:v>
      </x:c>
      <x:c r="DB164" s="22" t="n">
        <x:f>MAX(0,MIN('Activities'!L164,612)-MAX('Activities'!K164,606))</x:f>
        <x:v>0</x:v>
      </x:c>
      <x:c r="DC164" s="22" t="n">
        <x:f>MAX(0,MIN('Activities'!L164,618)-MAX('Activities'!K164,612))</x:f>
        <x:v>0</x:v>
      </x:c>
      <x:c r="DD164" s="22" t="n">
        <x:f>MAX(0,MIN('Activities'!L164,624)-MAX('Activities'!K164,618))</x:f>
        <x:v>0</x:v>
      </x:c>
      <x:c r="DE164" s="22" t="n">
        <x:f>MAX(0,MIN('Activities'!L164,630)-MAX('Activities'!K164,624))</x:f>
        <x:v>0</x:v>
      </x:c>
      <x:c r="DF164" s="22" t="n">
        <x:f>MAX(0,MIN('Activities'!L164,636)-MAX('Activities'!K164,630))</x:f>
        <x:v>0</x:v>
      </x:c>
    </x:row>
    <x:row r="165" ht="23" customHeight="1">
      <x:c r="A165" s="1" t="str">
        <x:v>T2-L04-F</x:v>
      </x:c>
      <x:c r="B165" s="1" t="str">
        <x:v>T2</x:v>
      </x:c>
      <x:c r="C165" s="1" t="str">
        <x:v>Columns, core and deck formwork</x:v>
      </x:c>
      <x:c r="D165" s="1" t="str">
        <x:v>Formwork</x:v>
      </x:c>
      <x:c r="E165" s="23" t="n">
        <x:f>MAX(0,MIN('Activities'!L165,6)-MAX('Activities'!K165,0))</x:f>
        <x:v>0</x:v>
      </x:c>
      <x:c r="F165" s="23" t="n">
        <x:f>MAX(0,MIN('Activities'!L165,12)-MAX('Activities'!K165,6))</x:f>
        <x:v>0</x:v>
      </x:c>
      <x:c r="G165" s="23" t="n">
        <x:f>MAX(0,MIN('Activities'!L165,18)-MAX('Activities'!K165,12))</x:f>
        <x:v>0</x:v>
      </x:c>
      <x:c r="H165" s="23" t="n">
        <x:f>MAX(0,MIN('Activities'!L165,24)-MAX('Activities'!K165,18))</x:f>
        <x:v>0</x:v>
      </x:c>
      <x:c r="I165" s="23" t="n">
        <x:f>MAX(0,MIN('Activities'!L165,30)-MAX('Activities'!K165,24))</x:f>
        <x:v>0</x:v>
      </x:c>
      <x:c r="J165" s="23" t="n">
        <x:f>MAX(0,MIN('Activities'!L165,36)-MAX('Activities'!K165,30))</x:f>
        <x:v>0</x:v>
      </x:c>
      <x:c r="K165" s="23" t="n">
        <x:f>MAX(0,MIN('Activities'!L165,42)-MAX('Activities'!K165,36))</x:f>
        <x:v>0</x:v>
      </x:c>
      <x:c r="L165" s="23" t="n">
        <x:f>MAX(0,MIN('Activities'!L165,48)-MAX('Activities'!K165,42))</x:f>
        <x:v>0</x:v>
      </x:c>
      <x:c r="M165" s="23" t="n">
        <x:f>MAX(0,MIN('Activities'!L165,54)-MAX('Activities'!K165,48))</x:f>
        <x:v>0</x:v>
      </x:c>
      <x:c r="N165" s="23" t="n">
        <x:f>MAX(0,MIN('Activities'!L165,60)-MAX('Activities'!K165,54))</x:f>
        <x:v>0</x:v>
      </x:c>
      <x:c r="O165" s="23" t="n">
        <x:f>MAX(0,MIN('Activities'!L165,66)-MAX('Activities'!K165,60))</x:f>
        <x:v>0</x:v>
      </x:c>
      <x:c r="P165" s="23" t="n">
        <x:f>MAX(0,MIN('Activities'!L165,72)-MAX('Activities'!K165,66))</x:f>
        <x:v>0</x:v>
      </x:c>
      <x:c r="Q165" s="23" t="n">
        <x:f>MAX(0,MIN('Activities'!L165,78)-MAX('Activities'!K165,72))</x:f>
        <x:v>0</x:v>
      </x:c>
      <x:c r="R165" s="23" t="n">
        <x:f>MAX(0,MIN('Activities'!L165,84)-MAX('Activities'!K165,78))</x:f>
        <x:v>0</x:v>
      </x:c>
      <x:c r="S165" s="23" t="n">
        <x:f>MAX(0,MIN('Activities'!L165,90)-MAX('Activities'!K165,84))</x:f>
        <x:v>0</x:v>
      </x:c>
      <x:c r="T165" s="23" t="n">
        <x:f>MAX(0,MIN('Activities'!L165,96)-MAX('Activities'!K165,90))</x:f>
        <x:v>0</x:v>
      </x:c>
      <x:c r="U165" s="23" t="n">
        <x:f>MAX(0,MIN('Activities'!L165,102)-MAX('Activities'!K165,96))</x:f>
        <x:v>0</x:v>
      </x:c>
      <x:c r="V165" s="23" t="n">
        <x:f>MAX(0,MIN('Activities'!L165,108)-MAX('Activities'!K165,102))</x:f>
        <x:v>0</x:v>
      </x:c>
      <x:c r="W165" s="23" t="n">
        <x:f>MAX(0,MIN('Activities'!L165,114)-MAX('Activities'!K165,108))</x:f>
        <x:v>0</x:v>
      </x:c>
      <x:c r="X165" s="23" t="n">
        <x:f>MAX(0,MIN('Activities'!L165,120)-MAX('Activities'!K165,114))</x:f>
        <x:v>0</x:v>
      </x:c>
      <x:c r="Y165" s="23" t="n">
        <x:f>MAX(0,MIN('Activities'!L165,126)-MAX('Activities'!K165,120))</x:f>
        <x:v>0</x:v>
      </x:c>
      <x:c r="Z165" s="23" t="n">
        <x:f>MAX(0,MIN('Activities'!L165,132)-MAX('Activities'!K165,126))</x:f>
        <x:v>0</x:v>
      </x:c>
      <x:c r="AA165" s="23" t="n">
        <x:f>MAX(0,MIN('Activities'!L165,138)-MAX('Activities'!K165,132))</x:f>
        <x:v>0</x:v>
      </x:c>
      <x:c r="AB165" s="23" t="n">
        <x:f>MAX(0,MIN('Activities'!L165,144)-MAX('Activities'!K165,138))</x:f>
        <x:v>0</x:v>
      </x:c>
      <x:c r="AC165" s="23" t="n">
        <x:f>MAX(0,MIN('Activities'!L165,150)-MAX('Activities'!K165,144))</x:f>
        <x:v>0</x:v>
      </x:c>
      <x:c r="AD165" s="23" t="n">
        <x:f>MAX(0,MIN('Activities'!L165,156)-MAX('Activities'!K165,150))</x:f>
        <x:v>0</x:v>
      </x:c>
      <x:c r="AE165" s="23" t="n">
        <x:f>MAX(0,MIN('Activities'!L165,162)-MAX('Activities'!K165,156))</x:f>
        <x:v>0</x:v>
      </x:c>
      <x:c r="AF165" s="23" t="n">
        <x:f>MAX(0,MIN('Activities'!L165,168)-MAX('Activities'!K165,162))</x:f>
        <x:v>0</x:v>
      </x:c>
      <x:c r="AG165" s="23" t="n">
        <x:f>MAX(0,MIN('Activities'!L165,174)-MAX('Activities'!K165,168))</x:f>
        <x:v>0</x:v>
      </x:c>
      <x:c r="AH165" s="23" t="n">
        <x:f>MAX(0,MIN('Activities'!L165,180)-MAX('Activities'!K165,174))</x:f>
        <x:v>0</x:v>
      </x:c>
      <x:c r="AI165" s="23" t="n">
        <x:f>MAX(0,MIN('Activities'!L165,186)-MAX('Activities'!K165,180))</x:f>
        <x:v>0</x:v>
      </x:c>
      <x:c r="AJ165" s="23" t="n">
        <x:f>MAX(0,MIN('Activities'!L165,192)-MAX('Activities'!K165,186))</x:f>
        <x:v>0</x:v>
      </x:c>
      <x:c r="AK165" s="23" t="n">
        <x:f>MAX(0,MIN('Activities'!L165,198)-MAX('Activities'!K165,192))</x:f>
        <x:v>0</x:v>
      </x:c>
      <x:c r="AL165" s="23" t="n">
        <x:f>MAX(0,MIN('Activities'!L165,204)-MAX('Activities'!K165,198))</x:f>
        <x:v>0</x:v>
      </x:c>
      <x:c r="AM165" s="23" t="n">
        <x:f>MAX(0,MIN('Activities'!L165,210)-MAX('Activities'!K165,204))</x:f>
        <x:v>0</x:v>
      </x:c>
      <x:c r="AN165" s="23" t="n">
        <x:f>MAX(0,MIN('Activities'!L165,216)-MAX('Activities'!K165,210))</x:f>
        <x:v>0</x:v>
      </x:c>
      <x:c r="AO165" s="23" t="n">
        <x:f>MAX(0,MIN('Activities'!L165,222)-MAX('Activities'!K165,216))</x:f>
        <x:v>4</x:v>
      </x:c>
      <x:c r="AP165" s="23" t="n">
        <x:f>MAX(0,MIN('Activities'!L165,228)-MAX('Activities'!K165,222))</x:f>
        <x:v>2</x:v>
      </x:c>
      <x:c r="AQ165" s="23" t="n">
        <x:f>MAX(0,MIN('Activities'!L165,234)-MAX('Activities'!K165,228))</x:f>
        <x:v>0</x:v>
      </x:c>
      <x:c r="AR165" s="23" t="n">
        <x:f>MAX(0,MIN('Activities'!L165,240)-MAX('Activities'!K165,234))</x:f>
        <x:v>0</x:v>
      </x:c>
      <x:c r="AS165" s="23" t="n">
        <x:f>MAX(0,MIN('Activities'!L165,246)-MAX('Activities'!K165,240))</x:f>
        <x:v>0</x:v>
      </x:c>
      <x:c r="AT165" s="23" t="n">
        <x:f>MAX(0,MIN('Activities'!L165,252)-MAX('Activities'!K165,246))</x:f>
        <x:v>0</x:v>
      </x:c>
      <x:c r="AU165" s="23" t="n">
        <x:f>MAX(0,MIN('Activities'!L165,258)-MAX('Activities'!K165,252))</x:f>
        <x:v>0</x:v>
      </x:c>
      <x:c r="AV165" s="23" t="n">
        <x:f>MAX(0,MIN('Activities'!L165,264)-MAX('Activities'!K165,258))</x:f>
        <x:v>0</x:v>
      </x:c>
      <x:c r="AW165" s="23" t="n">
        <x:f>MAX(0,MIN('Activities'!L165,270)-MAX('Activities'!K165,264))</x:f>
        <x:v>0</x:v>
      </x:c>
      <x:c r="AX165" s="23" t="n">
        <x:f>MAX(0,MIN('Activities'!L165,276)-MAX('Activities'!K165,270))</x:f>
        <x:v>0</x:v>
      </x:c>
      <x:c r="AY165" s="23" t="n">
        <x:f>MAX(0,MIN('Activities'!L165,282)-MAX('Activities'!K165,276))</x:f>
        <x:v>0</x:v>
      </x:c>
      <x:c r="AZ165" s="23" t="n">
        <x:f>MAX(0,MIN('Activities'!L165,288)-MAX('Activities'!K165,282))</x:f>
        <x:v>0</x:v>
      </x:c>
      <x:c r="BA165" s="23" t="n">
        <x:f>MAX(0,MIN('Activities'!L165,294)-MAX('Activities'!K165,288))</x:f>
        <x:v>0</x:v>
      </x:c>
      <x:c r="BB165" s="23" t="n">
        <x:f>MAX(0,MIN('Activities'!L165,300)-MAX('Activities'!K165,294))</x:f>
        <x:v>0</x:v>
      </x:c>
      <x:c r="BC165" s="23" t="n">
        <x:f>MAX(0,MIN('Activities'!L165,306)-MAX('Activities'!K165,300))</x:f>
        <x:v>0</x:v>
      </x:c>
      <x:c r="BD165" s="23" t="n">
        <x:f>MAX(0,MIN('Activities'!L165,312)-MAX('Activities'!K165,306))</x:f>
        <x:v>0</x:v>
      </x:c>
      <x:c r="BE165" s="23" t="n">
        <x:f>MAX(0,MIN('Activities'!L165,318)-MAX('Activities'!K165,312))</x:f>
        <x:v>0</x:v>
      </x:c>
      <x:c r="BF165" s="23" t="n">
        <x:f>MAX(0,MIN('Activities'!L165,324)-MAX('Activities'!K165,318))</x:f>
        <x:v>0</x:v>
      </x:c>
      <x:c r="BG165" s="23" t="n">
        <x:f>MAX(0,MIN('Activities'!L165,330)-MAX('Activities'!K165,324))</x:f>
        <x:v>0</x:v>
      </x:c>
      <x:c r="BH165" s="23" t="n">
        <x:f>MAX(0,MIN('Activities'!L165,336)-MAX('Activities'!K165,330))</x:f>
        <x:v>0</x:v>
      </x:c>
      <x:c r="BI165" s="23" t="n">
        <x:f>MAX(0,MIN('Activities'!L165,342)-MAX('Activities'!K165,336))</x:f>
        <x:v>0</x:v>
      </x:c>
      <x:c r="BJ165" s="23" t="n">
        <x:f>MAX(0,MIN('Activities'!L165,348)-MAX('Activities'!K165,342))</x:f>
        <x:v>0</x:v>
      </x:c>
      <x:c r="BK165" s="23" t="n">
        <x:f>MAX(0,MIN('Activities'!L165,354)-MAX('Activities'!K165,348))</x:f>
        <x:v>0</x:v>
      </x:c>
      <x:c r="BL165" s="23" t="n">
        <x:f>MAX(0,MIN('Activities'!L165,360)-MAX('Activities'!K165,354))</x:f>
        <x:v>0</x:v>
      </x:c>
      <x:c r="BM165" s="23" t="n">
        <x:f>MAX(0,MIN('Activities'!L165,366)-MAX('Activities'!K165,360))</x:f>
        <x:v>0</x:v>
      </x:c>
      <x:c r="BN165" s="23" t="n">
        <x:f>MAX(0,MIN('Activities'!L165,372)-MAX('Activities'!K165,366))</x:f>
        <x:v>0</x:v>
      </x:c>
      <x:c r="BO165" s="23" t="n">
        <x:f>MAX(0,MIN('Activities'!L165,378)-MAX('Activities'!K165,372))</x:f>
        <x:v>0</x:v>
      </x:c>
      <x:c r="BP165" s="23" t="n">
        <x:f>MAX(0,MIN('Activities'!L165,384)-MAX('Activities'!K165,378))</x:f>
        <x:v>0</x:v>
      </x:c>
      <x:c r="BQ165" s="23" t="n">
        <x:f>MAX(0,MIN('Activities'!L165,390)-MAX('Activities'!K165,384))</x:f>
        <x:v>0</x:v>
      </x:c>
      <x:c r="BR165" s="23" t="n">
        <x:f>MAX(0,MIN('Activities'!L165,396)-MAX('Activities'!K165,390))</x:f>
        <x:v>0</x:v>
      </x:c>
      <x:c r="BS165" s="23" t="n">
        <x:f>MAX(0,MIN('Activities'!L165,402)-MAX('Activities'!K165,396))</x:f>
        <x:v>0</x:v>
      </x:c>
      <x:c r="BT165" s="23" t="n">
        <x:f>MAX(0,MIN('Activities'!L165,408)-MAX('Activities'!K165,402))</x:f>
        <x:v>0</x:v>
      </x:c>
      <x:c r="BU165" s="23" t="n">
        <x:f>MAX(0,MIN('Activities'!L165,414)-MAX('Activities'!K165,408))</x:f>
        <x:v>0</x:v>
      </x:c>
      <x:c r="BV165" s="23" t="n">
        <x:f>MAX(0,MIN('Activities'!L165,420)-MAX('Activities'!K165,414))</x:f>
        <x:v>0</x:v>
      </x:c>
      <x:c r="BW165" s="23" t="n">
        <x:f>MAX(0,MIN('Activities'!L165,426)-MAX('Activities'!K165,420))</x:f>
        <x:v>0</x:v>
      </x:c>
      <x:c r="BX165" s="23" t="n">
        <x:f>MAX(0,MIN('Activities'!L165,432)-MAX('Activities'!K165,426))</x:f>
        <x:v>0</x:v>
      </x:c>
      <x:c r="BY165" s="23" t="n">
        <x:f>MAX(0,MIN('Activities'!L165,438)-MAX('Activities'!K165,432))</x:f>
        <x:v>0</x:v>
      </x:c>
      <x:c r="BZ165" s="23" t="n">
        <x:f>MAX(0,MIN('Activities'!L165,444)-MAX('Activities'!K165,438))</x:f>
        <x:v>0</x:v>
      </x:c>
      <x:c r="CA165" s="23" t="n">
        <x:f>MAX(0,MIN('Activities'!L165,450)-MAX('Activities'!K165,444))</x:f>
        <x:v>0</x:v>
      </x:c>
      <x:c r="CB165" s="23" t="n">
        <x:f>MAX(0,MIN('Activities'!L165,456)-MAX('Activities'!K165,450))</x:f>
        <x:v>0</x:v>
      </x:c>
      <x:c r="CC165" s="23" t="n">
        <x:f>MAX(0,MIN('Activities'!L165,462)-MAX('Activities'!K165,456))</x:f>
        <x:v>0</x:v>
      </x:c>
      <x:c r="CD165" s="23" t="n">
        <x:f>MAX(0,MIN('Activities'!L165,468)-MAX('Activities'!K165,462))</x:f>
        <x:v>0</x:v>
      </x:c>
      <x:c r="CE165" s="23" t="n">
        <x:f>MAX(0,MIN('Activities'!L165,474)-MAX('Activities'!K165,468))</x:f>
        <x:v>0</x:v>
      </x:c>
      <x:c r="CF165" s="23" t="n">
        <x:f>MAX(0,MIN('Activities'!L165,480)-MAX('Activities'!K165,474))</x:f>
        <x:v>0</x:v>
      </x:c>
      <x:c r="CG165" s="23" t="n">
        <x:f>MAX(0,MIN('Activities'!L165,486)-MAX('Activities'!K165,480))</x:f>
        <x:v>0</x:v>
      </x:c>
      <x:c r="CH165" s="23" t="n">
        <x:f>MAX(0,MIN('Activities'!L165,492)-MAX('Activities'!K165,486))</x:f>
        <x:v>0</x:v>
      </x:c>
      <x:c r="CI165" s="23" t="n">
        <x:f>MAX(0,MIN('Activities'!L165,498)-MAX('Activities'!K165,492))</x:f>
        <x:v>0</x:v>
      </x:c>
      <x:c r="CJ165" s="23" t="n">
        <x:f>MAX(0,MIN('Activities'!L165,504)-MAX('Activities'!K165,498))</x:f>
        <x:v>0</x:v>
      </x:c>
      <x:c r="CK165" s="23" t="n">
        <x:f>MAX(0,MIN('Activities'!L165,510)-MAX('Activities'!K165,504))</x:f>
        <x:v>0</x:v>
      </x:c>
      <x:c r="CL165" s="23" t="n">
        <x:f>MAX(0,MIN('Activities'!L165,516)-MAX('Activities'!K165,510))</x:f>
        <x:v>0</x:v>
      </x:c>
      <x:c r="CM165" s="23" t="n">
        <x:f>MAX(0,MIN('Activities'!L165,522)-MAX('Activities'!K165,516))</x:f>
        <x:v>0</x:v>
      </x:c>
      <x:c r="CN165" s="23" t="n">
        <x:f>MAX(0,MIN('Activities'!L165,528)-MAX('Activities'!K165,522))</x:f>
        <x:v>0</x:v>
      </x:c>
      <x:c r="CO165" s="23" t="n">
        <x:f>MAX(0,MIN('Activities'!L165,534)-MAX('Activities'!K165,528))</x:f>
        <x:v>0</x:v>
      </x:c>
      <x:c r="CP165" s="23" t="n">
        <x:f>MAX(0,MIN('Activities'!L165,540)-MAX('Activities'!K165,534))</x:f>
        <x:v>0</x:v>
      </x:c>
      <x:c r="CQ165" s="23" t="n">
        <x:f>MAX(0,MIN('Activities'!L165,546)-MAX('Activities'!K165,540))</x:f>
        <x:v>0</x:v>
      </x:c>
      <x:c r="CR165" s="23" t="n">
        <x:f>MAX(0,MIN('Activities'!L165,552)-MAX('Activities'!K165,546))</x:f>
        <x:v>0</x:v>
      </x:c>
      <x:c r="CS165" s="23" t="n">
        <x:f>MAX(0,MIN('Activities'!L165,558)-MAX('Activities'!K165,552))</x:f>
        <x:v>0</x:v>
      </x:c>
      <x:c r="CT165" s="23" t="n">
        <x:f>MAX(0,MIN('Activities'!L165,564)-MAX('Activities'!K165,558))</x:f>
        <x:v>0</x:v>
      </x:c>
      <x:c r="CU165" s="23" t="n">
        <x:f>MAX(0,MIN('Activities'!L165,570)-MAX('Activities'!K165,564))</x:f>
        <x:v>0</x:v>
      </x:c>
      <x:c r="CV165" s="23" t="n">
        <x:f>MAX(0,MIN('Activities'!L165,576)-MAX('Activities'!K165,570))</x:f>
        <x:v>0</x:v>
      </x:c>
      <x:c r="CW165" s="23" t="n">
        <x:f>MAX(0,MIN('Activities'!L165,582)-MAX('Activities'!K165,576))</x:f>
        <x:v>0</x:v>
      </x:c>
      <x:c r="CX165" s="23" t="n">
        <x:f>MAX(0,MIN('Activities'!L165,588)-MAX('Activities'!K165,582))</x:f>
        <x:v>0</x:v>
      </x:c>
      <x:c r="CY165" s="23" t="n">
        <x:f>MAX(0,MIN('Activities'!L165,594)-MAX('Activities'!K165,588))</x:f>
        <x:v>0</x:v>
      </x:c>
      <x:c r="CZ165" s="23" t="n">
        <x:f>MAX(0,MIN('Activities'!L165,600)-MAX('Activities'!K165,594))</x:f>
        <x:v>0</x:v>
      </x:c>
      <x:c r="DA165" s="23" t="n">
        <x:f>MAX(0,MIN('Activities'!L165,606)-MAX('Activities'!K165,600))</x:f>
        <x:v>0</x:v>
      </x:c>
      <x:c r="DB165" s="23" t="n">
        <x:f>MAX(0,MIN('Activities'!L165,612)-MAX('Activities'!K165,606))</x:f>
        <x:v>0</x:v>
      </x:c>
      <x:c r="DC165" s="23" t="n">
        <x:f>MAX(0,MIN('Activities'!L165,618)-MAX('Activities'!K165,612))</x:f>
        <x:v>0</x:v>
      </x:c>
      <x:c r="DD165" s="23" t="n">
        <x:f>MAX(0,MIN('Activities'!L165,624)-MAX('Activities'!K165,618))</x:f>
        <x:v>0</x:v>
      </x:c>
      <x:c r="DE165" s="23" t="n">
        <x:f>MAX(0,MIN('Activities'!L165,630)-MAX('Activities'!K165,624))</x:f>
        <x:v>0</x:v>
      </x:c>
      <x:c r="DF165" s="23" t="n">
        <x:f>MAX(0,MIN('Activities'!L165,636)-MAX('Activities'!K165,630))</x:f>
        <x:v>0</x:v>
      </x:c>
    </x:row>
    <x:row r="166" ht="23" customHeight="1">
      <x:c r="A166" s="6" t="str">
        <x:v>T2-L04-R</x:v>
      </x:c>
      <x:c r="B166" s="6" t="str">
        <x:v>T2</x:v>
      </x:c>
      <x:c r="C166" s="6" t="str">
        <x:v>Column, wall, beam and slab reinforcement</x:v>
      </x:c>
      <x:c r="D166" s="6" t="str">
        <x:v>Rebar</x:v>
      </x:c>
      <x:c r="E166" s="22" t="n">
        <x:f>MAX(0,MIN('Activities'!L166,6)-MAX('Activities'!K166,0))</x:f>
        <x:v>0</x:v>
      </x:c>
      <x:c r="F166" s="22" t="n">
        <x:f>MAX(0,MIN('Activities'!L166,12)-MAX('Activities'!K166,6))</x:f>
        <x:v>0</x:v>
      </x:c>
      <x:c r="G166" s="22" t="n">
        <x:f>MAX(0,MIN('Activities'!L166,18)-MAX('Activities'!K166,12))</x:f>
        <x:v>0</x:v>
      </x:c>
      <x:c r="H166" s="22" t="n">
        <x:f>MAX(0,MIN('Activities'!L166,24)-MAX('Activities'!K166,18))</x:f>
        <x:v>0</x:v>
      </x:c>
      <x:c r="I166" s="22" t="n">
        <x:f>MAX(0,MIN('Activities'!L166,30)-MAX('Activities'!K166,24))</x:f>
        <x:v>0</x:v>
      </x:c>
      <x:c r="J166" s="22" t="n">
        <x:f>MAX(0,MIN('Activities'!L166,36)-MAX('Activities'!K166,30))</x:f>
        <x:v>0</x:v>
      </x:c>
      <x:c r="K166" s="22" t="n">
        <x:f>MAX(0,MIN('Activities'!L166,42)-MAX('Activities'!K166,36))</x:f>
        <x:v>0</x:v>
      </x:c>
      <x:c r="L166" s="22" t="n">
        <x:f>MAX(0,MIN('Activities'!L166,48)-MAX('Activities'!K166,42))</x:f>
        <x:v>0</x:v>
      </x:c>
      <x:c r="M166" s="22" t="n">
        <x:f>MAX(0,MIN('Activities'!L166,54)-MAX('Activities'!K166,48))</x:f>
        <x:v>0</x:v>
      </x:c>
      <x:c r="N166" s="22" t="n">
        <x:f>MAX(0,MIN('Activities'!L166,60)-MAX('Activities'!K166,54))</x:f>
        <x:v>0</x:v>
      </x:c>
      <x:c r="O166" s="22" t="n">
        <x:f>MAX(0,MIN('Activities'!L166,66)-MAX('Activities'!K166,60))</x:f>
        <x:v>0</x:v>
      </x:c>
      <x:c r="P166" s="22" t="n">
        <x:f>MAX(0,MIN('Activities'!L166,72)-MAX('Activities'!K166,66))</x:f>
        <x:v>0</x:v>
      </x:c>
      <x:c r="Q166" s="22" t="n">
        <x:f>MAX(0,MIN('Activities'!L166,78)-MAX('Activities'!K166,72))</x:f>
        <x:v>0</x:v>
      </x:c>
      <x:c r="R166" s="22" t="n">
        <x:f>MAX(0,MIN('Activities'!L166,84)-MAX('Activities'!K166,78))</x:f>
        <x:v>0</x:v>
      </x:c>
      <x:c r="S166" s="22" t="n">
        <x:f>MAX(0,MIN('Activities'!L166,90)-MAX('Activities'!K166,84))</x:f>
        <x:v>0</x:v>
      </x:c>
      <x:c r="T166" s="22" t="n">
        <x:f>MAX(0,MIN('Activities'!L166,96)-MAX('Activities'!K166,90))</x:f>
        <x:v>0</x:v>
      </x:c>
      <x:c r="U166" s="22" t="n">
        <x:f>MAX(0,MIN('Activities'!L166,102)-MAX('Activities'!K166,96))</x:f>
        <x:v>0</x:v>
      </x:c>
      <x:c r="V166" s="22" t="n">
        <x:f>MAX(0,MIN('Activities'!L166,108)-MAX('Activities'!K166,102))</x:f>
        <x:v>0</x:v>
      </x:c>
      <x:c r="W166" s="22" t="n">
        <x:f>MAX(0,MIN('Activities'!L166,114)-MAX('Activities'!K166,108))</x:f>
        <x:v>0</x:v>
      </x:c>
      <x:c r="X166" s="22" t="n">
        <x:f>MAX(0,MIN('Activities'!L166,120)-MAX('Activities'!K166,114))</x:f>
        <x:v>0</x:v>
      </x:c>
      <x:c r="Y166" s="22" t="n">
        <x:f>MAX(0,MIN('Activities'!L166,126)-MAX('Activities'!K166,120))</x:f>
        <x:v>0</x:v>
      </x:c>
      <x:c r="Z166" s="22" t="n">
        <x:f>MAX(0,MIN('Activities'!L166,132)-MAX('Activities'!K166,126))</x:f>
        <x:v>0</x:v>
      </x:c>
      <x:c r="AA166" s="22" t="n">
        <x:f>MAX(0,MIN('Activities'!L166,138)-MAX('Activities'!K166,132))</x:f>
        <x:v>0</x:v>
      </x:c>
      <x:c r="AB166" s="22" t="n">
        <x:f>MAX(0,MIN('Activities'!L166,144)-MAX('Activities'!K166,138))</x:f>
        <x:v>0</x:v>
      </x:c>
      <x:c r="AC166" s="22" t="n">
        <x:f>MAX(0,MIN('Activities'!L166,150)-MAX('Activities'!K166,144))</x:f>
        <x:v>0</x:v>
      </x:c>
      <x:c r="AD166" s="22" t="n">
        <x:f>MAX(0,MIN('Activities'!L166,156)-MAX('Activities'!K166,150))</x:f>
        <x:v>0</x:v>
      </x:c>
      <x:c r="AE166" s="22" t="n">
        <x:f>MAX(0,MIN('Activities'!L166,162)-MAX('Activities'!K166,156))</x:f>
        <x:v>0</x:v>
      </x:c>
      <x:c r="AF166" s="22" t="n">
        <x:f>MAX(0,MIN('Activities'!L166,168)-MAX('Activities'!K166,162))</x:f>
        <x:v>0</x:v>
      </x:c>
      <x:c r="AG166" s="22" t="n">
        <x:f>MAX(0,MIN('Activities'!L166,174)-MAX('Activities'!K166,168))</x:f>
        <x:v>0</x:v>
      </x:c>
      <x:c r="AH166" s="22" t="n">
        <x:f>MAX(0,MIN('Activities'!L166,180)-MAX('Activities'!K166,174))</x:f>
        <x:v>0</x:v>
      </x:c>
      <x:c r="AI166" s="22" t="n">
        <x:f>MAX(0,MIN('Activities'!L166,186)-MAX('Activities'!K166,180))</x:f>
        <x:v>0</x:v>
      </x:c>
      <x:c r="AJ166" s="22" t="n">
        <x:f>MAX(0,MIN('Activities'!L166,192)-MAX('Activities'!K166,186))</x:f>
        <x:v>0</x:v>
      </x:c>
      <x:c r="AK166" s="22" t="n">
        <x:f>MAX(0,MIN('Activities'!L166,198)-MAX('Activities'!K166,192))</x:f>
        <x:v>0</x:v>
      </x:c>
      <x:c r="AL166" s="22" t="n">
        <x:f>MAX(0,MIN('Activities'!L166,204)-MAX('Activities'!K166,198))</x:f>
        <x:v>0</x:v>
      </x:c>
      <x:c r="AM166" s="22" t="n">
        <x:f>MAX(0,MIN('Activities'!L166,210)-MAX('Activities'!K166,204))</x:f>
        <x:v>0</x:v>
      </x:c>
      <x:c r="AN166" s="22" t="n">
        <x:f>MAX(0,MIN('Activities'!L166,216)-MAX('Activities'!K166,210))</x:f>
        <x:v>0</x:v>
      </x:c>
      <x:c r="AO166" s="22" t="n">
        <x:f>MAX(0,MIN('Activities'!L166,222)-MAX('Activities'!K166,216))</x:f>
        <x:v>0</x:v>
      </x:c>
      <x:c r="AP166" s="22" t="n">
        <x:f>MAX(0,MIN('Activities'!L166,228)-MAX('Activities'!K166,222))</x:f>
        <x:v>4</x:v>
      </x:c>
      <x:c r="AQ166" s="22" t="n">
        <x:f>MAX(0,MIN('Activities'!L166,234)-MAX('Activities'!K166,228))</x:f>
        <x:v>1</x:v>
      </x:c>
      <x:c r="AR166" s="22" t="n">
        <x:f>MAX(0,MIN('Activities'!L166,240)-MAX('Activities'!K166,234))</x:f>
        <x:v>0</x:v>
      </x:c>
      <x:c r="AS166" s="22" t="n">
        <x:f>MAX(0,MIN('Activities'!L166,246)-MAX('Activities'!K166,240))</x:f>
        <x:v>0</x:v>
      </x:c>
      <x:c r="AT166" s="22" t="n">
        <x:f>MAX(0,MIN('Activities'!L166,252)-MAX('Activities'!K166,246))</x:f>
        <x:v>0</x:v>
      </x:c>
      <x:c r="AU166" s="22" t="n">
        <x:f>MAX(0,MIN('Activities'!L166,258)-MAX('Activities'!K166,252))</x:f>
        <x:v>0</x:v>
      </x:c>
      <x:c r="AV166" s="22" t="n">
        <x:f>MAX(0,MIN('Activities'!L166,264)-MAX('Activities'!K166,258))</x:f>
        <x:v>0</x:v>
      </x:c>
      <x:c r="AW166" s="22" t="n">
        <x:f>MAX(0,MIN('Activities'!L166,270)-MAX('Activities'!K166,264))</x:f>
        <x:v>0</x:v>
      </x:c>
      <x:c r="AX166" s="22" t="n">
        <x:f>MAX(0,MIN('Activities'!L166,276)-MAX('Activities'!K166,270))</x:f>
        <x:v>0</x:v>
      </x:c>
      <x:c r="AY166" s="22" t="n">
        <x:f>MAX(0,MIN('Activities'!L166,282)-MAX('Activities'!K166,276))</x:f>
        <x:v>0</x:v>
      </x:c>
      <x:c r="AZ166" s="22" t="n">
        <x:f>MAX(0,MIN('Activities'!L166,288)-MAX('Activities'!K166,282))</x:f>
        <x:v>0</x:v>
      </x:c>
      <x:c r="BA166" s="22" t="n">
        <x:f>MAX(0,MIN('Activities'!L166,294)-MAX('Activities'!K166,288))</x:f>
        <x:v>0</x:v>
      </x:c>
      <x:c r="BB166" s="22" t="n">
        <x:f>MAX(0,MIN('Activities'!L166,300)-MAX('Activities'!K166,294))</x:f>
        <x:v>0</x:v>
      </x:c>
      <x:c r="BC166" s="22" t="n">
        <x:f>MAX(0,MIN('Activities'!L166,306)-MAX('Activities'!K166,300))</x:f>
        <x:v>0</x:v>
      </x:c>
      <x:c r="BD166" s="22" t="n">
        <x:f>MAX(0,MIN('Activities'!L166,312)-MAX('Activities'!K166,306))</x:f>
        <x:v>0</x:v>
      </x:c>
      <x:c r="BE166" s="22" t="n">
        <x:f>MAX(0,MIN('Activities'!L166,318)-MAX('Activities'!K166,312))</x:f>
        <x:v>0</x:v>
      </x:c>
      <x:c r="BF166" s="22" t="n">
        <x:f>MAX(0,MIN('Activities'!L166,324)-MAX('Activities'!K166,318))</x:f>
        <x:v>0</x:v>
      </x:c>
      <x:c r="BG166" s="22" t="n">
        <x:f>MAX(0,MIN('Activities'!L166,330)-MAX('Activities'!K166,324))</x:f>
        <x:v>0</x:v>
      </x:c>
      <x:c r="BH166" s="22" t="n">
        <x:f>MAX(0,MIN('Activities'!L166,336)-MAX('Activities'!K166,330))</x:f>
        <x:v>0</x:v>
      </x:c>
      <x:c r="BI166" s="22" t="n">
        <x:f>MAX(0,MIN('Activities'!L166,342)-MAX('Activities'!K166,336))</x:f>
        <x:v>0</x:v>
      </x:c>
      <x:c r="BJ166" s="22" t="n">
        <x:f>MAX(0,MIN('Activities'!L166,348)-MAX('Activities'!K166,342))</x:f>
        <x:v>0</x:v>
      </x:c>
      <x:c r="BK166" s="22" t="n">
        <x:f>MAX(0,MIN('Activities'!L166,354)-MAX('Activities'!K166,348))</x:f>
        <x:v>0</x:v>
      </x:c>
      <x:c r="BL166" s="22" t="n">
        <x:f>MAX(0,MIN('Activities'!L166,360)-MAX('Activities'!K166,354))</x:f>
        <x:v>0</x:v>
      </x:c>
      <x:c r="BM166" s="22" t="n">
        <x:f>MAX(0,MIN('Activities'!L166,366)-MAX('Activities'!K166,360))</x:f>
        <x:v>0</x:v>
      </x:c>
      <x:c r="BN166" s="22" t="n">
        <x:f>MAX(0,MIN('Activities'!L166,372)-MAX('Activities'!K166,366))</x:f>
        <x:v>0</x:v>
      </x:c>
      <x:c r="BO166" s="22" t="n">
        <x:f>MAX(0,MIN('Activities'!L166,378)-MAX('Activities'!K166,372))</x:f>
        <x:v>0</x:v>
      </x:c>
      <x:c r="BP166" s="22" t="n">
        <x:f>MAX(0,MIN('Activities'!L166,384)-MAX('Activities'!K166,378))</x:f>
        <x:v>0</x:v>
      </x:c>
      <x:c r="BQ166" s="22" t="n">
        <x:f>MAX(0,MIN('Activities'!L166,390)-MAX('Activities'!K166,384))</x:f>
        <x:v>0</x:v>
      </x:c>
      <x:c r="BR166" s="22" t="n">
        <x:f>MAX(0,MIN('Activities'!L166,396)-MAX('Activities'!K166,390))</x:f>
        <x:v>0</x:v>
      </x:c>
      <x:c r="BS166" s="22" t="n">
        <x:f>MAX(0,MIN('Activities'!L166,402)-MAX('Activities'!K166,396))</x:f>
        <x:v>0</x:v>
      </x:c>
      <x:c r="BT166" s="22" t="n">
        <x:f>MAX(0,MIN('Activities'!L166,408)-MAX('Activities'!K166,402))</x:f>
        <x:v>0</x:v>
      </x:c>
      <x:c r="BU166" s="22" t="n">
        <x:f>MAX(0,MIN('Activities'!L166,414)-MAX('Activities'!K166,408))</x:f>
        <x:v>0</x:v>
      </x:c>
      <x:c r="BV166" s="22" t="n">
        <x:f>MAX(0,MIN('Activities'!L166,420)-MAX('Activities'!K166,414))</x:f>
        <x:v>0</x:v>
      </x:c>
      <x:c r="BW166" s="22" t="n">
        <x:f>MAX(0,MIN('Activities'!L166,426)-MAX('Activities'!K166,420))</x:f>
        <x:v>0</x:v>
      </x:c>
      <x:c r="BX166" s="22" t="n">
        <x:f>MAX(0,MIN('Activities'!L166,432)-MAX('Activities'!K166,426))</x:f>
        <x:v>0</x:v>
      </x:c>
      <x:c r="BY166" s="22" t="n">
        <x:f>MAX(0,MIN('Activities'!L166,438)-MAX('Activities'!K166,432))</x:f>
        <x:v>0</x:v>
      </x:c>
      <x:c r="BZ166" s="22" t="n">
        <x:f>MAX(0,MIN('Activities'!L166,444)-MAX('Activities'!K166,438))</x:f>
        <x:v>0</x:v>
      </x:c>
      <x:c r="CA166" s="22" t="n">
        <x:f>MAX(0,MIN('Activities'!L166,450)-MAX('Activities'!K166,444))</x:f>
        <x:v>0</x:v>
      </x:c>
      <x:c r="CB166" s="22" t="n">
        <x:f>MAX(0,MIN('Activities'!L166,456)-MAX('Activities'!K166,450))</x:f>
        <x:v>0</x:v>
      </x:c>
      <x:c r="CC166" s="22" t="n">
        <x:f>MAX(0,MIN('Activities'!L166,462)-MAX('Activities'!K166,456))</x:f>
        <x:v>0</x:v>
      </x:c>
      <x:c r="CD166" s="22" t="n">
        <x:f>MAX(0,MIN('Activities'!L166,468)-MAX('Activities'!K166,462))</x:f>
        <x:v>0</x:v>
      </x:c>
      <x:c r="CE166" s="22" t="n">
        <x:f>MAX(0,MIN('Activities'!L166,474)-MAX('Activities'!K166,468))</x:f>
        <x:v>0</x:v>
      </x:c>
      <x:c r="CF166" s="22" t="n">
        <x:f>MAX(0,MIN('Activities'!L166,480)-MAX('Activities'!K166,474))</x:f>
        <x:v>0</x:v>
      </x:c>
      <x:c r="CG166" s="22" t="n">
        <x:f>MAX(0,MIN('Activities'!L166,486)-MAX('Activities'!K166,480))</x:f>
        <x:v>0</x:v>
      </x:c>
      <x:c r="CH166" s="22" t="n">
        <x:f>MAX(0,MIN('Activities'!L166,492)-MAX('Activities'!K166,486))</x:f>
        <x:v>0</x:v>
      </x:c>
      <x:c r="CI166" s="22" t="n">
        <x:f>MAX(0,MIN('Activities'!L166,498)-MAX('Activities'!K166,492))</x:f>
        <x:v>0</x:v>
      </x:c>
      <x:c r="CJ166" s="22" t="n">
        <x:f>MAX(0,MIN('Activities'!L166,504)-MAX('Activities'!K166,498))</x:f>
        <x:v>0</x:v>
      </x:c>
      <x:c r="CK166" s="22" t="n">
        <x:f>MAX(0,MIN('Activities'!L166,510)-MAX('Activities'!K166,504))</x:f>
        <x:v>0</x:v>
      </x:c>
      <x:c r="CL166" s="22" t="n">
        <x:f>MAX(0,MIN('Activities'!L166,516)-MAX('Activities'!K166,510))</x:f>
        <x:v>0</x:v>
      </x:c>
      <x:c r="CM166" s="22" t="n">
        <x:f>MAX(0,MIN('Activities'!L166,522)-MAX('Activities'!K166,516))</x:f>
        <x:v>0</x:v>
      </x:c>
      <x:c r="CN166" s="22" t="n">
        <x:f>MAX(0,MIN('Activities'!L166,528)-MAX('Activities'!K166,522))</x:f>
        <x:v>0</x:v>
      </x:c>
      <x:c r="CO166" s="22" t="n">
        <x:f>MAX(0,MIN('Activities'!L166,534)-MAX('Activities'!K166,528))</x:f>
        <x:v>0</x:v>
      </x:c>
      <x:c r="CP166" s="22" t="n">
        <x:f>MAX(0,MIN('Activities'!L166,540)-MAX('Activities'!K166,534))</x:f>
        <x:v>0</x:v>
      </x:c>
      <x:c r="CQ166" s="22" t="n">
        <x:f>MAX(0,MIN('Activities'!L166,546)-MAX('Activities'!K166,540))</x:f>
        <x:v>0</x:v>
      </x:c>
      <x:c r="CR166" s="22" t="n">
        <x:f>MAX(0,MIN('Activities'!L166,552)-MAX('Activities'!K166,546))</x:f>
        <x:v>0</x:v>
      </x:c>
      <x:c r="CS166" s="22" t="n">
        <x:f>MAX(0,MIN('Activities'!L166,558)-MAX('Activities'!K166,552))</x:f>
        <x:v>0</x:v>
      </x:c>
      <x:c r="CT166" s="22" t="n">
        <x:f>MAX(0,MIN('Activities'!L166,564)-MAX('Activities'!K166,558))</x:f>
        <x:v>0</x:v>
      </x:c>
      <x:c r="CU166" s="22" t="n">
        <x:f>MAX(0,MIN('Activities'!L166,570)-MAX('Activities'!K166,564))</x:f>
        <x:v>0</x:v>
      </x:c>
      <x:c r="CV166" s="22" t="n">
        <x:f>MAX(0,MIN('Activities'!L166,576)-MAX('Activities'!K166,570))</x:f>
        <x:v>0</x:v>
      </x:c>
      <x:c r="CW166" s="22" t="n">
        <x:f>MAX(0,MIN('Activities'!L166,582)-MAX('Activities'!K166,576))</x:f>
        <x:v>0</x:v>
      </x:c>
      <x:c r="CX166" s="22" t="n">
        <x:f>MAX(0,MIN('Activities'!L166,588)-MAX('Activities'!K166,582))</x:f>
        <x:v>0</x:v>
      </x:c>
      <x:c r="CY166" s="22" t="n">
        <x:f>MAX(0,MIN('Activities'!L166,594)-MAX('Activities'!K166,588))</x:f>
        <x:v>0</x:v>
      </x:c>
      <x:c r="CZ166" s="22" t="n">
        <x:f>MAX(0,MIN('Activities'!L166,600)-MAX('Activities'!K166,594))</x:f>
        <x:v>0</x:v>
      </x:c>
      <x:c r="DA166" s="22" t="n">
        <x:f>MAX(0,MIN('Activities'!L166,606)-MAX('Activities'!K166,600))</x:f>
        <x:v>0</x:v>
      </x:c>
      <x:c r="DB166" s="22" t="n">
        <x:f>MAX(0,MIN('Activities'!L166,612)-MAX('Activities'!K166,606))</x:f>
        <x:v>0</x:v>
      </x:c>
      <x:c r="DC166" s="22" t="n">
        <x:f>MAX(0,MIN('Activities'!L166,618)-MAX('Activities'!K166,612))</x:f>
        <x:v>0</x:v>
      </x:c>
      <x:c r="DD166" s="22" t="n">
        <x:f>MAX(0,MIN('Activities'!L166,624)-MAX('Activities'!K166,618))</x:f>
        <x:v>0</x:v>
      </x:c>
      <x:c r="DE166" s="22" t="n">
        <x:f>MAX(0,MIN('Activities'!L166,630)-MAX('Activities'!K166,624))</x:f>
        <x:v>0</x:v>
      </x:c>
      <x:c r="DF166" s="22" t="n">
        <x:f>MAX(0,MIN('Activities'!L166,636)-MAX('Activities'!K166,630))</x:f>
        <x:v>0</x:v>
      </x:c>
    </x:row>
    <x:row r="167" ht="23" customHeight="1">
      <x:c r="A167" s="1" t="str">
        <x:v>T2-L04-C</x:v>
      </x:c>
      <x:c r="B167" s="1" t="str">
        <x:v>T2</x:v>
      </x:c>
      <x:c r="C167" s="1" t="str">
        <x:v>Concrete placement and finishing</x:v>
      </x:c>
      <x:c r="D167" s="1" t="str">
        <x:v>Concrete</x:v>
      </x:c>
      <x:c r="E167" s="23" t="n">
        <x:f>MAX(0,MIN('Activities'!L167,6)-MAX('Activities'!K167,0))</x:f>
        <x:v>0</x:v>
      </x:c>
      <x:c r="F167" s="23" t="n">
        <x:f>MAX(0,MIN('Activities'!L167,12)-MAX('Activities'!K167,6))</x:f>
        <x:v>0</x:v>
      </x:c>
      <x:c r="G167" s="23" t="n">
        <x:f>MAX(0,MIN('Activities'!L167,18)-MAX('Activities'!K167,12))</x:f>
        <x:v>0</x:v>
      </x:c>
      <x:c r="H167" s="23" t="n">
        <x:f>MAX(0,MIN('Activities'!L167,24)-MAX('Activities'!K167,18))</x:f>
        <x:v>0</x:v>
      </x:c>
      <x:c r="I167" s="23" t="n">
        <x:f>MAX(0,MIN('Activities'!L167,30)-MAX('Activities'!K167,24))</x:f>
        <x:v>0</x:v>
      </x:c>
      <x:c r="J167" s="23" t="n">
        <x:f>MAX(0,MIN('Activities'!L167,36)-MAX('Activities'!K167,30))</x:f>
        <x:v>0</x:v>
      </x:c>
      <x:c r="K167" s="23" t="n">
        <x:f>MAX(0,MIN('Activities'!L167,42)-MAX('Activities'!K167,36))</x:f>
        <x:v>0</x:v>
      </x:c>
      <x:c r="L167" s="23" t="n">
        <x:f>MAX(0,MIN('Activities'!L167,48)-MAX('Activities'!K167,42))</x:f>
        <x:v>0</x:v>
      </x:c>
      <x:c r="M167" s="23" t="n">
        <x:f>MAX(0,MIN('Activities'!L167,54)-MAX('Activities'!K167,48))</x:f>
        <x:v>0</x:v>
      </x:c>
      <x:c r="N167" s="23" t="n">
        <x:f>MAX(0,MIN('Activities'!L167,60)-MAX('Activities'!K167,54))</x:f>
        <x:v>0</x:v>
      </x:c>
      <x:c r="O167" s="23" t="n">
        <x:f>MAX(0,MIN('Activities'!L167,66)-MAX('Activities'!K167,60))</x:f>
        <x:v>0</x:v>
      </x:c>
      <x:c r="P167" s="23" t="n">
        <x:f>MAX(0,MIN('Activities'!L167,72)-MAX('Activities'!K167,66))</x:f>
        <x:v>0</x:v>
      </x:c>
      <x:c r="Q167" s="23" t="n">
        <x:f>MAX(0,MIN('Activities'!L167,78)-MAX('Activities'!K167,72))</x:f>
        <x:v>0</x:v>
      </x:c>
      <x:c r="R167" s="23" t="n">
        <x:f>MAX(0,MIN('Activities'!L167,84)-MAX('Activities'!K167,78))</x:f>
        <x:v>0</x:v>
      </x:c>
      <x:c r="S167" s="23" t="n">
        <x:f>MAX(0,MIN('Activities'!L167,90)-MAX('Activities'!K167,84))</x:f>
        <x:v>0</x:v>
      </x:c>
      <x:c r="T167" s="23" t="n">
        <x:f>MAX(0,MIN('Activities'!L167,96)-MAX('Activities'!K167,90))</x:f>
        <x:v>0</x:v>
      </x:c>
      <x:c r="U167" s="23" t="n">
        <x:f>MAX(0,MIN('Activities'!L167,102)-MAX('Activities'!K167,96))</x:f>
        <x:v>0</x:v>
      </x:c>
      <x:c r="V167" s="23" t="n">
        <x:f>MAX(0,MIN('Activities'!L167,108)-MAX('Activities'!K167,102))</x:f>
        <x:v>0</x:v>
      </x:c>
      <x:c r="W167" s="23" t="n">
        <x:f>MAX(0,MIN('Activities'!L167,114)-MAX('Activities'!K167,108))</x:f>
        <x:v>0</x:v>
      </x:c>
      <x:c r="X167" s="23" t="n">
        <x:f>MAX(0,MIN('Activities'!L167,120)-MAX('Activities'!K167,114))</x:f>
        <x:v>0</x:v>
      </x:c>
      <x:c r="Y167" s="23" t="n">
        <x:f>MAX(0,MIN('Activities'!L167,126)-MAX('Activities'!K167,120))</x:f>
        <x:v>0</x:v>
      </x:c>
      <x:c r="Z167" s="23" t="n">
        <x:f>MAX(0,MIN('Activities'!L167,132)-MAX('Activities'!K167,126))</x:f>
        <x:v>0</x:v>
      </x:c>
      <x:c r="AA167" s="23" t="n">
        <x:f>MAX(0,MIN('Activities'!L167,138)-MAX('Activities'!K167,132))</x:f>
        <x:v>0</x:v>
      </x:c>
      <x:c r="AB167" s="23" t="n">
        <x:f>MAX(0,MIN('Activities'!L167,144)-MAX('Activities'!K167,138))</x:f>
        <x:v>0</x:v>
      </x:c>
      <x:c r="AC167" s="23" t="n">
        <x:f>MAX(0,MIN('Activities'!L167,150)-MAX('Activities'!K167,144))</x:f>
        <x:v>0</x:v>
      </x:c>
      <x:c r="AD167" s="23" t="n">
        <x:f>MAX(0,MIN('Activities'!L167,156)-MAX('Activities'!K167,150))</x:f>
        <x:v>0</x:v>
      </x:c>
      <x:c r="AE167" s="23" t="n">
        <x:f>MAX(0,MIN('Activities'!L167,162)-MAX('Activities'!K167,156))</x:f>
        <x:v>0</x:v>
      </x:c>
      <x:c r="AF167" s="23" t="n">
        <x:f>MAX(0,MIN('Activities'!L167,168)-MAX('Activities'!K167,162))</x:f>
        <x:v>0</x:v>
      </x:c>
      <x:c r="AG167" s="23" t="n">
        <x:f>MAX(0,MIN('Activities'!L167,174)-MAX('Activities'!K167,168))</x:f>
        <x:v>0</x:v>
      </x:c>
      <x:c r="AH167" s="23" t="n">
        <x:f>MAX(0,MIN('Activities'!L167,180)-MAX('Activities'!K167,174))</x:f>
        <x:v>0</x:v>
      </x:c>
      <x:c r="AI167" s="23" t="n">
        <x:f>MAX(0,MIN('Activities'!L167,186)-MAX('Activities'!K167,180))</x:f>
        <x:v>0</x:v>
      </x:c>
      <x:c r="AJ167" s="23" t="n">
        <x:f>MAX(0,MIN('Activities'!L167,192)-MAX('Activities'!K167,186))</x:f>
        <x:v>0</x:v>
      </x:c>
      <x:c r="AK167" s="23" t="n">
        <x:f>MAX(0,MIN('Activities'!L167,198)-MAX('Activities'!K167,192))</x:f>
        <x:v>0</x:v>
      </x:c>
      <x:c r="AL167" s="23" t="n">
        <x:f>MAX(0,MIN('Activities'!L167,204)-MAX('Activities'!K167,198))</x:f>
        <x:v>0</x:v>
      </x:c>
      <x:c r="AM167" s="23" t="n">
        <x:f>MAX(0,MIN('Activities'!L167,210)-MAX('Activities'!K167,204))</x:f>
        <x:v>0</x:v>
      </x:c>
      <x:c r="AN167" s="23" t="n">
        <x:f>MAX(0,MIN('Activities'!L167,216)-MAX('Activities'!K167,210))</x:f>
        <x:v>0</x:v>
      </x:c>
      <x:c r="AO167" s="23" t="n">
        <x:f>MAX(0,MIN('Activities'!L167,222)-MAX('Activities'!K167,216))</x:f>
        <x:v>0</x:v>
      </x:c>
      <x:c r="AP167" s="23" t="n">
        <x:f>MAX(0,MIN('Activities'!L167,228)-MAX('Activities'!K167,222))</x:f>
        <x:v>0</x:v>
      </x:c>
      <x:c r="AQ167" s="23" t="n">
        <x:f>MAX(0,MIN('Activities'!L167,234)-MAX('Activities'!K167,228))</x:f>
        <x:v>2</x:v>
      </x:c>
      <x:c r="AR167" s="23" t="n">
        <x:f>MAX(0,MIN('Activities'!L167,240)-MAX('Activities'!K167,234))</x:f>
        <x:v>0</x:v>
      </x:c>
      <x:c r="AS167" s="23" t="n">
        <x:f>MAX(0,MIN('Activities'!L167,246)-MAX('Activities'!K167,240))</x:f>
        <x:v>0</x:v>
      </x:c>
      <x:c r="AT167" s="23" t="n">
        <x:f>MAX(0,MIN('Activities'!L167,252)-MAX('Activities'!K167,246))</x:f>
        <x:v>0</x:v>
      </x:c>
      <x:c r="AU167" s="23" t="n">
        <x:f>MAX(0,MIN('Activities'!L167,258)-MAX('Activities'!K167,252))</x:f>
        <x:v>0</x:v>
      </x:c>
      <x:c r="AV167" s="23" t="n">
        <x:f>MAX(0,MIN('Activities'!L167,264)-MAX('Activities'!K167,258))</x:f>
        <x:v>0</x:v>
      </x:c>
      <x:c r="AW167" s="23" t="n">
        <x:f>MAX(0,MIN('Activities'!L167,270)-MAX('Activities'!K167,264))</x:f>
        <x:v>0</x:v>
      </x:c>
      <x:c r="AX167" s="23" t="n">
        <x:f>MAX(0,MIN('Activities'!L167,276)-MAX('Activities'!K167,270))</x:f>
        <x:v>0</x:v>
      </x:c>
      <x:c r="AY167" s="23" t="n">
        <x:f>MAX(0,MIN('Activities'!L167,282)-MAX('Activities'!K167,276))</x:f>
        <x:v>0</x:v>
      </x:c>
      <x:c r="AZ167" s="23" t="n">
        <x:f>MAX(0,MIN('Activities'!L167,288)-MAX('Activities'!K167,282))</x:f>
        <x:v>0</x:v>
      </x:c>
      <x:c r="BA167" s="23" t="n">
        <x:f>MAX(0,MIN('Activities'!L167,294)-MAX('Activities'!K167,288))</x:f>
        <x:v>0</x:v>
      </x:c>
      <x:c r="BB167" s="23" t="n">
        <x:f>MAX(0,MIN('Activities'!L167,300)-MAX('Activities'!K167,294))</x:f>
        <x:v>0</x:v>
      </x:c>
      <x:c r="BC167" s="23" t="n">
        <x:f>MAX(0,MIN('Activities'!L167,306)-MAX('Activities'!K167,300))</x:f>
        <x:v>0</x:v>
      </x:c>
      <x:c r="BD167" s="23" t="n">
        <x:f>MAX(0,MIN('Activities'!L167,312)-MAX('Activities'!K167,306))</x:f>
        <x:v>0</x:v>
      </x:c>
      <x:c r="BE167" s="23" t="n">
        <x:f>MAX(0,MIN('Activities'!L167,318)-MAX('Activities'!K167,312))</x:f>
        <x:v>0</x:v>
      </x:c>
      <x:c r="BF167" s="23" t="n">
        <x:f>MAX(0,MIN('Activities'!L167,324)-MAX('Activities'!K167,318))</x:f>
        <x:v>0</x:v>
      </x:c>
      <x:c r="BG167" s="23" t="n">
        <x:f>MAX(0,MIN('Activities'!L167,330)-MAX('Activities'!K167,324))</x:f>
        <x:v>0</x:v>
      </x:c>
      <x:c r="BH167" s="23" t="n">
        <x:f>MAX(0,MIN('Activities'!L167,336)-MAX('Activities'!K167,330))</x:f>
        <x:v>0</x:v>
      </x:c>
      <x:c r="BI167" s="23" t="n">
        <x:f>MAX(0,MIN('Activities'!L167,342)-MAX('Activities'!K167,336))</x:f>
        <x:v>0</x:v>
      </x:c>
      <x:c r="BJ167" s="23" t="n">
        <x:f>MAX(0,MIN('Activities'!L167,348)-MAX('Activities'!K167,342))</x:f>
        <x:v>0</x:v>
      </x:c>
      <x:c r="BK167" s="23" t="n">
        <x:f>MAX(0,MIN('Activities'!L167,354)-MAX('Activities'!K167,348))</x:f>
        <x:v>0</x:v>
      </x:c>
      <x:c r="BL167" s="23" t="n">
        <x:f>MAX(0,MIN('Activities'!L167,360)-MAX('Activities'!K167,354))</x:f>
        <x:v>0</x:v>
      </x:c>
      <x:c r="BM167" s="23" t="n">
        <x:f>MAX(0,MIN('Activities'!L167,366)-MAX('Activities'!K167,360))</x:f>
        <x:v>0</x:v>
      </x:c>
      <x:c r="BN167" s="23" t="n">
        <x:f>MAX(0,MIN('Activities'!L167,372)-MAX('Activities'!K167,366))</x:f>
        <x:v>0</x:v>
      </x:c>
      <x:c r="BO167" s="23" t="n">
        <x:f>MAX(0,MIN('Activities'!L167,378)-MAX('Activities'!K167,372))</x:f>
        <x:v>0</x:v>
      </x:c>
      <x:c r="BP167" s="23" t="n">
        <x:f>MAX(0,MIN('Activities'!L167,384)-MAX('Activities'!K167,378))</x:f>
        <x:v>0</x:v>
      </x:c>
      <x:c r="BQ167" s="23" t="n">
        <x:f>MAX(0,MIN('Activities'!L167,390)-MAX('Activities'!K167,384))</x:f>
        <x:v>0</x:v>
      </x:c>
      <x:c r="BR167" s="23" t="n">
        <x:f>MAX(0,MIN('Activities'!L167,396)-MAX('Activities'!K167,390))</x:f>
        <x:v>0</x:v>
      </x:c>
      <x:c r="BS167" s="23" t="n">
        <x:f>MAX(0,MIN('Activities'!L167,402)-MAX('Activities'!K167,396))</x:f>
        <x:v>0</x:v>
      </x:c>
      <x:c r="BT167" s="23" t="n">
        <x:f>MAX(0,MIN('Activities'!L167,408)-MAX('Activities'!K167,402))</x:f>
        <x:v>0</x:v>
      </x:c>
      <x:c r="BU167" s="23" t="n">
        <x:f>MAX(0,MIN('Activities'!L167,414)-MAX('Activities'!K167,408))</x:f>
        <x:v>0</x:v>
      </x:c>
      <x:c r="BV167" s="23" t="n">
        <x:f>MAX(0,MIN('Activities'!L167,420)-MAX('Activities'!K167,414))</x:f>
        <x:v>0</x:v>
      </x:c>
      <x:c r="BW167" s="23" t="n">
        <x:f>MAX(0,MIN('Activities'!L167,426)-MAX('Activities'!K167,420))</x:f>
        <x:v>0</x:v>
      </x:c>
      <x:c r="BX167" s="23" t="n">
        <x:f>MAX(0,MIN('Activities'!L167,432)-MAX('Activities'!K167,426))</x:f>
        <x:v>0</x:v>
      </x:c>
      <x:c r="BY167" s="23" t="n">
        <x:f>MAX(0,MIN('Activities'!L167,438)-MAX('Activities'!K167,432))</x:f>
        <x:v>0</x:v>
      </x:c>
      <x:c r="BZ167" s="23" t="n">
        <x:f>MAX(0,MIN('Activities'!L167,444)-MAX('Activities'!K167,438))</x:f>
        <x:v>0</x:v>
      </x:c>
      <x:c r="CA167" s="23" t="n">
        <x:f>MAX(0,MIN('Activities'!L167,450)-MAX('Activities'!K167,444))</x:f>
        <x:v>0</x:v>
      </x:c>
      <x:c r="CB167" s="23" t="n">
        <x:f>MAX(0,MIN('Activities'!L167,456)-MAX('Activities'!K167,450))</x:f>
        <x:v>0</x:v>
      </x:c>
      <x:c r="CC167" s="23" t="n">
        <x:f>MAX(0,MIN('Activities'!L167,462)-MAX('Activities'!K167,456))</x:f>
        <x:v>0</x:v>
      </x:c>
      <x:c r="CD167" s="23" t="n">
        <x:f>MAX(0,MIN('Activities'!L167,468)-MAX('Activities'!K167,462))</x:f>
        <x:v>0</x:v>
      </x:c>
      <x:c r="CE167" s="23" t="n">
        <x:f>MAX(0,MIN('Activities'!L167,474)-MAX('Activities'!K167,468))</x:f>
        <x:v>0</x:v>
      </x:c>
      <x:c r="CF167" s="23" t="n">
        <x:f>MAX(0,MIN('Activities'!L167,480)-MAX('Activities'!K167,474))</x:f>
        <x:v>0</x:v>
      </x:c>
      <x:c r="CG167" s="23" t="n">
        <x:f>MAX(0,MIN('Activities'!L167,486)-MAX('Activities'!K167,480))</x:f>
        <x:v>0</x:v>
      </x:c>
      <x:c r="CH167" s="23" t="n">
        <x:f>MAX(0,MIN('Activities'!L167,492)-MAX('Activities'!K167,486))</x:f>
        <x:v>0</x:v>
      </x:c>
      <x:c r="CI167" s="23" t="n">
        <x:f>MAX(0,MIN('Activities'!L167,498)-MAX('Activities'!K167,492))</x:f>
        <x:v>0</x:v>
      </x:c>
      <x:c r="CJ167" s="23" t="n">
        <x:f>MAX(0,MIN('Activities'!L167,504)-MAX('Activities'!K167,498))</x:f>
        <x:v>0</x:v>
      </x:c>
      <x:c r="CK167" s="23" t="n">
        <x:f>MAX(0,MIN('Activities'!L167,510)-MAX('Activities'!K167,504))</x:f>
        <x:v>0</x:v>
      </x:c>
      <x:c r="CL167" s="23" t="n">
        <x:f>MAX(0,MIN('Activities'!L167,516)-MAX('Activities'!K167,510))</x:f>
        <x:v>0</x:v>
      </x:c>
      <x:c r="CM167" s="23" t="n">
        <x:f>MAX(0,MIN('Activities'!L167,522)-MAX('Activities'!K167,516))</x:f>
        <x:v>0</x:v>
      </x:c>
      <x:c r="CN167" s="23" t="n">
        <x:f>MAX(0,MIN('Activities'!L167,528)-MAX('Activities'!K167,522))</x:f>
        <x:v>0</x:v>
      </x:c>
      <x:c r="CO167" s="23" t="n">
        <x:f>MAX(0,MIN('Activities'!L167,534)-MAX('Activities'!K167,528))</x:f>
        <x:v>0</x:v>
      </x:c>
      <x:c r="CP167" s="23" t="n">
        <x:f>MAX(0,MIN('Activities'!L167,540)-MAX('Activities'!K167,534))</x:f>
        <x:v>0</x:v>
      </x:c>
      <x:c r="CQ167" s="23" t="n">
        <x:f>MAX(0,MIN('Activities'!L167,546)-MAX('Activities'!K167,540))</x:f>
        <x:v>0</x:v>
      </x:c>
      <x:c r="CR167" s="23" t="n">
        <x:f>MAX(0,MIN('Activities'!L167,552)-MAX('Activities'!K167,546))</x:f>
        <x:v>0</x:v>
      </x:c>
      <x:c r="CS167" s="23" t="n">
        <x:f>MAX(0,MIN('Activities'!L167,558)-MAX('Activities'!K167,552))</x:f>
        <x:v>0</x:v>
      </x:c>
      <x:c r="CT167" s="23" t="n">
        <x:f>MAX(0,MIN('Activities'!L167,564)-MAX('Activities'!K167,558))</x:f>
        <x:v>0</x:v>
      </x:c>
      <x:c r="CU167" s="23" t="n">
        <x:f>MAX(0,MIN('Activities'!L167,570)-MAX('Activities'!K167,564))</x:f>
        <x:v>0</x:v>
      </x:c>
      <x:c r="CV167" s="23" t="n">
        <x:f>MAX(0,MIN('Activities'!L167,576)-MAX('Activities'!K167,570))</x:f>
        <x:v>0</x:v>
      </x:c>
      <x:c r="CW167" s="23" t="n">
        <x:f>MAX(0,MIN('Activities'!L167,582)-MAX('Activities'!K167,576))</x:f>
        <x:v>0</x:v>
      </x:c>
      <x:c r="CX167" s="23" t="n">
        <x:f>MAX(0,MIN('Activities'!L167,588)-MAX('Activities'!K167,582))</x:f>
        <x:v>0</x:v>
      </x:c>
      <x:c r="CY167" s="23" t="n">
        <x:f>MAX(0,MIN('Activities'!L167,594)-MAX('Activities'!K167,588))</x:f>
        <x:v>0</x:v>
      </x:c>
      <x:c r="CZ167" s="23" t="n">
        <x:f>MAX(0,MIN('Activities'!L167,600)-MAX('Activities'!K167,594))</x:f>
        <x:v>0</x:v>
      </x:c>
      <x:c r="DA167" s="23" t="n">
        <x:f>MAX(0,MIN('Activities'!L167,606)-MAX('Activities'!K167,600))</x:f>
        <x:v>0</x:v>
      </x:c>
      <x:c r="DB167" s="23" t="n">
        <x:f>MAX(0,MIN('Activities'!L167,612)-MAX('Activities'!K167,606))</x:f>
        <x:v>0</x:v>
      </x:c>
      <x:c r="DC167" s="23" t="n">
        <x:f>MAX(0,MIN('Activities'!L167,618)-MAX('Activities'!K167,612))</x:f>
        <x:v>0</x:v>
      </x:c>
      <x:c r="DD167" s="23" t="n">
        <x:f>MAX(0,MIN('Activities'!L167,624)-MAX('Activities'!K167,618))</x:f>
        <x:v>0</x:v>
      </x:c>
      <x:c r="DE167" s="23" t="n">
        <x:f>MAX(0,MIN('Activities'!L167,630)-MAX('Activities'!K167,624))</x:f>
        <x:v>0</x:v>
      </x:c>
      <x:c r="DF167" s="23" t="n">
        <x:f>MAX(0,MIN('Activities'!L167,636)-MAX('Activities'!K167,630))</x:f>
        <x:v>0</x:v>
      </x:c>
    </x:row>
    <x:row r="168" ht="23" customHeight="1">
      <x:c r="A168" s="6" t="str">
        <x:v>T2-L04-H</x:v>
      </x:c>
      <x:c r="B168" s="6" t="str">
        <x:v>T2</x:v>
      </x:c>
      <x:c r="C168" s="6" t="str">
        <x:v>Curing and release hold point</x:v>
      </x:c>
      <x:c r="D168" s="6" t="str">
        <x:v>Site</x:v>
      </x:c>
      <x:c r="E168" s="22" t="n">
        <x:f>MAX(0,MIN('Activities'!L168,6)-MAX('Activities'!K168,0))</x:f>
        <x:v>0</x:v>
      </x:c>
      <x:c r="F168" s="22" t="n">
        <x:f>MAX(0,MIN('Activities'!L168,12)-MAX('Activities'!K168,6))</x:f>
        <x:v>0</x:v>
      </x:c>
      <x:c r="G168" s="22" t="n">
        <x:f>MAX(0,MIN('Activities'!L168,18)-MAX('Activities'!K168,12))</x:f>
        <x:v>0</x:v>
      </x:c>
      <x:c r="H168" s="22" t="n">
        <x:f>MAX(0,MIN('Activities'!L168,24)-MAX('Activities'!K168,18))</x:f>
        <x:v>0</x:v>
      </x:c>
      <x:c r="I168" s="22" t="n">
        <x:f>MAX(0,MIN('Activities'!L168,30)-MAX('Activities'!K168,24))</x:f>
        <x:v>0</x:v>
      </x:c>
      <x:c r="J168" s="22" t="n">
        <x:f>MAX(0,MIN('Activities'!L168,36)-MAX('Activities'!K168,30))</x:f>
        <x:v>0</x:v>
      </x:c>
      <x:c r="K168" s="22" t="n">
        <x:f>MAX(0,MIN('Activities'!L168,42)-MAX('Activities'!K168,36))</x:f>
        <x:v>0</x:v>
      </x:c>
      <x:c r="L168" s="22" t="n">
        <x:f>MAX(0,MIN('Activities'!L168,48)-MAX('Activities'!K168,42))</x:f>
        <x:v>0</x:v>
      </x:c>
      <x:c r="M168" s="22" t="n">
        <x:f>MAX(0,MIN('Activities'!L168,54)-MAX('Activities'!K168,48))</x:f>
        <x:v>0</x:v>
      </x:c>
      <x:c r="N168" s="22" t="n">
        <x:f>MAX(0,MIN('Activities'!L168,60)-MAX('Activities'!K168,54))</x:f>
        <x:v>0</x:v>
      </x:c>
      <x:c r="O168" s="22" t="n">
        <x:f>MAX(0,MIN('Activities'!L168,66)-MAX('Activities'!K168,60))</x:f>
        <x:v>0</x:v>
      </x:c>
      <x:c r="P168" s="22" t="n">
        <x:f>MAX(0,MIN('Activities'!L168,72)-MAX('Activities'!K168,66))</x:f>
        <x:v>0</x:v>
      </x:c>
      <x:c r="Q168" s="22" t="n">
        <x:f>MAX(0,MIN('Activities'!L168,78)-MAX('Activities'!K168,72))</x:f>
        <x:v>0</x:v>
      </x:c>
      <x:c r="R168" s="22" t="n">
        <x:f>MAX(0,MIN('Activities'!L168,84)-MAX('Activities'!K168,78))</x:f>
        <x:v>0</x:v>
      </x:c>
      <x:c r="S168" s="22" t="n">
        <x:f>MAX(0,MIN('Activities'!L168,90)-MAX('Activities'!K168,84))</x:f>
        <x:v>0</x:v>
      </x:c>
      <x:c r="T168" s="22" t="n">
        <x:f>MAX(0,MIN('Activities'!L168,96)-MAX('Activities'!K168,90))</x:f>
        <x:v>0</x:v>
      </x:c>
      <x:c r="U168" s="22" t="n">
        <x:f>MAX(0,MIN('Activities'!L168,102)-MAX('Activities'!K168,96))</x:f>
        <x:v>0</x:v>
      </x:c>
      <x:c r="V168" s="22" t="n">
        <x:f>MAX(0,MIN('Activities'!L168,108)-MAX('Activities'!K168,102))</x:f>
        <x:v>0</x:v>
      </x:c>
      <x:c r="W168" s="22" t="n">
        <x:f>MAX(0,MIN('Activities'!L168,114)-MAX('Activities'!K168,108))</x:f>
        <x:v>0</x:v>
      </x:c>
      <x:c r="X168" s="22" t="n">
        <x:f>MAX(0,MIN('Activities'!L168,120)-MAX('Activities'!K168,114))</x:f>
        <x:v>0</x:v>
      </x:c>
      <x:c r="Y168" s="22" t="n">
        <x:f>MAX(0,MIN('Activities'!L168,126)-MAX('Activities'!K168,120))</x:f>
        <x:v>0</x:v>
      </x:c>
      <x:c r="Z168" s="22" t="n">
        <x:f>MAX(0,MIN('Activities'!L168,132)-MAX('Activities'!K168,126))</x:f>
        <x:v>0</x:v>
      </x:c>
      <x:c r="AA168" s="22" t="n">
        <x:f>MAX(0,MIN('Activities'!L168,138)-MAX('Activities'!K168,132))</x:f>
        <x:v>0</x:v>
      </x:c>
      <x:c r="AB168" s="22" t="n">
        <x:f>MAX(0,MIN('Activities'!L168,144)-MAX('Activities'!K168,138))</x:f>
        <x:v>0</x:v>
      </x:c>
      <x:c r="AC168" s="22" t="n">
        <x:f>MAX(0,MIN('Activities'!L168,150)-MAX('Activities'!K168,144))</x:f>
        <x:v>0</x:v>
      </x:c>
      <x:c r="AD168" s="22" t="n">
        <x:f>MAX(0,MIN('Activities'!L168,156)-MAX('Activities'!K168,150))</x:f>
        <x:v>0</x:v>
      </x:c>
      <x:c r="AE168" s="22" t="n">
        <x:f>MAX(0,MIN('Activities'!L168,162)-MAX('Activities'!K168,156))</x:f>
        <x:v>0</x:v>
      </x:c>
      <x:c r="AF168" s="22" t="n">
        <x:f>MAX(0,MIN('Activities'!L168,168)-MAX('Activities'!K168,162))</x:f>
        <x:v>0</x:v>
      </x:c>
      <x:c r="AG168" s="22" t="n">
        <x:f>MAX(0,MIN('Activities'!L168,174)-MAX('Activities'!K168,168))</x:f>
        <x:v>0</x:v>
      </x:c>
      <x:c r="AH168" s="22" t="n">
        <x:f>MAX(0,MIN('Activities'!L168,180)-MAX('Activities'!K168,174))</x:f>
        <x:v>0</x:v>
      </x:c>
      <x:c r="AI168" s="22" t="n">
        <x:f>MAX(0,MIN('Activities'!L168,186)-MAX('Activities'!K168,180))</x:f>
        <x:v>0</x:v>
      </x:c>
      <x:c r="AJ168" s="22" t="n">
        <x:f>MAX(0,MIN('Activities'!L168,192)-MAX('Activities'!K168,186))</x:f>
        <x:v>0</x:v>
      </x:c>
      <x:c r="AK168" s="22" t="n">
        <x:f>MAX(0,MIN('Activities'!L168,198)-MAX('Activities'!K168,192))</x:f>
        <x:v>0</x:v>
      </x:c>
      <x:c r="AL168" s="22" t="n">
        <x:f>MAX(0,MIN('Activities'!L168,204)-MAX('Activities'!K168,198))</x:f>
        <x:v>0</x:v>
      </x:c>
      <x:c r="AM168" s="22" t="n">
        <x:f>MAX(0,MIN('Activities'!L168,210)-MAX('Activities'!K168,204))</x:f>
        <x:v>0</x:v>
      </x:c>
      <x:c r="AN168" s="22" t="n">
        <x:f>MAX(0,MIN('Activities'!L168,216)-MAX('Activities'!K168,210))</x:f>
        <x:v>0</x:v>
      </x:c>
      <x:c r="AO168" s="22" t="n">
        <x:f>MAX(0,MIN('Activities'!L168,222)-MAX('Activities'!K168,216))</x:f>
        <x:v>0</x:v>
      </x:c>
      <x:c r="AP168" s="22" t="n">
        <x:f>MAX(0,MIN('Activities'!L168,228)-MAX('Activities'!K168,222))</x:f>
        <x:v>0</x:v>
      </x:c>
      <x:c r="AQ168" s="22" t="n">
        <x:f>MAX(0,MIN('Activities'!L168,234)-MAX('Activities'!K168,228))</x:f>
        <x:v>3</x:v>
      </x:c>
      <x:c r="AR168" s="22" t="n">
        <x:f>MAX(0,MIN('Activities'!L168,240)-MAX('Activities'!K168,234))</x:f>
        <x:v>2</x:v>
      </x:c>
      <x:c r="AS168" s="22" t="n">
        <x:f>MAX(0,MIN('Activities'!L168,246)-MAX('Activities'!K168,240))</x:f>
        <x:v>0</x:v>
      </x:c>
      <x:c r="AT168" s="22" t="n">
        <x:f>MAX(0,MIN('Activities'!L168,252)-MAX('Activities'!K168,246))</x:f>
        <x:v>0</x:v>
      </x:c>
      <x:c r="AU168" s="22" t="n">
        <x:f>MAX(0,MIN('Activities'!L168,258)-MAX('Activities'!K168,252))</x:f>
        <x:v>0</x:v>
      </x:c>
      <x:c r="AV168" s="22" t="n">
        <x:f>MAX(0,MIN('Activities'!L168,264)-MAX('Activities'!K168,258))</x:f>
        <x:v>0</x:v>
      </x:c>
      <x:c r="AW168" s="22" t="n">
        <x:f>MAX(0,MIN('Activities'!L168,270)-MAX('Activities'!K168,264))</x:f>
        <x:v>0</x:v>
      </x:c>
      <x:c r="AX168" s="22" t="n">
        <x:f>MAX(0,MIN('Activities'!L168,276)-MAX('Activities'!K168,270))</x:f>
        <x:v>0</x:v>
      </x:c>
      <x:c r="AY168" s="22" t="n">
        <x:f>MAX(0,MIN('Activities'!L168,282)-MAX('Activities'!K168,276))</x:f>
        <x:v>0</x:v>
      </x:c>
      <x:c r="AZ168" s="22" t="n">
        <x:f>MAX(0,MIN('Activities'!L168,288)-MAX('Activities'!K168,282))</x:f>
        <x:v>0</x:v>
      </x:c>
      <x:c r="BA168" s="22" t="n">
        <x:f>MAX(0,MIN('Activities'!L168,294)-MAX('Activities'!K168,288))</x:f>
        <x:v>0</x:v>
      </x:c>
      <x:c r="BB168" s="22" t="n">
        <x:f>MAX(0,MIN('Activities'!L168,300)-MAX('Activities'!K168,294))</x:f>
        <x:v>0</x:v>
      </x:c>
      <x:c r="BC168" s="22" t="n">
        <x:f>MAX(0,MIN('Activities'!L168,306)-MAX('Activities'!K168,300))</x:f>
        <x:v>0</x:v>
      </x:c>
      <x:c r="BD168" s="22" t="n">
        <x:f>MAX(0,MIN('Activities'!L168,312)-MAX('Activities'!K168,306))</x:f>
        <x:v>0</x:v>
      </x:c>
      <x:c r="BE168" s="22" t="n">
        <x:f>MAX(0,MIN('Activities'!L168,318)-MAX('Activities'!K168,312))</x:f>
        <x:v>0</x:v>
      </x:c>
      <x:c r="BF168" s="22" t="n">
        <x:f>MAX(0,MIN('Activities'!L168,324)-MAX('Activities'!K168,318))</x:f>
        <x:v>0</x:v>
      </x:c>
      <x:c r="BG168" s="22" t="n">
        <x:f>MAX(0,MIN('Activities'!L168,330)-MAX('Activities'!K168,324))</x:f>
        <x:v>0</x:v>
      </x:c>
      <x:c r="BH168" s="22" t="n">
        <x:f>MAX(0,MIN('Activities'!L168,336)-MAX('Activities'!K168,330))</x:f>
        <x:v>0</x:v>
      </x:c>
      <x:c r="BI168" s="22" t="n">
        <x:f>MAX(0,MIN('Activities'!L168,342)-MAX('Activities'!K168,336))</x:f>
        <x:v>0</x:v>
      </x:c>
      <x:c r="BJ168" s="22" t="n">
        <x:f>MAX(0,MIN('Activities'!L168,348)-MAX('Activities'!K168,342))</x:f>
        <x:v>0</x:v>
      </x:c>
      <x:c r="BK168" s="22" t="n">
        <x:f>MAX(0,MIN('Activities'!L168,354)-MAX('Activities'!K168,348))</x:f>
        <x:v>0</x:v>
      </x:c>
      <x:c r="BL168" s="22" t="n">
        <x:f>MAX(0,MIN('Activities'!L168,360)-MAX('Activities'!K168,354))</x:f>
        <x:v>0</x:v>
      </x:c>
      <x:c r="BM168" s="22" t="n">
        <x:f>MAX(0,MIN('Activities'!L168,366)-MAX('Activities'!K168,360))</x:f>
        <x:v>0</x:v>
      </x:c>
      <x:c r="BN168" s="22" t="n">
        <x:f>MAX(0,MIN('Activities'!L168,372)-MAX('Activities'!K168,366))</x:f>
        <x:v>0</x:v>
      </x:c>
      <x:c r="BO168" s="22" t="n">
        <x:f>MAX(0,MIN('Activities'!L168,378)-MAX('Activities'!K168,372))</x:f>
        <x:v>0</x:v>
      </x:c>
      <x:c r="BP168" s="22" t="n">
        <x:f>MAX(0,MIN('Activities'!L168,384)-MAX('Activities'!K168,378))</x:f>
        <x:v>0</x:v>
      </x:c>
      <x:c r="BQ168" s="22" t="n">
        <x:f>MAX(0,MIN('Activities'!L168,390)-MAX('Activities'!K168,384))</x:f>
        <x:v>0</x:v>
      </x:c>
      <x:c r="BR168" s="22" t="n">
        <x:f>MAX(0,MIN('Activities'!L168,396)-MAX('Activities'!K168,390))</x:f>
        <x:v>0</x:v>
      </x:c>
      <x:c r="BS168" s="22" t="n">
        <x:f>MAX(0,MIN('Activities'!L168,402)-MAX('Activities'!K168,396))</x:f>
        <x:v>0</x:v>
      </x:c>
      <x:c r="BT168" s="22" t="n">
        <x:f>MAX(0,MIN('Activities'!L168,408)-MAX('Activities'!K168,402))</x:f>
        <x:v>0</x:v>
      </x:c>
      <x:c r="BU168" s="22" t="n">
        <x:f>MAX(0,MIN('Activities'!L168,414)-MAX('Activities'!K168,408))</x:f>
        <x:v>0</x:v>
      </x:c>
      <x:c r="BV168" s="22" t="n">
        <x:f>MAX(0,MIN('Activities'!L168,420)-MAX('Activities'!K168,414))</x:f>
        <x:v>0</x:v>
      </x:c>
      <x:c r="BW168" s="22" t="n">
        <x:f>MAX(0,MIN('Activities'!L168,426)-MAX('Activities'!K168,420))</x:f>
        <x:v>0</x:v>
      </x:c>
      <x:c r="BX168" s="22" t="n">
        <x:f>MAX(0,MIN('Activities'!L168,432)-MAX('Activities'!K168,426))</x:f>
        <x:v>0</x:v>
      </x:c>
      <x:c r="BY168" s="22" t="n">
        <x:f>MAX(0,MIN('Activities'!L168,438)-MAX('Activities'!K168,432))</x:f>
        <x:v>0</x:v>
      </x:c>
      <x:c r="BZ168" s="22" t="n">
        <x:f>MAX(0,MIN('Activities'!L168,444)-MAX('Activities'!K168,438))</x:f>
        <x:v>0</x:v>
      </x:c>
      <x:c r="CA168" s="22" t="n">
        <x:f>MAX(0,MIN('Activities'!L168,450)-MAX('Activities'!K168,444))</x:f>
        <x:v>0</x:v>
      </x:c>
      <x:c r="CB168" s="22" t="n">
        <x:f>MAX(0,MIN('Activities'!L168,456)-MAX('Activities'!K168,450))</x:f>
        <x:v>0</x:v>
      </x:c>
      <x:c r="CC168" s="22" t="n">
        <x:f>MAX(0,MIN('Activities'!L168,462)-MAX('Activities'!K168,456))</x:f>
        <x:v>0</x:v>
      </x:c>
      <x:c r="CD168" s="22" t="n">
        <x:f>MAX(0,MIN('Activities'!L168,468)-MAX('Activities'!K168,462))</x:f>
        <x:v>0</x:v>
      </x:c>
      <x:c r="CE168" s="22" t="n">
        <x:f>MAX(0,MIN('Activities'!L168,474)-MAX('Activities'!K168,468))</x:f>
        <x:v>0</x:v>
      </x:c>
      <x:c r="CF168" s="22" t="n">
        <x:f>MAX(0,MIN('Activities'!L168,480)-MAX('Activities'!K168,474))</x:f>
        <x:v>0</x:v>
      </x:c>
      <x:c r="CG168" s="22" t="n">
        <x:f>MAX(0,MIN('Activities'!L168,486)-MAX('Activities'!K168,480))</x:f>
        <x:v>0</x:v>
      </x:c>
      <x:c r="CH168" s="22" t="n">
        <x:f>MAX(0,MIN('Activities'!L168,492)-MAX('Activities'!K168,486))</x:f>
        <x:v>0</x:v>
      </x:c>
      <x:c r="CI168" s="22" t="n">
        <x:f>MAX(0,MIN('Activities'!L168,498)-MAX('Activities'!K168,492))</x:f>
        <x:v>0</x:v>
      </x:c>
      <x:c r="CJ168" s="22" t="n">
        <x:f>MAX(0,MIN('Activities'!L168,504)-MAX('Activities'!K168,498))</x:f>
        <x:v>0</x:v>
      </x:c>
      <x:c r="CK168" s="22" t="n">
        <x:f>MAX(0,MIN('Activities'!L168,510)-MAX('Activities'!K168,504))</x:f>
        <x:v>0</x:v>
      </x:c>
      <x:c r="CL168" s="22" t="n">
        <x:f>MAX(0,MIN('Activities'!L168,516)-MAX('Activities'!K168,510))</x:f>
        <x:v>0</x:v>
      </x:c>
      <x:c r="CM168" s="22" t="n">
        <x:f>MAX(0,MIN('Activities'!L168,522)-MAX('Activities'!K168,516))</x:f>
        <x:v>0</x:v>
      </x:c>
      <x:c r="CN168" s="22" t="n">
        <x:f>MAX(0,MIN('Activities'!L168,528)-MAX('Activities'!K168,522))</x:f>
        <x:v>0</x:v>
      </x:c>
      <x:c r="CO168" s="22" t="n">
        <x:f>MAX(0,MIN('Activities'!L168,534)-MAX('Activities'!K168,528))</x:f>
        <x:v>0</x:v>
      </x:c>
      <x:c r="CP168" s="22" t="n">
        <x:f>MAX(0,MIN('Activities'!L168,540)-MAX('Activities'!K168,534))</x:f>
        <x:v>0</x:v>
      </x:c>
      <x:c r="CQ168" s="22" t="n">
        <x:f>MAX(0,MIN('Activities'!L168,546)-MAX('Activities'!K168,540))</x:f>
        <x:v>0</x:v>
      </x:c>
      <x:c r="CR168" s="22" t="n">
        <x:f>MAX(0,MIN('Activities'!L168,552)-MAX('Activities'!K168,546))</x:f>
        <x:v>0</x:v>
      </x:c>
      <x:c r="CS168" s="22" t="n">
        <x:f>MAX(0,MIN('Activities'!L168,558)-MAX('Activities'!K168,552))</x:f>
        <x:v>0</x:v>
      </x:c>
      <x:c r="CT168" s="22" t="n">
        <x:f>MAX(0,MIN('Activities'!L168,564)-MAX('Activities'!K168,558))</x:f>
        <x:v>0</x:v>
      </x:c>
      <x:c r="CU168" s="22" t="n">
        <x:f>MAX(0,MIN('Activities'!L168,570)-MAX('Activities'!K168,564))</x:f>
        <x:v>0</x:v>
      </x:c>
      <x:c r="CV168" s="22" t="n">
        <x:f>MAX(0,MIN('Activities'!L168,576)-MAX('Activities'!K168,570))</x:f>
        <x:v>0</x:v>
      </x:c>
      <x:c r="CW168" s="22" t="n">
        <x:f>MAX(0,MIN('Activities'!L168,582)-MAX('Activities'!K168,576))</x:f>
        <x:v>0</x:v>
      </x:c>
      <x:c r="CX168" s="22" t="n">
        <x:f>MAX(0,MIN('Activities'!L168,588)-MAX('Activities'!K168,582))</x:f>
        <x:v>0</x:v>
      </x:c>
      <x:c r="CY168" s="22" t="n">
        <x:f>MAX(0,MIN('Activities'!L168,594)-MAX('Activities'!K168,588))</x:f>
        <x:v>0</x:v>
      </x:c>
      <x:c r="CZ168" s="22" t="n">
        <x:f>MAX(0,MIN('Activities'!L168,600)-MAX('Activities'!K168,594))</x:f>
        <x:v>0</x:v>
      </x:c>
      <x:c r="DA168" s="22" t="n">
        <x:f>MAX(0,MIN('Activities'!L168,606)-MAX('Activities'!K168,600))</x:f>
        <x:v>0</x:v>
      </x:c>
      <x:c r="DB168" s="22" t="n">
        <x:f>MAX(0,MIN('Activities'!L168,612)-MAX('Activities'!K168,606))</x:f>
        <x:v>0</x:v>
      </x:c>
      <x:c r="DC168" s="22" t="n">
        <x:f>MAX(0,MIN('Activities'!L168,618)-MAX('Activities'!K168,612))</x:f>
        <x:v>0</x:v>
      </x:c>
      <x:c r="DD168" s="22" t="n">
        <x:f>MAX(0,MIN('Activities'!L168,624)-MAX('Activities'!K168,618))</x:f>
        <x:v>0</x:v>
      </x:c>
      <x:c r="DE168" s="22" t="n">
        <x:f>MAX(0,MIN('Activities'!L168,630)-MAX('Activities'!K168,624))</x:f>
        <x:v>0</x:v>
      </x:c>
      <x:c r="DF168" s="22" t="n">
        <x:f>MAX(0,MIN('Activities'!L168,636)-MAX('Activities'!K168,630))</x:f>
        <x:v>0</x:v>
      </x:c>
    </x:row>
    <x:row r="169" ht="23" customHeight="1">
      <x:c r="A169" s="1" t="str">
        <x:v>T2-L05-F</x:v>
      </x:c>
      <x:c r="B169" s="1" t="str">
        <x:v>T2</x:v>
      </x:c>
      <x:c r="C169" s="1" t="str">
        <x:v>Columns, core and deck formwork</x:v>
      </x:c>
      <x:c r="D169" s="1" t="str">
        <x:v>Formwork</x:v>
      </x:c>
      <x:c r="E169" s="23" t="n">
        <x:f>MAX(0,MIN('Activities'!L169,6)-MAX('Activities'!K169,0))</x:f>
        <x:v>0</x:v>
      </x:c>
      <x:c r="F169" s="23" t="n">
        <x:f>MAX(0,MIN('Activities'!L169,12)-MAX('Activities'!K169,6))</x:f>
        <x:v>0</x:v>
      </x:c>
      <x:c r="G169" s="23" t="n">
        <x:f>MAX(0,MIN('Activities'!L169,18)-MAX('Activities'!K169,12))</x:f>
        <x:v>0</x:v>
      </x:c>
      <x:c r="H169" s="23" t="n">
        <x:f>MAX(0,MIN('Activities'!L169,24)-MAX('Activities'!K169,18))</x:f>
        <x:v>0</x:v>
      </x:c>
      <x:c r="I169" s="23" t="n">
        <x:f>MAX(0,MIN('Activities'!L169,30)-MAX('Activities'!K169,24))</x:f>
        <x:v>0</x:v>
      </x:c>
      <x:c r="J169" s="23" t="n">
        <x:f>MAX(0,MIN('Activities'!L169,36)-MAX('Activities'!K169,30))</x:f>
        <x:v>0</x:v>
      </x:c>
      <x:c r="K169" s="23" t="n">
        <x:f>MAX(0,MIN('Activities'!L169,42)-MAX('Activities'!K169,36))</x:f>
        <x:v>0</x:v>
      </x:c>
      <x:c r="L169" s="23" t="n">
        <x:f>MAX(0,MIN('Activities'!L169,48)-MAX('Activities'!K169,42))</x:f>
        <x:v>0</x:v>
      </x:c>
      <x:c r="M169" s="23" t="n">
        <x:f>MAX(0,MIN('Activities'!L169,54)-MAX('Activities'!K169,48))</x:f>
        <x:v>0</x:v>
      </x:c>
      <x:c r="N169" s="23" t="n">
        <x:f>MAX(0,MIN('Activities'!L169,60)-MAX('Activities'!K169,54))</x:f>
        <x:v>0</x:v>
      </x:c>
      <x:c r="O169" s="23" t="n">
        <x:f>MAX(0,MIN('Activities'!L169,66)-MAX('Activities'!K169,60))</x:f>
        <x:v>0</x:v>
      </x:c>
      <x:c r="P169" s="23" t="n">
        <x:f>MAX(0,MIN('Activities'!L169,72)-MAX('Activities'!K169,66))</x:f>
        <x:v>0</x:v>
      </x:c>
      <x:c r="Q169" s="23" t="n">
        <x:f>MAX(0,MIN('Activities'!L169,78)-MAX('Activities'!K169,72))</x:f>
        <x:v>0</x:v>
      </x:c>
      <x:c r="R169" s="23" t="n">
        <x:f>MAX(0,MIN('Activities'!L169,84)-MAX('Activities'!K169,78))</x:f>
        <x:v>0</x:v>
      </x:c>
      <x:c r="S169" s="23" t="n">
        <x:f>MAX(0,MIN('Activities'!L169,90)-MAX('Activities'!K169,84))</x:f>
        <x:v>0</x:v>
      </x:c>
      <x:c r="T169" s="23" t="n">
        <x:f>MAX(0,MIN('Activities'!L169,96)-MAX('Activities'!K169,90))</x:f>
        <x:v>0</x:v>
      </x:c>
      <x:c r="U169" s="23" t="n">
        <x:f>MAX(0,MIN('Activities'!L169,102)-MAX('Activities'!K169,96))</x:f>
        <x:v>0</x:v>
      </x:c>
      <x:c r="V169" s="23" t="n">
        <x:f>MAX(0,MIN('Activities'!L169,108)-MAX('Activities'!K169,102))</x:f>
        <x:v>0</x:v>
      </x:c>
      <x:c r="W169" s="23" t="n">
        <x:f>MAX(0,MIN('Activities'!L169,114)-MAX('Activities'!K169,108))</x:f>
        <x:v>0</x:v>
      </x:c>
      <x:c r="X169" s="23" t="n">
        <x:f>MAX(0,MIN('Activities'!L169,120)-MAX('Activities'!K169,114))</x:f>
        <x:v>0</x:v>
      </x:c>
      <x:c r="Y169" s="23" t="n">
        <x:f>MAX(0,MIN('Activities'!L169,126)-MAX('Activities'!K169,120))</x:f>
        <x:v>0</x:v>
      </x:c>
      <x:c r="Z169" s="23" t="n">
        <x:f>MAX(0,MIN('Activities'!L169,132)-MAX('Activities'!K169,126))</x:f>
        <x:v>0</x:v>
      </x:c>
      <x:c r="AA169" s="23" t="n">
        <x:f>MAX(0,MIN('Activities'!L169,138)-MAX('Activities'!K169,132))</x:f>
        <x:v>0</x:v>
      </x:c>
      <x:c r="AB169" s="23" t="n">
        <x:f>MAX(0,MIN('Activities'!L169,144)-MAX('Activities'!K169,138))</x:f>
        <x:v>0</x:v>
      </x:c>
      <x:c r="AC169" s="23" t="n">
        <x:f>MAX(0,MIN('Activities'!L169,150)-MAX('Activities'!K169,144))</x:f>
        <x:v>0</x:v>
      </x:c>
      <x:c r="AD169" s="23" t="n">
        <x:f>MAX(0,MIN('Activities'!L169,156)-MAX('Activities'!K169,150))</x:f>
        <x:v>0</x:v>
      </x:c>
      <x:c r="AE169" s="23" t="n">
        <x:f>MAX(0,MIN('Activities'!L169,162)-MAX('Activities'!K169,156))</x:f>
        <x:v>0</x:v>
      </x:c>
      <x:c r="AF169" s="23" t="n">
        <x:f>MAX(0,MIN('Activities'!L169,168)-MAX('Activities'!K169,162))</x:f>
        <x:v>0</x:v>
      </x:c>
      <x:c r="AG169" s="23" t="n">
        <x:f>MAX(0,MIN('Activities'!L169,174)-MAX('Activities'!K169,168))</x:f>
        <x:v>0</x:v>
      </x:c>
      <x:c r="AH169" s="23" t="n">
        <x:f>MAX(0,MIN('Activities'!L169,180)-MAX('Activities'!K169,174))</x:f>
        <x:v>0</x:v>
      </x:c>
      <x:c r="AI169" s="23" t="n">
        <x:f>MAX(0,MIN('Activities'!L169,186)-MAX('Activities'!K169,180))</x:f>
        <x:v>0</x:v>
      </x:c>
      <x:c r="AJ169" s="23" t="n">
        <x:f>MAX(0,MIN('Activities'!L169,192)-MAX('Activities'!K169,186))</x:f>
        <x:v>0</x:v>
      </x:c>
      <x:c r="AK169" s="23" t="n">
        <x:f>MAX(0,MIN('Activities'!L169,198)-MAX('Activities'!K169,192))</x:f>
        <x:v>0</x:v>
      </x:c>
      <x:c r="AL169" s="23" t="n">
        <x:f>MAX(0,MIN('Activities'!L169,204)-MAX('Activities'!K169,198))</x:f>
        <x:v>0</x:v>
      </x:c>
      <x:c r="AM169" s="23" t="n">
        <x:f>MAX(0,MIN('Activities'!L169,210)-MAX('Activities'!K169,204))</x:f>
        <x:v>0</x:v>
      </x:c>
      <x:c r="AN169" s="23" t="n">
        <x:f>MAX(0,MIN('Activities'!L169,216)-MAX('Activities'!K169,210))</x:f>
        <x:v>0</x:v>
      </x:c>
      <x:c r="AO169" s="23" t="n">
        <x:f>MAX(0,MIN('Activities'!L169,222)-MAX('Activities'!K169,216))</x:f>
        <x:v>0</x:v>
      </x:c>
      <x:c r="AP169" s="23" t="n">
        <x:f>MAX(0,MIN('Activities'!L169,228)-MAX('Activities'!K169,222))</x:f>
        <x:v>0</x:v>
      </x:c>
      <x:c r="AQ169" s="23" t="n">
        <x:f>MAX(0,MIN('Activities'!L169,234)-MAX('Activities'!K169,228))</x:f>
        <x:v>0</x:v>
      </x:c>
      <x:c r="AR169" s="23" t="n">
        <x:f>MAX(0,MIN('Activities'!L169,240)-MAX('Activities'!K169,234))</x:f>
        <x:v>4</x:v>
      </x:c>
      <x:c r="AS169" s="23" t="n">
        <x:f>MAX(0,MIN('Activities'!L169,246)-MAX('Activities'!K169,240))</x:f>
        <x:v>2</x:v>
      </x:c>
      <x:c r="AT169" s="23" t="n">
        <x:f>MAX(0,MIN('Activities'!L169,252)-MAX('Activities'!K169,246))</x:f>
        <x:v>0</x:v>
      </x:c>
      <x:c r="AU169" s="23" t="n">
        <x:f>MAX(0,MIN('Activities'!L169,258)-MAX('Activities'!K169,252))</x:f>
        <x:v>0</x:v>
      </x:c>
      <x:c r="AV169" s="23" t="n">
        <x:f>MAX(0,MIN('Activities'!L169,264)-MAX('Activities'!K169,258))</x:f>
        <x:v>0</x:v>
      </x:c>
      <x:c r="AW169" s="23" t="n">
        <x:f>MAX(0,MIN('Activities'!L169,270)-MAX('Activities'!K169,264))</x:f>
        <x:v>0</x:v>
      </x:c>
      <x:c r="AX169" s="23" t="n">
        <x:f>MAX(0,MIN('Activities'!L169,276)-MAX('Activities'!K169,270))</x:f>
        <x:v>0</x:v>
      </x:c>
      <x:c r="AY169" s="23" t="n">
        <x:f>MAX(0,MIN('Activities'!L169,282)-MAX('Activities'!K169,276))</x:f>
        <x:v>0</x:v>
      </x:c>
      <x:c r="AZ169" s="23" t="n">
        <x:f>MAX(0,MIN('Activities'!L169,288)-MAX('Activities'!K169,282))</x:f>
        <x:v>0</x:v>
      </x:c>
      <x:c r="BA169" s="23" t="n">
        <x:f>MAX(0,MIN('Activities'!L169,294)-MAX('Activities'!K169,288))</x:f>
        <x:v>0</x:v>
      </x:c>
      <x:c r="BB169" s="23" t="n">
        <x:f>MAX(0,MIN('Activities'!L169,300)-MAX('Activities'!K169,294))</x:f>
        <x:v>0</x:v>
      </x:c>
      <x:c r="BC169" s="23" t="n">
        <x:f>MAX(0,MIN('Activities'!L169,306)-MAX('Activities'!K169,300))</x:f>
        <x:v>0</x:v>
      </x:c>
      <x:c r="BD169" s="23" t="n">
        <x:f>MAX(0,MIN('Activities'!L169,312)-MAX('Activities'!K169,306))</x:f>
        <x:v>0</x:v>
      </x:c>
      <x:c r="BE169" s="23" t="n">
        <x:f>MAX(0,MIN('Activities'!L169,318)-MAX('Activities'!K169,312))</x:f>
        <x:v>0</x:v>
      </x:c>
      <x:c r="BF169" s="23" t="n">
        <x:f>MAX(0,MIN('Activities'!L169,324)-MAX('Activities'!K169,318))</x:f>
        <x:v>0</x:v>
      </x:c>
      <x:c r="BG169" s="23" t="n">
        <x:f>MAX(0,MIN('Activities'!L169,330)-MAX('Activities'!K169,324))</x:f>
        <x:v>0</x:v>
      </x:c>
      <x:c r="BH169" s="23" t="n">
        <x:f>MAX(0,MIN('Activities'!L169,336)-MAX('Activities'!K169,330))</x:f>
        <x:v>0</x:v>
      </x:c>
      <x:c r="BI169" s="23" t="n">
        <x:f>MAX(0,MIN('Activities'!L169,342)-MAX('Activities'!K169,336))</x:f>
        <x:v>0</x:v>
      </x:c>
      <x:c r="BJ169" s="23" t="n">
        <x:f>MAX(0,MIN('Activities'!L169,348)-MAX('Activities'!K169,342))</x:f>
        <x:v>0</x:v>
      </x:c>
      <x:c r="BK169" s="23" t="n">
        <x:f>MAX(0,MIN('Activities'!L169,354)-MAX('Activities'!K169,348))</x:f>
        <x:v>0</x:v>
      </x:c>
      <x:c r="BL169" s="23" t="n">
        <x:f>MAX(0,MIN('Activities'!L169,360)-MAX('Activities'!K169,354))</x:f>
        <x:v>0</x:v>
      </x:c>
      <x:c r="BM169" s="23" t="n">
        <x:f>MAX(0,MIN('Activities'!L169,366)-MAX('Activities'!K169,360))</x:f>
        <x:v>0</x:v>
      </x:c>
      <x:c r="BN169" s="23" t="n">
        <x:f>MAX(0,MIN('Activities'!L169,372)-MAX('Activities'!K169,366))</x:f>
        <x:v>0</x:v>
      </x:c>
      <x:c r="BO169" s="23" t="n">
        <x:f>MAX(0,MIN('Activities'!L169,378)-MAX('Activities'!K169,372))</x:f>
        <x:v>0</x:v>
      </x:c>
      <x:c r="BP169" s="23" t="n">
        <x:f>MAX(0,MIN('Activities'!L169,384)-MAX('Activities'!K169,378))</x:f>
        <x:v>0</x:v>
      </x:c>
      <x:c r="BQ169" s="23" t="n">
        <x:f>MAX(0,MIN('Activities'!L169,390)-MAX('Activities'!K169,384))</x:f>
        <x:v>0</x:v>
      </x:c>
      <x:c r="BR169" s="23" t="n">
        <x:f>MAX(0,MIN('Activities'!L169,396)-MAX('Activities'!K169,390))</x:f>
        <x:v>0</x:v>
      </x:c>
      <x:c r="BS169" s="23" t="n">
        <x:f>MAX(0,MIN('Activities'!L169,402)-MAX('Activities'!K169,396))</x:f>
        <x:v>0</x:v>
      </x:c>
      <x:c r="BT169" s="23" t="n">
        <x:f>MAX(0,MIN('Activities'!L169,408)-MAX('Activities'!K169,402))</x:f>
        <x:v>0</x:v>
      </x:c>
      <x:c r="BU169" s="23" t="n">
        <x:f>MAX(0,MIN('Activities'!L169,414)-MAX('Activities'!K169,408))</x:f>
        <x:v>0</x:v>
      </x:c>
      <x:c r="BV169" s="23" t="n">
        <x:f>MAX(0,MIN('Activities'!L169,420)-MAX('Activities'!K169,414))</x:f>
        <x:v>0</x:v>
      </x:c>
      <x:c r="BW169" s="23" t="n">
        <x:f>MAX(0,MIN('Activities'!L169,426)-MAX('Activities'!K169,420))</x:f>
        <x:v>0</x:v>
      </x:c>
      <x:c r="BX169" s="23" t="n">
        <x:f>MAX(0,MIN('Activities'!L169,432)-MAX('Activities'!K169,426))</x:f>
        <x:v>0</x:v>
      </x:c>
      <x:c r="BY169" s="23" t="n">
        <x:f>MAX(0,MIN('Activities'!L169,438)-MAX('Activities'!K169,432))</x:f>
        <x:v>0</x:v>
      </x:c>
      <x:c r="BZ169" s="23" t="n">
        <x:f>MAX(0,MIN('Activities'!L169,444)-MAX('Activities'!K169,438))</x:f>
        <x:v>0</x:v>
      </x:c>
      <x:c r="CA169" s="23" t="n">
        <x:f>MAX(0,MIN('Activities'!L169,450)-MAX('Activities'!K169,444))</x:f>
        <x:v>0</x:v>
      </x:c>
      <x:c r="CB169" s="23" t="n">
        <x:f>MAX(0,MIN('Activities'!L169,456)-MAX('Activities'!K169,450))</x:f>
        <x:v>0</x:v>
      </x:c>
      <x:c r="CC169" s="23" t="n">
        <x:f>MAX(0,MIN('Activities'!L169,462)-MAX('Activities'!K169,456))</x:f>
        <x:v>0</x:v>
      </x:c>
      <x:c r="CD169" s="23" t="n">
        <x:f>MAX(0,MIN('Activities'!L169,468)-MAX('Activities'!K169,462))</x:f>
        <x:v>0</x:v>
      </x:c>
      <x:c r="CE169" s="23" t="n">
        <x:f>MAX(0,MIN('Activities'!L169,474)-MAX('Activities'!K169,468))</x:f>
        <x:v>0</x:v>
      </x:c>
      <x:c r="CF169" s="23" t="n">
        <x:f>MAX(0,MIN('Activities'!L169,480)-MAX('Activities'!K169,474))</x:f>
        <x:v>0</x:v>
      </x:c>
      <x:c r="CG169" s="23" t="n">
        <x:f>MAX(0,MIN('Activities'!L169,486)-MAX('Activities'!K169,480))</x:f>
        <x:v>0</x:v>
      </x:c>
      <x:c r="CH169" s="23" t="n">
        <x:f>MAX(0,MIN('Activities'!L169,492)-MAX('Activities'!K169,486))</x:f>
        <x:v>0</x:v>
      </x:c>
      <x:c r="CI169" s="23" t="n">
        <x:f>MAX(0,MIN('Activities'!L169,498)-MAX('Activities'!K169,492))</x:f>
        <x:v>0</x:v>
      </x:c>
      <x:c r="CJ169" s="23" t="n">
        <x:f>MAX(0,MIN('Activities'!L169,504)-MAX('Activities'!K169,498))</x:f>
        <x:v>0</x:v>
      </x:c>
      <x:c r="CK169" s="23" t="n">
        <x:f>MAX(0,MIN('Activities'!L169,510)-MAX('Activities'!K169,504))</x:f>
        <x:v>0</x:v>
      </x:c>
      <x:c r="CL169" s="23" t="n">
        <x:f>MAX(0,MIN('Activities'!L169,516)-MAX('Activities'!K169,510))</x:f>
        <x:v>0</x:v>
      </x:c>
      <x:c r="CM169" s="23" t="n">
        <x:f>MAX(0,MIN('Activities'!L169,522)-MAX('Activities'!K169,516))</x:f>
        <x:v>0</x:v>
      </x:c>
      <x:c r="CN169" s="23" t="n">
        <x:f>MAX(0,MIN('Activities'!L169,528)-MAX('Activities'!K169,522))</x:f>
        <x:v>0</x:v>
      </x:c>
      <x:c r="CO169" s="23" t="n">
        <x:f>MAX(0,MIN('Activities'!L169,534)-MAX('Activities'!K169,528))</x:f>
        <x:v>0</x:v>
      </x:c>
      <x:c r="CP169" s="23" t="n">
        <x:f>MAX(0,MIN('Activities'!L169,540)-MAX('Activities'!K169,534))</x:f>
        <x:v>0</x:v>
      </x:c>
      <x:c r="CQ169" s="23" t="n">
        <x:f>MAX(0,MIN('Activities'!L169,546)-MAX('Activities'!K169,540))</x:f>
        <x:v>0</x:v>
      </x:c>
      <x:c r="CR169" s="23" t="n">
        <x:f>MAX(0,MIN('Activities'!L169,552)-MAX('Activities'!K169,546))</x:f>
        <x:v>0</x:v>
      </x:c>
      <x:c r="CS169" s="23" t="n">
        <x:f>MAX(0,MIN('Activities'!L169,558)-MAX('Activities'!K169,552))</x:f>
        <x:v>0</x:v>
      </x:c>
      <x:c r="CT169" s="23" t="n">
        <x:f>MAX(0,MIN('Activities'!L169,564)-MAX('Activities'!K169,558))</x:f>
        <x:v>0</x:v>
      </x:c>
      <x:c r="CU169" s="23" t="n">
        <x:f>MAX(0,MIN('Activities'!L169,570)-MAX('Activities'!K169,564))</x:f>
        <x:v>0</x:v>
      </x:c>
      <x:c r="CV169" s="23" t="n">
        <x:f>MAX(0,MIN('Activities'!L169,576)-MAX('Activities'!K169,570))</x:f>
        <x:v>0</x:v>
      </x:c>
      <x:c r="CW169" s="23" t="n">
        <x:f>MAX(0,MIN('Activities'!L169,582)-MAX('Activities'!K169,576))</x:f>
        <x:v>0</x:v>
      </x:c>
      <x:c r="CX169" s="23" t="n">
        <x:f>MAX(0,MIN('Activities'!L169,588)-MAX('Activities'!K169,582))</x:f>
        <x:v>0</x:v>
      </x:c>
      <x:c r="CY169" s="23" t="n">
        <x:f>MAX(0,MIN('Activities'!L169,594)-MAX('Activities'!K169,588))</x:f>
        <x:v>0</x:v>
      </x:c>
      <x:c r="CZ169" s="23" t="n">
        <x:f>MAX(0,MIN('Activities'!L169,600)-MAX('Activities'!K169,594))</x:f>
        <x:v>0</x:v>
      </x:c>
      <x:c r="DA169" s="23" t="n">
        <x:f>MAX(0,MIN('Activities'!L169,606)-MAX('Activities'!K169,600))</x:f>
        <x:v>0</x:v>
      </x:c>
      <x:c r="DB169" s="23" t="n">
        <x:f>MAX(0,MIN('Activities'!L169,612)-MAX('Activities'!K169,606))</x:f>
        <x:v>0</x:v>
      </x:c>
      <x:c r="DC169" s="23" t="n">
        <x:f>MAX(0,MIN('Activities'!L169,618)-MAX('Activities'!K169,612))</x:f>
        <x:v>0</x:v>
      </x:c>
      <x:c r="DD169" s="23" t="n">
        <x:f>MAX(0,MIN('Activities'!L169,624)-MAX('Activities'!K169,618))</x:f>
        <x:v>0</x:v>
      </x:c>
      <x:c r="DE169" s="23" t="n">
        <x:f>MAX(0,MIN('Activities'!L169,630)-MAX('Activities'!K169,624))</x:f>
        <x:v>0</x:v>
      </x:c>
      <x:c r="DF169" s="23" t="n">
        <x:f>MAX(0,MIN('Activities'!L169,636)-MAX('Activities'!K169,630))</x:f>
        <x:v>0</x:v>
      </x:c>
    </x:row>
    <x:row r="170" ht="23" customHeight="1">
      <x:c r="A170" s="6" t="str">
        <x:v>T2-L05-R</x:v>
      </x:c>
      <x:c r="B170" s="6" t="str">
        <x:v>T2</x:v>
      </x:c>
      <x:c r="C170" s="6" t="str">
        <x:v>Column, wall, beam and slab reinforcement</x:v>
      </x:c>
      <x:c r="D170" s="6" t="str">
        <x:v>Rebar</x:v>
      </x:c>
      <x:c r="E170" s="22" t="n">
        <x:f>MAX(0,MIN('Activities'!L170,6)-MAX('Activities'!K170,0))</x:f>
        <x:v>0</x:v>
      </x:c>
      <x:c r="F170" s="22" t="n">
        <x:f>MAX(0,MIN('Activities'!L170,12)-MAX('Activities'!K170,6))</x:f>
        <x:v>0</x:v>
      </x:c>
      <x:c r="G170" s="22" t="n">
        <x:f>MAX(0,MIN('Activities'!L170,18)-MAX('Activities'!K170,12))</x:f>
        <x:v>0</x:v>
      </x:c>
      <x:c r="H170" s="22" t="n">
        <x:f>MAX(0,MIN('Activities'!L170,24)-MAX('Activities'!K170,18))</x:f>
        <x:v>0</x:v>
      </x:c>
      <x:c r="I170" s="22" t="n">
        <x:f>MAX(0,MIN('Activities'!L170,30)-MAX('Activities'!K170,24))</x:f>
        <x:v>0</x:v>
      </x:c>
      <x:c r="J170" s="22" t="n">
        <x:f>MAX(0,MIN('Activities'!L170,36)-MAX('Activities'!K170,30))</x:f>
        <x:v>0</x:v>
      </x:c>
      <x:c r="K170" s="22" t="n">
        <x:f>MAX(0,MIN('Activities'!L170,42)-MAX('Activities'!K170,36))</x:f>
        <x:v>0</x:v>
      </x:c>
      <x:c r="L170" s="22" t="n">
        <x:f>MAX(0,MIN('Activities'!L170,48)-MAX('Activities'!K170,42))</x:f>
        <x:v>0</x:v>
      </x:c>
      <x:c r="M170" s="22" t="n">
        <x:f>MAX(0,MIN('Activities'!L170,54)-MAX('Activities'!K170,48))</x:f>
        <x:v>0</x:v>
      </x:c>
      <x:c r="N170" s="22" t="n">
        <x:f>MAX(0,MIN('Activities'!L170,60)-MAX('Activities'!K170,54))</x:f>
        <x:v>0</x:v>
      </x:c>
      <x:c r="O170" s="22" t="n">
        <x:f>MAX(0,MIN('Activities'!L170,66)-MAX('Activities'!K170,60))</x:f>
        <x:v>0</x:v>
      </x:c>
      <x:c r="P170" s="22" t="n">
        <x:f>MAX(0,MIN('Activities'!L170,72)-MAX('Activities'!K170,66))</x:f>
        <x:v>0</x:v>
      </x:c>
      <x:c r="Q170" s="22" t="n">
        <x:f>MAX(0,MIN('Activities'!L170,78)-MAX('Activities'!K170,72))</x:f>
        <x:v>0</x:v>
      </x:c>
      <x:c r="R170" s="22" t="n">
        <x:f>MAX(0,MIN('Activities'!L170,84)-MAX('Activities'!K170,78))</x:f>
        <x:v>0</x:v>
      </x:c>
      <x:c r="S170" s="22" t="n">
        <x:f>MAX(0,MIN('Activities'!L170,90)-MAX('Activities'!K170,84))</x:f>
        <x:v>0</x:v>
      </x:c>
      <x:c r="T170" s="22" t="n">
        <x:f>MAX(0,MIN('Activities'!L170,96)-MAX('Activities'!K170,90))</x:f>
        <x:v>0</x:v>
      </x:c>
      <x:c r="U170" s="22" t="n">
        <x:f>MAX(0,MIN('Activities'!L170,102)-MAX('Activities'!K170,96))</x:f>
        <x:v>0</x:v>
      </x:c>
      <x:c r="V170" s="22" t="n">
        <x:f>MAX(0,MIN('Activities'!L170,108)-MAX('Activities'!K170,102))</x:f>
        <x:v>0</x:v>
      </x:c>
      <x:c r="W170" s="22" t="n">
        <x:f>MAX(0,MIN('Activities'!L170,114)-MAX('Activities'!K170,108))</x:f>
        <x:v>0</x:v>
      </x:c>
      <x:c r="X170" s="22" t="n">
        <x:f>MAX(0,MIN('Activities'!L170,120)-MAX('Activities'!K170,114))</x:f>
        <x:v>0</x:v>
      </x:c>
      <x:c r="Y170" s="22" t="n">
        <x:f>MAX(0,MIN('Activities'!L170,126)-MAX('Activities'!K170,120))</x:f>
        <x:v>0</x:v>
      </x:c>
      <x:c r="Z170" s="22" t="n">
        <x:f>MAX(0,MIN('Activities'!L170,132)-MAX('Activities'!K170,126))</x:f>
        <x:v>0</x:v>
      </x:c>
      <x:c r="AA170" s="22" t="n">
        <x:f>MAX(0,MIN('Activities'!L170,138)-MAX('Activities'!K170,132))</x:f>
        <x:v>0</x:v>
      </x:c>
      <x:c r="AB170" s="22" t="n">
        <x:f>MAX(0,MIN('Activities'!L170,144)-MAX('Activities'!K170,138))</x:f>
        <x:v>0</x:v>
      </x:c>
      <x:c r="AC170" s="22" t="n">
        <x:f>MAX(0,MIN('Activities'!L170,150)-MAX('Activities'!K170,144))</x:f>
        <x:v>0</x:v>
      </x:c>
      <x:c r="AD170" s="22" t="n">
        <x:f>MAX(0,MIN('Activities'!L170,156)-MAX('Activities'!K170,150))</x:f>
        <x:v>0</x:v>
      </x:c>
      <x:c r="AE170" s="22" t="n">
        <x:f>MAX(0,MIN('Activities'!L170,162)-MAX('Activities'!K170,156))</x:f>
        <x:v>0</x:v>
      </x:c>
      <x:c r="AF170" s="22" t="n">
        <x:f>MAX(0,MIN('Activities'!L170,168)-MAX('Activities'!K170,162))</x:f>
        <x:v>0</x:v>
      </x:c>
      <x:c r="AG170" s="22" t="n">
        <x:f>MAX(0,MIN('Activities'!L170,174)-MAX('Activities'!K170,168))</x:f>
        <x:v>0</x:v>
      </x:c>
      <x:c r="AH170" s="22" t="n">
        <x:f>MAX(0,MIN('Activities'!L170,180)-MAX('Activities'!K170,174))</x:f>
        <x:v>0</x:v>
      </x:c>
      <x:c r="AI170" s="22" t="n">
        <x:f>MAX(0,MIN('Activities'!L170,186)-MAX('Activities'!K170,180))</x:f>
        <x:v>0</x:v>
      </x:c>
      <x:c r="AJ170" s="22" t="n">
        <x:f>MAX(0,MIN('Activities'!L170,192)-MAX('Activities'!K170,186))</x:f>
        <x:v>0</x:v>
      </x:c>
      <x:c r="AK170" s="22" t="n">
        <x:f>MAX(0,MIN('Activities'!L170,198)-MAX('Activities'!K170,192))</x:f>
        <x:v>0</x:v>
      </x:c>
      <x:c r="AL170" s="22" t="n">
        <x:f>MAX(0,MIN('Activities'!L170,204)-MAX('Activities'!K170,198))</x:f>
        <x:v>0</x:v>
      </x:c>
      <x:c r="AM170" s="22" t="n">
        <x:f>MAX(0,MIN('Activities'!L170,210)-MAX('Activities'!K170,204))</x:f>
        <x:v>0</x:v>
      </x:c>
      <x:c r="AN170" s="22" t="n">
        <x:f>MAX(0,MIN('Activities'!L170,216)-MAX('Activities'!K170,210))</x:f>
        <x:v>0</x:v>
      </x:c>
      <x:c r="AO170" s="22" t="n">
        <x:f>MAX(0,MIN('Activities'!L170,222)-MAX('Activities'!K170,216))</x:f>
        <x:v>0</x:v>
      </x:c>
      <x:c r="AP170" s="22" t="n">
        <x:f>MAX(0,MIN('Activities'!L170,228)-MAX('Activities'!K170,222))</x:f>
        <x:v>0</x:v>
      </x:c>
      <x:c r="AQ170" s="22" t="n">
        <x:f>MAX(0,MIN('Activities'!L170,234)-MAX('Activities'!K170,228))</x:f>
        <x:v>0</x:v>
      </x:c>
      <x:c r="AR170" s="22" t="n">
        <x:f>MAX(0,MIN('Activities'!L170,240)-MAX('Activities'!K170,234))</x:f>
        <x:v>0</x:v>
      </x:c>
      <x:c r="AS170" s="22" t="n">
        <x:f>MAX(0,MIN('Activities'!L170,246)-MAX('Activities'!K170,240))</x:f>
        <x:v>4</x:v>
      </x:c>
      <x:c r="AT170" s="22" t="n">
        <x:f>MAX(0,MIN('Activities'!L170,252)-MAX('Activities'!K170,246))</x:f>
        <x:v>1</x:v>
      </x:c>
      <x:c r="AU170" s="22" t="n">
        <x:f>MAX(0,MIN('Activities'!L170,258)-MAX('Activities'!K170,252))</x:f>
        <x:v>0</x:v>
      </x:c>
      <x:c r="AV170" s="22" t="n">
        <x:f>MAX(0,MIN('Activities'!L170,264)-MAX('Activities'!K170,258))</x:f>
        <x:v>0</x:v>
      </x:c>
      <x:c r="AW170" s="22" t="n">
        <x:f>MAX(0,MIN('Activities'!L170,270)-MAX('Activities'!K170,264))</x:f>
        <x:v>0</x:v>
      </x:c>
      <x:c r="AX170" s="22" t="n">
        <x:f>MAX(0,MIN('Activities'!L170,276)-MAX('Activities'!K170,270))</x:f>
        <x:v>0</x:v>
      </x:c>
      <x:c r="AY170" s="22" t="n">
        <x:f>MAX(0,MIN('Activities'!L170,282)-MAX('Activities'!K170,276))</x:f>
        <x:v>0</x:v>
      </x:c>
      <x:c r="AZ170" s="22" t="n">
        <x:f>MAX(0,MIN('Activities'!L170,288)-MAX('Activities'!K170,282))</x:f>
        <x:v>0</x:v>
      </x:c>
      <x:c r="BA170" s="22" t="n">
        <x:f>MAX(0,MIN('Activities'!L170,294)-MAX('Activities'!K170,288))</x:f>
        <x:v>0</x:v>
      </x:c>
      <x:c r="BB170" s="22" t="n">
        <x:f>MAX(0,MIN('Activities'!L170,300)-MAX('Activities'!K170,294))</x:f>
        <x:v>0</x:v>
      </x:c>
      <x:c r="BC170" s="22" t="n">
        <x:f>MAX(0,MIN('Activities'!L170,306)-MAX('Activities'!K170,300))</x:f>
        <x:v>0</x:v>
      </x:c>
      <x:c r="BD170" s="22" t="n">
        <x:f>MAX(0,MIN('Activities'!L170,312)-MAX('Activities'!K170,306))</x:f>
        <x:v>0</x:v>
      </x:c>
      <x:c r="BE170" s="22" t="n">
        <x:f>MAX(0,MIN('Activities'!L170,318)-MAX('Activities'!K170,312))</x:f>
        <x:v>0</x:v>
      </x:c>
      <x:c r="BF170" s="22" t="n">
        <x:f>MAX(0,MIN('Activities'!L170,324)-MAX('Activities'!K170,318))</x:f>
        <x:v>0</x:v>
      </x:c>
      <x:c r="BG170" s="22" t="n">
        <x:f>MAX(0,MIN('Activities'!L170,330)-MAX('Activities'!K170,324))</x:f>
        <x:v>0</x:v>
      </x:c>
      <x:c r="BH170" s="22" t="n">
        <x:f>MAX(0,MIN('Activities'!L170,336)-MAX('Activities'!K170,330))</x:f>
        <x:v>0</x:v>
      </x:c>
      <x:c r="BI170" s="22" t="n">
        <x:f>MAX(0,MIN('Activities'!L170,342)-MAX('Activities'!K170,336))</x:f>
        <x:v>0</x:v>
      </x:c>
      <x:c r="BJ170" s="22" t="n">
        <x:f>MAX(0,MIN('Activities'!L170,348)-MAX('Activities'!K170,342))</x:f>
        <x:v>0</x:v>
      </x:c>
      <x:c r="BK170" s="22" t="n">
        <x:f>MAX(0,MIN('Activities'!L170,354)-MAX('Activities'!K170,348))</x:f>
        <x:v>0</x:v>
      </x:c>
      <x:c r="BL170" s="22" t="n">
        <x:f>MAX(0,MIN('Activities'!L170,360)-MAX('Activities'!K170,354))</x:f>
        <x:v>0</x:v>
      </x:c>
      <x:c r="BM170" s="22" t="n">
        <x:f>MAX(0,MIN('Activities'!L170,366)-MAX('Activities'!K170,360))</x:f>
        <x:v>0</x:v>
      </x:c>
      <x:c r="BN170" s="22" t="n">
        <x:f>MAX(0,MIN('Activities'!L170,372)-MAX('Activities'!K170,366))</x:f>
        <x:v>0</x:v>
      </x:c>
      <x:c r="BO170" s="22" t="n">
        <x:f>MAX(0,MIN('Activities'!L170,378)-MAX('Activities'!K170,372))</x:f>
        <x:v>0</x:v>
      </x:c>
      <x:c r="BP170" s="22" t="n">
        <x:f>MAX(0,MIN('Activities'!L170,384)-MAX('Activities'!K170,378))</x:f>
        <x:v>0</x:v>
      </x:c>
      <x:c r="BQ170" s="22" t="n">
        <x:f>MAX(0,MIN('Activities'!L170,390)-MAX('Activities'!K170,384))</x:f>
        <x:v>0</x:v>
      </x:c>
      <x:c r="BR170" s="22" t="n">
        <x:f>MAX(0,MIN('Activities'!L170,396)-MAX('Activities'!K170,390))</x:f>
        <x:v>0</x:v>
      </x:c>
      <x:c r="BS170" s="22" t="n">
        <x:f>MAX(0,MIN('Activities'!L170,402)-MAX('Activities'!K170,396))</x:f>
        <x:v>0</x:v>
      </x:c>
      <x:c r="BT170" s="22" t="n">
        <x:f>MAX(0,MIN('Activities'!L170,408)-MAX('Activities'!K170,402))</x:f>
        <x:v>0</x:v>
      </x:c>
      <x:c r="BU170" s="22" t="n">
        <x:f>MAX(0,MIN('Activities'!L170,414)-MAX('Activities'!K170,408))</x:f>
        <x:v>0</x:v>
      </x:c>
      <x:c r="BV170" s="22" t="n">
        <x:f>MAX(0,MIN('Activities'!L170,420)-MAX('Activities'!K170,414))</x:f>
        <x:v>0</x:v>
      </x:c>
      <x:c r="BW170" s="22" t="n">
        <x:f>MAX(0,MIN('Activities'!L170,426)-MAX('Activities'!K170,420))</x:f>
        <x:v>0</x:v>
      </x:c>
      <x:c r="BX170" s="22" t="n">
        <x:f>MAX(0,MIN('Activities'!L170,432)-MAX('Activities'!K170,426))</x:f>
        <x:v>0</x:v>
      </x:c>
      <x:c r="BY170" s="22" t="n">
        <x:f>MAX(0,MIN('Activities'!L170,438)-MAX('Activities'!K170,432))</x:f>
        <x:v>0</x:v>
      </x:c>
      <x:c r="BZ170" s="22" t="n">
        <x:f>MAX(0,MIN('Activities'!L170,444)-MAX('Activities'!K170,438))</x:f>
        <x:v>0</x:v>
      </x:c>
      <x:c r="CA170" s="22" t="n">
        <x:f>MAX(0,MIN('Activities'!L170,450)-MAX('Activities'!K170,444))</x:f>
        <x:v>0</x:v>
      </x:c>
      <x:c r="CB170" s="22" t="n">
        <x:f>MAX(0,MIN('Activities'!L170,456)-MAX('Activities'!K170,450))</x:f>
        <x:v>0</x:v>
      </x:c>
      <x:c r="CC170" s="22" t="n">
        <x:f>MAX(0,MIN('Activities'!L170,462)-MAX('Activities'!K170,456))</x:f>
        <x:v>0</x:v>
      </x:c>
      <x:c r="CD170" s="22" t="n">
        <x:f>MAX(0,MIN('Activities'!L170,468)-MAX('Activities'!K170,462))</x:f>
        <x:v>0</x:v>
      </x:c>
      <x:c r="CE170" s="22" t="n">
        <x:f>MAX(0,MIN('Activities'!L170,474)-MAX('Activities'!K170,468))</x:f>
        <x:v>0</x:v>
      </x:c>
      <x:c r="CF170" s="22" t="n">
        <x:f>MAX(0,MIN('Activities'!L170,480)-MAX('Activities'!K170,474))</x:f>
        <x:v>0</x:v>
      </x:c>
      <x:c r="CG170" s="22" t="n">
        <x:f>MAX(0,MIN('Activities'!L170,486)-MAX('Activities'!K170,480))</x:f>
        <x:v>0</x:v>
      </x:c>
      <x:c r="CH170" s="22" t="n">
        <x:f>MAX(0,MIN('Activities'!L170,492)-MAX('Activities'!K170,486))</x:f>
        <x:v>0</x:v>
      </x:c>
      <x:c r="CI170" s="22" t="n">
        <x:f>MAX(0,MIN('Activities'!L170,498)-MAX('Activities'!K170,492))</x:f>
        <x:v>0</x:v>
      </x:c>
      <x:c r="CJ170" s="22" t="n">
        <x:f>MAX(0,MIN('Activities'!L170,504)-MAX('Activities'!K170,498))</x:f>
        <x:v>0</x:v>
      </x:c>
      <x:c r="CK170" s="22" t="n">
        <x:f>MAX(0,MIN('Activities'!L170,510)-MAX('Activities'!K170,504))</x:f>
        <x:v>0</x:v>
      </x:c>
      <x:c r="CL170" s="22" t="n">
        <x:f>MAX(0,MIN('Activities'!L170,516)-MAX('Activities'!K170,510))</x:f>
        <x:v>0</x:v>
      </x:c>
      <x:c r="CM170" s="22" t="n">
        <x:f>MAX(0,MIN('Activities'!L170,522)-MAX('Activities'!K170,516))</x:f>
        <x:v>0</x:v>
      </x:c>
      <x:c r="CN170" s="22" t="n">
        <x:f>MAX(0,MIN('Activities'!L170,528)-MAX('Activities'!K170,522))</x:f>
        <x:v>0</x:v>
      </x:c>
      <x:c r="CO170" s="22" t="n">
        <x:f>MAX(0,MIN('Activities'!L170,534)-MAX('Activities'!K170,528))</x:f>
        <x:v>0</x:v>
      </x:c>
      <x:c r="CP170" s="22" t="n">
        <x:f>MAX(0,MIN('Activities'!L170,540)-MAX('Activities'!K170,534))</x:f>
        <x:v>0</x:v>
      </x:c>
      <x:c r="CQ170" s="22" t="n">
        <x:f>MAX(0,MIN('Activities'!L170,546)-MAX('Activities'!K170,540))</x:f>
        <x:v>0</x:v>
      </x:c>
      <x:c r="CR170" s="22" t="n">
        <x:f>MAX(0,MIN('Activities'!L170,552)-MAX('Activities'!K170,546))</x:f>
        <x:v>0</x:v>
      </x:c>
      <x:c r="CS170" s="22" t="n">
        <x:f>MAX(0,MIN('Activities'!L170,558)-MAX('Activities'!K170,552))</x:f>
        <x:v>0</x:v>
      </x:c>
      <x:c r="CT170" s="22" t="n">
        <x:f>MAX(0,MIN('Activities'!L170,564)-MAX('Activities'!K170,558))</x:f>
        <x:v>0</x:v>
      </x:c>
      <x:c r="CU170" s="22" t="n">
        <x:f>MAX(0,MIN('Activities'!L170,570)-MAX('Activities'!K170,564))</x:f>
        <x:v>0</x:v>
      </x:c>
      <x:c r="CV170" s="22" t="n">
        <x:f>MAX(0,MIN('Activities'!L170,576)-MAX('Activities'!K170,570))</x:f>
        <x:v>0</x:v>
      </x:c>
      <x:c r="CW170" s="22" t="n">
        <x:f>MAX(0,MIN('Activities'!L170,582)-MAX('Activities'!K170,576))</x:f>
        <x:v>0</x:v>
      </x:c>
      <x:c r="CX170" s="22" t="n">
        <x:f>MAX(0,MIN('Activities'!L170,588)-MAX('Activities'!K170,582))</x:f>
        <x:v>0</x:v>
      </x:c>
      <x:c r="CY170" s="22" t="n">
        <x:f>MAX(0,MIN('Activities'!L170,594)-MAX('Activities'!K170,588))</x:f>
        <x:v>0</x:v>
      </x:c>
      <x:c r="CZ170" s="22" t="n">
        <x:f>MAX(0,MIN('Activities'!L170,600)-MAX('Activities'!K170,594))</x:f>
        <x:v>0</x:v>
      </x:c>
      <x:c r="DA170" s="22" t="n">
        <x:f>MAX(0,MIN('Activities'!L170,606)-MAX('Activities'!K170,600))</x:f>
        <x:v>0</x:v>
      </x:c>
      <x:c r="DB170" s="22" t="n">
        <x:f>MAX(0,MIN('Activities'!L170,612)-MAX('Activities'!K170,606))</x:f>
        <x:v>0</x:v>
      </x:c>
      <x:c r="DC170" s="22" t="n">
        <x:f>MAX(0,MIN('Activities'!L170,618)-MAX('Activities'!K170,612))</x:f>
        <x:v>0</x:v>
      </x:c>
      <x:c r="DD170" s="22" t="n">
        <x:f>MAX(0,MIN('Activities'!L170,624)-MAX('Activities'!K170,618))</x:f>
        <x:v>0</x:v>
      </x:c>
      <x:c r="DE170" s="22" t="n">
        <x:f>MAX(0,MIN('Activities'!L170,630)-MAX('Activities'!K170,624))</x:f>
        <x:v>0</x:v>
      </x:c>
      <x:c r="DF170" s="22" t="n">
        <x:f>MAX(0,MIN('Activities'!L170,636)-MAX('Activities'!K170,630))</x:f>
        <x:v>0</x:v>
      </x:c>
    </x:row>
    <x:row r="171" ht="23" customHeight="1">
      <x:c r="A171" s="1" t="str">
        <x:v>T2-L05-C</x:v>
      </x:c>
      <x:c r="B171" s="1" t="str">
        <x:v>T2</x:v>
      </x:c>
      <x:c r="C171" s="1" t="str">
        <x:v>Concrete placement and finishing</x:v>
      </x:c>
      <x:c r="D171" s="1" t="str">
        <x:v>Concrete</x:v>
      </x:c>
      <x:c r="E171" s="23" t="n">
        <x:f>MAX(0,MIN('Activities'!L171,6)-MAX('Activities'!K171,0))</x:f>
        <x:v>0</x:v>
      </x:c>
      <x:c r="F171" s="23" t="n">
        <x:f>MAX(0,MIN('Activities'!L171,12)-MAX('Activities'!K171,6))</x:f>
        <x:v>0</x:v>
      </x:c>
      <x:c r="G171" s="23" t="n">
        <x:f>MAX(0,MIN('Activities'!L171,18)-MAX('Activities'!K171,12))</x:f>
        <x:v>0</x:v>
      </x:c>
      <x:c r="H171" s="23" t="n">
        <x:f>MAX(0,MIN('Activities'!L171,24)-MAX('Activities'!K171,18))</x:f>
        <x:v>0</x:v>
      </x:c>
      <x:c r="I171" s="23" t="n">
        <x:f>MAX(0,MIN('Activities'!L171,30)-MAX('Activities'!K171,24))</x:f>
        <x:v>0</x:v>
      </x:c>
      <x:c r="J171" s="23" t="n">
        <x:f>MAX(0,MIN('Activities'!L171,36)-MAX('Activities'!K171,30))</x:f>
        <x:v>0</x:v>
      </x:c>
      <x:c r="K171" s="23" t="n">
        <x:f>MAX(0,MIN('Activities'!L171,42)-MAX('Activities'!K171,36))</x:f>
        <x:v>0</x:v>
      </x:c>
      <x:c r="L171" s="23" t="n">
        <x:f>MAX(0,MIN('Activities'!L171,48)-MAX('Activities'!K171,42))</x:f>
        <x:v>0</x:v>
      </x:c>
      <x:c r="M171" s="23" t="n">
        <x:f>MAX(0,MIN('Activities'!L171,54)-MAX('Activities'!K171,48))</x:f>
        <x:v>0</x:v>
      </x:c>
      <x:c r="N171" s="23" t="n">
        <x:f>MAX(0,MIN('Activities'!L171,60)-MAX('Activities'!K171,54))</x:f>
        <x:v>0</x:v>
      </x:c>
      <x:c r="O171" s="23" t="n">
        <x:f>MAX(0,MIN('Activities'!L171,66)-MAX('Activities'!K171,60))</x:f>
        <x:v>0</x:v>
      </x:c>
      <x:c r="P171" s="23" t="n">
        <x:f>MAX(0,MIN('Activities'!L171,72)-MAX('Activities'!K171,66))</x:f>
        <x:v>0</x:v>
      </x:c>
      <x:c r="Q171" s="23" t="n">
        <x:f>MAX(0,MIN('Activities'!L171,78)-MAX('Activities'!K171,72))</x:f>
        <x:v>0</x:v>
      </x:c>
      <x:c r="R171" s="23" t="n">
        <x:f>MAX(0,MIN('Activities'!L171,84)-MAX('Activities'!K171,78))</x:f>
        <x:v>0</x:v>
      </x:c>
      <x:c r="S171" s="23" t="n">
        <x:f>MAX(0,MIN('Activities'!L171,90)-MAX('Activities'!K171,84))</x:f>
        <x:v>0</x:v>
      </x:c>
      <x:c r="T171" s="23" t="n">
        <x:f>MAX(0,MIN('Activities'!L171,96)-MAX('Activities'!K171,90))</x:f>
        <x:v>0</x:v>
      </x:c>
      <x:c r="U171" s="23" t="n">
        <x:f>MAX(0,MIN('Activities'!L171,102)-MAX('Activities'!K171,96))</x:f>
        <x:v>0</x:v>
      </x:c>
      <x:c r="V171" s="23" t="n">
        <x:f>MAX(0,MIN('Activities'!L171,108)-MAX('Activities'!K171,102))</x:f>
        <x:v>0</x:v>
      </x:c>
      <x:c r="W171" s="23" t="n">
        <x:f>MAX(0,MIN('Activities'!L171,114)-MAX('Activities'!K171,108))</x:f>
        <x:v>0</x:v>
      </x:c>
      <x:c r="X171" s="23" t="n">
        <x:f>MAX(0,MIN('Activities'!L171,120)-MAX('Activities'!K171,114))</x:f>
        <x:v>0</x:v>
      </x:c>
      <x:c r="Y171" s="23" t="n">
        <x:f>MAX(0,MIN('Activities'!L171,126)-MAX('Activities'!K171,120))</x:f>
        <x:v>0</x:v>
      </x:c>
      <x:c r="Z171" s="23" t="n">
        <x:f>MAX(0,MIN('Activities'!L171,132)-MAX('Activities'!K171,126))</x:f>
        <x:v>0</x:v>
      </x:c>
      <x:c r="AA171" s="23" t="n">
        <x:f>MAX(0,MIN('Activities'!L171,138)-MAX('Activities'!K171,132))</x:f>
        <x:v>0</x:v>
      </x:c>
      <x:c r="AB171" s="23" t="n">
        <x:f>MAX(0,MIN('Activities'!L171,144)-MAX('Activities'!K171,138))</x:f>
        <x:v>0</x:v>
      </x:c>
      <x:c r="AC171" s="23" t="n">
        <x:f>MAX(0,MIN('Activities'!L171,150)-MAX('Activities'!K171,144))</x:f>
        <x:v>0</x:v>
      </x:c>
      <x:c r="AD171" s="23" t="n">
        <x:f>MAX(0,MIN('Activities'!L171,156)-MAX('Activities'!K171,150))</x:f>
        <x:v>0</x:v>
      </x:c>
      <x:c r="AE171" s="23" t="n">
        <x:f>MAX(0,MIN('Activities'!L171,162)-MAX('Activities'!K171,156))</x:f>
        <x:v>0</x:v>
      </x:c>
      <x:c r="AF171" s="23" t="n">
        <x:f>MAX(0,MIN('Activities'!L171,168)-MAX('Activities'!K171,162))</x:f>
        <x:v>0</x:v>
      </x:c>
      <x:c r="AG171" s="23" t="n">
        <x:f>MAX(0,MIN('Activities'!L171,174)-MAX('Activities'!K171,168))</x:f>
        <x:v>0</x:v>
      </x:c>
      <x:c r="AH171" s="23" t="n">
        <x:f>MAX(0,MIN('Activities'!L171,180)-MAX('Activities'!K171,174))</x:f>
        <x:v>0</x:v>
      </x:c>
      <x:c r="AI171" s="23" t="n">
        <x:f>MAX(0,MIN('Activities'!L171,186)-MAX('Activities'!K171,180))</x:f>
        <x:v>0</x:v>
      </x:c>
      <x:c r="AJ171" s="23" t="n">
        <x:f>MAX(0,MIN('Activities'!L171,192)-MAX('Activities'!K171,186))</x:f>
        <x:v>0</x:v>
      </x:c>
      <x:c r="AK171" s="23" t="n">
        <x:f>MAX(0,MIN('Activities'!L171,198)-MAX('Activities'!K171,192))</x:f>
        <x:v>0</x:v>
      </x:c>
      <x:c r="AL171" s="23" t="n">
        <x:f>MAX(0,MIN('Activities'!L171,204)-MAX('Activities'!K171,198))</x:f>
        <x:v>0</x:v>
      </x:c>
      <x:c r="AM171" s="23" t="n">
        <x:f>MAX(0,MIN('Activities'!L171,210)-MAX('Activities'!K171,204))</x:f>
        <x:v>0</x:v>
      </x:c>
      <x:c r="AN171" s="23" t="n">
        <x:f>MAX(0,MIN('Activities'!L171,216)-MAX('Activities'!K171,210))</x:f>
        <x:v>0</x:v>
      </x:c>
      <x:c r="AO171" s="23" t="n">
        <x:f>MAX(0,MIN('Activities'!L171,222)-MAX('Activities'!K171,216))</x:f>
        <x:v>0</x:v>
      </x:c>
      <x:c r="AP171" s="23" t="n">
        <x:f>MAX(0,MIN('Activities'!L171,228)-MAX('Activities'!K171,222))</x:f>
        <x:v>0</x:v>
      </x:c>
      <x:c r="AQ171" s="23" t="n">
        <x:f>MAX(0,MIN('Activities'!L171,234)-MAX('Activities'!K171,228))</x:f>
        <x:v>0</x:v>
      </x:c>
      <x:c r="AR171" s="23" t="n">
        <x:f>MAX(0,MIN('Activities'!L171,240)-MAX('Activities'!K171,234))</x:f>
        <x:v>0</x:v>
      </x:c>
      <x:c r="AS171" s="23" t="n">
        <x:f>MAX(0,MIN('Activities'!L171,246)-MAX('Activities'!K171,240))</x:f>
        <x:v>0</x:v>
      </x:c>
      <x:c r="AT171" s="23" t="n">
        <x:f>MAX(0,MIN('Activities'!L171,252)-MAX('Activities'!K171,246))</x:f>
        <x:v>2</x:v>
      </x:c>
      <x:c r="AU171" s="23" t="n">
        <x:f>MAX(0,MIN('Activities'!L171,258)-MAX('Activities'!K171,252))</x:f>
        <x:v>0</x:v>
      </x:c>
      <x:c r="AV171" s="23" t="n">
        <x:f>MAX(0,MIN('Activities'!L171,264)-MAX('Activities'!K171,258))</x:f>
        <x:v>0</x:v>
      </x:c>
      <x:c r="AW171" s="23" t="n">
        <x:f>MAX(0,MIN('Activities'!L171,270)-MAX('Activities'!K171,264))</x:f>
        <x:v>0</x:v>
      </x:c>
      <x:c r="AX171" s="23" t="n">
        <x:f>MAX(0,MIN('Activities'!L171,276)-MAX('Activities'!K171,270))</x:f>
        <x:v>0</x:v>
      </x:c>
      <x:c r="AY171" s="23" t="n">
        <x:f>MAX(0,MIN('Activities'!L171,282)-MAX('Activities'!K171,276))</x:f>
        <x:v>0</x:v>
      </x:c>
      <x:c r="AZ171" s="23" t="n">
        <x:f>MAX(0,MIN('Activities'!L171,288)-MAX('Activities'!K171,282))</x:f>
        <x:v>0</x:v>
      </x:c>
      <x:c r="BA171" s="23" t="n">
        <x:f>MAX(0,MIN('Activities'!L171,294)-MAX('Activities'!K171,288))</x:f>
        <x:v>0</x:v>
      </x:c>
      <x:c r="BB171" s="23" t="n">
        <x:f>MAX(0,MIN('Activities'!L171,300)-MAX('Activities'!K171,294))</x:f>
        <x:v>0</x:v>
      </x:c>
      <x:c r="BC171" s="23" t="n">
        <x:f>MAX(0,MIN('Activities'!L171,306)-MAX('Activities'!K171,300))</x:f>
        <x:v>0</x:v>
      </x:c>
      <x:c r="BD171" s="23" t="n">
        <x:f>MAX(0,MIN('Activities'!L171,312)-MAX('Activities'!K171,306))</x:f>
        <x:v>0</x:v>
      </x:c>
      <x:c r="BE171" s="23" t="n">
        <x:f>MAX(0,MIN('Activities'!L171,318)-MAX('Activities'!K171,312))</x:f>
        <x:v>0</x:v>
      </x:c>
      <x:c r="BF171" s="23" t="n">
        <x:f>MAX(0,MIN('Activities'!L171,324)-MAX('Activities'!K171,318))</x:f>
        <x:v>0</x:v>
      </x:c>
      <x:c r="BG171" s="23" t="n">
        <x:f>MAX(0,MIN('Activities'!L171,330)-MAX('Activities'!K171,324))</x:f>
        <x:v>0</x:v>
      </x:c>
      <x:c r="BH171" s="23" t="n">
        <x:f>MAX(0,MIN('Activities'!L171,336)-MAX('Activities'!K171,330))</x:f>
        <x:v>0</x:v>
      </x:c>
      <x:c r="BI171" s="23" t="n">
        <x:f>MAX(0,MIN('Activities'!L171,342)-MAX('Activities'!K171,336))</x:f>
        <x:v>0</x:v>
      </x:c>
      <x:c r="BJ171" s="23" t="n">
        <x:f>MAX(0,MIN('Activities'!L171,348)-MAX('Activities'!K171,342))</x:f>
        <x:v>0</x:v>
      </x:c>
      <x:c r="BK171" s="23" t="n">
        <x:f>MAX(0,MIN('Activities'!L171,354)-MAX('Activities'!K171,348))</x:f>
        <x:v>0</x:v>
      </x:c>
      <x:c r="BL171" s="23" t="n">
        <x:f>MAX(0,MIN('Activities'!L171,360)-MAX('Activities'!K171,354))</x:f>
        <x:v>0</x:v>
      </x:c>
      <x:c r="BM171" s="23" t="n">
        <x:f>MAX(0,MIN('Activities'!L171,366)-MAX('Activities'!K171,360))</x:f>
        <x:v>0</x:v>
      </x:c>
      <x:c r="BN171" s="23" t="n">
        <x:f>MAX(0,MIN('Activities'!L171,372)-MAX('Activities'!K171,366))</x:f>
        <x:v>0</x:v>
      </x:c>
      <x:c r="BO171" s="23" t="n">
        <x:f>MAX(0,MIN('Activities'!L171,378)-MAX('Activities'!K171,372))</x:f>
        <x:v>0</x:v>
      </x:c>
      <x:c r="BP171" s="23" t="n">
        <x:f>MAX(0,MIN('Activities'!L171,384)-MAX('Activities'!K171,378))</x:f>
        <x:v>0</x:v>
      </x:c>
      <x:c r="BQ171" s="23" t="n">
        <x:f>MAX(0,MIN('Activities'!L171,390)-MAX('Activities'!K171,384))</x:f>
        <x:v>0</x:v>
      </x:c>
      <x:c r="BR171" s="23" t="n">
        <x:f>MAX(0,MIN('Activities'!L171,396)-MAX('Activities'!K171,390))</x:f>
        <x:v>0</x:v>
      </x:c>
      <x:c r="BS171" s="23" t="n">
        <x:f>MAX(0,MIN('Activities'!L171,402)-MAX('Activities'!K171,396))</x:f>
        <x:v>0</x:v>
      </x:c>
      <x:c r="BT171" s="23" t="n">
        <x:f>MAX(0,MIN('Activities'!L171,408)-MAX('Activities'!K171,402))</x:f>
        <x:v>0</x:v>
      </x:c>
      <x:c r="BU171" s="23" t="n">
        <x:f>MAX(0,MIN('Activities'!L171,414)-MAX('Activities'!K171,408))</x:f>
        <x:v>0</x:v>
      </x:c>
      <x:c r="BV171" s="23" t="n">
        <x:f>MAX(0,MIN('Activities'!L171,420)-MAX('Activities'!K171,414))</x:f>
        <x:v>0</x:v>
      </x:c>
      <x:c r="BW171" s="23" t="n">
        <x:f>MAX(0,MIN('Activities'!L171,426)-MAX('Activities'!K171,420))</x:f>
        <x:v>0</x:v>
      </x:c>
      <x:c r="BX171" s="23" t="n">
        <x:f>MAX(0,MIN('Activities'!L171,432)-MAX('Activities'!K171,426))</x:f>
        <x:v>0</x:v>
      </x:c>
      <x:c r="BY171" s="23" t="n">
        <x:f>MAX(0,MIN('Activities'!L171,438)-MAX('Activities'!K171,432))</x:f>
        <x:v>0</x:v>
      </x:c>
      <x:c r="BZ171" s="23" t="n">
        <x:f>MAX(0,MIN('Activities'!L171,444)-MAX('Activities'!K171,438))</x:f>
        <x:v>0</x:v>
      </x:c>
      <x:c r="CA171" s="23" t="n">
        <x:f>MAX(0,MIN('Activities'!L171,450)-MAX('Activities'!K171,444))</x:f>
        <x:v>0</x:v>
      </x:c>
      <x:c r="CB171" s="23" t="n">
        <x:f>MAX(0,MIN('Activities'!L171,456)-MAX('Activities'!K171,450))</x:f>
        <x:v>0</x:v>
      </x:c>
      <x:c r="CC171" s="23" t="n">
        <x:f>MAX(0,MIN('Activities'!L171,462)-MAX('Activities'!K171,456))</x:f>
        <x:v>0</x:v>
      </x:c>
      <x:c r="CD171" s="23" t="n">
        <x:f>MAX(0,MIN('Activities'!L171,468)-MAX('Activities'!K171,462))</x:f>
        <x:v>0</x:v>
      </x:c>
      <x:c r="CE171" s="23" t="n">
        <x:f>MAX(0,MIN('Activities'!L171,474)-MAX('Activities'!K171,468))</x:f>
        <x:v>0</x:v>
      </x:c>
      <x:c r="CF171" s="23" t="n">
        <x:f>MAX(0,MIN('Activities'!L171,480)-MAX('Activities'!K171,474))</x:f>
        <x:v>0</x:v>
      </x:c>
      <x:c r="CG171" s="23" t="n">
        <x:f>MAX(0,MIN('Activities'!L171,486)-MAX('Activities'!K171,480))</x:f>
        <x:v>0</x:v>
      </x:c>
      <x:c r="CH171" s="23" t="n">
        <x:f>MAX(0,MIN('Activities'!L171,492)-MAX('Activities'!K171,486))</x:f>
        <x:v>0</x:v>
      </x:c>
      <x:c r="CI171" s="23" t="n">
        <x:f>MAX(0,MIN('Activities'!L171,498)-MAX('Activities'!K171,492))</x:f>
        <x:v>0</x:v>
      </x:c>
      <x:c r="CJ171" s="23" t="n">
        <x:f>MAX(0,MIN('Activities'!L171,504)-MAX('Activities'!K171,498))</x:f>
        <x:v>0</x:v>
      </x:c>
      <x:c r="CK171" s="23" t="n">
        <x:f>MAX(0,MIN('Activities'!L171,510)-MAX('Activities'!K171,504))</x:f>
        <x:v>0</x:v>
      </x:c>
      <x:c r="CL171" s="23" t="n">
        <x:f>MAX(0,MIN('Activities'!L171,516)-MAX('Activities'!K171,510))</x:f>
        <x:v>0</x:v>
      </x:c>
      <x:c r="CM171" s="23" t="n">
        <x:f>MAX(0,MIN('Activities'!L171,522)-MAX('Activities'!K171,516))</x:f>
        <x:v>0</x:v>
      </x:c>
      <x:c r="CN171" s="23" t="n">
        <x:f>MAX(0,MIN('Activities'!L171,528)-MAX('Activities'!K171,522))</x:f>
        <x:v>0</x:v>
      </x:c>
      <x:c r="CO171" s="23" t="n">
        <x:f>MAX(0,MIN('Activities'!L171,534)-MAX('Activities'!K171,528))</x:f>
        <x:v>0</x:v>
      </x:c>
      <x:c r="CP171" s="23" t="n">
        <x:f>MAX(0,MIN('Activities'!L171,540)-MAX('Activities'!K171,534))</x:f>
        <x:v>0</x:v>
      </x:c>
      <x:c r="CQ171" s="23" t="n">
        <x:f>MAX(0,MIN('Activities'!L171,546)-MAX('Activities'!K171,540))</x:f>
        <x:v>0</x:v>
      </x:c>
      <x:c r="CR171" s="23" t="n">
        <x:f>MAX(0,MIN('Activities'!L171,552)-MAX('Activities'!K171,546))</x:f>
        <x:v>0</x:v>
      </x:c>
      <x:c r="CS171" s="23" t="n">
        <x:f>MAX(0,MIN('Activities'!L171,558)-MAX('Activities'!K171,552))</x:f>
        <x:v>0</x:v>
      </x:c>
      <x:c r="CT171" s="23" t="n">
        <x:f>MAX(0,MIN('Activities'!L171,564)-MAX('Activities'!K171,558))</x:f>
        <x:v>0</x:v>
      </x:c>
      <x:c r="CU171" s="23" t="n">
        <x:f>MAX(0,MIN('Activities'!L171,570)-MAX('Activities'!K171,564))</x:f>
        <x:v>0</x:v>
      </x:c>
      <x:c r="CV171" s="23" t="n">
        <x:f>MAX(0,MIN('Activities'!L171,576)-MAX('Activities'!K171,570))</x:f>
        <x:v>0</x:v>
      </x:c>
      <x:c r="CW171" s="23" t="n">
        <x:f>MAX(0,MIN('Activities'!L171,582)-MAX('Activities'!K171,576))</x:f>
        <x:v>0</x:v>
      </x:c>
      <x:c r="CX171" s="23" t="n">
        <x:f>MAX(0,MIN('Activities'!L171,588)-MAX('Activities'!K171,582))</x:f>
        <x:v>0</x:v>
      </x:c>
      <x:c r="CY171" s="23" t="n">
        <x:f>MAX(0,MIN('Activities'!L171,594)-MAX('Activities'!K171,588))</x:f>
        <x:v>0</x:v>
      </x:c>
      <x:c r="CZ171" s="23" t="n">
        <x:f>MAX(0,MIN('Activities'!L171,600)-MAX('Activities'!K171,594))</x:f>
        <x:v>0</x:v>
      </x:c>
      <x:c r="DA171" s="23" t="n">
        <x:f>MAX(0,MIN('Activities'!L171,606)-MAX('Activities'!K171,600))</x:f>
        <x:v>0</x:v>
      </x:c>
      <x:c r="DB171" s="23" t="n">
        <x:f>MAX(0,MIN('Activities'!L171,612)-MAX('Activities'!K171,606))</x:f>
        <x:v>0</x:v>
      </x:c>
      <x:c r="DC171" s="23" t="n">
        <x:f>MAX(0,MIN('Activities'!L171,618)-MAX('Activities'!K171,612))</x:f>
        <x:v>0</x:v>
      </x:c>
      <x:c r="DD171" s="23" t="n">
        <x:f>MAX(0,MIN('Activities'!L171,624)-MAX('Activities'!K171,618))</x:f>
        <x:v>0</x:v>
      </x:c>
      <x:c r="DE171" s="23" t="n">
        <x:f>MAX(0,MIN('Activities'!L171,630)-MAX('Activities'!K171,624))</x:f>
        <x:v>0</x:v>
      </x:c>
      <x:c r="DF171" s="23" t="n">
        <x:f>MAX(0,MIN('Activities'!L171,636)-MAX('Activities'!K171,630))</x:f>
        <x:v>0</x:v>
      </x:c>
    </x:row>
    <x:row r="172" ht="23" customHeight="1">
      <x:c r="A172" s="6" t="str">
        <x:v>T2-L05-H</x:v>
      </x:c>
      <x:c r="B172" s="6" t="str">
        <x:v>T2</x:v>
      </x:c>
      <x:c r="C172" s="6" t="str">
        <x:v>Curing and release hold point</x:v>
      </x:c>
      <x:c r="D172" s="6" t="str">
        <x:v>Site</x:v>
      </x:c>
      <x:c r="E172" s="22" t="n">
        <x:f>MAX(0,MIN('Activities'!L172,6)-MAX('Activities'!K172,0))</x:f>
        <x:v>0</x:v>
      </x:c>
      <x:c r="F172" s="22" t="n">
        <x:f>MAX(0,MIN('Activities'!L172,12)-MAX('Activities'!K172,6))</x:f>
        <x:v>0</x:v>
      </x:c>
      <x:c r="G172" s="22" t="n">
        <x:f>MAX(0,MIN('Activities'!L172,18)-MAX('Activities'!K172,12))</x:f>
        <x:v>0</x:v>
      </x:c>
      <x:c r="H172" s="22" t="n">
        <x:f>MAX(0,MIN('Activities'!L172,24)-MAX('Activities'!K172,18))</x:f>
        <x:v>0</x:v>
      </x:c>
      <x:c r="I172" s="22" t="n">
        <x:f>MAX(0,MIN('Activities'!L172,30)-MAX('Activities'!K172,24))</x:f>
        <x:v>0</x:v>
      </x:c>
      <x:c r="J172" s="22" t="n">
        <x:f>MAX(0,MIN('Activities'!L172,36)-MAX('Activities'!K172,30))</x:f>
        <x:v>0</x:v>
      </x:c>
      <x:c r="K172" s="22" t="n">
        <x:f>MAX(0,MIN('Activities'!L172,42)-MAX('Activities'!K172,36))</x:f>
        <x:v>0</x:v>
      </x:c>
      <x:c r="L172" s="22" t="n">
        <x:f>MAX(0,MIN('Activities'!L172,48)-MAX('Activities'!K172,42))</x:f>
        <x:v>0</x:v>
      </x:c>
      <x:c r="M172" s="22" t="n">
        <x:f>MAX(0,MIN('Activities'!L172,54)-MAX('Activities'!K172,48))</x:f>
        <x:v>0</x:v>
      </x:c>
      <x:c r="N172" s="22" t="n">
        <x:f>MAX(0,MIN('Activities'!L172,60)-MAX('Activities'!K172,54))</x:f>
        <x:v>0</x:v>
      </x:c>
      <x:c r="O172" s="22" t="n">
        <x:f>MAX(0,MIN('Activities'!L172,66)-MAX('Activities'!K172,60))</x:f>
        <x:v>0</x:v>
      </x:c>
      <x:c r="P172" s="22" t="n">
        <x:f>MAX(0,MIN('Activities'!L172,72)-MAX('Activities'!K172,66))</x:f>
        <x:v>0</x:v>
      </x:c>
      <x:c r="Q172" s="22" t="n">
        <x:f>MAX(0,MIN('Activities'!L172,78)-MAX('Activities'!K172,72))</x:f>
        <x:v>0</x:v>
      </x:c>
      <x:c r="R172" s="22" t="n">
        <x:f>MAX(0,MIN('Activities'!L172,84)-MAX('Activities'!K172,78))</x:f>
        <x:v>0</x:v>
      </x:c>
      <x:c r="S172" s="22" t="n">
        <x:f>MAX(0,MIN('Activities'!L172,90)-MAX('Activities'!K172,84))</x:f>
        <x:v>0</x:v>
      </x:c>
      <x:c r="T172" s="22" t="n">
        <x:f>MAX(0,MIN('Activities'!L172,96)-MAX('Activities'!K172,90))</x:f>
        <x:v>0</x:v>
      </x:c>
      <x:c r="U172" s="22" t="n">
        <x:f>MAX(0,MIN('Activities'!L172,102)-MAX('Activities'!K172,96))</x:f>
        <x:v>0</x:v>
      </x:c>
      <x:c r="V172" s="22" t="n">
        <x:f>MAX(0,MIN('Activities'!L172,108)-MAX('Activities'!K172,102))</x:f>
        <x:v>0</x:v>
      </x:c>
      <x:c r="W172" s="22" t="n">
        <x:f>MAX(0,MIN('Activities'!L172,114)-MAX('Activities'!K172,108))</x:f>
        <x:v>0</x:v>
      </x:c>
      <x:c r="X172" s="22" t="n">
        <x:f>MAX(0,MIN('Activities'!L172,120)-MAX('Activities'!K172,114))</x:f>
        <x:v>0</x:v>
      </x:c>
      <x:c r="Y172" s="22" t="n">
        <x:f>MAX(0,MIN('Activities'!L172,126)-MAX('Activities'!K172,120))</x:f>
        <x:v>0</x:v>
      </x:c>
      <x:c r="Z172" s="22" t="n">
        <x:f>MAX(0,MIN('Activities'!L172,132)-MAX('Activities'!K172,126))</x:f>
        <x:v>0</x:v>
      </x:c>
      <x:c r="AA172" s="22" t="n">
        <x:f>MAX(0,MIN('Activities'!L172,138)-MAX('Activities'!K172,132))</x:f>
        <x:v>0</x:v>
      </x:c>
      <x:c r="AB172" s="22" t="n">
        <x:f>MAX(0,MIN('Activities'!L172,144)-MAX('Activities'!K172,138))</x:f>
        <x:v>0</x:v>
      </x:c>
      <x:c r="AC172" s="22" t="n">
        <x:f>MAX(0,MIN('Activities'!L172,150)-MAX('Activities'!K172,144))</x:f>
        <x:v>0</x:v>
      </x:c>
      <x:c r="AD172" s="22" t="n">
        <x:f>MAX(0,MIN('Activities'!L172,156)-MAX('Activities'!K172,150))</x:f>
        <x:v>0</x:v>
      </x:c>
      <x:c r="AE172" s="22" t="n">
        <x:f>MAX(0,MIN('Activities'!L172,162)-MAX('Activities'!K172,156))</x:f>
        <x:v>0</x:v>
      </x:c>
      <x:c r="AF172" s="22" t="n">
        <x:f>MAX(0,MIN('Activities'!L172,168)-MAX('Activities'!K172,162))</x:f>
        <x:v>0</x:v>
      </x:c>
      <x:c r="AG172" s="22" t="n">
        <x:f>MAX(0,MIN('Activities'!L172,174)-MAX('Activities'!K172,168))</x:f>
        <x:v>0</x:v>
      </x:c>
      <x:c r="AH172" s="22" t="n">
        <x:f>MAX(0,MIN('Activities'!L172,180)-MAX('Activities'!K172,174))</x:f>
        <x:v>0</x:v>
      </x:c>
      <x:c r="AI172" s="22" t="n">
        <x:f>MAX(0,MIN('Activities'!L172,186)-MAX('Activities'!K172,180))</x:f>
        <x:v>0</x:v>
      </x:c>
      <x:c r="AJ172" s="22" t="n">
        <x:f>MAX(0,MIN('Activities'!L172,192)-MAX('Activities'!K172,186))</x:f>
        <x:v>0</x:v>
      </x:c>
      <x:c r="AK172" s="22" t="n">
        <x:f>MAX(0,MIN('Activities'!L172,198)-MAX('Activities'!K172,192))</x:f>
        <x:v>0</x:v>
      </x:c>
      <x:c r="AL172" s="22" t="n">
        <x:f>MAX(0,MIN('Activities'!L172,204)-MAX('Activities'!K172,198))</x:f>
        <x:v>0</x:v>
      </x:c>
      <x:c r="AM172" s="22" t="n">
        <x:f>MAX(0,MIN('Activities'!L172,210)-MAX('Activities'!K172,204))</x:f>
        <x:v>0</x:v>
      </x:c>
      <x:c r="AN172" s="22" t="n">
        <x:f>MAX(0,MIN('Activities'!L172,216)-MAX('Activities'!K172,210))</x:f>
        <x:v>0</x:v>
      </x:c>
      <x:c r="AO172" s="22" t="n">
        <x:f>MAX(0,MIN('Activities'!L172,222)-MAX('Activities'!K172,216))</x:f>
        <x:v>0</x:v>
      </x:c>
      <x:c r="AP172" s="22" t="n">
        <x:f>MAX(0,MIN('Activities'!L172,228)-MAX('Activities'!K172,222))</x:f>
        <x:v>0</x:v>
      </x:c>
      <x:c r="AQ172" s="22" t="n">
        <x:f>MAX(0,MIN('Activities'!L172,234)-MAX('Activities'!K172,228))</x:f>
        <x:v>0</x:v>
      </x:c>
      <x:c r="AR172" s="22" t="n">
        <x:f>MAX(0,MIN('Activities'!L172,240)-MAX('Activities'!K172,234))</x:f>
        <x:v>0</x:v>
      </x:c>
      <x:c r="AS172" s="22" t="n">
        <x:f>MAX(0,MIN('Activities'!L172,246)-MAX('Activities'!K172,240))</x:f>
        <x:v>0</x:v>
      </x:c>
      <x:c r="AT172" s="22" t="n">
        <x:f>MAX(0,MIN('Activities'!L172,252)-MAX('Activities'!K172,246))</x:f>
        <x:v>3</x:v>
      </x:c>
      <x:c r="AU172" s="22" t="n">
        <x:f>MAX(0,MIN('Activities'!L172,258)-MAX('Activities'!K172,252))</x:f>
        <x:v>2</x:v>
      </x:c>
      <x:c r="AV172" s="22" t="n">
        <x:f>MAX(0,MIN('Activities'!L172,264)-MAX('Activities'!K172,258))</x:f>
        <x:v>0</x:v>
      </x:c>
      <x:c r="AW172" s="22" t="n">
        <x:f>MAX(0,MIN('Activities'!L172,270)-MAX('Activities'!K172,264))</x:f>
        <x:v>0</x:v>
      </x:c>
      <x:c r="AX172" s="22" t="n">
        <x:f>MAX(0,MIN('Activities'!L172,276)-MAX('Activities'!K172,270))</x:f>
        <x:v>0</x:v>
      </x:c>
      <x:c r="AY172" s="22" t="n">
        <x:f>MAX(0,MIN('Activities'!L172,282)-MAX('Activities'!K172,276))</x:f>
        <x:v>0</x:v>
      </x:c>
      <x:c r="AZ172" s="22" t="n">
        <x:f>MAX(0,MIN('Activities'!L172,288)-MAX('Activities'!K172,282))</x:f>
        <x:v>0</x:v>
      </x:c>
      <x:c r="BA172" s="22" t="n">
        <x:f>MAX(0,MIN('Activities'!L172,294)-MAX('Activities'!K172,288))</x:f>
        <x:v>0</x:v>
      </x:c>
      <x:c r="BB172" s="22" t="n">
        <x:f>MAX(0,MIN('Activities'!L172,300)-MAX('Activities'!K172,294))</x:f>
        <x:v>0</x:v>
      </x:c>
      <x:c r="BC172" s="22" t="n">
        <x:f>MAX(0,MIN('Activities'!L172,306)-MAX('Activities'!K172,300))</x:f>
        <x:v>0</x:v>
      </x:c>
      <x:c r="BD172" s="22" t="n">
        <x:f>MAX(0,MIN('Activities'!L172,312)-MAX('Activities'!K172,306))</x:f>
        <x:v>0</x:v>
      </x:c>
      <x:c r="BE172" s="22" t="n">
        <x:f>MAX(0,MIN('Activities'!L172,318)-MAX('Activities'!K172,312))</x:f>
        <x:v>0</x:v>
      </x:c>
      <x:c r="BF172" s="22" t="n">
        <x:f>MAX(0,MIN('Activities'!L172,324)-MAX('Activities'!K172,318))</x:f>
        <x:v>0</x:v>
      </x:c>
      <x:c r="BG172" s="22" t="n">
        <x:f>MAX(0,MIN('Activities'!L172,330)-MAX('Activities'!K172,324))</x:f>
        <x:v>0</x:v>
      </x:c>
      <x:c r="BH172" s="22" t="n">
        <x:f>MAX(0,MIN('Activities'!L172,336)-MAX('Activities'!K172,330))</x:f>
        <x:v>0</x:v>
      </x:c>
      <x:c r="BI172" s="22" t="n">
        <x:f>MAX(0,MIN('Activities'!L172,342)-MAX('Activities'!K172,336))</x:f>
        <x:v>0</x:v>
      </x:c>
      <x:c r="BJ172" s="22" t="n">
        <x:f>MAX(0,MIN('Activities'!L172,348)-MAX('Activities'!K172,342))</x:f>
        <x:v>0</x:v>
      </x:c>
      <x:c r="BK172" s="22" t="n">
        <x:f>MAX(0,MIN('Activities'!L172,354)-MAX('Activities'!K172,348))</x:f>
        <x:v>0</x:v>
      </x:c>
      <x:c r="BL172" s="22" t="n">
        <x:f>MAX(0,MIN('Activities'!L172,360)-MAX('Activities'!K172,354))</x:f>
        <x:v>0</x:v>
      </x:c>
      <x:c r="BM172" s="22" t="n">
        <x:f>MAX(0,MIN('Activities'!L172,366)-MAX('Activities'!K172,360))</x:f>
        <x:v>0</x:v>
      </x:c>
      <x:c r="BN172" s="22" t="n">
        <x:f>MAX(0,MIN('Activities'!L172,372)-MAX('Activities'!K172,366))</x:f>
        <x:v>0</x:v>
      </x:c>
      <x:c r="BO172" s="22" t="n">
        <x:f>MAX(0,MIN('Activities'!L172,378)-MAX('Activities'!K172,372))</x:f>
        <x:v>0</x:v>
      </x:c>
      <x:c r="BP172" s="22" t="n">
        <x:f>MAX(0,MIN('Activities'!L172,384)-MAX('Activities'!K172,378))</x:f>
        <x:v>0</x:v>
      </x:c>
      <x:c r="BQ172" s="22" t="n">
        <x:f>MAX(0,MIN('Activities'!L172,390)-MAX('Activities'!K172,384))</x:f>
        <x:v>0</x:v>
      </x:c>
      <x:c r="BR172" s="22" t="n">
        <x:f>MAX(0,MIN('Activities'!L172,396)-MAX('Activities'!K172,390))</x:f>
        <x:v>0</x:v>
      </x:c>
      <x:c r="BS172" s="22" t="n">
        <x:f>MAX(0,MIN('Activities'!L172,402)-MAX('Activities'!K172,396))</x:f>
        <x:v>0</x:v>
      </x:c>
      <x:c r="BT172" s="22" t="n">
        <x:f>MAX(0,MIN('Activities'!L172,408)-MAX('Activities'!K172,402))</x:f>
        <x:v>0</x:v>
      </x:c>
      <x:c r="BU172" s="22" t="n">
        <x:f>MAX(0,MIN('Activities'!L172,414)-MAX('Activities'!K172,408))</x:f>
        <x:v>0</x:v>
      </x:c>
      <x:c r="BV172" s="22" t="n">
        <x:f>MAX(0,MIN('Activities'!L172,420)-MAX('Activities'!K172,414))</x:f>
        <x:v>0</x:v>
      </x:c>
      <x:c r="BW172" s="22" t="n">
        <x:f>MAX(0,MIN('Activities'!L172,426)-MAX('Activities'!K172,420))</x:f>
        <x:v>0</x:v>
      </x:c>
      <x:c r="BX172" s="22" t="n">
        <x:f>MAX(0,MIN('Activities'!L172,432)-MAX('Activities'!K172,426))</x:f>
        <x:v>0</x:v>
      </x:c>
      <x:c r="BY172" s="22" t="n">
        <x:f>MAX(0,MIN('Activities'!L172,438)-MAX('Activities'!K172,432))</x:f>
        <x:v>0</x:v>
      </x:c>
      <x:c r="BZ172" s="22" t="n">
        <x:f>MAX(0,MIN('Activities'!L172,444)-MAX('Activities'!K172,438))</x:f>
        <x:v>0</x:v>
      </x:c>
      <x:c r="CA172" s="22" t="n">
        <x:f>MAX(0,MIN('Activities'!L172,450)-MAX('Activities'!K172,444))</x:f>
        <x:v>0</x:v>
      </x:c>
      <x:c r="CB172" s="22" t="n">
        <x:f>MAX(0,MIN('Activities'!L172,456)-MAX('Activities'!K172,450))</x:f>
        <x:v>0</x:v>
      </x:c>
      <x:c r="CC172" s="22" t="n">
        <x:f>MAX(0,MIN('Activities'!L172,462)-MAX('Activities'!K172,456))</x:f>
        <x:v>0</x:v>
      </x:c>
      <x:c r="CD172" s="22" t="n">
        <x:f>MAX(0,MIN('Activities'!L172,468)-MAX('Activities'!K172,462))</x:f>
        <x:v>0</x:v>
      </x:c>
      <x:c r="CE172" s="22" t="n">
        <x:f>MAX(0,MIN('Activities'!L172,474)-MAX('Activities'!K172,468))</x:f>
        <x:v>0</x:v>
      </x:c>
      <x:c r="CF172" s="22" t="n">
        <x:f>MAX(0,MIN('Activities'!L172,480)-MAX('Activities'!K172,474))</x:f>
        <x:v>0</x:v>
      </x:c>
      <x:c r="CG172" s="22" t="n">
        <x:f>MAX(0,MIN('Activities'!L172,486)-MAX('Activities'!K172,480))</x:f>
        <x:v>0</x:v>
      </x:c>
      <x:c r="CH172" s="22" t="n">
        <x:f>MAX(0,MIN('Activities'!L172,492)-MAX('Activities'!K172,486))</x:f>
        <x:v>0</x:v>
      </x:c>
      <x:c r="CI172" s="22" t="n">
        <x:f>MAX(0,MIN('Activities'!L172,498)-MAX('Activities'!K172,492))</x:f>
        <x:v>0</x:v>
      </x:c>
      <x:c r="CJ172" s="22" t="n">
        <x:f>MAX(0,MIN('Activities'!L172,504)-MAX('Activities'!K172,498))</x:f>
        <x:v>0</x:v>
      </x:c>
      <x:c r="CK172" s="22" t="n">
        <x:f>MAX(0,MIN('Activities'!L172,510)-MAX('Activities'!K172,504))</x:f>
        <x:v>0</x:v>
      </x:c>
      <x:c r="CL172" s="22" t="n">
        <x:f>MAX(0,MIN('Activities'!L172,516)-MAX('Activities'!K172,510))</x:f>
        <x:v>0</x:v>
      </x:c>
      <x:c r="CM172" s="22" t="n">
        <x:f>MAX(0,MIN('Activities'!L172,522)-MAX('Activities'!K172,516))</x:f>
        <x:v>0</x:v>
      </x:c>
      <x:c r="CN172" s="22" t="n">
        <x:f>MAX(0,MIN('Activities'!L172,528)-MAX('Activities'!K172,522))</x:f>
        <x:v>0</x:v>
      </x:c>
      <x:c r="CO172" s="22" t="n">
        <x:f>MAX(0,MIN('Activities'!L172,534)-MAX('Activities'!K172,528))</x:f>
        <x:v>0</x:v>
      </x:c>
      <x:c r="CP172" s="22" t="n">
        <x:f>MAX(0,MIN('Activities'!L172,540)-MAX('Activities'!K172,534))</x:f>
        <x:v>0</x:v>
      </x:c>
      <x:c r="CQ172" s="22" t="n">
        <x:f>MAX(0,MIN('Activities'!L172,546)-MAX('Activities'!K172,540))</x:f>
        <x:v>0</x:v>
      </x:c>
      <x:c r="CR172" s="22" t="n">
        <x:f>MAX(0,MIN('Activities'!L172,552)-MAX('Activities'!K172,546))</x:f>
        <x:v>0</x:v>
      </x:c>
      <x:c r="CS172" s="22" t="n">
        <x:f>MAX(0,MIN('Activities'!L172,558)-MAX('Activities'!K172,552))</x:f>
        <x:v>0</x:v>
      </x:c>
      <x:c r="CT172" s="22" t="n">
        <x:f>MAX(0,MIN('Activities'!L172,564)-MAX('Activities'!K172,558))</x:f>
        <x:v>0</x:v>
      </x:c>
      <x:c r="CU172" s="22" t="n">
        <x:f>MAX(0,MIN('Activities'!L172,570)-MAX('Activities'!K172,564))</x:f>
        <x:v>0</x:v>
      </x:c>
      <x:c r="CV172" s="22" t="n">
        <x:f>MAX(0,MIN('Activities'!L172,576)-MAX('Activities'!K172,570))</x:f>
        <x:v>0</x:v>
      </x:c>
      <x:c r="CW172" s="22" t="n">
        <x:f>MAX(0,MIN('Activities'!L172,582)-MAX('Activities'!K172,576))</x:f>
        <x:v>0</x:v>
      </x:c>
      <x:c r="CX172" s="22" t="n">
        <x:f>MAX(0,MIN('Activities'!L172,588)-MAX('Activities'!K172,582))</x:f>
        <x:v>0</x:v>
      </x:c>
      <x:c r="CY172" s="22" t="n">
        <x:f>MAX(0,MIN('Activities'!L172,594)-MAX('Activities'!K172,588))</x:f>
        <x:v>0</x:v>
      </x:c>
      <x:c r="CZ172" s="22" t="n">
        <x:f>MAX(0,MIN('Activities'!L172,600)-MAX('Activities'!K172,594))</x:f>
        <x:v>0</x:v>
      </x:c>
      <x:c r="DA172" s="22" t="n">
        <x:f>MAX(0,MIN('Activities'!L172,606)-MAX('Activities'!K172,600))</x:f>
        <x:v>0</x:v>
      </x:c>
      <x:c r="DB172" s="22" t="n">
        <x:f>MAX(0,MIN('Activities'!L172,612)-MAX('Activities'!K172,606))</x:f>
        <x:v>0</x:v>
      </x:c>
      <x:c r="DC172" s="22" t="n">
        <x:f>MAX(0,MIN('Activities'!L172,618)-MAX('Activities'!K172,612))</x:f>
        <x:v>0</x:v>
      </x:c>
      <x:c r="DD172" s="22" t="n">
        <x:f>MAX(0,MIN('Activities'!L172,624)-MAX('Activities'!K172,618))</x:f>
        <x:v>0</x:v>
      </x:c>
      <x:c r="DE172" s="22" t="n">
        <x:f>MAX(0,MIN('Activities'!L172,630)-MAX('Activities'!K172,624))</x:f>
        <x:v>0</x:v>
      </x:c>
      <x:c r="DF172" s="22" t="n">
        <x:f>MAX(0,MIN('Activities'!L172,636)-MAX('Activities'!K172,630))</x:f>
        <x:v>0</x:v>
      </x:c>
    </x:row>
    <x:row r="173" ht="23" customHeight="1">
      <x:c r="A173" s="1" t="str">
        <x:v>T2-L06-F</x:v>
      </x:c>
      <x:c r="B173" s="1" t="str">
        <x:v>T2</x:v>
      </x:c>
      <x:c r="C173" s="1" t="str">
        <x:v>Columns, core and deck formwork</x:v>
      </x:c>
      <x:c r="D173" s="1" t="str">
        <x:v>Formwork</x:v>
      </x:c>
      <x:c r="E173" s="23" t="n">
        <x:f>MAX(0,MIN('Activities'!L173,6)-MAX('Activities'!K173,0))</x:f>
        <x:v>0</x:v>
      </x:c>
      <x:c r="F173" s="23" t="n">
        <x:f>MAX(0,MIN('Activities'!L173,12)-MAX('Activities'!K173,6))</x:f>
        <x:v>0</x:v>
      </x:c>
      <x:c r="G173" s="23" t="n">
        <x:f>MAX(0,MIN('Activities'!L173,18)-MAX('Activities'!K173,12))</x:f>
        <x:v>0</x:v>
      </x:c>
      <x:c r="H173" s="23" t="n">
        <x:f>MAX(0,MIN('Activities'!L173,24)-MAX('Activities'!K173,18))</x:f>
        <x:v>0</x:v>
      </x:c>
      <x:c r="I173" s="23" t="n">
        <x:f>MAX(0,MIN('Activities'!L173,30)-MAX('Activities'!K173,24))</x:f>
        <x:v>0</x:v>
      </x:c>
      <x:c r="J173" s="23" t="n">
        <x:f>MAX(0,MIN('Activities'!L173,36)-MAX('Activities'!K173,30))</x:f>
        <x:v>0</x:v>
      </x:c>
      <x:c r="K173" s="23" t="n">
        <x:f>MAX(0,MIN('Activities'!L173,42)-MAX('Activities'!K173,36))</x:f>
        <x:v>0</x:v>
      </x:c>
      <x:c r="L173" s="23" t="n">
        <x:f>MAX(0,MIN('Activities'!L173,48)-MAX('Activities'!K173,42))</x:f>
        <x:v>0</x:v>
      </x:c>
      <x:c r="M173" s="23" t="n">
        <x:f>MAX(0,MIN('Activities'!L173,54)-MAX('Activities'!K173,48))</x:f>
        <x:v>0</x:v>
      </x:c>
      <x:c r="N173" s="23" t="n">
        <x:f>MAX(0,MIN('Activities'!L173,60)-MAX('Activities'!K173,54))</x:f>
        <x:v>0</x:v>
      </x:c>
      <x:c r="O173" s="23" t="n">
        <x:f>MAX(0,MIN('Activities'!L173,66)-MAX('Activities'!K173,60))</x:f>
        <x:v>0</x:v>
      </x:c>
      <x:c r="P173" s="23" t="n">
        <x:f>MAX(0,MIN('Activities'!L173,72)-MAX('Activities'!K173,66))</x:f>
        <x:v>0</x:v>
      </x:c>
      <x:c r="Q173" s="23" t="n">
        <x:f>MAX(0,MIN('Activities'!L173,78)-MAX('Activities'!K173,72))</x:f>
        <x:v>0</x:v>
      </x:c>
      <x:c r="R173" s="23" t="n">
        <x:f>MAX(0,MIN('Activities'!L173,84)-MAX('Activities'!K173,78))</x:f>
        <x:v>0</x:v>
      </x:c>
      <x:c r="S173" s="23" t="n">
        <x:f>MAX(0,MIN('Activities'!L173,90)-MAX('Activities'!K173,84))</x:f>
        <x:v>0</x:v>
      </x:c>
      <x:c r="T173" s="23" t="n">
        <x:f>MAX(0,MIN('Activities'!L173,96)-MAX('Activities'!K173,90))</x:f>
        <x:v>0</x:v>
      </x:c>
      <x:c r="U173" s="23" t="n">
        <x:f>MAX(0,MIN('Activities'!L173,102)-MAX('Activities'!K173,96))</x:f>
        <x:v>0</x:v>
      </x:c>
      <x:c r="V173" s="23" t="n">
        <x:f>MAX(0,MIN('Activities'!L173,108)-MAX('Activities'!K173,102))</x:f>
        <x:v>0</x:v>
      </x:c>
      <x:c r="W173" s="23" t="n">
        <x:f>MAX(0,MIN('Activities'!L173,114)-MAX('Activities'!K173,108))</x:f>
        <x:v>0</x:v>
      </x:c>
      <x:c r="X173" s="23" t="n">
        <x:f>MAX(0,MIN('Activities'!L173,120)-MAX('Activities'!K173,114))</x:f>
        <x:v>0</x:v>
      </x:c>
      <x:c r="Y173" s="23" t="n">
        <x:f>MAX(0,MIN('Activities'!L173,126)-MAX('Activities'!K173,120))</x:f>
        <x:v>0</x:v>
      </x:c>
      <x:c r="Z173" s="23" t="n">
        <x:f>MAX(0,MIN('Activities'!L173,132)-MAX('Activities'!K173,126))</x:f>
        <x:v>0</x:v>
      </x:c>
      <x:c r="AA173" s="23" t="n">
        <x:f>MAX(0,MIN('Activities'!L173,138)-MAX('Activities'!K173,132))</x:f>
        <x:v>0</x:v>
      </x:c>
      <x:c r="AB173" s="23" t="n">
        <x:f>MAX(0,MIN('Activities'!L173,144)-MAX('Activities'!K173,138))</x:f>
        <x:v>0</x:v>
      </x:c>
      <x:c r="AC173" s="23" t="n">
        <x:f>MAX(0,MIN('Activities'!L173,150)-MAX('Activities'!K173,144))</x:f>
        <x:v>0</x:v>
      </x:c>
      <x:c r="AD173" s="23" t="n">
        <x:f>MAX(0,MIN('Activities'!L173,156)-MAX('Activities'!K173,150))</x:f>
        <x:v>0</x:v>
      </x:c>
      <x:c r="AE173" s="23" t="n">
        <x:f>MAX(0,MIN('Activities'!L173,162)-MAX('Activities'!K173,156))</x:f>
        <x:v>0</x:v>
      </x:c>
      <x:c r="AF173" s="23" t="n">
        <x:f>MAX(0,MIN('Activities'!L173,168)-MAX('Activities'!K173,162))</x:f>
        <x:v>0</x:v>
      </x:c>
      <x:c r="AG173" s="23" t="n">
        <x:f>MAX(0,MIN('Activities'!L173,174)-MAX('Activities'!K173,168))</x:f>
        <x:v>0</x:v>
      </x:c>
      <x:c r="AH173" s="23" t="n">
        <x:f>MAX(0,MIN('Activities'!L173,180)-MAX('Activities'!K173,174))</x:f>
        <x:v>0</x:v>
      </x:c>
      <x:c r="AI173" s="23" t="n">
        <x:f>MAX(0,MIN('Activities'!L173,186)-MAX('Activities'!K173,180))</x:f>
        <x:v>0</x:v>
      </x:c>
      <x:c r="AJ173" s="23" t="n">
        <x:f>MAX(0,MIN('Activities'!L173,192)-MAX('Activities'!K173,186))</x:f>
        <x:v>0</x:v>
      </x:c>
      <x:c r="AK173" s="23" t="n">
        <x:f>MAX(0,MIN('Activities'!L173,198)-MAX('Activities'!K173,192))</x:f>
        <x:v>0</x:v>
      </x:c>
      <x:c r="AL173" s="23" t="n">
        <x:f>MAX(0,MIN('Activities'!L173,204)-MAX('Activities'!K173,198))</x:f>
        <x:v>0</x:v>
      </x:c>
      <x:c r="AM173" s="23" t="n">
        <x:f>MAX(0,MIN('Activities'!L173,210)-MAX('Activities'!K173,204))</x:f>
        <x:v>0</x:v>
      </x:c>
      <x:c r="AN173" s="23" t="n">
        <x:f>MAX(0,MIN('Activities'!L173,216)-MAX('Activities'!K173,210))</x:f>
        <x:v>0</x:v>
      </x:c>
      <x:c r="AO173" s="23" t="n">
        <x:f>MAX(0,MIN('Activities'!L173,222)-MAX('Activities'!K173,216))</x:f>
        <x:v>0</x:v>
      </x:c>
      <x:c r="AP173" s="23" t="n">
        <x:f>MAX(0,MIN('Activities'!L173,228)-MAX('Activities'!K173,222))</x:f>
        <x:v>0</x:v>
      </x:c>
      <x:c r="AQ173" s="23" t="n">
        <x:f>MAX(0,MIN('Activities'!L173,234)-MAX('Activities'!K173,228))</x:f>
        <x:v>0</x:v>
      </x:c>
      <x:c r="AR173" s="23" t="n">
        <x:f>MAX(0,MIN('Activities'!L173,240)-MAX('Activities'!K173,234))</x:f>
        <x:v>0</x:v>
      </x:c>
      <x:c r="AS173" s="23" t="n">
        <x:f>MAX(0,MIN('Activities'!L173,246)-MAX('Activities'!K173,240))</x:f>
        <x:v>0</x:v>
      </x:c>
      <x:c r="AT173" s="23" t="n">
        <x:f>MAX(0,MIN('Activities'!L173,252)-MAX('Activities'!K173,246))</x:f>
        <x:v>0</x:v>
      </x:c>
      <x:c r="AU173" s="23" t="n">
        <x:f>MAX(0,MIN('Activities'!L173,258)-MAX('Activities'!K173,252))</x:f>
        <x:v>4</x:v>
      </x:c>
      <x:c r="AV173" s="23" t="n">
        <x:f>MAX(0,MIN('Activities'!L173,264)-MAX('Activities'!K173,258))</x:f>
        <x:v>2</x:v>
      </x:c>
      <x:c r="AW173" s="23" t="n">
        <x:f>MAX(0,MIN('Activities'!L173,270)-MAX('Activities'!K173,264))</x:f>
        <x:v>0</x:v>
      </x:c>
      <x:c r="AX173" s="23" t="n">
        <x:f>MAX(0,MIN('Activities'!L173,276)-MAX('Activities'!K173,270))</x:f>
        <x:v>0</x:v>
      </x:c>
      <x:c r="AY173" s="23" t="n">
        <x:f>MAX(0,MIN('Activities'!L173,282)-MAX('Activities'!K173,276))</x:f>
        <x:v>0</x:v>
      </x:c>
      <x:c r="AZ173" s="23" t="n">
        <x:f>MAX(0,MIN('Activities'!L173,288)-MAX('Activities'!K173,282))</x:f>
        <x:v>0</x:v>
      </x:c>
      <x:c r="BA173" s="23" t="n">
        <x:f>MAX(0,MIN('Activities'!L173,294)-MAX('Activities'!K173,288))</x:f>
        <x:v>0</x:v>
      </x:c>
      <x:c r="BB173" s="23" t="n">
        <x:f>MAX(0,MIN('Activities'!L173,300)-MAX('Activities'!K173,294))</x:f>
        <x:v>0</x:v>
      </x:c>
      <x:c r="BC173" s="23" t="n">
        <x:f>MAX(0,MIN('Activities'!L173,306)-MAX('Activities'!K173,300))</x:f>
        <x:v>0</x:v>
      </x:c>
      <x:c r="BD173" s="23" t="n">
        <x:f>MAX(0,MIN('Activities'!L173,312)-MAX('Activities'!K173,306))</x:f>
        <x:v>0</x:v>
      </x:c>
      <x:c r="BE173" s="23" t="n">
        <x:f>MAX(0,MIN('Activities'!L173,318)-MAX('Activities'!K173,312))</x:f>
        <x:v>0</x:v>
      </x:c>
      <x:c r="BF173" s="23" t="n">
        <x:f>MAX(0,MIN('Activities'!L173,324)-MAX('Activities'!K173,318))</x:f>
        <x:v>0</x:v>
      </x:c>
      <x:c r="BG173" s="23" t="n">
        <x:f>MAX(0,MIN('Activities'!L173,330)-MAX('Activities'!K173,324))</x:f>
        <x:v>0</x:v>
      </x:c>
      <x:c r="BH173" s="23" t="n">
        <x:f>MAX(0,MIN('Activities'!L173,336)-MAX('Activities'!K173,330))</x:f>
        <x:v>0</x:v>
      </x:c>
      <x:c r="BI173" s="23" t="n">
        <x:f>MAX(0,MIN('Activities'!L173,342)-MAX('Activities'!K173,336))</x:f>
        <x:v>0</x:v>
      </x:c>
      <x:c r="BJ173" s="23" t="n">
        <x:f>MAX(0,MIN('Activities'!L173,348)-MAX('Activities'!K173,342))</x:f>
        <x:v>0</x:v>
      </x:c>
      <x:c r="BK173" s="23" t="n">
        <x:f>MAX(0,MIN('Activities'!L173,354)-MAX('Activities'!K173,348))</x:f>
        <x:v>0</x:v>
      </x:c>
      <x:c r="BL173" s="23" t="n">
        <x:f>MAX(0,MIN('Activities'!L173,360)-MAX('Activities'!K173,354))</x:f>
        <x:v>0</x:v>
      </x:c>
      <x:c r="BM173" s="23" t="n">
        <x:f>MAX(0,MIN('Activities'!L173,366)-MAX('Activities'!K173,360))</x:f>
        <x:v>0</x:v>
      </x:c>
      <x:c r="BN173" s="23" t="n">
        <x:f>MAX(0,MIN('Activities'!L173,372)-MAX('Activities'!K173,366))</x:f>
        <x:v>0</x:v>
      </x:c>
      <x:c r="BO173" s="23" t="n">
        <x:f>MAX(0,MIN('Activities'!L173,378)-MAX('Activities'!K173,372))</x:f>
        <x:v>0</x:v>
      </x:c>
      <x:c r="BP173" s="23" t="n">
        <x:f>MAX(0,MIN('Activities'!L173,384)-MAX('Activities'!K173,378))</x:f>
        <x:v>0</x:v>
      </x:c>
      <x:c r="BQ173" s="23" t="n">
        <x:f>MAX(0,MIN('Activities'!L173,390)-MAX('Activities'!K173,384))</x:f>
        <x:v>0</x:v>
      </x:c>
      <x:c r="BR173" s="23" t="n">
        <x:f>MAX(0,MIN('Activities'!L173,396)-MAX('Activities'!K173,390))</x:f>
        <x:v>0</x:v>
      </x:c>
      <x:c r="BS173" s="23" t="n">
        <x:f>MAX(0,MIN('Activities'!L173,402)-MAX('Activities'!K173,396))</x:f>
        <x:v>0</x:v>
      </x:c>
      <x:c r="BT173" s="23" t="n">
        <x:f>MAX(0,MIN('Activities'!L173,408)-MAX('Activities'!K173,402))</x:f>
        <x:v>0</x:v>
      </x:c>
      <x:c r="BU173" s="23" t="n">
        <x:f>MAX(0,MIN('Activities'!L173,414)-MAX('Activities'!K173,408))</x:f>
        <x:v>0</x:v>
      </x:c>
      <x:c r="BV173" s="23" t="n">
        <x:f>MAX(0,MIN('Activities'!L173,420)-MAX('Activities'!K173,414))</x:f>
        <x:v>0</x:v>
      </x:c>
      <x:c r="BW173" s="23" t="n">
        <x:f>MAX(0,MIN('Activities'!L173,426)-MAX('Activities'!K173,420))</x:f>
        <x:v>0</x:v>
      </x:c>
      <x:c r="BX173" s="23" t="n">
        <x:f>MAX(0,MIN('Activities'!L173,432)-MAX('Activities'!K173,426))</x:f>
        <x:v>0</x:v>
      </x:c>
      <x:c r="BY173" s="23" t="n">
        <x:f>MAX(0,MIN('Activities'!L173,438)-MAX('Activities'!K173,432))</x:f>
        <x:v>0</x:v>
      </x:c>
      <x:c r="BZ173" s="23" t="n">
        <x:f>MAX(0,MIN('Activities'!L173,444)-MAX('Activities'!K173,438))</x:f>
        <x:v>0</x:v>
      </x:c>
      <x:c r="CA173" s="23" t="n">
        <x:f>MAX(0,MIN('Activities'!L173,450)-MAX('Activities'!K173,444))</x:f>
        <x:v>0</x:v>
      </x:c>
      <x:c r="CB173" s="23" t="n">
        <x:f>MAX(0,MIN('Activities'!L173,456)-MAX('Activities'!K173,450))</x:f>
        <x:v>0</x:v>
      </x:c>
      <x:c r="CC173" s="23" t="n">
        <x:f>MAX(0,MIN('Activities'!L173,462)-MAX('Activities'!K173,456))</x:f>
        <x:v>0</x:v>
      </x:c>
      <x:c r="CD173" s="23" t="n">
        <x:f>MAX(0,MIN('Activities'!L173,468)-MAX('Activities'!K173,462))</x:f>
        <x:v>0</x:v>
      </x:c>
      <x:c r="CE173" s="23" t="n">
        <x:f>MAX(0,MIN('Activities'!L173,474)-MAX('Activities'!K173,468))</x:f>
        <x:v>0</x:v>
      </x:c>
      <x:c r="CF173" s="23" t="n">
        <x:f>MAX(0,MIN('Activities'!L173,480)-MAX('Activities'!K173,474))</x:f>
        <x:v>0</x:v>
      </x:c>
      <x:c r="CG173" s="23" t="n">
        <x:f>MAX(0,MIN('Activities'!L173,486)-MAX('Activities'!K173,480))</x:f>
        <x:v>0</x:v>
      </x:c>
      <x:c r="CH173" s="23" t="n">
        <x:f>MAX(0,MIN('Activities'!L173,492)-MAX('Activities'!K173,486))</x:f>
        <x:v>0</x:v>
      </x:c>
      <x:c r="CI173" s="23" t="n">
        <x:f>MAX(0,MIN('Activities'!L173,498)-MAX('Activities'!K173,492))</x:f>
        <x:v>0</x:v>
      </x:c>
      <x:c r="CJ173" s="23" t="n">
        <x:f>MAX(0,MIN('Activities'!L173,504)-MAX('Activities'!K173,498))</x:f>
        <x:v>0</x:v>
      </x:c>
      <x:c r="CK173" s="23" t="n">
        <x:f>MAX(0,MIN('Activities'!L173,510)-MAX('Activities'!K173,504))</x:f>
        <x:v>0</x:v>
      </x:c>
      <x:c r="CL173" s="23" t="n">
        <x:f>MAX(0,MIN('Activities'!L173,516)-MAX('Activities'!K173,510))</x:f>
        <x:v>0</x:v>
      </x:c>
      <x:c r="CM173" s="23" t="n">
        <x:f>MAX(0,MIN('Activities'!L173,522)-MAX('Activities'!K173,516))</x:f>
        <x:v>0</x:v>
      </x:c>
      <x:c r="CN173" s="23" t="n">
        <x:f>MAX(0,MIN('Activities'!L173,528)-MAX('Activities'!K173,522))</x:f>
        <x:v>0</x:v>
      </x:c>
      <x:c r="CO173" s="23" t="n">
        <x:f>MAX(0,MIN('Activities'!L173,534)-MAX('Activities'!K173,528))</x:f>
        <x:v>0</x:v>
      </x:c>
      <x:c r="CP173" s="23" t="n">
        <x:f>MAX(0,MIN('Activities'!L173,540)-MAX('Activities'!K173,534))</x:f>
        <x:v>0</x:v>
      </x:c>
      <x:c r="CQ173" s="23" t="n">
        <x:f>MAX(0,MIN('Activities'!L173,546)-MAX('Activities'!K173,540))</x:f>
        <x:v>0</x:v>
      </x:c>
      <x:c r="CR173" s="23" t="n">
        <x:f>MAX(0,MIN('Activities'!L173,552)-MAX('Activities'!K173,546))</x:f>
        <x:v>0</x:v>
      </x:c>
      <x:c r="CS173" s="23" t="n">
        <x:f>MAX(0,MIN('Activities'!L173,558)-MAX('Activities'!K173,552))</x:f>
        <x:v>0</x:v>
      </x:c>
      <x:c r="CT173" s="23" t="n">
        <x:f>MAX(0,MIN('Activities'!L173,564)-MAX('Activities'!K173,558))</x:f>
        <x:v>0</x:v>
      </x:c>
      <x:c r="CU173" s="23" t="n">
        <x:f>MAX(0,MIN('Activities'!L173,570)-MAX('Activities'!K173,564))</x:f>
        <x:v>0</x:v>
      </x:c>
      <x:c r="CV173" s="23" t="n">
        <x:f>MAX(0,MIN('Activities'!L173,576)-MAX('Activities'!K173,570))</x:f>
        <x:v>0</x:v>
      </x:c>
      <x:c r="CW173" s="23" t="n">
        <x:f>MAX(0,MIN('Activities'!L173,582)-MAX('Activities'!K173,576))</x:f>
        <x:v>0</x:v>
      </x:c>
      <x:c r="CX173" s="23" t="n">
        <x:f>MAX(0,MIN('Activities'!L173,588)-MAX('Activities'!K173,582))</x:f>
        <x:v>0</x:v>
      </x:c>
      <x:c r="CY173" s="23" t="n">
        <x:f>MAX(0,MIN('Activities'!L173,594)-MAX('Activities'!K173,588))</x:f>
        <x:v>0</x:v>
      </x:c>
      <x:c r="CZ173" s="23" t="n">
        <x:f>MAX(0,MIN('Activities'!L173,600)-MAX('Activities'!K173,594))</x:f>
        <x:v>0</x:v>
      </x:c>
      <x:c r="DA173" s="23" t="n">
        <x:f>MAX(0,MIN('Activities'!L173,606)-MAX('Activities'!K173,600))</x:f>
        <x:v>0</x:v>
      </x:c>
      <x:c r="DB173" s="23" t="n">
        <x:f>MAX(0,MIN('Activities'!L173,612)-MAX('Activities'!K173,606))</x:f>
        <x:v>0</x:v>
      </x:c>
      <x:c r="DC173" s="23" t="n">
        <x:f>MAX(0,MIN('Activities'!L173,618)-MAX('Activities'!K173,612))</x:f>
        <x:v>0</x:v>
      </x:c>
      <x:c r="DD173" s="23" t="n">
        <x:f>MAX(0,MIN('Activities'!L173,624)-MAX('Activities'!K173,618))</x:f>
        <x:v>0</x:v>
      </x:c>
      <x:c r="DE173" s="23" t="n">
        <x:f>MAX(0,MIN('Activities'!L173,630)-MAX('Activities'!K173,624))</x:f>
        <x:v>0</x:v>
      </x:c>
      <x:c r="DF173" s="23" t="n">
        <x:f>MAX(0,MIN('Activities'!L173,636)-MAX('Activities'!K173,630))</x:f>
        <x:v>0</x:v>
      </x:c>
    </x:row>
    <x:row r="174" ht="23" customHeight="1">
      <x:c r="A174" s="6" t="str">
        <x:v>T2-L06-R</x:v>
      </x:c>
      <x:c r="B174" s="6" t="str">
        <x:v>T2</x:v>
      </x:c>
      <x:c r="C174" s="6" t="str">
        <x:v>Column, wall, beam and slab reinforcement</x:v>
      </x:c>
      <x:c r="D174" s="6" t="str">
        <x:v>Rebar</x:v>
      </x:c>
      <x:c r="E174" s="22" t="n">
        <x:f>MAX(0,MIN('Activities'!L174,6)-MAX('Activities'!K174,0))</x:f>
        <x:v>0</x:v>
      </x:c>
      <x:c r="F174" s="22" t="n">
        <x:f>MAX(0,MIN('Activities'!L174,12)-MAX('Activities'!K174,6))</x:f>
        <x:v>0</x:v>
      </x:c>
      <x:c r="G174" s="22" t="n">
        <x:f>MAX(0,MIN('Activities'!L174,18)-MAX('Activities'!K174,12))</x:f>
        <x:v>0</x:v>
      </x:c>
      <x:c r="H174" s="22" t="n">
        <x:f>MAX(0,MIN('Activities'!L174,24)-MAX('Activities'!K174,18))</x:f>
        <x:v>0</x:v>
      </x:c>
      <x:c r="I174" s="22" t="n">
        <x:f>MAX(0,MIN('Activities'!L174,30)-MAX('Activities'!K174,24))</x:f>
        <x:v>0</x:v>
      </x:c>
      <x:c r="J174" s="22" t="n">
        <x:f>MAX(0,MIN('Activities'!L174,36)-MAX('Activities'!K174,30))</x:f>
        <x:v>0</x:v>
      </x:c>
      <x:c r="K174" s="22" t="n">
        <x:f>MAX(0,MIN('Activities'!L174,42)-MAX('Activities'!K174,36))</x:f>
        <x:v>0</x:v>
      </x:c>
      <x:c r="L174" s="22" t="n">
        <x:f>MAX(0,MIN('Activities'!L174,48)-MAX('Activities'!K174,42))</x:f>
        <x:v>0</x:v>
      </x:c>
      <x:c r="M174" s="22" t="n">
        <x:f>MAX(0,MIN('Activities'!L174,54)-MAX('Activities'!K174,48))</x:f>
        <x:v>0</x:v>
      </x:c>
      <x:c r="N174" s="22" t="n">
        <x:f>MAX(0,MIN('Activities'!L174,60)-MAX('Activities'!K174,54))</x:f>
        <x:v>0</x:v>
      </x:c>
      <x:c r="O174" s="22" t="n">
        <x:f>MAX(0,MIN('Activities'!L174,66)-MAX('Activities'!K174,60))</x:f>
        <x:v>0</x:v>
      </x:c>
      <x:c r="P174" s="22" t="n">
        <x:f>MAX(0,MIN('Activities'!L174,72)-MAX('Activities'!K174,66))</x:f>
        <x:v>0</x:v>
      </x:c>
      <x:c r="Q174" s="22" t="n">
        <x:f>MAX(0,MIN('Activities'!L174,78)-MAX('Activities'!K174,72))</x:f>
        <x:v>0</x:v>
      </x:c>
      <x:c r="R174" s="22" t="n">
        <x:f>MAX(0,MIN('Activities'!L174,84)-MAX('Activities'!K174,78))</x:f>
        <x:v>0</x:v>
      </x:c>
      <x:c r="S174" s="22" t="n">
        <x:f>MAX(0,MIN('Activities'!L174,90)-MAX('Activities'!K174,84))</x:f>
        <x:v>0</x:v>
      </x:c>
      <x:c r="T174" s="22" t="n">
        <x:f>MAX(0,MIN('Activities'!L174,96)-MAX('Activities'!K174,90))</x:f>
        <x:v>0</x:v>
      </x:c>
      <x:c r="U174" s="22" t="n">
        <x:f>MAX(0,MIN('Activities'!L174,102)-MAX('Activities'!K174,96))</x:f>
        <x:v>0</x:v>
      </x:c>
      <x:c r="V174" s="22" t="n">
        <x:f>MAX(0,MIN('Activities'!L174,108)-MAX('Activities'!K174,102))</x:f>
        <x:v>0</x:v>
      </x:c>
      <x:c r="W174" s="22" t="n">
        <x:f>MAX(0,MIN('Activities'!L174,114)-MAX('Activities'!K174,108))</x:f>
        <x:v>0</x:v>
      </x:c>
      <x:c r="X174" s="22" t="n">
        <x:f>MAX(0,MIN('Activities'!L174,120)-MAX('Activities'!K174,114))</x:f>
        <x:v>0</x:v>
      </x:c>
      <x:c r="Y174" s="22" t="n">
        <x:f>MAX(0,MIN('Activities'!L174,126)-MAX('Activities'!K174,120))</x:f>
        <x:v>0</x:v>
      </x:c>
      <x:c r="Z174" s="22" t="n">
        <x:f>MAX(0,MIN('Activities'!L174,132)-MAX('Activities'!K174,126))</x:f>
        <x:v>0</x:v>
      </x:c>
      <x:c r="AA174" s="22" t="n">
        <x:f>MAX(0,MIN('Activities'!L174,138)-MAX('Activities'!K174,132))</x:f>
        <x:v>0</x:v>
      </x:c>
      <x:c r="AB174" s="22" t="n">
        <x:f>MAX(0,MIN('Activities'!L174,144)-MAX('Activities'!K174,138))</x:f>
        <x:v>0</x:v>
      </x:c>
      <x:c r="AC174" s="22" t="n">
        <x:f>MAX(0,MIN('Activities'!L174,150)-MAX('Activities'!K174,144))</x:f>
        <x:v>0</x:v>
      </x:c>
      <x:c r="AD174" s="22" t="n">
        <x:f>MAX(0,MIN('Activities'!L174,156)-MAX('Activities'!K174,150))</x:f>
        <x:v>0</x:v>
      </x:c>
      <x:c r="AE174" s="22" t="n">
        <x:f>MAX(0,MIN('Activities'!L174,162)-MAX('Activities'!K174,156))</x:f>
        <x:v>0</x:v>
      </x:c>
      <x:c r="AF174" s="22" t="n">
        <x:f>MAX(0,MIN('Activities'!L174,168)-MAX('Activities'!K174,162))</x:f>
        <x:v>0</x:v>
      </x:c>
      <x:c r="AG174" s="22" t="n">
        <x:f>MAX(0,MIN('Activities'!L174,174)-MAX('Activities'!K174,168))</x:f>
        <x:v>0</x:v>
      </x:c>
      <x:c r="AH174" s="22" t="n">
        <x:f>MAX(0,MIN('Activities'!L174,180)-MAX('Activities'!K174,174))</x:f>
        <x:v>0</x:v>
      </x:c>
      <x:c r="AI174" s="22" t="n">
        <x:f>MAX(0,MIN('Activities'!L174,186)-MAX('Activities'!K174,180))</x:f>
        <x:v>0</x:v>
      </x:c>
      <x:c r="AJ174" s="22" t="n">
        <x:f>MAX(0,MIN('Activities'!L174,192)-MAX('Activities'!K174,186))</x:f>
        <x:v>0</x:v>
      </x:c>
      <x:c r="AK174" s="22" t="n">
        <x:f>MAX(0,MIN('Activities'!L174,198)-MAX('Activities'!K174,192))</x:f>
        <x:v>0</x:v>
      </x:c>
      <x:c r="AL174" s="22" t="n">
        <x:f>MAX(0,MIN('Activities'!L174,204)-MAX('Activities'!K174,198))</x:f>
        <x:v>0</x:v>
      </x:c>
      <x:c r="AM174" s="22" t="n">
        <x:f>MAX(0,MIN('Activities'!L174,210)-MAX('Activities'!K174,204))</x:f>
        <x:v>0</x:v>
      </x:c>
      <x:c r="AN174" s="22" t="n">
        <x:f>MAX(0,MIN('Activities'!L174,216)-MAX('Activities'!K174,210))</x:f>
        <x:v>0</x:v>
      </x:c>
      <x:c r="AO174" s="22" t="n">
        <x:f>MAX(0,MIN('Activities'!L174,222)-MAX('Activities'!K174,216))</x:f>
        <x:v>0</x:v>
      </x:c>
      <x:c r="AP174" s="22" t="n">
        <x:f>MAX(0,MIN('Activities'!L174,228)-MAX('Activities'!K174,222))</x:f>
        <x:v>0</x:v>
      </x:c>
      <x:c r="AQ174" s="22" t="n">
        <x:f>MAX(0,MIN('Activities'!L174,234)-MAX('Activities'!K174,228))</x:f>
        <x:v>0</x:v>
      </x:c>
      <x:c r="AR174" s="22" t="n">
        <x:f>MAX(0,MIN('Activities'!L174,240)-MAX('Activities'!K174,234))</x:f>
        <x:v>0</x:v>
      </x:c>
      <x:c r="AS174" s="22" t="n">
        <x:f>MAX(0,MIN('Activities'!L174,246)-MAX('Activities'!K174,240))</x:f>
        <x:v>0</x:v>
      </x:c>
      <x:c r="AT174" s="22" t="n">
        <x:f>MAX(0,MIN('Activities'!L174,252)-MAX('Activities'!K174,246))</x:f>
        <x:v>0</x:v>
      </x:c>
      <x:c r="AU174" s="22" t="n">
        <x:f>MAX(0,MIN('Activities'!L174,258)-MAX('Activities'!K174,252))</x:f>
        <x:v>0</x:v>
      </x:c>
      <x:c r="AV174" s="22" t="n">
        <x:f>MAX(0,MIN('Activities'!L174,264)-MAX('Activities'!K174,258))</x:f>
        <x:v>4</x:v>
      </x:c>
      <x:c r="AW174" s="22" t="n">
        <x:f>MAX(0,MIN('Activities'!L174,270)-MAX('Activities'!K174,264))</x:f>
        <x:v>1</x:v>
      </x:c>
      <x:c r="AX174" s="22" t="n">
        <x:f>MAX(0,MIN('Activities'!L174,276)-MAX('Activities'!K174,270))</x:f>
        <x:v>0</x:v>
      </x:c>
      <x:c r="AY174" s="22" t="n">
        <x:f>MAX(0,MIN('Activities'!L174,282)-MAX('Activities'!K174,276))</x:f>
        <x:v>0</x:v>
      </x:c>
      <x:c r="AZ174" s="22" t="n">
        <x:f>MAX(0,MIN('Activities'!L174,288)-MAX('Activities'!K174,282))</x:f>
        <x:v>0</x:v>
      </x:c>
      <x:c r="BA174" s="22" t="n">
        <x:f>MAX(0,MIN('Activities'!L174,294)-MAX('Activities'!K174,288))</x:f>
        <x:v>0</x:v>
      </x:c>
      <x:c r="BB174" s="22" t="n">
        <x:f>MAX(0,MIN('Activities'!L174,300)-MAX('Activities'!K174,294))</x:f>
        <x:v>0</x:v>
      </x:c>
      <x:c r="BC174" s="22" t="n">
        <x:f>MAX(0,MIN('Activities'!L174,306)-MAX('Activities'!K174,300))</x:f>
        <x:v>0</x:v>
      </x:c>
      <x:c r="BD174" s="22" t="n">
        <x:f>MAX(0,MIN('Activities'!L174,312)-MAX('Activities'!K174,306))</x:f>
        <x:v>0</x:v>
      </x:c>
      <x:c r="BE174" s="22" t="n">
        <x:f>MAX(0,MIN('Activities'!L174,318)-MAX('Activities'!K174,312))</x:f>
        <x:v>0</x:v>
      </x:c>
      <x:c r="BF174" s="22" t="n">
        <x:f>MAX(0,MIN('Activities'!L174,324)-MAX('Activities'!K174,318))</x:f>
        <x:v>0</x:v>
      </x:c>
      <x:c r="BG174" s="22" t="n">
        <x:f>MAX(0,MIN('Activities'!L174,330)-MAX('Activities'!K174,324))</x:f>
        <x:v>0</x:v>
      </x:c>
      <x:c r="BH174" s="22" t="n">
        <x:f>MAX(0,MIN('Activities'!L174,336)-MAX('Activities'!K174,330))</x:f>
        <x:v>0</x:v>
      </x:c>
      <x:c r="BI174" s="22" t="n">
        <x:f>MAX(0,MIN('Activities'!L174,342)-MAX('Activities'!K174,336))</x:f>
        <x:v>0</x:v>
      </x:c>
      <x:c r="BJ174" s="22" t="n">
        <x:f>MAX(0,MIN('Activities'!L174,348)-MAX('Activities'!K174,342))</x:f>
        <x:v>0</x:v>
      </x:c>
      <x:c r="BK174" s="22" t="n">
        <x:f>MAX(0,MIN('Activities'!L174,354)-MAX('Activities'!K174,348))</x:f>
        <x:v>0</x:v>
      </x:c>
      <x:c r="BL174" s="22" t="n">
        <x:f>MAX(0,MIN('Activities'!L174,360)-MAX('Activities'!K174,354))</x:f>
        <x:v>0</x:v>
      </x:c>
      <x:c r="BM174" s="22" t="n">
        <x:f>MAX(0,MIN('Activities'!L174,366)-MAX('Activities'!K174,360))</x:f>
        <x:v>0</x:v>
      </x:c>
      <x:c r="BN174" s="22" t="n">
        <x:f>MAX(0,MIN('Activities'!L174,372)-MAX('Activities'!K174,366))</x:f>
        <x:v>0</x:v>
      </x:c>
      <x:c r="BO174" s="22" t="n">
        <x:f>MAX(0,MIN('Activities'!L174,378)-MAX('Activities'!K174,372))</x:f>
        <x:v>0</x:v>
      </x:c>
      <x:c r="BP174" s="22" t="n">
        <x:f>MAX(0,MIN('Activities'!L174,384)-MAX('Activities'!K174,378))</x:f>
        <x:v>0</x:v>
      </x:c>
      <x:c r="BQ174" s="22" t="n">
        <x:f>MAX(0,MIN('Activities'!L174,390)-MAX('Activities'!K174,384))</x:f>
        <x:v>0</x:v>
      </x:c>
      <x:c r="BR174" s="22" t="n">
        <x:f>MAX(0,MIN('Activities'!L174,396)-MAX('Activities'!K174,390))</x:f>
        <x:v>0</x:v>
      </x:c>
      <x:c r="BS174" s="22" t="n">
        <x:f>MAX(0,MIN('Activities'!L174,402)-MAX('Activities'!K174,396))</x:f>
        <x:v>0</x:v>
      </x:c>
      <x:c r="BT174" s="22" t="n">
        <x:f>MAX(0,MIN('Activities'!L174,408)-MAX('Activities'!K174,402))</x:f>
        <x:v>0</x:v>
      </x:c>
      <x:c r="BU174" s="22" t="n">
        <x:f>MAX(0,MIN('Activities'!L174,414)-MAX('Activities'!K174,408))</x:f>
        <x:v>0</x:v>
      </x:c>
      <x:c r="BV174" s="22" t="n">
        <x:f>MAX(0,MIN('Activities'!L174,420)-MAX('Activities'!K174,414))</x:f>
        <x:v>0</x:v>
      </x:c>
      <x:c r="BW174" s="22" t="n">
        <x:f>MAX(0,MIN('Activities'!L174,426)-MAX('Activities'!K174,420))</x:f>
        <x:v>0</x:v>
      </x:c>
      <x:c r="BX174" s="22" t="n">
        <x:f>MAX(0,MIN('Activities'!L174,432)-MAX('Activities'!K174,426))</x:f>
        <x:v>0</x:v>
      </x:c>
      <x:c r="BY174" s="22" t="n">
        <x:f>MAX(0,MIN('Activities'!L174,438)-MAX('Activities'!K174,432))</x:f>
        <x:v>0</x:v>
      </x:c>
      <x:c r="BZ174" s="22" t="n">
        <x:f>MAX(0,MIN('Activities'!L174,444)-MAX('Activities'!K174,438))</x:f>
        <x:v>0</x:v>
      </x:c>
      <x:c r="CA174" s="22" t="n">
        <x:f>MAX(0,MIN('Activities'!L174,450)-MAX('Activities'!K174,444))</x:f>
        <x:v>0</x:v>
      </x:c>
      <x:c r="CB174" s="22" t="n">
        <x:f>MAX(0,MIN('Activities'!L174,456)-MAX('Activities'!K174,450))</x:f>
        <x:v>0</x:v>
      </x:c>
      <x:c r="CC174" s="22" t="n">
        <x:f>MAX(0,MIN('Activities'!L174,462)-MAX('Activities'!K174,456))</x:f>
        <x:v>0</x:v>
      </x:c>
      <x:c r="CD174" s="22" t="n">
        <x:f>MAX(0,MIN('Activities'!L174,468)-MAX('Activities'!K174,462))</x:f>
        <x:v>0</x:v>
      </x:c>
      <x:c r="CE174" s="22" t="n">
        <x:f>MAX(0,MIN('Activities'!L174,474)-MAX('Activities'!K174,468))</x:f>
        <x:v>0</x:v>
      </x:c>
      <x:c r="CF174" s="22" t="n">
        <x:f>MAX(0,MIN('Activities'!L174,480)-MAX('Activities'!K174,474))</x:f>
        <x:v>0</x:v>
      </x:c>
      <x:c r="CG174" s="22" t="n">
        <x:f>MAX(0,MIN('Activities'!L174,486)-MAX('Activities'!K174,480))</x:f>
        <x:v>0</x:v>
      </x:c>
      <x:c r="CH174" s="22" t="n">
        <x:f>MAX(0,MIN('Activities'!L174,492)-MAX('Activities'!K174,486))</x:f>
        <x:v>0</x:v>
      </x:c>
      <x:c r="CI174" s="22" t="n">
        <x:f>MAX(0,MIN('Activities'!L174,498)-MAX('Activities'!K174,492))</x:f>
        <x:v>0</x:v>
      </x:c>
      <x:c r="CJ174" s="22" t="n">
        <x:f>MAX(0,MIN('Activities'!L174,504)-MAX('Activities'!K174,498))</x:f>
        <x:v>0</x:v>
      </x:c>
      <x:c r="CK174" s="22" t="n">
        <x:f>MAX(0,MIN('Activities'!L174,510)-MAX('Activities'!K174,504))</x:f>
        <x:v>0</x:v>
      </x:c>
      <x:c r="CL174" s="22" t="n">
        <x:f>MAX(0,MIN('Activities'!L174,516)-MAX('Activities'!K174,510))</x:f>
        <x:v>0</x:v>
      </x:c>
      <x:c r="CM174" s="22" t="n">
        <x:f>MAX(0,MIN('Activities'!L174,522)-MAX('Activities'!K174,516))</x:f>
        <x:v>0</x:v>
      </x:c>
      <x:c r="CN174" s="22" t="n">
        <x:f>MAX(0,MIN('Activities'!L174,528)-MAX('Activities'!K174,522))</x:f>
        <x:v>0</x:v>
      </x:c>
      <x:c r="CO174" s="22" t="n">
        <x:f>MAX(0,MIN('Activities'!L174,534)-MAX('Activities'!K174,528))</x:f>
        <x:v>0</x:v>
      </x:c>
      <x:c r="CP174" s="22" t="n">
        <x:f>MAX(0,MIN('Activities'!L174,540)-MAX('Activities'!K174,534))</x:f>
        <x:v>0</x:v>
      </x:c>
      <x:c r="CQ174" s="22" t="n">
        <x:f>MAX(0,MIN('Activities'!L174,546)-MAX('Activities'!K174,540))</x:f>
        <x:v>0</x:v>
      </x:c>
      <x:c r="CR174" s="22" t="n">
        <x:f>MAX(0,MIN('Activities'!L174,552)-MAX('Activities'!K174,546))</x:f>
        <x:v>0</x:v>
      </x:c>
      <x:c r="CS174" s="22" t="n">
        <x:f>MAX(0,MIN('Activities'!L174,558)-MAX('Activities'!K174,552))</x:f>
        <x:v>0</x:v>
      </x:c>
      <x:c r="CT174" s="22" t="n">
        <x:f>MAX(0,MIN('Activities'!L174,564)-MAX('Activities'!K174,558))</x:f>
        <x:v>0</x:v>
      </x:c>
      <x:c r="CU174" s="22" t="n">
        <x:f>MAX(0,MIN('Activities'!L174,570)-MAX('Activities'!K174,564))</x:f>
        <x:v>0</x:v>
      </x:c>
      <x:c r="CV174" s="22" t="n">
        <x:f>MAX(0,MIN('Activities'!L174,576)-MAX('Activities'!K174,570))</x:f>
        <x:v>0</x:v>
      </x:c>
      <x:c r="CW174" s="22" t="n">
        <x:f>MAX(0,MIN('Activities'!L174,582)-MAX('Activities'!K174,576))</x:f>
        <x:v>0</x:v>
      </x:c>
      <x:c r="CX174" s="22" t="n">
        <x:f>MAX(0,MIN('Activities'!L174,588)-MAX('Activities'!K174,582))</x:f>
        <x:v>0</x:v>
      </x:c>
      <x:c r="CY174" s="22" t="n">
        <x:f>MAX(0,MIN('Activities'!L174,594)-MAX('Activities'!K174,588))</x:f>
        <x:v>0</x:v>
      </x:c>
      <x:c r="CZ174" s="22" t="n">
        <x:f>MAX(0,MIN('Activities'!L174,600)-MAX('Activities'!K174,594))</x:f>
        <x:v>0</x:v>
      </x:c>
      <x:c r="DA174" s="22" t="n">
        <x:f>MAX(0,MIN('Activities'!L174,606)-MAX('Activities'!K174,600))</x:f>
        <x:v>0</x:v>
      </x:c>
      <x:c r="DB174" s="22" t="n">
        <x:f>MAX(0,MIN('Activities'!L174,612)-MAX('Activities'!K174,606))</x:f>
        <x:v>0</x:v>
      </x:c>
      <x:c r="DC174" s="22" t="n">
        <x:f>MAX(0,MIN('Activities'!L174,618)-MAX('Activities'!K174,612))</x:f>
        <x:v>0</x:v>
      </x:c>
      <x:c r="DD174" s="22" t="n">
        <x:f>MAX(0,MIN('Activities'!L174,624)-MAX('Activities'!K174,618))</x:f>
        <x:v>0</x:v>
      </x:c>
      <x:c r="DE174" s="22" t="n">
        <x:f>MAX(0,MIN('Activities'!L174,630)-MAX('Activities'!K174,624))</x:f>
        <x:v>0</x:v>
      </x:c>
      <x:c r="DF174" s="22" t="n">
        <x:f>MAX(0,MIN('Activities'!L174,636)-MAX('Activities'!K174,630))</x:f>
        <x:v>0</x:v>
      </x:c>
    </x:row>
    <x:row r="175" ht="23" customHeight="1">
      <x:c r="A175" s="1" t="str">
        <x:v>T2-L06-C</x:v>
      </x:c>
      <x:c r="B175" s="1" t="str">
        <x:v>T2</x:v>
      </x:c>
      <x:c r="C175" s="1" t="str">
        <x:v>Concrete placement and finishing</x:v>
      </x:c>
      <x:c r="D175" s="1" t="str">
        <x:v>Concrete</x:v>
      </x:c>
      <x:c r="E175" s="23" t="n">
        <x:f>MAX(0,MIN('Activities'!L175,6)-MAX('Activities'!K175,0))</x:f>
        <x:v>0</x:v>
      </x:c>
      <x:c r="F175" s="23" t="n">
        <x:f>MAX(0,MIN('Activities'!L175,12)-MAX('Activities'!K175,6))</x:f>
        <x:v>0</x:v>
      </x:c>
      <x:c r="G175" s="23" t="n">
        <x:f>MAX(0,MIN('Activities'!L175,18)-MAX('Activities'!K175,12))</x:f>
        <x:v>0</x:v>
      </x:c>
      <x:c r="H175" s="23" t="n">
        <x:f>MAX(0,MIN('Activities'!L175,24)-MAX('Activities'!K175,18))</x:f>
        <x:v>0</x:v>
      </x:c>
      <x:c r="I175" s="23" t="n">
        <x:f>MAX(0,MIN('Activities'!L175,30)-MAX('Activities'!K175,24))</x:f>
        <x:v>0</x:v>
      </x:c>
      <x:c r="J175" s="23" t="n">
        <x:f>MAX(0,MIN('Activities'!L175,36)-MAX('Activities'!K175,30))</x:f>
        <x:v>0</x:v>
      </x:c>
      <x:c r="K175" s="23" t="n">
        <x:f>MAX(0,MIN('Activities'!L175,42)-MAX('Activities'!K175,36))</x:f>
        <x:v>0</x:v>
      </x:c>
      <x:c r="L175" s="23" t="n">
        <x:f>MAX(0,MIN('Activities'!L175,48)-MAX('Activities'!K175,42))</x:f>
        <x:v>0</x:v>
      </x:c>
      <x:c r="M175" s="23" t="n">
        <x:f>MAX(0,MIN('Activities'!L175,54)-MAX('Activities'!K175,48))</x:f>
        <x:v>0</x:v>
      </x:c>
      <x:c r="N175" s="23" t="n">
        <x:f>MAX(0,MIN('Activities'!L175,60)-MAX('Activities'!K175,54))</x:f>
        <x:v>0</x:v>
      </x:c>
      <x:c r="O175" s="23" t="n">
        <x:f>MAX(0,MIN('Activities'!L175,66)-MAX('Activities'!K175,60))</x:f>
        <x:v>0</x:v>
      </x:c>
      <x:c r="P175" s="23" t="n">
        <x:f>MAX(0,MIN('Activities'!L175,72)-MAX('Activities'!K175,66))</x:f>
        <x:v>0</x:v>
      </x:c>
      <x:c r="Q175" s="23" t="n">
        <x:f>MAX(0,MIN('Activities'!L175,78)-MAX('Activities'!K175,72))</x:f>
        <x:v>0</x:v>
      </x:c>
      <x:c r="R175" s="23" t="n">
        <x:f>MAX(0,MIN('Activities'!L175,84)-MAX('Activities'!K175,78))</x:f>
        <x:v>0</x:v>
      </x:c>
      <x:c r="S175" s="23" t="n">
        <x:f>MAX(0,MIN('Activities'!L175,90)-MAX('Activities'!K175,84))</x:f>
        <x:v>0</x:v>
      </x:c>
      <x:c r="T175" s="23" t="n">
        <x:f>MAX(0,MIN('Activities'!L175,96)-MAX('Activities'!K175,90))</x:f>
        <x:v>0</x:v>
      </x:c>
      <x:c r="U175" s="23" t="n">
        <x:f>MAX(0,MIN('Activities'!L175,102)-MAX('Activities'!K175,96))</x:f>
        <x:v>0</x:v>
      </x:c>
      <x:c r="V175" s="23" t="n">
        <x:f>MAX(0,MIN('Activities'!L175,108)-MAX('Activities'!K175,102))</x:f>
        <x:v>0</x:v>
      </x:c>
      <x:c r="W175" s="23" t="n">
        <x:f>MAX(0,MIN('Activities'!L175,114)-MAX('Activities'!K175,108))</x:f>
        <x:v>0</x:v>
      </x:c>
      <x:c r="X175" s="23" t="n">
        <x:f>MAX(0,MIN('Activities'!L175,120)-MAX('Activities'!K175,114))</x:f>
        <x:v>0</x:v>
      </x:c>
      <x:c r="Y175" s="23" t="n">
        <x:f>MAX(0,MIN('Activities'!L175,126)-MAX('Activities'!K175,120))</x:f>
        <x:v>0</x:v>
      </x:c>
      <x:c r="Z175" s="23" t="n">
        <x:f>MAX(0,MIN('Activities'!L175,132)-MAX('Activities'!K175,126))</x:f>
        <x:v>0</x:v>
      </x:c>
      <x:c r="AA175" s="23" t="n">
        <x:f>MAX(0,MIN('Activities'!L175,138)-MAX('Activities'!K175,132))</x:f>
        <x:v>0</x:v>
      </x:c>
      <x:c r="AB175" s="23" t="n">
        <x:f>MAX(0,MIN('Activities'!L175,144)-MAX('Activities'!K175,138))</x:f>
        <x:v>0</x:v>
      </x:c>
      <x:c r="AC175" s="23" t="n">
        <x:f>MAX(0,MIN('Activities'!L175,150)-MAX('Activities'!K175,144))</x:f>
        <x:v>0</x:v>
      </x:c>
      <x:c r="AD175" s="23" t="n">
        <x:f>MAX(0,MIN('Activities'!L175,156)-MAX('Activities'!K175,150))</x:f>
        <x:v>0</x:v>
      </x:c>
      <x:c r="AE175" s="23" t="n">
        <x:f>MAX(0,MIN('Activities'!L175,162)-MAX('Activities'!K175,156))</x:f>
        <x:v>0</x:v>
      </x:c>
      <x:c r="AF175" s="23" t="n">
        <x:f>MAX(0,MIN('Activities'!L175,168)-MAX('Activities'!K175,162))</x:f>
        <x:v>0</x:v>
      </x:c>
      <x:c r="AG175" s="23" t="n">
        <x:f>MAX(0,MIN('Activities'!L175,174)-MAX('Activities'!K175,168))</x:f>
        <x:v>0</x:v>
      </x:c>
      <x:c r="AH175" s="23" t="n">
        <x:f>MAX(0,MIN('Activities'!L175,180)-MAX('Activities'!K175,174))</x:f>
        <x:v>0</x:v>
      </x:c>
      <x:c r="AI175" s="23" t="n">
        <x:f>MAX(0,MIN('Activities'!L175,186)-MAX('Activities'!K175,180))</x:f>
        <x:v>0</x:v>
      </x:c>
      <x:c r="AJ175" s="23" t="n">
        <x:f>MAX(0,MIN('Activities'!L175,192)-MAX('Activities'!K175,186))</x:f>
        <x:v>0</x:v>
      </x:c>
      <x:c r="AK175" s="23" t="n">
        <x:f>MAX(0,MIN('Activities'!L175,198)-MAX('Activities'!K175,192))</x:f>
        <x:v>0</x:v>
      </x:c>
      <x:c r="AL175" s="23" t="n">
        <x:f>MAX(0,MIN('Activities'!L175,204)-MAX('Activities'!K175,198))</x:f>
        <x:v>0</x:v>
      </x:c>
      <x:c r="AM175" s="23" t="n">
        <x:f>MAX(0,MIN('Activities'!L175,210)-MAX('Activities'!K175,204))</x:f>
        <x:v>0</x:v>
      </x:c>
      <x:c r="AN175" s="23" t="n">
        <x:f>MAX(0,MIN('Activities'!L175,216)-MAX('Activities'!K175,210))</x:f>
        <x:v>0</x:v>
      </x:c>
      <x:c r="AO175" s="23" t="n">
        <x:f>MAX(0,MIN('Activities'!L175,222)-MAX('Activities'!K175,216))</x:f>
        <x:v>0</x:v>
      </x:c>
      <x:c r="AP175" s="23" t="n">
        <x:f>MAX(0,MIN('Activities'!L175,228)-MAX('Activities'!K175,222))</x:f>
        <x:v>0</x:v>
      </x:c>
      <x:c r="AQ175" s="23" t="n">
        <x:f>MAX(0,MIN('Activities'!L175,234)-MAX('Activities'!K175,228))</x:f>
        <x:v>0</x:v>
      </x:c>
      <x:c r="AR175" s="23" t="n">
        <x:f>MAX(0,MIN('Activities'!L175,240)-MAX('Activities'!K175,234))</x:f>
        <x:v>0</x:v>
      </x:c>
      <x:c r="AS175" s="23" t="n">
        <x:f>MAX(0,MIN('Activities'!L175,246)-MAX('Activities'!K175,240))</x:f>
        <x:v>0</x:v>
      </x:c>
      <x:c r="AT175" s="23" t="n">
        <x:f>MAX(0,MIN('Activities'!L175,252)-MAX('Activities'!K175,246))</x:f>
        <x:v>0</x:v>
      </x:c>
      <x:c r="AU175" s="23" t="n">
        <x:f>MAX(0,MIN('Activities'!L175,258)-MAX('Activities'!K175,252))</x:f>
        <x:v>0</x:v>
      </x:c>
      <x:c r="AV175" s="23" t="n">
        <x:f>MAX(0,MIN('Activities'!L175,264)-MAX('Activities'!K175,258))</x:f>
        <x:v>0</x:v>
      </x:c>
      <x:c r="AW175" s="23" t="n">
        <x:f>MAX(0,MIN('Activities'!L175,270)-MAX('Activities'!K175,264))</x:f>
        <x:v>2</x:v>
      </x:c>
      <x:c r="AX175" s="23" t="n">
        <x:f>MAX(0,MIN('Activities'!L175,276)-MAX('Activities'!K175,270))</x:f>
        <x:v>0</x:v>
      </x:c>
      <x:c r="AY175" s="23" t="n">
        <x:f>MAX(0,MIN('Activities'!L175,282)-MAX('Activities'!K175,276))</x:f>
        <x:v>0</x:v>
      </x:c>
      <x:c r="AZ175" s="23" t="n">
        <x:f>MAX(0,MIN('Activities'!L175,288)-MAX('Activities'!K175,282))</x:f>
        <x:v>0</x:v>
      </x:c>
      <x:c r="BA175" s="23" t="n">
        <x:f>MAX(0,MIN('Activities'!L175,294)-MAX('Activities'!K175,288))</x:f>
        <x:v>0</x:v>
      </x:c>
      <x:c r="BB175" s="23" t="n">
        <x:f>MAX(0,MIN('Activities'!L175,300)-MAX('Activities'!K175,294))</x:f>
        <x:v>0</x:v>
      </x:c>
      <x:c r="BC175" s="23" t="n">
        <x:f>MAX(0,MIN('Activities'!L175,306)-MAX('Activities'!K175,300))</x:f>
        <x:v>0</x:v>
      </x:c>
      <x:c r="BD175" s="23" t="n">
        <x:f>MAX(0,MIN('Activities'!L175,312)-MAX('Activities'!K175,306))</x:f>
        <x:v>0</x:v>
      </x:c>
      <x:c r="BE175" s="23" t="n">
        <x:f>MAX(0,MIN('Activities'!L175,318)-MAX('Activities'!K175,312))</x:f>
        <x:v>0</x:v>
      </x:c>
      <x:c r="BF175" s="23" t="n">
        <x:f>MAX(0,MIN('Activities'!L175,324)-MAX('Activities'!K175,318))</x:f>
        <x:v>0</x:v>
      </x:c>
      <x:c r="BG175" s="23" t="n">
        <x:f>MAX(0,MIN('Activities'!L175,330)-MAX('Activities'!K175,324))</x:f>
        <x:v>0</x:v>
      </x:c>
      <x:c r="BH175" s="23" t="n">
        <x:f>MAX(0,MIN('Activities'!L175,336)-MAX('Activities'!K175,330))</x:f>
        <x:v>0</x:v>
      </x:c>
      <x:c r="BI175" s="23" t="n">
        <x:f>MAX(0,MIN('Activities'!L175,342)-MAX('Activities'!K175,336))</x:f>
        <x:v>0</x:v>
      </x:c>
      <x:c r="BJ175" s="23" t="n">
        <x:f>MAX(0,MIN('Activities'!L175,348)-MAX('Activities'!K175,342))</x:f>
        <x:v>0</x:v>
      </x:c>
      <x:c r="BK175" s="23" t="n">
        <x:f>MAX(0,MIN('Activities'!L175,354)-MAX('Activities'!K175,348))</x:f>
        <x:v>0</x:v>
      </x:c>
      <x:c r="BL175" s="23" t="n">
        <x:f>MAX(0,MIN('Activities'!L175,360)-MAX('Activities'!K175,354))</x:f>
        <x:v>0</x:v>
      </x:c>
      <x:c r="BM175" s="23" t="n">
        <x:f>MAX(0,MIN('Activities'!L175,366)-MAX('Activities'!K175,360))</x:f>
        <x:v>0</x:v>
      </x:c>
      <x:c r="BN175" s="23" t="n">
        <x:f>MAX(0,MIN('Activities'!L175,372)-MAX('Activities'!K175,366))</x:f>
        <x:v>0</x:v>
      </x:c>
      <x:c r="BO175" s="23" t="n">
        <x:f>MAX(0,MIN('Activities'!L175,378)-MAX('Activities'!K175,372))</x:f>
        <x:v>0</x:v>
      </x:c>
      <x:c r="BP175" s="23" t="n">
        <x:f>MAX(0,MIN('Activities'!L175,384)-MAX('Activities'!K175,378))</x:f>
        <x:v>0</x:v>
      </x:c>
      <x:c r="BQ175" s="23" t="n">
        <x:f>MAX(0,MIN('Activities'!L175,390)-MAX('Activities'!K175,384))</x:f>
        <x:v>0</x:v>
      </x:c>
      <x:c r="BR175" s="23" t="n">
        <x:f>MAX(0,MIN('Activities'!L175,396)-MAX('Activities'!K175,390))</x:f>
        <x:v>0</x:v>
      </x:c>
      <x:c r="BS175" s="23" t="n">
        <x:f>MAX(0,MIN('Activities'!L175,402)-MAX('Activities'!K175,396))</x:f>
        <x:v>0</x:v>
      </x:c>
      <x:c r="BT175" s="23" t="n">
        <x:f>MAX(0,MIN('Activities'!L175,408)-MAX('Activities'!K175,402))</x:f>
        <x:v>0</x:v>
      </x:c>
      <x:c r="BU175" s="23" t="n">
        <x:f>MAX(0,MIN('Activities'!L175,414)-MAX('Activities'!K175,408))</x:f>
        <x:v>0</x:v>
      </x:c>
      <x:c r="BV175" s="23" t="n">
        <x:f>MAX(0,MIN('Activities'!L175,420)-MAX('Activities'!K175,414))</x:f>
        <x:v>0</x:v>
      </x:c>
      <x:c r="BW175" s="23" t="n">
        <x:f>MAX(0,MIN('Activities'!L175,426)-MAX('Activities'!K175,420))</x:f>
        <x:v>0</x:v>
      </x:c>
      <x:c r="BX175" s="23" t="n">
        <x:f>MAX(0,MIN('Activities'!L175,432)-MAX('Activities'!K175,426))</x:f>
        <x:v>0</x:v>
      </x:c>
      <x:c r="BY175" s="23" t="n">
        <x:f>MAX(0,MIN('Activities'!L175,438)-MAX('Activities'!K175,432))</x:f>
        <x:v>0</x:v>
      </x:c>
      <x:c r="BZ175" s="23" t="n">
        <x:f>MAX(0,MIN('Activities'!L175,444)-MAX('Activities'!K175,438))</x:f>
        <x:v>0</x:v>
      </x:c>
      <x:c r="CA175" s="23" t="n">
        <x:f>MAX(0,MIN('Activities'!L175,450)-MAX('Activities'!K175,444))</x:f>
        <x:v>0</x:v>
      </x:c>
      <x:c r="CB175" s="23" t="n">
        <x:f>MAX(0,MIN('Activities'!L175,456)-MAX('Activities'!K175,450))</x:f>
        <x:v>0</x:v>
      </x:c>
      <x:c r="CC175" s="23" t="n">
        <x:f>MAX(0,MIN('Activities'!L175,462)-MAX('Activities'!K175,456))</x:f>
        <x:v>0</x:v>
      </x:c>
      <x:c r="CD175" s="23" t="n">
        <x:f>MAX(0,MIN('Activities'!L175,468)-MAX('Activities'!K175,462))</x:f>
        <x:v>0</x:v>
      </x:c>
      <x:c r="CE175" s="23" t="n">
        <x:f>MAX(0,MIN('Activities'!L175,474)-MAX('Activities'!K175,468))</x:f>
        <x:v>0</x:v>
      </x:c>
      <x:c r="CF175" s="23" t="n">
        <x:f>MAX(0,MIN('Activities'!L175,480)-MAX('Activities'!K175,474))</x:f>
        <x:v>0</x:v>
      </x:c>
      <x:c r="CG175" s="23" t="n">
        <x:f>MAX(0,MIN('Activities'!L175,486)-MAX('Activities'!K175,480))</x:f>
        <x:v>0</x:v>
      </x:c>
      <x:c r="CH175" s="23" t="n">
        <x:f>MAX(0,MIN('Activities'!L175,492)-MAX('Activities'!K175,486))</x:f>
        <x:v>0</x:v>
      </x:c>
      <x:c r="CI175" s="23" t="n">
        <x:f>MAX(0,MIN('Activities'!L175,498)-MAX('Activities'!K175,492))</x:f>
        <x:v>0</x:v>
      </x:c>
      <x:c r="CJ175" s="23" t="n">
        <x:f>MAX(0,MIN('Activities'!L175,504)-MAX('Activities'!K175,498))</x:f>
        <x:v>0</x:v>
      </x:c>
      <x:c r="CK175" s="23" t="n">
        <x:f>MAX(0,MIN('Activities'!L175,510)-MAX('Activities'!K175,504))</x:f>
        <x:v>0</x:v>
      </x:c>
      <x:c r="CL175" s="23" t="n">
        <x:f>MAX(0,MIN('Activities'!L175,516)-MAX('Activities'!K175,510))</x:f>
        <x:v>0</x:v>
      </x:c>
      <x:c r="CM175" s="23" t="n">
        <x:f>MAX(0,MIN('Activities'!L175,522)-MAX('Activities'!K175,516))</x:f>
        <x:v>0</x:v>
      </x:c>
      <x:c r="CN175" s="23" t="n">
        <x:f>MAX(0,MIN('Activities'!L175,528)-MAX('Activities'!K175,522))</x:f>
        <x:v>0</x:v>
      </x:c>
      <x:c r="CO175" s="23" t="n">
        <x:f>MAX(0,MIN('Activities'!L175,534)-MAX('Activities'!K175,528))</x:f>
        <x:v>0</x:v>
      </x:c>
      <x:c r="CP175" s="23" t="n">
        <x:f>MAX(0,MIN('Activities'!L175,540)-MAX('Activities'!K175,534))</x:f>
        <x:v>0</x:v>
      </x:c>
      <x:c r="CQ175" s="23" t="n">
        <x:f>MAX(0,MIN('Activities'!L175,546)-MAX('Activities'!K175,540))</x:f>
        <x:v>0</x:v>
      </x:c>
      <x:c r="CR175" s="23" t="n">
        <x:f>MAX(0,MIN('Activities'!L175,552)-MAX('Activities'!K175,546))</x:f>
        <x:v>0</x:v>
      </x:c>
      <x:c r="CS175" s="23" t="n">
        <x:f>MAX(0,MIN('Activities'!L175,558)-MAX('Activities'!K175,552))</x:f>
        <x:v>0</x:v>
      </x:c>
      <x:c r="CT175" s="23" t="n">
        <x:f>MAX(0,MIN('Activities'!L175,564)-MAX('Activities'!K175,558))</x:f>
        <x:v>0</x:v>
      </x:c>
      <x:c r="CU175" s="23" t="n">
        <x:f>MAX(0,MIN('Activities'!L175,570)-MAX('Activities'!K175,564))</x:f>
        <x:v>0</x:v>
      </x:c>
      <x:c r="CV175" s="23" t="n">
        <x:f>MAX(0,MIN('Activities'!L175,576)-MAX('Activities'!K175,570))</x:f>
        <x:v>0</x:v>
      </x:c>
      <x:c r="CW175" s="23" t="n">
        <x:f>MAX(0,MIN('Activities'!L175,582)-MAX('Activities'!K175,576))</x:f>
        <x:v>0</x:v>
      </x:c>
      <x:c r="CX175" s="23" t="n">
        <x:f>MAX(0,MIN('Activities'!L175,588)-MAX('Activities'!K175,582))</x:f>
        <x:v>0</x:v>
      </x:c>
      <x:c r="CY175" s="23" t="n">
        <x:f>MAX(0,MIN('Activities'!L175,594)-MAX('Activities'!K175,588))</x:f>
        <x:v>0</x:v>
      </x:c>
      <x:c r="CZ175" s="23" t="n">
        <x:f>MAX(0,MIN('Activities'!L175,600)-MAX('Activities'!K175,594))</x:f>
        <x:v>0</x:v>
      </x:c>
      <x:c r="DA175" s="23" t="n">
        <x:f>MAX(0,MIN('Activities'!L175,606)-MAX('Activities'!K175,600))</x:f>
        <x:v>0</x:v>
      </x:c>
      <x:c r="DB175" s="23" t="n">
        <x:f>MAX(0,MIN('Activities'!L175,612)-MAX('Activities'!K175,606))</x:f>
        <x:v>0</x:v>
      </x:c>
      <x:c r="DC175" s="23" t="n">
        <x:f>MAX(0,MIN('Activities'!L175,618)-MAX('Activities'!K175,612))</x:f>
        <x:v>0</x:v>
      </x:c>
      <x:c r="DD175" s="23" t="n">
        <x:f>MAX(0,MIN('Activities'!L175,624)-MAX('Activities'!K175,618))</x:f>
        <x:v>0</x:v>
      </x:c>
      <x:c r="DE175" s="23" t="n">
        <x:f>MAX(0,MIN('Activities'!L175,630)-MAX('Activities'!K175,624))</x:f>
        <x:v>0</x:v>
      </x:c>
      <x:c r="DF175" s="23" t="n">
        <x:f>MAX(0,MIN('Activities'!L175,636)-MAX('Activities'!K175,630))</x:f>
        <x:v>0</x:v>
      </x:c>
    </x:row>
    <x:row r="176" ht="23" customHeight="1">
      <x:c r="A176" s="6" t="str">
        <x:v>T2-L06-H</x:v>
      </x:c>
      <x:c r="B176" s="6" t="str">
        <x:v>T2</x:v>
      </x:c>
      <x:c r="C176" s="6" t="str">
        <x:v>Curing and release hold point</x:v>
      </x:c>
      <x:c r="D176" s="6" t="str">
        <x:v>Site</x:v>
      </x:c>
      <x:c r="E176" s="22" t="n">
        <x:f>MAX(0,MIN('Activities'!L176,6)-MAX('Activities'!K176,0))</x:f>
        <x:v>0</x:v>
      </x:c>
      <x:c r="F176" s="22" t="n">
        <x:f>MAX(0,MIN('Activities'!L176,12)-MAX('Activities'!K176,6))</x:f>
        <x:v>0</x:v>
      </x:c>
      <x:c r="G176" s="22" t="n">
        <x:f>MAX(0,MIN('Activities'!L176,18)-MAX('Activities'!K176,12))</x:f>
        <x:v>0</x:v>
      </x:c>
      <x:c r="H176" s="22" t="n">
        <x:f>MAX(0,MIN('Activities'!L176,24)-MAX('Activities'!K176,18))</x:f>
        <x:v>0</x:v>
      </x:c>
      <x:c r="I176" s="22" t="n">
        <x:f>MAX(0,MIN('Activities'!L176,30)-MAX('Activities'!K176,24))</x:f>
        <x:v>0</x:v>
      </x:c>
      <x:c r="J176" s="22" t="n">
        <x:f>MAX(0,MIN('Activities'!L176,36)-MAX('Activities'!K176,30))</x:f>
        <x:v>0</x:v>
      </x:c>
      <x:c r="K176" s="22" t="n">
        <x:f>MAX(0,MIN('Activities'!L176,42)-MAX('Activities'!K176,36))</x:f>
        <x:v>0</x:v>
      </x:c>
      <x:c r="L176" s="22" t="n">
        <x:f>MAX(0,MIN('Activities'!L176,48)-MAX('Activities'!K176,42))</x:f>
        <x:v>0</x:v>
      </x:c>
      <x:c r="M176" s="22" t="n">
        <x:f>MAX(0,MIN('Activities'!L176,54)-MAX('Activities'!K176,48))</x:f>
        <x:v>0</x:v>
      </x:c>
      <x:c r="N176" s="22" t="n">
        <x:f>MAX(0,MIN('Activities'!L176,60)-MAX('Activities'!K176,54))</x:f>
        <x:v>0</x:v>
      </x:c>
      <x:c r="O176" s="22" t="n">
        <x:f>MAX(0,MIN('Activities'!L176,66)-MAX('Activities'!K176,60))</x:f>
        <x:v>0</x:v>
      </x:c>
      <x:c r="P176" s="22" t="n">
        <x:f>MAX(0,MIN('Activities'!L176,72)-MAX('Activities'!K176,66))</x:f>
        <x:v>0</x:v>
      </x:c>
      <x:c r="Q176" s="22" t="n">
        <x:f>MAX(0,MIN('Activities'!L176,78)-MAX('Activities'!K176,72))</x:f>
        <x:v>0</x:v>
      </x:c>
      <x:c r="R176" s="22" t="n">
        <x:f>MAX(0,MIN('Activities'!L176,84)-MAX('Activities'!K176,78))</x:f>
        <x:v>0</x:v>
      </x:c>
      <x:c r="S176" s="22" t="n">
        <x:f>MAX(0,MIN('Activities'!L176,90)-MAX('Activities'!K176,84))</x:f>
        <x:v>0</x:v>
      </x:c>
      <x:c r="T176" s="22" t="n">
        <x:f>MAX(0,MIN('Activities'!L176,96)-MAX('Activities'!K176,90))</x:f>
        <x:v>0</x:v>
      </x:c>
      <x:c r="U176" s="22" t="n">
        <x:f>MAX(0,MIN('Activities'!L176,102)-MAX('Activities'!K176,96))</x:f>
        <x:v>0</x:v>
      </x:c>
      <x:c r="V176" s="22" t="n">
        <x:f>MAX(0,MIN('Activities'!L176,108)-MAX('Activities'!K176,102))</x:f>
        <x:v>0</x:v>
      </x:c>
      <x:c r="W176" s="22" t="n">
        <x:f>MAX(0,MIN('Activities'!L176,114)-MAX('Activities'!K176,108))</x:f>
        <x:v>0</x:v>
      </x:c>
      <x:c r="X176" s="22" t="n">
        <x:f>MAX(0,MIN('Activities'!L176,120)-MAX('Activities'!K176,114))</x:f>
        <x:v>0</x:v>
      </x:c>
      <x:c r="Y176" s="22" t="n">
        <x:f>MAX(0,MIN('Activities'!L176,126)-MAX('Activities'!K176,120))</x:f>
        <x:v>0</x:v>
      </x:c>
      <x:c r="Z176" s="22" t="n">
        <x:f>MAX(0,MIN('Activities'!L176,132)-MAX('Activities'!K176,126))</x:f>
        <x:v>0</x:v>
      </x:c>
      <x:c r="AA176" s="22" t="n">
        <x:f>MAX(0,MIN('Activities'!L176,138)-MAX('Activities'!K176,132))</x:f>
        <x:v>0</x:v>
      </x:c>
      <x:c r="AB176" s="22" t="n">
        <x:f>MAX(0,MIN('Activities'!L176,144)-MAX('Activities'!K176,138))</x:f>
        <x:v>0</x:v>
      </x:c>
      <x:c r="AC176" s="22" t="n">
        <x:f>MAX(0,MIN('Activities'!L176,150)-MAX('Activities'!K176,144))</x:f>
        <x:v>0</x:v>
      </x:c>
      <x:c r="AD176" s="22" t="n">
        <x:f>MAX(0,MIN('Activities'!L176,156)-MAX('Activities'!K176,150))</x:f>
        <x:v>0</x:v>
      </x:c>
      <x:c r="AE176" s="22" t="n">
        <x:f>MAX(0,MIN('Activities'!L176,162)-MAX('Activities'!K176,156))</x:f>
        <x:v>0</x:v>
      </x:c>
      <x:c r="AF176" s="22" t="n">
        <x:f>MAX(0,MIN('Activities'!L176,168)-MAX('Activities'!K176,162))</x:f>
        <x:v>0</x:v>
      </x:c>
      <x:c r="AG176" s="22" t="n">
        <x:f>MAX(0,MIN('Activities'!L176,174)-MAX('Activities'!K176,168))</x:f>
        <x:v>0</x:v>
      </x:c>
      <x:c r="AH176" s="22" t="n">
        <x:f>MAX(0,MIN('Activities'!L176,180)-MAX('Activities'!K176,174))</x:f>
        <x:v>0</x:v>
      </x:c>
      <x:c r="AI176" s="22" t="n">
        <x:f>MAX(0,MIN('Activities'!L176,186)-MAX('Activities'!K176,180))</x:f>
        <x:v>0</x:v>
      </x:c>
      <x:c r="AJ176" s="22" t="n">
        <x:f>MAX(0,MIN('Activities'!L176,192)-MAX('Activities'!K176,186))</x:f>
        <x:v>0</x:v>
      </x:c>
      <x:c r="AK176" s="22" t="n">
        <x:f>MAX(0,MIN('Activities'!L176,198)-MAX('Activities'!K176,192))</x:f>
        <x:v>0</x:v>
      </x:c>
      <x:c r="AL176" s="22" t="n">
        <x:f>MAX(0,MIN('Activities'!L176,204)-MAX('Activities'!K176,198))</x:f>
        <x:v>0</x:v>
      </x:c>
      <x:c r="AM176" s="22" t="n">
        <x:f>MAX(0,MIN('Activities'!L176,210)-MAX('Activities'!K176,204))</x:f>
        <x:v>0</x:v>
      </x:c>
      <x:c r="AN176" s="22" t="n">
        <x:f>MAX(0,MIN('Activities'!L176,216)-MAX('Activities'!K176,210))</x:f>
        <x:v>0</x:v>
      </x:c>
      <x:c r="AO176" s="22" t="n">
        <x:f>MAX(0,MIN('Activities'!L176,222)-MAX('Activities'!K176,216))</x:f>
        <x:v>0</x:v>
      </x:c>
      <x:c r="AP176" s="22" t="n">
        <x:f>MAX(0,MIN('Activities'!L176,228)-MAX('Activities'!K176,222))</x:f>
        <x:v>0</x:v>
      </x:c>
      <x:c r="AQ176" s="22" t="n">
        <x:f>MAX(0,MIN('Activities'!L176,234)-MAX('Activities'!K176,228))</x:f>
        <x:v>0</x:v>
      </x:c>
      <x:c r="AR176" s="22" t="n">
        <x:f>MAX(0,MIN('Activities'!L176,240)-MAX('Activities'!K176,234))</x:f>
        <x:v>0</x:v>
      </x:c>
      <x:c r="AS176" s="22" t="n">
        <x:f>MAX(0,MIN('Activities'!L176,246)-MAX('Activities'!K176,240))</x:f>
        <x:v>0</x:v>
      </x:c>
      <x:c r="AT176" s="22" t="n">
        <x:f>MAX(0,MIN('Activities'!L176,252)-MAX('Activities'!K176,246))</x:f>
        <x:v>0</x:v>
      </x:c>
      <x:c r="AU176" s="22" t="n">
        <x:f>MAX(0,MIN('Activities'!L176,258)-MAX('Activities'!K176,252))</x:f>
        <x:v>0</x:v>
      </x:c>
      <x:c r="AV176" s="22" t="n">
        <x:f>MAX(0,MIN('Activities'!L176,264)-MAX('Activities'!K176,258))</x:f>
        <x:v>0</x:v>
      </x:c>
      <x:c r="AW176" s="22" t="n">
        <x:f>MAX(0,MIN('Activities'!L176,270)-MAX('Activities'!K176,264))</x:f>
        <x:v>3</x:v>
      </x:c>
      <x:c r="AX176" s="22" t="n">
        <x:f>MAX(0,MIN('Activities'!L176,276)-MAX('Activities'!K176,270))</x:f>
        <x:v>2</x:v>
      </x:c>
      <x:c r="AY176" s="22" t="n">
        <x:f>MAX(0,MIN('Activities'!L176,282)-MAX('Activities'!K176,276))</x:f>
        <x:v>0</x:v>
      </x:c>
      <x:c r="AZ176" s="22" t="n">
        <x:f>MAX(0,MIN('Activities'!L176,288)-MAX('Activities'!K176,282))</x:f>
        <x:v>0</x:v>
      </x:c>
      <x:c r="BA176" s="22" t="n">
        <x:f>MAX(0,MIN('Activities'!L176,294)-MAX('Activities'!K176,288))</x:f>
        <x:v>0</x:v>
      </x:c>
      <x:c r="BB176" s="22" t="n">
        <x:f>MAX(0,MIN('Activities'!L176,300)-MAX('Activities'!K176,294))</x:f>
        <x:v>0</x:v>
      </x:c>
      <x:c r="BC176" s="22" t="n">
        <x:f>MAX(0,MIN('Activities'!L176,306)-MAX('Activities'!K176,300))</x:f>
        <x:v>0</x:v>
      </x:c>
      <x:c r="BD176" s="22" t="n">
        <x:f>MAX(0,MIN('Activities'!L176,312)-MAX('Activities'!K176,306))</x:f>
        <x:v>0</x:v>
      </x:c>
      <x:c r="BE176" s="22" t="n">
        <x:f>MAX(0,MIN('Activities'!L176,318)-MAX('Activities'!K176,312))</x:f>
        <x:v>0</x:v>
      </x:c>
      <x:c r="BF176" s="22" t="n">
        <x:f>MAX(0,MIN('Activities'!L176,324)-MAX('Activities'!K176,318))</x:f>
        <x:v>0</x:v>
      </x:c>
      <x:c r="BG176" s="22" t="n">
        <x:f>MAX(0,MIN('Activities'!L176,330)-MAX('Activities'!K176,324))</x:f>
        <x:v>0</x:v>
      </x:c>
      <x:c r="BH176" s="22" t="n">
        <x:f>MAX(0,MIN('Activities'!L176,336)-MAX('Activities'!K176,330))</x:f>
        <x:v>0</x:v>
      </x:c>
      <x:c r="BI176" s="22" t="n">
        <x:f>MAX(0,MIN('Activities'!L176,342)-MAX('Activities'!K176,336))</x:f>
        <x:v>0</x:v>
      </x:c>
      <x:c r="BJ176" s="22" t="n">
        <x:f>MAX(0,MIN('Activities'!L176,348)-MAX('Activities'!K176,342))</x:f>
        <x:v>0</x:v>
      </x:c>
      <x:c r="BK176" s="22" t="n">
        <x:f>MAX(0,MIN('Activities'!L176,354)-MAX('Activities'!K176,348))</x:f>
        <x:v>0</x:v>
      </x:c>
      <x:c r="BL176" s="22" t="n">
        <x:f>MAX(0,MIN('Activities'!L176,360)-MAX('Activities'!K176,354))</x:f>
        <x:v>0</x:v>
      </x:c>
      <x:c r="BM176" s="22" t="n">
        <x:f>MAX(0,MIN('Activities'!L176,366)-MAX('Activities'!K176,360))</x:f>
        <x:v>0</x:v>
      </x:c>
      <x:c r="BN176" s="22" t="n">
        <x:f>MAX(0,MIN('Activities'!L176,372)-MAX('Activities'!K176,366))</x:f>
        <x:v>0</x:v>
      </x:c>
      <x:c r="BO176" s="22" t="n">
        <x:f>MAX(0,MIN('Activities'!L176,378)-MAX('Activities'!K176,372))</x:f>
        <x:v>0</x:v>
      </x:c>
      <x:c r="BP176" s="22" t="n">
        <x:f>MAX(0,MIN('Activities'!L176,384)-MAX('Activities'!K176,378))</x:f>
        <x:v>0</x:v>
      </x:c>
      <x:c r="BQ176" s="22" t="n">
        <x:f>MAX(0,MIN('Activities'!L176,390)-MAX('Activities'!K176,384))</x:f>
        <x:v>0</x:v>
      </x:c>
      <x:c r="BR176" s="22" t="n">
        <x:f>MAX(0,MIN('Activities'!L176,396)-MAX('Activities'!K176,390))</x:f>
        <x:v>0</x:v>
      </x:c>
      <x:c r="BS176" s="22" t="n">
        <x:f>MAX(0,MIN('Activities'!L176,402)-MAX('Activities'!K176,396))</x:f>
        <x:v>0</x:v>
      </x:c>
      <x:c r="BT176" s="22" t="n">
        <x:f>MAX(0,MIN('Activities'!L176,408)-MAX('Activities'!K176,402))</x:f>
        <x:v>0</x:v>
      </x:c>
      <x:c r="BU176" s="22" t="n">
        <x:f>MAX(0,MIN('Activities'!L176,414)-MAX('Activities'!K176,408))</x:f>
        <x:v>0</x:v>
      </x:c>
      <x:c r="BV176" s="22" t="n">
        <x:f>MAX(0,MIN('Activities'!L176,420)-MAX('Activities'!K176,414))</x:f>
        <x:v>0</x:v>
      </x:c>
      <x:c r="BW176" s="22" t="n">
        <x:f>MAX(0,MIN('Activities'!L176,426)-MAX('Activities'!K176,420))</x:f>
        <x:v>0</x:v>
      </x:c>
      <x:c r="BX176" s="22" t="n">
        <x:f>MAX(0,MIN('Activities'!L176,432)-MAX('Activities'!K176,426))</x:f>
        <x:v>0</x:v>
      </x:c>
      <x:c r="BY176" s="22" t="n">
        <x:f>MAX(0,MIN('Activities'!L176,438)-MAX('Activities'!K176,432))</x:f>
        <x:v>0</x:v>
      </x:c>
      <x:c r="BZ176" s="22" t="n">
        <x:f>MAX(0,MIN('Activities'!L176,444)-MAX('Activities'!K176,438))</x:f>
        <x:v>0</x:v>
      </x:c>
      <x:c r="CA176" s="22" t="n">
        <x:f>MAX(0,MIN('Activities'!L176,450)-MAX('Activities'!K176,444))</x:f>
        <x:v>0</x:v>
      </x:c>
      <x:c r="CB176" s="22" t="n">
        <x:f>MAX(0,MIN('Activities'!L176,456)-MAX('Activities'!K176,450))</x:f>
        <x:v>0</x:v>
      </x:c>
      <x:c r="CC176" s="22" t="n">
        <x:f>MAX(0,MIN('Activities'!L176,462)-MAX('Activities'!K176,456))</x:f>
        <x:v>0</x:v>
      </x:c>
      <x:c r="CD176" s="22" t="n">
        <x:f>MAX(0,MIN('Activities'!L176,468)-MAX('Activities'!K176,462))</x:f>
        <x:v>0</x:v>
      </x:c>
      <x:c r="CE176" s="22" t="n">
        <x:f>MAX(0,MIN('Activities'!L176,474)-MAX('Activities'!K176,468))</x:f>
        <x:v>0</x:v>
      </x:c>
      <x:c r="CF176" s="22" t="n">
        <x:f>MAX(0,MIN('Activities'!L176,480)-MAX('Activities'!K176,474))</x:f>
        <x:v>0</x:v>
      </x:c>
      <x:c r="CG176" s="22" t="n">
        <x:f>MAX(0,MIN('Activities'!L176,486)-MAX('Activities'!K176,480))</x:f>
        <x:v>0</x:v>
      </x:c>
      <x:c r="CH176" s="22" t="n">
        <x:f>MAX(0,MIN('Activities'!L176,492)-MAX('Activities'!K176,486))</x:f>
        <x:v>0</x:v>
      </x:c>
      <x:c r="CI176" s="22" t="n">
        <x:f>MAX(0,MIN('Activities'!L176,498)-MAX('Activities'!K176,492))</x:f>
        <x:v>0</x:v>
      </x:c>
      <x:c r="CJ176" s="22" t="n">
        <x:f>MAX(0,MIN('Activities'!L176,504)-MAX('Activities'!K176,498))</x:f>
        <x:v>0</x:v>
      </x:c>
      <x:c r="CK176" s="22" t="n">
        <x:f>MAX(0,MIN('Activities'!L176,510)-MAX('Activities'!K176,504))</x:f>
        <x:v>0</x:v>
      </x:c>
      <x:c r="CL176" s="22" t="n">
        <x:f>MAX(0,MIN('Activities'!L176,516)-MAX('Activities'!K176,510))</x:f>
        <x:v>0</x:v>
      </x:c>
      <x:c r="CM176" s="22" t="n">
        <x:f>MAX(0,MIN('Activities'!L176,522)-MAX('Activities'!K176,516))</x:f>
        <x:v>0</x:v>
      </x:c>
      <x:c r="CN176" s="22" t="n">
        <x:f>MAX(0,MIN('Activities'!L176,528)-MAX('Activities'!K176,522))</x:f>
        <x:v>0</x:v>
      </x:c>
      <x:c r="CO176" s="22" t="n">
        <x:f>MAX(0,MIN('Activities'!L176,534)-MAX('Activities'!K176,528))</x:f>
        <x:v>0</x:v>
      </x:c>
      <x:c r="CP176" s="22" t="n">
        <x:f>MAX(0,MIN('Activities'!L176,540)-MAX('Activities'!K176,534))</x:f>
        <x:v>0</x:v>
      </x:c>
      <x:c r="CQ176" s="22" t="n">
        <x:f>MAX(0,MIN('Activities'!L176,546)-MAX('Activities'!K176,540))</x:f>
        <x:v>0</x:v>
      </x:c>
      <x:c r="CR176" s="22" t="n">
        <x:f>MAX(0,MIN('Activities'!L176,552)-MAX('Activities'!K176,546))</x:f>
        <x:v>0</x:v>
      </x:c>
      <x:c r="CS176" s="22" t="n">
        <x:f>MAX(0,MIN('Activities'!L176,558)-MAX('Activities'!K176,552))</x:f>
        <x:v>0</x:v>
      </x:c>
      <x:c r="CT176" s="22" t="n">
        <x:f>MAX(0,MIN('Activities'!L176,564)-MAX('Activities'!K176,558))</x:f>
        <x:v>0</x:v>
      </x:c>
      <x:c r="CU176" s="22" t="n">
        <x:f>MAX(0,MIN('Activities'!L176,570)-MAX('Activities'!K176,564))</x:f>
        <x:v>0</x:v>
      </x:c>
      <x:c r="CV176" s="22" t="n">
        <x:f>MAX(0,MIN('Activities'!L176,576)-MAX('Activities'!K176,570))</x:f>
        <x:v>0</x:v>
      </x:c>
      <x:c r="CW176" s="22" t="n">
        <x:f>MAX(0,MIN('Activities'!L176,582)-MAX('Activities'!K176,576))</x:f>
        <x:v>0</x:v>
      </x:c>
      <x:c r="CX176" s="22" t="n">
        <x:f>MAX(0,MIN('Activities'!L176,588)-MAX('Activities'!K176,582))</x:f>
        <x:v>0</x:v>
      </x:c>
      <x:c r="CY176" s="22" t="n">
        <x:f>MAX(0,MIN('Activities'!L176,594)-MAX('Activities'!K176,588))</x:f>
        <x:v>0</x:v>
      </x:c>
      <x:c r="CZ176" s="22" t="n">
        <x:f>MAX(0,MIN('Activities'!L176,600)-MAX('Activities'!K176,594))</x:f>
        <x:v>0</x:v>
      </x:c>
      <x:c r="DA176" s="22" t="n">
        <x:f>MAX(0,MIN('Activities'!L176,606)-MAX('Activities'!K176,600))</x:f>
        <x:v>0</x:v>
      </x:c>
      <x:c r="DB176" s="22" t="n">
        <x:f>MAX(0,MIN('Activities'!L176,612)-MAX('Activities'!K176,606))</x:f>
        <x:v>0</x:v>
      </x:c>
      <x:c r="DC176" s="22" t="n">
        <x:f>MAX(0,MIN('Activities'!L176,618)-MAX('Activities'!K176,612))</x:f>
        <x:v>0</x:v>
      </x:c>
      <x:c r="DD176" s="22" t="n">
        <x:f>MAX(0,MIN('Activities'!L176,624)-MAX('Activities'!K176,618))</x:f>
        <x:v>0</x:v>
      </x:c>
      <x:c r="DE176" s="22" t="n">
        <x:f>MAX(0,MIN('Activities'!L176,630)-MAX('Activities'!K176,624))</x:f>
        <x:v>0</x:v>
      </x:c>
      <x:c r="DF176" s="22" t="n">
        <x:f>MAX(0,MIN('Activities'!L176,636)-MAX('Activities'!K176,630))</x:f>
        <x:v>0</x:v>
      </x:c>
    </x:row>
    <x:row r="177" ht="23" customHeight="1">
      <x:c r="A177" s="1" t="str">
        <x:v>T2-L07-F</x:v>
      </x:c>
      <x:c r="B177" s="1" t="str">
        <x:v>T2</x:v>
      </x:c>
      <x:c r="C177" s="1" t="str">
        <x:v>Columns, core and deck formwork</x:v>
      </x:c>
      <x:c r="D177" s="1" t="str">
        <x:v>Formwork</x:v>
      </x:c>
      <x:c r="E177" s="23" t="n">
        <x:f>MAX(0,MIN('Activities'!L177,6)-MAX('Activities'!K177,0))</x:f>
        <x:v>0</x:v>
      </x:c>
      <x:c r="F177" s="23" t="n">
        <x:f>MAX(0,MIN('Activities'!L177,12)-MAX('Activities'!K177,6))</x:f>
        <x:v>0</x:v>
      </x:c>
      <x:c r="G177" s="23" t="n">
        <x:f>MAX(0,MIN('Activities'!L177,18)-MAX('Activities'!K177,12))</x:f>
        <x:v>0</x:v>
      </x:c>
      <x:c r="H177" s="23" t="n">
        <x:f>MAX(0,MIN('Activities'!L177,24)-MAX('Activities'!K177,18))</x:f>
        <x:v>0</x:v>
      </x:c>
      <x:c r="I177" s="23" t="n">
        <x:f>MAX(0,MIN('Activities'!L177,30)-MAX('Activities'!K177,24))</x:f>
        <x:v>0</x:v>
      </x:c>
      <x:c r="J177" s="23" t="n">
        <x:f>MAX(0,MIN('Activities'!L177,36)-MAX('Activities'!K177,30))</x:f>
        <x:v>0</x:v>
      </x:c>
      <x:c r="K177" s="23" t="n">
        <x:f>MAX(0,MIN('Activities'!L177,42)-MAX('Activities'!K177,36))</x:f>
        <x:v>0</x:v>
      </x:c>
      <x:c r="L177" s="23" t="n">
        <x:f>MAX(0,MIN('Activities'!L177,48)-MAX('Activities'!K177,42))</x:f>
        <x:v>0</x:v>
      </x:c>
      <x:c r="M177" s="23" t="n">
        <x:f>MAX(0,MIN('Activities'!L177,54)-MAX('Activities'!K177,48))</x:f>
        <x:v>0</x:v>
      </x:c>
      <x:c r="N177" s="23" t="n">
        <x:f>MAX(0,MIN('Activities'!L177,60)-MAX('Activities'!K177,54))</x:f>
        <x:v>0</x:v>
      </x:c>
      <x:c r="O177" s="23" t="n">
        <x:f>MAX(0,MIN('Activities'!L177,66)-MAX('Activities'!K177,60))</x:f>
        <x:v>0</x:v>
      </x:c>
      <x:c r="P177" s="23" t="n">
        <x:f>MAX(0,MIN('Activities'!L177,72)-MAX('Activities'!K177,66))</x:f>
        <x:v>0</x:v>
      </x:c>
      <x:c r="Q177" s="23" t="n">
        <x:f>MAX(0,MIN('Activities'!L177,78)-MAX('Activities'!K177,72))</x:f>
        <x:v>0</x:v>
      </x:c>
      <x:c r="R177" s="23" t="n">
        <x:f>MAX(0,MIN('Activities'!L177,84)-MAX('Activities'!K177,78))</x:f>
        <x:v>0</x:v>
      </x:c>
      <x:c r="S177" s="23" t="n">
        <x:f>MAX(0,MIN('Activities'!L177,90)-MAX('Activities'!K177,84))</x:f>
        <x:v>0</x:v>
      </x:c>
      <x:c r="T177" s="23" t="n">
        <x:f>MAX(0,MIN('Activities'!L177,96)-MAX('Activities'!K177,90))</x:f>
        <x:v>0</x:v>
      </x:c>
      <x:c r="U177" s="23" t="n">
        <x:f>MAX(0,MIN('Activities'!L177,102)-MAX('Activities'!K177,96))</x:f>
        <x:v>0</x:v>
      </x:c>
      <x:c r="V177" s="23" t="n">
        <x:f>MAX(0,MIN('Activities'!L177,108)-MAX('Activities'!K177,102))</x:f>
        <x:v>0</x:v>
      </x:c>
      <x:c r="W177" s="23" t="n">
        <x:f>MAX(0,MIN('Activities'!L177,114)-MAX('Activities'!K177,108))</x:f>
        <x:v>0</x:v>
      </x:c>
      <x:c r="X177" s="23" t="n">
        <x:f>MAX(0,MIN('Activities'!L177,120)-MAX('Activities'!K177,114))</x:f>
        <x:v>0</x:v>
      </x:c>
      <x:c r="Y177" s="23" t="n">
        <x:f>MAX(0,MIN('Activities'!L177,126)-MAX('Activities'!K177,120))</x:f>
        <x:v>0</x:v>
      </x:c>
      <x:c r="Z177" s="23" t="n">
        <x:f>MAX(0,MIN('Activities'!L177,132)-MAX('Activities'!K177,126))</x:f>
        <x:v>0</x:v>
      </x:c>
      <x:c r="AA177" s="23" t="n">
        <x:f>MAX(0,MIN('Activities'!L177,138)-MAX('Activities'!K177,132))</x:f>
        <x:v>0</x:v>
      </x:c>
      <x:c r="AB177" s="23" t="n">
        <x:f>MAX(0,MIN('Activities'!L177,144)-MAX('Activities'!K177,138))</x:f>
        <x:v>0</x:v>
      </x:c>
      <x:c r="AC177" s="23" t="n">
        <x:f>MAX(0,MIN('Activities'!L177,150)-MAX('Activities'!K177,144))</x:f>
        <x:v>0</x:v>
      </x:c>
      <x:c r="AD177" s="23" t="n">
        <x:f>MAX(0,MIN('Activities'!L177,156)-MAX('Activities'!K177,150))</x:f>
        <x:v>0</x:v>
      </x:c>
      <x:c r="AE177" s="23" t="n">
        <x:f>MAX(0,MIN('Activities'!L177,162)-MAX('Activities'!K177,156))</x:f>
        <x:v>0</x:v>
      </x:c>
      <x:c r="AF177" s="23" t="n">
        <x:f>MAX(0,MIN('Activities'!L177,168)-MAX('Activities'!K177,162))</x:f>
        <x:v>0</x:v>
      </x:c>
      <x:c r="AG177" s="23" t="n">
        <x:f>MAX(0,MIN('Activities'!L177,174)-MAX('Activities'!K177,168))</x:f>
        <x:v>0</x:v>
      </x:c>
      <x:c r="AH177" s="23" t="n">
        <x:f>MAX(0,MIN('Activities'!L177,180)-MAX('Activities'!K177,174))</x:f>
        <x:v>0</x:v>
      </x:c>
      <x:c r="AI177" s="23" t="n">
        <x:f>MAX(0,MIN('Activities'!L177,186)-MAX('Activities'!K177,180))</x:f>
        <x:v>0</x:v>
      </x:c>
      <x:c r="AJ177" s="23" t="n">
        <x:f>MAX(0,MIN('Activities'!L177,192)-MAX('Activities'!K177,186))</x:f>
        <x:v>0</x:v>
      </x:c>
      <x:c r="AK177" s="23" t="n">
        <x:f>MAX(0,MIN('Activities'!L177,198)-MAX('Activities'!K177,192))</x:f>
        <x:v>0</x:v>
      </x:c>
      <x:c r="AL177" s="23" t="n">
        <x:f>MAX(0,MIN('Activities'!L177,204)-MAX('Activities'!K177,198))</x:f>
        <x:v>0</x:v>
      </x:c>
      <x:c r="AM177" s="23" t="n">
        <x:f>MAX(0,MIN('Activities'!L177,210)-MAX('Activities'!K177,204))</x:f>
        <x:v>0</x:v>
      </x:c>
      <x:c r="AN177" s="23" t="n">
        <x:f>MAX(0,MIN('Activities'!L177,216)-MAX('Activities'!K177,210))</x:f>
        <x:v>0</x:v>
      </x:c>
      <x:c r="AO177" s="23" t="n">
        <x:f>MAX(0,MIN('Activities'!L177,222)-MAX('Activities'!K177,216))</x:f>
        <x:v>0</x:v>
      </x:c>
      <x:c r="AP177" s="23" t="n">
        <x:f>MAX(0,MIN('Activities'!L177,228)-MAX('Activities'!K177,222))</x:f>
        <x:v>0</x:v>
      </x:c>
      <x:c r="AQ177" s="23" t="n">
        <x:f>MAX(0,MIN('Activities'!L177,234)-MAX('Activities'!K177,228))</x:f>
        <x:v>0</x:v>
      </x:c>
      <x:c r="AR177" s="23" t="n">
        <x:f>MAX(0,MIN('Activities'!L177,240)-MAX('Activities'!K177,234))</x:f>
        <x:v>0</x:v>
      </x:c>
      <x:c r="AS177" s="23" t="n">
        <x:f>MAX(0,MIN('Activities'!L177,246)-MAX('Activities'!K177,240))</x:f>
        <x:v>0</x:v>
      </x:c>
      <x:c r="AT177" s="23" t="n">
        <x:f>MAX(0,MIN('Activities'!L177,252)-MAX('Activities'!K177,246))</x:f>
        <x:v>0</x:v>
      </x:c>
      <x:c r="AU177" s="23" t="n">
        <x:f>MAX(0,MIN('Activities'!L177,258)-MAX('Activities'!K177,252))</x:f>
        <x:v>0</x:v>
      </x:c>
      <x:c r="AV177" s="23" t="n">
        <x:f>MAX(0,MIN('Activities'!L177,264)-MAX('Activities'!K177,258))</x:f>
        <x:v>0</x:v>
      </x:c>
      <x:c r="AW177" s="23" t="n">
        <x:f>MAX(0,MIN('Activities'!L177,270)-MAX('Activities'!K177,264))</x:f>
        <x:v>0</x:v>
      </x:c>
      <x:c r="AX177" s="23" t="n">
        <x:f>MAX(0,MIN('Activities'!L177,276)-MAX('Activities'!K177,270))</x:f>
        <x:v>4</x:v>
      </x:c>
      <x:c r="AY177" s="23" t="n">
        <x:f>MAX(0,MIN('Activities'!L177,282)-MAX('Activities'!K177,276))</x:f>
        <x:v>2</x:v>
      </x:c>
      <x:c r="AZ177" s="23" t="n">
        <x:f>MAX(0,MIN('Activities'!L177,288)-MAX('Activities'!K177,282))</x:f>
        <x:v>0</x:v>
      </x:c>
      <x:c r="BA177" s="23" t="n">
        <x:f>MAX(0,MIN('Activities'!L177,294)-MAX('Activities'!K177,288))</x:f>
        <x:v>0</x:v>
      </x:c>
      <x:c r="BB177" s="23" t="n">
        <x:f>MAX(0,MIN('Activities'!L177,300)-MAX('Activities'!K177,294))</x:f>
        <x:v>0</x:v>
      </x:c>
      <x:c r="BC177" s="23" t="n">
        <x:f>MAX(0,MIN('Activities'!L177,306)-MAX('Activities'!K177,300))</x:f>
        <x:v>0</x:v>
      </x:c>
      <x:c r="BD177" s="23" t="n">
        <x:f>MAX(0,MIN('Activities'!L177,312)-MAX('Activities'!K177,306))</x:f>
        <x:v>0</x:v>
      </x:c>
      <x:c r="BE177" s="23" t="n">
        <x:f>MAX(0,MIN('Activities'!L177,318)-MAX('Activities'!K177,312))</x:f>
        <x:v>0</x:v>
      </x:c>
      <x:c r="BF177" s="23" t="n">
        <x:f>MAX(0,MIN('Activities'!L177,324)-MAX('Activities'!K177,318))</x:f>
        <x:v>0</x:v>
      </x:c>
      <x:c r="BG177" s="23" t="n">
        <x:f>MAX(0,MIN('Activities'!L177,330)-MAX('Activities'!K177,324))</x:f>
        <x:v>0</x:v>
      </x:c>
      <x:c r="BH177" s="23" t="n">
        <x:f>MAX(0,MIN('Activities'!L177,336)-MAX('Activities'!K177,330))</x:f>
        <x:v>0</x:v>
      </x:c>
      <x:c r="BI177" s="23" t="n">
        <x:f>MAX(0,MIN('Activities'!L177,342)-MAX('Activities'!K177,336))</x:f>
        <x:v>0</x:v>
      </x:c>
      <x:c r="BJ177" s="23" t="n">
        <x:f>MAX(0,MIN('Activities'!L177,348)-MAX('Activities'!K177,342))</x:f>
        <x:v>0</x:v>
      </x:c>
      <x:c r="BK177" s="23" t="n">
        <x:f>MAX(0,MIN('Activities'!L177,354)-MAX('Activities'!K177,348))</x:f>
        <x:v>0</x:v>
      </x:c>
      <x:c r="BL177" s="23" t="n">
        <x:f>MAX(0,MIN('Activities'!L177,360)-MAX('Activities'!K177,354))</x:f>
        <x:v>0</x:v>
      </x:c>
      <x:c r="BM177" s="23" t="n">
        <x:f>MAX(0,MIN('Activities'!L177,366)-MAX('Activities'!K177,360))</x:f>
        <x:v>0</x:v>
      </x:c>
      <x:c r="BN177" s="23" t="n">
        <x:f>MAX(0,MIN('Activities'!L177,372)-MAX('Activities'!K177,366))</x:f>
        <x:v>0</x:v>
      </x:c>
      <x:c r="BO177" s="23" t="n">
        <x:f>MAX(0,MIN('Activities'!L177,378)-MAX('Activities'!K177,372))</x:f>
        <x:v>0</x:v>
      </x:c>
      <x:c r="BP177" s="23" t="n">
        <x:f>MAX(0,MIN('Activities'!L177,384)-MAX('Activities'!K177,378))</x:f>
        <x:v>0</x:v>
      </x:c>
      <x:c r="BQ177" s="23" t="n">
        <x:f>MAX(0,MIN('Activities'!L177,390)-MAX('Activities'!K177,384))</x:f>
        <x:v>0</x:v>
      </x:c>
      <x:c r="BR177" s="23" t="n">
        <x:f>MAX(0,MIN('Activities'!L177,396)-MAX('Activities'!K177,390))</x:f>
        <x:v>0</x:v>
      </x:c>
      <x:c r="BS177" s="23" t="n">
        <x:f>MAX(0,MIN('Activities'!L177,402)-MAX('Activities'!K177,396))</x:f>
        <x:v>0</x:v>
      </x:c>
      <x:c r="BT177" s="23" t="n">
        <x:f>MAX(0,MIN('Activities'!L177,408)-MAX('Activities'!K177,402))</x:f>
        <x:v>0</x:v>
      </x:c>
      <x:c r="BU177" s="23" t="n">
        <x:f>MAX(0,MIN('Activities'!L177,414)-MAX('Activities'!K177,408))</x:f>
        <x:v>0</x:v>
      </x:c>
      <x:c r="BV177" s="23" t="n">
        <x:f>MAX(0,MIN('Activities'!L177,420)-MAX('Activities'!K177,414))</x:f>
        <x:v>0</x:v>
      </x:c>
      <x:c r="BW177" s="23" t="n">
        <x:f>MAX(0,MIN('Activities'!L177,426)-MAX('Activities'!K177,420))</x:f>
        <x:v>0</x:v>
      </x:c>
      <x:c r="BX177" s="23" t="n">
        <x:f>MAX(0,MIN('Activities'!L177,432)-MAX('Activities'!K177,426))</x:f>
        <x:v>0</x:v>
      </x:c>
      <x:c r="BY177" s="23" t="n">
        <x:f>MAX(0,MIN('Activities'!L177,438)-MAX('Activities'!K177,432))</x:f>
        <x:v>0</x:v>
      </x:c>
      <x:c r="BZ177" s="23" t="n">
        <x:f>MAX(0,MIN('Activities'!L177,444)-MAX('Activities'!K177,438))</x:f>
        <x:v>0</x:v>
      </x:c>
      <x:c r="CA177" s="23" t="n">
        <x:f>MAX(0,MIN('Activities'!L177,450)-MAX('Activities'!K177,444))</x:f>
        <x:v>0</x:v>
      </x:c>
      <x:c r="CB177" s="23" t="n">
        <x:f>MAX(0,MIN('Activities'!L177,456)-MAX('Activities'!K177,450))</x:f>
        <x:v>0</x:v>
      </x:c>
      <x:c r="CC177" s="23" t="n">
        <x:f>MAX(0,MIN('Activities'!L177,462)-MAX('Activities'!K177,456))</x:f>
        <x:v>0</x:v>
      </x:c>
      <x:c r="CD177" s="23" t="n">
        <x:f>MAX(0,MIN('Activities'!L177,468)-MAX('Activities'!K177,462))</x:f>
        <x:v>0</x:v>
      </x:c>
      <x:c r="CE177" s="23" t="n">
        <x:f>MAX(0,MIN('Activities'!L177,474)-MAX('Activities'!K177,468))</x:f>
        <x:v>0</x:v>
      </x:c>
      <x:c r="CF177" s="23" t="n">
        <x:f>MAX(0,MIN('Activities'!L177,480)-MAX('Activities'!K177,474))</x:f>
        <x:v>0</x:v>
      </x:c>
      <x:c r="CG177" s="23" t="n">
        <x:f>MAX(0,MIN('Activities'!L177,486)-MAX('Activities'!K177,480))</x:f>
        <x:v>0</x:v>
      </x:c>
      <x:c r="CH177" s="23" t="n">
        <x:f>MAX(0,MIN('Activities'!L177,492)-MAX('Activities'!K177,486))</x:f>
        <x:v>0</x:v>
      </x:c>
      <x:c r="CI177" s="23" t="n">
        <x:f>MAX(0,MIN('Activities'!L177,498)-MAX('Activities'!K177,492))</x:f>
        <x:v>0</x:v>
      </x:c>
      <x:c r="CJ177" s="23" t="n">
        <x:f>MAX(0,MIN('Activities'!L177,504)-MAX('Activities'!K177,498))</x:f>
        <x:v>0</x:v>
      </x:c>
      <x:c r="CK177" s="23" t="n">
        <x:f>MAX(0,MIN('Activities'!L177,510)-MAX('Activities'!K177,504))</x:f>
        <x:v>0</x:v>
      </x:c>
      <x:c r="CL177" s="23" t="n">
        <x:f>MAX(0,MIN('Activities'!L177,516)-MAX('Activities'!K177,510))</x:f>
        <x:v>0</x:v>
      </x:c>
      <x:c r="CM177" s="23" t="n">
        <x:f>MAX(0,MIN('Activities'!L177,522)-MAX('Activities'!K177,516))</x:f>
        <x:v>0</x:v>
      </x:c>
      <x:c r="CN177" s="23" t="n">
        <x:f>MAX(0,MIN('Activities'!L177,528)-MAX('Activities'!K177,522))</x:f>
        <x:v>0</x:v>
      </x:c>
      <x:c r="CO177" s="23" t="n">
        <x:f>MAX(0,MIN('Activities'!L177,534)-MAX('Activities'!K177,528))</x:f>
        <x:v>0</x:v>
      </x:c>
      <x:c r="CP177" s="23" t="n">
        <x:f>MAX(0,MIN('Activities'!L177,540)-MAX('Activities'!K177,534))</x:f>
        <x:v>0</x:v>
      </x:c>
      <x:c r="CQ177" s="23" t="n">
        <x:f>MAX(0,MIN('Activities'!L177,546)-MAX('Activities'!K177,540))</x:f>
        <x:v>0</x:v>
      </x:c>
      <x:c r="CR177" s="23" t="n">
        <x:f>MAX(0,MIN('Activities'!L177,552)-MAX('Activities'!K177,546))</x:f>
        <x:v>0</x:v>
      </x:c>
      <x:c r="CS177" s="23" t="n">
        <x:f>MAX(0,MIN('Activities'!L177,558)-MAX('Activities'!K177,552))</x:f>
        <x:v>0</x:v>
      </x:c>
      <x:c r="CT177" s="23" t="n">
        <x:f>MAX(0,MIN('Activities'!L177,564)-MAX('Activities'!K177,558))</x:f>
        <x:v>0</x:v>
      </x:c>
      <x:c r="CU177" s="23" t="n">
        <x:f>MAX(0,MIN('Activities'!L177,570)-MAX('Activities'!K177,564))</x:f>
        <x:v>0</x:v>
      </x:c>
      <x:c r="CV177" s="23" t="n">
        <x:f>MAX(0,MIN('Activities'!L177,576)-MAX('Activities'!K177,570))</x:f>
        <x:v>0</x:v>
      </x:c>
      <x:c r="CW177" s="23" t="n">
        <x:f>MAX(0,MIN('Activities'!L177,582)-MAX('Activities'!K177,576))</x:f>
        <x:v>0</x:v>
      </x:c>
      <x:c r="CX177" s="23" t="n">
        <x:f>MAX(0,MIN('Activities'!L177,588)-MAX('Activities'!K177,582))</x:f>
        <x:v>0</x:v>
      </x:c>
      <x:c r="CY177" s="23" t="n">
        <x:f>MAX(0,MIN('Activities'!L177,594)-MAX('Activities'!K177,588))</x:f>
        <x:v>0</x:v>
      </x:c>
      <x:c r="CZ177" s="23" t="n">
        <x:f>MAX(0,MIN('Activities'!L177,600)-MAX('Activities'!K177,594))</x:f>
        <x:v>0</x:v>
      </x:c>
      <x:c r="DA177" s="23" t="n">
        <x:f>MAX(0,MIN('Activities'!L177,606)-MAX('Activities'!K177,600))</x:f>
        <x:v>0</x:v>
      </x:c>
      <x:c r="DB177" s="23" t="n">
        <x:f>MAX(0,MIN('Activities'!L177,612)-MAX('Activities'!K177,606))</x:f>
        <x:v>0</x:v>
      </x:c>
      <x:c r="DC177" s="23" t="n">
        <x:f>MAX(0,MIN('Activities'!L177,618)-MAX('Activities'!K177,612))</x:f>
        <x:v>0</x:v>
      </x:c>
      <x:c r="DD177" s="23" t="n">
        <x:f>MAX(0,MIN('Activities'!L177,624)-MAX('Activities'!K177,618))</x:f>
        <x:v>0</x:v>
      </x:c>
      <x:c r="DE177" s="23" t="n">
        <x:f>MAX(0,MIN('Activities'!L177,630)-MAX('Activities'!K177,624))</x:f>
        <x:v>0</x:v>
      </x:c>
      <x:c r="DF177" s="23" t="n">
        <x:f>MAX(0,MIN('Activities'!L177,636)-MAX('Activities'!K177,630))</x:f>
        <x:v>0</x:v>
      </x:c>
    </x:row>
    <x:row r="178" ht="23" customHeight="1">
      <x:c r="A178" s="6" t="str">
        <x:v>T2-L07-R</x:v>
      </x:c>
      <x:c r="B178" s="6" t="str">
        <x:v>T2</x:v>
      </x:c>
      <x:c r="C178" s="6" t="str">
        <x:v>Column, wall, beam and slab reinforcement</x:v>
      </x:c>
      <x:c r="D178" s="6" t="str">
        <x:v>Rebar</x:v>
      </x:c>
      <x:c r="E178" s="22" t="n">
        <x:f>MAX(0,MIN('Activities'!L178,6)-MAX('Activities'!K178,0))</x:f>
        <x:v>0</x:v>
      </x:c>
      <x:c r="F178" s="22" t="n">
        <x:f>MAX(0,MIN('Activities'!L178,12)-MAX('Activities'!K178,6))</x:f>
        <x:v>0</x:v>
      </x:c>
      <x:c r="G178" s="22" t="n">
        <x:f>MAX(0,MIN('Activities'!L178,18)-MAX('Activities'!K178,12))</x:f>
        <x:v>0</x:v>
      </x:c>
      <x:c r="H178" s="22" t="n">
        <x:f>MAX(0,MIN('Activities'!L178,24)-MAX('Activities'!K178,18))</x:f>
        <x:v>0</x:v>
      </x:c>
      <x:c r="I178" s="22" t="n">
        <x:f>MAX(0,MIN('Activities'!L178,30)-MAX('Activities'!K178,24))</x:f>
        <x:v>0</x:v>
      </x:c>
      <x:c r="J178" s="22" t="n">
        <x:f>MAX(0,MIN('Activities'!L178,36)-MAX('Activities'!K178,30))</x:f>
        <x:v>0</x:v>
      </x:c>
      <x:c r="K178" s="22" t="n">
        <x:f>MAX(0,MIN('Activities'!L178,42)-MAX('Activities'!K178,36))</x:f>
        <x:v>0</x:v>
      </x:c>
      <x:c r="L178" s="22" t="n">
        <x:f>MAX(0,MIN('Activities'!L178,48)-MAX('Activities'!K178,42))</x:f>
        <x:v>0</x:v>
      </x:c>
      <x:c r="M178" s="22" t="n">
        <x:f>MAX(0,MIN('Activities'!L178,54)-MAX('Activities'!K178,48))</x:f>
        <x:v>0</x:v>
      </x:c>
      <x:c r="N178" s="22" t="n">
        <x:f>MAX(0,MIN('Activities'!L178,60)-MAX('Activities'!K178,54))</x:f>
        <x:v>0</x:v>
      </x:c>
      <x:c r="O178" s="22" t="n">
        <x:f>MAX(0,MIN('Activities'!L178,66)-MAX('Activities'!K178,60))</x:f>
        <x:v>0</x:v>
      </x:c>
      <x:c r="P178" s="22" t="n">
        <x:f>MAX(0,MIN('Activities'!L178,72)-MAX('Activities'!K178,66))</x:f>
        <x:v>0</x:v>
      </x:c>
      <x:c r="Q178" s="22" t="n">
        <x:f>MAX(0,MIN('Activities'!L178,78)-MAX('Activities'!K178,72))</x:f>
        <x:v>0</x:v>
      </x:c>
      <x:c r="R178" s="22" t="n">
        <x:f>MAX(0,MIN('Activities'!L178,84)-MAX('Activities'!K178,78))</x:f>
        <x:v>0</x:v>
      </x:c>
      <x:c r="S178" s="22" t="n">
        <x:f>MAX(0,MIN('Activities'!L178,90)-MAX('Activities'!K178,84))</x:f>
        <x:v>0</x:v>
      </x:c>
      <x:c r="T178" s="22" t="n">
        <x:f>MAX(0,MIN('Activities'!L178,96)-MAX('Activities'!K178,90))</x:f>
        <x:v>0</x:v>
      </x:c>
      <x:c r="U178" s="22" t="n">
        <x:f>MAX(0,MIN('Activities'!L178,102)-MAX('Activities'!K178,96))</x:f>
        <x:v>0</x:v>
      </x:c>
      <x:c r="V178" s="22" t="n">
        <x:f>MAX(0,MIN('Activities'!L178,108)-MAX('Activities'!K178,102))</x:f>
        <x:v>0</x:v>
      </x:c>
      <x:c r="W178" s="22" t="n">
        <x:f>MAX(0,MIN('Activities'!L178,114)-MAX('Activities'!K178,108))</x:f>
        <x:v>0</x:v>
      </x:c>
      <x:c r="X178" s="22" t="n">
        <x:f>MAX(0,MIN('Activities'!L178,120)-MAX('Activities'!K178,114))</x:f>
        <x:v>0</x:v>
      </x:c>
      <x:c r="Y178" s="22" t="n">
        <x:f>MAX(0,MIN('Activities'!L178,126)-MAX('Activities'!K178,120))</x:f>
        <x:v>0</x:v>
      </x:c>
      <x:c r="Z178" s="22" t="n">
        <x:f>MAX(0,MIN('Activities'!L178,132)-MAX('Activities'!K178,126))</x:f>
        <x:v>0</x:v>
      </x:c>
      <x:c r="AA178" s="22" t="n">
        <x:f>MAX(0,MIN('Activities'!L178,138)-MAX('Activities'!K178,132))</x:f>
        <x:v>0</x:v>
      </x:c>
      <x:c r="AB178" s="22" t="n">
        <x:f>MAX(0,MIN('Activities'!L178,144)-MAX('Activities'!K178,138))</x:f>
        <x:v>0</x:v>
      </x:c>
      <x:c r="AC178" s="22" t="n">
        <x:f>MAX(0,MIN('Activities'!L178,150)-MAX('Activities'!K178,144))</x:f>
        <x:v>0</x:v>
      </x:c>
      <x:c r="AD178" s="22" t="n">
        <x:f>MAX(0,MIN('Activities'!L178,156)-MAX('Activities'!K178,150))</x:f>
        <x:v>0</x:v>
      </x:c>
      <x:c r="AE178" s="22" t="n">
        <x:f>MAX(0,MIN('Activities'!L178,162)-MAX('Activities'!K178,156))</x:f>
        <x:v>0</x:v>
      </x:c>
      <x:c r="AF178" s="22" t="n">
        <x:f>MAX(0,MIN('Activities'!L178,168)-MAX('Activities'!K178,162))</x:f>
        <x:v>0</x:v>
      </x:c>
      <x:c r="AG178" s="22" t="n">
        <x:f>MAX(0,MIN('Activities'!L178,174)-MAX('Activities'!K178,168))</x:f>
        <x:v>0</x:v>
      </x:c>
      <x:c r="AH178" s="22" t="n">
        <x:f>MAX(0,MIN('Activities'!L178,180)-MAX('Activities'!K178,174))</x:f>
        <x:v>0</x:v>
      </x:c>
      <x:c r="AI178" s="22" t="n">
        <x:f>MAX(0,MIN('Activities'!L178,186)-MAX('Activities'!K178,180))</x:f>
        <x:v>0</x:v>
      </x:c>
      <x:c r="AJ178" s="22" t="n">
        <x:f>MAX(0,MIN('Activities'!L178,192)-MAX('Activities'!K178,186))</x:f>
        <x:v>0</x:v>
      </x:c>
      <x:c r="AK178" s="22" t="n">
        <x:f>MAX(0,MIN('Activities'!L178,198)-MAX('Activities'!K178,192))</x:f>
        <x:v>0</x:v>
      </x:c>
      <x:c r="AL178" s="22" t="n">
        <x:f>MAX(0,MIN('Activities'!L178,204)-MAX('Activities'!K178,198))</x:f>
        <x:v>0</x:v>
      </x:c>
      <x:c r="AM178" s="22" t="n">
        <x:f>MAX(0,MIN('Activities'!L178,210)-MAX('Activities'!K178,204))</x:f>
        <x:v>0</x:v>
      </x:c>
      <x:c r="AN178" s="22" t="n">
        <x:f>MAX(0,MIN('Activities'!L178,216)-MAX('Activities'!K178,210))</x:f>
        <x:v>0</x:v>
      </x:c>
      <x:c r="AO178" s="22" t="n">
        <x:f>MAX(0,MIN('Activities'!L178,222)-MAX('Activities'!K178,216))</x:f>
        <x:v>0</x:v>
      </x:c>
      <x:c r="AP178" s="22" t="n">
        <x:f>MAX(0,MIN('Activities'!L178,228)-MAX('Activities'!K178,222))</x:f>
        <x:v>0</x:v>
      </x:c>
      <x:c r="AQ178" s="22" t="n">
        <x:f>MAX(0,MIN('Activities'!L178,234)-MAX('Activities'!K178,228))</x:f>
        <x:v>0</x:v>
      </x:c>
      <x:c r="AR178" s="22" t="n">
        <x:f>MAX(0,MIN('Activities'!L178,240)-MAX('Activities'!K178,234))</x:f>
        <x:v>0</x:v>
      </x:c>
      <x:c r="AS178" s="22" t="n">
        <x:f>MAX(0,MIN('Activities'!L178,246)-MAX('Activities'!K178,240))</x:f>
        <x:v>0</x:v>
      </x:c>
      <x:c r="AT178" s="22" t="n">
        <x:f>MAX(0,MIN('Activities'!L178,252)-MAX('Activities'!K178,246))</x:f>
        <x:v>0</x:v>
      </x:c>
      <x:c r="AU178" s="22" t="n">
        <x:f>MAX(0,MIN('Activities'!L178,258)-MAX('Activities'!K178,252))</x:f>
        <x:v>0</x:v>
      </x:c>
      <x:c r="AV178" s="22" t="n">
        <x:f>MAX(0,MIN('Activities'!L178,264)-MAX('Activities'!K178,258))</x:f>
        <x:v>0</x:v>
      </x:c>
      <x:c r="AW178" s="22" t="n">
        <x:f>MAX(0,MIN('Activities'!L178,270)-MAX('Activities'!K178,264))</x:f>
        <x:v>0</x:v>
      </x:c>
      <x:c r="AX178" s="22" t="n">
        <x:f>MAX(0,MIN('Activities'!L178,276)-MAX('Activities'!K178,270))</x:f>
        <x:v>0</x:v>
      </x:c>
      <x:c r="AY178" s="22" t="n">
        <x:f>MAX(0,MIN('Activities'!L178,282)-MAX('Activities'!K178,276))</x:f>
        <x:v>4</x:v>
      </x:c>
      <x:c r="AZ178" s="22" t="n">
        <x:f>MAX(0,MIN('Activities'!L178,288)-MAX('Activities'!K178,282))</x:f>
        <x:v>1</x:v>
      </x:c>
      <x:c r="BA178" s="22" t="n">
        <x:f>MAX(0,MIN('Activities'!L178,294)-MAX('Activities'!K178,288))</x:f>
        <x:v>0</x:v>
      </x:c>
      <x:c r="BB178" s="22" t="n">
        <x:f>MAX(0,MIN('Activities'!L178,300)-MAX('Activities'!K178,294))</x:f>
        <x:v>0</x:v>
      </x:c>
      <x:c r="BC178" s="22" t="n">
        <x:f>MAX(0,MIN('Activities'!L178,306)-MAX('Activities'!K178,300))</x:f>
        <x:v>0</x:v>
      </x:c>
      <x:c r="BD178" s="22" t="n">
        <x:f>MAX(0,MIN('Activities'!L178,312)-MAX('Activities'!K178,306))</x:f>
        <x:v>0</x:v>
      </x:c>
      <x:c r="BE178" s="22" t="n">
        <x:f>MAX(0,MIN('Activities'!L178,318)-MAX('Activities'!K178,312))</x:f>
        <x:v>0</x:v>
      </x:c>
      <x:c r="BF178" s="22" t="n">
        <x:f>MAX(0,MIN('Activities'!L178,324)-MAX('Activities'!K178,318))</x:f>
        <x:v>0</x:v>
      </x:c>
      <x:c r="BG178" s="22" t="n">
        <x:f>MAX(0,MIN('Activities'!L178,330)-MAX('Activities'!K178,324))</x:f>
        <x:v>0</x:v>
      </x:c>
      <x:c r="BH178" s="22" t="n">
        <x:f>MAX(0,MIN('Activities'!L178,336)-MAX('Activities'!K178,330))</x:f>
        <x:v>0</x:v>
      </x:c>
      <x:c r="BI178" s="22" t="n">
        <x:f>MAX(0,MIN('Activities'!L178,342)-MAX('Activities'!K178,336))</x:f>
        <x:v>0</x:v>
      </x:c>
      <x:c r="BJ178" s="22" t="n">
        <x:f>MAX(0,MIN('Activities'!L178,348)-MAX('Activities'!K178,342))</x:f>
        <x:v>0</x:v>
      </x:c>
      <x:c r="BK178" s="22" t="n">
        <x:f>MAX(0,MIN('Activities'!L178,354)-MAX('Activities'!K178,348))</x:f>
        <x:v>0</x:v>
      </x:c>
      <x:c r="BL178" s="22" t="n">
        <x:f>MAX(0,MIN('Activities'!L178,360)-MAX('Activities'!K178,354))</x:f>
        <x:v>0</x:v>
      </x:c>
      <x:c r="BM178" s="22" t="n">
        <x:f>MAX(0,MIN('Activities'!L178,366)-MAX('Activities'!K178,360))</x:f>
        <x:v>0</x:v>
      </x:c>
      <x:c r="BN178" s="22" t="n">
        <x:f>MAX(0,MIN('Activities'!L178,372)-MAX('Activities'!K178,366))</x:f>
        <x:v>0</x:v>
      </x:c>
      <x:c r="BO178" s="22" t="n">
        <x:f>MAX(0,MIN('Activities'!L178,378)-MAX('Activities'!K178,372))</x:f>
        <x:v>0</x:v>
      </x:c>
      <x:c r="BP178" s="22" t="n">
        <x:f>MAX(0,MIN('Activities'!L178,384)-MAX('Activities'!K178,378))</x:f>
        <x:v>0</x:v>
      </x:c>
      <x:c r="BQ178" s="22" t="n">
        <x:f>MAX(0,MIN('Activities'!L178,390)-MAX('Activities'!K178,384))</x:f>
        <x:v>0</x:v>
      </x:c>
      <x:c r="BR178" s="22" t="n">
        <x:f>MAX(0,MIN('Activities'!L178,396)-MAX('Activities'!K178,390))</x:f>
        <x:v>0</x:v>
      </x:c>
      <x:c r="BS178" s="22" t="n">
        <x:f>MAX(0,MIN('Activities'!L178,402)-MAX('Activities'!K178,396))</x:f>
        <x:v>0</x:v>
      </x:c>
      <x:c r="BT178" s="22" t="n">
        <x:f>MAX(0,MIN('Activities'!L178,408)-MAX('Activities'!K178,402))</x:f>
        <x:v>0</x:v>
      </x:c>
      <x:c r="BU178" s="22" t="n">
        <x:f>MAX(0,MIN('Activities'!L178,414)-MAX('Activities'!K178,408))</x:f>
        <x:v>0</x:v>
      </x:c>
      <x:c r="BV178" s="22" t="n">
        <x:f>MAX(0,MIN('Activities'!L178,420)-MAX('Activities'!K178,414))</x:f>
        <x:v>0</x:v>
      </x:c>
      <x:c r="BW178" s="22" t="n">
        <x:f>MAX(0,MIN('Activities'!L178,426)-MAX('Activities'!K178,420))</x:f>
        <x:v>0</x:v>
      </x:c>
      <x:c r="BX178" s="22" t="n">
        <x:f>MAX(0,MIN('Activities'!L178,432)-MAX('Activities'!K178,426))</x:f>
        <x:v>0</x:v>
      </x:c>
      <x:c r="BY178" s="22" t="n">
        <x:f>MAX(0,MIN('Activities'!L178,438)-MAX('Activities'!K178,432))</x:f>
        <x:v>0</x:v>
      </x:c>
      <x:c r="BZ178" s="22" t="n">
        <x:f>MAX(0,MIN('Activities'!L178,444)-MAX('Activities'!K178,438))</x:f>
        <x:v>0</x:v>
      </x:c>
      <x:c r="CA178" s="22" t="n">
        <x:f>MAX(0,MIN('Activities'!L178,450)-MAX('Activities'!K178,444))</x:f>
        <x:v>0</x:v>
      </x:c>
      <x:c r="CB178" s="22" t="n">
        <x:f>MAX(0,MIN('Activities'!L178,456)-MAX('Activities'!K178,450))</x:f>
        <x:v>0</x:v>
      </x:c>
      <x:c r="CC178" s="22" t="n">
        <x:f>MAX(0,MIN('Activities'!L178,462)-MAX('Activities'!K178,456))</x:f>
        <x:v>0</x:v>
      </x:c>
      <x:c r="CD178" s="22" t="n">
        <x:f>MAX(0,MIN('Activities'!L178,468)-MAX('Activities'!K178,462))</x:f>
        <x:v>0</x:v>
      </x:c>
      <x:c r="CE178" s="22" t="n">
        <x:f>MAX(0,MIN('Activities'!L178,474)-MAX('Activities'!K178,468))</x:f>
        <x:v>0</x:v>
      </x:c>
      <x:c r="CF178" s="22" t="n">
        <x:f>MAX(0,MIN('Activities'!L178,480)-MAX('Activities'!K178,474))</x:f>
        <x:v>0</x:v>
      </x:c>
      <x:c r="CG178" s="22" t="n">
        <x:f>MAX(0,MIN('Activities'!L178,486)-MAX('Activities'!K178,480))</x:f>
        <x:v>0</x:v>
      </x:c>
      <x:c r="CH178" s="22" t="n">
        <x:f>MAX(0,MIN('Activities'!L178,492)-MAX('Activities'!K178,486))</x:f>
        <x:v>0</x:v>
      </x:c>
      <x:c r="CI178" s="22" t="n">
        <x:f>MAX(0,MIN('Activities'!L178,498)-MAX('Activities'!K178,492))</x:f>
        <x:v>0</x:v>
      </x:c>
      <x:c r="CJ178" s="22" t="n">
        <x:f>MAX(0,MIN('Activities'!L178,504)-MAX('Activities'!K178,498))</x:f>
        <x:v>0</x:v>
      </x:c>
      <x:c r="CK178" s="22" t="n">
        <x:f>MAX(0,MIN('Activities'!L178,510)-MAX('Activities'!K178,504))</x:f>
        <x:v>0</x:v>
      </x:c>
      <x:c r="CL178" s="22" t="n">
        <x:f>MAX(0,MIN('Activities'!L178,516)-MAX('Activities'!K178,510))</x:f>
        <x:v>0</x:v>
      </x:c>
      <x:c r="CM178" s="22" t="n">
        <x:f>MAX(0,MIN('Activities'!L178,522)-MAX('Activities'!K178,516))</x:f>
        <x:v>0</x:v>
      </x:c>
      <x:c r="CN178" s="22" t="n">
        <x:f>MAX(0,MIN('Activities'!L178,528)-MAX('Activities'!K178,522))</x:f>
        <x:v>0</x:v>
      </x:c>
      <x:c r="CO178" s="22" t="n">
        <x:f>MAX(0,MIN('Activities'!L178,534)-MAX('Activities'!K178,528))</x:f>
        <x:v>0</x:v>
      </x:c>
      <x:c r="CP178" s="22" t="n">
        <x:f>MAX(0,MIN('Activities'!L178,540)-MAX('Activities'!K178,534))</x:f>
        <x:v>0</x:v>
      </x:c>
      <x:c r="CQ178" s="22" t="n">
        <x:f>MAX(0,MIN('Activities'!L178,546)-MAX('Activities'!K178,540))</x:f>
        <x:v>0</x:v>
      </x:c>
      <x:c r="CR178" s="22" t="n">
        <x:f>MAX(0,MIN('Activities'!L178,552)-MAX('Activities'!K178,546))</x:f>
        <x:v>0</x:v>
      </x:c>
      <x:c r="CS178" s="22" t="n">
        <x:f>MAX(0,MIN('Activities'!L178,558)-MAX('Activities'!K178,552))</x:f>
        <x:v>0</x:v>
      </x:c>
      <x:c r="CT178" s="22" t="n">
        <x:f>MAX(0,MIN('Activities'!L178,564)-MAX('Activities'!K178,558))</x:f>
        <x:v>0</x:v>
      </x:c>
      <x:c r="CU178" s="22" t="n">
        <x:f>MAX(0,MIN('Activities'!L178,570)-MAX('Activities'!K178,564))</x:f>
        <x:v>0</x:v>
      </x:c>
      <x:c r="CV178" s="22" t="n">
        <x:f>MAX(0,MIN('Activities'!L178,576)-MAX('Activities'!K178,570))</x:f>
        <x:v>0</x:v>
      </x:c>
      <x:c r="CW178" s="22" t="n">
        <x:f>MAX(0,MIN('Activities'!L178,582)-MAX('Activities'!K178,576))</x:f>
        <x:v>0</x:v>
      </x:c>
      <x:c r="CX178" s="22" t="n">
        <x:f>MAX(0,MIN('Activities'!L178,588)-MAX('Activities'!K178,582))</x:f>
        <x:v>0</x:v>
      </x:c>
      <x:c r="CY178" s="22" t="n">
        <x:f>MAX(0,MIN('Activities'!L178,594)-MAX('Activities'!K178,588))</x:f>
        <x:v>0</x:v>
      </x:c>
      <x:c r="CZ178" s="22" t="n">
        <x:f>MAX(0,MIN('Activities'!L178,600)-MAX('Activities'!K178,594))</x:f>
        <x:v>0</x:v>
      </x:c>
      <x:c r="DA178" s="22" t="n">
        <x:f>MAX(0,MIN('Activities'!L178,606)-MAX('Activities'!K178,600))</x:f>
        <x:v>0</x:v>
      </x:c>
      <x:c r="DB178" s="22" t="n">
        <x:f>MAX(0,MIN('Activities'!L178,612)-MAX('Activities'!K178,606))</x:f>
        <x:v>0</x:v>
      </x:c>
      <x:c r="DC178" s="22" t="n">
        <x:f>MAX(0,MIN('Activities'!L178,618)-MAX('Activities'!K178,612))</x:f>
        <x:v>0</x:v>
      </x:c>
      <x:c r="DD178" s="22" t="n">
        <x:f>MAX(0,MIN('Activities'!L178,624)-MAX('Activities'!K178,618))</x:f>
        <x:v>0</x:v>
      </x:c>
      <x:c r="DE178" s="22" t="n">
        <x:f>MAX(0,MIN('Activities'!L178,630)-MAX('Activities'!K178,624))</x:f>
        <x:v>0</x:v>
      </x:c>
      <x:c r="DF178" s="22" t="n">
        <x:f>MAX(0,MIN('Activities'!L178,636)-MAX('Activities'!K178,630))</x:f>
        <x:v>0</x:v>
      </x:c>
    </x:row>
    <x:row r="179" ht="23" customHeight="1">
      <x:c r="A179" s="1" t="str">
        <x:v>T2-L07-C</x:v>
      </x:c>
      <x:c r="B179" s="1" t="str">
        <x:v>T2</x:v>
      </x:c>
      <x:c r="C179" s="1" t="str">
        <x:v>Concrete placement and finishing</x:v>
      </x:c>
      <x:c r="D179" s="1" t="str">
        <x:v>Concrete</x:v>
      </x:c>
      <x:c r="E179" s="23" t="n">
        <x:f>MAX(0,MIN('Activities'!L179,6)-MAX('Activities'!K179,0))</x:f>
        <x:v>0</x:v>
      </x:c>
      <x:c r="F179" s="23" t="n">
        <x:f>MAX(0,MIN('Activities'!L179,12)-MAX('Activities'!K179,6))</x:f>
        <x:v>0</x:v>
      </x:c>
      <x:c r="G179" s="23" t="n">
        <x:f>MAX(0,MIN('Activities'!L179,18)-MAX('Activities'!K179,12))</x:f>
        <x:v>0</x:v>
      </x:c>
      <x:c r="H179" s="23" t="n">
        <x:f>MAX(0,MIN('Activities'!L179,24)-MAX('Activities'!K179,18))</x:f>
        <x:v>0</x:v>
      </x:c>
      <x:c r="I179" s="23" t="n">
        <x:f>MAX(0,MIN('Activities'!L179,30)-MAX('Activities'!K179,24))</x:f>
        <x:v>0</x:v>
      </x:c>
      <x:c r="J179" s="23" t="n">
        <x:f>MAX(0,MIN('Activities'!L179,36)-MAX('Activities'!K179,30))</x:f>
        <x:v>0</x:v>
      </x:c>
      <x:c r="K179" s="23" t="n">
        <x:f>MAX(0,MIN('Activities'!L179,42)-MAX('Activities'!K179,36))</x:f>
        <x:v>0</x:v>
      </x:c>
      <x:c r="L179" s="23" t="n">
        <x:f>MAX(0,MIN('Activities'!L179,48)-MAX('Activities'!K179,42))</x:f>
        <x:v>0</x:v>
      </x:c>
      <x:c r="M179" s="23" t="n">
        <x:f>MAX(0,MIN('Activities'!L179,54)-MAX('Activities'!K179,48))</x:f>
        <x:v>0</x:v>
      </x:c>
      <x:c r="N179" s="23" t="n">
        <x:f>MAX(0,MIN('Activities'!L179,60)-MAX('Activities'!K179,54))</x:f>
        <x:v>0</x:v>
      </x:c>
      <x:c r="O179" s="23" t="n">
        <x:f>MAX(0,MIN('Activities'!L179,66)-MAX('Activities'!K179,60))</x:f>
        <x:v>0</x:v>
      </x:c>
      <x:c r="P179" s="23" t="n">
        <x:f>MAX(0,MIN('Activities'!L179,72)-MAX('Activities'!K179,66))</x:f>
        <x:v>0</x:v>
      </x:c>
      <x:c r="Q179" s="23" t="n">
        <x:f>MAX(0,MIN('Activities'!L179,78)-MAX('Activities'!K179,72))</x:f>
        <x:v>0</x:v>
      </x:c>
      <x:c r="R179" s="23" t="n">
        <x:f>MAX(0,MIN('Activities'!L179,84)-MAX('Activities'!K179,78))</x:f>
        <x:v>0</x:v>
      </x:c>
      <x:c r="S179" s="23" t="n">
        <x:f>MAX(0,MIN('Activities'!L179,90)-MAX('Activities'!K179,84))</x:f>
        <x:v>0</x:v>
      </x:c>
      <x:c r="T179" s="23" t="n">
        <x:f>MAX(0,MIN('Activities'!L179,96)-MAX('Activities'!K179,90))</x:f>
        <x:v>0</x:v>
      </x:c>
      <x:c r="U179" s="23" t="n">
        <x:f>MAX(0,MIN('Activities'!L179,102)-MAX('Activities'!K179,96))</x:f>
        <x:v>0</x:v>
      </x:c>
      <x:c r="V179" s="23" t="n">
        <x:f>MAX(0,MIN('Activities'!L179,108)-MAX('Activities'!K179,102))</x:f>
        <x:v>0</x:v>
      </x:c>
      <x:c r="W179" s="23" t="n">
        <x:f>MAX(0,MIN('Activities'!L179,114)-MAX('Activities'!K179,108))</x:f>
        <x:v>0</x:v>
      </x:c>
      <x:c r="X179" s="23" t="n">
        <x:f>MAX(0,MIN('Activities'!L179,120)-MAX('Activities'!K179,114))</x:f>
        <x:v>0</x:v>
      </x:c>
      <x:c r="Y179" s="23" t="n">
        <x:f>MAX(0,MIN('Activities'!L179,126)-MAX('Activities'!K179,120))</x:f>
        <x:v>0</x:v>
      </x:c>
      <x:c r="Z179" s="23" t="n">
        <x:f>MAX(0,MIN('Activities'!L179,132)-MAX('Activities'!K179,126))</x:f>
        <x:v>0</x:v>
      </x:c>
      <x:c r="AA179" s="23" t="n">
        <x:f>MAX(0,MIN('Activities'!L179,138)-MAX('Activities'!K179,132))</x:f>
        <x:v>0</x:v>
      </x:c>
      <x:c r="AB179" s="23" t="n">
        <x:f>MAX(0,MIN('Activities'!L179,144)-MAX('Activities'!K179,138))</x:f>
        <x:v>0</x:v>
      </x:c>
      <x:c r="AC179" s="23" t="n">
        <x:f>MAX(0,MIN('Activities'!L179,150)-MAX('Activities'!K179,144))</x:f>
        <x:v>0</x:v>
      </x:c>
      <x:c r="AD179" s="23" t="n">
        <x:f>MAX(0,MIN('Activities'!L179,156)-MAX('Activities'!K179,150))</x:f>
        <x:v>0</x:v>
      </x:c>
      <x:c r="AE179" s="23" t="n">
        <x:f>MAX(0,MIN('Activities'!L179,162)-MAX('Activities'!K179,156))</x:f>
        <x:v>0</x:v>
      </x:c>
      <x:c r="AF179" s="23" t="n">
        <x:f>MAX(0,MIN('Activities'!L179,168)-MAX('Activities'!K179,162))</x:f>
        <x:v>0</x:v>
      </x:c>
      <x:c r="AG179" s="23" t="n">
        <x:f>MAX(0,MIN('Activities'!L179,174)-MAX('Activities'!K179,168))</x:f>
        <x:v>0</x:v>
      </x:c>
      <x:c r="AH179" s="23" t="n">
        <x:f>MAX(0,MIN('Activities'!L179,180)-MAX('Activities'!K179,174))</x:f>
        <x:v>0</x:v>
      </x:c>
      <x:c r="AI179" s="23" t="n">
        <x:f>MAX(0,MIN('Activities'!L179,186)-MAX('Activities'!K179,180))</x:f>
        <x:v>0</x:v>
      </x:c>
      <x:c r="AJ179" s="23" t="n">
        <x:f>MAX(0,MIN('Activities'!L179,192)-MAX('Activities'!K179,186))</x:f>
        <x:v>0</x:v>
      </x:c>
      <x:c r="AK179" s="23" t="n">
        <x:f>MAX(0,MIN('Activities'!L179,198)-MAX('Activities'!K179,192))</x:f>
        <x:v>0</x:v>
      </x:c>
      <x:c r="AL179" s="23" t="n">
        <x:f>MAX(0,MIN('Activities'!L179,204)-MAX('Activities'!K179,198))</x:f>
        <x:v>0</x:v>
      </x:c>
      <x:c r="AM179" s="23" t="n">
        <x:f>MAX(0,MIN('Activities'!L179,210)-MAX('Activities'!K179,204))</x:f>
        <x:v>0</x:v>
      </x:c>
      <x:c r="AN179" s="23" t="n">
        <x:f>MAX(0,MIN('Activities'!L179,216)-MAX('Activities'!K179,210))</x:f>
        <x:v>0</x:v>
      </x:c>
      <x:c r="AO179" s="23" t="n">
        <x:f>MAX(0,MIN('Activities'!L179,222)-MAX('Activities'!K179,216))</x:f>
        <x:v>0</x:v>
      </x:c>
      <x:c r="AP179" s="23" t="n">
        <x:f>MAX(0,MIN('Activities'!L179,228)-MAX('Activities'!K179,222))</x:f>
        <x:v>0</x:v>
      </x:c>
      <x:c r="AQ179" s="23" t="n">
        <x:f>MAX(0,MIN('Activities'!L179,234)-MAX('Activities'!K179,228))</x:f>
        <x:v>0</x:v>
      </x:c>
      <x:c r="AR179" s="23" t="n">
        <x:f>MAX(0,MIN('Activities'!L179,240)-MAX('Activities'!K179,234))</x:f>
        <x:v>0</x:v>
      </x:c>
      <x:c r="AS179" s="23" t="n">
        <x:f>MAX(0,MIN('Activities'!L179,246)-MAX('Activities'!K179,240))</x:f>
        <x:v>0</x:v>
      </x:c>
      <x:c r="AT179" s="23" t="n">
        <x:f>MAX(0,MIN('Activities'!L179,252)-MAX('Activities'!K179,246))</x:f>
        <x:v>0</x:v>
      </x:c>
      <x:c r="AU179" s="23" t="n">
        <x:f>MAX(0,MIN('Activities'!L179,258)-MAX('Activities'!K179,252))</x:f>
        <x:v>0</x:v>
      </x:c>
      <x:c r="AV179" s="23" t="n">
        <x:f>MAX(0,MIN('Activities'!L179,264)-MAX('Activities'!K179,258))</x:f>
        <x:v>0</x:v>
      </x:c>
      <x:c r="AW179" s="23" t="n">
        <x:f>MAX(0,MIN('Activities'!L179,270)-MAX('Activities'!K179,264))</x:f>
        <x:v>0</x:v>
      </x:c>
      <x:c r="AX179" s="23" t="n">
        <x:f>MAX(0,MIN('Activities'!L179,276)-MAX('Activities'!K179,270))</x:f>
        <x:v>0</x:v>
      </x:c>
      <x:c r="AY179" s="23" t="n">
        <x:f>MAX(0,MIN('Activities'!L179,282)-MAX('Activities'!K179,276))</x:f>
        <x:v>0</x:v>
      </x:c>
      <x:c r="AZ179" s="23" t="n">
        <x:f>MAX(0,MIN('Activities'!L179,288)-MAX('Activities'!K179,282))</x:f>
        <x:v>2</x:v>
      </x:c>
      <x:c r="BA179" s="23" t="n">
        <x:f>MAX(0,MIN('Activities'!L179,294)-MAX('Activities'!K179,288))</x:f>
        <x:v>0</x:v>
      </x:c>
      <x:c r="BB179" s="23" t="n">
        <x:f>MAX(0,MIN('Activities'!L179,300)-MAX('Activities'!K179,294))</x:f>
        <x:v>0</x:v>
      </x:c>
      <x:c r="BC179" s="23" t="n">
        <x:f>MAX(0,MIN('Activities'!L179,306)-MAX('Activities'!K179,300))</x:f>
        <x:v>0</x:v>
      </x:c>
      <x:c r="BD179" s="23" t="n">
        <x:f>MAX(0,MIN('Activities'!L179,312)-MAX('Activities'!K179,306))</x:f>
        <x:v>0</x:v>
      </x:c>
      <x:c r="BE179" s="23" t="n">
        <x:f>MAX(0,MIN('Activities'!L179,318)-MAX('Activities'!K179,312))</x:f>
        <x:v>0</x:v>
      </x:c>
      <x:c r="BF179" s="23" t="n">
        <x:f>MAX(0,MIN('Activities'!L179,324)-MAX('Activities'!K179,318))</x:f>
        <x:v>0</x:v>
      </x:c>
      <x:c r="BG179" s="23" t="n">
        <x:f>MAX(0,MIN('Activities'!L179,330)-MAX('Activities'!K179,324))</x:f>
        <x:v>0</x:v>
      </x:c>
      <x:c r="BH179" s="23" t="n">
        <x:f>MAX(0,MIN('Activities'!L179,336)-MAX('Activities'!K179,330))</x:f>
        <x:v>0</x:v>
      </x:c>
      <x:c r="BI179" s="23" t="n">
        <x:f>MAX(0,MIN('Activities'!L179,342)-MAX('Activities'!K179,336))</x:f>
        <x:v>0</x:v>
      </x:c>
      <x:c r="BJ179" s="23" t="n">
        <x:f>MAX(0,MIN('Activities'!L179,348)-MAX('Activities'!K179,342))</x:f>
        <x:v>0</x:v>
      </x:c>
      <x:c r="BK179" s="23" t="n">
        <x:f>MAX(0,MIN('Activities'!L179,354)-MAX('Activities'!K179,348))</x:f>
        <x:v>0</x:v>
      </x:c>
      <x:c r="BL179" s="23" t="n">
        <x:f>MAX(0,MIN('Activities'!L179,360)-MAX('Activities'!K179,354))</x:f>
        <x:v>0</x:v>
      </x:c>
      <x:c r="BM179" s="23" t="n">
        <x:f>MAX(0,MIN('Activities'!L179,366)-MAX('Activities'!K179,360))</x:f>
        <x:v>0</x:v>
      </x:c>
      <x:c r="BN179" s="23" t="n">
        <x:f>MAX(0,MIN('Activities'!L179,372)-MAX('Activities'!K179,366))</x:f>
        <x:v>0</x:v>
      </x:c>
      <x:c r="BO179" s="23" t="n">
        <x:f>MAX(0,MIN('Activities'!L179,378)-MAX('Activities'!K179,372))</x:f>
        <x:v>0</x:v>
      </x:c>
      <x:c r="BP179" s="23" t="n">
        <x:f>MAX(0,MIN('Activities'!L179,384)-MAX('Activities'!K179,378))</x:f>
        <x:v>0</x:v>
      </x:c>
      <x:c r="BQ179" s="23" t="n">
        <x:f>MAX(0,MIN('Activities'!L179,390)-MAX('Activities'!K179,384))</x:f>
        <x:v>0</x:v>
      </x:c>
      <x:c r="BR179" s="23" t="n">
        <x:f>MAX(0,MIN('Activities'!L179,396)-MAX('Activities'!K179,390))</x:f>
        <x:v>0</x:v>
      </x:c>
      <x:c r="BS179" s="23" t="n">
        <x:f>MAX(0,MIN('Activities'!L179,402)-MAX('Activities'!K179,396))</x:f>
        <x:v>0</x:v>
      </x:c>
      <x:c r="BT179" s="23" t="n">
        <x:f>MAX(0,MIN('Activities'!L179,408)-MAX('Activities'!K179,402))</x:f>
        <x:v>0</x:v>
      </x:c>
      <x:c r="BU179" s="23" t="n">
        <x:f>MAX(0,MIN('Activities'!L179,414)-MAX('Activities'!K179,408))</x:f>
        <x:v>0</x:v>
      </x:c>
      <x:c r="BV179" s="23" t="n">
        <x:f>MAX(0,MIN('Activities'!L179,420)-MAX('Activities'!K179,414))</x:f>
        <x:v>0</x:v>
      </x:c>
      <x:c r="BW179" s="23" t="n">
        <x:f>MAX(0,MIN('Activities'!L179,426)-MAX('Activities'!K179,420))</x:f>
        <x:v>0</x:v>
      </x:c>
      <x:c r="BX179" s="23" t="n">
        <x:f>MAX(0,MIN('Activities'!L179,432)-MAX('Activities'!K179,426))</x:f>
        <x:v>0</x:v>
      </x:c>
      <x:c r="BY179" s="23" t="n">
        <x:f>MAX(0,MIN('Activities'!L179,438)-MAX('Activities'!K179,432))</x:f>
        <x:v>0</x:v>
      </x:c>
      <x:c r="BZ179" s="23" t="n">
        <x:f>MAX(0,MIN('Activities'!L179,444)-MAX('Activities'!K179,438))</x:f>
        <x:v>0</x:v>
      </x:c>
      <x:c r="CA179" s="23" t="n">
        <x:f>MAX(0,MIN('Activities'!L179,450)-MAX('Activities'!K179,444))</x:f>
        <x:v>0</x:v>
      </x:c>
      <x:c r="CB179" s="23" t="n">
        <x:f>MAX(0,MIN('Activities'!L179,456)-MAX('Activities'!K179,450))</x:f>
        <x:v>0</x:v>
      </x:c>
      <x:c r="CC179" s="23" t="n">
        <x:f>MAX(0,MIN('Activities'!L179,462)-MAX('Activities'!K179,456))</x:f>
        <x:v>0</x:v>
      </x:c>
      <x:c r="CD179" s="23" t="n">
        <x:f>MAX(0,MIN('Activities'!L179,468)-MAX('Activities'!K179,462))</x:f>
        <x:v>0</x:v>
      </x:c>
      <x:c r="CE179" s="23" t="n">
        <x:f>MAX(0,MIN('Activities'!L179,474)-MAX('Activities'!K179,468))</x:f>
        <x:v>0</x:v>
      </x:c>
      <x:c r="CF179" s="23" t="n">
        <x:f>MAX(0,MIN('Activities'!L179,480)-MAX('Activities'!K179,474))</x:f>
        <x:v>0</x:v>
      </x:c>
      <x:c r="CG179" s="23" t="n">
        <x:f>MAX(0,MIN('Activities'!L179,486)-MAX('Activities'!K179,480))</x:f>
        <x:v>0</x:v>
      </x:c>
      <x:c r="CH179" s="23" t="n">
        <x:f>MAX(0,MIN('Activities'!L179,492)-MAX('Activities'!K179,486))</x:f>
        <x:v>0</x:v>
      </x:c>
      <x:c r="CI179" s="23" t="n">
        <x:f>MAX(0,MIN('Activities'!L179,498)-MAX('Activities'!K179,492))</x:f>
        <x:v>0</x:v>
      </x:c>
      <x:c r="CJ179" s="23" t="n">
        <x:f>MAX(0,MIN('Activities'!L179,504)-MAX('Activities'!K179,498))</x:f>
        <x:v>0</x:v>
      </x:c>
      <x:c r="CK179" s="23" t="n">
        <x:f>MAX(0,MIN('Activities'!L179,510)-MAX('Activities'!K179,504))</x:f>
        <x:v>0</x:v>
      </x:c>
      <x:c r="CL179" s="23" t="n">
        <x:f>MAX(0,MIN('Activities'!L179,516)-MAX('Activities'!K179,510))</x:f>
        <x:v>0</x:v>
      </x:c>
      <x:c r="CM179" s="23" t="n">
        <x:f>MAX(0,MIN('Activities'!L179,522)-MAX('Activities'!K179,516))</x:f>
        <x:v>0</x:v>
      </x:c>
      <x:c r="CN179" s="23" t="n">
        <x:f>MAX(0,MIN('Activities'!L179,528)-MAX('Activities'!K179,522))</x:f>
        <x:v>0</x:v>
      </x:c>
      <x:c r="CO179" s="23" t="n">
        <x:f>MAX(0,MIN('Activities'!L179,534)-MAX('Activities'!K179,528))</x:f>
        <x:v>0</x:v>
      </x:c>
      <x:c r="CP179" s="23" t="n">
        <x:f>MAX(0,MIN('Activities'!L179,540)-MAX('Activities'!K179,534))</x:f>
        <x:v>0</x:v>
      </x:c>
      <x:c r="CQ179" s="23" t="n">
        <x:f>MAX(0,MIN('Activities'!L179,546)-MAX('Activities'!K179,540))</x:f>
        <x:v>0</x:v>
      </x:c>
      <x:c r="CR179" s="23" t="n">
        <x:f>MAX(0,MIN('Activities'!L179,552)-MAX('Activities'!K179,546))</x:f>
        <x:v>0</x:v>
      </x:c>
      <x:c r="CS179" s="23" t="n">
        <x:f>MAX(0,MIN('Activities'!L179,558)-MAX('Activities'!K179,552))</x:f>
        <x:v>0</x:v>
      </x:c>
      <x:c r="CT179" s="23" t="n">
        <x:f>MAX(0,MIN('Activities'!L179,564)-MAX('Activities'!K179,558))</x:f>
        <x:v>0</x:v>
      </x:c>
      <x:c r="CU179" s="23" t="n">
        <x:f>MAX(0,MIN('Activities'!L179,570)-MAX('Activities'!K179,564))</x:f>
        <x:v>0</x:v>
      </x:c>
      <x:c r="CV179" s="23" t="n">
        <x:f>MAX(0,MIN('Activities'!L179,576)-MAX('Activities'!K179,570))</x:f>
        <x:v>0</x:v>
      </x:c>
      <x:c r="CW179" s="23" t="n">
        <x:f>MAX(0,MIN('Activities'!L179,582)-MAX('Activities'!K179,576))</x:f>
        <x:v>0</x:v>
      </x:c>
      <x:c r="CX179" s="23" t="n">
        <x:f>MAX(0,MIN('Activities'!L179,588)-MAX('Activities'!K179,582))</x:f>
        <x:v>0</x:v>
      </x:c>
      <x:c r="CY179" s="23" t="n">
        <x:f>MAX(0,MIN('Activities'!L179,594)-MAX('Activities'!K179,588))</x:f>
        <x:v>0</x:v>
      </x:c>
      <x:c r="CZ179" s="23" t="n">
        <x:f>MAX(0,MIN('Activities'!L179,600)-MAX('Activities'!K179,594))</x:f>
        <x:v>0</x:v>
      </x:c>
      <x:c r="DA179" s="23" t="n">
        <x:f>MAX(0,MIN('Activities'!L179,606)-MAX('Activities'!K179,600))</x:f>
        <x:v>0</x:v>
      </x:c>
      <x:c r="DB179" s="23" t="n">
        <x:f>MAX(0,MIN('Activities'!L179,612)-MAX('Activities'!K179,606))</x:f>
        <x:v>0</x:v>
      </x:c>
      <x:c r="DC179" s="23" t="n">
        <x:f>MAX(0,MIN('Activities'!L179,618)-MAX('Activities'!K179,612))</x:f>
        <x:v>0</x:v>
      </x:c>
      <x:c r="DD179" s="23" t="n">
        <x:f>MAX(0,MIN('Activities'!L179,624)-MAX('Activities'!K179,618))</x:f>
        <x:v>0</x:v>
      </x:c>
      <x:c r="DE179" s="23" t="n">
        <x:f>MAX(0,MIN('Activities'!L179,630)-MAX('Activities'!K179,624))</x:f>
        <x:v>0</x:v>
      </x:c>
      <x:c r="DF179" s="23" t="n">
        <x:f>MAX(0,MIN('Activities'!L179,636)-MAX('Activities'!K179,630))</x:f>
        <x:v>0</x:v>
      </x:c>
    </x:row>
    <x:row r="180" ht="23" customHeight="1">
      <x:c r="A180" s="6" t="str">
        <x:v>T2-L07-H</x:v>
      </x:c>
      <x:c r="B180" s="6" t="str">
        <x:v>T2</x:v>
      </x:c>
      <x:c r="C180" s="6" t="str">
        <x:v>Curing and release hold point</x:v>
      </x:c>
      <x:c r="D180" s="6" t="str">
        <x:v>Site</x:v>
      </x:c>
      <x:c r="E180" s="22" t="n">
        <x:f>MAX(0,MIN('Activities'!L180,6)-MAX('Activities'!K180,0))</x:f>
        <x:v>0</x:v>
      </x:c>
      <x:c r="F180" s="22" t="n">
        <x:f>MAX(0,MIN('Activities'!L180,12)-MAX('Activities'!K180,6))</x:f>
        <x:v>0</x:v>
      </x:c>
      <x:c r="G180" s="22" t="n">
        <x:f>MAX(0,MIN('Activities'!L180,18)-MAX('Activities'!K180,12))</x:f>
        <x:v>0</x:v>
      </x:c>
      <x:c r="H180" s="22" t="n">
        <x:f>MAX(0,MIN('Activities'!L180,24)-MAX('Activities'!K180,18))</x:f>
        <x:v>0</x:v>
      </x:c>
      <x:c r="I180" s="22" t="n">
        <x:f>MAX(0,MIN('Activities'!L180,30)-MAX('Activities'!K180,24))</x:f>
        <x:v>0</x:v>
      </x:c>
      <x:c r="J180" s="22" t="n">
        <x:f>MAX(0,MIN('Activities'!L180,36)-MAX('Activities'!K180,30))</x:f>
        <x:v>0</x:v>
      </x:c>
      <x:c r="K180" s="22" t="n">
        <x:f>MAX(0,MIN('Activities'!L180,42)-MAX('Activities'!K180,36))</x:f>
        <x:v>0</x:v>
      </x:c>
      <x:c r="L180" s="22" t="n">
        <x:f>MAX(0,MIN('Activities'!L180,48)-MAX('Activities'!K180,42))</x:f>
        <x:v>0</x:v>
      </x:c>
      <x:c r="M180" s="22" t="n">
        <x:f>MAX(0,MIN('Activities'!L180,54)-MAX('Activities'!K180,48))</x:f>
        <x:v>0</x:v>
      </x:c>
      <x:c r="N180" s="22" t="n">
        <x:f>MAX(0,MIN('Activities'!L180,60)-MAX('Activities'!K180,54))</x:f>
        <x:v>0</x:v>
      </x:c>
      <x:c r="O180" s="22" t="n">
        <x:f>MAX(0,MIN('Activities'!L180,66)-MAX('Activities'!K180,60))</x:f>
        <x:v>0</x:v>
      </x:c>
      <x:c r="P180" s="22" t="n">
        <x:f>MAX(0,MIN('Activities'!L180,72)-MAX('Activities'!K180,66))</x:f>
        <x:v>0</x:v>
      </x:c>
      <x:c r="Q180" s="22" t="n">
        <x:f>MAX(0,MIN('Activities'!L180,78)-MAX('Activities'!K180,72))</x:f>
        <x:v>0</x:v>
      </x:c>
      <x:c r="R180" s="22" t="n">
        <x:f>MAX(0,MIN('Activities'!L180,84)-MAX('Activities'!K180,78))</x:f>
        <x:v>0</x:v>
      </x:c>
      <x:c r="S180" s="22" t="n">
        <x:f>MAX(0,MIN('Activities'!L180,90)-MAX('Activities'!K180,84))</x:f>
        <x:v>0</x:v>
      </x:c>
      <x:c r="T180" s="22" t="n">
        <x:f>MAX(0,MIN('Activities'!L180,96)-MAX('Activities'!K180,90))</x:f>
        <x:v>0</x:v>
      </x:c>
      <x:c r="U180" s="22" t="n">
        <x:f>MAX(0,MIN('Activities'!L180,102)-MAX('Activities'!K180,96))</x:f>
        <x:v>0</x:v>
      </x:c>
      <x:c r="V180" s="22" t="n">
        <x:f>MAX(0,MIN('Activities'!L180,108)-MAX('Activities'!K180,102))</x:f>
        <x:v>0</x:v>
      </x:c>
      <x:c r="W180" s="22" t="n">
        <x:f>MAX(0,MIN('Activities'!L180,114)-MAX('Activities'!K180,108))</x:f>
        <x:v>0</x:v>
      </x:c>
      <x:c r="X180" s="22" t="n">
        <x:f>MAX(0,MIN('Activities'!L180,120)-MAX('Activities'!K180,114))</x:f>
        <x:v>0</x:v>
      </x:c>
      <x:c r="Y180" s="22" t="n">
        <x:f>MAX(0,MIN('Activities'!L180,126)-MAX('Activities'!K180,120))</x:f>
        <x:v>0</x:v>
      </x:c>
      <x:c r="Z180" s="22" t="n">
        <x:f>MAX(0,MIN('Activities'!L180,132)-MAX('Activities'!K180,126))</x:f>
        <x:v>0</x:v>
      </x:c>
      <x:c r="AA180" s="22" t="n">
        <x:f>MAX(0,MIN('Activities'!L180,138)-MAX('Activities'!K180,132))</x:f>
        <x:v>0</x:v>
      </x:c>
      <x:c r="AB180" s="22" t="n">
        <x:f>MAX(0,MIN('Activities'!L180,144)-MAX('Activities'!K180,138))</x:f>
        <x:v>0</x:v>
      </x:c>
      <x:c r="AC180" s="22" t="n">
        <x:f>MAX(0,MIN('Activities'!L180,150)-MAX('Activities'!K180,144))</x:f>
        <x:v>0</x:v>
      </x:c>
      <x:c r="AD180" s="22" t="n">
        <x:f>MAX(0,MIN('Activities'!L180,156)-MAX('Activities'!K180,150))</x:f>
        <x:v>0</x:v>
      </x:c>
      <x:c r="AE180" s="22" t="n">
        <x:f>MAX(0,MIN('Activities'!L180,162)-MAX('Activities'!K180,156))</x:f>
        <x:v>0</x:v>
      </x:c>
      <x:c r="AF180" s="22" t="n">
        <x:f>MAX(0,MIN('Activities'!L180,168)-MAX('Activities'!K180,162))</x:f>
        <x:v>0</x:v>
      </x:c>
      <x:c r="AG180" s="22" t="n">
        <x:f>MAX(0,MIN('Activities'!L180,174)-MAX('Activities'!K180,168))</x:f>
        <x:v>0</x:v>
      </x:c>
      <x:c r="AH180" s="22" t="n">
        <x:f>MAX(0,MIN('Activities'!L180,180)-MAX('Activities'!K180,174))</x:f>
        <x:v>0</x:v>
      </x:c>
      <x:c r="AI180" s="22" t="n">
        <x:f>MAX(0,MIN('Activities'!L180,186)-MAX('Activities'!K180,180))</x:f>
        <x:v>0</x:v>
      </x:c>
      <x:c r="AJ180" s="22" t="n">
        <x:f>MAX(0,MIN('Activities'!L180,192)-MAX('Activities'!K180,186))</x:f>
        <x:v>0</x:v>
      </x:c>
      <x:c r="AK180" s="22" t="n">
        <x:f>MAX(0,MIN('Activities'!L180,198)-MAX('Activities'!K180,192))</x:f>
        <x:v>0</x:v>
      </x:c>
      <x:c r="AL180" s="22" t="n">
        <x:f>MAX(0,MIN('Activities'!L180,204)-MAX('Activities'!K180,198))</x:f>
        <x:v>0</x:v>
      </x:c>
      <x:c r="AM180" s="22" t="n">
        <x:f>MAX(0,MIN('Activities'!L180,210)-MAX('Activities'!K180,204))</x:f>
        <x:v>0</x:v>
      </x:c>
      <x:c r="AN180" s="22" t="n">
        <x:f>MAX(0,MIN('Activities'!L180,216)-MAX('Activities'!K180,210))</x:f>
        <x:v>0</x:v>
      </x:c>
      <x:c r="AO180" s="22" t="n">
        <x:f>MAX(0,MIN('Activities'!L180,222)-MAX('Activities'!K180,216))</x:f>
        <x:v>0</x:v>
      </x:c>
      <x:c r="AP180" s="22" t="n">
        <x:f>MAX(0,MIN('Activities'!L180,228)-MAX('Activities'!K180,222))</x:f>
        <x:v>0</x:v>
      </x:c>
      <x:c r="AQ180" s="22" t="n">
        <x:f>MAX(0,MIN('Activities'!L180,234)-MAX('Activities'!K180,228))</x:f>
        <x:v>0</x:v>
      </x:c>
      <x:c r="AR180" s="22" t="n">
        <x:f>MAX(0,MIN('Activities'!L180,240)-MAX('Activities'!K180,234))</x:f>
        <x:v>0</x:v>
      </x:c>
      <x:c r="AS180" s="22" t="n">
        <x:f>MAX(0,MIN('Activities'!L180,246)-MAX('Activities'!K180,240))</x:f>
        <x:v>0</x:v>
      </x:c>
      <x:c r="AT180" s="22" t="n">
        <x:f>MAX(0,MIN('Activities'!L180,252)-MAX('Activities'!K180,246))</x:f>
        <x:v>0</x:v>
      </x:c>
      <x:c r="AU180" s="22" t="n">
        <x:f>MAX(0,MIN('Activities'!L180,258)-MAX('Activities'!K180,252))</x:f>
        <x:v>0</x:v>
      </x:c>
      <x:c r="AV180" s="22" t="n">
        <x:f>MAX(0,MIN('Activities'!L180,264)-MAX('Activities'!K180,258))</x:f>
        <x:v>0</x:v>
      </x:c>
      <x:c r="AW180" s="22" t="n">
        <x:f>MAX(0,MIN('Activities'!L180,270)-MAX('Activities'!K180,264))</x:f>
        <x:v>0</x:v>
      </x:c>
      <x:c r="AX180" s="22" t="n">
        <x:f>MAX(0,MIN('Activities'!L180,276)-MAX('Activities'!K180,270))</x:f>
        <x:v>0</x:v>
      </x:c>
      <x:c r="AY180" s="22" t="n">
        <x:f>MAX(0,MIN('Activities'!L180,282)-MAX('Activities'!K180,276))</x:f>
        <x:v>0</x:v>
      </x:c>
      <x:c r="AZ180" s="22" t="n">
        <x:f>MAX(0,MIN('Activities'!L180,288)-MAX('Activities'!K180,282))</x:f>
        <x:v>3</x:v>
      </x:c>
      <x:c r="BA180" s="22" t="n">
        <x:f>MAX(0,MIN('Activities'!L180,294)-MAX('Activities'!K180,288))</x:f>
        <x:v>2</x:v>
      </x:c>
      <x:c r="BB180" s="22" t="n">
        <x:f>MAX(0,MIN('Activities'!L180,300)-MAX('Activities'!K180,294))</x:f>
        <x:v>0</x:v>
      </x:c>
      <x:c r="BC180" s="22" t="n">
        <x:f>MAX(0,MIN('Activities'!L180,306)-MAX('Activities'!K180,300))</x:f>
        <x:v>0</x:v>
      </x:c>
      <x:c r="BD180" s="22" t="n">
        <x:f>MAX(0,MIN('Activities'!L180,312)-MAX('Activities'!K180,306))</x:f>
        <x:v>0</x:v>
      </x:c>
      <x:c r="BE180" s="22" t="n">
        <x:f>MAX(0,MIN('Activities'!L180,318)-MAX('Activities'!K180,312))</x:f>
        <x:v>0</x:v>
      </x:c>
      <x:c r="BF180" s="22" t="n">
        <x:f>MAX(0,MIN('Activities'!L180,324)-MAX('Activities'!K180,318))</x:f>
        <x:v>0</x:v>
      </x:c>
      <x:c r="BG180" s="22" t="n">
        <x:f>MAX(0,MIN('Activities'!L180,330)-MAX('Activities'!K180,324))</x:f>
        <x:v>0</x:v>
      </x:c>
      <x:c r="BH180" s="22" t="n">
        <x:f>MAX(0,MIN('Activities'!L180,336)-MAX('Activities'!K180,330))</x:f>
        <x:v>0</x:v>
      </x:c>
      <x:c r="BI180" s="22" t="n">
        <x:f>MAX(0,MIN('Activities'!L180,342)-MAX('Activities'!K180,336))</x:f>
        <x:v>0</x:v>
      </x:c>
      <x:c r="BJ180" s="22" t="n">
        <x:f>MAX(0,MIN('Activities'!L180,348)-MAX('Activities'!K180,342))</x:f>
        <x:v>0</x:v>
      </x:c>
      <x:c r="BK180" s="22" t="n">
        <x:f>MAX(0,MIN('Activities'!L180,354)-MAX('Activities'!K180,348))</x:f>
        <x:v>0</x:v>
      </x:c>
      <x:c r="BL180" s="22" t="n">
        <x:f>MAX(0,MIN('Activities'!L180,360)-MAX('Activities'!K180,354))</x:f>
        <x:v>0</x:v>
      </x:c>
      <x:c r="BM180" s="22" t="n">
        <x:f>MAX(0,MIN('Activities'!L180,366)-MAX('Activities'!K180,360))</x:f>
        <x:v>0</x:v>
      </x:c>
      <x:c r="BN180" s="22" t="n">
        <x:f>MAX(0,MIN('Activities'!L180,372)-MAX('Activities'!K180,366))</x:f>
        <x:v>0</x:v>
      </x:c>
      <x:c r="BO180" s="22" t="n">
        <x:f>MAX(0,MIN('Activities'!L180,378)-MAX('Activities'!K180,372))</x:f>
        <x:v>0</x:v>
      </x:c>
      <x:c r="BP180" s="22" t="n">
        <x:f>MAX(0,MIN('Activities'!L180,384)-MAX('Activities'!K180,378))</x:f>
        <x:v>0</x:v>
      </x:c>
      <x:c r="BQ180" s="22" t="n">
        <x:f>MAX(0,MIN('Activities'!L180,390)-MAX('Activities'!K180,384))</x:f>
        <x:v>0</x:v>
      </x:c>
      <x:c r="BR180" s="22" t="n">
        <x:f>MAX(0,MIN('Activities'!L180,396)-MAX('Activities'!K180,390))</x:f>
        <x:v>0</x:v>
      </x:c>
      <x:c r="BS180" s="22" t="n">
        <x:f>MAX(0,MIN('Activities'!L180,402)-MAX('Activities'!K180,396))</x:f>
        <x:v>0</x:v>
      </x:c>
      <x:c r="BT180" s="22" t="n">
        <x:f>MAX(0,MIN('Activities'!L180,408)-MAX('Activities'!K180,402))</x:f>
        <x:v>0</x:v>
      </x:c>
      <x:c r="BU180" s="22" t="n">
        <x:f>MAX(0,MIN('Activities'!L180,414)-MAX('Activities'!K180,408))</x:f>
        <x:v>0</x:v>
      </x:c>
      <x:c r="BV180" s="22" t="n">
        <x:f>MAX(0,MIN('Activities'!L180,420)-MAX('Activities'!K180,414))</x:f>
        <x:v>0</x:v>
      </x:c>
      <x:c r="BW180" s="22" t="n">
        <x:f>MAX(0,MIN('Activities'!L180,426)-MAX('Activities'!K180,420))</x:f>
        <x:v>0</x:v>
      </x:c>
      <x:c r="BX180" s="22" t="n">
        <x:f>MAX(0,MIN('Activities'!L180,432)-MAX('Activities'!K180,426))</x:f>
        <x:v>0</x:v>
      </x:c>
      <x:c r="BY180" s="22" t="n">
        <x:f>MAX(0,MIN('Activities'!L180,438)-MAX('Activities'!K180,432))</x:f>
        <x:v>0</x:v>
      </x:c>
      <x:c r="BZ180" s="22" t="n">
        <x:f>MAX(0,MIN('Activities'!L180,444)-MAX('Activities'!K180,438))</x:f>
        <x:v>0</x:v>
      </x:c>
      <x:c r="CA180" s="22" t="n">
        <x:f>MAX(0,MIN('Activities'!L180,450)-MAX('Activities'!K180,444))</x:f>
        <x:v>0</x:v>
      </x:c>
      <x:c r="CB180" s="22" t="n">
        <x:f>MAX(0,MIN('Activities'!L180,456)-MAX('Activities'!K180,450))</x:f>
        <x:v>0</x:v>
      </x:c>
      <x:c r="CC180" s="22" t="n">
        <x:f>MAX(0,MIN('Activities'!L180,462)-MAX('Activities'!K180,456))</x:f>
        <x:v>0</x:v>
      </x:c>
      <x:c r="CD180" s="22" t="n">
        <x:f>MAX(0,MIN('Activities'!L180,468)-MAX('Activities'!K180,462))</x:f>
        <x:v>0</x:v>
      </x:c>
      <x:c r="CE180" s="22" t="n">
        <x:f>MAX(0,MIN('Activities'!L180,474)-MAX('Activities'!K180,468))</x:f>
        <x:v>0</x:v>
      </x:c>
      <x:c r="CF180" s="22" t="n">
        <x:f>MAX(0,MIN('Activities'!L180,480)-MAX('Activities'!K180,474))</x:f>
        <x:v>0</x:v>
      </x:c>
      <x:c r="CG180" s="22" t="n">
        <x:f>MAX(0,MIN('Activities'!L180,486)-MAX('Activities'!K180,480))</x:f>
        <x:v>0</x:v>
      </x:c>
      <x:c r="CH180" s="22" t="n">
        <x:f>MAX(0,MIN('Activities'!L180,492)-MAX('Activities'!K180,486))</x:f>
        <x:v>0</x:v>
      </x:c>
      <x:c r="CI180" s="22" t="n">
        <x:f>MAX(0,MIN('Activities'!L180,498)-MAX('Activities'!K180,492))</x:f>
        <x:v>0</x:v>
      </x:c>
      <x:c r="CJ180" s="22" t="n">
        <x:f>MAX(0,MIN('Activities'!L180,504)-MAX('Activities'!K180,498))</x:f>
        <x:v>0</x:v>
      </x:c>
      <x:c r="CK180" s="22" t="n">
        <x:f>MAX(0,MIN('Activities'!L180,510)-MAX('Activities'!K180,504))</x:f>
        <x:v>0</x:v>
      </x:c>
      <x:c r="CL180" s="22" t="n">
        <x:f>MAX(0,MIN('Activities'!L180,516)-MAX('Activities'!K180,510))</x:f>
        <x:v>0</x:v>
      </x:c>
      <x:c r="CM180" s="22" t="n">
        <x:f>MAX(0,MIN('Activities'!L180,522)-MAX('Activities'!K180,516))</x:f>
        <x:v>0</x:v>
      </x:c>
      <x:c r="CN180" s="22" t="n">
        <x:f>MAX(0,MIN('Activities'!L180,528)-MAX('Activities'!K180,522))</x:f>
        <x:v>0</x:v>
      </x:c>
      <x:c r="CO180" s="22" t="n">
        <x:f>MAX(0,MIN('Activities'!L180,534)-MAX('Activities'!K180,528))</x:f>
        <x:v>0</x:v>
      </x:c>
      <x:c r="CP180" s="22" t="n">
        <x:f>MAX(0,MIN('Activities'!L180,540)-MAX('Activities'!K180,534))</x:f>
        <x:v>0</x:v>
      </x:c>
      <x:c r="CQ180" s="22" t="n">
        <x:f>MAX(0,MIN('Activities'!L180,546)-MAX('Activities'!K180,540))</x:f>
        <x:v>0</x:v>
      </x:c>
      <x:c r="CR180" s="22" t="n">
        <x:f>MAX(0,MIN('Activities'!L180,552)-MAX('Activities'!K180,546))</x:f>
        <x:v>0</x:v>
      </x:c>
      <x:c r="CS180" s="22" t="n">
        <x:f>MAX(0,MIN('Activities'!L180,558)-MAX('Activities'!K180,552))</x:f>
        <x:v>0</x:v>
      </x:c>
      <x:c r="CT180" s="22" t="n">
        <x:f>MAX(0,MIN('Activities'!L180,564)-MAX('Activities'!K180,558))</x:f>
        <x:v>0</x:v>
      </x:c>
      <x:c r="CU180" s="22" t="n">
        <x:f>MAX(0,MIN('Activities'!L180,570)-MAX('Activities'!K180,564))</x:f>
        <x:v>0</x:v>
      </x:c>
      <x:c r="CV180" s="22" t="n">
        <x:f>MAX(0,MIN('Activities'!L180,576)-MAX('Activities'!K180,570))</x:f>
        <x:v>0</x:v>
      </x:c>
      <x:c r="CW180" s="22" t="n">
        <x:f>MAX(0,MIN('Activities'!L180,582)-MAX('Activities'!K180,576))</x:f>
        <x:v>0</x:v>
      </x:c>
      <x:c r="CX180" s="22" t="n">
        <x:f>MAX(0,MIN('Activities'!L180,588)-MAX('Activities'!K180,582))</x:f>
        <x:v>0</x:v>
      </x:c>
      <x:c r="CY180" s="22" t="n">
        <x:f>MAX(0,MIN('Activities'!L180,594)-MAX('Activities'!K180,588))</x:f>
        <x:v>0</x:v>
      </x:c>
      <x:c r="CZ180" s="22" t="n">
        <x:f>MAX(0,MIN('Activities'!L180,600)-MAX('Activities'!K180,594))</x:f>
        <x:v>0</x:v>
      </x:c>
      <x:c r="DA180" s="22" t="n">
        <x:f>MAX(0,MIN('Activities'!L180,606)-MAX('Activities'!K180,600))</x:f>
        <x:v>0</x:v>
      </x:c>
      <x:c r="DB180" s="22" t="n">
        <x:f>MAX(0,MIN('Activities'!L180,612)-MAX('Activities'!K180,606))</x:f>
        <x:v>0</x:v>
      </x:c>
      <x:c r="DC180" s="22" t="n">
        <x:f>MAX(0,MIN('Activities'!L180,618)-MAX('Activities'!K180,612))</x:f>
        <x:v>0</x:v>
      </x:c>
      <x:c r="DD180" s="22" t="n">
        <x:f>MAX(0,MIN('Activities'!L180,624)-MAX('Activities'!K180,618))</x:f>
        <x:v>0</x:v>
      </x:c>
      <x:c r="DE180" s="22" t="n">
        <x:f>MAX(0,MIN('Activities'!L180,630)-MAX('Activities'!K180,624))</x:f>
        <x:v>0</x:v>
      </x:c>
      <x:c r="DF180" s="22" t="n">
        <x:f>MAX(0,MIN('Activities'!L180,636)-MAX('Activities'!K180,630))</x:f>
        <x:v>0</x:v>
      </x:c>
    </x:row>
    <x:row r="181" ht="23" customHeight="1">
      <x:c r="A181" s="1" t="str">
        <x:v>T2-L08-F</x:v>
      </x:c>
      <x:c r="B181" s="1" t="str">
        <x:v>T2</x:v>
      </x:c>
      <x:c r="C181" s="1" t="str">
        <x:v>Columns, core and deck formwork</x:v>
      </x:c>
      <x:c r="D181" s="1" t="str">
        <x:v>Formwork</x:v>
      </x:c>
      <x:c r="E181" s="23" t="n">
        <x:f>MAX(0,MIN('Activities'!L181,6)-MAX('Activities'!K181,0))</x:f>
        <x:v>0</x:v>
      </x:c>
      <x:c r="F181" s="23" t="n">
        <x:f>MAX(0,MIN('Activities'!L181,12)-MAX('Activities'!K181,6))</x:f>
        <x:v>0</x:v>
      </x:c>
      <x:c r="G181" s="23" t="n">
        <x:f>MAX(0,MIN('Activities'!L181,18)-MAX('Activities'!K181,12))</x:f>
        <x:v>0</x:v>
      </x:c>
      <x:c r="H181" s="23" t="n">
        <x:f>MAX(0,MIN('Activities'!L181,24)-MAX('Activities'!K181,18))</x:f>
        <x:v>0</x:v>
      </x:c>
      <x:c r="I181" s="23" t="n">
        <x:f>MAX(0,MIN('Activities'!L181,30)-MAX('Activities'!K181,24))</x:f>
        <x:v>0</x:v>
      </x:c>
      <x:c r="J181" s="23" t="n">
        <x:f>MAX(0,MIN('Activities'!L181,36)-MAX('Activities'!K181,30))</x:f>
        <x:v>0</x:v>
      </x:c>
      <x:c r="K181" s="23" t="n">
        <x:f>MAX(0,MIN('Activities'!L181,42)-MAX('Activities'!K181,36))</x:f>
        <x:v>0</x:v>
      </x:c>
      <x:c r="L181" s="23" t="n">
        <x:f>MAX(0,MIN('Activities'!L181,48)-MAX('Activities'!K181,42))</x:f>
        <x:v>0</x:v>
      </x:c>
      <x:c r="M181" s="23" t="n">
        <x:f>MAX(0,MIN('Activities'!L181,54)-MAX('Activities'!K181,48))</x:f>
        <x:v>0</x:v>
      </x:c>
      <x:c r="N181" s="23" t="n">
        <x:f>MAX(0,MIN('Activities'!L181,60)-MAX('Activities'!K181,54))</x:f>
        <x:v>0</x:v>
      </x:c>
      <x:c r="O181" s="23" t="n">
        <x:f>MAX(0,MIN('Activities'!L181,66)-MAX('Activities'!K181,60))</x:f>
        <x:v>0</x:v>
      </x:c>
      <x:c r="P181" s="23" t="n">
        <x:f>MAX(0,MIN('Activities'!L181,72)-MAX('Activities'!K181,66))</x:f>
        <x:v>0</x:v>
      </x:c>
      <x:c r="Q181" s="23" t="n">
        <x:f>MAX(0,MIN('Activities'!L181,78)-MAX('Activities'!K181,72))</x:f>
        <x:v>0</x:v>
      </x:c>
      <x:c r="R181" s="23" t="n">
        <x:f>MAX(0,MIN('Activities'!L181,84)-MAX('Activities'!K181,78))</x:f>
        <x:v>0</x:v>
      </x:c>
      <x:c r="S181" s="23" t="n">
        <x:f>MAX(0,MIN('Activities'!L181,90)-MAX('Activities'!K181,84))</x:f>
        <x:v>0</x:v>
      </x:c>
      <x:c r="T181" s="23" t="n">
        <x:f>MAX(0,MIN('Activities'!L181,96)-MAX('Activities'!K181,90))</x:f>
        <x:v>0</x:v>
      </x:c>
      <x:c r="U181" s="23" t="n">
        <x:f>MAX(0,MIN('Activities'!L181,102)-MAX('Activities'!K181,96))</x:f>
        <x:v>0</x:v>
      </x:c>
      <x:c r="V181" s="23" t="n">
        <x:f>MAX(0,MIN('Activities'!L181,108)-MAX('Activities'!K181,102))</x:f>
        <x:v>0</x:v>
      </x:c>
      <x:c r="W181" s="23" t="n">
        <x:f>MAX(0,MIN('Activities'!L181,114)-MAX('Activities'!K181,108))</x:f>
        <x:v>0</x:v>
      </x:c>
      <x:c r="X181" s="23" t="n">
        <x:f>MAX(0,MIN('Activities'!L181,120)-MAX('Activities'!K181,114))</x:f>
        <x:v>0</x:v>
      </x:c>
      <x:c r="Y181" s="23" t="n">
        <x:f>MAX(0,MIN('Activities'!L181,126)-MAX('Activities'!K181,120))</x:f>
        <x:v>0</x:v>
      </x:c>
      <x:c r="Z181" s="23" t="n">
        <x:f>MAX(0,MIN('Activities'!L181,132)-MAX('Activities'!K181,126))</x:f>
        <x:v>0</x:v>
      </x:c>
      <x:c r="AA181" s="23" t="n">
        <x:f>MAX(0,MIN('Activities'!L181,138)-MAX('Activities'!K181,132))</x:f>
        <x:v>0</x:v>
      </x:c>
      <x:c r="AB181" s="23" t="n">
        <x:f>MAX(0,MIN('Activities'!L181,144)-MAX('Activities'!K181,138))</x:f>
        <x:v>0</x:v>
      </x:c>
      <x:c r="AC181" s="23" t="n">
        <x:f>MAX(0,MIN('Activities'!L181,150)-MAX('Activities'!K181,144))</x:f>
        <x:v>0</x:v>
      </x:c>
      <x:c r="AD181" s="23" t="n">
        <x:f>MAX(0,MIN('Activities'!L181,156)-MAX('Activities'!K181,150))</x:f>
        <x:v>0</x:v>
      </x:c>
      <x:c r="AE181" s="23" t="n">
        <x:f>MAX(0,MIN('Activities'!L181,162)-MAX('Activities'!K181,156))</x:f>
        <x:v>0</x:v>
      </x:c>
      <x:c r="AF181" s="23" t="n">
        <x:f>MAX(0,MIN('Activities'!L181,168)-MAX('Activities'!K181,162))</x:f>
        <x:v>0</x:v>
      </x:c>
      <x:c r="AG181" s="23" t="n">
        <x:f>MAX(0,MIN('Activities'!L181,174)-MAX('Activities'!K181,168))</x:f>
        <x:v>0</x:v>
      </x:c>
      <x:c r="AH181" s="23" t="n">
        <x:f>MAX(0,MIN('Activities'!L181,180)-MAX('Activities'!K181,174))</x:f>
        <x:v>0</x:v>
      </x:c>
      <x:c r="AI181" s="23" t="n">
        <x:f>MAX(0,MIN('Activities'!L181,186)-MAX('Activities'!K181,180))</x:f>
        <x:v>0</x:v>
      </x:c>
      <x:c r="AJ181" s="23" t="n">
        <x:f>MAX(0,MIN('Activities'!L181,192)-MAX('Activities'!K181,186))</x:f>
        <x:v>0</x:v>
      </x:c>
      <x:c r="AK181" s="23" t="n">
        <x:f>MAX(0,MIN('Activities'!L181,198)-MAX('Activities'!K181,192))</x:f>
        <x:v>0</x:v>
      </x:c>
      <x:c r="AL181" s="23" t="n">
        <x:f>MAX(0,MIN('Activities'!L181,204)-MAX('Activities'!K181,198))</x:f>
        <x:v>0</x:v>
      </x:c>
      <x:c r="AM181" s="23" t="n">
        <x:f>MAX(0,MIN('Activities'!L181,210)-MAX('Activities'!K181,204))</x:f>
        <x:v>0</x:v>
      </x:c>
      <x:c r="AN181" s="23" t="n">
        <x:f>MAX(0,MIN('Activities'!L181,216)-MAX('Activities'!K181,210))</x:f>
        <x:v>0</x:v>
      </x:c>
      <x:c r="AO181" s="23" t="n">
        <x:f>MAX(0,MIN('Activities'!L181,222)-MAX('Activities'!K181,216))</x:f>
        <x:v>0</x:v>
      </x:c>
      <x:c r="AP181" s="23" t="n">
        <x:f>MAX(0,MIN('Activities'!L181,228)-MAX('Activities'!K181,222))</x:f>
        <x:v>0</x:v>
      </x:c>
      <x:c r="AQ181" s="23" t="n">
        <x:f>MAX(0,MIN('Activities'!L181,234)-MAX('Activities'!K181,228))</x:f>
        <x:v>0</x:v>
      </x:c>
      <x:c r="AR181" s="23" t="n">
        <x:f>MAX(0,MIN('Activities'!L181,240)-MAX('Activities'!K181,234))</x:f>
        <x:v>0</x:v>
      </x:c>
      <x:c r="AS181" s="23" t="n">
        <x:f>MAX(0,MIN('Activities'!L181,246)-MAX('Activities'!K181,240))</x:f>
        <x:v>0</x:v>
      </x:c>
      <x:c r="AT181" s="23" t="n">
        <x:f>MAX(0,MIN('Activities'!L181,252)-MAX('Activities'!K181,246))</x:f>
        <x:v>0</x:v>
      </x:c>
      <x:c r="AU181" s="23" t="n">
        <x:f>MAX(0,MIN('Activities'!L181,258)-MAX('Activities'!K181,252))</x:f>
        <x:v>0</x:v>
      </x:c>
      <x:c r="AV181" s="23" t="n">
        <x:f>MAX(0,MIN('Activities'!L181,264)-MAX('Activities'!K181,258))</x:f>
        <x:v>0</x:v>
      </x:c>
      <x:c r="AW181" s="23" t="n">
        <x:f>MAX(0,MIN('Activities'!L181,270)-MAX('Activities'!K181,264))</x:f>
        <x:v>0</x:v>
      </x:c>
      <x:c r="AX181" s="23" t="n">
        <x:f>MAX(0,MIN('Activities'!L181,276)-MAX('Activities'!K181,270))</x:f>
        <x:v>0</x:v>
      </x:c>
      <x:c r="AY181" s="23" t="n">
        <x:f>MAX(0,MIN('Activities'!L181,282)-MAX('Activities'!K181,276))</x:f>
        <x:v>0</x:v>
      </x:c>
      <x:c r="AZ181" s="23" t="n">
        <x:f>MAX(0,MIN('Activities'!L181,288)-MAX('Activities'!K181,282))</x:f>
        <x:v>0</x:v>
      </x:c>
      <x:c r="BA181" s="23" t="n">
        <x:f>MAX(0,MIN('Activities'!L181,294)-MAX('Activities'!K181,288))</x:f>
        <x:v>4</x:v>
      </x:c>
      <x:c r="BB181" s="23" t="n">
        <x:f>MAX(0,MIN('Activities'!L181,300)-MAX('Activities'!K181,294))</x:f>
        <x:v>2</x:v>
      </x:c>
      <x:c r="BC181" s="23" t="n">
        <x:f>MAX(0,MIN('Activities'!L181,306)-MAX('Activities'!K181,300))</x:f>
        <x:v>0</x:v>
      </x:c>
      <x:c r="BD181" s="23" t="n">
        <x:f>MAX(0,MIN('Activities'!L181,312)-MAX('Activities'!K181,306))</x:f>
        <x:v>0</x:v>
      </x:c>
      <x:c r="BE181" s="23" t="n">
        <x:f>MAX(0,MIN('Activities'!L181,318)-MAX('Activities'!K181,312))</x:f>
        <x:v>0</x:v>
      </x:c>
      <x:c r="BF181" s="23" t="n">
        <x:f>MAX(0,MIN('Activities'!L181,324)-MAX('Activities'!K181,318))</x:f>
        <x:v>0</x:v>
      </x:c>
      <x:c r="BG181" s="23" t="n">
        <x:f>MAX(0,MIN('Activities'!L181,330)-MAX('Activities'!K181,324))</x:f>
        <x:v>0</x:v>
      </x:c>
      <x:c r="BH181" s="23" t="n">
        <x:f>MAX(0,MIN('Activities'!L181,336)-MAX('Activities'!K181,330))</x:f>
        <x:v>0</x:v>
      </x:c>
      <x:c r="BI181" s="23" t="n">
        <x:f>MAX(0,MIN('Activities'!L181,342)-MAX('Activities'!K181,336))</x:f>
        <x:v>0</x:v>
      </x:c>
      <x:c r="BJ181" s="23" t="n">
        <x:f>MAX(0,MIN('Activities'!L181,348)-MAX('Activities'!K181,342))</x:f>
        <x:v>0</x:v>
      </x:c>
      <x:c r="BK181" s="23" t="n">
        <x:f>MAX(0,MIN('Activities'!L181,354)-MAX('Activities'!K181,348))</x:f>
        <x:v>0</x:v>
      </x:c>
      <x:c r="BL181" s="23" t="n">
        <x:f>MAX(0,MIN('Activities'!L181,360)-MAX('Activities'!K181,354))</x:f>
        <x:v>0</x:v>
      </x:c>
      <x:c r="BM181" s="23" t="n">
        <x:f>MAX(0,MIN('Activities'!L181,366)-MAX('Activities'!K181,360))</x:f>
        <x:v>0</x:v>
      </x:c>
      <x:c r="BN181" s="23" t="n">
        <x:f>MAX(0,MIN('Activities'!L181,372)-MAX('Activities'!K181,366))</x:f>
        <x:v>0</x:v>
      </x:c>
      <x:c r="BO181" s="23" t="n">
        <x:f>MAX(0,MIN('Activities'!L181,378)-MAX('Activities'!K181,372))</x:f>
        <x:v>0</x:v>
      </x:c>
      <x:c r="BP181" s="23" t="n">
        <x:f>MAX(0,MIN('Activities'!L181,384)-MAX('Activities'!K181,378))</x:f>
        <x:v>0</x:v>
      </x:c>
      <x:c r="BQ181" s="23" t="n">
        <x:f>MAX(0,MIN('Activities'!L181,390)-MAX('Activities'!K181,384))</x:f>
        <x:v>0</x:v>
      </x:c>
      <x:c r="BR181" s="23" t="n">
        <x:f>MAX(0,MIN('Activities'!L181,396)-MAX('Activities'!K181,390))</x:f>
        <x:v>0</x:v>
      </x:c>
      <x:c r="BS181" s="23" t="n">
        <x:f>MAX(0,MIN('Activities'!L181,402)-MAX('Activities'!K181,396))</x:f>
        <x:v>0</x:v>
      </x:c>
      <x:c r="BT181" s="23" t="n">
        <x:f>MAX(0,MIN('Activities'!L181,408)-MAX('Activities'!K181,402))</x:f>
        <x:v>0</x:v>
      </x:c>
      <x:c r="BU181" s="23" t="n">
        <x:f>MAX(0,MIN('Activities'!L181,414)-MAX('Activities'!K181,408))</x:f>
        <x:v>0</x:v>
      </x:c>
      <x:c r="BV181" s="23" t="n">
        <x:f>MAX(0,MIN('Activities'!L181,420)-MAX('Activities'!K181,414))</x:f>
        <x:v>0</x:v>
      </x:c>
      <x:c r="BW181" s="23" t="n">
        <x:f>MAX(0,MIN('Activities'!L181,426)-MAX('Activities'!K181,420))</x:f>
        <x:v>0</x:v>
      </x:c>
      <x:c r="BX181" s="23" t="n">
        <x:f>MAX(0,MIN('Activities'!L181,432)-MAX('Activities'!K181,426))</x:f>
        <x:v>0</x:v>
      </x:c>
      <x:c r="BY181" s="23" t="n">
        <x:f>MAX(0,MIN('Activities'!L181,438)-MAX('Activities'!K181,432))</x:f>
        <x:v>0</x:v>
      </x:c>
      <x:c r="BZ181" s="23" t="n">
        <x:f>MAX(0,MIN('Activities'!L181,444)-MAX('Activities'!K181,438))</x:f>
        <x:v>0</x:v>
      </x:c>
      <x:c r="CA181" s="23" t="n">
        <x:f>MAX(0,MIN('Activities'!L181,450)-MAX('Activities'!K181,444))</x:f>
        <x:v>0</x:v>
      </x:c>
      <x:c r="CB181" s="23" t="n">
        <x:f>MAX(0,MIN('Activities'!L181,456)-MAX('Activities'!K181,450))</x:f>
        <x:v>0</x:v>
      </x:c>
      <x:c r="CC181" s="23" t="n">
        <x:f>MAX(0,MIN('Activities'!L181,462)-MAX('Activities'!K181,456))</x:f>
        <x:v>0</x:v>
      </x:c>
      <x:c r="CD181" s="23" t="n">
        <x:f>MAX(0,MIN('Activities'!L181,468)-MAX('Activities'!K181,462))</x:f>
        <x:v>0</x:v>
      </x:c>
      <x:c r="CE181" s="23" t="n">
        <x:f>MAX(0,MIN('Activities'!L181,474)-MAX('Activities'!K181,468))</x:f>
        <x:v>0</x:v>
      </x:c>
      <x:c r="CF181" s="23" t="n">
        <x:f>MAX(0,MIN('Activities'!L181,480)-MAX('Activities'!K181,474))</x:f>
        <x:v>0</x:v>
      </x:c>
      <x:c r="CG181" s="23" t="n">
        <x:f>MAX(0,MIN('Activities'!L181,486)-MAX('Activities'!K181,480))</x:f>
        <x:v>0</x:v>
      </x:c>
      <x:c r="CH181" s="23" t="n">
        <x:f>MAX(0,MIN('Activities'!L181,492)-MAX('Activities'!K181,486))</x:f>
        <x:v>0</x:v>
      </x:c>
      <x:c r="CI181" s="23" t="n">
        <x:f>MAX(0,MIN('Activities'!L181,498)-MAX('Activities'!K181,492))</x:f>
        <x:v>0</x:v>
      </x:c>
      <x:c r="CJ181" s="23" t="n">
        <x:f>MAX(0,MIN('Activities'!L181,504)-MAX('Activities'!K181,498))</x:f>
        <x:v>0</x:v>
      </x:c>
      <x:c r="CK181" s="23" t="n">
        <x:f>MAX(0,MIN('Activities'!L181,510)-MAX('Activities'!K181,504))</x:f>
        <x:v>0</x:v>
      </x:c>
      <x:c r="CL181" s="23" t="n">
        <x:f>MAX(0,MIN('Activities'!L181,516)-MAX('Activities'!K181,510))</x:f>
        <x:v>0</x:v>
      </x:c>
      <x:c r="CM181" s="23" t="n">
        <x:f>MAX(0,MIN('Activities'!L181,522)-MAX('Activities'!K181,516))</x:f>
        <x:v>0</x:v>
      </x:c>
      <x:c r="CN181" s="23" t="n">
        <x:f>MAX(0,MIN('Activities'!L181,528)-MAX('Activities'!K181,522))</x:f>
        <x:v>0</x:v>
      </x:c>
      <x:c r="CO181" s="23" t="n">
        <x:f>MAX(0,MIN('Activities'!L181,534)-MAX('Activities'!K181,528))</x:f>
        <x:v>0</x:v>
      </x:c>
      <x:c r="CP181" s="23" t="n">
        <x:f>MAX(0,MIN('Activities'!L181,540)-MAX('Activities'!K181,534))</x:f>
        <x:v>0</x:v>
      </x:c>
      <x:c r="CQ181" s="23" t="n">
        <x:f>MAX(0,MIN('Activities'!L181,546)-MAX('Activities'!K181,540))</x:f>
        <x:v>0</x:v>
      </x:c>
      <x:c r="CR181" s="23" t="n">
        <x:f>MAX(0,MIN('Activities'!L181,552)-MAX('Activities'!K181,546))</x:f>
        <x:v>0</x:v>
      </x:c>
      <x:c r="CS181" s="23" t="n">
        <x:f>MAX(0,MIN('Activities'!L181,558)-MAX('Activities'!K181,552))</x:f>
        <x:v>0</x:v>
      </x:c>
      <x:c r="CT181" s="23" t="n">
        <x:f>MAX(0,MIN('Activities'!L181,564)-MAX('Activities'!K181,558))</x:f>
        <x:v>0</x:v>
      </x:c>
      <x:c r="CU181" s="23" t="n">
        <x:f>MAX(0,MIN('Activities'!L181,570)-MAX('Activities'!K181,564))</x:f>
        <x:v>0</x:v>
      </x:c>
      <x:c r="CV181" s="23" t="n">
        <x:f>MAX(0,MIN('Activities'!L181,576)-MAX('Activities'!K181,570))</x:f>
        <x:v>0</x:v>
      </x:c>
      <x:c r="CW181" s="23" t="n">
        <x:f>MAX(0,MIN('Activities'!L181,582)-MAX('Activities'!K181,576))</x:f>
        <x:v>0</x:v>
      </x:c>
      <x:c r="CX181" s="23" t="n">
        <x:f>MAX(0,MIN('Activities'!L181,588)-MAX('Activities'!K181,582))</x:f>
        <x:v>0</x:v>
      </x:c>
      <x:c r="CY181" s="23" t="n">
        <x:f>MAX(0,MIN('Activities'!L181,594)-MAX('Activities'!K181,588))</x:f>
        <x:v>0</x:v>
      </x:c>
      <x:c r="CZ181" s="23" t="n">
        <x:f>MAX(0,MIN('Activities'!L181,600)-MAX('Activities'!K181,594))</x:f>
        <x:v>0</x:v>
      </x:c>
      <x:c r="DA181" s="23" t="n">
        <x:f>MAX(0,MIN('Activities'!L181,606)-MAX('Activities'!K181,600))</x:f>
        <x:v>0</x:v>
      </x:c>
      <x:c r="DB181" s="23" t="n">
        <x:f>MAX(0,MIN('Activities'!L181,612)-MAX('Activities'!K181,606))</x:f>
        <x:v>0</x:v>
      </x:c>
      <x:c r="DC181" s="23" t="n">
        <x:f>MAX(0,MIN('Activities'!L181,618)-MAX('Activities'!K181,612))</x:f>
        <x:v>0</x:v>
      </x:c>
      <x:c r="DD181" s="23" t="n">
        <x:f>MAX(0,MIN('Activities'!L181,624)-MAX('Activities'!K181,618))</x:f>
        <x:v>0</x:v>
      </x:c>
      <x:c r="DE181" s="23" t="n">
        <x:f>MAX(0,MIN('Activities'!L181,630)-MAX('Activities'!K181,624))</x:f>
        <x:v>0</x:v>
      </x:c>
      <x:c r="DF181" s="23" t="n">
        <x:f>MAX(0,MIN('Activities'!L181,636)-MAX('Activities'!K181,630))</x:f>
        <x:v>0</x:v>
      </x:c>
    </x:row>
    <x:row r="182" ht="23" customHeight="1">
      <x:c r="A182" s="6" t="str">
        <x:v>T2-L08-R</x:v>
      </x:c>
      <x:c r="B182" s="6" t="str">
        <x:v>T2</x:v>
      </x:c>
      <x:c r="C182" s="6" t="str">
        <x:v>Column, wall, beam and slab reinforcement</x:v>
      </x:c>
      <x:c r="D182" s="6" t="str">
        <x:v>Rebar</x:v>
      </x:c>
      <x:c r="E182" s="22" t="n">
        <x:f>MAX(0,MIN('Activities'!L182,6)-MAX('Activities'!K182,0))</x:f>
        <x:v>0</x:v>
      </x:c>
      <x:c r="F182" s="22" t="n">
        <x:f>MAX(0,MIN('Activities'!L182,12)-MAX('Activities'!K182,6))</x:f>
        <x:v>0</x:v>
      </x:c>
      <x:c r="G182" s="22" t="n">
        <x:f>MAX(0,MIN('Activities'!L182,18)-MAX('Activities'!K182,12))</x:f>
        <x:v>0</x:v>
      </x:c>
      <x:c r="H182" s="22" t="n">
        <x:f>MAX(0,MIN('Activities'!L182,24)-MAX('Activities'!K182,18))</x:f>
        <x:v>0</x:v>
      </x:c>
      <x:c r="I182" s="22" t="n">
        <x:f>MAX(0,MIN('Activities'!L182,30)-MAX('Activities'!K182,24))</x:f>
        <x:v>0</x:v>
      </x:c>
      <x:c r="J182" s="22" t="n">
        <x:f>MAX(0,MIN('Activities'!L182,36)-MAX('Activities'!K182,30))</x:f>
        <x:v>0</x:v>
      </x:c>
      <x:c r="K182" s="22" t="n">
        <x:f>MAX(0,MIN('Activities'!L182,42)-MAX('Activities'!K182,36))</x:f>
        <x:v>0</x:v>
      </x:c>
      <x:c r="L182" s="22" t="n">
        <x:f>MAX(0,MIN('Activities'!L182,48)-MAX('Activities'!K182,42))</x:f>
        <x:v>0</x:v>
      </x:c>
      <x:c r="M182" s="22" t="n">
        <x:f>MAX(0,MIN('Activities'!L182,54)-MAX('Activities'!K182,48))</x:f>
        <x:v>0</x:v>
      </x:c>
      <x:c r="N182" s="22" t="n">
        <x:f>MAX(0,MIN('Activities'!L182,60)-MAX('Activities'!K182,54))</x:f>
        <x:v>0</x:v>
      </x:c>
      <x:c r="O182" s="22" t="n">
        <x:f>MAX(0,MIN('Activities'!L182,66)-MAX('Activities'!K182,60))</x:f>
        <x:v>0</x:v>
      </x:c>
      <x:c r="P182" s="22" t="n">
        <x:f>MAX(0,MIN('Activities'!L182,72)-MAX('Activities'!K182,66))</x:f>
        <x:v>0</x:v>
      </x:c>
      <x:c r="Q182" s="22" t="n">
        <x:f>MAX(0,MIN('Activities'!L182,78)-MAX('Activities'!K182,72))</x:f>
        <x:v>0</x:v>
      </x:c>
      <x:c r="R182" s="22" t="n">
        <x:f>MAX(0,MIN('Activities'!L182,84)-MAX('Activities'!K182,78))</x:f>
        <x:v>0</x:v>
      </x:c>
      <x:c r="S182" s="22" t="n">
        <x:f>MAX(0,MIN('Activities'!L182,90)-MAX('Activities'!K182,84))</x:f>
        <x:v>0</x:v>
      </x:c>
      <x:c r="T182" s="22" t="n">
        <x:f>MAX(0,MIN('Activities'!L182,96)-MAX('Activities'!K182,90))</x:f>
        <x:v>0</x:v>
      </x:c>
      <x:c r="U182" s="22" t="n">
        <x:f>MAX(0,MIN('Activities'!L182,102)-MAX('Activities'!K182,96))</x:f>
        <x:v>0</x:v>
      </x:c>
      <x:c r="V182" s="22" t="n">
        <x:f>MAX(0,MIN('Activities'!L182,108)-MAX('Activities'!K182,102))</x:f>
        <x:v>0</x:v>
      </x:c>
      <x:c r="W182" s="22" t="n">
        <x:f>MAX(0,MIN('Activities'!L182,114)-MAX('Activities'!K182,108))</x:f>
        <x:v>0</x:v>
      </x:c>
      <x:c r="X182" s="22" t="n">
        <x:f>MAX(0,MIN('Activities'!L182,120)-MAX('Activities'!K182,114))</x:f>
        <x:v>0</x:v>
      </x:c>
      <x:c r="Y182" s="22" t="n">
        <x:f>MAX(0,MIN('Activities'!L182,126)-MAX('Activities'!K182,120))</x:f>
        <x:v>0</x:v>
      </x:c>
      <x:c r="Z182" s="22" t="n">
        <x:f>MAX(0,MIN('Activities'!L182,132)-MAX('Activities'!K182,126))</x:f>
        <x:v>0</x:v>
      </x:c>
      <x:c r="AA182" s="22" t="n">
        <x:f>MAX(0,MIN('Activities'!L182,138)-MAX('Activities'!K182,132))</x:f>
        <x:v>0</x:v>
      </x:c>
      <x:c r="AB182" s="22" t="n">
        <x:f>MAX(0,MIN('Activities'!L182,144)-MAX('Activities'!K182,138))</x:f>
        <x:v>0</x:v>
      </x:c>
      <x:c r="AC182" s="22" t="n">
        <x:f>MAX(0,MIN('Activities'!L182,150)-MAX('Activities'!K182,144))</x:f>
        <x:v>0</x:v>
      </x:c>
      <x:c r="AD182" s="22" t="n">
        <x:f>MAX(0,MIN('Activities'!L182,156)-MAX('Activities'!K182,150))</x:f>
        <x:v>0</x:v>
      </x:c>
      <x:c r="AE182" s="22" t="n">
        <x:f>MAX(0,MIN('Activities'!L182,162)-MAX('Activities'!K182,156))</x:f>
        <x:v>0</x:v>
      </x:c>
      <x:c r="AF182" s="22" t="n">
        <x:f>MAX(0,MIN('Activities'!L182,168)-MAX('Activities'!K182,162))</x:f>
        <x:v>0</x:v>
      </x:c>
      <x:c r="AG182" s="22" t="n">
        <x:f>MAX(0,MIN('Activities'!L182,174)-MAX('Activities'!K182,168))</x:f>
        <x:v>0</x:v>
      </x:c>
      <x:c r="AH182" s="22" t="n">
        <x:f>MAX(0,MIN('Activities'!L182,180)-MAX('Activities'!K182,174))</x:f>
        <x:v>0</x:v>
      </x:c>
      <x:c r="AI182" s="22" t="n">
        <x:f>MAX(0,MIN('Activities'!L182,186)-MAX('Activities'!K182,180))</x:f>
        <x:v>0</x:v>
      </x:c>
      <x:c r="AJ182" s="22" t="n">
        <x:f>MAX(0,MIN('Activities'!L182,192)-MAX('Activities'!K182,186))</x:f>
        <x:v>0</x:v>
      </x:c>
      <x:c r="AK182" s="22" t="n">
        <x:f>MAX(0,MIN('Activities'!L182,198)-MAX('Activities'!K182,192))</x:f>
        <x:v>0</x:v>
      </x:c>
      <x:c r="AL182" s="22" t="n">
        <x:f>MAX(0,MIN('Activities'!L182,204)-MAX('Activities'!K182,198))</x:f>
        <x:v>0</x:v>
      </x:c>
      <x:c r="AM182" s="22" t="n">
        <x:f>MAX(0,MIN('Activities'!L182,210)-MAX('Activities'!K182,204))</x:f>
        <x:v>0</x:v>
      </x:c>
      <x:c r="AN182" s="22" t="n">
        <x:f>MAX(0,MIN('Activities'!L182,216)-MAX('Activities'!K182,210))</x:f>
        <x:v>0</x:v>
      </x:c>
      <x:c r="AO182" s="22" t="n">
        <x:f>MAX(0,MIN('Activities'!L182,222)-MAX('Activities'!K182,216))</x:f>
        <x:v>0</x:v>
      </x:c>
      <x:c r="AP182" s="22" t="n">
        <x:f>MAX(0,MIN('Activities'!L182,228)-MAX('Activities'!K182,222))</x:f>
        <x:v>0</x:v>
      </x:c>
      <x:c r="AQ182" s="22" t="n">
        <x:f>MAX(0,MIN('Activities'!L182,234)-MAX('Activities'!K182,228))</x:f>
        <x:v>0</x:v>
      </x:c>
      <x:c r="AR182" s="22" t="n">
        <x:f>MAX(0,MIN('Activities'!L182,240)-MAX('Activities'!K182,234))</x:f>
        <x:v>0</x:v>
      </x:c>
      <x:c r="AS182" s="22" t="n">
        <x:f>MAX(0,MIN('Activities'!L182,246)-MAX('Activities'!K182,240))</x:f>
        <x:v>0</x:v>
      </x:c>
      <x:c r="AT182" s="22" t="n">
        <x:f>MAX(0,MIN('Activities'!L182,252)-MAX('Activities'!K182,246))</x:f>
        <x:v>0</x:v>
      </x:c>
      <x:c r="AU182" s="22" t="n">
        <x:f>MAX(0,MIN('Activities'!L182,258)-MAX('Activities'!K182,252))</x:f>
        <x:v>0</x:v>
      </x:c>
      <x:c r="AV182" s="22" t="n">
        <x:f>MAX(0,MIN('Activities'!L182,264)-MAX('Activities'!K182,258))</x:f>
        <x:v>0</x:v>
      </x:c>
      <x:c r="AW182" s="22" t="n">
        <x:f>MAX(0,MIN('Activities'!L182,270)-MAX('Activities'!K182,264))</x:f>
        <x:v>0</x:v>
      </x:c>
      <x:c r="AX182" s="22" t="n">
        <x:f>MAX(0,MIN('Activities'!L182,276)-MAX('Activities'!K182,270))</x:f>
        <x:v>0</x:v>
      </x:c>
      <x:c r="AY182" s="22" t="n">
        <x:f>MAX(0,MIN('Activities'!L182,282)-MAX('Activities'!K182,276))</x:f>
        <x:v>0</x:v>
      </x:c>
      <x:c r="AZ182" s="22" t="n">
        <x:f>MAX(0,MIN('Activities'!L182,288)-MAX('Activities'!K182,282))</x:f>
        <x:v>0</x:v>
      </x:c>
      <x:c r="BA182" s="22" t="n">
        <x:f>MAX(0,MIN('Activities'!L182,294)-MAX('Activities'!K182,288))</x:f>
        <x:v>0</x:v>
      </x:c>
      <x:c r="BB182" s="22" t="n">
        <x:f>MAX(0,MIN('Activities'!L182,300)-MAX('Activities'!K182,294))</x:f>
        <x:v>4</x:v>
      </x:c>
      <x:c r="BC182" s="22" t="n">
        <x:f>MAX(0,MIN('Activities'!L182,306)-MAX('Activities'!K182,300))</x:f>
        <x:v>1</x:v>
      </x:c>
      <x:c r="BD182" s="22" t="n">
        <x:f>MAX(0,MIN('Activities'!L182,312)-MAX('Activities'!K182,306))</x:f>
        <x:v>0</x:v>
      </x:c>
      <x:c r="BE182" s="22" t="n">
        <x:f>MAX(0,MIN('Activities'!L182,318)-MAX('Activities'!K182,312))</x:f>
        <x:v>0</x:v>
      </x:c>
      <x:c r="BF182" s="22" t="n">
        <x:f>MAX(0,MIN('Activities'!L182,324)-MAX('Activities'!K182,318))</x:f>
        <x:v>0</x:v>
      </x:c>
      <x:c r="BG182" s="22" t="n">
        <x:f>MAX(0,MIN('Activities'!L182,330)-MAX('Activities'!K182,324))</x:f>
        <x:v>0</x:v>
      </x:c>
      <x:c r="BH182" s="22" t="n">
        <x:f>MAX(0,MIN('Activities'!L182,336)-MAX('Activities'!K182,330))</x:f>
        <x:v>0</x:v>
      </x:c>
      <x:c r="BI182" s="22" t="n">
        <x:f>MAX(0,MIN('Activities'!L182,342)-MAX('Activities'!K182,336))</x:f>
        <x:v>0</x:v>
      </x:c>
      <x:c r="BJ182" s="22" t="n">
        <x:f>MAX(0,MIN('Activities'!L182,348)-MAX('Activities'!K182,342))</x:f>
        <x:v>0</x:v>
      </x:c>
      <x:c r="BK182" s="22" t="n">
        <x:f>MAX(0,MIN('Activities'!L182,354)-MAX('Activities'!K182,348))</x:f>
        <x:v>0</x:v>
      </x:c>
      <x:c r="BL182" s="22" t="n">
        <x:f>MAX(0,MIN('Activities'!L182,360)-MAX('Activities'!K182,354))</x:f>
        <x:v>0</x:v>
      </x:c>
      <x:c r="BM182" s="22" t="n">
        <x:f>MAX(0,MIN('Activities'!L182,366)-MAX('Activities'!K182,360))</x:f>
        <x:v>0</x:v>
      </x:c>
      <x:c r="BN182" s="22" t="n">
        <x:f>MAX(0,MIN('Activities'!L182,372)-MAX('Activities'!K182,366))</x:f>
        <x:v>0</x:v>
      </x:c>
      <x:c r="BO182" s="22" t="n">
        <x:f>MAX(0,MIN('Activities'!L182,378)-MAX('Activities'!K182,372))</x:f>
        <x:v>0</x:v>
      </x:c>
      <x:c r="BP182" s="22" t="n">
        <x:f>MAX(0,MIN('Activities'!L182,384)-MAX('Activities'!K182,378))</x:f>
        <x:v>0</x:v>
      </x:c>
      <x:c r="BQ182" s="22" t="n">
        <x:f>MAX(0,MIN('Activities'!L182,390)-MAX('Activities'!K182,384))</x:f>
        <x:v>0</x:v>
      </x:c>
      <x:c r="BR182" s="22" t="n">
        <x:f>MAX(0,MIN('Activities'!L182,396)-MAX('Activities'!K182,390))</x:f>
        <x:v>0</x:v>
      </x:c>
      <x:c r="BS182" s="22" t="n">
        <x:f>MAX(0,MIN('Activities'!L182,402)-MAX('Activities'!K182,396))</x:f>
        <x:v>0</x:v>
      </x:c>
      <x:c r="BT182" s="22" t="n">
        <x:f>MAX(0,MIN('Activities'!L182,408)-MAX('Activities'!K182,402))</x:f>
        <x:v>0</x:v>
      </x:c>
      <x:c r="BU182" s="22" t="n">
        <x:f>MAX(0,MIN('Activities'!L182,414)-MAX('Activities'!K182,408))</x:f>
        <x:v>0</x:v>
      </x:c>
      <x:c r="BV182" s="22" t="n">
        <x:f>MAX(0,MIN('Activities'!L182,420)-MAX('Activities'!K182,414))</x:f>
        <x:v>0</x:v>
      </x:c>
      <x:c r="BW182" s="22" t="n">
        <x:f>MAX(0,MIN('Activities'!L182,426)-MAX('Activities'!K182,420))</x:f>
        <x:v>0</x:v>
      </x:c>
      <x:c r="BX182" s="22" t="n">
        <x:f>MAX(0,MIN('Activities'!L182,432)-MAX('Activities'!K182,426))</x:f>
        <x:v>0</x:v>
      </x:c>
      <x:c r="BY182" s="22" t="n">
        <x:f>MAX(0,MIN('Activities'!L182,438)-MAX('Activities'!K182,432))</x:f>
        <x:v>0</x:v>
      </x:c>
      <x:c r="BZ182" s="22" t="n">
        <x:f>MAX(0,MIN('Activities'!L182,444)-MAX('Activities'!K182,438))</x:f>
        <x:v>0</x:v>
      </x:c>
      <x:c r="CA182" s="22" t="n">
        <x:f>MAX(0,MIN('Activities'!L182,450)-MAX('Activities'!K182,444))</x:f>
        <x:v>0</x:v>
      </x:c>
      <x:c r="CB182" s="22" t="n">
        <x:f>MAX(0,MIN('Activities'!L182,456)-MAX('Activities'!K182,450))</x:f>
        <x:v>0</x:v>
      </x:c>
      <x:c r="CC182" s="22" t="n">
        <x:f>MAX(0,MIN('Activities'!L182,462)-MAX('Activities'!K182,456))</x:f>
        <x:v>0</x:v>
      </x:c>
      <x:c r="CD182" s="22" t="n">
        <x:f>MAX(0,MIN('Activities'!L182,468)-MAX('Activities'!K182,462))</x:f>
        <x:v>0</x:v>
      </x:c>
      <x:c r="CE182" s="22" t="n">
        <x:f>MAX(0,MIN('Activities'!L182,474)-MAX('Activities'!K182,468))</x:f>
        <x:v>0</x:v>
      </x:c>
      <x:c r="CF182" s="22" t="n">
        <x:f>MAX(0,MIN('Activities'!L182,480)-MAX('Activities'!K182,474))</x:f>
        <x:v>0</x:v>
      </x:c>
      <x:c r="CG182" s="22" t="n">
        <x:f>MAX(0,MIN('Activities'!L182,486)-MAX('Activities'!K182,480))</x:f>
        <x:v>0</x:v>
      </x:c>
      <x:c r="CH182" s="22" t="n">
        <x:f>MAX(0,MIN('Activities'!L182,492)-MAX('Activities'!K182,486))</x:f>
        <x:v>0</x:v>
      </x:c>
      <x:c r="CI182" s="22" t="n">
        <x:f>MAX(0,MIN('Activities'!L182,498)-MAX('Activities'!K182,492))</x:f>
        <x:v>0</x:v>
      </x:c>
      <x:c r="CJ182" s="22" t="n">
        <x:f>MAX(0,MIN('Activities'!L182,504)-MAX('Activities'!K182,498))</x:f>
        <x:v>0</x:v>
      </x:c>
      <x:c r="CK182" s="22" t="n">
        <x:f>MAX(0,MIN('Activities'!L182,510)-MAX('Activities'!K182,504))</x:f>
        <x:v>0</x:v>
      </x:c>
      <x:c r="CL182" s="22" t="n">
        <x:f>MAX(0,MIN('Activities'!L182,516)-MAX('Activities'!K182,510))</x:f>
        <x:v>0</x:v>
      </x:c>
      <x:c r="CM182" s="22" t="n">
        <x:f>MAX(0,MIN('Activities'!L182,522)-MAX('Activities'!K182,516))</x:f>
        <x:v>0</x:v>
      </x:c>
      <x:c r="CN182" s="22" t="n">
        <x:f>MAX(0,MIN('Activities'!L182,528)-MAX('Activities'!K182,522))</x:f>
        <x:v>0</x:v>
      </x:c>
      <x:c r="CO182" s="22" t="n">
        <x:f>MAX(0,MIN('Activities'!L182,534)-MAX('Activities'!K182,528))</x:f>
        <x:v>0</x:v>
      </x:c>
      <x:c r="CP182" s="22" t="n">
        <x:f>MAX(0,MIN('Activities'!L182,540)-MAX('Activities'!K182,534))</x:f>
        <x:v>0</x:v>
      </x:c>
      <x:c r="CQ182" s="22" t="n">
        <x:f>MAX(0,MIN('Activities'!L182,546)-MAX('Activities'!K182,540))</x:f>
        <x:v>0</x:v>
      </x:c>
      <x:c r="CR182" s="22" t="n">
        <x:f>MAX(0,MIN('Activities'!L182,552)-MAX('Activities'!K182,546))</x:f>
        <x:v>0</x:v>
      </x:c>
      <x:c r="CS182" s="22" t="n">
        <x:f>MAX(0,MIN('Activities'!L182,558)-MAX('Activities'!K182,552))</x:f>
        <x:v>0</x:v>
      </x:c>
      <x:c r="CT182" s="22" t="n">
        <x:f>MAX(0,MIN('Activities'!L182,564)-MAX('Activities'!K182,558))</x:f>
        <x:v>0</x:v>
      </x:c>
      <x:c r="CU182" s="22" t="n">
        <x:f>MAX(0,MIN('Activities'!L182,570)-MAX('Activities'!K182,564))</x:f>
        <x:v>0</x:v>
      </x:c>
      <x:c r="CV182" s="22" t="n">
        <x:f>MAX(0,MIN('Activities'!L182,576)-MAX('Activities'!K182,570))</x:f>
        <x:v>0</x:v>
      </x:c>
      <x:c r="CW182" s="22" t="n">
        <x:f>MAX(0,MIN('Activities'!L182,582)-MAX('Activities'!K182,576))</x:f>
        <x:v>0</x:v>
      </x:c>
      <x:c r="CX182" s="22" t="n">
        <x:f>MAX(0,MIN('Activities'!L182,588)-MAX('Activities'!K182,582))</x:f>
        <x:v>0</x:v>
      </x:c>
      <x:c r="CY182" s="22" t="n">
        <x:f>MAX(0,MIN('Activities'!L182,594)-MAX('Activities'!K182,588))</x:f>
        <x:v>0</x:v>
      </x:c>
      <x:c r="CZ182" s="22" t="n">
        <x:f>MAX(0,MIN('Activities'!L182,600)-MAX('Activities'!K182,594))</x:f>
        <x:v>0</x:v>
      </x:c>
      <x:c r="DA182" s="22" t="n">
        <x:f>MAX(0,MIN('Activities'!L182,606)-MAX('Activities'!K182,600))</x:f>
        <x:v>0</x:v>
      </x:c>
      <x:c r="DB182" s="22" t="n">
        <x:f>MAX(0,MIN('Activities'!L182,612)-MAX('Activities'!K182,606))</x:f>
        <x:v>0</x:v>
      </x:c>
      <x:c r="DC182" s="22" t="n">
        <x:f>MAX(0,MIN('Activities'!L182,618)-MAX('Activities'!K182,612))</x:f>
        <x:v>0</x:v>
      </x:c>
      <x:c r="DD182" s="22" t="n">
        <x:f>MAX(0,MIN('Activities'!L182,624)-MAX('Activities'!K182,618))</x:f>
        <x:v>0</x:v>
      </x:c>
      <x:c r="DE182" s="22" t="n">
        <x:f>MAX(0,MIN('Activities'!L182,630)-MAX('Activities'!K182,624))</x:f>
        <x:v>0</x:v>
      </x:c>
      <x:c r="DF182" s="22" t="n">
        <x:f>MAX(0,MIN('Activities'!L182,636)-MAX('Activities'!K182,630))</x:f>
        <x:v>0</x:v>
      </x:c>
    </x:row>
    <x:row r="183" ht="23" customHeight="1">
      <x:c r="A183" s="1" t="str">
        <x:v>T2-L08-C</x:v>
      </x:c>
      <x:c r="B183" s="1" t="str">
        <x:v>T2</x:v>
      </x:c>
      <x:c r="C183" s="1" t="str">
        <x:v>Concrete placement and finishing</x:v>
      </x:c>
      <x:c r="D183" s="1" t="str">
        <x:v>Concrete</x:v>
      </x:c>
      <x:c r="E183" s="23" t="n">
        <x:f>MAX(0,MIN('Activities'!L183,6)-MAX('Activities'!K183,0))</x:f>
        <x:v>0</x:v>
      </x:c>
      <x:c r="F183" s="23" t="n">
        <x:f>MAX(0,MIN('Activities'!L183,12)-MAX('Activities'!K183,6))</x:f>
        <x:v>0</x:v>
      </x:c>
      <x:c r="G183" s="23" t="n">
        <x:f>MAX(0,MIN('Activities'!L183,18)-MAX('Activities'!K183,12))</x:f>
        <x:v>0</x:v>
      </x:c>
      <x:c r="H183" s="23" t="n">
        <x:f>MAX(0,MIN('Activities'!L183,24)-MAX('Activities'!K183,18))</x:f>
        <x:v>0</x:v>
      </x:c>
      <x:c r="I183" s="23" t="n">
        <x:f>MAX(0,MIN('Activities'!L183,30)-MAX('Activities'!K183,24))</x:f>
        <x:v>0</x:v>
      </x:c>
      <x:c r="J183" s="23" t="n">
        <x:f>MAX(0,MIN('Activities'!L183,36)-MAX('Activities'!K183,30))</x:f>
        <x:v>0</x:v>
      </x:c>
      <x:c r="K183" s="23" t="n">
        <x:f>MAX(0,MIN('Activities'!L183,42)-MAX('Activities'!K183,36))</x:f>
        <x:v>0</x:v>
      </x:c>
      <x:c r="L183" s="23" t="n">
        <x:f>MAX(0,MIN('Activities'!L183,48)-MAX('Activities'!K183,42))</x:f>
        <x:v>0</x:v>
      </x:c>
      <x:c r="M183" s="23" t="n">
        <x:f>MAX(0,MIN('Activities'!L183,54)-MAX('Activities'!K183,48))</x:f>
        <x:v>0</x:v>
      </x:c>
      <x:c r="N183" s="23" t="n">
        <x:f>MAX(0,MIN('Activities'!L183,60)-MAX('Activities'!K183,54))</x:f>
        <x:v>0</x:v>
      </x:c>
      <x:c r="O183" s="23" t="n">
        <x:f>MAX(0,MIN('Activities'!L183,66)-MAX('Activities'!K183,60))</x:f>
        <x:v>0</x:v>
      </x:c>
      <x:c r="P183" s="23" t="n">
        <x:f>MAX(0,MIN('Activities'!L183,72)-MAX('Activities'!K183,66))</x:f>
        <x:v>0</x:v>
      </x:c>
      <x:c r="Q183" s="23" t="n">
        <x:f>MAX(0,MIN('Activities'!L183,78)-MAX('Activities'!K183,72))</x:f>
        <x:v>0</x:v>
      </x:c>
      <x:c r="R183" s="23" t="n">
        <x:f>MAX(0,MIN('Activities'!L183,84)-MAX('Activities'!K183,78))</x:f>
        <x:v>0</x:v>
      </x:c>
      <x:c r="S183" s="23" t="n">
        <x:f>MAX(0,MIN('Activities'!L183,90)-MAX('Activities'!K183,84))</x:f>
        <x:v>0</x:v>
      </x:c>
      <x:c r="T183" s="23" t="n">
        <x:f>MAX(0,MIN('Activities'!L183,96)-MAX('Activities'!K183,90))</x:f>
        <x:v>0</x:v>
      </x:c>
      <x:c r="U183" s="23" t="n">
        <x:f>MAX(0,MIN('Activities'!L183,102)-MAX('Activities'!K183,96))</x:f>
        <x:v>0</x:v>
      </x:c>
      <x:c r="V183" s="23" t="n">
        <x:f>MAX(0,MIN('Activities'!L183,108)-MAX('Activities'!K183,102))</x:f>
        <x:v>0</x:v>
      </x:c>
      <x:c r="W183" s="23" t="n">
        <x:f>MAX(0,MIN('Activities'!L183,114)-MAX('Activities'!K183,108))</x:f>
        <x:v>0</x:v>
      </x:c>
      <x:c r="X183" s="23" t="n">
        <x:f>MAX(0,MIN('Activities'!L183,120)-MAX('Activities'!K183,114))</x:f>
        <x:v>0</x:v>
      </x:c>
      <x:c r="Y183" s="23" t="n">
        <x:f>MAX(0,MIN('Activities'!L183,126)-MAX('Activities'!K183,120))</x:f>
        <x:v>0</x:v>
      </x:c>
      <x:c r="Z183" s="23" t="n">
        <x:f>MAX(0,MIN('Activities'!L183,132)-MAX('Activities'!K183,126))</x:f>
        <x:v>0</x:v>
      </x:c>
      <x:c r="AA183" s="23" t="n">
        <x:f>MAX(0,MIN('Activities'!L183,138)-MAX('Activities'!K183,132))</x:f>
        <x:v>0</x:v>
      </x:c>
      <x:c r="AB183" s="23" t="n">
        <x:f>MAX(0,MIN('Activities'!L183,144)-MAX('Activities'!K183,138))</x:f>
        <x:v>0</x:v>
      </x:c>
      <x:c r="AC183" s="23" t="n">
        <x:f>MAX(0,MIN('Activities'!L183,150)-MAX('Activities'!K183,144))</x:f>
        <x:v>0</x:v>
      </x:c>
      <x:c r="AD183" s="23" t="n">
        <x:f>MAX(0,MIN('Activities'!L183,156)-MAX('Activities'!K183,150))</x:f>
        <x:v>0</x:v>
      </x:c>
      <x:c r="AE183" s="23" t="n">
        <x:f>MAX(0,MIN('Activities'!L183,162)-MAX('Activities'!K183,156))</x:f>
        <x:v>0</x:v>
      </x:c>
      <x:c r="AF183" s="23" t="n">
        <x:f>MAX(0,MIN('Activities'!L183,168)-MAX('Activities'!K183,162))</x:f>
        <x:v>0</x:v>
      </x:c>
      <x:c r="AG183" s="23" t="n">
        <x:f>MAX(0,MIN('Activities'!L183,174)-MAX('Activities'!K183,168))</x:f>
        <x:v>0</x:v>
      </x:c>
      <x:c r="AH183" s="23" t="n">
        <x:f>MAX(0,MIN('Activities'!L183,180)-MAX('Activities'!K183,174))</x:f>
        <x:v>0</x:v>
      </x:c>
      <x:c r="AI183" s="23" t="n">
        <x:f>MAX(0,MIN('Activities'!L183,186)-MAX('Activities'!K183,180))</x:f>
        <x:v>0</x:v>
      </x:c>
      <x:c r="AJ183" s="23" t="n">
        <x:f>MAX(0,MIN('Activities'!L183,192)-MAX('Activities'!K183,186))</x:f>
        <x:v>0</x:v>
      </x:c>
      <x:c r="AK183" s="23" t="n">
        <x:f>MAX(0,MIN('Activities'!L183,198)-MAX('Activities'!K183,192))</x:f>
        <x:v>0</x:v>
      </x:c>
      <x:c r="AL183" s="23" t="n">
        <x:f>MAX(0,MIN('Activities'!L183,204)-MAX('Activities'!K183,198))</x:f>
        <x:v>0</x:v>
      </x:c>
      <x:c r="AM183" s="23" t="n">
        <x:f>MAX(0,MIN('Activities'!L183,210)-MAX('Activities'!K183,204))</x:f>
        <x:v>0</x:v>
      </x:c>
      <x:c r="AN183" s="23" t="n">
        <x:f>MAX(0,MIN('Activities'!L183,216)-MAX('Activities'!K183,210))</x:f>
        <x:v>0</x:v>
      </x:c>
      <x:c r="AO183" s="23" t="n">
        <x:f>MAX(0,MIN('Activities'!L183,222)-MAX('Activities'!K183,216))</x:f>
        <x:v>0</x:v>
      </x:c>
      <x:c r="AP183" s="23" t="n">
        <x:f>MAX(0,MIN('Activities'!L183,228)-MAX('Activities'!K183,222))</x:f>
        <x:v>0</x:v>
      </x:c>
      <x:c r="AQ183" s="23" t="n">
        <x:f>MAX(0,MIN('Activities'!L183,234)-MAX('Activities'!K183,228))</x:f>
        <x:v>0</x:v>
      </x:c>
      <x:c r="AR183" s="23" t="n">
        <x:f>MAX(0,MIN('Activities'!L183,240)-MAX('Activities'!K183,234))</x:f>
        <x:v>0</x:v>
      </x:c>
      <x:c r="AS183" s="23" t="n">
        <x:f>MAX(0,MIN('Activities'!L183,246)-MAX('Activities'!K183,240))</x:f>
        <x:v>0</x:v>
      </x:c>
      <x:c r="AT183" s="23" t="n">
        <x:f>MAX(0,MIN('Activities'!L183,252)-MAX('Activities'!K183,246))</x:f>
        <x:v>0</x:v>
      </x:c>
      <x:c r="AU183" s="23" t="n">
        <x:f>MAX(0,MIN('Activities'!L183,258)-MAX('Activities'!K183,252))</x:f>
        <x:v>0</x:v>
      </x:c>
      <x:c r="AV183" s="23" t="n">
        <x:f>MAX(0,MIN('Activities'!L183,264)-MAX('Activities'!K183,258))</x:f>
        <x:v>0</x:v>
      </x:c>
      <x:c r="AW183" s="23" t="n">
        <x:f>MAX(0,MIN('Activities'!L183,270)-MAX('Activities'!K183,264))</x:f>
        <x:v>0</x:v>
      </x:c>
      <x:c r="AX183" s="23" t="n">
        <x:f>MAX(0,MIN('Activities'!L183,276)-MAX('Activities'!K183,270))</x:f>
        <x:v>0</x:v>
      </x:c>
      <x:c r="AY183" s="23" t="n">
        <x:f>MAX(0,MIN('Activities'!L183,282)-MAX('Activities'!K183,276))</x:f>
        <x:v>0</x:v>
      </x:c>
      <x:c r="AZ183" s="23" t="n">
        <x:f>MAX(0,MIN('Activities'!L183,288)-MAX('Activities'!K183,282))</x:f>
        <x:v>0</x:v>
      </x:c>
      <x:c r="BA183" s="23" t="n">
        <x:f>MAX(0,MIN('Activities'!L183,294)-MAX('Activities'!K183,288))</x:f>
        <x:v>0</x:v>
      </x:c>
      <x:c r="BB183" s="23" t="n">
        <x:f>MAX(0,MIN('Activities'!L183,300)-MAX('Activities'!K183,294))</x:f>
        <x:v>0</x:v>
      </x:c>
      <x:c r="BC183" s="23" t="n">
        <x:f>MAX(0,MIN('Activities'!L183,306)-MAX('Activities'!K183,300))</x:f>
        <x:v>2</x:v>
      </x:c>
      <x:c r="BD183" s="23" t="n">
        <x:f>MAX(0,MIN('Activities'!L183,312)-MAX('Activities'!K183,306))</x:f>
        <x:v>0</x:v>
      </x:c>
      <x:c r="BE183" s="23" t="n">
        <x:f>MAX(0,MIN('Activities'!L183,318)-MAX('Activities'!K183,312))</x:f>
        <x:v>0</x:v>
      </x:c>
      <x:c r="BF183" s="23" t="n">
        <x:f>MAX(0,MIN('Activities'!L183,324)-MAX('Activities'!K183,318))</x:f>
        <x:v>0</x:v>
      </x:c>
      <x:c r="BG183" s="23" t="n">
        <x:f>MAX(0,MIN('Activities'!L183,330)-MAX('Activities'!K183,324))</x:f>
        <x:v>0</x:v>
      </x:c>
      <x:c r="BH183" s="23" t="n">
        <x:f>MAX(0,MIN('Activities'!L183,336)-MAX('Activities'!K183,330))</x:f>
        <x:v>0</x:v>
      </x:c>
      <x:c r="BI183" s="23" t="n">
        <x:f>MAX(0,MIN('Activities'!L183,342)-MAX('Activities'!K183,336))</x:f>
        <x:v>0</x:v>
      </x:c>
      <x:c r="BJ183" s="23" t="n">
        <x:f>MAX(0,MIN('Activities'!L183,348)-MAX('Activities'!K183,342))</x:f>
        <x:v>0</x:v>
      </x:c>
      <x:c r="BK183" s="23" t="n">
        <x:f>MAX(0,MIN('Activities'!L183,354)-MAX('Activities'!K183,348))</x:f>
        <x:v>0</x:v>
      </x:c>
      <x:c r="BL183" s="23" t="n">
        <x:f>MAX(0,MIN('Activities'!L183,360)-MAX('Activities'!K183,354))</x:f>
        <x:v>0</x:v>
      </x:c>
      <x:c r="BM183" s="23" t="n">
        <x:f>MAX(0,MIN('Activities'!L183,366)-MAX('Activities'!K183,360))</x:f>
        <x:v>0</x:v>
      </x:c>
      <x:c r="BN183" s="23" t="n">
        <x:f>MAX(0,MIN('Activities'!L183,372)-MAX('Activities'!K183,366))</x:f>
        <x:v>0</x:v>
      </x:c>
      <x:c r="BO183" s="23" t="n">
        <x:f>MAX(0,MIN('Activities'!L183,378)-MAX('Activities'!K183,372))</x:f>
        <x:v>0</x:v>
      </x:c>
      <x:c r="BP183" s="23" t="n">
        <x:f>MAX(0,MIN('Activities'!L183,384)-MAX('Activities'!K183,378))</x:f>
        <x:v>0</x:v>
      </x:c>
      <x:c r="BQ183" s="23" t="n">
        <x:f>MAX(0,MIN('Activities'!L183,390)-MAX('Activities'!K183,384))</x:f>
        <x:v>0</x:v>
      </x:c>
      <x:c r="BR183" s="23" t="n">
        <x:f>MAX(0,MIN('Activities'!L183,396)-MAX('Activities'!K183,390))</x:f>
        <x:v>0</x:v>
      </x:c>
      <x:c r="BS183" s="23" t="n">
        <x:f>MAX(0,MIN('Activities'!L183,402)-MAX('Activities'!K183,396))</x:f>
        <x:v>0</x:v>
      </x:c>
      <x:c r="BT183" s="23" t="n">
        <x:f>MAX(0,MIN('Activities'!L183,408)-MAX('Activities'!K183,402))</x:f>
        <x:v>0</x:v>
      </x:c>
      <x:c r="BU183" s="23" t="n">
        <x:f>MAX(0,MIN('Activities'!L183,414)-MAX('Activities'!K183,408))</x:f>
        <x:v>0</x:v>
      </x:c>
      <x:c r="BV183" s="23" t="n">
        <x:f>MAX(0,MIN('Activities'!L183,420)-MAX('Activities'!K183,414))</x:f>
        <x:v>0</x:v>
      </x:c>
      <x:c r="BW183" s="23" t="n">
        <x:f>MAX(0,MIN('Activities'!L183,426)-MAX('Activities'!K183,420))</x:f>
        <x:v>0</x:v>
      </x:c>
      <x:c r="BX183" s="23" t="n">
        <x:f>MAX(0,MIN('Activities'!L183,432)-MAX('Activities'!K183,426))</x:f>
        <x:v>0</x:v>
      </x:c>
      <x:c r="BY183" s="23" t="n">
        <x:f>MAX(0,MIN('Activities'!L183,438)-MAX('Activities'!K183,432))</x:f>
        <x:v>0</x:v>
      </x:c>
      <x:c r="BZ183" s="23" t="n">
        <x:f>MAX(0,MIN('Activities'!L183,444)-MAX('Activities'!K183,438))</x:f>
        <x:v>0</x:v>
      </x:c>
      <x:c r="CA183" s="23" t="n">
        <x:f>MAX(0,MIN('Activities'!L183,450)-MAX('Activities'!K183,444))</x:f>
        <x:v>0</x:v>
      </x:c>
      <x:c r="CB183" s="23" t="n">
        <x:f>MAX(0,MIN('Activities'!L183,456)-MAX('Activities'!K183,450))</x:f>
        <x:v>0</x:v>
      </x:c>
      <x:c r="CC183" s="23" t="n">
        <x:f>MAX(0,MIN('Activities'!L183,462)-MAX('Activities'!K183,456))</x:f>
        <x:v>0</x:v>
      </x:c>
      <x:c r="CD183" s="23" t="n">
        <x:f>MAX(0,MIN('Activities'!L183,468)-MAX('Activities'!K183,462))</x:f>
        <x:v>0</x:v>
      </x:c>
      <x:c r="CE183" s="23" t="n">
        <x:f>MAX(0,MIN('Activities'!L183,474)-MAX('Activities'!K183,468))</x:f>
        <x:v>0</x:v>
      </x:c>
      <x:c r="CF183" s="23" t="n">
        <x:f>MAX(0,MIN('Activities'!L183,480)-MAX('Activities'!K183,474))</x:f>
        <x:v>0</x:v>
      </x:c>
      <x:c r="CG183" s="23" t="n">
        <x:f>MAX(0,MIN('Activities'!L183,486)-MAX('Activities'!K183,480))</x:f>
        <x:v>0</x:v>
      </x:c>
      <x:c r="CH183" s="23" t="n">
        <x:f>MAX(0,MIN('Activities'!L183,492)-MAX('Activities'!K183,486))</x:f>
        <x:v>0</x:v>
      </x:c>
      <x:c r="CI183" s="23" t="n">
        <x:f>MAX(0,MIN('Activities'!L183,498)-MAX('Activities'!K183,492))</x:f>
        <x:v>0</x:v>
      </x:c>
      <x:c r="CJ183" s="23" t="n">
        <x:f>MAX(0,MIN('Activities'!L183,504)-MAX('Activities'!K183,498))</x:f>
        <x:v>0</x:v>
      </x:c>
      <x:c r="CK183" s="23" t="n">
        <x:f>MAX(0,MIN('Activities'!L183,510)-MAX('Activities'!K183,504))</x:f>
        <x:v>0</x:v>
      </x:c>
      <x:c r="CL183" s="23" t="n">
        <x:f>MAX(0,MIN('Activities'!L183,516)-MAX('Activities'!K183,510))</x:f>
        <x:v>0</x:v>
      </x:c>
      <x:c r="CM183" s="23" t="n">
        <x:f>MAX(0,MIN('Activities'!L183,522)-MAX('Activities'!K183,516))</x:f>
        <x:v>0</x:v>
      </x:c>
      <x:c r="CN183" s="23" t="n">
        <x:f>MAX(0,MIN('Activities'!L183,528)-MAX('Activities'!K183,522))</x:f>
        <x:v>0</x:v>
      </x:c>
      <x:c r="CO183" s="23" t="n">
        <x:f>MAX(0,MIN('Activities'!L183,534)-MAX('Activities'!K183,528))</x:f>
        <x:v>0</x:v>
      </x:c>
      <x:c r="CP183" s="23" t="n">
        <x:f>MAX(0,MIN('Activities'!L183,540)-MAX('Activities'!K183,534))</x:f>
        <x:v>0</x:v>
      </x:c>
      <x:c r="CQ183" s="23" t="n">
        <x:f>MAX(0,MIN('Activities'!L183,546)-MAX('Activities'!K183,540))</x:f>
        <x:v>0</x:v>
      </x:c>
      <x:c r="CR183" s="23" t="n">
        <x:f>MAX(0,MIN('Activities'!L183,552)-MAX('Activities'!K183,546))</x:f>
        <x:v>0</x:v>
      </x:c>
      <x:c r="CS183" s="23" t="n">
        <x:f>MAX(0,MIN('Activities'!L183,558)-MAX('Activities'!K183,552))</x:f>
        <x:v>0</x:v>
      </x:c>
      <x:c r="CT183" s="23" t="n">
        <x:f>MAX(0,MIN('Activities'!L183,564)-MAX('Activities'!K183,558))</x:f>
        <x:v>0</x:v>
      </x:c>
      <x:c r="CU183" s="23" t="n">
        <x:f>MAX(0,MIN('Activities'!L183,570)-MAX('Activities'!K183,564))</x:f>
        <x:v>0</x:v>
      </x:c>
      <x:c r="CV183" s="23" t="n">
        <x:f>MAX(0,MIN('Activities'!L183,576)-MAX('Activities'!K183,570))</x:f>
        <x:v>0</x:v>
      </x:c>
      <x:c r="CW183" s="23" t="n">
        <x:f>MAX(0,MIN('Activities'!L183,582)-MAX('Activities'!K183,576))</x:f>
        <x:v>0</x:v>
      </x:c>
      <x:c r="CX183" s="23" t="n">
        <x:f>MAX(0,MIN('Activities'!L183,588)-MAX('Activities'!K183,582))</x:f>
        <x:v>0</x:v>
      </x:c>
      <x:c r="CY183" s="23" t="n">
        <x:f>MAX(0,MIN('Activities'!L183,594)-MAX('Activities'!K183,588))</x:f>
        <x:v>0</x:v>
      </x:c>
      <x:c r="CZ183" s="23" t="n">
        <x:f>MAX(0,MIN('Activities'!L183,600)-MAX('Activities'!K183,594))</x:f>
        <x:v>0</x:v>
      </x:c>
      <x:c r="DA183" s="23" t="n">
        <x:f>MAX(0,MIN('Activities'!L183,606)-MAX('Activities'!K183,600))</x:f>
        <x:v>0</x:v>
      </x:c>
      <x:c r="DB183" s="23" t="n">
        <x:f>MAX(0,MIN('Activities'!L183,612)-MAX('Activities'!K183,606))</x:f>
        <x:v>0</x:v>
      </x:c>
      <x:c r="DC183" s="23" t="n">
        <x:f>MAX(0,MIN('Activities'!L183,618)-MAX('Activities'!K183,612))</x:f>
        <x:v>0</x:v>
      </x:c>
      <x:c r="DD183" s="23" t="n">
        <x:f>MAX(0,MIN('Activities'!L183,624)-MAX('Activities'!K183,618))</x:f>
        <x:v>0</x:v>
      </x:c>
      <x:c r="DE183" s="23" t="n">
        <x:f>MAX(0,MIN('Activities'!L183,630)-MAX('Activities'!K183,624))</x:f>
        <x:v>0</x:v>
      </x:c>
      <x:c r="DF183" s="23" t="n">
        <x:f>MAX(0,MIN('Activities'!L183,636)-MAX('Activities'!K183,630))</x:f>
        <x:v>0</x:v>
      </x:c>
    </x:row>
    <x:row r="184" ht="23" customHeight="1">
      <x:c r="A184" s="6" t="str">
        <x:v>T2-L08-H</x:v>
      </x:c>
      <x:c r="B184" s="6" t="str">
        <x:v>T2</x:v>
      </x:c>
      <x:c r="C184" s="6" t="str">
        <x:v>Curing and release hold point</x:v>
      </x:c>
      <x:c r="D184" s="6" t="str">
        <x:v>Site</x:v>
      </x:c>
      <x:c r="E184" s="22" t="n">
        <x:f>MAX(0,MIN('Activities'!L184,6)-MAX('Activities'!K184,0))</x:f>
        <x:v>0</x:v>
      </x:c>
      <x:c r="F184" s="22" t="n">
        <x:f>MAX(0,MIN('Activities'!L184,12)-MAX('Activities'!K184,6))</x:f>
        <x:v>0</x:v>
      </x:c>
      <x:c r="G184" s="22" t="n">
        <x:f>MAX(0,MIN('Activities'!L184,18)-MAX('Activities'!K184,12))</x:f>
        <x:v>0</x:v>
      </x:c>
      <x:c r="H184" s="22" t="n">
        <x:f>MAX(0,MIN('Activities'!L184,24)-MAX('Activities'!K184,18))</x:f>
        <x:v>0</x:v>
      </x:c>
      <x:c r="I184" s="22" t="n">
        <x:f>MAX(0,MIN('Activities'!L184,30)-MAX('Activities'!K184,24))</x:f>
        <x:v>0</x:v>
      </x:c>
      <x:c r="J184" s="22" t="n">
        <x:f>MAX(0,MIN('Activities'!L184,36)-MAX('Activities'!K184,30))</x:f>
        <x:v>0</x:v>
      </x:c>
      <x:c r="K184" s="22" t="n">
        <x:f>MAX(0,MIN('Activities'!L184,42)-MAX('Activities'!K184,36))</x:f>
        <x:v>0</x:v>
      </x:c>
      <x:c r="L184" s="22" t="n">
        <x:f>MAX(0,MIN('Activities'!L184,48)-MAX('Activities'!K184,42))</x:f>
        <x:v>0</x:v>
      </x:c>
      <x:c r="M184" s="22" t="n">
        <x:f>MAX(0,MIN('Activities'!L184,54)-MAX('Activities'!K184,48))</x:f>
        <x:v>0</x:v>
      </x:c>
      <x:c r="N184" s="22" t="n">
        <x:f>MAX(0,MIN('Activities'!L184,60)-MAX('Activities'!K184,54))</x:f>
        <x:v>0</x:v>
      </x:c>
      <x:c r="O184" s="22" t="n">
        <x:f>MAX(0,MIN('Activities'!L184,66)-MAX('Activities'!K184,60))</x:f>
        <x:v>0</x:v>
      </x:c>
      <x:c r="P184" s="22" t="n">
        <x:f>MAX(0,MIN('Activities'!L184,72)-MAX('Activities'!K184,66))</x:f>
        <x:v>0</x:v>
      </x:c>
      <x:c r="Q184" s="22" t="n">
        <x:f>MAX(0,MIN('Activities'!L184,78)-MAX('Activities'!K184,72))</x:f>
        <x:v>0</x:v>
      </x:c>
      <x:c r="R184" s="22" t="n">
        <x:f>MAX(0,MIN('Activities'!L184,84)-MAX('Activities'!K184,78))</x:f>
        <x:v>0</x:v>
      </x:c>
      <x:c r="S184" s="22" t="n">
        <x:f>MAX(0,MIN('Activities'!L184,90)-MAX('Activities'!K184,84))</x:f>
        <x:v>0</x:v>
      </x:c>
      <x:c r="T184" s="22" t="n">
        <x:f>MAX(0,MIN('Activities'!L184,96)-MAX('Activities'!K184,90))</x:f>
        <x:v>0</x:v>
      </x:c>
      <x:c r="U184" s="22" t="n">
        <x:f>MAX(0,MIN('Activities'!L184,102)-MAX('Activities'!K184,96))</x:f>
        <x:v>0</x:v>
      </x:c>
      <x:c r="V184" s="22" t="n">
        <x:f>MAX(0,MIN('Activities'!L184,108)-MAX('Activities'!K184,102))</x:f>
        <x:v>0</x:v>
      </x:c>
      <x:c r="W184" s="22" t="n">
        <x:f>MAX(0,MIN('Activities'!L184,114)-MAX('Activities'!K184,108))</x:f>
        <x:v>0</x:v>
      </x:c>
      <x:c r="X184" s="22" t="n">
        <x:f>MAX(0,MIN('Activities'!L184,120)-MAX('Activities'!K184,114))</x:f>
        <x:v>0</x:v>
      </x:c>
      <x:c r="Y184" s="22" t="n">
        <x:f>MAX(0,MIN('Activities'!L184,126)-MAX('Activities'!K184,120))</x:f>
        <x:v>0</x:v>
      </x:c>
      <x:c r="Z184" s="22" t="n">
        <x:f>MAX(0,MIN('Activities'!L184,132)-MAX('Activities'!K184,126))</x:f>
        <x:v>0</x:v>
      </x:c>
      <x:c r="AA184" s="22" t="n">
        <x:f>MAX(0,MIN('Activities'!L184,138)-MAX('Activities'!K184,132))</x:f>
        <x:v>0</x:v>
      </x:c>
      <x:c r="AB184" s="22" t="n">
        <x:f>MAX(0,MIN('Activities'!L184,144)-MAX('Activities'!K184,138))</x:f>
        <x:v>0</x:v>
      </x:c>
      <x:c r="AC184" s="22" t="n">
        <x:f>MAX(0,MIN('Activities'!L184,150)-MAX('Activities'!K184,144))</x:f>
        <x:v>0</x:v>
      </x:c>
      <x:c r="AD184" s="22" t="n">
        <x:f>MAX(0,MIN('Activities'!L184,156)-MAX('Activities'!K184,150))</x:f>
        <x:v>0</x:v>
      </x:c>
      <x:c r="AE184" s="22" t="n">
        <x:f>MAX(0,MIN('Activities'!L184,162)-MAX('Activities'!K184,156))</x:f>
        <x:v>0</x:v>
      </x:c>
      <x:c r="AF184" s="22" t="n">
        <x:f>MAX(0,MIN('Activities'!L184,168)-MAX('Activities'!K184,162))</x:f>
        <x:v>0</x:v>
      </x:c>
      <x:c r="AG184" s="22" t="n">
        <x:f>MAX(0,MIN('Activities'!L184,174)-MAX('Activities'!K184,168))</x:f>
        <x:v>0</x:v>
      </x:c>
      <x:c r="AH184" s="22" t="n">
        <x:f>MAX(0,MIN('Activities'!L184,180)-MAX('Activities'!K184,174))</x:f>
        <x:v>0</x:v>
      </x:c>
      <x:c r="AI184" s="22" t="n">
        <x:f>MAX(0,MIN('Activities'!L184,186)-MAX('Activities'!K184,180))</x:f>
        <x:v>0</x:v>
      </x:c>
      <x:c r="AJ184" s="22" t="n">
        <x:f>MAX(0,MIN('Activities'!L184,192)-MAX('Activities'!K184,186))</x:f>
        <x:v>0</x:v>
      </x:c>
      <x:c r="AK184" s="22" t="n">
        <x:f>MAX(0,MIN('Activities'!L184,198)-MAX('Activities'!K184,192))</x:f>
        <x:v>0</x:v>
      </x:c>
      <x:c r="AL184" s="22" t="n">
        <x:f>MAX(0,MIN('Activities'!L184,204)-MAX('Activities'!K184,198))</x:f>
        <x:v>0</x:v>
      </x:c>
      <x:c r="AM184" s="22" t="n">
        <x:f>MAX(0,MIN('Activities'!L184,210)-MAX('Activities'!K184,204))</x:f>
        <x:v>0</x:v>
      </x:c>
      <x:c r="AN184" s="22" t="n">
        <x:f>MAX(0,MIN('Activities'!L184,216)-MAX('Activities'!K184,210))</x:f>
        <x:v>0</x:v>
      </x:c>
      <x:c r="AO184" s="22" t="n">
        <x:f>MAX(0,MIN('Activities'!L184,222)-MAX('Activities'!K184,216))</x:f>
        <x:v>0</x:v>
      </x:c>
      <x:c r="AP184" s="22" t="n">
        <x:f>MAX(0,MIN('Activities'!L184,228)-MAX('Activities'!K184,222))</x:f>
        <x:v>0</x:v>
      </x:c>
      <x:c r="AQ184" s="22" t="n">
        <x:f>MAX(0,MIN('Activities'!L184,234)-MAX('Activities'!K184,228))</x:f>
        <x:v>0</x:v>
      </x:c>
      <x:c r="AR184" s="22" t="n">
        <x:f>MAX(0,MIN('Activities'!L184,240)-MAX('Activities'!K184,234))</x:f>
        <x:v>0</x:v>
      </x:c>
      <x:c r="AS184" s="22" t="n">
        <x:f>MAX(0,MIN('Activities'!L184,246)-MAX('Activities'!K184,240))</x:f>
        <x:v>0</x:v>
      </x:c>
      <x:c r="AT184" s="22" t="n">
        <x:f>MAX(0,MIN('Activities'!L184,252)-MAX('Activities'!K184,246))</x:f>
        <x:v>0</x:v>
      </x:c>
      <x:c r="AU184" s="22" t="n">
        <x:f>MAX(0,MIN('Activities'!L184,258)-MAX('Activities'!K184,252))</x:f>
        <x:v>0</x:v>
      </x:c>
      <x:c r="AV184" s="22" t="n">
        <x:f>MAX(0,MIN('Activities'!L184,264)-MAX('Activities'!K184,258))</x:f>
        <x:v>0</x:v>
      </x:c>
      <x:c r="AW184" s="22" t="n">
        <x:f>MAX(0,MIN('Activities'!L184,270)-MAX('Activities'!K184,264))</x:f>
        <x:v>0</x:v>
      </x:c>
      <x:c r="AX184" s="22" t="n">
        <x:f>MAX(0,MIN('Activities'!L184,276)-MAX('Activities'!K184,270))</x:f>
        <x:v>0</x:v>
      </x:c>
      <x:c r="AY184" s="22" t="n">
        <x:f>MAX(0,MIN('Activities'!L184,282)-MAX('Activities'!K184,276))</x:f>
        <x:v>0</x:v>
      </x:c>
      <x:c r="AZ184" s="22" t="n">
        <x:f>MAX(0,MIN('Activities'!L184,288)-MAX('Activities'!K184,282))</x:f>
        <x:v>0</x:v>
      </x:c>
      <x:c r="BA184" s="22" t="n">
        <x:f>MAX(0,MIN('Activities'!L184,294)-MAX('Activities'!K184,288))</x:f>
        <x:v>0</x:v>
      </x:c>
      <x:c r="BB184" s="22" t="n">
        <x:f>MAX(0,MIN('Activities'!L184,300)-MAX('Activities'!K184,294))</x:f>
        <x:v>0</x:v>
      </x:c>
      <x:c r="BC184" s="22" t="n">
        <x:f>MAX(0,MIN('Activities'!L184,306)-MAX('Activities'!K184,300))</x:f>
        <x:v>3</x:v>
      </x:c>
      <x:c r="BD184" s="22" t="n">
        <x:f>MAX(0,MIN('Activities'!L184,312)-MAX('Activities'!K184,306))</x:f>
        <x:v>2</x:v>
      </x:c>
      <x:c r="BE184" s="22" t="n">
        <x:f>MAX(0,MIN('Activities'!L184,318)-MAX('Activities'!K184,312))</x:f>
        <x:v>0</x:v>
      </x:c>
      <x:c r="BF184" s="22" t="n">
        <x:f>MAX(0,MIN('Activities'!L184,324)-MAX('Activities'!K184,318))</x:f>
        <x:v>0</x:v>
      </x:c>
      <x:c r="BG184" s="22" t="n">
        <x:f>MAX(0,MIN('Activities'!L184,330)-MAX('Activities'!K184,324))</x:f>
        <x:v>0</x:v>
      </x:c>
      <x:c r="BH184" s="22" t="n">
        <x:f>MAX(0,MIN('Activities'!L184,336)-MAX('Activities'!K184,330))</x:f>
        <x:v>0</x:v>
      </x:c>
      <x:c r="BI184" s="22" t="n">
        <x:f>MAX(0,MIN('Activities'!L184,342)-MAX('Activities'!K184,336))</x:f>
        <x:v>0</x:v>
      </x:c>
      <x:c r="BJ184" s="22" t="n">
        <x:f>MAX(0,MIN('Activities'!L184,348)-MAX('Activities'!K184,342))</x:f>
        <x:v>0</x:v>
      </x:c>
      <x:c r="BK184" s="22" t="n">
        <x:f>MAX(0,MIN('Activities'!L184,354)-MAX('Activities'!K184,348))</x:f>
        <x:v>0</x:v>
      </x:c>
      <x:c r="BL184" s="22" t="n">
        <x:f>MAX(0,MIN('Activities'!L184,360)-MAX('Activities'!K184,354))</x:f>
        <x:v>0</x:v>
      </x:c>
      <x:c r="BM184" s="22" t="n">
        <x:f>MAX(0,MIN('Activities'!L184,366)-MAX('Activities'!K184,360))</x:f>
        <x:v>0</x:v>
      </x:c>
      <x:c r="BN184" s="22" t="n">
        <x:f>MAX(0,MIN('Activities'!L184,372)-MAX('Activities'!K184,366))</x:f>
        <x:v>0</x:v>
      </x:c>
      <x:c r="BO184" s="22" t="n">
        <x:f>MAX(0,MIN('Activities'!L184,378)-MAX('Activities'!K184,372))</x:f>
        <x:v>0</x:v>
      </x:c>
      <x:c r="BP184" s="22" t="n">
        <x:f>MAX(0,MIN('Activities'!L184,384)-MAX('Activities'!K184,378))</x:f>
        <x:v>0</x:v>
      </x:c>
      <x:c r="BQ184" s="22" t="n">
        <x:f>MAX(0,MIN('Activities'!L184,390)-MAX('Activities'!K184,384))</x:f>
        <x:v>0</x:v>
      </x:c>
      <x:c r="BR184" s="22" t="n">
        <x:f>MAX(0,MIN('Activities'!L184,396)-MAX('Activities'!K184,390))</x:f>
        <x:v>0</x:v>
      </x:c>
      <x:c r="BS184" s="22" t="n">
        <x:f>MAX(0,MIN('Activities'!L184,402)-MAX('Activities'!K184,396))</x:f>
        <x:v>0</x:v>
      </x:c>
      <x:c r="BT184" s="22" t="n">
        <x:f>MAX(0,MIN('Activities'!L184,408)-MAX('Activities'!K184,402))</x:f>
        <x:v>0</x:v>
      </x:c>
      <x:c r="BU184" s="22" t="n">
        <x:f>MAX(0,MIN('Activities'!L184,414)-MAX('Activities'!K184,408))</x:f>
        <x:v>0</x:v>
      </x:c>
      <x:c r="BV184" s="22" t="n">
        <x:f>MAX(0,MIN('Activities'!L184,420)-MAX('Activities'!K184,414))</x:f>
        <x:v>0</x:v>
      </x:c>
      <x:c r="BW184" s="22" t="n">
        <x:f>MAX(0,MIN('Activities'!L184,426)-MAX('Activities'!K184,420))</x:f>
        <x:v>0</x:v>
      </x:c>
      <x:c r="BX184" s="22" t="n">
        <x:f>MAX(0,MIN('Activities'!L184,432)-MAX('Activities'!K184,426))</x:f>
        <x:v>0</x:v>
      </x:c>
      <x:c r="BY184" s="22" t="n">
        <x:f>MAX(0,MIN('Activities'!L184,438)-MAX('Activities'!K184,432))</x:f>
        <x:v>0</x:v>
      </x:c>
      <x:c r="BZ184" s="22" t="n">
        <x:f>MAX(0,MIN('Activities'!L184,444)-MAX('Activities'!K184,438))</x:f>
        <x:v>0</x:v>
      </x:c>
      <x:c r="CA184" s="22" t="n">
        <x:f>MAX(0,MIN('Activities'!L184,450)-MAX('Activities'!K184,444))</x:f>
        <x:v>0</x:v>
      </x:c>
      <x:c r="CB184" s="22" t="n">
        <x:f>MAX(0,MIN('Activities'!L184,456)-MAX('Activities'!K184,450))</x:f>
        <x:v>0</x:v>
      </x:c>
      <x:c r="CC184" s="22" t="n">
        <x:f>MAX(0,MIN('Activities'!L184,462)-MAX('Activities'!K184,456))</x:f>
        <x:v>0</x:v>
      </x:c>
      <x:c r="CD184" s="22" t="n">
        <x:f>MAX(0,MIN('Activities'!L184,468)-MAX('Activities'!K184,462))</x:f>
        <x:v>0</x:v>
      </x:c>
      <x:c r="CE184" s="22" t="n">
        <x:f>MAX(0,MIN('Activities'!L184,474)-MAX('Activities'!K184,468))</x:f>
        <x:v>0</x:v>
      </x:c>
      <x:c r="CF184" s="22" t="n">
        <x:f>MAX(0,MIN('Activities'!L184,480)-MAX('Activities'!K184,474))</x:f>
        <x:v>0</x:v>
      </x:c>
      <x:c r="CG184" s="22" t="n">
        <x:f>MAX(0,MIN('Activities'!L184,486)-MAX('Activities'!K184,480))</x:f>
        <x:v>0</x:v>
      </x:c>
      <x:c r="CH184" s="22" t="n">
        <x:f>MAX(0,MIN('Activities'!L184,492)-MAX('Activities'!K184,486))</x:f>
        <x:v>0</x:v>
      </x:c>
      <x:c r="CI184" s="22" t="n">
        <x:f>MAX(0,MIN('Activities'!L184,498)-MAX('Activities'!K184,492))</x:f>
        <x:v>0</x:v>
      </x:c>
      <x:c r="CJ184" s="22" t="n">
        <x:f>MAX(0,MIN('Activities'!L184,504)-MAX('Activities'!K184,498))</x:f>
        <x:v>0</x:v>
      </x:c>
      <x:c r="CK184" s="22" t="n">
        <x:f>MAX(0,MIN('Activities'!L184,510)-MAX('Activities'!K184,504))</x:f>
        <x:v>0</x:v>
      </x:c>
      <x:c r="CL184" s="22" t="n">
        <x:f>MAX(0,MIN('Activities'!L184,516)-MAX('Activities'!K184,510))</x:f>
        <x:v>0</x:v>
      </x:c>
      <x:c r="CM184" s="22" t="n">
        <x:f>MAX(0,MIN('Activities'!L184,522)-MAX('Activities'!K184,516))</x:f>
        <x:v>0</x:v>
      </x:c>
      <x:c r="CN184" s="22" t="n">
        <x:f>MAX(0,MIN('Activities'!L184,528)-MAX('Activities'!K184,522))</x:f>
        <x:v>0</x:v>
      </x:c>
      <x:c r="CO184" s="22" t="n">
        <x:f>MAX(0,MIN('Activities'!L184,534)-MAX('Activities'!K184,528))</x:f>
        <x:v>0</x:v>
      </x:c>
      <x:c r="CP184" s="22" t="n">
        <x:f>MAX(0,MIN('Activities'!L184,540)-MAX('Activities'!K184,534))</x:f>
        <x:v>0</x:v>
      </x:c>
      <x:c r="CQ184" s="22" t="n">
        <x:f>MAX(0,MIN('Activities'!L184,546)-MAX('Activities'!K184,540))</x:f>
        <x:v>0</x:v>
      </x:c>
      <x:c r="CR184" s="22" t="n">
        <x:f>MAX(0,MIN('Activities'!L184,552)-MAX('Activities'!K184,546))</x:f>
        <x:v>0</x:v>
      </x:c>
      <x:c r="CS184" s="22" t="n">
        <x:f>MAX(0,MIN('Activities'!L184,558)-MAX('Activities'!K184,552))</x:f>
        <x:v>0</x:v>
      </x:c>
      <x:c r="CT184" s="22" t="n">
        <x:f>MAX(0,MIN('Activities'!L184,564)-MAX('Activities'!K184,558))</x:f>
        <x:v>0</x:v>
      </x:c>
      <x:c r="CU184" s="22" t="n">
        <x:f>MAX(0,MIN('Activities'!L184,570)-MAX('Activities'!K184,564))</x:f>
        <x:v>0</x:v>
      </x:c>
      <x:c r="CV184" s="22" t="n">
        <x:f>MAX(0,MIN('Activities'!L184,576)-MAX('Activities'!K184,570))</x:f>
        <x:v>0</x:v>
      </x:c>
      <x:c r="CW184" s="22" t="n">
        <x:f>MAX(0,MIN('Activities'!L184,582)-MAX('Activities'!K184,576))</x:f>
        <x:v>0</x:v>
      </x:c>
      <x:c r="CX184" s="22" t="n">
        <x:f>MAX(0,MIN('Activities'!L184,588)-MAX('Activities'!K184,582))</x:f>
        <x:v>0</x:v>
      </x:c>
      <x:c r="CY184" s="22" t="n">
        <x:f>MAX(0,MIN('Activities'!L184,594)-MAX('Activities'!K184,588))</x:f>
        <x:v>0</x:v>
      </x:c>
      <x:c r="CZ184" s="22" t="n">
        <x:f>MAX(0,MIN('Activities'!L184,600)-MAX('Activities'!K184,594))</x:f>
        <x:v>0</x:v>
      </x:c>
      <x:c r="DA184" s="22" t="n">
        <x:f>MAX(0,MIN('Activities'!L184,606)-MAX('Activities'!K184,600))</x:f>
        <x:v>0</x:v>
      </x:c>
      <x:c r="DB184" s="22" t="n">
        <x:f>MAX(0,MIN('Activities'!L184,612)-MAX('Activities'!K184,606))</x:f>
        <x:v>0</x:v>
      </x:c>
      <x:c r="DC184" s="22" t="n">
        <x:f>MAX(0,MIN('Activities'!L184,618)-MAX('Activities'!K184,612))</x:f>
        <x:v>0</x:v>
      </x:c>
      <x:c r="DD184" s="22" t="n">
        <x:f>MAX(0,MIN('Activities'!L184,624)-MAX('Activities'!K184,618))</x:f>
        <x:v>0</x:v>
      </x:c>
      <x:c r="DE184" s="22" t="n">
        <x:f>MAX(0,MIN('Activities'!L184,630)-MAX('Activities'!K184,624))</x:f>
        <x:v>0</x:v>
      </x:c>
      <x:c r="DF184" s="22" t="n">
        <x:f>MAX(0,MIN('Activities'!L184,636)-MAX('Activities'!K184,630))</x:f>
        <x:v>0</x:v>
      </x:c>
    </x:row>
    <x:row r="185" ht="23" customHeight="1">
      <x:c r="A185" s="1" t="str">
        <x:v>T2-L09-F</x:v>
      </x:c>
      <x:c r="B185" s="1" t="str">
        <x:v>T2</x:v>
      </x:c>
      <x:c r="C185" s="1" t="str">
        <x:v>Columns, core and deck formwork</x:v>
      </x:c>
      <x:c r="D185" s="1" t="str">
        <x:v>Formwork</x:v>
      </x:c>
      <x:c r="E185" s="23" t="n">
        <x:f>MAX(0,MIN('Activities'!L185,6)-MAX('Activities'!K185,0))</x:f>
        <x:v>0</x:v>
      </x:c>
      <x:c r="F185" s="23" t="n">
        <x:f>MAX(0,MIN('Activities'!L185,12)-MAX('Activities'!K185,6))</x:f>
        <x:v>0</x:v>
      </x:c>
      <x:c r="G185" s="23" t="n">
        <x:f>MAX(0,MIN('Activities'!L185,18)-MAX('Activities'!K185,12))</x:f>
        <x:v>0</x:v>
      </x:c>
      <x:c r="H185" s="23" t="n">
        <x:f>MAX(0,MIN('Activities'!L185,24)-MAX('Activities'!K185,18))</x:f>
        <x:v>0</x:v>
      </x:c>
      <x:c r="I185" s="23" t="n">
        <x:f>MAX(0,MIN('Activities'!L185,30)-MAX('Activities'!K185,24))</x:f>
        <x:v>0</x:v>
      </x:c>
      <x:c r="J185" s="23" t="n">
        <x:f>MAX(0,MIN('Activities'!L185,36)-MAX('Activities'!K185,30))</x:f>
        <x:v>0</x:v>
      </x:c>
      <x:c r="K185" s="23" t="n">
        <x:f>MAX(0,MIN('Activities'!L185,42)-MAX('Activities'!K185,36))</x:f>
        <x:v>0</x:v>
      </x:c>
      <x:c r="L185" s="23" t="n">
        <x:f>MAX(0,MIN('Activities'!L185,48)-MAX('Activities'!K185,42))</x:f>
        <x:v>0</x:v>
      </x:c>
      <x:c r="M185" s="23" t="n">
        <x:f>MAX(0,MIN('Activities'!L185,54)-MAX('Activities'!K185,48))</x:f>
        <x:v>0</x:v>
      </x:c>
      <x:c r="N185" s="23" t="n">
        <x:f>MAX(0,MIN('Activities'!L185,60)-MAX('Activities'!K185,54))</x:f>
        <x:v>0</x:v>
      </x:c>
      <x:c r="O185" s="23" t="n">
        <x:f>MAX(0,MIN('Activities'!L185,66)-MAX('Activities'!K185,60))</x:f>
        <x:v>0</x:v>
      </x:c>
      <x:c r="P185" s="23" t="n">
        <x:f>MAX(0,MIN('Activities'!L185,72)-MAX('Activities'!K185,66))</x:f>
        <x:v>0</x:v>
      </x:c>
      <x:c r="Q185" s="23" t="n">
        <x:f>MAX(0,MIN('Activities'!L185,78)-MAX('Activities'!K185,72))</x:f>
        <x:v>0</x:v>
      </x:c>
      <x:c r="R185" s="23" t="n">
        <x:f>MAX(0,MIN('Activities'!L185,84)-MAX('Activities'!K185,78))</x:f>
        <x:v>0</x:v>
      </x:c>
      <x:c r="S185" s="23" t="n">
        <x:f>MAX(0,MIN('Activities'!L185,90)-MAX('Activities'!K185,84))</x:f>
        <x:v>0</x:v>
      </x:c>
      <x:c r="T185" s="23" t="n">
        <x:f>MAX(0,MIN('Activities'!L185,96)-MAX('Activities'!K185,90))</x:f>
        <x:v>0</x:v>
      </x:c>
      <x:c r="U185" s="23" t="n">
        <x:f>MAX(0,MIN('Activities'!L185,102)-MAX('Activities'!K185,96))</x:f>
        <x:v>0</x:v>
      </x:c>
      <x:c r="V185" s="23" t="n">
        <x:f>MAX(0,MIN('Activities'!L185,108)-MAX('Activities'!K185,102))</x:f>
        <x:v>0</x:v>
      </x:c>
      <x:c r="W185" s="23" t="n">
        <x:f>MAX(0,MIN('Activities'!L185,114)-MAX('Activities'!K185,108))</x:f>
        <x:v>0</x:v>
      </x:c>
      <x:c r="X185" s="23" t="n">
        <x:f>MAX(0,MIN('Activities'!L185,120)-MAX('Activities'!K185,114))</x:f>
        <x:v>0</x:v>
      </x:c>
      <x:c r="Y185" s="23" t="n">
        <x:f>MAX(0,MIN('Activities'!L185,126)-MAX('Activities'!K185,120))</x:f>
        <x:v>0</x:v>
      </x:c>
      <x:c r="Z185" s="23" t="n">
        <x:f>MAX(0,MIN('Activities'!L185,132)-MAX('Activities'!K185,126))</x:f>
        <x:v>0</x:v>
      </x:c>
      <x:c r="AA185" s="23" t="n">
        <x:f>MAX(0,MIN('Activities'!L185,138)-MAX('Activities'!K185,132))</x:f>
        <x:v>0</x:v>
      </x:c>
      <x:c r="AB185" s="23" t="n">
        <x:f>MAX(0,MIN('Activities'!L185,144)-MAX('Activities'!K185,138))</x:f>
        <x:v>0</x:v>
      </x:c>
      <x:c r="AC185" s="23" t="n">
        <x:f>MAX(0,MIN('Activities'!L185,150)-MAX('Activities'!K185,144))</x:f>
        <x:v>0</x:v>
      </x:c>
      <x:c r="AD185" s="23" t="n">
        <x:f>MAX(0,MIN('Activities'!L185,156)-MAX('Activities'!K185,150))</x:f>
        <x:v>0</x:v>
      </x:c>
      <x:c r="AE185" s="23" t="n">
        <x:f>MAX(0,MIN('Activities'!L185,162)-MAX('Activities'!K185,156))</x:f>
        <x:v>0</x:v>
      </x:c>
      <x:c r="AF185" s="23" t="n">
        <x:f>MAX(0,MIN('Activities'!L185,168)-MAX('Activities'!K185,162))</x:f>
        <x:v>0</x:v>
      </x:c>
      <x:c r="AG185" s="23" t="n">
        <x:f>MAX(0,MIN('Activities'!L185,174)-MAX('Activities'!K185,168))</x:f>
        <x:v>0</x:v>
      </x:c>
      <x:c r="AH185" s="23" t="n">
        <x:f>MAX(0,MIN('Activities'!L185,180)-MAX('Activities'!K185,174))</x:f>
        <x:v>0</x:v>
      </x:c>
      <x:c r="AI185" s="23" t="n">
        <x:f>MAX(0,MIN('Activities'!L185,186)-MAX('Activities'!K185,180))</x:f>
        <x:v>0</x:v>
      </x:c>
      <x:c r="AJ185" s="23" t="n">
        <x:f>MAX(0,MIN('Activities'!L185,192)-MAX('Activities'!K185,186))</x:f>
        <x:v>0</x:v>
      </x:c>
      <x:c r="AK185" s="23" t="n">
        <x:f>MAX(0,MIN('Activities'!L185,198)-MAX('Activities'!K185,192))</x:f>
        <x:v>0</x:v>
      </x:c>
      <x:c r="AL185" s="23" t="n">
        <x:f>MAX(0,MIN('Activities'!L185,204)-MAX('Activities'!K185,198))</x:f>
        <x:v>0</x:v>
      </x:c>
      <x:c r="AM185" s="23" t="n">
        <x:f>MAX(0,MIN('Activities'!L185,210)-MAX('Activities'!K185,204))</x:f>
        <x:v>0</x:v>
      </x:c>
      <x:c r="AN185" s="23" t="n">
        <x:f>MAX(0,MIN('Activities'!L185,216)-MAX('Activities'!K185,210))</x:f>
        <x:v>0</x:v>
      </x:c>
      <x:c r="AO185" s="23" t="n">
        <x:f>MAX(0,MIN('Activities'!L185,222)-MAX('Activities'!K185,216))</x:f>
        <x:v>0</x:v>
      </x:c>
      <x:c r="AP185" s="23" t="n">
        <x:f>MAX(0,MIN('Activities'!L185,228)-MAX('Activities'!K185,222))</x:f>
        <x:v>0</x:v>
      </x:c>
      <x:c r="AQ185" s="23" t="n">
        <x:f>MAX(0,MIN('Activities'!L185,234)-MAX('Activities'!K185,228))</x:f>
        <x:v>0</x:v>
      </x:c>
      <x:c r="AR185" s="23" t="n">
        <x:f>MAX(0,MIN('Activities'!L185,240)-MAX('Activities'!K185,234))</x:f>
        <x:v>0</x:v>
      </x:c>
      <x:c r="AS185" s="23" t="n">
        <x:f>MAX(0,MIN('Activities'!L185,246)-MAX('Activities'!K185,240))</x:f>
        <x:v>0</x:v>
      </x:c>
      <x:c r="AT185" s="23" t="n">
        <x:f>MAX(0,MIN('Activities'!L185,252)-MAX('Activities'!K185,246))</x:f>
        <x:v>0</x:v>
      </x:c>
      <x:c r="AU185" s="23" t="n">
        <x:f>MAX(0,MIN('Activities'!L185,258)-MAX('Activities'!K185,252))</x:f>
        <x:v>0</x:v>
      </x:c>
      <x:c r="AV185" s="23" t="n">
        <x:f>MAX(0,MIN('Activities'!L185,264)-MAX('Activities'!K185,258))</x:f>
        <x:v>0</x:v>
      </x:c>
      <x:c r="AW185" s="23" t="n">
        <x:f>MAX(0,MIN('Activities'!L185,270)-MAX('Activities'!K185,264))</x:f>
        <x:v>0</x:v>
      </x:c>
      <x:c r="AX185" s="23" t="n">
        <x:f>MAX(0,MIN('Activities'!L185,276)-MAX('Activities'!K185,270))</x:f>
        <x:v>0</x:v>
      </x:c>
      <x:c r="AY185" s="23" t="n">
        <x:f>MAX(0,MIN('Activities'!L185,282)-MAX('Activities'!K185,276))</x:f>
        <x:v>0</x:v>
      </x:c>
      <x:c r="AZ185" s="23" t="n">
        <x:f>MAX(0,MIN('Activities'!L185,288)-MAX('Activities'!K185,282))</x:f>
        <x:v>0</x:v>
      </x:c>
      <x:c r="BA185" s="23" t="n">
        <x:f>MAX(0,MIN('Activities'!L185,294)-MAX('Activities'!K185,288))</x:f>
        <x:v>0</x:v>
      </x:c>
      <x:c r="BB185" s="23" t="n">
        <x:f>MAX(0,MIN('Activities'!L185,300)-MAX('Activities'!K185,294))</x:f>
        <x:v>0</x:v>
      </x:c>
      <x:c r="BC185" s="23" t="n">
        <x:f>MAX(0,MIN('Activities'!L185,306)-MAX('Activities'!K185,300))</x:f>
        <x:v>0</x:v>
      </x:c>
      <x:c r="BD185" s="23" t="n">
        <x:f>MAX(0,MIN('Activities'!L185,312)-MAX('Activities'!K185,306))</x:f>
        <x:v>4</x:v>
      </x:c>
      <x:c r="BE185" s="23" t="n">
        <x:f>MAX(0,MIN('Activities'!L185,318)-MAX('Activities'!K185,312))</x:f>
        <x:v>2</x:v>
      </x:c>
      <x:c r="BF185" s="23" t="n">
        <x:f>MAX(0,MIN('Activities'!L185,324)-MAX('Activities'!K185,318))</x:f>
        <x:v>0</x:v>
      </x:c>
      <x:c r="BG185" s="23" t="n">
        <x:f>MAX(0,MIN('Activities'!L185,330)-MAX('Activities'!K185,324))</x:f>
        <x:v>0</x:v>
      </x:c>
      <x:c r="BH185" s="23" t="n">
        <x:f>MAX(0,MIN('Activities'!L185,336)-MAX('Activities'!K185,330))</x:f>
        <x:v>0</x:v>
      </x:c>
      <x:c r="BI185" s="23" t="n">
        <x:f>MAX(0,MIN('Activities'!L185,342)-MAX('Activities'!K185,336))</x:f>
        <x:v>0</x:v>
      </x:c>
      <x:c r="BJ185" s="23" t="n">
        <x:f>MAX(0,MIN('Activities'!L185,348)-MAX('Activities'!K185,342))</x:f>
        <x:v>0</x:v>
      </x:c>
      <x:c r="BK185" s="23" t="n">
        <x:f>MAX(0,MIN('Activities'!L185,354)-MAX('Activities'!K185,348))</x:f>
        <x:v>0</x:v>
      </x:c>
      <x:c r="BL185" s="23" t="n">
        <x:f>MAX(0,MIN('Activities'!L185,360)-MAX('Activities'!K185,354))</x:f>
        <x:v>0</x:v>
      </x:c>
      <x:c r="BM185" s="23" t="n">
        <x:f>MAX(0,MIN('Activities'!L185,366)-MAX('Activities'!K185,360))</x:f>
        <x:v>0</x:v>
      </x:c>
      <x:c r="BN185" s="23" t="n">
        <x:f>MAX(0,MIN('Activities'!L185,372)-MAX('Activities'!K185,366))</x:f>
        <x:v>0</x:v>
      </x:c>
      <x:c r="BO185" s="23" t="n">
        <x:f>MAX(0,MIN('Activities'!L185,378)-MAX('Activities'!K185,372))</x:f>
        <x:v>0</x:v>
      </x:c>
      <x:c r="BP185" s="23" t="n">
        <x:f>MAX(0,MIN('Activities'!L185,384)-MAX('Activities'!K185,378))</x:f>
        <x:v>0</x:v>
      </x:c>
      <x:c r="BQ185" s="23" t="n">
        <x:f>MAX(0,MIN('Activities'!L185,390)-MAX('Activities'!K185,384))</x:f>
        <x:v>0</x:v>
      </x:c>
      <x:c r="BR185" s="23" t="n">
        <x:f>MAX(0,MIN('Activities'!L185,396)-MAX('Activities'!K185,390))</x:f>
        <x:v>0</x:v>
      </x:c>
      <x:c r="BS185" s="23" t="n">
        <x:f>MAX(0,MIN('Activities'!L185,402)-MAX('Activities'!K185,396))</x:f>
        <x:v>0</x:v>
      </x:c>
      <x:c r="BT185" s="23" t="n">
        <x:f>MAX(0,MIN('Activities'!L185,408)-MAX('Activities'!K185,402))</x:f>
        <x:v>0</x:v>
      </x:c>
      <x:c r="BU185" s="23" t="n">
        <x:f>MAX(0,MIN('Activities'!L185,414)-MAX('Activities'!K185,408))</x:f>
        <x:v>0</x:v>
      </x:c>
      <x:c r="BV185" s="23" t="n">
        <x:f>MAX(0,MIN('Activities'!L185,420)-MAX('Activities'!K185,414))</x:f>
        <x:v>0</x:v>
      </x:c>
      <x:c r="BW185" s="23" t="n">
        <x:f>MAX(0,MIN('Activities'!L185,426)-MAX('Activities'!K185,420))</x:f>
        <x:v>0</x:v>
      </x:c>
      <x:c r="BX185" s="23" t="n">
        <x:f>MAX(0,MIN('Activities'!L185,432)-MAX('Activities'!K185,426))</x:f>
        <x:v>0</x:v>
      </x:c>
      <x:c r="BY185" s="23" t="n">
        <x:f>MAX(0,MIN('Activities'!L185,438)-MAX('Activities'!K185,432))</x:f>
        <x:v>0</x:v>
      </x:c>
      <x:c r="BZ185" s="23" t="n">
        <x:f>MAX(0,MIN('Activities'!L185,444)-MAX('Activities'!K185,438))</x:f>
        <x:v>0</x:v>
      </x:c>
      <x:c r="CA185" s="23" t="n">
        <x:f>MAX(0,MIN('Activities'!L185,450)-MAX('Activities'!K185,444))</x:f>
        <x:v>0</x:v>
      </x:c>
      <x:c r="CB185" s="23" t="n">
        <x:f>MAX(0,MIN('Activities'!L185,456)-MAX('Activities'!K185,450))</x:f>
        <x:v>0</x:v>
      </x:c>
      <x:c r="CC185" s="23" t="n">
        <x:f>MAX(0,MIN('Activities'!L185,462)-MAX('Activities'!K185,456))</x:f>
        <x:v>0</x:v>
      </x:c>
      <x:c r="CD185" s="23" t="n">
        <x:f>MAX(0,MIN('Activities'!L185,468)-MAX('Activities'!K185,462))</x:f>
        <x:v>0</x:v>
      </x:c>
      <x:c r="CE185" s="23" t="n">
        <x:f>MAX(0,MIN('Activities'!L185,474)-MAX('Activities'!K185,468))</x:f>
        <x:v>0</x:v>
      </x:c>
      <x:c r="CF185" s="23" t="n">
        <x:f>MAX(0,MIN('Activities'!L185,480)-MAX('Activities'!K185,474))</x:f>
        <x:v>0</x:v>
      </x:c>
      <x:c r="CG185" s="23" t="n">
        <x:f>MAX(0,MIN('Activities'!L185,486)-MAX('Activities'!K185,480))</x:f>
        <x:v>0</x:v>
      </x:c>
      <x:c r="CH185" s="23" t="n">
        <x:f>MAX(0,MIN('Activities'!L185,492)-MAX('Activities'!K185,486))</x:f>
        <x:v>0</x:v>
      </x:c>
      <x:c r="CI185" s="23" t="n">
        <x:f>MAX(0,MIN('Activities'!L185,498)-MAX('Activities'!K185,492))</x:f>
        <x:v>0</x:v>
      </x:c>
      <x:c r="CJ185" s="23" t="n">
        <x:f>MAX(0,MIN('Activities'!L185,504)-MAX('Activities'!K185,498))</x:f>
        <x:v>0</x:v>
      </x:c>
      <x:c r="CK185" s="23" t="n">
        <x:f>MAX(0,MIN('Activities'!L185,510)-MAX('Activities'!K185,504))</x:f>
        <x:v>0</x:v>
      </x:c>
      <x:c r="CL185" s="23" t="n">
        <x:f>MAX(0,MIN('Activities'!L185,516)-MAX('Activities'!K185,510))</x:f>
        <x:v>0</x:v>
      </x:c>
      <x:c r="CM185" s="23" t="n">
        <x:f>MAX(0,MIN('Activities'!L185,522)-MAX('Activities'!K185,516))</x:f>
        <x:v>0</x:v>
      </x:c>
      <x:c r="CN185" s="23" t="n">
        <x:f>MAX(0,MIN('Activities'!L185,528)-MAX('Activities'!K185,522))</x:f>
        <x:v>0</x:v>
      </x:c>
      <x:c r="CO185" s="23" t="n">
        <x:f>MAX(0,MIN('Activities'!L185,534)-MAX('Activities'!K185,528))</x:f>
        <x:v>0</x:v>
      </x:c>
      <x:c r="CP185" s="23" t="n">
        <x:f>MAX(0,MIN('Activities'!L185,540)-MAX('Activities'!K185,534))</x:f>
        <x:v>0</x:v>
      </x:c>
      <x:c r="CQ185" s="23" t="n">
        <x:f>MAX(0,MIN('Activities'!L185,546)-MAX('Activities'!K185,540))</x:f>
        <x:v>0</x:v>
      </x:c>
      <x:c r="CR185" s="23" t="n">
        <x:f>MAX(0,MIN('Activities'!L185,552)-MAX('Activities'!K185,546))</x:f>
        <x:v>0</x:v>
      </x:c>
      <x:c r="CS185" s="23" t="n">
        <x:f>MAX(0,MIN('Activities'!L185,558)-MAX('Activities'!K185,552))</x:f>
        <x:v>0</x:v>
      </x:c>
      <x:c r="CT185" s="23" t="n">
        <x:f>MAX(0,MIN('Activities'!L185,564)-MAX('Activities'!K185,558))</x:f>
        <x:v>0</x:v>
      </x:c>
      <x:c r="CU185" s="23" t="n">
        <x:f>MAX(0,MIN('Activities'!L185,570)-MAX('Activities'!K185,564))</x:f>
        <x:v>0</x:v>
      </x:c>
      <x:c r="CV185" s="23" t="n">
        <x:f>MAX(0,MIN('Activities'!L185,576)-MAX('Activities'!K185,570))</x:f>
        <x:v>0</x:v>
      </x:c>
      <x:c r="CW185" s="23" t="n">
        <x:f>MAX(0,MIN('Activities'!L185,582)-MAX('Activities'!K185,576))</x:f>
        <x:v>0</x:v>
      </x:c>
      <x:c r="CX185" s="23" t="n">
        <x:f>MAX(0,MIN('Activities'!L185,588)-MAX('Activities'!K185,582))</x:f>
        <x:v>0</x:v>
      </x:c>
      <x:c r="CY185" s="23" t="n">
        <x:f>MAX(0,MIN('Activities'!L185,594)-MAX('Activities'!K185,588))</x:f>
        <x:v>0</x:v>
      </x:c>
      <x:c r="CZ185" s="23" t="n">
        <x:f>MAX(0,MIN('Activities'!L185,600)-MAX('Activities'!K185,594))</x:f>
        <x:v>0</x:v>
      </x:c>
      <x:c r="DA185" s="23" t="n">
        <x:f>MAX(0,MIN('Activities'!L185,606)-MAX('Activities'!K185,600))</x:f>
        <x:v>0</x:v>
      </x:c>
      <x:c r="DB185" s="23" t="n">
        <x:f>MAX(0,MIN('Activities'!L185,612)-MAX('Activities'!K185,606))</x:f>
        <x:v>0</x:v>
      </x:c>
      <x:c r="DC185" s="23" t="n">
        <x:f>MAX(0,MIN('Activities'!L185,618)-MAX('Activities'!K185,612))</x:f>
        <x:v>0</x:v>
      </x:c>
      <x:c r="DD185" s="23" t="n">
        <x:f>MAX(0,MIN('Activities'!L185,624)-MAX('Activities'!K185,618))</x:f>
        <x:v>0</x:v>
      </x:c>
      <x:c r="DE185" s="23" t="n">
        <x:f>MAX(0,MIN('Activities'!L185,630)-MAX('Activities'!K185,624))</x:f>
        <x:v>0</x:v>
      </x:c>
      <x:c r="DF185" s="23" t="n">
        <x:f>MAX(0,MIN('Activities'!L185,636)-MAX('Activities'!K185,630))</x:f>
        <x:v>0</x:v>
      </x:c>
    </x:row>
    <x:row r="186" ht="23" customHeight="1">
      <x:c r="A186" s="6" t="str">
        <x:v>T2-L09-R</x:v>
      </x:c>
      <x:c r="B186" s="6" t="str">
        <x:v>T2</x:v>
      </x:c>
      <x:c r="C186" s="6" t="str">
        <x:v>Column, wall, beam and slab reinforcement</x:v>
      </x:c>
      <x:c r="D186" s="6" t="str">
        <x:v>Rebar</x:v>
      </x:c>
      <x:c r="E186" s="22" t="n">
        <x:f>MAX(0,MIN('Activities'!L186,6)-MAX('Activities'!K186,0))</x:f>
        <x:v>0</x:v>
      </x:c>
      <x:c r="F186" s="22" t="n">
        <x:f>MAX(0,MIN('Activities'!L186,12)-MAX('Activities'!K186,6))</x:f>
        <x:v>0</x:v>
      </x:c>
      <x:c r="G186" s="22" t="n">
        <x:f>MAX(0,MIN('Activities'!L186,18)-MAX('Activities'!K186,12))</x:f>
        <x:v>0</x:v>
      </x:c>
      <x:c r="H186" s="22" t="n">
        <x:f>MAX(0,MIN('Activities'!L186,24)-MAX('Activities'!K186,18))</x:f>
        <x:v>0</x:v>
      </x:c>
      <x:c r="I186" s="22" t="n">
        <x:f>MAX(0,MIN('Activities'!L186,30)-MAX('Activities'!K186,24))</x:f>
        <x:v>0</x:v>
      </x:c>
      <x:c r="J186" s="22" t="n">
        <x:f>MAX(0,MIN('Activities'!L186,36)-MAX('Activities'!K186,30))</x:f>
        <x:v>0</x:v>
      </x:c>
      <x:c r="K186" s="22" t="n">
        <x:f>MAX(0,MIN('Activities'!L186,42)-MAX('Activities'!K186,36))</x:f>
        <x:v>0</x:v>
      </x:c>
      <x:c r="L186" s="22" t="n">
        <x:f>MAX(0,MIN('Activities'!L186,48)-MAX('Activities'!K186,42))</x:f>
        <x:v>0</x:v>
      </x:c>
      <x:c r="M186" s="22" t="n">
        <x:f>MAX(0,MIN('Activities'!L186,54)-MAX('Activities'!K186,48))</x:f>
        <x:v>0</x:v>
      </x:c>
      <x:c r="N186" s="22" t="n">
        <x:f>MAX(0,MIN('Activities'!L186,60)-MAX('Activities'!K186,54))</x:f>
        <x:v>0</x:v>
      </x:c>
      <x:c r="O186" s="22" t="n">
        <x:f>MAX(0,MIN('Activities'!L186,66)-MAX('Activities'!K186,60))</x:f>
        <x:v>0</x:v>
      </x:c>
      <x:c r="P186" s="22" t="n">
        <x:f>MAX(0,MIN('Activities'!L186,72)-MAX('Activities'!K186,66))</x:f>
        <x:v>0</x:v>
      </x:c>
      <x:c r="Q186" s="22" t="n">
        <x:f>MAX(0,MIN('Activities'!L186,78)-MAX('Activities'!K186,72))</x:f>
        <x:v>0</x:v>
      </x:c>
      <x:c r="R186" s="22" t="n">
        <x:f>MAX(0,MIN('Activities'!L186,84)-MAX('Activities'!K186,78))</x:f>
        <x:v>0</x:v>
      </x:c>
      <x:c r="S186" s="22" t="n">
        <x:f>MAX(0,MIN('Activities'!L186,90)-MAX('Activities'!K186,84))</x:f>
        <x:v>0</x:v>
      </x:c>
      <x:c r="T186" s="22" t="n">
        <x:f>MAX(0,MIN('Activities'!L186,96)-MAX('Activities'!K186,90))</x:f>
        <x:v>0</x:v>
      </x:c>
      <x:c r="U186" s="22" t="n">
        <x:f>MAX(0,MIN('Activities'!L186,102)-MAX('Activities'!K186,96))</x:f>
        <x:v>0</x:v>
      </x:c>
      <x:c r="V186" s="22" t="n">
        <x:f>MAX(0,MIN('Activities'!L186,108)-MAX('Activities'!K186,102))</x:f>
        <x:v>0</x:v>
      </x:c>
      <x:c r="W186" s="22" t="n">
        <x:f>MAX(0,MIN('Activities'!L186,114)-MAX('Activities'!K186,108))</x:f>
        <x:v>0</x:v>
      </x:c>
      <x:c r="X186" s="22" t="n">
        <x:f>MAX(0,MIN('Activities'!L186,120)-MAX('Activities'!K186,114))</x:f>
        <x:v>0</x:v>
      </x:c>
      <x:c r="Y186" s="22" t="n">
        <x:f>MAX(0,MIN('Activities'!L186,126)-MAX('Activities'!K186,120))</x:f>
        <x:v>0</x:v>
      </x:c>
      <x:c r="Z186" s="22" t="n">
        <x:f>MAX(0,MIN('Activities'!L186,132)-MAX('Activities'!K186,126))</x:f>
        <x:v>0</x:v>
      </x:c>
      <x:c r="AA186" s="22" t="n">
        <x:f>MAX(0,MIN('Activities'!L186,138)-MAX('Activities'!K186,132))</x:f>
        <x:v>0</x:v>
      </x:c>
      <x:c r="AB186" s="22" t="n">
        <x:f>MAX(0,MIN('Activities'!L186,144)-MAX('Activities'!K186,138))</x:f>
        <x:v>0</x:v>
      </x:c>
      <x:c r="AC186" s="22" t="n">
        <x:f>MAX(0,MIN('Activities'!L186,150)-MAX('Activities'!K186,144))</x:f>
        <x:v>0</x:v>
      </x:c>
      <x:c r="AD186" s="22" t="n">
        <x:f>MAX(0,MIN('Activities'!L186,156)-MAX('Activities'!K186,150))</x:f>
        <x:v>0</x:v>
      </x:c>
      <x:c r="AE186" s="22" t="n">
        <x:f>MAX(0,MIN('Activities'!L186,162)-MAX('Activities'!K186,156))</x:f>
        <x:v>0</x:v>
      </x:c>
      <x:c r="AF186" s="22" t="n">
        <x:f>MAX(0,MIN('Activities'!L186,168)-MAX('Activities'!K186,162))</x:f>
        <x:v>0</x:v>
      </x:c>
      <x:c r="AG186" s="22" t="n">
        <x:f>MAX(0,MIN('Activities'!L186,174)-MAX('Activities'!K186,168))</x:f>
        <x:v>0</x:v>
      </x:c>
      <x:c r="AH186" s="22" t="n">
        <x:f>MAX(0,MIN('Activities'!L186,180)-MAX('Activities'!K186,174))</x:f>
        <x:v>0</x:v>
      </x:c>
      <x:c r="AI186" s="22" t="n">
        <x:f>MAX(0,MIN('Activities'!L186,186)-MAX('Activities'!K186,180))</x:f>
        <x:v>0</x:v>
      </x:c>
      <x:c r="AJ186" s="22" t="n">
        <x:f>MAX(0,MIN('Activities'!L186,192)-MAX('Activities'!K186,186))</x:f>
        <x:v>0</x:v>
      </x:c>
      <x:c r="AK186" s="22" t="n">
        <x:f>MAX(0,MIN('Activities'!L186,198)-MAX('Activities'!K186,192))</x:f>
        <x:v>0</x:v>
      </x:c>
      <x:c r="AL186" s="22" t="n">
        <x:f>MAX(0,MIN('Activities'!L186,204)-MAX('Activities'!K186,198))</x:f>
        <x:v>0</x:v>
      </x:c>
      <x:c r="AM186" s="22" t="n">
        <x:f>MAX(0,MIN('Activities'!L186,210)-MAX('Activities'!K186,204))</x:f>
        <x:v>0</x:v>
      </x:c>
      <x:c r="AN186" s="22" t="n">
        <x:f>MAX(0,MIN('Activities'!L186,216)-MAX('Activities'!K186,210))</x:f>
        <x:v>0</x:v>
      </x:c>
      <x:c r="AO186" s="22" t="n">
        <x:f>MAX(0,MIN('Activities'!L186,222)-MAX('Activities'!K186,216))</x:f>
        <x:v>0</x:v>
      </x:c>
      <x:c r="AP186" s="22" t="n">
        <x:f>MAX(0,MIN('Activities'!L186,228)-MAX('Activities'!K186,222))</x:f>
        <x:v>0</x:v>
      </x:c>
      <x:c r="AQ186" s="22" t="n">
        <x:f>MAX(0,MIN('Activities'!L186,234)-MAX('Activities'!K186,228))</x:f>
        <x:v>0</x:v>
      </x:c>
      <x:c r="AR186" s="22" t="n">
        <x:f>MAX(0,MIN('Activities'!L186,240)-MAX('Activities'!K186,234))</x:f>
        <x:v>0</x:v>
      </x:c>
      <x:c r="AS186" s="22" t="n">
        <x:f>MAX(0,MIN('Activities'!L186,246)-MAX('Activities'!K186,240))</x:f>
        <x:v>0</x:v>
      </x:c>
      <x:c r="AT186" s="22" t="n">
        <x:f>MAX(0,MIN('Activities'!L186,252)-MAX('Activities'!K186,246))</x:f>
        <x:v>0</x:v>
      </x:c>
      <x:c r="AU186" s="22" t="n">
        <x:f>MAX(0,MIN('Activities'!L186,258)-MAX('Activities'!K186,252))</x:f>
        <x:v>0</x:v>
      </x:c>
      <x:c r="AV186" s="22" t="n">
        <x:f>MAX(0,MIN('Activities'!L186,264)-MAX('Activities'!K186,258))</x:f>
        <x:v>0</x:v>
      </x:c>
      <x:c r="AW186" s="22" t="n">
        <x:f>MAX(0,MIN('Activities'!L186,270)-MAX('Activities'!K186,264))</x:f>
        <x:v>0</x:v>
      </x:c>
      <x:c r="AX186" s="22" t="n">
        <x:f>MAX(0,MIN('Activities'!L186,276)-MAX('Activities'!K186,270))</x:f>
        <x:v>0</x:v>
      </x:c>
      <x:c r="AY186" s="22" t="n">
        <x:f>MAX(0,MIN('Activities'!L186,282)-MAX('Activities'!K186,276))</x:f>
        <x:v>0</x:v>
      </x:c>
      <x:c r="AZ186" s="22" t="n">
        <x:f>MAX(0,MIN('Activities'!L186,288)-MAX('Activities'!K186,282))</x:f>
        <x:v>0</x:v>
      </x:c>
      <x:c r="BA186" s="22" t="n">
        <x:f>MAX(0,MIN('Activities'!L186,294)-MAX('Activities'!K186,288))</x:f>
        <x:v>0</x:v>
      </x:c>
      <x:c r="BB186" s="22" t="n">
        <x:f>MAX(0,MIN('Activities'!L186,300)-MAX('Activities'!K186,294))</x:f>
        <x:v>0</x:v>
      </x:c>
      <x:c r="BC186" s="22" t="n">
        <x:f>MAX(0,MIN('Activities'!L186,306)-MAX('Activities'!K186,300))</x:f>
        <x:v>0</x:v>
      </x:c>
      <x:c r="BD186" s="22" t="n">
        <x:f>MAX(0,MIN('Activities'!L186,312)-MAX('Activities'!K186,306))</x:f>
        <x:v>0</x:v>
      </x:c>
      <x:c r="BE186" s="22" t="n">
        <x:f>MAX(0,MIN('Activities'!L186,318)-MAX('Activities'!K186,312))</x:f>
        <x:v>4</x:v>
      </x:c>
      <x:c r="BF186" s="22" t="n">
        <x:f>MAX(0,MIN('Activities'!L186,324)-MAX('Activities'!K186,318))</x:f>
        <x:v>1</x:v>
      </x:c>
      <x:c r="BG186" s="22" t="n">
        <x:f>MAX(0,MIN('Activities'!L186,330)-MAX('Activities'!K186,324))</x:f>
        <x:v>0</x:v>
      </x:c>
      <x:c r="BH186" s="22" t="n">
        <x:f>MAX(0,MIN('Activities'!L186,336)-MAX('Activities'!K186,330))</x:f>
        <x:v>0</x:v>
      </x:c>
      <x:c r="BI186" s="22" t="n">
        <x:f>MAX(0,MIN('Activities'!L186,342)-MAX('Activities'!K186,336))</x:f>
        <x:v>0</x:v>
      </x:c>
      <x:c r="BJ186" s="22" t="n">
        <x:f>MAX(0,MIN('Activities'!L186,348)-MAX('Activities'!K186,342))</x:f>
        <x:v>0</x:v>
      </x:c>
      <x:c r="BK186" s="22" t="n">
        <x:f>MAX(0,MIN('Activities'!L186,354)-MAX('Activities'!K186,348))</x:f>
        <x:v>0</x:v>
      </x:c>
      <x:c r="BL186" s="22" t="n">
        <x:f>MAX(0,MIN('Activities'!L186,360)-MAX('Activities'!K186,354))</x:f>
        <x:v>0</x:v>
      </x:c>
      <x:c r="BM186" s="22" t="n">
        <x:f>MAX(0,MIN('Activities'!L186,366)-MAX('Activities'!K186,360))</x:f>
        <x:v>0</x:v>
      </x:c>
      <x:c r="BN186" s="22" t="n">
        <x:f>MAX(0,MIN('Activities'!L186,372)-MAX('Activities'!K186,366))</x:f>
        <x:v>0</x:v>
      </x:c>
      <x:c r="BO186" s="22" t="n">
        <x:f>MAX(0,MIN('Activities'!L186,378)-MAX('Activities'!K186,372))</x:f>
        <x:v>0</x:v>
      </x:c>
      <x:c r="BP186" s="22" t="n">
        <x:f>MAX(0,MIN('Activities'!L186,384)-MAX('Activities'!K186,378))</x:f>
        <x:v>0</x:v>
      </x:c>
      <x:c r="BQ186" s="22" t="n">
        <x:f>MAX(0,MIN('Activities'!L186,390)-MAX('Activities'!K186,384))</x:f>
        <x:v>0</x:v>
      </x:c>
      <x:c r="BR186" s="22" t="n">
        <x:f>MAX(0,MIN('Activities'!L186,396)-MAX('Activities'!K186,390))</x:f>
        <x:v>0</x:v>
      </x:c>
      <x:c r="BS186" s="22" t="n">
        <x:f>MAX(0,MIN('Activities'!L186,402)-MAX('Activities'!K186,396))</x:f>
        <x:v>0</x:v>
      </x:c>
      <x:c r="BT186" s="22" t="n">
        <x:f>MAX(0,MIN('Activities'!L186,408)-MAX('Activities'!K186,402))</x:f>
        <x:v>0</x:v>
      </x:c>
      <x:c r="BU186" s="22" t="n">
        <x:f>MAX(0,MIN('Activities'!L186,414)-MAX('Activities'!K186,408))</x:f>
        <x:v>0</x:v>
      </x:c>
      <x:c r="BV186" s="22" t="n">
        <x:f>MAX(0,MIN('Activities'!L186,420)-MAX('Activities'!K186,414))</x:f>
        <x:v>0</x:v>
      </x:c>
      <x:c r="BW186" s="22" t="n">
        <x:f>MAX(0,MIN('Activities'!L186,426)-MAX('Activities'!K186,420))</x:f>
        <x:v>0</x:v>
      </x:c>
      <x:c r="BX186" s="22" t="n">
        <x:f>MAX(0,MIN('Activities'!L186,432)-MAX('Activities'!K186,426))</x:f>
        <x:v>0</x:v>
      </x:c>
      <x:c r="BY186" s="22" t="n">
        <x:f>MAX(0,MIN('Activities'!L186,438)-MAX('Activities'!K186,432))</x:f>
        <x:v>0</x:v>
      </x:c>
      <x:c r="BZ186" s="22" t="n">
        <x:f>MAX(0,MIN('Activities'!L186,444)-MAX('Activities'!K186,438))</x:f>
        <x:v>0</x:v>
      </x:c>
      <x:c r="CA186" s="22" t="n">
        <x:f>MAX(0,MIN('Activities'!L186,450)-MAX('Activities'!K186,444))</x:f>
        <x:v>0</x:v>
      </x:c>
      <x:c r="CB186" s="22" t="n">
        <x:f>MAX(0,MIN('Activities'!L186,456)-MAX('Activities'!K186,450))</x:f>
        <x:v>0</x:v>
      </x:c>
      <x:c r="CC186" s="22" t="n">
        <x:f>MAX(0,MIN('Activities'!L186,462)-MAX('Activities'!K186,456))</x:f>
        <x:v>0</x:v>
      </x:c>
      <x:c r="CD186" s="22" t="n">
        <x:f>MAX(0,MIN('Activities'!L186,468)-MAX('Activities'!K186,462))</x:f>
        <x:v>0</x:v>
      </x:c>
      <x:c r="CE186" s="22" t="n">
        <x:f>MAX(0,MIN('Activities'!L186,474)-MAX('Activities'!K186,468))</x:f>
        <x:v>0</x:v>
      </x:c>
      <x:c r="CF186" s="22" t="n">
        <x:f>MAX(0,MIN('Activities'!L186,480)-MAX('Activities'!K186,474))</x:f>
        <x:v>0</x:v>
      </x:c>
      <x:c r="CG186" s="22" t="n">
        <x:f>MAX(0,MIN('Activities'!L186,486)-MAX('Activities'!K186,480))</x:f>
        <x:v>0</x:v>
      </x:c>
      <x:c r="CH186" s="22" t="n">
        <x:f>MAX(0,MIN('Activities'!L186,492)-MAX('Activities'!K186,486))</x:f>
        <x:v>0</x:v>
      </x:c>
      <x:c r="CI186" s="22" t="n">
        <x:f>MAX(0,MIN('Activities'!L186,498)-MAX('Activities'!K186,492))</x:f>
        <x:v>0</x:v>
      </x:c>
      <x:c r="CJ186" s="22" t="n">
        <x:f>MAX(0,MIN('Activities'!L186,504)-MAX('Activities'!K186,498))</x:f>
        <x:v>0</x:v>
      </x:c>
      <x:c r="CK186" s="22" t="n">
        <x:f>MAX(0,MIN('Activities'!L186,510)-MAX('Activities'!K186,504))</x:f>
        <x:v>0</x:v>
      </x:c>
      <x:c r="CL186" s="22" t="n">
        <x:f>MAX(0,MIN('Activities'!L186,516)-MAX('Activities'!K186,510))</x:f>
        <x:v>0</x:v>
      </x:c>
      <x:c r="CM186" s="22" t="n">
        <x:f>MAX(0,MIN('Activities'!L186,522)-MAX('Activities'!K186,516))</x:f>
        <x:v>0</x:v>
      </x:c>
      <x:c r="CN186" s="22" t="n">
        <x:f>MAX(0,MIN('Activities'!L186,528)-MAX('Activities'!K186,522))</x:f>
        <x:v>0</x:v>
      </x:c>
      <x:c r="CO186" s="22" t="n">
        <x:f>MAX(0,MIN('Activities'!L186,534)-MAX('Activities'!K186,528))</x:f>
        <x:v>0</x:v>
      </x:c>
      <x:c r="CP186" s="22" t="n">
        <x:f>MAX(0,MIN('Activities'!L186,540)-MAX('Activities'!K186,534))</x:f>
        <x:v>0</x:v>
      </x:c>
      <x:c r="CQ186" s="22" t="n">
        <x:f>MAX(0,MIN('Activities'!L186,546)-MAX('Activities'!K186,540))</x:f>
        <x:v>0</x:v>
      </x:c>
      <x:c r="CR186" s="22" t="n">
        <x:f>MAX(0,MIN('Activities'!L186,552)-MAX('Activities'!K186,546))</x:f>
        <x:v>0</x:v>
      </x:c>
      <x:c r="CS186" s="22" t="n">
        <x:f>MAX(0,MIN('Activities'!L186,558)-MAX('Activities'!K186,552))</x:f>
        <x:v>0</x:v>
      </x:c>
      <x:c r="CT186" s="22" t="n">
        <x:f>MAX(0,MIN('Activities'!L186,564)-MAX('Activities'!K186,558))</x:f>
        <x:v>0</x:v>
      </x:c>
      <x:c r="CU186" s="22" t="n">
        <x:f>MAX(0,MIN('Activities'!L186,570)-MAX('Activities'!K186,564))</x:f>
        <x:v>0</x:v>
      </x:c>
      <x:c r="CV186" s="22" t="n">
        <x:f>MAX(0,MIN('Activities'!L186,576)-MAX('Activities'!K186,570))</x:f>
        <x:v>0</x:v>
      </x:c>
      <x:c r="CW186" s="22" t="n">
        <x:f>MAX(0,MIN('Activities'!L186,582)-MAX('Activities'!K186,576))</x:f>
        <x:v>0</x:v>
      </x:c>
      <x:c r="CX186" s="22" t="n">
        <x:f>MAX(0,MIN('Activities'!L186,588)-MAX('Activities'!K186,582))</x:f>
        <x:v>0</x:v>
      </x:c>
      <x:c r="CY186" s="22" t="n">
        <x:f>MAX(0,MIN('Activities'!L186,594)-MAX('Activities'!K186,588))</x:f>
        <x:v>0</x:v>
      </x:c>
      <x:c r="CZ186" s="22" t="n">
        <x:f>MAX(0,MIN('Activities'!L186,600)-MAX('Activities'!K186,594))</x:f>
        <x:v>0</x:v>
      </x:c>
      <x:c r="DA186" s="22" t="n">
        <x:f>MAX(0,MIN('Activities'!L186,606)-MAX('Activities'!K186,600))</x:f>
        <x:v>0</x:v>
      </x:c>
      <x:c r="DB186" s="22" t="n">
        <x:f>MAX(0,MIN('Activities'!L186,612)-MAX('Activities'!K186,606))</x:f>
        <x:v>0</x:v>
      </x:c>
      <x:c r="DC186" s="22" t="n">
        <x:f>MAX(0,MIN('Activities'!L186,618)-MAX('Activities'!K186,612))</x:f>
        <x:v>0</x:v>
      </x:c>
      <x:c r="DD186" s="22" t="n">
        <x:f>MAX(0,MIN('Activities'!L186,624)-MAX('Activities'!K186,618))</x:f>
        <x:v>0</x:v>
      </x:c>
      <x:c r="DE186" s="22" t="n">
        <x:f>MAX(0,MIN('Activities'!L186,630)-MAX('Activities'!K186,624))</x:f>
        <x:v>0</x:v>
      </x:c>
      <x:c r="DF186" s="22" t="n">
        <x:f>MAX(0,MIN('Activities'!L186,636)-MAX('Activities'!K186,630))</x:f>
        <x:v>0</x:v>
      </x:c>
    </x:row>
    <x:row r="187" ht="23" customHeight="1">
      <x:c r="A187" s="1" t="str">
        <x:v>T2-L09-C</x:v>
      </x:c>
      <x:c r="B187" s="1" t="str">
        <x:v>T2</x:v>
      </x:c>
      <x:c r="C187" s="1" t="str">
        <x:v>Concrete placement and finishing</x:v>
      </x:c>
      <x:c r="D187" s="1" t="str">
        <x:v>Concrete</x:v>
      </x:c>
      <x:c r="E187" s="23" t="n">
        <x:f>MAX(0,MIN('Activities'!L187,6)-MAX('Activities'!K187,0))</x:f>
        <x:v>0</x:v>
      </x:c>
      <x:c r="F187" s="23" t="n">
        <x:f>MAX(0,MIN('Activities'!L187,12)-MAX('Activities'!K187,6))</x:f>
        <x:v>0</x:v>
      </x:c>
      <x:c r="G187" s="23" t="n">
        <x:f>MAX(0,MIN('Activities'!L187,18)-MAX('Activities'!K187,12))</x:f>
        <x:v>0</x:v>
      </x:c>
      <x:c r="H187" s="23" t="n">
        <x:f>MAX(0,MIN('Activities'!L187,24)-MAX('Activities'!K187,18))</x:f>
        <x:v>0</x:v>
      </x:c>
      <x:c r="I187" s="23" t="n">
        <x:f>MAX(0,MIN('Activities'!L187,30)-MAX('Activities'!K187,24))</x:f>
        <x:v>0</x:v>
      </x:c>
      <x:c r="J187" s="23" t="n">
        <x:f>MAX(0,MIN('Activities'!L187,36)-MAX('Activities'!K187,30))</x:f>
        <x:v>0</x:v>
      </x:c>
      <x:c r="K187" s="23" t="n">
        <x:f>MAX(0,MIN('Activities'!L187,42)-MAX('Activities'!K187,36))</x:f>
        <x:v>0</x:v>
      </x:c>
      <x:c r="L187" s="23" t="n">
        <x:f>MAX(0,MIN('Activities'!L187,48)-MAX('Activities'!K187,42))</x:f>
        <x:v>0</x:v>
      </x:c>
      <x:c r="M187" s="23" t="n">
        <x:f>MAX(0,MIN('Activities'!L187,54)-MAX('Activities'!K187,48))</x:f>
        <x:v>0</x:v>
      </x:c>
      <x:c r="N187" s="23" t="n">
        <x:f>MAX(0,MIN('Activities'!L187,60)-MAX('Activities'!K187,54))</x:f>
        <x:v>0</x:v>
      </x:c>
      <x:c r="O187" s="23" t="n">
        <x:f>MAX(0,MIN('Activities'!L187,66)-MAX('Activities'!K187,60))</x:f>
        <x:v>0</x:v>
      </x:c>
      <x:c r="P187" s="23" t="n">
        <x:f>MAX(0,MIN('Activities'!L187,72)-MAX('Activities'!K187,66))</x:f>
        <x:v>0</x:v>
      </x:c>
      <x:c r="Q187" s="23" t="n">
        <x:f>MAX(0,MIN('Activities'!L187,78)-MAX('Activities'!K187,72))</x:f>
        <x:v>0</x:v>
      </x:c>
      <x:c r="R187" s="23" t="n">
        <x:f>MAX(0,MIN('Activities'!L187,84)-MAX('Activities'!K187,78))</x:f>
        <x:v>0</x:v>
      </x:c>
      <x:c r="S187" s="23" t="n">
        <x:f>MAX(0,MIN('Activities'!L187,90)-MAX('Activities'!K187,84))</x:f>
        <x:v>0</x:v>
      </x:c>
      <x:c r="T187" s="23" t="n">
        <x:f>MAX(0,MIN('Activities'!L187,96)-MAX('Activities'!K187,90))</x:f>
        <x:v>0</x:v>
      </x:c>
      <x:c r="U187" s="23" t="n">
        <x:f>MAX(0,MIN('Activities'!L187,102)-MAX('Activities'!K187,96))</x:f>
        <x:v>0</x:v>
      </x:c>
      <x:c r="V187" s="23" t="n">
        <x:f>MAX(0,MIN('Activities'!L187,108)-MAX('Activities'!K187,102))</x:f>
        <x:v>0</x:v>
      </x:c>
      <x:c r="W187" s="23" t="n">
        <x:f>MAX(0,MIN('Activities'!L187,114)-MAX('Activities'!K187,108))</x:f>
        <x:v>0</x:v>
      </x:c>
      <x:c r="X187" s="23" t="n">
        <x:f>MAX(0,MIN('Activities'!L187,120)-MAX('Activities'!K187,114))</x:f>
        <x:v>0</x:v>
      </x:c>
      <x:c r="Y187" s="23" t="n">
        <x:f>MAX(0,MIN('Activities'!L187,126)-MAX('Activities'!K187,120))</x:f>
        <x:v>0</x:v>
      </x:c>
      <x:c r="Z187" s="23" t="n">
        <x:f>MAX(0,MIN('Activities'!L187,132)-MAX('Activities'!K187,126))</x:f>
        <x:v>0</x:v>
      </x:c>
      <x:c r="AA187" s="23" t="n">
        <x:f>MAX(0,MIN('Activities'!L187,138)-MAX('Activities'!K187,132))</x:f>
        <x:v>0</x:v>
      </x:c>
      <x:c r="AB187" s="23" t="n">
        <x:f>MAX(0,MIN('Activities'!L187,144)-MAX('Activities'!K187,138))</x:f>
        <x:v>0</x:v>
      </x:c>
      <x:c r="AC187" s="23" t="n">
        <x:f>MAX(0,MIN('Activities'!L187,150)-MAX('Activities'!K187,144))</x:f>
        <x:v>0</x:v>
      </x:c>
      <x:c r="AD187" s="23" t="n">
        <x:f>MAX(0,MIN('Activities'!L187,156)-MAX('Activities'!K187,150))</x:f>
        <x:v>0</x:v>
      </x:c>
      <x:c r="AE187" s="23" t="n">
        <x:f>MAX(0,MIN('Activities'!L187,162)-MAX('Activities'!K187,156))</x:f>
        <x:v>0</x:v>
      </x:c>
      <x:c r="AF187" s="23" t="n">
        <x:f>MAX(0,MIN('Activities'!L187,168)-MAX('Activities'!K187,162))</x:f>
        <x:v>0</x:v>
      </x:c>
      <x:c r="AG187" s="23" t="n">
        <x:f>MAX(0,MIN('Activities'!L187,174)-MAX('Activities'!K187,168))</x:f>
        <x:v>0</x:v>
      </x:c>
      <x:c r="AH187" s="23" t="n">
        <x:f>MAX(0,MIN('Activities'!L187,180)-MAX('Activities'!K187,174))</x:f>
        <x:v>0</x:v>
      </x:c>
      <x:c r="AI187" s="23" t="n">
        <x:f>MAX(0,MIN('Activities'!L187,186)-MAX('Activities'!K187,180))</x:f>
        <x:v>0</x:v>
      </x:c>
      <x:c r="AJ187" s="23" t="n">
        <x:f>MAX(0,MIN('Activities'!L187,192)-MAX('Activities'!K187,186))</x:f>
        <x:v>0</x:v>
      </x:c>
      <x:c r="AK187" s="23" t="n">
        <x:f>MAX(0,MIN('Activities'!L187,198)-MAX('Activities'!K187,192))</x:f>
        <x:v>0</x:v>
      </x:c>
      <x:c r="AL187" s="23" t="n">
        <x:f>MAX(0,MIN('Activities'!L187,204)-MAX('Activities'!K187,198))</x:f>
        <x:v>0</x:v>
      </x:c>
      <x:c r="AM187" s="23" t="n">
        <x:f>MAX(0,MIN('Activities'!L187,210)-MAX('Activities'!K187,204))</x:f>
        <x:v>0</x:v>
      </x:c>
      <x:c r="AN187" s="23" t="n">
        <x:f>MAX(0,MIN('Activities'!L187,216)-MAX('Activities'!K187,210))</x:f>
        <x:v>0</x:v>
      </x:c>
      <x:c r="AO187" s="23" t="n">
        <x:f>MAX(0,MIN('Activities'!L187,222)-MAX('Activities'!K187,216))</x:f>
        <x:v>0</x:v>
      </x:c>
      <x:c r="AP187" s="23" t="n">
        <x:f>MAX(0,MIN('Activities'!L187,228)-MAX('Activities'!K187,222))</x:f>
        <x:v>0</x:v>
      </x:c>
      <x:c r="AQ187" s="23" t="n">
        <x:f>MAX(0,MIN('Activities'!L187,234)-MAX('Activities'!K187,228))</x:f>
        <x:v>0</x:v>
      </x:c>
      <x:c r="AR187" s="23" t="n">
        <x:f>MAX(0,MIN('Activities'!L187,240)-MAX('Activities'!K187,234))</x:f>
        <x:v>0</x:v>
      </x:c>
      <x:c r="AS187" s="23" t="n">
        <x:f>MAX(0,MIN('Activities'!L187,246)-MAX('Activities'!K187,240))</x:f>
        <x:v>0</x:v>
      </x:c>
      <x:c r="AT187" s="23" t="n">
        <x:f>MAX(0,MIN('Activities'!L187,252)-MAX('Activities'!K187,246))</x:f>
        <x:v>0</x:v>
      </x:c>
      <x:c r="AU187" s="23" t="n">
        <x:f>MAX(0,MIN('Activities'!L187,258)-MAX('Activities'!K187,252))</x:f>
        <x:v>0</x:v>
      </x:c>
      <x:c r="AV187" s="23" t="n">
        <x:f>MAX(0,MIN('Activities'!L187,264)-MAX('Activities'!K187,258))</x:f>
        <x:v>0</x:v>
      </x:c>
      <x:c r="AW187" s="23" t="n">
        <x:f>MAX(0,MIN('Activities'!L187,270)-MAX('Activities'!K187,264))</x:f>
        <x:v>0</x:v>
      </x:c>
      <x:c r="AX187" s="23" t="n">
        <x:f>MAX(0,MIN('Activities'!L187,276)-MAX('Activities'!K187,270))</x:f>
        <x:v>0</x:v>
      </x:c>
      <x:c r="AY187" s="23" t="n">
        <x:f>MAX(0,MIN('Activities'!L187,282)-MAX('Activities'!K187,276))</x:f>
        <x:v>0</x:v>
      </x:c>
      <x:c r="AZ187" s="23" t="n">
        <x:f>MAX(0,MIN('Activities'!L187,288)-MAX('Activities'!K187,282))</x:f>
        <x:v>0</x:v>
      </x:c>
      <x:c r="BA187" s="23" t="n">
        <x:f>MAX(0,MIN('Activities'!L187,294)-MAX('Activities'!K187,288))</x:f>
        <x:v>0</x:v>
      </x:c>
      <x:c r="BB187" s="23" t="n">
        <x:f>MAX(0,MIN('Activities'!L187,300)-MAX('Activities'!K187,294))</x:f>
        <x:v>0</x:v>
      </x:c>
      <x:c r="BC187" s="23" t="n">
        <x:f>MAX(0,MIN('Activities'!L187,306)-MAX('Activities'!K187,300))</x:f>
        <x:v>0</x:v>
      </x:c>
      <x:c r="BD187" s="23" t="n">
        <x:f>MAX(0,MIN('Activities'!L187,312)-MAX('Activities'!K187,306))</x:f>
        <x:v>0</x:v>
      </x:c>
      <x:c r="BE187" s="23" t="n">
        <x:f>MAX(0,MIN('Activities'!L187,318)-MAX('Activities'!K187,312))</x:f>
        <x:v>0</x:v>
      </x:c>
      <x:c r="BF187" s="23" t="n">
        <x:f>MAX(0,MIN('Activities'!L187,324)-MAX('Activities'!K187,318))</x:f>
        <x:v>2</x:v>
      </x:c>
      <x:c r="BG187" s="23" t="n">
        <x:f>MAX(0,MIN('Activities'!L187,330)-MAX('Activities'!K187,324))</x:f>
        <x:v>0</x:v>
      </x:c>
      <x:c r="BH187" s="23" t="n">
        <x:f>MAX(0,MIN('Activities'!L187,336)-MAX('Activities'!K187,330))</x:f>
        <x:v>0</x:v>
      </x:c>
      <x:c r="BI187" s="23" t="n">
        <x:f>MAX(0,MIN('Activities'!L187,342)-MAX('Activities'!K187,336))</x:f>
        <x:v>0</x:v>
      </x:c>
      <x:c r="BJ187" s="23" t="n">
        <x:f>MAX(0,MIN('Activities'!L187,348)-MAX('Activities'!K187,342))</x:f>
        <x:v>0</x:v>
      </x:c>
      <x:c r="BK187" s="23" t="n">
        <x:f>MAX(0,MIN('Activities'!L187,354)-MAX('Activities'!K187,348))</x:f>
        <x:v>0</x:v>
      </x:c>
      <x:c r="BL187" s="23" t="n">
        <x:f>MAX(0,MIN('Activities'!L187,360)-MAX('Activities'!K187,354))</x:f>
        <x:v>0</x:v>
      </x:c>
      <x:c r="BM187" s="23" t="n">
        <x:f>MAX(0,MIN('Activities'!L187,366)-MAX('Activities'!K187,360))</x:f>
        <x:v>0</x:v>
      </x:c>
      <x:c r="BN187" s="23" t="n">
        <x:f>MAX(0,MIN('Activities'!L187,372)-MAX('Activities'!K187,366))</x:f>
        <x:v>0</x:v>
      </x:c>
      <x:c r="BO187" s="23" t="n">
        <x:f>MAX(0,MIN('Activities'!L187,378)-MAX('Activities'!K187,372))</x:f>
        <x:v>0</x:v>
      </x:c>
      <x:c r="BP187" s="23" t="n">
        <x:f>MAX(0,MIN('Activities'!L187,384)-MAX('Activities'!K187,378))</x:f>
        <x:v>0</x:v>
      </x:c>
      <x:c r="BQ187" s="23" t="n">
        <x:f>MAX(0,MIN('Activities'!L187,390)-MAX('Activities'!K187,384))</x:f>
        <x:v>0</x:v>
      </x:c>
      <x:c r="BR187" s="23" t="n">
        <x:f>MAX(0,MIN('Activities'!L187,396)-MAX('Activities'!K187,390))</x:f>
        <x:v>0</x:v>
      </x:c>
      <x:c r="BS187" s="23" t="n">
        <x:f>MAX(0,MIN('Activities'!L187,402)-MAX('Activities'!K187,396))</x:f>
        <x:v>0</x:v>
      </x:c>
      <x:c r="BT187" s="23" t="n">
        <x:f>MAX(0,MIN('Activities'!L187,408)-MAX('Activities'!K187,402))</x:f>
        <x:v>0</x:v>
      </x:c>
      <x:c r="BU187" s="23" t="n">
        <x:f>MAX(0,MIN('Activities'!L187,414)-MAX('Activities'!K187,408))</x:f>
        <x:v>0</x:v>
      </x:c>
      <x:c r="BV187" s="23" t="n">
        <x:f>MAX(0,MIN('Activities'!L187,420)-MAX('Activities'!K187,414))</x:f>
        <x:v>0</x:v>
      </x:c>
      <x:c r="BW187" s="23" t="n">
        <x:f>MAX(0,MIN('Activities'!L187,426)-MAX('Activities'!K187,420))</x:f>
        <x:v>0</x:v>
      </x:c>
      <x:c r="BX187" s="23" t="n">
        <x:f>MAX(0,MIN('Activities'!L187,432)-MAX('Activities'!K187,426))</x:f>
        <x:v>0</x:v>
      </x:c>
      <x:c r="BY187" s="23" t="n">
        <x:f>MAX(0,MIN('Activities'!L187,438)-MAX('Activities'!K187,432))</x:f>
        <x:v>0</x:v>
      </x:c>
      <x:c r="BZ187" s="23" t="n">
        <x:f>MAX(0,MIN('Activities'!L187,444)-MAX('Activities'!K187,438))</x:f>
        <x:v>0</x:v>
      </x:c>
      <x:c r="CA187" s="23" t="n">
        <x:f>MAX(0,MIN('Activities'!L187,450)-MAX('Activities'!K187,444))</x:f>
        <x:v>0</x:v>
      </x:c>
      <x:c r="CB187" s="23" t="n">
        <x:f>MAX(0,MIN('Activities'!L187,456)-MAX('Activities'!K187,450))</x:f>
        <x:v>0</x:v>
      </x:c>
      <x:c r="CC187" s="23" t="n">
        <x:f>MAX(0,MIN('Activities'!L187,462)-MAX('Activities'!K187,456))</x:f>
        <x:v>0</x:v>
      </x:c>
      <x:c r="CD187" s="23" t="n">
        <x:f>MAX(0,MIN('Activities'!L187,468)-MAX('Activities'!K187,462))</x:f>
        <x:v>0</x:v>
      </x:c>
      <x:c r="CE187" s="23" t="n">
        <x:f>MAX(0,MIN('Activities'!L187,474)-MAX('Activities'!K187,468))</x:f>
        <x:v>0</x:v>
      </x:c>
      <x:c r="CF187" s="23" t="n">
        <x:f>MAX(0,MIN('Activities'!L187,480)-MAX('Activities'!K187,474))</x:f>
        <x:v>0</x:v>
      </x:c>
      <x:c r="CG187" s="23" t="n">
        <x:f>MAX(0,MIN('Activities'!L187,486)-MAX('Activities'!K187,480))</x:f>
        <x:v>0</x:v>
      </x:c>
      <x:c r="CH187" s="23" t="n">
        <x:f>MAX(0,MIN('Activities'!L187,492)-MAX('Activities'!K187,486))</x:f>
        <x:v>0</x:v>
      </x:c>
      <x:c r="CI187" s="23" t="n">
        <x:f>MAX(0,MIN('Activities'!L187,498)-MAX('Activities'!K187,492))</x:f>
        <x:v>0</x:v>
      </x:c>
      <x:c r="CJ187" s="23" t="n">
        <x:f>MAX(0,MIN('Activities'!L187,504)-MAX('Activities'!K187,498))</x:f>
        <x:v>0</x:v>
      </x:c>
      <x:c r="CK187" s="23" t="n">
        <x:f>MAX(0,MIN('Activities'!L187,510)-MAX('Activities'!K187,504))</x:f>
        <x:v>0</x:v>
      </x:c>
      <x:c r="CL187" s="23" t="n">
        <x:f>MAX(0,MIN('Activities'!L187,516)-MAX('Activities'!K187,510))</x:f>
        <x:v>0</x:v>
      </x:c>
      <x:c r="CM187" s="23" t="n">
        <x:f>MAX(0,MIN('Activities'!L187,522)-MAX('Activities'!K187,516))</x:f>
        <x:v>0</x:v>
      </x:c>
      <x:c r="CN187" s="23" t="n">
        <x:f>MAX(0,MIN('Activities'!L187,528)-MAX('Activities'!K187,522))</x:f>
        <x:v>0</x:v>
      </x:c>
      <x:c r="CO187" s="23" t="n">
        <x:f>MAX(0,MIN('Activities'!L187,534)-MAX('Activities'!K187,528))</x:f>
        <x:v>0</x:v>
      </x:c>
      <x:c r="CP187" s="23" t="n">
        <x:f>MAX(0,MIN('Activities'!L187,540)-MAX('Activities'!K187,534))</x:f>
        <x:v>0</x:v>
      </x:c>
      <x:c r="CQ187" s="23" t="n">
        <x:f>MAX(0,MIN('Activities'!L187,546)-MAX('Activities'!K187,540))</x:f>
        <x:v>0</x:v>
      </x:c>
      <x:c r="CR187" s="23" t="n">
        <x:f>MAX(0,MIN('Activities'!L187,552)-MAX('Activities'!K187,546))</x:f>
        <x:v>0</x:v>
      </x:c>
      <x:c r="CS187" s="23" t="n">
        <x:f>MAX(0,MIN('Activities'!L187,558)-MAX('Activities'!K187,552))</x:f>
        <x:v>0</x:v>
      </x:c>
      <x:c r="CT187" s="23" t="n">
        <x:f>MAX(0,MIN('Activities'!L187,564)-MAX('Activities'!K187,558))</x:f>
        <x:v>0</x:v>
      </x:c>
      <x:c r="CU187" s="23" t="n">
        <x:f>MAX(0,MIN('Activities'!L187,570)-MAX('Activities'!K187,564))</x:f>
        <x:v>0</x:v>
      </x:c>
      <x:c r="CV187" s="23" t="n">
        <x:f>MAX(0,MIN('Activities'!L187,576)-MAX('Activities'!K187,570))</x:f>
        <x:v>0</x:v>
      </x:c>
      <x:c r="CW187" s="23" t="n">
        <x:f>MAX(0,MIN('Activities'!L187,582)-MAX('Activities'!K187,576))</x:f>
        <x:v>0</x:v>
      </x:c>
      <x:c r="CX187" s="23" t="n">
        <x:f>MAX(0,MIN('Activities'!L187,588)-MAX('Activities'!K187,582))</x:f>
        <x:v>0</x:v>
      </x:c>
      <x:c r="CY187" s="23" t="n">
        <x:f>MAX(0,MIN('Activities'!L187,594)-MAX('Activities'!K187,588))</x:f>
        <x:v>0</x:v>
      </x:c>
      <x:c r="CZ187" s="23" t="n">
        <x:f>MAX(0,MIN('Activities'!L187,600)-MAX('Activities'!K187,594))</x:f>
        <x:v>0</x:v>
      </x:c>
      <x:c r="DA187" s="23" t="n">
        <x:f>MAX(0,MIN('Activities'!L187,606)-MAX('Activities'!K187,600))</x:f>
        <x:v>0</x:v>
      </x:c>
      <x:c r="DB187" s="23" t="n">
        <x:f>MAX(0,MIN('Activities'!L187,612)-MAX('Activities'!K187,606))</x:f>
        <x:v>0</x:v>
      </x:c>
      <x:c r="DC187" s="23" t="n">
        <x:f>MAX(0,MIN('Activities'!L187,618)-MAX('Activities'!K187,612))</x:f>
        <x:v>0</x:v>
      </x:c>
      <x:c r="DD187" s="23" t="n">
        <x:f>MAX(0,MIN('Activities'!L187,624)-MAX('Activities'!K187,618))</x:f>
        <x:v>0</x:v>
      </x:c>
      <x:c r="DE187" s="23" t="n">
        <x:f>MAX(0,MIN('Activities'!L187,630)-MAX('Activities'!K187,624))</x:f>
        <x:v>0</x:v>
      </x:c>
      <x:c r="DF187" s="23" t="n">
        <x:f>MAX(0,MIN('Activities'!L187,636)-MAX('Activities'!K187,630))</x:f>
        <x:v>0</x:v>
      </x:c>
    </x:row>
    <x:row r="188" ht="23" customHeight="1">
      <x:c r="A188" s="6" t="str">
        <x:v>T2-L09-H</x:v>
      </x:c>
      <x:c r="B188" s="6" t="str">
        <x:v>T2</x:v>
      </x:c>
      <x:c r="C188" s="6" t="str">
        <x:v>Curing and release hold point</x:v>
      </x:c>
      <x:c r="D188" s="6" t="str">
        <x:v>Site</x:v>
      </x:c>
      <x:c r="E188" s="22" t="n">
        <x:f>MAX(0,MIN('Activities'!L188,6)-MAX('Activities'!K188,0))</x:f>
        <x:v>0</x:v>
      </x:c>
      <x:c r="F188" s="22" t="n">
        <x:f>MAX(0,MIN('Activities'!L188,12)-MAX('Activities'!K188,6))</x:f>
        <x:v>0</x:v>
      </x:c>
      <x:c r="G188" s="22" t="n">
        <x:f>MAX(0,MIN('Activities'!L188,18)-MAX('Activities'!K188,12))</x:f>
        <x:v>0</x:v>
      </x:c>
      <x:c r="H188" s="22" t="n">
        <x:f>MAX(0,MIN('Activities'!L188,24)-MAX('Activities'!K188,18))</x:f>
        <x:v>0</x:v>
      </x:c>
      <x:c r="I188" s="22" t="n">
        <x:f>MAX(0,MIN('Activities'!L188,30)-MAX('Activities'!K188,24))</x:f>
        <x:v>0</x:v>
      </x:c>
      <x:c r="J188" s="22" t="n">
        <x:f>MAX(0,MIN('Activities'!L188,36)-MAX('Activities'!K188,30))</x:f>
        <x:v>0</x:v>
      </x:c>
      <x:c r="K188" s="22" t="n">
        <x:f>MAX(0,MIN('Activities'!L188,42)-MAX('Activities'!K188,36))</x:f>
        <x:v>0</x:v>
      </x:c>
      <x:c r="L188" s="22" t="n">
        <x:f>MAX(0,MIN('Activities'!L188,48)-MAX('Activities'!K188,42))</x:f>
        <x:v>0</x:v>
      </x:c>
      <x:c r="M188" s="22" t="n">
        <x:f>MAX(0,MIN('Activities'!L188,54)-MAX('Activities'!K188,48))</x:f>
        <x:v>0</x:v>
      </x:c>
      <x:c r="N188" s="22" t="n">
        <x:f>MAX(0,MIN('Activities'!L188,60)-MAX('Activities'!K188,54))</x:f>
        <x:v>0</x:v>
      </x:c>
      <x:c r="O188" s="22" t="n">
        <x:f>MAX(0,MIN('Activities'!L188,66)-MAX('Activities'!K188,60))</x:f>
        <x:v>0</x:v>
      </x:c>
      <x:c r="P188" s="22" t="n">
        <x:f>MAX(0,MIN('Activities'!L188,72)-MAX('Activities'!K188,66))</x:f>
        <x:v>0</x:v>
      </x:c>
      <x:c r="Q188" s="22" t="n">
        <x:f>MAX(0,MIN('Activities'!L188,78)-MAX('Activities'!K188,72))</x:f>
        <x:v>0</x:v>
      </x:c>
      <x:c r="R188" s="22" t="n">
        <x:f>MAX(0,MIN('Activities'!L188,84)-MAX('Activities'!K188,78))</x:f>
        <x:v>0</x:v>
      </x:c>
      <x:c r="S188" s="22" t="n">
        <x:f>MAX(0,MIN('Activities'!L188,90)-MAX('Activities'!K188,84))</x:f>
        <x:v>0</x:v>
      </x:c>
      <x:c r="T188" s="22" t="n">
        <x:f>MAX(0,MIN('Activities'!L188,96)-MAX('Activities'!K188,90))</x:f>
        <x:v>0</x:v>
      </x:c>
      <x:c r="U188" s="22" t="n">
        <x:f>MAX(0,MIN('Activities'!L188,102)-MAX('Activities'!K188,96))</x:f>
        <x:v>0</x:v>
      </x:c>
      <x:c r="V188" s="22" t="n">
        <x:f>MAX(0,MIN('Activities'!L188,108)-MAX('Activities'!K188,102))</x:f>
        <x:v>0</x:v>
      </x:c>
      <x:c r="W188" s="22" t="n">
        <x:f>MAX(0,MIN('Activities'!L188,114)-MAX('Activities'!K188,108))</x:f>
        <x:v>0</x:v>
      </x:c>
      <x:c r="X188" s="22" t="n">
        <x:f>MAX(0,MIN('Activities'!L188,120)-MAX('Activities'!K188,114))</x:f>
        <x:v>0</x:v>
      </x:c>
      <x:c r="Y188" s="22" t="n">
        <x:f>MAX(0,MIN('Activities'!L188,126)-MAX('Activities'!K188,120))</x:f>
        <x:v>0</x:v>
      </x:c>
      <x:c r="Z188" s="22" t="n">
        <x:f>MAX(0,MIN('Activities'!L188,132)-MAX('Activities'!K188,126))</x:f>
        <x:v>0</x:v>
      </x:c>
      <x:c r="AA188" s="22" t="n">
        <x:f>MAX(0,MIN('Activities'!L188,138)-MAX('Activities'!K188,132))</x:f>
        <x:v>0</x:v>
      </x:c>
      <x:c r="AB188" s="22" t="n">
        <x:f>MAX(0,MIN('Activities'!L188,144)-MAX('Activities'!K188,138))</x:f>
        <x:v>0</x:v>
      </x:c>
      <x:c r="AC188" s="22" t="n">
        <x:f>MAX(0,MIN('Activities'!L188,150)-MAX('Activities'!K188,144))</x:f>
        <x:v>0</x:v>
      </x:c>
      <x:c r="AD188" s="22" t="n">
        <x:f>MAX(0,MIN('Activities'!L188,156)-MAX('Activities'!K188,150))</x:f>
        <x:v>0</x:v>
      </x:c>
      <x:c r="AE188" s="22" t="n">
        <x:f>MAX(0,MIN('Activities'!L188,162)-MAX('Activities'!K188,156))</x:f>
        <x:v>0</x:v>
      </x:c>
      <x:c r="AF188" s="22" t="n">
        <x:f>MAX(0,MIN('Activities'!L188,168)-MAX('Activities'!K188,162))</x:f>
        <x:v>0</x:v>
      </x:c>
      <x:c r="AG188" s="22" t="n">
        <x:f>MAX(0,MIN('Activities'!L188,174)-MAX('Activities'!K188,168))</x:f>
        <x:v>0</x:v>
      </x:c>
      <x:c r="AH188" s="22" t="n">
        <x:f>MAX(0,MIN('Activities'!L188,180)-MAX('Activities'!K188,174))</x:f>
        <x:v>0</x:v>
      </x:c>
      <x:c r="AI188" s="22" t="n">
        <x:f>MAX(0,MIN('Activities'!L188,186)-MAX('Activities'!K188,180))</x:f>
        <x:v>0</x:v>
      </x:c>
      <x:c r="AJ188" s="22" t="n">
        <x:f>MAX(0,MIN('Activities'!L188,192)-MAX('Activities'!K188,186))</x:f>
        <x:v>0</x:v>
      </x:c>
      <x:c r="AK188" s="22" t="n">
        <x:f>MAX(0,MIN('Activities'!L188,198)-MAX('Activities'!K188,192))</x:f>
        <x:v>0</x:v>
      </x:c>
      <x:c r="AL188" s="22" t="n">
        <x:f>MAX(0,MIN('Activities'!L188,204)-MAX('Activities'!K188,198))</x:f>
        <x:v>0</x:v>
      </x:c>
      <x:c r="AM188" s="22" t="n">
        <x:f>MAX(0,MIN('Activities'!L188,210)-MAX('Activities'!K188,204))</x:f>
        <x:v>0</x:v>
      </x:c>
      <x:c r="AN188" s="22" t="n">
        <x:f>MAX(0,MIN('Activities'!L188,216)-MAX('Activities'!K188,210))</x:f>
        <x:v>0</x:v>
      </x:c>
      <x:c r="AO188" s="22" t="n">
        <x:f>MAX(0,MIN('Activities'!L188,222)-MAX('Activities'!K188,216))</x:f>
        <x:v>0</x:v>
      </x:c>
      <x:c r="AP188" s="22" t="n">
        <x:f>MAX(0,MIN('Activities'!L188,228)-MAX('Activities'!K188,222))</x:f>
        <x:v>0</x:v>
      </x:c>
      <x:c r="AQ188" s="22" t="n">
        <x:f>MAX(0,MIN('Activities'!L188,234)-MAX('Activities'!K188,228))</x:f>
        <x:v>0</x:v>
      </x:c>
      <x:c r="AR188" s="22" t="n">
        <x:f>MAX(0,MIN('Activities'!L188,240)-MAX('Activities'!K188,234))</x:f>
        <x:v>0</x:v>
      </x:c>
      <x:c r="AS188" s="22" t="n">
        <x:f>MAX(0,MIN('Activities'!L188,246)-MAX('Activities'!K188,240))</x:f>
        <x:v>0</x:v>
      </x:c>
      <x:c r="AT188" s="22" t="n">
        <x:f>MAX(0,MIN('Activities'!L188,252)-MAX('Activities'!K188,246))</x:f>
        <x:v>0</x:v>
      </x:c>
      <x:c r="AU188" s="22" t="n">
        <x:f>MAX(0,MIN('Activities'!L188,258)-MAX('Activities'!K188,252))</x:f>
        <x:v>0</x:v>
      </x:c>
      <x:c r="AV188" s="22" t="n">
        <x:f>MAX(0,MIN('Activities'!L188,264)-MAX('Activities'!K188,258))</x:f>
        <x:v>0</x:v>
      </x:c>
      <x:c r="AW188" s="22" t="n">
        <x:f>MAX(0,MIN('Activities'!L188,270)-MAX('Activities'!K188,264))</x:f>
        <x:v>0</x:v>
      </x:c>
      <x:c r="AX188" s="22" t="n">
        <x:f>MAX(0,MIN('Activities'!L188,276)-MAX('Activities'!K188,270))</x:f>
        <x:v>0</x:v>
      </x:c>
      <x:c r="AY188" s="22" t="n">
        <x:f>MAX(0,MIN('Activities'!L188,282)-MAX('Activities'!K188,276))</x:f>
        <x:v>0</x:v>
      </x:c>
      <x:c r="AZ188" s="22" t="n">
        <x:f>MAX(0,MIN('Activities'!L188,288)-MAX('Activities'!K188,282))</x:f>
        <x:v>0</x:v>
      </x:c>
      <x:c r="BA188" s="22" t="n">
        <x:f>MAX(0,MIN('Activities'!L188,294)-MAX('Activities'!K188,288))</x:f>
        <x:v>0</x:v>
      </x:c>
      <x:c r="BB188" s="22" t="n">
        <x:f>MAX(0,MIN('Activities'!L188,300)-MAX('Activities'!K188,294))</x:f>
        <x:v>0</x:v>
      </x:c>
      <x:c r="BC188" s="22" t="n">
        <x:f>MAX(0,MIN('Activities'!L188,306)-MAX('Activities'!K188,300))</x:f>
        <x:v>0</x:v>
      </x:c>
      <x:c r="BD188" s="22" t="n">
        <x:f>MAX(0,MIN('Activities'!L188,312)-MAX('Activities'!K188,306))</x:f>
        <x:v>0</x:v>
      </x:c>
      <x:c r="BE188" s="22" t="n">
        <x:f>MAX(0,MIN('Activities'!L188,318)-MAX('Activities'!K188,312))</x:f>
        <x:v>0</x:v>
      </x:c>
      <x:c r="BF188" s="22" t="n">
        <x:f>MAX(0,MIN('Activities'!L188,324)-MAX('Activities'!K188,318))</x:f>
        <x:v>3</x:v>
      </x:c>
      <x:c r="BG188" s="22" t="n">
        <x:f>MAX(0,MIN('Activities'!L188,330)-MAX('Activities'!K188,324))</x:f>
        <x:v>2</x:v>
      </x:c>
      <x:c r="BH188" s="22" t="n">
        <x:f>MAX(0,MIN('Activities'!L188,336)-MAX('Activities'!K188,330))</x:f>
        <x:v>0</x:v>
      </x:c>
      <x:c r="BI188" s="22" t="n">
        <x:f>MAX(0,MIN('Activities'!L188,342)-MAX('Activities'!K188,336))</x:f>
        <x:v>0</x:v>
      </x:c>
      <x:c r="BJ188" s="22" t="n">
        <x:f>MAX(0,MIN('Activities'!L188,348)-MAX('Activities'!K188,342))</x:f>
        <x:v>0</x:v>
      </x:c>
      <x:c r="BK188" s="22" t="n">
        <x:f>MAX(0,MIN('Activities'!L188,354)-MAX('Activities'!K188,348))</x:f>
        <x:v>0</x:v>
      </x:c>
      <x:c r="BL188" s="22" t="n">
        <x:f>MAX(0,MIN('Activities'!L188,360)-MAX('Activities'!K188,354))</x:f>
        <x:v>0</x:v>
      </x:c>
      <x:c r="BM188" s="22" t="n">
        <x:f>MAX(0,MIN('Activities'!L188,366)-MAX('Activities'!K188,360))</x:f>
        <x:v>0</x:v>
      </x:c>
      <x:c r="BN188" s="22" t="n">
        <x:f>MAX(0,MIN('Activities'!L188,372)-MAX('Activities'!K188,366))</x:f>
        <x:v>0</x:v>
      </x:c>
      <x:c r="BO188" s="22" t="n">
        <x:f>MAX(0,MIN('Activities'!L188,378)-MAX('Activities'!K188,372))</x:f>
        <x:v>0</x:v>
      </x:c>
      <x:c r="BP188" s="22" t="n">
        <x:f>MAX(0,MIN('Activities'!L188,384)-MAX('Activities'!K188,378))</x:f>
        <x:v>0</x:v>
      </x:c>
      <x:c r="BQ188" s="22" t="n">
        <x:f>MAX(0,MIN('Activities'!L188,390)-MAX('Activities'!K188,384))</x:f>
        <x:v>0</x:v>
      </x:c>
      <x:c r="BR188" s="22" t="n">
        <x:f>MAX(0,MIN('Activities'!L188,396)-MAX('Activities'!K188,390))</x:f>
        <x:v>0</x:v>
      </x:c>
      <x:c r="BS188" s="22" t="n">
        <x:f>MAX(0,MIN('Activities'!L188,402)-MAX('Activities'!K188,396))</x:f>
        <x:v>0</x:v>
      </x:c>
      <x:c r="BT188" s="22" t="n">
        <x:f>MAX(0,MIN('Activities'!L188,408)-MAX('Activities'!K188,402))</x:f>
        <x:v>0</x:v>
      </x:c>
      <x:c r="BU188" s="22" t="n">
        <x:f>MAX(0,MIN('Activities'!L188,414)-MAX('Activities'!K188,408))</x:f>
        <x:v>0</x:v>
      </x:c>
      <x:c r="BV188" s="22" t="n">
        <x:f>MAX(0,MIN('Activities'!L188,420)-MAX('Activities'!K188,414))</x:f>
        <x:v>0</x:v>
      </x:c>
      <x:c r="BW188" s="22" t="n">
        <x:f>MAX(0,MIN('Activities'!L188,426)-MAX('Activities'!K188,420))</x:f>
        <x:v>0</x:v>
      </x:c>
      <x:c r="BX188" s="22" t="n">
        <x:f>MAX(0,MIN('Activities'!L188,432)-MAX('Activities'!K188,426))</x:f>
        <x:v>0</x:v>
      </x:c>
      <x:c r="BY188" s="22" t="n">
        <x:f>MAX(0,MIN('Activities'!L188,438)-MAX('Activities'!K188,432))</x:f>
        <x:v>0</x:v>
      </x:c>
      <x:c r="BZ188" s="22" t="n">
        <x:f>MAX(0,MIN('Activities'!L188,444)-MAX('Activities'!K188,438))</x:f>
        <x:v>0</x:v>
      </x:c>
      <x:c r="CA188" s="22" t="n">
        <x:f>MAX(0,MIN('Activities'!L188,450)-MAX('Activities'!K188,444))</x:f>
        <x:v>0</x:v>
      </x:c>
      <x:c r="CB188" s="22" t="n">
        <x:f>MAX(0,MIN('Activities'!L188,456)-MAX('Activities'!K188,450))</x:f>
        <x:v>0</x:v>
      </x:c>
      <x:c r="CC188" s="22" t="n">
        <x:f>MAX(0,MIN('Activities'!L188,462)-MAX('Activities'!K188,456))</x:f>
        <x:v>0</x:v>
      </x:c>
      <x:c r="CD188" s="22" t="n">
        <x:f>MAX(0,MIN('Activities'!L188,468)-MAX('Activities'!K188,462))</x:f>
        <x:v>0</x:v>
      </x:c>
      <x:c r="CE188" s="22" t="n">
        <x:f>MAX(0,MIN('Activities'!L188,474)-MAX('Activities'!K188,468))</x:f>
        <x:v>0</x:v>
      </x:c>
      <x:c r="CF188" s="22" t="n">
        <x:f>MAX(0,MIN('Activities'!L188,480)-MAX('Activities'!K188,474))</x:f>
        <x:v>0</x:v>
      </x:c>
      <x:c r="CG188" s="22" t="n">
        <x:f>MAX(0,MIN('Activities'!L188,486)-MAX('Activities'!K188,480))</x:f>
        <x:v>0</x:v>
      </x:c>
      <x:c r="CH188" s="22" t="n">
        <x:f>MAX(0,MIN('Activities'!L188,492)-MAX('Activities'!K188,486))</x:f>
        <x:v>0</x:v>
      </x:c>
      <x:c r="CI188" s="22" t="n">
        <x:f>MAX(0,MIN('Activities'!L188,498)-MAX('Activities'!K188,492))</x:f>
        <x:v>0</x:v>
      </x:c>
      <x:c r="CJ188" s="22" t="n">
        <x:f>MAX(0,MIN('Activities'!L188,504)-MAX('Activities'!K188,498))</x:f>
        <x:v>0</x:v>
      </x:c>
      <x:c r="CK188" s="22" t="n">
        <x:f>MAX(0,MIN('Activities'!L188,510)-MAX('Activities'!K188,504))</x:f>
        <x:v>0</x:v>
      </x:c>
      <x:c r="CL188" s="22" t="n">
        <x:f>MAX(0,MIN('Activities'!L188,516)-MAX('Activities'!K188,510))</x:f>
        <x:v>0</x:v>
      </x:c>
      <x:c r="CM188" s="22" t="n">
        <x:f>MAX(0,MIN('Activities'!L188,522)-MAX('Activities'!K188,516))</x:f>
        <x:v>0</x:v>
      </x:c>
      <x:c r="CN188" s="22" t="n">
        <x:f>MAX(0,MIN('Activities'!L188,528)-MAX('Activities'!K188,522))</x:f>
        <x:v>0</x:v>
      </x:c>
      <x:c r="CO188" s="22" t="n">
        <x:f>MAX(0,MIN('Activities'!L188,534)-MAX('Activities'!K188,528))</x:f>
        <x:v>0</x:v>
      </x:c>
      <x:c r="CP188" s="22" t="n">
        <x:f>MAX(0,MIN('Activities'!L188,540)-MAX('Activities'!K188,534))</x:f>
        <x:v>0</x:v>
      </x:c>
      <x:c r="CQ188" s="22" t="n">
        <x:f>MAX(0,MIN('Activities'!L188,546)-MAX('Activities'!K188,540))</x:f>
        <x:v>0</x:v>
      </x:c>
      <x:c r="CR188" s="22" t="n">
        <x:f>MAX(0,MIN('Activities'!L188,552)-MAX('Activities'!K188,546))</x:f>
        <x:v>0</x:v>
      </x:c>
      <x:c r="CS188" s="22" t="n">
        <x:f>MAX(0,MIN('Activities'!L188,558)-MAX('Activities'!K188,552))</x:f>
        <x:v>0</x:v>
      </x:c>
      <x:c r="CT188" s="22" t="n">
        <x:f>MAX(0,MIN('Activities'!L188,564)-MAX('Activities'!K188,558))</x:f>
        <x:v>0</x:v>
      </x:c>
      <x:c r="CU188" s="22" t="n">
        <x:f>MAX(0,MIN('Activities'!L188,570)-MAX('Activities'!K188,564))</x:f>
        <x:v>0</x:v>
      </x:c>
      <x:c r="CV188" s="22" t="n">
        <x:f>MAX(0,MIN('Activities'!L188,576)-MAX('Activities'!K188,570))</x:f>
        <x:v>0</x:v>
      </x:c>
      <x:c r="CW188" s="22" t="n">
        <x:f>MAX(0,MIN('Activities'!L188,582)-MAX('Activities'!K188,576))</x:f>
        <x:v>0</x:v>
      </x:c>
      <x:c r="CX188" s="22" t="n">
        <x:f>MAX(0,MIN('Activities'!L188,588)-MAX('Activities'!K188,582))</x:f>
        <x:v>0</x:v>
      </x:c>
      <x:c r="CY188" s="22" t="n">
        <x:f>MAX(0,MIN('Activities'!L188,594)-MAX('Activities'!K188,588))</x:f>
        <x:v>0</x:v>
      </x:c>
      <x:c r="CZ188" s="22" t="n">
        <x:f>MAX(0,MIN('Activities'!L188,600)-MAX('Activities'!K188,594))</x:f>
        <x:v>0</x:v>
      </x:c>
      <x:c r="DA188" s="22" t="n">
        <x:f>MAX(0,MIN('Activities'!L188,606)-MAX('Activities'!K188,600))</x:f>
        <x:v>0</x:v>
      </x:c>
      <x:c r="DB188" s="22" t="n">
        <x:f>MAX(0,MIN('Activities'!L188,612)-MAX('Activities'!K188,606))</x:f>
        <x:v>0</x:v>
      </x:c>
      <x:c r="DC188" s="22" t="n">
        <x:f>MAX(0,MIN('Activities'!L188,618)-MAX('Activities'!K188,612))</x:f>
        <x:v>0</x:v>
      </x:c>
      <x:c r="DD188" s="22" t="n">
        <x:f>MAX(0,MIN('Activities'!L188,624)-MAX('Activities'!K188,618))</x:f>
        <x:v>0</x:v>
      </x:c>
      <x:c r="DE188" s="22" t="n">
        <x:f>MAX(0,MIN('Activities'!L188,630)-MAX('Activities'!K188,624))</x:f>
        <x:v>0</x:v>
      </x:c>
      <x:c r="DF188" s="22" t="n">
        <x:f>MAX(0,MIN('Activities'!L188,636)-MAX('Activities'!K188,630))</x:f>
        <x:v>0</x:v>
      </x:c>
    </x:row>
    <x:row r="189" ht="23" customHeight="1">
      <x:c r="A189" s="1" t="str">
        <x:v>T2-L10-F</x:v>
      </x:c>
      <x:c r="B189" s="1" t="str">
        <x:v>T2</x:v>
      </x:c>
      <x:c r="C189" s="1" t="str">
        <x:v>Columns, core and deck formwork</x:v>
      </x:c>
      <x:c r="D189" s="1" t="str">
        <x:v>Formwork</x:v>
      </x:c>
      <x:c r="E189" s="23" t="n">
        <x:f>MAX(0,MIN('Activities'!L189,6)-MAX('Activities'!K189,0))</x:f>
        <x:v>0</x:v>
      </x:c>
      <x:c r="F189" s="23" t="n">
        <x:f>MAX(0,MIN('Activities'!L189,12)-MAX('Activities'!K189,6))</x:f>
        <x:v>0</x:v>
      </x:c>
      <x:c r="G189" s="23" t="n">
        <x:f>MAX(0,MIN('Activities'!L189,18)-MAX('Activities'!K189,12))</x:f>
        <x:v>0</x:v>
      </x:c>
      <x:c r="H189" s="23" t="n">
        <x:f>MAX(0,MIN('Activities'!L189,24)-MAX('Activities'!K189,18))</x:f>
        <x:v>0</x:v>
      </x:c>
      <x:c r="I189" s="23" t="n">
        <x:f>MAX(0,MIN('Activities'!L189,30)-MAX('Activities'!K189,24))</x:f>
        <x:v>0</x:v>
      </x:c>
      <x:c r="J189" s="23" t="n">
        <x:f>MAX(0,MIN('Activities'!L189,36)-MAX('Activities'!K189,30))</x:f>
        <x:v>0</x:v>
      </x:c>
      <x:c r="K189" s="23" t="n">
        <x:f>MAX(0,MIN('Activities'!L189,42)-MAX('Activities'!K189,36))</x:f>
        <x:v>0</x:v>
      </x:c>
      <x:c r="L189" s="23" t="n">
        <x:f>MAX(0,MIN('Activities'!L189,48)-MAX('Activities'!K189,42))</x:f>
        <x:v>0</x:v>
      </x:c>
      <x:c r="M189" s="23" t="n">
        <x:f>MAX(0,MIN('Activities'!L189,54)-MAX('Activities'!K189,48))</x:f>
        <x:v>0</x:v>
      </x:c>
      <x:c r="N189" s="23" t="n">
        <x:f>MAX(0,MIN('Activities'!L189,60)-MAX('Activities'!K189,54))</x:f>
        <x:v>0</x:v>
      </x:c>
      <x:c r="O189" s="23" t="n">
        <x:f>MAX(0,MIN('Activities'!L189,66)-MAX('Activities'!K189,60))</x:f>
        <x:v>0</x:v>
      </x:c>
      <x:c r="P189" s="23" t="n">
        <x:f>MAX(0,MIN('Activities'!L189,72)-MAX('Activities'!K189,66))</x:f>
        <x:v>0</x:v>
      </x:c>
      <x:c r="Q189" s="23" t="n">
        <x:f>MAX(0,MIN('Activities'!L189,78)-MAX('Activities'!K189,72))</x:f>
        <x:v>0</x:v>
      </x:c>
      <x:c r="R189" s="23" t="n">
        <x:f>MAX(0,MIN('Activities'!L189,84)-MAX('Activities'!K189,78))</x:f>
        <x:v>0</x:v>
      </x:c>
      <x:c r="S189" s="23" t="n">
        <x:f>MAX(0,MIN('Activities'!L189,90)-MAX('Activities'!K189,84))</x:f>
        <x:v>0</x:v>
      </x:c>
      <x:c r="T189" s="23" t="n">
        <x:f>MAX(0,MIN('Activities'!L189,96)-MAX('Activities'!K189,90))</x:f>
        <x:v>0</x:v>
      </x:c>
      <x:c r="U189" s="23" t="n">
        <x:f>MAX(0,MIN('Activities'!L189,102)-MAX('Activities'!K189,96))</x:f>
        <x:v>0</x:v>
      </x:c>
      <x:c r="V189" s="23" t="n">
        <x:f>MAX(0,MIN('Activities'!L189,108)-MAX('Activities'!K189,102))</x:f>
        <x:v>0</x:v>
      </x:c>
      <x:c r="W189" s="23" t="n">
        <x:f>MAX(0,MIN('Activities'!L189,114)-MAX('Activities'!K189,108))</x:f>
        <x:v>0</x:v>
      </x:c>
      <x:c r="X189" s="23" t="n">
        <x:f>MAX(0,MIN('Activities'!L189,120)-MAX('Activities'!K189,114))</x:f>
        <x:v>0</x:v>
      </x:c>
      <x:c r="Y189" s="23" t="n">
        <x:f>MAX(0,MIN('Activities'!L189,126)-MAX('Activities'!K189,120))</x:f>
        <x:v>0</x:v>
      </x:c>
      <x:c r="Z189" s="23" t="n">
        <x:f>MAX(0,MIN('Activities'!L189,132)-MAX('Activities'!K189,126))</x:f>
        <x:v>0</x:v>
      </x:c>
      <x:c r="AA189" s="23" t="n">
        <x:f>MAX(0,MIN('Activities'!L189,138)-MAX('Activities'!K189,132))</x:f>
        <x:v>0</x:v>
      </x:c>
      <x:c r="AB189" s="23" t="n">
        <x:f>MAX(0,MIN('Activities'!L189,144)-MAX('Activities'!K189,138))</x:f>
        <x:v>0</x:v>
      </x:c>
      <x:c r="AC189" s="23" t="n">
        <x:f>MAX(0,MIN('Activities'!L189,150)-MAX('Activities'!K189,144))</x:f>
        <x:v>0</x:v>
      </x:c>
      <x:c r="AD189" s="23" t="n">
        <x:f>MAX(0,MIN('Activities'!L189,156)-MAX('Activities'!K189,150))</x:f>
        <x:v>0</x:v>
      </x:c>
      <x:c r="AE189" s="23" t="n">
        <x:f>MAX(0,MIN('Activities'!L189,162)-MAX('Activities'!K189,156))</x:f>
        <x:v>0</x:v>
      </x:c>
      <x:c r="AF189" s="23" t="n">
        <x:f>MAX(0,MIN('Activities'!L189,168)-MAX('Activities'!K189,162))</x:f>
        <x:v>0</x:v>
      </x:c>
      <x:c r="AG189" s="23" t="n">
        <x:f>MAX(0,MIN('Activities'!L189,174)-MAX('Activities'!K189,168))</x:f>
        <x:v>0</x:v>
      </x:c>
      <x:c r="AH189" s="23" t="n">
        <x:f>MAX(0,MIN('Activities'!L189,180)-MAX('Activities'!K189,174))</x:f>
        <x:v>0</x:v>
      </x:c>
      <x:c r="AI189" s="23" t="n">
        <x:f>MAX(0,MIN('Activities'!L189,186)-MAX('Activities'!K189,180))</x:f>
        <x:v>0</x:v>
      </x:c>
      <x:c r="AJ189" s="23" t="n">
        <x:f>MAX(0,MIN('Activities'!L189,192)-MAX('Activities'!K189,186))</x:f>
        <x:v>0</x:v>
      </x:c>
      <x:c r="AK189" s="23" t="n">
        <x:f>MAX(0,MIN('Activities'!L189,198)-MAX('Activities'!K189,192))</x:f>
        <x:v>0</x:v>
      </x:c>
      <x:c r="AL189" s="23" t="n">
        <x:f>MAX(0,MIN('Activities'!L189,204)-MAX('Activities'!K189,198))</x:f>
        <x:v>0</x:v>
      </x:c>
      <x:c r="AM189" s="23" t="n">
        <x:f>MAX(0,MIN('Activities'!L189,210)-MAX('Activities'!K189,204))</x:f>
        <x:v>0</x:v>
      </x:c>
      <x:c r="AN189" s="23" t="n">
        <x:f>MAX(0,MIN('Activities'!L189,216)-MAX('Activities'!K189,210))</x:f>
        <x:v>0</x:v>
      </x:c>
      <x:c r="AO189" s="23" t="n">
        <x:f>MAX(0,MIN('Activities'!L189,222)-MAX('Activities'!K189,216))</x:f>
        <x:v>0</x:v>
      </x:c>
      <x:c r="AP189" s="23" t="n">
        <x:f>MAX(0,MIN('Activities'!L189,228)-MAX('Activities'!K189,222))</x:f>
        <x:v>0</x:v>
      </x:c>
      <x:c r="AQ189" s="23" t="n">
        <x:f>MAX(0,MIN('Activities'!L189,234)-MAX('Activities'!K189,228))</x:f>
        <x:v>0</x:v>
      </x:c>
      <x:c r="AR189" s="23" t="n">
        <x:f>MAX(0,MIN('Activities'!L189,240)-MAX('Activities'!K189,234))</x:f>
        <x:v>0</x:v>
      </x:c>
      <x:c r="AS189" s="23" t="n">
        <x:f>MAX(0,MIN('Activities'!L189,246)-MAX('Activities'!K189,240))</x:f>
        <x:v>0</x:v>
      </x:c>
      <x:c r="AT189" s="23" t="n">
        <x:f>MAX(0,MIN('Activities'!L189,252)-MAX('Activities'!K189,246))</x:f>
        <x:v>0</x:v>
      </x:c>
      <x:c r="AU189" s="23" t="n">
        <x:f>MAX(0,MIN('Activities'!L189,258)-MAX('Activities'!K189,252))</x:f>
        <x:v>0</x:v>
      </x:c>
      <x:c r="AV189" s="23" t="n">
        <x:f>MAX(0,MIN('Activities'!L189,264)-MAX('Activities'!K189,258))</x:f>
        <x:v>0</x:v>
      </x:c>
      <x:c r="AW189" s="23" t="n">
        <x:f>MAX(0,MIN('Activities'!L189,270)-MAX('Activities'!K189,264))</x:f>
        <x:v>0</x:v>
      </x:c>
      <x:c r="AX189" s="23" t="n">
        <x:f>MAX(0,MIN('Activities'!L189,276)-MAX('Activities'!K189,270))</x:f>
        <x:v>0</x:v>
      </x:c>
      <x:c r="AY189" s="23" t="n">
        <x:f>MAX(0,MIN('Activities'!L189,282)-MAX('Activities'!K189,276))</x:f>
        <x:v>0</x:v>
      </x:c>
      <x:c r="AZ189" s="23" t="n">
        <x:f>MAX(0,MIN('Activities'!L189,288)-MAX('Activities'!K189,282))</x:f>
        <x:v>0</x:v>
      </x:c>
      <x:c r="BA189" s="23" t="n">
        <x:f>MAX(0,MIN('Activities'!L189,294)-MAX('Activities'!K189,288))</x:f>
        <x:v>0</x:v>
      </x:c>
      <x:c r="BB189" s="23" t="n">
        <x:f>MAX(0,MIN('Activities'!L189,300)-MAX('Activities'!K189,294))</x:f>
        <x:v>0</x:v>
      </x:c>
      <x:c r="BC189" s="23" t="n">
        <x:f>MAX(0,MIN('Activities'!L189,306)-MAX('Activities'!K189,300))</x:f>
        <x:v>0</x:v>
      </x:c>
      <x:c r="BD189" s="23" t="n">
        <x:f>MAX(0,MIN('Activities'!L189,312)-MAX('Activities'!K189,306))</x:f>
        <x:v>0</x:v>
      </x:c>
      <x:c r="BE189" s="23" t="n">
        <x:f>MAX(0,MIN('Activities'!L189,318)-MAX('Activities'!K189,312))</x:f>
        <x:v>0</x:v>
      </x:c>
      <x:c r="BF189" s="23" t="n">
        <x:f>MAX(0,MIN('Activities'!L189,324)-MAX('Activities'!K189,318))</x:f>
        <x:v>0</x:v>
      </x:c>
      <x:c r="BG189" s="23" t="n">
        <x:f>MAX(0,MIN('Activities'!L189,330)-MAX('Activities'!K189,324))</x:f>
        <x:v>4</x:v>
      </x:c>
      <x:c r="BH189" s="23" t="n">
        <x:f>MAX(0,MIN('Activities'!L189,336)-MAX('Activities'!K189,330))</x:f>
        <x:v>2</x:v>
      </x:c>
      <x:c r="BI189" s="23" t="n">
        <x:f>MAX(0,MIN('Activities'!L189,342)-MAX('Activities'!K189,336))</x:f>
        <x:v>0</x:v>
      </x:c>
      <x:c r="BJ189" s="23" t="n">
        <x:f>MAX(0,MIN('Activities'!L189,348)-MAX('Activities'!K189,342))</x:f>
        <x:v>0</x:v>
      </x:c>
      <x:c r="BK189" s="23" t="n">
        <x:f>MAX(0,MIN('Activities'!L189,354)-MAX('Activities'!K189,348))</x:f>
        <x:v>0</x:v>
      </x:c>
      <x:c r="BL189" s="23" t="n">
        <x:f>MAX(0,MIN('Activities'!L189,360)-MAX('Activities'!K189,354))</x:f>
        <x:v>0</x:v>
      </x:c>
      <x:c r="BM189" s="23" t="n">
        <x:f>MAX(0,MIN('Activities'!L189,366)-MAX('Activities'!K189,360))</x:f>
        <x:v>0</x:v>
      </x:c>
      <x:c r="BN189" s="23" t="n">
        <x:f>MAX(0,MIN('Activities'!L189,372)-MAX('Activities'!K189,366))</x:f>
        <x:v>0</x:v>
      </x:c>
      <x:c r="BO189" s="23" t="n">
        <x:f>MAX(0,MIN('Activities'!L189,378)-MAX('Activities'!K189,372))</x:f>
        <x:v>0</x:v>
      </x:c>
      <x:c r="BP189" s="23" t="n">
        <x:f>MAX(0,MIN('Activities'!L189,384)-MAX('Activities'!K189,378))</x:f>
        <x:v>0</x:v>
      </x:c>
      <x:c r="BQ189" s="23" t="n">
        <x:f>MAX(0,MIN('Activities'!L189,390)-MAX('Activities'!K189,384))</x:f>
        <x:v>0</x:v>
      </x:c>
      <x:c r="BR189" s="23" t="n">
        <x:f>MAX(0,MIN('Activities'!L189,396)-MAX('Activities'!K189,390))</x:f>
        <x:v>0</x:v>
      </x:c>
      <x:c r="BS189" s="23" t="n">
        <x:f>MAX(0,MIN('Activities'!L189,402)-MAX('Activities'!K189,396))</x:f>
        <x:v>0</x:v>
      </x:c>
      <x:c r="BT189" s="23" t="n">
        <x:f>MAX(0,MIN('Activities'!L189,408)-MAX('Activities'!K189,402))</x:f>
        <x:v>0</x:v>
      </x:c>
      <x:c r="BU189" s="23" t="n">
        <x:f>MAX(0,MIN('Activities'!L189,414)-MAX('Activities'!K189,408))</x:f>
        <x:v>0</x:v>
      </x:c>
      <x:c r="BV189" s="23" t="n">
        <x:f>MAX(0,MIN('Activities'!L189,420)-MAX('Activities'!K189,414))</x:f>
        <x:v>0</x:v>
      </x:c>
      <x:c r="BW189" s="23" t="n">
        <x:f>MAX(0,MIN('Activities'!L189,426)-MAX('Activities'!K189,420))</x:f>
        <x:v>0</x:v>
      </x:c>
      <x:c r="BX189" s="23" t="n">
        <x:f>MAX(0,MIN('Activities'!L189,432)-MAX('Activities'!K189,426))</x:f>
        <x:v>0</x:v>
      </x:c>
      <x:c r="BY189" s="23" t="n">
        <x:f>MAX(0,MIN('Activities'!L189,438)-MAX('Activities'!K189,432))</x:f>
        <x:v>0</x:v>
      </x:c>
      <x:c r="BZ189" s="23" t="n">
        <x:f>MAX(0,MIN('Activities'!L189,444)-MAX('Activities'!K189,438))</x:f>
        <x:v>0</x:v>
      </x:c>
      <x:c r="CA189" s="23" t="n">
        <x:f>MAX(0,MIN('Activities'!L189,450)-MAX('Activities'!K189,444))</x:f>
        <x:v>0</x:v>
      </x:c>
      <x:c r="CB189" s="23" t="n">
        <x:f>MAX(0,MIN('Activities'!L189,456)-MAX('Activities'!K189,450))</x:f>
        <x:v>0</x:v>
      </x:c>
      <x:c r="CC189" s="23" t="n">
        <x:f>MAX(0,MIN('Activities'!L189,462)-MAX('Activities'!K189,456))</x:f>
        <x:v>0</x:v>
      </x:c>
      <x:c r="CD189" s="23" t="n">
        <x:f>MAX(0,MIN('Activities'!L189,468)-MAX('Activities'!K189,462))</x:f>
        <x:v>0</x:v>
      </x:c>
      <x:c r="CE189" s="23" t="n">
        <x:f>MAX(0,MIN('Activities'!L189,474)-MAX('Activities'!K189,468))</x:f>
        <x:v>0</x:v>
      </x:c>
      <x:c r="CF189" s="23" t="n">
        <x:f>MAX(0,MIN('Activities'!L189,480)-MAX('Activities'!K189,474))</x:f>
        <x:v>0</x:v>
      </x:c>
      <x:c r="CG189" s="23" t="n">
        <x:f>MAX(0,MIN('Activities'!L189,486)-MAX('Activities'!K189,480))</x:f>
        <x:v>0</x:v>
      </x:c>
      <x:c r="CH189" s="23" t="n">
        <x:f>MAX(0,MIN('Activities'!L189,492)-MAX('Activities'!K189,486))</x:f>
        <x:v>0</x:v>
      </x:c>
      <x:c r="CI189" s="23" t="n">
        <x:f>MAX(0,MIN('Activities'!L189,498)-MAX('Activities'!K189,492))</x:f>
        <x:v>0</x:v>
      </x:c>
      <x:c r="CJ189" s="23" t="n">
        <x:f>MAX(0,MIN('Activities'!L189,504)-MAX('Activities'!K189,498))</x:f>
        <x:v>0</x:v>
      </x:c>
      <x:c r="CK189" s="23" t="n">
        <x:f>MAX(0,MIN('Activities'!L189,510)-MAX('Activities'!K189,504))</x:f>
        <x:v>0</x:v>
      </x:c>
      <x:c r="CL189" s="23" t="n">
        <x:f>MAX(0,MIN('Activities'!L189,516)-MAX('Activities'!K189,510))</x:f>
        <x:v>0</x:v>
      </x:c>
      <x:c r="CM189" s="23" t="n">
        <x:f>MAX(0,MIN('Activities'!L189,522)-MAX('Activities'!K189,516))</x:f>
        <x:v>0</x:v>
      </x:c>
      <x:c r="CN189" s="23" t="n">
        <x:f>MAX(0,MIN('Activities'!L189,528)-MAX('Activities'!K189,522))</x:f>
        <x:v>0</x:v>
      </x:c>
      <x:c r="CO189" s="23" t="n">
        <x:f>MAX(0,MIN('Activities'!L189,534)-MAX('Activities'!K189,528))</x:f>
        <x:v>0</x:v>
      </x:c>
      <x:c r="CP189" s="23" t="n">
        <x:f>MAX(0,MIN('Activities'!L189,540)-MAX('Activities'!K189,534))</x:f>
        <x:v>0</x:v>
      </x:c>
      <x:c r="CQ189" s="23" t="n">
        <x:f>MAX(0,MIN('Activities'!L189,546)-MAX('Activities'!K189,540))</x:f>
        <x:v>0</x:v>
      </x:c>
      <x:c r="CR189" s="23" t="n">
        <x:f>MAX(0,MIN('Activities'!L189,552)-MAX('Activities'!K189,546))</x:f>
        <x:v>0</x:v>
      </x:c>
      <x:c r="CS189" s="23" t="n">
        <x:f>MAX(0,MIN('Activities'!L189,558)-MAX('Activities'!K189,552))</x:f>
        <x:v>0</x:v>
      </x:c>
      <x:c r="CT189" s="23" t="n">
        <x:f>MAX(0,MIN('Activities'!L189,564)-MAX('Activities'!K189,558))</x:f>
        <x:v>0</x:v>
      </x:c>
      <x:c r="CU189" s="23" t="n">
        <x:f>MAX(0,MIN('Activities'!L189,570)-MAX('Activities'!K189,564))</x:f>
        <x:v>0</x:v>
      </x:c>
      <x:c r="CV189" s="23" t="n">
        <x:f>MAX(0,MIN('Activities'!L189,576)-MAX('Activities'!K189,570))</x:f>
        <x:v>0</x:v>
      </x:c>
      <x:c r="CW189" s="23" t="n">
        <x:f>MAX(0,MIN('Activities'!L189,582)-MAX('Activities'!K189,576))</x:f>
        <x:v>0</x:v>
      </x:c>
      <x:c r="CX189" s="23" t="n">
        <x:f>MAX(0,MIN('Activities'!L189,588)-MAX('Activities'!K189,582))</x:f>
        <x:v>0</x:v>
      </x:c>
      <x:c r="CY189" s="23" t="n">
        <x:f>MAX(0,MIN('Activities'!L189,594)-MAX('Activities'!K189,588))</x:f>
        <x:v>0</x:v>
      </x:c>
      <x:c r="CZ189" s="23" t="n">
        <x:f>MAX(0,MIN('Activities'!L189,600)-MAX('Activities'!K189,594))</x:f>
        <x:v>0</x:v>
      </x:c>
      <x:c r="DA189" s="23" t="n">
        <x:f>MAX(0,MIN('Activities'!L189,606)-MAX('Activities'!K189,600))</x:f>
        <x:v>0</x:v>
      </x:c>
      <x:c r="DB189" s="23" t="n">
        <x:f>MAX(0,MIN('Activities'!L189,612)-MAX('Activities'!K189,606))</x:f>
        <x:v>0</x:v>
      </x:c>
      <x:c r="DC189" s="23" t="n">
        <x:f>MAX(0,MIN('Activities'!L189,618)-MAX('Activities'!K189,612))</x:f>
        <x:v>0</x:v>
      </x:c>
      <x:c r="DD189" s="23" t="n">
        <x:f>MAX(0,MIN('Activities'!L189,624)-MAX('Activities'!K189,618))</x:f>
        <x:v>0</x:v>
      </x:c>
      <x:c r="DE189" s="23" t="n">
        <x:f>MAX(0,MIN('Activities'!L189,630)-MAX('Activities'!K189,624))</x:f>
        <x:v>0</x:v>
      </x:c>
      <x:c r="DF189" s="23" t="n">
        <x:f>MAX(0,MIN('Activities'!L189,636)-MAX('Activities'!K189,630))</x:f>
        <x:v>0</x:v>
      </x:c>
    </x:row>
    <x:row r="190" ht="23" customHeight="1">
      <x:c r="A190" s="6" t="str">
        <x:v>T2-L10-R</x:v>
      </x:c>
      <x:c r="B190" s="6" t="str">
        <x:v>T2</x:v>
      </x:c>
      <x:c r="C190" s="6" t="str">
        <x:v>Column, wall, beam and slab reinforcement</x:v>
      </x:c>
      <x:c r="D190" s="6" t="str">
        <x:v>Rebar</x:v>
      </x:c>
      <x:c r="E190" s="22" t="n">
        <x:f>MAX(0,MIN('Activities'!L190,6)-MAX('Activities'!K190,0))</x:f>
        <x:v>0</x:v>
      </x:c>
      <x:c r="F190" s="22" t="n">
        <x:f>MAX(0,MIN('Activities'!L190,12)-MAX('Activities'!K190,6))</x:f>
        <x:v>0</x:v>
      </x:c>
      <x:c r="G190" s="22" t="n">
        <x:f>MAX(0,MIN('Activities'!L190,18)-MAX('Activities'!K190,12))</x:f>
        <x:v>0</x:v>
      </x:c>
      <x:c r="H190" s="22" t="n">
        <x:f>MAX(0,MIN('Activities'!L190,24)-MAX('Activities'!K190,18))</x:f>
        <x:v>0</x:v>
      </x:c>
      <x:c r="I190" s="22" t="n">
        <x:f>MAX(0,MIN('Activities'!L190,30)-MAX('Activities'!K190,24))</x:f>
        <x:v>0</x:v>
      </x:c>
      <x:c r="J190" s="22" t="n">
        <x:f>MAX(0,MIN('Activities'!L190,36)-MAX('Activities'!K190,30))</x:f>
        <x:v>0</x:v>
      </x:c>
      <x:c r="K190" s="22" t="n">
        <x:f>MAX(0,MIN('Activities'!L190,42)-MAX('Activities'!K190,36))</x:f>
        <x:v>0</x:v>
      </x:c>
      <x:c r="L190" s="22" t="n">
        <x:f>MAX(0,MIN('Activities'!L190,48)-MAX('Activities'!K190,42))</x:f>
        <x:v>0</x:v>
      </x:c>
      <x:c r="M190" s="22" t="n">
        <x:f>MAX(0,MIN('Activities'!L190,54)-MAX('Activities'!K190,48))</x:f>
        <x:v>0</x:v>
      </x:c>
      <x:c r="N190" s="22" t="n">
        <x:f>MAX(0,MIN('Activities'!L190,60)-MAX('Activities'!K190,54))</x:f>
        <x:v>0</x:v>
      </x:c>
      <x:c r="O190" s="22" t="n">
        <x:f>MAX(0,MIN('Activities'!L190,66)-MAX('Activities'!K190,60))</x:f>
        <x:v>0</x:v>
      </x:c>
      <x:c r="P190" s="22" t="n">
        <x:f>MAX(0,MIN('Activities'!L190,72)-MAX('Activities'!K190,66))</x:f>
        <x:v>0</x:v>
      </x:c>
      <x:c r="Q190" s="22" t="n">
        <x:f>MAX(0,MIN('Activities'!L190,78)-MAX('Activities'!K190,72))</x:f>
        <x:v>0</x:v>
      </x:c>
      <x:c r="R190" s="22" t="n">
        <x:f>MAX(0,MIN('Activities'!L190,84)-MAX('Activities'!K190,78))</x:f>
        <x:v>0</x:v>
      </x:c>
      <x:c r="S190" s="22" t="n">
        <x:f>MAX(0,MIN('Activities'!L190,90)-MAX('Activities'!K190,84))</x:f>
        <x:v>0</x:v>
      </x:c>
      <x:c r="T190" s="22" t="n">
        <x:f>MAX(0,MIN('Activities'!L190,96)-MAX('Activities'!K190,90))</x:f>
        <x:v>0</x:v>
      </x:c>
      <x:c r="U190" s="22" t="n">
        <x:f>MAX(0,MIN('Activities'!L190,102)-MAX('Activities'!K190,96))</x:f>
        <x:v>0</x:v>
      </x:c>
      <x:c r="V190" s="22" t="n">
        <x:f>MAX(0,MIN('Activities'!L190,108)-MAX('Activities'!K190,102))</x:f>
        <x:v>0</x:v>
      </x:c>
      <x:c r="W190" s="22" t="n">
        <x:f>MAX(0,MIN('Activities'!L190,114)-MAX('Activities'!K190,108))</x:f>
        <x:v>0</x:v>
      </x:c>
      <x:c r="X190" s="22" t="n">
        <x:f>MAX(0,MIN('Activities'!L190,120)-MAX('Activities'!K190,114))</x:f>
        <x:v>0</x:v>
      </x:c>
      <x:c r="Y190" s="22" t="n">
        <x:f>MAX(0,MIN('Activities'!L190,126)-MAX('Activities'!K190,120))</x:f>
        <x:v>0</x:v>
      </x:c>
      <x:c r="Z190" s="22" t="n">
        <x:f>MAX(0,MIN('Activities'!L190,132)-MAX('Activities'!K190,126))</x:f>
        <x:v>0</x:v>
      </x:c>
      <x:c r="AA190" s="22" t="n">
        <x:f>MAX(0,MIN('Activities'!L190,138)-MAX('Activities'!K190,132))</x:f>
        <x:v>0</x:v>
      </x:c>
      <x:c r="AB190" s="22" t="n">
        <x:f>MAX(0,MIN('Activities'!L190,144)-MAX('Activities'!K190,138))</x:f>
        <x:v>0</x:v>
      </x:c>
      <x:c r="AC190" s="22" t="n">
        <x:f>MAX(0,MIN('Activities'!L190,150)-MAX('Activities'!K190,144))</x:f>
        <x:v>0</x:v>
      </x:c>
      <x:c r="AD190" s="22" t="n">
        <x:f>MAX(0,MIN('Activities'!L190,156)-MAX('Activities'!K190,150))</x:f>
        <x:v>0</x:v>
      </x:c>
      <x:c r="AE190" s="22" t="n">
        <x:f>MAX(0,MIN('Activities'!L190,162)-MAX('Activities'!K190,156))</x:f>
        <x:v>0</x:v>
      </x:c>
      <x:c r="AF190" s="22" t="n">
        <x:f>MAX(0,MIN('Activities'!L190,168)-MAX('Activities'!K190,162))</x:f>
        <x:v>0</x:v>
      </x:c>
      <x:c r="AG190" s="22" t="n">
        <x:f>MAX(0,MIN('Activities'!L190,174)-MAX('Activities'!K190,168))</x:f>
        <x:v>0</x:v>
      </x:c>
      <x:c r="AH190" s="22" t="n">
        <x:f>MAX(0,MIN('Activities'!L190,180)-MAX('Activities'!K190,174))</x:f>
        <x:v>0</x:v>
      </x:c>
      <x:c r="AI190" s="22" t="n">
        <x:f>MAX(0,MIN('Activities'!L190,186)-MAX('Activities'!K190,180))</x:f>
        <x:v>0</x:v>
      </x:c>
      <x:c r="AJ190" s="22" t="n">
        <x:f>MAX(0,MIN('Activities'!L190,192)-MAX('Activities'!K190,186))</x:f>
        <x:v>0</x:v>
      </x:c>
      <x:c r="AK190" s="22" t="n">
        <x:f>MAX(0,MIN('Activities'!L190,198)-MAX('Activities'!K190,192))</x:f>
        <x:v>0</x:v>
      </x:c>
      <x:c r="AL190" s="22" t="n">
        <x:f>MAX(0,MIN('Activities'!L190,204)-MAX('Activities'!K190,198))</x:f>
        <x:v>0</x:v>
      </x:c>
      <x:c r="AM190" s="22" t="n">
        <x:f>MAX(0,MIN('Activities'!L190,210)-MAX('Activities'!K190,204))</x:f>
        <x:v>0</x:v>
      </x:c>
      <x:c r="AN190" s="22" t="n">
        <x:f>MAX(0,MIN('Activities'!L190,216)-MAX('Activities'!K190,210))</x:f>
        <x:v>0</x:v>
      </x:c>
      <x:c r="AO190" s="22" t="n">
        <x:f>MAX(0,MIN('Activities'!L190,222)-MAX('Activities'!K190,216))</x:f>
        <x:v>0</x:v>
      </x:c>
      <x:c r="AP190" s="22" t="n">
        <x:f>MAX(0,MIN('Activities'!L190,228)-MAX('Activities'!K190,222))</x:f>
        <x:v>0</x:v>
      </x:c>
      <x:c r="AQ190" s="22" t="n">
        <x:f>MAX(0,MIN('Activities'!L190,234)-MAX('Activities'!K190,228))</x:f>
        <x:v>0</x:v>
      </x:c>
      <x:c r="AR190" s="22" t="n">
        <x:f>MAX(0,MIN('Activities'!L190,240)-MAX('Activities'!K190,234))</x:f>
        <x:v>0</x:v>
      </x:c>
      <x:c r="AS190" s="22" t="n">
        <x:f>MAX(0,MIN('Activities'!L190,246)-MAX('Activities'!K190,240))</x:f>
        <x:v>0</x:v>
      </x:c>
      <x:c r="AT190" s="22" t="n">
        <x:f>MAX(0,MIN('Activities'!L190,252)-MAX('Activities'!K190,246))</x:f>
        <x:v>0</x:v>
      </x:c>
      <x:c r="AU190" s="22" t="n">
        <x:f>MAX(0,MIN('Activities'!L190,258)-MAX('Activities'!K190,252))</x:f>
        <x:v>0</x:v>
      </x:c>
      <x:c r="AV190" s="22" t="n">
        <x:f>MAX(0,MIN('Activities'!L190,264)-MAX('Activities'!K190,258))</x:f>
        <x:v>0</x:v>
      </x:c>
      <x:c r="AW190" s="22" t="n">
        <x:f>MAX(0,MIN('Activities'!L190,270)-MAX('Activities'!K190,264))</x:f>
        <x:v>0</x:v>
      </x:c>
      <x:c r="AX190" s="22" t="n">
        <x:f>MAX(0,MIN('Activities'!L190,276)-MAX('Activities'!K190,270))</x:f>
        <x:v>0</x:v>
      </x:c>
      <x:c r="AY190" s="22" t="n">
        <x:f>MAX(0,MIN('Activities'!L190,282)-MAX('Activities'!K190,276))</x:f>
        <x:v>0</x:v>
      </x:c>
      <x:c r="AZ190" s="22" t="n">
        <x:f>MAX(0,MIN('Activities'!L190,288)-MAX('Activities'!K190,282))</x:f>
        <x:v>0</x:v>
      </x:c>
      <x:c r="BA190" s="22" t="n">
        <x:f>MAX(0,MIN('Activities'!L190,294)-MAX('Activities'!K190,288))</x:f>
        <x:v>0</x:v>
      </x:c>
      <x:c r="BB190" s="22" t="n">
        <x:f>MAX(0,MIN('Activities'!L190,300)-MAX('Activities'!K190,294))</x:f>
        <x:v>0</x:v>
      </x:c>
      <x:c r="BC190" s="22" t="n">
        <x:f>MAX(0,MIN('Activities'!L190,306)-MAX('Activities'!K190,300))</x:f>
        <x:v>0</x:v>
      </x:c>
      <x:c r="BD190" s="22" t="n">
        <x:f>MAX(0,MIN('Activities'!L190,312)-MAX('Activities'!K190,306))</x:f>
        <x:v>0</x:v>
      </x:c>
      <x:c r="BE190" s="22" t="n">
        <x:f>MAX(0,MIN('Activities'!L190,318)-MAX('Activities'!K190,312))</x:f>
        <x:v>0</x:v>
      </x:c>
      <x:c r="BF190" s="22" t="n">
        <x:f>MAX(0,MIN('Activities'!L190,324)-MAX('Activities'!K190,318))</x:f>
        <x:v>0</x:v>
      </x:c>
      <x:c r="BG190" s="22" t="n">
        <x:f>MAX(0,MIN('Activities'!L190,330)-MAX('Activities'!K190,324))</x:f>
        <x:v>0</x:v>
      </x:c>
      <x:c r="BH190" s="22" t="n">
        <x:f>MAX(0,MIN('Activities'!L190,336)-MAX('Activities'!K190,330))</x:f>
        <x:v>4</x:v>
      </x:c>
      <x:c r="BI190" s="22" t="n">
        <x:f>MAX(0,MIN('Activities'!L190,342)-MAX('Activities'!K190,336))</x:f>
        <x:v>1</x:v>
      </x:c>
      <x:c r="BJ190" s="22" t="n">
        <x:f>MAX(0,MIN('Activities'!L190,348)-MAX('Activities'!K190,342))</x:f>
        <x:v>0</x:v>
      </x:c>
      <x:c r="BK190" s="22" t="n">
        <x:f>MAX(0,MIN('Activities'!L190,354)-MAX('Activities'!K190,348))</x:f>
        <x:v>0</x:v>
      </x:c>
      <x:c r="BL190" s="22" t="n">
        <x:f>MAX(0,MIN('Activities'!L190,360)-MAX('Activities'!K190,354))</x:f>
        <x:v>0</x:v>
      </x:c>
      <x:c r="BM190" s="22" t="n">
        <x:f>MAX(0,MIN('Activities'!L190,366)-MAX('Activities'!K190,360))</x:f>
        <x:v>0</x:v>
      </x:c>
      <x:c r="BN190" s="22" t="n">
        <x:f>MAX(0,MIN('Activities'!L190,372)-MAX('Activities'!K190,366))</x:f>
        <x:v>0</x:v>
      </x:c>
      <x:c r="BO190" s="22" t="n">
        <x:f>MAX(0,MIN('Activities'!L190,378)-MAX('Activities'!K190,372))</x:f>
        <x:v>0</x:v>
      </x:c>
      <x:c r="BP190" s="22" t="n">
        <x:f>MAX(0,MIN('Activities'!L190,384)-MAX('Activities'!K190,378))</x:f>
        <x:v>0</x:v>
      </x:c>
      <x:c r="BQ190" s="22" t="n">
        <x:f>MAX(0,MIN('Activities'!L190,390)-MAX('Activities'!K190,384))</x:f>
        <x:v>0</x:v>
      </x:c>
      <x:c r="BR190" s="22" t="n">
        <x:f>MAX(0,MIN('Activities'!L190,396)-MAX('Activities'!K190,390))</x:f>
        <x:v>0</x:v>
      </x:c>
      <x:c r="BS190" s="22" t="n">
        <x:f>MAX(0,MIN('Activities'!L190,402)-MAX('Activities'!K190,396))</x:f>
        <x:v>0</x:v>
      </x:c>
      <x:c r="BT190" s="22" t="n">
        <x:f>MAX(0,MIN('Activities'!L190,408)-MAX('Activities'!K190,402))</x:f>
        <x:v>0</x:v>
      </x:c>
      <x:c r="BU190" s="22" t="n">
        <x:f>MAX(0,MIN('Activities'!L190,414)-MAX('Activities'!K190,408))</x:f>
        <x:v>0</x:v>
      </x:c>
      <x:c r="BV190" s="22" t="n">
        <x:f>MAX(0,MIN('Activities'!L190,420)-MAX('Activities'!K190,414))</x:f>
        <x:v>0</x:v>
      </x:c>
      <x:c r="BW190" s="22" t="n">
        <x:f>MAX(0,MIN('Activities'!L190,426)-MAX('Activities'!K190,420))</x:f>
        <x:v>0</x:v>
      </x:c>
      <x:c r="BX190" s="22" t="n">
        <x:f>MAX(0,MIN('Activities'!L190,432)-MAX('Activities'!K190,426))</x:f>
        <x:v>0</x:v>
      </x:c>
      <x:c r="BY190" s="22" t="n">
        <x:f>MAX(0,MIN('Activities'!L190,438)-MAX('Activities'!K190,432))</x:f>
        <x:v>0</x:v>
      </x:c>
      <x:c r="BZ190" s="22" t="n">
        <x:f>MAX(0,MIN('Activities'!L190,444)-MAX('Activities'!K190,438))</x:f>
        <x:v>0</x:v>
      </x:c>
      <x:c r="CA190" s="22" t="n">
        <x:f>MAX(0,MIN('Activities'!L190,450)-MAX('Activities'!K190,444))</x:f>
        <x:v>0</x:v>
      </x:c>
      <x:c r="CB190" s="22" t="n">
        <x:f>MAX(0,MIN('Activities'!L190,456)-MAX('Activities'!K190,450))</x:f>
        <x:v>0</x:v>
      </x:c>
      <x:c r="CC190" s="22" t="n">
        <x:f>MAX(0,MIN('Activities'!L190,462)-MAX('Activities'!K190,456))</x:f>
        <x:v>0</x:v>
      </x:c>
      <x:c r="CD190" s="22" t="n">
        <x:f>MAX(0,MIN('Activities'!L190,468)-MAX('Activities'!K190,462))</x:f>
        <x:v>0</x:v>
      </x:c>
      <x:c r="CE190" s="22" t="n">
        <x:f>MAX(0,MIN('Activities'!L190,474)-MAX('Activities'!K190,468))</x:f>
        <x:v>0</x:v>
      </x:c>
      <x:c r="CF190" s="22" t="n">
        <x:f>MAX(0,MIN('Activities'!L190,480)-MAX('Activities'!K190,474))</x:f>
        <x:v>0</x:v>
      </x:c>
      <x:c r="CG190" s="22" t="n">
        <x:f>MAX(0,MIN('Activities'!L190,486)-MAX('Activities'!K190,480))</x:f>
        <x:v>0</x:v>
      </x:c>
      <x:c r="CH190" s="22" t="n">
        <x:f>MAX(0,MIN('Activities'!L190,492)-MAX('Activities'!K190,486))</x:f>
        <x:v>0</x:v>
      </x:c>
      <x:c r="CI190" s="22" t="n">
        <x:f>MAX(0,MIN('Activities'!L190,498)-MAX('Activities'!K190,492))</x:f>
        <x:v>0</x:v>
      </x:c>
      <x:c r="CJ190" s="22" t="n">
        <x:f>MAX(0,MIN('Activities'!L190,504)-MAX('Activities'!K190,498))</x:f>
        <x:v>0</x:v>
      </x:c>
      <x:c r="CK190" s="22" t="n">
        <x:f>MAX(0,MIN('Activities'!L190,510)-MAX('Activities'!K190,504))</x:f>
        <x:v>0</x:v>
      </x:c>
      <x:c r="CL190" s="22" t="n">
        <x:f>MAX(0,MIN('Activities'!L190,516)-MAX('Activities'!K190,510))</x:f>
        <x:v>0</x:v>
      </x:c>
      <x:c r="CM190" s="22" t="n">
        <x:f>MAX(0,MIN('Activities'!L190,522)-MAX('Activities'!K190,516))</x:f>
        <x:v>0</x:v>
      </x:c>
      <x:c r="CN190" s="22" t="n">
        <x:f>MAX(0,MIN('Activities'!L190,528)-MAX('Activities'!K190,522))</x:f>
        <x:v>0</x:v>
      </x:c>
      <x:c r="CO190" s="22" t="n">
        <x:f>MAX(0,MIN('Activities'!L190,534)-MAX('Activities'!K190,528))</x:f>
        <x:v>0</x:v>
      </x:c>
      <x:c r="CP190" s="22" t="n">
        <x:f>MAX(0,MIN('Activities'!L190,540)-MAX('Activities'!K190,534))</x:f>
        <x:v>0</x:v>
      </x:c>
      <x:c r="CQ190" s="22" t="n">
        <x:f>MAX(0,MIN('Activities'!L190,546)-MAX('Activities'!K190,540))</x:f>
        <x:v>0</x:v>
      </x:c>
      <x:c r="CR190" s="22" t="n">
        <x:f>MAX(0,MIN('Activities'!L190,552)-MAX('Activities'!K190,546))</x:f>
        <x:v>0</x:v>
      </x:c>
      <x:c r="CS190" s="22" t="n">
        <x:f>MAX(0,MIN('Activities'!L190,558)-MAX('Activities'!K190,552))</x:f>
        <x:v>0</x:v>
      </x:c>
      <x:c r="CT190" s="22" t="n">
        <x:f>MAX(0,MIN('Activities'!L190,564)-MAX('Activities'!K190,558))</x:f>
        <x:v>0</x:v>
      </x:c>
      <x:c r="CU190" s="22" t="n">
        <x:f>MAX(0,MIN('Activities'!L190,570)-MAX('Activities'!K190,564))</x:f>
        <x:v>0</x:v>
      </x:c>
      <x:c r="CV190" s="22" t="n">
        <x:f>MAX(0,MIN('Activities'!L190,576)-MAX('Activities'!K190,570))</x:f>
        <x:v>0</x:v>
      </x:c>
      <x:c r="CW190" s="22" t="n">
        <x:f>MAX(0,MIN('Activities'!L190,582)-MAX('Activities'!K190,576))</x:f>
        <x:v>0</x:v>
      </x:c>
      <x:c r="CX190" s="22" t="n">
        <x:f>MAX(0,MIN('Activities'!L190,588)-MAX('Activities'!K190,582))</x:f>
        <x:v>0</x:v>
      </x:c>
      <x:c r="CY190" s="22" t="n">
        <x:f>MAX(0,MIN('Activities'!L190,594)-MAX('Activities'!K190,588))</x:f>
        <x:v>0</x:v>
      </x:c>
      <x:c r="CZ190" s="22" t="n">
        <x:f>MAX(0,MIN('Activities'!L190,600)-MAX('Activities'!K190,594))</x:f>
        <x:v>0</x:v>
      </x:c>
      <x:c r="DA190" s="22" t="n">
        <x:f>MAX(0,MIN('Activities'!L190,606)-MAX('Activities'!K190,600))</x:f>
        <x:v>0</x:v>
      </x:c>
      <x:c r="DB190" s="22" t="n">
        <x:f>MAX(0,MIN('Activities'!L190,612)-MAX('Activities'!K190,606))</x:f>
        <x:v>0</x:v>
      </x:c>
      <x:c r="DC190" s="22" t="n">
        <x:f>MAX(0,MIN('Activities'!L190,618)-MAX('Activities'!K190,612))</x:f>
        <x:v>0</x:v>
      </x:c>
      <x:c r="DD190" s="22" t="n">
        <x:f>MAX(0,MIN('Activities'!L190,624)-MAX('Activities'!K190,618))</x:f>
        <x:v>0</x:v>
      </x:c>
      <x:c r="DE190" s="22" t="n">
        <x:f>MAX(0,MIN('Activities'!L190,630)-MAX('Activities'!K190,624))</x:f>
        <x:v>0</x:v>
      </x:c>
      <x:c r="DF190" s="22" t="n">
        <x:f>MAX(0,MIN('Activities'!L190,636)-MAX('Activities'!K190,630))</x:f>
        <x:v>0</x:v>
      </x:c>
    </x:row>
    <x:row r="191" ht="23" customHeight="1">
      <x:c r="A191" s="1" t="str">
        <x:v>T2-L10-C</x:v>
      </x:c>
      <x:c r="B191" s="1" t="str">
        <x:v>T2</x:v>
      </x:c>
      <x:c r="C191" s="1" t="str">
        <x:v>Concrete placement and finishing</x:v>
      </x:c>
      <x:c r="D191" s="1" t="str">
        <x:v>Concrete</x:v>
      </x:c>
      <x:c r="E191" s="23" t="n">
        <x:f>MAX(0,MIN('Activities'!L191,6)-MAX('Activities'!K191,0))</x:f>
        <x:v>0</x:v>
      </x:c>
      <x:c r="F191" s="23" t="n">
        <x:f>MAX(0,MIN('Activities'!L191,12)-MAX('Activities'!K191,6))</x:f>
        <x:v>0</x:v>
      </x:c>
      <x:c r="G191" s="23" t="n">
        <x:f>MAX(0,MIN('Activities'!L191,18)-MAX('Activities'!K191,12))</x:f>
        <x:v>0</x:v>
      </x:c>
      <x:c r="H191" s="23" t="n">
        <x:f>MAX(0,MIN('Activities'!L191,24)-MAX('Activities'!K191,18))</x:f>
        <x:v>0</x:v>
      </x:c>
      <x:c r="I191" s="23" t="n">
        <x:f>MAX(0,MIN('Activities'!L191,30)-MAX('Activities'!K191,24))</x:f>
        <x:v>0</x:v>
      </x:c>
      <x:c r="J191" s="23" t="n">
        <x:f>MAX(0,MIN('Activities'!L191,36)-MAX('Activities'!K191,30))</x:f>
        <x:v>0</x:v>
      </x:c>
      <x:c r="K191" s="23" t="n">
        <x:f>MAX(0,MIN('Activities'!L191,42)-MAX('Activities'!K191,36))</x:f>
        <x:v>0</x:v>
      </x:c>
      <x:c r="L191" s="23" t="n">
        <x:f>MAX(0,MIN('Activities'!L191,48)-MAX('Activities'!K191,42))</x:f>
        <x:v>0</x:v>
      </x:c>
      <x:c r="M191" s="23" t="n">
        <x:f>MAX(0,MIN('Activities'!L191,54)-MAX('Activities'!K191,48))</x:f>
        <x:v>0</x:v>
      </x:c>
      <x:c r="N191" s="23" t="n">
        <x:f>MAX(0,MIN('Activities'!L191,60)-MAX('Activities'!K191,54))</x:f>
        <x:v>0</x:v>
      </x:c>
      <x:c r="O191" s="23" t="n">
        <x:f>MAX(0,MIN('Activities'!L191,66)-MAX('Activities'!K191,60))</x:f>
        <x:v>0</x:v>
      </x:c>
      <x:c r="P191" s="23" t="n">
        <x:f>MAX(0,MIN('Activities'!L191,72)-MAX('Activities'!K191,66))</x:f>
        <x:v>0</x:v>
      </x:c>
      <x:c r="Q191" s="23" t="n">
        <x:f>MAX(0,MIN('Activities'!L191,78)-MAX('Activities'!K191,72))</x:f>
        <x:v>0</x:v>
      </x:c>
      <x:c r="R191" s="23" t="n">
        <x:f>MAX(0,MIN('Activities'!L191,84)-MAX('Activities'!K191,78))</x:f>
        <x:v>0</x:v>
      </x:c>
      <x:c r="S191" s="23" t="n">
        <x:f>MAX(0,MIN('Activities'!L191,90)-MAX('Activities'!K191,84))</x:f>
        <x:v>0</x:v>
      </x:c>
      <x:c r="T191" s="23" t="n">
        <x:f>MAX(0,MIN('Activities'!L191,96)-MAX('Activities'!K191,90))</x:f>
        <x:v>0</x:v>
      </x:c>
      <x:c r="U191" s="23" t="n">
        <x:f>MAX(0,MIN('Activities'!L191,102)-MAX('Activities'!K191,96))</x:f>
        <x:v>0</x:v>
      </x:c>
      <x:c r="V191" s="23" t="n">
        <x:f>MAX(0,MIN('Activities'!L191,108)-MAX('Activities'!K191,102))</x:f>
        <x:v>0</x:v>
      </x:c>
      <x:c r="W191" s="23" t="n">
        <x:f>MAX(0,MIN('Activities'!L191,114)-MAX('Activities'!K191,108))</x:f>
        <x:v>0</x:v>
      </x:c>
      <x:c r="X191" s="23" t="n">
        <x:f>MAX(0,MIN('Activities'!L191,120)-MAX('Activities'!K191,114))</x:f>
        <x:v>0</x:v>
      </x:c>
      <x:c r="Y191" s="23" t="n">
        <x:f>MAX(0,MIN('Activities'!L191,126)-MAX('Activities'!K191,120))</x:f>
        <x:v>0</x:v>
      </x:c>
      <x:c r="Z191" s="23" t="n">
        <x:f>MAX(0,MIN('Activities'!L191,132)-MAX('Activities'!K191,126))</x:f>
        <x:v>0</x:v>
      </x:c>
      <x:c r="AA191" s="23" t="n">
        <x:f>MAX(0,MIN('Activities'!L191,138)-MAX('Activities'!K191,132))</x:f>
        <x:v>0</x:v>
      </x:c>
      <x:c r="AB191" s="23" t="n">
        <x:f>MAX(0,MIN('Activities'!L191,144)-MAX('Activities'!K191,138))</x:f>
        <x:v>0</x:v>
      </x:c>
      <x:c r="AC191" s="23" t="n">
        <x:f>MAX(0,MIN('Activities'!L191,150)-MAX('Activities'!K191,144))</x:f>
        <x:v>0</x:v>
      </x:c>
      <x:c r="AD191" s="23" t="n">
        <x:f>MAX(0,MIN('Activities'!L191,156)-MAX('Activities'!K191,150))</x:f>
        <x:v>0</x:v>
      </x:c>
      <x:c r="AE191" s="23" t="n">
        <x:f>MAX(0,MIN('Activities'!L191,162)-MAX('Activities'!K191,156))</x:f>
        <x:v>0</x:v>
      </x:c>
      <x:c r="AF191" s="23" t="n">
        <x:f>MAX(0,MIN('Activities'!L191,168)-MAX('Activities'!K191,162))</x:f>
        <x:v>0</x:v>
      </x:c>
      <x:c r="AG191" s="23" t="n">
        <x:f>MAX(0,MIN('Activities'!L191,174)-MAX('Activities'!K191,168))</x:f>
        <x:v>0</x:v>
      </x:c>
      <x:c r="AH191" s="23" t="n">
        <x:f>MAX(0,MIN('Activities'!L191,180)-MAX('Activities'!K191,174))</x:f>
        <x:v>0</x:v>
      </x:c>
      <x:c r="AI191" s="23" t="n">
        <x:f>MAX(0,MIN('Activities'!L191,186)-MAX('Activities'!K191,180))</x:f>
        <x:v>0</x:v>
      </x:c>
      <x:c r="AJ191" s="23" t="n">
        <x:f>MAX(0,MIN('Activities'!L191,192)-MAX('Activities'!K191,186))</x:f>
        <x:v>0</x:v>
      </x:c>
      <x:c r="AK191" s="23" t="n">
        <x:f>MAX(0,MIN('Activities'!L191,198)-MAX('Activities'!K191,192))</x:f>
        <x:v>0</x:v>
      </x:c>
      <x:c r="AL191" s="23" t="n">
        <x:f>MAX(0,MIN('Activities'!L191,204)-MAX('Activities'!K191,198))</x:f>
        <x:v>0</x:v>
      </x:c>
      <x:c r="AM191" s="23" t="n">
        <x:f>MAX(0,MIN('Activities'!L191,210)-MAX('Activities'!K191,204))</x:f>
        <x:v>0</x:v>
      </x:c>
      <x:c r="AN191" s="23" t="n">
        <x:f>MAX(0,MIN('Activities'!L191,216)-MAX('Activities'!K191,210))</x:f>
        <x:v>0</x:v>
      </x:c>
      <x:c r="AO191" s="23" t="n">
        <x:f>MAX(0,MIN('Activities'!L191,222)-MAX('Activities'!K191,216))</x:f>
        <x:v>0</x:v>
      </x:c>
      <x:c r="AP191" s="23" t="n">
        <x:f>MAX(0,MIN('Activities'!L191,228)-MAX('Activities'!K191,222))</x:f>
        <x:v>0</x:v>
      </x:c>
      <x:c r="AQ191" s="23" t="n">
        <x:f>MAX(0,MIN('Activities'!L191,234)-MAX('Activities'!K191,228))</x:f>
        <x:v>0</x:v>
      </x:c>
      <x:c r="AR191" s="23" t="n">
        <x:f>MAX(0,MIN('Activities'!L191,240)-MAX('Activities'!K191,234))</x:f>
        <x:v>0</x:v>
      </x:c>
      <x:c r="AS191" s="23" t="n">
        <x:f>MAX(0,MIN('Activities'!L191,246)-MAX('Activities'!K191,240))</x:f>
        <x:v>0</x:v>
      </x:c>
      <x:c r="AT191" s="23" t="n">
        <x:f>MAX(0,MIN('Activities'!L191,252)-MAX('Activities'!K191,246))</x:f>
        <x:v>0</x:v>
      </x:c>
      <x:c r="AU191" s="23" t="n">
        <x:f>MAX(0,MIN('Activities'!L191,258)-MAX('Activities'!K191,252))</x:f>
        <x:v>0</x:v>
      </x:c>
      <x:c r="AV191" s="23" t="n">
        <x:f>MAX(0,MIN('Activities'!L191,264)-MAX('Activities'!K191,258))</x:f>
        <x:v>0</x:v>
      </x:c>
      <x:c r="AW191" s="23" t="n">
        <x:f>MAX(0,MIN('Activities'!L191,270)-MAX('Activities'!K191,264))</x:f>
        <x:v>0</x:v>
      </x:c>
      <x:c r="AX191" s="23" t="n">
        <x:f>MAX(0,MIN('Activities'!L191,276)-MAX('Activities'!K191,270))</x:f>
        <x:v>0</x:v>
      </x:c>
      <x:c r="AY191" s="23" t="n">
        <x:f>MAX(0,MIN('Activities'!L191,282)-MAX('Activities'!K191,276))</x:f>
        <x:v>0</x:v>
      </x:c>
      <x:c r="AZ191" s="23" t="n">
        <x:f>MAX(0,MIN('Activities'!L191,288)-MAX('Activities'!K191,282))</x:f>
        <x:v>0</x:v>
      </x:c>
      <x:c r="BA191" s="23" t="n">
        <x:f>MAX(0,MIN('Activities'!L191,294)-MAX('Activities'!K191,288))</x:f>
        <x:v>0</x:v>
      </x:c>
      <x:c r="BB191" s="23" t="n">
        <x:f>MAX(0,MIN('Activities'!L191,300)-MAX('Activities'!K191,294))</x:f>
        <x:v>0</x:v>
      </x:c>
      <x:c r="BC191" s="23" t="n">
        <x:f>MAX(0,MIN('Activities'!L191,306)-MAX('Activities'!K191,300))</x:f>
        <x:v>0</x:v>
      </x:c>
      <x:c r="BD191" s="23" t="n">
        <x:f>MAX(0,MIN('Activities'!L191,312)-MAX('Activities'!K191,306))</x:f>
        <x:v>0</x:v>
      </x:c>
      <x:c r="BE191" s="23" t="n">
        <x:f>MAX(0,MIN('Activities'!L191,318)-MAX('Activities'!K191,312))</x:f>
        <x:v>0</x:v>
      </x:c>
      <x:c r="BF191" s="23" t="n">
        <x:f>MAX(0,MIN('Activities'!L191,324)-MAX('Activities'!K191,318))</x:f>
        <x:v>0</x:v>
      </x:c>
      <x:c r="BG191" s="23" t="n">
        <x:f>MAX(0,MIN('Activities'!L191,330)-MAX('Activities'!K191,324))</x:f>
        <x:v>0</x:v>
      </x:c>
      <x:c r="BH191" s="23" t="n">
        <x:f>MAX(0,MIN('Activities'!L191,336)-MAX('Activities'!K191,330))</x:f>
        <x:v>0</x:v>
      </x:c>
      <x:c r="BI191" s="23" t="n">
        <x:f>MAX(0,MIN('Activities'!L191,342)-MAX('Activities'!K191,336))</x:f>
        <x:v>2</x:v>
      </x:c>
      <x:c r="BJ191" s="23" t="n">
        <x:f>MAX(0,MIN('Activities'!L191,348)-MAX('Activities'!K191,342))</x:f>
        <x:v>0</x:v>
      </x:c>
      <x:c r="BK191" s="23" t="n">
        <x:f>MAX(0,MIN('Activities'!L191,354)-MAX('Activities'!K191,348))</x:f>
        <x:v>0</x:v>
      </x:c>
      <x:c r="BL191" s="23" t="n">
        <x:f>MAX(0,MIN('Activities'!L191,360)-MAX('Activities'!K191,354))</x:f>
        <x:v>0</x:v>
      </x:c>
      <x:c r="BM191" s="23" t="n">
        <x:f>MAX(0,MIN('Activities'!L191,366)-MAX('Activities'!K191,360))</x:f>
        <x:v>0</x:v>
      </x:c>
      <x:c r="BN191" s="23" t="n">
        <x:f>MAX(0,MIN('Activities'!L191,372)-MAX('Activities'!K191,366))</x:f>
        <x:v>0</x:v>
      </x:c>
      <x:c r="BO191" s="23" t="n">
        <x:f>MAX(0,MIN('Activities'!L191,378)-MAX('Activities'!K191,372))</x:f>
        <x:v>0</x:v>
      </x:c>
      <x:c r="BP191" s="23" t="n">
        <x:f>MAX(0,MIN('Activities'!L191,384)-MAX('Activities'!K191,378))</x:f>
        <x:v>0</x:v>
      </x:c>
      <x:c r="BQ191" s="23" t="n">
        <x:f>MAX(0,MIN('Activities'!L191,390)-MAX('Activities'!K191,384))</x:f>
        <x:v>0</x:v>
      </x:c>
      <x:c r="BR191" s="23" t="n">
        <x:f>MAX(0,MIN('Activities'!L191,396)-MAX('Activities'!K191,390))</x:f>
        <x:v>0</x:v>
      </x:c>
      <x:c r="BS191" s="23" t="n">
        <x:f>MAX(0,MIN('Activities'!L191,402)-MAX('Activities'!K191,396))</x:f>
        <x:v>0</x:v>
      </x:c>
      <x:c r="BT191" s="23" t="n">
        <x:f>MAX(0,MIN('Activities'!L191,408)-MAX('Activities'!K191,402))</x:f>
        <x:v>0</x:v>
      </x:c>
      <x:c r="BU191" s="23" t="n">
        <x:f>MAX(0,MIN('Activities'!L191,414)-MAX('Activities'!K191,408))</x:f>
        <x:v>0</x:v>
      </x:c>
      <x:c r="BV191" s="23" t="n">
        <x:f>MAX(0,MIN('Activities'!L191,420)-MAX('Activities'!K191,414))</x:f>
        <x:v>0</x:v>
      </x:c>
      <x:c r="BW191" s="23" t="n">
        <x:f>MAX(0,MIN('Activities'!L191,426)-MAX('Activities'!K191,420))</x:f>
        <x:v>0</x:v>
      </x:c>
      <x:c r="BX191" s="23" t="n">
        <x:f>MAX(0,MIN('Activities'!L191,432)-MAX('Activities'!K191,426))</x:f>
        <x:v>0</x:v>
      </x:c>
      <x:c r="BY191" s="23" t="n">
        <x:f>MAX(0,MIN('Activities'!L191,438)-MAX('Activities'!K191,432))</x:f>
        <x:v>0</x:v>
      </x:c>
      <x:c r="BZ191" s="23" t="n">
        <x:f>MAX(0,MIN('Activities'!L191,444)-MAX('Activities'!K191,438))</x:f>
        <x:v>0</x:v>
      </x:c>
      <x:c r="CA191" s="23" t="n">
        <x:f>MAX(0,MIN('Activities'!L191,450)-MAX('Activities'!K191,444))</x:f>
        <x:v>0</x:v>
      </x:c>
      <x:c r="CB191" s="23" t="n">
        <x:f>MAX(0,MIN('Activities'!L191,456)-MAX('Activities'!K191,450))</x:f>
        <x:v>0</x:v>
      </x:c>
      <x:c r="CC191" s="23" t="n">
        <x:f>MAX(0,MIN('Activities'!L191,462)-MAX('Activities'!K191,456))</x:f>
        <x:v>0</x:v>
      </x:c>
      <x:c r="CD191" s="23" t="n">
        <x:f>MAX(0,MIN('Activities'!L191,468)-MAX('Activities'!K191,462))</x:f>
        <x:v>0</x:v>
      </x:c>
      <x:c r="CE191" s="23" t="n">
        <x:f>MAX(0,MIN('Activities'!L191,474)-MAX('Activities'!K191,468))</x:f>
        <x:v>0</x:v>
      </x:c>
      <x:c r="CF191" s="23" t="n">
        <x:f>MAX(0,MIN('Activities'!L191,480)-MAX('Activities'!K191,474))</x:f>
        <x:v>0</x:v>
      </x:c>
      <x:c r="CG191" s="23" t="n">
        <x:f>MAX(0,MIN('Activities'!L191,486)-MAX('Activities'!K191,480))</x:f>
        <x:v>0</x:v>
      </x:c>
      <x:c r="CH191" s="23" t="n">
        <x:f>MAX(0,MIN('Activities'!L191,492)-MAX('Activities'!K191,486))</x:f>
        <x:v>0</x:v>
      </x:c>
      <x:c r="CI191" s="23" t="n">
        <x:f>MAX(0,MIN('Activities'!L191,498)-MAX('Activities'!K191,492))</x:f>
        <x:v>0</x:v>
      </x:c>
      <x:c r="CJ191" s="23" t="n">
        <x:f>MAX(0,MIN('Activities'!L191,504)-MAX('Activities'!K191,498))</x:f>
        <x:v>0</x:v>
      </x:c>
      <x:c r="CK191" s="23" t="n">
        <x:f>MAX(0,MIN('Activities'!L191,510)-MAX('Activities'!K191,504))</x:f>
        <x:v>0</x:v>
      </x:c>
      <x:c r="CL191" s="23" t="n">
        <x:f>MAX(0,MIN('Activities'!L191,516)-MAX('Activities'!K191,510))</x:f>
        <x:v>0</x:v>
      </x:c>
      <x:c r="CM191" s="23" t="n">
        <x:f>MAX(0,MIN('Activities'!L191,522)-MAX('Activities'!K191,516))</x:f>
        <x:v>0</x:v>
      </x:c>
      <x:c r="CN191" s="23" t="n">
        <x:f>MAX(0,MIN('Activities'!L191,528)-MAX('Activities'!K191,522))</x:f>
        <x:v>0</x:v>
      </x:c>
      <x:c r="CO191" s="23" t="n">
        <x:f>MAX(0,MIN('Activities'!L191,534)-MAX('Activities'!K191,528))</x:f>
        <x:v>0</x:v>
      </x:c>
      <x:c r="CP191" s="23" t="n">
        <x:f>MAX(0,MIN('Activities'!L191,540)-MAX('Activities'!K191,534))</x:f>
        <x:v>0</x:v>
      </x:c>
      <x:c r="CQ191" s="23" t="n">
        <x:f>MAX(0,MIN('Activities'!L191,546)-MAX('Activities'!K191,540))</x:f>
        <x:v>0</x:v>
      </x:c>
      <x:c r="CR191" s="23" t="n">
        <x:f>MAX(0,MIN('Activities'!L191,552)-MAX('Activities'!K191,546))</x:f>
        <x:v>0</x:v>
      </x:c>
      <x:c r="CS191" s="23" t="n">
        <x:f>MAX(0,MIN('Activities'!L191,558)-MAX('Activities'!K191,552))</x:f>
        <x:v>0</x:v>
      </x:c>
      <x:c r="CT191" s="23" t="n">
        <x:f>MAX(0,MIN('Activities'!L191,564)-MAX('Activities'!K191,558))</x:f>
        <x:v>0</x:v>
      </x:c>
      <x:c r="CU191" s="23" t="n">
        <x:f>MAX(0,MIN('Activities'!L191,570)-MAX('Activities'!K191,564))</x:f>
        <x:v>0</x:v>
      </x:c>
      <x:c r="CV191" s="23" t="n">
        <x:f>MAX(0,MIN('Activities'!L191,576)-MAX('Activities'!K191,570))</x:f>
        <x:v>0</x:v>
      </x:c>
      <x:c r="CW191" s="23" t="n">
        <x:f>MAX(0,MIN('Activities'!L191,582)-MAX('Activities'!K191,576))</x:f>
        <x:v>0</x:v>
      </x:c>
      <x:c r="CX191" s="23" t="n">
        <x:f>MAX(0,MIN('Activities'!L191,588)-MAX('Activities'!K191,582))</x:f>
        <x:v>0</x:v>
      </x:c>
      <x:c r="CY191" s="23" t="n">
        <x:f>MAX(0,MIN('Activities'!L191,594)-MAX('Activities'!K191,588))</x:f>
        <x:v>0</x:v>
      </x:c>
      <x:c r="CZ191" s="23" t="n">
        <x:f>MAX(0,MIN('Activities'!L191,600)-MAX('Activities'!K191,594))</x:f>
        <x:v>0</x:v>
      </x:c>
      <x:c r="DA191" s="23" t="n">
        <x:f>MAX(0,MIN('Activities'!L191,606)-MAX('Activities'!K191,600))</x:f>
        <x:v>0</x:v>
      </x:c>
      <x:c r="DB191" s="23" t="n">
        <x:f>MAX(0,MIN('Activities'!L191,612)-MAX('Activities'!K191,606))</x:f>
        <x:v>0</x:v>
      </x:c>
      <x:c r="DC191" s="23" t="n">
        <x:f>MAX(0,MIN('Activities'!L191,618)-MAX('Activities'!K191,612))</x:f>
        <x:v>0</x:v>
      </x:c>
      <x:c r="DD191" s="23" t="n">
        <x:f>MAX(0,MIN('Activities'!L191,624)-MAX('Activities'!K191,618))</x:f>
        <x:v>0</x:v>
      </x:c>
      <x:c r="DE191" s="23" t="n">
        <x:f>MAX(0,MIN('Activities'!L191,630)-MAX('Activities'!K191,624))</x:f>
        <x:v>0</x:v>
      </x:c>
      <x:c r="DF191" s="23" t="n">
        <x:f>MAX(0,MIN('Activities'!L191,636)-MAX('Activities'!K191,630))</x:f>
        <x:v>0</x:v>
      </x:c>
    </x:row>
    <x:row r="192" ht="23" customHeight="1">
      <x:c r="A192" s="6" t="str">
        <x:v>T2-L10-H</x:v>
      </x:c>
      <x:c r="B192" s="6" t="str">
        <x:v>T2</x:v>
      </x:c>
      <x:c r="C192" s="6" t="str">
        <x:v>Curing and release hold point</x:v>
      </x:c>
      <x:c r="D192" s="6" t="str">
        <x:v>Site</x:v>
      </x:c>
      <x:c r="E192" s="22" t="n">
        <x:f>MAX(0,MIN('Activities'!L192,6)-MAX('Activities'!K192,0))</x:f>
        <x:v>0</x:v>
      </x:c>
      <x:c r="F192" s="22" t="n">
        <x:f>MAX(0,MIN('Activities'!L192,12)-MAX('Activities'!K192,6))</x:f>
        <x:v>0</x:v>
      </x:c>
      <x:c r="G192" s="22" t="n">
        <x:f>MAX(0,MIN('Activities'!L192,18)-MAX('Activities'!K192,12))</x:f>
        <x:v>0</x:v>
      </x:c>
      <x:c r="H192" s="22" t="n">
        <x:f>MAX(0,MIN('Activities'!L192,24)-MAX('Activities'!K192,18))</x:f>
        <x:v>0</x:v>
      </x:c>
      <x:c r="I192" s="22" t="n">
        <x:f>MAX(0,MIN('Activities'!L192,30)-MAX('Activities'!K192,24))</x:f>
        <x:v>0</x:v>
      </x:c>
      <x:c r="J192" s="22" t="n">
        <x:f>MAX(0,MIN('Activities'!L192,36)-MAX('Activities'!K192,30))</x:f>
        <x:v>0</x:v>
      </x:c>
      <x:c r="K192" s="22" t="n">
        <x:f>MAX(0,MIN('Activities'!L192,42)-MAX('Activities'!K192,36))</x:f>
        <x:v>0</x:v>
      </x:c>
      <x:c r="L192" s="22" t="n">
        <x:f>MAX(0,MIN('Activities'!L192,48)-MAX('Activities'!K192,42))</x:f>
        <x:v>0</x:v>
      </x:c>
      <x:c r="M192" s="22" t="n">
        <x:f>MAX(0,MIN('Activities'!L192,54)-MAX('Activities'!K192,48))</x:f>
        <x:v>0</x:v>
      </x:c>
      <x:c r="N192" s="22" t="n">
        <x:f>MAX(0,MIN('Activities'!L192,60)-MAX('Activities'!K192,54))</x:f>
        <x:v>0</x:v>
      </x:c>
      <x:c r="O192" s="22" t="n">
        <x:f>MAX(0,MIN('Activities'!L192,66)-MAX('Activities'!K192,60))</x:f>
        <x:v>0</x:v>
      </x:c>
      <x:c r="P192" s="22" t="n">
        <x:f>MAX(0,MIN('Activities'!L192,72)-MAX('Activities'!K192,66))</x:f>
        <x:v>0</x:v>
      </x:c>
      <x:c r="Q192" s="22" t="n">
        <x:f>MAX(0,MIN('Activities'!L192,78)-MAX('Activities'!K192,72))</x:f>
        <x:v>0</x:v>
      </x:c>
      <x:c r="R192" s="22" t="n">
        <x:f>MAX(0,MIN('Activities'!L192,84)-MAX('Activities'!K192,78))</x:f>
        <x:v>0</x:v>
      </x:c>
      <x:c r="S192" s="22" t="n">
        <x:f>MAX(0,MIN('Activities'!L192,90)-MAX('Activities'!K192,84))</x:f>
        <x:v>0</x:v>
      </x:c>
      <x:c r="T192" s="22" t="n">
        <x:f>MAX(0,MIN('Activities'!L192,96)-MAX('Activities'!K192,90))</x:f>
        <x:v>0</x:v>
      </x:c>
      <x:c r="U192" s="22" t="n">
        <x:f>MAX(0,MIN('Activities'!L192,102)-MAX('Activities'!K192,96))</x:f>
        <x:v>0</x:v>
      </x:c>
      <x:c r="V192" s="22" t="n">
        <x:f>MAX(0,MIN('Activities'!L192,108)-MAX('Activities'!K192,102))</x:f>
        <x:v>0</x:v>
      </x:c>
      <x:c r="W192" s="22" t="n">
        <x:f>MAX(0,MIN('Activities'!L192,114)-MAX('Activities'!K192,108))</x:f>
        <x:v>0</x:v>
      </x:c>
      <x:c r="X192" s="22" t="n">
        <x:f>MAX(0,MIN('Activities'!L192,120)-MAX('Activities'!K192,114))</x:f>
        <x:v>0</x:v>
      </x:c>
      <x:c r="Y192" s="22" t="n">
        <x:f>MAX(0,MIN('Activities'!L192,126)-MAX('Activities'!K192,120))</x:f>
        <x:v>0</x:v>
      </x:c>
      <x:c r="Z192" s="22" t="n">
        <x:f>MAX(0,MIN('Activities'!L192,132)-MAX('Activities'!K192,126))</x:f>
        <x:v>0</x:v>
      </x:c>
      <x:c r="AA192" s="22" t="n">
        <x:f>MAX(0,MIN('Activities'!L192,138)-MAX('Activities'!K192,132))</x:f>
        <x:v>0</x:v>
      </x:c>
      <x:c r="AB192" s="22" t="n">
        <x:f>MAX(0,MIN('Activities'!L192,144)-MAX('Activities'!K192,138))</x:f>
        <x:v>0</x:v>
      </x:c>
      <x:c r="AC192" s="22" t="n">
        <x:f>MAX(0,MIN('Activities'!L192,150)-MAX('Activities'!K192,144))</x:f>
        <x:v>0</x:v>
      </x:c>
      <x:c r="AD192" s="22" t="n">
        <x:f>MAX(0,MIN('Activities'!L192,156)-MAX('Activities'!K192,150))</x:f>
        <x:v>0</x:v>
      </x:c>
      <x:c r="AE192" s="22" t="n">
        <x:f>MAX(0,MIN('Activities'!L192,162)-MAX('Activities'!K192,156))</x:f>
        <x:v>0</x:v>
      </x:c>
      <x:c r="AF192" s="22" t="n">
        <x:f>MAX(0,MIN('Activities'!L192,168)-MAX('Activities'!K192,162))</x:f>
        <x:v>0</x:v>
      </x:c>
      <x:c r="AG192" s="22" t="n">
        <x:f>MAX(0,MIN('Activities'!L192,174)-MAX('Activities'!K192,168))</x:f>
        <x:v>0</x:v>
      </x:c>
      <x:c r="AH192" s="22" t="n">
        <x:f>MAX(0,MIN('Activities'!L192,180)-MAX('Activities'!K192,174))</x:f>
        <x:v>0</x:v>
      </x:c>
      <x:c r="AI192" s="22" t="n">
        <x:f>MAX(0,MIN('Activities'!L192,186)-MAX('Activities'!K192,180))</x:f>
        <x:v>0</x:v>
      </x:c>
      <x:c r="AJ192" s="22" t="n">
        <x:f>MAX(0,MIN('Activities'!L192,192)-MAX('Activities'!K192,186))</x:f>
        <x:v>0</x:v>
      </x:c>
      <x:c r="AK192" s="22" t="n">
        <x:f>MAX(0,MIN('Activities'!L192,198)-MAX('Activities'!K192,192))</x:f>
        <x:v>0</x:v>
      </x:c>
      <x:c r="AL192" s="22" t="n">
        <x:f>MAX(0,MIN('Activities'!L192,204)-MAX('Activities'!K192,198))</x:f>
        <x:v>0</x:v>
      </x:c>
      <x:c r="AM192" s="22" t="n">
        <x:f>MAX(0,MIN('Activities'!L192,210)-MAX('Activities'!K192,204))</x:f>
        <x:v>0</x:v>
      </x:c>
      <x:c r="AN192" s="22" t="n">
        <x:f>MAX(0,MIN('Activities'!L192,216)-MAX('Activities'!K192,210))</x:f>
        <x:v>0</x:v>
      </x:c>
      <x:c r="AO192" s="22" t="n">
        <x:f>MAX(0,MIN('Activities'!L192,222)-MAX('Activities'!K192,216))</x:f>
        <x:v>0</x:v>
      </x:c>
      <x:c r="AP192" s="22" t="n">
        <x:f>MAX(0,MIN('Activities'!L192,228)-MAX('Activities'!K192,222))</x:f>
        <x:v>0</x:v>
      </x:c>
      <x:c r="AQ192" s="22" t="n">
        <x:f>MAX(0,MIN('Activities'!L192,234)-MAX('Activities'!K192,228))</x:f>
        <x:v>0</x:v>
      </x:c>
      <x:c r="AR192" s="22" t="n">
        <x:f>MAX(0,MIN('Activities'!L192,240)-MAX('Activities'!K192,234))</x:f>
        <x:v>0</x:v>
      </x:c>
      <x:c r="AS192" s="22" t="n">
        <x:f>MAX(0,MIN('Activities'!L192,246)-MAX('Activities'!K192,240))</x:f>
        <x:v>0</x:v>
      </x:c>
      <x:c r="AT192" s="22" t="n">
        <x:f>MAX(0,MIN('Activities'!L192,252)-MAX('Activities'!K192,246))</x:f>
        <x:v>0</x:v>
      </x:c>
      <x:c r="AU192" s="22" t="n">
        <x:f>MAX(0,MIN('Activities'!L192,258)-MAX('Activities'!K192,252))</x:f>
        <x:v>0</x:v>
      </x:c>
      <x:c r="AV192" s="22" t="n">
        <x:f>MAX(0,MIN('Activities'!L192,264)-MAX('Activities'!K192,258))</x:f>
        <x:v>0</x:v>
      </x:c>
      <x:c r="AW192" s="22" t="n">
        <x:f>MAX(0,MIN('Activities'!L192,270)-MAX('Activities'!K192,264))</x:f>
        <x:v>0</x:v>
      </x:c>
      <x:c r="AX192" s="22" t="n">
        <x:f>MAX(0,MIN('Activities'!L192,276)-MAX('Activities'!K192,270))</x:f>
        <x:v>0</x:v>
      </x:c>
      <x:c r="AY192" s="22" t="n">
        <x:f>MAX(0,MIN('Activities'!L192,282)-MAX('Activities'!K192,276))</x:f>
        <x:v>0</x:v>
      </x:c>
      <x:c r="AZ192" s="22" t="n">
        <x:f>MAX(0,MIN('Activities'!L192,288)-MAX('Activities'!K192,282))</x:f>
        <x:v>0</x:v>
      </x:c>
      <x:c r="BA192" s="22" t="n">
        <x:f>MAX(0,MIN('Activities'!L192,294)-MAX('Activities'!K192,288))</x:f>
        <x:v>0</x:v>
      </x:c>
      <x:c r="BB192" s="22" t="n">
        <x:f>MAX(0,MIN('Activities'!L192,300)-MAX('Activities'!K192,294))</x:f>
        <x:v>0</x:v>
      </x:c>
      <x:c r="BC192" s="22" t="n">
        <x:f>MAX(0,MIN('Activities'!L192,306)-MAX('Activities'!K192,300))</x:f>
        <x:v>0</x:v>
      </x:c>
      <x:c r="BD192" s="22" t="n">
        <x:f>MAX(0,MIN('Activities'!L192,312)-MAX('Activities'!K192,306))</x:f>
        <x:v>0</x:v>
      </x:c>
      <x:c r="BE192" s="22" t="n">
        <x:f>MAX(0,MIN('Activities'!L192,318)-MAX('Activities'!K192,312))</x:f>
        <x:v>0</x:v>
      </x:c>
      <x:c r="BF192" s="22" t="n">
        <x:f>MAX(0,MIN('Activities'!L192,324)-MAX('Activities'!K192,318))</x:f>
        <x:v>0</x:v>
      </x:c>
      <x:c r="BG192" s="22" t="n">
        <x:f>MAX(0,MIN('Activities'!L192,330)-MAX('Activities'!K192,324))</x:f>
        <x:v>0</x:v>
      </x:c>
      <x:c r="BH192" s="22" t="n">
        <x:f>MAX(0,MIN('Activities'!L192,336)-MAX('Activities'!K192,330))</x:f>
        <x:v>0</x:v>
      </x:c>
      <x:c r="BI192" s="22" t="n">
        <x:f>MAX(0,MIN('Activities'!L192,342)-MAX('Activities'!K192,336))</x:f>
        <x:v>3</x:v>
      </x:c>
      <x:c r="BJ192" s="22" t="n">
        <x:f>MAX(0,MIN('Activities'!L192,348)-MAX('Activities'!K192,342))</x:f>
        <x:v>2</x:v>
      </x:c>
      <x:c r="BK192" s="22" t="n">
        <x:f>MAX(0,MIN('Activities'!L192,354)-MAX('Activities'!K192,348))</x:f>
        <x:v>0</x:v>
      </x:c>
      <x:c r="BL192" s="22" t="n">
        <x:f>MAX(0,MIN('Activities'!L192,360)-MAX('Activities'!K192,354))</x:f>
        <x:v>0</x:v>
      </x:c>
      <x:c r="BM192" s="22" t="n">
        <x:f>MAX(0,MIN('Activities'!L192,366)-MAX('Activities'!K192,360))</x:f>
        <x:v>0</x:v>
      </x:c>
      <x:c r="BN192" s="22" t="n">
        <x:f>MAX(0,MIN('Activities'!L192,372)-MAX('Activities'!K192,366))</x:f>
        <x:v>0</x:v>
      </x:c>
      <x:c r="BO192" s="22" t="n">
        <x:f>MAX(0,MIN('Activities'!L192,378)-MAX('Activities'!K192,372))</x:f>
        <x:v>0</x:v>
      </x:c>
      <x:c r="BP192" s="22" t="n">
        <x:f>MAX(0,MIN('Activities'!L192,384)-MAX('Activities'!K192,378))</x:f>
        <x:v>0</x:v>
      </x:c>
      <x:c r="BQ192" s="22" t="n">
        <x:f>MAX(0,MIN('Activities'!L192,390)-MAX('Activities'!K192,384))</x:f>
        <x:v>0</x:v>
      </x:c>
      <x:c r="BR192" s="22" t="n">
        <x:f>MAX(0,MIN('Activities'!L192,396)-MAX('Activities'!K192,390))</x:f>
        <x:v>0</x:v>
      </x:c>
      <x:c r="BS192" s="22" t="n">
        <x:f>MAX(0,MIN('Activities'!L192,402)-MAX('Activities'!K192,396))</x:f>
        <x:v>0</x:v>
      </x:c>
      <x:c r="BT192" s="22" t="n">
        <x:f>MAX(0,MIN('Activities'!L192,408)-MAX('Activities'!K192,402))</x:f>
        <x:v>0</x:v>
      </x:c>
      <x:c r="BU192" s="22" t="n">
        <x:f>MAX(0,MIN('Activities'!L192,414)-MAX('Activities'!K192,408))</x:f>
        <x:v>0</x:v>
      </x:c>
      <x:c r="BV192" s="22" t="n">
        <x:f>MAX(0,MIN('Activities'!L192,420)-MAX('Activities'!K192,414))</x:f>
        <x:v>0</x:v>
      </x:c>
      <x:c r="BW192" s="22" t="n">
        <x:f>MAX(0,MIN('Activities'!L192,426)-MAX('Activities'!K192,420))</x:f>
        <x:v>0</x:v>
      </x:c>
      <x:c r="BX192" s="22" t="n">
        <x:f>MAX(0,MIN('Activities'!L192,432)-MAX('Activities'!K192,426))</x:f>
        <x:v>0</x:v>
      </x:c>
      <x:c r="BY192" s="22" t="n">
        <x:f>MAX(0,MIN('Activities'!L192,438)-MAX('Activities'!K192,432))</x:f>
        <x:v>0</x:v>
      </x:c>
      <x:c r="BZ192" s="22" t="n">
        <x:f>MAX(0,MIN('Activities'!L192,444)-MAX('Activities'!K192,438))</x:f>
        <x:v>0</x:v>
      </x:c>
      <x:c r="CA192" s="22" t="n">
        <x:f>MAX(0,MIN('Activities'!L192,450)-MAX('Activities'!K192,444))</x:f>
        <x:v>0</x:v>
      </x:c>
      <x:c r="CB192" s="22" t="n">
        <x:f>MAX(0,MIN('Activities'!L192,456)-MAX('Activities'!K192,450))</x:f>
        <x:v>0</x:v>
      </x:c>
      <x:c r="CC192" s="22" t="n">
        <x:f>MAX(0,MIN('Activities'!L192,462)-MAX('Activities'!K192,456))</x:f>
        <x:v>0</x:v>
      </x:c>
      <x:c r="CD192" s="22" t="n">
        <x:f>MAX(0,MIN('Activities'!L192,468)-MAX('Activities'!K192,462))</x:f>
        <x:v>0</x:v>
      </x:c>
      <x:c r="CE192" s="22" t="n">
        <x:f>MAX(0,MIN('Activities'!L192,474)-MAX('Activities'!K192,468))</x:f>
        <x:v>0</x:v>
      </x:c>
      <x:c r="CF192" s="22" t="n">
        <x:f>MAX(0,MIN('Activities'!L192,480)-MAX('Activities'!K192,474))</x:f>
        <x:v>0</x:v>
      </x:c>
      <x:c r="CG192" s="22" t="n">
        <x:f>MAX(0,MIN('Activities'!L192,486)-MAX('Activities'!K192,480))</x:f>
        <x:v>0</x:v>
      </x:c>
      <x:c r="CH192" s="22" t="n">
        <x:f>MAX(0,MIN('Activities'!L192,492)-MAX('Activities'!K192,486))</x:f>
        <x:v>0</x:v>
      </x:c>
      <x:c r="CI192" s="22" t="n">
        <x:f>MAX(0,MIN('Activities'!L192,498)-MAX('Activities'!K192,492))</x:f>
        <x:v>0</x:v>
      </x:c>
      <x:c r="CJ192" s="22" t="n">
        <x:f>MAX(0,MIN('Activities'!L192,504)-MAX('Activities'!K192,498))</x:f>
        <x:v>0</x:v>
      </x:c>
      <x:c r="CK192" s="22" t="n">
        <x:f>MAX(0,MIN('Activities'!L192,510)-MAX('Activities'!K192,504))</x:f>
        <x:v>0</x:v>
      </x:c>
      <x:c r="CL192" s="22" t="n">
        <x:f>MAX(0,MIN('Activities'!L192,516)-MAX('Activities'!K192,510))</x:f>
        <x:v>0</x:v>
      </x:c>
      <x:c r="CM192" s="22" t="n">
        <x:f>MAX(0,MIN('Activities'!L192,522)-MAX('Activities'!K192,516))</x:f>
        <x:v>0</x:v>
      </x:c>
      <x:c r="CN192" s="22" t="n">
        <x:f>MAX(0,MIN('Activities'!L192,528)-MAX('Activities'!K192,522))</x:f>
        <x:v>0</x:v>
      </x:c>
      <x:c r="CO192" s="22" t="n">
        <x:f>MAX(0,MIN('Activities'!L192,534)-MAX('Activities'!K192,528))</x:f>
        <x:v>0</x:v>
      </x:c>
      <x:c r="CP192" s="22" t="n">
        <x:f>MAX(0,MIN('Activities'!L192,540)-MAX('Activities'!K192,534))</x:f>
        <x:v>0</x:v>
      </x:c>
      <x:c r="CQ192" s="22" t="n">
        <x:f>MAX(0,MIN('Activities'!L192,546)-MAX('Activities'!K192,540))</x:f>
        <x:v>0</x:v>
      </x:c>
      <x:c r="CR192" s="22" t="n">
        <x:f>MAX(0,MIN('Activities'!L192,552)-MAX('Activities'!K192,546))</x:f>
        <x:v>0</x:v>
      </x:c>
      <x:c r="CS192" s="22" t="n">
        <x:f>MAX(0,MIN('Activities'!L192,558)-MAX('Activities'!K192,552))</x:f>
        <x:v>0</x:v>
      </x:c>
      <x:c r="CT192" s="22" t="n">
        <x:f>MAX(0,MIN('Activities'!L192,564)-MAX('Activities'!K192,558))</x:f>
        <x:v>0</x:v>
      </x:c>
      <x:c r="CU192" s="22" t="n">
        <x:f>MAX(0,MIN('Activities'!L192,570)-MAX('Activities'!K192,564))</x:f>
        <x:v>0</x:v>
      </x:c>
      <x:c r="CV192" s="22" t="n">
        <x:f>MAX(0,MIN('Activities'!L192,576)-MAX('Activities'!K192,570))</x:f>
        <x:v>0</x:v>
      </x:c>
      <x:c r="CW192" s="22" t="n">
        <x:f>MAX(0,MIN('Activities'!L192,582)-MAX('Activities'!K192,576))</x:f>
        <x:v>0</x:v>
      </x:c>
      <x:c r="CX192" s="22" t="n">
        <x:f>MAX(0,MIN('Activities'!L192,588)-MAX('Activities'!K192,582))</x:f>
        <x:v>0</x:v>
      </x:c>
      <x:c r="CY192" s="22" t="n">
        <x:f>MAX(0,MIN('Activities'!L192,594)-MAX('Activities'!K192,588))</x:f>
        <x:v>0</x:v>
      </x:c>
      <x:c r="CZ192" s="22" t="n">
        <x:f>MAX(0,MIN('Activities'!L192,600)-MAX('Activities'!K192,594))</x:f>
        <x:v>0</x:v>
      </x:c>
      <x:c r="DA192" s="22" t="n">
        <x:f>MAX(0,MIN('Activities'!L192,606)-MAX('Activities'!K192,600))</x:f>
        <x:v>0</x:v>
      </x:c>
      <x:c r="DB192" s="22" t="n">
        <x:f>MAX(0,MIN('Activities'!L192,612)-MAX('Activities'!K192,606))</x:f>
        <x:v>0</x:v>
      </x:c>
      <x:c r="DC192" s="22" t="n">
        <x:f>MAX(0,MIN('Activities'!L192,618)-MAX('Activities'!K192,612))</x:f>
        <x:v>0</x:v>
      </x:c>
      <x:c r="DD192" s="22" t="n">
        <x:f>MAX(0,MIN('Activities'!L192,624)-MAX('Activities'!K192,618))</x:f>
        <x:v>0</x:v>
      </x:c>
      <x:c r="DE192" s="22" t="n">
        <x:f>MAX(0,MIN('Activities'!L192,630)-MAX('Activities'!K192,624))</x:f>
        <x:v>0</x:v>
      </x:c>
      <x:c r="DF192" s="22" t="n">
        <x:f>MAX(0,MIN('Activities'!L192,636)-MAX('Activities'!K192,630))</x:f>
        <x:v>0</x:v>
      </x:c>
    </x:row>
    <x:row r="193" ht="23" customHeight="1">
      <x:c r="A193" s="1" t="str">
        <x:v>T2-L11-F</x:v>
      </x:c>
      <x:c r="B193" s="1" t="str">
        <x:v>T2</x:v>
      </x:c>
      <x:c r="C193" s="1" t="str">
        <x:v>Columns, core and deck formwork</x:v>
      </x:c>
      <x:c r="D193" s="1" t="str">
        <x:v>Formwork</x:v>
      </x:c>
      <x:c r="E193" s="23" t="n">
        <x:f>MAX(0,MIN('Activities'!L193,6)-MAX('Activities'!K193,0))</x:f>
        <x:v>0</x:v>
      </x:c>
      <x:c r="F193" s="23" t="n">
        <x:f>MAX(0,MIN('Activities'!L193,12)-MAX('Activities'!K193,6))</x:f>
        <x:v>0</x:v>
      </x:c>
      <x:c r="G193" s="23" t="n">
        <x:f>MAX(0,MIN('Activities'!L193,18)-MAX('Activities'!K193,12))</x:f>
        <x:v>0</x:v>
      </x:c>
      <x:c r="H193" s="23" t="n">
        <x:f>MAX(0,MIN('Activities'!L193,24)-MAX('Activities'!K193,18))</x:f>
        <x:v>0</x:v>
      </x:c>
      <x:c r="I193" s="23" t="n">
        <x:f>MAX(0,MIN('Activities'!L193,30)-MAX('Activities'!K193,24))</x:f>
        <x:v>0</x:v>
      </x:c>
      <x:c r="J193" s="23" t="n">
        <x:f>MAX(0,MIN('Activities'!L193,36)-MAX('Activities'!K193,30))</x:f>
        <x:v>0</x:v>
      </x:c>
      <x:c r="K193" s="23" t="n">
        <x:f>MAX(0,MIN('Activities'!L193,42)-MAX('Activities'!K193,36))</x:f>
        <x:v>0</x:v>
      </x:c>
      <x:c r="L193" s="23" t="n">
        <x:f>MAX(0,MIN('Activities'!L193,48)-MAX('Activities'!K193,42))</x:f>
        <x:v>0</x:v>
      </x:c>
      <x:c r="M193" s="23" t="n">
        <x:f>MAX(0,MIN('Activities'!L193,54)-MAX('Activities'!K193,48))</x:f>
        <x:v>0</x:v>
      </x:c>
      <x:c r="N193" s="23" t="n">
        <x:f>MAX(0,MIN('Activities'!L193,60)-MAX('Activities'!K193,54))</x:f>
        <x:v>0</x:v>
      </x:c>
      <x:c r="O193" s="23" t="n">
        <x:f>MAX(0,MIN('Activities'!L193,66)-MAX('Activities'!K193,60))</x:f>
        <x:v>0</x:v>
      </x:c>
      <x:c r="P193" s="23" t="n">
        <x:f>MAX(0,MIN('Activities'!L193,72)-MAX('Activities'!K193,66))</x:f>
        <x:v>0</x:v>
      </x:c>
      <x:c r="Q193" s="23" t="n">
        <x:f>MAX(0,MIN('Activities'!L193,78)-MAX('Activities'!K193,72))</x:f>
        <x:v>0</x:v>
      </x:c>
      <x:c r="R193" s="23" t="n">
        <x:f>MAX(0,MIN('Activities'!L193,84)-MAX('Activities'!K193,78))</x:f>
        <x:v>0</x:v>
      </x:c>
      <x:c r="S193" s="23" t="n">
        <x:f>MAX(0,MIN('Activities'!L193,90)-MAX('Activities'!K193,84))</x:f>
        <x:v>0</x:v>
      </x:c>
      <x:c r="T193" s="23" t="n">
        <x:f>MAX(0,MIN('Activities'!L193,96)-MAX('Activities'!K193,90))</x:f>
        <x:v>0</x:v>
      </x:c>
      <x:c r="U193" s="23" t="n">
        <x:f>MAX(0,MIN('Activities'!L193,102)-MAX('Activities'!K193,96))</x:f>
        <x:v>0</x:v>
      </x:c>
      <x:c r="V193" s="23" t="n">
        <x:f>MAX(0,MIN('Activities'!L193,108)-MAX('Activities'!K193,102))</x:f>
        <x:v>0</x:v>
      </x:c>
      <x:c r="W193" s="23" t="n">
        <x:f>MAX(0,MIN('Activities'!L193,114)-MAX('Activities'!K193,108))</x:f>
        <x:v>0</x:v>
      </x:c>
      <x:c r="X193" s="23" t="n">
        <x:f>MAX(0,MIN('Activities'!L193,120)-MAX('Activities'!K193,114))</x:f>
        <x:v>0</x:v>
      </x:c>
      <x:c r="Y193" s="23" t="n">
        <x:f>MAX(0,MIN('Activities'!L193,126)-MAX('Activities'!K193,120))</x:f>
        <x:v>0</x:v>
      </x:c>
      <x:c r="Z193" s="23" t="n">
        <x:f>MAX(0,MIN('Activities'!L193,132)-MAX('Activities'!K193,126))</x:f>
        <x:v>0</x:v>
      </x:c>
      <x:c r="AA193" s="23" t="n">
        <x:f>MAX(0,MIN('Activities'!L193,138)-MAX('Activities'!K193,132))</x:f>
        <x:v>0</x:v>
      </x:c>
      <x:c r="AB193" s="23" t="n">
        <x:f>MAX(0,MIN('Activities'!L193,144)-MAX('Activities'!K193,138))</x:f>
        <x:v>0</x:v>
      </x:c>
      <x:c r="AC193" s="23" t="n">
        <x:f>MAX(0,MIN('Activities'!L193,150)-MAX('Activities'!K193,144))</x:f>
        <x:v>0</x:v>
      </x:c>
      <x:c r="AD193" s="23" t="n">
        <x:f>MAX(0,MIN('Activities'!L193,156)-MAX('Activities'!K193,150))</x:f>
        <x:v>0</x:v>
      </x:c>
      <x:c r="AE193" s="23" t="n">
        <x:f>MAX(0,MIN('Activities'!L193,162)-MAX('Activities'!K193,156))</x:f>
        <x:v>0</x:v>
      </x:c>
      <x:c r="AF193" s="23" t="n">
        <x:f>MAX(0,MIN('Activities'!L193,168)-MAX('Activities'!K193,162))</x:f>
        <x:v>0</x:v>
      </x:c>
      <x:c r="AG193" s="23" t="n">
        <x:f>MAX(0,MIN('Activities'!L193,174)-MAX('Activities'!K193,168))</x:f>
        <x:v>0</x:v>
      </x:c>
      <x:c r="AH193" s="23" t="n">
        <x:f>MAX(0,MIN('Activities'!L193,180)-MAX('Activities'!K193,174))</x:f>
        <x:v>0</x:v>
      </x:c>
      <x:c r="AI193" s="23" t="n">
        <x:f>MAX(0,MIN('Activities'!L193,186)-MAX('Activities'!K193,180))</x:f>
        <x:v>0</x:v>
      </x:c>
      <x:c r="AJ193" s="23" t="n">
        <x:f>MAX(0,MIN('Activities'!L193,192)-MAX('Activities'!K193,186))</x:f>
        <x:v>0</x:v>
      </x:c>
      <x:c r="AK193" s="23" t="n">
        <x:f>MAX(0,MIN('Activities'!L193,198)-MAX('Activities'!K193,192))</x:f>
        <x:v>0</x:v>
      </x:c>
      <x:c r="AL193" s="23" t="n">
        <x:f>MAX(0,MIN('Activities'!L193,204)-MAX('Activities'!K193,198))</x:f>
        <x:v>0</x:v>
      </x:c>
      <x:c r="AM193" s="23" t="n">
        <x:f>MAX(0,MIN('Activities'!L193,210)-MAX('Activities'!K193,204))</x:f>
        <x:v>0</x:v>
      </x:c>
      <x:c r="AN193" s="23" t="n">
        <x:f>MAX(0,MIN('Activities'!L193,216)-MAX('Activities'!K193,210))</x:f>
        <x:v>0</x:v>
      </x:c>
      <x:c r="AO193" s="23" t="n">
        <x:f>MAX(0,MIN('Activities'!L193,222)-MAX('Activities'!K193,216))</x:f>
        <x:v>0</x:v>
      </x:c>
      <x:c r="AP193" s="23" t="n">
        <x:f>MAX(0,MIN('Activities'!L193,228)-MAX('Activities'!K193,222))</x:f>
        <x:v>0</x:v>
      </x:c>
      <x:c r="AQ193" s="23" t="n">
        <x:f>MAX(0,MIN('Activities'!L193,234)-MAX('Activities'!K193,228))</x:f>
        <x:v>0</x:v>
      </x:c>
      <x:c r="AR193" s="23" t="n">
        <x:f>MAX(0,MIN('Activities'!L193,240)-MAX('Activities'!K193,234))</x:f>
        <x:v>0</x:v>
      </x:c>
      <x:c r="AS193" s="23" t="n">
        <x:f>MAX(0,MIN('Activities'!L193,246)-MAX('Activities'!K193,240))</x:f>
        <x:v>0</x:v>
      </x:c>
      <x:c r="AT193" s="23" t="n">
        <x:f>MAX(0,MIN('Activities'!L193,252)-MAX('Activities'!K193,246))</x:f>
        <x:v>0</x:v>
      </x:c>
      <x:c r="AU193" s="23" t="n">
        <x:f>MAX(0,MIN('Activities'!L193,258)-MAX('Activities'!K193,252))</x:f>
        <x:v>0</x:v>
      </x:c>
      <x:c r="AV193" s="23" t="n">
        <x:f>MAX(0,MIN('Activities'!L193,264)-MAX('Activities'!K193,258))</x:f>
        <x:v>0</x:v>
      </x:c>
      <x:c r="AW193" s="23" t="n">
        <x:f>MAX(0,MIN('Activities'!L193,270)-MAX('Activities'!K193,264))</x:f>
        <x:v>0</x:v>
      </x:c>
      <x:c r="AX193" s="23" t="n">
        <x:f>MAX(0,MIN('Activities'!L193,276)-MAX('Activities'!K193,270))</x:f>
        <x:v>0</x:v>
      </x:c>
      <x:c r="AY193" s="23" t="n">
        <x:f>MAX(0,MIN('Activities'!L193,282)-MAX('Activities'!K193,276))</x:f>
        <x:v>0</x:v>
      </x:c>
      <x:c r="AZ193" s="23" t="n">
        <x:f>MAX(0,MIN('Activities'!L193,288)-MAX('Activities'!K193,282))</x:f>
        <x:v>0</x:v>
      </x:c>
      <x:c r="BA193" s="23" t="n">
        <x:f>MAX(0,MIN('Activities'!L193,294)-MAX('Activities'!K193,288))</x:f>
        <x:v>0</x:v>
      </x:c>
      <x:c r="BB193" s="23" t="n">
        <x:f>MAX(0,MIN('Activities'!L193,300)-MAX('Activities'!K193,294))</x:f>
        <x:v>0</x:v>
      </x:c>
      <x:c r="BC193" s="23" t="n">
        <x:f>MAX(0,MIN('Activities'!L193,306)-MAX('Activities'!K193,300))</x:f>
        <x:v>0</x:v>
      </x:c>
      <x:c r="BD193" s="23" t="n">
        <x:f>MAX(0,MIN('Activities'!L193,312)-MAX('Activities'!K193,306))</x:f>
        <x:v>0</x:v>
      </x:c>
      <x:c r="BE193" s="23" t="n">
        <x:f>MAX(0,MIN('Activities'!L193,318)-MAX('Activities'!K193,312))</x:f>
        <x:v>0</x:v>
      </x:c>
      <x:c r="BF193" s="23" t="n">
        <x:f>MAX(0,MIN('Activities'!L193,324)-MAX('Activities'!K193,318))</x:f>
        <x:v>0</x:v>
      </x:c>
      <x:c r="BG193" s="23" t="n">
        <x:f>MAX(0,MIN('Activities'!L193,330)-MAX('Activities'!K193,324))</x:f>
        <x:v>0</x:v>
      </x:c>
      <x:c r="BH193" s="23" t="n">
        <x:f>MAX(0,MIN('Activities'!L193,336)-MAX('Activities'!K193,330))</x:f>
        <x:v>0</x:v>
      </x:c>
      <x:c r="BI193" s="23" t="n">
        <x:f>MAX(0,MIN('Activities'!L193,342)-MAX('Activities'!K193,336))</x:f>
        <x:v>0</x:v>
      </x:c>
      <x:c r="BJ193" s="23" t="n">
        <x:f>MAX(0,MIN('Activities'!L193,348)-MAX('Activities'!K193,342))</x:f>
        <x:v>4</x:v>
      </x:c>
      <x:c r="BK193" s="23" t="n">
        <x:f>MAX(0,MIN('Activities'!L193,354)-MAX('Activities'!K193,348))</x:f>
        <x:v>2</x:v>
      </x:c>
      <x:c r="BL193" s="23" t="n">
        <x:f>MAX(0,MIN('Activities'!L193,360)-MAX('Activities'!K193,354))</x:f>
        <x:v>0</x:v>
      </x:c>
      <x:c r="BM193" s="23" t="n">
        <x:f>MAX(0,MIN('Activities'!L193,366)-MAX('Activities'!K193,360))</x:f>
        <x:v>0</x:v>
      </x:c>
      <x:c r="BN193" s="23" t="n">
        <x:f>MAX(0,MIN('Activities'!L193,372)-MAX('Activities'!K193,366))</x:f>
        <x:v>0</x:v>
      </x:c>
      <x:c r="BO193" s="23" t="n">
        <x:f>MAX(0,MIN('Activities'!L193,378)-MAX('Activities'!K193,372))</x:f>
        <x:v>0</x:v>
      </x:c>
      <x:c r="BP193" s="23" t="n">
        <x:f>MAX(0,MIN('Activities'!L193,384)-MAX('Activities'!K193,378))</x:f>
        <x:v>0</x:v>
      </x:c>
      <x:c r="BQ193" s="23" t="n">
        <x:f>MAX(0,MIN('Activities'!L193,390)-MAX('Activities'!K193,384))</x:f>
        <x:v>0</x:v>
      </x:c>
      <x:c r="BR193" s="23" t="n">
        <x:f>MAX(0,MIN('Activities'!L193,396)-MAX('Activities'!K193,390))</x:f>
        <x:v>0</x:v>
      </x:c>
      <x:c r="BS193" s="23" t="n">
        <x:f>MAX(0,MIN('Activities'!L193,402)-MAX('Activities'!K193,396))</x:f>
        <x:v>0</x:v>
      </x:c>
      <x:c r="BT193" s="23" t="n">
        <x:f>MAX(0,MIN('Activities'!L193,408)-MAX('Activities'!K193,402))</x:f>
        <x:v>0</x:v>
      </x:c>
      <x:c r="BU193" s="23" t="n">
        <x:f>MAX(0,MIN('Activities'!L193,414)-MAX('Activities'!K193,408))</x:f>
        <x:v>0</x:v>
      </x:c>
      <x:c r="BV193" s="23" t="n">
        <x:f>MAX(0,MIN('Activities'!L193,420)-MAX('Activities'!K193,414))</x:f>
        <x:v>0</x:v>
      </x:c>
      <x:c r="BW193" s="23" t="n">
        <x:f>MAX(0,MIN('Activities'!L193,426)-MAX('Activities'!K193,420))</x:f>
        <x:v>0</x:v>
      </x:c>
      <x:c r="BX193" s="23" t="n">
        <x:f>MAX(0,MIN('Activities'!L193,432)-MAX('Activities'!K193,426))</x:f>
        <x:v>0</x:v>
      </x:c>
      <x:c r="BY193" s="23" t="n">
        <x:f>MAX(0,MIN('Activities'!L193,438)-MAX('Activities'!K193,432))</x:f>
        <x:v>0</x:v>
      </x:c>
      <x:c r="BZ193" s="23" t="n">
        <x:f>MAX(0,MIN('Activities'!L193,444)-MAX('Activities'!K193,438))</x:f>
        <x:v>0</x:v>
      </x:c>
      <x:c r="CA193" s="23" t="n">
        <x:f>MAX(0,MIN('Activities'!L193,450)-MAX('Activities'!K193,444))</x:f>
        <x:v>0</x:v>
      </x:c>
      <x:c r="CB193" s="23" t="n">
        <x:f>MAX(0,MIN('Activities'!L193,456)-MAX('Activities'!K193,450))</x:f>
        <x:v>0</x:v>
      </x:c>
      <x:c r="CC193" s="23" t="n">
        <x:f>MAX(0,MIN('Activities'!L193,462)-MAX('Activities'!K193,456))</x:f>
        <x:v>0</x:v>
      </x:c>
      <x:c r="CD193" s="23" t="n">
        <x:f>MAX(0,MIN('Activities'!L193,468)-MAX('Activities'!K193,462))</x:f>
        <x:v>0</x:v>
      </x:c>
      <x:c r="CE193" s="23" t="n">
        <x:f>MAX(0,MIN('Activities'!L193,474)-MAX('Activities'!K193,468))</x:f>
        <x:v>0</x:v>
      </x:c>
      <x:c r="CF193" s="23" t="n">
        <x:f>MAX(0,MIN('Activities'!L193,480)-MAX('Activities'!K193,474))</x:f>
        <x:v>0</x:v>
      </x:c>
      <x:c r="CG193" s="23" t="n">
        <x:f>MAX(0,MIN('Activities'!L193,486)-MAX('Activities'!K193,480))</x:f>
        <x:v>0</x:v>
      </x:c>
      <x:c r="CH193" s="23" t="n">
        <x:f>MAX(0,MIN('Activities'!L193,492)-MAX('Activities'!K193,486))</x:f>
        <x:v>0</x:v>
      </x:c>
      <x:c r="CI193" s="23" t="n">
        <x:f>MAX(0,MIN('Activities'!L193,498)-MAX('Activities'!K193,492))</x:f>
        <x:v>0</x:v>
      </x:c>
      <x:c r="CJ193" s="23" t="n">
        <x:f>MAX(0,MIN('Activities'!L193,504)-MAX('Activities'!K193,498))</x:f>
        <x:v>0</x:v>
      </x:c>
      <x:c r="CK193" s="23" t="n">
        <x:f>MAX(0,MIN('Activities'!L193,510)-MAX('Activities'!K193,504))</x:f>
        <x:v>0</x:v>
      </x:c>
      <x:c r="CL193" s="23" t="n">
        <x:f>MAX(0,MIN('Activities'!L193,516)-MAX('Activities'!K193,510))</x:f>
        <x:v>0</x:v>
      </x:c>
      <x:c r="CM193" s="23" t="n">
        <x:f>MAX(0,MIN('Activities'!L193,522)-MAX('Activities'!K193,516))</x:f>
        <x:v>0</x:v>
      </x:c>
      <x:c r="CN193" s="23" t="n">
        <x:f>MAX(0,MIN('Activities'!L193,528)-MAX('Activities'!K193,522))</x:f>
        <x:v>0</x:v>
      </x:c>
      <x:c r="CO193" s="23" t="n">
        <x:f>MAX(0,MIN('Activities'!L193,534)-MAX('Activities'!K193,528))</x:f>
        <x:v>0</x:v>
      </x:c>
      <x:c r="CP193" s="23" t="n">
        <x:f>MAX(0,MIN('Activities'!L193,540)-MAX('Activities'!K193,534))</x:f>
        <x:v>0</x:v>
      </x:c>
      <x:c r="CQ193" s="23" t="n">
        <x:f>MAX(0,MIN('Activities'!L193,546)-MAX('Activities'!K193,540))</x:f>
        <x:v>0</x:v>
      </x:c>
      <x:c r="CR193" s="23" t="n">
        <x:f>MAX(0,MIN('Activities'!L193,552)-MAX('Activities'!K193,546))</x:f>
        <x:v>0</x:v>
      </x:c>
      <x:c r="CS193" s="23" t="n">
        <x:f>MAX(0,MIN('Activities'!L193,558)-MAX('Activities'!K193,552))</x:f>
        <x:v>0</x:v>
      </x:c>
      <x:c r="CT193" s="23" t="n">
        <x:f>MAX(0,MIN('Activities'!L193,564)-MAX('Activities'!K193,558))</x:f>
        <x:v>0</x:v>
      </x:c>
      <x:c r="CU193" s="23" t="n">
        <x:f>MAX(0,MIN('Activities'!L193,570)-MAX('Activities'!K193,564))</x:f>
        <x:v>0</x:v>
      </x:c>
      <x:c r="CV193" s="23" t="n">
        <x:f>MAX(0,MIN('Activities'!L193,576)-MAX('Activities'!K193,570))</x:f>
        <x:v>0</x:v>
      </x:c>
      <x:c r="CW193" s="23" t="n">
        <x:f>MAX(0,MIN('Activities'!L193,582)-MAX('Activities'!K193,576))</x:f>
        <x:v>0</x:v>
      </x:c>
      <x:c r="CX193" s="23" t="n">
        <x:f>MAX(0,MIN('Activities'!L193,588)-MAX('Activities'!K193,582))</x:f>
        <x:v>0</x:v>
      </x:c>
      <x:c r="CY193" s="23" t="n">
        <x:f>MAX(0,MIN('Activities'!L193,594)-MAX('Activities'!K193,588))</x:f>
        <x:v>0</x:v>
      </x:c>
      <x:c r="CZ193" s="23" t="n">
        <x:f>MAX(0,MIN('Activities'!L193,600)-MAX('Activities'!K193,594))</x:f>
        <x:v>0</x:v>
      </x:c>
      <x:c r="DA193" s="23" t="n">
        <x:f>MAX(0,MIN('Activities'!L193,606)-MAX('Activities'!K193,600))</x:f>
        <x:v>0</x:v>
      </x:c>
      <x:c r="DB193" s="23" t="n">
        <x:f>MAX(0,MIN('Activities'!L193,612)-MAX('Activities'!K193,606))</x:f>
        <x:v>0</x:v>
      </x:c>
      <x:c r="DC193" s="23" t="n">
        <x:f>MAX(0,MIN('Activities'!L193,618)-MAX('Activities'!K193,612))</x:f>
        <x:v>0</x:v>
      </x:c>
      <x:c r="DD193" s="23" t="n">
        <x:f>MAX(0,MIN('Activities'!L193,624)-MAX('Activities'!K193,618))</x:f>
        <x:v>0</x:v>
      </x:c>
      <x:c r="DE193" s="23" t="n">
        <x:f>MAX(0,MIN('Activities'!L193,630)-MAX('Activities'!K193,624))</x:f>
        <x:v>0</x:v>
      </x:c>
      <x:c r="DF193" s="23" t="n">
        <x:f>MAX(0,MIN('Activities'!L193,636)-MAX('Activities'!K193,630))</x:f>
        <x:v>0</x:v>
      </x:c>
    </x:row>
    <x:row r="194" ht="23" customHeight="1">
      <x:c r="A194" s="6" t="str">
        <x:v>T2-L11-R</x:v>
      </x:c>
      <x:c r="B194" s="6" t="str">
        <x:v>T2</x:v>
      </x:c>
      <x:c r="C194" s="6" t="str">
        <x:v>Column, wall, beam and slab reinforcement</x:v>
      </x:c>
      <x:c r="D194" s="6" t="str">
        <x:v>Rebar</x:v>
      </x:c>
      <x:c r="E194" s="22" t="n">
        <x:f>MAX(0,MIN('Activities'!L194,6)-MAX('Activities'!K194,0))</x:f>
        <x:v>0</x:v>
      </x:c>
      <x:c r="F194" s="22" t="n">
        <x:f>MAX(0,MIN('Activities'!L194,12)-MAX('Activities'!K194,6))</x:f>
        <x:v>0</x:v>
      </x:c>
      <x:c r="G194" s="22" t="n">
        <x:f>MAX(0,MIN('Activities'!L194,18)-MAX('Activities'!K194,12))</x:f>
        <x:v>0</x:v>
      </x:c>
      <x:c r="H194" s="22" t="n">
        <x:f>MAX(0,MIN('Activities'!L194,24)-MAX('Activities'!K194,18))</x:f>
        <x:v>0</x:v>
      </x:c>
      <x:c r="I194" s="22" t="n">
        <x:f>MAX(0,MIN('Activities'!L194,30)-MAX('Activities'!K194,24))</x:f>
        <x:v>0</x:v>
      </x:c>
      <x:c r="J194" s="22" t="n">
        <x:f>MAX(0,MIN('Activities'!L194,36)-MAX('Activities'!K194,30))</x:f>
        <x:v>0</x:v>
      </x:c>
      <x:c r="K194" s="22" t="n">
        <x:f>MAX(0,MIN('Activities'!L194,42)-MAX('Activities'!K194,36))</x:f>
        <x:v>0</x:v>
      </x:c>
      <x:c r="L194" s="22" t="n">
        <x:f>MAX(0,MIN('Activities'!L194,48)-MAX('Activities'!K194,42))</x:f>
        <x:v>0</x:v>
      </x:c>
      <x:c r="M194" s="22" t="n">
        <x:f>MAX(0,MIN('Activities'!L194,54)-MAX('Activities'!K194,48))</x:f>
        <x:v>0</x:v>
      </x:c>
      <x:c r="N194" s="22" t="n">
        <x:f>MAX(0,MIN('Activities'!L194,60)-MAX('Activities'!K194,54))</x:f>
        <x:v>0</x:v>
      </x:c>
      <x:c r="O194" s="22" t="n">
        <x:f>MAX(0,MIN('Activities'!L194,66)-MAX('Activities'!K194,60))</x:f>
        <x:v>0</x:v>
      </x:c>
      <x:c r="P194" s="22" t="n">
        <x:f>MAX(0,MIN('Activities'!L194,72)-MAX('Activities'!K194,66))</x:f>
        <x:v>0</x:v>
      </x:c>
      <x:c r="Q194" s="22" t="n">
        <x:f>MAX(0,MIN('Activities'!L194,78)-MAX('Activities'!K194,72))</x:f>
        <x:v>0</x:v>
      </x:c>
      <x:c r="R194" s="22" t="n">
        <x:f>MAX(0,MIN('Activities'!L194,84)-MAX('Activities'!K194,78))</x:f>
        <x:v>0</x:v>
      </x:c>
      <x:c r="S194" s="22" t="n">
        <x:f>MAX(0,MIN('Activities'!L194,90)-MAX('Activities'!K194,84))</x:f>
        <x:v>0</x:v>
      </x:c>
      <x:c r="T194" s="22" t="n">
        <x:f>MAX(0,MIN('Activities'!L194,96)-MAX('Activities'!K194,90))</x:f>
        <x:v>0</x:v>
      </x:c>
      <x:c r="U194" s="22" t="n">
        <x:f>MAX(0,MIN('Activities'!L194,102)-MAX('Activities'!K194,96))</x:f>
        <x:v>0</x:v>
      </x:c>
      <x:c r="V194" s="22" t="n">
        <x:f>MAX(0,MIN('Activities'!L194,108)-MAX('Activities'!K194,102))</x:f>
        <x:v>0</x:v>
      </x:c>
      <x:c r="W194" s="22" t="n">
        <x:f>MAX(0,MIN('Activities'!L194,114)-MAX('Activities'!K194,108))</x:f>
        <x:v>0</x:v>
      </x:c>
      <x:c r="X194" s="22" t="n">
        <x:f>MAX(0,MIN('Activities'!L194,120)-MAX('Activities'!K194,114))</x:f>
        <x:v>0</x:v>
      </x:c>
      <x:c r="Y194" s="22" t="n">
        <x:f>MAX(0,MIN('Activities'!L194,126)-MAX('Activities'!K194,120))</x:f>
        <x:v>0</x:v>
      </x:c>
      <x:c r="Z194" s="22" t="n">
        <x:f>MAX(0,MIN('Activities'!L194,132)-MAX('Activities'!K194,126))</x:f>
        <x:v>0</x:v>
      </x:c>
      <x:c r="AA194" s="22" t="n">
        <x:f>MAX(0,MIN('Activities'!L194,138)-MAX('Activities'!K194,132))</x:f>
        <x:v>0</x:v>
      </x:c>
      <x:c r="AB194" s="22" t="n">
        <x:f>MAX(0,MIN('Activities'!L194,144)-MAX('Activities'!K194,138))</x:f>
        <x:v>0</x:v>
      </x:c>
      <x:c r="AC194" s="22" t="n">
        <x:f>MAX(0,MIN('Activities'!L194,150)-MAX('Activities'!K194,144))</x:f>
        <x:v>0</x:v>
      </x:c>
      <x:c r="AD194" s="22" t="n">
        <x:f>MAX(0,MIN('Activities'!L194,156)-MAX('Activities'!K194,150))</x:f>
        <x:v>0</x:v>
      </x:c>
      <x:c r="AE194" s="22" t="n">
        <x:f>MAX(0,MIN('Activities'!L194,162)-MAX('Activities'!K194,156))</x:f>
        <x:v>0</x:v>
      </x:c>
      <x:c r="AF194" s="22" t="n">
        <x:f>MAX(0,MIN('Activities'!L194,168)-MAX('Activities'!K194,162))</x:f>
        <x:v>0</x:v>
      </x:c>
      <x:c r="AG194" s="22" t="n">
        <x:f>MAX(0,MIN('Activities'!L194,174)-MAX('Activities'!K194,168))</x:f>
        <x:v>0</x:v>
      </x:c>
      <x:c r="AH194" s="22" t="n">
        <x:f>MAX(0,MIN('Activities'!L194,180)-MAX('Activities'!K194,174))</x:f>
        <x:v>0</x:v>
      </x:c>
      <x:c r="AI194" s="22" t="n">
        <x:f>MAX(0,MIN('Activities'!L194,186)-MAX('Activities'!K194,180))</x:f>
        <x:v>0</x:v>
      </x:c>
      <x:c r="AJ194" s="22" t="n">
        <x:f>MAX(0,MIN('Activities'!L194,192)-MAX('Activities'!K194,186))</x:f>
        <x:v>0</x:v>
      </x:c>
      <x:c r="AK194" s="22" t="n">
        <x:f>MAX(0,MIN('Activities'!L194,198)-MAX('Activities'!K194,192))</x:f>
        <x:v>0</x:v>
      </x:c>
      <x:c r="AL194" s="22" t="n">
        <x:f>MAX(0,MIN('Activities'!L194,204)-MAX('Activities'!K194,198))</x:f>
        <x:v>0</x:v>
      </x:c>
      <x:c r="AM194" s="22" t="n">
        <x:f>MAX(0,MIN('Activities'!L194,210)-MAX('Activities'!K194,204))</x:f>
        <x:v>0</x:v>
      </x:c>
      <x:c r="AN194" s="22" t="n">
        <x:f>MAX(0,MIN('Activities'!L194,216)-MAX('Activities'!K194,210))</x:f>
        <x:v>0</x:v>
      </x:c>
      <x:c r="AO194" s="22" t="n">
        <x:f>MAX(0,MIN('Activities'!L194,222)-MAX('Activities'!K194,216))</x:f>
        <x:v>0</x:v>
      </x:c>
      <x:c r="AP194" s="22" t="n">
        <x:f>MAX(0,MIN('Activities'!L194,228)-MAX('Activities'!K194,222))</x:f>
        <x:v>0</x:v>
      </x:c>
      <x:c r="AQ194" s="22" t="n">
        <x:f>MAX(0,MIN('Activities'!L194,234)-MAX('Activities'!K194,228))</x:f>
        <x:v>0</x:v>
      </x:c>
      <x:c r="AR194" s="22" t="n">
        <x:f>MAX(0,MIN('Activities'!L194,240)-MAX('Activities'!K194,234))</x:f>
        <x:v>0</x:v>
      </x:c>
      <x:c r="AS194" s="22" t="n">
        <x:f>MAX(0,MIN('Activities'!L194,246)-MAX('Activities'!K194,240))</x:f>
        <x:v>0</x:v>
      </x:c>
      <x:c r="AT194" s="22" t="n">
        <x:f>MAX(0,MIN('Activities'!L194,252)-MAX('Activities'!K194,246))</x:f>
        <x:v>0</x:v>
      </x:c>
      <x:c r="AU194" s="22" t="n">
        <x:f>MAX(0,MIN('Activities'!L194,258)-MAX('Activities'!K194,252))</x:f>
        <x:v>0</x:v>
      </x:c>
      <x:c r="AV194" s="22" t="n">
        <x:f>MAX(0,MIN('Activities'!L194,264)-MAX('Activities'!K194,258))</x:f>
        <x:v>0</x:v>
      </x:c>
      <x:c r="AW194" s="22" t="n">
        <x:f>MAX(0,MIN('Activities'!L194,270)-MAX('Activities'!K194,264))</x:f>
        <x:v>0</x:v>
      </x:c>
      <x:c r="AX194" s="22" t="n">
        <x:f>MAX(0,MIN('Activities'!L194,276)-MAX('Activities'!K194,270))</x:f>
        <x:v>0</x:v>
      </x:c>
      <x:c r="AY194" s="22" t="n">
        <x:f>MAX(0,MIN('Activities'!L194,282)-MAX('Activities'!K194,276))</x:f>
        <x:v>0</x:v>
      </x:c>
      <x:c r="AZ194" s="22" t="n">
        <x:f>MAX(0,MIN('Activities'!L194,288)-MAX('Activities'!K194,282))</x:f>
        <x:v>0</x:v>
      </x:c>
      <x:c r="BA194" s="22" t="n">
        <x:f>MAX(0,MIN('Activities'!L194,294)-MAX('Activities'!K194,288))</x:f>
        <x:v>0</x:v>
      </x:c>
      <x:c r="BB194" s="22" t="n">
        <x:f>MAX(0,MIN('Activities'!L194,300)-MAX('Activities'!K194,294))</x:f>
        <x:v>0</x:v>
      </x:c>
      <x:c r="BC194" s="22" t="n">
        <x:f>MAX(0,MIN('Activities'!L194,306)-MAX('Activities'!K194,300))</x:f>
        <x:v>0</x:v>
      </x:c>
      <x:c r="BD194" s="22" t="n">
        <x:f>MAX(0,MIN('Activities'!L194,312)-MAX('Activities'!K194,306))</x:f>
        <x:v>0</x:v>
      </x:c>
      <x:c r="BE194" s="22" t="n">
        <x:f>MAX(0,MIN('Activities'!L194,318)-MAX('Activities'!K194,312))</x:f>
        <x:v>0</x:v>
      </x:c>
      <x:c r="BF194" s="22" t="n">
        <x:f>MAX(0,MIN('Activities'!L194,324)-MAX('Activities'!K194,318))</x:f>
        <x:v>0</x:v>
      </x:c>
      <x:c r="BG194" s="22" t="n">
        <x:f>MAX(0,MIN('Activities'!L194,330)-MAX('Activities'!K194,324))</x:f>
        <x:v>0</x:v>
      </x:c>
      <x:c r="BH194" s="22" t="n">
        <x:f>MAX(0,MIN('Activities'!L194,336)-MAX('Activities'!K194,330))</x:f>
        <x:v>0</x:v>
      </x:c>
      <x:c r="BI194" s="22" t="n">
        <x:f>MAX(0,MIN('Activities'!L194,342)-MAX('Activities'!K194,336))</x:f>
        <x:v>0</x:v>
      </x:c>
      <x:c r="BJ194" s="22" t="n">
        <x:f>MAX(0,MIN('Activities'!L194,348)-MAX('Activities'!K194,342))</x:f>
        <x:v>0</x:v>
      </x:c>
      <x:c r="BK194" s="22" t="n">
        <x:f>MAX(0,MIN('Activities'!L194,354)-MAX('Activities'!K194,348))</x:f>
        <x:v>4</x:v>
      </x:c>
      <x:c r="BL194" s="22" t="n">
        <x:f>MAX(0,MIN('Activities'!L194,360)-MAX('Activities'!K194,354))</x:f>
        <x:v>1</x:v>
      </x:c>
      <x:c r="BM194" s="22" t="n">
        <x:f>MAX(0,MIN('Activities'!L194,366)-MAX('Activities'!K194,360))</x:f>
        <x:v>0</x:v>
      </x:c>
      <x:c r="BN194" s="22" t="n">
        <x:f>MAX(0,MIN('Activities'!L194,372)-MAX('Activities'!K194,366))</x:f>
        <x:v>0</x:v>
      </x:c>
      <x:c r="BO194" s="22" t="n">
        <x:f>MAX(0,MIN('Activities'!L194,378)-MAX('Activities'!K194,372))</x:f>
        <x:v>0</x:v>
      </x:c>
      <x:c r="BP194" s="22" t="n">
        <x:f>MAX(0,MIN('Activities'!L194,384)-MAX('Activities'!K194,378))</x:f>
        <x:v>0</x:v>
      </x:c>
      <x:c r="BQ194" s="22" t="n">
        <x:f>MAX(0,MIN('Activities'!L194,390)-MAX('Activities'!K194,384))</x:f>
        <x:v>0</x:v>
      </x:c>
      <x:c r="BR194" s="22" t="n">
        <x:f>MAX(0,MIN('Activities'!L194,396)-MAX('Activities'!K194,390))</x:f>
        <x:v>0</x:v>
      </x:c>
      <x:c r="BS194" s="22" t="n">
        <x:f>MAX(0,MIN('Activities'!L194,402)-MAX('Activities'!K194,396))</x:f>
        <x:v>0</x:v>
      </x:c>
      <x:c r="BT194" s="22" t="n">
        <x:f>MAX(0,MIN('Activities'!L194,408)-MAX('Activities'!K194,402))</x:f>
        <x:v>0</x:v>
      </x:c>
      <x:c r="BU194" s="22" t="n">
        <x:f>MAX(0,MIN('Activities'!L194,414)-MAX('Activities'!K194,408))</x:f>
        <x:v>0</x:v>
      </x:c>
      <x:c r="BV194" s="22" t="n">
        <x:f>MAX(0,MIN('Activities'!L194,420)-MAX('Activities'!K194,414))</x:f>
        <x:v>0</x:v>
      </x:c>
      <x:c r="BW194" s="22" t="n">
        <x:f>MAX(0,MIN('Activities'!L194,426)-MAX('Activities'!K194,420))</x:f>
        <x:v>0</x:v>
      </x:c>
      <x:c r="BX194" s="22" t="n">
        <x:f>MAX(0,MIN('Activities'!L194,432)-MAX('Activities'!K194,426))</x:f>
        <x:v>0</x:v>
      </x:c>
      <x:c r="BY194" s="22" t="n">
        <x:f>MAX(0,MIN('Activities'!L194,438)-MAX('Activities'!K194,432))</x:f>
        <x:v>0</x:v>
      </x:c>
      <x:c r="BZ194" s="22" t="n">
        <x:f>MAX(0,MIN('Activities'!L194,444)-MAX('Activities'!K194,438))</x:f>
        <x:v>0</x:v>
      </x:c>
      <x:c r="CA194" s="22" t="n">
        <x:f>MAX(0,MIN('Activities'!L194,450)-MAX('Activities'!K194,444))</x:f>
        <x:v>0</x:v>
      </x:c>
      <x:c r="CB194" s="22" t="n">
        <x:f>MAX(0,MIN('Activities'!L194,456)-MAX('Activities'!K194,450))</x:f>
        <x:v>0</x:v>
      </x:c>
      <x:c r="CC194" s="22" t="n">
        <x:f>MAX(0,MIN('Activities'!L194,462)-MAX('Activities'!K194,456))</x:f>
        <x:v>0</x:v>
      </x:c>
      <x:c r="CD194" s="22" t="n">
        <x:f>MAX(0,MIN('Activities'!L194,468)-MAX('Activities'!K194,462))</x:f>
        <x:v>0</x:v>
      </x:c>
      <x:c r="CE194" s="22" t="n">
        <x:f>MAX(0,MIN('Activities'!L194,474)-MAX('Activities'!K194,468))</x:f>
        <x:v>0</x:v>
      </x:c>
      <x:c r="CF194" s="22" t="n">
        <x:f>MAX(0,MIN('Activities'!L194,480)-MAX('Activities'!K194,474))</x:f>
        <x:v>0</x:v>
      </x:c>
      <x:c r="CG194" s="22" t="n">
        <x:f>MAX(0,MIN('Activities'!L194,486)-MAX('Activities'!K194,480))</x:f>
        <x:v>0</x:v>
      </x:c>
      <x:c r="CH194" s="22" t="n">
        <x:f>MAX(0,MIN('Activities'!L194,492)-MAX('Activities'!K194,486))</x:f>
        <x:v>0</x:v>
      </x:c>
      <x:c r="CI194" s="22" t="n">
        <x:f>MAX(0,MIN('Activities'!L194,498)-MAX('Activities'!K194,492))</x:f>
        <x:v>0</x:v>
      </x:c>
      <x:c r="CJ194" s="22" t="n">
        <x:f>MAX(0,MIN('Activities'!L194,504)-MAX('Activities'!K194,498))</x:f>
        <x:v>0</x:v>
      </x:c>
      <x:c r="CK194" s="22" t="n">
        <x:f>MAX(0,MIN('Activities'!L194,510)-MAX('Activities'!K194,504))</x:f>
        <x:v>0</x:v>
      </x:c>
      <x:c r="CL194" s="22" t="n">
        <x:f>MAX(0,MIN('Activities'!L194,516)-MAX('Activities'!K194,510))</x:f>
        <x:v>0</x:v>
      </x:c>
      <x:c r="CM194" s="22" t="n">
        <x:f>MAX(0,MIN('Activities'!L194,522)-MAX('Activities'!K194,516))</x:f>
        <x:v>0</x:v>
      </x:c>
      <x:c r="CN194" s="22" t="n">
        <x:f>MAX(0,MIN('Activities'!L194,528)-MAX('Activities'!K194,522))</x:f>
        <x:v>0</x:v>
      </x:c>
      <x:c r="CO194" s="22" t="n">
        <x:f>MAX(0,MIN('Activities'!L194,534)-MAX('Activities'!K194,528))</x:f>
        <x:v>0</x:v>
      </x:c>
      <x:c r="CP194" s="22" t="n">
        <x:f>MAX(0,MIN('Activities'!L194,540)-MAX('Activities'!K194,534))</x:f>
        <x:v>0</x:v>
      </x:c>
      <x:c r="CQ194" s="22" t="n">
        <x:f>MAX(0,MIN('Activities'!L194,546)-MAX('Activities'!K194,540))</x:f>
        <x:v>0</x:v>
      </x:c>
      <x:c r="CR194" s="22" t="n">
        <x:f>MAX(0,MIN('Activities'!L194,552)-MAX('Activities'!K194,546))</x:f>
        <x:v>0</x:v>
      </x:c>
      <x:c r="CS194" s="22" t="n">
        <x:f>MAX(0,MIN('Activities'!L194,558)-MAX('Activities'!K194,552))</x:f>
        <x:v>0</x:v>
      </x:c>
      <x:c r="CT194" s="22" t="n">
        <x:f>MAX(0,MIN('Activities'!L194,564)-MAX('Activities'!K194,558))</x:f>
        <x:v>0</x:v>
      </x:c>
      <x:c r="CU194" s="22" t="n">
        <x:f>MAX(0,MIN('Activities'!L194,570)-MAX('Activities'!K194,564))</x:f>
        <x:v>0</x:v>
      </x:c>
      <x:c r="CV194" s="22" t="n">
        <x:f>MAX(0,MIN('Activities'!L194,576)-MAX('Activities'!K194,570))</x:f>
        <x:v>0</x:v>
      </x:c>
      <x:c r="CW194" s="22" t="n">
        <x:f>MAX(0,MIN('Activities'!L194,582)-MAX('Activities'!K194,576))</x:f>
        <x:v>0</x:v>
      </x:c>
      <x:c r="CX194" s="22" t="n">
        <x:f>MAX(0,MIN('Activities'!L194,588)-MAX('Activities'!K194,582))</x:f>
        <x:v>0</x:v>
      </x:c>
      <x:c r="CY194" s="22" t="n">
        <x:f>MAX(0,MIN('Activities'!L194,594)-MAX('Activities'!K194,588))</x:f>
        <x:v>0</x:v>
      </x:c>
      <x:c r="CZ194" s="22" t="n">
        <x:f>MAX(0,MIN('Activities'!L194,600)-MAX('Activities'!K194,594))</x:f>
        <x:v>0</x:v>
      </x:c>
      <x:c r="DA194" s="22" t="n">
        <x:f>MAX(0,MIN('Activities'!L194,606)-MAX('Activities'!K194,600))</x:f>
        <x:v>0</x:v>
      </x:c>
      <x:c r="DB194" s="22" t="n">
        <x:f>MAX(0,MIN('Activities'!L194,612)-MAX('Activities'!K194,606))</x:f>
        <x:v>0</x:v>
      </x:c>
      <x:c r="DC194" s="22" t="n">
        <x:f>MAX(0,MIN('Activities'!L194,618)-MAX('Activities'!K194,612))</x:f>
        <x:v>0</x:v>
      </x:c>
      <x:c r="DD194" s="22" t="n">
        <x:f>MAX(0,MIN('Activities'!L194,624)-MAX('Activities'!K194,618))</x:f>
        <x:v>0</x:v>
      </x:c>
      <x:c r="DE194" s="22" t="n">
        <x:f>MAX(0,MIN('Activities'!L194,630)-MAX('Activities'!K194,624))</x:f>
        <x:v>0</x:v>
      </x:c>
      <x:c r="DF194" s="22" t="n">
        <x:f>MAX(0,MIN('Activities'!L194,636)-MAX('Activities'!K194,630))</x:f>
        <x:v>0</x:v>
      </x:c>
    </x:row>
    <x:row r="195" ht="23" customHeight="1">
      <x:c r="A195" s="1" t="str">
        <x:v>T2-L11-C</x:v>
      </x:c>
      <x:c r="B195" s="1" t="str">
        <x:v>T2</x:v>
      </x:c>
      <x:c r="C195" s="1" t="str">
        <x:v>Concrete placement and finishing</x:v>
      </x:c>
      <x:c r="D195" s="1" t="str">
        <x:v>Concrete</x:v>
      </x:c>
      <x:c r="E195" s="23" t="n">
        <x:f>MAX(0,MIN('Activities'!L195,6)-MAX('Activities'!K195,0))</x:f>
        <x:v>0</x:v>
      </x:c>
      <x:c r="F195" s="23" t="n">
        <x:f>MAX(0,MIN('Activities'!L195,12)-MAX('Activities'!K195,6))</x:f>
        <x:v>0</x:v>
      </x:c>
      <x:c r="G195" s="23" t="n">
        <x:f>MAX(0,MIN('Activities'!L195,18)-MAX('Activities'!K195,12))</x:f>
        <x:v>0</x:v>
      </x:c>
      <x:c r="H195" s="23" t="n">
        <x:f>MAX(0,MIN('Activities'!L195,24)-MAX('Activities'!K195,18))</x:f>
        <x:v>0</x:v>
      </x:c>
      <x:c r="I195" s="23" t="n">
        <x:f>MAX(0,MIN('Activities'!L195,30)-MAX('Activities'!K195,24))</x:f>
        <x:v>0</x:v>
      </x:c>
      <x:c r="J195" s="23" t="n">
        <x:f>MAX(0,MIN('Activities'!L195,36)-MAX('Activities'!K195,30))</x:f>
        <x:v>0</x:v>
      </x:c>
      <x:c r="K195" s="23" t="n">
        <x:f>MAX(0,MIN('Activities'!L195,42)-MAX('Activities'!K195,36))</x:f>
        <x:v>0</x:v>
      </x:c>
      <x:c r="L195" s="23" t="n">
        <x:f>MAX(0,MIN('Activities'!L195,48)-MAX('Activities'!K195,42))</x:f>
        <x:v>0</x:v>
      </x:c>
      <x:c r="M195" s="23" t="n">
        <x:f>MAX(0,MIN('Activities'!L195,54)-MAX('Activities'!K195,48))</x:f>
        <x:v>0</x:v>
      </x:c>
      <x:c r="N195" s="23" t="n">
        <x:f>MAX(0,MIN('Activities'!L195,60)-MAX('Activities'!K195,54))</x:f>
        <x:v>0</x:v>
      </x:c>
      <x:c r="O195" s="23" t="n">
        <x:f>MAX(0,MIN('Activities'!L195,66)-MAX('Activities'!K195,60))</x:f>
        <x:v>0</x:v>
      </x:c>
      <x:c r="P195" s="23" t="n">
        <x:f>MAX(0,MIN('Activities'!L195,72)-MAX('Activities'!K195,66))</x:f>
        <x:v>0</x:v>
      </x:c>
      <x:c r="Q195" s="23" t="n">
        <x:f>MAX(0,MIN('Activities'!L195,78)-MAX('Activities'!K195,72))</x:f>
        <x:v>0</x:v>
      </x:c>
      <x:c r="R195" s="23" t="n">
        <x:f>MAX(0,MIN('Activities'!L195,84)-MAX('Activities'!K195,78))</x:f>
        <x:v>0</x:v>
      </x:c>
      <x:c r="S195" s="23" t="n">
        <x:f>MAX(0,MIN('Activities'!L195,90)-MAX('Activities'!K195,84))</x:f>
        <x:v>0</x:v>
      </x:c>
      <x:c r="T195" s="23" t="n">
        <x:f>MAX(0,MIN('Activities'!L195,96)-MAX('Activities'!K195,90))</x:f>
        <x:v>0</x:v>
      </x:c>
      <x:c r="U195" s="23" t="n">
        <x:f>MAX(0,MIN('Activities'!L195,102)-MAX('Activities'!K195,96))</x:f>
        <x:v>0</x:v>
      </x:c>
      <x:c r="V195" s="23" t="n">
        <x:f>MAX(0,MIN('Activities'!L195,108)-MAX('Activities'!K195,102))</x:f>
        <x:v>0</x:v>
      </x:c>
      <x:c r="W195" s="23" t="n">
        <x:f>MAX(0,MIN('Activities'!L195,114)-MAX('Activities'!K195,108))</x:f>
        <x:v>0</x:v>
      </x:c>
      <x:c r="X195" s="23" t="n">
        <x:f>MAX(0,MIN('Activities'!L195,120)-MAX('Activities'!K195,114))</x:f>
        <x:v>0</x:v>
      </x:c>
      <x:c r="Y195" s="23" t="n">
        <x:f>MAX(0,MIN('Activities'!L195,126)-MAX('Activities'!K195,120))</x:f>
        <x:v>0</x:v>
      </x:c>
      <x:c r="Z195" s="23" t="n">
        <x:f>MAX(0,MIN('Activities'!L195,132)-MAX('Activities'!K195,126))</x:f>
        <x:v>0</x:v>
      </x:c>
      <x:c r="AA195" s="23" t="n">
        <x:f>MAX(0,MIN('Activities'!L195,138)-MAX('Activities'!K195,132))</x:f>
        <x:v>0</x:v>
      </x:c>
      <x:c r="AB195" s="23" t="n">
        <x:f>MAX(0,MIN('Activities'!L195,144)-MAX('Activities'!K195,138))</x:f>
        <x:v>0</x:v>
      </x:c>
      <x:c r="AC195" s="23" t="n">
        <x:f>MAX(0,MIN('Activities'!L195,150)-MAX('Activities'!K195,144))</x:f>
        <x:v>0</x:v>
      </x:c>
      <x:c r="AD195" s="23" t="n">
        <x:f>MAX(0,MIN('Activities'!L195,156)-MAX('Activities'!K195,150))</x:f>
        <x:v>0</x:v>
      </x:c>
      <x:c r="AE195" s="23" t="n">
        <x:f>MAX(0,MIN('Activities'!L195,162)-MAX('Activities'!K195,156))</x:f>
        <x:v>0</x:v>
      </x:c>
      <x:c r="AF195" s="23" t="n">
        <x:f>MAX(0,MIN('Activities'!L195,168)-MAX('Activities'!K195,162))</x:f>
        <x:v>0</x:v>
      </x:c>
      <x:c r="AG195" s="23" t="n">
        <x:f>MAX(0,MIN('Activities'!L195,174)-MAX('Activities'!K195,168))</x:f>
        <x:v>0</x:v>
      </x:c>
      <x:c r="AH195" s="23" t="n">
        <x:f>MAX(0,MIN('Activities'!L195,180)-MAX('Activities'!K195,174))</x:f>
        <x:v>0</x:v>
      </x:c>
      <x:c r="AI195" s="23" t="n">
        <x:f>MAX(0,MIN('Activities'!L195,186)-MAX('Activities'!K195,180))</x:f>
        <x:v>0</x:v>
      </x:c>
      <x:c r="AJ195" s="23" t="n">
        <x:f>MAX(0,MIN('Activities'!L195,192)-MAX('Activities'!K195,186))</x:f>
        <x:v>0</x:v>
      </x:c>
      <x:c r="AK195" s="23" t="n">
        <x:f>MAX(0,MIN('Activities'!L195,198)-MAX('Activities'!K195,192))</x:f>
        <x:v>0</x:v>
      </x:c>
      <x:c r="AL195" s="23" t="n">
        <x:f>MAX(0,MIN('Activities'!L195,204)-MAX('Activities'!K195,198))</x:f>
        <x:v>0</x:v>
      </x:c>
      <x:c r="AM195" s="23" t="n">
        <x:f>MAX(0,MIN('Activities'!L195,210)-MAX('Activities'!K195,204))</x:f>
        <x:v>0</x:v>
      </x:c>
      <x:c r="AN195" s="23" t="n">
        <x:f>MAX(0,MIN('Activities'!L195,216)-MAX('Activities'!K195,210))</x:f>
        <x:v>0</x:v>
      </x:c>
      <x:c r="AO195" s="23" t="n">
        <x:f>MAX(0,MIN('Activities'!L195,222)-MAX('Activities'!K195,216))</x:f>
        <x:v>0</x:v>
      </x:c>
      <x:c r="AP195" s="23" t="n">
        <x:f>MAX(0,MIN('Activities'!L195,228)-MAX('Activities'!K195,222))</x:f>
        <x:v>0</x:v>
      </x:c>
      <x:c r="AQ195" s="23" t="n">
        <x:f>MAX(0,MIN('Activities'!L195,234)-MAX('Activities'!K195,228))</x:f>
        <x:v>0</x:v>
      </x:c>
      <x:c r="AR195" s="23" t="n">
        <x:f>MAX(0,MIN('Activities'!L195,240)-MAX('Activities'!K195,234))</x:f>
        <x:v>0</x:v>
      </x:c>
      <x:c r="AS195" s="23" t="n">
        <x:f>MAX(0,MIN('Activities'!L195,246)-MAX('Activities'!K195,240))</x:f>
        <x:v>0</x:v>
      </x:c>
      <x:c r="AT195" s="23" t="n">
        <x:f>MAX(0,MIN('Activities'!L195,252)-MAX('Activities'!K195,246))</x:f>
        <x:v>0</x:v>
      </x:c>
      <x:c r="AU195" s="23" t="n">
        <x:f>MAX(0,MIN('Activities'!L195,258)-MAX('Activities'!K195,252))</x:f>
        <x:v>0</x:v>
      </x:c>
      <x:c r="AV195" s="23" t="n">
        <x:f>MAX(0,MIN('Activities'!L195,264)-MAX('Activities'!K195,258))</x:f>
        <x:v>0</x:v>
      </x:c>
      <x:c r="AW195" s="23" t="n">
        <x:f>MAX(0,MIN('Activities'!L195,270)-MAX('Activities'!K195,264))</x:f>
        <x:v>0</x:v>
      </x:c>
      <x:c r="AX195" s="23" t="n">
        <x:f>MAX(0,MIN('Activities'!L195,276)-MAX('Activities'!K195,270))</x:f>
        <x:v>0</x:v>
      </x:c>
      <x:c r="AY195" s="23" t="n">
        <x:f>MAX(0,MIN('Activities'!L195,282)-MAX('Activities'!K195,276))</x:f>
        <x:v>0</x:v>
      </x:c>
      <x:c r="AZ195" s="23" t="n">
        <x:f>MAX(0,MIN('Activities'!L195,288)-MAX('Activities'!K195,282))</x:f>
        <x:v>0</x:v>
      </x:c>
      <x:c r="BA195" s="23" t="n">
        <x:f>MAX(0,MIN('Activities'!L195,294)-MAX('Activities'!K195,288))</x:f>
        <x:v>0</x:v>
      </x:c>
      <x:c r="BB195" s="23" t="n">
        <x:f>MAX(0,MIN('Activities'!L195,300)-MAX('Activities'!K195,294))</x:f>
        <x:v>0</x:v>
      </x:c>
      <x:c r="BC195" s="23" t="n">
        <x:f>MAX(0,MIN('Activities'!L195,306)-MAX('Activities'!K195,300))</x:f>
        <x:v>0</x:v>
      </x:c>
      <x:c r="BD195" s="23" t="n">
        <x:f>MAX(0,MIN('Activities'!L195,312)-MAX('Activities'!K195,306))</x:f>
        <x:v>0</x:v>
      </x:c>
      <x:c r="BE195" s="23" t="n">
        <x:f>MAX(0,MIN('Activities'!L195,318)-MAX('Activities'!K195,312))</x:f>
        <x:v>0</x:v>
      </x:c>
      <x:c r="BF195" s="23" t="n">
        <x:f>MAX(0,MIN('Activities'!L195,324)-MAX('Activities'!K195,318))</x:f>
        <x:v>0</x:v>
      </x:c>
      <x:c r="BG195" s="23" t="n">
        <x:f>MAX(0,MIN('Activities'!L195,330)-MAX('Activities'!K195,324))</x:f>
        <x:v>0</x:v>
      </x:c>
      <x:c r="BH195" s="23" t="n">
        <x:f>MAX(0,MIN('Activities'!L195,336)-MAX('Activities'!K195,330))</x:f>
        <x:v>0</x:v>
      </x:c>
      <x:c r="BI195" s="23" t="n">
        <x:f>MAX(0,MIN('Activities'!L195,342)-MAX('Activities'!K195,336))</x:f>
        <x:v>0</x:v>
      </x:c>
      <x:c r="BJ195" s="23" t="n">
        <x:f>MAX(0,MIN('Activities'!L195,348)-MAX('Activities'!K195,342))</x:f>
        <x:v>0</x:v>
      </x:c>
      <x:c r="BK195" s="23" t="n">
        <x:f>MAX(0,MIN('Activities'!L195,354)-MAX('Activities'!K195,348))</x:f>
        <x:v>0</x:v>
      </x:c>
      <x:c r="BL195" s="23" t="n">
        <x:f>MAX(0,MIN('Activities'!L195,360)-MAX('Activities'!K195,354))</x:f>
        <x:v>2</x:v>
      </x:c>
      <x:c r="BM195" s="23" t="n">
        <x:f>MAX(0,MIN('Activities'!L195,366)-MAX('Activities'!K195,360))</x:f>
        <x:v>0</x:v>
      </x:c>
      <x:c r="BN195" s="23" t="n">
        <x:f>MAX(0,MIN('Activities'!L195,372)-MAX('Activities'!K195,366))</x:f>
        <x:v>0</x:v>
      </x:c>
      <x:c r="BO195" s="23" t="n">
        <x:f>MAX(0,MIN('Activities'!L195,378)-MAX('Activities'!K195,372))</x:f>
        <x:v>0</x:v>
      </x:c>
      <x:c r="BP195" s="23" t="n">
        <x:f>MAX(0,MIN('Activities'!L195,384)-MAX('Activities'!K195,378))</x:f>
        <x:v>0</x:v>
      </x:c>
      <x:c r="BQ195" s="23" t="n">
        <x:f>MAX(0,MIN('Activities'!L195,390)-MAX('Activities'!K195,384))</x:f>
        <x:v>0</x:v>
      </x:c>
      <x:c r="BR195" s="23" t="n">
        <x:f>MAX(0,MIN('Activities'!L195,396)-MAX('Activities'!K195,390))</x:f>
        <x:v>0</x:v>
      </x:c>
      <x:c r="BS195" s="23" t="n">
        <x:f>MAX(0,MIN('Activities'!L195,402)-MAX('Activities'!K195,396))</x:f>
        <x:v>0</x:v>
      </x:c>
      <x:c r="BT195" s="23" t="n">
        <x:f>MAX(0,MIN('Activities'!L195,408)-MAX('Activities'!K195,402))</x:f>
        <x:v>0</x:v>
      </x:c>
      <x:c r="BU195" s="23" t="n">
        <x:f>MAX(0,MIN('Activities'!L195,414)-MAX('Activities'!K195,408))</x:f>
        <x:v>0</x:v>
      </x:c>
      <x:c r="BV195" s="23" t="n">
        <x:f>MAX(0,MIN('Activities'!L195,420)-MAX('Activities'!K195,414))</x:f>
        <x:v>0</x:v>
      </x:c>
      <x:c r="BW195" s="23" t="n">
        <x:f>MAX(0,MIN('Activities'!L195,426)-MAX('Activities'!K195,420))</x:f>
        <x:v>0</x:v>
      </x:c>
      <x:c r="BX195" s="23" t="n">
        <x:f>MAX(0,MIN('Activities'!L195,432)-MAX('Activities'!K195,426))</x:f>
        <x:v>0</x:v>
      </x:c>
      <x:c r="BY195" s="23" t="n">
        <x:f>MAX(0,MIN('Activities'!L195,438)-MAX('Activities'!K195,432))</x:f>
        <x:v>0</x:v>
      </x:c>
      <x:c r="BZ195" s="23" t="n">
        <x:f>MAX(0,MIN('Activities'!L195,444)-MAX('Activities'!K195,438))</x:f>
        <x:v>0</x:v>
      </x:c>
      <x:c r="CA195" s="23" t="n">
        <x:f>MAX(0,MIN('Activities'!L195,450)-MAX('Activities'!K195,444))</x:f>
        <x:v>0</x:v>
      </x:c>
      <x:c r="CB195" s="23" t="n">
        <x:f>MAX(0,MIN('Activities'!L195,456)-MAX('Activities'!K195,450))</x:f>
        <x:v>0</x:v>
      </x:c>
      <x:c r="CC195" s="23" t="n">
        <x:f>MAX(0,MIN('Activities'!L195,462)-MAX('Activities'!K195,456))</x:f>
        <x:v>0</x:v>
      </x:c>
      <x:c r="CD195" s="23" t="n">
        <x:f>MAX(0,MIN('Activities'!L195,468)-MAX('Activities'!K195,462))</x:f>
        <x:v>0</x:v>
      </x:c>
      <x:c r="CE195" s="23" t="n">
        <x:f>MAX(0,MIN('Activities'!L195,474)-MAX('Activities'!K195,468))</x:f>
        <x:v>0</x:v>
      </x:c>
      <x:c r="CF195" s="23" t="n">
        <x:f>MAX(0,MIN('Activities'!L195,480)-MAX('Activities'!K195,474))</x:f>
        <x:v>0</x:v>
      </x:c>
      <x:c r="CG195" s="23" t="n">
        <x:f>MAX(0,MIN('Activities'!L195,486)-MAX('Activities'!K195,480))</x:f>
        <x:v>0</x:v>
      </x:c>
      <x:c r="CH195" s="23" t="n">
        <x:f>MAX(0,MIN('Activities'!L195,492)-MAX('Activities'!K195,486))</x:f>
        <x:v>0</x:v>
      </x:c>
      <x:c r="CI195" s="23" t="n">
        <x:f>MAX(0,MIN('Activities'!L195,498)-MAX('Activities'!K195,492))</x:f>
        <x:v>0</x:v>
      </x:c>
      <x:c r="CJ195" s="23" t="n">
        <x:f>MAX(0,MIN('Activities'!L195,504)-MAX('Activities'!K195,498))</x:f>
        <x:v>0</x:v>
      </x:c>
      <x:c r="CK195" s="23" t="n">
        <x:f>MAX(0,MIN('Activities'!L195,510)-MAX('Activities'!K195,504))</x:f>
        <x:v>0</x:v>
      </x:c>
      <x:c r="CL195" s="23" t="n">
        <x:f>MAX(0,MIN('Activities'!L195,516)-MAX('Activities'!K195,510))</x:f>
        <x:v>0</x:v>
      </x:c>
      <x:c r="CM195" s="23" t="n">
        <x:f>MAX(0,MIN('Activities'!L195,522)-MAX('Activities'!K195,516))</x:f>
        <x:v>0</x:v>
      </x:c>
      <x:c r="CN195" s="23" t="n">
        <x:f>MAX(0,MIN('Activities'!L195,528)-MAX('Activities'!K195,522))</x:f>
        <x:v>0</x:v>
      </x:c>
      <x:c r="CO195" s="23" t="n">
        <x:f>MAX(0,MIN('Activities'!L195,534)-MAX('Activities'!K195,528))</x:f>
        <x:v>0</x:v>
      </x:c>
      <x:c r="CP195" s="23" t="n">
        <x:f>MAX(0,MIN('Activities'!L195,540)-MAX('Activities'!K195,534))</x:f>
        <x:v>0</x:v>
      </x:c>
      <x:c r="CQ195" s="23" t="n">
        <x:f>MAX(0,MIN('Activities'!L195,546)-MAX('Activities'!K195,540))</x:f>
        <x:v>0</x:v>
      </x:c>
      <x:c r="CR195" s="23" t="n">
        <x:f>MAX(0,MIN('Activities'!L195,552)-MAX('Activities'!K195,546))</x:f>
        <x:v>0</x:v>
      </x:c>
      <x:c r="CS195" s="23" t="n">
        <x:f>MAX(0,MIN('Activities'!L195,558)-MAX('Activities'!K195,552))</x:f>
        <x:v>0</x:v>
      </x:c>
      <x:c r="CT195" s="23" t="n">
        <x:f>MAX(0,MIN('Activities'!L195,564)-MAX('Activities'!K195,558))</x:f>
        <x:v>0</x:v>
      </x:c>
      <x:c r="CU195" s="23" t="n">
        <x:f>MAX(0,MIN('Activities'!L195,570)-MAX('Activities'!K195,564))</x:f>
        <x:v>0</x:v>
      </x:c>
      <x:c r="CV195" s="23" t="n">
        <x:f>MAX(0,MIN('Activities'!L195,576)-MAX('Activities'!K195,570))</x:f>
        <x:v>0</x:v>
      </x:c>
      <x:c r="CW195" s="23" t="n">
        <x:f>MAX(0,MIN('Activities'!L195,582)-MAX('Activities'!K195,576))</x:f>
        <x:v>0</x:v>
      </x:c>
      <x:c r="CX195" s="23" t="n">
        <x:f>MAX(0,MIN('Activities'!L195,588)-MAX('Activities'!K195,582))</x:f>
        <x:v>0</x:v>
      </x:c>
      <x:c r="CY195" s="23" t="n">
        <x:f>MAX(0,MIN('Activities'!L195,594)-MAX('Activities'!K195,588))</x:f>
        <x:v>0</x:v>
      </x:c>
      <x:c r="CZ195" s="23" t="n">
        <x:f>MAX(0,MIN('Activities'!L195,600)-MAX('Activities'!K195,594))</x:f>
        <x:v>0</x:v>
      </x:c>
      <x:c r="DA195" s="23" t="n">
        <x:f>MAX(0,MIN('Activities'!L195,606)-MAX('Activities'!K195,600))</x:f>
        <x:v>0</x:v>
      </x:c>
      <x:c r="DB195" s="23" t="n">
        <x:f>MAX(0,MIN('Activities'!L195,612)-MAX('Activities'!K195,606))</x:f>
        <x:v>0</x:v>
      </x:c>
      <x:c r="DC195" s="23" t="n">
        <x:f>MAX(0,MIN('Activities'!L195,618)-MAX('Activities'!K195,612))</x:f>
        <x:v>0</x:v>
      </x:c>
      <x:c r="DD195" s="23" t="n">
        <x:f>MAX(0,MIN('Activities'!L195,624)-MAX('Activities'!K195,618))</x:f>
        <x:v>0</x:v>
      </x:c>
      <x:c r="DE195" s="23" t="n">
        <x:f>MAX(0,MIN('Activities'!L195,630)-MAX('Activities'!K195,624))</x:f>
        <x:v>0</x:v>
      </x:c>
      <x:c r="DF195" s="23" t="n">
        <x:f>MAX(0,MIN('Activities'!L195,636)-MAX('Activities'!K195,630))</x:f>
        <x:v>0</x:v>
      </x:c>
    </x:row>
    <x:row r="196" ht="23" customHeight="1">
      <x:c r="A196" s="6" t="str">
        <x:v>T2-L11-H</x:v>
      </x:c>
      <x:c r="B196" s="6" t="str">
        <x:v>T2</x:v>
      </x:c>
      <x:c r="C196" s="6" t="str">
        <x:v>Curing and release hold point</x:v>
      </x:c>
      <x:c r="D196" s="6" t="str">
        <x:v>Site</x:v>
      </x:c>
      <x:c r="E196" s="22" t="n">
        <x:f>MAX(0,MIN('Activities'!L196,6)-MAX('Activities'!K196,0))</x:f>
        <x:v>0</x:v>
      </x:c>
      <x:c r="F196" s="22" t="n">
        <x:f>MAX(0,MIN('Activities'!L196,12)-MAX('Activities'!K196,6))</x:f>
        <x:v>0</x:v>
      </x:c>
      <x:c r="G196" s="22" t="n">
        <x:f>MAX(0,MIN('Activities'!L196,18)-MAX('Activities'!K196,12))</x:f>
        <x:v>0</x:v>
      </x:c>
      <x:c r="H196" s="22" t="n">
        <x:f>MAX(0,MIN('Activities'!L196,24)-MAX('Activities'!K196,18))</x:f>
        <x:v>0</x:v>
      </x:c>
      <x:c r="I196" s="22" t="n">
        <x:f>MAX(0,MIN('Activities'!L196,30)-MAX('Activities'!K196,24))</x:f>
        <x:v>0</x:v>
      </x:c>
      <x:c r="J196" s="22" t="n">
        <x:f>MAX(0,MIN('Activities'!L196,36)-MAX('Activities'!K196,30))</x:f>
        <x:v>0</x:v>
      </x:c>
      <x:c r="K196" s="22" t="n">
        <x:f>MAX(0,MIN('Activities'!L196,42)-MAX('Activities'!K196,36))</x:f>
        <x:v>0</x:v>
      </x:c>
      <x:c r="L196" s="22" t="n">
        <x:f>MAX(0,MIN('Activities'!L196,48)-MAX('Activities'!K196,42))</x:f>
        <x:v>0</x:v>
      </x:c>
      <x:c r="M196" s="22" t="n">
        <x:f>MAX(0,MIN('Activities'!L196,54)-MAX('Activities'!K196,48))</x:f>
        <x:v>0</x:v>
      </x:c>
      <x:c r="N196" s="22" t="n">
        <x:f>MAX(0,MIN('Activities'!L196,60)-MAX('Activities'!K196,54))</x:f>
        <x:v>0</x:v>
      </x:c>
      <x:c r="O196" s="22" t="n">
        <x:f>MAX(0,MIN('Activities'!L196,66)-MAX('Activities'!K196,60))</x:f>
        <x:v>0</x:v>
      </x:c>
      <x:c r="P196" s="22" t="n">
        <x:f>MAX(0,MIN('Activities'!L196,72)-MAX('Activities'!K196,66))</x:f>
        <x:v>0</x:v>
      </x:c>
      <x:c r="Q196" s="22" t="n">
        <x:f>MAX(0,MIN('Activities'!L196,78)-MAX('Activities'!K196,72))</x:f>
        <x:v>0</x:v>
      </x:c>
      <x:c r="R196" s="22" t="n">
        <x:f>MAX(0,MIN('Activities'!L196,84)-MAX('Activities'!K196,78))</x:f>
        <x:v>0</x:v>
      </x:c>
      <x:c r="S196" s="22" t="n">
        <x:f>MAX(0,MIN('Activities'!L196,90)-MAX('Activities'!K196,84))</x:f>
        <x:v>0</x:v>
      </x:c>
      <x:c r="T196" s="22" t="n">
        <x:f>MAX(0,MIN('Activities'!L196,96)-MAX('Activities'!K196,90))</x:f>
        <x:v>0</x:v>
      </x:c>
      <x:c r="U196" s="22" t="n">
        <x:f>MAX(0,MIN('Activities'!L196,102)-MAX('Activities'!K196,96))</x:f>
        <x:v>0</x:v>
      </x:c>
      <x:c r="V196" s="22" t="n">
        <x:f>MAX(0,MIN('Activities'!L196,108)-MAX('Activities'!K196,102))</x:f>
        <x:v>0</x:v>
      </x:c>
      <x:c r="W196" s="22" t="n">
        <x:f>MAX(0,MIN('Activities'!L196,114)-MAX('Activities'!K196,108))</x:f>
        <x:v>0</x:v>
      </x:c>
      <x:c r="X196" s="22" t="n">
        <x:f>MAX(0,MIN('Activities'!L196,120)-MAX('Activities'!K196,114))</x:f>
        <x:v>0</x:v>
      </x:c>
      <x:c r="Y196" s="22" t="n">
        <x:f>MAX(0,MIN('Activities'!L196,126)-MAX('Activities'!K196,120))</x:f>
        <x:v>0</x:v>
      </x:c>
      <x:c r="Z196" s="22" t="n">
        <x:f>MAX(0,MIN('Activities'!L196,132)-MAX('Activities'!K196,126))</x:f>
        <x:v>0</x:v>
      </x:c>
      <x:c r="AA196" s="22" t="n">
        <x:f>MAX(0,MIN('Activities'!L196,138)-MAX('Activities'!K196,132))</x:f>
        <x:v>0</x:v>
      </x:c>
      <x:c r="AB196" s="22" t="n">
        <x:f>MAX(0,MIN('Activities'!L196,144)-MAX('Activities'!K196,138))</x:f>
        <x:v>0</x:v>
      </x:c>
      <x:c r="AC196" s="22" t="n">
        <x:f>MAX(0,MIN('Activities'!L196,150)-MAX('Activities'!K196,144))</x:f>
        <x:v>0</x:v>
      </x:c>
      <x:c r="AD196" s="22" t="n">
        <x:f>MAX(0,MIN('Activities'!L196,156)-MAX('Activities'!K196,150))</x:f>
        <x:v>0</x:v>
      </x:c>
      <x:c r="AE196" s="22" t="n">
        <x:f>MAX(0,MIN('Activities'!L196,162)-MAX('Activities'!K196,156))</x:f>
        <x:v>0</x:v>
      </x:c>
      <x:c r="AF196" s="22" t="n">
        <x:f>MAX(0,MIN('Activities'!L196,168)-MAX('Activities'!K196,162))</x:f>
        <x:v>0</x:v>
      </x:c>
      <x:c r="AG196" s="22" t="n">
        <x:f>MAX(0,MIN('Activities'!L196,174)-MAX('Activities'!K196,168))</x:f>
        <x:v>0</x:v>
      </x:c>
      <x:c r="AH196" s="22" t="n">
        <x:f>MAX(0,MIN('Activities'!L196,180)-MAX('Activities'!K196,174))</x:f>
        <x:v>0</x:v>
      </x:c>
      <x:c r="AI196" s="22" t="n">
        <x:f>MAX(0,MIN('Activities'!L196,186)-MAX('Activities'!K196,180))</x:f>
        <x:v>0</x:v>
      </x:c>
      <x:c r="AJ196" s="22" t="n">
        <x:f>MAX(0,MIN('Activities'!L196,192)-MAX('Activities'!K196,186))</x:f>
        <x:v>0</x:v>
      </x:c>
      <x:c r="AK196" s="22" t="n">
        <x:f>MAX(0,MIN('Activities'!L196,198)-MAX('Activities'!K196,192))</x:f>
        <x:v>0</x:v>
      </x:c>
      <x:c r="AL196" s="22" t="n">
        <x:f>MAX(0,MIN('Activities'!L196,204)-MAX('Activities'!K196,198))</x:f>
        <x:v>0</x:v>
      </x:c>
      <x:c r="AM196" s="22" t="n">
        <x:f>MAX(0,MIN('Activities'!L196,210)-MAX('Activities'!K196,204))</x:f>
        <x:v>0</x:v>
      </x:c>
      <x:c r="AN196" s="22" t="n">
        <x:f>MAX(0,MIN('Activities'!L196,216)-MAX('Activities'!K196,210))</x:f>
        <x:v>0</x:v>
      </x:c>
      <x:c r="AO196" s="22" t="n">
        <x:f>MAX(0,MIN('Activities'!L196,222)-MAX('Activities'!K196,216))</x:f>
        <x:v>0</x:v>
      </x:c>
      <x:c r="AP196" s="22" t="n">
        <x:f>MAX(0,MIN('Activities'!L196,228)-MAX('Activities'!K196,222))</x:f>
        <x:v>0</x:v>
      </x:c>
      <x:c r="AQ196" s="22" t="n">
        <x:f>MAX(0,MIN('Activities'!L196,234)-MAX('Activities'!K196,228))</x:f>
        <x:v>0</x:v>
      </x:c>
      <x:c r="AR196" s="22" t="n">
        <x:f>MAX(0,MIN('Activities'!L196,240)-MAX('Activities'!K196,234))</x:f>
        <x:v>0</x:v>
      </x:c>
      <x:c r="AS196" s="22" t="n">
        <x:f>MAX(0,MIN('Activities'!L196,246)-MAX('Activities'!K196,240))</x:f>
        <x:v>0</x:v>
      </x:c>
      <x:c r="AT196" s="22" t="n">
        <x:f>MAX(0,MIN('Activities'!L196,252)-MAX('Activities'!K196,246))</x:f>
        <x:v>0</x:v>
      </x:c>
      <x:c r="AU196" s="22" t="n">
        <x:f>MAX(0,MIN('Activities'!L196,258)-MAX('Activities'!K196,252))</x:f>
        <x:v>0</x:v>
      </x:c>
      <x:c r="AV196" s="22" t="n">
        <x:f>MAX(0,MIN('Activities'!L196,264)-MAX('Activities'!K196,258))</x:f>
        <x:v>0</x:v>
      </x:c>
      <x:c r="AW196" s="22" t="n">
        <x:f>MAX(0,MIN('Activities'!L196,270)-MAX('Activities'!K196,264))</x:f>
        <x:v>0</x:v>
      </x:c>
      <x:c r="AX196" s="22" t="n">
        <x:f>MAX(0,MIN('Activities'!L196,276)-MAX('Activities'!K196,270))</x:f>
        <x:v>0</x:v>
      </x:c>
      <x:c r="AY196" s="22" t="n">
        <x:f>MAX(0,MIN('Activities'!L196,282)-MAX('Activities'!K196,276))</x:f>
        <x:v>0</x:v>
      </x:c>
      <x:c r="AZ196" s="22" t="n">
        <x:f>MAX(0,MIN('Activities'!L196,288)-MAX('Activities'!K196,282))</x:f>
        <x:v>0</x:v>
      </x:c>
      <x:c r="BA196" s="22" t="n">
        <x:f>MAX(0,MIN('Activities'!L196,294)-MAX('Activities'!K196,288))</x:f>
        <x:v>0</x:v>
      </x:c>
      <x:c r="BB196" s="22" t="n">
        <x:f>MAX(0,MIN('Activities'!L196,300)-MAX('Activities'!K196,294))</x:f>
        <x:v>0</x:v>
      </x:c>
      <x:c r="BC196" s="22" t="n">
        <x:f>MAX(0,MIN('Activities'!L196,306)-MAX('Activities'!K196,300))</x:f>
        <x:v>0</x:v>
      </x:c>
      <x:c r="BD196" s="22" t="n">
        <x:f>MAX(0,MIN('Activities'!L196,312)-MAX('Activities'!K196,306))</x:f>
        <x:v>0</x:v>
      </x:c>
      <x:c r="BE196" s="22" t="n">
        <x:f>MAX(0,MIN('Activities'!L196,318)-MAX('Activities'!K196,312))</x:f>
        <x:v>0</x:v>
      </x:c>
      <x:c r="BF196" s="22" t="n">
        <x:f>MAX(0,MIN('Activities'!L196,324)-MAX('Activities'!K196,318))</x:f>
        <x:v>0</x:v>
      </x:c>
      <x:c r="BG196" s="22" t="n">
        <x:f>MAX(0,MIN('Activities'!L196,330)-MAX('Activities'!K196,324))</x:f>
        <x:v>0</x:v>
      </x:c>
      <x:c r="BH196" s="22" t="n">
        <x:f>MAX(0,MIN('Activities'!L196,336)-MAX('Activities'!K196,330))</x:f>
        <x:v>0</x:v>
      </x:c>
      <x:c r="BI196" s="22" t="n">
        <x:f>MAX(0,MIN('Activities'!L196,342)-MAX('Activities'!K196,336))</x:f>
        <x:v>0</x:v>
      </x:c>
      <x:c r="BJ196" s="22" t="n">
        <x:f>MAX(0,MIN('Activities'!L196,348)-MAX('Activities'!K196,342))</x:f>
        <x:v>0</x:v>
      </x:c>
      <x:c r="BK196" s="22" t="n">
        <x:f>MAX(0,MIN('Activities'!L196,354)-MAX('Activities'!K196,348))</x:f>
        <x:v>0</x:v>
      </x:c>
      <x:c r="BL196" s="22" t="n">
        <x:f>MAX(0,MIN('Activities'!L196,360)-MAX('Activities'!K196,354))</x:f>
        <x:v>3</x:v>
      </x:c>
      <x:c r="BM196" s="22" t="n">
        <x:f>MAX(0,MIN('Activities'!L196,366)-MAX('Activities'!K196,360))</x:f>
        <x:v>2</x:v>
      </x:c>
      <x:c r="BN196" s="22" t="n">
        <x:f>MAX(0,MIN('Activities'!L196,372)-MAX('Activities'!K196,366))</x:f>
        <x:v>0</x:v>
      </x:c>
      <x:c r="BO196" s="22" t="n">
        <x:f>MAX(0,MIN('Activities'!L196,378)-MAX('Activities'!K196,372))</x:f>
        <x:v>0</x:v>
      </x:c>
      <x:c r="BP196" s="22" t="n">
        <x:f>MAX(0,MIN('Activities'!L196,384)-MAX('Activities'!K196,378))</x:f>
        <x:v>0</x:v>
      </x:c>
      <x:c r="BQ196" s="22" t="n">
        <x:f>MAX(0,MIN('Activities'!L196,390)-MAX('Activities'!K196,384))</x:f>
        <x:v>0</x:v>
      </x:c>
      <x:c r="BR196" s="22" t="n">
        <x:f>MAX(0,MIN('Activities'!L196,396)-MAX('Activities'!K196,390))</x:f>
        <x:v>0</x:v>
      </x:c>
      <x:c r="BS196" s="22" t="n">
        <x:f>MAX(0,MIN('Activities'!L196,402)-MAX('Activities'!K196,396))</x:f>
        <x:v>0</x:v>
      </x:c>
      <x:c r="BT196" s="22" t="n">
        <x:f>MAX(0,MIN('Activities'!L196,408)-MAX('Activities'!K196,402))</x:f>
        <x:v>0</x:v>
      </x:c>
      <x:c r="BU196" s="22" t="n">
        <x:f>MAX(0,MIN('Activities'!L196,414)-MAX('Activities'!K196,408))</x:f>
        <x:v>0</x:v>
      </x:c>
      <x:c r="BV196" s="22" t="n">
        <x:f>MAX(0,MIN('Activities'!L196,420)-MAX('Activities'!K196,414))</x:f>
        <x:v>0</x:v>
      </x:c>
      <x:c r="BW196" s="22" t="n">
        <x:f>MAX(0,MIN('Activities'!L196,426)-MAX('Activities'!K196,420))</x:f>
        <x:v>0</x:v>
      </x:c>
      <x:c r="BX196" s="22" t="n">
        <x:f>MAX(0,MIN('Activities'!L196,432)-MAX('Activities'!K196,426))</x:f>
        <x:v>0</x:v>
      </x:c>
      <x:c r="BY196" s="22" t="n">
        <x:f>MAX(0,MIN('Activities'!L196,438)-MAX('Activities'!K196,432))</x:f>
        <x:v>0</x:v>
      </x:c>
      <x:c r="BZ196" s="22" t="n">
        <x:f>MAX(0,MIN('Activities'!L196,444)-MAX('Activities'!K196,438))</x:f>
        <x:v>0</x:v>
      </x:c>
      <x:c r="CA196" s="22" t="n">
        <x:f>MAX(0,MIN('Activities'!L196,450)-MAX('Activities'!K196,444))</x:f>
        <x:v>0</x:v>
      </x:c>
      <x:c r="CB196" s="22" t="n">
        <x:f>MAX(0,MIN('Activities'!L196,456)-MAX('Activities'!K196,450))</x:f>
        <x:v>0</x:v>
      </x:c>
      <x:c r="CC196" s="22" t="n">
        <x:f>MAX(0,MIN('Activities'!L196,462)-MAX('Activities'!K196,456))</x:f>
        <x:v>0</x:v>
      </x:c>
      <x:c r="CD196" s="22" t="n">
        <x:f>MAX(0,MIN('Activities'!L196,468)-MAX('Activities'!K196,462))</x:f>
        <x:v>0</x:v>
      </x:c>
      <x:c r="CE196" s="22" t="n">
        <x:f>MAX(0,MIN('Activities'!L196,474)-MAX('Activities'!K196,468))</x:f>
        <x:v>0</x:v>
      </x:c>
      <x:c r="CF196" s="22" t="n">
        <x:f>MAX(0,MIN('Activities'!L196,480)-MAX('Activities'!K196,474))</x:f>
        <x:v>0</x:v>
      </x:c>
      <x:c r="CG196" s="22" t="n">
        <x:f>MAX(0,MIN('Activities'!L196,486)-MAX('Activities'!K196,480))</x:f>
        <x:v>0</x:v>
      </x:c>
      <x:c r="CH196" s="22" t="n">
        <x:f>MAX(0,MIN('Activities'!L196,492)-MAX('Activities'!K196,486))</x:f>
        <x:v>0</x:v>
      </x:c>
      <x:c r="CI196" s="22" t="n">
        <x:f>MAX(0,MIN('Activities'!L196,498)-MAX('Activities'!K196,492))</x:f>
        <x:v>0</x:v>
      </x:c>
      <x:c r="CJ196" s="22" t="n">
        <x:f>MAX(0,MIN('Activities'!L196,504)-MAX('Activities'!K196,498))</x:f>
        <x:v>0</x:v>
      </x:c>
      <x:c r="CK196" s="22" t="n">
        <x:f>MAX(0,MIN('Activities'!L196,510)-MAX('Activities'!K196,504))</x:f>
        <x:v>0</x:v>
      </x:c>
      <x:c r="CL196" s="22" t="n">
        <x:f>MAX(0,MIN('Activities'!L196,516)-MAX('Activities'!K196,510))</x:f>
        <x:v>0</x:v>
      </x:c>
      <x:c r="CM196" s="22" t="n">
        <x:f>MAX(0,MIN('Activities'!L196,522)-MAX('Activities'!K196,516))</x:f>
        <x:v>0</x:v>
      </x:c>
      <x:c r="CN196" s="22" t="n">
        <x:f>MAX(0,MIN('Activities'!L196,528)-MAX('Activities'!K196,522))</x:f>
        <x:v>0</x:v>
      </x:c>
      <x:c r="CO196" s="22" t="n">
        <x:f>MAX(0,MIN('Activities'!L196,534)-MAX('Activities'!K196,528))</x:f>
        <x:v>0</x:v>
      </x:c>
      <x:c r="CP196" s="22" t="n">
        <x:f>MAX(0,MIN('Activities'!L196,540)-MAX('Activities'!K196,534))</x:f>
        <x:v>0</x:v>
      </x:c>
      <x:c r="CQ196" s="22" t="n">
        <x:f>MAX(0,MIN('Activities'!L196,546)-MAX('Activities'!K196,540))</x:f>
        <x:v>0</x:v>
      </x:c>
      <x:c r="CR196" s="22" t="n">
        <x:f>MAX(0,MIN('Activities'!L196,552)-MAX('Activities'!K196,546))</x:f>
        <x:v>0</x:v>
      </x:c>
      <x:c r="CS196" s="22" t="n">
        <x:f>MAX(0,MIN('Activities'!L196,558)-MAX('Activities'!K196,552))</x:f>
        <x:v>0</x:v>
      </x:c>
      <x:c r="CT196" s="22" t="n">
        <x:f>MAX(0,MIN('Activities'!L196,564)-MAX('Activities'!K196,558))</x:f>
        <x:v>0</x:v>
      </x:c>
      <x:c r="CU196" s="22" t="n">
        <x:f>MAX(0,MIN('Activities'!L196,570)-MAX('Activities'!K196,564))</x:f>
        <x:v>0</x:v>
      </x:c>
      <x:c r="CV196" s="22" t="n">
        <x:f>MAX(0,MIN('Activities'!L196,576)-MAX('Activities'!K196,570))</x:f>
        <x:v>0</x:v>
      </x:c>
      <x:c r="CW196" s="22" t="n">
        <x:f>MAX(0,MIN('Activities'!L196,582)-MAX('Activities'!K196,576))</x:f>
        <x:v>0</x:v>
      </x:c>
      <x:c r="CX196" s="22" t="n">
        <x:f>MAX(0,MIN('Activities'!L196,588)-MAX('Activities'!K196,582))</x:f>
        <x:v>0</x:v>
      </x:c>
      <x:c r="CY196" s="22" t="n">
        <x:f>MAX(0,MIN('Activities'!L196,594)-MAX('Activities'!K196,588))</x:f>
        <x:v>0</x:v>
      </x:c>
      <x:c r="CZ196" s="22" t="n">
        <x:f>MAX(0,MIN('Activities'!L196,600)-MAX('Activities'!K196,594))</x:f>
        <x:v>0</x:v>
      </x:c>
      <x:c r="DA196" s="22" t="n">
        <x:f>MAX(0,MIN('Activities'!L196,606)-MAX('Activities'!K196,600))</x:f>
        <x:v>0</x:v>
      </x:c>
      <x:c r="DB196" s="22" t="n">
        <x:f>MAX(0,MIN('Activities'!L196,612)-MAX('Activities'!K196,606))</x:f>
        <x:v>0</x:v>
      </x:c>
      <x:c r="DC196" s="22" t="n">
        <x:f>MAX(0,MIN('Activities'!L196,618)-MAX('Activities'!K196,612))</x:f>
        <x:v>0</x:v>
      </x:c>
      <x:c r="DD196" s="22" t="n">
        <x:f>MAX(0,MIN('Activities'!L196,624)-MAX('Activities'!K196,618))</x:f>
        <x:v>0</x:v>
      </x:c>
      <x:c r="DE196" s="22" t="n">
        <x:f>MAX(0,MIN('Activities'!L196,630)-MAX('Activities'!K196,624))</x:f>
        <x:v>0</x:v>
      </x:c>
      <x:c r="DF196" s="22" t="n">
        <x:f>MAX(0,MIN('Activities'!L196,636)-MAX('Activities'!K196,630))</x:f>
        <x:v>0</x:v>
      </x:c>
    </x:row>
    <x:row r="197" ht="23" customHeight="1">
      <x:c r="A197" s="1" t="str">
        <x:v>T2-L12-F</x:v>
      </x:c>
      <x:c r="B197" s="1" t="str">
        <x:v>T2</x:v>
      </x:c>
      <x:c r="C197" s="1" t="str">
        <x:v>Columns, core and deck formwork</x:v>
      </x:c>
      <x:c r="D197" s="1" t="str">
        <x:v>Formwork</x:v>
      </x:c>
      <x:c r="E197" s="23" t="n">
        <x:f>MAX(0,MIN('Activities'!L197,6)-MAX('Activities'!K197,0))</x:f>
        <x:v>0</x:v>
      </x:c>
      <x:c r="F197" s="23" t="n">
        <x:f>MAX(0,MIN('Activities'!L197,12)-MAX('Activities'!K197,6))</x:f>
        <x:v>0</x:v>
      </x:c>
      <x:c r="G197" s="23" t="n">
        <x:f>MAX(0,MIN('Activities'!L197,18)-MAX('Activities'!K197,12))</x:f>
        <x:v>0</x:v>
      </x:c>
      <x:c r="H197" s="23" t="n">
        <x:f>MAX(0,MIN('Activities'!L197,24)-MAX('Activities'!K197,18))</x:f>
        <x:v>0</x:v>
      </x:c>
      <x:c r="I197" s="23" t="n">
        <x:f>MAX(0,MIN('Activities'!L197,30)-MAX('Activities'!K197,24))</x:f>
        <x:v>0</x:v>
      </x:c>
      <x:c r="J197" s="23" t="n">
        <x:f>MAX(0,MIN('Activities'!L197,36)-MAX('Activities'!K197,30))</x:f>
        <x:v>0</x:v>
      </x:c>
      <x:c r="K197" s="23" t="n">
        <x:f>MAX(0,MIN('Activities'!L197,42)-MAX('Activities'!K197,36))</x:f>
        <x:v>0</x:v>
      </x:c>
      <x:c r="L197" s="23" t="n">
        <x:f>MAX(0,MIN('Activities'!L197,48)-MAX('Activities'!K197,42))</x:f>
        <x:v>0</x:v>
      </x:c>
      <x:c r="M197" s="23" t="n">
        <x:f>MAX(0,MIN('Activities'!L197,54)-MAX('Activities'!K197,48))</x:f>
        <x:v>0</x:v>
      </x:c>
      <x:c r="N197" s="23" t="n">
        <x:f>MAX(0,MIN('Activities'!L197,60)-MAX('Activities'!K197,54))</x:f>
        <x:v>0</x:v>
      </x:c>
      <x:c r="O197" s="23" t="n">
        <x:f>MAX(0,MIN('Activities'!L197,66)-MAX('Activities'!K197,60))</x:f>
        <x:v>0</x:v>
      </x:c>
      <x:c r="P197" s="23" t="n">
        <x:f>MAX(0,MIN('Activities'!L197,72)-MAX('Activities'!K197,66))</x:f>
        <x:v>0</x:v>
      </x:c>
      <x:c r="Q197" s="23" t="n">
        <x:f>MAX(0,MIN('Activities'!L197,78)-MAX('Activities'!K197,72))</x:f>
        <x:v>0</x:v>
      </x:c>
      <x:c r="R197" s="23" t="n">
        <x:f>MAX(0,MIN('Activities'!L197,84)-MAX('Activities'!K197,78))</x:f>
        <x:v>0</x:v>
      </x:c>
      <x:c r="S197" s="23" t="n">
        <x:f>MAX(0,MIN('Activities'!L197,90)-MAX('Activities'!K197,84))</x:f>
        <x:v>0</x:v>
      </x:c>
      <x:c r="T197" s="23" t="n">
        <x:f>MAX(0,MIN('Activities'!L197,96)-MAX('Activities'!K197,90))</x:f>
        <x:v>0</x:v>
      </x:c>
      <x:c r="U197" s="23" t="n">
        <x:f>MAX(0,MIN('Activities'!L197,102)-MAX('Activities'!K197,96))</x:f>
        <x:v>0</x:v>
      </x:c>
      <x:c r="V197" s="23" t="n">
        <x:f>MAX(0,MIN('Activities'!L197,108)-MAX('Activities'!K197,102))</x:f>
        <x:v>0</x:v>
      </x:c>
      <x:c r="W197" s="23" t="n">
        <x:f>MAX(0,MIN('Activities'!L197,114)-MAX('Activities'!K197,108))</x:f>
        <x:v>0</x:v>
      </x:c>
      <x:c r="X197" s="23" t="n">
        <x:f>MAX(0,MIN('Activities'!L197,120)-MAX('Activities'!K197,114))</x:f>
        <x:v>0</x:v>
      </x:c>
      <x:c r="Y197" s="23" t="n">
        <x:f>MAX(0,MIN('Activities'!L197,126)-MAX('Activities'!K197,120))</x:f>
        <x:v>0</x:v>
      </x:c>
      <x:c r="Z197" s="23" t="n">
        <x:f>MAX(0,MIN('Activities'!L197,132)-MAX('Activities'!K197,126))</x:f>
        <x:v>0</x:v>
      </x:c>
      <x:c r="AA197" s="23" t="n">
        <x:f>MAX(0,MIN('Activities'!L197,138)-MAX('Activities'!K197,132))</x:f>
        <x:v>0</x:v>
      </x:c>
      <x:c r="AB197" s="23" t="n">
        <x:f>MAX(0,MIN('Activities'!L197,144)-MAX('Activities'!K197,138))</x:f>
        <x:v>0</x:v>
      </x:c>
      <x:c r="AC197" s="23" t="n">
        <x:f>MAX(0,MIN('Activities'!L197,150)-MAX('Activities'!K197,144))</x:f>
        <x:v>0</x:v>
      </x:c>
      <x:c r="AD197" s="23" t="n">
        <x:f>MAX(0,MIN('Activities'!L197,156)-MAX('Activities'!K197,150))</x:f>
        <x:v>0</x:v>
      </x:c>
      <x:c r="AE197" s="23" t="n">
        <x:f>MAX(0,MIN('Activities'!L197,162)-MAX('Activities'!K197,156))</x:f>
        <x:v>0</x:v>
      </x:c>
      <x:c r="AF197" s="23" t="n">
        <x:f>MAX(0,MIN('Activities'!L197,168)-MAX('Activities'!K197,162))</x:f>
        <x:v>0</x:v>
      </x:c>
      <x:c r="AG197" s="23" t="n">
        <x:f>MAX(0,MIN('Activities'!L197,174)-MAX('Activities'!K197,168))</x:f>
        <x:v>0</x:v>
      </x:c>
      <x:c r="AH197" s="23" t="n">
        <x:f>MAX(0,MIN('Activities'!L197,180)-MAX('Activities'!K197,174))</x:f>
        <x:v>0</x:v>
      </x:c>
      <x:c r="AI197" s="23" t="n">
        <x:f>MAX(0,MIN('Activities'!L197,186)-MAX('Activities'!K197,180))</x:f>
        <x:v>0</x:v>
      </x:c>
      <x:c r="AJ197" s="23" t="n">
        <x:f>MAX(0,MIN('Activities'!L197,192)-MAX('Activities'!K197,186))</x:f>
        <x:v>0</x:v>
      </x:c>
      <x:c r="AK197" s="23" t="n">
        <x:f>MAX(0,MIN('Activities'!L197,198)-MAX('Activities'!K197,192))</x:f>
        <x:v>0</x:v>
      </x:c>
      <x:c r="AL197" s="23" t="n">
        <x:f>MAX(0,MIN('Activities'!L197,204)-MAX('Activities'!K197,198))</x:f>
        <x:v>0</x:v>
      </x:c>
      <x:c r="AM197" s="23" t="n">
        <x:f>MAX(0,MIN('Activities'!L197,210)-MAX('Activities'!K197,204))</x:f>
        <x:v>0</x:v>
      </x:c>
      <x:c r="AN197" s="23" t="n">
        <x:f>MAX(0,MIN('Activities'!L197,216)-MAX('Activities'!K197,210))</x:f>
        <x:v>0</x:v>
      </x:c>
      <x:c r="AO197" s="23" t="n">
        <x:f>MAX(0,MIN('Activities'!L197,222)-MAX('Activities'!K197,216))</x:f>
        <x:v>0</x:v>
      </x:c>
      <x:c r="AP197" s="23" t="n">
        <x:f>MAX(0,MIN('Activities'!L197,228)-MAX('Activities'!K197,222))</x:f>
        <x:v>0</x:v>
      </x:c>
      <x:c r="AQ197" s="23" t="n">
        <x:f>MAX(0,MIN('Activities'!L197,234)-MAX('Activities'!K197,228))</x:f>
        <x:v>0</x:v>
      </x:c>
      <x:c r="AR197" s="23" t="n">
        <x:f>MAX(0,MIN('Activities'!L197,240)-MAX('Activities'!K197,234))</x:f>
        <x:v>0</x:v>
      </x:c>
      <x:c r="AS197" s="23" t="n">
        <x:f>MAX(0,MIN('Activities'!L197,246)-MAX('Activities'!K197,240))</x:f>
        <x:v>0</x:v>
      </x:c>
      <x:c r="AT197" s="23" t="n">
        <x:f>MAX(0,MIN('Activities'!L197,252)-MAX('Activities'!K197,246))</x:f>
        <x:v>0</x:v>
      </x:c>
      <x:c r="AU197" s="23" t="n">
        <x:f>MAX(0,MIN('Activities'!L197,258)-MAX('Activities'!K197,252))</x:f>
        <x:v>0</x:v>
      </x:c>
      <x:c r="AV197" s="23" t="n">
        <x:f>MAX(0,MIN('Activities'!L197,264)-MAX('Activities'!K197,258))</x:f>
        <x:v>0</x:v>
      </x:c>
      <x:c r="AW197" s="23" t="n">
        <x:f>MAX(0,MIN('Activities'!L197,270)-MAX('Activities'!K197,264))</x:f>
        <x:v>0</x:v>
      </x:c>
      <x:c r="AX197" s="23" t="n">
        <x:f>MAX(0,MIN('Activities'!L197,276)-MAX('Activities'!K197,270))</x:f>
        <x:v>0</x:v>
      </x:c>
      <x:c r="AY197" s="23" t="n">
        <x:f>MAX(0,MIN('Activities'!L197,282)-MAX('Activities'!K197,276))</x:f>
        <x:v>0</x:v>
      </x:c>
      <x:c r="AZ197" s="23" t="n">
        <x:f>MAX(0,MIN('Activities'!L197,288)-MAX('Activities'!K197,282))</x:f>
        <x:v>0</x:v>
      </x:c>
      <x:c r="BA197" s="23" t="n">
        <x:f>MAX(0,MIN('Activities'!L197,294)-MAX('Activities'!K197,288))</x:f>
        <x:v>0</x:v>
      </x:c>
      <x:c r="BB197" s="23" t="n">
        <x:f>MAX(0,MIN('Activities'!L197,300)-MAX('Activities'!K197,294))</x:f>
        <x:v>0</x:v>
      </x:c>
      <x:c r="BC197" s="23" t="n">
        <x:f>MAX(0,MIN('Activities'!L197,306)-MAX('Activities'!K197,300))</x:f>
        <x:v>0</x:v>
      </x:c>
      <x:c r="BD197" s="23" t="n">
        <x:f>MAX(0,MIN('Activities'!L197,312)-MAX('Activities'!K197,306))</x:f>
        <x:v>0</x:v>
      </x:c>
      <x:c r="BE197" s="23" t="n">
        <x:f>MAX(0,MIN('Activities'!L197,318)-MAX('Activities'!K197,312))</x:f>
        <x:v>0</x:v>
      </x:c>
      <x:c r="BF197" s="23" t="n">
        <x:f>MAX(0,MIN('Activities'!L197,324)-MAX('Activities'!K197,318))</x:f>
        <x:v>0</x:v>
      </x:c>
      <x:c r="BG197" s="23" t="n">
        <x:f>MAX(0,MIN('Activities'!L197,330)-MAX('Activities'!K197,324))</x:f>
        <x:v>0</x:v>
      </x:c>
      <x:c r="BH197" s="23" t="n">
        <x:f>MAX(0,MIN('Activities'!L197,336)-MAX('Activities'!K197,330))</x:f>
        <x:v>0</x:v>
      </x:c>
      <x:c r="BI197" s="23" t="n">
        <x:f>MAX(0,MIN('Activities'!L197,342)-MAX('Activities'!K197,336))</x:f>
        <x:v>0</x:v>
      </x:c>
      <x:c r="BJ197" s="23" t="n">
        <x:f>MAX(0,MIN('Activities'!L197,348)-MAX('Activities'!K197,342))</x:f>
        <x:v>0</x:v>
      </x:c>
      <x:c r="BK197" s="23" t="n">
        <x:f>MAX(0,MIN('Activities'!L197,354)-MAX('Activities'!K197,348))</x:f>
        <x:v>0</x:v>
      </x:c>
      <x:c r="BL197" s="23" t="n">
        <x:f>MAX(0,MIN('Activities'!L197,360)-MAX('Activities'!K197,354))</x:f>
        <x:v>0</x:v>
      </x:c>
      <x:c r="BM197" s="23" t="n">
        <x:f>MAX(0,MIN('Activities'!L197,366)-MAX('Activities'!K197,360))</x:f>
        <x:v>4</x:v>
      </x:c>
      <x:c r="BN197" s="23" t="n">
        <x:f>MAX(0,MIN('Activities'!L197,372)-MAX('Activities'!K197,366))</x:f>
        <x:v>2</x:v>
      </x:c>
      <x:c r="BO197" s="23" t="n">
        <x:f>MAX(0,MIN('Activities'!L197,378)-MAX('Activities'!K197,372))</x:f>
        <x:v>0</x:v>
      </x:c>
      <x:c r="BP197" s="23" t="n">
        <x:f>MAX(0,MIN('Activities'!L197,384)-MAX('Activities'!K197,378))</x:f>
        <x:v>0</x:v>
      </x:c>
      <x:c r="BQ197" s="23" t="n">
        <x:f>MAX(0,MIN('Activities'!L197,390)-MAX('Activities'!K197,384))</x:f>
        <x:v>0</x:v>
      </x:c>
      <x:c r="BR197" s="23" t="n">
        <x:f>MAX(0,MIN('Activities'!L197,396)-MAX('Activities'!K197,390))</x:f>
        <x:v>0</x:v>
      </x:c>
      <x:c r="BS197" s="23" t="n">
        <x:f>MAX(0,MIN('Activities'!L197,402)-MAX('Activities'!K197,396))</x:f>
        <x:v>0</x:v>
      </x:c>
      <x:c r="BT197" s="23" t="n">
        <x:f>MAX(0,MIN('Activities'!L197,408)-MAX('Activities'!K197,402))</x:f>
        <x:v>0</x:v>
      </x:c>
      <x:c r="BU197" s="23" t="n">
        <x:f>MAX(0,MIN('Activities'!L197,414)-MAX('Activities'!K197,408))</x:f>
        <x:v>0</x:v>
      </x:c>
      <x:c r="BV197" s="23" t="n">
        <x:f>MAX(0,MIN('Activities'!L197,420)-MAX('Activities'!K197,414))</x:f>
        <x:v>0</x:v>
      </x:c>
      <x:c r="BW197" s="23" t="n">
        <x:f>MAX(0,MIN('Activities'!L197,426)-MAX('Activities'!K197,420))</x:f>
        <x:v>0</x:v>
      </x:c>
      <x:c r="BX197" s="23" t="n">
        <x:f>MAX(0,MIN('Activities'!L197,432)-MAX('Activities'!K197,426))</x:f>
        <x:v>0</x:v>
      </x:c>
      <x:c r="BY197" s="23" t="n">
        <x:f>MAX(0,MIN('Activities'!L197,438)-MAX('Activities'!K197,432))</x:f>
        <x:v>0</x:v>
      </x:c>
      <x:c r="BZ197" s="23" t="n">
        <x:f>MAX(0,MIN('Activities'!L197,444)-MAX('Activities'!K197,438))</x:f>
        <x:v>0</x:v>
      </x:c>
      <x:c r="CA197" s="23" t="n">
        <x:f>MAX(0,MIN('Activities'!L197,450)-MAX('Activities'!K197,444))</x:f>
        <x:v>0</x:v>
      </x:c>
      <x:c r="CB197" s="23" t="n">
        <x:f>MAX(0,MIN('Activities'!L197,456)-MAX('Activities'!K197,450))</x:f>
        <x:v>0</x:v>
      </x:c>
      <x:c r="CC197" s="23" t="n">
        <x:f>MAX(0,MIN('Activities'!L197,462)-MAX('Activities'!K197,456))</x:f>
        <x:v>0</x:v>
      </x:c>
      <x:c r="CD197" s="23" t="n">
        <x:f>MAX(0,MIN('Activities'!L197,468)-MAX('Activities'!K197,462))</x:f>
        <x:v>0</x:v>
      </x:c>
      <x:c r="CE197" s="23" t="n">
        <x:f>MAX(0,MIN('Activities'!L197,474)-MAX('Activities'!K197,468))</x:f>
        <x:v>0</x:v>
      </x:c>
      <x:c r="CF197" s="23" t="n">
        <x:f>MAX(0,MIN('Activities'!L197,480)-MAX('Activities'!K197,474))</x:f>
        <x:v>0</x:v>
      </x:c>
      <x:c r="CG197" s="23" t="n">
        <x:f>MAX(0,MIN('Activities'!L197,486)-MAX('Activities'!K197,480))</x:f>
        <x:v>0</x:v>
      </x:c>
      <x:c r="CH197" s="23" t="n">
        <x:f>MAX(0,MIN('Activities'!L197,492)-MAX('Activities'!K197,486))</x:f>
        <x:v>0</x:v>
      </x:c>
      <x:c r="CI197" s="23" t="n">
        <x:f>MAX(0,MIN('Activities'!L197,498)-MAX('Activities'!K197,492))</x:f>
        <x:v>0</x:v>
      </x:c>
      <x:c r="CJ197" s="23" t="n">
        <x:f>MAX(0,MIN('Activities'!L197,504)-MAX('Activities'!K197,498))</x:f>
        <x:v>0</x:v>
      </x:c>
      <x:c r="CK197" s="23" t="n">
        <x:f>MAX(0,MIN('Activities'!L197,510)-MAX('Activities'!K197,504))</x:f>
        <x:v>0</x:v>
      </x:c>
      <x:c r="CL197" s="23" t="n">
        <x:f>MAX(0,MIN('Activities'!L197,516)-MAX('Activities'!K197,510))</x:f>
        <x:v>0</x:v>
      </x:c>
      <x:c r="CM197" s="23" t="n">
        <x:f>MAX(0,MIN('Activities'!L197,522)-MAX('Activities'!K197,516))</x:f>
        <x:v>0</x:v>
      </x:c>
      <x:c r="CN197" s="23" t="n">
        <x:f>MAX(0,MIN('Activities'!L197,528)-MAX('Activities'!K197,522))</x:f>
        <x:v>0</x:v>
      </x:c>
      <x:c r="CO197" s="23" t="n">
        <x:f>MAX(0,MIN('Activities'!L197,534)-MAX('Activities'!K197,528))</x:f>
        <x:v>0</x:v>
      </x:c>
      <x:c r="CP197" s="23" t="n">
        <x:f>MAX(0,MIN('Activities'!L197,540)-MAX('Activities'!K197,534))</x:f>
        <x:v>0</x:v>
      </x:c>
      <x:c r="CQ197" s="23" t="n">
        <x:f>MAX(0,MIN('Activities'!L197,546)-MAX('Activities'!K197,540))</x:f>
        <x:v>0</x:v>
      </x:c>
      <x:c r="CR197" s="23" t="n">
        <x:f>MAX(0,MIN('Activities'!L197,552)-MAX('Activities'!K197,546))</x:f>
        <x:v>0</x:v>
      </x:c>
      <x:c r="CS197" s="23" t="n">
        <x:f>MAX(0,MIN('Activities'!L197,558)-MAX('Activities'!K197,552))</x:f>
        <x:v>0</x:v>
      </x:c>
      <x:c r="CT197" s="23" t="n">
        <x:f>MAX(0,MIN('Activities'!L197,564)-MAX('Activities'!K197,558))</x:f>
        <x:v>0</x:v>
      </x:c>
      <x:c r="CU197" s="23" t="n">
        <x:f>MAX(0,MIN('Activities'!L197,570)-MAX('Activities'!K197,564))</x:f>
        <x:v>0</x:v>
      </x:c>
      <x:c r="CV197" s="23" t="n">
        <x:f>MAX(0,MIN('Activities'!L197,576)-MAX('Activities'!K197,570))</x:f>
        <x:v>0</x:v>
      </x:c>
      <x:c r="CW197" s="23" t="n">
        <x:f>MAX(0,MIN('Activities'!L197,582)-MAX('Activities'!K197,576))</x:f>
        <x:v>0</x:v>
      </x:c>
      <x:c r="CX197" s="23" t="n">
        <x:f>MAX(0,MIN('Activities'!L197,588)-MAX('Activities'!K197,582))</x:f>
        <x:v>0</x:v>
      </x:c>
      <x:c r="CY197" s="23" t="n">
        <x:f>MAX(0,MIN('Activities'!L197,594)-MAX('Activities'!K197,588))</x:f>
        <x:v>0</x:v>
      </x:c>
      <x:c r="CZ197" s="23" t="n">
        <x:f>MAX(0,MIN('Activities'!L197,600)-MAX('Activities'!K197,594))</x:f>
        <x:v>0</x:v>
      </x:c>
      <x:c r="DA197" s="23" t="n">
        <x:f>MAX(0,MIN('Activities'!L197,606)-MAX('Activities'!K197,600))</x:f>
        <x:v>0</x:v>
      </x:c>
      <x:c r="DB197" s="23" t="n">
        <x:f>MAX(0,MIN('Activities'!L197,612)-MAX('Activities'!K197,606))</x:f>
        <x:v>0</x:v>
      </x:c>
      <x:c r="DC197" s="23" t="n">
        <x:f>MAX(0,MIN('Activities'!L197,618)-MAX('Activities'!K197,612))</x:f>
        <x:v>0</x:v>
      </x:c>
      <x:c r="DD197" s="23" t="n">
        <x:f>MAX(0,MIN('Activities'!L197,624)-MAX('Activities'!K197,618))</x:f>
        <x:v>0</x:v>
      </x:c>
      <x:c r="DE197" s="23" t="n">
        <x:f>MAX(0,MIN('Activities'!L197,630)-MAX('Activities'!K197,624))</x:f>
        <x:v>0</x:v>
      </x:c>
      <x:c r="DF197" s="23" t="n">
        <x:f>MAX(0,MIN('Activities'!L197,636)-MAX('Activities'!K197,630))</x:f>
        <x:v>0</x:v>
      </x:c>
    </x:row>
    <x:row r="198" ht="23" customHeight="1">
      <x:c r="A198" s="6" t="str">
        <x:v>T2-L12-R</x:v>
      </x:c>
      <x:c r="B198" s="6" t="str">
        <x:v>T2</x:v>
      </x:c>
      <x:c r="C198" s="6" t="str">
        <x:v>Column, wall, beam and slab reinforcement</x:v>
      </x:c>
      <x:c r="D198" s="6" t="str">
        <x:v>Rebar</x:v>
      </x:c>
      <x:c r="E198" s="22" t="n">
        <x:f>MAX(0,MIN('Activities'!L198,6)-MAX('Activities'!K198,0))</x:f>
        <x:v>0</x:v>
      </x:c>
      <x:c r="F198" s="22" t="n">
        <x:f>MAX(0,MIN('Activities'!L198,12)-MAX('Activities'!K198,6))</x:f>
        <x:v>0</x:v>
      </x:c>
      <x:c r="G198" s="22" t="n">
        <x:f>MAX(0,MIN('Activities'!L198,18)-MAX('Activities'!K198,12))</x:f>
        <x:v>0</x:v>
      </x:c>
      <x:c r="H198" s="22" t="n">
        <x:f>MAX(0,MIN('Activities'!L198,24)-MAX('Activities'!K198,18))</x:f>
        <x:v>0</x:v>
      </x:c>
      <x:c r="I198" s="22" t="n">
        <x:f>MAX(0,MIN('Activities'!L198,30)-MAX('Activities'!K198,24))</x:f>
        <x:v>0</x:v>
      </x:c>
      <x:c r="J198" s="22" t="n">
        <x:f>MAX(0,MIN('Activities'!L198,36)-MAX('Activities'!K198,30))</x:f>
        <x:v>0</x:v>
      </x:c>
      <x:c r="K198" s="22" t="n">
        <x:f>MAX(0,MIN('Activities'!L198,42)-MAX('Activities'!K198,36))</x:f>
        <x:v>0</x:v>
      </x:c>
      <x:c r="L198" s="22" t="n">
        <x:f>MAX(0,MIN('Activities'!L198,48)-MAX('Activities'!K198,42))</x:f>
        <x:v>0</x:v>
      </x:c>
      <x:c r="M198" s="22" t="n">
        <x:f>MAX(0,MIN('Activities'!L198,54)-MAX('Activities'!K198,48))</x:f>
        <x:v>0</x:v>
      </x:c>
      <x:c r="N198" s="22" t="n">
        <x:f>MAX(0,MIN('Activities'!L198,60)-MAX('Activities'!K198,54))</x:f>
        <x:v>0</x:v>
      </x:c>
      <x:c r="O198" s="22" t="n">
        <x:f>MAX(0,MIN('Activities'!L198,66)-MAX('Activities'!K198,60))</x:f>
        <x:v>0</x:v>
      </x:c>
      <x:c r="P198" s="22" t="n">
        <x:f>MAX(0,MIN('Activities'!L198,72)-MAX('Activities'!K198,66))</x:f>
        <x:v>0</x:v>
      </x:c>
      <x:c r="Q198" s="22" t="n">
        <x:f>MAX(0,MIN('Activities'!L198,78)-MAX('Activities'!K198,72))</x:f>
        <x:v>0</x:v>
      </x:c>
      <x:c r="R198" s="22" t="n">
        <x:f>MAX(0,MIN('Activities'!L198,84)-MAX('Activities'!K198,78))</x:f>
        <x:v>0</x:v>
      </x:c>
      <x:c r="S198" s="22" t="n">
        <x:f>MAX(0,MIN('Activities'!L198,90)-MAX('Activities'!K198,84))</x:f>
        <x:v>0</x:v>
      </x:c>
      <x:c r="T198" s="22" t="n">
        <x:f>MAX(0,MIN('Activities'!L198,96)-MAX('Activities'!K198,90))</x:f>
        <x:v>0</x:v>
      </x:c>
      <x:c r="U198" s="22" t="n">
        <x:f>MAX(0,MIN('Activities'!L198,102)-MAX('Activities'!K198,96))</x:f>
        <x:v>0</x:v>
      </x:c>
      <x:c r="V198" s="22" t="n">
        <x:f>MAX(0,MIN('Activities'!L198,108)-MAX('Activities'!K198,102))</x:f>
        <x:v>0</x:v>
      </x:c>
      <x:c r="W198" s="22" t="n">
        <x:f>MAX(0,MIN('Activities'!L198,114)-MAX('Activities'!K198,108))</x:f>
        <x:v>0</x:v>
      </x:c>
      <x:c r="X198" s="22" t="n">
        <x:f>MAX(0,MIN('Activities'!L198,120)-MAX('Activities'!K198,114))</x:f>
        <x:v>0</x:v>
      </x:c>
      <x:c r="Y198" s="22" t="n">
        <x:f>MAX(0,MIN('Activities'!L198,126)-MAX('Activities'!K198,120))</x:f>
        <x:v>0</x:v>
      </x:c>
      <x:c r="Z198" s="22" t="n">
        <x:f>MAX(0,MIN('Activities'!L198,132)-MAX('Activities'!K198,126))</x:f>
        <x:v>0</x:v>
      </x:c>
      <x:c r="AA198" s="22" t="n">
        <x:f>MAX(0,MIN('Activities'!L198,138)-MAX('Activities'!K198,132))</x:f>
        <x:v>0</x:v>
      </x:c>
      <x:c r="AB198" s="22" t="n">
        <x:f>MAX(0,MIN('Activities'!L198,144)-MAX('Activities'!K198,138))</x:f>
        <x:v>0</x:v>
      </x:c>
      <x:c r="AC198" s="22" t="n">
        <x:f>MAX(0,MIN('Activities'!L198,150)-MAX('Activities'!K198,144))</x:f>
        <x:v>0</x:v>
      </x:c>
      <x:c r="AD198" s="22" t="n">
        <x:f>MAX(0,MIN('Activities'!L198,156)-MAX('Activities'!K198,150))</x:f>
        <x:v>0</x:v>
      </x:c>
      <x:c r="AE198" s="22" t="n">
        <x:f>MAX(0,MIN('Activities'!L198,162)-MAX('Activities'!K198,156))</x:f>
        <x:v>0</x:v>
      </x:c>
      <x:c r="AF198" s="22" t="n">
        <x:f>MAX(0,MIN('Activities'!L198,168)-MAX('Activities'!K198,162))</x:f>
        <x:v>0</x:v>
      </x:c>
      <x:c r="AG198" s="22" t="n">
        <x:f>MAX(0,MIN('Activities'!L198,174)-MAX('Activities'!K198,168))</x:f>
        <x:v>0</x:v>
      </x:c>
      <x:c r="AH198" s="22" t="n">
        <x:f>MAX(0,MIN('Activities'!L198,180)-MAX('Activities'!K198,174))</x:f>
        <x:v>0</x:v>
      </x:c>
      <x:c r="AI198" s="22" t="n">
        <x:f>MAX(0,MIN('Activities'!L198,186)-MAX('Activities'!K198,180))</x:f>
        <x:v>0</x:v>
      </x:c>
      <x:c r="AJ198" s="22" t="n">
        <x:f>MAX(0,MIN('Activities'!L198,192)-MAX('Activities'!K198,186))</x:f>
        <x:v>0</x:v>
      </x:c>
      <x:c r="AK198" s="22" t="n">
        <x:f>MAX(0,MIN('Activities'!L198,198)-MAX('Activities'!K198,192))</x:f>
        <x:v>0</x:v>
      </x:c>
      <x:c r="AL198" s="22" t="n">
        <x:f>MAX(0,MIN('Activities'!L198,204)-MAX('Activities'!K198,198))</x:f>
        <x:v>0</x:v>
      </x:c>
      <x:c r="AM198" s="22" t="n">
        <x:f>MAX(0,MIN('Activities'!L198,210)-MAX('Activities'!K198,204))</x:f>
        <x:v>0</x:v>
      </x:c>
      <x:c r="AN198" s="22" t="n">
        <x:f>MAX(0,MIN('Activities'!L198,216)-MAX('Activities'!K198,210))</x:f>
        <x:v>0</x:v>
      </x:c>
      <x:c r="AO198" s="22" t="n">
        <x:f>MAX(0,MIN('Activities'!L198,222)-MAX('Activities'!K198,216))</x:f>
        <x:v>0</x:v>
      </x:c>
      <x:c r="AP198" s="22" t="n">
        <x:f>MAX(0,MIN('Activities'!L198,228)-MAX('Activities'!K198,222))</x:f>
        <x:v>0</x:v>
      </x:c>
      <x:c r="AQ198" s="22" t="n">
        <x:f>MAX(0,MIN('Activities'!L198,234)-MAX('Activities'!K198,228))</x:f>
        <x:v>0</x:v>
      </x:c>
      <x:c r="AR198" s="22" t="n">
        <x:f>MAX(0,MIN('Activities'!L198,240)-MAX('Activities'!K198,234))</x:f>
        <x:v>0</x:v>
      </x:c>
      <x:c r="AS198" s="22" t="n">
        <x:f>MAX(0,MIN('Activities'!L198,246)-MAX('Activities'!K198,240))</x:f>
        <x:v>0</x:v>
      </x:c>
      <x:c r="AT198" s="22" t="n">
        <x:f>MAX(0,MIN('Activities'!L198,252)-MAX('Activities'!K198,246))</x:f>
        <x:v>0</x:v>
      </x:c>
      <x:c r="AU198" s="22" t="n">
        <x:f>MAX(0,MIN('Activities'!L198,258)-MAX('Activities'!K198,252))</x:f>
        <x:v>0</x:v>
      </x:c>
      <x:c r="AV198" s="22" t="n">
        <x:f>MAX(0,MIN('Activities'!L198,264)-MAX('Activities'!K198,258))</x:f>
        <x:v>0</x:v>
      </x:c>
      <x:c r="AW198" s="22" t="n">
        <x:f>MAX(0,MIN('Activities'!L198,270)-MAX('Activities'!K198,264))</x:f>
        <x:v>0</x:v>
      </x:c>
      <x:c r="AX198" s="22" t="n">
        <x:f>MAX(0,MIN('Activities'!L198,276)-MAX('Activities'!K198,270))</x:f>
        <x:v>0</x:v>
      </x:c>
      <x:c r="AY198" s="22" t="n">
        <x:f>MAX(0,MIN('Activities'!L198,282)-MAX('Activities'!K198,276))</x:f>
        <x:v>0</x:v>
      </x:c>
      <x:c r="AZ198" s="22" t="n">
        <x:f>MAX(0,MIN('Activities'!L198,288)-MAX('Activities'!K198,282))</x:f>
        <x:v>0</x:v>
      </x:c>
      <x:c r="BA198" s="22" t="n">
        <x:f>MAX(0,MIN('Activities'!L198,294)-MAX('Activities'!K198,288))</x:f>
        <x:v>0</x:v>
      </x:c>
      <x:c r="BB198" s="22" t="n">
        <x:f>MAX(0,MIN('Activities'!L198,300)-MAX('Activities'!K198,294))</x:f>
        <x:v>0</x:v>
      </x:c>
      <x:c r="BC198" s="22" t="n">
        <x:f>MAX(0,MIN('Activities'!L198,306)-MAX('Activities'!K198,300))</x:f>
        <x:v>0</x:v>
      </x:c>
      <x:c r="BD198" s="22" t="n">
        <x:f>MAX(0,MIN('Activities'!L198,312)-MAX('Activities'!K198,306))</x:f>
        <x:v>0</x:v>
      </x:c>
      <x:c r="BE198" s="22" t="n">
        <x:f>MAX(0,MIN('Activities'!L198,318)-MAX('Activities'!K198,312))</x:f>
        <x:v>0</x:v>
      </x:c>
      <x:c r="BF198" s="22" t="n">
        <x:f>MAX(0,MIN('Activities'!L198,324)-MAX('Activities'!K198,318))</x:f>
        <x:v>0</x:v>
      </x:c>
      <x:c r="BG198" s="22" t="n">
        <x:f>MAX(0,MIN('Activities'!L198,330)-MAX('Activities'!K198,324))</x:f>
        <x:v>0</x:v>
      </x:c>
      <x:c r="BH198" s="22" t="n">
        <x:f>MAX(0,MIN('Activities'!L198,336)-MAX('Activities'!K198,330))</x:f>
        <x:v>0</x:v>
      </x:c>
      <x:c r="BI198" s="22" t="n">
        <x:f>MAX(0,MIN('Activities'!L198,342)-MAX('Activities'!K198,336))</x:f>
        <x:v>0</x:v>
      </x:c>
      <x:c r="BJ198" s="22" t="n">
        <x:f>MAX(0,MIN('Activities'!L198,348)-MAX('Activities'!K198,342))</x:f>
        <x:v>0</x:v>
      </x:c>
      <x:c r="BK198" s="22" t="n">
        <x:f>MAX(0,MIN('Activities'!L198,354)-MAX('Activities'!K198,348))</x:f>
        <x:v>0</x:v>
      </x:c>
      <x:c r="BL198" s="22" t="n">
        <x:f>MAX(0,MIN('Activities'!L198,360)-MAX('Activities'!K198,354))</x:f>
        <x:v>0</x:v>
      </x:c>
      <x:c r="BM198" s="22" t="n">
        <x:f>MAX(0,MIN('Activities'!L198,366)-MAX('Activities'!K198,360))</x:f>
        <x:v>0</x:v>
      </x:c>
      <x:c r="BN198" s="22" t="n">
        <x:f>MAX(0,MIN('Activities'!L198,372)-MAX('Activities'!K198,366))</x:f>
        <x:v>4</x:v>
      </x:c>
      <x:c r="BO198" s="22" t="n">
        <x:f>MAX(0,MIN('Activities'!L198,378)-MAX('Activities'!K198,372))</x:f>
        <x:v>1</x:v>
      </x:c>
      <x:c r="BP198" s="22" t="n">
        <x:f>MAX(0,MIN('Activities'!L198,384)-MAX('Activities'!K198,378))</x:f>
        <x:v>0</x:v>
      </x:c>
      <x:c r="BQ198" s="22" t="n">
        <x:f>MAX(0,MIN('Activities'!L198,390)-MAX('Activities'!K198,384))</x:f>
        <x:v>0</x:v>
      </x:c>
      <x:c r="BR198" s="22" t="n">
        <x:f>MAX(0,MIN('Activities'!L198,396)-MAX('Activities'!K198,390))</x:f>
        <x:v>0</x:v>
      </x:c>
      <x:c r="BS198" s="22" t="n">
        <x:f>MAX(0,MIN('Activities'!L198,402)-MAX('Activities'!K198,396))</x:f>
        <x:v>0</x:v>
      </x:c>
      <x:c r="BT198" s="22" t="n">
        <x:f>MAX(0,MIN('Activities'!L198,408)-MAX('Activities'!K198,402))</x:f>
        <x:v>0</x:v>
      </x:c>
      <x:c r="BU198" s="22" t="n">
        <x:f>MAX(0,MIN('Activities'!L198,414)-MAX('Activities'!K198,408))</x:f>
        <x:v>0</x:v>
      </x:c>
      <x:c r="BV198" s="22" t="n">
        <x:f>MAX(0,MIN('Activities'!L198,420)-MAX('Activities'!K198,414))</x:f>
        <x:v>0</x:v>
      </x:c>
      <x:c r="BW198" s="22" t="n">
        <x:f>MAX(0,MIN('Activities'!L198,426)-MAX('Activities'!K198,420))</x:f>
        <x:v>0</x:v>
      </x:c>
      <x:c r="BX198" s="22" t="n">
        <x:f>MAX(0,MIN('Activities'!L198,432)-MAX('Activities'!K198,426))</x:f>
        <x:v>0</x:v>
      </x:c>
      <x:c r="BY198" s="22" t="n">
        <x:f>MAX(0,MIN('Activities'!L198,438)-MAX('Activities'!K198,432))</x:f>
        <x:v>0</x:v>
      </x:c>
      <x:c r="BZ198" s="22" t="n">
        <x:f>MAX(0,MIN('Activities'!L198,444)-MAX('Activities'!K198,438))</x:f>
        <x:v>0</x:v>
      </x:c>
      <x:c r="CA198" s="22" t="n">
        <x:f>MAX(0,MIN('Activities'!L198,450)-MAX('Activities'!K198,444))</x:f>
        <x:v>0</x:v>
      </x:c>
      <x:c r="CB198" s="22" t="n">
        <x:f>MAX(0,MIN('Activities'!L198,456)-MAX('Activities'!K198,450))</x:f>
        <x:v>0</x:v>
      </x:c>
      <x:c r="CC198" s="22" t="n">
        <x:f>MAX(0,MIN('Activities'!L198,462)-MAX('Activities'!K198,456))</x:f>
        <x:v>0</x:v>
      </x:c>
      <x:c r="CD198" s="22" t="n">
        <x:f>MAX(0,MIN('Activities'!L198,468)-MAX('Activities'!K198,462))</x:f>
        <x:v>0</x:v>
      </x:c>
      <x:c r="CE198" s="22" t="n">
        <x:f>MAX(0,MIN('Activities'!L198,474)-MAX('Activities'!K198,468))</x:f>
        <x:v>0</x:v>
      </x:c>
      <x:c r="CF198" s="22" t="n">
        <x:f>MAX(0,MIN('Activities'!L198,480)-MAX('Activities'!K198,474))</x:f>
        <x:v>0</x:v>
      </x:c>
      <x:c r="CG198" s="22" t="n">
        <x:f>MAX(0,MIN('Activities'!L198,486)-MAX('Activities'!K198,480))</x:f>
        <x:v>0</x:v>
      </x:c>
      <x:c r="CH198" s="22" t="n">
        <x:f>MAX(0,MIN('Activities'!L198,492)-MAX('Activities'!K198,486))</x:f>
        <x:v>0</x:v>
      </x:c>
      <x:c r="CI198" s="22" t="n">
        <x:f>MAX(0,MIN('Activities'!L198,498)-MAX('Activities'!K198,492))</x:f>
        <x:v>0</x:v>
      </x:c>
      <x:c r="CJ198" s="22" t="n">
        <x:f>MAX(0,MIN('Activities'!L198,504)-MAX('Activities'!K198,498))</x:f>
        <x:v>0</x:v>
      </x:c>
      <x:c r="CK198" s="22" t="n">
        <x:f>MAX(0,MIN('Activities'!L198,510)-MAX('Activities'!K198,504))</x:f>
        <x:v>0</x:v>
      </x:c>
      <x:c r="CL198" s="22" t="n">
        <x:f>MAX(0,MIN('Activities'!L198,516)-MAX('Activities'!K198,510))</x:f>
        <x:v>0</x:v>
      </x:c>
      <x:c r="CM198" s="22" t="n">
        <x:f>MAX(0,MIN('Activities'!L198,522)-MAX('Activities'!K198,516))</x:f>
        <x:v>0</x:v>
      </x:c>
      <x:c r="CN198" s="22" t="n">
        <x:f>MAX(0,MIN('Activities'!L198,528)-MAX('Activities'!K198,522))</x:f>
        <x:v>0</x:v>
      </x:c>
      <x:c r="CO198" s="22" t="n">
        <x:f>MAX(0,MIN('Activities'!L198,534)-MAX('Activities'!K198,528))</x:f>
        <x:v>0</x:v>
      </x:c>
      <x:c r="CP198" s="22" t="n">
        <x:f>MAX(0,MIN('Activities'!L198,540)-MAX('Activities'!K198,534))</x:f>
        <x:v>0</x:v>
      </x:c>
      <x:c r="CQ198" s="22" t="n">
        <x:f>MAX(0,MIN('Activities'!L198,546)-MAX('Activities'!K198,540))</x:f>
        <x:v>0</x:v>
      </x:c>
      <x:c r="CR198" s="22" t="n">
        <x:f>MAX(0,MIN('Activities'!L198,552)-MAX('Activities'!K198,546))</x:f>
        <x:v>0</x:v>
      </x:c>
      <x:c r="CS198" s="22" t="n">
        <x:f>MAX(0,MIN('Activities'!L198,558)-MAX('Activities'!K198,552))</x:f>
        <x:v>0</x:v>
      </x:c>
      <x:c r="CT198" s="22" t="n">
        <x:f>MAX(0,MIN('Activities'!L198,564)-MAX('Activities'!K198,558))</x:f>
        <x:v>0</x:v>
      </x:c>
      <x:c r="CU198" s="22" t="n">
        <x:f>MAX(0,MIN('Activities'!L198,570)-MAX('Activities'!K198,564))</x:f>
        <x:v>0</x:v>
      </x:c>
      <x:c r="CV198" s="22" t="n">
        <x:f>MAX(0,MIN('Activities'!L198,576)-MAX('Activities'!K198,570))</x:f>
        <x:v>0</x:v>
      </x:c>
      <x:c r="CW198" s="22" t="n">
        <x:f>MAX(0,MIN('Activities'!L198,582)-MAX('Activities'!K198,576))</x:f>
        <x:v>0</x:v>
      </x:c>
      <x:c r="CX198" s="22" t="n">
        <x:f>MAX(0,MIN('Activities'!L198,588)-MAX('Activities'!K198,582))</x:f>
        <x:v>0</x:v>
      </x:c>
      <x:c r="CY198" s="22" t="n">
        <x:f>MAX(0,MIN('Activities'!L198,594)-MAX('Activities'!K198,588))</x:f>
        <x:v>0</x:v>
      </x:c>
      <x:c r="CZ198" s="22" t="n">
        <x:f>MAX(0,MIN('Activities'!L198,600)-MAX('Activities'!K198,594))</x:f>
        <x:v>0</x:v>
      </x:c>
      <x:c r="DA198" s="22" t="n">
        <x:f>MAX(0,MIN('Activities'!L198,606)-MAX('Activities'!K198,600))</x:f>
        <x:v>0</x:v>
      </x:c>
      <x:c r="DB198" s="22" t="n">
        <x:f>MAX(0,MIN('Activities'!L198,612)-MAX('Activities'!K198,606))</x:f>
        <x:v>0</x:v>
      </x:c>
      <x:c r="DC198" s="22" t="n">
        <x:f>MAX(0,MIN('Activities'!L198,618)-MAX('Activities'!K198,612))</x:f>
        <x:v>0</x:v>
      </x:c>
      <x:c r="DD198" s="22" t="n">
        <x:f>MAX(0,MIN('Activities'!L198,624)-MAX('Activities'!K198,618))</x:f>
        <x:v>0</x:v>
      </x:c>
      <x:c r="DE198" s="22" t="n">
        <x:f>MAX(0,MIN('Activities'!L198,630)-MAX('Activities'!K198,624))</x:f>
        <x:v>0</x:v>
      </x:c>
      <x:c r="DF198" s="22" t="n">
        <x:f>MAX(0,MIN('Activities'!L198,636)-MAX('Activities'!K198,630))</x:f>
        <x:v>0</x:v>
      </x:c>
    </x:row>
    <x:row r="199" ht="23" customHeight="1">
      <x:c r="A199" s="1" t="str">
        <x:v>T2-L12-C</x:v>
      </x:c>
      <x:c r="B199" s="1" t="str">
        <x:v>T2</x:v>
      </x:c>
      <x:c r="C199" s="1" t="str">
        <x:v>Concrete placement and finishing</x:v>
      </x:c>
      <x:c r="D199" s="1" t="str">
        <x:v>Concrete</x:v>
      </x:c>
      <x:c r="E199" s="23" t="n">
        <x:f>MAX(0,MIN('Activities'!L199,6)-MAX('Activities'!K199,0))</x:f>
        <x:v>0</x:v>
      </x:c>
      <x:c r="F199" s="23" t="n">
        <x:f>MAX(0,MIN('Activities'!L199,12)-MAX('Activities'!K199,6))</x:f>
        <x:v>0</x:v>
      </x:c>
      <x:c r="G199" s="23" t="n">
        <x:f>MAX(0,MIN('Activities'!L199,18)-MAX('Activities'!K199,12))</x:f>
        <x:v>0</x:v>
      </x:c>
      <x:c r="H199" s="23" t="n">
        <x:f>MAX(0,MIN('Activities'!L199,24)-MAX('Activities'!K199,18))</x:f>
        <x:v>0</x:v>
      </x:c>
      <x:c r="I199" s="23" t="n">
        <x:f>MAX(0,MIN('Activities'!L199,30)-MAX('Activities'!K199,24))</x:f>
        <x:v>0</x:v>
      </x:c>
      <x:c r="J199" s="23" t="n">
        <x:f>MAX(0,MIN('Activities'!L199,36)-MAX('Activities'!K199,30))</x:f>
        <x:v>0</x:v>
      </x:c>
      <x:c r="K199" s="23" t="n">
        <x:f>MAX(0,MIN('Activities'!L199,42)-MAX('Activities'!K199,36))</x:f>
        <x:v>0</x:v>
      </x:c>
      <x:c r="L199" s="23" t="n">
        <x:f>MAX(0,MIN('Activities'!L199,48)-MAX('Activities'!K199,42))</x:f>
        <x:v>0</x:v>
      </x:c>
      <x:c r="M199" s="23" t="n">
        <x:f>MAX(0,MIN('Activities'!L199,54)-MAX('Activities'!K199,48))</x:f>
        <x:v>0</x:v>
      </x:c>
      <x:c r="N199" s="23" t="n">
        <x:f>MAX(0,MIN('Activities'!L199,60)-MAX('Activities'!K199,54))</x:f>
        <x:v>0</x:v>
      </x:c>
      <x:c r="O199" s="23" t="n">
        <x:f>MAX(0,MIN('Activities'!L199,66)-MAX('Activities'!K199,60))</x:f>
        <x:v>0</x:v>
      </x:c>
      <x:c r="P199" s="23" t="n">
        <x:f>MAX(0,MIN('Activities'!L199,72)-MAX('Activities'!K199,66))</x:f>
        <x:v>0</x:v>
      </x:c>
      <x:c r="Q199" s="23" t="n">
        <x:f>MAX(0,MIN('Activities'!L199,78)-MAX('Activities'!K199,72))</x:f>
        <x:v>0</x:v>
      </x:c>
      <x:c r="R199" s="23" t="n">
        <x:f>MAX(0,MIN('Activities'!L199,84)-MAX('Activities'!K199,78))</x:f>
        <x:v>0</x:v>
      </x:c>
      <x:c r="S199" s="23" t="n">
        <x:f>MAX(0,MIN('Activities'!L199,90)-MAX('Activities'!K199,84))</x:f>
        <x:v>0</x:v>
      </x:c>
      <x:c r="T199" s="23" t="n">
        <x:f>MAX(0,MIN('Activities'!L199,96)-MAX('Activities'!K199,90))</x:f>
        <x:v>0</x:v>
      </x:c>
      <x:c r="U199" s="23" t="n">
        <x:f>MAX(0,MIN('Activities'!L199,102)-MAX('Activities'!K199,96))</x:f>
        <x:v>0</x:v>
      </x:c>
      <x:c r="V199" s="23" t="n">
        <x:f>MAX(0,MIN('Activities'!L199,108)-MAX('Activities'!K199,102))</x:f>
        <x:v>0</x:v>
      </x:c>
      <x:c r="W199" s="23" t="n">
        <x:f>MAX(0,MIN('Activities'!L199,114)-MAX('Activities'!K199,108))</x:f>
        <x:v>0</x:v>
      </x:c>
      <x:c r="X199" s="23" t="n">
        <x:f>MAX(0,MIN('Activities'!L199,120)-MAX('Activities'!K199,114))</x:f>
        <x:v>0</x:v>
      </x:c>
      <x:c r="Y199" s="23" t="n">
        <x:f>MAX(0,MIN('Activities'!L199,126)-MAX('Activities'!K199,120))</x:f>
        <x:v>0</x:v>
      </x:c>
      <x:c r="Z199" s="23" t="n">
        <x:f>MAX(0,MIN('Activities'!L199,132)-MAX('Activities'!K199,126))</x:f>
        <x:v>0</x:v>
      </x:c>
      <x:c r="AA199" s="23" t="n">
        <x:f>MAX(0,MIN('Activities'!L199,138)-MAX('Activities'!K199,132))</x:f>
        <x:v>0</x:v>
      </x:c>
      <x:c r="AB199" s="23" t="n">
        <x:f>MAX(0,MIN('Activities'!L199,144)-MAX('Activities'!K199,138))</x:f>
        <x:v>0</x:v>
      </x:c>
      <x:c r="AC199" s="23" t="n">
        <x:f>MAX(0,MIN('Activities'!L199,150)-MAX('Activities'!K199,144))</x:f>
        <x:v>0</x:v>
      </x:c>
      <x:c r="AD199" s="23" t="n">
        <x:f>MAX(0,MIN('Activities'!L199,156)-MAX('Activities'!K199,150))</x:f>
        <x:v>0</x:v>
      </x:c>
      <x:c r="AE199" s="23" t="n">
        <x:f>MAX(0,MIN('Activities'!L199,162)-MAX('Activities'!K199,156))</x:f>
        <x:v>0</x:v>
      </x:c>
      <x:c r="AF199" s="23" t="n">
        <x:f>MAX(0,MIN('Activities'!L199,168)-MAX('Activities'!K199,162))</x:f>
        <x:v>0</x:v>
      </x:c>
      <x:c r="AG199" s="23" t="n">
        <x:f>MAX(0,MIN('Activities'!L199,174)-MAX('Activities'!K199,168))</x:f>
        <x:v>0</x:v>
      </x:c>
      <x:c r="AH199" s="23" t="n">
        <x:f>MAX(0,MIN('Activities'!L199,180)-MAX('Activities'!K199,174))</x:f>
        <x:v>0</x:v>
      </x:c>
      <x:c r="AI199" s="23" t="n">
        <x:f>MAX(0,MIN('Activities'!L199,186)-MAX('Activities'!K199,180))</x:f>
        <x:v>0</x:v>
      </x:c>
      <x:c r="AJ199" s="23" t="n">
        <x:f>MAX(0,MIN('Activities'!L199,192)-MAX('Activities'!K199,186))</x:f>
        <x:v>0</x:v>
      </x:c>
      <x:c r="AK199" s="23" t="n">
        <x:f>MAX(0,MIN('Activities'!L199,198)-MAX('Activities'!K199,192))</x:f>
        <x:v>0</x:v>
      </x:c>
      <x:c r="AL199" s="23" t="n">
        <x:f>MAX(0,MIN('Activities'!L199,204)-MAX('Activities'!K199,198))</x:f>
        <x:v>0</x:v>
      </x:c>
      <x:c r="AM199" s="23" t="n">
        <x:f>MAX(0,MIN('Activities'!L199,210)-MAX('Activities'!K199,204))</x:f>
        <x:v>0</x:v>
      </x:c>
      <x:c r="AN199" s="23" t="n">
        <x:f>MAX(0,MIN('Activities'!L199,216)-MAX('Activities'!K199,210))</x:f>
        <x:v>0</x:v>
      </x:c>
      <x:c r="AO199" s="23" t="n">
        <x:f>MAX(0,MIN('Activities'!L199,222)-MAX('Activities'!K199,216))</x:f>
        <x:v>0</x:v>
      </x:c>
      <x:c r="AP199" s="23" t="n">
        <x:f>MAX(0,MIN('Activities'!L199,228)-MAX('Activities'!K199,222))</x:f>
        <x:v>0</x:v>
      </x:c>
      <x:c r="AQ199" s="23" t="n">
        <x:f>MAX(0,MIN('Activities'!L199,234)-MAX('Activities'!K199,228))</x:f>
        <x:v>0</x:v>
      </x:c>
      <x:c r="AR199" s="23" t="n">
        <x:f>MAX(0,MIN('Activities'!L199,240)-MAX('Activities'!K199,234))</x:f>
        <x:v>0</x:v>
      </x:c>
      <x:c r="AS199" s="23" t="n">
        <x:f>MAX(0,MIN('Activities'!L199,246)-MAX('Activities'!K199,240))</x:f>
        <x:v>0</x:v>
      </x:c>
      <x:c r="AT199" s="23" t="n">
        <x:f>MAX(0,MIN('Activities'!L199,252)-MAX('Activities'!K199,246))</x:f>
        <x:v>0</x:v>
      </x:c>
      <x:c r="AU199" s="23" t="n">
        <x:f>MAX(0,MIN('Activities'!L199,258)-MAX('Activities'!K199,252))</x:f>
        <x:v>0</x:v>
      </x:c>
      <x:c r="AV199" s="23" t="n">
        <x:f>MAX(0,MIN('Activities'!L199,264)-MAX('Activities'!K199,258))</x:f>
        <x:v>0</x:v>
      </x:c>
      <x:c r="AW199" s="23" t="n">
        <x:f>MAX(0,MIN('Activities'!L199,270)-MAX('Activities'!K199,264))</x:f>
        <x:v>0</x:v>
      </x:c>
      <x:c r="AX199" s="23" t="n">
        <x:f>MAX(0,MIN('Activities'!L199,276)-MAX('Activities'!K199,270))</x:f>
        <x:v>0</x:v>
      </x:c>
      <x:c r="AY199" s="23" t="n">
        <x:f>MAX(0,MIN('Activities'!L199,282)-MAX('Activities'!K199,276))</x:f>
        <x:v>0</x:v>
      </x:c>
      <x:c r="AZ199" s="23" t="n">
        <x:f>MAX(0,MIN('Activities'!L199,288)-MAX('Activities'!K199,282))</x:f>
        <x:v>0</x:v>
      </x:c>
      <x:c r="BA199" s="23" t="n">
        <x:f>MAX(0,MIN('Activities'!L199,294)-MAX('Activities'!K199,288))</x:f>
        <x:v>0</x:v>
      </x:c>
      <x:c r="BB199" s="23" t="n">
        <x:f>MAX(0,MIN('Activities'!L199,300)-MAX('Activities'!K199,294))</x:f>
        <x:v>0</x:v>
      </x:c>
      <x:c r="BC199" s="23" t="n">
        <x:f>MAX(0,MIN('Activities'!L199,306)-MAX('Activities'!K199,300))</x:f>
        <x:v>0</x:v>
      </x:c>
      <x:c r="BD199" s="23" t="n">
        <x:f>MAX(0,MIN('Activities'!L199,312)-MAX('Activities'!K199,306))</x:f>
        <x:v>0</x:v>
      </x:c>
      <x:c r="BE199" s="23" t="n">
        <x:f>MAX(0,MIN('Activities'!L199,318)-MAX('Activities'!K199,312))</x:f>
        <x:v>0</x:v>
      </x:c>
      <x:c r="BF199" s="23" t="n">
        <x:f>MAX(0,MIN('Activities'!L199,324)-MAX('Activities'!K199,318))</x:f>
        <x:v>0</x:v>
      </x:c>
      <x:c r="BG199" s="23" t="n">
        <x:f>MAX(0,MIN('Activities'!L199,330)-MAX('Activities'!K199,324))</x:f>
        <x:v>0</x:v>
      </x:c>
      <x:c r="BH199" s="23" t="n">
        <x:f>MAX(0,MIN('Activities'!L199,336)-MAX('Activities'!K199,330))</x:f>
        <x:v>0</x:v>
      </x:c>
      <x:c r="BI199" s="23" t="n">
        <x:f>MAX(0,MIN('Activities'!L199,342)-MAX('Activities'!K199,336))</x:f>
        <x:v>0</x:v>
      </x:c>
      <x:c r="BJ199" s="23" t="n">
        <x:f>MAX(0,MIN('Activities'!L199,348)-MAX('Activities'!K199,342))</x:f>
        <x:v>0</x:v>
      </x:c>
      <x:c r="BK199" s="23" t="n">
        <x:f>MAX(0,MIN('Activities'!L199,354)-MAX('Activities'!K199,348))</x:f>
        <x:v>0</x:v>
      </x:c>
      <x:c r="BL199" s="23" t="n">
        <x:f>MAX(0,MIN('Activities'!L199,360)-MAX('Activities'!K199,354))</x:f>
        <x:v>0</x:v>
      </x:c>
      <x:c r="BM199" s="23" t="n">
        <x:f>MAX(0,MIN('Activities'!L199,366)-MAX('Activities'!K199,360))</x:f>
        <x:v>0</x:v>
      </x:c>
      <x:c r="BN199" s="23" t="n">
        <x:f>MAX(0,MIN('Activities'!L199,372)-MAX('Activities'!K199,366))</x:f>
        <x:v>0</x:v>
      </x:c>
      <x:c r="BO199" s="23" t="n">
        <x:f>MAX(0,MIN('Activities'!L199,378)-MAX('Activities'!K199,372))</x:f>
        <x:v>2</x:v>
      </x:c>
      <x:c r="BP199" s="23" t="n">
        <x:f>MAX(0,MIN('Activities'!L199,384)-MAX('Activities'!K199,378))</x:f>
        <x:v>0</x:v>
      </x:c>
      <x:c r="BQ199" s="23" t="n">
        <x:f>MAX(0,MIN('Activities'!L199,390)-MAX('Activities'!K199,384))</x:f>
        <x:v>0</x:v>
      </x:c>
      <x:c r="BR199" s="23" t="n">
        <x:f>MAX(0,MIN('Activities'!L199,396)-MAX('Activities'!K199,390))</x:f>
        <x:v>0</x:v>
      </x:c>
      <x:c r="BS199" s="23" t="n">
        <x:f>MAX(0,MIN('Activities'!L199,402)-MAX('Activities'!K199,396))</x:f>
        <x:v>0</x:v>
      </x:c>
      <x:c r="BT199" s="23" t="n">
        <x:f>MAX(0,MIN('Activities'!L199,408)-MAX('Activities'!K199,402))</x:f>
        <x:v>0</x:v>
      </x:c>
      <x:c r="BU199" s="23" t="n">
        <x:f>MAX(0,MIN('Activities'!L199,414)-MAX('Activities'!K199,408))</x:f>
        <x:v>0</x:v>
      </x:c>
      <x:c r="BV199" s="23" t="n">
        <x:f>MAX(0,MIN('Activities'!L199,420)-MAX('Activities'!K199,414))</x:f>
        <x:v>0</x:v>
      </x:c>
      <x:c r="BW199" s="23" t="n">
        <x:f>MAX(0,MIN('Activities'!L199,426)-MAX('Activities'!K199,420))</x:f>
        <x:v>0</x:v>
      </x:c>
      <x:c r="BX199" s="23" t="n">
        <x:f>MAX(0,MIN('Activities'!L199,432)-MAX('Activities'!K199,426))</x:f>
        <x:v>0</x:v>
      </x:c>
      <x:c r="BY199" s="23" t="n">
        <x:f>MAX(0,MIN('Activities'!L199,438)-MAX('Activities'!K199,432))</x:f>
        <x:v>0</x:v>
      </x:c>
      <x:c r="BZ199" s="23" t="n">
        <x:f>MAX(0,MIN('Activities'!L199,444)-MAX('Activities'!K199,438))</x:f>
        <x:v>0</x:v>
      </x:c>
      <x:c r="CA199" s="23" t="n">
        <x:f>MAX(0,MIN('Activities'!L199,450)-MAX('Activities'!K199,444))</x:f>
        <x:v>0</x:v>
      </x:c>
      <x:c r="CB199" s="23" t="n">
        <x:f>MAX(0,MIN('Activities'!L199,456)-MAX('Activities'!K199,450))</x:f>
        <x:v>0</x:v>
      </x:c>
      <x:c r="CC199" s="23" t="n">
        <x:f>MAX(0,MIN('Activities'!L199,462)-MAX('Activities'!K199,456))</x:f>
        <x:v>0</x:v>
      </x:c>
      <x:c r="CD199" s="23" t="n">
        <x:f>MAX(0,MIN('Activities'!L199,468)-MAX('Activities'!K199,462))</x:f>
        <x:v>0</x:v>
      </x:c>
      <x:c r="CE199" s="23" t="n">
        <x:f>MAX(0,MIN('Activities'!L199,474)-MAX('Activities'!K199,468))</x:f>
        <x:v>0</x:v>
      </x:c>
      <x:c r="CF199" s="23" t="n">
        <x:f>MAX(0,MIN('Activities'!L199,480)-MAX('Activities'!K199,474))</x:f>
        <x:v>0</x:v>
      </x:c>
      <x:c r="CG199" s="23" t="n">
        <x:f>MAX(0,MIN('Activities'!L199,486)-MAX('Activities'!K199,480))</x:f>
        <x:v>0</x:v>
      </x:c>
      <x:c r="CH199" s="23" t="n">
        <x:f>MAX(0,MIN('Activities'!L199,492)-MAX('Activities'!K199,486))</x:f>
        <x:v>0</x:v>
      </x:c>
      <x:c r="CI199" s="23" t="n">
        <x:f>MAX(0,MIN('Activities'!L199,498)-MAX('Activities'!K199,492))</x:f>
        <x:v>0</x:v>
      </x:c>
      <x:c r="CJ199" s="23" t="n">
        <x:f>MAX(0,MIN('Activities'!L199,504)-MAX('Activities'!K199,498))</x:f>
        <x:v>0</x:v>
      </x:c>
      <x:c r="CK199" s="23" t="n">
        <x:f>MAX(0,MIN('Activities'!L199,510)-MAX('Activities'!K199,504))</x:f>
        <x:v>0</x:v>
      </x:c>
      <x:c r="CL199" s="23" t="n">
        <x:f>MAX(0,MIN('Activities'!L199,516)-MAX('Activities'!K199,510))</x:f>
        <x:v>0</x:v>
      </x:c>
      <x:c r="CM199" s="23" t="n">
        <x:f>MAX(0,MIN('Activities'!L199,522)-MAX('Activities'!K199,516))</x:f>
        <x:v>0</x:v>
      </x:c>
      <x:c r="CN199" s="23" t="n">
        <x:f>MAX(0,MIN('Activities'!L199,528)-MAX('Activities'!K199,522))</x:f>
        <x:v>0</x:v>
      </x:c>
      <x:c r="CO199" s="23" t="n">
        <x:f>MAX(0,MIN('Activities'!L199,534)-MAX('Activities'!K199,528))</x:f>
        <x:v>0</x:v>
      </x:c>
      <x:c r="CP199" s="23" t="n">
        <x:f>MAX(0,MIN('Activities'!L199,540)-MAX('Activities'!K199,534))</x:f>
        <x:v>0</x:v>
      </x:c>
      <x:c r="CQ199" s="23" t="n">
        <x:f>MAX(0,MIN('Activities'!L199,546)-MAX('Activities'!K199,540))</x:f>
        <x:v>0</x:v>
      </x:c>
      <x:c r="CR199" s="23" t="n">
        <x:f>MAX(0,MIN('Activities'!L199,552)-MAX('Activities'!K199,546))</x:f>
        <x:v>0</x:v>
      </x:c>
      <x:c r="CS199" s="23" t="n">
        <x:f>MAX(0,MIN('Activities'!L199,558)-MAX('Activities'!K199,552))</x:f>
        <x:v>0</x:v>
      </x:c>
      <x:c r="CT199" s="23" t="n">
        <x:f>MAX(0,MIN('Activities'!L199,564)-MAX('Activities'!K199,558))</x:f>
        <x:v>0</x:v>
      </x:c>
      <x:c r="CU199" s="23" t="n">
        <x:f>MAX(0,MIN('Activities'!L199,570)-MAX('Activities'!K199,564))</x:f>
        <x:v>0</x:v>
      </x:c>
      <x:c r="CV199" s="23" t="n">
        <x:f>MAX(0,MIN('Activities'!L199,576)-MAX('Activities'!K199,570))</x:f>
        <x:v>0</x:v>
      </x:c>
      <x:c r="CW199" s="23" t="n">
        <x:f>MAX(0,MIN('Activities'!L199,582)-MAX('Activities'!K199,576))</x:f>
        <x:v>0</x:v>
      </x:c>
      <x:c r="CX199" s="23" t="n">
        <x:f>MAX(0,MIN('Activities'!L199,588)-MAX('Activities'!K199,582))</x:f>
        <x:v>0</x:v>
      </x:c>
      <x:c r="CY199" s="23" t="n">
        <x:f>MAX(0,MIN('Activities'!L199,594)-MAX('Activities'!K199,588))</x:f>
        <x:v>0</x:v>
      </x:c>
      <x:c r="CZ199" s="23" t="n">
        <x:f>MAX(0,MIN('Activities'!L199,600)-MAX('Activities'!K199,594))</x:f>
        <x:v>0</x:v>
      </x:c>
      <x:c r="DA199" s="23" t="n">
        <x:f>MAX(0,MIN('Activities'!L199,606)-MAX('Activities'!K199,600))</x:f>
        <x:v>0</x:v>
      </x:c>
      <x:c r="DB199" s="23" t="n">
        <x:f>MAX(0,MIN('Activities'!L199,612)-MAX('Activities'!K199,606))</x:f>
        <x:v>0</x:v>
      </x:c>
      <x:c r="DC199" s="23" t="n">
        <x:f>MAX(0,MIN('Activities'!L199,618)-MAX('Activities'!K199,612))</x:f>
        <x:v>0</x:v>
      </x:c>
      <x:c r="DD199" s="23" t="n">
        <x:f>MAX(0,MIN('Activities'!L199,624)-MAX('Activities'!K199,618))</x:f>
        <x:v>0</x:v>
      </x:c>
      <x:c r="DE199" s="23" t="n">
        <x:f>MAX(0,MIN('Activities'!L199,630)-MAX('Activities'!K199,624))</x:f>
        <x:v>0</x:v>
      </x:c>
      <x:c r="DF199" s="23" t="n">
        <x:f>MAX(0,MIN('Activities'!L199,636)-MAX('Activities'!K199,630))</x:f>
        <x:v>0</x:v>
      </x:c>
    </x:row>
    <x:row r="200" ht="23" customHeight="1">
      <x:c r="A200" s="6" t="str">
        <x:v>T2-L12-H</x:v>
      </x:c>
      <x:c r="B200" s="6" t="str">
        <x:v>T2</x:v>
      </x:c>
      <x:c r="C200" s="6" t="str">
        <x:v>Curing and release hold point</x:v>
      </x:c>
      <x:c r="D200" s="6" t="str">
        <x:v>Site</x:v>
      </x:c>
      <x:c r="E200" s="22" t="n">
        <x:f>MAX(0,MIN('Activities'!L200,6)-MAX('Activities'!K200,0))</x:f>
        <x:v>0</x:v>
      </x:c>
      <x:c r="F200" s="22" t="n">
        <x:f>MAX(0,MIN('Activities'!L200,12)-MAX('Activities'!K200,6))</x:f>
        <x:v>0</x:v>
      </x:c>
      <x:c r="G200" s="22" t="n">
        <x:f>MAX(0,MIN('Activities'!L200,18)-MAX('Activities'!K200,12))</x:f>
        <x:v>0</x:v>
      </x:c>
      <x:c r="H200" s="22" t="n">
        <x:f>MAX(0,MIN('Activities'!L200,24)-MAX('Activities'!K200,18))</x:f>
        <x:v>0</x:v>
      </x:c>
      <x:c r="I200" s="22" t="n">
        <x:f>MAX(0,MIN('Activities'!L200,30)-MAX('Activities'!K200,24))</x:f>
        <x:v>0</x:v>
      </x:c>
      <x:c r="J200" s="22" t="n">
        <x:f>MAX(0,MIN('Activities'!L200,36)-MAX('Activities'!K200,30))</x:f>
        <x:v>0</x:v>
      </x:c>
      <x:c r="K200" s="22" t="n">
        <x:f>MAX(0,MIN('Activities'!L200,42)-MAX('Activities'!K200,36))</x:f>
        <x:v>0</x:v>
      </x:c>
      <x:c r="L200" s="22" t="n">
        <x:f>MAX(0,MIN('Activities'!L200,48)-MAX('Activities'!K200,42))</x:f>
        <x:v>0</x:v>
      </x:c>
      <x:c r="M200" s="22" t="n">
        <x:f>MAX(0,MIN('Activities'!L200,54)-MAX('Activities'!K200,48))</x:f>
        <x:v>0</x:v>
      </x:c>
      <x:c r="N200" s="22" t="n">
        <x:f>MAX(0,MIN('Activities'!L200,60)-MAX('Activities'!K200,54))</x:f>
        <x:v>0</x:v>
      </x:c>
      <x:c r="O200" s="22" t="n">
        <x:f>MAX(0,MIN('Activities'!L200,66)-MAX('Activities'!K200,60))</x:f>
        <x:v>0</x:v>
      </x:c>
      <x:c r="P200" s="22" t="n">
        <x:f>MAX(0,MIN('Activities'!L200,72)-MAX('Activities'!K200,66))</x:f>
        <x:v>0</x:v>
      </x:c>
      <x:c r="Q200" s="22" t="n">
        <x:f>MAX(0,MIN('Activities'!L200,78)-MAX('Activities'!K200,72))</x:f>
        <x:v>0</x:v>
      </x:c>
      <x:c r="R200" s="22" t="n">
        <x:f>MAX(0,MIN('Activities'!L200,84)-MAX('Activities'!K200,78))</x:f>
        <x:v>0</x:v>
      </x:c>
      <x:c r="S200" s="22" t="n">
        <x:f>MAX(0,MIN('Activities'!L200,90)-MAX('Activities'!K200,84))</x:f>
        <x:v>0</x:v>
      </x:c>
      <x:c r="T200" s="22" t="n">
        <x:f>MAX(0,MIN('Activities'!L200,96)-MAX('Activities'!K200,90))</x:f>
        <x:v>0</x:v>
      </x:c>
      <x:c r="U200" s="22" t="n">
        <x:f>MAX(0,MIN('Activities'!L200,102)-MAX('Activities'!K200,96))</x:f>
        <x:v>0</x:v>
      </x:c>
      <x:c r="V200" s="22" t="n">
        <x:f>MAX(0,MIN('Activities'!L200,108)-MAX('Activities'!K200,102))</x:f>
        <x:v>0</x:v>
      </x:c>
      <x:c r="W200" s="22" t="n">
        <x:f>MAX(0,MIN('Activities'!L200,114)-MAX('Activities'!K200,108))</x:f>
        <x:v>0</x:v>
      </x:c>
      <x:c r="X200" s="22" t="n">
        <x:f>MAX(0,MIN('Activities'!L200,120)-MAX('Activities'!K200,114))</x:f>
        <x:v>0</x:v>
      </x:c>
      <x:c r="Y200" s="22" t="n">
        <x:f>MAX(0,MIN('Activities'!L200,126)-MAX('Activities'!K200,120))</x:f>
        <x:v>0</x:v>
      </x:c>
      <x:c r="Z200" s="22" t="n">
        <x:f>MAX(0,MIN('Activities'!L200,132)-MAX('Activities'!K200,126))</x:f>
        <x:v>0</x:v>
      </x:c>
      <x:c r="AA200" s="22" t="n">
        <x:f>MAX(0,MIN('Activities'!L200,138)-MAX('Activities'!K200,132))</x:f>
        <x:v>0</x:v>
      </x:c>
      <x:c r="AB200" s="22" t="n">
        <x:f>MAX(0,MIN('Activities'!L200,144)-MAX('Activities'!K200,138))</x:f>
        <x:v>0</x:v>
      </x:c>
      <x:c r="AC200" s="22" t="n">
        <x:f>MAX(0,MIN('Activities'!L200,150)-MAX('Activities'!K200,144))</x:f>
        <x:v>0</x:v>
      </x:c>
      <x:c r="AD200" s="22" t="n">
        <x:f>MAX(0,MIN('Activities'!L200,156)-MAX('Activities'!K200,150))</x:f>
        <x:v>0</x:v>
      </x:c>
      <x:c r="AE200" s="22" t="n">
        <x:f>MAX(0,MIN('Activities'!L200,162)-MAX('Activities'!K200,156))</x:f>
        <x:v>0</x:v>
      </x:c>
      <x:c r="AF200" s="22" t="n">
        <x:f>MAX(0,MIN('Activities'!L200,168)-MAX('Activities'!K200,162))</x:f>
        <x:v>0</x:v>
      </x:c>
      <x:c r="AG200" s="22" t="n">
        <x:f>MAX(0,MIN('Activities'!L200,174)-MAX('Activities'!K200,168))</x:f>
        <x:v>0</x:v>
      </x:c>
      <x:c r="AH200" s="22" t="n">
        <x:f>MAX(0,MIN('Activities'!L200,180)-MAX('Activities'!K200,174))</x:f>
        <x:v>0</x:v>
      </x:c>
      <x:c r="AI200" s="22" t="n">
        <x:f>MAX(0,MIN('Activities'!L200,186)-MAX('Activities'!K200,180))</x:f>
        <x:v>0</x:v>
      </x:c>
      <x:c r="AJ200" s="22" t="n">
        <x:f>MAX(0,MIN('Activities'!L200,192)-MAX('Activities'!K200,186))</x:f>
        <x:v>0</x:v>
      </x:c>
      <x:c r="AK200" s="22" t="n">
        <x:f>MAX(0,MIN('Activities'!L200,198)-MAX('Activities'!K200,192))</x:f>
        <x:v>0</x:v>
      </x:c>
      <x:c r="AL200" s="22" t="n">
        <x:f>MAX(0,MIN('Activities'!L200,204)-MAX('Activities'!K200,198))</x:f>
        <x:v>0</x:v>
      </x:c>
      <x:c r="AM200" s="22" t="n">
        <x:f>MAX(0,MIN('Activities'!L200,210)-MAX('Activities'!K200,204))</x:f>
        <x:v>0</x:v>
      </x:c>
      <x:c r="AN200" s="22" t="n">
        <x:f>MAX(0,MIN('Activities'!L200,216)-MAX('Activities'!K200,210))</x:f>
        <x:v>0</x:v>
      </x:c>
      <x:c r="AO200" s="22" t="n">
        <x:f>MAX(0,MIN('Activities'!L200,222)-MAX('Activities'!K200,216))</x:f>
        <x:v>0</x:v>
      </x:c>
      <x:c r="AP200" s="22" t="n">
        <x:f>MAX(0,MIN('Activities'!L200,228)-MAX('Activities'!K200,222))</x:f>
        <x:v>0</x:v>
      </x:c>
      <x:c r="AQ200" s="22" t="n">
        <x:f>MAX(0,MIN('Activities'!L200,234)-MAX('Activities'!K200,228))</x:f>
        <x:v>0</x:v>
      </x:c>
      <x:c r="AR200" s="22" t="n">
        <x:f>MAX(0,MIN('Activities'!L200,240)-MAX('Activities'!K200,234))</x:f>
        <x:v>0</x:v>
      </x:c>
      <x:c r="AS200" s="22" t="n">
        <x:f>MAX(0,MIN('Activities'!L200,246)-MAX('Activities'!K200,240))</x:f>
        <x:v>0</x:v>
      </x:c>
      <x:c r="AT200" s="22" t="n">
        <x:f>MAX(0,MIN('Activities'!L200,252)-MAX('Activities'!K200,246))</x:f>
        <x:v>0</x:v>
      </x:c>
      <x:c r="AU200" s="22" t="n">
        <x:f>MAX(0,MIN('Activities'!L200,258)-MAX('Activities'!K200,252))</x:f>
        <x:v>0</x:v>
      </x:c>
      <x:c r="AV200" s="22" t="n">
        <x:f>MAX(0,MIN('Activities'!L200,264)-MAX('Activities'!K200,258))</x:f>
        <x:v>0</x:v>
      </x:c>
      <x:c r="AW200" s="22" t="n">
        <x:f>MAX(0,MIN('Activities'!L200,270)-MAX('Activities'!K200,264))</x:f>
        <x:v>0</x:v>
      </x:c>
      <x:c r="AX200" s="22" t="n">
        <x:f>MAX(0,MIN('Activities'!L200,276)-MAX('Activities'!K200,270))</x:f>
        <x:v>0</x:v>
      </x:c>
      <x:c r="AY200" s="22" t="n">
        <x:f>MAX(0,MIN('Activities'!L200,282)-MAX('Activities'!K200,276))</x:f>
        <x:v>0</x:v>
      </x:c>
      <x:c r="AZ200" s="22" t="n">
        <x:f>MAX(0,MIN('Activities'!L200,288)-MAX('Activities'!K200,282))</x:f>
        <x:v>0</x:v>
      </x:c>
      <x:c r="BA200" s="22" t="n">
        <x:f>MAX(0,MIN('Activities'!L200,294)-MAX('Activities'!K200,288))</x:f>
        <x:v>0</x:v>
      </x:c>
      <x:c r="BB200" s="22" t="n">
        <x:f>MAX(0,MIN('Activities'!L200,300)-MAX('Activities'!K200,294))</x:f>
        <x:v>0</x:v>
      </x:c>
      <x:c r="BC200" s="22" t="n">
        <x:f>MAX(0,MIN('Activities'!L200,306)-MAX('Activities'!K200,300))</x:f>
        <x:v>0</x:v>
      </x:c>
      <x:c r="BD200" s="22" t="n">
        <x:f>MAX(0,MIN('Activities'!L200,312)-MAX('Activities'!K200,306))</x:f>
        <x:v>0</x:v>
      </x:c>
      <x:c r="BE200" s="22" t="n">
        <x:f>MAX(0,MIN('Activities'!L200,318)-MAX('Activities'!K200,312))</x:f>
        <x:v>0</x:v>
      </x:c>
      <x:c r="BF200" s="22" t="n">
        <x:f>MAX(0,MIN('Activities'!L200,324)-MAX('Activities'!K200,318))</x:f>
        <x:v>0</x:v>
      </x:c>
      <x:c r="BG200" s="22" t="n">
        <x:f>MAX(0,MIN('Activities'!L200,330)-MAX('Activities'!K200,324))</x:f>
        <x:v>0</x:v>
      </x:c>
      <x:c r="BH200" s="22" t="n">
        <x:f>MAX(0,MIN('Activities'!L200,336)-MAX('Activities'!K200,330))</x:f>
        <x:v>0</x:v>
      </x:c>
      <x:c r="BI200" s="22" t="n">
        <x:f>MAX(0,MIN('Activities'!L200,342)-MAX('Activities'!K200,336))</x:f>
        <x:v>0</x:v>
      </x:c>
      <x:c r="BJ200" s="22" t="n">
        <x:f>MAX(0,MIN('Activities'!L200,348)-MAX('Activities'!K200,342))</x:f>
        <x:v>0</x:v>
      </x:c>
      <x:c r="BK200" s="22" t="n">
        <x:f>MAX(0,MIN('Activities'!L200,354)-MAX('Activities'!K200,348))</x:f>
        <x:v>0</x:v>
      </x:c>
      <x:c r="BL200" s="22" t="n">
        <x:f>MAX(0,MIN('Activities'!L200,360)-MAX('Activities'!K200,354))</x:f>
        <x:v>0</x:v>
      </x:c>
      <x:c r="BM200" s="22" t="n">
        <x:f>MAX(0,MIN('Activities'!L200,366)-MAX('Activities'!K200,360))</x:f>
        <x:v>0</x:v>
      </x:c>
      <x:c r="BN200" s="22" t="n">
        <x:f>MAX(0,MIN('Activities'!L200,372)-MAX('Activities'!K200,366))</x:f>
        <x:v>0</x:v>
      </x:c>
      <x:c r="BO200" s="22" t="n">
        <x:f>MAX(0,MIN('Activities'!L200,378)-MAX('Activities'!K200,372))</x:f>
        <x:v>3</x:v>
      </x:c>
      <x:c r="BP200" s="22" t="n">
        <x:f>MAX(0,MIN('Activities'!L200,384)-MAX('Activities'!K200,378))</x:f>
        <x:v>2</x:v>
      </x:c>
      <x:c r="BQ200" s="22" t="n">
        <x:f>MAX(0,MIN('Activities'!L200,390)-MAX('Activities'!K200,384))</x:f>
        <x:v>0</x:v>
      </x:c>
      <x:c r="BR200" s="22" t="n">
        <x:f>MAX(0,MIN('Activities'!L200,396)-MAX('Activities'!K200,390))</x:f>
        <x:v>0</x:v>
      </x:c>
      <x:c r="BS200" s="22" t="n">
        <x:f>MAX(0,MIN('Activities'!L200,402)-MAX('Activities'!K200,396))</x:f>
        <x:v>0</x:v>
      </x:c>
      <x:c r="BT200" s="22" t="n">
        <x:f>MAX(0,MIN('Activities'!L200,408)-MAX('Activities'!K200,402))</x:f>
        <x:v>0</x:v>
      </x:c>
      <x:c r="BU200" s="22" t="n">
        <x:f>MAX(0,MIN('Activities'!L200,414)-MAX('Activities'!K200,408))</x:f>
        <x:v>0</x:v>
      </x:c>
      <x:c r="BV200" s="22" t="n">
        <x:f>MAX(0,MIN('Activities'!L200,420)-MAX('Activities'!K200,414))</x:f>
        <x:v>0</x:v>
      </x:c>
      <x:c r="BW200" s="22" t="n">
        <x:f>MAX(0,MIN('Activities'!L200,426)-MAX('Activities'!K200,420))</x:f>
        <x:v>0</x:v>
      </x:c>
      <x:c r="BX200" s="22" t="n">
        <x:f>MAX(0,MIN('Activities'!L200,432)-MAX('Activities'!K200,426))</x:f>
        <x:v>0</x:v>
      </x:c>
      <x:c r="BY200" s="22" t="n">
        <x:f>MAX(0,MIN('Activities'!L200,438)-MAX('Activities'!K200,432))</x:f>
        <x:v>0</x:v>
      </x:c>
      <x:c r="BZ200" s="22" t="n">
        <x:f>MAX(0,MIN('Activities'!L200,444)-MAX('Activities'!K200,438))</x:f>
        <x:v>0</x:v>
      </x:c>
      <x:c r="CA200" s="22" t="n">
        <x:f>MAX(0,MIN('Activities'!L200,450)-MAX('Activities'!K200,444))</x:f>
        <x:v>0</x:v>
      </x:c>
      <x:c r="CB200" s="22" t="n">
        <x:f>MAX(0,MIN('Activities'!L200,456)-MAX('Activities'!K200,450))</x:f>
        <x:v>0</x:v>
      </x:c>
      <x:c r="CC200" s="22" t="n">
        <x:f>MAX(0,MIN('Activities'!L200,462)-MAX('Activities'!K200,456))</x:f>
        <x:v>0</x:v>
      </x:c>
      <x:c r="CD200" s="22" t="n">
        <x:f>MAX(0,MIN('Activities'!L200,468)-MAX('Activities'!K200,462))</x:f>
        <x:v>0</x:v>
      </x:c>
      <x:c r="CE200" s="22" t="n">
        <x:f>MAX(0,MIN('Activities'!L200,474)-MAX('Activities'!K200,468))</x:f>
        <x:v>0</x:v>
      </x:c>
      <x:c r="CF200" s="22" t="n">
        <x:f>MAX(0,MIN('Activities'!L200,480)-MAX('Activities'!K200,474))</x:f>
        <x:v>0</x:v>
      </x:c>
      <x:c r="CG200" s="22" t="n">
        <x:f>MAX(0,MIN('Activities'!L200,486)-MAX('Activities'!K200,480))</x:f>
        <x:v>0</x:v>
      </x:c>
      <x:c r="CH200" s="22" t="n">
        <x:f>MAX(0,MIN('Activities'!L200,492)-MAX('Activities'!K200,486))</x:f>
        <x:v>0</x:v>
      </x:c>
      <x:c r="CI200" s="22" t="n">
        <x:f>MAX(0,MIN('Activities'!L200,498)-MAX('Activities'!K200,492))</x:f>
        <x:v>0</x:v>
      </x:c>
      <x:c r="CJ200" s="22" t="n">
        <x:f>MAX(0,MIN('Activities'!L200,504)-MAX('Activities'!K200,498))</x:f>
        <x:v>0</x:v>
      </x:c>
      <x:c r="CK200" s="22" t="n">
        <x:f>MAX(0,MIN('Activities'!L200,510)-MAX('Activities'!K200,504))</x:f>
        <x:v>0</x:v>
      </x:c>
      <x:c r="CL200" s="22" t="n">
        <x:f>MAX(0,MIN('Activities'!L200,516)-MAX('Activities'!K200,510))</x:f>
        <x:v>0</x:v>
      </x:c>
      <x:c r="CM200" s="22" t="n">
        <x:f>MAX(0,MIN('Activities'!L200,522)-MAX('Activities'!K200,516))</x:f>
        <x:v>0</x:v>
      </x:c>
      <x:c r="CN200" s="22" t="n">
        <x:f>MAX(0,MIN('Activities'!L200,528)-MAX('Activities'!K200,522))</x:f>
        <x:v>0</x:v>
      </x:c>
      <x:c r="CO200" s="22" t="n">
        <x:f>MAX(0,MIN('Activities'!L200,534)-MAX('Activities'!K200,528))</x:f>
        <x:v>0</x:v>
      </x:c>
      <x:c r="CP200" s="22" t="n">
        <x:f>MAX(0,MIN('Activities'!L200,540)-MAX('Activities'!K200,534))</x:f>
        <x:v>0</x:v>
      </x:c>
      <x:c r="CQ200" s="22" t="n">
        <x:f>MAX(0,MIN('Activities'!L200,546)-MAX('Activities'!K200,540))</x:f>
        <x:v>0</x:v>
      </x:c>
      <x:c r="CR200" s="22" t="n">
        <x:f>MAX(0,MIN('Activities'!L200,552)-MAX('Activities'!K200,546))</x:f>
        <x:v>0</x:v>
      </x:c>
      <x:c r="CS200" s="22" t="n">
        <x:f>MAX(0,MIN('Activities'!L200,558)-MAX('Activities'!K200,552))</x:f>
        <x:v>0</x:v>
      </x:c>
      <x:c r="CT200" s="22" t="n">
        <x:f>MAX(0,MIN('Activities'!L200,564)-MAX('Activities'!K200,558))</x:f>
        <x:v>0</x:v>
      </x:c>
      <x:c r="CU200" s="22" t="n">
        <x:f>MAX(0,MIN('Activities'!L200,570)-MAX('Activities'!K200,564))</x:f>
        <x:v>0</x:v>
      </x:c>
      <x:c r="CV200" s="22" t="n">
        <x:f>MAX(0,MIN('Activities'!L200,576)-MAX('Activities'!K200,570))</x:f>
        <x:v>0</x:v>
      </x:c>
      <x:c r="CW200" s="22" t="n">
        <x:f>MAX(0,MIN('Activities'!L200,582)-MAX('Activities'!K200,576))</x:f>
        <x:v>0</x:v>
      </x:c>
      <x:c r="CX200" s="22" t="n">
        <x:f>MAX(0,MIN('Activities'!L200,588)-MAX('Activities'!K200,582))</x:f>
        <x:v>0</x:v>
      </x:c>
      <x:c r="CY200" s="22" t="n">
        <x:f>MAX(0,MIN('Activities'!L200,594)-MAX('Activities'!K200,588))</x:f>
        <x:v>0</x:v>
      </x:c>
      <x:c r="CZ200" s="22" t="n">
        <x:f>MAX(0,MIN('Activities'!L200,600)-MAX('Activities'!K200,594))</x:f>
        <x:v>0</x:v>
      </x:c>
      <x:c r="DA200" s="22" t="n">
        <x:f>MAX(0,MIN('Activities'!L200,606)-MAX('Activities'!K200,600))</x:f>
        <x:v>0</x:v>
      </x:c>
      <x:c r="DB200" s="22" t="n">
        <x:f>MAX(0,MIN('Activities'!L200,612)-MAX('Activities'!K200,606))</x:f>
        <x:v>0</x:v>
      </x:c>
      <x:c r="DC200" s="22" t="n">
        <x:f>MAX(0,MIN('Activities'!L200,618)-MAX('Activities'!K200,612))</x:f>
        <x:v>0</x:v>
      </x:c>
      <x:c r="DD200" s="22" t="n">
        <x:f>MAX(0,MIN('Activities'!L200,624)-MAX('Activities'!K200,618))</x:f>
        <x:v>0</x:v>
      </x:c>
      <x:c r="DE200" s="22" t="n">
        <x:f>MAX(0,MIN('Activities'!L200,630)-MAX('Activities'!K200,624))</x:f>
        <x:v>0</x:v>
      </x:c>
      <x:c r="DF200" s="22" t="n">
        <x:f>MAX(0,MIN('Activities'!L200,636)-MAX('Activities'!K200,630))</x:f>
        <x:v>0</x:v>
      </x:c>
    </x:row>
    <x:row r="201" ht="23" customHeight="1">
      <x:c r="A201" s="1" t="str">
        <x:v>T2-RF</x:v>
      </x:c>
      <x:c r="B201" s="1" t="str">
        <x:v>T2</x:v>
      </x:c>
      <x:c r="C201" s="1" t="str">
        <x:v>Roof membrane and weatherproofing</x:v>
      </x:c>
      <x:c r="D201" s="1" t="str">
        <x:v>Envelope</x:v>
      </x:c>
      <x:c r="E201" s="23" t="n">
        <x:f>MAX(0,MIN('Activities'!L201,6)-MAX('Activities'!K201,0))</x:f>
        <x:v>0</x:v>
      </x:c>
      <x:c r="F201" s="23" t="n">
        <x:f>MAX(0,MIN('Activities'!L201,12)-MAX('Activities'!K201,6))</x:f>
        <x:v>0</x:v>
      </x:c>
      <x:c r="G201" s="23" t="n">
        <x:f>MAX(0,MIN('Activities'!L201,18)-MAX('Activities'!K201,12))</x:f>
        <x:v>0</x:v>
      </x:c>
      <x:c r="H201" s="23" t="n">
        <x:f>MAX(0,MIN('Activities'!L201,24)-MAX('Activities'!K201,18))</x:f>
        <x:v>0</x:v>
      </x:c>
      <x:c r="I201" s="23" t="n">
        <x:f>MAX(0,MIN('Activities'!L201,30)-MAX('Activities'!K201,24))</x:f>
        <x:v>0</x:v>
      </x:c>
      <x:c r="J201" s="23" t="n">
        <x:f>MAX(0,MIN('Activities'!L201,36)-MAX('Activities'!K201,30))</x:f>
        <x:v>0</x:v>
      </x:c>
      <x:c r="K201" s="23" t="n">
        <x:f>MAX(0,MIN('Activities'!L201,42)-MAX('Activities'!K201,36))</x:f>
        <x:v>0</x:v>
      </x:c>
      <x:c r="L201" s="23" t="n">
        <x:f>MAX(0,MIN('Activities'!L201,48)-MAX('Activities'!K201,42))</x:f>
        <x:v>0</x:v>
      </x:c>
      <x:c r="M201" s="23" t="n">
        <x:f>MAX(0,MIN('Activities'!L201,54)-MAX('Activities'!K201,48))</x:f>
        <x:v>0</x:v>
      </x:c>
      <x:c r="N201" s="23" t="n">
        <x:f>MAX(0,MIN('Activities'!L201,60)-MAX('Activities'!K201,54))</x:f>
        <x:v>0</x:v>
      </x:c>
      <x:c r="O201" s="23" t="n">
        <x:f>MAX(0,MIN('Activities'!L201,66)-MAX('Activities'!K201,60))</x:f>
        <x:v>0</x:v>
      </x:c>
      <x:c r="P201" s="23" t="n">
        <x:f>MAX(0,MIN('Activities'!L201,72)-MAX('Activities'!K201,66))</x:f>
        <x:v>0</x:v>
      </x:c>
      <x:c r="Q201" s="23" t="n">
        <x:f>MAX(0,MIN('Activities'!L201,78)-MAX('Activities'!K201,72))</x:f>
        <x:v>0</x:v>
      </x:c>
      <x:c r="R201" s="23" t="n">
        <x:f>MAX(0,MIN('Activities'!L201,84)-MAX('Activities'!K201,78))</x:f>
        <x:v>0</x:v>
      </x:c>
      <x:c r="S201" s="23" t="n">
        <x:f>MAX(0,MIN('Activities'!L201,90)-MAX('Activities'!K201,84))</x:f>
        <x:v>0</x:v>
      </x:c>
      <x:c r="T201" s="23" t="n">
        <x:f>MAX(0,MIN('Activities'!L201,96)-MAX('Activities'!K201,90))</x:f>
        <x:v>0</x:v>
      </x:c>
      <x:c r="U201" s="23" t="n">
        <x:f>MAX(0,MIN('Activities'!L201,102)-MAX('Activities'!K201,96))</x:f>
        <x:v>0</x:v>
      </x:c>
      <x:c r="V201" s="23" t="n">
        <x:f>MAX(0,MIN('Activities'!L201,108)-MAX('Activities'!K201,102))</x:f>
        <x:v>0</x:v>
      </x:c>
      <x:c r="W201" s="23" t="n">
        <x:f>MAX(0,MIN('Activities'!L201,114)-MAX('Activities'!K201,108))</x:f>
        <x:v>0</x:v>
      </x:c>
      <x:c r="X201" s="23" t="n">
        <x:f>MAX(0,MIN('Activities'!L201,120)-MAX('Activities'!K201,114))</x:f>
        <x:v>0</x:v>
      </x:c>
      <x:c r="Y201" s="23" t="n">
        <x:f>MAX(0,MIN('Activities'!L201,126)-MAX('Activities'!K201,120))</x:f>
        <x:v>0</x:v>
      </x:c>
      <x:c r="Z201" s="23" t="n">
        <x:f>MAX(0,MIN('Activities'!L201,132)-MAX('Activities'!K201,126))</x:f>
        <x:v>0</x:v>
      </x:c>
      <x:c r="AA201" s="23" t="n">
        <x:f>MAX(0,MIN('Activities'!L201,138)-MAX('Activities'!K201,132))</x:f>
        <x:v>0</x:v>
      </x:c>
      <x:c r="AB201" s="23" t="n">
        <x:f>MAX(0,MIN('Activities'!L201,144)-MAX('Activities'!K201,138))</x:f>
        <x:v>0</x:v>
      </x:c>
      <x:c r="AC201" s="23" t="n">
        <x:f>MAX(0,MIN('Activities'!L201,150)-MAX('Activities'!K201,144))</x:f>
        <x:v>0</x:v>
      </x:c>
      <x:c r="AD201" s="23" t="n">
        <x:f>MAX(0,MIN('Activities'!L201,156)-MAX('Activities'!K201,150))</x:f>
        <x:v>0</x:v>
      </x:c>
      <x:c r="AE201" s="23" t="n">
        <x:f>MAX(0,MIN('Activities'!L201,162)-MAX('Activities'!K201,156))</x:f>
        <x:v>0</x:v>
      </x:c>
      <x:c r="AF201" s="23" t="n">
        <x:f>MAX(0,MIN('Activities'!L201,168)-MAX('Activities'!K201,162))</x:f>
        <x:v>0</x:v>
      </x:c>
      <x:c r="AG201" s="23" t="n">
        <x:f>MAX(0,MIN('Activities'!L201,174)-MAX('Activities'!K201,168))</x:f>
        <x:v>0</x:v>
      </x:c>
      <x:c r="AH201" s="23" t="n">
        <x:f>MAX(0,MIN('Activities'!L201,180)-MAX('Activities'!K201,174))</x:f>
        <x:v>0</x:v>
      </x:c>
      <x:c r="AI201" s="23" t="n">
        <x:f>MAX(0,MIN('Activities'!L201,186)-MAX('Activities'!K201,180))</x:f>
        <x:v>0</x:v>
      </x:c>
      <x:c r="AJ201" s="23" t="n">
        <x:f>MAX(0,MIN('Activities'!L201,192)-MAX('Activities'!K201,186))</x:f>
        <x:v>0</x:v>
      </x:c>
      <x:c r="AK201" s="23" t="n">
        <x:f>MAX(0,MIN('Activities'!L201,198)-MAX('Activities'!K201,192))</x:f>
        <x:v>0</x:v>
      </x:c>
      <x:c r="AL201" s="23" t="n">
        <x:f>MAX(0,MIN('Activities'!L201,204)-MAX('Activities'!K201,198))</x:f>
        <x:v>0</x:v>
      </x:c>
      <x:c r="AM201" s="23" t="n">
        <x:f>MAX(0,MIN('Activities'!L201,210)-MAX('Activities'!K201,204))</x:f>
        <x:v>0</x:v>
      </x:c>
      <x:c r="AN201" s="23" t="n">
        <x:f>MAX(0,MIN('Activities'!L201,216)-MAX('Activities'!K201,210))</x:f>
        <x:v>0</x:v>
      </x:c>
      <x:c r="AO201" s="23" t="n">
        <x:f>MAX(0,MIN('Activities'!L201,222)-MAX('Activities'!K201,216))</x:f>
        <x:v>0</x:v>
      </x:c>
      <x:c r="AP201" s="23" t="n">
        <x:f>MAX(0,MIN('Activities'!L201,228)-MAX('Activities'!K201,222))</x:f>
        <x:v>0</x:v>
      </x:c>
      <x:c r="AQ201" s="23" t="n">
        <x:f>MAX(0,MIN('Activities'!L201,234)-MAX('Activities'!K201,228))</x:f>
        <x:v>0</x:v>
      </x:c>
      <x:c r="AR201" s="23" t="n">
        <x:f>MAX(0,MIN('Activities'!L201,240)-MAX('Activities'!K201,234))</x:f>
        <x:v>0</x:v>
      </x:c>
      <x:c r="AS201" s="23" t="n">
        <x:f>MAX(0,MIN('Activities'!L201,246)-MAX('Activities'!K201,240))</x:f>
        <x:v>0</x:v>
      </x:c>
      <x:c r="AT201" s="23" t="n">
        <x:f>MAX(0,MIN('Activities'!L201,252)-MAX('Activities'!K201,246))</x:f>
        <x:v>0</x:v>
      </x:c>
      <x:c r="AU201" s="23" t="n">
        <x:f>MAX(0,MIN('Activities'!L201,258)-MAX('Activities'!K201,252))</x:f>
        <x:v>0</x:v>
      </x:c>
      <x:c r="AV201" s="23" t="n">
        <x:f>MAX(0,MIN('Activities'!L201,264)-MAX('Activities'!K201,258))</x:f>
        <x:v>0</x:v>
      </x:c>
      <x:c r="AW201" s="23" t="n">
        <x:f>MAX(0,MIN('Activities'!L201,270)-MAX('Activities'!K201,264))</x:f>
        <x:v>0</x:v>
      </x:c>
      <x:c r="AX201" s="23" t="n">
        <x:f>MAX(0,MIN('Activities'!L201,276)-MAX('Activities'!K201,270))</x:f>
        <x:v>0</x:v>
      </x:c>
      <x:c r="AY201" s="23" t="n">
        <x:f>MAX(0,MIN('Activities'!L201,282)-MAX('Activities'!K201,276))</x:f>
        <x:v>0</x:v>
      </x:c>
      <x:c r="AZ201" s="23" t="n">
        <x:f>MAX(0,MIN('Activities'!L201,288)-MAX('Activities'!K201,282))</x:f>
        <x:v>0</x:v>
      </x:c>
      <x:c r="BA201" s="23" t="n">
        <x:f>MAX(0,MIN('Activities'!L201,294)-MAX('Activities'!K201,288))</x:f>
        <x:v>0</x:v>
      </x:c>
      <x:c r="BB201" s="23" t="n">
        <x:f>MAX(0,MIN('Activities'!L201,300)-MAX('Activities'!K201,294))</x:f>
        <x:v>0</x:v>
      </x:c>
      <x:c r="BC201" s="23" t="n">
        <x:f>MAX(0,MIN('Activities'!L201,306)-MAX('Activities'!K201,300))</x:f>
        <x:v>0</x:v>
      </x:c>
      <x:c r="BD201" s="23" t="n">
        <x:f>MAX(0,MIN('Activities'!L201,312)-MAX('Activities'!K201,306))</x:f>
        <x:v>0</x:v>
      </x:c>
      <x:c r="BE201" s="23" t="n">
        <x:f>MAX(0,MIN('Activities'!L201,318)-MAX('Activities'!K201,312))</x:f>
        <x:v>0</x:v>
      </x:c>
      <x:c r="BF201" s="23" t="n">
        <x:f>MAX(0,MIN('Activities'!L201,324)-MAX('Activities'!K201,318))</x:f>
        <x:v>0</x:v>
      </x:c>
      <x:c r="BG201" s="23" t="n">
        <x:f>MAX(0,MIN('Activities'!L201,330)-MAX('Activities'!K201,324))</x:f>
        <x:v>0</x:v>
      </x:c>
      <x:c r="BH201" s="23" t="n">
        <x:f>MAX(0,MIN('Activities'!L201,336)-MAX('Activities'!K201,330))</x:f>
        <x:v>0</x:v>
      </x:c>
      <x:c r="BI201" s="23" t="n">
        <x:f>MAX(0,MIN('Activities'!L201,342)-MAX('Activities'!K201,336))</x:f>
        <x:v>0</x:v>
      </x:c>
      <x:c r="BJ201" s="23" t="n">
        <x:f>MAX(0,MIN('Activities'!L201,348)-MAX('Activities'!K201,342))</x:f>
        <x:v>0</x:v>
      </x:c>
      <x:c r="BK201" s="23" t="n">
        <x:f>MAX(0,MIN('Activities'!L201,354)-MAX('Activities'!K201,348))</x:f>
        <x:v>0</x:v>
      </x:c>
      <x:c r="BL201" s="23" t="n">
        <x:f>MAX(0,MIN('Activities'!L201,360)-MAX('Activities'!K201,354))</x:f>
        <x:v>0</x:v>
      </x:c>
      <x:c r="BM201" s="23" t="n">
        <x:f>MAX(0,MIN('Activities'!L201,366)-MAX('Activities'!K201,360))</x:f>
        <x:v>0</x:v>
      </x:c>
      <x:c r="BN201" s="23" t="n">
        <x:f>MAX(0,MIN('Activities'!L201,372)-MAX('Activities'!K201,366))</x:f>
        <x:v>0</x:v>
      </x:c>
      <x:c r="BO201" s="23" t="n">
        <x:f>MAX(0,MIN('Activities'!L201,378)-MAX('Activities'!K201,372))</x:f>
        <x:v>0</x:v>
      </x:c>
      <x:c r="BP201" s="23" t="n">
        <x:f>MAX(0,MIN('Activities'!L201,384)-MAX('Activities'!K201,378))</x:f>
        <x:v>0</x:v>
      </x:c>
      <x:c r="BQ201" s="23" t="n">
        <x:f>MAX(0,MIN('Activities'!L201,390)-MAX('Activities'!K201,384))</x:f>
        <x:v>5</x:v>
      </x:c>
      <x:c r="BR201" s="23" t="n">
        <x:f>MAX(0,MIN('Activities'!L201,396)-MAX('Activities'!K201,390))</x:f>
        <x:v>6</x:v>
      </x:c>
      <x:c r="BS201" s="23" t="n">
        <x:f>MAX(0,MIN('Activities'!L201,402)-MAX('Activities'!K201,396))</x:f>
        <x:v>3</x:v>
      </x:c>
      <x:c r="BT201" s="23" t="n">
        <x:f>MAX(0,MIN('Activities'!L201,408)-MAX('Activities'!K201,402))</x:f>
        <x:v>0</x:v>
      </x:c>
      <x:c r="BU201" s="23" t="n">
        <x:f>MAX(0,MIN('Activities'!L201,414)-MAX('Activities'!K201,408))</x:f>
        <x:v>0</x:v>
      </x:c>
      <x:c r="BV201" s="23" t="n">
        <x:f>MAX(0,MIN('Activities'!L201,420)-MAX('Activities'!K201,414))</x:f>
        <x:v>0</x:v>
      </x:c>
      <x:c r="BW201" s="23" t="n">
        <x:f>MAX(0,MIN('Activities'!L201,426)-MAX('Activities'!K201,420))</x:f>
        <x:v>0</x:v>
      </x:c>
      <x:c r="BX201" s="23" t="n">
        <x:f>MAX(0,MIN('Activities'!L201,432)-MAX('Activities'!K201,426))</x:f>
        <x:v>0</x:v>
      </x:c>
      <x:c r="BY201" s="23" t="n">
        <x:f>MAX(0,MIN('Activities'!L201,438)-MAX('Activities'!K201,432))</x:f>
        <x:v>0</x:v>
      </x:c>
      <x:c r="BZ201" s="23" t="n">
        <x:f>MAX(0,MIN('Activities'!L201,444)-MAX('Activities'!K201,438))</x:f>
        <x:v>0</x:v>
      </x:c>
      <x:c r="CA201" s="23" t="n">
        <x:f>MAX(0,MIN('Activities'!L201,450)-MAX('Activities'!K201,444))</x:f>
        <x:v>0</x:v>
      </x:c>
      <x:c r="CB201" s="23" t="n">
        <x:f>MAX(0,MIN('Activities'!L201,456)-MAX('Activities'!K201,450))</x:f>
        <x:v>0</x:v>
      </x:c>
      <x:c r="CC201" s="23" t="n">
        <x:f>MAX(0,MIN('Activities'!L201,462)-MAX('Activities'!K201,456))</x:f>
        <x:v>0</x:v>
      </x:c>
      <x:c r="CD201" s="23" t="n">
        <x:f>MAX(0,MIN('Activities'!L201,468)-MAX('Activities'!K201,462))</x:f>
        <x:v>0</x:v>
      </x:c>
      <x:c r="CE201" s="23" t="n">
        <x:f>MAX(0,MIN('Activities'!L201,474)-MAX('Activities'!K201,468))</x:f>
        <x:v>0</x:v>
      </x:c>
      <x:c r="CF201" s="23" t="n">
        <x:f>MAX(0,MIN('Activities'!L201,480)-MAX('Activities'!K201,474))</x:f>
        <x:v>0</x:v>
      </x:c>
      <x:c r="CG201" s="23" t="n">
        <x:f>MAX(0,MIN('Activities'!L201,486)-MAX('Activities'!K201,480))</x:f>
        <x:v>0</x:v>
      </x:c>
      <x:c r="CH201" s="23" t="n">
        <x:f>MAX(0,MIN('Activities'!L201,492)-MAX('Activities'!K201,486))</x:f>
        <x:v>0</x:v>
      </x:c>
      <x:c r="CI201" s="23" t="n">
        <x:f>MAX(0,MIN('Activities'!L201,498)-MAX('Activities'!K201,492))</x:f>
        <x:v>0</x:v>
      </x:c>
      <x:c r="CJ201" s="23" t="n">
        <x:f>MAX(0,MIN('Activities'!L201,504)-MAX('Activities'!K201,498))</x:f>
        <x:v>0</x:v>
      </x:c>
      <x:c r="CK201" s="23" t="n">
        <x:f>MAX(0,MIN('Activities'!L201,510)-MAX('Activities'!K201,504))</x:f>
        <x:v>0</x:v>
      </x:c>
      <x:c r="CL201" s="23" t="n">
        <x:f>MAX(0,MIN('Activities'!L201,516)-MAX('Activities'!K201,510))</x:f>
        <x:v>0</x:v>
      </x:c>
      <x:c r="CM201" s="23" t="n">
        <x:f>MAX(0,MIN('Activities'!L201,522)-MAX('Activities'!K201,516))</x:f>
        <x:v>0</x:v>
      </x:c>
      <x:c r="CN201" s="23" t="n">
        <x:f>MAX(0,MIN('Activities'!L201,528)-MAX('Activities'!K201,522))</x:f>
        <x:v>0</x:v>
      </x:c>
      <x:c r="CO201" s="23" t="n">
        <x:f>MAX(0,MIN('Activities'!L201,534)-MAX('Activities'!K201,528))</x:f>
        <x:v>0</x:v>
      </x:c>
      <x:c r="CP201" s="23" t="n">
        <x:f>MAX(0,MIN('Activities'!L201,540)-MAX('Activities'!K201,534))</x:f>
        <x:v>0</x:v>
      </x:c>
      <x:c r="CQ201" s="23" t="n">
        <x:f>MAX(0,MIN('Activities'!L201,546)-MAX('Activities'!K201,540))</x:f>
        <x:v>0</x:v>
      </x:c>
      <x:c r="CR201" s="23" t="n">
        <x:f>MAX(0,MIN('Activities'!L201,552)-MAX('Activities'!K201,546))</x:f>
        <x:v>0</x:v>
      </x:c>
      <x:c r="CS201" s="23" t="n">
        <x:f>MAX(0,MIN('Activities'!L201,558)-MAX('Activities'!K201,552))</x:f>
        <x:v>0</x:v>
      </x:c>
      <x:c r="CT201" s="23" t="n">
        <x:f>MAX(0,MIN('Activities'!L201,564)-MAX('Activities'!K201,558))</x:f>
        <x:v>0</x:v>
      </x:c>
      <x:c r="CU201" s="23" t="n">
        <x:f>MAX(0,MIN('Activities'!L201,570)-MAX('Activities'!K201,564))</x:f>
        <x:v>0</x:v>
      </x:c>
      <x:c r="CV201" s="23" t="n">
        <x:f>MAX(0,MIN('Activities'!L201,576)-MAX('Activities'!K201,570))</x:f>
        <x:v>0</x:v>
      </x:c>
      <x:c r="CW201" s="23" t="n">
        <x:f>MAX(0,MIN('Activities'!L201,582)-MAX('Activities'!K201,576))</x:f>
        <x:v>0</x:v>
      </x:c>
      <x:c r="CX201" s="23" t="n">
        <x:f>MAX(0,MIN('Activities'!L201,588)-MAX('Activities'!K201,582))</x:f>
        <x:v>0</x:v>
      </x:c>
      <x:c r="CY201" s="23" t="n">
        <x:f>MAX(0,MIN('Activities'!L201,594)-MAX('Activities'!K201,588))</x:f>
        <x:v>0</x:v>
      </x:c>
      <x:c r="CZ201" s="23" t="n">
        <x:f>MAX(0,MIN('Activities'!L201,600)-MAX('Activities'!K201,594))</x:f>
        <x:v>0</x:v>
      </x:c>
      <x:c r="DA201" s="23" t="n">
        <x:f>MAX(0,MIN('Activities'!L201,606)-MAX('Activities'!K201,600))</x:f>
        <x:v>0</x:v>
      </x:c>
      <x:c r="DB201" s="23" t="n">
        <x:f>MAX(0,MIN('Activities'!L201,612)-MAX('Activities'!K201,606))</x:f>
        <x:v>0</x:v>
      </x:c>
      <x:c r="DC201" s="23" t="n">
        <x:f>MAX(0,MIN('Activities'!L201,618)-MAX('Activities'!K201,612))</x:f>
        <x:v>0</x:v>
      </x:c>
      <x:c r="DD201" s="23" t="n">
        <x:f>MAX(0,MIN('Activities'!L201,624)-MAX('Activities'!K201,618))</x:f>
        <x:v>0</x:v>
      </x:c>
      <x:c r="DE201" s="23" t="n">
        <x:f>MAX(0,MIN('Activities'!L201,630)-MAX('Activities'!K201,624))</x:f>
        <x:v>0</x:v>
      </x:c>
      <x:c r="DF201" s="23" t="n">
        <x:f>MAX(0,MIN('Activities'!L201,636)-MAX('Activities'!K201,630))</x:f>
        <x:v>0</x:v>
      </x:c>
    </x:row>
    <x:row r="202" ht="23" customHeight="1">
      <x:c r="A202" s="6" t="str">
        <x:v>T2-FA</x:v>
      </x:c>
      <x:c r="B202" s="6" t="str">
        <x:v>T2</x:v>
      </x:c>
      <x:c r="C202" s="6" t="str">
        <x:v>Insulated facade installation</x:v>
      </x:c>
      <x:c r="D202" s="6" t="str">
        <x:v>Envelope</x:v>
      </x:c>
      <x:c r="E202" s="22" t="n">
        <x:f>MAX(0,MIN('Activities'!L202,6)-MAX('Activities'!K202,0))</x:f>
        <x:v>0</x:v>
      </x:c>
      <x:c r="F202" s="22" t="n">
        <x:f>MAX(0,MIN('Activities'!L202,12)-MAX('Activities'!K202,6))</x:f>
        <x:v>0</x:v>
      </x:c>
      <x:c r="G202" s="22" t="n">
        <x:f>MAX(0,MIN('Activities'!L202,18)-MAX('Activities'!K202,12))</x:f>
        <x:v>0</x:v>
      </x:c>
      <x:c r="H202" s="22" t="n">
        <x:f>MAX(0,MIN('Activities'!L202,24)-MAX('Activities'!K202,18))</x:f>
        <x:v>0</x:v>
      </x:c>
      <x:c r="I202" s="22" t="n">
        <x:f>MAX(0,MIN('Activities'!L202,30)-MAX('Activities'!K202,24))</x:f>
        <x:v>0</x:v>
      </x:c>
      <x:c r="J202" s="22" t="n">
        <x:f>MAX(0,MIN('Activities'!L202,36)-MAX('Activities'!K202,30))</x:f>
        <x:v>0</x:v>
      </x:c>
      <x:c r="K202" s="22" t="n">
        <x:f>MAX(0,MIN('Activities'!L202,42)-MAX('Activities'!K202,36))</x:f>
        <x:v>0</x:v>
      </x:c>
      <x:c r="L202" s="22" t="n">
        <x:f>MAX(0,MIN('Activities'!L202,48)-MAX('Activities'!K202,42))</x:f>
        <x:v>0</x:v>
      </x:c>
      <x:c r="M202" s="22" t="n">
        <x:f>MAX(0,MIN('Activities'!L202,54)-MAX('Activities'!K202,48))</x:f>
        <x:v>0</x:v>
      </x:c>
      <x:c r="N202" s="22" t="n">
        <x:f>MAX(0,MIN('Activities'!L202,60)-MAX('Activities'!K202,54))</x:f>
        <x:v>0</x:v>
      </x:c>
      <x:c r="O202" s="22" t="n">
        <x:f>MAX(0,MIN('Activities'!L202,66)-MAX('Activities'!K202,60))</x:f>
        <x:v>0</x:v>
      </x:c>
      <x:c r="P202" s="22" t="n">
        <x:f>MAX(0,MIN('Activities'!L202,72)-MAX('Activities'!K202,66))</x:f>
        <x:v>0</x:v>
      </x:c>
      <x:c r="Q202" s="22" t="n">
        <x:f>MAX(0,MIN('Activities'!L202,78)-MAX('Activities'!K202,72))</x:f>
        <x:v>0</x:v>
      </x:c>
      <x:c r="R202" s="22" t="n">
        <x:f>MAX(0,MIN('Activities'!L202,84)-MAX('Activities'!K202,78))</x:f>
        <x:v>0</x:v>
      </x:c>
      <x:c r="S202" s="22" t="n">
        <x:f>MAX(0,MIN('Activities'!L202,90)-MAX('Activities'!K202,84))</x:f>
        <x:v>0</x:v>
      </x:c>
      <x:c r="T202" s="22" t="n">
        <x:f>MAX(0,MIN('Activities'!L202,96)-MAX('Activities'!K202,90))</x:f>
        <x:v>0</x:v>
      </x:c>
      <x:c r="U202" s="22" t="n">
        <x:f>MAX(0,MIN('Activities'!L202,102)-MAX('Activities'!K202,96))</x:f>
        <x:v>0</x:v>
      </x:c>
      <x:c r="V202" s="22" t="n">
        <x:f>MAX(0,MIN('Activities'!L202,108)-MAX('Activities'!K202,102))</x:f>
        <x:v>0</x:v>
      </x:c>
      <x:c r="W202" s="22" t="n">
        <x:f>MAX(0,MIN('Activities'!L202,114)-MAX('Activities'!K202,108))</x:f>
        <x:v>0</x:v>
      </x:c>
      <x:c r="X202" s="22" t="n">
        <x:f>MAX(0,MIN('Activities'!L202,120)-MAX('Activities'!K202,114))</x:f>
        <x:v>0</x:v>
      </x:c>
      <x:c r="Y202" s="22" t="n">
        <x:f>MAX(0,MIN('Activities'!L202,126)-MAX('Activities'!K202,120))</x:f>
        <x:v>0</x:v>
      </x:c>
      <x:c r="Z202" s="22" t="n">
        <x:f>MAX(0,MIN('Activities'!L202,132)-MAX('Activities'!K202,126))</x:f>
        <x:v>0</x:v>
      </x:c>
      <x:c r="AA202" s="22" t="n">
        <x:f>MAX(0,MIN('Activities'!L202,138)-MAX('Activities'!K202,132))</x:f>
        <x:v>0</x:v>
      </x:c>
      <x:c r="AB202" s="22" t="n">
        <x:f>MAX(0,MIN('Activities'!L202,144)-MAX('Activities'!K202,138))</x:f>
        <x:v>0</x:v>
      </x:c>
      <x:c r="AC202" s="22" t="n">
        <x:f>MAX(0,MIN('Activities'!L202,150)-MAX('Activities'!K202,144))</x:f>
        <x:v>0</x:v>
      </x:c>
      <x:c r="AD202" s="22" t="n">
        <x:f>MAX(0,MIN('Activities'!L202,156)-MAX('Activities'!K202,150))</x:f>
        <x:v>0</x:v>
      </x:c>
      <x:c r="AE202" s="22" t="n">
        <x:f>MAX(0,MIN('Activities'!L202,162)-MAX('Activities'!K202,156))</x:f>
        <x:v>0</x:v>
      </x:c>
      <x:c r="AF202" s="22" t="n">
        <x:f>MAX(0,MIN('Activities'!L202,168)-MAX('Activities'!K202,162))</x:f>
        <x:v>0</x:v>
      </x:c>
      <x:c r="AG202" s="22" t="n">
        <x:f>MAX(0,MIN('Activities'!L202,174)-MAX('Activities'!K202,168))</x:f>
        <x:v>0</x:v>
      </x:c>
      <x:c r="AH202" s="22" t="n">
        <x:f>MAX(0,MIN('Activities'!L202,180)-MAX('Activities'!K202,174))</x:f>
        <x:v>0</x:v>
      </x:c>
      <x:c r="AI202" s="22" t="n">
        <x:f>MAX(0,MIN('Activities'!L202,186)-MAX('Activities'!K202,180))</x:f>
        <x:v>0</x:v>
      </x:c>
      <x:c r="AJ202" s="22" t="n">
        <x:f>MAX(0,MIN('Activities'!L202,192)-MAX('Activities'!K202,186))</x:f>
        <x:v>0</x:v>
      </x:c>
      <x:c r="AK202" s="22" t="n">
        <x:f>MAX(0,MIN('Activities'!L202,198)-MAX('Activities'!K202,192))</x:f>
        <x:v>0</x:v>
      </x:c>
      <x:c r="AL202" s="22" t="n">
        <x:f>MAX(0,MIN('Activities'!L202,204)-MAX('Activities'!K202,198))</x:f>
        <x:v>0</x:v>
      </x:c>
      <x:c r="AM202" s="22" t="n">
        <x:f>MAX(0,MIN('Activities'!L202,210)-MAX('Activities'!K202,204))</x:f>
        <x:v>0</x:v>
      </x:c>
      <x:c r="AN202" s="22" t="n">
        <x:f>MAX(0,MIN('Activities'!L202,216)-MAX('Activities'!K202,210))</x:f>
        <x:v>0</x:v>
      </x:c>
      <x:c r="AO202" s="22" t="n">
        <x:f>MAX(0,MIN('Activities'!L202,222)-MAX('Activities'!K202,216))</x:f>
        <x:v>0</x:v>
      </x:c>
      <x:c r="AP202" s="22" t="n">
        <x:f>MAX(0,MIN('Activities'!L202,228)-MAX('Activities'!K202,222))</x:f>
        <x:v>0</x:v>
      </x:c>
      <x:c r="AQ202" s="22" t="n">
        <x:f>MAX(0,MIN('Activities'!L202,234)-MAX('Activities'!K202,228))</x:f>
        <x:v>0</x:v>
      </x:c>
      <x:c r="AR202" s="22" t="n">
        <x:f>MAX(0,MIN('Activities'!L202,240)-MAX('Activities'!K202,234))</x:f>
        <x:v>0</x:v>
      </x:c>
      <x:c r="AS202" s="22" t="n">
        <x:f>MAX(0,MIN('Activities'!L202,246)-MAX('Activities'!K202,240))</x:f>
        <x:v>0</x:v>
      </x:c>
      <x:c r="AT202" s="22" t="n">
        <x:f>MAX(0,MIN('Activities'!L202,252)-MAX('Activities'!K202,246))</x:f>
        <x:v>0</x:v>
      </x:c>
      <x:c r="AU202" s="22" t="n">
        <x:f>MAX(0,MIN('Activities'!L202,258)-MAX('Activities'!K202,252))</x:f>
        <x:v>0</x:v>
      </x:c>
      <x:c r="AV202" s="22" t="n">
        <x:f>MAX(0,MIN('Activities'!L202,264)-MAX('Activities'!K202,258))</x:f>
        <x:v>0</x:v>
      </x:c>
      <x:c r="AW202" s="22" t="n">
        <x:f>MAX(0,MIN('Activities'!L202,270)-MAX('Activities'!K202,264))</x:f>
        <x:v>0</x:v>
      </x:c>
      <x:c r="AX202" s="22" t="n">
        <x:f>MAX(0,MIN('Activities'!L202,276)-MAX('Activities'!K202,270))</x:f>
        <x:v>0</x:v>
      </x:c>
      <x:c r="AY202" s="22" t="n">
        <x:f>MAX(0,MIN('Activities'!L202,282)-MAX('Activities'!K202,276))</x:f>
        <x:v>0</x:v>
      </x:c>
      <x:c r="AZ202" s="22" t="n">
        <x:f>MAX(0,MIN('Activities'!L202,288)-MAX('Activities'!K202,282))</x:f>
        <x:v>0</x:v>
      </x:c>
      <x:c r="BA202" s="22" t="n">
        <x:f>MAX(0,MIN('Activities'!L202,294)-MAX('Activities'!K202,288))</x:f>
        <x:v>0</x:v>
      </x:c>
      <x:c r="BB202" s="22" t="n">
        <x:f>MAX(0,MIN('Activities'!L202,300)-MAX('Activities'!K202,294))</x:f>
        <x:v>0</x:v>
      </x:c>
      <x:c r="BC202" s="22" t="n">
        <x:f>MAX(0,MIN('Activities'!L202,306)-MAX('Activities'!K202,300))</x:f>
        <x:v>0</x:v>
      </x:c>
      <x:c r="BD202" s="22" t="n">
        <x:f>MAX(0,MIN('Activities'!L202,312)-MAX('Activities'!K202,306))</x:f>
        <x:v>0</x:v>
      </x:c>
      <x:c r="BE202" s="22" t="n">
        <x:f>MAX(0,MIN('Activities'!L202,318)-MAX('Activities'!K202,312))</x:f>
        <x:v>0</x:v>
      </x:c>
      <x:c r="BF202" s="22" t="n">
        <x:f>MAX(0,MIN('Activities'!L202,324)-MAX('Activities'!K202,318))</x:f>
        <x:v>6</x:v>
      </x:c>
      <x:c r="BG202" s="22" t="n">
        <x:f>MAX(0,MIN('Activities'!L202,330)-MAX('Activities'!K202,324))</x:f>
        <x:v>6</x:v>
      </x:c>
      <x:c r="BH202" s="22" t="n">
        <x:f>MAX(0,MIN('Activities'!L202,336)-MAX('Activities'!K202,330))</x:f>
        <x:v>6</x:v>
      </x:c>
      <x:c r="BI202" s="22" t="n">
        <x:f>MAX(0,MIN('Activities'!L202,342)-MAX('Activities'!K202,336))</x:f>
        <x:v>4</x:v>
      </x:c>
      <x:c r="BJ202" s="22" t="n">
        <x:f>MAX(0,MIN('Activities'!L202,348)-MAX('Activities'!K202,342))</x:f>
        <x:v>0</x:v>
      </x:c>
      <x:c r="BK202" s="22" t="n">
        <x:f>MAX(0,MIN('Activities'!L202,354)-MAX('Activities'!K202,348))</x:f>
        <x:v>0</x:v>
      </x:c>
      <x:c r="BL202" s="22" t="n">
        <x:f>MAX(0,MIN('Activities'!L202,360)-MAX('Activities'!K202,354))</x:f>
        <x:v>0</x:v>
      </x:c>
      <x:c r="BM202" s="22" t="n">
        <x:f>MAX(0,MIN('Activities'!L202,366)-MAX('Activities'!K202,360))</x:f>
        <x:v>0</x:v>
      </x:c>
      <x:c r="BN202" s="22" t="n">
        <x:f>MAX(0,MIN('Activities'!L202,372)-MAX('Activities'!K202,366))</x:f>
        <x:v>0</x:v>
      </x:c>
      <x:c r="BO202" s="22" t="n">
        <x:f>MAX(0,MIN('Activities'!L202,378)-MAX('Activities'!K202,372))</x:f>
        <x:v>0</x:v>
      </x:c>
      <x:c r="BP202" s="22" t="n">
        <x:f>MAX(0,MIN('Activities'!L202,384)-MAX('Activities'!K202,378))</x:f>
        <x:v>0</x:v>
      </x:c>
      <x:c r="BQ202" s="22" t="n">
        <x:f>MAX(0,MIN('Activities'!L202,390)-MAX('Activities'!K202,384))</x:f>
        <x:v>0</x:v>
      </x:c>
      <x:c r="BR202" s="22" t="n">
        <x:f>MAX(0,MIN('Activities'!L202,396)-MAX('Activities'!K202,390))</x:f>
        <x:v>0</x:v>
      </x:c>
      <x:c r="BS202" s="22" t="n">
        <x:f>MAX(0,MIN('Activities'!L202,402)-MAX('Activities'!K202,396))</x:f>
        <x:v>0</x:v>
      </x:c>
      <x:c r="BT202" s="22" t="n">
        <x:f>MAX(0,MIN('Activities'!L202,408)-MAX('Activities'!K202,402))</x:f>
        <x:v>0</x:v>
      </x:c>
      <x:c r="BU202" s="22" t="n">
        <x:f>MAX(0,MIN('Activities'!L202,414)-MAX('Activities'!K202,408))</x:f>
        <x:v>0</x:v>
      </x:c>
      <x:c r="BV202" s="22" t="n">
        <x:f>MAX(0,MIN('Activities'!L202,420)-MAX('Activities'!K202,414))</x:f>
        <x:v>0</x:v>
      </x:c>
      <x:c r="BW202" s="22" t="n">
        <x:f>MAX(0,MIN('Activities'!L202,426)-MAX('Activities'!K202,420))</x:f>
        <x:v>0</x:v>
      </x:c>
      <x:c r="BX202" s="22" t="n">
        <x:f>MAX(0,MIN('Activities'!L202,432)-MAX('Activities'!K202,426))</x:f>
        <x:v>0</x:v>
      </x:c>
      <x:c r="BY202" s="22" t="n">
        <x:f>MAX(0,MIN('Activities'!L202,438)-MAX('Activities'!K202,432))</x:f>
        <x:v>0</x:v>
      </x:c>
      <x:c r="BZ202" s="22" t="n">
        <x:f>MAX(0,MIN('Activities'!L202,444)-MAX('Activities'!K202,438))</x:f>
        <x:v>0</x:v>
      </x:c>
      <x:c r="CA202" s="22" t="n">
        <x:f>MAX(0,MIN('Activities'!L202,450)-MAX('Activities'!K202,444))</x:f>
        <x:v>0</x:v>
      </x:c>
      <x:c r="CB202" s="22" t="n">
        <x:f>MAX(0,MIN('Activities'!L202,456)-MAX('Activities'!K202,450))</x:f>
        <x:v>0</x:v>
      </x:c>
      <x:c r="CC202" s="22" t="n">
        <x:f>MAX(0,MIN('Activities'!L202,462)-MAX('Activities'!K202,456))</x:f>
        <x:v>0</x:v>
      </x:c>
      <x:c r="CD202" s="22" t="n">
        <x:f>MAX(0,MIN('Activities'!L202,468)-MAX('Activities'!K202,462))</x:f>
        <x:v>0</x:v>
      </x:c>
      <x:c r="CE202" s="22" t="n">
        <x:f>MAX(0,MIN('Activities'!L202,474)-MAX('Activities'!K202,468))</x:f>
        <x:v>0</x:v>
      </x:c>
      <x:c r="CF202" s="22" t="n">
        <x:f>MAX(0,MIN('Activities'!L202,480)-MAX('Activities'!K202,474))</x:f>
        <x:v>0</x:v>
      </x:c>
      <x:c r="CG202" s="22" t="n">
        <x:f>MAX(0,MIN('Activities'!L202,486)-MAX('Activities'!K202,480))</x:f>
        <x:v>0</x:v>
      </x:c>
      <x:c r="CH202" s="22" t="n">
        <x:f>MAX(0,MIN('Activities'!L202,492)-MAX('Activities'!K202,486))</x:f>
        <x:v>0</x:v>
      </x:c>
      <x:c r="CI202" s="22" t="n">
        <x:f>MAX(0,MIN('Activities'!L202,498)-MAX('Activities'!K202,492))</x:f>
        <x:v>0</x:v>
      </x:c>
      <x:c r="CJ202" s="22" t="n">
        <x:f>MAX(0,MIN('Activities'!L202,504)-MAX('Activities'!K202,498))</x:f>
        <x:v>0</x:v>
      </x:c>
      <x:c r="CK202" s="22" t="n">
        <x:f>MAX(0,MIN('Activities'!L202,510)-MAX('Activities'!K202,504))</x:f>
        <x:v>0</x:v>
      </x:c>
      <x:c r="CL202" s="22" t="n">
        <x:f>MAX(0,MIN('Activities'!L202,516)-MAX('Activities'!K202,510))</x:f>
        <x:v>0</x:v>
      </x:c>
      <x:c r="CM202" s="22" t="n">
        <x:f>MAX(0,MIN('Activities'!L202,522)-MAX('Activities'!K202,516))</x:f>
        <x:v>0</x:v>
      </x:c>
      <x:c r="CN202" s="22" t="n">
        <x:f>MAX(0,MIN('Activities'!L202,528)-MAX('Activities'!K202,522))</x:f>
        <x:v>0</x:v>
      </x:c>
      <x:c r="CO202" s="22" t="n">
        <x:f>MAX(0,MIN('Activities'!L202,534)-MAX('Activities'!K202,528))</x:f>
        <x:v>0</x:v>
      </x:c>
      <x:c r="CP202" s="22" t="n">
        <x:f>MAX(0,MIN('Activities'!L202,540)-MAX('Activities'!K202,534))</x:f>
        <x:v>0</x:v>
      </x:c>
      <x:c r="CQ202" s="22" t="n">
        <x:f>MAX(0,MIN('Activities'!L202,546)-MAX('Activities'!K202,540))</x:f>
        <x:v>0</x:v>
      </x:c>
      <x:c r="CR202" s="22" t="n">
        <x:f>MAX(0,MIN('Activities'!L202,552)-MAX('Activities'!K202,546))</x:f>
        <x:v>0</x:v>
      </x:c>
      <x:c r="CS202" s="22" t="n">
        <x:f>MAX(0,MIN('Activities'!L202,558)-MAX('Activities'!K202,552))</x:f>
        <x:v>0</x:v>
      </x:c>
      <x:c r="CT202" s="22" t="n">
        <x:f>MAX(0,MIN('Activities'!L202,564)-MAX('Activities'!K202,558))</x:f>
        <x:v>0</x:v>
      </x:c>
      <x:c r="CU202" s="22" t="n">
        <x:f>MAX(0,MIN('Activities'!L202,570)-MAX('Activities'!K202,564))</x:f>
        <x:v>0</x:v>
      </x:c>
      <x:c r="CV202" s="22" t="n">
        <x:f>MAX(0,MIN('Activities'!L202,576)-MAX('Activities'!K202,570))</x:f>
        <x:v>0</x:v>
      </x:c>
      <x:c r="CW202" s="22" t="n">
        <x:f>MAX(0,MIN('Activities'!L202,582)-MAX('Activities'!K202,576))</x:f>
        <x:v>0</x:v>
      </x:c>
      <x:c r="CX202" s="22" t="n">
        <x:f>MAX(0,MIN('Activities'!L202,588)-MAX('Activities'!K202,582))</x:f>
        <x:v>0</x:v>
      </x:c>
      <x:c r="CY202" s="22" t="n">
        <x:f>MAX(0,MIN('Activities'!L202,594)-MAX('Activities'!K202,588))</x:f>
        <x:v>0</x:v>
      </x:c>
      <x:c r="CZ202" s="22" t="n">
        <x:f>MAX(0,MIN('Activities'!L202,600)-MAX('Activities'!K202,594))</x:f>
        <x:v>0</x:v>
      </x:c>
      <x:c r="DA202" s="22" t="n">
        <x:f>MAX(0,MIN('Activities'!L202,606)-MAX('Activities'!K202,600))</x:f>
        <x:v>0</x:v>
      </x:c>
      <x:c r="DB202" s="22" t="n">
        <x:f>MAX(0,MIN('Activities'!L202,612)-MAX('Activities'!K202,606))</x:f>
        <x:v>0</x:v>
      </x:c>
      <x:c r="DC202" s="22" t="n">
        <x:f>MAX(0,MIN('Activities'!L202,618)-MAX('Activities'!K202,612))</x:f>
        <x:v>0</x:v>
      </x:c>
      <x:c r="DD202" s="22" t="n">
        <x:f>MAX(0,MIN('Activities'!L202,624)-MAX('Activities'!K202,618))</x:f>
        <x:v>0</x:v>
      </x:c>
      <x:c r="DE202" s="22" t="n">
        <x:f>MAX(0,MIN('Activities'!L202,630)-MAX('Activities'!K202,624))</x:f>
        <x:v>0</x:v>
      </x:c>
      <x:c r="DF202" s="22" t="n">
        <x:f>MAX(0,MIN('Activities'!L202,636)-MAX('Activities'!K202,630))</x:f>
        <x:v>0</x:v>
      </x:c>
    </x:row>
    <x:row r="203" ht="23" customHeight="1">
      <x:c r="A203" s="1" t="str">
        <x:v>T2-GL</x:v>
      </x:c>
      <x:c r="B203" s="1" t="str">
        <x:v>T2</x:v>
      </x:c>
      <x:c r="C203" s="1" t="str">
        <x:v>Glazing and frame installation</x:v>
      </x:c>
      <x:c r="D203" s="1" t="str">
        <x:v>Envelope</x:v>
      </x:c>
      <x:c r="E203" s="23" t="n">
        <x:f>MAX(0,MIN('Activities'!L203,6)-MAX('Activities'!K203,0))</x:f>
        <x:v>0</x:v>
      </x:c>
      <x:c r="F203" s="23" t="n">
        <x:f>MAX(0,MIN('Activities'!L203,12)-MAX('Activities'!K203,6))</x:f>
        <x:v>0</x:v>
      </x:c>
      <x:c r="G203" s="23" t="n">
        <x:f>MAX(0,MIN('Activities'!L203,18)-MAX('Activities'!K203,12))</x:f>
        <x:v>0</x:v>
      </x:c>
      <x:c r="H203" s="23" t="n">
        <x:f>MAX(0,MIN('Activities'!L203,24)-MAX('Activities'!K203,18))</x:f>
        <x:v>0</x:v>
      </x:c>
      <x:c r="I203" s="23" t="n">
        <x:f>MAX(0,MIN('Activities'!L203,30)-MAX('Activities'!K203,24))</x:f>
        <x:v>0</x:v>
      </x:c>
      <x:c r="J203" s="23" t="n">
        <x:f>MAX(0,MIN('Activities'!L203,36)-MAX('Activities'!K203,30))</x:f>
        <x:v>0</x:v>
      </x:c>
      <x:c r="K203" s="23" t="n">
        <x:f>MAX(0,MIN('Activities'!L203,42)-MAX('Activities'!K203,36))</x:f>
        <x:v>0</x:v>
      </x:c>
      <x:c r="L203" s="23" t="n">
        <x:f>MAX(0,MIN('Activities'!L203,48)-MAX('Activities'!K203,42))</x:f>
        <x:v>0</x:v>
      </x:c>
      <x:c r="M203" s="23" t="n">
        <x:f>MAX(0,MIN('Activities'!L203,54)-MAX('Activities'!K203,48))</x:f>
        <x:v>0</x:v>
      </x:c>
      <x:c r="N203" s="23" t="n">
        <x:f>MAX(0,MIN('Activities'!L203,60)-MAX('Activities'!K203,54))</x:f>
        <x:v>0</x:v>
      </x:c>
      <x:c r="O203" s="23" t="n">
        <x:f>MAX(0,MIN('Activities'!L203,66)-MAX('Activities'!K203,60))</x:f>
        <x:v>0</x:v>
      </x:c>
      <x:c r="P203" s="23" t="n">
        <x:f>MAX(0,MIN('Activities'!L203,72)-MAX('Activities'!K203,66))</x:f>
        <x:v>0</x:v>
      </x:c>
      <x:c r="Q203" s="23" t="n">
        <x:f>MAX(0,MIN('Activities'!L203,78)-MAX('Activities'!K203,72))</x:f>
        <x:v>0</x:v>
      </x:c>
      <x:c r="R203" s="23" t="n">
        <x:f>MAX(0,MIN('Activities'!L203,84)-MAX('Activities'!K203,78))</x:f>
        <x:v>0</x:v>
      </x:c>
      <x:c r="S203" s="23" t="n">
        <x:f>MAX(0,MIN('Activities'!L203,90)-MAX('Activities'!K203,84))</x:f>
        <x:v>0</x:v>
      </x:c>
      <x:c r="T203" s="23" t="n">
        <x:f>MAX(0,MIN('Activities'!L203,96)-MAX('Activities'!K203,90))</x:f>
        <x:v>0</x:v>
      </x:c>
      <x:c r="U203" s="23" t="n">
        <x:f>MAX(0,MIN('Activities'!L203,102)-MAX('Activities'!K203,96))</x:f>
        <x:v>0</x:v>
      </x:c>
      <x:c r="V203" s="23" t="n">
        <x:f>MAX(0,MIN('Activities'!L203,108)-MAX('Activities'!K203,102))</x:f>
        <x:v>0</x:v>
      </x:c>
      <x:c r="W203" s="23" t="n">
        <x:f>MAX(0,MIN('Activities'!L203,114)-MAX('Activities'!K203,108))</x:f>
        <x:v>0</x:v>
      </x:c>
      <x:c r="X203" s="23" t="n">
        <x:f>MAX(0,MIN('Activities'!L203,120)-MAX('Activities'!K203,114))</x:f>
        <x:v>0</x:v>
      </x:c>
      <x:c r="Y203" s="23" t="n">
        <x:f>MAX(0,MIN('Activities'!L203,126)-MAX('Activities'!K203,120))</x:f>
        <x:v>0</x:v>
      </x:c>
      <x:c r="Z203" s="23" t="n">
        <x:f>MAX(0,MIN('Activities'!L203,132)-MAX('Activities'!K203,126))</x:f>
        <x:v>0</x:v>
      </x:c>
      <x:c r="AA203" s="23" t="n">
        <x:f>MAX(0,MIN('Activities'!L203,138)-MAX('Activities'!K203,132))</x:f>
        <x:v>0</x:v>
      </x:c>
      <x:c r="AB203" s="23" t="n">
        <x:f>MAX(0,MIN('Activities'!L203,144)-MAX('Activities'!K203,138))</x:f>
        <x:v>0</x:v>
      </x:c>
      <x:c r="AC203" s="23" t="n">
        <x:f>MAX(0,MIN('Activities'!L203,150)-MAX('Activities'!K203,144))</x:f>
        <x:v>0</x:v>
      </x:c>
      <x:c r="AD203" s="23" t="n">
        <x:f>MAX(0,MIN('Activities'!L203,156)-MAX('Activities'!K203,150))</x:f>
        <x:v>0</x:v>
      </x:c>
      <x:c r="AE203" s="23" t="n">
        <x:f>MAX(0,MIN('Activities'!L203,162)-MAX('Activities'!K203,156))</x:f>
        <x:v>0</x:v>
      </x:c>
      <x:c r="AF203" s="23" t="n">
        <x:f>MAX(0,MIN('Activities'!L203,168)-MAX('Activities'!K203,162))</x:f>
        <x:v>0</x:v>
      </x:c>
      <x:c r="AG203" s="23" t="n">
        <x:f>MAX(0,MIN('Activities'!L203,174)-MAX('Activities'!K203,168))</x:f>
        <x:v>0</x:v>
      </x:c>
      <x:c r="AH203" s="23" t="n">
        <x:f>MAX(0,MIN('Activities'!L203,180)-MAX('Activities'!K203,174))</x:f>
        <x:v>0</x:v>
      </x:c>
      <x:c r="AI203" s="23" t="n">
        <x:f>MAX(0,MIN('Activities'!L203,186)-MAX('Activities'!K203,180))</x:f>
        <x:v>0</x:v>
      </x:c>
      <x:c r="AJ203" s="23" t="n">
        <x:f>MAX(0,MIN('Activities'!L203,192)-MAX('Activities'!K203,186))</x:f>
        <x:v>0</x:v>
      </x:c>
      <x:c r="AK203" s="23" t="n">
        <x:f>MAX(0,MIN('Activities'!L203,198)-MAX('Activities'!K203,192))</x:f>
        <x:v>0</x:v>
      </x:c>
      <x:c r="AL203" s="23" t="n">
        <x:f>MAX(0,MIN('Activities'!L203,204)-MAX('Activities'!K203,198))</x:f>
        <x:v>0</x:v>
      </x:c>
      <x:c r="AM203" s="23" t="n">
        <x:f>MAX(0,MIN('Activities'!L203,210)-MAX('Activities'!K203,204))</x:f>
        <x:v>0</x:v>
      </x:c>
      <x:c r="AN203" s="23" t="n">
        <x:f>MAX(0,MIN('Activities'!L203,216)-MAX('Activities'!K203,210))</x:f>
        <x:v>0</x:v>
      </x:c>
      <x:c r="AO203" s="23" t="n">
        <x:f>MAX(0,MIN('Activities'!L203,222)-MAX('Activities'!K203,216))</x:f>
        <x:v>0</x:v>
      </x:c>
      <x:c r="AP203" s="23" t="n">
        <x:f>MAX(0,MIN('Activities'!L203,228)-MAX('Activities'!K203,222))</x:f>
        <x:v>0</x:v>
      </x:c>
      <x:c r="AQ203" s="23" t="n">
        <x:f>MAX(0,MIN('Activities'!L203,234)-MAX('Activities'!K203,228))</x:f>
        <x:v>0</x:v>
      </x:c>
      <x:c r="AR203" s="23" t="n">
        <x:f>MAX(0,MIN('Activities'!L203,240)-MAX('Activities'!K203,234))</x:f>
        <x:v>0</x:v>
      </x:c>
      <x:c r="AS203" s="23" t="n">
        <x:f>MAX(0,MIN('Activities'!L203,246)-MAX('Activities'!K203,240))</x:f>
        <x:v>0</x:v>
      </x:c>
      <x:c r="AT203" s="23" t="n">
        <x:f>MAX(0,MIN('Activities'!L203,252)-MAX('Activities'!K203,246))</x:f>
        <x:v>0</x:v>
      </x:c>
      <x:c r="AU203" s="23" t="n">
        <x:f>MAX(0,MIN('Activities'!L203,258)-MAX('Activities'!K203,252))</x:f>
        <x:v>0</x:v>
      </x:c>
      <x:c r="AV203" s="23" t="n">
        <x:f>MAX(0,MIN('Activities'!L203,264)-MAX('Activities'!K203,258))</x:f>
        <x:v>0</x:v>
      </x:c>
      <x:c r="AW203" s="23" t="n">
        <x:f>MAX(0,MIN('Activities'!L203,270)-MAX('Activities'!K203,264))</x:f>
        <x:v>0</x:v>
      </x:c>
      <x:c r="AX203" s="23" t="n">
        <x:f>MAX(0,MIN('Activities'!L203,276)-MAX('Activities'!K203,270))</x:f>
        <x:v>0</x:v>
      </x:c>
      <x:c r="AY203" s="23" t="n">
        <x:f>MAX(0,MIN('Activities'!L203,282)-MAX('Activities'!K203,276))</x:f>
        <x:v>0</x:v>
      </x:c>
      <x:c r="AZ203" s="23" t="n">
        <x:f>MAX(0,MIN('Activities'!L203,288)-MAX('Activities'!K203,282))</x:f>
        <x:v>0</x:v>
      </x:c>
      <x:c r="BA203" s="23" t="n">
        <x:f>MAX(0,MIN('Activities'!L203,294)-MAX('Activities'!K203,288))</x:f>
        <x:v>0</x:v>
      </x:c>
      <x:c r="BB203" s="23" t="n">
        <x:f>MAX(0,MIN('Activities'!L203,300)-MAX('Activities'!K203,294))</x:f>
        <x:v>0</x:v>
      </x:c>
      <x:c r="BC203" s="23" t="n">
        <x:f>MAX(0,MIN('Activities'!L203,306)-MAX('Activities'!K203,300))</x:f>
        <x:v>0</x:v>
      </x:c>
      <x:c r="BD203" s="23" t="n">
        <x:f>MAX(0,MIN('Activities'!L203,312)-MAX('Activities'!K203,306))</x:f>
        <x:v>0</x:v>
      </x:c>
      <x:c r="BE203" s="23" t="n">
        <x:f>MAX(0,MIN('Activities'!L203,318)-MAX('Activities'!K203,312))</x:f>
        <x:v>0</x:v>
      </x:c>
      <x:c r="BF203" s="23" t="n">
        <x:f>MAX(0,MIN('Activities'!L203,324)-MAX('Activities'!K203,318))</x:f>
        <x:v>0</x:v>
      </x:c>
      <x:c r="BG203" s="23" t="n">
        <x:f>MAX(0,MIN('Activities'!L203,330)-MAX('Activities'!K203,324))</x:f>
        <x:v>0</x:v>
      </x:c>
      <x:c r="BH203" s="23" t="n">
        <x:f>MAX(0,MIN('Activities'!L203,336)-MAX('Activities'!K203,330))</x:f>
        <x:v>0</x:v>
      </x:c>
      <x:c r="BI203" s="23" t="n">
        <x:f>MAX(0,MIN('Activities'!L203,342)-MAX('Activities'!K203,336))</x:f>
        <x:v>0</x:v>
      </x:c>
      <x:c r="BJ203" s="23" t="n">
        <x:f>MAX(0,MIN('Activities'!L203,348)-MAX('Activities'!K203,342))</x:f>
        <x:v>0</x:v>
      </x:c>
      <x:c r="BK203" s="23" t="n">
        <x:f>MAX(0,MIN('Activities'!L203,354)-MAX('Activities'!K203,348))</x:f>
        <x:v>0</x:v>
      </x:c>
      <x:c r="BL203" s="23" t="n">
        <x:f>MAX(0,MIN('Activities'!L203,360)-MAX('Activities'!K203,354))</x:f>
        <x:v>0</x:v>
      </x:c>
      <x:c r="BM203" s="23" t="n">
        <x:f>MAX(0,MIN('Activities'!L203,366)-MAX('Activities'!K203,360))</x:f>
        <x:v>0</x:v>
      </x:c>
      <x:c r="BN203" s="23" t="n">
        <x:f>MAX(0,MIN('Activities'!L203,372)-MAX('Activities'!K203,366))</x:f>
        <x:v>0</x:v>
      </x:c>
      <x:c r="BO203" s="23" t="n">
        <x:f>MAX(0,MIN('Activities'!L203,378)-MAX('Activities'!K203,372))</x:f>
        <x:v>0</x:v>
      </x:c>
      <x:c r="BP203" s="23" t="n">
        <x:f>MAX(0,MIN('Activities'!L203,384)-MAX('Activities'!K203,378))</x:f>
        <x:v>0</x:v>
      </x:c>
      <x:c r="BQ203" s="23" t="n">
        <x:f>MAX(0,MIN('Activities'!L203,390)-MAX('Activities'!K203,384))</x:f>
        <x:v>0</x:v>
      </x:c>
      <x:c r="BR203" s="23" t="n">
        <x:f>MAX(0,MIN('Activities'!L203,396)-MAX('Activities'!K203,390))</x:f>
        <x:v>0</x:v>
      </x:c>
      <x:c r="BS203" s="23" t="n">
        <x:f>MAX(0,MIN('Activities'!L203,402)-MAX('Activities'!K203,396))</x:f>
        <x:v>3</x:v>
      </x:c>
      <x:c r="BT203" s="23" t="n">
        <x:f>MAX(0,MIN('Activities'!L203,408)-MAX('Activities'!K203,402))</x:f>
        <x:v>6</x:v>
      </x:c>
      <x:c r="BU203" s="23" t="n">
        <x:f>MAX(0,MIN('Activities'!L203,414)-MAX('Activities'!K203,408))</x:f>
        <x:v>5</x:v>
      </x:c>
      <x:c r="BV203" s="23" t="n">
        <x:f>MAX(0,MIN('Activities'!L203,420)-MAX('Activities'!K203,414))</x:f>
        <x:v>0</x:v>
      </x:c>
      <x:c r="BW203" s="23" t="n">
        <x:f>MAX(0,MIN('Activities'!L203,426)-MAX('Activities'!K203,420))</x:f>
        <x:v>0</x:v>
      </x:c>
      <x:c r="BX203" s="23" t="n">
        <x:f>MAX(0,MIN('Activities'!L203,432)-MAX('Activities'!K203,426))</x:f>
        <x:v>0</x:v>
      </x:c>
      <x:c r="BY203" s="23" t="n">
        <x:f>MAX(0,MIN('Activities'!L203,438)-MAX('Activities'!K203,432))</x:f>
        <x:v>0</x:v>
      </x:c>
      <x:c r="BZ203" s="23" t="n">
        <x:f>MAX(0,MIN('Activities'!L203,444)-MAX('Activities'!K203,438))</x:f>
        <x:v>0</x:v>
      </x:c>
      <x:c r="CA203" s="23" t="n">
        <x:f>MAX(0,MIN('Activities'!L203,450)-MAX('Activities'!K203,444))</x:f>
        <x:v>0</x:v>
      </x:c>
      <x:c r="CB203" s="23" t="n">
        <x:f>MAX(0,MIN('Activities'!L203,456)-MAX('Activities'!K203,450))</x:f>
        <x:v>0</x:v>
      </x:c>
      <x:c r="CC203" s="23" t="n">
        <x:f>MAX(0,MIN('Activities'!L203,462)-MAX('Activities'!K203,456))</x:f>
        <x:v>0</x:v>
      </x:c>
      <x:c r="CD203" s="23" t="n">
        <x:f>MAX(0,MIN('Activities'!L203,468)-MAX('Activities'!K203,462))</x:f>
        <x:v>0</x:v>
      </x:c>
      <x:c r="CE203" s="23" t="n">
        <x:f>MAX(0,MIN('Activities'!L203,474)-MAX('Activities'!K203,468))</x:f>
        <x:v>0</x:v>
      </x:c>
      <x:c r="CF203" s="23" t="n">
        <x:f>MAX(0,MIN('Activities'!L203,480)-MAX('Activities'!K203,474))</x:f>
        <x:v>0</x:v>
      </x:c>
      <x:c r="CG203" s="23" t="n">
        <x:f>MAX(0,MIN('Activities'!L203,486)-MAX('Activities'!K203,480))</x:f>
        <x:v>0</x:v>
      </x:c>
      <x:c r="CH203" s="23" t="n">
        <x:f>MAX(0,MIN('Activities'!L203,492)-MAX('Activities'!K203,486))</x:f>
        <x:v>0</x:v>
      </x:c>
      <x:c r="CI203" s="23" t="n">
        <x:f>MAX(0,MIN('Activities'!L203,498)-MAX('Activities'!K203,492))</x:f>
        <x:v>0</x:v>
      </x:c>
      <x:c r="CJ203" s="23" t="n">
        <x:f>MAX(0,MIN('Activities'!L203,504)-MAX('Activities'!K203,498))</x:f>
        <x:v>0</x:v>
      </x:c>
      <x:c r="CK203" s="23" t="n">
        <x:f>MAX(0,MIN('Activities'!L203,510)-MAX('Activities'!K203,504))</x:f>
        <x:v>0</x:v>
      </x:c>
      <x:c r="CL203" s="23" t="n">
        <x:f>MAX(0,MIN('Activities'!L203,516)-MAX('Activities'!K203,510))</x:f>
        <x:v>0</x:v>
      </x:c>
      <x:c r="CM203" s="23" t="n">
        <x:f>MAX(0,MIN('Activities'!L203,522)-MAX('Activities'!K203,516))</x:f>
        <x:v>0</x:v>
      </x:c>
      <x:c r="CN203" s="23" t="n">
        <x:f>MAX(0,MIN('Activities'!L203,528)-MAX('Activities'!K203,522))</x:f>
        <x:v>0</x:v>
      </x:c>
      <x:c r="CO203" s="23" t="n">
        <x:f>MAX(0,MIN('Activities'!L203,534)-MAX('Activities'!K203,528))</x:f>
        <x:v>0</x:v>
      </x:c>
      <x:c r="CP203" s="23" t="n">
        <x:f>MAX(0,MIN('Activities'!L203,540)-MAX('Activities'!K203,534))</x:f>
        <x:v>0</x:v>
      </x:c>
      <x:c r="CQ203" s="23" t="n">
        <x:f>MAX(0,MIN('Activities'!L203,546)-MAX('Activities'!K203,540))</x:f>
        <x:v>0</x:v>
      </x:c>
      <x:c r="CR203" s="23" t="n">
        <x:f>MAX(0,MIN('Activities'!L203,552)-MAX('Activities'!K203,546))</x:f>
        <x:v>0</x:v>
      </x:c>
      <x:c r="CS203" s="23" t="n">
        <x:f>MAX(0,MIN('Activities'!L203,558)-MAX('Activities'!K203,552))</x:f>
        <x:v>0</x:v>
      </x:c>
      <x:c r="CT203" s="23" t="n">
        <x:f>MAX(0,MIN('Activities'!L203,564)-MAX('Activities'!K203,558))</x:f>
        <x:v>0</x:v>
      </x:c>
      <x:c r="CU203" s="23" t="n">
        <x:f>MAX(0,MIN('Activities'!L203,570)-MAX('Activities'!K203,564))</x:f>
        <x:v>0</x:v>
      </x:c>
      <x:c r="CV203" s="23" t="n">
        <x:f>MAX(0,MIN('Activities'!L203,576)-MAX('Activities'!K203,570))</x:f>
        <x:v>0</x:v>
      </x:c>
      <x:c r="CW203" s="23" t="n">
        <x:f>MAX(0,MIN('Activities'!L203,582)-MAX('Activities'!K203,576))</x:f>
        <x:v>0</x:v>
      </x:c>
      <x:c r="CX203" s="23" t="n">
        <x:f>MAX(0,MIN('Activities'!L203,588)-MAX('Activities'!K203,582))</x:f>
        <x:v>0</x:v>
      </x:c>
      <x:c r="CY203" s="23" t="n">
        <x:f>MAX(0,MIN('Activities'!L203,594)-MAX('Activities'!K203,588))</x:f>
        <x:v>0</x:v>
      </x:c>
      <x:c r="CZ203" s="23" t="n">
        <x:f>MAX(0,MIN('Activities'!L203,600)-MAX('Activities'!K203,594))</x:f>
        <x:v>0</x:v>
      </x:c>
      <x:c r="DA203" s="23" t="n">
        <x:f>MAX(0,MIN('Activities'!L203,606)-MAX('Activities'!K203,600))</x:f>
        <x:v>0</x:v>
      </x:c>
      <x:c r="DB203" s="23" t="n">
        <x:f>MAX(0,MIN('Activities'!L203,612)-MAX('Activities'!K203,606))</x:f>
        <x:v>0</x:v>
      </x:c>
      <x:c r="DC203" s="23" t="n">
        <x:f>MAX(0,MIN('Activities'!L203,618)-MAX('Activities'!K203,612))</x:f>
        <x:v>0</x:v>
      </x:c>
      <x:c r="DD203" s="23" t="n">
        <x:f>MAX(0,MIN('Activities'!L203,624)-MAX('Activities'!K203,618))</x:f>
        <x:v>0</x:v>
      </x:c>
      <x:c r="DE203" s="23" t="n">
        <x:f>MAX(0,MIN('Activities'!L203,630)-MAX('Activities'!K203,624))</x:f>
        <x:v>0</x:v>
      </x:c>
      <x:c r="DF203" s="23" t="n">
        <x:f>MAX(0,MIN('Activities'!L203,636)-MAX('Activities'!K203,630))</x:f>
        <x:v>0</x:v>
      </x:c>
    </x:row>
    <x:row r="204" ht="23" customHeight="1">
      <x:c r="A204" s="6" t="str">
        <x:v>T2-L00-M</x:v>
      </x:c>
      <x:c r="B204" s="6" t="str">
        <x:v>T2</x:v>
      </x:c>
      <x:c r="C204" s="6" t="str">
        <x:v>Partition masonry</x:v>
      </x:c>
      <x:c r="D204" s="6" t="str">
        <x:v>Masonry</x:v>
      </x:c>
      <x:c r="E204" s="22" t="n">
        <x:f>MAX(0,MIN('Activities'!L204,6)-MAX('Activities'!K204,0))</x:f>
        <x:v>0</x:v>
      </x:c>
      <x:c r="F204" s="22" t="n">
        <x:f>MAX(0,MIN('Activities'!L204,12)-MAX('Activities'!K204,6))</x:f>
        <x:v>0</x:v>
      </x:c>
      <x:c r="G204" s="22" t="n">
        <x:f>MAX(0,MIN('Activities'!L204,18)-MAX('Activities'!K204,12))</x:f>
        <x:v>0</x:v>
      </x:c>
      <x:c r="H204" s="22" t="n">
        <x:f>MAX(0,MIN('Activities'!L204,24)-MAX('Activities'!K204,18))</x:f>
        <x:v>0</x:v>
      </x:c>
      <x:c r="I204" s="22" t="n">
        <x:f>MAX(0,MIN('Activities'!L204,30)-MAX('Activities'!K204,24))</x:f>
        <x:v>0</x:v>
      </x:c>
      <x:c r="J204" s="22" t="n">
        <x:f>MAX(0,MIN('Activities'!L204,36)-MAX('Activities'!K204,30))</x:f>
        <x:v>0</x:v>
      </x:c>
      <x:c r="K204" s="22" t="n">
        <x:f>MAX(0,MIN('Activities'!L204,42)-MAX('Activities'!K204,36))</x:f>
        <x:v>0</x:v>
      </x:c>
      <x:c r="L204" s="22" t="n">
        <x:f>MAX(0,MIN('Activities'!L204,48)-MAX('Activities'!K204,42))</x:f>
        <x:v>0</x:v>
      </x:c>
      <x:c r="M204" s="22" t="n">
        <x:f>MAX(0,MIN('Activities'!L204,54)-MAX('Activities'!K204,48))</x:f>
        <x:v>0</x:v>
      </x:c>
      <x:c r="N204" s="22" t="n">
        <x:f>MAX(0,MIN('Activities'!L204,60)-MAX('Activities'!K204,54))</x:f>
        <x:v>0</x:v>
      </x:c>
      <x:c r="O204" s="22" t="n">
        <x:f>MAX(0,MIN('Activities'!L204,66)-MAX('Activities'!K204,60))</x:f>
        <x:v>0</x:v>
      </x:c>
      <x:c r="P204" s="22" t="n">
        <x:f>MAX(0,MIN('Activities'!L204,72)-MAX('Activities'!K204,66))</x:f>
        <x:v>0</x:v>
      </x:c>
      <x:c r="Q204" s="22" t="n">
        <x:f>MAX(0,MIN('Activities'!L204,78)-MAX('Activities'!K204,72))</x:f>
        <x:v>0</x:v>
      </x:c>
      <x:c r="R204" s="22" t="n">
        <x:f>MAX(0,MIN('Activities'!L204,84)-MAX('Activities'!K204,78))</x:f>
        <x:v>0</x:v>
      </x:c>
      <x:c r="S204" s="22" t="n">
        <x:f>MAX(0,MIN('Activities'!L204,90)-MAX('Activities'!K204,84))</x:f>
        <x:v>0</x:v>
      </x:c>
      <x:c r="T204" s="22" t="n">
        <x:f>MAX(0,MIN('Activities'!L204,96)-MAX('Activities'!K204,90))</x:f>
        <x:v>0</x:v>
      </x:c>
      <x:c r="U204" s="22" t="n">
        <x:f>MAX(0,MIN('Activities'!L204,102)-MAX('Activities'!K204,96))</x:f>
        <x:v>0</x:v>
      </x:c>
      <x:c r="V204" s="22" t="n">
        <x:f>MAX(0,MIN('Activities'!L204,108)-MAX('Activities'!K204,102))</x:f>
        <x:v>0</x:v>
      </x:c>
      <x:c r="W204" s="22" t="n">
        <x:f>MAX(0,MIN('Activities'!L204,114)-MAX('Activities'!K204,108))</x:f>
        <x:v>0</x:v>
      </x:c>
      <x:c r="X204" s="22" t="n">
        <x:f>MAX(0,MIN('Activities'!L204,120)-MAX('Activities'!K204,114))</x:f>
        <x:v>0</x:v>
      </x:c>
      <x:c r="Y204" s="22" t="n">
        <x:f>MAX(0,MIN('Activities'!L204,126)-MAX('Activities'!K204,120))</x:f>
        <x:v>0</x:v>
      </x:c>
      <x:c r="Z204" s="22" t="n">
        <x:f>MAX(0,MIN('Activities'!L204,132)-MAX('Activities'!K204,126))</x:f>
        <x:v>0</x:v>
      </x:c>
      <x:c r="AA204" s="22" t="n">
        <x:f>MAX(0,MIN('Activities'!L204,138)-MAX('Activities'!K204,132))</x:f>
        <x:v>0</x:v>
      </x:c>
      <x:c r="AB204" s="22" t="n">
        <x:f>MAX(0,MIN('Activities'!L204,144)-MAX('Activities'!K204,138))</x:f>
        <x:v>0</x:v>
      </x:c>
      <x:c r="AC204" s="22" t="n">
        <x:f>MAX(0,MIN('Activities'!L204,150)-MAX('Activities'!K204,144))</x:f>
        <x:v>0</x:v>
      </x:c>
      <x:c r="AD204" s="22" t="n">
        <x:f>MAX(0,MIN('Activities'!L204,156)-MAX('Activities'!K204,150))</x:f>
        <x:v>0</x:v>
      </x:c>
      <x:c r="AE204" s="22" t="n">
        <x:f>MAX(0,MIN('Activities'!L204,162)-MAX('Activities'!K204,156))</x:f>
        <x:v>0</x:v>
      </x:c>
      <x:c r="AF204" s="22" t="n">
        <x:f>MAX(0,MIN('Activities'!L204,168)-MAX('Activities'!K204,162))</x:f>
        <x:v>0</x:v>
      </x:c>
      <x:c r="AG204" s="22" t="n">
        <x:f>MAX(0,MIN('Activities'!L204,174)-MAX('Activities'!K204,168))</x:f>
        <x:v>0</x:v>
      </x:c>
      <x:c r="AH204" s="22" t="n">
        <x:f>MAX(0,MIN('Activities'!L204,180)-MAX('Activities'!K204,174))</x:f>
        <x:v>0</x:v>
      </x:c>
      <x:c r="AI204" s="22" t="n">
        <x:f>MAX(0,MIN('Activities'!L204,186)-MAX('Activities'!K204,180))</x:f>
        <x:v>0</x:v>
      </x:c>
      <x:c r="AJ204" s="22" t="n">
        <x:f>MAX(0,MIN('Activities'!L204,192)-MAX('Activities'!K204,186))</x:f>
        <x:v>0</x:v>
      </x:c>
      <x:c r="AK204" s="22" t="n">
        <x:f>MAX(0,MIN('Activities'!L204,198)-MAX('Activities'!K204,192))</x:f>
        <x:v>0</x:v>
      </x:c>
      <x:c r="AL204" s="22" t="n">
        <x:f>MAX(0,MIN('Activities'!L204,204)-MAX('Activities'!K204,198))</x:f>
        <x:v>0</x:v>
      </x:c>
      <x:c r="AM204" s="22" t="n">
        <x:f>MAX(0,MIN('Activities'!L204,210)-MAX('Activities'!K204,204))</x:f>
        <x:v>0</x:v>
      </x:c>
      <x:c r="AN204" s="22" t="n">
        <x:f>MAX(0,MIN('Activities'!L204,216)-MAX('Activities'!K204,210))</x:f>
        <x:v>0</x:v>
      </x:c>
      <x:c r="AO204" s="22" t="n">
        <x:f>MAX(0,MIN('Activities'!L204,222)-MAX('Activities'!K204,216))</x:f>
        <x:v>0</x:v>
      </x:c>
      <x:c r="AP204" s="22" t="n">
        <x:f>MAX(0,MIN('Activities'!L204,228)-MAX('Activities'!K204,222))</x:f>
        <x:v>5</x:v>
      </x:c>
      <x:c r="AQ204" s="22" t="n">
        <x:f>MAX(0,MIN('Activities'!L204,234)-MAX('Activities'!K204,228))</x:f>
        <x:v>0</x:v>
      </x:c>
      <x:c r="AR204" s="22" t="n">
        <x:f>MAX(0,MIN('Activities'!L204,240)-MAX('Activities'!K204,234))</x:f>
        <x:v>0</x:v>
      </x:c>
      <x:c r="AS204" s="22" t="n">
        <x:f>MAX(0,MIN('Activities'!L204,246)-MAX('Activities'!K204,240))</x:f>
        <x:v>0</x:v>
      </x:c>
      <x:c r="AT204" s="22" t="n">
        <x:f>MAX(0,MIN('Activities'!L204,252)-MAX('Activities'!K204,246))</x:f>
        <x:v>0</x:v>
      </x:c>
      <x:c r="AU204" s="22" t="n">
        <x:f>MAX(0,MIN('Activities'!L204,258)-MAX('Activities'!K204,252))</x:f>
        <x:v>0</x:v>
      </x:c>
      <x:c r="AV204" s="22" t="n">
        <x:f>MAX(0,MIN('Activities'!L204,264)-MAX('Activities'!K204,258))</x:f>
        <x:v>0</x:v>
      </x:c>
      <x:c r="AW204" s="22" t="n">
        <x:f>MAX(0,MIN('Activities'!L204,270)-MAX('Activities'!K204,264))</x:f>
        <x:v>0</x:v>
      </x:c>
      <x:c r="AX204" s="22" t="n">
        <x:f>MAX(0,MIN('Activities'!L204,276)-MAX('Activities'!K204,270))</x:f>
        <x:v>0</x:v>
      </x:c>
      <x:c r="AY204" s="22" t="n">
        <x:f>MAX(0,MIN('Activities'!L204,282)-MAX('Activities'!K204,276))</x:f>
        <x:v>0</x:v>
      </x:c>
      <x:c r="AZ204" s="22" t="n">
        <x:f>MAX(0,MIN('Activities'!L204,288)-MAX('Activities'!K204,282))</x:f>
        <x:v>0</x:v>
      </x:c>
      <x:c r="BA204" s="22" t="n">
        <x:f>MAX(0,MIN('Activities'!L204,294)-MAX('Activities'!K204,288))</x:f>
        <x:v>0</x:v>
      </x:c>
      <x:c r="BB204" s="22" t="n">
        <x:f>MAX(0,MIN('Activities'!L204,300)-MAX('Activities'!K204,294))</x:f>
        <x:v>0</x:v>
      </x:c>
      <x:c r="BC204" s="22" t="n">
        <x:f>MAX(0,MIN('Activities'!L204,306)-MAX('Activities'!K204,300))</x:f>
        <x:v>0</x:v>
      </x:c>
      <x:c r="BD204" s="22" t="n">
        <x:f>MAX(0,MIN('Activities'!L204,312)-MAX('Activities'!K204,306))</x:f>
        <x:v>0</x:v>
      </x:c>
      <x:c r="BE204" s="22" t="n">
        <x:f>MAX(0,MIN('Activities'!L204,318)-MAX('Activities'!K204,312))</x:f>
        <x:v>0</x:v>
      </x:c>
      <x:c r="BF204" s="22" t="n">
        <x:f>MAX(0,MIN('Activities'!L204,324)-MAX('Activities'!K204,318))</x:f>
        <x:v>0</x:v>
      </x:c>
      <x:c r="BG204" s="22" t="n">
        <x:f>MAX(0,MIN('Activities'!L204,330)-MAX('Activities'!K204,324))</x:f>
        <x:v>0</x:v>
      </x:c>
      <x:c r="BH204" s="22" t="n">
        <x:f>MAX(0,MIN('Activities'!L204,336)-MAX('Activities'!K204,330))</x:f>
        <x:v>0</x:v>
      </x:c>
      <x:c r="BI204" s="22" t="n">
        <x:f>MAX(0,MIN('Activities'!L204,342)-MAX('Activities'!K204,336))</x:f>
        <x:v>0</x:v>
      </x:c>
      <x:c r="BJ204" s="22" t="n">
        <x:f>MAX(0,MIN('Activities'!L204,348)-MAX('Activities'!K204,342))</x:f>
        <x:v>0</x:v>
      </x:c>
      <x:c r="BK204" s="22" t="n">
        <x:f>MAX(0,MIN('Activities'!L204,354)-MAX('Activities'!K204,348))</x:f>
        <x:v>0</x:v>
      </x:c>
      <x:c r="BL204" s="22" t="n">
        <x:f>MAX(0,MIN('Activities'!L204,360)-MAX('Activities'!K204,354))</x:f>
        <x:v>0</x:v>
      </x:c>
      <x:c r="BM204" s="22" t="n">
        <x:f>MAX(0,MIN('Activities'!L204,366)-MAX('Activities'!K204,360))</x:f>
        <x:v>0</x:v>
      </x:c>
      <x:c r="BN204" s="22" t="n">
        <x:f>MAX(0,MIN('Activities'!L204,372)-MAX('Activities'!K204,366))</x:f>
        <x:v>0</x:v>
      </x:c>
      <x:c r="BO204" s="22" t="n">
        <x:f>MAX(0,MIN('Activities'!L204,378)-MAX('Activities'!K204,372))</x:f>
        <x:v>0</x:v>
      </x:c>
      <x:c r="BP204" s="22" t="n">
        <x:f>MAX(0,MIN('Activities'!L204,384)-MAX('Activities'!K204,378))</x:f>
        <x:v>0</x:v>
      </x:c>
      <x:c r="BQ204" s="22" t="n">
        <x:f>MAX(0,MIN('Activities'!L204,390)-MAX('Activities'!K204,384))</x:f>
        <x:v>0</x:v>
      </x:c>
      <x:c r="BR204" s="22" t="n">
        <x:f>MAX(0,MIN('Activities'!L204,396)-MAX('Activities'!K204,390))</x:f>
        <x:v>0</x:v>
      </x:c>
      <x:c r="BS204" s="22" t="n">
        <x:f>MAX(0,MIN('Activities'!L204,402)-MAX('Activities'!K204,396))</x:f>
        <x:v>0</x:v>
      </x:c>
      <x:c r="BT204" s="22" t="n">
        <x:f>MAX(0,MIN('Activities'!L204,408)-MAX('Activities'!K204,402))</x:f>
        <x:v>0</x:v>
      </x:c>
      <x:c r="BU204" s="22" t="n">
        <x:f>MAX(0,MIN('Activities'!L204,414)-MAX('Activities'!K204,408))</x:f>
        <x:v>0</x:v>
      </x:c>
      <x:c r="BV204" s="22" t="n">
        <x:f>MAX(0,MIN('Activities'!L204,420)-MAX('Activities'!K204,414))</x:f>
        <x:v>0</x:v>
      </x:c>
      <x:c r="BW204" s="22" t="n">
        <x:f>MAX(0,MIN('Activities'!L204,426)-MAX('Activities'!K204,420))</x:f>
        <x:v>0</x:v>
      </x:c>
      <x:c r="BX204" s="22" t="n">
        <x:f>MAX(0,MIN('Activities'!L204,432)-MAX('Activities'!K204,426))</x:f>
        <x:v>0</x:v>
      </x:c>
      <x:c r="BY204" s="22" t="n">
        <x:f>MAX(0,MIN('Activities'!L204,438)-MAX('Activities'!K204,432))</x:f>
        <x:v>0</x:v>
      </x:c>
      <x:c r="BZ204" s="22" t="n">
        <x:f>MAX(0,MIN('Activities'!L204,444)-MAX('Activities'!K204,438))</x:f>
        <x:v>0</x:v>
      </x:c>
      <x:c r="CA204" s="22" t="n">
        <x:f>MAX(0,MIN('Activities'!L204,450)-MAX('Activities'!K204,444))</x:f>
        <x:v>0</x:v>
      </x:c>
      <x:c r="CB204" s="22" t="n">
        <x:f>MAX(0,MIN('Activities'!L204,456)-MAX('Activities'!K204,450))</x:f>
        <x:v>0</x:v>
      </x:c>
      <x:c r="CC204" s="22" t="n">
        <x:f>MAX(0,MIN('Activities'!L204,462)-MAX('Activities'!K204,456))</x:f>
        <x:v>0</x:v>
      </x:c>
      <x:c r="CD204" s="22" t="n">
        <x:f>MAX(0,MIN('Activities'!L204,468)-MAX('Activities'!K204,462))</x:f>
        <x:v>0</x:v>
      </x:c>
      <x:c r="CE204" s="22" t="n">
        <x:f>MAX(0,MIN('Activities'!L204,474)-MAX('Activities'!K204,468))</x:f>
        <x:v>0</x:v>
      </x:c>
      <x:c r="CF204" s="22" t="n">
        <x:f>MAX(0,MIN('Activities'!L204,480)-MAX('Activities'!K204,474))</x:f>
        <x:v>0</x:v>
      </x:c>
      <x:c r="CG204" s="22" t="n">
        <x:f>MAX(0,MIN('Activities'!L204,486)-MAX('Activities'!K204,480))</x:f>
        <x:v>0</x:v>
      </x:c>
      <x:c r="CH204" s="22" t="n">
        <x:f>MAX(0,MIN('Activities'!L204,492)-MAX('Activities'!K204,486))</x:f>
        <x:v>0</x:v>
      </x:c>
      <x:c r="CI204" s="22" t="n">
        <x:f>MAX(0,MIN('Activities'!L204,498)-MAX('Activities'!K204,492))</x:f>
        <x:v>0</x:v>
      </x:c>
      <x:c r="CJ204" s="22" t="n">
        <x:f>MAX(0,MIN('Activities'!L204,504)-MAX('Activities'!K204,498))</x:f>
        <x:v>0</x:v>
      </x:c>
      <x:c r="CK204" s="22" t="n">
        <x:f>MAX(0,MIN('Activities'!L204,510)-MAX('Activities'!K204,504))</x:f>
        <x:v>0</x:v>
      </x:c>
      <x:c r="CL204" s="22" t="n">
        <x:f>MAX(0,MIN('Activities'!L204,516)-MAX('Activities'!K204,510))</x:f>
        <x:v>0</x:v>
      </x:c>
      <x:c r="CM204" s="22" t="n">
        <x:f>MAX(0,MIN('Activities'!L204,522)-MAX('Activities'!K204,516))</x:f>
        <x:v>0</x:v>
      </x:c>
      <x:c r="CN204" s="22" t="n">
        <x:f>MAX(0,MIN('Activities'!L204,528)-MAX('Activities'!K204,522))</x:f>
        <x:v>0</x:v>
      </x:c>
      <x:c r="CO204" s="22" t="n">
        <x:f>MAX(0,MIN('Activities'!L204,534)-MAX('Activities'!K204,528))</x:f>
        <x:v>0</x:v>
      </x:c>
      <x:c r="CP204" s="22" t="n">
        <x:f>MAX(0,MIN('Activities'!L204,540)-MAX('Activities'!K204,534))</x:f>
        <x:v>0</x:v>
      </x:c>
      <x:c r="CQ204" s="22" t="n">
        <x:f>MAX(0,MIN('Activities'!L204,546)-MAX('Activities'!K204,540))</x:f>
        <x:v>0</x:v>
      </x:c>
      <x:c r="CR204" s="22" t="n">
        <x:f>MAX(0,MIN('Activities'!L204,552)-MAX('Activities'!K204,546))</x:f>
        <x:v>0</x:v>
      </x:c>
      <x:c r="CS204" s="22" t="n">
        <x:f>MAX(0,MIN('Activities'!L204,558)-MAX('Activities'!K204,552))</x:f>
        <x:v>0</x:v>
      </x:c>
      <x:c r="CT204" s="22" t="n">
        <x:f>MAX(0,MIN('Activities'!L204,564)-MAX('Activities'!K204,558))</x:f>
        <x:v>0</x:v>
      </x:c>
      <x:c r="CU204" s="22" t="n">
        <x:f>MAX(0,MIN('Activities'!L204,570)-MAX('Activities'!K204,564))</x:f>
        <x:v>0</x:v>
      </x:c>
      <x:c r="CV204" s="22" t="n">
        <x:f>MAX(0,MIN('Activities'!L204,576)-MAX('Activities'!K204,570))</x:f>
        <x:v>0</x:v>
      </x:c>
      <x:c r="CW204" s="22" t="n">
        <x:f>MAX(0,MIN('Activities'!L204,582)-MAX('Activities'!K204,576))</x:f>
        <x:v>0</x:v>
      </x:c>
      <x:c r="CX204" s="22" t="n">
        <x:f>MAX(0,MIN('Activities'!L204,588)-MAX('Activities'!K204,582))</x:f>
        <x:v>0</x:v>
      </x:c>
      <x:c r="CY204" s="22" t="n">
        <x:f>MAX(0,MIN('Activities'!L204,594)-MAX('Activities'!K204,588))</x:f>
        <x:v>0</x:v>
      </x:c>
      <x:c r="CZ204" s="22" t="n">
        <x:f>MAX(0,MIN('Activities'!L204,600)-MAX('Activities'!K204,594))</x:f>
        <x:v>0</x:v>
      </x:c>
      <x:c r="DA204" s="22" t="n">
        <x:f>MAX(0,MIN('Activities'!L204,606)-MAX('Activities'!K204,600))</x:f>
        <x:v>0</x:v>
      </x:c>
      <x:c r="DB204" s="22" t="n">
        <x:f>MAX(0,MIN('Activities'!L204,612)-MAX('Activities'!K204,606))</x:f>
        <x:v>0</x:v>
      </x:c>
      <x:c r="DC204" s="22" t="n">
        <x:f>MAX(0,MIN('Activities'!L204,618)-MAX('Activities'!K204,612))</x:f>
        <x:v>0</x:v>
      </x:c>
      <x:c r="DD204" s="22" t="n">
        <x:f>MAX(0,MIN('Activities'!L204,624)-MAX('Activities'!K204,618))</x:f>
        <x:v>0</x:v>
      </x:c>
      <x:c r="DE204" s="22" t="n">
        <x:f>MAX(0,MIN('Activities'!L204,630)-MAX('Activities'!K204,624))</x:f>
        <x:v>0</x:v>
      </x:c>
      <x:c r="DF204" s="22" t="n">
        <x:f>MAX(0,MIN('Activities'!L204,636)-MAX('Activities'!K204,630))</x:f>
        <x:v>0</x:v>
      </x:c>
    </x:row>
    <x:row r="205" ht="23" customHeight="1">
      <x:c r="A205" s="1" t="str">
        <x:v>T2-L00-P</x:v>
      </x:c>
      <x:c r="B205" s="1" t="str">
        <x:v>T2</x:v>
      </x:c>
      <x:c r="C205" s="1" t="str">
        <x:v>Internal plaster</x:v>
      </x:c>
      <x:c r="D205" s="1" t="str">
        <x:v>Finishes</x:v>
      </x:c>
      <x:c r="E205" s="23" t="n">
        <x:f>MAX(0,MIN('Activities'!L205,6)-MAX('Activities'!K205,0))</x:f>
        <x:v>0</x:v>
      </x:c>
      <x:c r="F205" s="23" t="n">
        <x:f>MAX(0,MIN('Activities'!L205,12)-MAX('Activities'!K205,6))</x:f>
        <x:v>0</x:v>
      </x:c>
      <x:c r="G205" s="23" t="n">
        <x:f>MAX(0,MIN('Activities'!L205,18)-MAX('Activities'!K205,12))</x:f>
        <x:v>0</x:v>
      </x:c>
      <x:c r="H205" s="23" t="n">
        <x:f>MAX(0,MIN('Activities'!L205,24)-MAX('Activities'!K205,18))</x:f>
        <x:v>0</x:v>
      </x:c>
      <x:c r="I205" s="23" t="n">
        <x:f>MAX(0,MIN('Activities'!L205,30)-MAX('Activities'!K205,24))</x:f>
        <x:v>0</x:v>
      </x:c>
      <x:c r="J205" s="23" t="n">
        <x:f>MAX(0,MIN('Activities'!L205,36)-MAX('Activities'!K205,30))</x:f>
        <x:v>0</x:v>
      </x:c>
      <x:c r="K205" s="23" t="n">
        <x:f>MAX(0,MIN('Activities'!L205,42)-MAX('Activities'!K205,36))</x:f>
        <x:v>0</x:v>
      </x:c>
      <x:c r="L205" s="23" t="n">
        <x:f>MAX(0,MIN('Activities'!L205,48)-MAX('Activities'!K205,42))</x:f>
        <x:v>0</x:v>
      </x:c>
      <x:c r="M205" s="23" t="n">
        <x:f>MAX(0,MIN('Activities'!L205,54)-MAX('Activities'!K205,48))</x:f>
        <x:v>0</x:v>
      </x:c>
      <x:c r="N205" s="23" t="n">
        <x:f>MAX(0,MIN('Activities'!L205,60)-MAX('Activities'!K205,54))</x:f>
        <x:v>0</x:v>
      </x:c>
      <x:c r="O205" s="23" t="n">
        <x:f>MAX(0,MIN('Activities'!L205,66)-MAX('Activities'!K205,60))</x:f>
        <x:v>0</x:v>
      </x:c>
      <x:c r="P205" s="23" t="n">
        <x:f>MAX(0,MIN('Activities'!L205,72)-MAX('Activities'!K205,66))</x:f>
        <x:v>0</x:v>
      </x:c>
      <x:c r="Q205" s="23" t="n">
        <x:f>MAX(0,MIN('Activities'!L205,78)-MAX('Activities'!K205,72))</x:f>
        <x:v>0</x:v>
      </x:c>
      <x:c r="R205" s="23" t="n">
        <x:f>MAX(0,MIN('Activities'!L205,84)-MAX('Activities'!K205,78))</x:f>
        <x:v>0</x:v>
      </x:c>
      <x:c r="S205" s="23" t="n">
        <x:f>MAX(0,MIN('Activities'!L205,90)-MAX('Activities'!K205,84))</x:f>
        <x:v>0</x:v>
      </x:c>
      <x:c r="T205" s="23" t="n">
        <x:f>MAX(0,MIN('Activities'!L205,96)-MAX('Activities'!K205,90))</x:f>
        <x:v>0</x:v>
      </x:c>
      <x:c r="U205" s="23" t="n">
        <x:f>MAX(0,MIN('Activities'!L205,102)-MAX('Activities'!K205,96))</x:f>
        <x:v>0</x:v>
      </x:c>
      <x:c r="V205" s="23" t="n">
        <x:f>MAX(0,MIN('Activities'!L205,108)-MAX('Activities'!K205,102))</x:f>
        <x:v>0</x:v>
      </x:c>
      <x:c r="W205" s="23" t="n">
        <x:f>MAX(0,MIN('Activities'!L205,114)-MAX('Activities'!K205,108))</x:f>
        <x:v>0</x:v>
      </x:c>
      <x:c r="X205" s="23" t="n">
        <x:f>MAX(0,MIN('Activities'!L205,120)-MAX('Activities'!K205,114))</x:f>
        <x:v>0</x:v>
      </x:c>
      <x:c r="Y205" s="23" t="n">
        <x:f>MAX(0,MIN('Activities'!L205,126)-MAX('Activities'!K205,120))</x:f>
        <x:v>0</x:v>
      </x:c>
      <x:c r="Z205" s="23" t="n">
        <x:f>MAX(0,MIN('Activities'!L205,132)-MAX('Activities'!K205,126))</x:f>
        <x:v>0</x:v>
      </x:c>
      <x:c r="AA205" s="23" t="n">
        <x:f>MAX(0,MIN('Activities'!L205,138)-MAX('Activities'!K205,132))</x:f>
        <x:v>0</x:v>
      </x:c>
      <x:c r="AB205" s="23" t="n">
        <x:f>MAX(0,MIN('Activities'!L205,144)-MAX('Activities'!K205,138))</x:f>
        <x:v>0</x:v>
      </x:c>
      <x:c r="AC205" s="23" t="n">
        <x:f>MAX(0,MIN('Activities'!L205,150)-MAX('Activities'!K205,144))</x:f>
        <x:v>0</x:v>
      </x:c>
      <x:c r="AD205" s="23" t="n">
        <x:f>MAX(0,MIN('Activities'!L205,156)-MAX('Activities'!K205,150))</x:f>
        <x:v>0</x:v>
      </x:c>
      <x:c r="AE205" s="23" t="n">
        <x:f>MAX(0,MIN('Activities'!L205,162)-MAX('Activities'!K205,156))</x:f>
        <x:v>0</x:v>
      </x:c>
      <x:c r="AF205" s="23" t="n">
        <x:f>MAX(0,MIN('Activities'!L205,168)-MAX('Activities'!K205,162))</x:f>
        <x:v>0</x:v>
      </x:c>
      <x:c r="AG205" s="23" t="n">
        <x:f>MAX(0,MIN('Activities'!L205,174)-MAX('Activities'!K205,168))</x:f>
        <x:v>0</x:v>
      </x:c>
      <x:c r="AH205" s="23" t="n">
        <x:f>MAX(0,MIN('Activities'!L205,180)-MAX('Activities'!K205,174))</x:f>
        <x:v>0</x:v>
      </x:c>
      <x:c r="AI205" s="23" t="n">
        <x:f>MAX(0,MIN('Activities'!L205,186)-MAX('Activities'!K205,180))</x:f>
        <x:v>0</x:v>
      </x:c>
      <x:c r="AJ205" s="23" t="n">
        <x:f>MAX(0,MIN('Activities'!L205,192)-MAX('Activities'!K205,186))</x:f>
        <x:v>0</x:v>
      </x:c>
      <x:c r="AK205" s="23" t="n">
        <x:f>MAX(0,MIN('Activities'!L205,198)-MAX('Activities'!K205,192))</x:f>
        <x:v>0</x:v>
      </x:c>
      <x:c r="AL205" s="23" t="n">
        <x:f>MAX(0,MIN('Activities'!L205,204)-MAX('Activities'!K205,198))</x:f>
        <x:v>0</x:v>
      </x:c>
      <x:c r="AM205" s="23" t="n">
        <x:f>MAX(0,MIN('Activities'!L205,210)-MAX('Activities'!K205,204))</x:f>
        <x:v>0</x:v>
      </x:c>
      <x:c r="AN205" s="23" t="n">
        <x:f>MAX(0,MIN('Activities'!L205,216)-MAX('Activities'!K205,210))</x:f>
        <x:v>0</x:v>
      </x:c>
      <x:c r="AO205" s="23" t="n">
        <x:f>MAX(0,MIN('Activities'!L205,222)-MAX('Activities'!K205,216))</x:f>
        <x:v>0</x:v>
      </x:c>
      <x:c r="AP205" s="23" t="n">
        <x:f>MAX(0,MIN('Activities'!L205,228)-MAX('Activities'!K205,222))</x:f>
        <x:v>0</x:v>
      </x:c>
      <x:c r="AQ205" s="23" t="n">
        <x:f>MAX(0,MIN('Activities'!L205,234)-MAX('Activities'!K205,228))</x:f>
        <x:v>3</x:v>
      </x:c>
      <x:c r="AR205" s="23" t="n">
        <x:f>MAX(0,MIN('Activities'!L205,240)-MAX('Activities'!K205,234))</x:f>
        <x:v>3</x:v>
      </x:c>
      <x:c r="AS205" s="23" t="n">
        <x:f>MAX(0,MIN('Activities'!L205,246)-MAX('Activities'!K205,240))</x:f>
        <x:v>0</x:v>
      </x:c>
      <x:c r="AT205" s="23" t="n">
        <x:f>MAX(0,MIN('Activities'!L205,252)-MAX('Activities'!K205,246))</x:f>
        <x:v>0</x:v>
      </x:c>
      <x:c r="AU205" s="23" t="n">
        <x:f>MAX(0,MIN('Activities'!L205,258)-MAX('Activities'!K205,252))</x:f>
        <x:v>0</x:v>
      </x:c>
      <x:c r="AV205" s="23" t="n">
        <x:f>MAX(0,MIN('Activities'!L205,264)-MAX('Activities'!K205,258))</x:f>
        <x:v>0</x:v>
      </x:c>
      <x:c r="AW205" s="23" t="n">
        <x:f>MAX(0,MIN('Activities'!L205,270)-MAX('Activities'!K205,264))</x:f>
        <x:v>0</x:v>
      </x:c>
      <x:c r="AX205" s="23" t="n">
        <x:f>MAX(0,MIN('Activities'!L205,276)-MAX('Activities'!K205,270))</x:f>
        <x:v>0</x:v>
      </x:c>
      <x:c r="AY205" s="23" t="n">
        <x:f>MAX(0,MIN('Activities'!L205,282)-MAX('Activities'!K205,276))</x:f>
        <x:v>0</x:v>
      </x:c>
      <x:c r="AZ205" s="23" t="n">
        <x:f>MAX(0,MIN('Activities'!L205,288)-MAX('Activities'!K205,282))</x:f>
        <x:v>0</x:v>
      </x:c>
      <x:c r="BA205" s="23" t="n">
        <x:f>MAX(0,MIN('Activities'!L205,294)-MAX('Activities'!K205,288))</x:f>
        <x:v>0</x:v>
      </x:c>
      <x:c r="BB205" s="23" t="n">
        <x:f>MAX(0,MIN('Activities'!L205,300)-MAX('Activities'!K205,294))</x:f>
        <x:v>0</x:v>
      </x:c>
      <x:c r="BC205" s="23" t="n">
        <x:f>MAX(0,MIN('Activities'!L205,306)-MAX('Activities'!K205,300))</x:f>
        <x:v>0</x:v>
      </x:c>
      <x:c r="BD205" s="23" t="n">
        <x:f>MAX(0,MIN('Activities'!L205,312)-MAX('Activities'!K205,306))</x:f>
        <x:v>0</x:v>
      </x:c>
      <x:c r="BE205" s="23" t="n">
        <x:f>MAX(0,MIN('Activities'!L205,318)-MAX('Activities'!K205,312))</x:f>
        <x:v>0</x:v>
      </x:c>
      <x:c r="BF205" s="23" t="n">
        <x:f>MAX(0,MIN('Activities'!L205,324)-MAX('Activities'!K205,318))</x:f>
        <x:v>0</x:v>
      </x:c>
      <x:c r="BG205" s="23" t="n">
        <x:f>MAX(0,MIN('Activities'!L205,330)-MAX('Activities'!K205,324))</x:f>
        <x:v>0</x:v>
      </x:c>
      <x:c r="BH205" s="23" t="n">
        <x:f>MAX(0,MIN('Activities'!L205,336)-MAX('Activities'!K205,330))</x:f>
        <x:v>0</x:v>
      </x:c>
      <x:c r="BI205" s="23" t="n">
        <x:f>MAX(0,MIN('Activities'!L205,342)-MAX('Activities'!K205,336))</x:f>
        <x:v>0</x:v>
      </x:c>
      <x:c r="BJ205" s="23" t="n">
        <x:f>MAX(0,MIN('Activities'!L205,348)-MAX('Activities'!K205,342))</x:f>
        <x:v>0</x:v>
      </x:c>
      <x:c r="BK205" s="23" t="n">
        <x:f>MAX(0,MIN('Activities'!L205,354)-MAX('Activities'!K205,348))</x:f>
        <x:v>0</x:v>
      </x:c>
      <x:c r="BL205" s="23" t="n">
        <x:f>MAX(0,MIN('Activities'!L205,360)-MAX('Activities'!K205,354))</x:f>
        <x:v>0</x:v>
      </x:c>
      <x:c r="BM205" s="23" t="n">
        <x:f>MAX(0,MIN('Activities'!L205,366)-MAX('Activities'!K205,360))</x:f>
        <x:v>0</x:v>
      </x:c>
      <x:c r="BN205" s="23" t="n">
        <x:f>MAX(0,MIN('Activities'!L205,372)-MAX('Activities'!K205,366))</x:f>
        <x:v>0</x:v>
      </x:c>
      <x:c r="BO205" s="23" t="n">
        <x:f>MAX(0,MIN('Activities'!L205,378)-MAX('Activities'!K205,372))</x:f>
        <x:v>0</x:v>
      </x:c>
      <x:c r="BP205" s="23" t="n">
        <x:f>MAX(0,MIN('Activities'!L205,384)-MAX('Activities'!K205,378))</x:f>
        <x:v>0</x:v>
      </x:c>
      <x:c r="BQ205" s="23" t="n">
        <x:f>MAX(0,MIN('Activities'!L205,390)-MAX('Activities'!K205,384))</x:f>
        <x:v>0</x:v>
      </x:c>
      <x:c r="BR205" s="23" t="n">
        <x:f>MAX(0,MIN('Activities'!L205,396)-MAX('Activities'!K205,390))</x:f>
        <x:v>0</x:v>
      </x:c>
      <x:c r="BS205" s="23" t="n">
        <x:f>MAX(0,MIN('Activities'!L205,402)-MAX('Activities'!K205,396))</x:f>
        <x:v>0</x:v>
      </x:c>
      <x:c r="BT205" s="23" t="n">
        <x:f>MAX(0,MIN('Activities'!L205,408)-MAX('Activities'!K205,402))</x:f>
        <x:v>0</x:v>
      </x:c>
      <x:c r="BU205" s="23" t="n">
        <x:f>MAX(0,MIN('Activities'!L205,414)-MAX('Activities'!K205,408))</x:f>
        <x:v>0</x:v>
      </x:c>
      <x:c r="BV205" s="23" t="n">
        <x:f>MAX(0,MIN('Activities'!L205,420)-MAX('Activities'!K205,414))</x:f>
        <x:v>0</x:v>
      </x:c>
      <x:c r="BW205" s="23" t="n">
        <x:f>MAX(0,MIN('Activities'!L205,426)-MAX('Activities'!K205,420))</x:f>
        <x:v>0</x:v>
      </x:c>
      <x:c r="BX205" s="23" t="n">
        <x:f>MAX(0,MIN('Activities'!L205,432)-MAX('Activities'!K205,426))</x:f>
        <x:v>0</x:v>
      </x:c>
      <x:c r="BY205" s="23" t="n">
        <x:f>MAX(0,MIN('Activities'!L205,438)-MAX('Activities'!K205,432))</x:f>
        <x:v>0</x:v>
      </x:c>
      <x:c r="BZ205" s="23" t="n">
        <x:f>MAX(0,MIN('Activities'!L205,444)-MAX('Activities'!K205,438))</x:f>
        <x:v>0</x:v>
      </x:c>
      <x:c r="CA205" s="23" t="n">
        <x:f>MAX(0,MIN('Activities'!L205,450)-MAX('Activities'!K205,444))</x:f>
        <x:v>0</x:v>
      </x:c>
      <x:c r="CB205" s="23" t="n">
        <x:f>MAX(0,MIN('Activities'!L205,456)-MAX('Activities'!K205,450))</x:f>
        <x:v>0</x:v>
      </x:c>
      <x:c r="CC205" s="23" t="n">
        <x:f>MAX(0,MIN('Activities'!L205,462)-MAX('Activities'!K205,456))</x:f>
        <x:v>0</x:v>
      </x:c>
      <x:c r="CD205" s="23" t="n">
        <x:f>MAX(0,MIN('Activities'!L205,468)-MAX('Activities'!K205,462))</x:f>
        <x:v>0</x:v>
      </x:c>
      <x:c r="CE205" s="23" t="n">
        <x:f>MAX(0,MIN('Activities'!L205,474)-MAX('Activities'!K205,468))</x:f>
        <x:v>0</x:v>
      </x:c>
      <x:c r="CF205" s="23" t="n">
        <x:f>MAX(0,MIN('Activities'!L205,480)-MAX('Activities'!K205,474))</x:f>
        <x:v>0</x:v>
      </x:c>
      <x:c r="CG205" s="23" t="n">
        <x:f>MAX(0,MIN('Activities'!L205,486)-MAX('Activities'!K205,480))</x:f>
        <x:v>0</x:v>
      </x:c>
      <x:c r="CH205" s="23" t="n">
        <x:f>MAX(0,MIN('Activities'!L205,492)-MAX('Activities'!K205,486))</x:f>
        <x:v>0</x:v>
      </x:c>
      <x:c r="CI205" s="23" t="n">
        <x:f>MAX(0,MIN('Activities'!L205,498)-MAX('Activities'!K205,492))</x:f>
        <x:v>0</x:v>
      </x:c>
      <x:c r="CJ205" s="23" t="n">
        <x:f>MAX(0,MIN('Activities'!L205,504)-MAX('Activities'!K205,498))</x:f>
        <x:v>0</x:v>
      </x:c>
      <x:c r="CK205" s="23" t="n">
        <x:f>MAX(0,MIN('Activities'!L205,510)-MAX('Activities'!K205,504))</x:f>
        <x:v>0</x:v>
      </x:c>
      <x:c r="CL205" s="23" t="n">
        <x:f>MAX(0,MIN('Activities'!L205,516)-MAX('Activities'!K205,510))</x:f>
        <x:v>0</x:v>
      </x:c>
      <x:c r="CM205" s="23" t="n">
        <x:f>MAX(0,MIN('Activities'!L205,522)-MAX('Activities'!K205,516))</x:f>
        <x:v>0</x:v>
      </x:c>
      <x:c r="CN205" s="23" t="n">
        <x:f>MAX(0,MIN('Activities'!L205,528)-MAX('Activities'!K205,522))</x:f>
        <x:v>0</x:v>
      </x:c>
      <x:c r="CO205" s="23" t="n">
        <x:f>MAX(0,MIN('Activities'!L205,534)-MAX('Activities'!K205,528))</x:f>
        <x:v>0</x:v>
      </x:c>
      <x:c r="CP205" s="23" t="n">
        <x:f>MAX(0,MIN('Activities'!L205,540)-MAX('Activities'!K205,534))</x:f>
        <x:v>0</x:v>
      </x:c>
      <x:c r="CQ205" s="23" t="n">
        <x:f>MAX(0,MIN('Activities'!L205,546)-MAX('Activities'!K205,540))</x:f>
        <x:v>0</x:v>
      </x:c>
      <x:c r="CR205" s="23" t="n">
        <x:f>MAX(0,MIN('Activities'!L205,552)-MAX('Activities'!K205,546))</x:f>
        <x:v>0</x:v>
      </x:c>
      <x:c r="CS205" s="23" t="n">
        <x:f>MAX(0,MIN('Activities'!L205,558)-MAX('Activities'!K205,552))</x:f>
        <x:v>0</x:v>
      </x:c>
      <x:c r="CT205" s="23" t="n">
        <x:f>MAX(0,MIN('Activities'!L205,564)-MAX('Activities'!K205,558))</x:f>
        <x:v>0</x:v>
      </x:c>
      <x:c r="CU205" s="23" t="n">
        <x:f>MAX(0,MIN('Activities'!L205,570)-MAX('Activities'!K205,564))</x:f>
        <x:v>0</x:v>
      </x:c>
      <x:c r="CV205" s="23" t="n">
        <x:f>MAX(0,MIN('Activities'!L205,576)-MAX('Activities'!K205,570))</x:f>
        <x:v>0</x:v>
      </x:c>
      <x:c r="CW205" s="23" t="n">
        <x:f>MAX(0,MIN('Activities'!L205,582)-MAX('Activities'!K205,576))</x:f>
        <x:v>0</x:v>
      </x:c>
      <x:c r="CX205" s="23" t="n">
        <x:f>MAX(0,MIN('Activities'!L205,588)-MAX('Activities'!K205,582))</x:f>
        <x:v>0</x:v>
      </x:c>
      <x:c r="CY205" s="23" t="n">
        <x:f>MAX(0,MIN('Activities'!L205,594)-MAX('Activities'!K205,588))</x:f>
        <x:v>0</x:v>
      </x:c>
      <x:c r="CZ205" s="23" t="n">
        <x:f>MAX(0,MIN('Activities'!L205,600)-MAX('Activities'!K205,594))</x:f>
        <x:v>0</x:v>
      </x:c>
      <x:c r="DA205" s="23" t="n">
        <x:f>MAX(0,MIN('Activities'!L205,606)-MAX('Activities'!K205,600))</x:f>
        <x:v>0</x:v>
      </x:c>
      <x:c r="DB205" s="23" t="n">
        <x:f>MAX(0,MIN('Activities'!L205,612)-MAX('Activities'!K205,606))</x:f>
        <x:v>0</x:v>
      </x:c>
      <x:c r="DC205" s="23" t="n">
        <x:f>MAX(0,MIN('Activities'!L205,618)-MAX('Activities'!K205,612))</x:f>
        <x:v>0</x:v>
      </x:c>
      <x:c r="DD205" s="23" t="n">
        <x:f>MAX(0,MIN('Activities'!L205,624)-MAX('Activities'!K205,618))</x:f>
        <x:v>0</x:v>
      </x:c>
      <x:c r="DE205" s="23" t="n">
        <x:f>MAX(0,MIN('Activities'!L205,630)-MAX('Activities'!K205,624))</x:f>
        <x:v>0</x:v>
      </x:c>
      <x:c r="DF205" s="23" t="n">
        <x:f>MAX(0,MIN('Activities'!L205,636)-MAX('Activities'!K205,630))</x:f>
        <x:v>0</x:v>
      </x:c>
    </x:row>
    <x:row r="206" ht="23" customHeight="1">
      <x:c r="A206" s="6" t="str">
        <x:v>T2-L00-S</x:v>
      </x:c>
      <x:c r="B206" s="6" t="str">
        <x:v>T2</x:v>
      </x:c>
      <x:c r="C206" s="6" t="str">
        <x:v>Screed and substrate preparation</x:v>
      </x:c>
      <x:c r="D206" s="6" t="str">
        <x:v>Finishes</x:v>
      </x:c>
      <x:c r="E206" s="22" t="n">
        <x:f>MAX(0,MIN('Activities'!L206,6)-MAX('Activities'!K206,0))</x:f>
        <x:v>0</x:v>
      </x:c>
      <x:c r="F206" s="22" t="n">
        <x:f>MAX(0,MIN('Activities'!L206,12)-MAX('Activities'!K206,6))</x:f>
        <x:v>0</x:v>
      </x:c>
      <x:c r="G206" s="22" t="n">
        <x:f>MAX(0,MIN('Activities'!L206,18)-MAX('Activities'!K206,12))</x:f>
        <x:v>0</x:v>
      </x:c>
      <x:c r="H206" s="22" t="n">
        <x:f>MAX(0,MIN('Activities'!L206,24)-MAX('Activities'!K206,18))</x:f>
        <x:v>0</x:v>
      </x:c>
      <x:c r="I206" s="22" t="n">
        <x:f>MAX(0,MIN('Activities'!L206,30)-MAX('Activities'!K206,24))</x:f>
        <x:v>0</x:v>
      </x:c>
      <x:c r="J206" s="22" t="n">
        <x:f>MAX(0,MIN('Activities'!L206,36)-MAX('Activities'!K206,30))</x:f>
        <x:v>0</x:v>
      </x:c>
      <x:c r="K206" s="22" t="n">
        <x:f>MAX(0,MIN('Activities'!L206,42)-MAX('Activities'!K206,36))</x:f>
        <x:v>0</x:v>
      </x:c>
      <x:c r="L206" s="22" t="n">
        <x:f>MAX(0,MIN('Activities'!L206,48)-MAX('Activities'!K206,42))</x:f>
        <x:v>0</x:v>
      </x:c>
      <x:c r="M206" s="22" t="n">
        <x:f>MAX(0,MIN('Activities'!L206,54)-MAX('Activities'!K206,48))</x:f>
        <x:v>0</x:v>
      </x:c>
      <x:c r="N206" s="22" t="n">
        <x:f>MAX(0,MIN('Activities'!L206,60)-MAX('Activities'!K206,54))</x:f>
        <x:v>0</x:v>
      </x:c>
      <x:c r="O206" s="22" t="n">
        <x:f>MAX(0,MIN('Activities'!L206,66)-MAX('Activities'!K206,60))</x:f>
        <x:v>0</x:v>
      </x:c>
      <x:c r="P206" s="22" t="n">
        <x:f>MAX(0,MIN('Activities'!L206,72)-MAX('Activities'!K206,66))</x:f>
        <x:v>0</x:v>
      </x:c>
      <x:c r="Q206" s="22" t="n">
        <x:f>MAX(0,MIN('Activities'!L206,78)-MAX('Activities'!K206,72))</x:f>
        <x:v>0</x:v>
      </x:c>
      <x:c r="R206" s="22" t="n">
        <x:f>MAX(0,MIN('Activities'!L206,84)-MAX('Activities'!K206,78))</x:f>
        <x:v>0</x:v>
      </x:c>
      <x:c r="S206" s="22" t="n">
        <x:f>MAX(0,MIN('Activities'!L206,90)-MAX('Activities'!K206,84))</x:f>
        <x:v>0</x:v>
      </x:c>
      <x:c r="T206" s="22" t="n">
        <x:f>MAX(0,MIN('Activities'!L206,96)-MAX('Activities'!K206,90))</x:f>
        <x:v>0</x:v>
      </x:c>
      <x:c r="U206" s="22" t="n">
        <x:f>MAX(0,MIN('Activities'!L206,102)-MAX('Activities'!K206,96))</x:f>
        <x:v>0</x:v>
      </x:c>
      <x:c r="V206" s="22" t="n">
        <x:f>MAX(0,MIN('Activities'!L206,108)-MAX('Activities'!K206,102))</x:f>
        <x:v>0</x:v>
      </x:c>
      <x:c r="W206" s="22" t="n">
        <x:f>MAX(0,MIN('Activities'!L206,114)-MAX('Activities'!K206,108))</x:f>
        <x:v>0</x:v>
      </x:c>
      <x:c r="X206" s="22" t="n">
        <x:f>MAX(0,MIN('Activities'!L206,120)-MAX('Activities'!K206,114))</x:f>
        <x:v>0</x:v>
      </x:c>
      <x:c r="Y206" s="22" t="n">
        <x:f>MAX(0,MIN('Activities'!L206,126)-MAX('Activities'!K206,120))</x:f>
        <x:v>0</x:v>
      </x:c>
      <x:c r="Z206" s="22" t="n">
        <x:f>MAX(0,MIN('Activities'!L206,132)-MAX('Activities'!K206,126))</x:f>
        <x:v>0</x:v>
      </x:c>
      <x:c r="AA206" s="22" t="n">
        <x:f>MAX(0,MIN('Activities'!L206,138)-MAX('Activities'!K206,132))</x:f>
        <x:v>0</x:v>
      </x:c>
      <x:c r="AB206" s="22" t="n">
        <x:f>MAX(0,MIN('Activities'!L206,144)-MAX('Activities'!K206,138))</x:f>
        <x:v>0</x:v>
      </x:c>
      <x:c r="AC206" s="22" t="n">
        <x:f>MAX(0,MIN('Activities'!L206,150)-MAX('Activities'!K206,144))</x:f>
        <x:v>0</x:v>
      </x:c>
      <x:c r="AD206" s="22" t="n">
        <x:f>MAX(0,MIN('Activities'!L206,156)-MAX('Activities'!K206,150))</x:f>
        <x:v>0</x:v>
      </x:c>
      <x:c r="AE206" s="22" t="n">
        <x:f>MAX(0,MIN('Activities'!L206,162)-MAX('Activities'!K206,156))</x:f>
        <x:v>0</x:v>
      </x:c>
      <x:c r="AF206" s="22" t="n">
        <x:f>MAX(0,MIN('Activities'!L206,168)-MAX('Activities'!K206,162))</x:f>
        <x:v>0</x:v>
      </x:c>
      <x:c r="AG206" s="22" t="n">
        <x:f>MAX(0,MIN('Activities'!L206,174)-MAX('Activities'!K206,168))</x:f>
        <x:v>0</x:v>
      </x:c>
      <x:c r="AH206" s="22" t="n">
        <x:f>MAX(0,MIN('Activities'!L206,180)-MAX('Activities'!K206,174))</x:f>
        <x:v>0</x:v>
      </x:c>
      <x:c r="AI206" s="22" t="n">
        <x:f>MAX(0,MIN('Activities'!L206,186)-MAX('Activities'!K206,180))</x:f>
        <x:v>0</x:v>
      </x:c>
      <x:c r="AJ206" s="22" t="n">
        <x:f>MAX(0,MIN('Activities'!L206,192)-MAX('Activities'!K206,186))</x:f>
        <x:v>0</x:v>
      </x:c>
      <x:c r="AK206" s="22" t="n">
        <x:f>MAX(0,MIN('Activities'!L206,198)-MAX('Activities'!K206,192))</x:f>
        <x:v>0</x:v>
      </x:c>
      <x:c r="AL206" s="22" t="n">
        <x:f>MAX(0,MIN('Activities'!L206,204)-MAX('Activities'!K206,198))</x:f>
        <x:v>0</x:v>
      </x:c>
      <x:c r="AM206" s="22" t="n">
        <x:f>MAX(0,MIN('Activities'!L206,210)-MAX('Activities'!K206,204))</x:f>
        <x:v>0</x:v>
      </x:c>
      <x:c r="AN206" s="22" t="n">
        <x:f>MAX(0,MIN('Activities'!L206,216)-MAX('Activities'!K206,210))</x:f>
        <x:v>0</x:v>
      </x:c>
      <x:c r="AO206" s="22" t="n">
        <x:f>MAX(0,MIN('Activities'!L206,222)-MAX('Activities'!K206,216))</x:f>
        <x:v>0</x:v>
      </x:c>
      <x:c r="AP206" s="22" t="n">
        <x:f>MAX(0,MIN('Activities'!L206,228)-MAX('Activities'!K206,222))</x:f>
        <x:v>0</x:v>
      </x:c>
      <x:c r="AQ206" s="22" t="n">
        <x:f>MAX(0,MIN('Activities'!L206,234)-MAX('Activities'!K206,228))</x:f>
        <x:v>0</x:v>
      </x:c>
      <x:c r="AR206" s="22" t="n">
        <x:f>MAX(0,MIN('Activities'!L206,240)-MAX('Activities'!K206,234))</x:f>
        <x:v>1</x:v>
      </x:c>
      <x:c r="AS206" s="22" t="n">
        <x:f>MAX(0,MIN('Activities'!L206,246)-MAX('Activities'!K206,240))</x:f>
        <x:v>2</x:v>
      </x:c>
      <x:c r="AT206" s="22" t="n">
        <x:f>MAX(0,MIN('Activities'!L206,252)-MAX('Activities'!K206,246))</x:f>
        <x:v>0</x:v>
      </x:c>
      <x:c r="AU206" s="22" t="n">
        <x:f>MAX(0,MIN('Activities'!L206,258)-MAX('Activities'!K206,252))</x:f>
        <x:v>0</x:v>
      </x:c>
      <x:c r="AV206" s="22" t="n">
        <x:f>MAX(0,MIN('Activities'!L206,264)-MAX('Activities'!K206,258))</x:f>
        <x:v>0</x:v>
      </x:c>
      <x:c r="AW206" s="22" t="n">
        <x:f>MAX(0,MIN('Activities'!L206,270)-MAX('Activities'!K206,264))</x:f>
        <x:v>0</x:v>
      </x:c>
      <x:c r="AX206" s="22" t="n">
        <x:f>MAX(0,MIN('Activities'!L206,276)-MAX('Activities'!K206,270))</x:f>
        <x:v>0</x:v>
      </x:c>
      <x:c r="AY206" s="22" t="n">
        <x:f>MAX(0,MIN('Activities'!L206,282)-MAX('Activities'!K206,276))</x:f>
        <x:v>0</x:v>
      </x:c>
      <x:c r="AZ206" s="22" t="n">
        <x:f>MAX(0,MIN('Activities'!L206,288)-MAX('Activities'!K206,282))</x:f>
        <x:v>0</x:v>
      </x:c>
      <x:c r="BA206" s="22" t="n">
        <x:f>MAX(0,MIN('Activities'!L206,294)-MAX('Activities'!K206,288))</x:f>
        <x:v>0</x:v>
      </x:c>
      <x:c r="BB206" s="22" t="n">
        <x:f>MAX(0,MIN('Activities'!L206,300)-MAX('Activities'!K206,294))</x:f>
        <x:v>0</x:v>
      </x:c>
      <x:c r="BC206" s="22" t="n">
        <x:f>MAX(0,MIN('Activities'!L206,306)-MAX('Activities'!K206,300))</x:f>
        <x:v>0</x:v>
      </x:c>
      <x:c r="BD206" s="22" t="n">
        <x:f>MAX(0,MIN('Activities'!L206,312)-MAX('Activities'!K206,306))</x:f>
        <x:v>0</x:v>
      </x:c>
      <x:c r="BE206" s="22" t="n">
        <x:f>MAX(0,MIN('Activities'!L206,318)-MAX('Activities'!K206,312))</x:f>
        <x:v>0</x:v>
      </x:c>
      <x:c r="BF206" s="22" t="n">
        <x:f>MAX(0,MIN('Activities'!L206,324)-MAX('Activities'!K206,318))</x:f>
        <x:v>0</x:v>
      </x:c>
      <x:c r="BG206" s="22" t="n">
        <x:f>MAX(0,MIN('Activities'!L206,330)-MAX('Activities'!K206,324))</x:f>
        <x:v>0</x:v>
      </x:c>
      <x:c r="BH206" s="22" t="n">
        <x:f>MAX(0,MIN('Activities'!L206,336)-MAX('Activities'!K206,330))</x:f>
        <x:v>0</x:v>
      </x:c>
      <x:c r="BI206" s="22" t="n">
        <x:f>MAX(0,MIN('Activities'!L206,342)-MAX('Activities'!K206,336))</x:f>
        <x:v>0</x:v>
      </x:c>
      <x:c r="BJ206" s="22" t="n">
        <x:f>MAX(0,MIN('Activities'!L206,348)-MAX('Activities'!K206,342))</x:f>
        <x:v>0</x:v>
      </x:c>
      <x:c r="BK206" s="22" t="n">
        <x:f>MAX(0,MIN('Activities'!L206,354)-MAX('Activities'!K206,348))</x:f>
        <x:v>0</x:v>
      </x:c>
      <x:c r="BL206" s="22" t="n">
        <x:f>MAX(0,MIN('Activities'!L206,360)-MAX('Activities'!K206,354))</x:f>
        <x:v>0</x:v>
      </x:c>
      <x:c r="BM206" s="22" t="n">
        <x:f>MAX(0,MIN('Activities'!L206,366)-MAX('Activities'!K206,360))</x:f>
        <x:v>0</x:v>
      </x:c>
      <x:c r="BN206" s="22" t="n">
        <x:f>MAX(0,MIN('Activities'!L206,372)-MAX('Activities'!K206,366))</x:f>
        <x:v>0</x:v>
      </x:c>
      <x:c r="BO206" s="22" t="n">
        <x:f>MAX(0,MIN('Activities'!L206,378)-MAX('Activities'!K206,372))</x:f>
        <x:v>0</x:v>
      </x:c>
      <x:c r="BP206" s="22" t="n">
        <x:f>MAX(0,MIN('Activities'!L206,384)-MAX('Activities'!K206,378))</x:f>
        <x:v>0</x:v>
      </x:c>
      <x:c r="BQ206" s="22" t="n">
        <x:f>MAX(0,MIN('Activities'!L206,390)-MAX('Activities'!K206,384))</x:f>
        <x:v>0</x:v>
      </x:c>
      <x:c r="BR206" s="22" t="n">
        <x:f>MAX(0,MIN('Activities'!L206,396)-MAX('Activities'!K206,390))</x:f>
        <x:v>0</x:v>
      </x:c>
      <x:c r="BS206" s="22" t="n">
        <x:f>MAX(0,MIN('Activities'!L206,402)-MAX('Activities'!K206,396))</x:f>
        <x:v>0</x:v>
      </x:c>
      <x:c r="BT206" s="22" t="n">
        <x:f>MAX(0,MIN('Activities'!L206,408)-MAX('Activities'!K206,402))</x:f>
        <x:v>0</x:v>
      </x:c>
      <x:c r="BU206" s="22" t="n">
        <x:f>MAX(0,MIN('Activities'!L206,414)-MAX('Activities'!K206,408))</x:f>
        <x:v>0</x:v>
      </x:c>
      <x:c r="BV206" s="22" t="n">
        <x:f>MAX(0,MIN('Activities'!L206,420)-MAX('Activities'!K206,414))</x:f>
        <x:v>0</x:v>
      </x:c>
      <x:c r="BW206" s="22" t="n">
        <x:f>MAX(0,MIN('Activities'!L206,426)-MAX('Activities'!K206,420))</x:f>
        <x:v>0</x:v>
      </x:c>
      <x:c r="BX206" s="22" t="n">
        <x:f>MAX(0,MIN('Activities'!L206,432)-MAX('Activities'!K206,426))</x:f>
        <x:v>0</x:v>
      </x:c>
      <x:c r="BY206" s="22" t="n">
        <x:f>MAX(0,MIN('Activities'!L206,438)-MAX('Activities'!K206,432))</x:f>
        <x:v>0</x:v>
      </x:c>
      <x:c r="BZ206" s="22" t="n">
        <x:f>MAX(0,MIN('Activities'!L206,444)-MAX('Activities'!K206,438))</x:f>
        <x:v>0</x:v>
      </x:c>
      <x:c r="CA206" s="22" t="n">
        <x:f>MAX(0,MIN('Activities'!L206,450)-MAX('Activities'!K206,444))</x:f>
        <x:v>0</x:v>
      </x:c>
      <x:c r="CB206" s="22" t="n">
        <x:f>MAX(0,MIN('Activities'!L206,456)-MAX('Activities'!K206,450))</x:f>
        <x:v>0</x:v>
      </x:c>
      <x:c r="CC206" s="22" t="n">
        <x:f>MAX(0,MIN('Activities'!L206,462)-MAX('Activities'!K206,456))</x:f>
        <x:v>0</x:v>
      </x:c>
      <x:c r="CD206" s="22" t="n">
        <x:f>MAX(0,MIN('Activities'!L206,468)-MAX('Activities'!K206,462))</x:f>
        <x:v>0</x:v>
      </x:c>
      <x:c r="CE206" s="22" t="n">
        <x:f>MAX(0,MIN('Activities'!L206,474)-MAX('Activities'!K206,468))</x:f>
        <x:v>0</x:v>
      </x:c>
      <x:c r="CF206" s="22" t="n">
        <x:f>MAX(0,MIN('Activities'!L206,480)-MAX('Activities'!K206,474))</x:f>
        <x:v>0</x:v>
      </x:c>
      <x:c r="CG206" s="22" t="n">
        <x:f>MAX(0,MIN('Activities'!L206,486)-MAX('Activities'!K206,480))</x:f>
        <x:v>0</x:v>
      </x:c>
      <x:c r="CH206" s="22" t="n">
        <x:f>MAX(0,MIN('Activities'!L206,492)-MAX('Activities'!K206,486))</x:f>
        <x:v>0</x:v>
      </x:c>
      <x:c r="CI206" s="22" t="n">
        <x:f>MAX(0,MIN('Activities'!L206,498)-MAX('Activities'!K206,492))</x:f>
        <x:v>0</x:v>
      </x:c>
      <x:c r="CJ206" s="22" t="n">
        <x:f>MAX(0,MIN('Activities'!L206,504)-MAX('Activities'!K206,498))</x:f>
        <x:v>0</x:v>
      </x:c>
      <x:c r="CK206" s="22" t="n">
        <x:f>MAX(0,MIN('Activities'!L206,510)-MAX('Activities'!K206,504))</x:f>
        <x:v>0</x:v>
      </x:c>
      <x:c r="CL206" s="22" t="n">
        <x:f>MAX(0,MIN('Activities'!L206,516)-MAX('Activities'!K206,510))</x:f>
        <x:v>0</x:v>
      </x:c>
      <x:c r="CM206" s="22" t="n">
        <x:f>MAX(0,MIN('Activities'!L206,522)-MAX('Activities'!K206,516))</x:f>
        <x:v>0</x:v>
      </x:c>
      <x:c r="CN206" s="22" t="n">
        <x:f>MAX(0,MIN('Activities'!L206,528)-MAX('Activities'!K206,522))</x:f>
        <x:v>0</x:v>
      </x:c>
      <x:c r="CO206" s="22" t="n">
        <x:f>MAX(0,MIN('Activities'!L206,534)-MAX('Activities'!K206,528))</x:f>
        <x:v>0</x:v>
      </x:c>
      <x:c r="CP206" s="22" t="n">
        <x:f>MAX(0,MIN('Activities'!L206,540)-MAX('Activities'!K206,534))</x:f>
        <x:v>0</x:v>
      </x:c>
      <x:c r="CQ206" s="22" t="n">
        <x:f>MAX(0,MIN('Activities'!L206,546)-MAX('Activities'!K206,540))</x:f>
        <x:v>0</x:v>
      </x:c>
      <x:c r="CR206" s="22" t="n">
        <x:f>MAX(0,MIN('Activities'!L206,552)-MAX('Activities'!K206,546))</x:f>
        <x:v>0</x:v>
      </x:c>
      <x:c r="CS206" s="22" t="n">
        <x:f>MAX(0,MIN('Activities'!L206,558)-MAX('Activities'!K206,552))</x:f>
        <x:v>0</x:v>
      </x:c>
      <x:c r="CT206" s="22" t="n">
        <x:f>MAX(0,MIN('Activities'!L206,564)-MAX('Activities'!K206,558))</x:f>
        <x:v>0</x:v>
      </x:c>
      <x:c r="CU206" s="22" t="n">
        <x:f>MAX(0,MIN('Activities'!L206,570)-MAX('Activities'!K206,564))</x:f>
        <x:v>0</x:v>
      </x:c>
      <x:c r="CV206" s="22" t="n">
        <x:f>MAX(0,MIN('Activities'!L206,576)-MAX('Activities'!K206,570))</x:f>
        <x:v>0</x:v>
      </x:c>
      <x:c r="CW206" s="22" t="n">
        <x:f>MAX(0,MIN('Activities'!L206,582)-MAX('Activities'!K206,576))</x:f>
        <x:v>0</x:v>
      </x:c>
      <x:c r="CX206" s="22" t="n">
        <x:f>MAX(0,MIN('Activities'!L206,588)-MAX('Activities'!K206,582))</x:f>
        <x:v>0</x:v>
      </x:c>
      <x:c r="CY206" s="22" t="n">
        <x:f>MAX(0,MIN('Activities'!L206,594)-MAX('Activities'!K206,588))</x:f>
        <x:v>0</x:v>
      </x:c>
      <x:c r="CZ206" s="22" t="n">
        <x:f>MAX(0,MIN('Activities'!L206,600)-MAX('Activities'!K206,594))</x:f>
        <x:v>0</x:v>
      </x:c>
      <x:c r="DA206" s="22" t="n">
        <x:f>MAX(0,MIN('Activities'!L206,606)-MAX('Activities'!K206,600))</x:f>
        <x:v>0</x:v>
      </x:c>
      <x:c r="DB206" s="22" t="n">
        <x:f>MAX(0,MIN('Activities'!L206,612)-MAX('Activities'!K206,606))</x:f>
        <x:v>0</x:v>
      </x:c>
      <x:c r="DC206" s="22" t="n">
        <x:f>MAX(0,MIN('Activities'!L206,618)-MAX('Activities'!K206,612))</x:f>
        <x:v>0</x:v>
      </x:c>
      <x:c r="DD206" s="22" t="n">
        <x:f>MAX(0,MIN('Activities'!L206,624)-MAX('Activities'!K206,618))</x:f>
        <x:v>0</x:v>
      </x:c>
      <x:c r="DE206" s="22" t="n">
        <x:f>MAX(0,MIN('Activities'!L206,630)-MAX('Activities'!K206,624))</x:f>
        <x:v>0</x:v>
      </x:c>
      <x:c r="DF206" s="22" t="n">
        <x:f>MAX(0,MIN('Activities'!L206,636)-MAX('Activities'!K206,630))</x:f>
        <x:v>0</x:v>
      </x:c>
    </x:row>
    <x:row r="207" ht="23" customHeight="1">
      <x:c r="A207" s="1" t="str">
        <x:v>T2-L00-T</x:v>
      </x:c>
      <x:c r="B207" s="1" t="str">
        <x:v>T2</x:v>
      </x:c>
      <x:c r="C207" s="1" t="str">
        <x:v>Floor finishes and skirtings</x:v>
      </x:c>
      <x:c r="D207" s="1" t="str">
        <x:v>Finishes</x:v>
      </x:c>
      <x:c r="E207" s="23" t="n">
        <x:f>MAX(0,MIN('Activities'!L207,6)-MAX('Activities'!K207,0))</x:f>
        <x:v>0</x:v>
      </x:c>
      <x:c r="F207" s="23" t="n">
        <x:f>MAX(0,MIN('Activities'!L207,12)-MAX('Activities'!K207,6))</x:f>
        <x:v>0</x:v>
      </x:c>
      <x:c r="G207" s="23" t="n">
        <x:f>MAX(0,MIN('Activities'!L207,18)-MAX('Activities'!K207,12))</x:f>
        <x:v>0</x:v>
      </x:c>
      <x:c r="H207" s="23" t="n">
        <x:f>MAX(0,MIN('Activities'!L207,24)-MAX('Activities'!K207,18))</x:f>
        <x:v>0</x:v>
      </x:c>
      <x:c r="I207" s="23" t="n">
        <x:f>MAX(0,MIN('Activities'!L207,30)-MAX('Activities'!K207,24))</x:f>
        <x:v>0</x:v>
      </x:c>
      <x:c r="J207" s="23" t="n">
        <x:f>MAX(0,MIN('Activities'!L207,36)-MAX('Activities'!K207,30))</x:f>
        <x:v>0</x:v>
      </x:c>
      <x:c r="K207" s="23" t="n">
        <x:f>MAX(0,MIN('Activities'!L207,42)-MAX('Activities'!K207,36))</x:f>
        <x:v>0</x:v>
      </x:c>
      <x:c r="L207" s="23" t="n">
        <x:f>MAX(0,MIN('Activities'!L207,48)-MAX('Activities'!K207,42))</x:f>
        <x:v>0</x:v>
      </x:c>
      <x:c r="M207" s="23" t="n">
        <x:f>MAX(0,MIN('Activities'!L207,54)-MAX('Activities'!K207,48))</x:f>
        <x:v>0</x:v>
      </x:c>
      <x:c r="N207" s="23" t="n">
        <x:f>MAX(0,MIN('Activities'!L207,60)-MAX('Activities'!K207,54))</x:f>
        <x:v>0</x:v>
      </x:c>
      <x:c r="O207" s="23" t="n">
        <x:f>MAX(0,MIN('Activities'!L207,66)-MAX('Activities'!K207,60))</x:f>
        <x:v>0</x:v>
      </x:c>
      <x:c r="P207" s="23" t="n">
        <x:f>MAX(0,MIN('Activities'!L207,72)-MAX('Activities'!K207,66))</x:f>
        <x:v>0</x:v>
      </x:c>
      <x:c r="Q207" s="23" t="n">
        <x:f>MAX(0,MIN('Activities'!L207,78)-MAX('Activities'!K207,72))</x:f>
        <x:v>0</x:v>
      </x:c>
      <x:c r="R207" s="23" t="n">
        <x:f>MAX(0,MIN('Activities'!L207,84)-MAX('Activities'!K207,78))</x:f>
        <x:v>0</x:v>
      </x:c>
      <x:c r="S207" s="23" t="n">
        <x:f>MAX(0,MIN('Activities'!L207,90)-MAX('Activities'!K207,84))</x:f>
        <x:v>0</x:v>
      </x:c>
      <x:c r="T207" s="23" t="n">
        <x:f>MAX(0,MIN('Activities'!L207,96)-MAX('Activities'!K207,90))</x:f>
        <x:v>0</x:v>
      </x:c>
      <x:c r="U207" s="23" t="n">
        <x:f>MAX(0,MIN('Activities'!L207,102)-MAX('Activities'!K207,96))</x:f>
        <x:v>0</x:v>
      </x:c>
      <x:c r="V207" s="23" t="n">
        <x:f>MAX(0,MIN('Activities'!L207,108)-MAX('Activities'!K207,102))</x:f>
        <x:v>0</x:v>
      </x:c>
      <x:c r="W207" s="23" t="n">
        <x:f>MAX(0,MIN('Activities'!L207,114)-MAX('Activities'!K207,108))</x:f>
        <x:v>0</x:v>
      </x:c>
      <x:c r="X207" s="23" t="n">
        <x:f>MAX(0,MIN('Activities'!L207,120)-MAX('Activities'!K207,114))</x:f>
        <x:v>0</x:v>
      </x:c>
      <x:c r="Y207" s="23" t="n">
        <x:f>MAX(0,MIN('Activities'!L207,126)-MAX('Activities'!K207,120))</x:f>
        <x:v>0</x:v>
      </x:c>
      <x:c r="Z207" s="23" t="n">
        <x:f>MAX(0,MIN('Activities'!L207,132)-MAX('Activities'!K207,126))</x:f>
        <x:v>0</x:v>
      </x:c>
      <x:c r="AA207" s="23" t="n">
        <x:f>MAX(0,MIN('Activities'!L207,138)-MAX('Activities'!K207,132))</x:f>
        <x:v>0</x:v>
      </x:c>
      <x:c r="AB207" s="23" t="n">
        <x:f>MAX(0,MIN('Activities'!L207,144)-MAX('Activities'!K207,138))</x:f>
        <x:v>0</x:v>
      </x:c>
      <x:c r="AC207" s="23" t="n">
        <x:f>MAX(0,MIN('Activities'!L207,150)-MAX('Activities'!K207,144))</x:f>
        <x:v>0</x:v>
      </x:c>
      <x:c r="AD207" s="23" t="n">
        <x:f>MAX(0,MIN('Activities'!L207,156)-MAX('Activities'!K207,150))</x:f>
        <x:v>0</x:v>
      </x:c>
      <x:c r="AE207" s="23" t="n">
        <x:f>MAX(0,MIN('Activities'!L207,162)-MAX('Activities'!K207,156))</x:f>
        <x:v>0</x:v>
      </x:c>
      <x:c r="AF207" s="23" t="n">
        <x:f>MAX(0,MIN('Activities'!L207,168)-MAX('Activities'!K207,162))</x:f>
        <x:v>0</x:v>
      </x:c>
      <x:c r="AG207" s="23" t="n">
        <x:f>MAX(0,MIN('Activities'!L207,174)-MAX('Activities'!K207,168))</x:f>
        <x:v>0</x:v>
      </x:c>
      <x:c r="AH207" s="23" t="n">
        <x:f>MAX(0,MIN('Activities'!L207,180)-MAX('Activities'!K207,174))</x:f>
        <x:v>0</x:v>
      </x:c>
      <x:c r="AI207" s="23" t="n">
        <x:f>MAX(0,MIN('Activities'!L207,186)-MAX('Activities'!K207,180))</x:f>
        <x:v>0</x:v>
      </x:c>
      <x:c r="AJ207" s="23" t="n">
        <x:f>MAX(0,MIN('Activities'!L207,192)-MAX('Activities'!K207,186))</x:f>
        <x:v>0</x:v>
      </x:c>
      <x:c r="AK207" s="23" t="n">
        <x:f>MAX(0,MIN('Activities'!L207,198)-MAX('Activities'!K207,192))</x:f>
        <x:v>0</x:v>
      </x:c>
      <x:c r="AL207" s="23" t="n">
        <x:f>MAX(0,MIN('Activities'!L207,204)-MAX('Activities'!K207,198))</x:f>
        <x:v>0</x:v>
      </x:c>
      <x:c r="AM207" s="23" t="n">
        <x:f>MAX(0,MIN('Activities'!L207,210)-MAX('Activities'!K207,204))</x:f>
        <x:v>0</x:v>
      </x:c>
      <x:c r="AN207" s="23" t="n">
        <x:f>MAX(0,MIN('Activities'!L207,216)-MAX('Activities'!K207,210))</x:f>
        <x:v>0</x:v>
      </x:c>
      <x:c r="AO207" s="23" t="n">
        <x:f>MAX(0,MIN('Activities'!L207,222)-MAX('Activities'!K207,216))</x:f>
        <x:v>0</x:v>
      </x:c>
      <x:c r="AP207" s="23" t="n">
        <x:f>MAX(0,MIN('Activities'!L207,228)-MAX('Activities'!K207,222))</x:f>
        <x:v>0</x:v>
      </x:c>
      <x:c r="AQ207" s="23" t="n">
        <x:f>MAX(0,MIN('Activities'!L207,234)-MAX('Activities'!K207,228))</x:f>
        <x:v>0</x:v>
      </x:c>
      <x:c r="AR207" s="23" t="n">
        <x:f>MAX(0,MIN('Activities'!L207,240)-MAX('Activities'!K207,234))</x:f>
        <x:v>0</x:v>
      </x:c>
      <x:c r="AS207" s="23" t="n">
        <x:f>MAX(0,MIN('Activities'!L207,246)-MAX('Activities'!K207,240))</x:f>
        <x:v>0</x:v>
      </x:c>
      <x:c r="AT207" s="23" t="n">
        <x:f>MAX(0,MIN('Activities'!L207,252)-MAX('Activities'!K207,246))</x:f>
        <x:v>0</x:v>
      </x:c>
      <x:c r="AU207" s="23" t="n">
        <x:f>MAX(0,MIN('Activities'!L207,258)-MAX('Activities'!K207,252))</x:f>
        <x:v>0</x:v>
      </x:c>
      <x:c r="AV207" s="23" t="n">
        <x:f>MAX(0,MIN('Activities'!L207,264)-MAX('Activities'!K207,258))</x:f>
        <x:v>0</x:v>
      </x:c>
      <x:c r="AW207" s="23" t="n">
        <x:f>MAX(0,MIN('Activities'!L207,270)-MAX('Activities'!K207,264))</x:f>
        <x:v>0</x:v>
      </x:c>
      <x:c r="AX207" s="23" t="n">
        <x:f>MAX(0,MIN('Activities'!L207,276)-MAX('Activities'!K207,270))</x:f>
        <x:v>0</x:v>
      </x:c>
      <x:c r="AY207" s="23" t="n">
        <x:f>MAX(0,MIN('Activities'!L207,282)-MAX('Activities'!K207,276))</x:f>
        <x:v>0</x:v>
      </x:c>
      <x:c r="AZ207" s="23" t="n">
        <x:f>MAX(0,MIN('Activities'!L207,288)-MAX('Activities'!K207,282))</x:f>
        <x:v>0</x:v>
      </x:c>
      <x:c r="BA207" s="23" t="n">
        <x:f>MAX(0,MIN('Activities'!L207,294)-MAX('Activities'!K207,288))</x:f>
        <x:v>0</x:v>
      </x:c>
      <x:c r="BB207" s="23" t="n">
        <x:f>MAX(0,MIN('Activities'!L207,300)-MAX('Activities'!K207,294))</x:f>
        <x:v>0</x:v>
      </x:c>
      <x:c r="BC207" s="23" t="n">
        <x:f>MAX(0,MIN('Activities'!L207,306)-MAX('Activities'!K207,300))</x:f>
        <x:v>0</x:v>
      </x:c>
      <x:c r="BD207" s="23" t="n">
        <x:f>MAX(0,MIN('Activities'!L207,312)-MAX('Activities'!K207,306))</x:f>
        <x:v>0</x:v>
      </x:c>
      <x:c r="BE207" s="23" t="n">
        <x:f>MAX(0,MIN('Activities'!L207,318)-MAX('Activities'!K207,312))</x:f>
        <x:v>0</x:v>
      </x:c>
      <x:c r="BF207" s="23" t="n">
        <x:f>MAX(0,MIN('Activities'!L207,324)-MAX('Activities'!K207,318))</x:f>
        <x:v>0</x:v>
      </x:c>
      <x:c r="BG207" s="23" t="n">
        <x:f>MAX(0,MIN('Activities'!L207,330)-MAX('Activities'!K207,324))</x:f>
        <x:v>0</x:v>
      </x:c>
      <x:c r="BH207" s="23" t="n">
        <x:f>MAX(0,MIN('Activities'!L207,336)-MAX('Activities'!K207,330))</x:f>
        <x:v>0</x:v>
      </x:c>
      <x:c r="BI207" s="23" t="n">
        <x:f>MAX(0,MIN('Activities'!L207,342)-MAX('Activities'!K207,336))</x:f>
        <x:v>0</x:v>
      </x:c>
      <x:c r="BJ207" s="23" t="n">
        <x:f>MAX(0,MIN('Activities'!L207,348)-MAX('Activities'!K207,342))</x:f>
        <x:v>0</x:v>
      </x:c>
      <x:c r="BK207" s="23" t="n">
        <x:f>MAX(0,MIN('Activities'!L207,354)-MAX('Activities'!K207,348))</x:f>
        <x:v>0</x:v>
      </x:c>
      <x:c r="BL207" s="23" t="n">
        <x:f>MAX(0,MIN('Activities'!L207,360)-MAX('Activities'!K207,354))</x:f>
        <x:v>0</x:v>
      </x:c>
      <x:c r="BM207" s="23" t="n">
        <x:f>MAX(0,MIN('Activities'!L207,366)-MAX('Activities'!K207,360))</x:f>
        <x:v>0</x:v>
      </x:c>
      <x:c r="BN207" s="23" t="n">
        <x:f>MAX(0,MIN('Activities'!L207,372)-MAX('Activities'!K207,366))</x:f>
        <x:v>0</x:v>
      </x:c>
      <x:c r="BO207" s="23" t="n">
        <x:f>MAX(0,MIN('Activities'!L207,378)-MAX('Activities'!K207,372))</x:f>
        <x:v>0</x:v>
      </x:c>
      <x:c r="BP207" s="23" t="n">
        <x:f>MAX(0,MIN('Activities'!L207,384)-MAX('Activities'!K207,378))</x:f>
        <x:v>0</x:v>
      </x:c>
      <x:c r="BQ207" s="23" t="n">
        <x:f>MAX(0,MIN('Activities'!L207,390)-MAX('Activities'!K207,384))</x:f>
        <x:v>0</x:v>
      </x:c>
      <x:c r="BR207" s="23" t="n">
        <x:f>MAX(0,MIN('Activities'!L207,396)-MAX('Activities'!K207,390))</x:f>
        <x:v>0</x:v>
      </x:c>
      <x:c r="BS207" s="23" t="n">
        <x:f>MAX(0,MIN('Activities'!L207,402)-MAX('Activities'!K207,396))</x:f>
        <x:v>0</x:v>
      </x:c>
      <x:c r="BT207" s="23" t="n">
        <x:f>MAX(0,MIN('Activities'!L207,408)-MAX('Activities'!K207,402))</x:f>
        <x:v>0</x:v>
      </x:c>
      <x:c r="BU207" s="23" t="n">
        <x:f>MAX(0,MIN('Activities'!L207,414)-MAX('Activities'!K207,408))</x:f>
        <x:v>1</x:v>
      </x:c>
      <x:c r="BV207" s="23" t="n">
        <x:f>MAX(0,MIN('Activities'!L207,420)-MAX('Activities'!K207,414))</x:f>
        <x:v>5</x:v>
      </x:c>
      <x:c r="BW207" s="23" t="n">
        <x:f>MAX(0,MIN('Activities'!L207,426)-MAX('Activities'!K207,420))</x:f>
        <x:v>0</x:v>
      </x:c>
      <x:c r="BX207" s="23" t="n">
        <x:f>MAX(0,MIN('Activities'!L207,432)-MAX('Activities'!K207,426))</x:f>
        <x:v>0</x:v>
      </x:c>
      <x:c r="BY207" s="23" t="n">
        <x:f>MAX(0,MIN('Activities'!L207,438)-MAX('Activities'!K207,432))</x:f>
        <x:v>0</x:v>
      </x:c>
      <x:c r="BZ207" s="23" t="n">
        <x:f>MAX(0,MIN('Activities'!L207,444)-MAX('Activities'!K207,438))</x:f>
        <x:v>0</x:v>
      </x:c>
      <x:c r="CA207" s="23" t="n">
        <x:f>MAX(0,MIN('Activities'!L207,450)-MAX('Activities'!K207,444))</x:f>
        <x:v>0</x:v>
      </x:c>
      <x:c r="CB207" s="23" t="n">
        <x:f>MAX(0,MIN('Activities'!L207,456)-MAX('Activities'!K207,450))</x:f>
        <x:v>0</x:v>
      </x:c>
      <x:c r="CC207" s="23" t="n">
        <x:f>MAX(0,MIN('Activities'!L207,462)-MAX('Activities'!K207,456))</x:f>
        <x:v>0</x:v>
      </x:c>
      <x:c r="CD207" s="23" t="n">
        <x:f>MAX(0,MIN('Activities'!L207,468)-MAX('Activities'!K207,462))</x:f>
        <x:v>0</x:v>
      </x:c>
      <x:c r="CE207" s="23" t="n">
        <x:f>MAX(0,MIN('Activities'!L207,474)-MAX('Activities'!K207,468))</x:f>
        <x:v>0</x:v>
      </x:c>
      <x:c r="CF207" s="23" t="n">
        <x:f>MAX(0,MIN('Activities'!L207,480)-MAX('Activities'!K207,474))</x:f>
        <x:v>0</x:v>
      </x:c>
      <x:c r="CG207" s="23" t="n">
        <x:f>MAX(0,MIN('Activities'!L207,486)-MAX('Activities'!K207,480))</x:f>
        <x:v>0</x:v>
      </x:c>
      <x:c r="CH207" s="23" t="n">
        <x:f>MAX(0,MIN('Activities'!L207,492)-MAX('Activities'!K207,486))</x:f>
        <x:v>0</x:v>
      </x:c>
      <x:c r="CI207" s="23" t="n">
        <x:f>MAX(0,MIN('Activities'!L207,498)-MAX('Activities'!K207,492))</x:f>
        <x:v>0</x:v>
      </x:c>
      <x:c r="CJ207" s="23" t="n">
        <x:f>MAX(0,MIN('Activities'!L207,504)-MAX('Activities'!K207,498))</x:f>
        <x:v>0</x:v>
      </x:c>
      <x:c r="CK207" s="23" t="n">
        <x:f>MAX(0,MIN('Activities'!L207,510)-MAX('Activities'!K207,504))</x:f>
        <x:v>0</x:v>
      </x:c>
      <x:c r="CL207" s="23" t="n">
        <x:f>MAX(0,MIN('Activities'!L207,516)-MAX('Activities'!K207,510))</x:f>
        <x:v>0</x:v>
      </x:c>
      <x:c r="CM207" s="23" t="n">
        <x:f>MAX(0,MIN('Activities'!L207,522)-MAX('Activities'!K207,516))</x:f>
        <x:v>0</x:v>
      </x:c>
      <x:c r="CN207" s="23" t="n">
        <x:f>MAX(0,MIN('Activities'!L207,528)-MAX('Activities'!K207,522))</x:f>
        <x:v>0</x:v>
      </x:c>
      <x:c r="CO207" s="23" t="n">
        <x:f>MAX(0,MIN('Activities'!L207,534)-MAX('Activities'!K207,528))</x:f>
        <x:v>0</x:v>
      </x:c>
      <x:c r="CP207" s="23" t="n">
        <x:f>MAX(0,MIN('Activities'!L207,540)-MAX('Activities'!K207,534))</x:f>
        <x:v>0</x:v>
      </x:c>
      <x:c r="CQ207" s="23" t="n">
        <x:f>MAX(0,MIN('Activities'!L207,546)-MAX('Activities'!K207,540))</x:f>
        <x:v>0</x:v>
      </x:c>
      <x:c r="CR207" s="23" t="n">
        <x:f>MAX(0,MIN('Activities'!L207,552)-MAX('Activities'!K207,546))</x:f>
        <x:v>0</x:v>
      </x:c>
      <x:c r="CS207" s="23" t="n">
        <x:f>MAX(0,MIN('Activities'!L207,558)-MAX('Activities'!K207,552))</x:f>
        <x:v>0</x:v>
      </x:c>
      <x:c r="CT207" s="23" t="n">
        <x:f>MAX(0,MIN('Activities'!L207,564)-MAX('Activities'!K207,558))</x:f>
        <x:v>0</x:v>
      </x:c>
      <x:c r="CU207" s="23" t="n">
        <x:f>MAX(0,MIN('Activities'!L207,570)-MAX('Activities'!K207,564))</x:f>
        <x:v>0</x:v>
      </x:c>
      <x:c r="CV207" s="23" t="n">
        <x:f>MAX(0,MIN('Activities'!L207,576)-MAX('Activities'!K207,570))</x:f>
        <x:v>0</x:v>
      </x:c>
      <x:c r="CW207" s="23" t="n">
        <x:f>MAX(0,MIN('Activities'!L207,582)-MAX('Activities'!K207,576))</x:f>
        <x:v>0</x:v>
      </x:c>
      <x:c r="CX207" s="23" t="n">
        <x:f>MAX(0,MIN('Activities'!L207,588)-MAX('Activities'!K207,582))</x:f>
        <x:v>0</x:v>
      </x:c>
      <x:c r="CY207" s="23" t="n">
        <x:f>MAX(0,MIN('Activities'!L207,594)-MAX('Activities'!K207,588))</x:f>
        <x:v>0</x:v>
      </x:c>
      <x:c r="CZ207" s="23" t="n">
        <x:f>MAX(0,MIN('Activities'!L207,600)-MAX('Activities'!K207,594))</x:f>
        <x:v>0</x:v>
      </x:c>
      <x:c r="DA207" s="23" t="n">
        <x:f>MAX(0,MIN('Activities'!L207,606)-MAX('Activities'!K207,600))</x:f>
        <x:v>0</x:v>
      </x:c>
      <x:c r="DB207" s="23" t="n">
        <x:f>MAX(0,MIN('Activities'!L207,612)-MAX('Activities'!K207,606))</x:f>
        <x:v>0</x:v>
      </x:c>
      <x:c r="DC207" s="23" t="n">
        <x:f>MAX(0,MIN('Activities'!L207,618)-MAX('Activities'!K207,612))</x:f>
        <x:v>0</x:v>
      </x:c>
      <x:c r="DD207" s="23" t="n">
        <x:f>MAX(0,MIN('Activities'!L207,624)-MAX('Activities'!K207,618))</x:f>
        <x:v>0</x:v>
      </x:c>
      <x:c r="DE207" s="23" t="n">
        <x:f>MAX(0,MIN('Activities'!L207,630)-MAX('Activities'!K207,624))</x:f>
        <x:v>0</x:v>
      </x:c>
      <x:c r="DF207" s="23" t="n">
        <x:f>MAX(0,MIN('Activities'!L207,636)-MAX('Activities'!K207,630))</x:f>
        <x:v>0</x:v>
      </x:c>
    </x:row>
    <x:row r="208" ht="23" customHeight="1">
      <x:c r="A208" s="6" t="str">
        <x:v>T2-L00-A</x:v>
      </x:c>
      <x:c r="B208" s="6" t="str">
        <x:v>T2</x:v>
      </x:c>
      <x:c r="C208" s="6" t="str">
        <x:v>Paint and final decorations</x:v>
      </x:c>
      <x:c r="D208" s="6" t="str">
        <x:v>Finishes</x:v>
      </x:c>
      <x:c r="E208" s="22" t="n">
        <x:f>MAX(0,MIN('Activities'!L208,6)-MAX('Activities'!K208,0))</x:f>
        <x:v>0</x:v>
      </x:c>
      <x:c r="F208" s="22" t="n">
        <x:f>MAX(0,MIN('Activities'!L208,12)-MAX('Activities'!K208,6))</x:f>
        <x:v>0</x:v>
      </x:c>
      <x:c r="G208" s="22" t="n">
        <x:f>MAX(0,MIN('Activities'!L208,18)-MAX('Activities'!K208,12))</x:f>
        <x:v>0</x:v>
      </x:c>
      <x:c r="H208" s="22" t="n">
        <x:f>MAX(0,MIN('Activities'!L208,24)-MAX('Activities'!K208,18))</x:f>
        <x:v>0</x:v>
      </x:c>
      <x:c r="I208" s="22" t="n">
        <x:f>MAX(0,MIN('Activities'!L208,30)-MAX('Activities'!K208,24))</x:f>
        <x:v>0</x:v>
      </x:c>
      <x:c r="J208" s="22" t="n">
        <x:f>MAX(0,MIN('Activities'!L208,36)-MAX('Activities'!K208,30))</x:f>
        <x:v>0</x:v>
      </x:c>
      <x:c r="K208" s="22" t="n">
        <x:f>MAX(0,MIN('Activities'!L208,42)-MAX('Activities'!K208,36))</x:f>
        <x:v>0</x:v>
      </x:c>
      <x:c r="L208" s="22" t="n">
        <x:f>MAX(0,MIN('Activities'!L208,48)-MAX('Activities'!K208,42))</x:f>
        <x:v>0</x:v>
      </x:c>
      <x:c r="M208" s="22" t="n">
        <x:f>MAX(0,MIN('Activities'!L208,54)-MAX('Activities'!K208,48))</x:f>
        <x:v>0</x:v>
      </x:c>
      <x:c r="N208" s="22" t="n">
        <x:f>MAX(0,MIN('Activities'!L208,60)-MAX('Activities'!K208,54))</x:f>
        <x:v>0</x:v>
      </x:c>
      <x:c r="O208" s="22" t="n">
        <x:f>MAX(0,MIN('Activities'!L208,66)-MAX('Activities'!K208,60))</x:f>
        <x:v>0</x:v>
      </x:c>
      <x:c r="P208" s="22" t="n">
        <x:f>MAX(0,MIN('Activities'!L208,72)-MAX('Activities'!K208,66))</x:f>
        <x:v>0</x:v>
      </x:c>
      <x:c r="Q208" s="22" t="n">
        <x:f>MAX(0,MIN('Activities'!L208,78)-MAX('Activities'!K208,72))</x:f>
        <x:v>0</x:v>
      </x:c>
      <x:c r="R208" s="22" t="n">
        <x:f>MAX(0,MIN('Activities'!L208,84)-MAX('Activities'!K208,78))</x:f>
        <x:v>0</x:v>
      </x:c>
      <x:c r="S208" s="22" t="n">
        <x:f>MAX(0,MIN('Activities'!L208,90)-MAX('Activities'!K208,84))</x:f>
        <x:v>0</x:v>
      </x:c>
      <x:c r="T208" s="22" t="n">
        <x:f>MAX(0,MIN('Activities'!L208,96)-MAX('Activities'!K208,90))</x:f>
        <x:v>0</x:v>
      </x:c>
      <x:c r="U208" s="22" t="n">
        <x:f>MAX(0,MIN('Activities'!L208,102)-MAX('Activities'!K208,96))</x:f>
        <x:v>0</x:v>
      </x:c>
      <x:c r="V208" s="22" t="n">
        <x:f>MAX(0,MIN('Activities'!L208,108)-MAX('Activities'!K208,102))</x:f>
        <x:v>0</x:v>
      </x:c>
      <x:c r="W208" s="22" t="n">
        <x:f>MAX(0,MIN('Activities'!L208,114)-MAX('Activities'!K208,108))</x:f>
        <x:v>0</x:v>
      </x:c>
      <x:c r="X208" s="22" t="n">
        <x:f>MAX(0,MIN('Activities'!L208,120)-MAX('Activities'!K208,114))</x:f>
        <x:v>0</x:v>
      </x:c>
      <x:c r="Y208" s="22" t="n">
        <x:f>MAX(0,MIN('Activities'!L208,126)-MAX('Activities'!K208,120))</x:f>
        <x:v>0</x:v>
      </x:c>
      <x:c r="Z208" s="22" t="n">
        <x:f>MAX(0,MIN('Activities'!L208,132)-MAX('Activities'!K208,126))</x:f>
        <x:v>0</x:v>
      </x:c>
      <x:c r="AA208" s="22" t="n">
        <x:f>MAX(0,MIN('Activities'!L208,138)-MAX('Activities'!K208,132))</x:f>
        <x:v>0</x:v>
      </x:c>
      <x:c r="AB208" s="22" t="n">
        <x:f>MAX(0,MIN('Activities'!L208,144)-MAX('Activities'!K208,138))</x:f>
        <x:v>0</x:v>
      </x:c>
      <x:c r="AC208" s="22" t="n">
        <x:f>MAX(0,MIN('Activities'!L208,150)-MAX('Activities'!K208,144))</x:f>
        <x:v>0</x:v>
      </x:c>
      <x:c r="AD208" s="22" t="n">
        <x:f>MAX(0,MIN('Activities'!L208,156)-MAX('Activities'!K208,150))</x:f>
        <x:v>0</x:v>
      </x:c>
      <x:c r="AE208" s="22" t="n">
        <x:f>MAX(0,MIN('Activities'!L208,162)-MAX('Activities'!K208,156))</x:f>
        <x:v>0</x:v>
      </x:c>
      <x:c r="AF208" s="22" t="n">
        <x:f>MAX(0,MIN('Activities'!L208,168)-MAX('Activities'!K208,162))</x:f>
        <x:v>0</x:v>
      </x:c>
      <x:c r="AG208" s="22" t="n">
        <x:f>MAX(0,MIN('Activities'!L208,174)-MAX('Activities'!K208,168))</x:f>
        <x:v>0</x:v>
      </x:c>
      <x:c r="AH208" s="22" t="n">
        <x:f>MAX(0,MIN('Activities'!L208,180)-MAX('Activities'!K208,174))</x:f>
        <x:v>0</x:v>
      </x:c>
      <x:c r="AI208" s="22" t="n">
        <x:f>MAX(0,MIN('Activities'!L208,186)-MAX('Activities'!K208,180))</x:f>
        <x:v>0</x:v>
      </x:c>
      <x:c r="AJ208" s="22" t="n">
        <x:f>MAX(0,MIN('Activities'!L208,192)-MAX('Activities'!K208,186))</x:f>
        <x:v>0</x:v>
      </x:c>
      <x:c r="AK208" s="22" t="n">
        <x:f>MAX(0,MIN('Activities'!L208,198)-MAX('Activities'!K208,192))</x:f>
        <x:v>0</x:v>
      </x:c>
      <x:c r="AL208" s="22" t="n">
        <x:f>MAX(0,MIN('Activities'!L208,204)-MAX('Activities'!K208,198))</x:f>
        <x:v>0</x:v>
      </x:c>
      <x:c r="AM208" s="22" t="n">
        <x:f>MAX(0,MIN('Activities'!L208,210)-MAX('Activities'!K208,204))</x:f>
        <x:v>0</x:v>
      </x:c>
      <x:c r="AN208" s="22" t="n">
        <x:f>MAX(0,MIN('Activities'!L208,216)-MAX('Activities'!K208,210))</x:f>
        <x:v>0</x:v>
      </x:c>
      <x:c r="AO208" s="22" t="n">
        <x:f>MAX(0,MIN('Activities'!L208,222)-MAX('Activities'!K208,216))</x:f>
        <x:v>0</x:v>
      </x:c>
      <x:c r="AP208" s="22" t="n">
        <x:f>MAX(0,MIN('Activities'!L208,228)-MAX('Activities'!K208,222))</x:f>
        <x:v>0</x:v>
      </x:c>
      <x:c r="AQ208" s="22" t="n">
        <x:f>MAX(0,MIN('Activities'!L208,234)-MAX('Activities'!K208,228))</x:f>
        <x:v>0</x:v>
      </x:c>
      <x:c r="AR208" s="22" t="n">
        <x:f>MAX(0,MIN('Activities'!L208,240)-MAX('Activities'!K208,234))</x:f>
        <x:v>0</x:v>
      </x:c>
      <x:c r="AS208" s="22" t="n">
        <x:f>MAX(0,MIN('Activities'!L208,246)-MAX('Activities'!K208,240))</x:f>
        <x:v>0</x:v>
      </x:c>
      <x:c r="AT208" s="22" t="n">
        <x:f>MAX(0,MIN('Activities'!L208,252)-MAX('Activities'!K208,246))</x:f>
        <x:v>0</x:v>
      </x:c>
      <x:c r="AU208" s="22" t="n">
        <x:f>MAX(0,MIN('Activities'!L208,258)-MAX('Activities'!K208,252))</x:f>
        <x:v>0</x:v>
      </x:c>
      <x:c r="AV208" s="22" t="n">
        <x:f>MAX(0,MIN('Activities'!L208,264)-MAX('Activities'!K208,258))</x:f>
        <x:v>0</x:v>
      </x:c>
      <x:c r="AW208" s="22" t="n">
        <x:f>MAX(0,MIN('Activities'!L208,270)-MAX('Activities'!K208,264))</x:f>
        <x:v>0</x:v>
      </x:c>
      <x:c r="AX208" s="22" t="n">
        <x:f>MAX(0,MIN('Activities'!L208,276)-MAX('Activities'!K208,270))</x:f>
        <x:v>0</x:v>
      </x:c>
      <x:c r="AY208" s="22" t="n">
        <x:f>MAX(0,MIN('Activities'!L208,282)-MAX('Activities'!K208,276))</x:f>
        <x:v>0</x:v>
      </x:c>
      <x:c r="AZ208" s="22" t="n">
        <x:f>MAX(0,MIN('Activities'!L208,288)-MAX('Activities'!K208,282))</x:f>
        <x:v>0</x:v>
      </x:c>
      <x:c r="BA208" s="22" t="n">
        <x:f>MAX(0,MIN('Activities'!L208,294)-MAX('Activities'!K208,288))</x:f>
        <x:v>0</x:v>
      </x:c>
      <x:c r="BB208" s="22" t="n">
        <x:f>MAX(0,MIN('Activities'!L208,300)-MAX('Activities'!K208,294))</x:f>
        <x:v>0</x:v>
      </x:c>
      <x:c r="BC208" s="22" t="n">
        <x:f>MAX(0,MIN('Activities'!L208,306)-MAX('Activities'!K208,300))</x:f>
        <x:v>0</x:v>
      </x:c>
      <x:c r="BD208" s="22" t="n">
        <x:f>MAX(0,MIN('Activities'!L208,312)-MAX('Activities'!K208,306))</x:f>
        <x:v>0</x:v>
      </x:c>
      <x:c r="BE208" s="22" t="n">
        <x:f>MAX(0,MIN('Activities'!L208,318)-MAX('Activities'!K208,312))</x:f>
        <x:v>0</x:v>
      </x:c>
      <x:c r="BF208" s="22" t="n">
        <x:f>MAX(0,MIN('Activities'!L208,324)-MAX('Activities'!K208,318))</x:f>
        <x:v>0</x:v>
      </x:c>
      <x:c r="BG208" s="22" t="n">
        <x:f>MAX(0,MIN('Activities'!L208,330)-MAX('Activities'!K208,324))</x:f>
        <x:v>0</x:v>
      </x:c>
      <x:c r="BH208" s="22" t="n">
        <x:f>MAX(0,MIN('Activities'!L208,336)-MAX('Activities'!K208,330))</x:f>
        <x:v>0</x:v>
      </x:c>
      <x:c r="BI208" s="22" t="n">
        <x:f>MAX(0,MIN('Activities'!L208,342)-MAX('Activities'!K208,336))</x:f>
        <x:v>0</x:v>
      </x:c>
      <x:c r="BJ208" s="22" t="n">
        <x:f>MAX(0,MIN('Activities'!L208,348)-MAX('Activities'!K208,342))</x:f>
        <x:v>0</x:v>
      </x:c>
      <x:c r="BK208" s="22" t="n">
        <x:f>MAX(0,MIN('Activities'!L208,354)-MAX('Activities'!K208,348))</x:f>
        <x:v>0</x:v>
      </x:c>
      <x:c r="BL208" s="22" t="n">
        <x:f>MAX(0,MIN('Activities'!L208,360)-MAX('Activities'!K208,354))</x:f>
        <x:v>0</x:v>
      </x:c>
      <x:c r="BM208" s="22" t="n">
        <x:f>MAX(0,MIN('Activities'!L208,366)-MAX('Activities'!K208,360))</x:f>
        <x:v>0</x:v>
      </x:c>
      <x:c r="BN208" s="22" t="n">
        <x:f>MAX(0,MIN('Activities'!L208,372)-MAX('Activities'!K208,366))</x:f>
        <x:v>0</x:v>
      </x:c>
      <x:c r="BO208" s="22" t="n">
        <x:f>MAX(0,MIN('Activities'!L208,378)-MAX('Activities'!K208,372))</x:f>
        <x:v>0</x:v>
      </x:c>
      <x:c r="BP208" s="22" t="n">
        <x:f>MAX(0,MIN('Activities'!L208,384)-MAX('Activities'!K208,378))</x:f>
        <x:v>0</x:v>
      </x:c>
      <x:c r="BQ208" s="22" t="n">
        <x:f>MAX(0,MIN('Activities'!L208,390)-MAX('Activities'!K208,384))</x:f>
        <x:v>0</x:v>
      </x:c>
      <x:c r="BR208" s="22" t="n">
        <x:f>MAX(0,MIN('Activities'!L208,396)-MAX('Activities'!K208,390))</x:f>
        <x:v>0</x:v>
      </x:c>
      <x:c r="BS208" s="22" t="n">
        <x:f>MAX(0,MIN('Activities'!L208,402)-MAX('Activities'!K208,396))</x:f>
        <x:v>0</x:v>
      </x:c>
      <x:c r="BT208" s="22" t="n">
        <x:f>MAX(0,MIN('Activities'!L208,408)-MAX('Activities'!K208,402))</x:f>
        <x:v>0</x:v>
      </x:c>
      <x:c r="BU208" s="22" t="n">
        <x:f>MAX(0,MIN('Activities'!L208,414)-MAX('Activities'!K208,408))</x:f>
        <x:v>0</x:v>
      </x:c>
      <x:c r="BV208" s="22" t="n">
        <x:f>MAX(0,MIN('Activities'!L208,420)-MAX('Activities'!K208,414))</x:f>
        <x:v>0</x:v>
      </x:c>
      <x:c r="BW208" s="22" t="n">
        <x:f>MAX(0,MIN('Activities'!L208,426)-MAX('Activities'!K208,420))</x:f>
        <x:v>5</x:v>
      </x:c>
      <x:c r="BX208" s="22" t="n">
        <x:f>MAX(0,MIN('Activities'!L208,432)-MAX('Activities'!K208,426))</x:f>
        <x:v>0</x:v>
      </x:c>
      <x:c r="BY208" s="22" t="n">
        <x:f>MAX(0,MIN('Activities'!L208,438)-MAX('Activities'!K208,432))</x:f>
        <x:v>0</x:v>
      </x:c>
      <x:c r="BZ208" s="22" t="n">
        <x:f>MAX(0,MIN('Activities'!L208,444)-MAX('Activities'!K208,438))</x:f>
        <x:v>0</x:v>
      </x:c>
      <x:c r="CA208" s="22" t="n">
        <x:f>MAX(0,MIN('Activities'!L208,450)-MAX('Activities'!K208,444))</x:f>
        <x:v>0</x:v>
      </x:c>
      <x:c r="CB208" s="22" t="n">
        <x:f>MAX(0,MIN('Activities'!L208,456)-MAX('Activities'!K208,450))</x:f>
        <x:v>0</x:v>
      </x:c>
      <x:c r="CC208" s="22" t="n">
        <x:f>MAX(0,MIN('Activities'!L208,462)-MAX('Activities'!K208,456))</x:f>
        <x:v>0</x:v>
      </x:c>
      <x:c r="CD208" s="22" t="n">
        <x:f>MAX(0,MIN('Activities'!L208,468)-MAX('Activities'!K208,462))</x:f>
        <x:v>0</x:v>
      </x:c>
      <x:c r="CE208" s="22" t="n">
        <x:f>MAX(0,MIN('Activities'!L208,474)-MAX('Activities'!K208,468))</x:f>
        <x:v>0</x:v>
      </x:c>
      <x:c r="CF208" s="22" t="n">
        <x:f>MAX(0,MIN('Activities'!L208,480)-MAX('Activities'!K208,474))</x:f>
        <x:v>0</x:v>
      </x:c>
      <x:c r="CG208" s="22" t="n">
        <x:f>MAX(0,MIN('Activities'!L208,486)-MAX('Activities'!K208,480))</x:f>
        <x:v>0</x:v>
      </x:c>
      <x:c r="CH208" s="22" t="n">
        <x:f>MAX(0,MIN('Activities'!L208,492)-MAX('Activities'!K208,486))</x:f>
        <x:v>0</x:v>
      </x:c>
      <x:c r="CI208" s="22" t="n">
        <x:f>MAX(0,MIN('Activities'!L208,498)-MAX('Activities'!K208,492))</x:f>
        <x:v>0</x:v>
      </x:c>
      <x:c r="CJ208" s="22" t="n">
        <x:f>MAX(0,MIN('Activities'!L208,504)-MAX('Activities'!K208,498))</x:f>
        <x:v>0</x:v>
      </x:c>
      <x:c r="CK208" s="22" t="n">
        <x:f>MAX(0,MIN('Activities'!L208,510)-MAX('Activities'!K208,504))</x:f>
        <x:v>0</x:v>
      </x:c>
      <x:c r="CL208" s="22" t="n">
        <x:f>MAX(0,MIN('Activities'!L208,516)-MAX('Activities'!K208,510))</x:f>
        <x:v>0</x:v>
      </x:c>
      <x:c r="CM208" s="22" t="n">
        <x:f>MAX(0,MIN('Activities'!L208,522)-MAX('Activities'!K208,516))</x:f>
        <x:v>0</x:v>
      </x:c>
      <x:c r="CN208" s="22" t="n">
        <x:f>MAX(0,MIN('Activities'!L208,528)-MAX('Activities'!K208,522))</x:f>
        <x:v>0</x:v>
      </x:c>
      <x:c r="CO208" s="22" t="n">
        <x:f>MAX(0,MIN('Activities'!L208,534)-MAX('Activities'!K208,528))</x:f>
        <x:v>0</x:v>
      </x:c>
      <x:c r="CP208" s="22" t="n">
        <x:f>MAX(0,MIN('Activities'!L208,540)-MAX('Activities'!K208,534))</x:f>
        <x:v>0</x:v>
      </x:c>
      <x:c r="CQ208" s="22" t="n">
        <x:f>MAX(0,MIN('Activities'!L208,546)-MAX('Activities'!K208,540))</x:f>
        <x:v>0</x:v>
      </x:c>
      <x:c r="CR208" s="22" t="n">
        <x:f>MAX(0,MIN('Activities'!L208,552)-MAX('Activities'!K208,546))</x:f>
        <x:v>0</x:v>
      </x:c>
      <x:c r="CS208" s="22" t="n">
        <x:f>MAX(0,MIN('Activities'!L208,558)-MAX('Activities'!K208,552))</x:f>
        <x:v>0</x:v>
      </x:c>
      <x:c r="CT208" s="22" t="n">
        <x:f>MAX(0,MIN('Activities'!L208,564)-MAX('Activities'!K208,558))</x:f>
        <x:v>0</x:v>
      </x:c>
      <x:c r="CU208" s="22" t="n">
        <x:f>MAX(0,MIN('Activities'!L208,570)-MAX('Activities'!K208,564))</x:f>
        <x:v>0</x:v>
      </x:c>
      <x:c r="CV208" s="22" t="n">
        <x:f>MAX(0,MIN('Activities'!L208,576)-MAX('Activities'!K208,570))</x:f>
        <x:v>0</x:v>
      </x:c>
      <x:c r="CW208" s="22" t="n">
        <x:f>MAX(0,MIN('Activities'!L208,582)-MAX('Activities'!K208,576))</x:f>
        <x:v>0</x:v>
      </x:c>
      <x:c r="CX208" s="22" t="n">
        <x:f>MAX(0,MIN('Activities'!L208,588)-MAX('Activities'!K208,582))</x:f>
        <x:v>0</x:v>
      </x:c>
      <x:c r="CY208" s="22" t="n">
        <x:f>MAX(0,MIN('Activities'!L208,594)-MAX('Activities'!K208,588))</x:f>
        <x:v>0</x:v>
      </x:c>
      <x:c r="CZ208" s="22" t="n">
        <x:f>MAX(0,MIN('Activities'!L208,600)-MAX('Activities'!K208,594))</x:f>
        <x:v>0</x:v>
      </x:c>
      <x:c r="DA208" s="22" t="n">
        <x:f>MAX(0,MIN('Activities'!L208,606)-MAX('Activities'!K208,600))</x:f>
        <x:v>0</x:v>
      </x:c>
      <x:c r="DB208" s="22" t="n">
        <x:f>MAX(0,MIN('Activities'!L208,612)-MAX('Activities'!K208,606))</x:f>
        <x:v>0</x:v>
      </x:c>
      <x:c r="DC208" s="22" t="n">
        <x:f>MAX(0,MIN('Activities'!L208,618)-MAX('Activities'!K208,612))</x:f>
        <x:v>0</x:v>
      </x:c>
      <x:c r="DD208" s="22" t="n">
        <x:f>MAX(0,MIN('Activities'!L208,624)-MAX('Activities'!K208,618))</x:f>
        <x:v>0</x:v>
      </x:c>
      <x:c r="DE208" s="22" t="n">
        <x:f>MAX(0,MIN('Activities'!L208,630)-MAX('Activities'!K208,624))</x:f>
        <x:v>0</x:v>
      </x:c>
      <x:c r="DF208" s="22" t="n">
        <x:f>MAX(0,MIN('Activities'!L208,636)-MAX('Activities'!K208,630))</x:f>
        <x:v>0</x:v>
      </x:c>
    </x:row>
    <x:row r="209" ht="23" customHeight="1">
      <x:c r="A209" s="1" t="str">
        <x:v>T2-L00-D</x:v>
      </x:c>
      <x:c r="B209" s="1" t="str">
        <x:v>T2</x:v>
      </x:c>
      <x:c r="C209" s="1" t="str">
        <x:v>Door sets and ironmongery</x:v>
      </x:c>
      <x:c r="D209" s="1" t="str">
        <x:v>Finishes</x:v>
      </x:c>
      <x:c r="E209" s="23" t="n">
        <x:f>MAX(0,MIN('Activities'!L209,6)-MAX('Activities'!K209,0))</x:f>
        <x:v>0</x:v>
      </x:c>
      <x:c r="F209" s="23" t="n">
        <x:f>MAX(0,MIN('Activities'!L209,12)-MAX('Activities'!K209,6))</x:f>
        <x:v>0</x:v>
      </x:c>
      <x:c r="G209" s="23" t="n">
        <x:f>MAX(0,MIN('Activities'!L209,18)-MAX('Activities'!K209,12))</x:f>
        <x:v>0</x:v>
      </x:c>
      <x:c r="H209" s="23" t="n">
        <x:f>MAX(0,MIN('Activities'!L209,24)-MAX('Activities'!K209,18))</x:f>
        <x:v>0</x:v>
      </x:c>
      <x:c r="I209" s="23" t="n">
        <x:f>MAX(0,MIN('Activities'!L209,30)-MAX('Activities'!K209,24))</x:f>
        <x:v>0</x:v>
      </x:c>
      <x:c r="J209" s="23" t="n">
        <x:f>MAX(0,MIN('Activities'!L209,36)-MAX('Activities'!K209,30))</x:f>
        <x:v>0</x:v>
      </x:c>
      <x:c r="K209" s="23" t="n">
        <x:f>MAX(0,MIN('Activities'!L209,42)-MAX('Activities'!K209,36))</x:f>
        <x:v>0</x:v>
      </x:c>
      <x:c r="L209" s="23" t="n">
        <x:f>MAX(0,MIN('Activities'!L209,48)-MAX('Activities'!K209,42))</x:f>
        <x:v>0</x:v>
      </x:c>
      <x:c r="M209" s="23" t="n">
        <x:f>MAX(0,MIN('Activities'!L209,54)-MAX('Activities'!K209,48))</x:f>
        <x:v>0</x:v>
      </x:c>
      <x:c r="N209" s="23" t="n">
        <x:f>MAX(0,MIN('Activities'!L209,60)-MAX('Activities'!K209,54))</x:f>
        <x:v>0</x:v>
      </x:c>
      <x:c r="O209" s="23" t="n">
        <x:f>MAX(0,MIN('Activities'!L209,66)-MAX('Activities'!K209,60))</x:f>
        <x:v>0</x:v>
      </x:c>
      <x:c r="P209" s="23" t="n">
        <x:f>MAX(0,MIN('Activities'!L209,72)-MAX('Activities'!K209,66))</x:f>
        <x:v>0</x:v>
      </x:c>
      <x:c r="Q209" s="23" t="n">
        <x:f>MAX(0,MIN('Activities'!L209,78)-MAX('Activities'!K209,72))</x:f>
        <x:v>0</x:v>
      </x:c>
      <x:c r="R209" s="23" t="n">
        <x:f>MAX(0,MIN('Activities'!L209,84)-MAX('Activities'!K209,78))</x:f>
        <x:v>0</x:v>
      </x:c>
      <x:c r="S209" s="23" t="n">
        <x:f>MAX(0,MIN('Activities'!L209,90)-MAX('Activities'!K209,84))</x:f>
        <x:v>0</x:v>
      </x:c>
      <x:c r="T209" s="23" t="n">
        <x:f>MAX(0,MIN('Activities'!L209,96)-MAX('Activities'!K209,90))</x:f>
        <x:v>0</x:v>
      </x:c>
      <x:c r="U209" s="23" t="n">
        <x:f>MAX(0,MIN('Activities'!L209,102)-MAX('Activities'!K209,96))</x:f>
        <x:v>0</x:v>
      </x:c>
      <x:c r="V209" s="23" t="n">
        <x:f>MAX(0,MIN('Activities'!L209,108)-MAX('Activities'!K209,102))</x:f>
        <x:v>0</x:v>
      </x:c>
      <x:c r="W209" s="23" t="n">
        <x:f>MAX(0,MIN('Activities'!L209,114)-MAX('Activities'!K209,108))</x:f>
        <x:v>0</x:v>
      </x:c>
      <x:c r="X209" s="23" t="n">
        <x:f>MAX(0,MIN('Activities'!L209,120)-MAX('Activities'!K209,114))</x:f>
        <x:v>0</x:v>
      </x:c>
      <x:c r="Y209" s="23" t="n">
        <x:f>MAX(0,MIN('Activities'!L209,126)-MAX('Activities'!K209,120))</x:f>
        <x:v>0</x:v>
      </x:c>
      <x:c r="Z209" s="23" t="n">
        <x:f>MAX(0,MIN('Activities'!L209,132)-MAX('Activities'!K209,126))</x:f>
        <x:v>0</x:v>
      </x:c>
      <x:c r="AA209" s="23" t="n">
        <x:f>MAX(0,MIN('Activities'!L209,138)-MAX('Activities'!K209,132))</x:f>
        <x:v>0</x:v>
      </x:c>
      <x:c r="AB209" s="23" t="n">
        <x:f>MAX(0,MIN('Activities'!L209,144)-MAX('Activities'!K209,138))</x:f>
        <x:v>0</x:v>
      </x:c>
      <x:c r="AC209" s="23" t="n">
        <x:f>MAX(0,MIN('Activities'!L209,150)-MAX('Activities'!K209,144))</x:f>
        <x:v>0</x:v>
      </x:c>
      <x:c r="AD209" s="23" t="n">
        <x:f>MAX(0,MIN('Activities'!L209,156)-MAX('Activities'!K209,150))</x:f>
        <x:v>0</x:v>
      </x:c>
      <x:c r="AE209" s="23" t="n">
        <x:f>MAX(0,MIN('Activities'!L209,162)-MAX('Activities'!K209,156))</x:f>
        <x:v>0</x:v>
      </x:c>
      <x:c r="AF209" s="23" t="n">
        <x:f>MAX(0,MIN('Activities'!L209,168)-MAX('Activities'!K209,162))</x:f>
        <x:v>0</x:v>
      </x:c>
      <x:c r="AG209" s="23" t="n">
        <x:f>MAX(0,MIN('Activities'!L209,174)-MAX('Activities'!K209,168))</x:f>
        <x:v>0</x:v>
      </x:c>
      <x:c r="AH209" s="23" t="n">
        <x:f>MAX(0,MIN('Activities'!L209,180)-MAX('Activities'!K209,174))</x:f>
        <x:v>0</x:v>
      </x:c>
      <x:c r="AI209" s="23" t="n">
        <x:f>MAX(0,MIN('Activities'!L209,186)-MAX('Activities'!K209,180))</x:f>
        <x:v>0</x:v>
      </x:c>
      <x:c r="AJ209" s="23" t="n">
        <x:f>MAX(0,MIN('Activities'!L209,192)-MAX('Activities'!K209,186))</x:f>
        <x:v>0</x:v>
      </x:c>
      <x:c r="AK209" s="23" t="n">
        <x:f>MAX(0,MIN('Activities'!L209,198)-MAX('Activities'!K209,192))</x:f>
        <x:v>0</x:v>
      </x:c>
      <x:c r="AL209" s="23" t="n">
        <x:f>MAX(0,MIN('Activities'!L209,204)-MAX('Activities'!K209,198))</x:f>
        <x:v>0</x:v>
      </x:c>
      <x:c r="AM209" s="23" t="n">
        <x:f>MAX(0,MIN('Activities'!L209,210)-MAX('Activities'!K209,204))</x:f>
        <x:v>0</x:v>
      </x:c>
      <x:c r="AN209" s="23" t="n">
        <x:f>MAX(0,MIN('Activities'!L209,216)-MAX('Activities'!K209,210))</x:f>
        <x:v>0</x:v>
      </x:c>
      <x:c r="AO209" s="23" t="n">
        <x:f>MAX(0,MIN('Activities'!L209,222)-MAX('Activities'!K209,216))</x:f>
        <x:v>0</x:v>
      </x:c>
      <x:c r="AP209" s="23" t="n">
        <x:f>MAX(0,MIN('Activities'!L209,228)-MAX('Activities'!K209,222))</x:f>
        <x:v>0</x:v>
      </x:c>
      <x:c r="AQ209" s="23" t="n">
        <x:f>MAX(0,MIN('Activities'!L209,234)-MAX('Activities'!K209,228))</x:f>
        <x:v>0</x:v>
      </x:c>
      <x:c r="AR209" s="23" t="n">
        <x:f>MAX(0,MIN('Activities'!L209,240)-MAX('Activities'!K209,234))</x:f>
        <x:v>0</x:v>
      </x:c>
      <x:c r="AS209" s="23" t="n">
        <x:f>MAX(0,MIN('Activities'!L209,246)-MAX('Activities'!K209,240))</x:f>
        <x:v>0</x:v>
      </x:c>
      <x:c r="AT209" s="23" t="n">
        <x:f>MAX(0,MIN('Activities'!L209,252)-MAX('Activities'!K209,246))</x:f>
        <x:v>0</x:v>
      </x:c>
      <x:c r="AU209" s="23" t="n">
        <x:f>MAX(0,MIN('Activities'!L209,258)-MAX('Activities'!K209,252))</x:f>
        <x:v>0</x:v>
      </x:c>
      <x:c r="AV209" s="23" t="n">
        <x:f>MAX(0,MIN('Activities'!L209,264)-MAX('Activities'!K209,258))</x:f>
        <x:v>0</x:v>
      </x:c>
      <x:c r="AW209" s="23" t="n">
        <x:f>MAX(0,MIN('Activities'!L209,270)-MAX('Activities'!K209,264))</x:f>
        <x:v>0</x:v>
      </x:c>
      <x:c r="AX209" s="23" t="n">
        <x:f>MAX(0,MIN('Activities'!L209,276)-MAX('Activities'!K209,270))</x:f>
        <x:v>0</x:v>
      </x:c>
      <x:c r="AY209" s="23" t="n">
        <x:f>MAX(0,MIN('Activities'!L209,282)-MAX('Activities'!K209,276))</x:f>
        <x:v>0</x:v>
      </x:c>
      <x:c r="AZ209" s="23" t="n">
        <x:f>MAX(0,MIN('Activities'!L209,288)-MAX('Activities'!K209,282))</x:f>
        <x:v>0</x:v>
      </x:c>
      <x:c r="BA209" s="23" t="n">
        <x:f>MAX(0,MIN('Activities'!L209,294)-MAX('Activities'!K209,288))</x:f>
        <x:v>0</x:v>
      </x:c>
      <x:c r="BB209" s="23" t="n">
        <x:f>MAX(0,MIN('Activities'!L209,300)-MAX('Activities'!K209,294))</x:f>
        <x:v>0</x:v>
      </x:c>
      <x:c r="BC209" s="23" t="n">
        <x:f>MAX(0,MIN('Activities'!L209,306)-MAX('Activities'!K209,300))</x:f>
        <x:v>0</x:v>
      </x:c>
      <x:c r="BD209" s="23" t="n">
        <x:f>MAX(0,MIN('Activities'!L209,312)-MAX('Activities'!K209,306))</x:f>
        <x:v>0</x:v>
      </x:c>
      <x:c r="BE209" s="23" t="n">
        <x:f>MAX(0,MIN('Activities'!L209,318)-MAX('Activities'!K209,312))</x:f>
        <x:v>0</x:v>
      </x:c>
      <x:c r="BF209" s="23" t="n">
        <x:f>MAX(0,MIN('Activities'!L209,324)-MAX('Activities'!K209,318))</x:f>
        <x:v>0</x:v>
      </x:c>
      <x:c r="BG209" s="23" t="n">
        <x:f>MAX(0,MIN('Activities'!L209,330)-MAX('Activities'!K209,324))</x:f>
        <x:v>0</x:v>
      </x:c>
      <x:c r="BH209" s="23" t="n">
        <x:f>MAX(0,MIN('Activities'!L209,336)-MAX('Activities'!K209,330))</x:f>
        <x:v>0</x:v>
      </x:c>
      <x:c r="BI209" s="23" t="n">
        <x:f>MAX(0,MIN('Activities'!L209,342)-MAX('Activities'!K209,336))</x:f>
        <x:v>0</x:v>
      </x:c>
      <x:c r="BJ209" s="23" t="n">
        <x:f>MAX(0,MIN('Activities'!L209,348)-MAX('Activities'!K209,342))</x:f>
        <x:v>0</x:v>
      </x:c>
      <x:c r="BK209" s="23" t="n">
        <x:f>MAX(0,MIN('Activities'!L209,354)-MAX('Activities'!K209,348))</x:f>
        <x:v>0</x:v>
      </x:c>
      <x:c r="BL209" s="23" t="n">
        <x:f>MAX(0,MIN('Activities'!L209,360)-MAX('Activities'!K209,354))</x:f>
        <x:v>0</x:v>
      </x:c>
      <x:c r="BM209" s="23" t="n">
        <x:f>MAX(0,MIN('Activities'!L209,366)-MAX('Activities'!K209,360))</x:f>
        <x:v>0</x:v>
      </x:c>
      <x:c r="BN209" s="23" t="n">
        <x:f>MAX(0,MIN('Activities'!L209,372)-MAX('Activities'!K209,366))</x:f>
        <x:v>0</x:v>
      </x:c>
      <x:c r="BO209" s="23" t="n">
        <x:f>MAX(0,MIN('Activities'!L209,378)-MAX('Activities'!K209,372))</x:f>
        <x:v>0</x:v>
      </x:c>
      <x:c r="BP209" s="23" t="n">
        <x:f>MAX(0,MIN('Activities'!L209,384)-MAX('Activities'!K209,378))</x:f>
        <x:v>0</x:v>
      </x:c>
      <x:c r="BQ209" s="23" t="n">
        <x:f>MAX(0,MIN('Activities'!L209,390)-MAX('Activities'!K209,384))</x:f>
        <x:v>0</x:v>
      </x:c>
      <x:c r="BR209" s="23" t="n">
        <x:f>MAX(0,MIN('Activities'!L209,396)-MAX('Activities'!K209,390))</x:f>
        <x:v>0</x:v>
      </x:c>
      <x:c r="BS209" s="23" t="n">
        <x:f>MAX(0,MIN('Activities'!L209,402)-MAX('Activities'!K209,396))</x:f>
        <x:v>0</x:v>
      </x:c>
      <x:c r="BT209" s="23" t="n">
        <x:f>MAX(0,MIN('Activities'!L209,408)-MAX('Activities'!K209,402))</x:f>
        <x:v>0</x:v>
      </x:c>
      <x:c r="BU209" s="23" t="n">
        <x:f>MAX(0,MIN('Activities'!L209,414)-MAX('Activities'!K209,408))</x:f>
        <x:v>0</x:v>
      </x:c>
      <x:c r="BV209" s="23" t="n">
        <x:f>MAX(0,MIN('Activities'!L209,420)-MAX('Activities'!K209,414))</x:f>
        <x:v>0</x:v>
      </x:c>
      <x:c r="BW209" s="23" t="n">
        <x:f>MAX(0,MIN('Activities'!L209,426)-MAX('Activities'!K209,420))</x:f>
        <x:v>0</x:v>
      </x:c>
      <x:c r="BX209" s="23" t="n">
        <x:f>MAX(0,MIN('Activities'!L209,432)-MAX('Activities'!K209,426))</x:f>
        <x:v>3</x:v>
      </x:c>
      <x:c r="BY209" s="23" t="n">
        <x:f>MAX(0,MIN('Activities'!L209,438)-MAX('Activities'!K209,432))</x:f>
        <x:v>0</x:v>
      </x:c>
      <x:c r="BZ209" s="23" t="n">
        <x:f>MAX(0,MIN('Activities'!L209,444)-MAX('Activities'!K209,438))</x:f>
        <x:v>0</x:v>
      </x:c>
      <x:c r="CA209" s="23" t="n">
        <x:f>MAX(0,MIN('Activities'!L209,450)-MAX('Activities'!K209,444))</x:f>
        <x:v>0</x:v>
      </x:c>
      <x:c r="CB209" s="23" t="n">
        <x:f>MAX(0,MIN('Activities'!L209,456)-MAX('Activities'!K209,450))</x:f>
        <x:v>0</x:v>
      </x:c>
      <x:c r="CC209" s="23" t="n">
        <x:f>MAX(0,MIN('Activities'!L209,462)-MAX('Activities'!K209,456))</x:f>
        <x:v>0</x:v>
      </x:c>
      <x:c r="CD209" s="23" t="n">
        <x:f>MAX(0,MIN('Activities'!L209,468)-MAX('Activities'!K209,462))</x:f>
        <x:v>0</x:v>
      </x:c>
      <x:c r="CE209" s="23" t="n">
        <x:f>MAX(0,MIN('Activities'!L209,474)-MAX('Activities'!K209,468))</x:f>
        <x:v>0</x:v>
      </x:c>
      <x:c r="CF209" s="23" t="n">
        <x:f>MAX(0,MIN('Activities'!L209,480)-MAX('Activities'!K209,474))</x:f>
        <x:v>0</x:v>
      </x:c>
      <x:c r="CG209" s="23" t="n">
        <x:f>MAX(0,MIN('Activities'!L209,486)-MAX('Activities'!K209,480))</x:f>
        <x:v>0</x:v>
      </x:c>
      <x:c r="CH209" s="23" t="n">
        <x:f>MAX(0,MIN('Activities'!L209,492)-MAX('Activities'!K209,486))</x:f>
        <x:v>0</x:v>
      </x:c>
      <x:c r="CI209" s="23" t="n">
        <x:f>MAX(0,MIN('Activities'!L209,498)-MAX('Activities'!K209,492))</x:f>
        <x:v>0</x:v>
      </x:c>
      <x:c r="CJ209" s="23" t="n">
        <x:f>MAX(0,MIN('Activities'!L209,504)-MAX('Activities'!K209,498))</x:f>
        <x:v>0</x:v>
      </x:c>
      <x:c r="CK209" s="23" t="n">
        <x:f>MAX(0,MIN('Activities'!L209,510)-MAX('Activities'!K209,504))</x:f>
        <x:v>0</x:v>
      </x:c>
      <x:c r="CL209" s="23" t="n">
        <x:f>MAX(0,MIN('Activities'!L209,516)-MAX('Activities'!K209,510))</x:f>
        <x:v>0</x:v>
      </x:c>
      <x:c r="CM209" s="23" t="n">
        <x:f>MAX(0,MIN('Activities'!L209,522)-MAX('Activities'!K209,516))</x:f>
        <x:v>0</x:v>
      </x:c>
      <x:c r="CN209" s="23" t="n">
        <x:f>MAX(0,MIN('Activities'!L209,528)-MAX('Activities'!K209,522))</x:f>
        <x:v>0</x:v>
      </x:c>
      <x:c r="CO209" s="23" t="n">
        <x:f>MAX(0,MIN('Activities'!L209,534)-MAX('Activities'!K209,528))</x:f>
        <x:v>0</x:v>
      </x:c>
      <x:c r="CP209" s="23" t="n">
        <x:f>MAX(0,MIN('Activities'!L209,540)-MAX('Activities'!K209,534))</x:f>
        <x:v>0</x:v>
      </x:c>
      <x:c r="CQ209" s="23" t="n">
        <x:f>MAX(0,MIN('Activities'!L209,546)-MAX('Activities'!K209,540))</x:f>
        <x:v>0</x:v>
      </x:c>
      <x:c r="CR209" s="23" t="n">
        <x:f>MAX(0,MIN('Activities'!L209,552)-MAX('Activities'!K209,546))</x:f>
        <x:v>0</x:v>
      </x:c>
      <x:c r="CS209" s="23" t="n">
        <x:f>MAX(0,MIN('Activities'!L209,558)-MAX('Activities'!K209,552))</x:f>
        <x:v>0</x:v>
      </x:c>
      <x:c r="CT209" s="23" t="n">
        <x:f>MAX(0,MIN('Activities'!L209,564)-MAX('Activities'!K209,558))</x:f>
        <x:v>0</x:v>
      </x:c>
      <x:c r="CU209" s="23" t="n">
        <x:f>MAX(0,MIN('Activities'!L209,570)-MAX('Activities'!K209,564))</x:f>
        <x:v>0</x:v>
      </x:c>
      <x:c r="CV209" s="23" t="n">
        <x:f>MAX(0,MIN('Activities'!L209,576)-MAX('Activities'!K209,570))</x:f>
        <x:v>0</x:v>
      </x:c>
      <x:c r="CW209" s="23" t="n">
        <x:f>MAX(0,MIN('Activities'!L209,582)-MAX('Activities'!K209,576))</x:f>
        <x:v>0</x:v>
      </x:c>
      <x:c r="CX209" s="23" t="n">
        <x:f>MAX(0,MIN('Activities'!L209,588)-MAX('Activities'!K209,582))</x:f>
        <x:v>0</x:v>
      </x:c>
      <x:c r="CY209" s="23" t="n">
        <x:f>MAX(0,MIN('Activities'!L209,594)-MAX('Activities'!K209,588))</x:f>
        <x:v>0</x:v>
      </x:c>
      <x:c r="CZ209" s="23" t="n">
        <x:f>MAX(0,MIN('Activities'!L209,600)-MAX('Activities'!K209,594))</x:f>
        <x:v>0</x:v>
      </x:c>
      <x:c r="DA209" s="23" t="n">
        <x:f>MAX(0,MIN('Activities'!L209,606)-MAX('Activities'!K209,600))</x:f>
        <x:v>0</x:v>
      </x:c>
      <x:c r="DB209" s="23" t="n">
        <x:f>MAX(0,MIN('Activities'!L209,612)-MAX('Activities'!K209,606))</x:f>
        <x:v>0</x:v>
      </x:c>
      <x:c r="DC209" s="23" t="n">
        <x:f>MAX(0,MIN('Activities'!L209,618)-MAX('Activities'!K209,612))</x:f>
        <x:v>0</x:v>
      </x:c>
      <x:c r="DD209" s="23" t="n">
        <x:f>MAX(0,MIN('Activities'!L209,624)-MAX('Activities'!K209,618))</x:f>
        <x:v>0</x:v>
      </x:c>
      <x:c r="DE209" s="23" t="n">
        <x:f>MAX(0,MIN('Activities'!L209,630)-MAX('Activities'!K209,624))</x:f>
        <x:v>0</x:v>
      </x:c>
      <x:c r="DF209" s="23" t="n">
        <x:f>MAX(0,MIN('Activities'!L209,636)-MAX('Activities'!K209,630))</x:f>
        <x:v>0</x:v>
      </x:c>
    </x:row>
    <x:row r="210" ht="23" customHeight="1">
      <x:c r="A210" s="6" t="str">
        <x:v>T2-L01-M</x:v>
      </x:c>
      <x:c r="B210" s="6" t="str">
        <x:v>T2</x:v>
      </x:c>
      <x:c r="C210" s="6" t="str">
        <x:v>Partition masonry</x:v>
      </x:c>
      <x:c r="D210" s="6" t="str">
        <x:v>Masonry</x:v>
      </x:c>
      <x:c r="E210" s="22" t="n">
        <x:f>MAX(0,MIN('Activities'!L210,6)-MAX('Activities'!K210,0))</x:f>
        <x:v>0</x:v>
      </x:c>
      <x:c r="F210" s="22" t="n">
        <x:f>MAX(0,MIN('Activities'!L210,12)-MAX('Activities'!K210,6))</x:f>
        <x:v>0</x:v>
      </x:c>
      <x:c r="G210" s="22" t="n">
        <x:f>MAX(0,MIN('Activities'!L210,18)-MAX('Activities'!K210,12))</x:f>
        <x:v>0</x:v>
      </x:c>
      <x:c r="H210" s="22" t="n">
        <x:f>MAX(0,MIN('Activities'!L210,24)-MAX('Activities'!K210,18))</x:f>
        <x:v>0</x:v>
      </x:c>
      <x:c r="I210" s="22" t="n">
        <x:f>MAX(0,MIN('Activities'!L210,30)-MAX('Activities'!K210,24))</x:f>
        <x:v>0</x:v>
      </x:c>
      <x:c r="J210" s="22" t="n">
        <x:f>MAX(0,MIN('Activities'!L210,36)-MAX('Activities'!K210,30))</x:f>
        <x:v>0</x:v>
      </x:c>
      <x:c r="K210" s="22" t="n">
        <x:f>MAX(0,MIN('Activities'!L210,42)-MAX('Activities'!K210,36))</x:f>
        <x:v>0</x:v>
      </x:c>
      <x:c r="L210" s="22" t="n">
        <x:f>MAX(0,MIN('Activities'!L210,48)-MAX('Activities'!K210,42))</x:f>
        <x:v>0</x:v>
      </x:c>
      <x:c r="M210" s="22" t="n">
        <x:f>MAX(0,MIN('Activities'!L210,54)-MAX('Activities'!K210,48))</x:f>
        <x:v>0</x:v>
      </x:c>
      <x:c r="N210" s="22" t="n">
        <x:f>MAX(0,MIN('Activities'!L210,60)-MAX('Activities'!K210,54))</x:f>
        <x:v>0</x:v>
      </x:c>
      <x:c r="O210" s="22" t="n">
        <x:f>MAX(0,MIN('Activities'!L210,66)-MAX('Activities'!K210,60))</x:f>
        <x:v>0</x:v>
      </x:c>
      <x:c r="P210" s="22" t="n">
        <x:f>MAX(0,MIN('Activities'!L210,72)-MAX('Activities'!K210,66))</x:f>
        <x:v>0</x:v>
      </x:c>
      <x:c r="Q210" s="22" t="n">
        <x:f>MAX(0,MIN('Activities'!L210,78)-MAX('Activities'!K210,72))</x:f>
        <x:v>0</x:v>
      </x:c>
      <x:c r="R210" s="22" t="n">
        <x:f>MAX(0,MIN('Activities'!L210,84)-MAX('Activities'!K210,78))</x:f>
        <x:v>0</x:v>
      </x:c>
      <x:c r="S210" s="22" t="n">
        <x:f>MAX(0,MIN('Activities'!L210,90)-MAX('Activities'!K210,84))</x:f>
        <x:v>0</x:v>
      </x:c>
      <x:c r="T210" s="22" t="n">
        <x:f>MAX(0,MIN('Activities'!L210,96)-MAX('Activities'!K210,90))</x:f>
        <x:v>0</x:v>
      </x:c>
      <x:c r="U210" s="22" t="n">
        <x:f>MAX(0,MIN('Activities'!L210,102)-MAX('Activities'!K210,96))</x:f>
        <x:v>0</x:v>
      </x:c>
      <x:c r="V210" s="22" t="n">
        <x:f>MAX(0,MIN('Activities'!L210,108)-MAX('Activities'!K210,102))</x:f>
        <x:v>0</x:v>
      </x:c>
      <x:c r="W210" s="22" t="n">
        <x:f>MAX(0,MIN('Activities'!L210,114)-MAX('Activities'!K210,108))</x:f>
        <x:v>0</x:v>
      </x:c>
      <x:c r="X210" s="22" t="n">
        <x:f>MAX(0,MIN('Activities'!L210,120)-MAX('Activities'!K210,114))</x:f>
        <x:v>0</x:v>
      </x:c>
      <x:c r="Y210" s="22" t="n">
        <x:f>MAX(0,MIN('Activities'!L210,126)-MAX('Activities'!K210,120))</x:f>
        <x:v>0</x:v>
      </x:c>
      <x:c r="Z210" s="22" t="n">
        <x:f>MAX(0,MIN('Activities'!L210,132)-MAX('Activities'!K210,126))</x:f>
        <x:v>0</x:v>
      </x:c>
      <x:c r="AA210" s="22" t="n">
        <x:f>MAX(0,MIN('Activities'!L210,138)-MAX('Activities'!K210,132))</x:f>
        <x:v>0</x:v>
      </x:c>
      <x:c r="AB210" s="22" t="n">
        <x:f>MAX(0,MIN('Activities'!L210,144)-MAX('Activities'!K210,138))</x:f>
        <x:v>0</x:v>
      </x:c>
      <x:c r="AC210" s="22" t="n">
        <x:f>MAX(0,MIN('Activities'!L210,150)-MAX('Activities'!K210,144))</x:f>
        <x:v>0</x:v>
      </x:c>
      <x:c r="AD210" s="22" t="n">
        <x:f>MAX(0,MIN('Activities'!L210,156)-MAX('Activities'!K210,150))</x:f>
        <x:v>0</x:v>
      </x:c>
      <x:c r="AE210" s="22" t="n">
        <x:f>MAX(0,MIN('Activities'!L210,162)-MAX('Activities'!K210,156))</x:f>
        <x:v>0</x:v>
      </x:c>
      <x:c r="AF210" s="22" t="n">
        <x:f>MAX(0,MIN('Activities'!L210,168)-MAX('Activities'!K210,162))</x:f>
        <x:v>0</x:v>
      </x:c>
      <x:c r="AG210" s="22" t="n">
        <x:f>MAX(0,MIN('Activities'!L210,174)-MAX('Activities'!K210,168))</x:f>
        <x:v>0</x:v>
      </x:c>
      <x:c r="AH210" s="22" t="n">
        <x:f>MAX(0,MIN('Activities'!L210,180)-MAX('Activities'!K210,174))</x:f>
        <x:v>0</x:v>
      </x:c>
      <x:c r="AI210" s="22" t="n">
        <x:f>MAX(0,MIN('Activities'!L210,186)-MAX('Activities'!K210,180))</x:f>
        <x:v>0</x:v>
      </x:c>
      <x:c r="AJ210" s="22" t="n">
        <x:f>MAX(0,MIN('Activities'!L210,192)-MAX('Activities'!K210,186))</x:f>
        <x:v>0</x:v>
      </x:c>
      <x:c r="AK210" s="22" t="n">
        <x:f>MAX(0,MIN('Activities'!L210,198)-MAX('Activities'!K210,192))</x:f>
        <x:v>0</x:v>
      </x:c>
      <x:c r="AL210" s="22" t="n">
        <x:f>MAX(0,MIN('Activities'!L210,204)-MAX('Activities'!K210,198))</x:f>
        <x:v>0</x:v>
      </x:c>
      <x:c r="AM210" s="22" t="n">
        <x:f>MAX(0,MIN('Activities'!L210,210)-MAX('Activities'!K210,204))</x:f>
        <x:v>0</x:v>
      </x:c>
      <x:c r="AN210" s="22" t="n">
        <x:f>MAX(0,MIN('Activities'!L210,216)-MAX('Activities'!K210,210))</x:f>
        <x:v>0</x:v>
      </x:c>
      <x:c r="AO210" s="22" t="n">
        <x:f>MAX(0,MIN('Activities'!L210,222)-MAX('Activities'!K210,216))</x:f>
        <x:v>0</x:v>
      </x:c>
      <x:c r="AP210" s="22" t="n">
        <x:f>MAX(0,MIN('Activities'!L210,228)-MAX('Activities'!K210,222))</x:f>
        <x:v>0</x:v>
      </x:c>
      <x:c r="AQ210" s="22" t="n">
        <x:f>MAX(0,MIN('Activities'!L210,234)-MAX('Activities'!K210,228))</x:f>
        <x:v>0</x:v>
      </x:c>
      <x:c r="AR210" s="22" t="n">
        <x:f>MAX(0,MIN('Activities'!L210,240)-MAX('Activities'!K210,234))</x:f>
        <x:v>0</x:v>
      </x:c>
      <x:c r="AS210" s="22" t="n">
        <x:f>MAX(0,MIN('Activities'!L210,246)-MAX('Activities'!K210,240))</x:f>
        <x:v>5</x:v>
      </x:c>
      <x:c r="AT210" s="22" t="n">
        <x:f>MAX(0,MIN('Activities'!L210,252)-MAX('Activities'!K210,246))</x:f>
        <x:v>0</x:v>
      </x:c>
      <x:c r="AU210" s="22" t="n">
        <x:f>MAX(0,MIN('Activities'!L210,258)-MAX('Activities'!K210,252))</x:f>
        <x:v>0</x:v>
      </x:c>
      <x:c r="AV210" s="22" t="n">
        <x:f>MAX(0,MIN('Activities'!L210,264)-MAX('Activities'!K210,258))</x:f>
        <x:v>0</x:v>
      </x:c>
      <x:c r="AW210" s="22" t="n">
        <x:f>MAX(0,MIN('Activities'!L210,270)-MAX('Activities'!K210,264))</x:f>
        <x:v>0</x:v>
      </x:c>
      <x:c r="AX210" s="22" t="n">
        <x:f>MAX(0,MIN('Activities'!L210,276)-MAX('Activities'!K210,270))</x:f>
        <x:v>0</x:v>
      </x:c>
      <x:c r="AY210" s="22" t="n">
        <x:f>MAX(0,MIN('Activities'!L210,282)-MAX('Activities'!K210,276))</x:f>
        <x:v>0</x:v>
      </x:c>
      <x:c r="AZ210" s="22" t="n">
        <x:f>MAX(0,MIN('Activities'!L210,288)-MAX('Activities'!K210,282))</x:f>
        <x:v>0</x:v>
      </x:c>
      <x:c r="BA210" s="22" t="n">
        <x:f>MAX(0,MIN('Activities'!L210,294)-MAX('Activities'!K210,288))</x:f>
        <x:v>0</x:v>
      </x:c>
      <x:c r="BB210" s="22" t="n">
        <x:f>MAX(0,MIN('Activities'!L210,300)-MAX('Activities'!K210,294))</x:f>
        <x:v>0</x:v>
      </x:c>
      <x:c r="BC210" s="22" t="n">
        <x:f>MAX(0,MIN('Activities'!L210,306)-MAX('Activities'!K210,300))</x:f>
        <x:v>0</x:v>
      </x:c>
      <x:c r="BD210" s="22" t="n">
        <x:f>MAX(0,MIN('Activities'!L210,312)-MAX('Activities'!K210,306))</x:f>
        <x:v>0</x:v>
      </x:c>
      <x:c r="BE210" s="22" t="n">
        <x:f>MAX(0,MIN('Activities'!L210,318)-MAX('Activities'!K210,312))</x:f>
        <x:v>0</x:v>
      </x:c>
      <x:c r="BF210" s="22" t="n">
        <x:f>MAX(0,MIN('Activities'!L210,324)-MAX('Activities'!K210,318))</x:f>
        <x:v>0</x:v>
      </x:c>
      <x:c r="BG210" s="22" t="n">
        <x:f>MAX(0,MIN('Activities'!L210,330)-MAX('Activities'!K210,324))</x:f>
        <x:v>0</x:v>
      </x:c>
      <x:c r="BH210" s="22" t="n">
        <x:f>MAX(0,MIN('Activities'!L210,336)-MAX('Activities'!K210,330))</x:f>
        <x:v>0</x:v>
      </x:c>
      <x:c r="BI210" s="22" t="n">
        <x:f>MAX(0,MIN('Activities'!L210,342)-MAX('Activities'!K210,336))</x:f>
        <x:v>0</x:v>
      </x:c>
      <x:c r="BJ210" s="22" t="n">
        <x:f>MAX(0,MIN('Activities'!L210,348)-MAX('Activities'!K210,342))</x:f>
        <x:v>0</x:v>
      </x:c>
      <x:c r="BK210" s="22" t="n">
        <x:f>MAX(0,MIN('Activities'!L210,354)-MAX('Activities'!K210,348))</x:f>
        <x:v>0</x:v>
      </x:c>
      <x:c r="BL210" s="22" t="n">
        <x:f>MAX(0,MIN('Activities'!L210,360)-MAX('Activities'!K210,354))</x:f>
        <x:v>0</x:v>
      </x:c>
      <x:c r="BM210" s="22" t="n">
        <x:f>MAX(0,MIN('Activities'!L210,366)-MAX('Activities'!K210,360))</x:f>
        <x:v>0</x:v>
      </x:c>
      <x:c r="BN210" s="22" t="n">
        <x:f>MAX(0,MIN('Activities'!L210,372)-MAX('Activities'!K210,366))</x:f>
        <x:v>0</x:v>
      </x:c>
      <x:c r="BO210" s="22" t="n">
        <x:f>MAX(0,MIN('Activities'!L210,378)-MAX('Activities'!K210,372))</x:f>
        <x:v>0</x:v>
      </x:c>
      <x:c r="BP210" s="22" t="n">
        <x:f>MAX(0,MIN('Activities'!L210,384)-MAX('Activities'!K210,378))</x:f>
        <x:v>0</x:v>
      </x:c>
      <x:c r="BQ210" s="22" t="n">
        <x:f>MAX(0,MIN('Activities'!L210,390)-MAX('Activities'!K210,384))</x:f>
        <x:v>0</x:v>
      </x:c>
      <x:c r="BR210" s="22" t="n">
        <x:f>MAX(0,MIN('Activities'!L210,396)-MAX('Activities'!K210,390))</x:f>
        <x:v>0</x:v>
      </x:c>
      <x:c r="BS210" s="22" t="n">
        <x:f>MAX(0,MIN('Activities'!L210,402)-MAX('Activities'!K210,396))</x:f>
        <x:v>0</x:v>
      </x:c>
      <x:c r="BT210" s="22" t="n">
        <x:f>MAX(0,MIN('Activities'!L210,408)-MAX('Activities'!K210,402))</x:f>
        <x:v>0</x:v>
      </x:c>
      <x:c r="BU210" s="22" t="n">
        <x:f>MAX(0,MIN('Activities'!L210,414)-MAX('Activities'!K210,408))</x:f>
        <x:v>0</x:v>
      </x:c>
      <x:c r="BV210" s="22" t="n">
        <x:f>MAX(0,MIN('Activities'!L210,420)-MAX('Activities'!K210,414))</x:f>
        <x:v>0</x:v>
      </x:c>
      <x:c r="BW210" s="22" t="n">
        <x:f>MAX(0,MIN('Activities'!L210,426)-MAX('Activities'!K210,420))</x:f>
        <x:v>0</x:v>
      </x:c>
      <x:c r="BX210" s="22" t="n">
        <x:f>MAX(0,MIN('Activities'!L210,432)-MAX('Activities'!K210,426))</x:f>
        <x:v>0</x:v>
      </x:c>
      <x:c r="BY210" s="22" t="n">
        <x:f>MAX(0,MIN('Activities'!L210,438)-MAX('Activities'!K210,432))</x:f>
        <x:v>0</x:v>
      </x:c>
      <x:c r="BZ210" s="22" t="n">
        <x:f>MAX(0,MIN('Activities'!L210,444)-MAX('Activities'!K210,438))</x:f>
        <x:v>0</x:v>
      </x:c>
      <x:c r="CA210" s="22" t="n">
        <x:f>MAX(0,MIN('Activities'!L210,450)-MAX('Activities'!K210,444))</x:f>
        <x:v>0</x:v>
      </x:c>
      <x:c r="CB210" s="22" t="n">
        <x:f>MAX(0,MIN('Activities'!L210,456)-MAX('Activities'!K210,450))</x:f>
        <x:v>0</x:v>
      </x:c>
      <x:c r="CC210" s="22" t="n">
        <x:f>MAX(0,MIN('Activities'!L210,462)-MAX('Activities'!K210,456))</x:f>
        <x:v>0</x:v>
      </x:c>
      <x:c r="CD210" s="22" t="n">
        <x:f>MAX(0,MIN('Activities'!L210,468)-MAX('Activities'!K210,462))</x:f>
        <x:v>0</x:v>
      </x:c>
      <x:c r="CE210" s="22" t="n">
        <x:f>MAX(0,MIN('Activities'!L210,474)-MAX('Activities'!K210,468))</x:f>
        <x:v>0</x:v>
      </x:c>
      <x:c r="CF210" s="22" t="n">
        <x:f>MAX(0,MIN('Activities'!L210,480)-MAX('Activities'!K210,474))</x:f>
        <x:v>0</x:v>
      </x:c>
      <x:c r="CG210" s="22" t="n">
        <x:f>MAX(0,MIN('Activities'!L210,486)-MAX('Activities'!K210,480))</x:f>
        <x:v>0</x:v>
      </x:c>
      <x:c r="CH210" s="22" t="n">
        <x:f>MAX(0,MIN('Activities'!L210,492)-MAX('Activities'!K210,486))</x:f>
        <x:v>0</x:v>
      </x:c>
      <x:c r="CI210" s="22" t="n">
        <x:f>MAX(0,MIN('Activities'!L210,498)-MAX('Activities'!K210,492))</x:f>
        <x:v>0</x:v>
      </x:c>
      <x:c r="CJ210" s="22" t="n">
        <x:f>MAX(0,MIN('Activities'!L210,504)-MAX('Activities'!K210,498))</x:f>
        <x:v>0</x:v>
      </x:c>
      <x:c r="CK210" s="22" t="n">
        <x:f>MAX(0,MIN('Activities'!L210,510)-MAX('Activities'!K210,504))</x:f>
        <x:v>0</x:v>
      </x:c>
      <x:c r="CL210" s="22" t="n">
        <x:f>MAX(0,MIN('Activities'!L210,516)-MAX('Activities'!K210,510))</x:f>
        <x:v>0</x:v>
      </x:c>
      <x:c r="CM210" s="22" t="n">
        <x:f>MAX(0,MIN('Activities'!L210,522)-MAX('Activities'!K210,516))</x:f>
        <x:v>0</x:v>
      </x:c>
      <x:c r="CN210" s="22" t="n">
        <x:f>MAX(0,MIN('Activities'!L210,528)-MAX('Activities'!K210,522))</x:f>
        <x:v>0</x:v>
      </x:c>
      <x:c r="CO210" s="22" t="n">
        <x:f>MAX(0,MIN('Activities'!L210,534)-MAX('Activities'!K210,528))</x:f>
        <x:v>0</x:v>
      </x:c>
      <x:c r="CP210" s="22" t="n">
        <x:f>MAX(0,MIN('Activities'!L210,540)-MAX('Activities'!K210,534))</x:f>
        <x:v>0</x:v>
      </x:c>
      <x:c r="CQ210" s="22" t="n">
        <x:f>MAX(0,MIN('Activities'!L210,546)-MAX('Activities'!K210,540))</x:f>
        <x:v>0</x:v>
      </x:c>
      <x:c r="CR210" s="22" t="n">
        <x:f>MAX(0,MIN('Activities'!L210,552)-MAX('Activities'!K210,546))</x:f>
        <x:v>0</x:v>
      </x:c>
      <x:c r="CS210" s="22" t="n">
        <x:f>MAX(0,MIN('Activities'!L210,558)-MAX('Activities'!K210,552))</x:f>
        <x:v>0</x:v>
      </x:c>
      <x:c r="CT210" s="22" t="n">
        <x:f>MAX(0,MIN('Activities'!L210,564)-MAX('Activities'!K210,558))</x:f>
        <x:v>0</x:v>
      </x:c>
      <x:c r="CU210" s="22" t="n">
        <x:f>MAX(0,MIN('Activities'!L210,570)-MAX('Activities'!K210,564))</x:f>
        <x:v>0</x:v>
      </x:c>
      <x:c r="CV210" s="22" t="n">
        <x:f>MAX(0,MIN('Activities'!L210,576)-MAX('Activities'!K210,570))</x:f>
        <x:v>0</x:v>
      </x:c>
      <x:c r="CW210" s="22" t="n">
        <x:f>MAX(0,MIN('Activities'!L210,582)-MAX('Activities'!K210,576))</x:f>
        <x:v>0</x:v>
      </x:c>
      <x:c r="CX210" s="22" t="n">
        <x:f>MAX(0,MIN('Activities'!L210,588)-MAX('Activities'!K210,582))</x:f>
        <x:v>0</x:v>
      </x:c>
      <x:c r="CY210" s="22" t="n">
        <x:f>MAX(0,MIN('Activities'!L210,594)-MAX('Activities'!K210,588))</x:f>
        <x:v>0</x:v>
      </x:c>
      <x:c r="CZ210" s="22" t="n">
        <x:f>MAX(0,MIN('Activities'!L210,600)-MAX('Activities'!K210,594))</x:f>
        <x:v>0</x:v>
      </x:c>
      <x:c r="DA210" s="22" t="n">
        <x:f>MAX(0,MIN('Activities'!L210,606)-MAX('Activities'!K210,600))</x:f>
        <x:v>0</x:v>
      </x:c>
      <x:c r="DB210" s="22" t="n">
        <x:f>MAX(0,MIN('Activities'!L210,612)-MAX('Activities'!K210,606))</x:f>
        <x:v>0</x:v>
      </x:c>
      <x:c r="DC210" s="22" t="n">
        <x:f>MAX(0,MIN('Activities'!L210,618)-MAX('Activities'!K210,612))</x:f>
        <x:v>0</x:v>
      </x:c>
      <x:c r="DD210" s="22" t="n">
        <x:f>MAX(0,MIN('Activities'!L210,624)-MAX('Activities'!K210,618))</x:f>
        <x:v>0</x:v>
      </x:c>
      <x:c r="DE210" s="22" t="n">
        <x:f>MAX(0,MIN('Activities'!L210,630)-MAX('Activities'!K210,624))</x:f>
        <x:v>0</x:v>
      </x:c>
      <x:c r="DF210" s="22" t="n">
        <x:f>MAX(0,MIN('Activities'!L210,636)-MAX('Activities'!K210,630))</x:f>
        <x:v>0</x:v>
      </x:c>
    </x:row>
    <x:row r="211" ht="23" customHeight="1">
      <x:c r="A211" s="1" t="str">
        <x:v>T2-L01-P</x:v>
      </x:c>
      <x:c r="B211" s="1" t="str">
        <x:v>T2</x:v>
      </x:c>
      <x:c r="C211" s="1" t="str">
        <x:v>Internal plaster</x:v>
      </x:c>
      <x:c r="D211" s="1" t="str">
        <x:v>Finishes</x:v>
      </x:c>
      <x:c r="E211" s="23" t="n">
        <x:f>MAX(0,MIN('Activities'!L211,6)-MAX('Activities'!K211,0))</x:f>
        <x:v>0</x:v>
      </x:c>
      <x:c r="F211" s="23" t="n">
        <x:f>MAX(0,MIN('Activities'!L211,12)-MAX('Activities'!K211,6))</x:f>
        <x:v>0</x:v>
      </x:c>
      <x:c r="G211" s="23" t="n">
        <x:f>MAX(0,MIN('Activities'!L211,18)-MAX('Activities'!K211,12))</x:f>
        <x:v>0</x:v>
      </x:c>
      <x:c r="H211" s="23" t="n">
        <x:f>MAX(0,MIN('Activities'!L211,24)-MAX('Activities'!K211,18))</x:f>
        <x:v>0</x:v>
      </x:c>
      <x:c r="I211" s="23" t="n">
        <x:f>MAX(0,MIN('Activities'!L211,30)-MAX('Activities'!K211,24))</x:f>
        <x:v>0</x:v>
      </x:c>
      <x:c r="J211" s="23" t="n">
        <x:f>MAX(0,MIN('Activities'!L211,36)-MAX('Activities'!K211,30))</x:f>
        <x:v>0</x:v>
      </x:c>
      <x:c r="K211" s="23" t="n">
        <x:f>MAX(0,MIN('Activities'!L211,42)-MAX('Activities'!K211,36))</x:f>
        <x:v>0</x:v>
      </x:c>
      <x:c r="L211" s="23" t="n">
        <x:f>MAX(0,MIN('Activities'!L211,48)-MAX('Activities'!K211,42))</x:f>
        <x:v>0</x:v>
      </x:c>
      <x:c r="M211" s="23" t="n">
        <x:f>MAX(0,MIN('Activities'!L211,54)-MAX('Activities'!K211,48))</x:f>
        <x:v>0</x:v>
      </x:c>
      <x:c r="N211" s="23" t="n">
        <x:f>MAX(0,MIN('Activities'!L211,60)-MAX('Activities'!K211,54))</x:f>
        <x:v>0</x:v>
      </x:c>
      <x:c r="O211" s="23" t="n">
        <x:f>MAX(0,MIN('Activities'!L211,66)-MAX('Activities'!K211,60))</x:f>
        <x:v>0</x:v>
      </x:c>
      <x:c r="P211" s="23" t="n">
        <x:f>MAX(0,MIN('Activities'!L211,72)-MAX('Activities'!K211,66))</x:f>
        <x:v>0</x:v>
      </x:c>
      <x:c r="Q211" s="23" t="n">
        <x:f>MAX(0,MIN('Activities'!L211,78)-MAX('Activities'!K211,72))</x:f>
        <x:v>0</x:v>
      </x:c>
      <x:c r="R211" s="23" t="n">
        <x:f>MAX(0,MIN('Activities'!L211,84)-MAX('Activities'!K211,78))</x:f>
        <x:v>0</x:v>
      </x:c>
      <x:c r="S211" s="23" t="n">
        <x:f>MAX(0,MIN('Activities'!L211,90)-MAX('Activities'!K211,84))</x:f>
        <x:v>0</x:v>
      </x:c>
      <x:c r="T211" s="23" t="n">
        <x:f>MAX(0,MIN('Activities'!L211,96)-MAX('Activities'!K211,90))</x:f>
        <x:v>0</x:v>
      </x:c>
      <x:c r="U211" s="23" t="n">
        <x:f>MAX(0,MIN('Activities'!L211,102)-MAX('Activities'!K211,96))</x:f>
        <x:v>0</x:v>
      </x:c>
      <x:c r="V211" s="23" t="n">
        <x:f>MAX(0,MIN('Activities'!L211,108)-MAX('Activities'!K211,102))</x:f>
        <x:v>0</x:v>
      </x:c>
      <x:c r="W211" s="23" t="n">
        <x:f>MAX(0,MIN('Activities'!L211,114)-MAX('Activities'!K211,108))</x:f>
        <x:v>0</x:v>
      </x:c>
      <x:c r="X211" s="23" t="n">
        <x:f>MAX(0,MIN('Activities'!L211,120)-MAX('Activities'!K211,114))</x:f>
        <x:v>0</x:v>
      </x:c>
      <x:c r="Y211" s="23" t="n">
        <x:f>MAX(0,MIN('Activities'!L211,126)-MAX('Activities'!K211,120))</x:f>
        <x:v>0</x:v>
      </x:c>
      <x:c r="Z211" s="23" t="n">
        <x:f>MAX(0,MIN('Activities'!L211,132)-MAX('Activities'!K211,126))</x:f>
        <x:v>0</x:v>
      </x:c>
      <x:c r="AA211" s="23" t="n">
        <x:f>MAX(0,MIN('Activities'!L211,138)-MAX('Activities'!K211,132))</x:f>
        <x:v>0</x:v>
      </x:c>
      <x:c r="AB211" s="23" t="n">
        <x:f>MAX(0,MIN('Activities'!L211,144)-MAX('Activities'!K211,138))</x:f>
        <x:v>0</x:v>
      </x:c>
      <x:c r="AC211" s="23" t="n">
        <x:f>MAX(0,MIN('Activities'!L211,150)-MAX('Activities'!K211,144))</x:f>
        <x:v>0</x:v>
      </x:c>
      <x:c r="AD211" s="23" t="n">
        <x:f>MAX(0,MIN('Activities'!L211,156)-MAX('Activities'!K211,150))</x:f>
        <x:v>0</x:v>
      </x:c>
      <x:c r="AE211" s="23" t="n">
        <x:f>MAX(0,MIN('Activities'!L211,162)-MAX('Activities'!K211,156))</x:f>
        <x:v>0</x:v>
      </x:c>
      <x:c r="AF211" s="23" t="n">
        <x:f>MAX(0,MIN('Activities'!L211,168)-MAX('Activities'!K211,162))</x:f>
        <x:v>0</x:v>
      </x:c>
      <x:c r="AG211" s="23" t="n">
        <x:f>MAX(0,MIN('Activities'!L211,174)-MAX('Activities'!K211,168))</x:f>
        <x:v>0</x:v>
      </x:c>
      <x:c r="AH211" s="23" t="n">
        <x:f>MAX(0,MIN('Activities'!L211,180)-MAX('Activities'!K211,174))</x:f>
        <x:v>0</x:v>
      </x:c>
      <x:c r="AI211" s="23" t="n">
        <x:f>MAX(0,MIN('Activities'!L211,186)-MAX('Activities'!K211,180))</x:f>
        <x:v>0</x:v>
      </x:c>
      <x:c r="AJ211" s="23" t="n">
        <x:f>MAX(0,MIN('Activities'!L211,192)-MAX('Activities'!K211,186))</x:f>
        <x:v>0</x:v>
      </x:c>
      <x:c r="AK211" s="23" t="n">
        <x:f>MAX(0,MIN('Activities'!L211,198)-MAX('Activities'!K211,192))</x:f>
        <x:v>0</x:v>
      </x:c>
      <x:c r="AL211" s="23" t="n">
        <x:f>MAX(0,MIN('Activities'!L211,204)-MAX('Activities'!K211,198))</x:f>
        <x:v>0</x:v>
      </x:c>
      <x:c r="AM211" s="23" t="n">
        <x:f>MAX(0,MIN('Activities'!L211,210)-MAX('Activities'!K211,204))</x:f>
        <x:v>0</x:v>
      </x:c>
      <x:c r="AN211" s="23" t="n">
        <x:f>MAX(0,MIN('Activities'!L211,216)-MAX('Activities'!K211,210))</x:f>
        <x:v>0</x:v>
      </x:c>
      <x:c r="AO211" s="23" t="n">
        <x:f>MAX(0,MIN('Activities'!L211,222)-MAX('Activities'!K211,216))</x:f>
        <x:v>0</x:v>
      </x:c>
      <x:c r="AP211" s="23" t="n">
        <x:f>MAX(0,MIN('Activities'!L211,228)-MAX('Activities'!K211,222))</x:f>
        <x:v>0</x:v>
      </x:c>
      <x:c r="AQ211" s="23" t="n">
        <x:f>MAX(0,MIN('Activities'!L211,234)-MAX('Activities'!K211,228))</x:f>
        <x:v>0</x:v>
      </x:c>
      <x:c r="AR211" s="23" t="n">
        <x:f>MAX(0,MIN('Activities'!L211,240)-MAX('Activities'!K211,234))</x:f>
        <x:v>0</x:v>
      </x:c>
      <x:c r="AS211" s="23" t="n">
        <x:f>MAX(0,MIN('Activities'!L211,246)-MAX('Activities'!K211,240))</x:f>
        <x:v>0</x:v>
      </x:c>
      <x:c r="AT211" s="23" t="n">
        <x:f>MAX(0,MIN('Activities'!L211,252)-MAX('Activities'!K211,246))</x:f>
        <x:v>3</x:v>
      </x:c>
      <x:c r="AU211" s="23" t="n">
        <x:f>MAX(0,MIN('Activities'!L211,258)-MAX('Activities'!K211,252))</x:f>
        <x:v>3</x:v>
      </x:c>
      <x:c r="AV211" s="23" t="n">
        <x:f>MAX(0,MIN('Activities'!L211,264)-MAX('Activities'!K211,258))</x:f>
        <x:v>0</x:v>
      </x:c>
      <x:c r="AW211" s="23" t="n">
        <x:f>MAX(0,MIN('Activities'!L211,270)-MAX('Activities'!K211,264))</x:f>
        <x:v>0</x:v>
      </x:c>
      <x:c r="AX211" s="23" t="n">
        <x:f>MAX(0,MIN('Activities'!L211,276)-MAX('Activities'!K211,270))</x:f>
        <x:v>0</x:v>
      </x:c>
      <x:c r="AY211" s="23" t="n">
        <x:f>MAX(0,MIN('Activities'!L211,282)-MAX('Activities'!K211,276))</x:f>
        <x:v>0</x:v>
      </x:c>
      <x:c r="AZ211" s="23" t="n">
        <x:f>MAX(0,MIN('Activities'!L211,288)-MAX('Activities'!K211,282))</x:f>
        <x:v>0</x:v>
      </x:c>
      <x:c r="BA211" s="23" t="n">
        <x:f>MAX(0,MIN('Activities'!L211,294)-MAX('Activities'!K211,288))</x:f>
        <x:v>0</x:v>
      </x:c>
      <x:c r="BB211" s="23" t="n">
        <x:f>MAX(0,MIN('Activities'!L211,300)-MAX('Activities'!K211,294))</x:f>
        <x:v>0</x:v>
      </x:c>
      <x:c r="BC211" s="23" t="n">
        <x:f>MAX(0,MIN('Activities'!L211,306)-MAX('Activities'!K211,300))</x:f>
        <x:v>0</x:v>
      </x:c>
      <x:c r="BD211" s="23" t="n">
        <x:f>MAX(0,MIN('Activities'!L211,312)-MAX('Activities'!K211,306))</x:f>
        <x:v>0</x:v>
      </x:c>
      <x:c r="BE211" s="23" t="n">
        <x:f>MAX(0,MIN('Activities'!L211,318)-MAX('Activities'!K211,312))</x:f>
        <x:v>0</x:v>
      </x:c>
      <x:c r="BF211" s="23" t="n">
        <x:f>MAX(0,MIN('Activities'!L211,324)-MAX('Activities'!K211,318))</x:f>
        <x:v>0</x:v>
      </x:c>
      <x:c r="BG211" s="23" t="n">
        <x:f>MAX(0,MIN('Activities'!L211,330)-MAX('Activities'!K211,324))</x:f>
        <x:v>0</x:v>
      </x:c>
      <x:c r="BH211" s="23" t="n">
        <x:f>MAX(0,MIN('Activities'!L211,336)-MAX('Activities'!K211,330))</x:f>
        <x:v>0</x:v>
      </x:c>
      <x:c r="BI211" s="23" t="n">
        <x:f>MAX(0,MIN('Activities'!L211,342)-MAX('Activities'!K211,336))</x:f>
        <x:v>0</x:v>
      </x:c>
      <x:c r="BJ211" s="23" t="n">
        <x:f>MAX(0,MIN('Activities'!L211,348)-MAX('Activities'!K211,342))</x:f>
        <x:v>0</x:v>
      </x:c>
      <x:c r="BK211" s="23" t="n">
        <x:f>MAX(0,MIN('Activities'!L211,354)-MAX('Activities'!K211,348))</x:f>
        <x:v>0</x:v>
      </x:c>
      <x:c r="BL211" s="23" t="n">
        <x:f>MAX(0,MIN('Activities'!L211,360)-MAX('Activities'!K211,354))</x:f>
        <x:v>0</x:v>
      </x:c>
      <x:c r="BM211" s="23" t="n">
        <x:f>MAX(0,MIN('Activities'!L211,366)-MAX('Activities'!K211,360))</x:f>
        <x:v>0</x:v>
      </x:c>
      <x:c r="BN211" s="23" t="n">
        <x:f>MAX(0,MIN('Activities'!L211,372)-MAX('Activities'!K211,366))</x:f>
        <x:v>0</x:v>
      </x:c>
      <x:c r="BO211" s="23" t="n">
        <x:f>MAX(0,MIN('Activities'!L211,378)-MAX('Activities'!K211,372))</x:f>
        <x:v>0</x:v>
      </x:c>
      <x:c r="BP211" s="23" t="n">
        <x:f>MAX(0,MIN('Activities'!L211,384)-MAX('Activities'!K211,378))</x:f>
        <x:v>0</x:v>
      </x:c>
      <x:c r="BQ211" s="23" t="n">
        <x:f>MAX(0,MIN('Activities'!L211,390)-MAX('Activities'!K211,384))</x:f>
        <x:v>0</x:v>
      </x:c>
      <x:c r="BR211" s="23" t="n">
        <x:f>MAX(0,MIN('Activities'!L211,396)-MAX('Activities'!K211,390))</x:f>
        <x:v>0</x:v>
      </x:c>
      <x:c r="BS211" s="23" t="n">
        <x:f>MAX(0,MIN('Activities'!L211,402)-MAX('Activities'!K211,396))</x:f>
        <x:v>0</x:v>
      </x:c>
      <x:c r="BT211" s="23" t="n">
        <x:f>MAX(0,MIN('Activities'!L211,408)-MAX('Activities'!K211,402))</x:f>
        <x:v>0</x:v>
      </x:c>
      <x:c r="BU211" s="23" t="n">
        <x:f>MAX(0,MIN('Activities'!L211,414)-MAX('Activities'!K211,408))</x:f>
        <x:v>0</x:v>
      </x:c>
      <x:c r="BV211" s="23" t="n">
        <x:f>MAX(0,MIN('Activities'!L211,420)-MAX('Activities'!K211,414))</x:f>
        <x:v>0</x:v>
      </x:c>
      <x:c r="BW211" s="23" t="n">
        <x:f>MAX(0,MIN('Activities'!L211,426)-MAX('Activities'!K211,420))</x:f>
        <x:v>0</x:v>
      </x:c>
      <x:c r="BX211" s="23" t="n">
        <x:f>MAX(0,MIN('Activities'!L211,432)-MAX('Activities'!K211,426))</x:f>
        <x:v>0</x:v>
      </x:c>
      <x:c r="BY211" s="23" t="n">
        <x:f>MAX(0,MIN('Activities'!L211,438)-MAX('Activities'!K211,432))</x:f>
        <x:v>0</x:v>
      </x:c>
      <x:c r="BZ211" s="23" t="n">
        <x:f>MAX(0,MIN('Activities'!L211,444)-MAX('Activities'!K211,438))</x:f>
        <x:v>0</x:v>
      </x:c>
      <x:c r="CA211" s="23" t="n">
        <x:f>MAX(0,MIN('Activities'!L211,450)-MAX('Activities'!K211,444))</x:f>
        <x:v>0</x:v>
      </x:c>
      <x:c r="CB211" s="23" t="n">
        <x:f>MAX(0,MIN('Activities'!L211,456)-MAX('Activities'!K211,450))</x:f>
        <x:v>0</x:v>
      </x:c>
      <x:c r="CC211" s="23" t="n">
        <x:f>MAX(0,MIN('Activities'!L211,462)-MAX('Activities'!K211,456))</x:f>
        <x:v>0</x:v>
      </x:c>
      <x:c r="CD211" s="23" t="n">
        <x:f>MAX(0,MIN('Activities'!L211,468)-MAX('Activities'!K211,462))</x:f>
        <x:v>0</x:v>
      </x:c>
      <x:c r="CE211" s="23" t="n">
        <x:f>MAX(0,MIN('Activities'!L211,474)-MAX('Activities'!K211,468))</x:f>
        <x:v>0</x:v>
      </x:c>
      <x:c r="CF211" s="23" t="n">
        <x:f>MAX(0,MIN('Activities'!L211,480)-MAX('Activities'!K211,474))</x:f>
        <x:v>0</x:v>
      </x:c>
      <x:c r="CG211" s="23" t="n">
        <x:f>MAX(0,MIN('Activities'!L211,486)-MAX('Activities'!K211,480))</x:f>
        <x:v>0</x:v>
      </x:c>
      <x:c r="CH211" s="23" t="n">
        <x:f>MAX(0,MIN('Activities'!L211,492)-MAX('Activities'!K211,486))</x:f>
        <x:v>0</x:v>
      </x:c>
      <x:c r="CI211" s="23" t="n">
        <x:f>MAX(0,MIN('Activities'!L211,498)-MAX('Activities'!K211,492))</x:f>
        <x:v>0</x:v>
      </x:c>
      <x:c r="CJ211" s="23" t="n">
        <x:f>MAX(0,MIN('Activities'!L211,504)-MAX('Activities'!K211,498))</x:f>
        <x:v>0</x:v>
      </x:c>
      <x:c r="CK211" s="23" t="n">
        <x:f>MAX(0,MIN('Activities'!L211,510)-MAX('Activities'!K211,504))</x:f>
        <x:v>0</x:v>
      </x:c>
      <x:c r="CL211" s="23" t="n">
        <x:f>MAX(0,MIN('Activities'!L211,516)-MAX('Activities'!K211,510))</x:f>
        <x:v>0</x:v>
      </x:c>
      <x:c r="CM211" s="23" t="n">
        <x:f>MAX(0,MIN('Activities'!L211,522)-MAX('Activities'!K211,516))</x:f>
        <x:v>0</x:v>
      </x:c>
      <x:c r="CN211" s="23" t="n">
        <x:f>MAX(0,MIN('Activities'!L211,528)-MAX('Activities'!K211,522))</x:f>
        <x:v>0</x:v>
      </x:c>
      <x:c r="CO211" s="23" t="n">
        <x:f>MAX(0,MIN('Activities'!L211,534)-MAX('Activities'!K211,528))</x:f>
        <x:v>0</x:v>
      </x:c>
      <x:c r="CP211" s="23" t="n">
        <x:f>MAX(0,MIN('Activities'!L211,540)-MAX('Activities'!K211,534))</x:f>
        <x:v>0</x:v>
      </x:c>
      <x:c r="CQ211" s="23" t="n">
        <x:f>MAX(0,MIN('Activities'!L211,546)-MAX('Activities'!K211,540))</x:f>
        <x:v>0</x:v>
      </x:c>
      <x:c r="CR211" s="23" t="n">
        <x:f>MAX(0,MIN('Activities'!L211,552)-MAX('Activities'!K211,546))</x:f>
        <x:v>0</x:v>
      </x:c>
      <x:c r="CS211" s="23" t="n">
        <x:f>MAX(0,MIN('Activities'!L211,558)-MAX('Activities'!K211,552))</x:f>
        <x:v>0</x:v>
      </x:c>
      <x:c r="CT211" s="23" t="n">
        <x:f>MAX(0,MIN('Activities'!L211,564)-MAX('Activities'!K211,558))</x:f>
        <x:v>0</x:v>
      </x:c>
      <x:c r="CU211" s="23" t="n">
        <x:f>MAX(0,MIN('Activities'!L211,570)-MAX('Activities'!K211,564))</x:f>
        <x:v>0</x:v>
      </x:c>
      <x:c r="CV211" s="23" t="n">
        <x:f>MAX(0,MIN('Activities'!L211,576)-MAX('Activities'!K211,570))</x:f>
        <x:v>0</x:v>
      </x:c>
      <x:c r="CW211" s="23" t="n">
        <x:f>MAX(0,MIN('Activities'!L211,582)-MAX('Activities'!K211,576))</x:f>
        <x:v>0</x:v>
      </x:c>
      <x:c r="CX211" s="23" t="n">
        <x:f>MAX(0,MIN('Activities'!L211,588)-MAX('Activities'!K211,582))</x:f>
        <x:v>0</x:v>
      </x:c>
      <x:c r="CY211" s="23" t="n">
        <x:f>MAX(0,MIN('Activities'!L211,594)-MAX('Activities'!K211,588))</x:f>
        <x:v>0</x:v>
      </x:c>
      <x:c r="CZ211" s="23" t="n">
        <x:f>MAX(0,MIN('Activities'!L211,600)-MAX('Activities'!K211,594))</x:f>
        <x:v>0</x:v>
      </x:c>
      <x:c r="DA211" s="23" t="n">
        <x:f>MAX(0,MIN('Activities'!L211,606)-MAX('Activities'!K211,600))</x:f>
        <x:v>0</x:v>
      </x:c>
      <x:c r="DB211" s="23" t="n">
        <x:f>MAX(0,MIN('Activities'!L211,612)-MAX('Activities'!K211,606))</x:f>
        <x:v>0</x:v>
      </x:c>
      <x:c r="DC211" s="23" t="n">
        <x:f>MAX(0,MIN('Activities'!L211,618)-MAX('Activities'!K211,612))</x:f>
        <x:v>0</x:v>
      </x:c>
      <x:c r="DD211" s="23" t="n">
        <x:f>MAX(0,MIN('Activities'!L211,624)-MAX('Activities'!K211,618))</x:f>
        <x:v>0</x:v>
      </x:c>
      <x:c r="DE211" s="23" t="n">
        <x:f>MAX(0,MIN('Activities'!L211,630)-MAX('Activities'!K211,624))</x:f>
        <x:v>0</x:v>
      </x:c>
      <x:c r="DF211" s="23" t="n">
        <x:f>MAX(0,MIN('Activities'!L211,636)-MAX('Activities'!K211,630))</x:f>
        <x:v>0</x:v>
      </x:c>
    </x:row>
    <x:row r="212" ht="23" customHeight="1">
      <x:c r="A212" s="6" t="str">
        <x:v>T2-L01-S</x:v>
      </x:c>
      <x:c r="B212" s="6" t="str">
        <x:v>T2</x:v>
      </x:c>
      <x:c r="C212" s="6" t="str">
        <x:v>Screed and substrate preparation</x:v>
      </x:c>
      <x:c r="D212" s="6" t="str">
        <x:v>Finishes</x:v>
      </x:c>
      <x:c r="E212" s="22" t="n">
        <x:f>MAX(0,MIN('Activities'!L212,6)-MAX('Activities'!K212,0))</x:f>
        <x:v>0</x:v>
      </x:c>
      <x:c r="F212" s="22" t="n">
        <x:f>MAX(0,MIN('Activities'!L212,12)-MAX('Activities'!K212,6))</x:f>
        <x:v>0</x:v>
      </x:c>
      <x:c r="G212" s="22" t="n">
        <x:f>MAX(0,MIN('Activities'!L212,18)-MAX('Activities'!K212,12))</x:f>
        <x:v>0</x:v>
      </x:c>
      <x:c r="H212" s="22" t="n">
        <x:f>MAX(0,MIN('Activities'!L212,24)-MAX('Activities'!K212,18))</x:f>
        <x:v>0</x:v>
      </x:c>
      <x:c r="I212" s="22" t="n">
        <x:f>MAX(0,MIN('Activities'!L212,30)-MAX('Activities'!K212,24))</x:f>
        <x:v>0</x:v>
      </x:c>
      <x:c r="J212" s="22" t="n">
        <x:f>MAX(0,MIN('Activities'!L212,36)-MAX('Activities'!K212,30))</x:f>
        <x:v>0</x:v>
      </x:c>
      <x:c r="K212" s="22" t="n">
        <x:f>MAX(0,MIN('Activities'!L212,42)-MAX('Activities'!K212,36))</x:f>
        <x:v>0</x:v>
      </x:c>
      <x:c r="L212" s="22" t="n">
        <x:f>MAX(0,MIN('Activities'!L212,48)-MAX('Activities'!K212,42))</x:f>
        <x:v>0</x:v>
      </x:c>
      <x:c r="M212" s="22" t="n">
        <x:f>MAX(0,MIN('Activities'!L212,54)-MAX('Activities'!K212,48))</x:f>
        <x:v>0</x:v>
      </x:c>
      <x:c r="N212" s="22" t="n">
        <x:f>MAX(0,MIN('Activities'!L212,60)-MAX('Activities'!K212,54))</x:f>
        <x:v>0</x:v>
      </x:c>
      <x:c r="O212" s="22" t="n">
        <x:f>MAX(0,MIN('Activities'!L212,66)-MAX('Activities'!K212,60))</x:f>
        <x:v>0</x:v>
      </x:c>
      <x:c r="P212" s="22" t="n">
        <x:f>MAX(0,MIN('Activities'!L212,72)-MAX('Activities'!K212,66))</x:f>
        <x:v>0</x:v>
      </x:c>
      <x:c r="Q212" s="22" t="n">
        <x:f>MAX(0,MIN('Activities'!L212,78)-MAX('Activities'!K212,72))</x:f>
        <x:v>0</x:v>
      </x:c>
      <x:c r="R212" s="22" t="n">
        <x:f>MAX(0,MIN('Activities'!L212,84)-MAX('Activities'!K212,78))</x:f>
        <x:v>0</x:v>
      </x:c>
      <x:c r="S212" s="22" t="n">
        <x:f>MAX(0,MIN('Activities'!L212,90)-MAX('Activities'!K212,84))</x:f>
        <x:v>0</x:v>
      </x:c>
      <x:c r="T212" s="22" t="n">
        <x:f>MAX(0,MIN('Activities'!L212,96)-MAX('Activities'!K212,90))</x:f>
        <x:v>0</x:v>
      </x:c>
      <x:c r="U212" s="22" t="n">
        <x:f>MAX(0,MIN('Activities'!L212,102)-MAX('Activities'!K212,96))</x:f>
        <x:v>0</x:v>
      </x:c>
      <x:c r="V212" s="22" t="n">
        <x:f>MAX(0,MIN('Activities'!L212,108)-MAX('Activities'!K212,102))</x:f>
        <x:v>0</x:v>
      </x:c>
      <x:c r="W212" s="22" t="n">
        <x:f>MAX(0,MIN('Activities'!L212,114)-MAX('Activities'!K212,108))</x:f>
        <x:v>0</x:v>
      </x:c>
      <x:c r="X212" s="22" t="n">
        <x:f>MAX(0,MIN('Activities'!L212,120)-MAX('Activities'!K212,114))</x:f>
        <x:v>0</x:v>
      </x:c>
      <x:c r="Y212" s="22" t="n">
        <x:f>MAX(0,MIN('Activities'!L212,126)-MAX('Activities'!K212,120))</x:f>
        <x:v>0</x:v>
      </x:c>
      <x:c r="Z212" s="22" t="n">
        <x:f>MAX(0,MIN('Activities'!L212,132)-MAX('Activities'!K212,126))</x:f>
        <x:v>0</x:v>
      </x:c>
      <x:c r="AA212" s="22" t="n">
        <x:f>MAX(0,MIN('Activities'!L212,138)-MAX('Activities'!K212,132))</x:f>
        <x:v>0</x:v>
      </x:c>
      <x:c r="AB212" s="22" t="n">
        <x:f>MAX(0,MIN('Activities'!L212,144)-MAX('Activities'!K212,138))</x:f>
        <x:v>0</x:v>
      </x:c>
      <x:c r="AC212" s="22" t="n">
        <x:f>MAX(0,MIN('Activities'!L212,150)-MAX('Activities'!K212,144))</x:f>
        <x:v>0</x:v>
      </x:c>
      <x:c r="AD212" s="22" t="n">
        <x:f>MAX(0,MIN('Activities'!L212,156)-MAX('Activities'!K212,150))</x:f>
        <x:v>0</x:v>
      </x:c>
      <x:c r="AE212" s="22" t="n">
        <x:f>MAX(0,MIN('Activities'!L212,162)-MAX('Activities'!K212,156))</x:f>
        <x:v>0</x:v>
      </x:c>
      <x:c r="AF212" s="22" t="n">
        <x:f>MAX(0,MIN('Activities'!L212,168)-MAX('Activities'!K212,162))</x:f>
        <x:v>0</x:v>
      </x:c>
      <x:c r="AG212" s="22" t="n">
        <x:f>MAX(0,MIN('Activities'!L212,174)-MAX('Activities'!K212,168))</x:f>
        <x:v>0</x:v>
      </x:c>
      <x:c r="AH212" s="22" t="n">
        <x:f>MAX(0,MIN('Activities'!L212,180)-MAX('Activities'!K212,174))</x:f>
        <x:v>0</x:v>
      </x:c>
      <x:c r="AI212" s="22" t="n">
        <x:f>MAX(0,MIN('Activities'!L212,186)-MAX('Activities'!K212,180))</x:f>
        <x:v>0</x:v>
      </x:c>
      <x:c r="AJ212" s="22" t="n">
        <x:f>MAX(0,MIN('Activities'!L212,192)-MAX('Activities'!K212,186))</x:f>
        <x:v>0</x:v>
      </x:c>
      <x:c r="AK212" s="22" t="n">
        <x:f>MAX(0,MIN('Activities'!L212,198)-MAX('Activities'!K212,192))</x:f>
        <x:v>0</x:v>
      </x:c>
      <x:c r="AL212" s="22" t="n">
        <x:f>MAX(0,MIN('Activities'!L212,204)-MAX('Activities'!K212,198))</x:f>
        <x:v>0</x:v>
      </x:c>
      <x:c r="AM212" s="22" t="n">
        <x:f>MAX(0,MIN('Activities'!L212,210)-MAX('Activities'!K212,204))</x:f>
        <x:v>0</x:v>
      </x:c>
      <x:c r="AN212" s="22" t="n">
        <x:f>MAX(0,MIN('Activities'!L212,216)-MAX('Activities'!K212,210))</x:f>
        <x:v>0</x:v>
      </x:c>
      <x:c r="AO212" s="22" t="n">
        <x:f>MAX(0,MIN('Activities'!L212,222)-MAX('Activities'!K212,216))</x:f>
        <x:v>0</x:v>
      </x:c>
      <x:c r="AP212" s="22" t="n">
        <x:f>MAX(0,MIN('Activities'!L212,228)-MAX('Activities'!K212,222))</x:f>
        <x:v>0</x:v>
      </x:c>
      <x:c r="AQ212" s="22" t="n">
        <x:f>MAX(0,MIN('Activities'!L212,234)-MAX('Activities'!K212,228))</x:f>
        <x:v>0</x:v>
      </x:c>
      <x:c r="AR212" s="22" t="n">
        <x:f>MAX(0,MIN('Activities'!L212,240)-MAX('Activities'!K212,234))</x:f>
        <x:v>0</x:v>
      </x:c>
      <x:c r="AS212" s="22" t="n">
        <x:f>MAX(0,MIN('Activities'!L212,246)-MAX('Activities'!K212,240))</x:f>
        <x:v>0</x:v>
      </x:c>
      <x:c r="AT212" s="22" t="n">
        <x:f>MAX(0,MIN('Activities'!L212,252)-MAX('Activities'!K212,246))</x:f>
        <x:v>0</x:v>
      </x:c>
      <x:c r="AU212" s="22" t="n">
        <x:f>MAX(0,MIN('Activities'!L212,258)-MAX('Activities'!K212,252))</x:f>
        <x:v>1</x:v>
      </x:c>
      <x:c r="AV212" s="22" t="n">
        <x:f>MAX(0,MIN('Activities'!L212,264)-MAX('Activities'!K212,258))</x:f>
        <x:v>2</x:v>
      </x:c>
      <x:c r="AW212" s="22" t="n">
        <x:f>MAX(0,MIN('Activities'!L212,270)-MAX('Activities'!K212,264))</x:f>
        <x:v>0</x:v>
      </x:c>
      <x:c r="AX212" s="22" t="n">
        <x:f>MAX(0,MIN('Activities'!L212,276)-MAX('Activities'!K212,270))</x:f>
        <x:v>0</x:v>
      </x:c>
      <x:c r="AY212" s="22" t="n">
        <x:f>MAX(0,MIN('Activities'!L212,282)-MAX('Activities'!K212,276))</x:f>
        <x:v>0</x:v>
      </x:c>
      <x:c r="AZ212" s="22" t="n">
        <x:f>MAX(0,MIN('Activities'!L212,288)-MAX('Activities'!K212,282))</x:f>
        <x:v>0</x:v>
      </x:c>
      <x:c r="BA212" s="22" t="n">
        <x:f>MAX(0,MIN('Activities'!L212,294)-MAX('Activities'!K212,288))</x:f>
        <x:v>0</x:v>
      </x:c>
      <x:c r="BB212" s="22" t="n">
        <x:f>MAX(0,MIN('Activities'!L212,300)-MAX('Activities'!K212,294))</x:f>
        <x:v>0</x:v>
      </x:c>
      <x:c r="BC212" s="22" t="n">
        <x:f>MAX(0,MIN('Activities'!L212,306)-MAX('Activities'!K212,300))</x:f>
        <x:v>0</x:v>
      </x:c>
      <x:c r="BD212" s="22" t="n">
        <x:f>MAX(0,MIN('Activities'!L212,312)-MAX('Activities'!K212,306))</x:f>
        <x:v>0</x:v>
      </x:c>
      <x:c r="BE212" s="22" t="n">
        <x:f>MAX(0,MIN('Activities'!L212,318)-MAX('Activities'!K212,312))</x:f>
        <x:v>0</x:v>
      </x:c>
      <x:c r="BF212" s="22" t="n">
        <x:f>MAX(0,MIN('Activities'!L212,324)-MAX('Activities'!K212,318))</x:f>
        <x:v>0</x:v>
      </x:c>
      <x:c r="BG212" s="22" t="n">
        <x:f>MAX(0,MIN('Activities'!L212,330)-MAX('Activities'!K212,324))</x:f>
        <x:v>0</x:v>
      </x:c>
      <x:c r="BH212" s="22" t="n">
        <x:f>MAX(0,MIN('Activities'!L212,336)-MAX('Activities'!K212,330))</x:f>
        <x:v>0</x:v>
      </x:c>
      <x:c r="BI212" s="22" t="n">
        <x:f>MAX(0,MIN('Activities'!L212,342)-MAX('Activities'!K212,336))</x:f>
        <x:v>0</x:v>
      </x:c>
      <x:c r="BJ212" s="22" t="n">
        <x:f>MAX(0,MIN('Activities'!L212,348)-MAX('Activities'!K212,342))</x:f>
        <x:v>0</x:v>
      </x:c>
      <x:c r="BK212" s="22" t="n">
        <x:f>MAX(0,MIN('Activities'!L212,354)-MAX('Activities'!K212,348))</x:f>
        <x:v>0</x:v>
      </x:c>
      <x:c r="BL212" s="22" t="n">
        <x:f>MAX(0,MIN('Activities'!L212,360)-MAX('Activities'!K212,354))</x:f>
        <x:v>0</x:v>
      </x:c>
      <x:c r="BM212" s="22" t="n">
        <x:f>MAX(0,MIN('Activities'!L212,366)-MAX('Activities'!K212,360))</x:f>
        <x:v>0</x:v>
      </x:c>
      <x:c r="BN212" s="22" t="n">
        <x:f>MAX(0,MIN('Activities'!L212,372)-MAX('Activities'!K212,366))</x:f>
        <x:v>0</x:v>
      </x:c>
      <x:c r="BO212" s="22" t="n">
        <x:f>MAX(0,MIN('Activities'!L212,378)-MAX('Activities'!K212,372))</x:f>
        <x:v>0</x:v>
      </x:c>
      <x:c r="BP212" s="22" t="n">
        <x:f>MAX(0,MIN('Activities'!L212,384)-MAX('Activities'!K212,378))</x:f>
        <x:v>0</x:v>
      </x:c>
      <x:c r="BQ212" s="22" t="n">
        <x:f>MAX(0,MIN('Activities'!L212,390)-MAX('Activities'!K212,384))</x:f>
        <x:v>0</x:v>
      </x:c>
      <x:c r="BR212" s="22" t="n">
        <x:f>MAX(0,MIN('Activities'!L212,396)-MAX('Activities'!K212,390))</x:f>
        <x:v>0</x:v>
      </x:c>
      <x:c r="BS212" s="22" t="n">
        <x:f>MAX(0,MIN('Activities'!L212,402)-MAX('Activities'!K212,396))</x:f>
        <x:v>0</x:v>
      </x:c>
      <x:c r="BT212" s="22" t="n">
        <x:f>MAX(0,MIN('Activities'!L212,408)-MAX('Activities'!K212,402))</x:f>
        <x:v>0</x:v>
      </x:c>
      <x:c r="BU212" s="22" t="n">
        <x:f>MAX(0,MIN('Activities'!L212,414)-MAX('Activities'!K212,408))</x:f>
        <x:v>0</x:v>
      </x:c>
      <x:c r="BV212" s="22" t="n">
        <x:f>MAX(0,MIN('Activities'!L212,420)-MAX('Activities'!K212,414))</x:f>
        <x:v>0</x:v>
      </x:c>
      <x:c r="BW212" s="22" t="n">
        <x:f>MAX(0,MIN('Activities'!L212,426)-MAX('Activities'!K212,420))</x:f>
        <x:v>0</x:v>
      </x:c>
      <x:c r="BX212" s="22" t="n">
        <x:f>MAX(0,MIN('Activities'!L212,432)-MAX('Activities'!K212,426))</x:f>
        <x:v>0</x:v>
      </x:c>
      <x:c r="BY212" s="22" t="n">
        <x:f>MAX(0,MIN('Activities'!L212,438)-MAX('Activities'!K212,432))</x:f>
        <x:v>0</x:v>
      </x:c>
      <x:c r="BZ212" s="22" t="n">
        <x:f>MAX(0,MIN('Activities'!L212,444)-MAX('Activities'!K212,438))</x:f>
        <x:v>0</x:v>
      </x:c>
      <x:c r="CA212" s="22" t="n">
        <x:f>MAX(0,MIN('Activities'!L212,450)-MAX('Activities'!K212,444))</x:f>
        <x:v>0</x:v>
      </x:c>
      <x:c r="CB212" s="22" t="n">
        <x:f>MAX(0,MIN('Activities'!L212,456)-MAX('Activities'!K212,450))</x:f>
        <x:v>0</x:v>
      </x:c>
      <x:c r="CC212" s="22" t="n">
        <x:f>MAX(0,MIN('Activities'!L212,462)-MAX('Activities'!K212,456))</x:f>
        <x:v>0</x:v>
      </x:c>
      <x:c r="CD212" s="22" t="n">
        <x:f>MAX(0,MIN('Activities'!L212,468)-MAX('Activities'!K212,462))</x:f>
        <x:v>0</x:v>
      </x:c>
      <x:c r="CE212" s="22" t="n">
        <x:f>MAX(0,MIN('Activities'!L212,474)-MAX('Activities'!K212,468))</x:f>
        <x:v>0</x:v>
      </x:c>
      <x:c r="CF212" s="22" t="n">
        <x:f>MAX(0,MIN('Activities'!L212,480)-MAX('Activities'!K212,474))</x:f>
        <x:v>0</x:v>
      </x:c>
      <x:c r="CG212" s="22" t="n">
        <x:f>MAX(0,MIN('Activities'!L212,486)-MAX('Activities'!K212,480))</x:f>
        <x:v>0</x:v>
      </x:c>
      <x:c r="CH212" s="22" t="n">
        <x:f>MAX(0,MIN('Activities'!L212,492)-MAX('Activities'!K212,486))</x:f>
        <x:v>0</x:v>
      </x:c>
      <x:c r="CI212" s="22" t="n">
        <x:f>MAX(0,MIN('Activities'!L212,498)-MAX('Activities'!K212,492))</x:f>
        <x:v>0</x:v>
      </x:c>
      <x:c r="CJ212" s="22" t="n">
        <x:f>MAX(0,MIN('Activities'!L212,504)-MAX('Activities'!K212,498))</x:f>
        <x:v>0</x:v>
      </x:c>
      <x:c r="CK212" s="22" t="n">
        <x:f>MAX(0,MIN('Activities'!L212,510)-MAX('Activities'!K212,504))</x:f>
        <x:v>0</x:v>
      </x:c>
      <x:c r="CL212" s="22" t="n">
        <x:f>MAX(0,MIN('Activities'!L212,516)-MAX('Activities'!K212,510))</x:f>
        <x:v>0</x:v>
      </x:c>
      <x:c r="CM212" s="22" t="n">
        <x:f>MAX(0,MIN('Activities'!L212,522)-MAX('Activities'!K212,516))</x:f>
        <x:v>0</x:v>
      </x:c>
      <x:c r="CN212" s="22" t="n">
        <x:f>MAX(0,MIN('Activities'!L212,528)-MAX('Activities'!K212,522))</x:f>
        <x:v>0</x:v>
      </x:c>
      <x:c r="CO212" s="22" t="n">
        <x:f>MAX(0,MIN('Activities'!L212,534)-MAX('Activities'!K212,528))</x:f>
        <x:v>0</x:v>
      </x:c>
      <x:c r="CP212" s="22" t="n">
        <x:f>MAX(0,MIN('Activities'!L212,540)-MAX('Activities'!K212,534))</x:f>
        <x:v>0</x:v>
      </x:c>
      <x:c r="CQ212" s="22" t="n">
        <x:f>MAX(0,MIN('Activities'!L212,546)-MAX('Activities'!K212,540))</x:f>
        <x:v>0</x:v>
      </x:c>
      <x:c r="CR212" s="22" t="n">
        <x:f>MAX(0,MIN('Activities'!L212,552)-MAX('Activities'!K212,546))</x:f>
        <x:v>0</x:v>
      </x:c>
      <x:c r="CS212" s="22" t="n">
        <x:f>MAX(0,MIN('Activities'!L212,558)-MAX('Activities'!K212,552))</x:f>
        <x:v>0</x:v>
      </x:c>
      <x:c r="CT212" s="22" t="n">
        <x:f>MAX(0,MIN('Activities'!L212,564)-MAX('Activities'!K212,558))</x:f>
        <x:v>0</x:v>
      </x:c>
      <x:c r="CU212" s="22" t="n">
        <x:f>MAX(0,MIN('Activities'!L212,570)-MAX('Activities'!K212,564))</x:f>
        <x:v>0</x:v>
      </x:c>
      <x:c r="CV212" s="22" t="n">
        <x:f>MAX(0,MIN('Activities'!L212,576)-MAX('Activities'!K212,570))</x:f>
        <x:v>0</x:v>
      </x:c>
      <x:c r="CW212" s="22" t="n">
        <x:f>MAX(0,MIN('Activities'!L212,582)-MAX('Activities'!K212,576))</x:f>
        <x:v>0</x:v>
      </x:c>
      <x:c r="CX212" s="22" t="n">
        <x:f>MAX(0,MIN('Activities'!L212,588)-MAX('Activities'!K212,582))</x:f>
        <x:v>0</x:v>
      </x:c>
      <x:c r="CY212" s="22" t="n">
        <x:f>MAX(0,MIN('Activities'!L212,594)-MAX('Activities'!K212,588))</x:f>
        <x:v>0</x:v>
      </x:c>
      <x:c r="CZ212" s="22" t="n">
        <x:f>MAX(0,MIN('Activities'!L212,600)-MAX('Activities'!K212,594))</x:f>
        <x:v>0</x:v>
      </x:c>
      <x:c r="DA212" s="22" t="n">
        <x:f>MAX(0,MIN('Activities'!L212,606)-MAX('Activities'!K212,600))</x:f>
        <x:v>0</x:v>
      </x:c>
      <x:c r="DB212" s="22" t="n">
        <x:f>MAX(0,MIN('Activities'!L212,612)-MAX('Activities'!K212,606))</x:f>
        <x:v>0</x:v>
      </x:c>
      <x:c r="DC212" s="22" t="n">
        <x:f>MAX(0,MIN('Activities'!L212,618)-MAX('Activities'!K212,612))</x:f>
        <x:v>0</x:v>
      </x:c>
      <x:c r="DD212" s="22" t="n">
        <x:f>MAX(0,MIN('Activities'!L212,624)-MAX('Activities'!K212,618))</x:f>
        <x:v>0</x:v>
      </x:c>
      <x:c r="DE212" s="22" t="n">
        <x:f>MAX(0,MIN('Activities'!L212,630)-MAX('Activities'!K212,624))</x:f>
        <x:v>0</x:v>
      </x:c>
      <x:c r="DF212" s="22" t="n">
        <x:f>MAX(0,MIN('Activities'!L212,636)-MAX('Activities'!K212,630))</x:f>
        <x:v>0</x:v>
      </x:c>
    </x:row>
    <x:row r="213" ht="23" customHeight="1">
      <x:c r="A213" s="1" t="str">
        <x:v>T2-L01-T</x:v>
      </x:c>
      <x:c r="B213" s="1" t="str">
        <x:v>T2</x:v>
      </x:c>
      <x:c r="C213" s="1" t="str">
        <x:v>Floor finishes and skirtings</x:v>
      </x:c>
      <x:c r="D213" s="1" t="str">
        <x:v>Finishes</x:v>
      </x:c>
      <x:c r="E213" s="23" t="n">
        <x:f>MAX(0,MIN('Activities'!L213,6)-MAX('Activities'!K213,0))</x:f>
        <x:v>0</x:v>
      </x:c>
      <x:c r="F213" s="23" t="n">
        <x:f>MAX(0,MIN('Activities'!L213,12)-MAX('Activities'!K213,6))</x:f>
        <x:v>0</x:v>
      </x:c>
      <x:c r="G213" s="23" t="n">
        <x:f>MAX(0,MIN('Activities'!L213,18)-MAX('Activities'!K213,12))</x:f>
        <x:v>0</x:v>
      </x:c>
      <x:c r="H213" s="23" t="n">
        <x:f>MAX(0,MIN('Activities'!L213,24)-MAX('Activities'!K213,18))</x:f>
        <x:v>0</x:v>
      </x:c>
      <x:c r="I213" s="23" t="n">
        <x:f>MAX(0,MIN('Activities'!L213,30)-MAX('Activities'!K213,24))</x:f>
        <x:v>0</x:v>
      </x:c>
      <x:c r="J213" s="23" t="n">
        <x:f>MAX(0,MIN('Activities'!L213,36)-MAX('Activities'!K213,30))</x:f>
        <x:v>0</x:v>
      </x:c>
      <x:c r="K213" s="23" t="n">
        <x:f>MAX(0,MIN('Activities'!L213,42)-MAX('Activities'!K213,36))</x:f>
        <x:v>0</x:v>
      </x:c>
      <x:c r="L213" s="23" t="n">
        <x:f>MAX(0,MIN('Activities'!L213,48)-MAX('Activities'!K213,42))</x:f>
        <x:v>0</x:v>
      </x:c>
      <x:c r="M213" s="23" t="n">
        <x:f>MAX(0,MIN('Activities'!L213,54)-MAX('Activities'!K213,48))</x:f>
        <x:v>0</x:v>
      </x:c>
      <x:c r="N213" s="23" t="n">
        <x:f>MAX(0,MIN('Activities'!L213,60)-MAX('Activities'!K213,54))</x:f>
        <x:v>0</x:v>
      </x:c>
      <x:c r="O213" s="23" t="n">
        <x:f>MAX(0,MIN('Activities'!L213,66)-MAX('Activities'!K213,60))</x:f>
        <x:v>0</x:v>
      </x:c>
      <x:c r="P213" s="23" t="n">
        <x:f>MAX(0,MIN('Activities'!L213,72)-MAX('Activities'!K213,66))</x:f>
        <x:v>0</x:v>
      </x:c>
      <x:c r="Q213" s="23" t="n">
        <x:f>MAX(0,MIN('Activities'!L213,78)-MAX('Activities'!K213,72))</x:f>
        <x:v>0</x:v>
      </x:c>
      <x:c r="R213" s="23" t="n">
        <x:f>MAX(0,MIN('Activities'!L213,84)-MAX('Activities'!K213,78))</x:f>
        <x:v>0</x:v>
      </x:c>
      <x:c r="S213" s="23" t="n">
        <x:f>MAX(0,MIN('Activities'!L213,90)-MAX('Activities'!K213,84))</x:f>
        <x:v>0</x:v>
      </x:c>
      <x:c r="T213" s="23" t="n">
        <x:f>MAX(0,MIN('Activities'!L213,96)-MAX('Activities'!K213,90))</x:f>
        <x:v>0</x:v>
      </x:c>
      <x:c r="U213" s="23" t="n">
        <x:f>MAX(0,MIN('Activities'!L213,102)-MAX('Activities'!K213,96))</x:f>
        <x:v>0</x:v>
      </x:c>
      <x:c r="V213" s="23" t="n">
        <x:f>MAX(0,MIN('Activities'!L213,108)-MAX('Activities'!K213,102))</x:f>
        <x:v>0</x:v>
      </x:c>
      <x:c r="W213" s="23" t="n">
        <x:f>MAX(0,MIN('Activities'!L213,114)-MAX('Activities'!K213,108))</x:f>
        <x:v>0</x:v>
      </x:c>
      <x:c r="X213" s="23" t="n">
        <x:f>MAX(0,MIN('Activities'!L213,120)-MAX('Activities'!K213,114))</x:f>
        <x:v>0</x:v>
      </x:c>
      <x:c r="Y213" s="23" t="n">
        <x:f>MAX(0,MIN('Activities'!L213,126)-MAX('Activities'!K213,120))</x:f>
        <x:v>0</x:v>
      </x:c>
      <x:c r="Z213" s="23" t="n">
        <x:f>MAX(0,MIN('Activities'!L213,132)-MAX('Activities'!K213,126))</x:f>
        <x:v>0</x:v>
      </x:c>
      <x:c r="AA213" s="23" t="n">
        <x:f>MAX(0,MIN('Activities'!L213,138)-MAX('Activities'!K213,132))</x:f>
        <x:v>0</x:v>
      </x:c>
      <x:c r="AB213" s="23" t="n">
        <x:f>MAX(0,MIN('Activities'!L213,144)-MAX('Activities'!K213,138))</x:f>
        <x:v>0</x:v>
      </x:c>
      <x:c r="AC213" s="23" t="n">
        <x:f>MAX(0,MIN('Activities'!L213,150)-MAX('Activities'!K213,144))</x:f>
        <x:v>0</x:v>
      </x:c>
      <x:c r="AD213" s="23" t="n">
        <x:f>MAX(0,MIN('Activities'!L213,156)-MAX('Activities'!K213,150))</x:f>
        <x:v>0</x:v>
      </x:c>
      <x:c r="AE213" s="23" t="n">
        <x:f>MAX(0,MIN('Activities'!L213,162)-MAX('Activities'!K213,156))</x:f>
        <x:v>0</x:v>
      </x:c>
      <x:c r="AF213" s="23" t="n">
        <x:f>MAX(0,MIN('Activities'!L213,168)-MAX('Activities'!K213,162))</x:f>
        <x:v>0</x:v>
      </x:c>
      <x:c r="AG213" s="23" t="n">
        <x:f>MAX(0,MIN('Activities'!L213,174)-MAX('Activities'!K213,168))</x:f>
        <x:v>0</x:v>
      </x:c>
      <x:c r="AH213" s="23" t="n">
        <x:f>MAX(0,MIN('Activities'!L213,180)-MAX('Activities'!K213,174))</x:f>
        <x:v>0</x:v>
      </x:c>
      <x:c r="AI213" s="23" t="n">
        <x:f>MAX(0,MIN('Activities'!L213,186)-MAX('Activities'!K213,180))</x:f>
        <x:v>0</x:v>
      </x:c>
      <x:c r="AJ213" s="23" t="n">
        <x:f>MAX(0,MIN('Activities'!L213,192)-MAX('Activities'!K213,186))</x:f>
        <x:v>0</x:v>
      </x:c>
      <x:c r="AK213" s="23" t="n">
        <x:f>MAX(0,MIN('Activities'!L213,198)-MAX('Activities'!K213,192))</x:f>
        <x:v>0</x:v>
      </x:c>
      <x:c r="AL213" s="23" t="n">
        <x:f>MAX(0,MIN('Activities'!L213,204)-MAX('Activities'!K213,198))</x:f>
        <x:v>0</x:v>
      </x:c>
      <x:c r="AM213" s="23" t="n">
        <x:f>MAX(0,MIN('Activities'!L213,210)-MAX('Activities'!K213,204))</x:f>
        <x:v>0</x:v>
      </x:c>
      <x:c r="AN213" s="23" t="n">
        <x:f>MAX(0,MIN('Activities'!L213,216)-MAX('Activities'!K213,210))</x:f>
        <x:v>0</x:v>
      </x:c>
      <x:c r="AO213" s="23" t="n">
        <x:f>MAX(0,MIN('Activities'!L213,222)-MAX('Activities'!K213,216))</x:f>
        <x:v>0</x:v>
      </x:c>
      <x:c r="AP213" s="23" t="n">
        <x:f>MAX(0,MIN('Activities'!L213,228)-MAX('Activities'!K213,222))</x:f>
        <x:v>0</x:v>
      </x:c>
      <x:c r="AQ213" s="23" t="n">
        <x:f>MAX(0,MIN('Activities'!L213,234)-MAX('Activities'!K213,228))</x:f>
        <x:v>0</x:v>
      </x:c>
      <x:c r="AR213" s="23" t="n">
        <x:f>MAX(0,MIN('Activities'!L213,240)-MAX('Activities'!K213,234))</x:f>
        <x:v>0</x:v>
      </x:c>
      <x:c r="AS213" s="23" t="n">
        <x:f>MAX(0,MIN('Activities'!L213,246)-MAX('Activities'!K213,240))</x:f>
        <x:v>0</x:v>
      </x:c>
      <x:c r="AT213" s="23" t="n">
        <x:f>MAX(0,MIN('Activities'!L213,252)-MAX('Activities'!K213,246))</x:f>
        <x:v>0</x:v>
      </x:c>
      <x:c r="AU213" s="23" t="n">
        <x:f>MAX(0,MIN('Activities'!L213,258)-MAX('Activities'!K213,252))</x:f>
        <x:v>0</x:v>
      </x:c>
      <x:c r="AV213" s="23" t="n">
        <x:f>MAX(0,MIN('Activities'!L213,264)-MAX('Activities'!K213,258))</x:f>
        <x:v>0</x:v>
      </x:c>
      <x:c r="AW213" s="23" t="n">
        <x:f>MAX(0,MIN('Activities'!L213,270)-MAX('Activities'!K213,264))</x:f>
        <x:v>0</x:v>
      </x:c>
      <x:c r="AX213" s="23" t="n">
        <x:f>MAX(0,MIN('Activities'!L213,276)-MAX('Activities'!K213,270))</x:f>
        <x:v>0</x:v>
      </x:c>
      <x:c r="AY213" s="23" t="n">
        <x:f>MAX(0,MIN('Activities'!L213,282)-MAX('Activities'!K213,276))</x:f>
        <x:v>0</x:v>
      </x:c>
      <x:c r="AZ213" s="23" t="n">
        <x:f>MAX(0,MIN('Activities'!L213,288)-MAX('Activities'!K213,282))</x:f>
        <x:v>0</x:v>
      </x:c>
      <x:c r="BA213" s="23" t="n">
        <x:f>MAX(0,MIN('Activities'!L213,294)-MAX('Activities'!K213,288))</x:f>
        <x:v>0</x:v>
      </x:c>
      <x:c r="BB213" s="23" t="n">
        <x:f>MAX(0,MIN('Activities'!L213,300)-MAX('Activities'!K213,294))</x:f>
        <x:v>0</x:v>
      </x:c>
      <x:c r="BC213" s="23" t="n">
        <x:f>MAX(0,MIN('Activities'!L213,306)-MAX('Activities'!K213,300))</x:f>
        <x:v>0</x:v>
      </x:c>
      <x:c r="BD213" s="23" t="n">
        <x:f>MAX(0,MIN('Activities'!L213,312)-MAX('Activities'!K213,306))</x:f>
        <x:v>0</x:v>
      </x:c>
      <x:c r="BE213" s="23" t="n">
        <x:f>MAX(0,MIN('Activities'!L213,318)-MAX('Activities'!K213,312))</x:f>
        <x:v>0</x:v>
      </x:c>
      <x:c r="BF213" s="23" t="n">
        <x:f>MAX(0,MIN('Activities'!L213,324)-MAX('Activities'!K213,318))</x:f>
        <x:v>0</x:v>
      </x:c>
      <x:c r="BG213" s="23" t="n">
        <x:f>MAX(0,MIN('Activities'!L213,330)-MAX('Activities'!K213,324))</x:f>
        <x:v>0</x:v>
      </x:c>
      <x:c r="BH213" s="23" t="n">
        <x:f>MAX(0,MIN('Activities'!L213,336)-MAX('Activities'!K213,330))</x:f>
        <x:v>0</x:v>
      </x:c>
      <x:c r="BI213" s="23" t="n">
        <x:f>MAX(0,MIN('Activities'!L213,342)-MAX('Activities'!K213,336))</x:f>
        <x:v>0</x:v>
      </x:c>
      <x:c r="BJ213" s="23" t="n">
        <x:f>MAX(0,MIN('Activities'!L213,348)-MAX('Activities'!K213,342))</x:f>
        <x:v>0</x:v>
      </x:c>
      <x:c r="BK213" s="23" t="n">
        <x:f>MAX(0,MIN('Activities'!L213,354)-MAX('Activities'!K213,348))</x:f>
        <x:v>0</x:v>
      </x:c>
      <x:c r="BL213" s="23" t="n">
        <x:f>MAX(0,MIN('Activities'!L213,360)-MAX('Activities'!K213,354))</x:f>
        <x:v>0</x:v>
      </x:c>
      <x:c r="BM213" s="23" t="n">
        <x:f>MAX(0,MIN('Activities'!L213,366)-MAX('Activities'!K213,360))</x:f>
        <x:v>0</x:v>
      </x:c>
      <x:c r="BN213" s="23" t="n">
        <x:f>MAX(0,MIN('Activities'!L213,372)-MAX('Activities'!K213,366))</x:f>
        <x:v>0</x:v>
      </x:c>
      <x:c r="BO213" s="23" t="n">
        <x:f>MAX(0,MIN('Activities'!L213,378)-MAX('Activities'!K213,372))</x:f>
        <x:v>0</x:v>
      </x:c>
      <x:c r="BP213" s="23" t="n">
        <x:f>MAX(0,MIN('Activities'!L213,384)-MAX('Activities'!K213,378))</x:f>
        <x:v>0</x:v>
      </x:c>
      <x:c r="BQ213" s="23" t="n">
        <x:f>MAX(0,MIN('Activities'!L213,390)-MAX('Activities'!K213,384))</x:f>
        <x:v>0</x:v>
      </x:c>
      <x:c r="BR213" s="23" t="n">
        <x:f>MAX(0,MIN('Activities'!L213,396)-MAX('Activities'!K213,390))</x:f>
        <x:v>0</x:v>
      </x:c>
      <x:c r="BS213" s="23" t="n">
        <x:f>MAX(0,MIN('Activities'!L213,402)-MAX('Activities'!K213,396))</x:f>
        <x:v>0</x:v>
      </x:c>
      <x:c r="BT213" s="23" t="n">
        <x:f>MAX(0,MIN('Activities'!L213,408)-MAX('Activities'!K213,402))</x:f>
        <x:v>0</x:v>
      </x:c>
      <x:c r="BU213" s="23" t="n">
        <x:f>MAX(0,MIN('Activities'!L213,414)-MAX('Activities'!K213,408))</x:f>
        <x:v>1</x:v>
      </x:c>
      <x:c r="BV213" s="23" t="n">
        <x:f>MAX(0,MIN('Activities'!L213,420)-MAX('Activities'!K213,414))</x:f>
        <x:v>5</x:v>
      </x:c>
      <x:c r="BW213" s="23" t="n">
        <x:f>MAX(0,MIN('Activities'!L213,426)-MAX('Activities'!K213,420))</x:f>
        <x:v>0</x:v>
      </x:c>
      <x:c r="BX213" s="23" t="n">
        <x:f>MAX(0,MIN('Activities'!L213,432)-MAX('Activities'!K213,426))</x:f>
        <x:v>0</x:v>
      </x:c>
      <x:c r="BY213" s="23" t="n">
        <x:f>MAX(0,MIN('Activities'!L213,438)-MAX('Activities'!K213,432))</x:f>
        <x:v>0</x:v>
      </x:c>
      <x:c r="BZ213" s="23" t="n">
        <x:f>MAX(0,MIN('Activities'!L213,444)-MAX('Activities'!K213,438))</x:f>
        <x:v>0</x:v>
      </x:c>
      <x:c r="CA213" s="23" t="n">
        <x:f>MAX(0,MIN('Activities'!L213,450)-MAX('Activities'!K213,444))</x:f>
        <x:v>0</x:v>
      </x:c>
      <x:c r="CB213" s="23" t="n">
        <x:f>MAX(0,MIN('Activities'!L213,456)-MAX('Activities'!K213,450))</x:f>
        <x:v>0</x:v>
      </x:c>
      <x:c r="CC213" s="23" t="n">
        <x:f>MAX(0,MIN('Activities'!L213,462)-MAX('Activities'!K213,456))</x:f>
        <x:v>0</x:v>
      </x:c>
      <x:c r="CD213" s="23" t="n">
        <x:f>MAX(0,MIN('Activities'!L213,468)-MAX('Activities'!K213,462))</x:f>
        <x:v>0</x:v>
      </x:c>
      <x:c r="CE213" s="23" t="n">
        <x:f>MAX(0,MIN('Activities'!L213,474)-MAX('Activities'!K213,468))</x:f>
        <x:v>0</x:v>
      </x:c>
      <x:c r="CF213" s="23" t="n">
        <x:f>MAX(0,MIN('Activities'!L213,480)-MAX('Activities'!K213,474))</x:f>
        <x:v>0</x:v>
      </x:c>
      <x:c r="CG213" s="23" t="n">
        <x:f>MAX(0,MIN('Activities'!L213,486)-MAX('Activities'!K213,480))</x:f>
        <x:v>0</x:v>
      </x:c>
      <x:c r="CH213" s="23" t="n">
        <x:f>MAX(0,MIN('Activities'!L213,492)-MAX('Activities'!K213,486))</x:f>
        <x:v>0</x:v>
      </x:c>
      <x:c r="CI213" s="23" t="n">
        <x:f>MAX(0,MIN('Activities'!L213,498)-MAX('Activities'!K213,492))</x:f>
        <x:v>0</x:v>
      </x:c>
      <x:c r="CJ213" s="23" t="n">
        <x:f>MAX(0,MIN('Activities'!L213,504)-MAX('Activities'!K213,498))</x:f>
        <x:v>0</x:v>
      </x:c>
      <x:c r="CK213" s="23" t="n">
        <x:f>MAX(0,MIN('Activities'!L213,510)-MAX('Activities'!K213,504))</x:f>
        <x:v>0</x:v>
      </x:c>
      <x:c r="CL213" s="23" t="n">
        <x:f>MAX(0,MIN('Activities'!L213,516)-MAX('Activities'!K213,510))</x:f>
        <x:v>0</x:v>
      </x:c>
      <x:c r="CM213" s="23" t="n">
        <x:f>MAX(0,MIN('Activities'!L213,522)-MAX('Activities'!K213,516))</x:f>
        <x:v>0</x:v>
      </x:c>
      <x:c r="CN213" s="23" t="n">
        <x:f>MAX(0,MIN('Activities'!L213,528)-MAX('Activities'!K213,522))</x:f>
        <x:v>0</x:v>
      </x:c>
      <x:c r="CO213" s="23" t="n">
        <x:f>MAX(0,MIN('Activities'!L213,534)-MAX('Activities'!K213,528))</x:f>
        <x:v>0</x:v>
      </x:c>
      <x:c r="CP213" s="23" t="n">
        <x:f>MAX(0,MIN('Activities'!L213,540)-MAX('Activities'!K213,534))</x:f>
        <x:v>0</x:v>
      </x:c>
      <x:c r="CQ213" s="23" t="n">
        <x:f>MAX(0,MIN('Activities'!L213,546)-MAX('Activities'!K213,540))</x:f>
        <x:v>0</x:v>
      </x:c>
      <x:c r="CR213" s="23" t="n">
        <x:f>MAX(0,MIN('Activities'!L213,552)-MAX('Activities'!K213,546))</x:f>
        <x:v>0</x:v>
      </x:c>
      <x:c r="CS213" s="23" t="n">
        <x:f>MAX(0,MIN('Activities'!L213,558)-MAX('Activities'!K213,552))</x:f>
        <x:v>0</x:v>
      </x:c>
      <x:c r="CT213" s="23" t="n">
        <x:f>MAX(0,MIN('Activities'!L213,564)-MAX('Activities'!K213,558))</x:f>
        <x:v>0</x:v>
      </x:c>
      <x:c r="CU213" s="23" t="n">
        <x:f>MAX(0,MIN('Activities'!L213,570)-MAX('Activities'!K213,564))</x:f>
        <x:v>0</x:v>
      </x:c>
      <x:c r="CV213" s="23" t="n">
        <x:f>MAX(0,MIN('Activities'!L213,576)-MAX('Activities'!K213,570))</x:f>
        <x:v>0</x:v>
      </x:c>
      <x:c r="CW213" s="23" t="n">
        <x:f>MAX(0,MIN('Activities'!L213,582)-MAX('Activities'!K213,576))</x:f>
        <x:v>0</x:v>
      </x:c>
      <x:c r="CX213" s="23" t="n">
        <x:f>MAX(0,MIN('Activities'!L213,588)-MAX('Activities'!K213,582))</x:f>
        <x:v>0</x:v>
      </x:c>
      <x:c r="CY213" s="23" t="n">
        <x:f>MAX(0,MIN('Activities'!L213,594)-MAX('Activities'!K213,588))</x:f>
        <x:v>0</x:v>
      </x:c>
      <x:c r="CZ213" s="23" t="n">
        <x:f>MAX(0,MIN('Activities'!L213,600)-MAX('Activities'!K213,594))</x:f>
        <x:v>0</x:v>
      </x:c>
      <x:c r="DA213" s="23" t="n">
        <x:f>MAX(0,MIN('Activities'!L213,606)-MAX('Activities'!K213,600))</x:f>
        <x:v>0</x:v>
      </x:c>
      <x:c r="DB213" s="23" t="n">
        <x:f>MAX(0,MIN('Activities'!L213,612)-MAX('Activities'!K213,606))</x:f>
        <x:v>0</x:v>
      </x:c>
      <x:c r="DC213" s="23" t="n">
        <x:f>MAX(0,MIN('Activities'!L213,618)-MAX('Activities'!K213,612))</x:f>
        <x:v>0</x:v>
      </x:c>
      <x:c r="DD213" s="23" t="n">
        <x:f>MAX(0,MIN('Activities'!L213,624)-MAX('Activities'!K213,618))</x:f>
        <x:v>0</x:v>
      </x:c>
      <x:c r="DE213" s="23" t="n">
        <x:f>MAX(0,MIN('Activities'!L213,630)-MAX('Activities'!K213,624))</x:f>
        <x:v>0</x:v>
      </x:c>
      <x:c r="DF213" s="23" t="n">
        <x:f>MAX(0,MIN('Activities'!L213,636)-MAX('Activities'!K213,630))</x:f>
        <x:v>0</x:v>
      </x:c>
    </x:row>
    <x:row r="214" ht="23" customHeight="1">
      <x:c r="A214" s="6" t="str">
        <x:v>T2-L01-A</x:v>
      </x:c>
      <x:c r="B214" s="6" t="str">
        <x:v>T2</x:v>
      </x:c>
      <x:c r="C214" s="6" t="str">
        <x:v>Paint and final decorations</x:v>
      </x:c>
      <x:c r="D214" s="6" t="str">
        <x:v>Finishes</x:v>
      </x:c>
      <x:c r="E214" s="22" t="n">
        <x:f>MAX(0,MIN('Activities'!L214,6)-MAX('Activities'!K214,0))</x:f>
        <x:v>0</x:v>
      </x:c>
      <x:c r="F214" s="22" t="n">
        <x:f>MAX(0,MIN('Activities'!L214,12)-MAX('Activities'!K214,6))</x:f>
        <x:v>0</x:v>
      </x:c>
      <x:c r="G214" s="22" t="n">
        <x:f>MAX(0,MIN('Activities'!L214,18)-MAX('Activities'!K214,12))</x:f>
        <x:v>0</x:v>
      </x:c>
      <x:c r="H214" s="22" t="n">
        <x:f>MAX(0,MIN('Activities'!L214,24)-MAX('Activities'!K214,18))</x:f>
        <x:v>0</x:v>
      </x:c>
      <x:c r="I214" s="22" t="n">
        <x:f>MAX(0,MIN('Activities'!L214,30)-MAX('Activities'!K214,24))</x:f>
        <x:v>0</x:v>
      </x:c>
      <x:c r="J214" s="22" t="n">
        <x:f>MAX(0,MIN('Activities'!L214,36)-MAX('Activities'!K214,30))</x:f>
        <x:v>0</x:v>
      </x:c>
      <x:c r="K214" s="22" t="n">
        <x:f>MAX(0,MIN('Activities'!L214,42)-MAX('Activities'!K214,36))</x:f>
        <x:v>0</x:v>
      </x:c>
      <x:c r="L214" s="22" t="n">
        <x:f>MAX(0,MIN('Activities'!L214,48)-MAX('Activities'!K214,42))</x:f>
        <x:v>0</x:v>
      </x:c>
      <x:c r="M214" s="22" t="n">
        <x:f>MAX(0,MIN('Activities'!L214,54)-MAX('Activities'!K214,48))</x:f>
        <x:v>0</x:v>
      </x:c>
      <x:c r="N214" s="22" t="n">
        <x:f>MAX(0,MIN('Activities'!L214,60)-MAX('Activities'!K214,54))</x:f>
        <x:v>0</x:v>
      </x:c>
      <x:c r="O214" s="22" t="n">
        <x:f>MAX(0,MIN('Activities'!L214,66)-MAX('Activities'!K214,60))</x:f>
        <x:v>0</x:v>
      </x:c>
      <x:c r="P214" s="22" t="n">
        <x:f>MAX(0,MIN('Activities'!L214,72)-MAX('Activities'!K214,66))</x:f>
        <x:v>0</x:v>
      </x:c>
      <x:c r="Q214" s="22" t="n">
        <x:f>MAX(0,MIN('Activities'!L214,78)-MAX('Activities'!K214,72))</x:f>
        <x:v>0</x:v>
      </x:c>
      <x:c r="R214" s="22" t="n">
        <x:f>MAX(0,MIN('Activities'!L214,84)-MAX('Activities'!K214,78))</x:f>
        <x:v>0</x:v>
      </x:c>
      <x:c r="S214" s="22" t="n">
        <x:f>MAX(0,MIN('Activities'!L214,90)-MAX('Activities'!K214,84))</x:f>
        <x:v>0</x:v>
      </x:c>
      <x:c r="T214" s="22" t="n">
        <x:f>MAX(0,MIN('Activities'!L214,96)-MAX('Activities'!K214,90))</x:f>
        <x:v>0</x:v>
      </x:c>
      <x:c r="U214" s="22" t="n">
        <x:f>MAX(0,MIN('Activities'!L214,102)-MAX('Activities'!K214,96))</x:f>
        <x:v>0</x:v>
      </x:c>
      <x:c r="V214" s="22" t="n">
        <x:f>MAX(0,MIN('Activities'!L214,108)-MAX('Activities'!K214,102))</x:f>
        <x:v>0</x:v>
      </x:c>
      <x:c r="W214" s="22" t="n">
        <x:f>MAX(0,MIN('Activities'!L214,114)-MAX('Activities'!K214,108))</x:f>
        <x:v>0</x:v>
      </x:c>
      <x:c r="X214" s="22" t="n">
        <x:f>MAX(0,MIN('Activities'!L214,120)-MAX('Activities'!K214,114))</x:f>
        <x:v>0</x:v>
      </x:c>
      <x:c r="Y214" s="22" t="n">
        <x:f>MAX(0,MIN('Activities'!L214,126)-MAX('Activities'!K214,120))</x:f>
        <x:v>0</x:v>
      </x:c>
      <x:c r="Z214" s="22" t="n">
        <x:f>MAX(0,MIN('Activities'!L214,132)-MAX('Activities'!K214,126))</x:f>
        <x:v>0</x:v>
      </x:c>
      <x:c r="AA214" s="22" t="n">
        <x:f>MAX(0,MIN('Activities'!L214,138)-MAX('Activities'!K214,132))</x:f>
        <x:v>0</x:v>
      </x:c>
      <x:c r="AB214" s="22" t="n">
        <x:f>MAX(0,MIN('Activities'!L214,144)-MAX('Activities'!K214,138))</x:f>
        <x:v>0</x:v>
      </x:c>
      <x:c r="AC214" s="22" t="n">
        <x:f>MAX(0,MIN('Activities'!L214,150)-MAX('Activities'!K214,144))</x:f>
        <x:v>0</x:v>
      </x:c>
      <x:c r="AD214" s="22" t="n">
        <x:f>MAX(0,MIN('Activities'!L214,156)-MAX('Activities'!K214,150))</x:f>
        <x:v>0</x:v>
      </x:c>
      <x:c r="AE214" s="22" t="n">
        <x:f>MAX(0,MIN('Activities'!L214,162)-MAX('Activities'!K214,156))</x:f>
        <x:v>0</x:v>
      </x:c>
      <x:c r="AF214" s="22" t="n">
        <x:f>MAX(0,MIN('Activities'!L214,168)-MAX('Activities'!K214,162))</x:f>
        <x:v>0</x:v>
      </x:c>
      <x:c r="AG214" s="22" t="n">
        <x:f>MAX(0,MIN('Activities'!L214,174)-MAX('Activities'!K214,168))</x:f>
        <x:v>0</x:v>
      </x:c>
      <x:c r="AH214" s="22" t="n">
        <x:f>MAX(0,MIN('Activities'!L214,180)-MAX('Activities'!K214,174))</x:f>
        <x:v>0</x:v>
      </x:c>
      <x:c r="AI214" s="22" t="n">
        <x:f>MAX(0,MIN('Activities'!L214,186)-MAX('Activities'!K214,180))</x:f>
        <x:v>0</x:v>
      </x:c>
      <x:c r="AJ214" s="22" t="n">
        <x:f>MAX(0,MIN('Activities'!L214,192)-MAX('Activities'!K214,186))</x:f>
        <x:v>0</x:v>
      </x:c>
      <x:c r="AK214" s="22" t="n">
        <x:f>MAX(0,MIN('Activities'!L214,198)-MAX('Activities'!K214,192))</x:f>
        <x:v>0</x:v>
      </x:c>
      <x:c r="AL214" s="22" t="n">
        <x:f>MAX(0,MIN('Activities'!L214,204)-MAX('Activities'!K214,198))</x:f>
        <x:v>0</x:v>
      </x:c>
      <x:c r="AM214" s="22" t="n">
        <x:f>MAX(0,MIN('Activities'!L214,210)-MAX('Activities'!K214,204))</x:f>
        <x:v>0</x:v>
      </x:c>
      <x:c r="AN214" s="22" t="n">
        <x:f>MAX(0,MIN('Activities'!L214,216)-MAX('Activities'!K214,210))</x:f>
        <x:v>0</x:v>
      </x:c>
      <x:c r="AO214" s="22" t="n">
        <x:f>MAX(0,MIN('Activities'!L214,222)-MAX('Activities'!K214,216))</x:f>
        <x:v>0</x:v>
      </x:c>
      <x:c r="AP214" s="22" t="n">
        <x:f>MAX(0,MIN('Activities'!L214,228)-MAX('Activities'!K214,222))</x:f>
        <x:v>0</x:v>
      </x:c>
      <x:c r="AQ214" s="22" t="n">
        <x:f>MAX(0,MIN('Activities'!L214,234)-MAX('Activities'!K214,228))</x:f>
        <x:v>0</x:v>
      </x:c>
      <x:c r="AR214" s="22" t="n">
        <x:f>MAX(0,MIN('Activities'!L214,240)-MAX('Activities'!K214,234))</x:f>
        <x:v>0</x:v>
      </x:c>
      <x:c r="AS214" s="22" t="n">
        <x:f>MAX(0,MIN('Activities'!L214,246)-MAX('Activities'!K214,240))</x:f>
        <x:v>0</x:v>
      </x:c>
      <x:c r="AT214" s="22" t="n">
        <x:f>MAX(0,MIN('Activities'!L214,252)-MAX('Activities'!K214,246))</x:f>
        <x:v>0</x:v>
      </x:c>
      <x:c r="AU214" s="22" t="n">
        <x:f>MAX(0,MIN('Activities'!L214,258)-MAX('Activities'!K214,252))</x:f>
        <x:v>0</x:v>
      </x:c>
      <x:c r="AV214" s="22" t="n">
        <x:f>MAX(0,MIN('Activities'!L214,264)-MAX('Activities'!K214,258))</x:f>
        <x:v>0</x:v>
      </x:c>
      <x:c r="AW214" s="22" t="n">
        <x:f>MAX(0,MIN('Activities'!L214,270)-MAX('Activities'!K214,264))</x:f>
        <x:v>0</x:v>
      </x:c>
      <x:c r="AX214" s="22" t="n">
        <x:f>MAX(0,MIN('Activities'!L214,276)-MAX('Activities'!K214,270))</x:f>
        <x:v>0</x:v>
      </x:c>
      <x:c r="AY214" s="22" t="n">
        <x:f>MAX(0,MIN('Activities'!L214,282)-MAX('Activities'!K214,276))</x:f>
        <x:v>0</x:v>
      </x:c>
      <x:c r="AZ214" s="22" t="n">
        <x:f>MAX(0,MIN('Activities'!L214,288)-MAX('Activities'!K214,282))</x:f>
        <x:v>0</x:v>
      </x:c>
      <x:c r="BA214" s="22" t="n">
        <x:f>MAX(0,MIN('Activities'!L214,294)-MAX('Activities'!K214,288))</x:f>
        <x:v>0</x:v>
      </x:c>
      <x:c r="BB214" s="22" t="n">
        <x:f>MAX(0,MIN('Activities'!L214,300)-MAX('Activities'!K214,294))</x:f>
        <x:v>0</x:v>
      </x:c>
      <x:c r="BC214" s="22" t="n">
        <x:f>MAX(0,MIN('Activities'!L214,306)-MAX('Activities'!K214,300))</x:f>
        <x:v>0</x:v>
      </x:c>
      <x:c r="BD214" s="22" t="n">
        <x:f>MAX(0,MIN('Activities'!L214,312)-MAX('Activities'!K214,306))</x:f>
        <x:v>0</x:v>
      </x:c>
      <x:c r="BE214" s="22" t="n">
        <x:f>MAX(0,MIN('Activities'!L214,318)-MAX('Activities'!K214,312))</x:f>
        <x:v>0</x:v>
      </x:c>
      <x:c r="BF214" s="22" t="n">
        <x:f>MAX(0,MIN('Activities'!L214,324)-MAX('Activities'!K214,318))</x:f>
        <x:v>0</x:v>
      </x:c>
      <x:c r="BG214" s="22" t="n">
        <x:f>MAX(0,MIN('Activities'!L214,330)-MAX('Activities'!K214,324))</x:f>
        <x:v>0</x:v>
      </x:c>
      <x:c r="BH214" s="22" t="n">
        <x:f>MAX(0,MIN('Activities'!L214,336)-MAX('Activities'!K214,330))</x:f>
        <x:v>0</x:v>
      </x:c>
      <x:c r="BI214" s="22" t="n">
        <x:f>MAX(0,MIN('Activities'!L214,342)-MAX('Activities'!K214,336))</x:f>
        <x:v>0</x:v>
      </x:c>
      <x:c r="BJ214" s="22" t="n">
        <x:f>MAX(0,MIN('Activities'!L214,348)-MAX('Activities'!K214,342))</x:f>
        <x:v>0</x:v>
      </x:c>
      <x:c r="BK214" s="22" t="n">
        <x:f>MAX(0,MIN('Activities'!L214,354)-MAX('Activities'!K214,348))</x:f>
        <x:v>0</x:v>
      </x:c>
      <x:c r="BL214" s="22" t="n">
        <x:f>MAX(0,MIN('Activities'!L214,360)-MAX('Activities'!K214,354))</x:f>
        <x:v>0</x:v>
      </x:c>
      <x:c r="BM214" s="22" t="n">
        <x:f>MAX(0,MIN('Activities'!L214,366)-MAX('Activities'!K214,360))</x:f>
        <x:v>0</x:v>
      </x:c>
      <x:c r="BN214" s="22" t="n">
        <x:f>MAX(0,MIN('Activities'!L214,372)-MAX('Activities'!K214,366))</x:f>
        <x:v>0</x:v>
      </x:c>
      <x:c r="BO214" s="22" t="n">
        <x:f>MAX(0,MIN('Activities'!L214,378)-MAX('Activities'!K214,372))</x:f>
        <x:v>0</x:v>
      </x:c>
      <x:c r="BP214" s="22" t="n">
        <x:f>MAX(0,MIN('Activities'!L214,384)-MAX('Activities'!K214,378))</x:f>
        <x:v>0</x:v>
      </x:c>
      <x:c r="BQ214" s="22" t="n">
        <x:f>MAX(0,MIN('Activities'!L214,390)-MAX('Activities'!K214,384))</x:f>
        <x:v>0</x:v>
      </x:c>
      <x:c r="BR214" s="22" t="n">
        <x:f>MAX(0,MIN('Activities'!L214,396)-MAX('Activities'!K214,390))</x:f>
        <x:v>0</x:v>
      </x:c>
      <x:c r="BS214" s="22" t="n">
        <x:f>MAX(0,MIN('Activities'!L214,402)-MAX('Activities'!K214,396))</x:f>
        <x:v>0</x:v>
      </x:c>
      <x:c r="BT214" s="22" t="n">
        <x:f>MAX(0,MIN('Activities'!L214,408)-MAX('Activities'!K214,402))</x:f>
        <x:v>0</x:v>
      </x:c>
      <x:c r="BU214" s="22" t="n">
        <x:f>MAX(0,MIN('Activities'!L214,414)-MAX('Activities'!K214,408))</x:f>
        <x:v>0</x:v>
      </x:c>
      <x:c r="BV214" s="22" t="n">
        <x:f>MAX(0,MIN('Activities'!L214,420)-MAX('Activities'!K214,414))</x:f>
        <x:v>0</x:v>
      </x:c>
      <x:c r="BW214" s="22" t="n">
        <x:f>MAX(0,MIN('Activities'!L214,426)-MAX('Activities'!K214,420))</x:f>
        <x:v>5</x:v>
      </x:c>
      <x:c r="BX214" s="22" t="n">
        <x:f>MAX(0,MIN('Activities'!L214,432)-MAX('Activities'!K214,426))</x:f>
        <x:v>0</x:v>
      </x:c>
      <x:c r="BY214" s="22" t="n">
        <x:f>MAX(0,MIN('Activities'!L214,438)-MAX('Activities'!K214,432))</x:f>
        <x:v>0</x:v>
      </x:c>
      <x:c r="BZ214" s="22" t="n">
        <x:f>MAX(0,MIN('Activities'!L214,444)-MAX('Activities'!K214,438))</x:f>
        <x:v>0</x:v>
      </x:c>
      <x:c r="CA214" s="22" t="n">
        <x:f>MAX(0,MIN('Activities'!L214,450)-MAX('Activities'!K214,444))</x:f>
        <x:v>0</x:v>
      </x:c>
      <x:c r="CB214" s="22" t="n">
        <x:f>MAX(0,MIN('Activities'!L214,456)-MAX('Activities'!K214,450))</x:f>
        <x:v>0</x:v>
      </x:c>
      <x:c r="CC214" s="22" t="n">
        <x:f>MAX(0,MIN('Activities'!L214,462)-MAX('Activities'!K214,456))</x:f>
        <x:v>0</x:v>
      </x:c>
      <x:c r="CD214" s="22" t="n">
        <x:f>MAX(0,MIN('Activities'!L214,468)-MAX('Activities'!K214,462))</x:f>
        <x:v>0</x:v>
      </x:c>
      <x:c r="CE214" s="22" t="n">
        <x:f>MAX(0,MIN('Activities'!L214,474)-MAX('Activities'!K214,468))</x:f>
        <x:v>0</x:v>
      </x:c>
      <x:c r="CF214" s="22" t="n">
        <x:f>MAX(0,MIN('Activities'!L214,480)-MAX('Activities'!K214,474))</x:f>
        <x:v>0</x:v>
      </x:c>
      <x:c r="CG214" s="22" t="n">
        <x:f>MAX(0,MIN('Activities'!L214,486)-MAX('Activities'!K214,480))</x:f>
        <x:v>0</x:v>
      </x:c>
      <x:c r="CH214" s="22" t="n">
        <x:f>MAX(0,MIN('Activities'!L214,492)-MAX('Activities'!K214,486))</x:f>
        <x:v>0</x:v>
      </x:c>
      <x:c r="CI214" s="22" t="n">
        <x:f>MAX(0,MIN('Activities'!L214,498)-MAX('Activities'!K214,492))</x:f>
        <x:v>0</x:v>
      </x:c>
      <x:c r="CJ214" s="22" t="n">
        <x:f>MAX(0,MIN('Activities'!L214,504)-MAX('Activities'!K214,498))</x:f>
        <x:v>0</x:v>
      </x:c>
      <x:c r="CK214" s="22" t="n">
        <x:f>MAX(0,MIN('Activities'!L214,510)-MAX('Activities'!K214,504))</x:f>
        <x:v>0</x:v>
      </x:c>
      <x:c r="CL214" s="22" t="n">
        <x:f>MAX(0,MIN('Activities'!L214,516)-MAX('Activities'!K214,510))</x:f>
        <x:v>0</x:v>
      </x:c>
      <x:c r="CM214" s="22" t="n">
        <x:f>MAX(0,MIN('Activities'!L214,522)-MAX('Activities'!K214,516))</x:f>
        <x:v>0</x:v>
      </x:c>
      <x:c r="CN214" s="22" t="n">
        <x:f>MAX(0,MIN('Activities'!L214,528)-MAX('Activities'!K214,522))</x:f>
        <x:v>0</x:v>
      </x:c>
      <x:c r="CO214" s="22" t="n">
        <x:f>MAX(0,MIN('Activities'!L214,534)-MAX('Activities'!K214,528))</x:f>
        <x:v>0</x:v>
      </x:c>
      <x:c r="CP214" s="22" t="n">
        <x:f>MAX(0,MIN('Activities'!L214,540)-MAX('Activities'!K214,534))</x:f>
        <x:v>0</x:v>
      </x:c>
      <x:c r="CQ214" s="22" t="n">
        <x:f>MAX(0,MIN('Activities'!L214,546)-MAX('Activities'!K214,540))</x:f>
        <x:v>0</x:v>
      </x:c>
      <x:c r="CR214" s="22" t="n">
        <x:f>MAX(0,MIN('Activities'!L214,552)-MAX('Activities'!K214,546))</x:f>
        <x:v>0</x:v>
      </x:c>
      <x:c r="CS214" s="22" t="n">
        <x:f>MAX(0,MIN('Activities'!L214,558)-MAX('Activities'!K214,552))</x:f>
        <x:v>0</x:v>
      </x:c>
      <x:c r="CT214" s="22" t="n">
        <x:f>MAX(0,MIN('Activities'!L214,564)-MAX('Activities'!K214,558))</x:f>
        <x:v>0</x:v>
      </x:c>
      <x:c r="CU214" s="22" t="n">
        <x:f>MAX(0,MIN('Activities'!L214,570)-MAX('Activities'!K214,564))</x:f>
        <x:v>0</x:v>
      </x:c>
      <x:c r="CV214" s="22" t="n">
        <x:f>MAX(0,MIN('Activities'!L214,576)-MAX('Activities'!K214,570))</x:f>
        <x:v>0</x:v>
      </x:c>
      <x:c r="CW214" s="22" t="n">
        <x:f>MAX(0,MIN('Activities'!L214,582)-MAX('Activities'!K214,576))</x:f>
        <x:v>0</x:v>
      </x:c>
      <x:c r="CX214" s="22" t="n">
        <x:f>MAX(0,MIN('Activities'!L214,588)-MAX('Activities'!K214,582))</x:f>
        <x:v>0</x:v>
      </x:c>
      <x:c r="CY214" s="22" t="n">
        <x:f>MAX(0,MIN('Activities'!L214,594)-MAX('Activities'!K214,588))</x:f>
        <x:v>0</x:v>
      </x:c>
      <x:c r="CZ214" s="22" t="n">
        <x:f>MAX(0,MIN('Activities'!L214,600)-MAX('Activities'!K214,594))</x:f>
        <x:v>0</x:v>
      </x:c>
      <x:c r="DA214" s="22" t="n">
        <x:f>MAX(0,MIN('Activities'!L214,606)-MAX('Activities'!K214,600))</x:f>
        <x:v>0</x:v>
      </x:c>
      <x:c r="DB214" s="22" t="n">
        <x:f>MAX(0,MIN('Activities'!L214,612)-MAX('Activities'!K214,606))</x:f>
        <x:v>0</x:v>
      </x:c>
      <x:c r="DC214" s="22" t="n">
        <x:f>MAX(0,MIN('Activities'!L214,618)-MAX('Activities'!K214,612))</x:f>
        <x:v>0</x:v>
      </x:c>
      <x:c r="DD214" s="22" t="n">
        <x:f>MAX(0,MIN('Activities'!L214,624)-MAX('Activities'!K214,618))</x:f>
        <x:v>0</x:v>
      </x:c>
      <x:c r="DE214" s="22" t="n">
        <x:f>MAX(0,MIN('Activities'!L214,630)-MAX('Activities'!K214,624))</x:f>
        <x:v>0</x:v>
      </x:c>
      <x:c r="DF214" s="22" t="n">
        <x:f>MAX(0,MIN('Activities'!L214,636)-MAX('Activities'!K214,630))</x:f>
        <x:v>0</x:v>
      </x:c>
    </x:row>
    <x:row r="215" ht="23" customHeight="1">
      <x:c r="A215" s="1" t="str">
        <x:v>T2-L01-D</x:v>
      </x:c>
      <x:c r="B215" s="1" t="str">
        <x:v>T2</x:v>
      </x:c>
      <x:c r="C215" s="1" t="str">
        <x:v>Door sets and ironmongery</x:v>
      </x:c>
      <x:c r="D215" s="1" t="str">
        <x:v>Finishes</x:v>
      </x:c>
      <x:c r="E215" s="23" t="n">
        <x:f>MAX(0,MIN('Activities'!L215,6)-MAX('Activities'!K215,0))</x:f>
        <x:v>0</x:v>
      </x:c>
      <x:c r="F215" s="23" t="n">
        <x:f>MAX(0,MIN('Activities'!L215,12)-MAX('Activities'!K215,6))</x:f>
        <x:v>0</x:v>
      </x:c>
      <x:c r="G215" s="23" t="n">
        <x:f>MAX(0,MIN('Activities'!L215,18)-MAX('Activities'!K215,12))</x:f>
        <x:v>0</x:v>
      </x:c>
      <x:c r="H215" s="23" t="n">
        <x:f>MAX(0,MIN('Activities'!L215,24)-MAX('Activities'!K215,18))</x:f>
        <x:v>0</x:v>
      </x:c>
      <x:c r="I215" s="23" t="n">
        <x:f>MAX(0,MIN('Activities'!L215,30)-MAX('Activities'!K215,24))</x:f>
        <x:v>0</x:v>
      </x:c>
      <x:c r="J215" s="23" t="n">
        <x:f>MAX(0,MIN('Activities'!L215,36)-MAX('Activities'!K215,30))</x:f>
        <x:v>0</x:v>
      </x:c>
      <x:c r="K215" s="23" t="n">
        <x:f>MAX(0,MIN('Activities'!L215,42)-MAX('Activities'!K215,36))</x:f>
        <x:v>0</x:v>
      </x:c>
      <x:c r="L215" s="23" t="n">
        <x:f>MAX(0,MIN('Activities'!L215,48)-MAX('Activities'!K215,42))</x:f>
        <x:v>0</x:v>
      </x:c>
      <x:c r="M215" s="23" t="n">
        <x:f>MAX(0,MIN('Activities'!L215,54)-MAX('Activities'!K215,48))</x:f>
        <x:v>0</x:v>
      </x:c>
      <x:c r="N215" s="23" t="n">
        <x:f>MAX(0,MIN('Activities'!L215,60)-MAX('Activities'!K215,54))</x:f>
        <x:v>0</x:v>
      </x:c>
      <x:c r="O215" s="23" t="n">
        <x:f>MAX(0,MIN('Activities'!L215,66)-MAX('Activities'!K215,60))</x:f>
        <x:v>0</x:v>
      </x:c>
      <x:c r="P215" s="23" t="n">
        <x:f>MAX(0,MIN('Activities'!L215,72)-MAX('Activities'!K215,66))</x:f>
        <x:v>0</x:v>
      </x:c>
      <x:c r="Q215" s="23" t="n">
        <x:f>MAX(0,MIN('Activities'!L215,78)-MAX('Activities'!K215,72))</x:f>
        <x:v>0</x:v>
      </x:c>
      <x:c r="R215" s="23" t="n">
        <x:f>MAX(0,MIN('Activities'!L215,84)-MAX('Activities'!K215,78))</x:f>
        <x:v>0</x:v>
      </x:c>
      <x:c r="S215" s="23" t="n">
        <x:f>MAX(0,MIN('Activities'!L215,90)-MAX('Activities'!K215,84))</x:f>
        <x:v>0</x:v>
      </x:c>
      <x:c r="T215" s="23" t="n">
        <x:f>MAX(0,MIN('Activities'!L215,96)-MAX('Activities'!K215,90))</x:f>
        <x:v>0</x:v>
      </x:c>
      <x:c r="U215" s="23" t="n">
        <x:f>MAX(0,MIN('Activities'!L215,102)-MAX('Activities'!K215,96))</x:f>
        <x:v>0</x:v>
      </x:c>
      <x:c r="V215" s="23" t="n">
        <x:f>MAX(0,MIN('Activities'!L215,108)-MAX('Activities'!K215,102))</x:f>
        <x:v>0</x:v>
      </x:c>
      <x:c r="W215" s="23" t="n">
        <x:f>MAX(0,MIN('Activities'!L215,114)-MAX('Activities'!K215,108))</x:f>
        <x:v>0</x:v>
      </x:c>
      <x:c r="X215" s="23" t="n">
        <x:f>MAX(0,MIN('Activities'!L215,120)-MAX('Activities'!K215,114))</x:f>
        <x:v>0</x:v>
      </x:c>
      <x:c r="Y215" s="23" t="n">
        <x:f>MAX(0,MIN('Activities'!L215,126)-MAX('Activities'!K215,120))</x:f>
        <x:v>0</x:v>
      </x:c>
      <x:c r="Z215" s="23" t="n">
        <x:f>MAX(0,MIN('Activities'!L215,132)-MAX('Activities'!K215,126))</x:f>
        <x:v>0</x:v>
      </x:c>
      <x:c r="AA215" s="23" t="n">
        <x:f>MAX(0,MIN('Activities'!L215,138)-MAX('Activities'!K215,132))</x:f>
        <x:v>0</x:v>
      </x:c>
      <x:c r="AB215" s="23" t="n">
        <x:f>MAX(0,MIN('Activities'!L215,144)-MAX('Activities'!K215,138))</x:f>
        <x:v>0</x:v>
      </x:c>
      <x:c r="AC215" s="23" t="n">
        <x:f>MAX(0,MIN('Activities'!L215,150)-MAX('Activities'!K215,144))</x:f>
        <x:v>0</x:v>
      </x:c>
      <x:c r="AD215" s="23" t="n">
        <x:f>MAX(0,MIN('Activities'!L215,156)-MAX('Activities'!K215,150))</x:f>
        <x:v>0</x:v>
      </x:c>
      <x:c r="AE215" s="23" t="n">
        <x:f>MAX(0,MIN('Activities'!L215,162)-MAX('Activities'!K215,156))</x:f>
        <x:v>0</x:v>
      </x:c>
      <x:c r="AF215" s="23" t="n">
        <x:f>MAX(0,MIN('Activities'!L215,168)-MAX('Activities'!K215,162))</x:f>
        <x:v>0</x:v>
      </x:c>
      <x:c r="AG215" s="23" t="n">
        <x:f>MAX(0,MIN('Activities'!L215,174)-MAX('Activities'!K215,168))</x:f>
        <x:v>0</x:v>
      </x:c>
      <x:c r="AH215" s="23" t="n">
        <x:f>MAX(0,MIN('Activities'!L215,180)-MAX('Activities'!K215,174))</x:f>
        <x:v>0</x:v>
      </x:c>
      <x:c r="AI215" s="23" t="n">
        <x:f>MAX(0,MIN('Activities'!L215,186)-MAX('Activities'!K215,180))</x:f>
        <x:v>0</x:v>
      </x:c>
      <x:c r="AJ215" s="23" t="n">
        <x:f>MAX(0,MIN('Activities'!L215,192)-MAX('Activities'!K215,186))</x:f>
        <x:v>0</x:v>
      </x:c>
      <x:c r="AK215" s="23" t="n">
        <x:f>MAX(0,MIN('Activities'!L215,198)-MAX('Activities'!K215,192))</x:f>
        <x:v>0</x:v>
      </x:c>
      <x:c r="AL215" s="23" t="n">
        <x:f>MAX(0,MIN('Activities'!L215,204)-MAX('Activities'!K215,198))</x:f>
        <x:v>0</x:v>
      </x:c>
      <x:c r="AM215" s="23" t="n">
        <x:f>MAX(0,MIN('Activities'!L215,210)-MAX('Activities'!K215,204))</x:f>
        <x:v>0</x:v>
      </x:c>
      <x:c r="AN215" s="23" t="n">
        <x:f>MAX(0,MIN('Activities'!L215,216)-MAX('Activities'!K215,210))</x:f>
        <x:v>0</x:v>
      </x:c>
      <x:c r="AO215" s="23" t="n">
        <x:f>MAX(0,MIN('Activities'!L215,222)-MAX('Activities'!K215,216))</x:f>
        <x:v>0</x:v>
      </x:c>
      <x:c r="AP215" s="23" t="n">
        <x:f>MAX(0,MIN('Activities'!L215,228)-MAX('Activities'!K215,222))</x:f>
        <x:v>0</x:v>
      </x:c>
      <x:c r="AQ215" s="23" t="n">
        <x:f>MAX(0,MIN('Activities'!L215,234)-MAX('Activities'!K215,228))</x:f>
        <x:v>0</x:v>
      </x:c>
      <x:c r="AR215" s="23" t="n">
        <x:f>MAX(0,MIN('Activities'!L215,240)-MAX('Activities'!K215,234))</x:f>
        <x:v>0</x:v>
      </x:c>
      <x:c r="AS215" s="23" t="n">
        <x:f>MAX(0,MIN('Activities'!L215,246)-MAX('Activities'!K215,240))</x:f>
        <x:v>0</x:v>
      </x:c>
      <x:c r="AT215" s="23" t="n">
        <x:f>MAX(0,MIN('Activities'!L215,252)-MAX('Activities'!K215,246))</x:f>
        <x:v>0</x:v>
      </x:c>
      <x:c r="AU215" s="23" t="n">
        <x:f>MAX(0,MIN('Activities'!L215,258)-MAX('Activities'!K215,252))</x:f>
        <x:v>0</x:v>
      </x:c>
      <x:c r="AV215" s="23" t="n">
        <x:f>MAX(0,MIN('Activities'!L215,264)-MAX('Activities'!K215,258))</x:f>
        <x:v>0</x:v>
      </x:c>
      <x:c r="AW215" s="23" t="n">
        <x:f>MAX(0,MIN('Activities'!L215,270)-MAX('Activities'!K215,264))</x:f>
        <x:v>0</x:v>
      </x:c>
      <x:c r="AX215" s="23" t="n">
        <x:f>MAX(0,MIN('Activities'!L215,276)-MAX('Activities'!K215,270))</x:f>
        <x:v>0</x:v>
      </x:c>
      <x:c r="AY215" s="23" t="n">
        <x:f>MAX(0,MIN('Activities'!L215,282)-MAX('Activities'!K215,276))</x:f>
        <x:v>0</x:v>
      </x:c>
      <x:c r="AZ215" s="23" t="n">
        <x:f>MAX(0,MIN('Activities'!L215,288)-MAX('Activities'!K215,282))</x:f>
        <x:v>0</x:v>
      </x:c>
      <x:c r="BA215" s="23" t="n">
        <x:f>MAX(0,MIN('Activities'!L215,294)-MAX('Activities'!K215,288))</x:f>
        <x:v>0</x:v>
      </x:c>
      <x:c r="BB215" s="23" t="n">
        <x:f>MAX(0,MIN('Activities'!L215,300)-MAX('Activities'!K215,294))</x:f>
        <x:v>0</x:v>
      </x:c>
      <x:c r="BC215" s="23" t="n">
        <x:f>MAX(0,MIN('Activities'!L215,306)-MAX('Activities'!K215,300))</x:f>
        <x:v>0</x:v>
      </x:c>
      <x:c r="BD215" s="23" t="n">
        <x:f>MAX(0,MIN('Activities'!L215,312)-MAX('Activities'!K215,306))</x:f>
        <x:v>0</x:v>
      </x:c>
      <x:c r="BE215" s="23" t="n">
        <x:f>MAX(0,MIN('Activities'!L215,318)-MAX('Activities'!K215,312))</x:f>
        <x:v>0</x:v>
      </x:c>
      <x:c r="BF215" s="23" t="n">
        <x:f>MAX(0,MIN('Activities'!L215,324)-MAX('Activities'!K215,318))</x:f>
        <x:v>0</x:v>
      </x:c>
      <x:c r="BG215" s="23" t="n">
        <x:f>MAX(0,MIN('Activities'!L215,330)-MAX('Activities'!K215,324))</x:f>
        <x:v>0</x:v>
      </x:c>
      <x:c r="BH215" s="23" t="n">
        <x:f>MAX(0,MIN('Activities'!L215,336)-MAX('Activities'!K215,330))</x:f>
        <x:v>0</x:v>
      </x:c>
      <x:c r="BI215" s="23" t="n">
        <x:f>MAX(0,MIN('Activities'!L215,342)-MAX('Activities'!K215,336))</x:f>
        <x:v>0</x:v>
      </x:c>
      <x:c r="BJ215" s="23" t="n">
        <x:f>MAX(0,MIN('Activities'!L215,348)-MAX('Activities'!K215,342))</x:f>
        <x:v>0</x:v>
      </x:c>
      <x:c r="BK215" s="23" t="n">
        <x:f>MAX(0,MIN('Activities'!L215,354)-MAX('Activities'!K215,348))</x:f>
        <x:v>0</x:v>
      </x:c>
      <x:c r="BL215" s="23" t="n">
        <x:f>MAX(0,MIN('Activities'!L215,360)-MAX('Activities'!K215,354))</x:f>
        <x:v>0</x:v>
      </x:c>
      <x:c r="BM215" s="23" t="n">
        <x:f>MAX(0,MIN('Activities'!L215,366)-MAX('Activities'!K215,360))</x:f>
        <x:v>0</x:v>
      </x:c>
      <x:c r="BN215" s="23" t="n">
        <x:f>MAX(0,MIN('Activities'!L215,372)-MAX('Activities'!K215,366))</x:f>
        <x:v>0</x:v>
      </x:c>
      <x:c r="BO215" s="23" t="n">
        <x:f>MAX(0,MIN('Activities'!L215,378)-MAX('Activities'!K215,372))</x:f>
        <x:v>0</x:v>
      </x:c>
      <x:c r="BP215" s="23" t="n">
        <x:f>MAX(0,MIN('Activities'!L215,384)-MAX('Activities'!K215,378))</x:f>
        <x:v>0</x:v>
      </x:c>
      <x:c r="BQ215" s="23" t="n">
        <x:f>MAX(0,MIN('Activities'!L215,390)-MAX('Activities'!K215,384))</x:f>
        <x:v>0</x:v>
      </x:c>
      <x:c r="BR215" s="23" t="n">
        <x:f>MAX(0,MIN('Activities'!L215,396)-MAX('Activities'!K215,390))</x:f>
        <x:v>0</x:v>
      </x:c>
      <x:c r="BS215" s="23" t="n">
        <x:f>MAX(0,MIN('Activities'!L215,402)-MAX('Activities'!K215,396))</x:f>
        <x:v>0</x:v>
      </x:c>
      <x:c r="BT215" s="23" t="n">
        <x:f>MAX(0,MIN('Activities'!L215,408)-MAX('Activities'!K215,402))</x:f>
        <x:v>0</x:v>
      </x:c>
      <x:c r="BU215" s="23" t="n">
        <x:f>MAX(0,MIN('Activities'!L215,414)-MAX('Activities'!K215,408))</x:f>
        <x:v>0</x:v>
      </x:c>
      <x:c r="BV215" s="23" t="n">
        <x:f>MAX(0,MIN('Activities'!L215,420)-MAX('Activities'!K215,414))</x:f>
        <x:v>0</x:v>
      </x:c>
      <x:c r="BW215" s="23" t="n">
        <x:f>MAX(0,MIN('Activities'!L215,426)-MAX('Activities'!K215,420))</x:f>
        <x:v>0</x:v>
      </x:c>
      <x:c r="BX215" s="23" t="n">
        <x:f>MAX(0,MIN('Activities'!L215,432)-MAX('Activities'!K215,426))</x:f>
        <x:v>3</x:v>
      </x:c>
      <x:c r="BY215" s="23" t="n">
        <x:f>MAX(0,MIN('Activities'!L215,438)-MAX('Activities'!K215,432))</x:f>
        <x:v>0</x:v>
      </x:c>
      <x:c r="BZ215" s="23" t="n">
        <x:f>MAX(0,MIN('Activities'!L215,444)-MAX('Activities'!K215,438))</x:f>
        <x:v>0</x:v>
      </x:c>
      <x:c r="CA215" s="23" t="n">
        <x:f>MAX(0,MIN('Activities'!L215,450)-MAX('Activities'!K215,444))</x:f>
        <x:v>0</x:v>
      </x:c>
      <x:c r="CB215" s="23" t="n">
        <x:f>MAX(0,MIN('Activities'!L215,456)-MAX('Activities'!K215,450))</x:f>
        <x:v>0</x:v>
      </x:c>
      <x:c r="CC215" s="23" t="n">
        <x:f>MAX(0,MIN('Activities'!L215,462)-MAX('Activities'!K215,456))</x:f>
        <x:v>0</x:v>
      </x:c>
      <x:c r="CD215" s="23" t="n">
        <x:f>MAX(0,MIN('Activities'!L215,468)-MAX('Activities'!K215,462))</x:f>
        <x:v>0</x:v>
      </x:c>
      <x:c r="CE215" s="23" t="n">
        <x:f>MAX(0,MIN('Activities'!L215,474)-MAX('Activities'!K215,468))</x:f>
        <x:v>0</x:v>
      </x:c>
      <x:c r="CF215" s="23" t="n">
        <x:f>MAX(0,MIN('Activities'!L215,480)-MAX('Activities'!K215,474))</x:f>
        <x:v>0</x:v>
      </x:c>
      <x:c r="CG215" s="23" t="n">
        <x:f>MAX(0,MIN('Activities'!L215,486)-MAX('Activities'!K215,480))</x:f>
        <x:v>0</x:v>
      </x:c>
      <x:c r="CH215" s="23" t="n">
        <x:f>MAX(0,MIN('Activities'!L215,492)-MAX('Activities'!K215,486))</x:f>
        <x:v>0</x:v>
      </x:c>
      <x:c r="CI215" s="23" t="n">
        <x:f>MAX(0,MIN('Activities'!L215,498)-MAX('Activities'!K215,492))</x:f>
        <x:v>0</x:v>
      </x:c>
      <x:c r="CJ215" s="23" t="n">
        <x:f>MAX(0,MIN('Activities'!L215,504)-MAX('Activities'!K215,498))</x:f>
        <x:v>0</x:v>
      </x:c>
      <x:c r="CK215" s="23" t="n">
        <x:f>MAX(0,MIN('Activities'!L215,510)-MAX('Activities'!K215,504))</x:f>
        <x:v>0</x:v>
      </x:c>
      <x:c r="CL215" s="23" t="n">
        <x:f>MAX(0,MIN('Activities'!L215,516)-MAX('Activities'!K215,510))</x:f>
        <x:v>0</x:v>
      </x:c>
      <x:c r="CM215" s="23" t="n">
        <x:f>MAX(0,MIN('Activities'!L215,522)-MAX('Activities'!K215,516))</x:f>
        <x:v>0</x:v>
      </x:c>
      <x:c r="CN215" s="23" t="n">
        <x:f>MAX(0,MIN('Activities'!L215,528)-MAX('Activities'!K215,522))</x:f>
        <x:v>0</x:v>
      </x:c>
      <x:c r="CO215" s="23" t="n">
        <x:f>MAX(0,MIN('Activities'!L215,534)-MAX('Activities'!K215,528))</x:f>
        <x:v>0</x:v>
      </x:c>
      <x:c r="CP215" s="23" t="n">
        <x:f>MAX(0,MIN('Activities'!L215,540)-MAX('Activities'!K215,534))</x:f>
        <x:v>0</x:v>
      </x:c>
      <x:c r="CQ215" s="23" t="n">
        <x:f>MAX(0,MIN('Activities'!L215,546)-MAX('Activities'!K215,540))</x:f>
        <x:v>0</x:v>
      </x:c>
      <x:c r="CR215" s="23" t="n">
        <x:f>MAX(0,MIN('Activities'!L215,552)-MAX('Activities'!K215,546))</x:f>
        <x:v>0</x:v>
      </x:c>
      <x:c r="CS215" s="23" t="n">
        <x:f>MAX(0,MIN('Activities'!L215,558)-MAX('Activities'!K215,552))</x:f>
        <x:v>0</x:v>
      </x:c>
      <x:c r="CT215" s="23" t="n">
        <x:f>MAX(0,MIN('Activities'!L215,564)-MAX('Activities'!K215,558))</x:f>
        <x:v>0</x:v>
      </x:c>
      <x:c r="CU215" s="23" t="n">
        <x:f>MAX(0,MIN('Activities'!L215,570)-MAX('Activities'!K215,564))</x:f>
        <x:v>0</x:v>
      </x:c>
      <x:c r="CV215" s="23" t="n">
        <x:f>MAX(0,MIN('Activities'!L215,576)-MAX('Activities'!K215,570))</x:f>
        <x:v>0</x:v>
      </x:c>
      <x:c r="CW215" s="23" t="n">
        <x:f>MAX(0,MIN('Activities'!L215,582)-MAX('Activities'!K215,576))</x:f>
        <x:v>0</x:v>
      </x:c>
      <x:c r="CX215" s="23" t="n">
        <x:f>MAX(0,MIN('Activities'!L215,588)-MAX('Activities'!K215,582))</x:f>
        <x:v>0</x:v>
      </x:c>
      <x:c r="CY215" s="23" t="n">
        <x:f>MAX(0,MIN('Activities'!L215,594)-MAX('Activities'!K215,588))</x:f>
        <x:v>0</x:v>
      </x:c>
      <x:c r="CZ215" s="23" t="n">
        <x:f>MAX(0,MIN('Activities'!L215,600)-MAX('Activities'!K215,594))</x:f>
        <x:v>0</x:v>
      </x:c>
      <x:c r="DA215" s="23" t="n">
        <x:f>MAX(0,MIN('Activities'!L215,606)-MAX('Activities'!K215,600))</x:f>
        <x:v>0</x:v>
      </x:c>
      <x:c r="DB215" s="23" t="n">
        <x:f>MAX(0,MIN('Activities'!L215,612)-MAX('Activities'!K215,606))</x:f>
        <x:v>0</x:v>
      </x:c>
      <x:c r="DC215" s="23" t="n">
        <x:f>MAX(0,MIN('Activities'!L215,618)-MAX('Activities'!K215,612))</x:f>
        <x:v>0</x:v>
      </x:c>
      <x:c r="DD215" s="23" t="n">
        <x:f>MAX(0,MIN('Activities'!L215,624)-MAX('Activities'!K215,618))</x:f>
        <x:v>0</x:v>
      </x:c>
      <x:c r="DE215" s="23" t="n">
        <x:f>MAX(0,MIN('Activities'!L215,630)-MAX('Activities'!K215,624))</x:f>
        <x:v>0</x:v>
      </x:c>
      <x:c r="DF215" s="23" t="n">
        <x:f>MAX(0,MIN('Activities'!L215,636)-MAX('Activities'!K215,630))</x:f>
        <x:v>0</x:v>
      </x:c>
    </x:row>
    <x:row r="216" ht="23" customHeight="1">
      <x:c r="A216" s="6" t="str">
        <x:v>T2-L02-M</x:v>
      </x:c>
      <x:c r="B216" s="6" t="str">
        <x:v>T2</x:v>
      </x:c>
      <x:c r="C216" s="6" t="str">
        <x:v>Partition masonry</x:v>
      </x:c>
      <x:c r="D216" s="6" t="str">
        <x:v>Masonry</x:v>
      </x:c>
      <x:c r="E216" s="22" t="n">
        <x:f>MAX(0,MIN('Activities'!L216,6)-MAX('Activities'!K216,0))</x:f>
        <x:v>0</x:v>
      </x:c>
      <x:c r="F216" s="22" t="n">
        <x:f>MAX(0,MIN('Activities'!L216,12)-MAX('Activities'!K216,6))</x:f>
        <x:v>0</x:v>
      </x:c>
      <x:c r="G216" s="22" t="n">
        <x:f>MAX(0,MIN('Activities'!L216,18)-MAX('Activities'!K216,12))</x:f>
        <x:v>0</x:v>
      </x:c>
      <x:c r="H216" s="22" t="n">
        <x:f>MAX(0,MIN('Activities'!L216,24)-MAX('Activities'!K216,18))</x:f>
        <x:v>0</x:v>
      </x:c>
      <x:c r="I216" s="22" t="n">
        <x:f>MAX(0,MIN('Activities'!L216,30)-MAX('Activities'!K216,24))</x:f>
        <x:v>0</x:v>
      </x:c>
      <x:c r="J216" s="22" t="n">
        <x:f>MAX(0,MIN('Activities'!L216,36)-MAX('Activities'!K216,30))</x:f>
        <x:v>0</x:v>
      </x:c>
      <x:c r="K216" s="22" t="n">
        <x:f>MAX(0,MIN('Activities'!L216,42)-MAX('Activities'!K216,36))</x:f>
        <x:v>0</x:v>
      </x:c>
      <x:c r="L216" s="22" t="n">
        <x:f>MAX(0,MIN('Activities'!L216,48)-MAX('Activities'!K216,42))</x:f>
        <x:v>0</x:v>
      </x:c>
      <x:c r="M216" s="22" t="n">
        <x:f>MAX(0,MIN('Activities'!L216,54)-MAX('Activities'!K216,48))</x:f>
        <x:v>0</x:v>
      </x:c>
      <x:c r="N216" s="22" t="n">
        <x:f>MAX(0,MIN('Activities'!L216,60)-MAX('Activities'!K216,54))</x:f>
        <x:v>0</x:v>
      </x:c>
      <x:c r="O216" s="22" t="n">
        <x:f>MAX(0,MIN('Activities'!L216,66)-MAX('Activities'!K216,60))</x:f>
        <x:v>0</x:v>
      </x:c>
      <x:c r="P216" s="22" t="n">
        <x:f>MAX(0,MIN('Activities'!L216,72)-MAX('Activities'!K216,66))</x:f>
        <x:v>0</x:v>
      </x:c>
      <x:c r="Q216" s="22" t="n">
        <x:f>MAX(0,MIN('Activities'!L216,78)-MAX('Activities'!K216,72))</x:f>
        <x:v>0</x:v>
      </x:c>
      <x:c r="R216" s="22" t="n">
        <x:f>MAX(0,MIN('Activities'!L216,84)-MAX('Activities'!K216,78))</x:f>
        <x:v>0</x:v>
      </x:c>
      <x:c r="S216" s="22" t="n">
        <x:f>MAX(0,MIN('Activities'!L216,90)-MAX('Activities'!K216,84))</x:f>
        <x:v>0</x:v>
      </x:c>
      <x:c r="T216" s="22" t="n">
        <x:f>MAX(0,MIN('Activities'!L216,96)-MAX('Activities'!K216,90))</x:f>
        <x:v>0</x:v>
      </x:c>
      <x:c r="U216" s="22" t="n">
        <x:f>MAX(0,MIN('Activities'!L216,102)-MAX('Activities'!K216,96))</x:f>
        <x:v>0</x:v>
      </x:c>
      <x:c r="V216" s="22" t="n">
        <x:f>MAX(0,MIN('Activities'!L216,108)-MAX('Activities'!K216,102))</x:f>
        <x:v>0</x:v>
      </x:c>
      <x:c r="W216" s="22" t="n">
        <x:f>MAX(0,MIN('Activities'!L216,114)-MAX('Activities'!K216,108))</x:f>
        <x:v>0</x:v>
      </x:c>
      <x:c r="X216" s="22" t="n">
        <x:f>MAX(0,MIN('Activities'!L216,120)-MAX('Activities'!K216,114))</x:f>
        <x:v>0</x:v>
      </x:c>
      <x:c r="Y216" s="22" t="n">
        <x:f>MAX(0,MIN('Activities'!L216,126)-MAX('Activities'!K216,120))</x:f>
        <x:v>0</x:v>
      </x:c>
      <x:c r="Z216" s="22" t="n">
        <x:f>MAX(0,MIN('Activities'!L216,132)-MAX('Activities'!K216,126))</x:f>
        <x:v>0</x:v>
      </x:c>
      <x:c r="AA216" s="22" t="n">
        <x:f>MAX(0,MIN('Activities'!L216,138)-MAX('Activities'!K216,132))</x:f>
        <x:v>0</x:v>
      </x:c>
      <x:c r="AB216" s="22" t="n">
        <x:f>MAX(0,MIN('Activities'!L216,144)-MAX('Activities'!K216,138))</x:f>
        <x:v>0</x:v>
      </x:c>
      <x:c r="AC216" s="22" t="n">
        <x:f>MAX(0,MIN('Activities'!L216,150)-MAX('Activities'!K216,144))</x:f>
        <x:v>0</x:v>
      </x:c>
      <x:c r="AD216" s="22" t="n">
        <x:f>MAX(0,MIN('Activities'!L216,156)-MAX('Activities'!K216,150))</x:f>
        <x:v>0</x:v>
      </x:c>
      <x:c r="AE216" s="22" t="n">
        <x:f>MAX(0,MIN('Activities'!L216,162)-MAX('Activities'!K216,156))</x:f>
        <x:v>0</x:v>
      </x:c>
      <x:c r="AF216" s="22" t="n">
        <x:f>MAX(0,MIN('Activities'!L216,168)-MAX('Activities'!K216,162))</x:f>
        <x:v>0</x:v>
      </x:c>
      <x:c r="AG216" s="22" t="n">
        <x:f>MAX(0,MIN('Activities'!L216,174)-MAX('Activities'!K216,168))</x:f>
        <x:v>0</x:v>
      </x:c>
      <x:c r="AH216" s="22" t="n">
        <x:f>MAX(0,MIN('Activities'!L216,180)-MAX('Activities'!K216,174))</x:f>
        <x:v>0</x:v>
      </x:c>
      <x:c r="AI216" s="22" t="n">
        <x:f>MAX(0,MIN('Activities'!L216,186)-MAX('Activities'!K216,180))</x:f>
        <x:v>0</x:v>
      </x:c>
      <x:c r="AJ216" s="22" t="n">
        <x:f>MAX(0,MIN('Activities'!L216,192)-MAX('Activities'!K216,186))</x:f>
        <x:v>0</x:v>
      </x:c>
      <x:c r="AK216" s="22" t="n">
        <x:f>MAX(0,MIN('Activities'!L216,198)-MAX('Activities'!K216,192))</x:f>
        <x:v>0</x:v>
      </x:c>
      <x:c r="AL216" s="22" t="n">
        <x:f>MAX(0,MIN('Activities'!L216,204)-MAX('Activities'!K216,198))</x:f>
        <x:v>0</x:v>
      </x:c>
      <x:c r="AM216" s="22" t="n">
        <x:f>MAX(0,MIN('Activities'!L216,210)-MAX('Activities'!K216,204))</x:f>
        <x:v>0</x:v>
      </x:c>
      <x:c r="AN216" s="22" t="n">
        <x:f>MAX(0,MIN('Activities'!L216,216)-MAX('Activities'!K216,210))</x:f>
        <x:v>0</x:v>
      </x:c>
      <x:c r="AO216" s="22" t="n">
        <x:f>MAX(0,MIN('Activities'!L216,222)-MAX('Activities'!K216,216))</x:f>
        <x:v>0</x:v>
      </x:c>
      <x:c r="AP216" s="22" t="n">
        <x:f>MAX(0,MIN('Activities'!L216,228)-MAX('Activities'!K216,222))</x:f>
        <x:v>0</x:v>
      </x:c>
      <x:c r="AQ216" s="22" t="n">
        <x:f>MAX(0,MIN('Activities'!L216,234)-MAX('Activities'!K216,228))</x:f>
        <x:v>0</x:v>
      </x:c>
      <x:c r="AR216" s="22" t="n">
        <x:f>MAX(0,MIN('Activities'!L216,240)-MAX('Activities'!K216,234))</x:f>
        <x:v>0</x:v>
      </x:c>
      <x:c r="AS216" s="22" t="n">
        <x:f>MAX(0,MIN('Activities'!L216,246)-MAX('Activities'!K216,240))</x:f>
        <x:v>0</x:v>
      </x:c>
      <x:c r="AT216" s="22" t="n">
        <x:f>MAX(0,MIN('Activities'!L216,252)-MAX('Activities'!K216,246))</x:f>
        <x:v>0</x:v>
      </x:c>
      <x:c r="AU216" s="22" t="n">
        <x:f>MAX(0,MIN('Activities'!L216,258)-MAX('Activities'!K216,252))</x:f>
        <x:v>0</x:v>
      </x:c>
      <x:c r="AV216" s="22" t="n">
        <x:f>MAX(0,MIN('Activities'!L216,264)-MAX('Activities'!K216,258))</x:f>
        <x:v>5</x:v>
      </x:c>
      <x:c r="AW216" s="22" t="n">
        <x:f>MAX(0,MIN('Activities'!L216,270)-MAX('Activities'!K216,264))</x:f>
        <x:v>0</x:v>
      </x:c>
      <x:c r="AX216" s="22" t="n">
        <x:f>MAX(0,MIN('Activities'!L216,276)-MAX('Activities'!K216,270))</x:f>
        <x:v>0</x:v>
      </x:c>
      <x:c r="AY216" s="22" t="n">
        <x:f>MAX(0,MIN('Activities'!L216,282)-MAX('Activities'!K216,276))</x:f>
        <x:v>0</x:v>
      </x:c>
      <x:c r="AZ216" s="22" t="n">
        <x:f>MAX(0,MIN('Activities'!L216,288)-MAX('Activities'!K216,282))</x:f>
        <x:v>0</x:v>
      </x:c>
      <x:c r="BA216" s="22" t="n">
        <x:f>MAX(0,MIN('Activities'!L216,294)-MAX('Activities'!K216,288))</x:f>
        <x:v>0</x:v>
      </x:c>
      <x:c r="BB216" s="22" t="n">
        <x:f>MAX(0,MIN('Activities'!L216,300)-MAX('Activities'!K216,294))</x:f>
        <x:v>0</x:v>
      </x:c>
      <x:c r="BC216" s="22" t="n">
        <x:f>MAX(0,MIN('Activities'!L216,306)-MAX('Activities'!K216,300))</x:f>
        <x:v>0</x:v>
      </x:c>
      <x:c r="BD216" s="22" t="n">
        <x:f>MAX(0,MIN('Activities'!L216,312)-MAX('Activities'!K216,306))</x:f>
        <x:v>0</x:v>
      </x:c>
      <x:c r="BE216" s="22" t="n">
        <x:f>MAX(0,MIN('Activities'!L216,318)-MAX('Activities'!K216,312))</x:f>
        <x:v>0</x:v>
      </x:c>
      <x:c r="BF216" s="22" t="n">
        <x:f>MAX(0,MIN('Activities'!L216,324)-MAX('Activities'!K216,318))</x:f>
        <x:v>0</x:v>
      </x:c>
      <x:c r="BG216" s="22" t="n">
        <x:f>MAX(0,MIN('Activities'!L216,330)-MAX('Activities'!K216,324))</x:f>
        <x:v>0</x:v>
      </x:c>
      <x:c r="BH216" s="22" t="n">
        <x:f>MAX(0,MIN('Activities'!L216,336)-MAX('Activities'!K216,330))</x:f>
        <x:v>0</x:v>
      </x:c>
      <x:c r="BI216" s="22" t="n">
        <x:f>MAX(0,MIN('Activities'!L216,342)-MAX('Activities'!K216,336))</x:f>
        <x:v>0</x:v>
      </x:c>
      <x:c r="BJ216" s="22" t="n">
        <x:f>MAX(0,MIN('Activities'!L216,348)-MAX('Activities'!K216,342))</x:f>
        <x:v>0</x:v>
      </x:c>
      <x:c r="BK216" s="22" t="n">
        <x:f>MAX(0,MIN('Activities'!L216,354)-MAX('Activities'!K216,348))</x:f>
        <x:v>0</x:v>
      </x:c>
      <x:c r="BL216" s="22" t="n">
        <x:f>MAX(0,MIN('Activities'!L216,360)-MAX('Activities'!K216,354))</x:f>
        <x:v>0</x:v>
      </x:c>
      <x:c r="BM216" s="22" t="n">
        <x:f>MAX(0,MIN('Activities'!L216,366)-MAX('Activities'!K216,360))</x:f>
        <x:v>0</x:v>
      </x:c>
      <x:c r="BN216" s="22" t="n">
        <x:f>MAX(0,MIN('Activities'!L216,372)-MAX('Activities'!K216,366))</x:f>
        <x:v>0</x:v>
      </x:c>
      <x:c r="BO216" s="22" t="n">
        <x:f>MAX(0,MIN('Activities'!L216,378)-MAX('Activities'!K216,372))</x:f>
        <x:v>0</x:v>
      </x:c>
      <x:c r="BP216" s="22" t="n">
        <x:f>MAX(0,MIN('Activities'!L216,384)-MAX('Activities'!K216,378))</x:f>
        <x:v>0</x:v>
      </x:c>
      <x:c r="BQ216" s="22" t="n">
        <x:f>MAX(0,MIN('Activities'!L216,390)-MAX('Activities'!K216,384))</x:f>
        <x:v>0</x:v>
      </x:c>
      <x:c r="BR216" s="22" t="n">
        <x:f>MAX(0,MIN('Activities'!L216,396)-MAX('Activities'!K216,390))</x:f>
        <x:v>0</x:v>
      </x:c>
      <x:c r="BS216" s="22" t="n">
        <x:f>MAX(0,MIN('Activities'!L216,402)-MAX('Activities'!K216,396))</x:f>
        <x:v>0</x:v>
      </x:c>
      <x:c r="BT216" s="22" t="n">
        <x:f>MAX(0,MIN('Activities'!L216,408)-MAX('Activities'!K216,402))</x:f>
        <x:v>0</x:v>
      </x:c>
      <x:c r="BU216" s="22" t="n">
        <x:f>MAX(0,MIN('Activities'!L216,414)-MAX('Activities'!K216,408))</x:f>
        <x:v>0</x:v>
      </x:c>
      <x:c r="BV216" s="22" t="n">
        <x:f>MAX(0,MIN('Activities'!L216,420)-MAX('Activities'!K216,414))</x:f>
        <x:v>0</x:v>
      </x:c>
      <x:c r="BW216" s="22" t="n">
        <x:f>MAX(0,MIN('Activities'!L216,426)-MAX('Activities'!K216,420))</x:f>
        <x:v>0</x:v>
      </x:c>
      <x:c r="BX216" s="22" t="n">
        <x:f>MAX(0,MIN('Activities'!L216,432)-MAX('Activities'!K216,426))</x:f>
        <x:v>0</x:v>
      </x:c>
      <x:c r="BY216" s="22" t="n">
        <x:f>MAX(0,MIN('Activities'!L216,438)-MAX('Activities'!K216,432))</x:f>
        <x:v>0</x:v>
      </x:c>
      <x:c r="BZ216" s="22" t="n">
        <x:f>MAX(0,MIN('Activities'!L216,444)-MAX('Activities'!K216,438))</x:f>
        <x:v>0</x:v>
      </x:c>
      <x:c r="CA216" s="22" t="n">
        <x:f>MAX(0,MIN('Activities'!L216,450)-MAX('Activities'!K216,444))</x:f>
        <x:v>0</x:v>
      </x:c>
      <x:c r="CB216" s="22" t="n">
        <x:f>MAX(0,MIN('Activities'!L216,456)-MAX('Activities'!K216,450))</x:f>
        <x:v>0</x:v>
      </x:c>
      <x:c r="CC216" s="22" t="n">
        <x:f>MAX(0,MIN('Activities'!L216,462)-MAX('Activities'!K216,456))</x:f>
        <x:v>0</x:v>
      </x:c>
      <x:c r="CD216" s="22" t="n">
        <x:f>MAX(0,MIN('Activities'!L216,468)-MAX('Activities'!K216,462))</x:f>
        <x:v>0</x:v>
      </x:c>
      <x:c r="CE216" s="22" t="n">
        <x:f>MAX(0,MIN('Activities'!L216,474)-MAX('Activities'!K216,468))</x:f>
        <x:v>0</x:v>
      </x:c>
      <x:c r="CF216" s="22" t="n">
        <x:f>MAX(0,MIN('Activities'!L216,480)-MAX('Activities'!K216,474))</x:f>
        <x:v>0</x:v>
      </x:c>
      <x:c r="CG216" s="22" t="n">
        <x:f>MAX(0,MIN('Activities'!L216,486)-MAX('Activities'!K216,480))</x:f>
        <x:v>0</x:v>
      </x:c>
      <x:c r="CH216" s="22" t="n">
        <x:f>MAX(0,MIN('Activities'!L216,492)-MAX('Activities'!K216,486))</x:f>
        <x:v>0</x:v>
      </x:c>
      <x:c r="CI216" s="22" t="n">
        <x:f>MAX(0,MIN('Activities'!L216,498)-MAX('Activities'!K216,492))</x:f>
        <x:v>0</x:v>
      </x:c>
      <x:c r="CJ216" s="22" t="n">
        <x:f>MAX(0,MIN('Activities'!L216,504)-MAX('Activities'!K216,498))</x:f>
        <x:v>0</x:v>
      </x:c>
      <x:c r="CK216" s="22" t="n">
        <x:f>MAX(0,MIN('Activities'!L216,510)-MAX('Activities'!K216,504))</x:f>
        <x:v>0</x:v>
      </x:c>
      <x:c r="CL216" s="22" t="n">
        <x:f>MAX(0,MIN('Activities'!L216,516)-MAX('Activities'!K216,510))</x:f>
        <x:v>0</x:v>
      </x:c>
      <x:c r="CM216" s="22" t="n">
        <x:f>MAX(0,MIN('Activities'!L216,522)-MAX('Activities'!K216,516))</x:f>
        <x:v>0</x:v>
      </x:c>
      <x:c r="CN216" s="22" t="n">
        <x:f>MAX(0,MIN('Activities'!L216,528)-MAX('Activities'!K216,522))</x:f>
        <x:v>0</x:v>
      </x:c>
      <x:c r="CO216" s="22" t="n">
        <x:f>MAX(0,MIN('Activities'!L216,534)-MAX('Activities'!K216,528))</x:f>
        <x:v>0</x:v>
      </x:c>
      <x:c r="CP216" s="22" t="n">
        <x:f>MAX(0,MIN('Activities'!L216,540)-MAX('Activities'!K216,534))</x:f>
        <x:v>0</x:v>
      </x:c>
      <x:c r="CQ216" s="22" t="n">
        <x:f>MAX(0,MIN('Activities'!L216,546)-MAX('Activities'!K216,540))</x:f>
        <x:v>0</x:v>
      </x:c>
      <x:c r="CR216" s="22" t="n">
        <x:f>MAX(0,MIN('Activities'!L216,552)-MAX('Activities'!K216,546))</x:f>
        <x:v>0</x:v>
      </x:c>
      <x:c r="CS216" s="22" t="n">
        <x:f>MAX(0,MIN('Activities'!L216,558)-MAX('Activities'!K216,552))</x:f>
        <x:v>0</x:v>
      </x:c>
      <x:c r="CT216" s="22" t="n">
        <x:f>MAX(0,MIN('Activities'!L216,564)-MAX('Activities'!K216,558))</x:f>
        <x:v>0</x:v>
      </x:c>
      <x:c r="CU216" s="22" t="n">
        <x:f>MAX(0,MIN('Activities'!L216,570)-MAX('Activities'!K216,564))</x:f>
        <x:v>0</x:v>
      </x:c>
      <x:c r="CV216" s="22" t="n">
        <x:f>MAX(0,MIN('Activities'!L216,576)-MAX('Activities'!K216,570))</x:f>
        <x:v>0</x:v>
      </x:c>
      <x:c r="CW216" s="22" t="n">
        <x:f>MAX(0,MIN('Activities'!L216,582)-MAX('Activities'!K216,576))</x:f>
        <x:v>0</x:v>
      </x:c>
      <x:c r="CX216" s="22" t="n">
        <x:f>MAX(0,MIN('Activities'!L216,588)-MAX('Activities'!K216,582))</x:f>
        <x:v>0</x:v>
      </x:c>
      <x:c r="CY216" s="22" t="n">
        <x:f>MAX(0,MIN('Activities'!L216,594)-MAX('Activities'!K216,588))</x:f>
        <x:v>0</x:v>
      </x:c>
      <x:c r="CZ216" s="22" t="n">
        <x:f>MAX(0,MIN('Activities'!L216,600)-MAX('Activities'!K216,594))</x:f>
        <x:v>0</x:v>
      </x:c>
      <x:c r="DA216" s="22" t="n">
        <x:f>MAX(0,MIN('Activities'!L216,606)-MAX('Activities'!K216,600))</x:f>
        <x:v>0</x:v>
      </x:c>
      <x:c r="DB216" s="22" t="n">
        <x:f>MAX(0,MIN('Activities'!L216,612)-MAX('Activities'!K216,606))</x:f>
        <x:v>0</x:v>
      </x:c>
      <x:c r="DC216" s="22" t="n">
        <x:f>MAX(0,MIN('Activities'!L216,618)-MAX('Activities'!K216,612))</x:f>
        <x:v>0</x:v>
      </x:c>
      <x:c r="DD216" s="22" t="n">
        <x:f>MAX(0,MIN('Activities'!L216,624)-MAX('Activities'!K216,618))</x:f>
        <x:v>0</x:v>
      </x:c>
      <x:c r="DE216" s="22" t="n">
        <x:f>MAX(0,MIN('Activities'!L216,630)-MAX('Activities'!K216,624))</x:f>
        <x:v>0</x:v>
      </x:c>
      <x:c r="DF216" s="22" t="n">
        <x:f>MAX(0,MIN('Activities'!L216,636)-MAX('Activities'!K216,630))</x:f>
        <x:v>0</x:v>
      </x:c>
    </x:row>
    <x:row r="217" ht="23" customHeight="1">
      <x:c r="A217" s="1" t="str">
        <x:v>T2-L02-P</x:v>
      </x:c>
      <x:c r="B217" s="1" t="str">
        <x:v>T2</x:v>
      </x:c>
      <x:c r="C217" s="1" t="str">
        <x:v>Internal plaster</x:v>
      </x:c>
      <x:c r="D217" s="1" t="str">
        <x:v>Finishes</x:v>
      </x:c>
      <x:c r="E217" s="23" t="n">
        <x:f>MAX(0,MIN('Activities'!L217,6)-MAX('Activities'!K217,0))</x:f>
        <x:v>0</x:v>
      </x:c>
      <x:c r="F217" s="23" t="n">
        <x:f>MAX(0,MIN('Activities'!L217,12)-MAX('Activities'!K217,6))</x:f>
        <x:v>0</x:v>
      </x:c>
      <x:c r="G217" s="23" t="n">
        <x:f>MAX(0,MIN('Activities'!L217,18)-MAX('Activities'!K217,12))</x:f>
        <x:v>0</x:v>
      </x:c>
      <x:c r="H217" s="23" t="n">
        <x:f>MAX(0,MIN('Activities'!L217,24)-MAX('Activities'!K217,18))</x:f>
        <x:v>0</x:v>
      </x:c>
      <x:c r="I217" s="23" t="n">
        <x:f>MAX(0,MIN('Activities'!L217,30)-MAX('Activities'!K217,24))</x:f>
        <x:v>0</x:v>
      </x:c>
      <x:c r="J217" s="23" t="n">
        <x:f>MAX(0,MIN('Activities'!L217,36)-MAX('Activities'!K217,30))</x:f>
        <x:v>0</x:v>
      </x:c>
      <x:c r="K217" s="23" t="n">
        <x:f>MAX(0,MIN('Activities'!L217,42)-MAX('Activities'!K217,36))</x:f>
        <x:v>0</x:v>
      </x:c>
      <x:c r="L217" s="23" t="n">
        <x:f>MAX(0,MIN('Activities'!L217,48)-MAX('Activities'!K217,42))</x:f>
        <x:v>0</x:v>
      </x:c>
      <x:c r="M217" s="23" t="n">
        <x:f>MAX(0,MIN('Activities'!L217,54)-MAX('Activities'!K217,48))</x:f>
        <x:v>0</x:v>
      </x:c>
      <x:c r="N217" s="23" t="n">
        <x:f>MAX(0,MIN('Activities'!L217,60)-MAX('Activities'!K217,54))</x:f>
        <x:v>0</x:v>
      </x:c>
      <x:c r="O217" s="23" t="n">
        <x:f>MAX(0,MIN('Activities'!L217,66)-MAX('Activities'!K217,60))</x:f>
        <x:v>0</x:v>
      </x:c>
      <x:c r="P217" s="23" t="n">
        <x:f>MAX(0,MIN('Activities'!L217,72)-MAX('Activities'!K217,66))</x:f>
        <x:v>0</x:v>
      </x:c>
      <x:c r="Q217" s="23" t="n">
        <x:f>MAX(0,MIN('Activities'!L217,78)-MAX('Activities'!K217,72))</x:f>
        <x:v>0</x:v>
      </x:c>
      <x:c r="R217" s="23" t="n">
        <x:f>MAX(0,MIN('Activities'!L217,84)-MAX('Activities'!K217,78))</x:f>
        <x:v>0</x:v>
      </x:c>
      <x:c r="S217" s="23" t="n">
        <x:f>MAX(0,MIN('Activities'!L217,90)-MAX('Activities'!K217,84))</x:f>
        <x:v>0</x:v>
      </x:c>
      <x:c r="T217" s="23" t="n">
        <x:f>MAX(0,MIN('Activities'!L217,96)-MAX('Activities'!K217,90))</x:f>
        <x:v>0</x:v>
      </x:c>
      <x:c r="U217" s="23" t="n">
        <x:f>MAX(0,MIN('Activities'!L217,102)-MAX('Activities'!K217,96))</x:f>
        <x:v>0</x:v>
      </x:c>
      <x:c r="V217" s="23" t="n">
        <x:f>MAX(0,MIN('Activities'!L217,108)-MAX('Activities'!K217,102))</x:f>
        <x:v>0</x:v>
      </x:c>
      <x:c r="W217" s="23" t="n">
        <x:f>MAX(0,MIN('Activities'!L217,114)-MAX('Activities'!K217,108))</x:f>
        <x:v>0</x:v>
      </x:c>
      <x:c r="X217" s="23" t="n">
        <x:f>MAX(0,MIN('Activities'!L217,120)-MAX('Activities'!K217,114))</x:f>
        <x:v>0</x:v>
      </x:c>
      <x:c r="Y217" s="23" t="n">
        <x:f>MAX(0,MIN('Activities'!L217,126)-MAX('Activities'!K217,120))</x:f>
        <x:v>0</x:v>
      </x:c>
      <x:c r="Z217" s="23" t="n">
        <x:f>MAX(0,MIN('Activities'!L217,132)-MAX('Activities'!K217,126))</x:f>
        <x:v>0</x:v>
      </x:c>
      <x:c r="AA217" s="23" t="n">
        <x:f>MAX(0,MIN('Activities'!L217,138)-MAX('Activities'!K217,132))</x:f>
        <x:v>0</x:v>
      </x:c>
      <x:c r="AB217" s="23" t="n">
        <x:f>MAX(0,MIN('Activities'!L217,144)-MAX('Activities'!K217,138))</x:f>
        <x:v>0</x:v>
      </x:c>
      <x:c r="AC217" s="23" t="n">
        <x:f>MAX(0,MIN('Activities'!L217,150)-MAX('Activities'!K217,144))</x:f>
        <x:v>0</x:v>
      </x:c>
      <x:c r="AD217" s="23" t="n">
        <x:f>MAX(0,MIN('Activities'!L217,156)-MAX('Activities'!K217,150))</x:f>
        <x:v>0</x:v>
      </x:c>
      <x:c r="AE217" s="23" t="n">
        <x:f>MAX(0,MIN('Activities'!L217,162)-MAX('Activities'!K217,156))</x:f>
        <x:v>0</x:v>
      </x:c>
      <x:c r="AF217" s="23" t="n">
        <x:f>MAX(0,MIN('Activities'!L217,168)-MAX('Activities'!K217,162))</x:f>
        <x:v>0</x:v>
      </x:c>
      <x:c r="AG217" s="23" t="n">
        <x:f>MAX(0,MIN('Activities'!L217,174)-MAX('Activities'!K217,168))</x:f>
        <x:v>0</x:v>
      </x:c>
      <x:c r="AH217" s="23" t="n">
        <x:f>MAX(0,MIN('Activities'!L217,180)-MAX('Activities'!K217,174))</x:f>
        <x:v>0</x:v>
      </x:c>
      <x:c r="AI217" s="23" t="n">
        <x:f>MAX(0,MIN('Activities'!L217,186)-MAX('Activities'!K217,180))</x:f>
        <x:v>0</x:v>
      </x:c>
      <x:c r="AJ217" s="23" t="n">
        <x:f>MAX(0,MIN('Activities'!L217,192)-MAX('Activities'!K217,186))</x:f>
        <x:v>0</x:v>
      </x:c>
      <x:c r="AK217" s="23" t="n">
        <x:f>MAX(0,MIN('Activities'!L217,198)-MAX('Activities'!K217,192))</x:f>
        <x:v>0</x:v>
      </x:c>
      <x:c r="AL217" s="23" t="n">
        <x:f>MAX(0,MIN('Activities'!L217,204)-MAX('Activities'!K217,198))</x:f>
        <x:v>0</x:v>
      </x:c>
      <x:c r="AM217" s="23" t="n">
        <x:f>MAX(0,MIN('Activities'!L217,210)-MAX('Activities'!K217,204))</x:f>
        <x:v>0</x:v>
      </x:c>
      <x:c r="AN217" s="23" t="n">
        <x:f>MAX(0,MIN('Activities'!L217,216)-MAX('Activities'!K217,210))</x:f>
        <x:v>0</x:v>
      </x:c>
      <x:c r="AO217" s="23" t="n">
        <x:f>MAX(0,MIN('Activities'!L217,222)-MAX('Activities'!K217,216))</x:f>
        <x:v>0</x:v>
      </x:c>
      <x:c r="AP217" s="23" t="n">
        <x:f>MAX(0,MIN('Activities'!L217,228)-MAX('Activities'!K217,222))</x:f>
        <x:v>0</x:v>
      </x:c>
      <x:c r="AQ217" s="23" t="n">
        <x:f>MAX(0,MIN('Activities'!L217,234)-MAX('Activities'!K217,228))</x:f>
        <x:v>0</x:v>
      </x:c>
      <x:c r="AR217" s="23" t="n">
        <x:f>MAX(0,MIN('Activities'!L217,240)-MAX('Activities'!K217,234))</x:f>
        <x:v>0</x:v>
      </x:c>
      <x:c r="AS217" s="23" t="n">
        <x:f>MAX(0,MIN('Activities'!L217,246)-MAX('Activities'!K217,240))</x:f>
        <x:v>0</x:v>
      </x:c>
      <x:c r="AT217" s="23" t="n">
        <x:f>MAX(0,MIN('Activities'!L217,252)-MAX('Activities'!K217,246))</x:f>
        <x:v>0</x:v>
      </x:c>
      <x:c r="AU217" s="23" t="n">
        <x:f>MAX(0,MIN('Activities'!L217,258)-MAX('Activities'!K217,252))</x:f>
        <x:v>0</x:v>
      </x:c>
      <x:c r="AV217" s="23" t="n">
        <x:f>MAX(0,MIN('Activities'!L217,264)-MAX('Activities'!K217,258))</x:f>
        <x:v>0</x:v>
      </x:c>
      <x:c r="AW217" s="23" t="n">
        <x:f>MAX(0,MIN('Activities'!L217,270)-MAX('Activities'!K217,264))</x:f>
        <x:v>3</x:v>
      </x:c>
      <x:c r="AX217" s="23" t="n">
        <x:f>MAX(0,MIN('Activities'!L217,276)-MAX('Activities'!K217,270))</x:f>
        <x:v>3</x:v>
      </x:c>
      <x:c r="AY217" s="23" t="n">
        <x:f>MAX(0,MIN('Activities'!L217,282)-MAX('Activities'!K217,276))</x:f>
        <x:v>0</x:v>
      </x:c>
      <x:c r="AZ217" s="23" t="n">
        <x:f>MAX(0,MIN('Activities'!L217,288)-MAX('Activities'!K217,282))</x:f>
        <x:v>0</x:v>
      </x:c>
      <x:c r="BA217" s="23" t="n">
        <x:f>MAX(0,MIN('Activities'!L217,294)-MAX('Activities'!K217,288))</x:f>
        <x:v>0</x:v>
      </x:c>
      <x:c r="BB217" s="23" t="n">
        <x:f>MAX(0,MIN('Activities'!L217,300)-MAX('Activities'!K217,294))</x:f>
        <x:v>0</x:v>
      </x:c>
      <x:c r="BC217" s="23" t="n">
        <x:f>MAX(0,MIN('Activities'!L217,306)-MAX('Activities'!K217,300))</x:f>
        <x:v>0</x:v>
      </x:c>
      <x:c r="BD217" s="23" t="n">
        <x:f>MAX(0,MIN('Activities'!L217,312)-MAX('Activities'!K217,306))</x:f>
        <x:v>0</x:v>
      </x:c>
      <x:c r="BE217" s="23" t="n">
        <x:f>MAX(0,MIN('Activities'!L217,318)-MAX('Activities'!K217,312))</x:f>
        <x:v>0</x:v>
      </x:c>
      <x:c r="BF217" s="23" t="n">
        <x:f>MAX(0,MIN('Activities'!L217,324)-MAX('Activities'!K217,318))</x:f>
        <x:v>0</x:v>
      </x:c>
      <x:c r="BG217" s="23" t="n">
        <x:f>MAX(0,MIN('Activities'!L217,330)-MAX('Activities'!K217,324))</x:f>
        <x:v>0</x:v>
      </x:c>
      <x:c r="BH217" s="23" t="n">
        <x:f>MAX(0,MIN('Activities'!L217,336)-MAX('Activities'!K217,330))</x:f>
        <x:v>0</x:v>
      </x:c>
      <x:c r="BI217" s="23" t="n">
        <x:f>MAX(0,MIN('Activities'!L217,342)-MAX('Activities'!K217,336))</x:f>
        <x:v>0</x:v>
      </x:c>
      <x:c r="BJ217" s="23" t="n">
        <x:f>MAX(0,MIN('Activities'!L217,348)-MAX('Activities'!K217,342))</x:f>
        <x:v>0</x:v>
      </x:c>
      <x:c r="BK217" s="23" t="n">
        <x:f>MAX(0,MIN('Activities'!L217,354)-MAX('Activities'!K217,348))</x:f>
        <x:v>0</x:v>
      </x:c>
      <x:c r="BL217" s="23" t="n">
        <x:f>MAX(0,MIN('Activities'!L217,360)-MAX('Activities'!K217,354))</x:f>
        <x:v>0</x:v>
      </x:c>
      <x:c r="BM217" s="23" t="n">
        <x:f>MAX(0,MIN('Activities'!L217,366)-MAX('Activities'!K217,360))</x:f>
        <x:v>0</x:v>
      </x:c>
      <x:c r="BN217" s="23" t="n">
        <x:f>MAX(0,MIN('Activities'!L217,372)-MAX('Activities'!K217,366))</x:f>
        <x:v>0</x:v>
      </x:c>
      <x:c r="BO217" s="23" t="n">
        <x:f>MAX(0,MIN('Activities'!L217,378)-MAX('Activities'!K217,372))</x:f>
        <x:v>0</x:v>
      </x:c>
      <x:c r="BP217" s="23" t="n">
        <x:f>MAX(0,MIN('Activities'!L217,384)-MAX('Activities'!K217,378))</x:f>
        <x:v>0</x:v>
      </x:c>
      <x:c r="BQ217" s="23" t="n">
        <x:f>MAX(0,MIN('Activities'!L217,390)-MAX('Activities'!K217,384))</x:f>
        <x:v>0</x:v>
      </x:c>
      <x:c r="BR217" s="23" t="n">
        <x:f>MAX(0,MIN('Activities'!L217,396)-MAX('Activities'!K217,390))</x:f>
        <x:v>0</x:v>
      </x:c>
      <x:c r="BS217" s="23" t="n">
        <x:f>MAX(0,MIN('Activities'!L217,402)-MAX('Activities'!K217,396))</x:f>
        <x:v>0</x:v>
      </x:c>
      <x:c r="BT217" s="23" t="n">
        <x:f>MAX(0,MIN('Activities'!L217,408)-MAX('Activities'!K217,402))</x:f>
        <x:v>0</x:v>
      </x:c>
      <x:c r="BU217" s="23" t="n">
        <x:f>MAX(0,MIN('Activities'!L217,414)-MAX('Activities'!K217,408))</x:f>
        <x:v>0</x:v>
      </x:c>
      <x:c r="BV217" s="23" t="n">
        <x:f>MAX(0,MIN('Activities'!L217,420)-MAX('Activities'!K217,414))</x:f>
        <x:v>0</x:v>
      </x:c>
      <x:c r="BW217" s="23" t="n">
        <x:f>MAX(0,MIN('Activities'!L217,426)-MAX('Activities'!K217,420))</x:f>
        <x:v>0</x:v>
      </x:c>
      <x:c r="BX217" s="23" t="n">
        <x:f>MAX(0,MIN('Activities'!L217,432)-MAX('Activities'!K217,426))</x:f>
        <x:v>0</x:v>
      </x:c>
      <x:c r="BY217" s="23" t="n">
        <x:f>MAX(0,MIN('Activities'!L217,438)-MAX('Activities'!K217,432))</x:f>
        <x:v>0</x:v>
      </x:c>
      <x:c r="BZ217" s="23" t="n">
        <x:f>MAX(0,MIN('Activities'!L217,444)-MAX('Activities'!K217,438))</x:f>
        <x:v>0</x:v>
      </x:c>
      <x:c r="CA217" s="23" t="n">
        <x:f>MAX(0,MIN('Activities'!L217,450)-MAX('Activities'!K217,444))</x:f>
        <x:v>0</x:v>
      </x:c>
      <x:c r="CB217" s="23" t="n">
        <x:f>MAX(0,MIN('Activities'!L217,456)-MAX('Activities'!K217,450))</x:f>
        <x:v>0</x:v>
      </x:c>
      <x:c r="CC217" s="23" t="n">
        <x:f>MAX(0,MIN('Activities'!L217,462)-MAX('Activities'!K217,456))</x:f>
        <x:v>0</x:v>
      </x:c>
      <x:c r="CD217" s="23" t="n">
        <x:f>MAX(0,MIN('Activities'!L217,468)-MAX('Activities'!K217,462))</x:f>
        <x:v>0</x:v>
      </x:c>
      <x:c r="CE217" s="23" t="n">
        <x:f>MAX(0,MIN('Activities'!L217,474)-MAX('Activities'!K217,468))</x:f>
        <x:v>0</x:v>
      </x:c>
      <x:c r="CF217" s="23" t="n">
        <x:f>MAX(0,MIN('Activities'!L217,480)-MAX('Activities'!K217,474))</x:f>
        <x:v>0</x:v>
      </x:c>
      <x:c r="CG217" s="23" t="n">
        <x:f>MAX(0,MIN('Activities'!L217,486)-MAX('Activities'!K217,480))</x:f>
        <x:v>0</x:v>
      </x:c>
      <x:c r="CH217" s="23" t="n">
        <x:f>MAX(0,MIN('Activities'!L217,492)-MAX('Activities'!K217,486))</x:f>
        <x:v>0</x:v>
      </x:c>
      <x:c r="CI217" s="23" t="n">
        <x:f>MAX(0,MIN('Activities'!L217,498)-MAX('Activities'!K217,492))</x:f>
        <x:v>0</x:v>
      </x:c>
      <x:c r="CJ217" s="23" t="n">
        <x:f>MAX(0,MIN('Activities'!L217,504)-MAX('Activities'!K217,498))</x:f>
        <x:v>0</x:v>
      </x:c>
      <x:c r="CK217" s="23" t="n">
        <x:f>MAX(0,MIN('Activities'!L217,510)-MAX('Activities'!K217,504))</x:f>
        <x:v>0</x:v>
      </x:c>
      <x:c r="CL217" s="23" t="n">
        <x:f>MAX(0,MIN('Activities'!L217,516)-MAX('Activities'!K217,510))</x:f>
        <x:v>0</x:v>
      </x:c>
      <x:c r="CM217" s="23" t="n">
        <x:f>MAX(0,MIN('Activities'!L217,522)-MAX('Activities'!K217,516))</x:f>
        <x:v>0</x:v>
      </x:c>
      <x:c r="CN217" s="23" t="n">
        <x:f>MAX(0,MIN('Activities'!L217,528)-MAX('Activities'!K217,522))</x:f>
        <x:v>0</x:v>
      </x:c>
      <x:c r="CO217" s="23" t="n">
        <x:f>MAX(0,MIN('Activities'!L217,534)-MAX('Activities'!K217,528))</x:f>
        <x:v>0</x:v>
      </x:c>
      <x:c r="CP217" s="23" t="n">
        <x:f>MAX(0,MIN('Activities'!L217,540)-MAX('Activities'!K217,534))</x:f>
        <x:v>0</x:v>
      </x:c>
      <x:c r="CQ217" s="23" t="n">
        <x:f>MAX(0,MIN('Activities'!L217,546)-MAX('Activities'!K217,540))</x:f>
        <x:v>0</x:v>
      </x:c>
      <x:c r="CR217" s="23" t="n">
        <x:f>MAX(0,MIN('Activities'!L217,552)-MAX('Activities'!K217,546))</x:f>
        <x:v>0</x:v>
      </x:c>
      <x:c r="CS217" s="23" t="n">
        <x:f>MAX(0,MIN('Activities'!L217,558)-MAX('Activities'!K217,552))</x:f>
        <x:v>0</x:v>
      </x:c>
      <x:c r="CT217" s="23" t="n">
        <x:f>MAX(0,MIN('Activities'!L217,564)-MAX('Activities'!K217,558))</x:f>
        <x:v>0</x:v>
      </x:c>
      <x:c r="CU217" s="23" t="n">
        <x:f>MAX(0,MIN('Activities'!L217,570)-MAX('Activities'!K217,564))</x:f>
        <x:v>0</x:v>
      </x:c>
      <x:c r="CV217" s="23" t="n">
        <x:f>MAX(0,MIN('Activities'!L217,576)-MAX('Activities'!K217,570))</x:f>
        <x:v>0</x:v>
      </x:c>
      <x:c r="CW217" s="23" t="n">
        <x:f>MAX(0,MIN('Activities'!L217,582)-MAX('Activities'!K217,576))</x:f>
        <x:v>0</x:v>
      </x:c>
      <x:c r="CX217" s="23" t="n">
        <x:f>MAX(0,MIN('Activities'!L217,588)-MAX('Activities'!K217,582))</x:f>
        <x:v>0</x:v>
      </x:c>
      <x:c r="CY217" s="23" t="n">
        <x:f>MAX(0,MIN('Activities'!L217,594)-MAX('Activities'!K217,588))</x:f>
        <x:v>0</x:v>
      </x:c>
      <x:c r="CZ217" s="23" t="n">
        <x:f>MAX(0,MIN('Activities'!L217,600)-MAX('Activities'!K217,594))</x:f>
        <x:v>0</x:v>
      </x:c>
      <x:c r="DA217" s="23" t="n">
        <x:f>MAX(0,MIN('Activities'!L217,606)-MAX('Activities'!K217,600))</x:f>
        <x:v>0</x:v>
      </x:c>
      <x:c r="DB217" s="23" t="n">
        <x:f>MAX(0,MIN('Activities'!L217,612)-MAX('Activities'!K217,606))</x:f>
        <x:v>0</x:v>
      </x:c>
      <x:c r="DC217" s="23" t="n">
        <x:f>MAX(0,MIN('Activities'!L217,618)-MAX('Activities'!K217,612))</x:f>
        <x:v>0</x:v>
      </x:c>
      <x:c r="DD217" s="23" t="n">
        <x:f>MAX(0,MIN('Activities'!L217,624)-MAX('Activities'!K217,618))</x:f>
        <x:v>0</x:v>
      </x:c>
      <x:c r="DE217" s="23" t="n">
        <x:f>MAX(0,MIN('Activities'!L217,630)-MAX('Activities'!K217,624))</x:f>
        <x:v>0</x:v>
      </x:c>
      <x:c r="DF217" s="23" t="n">
        <x:f>MAX(0,MIN('Activities'!L217,636)-MAX('Activities'!K217,630))</x:f>
        <x:v>0</x:v>
      </x:c>
    </x:row>
    <x:row r="218" ht="23" customHeight="1">
      <x:c r="A218" s="6" t="str">
        <x:v>T2-L02-S</x:v>
      </x:c>
      <x:c r="B218" s="6" t="str">
        <x:v>T2</x:v>
      </x:c>
      <x:c r="C218" s="6" t="str">
        <x:v>Screed and substrate preparation</x:v>
      </x:c>
      <x:c r="D218" s="6" t="str">
        <x:v>Finishes</x:v>
      </x:c>
      <x:c r="E218" s="22" t="n">
        <x:f>MAX(0,MIN('Activities'!L218,6)-MAX('Activities'!K218,0))</x:f>
        <x:v>0</x:v>
      </x:c>
      <x:c r="F218" s="22" t="n">
        <x:f>MAX(0,MIN('Activities'!L218,12)-MAX('Activities'!K218,6))</x:f>
        <x:v>0</x:v>
      </x:c>
      <x:c r="G218" s="22" t="n">
        <x:f>MAX(0,MIN('Activities'!L218,18)-MAX('Activities'!K218,12))</x:f>
        <x:v>0</x:v>
      </x:c>
      <x:c r="H218" s="22" t="n">
        <x:f>MAX(0,MIN('Activities'!L218,24)-MAX('Activities'!K218,18))</x:f>
        <x:v>0</x:v>
      </x:c>
      <x:c r="I218" s="22" t="n">
        <x:f>MAX(0,MIN('Activities'!L218,30)-MAX('Activities'!K218,24))</x:f>
        <x:v>0</x:v>
      </x:c>
      <x:c r="J218" s="22" t="n">
        <x:f>MAX(0,MIN('Activities'!L218,36)-MAX('Activities'!K218,30))</x:f>
        <x:v>0</x:v>
      </x:c>
      <x:c r="K218" s="22" t="n">
        <x:f>MAX(0,MIN('Activities'!L218,42)-MAX('Activities'!K218,36))</x:f>
        <x:v>0</x:v>
      </x:c>
      <x:c r="L218" s="22" t="n">
        <x:f>MAX(0,MIN('Activities'!L218,48)-MAX('Activities'!K218,42))</x:f>
        <x:v>0</x:v>
      </x:c>
      <x:c r="M218" s="22" t="n">
        <x:f>MAX(0,MIN('Activities'!L218,54)-MAX('Activities'!K218,48))</x:f>
        <x:v>0</x:v>
      </x:c>
      <x:c r="N218" s="22" t="n">
        <x:f>MAX(0,MIN('Activities'!L218,60)-MAX('Activities'!K218,54))</x:f>
        <x:v>0</x:v>
      </x:c>
      <x:c r="O218" s="22" t="n">
        <x:f>MAX(0,MIN('Activities'!L218,66)-MAX('Activities'!K218,60))</x:f>
        <x:v>0</x:v>
      </x:c>
      <x:c r="P218" s="22" t="n">
        <x:f>MAX(0,MIN('Activities'!L218,72)-MAX('Activities'!K218,66))</x:f>
        <x:v>0</x:v>
      </x:c>
      <x:c r="Q218" s="22" t="n">
        <x:f>MAX(0,MIN('Activities'!L218,78)-MAX('Activities'!K218,72))</x:f>
        <x:v>0</x:v>
      </x:c>
      <x:c r="R218" s="22" t="n">
        <x:f>MAX(0,MIN('Activities'!L218,84)-MAX('Activities'!K218,78))</x:f>
        <x:v>0</x:v>
      </x:c>
      <x:c r="S218" s="22" t="n">
        <x:f>MAX(0,MIN('Activities'!L218,90)-MAX('Activities'!K218,84))</x:f>
        <x:v>0</x:v>
      </x:c>
      <x:c r="T218" s="22" t="n">
        <x:f>MAX(0,MIN('Activities'!L218,96)-MAX('Activities'!K218,90))</x:f>
        <x:v>0</x:v>
      </x:c>
      <x:c r="U218" s="22" t="n">
        <x:f>MAX(0,MIN('Activities'!L218,102)-MAX('Activities'!K218,96))</x:f>
        <x:v>0</x:v>
      </x:c>
      <x:c r="V218" s="22" t="n">
        <x:f>MAX(0,MIN('Activities'!L218,108)-MAX('Activities'!K218,102))</x:f>
        <x:v>0</x:v>
      </x:c>
      <x:c r="W218" s="22" t="n">
        <x:f>MAX(0,MIN('Activities'!L218,114)-MAX('Activities'!K218,108))</x:f>
        <x:v>0</x:v>
      </x:c>
      <x:c r="X218" s="22" t="n">
        <x:f>MAX(0,MIN('Activities'!L218,120)-MAX('Activities'!K218,114))</x:f>
        <x:v>0</x:v>
      </x:c>
      <x:c r="Y218" s="22" t="n">
        <x:f>MAX(0,MIN('Activities'!L218,126)-MAX('Activities'!K218,120))</x:f>
        <x:v>0</x:v>
      </x:c>
      <x:c r="Z218" s="22" t="n">
        <x:f>MAX(0,MIN('Activities'!L218,132)-MAX('Activities'!K218,126))</x:f>
        <x:v>0</x:v>
      </x:c>
      <x:c r="AA218" s="22" t="n">
        <x:f>MAX(0,MIN('Activities'!L218,138)-MAX('Activities'!K218,132))</x:f>
        <x:v>0</x:v>
      </x:c>
      <x:c r="AB218" s="22" t="n">
        <x:f>MAX(0,MIN('Activities'!L218,144)-MAX('Activities'!K218,138))</x:f>
        <x:v>0</x:v>
      </x:c>
      <x:c r="AC218" s="22" t="n">
        <x:f>MAX(0,MIN('Activities'!L218,150)-MAX('Activities'!K218,144))</x:f>
        <x:v>0</x:v>
      </x:c>
      <x:c r="AD218" s="22" t="n">
        <x:f>MAX(0,MIN('Activities'!L218,156)-MAX('Activities'!K218,150))</x:f>
        <x:v>0</x:v>
      </x:c>
      <x:c r="AE218" s="22" t="n">
        <x:f>MAX(0,MIN('Activities'!L218,162)-MAX('Activities'!K218,156))</x:f>
        <x:v>0</x:v>
      </x:c>
      <x:c r="AF218" s="22" t="n">
        <x:f>MAX(0,MIN('Activities'!L218,168)-MAX('Activities'!K218,162))</x:f>
        <x:v>0</x:v>
      </x:c>
      <x:c r="AG218" s="22" t="n">
        <x:f>MAX(0,MIN('Activities'!L218,174)-MAX('Activities'!K218,168))</x:f>
        <x:v>0</x:v>
      </x:c>
      <x:c r="AH218" s="22" t="n">
        <x:f>MAX(0,MIN('Activities'!L218,180)-MAX('Activities'!K218,174))</x:f>
        <x:v>0</x:v>
      </x:c>
      <x:c r="AI218" s="22" t="n">
        <x:f>MAX(0,MIN('Activities'!L218,186)-MAX('Activities'!K218,180))</x:f>
        <x:v>0</x:v>
      </x:c>
      <x:c r="AJ218" s="22" t="n">
        <x:f>MAX(0,MIN('Activities'!L218,192)-MAX('Activities'!K218,186))</x:f>
        <x:v>0</x:v>
      </x:c>
      <x:c r="AK218" s="22" t="n">
        <x:f>MAX(0,MIN('Activities'!L218,198)-MAX('Activities'!K218,192))</x:f>
        <x:v>0</x:v>
      </x:c>
      <x:c r="AL218" s="22" t="n">
        <x:f>MAX(0,MIN('Activities'!L218,204)-MAX('Activities'!K218,198))</x:f>
        <x:v>0</x:v>
      </x:c>
      <x:c r="AM218" s="22" t="n">
        <x:f>MAX(0,MIN('Activities'!L218,210)-MAX('Activities'!K218,204))</x:f>
        <x:v>0</x:v>
      </x:c>
      <x:c r="AN218" s="22" t="n">
        <x:f>MAX(0,MIN('Activities'!L218,216)-MAX('Activities'!K218,210))</x:f>
        <x:v>0</x:v>
      </x:c>
      <x:c r="AO218" s="22" t="n">
        <x:f>MAX(0,MIN('Activities'!L218,222)-MAX('Activities'!K218,216))</x:f>
        <x:v>0</x:v>
      </x:c>
      <x:c r="AP218" s="22" t="n">
        <x:f>MAX(0,MIN('Activities'!L218,228)-MAX('Activities'!K218,222))</x:f>
        <x:v>0</x:v>
      </x:c>
      <x:c r="AQ218" s="22" t="n">
        <x:f>MAX(0,MIN('Activities'!L218,234)-MAX('Activities'!K218,228))</x:f>
        <x:v>0</x:v>
      </x:c>
      <x:c r="AR218" s="22" t="n">
        <x:f>MAX(0,MIN('Activities'!L218,240)-MAX('Activities'!K218,234))</x:f>
        <x:v>0</x:v>
      </x:c>
      <x:c r="AS218" s="22" t="n">
        <x:f>MAX(0,MIN('Activities'!L218,246)-MAX('Activities'!K218,240))</x:f>
        <x:v>0</x:v>
      </x:c>
      <x:c r="AT218" s="22" t="n">
        <x:f>MAX(0,MIN('Activities'!L218,252)-MAX('Activities'!K218,246))</x:f>
        <x:v>0</x:v>
      </x:c>
      <x:c r="AU218" s="22" t="n">
        <x:f>MAX(0,MIN('Activities'!L218,258)-MAX('Activities'!K218,252))</x:f>
        <x:v>0</x:v>
      </x:c>
      <x:c r="AV218" s="22" t="n">
        <x:f>MAX(0,MIN('Activities'!L218,264)-MAX('Activities'!K218,258))</x:f>
        <x:v>0</x:v>
      </x:c>
      <x:c r="AW218" s="22" t="n">
        <x:f>MAX(0,MIN('Activities'!L218,270)-MAX('Activities'!K218,264))</x:f>
        <x:v>0</x:v>
      </x:c>
      <x:c r="AX218" s="22" t="n">
        <x:f>MAX(0,MIN('Activities'!L218,276)-MAX('Activities'!K218,270))</x:f>
        <x:v>1</x:v>
      </x:c>
      <x:c r="AY218" s="22" t="n">
        <x:f>MAX(0,MIN('Activities'!L218,282)-MAX('Activities'!K218,276))</x:f>
        <x:v>2</x:v>
      </x:c>
      <x:c r="AZ218" s="22" t="n">
        <x:f>MAX(0,MIN('Activities'!L218,288)-MAX('Activities'!K218,282))</x:f>
        <x:v>0</x:v>
      </x:c>
      <x:c r="BA218" s="22" t="n">
        <x:f>MAX(0,MIN('Activities'!L218,294)-MAX('Activities'!K218,288))</x:f>
        <x:v>0</x:v>
      </x:c>
      <x:c r="BB218" s="22" t="n">
        <x:f>MAX(0,MIN('Activities'!L218,300)-MAX('Activities'!K218,294))</x:f>
        <x:v>0</x:v>
      </x:c>
      <x:c r="BC218" s="22" t="n">
        <x:f>MAX(0,MIN('Activities'!L218,306)-MAX('Activities'!K218,300))</x:f>
        <x:v>0</x:v>
      </x:c>
      <x:c r="BD218" s="22" t="n">
        <x:f>MAX(0,MIN('Activities'!L218,312)-MAX('Activities'!K218,306))</x:f>
        <x:v>0</x:v>
      </x:c>
      <x:c r="BE218" s="22" t="n">
        <x:f>MAX(0,MIN('Activities'!L218,318)-MAX('Activities'!K218,312))</x:f>
        <x:v>0</x:v>
      </x:c>
      <x:c r="BF218" s="22" t="n">
        <x:f>MAX(0,MIN('Activities'!L218,324)-MAX('Activities'!K218,318))</x:f>
        <x:v>0</x:v>
      </x:c>
      <x:c r="BG218" s="22" t="n">
        <x:f>MAX(0,MIN('Activities'!L218,330)-MAX('Activities'!K218,324))</x:f>
        <x:v>0</x:v>
      </x:c>
      <x:c r="BH218" s="22" t="n">
        <x:f>MAX(0,MIN('Activities'!L218,336)-MAX('Activities'!K218,330))</x:f>
        <x:v>0</x:v>
      </x:c>
      <x:c r="BI218" s="22" t="n">
        <x:f>MAX(0,MIN('Activities'!L218,342)-MAX('Activities'!K218,336))</x:f>
        <x:v>0</x:v>
      </x:c>
      <x:c r="BJ218" s="22" t="n">
        <x:f>MAX(0,MIN('Activities'!L218,348)-MAX('Activities'!K218,342))</x:f>
        <x:v>0</x:v>
      </x:c>
      <x:c r="BK218" s="22" t="n">
        <x:f>MAX(0,MIN('Activities'!L218,354)-MAX('Activities'!K218,348))</x:f>
        <x:v>0</x:v>
      </x:c>
      <x:c r="BL218" s="22" t="n">
        <x:f>MAX(0,MIN('Activities'!L218,360)-MAX('Activities'!K218,354))</x:f>
        <x:v>0</x:v>
      </x:c>
      <x:c r="BM218" s="22" t="n">
        <x:f>MAX(0,MIN('Activities'!L218,366)-MAX('Activities'!K218,360))</x:f>
        <x:v>0</x:v>
      </x:c>
      <x:c r="BN218" s="22" t="n">
        <x:f>MAX(0,MIN('Activities'!L218,372)-MAX('Activities'!K218,366))</x:f>
        <x:v>0</x:v>
      </x:c>
      <x:c r="BO218" s="22" t="n">
        <x:f>MAX(0,MIN('Activities'!L218,378)-MAX('Activities'!K218,372))</x:f>
        <x:v>0</x:v>
      </x:c>
      <x:c r="BP218" s="22" t="n">
        <x:f>MAX(0,MIN('Activities'!L218,384)-MAX('Activities'!K218,378))</x:f>
        <x:v>0</x:v>
      </x:c>
      <x:c r="BQ218" s="22" t="n">
        <x:f>MAX(0,MIN('Activities'!L218,390)-MAX('Activities'!K218,384))</x:f>
        <x:v>0</x:v>
      </x:c>
      <x:c r="BR218" s="22" t="n">
        <x:f>MAX(0,MIN('Activities'!L218,396)-MAX('Activities'!K218,390))</x:f>
        <x:v>0</x:v>
      </x:c>
      <x:c r="BS218" s="22" t="n">
        <x:f>MAX(0,MIN('Activities'!L218,402)-MAX('Activities'!K218,396))</x:f>
        <x:v>0</x:v>
      </x:c>
      <x:c r="BT218" s="22" t="n">
        <x:f>MAX(0,MIN('Activities'!L218,408)-MAX('Activities'!K218,402))</x:f>
        <x:v>0</x:v>
      </x:c>
      <x:c r="BU218" s="22" t="n">
        <x:f>MAX(0,MIN('Activities'!L218,414)-MAX('Activities'!K218,408))</x:f>
        <x:v>0</x:v>
      </x:c>
      <x:c r="BV218" s="22" t="n">
        <x:f>MAX(0,MIN('Activities'!L218,420)-MAX('Activities'!K218,414))</x:f>
        <x:v>0</x:v>
      </x:c>
      <x:c r="BW218" s="22" t="n">
        <x:f>MAX(0,MIN('Activities'!L218,426)-MAX('Activities'!K218,420))</x:f>
        <x:v>0</x:v>
      </x:c>
      <x:c r="BX218" s="22" t="n">
        <x:f>MAX(0,MIN('Activities'!L218,432)-MAX('Activities'!K218,426))</x:f>
        <x:v>0</x:v>
      </x:c>
      <x:c r="BY218" s="22" t="n">
        <x:f>MAX(0,MIN('Activities'!L218,438)-MAX('Activities'!K218,432))</x:f>
        <x:v>0</x:v>
      </x:c>
      <x:c r="BZ218" s="22" t="n">
        <x:f>MAX(0,MIN('Activities'!L218,444)-MAX('Activities'!K218,438))</x:f>
        <x:v>0</x:v>
      </x:c>
      <x:c r="CA218" s="22" t="n">
        <x:f>MAX(0,MIN('Activities'!L218,450)-MAX('Activities'!K218,444))</x:f>
        <x:v>0</x:v>
      </x:c>
      <x:c r="CB218" s="22" t="n">
        <x:f>MAX(0,MIN('Activities'!L218,456)-MAX('Activities'!K218,450))</x:f>
        <x:v>0</x:v>
      </x:c>
      <x:c r="CC218" s="22" t="n">
        <x:f>MAX(0,MIN('Activities'!L218,462)-MAX('Activities'!K218,456))</x:f>
        <x:v>0</x:v>
      </x:c>
      <x:c r="CD218" s="22" t="n">
        <x:f>MAX(0,MIN('Activities'!L218,468)-MAX('Activities'!K218,462))</x:f>
        <x:v>0</x:v>
      </x:c>
      <x:c r="CE218" s="22" t="n">
        <x:f>MAX(0,MIN('Activities'!L218,474)-MAX('Activities'!K218,468))</x:f>
        <x:v>0</x:v>
      </x:c>
      <x:c r="CF218" s="22" t="n">
        <x:f>MAX(0,MIN('Activities'!L218,480)-MAX('Activities'!K218,474))</x:f>
        <x:v>0</x:v>
      </x:c>
      <x:c r="CG218" s="22" t="n">
        <x:f>MAX(0,MIN('Activities'!L218,486)-MAX('Activities'!K218,480))</x:f>
        <x:v>0</x:v>
      </x:c>
      <x:c r="CH218" s="22" t="n">
        <x:f>MAX(0,MIN('Activities'!L218,492)-MAX('Activities'!K218,486))</x:f>
        <x:v>0</x:v>
      </x:c>
      <x:c r="CI218" s="22" t="n">
        <x:f>MAX(0,MIN('Activities'!L218,498)-MAX('Activities'!K218,492))</x:f>
        <x:v>0</x:v>
      </x:c>
      <x:c r="CJ218" s="22" t="n">
        <x:f>MAX(0,MIN('Activities'!L218,504)-MAX('Activities'!K218,498))</x:f>
        <x:v>0</x:v>
      </x:c>
      <x:c r="CK218" s="22" t="n">
        <x:f>MAX(0,MIN('Activities'!L218,510)-MAX('Activities'!K218,504))</x:f>
        <x:v>0</x:v>
      </x:c>
      <x:c r="CL218" s="22" t="n">
        <x:f>MAX(0,MIN('Activities'!L218,516)-MAX('Activities'!K218,510))</x:f>
        <x:v>0</x:v>
      </x:c>
      <x:c r="CM218" s="22" t="n">
        <x:f>MAX(0,MIN('Activities'!L218,522)-MAX('Activities'!K218,516))</x:f>
        <x:v>0</x:v>
      </x:c>
      <x:c r="CN218" s="22" t="n">
        <x:f>MAX(0,MIN('Activities'!L218,528)-MAX('Activities'!K218,522))</x:f>
        <x:v>0</x:v>
      </x:c>
      <x:c r="CO218" s="22" t="n">
        <x:f>MAX(0,MIN('Activities'!L218,534)-MAX('Activities'!K218,528))</x:f>
        <x:v>0</x:v>
      </x:c>
      <x:c r="CP218" s="22" t="n">
        <x:f>MAX(0,MIN('Activities'!L218,540)-MAX('Activities'!K218,534))</x:f>
        <x:v>0</x:v>
      </x:c>
      <x:c r="CQ218" s="22" t="n">
        <x:f>MAX(0,MIN('Activities'!L218,546)-MAX('Activities'!K218,540))</x:f>
        <x:v>0</x:v>
      </x:c>
      <x:c r="CR218" s="22" t="n">
        <x:f>MAX(0,MIN('Activities'!L218,552)-MAX('Activities'!K218,546))</x:f>
        <x:v>0</x:v>
      </x:c>
      <x:c r="CS218" s="22" t="n">
        <x:f>MAX(0,MIN('Activities'!L218,558)-MAX('Activities'!K218,552))</x:f>
        <x:v>0</x:v>
      </x:c>
      <x:c r="CT218" s="22" t="n">
        <x:f>MAX(0,MIN('Activities'!L218,564)-MAX('Activities'!K218,558))</x:f>
        <x:v>0</x:v>
      </x:c>
      <x:c r="CU218" s="22" t="n">
        <x:f>MAX(0,MIN('Activities'!L218,570)-MAX('Activities'!K218,564))</x:f>
        <x:v>0</x:v>
      </x:c>
      <x:c r="CV218" s="22" t="n">
        <x:f>MAX(0,MIN('Activities'!L218,576)-MAX('Activities'!K218,570))</x:f>
        <x:v>0</x:v>
      </x:c>
      <x:c r="CW218" s="22" t="n">
        <x:f>MAX(0,MIN('Activities'!L218,582)-MAX('Activities'!K218,576))</x:f>
        <x:v>0</x:v>
      </x:c>
      <x:c r="CX218" s="22" t="n">
        <x:f>MAX(0,MIN('Activities'!L218,588)-MAX('Activities'!K218,582))</x:f>
        <x:v>0</x:v>
      </x:c>
      <x:c r="CY218" s="22" t="n">
        <x:f>MAX(0,MIN('Activities'!L218,594)-MAX('Activities'!K218,588))</x:f>
        <x:v>0</x:v>
      </x:c>
      <x:c r="CZ218" s="22" t="n">
        <x:f>MAX(0,MIN('Activities'!L218,600)-MAX('Activities'!K218,594))</x:f>
        <x:v>0</x:v>
      </x:c>
      <x:c r="DA218" s="22" t="n">
        <x:f>MAX(0,MIN('Activities'!L218,606)-MAX('Activities'!K218,600))</x:f>
        <x:v>0</x:v>
      </x:c>
      <x:c r="DB218" s="22" t="n">
        <x:f>MAX(0,MIN('Activities'!L218,612)-MAX('Activities'!K218,606))</x:f>
        <x:v>0</x:v>
      </x:c>
      <x:c r="DC218" s="22" t="n">
        <x:f>MAX(0,MIN('Activities'!L218,618)-MAX('Activities'!K218,612))</x:f>
        <x:v>0</x:v>
      </x:c>
      <x:c r="DD218" s="22" t="n">
        <x:f>MAX(0,MIN('Activities'!L218,624)-MAX('Activities'!K218,618))</x:f>
        <x:v>0</x:v>
      </x:c>
      <x:c r="DE218" s="22" t="n">
        <x:f>MAX(0,MIN('Activities'!L218,630)-MAX('Activities'!K218,624))</x:f>
        <x:v>0</x:v>
      </x:c>
      <x:c r="DF218" s="22" t="n">
        <x:f>MAX(0,MIN('Activities'!L218,636)-MAX('Activities'!K218,630))</x:f>
        <x:v>0</x:v>
      </x:c>
    </x:row>
    <x:row r="219" ht="23" customHeight="1">
      <x:c r="A219" s="1" t="str">
        <x:v>T2-L02-T</x:v>
      </x:c>
      <x:c r="B219" s="1" t="str">
        <x:v>T2</x:v>
      </x:c>
      <x:c r="C219" s="1" t="str">
        <x:v>Floor finishes and skirtings</x:v>
      </x:c>
      <x:c r="D219" s="1" t="str">
        <x:v>Finishes</x:v>
      </x:c>
      <x:c r="E219" s="23" t="n">
        <x:f>MAX(0,MIN('Activities'!L219,6)-MAX('Activities'!K219,0))</x:f>
        <x:v>0</x:v>
      </x:c>
      <x:c r="F219" s="23" t="n">
        <x:f>MAX(0,MIN('Activities'!L219,12)-MAX('Activities'!K219,6))</x:f>
        <x:v>0</x:v>
      </x:c>
      <x:c r="G219" s="23" t="n">
        <x:f>MAX(0,MIN('Activities'!L219,18)-MAX('Activities'!K219,12))</x:f>
        <x:v>0</x:v>
      </x:c>
      <x:c r="H219" s="23" t="n">
        <x:f>MAX(0,MIN('Activities'!L219,24)-MAX('Activities'!K219,18))</x:f>
        <x:v>0</x:v>
      </x:c>
      <x:c r="I219" s="23" t="n">
        <x:f>MAX(0,MIN('Activities'!L219,30)-MAX('Activities'!K219,24))</x:f>
        <x:v>0</x:v>
      </x:c>
      <x:c r="J219" s="23" t="n">
        <x:f>MAX(0,MIN('Activities'!L219,36)-MAX('Activities'!K219,30))</x:f>
        <x:v>0</x:v>
      </x:c>
      <x:c r="K219" s="23" t="n">
        <x:f>MAX(0,MIN('Activities'!L219,42)-MAX('Activities'!K219,36))</x:f>
        <x:v>0</x:v>
      </x:c>
      <x:c r="L219" s="23" t="n">
        <x:f>MAX(0,MIN('Activities'!L219,48)-MAX('Activities'!K219,42))</x:f>
        <x:v>0</x:v>
      </x:c>
      <x:c r="M219" s="23" t="n">
        <x:f>MAX(0,MIN('Activities'!L219,54)-MAX('Activities'!K219,48))</x:f>
        <x:v>0</x:v>
      </x:c>
      <x:c r="N219" s="23" t="n">
        <x:f>MAX(0,MIN('Activities'!L219,60)-MAX('Activities'!K219,54))</x:f>
        <x:v>0</x:v>
      </x:c>
      <x:c r="O219" s="23" t="n">
        <x:f>MAX(0,MIN('Activities'!L219,66)-MAX('Activities'!K219,60))</x:f>
        <x:v>0</x:v>
      </x:c>
      <x:c r="P219" s="23" t="n">
        <x:f>MAX(0,MIN('Activities'!L219,72)-MAX('Activities'!K219,66))</x:f>
        <x:v>0</x:v>
      </x:c>
      <x:c r="Q219" s="23" t="n">
        <x:f>MAX(0,MIN('Activities'!L219,78)-MAX('Activities'!K219,72))</x:f>
        <x:v>0</x:v>
      </x:c>
      <x:c r="R219" s="23" t="n">
        <x:f>MAX(0,MIN('Activities'!L219,84)-MAX('Activities'!K219,78))</x:f>
        <x:v>0</x:v>
      </x:c>
      <x:c r="S219" s="23" t="n">
        <x:f>MAX(0,MIN('Activities'!L219,90)-MAX('Activities'!K219,84))</x:f>
        <x:v>0</x:v>
      </x:c>
      <x:c r="T219" s="23" t="n">
        <x:f>MAX(0,MIN('Activities'!L219,96)-MAX('Activities'!K219,90))</x:f>
        <x:v>0</x:v>
      </x:c>
      <x:c r="U219" s="23" t="n">
        <x:f>MAX(0,MIN('Activities'!L219,102)-MAX('Activities'!K219,96))</x:f>
        <x:v>0</x:v>
      </x:c>
      <x:c r="V219" s="23" t="n">
        <x:f>MAX(0,MIN('Activities'!L219,108)-MAX('Activities'!K219,102))</x:f>
        <x:v>0</x:v>
      </x:c>
      <x:c r="W219" s="23" t="n">
        <x:f>MAX(0,MIN('Activities'!L219,114)-MAX('Activities'!K219,108))</x:f>
        <x:v>0</x:v>
      </x:c>
      <x:c r="X219" s="23" t="n">
        <x:f>MAX(0,MIN('Activities'!L219,120)-MAX('Activities'!K219,114))</x:f>
        <x:v>0</x:v>
      </x:c>
      <x:c r="Y219" s="23" t="n">
        <x:f>MAX(0,MIN('Activities'!L219,126)-MAX('Activities'!K219,120))</x:f>
        <x:v>0</x:v>
      </x:c>
      <x:c r="Z219" s="23" t="n">
        <x:f>MAX(0,MIN('Activities'!L219,132)-MAX('Activities'!K219,126))</x:f>
        <x:v>0</x:v>
      </x:c>
      <x:c r="AA219" s="23" t="n">
        <x:f>MAX(0,MIN('Activities'!L219,138)-MAX('Activities'!K219,132))</x:f>
        <x:v>0</x:v>
      </x:c>
      <x:c r="AB219" s="23" t="n">
        <x:f>MAX(0,MIN('Activities'!L219,144)-MAX('Activities'!K219,138))</x:f>
        <x:v>0</x:v>
      </x:c>
      <x:c r="AC219" s="23" t="n">
        <x:f>MAX(0,MIN('Activities'!L219,150)-MAX('Activities'!K219,144))</x:f>
        <x:v>0</x:v>
      </x:c>
      <x:c r="AD219" s="23" t="n">
        <x:f>MAX(0,MIN('Activities'!L219,156)-MAX('Activities'!K219,150))</x:f>
        <x:v>0</x:v>
      </x:c>
      <x:c r="AE219" s="23" t="n">
        <x:f>MAX(0,MIN('Activities'!L219,162)-MAX('Activities'!K219,156))</x:f>
        <x:v>0</x:v>
      </x:c>
      <x:c r="AF219" s="23" t="n">
        <x:f>MAX(0,MIN('Activities'!L219,168)-MAX('Activities'!K219,162))</x:f>
        <x:v>0</x:v>
      </x:c>
      <x:c r="AG219" s="23" t="n">
        <x:f>MAX(0,MIN('Activities'!L219,174)-MAX('Activities'!K219,168))</x:f>
        <x:v>0</x:v>
      </x:c>
      <x:c r="AH219" s="23" t="n">
        <x:f>MAX(0,MIN('Activities'!L219,180)-MAX('Activities'!K219,174))</x:f>
        <x:v>0</x:v>
      </x:c>
      <x:c r="AI219" s="23" t="n">
        <x:f>MAX(0,MIN('Activities'!L219,186)-MAX('Activities'!K219,180))</x:f>
        <x:v>0</x:v>
      </x:c>
      <x:c r="AJ219" s="23" t="n">
        <x:f>MAX(0,MIN('Activities'!L219,192)-MAX('Activities'!K219,186))</x:f>
        <x:v>0</x:v>
      </x:c>
      <x:c r="AK219" s="23" t="n">
        <x:f>MAX(0,MIN('Activities'!L219,198)-MAX('Activities'!K219,192))</x:f>
        <x:v>0</x:v>
      </x:c>
      <x:c r="AL219" s="23" t="n">
        <x:f>MAX(0,MIN('Activities'!L219,204)-MAX('Activities'!K219,198))</x:f>
        <x:v>0</x:v>
      </x:c>
      <x:c r="AM219" s="23" t="n">
        <x:f>MAX(0,MIN('Activities'!L219,210)-MAX('Activities'!K219,204))</x:f>
        <x:v>0</x:v>
      </x:c>
      <x:c r="AN219" s="23" t="n">
        <x:f>MAX(0,MIN('Activities'!L219,216)-MAX('Activities'!K219,210))</x:f>
        <x:v>0</x:v>
      </x:c>
      <x:c r="AO219" s="23" t="n">
        <x:f>MAX(0,MIN('Activities'!L219,222)-MAX('Activities'!K219,216))</x:f>
        <x:v>0</x:v>
      </x:c>
      <x:c r="AP219" s="23" t="n">
        <x:f>MAX(0,MIN('Activities'!L219,228)-MAX('Activities'!K219,222))</x:f>
        <x:v>0</x:v>
      </x:c>
      <x:c r="AQ219" s="23" t="n">
        <x:f>MAX(0,MIN('Activities'!L219,234)-MAX('Activities'!K219,228))</x:f>
        <x:v>0</x:v>
      </x:c>
      <x:c r="AR219" s="23" t="n">
        <x:f>MAX(0,MIN('Activities'!L219,240)-MAX('Activities'!K219,234))</x:f>
        <x:v>0</x:v>
      </x:c>
      <x:c r="AS219" s="23" t="n">
        <x:f>MAX(0,MIN('Activities'!L219,246)-MAX('Activities'!K219,240))</x:f>
        <x:v>0</x:v>
      </x:c>
      <x:c r="AT219" s="23" t="n">
        <x:f>MAX(0,MIN('Activities'!L219,252)-MAX('Activities'!K219,246))</x:f>
        <x:v>0</x:v>
      </x:c>
      <x:c r="AU219" s="23" t="n">
        <x:f>MAX(0,MIN('Activities'!L219,258)-MAX('Activities'!K219,252))</x:f>
        <x:v>0</x:v>
      </x:c>
      <x:c r="AV219" s="23" t="n">
        <x:f>MAX(0,MIN('Activities'!L219,264)-MAX('Activities'!K219,258))</x:f>
        <x:v>0</x:v>
      </x:c>
      <x:c r="AW219" s="23" t="n">
        <x:f>MAX(0,MIN('Activities'!L219,270)-MAX('Activities'!K219,264))</x:f>
        <x:v>0</x:v>
      </x:c>
      <x:c r="AX219" s="23" t="n">
        <x:f>MAX(0,MIN('Activities'!L219,276)-MAX('Activities'!K219,270))</x:f>
        <x:v>0</x:v>
      </x:c>
      <x:c r="AY219" s="23" t="n">
        <x:f>MAX(0,MIN('Activities'!L219,282)-MAX('Activities'!K219,276))</x:f>
        <x:v>0</x:v>
      </x:c>
      <x:c r="AZ219" s="23" t="n">
        <x:f>MAX(0,MIN('Activities'!L219,288)-MAX('Activities'!K219,282))</x:f>
        <x:v>0</x:v>
      </x:c>
      <x:c r="BA219" s="23" t="n">
        <x:f>MAX(0,MIN('Activities'!L219,294)-MAX('Activities'!K219,288))</x:f>
        <x:v>0</x:v>
      </x:c>
      <x:c r="BB219" s="23" t="n">
        <x:f>MAX(0,MIN('Activities'!L219,300)-MAX('Activities'!K219,294))</x:f>
        <x:v>0</x:v>
      </x:c>
      <x:c r="BC219" s="23" t="n">
        <x:f>MAX(0,MIN('Activities'!L219,306)-MAX('Activities'!K219,300))</x:f>
        <x:v>0</x:v>
      </x:c>
      <x:c r="BD219" s="23" t="n">
        <x:f>MAX(0,MIN('Activities'!L219,312)-MAX('Activities'!K219,306))</x:f>
        <x:v>0</x:v>
      </x:c>
      <x:c r="BE219" s="23" t="n">
        <x:f>MAX(0,MIN('Activities'!L219,318)-MAX('Activities'!K219,312))</x:f>
        <x:v>0</x:v>
      </x:c>
      <x:c r="BF219" s="23" t="n">
        <x:f>MAX(0,MIN('Activities'!L219,324)-MAX('Activities'!K219,318))</x:f>
        <x:v>0</x:v>
      </x:c>
      <x:c r="BG219" s="23" t="n">
        <x:f>MAX(0,MIN('Activities'!L219,330)-MAX('Activities'!K219,324))</x:f>
        <x:v>0</x:v>
      </x:c>
      <x:c r="BH219" s="23" t="n">
        <x:f>MAX(0,MIN('Activities'!L219,336)-MAX('Activities'!K219,330))</x:f>
        <x:v>0</x:v>
      </x:c>
      <x:c r="BI219" s="23" t="n">
        <x:f>MAX(0,MIN('Activities'!L219,342)-MAX('Activities'!K219,336))</x:f>
        <x:v>0</x:v>
      </x:c>
      <x:c r="BJ219" s="23" t="n">
        <x:f>MAX(0,MIN('Activities'!L219,348)-MAX('Activities'!K219,342))</x:f>
        <x:v>0</x:v>
      </x:c>
      <x:c r="BK219" s="23" t="n">
        <x:f>MAX(0,MIN('Activities'!L219,354)-MAX('Activities'!K219,348))</x:f>
        <x:v>0</x:v>
      </x:c>
      <x:c r="BL219" s="23" t="n">
        <x:f>MAX(0,MIN('Activities'!L219,360)-MAX('Activities'!K219,354))</x:f>
        <x:v>0</x:v>
      </x:c>
      <x:c r="BM219" s="23" t="n">
        <x:f>MAX(0,MIN('Activities'!L219,366)-MAX('Activities'!K219,360))</x:f>
        <x:v>0</x:v>
      </x:c>
      <x:c r="BN219" s="23" t="n">
        <x:f>MAX(0,MIN('Activities'!L219,372)-MAX('Activities'!K219,366))</x:f>
        <x:v>0</x:v>
      </x:c>
      <x:c r="BO219" s="23" t="n">
        <x:f>MAX(0,MIN('Activities'!L219,378)-MAX('Activities'!K219,372))</x:f>
        <x:v>0</x:v>
      </x:c>
      <x:c r="BP219" s="23" t="n">
        <x:f>MAX(0,MIN('Activities'!L219,384)-MAX('Activities'!K219,378))</x:f>
        <x:v>0</x:v>
      </x:c>
      <x:c r="BQ219" s="23" t="n">
        <x:f>MAX(0,MIN('Activities'!L219,390)-MAX('Activities'!K219,384))</x:f>
        <x:v>0</x:v>
      </x:c>
      <x:c r="BR219" s="23" t="n">
        <x:f>MAX(0,MIN('Activities'!L219,396)-MAX('Activities'!K219,390))</x:f>
        <x:v>0</x:v>
      </x:c>
      <x:c r="BS219" s="23" t="n">
        <x:f>MAX(0,MIN('Activities'!L219,402)-MAX('Activities'!K219,396))</x:f>
        <x:v>0</x:v>
      </x:c>
      <x:c r="BT219" s="23" t="n">
        <x:f>MAX(0,MIN('Activities'!L219,408)-MAX('Activities'!K219,402))</x:f>
        <x:v>0</x:v>
      </x:c>
      <x:c r="BU219" s="23" t="n">
        <x:f>MAX(0,MIN('Activities'!L219,414)-MAX('Activities'!K219,408))</x:f>
        <x:v>1</x:v>
      </x:c>
      <x:c r="BV219" s="23" t="n">
        <x:f>MAX(0,MIN('Activities'!L219,420)-MAX('Activities'!K219,414))</x:f>
        <x:v>5</x:v>
      </x:c>
      <x:c r="BW219" s="23" t="n">
        <x:f>MAX(0,MIN('Activities'!L219,426)-MAX('Activities'!K219,420))</x:f>
        <x:v>0</x:v>
      </x:c>
      <x:c r="BX219" s="23" t="n">
        <x:f>MAX(0,MIN('Activities'!L219,432)-MAX('Activities'!K219,426))</x:f>
        <x:v>0</x:v>
      </x:c>
      <x:c r="BY219" s="23" t="n">
        <x:f>MAX(0,MIN('Activities'!L219,438)-MAX('Activities'!K219,432))</x:f>
        <x:v>0</x:v>
      </x:c>
      <x:c r="BZ219" s="23" t="n">
        <x:f>MAX(0,MIN('Activities'!L219,444)-MAX('Activities'!K219,438))</x:f>
        <x:v>0</x:v>
      </x:c>
      <x:c r="CA219" s="23" t="n">
        <x:f>MAX(0,MIN('Activities'!L219,450)-MAX('Activities'!K219,444))</x:f>
        <x:v>0</x:v>
      </x:c>
      <x:c r="CB219" s="23" t="n">
        <x:f>MAX(0,MIN('Activities'!L219,456)-MAX('Activities'!K219,450))</x:f>
        <x:v>0</x:v>
      </x:c>
      <x:c r="CC219" s="23" t="n">
        <x:f>MAX(0,MIN('Activities'!L219,462)-MAX('Activities'!K219,456))</x:f>
        <x:v>0</x:v>
      </x:c>
      <x:c r="CD219" s="23" t="n">
        <x:f>MAX(0,MIN('Activities'!L219,468)-MAX('Activities'!K219,462))</x:f>
        <x:v>0</x:v>
      </x:c>
      <x:c r="CE219" s="23" t="n">
        <x:f>MAX(0,MIN('Activities'!L219,474)-MAX('Activities'!K219,468))</x:f>
        <x:v>0</x:v>
      </x:c>
      <x:c r="CF219" s="23" t="n">
        <x:f>MAX(0,MIN('Activities'!L219,480)-MAX('Activities'!K219,474))</x:f>
        <x:v>0</x:v>
      </x:c>
      <x:c r="CG219" s="23" t="n">
        <x:f>MAX(0,MIN('Activities'!L219,486)-MAX('Activities'!K219,480))</x:f>
        <x:v>0</x:v>
      </x:c>
      <x:c r="CH219" s="23" t="n">
        <x:f>MAX(0,MIN('Activities'!L219,492)-MAX('Activities'!K219,486))</x:f>
        <x:v>0</x:v>
      </x:c>
      <x:c r="CI219" s="23" t="n">
        <x:f>MAX(0,MIN('Activities'!L219,498)-MAX('Activities'!K219,492))</x:f>
        <x:v>0</x:v>
      </x:c>
      <x:c r="CJ219" s="23" t="n">
        <x:f>MAX(0,MIN('Activities'!L219,504)-MAX('Activities'!K219,498))</x:f>
        <x:v>0</x:v>
      </x:c>
      <x:c r="CK219" s="23" t="n">
        <x:f>MAX(0,MIN('Activities'!L219,510)-MAX('Activities'!K219,504))</x:f>
        <x:v>0</x:v>
      </x:c>
      <x:c r="CL219" s="23" t="n">
        <x:f>MAX(0,MIN('Activities'!L219,516)-MAX('Activities'!K219,510))</x:f>
        <x:v>0</x:v>
      </x:c>
      <x:c r="CM219" s="23" t="n">
        <x:f>MAX(0,MIN('Activities'!L219,522)-MAX('Activities'!K219,516))</x:f>
        <x:v>0</x:v>
      </x:c>
      <x:c r="CN219" s="23" t="n">
        <x:f>MAX(0,MIN('Activities'!L219,528)-MAX('Activities'!K219,522))</x:f>
        <x:v>0</x:v>
      </x:c>
      <x:c r="CO219" s="23" t="n">
        <x:f>MAX(0,MIN('Activities'!L219,534)-MAX('Activities'!K219,528))</x:f>
        <x:v>0</x:v>
      </x:c>
      <x:c r="CP219" s="23" t="n">
        <x:f>MAX(0,MIN('Activities'!L219,540)-MAX('Activities'!K219,534))</x:f>
        <x:v>0</x:v>
      </x:c>
      <x:c r="CQ219" s="23" t="n">
        <x:f>MAX(0,MIN('Activities'!L219,546)-MAX('Activities'!K219,540))</x:f>
        <x:v>0</x:v>
      </x:c>
      <x:c r="CR219" s="23" t="n">
        <x:f>MAX(0,MIN('Activities'!L219,552)-MAX('Activities'!K219,546))</x:f>
        <x:v>0</x:v>
      </x:c>
      <x:c r="CS219" s="23" t="n">
        <x:f>MAX(0,MIN('Activities'!L219,558)-MAX('Activities'!K219,552))</x:f>
        <x:v>0</x:v>
      </x:c>
      <x:c r="CT219" s="23" t="n">
        <x:f>MAX(0,MIN('Activities'!L219,564)-MAX('Activities'!K219,558))</x:f>
        <x:v>0</x:v>
      </x:c>
      <x:c r="CU219" s="23" t="n">
        <x:f>MAX(0,MIN('Activities'!L219,570)-MAX('Activities'!K219,564))</x:f>
        <x:v>0</x:v>
      </x:c>
      <x:c r="CV219" s="23" t="n">
        <x:f>MAX(0,MIN('Activities'!L219,576)-MAX('Activities'!K219,570))</x:f>
        <x:v>0</x:v>
      </x:c>
      <x:c r="CW219" s="23" t="n">
        <x:f>MAX(0,MIN('Activities'!L219,582)-MAX('Activities'!K219,576))</x:f>
        <x:v>0</x:v>
      </x:c>
      <x:c r="CX219" s="23" t="n">
        <x:f>MAX(0,MIN('Activities'!L219,588)-MAX('Activities'!K219,582))</x:f>
        <x:v>0</x:v>
      </x:c>
      <x:c r="CY219" s="23" t="n">
        <x:f>MAX(0,MIN('Activities'!L219,594)-MAX('Activities'!K219,588))</x:f>
        <x:v>0</x:v>
      </x:c>
      <x:c r="CZ219" s="23" t="n">
        <x:f>MAX(0,MIN('Activities'!L219,600)-MAX('Activities'!K219,594))</x:f>
        <x:v>0</x:v>
      </x:c>
      <x:c r="DA219" s="23" t="n">
        <x:f>MAX(0,MIN('Activities'!L219,606)-MAX('Activities'!K219,600))</x:f>
        <x:v>0</x:v>
      </x:c>
      <x:c r="DB219" s="23" t="n">
        <x:f>MAX(0,MIN('Activities'!L219,612)-MAX('Activities'!K219,606))</x:f>
        <x:v>0</x:v>
      </x:c>
      <x:c r="DC219" s="23" t="n">
        <x:f>MAX(0,MIN('Activities'!L219,618)-MAX('Activities'!K219,612))</x:f>
        <x:v>0</x:v>
      </x:c>
      <x:c r="DD219" s="23" t="n">
        <x:f>MAX(0,MIN('Activities'!L219,624)-MAX('Activities'!K219,618))</x:f>
        <x:v>0</x:v>
      </x:c>
      <x:c r="DE219" s="23" t="n">
        <x:f>MAX(0,MIN('Activities'!L219,630)-MAX('Activities'!K219,624))</x:f>
        <x:v>0</x:v>
      </x:c>
      <x:c r="DF219" s="23" t="n">
        <x:f>MAX(0,MIN('Activities'!L219,636)-MAX('Activities'!K219,630))</x:f>
        <x:v>0</x:v>
      </x:c>
    </x:row>
    <x:row r="220" ht="23" customHeight="1">
      <x:c r="A220" s="6" t="str">
        <x:v>T2-L02-A</x:v>
      </x:c>
      <x:c r="B220" s="6" t="str">
        <x:v>T2</x:v>
      </x:c>
      <x:c r="C220" s="6" t="str">
        <x:v>Paint and final decorations</x:v>
      </x:c>
      <x:c r="D220" s="6" t="str">
        <x:v>Finishes</x:v>
      </x:c>
      <x:c r="E220" s="22" t="n">
        <x:f>MAX(0,MIN('Activities'!L220,6)-MAX('Activities'!K220,0))</x:f>
        <x:v>0</x:v>
      </x:c>
      <x:c r="F220" s="22" t="n">
        <x:f>MAX(0,MIN('Activities'!L220,12)-MAX('Activities'!K220,6))</x:f>
        <x:v>0</x:v>
      </x:c>
      <x:c r="G220" s="22" t="n">
        <x:f>MAX(0,MIN('Activities'!L220,18)-MAX('Activities'!K220,12))</x:f>
        <x:v>0</x:v>
      </x:c>
      <x:c r="H220" s="22" t="n">
        <x:f>MAX(0,MIN('Activities'!L220,24)-MAX('Activities'!K220,18))</x:f>
        <x:v>0</x:v>
      </x:c>
      <x:c r="I220" s="22" t="n">
        <x:f>MAX(0,MIN('Activities'!L220,30)-MAX('Activities'!K220,24))</x:f>
        <x:v>0</x:v>
      </x:c>
      <x:c r="J220" s="22" t="n">
        <x:f>MAX(0,MIN('Activities'!L220,36)-MAX('Activities'!K220,30))</x:f>
        <x:v>0</x:v>
      </x:c>
      <x:c r="K220" s="22" t="n">
        <x:f>MAX(0,MIN('Activities'!L220,42)-MAX('Activities'!K220,36))</x:f>
        <x:v>0</x:v>
      </x:c>
      <x:c r="L220" s="22" t="n">
        <x:f>MAX(0,MIN('Activities'!L220,48)-MAX('Activities'!K220,42))</x:f>
        <x:v>0</x:v>
      </x:c>
      <x:c r="M220" s="22" t="n">
        <x:f>MAX(0,MIN('Activities'!L220,54)-MAX('Activities'!K220,48))</x:f>
        <x:v>0</x:v>
      </x:c>
      <x:c r="N220" s="22" t="n">
        <x:f>MAX(0,MIN('Activities'!L220,60)-MAX('Activities'!K220,54))</x:f>
        <x:v>0</x:v>
      </x:c>
      <x:c r="O220" s="22" t="n">
        <x:f>MAX(0,MIN('Activities'!L220,66)-MAX('Activities'!K220,60))</x:f>
        <x:v>0</x:v>
      </x:c>
      <x:c r="P220" s="22" t="n">
        <x:f>MAX(0,MIN('Activities'!L220,72)-MAX('Activities'!K220,66))</x:f>
        <x:v>0</x:v>
      </x:c>
      <x:c r="Q220" s="22" t="n">
        <x:f>MAX(0,MIN('Activities'!L220,78)-MAX('Activities'!K220,72))</x:f>
        <x:v>0</x:v>
      </x:c>
      <x:c r="R220" s="22" t="n">
        <x:f>MAX(0,MIN('Activities'!L220,84)-MAX('Activities'!K220,78))</x:f>
        <x:v>0</x:v>
      </x:c>
      <x:c r="S220" s="22" t="n">
        <x:f>MAX(0,MIN('Activities'!L220,90)-MAX('Activities'!K220,84))</x:f>
        <x:v>0</x:v>
      </x:c>
      <x:c r="T220" s="22" t="n">
        <x:f>MAX(0,MIN('Activities'!L220,96)-MAX('Activities'!K220,90))</x:f>
        <x:v>0</x:v>
      </x:c>
      <x:c r="U220" s="22" t="n">
        <x:f>MAX(0,MIN('Activities'!L220,102)-MAX('Activities'!K220,96))</x:f>
        <x:v>0</x:v>
      </x:c>
      <x:c r="V220" s="22" t="n">
        <x:f>MAX(0,MIN('Activities'!L220,108)-MAX('Activities'!K220,102))</x:f>
        <x:v>0</x:v>
      </x:c>
      <x:c r="W220" s="22" t="n">
        <x:f>MAX(0,MIN('Activities'!L220,114)-MAX('Activities'!K220,108))</x:f>
        <x:v>0</x:v>
      </x:c>
      <x:c r="X220" s="22" t="n">
        <x:f>MAX(0,MIN('Activities'!L220,120)-MAX('Activities'!K220,114))</x:f>
        <x:v>0</x:v>
      </x:c>
      <x:c r="Y220" s="22" t="n">
        <x:f>MAX(0,MIN('Activities'!L220,126)-MAX('Activities'!K220,120))</x:f>
        <x:v>0</x:v>
      </x:c>
      <x:c r="Z220" s="22" t="n">
        <x:f>MAX(0,MIN('Activities'!L220,132)-MAX('Activities'!K220,126))</x:f>
        <x:v>0</x:v>
      </x:c>
      <x:c r="AA220" s="22" t="n">
        <x:f>MAX(0,MIN('Activities'!L220,138)-MAX('Activities'!K220,132))</x:f>
        <x:v>0</x:v>
      </x:c>
      <x:c r="AB220" s="22" t="n">
        <x:f>MAX(0,MIN('Activities'!L220,144)-MAX('Activities'!K220,138))</x:f>
        <x:v>0</x:v>
      </x:c>
      <x:c r="AC220" s="22" t="n">
        <x:f>MAX(0,MIN('Activities'!L220,150)-MAX('Activities'!K220,144))</x:f>
        <x:v>0</x:v>
      </x:c>
      <x:c r="AD220" s="22" t="n">
        <x:f>MAX(0,MIN('Activities'!L220,156)-MAX('Activities'!K220,150))</x:f>
        <x:v>0</x:v>
      </x:c>
      <x:c r="AE220" s="22" t="n">
        <x:f>MAX(0,MIN('Activities'!L220,162)-MAX('Activities'!K220,156))</x:f>
        <x:v>0</x:v>
      </x:c>
      <x:c r="AF220" s="22" t="n">
        <x:f>MAX(0,MIN('Activities'!L220,168)-MAX('Activities'!K220,162))</x:f>
        <x:v>0</x:v>
      </x:c>
      <x:c r="AG220" s="22" t="n">
        <x:f>MAX(0,MIN('Activities'!L220,174)-MAX('Activities'!K220,168))</x:f>
        <x:v>0</x:v>
      </x:c>
      <x:c r="AH220" s="22" t="n">
        <x:f>MAX(0,MIN('Activities'!L220,180)-MAX('Activities'!K220,174))</x:f>
        <x:v>0</x:v>
      </x:c>
      <x:c r="AI220" s="22" t="n">
        <x:f>MAX(0,MIN('Activities'!L220,186)-MAX('Activities'!K220,180))</x:f>
        <x:v>0</x:v>
      </x:c>
      <x:c r="AJ220" s="22" t="n">
        <x:f>MAX(0,MIN('Activities'!L220,192)-MAX('Activities'!K220,186))</x:f>
        <x:v>0</x:v>
      </x:c>
      <x:c r="AK220" s="22" t="n">
        <x:f>MAX(0,MIN('Activities'!L220,198)-MAX('Activities'!K220,192))</x:f>
        <x:v>0</x:v>
      </x:c>
      <x:c r="AL220" s="22" t="n">
        <x:f>MAX(0,MIN('Activities'!L220,204)-MAX('Activities'!K220,198))</x:f>
        <x:v>0</x:v>
      </x:c>
      <x:c r="AM220" s="22" t="n">
        <x:f>MAX(0,MIN('Activities'!L220,210)-MAX('Activities'!K220,204))</x:f>
        <x:v>0</x:v>
      </x:c>
      <x:c r="AN220" s="22" t="n">
        <x:f>MAX(0,MIN('Activities'!L220,216)-MAX('Activities'!K220,210))</x:f>
        <x:v>0</x:v>
      </x:c>
      <x:c r="AO220" s="22" t="n">
        <x:f>MAX(0,MIN('Activities'!L220,222)-MAX('Activities'!K220,216))</x:f>
        <x:v>0</x:v>
      </x:c>
      <x:c r="AP220" s="22" t="n">
        <x:f>MAX(0,MIN('Activities'!L220,228)-MAX('Activities'!K220,222))</x:f>
        <x:v>0</x:v>
      </x:c>
      <x:c r="AQ220" s="22" t="n">
        <x:f>MAX(0,MIN('Activities'!L220,234)-MAX('Activities'!K220,228))</x:f>
        <x:v>0</x:v>
      </x:c>
      <x:c r="AR220" s="22" t="n">
        <x:f>MAX(0,MIN('Activities'!L220,240)-MAX('Activities'!K220,234))</x:f>
        <x:v>0</x:v>
      </x:c>
      <x:c r="AS220" s="22" t="n">
        <x:f>MAX(0,MIN('Activities'!L220,246)-MAX('Activities'!K220,240))</x:f>
        <x:v>0</x:v>
      </x:c>
      <x:c r="AT220" s="22" t="n">
        <x:f>MAX(0,MIN('Activities'!L220,252)-MAX('Activities'!K220,246))</x:f>
        <x:v>0</x:v>
      </x:c>
      <x:c r="AU220" s="22" t="n">
        <x:f>MAX(0,MIN('Activities'!L220,258)-MAX('Activities'!K220,252))</x:f>
        <x:v>0</x:v>
      </x:c>
      <x:c r="AV220" s="22" t="n">
        <x:f>MAX(0,MIN('Activities'!L220,264)-MAX('Activities'!K220,258))</x:f>
        <x:v>0</x:v>
      </x:c>
      <x:c r="AW220" s="22" t="n">
        <x:f>MAX(0,MIN('Activities'!L220,270)-MAX('Activities'!K220,264))</x:f>
        <x:v>0</x:v>
      </x:c>
      <x:c r="AX220" s="22" t="n">
        <x:f>MAX(0,MIN('Activities'!L220,276)-MAX('Activities'!K220,270))</x:f>
        <x:v>0</x:v>
      </x:c>
      <x:c r="AY220" s="22" t="n">
        <x:f>MAX(0,MIN('Activities'!L220,282)-MAX('Activities'!K220,276))</x:f>
        <x:v>0</x:v>
      </x:c>
      <x:c r="AZ220" s="22" t="n">
        <x:f>MAX(0,MIN('Activities'!L220,288)-MAX('Activities'!K220,282))</x:f>
        <x:v>0</x:v>
      </x:c>
      <x:c r="BA220" s="22" t="n">
        <x:f>MAX(0,MIN('Activities'!L220,294)-MAX('Activities'!K220,288))</x:f>
        <x:v>0</x:v>
      </x:c>
      <x:c r="BB220" s="22" t="n">
        <x:f>MAX(0,MIN('Activities'!L220,300)-MAX('Activities'!K220,294))</x:f>
        <x:v>0</x:v>
      </x:c>
      <x:c r="BC220" s="22" t="n">
        <x:f>MAX(0,MIN('Activities'!L220,306)-MAX('Activities'!K220,300))</x:f>
        <x:v>0</x:v>
      </x:c>
      <x:c r="BD220" s="22" t="n">
        <x:f>MAX(0,MIN('Activities'!L220,312)-MAX('Activities'!K220,306))</x:f>
        <x:v>0</x:v>
      </x:c>
      <x:c r="BE220" s="22" t="n">
        <x:f>MAX(0,MIN('Activities'!L220,318)-MAX('Activities'!K220,312))</x:f>
        <x:v>0</x:v>
      </x:c>
      <x:c r="BF220" s="22" t="n">
        <x:f>MAX(0,MIN('Activities'!L220,324)-MAX('Activities'!K220,318))</x:f>
        <x:v>0</x:v>
      </x:c>
      <x:c r="BG220" s="22" t="n">
        <x:f>MAX(0,MIN('Activities'!L220,330)-MAX('Activities'!K220,324))</x:f>
        <x:v>0</x:v>
      </x:c>
      <x:c r="BH220" s="22" t="n">
        <x:f>MAX(0,MIN('Activities'!L220,336)-MAX('Activities'!K220,330))</x:f>
        <x:v>0</x:v>
      </x:c>
      <x:c r="BI220" s="22" t="n">
        <x:f>MAX(0,MIN('Activities'!L220,342)-MAX('Activities'!K220,336))</x:f>
        <x:v>0</x:v>
      </x:c>
      <x:c r="BJ220" s="22" t="n">
        <x:f>MAX(0,MIN('Activities'!L220,348)-MAX('Activities'!K220,342))</x:f>
        <x:v>0</x:v>
      </x:c>
      <x:c r="BK220" s="22" t="n">
        <x:f>MAX(0,MIN('Activities'!L220,354)-MAX('Activities'!K220,348))</x:f>
        <x:v>0</x:v>
      </x:c>
      <x:c r="BL220" s="22" t="n">
        <x:f>MAX(0,MIN('Activities'!L220,360)-MAX('Activities'!K220,354))</x:f>
        <x:v>0</x:v>
      </x:c>
      <x:c r="BM220" s="22" t="n">
        <x:f>MAX(0,MIN('Activities'!L220,366)-MAX('Activities'!K220,360))</x:f>
        <x:v>0</x:v>
      </x:c>
      <x:c r="BN220" s="22" t="n">
        <x:f>MAX(0,MIN('Activities'!L220,372)-MAX('Activities'!K220,366))</x:f>
        <x:v>0</x:v>
      </x:c>
      <x:c r="BO220" s="22" t="n">
        <x:f>MAX(0,MIN('Activities'!L220,378)-MAX('Activities'!K220,372))</x:f>
        <x:v>0</x:v>
      </x:c>
      <x:c r="BP220" s="22" t="n">
        <x:f>MAX(0,MIN('Activities'!L220,384)-MAX('Activities'!K220,378))</x:f>
        <x:v>0</x:v>
      </x:c>
      <x:c r="BQ220" s="22" t="n">
        <x:f>MAX(0,MIN('Activities'!L220,390)-MAX('Activities'!K220,384))</x:f>
        <x:v>0</x:v>
      </x:c>
      <x:c r="BR220" s="22" t="n">
        <x:f>MAX(0,MIN('Activities'!L220,396)-MAX('Activities'!K220,390))</x:f>
        <x:v>0</x:v>
      </x:c>
      <x:c r="BS220" s="22" t="n">
        <x:f>MAX(0,MIN('Activities'!L220,402)-MAX('Activities'!K220,396))</x:f>
        <x:v>0</x:v>
      </x:c>
      <x:c r="BT220" s="22" t="n">
        <x:f>MAX(0,MIN('Activities'!L220,408)-MAX('Activities'!K220,402))</x:f>
        <x:v>0</x:v>
      </x:c>
      <x:c r="BU220" s="22" t="n">
        <x:f>MAX(0,MIN('Activities'!L220,414)-MAX('Activities'!K220,408))</x:f>
        <x:v>0</x:v>
      </x:c>
      <x:c r="BV220" s="22" t="n">
        <x:f>MAX(0,MIN('Activities'!L220,420)-MAX('Activities'!K220,414))</x:f>
        <x:v>0</x:v>
      </x:c>
      <x:c r="BW220" s="22" t="n">
        <x:f>MAX(0,MIN('Activities'!L220,426)-MAX('Activities'!K220,420))</x:f>
        <x:v>5</x:v>
      </x:c>
      <x:c r="BX220" s="22" t="n">
        <x:f>MAX(0,MIN('Activities'!L220,432)-MAX('Activities'!K220,426))</x:f>
        <x:v>0</x:v>
      </x:c>
      <x:c r="BY220" s="22" t="n">
        <x:f>MAX(0,MIN('Activities'!L220,438)-MAX('Activities'!K220,432))</x:f>
        <x:v>0</x:v>
      </x:c>
      <x:c r="BZ220" s="22" t="n">
        <x:f>MAX(0,MIN('Activities'!L220,444)-MAX('Activities'!K220,438))</x:f>
        <x:v>0</x:v>
      </x:c>
      <x:c r="CA220" s="22" t="n">
        <x:f>MAX(0,MIN('Activities'!L220,450)-MAX('Activities'!K220,444))</x:f>
        <x:v>0</x:v>
      </x:c>
      <x:c r="CB220" s="22" t="n">
        <x:f>MAX(0,MIN('Activities'!L220,456)-MAX('Activities'!K220,450))</x:f>
        <x:v>0</x:v>
      </x:c>
      <x:c r="CC220" s="22" t="n">
        <x:f>MAX(0,MIN('Activities'!L220,462)-MAX('Activities'!K220,456))</x:f>
        <x:v>0</x:v>
      </x:c>
      <x:c r="CD220" s="22" t="n">
        <x:f>MAX(0,MIN('Activities'!L220,468)-MAX('Activities'!K220,462))</x:f>
        <x:v>0</x:v>
      </x:c>
      <x:c r="CE220" s="22" t="n">
        <x:f>MAX(0,MIN('Activities'!L220,474)-MAX('Activities'!K220,468))</x:f>
        <x:v>0</x:v>
      </x:c>
      <x:c r="CF220" s="22" t="n">
        <x:f>MAX(0,MIN('Activities'!L220,480)-MAX('Activities'!K220,474))</x:f>
        <x:v>0</x:v>
      </x:c>
      <x:c r="CG220" s="22" t="n">
        <x:f>MAX(0,MIN('Activities'!L220,486)-MAX('Activities'!K220,480))</x:f>
        <x:v>0</x:v>
      </x:c>
      <x:c r="CH220" s="22" t="n">
        <x:f>MAX(0,MIN('Activities'!L220,492)-MAX('Activities'!K220,486))</x:f>
        <x:v>0</x:v>
      </x:c>
      <x:c r="CI220" s="22" t="n">
        <x:f>MAX(0,MIN('Activities'!L220,498)-MAX('Activities'!K220,492))</x:f>
        <x:v>0</x:v>
      </x:c>
      <x:c r="CJ220" s="22" t="n">
        <x:f>MAX(0,MIN('Activities'!L220,504)-MAX('Activities'!K220,498))</x:f>
        <x:v>0</x:v>
      </x:c>
      <x:c r="CK220" s="22" t="n">
        <x:f>MAX(0,MIN('Activities'!L220,510)-MAX('Activities'!K220,504))</x:f>
        <x:v>0</x:v>
      </x:c>
      <x:c r="CL220" s="22" t="n">
        <x:f>MAX(0,MIN('Activities'!L220,516)-MAX('Activities'!K220,510))</x:f>
        <x:v>0</x:v>
      </x:c>
      <x:c r="CM220" s="22" t="n">
        <x:f>MAX(0,MIN('Activities'!L220,522)-MAX('Activities'!K220,516))</x:f>
        <x:v>0</x:v>
      </x:c>
      <x:c r="CN220" s="22" t="n">
        <x:f>MAX(0,MIN('Activities'!L220,528)-MAX('Activities'!K220,522))</x:f>
        <x:v>0</x:v>
      </x:c>
      <x:c r="CO220" s="22" t="n">
        <x:f>MAX(0,MIN('Activities'!L220,534)-MAX('Activities'!K220,528))</x:f>
        <x:v>0</x:v>
      </x:c>
      <x:c r="CP220" s="22" t="n">
        <x:f>MAX(0,MIN('Activities'!L220,540)-MAX('Activities'!K220,534))</x:f>
        <x:v>0</x:v>
      </x:c>
      <x:c r="CQ220" s="22" t="n">
        <x:f>MAX(0,MIN('Activities'!L220,546)-MAX('Activities'!K220,540))</x:f>
        <x:v>0</x:v>
      </x:c>
      <x:c r="CR220" s="22" t="n">
        <x:f>MAX(0,MIN('Activities'!L220,552)-MAX('Activities'!K220,546))</x:f>
        <x:v>0</x:v>
      </x:c>
      <x:c r="CS220" s="22" t="n">
        <x:f>MAX(0,MIN('Activities'!L220,558)-MAX('Activities'!K220,552))</x:f>
        <x:v>0</x:v>
      </x:c>
      <x:c r="CT220" s="22" t="n">
        <x:f>MAX(0,MIN('Activities'!L220,564)-MAX('Activities'!K220,558))</x:f>
        <x:v>0</x:v>
      </x:c>
      <x:c r="CU220" s="22" t="n">
        <x:f>MAX(0,MIN('Activities'!L220,570)-MAX('Activities'!K220,564))</x:f>
        <x:v>0</x:v>
      </x:c>
      <x:c r="CV220" s="22" t="n">
        <x:f>MAX(0,MIN('Activities'!L220,576)-MAX('Activities'!K220,570))</x:f>
        <x:v>0</x:v>
      </x:c>
      <x:c r="CW220" s="22" t="n">
        <x:f>MAX(0,MIN('Activities'!L220,582)-MAX('Activities'!K220,576))</x:f>
        <x:v>0</x:v>
      </x:c>
      <x:c r="CX220" s="22" t="n">
        <x:f>MAX(0,MIN('Activities'!L220,588)-MAX('Activities'!K220,582))</x:f>
        <x:v>0</x:v>
      </x:c>
      <x:c r="CY220" s="22" t="n">
        <x:f>MAX(0,MIN('Activities'!L220,594)-MAX('Activities'!K220,588))</x:f>
        <x:v>0</x:v>
      </x:c>
      <x:c r="CZ220" s="22" t="n">
        <x:f>MAX(0,MIN('Activities'!L220,600)-MAX('Activities'!K220,594))</x:f>
        <x:v>0</x:v>
      </x:c>
      <x:c r="DA220" s="22" t="n">
        <x:f>MAX(0,MIN('Activities'!L220,606)-MAX('Activities'!K220,600))</x:f>
        <x:v>0</x:v>
      </x:c>
      <x:c r="DB220" s="22" t="n">
        <x:f>MAX(0,MIN('Activities'!L220,612)-MAX('Activities'!K220,606))</x:f>
        <x:v>0</x:v>
      </x:c>
      <x:c r="DC220" s="22" t="n">
        <x:f>MAX(0,MIN('Activities'!L220,618)-MAX('Activities'!K220,612))</x:f>
        <x:v>0</x:v>
      </x:c>
      <x:c r="DD220" s="22" t="n">
        <x:f>MAX(0,MIN('Activities'!L220,624)-MAX('Activities'!K220,618))</x:f>
        <x:v>0</x:v>
      </x:c>
      <x:c r="DE220" s="22" t="n">
        <x:f>MAX(0,MIN('Activities'!L220,630)-MAX('Activities'!K220,624))</x:f>
        <x:v>0</x:v>
      </x:c>
      <x:c r="DF220" s="22" t="n">
        <x:f>MAX(0,MIN('Activities'!L220,636)-MAX('Activities'!K220,630))</x:f>
        <x:v>0</x:v>
      </x:c>
    </x:row>
    <x:row r="221" ht="23" customHeight="1">
      <x:c r="A221" s="1" t="str">
        <x:v>T2-L02-D</x:v>
      </x:c>
      <x:c r="B221" s="1" t="str">
        <x:v>T2</x:v>
      </x:c>
      <x:c r="C221" s="1" t="str">
        <x:v>Door sets and ironmongery</x:v>
      </x:c>
      <x:c r="D221" s="1" t="str">
        <x:v>Finishes</x:v>
      </x:c>
      <x:c r="E221" s="23" t="n">
        <x:f>MAX(0,MIN('Activities'!L221,6)-MAX('Activities'!K221,0))</x:f>
        <x:v>0</x:v>
      </x:c>
      <x:c r="F221" s="23" t="n">
        <x:f>MAX(0,MIN('Activities'!L221,12)-MAX('Activities'!K221,6))</x:f>
        <x:v>0</x:v>
      </x:c>
      <x:c r="G221" s="23" t="n">
        <x:f>MAX(0,MIN('Activities'!L221,18)-MAX('Activities'!K221,12))</x:f>
        <x:v>0</x:v>
      </x:c>
      <x:c r="H221" s="23" t="n">
        <x:f>MAX(0,MIN('Activities'!L221,24)-MAX('Activities'!K221,18))</x:f>
        <x:v>0</x:v>
      </x:c>
      <x:c r="I221" s="23" t="n">
        <x:f>MAX(0,MIN('Activities'!L221,30)-MAX('Activities'!K221,24))</x:f>
        <x:v>0</x:v>
      </x:c>
      <x:c r="J221" s="23" t="n">
        <x:f>MAX(0,MIN('Activities'!L221,36)-MAX('Activities'!K221,30))</x:f>
        <x:v>0</x:v>
      </x:c>
      <x:c r="K221" s="23" t="n">
        <x:f>MAX(0,MIN('Activities'!L221,42)-MAX('Activities'!K221,36))</x:f>
        <x:v>0</x:v>
      </x:c>
      <x:c r="L221" s="23" t="n">
        <x:f>MAX(0,MIN('Activities'!L221,48)-MAX('Activities'!K221,42))</x:f>
        <x:v>0</x:v>
      </x:c>
      <x:c r="M221" s="23" t="n">
        <x:f>MAX(0,MIN('Activities'!L221,54)-MAX('Activities'!K221,48))</x:f>
        <x:v>0</x:v>
      </x:c>
      <x:c r="N221" s="23" t="n">
        <x:f>MAX(0,MIN('Activities'!L221,60)-MAX('Activities'!K221,54))</x:f>
        <x:v>0</x:v>
      </x:c>
      <x:c r="O221" s="23" t="n">
        <x:f>MAX(0,MIN('Activities'!L221,66)-MAX('Activities'!K221,60))</x:f>
        <x:v>0</x:v>
      </x:c>
      <x:c r="P221" s="23" t="n">
        <x:f>MAX(0,MIN('Activities'!L221,72)-MAX('Activities'!K221,66))</x:f>
        <x:v>0</x:v>
      </x:c>
      <x:c r="Q221" s="23" t="n">
        <x:f>MAX(0,MIN('Activities'!L221,78)-MAX('Activities'!K221,72))</x:f>
        <x:v>0</x:v>
      </x:c>
      <x:c r="R221" s="23" t="n">
        <x:f>MAX(0,MIN('Activities'!L221,84)-MAX('Activities'!K221,78))</x:f>
        <x:v>0</x:v>
      </x:c>
      <x:c r="S221" s="23" t="n">
        <x:f>MAX(0,MIN('Activities'!L221,90)-MAX('Activities'!K221,84))</x:f>
        <x:v>0</x:v>
      </x:c>
      <x:c r="T221" s="23" t="n">
        <x:f>MAX(0,MIN('Activities'!L221,96)-MAX('Activities'!K221,90))</x:f>
        <x:v>0</x:v>
      </x:c>
      <x:c r="U221" s="23" t="n">
        <x:f>MAX(0,MIN('Activities'!L221,102)-MAX('Activities'!K221,96))</x:f>
        <x:v>0</x:v>
      </x:c>
      <x:c r="V221" s="23" t="n">
        <x:f>MAX(0,MIN('Activities'!L221,108)-MAX('Activities'!K221,102))</x:f>
        <x:v>0</x:v>
      </x:c>
      <x:c r="W221" s="23" t="n">
        <x:f>MAX(0,MIN('Activities'!L221,114)-MAX('Activities'!K221,108))</x:f>
        <x:v>0</x:v>
      </x:c>
      <x:c r="X221" s="23" t="n">
        <x:f>MAX(0,MIN('Activities'!L221,120)-MAX('Activities'!K221,114))</x:f>
        <x:v>0</x:v>
      </x:c>
      <x:c r="Y221" s="23" t="n">
        <x:f>MAX(0,MIN('Activities'!L221,126)-MAX('Activities'!K221,120))</x:f>
        <x:v>0</x:v>
      </x:c>
      <x:c r="Z221" s="23" t="n">
        <x:f>MAX(0,MIN('Activities'!L221,132)-MAX('Activities'!K221,126))</x:f>
        <x:v>0</x:v>
      </x:c>
      <x:c r="AA221" s="23" t="n">
        <x:f>MAX(0,MIN('Activities'!L221,138)-MAX('Activities'!K221,132))</x:f>
        <x:v>0</x:v>
      </x:c>
      <x:c r="AB221" s="23" t="n">
        <x:f>MAX(0,MIN('Activities'!L221,144)-MAX('Activities'!K221,138))</x:f>
        <x:v>0</x:v>
      </x:c>
      <x:c r="AC221" s="23" t="n">
        <x:f>MAX(0,MIN('Activities'!L221,150)-MAX('Activities'!K221,144))</x:f>
        <x:v>0</x:v>
      </x:c>
      <x:c r="AD221" s="23" t="n">
        <x:f>MAX(0,MIN('Activities'!L221,156)-MAX('Activities'!K221,150))</x:f>
        <x:v>0</x:v>
      </x:c>
      <x:c r="AE221" s="23" t="n">
        <x:f>MAX(0,MIN('Activities'!L221,162)-MAX('Activities'!K221,156))</x:f>
        <x:v>0</x:v>
      </x:c>
      <x:c r="AF221" s="23" t="n">
        <x:f>MAX(0,MIN('Activities'!L221,168)-MAX('Activities'!K221,162))</x:f>
        <x:v>0</x:v>
      </x:c>
      <x:c r="AG221" s="23" t="n">
        <x:f>MAX(0,MIN('Activities'!L221,174)-MAX('Activities'!K221,168))</x:f>
        <x:v>0</x:v>
      </x:c>
      <x:c r="AH221" s="23" t="n">
        <x:f>MAX(0,MIN('Activities'!L221,180)-MAX('Activities'!K221,174))</x:f>
        <x:v>0</x:v>
      </x:c>
      <x:c r="AI221" s="23" t="n">
        <x:f>MAX(0,MIN('Activities'!L221,186)-MAX('Activities'!K221,180))</x:f>
        <x:v>0</x:v>
      </x:c>
      <x:c r="AJ221" s="23" t="n">
        <x:f>MAX(0,MIN('Activities'!L221,192)-MAX('Activities'!K221,186))</x:f>
        <x:v>0</x:v>
      </x:c>
      <x:c r="AK221" s="23" t="n">
        <x:f>MAX(0,MIN('Activities'!L221,198)-MAX('Activities'!K221,192))</x:f>
        <x:v>0</x:v>
      </x:c>
      <x:c r="AL221" s="23" t="n">
        <x:f>MAX(0,MIN('Activities'!L221,204)-MAX('Activities'!K221,198))</x:f>
        <x:v>0</x:v>
      </x:c>
      <x:c r="AM221" s="23" t="n">
        <x:f>MAX(0,MIN('Activities'!L221,210)-MAX('Activities'!K221,204))</x:f>
        <x:v>0</x:v>
      </x:c>
      <x:c r="AN221" s="23" t="n">
        <x:f>MAX(0,MIN('Activities'!L221,216)-MAX('Activities'!K221,210))</x:f>
        <x:v>0</x:v>
      </x:c>
      <x:c r="AO221" s="23" t="n">
        <x:f>MAX(0,MIN('Activities'!L221,222)-MAX('Activities'!K221,216))</x:f>
        <x:v>0</x:v>
      </x:c>
      <x:c r="AP221" s="23" t="n">
        <x:f>MAX(0,MIN('Activities'!L221,228)-MAX('Activities'!K221,222))</x:f>
        <x:v>0</x:v>
      </x:c>
      <x:c r="AQ221" s="23" t="n">
        <x:f>MAX(0,MIN('Activities'!L221,234)-MAX('Activities'!K221,228))</x:f>
        <x:v>0</x:v>
      </x:c>
      <x:c r="AR221" s="23" t="n">
        <x:f>MAX(0,MIN('Activities'!L221,240)-MAX('Activities'!K221,234))</x:f>
        <x:v>0</x:v>
      </x:c>
      <x:c r="AS221" s="23" t="n">
        <x:f>MAX(0,MIN('Activities'!L221,246)-MAX('Activities'!K221,240))</x:f>
        <x:v>0</x:v>
      </x:c>
      <x:c r="AT221" s="23" t="n">
        <x:f>MAX(0,MIN('Activities'!L221,252)-MAX('Activities'!K221,246))</x:f>
        <x:v>0</x:v>
      </x:c>
      <x:c r="AU221" s="23" t="n">
        <x:f>MAX(0,MIN('Activities'!L221,258)-MAX('Activities'!K221,252))</x:f>
        <x:v>0</x:v>
      </x:c>
      <x:c r="AV221" s="23" t="n">
        <x:f>MAX(0,MIN('Activities'!L221,264)-MAX('Activities'!K221,258))</x:f>
        <x:v>0</x:v>
      </x:c>
      <x:c r="AW221" s="23" t="n">
        <x:f>MAX(0,MIN('Activities'!L221,270)-MAX('Activities'!K221,264))</x:f>
        <x:v>0</x:v>
      </x:c>
      <x:c r="AX221" s="23" t="n">
        <x:f>MAX(0,MIN('Activities'!L221,276)-MAX('Activities'!K221,270))</x:f>
        <x:v>0</x:v>
      </x:c>
      <x:c r="AY221" s="23" t="n">
        <x:f>MAX(0,MIN('Activities'!L221,282)-MAX('Activities'!K221,276))</x:f>
        <x:v>0</x:v>
      </x:c>
      <x:c r="AZ221" s="23" t="n">
        <x:f>MAX(0,MIN('Activities'!L221,288)-MAX('Activities'!K221,282))</x:f>
        <x:v>0</x:v>
      </x:c>
      <x:c r="BA221" s="23" t="n">
        <x:f>MAX(0,MIN('Activities'!L221,294)-MAX('Activities'!K221,288))</x:f>
        <x:v>0</x:v>
      </x:c>
      <x:c r="BB221" s="23" t="n">
        <x:f>MAX(0,MIN('Activities'!L221,300)-MAX('Activities'!K221,294))</x:f>
        <x:v>0</x:v>
      </x:c>
      <x:c r="BC221" s="23" t="n">
        <x:f>MAX(0,MIN('Activities'!L221,306)-MAX('Activities'!K221,300))</x:f>
        <x:v>0</x:v>
      </x:c>
      <x:c r="BD221" s="23" t="n">
        <x:f>MAX(0,MIN('Activities'!L221,312)-MAX('Activities'!K221,306))</x:f>
        <x:v>0</x:v>
      </x:c>
      <x:c r="BE221" s="23" t="n">
        <x:f>MAX(0,MIN('Activities'!L221,318)-MAX('Activities'!K221,312))</x:f>
        <x:v>0</x:v>
      </x:c>
      <x:c r="BF221" s="23" t="n">
        <x:f>MAX(0,MIN('Activities'!L221,324)-MAX('Activities'!K221,318))</x:f>
        <x:v>0</x:v>
      </x:c>
      <x:c r="BG221" s="23" t="n">
        <x:f>MAX(0,MIN('Activities'!L221,330)-MAX('Activities'!K221,324))</x:f>
        <x:v>0</x:v>
      </x:c>
      <x:c r="BH221" s="23" t="n">
        <x:f>MAX(0,MIN('Activities'!L221,336)-MAX('Activities'!K221,330))</x:f>
        <x:v>0</x:v>
      </x:c>
      <x:c r="BI221" s="23" t="n">
        <x:f>MAX(0,MIN('Activities'!L221,342)-MAX('Activities'!K221,336))</x:f>
        <x:v>0</x:v>
      </x:c>
      <x:c r="BJ221" s="23" t="n">
        <x:f>MAX(0,MIN('Activities'!L221,348)-MAX('Activities'!K221,342))</x:f>
        <x:v>0</x:v>
      </x:c>
      <x:c r="BK221" s="23" t="n">
        <x:f>MAX(0,MIN('Activities'!L221,354)-MAX('Activities'!K221,348))</x:f>
        <x:v>0</x:v>
      </x:c>
      <x:c r="BL221" s="23" t="n">
        <x:f>MAX(0,MIN('Activities'!L221,360)-MAX('Activities'!K221,354))</x:f>
        <x:v>0</x:v>
      </x:c>
      <x:c r="BM221" s="23" t="n">
        <x:f>MAX(0,MIN('Activities'!L221,366)-MAX('Activities'!K221,360))</x:f>
        <x:v>0</x:v>
      </x:c>
      <x:c r="BN221" s="23" t="n">
        <x:f>MAX(0,MIN('Activities'!L221,372)-MAX('Activities'!K221,366))</x:f>
        <x:v>0</x:v>
      </x:c>
      <x:c r="BO221" s="23" t="n">
        <x:f>MAX(0,MIN('Activities'!L221,378)-MAX('Activities'!K221,372))</x:f>
        <x:v>0</x:v>
      </x:c>
      <x:c r="BP221" s="23" t="n">
        <x:f>MAX(0,MIN('Activities'!L221,384)-MAX('Activities'!K221,378))</x:f>
        <x:v>0</x:v>
      </x:c>
      <x:c r="BQ221" s="23" t="n">
        <x:f>MAX(0,MIN('Activities'!L221,390)-MAX('Activities'!K221,384))</x:f>
        <x:v>0</x:v>
      </x:c>
      <x:c r="BR221" s="23" t="n">
        <x:f>MAX(0,MIN('Activities'!L221,396)-MAX('Activities'!K221,390))</x:f>
        <x:v>0</x:v>
      </x:c>
      <x:c r="BS221" s="23" t="n">
        <x:f>MAX(0,MIN('Activities'!L221,402)-MAX('Activities'!K221,396))</x:f>
        <x:v>0</x:v>
      </x:c>
      <x:c r="BT221" s="23" t="n">
        <x:f>MAX(0,MIN('Activities'!L221,408)-MAX('Activities'!K221,402))</x:f>
        <x:v>0</x:v>
      </x:c>
      <x:c r="BU221" s="23" t="n">
        <x:f>MAX(0,MIN('Activities'!L221,414)-MAX('Activities'!K221,408))</x:f>
        <x:v>0</x:v>
      </x:c>
      <x:c r="BV221" s="23" t="n">
        <x:f>MAX(0,MIN('Activities'!L221,420)-MAX('Activities'!K221,414))</x:f>
        <x:v>0</x:v>
      </x:c>
      <x:c r="BW221" s="23" t="n">
        <x:f>MAX(0,MIN('Activities'!L221,426)-MAX('Activities'!K221,420))</x:f>
        <x:v>0</x:v>
      </x:c>
      <x:c r="BX221" s="23" t="n">
        <x:f>MAX(0,MIN('Activities'!L221,432)-MAX('Activities'!K221,426))</x:f>
        <x:v>3</x:v>
      </x:c>
      <x:c r="BY221" s="23" t="n">
        <x:f>MAX(0,MIN('Activities'!L221,438)-MAX('Activities'!K221,432))</x:f>
        <x:v>0</x:v>
      </x:c>
      <x:c r="BZ221" s="23" t="n">
        <x:f>MAX(0,MIN('Activities'!L221,444)-MAX('Activities'!K221,438))</x:f>
        <x:v>0</x:v>
      </x:c>
      <x:c r="CA221" s="23" t="n">
        <x:f>MAX(0,MIN('Activities'!L221,450)-MAX('Activities'!K221,444))</x:f>
        <x:v>0</x:v>
      </x:c>
      <x:c r="CB221" s="23" t="n">
        <x:f>MAX(0,MIN('Activities'!L221,456)-MAX('Activities'!K221,450))</x:f>
        <x:v>0</x:v>
      </x:c>
      <x:c r="CC221" s="23" t="n">
        <x:f>MAX(0,MIN('Activities'!L221,462)-MAX('Activities'!K221,456))</x:f>
        <x:v>0</x:v>
      </x:c>
      <x:c r="CD221" s="23" t="n">
        <x:f>MAX(0,MIN('Activities'!L221,468)-MAX('Activities'!K221,462))</x:f>
        <x:v>0</x:v>
      </x:c>
      <x:c r="CE221" s="23" t="n">
        <x:f>MAX(0,MIN('Activities'!L221,474)-MAX('Activities'!K221,468))</x:f>
        <x:v>0</x:v>
      </x:c>
      <x:c r="CF221" s="23" t="n">
        <x:f>MAX(0,MIN('Activities'!L221,480)-MAX('Activities'!K221,474))</x:f>
        <x:v>0</x:v>
      </x:c>
      <x:c r="CG221" s="23" t="n">
        <x:f>MAX(0,MIN('Activities'!L221,486)-MAX('Activities'!K221,480))</x:f>
        <x:v>0</x:v>
      </x:c>
      <x:c r="CH221" s="23" t="n">
        <x:f>MAX(0,MIN('Activities'!L221,492)-MAX('Activities'!K221,486))</x:f>
        <x:v>0</x:v>
      </x:c>
      <x:c r="CI221" s="23" t="n">
        <x:f>MAX(0,MIN('Activities'!L221,498)-MAX('Activities'!K221,492))</x:f>
        <x:v>0</x:v>
      </x:c>
      <x:c r="CJ221" s="23" t="n">
        <x:f>MAX(0,MIN('Activities'!L221,504)-MAX('Activities'!K221,498))</x:f>
        <x:v>0</x:v>
      </x:c>
      <x:c r="CK221" s="23" t="n">
        <x:f>MAX(0,MIN('Activities'!L221,510)-MAX('Activities'!K221,504))</x:f>
        <x:v>0</x:v>
      </x:c>
      <x:c r="CL221" s="23" t="n">
        <x:f>MAX(0,MIN('Activities'!L221,516)-MAX('Activities'!K221,510))</x:f>
        <x:v>0</x:v>
      </x:c>
      <x:c r="CM221" s="23" t="n">
        <x:f>MAX(0,MIN('Activities'!L221,522)-MAX('Activities'!K221,516))</x:f>
        <x:v>0</x:v>
      </x:c>
      <x:c r="CN221" s="23" t="n">
        <x:f>MAX(0,MIN('Activities'!L221,528)-MAX('Activities'!K221,522))</x:f>
        <x:v>0</x:v>
      </x:c>
      <x:c r="CO221" s="23" t="n">
        <x:f>MAX(0,MIN('Activities'!L221,534)-MAX('Activities'!K221,528))</x:f>
        <x:v>0</x:v>
      </x:c>
      <x:c r="CP221" s="23" t="n">
        <x:f>MAX(0,MIN('Activities'!L221,540)-MAX('Activities'!K221,534))</x:f>
        <x:v>0</x:v>
      </x:c>
      <x:c r="CQ221" s="23" t="n">
        <x:f>MAX(0,MIN('Activities'!L221,546)-MAX('Activities'!K221,540))</x:f>
        <x:v>0</x:v>
      </x:c>
      <x:c r="CR221" s="23" t="n">
        <x:f>MAX(0,MIN('Activities'!L221,552)-MAX('Activities'!K221,546))</x:f>
        <x:v>0</x:v>
      </x:c>
      <x:c r="CS221" s="23" t="n">
        <x:f>MAX(0,MIN('Activities'!L221,558)-MAX('Activities'!K221,552))</x:f>
        <x:v>0</x:v>
      </x:c>
      <x:c r="CT221" s="23" t="n">
        <x:f>MAX(0,MIN('Activities'!L221,564)-MAX('Activities'!K221,558))</x:f>
        <x:v>0</x:v>
      </x:c>
      <x:c r="CU221" s="23" t="n">
        <x:f>MAX(0,MIN('Activities'!L221,570)-MAX('Activities'!K221,564))</x:f>
        <x:v>0</x:v>
      </x:c>
      <x:c r="CV221" s="23" t="n">
        <x:f>MAX(0,MIN('Activities'!L221,576)-MAX('Activities'!K221,570))</x:f>
        <x:v>0</x:v>
      </x:c>
      <x:c r="CW221" s="23" t="n">
        <x:f>MAX(0,MIN('Activities'!L221,582)-MAX('Activities'!K221,576))</x:f>
        <x:v>0</x:v>
      </x:c>
      <x:c r="CX221" s="23" t="n">
        <x:f>MAX(0,MIN('Activities'!L221,588)-MAX('Activities'!K221,582))</x:f>
        <x:v>0</x:v>
      </x:c>
      <x:c r="CY221" s="23" t="n">
        <x:f>MAX(0,MIN('Activities'!L221,594)-MAX('Activities'!K221,588))</x:f>
        <x:v>0</x:v>
      </x:c>
      <x:c r="CZ221" s="23" t="n">
        <x:f>MAX(0,MIN('Activities'!L221,600)-MAX('Activities'!K221,594))</x:f>
        <x:v>0</x:v>
      </x:c>
      <x:c r="DA221" s="23" t="n">
        <x:f>MAX(0,MIN('Activities'!L221,606)-MAX('Activities'!K221,600))</x:f>
        <x:v>0</x:v>
      </x:c>
      <x:c r="DB221" s="23" t="n">
        <x:f>MAX(0,MIN('Activities'!L221,612)-MAX('Activities'!K221,606))</x:f>
        <x:v>0</x:v>
      </x:c>
      <x:c r="DC221" s="23" t="n">
        <x:f>MAX(0,MIN('Activities'!L221,618)-MAX('Activities'!K221,612))</x:f>
        <x:v>0</x:v>
      </x:c>
      <x:c r="DD221" s="23" t="n">
        <x:f>MAX(0,MIN('Activities'!L221,624)-MAX('Activities'!K221,618))</x:f>
        <x:v>0</x:v>
      </x:c>
      <x:c r="DE221" s="23" t="n">
        <x:f>MAX(0,MIN('Activities'!L221,630)-MAX('Activities'!K221,624))</x:f>
        <x:v>0</x:v>
      </x:c>
      <x:c r="DF221" s="23" t="n">
        <x:f>MAX(0,MIN('Activities'!L221,636)-MAX('Activities'!K221,630))</x:f>
        <x:v>0</x:v>
      </x:c>
    </x:row>
    <x:row r="222" ht="23" customHeight="1">
      <x:c r="A222" s="6" t="str">
        <x:v>T2-L03-M</x:v>
      </x:c>
      <x:c r="B222" s="6" t="str">
        <x:v>T2</x:v>
      </x:c>
      <x:c r="C222" s="6" t="str">
        <x:v>Partition masonry</x:v>
      </x:c>
      <x:c r="D222" s="6" t="str">
        <x:v>Masonry</x:v>
      </x:c>
      <x:c r="E222" s="22" t="n">
        <x:f>MAX(0,MIN('Activities'!L222,6)-MAX('Activities'!K222,0))</x:f>
        <x:v>0</x:v>
      </x:c>
      <x:c r="F222" s="22" t="n">
        <x:f>MAX(0,MIN('Activities'!L222,12)-MAX('Activities'!K222,6))</x:f>
        <x:v>0</x:v>
      </x:c>
      <x:c r="G222" s="22" t="n">
        <x:f>MAX(0,MIN('Activities'!L222,18)-MAX('Activities'!K222,12))</x:f>
        <x:v>0</x:v>
      </x:c>
      <x:c r="H222" s="22" t="n">
        <x:f>MAX(0,MIN('Activities'!L222,24)-MAX('Activities'!K222,18))</x:f>
        <x:v>0</x:v>
      </x:c>
      <x:c r="I222" s="22" t="n">
        <x:f>MAX(0,MIN('Activities'!L222,30)-MAX('Activities'!K222,24))</x:f>
        <x:v>0</x:v>
      </x:c>
      <x:c r="J222" s="22" t="n">
        <x:f>MAX(0,MIN('Activities'!L222,36)-MAX('Activities'!K222,30))</x:f>
        <x:v>0</x:v>
      </x:c>
      <x:c r="K222" s="22" t="n">
        <x:f>MAX(0,MIN('Activities'!L222,42)-MAX('Activities'!K222,36))</x:f>
        <x:v>0</x:v>
      </x:c>
      <x:c r="L222" s="22" t="n">
        <x:f>MAX(0,MIN('Activities'!L222,48)-MAX('Activities'!K222,42))</x:f>
        <x:v>0</x:v>
      </x:c>
      <x:c r="M222" s="22" t="n">
        <x:f>MAX(0,MIN('Activities'!L222,54)-MAX('Activities'!K222,48))</x:f>
        <x:v>0</x:v>
      </x:c>
      <x:c r="N222" s="22" t="n">
        <x:f>MAX(0,MIN('Activities'!L222,60)-MAX('Activities'!K222,54))</x:f>
        <x:v>0</x:v>
      </x:c>
      <x:c r="O222" s="22" t="n">
        <x:f>MAX(0,MIN('Activities'!L222,66)-MAX('Activities'!K222,60))</x:f>
        <x:v>0</x:v>
      </x:c>
      <x:c r="P222" s="22" t="n">
        <x:f>MAX(0,MIN('Activities'!L222,72)-MAX('Activities'!K222,66))</x:f>
        <x:v>0</x:v>
      </x:c>
      <x:c r="Q222" s="22" t="n">
        <x:f>MAX(0,MIN('Activities'!L222,78)-MAX('Activities'!K222,72))</x:f>
        <x:v>0</x:v>
      </x:c>
      <x:c r="R222" s="22" t="n">
        <x:f>MAX(0,MIN('Activities'!L222,84)-MAX('Activities'!K222,78))</x:f>
        <x:v>0</x:v>
      </x:c>
      <x:c r="S222" s="22" t="n">
        <x:f>MAX(0,MIN('Activities'!L222,90)-MAX('Activities'!K222,84))</x:f>
        <x:v>0</x:v>
      </x:c>
      <x:c r="T222" s="22" t="n">
        <x:f>MAX(0,MIN('Activities'!L222,96)-MAX('Activities'!K222,90))</x:f>
        <x:v>0</x:v>
      </x:c>
      <x:c r="U222" s="22" t="n">
        <x:f>MAX(0,MIN('Activities'!L222,102)-MAX('Activities'!K222,96))</x:f>
        <x:v>0</x:v>
      </x:c>
      <x:c r="V222" s="22" t="n">
        <x:f>MAX(0,MIN('Activities'!L222,108)-MAX('Activities'!K222,102))</x:f>
        <x:v>0</x:v>
      </x:c>
      <x:c r="W222" s="22" t="n">
        <x:f>MAX(0,MIN('Activities'!L222,114)-MAX('Activities'!K222,108))</x:f>
        <x:v>0</x:v>
      </x:c>
      <x:c r="X222" s="22" t="n">
        <x:f>MAX(0,MIN('Activities'!L222,120)-MAX('Activities'!K222,114))</x:f>
        <x:v>0</x:v>
      </x:c>
      <x:c r="Y222" s="22" t="n">
        <x:f>MAX(0,MIN('Activities'!L222,126)-MAX('Activities'!K222,120))</x:f>
        <x:v>0</x:v>
      </x:c>
      <x:c r="Z222" s="22" t="n">
        <x:f>MAX(0,MIN('Activities'!L222,132)-MAX('Activities'!K222,126))</x:f>
        <x:v>0</x:v>
      </x:c>
      <x:c r="AA222" s="22" t="n">
        <x:f>MAX(0,MIN('Activities'!L222,138)-MAX('Activities'!K222,132))</x:f>
        <x:v>0</x:v>
      </x:c>
      <x:c r="AB222" s="22" t="n">
        <x:f>MAX(0,MIN('Activities'!L222,144)-MAX('Activities'!K222,138))</x:f>
        <x:v>0</x:v>
      </x:c>
      <x:c r="AC222" s="22" t="n">
        <x:f>MAX(0,MIN('Activities'!L222,150)-MAX('Activities'!K222,144))</x:f>
        <x:v>0</x:v>
      </x:c>
      <x:c r="AD222" s="22" t="n">
        <x:f>MAX(0,MIN('Activities'!L222,156)-MAX('Activities'!K222,150))</x:f>
        <x:v>0</x:v>
      </x:c>
      <x:c r="AE222" s="22" t="n">
        <x:f>MAX(0,MIN('Activities'!L222,162)-MAX('Activities'!K222,156))</x:f>
        <x:v>0</x:v>
      </x:c>
      <x:c r="AF222" s="22" t="n">
        <x:f>MAX(0,MIN('Activities'!L222,168)-MAX('Activities'!K222,162))</x:f>
        <x:v>0</x:v>
      </x:c>
      <x:c r="AG222" s="22" t="n">
        <x:f>MAX(0,MIN('Activities'!L222,174)-MAX('Activities'!K222,168))</x:f>
        <x:v>0</x:v>
      </x:c>
      <x:c r="AH222" s="22" t="n">
        <x:f>MAX(0,MIN('Activities'!L222,180)-MAX('Activities'!K222,174))</x:f>
        <x:v>0</x:v>
      </x:c>
      <x:c r="AI222" s="22" t="n">
        <x:f>MAX(0,MIN('Activities'!L222,186)-MAX('Activities'!K222,180))</x:f>
        <x:v>0</x:v>
      </x:c>
      <x:c r="AJ222" s="22" t="n">
        <x:f>MAX(0,MIN('Activities'!L222,192)-MAX('Activities'!K222,186))</x:f>
        <x:v>0</x:v>
      </x:c>
      <x:c r="AK222" s="22" t="n">
        <x:f>MAX(0,MIN('Activities'!L222,198)-MAX('Activities'!K222,192))</x:f>
        <x:v>0</x:v>
      </x:c>
      <x:c r="AL222" s="22" t="n">
        <x:f>MAX(0,MIN('Activities'!L222,204)-MAX('Activities'!K222,198))</x:f>
        <x:v>0</x:v>
      </x:c>
      <x:c r="AM222" s="22" t="n">
        <x:f>MAX(0,MIN('Activities'!L222,210)-MAX('Activities'!K222,204))</x:f>
        <x:v>0</x:v>
      </x:c>
      <x:c r="AN222" s="22" t="n">
        <x:f>MAX(0,MIN('Activities'!L222,216)-MAX('Activities'!K222,210))</x:f>
        <x:v>0</x:v>
      </x:c>
      <x:c r="AO222" s="22" t="n">
        <x:f>MAX(0,MIN('Activities'!L222,222)-MAX('Activities'!K222,216))</x:f>
        <x:v>0</x:v>
      </x:c>
      <x:c r="AP222" s="22" t="n">
        <x:f>MAX(0,MIN('Activities'!L222,228)-MAX('Activities'!K222,222))</x:f>
        <x:v>0</x:v>
      </x:c>
      <x:c r="AQ222" s="22" t="n">
        <x:f>MAX(0,MIN('Activities'!L222,234)-MAX('Activities'!K222,228))</x:f>
        <x:v>0</x:v>
      </x:c>
      <x:c r="AR222" s="22" t="n">
        <x:f>MAX(0,MIN('Activities'!L222,240)-MAX('Activities'!K222,234))</x:f>
        <x:v>0</x:v>
      </x:c>
      <x:c r="AS222" s="22" t="n">
        <x:f>MAX(0,MIN('Activities'!L222,246)-MAX('Activities'!K222,240))</x:f>
        <x:v>0</x:v>
      </x:c>
      <x:c r="AT222" s="22" t="n">
        <x:f>MAX(0,MIN('Activities'!L222,252)-MAX('Activities'!K222,246))</x:f>
        <x:v>0</x:v>
      </x:c>
      <x:c r="AU222" s="22" t="n">
        <x:f>MAX(0,MIN('Activities'!L222,258)-MAX('Activities'!K222,252))</x:f>
        <x:v>0</x:v>
      </x:c>
      <x:c r="AV222" s="22" t="n">
        <x:f>MAX(0,MIN('Activities'!L222,264)-MAX('Activities'!K222,258))</x:f>
        <x:v>0</x:v>
      </x:c>
      <x:c r="AW222" s="22" t="n">
        <x:f>MAX(0,MIN('Activities'!L222,270)-MAX('Activities'!K222,264))</x:f>
        <x:v>0</x:v>
      </x:c>
      <x:c r="AX222" s="22" t="n">
        <x:f>MAX(0,MIN('Activities'!L222,276)-MAX('Activities'!K222,270))</x:f>
        <x:v>0</x:v>
      </x:c>
      <x:c r="AY222" s="22" t="n">
        <x:f>MAX(0,MIN('Activities'!L222,282)-MAX('Activities'!K222,276))</x:f>
        <x:v>5</x:v>
      </x:c>
      <x:c r="AZ222" s="22" t="n">
        <x:f>MAX(0,MIN('Activities'!L222,288)-MAX('Activities'!K222,282))</x:f>
        <x:v>0</x:v>
      </x:c>
      <x:c r="BA222" s="22" t="n">
        <x:f>MAX(0,MIN('Activities'!L222,294)-MAX('Activities'!K222,288))</x:f>
        <x:v>0</x:v>
      </x:c>
      <x:c r="BB222" s="22" t="n">
        <x:f>MAX(0,MIN('Activities'!L222,300)-MAX('Activities'!K222,294))</x:f>
        <x:v>0</x:v>
      </x:c>
      <x:c r="BC222" s="22" t="n">
        <x:f>MAX(0,MIN('Activities'!L222,306)-MAX('Activities'!K222,300))</x:f>
        <x:v>0</x:v>
      </x:c>
      <x:c r="BD222" s="22" t="n">
        <x:f>MAX(0,MIN('Activities'!L222,312)-MAX('Activities'!K222,306))</x:f>
        <x:v>0</x:v>
      </x:c>
      <x:c r="BE222" s="22" t="n">
        <x:f>MAX(0,MIN('Activities'!L222,318)-MAX('Activities'!K222,312))</x:f>
        <x:v>0</x:v>
      </x:c>
      <x:c r="BF222" s="22" t="n">
        <x:f>MAX(0,MIN('Activities'!L222,324)-MAX('Activities'!K222,318))</x:f>
        <x:v>0</x:v>
      </x:c>
      <x:c r="BG222" s="22" t="n">
        <x:f>MAX(0,MIN('Activities'!L222,330)-MAX('Activities'!K222,324))</x:f>
        <x:v>0</x:v>
      </x:c>
      <x:c r="BH222" s="22" t="n">
        <x:f>MAX(0,MIN('Activities'!L222,336)-MAX('Activities'!K222,330))</x:f>
        <x:v>0</x:v>
      </x:c>
      <x:c r="BI222" s="22" t="n">
        <x:f>MAX(0,MIN('Activities'!L222,342)-MAX('Activities'!K222,336))</x:f>
        <x:v>0</x:v>
      </x:c>
      <x:c r="BJ222" s="22" t="n">
        <x:f>MAX(0,MIN('Activities'!L222,348)-MAX('Activities'!K222,342))</x:f>
        <x:v>0</x:v>
      </x:c>
      <x:c r="BK222" s="22" t="n">
        <x:f>MAX(0,MIN('Activities'!L222,354)-MAX('Activities'!K222,348))</x:f>
        <x:v>0</x:v>
      </x:c>
      <x:c r="BL222" s="22" t="n">
        <x:f>MAX(0,MIN('Activities'!L222,360)-MAX('Activities'!K222,354))</x:f>
        <x:v>0</x:v>
      </x:c>
      <x:c r="BM222" s="22" t="n">
        <x:f>MAX(0,MIN('Activities'!L222,366)-MAX('Activities'!K222,360))</x:f>
        <x:v>0</x:v>
      </x:c>
      <x:c r="BN222" s="22" t="n">
        <x:f>MAX(0,MIN('Activities'!L222,372)-MAX('Activities'!K222,366))</x:f>
        <x:v>0</x:v>
      </x:c>
      <x:c r="BO222" s="22" t="n">
        <x:f>MAX(0,MIN('Activities'!L222,378)-MAX('Activities'!K222,372))</x:f>
        <x:v>0</x:v>
      </x:c>
      <x:c r="BP222" s="22" t="n">
        <x:f>MAX(0,MIN('Activities'!L222,384)-MAX('Activities'!K222,378))</x:f>
        <x:v>0</x:v>
      </x:c>
      <x:c r="BQ222" s="22" t="n">
        <x:f>MAX(0,MIN('Activities'!L222,390)-MAX('Activities'!K222,384))</x:f>
        <x:v>0</x:v>
      </x:c>
      <x:c r="BR222" s="22" t="n">
        <x:f>MAX(0,MIN('Activities'!L222,396)-MAX('Activities'!K222,390))</x:f>
        <x:v>0</x:v>
      </x:c>
      <x:c r="BS222" s="22" t="n">
        <x:f>MAX(0,MIN('Activities'!L222,402)-MAX('Activities'!K222,396))</x:f>
        <x:v>0</x:v>
      </x:c>
      <x:c r="BT222" s="22" t="n">
        <x:f>MAX(0,MIN('Activities'!L222,408)-MAX('Activities'!K222,402))</x:f>
        <x:v>0</x:v>
      </x:c>
      <x:c r="BU222" s="22" t="n">
        <x:f>MAX(0,MIN('Activities'!L222,414)-MAX('Activities'!K222,408))</x:f>
        <x:v>0</x:v>
      </x:c>
      <x:c r="BV222" s="22" t="n">
        <x:f>MAX(0,MIN('Activities'!L222,420)-MAX('Activities'!K222,414))</x:f>
        <x:v>0</x:v>
      </x:c>
      <x:c r="BW222" s="22" t="n">
        <x:f>MAX(0,MIN('Activities'!L222,426)-MAX('Activities'!K222,420))</x:f>
        <x:v>0</x:v>
      </x:c>
      <x:c r="BX222" s="22" t="n">
        <x:f>MAX(0,MIN('Activities'!L222,432)-MAX('Activities'!K222,426))</x:f>
        <x:v>0</x:v>
      </x:c>
      <x:c r="BY222" s="22" t="n">
        <x:f>MAX(0,MIN('Activities'!L222,438)-MAX('Activities'!K222,432))</x:f>
        <x:v>0</x:v>
      </x:c>
      <x:c r="BZ222" s="22" t="n">
        <x:f>MAX(0,MIN('Activities'!L222,444)-MAX('Activities'!K222,438))</x:f>
        <x:v>0</x:v>
      </x:c>
      <x:c r="CA222" s="22" t="n">
        <x:f>MAX(0,MIN('Activities'!L222,450)-MAX('Activities'!K222,444))</x:f>
        <x:v>0</x:v>
      </x:c>
      <x:c r="CB222" s="22" t="n">
        <x:f>MAX(0,MIN('Activities'!L222,456)-MAX('Activities'!K222,450))</x:f>
        <x:v>0</x:v>
      </x:c>
      <x:c r="CC222" s="22" t="n">
        <x:f>MAX(0,MIN('Activities'!L222,462)-MAX('Activities'!K222,456))</x:f>
        <x:v>0</x:v>
      </x:c>
      <x:c r="CD222" s="22" t="n">
        <x:f>MAX(0,MIN('Activities'!L222,468)-MAX('Activities'!K222,462))</x:f>
        <x:v>0</x:v>
      </x:c>
      <x:c r="CE222" s="22" t="n">
        <x:f>MAX(0,MIN('Activities'!L222,474)-MAX('Activities'!K222,468))</x:f>
        <x:v>0</x:v>
      </x:c>
      <x:c r="CF222" s="22" t="n">
        <x:f>MAX(0,MIN('Activities'!L222,480)-MAX('Activities'!K222,474))</x:f>
        <x:v>0</x:v>
      </x:c>
      <x:c r="CG222" s="22" t="n">
        <x:f>MAX(0,MIN('Activities'!L222,486)-MAX('Activities'!K222,480))</x:f>
        <x:v>0</x:v>
      </x:c>
      <x:c r="CH222" s="22" t="n">
        <x:f>MAX(0,MIN('Activities'!L222,492)-MAX('Activities'!K222,486))</x:f>
        <x:v>0</x:v>
      </x:c>
      <x:c r="CI222" s="22" t="n">
        <x:f>MAX(0,MIN('Activities'!L222,498)-MAX('Activities'!K222,492))</x:f>
        <x:v>0</x:v>
      </x:c>
      <x:c r="CJ222" s="22" t="n">
        <x:f>MAX(0,MIN('Activities'!L222,504)-MAX('Activities'!K222,498))</x:f>
        <x:v>0</x:v>
      </x:c>
      <x:c r="CK222" s="22" t="n">
        <x:f>MAX(0,MIN('Activities'!L222,510)-MAX('Activities'!K222,504))</x:f>
        <x:v>0</x:v>
      </x:c>
      <x:c r="CL222" s="22" t="n">
        <x:f>MAX(0,MIN('Activities'!L222,516)-MAX('Activities'!K222,510))</x:f>
        <x:v>0</x:v>
      </x:c>
      <x:c r="CM222" s="22" t="n">
        <x:f>MAX(0,MIN('Activities'!L222,522)-MAX('Activities'!K222,516))</x:f>
        <x:v>0</x:v>
      </x:c>
      <x:c r="CN222" s="22" t="n">
        <x:f>MAX(0,MIN('Activities'!L222,528)-MAX('Activities'!K222,522))</x:f>
        <x:v>0</x:v>
      </x:c>
      <x:c r="CO222" s="22" t="n">
        <x:f>MAX(0,MIN('Activities'!L222,534)-MAX('Activities'!K222,528))</x:f>
        <x:v>0</x:v>
      </x:c>
      <x:c r="CP222" s="22" t="n">
        <x:f>MAX(0,MIN('Activities'!L222,540)-MAX('Activities'!K222,534))</x:f>
        <x:v>0</x:v>
      </x:c>
      <x:c r="CQ222" s="22" t="n">
        <x:f>MAX(0,MIN('Activities'!L222,546)-MAX('Activities'!K222,540))</x:f>
        <x:v>0</x:v>
      </x:c>
      <x:c r="CR222" s="22" t="n">
        <x:f>MAX(0,MIN('Activities'!L222,552)-MAX('Activities'!K222,546))</x:f>
        <x:v>0</x:v>
      </x:c>
      <x:c r="CS222" s="22" t="n">
        <x:f>MAX(0,MIN('Activities'!L222,558)-MAX('Activities'!K222,552))</x:f>
        <x:v>0</x:v>
      </x:c>
      <x:c r="CT222" s="22" t="n">
        <x:f>MAX(0,MIN('Activities'!L222,564)-MAX('Activities'!K222,558))</x:f>
        <x:v>0</x:v>
      </x:c>
      <x:c r="CU222" s="22" t="n">
        <x:f>MAX(0,MIN('Activities'!L222,570)-MAX('Activities'!K222,564))</x:f>
        <x:v>0</x:v>
      </x:c>
      <x:c r="CV222" s="22" t="n">
        <x:f>MAX(0,MIN('Activities'!L222,576)-MAX('Activities'!K222,570))</x:f>
        <x:v>0</x:v>
      </x:c>
      <x:c r="CW222" s="22" t="n">
        <x:f>MAX(0,MIN('Activities'!L222,582)-MAX('Activities'!K222,576))</x:f>
        <x:v>0</x:v>
      </x:c>
      <x:c r="CX222" s="22" t="n">
        <x:f>MAX(0,MIN('Activities'!L222,588)-MAX('Activities'!K222,582))</x:f>
        <x:v>0</x:v>
      </x:c>
      <x:c r="CY222" s="22" t="n">
        <x:f>MAX(0,MIN('Activities'!L222,594)-MAX('Activities'!K222,588))</x:f>
        <x:v>0</x:v>
      </x:c>
      <x:c r="CZ222" s="22" t="n">
        <x:f>MAX(0,MIN('Activities'!L222,600)-MAX('Activities'!K222,594))</x:f>
        <x:v>0</x:v>
      </x:c>
      <x:c r="DA222" s="22" t="n">
        <x:f>MAX(0,MIN('Activities'!L222,606)-MAX('Activities'!K222,600))</x:f>
        <x:v>0</x:v>
      </x:c>
      <x:c r="DB222" s="22" t="n">
        <x:f>MAX(0,MIN('Activities'!L222,612)-MAX('Activities'!K222,606))</x:f>
        <x:v>0</x:v>
      </x:c>
      <x:c r="DC222" s="22" t="n">
        <x:f>MAX(0,MIN('Activities'!L222,618)-MAX('Activities'!K222,612))</x:f>
        <x:v>0</x:v>
      </x:c>
      <x:c r="DD222" s="22" t="n">
        <x:f>MAX(0,MIN('Activities'!L222,624)-MAX('Activities'!K222,618))</x:f>
        <x:v>0</x:v>
      </x:c>
      <x:c r="DE222" s="22" t="n">
        <x:f>MAX(0,MIN('Activities'!L222,630)-MAX('Activities'!K222,624))</x:f>
        <x:v>0</x:v>
      </x:c>
      <x:c r="DF222" s="22" t="n">
        <x:f>MAX(0,MIN('Activities'!L222,636)-MAX('Activities'!K222,630))</x:f>
        <x:v>0</x:v>
      </x:c>
    </x:row>
    <x:row r="223" ht="23" customHeight="1">
      <x:c r="A223" s="1" t="str">
        <x:v>T2-L03-P</x:v>
      </x:c>
      <x:c r="B223" s="1" t="str">
        <x:v>T2</x:v>
      </x:c>
      <x:c r="C223" s="1" t="str">
        <x:v>Internal plaster</x:v>
      </x:c>
      <x:c r="D223" s="1" t="str">
        <x:v>Finishes</x:v>
      </x:c>
      <x:c r="E223" s="23" t="n">
        <x:f>MAX(0,MIN('Activities'!L223,6)-MAX('Activities'!K223,0))</x:f>
        <x:v>0</x:v>
      </x:c>
      <x:c r="F223" s="23" t="n">
        <x:f>MAX(0,MIN('Activities'!L223,12)-MAX('Activities'!K223,6))</x:f>
        <x:v>0</x:v>
      </x:c>
      <x:c r="G223" s="23" t="n">
        <x:f>MAX(0,MIN('Activities'!L223,18)-MAX('Activities'!K223,12))</x:f>
        <x:v>0</x:v>
      </x:c>
      <x:c r="H223" s="23" t="n">
        <x:f>MAX(0,MIN('Activities'!L223,24)-MAX('Activities'!K223,18))</x:f>
        <x:v>0</x:v>
      </x:c>
      <x:c r="I223" s="23" t="n">
        <x:f>MAX(0,MIN('Activities'!L223,30)-MAX('Activities'!K223,24))</x:f>
        <x:v>0</x:v>
      </x:c>
      <x:c r="J223" s="23" t="n">
        <x:f>MAX(0,MIN('Activities'!L223,36)-MAX('Activities'!K223,30))</x:f>
        <x:v>0</x:v>
      </x:c>
      <x:c r="K223" s="23" t="n">
        <x:f>MAX(0,MIN('Activities'!L223,42)-MAX('Activities'!K223,36))</x:f>
        <x:v>0</x:v>
      </x:c>
      <x:c r="L223" s="23" t="n">
        <x:f>MAX(0,MIN('Activities'!L223,48)-MAX('Activities'!K223,42))</x:f>
        <x:v>0</x:v>
      </x:c>
      <x:c r="M223" s="23" t="n">
        <x:f>MAX(0,MIN('Activities'!L223,54)-MAX('Activities'!K223,48))</x:f>
        <x:v>0</x:v>
      </x:c>
      <x:c r="N223" s="23" t="n">
        <x:f>MAX(0,MIN('Activities'!L223,60)-MAX('Activities'!K223,54))</x:f>
        <x:v>0</x:v>
      </x:c>
      <x:c r="O223" s="23" t="n">
        <x:f>MAX(0,MIN('Activities'!L223,66)-MAX('Activities'!K223,60))</x:f>
        <x:v>0</x:v>
      </x:c>
      <x:c r="P223" s="23" t="n">
        <x:f>MAX(0,MIN('Activities'!L223,72)-MAX('Activities'!K223,66))</x:f>
        <x:v>0</x:v>
      </x:c>
      <x:c r="Q223" s="23" t="n">
        <x:f>MAX(0,MIN('Activities'!L223,78)-MAX('Activities'!K223,72))</x:f>
        <x:v>0</x:v>
      </x:c>
      <x:c r="R223" s="23" t="n">
        <x:f>MAX(0,MIN('Activities'!L223,84)-MAX('Activities'!K223,78))</x:f>
        <x:v>0</x:v>
      </x:c>
      <x:c r="S223" s="23" t="n">
        <x:f>MAX(0,MIN('Activities'!L223,90)-MAX('Activities'!K223,84))</x:f>
        <x:v>0</x:v>
      </x:c>
      <x:c r="T223" s="23" t="n">
        <x:f>MAX(0,MIN('Activities'!L223,96)-MAX('Activities'!K223,90))</x:f>
        <x:v>0</x:v>
      </x:c>
      <x:c r="U223" s="23" t="n">
        <x:f>MAX(0,MIN('Activities'!L223,102)-MAX('Activities'!K223,96))</x:f>
        <x:v>0</x:v>
      </x:c>
      <x:c r="V223" s="23" t="n">
        <x:f>MAX(0,MIN('Activities'!L223,108)-MAX('Activities'!K223,102))</x:f>
        <x:v>0</x:v>
      </x:c>
      <x:c r="W223" s="23" t="n">
        <x:f>MAX(0,MIN('Activities'!L223,114)-MAX('Activities'!K223,108))</x:f>
        <x:v>0</x:v>
      </x:c>
      <x:c r="X223" s="23" t="n">
        <x:f>MAX(0,MIN('Activities'!L223,120)-MAX('Activities'!K223,114))</x:f>
        <x:v>0</x:v>
      </x:c>
      <x:c r="Y223" s="23" t="n">
        <x:f>MAX(0,MIN('Activities'!L223,126)-MAX('Activities'!K223,120))</x:f>
        <x:v>0</x:v>
      </x:c>
      <x:c r="Z223" s="23" t="n">
        <x:f>MAX(0,MIN('Activities'!L223,132)-MAX('Activities'!K223,126))</x:f>
        <x:v>0</x:v>
      </x:c>
      <x:c r="AA223" s="23" t="n">
        <x:f>MAX(0,MIN('Activities'!L223,138)-MAX('Activities'!K223,132))</x:f>
        <x:v>0</x:v>
      </x:c>
      <x:c r="AB223" s="23" t="n">
        <x:f>MAX(0,MIN('Activities'!L223,144)-MAX('Activities'!K223,138))</x:f>
        <x:v>0</x:v>
      </x:c>
      <x:c r="AC223" s="23" t="n">
        <x:f>MAX(0,MIN('Activities'!L223,150)-MAX('Activities'!K223,144))</x:f>
        <x:v>0</x:v>
      </x:c>
      <x:c r="AD223" s="23" t="n">
        <x:f>MAX(0,MIN('Activities'!L223,156)-MAX('Activities'!K223,150))</x:f>
        <x:v>0</x:v>
      </x:c>
      <x:c r="AE223" s="23" t="n">
        <x:f>MAX(0,MIN('Activities'!L223,162)-MAX('Activities'!K223,156))</x:f>
        <x:v>0</x:v>
      </x:c>
      <x:c r="AF223" s="23" t="n">
        <x:f>MAX(0,MIN('Activities'!L223,168)-MAX('Activities'!K223,162))</x:f>
        <x:v>0</x:v>
      </x:c>
      <x:c r="AG223" s="23" t="n">
        <x:f>MAX(0,MIN('Activities'!L223,174)-MAX('Activities'!K223,168))</x:f>
        <x:v>0</x:v>
      </x:c>
      <x:c r="AH223" s="23" t="n">
        <x:f>MAX(0,MIN('Activities'!L223,180)-MAX('Activities'!K223,174))</x:f>
        <x:v>0</x:v>
      </x:c>
      <x:c r="AI223" s="23" t="n">
        <x:f>MAX(0,MIN('Activities'!L223,186)-MAX('Activities'!K223,180))</x:f>
        <x:v>0</x:v>
      </x:c>
      <x:c r="AJ223" s="23" t="n">
        <x:f>MAX(0,MIN('Activities'!L223,192)-MAX('Activities'!K223,186))</x:f>
        <x:v>0</x:v>
      </x:c>
      <x:c r="AK223" s="23" t="n">
        <x:f>MAX(0,MIN('Activities'!L223,198)-MAX('Activities'!K223,192))</x:f>
        <x:v>0</x:v>
      </x:c>
      <x:c r="AL223" s="23" t="n">
        <x:f>MAX(0,MIN('Activities'!L223,204)-MAX('Activities'!K223,198))</x:f>
        <x:v>0</x:v>
      </x:c>
      <x:c r="AM223" s="23" t="n">
        <x:f>MAX(0,MIN('Activities'!L223,210)-MAX('Activities'!K223,204))</x:f>
        <x:v>0</x:v>
      </x:c>
      <x:c r="AN223" s="23" t="n">
        <x:f>MAX(0,MIN('Activities'!L223,216)-MAX('Activities'!K223,210))</x:f>
        <x:v>0</x:v>
      </x:c>
      <x:c r="AO223" s="23" t="n">
        <x:f>MAX(0,MIN('Activities'!L223,222)-MAX('Activities'!K223,216))</x:f>
        <x:v>0</x:v>
      </x:c>
      <x:c r="AP223" s="23" t="n">
        <x:f>MAX(0,MIN('Activities'!L223,228)-MAX('Activities'!K223,222))</x:f>
        <x:v>0</x:v>
      </x:c>
      <x:c r="AQ223" s="23" t="n">
        <x:f>MAX(0,MIN('Activities'!L223,234)-MAX('Activities'!K223,228))</x:f>
        <x:v>0</x:v>
      </x:c>
      <x:c r="AR223" s="23" t="n">
        <x:f>MAX(0,MIN('Activities'!L223,240)-MAX('Activities'!K223,234))</x:f>
        <x:v>0</x:v>
      </x:c>
      <x:c r="AS223" s="23" t="n">
        <x:f>MAX(0,MIN('Activities'!L223,246)-MAX('Activities'!K223,240))</x:f>
        <x:v>0</x:v>
      </x:c>
      <x:c r="AT223" s="23" t="n">
        <x:f>MAX(0,MIN('Activities'!L223,252)-MAX('Activities'!K223,246))</x:f>
        <x:v>0</x:v>
      </x:c>
      <x:c r="AU223" s="23" t="n">
        <x:f>MAX(0,MIN('Activities'!L223,258)-MAX('Activities'!K223,252))</x:f>
        <x:v>0</x:v>
      </x:c>
      <x:c r="AV223" s="23" t="n">
        <x:f>MAX(0,MIN('Activities'!L223,264)-MAX('Activities'!K223,258))</x:f>
        <x:v>0</x:v>
      </x:c>
      <x:c r="AW223" s="23" t="n">
        <x:f>MAX(0,MIN('Activities'!L223,270)-MAX('Activities'!K223,264))</x:f>
        <x:v>0</x:v>
      </x:c>
      <x:c r="AX223" s="23" t="n">
        <x:f>MAX(0,MIN('Activities'!L223,276)-MAX('Activities'!K223,270))</x:f>
        <x:v>0</x:v>
      </x:c>
      <x:c r="AY223" s="23" t="n">
        <x:f>MAX(0,MIN('Activities'!L223,282)-MAX('Activities'!K223,276))</x:f>
        <x:v>0</x:v>
      </x:c>
      <x:c r="AZ223" s="23" t="n">
        <x:f>MAX(0,MIN('Activities'!L223,288)-MAX('Activities'!K223,282))</x:f>
        <x:v>3</x:v>
      </x:c>
      <x:c r="BA223" s="23" t="n">
        <x:f>MAX(0,MIN('Activities'!L223,294)-MAX('Activities'!K223,288))</x:f>
        <x:v>3</x:v>
      </x:c>
      <x:c r="BB223" s="23" t="n">
        <x:f>MAX(0,MIN('Activities'!L223,300)-MAX('Activities'!K223,294))</x:f>
        <x:v>0</x:v>
      </x:c>
      <x:c r="BC223" s="23" t="n">
        <x:f>MAX(0,MIN('Activities'!L223,306)-MAX('Activities'!K223,300))</x:f>
        <x:v>0</x:v>
      </x:c>
      <x:c r="BD223" s="23" t="n">
        <x:f>MAX(0,MIN('Activities'!L223,312)-MAX('Activities'!K223,306))</x:f>
        <x:v>0</x:v>
      </x:c>
      <x:c r="BE223" s="23" t="n">
        <x:f>MAX(0,MIN('Activities'!L223,318)-MAX('Activities'!K223,312))</x:f>
        <x:v>0</x:v>
      </x:c>
      <x:c r="BF223" s="23" t="n">
        <x:f>MAX(0,MIN('Activities'!L223,324)-MAX('Activities'!K223,318))</x:f>
        <x:v>0</x:v>
      </x:c>
      <x:c r="BG223" s="23" t="n">
        <x:f>MAX(0,MIN('Activities'!L223,330)-MAX('Activities'!K223,324))</x:f>
        <x:v>0</x:v>
      </x:c>
      <x:c r="BH223" s="23" t="n">
        <x:f>MAX(0,MIN('Activities'!L223,336)-MAX('Activities'!K223,330))</x:f>
        <x:v>0</x:v>
      </x:c>
      <x:c r="BI223" s="23" t="n">
        <x:f>MAX(0,MIN('Activities'!L223,342)-MAX('Activities'!K223,336))</x:f>
        <x:v>0</x:v>
      </x:c>
      <x:c r="BJ223" s="23" t="n">
        <x:f>MAX(0,MIN('Activities'!L223,348)-MAX('Activities'!K223,342))</x:f>
        <x:v>0</x:v>
      </x:c>
      <x:c r="BK223" s="23" t="n">
        <x:f>MAX(0,MIN('Activities'!L223,354)-MAX('Activities'!K223,348))</x:f>
        <x:v>0</x:v>
      </x:c>
      <x:c r="BL223" s="23" t="n">
        <x:f>MAX(0,MIN('Activities'!L223,360)-MAX('Activities'!K223,354))</x:f>
        <x:v>0</x:v>
      </x:c>
      <x:c r="BM223" s="23" t="n">
        <x:f>MAX(0,MIN('Activities'!L223,366)-MAX('Activities'!K223,360))</x:f>
        <x:v>0</x:v>
      </x:c>
      <x:c r="BN223" s="23" t="n">
        <x:f>MAX(0,MIN('Activities'!L223,372)-MAX('Activities'!K223,366))</x:f>
        <x:v>0</x:v>
      </x:c>
      <x:c r="BO223" s="23" t="n">
        <x:f>MAX(0,MIN('Activities'!L223,378)-MAX('Activities'!K223,372))</x:f>
        <x:v>0</x:v>
      </x:c>
      <x:c r="BP223" s="23" t="n">
        <x:f>MAX(0,MIN('Activities'!L223,384)-MAX('Activities'!K223,378))</x:f>
        <x:v>0</x:v>
      </x:c>
      <x:c r="BQ223" s="23" t="n">
        <x:f>MAX(0,MIN('Activities'!L223,390)-MAX('Activities'!K223,384))</x:f>
        <x:v>0</x:v>
      </x:c>
      <x:c r="BR223" s="23" t="n">
        <x:f>MAX(0,MIN('Activities'!L223,396)-MAX('Activities'!K223,390))</x:f>
        <x:v>0</x:v>
      </x:c>
      <x:c r="BS223" s="23" t="n">
        <x:f>MAX(0,MIN('Activities'!L223,402)-MAX('Activities'!K223,396))</x:f>
        <x:v>0</x:v>
      </x:c>
      <x:c r="BT223" s="23" t="n">
        <x:f>MAX(0,MIN('Activities'!L223,408)-MAX('Activities'!K223,402))</x:f>
        <x:v>0</x:v>
      </x:c>
      <x:c r="BU223" s="23" t="n">
        <x:f>MAX(0,MIN('Activities'!L223,414)-MAX('Activities'!K223,408))</x:f>
        <x:v>0</x:v>
      </x:c>
      <x:c r="BV223" s="23" t="n">
        <x:f>MAX(0,MIN('Activities'!L223,420)-MAX('Activities'!K223,414))</x:f>
        <x:v>0</x:v>
      </x:c>
      <x:c r="BW223" s="23" t="n">
        <x:f>MAX(0,MIN('Activities'!L223,426)-MAX('Activities'!K223,420))</x:f>
        <x:v>0</x:v>
      </x:c>
      <x:c r="BX223" s="23" t="n">
        <x:f>MAX(0,MIN('Activities'!L223,432)-MAX('Activities'!K223,426))</x:f>
        <x:v>0</x:v>
      </x:c>
      <x:c r="BY223" s="23" t="n">
        <x:f>MAX(0,MIN('Activities'!L223,438)-MAX('Activities'!K223,432))</x:f>
        <x:v>0</x:v>
      </x:c>
      <x:c r="BZ223" s="23" t="n">
        <x:f>MAX(0,MIN('Activities'!L223,444)-MAX('Activities'!K223,438))</x:f>
        <x:v>0</x:v>
      </x:c>
      <x:c r="CA223" s="23" t="n">
        <x:f>MAX(0,MIN('Activities'!L223,450)-MAX('Activities'!K223,444))</x:f>
        <x:v>0</x:v>
      </x:c>
      <x:c r="CB223" s="23" t="n">
        <x:f>MAX(0,MIN('Activities'!L223,456)-MAX('Activities'!K223,450))</x:f>
        <x:v>0</x:v>
      </x:c>
      <x:c r="CC223" s="23" t="n">
        <x:f>MAX(0,MIN('Activities'!L223,462)-MAX('Activities'!K223,456))</x:f>
        <x:v>0</x:v>
      </x:c>
      <x:c r="CD223" s="23" t="n">
        <x:f>MAX(0,MIN('Activities'!L223,468)-MAX('Activities'!K223,462))</x:f>
        <x:v>0</x:v>
      </x:c>
      <x:c r="CE223" s="23" t="n">
        <x:f>MAX(0,MIN('Activities'!L223,474)-MAX('Activities'!K223,468))</x:f>
        <x:v>0</x:v>
      </x:c>
      <x:c r="CF223" s="23" t="n">
        <x:f>MAX(0,MIN('Activities'!L223,480)-MAX('Activities'!K223,474))</x:f>
        <x:v>0</x:v>
      </x:c>
      <x:c r="CG223" s="23" t="n">
        <x:f>MAX(0,MIN('Activities'!L223,486)-MAX('Activities'!K223,480))</x:f>
        <x:v>0</x:v>
      </x:c>
      <x:c r="CH223" s="23" t="n">
        <x:f>MAX(0,MIN('Activities'!L223,492)-MAX('Activities'!K223,486))</x:f>
        <x:v>0</x:v>
      </x:c>
      <x:c r="CI223" s="23" t="n">
        <x:f>MAX(0,MIN('Activities'!L223,498)-MAX('Activities'!K223,492))</x:f>
        <x:v>0</x:v>
      </x:c>
      <x:c r="CJ223" s="23" t="n">
        <x:f>MAX(0,MIN('Activities'!L223,504)-MAX('Activities'!K223,498))</x:f>
        <x:v>0</x:v>
      </x:c>
      <x:c r="CK223" s="23" t="n">
        <x:f>MAX(0,MIN('Activities'!L223,510)-MAX('Activities'!K223,504))</x:f>
        <x:v>0</x:v>
      </x:c>
      <x:c r="CL223" s="23" t="n">
        <x:f>MAX(0,MIN('Activities'!L223,516)-MAX('Activities'!K223,510))</x:f>
        <x:v>0</x:v>
      </x:c>
      <x:c r="CM223" s="23" t="n">
        <x:f>MAX(0,MIN('Activities'!L223,522)-MAX('Activities'!K223,516))</x:f>
        <x:v>0</x:v>
      </x:c>
      <x:c r="CN223" s="23" t="n">
        <x:f>MAX(0,MIN('Activities'!L223,528)-MAX('Activities'!K223,522))</x:f>
        <x:v>0</x:v>
      </x:c>
      <x:c r="CO223" s="23" t="n">
        <x:f>MAX(0,MIN('Activities'!L223,534)-MAX('Activities'!K223,528))</x:f>
        <x:v>0</x:v>
      </x:c>
      <x:c r="CP223" s="23" t="n">
        <x:f>MAX(0,MIN('Activities'!L223,540)-MAX('Activities'!K223,534))</x:f>
        <x:v>0</x:v>
      </x:c>
      <x:c r="CQ223" s="23" t="n">
        <x:f>MAX(0,MIN('Activities'!L223,546)-MAX('Activities'!K223,540))</x:f>
        <x:v>0</x:v>
      </x:c>
      <x:c r="CR223" s="23" t="n">
        <x:f>MAX(0,MIN('Activities'!L223,552)-MAX('Activities'!K223,546))</x:f>
        <x:v>0</x:v>
      </x:c>
      <x:c r="CS223" s="23" t="n">
        <x:f>MAX(0,MIN('Activities'!L223,558)-MAX('Activities'!K223,552))</x:f>
        <x:v>0</x:v>
      </x:c>
      <x:c r="CT223" s="23" t="n">
        <x:f>MAX(0,MIN('Activities'!L223,564)-MAX('Activities'!K223,558))</x:f>
        <x:v>0</x:v>
      </x:c>
      <x:c r="CU223" s="23" t="n">
        <x:f>MAX(0,MIN('Activities'!L223,570)-MAX('Activities'!K223,564))</x:f>
        <x:v>0</x:v>
      </x:c>
      <x:c r="CV223" s="23" t="n">
        <x:f>MAX(0,MIN('Activities'!L223,576)-MAX('Activities'!K223,570))</x:f>
        <x:v>0</x:v>
      </x:c>
      <x:c r="CW223" s="23" t="n">
        <x:f>MAX(0,MIN('Activities'!L223,582)-MAX('Activities'!K223,576))</x:f>
        <x:v>0</x:v>
      </x:c>
      <x:c r="CX223" s="23" t="n">
        <x:f>MAX(0,MIN('Activities'!L223,588)-MAX('Activities'!K223,582))</x:f>
        <x:v>0</x:v>
      </x:c>
      <x:c r="CY223" s="23" t="n">
        <x:f>MAX(0,MIN('Activities'!L223,594)-MAX('Activities'!K223,588))</x:f>
        <x:v>0</x:v>
      </x:c>
      <x:c r="CZ223" s="23" t="n">
        <x:f>MAX(0,MIN('Activities'!L223,600)-MAX('Activities'!K223,594))</x:f>
        <x:v>0</x:v>
      </x:c>
      <x:c r="DA223" s="23" t="n">
        <x:f>MAX(0,MIN('Activities'!L223,606)-MAX('Activities'!K223,600))</x:f>
        <x:v>0</x:v>
      </x:c>
      <x:c r="DB223" s="23" t="n">
        <x:f>MAX(0,MIN('Activities'!L223,612)-MAX('Activities'!K223,606))</x:f>
        <x:v>0</x:v>
      </x:c>
      <x:c r="DC223" s="23" t="n">
        <x:f>MAX(0,MIN('Activities'!L223,618)-MAX('Activities'!K223,612))</x:f>
        <x:v>0</x:v>
      </x:c>
      <x:c r="DD223" s="23" t="n">
        <x:f>MAX(0,MIN('Activities'!L223,624)-MAX('Activities'!K223,618))</x:f>
        <x:v>0</x:v>
      </x:c>
      <x:c r="DE223" s="23" t="n">
        <x:f>MAX(0,MIN('Activities'!L223,630)-MAX('Activities'!K223,624))</x:f>
        <x:v>0</x:v>
      </x:c>
      <x:c r="DF223" s="23" t="n">
        <x:f>MAX(0,MIN('Activities'!L223,636)-MAX('Activities'!K223,630))</x:f>
        <x:v>0</x:v>
      </x:c>
    </x:row>
    <x:row r="224" ht="23" customHeight="1">
      <x:c r="A224" s="6" t="str">
        <x:v>T2-L03-S</x:v>
      </x:c>
      <x:c r="B224" s="6" t="str">
        <x:v>T2</x:v>
      </x:c>
      <x:c r="C224" s="6" t="str">
        <x:v>Screed and substrate preparation</x:v>
      </x:c>
      <x:c r="D224" s="6" t="str">
        <x:v>Finishes</x:v>
      </x:c>
      <x:c r="E224" s="22" t="n">
        <x:f>MAX(0,MIN('Activities'!L224,6)-MAX('Activities'!K224,0))</x:f>
        <x:v>0</x:v>
      </x:c>
      <x:c r="F224" s="22" t="n">
        <x:f>MAX(0,MIN('Activities'!L224,12)-MAX('Activities'!K224,6))</x:f>
        <x:v>0</x:v>
      </x:c>
      <x:c r="G224" s="22" t="n">
        <x:f>MAX(0,MIN('Activities'!L224,18)-MAX('Activities'!K224,12))</x:f>
        <x:v>0</x:v>
      </x:c>
      <x:c r="H224" s="22" t="n">
        <x:f>MAX(0,MIN('Activities'!L224,24)-MAX('Activities'!K224,18))</x:f>
        <x:v>0</x:v>
      </x:c>
      <x:c r="I224" s="22" t="n">
        <x:f>MAX(0,MIN('Activities'!L224,30)-MAX('Activities'!K224,24))</x:f>
        <x:v>0</x:v>
      </x:c>
      <x:c r="J224" s="22" t="n">
        <x:f>MAX(0,MIN('Activities'!L224,36)-MAX('Activities'!K224,30))</x:f>
        <x:v>0</x:v>
      </x:c>
      <x:c r="K224" s="22" t="n">
        <x:f>MAX(0,MIN('Activities'!L224,42)-MAX('Activities'!K224,36))</x:f>
        <x:v>0</x:v>
      </x:c>
      <x:c r="L224" s="22" t="n">
        <x:f>MAX(0,MIN('Activities'!L224,48)-MAX('Activities'!K224,42))</x:f>
        <x:v>0</x:v>
      </x:c>
      <x:c r="M224" s="22" t="n">
        <x:f>MAX(0,MIN('Activities'!L224,54)-MAX('Activities'!K224,48))</x:f>
        <x:v>0</x:v>
      </x:c>
      <x:c r="N224" s="22" t="n">
        <x:f>MAX(0,MIN('Activities'!L224,60)-MAX('Activities'!K224,54))</x:f>
        <x:v>0</x:v>
      </x:c>
      <x:c r="O224" s="22" t="n">
        <x:f>MAX(0,MIN('Activities'!L224,66)-MAX('Activities'!K224,60))</x:f>
        <x:v>0</x:v>
      </x:c>
      <x:c r="P224" s="22" t="n">
        <x:f>MAX(0,MIN('Activities'!L224,72)-MAX('Activities'!K224,66))</x:f>
        <x:v>0</x:v>
      </x:c>
      <x:c r="Q224" s="22" t="n">
        <x:f>MAX(0,MIN('Activities'!L224,78)-MAX('Activities'!K224,72))</x:f>
        <x:v>0</x:v>
      </x:c>
      <x:c r="R224" s="22" t="n">
        <x:f>MAX(0,MIN('Activities'!L224,84)-MAX('Activities'!K224,78))</x:f>
        <x:v>0</x:v>
      </x:c>
      <x:c r="S224" s="22" t="n">
        <x:f>MAX(0,MIN('Activities'!L224,90)-MAX('Activities'!K224,84))</x:f>
        <x:v>0</x:v>
      </x:c>
      <x:c r="T224" s="22" t="n">
        <x:f>MAX(0,MIN('Activities'!L224,96)-MAX('Activities'!K224,90))</x:f>
        <x:v>0</x:v>
      </x:c>
      <x:c r="U224" s="22" t="n">
        <x:f>MAX(0,MIN('Activities'!L224,102)-MAX('Activities'!K224,96))</x:f>
        <x:v>0</x:v>
      </x:c>
      <x:c r="V224" s="22" t="n">
        <x:f>MAX(0,MIN('Activities'!L224,108)-MAX('Activities'!K224,102))</x:f>
        <x:v>0</x:v>
      </x:c>
      <x:c r="W224" s="22" t="n">
        <x:f>MAX(0,MIN('Activities'!L224,114)-MAX('Activities'!K224,108))</x:f>
        <x:v>0</x:v>
      </x:c>
      <x:c r="X224" s="22" t="n">
        <x:f>MAX(0,MIN('Activities'!L224,120)-MAX('Activities'!K224,114))</x:f>
        <x:v>0</x:v>
      </x:c>
      <x:c r="Y224" s="22" t="n">
        <x:f>MAX(0,MIN('Activities'!L224,126)-MAX('Activities'!K224,120))</x:f>
        <x:v>0</x:v>
      </x:c>
      <x:c r="Z224" s="22" t="n">
        <x:f>MAX(0,MIN('Activities'!L224,132)-MAX('Activities'!K224,126))</x:f>
        <x:v>0</x:v>
      </x:c>
      <x:c r="AA224" s="22" t="n">
        <x:f>MAX(0,MIN('Activities'!L224,138)-MAX('Activities'!K224,132))</x:f>
        <x:v>0</x:v>
      </x:c>
      <x:c r="AB224" s="22" t="n">
        <x:f>MAX(0,MIN('Activities'!L224,144)-MAX('Activities'!K224,138))</x:f>
        <x:v>0</x:v>
      </x:c>
      <x:c r="AC224" s="22" t="n">
        <x:f>MAX(0,MIN('Activities'!L224,150)-MAX('Activities'!K224,144))</x:f>
        <x:v>0</x:v>
      </x:c>
      <x:c r="AD224" s="22" t="n">
        <x:f>MAX(0,MIN('Activities'!L224,156)-MAX('Activities'!K224,150))</x:f>
        <x:v>0</x:v>
      </x:c>
      <x:c r="AE224" s="22" t="n">
        <x:f>MAX(0,MIN('Activities'!L224,162)-MAX('Activities'!K224,156))</x:f>
        <x:v>0</x:v>
      </x:c>
      <x:c r="AF224" s="22" t="n">
        <x:f>MAX(0,MIN('Activities'!L224,168)-MAX('Activities'!K224,162))</x:f>
        <x:v>0</x:v>
      </x:c>
      <x:c r="AG224" s="22" t="n">
        <x:f>MAX(0,MIN('Activities'!L224,174)-MAX('Activities'!K224,168))</x:f>
        <x:v>0</x:v>
      </x:c>
      <x:c r="AH224" s="22" t="n">
        <x:f>MAX(0,MIN('Activities'!L224,180)-MAX('Activities'!K224,174))</x:f>
        <x:v>0</x:v>
      </x:c>
      <x:c r="AI224" s="22" t="n">
        <x:f>MAX(0,MIN('Activities'!L224,186)-MAX('Activities'!K224,180))</x:f>
        <x:v>0</x:v>
      </x:c>
      <x:c r="AJ224" s="22" t="n">
        <x:f>MAX(0,MIN('Activities'!L224,192)-MAX('Activities'!K224,186))</x:f>
        <x:v>0</x:v>
      </x:c>
      <x:c r="AK224" s="22" t="n">
        <x:f>MAX(0,MIN('Activities'!L224,198)-MAX('Activities'!K224,192))</x:f>
        <x:v>0</x:v>
      </x:c>
      <x:c r="AL224" s="22" t="n">
        <x:f>MAX(0,MIN('Activities'!L224,204)-MAX('Activities'!K224,198))</x:f>
        <x:v>0</x:v>
      </x:c>
      <x:c r="AM224" s="22" t="n">
        <x:f>MAX(0,MIN('Activities'!L224,210)-MAX('Activities'!K224,204))</x:f>
        <x:v>0</x:v>
      </x:c>
      <x:c r="AN224" s="22" t="n">
        <x:f>MAX(0,MIN('Activities'!L224,216)-MAX('Activities'!K224,210))</x:f>
        <x:v>0</x:v>
      </x:c>
      <x:c r="AO224" s="22" t="n">
        <x:f>MAX(0,MIN('Activities'!L224,222)-MAX('Activities'!K224,216))</x:f>
        <x:v>0</x:v>
      </x:c>
      <x:c r="AP224" s="22" t="n">
        <x:f>MAX(0,MIN('Activities'!L224,228)-MAX('Activities'!K224,222))</x:f>
        <x:v>0</x:v>
      </x:c>
      <x:c r="AQ224" s="22" t="n">
        <x:f>MAX(0,MIN('Activities'!L224,234)-MAX('Activities'!K224,228))</x:f>
        <x:v>0</x:v>
      </x:c>
      <x:c r="AR224" s="22" t="n">
        <x:f>MAX(0,MIN('Activities'!L224,240)-MAX('Activities'!K224,234))</x:f>
        <x:v>0</x:v>
      </x:c>
      <x:c r="AS224" s="22" t="n">
        <x:f>MAX(0,MIN('Activities'!L224,246)-MAX('Activities'!K224,240))</x:f>
        <x:v>0</x:v>
      </x:c>
      <x:c r="AT224" s="22" t="n">
        <x:f>MAX(0,MIN('Activities'!L224,252)-MAX('Activities'!K224,246))</x:f>
        <x:v>0</x:v>
      </x:c>
      <x:c r="AU224" s="22" t="n">
        <x:f>MAX(0,MIN('Activities'!L224,258)-MAX('Activities'!K224,252))</x:f>
        <x:v>0</x:v>
      </x:c>
      <x:c r="AV224" s="22" t="n">
        <x:f>MAX(0,MIN('Activities'!L224,264)-MAX('Activities'!K224,258))</x:f>
        <x:v>0</x:v>
      </x:c>
      <x:c r="AW224" s="22" t="n">
        <x:f>MAX(0,MIN('Activities'!L224,270)-MAX('Activities'!K224,264))</x:f>
        <x:v>0</x:v>
      </x:c>
      <x:c r="AX224" s="22" t="n">
        <x:f>MAX(0,MIN('Activities'!L224,276)-MAX('Activities'!K224,270))</x:f>
        <x:v>0</x:v>
      </x:c>
      <x:c r="AY224" s="22" t="n">
        <x:f>MAX(0,MIN('Activities'!L224,282)-MAX('Activities'!K224,276))</x:f>
        <x:v>0</x:v>
      </x:c>
      <x:c r="AZ224" s="22" t="n">
        <x:f>MAX(0,MIN('Activities'!L224,288)-MAX('Activities'!K224,282))</x:f>
        <x:v>0</x:v>
      </x:c>
      <x:c r="BA224" s="22" t="n">
        <x:f>MAX(0,MIN('Activities'!L224,294)-MAX('Activities'!K224,288))</x:f>
        <x:v>1</x:v>
      </x:c>
      <x:c r="BB224" s="22" t="n">
        <x:f>MAX(0,MIN('Activities'!L224,300)-MAX('Activities'!K224,294))</x:f>
        <x:v>2</x:v>
      </x:c>
      <x:c r="BC224" s="22" t="n">
        <x:f>MAX(0,MIN('Activities'!L224,306)-MAX('Activities'!K224,300))</x:f>
        <x:v>0</x:v>
      </x:c>
      <x:c r="BD224" s="22" t="n">
        <x:f>MAX(0,MIN('Activities'!L224,312)-MAX('Activities'!K224,306))</x:f>
        <x:v>0</x:v>
      </x:c>
      <x:c r="BE224" s="22" t="n">
        <x:f>MAX(0,MIN('Activities'!L224,318)-MAX('Activities'!K224,312))</x:f>
        <x:v>0</x:v>
      </x:c>
      <x:c r="BF224" s="22" t="n">
        <x:f>MAX(0,MIN('Activities'!L224,324)-MAX('Activities'!K224,318))</x:f>
        <x:v>0</x:v>
      </x:c>
      <x:c r="BG224" s="22" t="n">
        <x:f>MAX(0,MIN('Activities'!L224,330)-MAX('Activities'!K224,324))</x:f>
        <x:v>0</x:v>
      </x:c>
      <x:c r="BH224" s="22" t="n">
        <x:f>MAX(0,MIN('Activities'!L224,336)-MAX('Activities'!K224,330))</x:f>
        <x:v>0</x:v>
      </x:c>
      <x:c r="BI224" s="22" t="n">
        <x:f>MAX(0,MIN('Activities'!L224,342)-MAX('Activities'!K224,336))</x:f>
        <x:v>0</x:v>
      </x:c>
      <x:c r="BJ224" s="22" t="n">
        <x:f>MAX(0,MIN('Activities'!L224,348)-MAX('Activities'!K224,342))</x:f>
        <x:v>0</x:v>
      </x:c>
      <x:c r="BK224" s="22" t="n">
        <x:f>MAX(0,MIN('Activities'!L224,354)-MAX('Activities'!K224,348))</x:f>
        <x:v>0</x:v>
      </x:c>
      <x:c r="BL224" s="22" t="n">
        <x:f>MAX(0,MIN('Activities'!L224,360)-MAX('Activities'!K224,354))</x:f>
        <x:v>0</x:v>
      </x:c>
      <x:c r="BM224" s="22" t="n">
        <x:f>MAX(0,MIN('Activities'!L224,366)-MAX('Activities'!K224,360))</x:f>
        <x:v>0</x:v>
      </x:c>
      <x:c r="BN224" s="22" t="n">
        <x:f>MAX(0,MIN('Activities'!L224,372)-MAX('Activities'!K224,366))</x:f>
        <x:v>0</x:v>
      </x:c>
      <x:c r="BO224" s="22" t="n">
        <x:f>MAX(0,MIN('Activities'!L224,378)-MAX('Activities'!K224,372))</x:f>
        <x:v>0</x:v>
      </x:c>
      <x:c r="BP224" s="22" t="n">
        <x:f>MAX(0,MIN('Activities'!L224,384)-MAX('Activities'!K224,378))</x:f>
        <x:v>0</x:v>
      </x:c>
      <x:c r="BQ224" s="22" t="n">
        <x:f>MAX(0,MIN('Activities'!L224,390)-MAX('Activities'!K224,384))</x:f>
        <x:v>0</x:v>
      </x:c>
      <x:c r="BR224" s="22" t="n">
        <x:f>MAX(0,MIN('Activities'!L224,396)-MAX('Activities'!K224,390))</x:f>
        <x:v>0</x:v>
      </x:c>
      <x:c r="BS224" s="22" t="n">
        <x:f>MAX(0,MIN('Activities'!L224,402)-MAX('Activities'!K224,396))</x:f>
        <x:v>0</x:v>
      </x:c>
      <x:c r="BT224" s="22" t="n">
        <x:f>MAX(0,MIN('Activities'!L224,408)-MAX('Activities'!K224,402))</x:f>
        <x:v>0</x:v>
      </x:c>
      <x:c r="BU224" s="22" t="n">
        <x:f>MAX(0,MIN('Activities'!L224,414)-MAX('Activities'!K224,408))</x:f>
        <x:v>0</x:v>
      </x:c>
      <x:c r="BV224" s="22" t="n">
        <x:f>MAX(0,MIN('Activities'!L224,420)-MAX('Activities'!K224,414))</x:f>
        <x:v>0</x:v>
      </x:c>
      <x:c r="BW224" s="22" t="n">
        <x:f>MAX(0,MIN('Activities'!L224,426)-MAX('Activities'!K224,420))</x:f>
        <x:v>0</x:v>
      </x:c>
      <x:c r="BX224" s="22" t="n">
        <x:f>MAX(0,MIN('Activities'!L224,432)-MAX('Activities'!K224,426))</x:f>
        <x:v>0</x:v>
      </x:c>
      <x:c r="BY224" s="22" t="n">
        <x:f>MAX(0,MIN('Activities'!L224,438)-MAX('Activities'!K224,432))</x:f>
        <x:v>0</x:v>
      </x:c>
      <x:c r="BZ224" s="22" t="n">
        <x:f>MAX(0,MIN('Activities'!L224,444)-MAX('Activities'!K224,438))</x:f>
        <x:v>0</x:v>
      </x:c>
      <x:c r="CA224" s="22" t="n">
        <x:f>MAX(0,MIN('Activities'!L224,450)-MAX('Activities'!K224,444))</x:f>
        <x:v>0</x:v>
      </x:c>
      <x:c r="CB224" s="22" t="n">
        <x:f>MAX(0,MIN('Activities'!L224,456)-MAX('Activities'!K224,450))</x:f>
        <x:v>0</x:v>
      </x:c>
      <x:c r="CC224" s="22" t="n">
        <x:f>MAX(0,MIN('Activities'!L224,462)-MAX('Activities'!K224,456))</x:f>
        <x:v>0</x:v>
      </x:c>
      <x:c r="CD224" s="22" t="n">
        <x:f>MAX(0,MIN('Activities'!L224,468)-MAX('Activities'!K224,462))</x:f>
        <x:v>0</x:v>
      </x:c>
      <x:c r="CE224" s="22" t="n">
        <x:f>MAX(0,MIN('Activities'!L224,474)-MAX('Activities'!K224,468))</x:f>
        <x:v>0</x:v>
      </x:c>
      <x:c r="CF224" s="22" t="n">
        <x:f>MAX(0,MIN('Activities'!L224,480)-MAX('Activities'!K224,474))</x:f>
        <x:v>0</x:v>
      </x:c>
      <x:c r="CG224" s="22" t="n">
        <x:f>MAX(0,MIN('Activities'!L224,486)-MAX('Activities'!K224,480))</x:f>
        <x:v>0</x:v>
      </x:c>
      <x:c r="CH224" s="22" t="n">
        <x:f>MAX(0,MIN('Activities'!L224,492)-MAX('Activities'!K224,486))</x:f>
        <x:v>0</x:v>
      </x:c>
      <x:c r="CI224" s="22" t="n">
        <x:f>MAX(0,MIN('Activities'!L224,498)-MAX('Activities'!K224,492))</x:f>
        <x:v>0</x:v>
      </x:c>
      <x:c r="CJ224" s="22" t="n">
        <x:f>MAX(0,MIN('Activities'!L224,504)-MAX('Activities'!K224,498))</x:f>
        <x:v>0</x:v>
      </x:c>
      <x:c r="CK224" s="22" t="n">
        <x:f>MAX(0,MIN('Activities'!L224,510)-MAX('Activities'!K224,504))</x:f>
        <x:v>0</x:v>
      </x:c>
      <x:c r="CL224" s="22" t="n">
        <x:f>MAX(0,MIN('Activities'!L224,516)-MAX('Activities'!K224,510))</x:f>
        <x:v>0</x:v>
      </x:c>
      <x:c r="CM224" s="22" t="n">
        <x:f>MAX(0,MIN('Activities'!L224,522)-MAX('Activities'!K224,516))</x:f>
        <x:v>0</x:v>
      </x:c>
      <x:c r="CN224" s="22" t="n">
        <x:f>MAX(0,MIN('Activities'!L224,528)-MAX('Activities'!K224,522))</x:f>
        <x:v>0</x:v>
      </x:c>
      <x:c r="CO224" s="22" t="n">
        <x:f>MAX(0,MIN('Activities'!L224,534)-MAX('Activities'!K224,528))</x:f>
        <x:v>0</x:v>
      </x:c>
      <x:c r="CP224" s="22" t="n">
        <x:f>MAX(0,MIN('Activities'!L224,540)-MAX('Activities'!K224,534))</x:f>
        <x:v>0</x:v>
      </x:c>
      <x:c r="CQ224" s="22" t="n">
        <x:f>MAX(0,MIN('Activities'!L224,546)-MAX('Activities'!K224,540))</x:f>
        <x:v>0</x:v>
      </x:c>
      <x:c r="CR224" s="22" t="n">
        <x:f>MAX(0,MIN('Activities'!L224,552)-MAX('Activities'!K224,546))</x:f>
        <x:v>0</x:v>
      </x:c>
      <x:c r="CS224" s="22" t="n">
        <x:f>MAX(0,MIN('Activities'!L224,558)-MAX('Activities'!K224,552))</x:f>
        <x:v>0</x:v>
      </x:c>
      <x:c r="CT224" s="22" t="n">
        <x:f>MAX(0,MIN('Activities'!L224,564)-MAX('Activities'!K224,558))</x:f>
        <x:v>0</x:v>
      </x:c>
      <x:c r="CU224" s="22" t="n">
        <x:f>MAX(0,MIN('Activities'!L224,570)-MAX('Activities'!K224,564))</x:f>
        <x:v>0</x:v>
      </x:c>
      <x:c r="CV224" s="22" t="n">
        <x:f>MAX(0,MIN('Activities'!L224,576)-MAX('Activities'!K224,570))</x:f>
        <x:v>0</x:v>
      </x:c>
      <x:c r="CW224" s="22" t="n">
        <x:f>MAX(0,MIN('Activities'!L224,582)-MAX('Activities'!K224,576))</x:f>
        <x:v>0</x:v>
      </x:c>
      <x:c r="CX224" s="22" t="n">
        <x:f>MAX(0,MIN('Activities'!L224,588)-MAX('Activities'!K224,582))</x:f>
        <x:v>0</x:v>
      </x:c>
      <x:c r="CY224" s="22" t="n">
        <x:f>MAX(0,MIN('Activities'!L224,594)-MAX('Activities'!K224,588))</x:f>
        <x:v>0</x:v>
      </x:c>
      <x:c r="CZ224" s="22" t="n">
        <x:f>MAX(0,MIN('Activities'!L224,600)-MAX('Activities'!K224,594))</x:f>
        <x:v>0</x:v>
      </x:c>
      <x:c r="DA224" s="22" t="n">
        <x:f>MAX(0,MIN('Activities'!L224,606)-MAX('Activities'!K224,600))</x:f>
        <x:v>0</x:v>
      </x:c>
      <x:c r="DB224" s="22" t="n">
        <x:f>MAX(0,MIN('Activities'!L224,612)-MAX('Activities'!K224,606))</x:f>
        <x:v>0</x:v>
      </x:c>
      <x:c r="DC224" s="22" t="n">
        <x:f>MAX(0,MIN('Activities'!L224,618)-MAX('Activities'!K224,612))</x:f>
        <x:v>0</x:v>
      </x:c>
      <x:c r="DD224" s="22" t="n">
        <x:f>MAX(0,MIN('Activities'!L224,624)-MAX('Activities'!K224,618))</x:f>
        <x:v>0</x:v>
      </x:c>
      <x:c r="DE224" s="22" t="n">
        <x:f>MAX(0,MIN('Activities'!L224,630)-MAX('Activities'!K224,624))</x:f>
        <x:v>0</x:v>
      </x:c>
      <x:c r="DF224" s="22" t="n">
        <x:f>MAX(0,MIN('Activities'!L224,636)-MAX('Activities'!K224,630))</x:f>
        <x:v>0</x:v>
      </x:c>
    </x:row>
    <x:row r="225" ht="23" customHeight="1">
      <x:c r="A225" s="1" t="str">
        <x:v>T2-L03-T</x:v>
      </x:c>
      <x:c r="B225" s="1" t="str">
        <x:v>T2</x:v>
      </x:c>
      <x:c r="C225" s="1" t="str">
        <x:v>Floor finishes and skirtings</x:v>
      </x:c>
      <x:c r="D225" s="1" t="str">
        <x:v>Finishes</x:v>
      </x:c>
      <x:c r="E225" s="23" t="n">
        <x:f>MAX(0,MIN('Activities'!L225,6)-MAX('Activities'!K225,0))</x:f>
        <x:v>0</x:v>
      </x:c>
      <x:c r="F225" s="23" t="n">
        <x:f>MAX(0,MIN('Activities'!L225,12)-MAX('Activities'!K225,6))</x:f>
        <x:v>0</x:v>
      </x:c>
      <x:c r="G225" s="23" t="n">
        <x:f>MAX(0,MIN('Activities'!L225,18)-MAX('Activities'!K225,12))</x:f>
        <x:v>0</x:v>
      </x:c>
      <x:c r="H225" s="23" t="n">
        <x:f>MAX(0,MIN('Activities'!L225,24)-MAX('Activities'!K225,18))</x:f>
        <x:v>0</x:v>
      </x:c>
      <x:c r="I225" s="23" t="n">
        <x:f>MAX(0,MIN('Activities'!L225,30)-MAX('Activities'!K225,24))</x:f>
        <x:v>0</x:v>
      </x:c>
      <x:c r="J225" s="23" t="n">
        <x:f>MAX(0,MIN('Activities'!L225,36)-MAX('Activities'!K225,30))</x:f>
        <x:v>0</x:v>
      </x:c>
      <x:c r="K225" s="23" t="n">
        <x:f>MAX(0,MIN('Activities'!L225,42)-MAX('Activities'!K225,36))</x:f>
        <x:v>0</x:v>
      </x:c>
      <x:c r="L225" s="23" t="n">
        <x:f>MAX(0,MIN('Activities'!L225,48)-MAX('Activities'!K225,42))</x:f>
        <x:v>0</x:v>
      </x:c>
      <x:c r="M225" s="23" t="n">
        <x:f>MAX(0,MIN('Activities'!L225,54)-MAX('Activities'!K225,48))</x:f>
        <x:v>0</x:v>
      </x:c>
      <x:c r="N225" s="23" t="n">
        <x:f>MAX(0,MIN('Activities'!L225,60)-MAX('Activities'!K225,54))</x:f>
        <x:v>0</x:v>
      </x:c>
      <x:c r="O225" s="23" t="n">
        <x:f>MAX(0,MIN('Activities'!L225,66)-MAX('Activities'!K225,60))</x:f>
        <x:v>0</x:v>
      </x:c>
      <x:c r="P225" s="23" t="n">
        <x:f>MAX(0,MIN('Activities'!L225,72)-MAX('Activities'!K225,66))</x:f>
        <x:v>0</x:v>
      </x:c>
      <x:c r="Q225" s="23" t="n">
        <x:f>MAX(0,MIN('Activities'!L225,78)-MAX('Activities'!K225,72))</x:f>
        <x:v>0</x:v>
      </x:c>
      <x:c r="R225" s="23" t="n">
        <x:f>MAX(0,MIN('Activities'!L225,84)-MAX('Activities'!K225,78))</x:f>
        <x:v>0</x:v>
      </x:c>
      <x:c r="S225" s="23" t="n">
        <x:f>MAX(0,MIN('Activities'!L225,90)-MAX('Activities'!K225,84))</x:f>
        <x:v>0</x:v>
      </x:c>
      <x:c r="T225" s="23" t="n">
        <x:f>MAX(0,MIN('Activities'!L225,96)-MAX('Activities'!K225,90))</x:f>
        <x:v>0</x:v>
      </x:c>
      <x:c r="U225" s="23" t="n">
        <x:f>MAX(0,MIN('Activities'!L225,102)-MAX('Activities'!K225,96))</x:f>
        <x:v>0</x:v>
      </x:c>
      <x:c r="V225" s="23" t="n">
        <x:f>MAX(0,MIN('Activities'!L225,108)-MAX('Activities'!K225,102))</x:f>
        <x:v>0</x:v>
      </x:c>
      <x:c r="W225" s="23" t="n">
        <x:f>MAX(0,MIN('Activities'!L225,114)-MAX('Activities'!K225,108))</x:f>
        <x:v>0</x:v>
      </x:c>
      <x:c r="X225" s="23" t="n">
        <x:f>MAX(0,MIN('Activities'!L225,120)-MAX('Activities'!K225,114))</x:f>
        <x:v>0</x:v>
      </x:c>
      <x:c r="Y225" s="23" t="n">
        <x:f>MAX(0,MIN('Activities'!L225,126)-MAX('Activities'!K225,120))</x:f>
        <x:v>0</x:v>
      </x:c>
      <x:c r="Z225" s="23" t="n">
        <x:f>MAX(0,MIN('Activities'!L225,132)-MAX('Activities'!K225,126))</x:f>
        <x:v>0</x:v>
      </x:c>
      <x:c r="AA225" s="23" t="n">
        <x:f>MAX(0,MIN('Activities'!L225,138)-MAX('Activities'!K225,132))</x:f>
        <x:v>0</x:v>
      </x:c>
      <x:c r="AB225" s="23" t="n">
        <x:f>MAX(0,MIN('Activities'!L225,144)-MAX('Activities'!K225,138))</x:f>
        <x:v>0</x:v>
      </x:c>
      <x:c r="AC225" s="23" t="n">
        <x:f>MAX(0,MIN('Activities'!L225,150)-MAX('Activities'!K225,144))</x:f>
        <x:v>0</x:v>
      </x:c>
      <x:c r="AD225" s="23" t="n">
        <x:f>MAX(0,MIN('Activities'!L225,156)-MAX('Activities'!K225,150))</x:f>
        <x:v>0</x:v>
      </x:c>
      <x:c r="AE225" s="23" t="n">
        <x:f>MAX(0,MIN('Activities'!L225,162)-MAX('Activities'!K225,156))</x:f>
        <x:v>0</x:v>
      </x:c>
      <x:c r="AF225" s="23" t="n">
        <x:f>MAX(0,MIN('Activities'!L225,168)-MAX('Activities'!K225,162))</x:f>
        <x:v>0</x:v>
      </x:c>
      <x:c r="AG225" s="23" t="n">
        <x:f>MAX(0,MIN('Activities'!L225,174)-MAX('Activities'!K225,168))</x:f>
        <x:v>0</x:v>
      </x:c>
      <x:c r="AH225" s="23" t="n">
        <x:f>MAX(0,MIN('Activities'!L225,180)-MAX('Activities'!K225,174))</x:f>
        <x:v>0</x:v>
      </x:c>
      <x:c r="AI225" s="23" t="n">
        <x:f>MAX(0,MIN('Activities'!L225,186)-MAX('Activities'!K225,180))</x:f>
        <x:v>0</x:v>
      </x:c>
      <x:c r="AJ225" s="23" t="n">
        <x:f>MAX(0,MIN('Activities'!L225,192)-MAX('Activities'!K225,186))</x:f>
        <x:v>0</x:v>
      </x:c>
      <x:c r="AK225" s="23" t="n">
        <x:f>MAX(0,MIN('Activities'!L225,198)-MAX('Activities'!K225,192))</x:f>
        <x:v>0</x:v>
      </x:c>
      <x:c r="AL225" s="23" t="n">
        <x:f>MAX(0,MIN('Activities'!L225,204)-MAX('Activities'!K225,198))</x:f>
        <x:v>0</x:v>
      </x:c>
      <x:c r="AM225" s="23" t="n">
        <x:f>MAX(0,MIN('Activities'!L225,210)-MAX('Activities'!K225,204))</x:f>
        <x:v>0</x:v>
      </x:c>
      <x:c r="AN225" s="23" t="n">
        <x:f>MAX(0,MIN('Activities'!L225,216)-MAX('Activities'!K225,210))</x:f>
        <x:v>0</x:v>
      </x:c>
      <x:c r="AO225" s="23" t="n">
        <x:f>MAX(0,MIN('Activities'!L225,222)-MAX('Activities'!K225,216))</x:f>
        <x:v>0</x:v>
      </x:c>
      <x:c r="AP225" s="23" t="n">
        <x:f>MAX(0,MIN('Activities'!L225,228)-MAX('Activities'!K225,222))</x:f>
        <x:v>0</x:v>
      </x:c>
      <x:c r="AQ225" s="23" t="n">
        <x:f>MAX(0,MIN('Activities'!L225,234)-MAX('Activities'!K225,228))</x:f>
        <x:v>0</x:v>
      </x:c>
      <x:c r="AR225" s="23" t="n">
        <x:f>MAX(0,MIN('Activities'!L225,240)-MAX('Activities'!K225,234))</x:f>
        <x:v>0</x:v>
      </x:c>
      <x:c r="AS225" s="23" t="n">
        <x:f>MAX(0,MIN('Activities'!L225,246)-MAX('Activities'!K225,240))</x:f>
        <x:v>0</x:v>
      </x:c>
      <x:c r="AT225" s="23" t="n">
        <x:f>MAX(0,MIN('Activities'!L225,252)-MAX('Activities'!K225,246))</x:f>
        <x:v>0</x:v>
      </x:c>
      <x:c r="AU225" s="23" t="n">
        <x:f>MAX(0,MIN('Activities'!L225,258)-MAX('Activities'!K225,252))</x:f>
        <x:v>0</x:v>
      </x:c>
      <x:c r="AV225" s="23" t="n">
        <x:f>MAX(0,MIN('Activities'!L225,264)-MAX('Activities'!K225,258))</x:f>
        <x:v>0</x:v>
      </x:c>
      <x:c r="AW225" s="23" t="n">
        <x:f>MAX(0,MIN('Activities'!L225,270)-MAX('Activities'!K225,264))</x:f>
        <x:v>0</x:v>
      </x:c>
      <x:c r="AX225" s="23" t="n">
        <x:f>MAX(0,MIN('Activities'!L225,276)-MAX('Activities'!K225,270))</x:f>
        <x:v>0</x:v>
      </x:c>
      <x:c r="AY225" s="23" t="n">
        <x:f>MAX(0,MIN('Activities'!L225,282)-MAX('Activities'!K225,276))</x:f>
        <x:v>0</x:v>
      </x:c>
      <x:c r="AZ225" s="23" t="n">
        <x:f>MAX(0,MIN('Activities'!L225,288)-MAX('Activities'!K225,282))</x:f>
        <x:v>0</x:v>
      </x:c>
      <x:c r="BA225" s="23" t="n">
        <x:f>MAX(0,MIN('Activities'!L225,294)-MAX('Activities'!K225,288))</x:f>
        <x:v>0</x:v>
      </x:c>
      <x:c r="BB225" s="23" t="n">
        <x:f>MAX(0,MIN('Activities'!L225,300)-MAX('Activities'!K225,294))</x:f>
        <x:v>0</x:v>
      </x:c>
      <x:c r="BC225" s="23" t="n">
        <x:f>MAX(0,MIN('Activities'!L225,306)-MAX('Activities'!K225,300))</x:f>
        <x:v>0</x:v>
      </x:c>
      <x:c r="BD225" s="23" t="n">
        <x:f>MAX(0,MIN('Activities'!L225,312)-MAX('Activities'!K225,306))</x:f>
        <x:v>0</x:v>
      </x:c>
      <x:c r="BE225" s="23" t="n">
        <x:f>MAX(0,MIN('Activities'!L225,318)-MAX('Activities'!K225,312))</x:f>
        <x:v>0</x:v>
      </x:c>
      <x:c r="BF225" s="23" t="n">
        <x:f>MAX(0,MIN('Activities'!L225,324)-MAX('Activities'!K225,318))</x:f>
        <x:v>0</x:v>
      </x:c>
      <x:c r="BG225" s="23" t="n">
        <x:f>MAX(0,MIN('Activities'!L225,330)-MAX('Activities'!K225,324))</x:f>
        <x:v>0</x:v>
      </x:c>
      <x:c r="BH225" s="23" t="n">
        <x:f>MAX(0,MIN('Activities'!L225,336)-MAX('Activities'!K225,330))</x:f>
        <x:v>0</x:v>
      </x:c>
      <x:c r="BI225" s="23" t="n">
        <x:f>MAX(0,MIN('Activities'!L225,342)-MAX('Activities'!K225,336))</x:f>
        <x:v>0</x:v>
      </x:c>
      <x:c r="BJ225" s="23" t="n">
        <x:f>MAX(0,MIN('Activities'!L225,348)-MAX('Activities'!K225,342))</x:f>
        <x:v>0</x:v>
      </x:c>
      <x:c r="BK225" s="23" t="n">
        <x:f>MAX(0,MIN('Activities'!L225,354)-MAX('Activities'!K225,348))</x:f>
        <x:v>0</x:v>
      </x:c>
      <x:c r="BL225" s="23" t="n">
        <x:f>MAX(0,MIN('Activities'!L225,360)-MAX('Activities'!K225,354))</x:f>
        <x:v>0</x:v>
      </x:c>
      <x:c r="BM225" s="23" t="n">
        <x:f>MAX(0,MIN('Activities'!L225,366)-MAX('Activities'!K225,360))</x:f>
        <x:v>0</x:v>
      </x:c>
      <x:c r="BN225" s="23" t="n">
        <x:f>MAX(0,MIN('Activities'!L225,372)-MAX('Activities'!K225,366))</x:f>
        <x:v>0</x:v>
      </x:c>
      <x:c r="BO225" s="23" t="n">
        <x:f>MAX(0,MIN('Activities'!L225,378)-MAX('Activities'!K225,372))</x:f>
        <x:v>0</x:v>
      </x:c>
      <x:c r="BP225" s="23" t="n">
        <x:f>MAX(0,MIN('Activities'!L225,384)-MAX('Activities'!K225,378))</x:f>
        <x:v>0</x:v>
      </x:c>
      <x:c r="BQ225" s="23" t="n">
        <x:f>MAX(0,MIN('Activities'!L225,390)-MAX('Activities'!K225,384))</x:f>
        <x:v>0</x:v>
      </x:c>
      <x:c r="BR225" s="23" t="n">
        <x:f>MAX(0,MIN('Activities'!L225,396)-MAX('Activities'!K225,390))</x:f>
        <x:v>0</x:v>
      </x:c>
      <x:c r="BS225" s="23" t="n">
        <x:f>MAX(0,MIN('Activities'!L225,402)-MAX('Activities'!K225,396))</x:f>
        <x:v>0</x:v>
      </x:c>
      <x:c r="BT225" s="23" t="n">
        <x:f>MAX(0,MIN('Activities'!L225,408)-MAX('Activities'!K225,402))</x:f>
        <x:v>0</x:v>
      </x:c>
      <x:c r="BU225" s="23" t="n">
        <x:f>MAX(0,MIN('Activities'!L225,414)-MAX('Activities'!K225,408))</x:f>
        <x:v>1</x:v>
      </x:c>
      <x:c r="BV225" s="23" t="n">
        <x:f>MAX(0,MIN('Activities'!L225,420)-MAX('Activities'!K225,414))</x:f>
        <x:v>5</x:v>
      </x:c>
      <x:c r="BW225" s="23" t="n">
        <x:f>MAX(0,MIN('Activities'!L225,426)-MAX('Activities'!K225,420))</x:f>
        <x:v>0</x:v>
      </x:c>
      <x:c r="BX225" s="23" t="n">
        <x:f>MAX(0,MIN('Activities'!L225,432)-MAX('Activities'!K225,426))</x:f>
        <x:v>0</x:v>
      </x:c>
      <x:c r="BY225" s="23" t="n">
        <x:f>MAX(0,MIN('Activities'!L225,438)-MAX('Activities'!K225,432))</x:f>
        <x:v>0</x:v>
      </x:c>
      <x:c r="BZ225" s="23" t="n">
        <x:f>MAX(0,MIN('Activities'!L225,444)-MAX('Activities'!K225,438))</x:f>
        <x:v>0</x:v>
      </x:c>
      <x:c r="CA225" s="23" t="n">
        <x:f>MAX(0,MIN('Activities'!L225,450)-MAX('Activities'!K225,444))</x:f>
        <x:v>0</x:v>
      </x:c>
      <x:c r="CB225" s="23" t="n">
        <x:f>MAX(0,MIN('Activities'!L225,456)-MAX('Activities'!K225,450))</x:f>
        <x:v>0</x:v>
      </x:c>
      <x:c r="CC225" s="23" t="n">
        <x:f>MAX(0,MIN('Activities'!L225,462)-MAX('Activities'!K225,456))</x:f>
        <x:v>0</x:v>
      </x:c>
      <x:c r="CD225" s="23" t="n">
        <x:f>MAX(0,MIN('Activities'!L225,468)-MAX('Activities'!K225,462))</x:f>
        <x:v>0</x:v>
      </x:c>
      <x:c r="CE225" s="23" t="n">
        <x:f>MAX(0,MIN('Activities'!L225,474)-MAX('Activities'!K225,468))</x:f>
        <x:v>0</x:v>
      </x:c>
      <x:c r="CF225" s="23" t="n">
        <x:f>MAX(0,MIN('Activities'!L225,480)-MAX('Activities'!K225,474))</x:f>
        <x:v>0</x:v>
      </x:c>
      <x:c r="CG225" s="23" t="n">
        <x:f>MAX(0,MIN('Activities'!L225,486)-MAX('Activities'!K225,480))</x:f>
        <x:v>0</x:v>
      </x:c>
      <x:c r="CH225" s="23" t="n">
        <x:f>MAX(0,MIN('Activities'!L225,492)-MAX('Activities'!K225,486))</x:f>
        <x:v>0</x:v>
      </x:c>
      <x:c r="CI225" s="23" t="n">
        <x:f>MAX(0,MIN('Activities'!L225,498)-MAX('Activities'!K225,492))</x:f>
        <x:v>0</x:v>
      </x:c>
      <x:c r="CJ225" s="23" t="n">
        <x:f>MAX(0,MIN('Activities'!L225,504)-MAX('Activities'!K225,498))</x:f>
        <x:v>0</x:v>
      </x:c>
      <x:c r="CK225" s="23" t="n">
        <x:f>MAX(0,MIN('Activities'!L225,510)-MAX('Activities'!K225,504))</x:f>
        <x:v>0</x:v>
      </x:c>
      <x:c r="CL225" s="23" t="n">
        <x:f>MAX(0,MIN('Activities'!L225,516)-MAX('Activities'!K225,510))</x:f>
        <x:v>0</x:v>
      </x:c>
      <x:c r="CM225" s="23" t="n">
        <x:f>MAX(0,MIN('Activities'!L225,522)-MAX('Activities'!K225,516))</x:f>
        <x:v>0</x:v>
      </x:c>
      <x:c r="CN225" s="23" t="n">
        <x:f>MAX(0,MIN('Activities'!L225,528)-MAX('Activities'!K225,522))</x:f>
        <x:v>0</x:v>
      </x:c>
      <x:c r="CO225" s="23" t="n">
        <x:f>MAX(0,MIN('Activities'!L225,534)-MAX('Activities'!K225,528))</x:f>
        <x:v>0</x:v>
      </x:c>
      <x:c r="CP225" s="23" t="n">
        <x:f>MAX(0,MIN('Activities'!L225,540)-MAX('Activities'!K225,534))</x:f>
        <x:v>0</x:v>
      </x:c>
      <x:c r="CQ225" s="23" t="n">
        <x:f>MAX(0,MIN('Activities'!L225,546)-MAX('Activities'!K225,540))</x:f>
        <x:v>0</x:v>
      </x:c>
      <x:c r="CR225" s="23" t="n">
        <x:f>MAX(0,MIN('Activities'!L225,552)-MAX('Activities'!K225,546))</x:f>
        <x:v>0</x:v>
      </x:c>
      <x:c r="CS225" s="23" t="n">
        <x:f>MAX(0,MIN('Activities'!L225,558)-MAX('Activities'!K225,552))</x:f>
        <x:v>0</x:v>
      </x:c>
      <x:c r="CT225" s="23" t="n">
        <x:f>MAX(0,MIN('Activities'!L225,564)-MAX('Activities'!K225,558))</x:f>
        <x:v>0</x:v>
      </x:c>
      <x:c r="CU225" s="23" t="n">
        <x:f>MAX(0,MIN('Activities'!L225,570)-MAX('Activities'!K225,564))</x:f>
        <x:v>0</x:v>
      </x:c>
      <x:c r="CV225" s="23" t="n">
        <x:f>MAX(0,MIN('Activities'!L225,576)-MAX('Activities'!K225,570))</x:f>
        <x:v>0</x:v>
      </x:c>
      <x:c r="CW225" s="23" t="n">
        <x:f>MAX(0,MIN('Activities'!L225,582)-MAX('Activities'!K225,576))</x:f>
        <x:v>0</x:v>
      </x:c>
      <x:c r="CX225" s="23" t="n">
        <x:f>MAX(0,MIN('Activities'!L225,588)-MAX('Activities'!K225,582))</x:f>
        <x:v>0</x:v>
      </x:c>
      <x:c r="CY225" s="23" t="n">
        <x:f>MAX(0,MIN('Activities'!L225,594)-MAX('Activities'!K225,588))</x:f>
        <x:v>0</x:v>
      </x:c>
      <x:c r="CZ225" s="23" t="n">
        <x:f>MAX(0,MIN('Activities'!L225,600)-MAX('Activities'!K225,594))</x:f>
        <x:v>0</x:v>
      </x:c>
      <x:c r="DA225" s="23" t="n">
        <x:f>MAX(0,MIN('Activities'!L225,606)-MAX('Activities'!K225,600))</x:f>
        <x:v>0</x:v>
      </x:c>
      <x:c r="DB225" s="23" t="n">
        <x:f>MAX(0,MIN('Activities'!L225,612)-MAX('Activities'!K225,606))</x:f>
        <x:v>0</x:v>
      </x:c>
      <x:c r="DC225" s="23" t="n">
        <x:f>MAX(0,MIN('Activities'!L225,618)-MAX('Activities'!K225,612))</x:f>
        <x:v>0</x:v>
      </x:c>
      <x:c r="DD225" s="23" t="n">
        <x:f>MAX(0,MIN('Activities'!L225,624)-MAX('Activities'!K225,618))</x:f>
        <x:v>0</x:v>
      </x:c>
      <x:c r="DE225" s="23" t="n">
        <x:f>MAX(0,MIN('Activities'!L225,630)-MAX('Activities'!K225,624))</x:f>
        <x:v>0</x:v>
      </x:c>
      <x:c r="DF225" s="23" t="n">
        <x:f>MAX(0,MIN('Activities'!L225,636)-MAX('Activities'!K225,630))</x:f>
        <x:v>0</x:v>
      </x:c>
    </x:row>
    <x:row r="226" ht="23" customHeight="1">
      <x:c r="A226" s="6" t="str">
        <x:v>T2-L03-A</x:v>
      </x:c>
      <x:c r="B226" s="6" t="str">
        <x:v>T2</x:v>
      </x:c>
      <x:c r="C226" s="6" t="str">
        <x:v>Paint and final decorations</x:v>
      </x:c>
      <x:c r="D226" s="6" t="str">
        <x:v>Finishes</x:v>
      </x:c>
      <x:c r="E226" s="22" t="n">
        <x:f>MAX(0,MIN('Activities'!L226,6)-MAX('Activities'!K226,0))</x:f>
        <x:v>0</x:v>
      </x:c>
      <x:c r="F226" s="22" t="n">
        <x:f>MAX(0,MIN('Activities'!L226,12)-MAX('Activities'!K226,6))</x:f>
        <x:v>0</x:v>
      </x:c>
      <x:c r="G226" s="22" t="n">
        <x:f>MAX(0,MIN('Activities'!L226,18)-MAX('Activities'!K226,12))</x:f>
        <x:v>0</x:v>
      </x:c>
      <x:c r="H226" s="22" t="n">
        <x:f>MAX(0,MIN('Activities'!L226,24)-MAX('Activities'!K226,18))</x:f>
        <x:v>0</x:v>
      </x:c>
      <x:c r="I226" s="22" t="n">
        <x:f>MAX(0,MIN('Activities'!L226,30)-MAX('Activities'!K226,24))</x:f>
        <x:v>0</x:v>
      </x:c>
      <x:c r="J226" s="22" t="n">
        <x:f>MAX(0,MIN('Activities'!L226,36)-MAX('Activities'!K226,30))</x:f>
        <x:v>0</x:v>
      </x:c>
      <x:c r="K226" s="22" t="n">
        <x:f>MAX(0,MIN('Activities'!L226,42)-MAX('Activities'!K226,36))</x:f>
        <x:v>0</x:v>
      </x:c>
      <x:c r="L226" s="22" t="n">
        <x:f>MAX(0,MIN('Activities'!L226,48)-MAX('Activities'!K226,42))</x:f>
        <x:v>0</x:v>
      </x:c>
      <x:c r="M226" s="22" t="n">
        <x:f>MAX(0,MIN('Activities'!L226,54)-MAX('Activities'!K226,48))</x:f>
        <x:v>0</x:v>
      </x:c>
      <x:c r="N226" s="22" t="n">
        <x:f>MAX(0,MIN('Activities'!L226,60)-MAX('Activities'!K226,54))</x:f>
        <x:v>0</x:v>
      </x:c>
      <x:c r="O226" s="22" t="n">
        <x:f>MAX(0,MIN('Activities'!L226,66)-MAX('Activities'!K226,60))</x:f>
        <x:v>0</x:v>
      </x:c>
      <x:c r="P226" s="22" t="n">
        <x:f>MAX(0,MIN('Activities'!L226,72)-MAX('Activities'!K226,66))</x:f>
        <x:v>0</x:v>
      </x:c>
      <x:c r="Q226" s="22" t="n">
        <x:f>MAX(0,MIN('Activities'!L226,78)-MAX('Activities'!K226,72))</x:f>
        <x:v>0</x:v>
      </x:c>
      <x:c r="R226" s="22" t="n">
        <x:f>MAX(0,MIN('Activities'!L226,84)-MAX('Activities'!K226,78))</x:f>
        <x:v>0</x:v>
      </x:c>
      <x:c r="S226" s="22" t="n">
        <x:f>MAX(0,MIN('Activities'!L226,90)-MAX('Activities'!K226,84))</x:f>
        <x:v>0</x:v>
      </x:c>
      <x:c r="T226" s="22" t="n">
        <x:f>MAX(0,MIN('Activities'!L226,96)-MAX('Activities'!K226,90))</x:f>
        <x:v>0</x:v>
      </x:c>
      <x:c r="U226" s="22" t="n">
        <x:f>MAX(0,MIN('Activities'!L226,102)-MAX('Activities'!K226,96))</x:f>
        <x:v>0</x:v>
      </x:c>
      <x:c r="V226" s="22" t="n">
        <x:f>MAX(0,MIN('Activities'!L226,108)-MAX('Activities'!K226,102))</x:f>
        <x:v>0</x:v>
      </x:c>
      <x:c r="W226" s="22" t="n">
        <x:f>MAX(0,MIN('Activities'!L226,114)-MAX('Activities'!K226,108))</x:f>
        <x:v>0</x:v>
      </x:c>
      <x:c r="X226" s="22" t="n">
        <x:f>MAX(0,MIN('Activities'!L226,120)-MAX('Activities'!K226,114))</x:f>
        <x:v>0</x:v>
      </x:c>
      <x:c r="Y226" s="22" t="n">
        <x:f>MAX(0,MIN('Activities'!L226,126)-MAX('Activities'!K226,120))</x:f>
        <x:v>0</x:v>
      </x:c>
      <x:c r="Z226" s="22" t="n">
        <x:f>MAX(0,MIN('Activities'!L226,132)-MAX('Activities'!K226,126))</x:f>
        <x:v>0</x:v>
      </x:c>
      <x:c r="AA226" s="22" t="n">
        <x:f>MAX(0,MIN('Activities'!L226,138)-MAX('Activities'!K226,132))</x:f>
        <x:v>0</x:v>
      </x:c>
      <x:c r="AB226" s="22" t="n">
        <x:f>MAX(0,MIN('Activities'!L226,144)-MAX('Activities'!K226,138))</x:f>
        <x:v>0</x:v>
      </x:c>
      <x:c r="AC226" s="22" t="n">
        <x:f>MAX(0,MIN('Activities'!L226,150)-MAX('Activities'!K226,144))</x:f>
        <x:v>0</x:v>
      </x:c>
      <x:c r="AD226" s="22" t="n">
        <x:f>MAX(0,MIN('Activities'!L226,156)-MAX('Activities'!K226,150))</x:f>
        <x:v>0</x:v>
      </x:c>
      <x:c r="AE226" s="22" t="n">
        <x:f>MAX(0,MIN('Activities'!L226,162)-MAX('Activities'!K226,156))</x:f>
        <x:v>0</x:v>
      </x:c>
      <x:c r="AF226" s="22" t="n">
        <x:f>MAX(0,MIN('Activities'!L226,168)-MAX('Activities'!K226,162))</x:f>
        <x:v>0</x:v>
      </x:c>
      <x:c r="AG226" s="22" t="n">
        <x:f>MAX(0,MIN('Activities'!L226,174)-MAX('Activities'!K226,168))</x:f>
        <x:v>0</x:v>
      </x:c>
      <x:c r="AH226" s="22" t="n">
        <x:f>MAX(0,MIN('Activities'!L226,180)-MAX('Activities'!K226,174))</x:f>
        <x:v>0</x:v>
      </x:c>
      <x:c r="AI226" s="22" t="n">
        <x:f>MAX(0,MIN('Activities'!L226,186)-MAX('Activities'!K226,180))</x:f>
        <x:v>0</x:v>
      </x:c>
      <x:c r="AJ226" s="22" t="n">
        <x:f>MAX(0,MIN('Activities'!L226,192)-MAX('Activities'!K226,186))</x:f>
        <x:v>0</x:v>
      </x:c>
      <x:c r="AK226" s="22" t="n">
        <x:f>MAX(0,MIN('Activities'!L226,198)-MAX('Activities'!K226,192))</x:f>
        <x:v>0</x:v>
      </x:c>
      <x:c r="AL226" s="22" t="n">
        <x:f>MAX(0,MIN('Activities'!L226,204)-MAX('Activities'!K226,198))</x:f>
        <x:v>0</x:v>
      </x:c>
      <x:c r="AM226" s="22" t="n">
        <x:f>MAX(0,MIN('Activities'!L226,210)-MAX('Activities'!K226,204))</x:f>
        <x:v>0</x:v>
      </x:c>
      <x:c r="AN226" s="22" t="n">
        <x:f>MAX(0,MIN('Activities'!L226,216)-MAX('Activities'!K226,210))</x:f>
        <x:v>0</x:v>
      </x:c>
      <x:c r="AO226" s="22" t="n">
        <x:f>MAX(0,MIN('Activities'!L226,222)-MAX('Activities'!K226,216))</x:f>
        <x:v>0</x:v>
      </x:c>
      <x:c r="AP226" s="22" t="n">
        <x:f>MAX(0,MIN('Activities'!L226,228)-MAX('Activities'!K226,222))</x:f>
        <x:v>0</x:v>
      </x:c>
      <x:c r="AQ226" s="22" t="n">
        <x:f>MAX(0,MIN('Activities'!L226,234)-MAX('Activities'!K226,228))</x:f>
        <x:v>0</x:v>
      </x:c>
      <x:c r="AR226" s="22" t="n">
        <x:f>MAX(0,MIN('Activities'!L226,240)-MAX('Activities'!K226,234))</x:f>
        <x:v>0</x:v>
      </x:c>
      <x:c r="AS226" s="22" t="n">
        <x:f>MAX(0,MIN('Activities'!L226,246)-MAX('Activities'!K226,240))</x:f>
        <x:v>0</x:v>
      </x:c>
      <x:c r="AT226" s="22" t="n">
        <x:f>MAX(0,MIN('Activities'!L226,252)-MAX('Activities'!K226,246))</x:f>
        <x:v>0</x:v>
      </x:c>
      <x:c r="AU226" s="22" t="n">
        <x:f>MAX(0,MIN('Activities'!L226,258)-MAX('Activities'!K226,252))</x:f>
        <x:v>0</x:v>
      </x:c>
      <x:c r="AV226" s="22" t="n">
        <x:f>MAX(0,MIN('Activities'!L226,264)-MAX('Activities'!K226,258))</x:f>
        <x:v>0</x:v>
      </x:c>
      <x:c r="AW226" s="22" t="n">
        <x:f>MAX(0,MIN('Activities'!L226,270)-MAX('Activities'!K226,264))</x:f>
        <x:v>0</x:v>
      </x:c>
      <x:c r="AX226" s="22" t="n">
        <x:f>MAX(0,MIN('Activities'!L226,276)-MAX('Activities'!K226,270))</x:f>
        <x:v>0</x:v>
      </x:c>
      <x:c r="AY226" s="22" t="n">
        <x:f>MAX(0,MIN('Activities'!L226,282)-MAX('Activities'!K226,276))</x:f>
        <x:v>0</x:v>
      </x:c>
      <x:c r="AZ226" s="22" t="n">
        <x:f>MAX(0,MIN('Activities'!L226,288)-MAX('Activities'!K226,282))</x:f>
        <x:v>0</x:v>
      </x:c>
      <x:c r="BA226" s="22" t="n">
        <x:f>MAX(0,MIN('Activities'!L226,294)-MAX('Activities'!K226,288))</x:f>
        <x:v>0</x:v>
      </x:c>
      <x:c r="BB226" s="22" t="n">
        <x:f>MAX(0,MIN('Activities'!L226,300)-MAX('Activities'!K226,294))</x:f>
        <x:v>0</x:v>
      </x:c>
      <x:c r="BC226" s="22" t="n">
        <x:f>MAX(0,MIN('Activities'!L226,306)-MAX('Activities'!K226,300))</x:f>
        <x:v>0</x:v>
      </x:c>
      <x:c r="BD226" s="22" t="n">
        <x:f>MAX(0,MIN('Activities'!L226,312)-MAX('Activities'!K226,306))</x:f>
        <x:v>0</x:v>
      </x:c>
      <x:c r="BE226" s="22" t="n">
        <x:f>MAX(0,MIN('Activities'!L226,318)-MAX('Activities'!K226,312))</x:f>
        <x:v>0</x:v>
      </x:c>
      <x:c r="BF226" s="22" t="n">
        <x:f>MAX(0,MIN('Activities'!L226,324)-MAX('Activities'!K226,318))</x:f>
        <x:v>0</x:v>
      </x:c>
      <x:c r="BG226" s="22" t="n">
        <x:f>MAX(0,MIN('Activities'!L226,330)-MAX('Activities'!K226,324))</x:f>
        <x:v>0</x:v>
      </x:c>
      <x:c r="BH226" s="22" t="n">
        <x:f>MAX(0,MIN('Activities'!L226,336)-MAX('Activities'!K226,330))</x:f>
        <x:v>0</x:v>
      </x:c>
      <x:c r="BI226" s="22" t="n">
        <x:f>MAX(0,MIN('Activities'!L226,342)-MAX('Activities'!K226,336))</x:f>
        <x:v>0</x:v>
      </x:c>
      <x:c r="BJ226" s="22" t="n">
        <x:f>MAX(0,MIN('Activities'!L226,348)-MAX('Activities'!K226,342))</x:f>
        <x:v>0</x:v>
      </x:c>
      <x:c r="BK226" s="22" t="n">
        <x:f>MAX(0,MIN('Activities'!L226,354)-MAX('Activities'!K226,348))</x:f>
        <x:v>0</x:v>
      </x:c>
      <x:c r="BL226" s="22" t="n">
        <x:f>MAX(0,MIN('Activities'!L226,360)-MAX('Activities'!K226,354))</x:f>
        <x:v>0</x:v>
      </x:c>
      <x:c r="BM226" s="22" t="n">
        <x:f>MAX(0,MIN('Activities'!L226,366)-MAX('Activities'!K226,360))</x:f>
        <x:v>0</x:v>
      </x:c>
      <x:c r="BN226" s="22" t="n">
        <x:f>MAX(0,MIN('Activities'!L226,372)-MAX('Activities'!K226,366))</x:f>
        <x:v>0</x:v>
      </x:c>
      <x:c r="BO226" s="22" t="n">
        <x:f>MAX(0,MIN('Activities'!L226,378)-MAX('Activities'!K226,372))</x:f>
        <x:v>0</x:v>
      </x:c>
      <x:c r="BP226" s="22" t="n">
        <x:f>MAX(0,MIN('Activities'!L226,384)-MAX('Activities'!K226,378))</x:f>
        <x:v>0</x:v>
      </x:c>
      <x:c r="BQ226" s="22" t="n">
        <x:f>MAX(0,MIN('Activities'!L226,390)-MAX('Activities'!K226,384))</x:f>
        <x:v>0</x:v>
      </x:c>
      <x:c r="BR226" s="22" t="n">
        <x:f>MAX(0,MIN('Activities'!L226,396)-MAX('Activities'!K226,390))</x:f>
        <x:v>0</x:v>
      </x:c>
      <x:c r="BS226" s="22" t="n">
        <x:f>MAX(0,MIN('Activities'!L226,402)-MAX('Activities'!K226,396))</x:f>
        <x:v>0</x:v>
      </x:c>
      <x:c r="BT226" s="22" t="n">
        <x:f>MAX(0,MIN('Activities'!L226,408)-MAX('Activities'!K226,402))</x:f>
        <x:v>0</x:v>
      </x:c>
      <x:c r="BU226" s="22" t="n">
        <x:f>MAX(0,MIN('Activities'!L226,414)-MAX('Activities'!K226,408))</x:f>
        <x:v>0</x:v>
      </x:c>
      <x:c r="BV226" s="22" t="n">
        <x:f>MAX(0,MIN('Activities'!L226,420)-MAX('Activities'!K226,414))</x:f>
        <x:v>0</x:v>
      </x:c>
      <x:c r="BW226" s="22" t="n">
        <x:f>MAX(0,MIN('Activities'!L226,426)-MAX('Activities'!K226,420))</x:f>
        <x:v>5</x:v>
      </x:c>
      <x:c r="BX226" s="22" t="n">
        <x:f>MAX(0,MIN('Activities'!L226,432)-MAX('Activities'!K226,426))</x:f>
        <x:v>0</x:v>
      </x:c>
      <x:c r="BY226" s="22" t="n">
        <x:f>MAX(0,MIN('Activities'!L226,438)-MAX('Activities'!K226,432))</x:f>
        <x:v>0</x:v>
      </x:c>
      <x:c r="BZ226" s="22" t="n">
        <x:f>MAX(0,MIN('Activities'!L226,444)-MAX('Activities'!K226,438))</x:f>
        <x:v>0</x:v>
      </x:c>
      <x:c r="CA226" s="22" t="n">
        <x:f>MAX(0,MIN('Activities'!L226,450)-MAX('Activities'!K226,444))</x:f>
        <x:v>0</x:v>
      </x:c>
      <x:c r="CB226" s="22" t="n">
        <x:f>MAX(0,MIN('Activities'!L226,456)-MAX('Activities'!K226,450))</x:f>
        <x:v>0</x:v>
      </x:c>
      <x:c r="CC226" s="22" t="n">
        <x:f>MAX(0,MIN('Activities'!L226,462)-MAX('Activities'!K226,456))</x:f>
        <x:v>0</x:v>
      </x:c>
      <x:c r="CD226" s="22" t="n">
        <x:f>MAX(0,MIN('Activities'!L226,468)-MAX('Activities'!K226,462))</x:f>
        <x:v>0</x:v>
      </x:c>
      <x:c r="CE226" s="22" t="n">
        <x:f>MAX(0,MIN('Activities'!L226,474)-MAX('Activities'!K226,468))</x:f>
        <x:v>0</x:v>
      </x:c>
      <x:c r="CF226" s="22" t="n">
        <x:f>MAX(0,MIN('Activities'!L226,480)-MAX('Activities'!K226,474))</x:f>
        <x:v>0</x:v>
      </x:c>
      <x:c r="CG226" s="22" t="n">
        <x:f>MAX(0,MIN('Activities'!L226,486)-MAX('Activities'!K226,480))</x:f>
        <x:v>0</x:v>
      </x:c>
      <x:c r="CH226" s="22" t="n">
        <x:f>MAX(0,MIN('Activities'!L226,492)-MAX('Activities'!K226,486))</x:f>
        <x:v>0</x:v>
      </x:c>
      <x:c r="CI226" s="22" t="n">
        <x:f>MAX(0,MIN('Activities'!L226,498)-MAX('Activities'!K226,492))</x:f>
        <x:v>0</x:v>
      </x:c>
      <x:c r="CJ226" s="22" t="n">
        <x:f>MAX(0,MIN('Activities'!L226,504)-MAX('Activities'!K226,498))</x:f>
        <x:v>0</x:v>
      </x:c>
      <x:c r="CK226" s="22" t="n">
        <x:f>MAX(0,MIN('Activities'!L226,510)-MAX('Activities'!K226,504))</x:f>
        <x:v>0</x:v>
      </x:c>
      <x:c r="CL226" s="22" t="n">
        <x:f>MAX(0,MIN('Activities'!L226,516)-MAX('Activities'!K226,510))</x:f>
        <x:v>0</x:v>
      </x:c>
      <x:c r="CM226" s="22" t="n">
        <x:f>MAX(0,MIN('Activities'!L226,522)-MAX('Activities'!K226,516))</x:f>
        <x:v>0</x:v>
      </x:c>
      <x:c r="CN226" s="22" t="n">
        <x:f>MAX(0,MIN('Activities'!L226,528)-MAX('Activities'!K226,522))</x:f>
        <x:v>0</x:v>
      </x:c>
      <x:c r="CO226" s="22" t="n">
        <x:f>MAX(0,MIN('Activities'!L226,534)-MAX('Activities'!K226,528))</x:f>
        <x:v>0</x:v>
      </x:c>
      <x:c r="CP226" s="22" t="n">
        <x:f>MAX(0,MIN('Activities'!L226,540)-MAX('Activities'!K226,534))</x:f>
        <x:v>0</x:v>
      </x:c>
      <x:c r="CQ226" s="22" t="n">
        <x:f>MAX(0,MIN('Activities'!L226,546)-MAX('Activities'!K226,540))</x:f>
        <x:v>0</x:v>
      </x:c>
      <x:c r="CR226" s="22" t="n">
        <x:f>MAX(0,MIN('Activities'!L226,552)-MAX('Activities'!K226,546))</x:f>
        <x:v>0</x:v>
      </x:c>
      <x:c r="CS226" s="22" t="n">
        <x:f>MAX(0,MIN('Activities'!L226,558)-MAX('Activities'!K226,552))</x:f>
        <x:v>0</x:v>
      </x:c>
      <x:c r="CT226" s="22" t="n">
        <x:f>MAX(0,MIN('Activities'!L226,564)-MAX('Activities'!K226,558))</x:f>
        <x:v>0</x:v>
      </x:c>
      <x:c r="CU226" s="22" t="n">
        <x:f>MAX(0,MIN('Activities'!L226,570)-MAX('Activities'!K226,564))</x:f>
        <x:v>0</x:v>
      </x:c>
      <x:c r="CV226" s="22" t="n">
        <x:f>MAX(0,MIN('Activities'!L226,576)-MAX('Activities'!K226,570))</x:f>
        <x:v>0</x:v>
      </x:c>
      <x:c r="CW226" s="22" t="n">
        <x:f>MAX(0,MIN('Activities'!L226,582)-MAX('Activities'!K226,576))</x:f>
        <x:v>0</x:v>
      </x:c>
      <x:c r="CX226" s="22" t="n">
        <x:f>MAX(0,MIN('Activities'!L226,588)-MAX('Activities'!K226,582))</x:f>
        <x:v>0</x:v>
      </x:c>
      <x:c r="CY226" s="22" t="n">
        <x:f>MAX(0,MIN('Activities'!L226,594)-MAX('Activities'!K226,588))</x:f>
        <x:v>0</x:v>
      </x:c>
      <x:c r="CZ226" s="22" t="n">
        <x:f>MAX(0,MIN('Activities'!L226,600)-MAX('Activities'!K226,594))</x:f>
        <x:v>0</x:v>
      </x:c>
      <x:c r="DA226" s="22" t="n">
        <x:f>MAX(0,MIN('Activities'!L226,606)-MAX('Activities'!K226,600))</x:f>
        <x:v>0</x:v>
      </x:c>
      <x:c r="DB226" s="22" t="n">
        <x:f>MAX(0,MIN('Activities'!L226,612)-MAX('Activities'!K226,606))</x:f>
        <x:v>0</x:v>
      </x:c>
      <x:c r="DC226" s="22" t="n">
        <x:f>MAX(0,MIN('Activities'!L226,618)-MAX('Activities'!K226,612))</x:f>
        <x:v>0</x:v>
      </x:c>
      <x:c r="DD226" s="22" t="n">
        <x:f>MAX(0,MIN('Activities'!L226,624)-MAX('Activities'!K226,618))</x:f>
        <x:v>0</x:v>
      </x:c>
      <x:c r="DE226" s="22" t="n">
        <x:f>MAX(0,MIN('Activities'!L226,630)-MAX('Activities'!K226,624))</x:f>
        <x:v>0</x:v>
      </x:c>
      <x:c r="DF226" s="22" t="n">
        <x:f>MAX(0,MIN('Activities'!L226,636)-MAX('Activities'!K226,630))</x:f>
        <x:v>0</x:v>
      </x:c>
    </x:row>
    <x:row r="227" ht="23" customHeight="1">
      <x:c r="A227" s="1" t="str">
        <x:v>T2-L03-D</x:v>
      </x:c>
      <x:c r="B227" s="1" t="str">
        <x:v>T2</x:v>
      </x:c>
      <x:c r="C227" s="1" t="str">
        <x:v>Door sets and ironmongery</x:v>
      </x:c>
      <x:c r="D227" s="1" t="str">
        <x:v>Finishes</x:v>
      </x:c>
      <x:c r="E227" s="23" t="n">
        <x:f>MAX(0,MIN('Activities'!L227,6)-MAX('Activities'!K227,0))</x:f>
        <x:v>0</x:v>
      </x:c>
      <x:c r="F227" s="23" t="n">
        <x:f>MAX(0,MIN('Activities'!L227,12)-MAX('Activities'!K227,6))</x:f>
        <x:v>0</x:v>
      </x:c>
      <x:c r="G227" s="23" t="n">
        <x:f>MAX(0,MIN('Activities'!L227,18)-MAX('Activities'!K227,12))</x:f>
        <x:v>0</x:v>
      </x:c>
      <x:c r="H227" s="23" t="n">
        <x:f>MAX(0,MIN('Activities'!L227,24)-MAX('Activities'!K227,18))</x:f>
        <x:v>0</x:v>
      </x:c>
      <x:c r="I227" s="23" t="n">
        <x:f>MAX(0,MIN('Activities'!L227,30)-MAX('Activities'!K227,24))</x:f>
        <x:v>0</x:v>
      </x:c>
      <x:c r="J227" s="23" t="n">
        <x:f>MAX(0,MIN('Activities'!L227,36)-MAX('Activities'!K227,30))</x:f>
        <x:v>0</x:v>
      </x:c>
      <x:c r="K227" s="23" t="n">
        <x:f>MAX(0,MIN('Activities'!L227,42)-MAX('Activities'!K227,36))</x:f>
        <x:v>0</x:v>
      </x:c>
      <x:c r="L227" s="23" t="n">
        <x:f>MAX(0,MIN('Activities'!L227,48)-MAX('Activities'!K227,42))</x:f>
        <x:v>0</x:v>
      </x:c>
      <x:c r="M227" s="23" t="n">
        <x:f>MAX(0,MIN('Activities'!L227,54)-MAX('Activities'!K227,48))</x:f>
        <x:v>0</x:v>
      </x:c>
      <x:c r="N227" s="23" t="n">
        <x:f>MAX(0,MIN('Activities'!L227,60)-MAX('Activities'!K227,54))</x:f>
        <x:v>0</x:v>
      </x:c>
      <x:c r="O227" s="23" t="n">
        <x:f>MAX(0,MIN('Activities'!L227,66)-MAX('Activities'!K227,60))</x:f>
        <x:v>0</x:v>
      </x:c>
      <x:c r="P227" s="23" t="n">
        <x:f>MAX(0,MIN('Activities'!L227,72)-MAX('Activities'!K227,66))</x:f>
        <x:v>0</x:v>
      </x:c>
      <x:c r="Q227" s="23" t="n">
        <x:f>MAX(0,MIN('Activities'!L227,78)-MAX('Activities'!K227,72))</x:f>
        <x:v>0</x:v>
      </x:c>
      <x:c r="R227" s="23" t="n">
        <x:f>MAX(0,MIN('Activities'!L227,84)-MAX('Activities'!K227,78))</x:f>
        <x:v>0</x:v>
      </x:c>
      <x:c r="S227" s="23" t="n">
        <x:f>MAX(0,MIN('Activities'!L227,90)-MAX('Activities'!K227,84))</x:f>
        <x:v>0</x:v>
      </x:c>
      <x:c r="T227" s="23" t="n">
        <x:f>MAX(0,MIN('Activities'!L227,96)-MAX('Activities'!K227,90))</x:f>
        <x:v>0</x:v>
      </x:c>
      <x:c r="U227" s="23" t="n">
        <x:f>MAX(0,MIN('Activities'!L227,102)-MAX('Activities'!K227,96))</x:f>
        <x:v>0</x:v>
      </x:c>
      <x:c r="V227" s="23" t="n">
        <x:f>MAX(0,MIN('Activities'!L227,108)-MAX('Activities'!K227,102))</x:f>
        <x:v>0</x:v>
      </x:c>
      <x:c r="W227" s="23" t="n">
        <x:f>MAX(0,MIN('Activities'!L227,114)-MAX('Activities'!K227,108))</x:f>
        <x:v>0</x:v>
      </x:c>
      <x:c r="X227" s="23" t="n">
        <x:f>MAX(0,MIN('Activities'!L227,120)-MAX('Activities'!K227,114))</x:f>
        <x:v>0</x:v>
      </x:c>
      <x:c r="Y227" s="23" t="n">
        <x:f>MAX(0,MIN('Activities'!L227,126)-MAX('Activities'!K227,120))</x:f>
        <x:v>0</x:v>
      </x:c>
      <x:c r="Z227" s="23" t="n">
        <x:f>MAX(0,MIN('Activities'!L227,132)-MAX('Activities'!K227,126))</x:f>
        <x:v>0</x:v>
      </x:c>
      <x:c r="AA227" s="23" t="n">
        <x:f>MAX(0,MIN('Activities'!L227,138)-MAX('Activities'!K227,132))</x:f>
        <x:v>0</x:v>
      </x:c>
      <x:c r="AB227" s="23" t="n">
        <x:f>MAX(0,MIN('Activities'!L227,144)-MAX('Activities'!K227,138))</x:f>
        <x:v>0</x:v>
      </x:c>
      <x:c r="AC227" s="23" t="n">
        <x:f>MAX(0,MIN('Activities'!L227,150)-MAX('Activities'!K227,144))</x:f>
        <x:v>0</x:v>
      </x:c>
      <x:c r="AD227" s="23" t="n">
        <x:f>MAX(0,MIN('Activities'!L227,156)-MAX('Activities'!K227,150))</x:f>
        <x:v>0</x:v>
      </x:c>
      <x:c r="AE227" s="23" t="n">
        <x:f>MAX(0,MIN('Activities'!L227,162)-MAX('Activities'!K227,156))</x:f>
        <x:v>0</x:v>
      </x:c>
      <x:c r="AF227" s="23" t="n">
        <x:f>MAX(0,MIN('Activities'!L227,168)-MAX('Activities'!K227,162))</x:f>
        <x:v>0</x:v>
      </x:c>
      <x:c r="AG227" s="23" t="n">
        <x:f>MAX(0,MIN('Activities'!L227,174)-MAX('Activities'!K227,168))</x:f>
        <x:v>0</x:v>
      </x:c>
      <x:c r="AH227" s="23" t="n">
        <x:f>MAX(0,MIN('Activities'!L227,180)-MAX('Activities'!K227,174))</x:f>
        <x:v>0</x:v>
      </x:c>
      <x:c r="AI227" s="23" t="n">
        <x:f>MAX(0,MIN('Activities'!L227,186)-MAX('Activities'!K227,180))</x:f>
        <x:v>0</x:v>
      </x:c>
      <x:c r="AJ227" s="23" t="n">
        <x:f>MAX(0,MIN('Activities'!L227,192)-MAX('Activities'!K227,186))</x:f>
        <x:v>0</x:v>
      </x:c>
      <x:c r="AK227" s="23" t="n">
        <x:f>MAX(0,MIN('Activities'!L227,198)-MAX('Activities'!K227,192))</x:f>
        <x:v>0</x:v>
      </x:c>
      <x:c r="AL227" s="23" t="n">
        <x:f>MAX(0,MIN('Activities'!L227,204)-MAX('Activities'!K227,198))</x:f>
        <x:v>0</x:v>
      </x:c>
      <x:c r="AM227" s="23" t="n">
        <x:f>MAX(0,MIN('Activities'!L227,210)-MAX('Activities'!K227,204))</x:f>
        <x:v>0</x:v>
      </x:c>
      <x:c r="AN227" s="23" t="n">
        <x:f>MAX(0,MIN('Activities'!L227,216)-MAX('Activities'!K227,210))</x:f>
        <x:v>0</x:v>
      </x:c>
      <x:c r="AO227" s="23" t="n">
        <x:f>MAX(0,MIN('Activities'!L227,222)-MAX('Activities'!K227,216))</x:f>
        <x:v>0</x:v>
      </x:c>
      <x:c r="AP227" s="23" t="n">
        <x:f>MAX(0,MIN('Activities'!L227,228)-MAX('Activities'!K227,222))</x:f>
        <x:v>0</x:v>
      </x:c>
      <x:c r="AQ227" s="23" t="n">
        <x:f>MAX(0,MIN('Activities'!L227,234)-MAX('Activities'!K227,228))</x:f>
        <x:v>0</x:v>
      </x:c>
      <x:c r="AR227" s="23" t="n">
        <x:f>MAX(0,MIN('Activities'!L227,240)-MAX('Activities'!K227,234))</x:f>
        <x:v>0</x:v>
      </x:c>
      <x:c r="AS227" s="23" t="n">
        <x:f>MAX(0,MIN('Activities'!L227,246)-MAX('Activities'!K227,240))</x:f>
        <x:v>0</x:v>
      </x:c>
      <x:c r="AT227" s="23" t="n">
        <x:f>MAX(0,MIN('Activities'!L227,252)-MAX('Activities'!K227,246))</x:f>
        <x:v>0</x:v>
      </x:c>
      <x:c r="AU227" s="23" t="n">
        <x:f>MAX(0,MIN('Activities'!L227,258)-MAX('Activities'!K227,252))</x:f>
        <x:v>0</x:v>
      </x:c>
      <x:c r="AV227" s="23" t="n">
        <x:f>MAX(0,MIN('Activities'!L227,264)-MAX('Activities'!K227,258))</x:f>
        <x:v>0</x:v>
      </x:c>
      <x:c r="AW227" s="23" t="n">
        <x:f>MAX(0,MIN('Activities'!L227,270)-MAX('Activities'!K227,264))</x:f>
        <x:v>0</x:v>
      </x:c>
      <x:c r="AX227" s="23" t="n">
        <x:f>MAX(0,MIN('Activities'!L227,276)-MAX('Activities'!K227,270))</x:f>
        <x:v>0</x:v>
      </x:c>
      <x:c r="AY227" s="23" t="n">
        <x:f>MAX(0,MIN('Activities'!L227,282)-MAX('Activities'!K227,276))</x:f>
        <x:v>0</x:v>
      </x:c>
      <x:c r="AZ227" s="23" t="n">
        <x:f>MAX(0,MIN('Activities'!L227,288)-MAX('Activities'!K227,282))</x:f>
        <x:v>0</x:v>
      </x:c>
      <x:c r="BA227" s="23" t="n">
        <x:f>MAX(0,MIN('Activities'!L227,294)-MAX('Activities'!K227,288))</x:f>
        <x:v>0</x:v>
      </x:c>
      <x:c r="BB227" s="23" t="n">
        <x:f>MAX(0,MIN('Activities'!L227,300)-MAX('Activities'!K227,294))</x:f>
        <x:v>0</x:v>
      </x:c>
      <x:c r="BC227" s="23" t="n">
        <x:f>MAX(0,MIN('Activities'!L227,306)-MAX('Activities'!K227,300))</x:f>
        <x:v>0</x:v>
      </x:c>
      <x:c r="BD227" s="23" t="n">
        <x:f>MAX(0,MIN('Activities'!L227,312)-MAX('Activities'!K227,306))</x:f>
        <x:v>0</x:v>
      </x:c>
      <x:c r="BE227" s="23" t="n">
        <x:f>MAX(0,MIN('Activities'!L227,318)-MAX('Activities'!K227,312))</x:f>
        <x:v>0</x:v>
      </x:c>
      <x:c r="BF227" s="23" t="n">
        <x:f>MAX(0,MIN('Activities'!L227,324)-MAX('Activities'!K227,318))</x:f>
        <x:v>0</x:v>
      </x:c>
      <x:c r="BG227" s="23" t="n">
        <x:f>MAX(0,MIN('Activities'!L227,330)-MAX('Activities'!K227,324))</x:f>
        <x:v>0</x:v>
      </x:c>
      <x:c r="BH227" s="23" t="n">
        <x:f>MAX(0,MIN('Activities'!L227,336)-MAX('Activities'!K227,330))</x:f>
        <x:v>0</x:v>
      </x:c>
      <x:c r="BI227" s="23" t="n">
        <x:f>MAX(0,MIN('Activities'!L227,342)-MAX('Activities'!K227,336))</x:f>
        <x:v>0</x:v>
      </x:c>
      <x:c r="BJ227" s="23" t="n">
        <x:f>MAX(0,MIN('Activities'!L227,348)-MAX('Activities'!K227,342))</x:f>
        <x:v>0</x:v>
      </x:c>
      <x:c r="BK227" s="23" t="n">
        <x:f>MAX(0,MIN('Activities'!L227,354)-MAX('Activities'!K227,348))</x:f>
        <x:v>0</x:v>
      </x:c>
      <x:c r="BL227" s="23" t="n">
        <x:f>MAX(0,MIN('Activities'!L227,360)-MAX('Activities'!K227,354))</x:f>
        <x:v>0</x:v>
      </x:c>
      <x:c r="BM227" s="23" t="n">
        <x:f>MAX(0,MIN('Activities'!L227,366)-MAX('Activities'!K227,360))</x:f>
        <x:v>0</x:v>
      </x:c>
      <x:c r="BN227" s="23" t="n">
        <x:f>MAX(0,MIN('Activities'!L227,372)-MAX('Activities'!K227,366))</x:f>
        <x:v>0</x:v>
      </x:c>
      <x:c r="BO227" s="23" t="n">
        <x:f>MAX(0,MIN('Activities'!L227,378)-MAX('Activities'!K227,372))</x:f>
        <x:v>0</x:v>
      </x:c>
      <x:c r="BP227" s="23" t="n">
        <x:f>MAX(0,MIN('Activities'!L227,384)-MAX('Activities'!K227,378))</x:f>
        <x:v>0</x:v>
      </x:c>
      <x:c r="BQ227" s="23" t="n">
        <x:f>MAX(0,MIN('Activities'!L227,390)-MAX('Activities'!K227,384))</x:f>
        <x:v>0</x:v>
      </x:c>
      <x:c r="BR227" s="23" t="n">
        <x:f>MAX(0,MIN('Activities'!L227,396)-MAX('Activities'!K227,390))</x:f>
        <x:v>0</x:v>
      </x:c>
      <x:c r="BS227" s="23" t="n">
        <x:f>MAX(0,MIN('Activities'!L227,402)-MAX('Activities'!K227,396))</x:f>
        <x:v>0</x:v>
      </x:c>
      <x:c r="BT227" s="23" t="n">
        <x:f>MAX(0,MIN('Activities'!L227,408)-MAX('Activities'!K227,402))</x:f>
        <x:v>0</x:v>
      </x:c>
      <x:c r="BU227" s="23" t="n">
        <x:f>MAX(0,MIN('Activities'!L227,414)-MAX('Activities'!K227,408))</x:f>
        <x:v>0</x:v>
      </x:c>
      <x:c r="BV227" s="23" t="n">
        <x:f>MAX(0,MIN('Activities'!L227,420)-MAX('Activities'!K227,414))</x:f>
        <x:v>0</x:v>
      </x:c>
      <x:c r="BW227" s="23" t="n">
        <x:f>MAX(0,MIN('Activities'!L227,426)-MAX('Activities'!K227,420))</x:f>
        <x:v>0</x:v>
      </x:c>
      <x:c r="BX227" s="23" t="n">
        <x:f>MAX(0,MIN('Activities'!L227,432)-MAX('Activities'!K227,426))</x:f>
        <x:v>3</x:v>
      </x:c>
      <x:c r="BY227" s="23" t="n">
        <x:f>MAX(0,MIN('Activities'!L227,438)-MAX('Activities'!K227,432))</x:f>
        <x:v>0</x:v>
      </x:c>
      <x:c r="BZ227" s="23" t="n">
        <x:f>MAX(0,MIN('Activities'!L227,444)-MAX('Activities'!K227,438))</x:f>
        <x:v>0</x:v>
      </x:c>
      <x:c r="CA227" s="23" t="n">
        <x:f>MAX(0,MIN('Activities'!L227,450)-MAX('Activities'!K227,444))</x:f>
        <x:v>0</x:v>
      </x:c>
      <x:c r="CB227" s="23" t="n">
        <x:f>MAX(0,MIN('Activities'!L227,456)-MAX('Activities'!K227,450))</x:f>
        <x:v>0</x:v>
      </x:c>
      <x:c r="CC227" s="23" t="n">
        <x:f>MAX(0,MIN('Activities'!L227,462)-MAX('Activities'!K227,456))</x:f>
        <x:v>0</x:v>
      </x:c>
      <x:c r="CD227" s="23" t="n">
        <x:f>MAX(0,MIN('Activities'!L227,468)-MAX('Activities'!K227,462))</x:f>
        <x:v>0</x:v>
      </x:c>
      <x:c r="CE227" s="23" t="n">
        <x:f>MAX(0,MIN('Activities'!L227,474)-MAX('Activities'!K227,468))</x:f>
        <x:v>0</x:v>
      </x:c>
      <x:c r="CF227" s="23" t="n">
        <x:f>MAX(0,MIN('Activities'!L227,480)-MAX('Activities'!K227,474))</x:f>
        <x:v>0</x:v>
      </x:c>
      <x:c r="CG227" s="23" t="n">
        <x:f>MAX(0,MIN('Activities'!L227,486)-MAX('Activities'!K227,480))</x:f>
        <x:v>0</x:v>
      </x:c>
      <x:c r="CH227" s="23" t="n">
        <x:f>MAX(0,MIN('Activities'!L227,492)-MAX('Activities'!K227,486))</x:f>
        <x:v>0</x:v>
      </x:c>
      <x:c r="CI227" s="23" t="n">
        <x:f>MAX(0,MIN('Activities'!L227,498)-MAX('Activities'!K227,492))</x:f>
        <x:v>0</x:v>
      </x:c>
      <x:c r="CJ227" s="23" t="n">
        <x:f>MAX(0,MIN('Activities'!L227,504)-MAX('Activities'!K227,498))</x:f>
        <x:v>0</x:v>
      </x:c>
      <x:c r="CK227" s="23" t="n">
        <x:f>MAX(0,MIN('Activities'!L227,510)-MAX('Activities'!K227,504))</x:f>
        <x:v>0</x:v>
      </x:c>
      <x:c r="CL227" s="23" t="n">
        <x:f>MAX(0,MIN('Activities'!L227,516)-MAX('Activities'!K227,510))</x:f>
        <x:v>0</x:v>
      </x:c>
      <x:c r="CM227" s="23" t="n">
        <x:f>MAX(0,MIN('Activities'!L227,522)-MAX('Activities'!K227,516))</x:f>
        <x:v>0</x:v>
      </x:c>
      <x:c r="CN227" s="23" t="n">
        <x:f>MAX(0,MIN('Activities'!L227,528)-MAX('Activities'!K227,522))</x:f>
        <x:v>0</x:v>
      </x:c>
      <x:c r="CO227" s="23" t="n">
        <x:f>MAX(0,MIN('Activities'!L227,534)-MAX('Activities'!K227,528))</x:f>
        <x:v>0</x:v>
      </x:c>
      <x:c r="CP227" s="23" t="n">
        <x:f>MAX(0,MIN('Activities'!L227,540)-MAX('Activities'!K227,534))</x:f>
        <x:v>0</x:v>
      </x:c>
      <x:c r="CQ227" s="23" t="n">
        <x:f>MAX(0,MIN('Activities'!L227,546)-MAX('Activities'!K227,540))</x:f>
        <x:v>0</x:v>
      </x:c>
      <x:c r="CR227" s="23" t="n">
        <x:f>MAX(0,MIN('Activities'!L227,552)-MAX('Activities'!K227,546))</x:f>
        <x:v>0</x:v>
      </x:c>
      <x:c r="CS227" s="23" t="n">
        <x:f>MAX(0,MIN('Activities'!L227,558)-MAX('Activities'!K227,552))</x:f>
        <x:v>0</x:v>
      </x:c>
      <x:c r="CT227" s="23" t="n">
        <x:f>MAX(0,MIN('Activities'!L227,564)-MAX('Activities'!K227,558))</x:f>
        <x:v>0</x:v>
      </x:c>
      <x:c r="CU227" s="23" t="n">
        <x:f>MAX(0,MIN('Activities'!L227,570)-MAX('Activities'!K227,564))</x:f>
        <x:v>0</x:v>
      </x:c>
      <x:c r="CV227" s="23" t="n">
        <x:f>MAX(0,MIN('Activities'!L227,576)-MAX('Activities'!K227,570))</x:f>
        <x:v>0</x:v>
      </x:c>
      <x:c r="CW227" s="23" t="n">
        <x:f>MAX(0,MIN('Activities'!L227,582)-MAX('Activities'!K227,576))</x:f>
        <x:v>0</x:v>
      </x:c>
      <x:c r="CX227" s="23" t="n">
        <x:f>MAX(0,MIN('Activities'!L227,588)-MAX('Activities'!K227,582))</x:f>
        <x:v>0</x:v>
      </x:c>
      <x:c r="CY227" s="23" t="n">
        <x:f>MAX(0,MIN('Activities'!L227,594)-MAX('Activities'!K227,588))</x:f>
        <x:v>0</x:v>
      </x:c>
      <x:c r="CZ227" s="23" t="n">
        <x:f>MAX(0,MIN('Activities'!L227,600)-MAX('Activities'!K227,594))</x:f>
        <x:v>0</x:v>
      </x:c>
      <x:c r="DA227" s="23" t="n">
        <x:f>MAX(0,MIN('Activities'!L227,606)-MAX('Activities'!K227,600))</x:f>
        <x:v>0</x:v>
      </x:c>
      <x:c r="DB227" s="23" t="n">
        <x:f>MAX(0,MIN('Activities'!L227,612)-MAX('Activities'!K227,606))</x:f>
        <x:v>0</x:v>
      </x:c>
      <x:c r="DC227" s="23" t="n">
        <x:f>MAX(0,MIN('Activities'!L227,618)-MAX('Activities'!K227,612))</x:f>
        <x:v>0</x:v>
      </x:c>
      <x:c r="DD227" s="23" t="n">
        <x:f>MAX(0,MIN('Activities'!L227,624)-MAX('Activities'!K227,618))</x:f>
        <x:v>0</x:v>
      </x:c>
      <x:c r="DE227" s="23" t="n">
        <x:f>MAX(0,MIN('Activities'!L227,630)-MAX('Activities'!K227,624))</x:f>
        <x:v>0</x:v>
      </x:c>
      <x:c r="DF227" s="23" t="n">
        <x:f>MAX(0,MIN('Activities'!L227,636)-MAX('Activities'!K227,630))</x:f>
        <x:v>0</x:v>
      </x:c>
    </x:row>
    <x:row r="228" ht="23" customHeight="1">
      <x:c r="A228" s="6" t="str">
        <x:v>T2-L04-M</x:v>
      </x:c>
      <x:c r="B228" s="6" t="str">
        <x:v>T2</x:v>
      </x:c>
      <x:c r="C228" s="6" t="str">
        <x:v>Partition masonry</x:v>
      </x:c>
      <x:c r="D228" s="6" t="str">
        <x:v>Masonry</x:v>
      </x:c>
      <x:c r="E228" s="22" t="n">
        <x:f>MAX(0,MIN('Activities'!L228,6)-MAX('Activities'!K228,0))</x:f>
        <x:v>0</x:v>
      </x:c>
      <x:c r="F228" s="22" t="n">
        <x:f>MAX(0,MIN('Activities'!L228,12)-MAX('Activities'!K228,6))</x:f>
        <x:v>0</x:v>
      </x:c>
      <x:c r="G228" s="22" t="n">
        <x:f>MAX(0,MIN('Activities'!L228,18)-MAX('Activities'!K228,12))</x:f>
        <x:v>0</x:v>
      </x:c>
      <x:c r="H228" s="22" t="n">
        <x:f>MAX(0,MIN('Activities'!L228,24)-MAX('Activities'!K228,18))</x:f>
        <x:v>0</x:v>
      </x:c>
      <x:c r="I228" s="22" t="n">
        <x:f>MAX(0,MIN('Activities'!L228,30)-MAX('Activities'!K228,24))</x:f>
        <x:v>0</x:v>
      </x:c>
      <x:c r="J228" s="22" t="n">
        <x:f>MAX(0,MIN('Activities'!L228,36)-MAX('Activities'!K228,30))</x:f>
        <x:v>0</x:v>
      </x:c>
      <x:c r="K228" s="22" t="n">
        <x:f>MAX(0,MIN('Activities'!L228,42)-MAX('Activities'!K228,36))</x:f>
        <x:v>0</x:v>
      </x:c>
      <x:c r="L228" s="22" t="n">
        <x:f>MAX(0,MIN('Activities'!L228,48)-MAX('Activities'!K228,42))</x:f>
        <x:v>0</x:v>
      </x:c>
      <x:c r="M228" s="22" t="n">
        <x:f>MAX(0,MIN('Activities'!L228,54)-MAX('Activities'!K228,48))</x:f>
        <x:v>0</x:v>
      </x:c>
      <x:c r="N228" s="22" t="n">
        <x:f>MAX(0,MIN('Activities'!L228,60)-MAX('Activities'!K228,54))</x:f>
        <x:v>0</x:v>
      </x:c>
      <x:c r="O228" s="22" t="n">
        <x:f>MAX(0,MIN('Activities'!L228,66)-MAX('Activities'!K228,60))</x:f>
        <x:v>0</x:v>
      </x:c>
      <x:c r="P228" s="22" t="n">
        <x:f>MAX(0,MIN('Activities'!L228,72)-MAX('Activities'!K228,66))</x:f>
        <x:v>0</x:v>
      </x:c>
      <x:c r="Q228" s="22" t="n">
        <x:f>MAX(0,MIN('Activities'!L228,78)-MAX('Activities'!K228,72))</x:f>
        <x:v>0</x:v>
      </x:c>
      <x:c r="R228" s="22" t="n">
        <x:f>MAX(0,MIN('Activities'!L228,84)-MAX('Activities'!K228,78))</x:f>
        <x:v>0</x:v>
      </x:c>
      <x:c r="S228" s="22" t="n">
        <x:f>MAX(0,MIN('Activities'!L228,90)-MAX('Activities'!K228,84))</x:f>
        <x:v>0</x:v>
      </x:c>
      <x:c r="T228" s="22" t="n">
        <x:f>MAX(0,MIN('Activities'!L228,96)-MAX('Activities'!K228,90))</x:f>
        <x:v>0</x:v>
      </x:c>
      <x:c r="U228" s="22" t="n">
        <x:f>MAX(0,MIN('Activities'!L228,102)-MAX('Activities'!K228,96))</x:f>
        <x:v>0</x:v>
      </x:c>
      <x:c r="V228" s="22" t="n">
        <x:f>MAX(0,MIN('Activities'!L228,108)-MAX('Activities'!K228,102))</x:f>
        <x:v>0</x:v>
      </x:c>
      <x:c r="W228" s="22" t="n">
        <x:f>MAX(0,MIN('Activities'!L228,114)-MAX('Activities'!K228,108))</x:f>
        <x:v>0</x:v>
      </x:c>
      <x:c r="X228" s="22" t="n">
        <x:f>MAX(0,MIN('Activities'!L228,120)-MAX('Activities'!K228,114))</x:f>
        <x:v>0</x:v>
      </x:c>
      <x:c r="Y228" s="22" t="n">
        <x:f>MAX(0,MIN('Activities'!L228,126)-MAX('Activities'!K228,120))</x:f>
        <x:v>0</x:v>
      </x:c>
      <x:c r="Z228" s="22" t="n">
        <x:f>MAX(0,MIN('Activities'!L228,132)-MAX('Activities'!K228,126))</x:f>
        <x:v>0</x:v>
      </x:c>
      <x:c r="AA228" s="22" t="n">
        <x:f>MAX(0,MIN('Activities'!L228,138)-MAX('Activities'!K228,132))</x:f>
        <x:v>0</x:v>
      </x:c>
      <x:c r="AB228" s="22" t="n">
        <x:f>MAX(0,MIN('Activities'!L228,144)-MAX('Activities'!K228,138))</x:f>
        <x:v>0</x:v>
      </x:c>
      <x:c r="AC228" s="22" t="n">
        <x:f>MAX(0,MIN('Activities'!L228,150)-MAX('Activities'!K228,144))</x:f>
        <x:v>0</x:v>
      </x:c>
      <x:c r="AD228" s="22" t="n">
        <x:f>MAX(0,MIN('Activities'!L228,156)-MAX('Activities'!K228,150))</x:f>
        <x:v>0</x:v>
      </x:c>
      <x:c r="AE228" s="22" t="n">
        <x:f>MAX(0,MIN('Activities'!L228,162)-MAX('Activities'!K228,156))</x:f>
        <x:v>0</x:v>
      </x:c>
      <x:c r="AF228" s="22" t="n">
        <x:f>MAX(0,MIN('Activities'!L228,168)-MAX('Activities'!K228,162))</x:f>
        <x:v>0</x:v>
      </x:c>
      <x:c r="AG228" s="22" t="n">
        <x:f>MAX(0,MIN('Activities'!L228,174)-MAX('Activities'!K228,168))</x:f>
        <x:v>0</x:v>
      </x:c>
      <x:c r="AH228" s="22" t="n">
        <x:f>MAX(0,MIN('Activities'!L228,180)-MAX('Activities'!K228,174))</x:f>
        <x:v>0</x:v>
      </x:c>
      <x:c r="AI228" s="22" t="n">
        <x:f>MAX(0,MIN('Activities'!L228,186)-MAX('Activities'!K228,180))</x:f>
        <x:v>0</x:v>
      </x:c>
      <x:c r="AJ228" s="22" t="n">
        <x:f>MAX(0,MIN('Activities'!L228,192)-MAX('Activities'!K228,186))</x:f>
        <x:v>0</x:v>
      </x:c>
      <x:c r="AK228" s="22" t="n">
        <x:f>MAX(0,MIN('Activities'!L228,198)-MAX('Activities'!K228,192))</x:f>
        <x:v>0</x:v>
      </x:c>
      <x:c r="AL228" s="22" t="n">
        <x:f>MAX(0,MIN('Activities'!L228,204)-MAX('Activities'!K228,198))</x:f>
        <x:v>0</x:v>
      </x:c>
      <x:c r="AM228" s="22" t="n">
        <x:f>MAX(0,MIN('Activities'!L228,210)-MAX('Activities'!K228,204))</x:f>
        <x:v>0</x:v>
      </x:c>
      <x:c r="AN228" s="22" t="n">
        <x:f>MAX(0,MIN('Activities'!L228,216)-MAX('Activities'!K228,210))</x:f>
        <x:v>0</x:v>
      </x:c>
      <x:c r="AO228" s="22" t="n">
        <x:f>MAX(0,MIN('Activities'!L228,222)-MAX('Activities'!K228,216))</x:f>
        <x:v>0</x:v>
      </x:c>
      <x:c r="AP228" s="22" t="n">
        <x:f>MAX(0,MIN('Activities'!L228,228)-MAX('Activities'!K228,222))</x:f>
        <x:v>0</x:v>
      </x:c>
      <x:c r="AQ228" s="22" t="n">
        <x:f>MAX(0,MIN('Activities'!L228,234)-MAX('Activities'!K228,228))</x:f>
        <x:v>0</x:v>
      </x:c>
      <x:c r="AR228" s="22" t="n">
        <x:f>MAX(0,MIN('Activities'!L228,240)-MAX('Activities'!K228,234))</x:f>
        <x:v>0</x:v>
      </x:c>
      <x:c r="AS228" s="22" t="n">
        <x:f>MAX(0,MIN('Activities'!L228,246)-MAX('Activities'!K228,240))</x:f>
        <x:v>0</x:v>
      </x:c>
      <x:c r="AT228" s="22" t="n">
        <x:f>MAX(0,MIN('Activities'!L228,252)-MAX('Activities'!K228,246))</x:f>
        <x:v>0</x:v>
      </x:c>
      <x:c r="AU228" s="22" t="n">
        <x:f>MAX(0,MIN('Activities'!L228,258)-MAX('Activities'!K228,252))</x:f>
        <x:v>0</x:v>
      </x:c>
      <x:c r="AV228" s="22" t="n">
        <x:f>MAX(0,MIN('Activities'!L228,264)-MAX('Activities'!K228,258))</x:f>
        <x:v>0</x:v>
      </x:c>
      <x:c r="AW228" s="22" t="n">
        <x:f>MAX(0,MIN('Activities'!L228,270)-MAX('Activities'!K228,264))</x:f>
        <x:v>0</x:v>
      </x:c>
      <x:c r="AX228" s="22" t="n">
        <x:f>MAX(0,MIN('Activities'!L228,276)-MAX('Activities'!K228,270))</x:f>
        <x:v>0</x:v>
      </x:c>
      <x:c r="AY228" s="22" t="n">
        <x:f>MAX(0,MIN('Activities'!L228,282)-MAX('Activities'!K228,276))</x:f>
        <x:v>0</x:v>
      </x:c>
      <x:c r="AZ228" s="22" t="n">
        <x:f>MAX(0,MIN('Activities'!L228,288)-MAX('Activities'!K228,282))</x:f>
        <x:v>0</x:v>
      </x:c>
      <x:c r="BA228" s="22" t="n">
        <x:f>MAX(0,MIN('Activities'!L228,294)-MAX('Activities'!K228,288))</x:f>
        <x:v>0</x:v>
      </x:c>
      <x:c r="BB228" s="22" t="n">
        <x:f>MAX(0,MIN('Activities'!L228,300)-MAX('Activities'!K228,294))</x:f>
        <x:v>5</x:v>
      </x:c>
      <x:c r="BC228" s="22" t="n">
        <x:f>MAX(0,MIN('Activities'!L228,306)-MAX('Activities'!K228,300))</x:f>
        <x:v>0</x:v>
      </x:c>
      <x:c r="BD228" s="22" t="n">
        <x:f>MAX(0,MIN('Activities'!L228,312)-MAX('Activities'!K228,306))</x:f>
        <x:v>0</x:v>
      </x:c>
      <x:c r="BE228" s="22" t="n">
        <x:f>MAX(0,MIN('Activities'!L228,318)-MAX('Activities'!K228,312))</x:f>
        <x:v>0</x:v>
      </x:c>
      <x:c r="BF228" s="22" t="n">
        <x:f>MAX(0,MIN('Activities'!L228,324)-MAX('Activities'!K228,318))</x:f>
        <x:v>0</x:v>
      </x:c>
      <x:c r="BG228" s="22" t="n">
        <x:f>MAX(0,MIN('Activities'!L228,330)-MAX('Activities'!K228,324))</x:f>
        <x:v>0</x:v>
      </x:c>
      <x:c r="BH228" s="22" t="n">
        <x:f>MAX(0,MIN('Activities'!L228,336)-MAX('Activities'!K228,330))</x:f>
        <x:v>0</x:v>
      </x:c>
      <x:c r="BI228" s="22" t="n">
        <x:f>MAX(0,MIN('Activities'!L228,342)-MAX('Activities'!K228,336))</x:f>
        <x:v>0</x:v>
      </x:c>
      <x:c r="BJ228" s="22" t="n">
        <x:f>MAX(0,MIN('Activities'!L228,348)-MAX('Activities'!K228,342))</x:f>
        <x:v>0</x:v>
      </x:c>
      <x:c r="BK228" s="22" t="n">
        <x:f>MAX(0,MIN('Activities'!L228,354)-MAX('Activities'!K228,348))</x:f>
        <x:v>0</x:v>
      </x:c>
      <x:c r="BL228" s="22" t="n">
        <x:f>MAX(0,MIN('Activities'!L228,360)-MAX('Activities'!K228,354))</x:f>
        <x:v>0</x:v>
      </x:c>
      <x:c r="BM228" s="22" t="n">
        <x:f>MAX(0,MIN('Activities'!L228,366)-MAX('Activities'!K228,360))</x:f>
        <x:v>0</x:v>
      </x:c>
      <x:c r="BN228" s="22" t="n">
        <x:f>MAX(0,MIN('Activities'!L228,372)-MAX('Activities'!K228,366))</x:f>
        <x:v>0</x:v>
      </x:c>
      <x:c r="BO228" s="22" t="n">
        <x:f>MAX(0,MIN('Activities'!L228,378)-MAX('Activities'!K228,372))</x:f>
        <x:v>0</x:v>
      </x:c>
      <x:c r="BP228" s="22" t="n">
        <x:f>MAX(0,MIN('Activities'!L228,384)-MAX('Activities'!K228,378))</x:f>
        <x:v>0</x:v>
      </x:c>
      <x:c r="BQ228" s="22" t="n">
        <x:f>MAX(0,MIN('Activities'!L228,390)-MAX('Activities'!K228,384))</x:f>
        <x:v>0</x:v>
      </x:c>
      <x:c r="BR228" s="22" t="n">
        <x:f>MAX(0,MIN('Activities'!L228,396)-MAX('Activities'!K228,390))</x:f>
        <x:v>0</x:v>
      </x:c>
      <x:c r="BS228" s="22" t="n">
        <x:f>MAX(0,MIN('Activities'!L228,402)-MAX('Activities'!K228,396))</x:f>
        <x:v>0</x:v>
      </x:c>
      <x:c r="BT228" s="22" t="n">
        <x:f>MAX(0,MIN('Activities'!L228,408)-MAX('Activities'!K228,402))</x:f>
        <x:v>0</x:v>
      </x:c>
      <x:c r="BU228" s="22" t="n">
        <x:f>MAX(0,MIN('Activities'!L228,414)-MAX('Activities'!K228,408))</x:f>
        <x:v>0</x:v>
      </x:c>
      <x:c r="BV228" s="22" t="n">
        <x:f>MAX(0,MIN('Activities'!L228,420)-MAX('Activities'!K228,414))</x:f>
        <x:v>0</x:v>
      </x:c>
      <x:c r="BW228" s="22" t="n">
        <x:f>MAX(0,MIN('Activities'!L228,426)-MAX('Activities'!K228,420))</x:f>
        <x:v>0</x:v>
      </x:c>
      <x:c r="BX228" s="22" t="n">
        <x:f>MAX(0,MIN('Activities'!L228,432)-MAX('Activities'!K228,426))</x:f>
        <x:v>0</x:v>
      </x:c>
      <x:c r="BY228" s="22" t="n">
        <x:f>MAX(0,MIN('Activities'!L228,438)-MAX('Activities'!K228,432))</x:f>
        <x:v>0</x:v>
      </x:c>
      <x:c r="BZ228" s="22" t="n">
        <x:f>MAX(0,MIN('Activities'!L228,444)-MAX('Activities'!K228,438))</x:f>
        <x:v>0</x:v>
      </x:c>
      <x:c r="CA228" s="22" t="n">
        <x:f>MAX(0,MIN('Activities'!L228,450)-MAX('Activities'!K228,444))</x:f>
        <x:v>0</x:v>
      </x:c>
      <x:c r="CB228" s="22" t="n">
        <x:f>MAX(0,MIN('Activities'!L228,456)-MAX('Activities'!K228,450))</x:f>
        <x:v>0</x:v>
      </x:c>
      <x:c r="CC228" s="22" t="n">
        <x:f>MAX(0,MIN('Activities'!L228,462)-MAX('Activities'!K228,456))</x:f>
        <x:v>0</x:v>
      </x:c>
      <x:c r="CD228" s="22" t="n">
        <x:f>MAX(0,MIN('Activities'!L228,468)-MAX('Activities'!K228,462))</x:f>
        <x:v>0</x:v>
      </x:c>
      <x:c r="CE228" s="22" t="n">
        <x:f>MAX(0,MIN('Activities'!L228,474)-MAX('Activities'!K228,468))</x:f>
        <x:v>0</x:v>
      </x:c>
      <x:c r="CF228" s="22" t="n">
        <x:f>MAX(0,MIN('Activities'!L228,480)-MAX('Activities'!K228,474))</x:f>
        <x:v>0</x:v>
      </x:c>
      <x:c r="CG228" s="22" t="n">
        <x:f>MAX(0,MIN('Activities'!L228,486)-MAX('Activities'!K228,480))</x:f>
        <x:v>0</x:v>
      </x:c>
      <x:c r="CH228" s="22" t="n">
        <x:f>MAX(0,MIN('Activities'!L228,492)-MAX('Activities'!K228,486))</x:f>
        <x:v>0</x:v>
      </x:c>
      <x:c r="CI228" s="22" t="n">
        <x:f>MAX(0,MIN('Activities'!L228,498)-MAX('Activities'!K228,492))</x:f>
        <x:v>0</x:v>
      </x:c>
      <x:c r="CJ228" s="22" t="n">
        <x:f>MAX(0,MIN('Activities'!L228,504)-MAX('Activities'!K228,498))</x:f>
        <x:v>0</x:v>
      </x:c>
      <x:c r="CK228" s="22" t="n">
        <x:f>MAX(0,MIN('Activities'!L228,510)-MAX('Activities'!K228,504))</x:f>
        <x:v>0</x:v>
      </x:c>
      <x:c r="CL228" s="22" t="n">
        <x:f>MAX(0,MIN('Activities'!L228,516)-MAX('Activities'!K228,510))</x:f>
        <x:v>0</x:v>
      </x:c>
      <x:c r="CM228" s="22" t="n">
        <x:f>MAX(0,MIN('Activities'!L228,522)-MAX('Activities'!K228,516))</x:f>
        <x:v>0</x:v>
      </x:c>
      <x:c r="CN228" s="22" t="n">
        <x:f>MAX(0,MIN('Activities'!L228,528)-MAX('Activities'!K228,522))</x:f>
        <x:v>0</x:v>
      </x:c>
      <x:c r="CO228" s="22" t="n">
        <x:f>MAX(0,MIN('Activities'!L228,534)-MAX('Activities'!K228,528))</x:f>
        <x:v>0</x:v>
      </x:c>
      <x:c r="CP228" s="22" t="n">
        <x:f>MAX(0,MIN('Activities'!L228,540)-MAX('Activities'!K228,534))</x:f>
        <x:v>0</x:v>
      </x:c>
      <x:c r="CQ228" s="22" t="n">
        <x:f>MAX(0,MIN('Activities'!L228,546)-MAX('Activities'!K228,540))</x:f>
        <x:v>0</x:v>
      </x:c>
      <x:c r="CR228" s="22" t="n">
        <x:f>MAX(0,MIN('Activities'!L228,552)-MAX('Activities'!K228,546))</x:f>
        <x:v>0</x:v>
      </x:c>
      <x:c r="CS228" s="22" t="n">
        <x:f>MAX(0,MIN('Activities'!L228,558)-MAX('Activities'!K228,552))</x:f>
        <x:v>0</x:v>
      </x:c>
      <x:c r="CT228" s="22" t="n">
        <x:f>MAX(0,MIN('Activities'!L228,564)-MAX('Activities'!K228,558))</x:f>
        <x:v>0</x:v>
      </x:c>
      <x:c r="CU228" s="22" t="n">
        <x:f>MAX(0,MIN('Activities'!L228,570)-MAX('Activities'!K228,564))</x:f>
        <x:v>0</x:v>
      </x:c>
      <x:c r="CV228" s="22" t="n">
        <x:f>MAX(0,MIN('Activities'!L228,576)-MAX('Activities'!K228,570))</x:f>
        <x:v>0</x:v>
      </x:c>
      <x:c r="CW228" s="22" t="n">
        <x:f>MAX(0,MIN('Activities'!L228,582)-MAX('Activities'!K228,576))</x:f>
        <x:v>0</x:v>
      </x:c>
      <x:c r="CX228" s="22" t="n">
        <x:f>MAX(0,MIN('Activities'!L228,588)-MAX('Activities'!K228,582))</x:f>
        <x:v>0</x:v>
      </x:c>
      <x:c r="CY228" s="22" t="n">
        <x:f>MAX(0,MIN('Activities'!L228,594)-MAX('Activities'!K228,588))</x:f>
        <x:v>0</x:v>
      </x:c>
      <x:c r="CZ228" s="22" t="n">
        <x:f>MAX(0,MIN('Activities'!L228,600)-MAX('Activities'!K228,594))</x:f>
        <x:v>0</x:v>
      </x:c>
      <x:c r="DA228" s="22" t="n">
        <x:f>MAX(0,MIN('Activities'!L228,606)-MAX('Activities'!K228,600))</x:f>
        <x:v>0</x:v>
      </x:c>
      <x:c r="DB228" s="22" t="n">
        <x:f>MAX(0,MIN('Activities'!L228,612)-MAX('Activities'!K228,606))</x:f>
        <x:v>0</x:v>
      </x:c>
      <x:c r="DC228" s="22" t="n">
        <x:f>MAX(0,MIN('Activities'!L228,618)-MAX('Activities'!K228,612))</x:f>
        <x:v>0</x:v>
      </x:c>
      <x:c r="DD228" s="22" t="n">
        <x:f>MAX(0,MIN('Activities'!L228,624)-MAX('Activities'!K228,618))</x:f>
        <x:v>0</x:v>
      </x:c>
      <x:c r="DE228" s="22" t="n">
        <x:f>MAX(0,MIN('Activities'!L228,630)-MAX('Activities'!K228,624))</x:f>
        <x:v>0</x:v>
      </x:c>
      <x:c r="DF228" s="22" t="n">
        <x:f>MAX(0,MIN('Activities'!L228,636)-MAX('Activities'!K228,630))</x:f>
        <x:v>0</x:v>
      </x:c>
    </x:row>
    <x:row r="229" ht="23" customHeight="1">
      <x:c r="A229" s="1" t="str">
        <x:v>T2-L04-P</x:v>
      </x:c>
      <x:c r="B229" s="1" t="str">
        <x:v>T2</x:v>
      </x:c>
      <x:c r="C229" s="1" t="str">
        <x:v>Internal plaster</x:v>
      </x:c>
      <x:c r="D229" s="1" t="str">
        <x:v>Finishes</x:v>
      </x:c>
      <x:c r="E229" s="23" t="n">
        <x:f>MAX(0,MIN('Activities'!L229,6)-MAX('Activities'!K229,0))</x:f>
        <x:v>0</x:v>
      </x:c>
      <x:c r="F229" s="23" t="n">
        <x:f>MAX(0,MIN('Activities'!L229,12)-MAX('Activities'!K229,6))</x:f>
        <x:v>0</x:v>
      </x:c>
      <x:c r="G229" s="23" t="n">
        <x:f>MAX(0,MIN('Activities'!L229,18)-MAX('Activities'!K229,12))</x:f>
        <x:v>0</x:v>
      </x:c>
      <x:c r="H229" s="23" t="n">
        <x:f>MAX(0,MIN('Activities'!L229,24)-MAX('Activities'!K229,18))</x:f>
        <x:v>0</x:v>
      </x:c>
      <x:c r="I229" s="23" t="n">
        <x:f>MAX(0,MIN('Activities'!L229,30)-MAX('Activities'!K229,24))</x:f>
        <x:v>0</x:v>
      </x:c>
      <x:c r="J229" s="23" t="n">
        <x:f>MAX(0,MIN('Activities'!L229,36)-MAX('Activities'!K229,30))</x:f>
        <x:v>0</x:v>
      </x:c>
      <x:c r="K229" s="23" t="n">
        <x:f>MAX(0,MIN('Activities'!L229,42)-MAX('Activities'!K229,36))</x:f>
        <x:v>0</x:v>
      </x:c>
      <x:c r="L229" s="23" t="n">
        <x:f>MAX(0,MIN('Activities'!L229,48)-MAX('Activities'!K229,42))</x:f>
        <x:v>0</x:v>
      </x:c>
      <x:c r="M229" s="23" t="n">
        <x:f>MAX(0,MIN('Activities'!L229,54)-MAX('Activities'!K229,48))</x:f>
        <x:v>0</x:v>
      </x:c>
      <x:c r="N229" s="23" t="n">
        <x:f>MAX(0,MIN('Activities'!L229,60)-MAX('Activities'!K229,54))</x:f>
        <x:v>0</x:v>
      </x:c>
      <x:c r="O229" s="23" t="n">
        <x:f>MAX(0,MIN('Activities'!L229,66)-MAX('Activities'!K229,60))</x:f>
        <x:v>0</x:v>
      </x:c>
      <x:c r="P229" s="23" t="n">
        <x:f>MAX(0,MIN('Activities'!L229,72)-MAX('Activities'!K229,66))</x:f>
        <x:v>0</x:v>
      </x:c>
      <x:c r="Q229" s="23" t="n">
        <x:f>MAX(0,MIN('Activities'!L229,78)-MAX('Activities'!K229,72))</x:f>
        <x:v>0</x:v>
      </x:c>
      <x:c r="R229" s="23" t="n">
        <x:f>MAX(0,MIN('Activities'!L229,84)-MAX('Activities'!K229,78))</x:f>
        <x:v>0</x:v>
      </x:c>
      <x:c r="S229" s="23" t="n">
        <x:f>MAX(0,MIN('Activities'!L229,90)-MAX('Activities'!K229,84))</x:f>
        <x:v>0</x:v>
      </x:c>
      <x:c r="T229" s="23" t="n">
        <x:f>MAX(0,MIN('Activities'!L229,96)-MAX('Activities'!K229,90))</x:f>
        <x:v>0</x:v>
      </x:c>
      <x:c r="U229" s="23" t="n">
        <x:f>MAX(0,MIN('Activities'!L229,102)-MAX('Activities'!K229,96))</x:f>
        <x:v>0</x:v>
      </x:c>
      <x:c r="V229" s="23" t="n">
        <x:f>MAX(0,MIN('Activities'!L229,108)-MAX('Activities'!K229,102))</x:f>
        <x:v>0</x:v>
      </x:c>
      <x:c r="W229" s="23" t="n">
        <x:f>MAX(0,MIN('Activities'!L229,114)-MAX('Activities'!K229,108))</x:f>
        <x:v>0</x:v>
      </x:c>
      <x:c r="X229" s="23" t="n">
        <x:f>MAX(0,MIN('Activities'!L229,120)-MAX('Activities'!K229,114))</x:f>
        <x:v>0</x:v>
      </x:c>
      <x:c r="Y229" s="23" t="n">
        <x:f>MAX(0,MIN('Activities'!L229,126)-MAX('Activities'!K229,120))</x:f>
        <x:v>0</x:v>
      </x:c>
      <x:c r="Z229" s="23" t="n">
        <x:f>MAX(0,MIN('Activities'!L229,132)-MAX('Activities'!K229,126))</x:f>
        <x:v>0</x:v>
      </x:c>
      <x:c r="AA229" s="23" t="n">
        <x:f>MAX(0,MIN('Activities'!L229,138)-MAX('Activities'!K229,132))</x:f>
        <x:v>0</x:v>
      </x:c>
      <x:c r="AB229" s="23" t="n">
        <x:f>MAX(0,MIN('Activities'!L229,144)-MAX('Activities'!K229,138))</x:f>
        <x:v>0</x:v>
      </x:c>
      <x:c r="AC229" s="23" t="n">
        <x:f>MAX(0,MIN('Activities'!L229,150)-MAX('Activities'!K229,144))</x:f>
        <x:v>0</x:v>
      </x:c>
      <x:c r="AD229" s="23" t="n">
        <x:f>MAX(0,MIN('Activities'!L229,156)-MAX('Activities'!K229,150))</x:f>
        <x:v>0</x:v>
      </x:c>
      <x:c r="AE229" s="23" t="n">
        <x:f>MAX(0,MIN('Activities'!L229,162)-MAX('Activities'!K229,156))</x:f>
        <x:v>0</x:v>
      </x:c>
      <x:c r="AF229" s="23" t="n">
        <x:f>MAX(0,MIN('Activities'!L229,168)-MAX('Activities'!K229,162))</x:f>
        <x:v>0</x:v>
      </x:c>
      <x:c r="AG229" s="23" t="n">
        <x:f>MAX(0,MIN('Activities'!L229,174)-MAX('Activities'!K229,168))</x:f>
        <x:v>0</x:v>
      </x:c>
      <x:c r="AH229" s="23" t="n">
        <x:f>MAX(0,MIN('Activities'!L229,180)-MAX('Activities'!K229,174))</x:f>
        <x:v>0</x:v>
      </x:c>
      <x:c r="AI229" s="23" t="n">
        <x:f>MAX(0,MIN('Activities'!L229,186)-MAX('Activities'!K229,180))</x:f>
        <x:v>0</x:v>
      </x:c>
      <x:c r="AJ229" s="23" t="n">
        <x:f>MAX(0,MIN('Activities'!L229,192)-MAX('Activities'!K229,186))</x:f>
        <x:v>0</x:v>
      </x:c>
      <x:c r="AK229" s="23" t="n">
        <x:f>MAX(0,MIN('Activities'!L229,198)-MAX('Activities'!K229,192))</x:f>
        <x:v>0</x:v>
      </x:c>
      <x:c r="AL229" s="23" t="n">
        <x:f>MAX(0,MIN('Activities'!L229,204)-MAX('Activities'!K229,198))</x:f>
        <x:v>0</x:v>
      </x:c>
      <x:c r="AM229" s="23" t="n">
        <x:f>MAX(0,MIN('Activities'!L229,210)-MAX('Activities'!K229,204))</x:f>
        <x:v>0</x:v>
      </x:c>
      <x:c r="AN229" s="23" t="n">
        <x:f>MAX(0,MIN('Activities'!L229,216)-MAX('Activities'!K229,210))</x:f>
        <x:v>0</x:v>
      </x:c>
      <x:c r="AO229" s="23" t="n">
        <x:f>MAX(0,MIN('Activities'!L229,222)-MAX('Activities'!K229,216))</x:f>
        <x:v>0</x:v>
      </x:c>
      <x:c r="AP229" s="23" t="n">
        <x:f>MAX(0,MIN('Activities'!L229,228)-MAX('Activities'!K229,222))</x:f>
        <x:v>0</x:v>
      </x:c>
      <x:c r="AQ229" s="23" t="n">
        <x:f>MAX(0,MIN('Activities'!L229,234)-MAX('Activities'!K229,228))</x:f>
        <x:v>0</x:v>
      </x:c>
      <x:c r="AR229" s="23" t="n">
        <x:f>MAX(0,MIN('Activities'!L229,240)-MAX('Activities'!K229,234))</x:f>
        <x:v>0</x:v>
      </x:c>
      <x:c r="AS229" s="23" t="n">
        <x:f>MAX(0,MIN('Activities'!L229,246)-MAX('Activities'!K229,240))</x:f>
        <x:v>0</x:v>
      </x:c>
      <x:c r="AT229" s="23" t="n">
        <x:f>MAX(0,MIN('Activities'!L229,252)-MAX('Activities'!K229,246))</x:f>
        <x:v>0</x:v>
      </x:c>
      <x:c r="AU229" s="23" t="n">
        <x:f>MAX(0,MIN('Activities'!L229,258)-MAX('Activities'!K229,252))</x:f>
        <x:v>0</x:v>
      </x:c>
      <x:c r="AV229" s="23" t="n">
        <x:f>MAX(0,MIN('Activities'!L229,264)-MAX('Activities'!K229,258))</x:f>
        <x:v>0</x:v>
      </x:c>
      <x:c r="AW229" s="23" t="n">
        <x:f>MAX(0,MIN('Activities'!L229,270)-MAX('Activities'!K229,264))</x:f>
        <x:v>0</x:v>
      </x:c>
      <x:c r="AX229" s="23" t="n">
        <x:f>MAX(0,MIN('Activities'!L229,276)-MAX('Activities'!K229,270))</x:f>
        <x:v>0</x:v>
      </x:c>
      <x:c r="AY229" s="23" t="n">
        <x:f>MAX(0,MIN('Activities'!L229,282)-MAX('Activities'!K229,276))</x:f>
        <x:v>0</x:v>
      </x:c>
      <x:c r="AZ229" s="23" t="n">
        <x:f>MAX(0,MIN('Activities'!L229,288)-MAX('Activities'!K229,282))</x:f>
        <x:v>0</x:v>
      </x:c>
      <x:c r="BA229" s="23" t="n">
        <x:f>MAX(0,MIN('Activities'!L229,294)-MAX('Activities'!K229,288))</x:f>
        <x:v>0</x:v>
      </x:c>
      <x:c r="BB229" s="23" t="n">
        <x:f>MAX(0,MIN('Activities'!L229,300)-MAX('Activities'!K229,294))</x:f>
        <x:v>0</x:v>
      </x:c>
      <x:c r="BC229" s="23" t="n">
        <x:f>MAX(0,MIN('Activities'!L229,306)-MAX('Activities'!K229,300))</x:f>
        <x:v>3</x:v>
      </x:c>
      <x:c r="BD229" s="23" t="n">
        <x:f>MAX(0,MIN('Activities'!L229,312)-MAX('Activities'!K229,306))</x:f>
        <x:v>3</x:v>
      </x:c>
      <x:c r="BE229" s="23" t="n">
        <x:f>MAX(0,MIN('Activities'!L229,318)-MAX('Activities'!K229,312))</x:f>
        <x:v>0</x:v>
      </x:c>
      <x:c r="BF229" s="23" t="n">
        <x:f>MAX(0,MIN('Activities'!L229,324)-MAX('Activities'!K229,318))</x:f>
        <x:v>0</x:v>
      </x:c>
      <x:c r="BG229" s="23" t="n">
        <x:f>MAX(0,MIN('Activities'!L229,330)-MAX('Activities'!K229,324))</x:f>
        <x:v>0</x:v>
      </x:c>
      <x:c r="BH229" s="23" t="n">
        <x:f>MAX(0,MIN('Activities'!L229,336)-MAX('Activities'!K229,330))</x:f>
        <x:v>0</x:v>
      </x:c>
      <x:c r="BI229" s="23" t="n">
        <x:f>MAX(0,MIN('Activities'!L229,342)-MAX('Activities'!K229,336))</x:f>
        <x:v>0</x:v>
      </x:c>
      <x:c r="BJ229" s="23" t="n">
        <x:f>MAX(0,MIN('Activities'!L229,348)-MAX('Activities'!K229,342))</x:f>
        <x:v>0</x:v>
      </x:c>
      <x:c r="BK229" s="23" t="n">
        <x:f>MAX(0,MIN('Activities'!L229,354)-MAX('Activities'!K229,348))</x:f>
        <x:v>0</x:v>
      </x:c>
      <x:c r="BL229" s="23" t="n">
        <x:f>MAX(0,MIN('Activities'!L229,360)-MAX('Activities'!K229,354))</x:f>
        <x:v>0</x:v>
      </x:c>
      <x:c r="BM229" s="23" t="n">
        <x:f>MAX(0,MIN('Activities'!L229,366)-MAX('Activities'!K229,360))</x:f>
        <x:v>0</x:v>
      </x:c>
      <x:c r="BN229" s="23" t="n">
        <x:f>MAX(0,MIN('Activities'!L229,372)-MAX('Activities'!K229,366))</x:f>
        <x:v>0</x:v>
      </x:c>
      <x:c r="BO229" s="23" t="n">
        <x:f>MAX(0,MIN('Activities'!L229,378)-MAX('Activities'!K229,372))</x:f>
        <x:v>0</x:v>
      </x:c>
      <x:c r="BP229" s="23" t="n">
        <x:f>MAX(0,MIN('Activities'!L229,384)-MAX('Activities'!K229,378))</x:f>
        <x:v>0</x:v>
      </x:c>
      <x:c r="BQ229" s="23" t="n">
        <x:f>MAX(0,MIN('Activities'!L229,390)-MAX('Activities'!K229,384))</x:f>
        <x:v>0</x:v>
      </x:c>
      <x:c r="BR229" s="23" t="n">
        <x:f>MAX(0,MIN('Activities'!L229,396)-MAX('Activities'!K229,390))</x:f>
        <x:v>0</x:v>
      </x:c>
      <x:c r="BS229" s="23" t="n">
        <x:f>MAX(0,MIN('Activities'!L229,402)-MAX('Activities'!K229,396))</x:f>
        <x:v>0</x:v>
      </x:c>
      <x:c r="BT229" s="23" t="n">
        <x:f>MAX(0,MIN('Activities'!L229,408)-MAX('Activities'!K229,402))</x:f>
        <x:v>0</x:v>
      </x:c>
      <x:c r="BU229" s="23" t="n">
        <x:f>MAX(0,MIN('Activities'!L229,414)-MAX('Activities'!K229,408))</x:f>
        <x:v>0</x:v>
      </x:c>
      <x:c r="BV229" s="23" t="n">
        <x:f>MAX(0,MIN('Activities'!L229,420)-MAX('Activities'!K229,414))</x:f>
        <x:v>0</x:v>
      </x:c>
      <x:c r="BW229" s="23" t="n">
        <x:f>MAX(0,MIN('Activities'!L229,426)-MAX('Activities'!K229,420))</x:f>
        <x:v>0</x:v>
      </x:c>
      <x:c r="BX229" s="23" t="n">
        <x:f>MAX(0,MIN('Activities'!L229,432)-MAX('Activities'!K229,426))</x:f>
        <x:v>0</x:v>
      </x:c>
      <x:c r="BY229" s="23" t="n">
        <x:f>MAX(0,MIN('Activities'!L229,438)-MAX('Activities'!K229,432))</x:f>
        <x:v>0</x:v>
      </x:c>
      <x:c r="BZ229" s="23" t="n">
        <x:f>MAX(0,MIN('Activities'!L229,444)-MAX('Activities'!K229,438))</x:f>
        <x:v>0</x:v>
      </x:c>
      <x:c r="CA229" s="23" t="n">
        <x:f>MAX(0,MIN('Activities'!L229,450)-MAX('Activities'!K229,444))</x:f>
        <x:v>0</x:v>
      </x:c>
      <x:c r="CB229" s="23" t="n">
        <x:f>MAX(0,MIN('Activities'!L229,456)-MAX('Activities'!K229,450))</x:f>
        <x:v>0</x:v>
      </x:c>
      <x:c r="CC229" s="23" t="n">
        <x:f>MAX(0,MIN('Activities'!L229,462)-MAX('Activities'!K229,456))</x:f>
        <x:v>0</x:v>
      </x:c>
      <x:c r="CD229" s="23" t="n">
        <x:f>MAX(0,MIN('Activities'!L229,468)-MAX('Activities'!K229,462))</x:f>
        <x:v>0</x:v>
      </x:c>
      <x:c r="CE229" s="23" t="n">
        <x:f>MAX(0,MIN('Activities'!L229,474)-MAX('Activities'!K229,468))</x:f>
        <x:v>0</x:v>
      </x:c>
      <x:c r="CF229" s="23" t="n">
        <x:f>MAX(0,MIN('Activities'!L229,480)-MAX('Activities'!K229,474))</x:f>
        <x:v>0</x:v>
      </x:c>
      <x:c r="CG229" s="23" t="n">
        <x:f>MAX(0,MIN('Activities'!L229,486)-MAX('Activities'!K229,480))</x:f>
        <x:v>0</x:v>
      </x:c>
      <x:c r="CH229" s="23" t="n">
        <x:f>MAX(0,MIN('Activities'!L229,492)-MAX('Activities'!K229,486))</x:f>
        <x:v>0</x:v>
      </x:c>
      <x:c r="CI229" s="23" t="n">
        <x:f>MAX(0,MIN('Activities'!L229,498)-MAX('Activities'!K229,492))</x:f>
        <x:v>0</x:v>
      </x:c>
      <x:c r="CJ229" s="23" t="n">
        <x:f>MAX(0,MIN('Activities'!L229,504)-MAX('Activities'!K229,498))</x:f>
        <x:v>0</x:v>
      </x:c>
      <x:c r="CK229" s="23" t="n">
        <x:f>MAX(0,MIN('Activities'!L229,510)-MAX('Activities'!K229,504))</x:f>
        <x:v>0</x:v>
      </x:c>
      <x:c r="CL229" s="23" t="n">
        <x:f>MAX(0,MIN('Activities'!L229,516)-MAX('Activities'!K229,510))</x:f>
        <x:v>0</x:v>
      </x:c>
      <x:c r="CM229" s="23" t="n">
        <x:f>MAX(0,MIN('Activities'!L229,522)-MAX('Activities'!K229,516))</x:f>
        <x:v>0</x:v>
      </x:c>
      <x:c r="CN229" s="23" t="n">
        <x:f>MAX(0,MIN('Activities'!L229,528)-MAX('Activities'!K229,522))</x:f>
        <x:v>0</x:v>
      </x:c>
      <x:c r="CO229" s="23" t="n">
        <x:f>MAX(0,MIN('Activities'!L229,534)-MAX('Activities'!K229,528))</x:f>
        <x:v>0</x:v>
      </x:c>
      <x:c r="CP229" s="23" t="n">
        <x:f>MAX(0,MIN('Activities'!L229,540)-MAX('Activities'!K229,534))</x:f>
        <x:v>0</x:v>
      </x:c>
      <x:c r="CQ229" s="23" t="n">
        <x:f>MAX(0,MIN('Activities'!L229,546)-MAX('Activities'!K229,540))</x:f>
        <x:v>0</x:v>
      </x:c>
      <x:c r="CR229" s="23" t="n">
        <x:f>MAX(0,MIN('Activities'!L229,552)-MAX('Activities'!K229,546))</x:f>
        <x:v>0</x:v>
      </x:c>
      <x:c r="CS229" s="23" t="n">
        <x:f>MAX(0,MIN('Activities'!L229,558)-MAX('Activities'!K229,552))</x:f>
        <x:v>0</x:v>
      </x:c>
      <x:c r="CT229" s="23" t="n">
        <x:f>MAX(0,MIN('Activities'!L229,564)-MAX('Activities'!K229,558))</x:f>
        <x:v>0</x:v>
      </x:c>
      <x:c r="CU229" s="23" t="n">
        <x:f>MAX(0,MIN('Activities'!L229,570)-MAX('Activities'!K229,564))</x:f>
        <x:v>0</x:v>
      </x:c>
      <x:c r="CV229" s="23" t="n">
        <x:f>MAX(0,MIN('Activities'!L229,576)-MAX('Activities'!K229,570))</x:f>
        <x:v>0</x:v>
      </x:c>
      <x:c r="CW229" s="23" t="n">
        <x:f>MAX(0,MIN('Activities'!L229,582)-MAX('Activities'!K229,576))</x:f>
        <x:v>0</x:v>
      </x:c>
      <x:c r="CX229" s="23" t="n">
        <x:f>MAX(0,MIN('Activities'!L229,588)-MAX('Activities'!K229,582))</x:f>
        <x:v>0</x:v>
      </x:c>
      <x:c r="CY229" s="23" t="n">
        <x:f>MAX(0,MIN('Activities'!L229,594)-MAX('Activities'!K229,588))</x:f>
        <x:v>0</x:v>
      </x:c>
      <x:c r="CZ229" s="23" t="n">
        <x:f>MAX(0,MIN('Activities'!L229,600)-MAX('Activities'!K229,594))</x:f>
        <x:v>0</x:v>
      </x:c>
      <x:c r="DA229" s="23" t="n">
        <x:f>MAX(0,MIN('Activities'!L229,606)-MAX('Activities'!K229,600))</x:f>
        <x:v>0</x:v>
      </x:c>
      <x:c r="DB229" s="23" t="n">
        <x:f>MAX(0,MIN('Activities'!L229,612)-MAX('Activities'!K229,606))</x:f>
        <x:v>0</x:v>
      </x:c>
      <x:c r="DC229" s="23" t="n">
        <x:f>MAX(0,MIN('Activities'!L229,618)-MAX('Activities'!K229,612))</x:f>
        <x:v>0</x:v>
      </x:c>
      <x:c r="DD229" s="23" t="n">
        <x:f>MAX(0,MIN('Activities'!L229,624)-MAX('Activities'!K229,618))</x:f>
        <x:v>0</x:v>
      </x:c>
      <x:c r="DE229" s="23" t="n">
        <x:f>MAX(0,MIN('Activities'!L229,630)-MAX('Activities'!K229,624))</x:f>
        <x:v>0</x:v>
      </x:c>
      <x:c r="DF229" s="23" t="n">
        <x:f>MAX(0,MIN('Activities'!L229,636)-MAX('Activities'!K229,630))</x:f>
        <x:v>0</x:v>
      </x:c>
    </x:row>
    <x:row r="230" ht="23" customHeight="1">
      <x:c r="A230" s="6" t="str">
        <x:v>T2-L04-S</x:v>
      </x:c>
      <x:c r="B230" s="6" t="str">
        <x:v>T2</x:v>
      </x:c>
      <x:c r="C230" s="6" t="str">
        <x:v>Screed and substrate preparation</x:v>
      </x:c>
      <x:c r="D230" s="6" t="str">
        <x:v>Finishes</x:v>
      </x:c>
      <x:c r="E230" s="22" t="n">
        <x:f>MAX(0,MIN('Activities'!L230,6)-MAX('Activities'!K230,0))</x:f>
        <x:v>0</x:v>
      </x:c>
      <x:c r="F230" s="22" t="n">
        <x:f>MAX(0,MIN('Activities'!L230,12)-MAX('Activities'!K230,6))</x:f>
        <x:v>0</x:v>
      </x:c>
      <x:c r="G230" s="22" t="n">
        <x:f>MAX(0,MIN('Activities'!L230,18)-MAX('Activities'!K230,12))</x:f>
        <x:v>0</x:v>
      </x:c>
      <x:c r="H230" s="22" t="n">
        <x:f>MAX(0,MIN('Activities'!L230,24)-MAX('Activities'!K230,18))</x:f>
        <x:v>0</x:v>
      </x:c>
      <x:c r="I230" s="22" t="n">
        <x:f>MAX(0,MIN('Activities'!L230,30)-MAX('Activities'!K230,24))</x:f>
        <x:v>0</x:v>
      </x:c>
      <x:c r="J230" s="22" t="n">
        <x:f>MAX(0,MIN('Activities'!L230,36)-MAX('Activities'!K230,30))</x:f>
        <x:v>0</x:v>
      </x:c>
      <x:c r="K230" s="22" t="n">
        <x:f>MAX(0,MIN('Activities'!L230,42)-MAX('Activities'!K230,36))</x:f>
        <x:v>0</x:v>
      </x:c>
      <x:c r="L230" s="22" t="n">
        <x:f>MAX(0,MIN('Activities'!L230,48)-MAX('Activities'!K230,42))</x:f>
        <x:v>0</x:v>
      </x:c>
      <x:c r="M230" s="22" t="n">
        <x:f>MAX(0,MIN('Activities'!L230,54)-MAX('Activities'!K230,48))</x:f>
        <x:v>0</x:v>
      </x:c>
      <x:c r="N230" s="22" t="n">
        <x:f>MAX(0,MIN('Activities'!L230,60)-MAX('Activities'!K230,54))</x:f>
        <x:v>0</x:v>
      </x:c>
      <x:c r="O230" s="22" t="n">
        <x:f>MAX(0,MIN('Activities'!L230,66)-MAX('Activities'!K230,60))</x:f>
        <x:v>0</x:v>
      </x:c>
      <x:c r="P230" s="22" t="n">
        <x:f>MAX(0,MIN('Activities'!L230,72)-MAX('Activities'!K230,66))</x:f>
        <x:v>0</x:v>
      </x:c>
      <x:c r="Q230" s="22" t="n">
        <x:f>MAX(0,MIN('Activities'!L230,78)-MAX('Activities'!K230,72))</x:f>
        <x:v>0</x:v>
      </x:c>
      <x:c r="R230" s="22" t="n">
        <x:f>MAX(0,MIN('Activities'!L230,84)-MAX('Activities'!K230,78))</x:f>
        <x:v>0</x:v>
      </x:c>
      <x:c r="S230" s="22" t="n">
        <x:f>MAX(0,MIN('Activities'!L230,90)-MAX('Activities'!K230,84))</x:f>
        <x:v>0</x:v>
      </x:c>
      <x:c r="T230" s="22" t="n">
        <x:f>MAX(0,MIN('Activities'!L230,96)-MAX('Activities'!K230,90))</x:f>
        <x:v>0</x:v>
      </x:c>
      <x:c r="U230" s="22" t="n">
        <x:f>MAX(0,MIN('Activities'!L230,102)-MAX('Activities'!K230,96))</x:f>
        <x:v>0</x:v>
      </x:c>
      <x:c r="V230" s="22" t="n">
        <x:f>MAX(0,MIN('Activities'!L230,108)-MAX('Activities'!K230,102))</x:f>
        <x:v>0</x:v>
      </x:c>
      <x:c r="W230" s="22" t="n">
        <x:f>MAX(0,MIN('Activities'!L230,114)-MAX('Activities'!K230,108))</x:f>
        <x:v>0</x:v>
      </x:c>
      <x:c r="X230" s="22" t="n">
        <x:f>MAX(0,MIN('Activities'!L230,120)-MAX('Activities'!K230,114))</x:f>
        <x:v>0</x:v>
      </x:c>
      <x:c r="Y230" s="22" t="n">
        <x:f>MAX(0,MIN('Activities'!L230,126)-MAX('Activities'!K230,120))</x:f>
        <x:v>0</x:v>
      </x:c>
      <x:c r="Z230" s="22" t="n">
        <x:f>MAX(0,MIN('Activities'!L230,132)-MAX('Activities'!K230,126))</x:f>
        <x:v>0</x:v>
      </x:c>
      <x:c r="AA230" s="22" t="n">
        <x:f>MAX(0,MIN('Activities'!L230,138)-MAX('Activities'!K230,132))</x:f>
        <x:v>0</x:v>
      </x:c>
      <x:c r="AB230" s="22" t="n">
        <x:f>MAX(0,MIN('Activities'!L230,144)-MAX('Activities'!K230,138))</x:f>
        <x:v>0</x:v>
      </x:c>
      <x:c r="AC230" s="22" t="n">
        <x:f>MAX(0,MIN('Activities'!L230,150)-MAX('Activities'!K230,144))</x:f>
        <x:v>0</x:v>
      </x:c>
      <x:c r="AD230" s="22" t="n">
        <x:f>MAX(0,MIN('Activities'!L230,156)-MAX('Activities'!K230,150))</x:f>
        <x:v>0</x:v>
      </x:c>
      <x:c r="AE230" s="22" t="n">
        <x:f>MAX(0,MIN('Activities'!L230,162)-MAX('Activities'!K230,156))</x:f>
        <x:v>0</x:v>
      </x:c>
      <x:c r="AF230" s="22" t="n">
        <x:f>MAX(0,MIN('Activities'!L230,168)-MAX('Activities'!K230,162))</x:f>
        <x:v>0</x:v>
      </x:c>
      <x:c r="AG230" s="22" t="n">
        <x:f>MAX(0,MIN('Activities'!L230,174)-MAX('Activities'!K230,168))</x:f>
        <x:v>0</x:v>
      </x:c>
      <x:c r="AH230" s="22" t="n">
        <x:f>MAX(0,MIN('Activities'!L230,180)-MAX('Activities'!K230,174))</x:f>
        <x:v>0</x:v>
      </x:c>
      <x:c r="AI230" s="22" t="n">
        <x:f>MAX(0,MIN('Activities'!L230,186)-MAX('Activities'!K230,180))</x:f>
        <x:v>0</x:v>
      </x:c>
      <x:c r="AJ230" s="22" t="n">
        <x:f>MAX(0,MIN('Activities'!L230,192)-MAX('Activities'!K230,186))</x:f>
        <x:v>0</x:v>
      </x:c>
      <x:c r="AK230" s="22" t="n">
        <x:f>MAX(0,MIN('Activities'!L230,198)-MAX('Activities'!K230,192))</x:f>
        <x:v>0</x:v>
      </x:c>
      <x:c r="AL230" s="22" t="n">
        <x:f>MAX(0,MIN('Activities'!L230,204)-MAX('Activities'!K230,198))</x:f>
        <x:v>0</x:v>
      </x:c>
      <x:c r="AM230" s="22" t="n">
        <x:f>MAX(0,MIN('Activities'!L230,210)-MAX('Activities'!K230,204))</x:f>
        <x:v>0</x:v>
      </x:c>
      <x:c r="AN230" s="22" t="n">
        <x:f>MAX(0,MIN('Activities'!L230,216)-MAX('Activities'!K230,210))</x:f>
        <x:v>0</x:v>
      </x:c>
      <x:c r="AO230" s="22" t="n">
        <x:f>MAX(0,MIN('Activities'!L230,222)-MAX('Activities'!K230,216))</x:f>
        <x:v>0</x:v>
      </x:c>
      <x:c r="AP230" s="22" t="n">
        <x:f>MAX(0,MIN('Activities'!L230,228)-MAX('Activities'!K230,222))</x:f>
        <x:v>0</x:v>
      </x:c>
      <x:c r="AQ230" s="22" t="n">
        <x:f>MAX(0,MIN('Activities'!L230,234)-MAX('Activities'!K230,228))</x:f>
        <x:v>0</x:v>
      </x:c>
      <x:c r="AR230" s="22" t="n">
        <x:f>MAX(0,MIN('Activities'!L230,240)-MAX('Activities'!K230,234))</x:f>
        <x:v>0</x:v>
      </x:c>
      <x:c r="AS230" s="22" t="n">
        <x:f>MAX(0,MIN('Activities'!L230,246)-MAX('Activities'!K230,240))</x:f>
        <x:v>0</x:v>
      </x:c>
      <x:c r="AT230" s="22" t="n">
        <x:f>MAX(0,MIN('Activities'!L230,252)-MAX('Activities'!K230,246))</x:f>
        <x:v>0</x:v>
      </x:c>
      <x:c r="AU230" s="22" t="n">
        <x:f>MAX(0,MIN('Activities'!L230,258)-MAX('Activities'!K230,252))</x:f>
        <x:v>0</x:v>
      </x:c>
      <x:c r="AV230" s="22" t="n">
        <x:f>MAX(0,MIN('Activities'!L230,264)-MAX('Activities'!K230,258))</x:f>
        <x:v>0</x:v>
      </x:c>
      <x:c r="AW230" s="22" t="n">
        <x:f>MAX(0,MIN('Activities'!L230,270)-MAX('Activities'!K230,264))</x:f>
        <x:v>0</x:v>
      </x:c>
      <x:c r="AX230" s="22" t="n">
        <x:f>MAX(0,MIN('Activities'!L230,276)-MAX('Activities'!K230,270))</x:f>
        <x:v>0</x:v>
      </x:c>
      <x:c r="AY230" s="22" t="n">
        <x:f>MAX(0,MIN('Activities'!L230,282)-MAX('Activities'!K230,276))</x:f>
        <x:v>0</x:v>
      </x:c>
      <x:c r="AZ230" s="22" t="n">
        <x:f>MAX(0,MIN('Activities'!L230,288)-MAX('Activities'!K230,282))</x:f>
        <x:v>0</x:v>
      </x:c>
      <x:c r="BA230" s="22" t="n">
        <x:f>MAX(0,MIN('Activities'!L230,294)-MAX('Activities'!K230,288))</x:f>
        <x:v>0</x:v>
      </x:c>
      <x:c r="BB230" s="22" t="n">
        <x:f>MAX(0,MIN('Activities'!L230,300)-MAX('Activities'!K230,294))</x:f>
        <x:v>0</x:v>
      </x:c>
      <x:c r="BC230" s="22" t="n">
        <x:f>MAX(0,MIN('Activities'!L230,306)-MAX('Activities'!K230,300))</x:f>
        <x:v>0</x:v>
      </x:c>
      <x:c r="BD230" s="22" t="n">
        <x:f>MAX(0,MIN('Activities'!L230,312)-MAX('Activities'!K230,306))</x:f>
        <x:v>1</x:v>
      </x:c>
      <x:c r="BE230" s="22" t="n">
        <x:f>MAX(0,MIN('Activities'!L230,318)-MAX('Activities'!K230,312))</x:f>
        <x:v>2</x:v>
      </x:c>
      <x:c r="BF230" s="22" t="n">
        <x:f>MAX(0,MIN('Activities'!L230,324)-MAX('Activities'!K230,318))</x:f>
        <x:v>0</x:v>
      </x:c>
      <x:c r="BG230" s="22" t="n">
        <x:f>MAX(0,MIN('Activities'!L230,330)-MAX('Activities'!K230,324))</x:f>
        <x:v>0</x:v>
      </x:c>
      <x:c r="BH230" s="22" t="n">
        <x:f>MAX(0,MIN('Activities'!L230,336)-MAX('Activities'!K230,330))</x:f>
        <x:v>0</x:v>
      </x:c>
      <x:c r="BI230" s="22" t="n">
        <x:f>MAX(0,MIN('Activities'!L230,342)-MAX('Activities'!K230,336))</x:f>
        <x:v>0</x:v>
      </x:c>
      <x:c r="BJ230" s="22" t="n">
        <x:f>MAX(0,MIN('Activities'!L230,348)-MAX('Activities'!K230,342))</x:f>
        <x:v>0</x:v>
      </x:c>
      <x:c r="BK230" s="22" t="n">
        <x:f>MAX(0,MIN('Activities'!L230,354)-MAX('Activities'!K230,348))</x:f>
        <x:v>0</x:v>
      </x:c>
      <x:c r="BL230" s="22" t="n">
        <x:f>MAX(0,MIN('Activities'!L230,360)-MAX('Activities'!K230,354))</x:f>
        <x:v>0</x:v>
      </x:c>
      <x:c r="BM230" s="22" t="n">
        <x:f>MAX(0,MIN('Activities'!L230,366)-MAX('Activities'!K230,360))</x:f>
        <x:v>0</x:v>
      </x:c>
      <x:c r="BN230" s="22" t="n">
        <x:f>MAX(0,MIN('Activities'!L230,372)-MAX('Activities'!K230,366))</x:f>
        <x:v>0</x:v>
      </x:c>
      <x:c r="BO230" s="22" t="n">
        <x:f>MAX(0,MIN('Activities'!L230,378)-MAX('Activities'!K230,372))</x:f>
        <x:v>0</x:v>
      </x:c>
      <x:c r="BP230" s="22" t="n">
        <x:f>MAX(0,MIN('Activities'!L230,384)-MAX('Activities'!K230,378))</x:f>
        <x:v>0</x:v>
      </x:c>
      <x:c r="BQ230" s="22" t="n">
        <x:f>MAX(0,MIN('Activities'!L230,390)-MAX('Activities'!K230,384))</x:f>
        <x:v>0</x:v>
      </x:c>
      <x:c r="BR230" s="22" t="n">
        <x:f>MAX(0,MIN('Activities'!L230,396)-MAX('Activities'!K230,390))</x:f>
        <x:v>0</x:v>
      </x:c>
      <x:c r="BS230" s="22" t="n">
        <x:f>MAX(0,MIN('Activities'!L230,402)-MAX('Activities'!K230,396))</x:f>
        <x:v>0</x:v>
      </x:c>
      <x:c r="BT230" s="22" t="n">
        <x:f>MAX(0,MIN('Activities'!L230,408)-MAX('Activities'!K230,402))</x:f>
        <x:v>0</x:v>
      </x:c>
      <x:c r="BU230" s="22" t="n">
        <x:f>MAX(0,MIN('Activities'!L230,414)-MAX('Activities'!K230,408))</x:f>
        <x:v>0</x:v>
      </x:c>
      <x:c r="BV230" s="22" t="n">
        <x:f>MAX(0,MIN('Activities'!L230,420)-MAX('Activities'!K230,414))</x:f>
        <x:v>0</x:v>
      </x:c>
      <x:c r="BW230" s="22" t="n">
        <x:f>MAX(0,MIN('Activities'!L230,426)-MAX('Activities'!K230,420))</x:f>
        <x:v>0</x:v>
      </x:c>
      <x:c r="BX230" s="22" t="n">
        <x:f>MAX(0,MIN('Activities'!L230,432)-MAX('Activities'!K230,426))</x:f>
        <x:v>0</x:v>
      </x:c>
      <x:c r="BY230" s="22" t="n">
        <x:f>MAX(0,MIN('Activities'!L230,438)-MAX('Activities'!K230,432))</x:f>
        <x:v>0</x:v>
      </x:c>
      <x:c r="BZ230" s="22" t="n">
        <x:f>MAX(0,MIN('Activities'!L230,444)-MAX('Activities'!K230,438))</x:f>
        <x:v>0</x:v>
      </x:c>
      <x:c r="CA230" s="22" t="n">
        <x:f>MAX(0,MIN('Activities'!L230,450)-MAX('Activities'!K230,444))</x:f>
        <x:v>0</x:v>
      </x:c>
      <x:c r="CB230" s="22" t="n">
        <x:f>MAX(0,MIN('Activities'!L230,456)-MAX('Activities'!K230,450))</x:f>
        <x:v>0</x:v>
      </x:c>
      <x:c r="CC230" s="22" t="n">
        <x:f>MAX(0,MIN('Activities'!L230,462)-MAX('Activities'!K230,456))</x:f>
        <x:v>0</x:v>
      </x:c>
      <x:c r="CD230" s="22" t="n">
        <x:f>MAX(0,MIN('Activities'!L230,468)-MAX('Activities'!K230,462))</x:f>
        <x:v>0</x:v>
      </x:c>
      <x:c r="CE230" s="22" t="n">
        <x:f>MAX(0,MIN('Activities'!L230,474)-MAX('Activities'!K230,468))</x:f>
        <x:v>0</x:v>
      </x:c>
      <x:c r="CF230" s="22" t="n">
        <x:f>MAX(0,MIN('Activities'!L230,480)-MAX('Activities'!K230,474))</x:f>
        <x:v>0</x:v>
      </x:c>
      <x:c r="CG230" s="22" t="n">
        <x:f>MAX(0,MIN('Activities'!L230,486)-MAX('Activities'!K230,480))</x:f>
        <x:v>0</x:v>
      </x:c>
      <x:c r="CH230" s="22" t="n">
        <x:f>MAX(0,MIN('Activities'!L230,492)-MAX('Activities'!K230,486))</x:f>
        <x:v>0</x:v>
      </x:c>
      <x:c r="CI230" s="22" t="n">
        <x:f>MAX(0,MIN('Activities'!L230,498)-MAX('Activities'!K230,492))</x:f>
        <x:v>0</x:v>
      </x:c>
      <x:c r="CJ230" s="22" t="n">
        <x:f>MAX(0,MIN('Activities'!L230,504)-MAX('Activities'!K230,498))</x:f>
        <x:v>0</x:v>
      </x:c>
      <x:c r="CK230" s="22" t="n">
        <x:f>MAX(0,MIN('Activities'!L230,510)-MAX('Activities'!K230,504))</x:f>
        <x:v>0</x:v>
      </x:c>
      <x:c r="CL230" s="22" t="n">
        <x:f>MAX(0,MIN('Activities'!L230,516)-MAX('Activities'!K230,510))</x:f>
        <x:v>0</x:v>
      </x:c>
      <x:c r="CM230" s="22" t="n">
        <x:f>MAX(0,MIN('Activities'!L230,522)-MAX('Activities'!K230,516))</x:f>
        <x:v>0</x:v>
      </x:c>
      <x:c r="CN230" s="22" t="n">
        <x:f>MAX(0,MIN('Activities'!L230,528)-MAX('Activities'!K230,522))</x:f>
        <x:v>0</x:v>
      </x:c>
      <x:c r="CO230" s="22" t="n">
        <x:f>MAX(0,MIN('Activities'!L230,534)-MAX('Activities'!K230,528))</x:f>
        <x:v>0</x:v>
      </x:c>
      <x:c r="CP230" s="22" t="n">
        <x:f>MAX(0,MIN('Activities'!L230,540)-MAX('Activities'!K230,534))</x:f>
        <x:v>0</x:v>
      </x:c>
      <x:c r="CQ230" s="22" t="n">
        <x:f>MAX(0,MIN('Activities'!L230,546)-MAX('Activities'!K230,540))</x:f>
        <x:v>0</x:v>
      </x:c>
      <x:c r="CR230" s="22" t="n">
        <x:f>MAX(0,MIN('Activities'!L230,552)-MAX('Activities'!K230,546))</x:f>
        <x:v>0</x:v>
      </x:c>
      <x:c r="CS230" s="22" t="n">
        <x:f>MAX(0,MIN('Activities'!L230,558)-MAX('Activities'!K230,552))</x:f>
        <x:v>0</x:v>
      </x:c>
      <x:c r="CT230" s="22" t="n">
        <x:f>MAX(0,MIN('Activities'!L230,564)-MAX('Activities'!K230,558))</x:f>
        <x:v>0</x:v>
      </x:c>
      <x:c r="CU230" s="22" t="n">
        <x:f>MAX(0,MIN('Activities'!L230,570)-MAX('Activities'!K230,564))</x:f>
        <x:v>0</x:v>
      </x:c>
      <x:c r="CV230" s="22" t="n">
        <x:f>MAX(0,MIN('Activities'!L230,576)-MAX('Activities'!K230,570))</x:f>
        <x:v>0</x:v>
      </x:c>
      <x:c r="CW230" s="22" t="n">
        <x:f>MAX(0,MIN('Activities'!L230,582)-MAX('Activities'!K230,576))</x:f>
        <x:v>0</x:v>
      </x:c>
      <x:c r="CX230" s="22" t="n">
        <x:f>MAX(0,MIN('Activities'!L230,588)-MAX('Activities'!K230,582))</x:f>
        <x:v>0</x:v>
      </x:c>
      <x:c r="CY230" s="22" t="n">
        <x:f>MAX(0,MIN('Activities'!L230,594)-MAX('Activities'!K230,588))</x:f>
        <x:v>0</x:v>
      </x:c>
      <x:c r="CZ230" s="22" t="n">
        <x:f>MAX(0,MIN('Activities'!L230,600)-MAX('Activities'!K230,594))</x:f>
        <x:v>0</x:v>
      </x:c>
      <x:c r="DA230" s="22" t="n">
        <x:f>MAX(0,MIN('Activities'!L230,606)-MAX('Activities'!K230,600))</x:f>
        <x:v>0</x:v>
      </x:c>
      <x:c r="DB230" s="22" t="n">
        <x:f>MAX(0,MIN('Activities'!L230,612)-MAX('Activities'!K230,606))</x:f>
        <x:v>0</x:v>
      </x:c>
      <x:c r="DC230" s="22" t="n">
        <x:f>MAX(0,MIN('Activities'!L230,618)-MAX('Activities'!K230,612))</x:f>
        <x:v>0</x:v>
      </x:c>
      <x:c r="DD230" s="22" t="n">
        <x:f>MAX(0,MIN('Activities'!L230,624)-MAX('Activities'!K230,618))</x:f>
        <x:v>0</x:v>
      </x:c>
      <x:c r="DE230" s="22" t="n">
        <x:f>MAX(0,MIN('Activities'!L230,630)-MAX('Activities'!K230,624))</x:f>
        <x:v>0</x:v>
      </x:c>
      <x:c r="DF230" s="22" t="n">
        <x:f>MAX(0,MIN('Activities'!L230,636)-MAX('Activities'!K230,630))</x:f>
        <x:v>0</x:v>
      </x:c>
    </x:row>
    <x:row r="231" ht="23" customHeight="1">
      <x:c r="A231" s="1" t="str">
        <x:v>T2-L04-T</x:v>
      </x:c>
      <x:c r="B231" s="1" t="str">
        <x:v>T2</x:v>
      </x:c>
      <x:c r="C231" s="1" t="str">
        <x:v>Floor finishes and skirtings</x:v>
      </x:c>
      <x:c r="D231" s="1" t="str">
        <x:v>Finishes</x:v>
      </x:c>
      <x:c r="E231" s="23" t="n">
        <x:f>MAX(0,MIN('Activities'!L231,6)-MAX('Activities'!K231,0))</x:f>
        <x:v>0</x:v>
      </x:c>
      <x:c r="F231" s="23" t="n">
        <x:f>MAX(0,MIN('Activities'!L231,12)-MAX('Activities'!K231,6))</x:f>
        <x:v>0</x:v>
      </x:c>
      <x:c r="G231" s="23" t="n">
        <x:f>MAX(0,MIN('Activities'!L231,18)-MAX('Activities'!K231,12))</x:f>
        <x:v>0</x:v>
      </x:c>
      <x:c r="H231" s="23" t="n">
        <x:f>MAX(0,MIN('Activities'!L231,24)-MAX('Activities'!K231,18))</x:f>
        <x:v>0</x:v>
      </x:c>
      <x:c r="I231" s="23" t="n">
        <x:f>MAX(0,MIN('Activities'!L231,30)-MAX('Activities'!K231,24))</x:f>
        <x:v>0</x:v>
      </x:c>
      <x:c r="J231" s="23" t="n">
        <x:f>MAX(0,MIN('Activities'!L231,36)-MAX('Activities'!K231,30))</x:f>
        <x:v>0</x:v>
      </x:c>
      <x:c r="K231" s="23" t="n">
        <x:f>MAX(0,MIN('Activities'!L231,42)-MAX('Activities'!K231,36))</x:f>
        <x:v>0</x:v>
      </x:c>
      <x:c r="L231" s="23" t="n">
        <x:f>MAX(0,MIN('Activities'!L231,48)-MAX('Activities'!K231,42))</x:f>
        <x:v>0</x:v>
      </x:c>
      <x:c r="M231" s="23" t="n">
        <x:f>MAX(0,MIN('Activities'!L231,54)-MAX('Activities'!K231,48))</x:f>
        <x:v>0</x:v>
      </x:c>
      <x:c r="N231" s="23" t="n">
        <x:f>MAX(0,MIN('Activities'!L231,60)-MAX('Activities'!K231,54))</x:f>
        <x:v>0</x:v>
      </x:c>
      <x:c r="O231" s="23" t="n">
        <x:f>MAX(0,MIN('Activities'!L231,66)-MAX('Activities'!K231,60))</x:f>
        <x:v>0</x:v>
      </x:c>
      <x:c r="P231" s="23" t="n">
        <x:f>MAX(0,MIN('Activities'!L231,72)-MAX('Activities'!K231,66))</x:f>
        <x:v>0</x:v>
      </x:c>
      <x:c r="Q231" s="23" t="n">
        <x:f>MAX(0,MIN('Activities'!L231,78)-MAX('Activities'!K231,72))</x:f>
        <x:v>0</x:v>
      </x:c>
      <x:c r="R231" s="23" t="n">
        <x:f>MAX(0,MIN('Activities'!L231,84)-MAX('Activities'!K231,78))</x:f>
        <x:v>0</x:v>
      </x:c>
      <x:c r="S231" s="23" t="n">
        <x:f>MAX(0,MIN('Activities'!L231,90)-MAX('Activities'!K231,84))</x:f>
        <x:v>0</x:v>
      </x:c>
      <x:c r="T231" s="23" t="n">
        <x:f>MAX(0,MIN('Activities'!L231,96)-MAX('Activities'!K231,90))</x:f>
        <x:v>0</x:v>
      </x:c>
      <x:c r="U231" s="23" t="n">
        <x:f>MAX(0,MIN('Activities'!L231,102)-MAX('Activities'!K231,96))</x:f>
        <x:v>0</x:v>
      </x:c>
      <x:c r="V231" s="23" t="n">
        <x:f>MAX(0,MIN('Activities'!L231,108)-MAX('Activities'!K231,102))</x:f>
        <x:v>0</x:v>
      </x:c>
      <x:c r="W231" s="23" t="n">
        <x:f>MAX(0,MIN('Activities'!L231,114)-MAX('Activities'!K231,108))</x:f>
        <x:v>0</x:v>
      </x:c>
      <x:c r="X231" s="23" t="n">
        <x:f>MAX(0,MIN('Activities'!L231,120)-MAX('Activities'!K231,114))</x:f>
        <x:v>0</x:v>
      </x:c>
      <x:c r="Y231" s="23" t="n">
        <x:f>MAX(0,MIN('Activities'!L231,126)-MAX('Activities'!K231,120))</x:f>
        <x:v>0</x:v>
      </x:c>
      <x:c r="Z231" s="23" t="n">
        <x:f>MAX(0,MIN('Activities'!L231,132)-MAX('Activities'!K231,126))</x:f>
        <x:v>0</x:v>
      </x:c>
      <x:c r="AA231" s="23" t="n">
        <x:f>MAX(0,MIN('Activities'!L231,138)-MAX('Activities'!K231,132))</x:f>
        <x:v>0</x:v>
      </x:c>
      <x:c r="AB231" s="23" t="n">
        <x:f>MAX(0,MIN('Activities'!L231,144)-MAX('Activities'!K231,138))</x:f>
        <x:v>0</x:v>
      </x:c>
      <x:c r="AC231" s="23" t="n">
        <x:f>MAX(0,MIN('Activities'!L231,150)-MAX('Activities'!K231,144))</x:f>
        <x:v>0</x:v>
      </x:c>
      <x:c r="AD231" s="23" t="n">
        <x:f>MAX(0,MIN('Activities'!L231,156)-MAX('Activities'!K231,150))</x:f>
        <x:v>0</x:v>
      </x:c>
      <x:c r="AE231" s="23" t="n">
        <x:f>MAX(0,MIN('Activities'!L231,162)-MAX('Activities'!K231,156))</x:f>
        <x:v>0</x:v>
      </x:c>
      <x:c r="AF231" s="23" t="n">
        <x:f>MAX(0,MIN('Activities'!L231,168)-MAX('Activities'!K231,162))</x:f>
        <x:v>0</x:v>
      </x:c>
      <x:c r="AG231" s="23" t="n">
        <x:f>MAX(0,MIN('Activities'!L231,174)-MAX('Activities'!K231,168))</x:f>
        <x:v>0</x:v>
      </x:c>
      <x:c r="AH231" s="23" t="n">
        <x:f>MAX(0,MIN('Activities'!L231,180)-MAX('Activities'!K231,174))</x:f>
        <x:v>0</x:v>
      </x:c>
      <x:c r="AI231" s="23" t="n">
        <x:f>MAX(0,MIN('Activities'!L231,186)-MAX('Activities'!K231,180))</x:f>
        <x:v>0</x:v>
      </x:c>
      <x:c r="AJ231" s="23" t="n">
        <x:f>MAX(0,MIN('Activities'!L231,192)-MAX('Activities'!K231,186))</x:f>
        <x:v>0</x:v>
      </x:c>
      <x:c r="AK231" s="23" t="n">
        <x:f>MAX(0,MIN('Activities'!L231,198)-MAX('Activities'!K231,192))</x:f>
        <x:v>0</x:v>
      </x:c>
      <x:c r="AL231" s="23" t="n">
        <x:f>MAX(0,MIN('Activities'!L231,204)-MAX('Activities'!K231,198))</x:f>
        <x:v>0</x:v>
      </x:c>
      <x:c r="AM231" s="23" t="n">
        <x:f>MAX(0,MIN('Activities'!L231,210)-MAX('Activities'!K231,204))</x:f>
        <x:v>0</x:v>
      </x:c>
      <x:c r="AN231" s="23" t="n">
        <x:f>MAX(0,MIN('Activities'!L231,216)-MAX('Activities'!K231,210))</x:f>
        <x:v>0</x:v>
      </x:c>
      <x:c r="AO231" s="23" t="n">
        <x:f>MAX(0,MIN('Activities'!L231,222)-MAX('Activities'!K231,216))</x:f>
        <x:v>0</x:v>
      </x:c>
      <x:c r="AP231" s="23" t="n">
        <x:f>MAX(0,MIN('Activities'!L231,228)-MAX('Activities'!K231,222))</x:f>
        <x:v>0</x:v>
      </x:c>
      <x:c r="AQ231" s="23" t="n">
        <x:f>MAX(0,MIN('Activities'!L231,234)-MAX('Activities'!K231,228))</x:f>
        <x:v>0</x:v>
      </x:c>
      <x:c r="AR231" s="23" t="n">
        <x:f>MAX(0,MIN('Activities'!L231,240)-MAX('Activities'!K231,234))</x:f>
        <x:v>0</x:v>
      </x:c>
      <x:c r="AS231" s="23" t="n">
        <x:f>MAX(0,MIN('Activities'!L231,246)-MAX('Activities'!K231,240))</x:f>
        <x:v>0</x:v>
      </x:c>
      <x:c r="AT231" s="23" t="n">
        <x:f>MAX(0,MIN('Activities'!L231,252)-MAX('Activities'!K231,246))</x:f>
        <x:v>0</x:v>
      </x:c>
      <x:c r="AU231" s="23" t="n">
        <x:f>MAX(0,MIN('Activities'!L231,258)-MAX('Activities'!K231,252))</x:f>
        <x:v>0</x:v>
      </x:c>
      <x:c r="AV231" s="23" t="n">
        <x:f>MAX(0,MIN('Activities'!L231,264)-MAX('Activities'!K231,258))</x:f>
        <x:v>0</x:v>
      </x:c>
      <x:c r="AW231" s="23" t="n">
        <x:f>MAX(0,MIN('Activities'!L231,270)-MAX('Activities'!K231,264))</x:f>
        <x:v>0</x:v>
      </x:c>
      <x:c r="AX231" s="23" t="n">
        <x:f>MAX(0,MIN('Activities'!L231,276)-MAX('Activities'!K231,270))</x:f>
        <x:v>0</x:v>
      </x:c>
      <x:c r="AY231" s="23" t="n">
        <x:f>MAX(0,MIN('Activities'!L231,282)-MAX('Activities'!K231,276))</x:f>
        <x:v>0</x:v>
      </x:c>
      <x:c r="AZ231" s="23" t="n">
        <x:f>MAX(0,MIN('Activities'!L231,288)-MAX('Activities'!K231,282))</x:f>
        <x:v>0</x:v>
      </x:c>
      <x:c r="BA231" s="23" t="n">
        <x:f>MAX(0,MIN('Activities'!L231,294)-MAX('Activities'!K231,288))</x:f>
        <x:v>0</x:v>
      </x:c>
      <x:c r="BB231" s="23" t="n">
        <x:f>MAX(0,MIN('Activities'!L231,300)-MAX('Activities'!K231,294))</x:f>
        <x:v>0</x:v>
      </x:c>
      <x:c r="BC231" s="23" t="n">
        <x:f>MAX(0,MIN('Activities'!L231,306)-MAX('Activities'!K231,300))</x:f>
        <x:v>0</x:v>
      </x:c>
      <x:c r="BD231" s="23" t="n">
        <x:f>MAX(0,MIN('Activities'!L231,312)-MAX('Activities'!K231,306))</x:f>
        <x:v>0</x:v>
      </x:c>
      <x:c r="BE231" s="23" t="n">
        <x:f>MAX(0,MIN('Activities'!L231,318)-MAX('Activities'!K231,312))</x:f>
        <x:v>0</x:v>
      </x:c>
      <x:c r="BF231" s="23" t="n">
        <x:f>MAX(0,MIN('Activities'!L231,324)-MAX('Activities'!K231,318))</x:f>
        <x:v>0</x:v>
      </x:c>
      <x:c r="BG231" s="23" t="n">
        <x:f>MAX(0,MIN('Activities'!L231,330)-MAX('Activities'!K231,324))</x:f>
        <x:v>0</x:v>
      </x:c>
      <x:c r="BH231" s="23" t="n">
        <x:f>MAX(0,MIN('Activities'!L231,336)-MAX('Activities'!K231,330))</x:f>
        <x:v>0</x:v>
      </x:c>
      <x:c r="BI231" s="23" t="n">
        <x:f>MAX(0,MIN('Activities'!L231,342)-MAX('Activities'!K231,336))</x:f>
        <x:v>0</x:v>
      </x:c>
      <x:c r="BJ231" s="23" t="n">
        <x:f>MAX(0,MIN('Activities'!L231,348)-MAX('Activities'!K231,342))</x:f>
        <x:v>0</x:v>
      </x:c>
      <x:c r="BK231" s="23" t="n">
        <x:f>MAX(0,MIN('Activities'!L231,354)-MAX('Activities'!K231,348))</x:f>
        <x:v>0</x:v>
      </x:c>
      <x:c r="BL231" s="23" t="n">
        <x:f>MAX(0,MIN('Activities'!L231,360)-MAX('Activities'!K231,354))</x:f>
        <x:v>0</x:v>
      </x:c>
      <x:c r="BM231" s="23" t="n">
        <x:f>MAX(0,MIN('Activities'!L231,366)-MAX('Activities'!K231,360))</x:f>
        <x:v>0</x:v>
      </x:c>
      <x:c r="BN231" s="23" t="n">
        <x:f>MAX(0,MIN('Activities'!L231,372)-MAX('Activities'!K231,366))</x:f>
        <x:v>0</x:v>
      </x:c>
      <x:c r="BO231" s="23" t="n">
        <x:f>MAX(0,MIN('Activities'!L231,378)-MAX('Activities'!K231,372))</x:f>
        <x:v>0</x:v>
      </x:c>
      <x:c r="BP231" s="23" t="n">
        <x:f>MAX(0,MIN('Activities'!L231,384)-MAX('Activities'!K231,378))</x:f>
        <x:v>0</x:v>
      </x:c>
      <x:c r="BQ231" s="23" t="n">
        <x:f>MAX(0,MIN('Activities'!L231,390)-MAX('Activities'!K231,384))</x:f>
        <x:v>0</x:v>
      </x:c>
      <x:c r="BR231" s="23" t="n">
        <x:f>MAX(0,MIN('Activities'!L231,396)-MAX('Activities'!K231,390))</x:f>
        <x:v>0</x:v>
      </x:c>
      <x:c r="BS231" s="23" t="n">
        <x:f>MAX(0,MIN('Activities'!L231,402)-MAX('Activities'!K231,396))</x:f>
        <x:v>0</x:v>
      </x:c>
      <x:c r="BT231" s="23" t="n">
        <x:f>MAX(0,MIN('Activities'!L231,408)-MAX('Activities'!K231,402))</x:f>
        <x:v>0</x:v>
      </x:c>
      <x:c r="BU231" s="23" t="n">
        <x:f>MAX(0,MIN('Activities'!L231,414)-MAX('Activities'!K231,408))</x:f>
        <x:v>1</x:v>
      </x:c>
      <x:c r="BV231" s="23" t="n">
        <x:f>MAX(0,MIN('Activities'!L231,420)-MAX('Activities'!K231,414))</x:f>
        <x:v>5</x:v>
      </x:c>
      <x:c r="BW231" s="23" t="n">
        <x:f>MAX(0,MIN('Activities'!L231,426)-MAX('Activities'!K231,420))</x:f>
        <x:v>0</x:v>
      </x:c>
      <x:c r="BX231" s="23" t="n">
        <x:f>MAX(0,MIN('Activities'!L231,432)-MAX('Activities'!K231,426))</x:f>
        <x:v>0</x:v>
      </x:c>
      <x:c r="BY231" s="23" t="n">
        <x:f>MAX(0,MIN('Activities'!L231,438)-MAX('Activities'!K231,432))</x:f>
        <x:v>0</x:v>
      </x:c>
      <x:c r="BZ231" s="23" t="n">
        <x:f>MAX(0,MIN('Activities'!L231,444)-MAX('Activities'!K231,438))</x:f>
        <x:v>0</x:v>
      </x:c>
      <x:c r="CA231" s="23" t="n">
        <x:f>MAX(0,MIN('Activities'!L231,450)-MAX('Activities'!K231,444))</x:f>
        <x:v>0</x:v>
      </x:c>
      <x:c r="CB231" s="23" t="n">
        <x:f>MAX(0,MIN('Activities'!L231,456)-MAX('Activities'!K231,450))</x:f>
        <x:v>0</x:v>
      </x:c>
      <x:c r="CC231" s="23" t="n">
        <x:f>MAX(0,MIN('Activities'!L231,462)-MAX('Activities'!K231,456))</x:f>
        <x:v>0</x:v>
      </x:c>
      <x:c r="CD231" s="23" t="n">
        <x:f>MAX(0,MIN('Activities'!L231,468)-MAX('Activities'!K231,462))</x:f>
        <x:v>0</x:v>
      </x:c>
      <x:c r="CE231" s="23" t="n">
        <x:f>MAX(0,MIN('Activities'!L231,474)-MAX('Activities'!K231,468))</x:f>
        <x:v>0</x:v>
      </x:c>
      <x:c r="CF231" s="23" t="n">
        <x:f>MAX(0,MIN('Activities'!L231,480)-MAX('Activities'!K231,474))</x:f>
        <x:v>0</x:v>
      </x:c>
      <x:c r="CG231" s="23" t="n">
        <x:f>MAX(0,MIN('Activities'!L231,486)-MAX('Activities'!K231,480))</x:f>
        <x:v>0</x:v>
      </x:c>
      <x:c r="CH231" s="23" t="n">
        <x:f>MAX(0,MIN('Activities'!L231,492)-MAX('Activities'!K231,486))</x:f>
        <x:v>0</x:v>
      </x:c>
      <x:c r="CI231" s="23" t="n">
        <x:f>MAX(0,MIN('Activities'!L231,498)-MAX('Activities'!K231,492))</x:f>
        <x:v>0</x:v>
      </x:c>
      <x:c r="CJ231" s="23" t="n">
        <x:f>MAX(0,MIN('Activities'!L231,504)-MAX('Activities'!K231,498))</x:f>
        <x:v>0</x:v>
      </x:c>
      <x:c r="CK231" s="23" t="n">
        <x:f>MAX(0,MIN('Activities'!L231,510)-MAX('Activities'!K231,504))</x:f>
        <x:v>0</x:v>
      </x:c>
      <x:c r="CL231" s="23" t="n">
        <x:f>MAX(0,MIN('Activities'!L231,516)-MAX('Activities'!K231,510))</x:f>
        <x:v>0</x:v>
      </x:c>
      <x:c r="CM231" s="23" t="n">
        <x:f>MAX(0,MIN('Activities'!L231,522)-MAX('Activities'!K231,516))</x:f>
        <x:v>0</x:v>
      </x:c>
      <x:c r="CN231" s="23" t="n">
        <x:f>MAX(0,MIN('Activities'!L231,528)-MAX('Activities'!K231,522))</x:f>
        <x:v>0</x:v>
      </x:c>
      <x:c r="CO231" s="23" t="n">
        <x:f>MAX(0,MIN('Activities'!L231,534)-MAX('Activities'!K231,528))</x:f>
        <x:v>0</x:v>
      </x:c>
      <x:c r="CP231" s="23" t="n">
        <x:f>MAX(0,MIN('Activities'!L231,540)-MAX('Activities'!K231,534))</x:f>
        <x:v>0</x:v>
      </x:c>
      <x:c r="CQ231" s="23" t="n">
        <x:f>MAX(0,MIN('Activities'!L231,546)-MAX('Activities'!K231,540))</x:f>
        <x:v>0</x:v>
      </x:c>
      <x:c r="CR231" s="23" t="n">
        <x:f>MAX(0,MIN('Activities'!L231,552)-MAX('Activities'!K231,546))</x:f>
        <x:v>0</x:v>
      </x:c>
      <x:c r="CS231" s="23" t="n">
        <x:f>MAX(0,MIN('Activities'!L231,558)-MAX('Activities'!K231,552))</x:f>
        <x:v>0</x:v>
      </x:c>
      <x:c r="CT231" s="23" t="n">
        <x:f>MAX(0,MIN('Activities'!L231,564)-MAX('Activities'!K231,558))</x:f>
        <x:v>0</x:v>
      </x:c>
      <x:c r="CU231" s="23" t="n">
        <x:f>MAX(0,MIN('Activities'!L231,570)-MAX('Activities'!K231,564))</x:f>
        <x:v>0</x:v>
      </x:c>
      <x:c r="CV231" s="23" t="n">
        <x:f>MAX(0,MIN('Activities'!L231,576)-MAX('Activities'!K231,570))</x:f>
        <x:v>0</x:v>
      </x:c>
      <x:c r="CW231" s="23" t="n">
        <x:f>MAX(0,MIN('Activities'!L231,582)-MAX('Activities'!K231,576))</x:f>
        <x:v>0</x:v>
      </x:c>
      <x:c r="CX231" s="23" t="n">
        <x:f>MAX(0,MIN('Activities'!L231,588)-MAX('Activities'!K231,582))</x:f>
        <x:v>0</x:v>
      </x:c>
      <x:c r="CY231" s="23" t="n">
        <x:f>MAX(0,MIN('Activities'!L231,594)-MAX('Activities'!K231,588))</x:f>
        <x:v>0</x:v>
      </x:c>
      <x:c r="CZ231" s="23" t="n">
        <x:f>MAX(0,MIN('Activities'!L231,600)-MAX('Activities'!K231,594))</x:f>
        <x:v>0</x:v>
      </x:c>
      <x:c r="DA231" s="23" t="n">
        <x:f>MAX(0,MIN('Activities'!L231,606)-MAX('Activities'!K231,600))</x:f>
        <x:v>0</x:v>
      </x:c>
      <x:c r="DB231" s="23" t="n">
        <x:f>MAX(0,MIN('Activities'!L231,612)-MAX('Activities'!K231,606))</x:f>
        <x:v>0</x:v>
      </x:c>
      <x:c r="DC231" s="23" t="n">
        <x:f>MAX(0,MIN('Activities'!L231,618)-MAX('Activities'!K231,612))</x:f>
        <x:v>0</x:v>
      </x:c>
      <x:c r="DD231" s="23" t="n">
        <x:f>MAX(0,MIN('Activities'!L231,624)-MAX('Activities'!K231,618))</x:f>
        <x:v>0</x:v>
      </x:c>
      <x:c r="DE231" s="23" t="n">
        <x:f>MAX(0,MIN('Activities'!L231,630)-MAX('Activities'!K231,624))</x:f>
        <x:v>0</x:v>
      </x:c>
      <x:c r="DF231" s="23" t="n">
        <x:f>MAX(0,MIN('Activities'!L231,636)-MAX('Activities'!K231,630))</x:f>
        <x:v>0</x:v>
      </x:c>
    </x:row>
    <x:row r="232" ht="23" customHeight="1">
      <x:c r="A232" s="6" t="str">
        <x:v>T2-L04-A</x:v>
      </x:c>
      <x:c r="B232" s="6" t="str">
        <x:v>T2</x:v>
      </x:c>
      <x:c r="C232" s="6" t="str">
        <x:v>Paint and final decorations</x:v>
      </x:c>
      <x:c r="D232" s="6" t="str">
        <x:v>Finishes</x:v>
      </x:c>
      <x:c r="E232" s="22" t="n">
        <x:f>MAX(0,MIN('Activities'!L232,6)-MAX('Activities'!K232,0))</x:f>
        <x:v>0</x:v>
      </x:c>
      <x:c r="F232" s="22" t="n">
        <x:f>MAX(0,MIN('Activities'!L232,12)-MAX('Activities'!K232,6))</x:f>
        <x:v>0</x:v>
      </x:c>
      <x:c r="G232" s="22" t="n">
        <x:f>MAX(0,MIN('Activities'!L232,18)-MAX('Activities'!K232,12))</x:f>
        <x:v>0</x:v>
      </x:c>
      <x:c r="H232" s="22" t="n">
        <x:f>MAX(0,MIN('Activities'!L232,24)-MAX('Activities'!K232,18))</x:f>
        <x:v>0</x:v>
      </x:c>
      <x:c r="I232" s="22" t="n">
        <x:f>MAX(0,MIN('Activities'!L232,30)-MAX('Activities'!K232,24))</x:f>
        <x:v>0</x:v>
      </x:c>
      <x:c r="J232" s="22" t="n">
        <x:f>MAX(0,MIN('Activities'!L232,36)-MAX('Activities'!K232,30))</x:f>
        <x:v>0</x:v>
      </x:c>
      <x:c r="K232" s="22" t="n">
        <x:f>MAX(0,MIN('Activities'!L232,42)-MAX('Activities'!K232,36))</x:f>
        <x:v>0</x:v>
      </x:c>
      <x:c r="L232" s="22" t="n">
        <x:f>MAX(0,MIN('Activities'!L232,48)-MAX('Activities'!K232,42))</x:f>
        <x:v>0</x:v>
      </x:c>
      <x:c r="M232" s="22" t="n">
        <x:f>MAX(0,MIN('Activities'!L232,54)-MAX('Activities'!K232,48))</x:f>
        <x:v>0</x:v>
      </x:c>
      <x:c r="N232" s="22" t="n">
        <x:f>MAX(0,MIN('Activities'!L232,60)-MAX('Activities'!K232,54))</x:f>
        <x:v>0</x:v>
      </x:c>
      <x:c r="O232" s="22" t="n">
        <x:f>MAX(0,MIN('Activities'!L232,66)-MAX('Activities'!K232,60))</x:f>
        <x:v>0</x:v>
      </x:c>
      <x:c r="P232" s="22" t="n">
        <x:f>MAX(0,MIN('Activities'!L232,72)-MAX('Activities'!K232,66))</x:f>
        <x:v>0</x:v>
      </x:c>
      <x:c r="Q232" s="22" t="n">
        <x:f>MAX(0,MIN('Activities'!L232,78)-MAX('Activities'!K232,72))</x:f>
        <x:v>0</x:v>
      </x:c>
      <x:c r="R232" s="22" t="n">
        <x:f>MAX(0,MIN('Activities'!L232,84)-MAX('Activities'!K232,78))</x:f>
        <x:v>0</x:v>
      </x:c>
      <x:c r="S232" s="22" t="n">
        <x:f>MAX(0,MIN('Activities'!L232,90)-MAX('Activities'!K232,84))</x:f>
        <x:v>0</x:v>
      </x:c>
      <x:c r="T232" s="22" t="n">
        <x:f>MAX(0,MIN('Activities'!L232,96)-MAX('Activities'!K232,90))</x:f>
        <x:v>0</x:v>
      </x:c>
      <x:c r="U232" s="22" t="n">
        <x:f>MAX(0,MIN('Activities'!L232,102)-MAX('Activities'!K232,96))</x:f>
        <x:v>0</x:v>
      </x:c>
      <x:c r="V232" s="22" t="n">
        <x:f>MAX(0,MIN('Activities'!L232,108)-MAX('Activities'!K232,102))</x:f>
        <x:v>0</x:v>
      </x:c>
      <x:c r="W232" s="22" t="n">
        <x:f>MAX(0,MIN('Activities'!L232,114)-MAX('Activities'!K232,108))</x:f>
        <x:v>0</x:v>
      </x:c>
      <x:c r="X232" s="22" t="n">
        <x:f>MAX(0,MIN('Activities'!L232,120)-MAX('Activities'!K232,114))</x:f>
        <x:v>0</x:v>
      </x:c>
      <x:c r="Y232" s="22" t="n">
        <x:f>MAX(0,MIN('Activities'!L232,126)-MAX('Activities'!K232,120))</x:f>
        <x:v>0</x:v>
      </x:c>
      <x:c r="Z232" s="22" t="n">
        <x:f>MAX(0,MIN('Activities'!L232,132)-MAX('Activities'!K232,126))</x:f>
        <x:v>0</x:v>
      </x:c>
      <x:c r="AA232" s="22" t="n">
        <x:f>MAX(0,MIN('Activities'!L232,138)-MAX('Activities'!K232,132))</x:f>
        <x:v>0</x:v>
      </x:c>
      <x:c r="AB232" s="22" t="n">
        <x:f>MAX(0,MIN('Activities'!L232,144)-MAX('Activities'!K232,138))</x:f>
        <x:v>0</x:v>
      </x:c>
      <x:c r="AC232" s="22" t="n">
        <x:f>MAX(0,MIN('Activities'!L232,150)-MAX('Activities'!K232,144))</x:f>
        <x:v>0</x:v>
      </x:c>
      <x:c r="AD232" s="22" t="n">
        <x:f>MAX(0,MIN('Activities'!L232,156)-MAX('Activities'!K232,150))</x:f>
        <x:v>0</x:v>
      </x:c>
      <x:c r="AE232" s="22" t="n">
        <x:f>MAX(0,MIN('Activities'!L232,162)-MAX('Activities'!K232,156))</x:f>
        <x:v>0</x:v>
      </x:c>
      <x:c r="AF232" s="22" t="n">
        <x:f>MAX(0,MIN('Activities'!L232,168)-MAX('Activities'!K232,162))</x:f>
        <x:v>0</x:v>
      </x:c>
      <x:c r="AG232" s="22" t="n">
        <x:f>MAX(0,MIN('Activities'!L232,174)-MAX('Activities'!K232,168))</x:f>
        <x:v>0</x:v>
      </x:c>
      <x:c r="AH232" s="22" t="n">
        <x:f>MAX(0,MIN('Activities'!L232,180)-MAX('Activities'!K232,174))</x:f>
        <x:v>0</x:v>
      </x:c>
      <x:c r="AI232" s="22" t="n">
        <x:f>MAX(0,MIN('Activities'!L232,186)-MAX('Activities'!K232,180))</x:f>
        <x:v>0</x:v>
      </x:c>
      <x:c r="AJ232" s="22" t="n">
        <x:f>MAX(0,MIN('Activities'!L232,192)-MAX('Activities'!K232,186))</x:f>
        <x:v>0</x:v>
      </x:c>
      <x:c r="AK232" s="22" t="n">
        <x:f>MAX(0,MIN('Activities'!L232,198)-MAX('Activities'!K232,192))</x:f>
        <x:v>0</x:v>
      </x:c>
      <x:c r="AL232" s="22" t="n">
        <x:f>MAX(0,MIN('Activities'!L232,204)-MAX('Activities'!K232,198))</x:f>
        <x:v>0</x:v>
      </x:c>
      <x:c r="AM232" s="22" t="n">
        <x:f>MAX(0,MIN('Activities'!L232,210)-MAX('Activities'!K232,204))</x:f>
        <x:v>0</x:v>
      </x:c>
      <x:c r="AN232" s="22" t="n">
        <x:f>MAX(0,MIN('Activities'!L232,216)-MAX('Activities'!K232,210))</x:f>
        <x:v>0</x:v>
      </x:c>
      <x:c r="AO232" s="22" t="n">
        <x:f>MAX(0,MIN('Activities'!L232,222)-MAX('Activities'!K232,216))</x:f>
        <x:v>0</x:v>
      </x:c>
      <x:c r="AP232" s="22" t="n">
        <x:f>MAX(0,MIN('Activities'!L232,228)-MAX('Activities'!K232,222))</x:f>
        <x:v>0</x:v>
      </x:c>
      <x:c r="AQ232" s="22" t="n">
        <x:f>MAX(0,MIN('Activities'!L232,234)-MAX('Activities'!K232,228))</x:f>
        <x:v>0</x:v>
      </x:c>
      <x:c r="AR232" s="22" t="n">
        <x:f>MAX(0,MIN('Activities'!L232,240)-MAX('Activities'!K232,234))</x:f>
        <x:v>0</x:v>
      </x:c>
      <x:c r="AS232" s="22" t="n">
        <x:f>MAX(0,MIN('Activities'!L232,246)-MAX('Activities'!K232,240))</x:f>
        <x:v>0</x:v>
      </x:c>
      <x:c r="AT232" s="22" t="n">
        <x:f>MAX(0,MIN('Activities'!L232,252)-MAX('Activities'!K232,246))</x:f>
        <x:v>0</x:v>
      </x:c>
      <x:c r="AU232" s="22" t="n">
        <x:f>MAX(0,MIN('Activities'!L232,258)-MAX('Activities'!K232,252))</x:f>
        <x:v>0</x:v>
      </x:c>
      <x:c r="AV232" s="22" t="n">
        <x:f>MAX(0,MIN('Activities'!L232,264)-MAX('Activities'!K232,258))</x:f>
        <x:v>0</x:v>
      </x:c>
      <x:c r="AW232" s="22" t="n">
        <x:f>MAX(0,MIN('Activities'!L232,270)-MAX('Activities'!K232,264))</x:f>
        <x:v>0</x:v>
      </x:c>
      <x:c r="AX232" s="22" t="n">
        <x:f>MAX(0,MIN('Activities'!L232,276)-MAX('Activities'!K232,270))</x:f>
        <x:v>0</x:v>
      </x:c>
      <x:c r="AY232" s="22" t="n">
        <x:f>MAX(0,MIN('Activities'!L232,282)-MAX('Activities'!K232,276))</x:f>
        <x:v>0</x:v>
      </x:c>
      <x:c r="AZ232" s="22" t="n">
        <x:f>MAX(0,MIN('Activities'!L232,288)-MAX('Activities'!K232,282))</x:f>
        <x:v>0</x:v>
      </x:c>
      <x:c r="BA232" s="22" t="n">
        <x:f>MAX(0,MIN('Activities'!L232,294)-MAX('Activities'!K232,288))</x:f>
        <x:v>0</x:v>
      </x:c>
      <x:c r="BB232" s="22" t="n">
        <x:f>MAX(0,MIN('Activities'!L232,300)-MAX('Activities'!K232,294))</x:f>
        <x:v>0</x:v>
      </x:c>
      <x:c r="BC232" s="22" t="n">
        <x:f>MAX(0,MIN('Activities'!L232,306)-MAX('Activities'!K232,300))</x:f>
        <x:v>0</x:v>
      </x:c>
      <x:c r="BD232" s="22" t="n">
        <x:f>MAX(0,MIN('Activities'!L232,312)-MAX('Activities'!K232,306))</x:f>
        <x:v>0</x:v>
      </x:c>
      <x:c r="BE232" s="22" t="n">
        <x:f>MAX(0,MIN('Activities'!L232,318)-MAX('Activities'!K232,312))</x:f>
        <x:v>0</x:v>
      </x:c>
      <x:c r="BF232" s="22" t="n">
        <x:f>MAX(0,MIN('Activities'!L232,324)-MAX('Activities'!K232,318))</x:f>
        <x:v>0</x:v>
      </x:c>
      <x:c r="BG232" s="22" t="n">
        <x:f>MAX(0,MIN('Activities'!L232,330)-MAX('Activities'!K232,324))</x:f>
        <x:v>0</x:v>
      </x:c>
      <x:c r="BH232" s="22" t="n">
        <x:f>MAX(0,MIN('Activities'!L232,336)-MAX('Activities'!K232,330))</x:f>
        <x:v>0</x:v>
      </x:c>
      <x:c r="BI232" s="22" t="n">
        <x:f>MAX(0,MIN('Activities'!L232,342)-MAX('Activities'!K232,336))</x:f>
        <x:v>0</x:v>
      </x:c>
      <x:c r="BJ232" s="22" t="n">
        <x:f>MAX(0,MIN('Activities'!L232,348)-MAX('Activities'!K232,342))</x:f>
        <x:v>0</x:v>
      </x:c>
      <x:c r="BK232" s="22" t="n">
        <x:f>MAX(0,MIN('Activities'!L232,354)-MAX('Activities'!K232,348))</x:f>
        <x:v>0</x:v>
      </x:c>
      <x:c r="BL232" s="22" t="n">
        <x:f>MAX(0,MIN('Activities'!L232,360)-MAX('Activities'!K232,354))</x:f>
        <x:v>0</x:v>
      </x:c>
      <x:c r="BM232" s="22" t="n">
        <x:f>MAX(0,MIN('Activities'!L232,366)-MAX('Activities'!K232,360))</x:f>
        <x:v>0</x:v>
      </x:c>
      <x:c r="BN232" s="22" t="n">
        <x:f>MAX(0,MIN('Activities'!L232,372)-MAX('Activities'!K232,366))</x:f>
        <x:v>0</x:v>
      </x:c>
      <x:c r="BO232" s="22" t="n">
        <x:f>MAX(0,MIN('Activities'!L232,378)-MAX('Activities'!K232,372))</x:f>
        <x:v>0</x:v>
      </x:c>
      <x:c r="BP232" s="22" t="n">
        <x:f>MAX(0,MIN('Activities'!L232,384)-MAX('Activities'!K232,378))</x:f>
        <x:v>0</x:v>
      </x:c>
      <x:c r="BQ232" s="22" t="n">
        <x:f>MAX(0,MIN('Activities'!L232,390)-MAX('Activities'!K232,384))</x:f>
        <x:v>0</x:v>
      </x:c>
      <x:c r="BR232" s="22" t="n">
        <x:f>MAX(0,MIN('Activities'!L232,396)-MAX('Activities'!K232,390))</x:f>
        <x:v>0</x:v>
      </x:c>
      <x:c r="BS232" s="22" t="n">
        <x:f>MAX(0,MIN('Activities'!L232,402)-MAX('Activities'!K232,396))</x:f>
        <x:v>0</x:v>
      </x:c>
      <x:c r="BT232" s="22" t="n">
        <x:f>MAX(0,MIN('Activities'!L232,408)-MAX('Activities'!K232,402))</x:f>
        <x:v>0</x:v>
      </x:c>
      <x:c r="BU232" s="22" t="n">
        <x:f>MAX(0,MIN('Activities'!L232,414)-MAX('Activities'!K232,408))</x:f>
        <x:v>0</x:v>
      </x:c>
      <x:c r="BV232" s="22" t="n">
        <x:f>MAX(0,MIN('Activities'!L232,420)-MAX('Activities'!K232,414))</x:f>
        <x:v>0</x:v>
      </x:c>
      <x:c r="BW232" s="22" t="n">
        <x:f>MAX(0,MIN('Activities'!L232,426)-MAX('Activities'!K232,420))</x:f>
        <x:v>5</x:v>
      </x:c>
      <x:c r="BX232" s="22" t="n">
        <x:f>MAX(0,MIN('Activities'!L232,432)-MAX('Activities'!K232,426))</x:f>
        <x:v>0</x:v>
      </x:c>
      <x:c r="BY232" s="22" t="n">
        <x:f>MAX(0,MIN('Activities'!L232,438)-MAX('Activities'!K232,432))</x:f>
        <x:v>0</x:v>
      </x:c>
      <x:c r="BZ232" s="22" t="n">
        <x:f>MAX(0,MIN('Activities'!L232,444)-MAX('Activities'!K232,438))</x:f>
        <x:v>0</x:v>
      </x:c>
      <x:c r="CA232" s="22" t="n">
        <x:f>MAX(0,MIN('Activities'!L232,450)-MAX('Activities'!K232,444))</x:f>
        <x:v>0</x:v>
      </x:c>
      <x:c r="CB232" s="22" t="n">
        <x:f>MAX(0,MIN('Activities'!L232,456)-MAX('Activities'!K232,450))</x:f>
        <x:v>0</x:v>
      </x:c>
      <x:c r="CC232" s="22" t="n">
        <x:f>MAX(0,MIN('Activities'!L232,462)-MAX('Activities'!K232,456))</x:f>
        <x:v>0</x:v>
      </x:c>
      <x:c r="CD232" s="22" t="n">
        <x:f>MAX(0,MIN('Activities'!L232,468)-MAX('Activities'!K232,462))</x:f>
        <x:v>0</x:v>
      </x:c>
      <x:c r="CE232" s="22" t="n">
        <x:f>MAX(0,MIN('Activities'!L232,474)-MAX('Activities'!K232,468))</x:f>
        <x:v>0</x:v>
      </x:c>
      <x:c r="CF232" s="22" t="n">
        <x:f>MAX(0,MIN('Activities'!L232,480)-MAX('Activities'!K232,474))</x:f>
        <x:v>0</x:v>
      </x:c>
      <x:c r="CG232" s="22" t="n">
        <x:f>MAX(0,MIN('Activities'!L232,486)-MAX('Activities'!K232,480))</x:f>
        <x:v>0</x:v>
      </x:c>
      <x:c r="CH232" s="22" t="n">
        <x:f>MAX(0,MIN('Activities'!L232,492)-MAX('Activities'!K232,486))</x:f>
        <x:v>0</x:v>
      </x:c>
      <x:c r="CI232" s="22" t="n">
        <x:f>MAX(0,MIN('Activities'!L232,498)-MAX('Activities'!K232,492))</x:f>
        <x:v>0</x:v>
      </x:c>
      <x:c r="CJ232" s="22" t="n">
        <x:f>MAX(0,MIN('Activities'!L232,504)-MAX('Activities'!K232,498))</x:f>
        <x:v>0</x:v>
      </x:c>
      <x:c r="CK232" s="22" t="n">
        <x:f>MAX(0,MIN('Activities'!L232,510)-MAX('Activities'!K232,504))</x:f>
        <x:v>0</x:v>
      </x:c>
      <x:c r="CL232" s="22" t="n">
        <x:f>MAX(0,MIN('Activities'!L232,516)-MAX('Activities'!K232,510))</x:f>
        <x:v>0</x:v>
      </x:c>
      <x:c r="CM232" s="22" t="n">
        <x:f>MAX(0,MIN('Activities'!L232,522)-MAX('Activities'!K232,516))</x:f>
        <x:v>0</x:v>
      </x:c>
      <x:c r="CN232" s="22" t="n">
        <x:f>MAX(0,MIN('Activities'!L232,528)-MAX('Activities'!K232,522))</x:f>
        <x:v>0</x:v>
      </x:c>
      <x:c r="CO232" s="22" t="n">
        <x:f>MAX(0,MIN('Activities'!L232,534)-MAX('Activities'!K232,528))</x:f>
        <x:v>0</x:v>
      </x:c>
      <x:c r="CP232" s="22" t="n">
        <x:f>MAX(0,MIN('Activities'!L232,540)-MAX('Activities'!K232,534))</x:f>
        <x:v>0</x:v>
      </x:c>
      <x:c r="CQ232" s="22" t="n">
        <x:f>MAX(0,MIN('Activities'!L232,546)-MAX('Activities'!K232,540))</x:f>
        <x:v>0</x:v>
      </x:c>
      <x:c r="CR232" s="22" t="n">
        <x:f>MAX(0,MIN('Activities'!L232,552)-MAX('Activities'!K232,546))</x:f>
        <x:v>0</x:v>
      </x:c>
      <x:c r="CS232" s="22" t="n">
        <x:f>MAX(0,MIN('Activities'!L232,558)-MAX('Activities'!K232,552))</x:f>
        <x:v>0</x:v>
      </x:c>
      <x:c r="CT232" s="22" t="n">
        <x:f>MAX(0,MIN('Activities'!L232,564)-MAX('Activities'!K232,558))</x:f>
        <x:v>0</x:v>
      </x:c>
      <x:c r="CU232" s="22" t="n">
        <x:f>MAX(0,MIN('Activities'!L232,570)-MAX('Activities'!K232,564))</x:f>
        <x:v>0</x:v>
      </x:c>
      <x:c r="CV232" s="22" t="n">
        <x:f>MAX(0,MIN('Activities'!L232,576)-MAX('Activities'!K232,570))</x:f>
        <x:v>0</x:v>
      </x:c>
      <x:c r="CW232" s="22" t="n">
        <x:f>MAX(0,MIN('Activities'!L232,582)-MAX('Activities'!K232,576))</x:f>
        <x:v>0</x:v>
      </x:c>
      <x:c r="CX232" s="22" t="n">
        <x:f>MAX(0,MIN('Activities'!L232,588)-MAX('Activities'!K232,582))</x:f>
        <x:v>0</x:v>
      </x:c>
      <x:c r="CY232" s="22" t="n">
        <x:f>MAX(0,MIN('Activities'!L232,594)-MAX('Activities'!K232,588))</x:f>
        <x:v>0</x:v>
      </x:c>
      <x:c r="CZ232" s="22" t="n">
        <x:f>MAX(0,MIN('Activities'!L232,600)-MAX('Activities'!K232,594))</x:f>
        <x:v>0</x:v>
      </x:c>
      <x:c r="DA232" s="22" t="n">
        <x:f>MAX(0,MIN('Activities'!L232,606)-MAX('Activities'!K232,600))</x:f>
        <x:v>0</x:v>
      </x:c>
      <x:c r="DB232" s="22" t="n">
        <x:f>MAX(0,MIN('Activities'!L232,612)-MAX('Activities'!K232,606))</x:f>
        <x:v>0</x:v>
      </x:c>
      <x:c r="DC232" s="22" t="n">
        <x:f>MAX(0,MIN('Activities'!L232,618)-MAX('Activities'!K232,612))</x:f>
        <x:v>0</x:v>
      </x:c>
      <x:c r="DD232" s="22" t="n">
        <x:f>MAX(0,MIN('Activities'!L232,624)-MAX('Activities'!K232,618))</x:f>
        <x:v>0</x:v>
      </x:c>
      <x:c r="DE232" s="22" t="n">
        <x:f>MAX(0,MIN('Activities'!L232,630)-MAX('Activities'!K232,624))</x:f>
        <x:v>0</x:v>
      </x:c>
      <x:c r="DF232" s="22" t="n">
        <x:f>MAX(0,MIN('Activities'!L232,636)-MAX('Activities'!K232,630))</x:f>
        <x:v>0</x:v>
      </x:c>
    </x:row>
    <x:row r="233" ht="23" customHeight="1">
      <x:c r="A233" s="1" t="str">
        <x:v>T2-L04-D</x:v>
      </x:c>
      <x:c r="B233" s="1" t="str">
        <x:v>T2</x:v>
      </x:c>
      <x:c r="C233" s="1" t="str">
        <x:v>Door sets and ironmongery</x:v>
      </x:c>
      <x:c r="D233" s="1" t="str">
        <x:v>Finishes</x:v>
      </x:c>
      <x:c r="E233" s="23" t="n">
        <x:f>MAX(0,MIN('Activities'!L233,6)-MAX('Activities'!K233,0))</x:f>
        <x:v>0</x:v>
      </x:c>
      <x:c r="F233" s="23" t="n">
        <x:f>MAX(0,MIN('Activities'!L233,12)-MAX('Activities'!K233,6))</x:f>
        <x:v>0</x:v>
      </x:c>
      <x:c r="G233" s="23" t="n">
        <x:f>MAX(0,MIN('Activities'!L233,18)-MAX('Activities'!K233,12))</x:f>
        <x:v>0</x:v>
      </x:c>
      <x:c r="H233" s="23" t="n">
        <x:f>MAX(0,MIN('Activities'!L233,24)-MAX('Activities'!K233,18))</x:f>
        <x:v>0</x:v>
      </x:c>
      <x:c r="I233" s="23" t="n">
        <x:f>MAX(0,MIN('Activities'!L233,30)-MAX('Activities'!K233,24))</x:f>
        <x:v>0</x:v>
      </x:c>
      <x:c r="J233" s="23" t="n">
        <x:f>MAX(0,MIN('Activities'!L233,36)-MAX('Activities'!K233,30))</x:f>
        <x:v>0</x:v>
      </x:c>
      <x:c r="K233" s="23" t="n">
        <x:f>MAX(0,MIN('Activities'!L233,42)-MAX('Activities'!K233,36))</x:f>
        <x:v>0</x:v>
      </x:c>
      <x:c r="L233" s="23" t="n">
        <x:f>MAX(0,MIN('Activities'!L233,48)-MAX('Activities'!K233,42))</x:f>
        <x:v>0</x:v>
      </x:c>
      <x:c r="M233" s="23" t="n">
        <x:f>MAX(0,MIN('Activities'!L233,54)-MAX('Activities'!K233,48))</x:f>
        <x:v>0</x:v>
      </x:c>
      <x:c r="N233" s="23" t="n">
        <x:f>MAX(0,MIN('Activities'!L233,60)-MAX('Activities'!K233,54))</x:f>
        <x:v>0</x:v>
      </x:c>
      <x:c r="O233" s="23" t="n">
        <x:f>MAX(0,MIN('Activities'!L233,66)-MAX('Activities'!K233,60))</x:f>
        <x:v>0</x:v>
      </x:c>
      <x:c r="P233" s="23" t="n">
        <x:f>MAX(0,MIN('Activities'!L233,72)-MAX('Activities'!K233,66))</x:f>
        <x:v>0</x:v>
      </x:c>
      <x:c r="Q233" s="23" t="n">
        <x:f>MAX(0,MIN('Activities'!L233,78)-MAX('Activities'!K233,72))</x:f>
        <x:v>0</x:v>
      </x:c>
      <x:c r="R233" s="23" t="n">
        <x:f>MAX(0,MIN('Activities'!L233,84)-MAX('Activities'!K233,78))</x:f>
        <x:v>0</x:v>
      </x:c>
      <x:c r="S233" s="23" t="n">
        <x:f>MAX(0,MIN('Activities'!L233,90)-MAX('Activities'!K233,84))</x:f>
        <x:v>0</x:v>
      </x:c>
      <x:c r="T233" s="23" t="n">
        <x:f>MAX(0,MIN('Activities'!L233,96)-MAX('Activities'!K233,90))</x:f>
        <x:v>0</x:v>
      </x:c>
      <x:c r="U233" s="23" t="n">
        <x:f>MAX(0,MIN('Activities'!L233,102)-MAX('Activities'!K233,96))</x:f>
        <x:v>0</x:v>
      </x:c>
      <x:c r="V233" s="23" t="n">
        <x:f>MAX(0,MIN('Activities'!L233,108)-MAX('Activities'!K233,102))</x:f>
        <x:v>0</x:v>
      </x:c>
      <x:c r="W233" s="23" t="n">
        <x:f>MAX(0,MIN('Activities'!L233,114)-MAX('Activities'!K233,108))</x:f>
        <x:v>0</x:v>
      </x:c>
      <x:c r="X233" s="23" t="n">
        <x:f>MAX(0,MIN('Activities'!L233,120)-MAX('Activities'!K233,114))</x:f>
        <x:v>0</x:v>
      </x:c>
      <x:c r="Y233" s="23" t="n">
        <x:f>MAX(0,MIN('Activities'!L233,126)-MAX('Activities'!K233,120))</x:f>
        <x:v>0</x:v>
      </x:c>
      <x:c r="Z233" s="23" t="n">
        <x:f>MAX(0,MIN('Activities'!L233,132)-MAX('Activities'!K233,126))</x:f>
        <x:v>0</x:v>
      </x:c>
      <x:c r="AA233" s="23" t="n">
        <x:f>MAX(0,MIN('Activities'!L233,138)-MAX('Activities'!K233,132))</x:f>
        <x:v>0</x:v>
      </x:c>
      <x:c r="AB233" s="23" t="n">
        <x:f>MAX(0,MIN('Activities'!L233,144)-MAX('Activities'!K233,138))</x:f>
        <x:v>0</x:v>
      </x:c>
      <x:c r="AC233" s="23" t="n">
        <x:f>MAX(0,MIN('Activities'!L233,150)-MAX('Activities'!K233,144))</x:f>
        <x:v>0</x:v>
      </x:c>
      <x:c r="AD233" s="23" t="n">
        <x:f>MAX(0,MIN('Activities'!L233,156)-MAX('Activities'!K233,150))</x:f>
        <x:v>0</x:v>
      </x:c>
      <x:c r="AE233" s="23" t="n">
        <x:f>MAX(0,MIN('Activities'!L233,162)-MAX('Activities'!K233,156))</x:f>
        <x:v>0</x:v>
      </x:c>
      <x:c r="AF233" s="23" t="n">
        <x:f>MAX(0,MIN('Activities'!L233,168)-MAX('Activities'!K233,162))</x:f>
        <x:v>0</x:v>
      </x:c>
      <x:c r="AG233" s="23" t="n">
        <x:f>MAX(0,MIN('Activities'!L233,174)-MAX('Activities'!K233,168))</x:f>
        <x:v>0</x:v>
      </x:c>
      <x:c r="AH233" s="23" t="n">
        <x:f>MAX(0,MIN('Activities'!L233,180)-MAX('Activities'!K233,174))</x:f>
        <x:v>0</x:v>
      </x:c>
      <x:c r="AI233" s="23" t="n">
        <x:f>MAX(0,MIN('Activities'!L233,186)-MAX('Activities'!K233,180))</x:f>
        <x:v>0</x:v>
      </x:c>
      <x:c r="AJ233" s="23" t="n">
        <x:f>MAX(0,MIN('Activities'!L233,192)-MAX('Activities'!K233,186))</x:f>
        <x:v>0</x:v>
      </x:c>
      <x:c r="AK233" s="23" t="n">
        <x:f>MAX(0,MIN('Activities'!L233,198)-MAX('Activities'!K233,192))</x:f>
        <x:v>0</x:v>
      </x:c>
      <x:c r="AL233" s="23" t="n">
        <x:f>MAX(0,MIN('Activities'!L233,204)-MAX('Activities'!K233,198))</x:f>
        <x:v>0</x:v>
      </x:c>
      <x:c r="AM233" s="23" t="n">
        <x:f>MAX(0,MIN('Activities'!L233,210)-MAX('Activities'!K233,204))</x:f>
        <x:v>0</x:v>
      </x:c>
      <x:c r="AN233" s="23" t="n">
        <x:f>MAX(0,MIN('Activities'!L233,216)-MAX('Activities'!K233,210))</x:f>
        <x:v>0</x:v>
      </x:c>
      <x:c r="AO233" s="23" t="n">
        <x:f>MAX(0,MIN('Activities'!L233,222)-MAX('Activities'!K233,216))</x:f>
        <x:v>0</x:v>
      </x:c>
      <x:c r="AP233" s="23" t="n">
        <x:f>MAX(0,MIN('Activities'!L233,228)-MAX('Activities'!K233,222))</x:f>
        <x:v>0</x:v>
      </x:c>
      <x:c r="AQ233" s="23" t="n">
        <x:f>MAX(0,MIN('Activities'!L233,234)-MAX('Activities'!K233,228))</x:f>
        <x:v>0</x:v>
      </x:c>
      <x:c r="AR233" s="23" t="n">
        <x:f>MAX(0,MIN('Activities'!L233,240)-MAX('Activities'!K233,234))</x:f>
        <x:v>0</x:v>
      </x:c>
      <x:c r="AS233" s="23" t="n">
        <x:f>MAX(0,MIN('Activities'!L233,246)-MAX('Activities'!K233,240))</x:f>
        <x:v>0</x:v>
      </x:c>
      <x:c r="AT233" s="23" t="n">
        <x:f>MAX(0,MIN('Activities'!L233,252)-MAX('Activities'!K233,246))</x:f>
        <x:v>0</x:v>
      </x:c>
      <x:c r="AU233" s="23" t="n">
        <x:f>MAX(0,MIN('Activities'!L233,258)-MAX('Activities'!K233,252))</x:f>
        <x:v>0</x:v>
      </x:c>
      <x:c r="AV233" s="23" t="n">
        <x:f>MAX(0,MIN('Activities'!L233,264)-MAX('Activities'!K233,258))</x:f>
        <x:v>0</x:v>
      </x:c>
      <x:c r="AW233" s="23" t="n">
        <x:f>MAX(0,MIN('Activities'!L233,270)-MAX('Activities'!K233,264))</x:f>
        <x:v>0</x:v>
      </x:c>
      <x:c r="AX233" s="23" t="n">
        <x:f>MAX(0,MIN('Activities'!L233,276)-MAX('Activities'!K233,270))</x:f>
        <x:v>0</x:v>
      </x:c>
      <x:c r="AY233" s="23" t="n">
        <x:f>MAX(0,MIN('Activities'!L233,282)-MAX('Activities'!K233,276))</x:f>
        <x:v>0</x:v>
      </x:c>
      <x:c r="AZ233" s="23" t="n">
        <x:f>MAX(0,MIN('Activities'!L233,288)-MAX('Activities'!K233,282))</x:f>
        <x:v>0</x:v>
      </x:c>
      <x:c r="BA233" s="23" t="n">
        <x:f>MAX(0,MIN('Activities'!L233,294)-MAX('Activities'!K233,288))</x:f>
        <x:v>0</x:v>
      </x:c>
      <x:c r="BB233" s="23" t="n">
        <x:f>MAX(0,MIN('Activities'!L233,300)-MAX('Activities'!K233,294))</x:f>
        <x:v>0</x:v>
      </x:c>
      <x:c r="BC233" s="23" t="n">
        <x:f>MAX(0,MIN('Activities'!L233,306)-MAX('Activities'!K233,300))</x:f>
        <x:v>0</x:v>
      </x:c>
      <x:c r="BD233" s="23" t="n">
        <x:f>MAX(0,MIN('Activities'!L233,312)-MAX('Activities'!K233,306))</x:f>
        <x:v>0</x:v>
      </x:c>
      <x:c r="BE233" s="23" t="n">
        <x:f>MAX(0,MIN('Activities'!L233,318)-MAX('Activities'!K233,312))</x:f>
        <x:v>0</x:v>
      </x:c>
      <x:c r="BF233" s="23" t="n">
        <x:f>MAX(0,MIN('Activities'!L233,324)-MAX('Activities'!K233,318))</x:f>
        <x:v>0</x:v>
      </x:c>
      <x:c r="BG233" s="23" t="n">
        <x:f>MAX(0,MIN('Activities'!L233,330)-MAX('Activities'!K233,324))</x:f>
        <x:v>0</x:v>
      </x:c>
      <x:c r="BH233" s="23" t="n">
        <x:f>MAX(0,MIN('Activities'!L233,336)-MAX('Activities'!K233,330))</x:f>
        <x:v>0</x:v>
      </x:c>
      <x:c r="BI233" s="23" t="n">
        <x:f>MAX(0,MIN('Activities'!L233,342)-MAX('Activities'!K233,336))</x:f>
        <x:v>0</x:v>
      </x:c>
      <x:c r="BJ233" s="23" t="n">
        <x:f>MAX(0,MIN('Activities'!L233,348)-MAX('Activities'!K233,342))</x:f>
        <x:v>0</x:v>
      </x:c>
      <x:c r="BK233" s="23" t="n">
        <x:f>MAX(0,MIN('Activities'!L233,354)-MAX('Activities'!K233,348))</x:f>
        <x:v>0</x:v>
      </x:c>
      <x:c r="BL233" s="23" t="n">
        <x:f>MAX(0,MIN('Activities'!L233,360)-MAX('Activities'!K233,354))</x:f>
        <x:v>0</x:v>
      </x:c>
      <x:c r="BM233" s="23" t="n">
        <x:f>MAX(0,MIN('Activities'!L233,366)-MAX('Activities'!K233,360))</x:f>
        <x:v>0</x:v>
      </x:c>
      <x:c r="BN233" s="23" t="n">
        <x:f>MAX(0,MIN('Activities'!L233,372)-MAX('Activities'!K233,366))</x:f>
        <x:v>0</x:v>
      </x:c>
      <x:c r="BO233" s="23" t="n">
        <x:f>MAX(0,MIN('Activities'!L233,378)-MAX('Activities'!K233,372))</x:f>
        <x:v>0</x:v>
      </x:c>
      <x:c r="BP233" s="23" t="n">
        <x:f>MAX(0,MIN('Activities'!L233,384)-MAX('Activities'!K233,378))</x:f>
        <x:v>0</x:v>
      </x:c>
      <x:c r="BQ233" s="23" t="n">
        <x:f>MAX(0,MIN('Activities'!L233,390)-MAX('Activities'!K233,384))</x:f>
        <x:v>0</x:v>
      </x:c>
      <x:c r="BR233" s="23" t="n">
        <x:f>MAX(0,MIN('Activities'!L233,396)-MAX('Activities'!K233,390))</x:f>
        <x:v>0</x:v>
      </x:c>
      <x:c r="BS233" s="23" t="n">
        <x:f>MAX(0,MIN('Activities'!L233,402)-MAX('Activities'!K233,396))</x:f>
        <x:v>0</x:v>
      </x:c>
      <x:c r="BT233" s="23" t="n">
        <x:f>MAX(0,MIN('Activities'!L233,408)-MAX('Activities'!K233,402))</x:f>
        <x:v>0</x:v>
      </x:c>
      <x:c r="BU233" s="23" t="n">
        <x:f>MAX(0,MIN('Activities'!L233,414)-MAX('Activities'!K233,408))</x:f>
        <x:v>0</x:v>
      </x:c>
      <x:c r="BV233" s="23" t="n">
        <x:f>MAX(0,MIN('Activities'!L233,420)-MAX('Activities'!K233,414))</x:f>
        <x:v>0</x:v>
      </x:c>
      <x:c r="BW233" s="23" t="n">
        <x:f>MAX(0,MIN('Activities'!L233,426)-MAX('Activities'!K233,420))</x:f>
        <x:v>0</x:v>
      </x:c>
      <x:c r="BX233" s="23" t="n">
        <x:f>MAX(0,MIN('Activities'!L233,432)-MAX('Activities'!K233,426))</x:f>
        <x:v>3</x:v>
      </x:c>
      <x:c r="BY233" s="23" t="n">
        <x:f>MAX(0,MIN('Activities'!L233,438)-MAX('Activities'!K233,432))</x:f>
        <x:v>0</x:v>
      </x:c>
      <x:c r="BZ233" s="23" t="n">
        <x:f>MAX(0,MIN('Activities'!L233,444)-MAX('Activities'!K233,438))</x:f>
        <x:v>0</x:v>
      </x:c>
      <x:c r="CA233" s="23" t="n">
        <x:f>MAX(0,MIN('Activities'!L233,450)-MAX('Activities'!K233,444))</x:f>
        <x:v>0</x:v>
      </x:c>
      <x:c r="CB233" s="23" t="n">
        <x:f>MAX(0,MIN('Activities'!L233,456)-MAX('Activities'!K233,450))</x:f>
        <x:v>0</x:v>
      </x:c>
      <x:c r="CC233" s="23" t="n">
        <x:f>MAX(0,MIN('Activities'!L233,462)-MAX('Activities'!K233,456))</x:f>
        <x:v>0</x:v>
      </x:c>
      <x:c r="CD233" s="23" t="n">
        <x:f>MAX(0,MIN('Activities'!L233,468)-MAX('Activities'!K233,462))</x:f>
        <x:v>0</x:v>
      </x:c>
      <x:c r="CE233" s="23" t="n">
        <x:f>MAX(0,MIN('Activities'!L233,474)-MAX('Activities'!K233,468))</x:f>
        <x:v>0</x:v>
      </x:c>
      <x:c r="CF233" s="23" t="n">
        <x:f>MAX(0,MIN('Activities'!L233,480)-MAX('Activities'!K233,474))</x:f>
        <x:v>0</x:v>
      </x:c>
      <x:c r="CG233" s="23" t="n">
        <x:f>MAX(0,MIN('Activities'!L233,486)-MAX('Activities'!K233,480))</x:f>
        <x:v>0</x:v>
      </x:c>
      <x:c r="CH233" s="23" t="n">
        <x:f>MAX(0,MIN('Activities'!L233,492)-MAX('Activities'!K233,486))</x:f>
        <x:v>0</x:v>
      </x:c>
      <x:c r="CI233" s="23" t="n">
        <x:f>MAX(0,MIN('Activities'!L233,498)-MAX('Activities'!K233,492))</x:f>
        <x:v>0</x:v>
      </x:c>
      <x:c r="CJ233" s="23" t="n">
        <x:f>MAX(0,MIN('Activities'!L233,504)-MAX('Activities'!K233,498))</x:f>
        <x:v>0</x:v>
      </x:c>
      <x:c r="CK233" s="23" t="n">
        <x:f>MAX(0,MIN('Activities'!L233,510)-MAX('Activities'!K233,504))</x:f>
        <x:v>0</x:v>
      </x:c>
      <x:c r="CL233" s="23" t="n">
        <x:f>MAX(0,MIN('Activities'!L233,516)-MAX('Activities'!K233,510))</x:f>
        <x:v>0</x:v>
      </x:c>
      <x:c r="CM233" s="23" t="n">
        <x:f>MAX(0,MIN('Activities'!L233,522)-MAX('Activities'!K233,516))</x:f>
        <x:v>0</x:v>
      </x:c>
      <x:c r="CN233" s="23" t="n">
        <x:f>MAX(0,MIN('Activities'!L233,528)-MAX('Activities'!K233,522))</x:f>
        <x:v>0</x:v>
      </x:c>
      <x:c r="CO233" s="23" t="n">
        <x:f>MAX(0,MIN('Activities'!L233,534)-MAX('Activities'!K233,528))</x:f>
        <x:v>0</x:v>
      </x:c>
      <x:c r="CP233" s="23" t="n">
        <x:f>MAX(0,MIN('Activities'!L233,540)-MAX('Activities'!K233,534))</x:f>
        <x:v>0</x:v>
      </x:c>
      <x:c r="CQ233" s="23" t="n">
        <x:f>MAX(0,MIN('Activities'!L233,546)-MAX('Activities'!K233,540))</x:f>
        <x:v>0</x:v>
      </x:c>
      <x:c r="CR233" s="23" t="n">
        <x:f>MAX(0,MIN('Activities'!L233,552)-MAX('Activities'!K233,546))</x:f>
        <x:v>0</x:v>
      </x:c>
      <x:c r="CS233" s="23" t="n">
        <x:f>MAX(0,MIN('Activities'!L233,558)-MAX('Activities'!K233,552))</x:f>
        <x:v>0</x:v>
      </x:c>
      <x:c r="CT233" s="23" t="n">
        <x:f>MAX(0,MIN('Activities'!L233,564)-MAX('Activities'!K233,558))</x:f>
        <x:v>0</x:v>
      </x:c>
      <x:c r="CU233" s="23" t="n">
        <x:f>MAX(0,MIN('Activities'!L233,570)-MAX('Activities'!K233,564))</x:f>
        <x:v>0</x:v>
      </x:c>
      <x:c r="CV233" s="23" t="n">
        <x:f>MAX(0,MIN('Activities'!L233,576)-MAX('Activities'!K233,570))</x:f>
        <x:v>0</x:v>
      </x:c>
      <x:c r="CW233" s="23" t="n">
        <x:f>MAX(0,MIN('Activities'!L233,582)-MAX('Activities'!K233,576))</x:f>
        <x:v>0</x:v>
      </x:c>
      <x:c r="CX233" s="23" t="n">
        <x:f>MAX(0,MIN('Activities'!L233,588)-MAX('Activities'!K233,582))</x:f>
        <x:v>0</x:v>
      </x:c>
      <x:c r="CY233" s="23" t="n">
        <x:f>MAX(0,MIN('Activities'!L233,594)-MAX('Activities'!K233,588))</x:f>
        <x:v>0</x:v>
      </x:c>
      <x:c r="CZ233" s="23" t="n">
        <x:f>MAX(0,MIN('Activities'!L233,600)-MAX('Activities'!K233,594))</x:f>
        <x:v>0</x:v>
      </x:c>
      <x:c r="DA233" s="23" t="n">
        <x:f>MAX(0,MIN('Activities'!L233,606)-MAX('Activities'!K233,600))</x:f>
        <x:v>0</x:v>
      </x:c>
      <x:c r="DB233" s="23" t="n">
        <x:f>MAX(0,MIN('Activities'!L233,612)-MAX('Activities'!K233,606))</x:f>
        <x:v>0</x:v>
      </x:c>
      <x:c r="DC233" s="23" t="n">
        <x:f>MAX(0,MIN('Activities'!L233,618)-MAX('Activities'!K233,612))</x:f>
        <x:v>0</x:v>
      </x:c>
      <x:c r="DD233" s="23" t="n">
        <x:f>MAX(0,MIN('Activities'!L233,624)-MAX('Activities'!K233,618))</x:f>
        <x:v>0</x:v>
      </x:c>
      <x:c r="DE233" s="23" t="n">
        <x:f>MAX(0,MIN('Activities'!L233,630)-MAX('Activities'!K233,624))</x:f>
        <x:v>0</x:v>
      </x:c>
      <x:c r="DF233" s="23" t="n">
        <x:f>MAX(0,MIN('Activities'!L233,636)-MAX('Activities'!K233,630))</x:f>
        <x:v>0</x:v>
      </x:c>
    </x:row>
    <x:row r="234" ht="23" customHeight="1">
      <x:c r="A234" s="6" t="str">
        <x:v>T2-L05-M</x:v>
      </x:c>
      <x:c r="B234" s="6" t="str">
        <x:v>T2</x:v>
      </x:c>
      <x:c r="C234" s="6" t="str">
        <x:v>Partition masonry</x:v>
      </x:c>
      <x:c r="D234" s="6" t="str">
        <x:v>Masonry</x:v>
      </x:c>
      <x:c r="E234" s="22" t="n">
        <x:f>MAX(0,MIN('Activities'!L234,6)-MAX('Activities'!K234,0))</x:f>
        <x:v>0</x:v>
      </x:c>
      <x:c r="F234" s="22" t="n">
        <x:f>MAX(0,MIN('Activities'!L234,12)-MAX('Activities'!K234,6))</x:f>
        <x:v>0</x:v>
      </x:c>
      <x:c r="G234" s="22" t="n">
        <x:f>MAX(0,MIN('Activities'!L234,18)-MAX('Activities'!K234,12))</x:f>
        <x:v>0</x:v>
      </x:c>
      <x:c r="H234" s="22" t="n">
        <x:f>MAX(0,MIN('Activities'!L234,24)-MAX('Activities'!K234,18))</x:f>
        <x:v>0</x:v>
      </x:c>
      <x:c r="I234" s="22" t="n">
        <x:f>MAX(0,MIN('Activities'!L234,30)-MAX('Activities'!K234,24))</x:f>
        <x:v>0</x:v>
      </x:c>
      <x:c r="J234" s="22" t="n">
        <x:f>MAX(0,MIN('Activities'!L234,36)-MAX('Activities'!K234,30))</x:f>
        <x:v>0</x:v>
      </x:c>
      <x:c r="K234" s="22" t="n">
        <x:f>MAX(0,MIN('Activities'!L234,42)-MAX('Activities'!K234,36))</x:f>
        <x:v>0</x:v>
      </x:c>
      <x:c r="L234" s="22" t="n">
        <x:f>MAX(0,MIN('Activities'!L234,48)-MAX('Activities'!K234,42))</x:f>
        <x:v>0</x:v>
      </x:c>
      <x:c r="M234" s="22" t="n">
        <x:f>MAX(0,MIN('Activities'!L234,54)-MAX('Activities'!K234,48))</x:f>
        <x:v>0</x:v>
      </x:c>
      <x:c r="N234" s="22" t="n">
        <x:f>MAX(0,MIN('Activities'!L234,60)-MAX('Activities'!K234,54))</x:f>
        <x:v>0</x:v>
      </x:c>
      <x:c r="O234" s="22" t="n">
        <x:f>MAX(0,MIN('Activities'!L234,66)-MAX('Activities'!K234,60))</x:f>
        <x:v>0</x:v>
      </x:c>
      <x:c r="P234" s="22" t="n">
        <x:f>MAX(0,MIN('Activities'!L234,72)-MAX('Activities'!K234,66))</x:f>
        <x:v>0</x:v>
      </x:c>
      <x:c r="Q234" s="22" t="n">
        <x:f>MAX(0,MIN('Activities'!L234,78)-MAX('Activities'!K234,72))</x:f>
        <x:v>0</x:v>
      </x:c>
      <x:c r="R234" s="22" t="n">
        <x:f>MAX(0,MIN('Activities'!L234,84)-MAX('Activities'!K234,78))</x:f>
        <x:v>0</x:v>
      </x:c>
      <x:c r="S234" s="22" t="n">
        <x:f>MAX(0,MIN('Activities'!L234,90)-MAX('Activities'!K234,84))</x:f>
        <x:v>0</x:v>
      </x:c>
      <x:c r="T234" s="22" t="n">
        <x:f>MAX(0,MIN('Activities'!L234,96)-MAX('Activities'!K234,90))</x:f>
        <x:v>0</x:v>
      </x:c>
      <x:c r="U234" s="22" t="n">
        <x:f>MAX(0,MIN('Activities'!L234,102)-MAX('Activities'!K234,96))</x:f>
        <x:v>0</x:v>
      </x:c>
      <x:c r="V234" s="22" t="n">
        <x:f>MAX(0,MIN('Activities'!L234,108)-MAX('Activities'!K234,102))</x:f>
        <x:v>0</x:v>
      </x:c>
      <x:c r="W234" s="22" t="n">
        <x:f>MAX(0,MIN('Activities'!L234,114)-MAX('Activities'!K234,108))</x:f>
        <x:v>0</x:v>
      </x:c>
      <x:c r="X234" s="22" t="n">
        <x:f>MAX(0,MIN('Activities'!L234,120)-MAX('Activities'!K234,114))</x:f>
        <x:v>0</x:v>
      </x:c>
      <x:c r="Y234" s="22" t="n">
        <x:f>MAX(0,MIN('Activities'!L234,126)-MAX('Activities'!K234,120))</x:f>
        <x:v>0</x:v>
      </x:c>
      <x:c r="Z234" s="22" t="n">
        <x:f>MAX(0,MIN('Activities'!L234,132)-MAX('Activities'!K234,126))</x:f>
        <x:v>0</x:v>
      </x:c>
      <x:c r="AA234" s="22" t="n">
        <x:f>MAX(0,MIN('Activities'!L234,138)-MAX('Activities'!K234,132))</x:f>
        <x:v>0</x:v>
      </x:c>
      <x:c r="AB234" s="22" t="n">
        <x:f>MAX(0,MIN('Activities'!L234,144)-MAX('Activities'!K234,138))</x:f>
        <x:v>0</x:v>
      </x:c>
      <x:c r="AC234" s="22" t="n">
        <x:f>MAX(0,MIN('Activities'!L234,150)-MAX('Activities'!K234,144))</x:f>
        <x:v>0</x:v>
      </x:c>
      <x:c r="AD234" s="22" t="n">
        <x:f>MAX(0,MIN('Activities'!L234,156)-MAX('Activities'!K234,150))</x:f>
        <x:v>0</x:v>
      </x:c>
      <x:c r="AE234" s="22" t="n">
        <x:f>MAX(0,MIN('Activities'!L234,162)-MAX('Activities'!K234,156))</x:f>
        <x:v>0</x:v>
      </x:c>
      <x:c r="AF234" s="22" t="n">
        <x:f>MAX(0,MIN('Activities'!L234,168)-MAX('Activities'!K234,162))</x:f>
        <x:v>0</x:v>
      </x:c>
      <x:c r="AG234" s="22" t="n">
        <x:f>MAX(0,MIN('Activities'!L234,174)-MAX('Activities'!K234,168))</x:f>
        <x:v>0</x:v>
      </x:c>
      <x:c r="AH234" s="22" t="n">
        <x:f>MAX(0,MIN('Activities'!L234,180)-MAX('Activities'!K234,174))</x:f>
        <x:v>0</x:v>
      </x:c>
      <x:c r="AI234" s="22" t="n">
        <x:f>MAX(0,MIN('Activities'!L234,186)-MAX('Activities'!K234,180))</x:f>
        <x:v>0</x:v>
      </x:c>
      <x:c r="AJ234" s="22" t="n">
        <x:f>MAX(0,MIN('Activities'!L234,192)-MAX('Activities'!K234,186))</x:f>
        <x:v>0</x:v>
      </x:c>
      <x:c r="AK234" s="22" t="n">
        <x:f>MAX(0,MIN('Activities'!L234,198)-MAX('Activities'!K234,192))</x:f>
        <x:v>0</x:v>
      </x:c>
      <x:c r="AL234" s="22" t="n">
        <x:f>MAX(0,MIN('Activities'!L234,204)-MAX('Activities'!K234,198))</x:f>
        <x:v>0</x:v>
      </x:c>
      <x:c r="AM234" s="22" t="n">
        <x:f>MAX(0,MIN('Activities'!L234,210)-MAX('Activities'!K234,204))</x:f>
        <x:v>0</x:v>
      </x:c>
      <x:c r="AN234" s="22" t="n">
        <x:f>MAX(0,MIN('Activities'!L234,216)-MAX('Activities'!K234,210))</x:f>
        <x:v>0</x:v>
      </x:c>
      <x:c r="AO234" s="22" t="n">
        <x:f>MAX(0,MIN('Activities'!L234,222)-MAX('Activities'!K234,216))</x:f>
        <x:v>0</x:v>
      </x:c>
      <x:c r="AP234" s="22" t="n">
        <x:f>MAX(0,MIN('Activities'!L234,228)-MAX('Activities'!K234,222))</x:f>
        <x:v>0</x:v>
      </x:c>
      <x:c r="AQ234" s="22" t="n">
        <x:f>MAX(0,MIN('Activities'!L234,234)-MAX('Activities'!K234,228))</x:f>
        <x:v>0</x:v>
      </x:c>
      <x:c r="AR234" s="22" t="n">
        <x:f>MAX(0,MIN('Activities'!L234,240)-MAX('Activities'!K234,234))</x:f>
        <x:v>0</x:v>
      </x:c>
      <x:c r="AS234" s="22" t="n">
        <x:f>MAX(0,MIN('Activities'!L234,246)-MAX('Activities'!K234,240))</x:f>
        <x:v>0</x:v>
      </x:c>
      <x:c r="AT234" s="22" t="n">
        <x:f>MAX(0,MIN('Activities'!L234,252)-MAX('Activities'!K234,246))</x:f>
        <x:v>0</x:v>
      </x:c>
      <x:c r="AU234" s="22" t="n">
        <x:f>MAX(0,MIN('Activities'!L234,258)-MAX('Activities'!K234,252))</x:f>
        <x:v>0</x:v>
      </x:c>
      <x:c r="AV234" s="22" t="n">
        <x:f>MAX(0,MIN('Activities'!L234,264)-MAX('Activities'!K234,258))</x:f>
        <x:v>0</x:v>
      </x:c>
      <x:c r="AW234" s="22" t="n">
        <x:f>MAX(0,MIN('Activities'!L234,270)-MAX('Activities'!K234,264))</x:f>
        <x:v>0</x:v>
      </x:c>
      <x:c r="AX234" s="22" t="n">
        <x:f>MAX(0,MIN('Activities'!L234,276)-MAX('Activities'!K234,270))</x:f>
        <x:v>0</x:v>
      </x:c>
      <x:c r="AY234" s="22" t="n">
        <x:f>MAX(0,MIN('Activities'!L234,282)-MAX('Activities'!K234,276))</x:f>
        <x:v>0</x:v>
      </x:c>
      <x:c r="AZ234" s="22" t="n">
        <x:f>MAX(0,MIN('Activities'!L234,288)-MAX('Activities'!K234,282))</x:f>
        <x:v>0</x:v>
      </x:c>
      <x:c r="BA234" s="22" t="n">
        <x:f>MAX(0,MIN('Activities'!L234,294)-MAX('Activities'!K234,288))</x:f>
        <x:v>0</x:v>
      </x:c>
      <x:c r="BB234" s="22" t="n">
        <x:f>MAX(0,MIN('Activities'!L234,300)-MAX('Activities'!K234,294))</x:f>
        <x:v>0</x:v>
      </x:c>
      <x:c r="BC234" s="22" t="n">
        <x:f>MAX(0,MIN('Activities'!L234,306)-MAX('Activities'!K234,300))</x:f>
        <x:v>0</x:v>
      </x:c>
      <x:c r="BD234" s="22" t="n">
        <x:f>MAX(0,MIN('Activities'!L234,312)-MAX('Activities'!K234,306))</x:f>
        <x:v>0</x:v>
      </x:c>
      <x:c r="BE234" s="22" t="n">
        <x:f>MAX(0,MIN('Activities'!L234,318)-MAX('Activities'!K234,312))</x:f>
        <x:v>5</x:v>
      </x:c>
      <x:c r="BF234" s="22" t="n">
        <x:f>MAX(0,MIN('Activities'!L234,324)-MAX('Activities'!K234,318))</x:f>
        <x:v>0</x:v>
      </x:c>
      <x:c r="BG234" s="22" t="n">
        <x:f>MAX(0,MIN('Activities'!L234,330)-MAX('Activities'!K234,324))</x:f>
        <x:v>0</x:v>
      </x:c>
      <x:c r="BH234" s="22" t="n">
        <x:f>MAX(0,MIN('Activities'!L234,336)-MAX('Activities'!K234,330))</x:f>
        <x:v>0</x:v>
      </x:c>
      <x:c r="BI234" s="22" t="n">
        <x:f>MAX(0,MIN('Activities'!L234,342)-MAX('Activities'!K234,336))</x:f>
        <x:v>0</x:v>
      </x:c>
      <x:c r="BJ234" s="22" t="n">
        <x:f>MAX(0,MIN('Activities'!L234,348)-MAX('Activities'!K234,342))</x:f>
        <x:v>0</x:v>
      </x:c>
      <x:c r="BK234" s="22" t="n">
        <x:f>MAX(0,MIN('Activities'!L234,354)-MAX('Activities'!K234,348))</x:f>
        <x:v>0</x:v>
      </x:c>
      <x:c r="BL234" s="22" t="n">
        <x:f>MAX(0,MIN('Activities'!L234,360)-MAX('Activities'!K234,354))</x:f>
        <x:v>0</x:v>
      </x:c>
      <x:c r="BM234" s="22" t="n">
        <x:f>MAX(0,MIN('Activities'!L234,366)-MAX('Activities'!K234,360))</x:f>
        <x:v>0</x:v>
      </x:c>
      <x:c r="BN234" s="22" t="n">
        <x:f>MAX(0,MIN('Activities'!L234,372)-MAX('Activities'!K234,366))</x:f>
        <x:v>0</x:v>
      </x:c>
      <x:c r="BO234" s="22" t="n">
        <x:f>MAX(0,MIN('Activities'!L234,378)-MAX('Activities'!K234,372))</x:f>
        <x:v>0</x:v>
      </x:c>
      <x:c r="BP234" s="22" t="n">
        <x:f>MAX(0,MIN('Activities'!L234,384)-MAX('Activities'!K234,378))</x:f>
        <x:v>0</x:v>
      </x:c>
      <x:c r="BQ234" s="22" t="n">
        <x:f>MAX(0,MIN('Activities'!L234,390)-MAX('Activities'!K234,384))</x:f>
        <x:v>0</x:v>
      </x:c>
      <x:c r="BR234" s="22" t="n">
        <x:f>MAX(0,MIN('Activities'!L234,396)-MAX('Activities'!K234,390))</x:f>
        <x:v>0</x:v>
      </x:c>
      <x:c r="BS234" s="22" t="n">
        <x:f>MAX(0,MIN('Activities'!L234,402)-MAX('Activities'!K234,396))</x:f>
        <x:v>0</x:v>
      </x:c>
      <x:c r="BT234" s="22" t="n">
        <x:f>MAX(0,MIN('Activities'!L234,408)-MAX('Activities'!K234,402))</x:f>
        <x:v>0</x:v>
      </x:c>
      <x:c r="BU234" s="22" t="n">
        <x:f>MAX(0,MIN('Activities'!L234,414)-MAX('Activities'!K234,408))</x:f>
        <x:v>0</x:v>
      </x:c>
      <x:c r="BV234" s="22" t="n">
        <x:f>MAX(0,MIN('Activities'!L234,420)-MAX('Activities'!K234,414))</x:f>
        <x:v>0</x:v>
      </x:c>
      <x:c r="BW234" s="22" t="n">
        <x:f>MAX(0,MIN('Activities'!L234,426)-MAX('Activities'!K234,420))</x:f>
        <x:v>0</x:v>
      </x:c>
      <x:c r="BX234" s="22" t="n">
        <x:f>MAX(0,MIN('Activities'!L234,432)-MAX('Activities'!K234,426))</x:f>
        <x:v>0</x:v>
      </x:c>
      <x:c r="BY234" s="22" t="n">
        <x:f>MAX(0,MIN('Activities'!L234,438)-MAX('Activities'!K234,432))</x:f>
        <x:v>0</x:v>
      </x:c>
      <x:c r="BZ234" s="22" t="n">
        <x:f>MAX(0,MIN('Activities'!L234,444)-MAX('Activities'!K234,438))</x:f>
        <x:v>0</x:v>
      </x:c>
      <x:c r="CA234" s="22" t="n">
        <x:f>MAX(0,MIN('Activities'!L234,450)-MAX('Activities'!K234,444))</x:f>
        <x:v>0</x:v>
      </x:c>
      <x:c r="CB234" s="22" t="n">
        <x:f>MAX(0,MIN('Activities'!L234,456)-MAX('Activities'!K234,450))</x:f>
        <x:v>0</x:v>
      </x:c>
      <x:c r="CC234" s="22" t="n">
        <x:f>MAX(0,MIN('Activities'!L234,462)-MAX('Activities'!K234,456))</x:f>
        <x:v>0</x:v>
      </x:c>
      <x:c r="CD234" s="22" t="n">
        <x:f>MAX(0,MIN('Activities'!L234,468)-MAX('Activities'!K234,462))</x:f>
        <x:v>0</x:v>
      </x:c>
      <x:c r="CE234" s="22" t="n">
        <x:f>MAX(0,MIN('Activities'!L234,474)-MAX('Activities'!K234,468))</x:f>
        <x:v>0</x:v>
      </x:c>
      <x:c r="CF234" s="22" t="n">
        <x:f>MAX(0,MIN('Activities'!L234,480)-MAX('Activities'!K234,474))</x:f>
        <x:v>0</x:v>
      </x:c>
      <x:c r="CG234" s="22" t="n">
        <x:f>MAX(0,MIN('Activities'!L234,486)-MAX('Activities'!K234,480))</x:f>
        <x:v>0</x:v>
      </x:c>
      <x:c r="CH234" s="22" t="n">
        <x:f>MAX(0,MIN('Activities'!L234,492)-MAX('Activities'!K234,486))</x:f>
        <x:v>0</x:v>
      </x:c>
      <x:c r="CI234" s="22" t="n">
        <x:f>MAX(0,MIN('Activities'!L234,498)-MAX('Activities'!K234,492))</x:f>
        <x:v>0</x:v>
      </x:c>
      <x:c r="CJ234" s="22" t="n">
        <x:f>MAX(0,MIN('Activities'!L234,504)-MAX('Activities'!K234,498))</x:f>
        <x:v>0</x:v>
      </x:c>
      <x:c r="CK234" s="22" t="n">
        <x:f>MAX(0,MIN('Activities'!L234,510)-MAX('Activities'!K234,504))</x:f>
        <x:v>0</x:v>
      </x:c>
      <x:c r="CL234" s="22" t="n">
        <x:f>MAX(0,MIN('Activities'!L234,516)-MAX('Activities'!K234,510))</x:f>
        <x:v>0</x:v>
      </x:c>
      <x:c r="CM234" s="22" t="n">
        <x:f>MAX(0,MIN('Activities'!L234,522)-MAX('Activities'!K234,516))</x:f>
        <x:v>0</x:v>
      </x:c>
      <x:c r="CN234" s="22" t="n">
        <x:f>MAX(0,MIN('Activities'!L234,528)-MAX('Activities'!K234,522))</x:f>
        <x:v>0</x:v>
      </x:c>
      <x:c r="CO234" s="22" t="n">
        <x:f>MAX(0,MIN('Activities'!L234,534)-MAX('Activities'!K234,528))</x:f>
        <x:v>0</x:v>
      </x:c>
      <x:c r="CP234" s="22" t="n">
        <x:f>MAX(0,MIN('Activities'!L234,540)-MAX('Activities'!K234,534))</x:f>
        <x:v>0</x:v>
      </x:c>
      <x:c r="CQ234" s="22" t="n">
        <x:f>MAX(0,MIN('Activities'!L234,546)-MAX('Activities'!K234,540))</x:f>
        <x:v>0</x:v>
      </x:c>
      <x:c r="CR234" s="22" t="n">
        <x:f>MAX(0,MIN('Activities'!L234,552)-MAX('Activities'!K234,546))</x:f>
        <x:v>0</x:v>
      </x:c>
      <x:c r="CS234" s="22" t="n">
        <x:f>MAX(0,MIN('Activities'!L234,558)-MAX('Activities'!K234,552))</x:f>
        <x:v>0</x:v>
      </x:c>
      <x:c r="CT234" s="22" t="n">
        <x:f>MAX(0,MIN('Activities'!L234,564)-MAX('Activities'!K234,558))</x:f>
        <x:v>0</x:v>
      </x:c>
      <x:c r="CU234" s="22" t="n">
        <x:f>MAX(0,MIN('Activities'!L234,570)-MAX('Activities'!K234,564))</x:f>
        <x:v>0</x:v>
      </x:c>
      <x:c r="CV234" s="22" t="n">
        <x:f>MAX(0,MIN('Activities'!L234,576)-MAX('Activities'!K234,570))</x:f>
        <x:v>0</x:v>
      </x:c>
      <x:c r="CW234" s="22" t="n">
        <x:f>MAX(0,MIN('Activities'!L234,582)-MAX('Activities'!K234,576))</x:f>
        <x:v>0</x:v>
      </x:c>
      <x:c r="CX234" s="22" t="n">
        <x:f>MAX(0,MIN('Activities'!L234,588)-MAX('Activities'!K234,582))</x:f>
        <x:v>0</x:v>
      </x:c>
      <x:c r="CY234" s="22" t="n">
        <x:f>MAX(0,MIN('Activities'!L234,594)-MAX('Activities'!K234,588))</x:f>
        <x:v>0</x:v>
      </x:c>
      <x:c r="CZ234" s="22" t="n">
        <x:f>MAX(0,MIN('Activities'!L234,600)-MAX('Activities'!K234,594))</x:f>
        <x:v>0</x:v>
      </x:c>
      <x:c r="DA234" s="22" t="n">
        <x:f>MAX(0,MIN('Activities'!L234,606)-MAX('Activities'!K234,600))</x:f>
        <x:v>0</x:v>
      </x:c>
      <x:c r="DB234" s="22" t="n">
        <x:f>MAX(0,MIN('Activities'!L234,612)-MAX('Activities'!K234,606))</x:f>
        <x:v>0</x:v>
      </x:c>
      <x:c r="DC234" s="22" t="n">
        <x:f>MAX(0,MIN('Activities'!L234,618)-MAX('Activities'!K234,612))</x:f>
        <x:v>0</x:v>
      </x:c>
      <x:c r="DD234" s="22" t="n">
        <x:f>MAX(0,MIN('Activities'!L234,624)-MAX('Activities'!K234,618))</x:f>
        <x:v>0</x:v>
      </x:c>
      <x:c r="DE234" s="22" t="n">
        <x:f>MAX(0,MIN('Activities'!L234,630)-MAX('Activities'!K234,624))</x:f>
        <x:v>0</x:v>
      </x:c>
      <x:c r="DF234" s="22" t="n">
        <x:f>MAX(0,MIN('Activities'!L234,636)-MAX('Activities'!K234,630))</x:f>
        <x:v>0</x:v>
      </x:c>
    </x:row>
    <x:row r="235" ht="23" customHeight="1">
      <x:c r="A235" s="1" t="str">
        <x:v>T2-L05-P</x:v>
      </x:c>
      <x:c r="B235" s="1" t="str">
        <x:v>T2</x:v>
      </x:c>
      <x:c r="C235" s="1" t="str">
        <x:v>Internal plaster</x:v>
      </x:c>
      <x:c r="D235" s="1" t="str">
        <x:v>Finishes</x:v>
      </x:c>
      <x:c r="E235" s="23" t="n">
        <x:f>MAX(0,MIN('Activities'!L235,6)-MAX('Activities'!K235,0))</x:f>
        <x:v>0</x:v>
      </x:c>
      <x:c r="F235" s="23" t="n">
        <x:f>MAX(0,MIN('Activities'!L235,12)-MAX('Activities'!K235,6))</x:f>
        <x:v>0</x:v>
      </x:c>
      <x:c r="G235" s="23" t="n">
        <x:f>MAX(0,MIN('Activities'!L235,18)-MAX('Activities'!K235,12))</x:f>
        <x:v>0</x:v>
      </x:c>
      <x:c r="H235" s="23" t="n">
        <x:f>MAX(0,MIN('Activities'!L235,24)-MAX('Activities'!K235,18))</x:f>
        <x:v>0</x:v>
      </x:c>
      <x:c r="I235" s="23" t="n">
        <x:f>MAX(0,MIN('Activities'!L235,30)-MAX('Activities'!K235,24))</x:f>
        <x:v>0</x:v>
      </x:c>
      <x:c r="J235" s="23" t="n">
        <x:f>MAX(0,MIN('Activities'!L235,36)-MAX('Activities'!K235,30))</x:f>
        <x:v>0</x:v>
      </x:c>
      <x:c r="K235" s="23" t="n">
        <x:f>MAX(0,MIN('Activities'!L235,42)-MAX('Activities'!K235,36))</x:f>
        <x:v>0</x:v>
      </x:c>
      <x:c r="L235" s="23" t="n">
        <x:f>MAX(0,MIN('Activities'!L235,48)-MAX('Activities'!K235,42))</x:f>
        <x:v>0</x:v>
      </x:c>
      <x:c r="M235" s="23" t="n">
        <x:f>MAX(0,MIN('Activities'!L235,54)-MAX('Activities'!K235,48))</x:f>
        <x:v>0</x:v>
      </x:c>
      <x:c r="N235" s="23" t="n">
        <x:f>MAX(0,MIN('Activities'!L235,60)-MAX('Activities'!K235,54))</x:f>
        <x:v>0</x:v>
      </x:c>
      <x:c r="O235" s="23" t="n">
        <x:f>MAX(0,MIN('Activities'!L235,66)-MAX('Activities'!K235,60))</x:f>
        <x:v>0</x:v>
      </x:c>
      <x:c r="P235" s="23" t="n">
        <x:f>MAX(0,MIN('Activities'!L235,72)-MAX('Activities'!K235,66))</x:f>
        <x:v>0</x:v>
      </x:c>
      <x:c r="Q235" s="23" t="n">
        <x:f>MAX(0,MIN('Activities'!L235,78)-MAX('Activities'!K235,72))</x:f>
        <x:v>0</x:v>
      </x:c>
      <x:c r="R235" s="23" t="n">
        <x:f>MAX(0,MIN('Activities'!L235,84)-MAX('Activities'!K235,78))</x:f>
        <x:v>0</x:v>
      </x:c>
      <x:c r="S235" s="23" t="n">
        <x:f>MAX(0,MIN('Activities'!L235,90)-MAX('Activities'!K235,84))</x:f>
        <x:v>0</x:v>
      </x:c>
      <x:c r="T235" s="23" t="n">
        <x:f>MAX(0,MIN('Activities'!L235,96)-MAX('Activities'!K235,90))</x:f>
        <x:v>0</x:v>
      </x:c>
      <x:c r="U235" s="23" t="n">
        <x:f>MAX(0,MIN('Activities'!L235,102)-MAX('Activities'!K235,96))</x:f>
        <x:v>0</x:v>
      </x:c>
      <x:c r="V235" s="23" t="n">
        <x:f>MAX(0,MIN('Activities'!L235,108)-MAX('Activities'!K235,102))</x:f>
        <x:v>0</x:v>
      </x:c>
      <x:c r="W235" s="23" t="n">
        <x:f>MAX(0,MIN('Activities'!L235,114)-MAX('Activities'!K235,108))</x:f>
        <x:v>0</x:v>
      </x:c>
      <x:c r="X235" s="23" t="n">
        <x:f>MAX(0,MIN('Activities'!L235,120)-MAX('Activities'!K235,114))</x:f>
        <x:v>0</x:v>
      </x:c>
      <x:c r="Y235" s="23" t="n">
        <x:f>MAX(0,MIN('Activities'!L235,126)-MAX('Activities'!K235,120))</x:f>
        <x:v>0</x:v>
      </x:c>
      <x:c r="Z235" s="23" t="n">
        <x:f>MAX(0,MIN('Activities'!L235,132)-MAX('Activities'!K235,126))</x:f>
        <x:v>0</x:v>
      </x:c>
      <x:c r="AA235" s="23" t="n">
        <x:f>MAX(0,MIN('Activities'!L235,138)-MAX('Activities'!K235,132))</x:f>
        <x:v>0</x:v>
      </x:c>
      <x:c r="AB235" s="23" t="n">
        <x:f>MAX(0,MIN('Activities'!L235,144)-MAX('Activities'!K235,138))</x:f>
        <x:v>0</x:v>
      </x:c>
      <x:c r="AC235" s="23" t="n">
        <x:f>MAX(0,MIN('Activities'!L235,150)-MAX('Activities'!K235,144))</x:f>
        <x:v>0</x:v>
      </x:c>
      <x:c r="AD235" s="23" t="n">
        <x:f>MAX(0,MIN('Activities'!L235,156)-MAX('Activities'!K235,150))</x:f>
        <x:v>0</x:v>
      </x:c>
      <x:c r="AE235" s="23" t="n">
        <x:f>MAX(0,MIN('Activities'!L235,162)-MAX('Activities'!K235,156))</x:f>
        <x:v>0</x:v>
      </x:c>
      <x:c r="AF235" s="23" t="n">
        <x:f>MAX(0,MIN('Activities'!L235,168)-MAX('Activities'!K235,162))</x:f>
        <x:v>0</x:v>
      </x:c>
      <x:c r="AG235" s="23" t="n">
        <x:f>MAX(0,MIN('Activities'!L235,174)-MAX('Activities'!K235,168))</x:f>
        <x:v>0</x:v>
      </x:c>
      <x:c r="AH235" s="23" t="n">
        <x:f>MAX(0,MIN('Activities'!L235,180)-MAX('Activities'!K235,174))</x:f>
        <x:v>0</x:v>
      </x:c>
      <x:c r="AI235" s="23" t="n">
        <x:f>MAX(0,MIN('Activities'!L235,186)-MAX('Activities'!K235,180))</x:f>
        <x:v>0</x:v>
      </x:c>
      <x:c r="AJ235" s="23" t="n">
        <x:f>MAX(0,MIN('Activities'!L235,192)-MAX('Activities'!K235,186))</x:f>
        <x:v>0</x:v>
      </x:c>
      <x:c r="AK235" s="23" t="n">
        <x:f>MAX(0,MIN('Activities'!L235,198)-MAX('Activities'!K235,192))</x:f>
        <x:v>0</x:v>
      </x:c>
      <x:c r="AL235" s="23" t="n">
        <x:f>MAX(0,MIN('Activities'!L235,204)-MAX('Activities'!K235,198))</x:f>
        <x:v>0</x:v>
      </x:c>
      <x:c r="AM235" s="23" t="n">
        <x:f>MAX(0,MIN('Activities'!L235,210)-MAX('Activities'!K235,204))</x:f>
        <x:v>0</x:v>
      </x:c>
      <x:c r="AN235" s="23" t="n">
        <x:f>MAX(0,MIN('Activities'!L235,216)-MAX('Activities'!K235,210))</x:f>
        <x:v>0</x:v>
      </x:c>
      <x:c r="AO235" s="23" t="n">
        <x:f>MAX(0,MIN('Activities'!L235,222)-MAX('Activities'!K235,216))</x:f>
        <x:v>0</x:v>
      </x:c>
      <x:c r="AP235" s="23" t="n">
        <x:f>MAX(0,MIN('Activities'!L235,228)-MAX('Activities'!K235,222))</x:f>
        <x:v>0</x:v>
      </x:c>
      <x:c r="AQ235" s="23" t="n">
        <x:f>MAX(0,MIN('Activities'!L235,234)-MAX('Activities'!K235,228))</x:f>
        <x:v>0</x:v>
      </x:c>
      <x:c r="AR235" s="23" t="n">
        <x:f>MAX(0,MIN('Activities'!L235,240)-MAX('Activities'!K235,234))</x:f>
        <x:v>0</x:v>
      </x:c>
      <x:c r="AS235" s="23" t="n">
        <x:f>MAX(0,MIN('Activities'!L235,246)-MAX('Activities'!K235,240))</x:f>
        <x:v>0</x:v>
      </x:c>
      <x:c r="AT235" s="23" t="n">
        <x:f>MAX(0,MIN('Activities'!L235,252)-MAX('Activities'!K235,246))</x:f>
        <x:v>0</x:v>
      </x:c>
      <x:c r="AU235" s="23" t="n">
        <x:f>MAX(0,MIN('Activities'!L235,258)-MAX('Activities'!K235,252))</x:f>
        <x:v>0</x:v>
      </x:c>
      <x:c r="AV235" s="23" t="n">
        <x:f>MAX(0,MIN('Activities'!L235,264)-MAX('Activities'!K235,258))</x:f>
        <x:v>0</x:v>
      </x:c>
      <x:c r="AW235" s="23" t="n">
        <x:f>MAX(0,MIN('Activities'!L235,270)-MAX('Activities'!K235,264))</x:f>
        <x:v>0</x:v>
      </x:c>
      <x:c r="AX235" s="23" t="n">
        <x:f>MAX(0,MIN('Activities'!L235,276)-MAX('Activities'!K235,270))</x:f>
        <x:v>0</x:v>
      </x:c>
      <x:c r="AY235" s="23" t="n">
        <x:f>MAX(0,MIN('Activities'!L235,282)-MAX('Activities'!K235,276))</x:f>
        <x:v>0</x:v>
      </x:c>
      <x:c r="AZ235" s="23" t="n">
        <x:f>MAX(0,MIN('Activities'!L235,288)-MAX('Activities'!K235,282))</x:f>
        <x:v>0</x:v>
      </x:c>
      <x:c r="BA235" s="23" t="n">
        <x:f>MAX(0,MIN('Activities'!L235,294)-MAX('Activities'!K235,288))</x:f>
        <x:v>0</x:v>
      </x:c>
      <x:c r="BB235" s="23" t="n">
        <x:f>MAX(0,MIN('Activities'!L235,300)-MAX('Activities'!K235,294))</x:f>
        <x:v>0</x:v>
      </x:c>
      <x:c r="BC235" s="23" t="n">
        <x:f>MAX(0,MIN('Activities'!L235,306)-MAX('Activities'!K235,300))</x:f>
        <x:v>0</x:v>
      </x:c>
      <x:c r="BD235" s="23" t="n">
        <x:f>MAX(0,MIN('Activities'!L235,312)-MAX('Activities'!K235,306))</x:f>
        <x:v>0</x:v>
      </x:c>
      <x:c r="BE235" s="23" t="n">
        <x:f>MAX(0,MIN('Activities'!L235,318)-MAX('Activities'!K235,312))</x:f>
        <x:v>0</x:v>
      </x:c>
      <x:c r="BF235" s="23" t="n">
        <x:f>MAX(0,MIN('Activities'!L235,324)-MAX('Activities'!K235,318))</x:f>
        <x:v>3</x:v>
      </x:c>
      <x:c r="BG235" s="23" t="n">
        <x:f>MAX(0,MIN('Activities'!L235,330)-MAX('Activities'!K235,324))</x:f>
        <x:v>3</x:v>
      </x:c>
      <x:c r="BH235" s="23" t="n">
        <x:f>MAX(0,MIN('Activities'!L235,336)-MAX('Activities'!K235,330))</x:f>
        <x:v>0</x:v>
      </x:c>
      <x:c r="BI235" s="23" t="n">
        <x:f>MAX(0,MIN('Activities'!L235,342)-MAX('Activities'!K235,336))</x:f>
        <x:v>0</x:v>
      </x:c>
      <x:c r="BJ235" s="23" t="n">
        <x:f>MAX(0,MIN('Activities'!L235,348)-MAX('Activities'!K235,342))</x:f>
        <x:v>0</x:v>
      </x:c>
      <x:c r="BK235" s="23" t="n">
        <x:f>MAX(0,MIN('Activities'!L235,354)-MAX('Activities'!K235,348))</x:f>
        <x:v>0</x:v>
      </x:c>
      <x:c r="BL235" s="23" t="n">
        <x:f>MAX(0,MIN('Activities'!L235,360)-MAX('Activities'!K235,354))</x:f>
        <x:v>0</x:v>
      </x:c>
      <x:c r="BM235" s="23" t="n">
        <x:f>MAX(0,MIN('Activities'!L235,366)-MAX('Activities'!K235,360))</x:f>
        <x:v>0</x:v>
      </x:c>
      <x:c r="BN235" s="23" t="n">
        <x:f>MAX(0,MIN('Activities'!L235,372)-MAX('Activities'!K235,366))</x:f>
        <x:v>0</x:v>
      </x:c>
      <x:c r="BO235" s="23" t="n">
        <x:f>MAX(0,MIN('Activities'!L235,378)-MAX('Activities'!K235,372))</x:f>
        <x:v>0</x:v>
      </x:c>
      <x:c r="BP235" s="23" t="n">
        <x:f>MAX(0,MIN('Activities'!L235,384)-MAX('Activities'!K235,378))</x:f>
        <x:v>0</x:v>
      </x:c>
      <x:c r="BQ235" s="23" t="n">
        <x:f>MAX(0,MIN('Activities'!L235,390)-MAX('Activities'!K235,384))</x:f>
        <x:v>0</x:v>
      </x:c>
      <x:c r="BR235" s="23" t="n">
        <x:f>MAX(0,MIN('Activities'!L235,396)-MAX('Activities'!K235,390))</x:f>
        <x:v>0</x:v>
      </x:c>
      <x:c r="BS235" s="23" t="n">
        <x:f>MAX(0,MIN('Activities'!L235,402)-MAX('Activities'!K235,396))</x:f>
        <x:v>0</x:v>
      </x:c>
      <x:c r="BT235" s="23" t="n">
        <x:f>MAX(0,MIN('Activities'!L235,408)-MAX('Activities'!K235,402))</x:f>
        <x:v>0</x:v>
      </x:c>
      <x:c r="BU235" s="23" t="n">
        <x:f>MAX(0,MIN('Activities'!L235,414)-MAX('Activities'!K235,408))</x:f>
        <x:v>0</x:v>
      </x:c>
      <x:c r="BV235" s="23" t="n">
        <x:f>MAX(0,MIN('Activities'!L235,420)-MAX('Activities'!K235,414))</x:f>
        <x:v>0</x:v>
      </x:c>
      <x:c r="BW235" s="23" t="n">
        <x:f>MAX(0,MIN('Activities'!L235,426)-MAX('Activities'!K235,420))</x:f>
        <x:v>0</x:v>
      </x:c>
      <x:c r="BX235" s="23" t="n">
        <x:f>MAX(0,MIN('Activities'!L235,432)-MAX('Activities'!K235,426))</x:f>
        <x:v>0</x:v>
      </x:c>
      <x:c r="BY235" s="23" t="n">
        <x:f>MAX(0,MIN('Activities'!L235,438)-MAX('Activities'!K235,432))</x:f>
        <x:v>0</x:v>
      </x:c>
      <x:c r="BZ235" s="23" t="n">
        <x:f>MAX(0,MIN('Activities'!L235,444)-MAX('Activities'!K235,438))</x:f>
        <x:v>0</x:v>
      </x:c>
      <x:c r="CA235" s="23" t="n">
        <x:f>MAX(0,MIN('Activities'!L235,450)-MAX('Activities'!K235,444))</x:f>
        <x:v>0</x:v>
      </x:c>
      <x:c r="CB235" s="23" t="n">
        <x:f>MAX(0,MIN('Activities'!L235,456)-MAX('Activities'!K235,450))</x:f>
        <x:v>0</x:v>
      </x:c>
      <x:c r="CC235" s="23" t="n">
        <x:f>MAX(0,MIN('Activities'!L235,462)-MAX('Activities'!K235,456))</x:f>
        <x:v>0</x:v>
      </x:c>
      <x:c r="CD235" s="23" t="n">
        <x:f>MAX(0,MIN('Activities'!L235,468)-MAX('Activities'!K235,462))</x:f>
        <x:v>0</x:v>
      </x:c>
      <x:c r="CE235" s="23" t="n">
        <x:f>MAX(0,MIN('Activities'!L235,474)-MAX('Activities'!K235,468))</x:f>
        <x:v>0</x:v>
      </x:c>
      <x:c r="CF235" s="23" t="n">
        <x:f>MAX(0,MIN('Activities'!L235,480)-MAX('Activities'!K235,474))</x:f>
        <x:v>0</x:v>
      </x:c>
      <x:c r="CG235" s="23" t="n">
        <x:f>MAX(0,MIN('Activities'!L235,486)-MAX('Activities'!K235,480))</x:f>
        <x:v>0</x:v>
      </x:c>
      <x:c r="CH235" s="23" t="n">
        <x:f>MAX(0,MIN('Activities'!L235,492)-MAX('Activities'!K235,486))</x:f>
        <x:v>0</x:v>
      </x:c>
      <x:c r="CI235" s="23" t="n">
        <x:f>MAX(0,MIN('Activities'!L235,498)-MAX('Activities'!K235,492))</x:f>
        <x:v>0</x:v>
      </x:c>
      <x:c r="CJ235" s="23" t="n">
        <x:f>MAX(0,MIN('Activities'!L235,504)-MAX('Activities'!K235,498))</x:f>
        <x:v>0</x:v>
      </x:c>
      <x:c r="CK235" s="23" t="n">
        <x:f>MAX(0,MIN('Activities'!L235,510)-MAX('Activities'!K235,504))</x:f>
        <x:v>0</x:v>
      </x:c>
      <x:c r="CL235" s="23" t="n">
        <x:f>MAX(0,MIN('Activities'!L235,516)-MAX('Activities'!K235,510))</x:f>
        <x:v>0</x:v>
      </x:c>
      <x:c r="CM235" s="23" t="n">
        <x:f>MAX(0,MIN('Activities'!L235,522)-MAX('Activities'!K235,516))</x:f>
        <x:v>0</x:v>
      </x:c>
      <x:c r="CN235" s="23" t="n">
        <x:f>MAX(0,MIN('Activities'!L235,528)-MAX('Activities'!K235,522))</x:f>
        <x:v>0</x:v>
      </x:c>
      <x:c r="CO235" s="23" t="n">
        <x:f>MAX(0,MIN('Activities'!L235,534)-MAX('Activities'!K235,528))</x:f>
        <x:v>0</x:v>
      </x:c>
      <x:c r="CP235" s="23" t="n">
        <x:f>MAX(0,MIN('Activities'!L235,540)-MAX('Activities'!K235,534))</x:f>
        <x:v>0</x:v>
      </x:c>
      <x:c r="CQ235" s="23" t="n">
        <x:f>MAX(0,MIN('Activities'!L235,546)-MAX('Activities'!K235,540))</x:f>
        <x:v>0</x:v>
      </x:c>
      <x:c r="CR235" s="23" t="n">
        <x:f>MAX(0,MIN('Activities'!L235,552)-MAX('Activities'!K235,546))</x:f>
        <x:v>0</x:v>
      </x:c>
      <x:c r="CS235" s="23" t="n">
        <x:f>MAX(0,MIN('Activities'!L235,558)-MAX('Activities'!K235,552))</x:f>
        <x:v>0</x:v>
      </x:c>
      <x:c r="CT235" s="23" t="n">
        <x:f>MAX(0,MIN('Activities'!L235,564)-MAX('Activities'!K235,558))</x:f>
        <x:v>0</x:v>
      </x:c>
      <x:c r="CU235" s="23" t="n">
        <x:f>MAX(0,MIN('Activities'!L235,570)-MAX('Activities'!K235,564))</x:f>
        <x:v>0</x:v>
      </x:c>
      <x:c r="CV235" s="23" t="n">
        <x:f>MAX(0,MIN('Activities'!L235,576)-MAX('Activities'!K235,570))</x:f>
        <x:v>0</x:v>
      </x:c>
      <x:c r="CW235" s="23" t="n">
        <x:f>MAX(0,MIN('Activities'!L235,582)-MAX('Activities'!K235,576))</x:f>
        <x:v>0</x:v>
      </x:c>
      <x:c r="CX235" s="23" t="n">
        <x:f>MAX(0,MIN('Activities'!L235,588)-MAX('Activities'!K235,582))</x:f>
        <x:v>0</x:v>
      </x:c>
      <x:c r="CY235" s="23" t="n">
        <x:f>MAX(0,MIN('Activities'!L235,594)-MAX('Activities'!K235,588))</x:f>
        <x:v>0</x:v>
      </x:c>
      <x:c r="CZ235" s="23" t="n">
        <x:f>MAX(0,MIN('Activities'!L235,600)-MAX('Activities'!K235,594))</x:f>
        <x:v>0</x:v>
      </x:c>
      <x:c r="DA235" s="23" t="n">
        <x:f>MAX(0,MIN('Activities'!L235,606)-MAX('Activities'!K235,600))</x:f>
        <x:v>0</x:v>
      </x:c>
      <x:c r="DB235" s="23" t="n">
        <x:f>MAX(0,MIN('Activities'!L235,612)-MAX('Activities'!K235,606))</x:f>
        <x:v>0</x:v>
      </x:c>
      <x:c r="DC235" s="23" t="n">
        <x:f>MAX(0,MIN('Activities'!L235,618)-MAX('Activities'!K235,612))</x:f>
        <x:v>0</x:v>
      </x:c>
      <x:c r="DD235" s="23" t="n">
        <x:f>MAX(0,MIN('Activities'!L235,624)-MAX('Activities'!K235,618))</x:f>
        <x:v>0</x:v>
      </x:c>
      <x:c r="DE235" s="23" t="n">
        <x:f>MAX(0,MIN('Activities'!L235,630)-MAX('Activities'!K235,624))</x:f>
        <x:v>0</x:v>
      </x:c>
      <x:c r="DF235" s="23" t="n">
        <x:f>MAX(0,MIN('Activities'!L235,636)-MAX('Activities'!K235,630))</x:f>
        <x:v>0</x:v>
      </x:c>
    </x:row>
    <x:row r="236" ht="23" customHeight="1">
      <x:c r="A236" s="6" t="str">
        <x:v>T2-L05-S</x:v>
      </x:c>
      <x:c r="B236" s="6" t="str">
        <x:v>T2</x:v>
      </x:c>
      <x:c r="C236" s="6" t="str">
        <x:v>Screed and substrate preparation</x:v>
      </x:c>
      <x:c r="D236" s="6" t="str">
        <x:v>Finishes</x:v>
      </x:c>
      <x:c r="E236" s="22" t="n">
        <x:f>MAX(0,MIN('Activities'!L236,6)-MAX('Activities'!K236,0))</x:f>
        <x:v>0</x:v>
      </x:c>
      <x:c r="F236" s="22" t="n">
        <x:f>MAX(0,MIN('Activities'!L236,12)-MAX('Activities'!K236,6))</x:f>
        <x:v>0</x:v>
      </x:c>
      <x:c r="G236" s="22" t="n">
        <x:f>MAX(0,MIN('Activities'!L236,18)-MAX('Activities'!K236,12))</x:f>
        <x:v>0</x:v>
      </x:c>
      <x:c r="H236" s="22" t="n">
        <x:f>MAX(0,MIN('Activities'!L236,24)-MAX('Activities'!K236,18))</x:f>
        <x:v>0</x:v>
      </x:c>
      <x:c r="I236" s="22" t="n">
        <x:f>MAX(0,MIN('Activities'!L236,30)-MAX('Activities'!K236,24))</x:f>
        <x:v>0</x:v>
      </x:c>
      <x:c r="J236" s="22" t="n">
        <x:f>MAX(0,MIN('Activities'!L236,36)-MAX('Activities'!K236,30))</x:f>
        <x:v>0</x:v>
      </x:c>
      <x:c r="K236" s="22" t="n">
        <x:f>MAX(0,MIN('Activities'!L236,42)-MAX('Activities'!K236,36))</x:f>
        <x:v>0</x:v>
      </x:c>
      <x:c r="L236" s="22" t="n">
        <x:f>MAX(0,MIN('Activities'!L236,48)-MAX('Activities'!K236,42))</x:f>
        <x:v>0</x:v>
      </x:c>
      <x:c r="M236" s="22" t="n">
        <x:f>MAX(0,MIN('Activities'!L236,54)-MAX('Activities'!K236,48))</x:f>
        <x:v>0</x:v>
      </x:c>
      <x:c r="N236" s="22" t="n">
        <x:f>MAX(0,MIN('Activities'!L236,60)-MAX('Activities'!K236,54))</x:f>
        <x:v>0</x:v>
      </x:c>
      <x:c r="O236" s="22" t="n">
        <x:f>MAX(0,MIN('Activities'!L236,66)-MAX('Activities'!K236,60))</x:f>
        <x:v>0</x:v>
      </x:c>
      <x:c r="P236" s="22" t="n">
        <x:f>MAX(0,MIN('Activities'!L236,72)-MAX('Activities'!K236,66))</x:f>
        <x:v>0</x:v>
      </x:c>
      <x:c r="Q236" s="22" t="n">
        <x:f>MAX(0,MIN('Activities'!L236,78)-MAX('Activities'!K236,72))</x:f>
        <x:v>0</x:v>
      </x:c>
      <x:c r="R236" s="22" t="n">
        <x:f>MAX(0,MIN('Activities'!L236,84)-MAX('Activities'!K236,78))</x:f>
        <x:v>0</x:v>
      </x:c>
      <x:c r="S236" s="22" t="n">
        <x:f>MAX(0,MIN('Activities'!L236,90)-MAX('Activities'!K236,84))</x:f>
        <x:v>0</x:v>
      </x:c>
      <x:c r="T236" s="22" t="n">
        <x:f>MAX(0,MIN('Activities'!L236,96)-MAX('Activities'!K236,90))</x:f>
        <x:v>0</x:v>
      </x:c>
      <x:c r="U236" s="22" t="n">
        <x:f>MAX(0,MIN('Activities'!L236,102)-MAX('Activities'!K236,96))</x:f>
        <x:v>0</x:v>
      </x:c>
      <x:c r="V236" s="22" t="n">
        <x:f>MAX(0,MIN('Activities'!L236,108)-MAX('Activities'!K236,102))</x:f>
        <x:v>0</x:v>
      </x:c>
      <x:c r="W236" s="22" t="n">
        <x:f>MAX(0,MIN('Activities'!L236,114)-MAX('Activities'!K236,108))</x:f>
        <x:v>0</x:v>
      </x:c>
      <x:c r="X236" s="22" t="n">
        <x:f>MAX(0,MIN('Activities'!L236,120)-MAX('Activities'!K236,114))</x:f>
        <x:v>0</x:v>
      </x:c>
      <x:c r="Y236" s="22" t="n">
        <x:f>MAX(0,MIN('Activities'!L236,126)-MAX('Activities'!K236,120))</x:f>
        <x:v>0</x:v>
      </x:c>
      <x:c r="Z236" s="22" t="n">
        <x:f>MAX(0,MIN('Activities'!L236,132)-MAX('Activities'!K236,126))</x:f>
        <x:v>0</x:v>
      </x:c>
      <x:c r="AA236" s="22" t="n">
        <x:f>MAX(0,MIN('Activities'!L236,138)-MAX('Activities'!K236,132))</x:f>
        <x:v>0</x:v>
      </x:c>
      <x:c r="AB236" s="22" t="n">
        <x:f>MAX(0,MIN('Activities'!L236,144)-MAX('Activities'!K236,138))</x:f>
        <x:v>0</x:v>
      </x:c>
      <x:c r="AC236" s="22" t="n">
        <x:f>MAX(0,MIN('Activities'!L236,150)-MAX('Activities'!K236,144))</x:f>
        <x:v>0</x:v>
      </x:c>
      <x:c r="AD236" s="22" t="n">
        <x:f>MAX(0,MIN('Activities'!L236,156)-MAX('Activities'!K236,150))</x:f>
        <x:v>0</x:v>
      </x:c>
      <x:c r="AE236" s="22" t="n">
        <x:f>MAX(0,MIN('Activities'!L236,162)-MAX('Activities'!K236,156))</x:f>
        <x:v>0</x:v>
      </x:c>
      <x:c r="AF236" s="22" t="n">
        <x:f>MAX(0,MIN('Activities'!L236,168)-MAX('Activities'!K236,162))</x:f>
        <x:v>0</x:v>
      </x:c>
      <x:c r="AG236" s="22" t="n">
        <x:f>MAX(0,MIN('Activities'!L236,174)-MAX('Activities'!K236,168))</x:f>
        <x:v>0</x:v>
      </x:c>
      <x:c r="AH236" s="22" t="n">
        <x:f>MAX(0,MIN('Activities'!L236,180)-MAX('Activities'!K236,174))</x:f>
        <x:v>0</x:v>
      </x:c>
      <x:c r="AI236" s="22" t="n">
        <x:f>MAX(0,MIN('Activities'!L236,186)-MAX('Activities'!K236,180))</x:f>
        <x:v>0</x:v>
      </x:c>
      <x:c r="AJ236" s="22" t="n">
        <x:f>MAX(0,MIN('Activities'!L236,192)-MAX('Activities'!K236,186))</x:f>
        <x:v>0</x:v>
      </x:c>
      <x:c r="AK236" s="22" t="n">
        <x:f>MAX(0,MIN('Activities'!L236,198)-MAX('Activities'!K236,192))</x:f>
        <x:v>0</x:v>
      </x:c>
      <x:c r="AL236" s="22" t="n">
        <x:f>MAX(0,MIN('Activities'!L236,204)-MAX('Activities'!K236,198))</x:f>
        <x:v>0</x:v>
      </x:c>
      <x:c r="AM236" s="22" t="n">
        <x:f>MAX(0,MIN('Activities'!L236,210)-MAX('Activities'!K236,204))</x:f>
        <x:v>0</x:v>
      </x:c>
      <x:c r="AN236" s="22" t="n">
        <x:f>MAX(0,MIN('Activities'!L236,216)-MAX('Activities'!K236,210))</x:f>
        <x:v>0</x:v>
      </x:c>
      <x:c r="AO236" s="22" t="n">
        <x:f>MAX(0,MIN('Activities'!L236,222)-MAX('Activities'!K236,216))</x:f>
        <x:v>0</x:v>
      </x:c>
      <x:c r="AP236" s="22" t="n">
        <x:f>MAX(0,MIN('Activities'!L236,228)-MAX('Activities'!K236,222))</x:f>
        <x:v>0</x:v>
      </x:c>
      <x:c r="AQ236" s="22" t="n">
        <x:f>MAX(0,MIN('Activities'!L236,234)-MAX('Activities'!K236,228))</x:f>
        <x:v>0</x:v>
      </x:c>
      <x:c r="AR236" s="22" t="n">
        <x:f>MAX(0,MIN('Activities'!L236,240)-MAX('Activities'!K236,234))</x:f>
        <x:v>0</x:v>
      </x:c>
      <x:c r="AS236" s="22" t="n">
        <x:f>MAX(0,MIN('Activities'!L236,246)-MAX('Activities'!K236,240))</x:f>
        <x:v>0</x:v>
      </x:c>
      <x:c r="AT236" s="22" t="n">
        <x:f>MAX(0,MIN('Activities'!L236,252)-MAX('Activities'!K236,246))</x:f>
        <x:v>0</x:v>
      </x:c>
      <x:c r="AU236" s="22" t="n">
        <x:f>MAX(0,MIN('Activities'!L236,258)-MAX('Activities'!K236,252))</x:f>
        <x:v>0</x:v>
      </x:c>
      <x:c r="AV236" s="22" t="n">
        <x:f>MAX(0,MIN('Activities'!L236,264)-MAX('Activities'!K236,258))</x:f>
        <x:v>0</x:v>
      </x:c>
      <x:c r="AW236" s="22" t="n">
        <x:f>MAX(0,MIN('Activities'!L236,270)-MAX('Activities'!K236,264))</x:f>
        <x:v>0</x:v>
      </x:c>
      <x:c r="AX236" s="22" t="n">
        <x:f>MAX(0,MIN('Activities'!L236,276)-MAX('Activities'!K236,270))</x:f>
        <x:v>0</x:v>
      </x:c>
      <x:c r="AY236" s="22" t="n">
        <x:f>MAX(0,MIN('Activities'!L236,282)-MAX('Activities'!K236,276))</x:f>
        <x:v>0</x:v>
      </x:c>
      <x:c r="AZ236" s="22" t="n">
        <x:f>MAX(0,MIN('Activities'!L236,288)-MAX('Activities'!K236,282))</x:f>
        <x:v>0</x:v>
      </x:c>
      <x:c r="BA236" s="22" t="n">
        <x:f>MAX(0,MIN('Activities'!L236,294)-MAX('Activities'!K236,288))</x:f>
        <x:v>0</x:v>
      </x:c>
      <x:c r="BB236" s="22" t="n">
        <x:f>MAX(0,MIN('Activities'!L236,300)-MAX('Activities'!K236,294))</x:f>
        <x:v>0</x:v>
      </x:c>
      <x:c r="BC236" s="22" t="n">
        <x:f>MAX(0,MIN('Activities'!L236,306)-MAX('Activities'!K236,300))</x:f>
        <x:v>0</x:v>
      </x:c>
      <x:c r="BD236" s="22" t="n">
        <x:f>MAX(0,MIN('Activities'!L236,312)-MAX('Activities'!K236,306))</x:f>
        <x:v>0</x:v>
      </x:c>
      <x:c r="BE236" s="22" t="n">
        <x:f>MAX(0,MIN('Activities'!L236,318)-MAX('Activities'!K236,312))</x:f>
        <x:v>0</x:v>
      </x:c>
      <x:c r="BF236" s="22" t="n">
        <x:f>MAX(0,MIN('Activities'!L236,324)-MAX('Activities'!K236,318))</x:f>
        <x:v>0</x:v>
      </x:c>
      <x:c r="BG236" s="22" t="n">
        <x:f>MAX(0,MIN('Activities'!L236,330)-MAX('Activities'!K236,324))</x:f>
        <x:v>1</x:v>
      </x:c>
      <x:c r="BH236" s="22" t="n">
        <x:f>MAX(0,MIN('Activities'!L236,336)-MAX('Activities'!K236,330))</x:f>
        <x:v>2</x:v>
      </x:c>
      <x:c r="BI236" s="22" t="n">
        <x:f>MAX(0,MIN('Activities'!L236,342)-MAX('Activities'!K236,336))</x:f>
        <x:v>0</x:v>
      </x:c>
      <x:c r="BJ236" s="22" t="n">
        <x:f>MAX(0,MIN('Activities'!L236,348)-MAX('Activities'!K236,342))</x:f>
        <x:v>0</x:v>
      </x:c>
      <x:c r="BK236" s="22" t="n">
        <x:f>MAX(0,MIN('Activities'!L236,354)-MAX('Activities'!K236,348))</x:f>
        <x:v>0</x:v>
      </x:c>
      <x:c r="BL236" s="22" t="n">
        <x:f>MAX(0,MIN('Activities'!L236,360)-MAX('Activities'!K236,354))</x:f>
        <x:v>0</x:v>
      </x:c>
      <x:c r="BM236" s="22" t="n">
        <x:f>MAX(0,MIN('Activities'!L236,366)-MAX('Activities'!K236,360))</x:f>
        <x:v>0</x:v>
      </x:c>
      <x:c r="BN236" s="22" t="n">
        <x:f>MAX(0,MIN('Activities'!L236,372)-MAX('Activities'!K236,366))</x:f>
        <x:v>0</x:v>
      </x:c>
      <x:c r="BO236" s="22" t="n">
        <x:f>MAX(0,MIN('Activities'!L236,378)-MAX('Activities'!K236,372))</x:f>
        <x:v>0</x:v>
      </x:c>
      <x:c r="BP236" s="22" t="n">
        <x:f>MAX(0,MIN('Activities'!L236,384)-MAX('Activities'!K236,378))</x:f>
        <x:v>0</x:v>
      </x:c>
      <x:c r="BQ236" s="22" t="n">
        <x:f>MAX(0,MIN('Activities'!L236,390)-MAX('Activities'!K236,384))</x:f>
        <x:v>0</x:v>
      </x:c>
      <x:c r="BR236" s="22" t="n">
        <x:f>MAX(0,MIN('Activities'!L236,396)-MAX('Activities'!K236,390))</x:f>
        <x:v>0</x:v>
      </x:c>
      <x:c r="BS236" s="22" t="n">
        <x:f>MAX(0,MIN('Activities'!L236,402)-MAX('Activities'!K236,396))</x:f>
        <x:v>0</x:v>
      </x:c>
      <x:c r="BT236" s="22" t="n">
        <x:f>MAX(0,MIN('Activities'!L236,408)-MAX('Activities'!K236,402))</x:f>
        <x:v>0</x:v>
      </x:c>
      <x:c r="BU236" s="22" t="n">
        <x:f>MAX(0,MIN('Activities'!L236,414)-MAX('Activities'!K236,408))</x:f>
        <x:v>0</x:v>
      </x:c>
      <x:c r="BV236" s="22" t="n">
        <x:f>MAX(0,MIN('Activities'!L236,420)-MAX('Activities'!K236,414))</x:f>
        <x:v>0</x:v>
      </x:c>
      <x:c r="BW236" s="22" t="n">
        <x:f>MAX(0,MIN('Activities'!L236,426)-MAX('Activities'!K236,420))</x:f>
        <x:v>0</x:v>
      </x:c>
      <x:c r="BX236" s="22" t="n">
        <x:f>MAX(0,MIN('Activities'!L236,432)-MAX('Activities'!K236,426))</x:f>
        <x:v>0</x:v>
      </x:c>
      <x:c r="BY236" s="22" t="n">
        <x:f>MAX(0,MIN('Activities'!L236,438)-MAX('Activities'!K236,432))</x:f>
        <x:v>0</x:v>
      </x:c>
      <x:c r="BZ236" s="22" t="n">
        <x:f>MAX(0,MIN('Activities'!L236,444)-MAX('Activities'!K236,438))</x:f>
        <x:v>0</x:v>
      </x:c>
      <x:c r="CA236" s="22" t="n">
        <x:f>MAX(0,MIN('Activities'!L236,450)-MAX('Activities'!K236,444))</x:f>
        <x:v>0</x:v>
      </x:c>
      <x:c r="CB236" s="22" t="n">
        <x:f>MAX(0,MIN('Activities'!L236,456)-MAX('Activities'!K236,450))</x:f>
        <x:v>0</x:v>
      </x:c>
      <x:c r="CC236" s="22" t="n">
        <x:f>MAX(0,MIN('Activities'!L236,462)-MAX('Activities'!K236,456))</x:f>
        <x:v>0</x:v>
      </x:c>
      <x:c r="CD236" s="22" t="n">
        <x:f>MAX(0,MIN('Activities'!L236,468)-MAX('Activities'!K236,462))</x:f>
        <x:v>0</x:v>
      </x:c>
      <x:c r="CE236" s="22" t="n">
        <x:f>MAX(0,MIN('Activities'!L236,474)-MAX('Activities'!K236,468))</x:f>
        <x:v>0</x:v>
      </x:c>
      <x:c r="CF236" s="22" t="n">
        <x:f>MAX(0,MIN('Activities'!L236,480)-MAX('Activities'!K236,474))</x:f>
        <x:v>0</x:v>
      </x:c>
      <x:c r="CG236" s="22" t="n">
        <x:f>MAX(0,MIN('Activities'!L236,486)-MAX('Activities'!K236,480))</x:f>
        <x:v>0</x:v>
      </x:c>
      <x:c r="CH236" s="22" t="n">
        <x:f>MAX(0,MIN('Activities'!L236,492)-MAX('Activities'!K236,486))</x:f>
        <x:v>0</x:v>
      </x:c>
      <x:c r="CI236" s="22" t="n">
        <x:f>MAX(0,MIN('Activities'!L236,498)-MAX('Activities'!K236,492))</x:f>
        <x:v>0</x:v>
      </x:c>
      <x:c r="CJ236" s="22" t="n">
        <x:f>MAX(0,MIN('Activities'!L236,504)-MAX('Activities'!K236,498))</x:f>
        <x:v>0</x:v>
      </x:c>
      <x:c r="CK236" s="22" t="n">
        <x:f>MAX(0,MIN('Activities'!L236,510)-MAX('Activities'!K236,504))</x:f>
        <x:v>0</x:v>
      </x:c>
      <x:c r="CL236" s="22" t="n">
        <x:f>MAX(0,MIN('Activities'!L236,516)-MAX('Activities'!K236,510))</x:f>
        <x:v>0</x:v>
      </x:c>
      <x:c r="CM236" s="22" t="n">
        <x:f>MAX(0,MIN('Activities'!L236,522)-MAX('Activities'!K236,516))</x:f>
        <x:v>0</x:v>
      </x:c>
      <x:c r="CN236" s="22" t="n">
        <x:f>MAX(0,MIN('Activities'!L236,528)-MAX('Activities'!K236,522))</x:f>
        <x:v>0</x:v>
      </x:c>
      <x:c r="CO236" s="22" t="n">
        <x:f>MAX(0,MIN('Activities'!L236,534)-MAX('Activities'!K236,528))</x:f>
        <x:v>0</x:v>
      </x:c>
      <x:c r="CP236" s="22" t="n">
        <x:f>MAX(0,MIN('Activities'!L236,540)-MAX('Activities'!K236,534))</x:f>
        <x:v>0</x:v>
      </x:c>
      <x:c r="CQ236" s="22" t="n">
        <x:f>MAX(0,MIN('Activities'!L236,546)-MAX('Activities'!K236,540))</x:f>
        <x:v>0</x:v>
      </x:c>
      <x:c r="CR236" s="22" t="n">
        <x:f>MAX(0,MIN('Activities'!L236,552)-MAX('Activities'!K236,546))</x:f>
        <x:v>0</x:v>
      </x:c>
      <x:c r="CS236" s="22" t="n">
        <x:f>MAX(0,MIN('Activities'!L236,558)-MAX('Activities'!K236,552))</x:f>
        <x:v>0</x:v>
      </x:c>
      <x:c r="CT236" s="22" t="n">
        <x:f>MAX(0,MIN('Activities'!L236,564)-MAX('Activities'!K236,558))</x:f>
        <x:v>0</x:v>
      </x:c>
      <x:c r="CU236" s="22" t="n">
        <x:f>MAX(0,MIN('Activities'!L236,570)-MAX('Activities'!K236,564))</x:f>
        <x:v>0</x:v>
      </x:c>
      <x:c r="CV236" s="22" t="n">
        <x:f>MAX(0,MIN('Activities'!L236,576)-MAX('Activities'!K236,570))</x:f>
        <x:v>0</x:v>
      </x:c>
      <x:c r="CW236" s="22" t="n">
        <x:f>MAX(0,MIN('Activities'!L236,582)-MAX('Activities'!K236,576))</x:f>
        <x:v>0</x:v>
      </x:c>
      <x:c r="CX236" s="22" t="n">
        <x:f>MAX(0,MIN('Activities'!L236,588)-MAX('Activities'!K236,582))</x:f>
        <x:v>0</x:v>
      </x:c>
      <x:c r="CY236" s="22" t="n">
        <x:f>MAX(0,MIN('Activities'!L236,594)-MAX('Activities'!K236,588))</x:f>
        <x:v>0</x:v>
      </x:c>
      <x:c r="CZ236" s="22" t="n">
        <x:f>MAX(0,MIN('Activities'!L236,600)-MAX('Activities'!K236,594))</x:f>
        <x:v>0</x:v>
      </x:c>
      <x:c r="DA236" s="22" t="n">
        <x:f>MAX(0,MIN('Activities'!L236,606)-MAX('Activities'!K236,600))</x:f>
        <x:v>0</x:v>
      </x:c>
      <x:c r="DB236" s="22" t="n">
        <x:f>MAX(0,MIN('Activities'!L236,612)-MAX('Activities'!K236,606))</x:f>
        <x:v>0</x:v>
      </x:c>
      <x:c r="DC236" s="22" t="n">
        <x:f>MAX(0,MIN('Activities'!L236,618)-MAX('Activities'!K236,612))</x:f>
        <x:v>0</x:v>
      </x:c>
      <x:c r="DD236" s="22" t="n">
        <x:f>MAX(0,MIN('Activities'!L236,624)-MAX('Activities'!K236,618))</x:f>
        <x:v>0</x:v>
      </x:c>
      <x:c r="DE236" s="22" t="n">
        <x:f>MAX(0,MIN('Activities'!L236,630)-MAX('Activities'!K236,624))</x:f>
        <x:v>0</x:v>
      </x:c>
      <x:c r="DF236" s="22" t="n">
        <x:f>MAX(0,MIN('Activities'!L236,636)-MAX('Activities'!K236,630))</x:f>
        <x:v>0</x:v>
      </x:c>
    </x:row>
    <x:row r="237" ht="23" customHeight="1">
      <x:c r="A237" s="1" t="str">
        <x:v>T2-L05-T</x:v>
      </x:c>
      <x:c r="B237" s="1" t="str">
        <x:v>T2</x:v>
      </x:c>
      <x:c r="C237" s="1" t="str">
        <x:v>Floor finishes and skirtings</x:v>
      </x:c>
      <x:c r="D237" s="1" t="str">
        <x:v>Finishes</x:v>
      </x:c>
      <x:c r="E237" s="23" t="n">
        <x:f>MAX(0,MIN('Activities'!L237,6)-MAX('Activities'!K237,0))</x:f>
        <x:v>0</x:v>
      </x:c>
      <x:c r="F237" s="23" t="n">
        <x:f>MAX(0,MIN('Activities'!L237,12)-MAX('Activities'!K237,6))</x:f>
        <x:v>0</x:v>
      </x:c>
      <x:c r="G237" s="23" t="n">
        <x:f>MAX(0,MIN('Activities'!L237,18)-MAX('Activities'!K237,12))</x:f>
        <x:v>0</x:v>
      </x:c>
      <x:c r="H237" s="23" t="n">
        <x:f>MAX(0,MIN('Activities'!L237,24)-MAX('Activities'!K237,18))</x:f>
        <x:v>0</x:v>
      </x:c>
      <x:c r="I237" s="23" t="n">
        <x:f>MAX(0,MIN('Activities'!L237,30)-MAX('Activities'!K237,24))</x:f>
        <x:v>0</x:v>
      </x:c>
      <x:c r="J237" s="23" t="n">
        <x:f>MAX(0,MIN('Activities'!L237,36)-MAX('Activities'!K237,30))</x:f>
        <x:v>0</x:v>
      </x:c>
      <x:c r="K237" s="23" t="n">
        <x:f>MAX(0,MIN('Activities'!L237,42)-MAX('Activities'!K237,36))</x:f>
        <x:v>0</x:v>
      </x:c>
      <x:c r="L237" s="23" t="n">
        <x:f>MAX(0,MIN('Activities'!L237,48)-MAX('Activities'!K237,42))</x:f>
        <x:v>0</x:v>
      </x:c>
      <x:c r="M237" s="23" t="n">
        <x:f>MAX(0,MIN('Activities'!L237,54)-MAX('Activities'!K237,48))</x:f>
        <x:v>0</x:v>
      </x:c>
      <x:c r="N237" s="23" t="n">
        <x:f>MAX(0,MIN('Activities'!L237,60)-MAX('Activities'!K237,54))</x:f>
        <x:v>0</x:v>
      </x:c>
      <x:c r="O237" s="23" t="n">
        <x:f>MAX(0,MIN('Activities'!L237,66)-MAX('Activities'!K237,60))</x:f>
        <x:v>0</x:v>
      </x:c>
      <x:c r="P237" s="23" t="n">
        <x:f>MAX(0,MIN('Activities'!L237,72)-MAX('Activities'!K237,66))</x:f>
        <x:v>0</x:v>
      </x:c>
      <x:c r="Q237" s="23" t="n">
        <x:f>MAX(0,MIN('Activities'!L237,78)-MAX('Activities'!K237,72))</x:f>
        <x:v>0</x:v>
      </x:c>
      <x:c r="R237" s="23" t="n">
        <x:f>MAX(0,MIN('Activities'!L237,84)-MAX('Activities'!K237,78))</x:f>
        <x:v>0</x:v>
      </x:c>
      <x:c r="S237" s="23" t="n">
        <x:f>MAX(0,MIN('Activities'!L237,90)-MAX('Activities'!K237,84))</x:f>
        <x:v>0</x:v>
      </x:c>
      <x:c r="T237" s="23" t="n">
        <x:f>MAX(0,MIN('Activities'!L237,96)-MAX('Activities'!K237,90))</x:f>
        <x:v>0</x:v>
      </x:c>
      <x:c r="U237" s="23" t="n">
        <x:f>MAX(0,MIN('Activities'!L237,102)-MAX('Activities'!K237,96))</x:f>
        <x:v>0</x:v>
      </x:c>
      <x:c r="V237" s="23" t="n">
        <x:f>MAX(0,MIN('Activities'!L237,108)-MAX('Activities'!K237,102))</x:f>
        <x:v>0</x:v>
      </x:c>
      <x:c r="W237" s="23" t="n">
        <x:f>MAX(0,MIN('Activities'!L237,114)-MAX('Activities'!K237,108))</x:f>
        <x:v>0</x:v>
      </x:c>
      <x:c r="X237" s="23" t="n">
        <x:f>MAX(0,MIN('Activities'!L237,120)-MAX('Activities'!K237,114))</x:f>
        <x:v>0</x:v>
      </x:c>
      <x:c r="Y237" s="23" t="n">
        <x:f>MAX(0,MIN('Activities'!L237,126)-MAX('Activities'!K237,120))</x:f>
        <x:v>0</x:v>
      </x:c>
      <x:c r="Z237" s="23" t="n">
        <x:f>MAX(0,MIN('Activities'!L237,132)-MAX('Activities'!K237,126))</x:f>
        <x:v>0</x:v>
      </x:c>
      <x:c r="AA237" s="23" t="n">
        <x:f>MAX(0,MIN('Activities'!L237,138)-MAX('Activities'!K237,132))</x:f>
        <x:v>0</x:v>
      </x:c>
      <x:c r="AB237" s="23" t="n">
        <x:f>MAX(0,MIN('Activities'!L237,144)-MAX('Activities'!K237,138))</x:f>
        <x:v>0</x:v>
      </x:c>
      <x:c r="AC237" s="23" t="n">
        <x:f>MAX(0,MIN('Activities'!L237,150)-MAX('Activities'!K237,144))</x:f>
        <x:v>0</x:v>
      </x:c>
      <x:c r="AD237" s="23" t="n">
        <x:f>MAX(0,MIN('Activities'!L237,156)-MAX('Activities'!K237,150))</x:f>
        <x:v>0</x:v>
      </x:c>
      <x:c r="AE237" s="23" t="n">
        <x:f>MAX(0,MIN('Activities'!L237,162)-MAX('Activities'!K237,156))</x:f>
        <x:v>0</x:v>
      </x:c>
      <x:c r="AF237" s="23" t="n">
        <x:f>MAX(0,MIN('Activities'!L237,168)-MAX('Activities'!K237,162))</x:f>
        <x:v>0</x:v>
      </x:c>
      <x:c r="AG237" s="23" t="n">
        <x:f>MAX(0,MIN('Activities'!L237,174)-MAX('Activities'!K237,168))</x:f>
        <x:v>0</x:v>
      </x:c>
      <x:c r="AH237" s="23" t="n">
        <x:f>MAX(0,MIN('Activities'!L237,180)-MAX('Activities'!K237,174))</x:f>
        <x:v>0</x:v>
      </x:c>
      <x:c r="AI237" s="23" t="n">
        <x:f>MAX(0,MIN('Activities'!L237,186)-MAX('Activities'!K237,180))</x:f>
        <x:v>0</x:v>
      </x:c>
      <x:c r="AJ237" s="23" t="n">
        <x:f>MAX(0,MIN('Activities'!L237,192)-MAX('Activities'!K237,186))</x:f>
        <x:v>0</x:v>
      </x:c>
      <x:c r="AK237" s="23" t="n">
        <x:f>MAX(0,MIN('Activities'!L237,198)-MAX('Activities'!K237,192))</x:f>
        <x:v>0</x:v>
      </x:c>
      <x:c r="AL237" s="23" t="n">
        <x:f>MAX(0,MIN('Activities'!L237,204)-MAX('Activities'!K237,198))</x:f>
        <x:v>0</x:v>
      </x:c>
      <x:c r="AM237" s="23" t="n">
        <x:f>MAX(0,MIN('Activities'!L237,210)-MAX('Activities'!K237,204))</x:f>
        <x:v>0</x:v>
      </x:c>
      <x:c r="AN237" s="23" t="n">
        <x:f>MAX(0,MIN('Activities'!L237,216)-MAX('Activities'!K237,210))</x:f>
        <x:v>0</x:v>
      </x:c>
      <x:c r="AO237" s="23" t="n">
        <x:f>MAX(0,MIN('Activities'!L237,222)-MAX('Activities'!K237,216))</x:f>
        <x:v>0</x:v>
      </x:c>
      <x:c r="AP237" s="23" t="n">
        <x:f>MAX(0,MIN('Activities'!L237,228)-MAX('Activities'!K237,222))</x:f>
        <x:v>0</x:v>
      </x:c>
      <x:c r="AQ237" s="23" t="n">
        <x:f>MAX(0,MIN('Activities'!L237,234)-MAX('Activities'!K237,228))</x:f>
        <x:v>0</x:v>
      </x:c>
      <x:c r="AR237" s="23" t="n">
        <x:f>MAX(0,MIN('Activities'!L237,240)-MAX('Activities'!K237,234))</x:f>
        <x:v>0</x:v>
      </x:c>
      <x:c r="AS237" s="23" t="n">
        <x:f>MAX(0,MIN('Activities'!L237,246)-MAX('Activities'!K237,240))</x:f>
        <x:v>0</x:v>
      </x:c>
      <x:c r="AT237" s="23" t="n">
        <x:f>MAX(0,MIN('Activities'!L237,252)-MAX('Activities'!K237,246))</x:f>
        <x:v>0</x:v>
      </x:c>
      <x:c r="AU237" s="23" t="n">
        <x:f>MAX(0,MIN('Activities'!L237,258)-MAX('Activities'!K237,252))</x:f>
        <x:v>0</x:v>
      </x:c>
      <x:c r="AV237" s="23" t="n">
        <x:f>MAX(0,MIN('Activities'!L237,264)-MAX('Activities'!K237,258))</x:f>
        <x:v>0</x:v>
      </x:c>
      <x:c r="AW237" s="23" t="n">
        <x:f>MAX(0,MIN('Activities'!L237,270)-MAX('Activities'!K237,264))</x:f>
        <x:v>0</x:v>
      </x:c>
      <x:c r="AX237" s="23" t="n">
        <x:f>MAX(0,MIN('Activities'!L237,276)-MAX('Activities'!K237,270))</x:f>
        <x:v>0</x:v>
      </x:c>
      <x:c r="AY237" s="23" t="n">
        <x:f>MAX(0,MIN('Activities'!L237,282)-MAX('Activities'!K237,276))</x:f>
        <x:v>0</x:v>
      </x:c>
      <x:c r="AZ237" s="23" t="n">
        <x:f>MAX(0,MIN('Activities'!L237,288)-MAX('Activities'!K237,282))</x:f>
        <x:v>0</x:v>
      </x:c>
      <x:c r="BA237" s="23" t="n">
        <x:f>MAX(0,MIN('Activities'!L237,294)-MAX('Activities'!K237,288))</x:f>
        <x:v>0</x:v>
      </x:c>
      <x:c r="BB237" s="23" t="n">
        <x:f>MAX(0,MIN('Activities'!L237,300)-MAX('Activities'!K237,294))</x:f>
        <x:v>0</x:v>
      </x:c>
      <x:c r="BC237" s="23" t="n">
        <x:f>MAX(0,MIN('Activities'!L237,306)-MAX('Activities'!K237,300))</x:f>
        <x:v>0</x:v>
      </x:c>
      <x:c r="BD237" s="23" t="n">
        <x:f>MAX(0,MIN('Activities'!L237,312)-MAX('Activities'!K237,306))</x:f>
        <x:v>0</x:v>
      </x:c>
      <x:c r="BE237" s="23" t="n">
        <x:f>MAX(0,MIN('Activities'!L237,318)-MAX('Activities'!K237,312))</x:f>
        <x:v>0</x:v>
      </x:c>
      <x:c r="BF237" s="23" t="n">
        <x:f>MAX(0,MIN('Activities'!L237,324)-MAX('Activities'!K237,318))</x:f>
        <x:v>0</x:v>
      </x:c>
      <x:c r="BG237" s="23" t="n">
        <x:f>MAX(0,MIN('Activities'!L237,330)-MAX('Activities'!K237,324))</x:f>
        <x:v>0</x:v>
      </x:c>
      <x:c r="BH237" s="23" t="n">
        <x:f>MAX(0,MIN('Activities'!L237,336)-MAX('Activities'!K237,330))</x:f>
        <x:v>0</x:v>
      </x:c>
      <x:c r="BI237" s="23" t="n">
        <x:f>MAX(0,MIN('Activities'!L237,342)-MAX('Activities'!K237,336))</x:f>
        <x:v>0</x:v>
      </x:c>
      <x:c r="BJ237" s="23" t="n">
        <x:f>MAX(0,MIN('Activities'!L237,348)-MAX('Activities'!K237,342))</x:f>
        <x:v>0</x:v>
      </x:c>
      <x:c r="BK237" s="23" t="n">
        <x:f>MAX(0,MIN('Activities'!L237,354)-MAX('Activities'!K237,348))</x:f>
        <x:v>0</x:v>
      </x:c>
      <x:c r="BL237" s="23" t="n">
        <x:f>MAX(0,MIN('Activities'!L237,360)-MAX('Activities'!K237,354))</x:f>
        <x:v>0</x:v>
      </x:c>
      <x:c r="BM237" s="23" t="n">
        <x:f>MAX(0,MIN('Activities'!L237,366)-MAX('Activities'!K237,360))</x:f>
        <x:v>0</x:v>
      </x:c>
      <x:c r="BN237" s="23" t="n">
        <x:f>MAX(0,MIN('Activities'!L237,372)-MAX('Activities'!K237,366))</x:f>
        <x:v>0</x:v>
      </x:c>
      <x:c r="BO237" s="23" t="n">
        <x:f>MAX(0,MIN('Activities'!L237,378)-MAX('Activities'!K237,372))</x:f>
        <x:v>0</x:v>
      </x:c>
      <x:c r="BP237" s="23" t="n">
        <x:f>MAX(0,MIN('Activities'!L237,384)-MAX('Activities'!K237,378))</x:f>
        <x:v>0</x:v>
      </x:c>
      <x:c r="BQ237" s="23" t="n">
        <x:f>MAX(0,MIN('Activities'!L237,390)-MAX('Activities'!K237,384))</x:f>
        <x:v>0</x:v>
      </x:c>
      <x:c r="BR237" s="23" t="n">
        <x:f>MAX(0,MIN('Activities'!L237,396)-MAX('Activities'!K237,390))</x:f>
        <x:v>0</x:v>
      </x:c>
      <x:c r="BS237" s="23" t="n">
        <x:f>MAX(0,MIN('Activities'!L237,402)-MAX('Activities'!K237,396))</x:f>
        <x:v>0</x:v>
      </x:c>
      <x:c r="BT237" s="23" t="n">
        <x:f>MAX(0,MIN('Activities'!L237,408)-MAX('Activities'!K237,402))</x:f>
        <x:v>0</x:v>
      </x:c>
      <x:c r="BU237" s="23" t="n">
        <x:f>MAX(0,MIN('Activities'!L237,414)-MAX('Activities'!K237,408))</x:f>
        <x:v>1</x:v>
      </x:c>
      <x:c r="BV237" s="23" t="n">
        <x:f>MAX(0,MIN('Activities'!L237,420)-MAX('Activities'!K237,414))</x:f>
        <x:v>5</x:v>
      </x:c>
      <x:c r="BW237" s="23" t="n">
        <x:f>MAX(0,MIN('Activities'!L237,426)-MAX('Activities'!K237,420))</x:f>
        <x:v>0</x:v>
      </x:c>
      <x:c r="BX237" s="23" t="n">
        <x:f>MAX(0,MIN('Activities'!L237,432)-MAX('Activities'!K237,426))</x:f>
        <x:v>0</x:v>
      </x:c>
      <x:c r="BY237" s="23" t="n">
        <x:f>MAX(0,MIN('Activities'!L237,438)-MAX('Activities'!K237,432))</x:f>
        <x:v>0</x:v>
      </x:c>
      <x:c r="BZ237" s="23" t="n">
        <x:f>MAX(0,MIN('Activities'!L237,444)-MAX('Activities'!K237,438))</x:f>
        <x:v>0</x:v>
      </x:c>
      <x:c r="CA237" s="23" t="n">
        <x:f>MAX(0,MIN('Activities'!L237,450)-MAX('Activities'!K237,444))</x:f>
        <x:v>0</x:v>
      </x:c>
      <x:c r="CB237" s="23" t="n">
        <x:f>MAX(0,MIN('Activities'!L237,456)-MAX('Activities'!K237,450))</x:f>
        <x:v>0</x:v>
      </x:c>
      <x:c r="CC237" s="23" t="n">
        <x:f>MAX(0,MIN('Activities'!L237,462)-MAX('Activities'!K237,456))</x:f>
        <x:v>0</x:v>
      </x:c>
      <x:c r="CD237" s="23" t="n">
        <x:f>MAX(0,MIN('Activities'!L237,468)-MAX('Activities'!K237,462))</x:f>
        <x:v>0</x:v>
      </x:c>
      <x:c r="CE237" s="23" t="n">
        <x:f>MAX(0,MIN('Activities'!L237,474)-MAX('Activities'!K237,468))</x:f>
        <x:v>0</x:v>
      </x:c>
      <x:c r="CF237" s="23" t="n">
        <x:f>MAX(0,MIN('Activities'!L237,480)-MAX('Activities'!K237,474))</x:f>
        <x:v>0</x:v>
      </x:c>
      <x:c r="CG237" s="23" t="n">
        <x:f>MAX(0,MIN('Activities'!L237,486)-MAX('Activities'!K237,480))</x:f>
        <x:v>0</x:v>
      </x:c>
      <x:c r="CH237" s="23" t="n">
        <x:f>MAX(0,MIN('Activities'!L237,492)-MAX('Activities'!K237,486))</x:f>
        <x:v>0</x:v>
      </x:c>
      <x:c r="CI237" s="23" t="n">
        <x:f>MAX(0,MIN('Activities'!L237,498)-MAX('Activities'!K237,492))</x:f>
        <x:v>0</x:v>
      </x:c>
      <x:c r="CJ237" s="23" t="n">
        <x:f>MAX(0,MIN('Activities'!L237,504)-MAX('Activities'!K237,498))</x:f>
        <x:v>0</x:v>
      </x:c>
      <x:c r="CK237" s="23" t="n">
        <x:f>MAX(0,MIN('Activities'!L237,510)-MAX('Activities'!K237,504))</x:f>
        <x:v>0</x:v>
      </x:c>
      <x:c r="CL237" s="23" t="n">
        <x:f>MAX(0,MIN('Activities'!L237,516)-MAX('Activities'!K237,510))</x:f>
        <x:v>0</x:v>
      </x:c>
      <x:c r="CM237" s="23" t="n">
        <x:f>MAX(0,MIN('Activities'!L237,522)-MAX('Activities'!K237,516))</x:f>
        <x:v>0</x:v>
      </x:c>
      <x:c r="CN237" s="23" t="n">
        <x:f>MAX(0,MIN('Activities'!L237,528)-MAX('Activities'!K237,522))</x:f>
        <x:v>0</x:v>
      </x:c>
      <x:c r="CO237" s="23" t="n">
        <x:f>MAX(0,MIN('Activities'!L237,534)-MAX('Activities'!K237,528))</x:f>
        <x:v>0</x:v>
      </x:c>
      <x:c r="CP237" s="23" t="n">
        <x:f>MAX(0,MIN('Activities'!L237,540)-MAX('Activities'!K237,534))</x:f>
        <x:v>0</x:v>
      </x:c>
      <x:c r="CQ237" s="23" t="n">
        <x:f>MAX(0,MIN('Activities'!L237,546)-MAX('Activities'!K237,540))</x:f>
        <x:v>0</x:v>
      </x:c>
      <x:c r="CR237" s="23" t="n">
        <x:f>MAX(0,MIN('Activities'!L237,552)-MAX('Activities'!K237,546))</x:f>
        <x:v>0</x:v>
      </x:c>
      <x:c r="CS237" s="23" t="n">
        <x:f>MAX(0,MIN('Activities'!L237,558)-MAX('Activities'!K237,552))</x:f>
        <x:v>0</x:v>
      </x:c>
      <x:c r="CT237" s="23" t="n">
        <x:f>MAX(0,MIN('Activities'!L237,564)-MAX('Activities'!K237,558))</x:f>
        <x:v>0</x:v>
      </x:c>
      <x:c r="CU237" s="23" t="n">
        <x:f>MAX(0,MIN('Activities'!L237,570)-MAX('Activities'!K237,564))</x:f>
        <x:v>0</x:v>
      </x:c>
      <x:c r="CV237" s="23" t="n">
        <x:f>MAX(0,MIN('Activities'!L237,576)-MAX('Activities'!K237,570))</x:f>
        <x:v>0</x:v>
      </x:c>
      <x:c r="CW237" s="23" t="n">
        <x:f>MAX(0,MIN('Activities'!L237,582)-MAX('Activities'!K237,576))</x:f>
        <x:v>0</x:v>
      </x:c>
      <x:c r="CX237" s="23" t="n">
        <x:f>MAX(0,MIN('Activities'!L237,588)-MAX('Activities'!K237,582))</x:f>
        <x:v>0</x:v>
      </x:c>
      <x:c r="CY237" s="23" t="n">
        <x:f>MAX(0,MIN('Activities'!L237,594)-MAX('Activities'!K237,588))</x:f>
        <x:v>0</x:v>
      </x:c>
      <x:c r="CZ237" s="23" t="n">
        <x:f>MAX(0,MIN('Activities'!L237,600)-MAX('Activities'!K237,594))</x:f>
        <x:v>0</x:v>
      </x:c>
      <x:c r="DA237" s="23" t="n">
        <x:f>MAX(0,MIN('Activities'!L237,606)-MAX('Activities'!K237,600))</x:f>
        <x:v>0</x:v>
      </x:c>
      <x:c r="DB237" s="23" t="n">
        <x:f>MAX(0,MIN('Activities'!L237,612)-MAX('Activities'!K237,606))</x:f>
        <x:v>0</x:v>
      </x:c>
      <x:c r="DC237" s="23" t="n">
        <x:f>MAX(0,MIN('Activities'!L237,618)-MAX('Activities'!K237,612))</x:f>
        <x:v>0</x:v>
      </x:c>
      <x:c r="DD237" s="23" t="n">
        <x:f>MAX(0,MIN('Activities'!L237,624)-MAX('Activities'!K237,618))</x:f>
        <x:v>0</x:v>
      </x:c>
      <x:c r="DE237" s="23" t="n">
        <x:f>MAX(0,MIN('Activities'!L237,630)-MAX('Activities'!K237,624))</x:f>
        <x:v>0</x:v>
      </x:c>
      <x:c r="DF237" s="23" t="n">
        <x:f>MAX(0,MIN('Activities'!L237,636)-MAX('Activities'!K237,630))</x:f>
        <x:v>0</x:v>
      </x:c>
    </x:row>
    <x:row r="238" ht="23" customHeight="1">
      <x:c r="A238" s="6" t="str">
        <x:v>T2-L05-A</x:v>
      </x:c>
      <x:c r="B238" s="6" t="str">
        <x:v>T2</x:v>
      </x:c>
      <x:c r="C238" s="6" t="str">
        <x:v>Paint and final decorations</x:v>
      </x:c>
      <x:c r="D238" s="6" t="str">
        <x:v>Finishes</x:v>
      </x:c>
      <x:c r="E238" s="22" t="n">
        <x:f>MAX(0,MIN('Activities'!L238,6)-MAX('Activities'!K238,0))</x:f>
        <x:v>0</x:v>
      </x:c>
      <x:c r="F238" s="22" t="n">
        <x:f>MAX(0,MIN('Activities'!L238,12)-MAX('Activities'!K238,6))</x:f>
        <x:v>0</x:v>
      </x:c>
      <x:c r="G238" s="22" t="n">
        <x:f>MAX(0,MIN('Activities'!L238,18)-MAX('Activities'!K238,12))</x:f>
        <x:v>0</x:v>
      </x:c>
      <x:c r="H238" s="22" t="n">
        <x:f>MAX(0,MIN('Activities'!L238,24)-MAX('Activities'!K238,18))</x:f>
        <x:v>0</x:v>
      </x:c>
      <x:c r="I238" s="22" t="n">
        <x:f>MAX(0,MIN('Activities'!L238,30)-MAX('Activities'!K238,24))</x:f>
        <x:v>0</x:v>
      </x:c>
      <x:c r="J238" s="22" t="n">
        <x:f>MAX(0,MIN('Activities'!L238,36)-MAX('Activities'!K238,30))</x:f>
        <x:v>0</x:v>
      </x:c>
      <x:c r="K238" s="22" t="n">
        <x:f>MAX(0,MIN('Activities'!L238,42)-MAX('Activities'!K238,36))</x:f>
        <x:v>0</x:v>
      </x:c>
      <x:c r="L238" s="22" t="n">
        <x:f>MAX(0,MIN('Activities'!L238,48)-MAX('Activities'!K238,42))</x:f>
        <x:v>0</x:v>
      </x:c>
      <x:c r="M238" s="22" t="n">
        <x:f>MAX(0,MIN('Activities'!L238,54)-MAX('Activities'!K238,48))</x:f>
        <x:v>0</x:v>
      </x:c>
      <x:c r="N238" s="22" t="n">
        <x:f>MAX(0,MIN('Activities'!L238,60)-MAX('Activities'!K238,54))</x:f>
        <x:v>0</x:v>
      </x:c>
      <x:c r="O238" s="22" t="n">
        <x:f>MAX(0,MIN('Activities'!L238,66)-MAX('Activities'!K238,60))</x:f>
        <x:v>0</x:v>
      </x:c>
      <x:c r="P238" s="22" t="n">
        <x:f>MAX(0,MIN('Activities'!L238,72)-MAX('Activities'!K238,66))</x:f>
        <x:v>0</x:v>
      </x:c>
      <x:c r="Q238" s="22" t="n">
        <x:f>MAX(0,MIN('Activities'!L238,78)-MAX('Activities'!K238,72))</x:f>
        <x:v>0</x:v>
      </x:c>
      <x:c r="R238" s="22" t="n">
        <x:f>MAX(0,MIN('Activities'!L238,84)-MAX('Activities'!K238,78))</x:f>
        <x:v>0</x:v>
      </x:c>
      <x:c r="S238" s="22" t="n">
        <x:f>MAX(0,MIN('Activities'!L238,90)-MAX('Activities'!K238,84))</x:f>
        <x:v>0</x:v>
      </x:c>
      <x:c r="T238" s="22" t="n">
        <x:f>MAX(0,MIN('Activities'!L238,96)-MAX('Activities'!K238,90))</x:f>
        <x:v>0</x:v>
      </x:c>
      <x:c r="U238" s="22" t="n">
        <x:f>MAX(0,MIN('Activities'!L238,102)-MAX('Activities'!K238,96))</x:f>
        <x:v>0</x:v>
      </x:c>
      <x:c r="V238" s="22" t="n">
        <x:f>MAX(0,MIN('Activities'!L238,108)-MAX('Activities'!K238,102))</x:f>
        <x:v>0</x:v>
      </x:c>
      <x:c r="W238" s="22" t="n">
        <x:f>MAX(0,MIN('Activities'!L238,114)-MAX('Activities'!K238,108))</x:f>
        <x:v>0</x:v>
      </x:c>
      <x:c r="X238" s="22" t="n">
        <x:f>MAX(0,MIN('Activities'!L238,120)-MAX('Activities'!K238,114))</x:f>
        <x:v>0</x:v>
      </x:c>
      <x:c r="Y238" s="22" t="n">
        <x:f>MAX(0,MIN('Activities'!L238,126)-MAX('Activities'!K238,120))</x:f>
        <x:v>0</x:v>
      </x:c>
      <x:c r="Z238" s="22" t="n">
        <x:f>MAX(0,MIN('Activities'!L238,132)-MAX('Activities'!K238,126))</x:f>
        <x:v>0</x:v>
      </x:c>
      <x:c r="AA238" s="22" t="n">
        <x:f>MAX(0,MIN('Activities'!L238,138)-MAX('Activities'!K238,132))</x:f>
        <x:v>0</x:v>
      </x:c>
      <x:c r="AB238" s="22" t="n">
        <x:f>MAX(0,MIN('Activities'!L238,144)-MAX('Activities'!K238,138))</x:f>
        <x:v>0</x:v>
      </x:c>
      <x:c r="AC238" s="22" t="n">
        <x:f>MAX(0,MIN('Activities'!L238,150)-MAX('Activities'!K238,144))</x:f>
        <x:v>0</x:v>
      </x:c>
      <x:c r="AD238" s="22" t="n">
        <x:f>MAX(0,MIN('Activities'!L238,156)-MAX('Activities'!K238,150))</x:f>
        <x:v>0</x:v>
      </x:c>
      <x:c r="AE238" s="22" t="n">
        <x:f>MAX(0,MIN('Activities'!L238,162)-MAX('Activities'!K238,156))</x:f>
        <x:v>0</x:v>
      </x:c>
      <x:c r="AF238" s="22" t="n">
        <x:f>MAX(0,MIN('Activities'!L238,168)-MAX('Activities'!K238,162))</x:f>
        <x:v>0</x:v>
      </x:c>
      <x:c r="AG238" s="22" t="n">
        <x:f>MAX(0,MIN('Activities'!L238,174)-MAX('Activities'!K238,168))</x:f>
        <x:v>0</x:v>
      </x:c>
      <x:c r="AH238" s="22" t="n">
        <x:f>MAX(0,MIN('Activities'!L238,180)-MAX('Activities'!K238,174))</x:f>
        <x:v>0</x:v>
      </x:c>
      <x:c r="AI238" s="22" t="n">
        <x:f>MAX(0,MIN('Activities'!L238,186)-MAX('Activities'!K238,180))</x:f>
        <x:v>0</x:v>
      </x:c>
      <x:c r="AJ238" s="22" t="n">
        <x:f>MAX(0,MIN('Activities'!L238,192)-MAX('Activities'!K238,186))</x:f>
        <x:v>0</x:v>
      </x:c>
      <x:c r="AK238" s="22" t="n">
        <x:f>MAX(0,MIN('Activities'!L238,198)-MAX('Activities'!K238,192))</x:f>
        <x:v>0</x:v>
      </x:c>
      <x:c r="AL238" s="22" t="n">
        <x:f>MAX(0,MIN('Activities'!L238,204)-MAX('Activities'!K238,198))</x:f>
        <x:v>0</x:v>
      </x:c>
      <x:c r="AM238" s="22" t="n">
        <x:f>MAX(0,MIN('Activities'!L238,210)-MAX('Activities'!K238,204))</x:f>
        <x:v>0</x:v>
      </x:c>
      <x:c r="AN238" s="22" t="n">
        <x:f>MAX(0,MIN('Activities'!L238,216)-MAX('Activities'!K238,210))</x:f>
        <x:v>0</x:v>
      </x:c>
      <x:c r="AO238" s="22" t="n">
        <x:f>MAX(0,MIN('Activities'!L238,222)-MAX('Activities'!K238,216))</x:f>
        <x:v>0</x:v>
      </x:c>
      <x:c r="AP238" s="22" t="n">
        <x:f>MAX(0,MIN('Activities'!L238,228)-MAX('Activities'!K238,222))</x:f>
        <x:v>0</x:v>
      </x:c>
      <x:c r="AQ238" s="22" t="n">
        <x:f>MAX(0,MIN('Activities'!L238,234)-MAX('Activities'!K238,228))</x:f>
        <x:v>0</x:v>
      </x:c>
      <x:c r="AR238" s="22" t="n">
        <x:f>MAX(0,MIN('Activities'!L238,240)-MAX('Activities'!K238,234))</x:f>
        <x:v>0</x:v>
      </x:c>
      <x:c r="AS238" s="22" t="n">
        <x:f>MAX(0,MIN('Activities'!L238,246)-MAX('Activities'!K238,240))</x:f>
        <x:v>0</x:v>
      </x:c>
      <x:c r="AT238" s="22" t="n">
        <x:f>MAX(0,MIN('Activities'!L238,252)-MAX('Activities'!K238,246))</x:f>
        <x:v>0</x:v>
      </x:c>
      <x:c r="AU238" s="22" t="n">
        <x:f>MAX(0,MIN('Activities'!L238,258)-MAX('Activities'!K238,252))</x:f>
        <x:v>0</x:v>
      </x:c>
      <x:c r="AV238" s="22" t="n">
        <x:f>MAX(0,MIN('Activities'!L238,264)-MAX('Activities'!K238,258))</x:f>
        <x:v>0</x:v>
      </x:c>
      <x:c r="AW238" s="22" t="n">
        <x:f>MAX(0,MIN('Activities'!L238,270)-MAX('Activities'!K238,264))</x:f>
        <x:v>0</x:v>
      </x:c>
      <x:c r="AX238" s="22" t="n">
        <x:f>MAX(0,MIN('Activities'!L238,276)-MAX('Activities'!K238,270))</x:f>
        <x:v>0</x:v>
      </x:c>
      <x:c r="AY238" s="22" t="n">
        <x:f>MAX(0,MIN('Activities'!L238,282)-MAX('Activities'!K238,276))</x:f>
        <x:v>0</x:v>
      </x:c>
      <x:c r="AZ238" s="22" t="n">
        <x:f>MAX(0,MIN('Activities'!L238,288)-MAX('Activities'!K238,282))</x:f>
        <x:v>0</x:v>
      </x:c>
      <x:c r="BA238" s="22" t="n">
        <x:f>MAX(0,MIN('Activities'!L238,294)-MAX('Activities'!K238,288))</x:f>
        <x:v>0</x:v>
      </x:c>
      <x:c r="BB238" s="22" t="n">
        <x:f>MAX(0,MIN('Activities'!L238,300)-MAX('Activities'!K238,294))</x:f>
        <x:v>0</x:v>
      </x:c>
      <x:c r="BC238" s="22" t="n">
        <x:f>MAX(0,MIN('Activities'!L238,306)-MAX('Activities'!K238,300))</x:f>
        <x:v>0</x:v>
      </x:c>
      <x:c r="BD238" s="22" t="n">
        <x:f>MAX(0,MIN('Activities'!L238,312)-MAX('Activities'!K238,306))</x:f>
        <x:v>0</x:v>
      </x:c>
      <x:c r="BE238" s="22" t="n">
        <x:f>MAX(0,MIN('Activities'!L238,318)-MAX('Activities'!K238,312))</x:f>
        <x:v>0</x:v>
      </x:c>
      <x:c r="BF238" s="22" t="n">
        <x:f>MAX(0,MIN('Activities'!L238,324)-MAX('Activities'!K238,318))</x:f>
        <x:v>0</x:v>
      </x:c>
      <x:c r="BG238" s="22" t="n">
        <x:f>MAX(0,MIN('Activities'!L238,330)-MAX('Activities'!K238,324))</x:f>
        <x:v>0</x:v>
      </x:c>
      <x:c r="BH238" s="22" t="n">
        <x:f>MAX(0,MIN('Activities'!L238,336)-MAX('Activities'!K238,330))</x:f>
        <x:v>0</x:v>
      </x:c>
      <x:c r="BI238" s="22" t="n">
        <x:f>MAX(0,MIN('Activities'!L238,342)-MAX('Activities'!K238,336))</x:f>
        <x:v>0</x:v>
      </x:c>
      <x:c r="BJ238" s="22" t="n">
        <x:f>MAX(0,MIN('Activities'!L238,348)-MAX('Activities'!K238,342))</x:f>
        <x:v>0</x:v>
      </x:c>
      <x:c r="BK238" s="22" t="n">
        <x:f>MAX(0,MIN('Activities'!L238,354)-MAX('Activities'!K238,348))</x:f>
        <x:v>0</x:v>
      </x:c>
      <x:c r="BL238" s="22" t="n">
        <x:f>MAX(0,MIN('Activities'!L238,360)-MAX('Activities'!K238,354))</x:f>
        <x:v>0</x:v>
      </x:c>
      <x:c r="BM238" s="22" t="n">
        <x:f>MAX(0,MIN('Activities'!L238,366)-MAX('Activities'!K238,360))</x:f>
        <x:v>0</x:v>
      </x:c>
      <x:c r="BN238" s="22" t="n">
        <x:f>MAX(0,MIN('Activities'!L238,372)-MAX('Activities'!K238,366))</x:f>
        <x:v>0</x:v>
      </x:c>
      <x:c r="BO238" s="22" t="n">
        <x:f>MAX(0,MIN('Activities'!L238,378)-MAX('Activities'!K238,372))</x:f>
        <x:v>0</x:v>
      </x:c>
      <x:c r="BP238" s="22" t="n">
        <x:f>MAX(0,MIN('Activities'!L238,384)-MAX('Activities'!K238,378))</x:f>
        <x:v>0</x:v>
      </x:c>
      <x:c r="BQ238" s="22" t="n">
        <x:f>MAX(0,MIN('Activities'!L238,390)-MAX('Activities'!K238,384))</x:f>
        <x:v>0</x:v>
      </x:c>
      <x:c r="BR238" s="22" t="n">
        <x:f>MAX(0,MIN('Activities'!L238,396)-MAX('Activities'!K238,390))</x:f>
        <x:v>0</x:v>
      </x:c>
      <x:c r="BS238" s="22" t="n">
        <x:f>MAX(0,MIN('Activities'!L238,402)-MAX('Activities'!K238,396))</x:f>
        <x:v>0</x:v>
      </x:c>
      <x:c r="BT238" s="22" t="n">
        <x:f>MAX(0,MIN('Activities'!L238,408)-MAX('Activities'!K238,402))</x:f>
        <x:v>0</x:v>
      </x:c>
      <x:c r="BU238" s="22" t="n">
        <x:f>MAX(0,MIN('Activities'!L238,414)-MAX('Activities'!K238,408))</x:f>
        <x:v>0</x:v>
      </x:c>
      <x:c r="BV238" s="22" t="n">
        <x:f>MAX(0,MIN('Activities'!L238,420)-MAX('Activities'!K238,414))</x:f>
        <x:v>0</x:v>
      </x:c>
      <x:c r="BW238" s="22" t="n">
        <x:f>MAX(0,MIN('Activities'!L238,426)-MAX('Activities'!K238,420))</x:f>
        <x:v>5</x:v>
      </x:c>
      <x:c r="BX238" s="22" t="n">
        <x:f>MAX(0,MIN('Activities'!L238,432)-MAX('Activities'!K238,426))</x:f>
        <x:v>0</x:v>
      </x:c>
      <x:c r="BY238" s="22" t="n">
        <x:f>MAX(0,MIN('Activities'!L238,438)-MAX('Activities'!K238,432))</x:f>
        <x:v>0</x:v>
      </x:c>
      <x:c r="BZ238" s="22" t="n">
        <x:f>MAX(0,MIN('Activities'!L238,444)-MAX('Activities'!K238,438))</x:f>
        <x:v>0</x:v>
      </x:c>
      <x:c r="CA238" s="22" t="n">
        <x:f>MAX(0,MIN('Activities'!L238,450)-MAX('Activities'!K238,444))</x:f>
        <x:v>0</x:v>
      </x:c>
      <x:c r="CB238" s="22" t="n">
        <x:f>MAX(0,MIN('Activities'!L238,456)-MAX('Activities'!K238,450))</x:f>
        <x:v>0</x:v>
      </x:c>
      <x:c r="CC238" s="22" t="n">
        <x:f>MAX(0,MIN('Activities'!L238,462)-MAX('Activities'!K238,456))</x:f>
        <x:v>0</x:v>
      </x:c>
      <x:c r="CD238" s="22" t="n">
        <x:f>MAX(0,MIN('Activities'!L238,468)-MAX('Activities'!K238,462))</x:f>
        <x:v>0</x:v>
      </x:c>
      <x:c r="CE238" s="22" t="n">
        <x:f>MAX(0,MIN('Activities'!L238,474)-MAX('Activities'!K238,468))</x:f>
        <x:v>0</x:v>
      </x:c>
      <x:c r="CF238" s="22" t="n">
        <x:f>MAX(0,MIN('Activities'!L238,480)-MAX('Activities'!K238,474))</x:f>
        <x:v>0</x:v>
      </x:c>
      <x:c r="CG238" s="22" t="n">
        <x:f>MAX(0,MIN('Activities'!L238,486)-MAX('Activities'!K238,480))</x:f>
        <x:v>0</x:v>
      </x:c>
      <x:c r="CH238" s="22" t="n">
        <x:f>MAX(0,MIN('Activities'!L238,492)-MAX('Activities'!K238,486))</x:f>
        <x:v>0</x:v>
      </x:c>
      <x:c r="CI238" s="22" t="n">
        <x:f>MAX(0,MIN('Activities'!L238,498)-MAX('Activities'!K238,492))</x:f>
        <x:v>0</x:v>
      </x:c>
      <x:c r="CJ238" s="22" t="n">
        <x:f>MAX(0,MIN('Activities'!L238,504)-MAX('Activities'!K238,498))</x:f>
        <x:v>0</x:v>
      </x:c>
      <x:c r="CK238" s="22" t="n">
        <x:f>MAX(0,MIN('Activities'!L238,510)-MAX('Activities'!K238,504))</x:f>
        <x:v>0</x:v>
      </x:c>
      <x:c r="CL238" s="22" t="n">
        <x:f>MAX(0,MIN('Activities'!L238,516)-MAX('Activities'!K238,510))</x:f>
        <x:v>0</x:v>
      </x:c>
      <x:c r="CM238" s="22" t="n">
        <x:f>MAX(0,MIN('Activities'!L238,522)-MAX('Activities'!K238,516))</x:f>
        <x:v>0</x:v>
      </x:c>
      <x:c r="CN238" s="22" t="n">
        <x:f>MAX(0,MIN('Activities'!L238,528)-MAX('Activities'!K238,522))</x:f>
        <x:v>0</x:v>
      </x:c>
      <x:c r="CO238" s="22" t="n">
        <x:f>MAX(0,MIN('Activities'!L238,534)-MAX('Activities'!K238,528))</x:f>
        <x:v>0</x:v>
      </x:c>
      <x:c r="CP238" s="22" t="n">
        <x:f>MAX(0,MIN('Activities'!L238,540)-MAX('Activities'!K238,534))</x:f>
        <x:v>0</x:v>
      </x:c>
      <x:c r="CQ238" s="22" t="n">
        <x:f>MAX(0,MIN('Activities'!L238,546)-MAX('Activities'!K238,540))</x:f>
        <x:v>0</x:v>
      </x:c>
      <x:c r="CR238" s="22" t="n">
        <x:f>MAX(0,MIN('Activities'!L238,552)-MAX('Activities'!K238,546))</x:f>
        <x:v>0</x:v>
      </x:c>
      <x:c r="CS238" s="22" t="n">
        <x:f>MAX(0,MIN('Activities'!L238,558)-MAX('Activities'!K238,552))</x:f>
        <x:v>0</x:v>
      </x:c>
      <x:c r="CT238" s="22" t="n">
        <x:f>MAX(0,MIN('Activities'!L238,564)-MAX('Activities'!K238,558))</x:f>
        <x:v>0</x:v>
      </x:c>
      <x:c r="CU238" s="22" t="n">
        <x:f>MAX(0,MIN('Activities'!L238,570)-MAX('Activities'!K238,564))</x:f>
        <x:v>0</x:v>
      </x:c>
      <x:c r="CV238" s="22" t="n">
        <x:f>MAX(0,MIN('Activities'!L238,576)-MAX('Activities'!K238,570))</x:f>
        <x:v>0</x:v>
      </x:c>
      <x:c r="CW238" s="22" t="n">
        <x:f>MAX(0,MIN('Activities'!L238,582)-MAX('Activities'!K238,576))</x:f>
        <x:v>0</x:v>
      </x:c>
      <x:c r="CX238" s="22" t="n">
        <x:f>MAX(0,MIN('Activities'!L238,588)-MAX('Activities'!K238,582))</x:f>
        <x:v>0</x:v>
      </x:c>
      <x:c r="CY238" s="22" t="n">
        <x:f>MAX(0,MIN('Activities'!L238,594)-MAX('Activities'!K238,588))</x:f>
        <x:v>0</x:v>
      </x:c>
      <x:c r="CZ238" s="22" t="n">
        <x:f>MAX(0,MIN('Activities'!L238,600)-MAX('Activities'!K238,594))</x:f>
        <x:v>0</x:v>
      </x:c>
      <x:c r="DA238" s="22" t="n">
        <x:f>MAX(0,MIN('Activities'!L238,606)-MAX('Activities'!K238,600))</x:f>
        <x:v>0</x:v>
      </x:c>
      <x:c r="DB238" s="22" t="n">
        <x:f>MAX(0,MIN('Activities'!L238,612)-MAX('Activities'!K238,606))</x:f>
        <x:v>0</x:v>
      </x:c>
      <x:c r="DC238" s="22" t="n">
        <x:f>MAX(0,MIN('Activities'!L238,618)-MAX('Activities'!K238,612))</x:f>
        <x:v>0</x:v>
      </x:c>
      <x:c r="DD238" s="22" t="n">
        <x:f>MAX(0,MIN('Activities'!L238,624)-MAX('Activities'!K238,618))</x:f>
        <x:v>0</x:v>
      </x:c>
      <x:c r="DE238" s="22" t="n">
        <x:f>MAX(0,MIN('Activities'!L238,630)-MAX('Activities'!K238,624))</x:f>
        <x:v>0</x:v>
      </x:c>
      <x:c r="DF238" s="22" t="n">
        <x:f>MAX(0,MIN('Activities'!L238,636)-MAX('Activities'!K238,630))</x:f>
        <x:v>0</x:v>
      </x:c>
    </x:row>
    <x:row r="239" ht="23" customHeight="1">
      <x:c r="A239" s="1" t="str">
        <x:v>T2-L05-D</x:v>
      </x:c>
      <x:c r="B239" s="1" t="str">
        <x:v>T2</x:v>
      </x:c>
      <x:c r="C239" s="1" t="str">
        <x:v>Door sets and ironmongery</x:v>
      </x:c>
      <x:c r="D239" s="1" t="str">
        <x:v>Finishes</x:v>
      </x:c>
      <x:c r="E239" s="23" t="n">
        <x:f>MAX(0,MIN('Activities'!L239,6)-MAX('Activities'!K239,0))</x:f>
        <x:v>0</x:v>
      </x:c>
      <x:c r="F239" s="23" t="n">
        <x:f>MAX(0,MIN('Activities'!L239,12)-MAX('Activities'!K239,6))</x:f>
        <x:v>0</x:v>
      </x:c>
      <x:c r="G239" s="23" t="n">
        <x:f>MAX(0,MIN('Activities'!L239,18)-MAX('Activities'!K239,12))</x:f>
        <x:v>0</x:v>
      </x:c>
      <x:c r="H239" s="23" t="n">
        <x:f>MAX(0,MIN('Activities'!L239,24)-MAX('Activities'!K239,18))</x:f>
        <x:v>0</x:v>
      </x:c>
      <x:c r="I239" s="23" t="n">
        <x:f>MAX(0,MIN('Activities'!L239,30)-MAX('Activities'!K239,24))</x:f>
        <x:v>0</x:v>
      </x:c>
      <x:c r="J239" s="23" t="n">
        <x:f>MAX(0,MIN('Activities'!L239,36)-MAX('Activities'!K239,30))</x:f>
        <x:v>0</x:v>
      </x:c>
      <x:c r="K239" s="23" t="n">
        <x:f>MAX(0,MIN('Activities'!L239,42)-MAX('Activities'!K239,36))</x:f>
        <x:v>0</x:v>
      </x:c>
      <x:c r="L239" s="23" t="n">
        <x:f>MAX(0,MIN('Activities'!L239,48)-MAX('Activities'!K239,42))</x:f>
        <x:v>0</x:v>
      </x:c>
      <x:c r="M239" s="23" t="n">
        <x:f>MAX(0,MIN('Activities'!L239,54)-MAX('Activities'!K239,48))</x:f>
        <x:v>0</x:v>
      </x:c>
      <x:c r="N239" s="23" t="n">
        <x:f>MAX(0,MIN('Activities'!L239,60)-MAX('Activities'!K239,54))</x:f>
        <x:v>0</x:v>
      </x:c>
      <x:c r="O239" s="23" t="n">
        <x:f>MAX(0,MIN('Activities'!L239,66)-MAX('Activities'!K239,60))</x:f>
        <x:v>0</x:v>
      </x:c>
      <x:c r="P239" s="23" t="n">
        <x:f>MAX(0,MIN('Activities'!L239,72)-MAX('Activities'!K239,66))</x:f>
        <x:v>0</x:v>
      </x:c>
      <x:c r="Q239" s="23" t="n">
        <x:f>MAX(0,MIN('Activities'!L239,78)-MAX('Activities'!K239,72))</x:f>
        <x:v>0</x:v>
      </x:c>
      <x:c r="R239" s="23" t="n">
        <x:f>MAX(0,MIN('Activities'!L239,84)-MAX('Activities'!K239,78))</x:f>
        <x:v>0</x:v>
      </x:c>
      <x:c r="S239" s="23" t="n">
        <x:f>MAX(0,MIN('Activities'!L239,90)-MAX('Activities'!K239,84))</x:f>
        <x:v>0</x:v>
      </x:c>
      <x:c r="T239" s="23" t="n">
        <x:f>MAX(0,MIN('Activities'!L239,96)-MAX('Activities'!K239,90))</x:f>
        <x:v>0</x:v>
      </x:c>
      <x:c r="U239" s="23" t="n">
        <x:f>MAX(0,MIN('Activities'!L239,102)-MAX('Activities'!K239,96))</x:f>
        <x:v>0</x:v>
      </x:c>
      <x:c r="V239" s="23" t="n">
        <x:f>MAX(0,MIN('Activities'!L239,108)-MAX('Activities'!K239,102))</x:f>
        <x:v>0</x:v>
      </x:c>
      <x:c r="W239" s="23" t="n">
        <x:f>MAX(0,MIN('Activities'!L239,114)-MAX('Activities'!K239,108))</x:f>
        <x:v>0</x:v>
      </x:c>
      <x:c r="X239" s="23" t="n">
        <x:f>MAX(0,MIN('Activities'!L239,120)-MAX('Activities'!K239,114))</x:f>
        <x:v>0</x:v>
      </x:c>
      <x:c r="Y239" s="23" t="n">
        <x:f>MAX(0,MIN('Activities'!L239,126)-MAX('Activities'!K239,120))</x:f>
        <x:v>0</x:v>
      </x:c>
      <x:c r="Z239" s="23" t="n">
        <x:f>MAX(0,MIN('Activities'!L239,132)-MAX('Activities'!K239,126))</x:f>
        <x:v>0</x:v>
      </x:c>
      <x:c r="AA239" s="23" t="n">
        <x:f>MAX(0,MIN('Activities'!L239,138)-MAX('Activities'!K239,132))</x:f>
        <x:v>0</x:v>
      </x:c>
      <x:c r="AB239" s="23" t="n">
        <x:f>MAX(0,MIN('Activities'!L239,144)-MAX('Activities'!K239,138))</x:f>
        <x:v>0</x:v>
      </x:c>
      <x:c r="AC239" s="23" t="n">
        <x:f>MAX(0,MIN('Activities'!L239,150)-MAX('Activities'!K239,144))</x:f>
        <x:v>0</x:v>
      </x:c>
      <x:c r="AD239" s="23" t="n">
        <x:f>MAX(0,MIN('Activities'!L239,156)-MAX('Activities'!K239,150))</x:f>
        <x:v>0</x:v>
      </x:c>
      <x:c r="AE239" s="23" t="n">
        <x:f>MAX(0,MIN('Activities'!L239,162)-MAX('Activities'!K239,156))</x:f>
        <x:v>0</x:v>
      </x:c>
      <x:c r="AF239" s="23" t="n">
        <x:f>MAX(0,MIN('Activities'!L239,168)-MAX('Activities'!K239,162))</x:f>
        <x:v>0</x:v>
      </x:c>
      <x:c r="AG239" s="23" t="n">
        <x:f>MAX(0,MIN('Activities'!L239,174)-MAX('Activities'!K239,168))</x:f>
        <x:v>0</x:v>
      </x:c>
      <x:c r="AH239" s="23" t="n">
        <x:f>MAX(0,MIN('Activities'!L239,180)-MAX('Activities'!K239,174))</x:f>
        <x:v>0</x:v>
      </x:c>
      <x:c r="AI239" s="23" t="n">
        <x:f>MAX(0,MIN('Activities'!L239,186)-MAX('Activities'!K239,180))</x:f>
        <x:v>0</x:v>
      </x:c>
      <x:c r="AJ239" s="23" t="n">
        <x:f>MAX(0,MIN('Activities'!L239,192)-MAX('Activities'!K239,186))</x:f>
        <x:v>0</x:v>
      </x:c>
      <x:c r="AK239" s="23" t="n">
        <x:f>MAX(0,MIN('Activities'!L239,198)-MAX('Activities'!K239,192))</x:f>
        <x:v>0</x:v>
      </x:c>
      <x:c r="AL239" s="23" t="n">
        <x:f>MAX(0,MIN('Activities'!L239,204)-MAX('Activities'!K239,198))</x:f>
        <x:v>0</x:v>
      </x:c>
      <x:c r="AM239" s="23" t="n">
        <x:f>MAX(0,MIN('Activities'!L239,210)-MAX('Activities'!K239,204))</x:f>
        <x:v>0</x:v>
      </x:c>
      <x:c r="AN239" s="23" t="n">
        <x:f>MAX(0,MIN('Activities'!L239,216)-MAX('Activities'!K239,210))</x:f>
        <x:v>0</x:v>
      </x:c>
      <x:c r="AO239" s="23" t="n">
        <x:f>MAX(0,MIN('Activities'!L239,222)-MAX('Activities'!K239,216))</x:f>
        <x:v>0</x:v>
      </x:c>
      <x:c r="AP239" s="23" t="n">
        <x:f>MAX(0,MIN('Activities'!L239,228)-MAX('Activities'!K239,222))</x:f>
        <x:v>0</x:v>
      </x:c>
      <x:c r="AQ239" s="23" t="n">
        <x:f>MAX(0,MIN('Activities'!L239,234)-MAX('Activities'!K239,228))</x:f>
        <x:v>0</x:v>
      </x:c>
      <x:c r="AR239" s="23" t="n">
        <x:f>MAX(0,MIN('Activities'!L239,240)-MAX('Activities'!K239,234))</x:f>
        <x:v>0</x:v>
      </x:c>
      <x:c r="AS239" s="23" t="n">
        <x:f>MAX(0,MIN('Activities'!L239,246)-MAX('Activities'!K239,240))</x:f>
        <x:v>0</x:v>
      </x:c>
      <x:c r="AT239" s="23" t="n">
        <x:f>MAX(0,MIN('Activities'!L239,252)-MAX('Activities'!K239,246))</x:f>
        <x:v>0</x:v>
      </x:c>
      <x:c r="AU239" s="23" t="n">
        <x:f>MAX(0,MIN('Activities'!L239,258)-MAX('Activities'!K239,252))</x:f>
        <x:v>0</x:v>
      </x:c>
      <x:c r="AV239" s="23" t="n">
        <x:f>MAX(0,MIN('Activities'!L239,264)-MAX('Activities'!K239,258))</x:f>
        <x:v>0</x:v>
      </x:c>
      <x:c r="AW239" s="23" t="n">
        <x:f>MAX(0,MIN('Activities'!L239,270)-MAX('Activities'!K239,264))</x:f>
        <x:v>0</x:v>
      </x:c>
      <x:c r="AX239" s="23" t="n">
        <x:f>MAX(0,MIN('Activities'!L239,276)-MAX('Activities'!K239,270))</x:f>
        <x:v>0</x:v>
      </x:c>
      <x:c r="AY239" s="23" t="n">
        <x:f>MAX(0,MIN('Activities'!L239,282)-MAX('Activities'!K239,276))</x:f>
        <x:v>0</x:v>
      </x:c>
      <x:c r="AZ239" s="23" t="n">
        <x:f>MAX(0,MIN('Activities'!L239,288)-MAX('Activities'!K239,282))</x:f>
        <x:v>0</x:v>
      </x:c>
      <x:c r="BA239" s="23" t="n">
        <x:f>MAX(0,MIN('Activities'!L239,294)-MAX('Activities'!K239,288))</x:f>
        <x:v>0</x:v>
      </x:c>
      <x:c r="BB239" s="23" t="n">
        <x:f>MAX(0,MIN('Activities'!L239,300)-MAX('Activities'!K239,294))</x:f>
        <x:v>0</x:v>
      </x:c>
      <x:c r="BC239" s="23" t="n">
        <x:f>MAX(0,MIN('Activities'!L239,306)-MAX('Activities'!K239,300))</x:f>
        <x:v>0</x:v>
      </x:c>
      <x:c r="BD239" s="23" t="n">
        <x:f>MAX(0,MIN('Activities'!L239,312)-MAX('Activities'!K239,306))</x:f>
        <x:v>0</x:v>
      </x:c>
      <x:c r="BE239" s="23" t="n">
        <x:f>MAX(0,MIN('Activities'!L239,318)-MAX('Activities'!K239,312))</x:f>
        <x:v>0</x:v>
      </x:c>
      <x:c r="BF239" s="23" t="n">
        <x:f>MAX(0,MIN('Activities'!L239,324)-MAX('Activities'!K239,318))</x:f>
        <x:v>0</x:v>
      </x:c>
      <x:c r="BG239" s="23" t="n">
        <x:f>MAX(0,MIN('Activities'!L239,330)-MAX('Activities'!K239,324))</x:f>
        <x:v>0</x:v>
      </x:c>
      <x:c r="BH239" s="23" t="n">
        <x:f>MAX(0,MIN('Activities'!L239,336)-MAX('Activities'!K239,330))</x:f>
        <x:v>0</x:v>
      </x:c>
      <x:c r="BI239" s="23" t="n">
        <x:f>MAX(0,MIN('Activities'!L239,342)-MAX('Activities'!K239,336))</x:f>
        <x:v>0</x:v>
      </x:c>
      <x:c r="BJ239" s="23" t="n">
        <x:f>MAX(0,MIN('Activities'!L239,348)-MAX('Activities'!K239,342))</x:f>
        <x:v>0</x:v>
      </x:c>
      <x:c r="BK239" s="23" t="n">
        <x:f>MAX(0,MIN('Activities'!L239,354)-MAX('Activities'!K239,348))</x:f>
        <x:v>0</x:v>
      </x:c>
      <x:c r="BL239" s="23" t="n">
        <x:f>MAX(0,MIN('Activities'!L239,360)-MAX('Activities'!K239,354))</x:f>
        <x:v>0</x:v>
      </x:c>
      <x:c r="BM239" s="23" t="n">
        <x:f>MAX(0,MIN('Activities'!L239,366)-MAX('Activities'!K239,360))</x:f>
        <x:v>0</x:v>
      </x:c>
      <x:c r="BN239" s="23" t="n">
        <x:f>MAX(0,MIN('Activities'!L239,372)-MAX('Activities'!K239,366))</x:f>
        <x:v>0</x:v>
      </x:c>
      <x:c r="BO239" s="23" t="n">
        <x:f>MAX(0,MIN('Activities'!L239,378)-MAX('Activities'!K239,372))</x:f>
        <x:v>0</x:v>
      </x:c>
      <x:c r="BP239" s="23" t="n">
        <x:f>MAX(0,MIN('Activities'!L239,384)-MAX('Activities'!K239,378))</x:f>
        <x:v>0</x:v>
      </x:c>
      <x:c r="BQ239" s="23" t="n">
        <x:f>MAX(0,MIN('Activities'!L239,390)-MAX('Activities'!K239,384))</x:f>
        <x:v>0</x:v>
      </x:c>
      <x:c r="BR239" s="23" t="n">
        <x:f>MAX(0,MIN('Activities'!L239,396)-MAX('Activities'!K239,390))</x:f>
        <x:v>0</x:v>
      </x:c>
      <x:c r="BS239" s="23" t="n">
        <x:f>MAX(0,MIN('Activities'!L239,402)-MAX('Activities'!K239,396))</x:f>
        <x:v>0</x:v>
      </x:c>
      <x:c r="BT239" s="23" t="n">
        <x:f>MAX(0,MIN('Activities'!L239,408)-MAX('Activities'!K239,402))</x:f>
        <x:v>0</x:v>
      </x:c>
      <x:c r="BU239" s="23" t="n">
        <x:f>MAX(0,MIN('Activities'!L239,414)-MAX('Activities'!K239,408))</x:f>
        <x:v>0</x:v>
      </x:c>
      <x:c r="BV239" s="23" t="n">
        <x:f>MAX(0,MIN('Activities'!L239,420)-MAX('Activities'!K239,414))</x:f>
        <x:v>0</x:v>
      </x:c>
      <x:c r="BW239" s="23" t="n">
        <x:f>MAX(0,MIN('Activities'!L239,426)-MAX('Activities'!K239,420))</x:f>
        <x:v>0</x:v>
      </x:c>
      <x:c r="BX239" s="23" t="n">
        <x:f>MAX(0,MIN('Activities'!L239,432)-MAX('Activities'!K239,426))</x:f>
        <x:v>3</x:v>
      </x:c>
      <x:c r="BY239" s="23" t="n">
        <x:f>MAX(0,MIN('Activities'!L239,438)-MAX('Activities'!K239,432))</x:f>
        <x:v>0</x:v>
      </x:c>
      <x:c r="BZ239" s="23" t="n">
        <x:f>MAX(0,MIN('Activities'!L239,444)-MAX('Activities'!K239,438))</x:f>
        <x:v>0</x:v>
      </x:c>
      <x:c r="CA239" s="23" t="n">
        <x:f>MAX(0,MIN('Activities'!L239,450)-MAX('Activities'!K239,444))</x:f>
        <x:v>0</x:v>
      </x:c>
      <x:c r="CB239" s="23" t="n">
        <x:f>MAX(0,MIN('Activities'!L239,456)-MAX('Activities'!K239,450))</x:f>
        <x:v>0</x:v>
      </x:c>
      <x:c r="CC239" s="23" t="n">
        <x:f>MAX(0,MIN('Activities'!L239,462)-MAX('Activities'!K239,456))</x:f>
        <x:v>0</x:v>
      </x:c>
      <x:c r="CD239" s="23" t="n">
        <x:f>MAX(0,MIN('Activities'!L239,468)-MAX('Activities'!K239,462))</x:f>
        <x:v>0</x:v>
      </x:c>
      <x:c r="CE239" s="23" t="n">
        <x:f>MAX(0,MIN('Activities'!L239,474)-MAX('Activities'!K239,468))</x:f>
        <x:v>0</x:v>
      </x:c>
      <x:c r="CF239" s="23" t="n">
        <x:f>MAX(0,MIN('Activities'!L239,480)-MAX('Activities'!K239,474))</x:f>
        <x:v>0</x:v>
      </x:c>
      <x:c r="CG239" s="23" t="n">
        <x:f>MAX(0,MIN('Activities'!L239,486)-MAX('Activities'!K239,480))</x:f>
        <x:v>0</x:v>
      </x:c>
      <x:c r="CH239" s="23" t="n">
        <x:f>MAX(0,MIN('Activities'!L239,492)-MAX('Activities'!K239,486))</x:f>
        <x:v>0</x:v>
      </x:c>
      <x:c r="CI239" s="23" t="n">
        <x:f>MAX(0,MIN('Activities'!L239,498)-MAX('Activities'!K239,492))</x:f>
        <x:v>0</x:v>
      </x:c>
      <x:c r="CJ239" s="23" t="n">
        <x:f>MAX(0,MIN('Activities'!L239,504)-MAX('Activities'!K239,498))</x:f>
        <x:v>0</x:v>
      </x:c>
      <x:c r="CK239" s="23" t="n">
        <x:f>MAX(0,MIN('Activities'!L239,510)-MAX('Activities'!K239,504))</x:f>
        <x:v>0</x:v>
      </x:c>
      <x:c r="CL239" s="23" t="n">
        <x:f>MAX(0,MIN('Activities'!L239,516)-MAX('Activities'!K239,510))</x:f>
        <x:v>0</x:v>
      </x:c>
      <x:c r="CM239" s="23" t="n">
        <x:f>MAX(0,MIN('Activities'!L239,522)-MAX('Activities'!K239,516))</x:f>
        <x:v>0</x:v>
      </x:c>
      <x:c r="CN239" s="23" t="n">
        <x:f>MAX(0,MIN('Activities'!L239,528)-MAX('Activities'!K239,522))</x:f>
        <x:v>0</x:v>
      </x:c>
      <x:c r="CO239" s="23" t="n">
        <x:f>MAX(0,MIN('Activities'!L239,534)-MAX('Activities'!K239,528))</x:f>
        <x:v>0</x:v>
      </x:c>
      <x:c r="CP239" s="23" t="n">
        <x:f>MAX(0,MIN('Activities'!L239,540)-MAX('Activities'!K239,534))</x:f>
        <x:v>0</x:v>
      </x:c>
      <x:c r="CQ239" s="23" t="n">
        <x:f>MAX(0,MIN('Activities'!L239,546)-MAX('Activities'!K239,540))</x:f>
        <x:v>0</x:v>
      </x:c>
      <x:c r="CR239" s="23" t="n">
        <x:f>MAX(0,MIN('Activities'!L239,552)-MAX('Activities'!K239,546))</x:f>
        <x:v>0</x:v>
      </x:c>
      <x:c r="CS239" s="23" t="n">
        <x:f>MAX(0,MIN('Activities'!L239,558)-MAX('Activities'!K239,552))</x:f>
        <x:v>0</x:v>
      </x:c>
      <x:c r="CT239" s="23" t="n">
        <x:f>MAX(0,MIN('Activities'!L239,564)-MAX('Activities'!K239,558))</x:f>
        <x:v>0</x:v>
      </x:c>
      <x:c r="CU239" s="23" t="n">
        <x:f>MAX(0,MIN('Activities'!L239,570)-MAX('Activities'!K239,564))</x:f>
        <x:v>0</x:v>
      </x:c>
      <x:c r="CV239" s="23" t="n">
        <x:f>MAX(0,MIN('Activities'!L239,576)-MAX('Activities'!K239,570))</x:f>
        <x:v>0</x:v>
      </x:c>
      <x:c r="CW239" s="23" t="n">
        <x:f>MAX(0,MIN('Activities'!L239,582)-MAX('Activities'!K239,576))</x:f>
        <x:v>0</x:v>
      </x:c>
      <x:c r="CX239" s="23" t="n">
        <x:f>MAX(0,MIN('Activities'!L239,588)-MAX('Activities'!K239,582))</x:f>
        <x:v>0</x:v>
      </x:c>
      <x:c r="CY239" s="23" t="n">
        <x:f>MAX(0,MIN('Activities'!L239,594)-MAX('Activities'!K239,588))</x:f>
        <x:v>0</x:v>
      </x:c>
      <x:c r="CZ239" s="23" t="n">
        <x:f>MAX(0,MIN('Activities'!L239,600)-MAX('Activities'!K239,594))</x:f>
        <x:v>0</x:v>
      </x:c>
      <x:c r="DA239" s="23" t="n">
        <x:f>MAX(0,MIN('Activities'!L239,606)-MAX('Activities'!K239,600))</x:f>
        <x:v>0</x:v>
      </x:c>
      <x:c r="DB239" s="23" t="n">
        <x:f>MAX(0,MIN('Activities'!L239,612)-MAX('Activities'!K239,606))</x:f>
        <x:v>0</x:v>
      </x:c>
      <x:c r="DC239" s="23" t="n">
        <x:f>MAX(0,MIN('Activities'!L239,618)-MAX('Activities'!K239,612))</x:f>
        <x:v>0</x:v>
      </x:c>
      <x:c r="DD239" s="23" t="n">
        <x:f>MAX(0,MIN('Activities'!L239,624)-MAX('Activities'!K239,618))</x:f>
        <x:v>0</x:v>
      </x:c>
      <x:c r="DE239" s="23" t="n">
        <x:f>MAX(0,MIN('Activities'!L239,630)-MAX('Activities'!K239,624))</x:f>
        <x:v>0</x:v>
      </x:c>
      <x:c r="DF239" s="23" t="n">
        <x:f>MAX(0,MIN('Activities'!L239,636)-MAX('Activities'!K239,630))</x:f>
        <x:v>0</x:v>
      </x:c>
    </x:row>
    <x:row r="240" ht="23" customHeight="1">
      <x:c r="A240" s="6" t="str">
        <x:v>T2-L06-M</x:v>
      </x:c>
      <x:c r="B240" s="6" t="str">
        <x:v>T2</x:v>
      </x:c>
      <x:c r="C240" s="6" t="str">
        <x:v>Partition masonry</x:v>
      </x:c>
      <x:c r="D240" s="6" t="str">
        <x:v>Masonry</x:v>
      </x:c>
      <x:c r="E240" s="22" t="n">
        <x:f>MAX(0,MIN('Activities'!L240,6)-MAX('Activities'!K240,0))</x:f>
        <x:v>0</x:v>
      </x:c>
      <x:c r="F240" s="22" t="n">
        <x:f>MAX(0,MIN('Activities'!L240,12)-MAX('Activities'!K240,6))</x:f>
        <x:v>0</x:v>
      </x:c>
      <x:c r="G240" s="22" t="n">
        <x:f>MAX(0,MIN('Activities'!L240,18)-MAX('Activities'!K240,12))</x:f>
        <x:v>0</x:v>
      </x:c>
      <x:c r="H240" s="22" t="n">
        <x:f>MAX(0,MIN('Activities'!L240,24)-MAX('Activities'!K240,18))</x:f>
        <x:v>0</x:v>
      </x:c>
      <x:c r="I240" s="22" t="n">
        <x:f>MAX(0,MIN('Activities'!L240,30)-MAX('Activities'!K240,24))</x:f>
        <x:v>0</x:v>
      </x:c>
      <x:c r="J240" s="22" t="n">
        <x:f>MAX(0,MIN('Activities'!L240,36)-MAX('Activities'!K240,30))</x:f>
        <x:v>0</x:v>
      </x:c>
      <x:c r="K240" s="22" t="n">
        <x:f>MAX(0,MIN('Activities'!L240,42)-MAX('Activities'!K240,36))</x:f>
        <x:v>0</x:v>
      </x:c>
      <x:c r="L240" s="22" t="n">
        <x:f>MAX(0,MIN('Activities'!L240,48)-MAX('Activities'!K240,42))</x:f>
        <x:v>0</x:v>
      </x:c>
      <x:c r="M240" s="22" t="n">
        <x:f>MAX(0,MIN('Activities'!L240,54)-MAX('Activities'!K240,48))</x:f>
        <x:v>0</x:v>
      </x:c>
      <x:c r="N240" s="22" t="n">
        <x:f>MAX(0,MIN('Activities'!L240,60)-MAX('Activities'!K240,54))</x:f>
        <x:v>0</x:v>
      </x:c>
      <x:c r="O240" s="22" t="n">
        <x:f>MAX(0,MIN('Activities'!L240,66)-MAX('Activities'!K240,60))</x:f>
        <x:v>0</x:v>
      </x:c>
      <x:c r="P240" s="22" t="n">
        <x:f>MAX(0,MIN('Activities'!L240,72)-MAX('Activities'!K240,66))</x:f>
        <x:v>0</x:v>
      </x:c>
      <x:c r="Q240" s="22" t="n">
        <x:f>MAX(0,MIN('Activities'!L240,78)-MAX('Activities'!K240,72))</x:f>
        <x:v>0</x:v>
      </x:c>
      <x:c r="R240" s="22" t="n">
        <x:f>MAX(0,MIN('Activities'!L240,84)-MAX('Activities'!K240,78))</x:f>
        <x:v>0</x:v>
      </x:c>
      <x:c r="S240" s="22" t="n">
        <x:f>MAX(0,MIN('Activities'!L240,90)-MAX('Activities'!K240,84))</x:f>
        <x:v>0</x:v>
      </x:c>
      <x:c r="T240" s="22" t="n">
        <x:f>MAX(0,MIN('Activities'!L240,96)-MAX('Activities'!K240,90))</x:f>
        <x:v>0</x:v>
      </x:c>
      <x:c r="U240" s="22" t="n">
        <x:f>MAX(0,MIN('Activities'!L240,102)-MAX('Activities'!K240,96))</x:f>
        <x:v>0</x:v>
      </x:c>
      <x:c r="V240" s="22" t="n">
        <x:f>MAX(0,MIN('Activities'!L240,108)-MAX('Activities'!K240,102))</x:f>
        <x:v>0</x:v>
      </x:c>
      <x:c r="W240" s="22" t="n">
        <x:f>MAX(0,MIN('Activities'!L240,114)-MAX('Activities'!K240,108))</x:f>
        <x:v>0</x:v>
      </x:c>
      <x:c r="X240" s="22" t="n">
        <x:f>MAX(0,MIN('Activities'!L240,120)-MAX('Activities'!K240,114))</x:f>
        <x:v>0</x:v>
      </x:c>
      <x:c r="Y240" s="22" t="n">
        <x:f>MAX(0,MIN('Activities'!L240,126)-MAX('Activities'!K240,120))</x:f>
        <x:v>0</x:v>
      </x:c>
      <x:c r="Z240" s="22" t="n">
        <x:f>MAX(0,MIN('Activities'!L240,132)-MAX('Activities'!K240,126))</x:f>
        <x:v>0</x:v>
      </x:c>
      <x:c r="AA240" s="22" t="n">
        <x:f>MAX(0,MIN('Activities'!L240,138)-MAX('Activities'!K240,132))</x:f>
        <x:v>0</x:v>
      </x:c>
      <x:c r="AB240" s="22" t="n">
        <x:f>MAX(0,MIN('Activities'!L240,144)-MAX('Activities'!K240,138))</x:f>
        <x:v>0</x:v>
      </x:c>
      <x:c r="AC240" s="22" t="n">
        <x:f>MAX(0,MIN('Activities'!L240,150)-MAX('Activities'!K240,144))</x:f>
        <x:v>0</x:v>
      </x:c>
      <x:c r="AD240" s="22" t="n">
        <x:f>MAX(0,MIN('Activities'!L240,156)-MAX('Activities'!K240,150))</x:f>
        <x:v>0</x:v>
      </x:c>
      <x:c r="AE240" s="22" t="n">
        <x:f>MAX(0,MIN('Activities'!L240,162)-MAX('Activities'!K240,156))</x:f>
        <x:v>0</x:v>
      </x:c>
      <x:c r="AF240" s="22" t="n">
        <x:f>MAX(0,MIN('Activities'!L240,168)-MAX('Activities'!K240,162))</x:f>
        <x:v>0</x:v>
      </x:c>
      <x:c r="AG240" s="22" t="n">
        <x:f>MAX(0,MIN('Activities'!L240,174)-MAX('Activities'!K240,168))</x:f>
        <x:v>0</x:v>
      </x:c>
      <x:c r="AH240" s="22" t="n">
        <x:f>MAX(0,MIN('Activities'!L240,180)-MAX('Activities'!K240,174))</x:f>
        <x:v>0</x:v>
      </x:c>
      <x:c r="AI240" s="22" t="n">
        <x:f>MAX(0,MIN('Activities'!L240,186)-MAX('Activities'!K240,180))</x:f>
        <x:v>0</x:v>
      </x:c>
      <x:c r="AJ240" s="22" t="n">
        <x:f>MAX(0,MIN('Activities'!L240,192)-MAX('Activities'!K240,186))</x:f>
        <x:v>0</x:v>
      </x:c>
      <x:c r="AK240" s="22" t="n">
        <x:f>MAX(0,MIN('Activities'!L240,198)-MAX('Activities'!K240,192))</x:f>
        <x:v>0</x:v>
      </x:c>
      <x:c r="AL240" s="22" t="n">
        <x:f>MAX(0,MIN('Activities'!L240,204)-MAX('Activities'!K240,198))</x:f>
        <x:v>0</x:v>
      </x:c>
      <x:c r="AM240" s="22" t="n">
        <x:f>MAX(0,MIN('Activities'!L240,210)-MAX('Activities'!K240,204))</x:f>
        <x:v>0</x:v>
      </x:c>
      <x:c r="AN240" s="22" t="n">
        <x:f>MAX(0,MIN('Activities'!L240,216)-MAX('Activities'!K240,210))</x:f>
        <x:v>0</x:v>
      </x:c>
      <x:c r="AO240" s="22" t="n">
        <x:f>MAX(0,MIN('Activities'!L240,222)-MAX('Activities'!K240,216))</x:f>
        <x:v>0</x:v>
      </x:c>
      <x:c r="AP240" s="22" t="n">
        <x:f>MAX(0,MIN('Activities'!L240,228)-MAX('Activities'!K240,222))</x:f>
        <x:v>0</x:v>
      </x:c>
      <x:c r="AQ240" s="22" t="n">
        <x:f>MAX(0,MIN('Activities'!L240,234)-MAX('Activities'!K240,228))</x:f>
        <x:v>0</x:v>
      </x:c>
      <x:c r="AR240" s="22" t="n">
        <x:f>MAX(0,MIN('Activities'!L240,240)-MAX('Activities'!K240,234))</x:f>
        <x:v>0</x:v>
      </x:c>
      <x:c r="AS240" s="22" t="n">
        <x:f>MAX(0,MIN('Activities'!L240,246)-MAX('Activities'!K240,240))</x:f>
        <x:v>0</x:v>
      </x:c>
      <x:c r="AT240" s="22" t="n">
        <x:f>MAX(0,MIN('Activities'!L240,252)-MAX('Activities'!K240,246))</x:f>
        <x:v>0</x:v>
      </x:c>
      <x:c r="AU240" s="22" t="n">
        <x:f>MAX(0,MIN('Activities'!L240,258)-MAX('Activities'!K240,252))</x:f>
        <x:v>0</x:v>
      </x:c>
      <x:c r="AV240" s="22" t="n">
        <x:f>MAX(0,MIN('Activities'!L240,264)-MAX('Activities'!K240,258))</x:f>
        <x:v>0</x:v>
      </x:c>
      <x:c r="AW240" s="22" t="n">
        <x:f>MAX(0,MIN('Activities'!L240,270)-MAX('Activities'!K240,264))</x:f>
        <x:v>0</x:v>
      </x:c>
      <x:c r="AX240" s="22" t="n">
        <x:f>MAX(0,MIN('Activities'!L240,276)-MAX('Activities'!K240,270))</x:f>
        <x:v>0</x:v>
      </x:c>
      <x:c r="AY240" s="22" t="n">
        <x:f>MAX(0,MIN('Activities'!L240,282)-MAX('Activities'!K240,276))</x:f>
        <x:v>0</x:v>
      </x:c>
      <x:c r="AZ240" s="22" t="n">
        <x:f>MAX(0,MIN('Activities'!L240,288)-MAX('Activities'!K240,282))</x:f>
        <x:v>0</x:v>
      </x:c>
      <x:c r="BA240" s="22" t="n">
        <x:f>MAX(0,MIN('Activities'!L240,294)-MAX('Activities'!K240,288))</x:f>
        <x:v>0</x:v>
      </x:c>
      <x:c r="BB240" s="22" t="n">
        <x:f>MAX(0,MIN('Activities'!L240,300)-MAX('Activities'!K240,294))</x:f>
        <x:v>0</x:v>
      </x:c>
      <x:c r="BC240" s="22" t="n">
        <x:f>MAX(0,MIN('Activities'!L240,306)-MAX('Activities'!K240,300))</x:f>
        <x:v>0</x:v>
      </x:c>
      <x:c r="BD240" s="22" t="n">
        <x:f>MAX(0,MIN('Activities'!L240,312)-MAX('Activities'!K240,306))</x:f>
        <x:v>0</x:v>
      </x:c>
      <x:c r="BE240" s="22" t="n">
        <x:f>MAX(0,MIN('Activities'!L240,318)-MAX('Activities'!K240,312))</x:f>
        <x:v>0</x:v>
      </x:c>
      <x:c r="BF240" s="22" t="n">
        <x:f>MAX(0,MIN('Activities'!L240,324)-MAX('Activities'!K240,318))</x:f>
        <x:v>0</x:v>
      </x:c>
      <x:c r="BG240" s="22" t="n">
        <x:f>MAX(0,MIN('Activities'!L240,330)-MAX('Activities'!K240,324))</x:f>
        <x:v>0</x:v>
      </x:c>
      <x:c r="BH240" s="22" t="n">
        <x:f>MAX(0,MIN('Activities'!L240,336)-MAX('Activities'!K240,330))</x:f>
        <x:v>5</x:v>
      </x:c>
      <x:c r="BI240" s="22" t="n">
        <x:f>MAX(0,MIN('Activities'!L240,342)-MAX('Activities'!K240,336))</x:f>
        <x:v>0</x:v>
      </x:c>
      <x:c r="BJ240" s="22" t="n">
        <x:f>MAX(0,MIN('Activities'!L240,348)-MAX('Activities'!K240,342))</x:f>
        <x:v>0</x:v>
      </x:c>
      <x:c r="BK240" s="22" t="n">
        <x:f>MAX(0,MIN('Activities'!L240,354)-MAX('Activities'!K240,348))</x:f>
        <x:v>0</x:v>
      </x:c>
      <x:c r="BL240" s="22" t="n">
        <x:f>MAX(0,MIN('Activities'!L240,360)-MAX('Activities'!K240,354))</x:f>
        <x:v>0</x:v>
      </x:c>
      <x:c r="BM240" s="22" t="n">
        <x:f>MAX(0,MIN('Activities'!L240,366)-MAX('Activities'!K240,360))</x:f>
        <x:v>0</x:v>
      </x:c>
      <x:c r="BN240" s="22" t="n">
        <x:f>MAX(0,MIN('Activities'!L240,372)-MAX('Activities'!K240,366))</x:f>
        <x:v>0</x:v>
      </x:c>
      <x:c r="BO240" s="22" t="n">
        <x:f>MAX(0,MIN('Activities'!L240,378)-MAX('Activities'!K240,372))</x:f>
        <x:v>0</x:v>
      </x:c>
      <x:c r="BP240" s="22" t="n">
        <x:f>MAX(0,MIN('Activities'!L240,384)-MAX('Activities'!K240,378))</x:f>
        <x:v>0</x:v>
      </x:c>
      <x:c r="BQ240" s="22" t="n">
        <x:f>MAX(0,MIN('Activities'!L240,390)-MAX('Activities'!K240,384))</x:f>
        <x:v>0</x:v>
      </x:c>
      <x:c r="BR240" s="22" t="n">
        <x:f>MAX(0,MIN('Activities'!L240,396)-MAX('Activities'!K240,390))</x:f>
        <x:v>0</x:v>
      </x:c>
      <x:c r="BS240" s="22" t="n">
        <x:f>MAX(0,MIN('Activities'!L240,402)-MAX('Activities'!K240,396))</x:f>
        <x:v>0</x:v>
      </x:c>
      <x:c r="BT240" s="22" t="n">
        <x:f>MAX(0,MIN('Activities'!L240,408)-MAX('Activities'!K240,402))</x:f>
        <x:v>0</x:v>
      </x:c>
      <x:c r="BU240" s="22" t="n">
        <x:f>MAX(0,MIN('Activities'!L240,414)-MAX('Activities'!K240,408))</x:f>
        <x:v>0</x:v>
      </x:c>
      <x:c r="BV240" s="22" t="n">
        <x:f>MAX(0,MIN('Activities'!L240,420)-MAX('Activities'!K240,414))</x:f>
        <x:v>0</x:v>
      </x:c>
      <x:c r="BW240" s="22" t="n">
        <x:f>MAX(0,MIN('Activities'!L240,426)-MAX('Activities'!K240,420))</x:f>
        <x:v>0</x:v>
      </x:c>
      <x:c r="BX240" s="22" t="n">
        <x:f>MAX(0,MIN('Activities'!L240,432)-MAX('Activities'!K240,426))</x:f>
        <x:v>0</x:v>
      </x:c>
      <x:c r="BY240" s="22" t="n">
        <x:f>MAX(0,MIN('Activities'!L240,438)-MAX('Activities'!K240,432))</x:f>
        <x:v>0</x:v>
      </x:c>
      <x:c r="BZ240" s="22" t="n">
        <x:f>MAX(0,MIN('Activities'!L240,444)-MAX('Activities'!K240,438))</x:f>
        <x:v>0</x:v>
      </x:c>
      <x:c r="CA240" s="22" t="n">
        <x:f>MAX(0,MIN('Activities'!L240,450)-MAX('Activities'!K240,444))</x:f>
        <x:v>0</x:v>
      </x:c>
      <x:c r="CB240" s="22" t="n">
        <x:f>MAX(0,MIN('Activities'!L240,456)-MAX('Activities'!K240,450))</x:f>
        <x:v>0</x:v>
      </x:c>
      <x:c r="CC240" s="22" t="n">
        <x:f>MAX(0,MIN('Activities'!L240,462)-MAX('Activities'!K240,456))</x:f>
        <x:v>0</x:v>
      </x:c>
      <x:c r="CD240" s="22" t="n">
        <x:f>MAX(0,MIN('Activities'!L240,468)-MAX('Activities'!K240,462))</x:f>
        <x:v>0</x:v>
      </x:c>
      <x:c r="CE240" s="22" t="n">
        <x:f>MAX(0,MIN('Activities'!L240,474)-MAX('Activities'!K240,468))</x:f>
        <x:v>0</x:v>
      </x:c>
      <x:c r="CF240" s="22" t="n">
        <x:f>MAX(0,MIN('Activities'!L240,480)-MAX('Activities'!K240,474))</x:f>
        <x:v>0</x:v>
      </x:c>
      <x:c r="CG240" s="22" t="n">
        <x:f>MAX(0,MIN('Activities'!L240,486)-MAX('Activities'!K240,480))</x:f>
        <x:v>0</x:v>
      </x:c>
      <x:c r="CH240" s="22" t="n">
        <x:f>MAX(0,MIN('Activities'!L240,492)-MAX('Activities'!K240,486))</x:f>
        <x:v>0</x:v>
      </x:c>
      <x:c r="CI240" s="22" t="n">
        <x:f>MAX(0,MIN('Activities'!L240,498)-MAX('Activities'!K240,492))</x:f>
        <x:v>0</x:v>
      </x:c>
      <x:c r="CJ240" s="22" t="n">
        <x:f>MAX(0,MIN('Activities'!L240,504)-MAX('Activities'!K240,498))</x:f>
        <x:v>0</x:v>
      </x:c>
      <x:c r="CK240" s="22" t="n">
        <x:f>MAX(0,MIN('Activities'!L240,510)-MAX('Activities'!K240,504))</x:f>
        <x:v>0</x:v>
      </x:c>
      <x:c r="CL240" s="22" t="n">
        <x:f>MAX(0,MIN('Activities'!L240,516)-MAX('Activities'!K240,510))</x:f>
        <x:v>0</x:v>
      </x:c>
      <x:c r="CM240" s="22" t="n">
        <x:f>MAX(0,MIN('Activities'!L240,522)-MAX('Activities'!K240,516))</x:f>
        <x:v>0</x:v>
      </x:c>
      <x:c r="CN240" s="22" t="n">
        <x:f>MAX(0,MIN('Activities'!L240,528)-MAX('Activities'!K240,522))</x:f>
        <x:v>0</x:v>
      </x:c>
      <x:c r="CO240" s="22" t="n">
        <x:f>MAX(0,MIN('Activities'!L240,534)-MAX('Activities'!K240,528))</x:f>
        <x:v>0</x:v>
      </x:c>
      <x:c r="CP240" s="22" t="n">
        <x:f>MAX(0,MIN('Activities'!L240,540)-MAX('Activities'!K240,534))</x:f>
        <x:v>0</x:v>
      </x:c>
      <x:c r="CQ240" s="22" t="n">
        <x:f>MAX(0,MIN('Activities'!L240,546)-MAX('Activities'!K240,540))</x:f>
        <x:v>0</x:v>
      </x:c>
      <x:c r="CR240" s="22" t="n">
        <x:f>MAX(0,MIN('Activities'!L240,552)-MAX('Activities'!K240,546))</x:f>
        <x:v>0</x:v>
      </x:c>
      <x:c r="CS240" s="22" t="n">
        <x:f>MAX(0,MIN('Activities'!L240,558)-MAX('Activities'!K240,552))</x:f>
        <x:v>0</x:v>
      </x:c>
      <x:c r="CT240" s="22" t="n">
        <x:f>MAX(0,MIN('Activities'!L240,564)-MAX('Activities'!K240,558))</x:f>
        <x:v>0</x:v>
      </x:c>
      <x:c r="CU240" s="22" t="n">
        <x:f>MAX(0,MIN('Activities'!L240,570)-MAX('Activities'!K240,564))</x:f>
        <x:v>0</x:v>
      </x:c>
      <x:c r="CV240" s="22" t="n">
        <x:f>MAX(0,MIN('Activities'!L240,576)-MAX('Activities'!K240,570))</x:f>
        <x:v>0</x:v>
      </x:c>
      <x:c r="CW240" s="22" t="n">
        <x:f>MAX(0,MIN('Activities'!L240,582)-MAX('Activities'!K240,576))</x:f>
        <x:v>0</x:v>
      </x:c>
      <x:c r="CX240" s="22" t="n">
        <x:f>MAX(0,MIN('Activities'!L240,588)-MAX('Activities'!K240,582))</x:f>
        <x:v>0</x:v>
      </x:c>
      <x:c r="CY240" s="22" t="n">
        <x:f>MAX(0,MIN('Activities'!L240,594)-MAX('Activities'!K240,588))</x:f>
        <x:v>0</x:v>
      </x:c>
      <x:c r="CZ240" s="22" t="n">
        <x:f>MAX(0,MIN('Activities'!L240,600)-MAX('Activities'!K240,594))</x:f>
        <x:v>0</x:v>
      </x:c>
      <x:c r="DA240" s="22" t="n">
        <x:f>MAX(0,MIN('Activities'!L240,606)-MAX('Activities'!K240,600))</x:f>
        <x:v>0</x:v>
      </x:c>
      <x:c r="DB240" s="22" t="n">
        <x:f>MAX(0,MIN('Activities'!L240,612)-MAX('Activities'!K240,606))</x:f>
        <x:v>0</x:v>
      </x:c>
      <x:c r="DC240" s="22" t="n">
        <x:f>MAX(0,MIN('Activities'!L240,618)-MAX('Activities'!K240,612))</x:f>
        <x:v>0</x:v>
      </x:c>
      <x:c r="DD240" s="22" t="n">
        <x:f>MAX(0,MIN('Activities'!L240,624)-MAX('Activities'!K240,618))</x:f>
        <x:v>0</x:v>
      </x:c>
      <x:c r="DE240" s="22" t="n">
        <x:f>MAX(0,MIN('Activities'!L240,630)-MAX('Activities'!K240,624))</x:f>
        <x:v>0</x:v>
      </x:c>
      <x:c r="DF240" s="22" t="n">
        <x:f>MAX(0,MIN('Activities'!L240,636)-MAX('Activities'!K240,630))</x:f>
        <x:v>0</x:v>
      </x:c>
    </x:row>
    <x:row r="241" ht="23" customHeight="1">
      <x:c r="A241" s="1" t="str">
        <x:v>T2-L06-P</x:v>
      </x:c>
      <x:c r="B241" s="1" t="str">
        <x:v>T2</x:v>
      </x:c>
      <x:c r="C241" s="1" t="str">
        <x:v>Internal plaster</x:v>
      </x:c>
      <x:c r="D241" s="1" t="str">
        <x:v>Finishes</x:v>
      </x:c>
      <x:c r="E241" s="23" t="n">
        <x:f>MAX(0,MIN('Activities'!L241,6)-MAX('Activities'!K241,0))</x:f>
        <x:v>0</x:v>
      </x:c>
      <x:c r="F241" s="23" t="n">
        <x:f>MAX(0,MIN('Activities'!L241,12)-MAX('Activities'!K241,6))</x:f>
        <x:v>0</x:v>
      </x:c>
      <x:c r="G241" s="23" t="n">
        <x:f>MAX(0,MIN('Activities'!L241,18)-MAX('Activities'!K241,12))</x:f>
        <x:v>0</x:v>
      </x:c>
      <x:c r="H241" s="23" t="n">
        <x:f>MAX(0,MIN('Activities'!L241,24)-MAX('Activities'!K241,18))</x:f>
        <x:v>0</x:v>
      </x:c>
      <x:c r="I241" s="23" t="n">
        <x:f>MAX(0,MIN('Activities'!L241,30)-MAX('Activities'!K241,24))</x:f>
        <x:v>0</x:v>
      </x:c>
      <x:c r="J241" s="23" t="n">
        <x:f>MAX(0,MIN('Activities'!L241,36)-MAX('Activities'!K241,30))</x:f>
        <x:v>0</x:v>
      </x:c>
      <x:c r="K241" s="23" t="n">
        <x:f>MAX(0,MIN('Activities'!L241,42)-MAX('Activities'!K241,36))</x:f>
        <x:v>0</x:v>
      </x:c>
      <x:c r="L241" s="23" t="n">
        <x:f>MAX(0,MIN('Activities'!L241,48)-MAX('Activities'!K241,42))</x:f>
        <x:v>0</x:v>
      </x:c>
      <x:c r="M241" s="23" t="n">
        <x:f>MAX(0,MIN('Activities'!L241,54)-MAX('Activities'!K241,48))</x:f>
        <x:v>0</x:v>
      </x:c>
      <x:c r="N241" s="23" t="n">
        <x:f>MAX(0,MIN('Activities'!L241,60)-MAX('Activities'!K241,54))</x:f>
        <x:v>0</x:v>
      </x:c>
      <x:c r="O241" s="23" t="n">
        <x:f>MAX(0,MIN('Activities'!L241,66)-MAX('Activities'!K241,60))</x:f>
        <x:v>0</x:v>
      </x:c>
      <x:c r="P241" s="23" t="n">
        <x:f>MAX(0,MIN('Activities'!L241,72)-MAX('Activities'!K241,66))</x:f>
        <x:v>0</x:v>
      </x:c>
      <x:c r="Q241" s="23" t="n">
        <x:f>MAX(0,MIN('Activities'!L241,78)-MAX('Activities'!K241,72))</x:f>
        <x:v>0</x:v>
      </x:c>
      <x:c r="R241" s="23" t="n">
        <x:f>MAX(0,MIN('Activities'!L241,84)-MAX('Activities'!K241,78))</x:f>
        <x:v>0</x:v>
      </x:c>
      <x:c r="S241" s="23" t="n">
        <x:f>MAX(0,MIN('Activities'!L241,90)-MAX('Activities'!K241,84))</x:f>
        <x:v>0</x:v>
      </x:c>
      <x:c r="T241" s="23" t="n">
        <x:f>MAX(0,MIN('Activities'!L241,96)-MAX('Activities'!K241,90))</x:f>
        <x:v>0</x:v>
      </x:c>
      <x:c r="U241" s="23" t="n">
        <x:f>MAX(0,MIN('Activities'!L241,102)-MAX('Activities'!K241,96))</x:f>
        <x:v>0</x:v>
      </x:c>
      <x:c r="V241" s="23" t="n">
        <x:f>MAX(0,MIN('Activities'!L241,108)-MAX('Activities'!K241,102))</x:f>
        <x:v>0</x:v>
      </x:c>
      <x:c r="W241" s="23" t="n">
        <x:f>MAX(0,MIN('Activities'!L241,114)-MAX('Activities'!K241,108))</x:f>
        <x:v>0</x:v>
      </x:c>
      <x:c r="X241" s="23" t="n">
        <x:f>MAX(0,MIN('Activities'!L241,120)-MAX('Activities'!K241,114))</x:f>
        <x:v>0</x:v>
      </x:c>
      <x:c r="Y241" s="23" t="n">
        <x:f>MAX(0,MIN('Activities'!L241,126)-MAX('Activities'!K241,120))</x:f>
        <x:v>0</x:v>
      </x:c>
      <x:c r="Z241" s="23" t="n">
        <x:f>MAX(0,MIN('Activities'!L241,132)-MAX('Activities'!K241,126))</x:f>
        <x:v>0</x:v>
      </x:c>
      <x:c r="AA241" s="23" t="n">
        <x:f>MAX(0,MIN('Activities'!L241,138)-MAX('Activities'!K241,132))</x:f>
        <x:v>0</x:v>
      </x:c>
      <x:c r="AB241" s="23" t="n">
        <x:f>MAX(0,MIN('Activities'!L241,144)-MAX('Activities'!K241,138))</x:f>
        <x:v>0</x:v>
      </x:c>
      <x:c r="AC241" s="23" t="n">
        <x:f>MAX(0,MIN('Activities'!L241,150)-MAX('Activities'!K241,144))</x:f>
        <x:v>0</x:v>
      </x:c>
      <x:c r="AD241" s="23" t="n">
        <x:f>MAX(0,MIN('Activities'!L241,156)-MAX('Activities'!K241,150))</x:f>
        <x:v>0</x:v>
      </x:c>
      <x:c r="AE241" s="23" t="n">
        <x:f>MAX(0,MIN('Activities'!L241,162)-MAX('Activities'!K241,156))</x:f>
        <x:v>0</x:v>
      </x:c>
      <x:c r="AF241" s="23" t="n">
        <x:f>MAX(0,MIN('Activities'!L241,168)-MAX('Activities'!K241,162))</x:f>
        <x:v>0</x:v>
      </x:c>
      <x:c r="AG241" s="23" t="n">
        <x:f>MAX(0,MIN('Activities'!L241,174)-MAX('Activities'!K241,168))</x:f>
        <x:v>0</x:v>
      </x:c>
      <x:c r="AH241" s="23" t="n">
        <x:f>MAX(0,MIN('Activities'!L241,180)-MAX('Activities'!K241,174))</x:f>
        <x:v>0</x:v>
      </x:c>
      <x:c r="AI241" s="23" t="n">
        <x:f>MAX(0,MIN('Activities'!L241,186)-MAX('Activities'!K241,180))</x:f>
        <x:v>0</x:v>
      </x:c>
      <x:c r="AJ241" s="23" t="n">
        <x:f>MAX(0,MIN('Activities'!L241,192)-MAX('Activities'!K241,186))</x:f>
        <x:v>0</x:v>
      </x:c>
      <x:c r="AK241" s="23" t="n">
        <x:f>MAX(0,MIN('Activities'!L241,198)-MAX('Activities'!K241,192))</x:f>
        <x:v>0</x:v>
      </x:c>
      <x:c r="AL241" s="23" t="n">
        <x:f>MAX(0,MIN('Activities'!L241,204)-MAX('Activities'!K241,198))</x:f>
        <x:v>0</x:v>
      </x:c>
      <x:c r="AM241" s="23" t="n">
        <x:f>MAX(0,MIN('Activities'!L241,210)-MAX('Activities'!K241,204))</x:f>
        <x:v>0</x:v>
      </x:c>
      <x:c r="AN241" s="23" t="n">
        <x:f>MAX(0,MIN('Activities'!L241,216)-MAX('Activities'!K241,210))</x:f>
        <x:v>0</x:v>
      </x:c>
      <x:c r="AO241" s="23" t="n">
        <x:f>MAX(0,MIN('Activities'!L241,222)-MAX('Activities'!K241,216))</x:f>
        <x:v>0</x:v>
      </x:c>
      <x:c r="AP241" s="23" t="n">
        <x:f>MAX(0,MIN('Activities'!L241,228)-MAX('Activities'!K241,222))</x:f>
        <x:v>0</x:v>
      </x:c>
      <x:c r="AQ241" s="23" t="n">
        <x:f>MAX(0,MIN('Activities'!L241,234)-MAX('Activities'!K241,228))</x:f>
        <x:v>0</x:v>
      </x:c>
      <x:c r="AR241" s="23" t="n">
        <x:f>MAX(0,MIN('Activities'!L241,240)-MAX('Activities'!K241,234))</x:f>
        <x:v>0</x:v>
      </x:c>
      <x:c r="AS241" s="23" t="n">
        <x:f>MAX(0,MIN('Activities'!L241,246)-MAX('Activities'!K241,240))</x:f>
        <x:v>0</x:v>
      </x:c>
      <x:c r="AT241" s="23" t="n">
        <x:f>MAX(0,MIN('Activities'!L241,252)-MAX('Activities'!K241,246))</x:f>
        <x:v>0</x:v>
      </x:c>
      <x:c r="AU241" s="23" t="n">
        <x:f>MAX(0,MIN('Activities'!L241,258)-MAX('Activities'!K241,252))</x:f>
        <x:v>0</x:v>
      </x:c>
      <x:c r="AV241" s="23" t="n">
        <x:f>MAX(0,MIN('Activities'!L241,264)-MAX('Activities'!K241,258))</x:f>
        <x:v>0</x:v>
      </x:c>
      <x:c r="AW241" s="23" t="n">
        <x:f>MAX(0,MIN('Activities'!L241,270)-MAX('Activities'!K241,264))</x:f>
        <x:v>0</x:v>
      </x:c>
      <x:c r="AX241" s="23" t="n">
        <x:f>MAX(0,MIN('Activities'!L241,276)-MAX('Activities'!K241,270))</x:f>
        <x:v>0</x:v>
      </x:c>
      <x:c r="AY241" s="23" t="n">
        <x:f>MAX(0,MIN('Activities'!L241,282)-MAX('Activities'!K241,276))</x:f>
        <x:v>0</x:v>
      </x:c>
      <x:c r="AZ241" s="23" t="n">
        <x:f>MAX(0,MIN('Activities'!L241,288)-MAX('Activities'!K241,282))</x:f>
        <x:v>0</x:v>
      </x:c>
      <x:c r="BA241" s="23" t="n">
        <x:f>MAX(0,MIN('Activities'!L241,294)-MAX('Activities'!K241,288))</x:f>
        <x:v>0</x:v>
      </x:c>
      <x:c r="BB241" s="23" t="n">
        <x:f>MAX(0,MIN('Activities'!L241,300)-MAX('Activities'!K241,294))</x:f>
        <x:v>0</x:v>
      </x:c>
      <x:c r="BC241" s="23" t="n">
        <x:f>MAX(0,MIN('Activities'!L241,306)-MAX('Activities'!K241,300))</x:f>
        <x:v>0</x:v>
      </x:c>
      <x:c r="BD241" s="23" t="n">
        <x:f>MAX(0,MIN('Activities'!L241,312)-MAX('Activities'!K241,306))</x:f>
        <x:v>0</x:v>
      </x:c>
      <x:c r="BE241" s="23" t="n">
        <x:f>MAX(0,MIN('Activities'!L241,318)-MAX('Activities'!K241,312))</x:f>
        <x:v>0</x:v>
      </x:c>
      <x:c r="BF241" s="23" t="n">
        <x:f>MAX(0,MIN('Activities'!L241,324)-MAX('Activities'!K241,318))</x:f>
        <x:v>0</x:v>
      </x:c>
      <x:c r="BG241" s="23" t="n">
        <x:f>MAX(0,MIN('Activities'!L241,330)-MAX('Activities'!K241,324))</x:f>
        <x:v>0</x:v>
      </x:c>
      <x:c r="BH241" s="23" t="n">
        <x:f>MAX(0,MIN('Activities'!L241,336)-MAX('Activities'!K241,330))</x:f>
        <x:v>0</x:v>
      </x:c>
      <x:c r="BI241" s="23" t="n">
        <x:f>MAX(0,MIN('Activities'!L241,342)-MAX('Activities'!K241,336))</x:f>
        <x:v>3</x:v>
      </x:c>
      <x:c r="BJ241" s="23" t="n">
        <x:f>MAX(0,MIN('Activities'!L241,348)-MAX('Activities'!K241,342))</x:f>
        <x:v>3</x:v>
      </x:c>
      <x:c r="BK241" s="23" t="n">
        <x:f>MAX(0,MIN('Activities'!L241,354)-MAX('Activities'!K241,348))</x:f>
        <x:v>0</x:v>
      </x:c>
      <x:c r="BL241" s="23" t="n">
        <x:f>MAX(0,MIN('Activities'!L241,360)-MAX('Activities'!K241,354))</x:f>
        <x:v>0</x:v>
      </x:c>
      <x:c r="BM241" s="23" t="n">
        <x:f>MAX(0,MIN('Activities'!L241,366)-MAX('Activities'!K241,360))</x:f>
        <x:v>0</x:v>
      </x:c>
      <x:c r="BN241" s="23" t="n">
        <x:f>MAX(0,MIN('Activities'!L241,372)-MAX('Activities'!K241,366))</x:f>
        <x:v>0</x:v>
      </x:c>
      <x:c r="BO241" s="23" t="n">
        <x:f>MAX(0,MIN('Activities'!L241,378)-MAX('Activities'!K241,372))</x:f>
        <x:v>0</x:v>
      </x:c>
      <x:c r="BP241" s="23" t="n">
        <x:f>MAX(0,MIN('Activities'!L241,384)-MAX('Activities'!K241,378))</x:f>
        <x:v>0</x:v>
      </x:c>
      <x:c r="BQ241" s="23" t="n">
        <x:f>MAX(0,MIN('Activities'!L241,390)-MAX('Activities'!K241,384))</x:f>
        <x:v>0</x:v>
      </x:c>
      <x:c r="BR241" s="23" t="n">
        <x:f>MAX(0,MIN('Activities'!L241,396)-MAX('Activities'!K241,390))</x:f>
        <x:v>0</x:v>
      </x:c>
      <x:c r="BS241" s="23" t="n">
        <x:f>MAX(0,MIN('Activities'!L241,402)-MAX('Activities'!K241,396))</x:f>
        <x:v>0</x:v>
      </x:c>
      <x:c r="BT241" s="23" t="n">
        <x:f>MAX(0,MIN('Activities'!L241,408)-MAX('Activities'!K241,402))</x:f>
        <x:v>0</x:v>
      </x:c>
      <x:c r="BU241" s="23" t="n">
        <x:f>MAX(0,MIN('Activities'!L241,414)-MAX('Activities'!K241,408))</x:f>
        <x:v>0</x:v>
      </x:c>
      <x:c r="BV241" s="23" t="n">
        <x:f>MAX(0,MIN('Activities'!L241,420)-MAX('Activities'!K241,414))</x:f>
        <x:v>0</x:v>
      </x:c>
      <x:c r="BW241" s="23" t="n">
        <x:f>MAX(0,MIN('Activities'!L241,426)-MAX('Activities'!K241,420))</x:f>
        <x:v>0</x:v>
      </x:c>
      <x:c r="BX241" s="23" t="n">
        <x:f>MAX(0,MIN('Activities'!L241,432)-MAX('Activities'!K241,426))</x:f>
        <x:v>0</x:v>
      </x:c>
      <x:c r="BY241" s="23" t="n">
        <x:f>MAX(0,MIN('Activities'!L241,438)-MAX('Activities'!K241,432))</x:f>
        <x:v>0</x:v>
      </x:c>
      <x:c r="BZ241" s="23" t="n">
        <x:f>MAX(0,MIN('Activities'!L241,444)-MAX('Activities'!K241,438))</x:f>
        <x:v>0</x:v>
      </x:c>
      <x:c r="CA241" s="23" t="n">
        <x:f>MAX(0,MIN('Activities'!L241,450)-MAX('Activities'!K241,444))</x:f>
        <x:v>0</x:v>
      </x:c>
      <x:c r="CB241" s="23" t="n">
        <x:f>MAX(0,MIN('Activities'!L241,456)-MAX('Activities'!K241,450))</x:f>
        <x:v>0</x:v>
      </x:c>
      <x:c r="CC241" s="23" t="n">
        <x:f>MAX(0,MIN('Activities'!L241,462)-MAX('Activities'!K241,456))</x:f>
        <x:v>0</x:v>
      </x:c>
      <x:c r="CD241" s="23" t="n">
        <x:f>MAX(0,MIN('Activities'!L241,468)-MAX('Activities'!K241,462))</x:f>
        <x:v>0</x:v>
      </x:c>
      <x:c r="CE241" s="23" t="n">
        <x:f>MAX(0,MIN('Activities'!L241,474)-MAX('Activities'!K241,468))</x:f>
        <x:v>0</x:v>
      </x:c>
      <x:c r="CF241" s="23" t="n">
        <x:f>MAX(0,MIN('Activities'!L241,480)-MAX('Activities'!K241,474))</x:f>
        <x:v>0</x:v>
      </x:c>
      <x:c r="CG241" s="23" t="n">
        <x:f>MAX(0,MIN('Activities'!L241,486)-MAX('Activities'!K241,480))</x:f>
        <x:v>0</x:v>
      </x:c>
      <x:c r="CH241" s="23" t="n">
        <x:f>MAX(0,MIN('Activities'!L241,492)-MAX('Activities'!K241,486))</x:f>
        <x:v>0</x:v>
      </x:c>
      <x:c r="CI241" s="23" t="n">
        <x:f>MAX(0,MIN('Activities'!L241,498)-MAX('Activities'!K241,492))</x:f>
        <x:v>0</x:v>
      </x:c>
      <x:c r="CJ241" s="23" t="n">
        <x:f>MAX(0,MIN('Activities'!L241,504)-MAX('Activities'!K241,498))</x:f>
        <x:v>0</x:v>
      </x:c>
      <x:c r="CK241" s="23" t="n">
        <x:f>MAX(0,MIN('Activities'!L241,510)-MAX('Activities'!K241,504))</x:f>
        <x:v>0</x:v>
      </x:c>
      <x:c r="CL241" s="23" t="n">
        <x:f>MAX(0,MIN('Activities'!L241,516)-MAX('Activities'!K241,510))</x:f>
        <x:v>0</x:v>
      </x:c>
      <x:c r="CM241" s="23" t="n">
        <x:f>MAX(0,MIN('Activities'!L241,522)-MAX('Activities'!K241,516))</x:f>
        <x:v>0</x:v>
      </x:c>
      <x:c r="CN241" s="23" t="n">
        <x:f>MAX(0,MIN('Activities'!L241,528)-MAX('Activities'!K241,522))</x:f>
        <x:v>0</x:v>
      </x:c>
      <x:c r="CO241" s="23" t="n">
        <x:f>MAX(0,MIN('Activities'!L241,534)-MAX('Activities'!K241,528))</x:f>
        <x:v>0</x:v>
      </x:c>
      <x:c r="CP241" s="23" t="n">
        <x:f>MAX(0,MIN('Activities'!L241,540)-MAX('Activities'!K241,534))</x:f>
        <x:v>0</x:v>
      </x:c>
      <x:c r="CQ241" s="23" t="n">
        <x:f>MAX(0,MIN('Activities'!L241,546)-MAX('Activities'!K241,540))</x:f>
        <x:v>0</x:v>
      </x:c>
      <x:c r="CR241" s="23" t="n">
        <x:f>MAX(0,MIN('Activities'!L241,552)-MAX('Activities'!K241,546))</x:f>
        <x:v>0</x:v>
      </x:c>
      <x:c r="CS241" s="23" t="n">
        <x:f>MAX(0,MIN('Activities'!L241,558)-MAX('Activities'!K241,552))</x:f>
        <x:v>0</x:v>
      </x:c>
      <x:c r="CT241" s="23" t="n">
        <x:f>MAX(0,MIN('Activities'!L241,564)-MAX('Activities'!K241,558))</x:f>
        <x:v>0</x:v>
      </x:c>
      <x:c r="CU241" s="23" t="n">
        <x:f>MAX(0,MIN('Activities'!L241,570)-MAX('Activities'!K241,564))</x:f>
        <x:v>0</x:v>
      </x:c>
      <x:c r="CV241" s="23" t="n">
        <x:f>MAX(0,MIN('Activities'!L241,576)-MAX('Activities'!K241,570))</x:f>
        <x:v>0</x:v>
      </x:c>
      <x:c r="CW241" s="23" t="n">
        <x:f>MAX(0,MIN('Activities'!L241,582)-MAX('Activities'!K241,576))</x:f>
        <x:v>0</x:v>
      </x:c>
      <x:c r="CX241" s="23" t="n">
        <x:f>MAX(0,MIN('Activities'!L241,588)-MAX('Activities'!K241,582))</x:f>
        <x:v>0</x:v>
      </x:c>
      <x:c r="CY241" s="23" t="n">
        <x:f>MAX(0,MIN('Activities'!L241,594)-MAX('Activities'!K241,588))</x:f>
        <x:v>0</x:v>
      </x:c>
      <x:c r="CZ241" s="23" t="n">
        <x:f>MAX(0,MIN('Activities'!L241,600)-MAX('Activities'!K241,594))</x:f>
        <x:v>0</x:v>
      </x:c>
      <x:c r="DA241" s="23" t="n">
        <x:f>MAX(0,MIN('Activities'!L241,606)-MAX('Activities'!K241,600))</x:f>
        <x:v>0</x:v>
      </x:c>
      <x:c r="DB241" s="23" t="n">
        <x:f>MAX(0,MIN('Activities'!L241,612)-MAX('Activities'!K241,606))</x:f>
        <x:v>0</x:v>
      </x:c>
      <x:c r="DC241" s="23" t="n">
        <x:f>MAX(0,MIN('Activities'!L241,618)-MAX('Activities'!K241,612))</x:f>
        <x:v>0</x:v>
      </x:c>
      <x:c r="DD241" s="23" t="n">
        <x:f>MAX(0,MIN('Activities'!L241,624)-MAX('Activities'!K241,618))</x:f>
        <x:v>0</x:v>
      </x:c>
      <x:c r="DE241" s="23" t="n">
        <x:f>MAX(0,MIN('Activities'!L241,630)-MAX('Activities'!K241,624))</x:f>
        <x:v>0</x:v>
      </x:c>
      <x:c r="DF241" s="23" t="n">
        <x:f>MAX(0,MIN('Activities'!L241,636)-MAX('Activities'!K241,630))</x:f>
        <x:v>0</x:v>
      </x:c>
    </x:row>
    <x:row r="242" ht="23" customHeight="1">
      <x:c r="A242" s="6" t="str">
        <x:v>T2-L06-S</x:v>
      </x:c>
      <x:c r="B242" s="6" t="str">
        <x:v>T2</x:v>
      </x:c>
      <x:c r="C242" s="6" t="str">
        <x:v>Screed and substrate preparation</x:v>
      </x:c>
      <x:c r="D242" s="6" t="str">
        <x:v>Finishes</x:v>
      </x:c>
      <x:c r="E242" s="22" t="n">
        <x:f>MAX(0,MIN('Activities'!L242,6)-MAX('Activities'!K242,0))</x:f>
        <x:v>0</x:v>
      </x:c>
      <x:c r="F242" s="22" t="n">
        <x:f>MAX(0,MIN('Activities'!L242,12)-MAX('Activities'!K242,6))</x:f>
        <x:v>0</x:v>
      </x:c>
      <x:c r="G242" s="22" t="n">
        <x:f>MAX(0,MIN('Activities'!L242,18)-MAX('Activities'!K242,12))</x:f>
        <x:v>0</x:v>
      </x:c>
      <x:c r="H242" s="22" t="n">
        <x:f>MAX(0,MIN('Activities'!L242,24)-MAX('Activities'!K242,18))</x:f>
        <x:v>0</x:v>
      </x:c>
      <x:c r="I242" s="22" t="n">
        <x:f>MAX(0,MIN('Activities'!L242,30)-MAX('Activities'!K242,24))</x:f>
        <x:v>0</x:v>
      </x:c>
      <x:c r="J242" s="22" t="n">
        <x:f>MAX(0,MIN('Activities'!L242,36)-MAX('Activities'!K242,30))</x:f>
        <x:v>0</x:v>
      </x:c>
      <x:c r="K242" s="22" t="n">
        <x:f>MAX(0,MIN('Activities'!L242,42)-MAX('Activities'!K242,36))</x:f>
        <x:v>0</x:v>
      </x:c>
      <x:c r="L242" s="22" t="n">
        <x:f>MAX(0,MIN('Activities'!L242,48)-MAX('Activities'!K242,42))</x:f>
        <x:v>0</x:v>
      </x:c>
      <x:c r="M242" s="22" t="n">
        <x:f>MAX(0,MIN('Activities'!L242,54)-MAX('Activities'!K242,48))</x:f>
        <x:v>0</x:v>
      </x:c>
      <x:c r="N242" s="22" t="n">
        <x:f>MAX(0,MIN('Activities'!L242,60)-MAX('Activities'!K242,54))</x:f>
        <x:v>0</x:v>
      </x:c>
      <x:c r="O242" s="22" t="n">
        <x:f>MAX(0,MIN('Activities'!L242,66)-MAX('Activities'!K242,60))</x:f>
        <x:v>0</x:v>
      </x:c>
      <x:c r="P242" s="22" t="n">
        <x:f>MAX(0,MIN('Activities'!L242,72)-MAX('Activities'!K242,66))</x:f>
        <x:v>0</x:v>
      </x:c>
      <x:c r="Q242" s="22" t="n">
        <x:f>MAX(0,MIN('Activities'!L242,78)-MAX('Activities'!K242,72))</x:f>
        <x:v>0</x:v>
      </x:c>
      <x:c r="R242" s="22" t="n">
        <x:f>MAX(0,MIN('Activities'!L242,84)-MAX('Activities'!K242,78))</x:f>
        <x:v>0</x:v>
      </x:c>
      <x:c r="S242" s="22" t="n">
        <x:f>MAX(0,MIN('Activities'!L242,90)-MAX('Activities'!K242,84))</x:f>
        <x:v>0</x:v>
      </x:c>
      <x:c r="T242" s="22" t="n">
        <x:f>MAX(0,MIN('Activities'!L242,96)-MAX('Activities'!K242,90))</x:f>
        <x:v>0</x:v>
      </x:c>
      <x:c r="U242" s="22" t="n">
        <x:f>MAX(0,MIN('Activities'!L242,102)-MAX('Activities'!K242,96))</x:f>
        <x:v>0</x:v>
      </x:c>
      <x:c r="V242" s="22" t="n">
        <x:f>MAX(0,MIN('Activities'!L242,108)-MAX('Activities'!K242,102))</x:f>
        <x:v>0</x:v>
      </x:c>
      <x:c r="W242" s="22" t="n">
        <x:f>MAX(0,MIN('Activities'!L242,114)-MAX('Activities'!K242,108))</x:f>
        <x:v>0</x:v>
      </x:c>
      <x:c r="X242" s="22" t="n">
        <x:f>MAX(0,MIN('Activities'!L242,120)-MAX('Activities'!K242,114))</x:f>
        <x:v>0</x:v>
      </x:c>
      <x:c r="Y242" s="22" t="n">
        <x:f>MAX(0,MIN('Activities'!L242,126)-MAX('Activities'!K242,120))</x:f>
        <x:v>0</x:v>
      </x:c>
      <x:c r="Z242" s="22" t="n">
        <x:f>MAX(0,MIN('Activities'!L242,132)-MAX('Activities'!K242,126))</x:f>
        <x:v>0</x:v>
      </x:c>
      <x:c r="AA242" s="22" t="n">
        <x:f>MAX(0,MIN('Activities'!L242,138)-MAX('Activities'!K242,132))</x:f>
        <x:v>0</x:v>
      </x:c>
      <x:c r="AB242" s="22" t="n">
        <x:f>MAX(0,MIN('Activities'!L242,144)-MAX('Activities'!K242,138))</x:f>
        <x:v>0</x:v>
      </x:c>
      <x:c r="AC242" s="22" t="n">
        <x:f>MAX(0,MIN('Activities'!L242,150)-MAX('Activities'!K242,144))</x:f>
        <x:v>0</x:v>
      </x:c>
      <x:c r="AD242" s="22" t="n">
        <x:f>MAX(0,MIN('Activities'!L242,156)-MAX('Activities'!K242,150))</x:f>
        <x:v>0</x:v>
      </x:c>
      <x:c r="AE242" s="22" t="n">
        <x:f>MAX(0,MIN('Activities'!L242,162)-MAX('Activities'!K242,156))</x:f>
        <x:v>0</x:v>
      </x:c>
      <x:c r="AF242" s="22" t="n">
        <x:f>MAX(0,MIN('Activities'!L242,168)-MAX('Activities'!K242,162))</x:f>
        <x:v>0</x:v>
      </x:c>
      <x:c r="AG242" s="22" t="n">
        <x:f>MAX(0,MIN('Activities'!L242,174)-MAX('Activities'!K242,168))</x:f>
        <x:v>0</x:v>
      </x:c>
      <x:c r="AH242" s="22" t="n">
        <x:f>MAX(0,MIN('Activities'!L242,180)-MAX('Activities'!K242,174))</x:f>
        <x:v>0</x:v>
      </x:c>
      <x:c r="AI242" s="22" t="n">
        <x:f>MAX(0,MIN('Activities'!L242,186)-MAX('Activities'!K242,180))</x:f>
        <x:v>0</x:v>
      </x:c>
      <x:c r="AJ242" s="22" t="n">
        <x:f>MAX(0,MIN('Activities'!L242,192)-MAX('Activities'!K242,186))</x:f>
        <x:v>0</x:v>
      </x:c>
      <x:c r="AK242" s="22" t="n">
        <x:f>MAX(0,MIN('Activities'!L242,198)-MAX('Activities'!K242,192))</x:f>
        <x:v>0</x:v>
      </x:c>
      <x:c r="AL242" s="22" t="n">
        <x:f>MAX(0,MIN('Activities'!L242,204)-MAX('Activities'!K242,198))</x:f>
        <x:v>0</x:v>
      </x:c>
      <x:c r="AM242" s="22" t="n">
        <x:f>MAX(0,MIN('Activities'!L242,210)-MAX('Activities'!K242,204))</x:f>
        <x:v>0</x:v>
      </x:c>
      <x:c r="AN242" s="22" t="n">
        <x:f>MAX(0,MIN('Activities'!L242,216)-MAX('Activities'!K242,210))</x:f>
        <x:v>0</x:v>
      </x:c>
      <x:c r="AO242" s="22" t="n">
        <x:f>MAX(0,MIN('Activities'!L242,222)-MAX('Activities'!K242,216))</x:f>
        <x:v>0</x:v>
      </x:c>
      <x:c r="AP242" s="22" t="n">
        <x:f>MAX(0,MIN('Activities'!L242,228)-MAX('Activities'!K242,222))</x:f>
        <x:v>0</x:v>
      </x:c>
      <x:c r="AQ242" s="22" t="n">
        <x:f>MAX(0,MIN('Activities'!L242,234)-MAX('Activities'!K242,228))</x:f>
        <x:v>0</x:v>
      </x:c>
      <x:c r="AR242" s="22" t="n">
        <x:f>MAX(0,MIN('Activities'!L242,240)-MAX('Activities'!K242,234))</x:f>
        <x:v>0</x:v>
      </x:c>
      <x:c r="AS242" s="22" t="n">
        <x:f>MAX(0,MIN('Activities'!L242,246)-MAX('Activities'!K242,240))</x:f>
        <x:v>0</x:v>
      </x:c>
      <x:c r="AT242" s="22" t="n">
        <x:f>MAX(0,MIN('Activities'!L242,252)-MAX('Activities'!K242,246))</x:f>
        <x:v>0</x:v>
      </x:c>
      <x:c r="AU242" s="22" t="n">
        <x:f>MAX(0,MIN('Activities'!L242,258)-MAX('Activities'!K242,252))</x:f>
        <x:v>0</x:v>
      </x:c>
      <x:c r="AV242" s="22" t="n">
        <x:f>MAX(0,MIN('Activities'!L242,264)-MAX('Activities'!K242,258))</x:f>
        <x:v>0</x:v>
      </x:c>
      <x:c r="AW242" s="22" t="n">
        <x:f>MAX(0,MIN('Activities'!L242,270)-MAX('Activities'!K242,264))</x:f>
        <x:v>0</x:v>
      </x:c>
      <x:c r="AX242" s="22" t="n">
        <x:f>MAX(0,MIN('Activities'!L242,276)-MAX('Activities'!K242,270))</x:f>
        <x:v>0</x:v>
      </x:c>
      <x:c r="AY242" s="22" t="n">
        <x:f>MAX(0,MIN('Activities'!L242,282)-MAX('Activities'!K242,276))</x:f>
        <x:v>0</x:v>
      </x:c>
      <x:c r="AZ242" s="22" t="n">
        <x:f>MAX(0,MIN('Activities'!L242,288)-MAX('Activities'!K242,282))</x:f>
        <x:v>0</x:v>
      </x:c>
      <x:c r="BA242" s="22" t="n">
        <x:f>MAX(0,MIN('Activities'!L242,294)-MAX('Activities'!K242,288))</x:f>
        <x:v>0</x:v>
      </x:c>
      <x:c r="BB242" s="22" t="n">
        <x:f>MAX(0,MIN('Activities'!L242,300)-MAX('Activities'!K242,294))</x:f>
        <x:v>0</x:v>
      </x:c>
      <x:c r="BC242" s="22" t="n">
        <x:f>MAX(0,MIN('Activities'!L242,306)-MAX('Activities'!K242,300))</x:f>
        <x:v>0</x:v>
      </x:c>
      <x:c r="BD242" s="22" t="n">
        <x:f>MAX(0,MIN('Activities'!L242,312)-MAX('Activities'!K242,306))</x:f>
        <x:v>0</x:v>
      </x:c>
      <x:c r="BE242" s="22" t="n">
        <x:f>MAX(0,MIN('Activities'!L242,318)-MAX('Activities'!K242,312))</x:f>
        <x:v>0</x:v>
      </x:c>
      <x:c r="BF242" s="22" t="n">
        <x:f>MAX(0,MIN('Activities'!L242,324)-MAX('Activities'!K242,318))</x:f>
        <x:v>0</x:v>
      </x:c>
      <x:c r="BG242" s="22" t="n">
        <x:f>MAX(0,MIN('Activities'!L242,330)-MAX('Activities'!K242,324))</x:f>
        <x:v>0</x:v>
      </x:c>
      <x:c r="BH242" s="22" t="n">
        <x:f>MAX(0,MIN('Activities'!L242,336)-MAX('Activities'!K242,330))</x:f>
        <x:v>0</x:v>
      </x:c>
      <x:c r="BI242" s="22" t="n">
        <x:f>MAX(0,MIN('Activities'!L242,342)-MAX('Activities'!K242,336))</x:f>
        <x:v>0</x:v>
      </x:c>
      <x:c r="BJ242" s="22" t="n">
        <x:f>MAX(0,MIN('Activities'!L242,348)-MAX('Activities'!K242,342))</x:f>
        <x:v>1</x:v>
      </x:c>
      <x:c r="BK242" s="22" t="n">
        <x:f>MAX(0,MIN('Activities'!L242,354)-MAX('Activities'!K242,348))</x:f>
        <x:v>2</x:v>
      </x:c>
      <x:c r="BL242" s="22" t="n">
        <x:f>MAX(0,MIN('Activities'!L242,360)-MAX('Activities'!K242,354))</x:f>
        <x:v>0</x:v>
      </x:c>
      <x:c r="BM242" s="22" t="n">
        <x:f>MAX(0,MIN('Activities'!L242,366)-MAX('Activities'!K242,360))</x:f>
        <x:v>0</x:v>
      </x:c>
      <x:c r="BN242" s="22" t="n">
        <x:f>MAX(0,MIN('Activities'!L242,372)-MAX('Activities'!K242,366))</x:f>
        <x:v>0</x:v>
      </x:c>
      <x:c r="BO242" s="22" t="n">
        <x:f>MAX(0,MIN('Activities'!L242,378)-MAX('Activities'!K242,372))</x:f>
        <x:v>0</x:v>
      </x:c>
      <x:c r="BP242" s="22" t="n">
        <x:f>MAX(0,MIN('Activities'!L242,384)-MAX('Activities'!K242,378))</x:f>
        <x:v>0</x:v>
      </x:c>
      <x:c r="BQ242" s="22" t="n">
        <x:f>MAX(0,MIN('Activities'!L242,390)-MAX('Activities'!K242,384))</x:f>
        <x:v>0</x:v>
      </x:c>
      <x:c r="BR242" s="22" t="n">
        <x:f>MAX(0,MIN('Activities'!L242,396)-MAX('Activities'!K242,390))</x:f>
        <x:v>0</x:v>
      </x:c>
      <x:c r="BS242" s="22" t="n">
        <x:f>MAX(0,MIN('Activities'!L242,402)-MAX('Activities'!K242,396))</x:f>
        <x:v>0</x:v>
      </x:c>
      <x:c r="BT242" s="22" t="n">
        <x:f>MAX(0,MIN('Activities'!L242,408)-MAX('Activities'!K242,402))</x:f>
        <x:v>0</x:v>
      </x:c>
      <x:c r="BU242" s="22" t="n">
        <x:f>MAX(0,MIN('Activities'!L242,414)-MAX('Activities'!K242,408))</x:f>
        <x:v>0</x:v>
      </x:c>
      <x:c r="BV242" s="22" t="n">
        <x:f>MAX(0,MIN('Activities'!L242,420)-MAX('Activities'!K242,414))</x:f>
        <x:v>0</x:v>
      </x:c>
      <x:c r="BW242" s="22" t="n">
        <x:f>MAX(0,MIN('Activities'!L242,426)-MAX('Activities'!K242,420))</x:f>
        <x:v>0</x:v>
      </x:c>
      <x:c r="BX242" s="22" t="n">
        <x:f>MAX(0,MIN('Activities'!L242,432)-MAX('Activities'!K242,426))</x:f>
        <x:v>0</x:v>
      </x:c>
      <x:c r="BY242" s="22" t="n">
        <x:f>MAX(0,MIN('Activities'!L242,438)-MAX('Activities'!K242,432))</x:f>
        <x:v>0</x:v>
      </x:c>
      <x:c r="BZ242" s="22" t="n">
        <x:f>MAX(0,MIN('Activities'!L242,444)-MAX('Activities'!K242,438))</x:f>
        <x:v>0</x:v>
      </x:c>
      <x:c r="CA242" s="22" t="n">
        <x:f>MAX(0,MIN('Activities'!L242,450)-MAX('Activities'!K242,444))</x:f>
        <x:v>0</x:v>
      </x:c>
      <x:c r="CB242" s="22" t="n">
        <x:f>MAX(0,MIN('Activities'!L242,456)-MAX('Activities'!K242,450))</x:f>
        <x:v>0</x:v>
      </x:c>
      <x:c r="CC242" s="22" t="n">
        <x:f>MAX(0,MIN('Activities'!L242,462)-MAX('Activities'!K242,456))</x:f>
        <x:v>0</x:v>
      </x:c>
      <x:c r="CD242" s="22" t="n">
        <x:f>MAX(0,MIN('Activities'!L242,468)-MAX('Activities'!K242,462))</x:f>
        <x:v>0</x:v>
      </x:c>
      <x:c r="CE242" s="22" t="n">
        <x:f>MAX(0,MIN('Activities'!L242,474)-MAX('Activities'!K242,468))</x:f>
        <x:v>0</x:v>
      </x:c>
      <x:c r="CF242" s="22" t="n">
        <x:f>MAX(0,MIN('Activities'!L242,480)-MAX('Activities'!K242,474))</x:f>
        <x:v>0</x:v>
      </x:c>
      <x:c r="CG242" s="22" t="n">
        <x:f>MAX(0,MIN('Activities'!L242,486)-MAX('Activities'!K242,480))</x:f>
        <x:v>0</x:v>
      </x:c>
      <x:c r="CH242" s="22" t="n">
        <x:f>MAX(0,MIN('Activities'!L242,492)-MAX('Activities'!K242,486))</x:f>
        <x:v>0</x:v>
      </x:c>
      <x:c r="CI242" s="22" t="n">
        <x:f>MAX(0,MIN('Activities'!L242,498)-MAX('Activities'!K242,492))</x:f>
        <x:v>0</x:v>
      </x:c>
      <x:c r="CJ242" s="22" t="n">
        <x:f>MAX(0,MIN('Activities'!L242,504)-MAX('Activities'!K242,498))</x:f>
        <x:v>0</x:v>
      </x:c>
      <x:c r="CK242" s="22" t="n">
        <x:f>MAX(0,MIN('Activities'!L242,510)-MAX('Activities'!K242,504))</x:f>
        <x:v>0</x:v>
      </x:c>
      <x:c r="CL242" s="22" t="n">
        <x:f>MAX(0,MIN('Activities'!L242,516)-MAX('Activities'!K242,510))</x:f>
        <x:v>0</x:v>
      </x:c>
      <x:c r="CM242" s="22" t="n">
        <x:f>MAX(0,MIN('Activities'!L242,522)-MAX('Activities'!K242,516))</x:f>
        <x:v>0</x:v>
      </x:c>
      <x:c r="CN242" s="22" t="n">
        <x:f>MAX(0,MIN('Activities'!L242,528)-MAX('Activities'!K242,522))</x:f>
        <x:v>0</x:v>
      </x:c>
      <x:c r="CO242" s="22" t="n">
        <x:f>MAX(0,MIN('Activities'!L242,534)-MAX('Activities'!K242,528))</x:f>
        <x:v>0</x:v>
      </x:c>
      <x:c r="CP242" s="22" t="n">
        <x:f>MAX(0,MIN('Activities'!L242,540)-MAX('Activities'!K242,534))</x:f>
        <x:v>0</x:v>
      </x:c>
      <x:c r="CQ242" s="22" t="n">
        <x:f>MAX(0,MIN('Activities'!L242,546)-MAX('Activities'!K242,540))</x:f>
        <x:v>0</x:v>
      </x:c>
      <x:c r="CR242" s="22" t="n">
        <x:f>MAX(0,MIN('Activities'!L242,552)-MAX('Activities'!K242,546))</x:f>
        <x:v>0</x:v>
      </x:c>
      <x:c r="CS242" s="22" t="n">
        <x:f>MAX(0,MIN('Activities'!L242,558)-MAX('Activities'!K242,552))</x:f>
        <x:v>0</x:v>
      </x:c>
      <x:c r="CT242" s="22" t="n">
        <x:f>MAX(0,MIN('Activities'!L242,564)-MAX('Activities'!K242,558))</x:f>
        <x:v>0</x:v>
      </x:c>
      <x:c r="CU242" s="22" t="n">
        <x:f>MAX(0,MIN('Activities'!L242,570)-MAX('Activities'!K242,564))</x:f>
        <x:v>0</x:v>
      </x:c>
      <x:c r="CV242" s="22" t="n">
        <x:f>MAX(0,MIN('Activities'!L242,576)-MAX('Activities'!K242,570))</x:f>
        <x:v>0</x:v>
      </x:c>
      <x:c r="CW242" s="22" t="n">
        <x:f>MAX(0,MIN('Activities'!L242,582)-MAX('Activities'!K242,576))</x:f>
        <x:v>0</x:v>
      </x:c>
      <x:c r="CX242" s="22" t="n">
        <x:f>MAX(0,MIN('Activities'!L242,588)-MAX('Activities'!K242,582))</x:f>
        <x:v>0</x:v>
      </x:c>
      <x:c r="CY242" s="22" t="n">
        <x:f>MAX(0,MIN('Activities'!L242,594)-MAX('Activities'!K242,588))</x:f>
        <x:v>0</x:v>
      </x:c>
      <x:c r="CZ242" s="22" t="n">
        <x:f>MAX(0,MIN('Activities'!L242,600)-MAX('Activities'!K242,594))</x:f>
        <x:v>0</x:v>
      </x:c>
      <x:c r="DA242" s="22" t="n">
        <x:f>MAX(0,MIN('Activities'!L242,606)-MAX('Activities'!K242,600))</x:f>
        <x:v>0</x:v>
      </x:c>
      <x:c r="DB242" s="22" t="n">
        <x:f>MAX(0,MIN('Activities'!L242,612)-MAX('Activities'!K242,606))</x:f>
        <x:v>0</x:v>
      </x:c>
      <x:c r="DC242" s="22" t="n">
        <x:f>MAX(0,MIN('Activities'!L242,618)-MAX('Activities'!K242,612))</x:f>
        <x:v>0</x:v>
      </x:c>
      <x:c r="DD242" s="22" t="n">
        <x:f>MAX(0,MIN('Activities'!L242,624)-MAX('Activities'!K242,618))</x:f>
        <x:v>0</x:v>
      </x:c>
      <x:c r="DE242" s="22" t="n">
        <x:f>MAX(0,MIN('Activities'!L242,630)-MAX('Activities'!K242,624))</x:f>
        <x:v>0</x:v>
      </x:c>
      <x:c r="DF242" s="22" t="n">
        <x:f>MAX(0,MIN('Activities'!L242,636)-MAX('Activities'!K242,630))</x:f>
        <x:v>0</x:v>
      </x:c>
    </x:row>
    <x:row r="243" ht="23" customHeight="1">
      <x:c r="A243" s="1" t="str">
        <x:v>T2-L06-T</x:v>
      </x:c>
      <x:c r="B243" s="1" t="str">
        <x:v>T2</x:v>
      </x:c>
      <x:c r="C243" s="1" t="str">
        <x:v>Floor finishes and skirtings</x:v>
      </x:c>
      <x:c r="D243" s="1" t="str">
        <x:v>Finishes</x:v>
      </x:c>
      <x:c r="E243" s="23" t="n">
        <x:f>MAX(0,MIN('Activities'!L243,6)-MAX('Activities'!K243,0))</x:f>
        <x:v>0</x:v>
      </x:c>
      <x:c r="F243" s="23" t="n">
        <x:f>MAX(0,MIN('Activities'!L243,12)-MAX('Activities'!K243,6))</x:f>
        <x:v>0</x:v>
      </x:c>
      <x:c r="G243" s="23" t="n">
        <x:f>MAX(0,MIN('Activities'!L243,18)-MAX('Activities'!K243,12))</x:f>
        <x:v>0</x:v>
      </x:c>
      <x:c r="H243" s="23" t="n">
        <x:f>MAX(0,MIN('Activities'!L243,24)-MAX('Activities'!K243,18))</x:f>
        <x:v>0</x:v>
      </x:c>
      <x:c r="I243" s="23" t="n">
        <x:f>MAX(0,MIN('Activities'!L243,30)-MAX('Activities'!K243,24))</x:f>
        <x:v>0</x:v>
      </x:c>
      <x:c r="J243" s="23" t="n">
        <x:f>MAX(0,MIN('Activities'!L243,36)-MAX('Activities'!K243,30))</x:f>
        <x:v>0</x:v>
      </x:c>
      <x:c r="K243" s="23" t="n">
        <x:f>MAX(0,MIN('Activities'!L243,42)-MAX('Activities'!K243,36))</x:f>
        <x:v>0</x:v>
      </x:c>
      <x:c r="L243" s="23" t="n">
        <x:f>MAX(0,MIN('Activities'!L243,48)-MAX('Activities'!K243,42))</x:f>
        <x:v>0</x:v>
      </x:c>
      <x:c r="M243" s="23" t="n">
        <x:f>MAX(0,MIN('Activities'!L243,54)-MAX('Activities'!K243,48))</x:f>
        <x:v>0</x:v>
      </x:c>
      <x:c r="N243" s="23" t="n">
        <x:f>MAX(0,MIN('Activities'!L243,60)-MAX('Activities'!K243,54))</x:f>
        <x:v>0</x:v>
      </x:c>
      <x:c r="O243" s="23" t="n">
        <x:f>MAX(0,MIN('Activities'!L243,66)-MAX('Activities'!K243,60))</x:f>
        <x:v>0</x:v>
      </x:c>
      <x:c r="P243" s="23" t="n">
        <x:f>MAX(0,MIN('Activities'!L243,72)-MAX('Activities'!K243,66))</x:f>
        <x:v>0</x:v>
      </x:c>
      <x:c r="Q243" s="23" t="n">
        <x:f>MAX(0,MIN('Activities'!L243,78)-MAX('Activities'!K243,72))</x:f>
        <x:v>0</x:v>
      </x:c>
      <x:c r="R243" s="23" t="n">
        <x:f>MAX(0,MIN('Activities'!L243,84)-MAX('Activities'!K243,78))</x:f>
        <x:v>0</x:v>
      </x:c>
      <x:c r="S243" s="23" t="n">
        <x:f>MAX(0,MIN('Activities'!L243,90)-MAX('Activities'!K243,84))</x:f>
        <x:v>0</x:v>
      </x:c>
      <x:c r="T243" s="23" t="n">
        <x:f>MAX(0,MIN('Activities'!L243,96)-MAX('Activities'!K243,90))</x:f>
        <x:v>0</x:v>
      </x:c>
      <x:c r="U243" s="23" t="n">
        <x:f>MAX(0,MIN('Activities'!L243,102)-MAX('Activities'!K243,96))</x:f>
        <x:v>0</x:v>
      </x:c>
      <x:c r="V243" s="23" t="n">
        <x:f>MAX(0,MIN('Activities'!L243,108)-MAX('Activities'!K243,102))</x:f>
        <x:v>0</x:v>
      </x:c>
      <x:c r="W243" s="23" t="n">
        <x:f>MAX(0,MIN('Activities'!L243,114)-MAX('Activities'!K243,108))</x:f>
        <x:v>0</x:v>
      </x:c>
      <x:c r="X243" s="23" t="n">
        <x:f>MAX(0,MIN('Activities'!L243,120)-MAX('Activities'!K243,114))</x:f>
        <x:v>0</x:v>
      </x:c>
      <x:c r="Y243" s="23" t="n">
        <x:f>MAX(0,MIN('Activities'!L243,126)-MAX('Activities'!K243,120))</x:f>
        <x:v>0</x:v>
      </x:c>
      <x:c r="Z243" s="23" t="n">
        <x:f>MAX(0,MIN('Activities'!L243,132)-MAX('Activities'!K243,126))</x:f>
        <x:v>0</x:v>
      </x:c>
      <x:c r="AA243" s="23" t="n">
        <x:f>MAX(0,MIN('Activities'!L243,138)-MAX('Activities'!K243,132))</x:f>
        <x:v>0</x:v>
      </x:c>
      <x:c r="AB243" s="23" t="n">
        <x:f>MAX(0,MIN('Activities'!L243,144)-MAX('Activities'!K243,138))</x:f>
        <x:v>0</x:v>
      </x:c>
      <x:c r="AC243" s="23" t="n">
        <x:f>MAX(0,MIN('Activities'!L243,150)-MAX('Activities'!K243,144))</x:f>
        <x:v>0</x:v>
      </x:c>
      <x:c r="AD243" s="23" t="n">
        <x:f>MAX(0,MIN('Activities'!L243,156)-MAX('Activities'!K243,150))</x:f>
        <x:v>0</x:v>
      </x:c>
      <x:c r="AE243" s="23" t="n">
        <x:f>MAX(0,MIN('Activities'!L243,162)-MAX('Activities'!K243,156))</x:f>
        <x:v>0</x:v>
      </x:c>
      <x:c r="AF243" s="23" t="n">
        <x:f>MAX(0,MIN('Activities'!L243,168)-MAX('Activities'!K243,162))</x:f>
        <x:v>0</x:v>
      </x:c>
      <x:c r="AG243" s="23" t="n">
        <x:f>MAX(0,MIN('Activities'!L243,174)-MAX('Activities'!K243,168))</x:f>
        <x:v>0</x:v>
      </x:c>
      <x:c r="AH243" s="23" t="n">
        <x:f>MAX(0,MIN('Activities'!L243,180)-MAX('Activities'!K243,174))</x:f>
        <x:v>0</x:v>
      </x:c>
      <x:c r="AI243" s="23" t="n">
        <x:f>MAX(0,MIN('Activities'!L243,186)-MAX('Activities'!K243,180))</x:f>
        <x:v>0</x:v>
      </x:c>
      <x:c r="AJ243" s="23" t="n">
        <x:f>MAX(0,MIN('Activities'!L243,192)-MAX('Activities'!K243,186))</x:f>
        <x:v>0</x:v>
      </x:c>
      <x:c r="AK243" s="23" t="n">
        <x:f>MAX(0,MIN('Activities'!L243,198)-MAX('Activities'!K243,192))</x:f>
        <x:v>0</x:v>
      </x:c>
      <x:c r="AL243" s="23" t="n">
        <x:f>MAX(0,MIN('Activities'!L243,204)-MAX('Activities'!K243,198))</x:f>
        <x:v>0</x:v>
      </x:c>
      <x:c r="AM243" s="23" t="n">
        <x:f>MAX(0,MIN('Activities'!L243,210)-MAX('Activities'!K243,204))</x:f>
        <x:v>0</x:v>
      </x:c>
      <x:c r="AN243" s="23" t="n">
        <x:f>MAX(0,MIN('Activities'!L243,216)-MAX('Activities'!K243,210))</x:f>
        <x:v>0</x:v>
      </x:c>
      <x:c r="AO243" s="23" t="n">
        <x:f>MAX(0,MIN('Activities'!L243,222)-MAX('Activities'!K243,216))</x:f>
        <x:v>0</x:v>
      </x:c>
      <x:c r="AP243" s="23" t="n">
        <x:f>MAX(0,MIN('Activities'!L243,228)-MAX('Activities'!K243,222))</x:f>
        <x:v>0</x:v>
      </x:c>
      <x:c r="AQ243" s="23" t="n">
        <x:f>MAX(0,MIN('Activities'!L243,234)-MAX('Activities'!K243,228))</x:f>
        <x:v>0</x:v>
      </x:c>
      <x:c r="AR243" s="23" t="n">
        <x:f>MAX(0,MIN('Activities'!L243,240)-MAX('Activities'!K243,234))</x:f>
        <x:v>0</x:v>
      </x:c>
      <x:c r="AS243" s="23" t="n">
        <x:f>MAX(0,MIN('Activities'!L243,246)-MAX('Activities'!K243,240))</x:f>
        <x:v>0</x:v>
      </x:c>
      <x:c r="AT243" s="23" t="n">
        <x:f>MAX(0,MIN('Activities'!L243,252)-MAX('Activities'!K243,246))</x:f>
        <x:v>0</x:v>
      </x:c>
      <x:c r="AU243" s="23" t="n">
        <x:f>MAX(0,MIN('Activities'!L243,258)-MAX('Activities'!K243,252))</x:f>
        <x:v>0</x:v>
      </x:c>
      <x:c r="AV243" s="23" t="n">
        <x:f>MAX(0,MIN('Activities'!L243,264)-MAX('Activities'!K243,258))</x:f>
        <x:v>0</x:v>
      </x:c>
      <x:c r="AW243" s="23" t="n">
        <x:f>MAX(0,MIN('Activities'!L243,270)-MAX('Activities'!K243,264))</x:f>
        <x:v>0</x:v>
      </x:c>
      <x:c r="AX243" s="23" t="n">
        <x:f>MAX(0,MIN('Activities'!L243,276)-MAX('Activities'!K243,270))</x:f>
        <x:v>0</x:v>
      </x:c>
      <x:c r="AY243" s="23" t="n">
        <x:f>MAX(0,MIN('Activities'!L243,282)-MAX('Activities'!K243,276))</x:f>
        <x:v>0</x:v>
      </x:c>
      <x:c r="AZ243" s="23" t="n">
        <x:f>MAX(0,MIN('Activities'!L243,288)-MAX('Activities'!K243,282))</x:f>
        <x:v>0</x:v>
      </x:c>
      <x:c r="BA243" s="23" t="n">
        <x:f>MAX(0,MIN('Activities'!L243,294)-MAX('Activities'!K243,288))</x:f>
        <x:v>0</x:v>
      </x:c>
      <x:c r="BB243" s="23" t="n">
        <x:f>MAX(0,MIN('Activities'!L243,300)-MAX('Activities'!K243,294))</x:f>
        <x:v>0</x:v>
      </x:c>
      <x:c r="BC243" s="23" t="n">
        <x:f>MAX(0,MIN('Activities'!L243,306)-MAX('Activities'!K243,300))</x:f>
        <x:v>0</x:v>
      </x:c>
      <x:c r="BD243" s="23" t="n">
        <x:f>MAX(0,MIN('Activities'!L243,312)-MAX('Activities'!K243,306))</x:f>
        <x:v>0</x:v>
      </x:c>
      <x:c r="BE243" s="23" t="n">
        <x:f>MAX(0,MIN('Activities'!L243,318)-MAX('Activities'!K243,312))</x:f>
        <x:v>0</x:v>
      </x:c>
      <x:c r="BF243" s="23" t="n">
        <x:f>MAX(0,MIN('Activities'!L243,324)-MAX('Activities'!K243,318))</x:f>
        <x:v>0</x:v>
      </x:c>
      <x:c r="BG243" s="23" t="n">
        <x:f>MAX(0,MIN('Activities'!L243,330)-MAX('Activities'!K243,324))</x:f>
        <x:v>0</x:v>
      </x:c>
      <x:c r="BH243" s="23" t="n">
        <x:f>MAX(0,MIN('Activities'!L243,336)-MAX('Activities'!K243,330))</x:f>
        <x:v>0</x:v>
      </x:c>
      <x:c r="BI243" s="23" t="n">
        <x:f>MAX(0,MIN('Activities'!L243,342)-MAX('Activities'!K243,336))</x:f>
        <x:v>0</x:v>
      </x:c>
      <x:c r="BJ243" s="23" t="n">
        <x:f>MAX(0,MIN('Activities'!L243,348)-MAX('Activities'!K243,342))</x:f>
        <x:v>0</x:v>
      </x:c>
      <x:c r="BK243" s="23" t="n">
        <x:f>MAX(0,MIN('Activities'!L243,354)-MAX('Activities'!K243,348))</x:f>
        <x:v>0</x:v>
      </x:c>
      <x:c r="BL243" s="23" t="n">
        <x:f>MAX(0,MIN('Activities'!L243,360)-MAX('Activities'!K243,354))</x:f>
        <x:v>0</x:v>
      </x:c>
      <x:c r="BM243" s="23" t="n">
        <x:f>MAX(0,MIN('Activities'!L243,366)-MAX('Activities'!K243,360))</x:f>
        <x:v>0</x:v>
      </x:c>
      <x:c r="BN243" s="23" t="n">
        <x:f>MAX(0,MIN('Activities'!L243,372)-MAX('Activities'!K243,366))</x:f>
        <x:v>0</x:v>
      </x:c>
      <x:c r="BO243" s="23" t="n">
        <x:f>MAX(0,MIN('Activities'!L243,378)-MAX('Activities'!K243,372))</x:f>
        <x:v>0</x:v>
      </x:c>
      <x:c r="BP243" s="23" t="n">
        <x:f>MAX(0,MIN('Activities'!L243,384)-MAX('Activities'!K243,378))</x:f>
        <x:v>0</x:v>
      </x:c>
      <x:c r="BQ243" s="23" t="n">
        <x:f>MAX(0,MIN('Activities'!L243,390)-MAX('Activities'!K243,384))</x:f>
        <x:v>0</x:v>
      </x:c>
      <x:c r="BR243" s="23" t="n">
        <x:f>MAX(0,MIN('Activities'!L243,396)-MAX('Activities'!K243,390))</x:f>
        <x:v>0</x:v>
      </x:c>
      <x:c r="BS243" s="23" t="n">
        <x:f>MAX(0,MIN('Activities'!L243,402)-MAX('Activities'!K243,396))</x:f>
        <x:v>0</x:v>
      </x:c>
      <x:c r="BT243" s="23" t="n">
        <x:f>MAX(0,MIN('Activities'!L243,408)-MAX('Activities'!K243,402))</x:f>
        <x:v>0</x:v>
      </x:c>
      <x:c r="BU243" s="23" t="n">
        <x:f>MAX(0,MIN('Activities'!L243,414)-MAX('Activities'!K243,408))</x:f>
        <x:v>1</x:v>
      </x:c>
      <x:c r="BV243" s="23" t="n">
        <x:f>MAX(0,MIN('Activities'!L243,420)-MAX('Activities'!K243,414))</x:f>
        <x:v>5</x:v>
      </x:c>
      <x:c r="BW243" s="23" t="n">
        <x:f>MAX(0,MIN('Activities'!L243,426)-MAX('Activities'!K243,420))</x:f>
        <x:v>0</x:v>
      </x:c>
      <x:c r="BX243" s="23" t="n">
        <x:f>MAX(0,MIN('Activities'!L243,432)-MAX('Activities'!K243,426))</x:f>
        <x:v>0</x:v>
      </x:c>
      <x:c r="BY243" s="23" t="n">
        <x:f>MAX(0,MIN('Activities'!L243,438)-MAX('Activities'!K243,432))</x:f>
        <x:v>0</x:v>
      </x:c>
      <x:c r="BZ243" s="23" t="n">
        <x:f>MAX(0,MIN('Activities'!L243,444)-MAX('Activities'!K243,438))</x:f>
        <x:v>0</x:v>
      </x:c>
      <x:c r="CA243" s="23" t="n">
        <x:f>MAX(0,MIN('Activities'!L243,450)-MAX('Activities'!K243,444))</x:f>
        <x:v>0</x:v>
      </x:c>
      <x:c r="CB243" s="23" t="n">
        <x:f>MAX(0,MIN('Activities'!L243,456)-MAX('Activities'!K243,450))</x:f>
        <x:v>0</x:v>
      </x:c>
      <x:c r="CC243" s="23" t="n">
        <x:f>MAX(0,MIN('Activities'!L243,462)-MAX('Activities'!K243,456))</x:f>
        <x:v>0</x:v>
      </x:c>
      <x:c r="CD243" s="23" t="n">
        <x:f>MAX(0,MIN('Activities'!L243,468)-MAX('Activities'!K243,462))</x:f>
        <x:v>0</x:v>
      </x:c>
      <x:c r="CE243" s="23" t="n">
        <x:f>MAX(0,MIN('Activities'!L243,474)-MAX('Activities'!K243,468))</x:f>
        <x:v>0</x:v>
      </x:c>
      <x:c r="CF243" s="23" t="n">
        <x:f>MAX(0,MIN('Activities'!L243,480)-MAX('Activities'!K243,474))</x:f>
        <x:v>0</x:v>
      </x:c>
      <x:c r="CG243" s="23" t="n">
        <x:f>MAX(0,MIN('Activities'!L243,486)-MAX('Activities'!K243,480))</x:f>
        <x:v>0</x:v>
      </x:c>
      <x:c r="CH243" s="23" t="n">
        <x:f>MAX(0,MIN('Activities'!L243,492)-MAX('Activities'!K243,486))</x:f>
        <x:v>0</x:v>
      </x:c>
      <x:c r="CI243" s="23" t="n">
        <x:f>MAX(0,MIN('Activities'!L243,498)-MAX('Activities'!K243,492))</x:f>
        <x:v>0</x:v>
      </x:c>
      <x:c r="CJ243" s="23" t="n">
        <x:f>MAX(0,MIN('Activities'!L243,504)-MAX('Activities'!K243,498))</x:f>
        <x:v>0</x:v>
      </x:c>
      <x:c r="CK243" s="23" t="n">
        <x:f>MAX(0,MIN('Activities'!L243,510)-MAX('Activities'!K243,504))</x:f>
        <x:v>0</x:v>
      </x:c>
      <x:c r="CL243" s="23" t="n">
        <x:f>MAX(0,MIN('Activities'!L243,516)-MAX('Activities'!K243,510))</x:f>
        <x:v>0</x:v>
      </x:c>
      <x:c r="CM243" s="23" t="n">
        <x:f>MAX(0,MIN('Activities'!L243,522)-MAX('Activities'!K243,516))</x:f>
        <x:v>0</x:v>
      </x:c>
      <x:c r="CN243" s="23" t="n">
        <x:f>MAX(0,MIN('Activities'!L243,528)-MAX('Activities'!K243,522))</x:f>
        <x:v>0</x:v>
      </x:c>
      <x:c r="CO243" s="23" t="n">
        <x:f>MAX(0,MIN('Activities'!L243,534)-MAX('Activities'!K243,528))</x:f>
        <x:v>0</x:v>
      </x:c>
      <x:c r="CP243" s="23" t="n">
        <x:f>MAX(0,MIN('Activities'!L243,540)-MAX('Activities'!K243,534))</x:f>
        <x:v>0</x:v>
      </x:c>
      <x:c r="CQ243" s="23" t="n">
        <x:f>MAX(0,MIN('Activities'!L243,546)-MAX('Activities'!K243,540))</x:f>
        <x:v>0</x:v>
      </x:c>
      <x:c r="CR243" s="23" t="n">
        <x:f>MAX(0,MIN('Activities'!L243,552)-MAX('Activities'!K243,546))</x:f>
        <x:v>0</x:v>
      </x:c>
      <x:c r="CS243" s="23" t="n">
        <x:f>MAX(0,MIN('Activities'!L243,558)-MAX('Activities'!K243,552))</x:f>
        <x:v>0</x:v>
      </x:c>
      <x:c r="CT243" s="23" t="n">
        <x:f>MAX(0,MIN('Activities'!L243,564)-MAX('Activities'!K243,558))</x:f>
        <x:v>0</x:v>
      </x:c>
      <x:c r="CU243" s="23" t="n">
        <x:f>MAX(0,MIN('Activities'!L243,570)-MAX('Activities'!K243,564))</x:f>
        <x:v>0</x:v>
      </x:c>
      <x:c r="CV243" s="23" t="n">
        <x:f>MAX(0,MIN('Activities'!L243,576)-MAX('Activities'!K243,570))</x:f>
        <x:v>0</x:v>
      </x:c>
      <x:c r="CW243" s="23" t="n">
        <x:f>MAX(0,MIN('Activities'!L243,582)-MAX('Activities'!K243,576))</x:f>
        <x:v>0</x:v>
      </x:c>
      <x:c r="CX243" s="23" t="n">
        <x:f>MAX(0,MIN('Activities'!L243,588)-MAX('Activities'!K243,582))</x:f>
        <x:v>0</x:v>
      </x:c>
      <x:c r="CY243" s="23" t="n">
        <x:f>MAX(0,MIN('Activities'!L243,594)-MAX('Activities'!K243,588))</x:f>
        <x:v>0</x:v>
      </x:c>
      <x:c r="CZ243" s="23" t="n">
        <x:f>MAX(0,MIN('Activities'!L243,600)-MAX('Activities'!K243,594))</x:f>
        <x:v>0</x:v>
      </x:c>
      <x:c r="DA243" s="23" t="n">
        <x:f>MAX(0,MIN('Activities'!L243,606)-MAX('Activities'!K243,600))</x:f>
        <x:v>0</x:v>
      </x:c>
      <x:c r="DB243" s="23" t="n">
        <x:f>MAX(0,MIN('Activities'!L243,612)-MAX('Activities'!K243,606))</x:f>
        <x:v>0</x:v>
      </x:c>
      <x:c r="DC243" s="23" t="n">
        <x:f>MAX(0,MIN('Activities'!L243,618)-MAX('Activities'!K243,612))</x:f>
        <x:v>0</x:v>
      </x:c>
      <x:c r="DD243" s="23" t="n">
        <x:f>MAX(0,MIN('Activities'!L243,624)-MAX('Activities'!K243,618))</x:f>
        <x:v>0</x:v>
      </x:c>
      <x:c r="DE243" s="23" t="n">
        <x:f>MAX(0,MIN('Activities'!L243,630)-MAX('Activities'!K243,624))</x:f>
        <x:v>0</x:v>
      </x:c>
      <x:c r="DF243" s="23" t="n">
        <x:f>MAX(0,MIN('Activities'!L243,636)-MAX('Activities'!K243,630))</x:f>
        <x:v>0</x:v>
      </x:c>
    </x:row>
    <x:row r="244" ht="23" customHeight="1">
      <x:c r="A244" s="6" t="str">
        <x:v>T2-L06-A</x:v>
      </x:c>
      <x:c r="B244" s="6" t="str">
        <x:v>T2</x:v>
      </x:c>
      <x:c r="C244" s="6" t="str">
        <x:v>Paint and final decorations</x:v>
      </x:c>
      <x:c r="D244" s="6" t="str">
        <x:v>Finishes</x:v>
      </x:c>
      <x:c r="E244" s="22" t="n">
        <x:f>MAX(0,MIN('Activities'!L244,6)-MAX('Activities'!K244,0))</x:f>
        <x:v>0</x:v>
      </x:c>
      <x:c r="F244" s="22" t="n">
        <x:f>MAX(0,MIN('Activities'!L244,12)-MAX('Activities'!K244,6))</x:f>
        <x:v>0</x:v>
      </x:c>
      <x:c r="G244" s="22" t="n">
        <x:f>MAX(0,MIN('Activities'!L244,18)-MAX('Activities'!K244,12))</x:f>
        <x:v>0</x:v>
      </x:c>
      <x:c r="H244" s="22" t="n">
        <x:f>MAX(0,MIN('Activities'!L244,24)-MAX('Activities'!K244,18))</x:f>
        <x:v>0</x:v>
      </x:c>
      <x:c r="I244" s="22" t="n">
        <x:f>MAX(0,MIN('Activities'!L244,30)-MAX('Activities'!K244,24))</x:f>
        <x:v>0</x:v>
      </x:c>
      <x:c r="J244" s="22" t="n">
        <x:f>MAX(0,MIN('Activities'!L244,36)-MAX('Activities'!K244,30))</x:f>
        <x:v>0</x:v>
      </x:c>
      <x:c r="K244" s="22" t="n">
        <x:f>MAX(0,MIN('Activities'!L244,42)-MAX('Activities'!K244,36))</x:f>
        <x:v>0</x:v>
      </x:c>
      <x:c r="L244" s="22" t="n">
        <x:f>MAX(0,MIN('Activities'!L244,48)-MAX('Activities'!K244,42))</x:f>
        <x:v>0</x:v>
      </x:c>
      <x:c r="M244" s="22" t="n">
        <x:f>MAX(0,MIN('Activities'!L244,54)-MAX('Activities'!K244,48))</x:f>
        <x:v>0</x:v>
      </x:c>
      <x:c r="N244" s="22" t="n">
        <x:f>MAX(0,MIN('Activities'!L244,60)-MAX('Activities'!K244,54))</x:f>
        <x:v>0</x:v>
      </x:c>
      <x:c r="O244" s="22" t="n">
        <x:f>MAX(0,MIN('Activities'!L244,66)-MAX('Activities'!K244,60))</x:f>
        <x:v>0</x:v>
      </x:c>
      <x:c r="P244" s="22" t="n">
        <x:f>MAX(0,MIN('Activities'!L244,72)-MAX('Activities'!K244,66))</x:f>
        <x:v>0</x:v>
      </x:c>
      <x:c r="Q244" s="22" t="n">
        <x:f>MAX(0,MIN('Activities'!L244,78)-MAX('Activities'!K244,72))</x:f>
        <x:v>0</x:v>
      </x:c>
      <x:c r="R244" s="22" t="n">
        <x:f>MAX(0,MIN('Activities'!L244,84)-MAX('Activities'!K244,78))</x:f>
        <x:v>0</x:v>
      </x:c>
      <x:c r="S244" s="22" t="n">
        <x:f>MAX(0,MIN('Activities'!L244,90)-MAX('Activities'!K244,84))</x:f>
        <x:v>0</x:v>
      </x:c>
      <x:c r="T244" s="22" t="n">
        <x:f>MAX(0,MIN('Activities'!L244,96)-MAX('Activities'!K244,90))</x:f>
        <x:v>0</x:v>
      </x:c>
      <x:c r="U244" s="22" t="n">
        <x:f>MAX(0,MIN('Activities'!L244,102)-MAX('Activities'!K244,96))</x:f>
        <x:v>0</x:v>
      </x:c>
      <x:c r="V244" s="22" t="n">
        <x:f>MAX(0,MIN('Activities'!L244,108)-MAX('Activities'!K244,102))</x:f>
        <x:v>0</x:v>
      </x:c>
      <x:c r="W244" s="22" t="n">
        <x:f>MAX(0,MIN('Activities'!L244,114)-MAX('Activities'!K244,108))</x:f>
        <x:v>0</x:v>
      </x:c>
      <x:c r="X244" s="22" t="n">
        <x:f>MAX(0,MIN('Activities'!L244,120)-MAX('Activities'!K244,114))</x:f>
        <x:v>0</x:v>
      </x:c>
      <x:c r="Y244" s="22" t="n">
        <x:f>MAX(0,MIN('Activities'!L244,126)-MAX('Activities'!K244,120))</x:f>
        <x:v>0</x:v>
      </x:c>
      <x:c r="Z244" s="22" t="n">
        <x:f>MAX(0,MIN('Activities'!L244,132)-MAX('Activities'!K244,126))</x:f>
        <x:v>0</x:v>
      </x:c>
      <x:c r="AA244" s="22" t="n">
        <x:f>MAX(0,MIN('Activities'!L244,138)-MAX('Activities'!K244,132))</x:f>
        <x:v>0</x:v>
      </x:c>
      <x:c r="AB244" s="22" t="n">
        <x:f>MAX(0,MIN('Activities'!L244,144)-MAX('Activities'!K244,138))</x:f>
        <x:v>0</x:v>
      </x:c>
      <x:c r="AC244" s="22" t="n">
        <x:f>MAX(0,MIN('Activities'!L244,150)-MAX('Activities'!K244,144))</x:f>
        <x:v>0</x:v>
      </x:c>
      <x:c r="AD244" s="22" t="n">
        <x:f>MAX(0,MIN('Activities'!L244,156)-MAX('Activities'!K244,150))</x:f>
        <x:v>0</x:v>
      </x:c>
      <x:c r="AE244" s="22" t="n">
        <x:f>MAX(0,MIN('Activities'!L244,162)-MAX('Activities'!K244,156))</x:f>
        <x:v>0</x:v>
      </x:c>
      <x:c r="AF244" s="22" t="n">
        <x:f>MAX(0,MIN('Activities'!L244,168)-MAX('Activities'!K244,162))</x:f>
        <x:v>0</x:v>
      </x:c>
      <x:c r="AG244" s="22" t="n">
        <x:f>MAX(0,MIN('Activities'!L244,174)-MAX('Activities'!K244,168))</x:f>
        <x:v>0</x:v>
      </x:c>
      <x:c r="AH244" s="22" t="n">
        <x:f>MAX(0,MIN('Activities'!L244,180)-MAX('Activities'!K244,174))</x:f>
        <x:v>0</x:v>
      </x:c>
      <x:c r="AI244" s="22" t="n">
        <x:f>MAX(0,MIN('Activities'!L244,186)-MAX('Activities'!K244,180))</x:f>
        <x:v>0</x:v>
      </x:c>
      <x:c r="AJ244" s="22" t="n">
        <x:f>MAX(0,MIN('Activities'!L244,192)-MAX('Activities'!K244,186))</x:f>
        <x:v>0</x:v>
      </x:c>
      <x:c r="AK244" s="22" t="n">
        <x:f>MAX(0,MIN('Activities'!L244,198)-MAX('Activities'!K244,192))</x:f>
        <x:v>0</x:v>
      </x:c>
      <x:c r="AL244" s="22" t="n">
        <x:f>MAX(0,MIN('Activities'!L244,204)-MAX('Activities'!K244,198))</x:f>
        <x:v>0</x:v>
      </x:c>
      <x:c r="AM244" s="22" t="n">
        <x:f>MAX(0,MIN('Activities'!L244,210)-MAX('Activities'!K244,204))</x:f>
        <x:v>0</x:v>
      </x:c>
      <x:c r="AN244" s="22" t="n">
        <x:f>MAX(0,MIN('Activities'!L244,216)-MAX('Activities'!K244,210))</x:f>
        <x:v>0</x:v>
      </x:c>
      <x:c r="AO244" s="22" t="n">
        <x:f>MAX(0,MIN('Activities'!L244,222)-MAX('Activities'!K244,216))</x:f>
        <x:v>0</x:v>
      </x:c>
      <x:c r="AP244" s="22" t="n">
        <x:f>MAX(0,MIN('Activities'!L244,228)-MAX('Activities'!K244,222))</x:f>
        <x:v>0</x:v>
      </x:c>
      <x:c r="AQ244" s="22" t="n">
        <x:f>MAX(0,MIN('Activities'!L244,234)-MAX('Activities'!K244,228))</x:f>
        <x:v>0</x:v>
      </x:c>
      <x:c r="AR244" s="22" t="n">
        <x:f>MAX(0,MIN('Activities'!L244,240)-MAX('Activities'!K244,234))</x:f>
        <x:v>0</x:v>
      </x:c>
      <x:c r="AS244" s="22" t="n">
        <x:f>MAX(0,MIN('Activities'!L244,246)-MAX('Activities'!K244,240))</x:f>
        <x:v>0</x:v>
      </x:c>
      <x:c r="AT244" s="22" t="n">
        <x:f>MAX(0,MIN('Activities'!L244,252)-MAX('Activities'!K244,246))</x:f>
        <x:v>0</x:v>
      </x:c>
      <x:c r="AU244" s="22" t="n">
        <x:f>MAX(0,MIN('Activities'!L244,258)-MAX('Activities'!K244,252))</x:f>
        <x:v>0</x:v>
      </x:c>
      <x:c r="AV244" s="22" t="n">
        <x:f>MAX(0,MIN('Activities'!L244,264)-MAX('Activities'!K244,258))</x:f>
        <x:v>0</x:v>
      </x:c>
      <x:c r="AW244" s="22" t="n">
        <x:f>MAX(0,MIN('Activities'!L244,270)-MAX('Activities'!K244,264))</x:f>
        <x:v>0</x:v>
      </x:c>
      <x:c r="AX244" s="22" t="n">
        <x:f>MAX(0,MIN('Activities'!L244,276)-MAX('Activities'!K244,270))</x:f>
        <x:v>0</x:v>
      </x:c>
      <x:c r="AY244" s="22" t="n">
        <x:f>MAX(0,MIN('Activities'!L244,282)-MAX('Activities'!K244,276))</x:f>
        <x:v>0</x:v>
      </x:c>
      <x:c r="AZ244" s="22" t="n">
        <x:f>MAX(0,MIN('Activities'!L244,288)-MAX('Activities'!K244,282))</x:f>
        <x:v>0</x:v>
      </x:c>
      <x:c r="BA244" s="22" t="n">
        <x:f>MAX(0,MIN('Activities'!L244,294)-MAX('Activities'!K244,288))</x:f>
        <x:v>0</x:v>
      </x:c>
      <x:c r="BB244" s="22" t="n">
        <x:f>MAX(0,MIN('Activities'!L244,300)-MAX('Activities'!K244,294))</x:f>
        <x:v>0</x:v>
      </x:c>
      <x:c r="BC244" s="22" t="n">
        <x:f>MAX(0,MIN('Activities'!L244,306)-MAX('Activities'!K244,300))</x:f>
        <x:v>0</x:v>
      </x:c>
      <x:c r="BD244" s="22" t="n">
        <x:f>MAX(0,MIN('Activities'!L244,312)-MAX('Activities'!K244,306))</x:f>
        <x:v>0</x:v>
      </x:c>
      <x:c r="BE244" s="22" t="n">
        <x:f>MAX(0,MIN('Activities'!L244,318)-MAX('Activities'!K244,312))</x:f>
        <x:v>0</x:v>
      </x:c>
      <x:c r="BF244" s="22" t="n">
        <x:f>MAX(0,MIN('Activities'!L244,324)-MAX('Activities'!K244,318))</x:f>
        <x:v>0</x:v>
      </x:c>
      <x:c r="BG244" s="22" t="n">
        <x:f>MAX(0,MIN('Activities'!L244,330)-MAX('Activities'!K244,324))</x:f>
        <x:v>0</x:v>
      </x:c>
      <x:c r="BH244" s="22" t="n">
        <x:f>MAX(0,MIN('Activities'!L244,336)-MAX('Activities'!K244,330))</x:f>
        <x:v>0</x:v>
      </x:c>
      <x:c r="BI244" s="22" t="n">
        <x:f>MAX(0,MIN('Activities'!L244,342)-MAX('Activities'!K244,336))</x:f>
        <x:v>0</x:v>
      </x:c>
      <x:c r="BJ244" s="22" t="n">
        <x:f>MAX(0,MIN('Activities'!L244,348)-MAX('Activities'!K244,342))</x:f>
        <x:v>0</x:v>
      </x:c>
      <x:c r="BK244" s="22" t="n">
        <x:f>MAX(0,MIN('Activities'!L244,354)-MAX('Activities'!K244,348))</x:f>
        <x:v>0</x:v>
      </x:c>
      <x:c r="BL244" s="22" t="n">
        <x:f>MAX(0,MIN('Activities'!L244,360)-MAX('Activities'!K244,354))</x:f>
        <x:v>0</x:v>
      </x:c>
      <x:c r="BM244" s="22" t="n">
        <x:f>MAX(0,MIN('Activities'!L244,366)-MAX('Activities'!K244,360))</x:f>
        <x:v>0</x:v>
      </x:c>
      <x:c r="BN244" s="22" t="n">
        <x:f>MAX(0,MIN('Activities'!L244,372)-MAX('Activities'!K244,366))</x:f>
        <x:v>0</x:v>
      </x:c>
      <x:c r="BO244" s="22" t="n">
        <x:f>MAX(0,MIN('Activities'!L244,378)-MAX('Activities'!K244,372))</x:f>
        <x:v>0</x:v>
      </x:c>
      <x:c r="BP244" s="22" t="n">
        <x:f>MAX(0,MIN('Activities'!L244,384)-MAX('Activities'!K244,378))</x:f>
        <x:v>0</x:v>
      </x:c>
      <x:c r="BQ244" s="22" t="n">
        <x:f>MAX(0,MIN('Activities'!L244,390)-MAX('Activities'!K244,384))</x:f>
        <x:v>0</x:v>
      </x:c>
      <x:c r="BR244" s="22" t="n">
        <x:f>MAX(0,MIN('Activities'!L244,396)-MAX('Activities'!K244,390))</x:f>
        <x:v>0</x:v>
      </x:c>
      <x:c r="BS244" s="22" t="n">
        <x:f>MAX(0,MIN('Activities'!L244,402)-MAX('Activities'!K244,396))</x:f>
        <x:v>0</x:v>
      </x:c>
      <x:c r="BT244" s="22" t="n">
        <x:f>MAX(0,MIN('Activities'!L244,408)-MAX('Activities'!K244,402))</x:f>
        <x:v>0</x:v>
      </x:c>
      <x:c r="BU244" s="22" t="n">
        <x:f>MAX(0,MIN('Activities'!L244,414)-MAX('Activities'!K244,408))</x:f>
        <x:v>0</x:v>
      </x:c>
      <x:c r="BV244" s="22" t="n">
        <x:f>MAX(0,MIN('Activities'!L244,420)-MAX('Activities'!K244,414))</x:f>
        <x:v>0</x:v>
      </x:c>
      <x:c r="BW244" s="22" t="n">
        <x:f>MAX(0,MIN('Activities'!L244,426)-MAX('Activities'!K244,420))</x:f>
        <x:v>5</x:v>
      </x:c>
      <x:c r="BX244" s="22" t="n">
        <x:f>MAX(0,MIN('Activities'!L244,432)-MAX('Activities'!K244,426))</x:f>
        <x:v>0</x:v>
      </x:c>
      <x:c r="BY244" s="22" t="n">
        <x:f>MAX(0,MIN('Activities'!L244,438)-MAX('Activities'!K244,432))</x:f>
        <x:v>0</x:v>
      </x:c>
      <x:c r="BZ244" s="22" t="n">
        <x:f>MAX(0,MIN('Activities'!L244,444)-MAX('Activities'!K244,438))</x:f>
        <x:v>0</x:v>
      </x:c>
      <x:c r="CA244" s="22" t="n">
        <x:f>MAX(0,MIN('Activities'!L244,450)-MAX('Activities'!K244,444))</x:f>
        <x:v>0</x:v>
      </x:c>
      <x:c r="CB244" s="22" t="n">
        <x:f>MAX(0,MIN('Activities'!L244,456)-MAX('Activities'!K244,450))</x:f>
        <x:v>0</x:v>
      </x:c>
      <x:c r="CC244" s="22" t="n">
        <x:f>MAX(0,MIN('Activities'!L244,462)-MAX('Activities'!K244,456))</x:f>
        <x:v>0</x:v>
      </x:c>
      <x:c r="CD244" s="22" t="n">
        <x:f>MAX(0,MIN('Activities'!L244,468)-MAX('Activities'!K244,462))</x:f>
        <x:v>0</x:v>
      </x:c>
      <x:c r="CE244" s="22" t="n">
        <x:f>MAX(0,MIN('Activities'!L244,474)-MAX('Activities'!K244,468))</x:f>
        <x:v>0</x:v>
      </x:c>
      <x:c r="CF244" s="22" t="n">
        <x:f>MAX(0,MIN('Activities'!L244,480)-MAX('Activities'!K244,474))</x:f>
        <x:v>0</x:v>
      </x:c>
      <x:c r="CG244" s="22" t="n">
        <x:f>MAX(0,MIN('Activities'!L244,486)-MAX('Activities'!K244,480))</x:f>
        <x:v>0</x:v>
      </x:c>
      <x:c r="CH244" s="22" t="n">
        <x:f>MAX(0,MIN('Activities'!L244,492)-MAX('Activities'!K244,486))</x:f>
        <x:v>0</x:v>
      </x:c>
      <x:c r="CI244" s="22" t="n">
        <x:f>MAX(0,MIN('Activities'!L244,498)-MAX('Activities'!K244,492))</x:f>
        <x:v>0</x:v>
      </x:c>
      <x:c r="CJ244" s="22" t="n">
        <x:f>MAX(0,MIN('Activities'!L244,504)-MAX('Activities'!K244,498))</x:f>
        <x:v>0</x:v>
      </x:c>
      <x:c r="CK244" s="22" t="n">
        <x:f>MAX(0,MIN('Activities'!L244,510)-MAX('Activities'!K244,504))</x:f>
        <x:v>0</x:v>
      </x:c>
      <x:c r="CL244" s="22" t="n">
        <x:f>MAX(0,MIN('Activities'!L244,516)-MAX('Activities'!K244,510))</x:f>
        <x:v>0</x:v>
      </x:c>
      <x:c r="CM244" s="22" t="n">
        <x:f>MAX(0,MIN('Activities'!L244,522)-MAX('Activities'!K244,516))</x:f>
        <x:v>0</x:v>
      </x:c>
      <x:c r="CN244" s="22" t="n">
        <x:f>MAX(0,MIN('Activities'!L244,528)-MAX('Activities'!K244,522))</x:f>
        <x:v>0</x:v>
      </x:c>
      <x:c r="CO244" s="22" t="n">
        <x:f>MAX(0,MIN('Activities'!L244,534)-MAX('Activities'!K244,528))</x:f>
        <x:v>0</x:v>
      </x:c>
      <x:c r="CP244" s="22" t="n">
        <x:f>MAX(0,MIN('Activities'!L244,540)-MAX('Activities'!K244,534))</x:f>
        <x:v>0</x:v>
      </x:c>
      <x:c r="CQ244" s="22" t="n">
        <x:f>MAX(0,MIN('Activities'!L244,546)-MAX('Activities'!K244,540))</x:f>
        <x:v>0</x:v>
      </x:c>
      <x:c r="CR244" s="22" t="n">
        <x:f>MAX(0,MIN('Activities'!L244,552)-MAX('Activities'!K244,546))</x:f>
        <x:v>0</x:v>
      </x:c>
      <x:c r="CS244" s="22" t="n">
        <x:f>MAX(0,MIN('Activities'!L244,558)-MAX('Activities'!K244,552))</x:f>
        <x:v>0</x:v>
      </x:c>
      <x:c r="CT244" s="22" t="n">
        <x:f>MAX(0,MIN('Activities'!L244,564)-MAX('Activities'!K244,558))</x:f>
        <x:v>0</x:v>
      </x:c>
      <x:c r="CU244" s="22" t="n">
        <x:f>MAX(0,MIN('Activities'!L244,570)-MAX('Activities'!K244,564))</x:f>
        <x:v>0</x:v>
      </x:c>
      <x:c r="CV244" s="22" t="n">
        <x:f>MAX(0,MIN('Activities'!L244,576)-MAX('Activities'!K244,570))</x:f>
        <x:v>0</x:v>
      </x:c>
      <x:c r="CW244" s="22" t="n">
        <x:f>MAX(0,MIN('Activities'!L244,582)-MAX('Activities'!K244,576))</x:f>
        <x:v>0</x:v>
      </x:c>
      <x:c r="CX244" s="22" t="n">
        <x:f>MAX(0,MIN('Activities'!L244,588)-MAX('Activities'!K244,582))</x:f>
        <x:v>0</x:v>
      </x:c>
      <x:c r="CY244" s="22" t="n">
        <x:f>MAX(0,MIN('Activities'!L244,594)-MAX('Activities'!K244,588))</x:f>
        <x:v>0</x:v>
      </x:c>
      <x:c r="CZ244" s="22" t="n">
        <x:f>MAX(0,MIN('Activities'!L244,600)-MAX('Activities'!K244,594))</x:f>
        <x:v>0</x:v>
      </x:c>
      <x:c r="DA244" s="22" t="n">
        <x:f>MAX(0,MIN('Activities'!L244,606)-MAX('Activities'!K244,600))</x:f>
        <x:v>0</x:v>
      </x:c>
      <x:c r="DB244" s="22" t="n">
        <x:f>MAX(0,MIN('Activities'!L244,612)-MAX('Activities'!K244,606))</x:f>
        <x:v>0</x:v>
      </x:c>
      <x:c r="DC244" s="22" t="n">
        <x:f>MAX(0,MIN('Activities'!L244,618)-MAX('Activities'!K244,612))</x:f>
        <x:v>0</x:v>
      </x:c>
      <x:c r="DD244" s="22" t="n">
        <x:f>MAX(0,MIN('Activities'!L244,624)-MAX('Activities'!K244,618))</x:f>
        <x:v>0</x:v>
      </x:c>
      <x:c r="DE244" s="22" t="n">
        <x:f>MAX(0,MIN('Activities'!L244,630)-MAX('Activities'!K244,624))</x:f>
        <x:v>0</x:v>
      </x:c>
      <x:c r="DF244" s="22" t="n">
        <x:f>MAX(0,MIN('Activities'!L244,636)-MAX('Activities'!K244,630))</x:f>
        <x:v>0</x:v>
      </x:c>
    </x:row>
    <x:row r="245" ht="23" customHeight="1">
      <x:c r="A245" s="1" t="str">
        <x:v>T2-L06-D</x:v>
      </x:c>
      <x:c r="B245" s="1" t="str">
        <x:v>T2</x:v>
      </x:c>
      <x:c r="C245" s="1" t="str">
        <x:v>Door sets and ironmongery</x:v>
      </x:c>
      <x:c r="D245" s="1" t="str">
        <x:v>Finishes</x:v>
      </x:c>
      <x:c r="E245" s="23" t="n">
        <x:f>MAX(0,MIN('Activities'!L245,6)-MAX('Activities'!K245,0))</x:f>
        <x:v>0</x:v>
      </x:c>
      <x:c r="F245" s="23" t="n">
        <x:f>MAX(0,MIN('Activities'!L245,12)-MAX('Activities'!K245,6))</x:f>
        <x:v>0</x:v>
      </x:c>
      <x:c r="G245" s="23" t="n">
        <x:f>MAX(0,MIN('Activities'!L245,18)-MAX('Activities'!K245,12))</x:f>
        <x:v>0</x:v>
      </x:c>
      <x:c r="H245" s="23" t="n">
        <x:f>MAX(0,MIN('Activities'!L245,24)-MAX('Activities'!K245,18))</x:f>
        <x:v>0</x:v>
      </x:c>
      <x:c r="I245" s="23" t="n">
        <x:f>MAX(0,MIN('Activities'!L245,30)-MAX('Activities'!K245,24))</x:f>
        <x:v>0</x:v>
      </x:c>
      <x:c r="J245" s="23" t="n">
        <x:f>MAX(0,MIN('Activities'!L245,36)-MAX('Activities'!K245,30))</x:f>
        <x:v>0</x:v>
      </x:c>
      <x:c r="K245" s="23" t="n">
        <x:f>MAX(0,MIN('Activities'!L245,42)-MAX('Activities'!K245,36))</x:f>
        <x:v>0</x:v>
      </x:c>
      <x:c r="L245" s="23" t="n">
        <x:f>MAX(0,MIN('Activities'!L245,48)-MAX('Activities'!K245,42))</x:f>
        <x:v>0</x:v>
      </x:c>
      <x:c r="M245" s="23" t="n">
        <x:f>MAX(0,MIN('Activities'!L245,54)-MAX('Activities'!K245,48))</x:f>
        <x:v>0</x:v>
      </x:c>
      <x:c r="N245" s="23" t="n">
        <x:f>MAX(0,MIN('Activities'!L245,60)-MAX('Activities'!K245,54))</x:f>
        <x:v>0</x:v>
      </x:c>
      <x:c r="O245" s="23" t="n">
        <x:f>MAX(0,MIN('Activities'!L245,66)-MAX('Activities'!K245,60))</x:f>
        <x:v>0</x:v>
      </x:c>
      <x:c r="P245" s="23" t="n">
        <x:f>MAX(0,MIN('Activities'!L245,72)-MAX('Activities'!K245,66))</x:f>
        <x:v>0</x:v>
      </x:c>
      <x:c r="Q245" s="23" t="n">
        <x:f>MAX(0,MIN('Activities'!L245,78)-MAX('Activities'!K245,72))</x:f>
        <x:v>0</x:v>
      </x:c>
      <x:c r="R245" s="23" t="n">
        <x:f>MAX(0,MIN('Activities'!L245,84)-MAX('Activities'!K245,78))</x:f>
        <x:v>0</x:v>
      </x:c>
      <x:c r="S245" s="23" t="n">
        <x:f>MAX(0,MIN('Activities'!L245,90)-MAX('Activities'!K245,84))</x:f>
        <x:v>0</x:v>
      </x:c>
      <x:c r="T245" s="23" t="n">
        <x:f>MAX(0,MIN('Activities'!L245,96)-MAX('Activities'!K245,90))</x:f>
        <x:v>0</x:v>
      </x:c>
      <x:c r="U245" s="23" t="n">
        <x:f>MAX(0,MIN('Activities'!L245,102)-MAX('Activities'!K245,96))</x:f>
        <x:v>0</x:v>
      </x:c>
      <x:c r="V245" s="23" t="n">
        <x:f>MAX(0,MIN('Activities'!L245,108)-MAX('Activities'!K245,102))</x:f>
        <x:v>0</x:v>
      </x:c>
      <x:c r="W245" s="23" t="n">
        <x:f>MAX(0,MIN('Activities'!L245,114)-MAX('Activities'!K245,108))</x:f>
        <x:v>0</x:v>
      </x:c>
      <x:c r="X245" s="23" t="n">
        <x:f>MAX(0,MIN('Activities'!L245,120)-MAX('Activities'!K245,114))</x:f>
        <x:v>0</x:v>
      </x:c>
      <x:c r="Y245" s="23" t="n">
        <x:f>MAX(0,MIN('Activities'!L245,126)-MAX('Activities'!K245,120))</x:f>
        <x:v>0</x:v>
      </x:c>
      <x:c r="Z245" s="23" t="n">
        <x:f>MAX(0,MIN('Activities'!L245,132)-MAX('Activities'!K245,126))</x:f>
        <x:v>0</x:v>
      </x:c>
      <x:c r="AA245" s="23" t="n">
        <x:f>MAX(0,MIN('Activities'!L245,138)-MAX('Activities'!K245,132))</x:f>
        <x:v>0</x:v>
      </x:c>
      <x:c r="AB245" s="23" t="n">
        <x:f>MAX(0,MIN('Activities'!L245,144)-MAX('Activities'!K245,138))</x:f>
        <x:v>0</x:v>
      </x:c>
      <x:c r="AC245" s="23" t="n">
        <x:f>MAX(0,MIN('Activities'!L245,150)-MAX('Activities'!K245,144))</x:f>
        <x:v>0</x:v>
      </x:c>
      <x:c r="AD245" s="23" t="n">
        <x:f>MAX(0,MIN('Activities'!L245,156)-MAX('Activities'!K245,150))</x:f>
        <x:v>0</x:v>
      </x:c>
      <x:c r="AE245" s="23" t="n">
        <x:f>MAX(0,MIN('Activities'!L245,162)-MAX('Activities'!K245,156))</x:f>
        <x:v>0</x:v>
      </x:c>
      <x:c r="AF245" s="23" t="n">
        <x:f>MAX(0,MIN('Activities'!L245,168)-MAX('Activities'!K245,162))</x:f>
        <x:v>0</x:v>
      </x:c>
      <x:c r="AG245" s="23" t="n">
        <x:f>MAX(0,MIN('Activities'!L245,174)-MAX('Activities'!K245,168))</x:f>
        <x:v>0</x:v>
      </x:c>
      <x:c r="AH245" s="23" t="n">
        <x:f>MAX(0,MIN('Activities'!L245,180)-MAX('Activities'!K245,174))</x:f>
        <x:v>0</x:v>
      </x:c>
      <x:c r="AI245" s="23" t="n">
        <x:f>MAX(0,MIN('Activities'!L245,186)-MAX('Activities'!K245,180))</x:f>
        <x:v>0</x:v>
      </x:c>
      <x:c r="AJ245" s="23" t="n">
        <x:f>MAX(0,MIN('Activities'!L245,192)-MAX('Activities'!K245,186))</x:f>
        <x:v>0</x:v>
      </x:c>
      <x:c r="AK245" s="23" t="n">
        <x:f>MAX(0,MIN('Activities'!L245,198)-MAX('Activities'!K245,192))</x:f>
        <x:v>0</x:v>
      </x:c>
      <x:c r="AL245" s="23" t="n">
        <x:f>MAX(0,MIN('Activities'!L245,204)-MAX('Activities'!K245,198))</x:f>
        <x:v>0</x:v>
      </x:c>
      <x:c r="AM245" s="23" t="n">
        <x:f>MAX(0,MIN('Activities'!L245,210)-MAX('Activities'!K245,204))</x:f>
        <x:v>0</x:v>
      </x:c>
      <x:c r="AN245" s="23" t="n">
        <x:f>MAX(0,MIN('Activities'!L245,216)-MAX('Activities'!K245,210))</x:f>
        <x:v>0</x:v>
      </x:c>
      <x:c r="AO245" s="23" t="n">
        <x:f>MAX(0,MIN('Activities'!L245,222)-MAX('Activities'!K245,216))</x:f>
        <x:v>0</x:v>
      </x:c>
      <x:c r="AP245" s="23" t="n">
        <x:f>MAX(0,MIN('Activities'!L245,228)-MAX('Activities'!K245,222))</x:f>
        <x:v>0</x:v>
      </x:c>
      <x:c r="AQ245" s="23" t="n">
        <x:f>MAX(0,MIN('Activities'!L245,234)-MAX('Activities'!K245,228))</x:f>
        <x:v>0</x:v>
      </x:c>
      <x:c r="AR245" s="23" t="n">
        <x:f>MAX(0,MIN('Activities'!L245,240)-MAX('Activities'!K245,234))</x:f>
        <x:v>0</x:v>
      </x:c>
      <x:c r="AS245" s="23" t="n">
        <x:f>MAX(0,MIN('Activities'!L245,246)-MAX('Activities'!K245,240))</x:f>
        <x:v>0</x:v>
      </x:c>
      <x:c r="AT245" s="23" t="n">
        <x:f>MAX(0,MIN('Activities'!L245,252)-MAX('Activities'!K245,246))</x:f>
        <x:v>0</x:v>
      </x:c>
      <x:c r="AU245" s="23" t="n">
        <x:f>MAX(0,MIN('Activities'!L245,258)-MAX('Activities'!K245,252))</x:f>
        <x:v>0</x:v>
      </x:c>
      <x:c r="AV245" s="23" t="n">
        <x:f>MAX(0,MIN('Activities'!L245,264)-MAX('Activities'!K245,258))</x:f>
        <x:v>0</x:v>
      </x:c>
      <x:c r="AW245" s="23" t="n">
        <x:f>MAX(0,MIN('Activities'!L245,270)-MAX('Activities'!K245,264))</x:f>
        <x:v>0</x:v>
      </x:c>
      <x:c r="AX245" s="23" t="n">
        <x:f>MAX(0,MIN('Activities'!L245,276)-MAX('Activities'!K245,270))</x:f>
        <x:v>0</x:v>
      </x:c>
      <x:c r="AY245" s="23" t="n">
        <x:f>MAX(0,MIN('Activities'!L245,282)-MAX('Activities'!K245,276))</x:f>
        <x:v>0</x:v>
      </x:c>
      <x:c r="AZ245" s="23" t="n">
        <x:f>MAX(0,MIN('Activities'!L245,288)-MAX('Activities'!K245,282))</x:f>
        <x:v>0</x:v>
      </x:c>
      <x:c r="BA245" s="23" t="n">
        <x:f>MAX(0,MIN('Activities'!L245,294)-MAX('Activities'!K245,288))</x:f>
        <x:v>0</x:v>
      </x:c>
      <x:c r="BB245" s="23" t="n">
        <x:f>MAX(0,MIN('Activities'!L245,300)-MAX('Activities'!K245,294))</x:f>
        <x:v>0</x:v>
      </x:c>
      <x:c r="BC245" s="23" t="n">
        <x:f>MAX(0,MIN('Activities'!L245,306)-MAX('Activities'!K245,300))</x:f>
        <x:v>0</x:v>
      </x:c>
      <x:c r="BD245" s="23" t="n">
        <x:f>MAX(0,MIN('Activities'!L245,312)-MAX('Activities'!K245,306))</x:f>
        <x:v>0</x:v>
      </x:c>
      <x:c r="BE245" s="23" t="n">
        <x:f>MAX(0,MIN('Activities'!L245,318)-MAX('Activities'!K245,312))</x:f>
        <x:v>0</x:v>
      </x:c>
      <x:c r="BF245" s="23" t="n">
        <x:f>MAX(0,MIN('Activities'!L245,324)-MAX('Activities'!K245,318))</x:f>
        <x:v>0</x:v>
      </x:c>
      <x:c r="BG245" s="23" t="n">
        <x:f>MAX(0,MIN('Activities'!L245,330)-MAX('Activities'!K245,324))</x:f>
        <x:v>0</x:v>
      </x:c>
      <x:c r="BH245" s="23" t="n">
        <x:f>MAX(0,MIN('Activities'!L245,336)-MAX('Activities'!K245,330))</x:f>
        <x:v>0</x:v>
      </x:c>
      <x:c r="BI245" s="23" t="n">
        <x:f>MAX(0,MIN('Activities'!L245,342)-MAX('Activities'!K245,336))</x:f>
        <x:v>0</x:v>
      </x:c>
      <x:c r="BJ245" s="23" t="n">
        <x:f>MAX(0,MIN('Activities'!L245,348)-MAX('Activities'!K245,342))</x:f>
        <x:v>0</x:v>
      </x:c>
      <x:c r="BK245" s="23" t="n">
        <x:f>MAX(0,MIN('Activities'!L245,354)-MAX('Activities'!K245,348))</x:f>
        <x:v>0</x:v>
      </x:c>
      <x:c r="BL245" s="23" t="n">
        <x:f>MAX(0,MIN('Activities'!L245,360)-MAX('Activities'!K245,354))</x:f>
        <x:v>0</x:v>
      </x:c>
      <x:c r="BM245" s="23" t="n">
        <x:f>MAX(0,MIN('Activities'!L245,366)-MAX('Activities'!K245,360))</x:f>
        <x:v>0</x:v>
      </x:c>
      <x:c r="BN245" s="23" t="n">
        <x:f>MAX(0,MIN('Activities'!L245,372)-MAX('Activities'!K245,366))</x:f>
        <x:v>0</x:v>
      </x:c>
      <x:c r="BO245" s="23" t="n">
        <x:f>MAX(0,MIN('Activities'!L245,378)-MAX('Activities'!K245,372))</x:f>
        <x:v>0</x:v>
      </x:c>
      <x:c r="BP245" s="23" t="n">
        <x:f>MAX(0,MIN('Activities'!L245,384)-MAX('Activities'!K245,378))</x:f>
        <x:v>0</x:v>
      </x:c>
      <x:c r="BQ245" s="23" t="n">
        <x:f>MAX(0,MIN('Activities'!L245,390)-MAX('Activities'!K245,384))</x:f>
        <x:v>0</x:v>
      </x:c>
      <x:c r="BR245" s="23" t="n">
        <x:f>MAX(0,MIN('Activities'!L245,396)-MAX('Activities'!K245,390))</x:f>
        <x:v>0</x:v>
      </x:c>
      <x:c r="BS245" s="23" t="n">
        <x:f>MAX(0,MIN('Activities'!L245,402)-MAX('Activities'!K245,396))</x:f>
        <x:v>0</x:v>
      </x:c>
      <x:c r="BT245" s="23" t="n">
        <x:f>MAX(0,MIN('Activities'!L245,408)-MAX('Activities'!K245,402))</x:f>
        <x:v>0</x:v>
      </x:c>
      <x:c r="BU245" s="23" t="n">
        <x:f>MAX(0,MIN('Activities'!L245,414)-MAX('Activities'!K245,408))</x:f>
        <x:v>0</x:v>
      </x:c>
      <x:c r="BV245" s="23" t="n">
        <x:f>MAX(0,MIN('Activities'!L245,420)-MAX('Activities'!K245,414))</x:f>
        <x:v>0</x:v>
      </x:c>
      <x:c r="BW245" s="23" t="n">
        <x:f>MAX(0,MIN('Activities'!L245,426)-MAX('Activities'!K245,420))</x:f>
        <x:v>0</x:v>
      </x:c>
      <x:c r="BX245" s="23" t="n">
        <x:f>MAX(0,MIN('Activities'!L245,432)-MAX('Activities'!K245,426))</x:f>
        <x:v>3</x:v>
      </x:c>
      <x:c r="BY245" s="23" t="n">
        <x:f>MAX(0,MIN('Activities'!L245,438)-MAX('Activities'!K245,432))</x:f>
        <x:v>0</x:v>
      </x:c>
      <x:c r="BZ245" s="23" t="n">
        <x:f>MAX(0,MIN('Activities'!L245,444)-MAX('Activities'!K245,438))</x:f>
        <x:v>0</x:v>
      </x:c>
      <x:c r="CA245" s="23" t="n">
        <x:f>MAX(0,MIN('Activities'!L245,450)-MAX('Activities'!K245,444))</x:f>
        <x:v>0</x:v>
      </x:c>
      <x:c r="CB245" s="23" t="n">
        <x:f>MAX(0,MIN('Activities'!L245,456)-MAX('Activities'!K245,450))</x:f>
        <x:v>0</x:v>
      </x:c>
      <x:c r="CC245" s="23" t="n">
        <x:f>MAX(0,MIN('Activities'!L245,462)-MAX('Activities'!K245,456))</x:f>
        <x:v>0</x:v>
      </x:c>
      <x:c r="CD245" s="23" t="n">
        <x:f>MAX(0,MIN('Activities'!L245,468)-MAX('Activities'!K245,462))</x:f>
        <x:v>0</x:v>
      </x:c>
      <x:c r="CE245" s="23" t="n">
        <x:f>MAX(0,MIN('Activities'!L245,474)-MAX('Activities'!K245,468))</x:f>
        <x:v>0</x:v>
      </x:c>
      <x:c r="CF245" s="23" t="n">
        <x:f>MAX(0,MIN('Activities'!L245,480)-MAX('Activities'!K245,474))</x:f>
        <x:v>0</x:v>
      </x:c>
      <x:c r="CG245" s="23" t="n">
        <x:f>MAX(0,MIN('Activities'!L245,486)-MAX('Activities'!K245,480))</x:f>
        <x:v>0</x:v>
      </x:c>
      <x:c r="CH245" s="23" t="n">
        <x:f>MAX(0,MIN('Activities'!L245,492)-MAX('Activities'!K245,486))</x:f>
        <x:v>0</x:v>
      </x:c>
      <x:c r="CI245" s="23" t="n">
        <x:f>MAX(0,MIN('Activities'!L245,498)-MAX('Activities'!K245,492))</x:f>
        <x:v>0</x:v>
      </x:c>
      <x:c r="CJ245" s="23" t="n">
        <x:f>MAX(0,MIN('Activities'!L245,504)-MAX('Activities'!K245,498))</x:f>
        <x:v>0</x:v>
      </x:c>
      <x:c r="CK245" s="23" t="n">
        <x:f>MAX(0,MIN('Activities'!L245,510)-MAX('Activities'!K245,504))</x:f>
        <x:v>0</x:v>
      </x:c>
      <x:c r="CL245" s="23" t="n">
        <x:f>MAX(0,MIN('Activities'!L245,516)-MAX('Activities'!K245,510))</x:f>
        <x:v>0</x:v>
      </x:c>
      <x:c r="CM245" s="23" t="n">
        <x:f>MAX(0,MIN('Activities'!L245,522)-MAX('Activities'!K245,516))</x:f>
        <x:v>0</x:v>
      </x:c>
      <x:c r="CN245" s="23" t="n">
        <x:f>MAX(0,MIN('Activities'!L245,528)-MAX('Activities'!K245,522))</x:f>
        <x:v>0</x:v>
      </x:c>
      <x:c r="CO245" s="23" t="n">
        <x:f>MAX(0,MIN('Activities'!L245,534)-MAX('Activities'!K245,528))</x:f>
        <x:v>0</x:v>
      </x:c>
      <x:c r="CP245" s="23" t="n">
        <x:f>MAX(0,MIN('Activities'!L245,540)-MAX('Activities'!K245,534))</x:f>
        <x:v>0</x:v>
      </x:c>
      <x:c r="CQ245" s="23" t="n">
        <x:f>MAX(0,MIN('Activities'!L245,546)-MAX('Activities'!K245,540))</x:f>
        <x:v>0</x:v>
      </x:c>
      <x:c r="CR245" s="23" t="n">
        <x:f>MAX(0,MIN('Activities'!L245,552)-MAX('Activities'!K245,546))</x:f>
        <x:v>0</x:v>
      </x:c>
      <x:c r="CS245" s="23" t="n">
        <x:f>MAX(0,MIN('Activities'!L245,558)-MAX('Activities'!K245,552))</x:f>
        <x:v>0</x:v>
      </x:c>
      <x:c r="CT245" s="23" t="n">
        <x:f>MAX(0,MIN('Activities'!L245,564)-MAX('Activities'!K245,558))</x:f>
        <x:v>0</x:v>
      </x:c>
      <x:c r="CU245" s="23" t="n">
        <x:f>MAX(0,MIN('Activities'!L245,570)-MAX('Activities'!K245,564))</x:f>
        <x:v>0</x:v>
      </x:c>
      <x:c r="CV245" s="23" t="n">
        <x:f>MAX(0,MIN('Activities'!L245,576)-MAX('Activities'!K245,570))</x:f>
        <x:v>0</x:v>
      </x:c>
      <x:c r="CW245" s="23" t="n">
        <x:f>MAX(0,MIN('Activities'!L245,582)-MAX('Activities'!K245,576))</x:f>
        <x:v>0</x:v>
      </x:c>
      <x:c r="CX245" s="23" t="n">
        <x:f>MAX(0,MIN('Activities'!L245,588)-MAX('Activities'!K245,582))</x:f>
        <x:v>0</x:v>
      </x:c>
      <x:c r="CY245" s="23" t="n">
        <x:f>MAX(0,MIN('Activities'!L245,594)-MAX('Activities'!K245,588))</x:f>
        <x:v>0</x:v>
      </x:c>
      <x:c r="CZ245" s="23" t="n">
        <x:f>MAX(0,MIN('Activities'!L245,600)-MAX('Activities'!K245,594))</x:f>
        <x:v>0</x:v>
      </x:c>
      <x:c r="DA245" s="23" t="n">
        <x:f>MAX(0,MIN('Activities'!L245,606)-MAX('Activities'!K245,600))</x:f>
        <x:v>0</x:v>
      </x:c>
      <x:c r="DB245" s="23" t="n">
        <x:f>MAX(0,MIN('Activities'!L245,612)-MAX('Activities'!K245,606))</x:f>
        <x:v>0</x:v>
      </x:c>
      <x:c r="DC245" s="23" t="n">
        <x:f>MAX(0,MIN('Activities'!L245,618)-MAX('Activities'!K245,612))</x:f>
        <x:v>0</x:v>
      </x:c>
      <x:c r="DD245" s="23" t="n">
        <x:f>MAX(0,MIN('Activities'!L245,624)-MAX('Activities'!K245,618))</x:f>
        <x:v>0</x:v>
      </x:c>
      <x:c r="DE245" s="23" t="n">
        <x:f>MAX(0,MIN('Activities'!L245,630)-MAX('Activities'!K245,624))</x:f>
        <x:v>0</x:v>
      </x:c>
      <x:c r="DF245" s="23" t="n">
        <x:f>MAX(0,MIN('Activities'!L245,636)-MAX('Activities'!K245,630))</x:f>
        <x:v>0</x:v>
      </x:c>
    </x:row>
    <x:row r="246" ht="23" customHeight="1">
      <x:c r="A246" s="6" t="str">
        <x:v>T2-L07-M</x:v>
      </x:c>
      <x:c r="B246" s="6" t="str">
        <x:v>T2</x:v>
      </x:c>
      <x:c r="C246" s="6" t="str">
        <x:v>Partition masonry</x:v>
      </x:c>
      <x:c r="D246" s="6" t="str">
        <x:v>Masonry</x:v>
      </x:c>
      <x:c r="E246" s="22" t="n">
        <x:f>MAX(0,MIN('Activities'!L246,6)-MAX('Activities'!K246,0))</x:f>
        <x:v>0</x:v>
      </x:c>
      <x:c r="F246" s="22" t="n">
        <x:f>MAX(0,MIN('Activities'!L246,12)-MAX('Activities'!K246,6))</x:f>
        <x:v>0</x:v>
      </x:c>
      <x:c r="G246" s="22" t="n">
        <x:f>MAX(0,MIN('Activities'!L246,18)-MAX('Activities'!K246,12))</x:f>
        <x:v>0</x:v>
      </x:c>
      <x:c r="H246" s="22" t="n">
        <x:f>MAX(0,MIN('Activities'!L246,24)-MAX('Activities'!K246,18))</x:f>
        <x:v>0</x:v>
      </x:c>
      <x:c r="I246" s="22" t="n">
        <x:f>MAX(0,MIN('Activities'!L246,30)-MAX('Activities'!K246,24))</x:f>
        <x:v>0</x:v>
      </x:c>
      <x:c r="J246" s="22" t="n">
        <x:f>MAX(0,MIN('Activities'!L246,36)-MAX('Activities'!K246,30))</x:f>
        <x:v>0</x:v>
      </x:c>
      <x:c r="K246" s="22" t="n">
        <x:f>MAX(0,MIN('Activities'!L246,42)-MAX('Activities'!K246,36))</x:f>
        <x:v>0</x:v>
      </x:c>
      <x:c r="L246" s="22" t="n">
        <x:f>MAX(0,MIN('Activities'!L246,48)-MAX('Activities'!K246,42))</x:f>
        <x:v>0</x:v>
      </x:c>
      <x:c r="M246" s="22" t="n">
        <x:f>MAX(0,MIN('Activities'!L246,54)-MAX('Activities'!K246,48))</x:f>
        <x:v>0</x:v>
      </x:c>
      <x:c r="N246" s="22" t="n">
        <x:f>MAX(0,MIN('Activities'!L246,60)-MAX('Activities'!K246,54))</x:f>
        <x:v>0</x:v>
      </x:c>
      <x:c r="O246" s="22" t="n">
        <x:f>MAX(0,MIN('Activities'!L246,66)-MAX('Activities'!K246,60))</x:f>
        <x:v>0</x:v>
      </x:c>
      <x:c r="P246" s="22" t="n">
        <x:f>MAX(0,MIN('Activities'!L246,72)-MAX('Activities'!K246,66))</x:f>
        <x:v>0</x:v>
      </x:c>
      <x:c r="Q246" s="22" t="n">
        <x:f>MAX(0,MIN('Activities'!L246,78)-MAX('Activities'!K246,72))</x:f>
        <x:v>0</x:v>
      </x:c>
      <x:c r="R246" s="22" t="n">
        <x:f>MAX(0,MIN('Activities'!L246,84)-MAX('Activities'!K246,78))</x:f>
        <x:v>0</x:v>
      </x:c>
      <x:c r="S246" s="22" t="n">
        <x:f>MAX(0,MIN('Activities'!L246,90)-MAX('Activities'!K246,84))</x:f>
        <x:v>0</x:v>
      </x:c>
      <x:c r="T246" s="22" t="n">
        <x:f>MAX(0,MIN('Activities'!L246,96)-MAX('Activities'!K246,90))</x:f>
        <x:v>0</x:v>
      </x:c>
      <x:c r="U246" s="22" t="n">
        <x:f>MAX(0,MIN('Activities'!L246,102)-MAX('Activities'!K246,96))</x:f>
        <x:v>0</x:v>
      </x:c>
      <x:c r="V246" s="22" t="n">
        <x:f>MAX(0,MIN('Activities'!L246,108)-MAX('Activities'!K246,102))</x:f>
        <x:v>0</x:v>
      </x:c>
      <x:c r="W246" s="22" t="n">
        <x:f>MAX(0,MIN('Activities'!L246,114)-MAX('Activities'!K246,108))</x:f>
        <x:v>0</x:v>
      </x:c>
      <x:c r="X246" s="22" t="n">
        <x:f>MAX(0,MIN('Activities'!L246,120)-MAX('Activities'!K246,114))</x:f>
        <x:v>0</x:v>
      </x:c>
      <x:c r="Y246" s="22" t="n">
        <x:f>MAX(0,MIN('Activities'!L246,126)-MAX('Activities'!K246,120))</x:f>
        <x:v>0</x:v>
      </x:c>
      <x:c r="Z246" s="22" t="n">
        <x:f>MAX(0,MIN('Activities'!L246,132)-MAX('Activities'!K246,126))</x:f>
        <x:v>0</x:v>
      </x:c>
      <x:c r="AA246" s="22" t="n">
        <x:f>MAX(0,MIN('Activities'!L246,138)-MAX('Activities'!K246,132))</x:f>
        <x:v>0</x:v>
      </x:c>
      <x:c r="AB246" s="22" t="n">
        <x:f>MAX(0,MIN('Activities'!L246,144)-MAX('Activities'!K246,138))</x:f>
        <x:v>0</x:v>
      </x:c>
      <x:c r="AC246" s="22" t="n">
        <x:f>MAX(0,MIN('Activities'!L246,150)-MAX('Activities'!K246,144))</x:f>
        <x:v>0</x:v>
      </x:c>
      <x:c r="AD246" s="22" t="n">
        <x:f>MAX(0,MIN('Activities'!L246,156)-MAX('Activities'!K246,150))</x:f>
        <x:v>0</x:v>
      </x:c>
      <x:c r="AE246" s="22" t="n">
        <x:f>MAX(0,MIN('Activities'!L246,162)-MAX('Activities'!K246,156))</x:f>
        <x:v>0</x:v>
      </x:c>
      <x:c r="AF246" s="22" t="n">
        <x:f>MAX(0,MIN('Activities'!L246,168)-MAX('Activities'!K246,162))</x:f>
        <x:v>0</x:v>
      </x:c>
      <x:c r="AG246" s="22" t="n">
        <x:f>MAX(0,MIN('Activities'!L246,174)-MAX('Activities'!K246,168))</x:f>
        <x:v>0</x:v>
      </x:c>
      <x:c r="AH246" s="22" t="n">
        <x:f>MAX(0,MIN('Activities'!L246,180)-MAX('Activities'!K246,174))</x:f>
        <x:v>0</x:v>
      </x:c>
      <x:c r="AI246" s="22" t="n">
        <x:f>MAX(0,MIN('Activities'!L246,186)-MAX('Activities'!K246,180))</x:f>
        <x:v>0</x:v>
      </x:c>
      <x:c r="AJ246" s="22" t="n">
        <x:f>MAX(0,MIN('Activities'!L246,192)-MAX('Activities'!K246,186))</x:f>
        <x:v>0</x:v>
      </x:c>
      <x:c r="AK246" s="22" t="n">
        <x:f>MAX(0,MIN('Activities'!L246,198)-MAX('Activities'!K246,192))</x:f>
        <x:v>0</x:v>
      </x:c>
      <x:c r="AL246" s="22" t="n">
        <x:f>MAX(0,MIN('Activities'!L246,204)-MAX('Activities'!K246,198))</x:f>
        <x:v>0</x:v>
      </x:c>
      <x:c r="AM246" s="22" t="n">
        <x:f>MAX(0,MIN('Activities'!L246,210)-MAX('Activities'!K246,204))</x:f>
        <x:v>0</x:v>
      </x:c>
      <x:c r="AN246" s="22" t="n">
        <x:f>MAX(0,MIN('Activities'!L246,216)-MAX('Activities'!K246,210))</x:f>
        <x:v>0</x:v>
      </x:c>
      <x:c r="AO246" s="22" t="n">
        <x:f>MAX(0,MIN('Activities'!L246,222)-MAX('Activities'!K246,216))</x:f>
        <x:v>0</x:v>
      </x:c>
      <x:c r="AP246" s="22" t="n">
        <x:f>MAX(0,MIN('Activities'!L246,228)-MAX('Activities'!K246,222))</x:f>
        <x:v>0</x:v>
      </x:c>
      <x:c r="AQ246" s="22" t="n">
        <x:f>MAX(0,MIN('Activities'!L246,234)-MAX('Activities'!K246,228))</x:f>
        <x:v>0</x:v>
      </x:c>
      <x:c r="AR246" s="22" t="n">
        <x:f>MAX(0,MIN('Activities'!L246,240)-MAX('Activities'!K246,234))</x:f>
        <x:v>0</x:v>
      </x:c>
      <x:c r="AS246" s="22" t="n">
        <x:f>MAX(0,MIN('Activities'!L246,246)-MAX('Activities'!K246,240))</x:f>
        <x:v>0</x:v>
      </x:c>
      <x:c r="AT246" s="22" t="n">
        <x:f>MAX(0,MIN('Activities'!L246,252)-MAX('Activities'!K246,246))</x:f>
        <x:v>0</x:v>
      </x:c>
      <x:c r="AU246" s="22" t="n">
        <x:f>MAX(0,MIN('Activities'!L246,258)-MAX('Activities'!K246,252))</x:f>
        <x:v>0</x:v>
      </x:c>
      <x:c r="AV246" s="22" t="n">
        <x:f>MAX(0,MIN('Activities'!L246,264)-MAX('Activities'!K246,258))</x:f>
        <x:v>0</x:v>
      </x:c>
      <x:c r="AW246" s="22" t="n">
        <x:f>MAX(0,MIN('Activities'!L246,270)-MAX('Activities'!K246,264))</x:f>
        <x:v>0</x:v>
      </x:c>
      <x:c r="AX246" s="22" t="n">
        <x:f>MAX(0,MIN('Activities'!L246,276)-MAX('Activities'!K246,270))</x:f>
        <x:v>0</x:v>
      </x:c>
      <x:c r="AY246" s="22" t="n">
        <x:f>MAX(0,MIN('Activities'!L246,282)-MAX('Activities'!K246,276))</x:f>
        <x:v>0</x:v>
      </x:c>
      <x:c r="AZ246" s="22" t="n">
        <x:f>MAX(0,MIN('Activities'!L246,288)-MAX('Activities'!K246,282))</x:f>
        <x:v>0</x:v>
      </x:c>
      <x:c r="BA246" s="22" t="n">
        <x:f>MAX(0,MIN('Activities'!L246,294)-MAX('Activities'!K246,288))</x:f>
        <x:v>0</x:v>
      </x:c>
      <x:c r="BB246" s="22" t="n">
        <x:f>MAX(0,MIN('Activities'!L246,300)-MAX('Activities'!K246,294))</x:f>
        <x:v>0</x:v>
      </x:c>
      <x:c r="BC246" s="22" t="n">
        <x:f>MAX(0,MIN('Activities'!L246,306)-MAX('Activities'!K246,300))</x:f>
        <x:v>0</x:v>
      </x:c>
      <x:c r="BD246" s="22" t="n">
        <x:f>MAX(0,MIN('Activities'!L246,312)-MAX('Activities'!K246,306))</x:f>
        <x:v>0</x:v>
      </x:c>
      <x:c r="BE246" s="22" t="n">
        <x:f>MAX(0,MIN('Activities'!L246,318)-MAX('Activities'!K246,312))</x:f>
        <x:v>0</x:v>
      </x:c>
      <x:c r="BF246" s="22" t="n">
        <x:f>MAX(0,MIN('Activities'!L246,324)-MAX('Activities'!K246,318))</x:f>
        <x:v>0</x:v>
      </x:c>
      <x:c r="BG246" s="22" t="n">
        <x:f>MAX(0,MIN('Activities'!L246,330)-MAX('Activities'!K246,324))</x:f>
        <x:v>0</x:v>
      </x:c>
      <x:c r="BH246" s="22" t="n">
        <x:f>MAX(0,MIN('Activities'!L246,336)-MAX('Activities'!K246,330))</x:f>
        <x:v>0</x:v>
      </x:c>
      <x:c r="BI246" s="22" t="n">
        <x:f>MAX(0,MIN('Activities'!L246,342)-MAX('Activities'!K246,336))</x:f>
        <x:v>0</x:v>
      </x:c>
      <x:c r="BJ246" s="22" t="n">
        <x:f>MAX(0,MIN('Activities'!L246,348)-MAX('Activities'!K246,342))</x:f>
        <x:v>0</x:v>
      </x:c>
      <x:c r="BK246" s="22" t="n">
        <x:f>MAX(0,MIN('Activities'!L246,354)-MAX('Activities'!K246,348))</x:f>
        <x:v>5</x:v>
      </x:c>
      <x:c r="BL246" s="22" t="n">
        <x:f>MAX(0,MIN('Activities'!L246,360)-MAX('Activities'!K246,354))</x:f>
        <x:v>0</x:v>
      </x:c>
      <x:c r="BM246" s="22" t="n">
        <x:f>MAX(0,MIN('Activities'!L246,366)-MAX('Activities'!K246,360))</x:f>
        <x:v>0</x:v>
      </x:c>
      <x:c r="BN246" s="22" t="n">
        <x:f>MAX(0,MIN('Activities'!L246,372)-MAX('Activities'!K246,366))</x:f>
        <x:v>0</x:v>
      </x:c>
      <x:c r="BO246" s="22" t="n">
        <x:f>MAX(0,MIN('Activities'!L246,378)-MAX('Activities'!K246,372))</x:f>
        <x:v>0</x:v>
      </x:c>
      <x:c r="BP246" s="22" t="n">
        <x:f>MAX(0,MIN('Activities'!L246,384)-MAX('Activities'!K246,378))</x:f>
        <x:v>0</x:v>
      </x:c>
      <x:c r="BQ246" s="22" t="n">
        <x:f>MAX(0,MIN('Activities'!L246,390)-MAX('Activities'!K246,384))</x:f>
        <x:v>0</x:v>
      </x:c>
      <x:c r="BR246" s="22" t="n">
        <x:f>MAX(0,MIN('Activities'!L246,396)-MAX('Activities'!K246,390))</x:f>
        <x:v>0</x:v>
      </x:c>
      <x:c r="BS246" s="22" t="n">
        <x:f>MAX(0,MIN('Activities'!L246,402)-MAX('Activities'!K246,396))</x:f>
        <x:v>0</x:v>
      </x:c>
      <x:c r="BT246" s="22" t="n">
        <x:f>MAX(0,MIN('Activities'!L246,408)-MAX('Activities'!K246,402))</x:f>
        <x:v>0</x:v>
      </x:c>
      <x:c r="BU246" s="22" t="n">
        <x:f>MAX(0,MIN('Activities'!L246,414)-MAX('Activities'!K246,408))</x:f>
        <x:v>0</x:v>
      </x:c>
      <x:c r="BV246" s="22" t="n">
        <x:f>MAX(0,MIN('Activities'!L246,420)-MAX('Activities'!K246,414))</x:f>
        <x:v>0</x:v>
      </x:c>
      <x:c r="BW246" s="22" t="n">
        <x:f>MAX(0,MIN('Activities'!L246,426)-MAX('Activities'!K246,420))</x:f>
        <x:v>0</x:v>
      </x:c>
      <x:c r="BX246" s="22" t="n">
        <x:f>MAX(0,MIN('Activities'!L246,432)-MAX('Activities'!K246,426))</x:f>
        <x:v>0</x:v>
      </x:c>
      <x:c r="BY246" s="22" t="n">
        <x:f>MAX(0,MIN('Activities'!L246,438)-MAX('Activities'!K246,432))</x:f>
        <x:v>0</x:v>
      </x:c>
      <x:c r="BZ246" s="22" t="n">
        <x:f>MAX(0,MIN('Activities'!L246,444)-MAX('Activities'!K246,438))</x:f>
        <x:v>0</x:v>
      </x:c>
      <x:c r="CA246" s="22" t="n">
        <x:f>MAX(0,MIN('Activities'!L246,450)-MAX('Activities'!K246,444))</x:f>
        <x:v>0</x:v>
      </x:c>
      <x:c r="CB246" s="22" t="n">
        <x:f>MAX(0,MIN('Activities'!L246,456)-MAX('Activities'!K246,450))</x:f>
        <x:v>0</x:v>
      </x:c>
      <x:c r="CC246" s="22" t="n">
        <x:f>MAX(0,MIN('Activities'!L246,462)-MAX('Activities'!K246,456))</x:f>
        <x:v>0</x:v>
      </x:c>
      <x:c r="CD246" s="22" t="n">
        <x:f>MAX(0,MIN('Activities'!L246,468)-MAX('Activities'!K246,462))</x:f>
        <x:v>0</x:v>
      </x:c>
      <x:c r="CE246" s="22" t="n">
        <x:f>MAX(0,MIN('Activities'!L246,474)-MAX('Activities'!K246,468))</x:f>
        <x:v>0</x:v>
      </x:c>
      <x:c r="CF246" s="22" t="n">
        <x:f>MAX(0,MIN('Activities'!L246,480)-MAX('Activities'!K246,474))</x:f>
        <x:v>0</x:v>
      </x:c>
      <x:c r="CG246" s="22" t="n">
        <x:f>MAX(0,MIN('Activities'!L246,486)-MAX('Activities'!K246,480))</x:f>
        <x:v>0</x:v>
      </x:c>
      <x:c r="CH246" s="22" t="n">
        <x:f>MAX(0,MIN('Activities'!L246,492)-MAX('Activities'!K246,486))</x:f>
        <x:v>0</x:v>
      </x:c>
      <x:c r="CI246" s="22" t="n">
        <x:f>MAX(0,MIN('Activities'!L246,498)-MAX('Activities'!K246,492))</x:f>
        <x:v>0</x:v>
      </x:c>
      <x:c r="CJ246" s="22" t="n">
        <x:f>MAX(0,MIN('Activities'!L246,504)-MAX('Activities'!K246,498))</x:f>
        <x:v>0</x:v>
      </x:c>
      <x:c r="CK246" s="22" t="n">
        <x:f>MAX(0,MIN('Activities'!L246,510)-MAX('Activities'!K246,504))</x:f>
        <x:v>0</x:v>
      </x:c>
      <x:c r="CL246" s="22" t="n">
        <x:f>MAX(0,MIN('Activities'!L246,516)-MAX('Activities'!K246,510))</x:f>
        <x:v>0</x:v>
      </x:c>
      <x:c r="CM246" s="22" t="n">
        <x:f>MAX(0,MIN('Activities'!L246,522)-MAX('Activities'!K246,516))</x:f>
        <x:v>0</x:v>
      </x:c>
      <x:c r="CN246" s="22" t="n">
        <x:f>MAX(0,MIN('Activities'!L246,528)-MAX('Activities'!K246,522))</x:f>
        <x:v>0</x:v>
      </x:c>
      <x:c r="CO246" s="22" t="n">
        <x:f>MAX(0,MIN('Activities'!L246,534)-MAX('Activities'!K246,528))</x:f>
        <x:v>0</x:v>
      </x:c>
      <x:c r="CP246" s="22" t="n">
        <x:f>MAX(0,MIN('Activities'!L246,540)-MAX('Activities'!K246,534))</x:f>
        <x:v>0</x:v>
      </x:c>
      <x:c r="CQ246" s="22" t="n">
        <x:f>MAX(0,MIN('Activities'!L246,546)-MAX('Activities'!K246,540))</x:f>
        <x:v>0</x:v>
      </x:c>
      <x:c r="CR246" s="22" t="n">
        <x:f>MAX(0,MIN('Activities'!L246,552)-MAX('Activities'!K246,546))</x:f>
        <x:v>0</x:v>
      </x:c>
      <x:c r="CS246" s="22" t="n">
        <x:f>MAX(0,MIN('Activities'!L246,558)-MAX('Activities'!K246,552))</x:f>
        <x:v>0</x:v>
      </x:c>
      <x:c r="CT246" s="22" t="n">
        <x:f>MAX(0,MIN('Activities'!L246,564)-MAX('Activities'!K246,558))</x:f>
        <x:v>0</x:v>
      </x:c>
      <x:c r="CU246" s="22" t="n">
        <x:f>MAX(0,MIN('Activities'!L246,570)-MAX('Activities'!K246,564))</x:f>
        <x:v>0</x:v>
      </x:c>
      <x:c r="CV246" s="22" t="n">
        <x:f>MAX(0,MIN('Activities'!L246,576)-MAX('Activities'!K246,570))</x:f>
        <x:v>0</x:v>
      </x:c>
      <x:c r="CW246" s="22" t="n">
        <x:f>MAX(0,MIN('Activities'!L246,582)-MAX('Activities'!K246,576))</x:f>
        <x:v>0</x:v>
      </x:c>
      <x:c r="CX246" s="22" t="n">
        <x:f>MAX(0,MIN('Activities'!L246,588)-MAX('Activities'!K246,582))</x:f>
        <x:v>0</x:v>
      </x:c>
      <x:c r="CY246" s="22" t="n">
        <x:f>MAX(0,MIN('Activities'!L246,594)-MAX('Activities'!K246,588))</x:f>
        <x:v>0</x:v>
      </x:c>
      <x:c r="CZ246" s="22" t="n">
        <x:f>MAX(0,MIN('Activities'!L246,600)-MAX('Activities'!K246,594))</x:f>
        <x:v>0</x:v>
      </x:c>
      <x:c r="DA246" s="22" t="n">
        <x:f>MAX(0,MIN('Activities'!L246,606)-MAX('Activities'!K246,600))</x:f>
        <x:v>0</x:v>
      </x:c>
      <x:c r="DB246" s="22" t="n">
        <x:f>MAX(0,MIN('Activities'!L246,612)-MAX('Activities'!K246,606))</x:f>
        <x:v>0</x:v>
      </x:c>
      <x:c r="DC246" s="22" t="n">
        <x:f>MAX(0,MIN('Activities'!L246,618)-MAX('Activities'!K246,612))</x:f>
        <x:v>0</x:v>
      </x:c>
      <x:c r="DD246" s="22" t="n">
        <x:f>MAX(0,MIN('Activities'!L246,624)-MAX('Activities'!K246,618))</x:f>
        <x:v>0</x:v>
      </x:c>
      <x:c r="DE246" s="22" t="n">
        <x:f>MAX(0,MIN('Activities'!L246,630)-MAX('Activities'!K246,624))</x:f>
        <x:v>0</x:v>
      </x:c>
      <x:c r="DF246" s="22" t="n">
        <x:f>MAX(0,MIN('Activities'!L246,636)-MAX('Activities'!K246,630))</x:f>
        <x:v>0</x:v>
      </x:c>
    </x:row>
    <x:row r="247" ht="23" customHeight="1">
      <x:c r="A247" s="1" t="str">
        <x:v>T2-L07-P</x:v>
      </x:c>
      <x:c r="B247" s="1" t="str">
        <x:v>T2</x:v>
      </x:c>
      <x:c r="C247" s="1" t="str">
        <x:v>Internal plaster</x:v>
      </x:c>
      <x:c r="D247" s="1" t="str">
        <x:v>Finishes</x:v>
      </x:c>
      <x:c r="E247" s="23" t="n">
        <x:f>MAX(0,MIN('Activities'!L247,6)-MAX('Activities'!K247,0))</x:f>
        <x:v>0</x:v>
      </x:c>
      <x:c r="F247" s="23" t="n">
        <x:f>MAX(0,MIN('Activities'!L247,12)-MAX('Activities'!K247,6))</x:f>
        <x:v>0</x:v>
      </x:c>
      <x:c r="G247" s="23" t="n">
        <x:f>MAX(0,MIN('Activities'!L247,18)-MAX('Activities'!K247,12))</x:f>
        <x:v>0</x:v>
      </x:c>
      <x:c r="H247" s="23" t="n">
        <x:f>MAX(0,MIN('Activities'!L247,24)-MAX('Activities'!K247,18))</x:f>
        <x:v>0</x:v>
      </x:c>
      <x:c r="I247" s="23" t="n">
        <x:f>MAX(0,MIN('Activities'!L247,30)-MAX('Activities'!K247,24))</x:f>
        <x:v>0</x:v>
      </x:c>
      <x:c r="J247" s="23" t="n">
        <x:f>MAX(0,MIN('Activities'!L247,36)-MAX('Activities'!K247,30))</x:f>
        <x:v>0</x:v>
      </x:c>
      <x:c r="K247" s="23" t="n">
        <x:f>MAX(0,MIN('Activities'!L247,42)-MAX('Activities'!K247,36))</x:f>
        <x:v>0</x:v>
      </x:c>
      <x:c r="L247" s="23" t="n">
        <x:f>MAX(0,MIN('Activities'!L247,48)-MAX('Activities'!K247,42))</x:f>
        <x:v>0</x:v>
      </x:c>
      <x:c r="M247" s="23" t="n">
        <x:f>MAX(0,MIN('Activities'!L247,54)-MAX('Activities'!K247,48))</x:f>
        <x:v>0</x:v>
      </x:c>
      <x:c r="N247" s="23" t="n">
        <x:f>MAX(0,MIN('Activities'!L247,60)-MAX('Activities'!K247,54))</x:f>
        <x:v>0</x:v>
      </x:c>
      <x:c r="O247" s="23" t="n">
        <x:f>MAX(0,MIN('Activities'!L247,66)-MAX('Activities'!K247,60))</x:f>
        <x:v>0</x:v>
      </x:c>
      <x:c r="P247" s="23" t="n">
        <x:f>MAX(0,MIN('Activities'!L247,72)-MAX('Activities'!K247,66))</x:f>
        <x:v>0</x:v>
      </x:c>
      <x:c r="Q247" s="23" t="n">
        <x:f>MAX(0,MIN('Activities'!L247,78)-MAX('Activities'!K247,72))</x:f>
        <x:v>0</x:v>
      </x:c>
      <x:c r="R247" s="23" t="n">
        <x:f>MAX(0,MIN('Activities'!L247,84)-MAX('Activities'!K247,78))</x:f>
        <x:v>0</x:v>
      </x:c>
      <x:c r="S247" s="23" t="n">
        <x:f>MAX(0,MIN('Activities'!L247,90)-MAX('Activities'!K247,84))</x:f>
        <x:v>0</x:v>
      </x:c>
      <x:c r="T247" s="23" t="n">
        <x:f>MAX(0,MIN('Activities'!L247,96)-MAX('Activities'!K247,90))</x:f>
        <x:v>0</x:v>
      </x:c>
      <x:c r="U247" s="23" t="n">
        <x:f>MAX(0,MIN('Activities'!L247,102)-MAX('Activities'!K247,96))</x:f>
        <x:v>0</x:v>
      </x:c>
      <x:c r="V247" s="23" t="n">
        <x:f>MAX(0,MIN('Activities'!L247,108)-MAX('Activities'!K247,102))</x:f>
        <x:v>0</x:v>
      </x:c>
      <x:c r="W247" s="23" t="n">
        <x:f>MAX(0,MIN('Activities'!L247,114)-MAX('Activities'!K247,108))</x:f>
        <x:v>0</x:v>
      </x:c>
      <x:c r="X247" s="23" t="n">
        <x:f>MAX(0,MIN('Activities'!L247,120)-MAX('Activities'!K247,114))</x:f>
        <x:v>0</x:v>
      </x:c>
      <x:c r="Y247" s="23" t="n">
        <x:f>MAX(0,MIN('Activities'!L247,126)-MAX('Activities'!K247,120))</x:f>
        <x:v>0</x:v>
      </x:c>
      <x:c r="Z247" s="23" t="n">
        <x:f>MAX(0,MIN('Activities'!L247,132)-MAX('Activities'!K247,126))</x:f>
        <x:v>0</x:v>
      </x:c>
      <x:c r="AA247" s="23" t="n">
        <x:f>MAX(0,MIN('Activities'!L247,138)-MAX('Activities'!K247,132))</x:f>
        <x:v>0</x:v>
      </x:c>
      <x:c r="AB247" s="23" t="n">
        <x:f>MAX(0,MIN('Activities'!L247,144)-MAX('Activities'!K247,138))</x:f>
        <x:v>0</x:v>
      </x:c>
      <x:c r="AC247" s="23" t="n">
        <x:f>MAX(0,MIN('Activities'!L247,150)-MAX('Activities'!K247,144))</x:f>
        <x:v>0</x:v>
      </x:c>
      <x:c r="AD247" s="23" t="n">
        <x:f>MAX(0,MIN('Activities'!L247,156)-MAX('Activities'!K247,150))</x:f>
        <x:v>0</x:v>
      </x:c>
      <x:c r="AE247" s="23" t="n">
        <x:f>MAX(0,MIN('Activities'!L247,162)-MAX('Activities'!K247,156))</x:f>
        <x:v>0</x:v>
      </x:c>
      <x:c r="AF247" s="23" t="n">
        <x:f>MAX(0,MIN('Activities'!L247,168)-MAX('Activities'!K247,162))</x:f>
        <x:v>0</x:v>
      </x:c>
      <x:c r="AG247" s="23" t="n">
        <x:f>MAX(0,MIN('Activities'!L247,174)-MAX('Activities'!K247,168))</x:f>
        <x:v>0</x:v>
      </x:c>
      <x:c r="AH247" s="23" t="n">
        <x:f>MAX(0,MIN('Activities'!L247,180)-MAX('Activities'!K247,174))</x:f>
        <x:v>0</x:v>
      </x:c>
      <x:c r="AI247" s="23" t="n">
        <x:f>MAX(0,MIN('Activities'!L247,186)-MAX('Activities'!K247,180))</x:f>
        <x:v>0</x:v>
      </x:c>
      <x:c r="AJ247" s="23" t="n">
        <x:f>MAX(0,MIN('Activities'!L247,192)-MAX('Activities'!K247,186))</x:f>
        <x:v>0</x:v>
      </x:c>
      <x:c r="AK247" s="23" t="n">
        <x:f>MAX(0,MIN('Activities'!L247,198)-MAX('Activities'!K247,192))</x:f>
        <x:v>0</x:v>
      </x:c>
      <x:c r="AL247" s="23" t="n">
        <x:f>MAX(0,MIN('Activities'!L247,204)-MAX('Activities'!K247,198))</x:f>
        <x:v>0</x:v>
      </x:c>
      <x:c r="AM247" s="23" t="n">
        <x:f>MAX(0,MIN('Activities'!L247,210)-MAX('Activities'!K247,204))</x:f>
        <x:v>0</x:v>
      </x:c>
      <x:c r="AN247" s="23" t="n">
        <x:f>MAX(0,MIN('Activities'!L247,216)-MAX('Activities'!K247,210))</x:f>
        <x:v>0</x:v>
      </x:c>
      <x:c r="AO247" s="23" t="n">
        <x:f>MAX(0,MIN('Activities'!L247,222)-MAX('Activities'!K247,216))</x:f>
        <x:v>0</x:v>
      </x:c>
      <x:c r="AP247" s="23" t="n">
        <x:f>MAX(0,MIN('Activities'!L247,228)-MAX('Activities'!K247,222))</x:f>
        <x:v>0</x:v>
      </x:c>
      <x:c r="AQ247" s="23" t="n">
        <x:f>MAX(0,MIN('Activities'!L247,234)-MAX('Activities'!K247,228))</x:f>
        <x:v>0</x:v>
      </x:c>
      <x:c r="AR247" s="23" t="n">
        <x:f>MAX(0,MIN('Activities'!L247,240)-MAX('Activities'!K247,234))</x:f>
        <x:v>0</x:v>
      </x:c>
      <x:c r="AS247" s="23" t="n">
        <x:f>MAX(0,MIN('Activities'!L247,246)-MAX('Activities'!K247,240))</x:f>
        <x:v>0</x:v>
      </x:c>
      <x:c r="AT247" s="23" t="n">
        <x:f>MAX(0,MIN('Activities'!L247,252)-MAX('Activities'!K247,246))</x:f>
        <x:v>0</x:v>
      </x:c>
      <x:c r="AU247" s="23" t="n">
        <x:f>MAX(0,MIN('Activities'!L247,258)-MAX('Activities'!K247,252))</x:f>
        <x:v>0</x:v>
      </x:c>
      <x:c r="AV247" s="23" t="n">
        <x:f>MAX(0,MIN('Activities'!L247,264)-MAX('Activities'!K247,258))</x:f>
        <x:v>0</x:v>
      </x:c>
      <x:c r="AW247" s="23" t="n">
        <x:f>MAX(0,MIN('Activities'!L247,270)-MAX('Activities'!K247,264))</x:f>
        <x:v>0</x:v>
      </x:c>
      <x:c r="AX247" s="23" t="n">
        <x:f>MAX(0,MIN('Activities'!L247,276)-MAX('Activities'!K247,270))</x:f>
        <x:v>0</x:v>
      </x:c>
      <x:c r="AY247" s="23" t="n">
        <x:f>MAX(0,MIN('Activities'!L247,282)-MAX('Activities'!K247,276))</x:f>
        <x:v>0</x:v>
      </x:c>
      <x:c r="AZ247" s="23" t="n">
        <x:f>MAX(0,MIN('Activities'!L247,288)-MAX('Activities'!K247,282))</x:f>
        <x:v>0</x:v>
      </x:c>
      <x:c r="BA247" s="23" t="n">
        <x:f>MAX(0,MIN('Activities'!L247,294)-MAX('Activities'!K247,288))</x:f>
        <x:v>0</x:v>
      </x:c>
      <x:c r="BB247" s="23" t="n">
        <x:f>MAX(0,MIN('Activities'!L247,300)-MAX('Activities'!K247,294))</x:f>
        <x:v>0</x:v>
      </x:c>
      <x:c r="BC247" s="23" t="n">
        <x:f>MAX(0,MIN('Activities'!L247,306)-MAX('Activities'!K247,300))</x:f>
        <x:v>0</x:v>
      </x:c>
      <x:c r="BD247" s="23" t="n">
        <x:f>MAX(0,MIN('Activities'!L247,312)-MAX('Activities'!K247,306))</x:f>
        <x:v>0</x:v>
      </x:c>
      <x:c r="BE247" s="23" t="n">
        <x:f>MAX(0,MIN('Activities'!L247,318)-MAX('Activities'!K247,312))</x:f>
        <x:v>0</x:v>
      </x:c>
      <x:c r="BF247" s="23" t="n">
        <x:f>MAX(0,MIN('Activities'!L247,324)-MAX('Activities'!K247,318))</x:f>
        <x:v>0</x:v>
      </x:c>
      <x:c r="BG247" s="23" t="n">
        <x:f>MAX(0,MIN('Activities'!L247,330)-MAX('Activities'!K247,324))</x:f>
        <x:v>0</x:v>
      </x:c>
      <x:c r="BH247" s="23" t="n">
        <x:f>MAX(0,MIN('Activities'!L247,336)-MAX('Activities'!K247,330))</x:f>
        <x:v>0</x:v>
      </x:c>
      <x:c r="BI247" s="23" t="n">
        <x:f>MAX(0,MIN('Activities'!L247,342)-MAX('Activities'!K247,336))</x:f>
        <x:v>0</x:v>
      </x:c>
      <x:c r="BJ247" s="23" t="n">
        <x:f>MAX(0,MIN('Activities'!L247,348)-MAX('Activities'!K247,342))</x:f>
        <x:v>0</x:v>
      </x:c>
      <x:c r="BK247" s="23" t="n">
        <x:f>MAX(0,MIN('Activities'!L247,354)-MAX('Activities'!K247,348))</x:f>
        <x:v>0</x:v>
      </x:c>
      <x:c r="BL247" s="23" t="n">
        <x:f>MAX(0,MIN('Activities'!L247,360)-MAX('Activities'!K247,354))</x:f>
        <x:v>3</x:v>
      </x:c>
      <x:c r="BM247" s="23" t="n">
        <x:f>MAX(0,MIN('Activities'!L247,366)-MAX('Activities'!K247,360))</x:f>
        <x:v>3</x:v>
      </x:c>
      <x:c r="BN247" s="23" t="n">
        <x:f>MAX(0,MIN('Activities'!L247,372)-MAX('Activities'!K247,366))</x:f>
        <x:v>0</x:v>
      </x:c>
      <x:c r="BO247" s="23" t="n">
        <x:f>MAX(0,MIN('Activities'!L247,378)-MAX('Activities'!K247,372))</x:f>
        <x:v>0</x:v>
      </x:c>
      <x:c r="BP247" s="23" t="n">
        <x:f>MAX(0,MIN('Activities'!L247,384)-MAX('Activities'!K247,378))</x:f>
        <x:v>0</x:v>
      </x:c>
      <x:c r="BQ247" s="23" t="n">
        <x:f>MAX(0,MIN('Activities'!L247,390)-MAX('Activities'!K247,384))</x:f>
        <x:v>0</x:v>
      </x:c>
      <x:c r="BR247" s="23" t="n">
        <x:f>MAX(0,MIN('Activities'!L247,396)-MAX('Activities'!K247,390))</x:f>
        <x:v>0</x:v>
      </x:c>
      <x:c r="BS247" s="23" t="n">
        <x:f>MAX(0,MIN('Activities'!L247,402)-MAX('Activities'!K247,396))</x:f>
        <x:v>0</x:v>
      </x:c>
      <x:c r="BT247" s="23" t="n">
        <x:f>MAX(0,MIN('Activities'!L247,408)-MAX('Activities'!K247,402))</x:f>
        <x:v>0</x:v>
      </x:c>
      <x:c r="BU247" s="23" t="n">
        <x:f>MAX(0,MIN('Activities'!L247,414)-MAX('Activities'!K247,408))</x:f>
        <x:v>0</x:v>
      </x:c>
      <x:c r="BV247" s="23" t="n">
        <x:f>MAX(0,MIN('Activities'!L247,420)-MAX('Activities'!K247,414))</x:f>
        <x:v>0</x:v>
      </x:c>
      <x:c r="BW247" s="23" t="n">
        <x:f>MAX(0,MIN('Activities'!L247,426)-MAX('Activities'!K247,420))</x:f>
        <x:v>0</x:v>
      </x:c>
      <x:c r="BX247" s="23" t="n">
        <x:f>MAX(0,MIN('Activities'!L247,432)-MAX('Activities'!K247,426))</x:f>
        <x:v>0</x:v>
      </x:c>
      <x:c r="BY247" s="23" t="n">
        <x:f>MAX(0,MIN('Activities'!L247,438)-MAX('Activities'!K247,432))</x:f>
        <x:v>0</x:v>
      </x:c>
      <x:c r="BZ247" s="23" t="n">
        <x:f>MAX(0,MIN('Activities'!L247,444)-MAX('Activities'!K247,438))</x:f>
        <x:v>0</x:v>
      </x:c>
      <x:c r="CA247" s="23" t="n">
        <x:f>MAX(0,MIN('Activities'!L247,450)-MAX('Activities'!K247,444))</x:f>
        <x:v>0</x:v>
      </x:c>
      <x:c r="CB247" s="23" t="n">
        <x:f>MAX(0,MIN('Activities'!L247,456)-MAX('Activities'!K247,450))</x:f>
        <x:v>0</x:v>
      </x:c>
      <x:c r="CC247" s="23" t="n">
        <x:f>MAX(0,MIN('Activities'!L247,462)-MAX('Activities'!K247,456))</x:f>
        <x:v>0</x:v>
      </x:c>
      <x:c r="CD247" s="23" t="n">
        <x:f>MAX(0,MIN('Activities'!L247,468)-MAX('Activities'!K247,462))</x:f>
        <x:v>0</x:v>
      </x:c>
      <x:c r="CE247" s="23" t="n">
        <x:f>MAX(0,MIN('Activities'!L247,474)-MAX('Activities'!K247,468))</x:f>
        <x:v>0</x:v>
      </x:c>
      <x:c r="CF247" s="23" t="n">
        <x:f>MAX(0,MIN('Activities'!L247,480)-MAX('Activities'!K247,474))</x:f>
        <x:v>0</x:v>
      </x:c>
      <x:c r="CG247" s="23" t="n">
        <x:f>MAX(0,MIN('Activities'!L247,486)-MAX('Activities'!K247,480))</x:f>
        <x:v>0</x:v>
      </x:c>
      <x:c r="CH247" s="23" t="n">
        <x:f>MAX(0,MIN('Activities'!L247,492)-MAX('Activities'!K247,486))</x:f>
        <x:v>0</x:v>
      </x:c>
      <x:c r="CI247" s="23" t="n">
        <x:f>MAX(0,MIN('Activities'!L247,498)-MAX('Activities'!K247,492))</x:f>
        <x:v>0</x:v>
      </x:c>
      <x:c r="CJ247" s="23" t="n">
        <x:f>MAX(0,MIN('Activities'!L247,504)-MAX('Activities'!K247,498))</x:f>
        <x:v>0</x:v>
      </x:c>
      <x:c r="CK247" s="23" t="n">
        <x:f>MAX(0,MIN('Activities'!L247,510)-MAX('Activities'!K247,504))</x:f>
        <x:v>0</x:v>
      </x:c>
      <x:c r="CL247" s="23" t="n">
        <x:f>MAX(0,MIN('Activities'!L247,516)-MAX('Activities'!K247,510))</x:f>
        <x:v>0</x:v>
      </x:c>
      <x:c r="CM247" s="23" t="n">
        <x:f>MAX(0,MIN('Activities'!L247,522)-MAX('Activities'!K247,516))</x:f>
        <x:v>0</x:v>
      </x:c>
      <x:c r="CN247" s="23" t="n">
        <x:f>MAX(0,MIN('Activities'!L247,528)-MAX('Activities'!K247,522))</x:f>
        <x:v>0</x:v>
      </x:c>
      <x:c r="CO247" s="23" t="n">
        <x:f>MAX(0,MIN('Activities'!L247,534)-MAX('Activities'!K247,528))</x:f>
        <x:v>0</x:v>
      </x:c>
      <x:c r="CP247" s="23" t="n">
        <x:f>MAX(0,MIN('Activities'!L247,540)-MAX('Activities'!K247,534))</x:f>
        <x:v>0</x:v>
      </x:c>
      <x:c r="CQ247" s="23" t="n">
        <x:f>MAX(0,MIN('Activities'!L247,546)-MAX('Activities'!K247,540))</x:f>
        <x:v>0</x:v>
      </x:c>
      <x:c r="CR247" s="23" t="n">
        <x:f>MAX(0,MIN('Activities'!L247,552)-MAX('Activities'!K247,546))</x:f>
        <x:v>0</x:v>
      </x:c>
      <x:c r="CS247" s="23" t="n">
        <x:f>MAX(0,MIN('Activities'!L247,558)-MAX('Activities'!K247,552))</x:f>
        <x:v>0</x:v>
      </x:c>
      <x:c r="CT247" s="23" t="n">
        <x:f>MAX(0,MIN('Activities'!L247,564)-MAX('Activities'!K247,558))</x:f>
        <x:v>0</x:v>
      </x:c>
      <x:c r="CU247" s="23" t="n">
        <x:f>MAX(0,MIN('Activities'!L247,570)-MAX('Activities'!K247,564))</x:f>
        <x:v>0</x:v>
      </x:c>
      <x:c r="CV247" s="23" t="n">
        <x:f>MAX(0,MIN('Activities'!L247,576)-MAX('Activities'!K247,570))</x:f>
        <x:v>0</x:v>
      </x:c>
      <x:c r="CW247" s="23" t="n">
        <x:f>MAX(0,MIN('Activities'!L247,582)-MAX('Activities'!K247,576))</x:f>
        <x:v>0</x:v>
      </x:c>
      <x:c r="CX247" s="23" t="n">
        <x:f>MAX(0,MIN('Activities'!L247,588)-MAX('Activities'!K247,582))</x:f>
        <x:v>0</x:v>
      </x:c>
      <x:c r="CY247" s="23" t="n">
        <x:f>MAX(0,MIN('Activities'!L247,594)-MAX('Activities'!K247,588))</x:f>
        <x:v>0</x:v>
      </x:c>
      <x:c r="CZ247" s="23" t="n">
        <x:f>MAX(0,MIN('Activities'!L247,600)-MAX('Activities'!K247,594))</x:f>
        <x:v>0</x:v>
      </x:c>
      <x:c r="DA247" s="23" t="n">
        <x:f>MAX(0,MIN('Activities'!L247,606)-MAX('Activities'!K247,600))</x:f>
        <x:v>0</x:v>
      </x:c>
      <x:c r="DB247" s="23" t="n">
        <x:f>MAX(0,MIN('Activities'!L247,612)-MAX('Activities'!K247,606))</x:f>
        <x:v>0</x:v>
      </x:c>
      <x:c r="DC247" s="23" t="n">
        <x:f>MAX(0,MIN('Activities'!L247,618)-MAX('Activities'!K247,612))</x:f>
        <x:v>0</x:v>
      </x:c>
      <x:c r="DD247" s="23" t="n">
        <x:f>MAX(0,MIN('Activities'!L247,624)-MAX('Activities'!K247,618))</x:f>
        <x:v>0</x:v>
      </x:c>
      <x:c r="DE247" s="23" t="n">
        <x:f>MAX(0,MIN('Activities'!L247,630)-MAX('Activities'!K247,624))</x:f>
        <x:v>0</x:v>
      </x:c>
      <x:c r="DF247" s="23" t="n">
        <x:f>MAX(0,MIN('Activities'!L247,636)-MAX('Activities'!K247,630))</x:f>
        <x:v>0</x:v>
      </x:c>
    </x:row>
    <x:row r="248" ht="23" customHeight="1">
      <x:c r="A248" s="6" t="str">
        <x:v>T2-L07-S</x:v>
      </x:c>
      <x:c r="B248" s="6" t="str">
        <x:v>T2</x:v>
      </x:c>
      <x:c r="C248" s="6" t="str">
        <x:v>Screed and substrate preparation</x:v>
      </x:c>
      <x:c r="D248" s="6" t="str">
        <x:v>Finishes</x:v>
      </x:c>
      <x:c r="E248" s="22" t="n">
        <x:f>MAX(0,MIN('Activities'!L248,6)-MAX('Activities'!K248,0))</x:f>
        <x:v>0</x:v>
      </x:c>
      <x:c r="F248" s="22" t="n">
        <x:f>MAX(0,MIN('Activities'!L248,12)-MAX('Activities'!K248,6))</x:f>
        <x:v>0</x:v>
      </x:c>
      <x:c r="G248" s="22" t="n">
        <x:f>MAX(0,MIN('Activities'!L248,18)-MAX('Activities'!K248,12))</x:f>
        <x:v>0</x:v>
      </x:c>
      <x:c r="H248" s="22" t="n">
        <x:f>MAX(0,MIN('Activities'!L248,24)-MAX('Activities'!K248,18))</x:f>
        <x:v>0</x:v>
      </x:c>
      <x:c r="I248" s="22" t="n">
        <x:f>MAX(0,MIN('Activities'!L248,30)-MAX('Activities'!K248,24))</x:f>
        <x:v>0</x:v>
      </x:c>
      <x:c r="J248" s="22" t="n">
        <x:f>MAX(0,MIN('Activities'!L248,36)-MAX('Activities'!K248,30))</x:f>
        <x:v>0</x:v>
      </x:c>
      <x:c r="K248" s="22" t="n">
        <x:f>MAX(0,MIN('Activities'!L248,42)-MAX('Activities'!K248,36))</x:f>
        <x:v>0</x:v>
      </x:c>
      <x:c r="L248" s="22" t="n">
        <x:f>MAX(0,MIN('Activities'!L248,48)-MAX('Activities'!K248,42))</x:f>
        <x:v>0</x:v>
      </x:c>
      <x:c r="M248" s="22" t="n">
        <x:f>MAX(0,MIN('Activities'!L248,54)-MAX('Activities'!K248,48))</x:f>
        <x:v>0</x:v>
      </x:c>
      <x:c r="N248" s="22" t="n">
        <x:f>MAX(0,MIN('Activities'!L248,60)-MAX('Activities'!K248,54))</x:f>
        <x:v>0</x:v>
      </x:c>
      <x:c r="O248" s="22" t="n">
        <x:f>MAX(0,MIN('Activities'!L248,66)-MAX('Activities'!K248,60))</x:f>
        <x:v>0</x:v>
      </x:c>
      <x:c r="P248" s="22" t="n">
        <x:f>MAX(0,MIN('Activities'!L248,72)-MAX('Activities'!K248,66))</x:f>
        <x:v>0</x:v>
      </x:c>
      <x:c r="Q248" s="22" t="n">
        <x:f>MAX(0,MIN('Activities'!L248,78)-MAX('Activities'!K248,72))</x:f>
        <x:v>0</x:v>
      </x:c>
      <x:c r="R248" s="22" t="n">
        <x:f>MAX(0,MIN('Activities'!L248,84)-MAX('Activities'!K248,78))</x:f>
        <x:v>0</x:v>
      </x:c>
      <x:c r="S248" s="22" t="n">
        <x:f>MAX(0,MIN('Activities'!L248,90)-MAX('Activities'!K248,84))</x:f>
        <x:v>0</x:v>
      </x:c>
      <x:c r="T248" s="22" t="n">
        <x:f>MAX(0,MIN('Activities'!L248,96)-MAX('Activities'!K248,90))</x:f>
        <x:v>0</x:v>
      </x:c>
      <x:c r="U248" s="22" t="n">
        <x:f>MAX(0,MIN('Activities'!L248,102)-MAX('Activities'!K248,96))</x:f>
        <x:v>0</x:v>
      </x:c>
      <x:c r="V248" s="22" t="n">
        <x:f>MAX(0,MIN('Activities'!L248,108)-MAX('Activities'!K248,102))</x:f>
        <x:v>0</x:v>
      </x:c>
      <x:c r="W248" s="22" t="n">
        <x:f>MAX(0,MIN('Activities'!L248,114)-MAX('Activities'!K248,108))</x:f>
        <x:v>0</x:v>
      </x:c>
      <x:c r="X248" s="22" t="n">
        <x:f>MAX(0,MIN('Activities'!L248,120)-MAX('Activities'!K248,114))</x:f>
        <x:v>0</x:v>
      </x:c>
      <x:c r="Y248" s="22" t="n">
        <x:f>MAX(0,MIN('Activities'!L248,126)-MAX('Activities'!K248,120))</x:f>
        <x:v>0</x:v>
      </x:c>
      <x:c r="Z248" s="22" t="n">
        <x:f>MAX(0,MIN('Activities'!L248,132)-MAX('Activities'!K248,126))</x:f>
        <x:v>0</x:v>
      </x:c>
      <x:c r="AA248" s="22" t="n">
        <x:f>MAX(0,MIN('Activities'!L248,138)-MAX('Activities'!K248,132))</x:f>
        <x:v>0</x:v>
      </x:c>
      <x:c r="AB248" s="22" t="n">
        <x:f>MAX(0,MIN('Activities'!L248,144)-MAX('Activities'!K248,138))</x:f>
        <x:v>0</x:v>
      </x:c>
      <x:c r="AC248" s="22" t="n">
        <x:f>MAX(0,MIN('Activities'!L248,150)-MAX('Activities'!K248,144))</x:f>
        <x:v>0</x:v>
      </x:c>
      <x:c r="AD248" s="22" t="n">
        <x:f>MAX(0,MIN('Activities'!L248,156)-MAX('Activities'!K248,150))</x:f>
        <x:v>0</x:v>
      </x:c>
      <x:c r="AE248" s="22" t="n">
        <x:f>MAX(0,MIN('Activities'!L248,162)-MAX('Activities'!K248,156))</x:f>
        <x:v>0</x:v>
      </x:c>
      <x:c r="AF248" s="22" t="n">
        <x:f>MAX(0,MIN('Activities'!L248,168)-MAX('Activities'!K248,162))</x:f>
        <x:v>0</x:v>
      </x:c>
      <x:c r="AG248" s="22" t="n">
        <x:f>MAX(0,MIN('Activities'!L248,174)-MAX('Activities'!K248,168))</x:f>
        <x:v>0</x:v>
      </x:c>
      <x:c r="AH248" s="22" t="n">
        <x:f>MAX(0,MIN('Activities'!L248,180)-MAX('Activities'!K248,174))</x:f>
        <x:v>0</x:v>
      </x:c>
      <x:c r="AI248" s="22" t="n">
        <x:f>MAX(0,MIN('Activities'!L248,186)-MAX('Activities'!K248,180))</x:f>
        <x:v>0</x:v>
      </x:c>
      <x:c r="AJ248" s="22" t="n">
        <x:f>MAX(0,MIN('Activities'!L248,192)-MAX('Activities'!K248,186))</x:f>
        <x:v>0</x:v>
      </x:c>
      <x:c r="AK248" s="22" t="n">
        <x:f>MAX(0,MIN('Activities'!L248,198)-MAX('Activities'!K248,192))</x:f>
        <x:v>0</x:v>
      </x:c>
      <x:c r="AL248" s="22" t="n">
        <x:f>MAX(0,MIN('Activities'!L248,204)-MAX('Activities'!K248,198))</x:f>
        <x:v>0</x:v>
      </x:c>
      <x:c r="AM248" s="22" t="n">
        <x:f>MAX(0,MIN('Activities'!L248,210)-MAX('Activities'!K248,204))</x:f>
        <x:v>0</x:v>
      </x:c>
      <x:c r="AN248" s="22" t="n">
        <x:f>MAX(0,MIN('Activities'!L248,216)-MAX('Activities'!K248,210))</x:f>
        <x:v>0</x:v>
      </x:c>
      <x:c r="AO248" s="22" t="n">
        <x:f>MAX(0,MIN('Activities'!L248,222)-MAX('Activities'!K248,216))</x:f>
        <x:v>0</x:v>
      </x:c>
      <x:c r="AP248" s="22" t="n">
        <x:f>MAX(0,MIN('Activities'!L248,228)-MAX('Activities'!K248,222))</x:f>
        <x:v>0</x:v>
      </x:c>
      <x:c r="AQ248" s="22" t="n">
        <x:f>MAX(0,MIN('Activities'!L248,234)-MAX('Activities'!K248,228))</x:f>
        <x:v>0</x:v>
      </x:c>
      <x:c r="AR248" s="22" t="n">
        <x:f>MAX(0,MIN('Activities'!L248,240)-MAX('Activities'!K248,234))</x:f>
        <x:v>0</x:v>
      </x:c>
      <x:c r="AS248" s="22" t="n">
        <x:f>MAX(0,MIN('Activities'!L248,246)-MAX('Activities'!K248,240))</x:f>
        <x:v>0</x:v>
      </x:c>
      <x:c r="AT248" s="22" t="n">
        <x:f>MAX(0,MIN('Activities'!L248,252)-MAX('Activities'!K248,246))</x:f>
        <x:v>0</x:v>
      </x:c>
      <x:c r="AU248" s="22" t="n">
        <x:f>MAX(0,MIN('Activities'!L248,258)-MAX('Activities'!K248,252))</x:f>
        <x:v>0</x:v>
      </x:c>
      <x:c r="AV248" s="22" t="n">
        <x:f>MAX(0,MIN('Activities'!L248,264)-MAX('Activities'!K248,258))</x:f>
        <x:v>0</x:v>
      </x:c>
      <x:c r="AW248" s="22" t="n">
        <x:f>MAX(0,MIN('Activities'!L248,270)-MAX('Activities'!K248,264))</x:f>
        <x:v>0</x:v>
      </x:c>
      <x:c r="AX248" s="22" t="n">
        <x:f>MAX(0,MIN('Activities'!L248,276)-MAX('Activities'!K248,270))</x:f>
        <x:v>0</x:v>
      </x:c>
      <x:c r="AY248" s="22" t="n">
        <x:f>MAX(0,MIN('Activities'!L248,282)-MAX('Activities'!K248,276))</x:f>
        <x:v>0</x:v>
      </x:c>
      <x:c r="AZ248" s="22" t="n">
        <x:f>MAX(0,MIN('Activities'!L248,288)-MAX('Activities'!K248,282))</x:f>
        <x:v>0</x:v>
      </x:c>
      <x:c r="BA248" s="22" t="n">
        <x:f>MAX(0,MIN('Activities'!L248,294)-MAX('Activities'!K248,288))</x:f>
        <x:v>0</x:v>
      </x:c>
      <x:c r="BB248" s="22" t="n">
        <x:f>MAX(0,MIN('Activities'!L248,300)-MAX('Activities'!K248,294))</x:f>
        <x:v>0</x:v>
      </x:c>
      <x:c r="BC248" s="22" t="n">
        <x:f>MAX(0,MIN('Activities'!L248,306)-MAX('Activities'!K248,300))</x:f>
        <x:v>0</x:v>
      </x:c>
      <x:c r="BD248" s="22" t="n">
        <x:f>MAX(0,MIN('Activities'!L248,312)-MAX('Activities'!K248,306))</x:f>
        <x:v>0</x:v>
      </x:c>
      <x:c r="BE248" s="22" t="n">
        <x:f>MAX(0,MIN('Activities'!L248,318)-MAX('Activities'!K248,312))</x:f>
        <x:v>0</x:v>
      </x:c>
      <x:c r="BF248" s="22" t="n">
        <x:f>MAX(0,MIN('Activities'!L248,324)-MAX('Activities'!K248,318))</x:f>
        <x:v>0</x:v>
      </x:c>
      <x:c r="BG248" s="22" t="n">
        <x:f>MAX(0,MIN('Activities'!L248,330)-MAX('Activities'!K248,324))</x:f>
        <x:v>0</x:v>
      </x:c>
      <x:c r="BH248" s="22" t="n">
        <x:f>MAX(0,MIN('Activities'!L248,336)-MAX('Activities'!K248,330))</x:f>
        <x:v>0</x:v>
      </x:c>
      <x:c r="BI248" s="22" t="n">
        <x:f>MAX(0,MIN('Activities'!L248,342)-MAX('Activities'!K248,336))</x:f>
        <x:v>0</x:v>
      </x:c>
      <x:c r="BJ248" s="22" t="n">
        <x:f>MAX(0,MIN('Activities'!L248,348)-MAX('Activities'!K248,342))</x:f>
        <x:v>0</x:v>
      </x:c>
      <x:c r="BK248" s="22" t="n">
        <x:f>MAX(0,MIN('Activities'!L248,354)-MAX('Activities'!K248,348))</x:f>
        <x:v>0</x:v>
      </x:c>
      <x:c r="BL248" s="22" t="n">
        <x:f>MAX(0,MIN('Activities'!L248,360)-MAX('Activities'!K248,354))</x:f>
        <x:v>0</x:v>
      </x:c>
      <x:c r="BM248" s="22" t="n">
        <x:f>MAX(0,MIN('Activities'!L248,366)-MAX('Activities'!K248,360))</x:f>
        <x:v>1</x:v>
      </x:c>
      <x:c r="BN248" s="22" t="n">
        <x:f>MAX(0,MIN('Activities'!L248,372)-MAX('Activities'!K248,366))</x:f>
        <x:v>2</x:v>
      </x:c>
      <x:c r="BO248" s="22" t="n">
        <x:f>MAX(0,MIN('Activities'!L248,378)-MAX('Activities'!K248,372))</x:f>
        <x:v>0</x:v>
      </x:c>
      <x:c r="BP248" s="22" t="n">
        <x:f>MAX(0,MIN('Activities'!L248,384)-MAX('Activities'!K248,378))</x:f>
        <x:v>0</x:v>
      </x:c>
      <x:c r="BQ248" s="22" t="n">
        <x:f>MAX(0,MIN('Activities'!L248,390)-MAX('Activities'!K248,384))</x:f>
        <x:v>0</x:v>
      </x:c>
      <x:c r="BR248" s="22" t="n">
        <x:f>MAX(0,MIN('Activities'!L248,396)-MAX('Activities'!K248,390))</x:f>
        <x:v>0</x:v>
      </x:c>
      <x:c r="BS248" s="22" t="n">
        <x:f>MAX(0,MIN('Activities'!L248,402)-MAX('Activities'!K248,396))</x:f>
        <x:v>0</x:v>
      </x:c>
      <x:c r="BT248" s="22" t="n">
        <x:f>MAX(0,MIN('Activities'!L248,408)-MAX('Activities'!K248,402))</x:f>
        <x:v>0</x:v>
      </x:c>
      <x:c r="BU248" s="22" t="n">
        <x:f>MAX(0,MIN('Activities'!L248,414)-MAX('Activities'!K248,408))</x:f>
        <x:v>0</x:v>
      </x:c>
      <x:c r="BV248" s="22" t="n">
        <x:f>MAX(0,MIN('Activities'!L248,420)-MAX('Activities'!K248,414))</x:f>
        <x:v>0</x:v>
      </x:c>
      <x:c r="BW248" s="22" t="n">
        <x:f>MAX(0,MIN('Activities'!L248,426)-MAX('Activities'!K248,420))</x:f>
        <x:v>0</x:v>
      </x:c>
      <x:c r="BX248" s="22" t="n">
        <x:f>MAX(0,MIN('Activities'!L248,432)-MAX('Activities'!K248,426))</x:f>
        <x:v>0</x:v>
      </x:c>
      <x:c r="BY248" s="22" t="n">
        <x:f>MAX(0,MIN('Activities'!L248,438)-MAX('Activities'!K248,432))</x:f>
        <x:v>0</x:v>
      </x:c>
      <x:c r="BZ248" s="22" t="n">
        <x:f>MAX(0,MIN('Activities'!L248,444)-MAX('Activities'!K248,438))</x:f>
        <x:v>0</x:v>
      </x:c>
      <x:c r="CA248" s="22" t="n">
        <x:f>MAX(0,MIN('Activities'!L248,450)-MAX('Activities'!K248,444))</x:f>
        <x:v>0</x:v>
      </x:c>
      <x:c r="CB248" s="22" t="n">
        <x:f>MAX(0,MIN('Activities'!L248,456)-MAX('Activities'!K248,450))</x:f>
        <x:v>0</x:v>
      </x:c>
      <x:c r="CC248" s="22" t="n">
        <x:f>MAX(0,MIN('Activities'!L248,462)-MAX('Activities'!K248,456))</x:f>
        <x:v>0</x:v>
      </x:c>
      <x:c r="CD248" s="22" t="n">
        <x:f>MAX(0,MIN('Activities'!L248,468)-MAX('Activities'!K248,462))</x:f>
        <x:v>0</x:v>
      </x:c>
      <x:c r="CE248" s="22" t="n">
        <x:f>MAX(0,MIN('Activities'!L248,474)-MAX('Activities'!K248,468))</x:f>
        <x:v>0</x:v>
      </x:c>
      <x:c r="CF248" s="22" t="n">
        <x:f>MAX(0,MIN('Activities'!L248,480)-MAX('Activities'!K248,474))</x:f>
        <x:v>0</x:v>
      </x:c>
      <x:c r="CG248" s="22" t="n">
        <x:f>MAX(0,MIN('Activities'!L248,486)-MAX('Activities'!K248,480))</x:f>
        <x:v>0</x:v>
      </x:c>
      <x:c r="CH248" s="22" t="n">
        <x:f>MAX(0,MIN('Activities'!L248,492)-MAX('Activities'!K248,486))</x:f>
        <x:v>0</x:v>
      </x:c>
      <x:c r="CI248" s="22" t="n">
        <x:f>MAX(0,MIN('Activities'!L248,498)-MAX('Activities'!K248,492))</x:f>
        <x:v>0</x:v>
      </x:c>
      <x:c r="CJ248" s="22" t="n">
        <x:f>MAX(0,MIN('Activities'!L248,504)-MAX('Activities'!K248,498))</x:f>
        <x:v>0</x:v>
      </x:c>
      <x:c r="CK248" s="22" t="n">
        <x:f>MAX(0,MIN('Activities'!L248,510)-MAX('Activities'!K248,504))</x:f>
        <x:v>0</x:v>
      </x:c>
      <x:c r="CL248" s="22" t="n">
        <x:f>MAX(0,MIN('Activities'!L248,516)-MAX('Activities'!K248,510))</x:f>
        <x:v>0</x:v>
      </x:c>
      <x:c r="CM248" s="22" t="n">
        <x:f>MAX(0,MIN('Activities'!L248,522)-MAX('Activities'!K248,516))</x:f>
        <x:v>0</x:v>
      </x:c>
      <x:c r="CN248" s="22" t="n">
        <x:f>MAX(0,MIN('Activities'!L248,528)-MAX('Activities'!K248,522))</x:f>
        <x:v>0</x:v>
      </x:c>
      <x:c r="CO248" s="22" t="n">
        <x:f>MAX(0,MIN('Activities'!L248,534)-MAX('Activities'!K248,528))</x:f>
        <x:v>0</x:v>
      </x:c>
      <x:c r="CP248" s="22" t="n">
        <x:f>MAX(0,MIN('Activities'!L248,540)-MAX('Activities'!K248,534))</x:f>
        <x:v>0</x:v>
      </x:c>
      <x:c r="CQ248" s="22" t="n">
        <x:f>MAX(0,MIN('Activities'!L248,546)-MAX('Activities'!K248,540))</x:f>
        <x:v>0</x:v>
      </x:c>
      <x:c r="CR248" s="22" t="n">
        <x:f>MAX(0,MIN('Activities'!L248,552)-MAX('Activities'!K248,546))</x:f>
        <x:v>0</x:v>
      </x:c>
      <x:c r="CS248" s="22" t="n">
        <x:f>MAX(0,MIN('Activities'!L248,558)-MAX('Activities'!K248,552))</x:f>
        <x:v>0</x:v>
      </x:c>
      <x:c r="CT248" s="22" t="n">
        <x:f>MAX(0,MIN('Activities'!L248,564)-MAX('Activities'!K248,558))</x:f>
        <x:v>0</x:v>
      </x:c>
      <x:c r="CU248" s="22" t="n">
        <x:f>MAX(0,MIN('Activities'!L248,570)-MAX('Activities'!K248,564))</x:f>
        <x:v>0</x:v>
      </x:c>
      <x:c r="CV248" s="22" t="n">
        <x:f>MAX(0,MIN('Activities'!L248,576)-MAX('Activities'!K248,570))</x:f>
        <x:v>0</x:v>
      </x:c>
      <x:c r="CW248" s="22" t="n">
        <x:f>MAX(0,MIN('Activities'!L248,582)-MAX('Activities'!K248,576))</x:f>
        <x:v>0</x:v>
      </x:c>
      <x:c r="CX248" s="22" t="n">
        <x:f>MAX(0,MIN('Activities'!L248,588)-MAX('Activities'!K248,582))</x:f>
        <x:v>0</x:v>
      </x:c>
      <x:c r="CY248" s="22" t="n">
        <x:f>MAX(0,MIN('Activities'!L248,594)-MAX('Activities'!K248,588))</x:f>
        <x:v>0</x:v>
      </x:c>
      <x:c r="CZ248" s="22" t="n">
        <x:f>MAX(0,MIN('Activities'!L248,600)-MAX('Activities'!K248,594))</x:f>
        <x:v>0</x:v>
      </x:c>
      <x:c r="DA248" s="22" t="n">
        <x:f>MAX(0,MIN('Activities'!L248,606)-MAX('Activities'!K248,600))</x:f>
        <x:v>0</x:v>
      </x:c>
      <x:c r="DB248" s="22" t="n">
        <x:f>MAX(0,MIN('Activities'!L248,612)-MAX('Activities'!K248,606))</x:f>
        <x:v>0</x:v>
      </x:c>
      <x:c r="DC248" s="22" t="n">
        <x:f>MAX(0,MIN('Activities'!L248,618)-MAX('Activities'!K248,612))</x:f>
        <x:v>0</x:v>
      </x:c>
      <x:c r="DD248" s="22" t="n">
        <x:f>MAX(0,MIN('Activities'!L248,624)-MAX('Activities'!K248,618))</x:f>
        <x:v>0</x:v>
      </x:c>
      <x:c r="DE248" s="22" t="n">
        <x:f>MAX(0,MIN('Activities'!L248,630)-MAX('Activities'!K248,624))</x:f>
        <x:v>0</x:v>
      </x:c>
      <x:c r="DF248" s="22" t="n">
        <x:f>MAX(0,MIN('Activities'!L248,636)-MAX('Activities'!K248,630))</x:f>
        <x:v>0</x:v>
      </x:c>
    </x:row>
    <x:row r="249" ht="23" customHeight="1">
      <x:c r="A249" s="1" t="str">
        <x:v>T2-L07-T</x:v>
      </x:c>
      <x:c r="B249" s="1" t="str">
        <x:v>T2</x:v>
      </x:c>
      <x:c r="C249" s="1" t="str">
        <x:v>Floor finishes and skirtings</x:v>
      </x:c>
      <x:c r="D249" s="1" t="str">
        <x:v>Finishes</x:v>
      </x:c>
      <x:c r="E249" s="23" t="n">
        <x:f>MAX(0,MIN('Activities'!L249,6)-MAX('Activities'!K249,0))</x:f>
        <x:v>0</x:v>
      </x:c>
      <x:c r="F249" s="23" t="n">
        <x:f>MAX(0,MIN('Activities'!L249,12)-MAX('Activities'!K249,6))</x:f>
        <x:v>0</x:v>
      </x:c>
      <x:c r="G249" s="23" t="n">
        <x:f>MAX(0,MIN('Activities'!L249,18)-MAX('Activities'!K249,12))</x:f>
        <x:v>0</x:v>
      </x:c>
      <x:c r="H249" s="23" t="n">
        <x:f>MAX(0,MIN('Activities'!L249,24)-MAX('Activities'!K249,18))</x:f>
        <x:v>0</x:v>
      </x:c>
      <x:c r="I249" s="23" t="n">
        <x:f>MAX(0,MIN('Activities'!L249,30)-MAX('Activities'!K249,24))</x:f>
        <x:v>0</x:v>
      </x:c>
      <x:c r="J249" s="23" t="n">
        <x:f>MAX(0,MIN('Activities'!L249,36)-MAX('Activities'!K249,30))</x:f>
        <x:v>0</x:v>
      </x:c>
      <x:c r="K249" s="23" t="n">
        <x:f>MAX(0,MIN('Activities'!L249,42)-MAX('Activities'!K249,36))</x:f>
        <x:v>0</x:v>
      </x:c>
      <x:c r="L249" s="23" t="n">
        <x:f>MAX(0,MIN('Activities'!L249,48)-MAX('Activities'!K249,42))</x:f>
        <x:v>0</x:v>
      </x:c>
      <x:c r="M249" s="23" t="n">
        <x:f>MAX(0,MIN('Activities'!L249,54)-MAX('Activities'!K249,48))</x:f>
        <x:v>0</x:v>
      </x:c>
      <x:c r="N249" s="23" t="n">
        <x:f>MAX(0,MIN('Activities'!L249,60)-MAX('Activities'!K249,54))</x:f>
        <x:v>0</x:v>
      </x:c>
      <x:c r="O249" s="23" t="n">
        <x:f>MAX(0,MIN('Activities'!L249,66)-MAX('Activities'!K249,60))</x:f>
        <x:v>0</x:v>
      </x:c>
      <x:c r="P249" s="23" t="n">
        <x:f>MAX(0,MIN('Activities'!L249,72)-MAX('Activities'!K249,66))</x:f>
        <x:v>0</x:v>
      </x:c>
      <x:c r="Q249" s="23" t="n">
        <x:f>MAX(0,MIN('Activities'!L249,78)-MAX('Activities'!K249,72))</x:f>
        <x:v>0</x:v>
      </x:c>
      <x:c r="R249" s="23" t="n">
        <x:f>MAX(0,MIN('Activities'!L249,84)-MAX('Activities'!K249,78))</x:f>
        <x:v>0</x:v>
      </x:c>
      <x:c r="S249" s="23" t="n">
        <x:f>MAX(0,MIN('Activities'!L249,90)-MAX('Activities'!K249,84))</x:f>
        <x:v>0</x:v>
      </x:c>
      <x:c r="T249" s="23" t="n">
        <x:f>MAX(0,MIN('Activities'!L249,96)-MAX('Activities'!K249,90))</x:f>
        <x:v>0</x:v>
      </x:c>
      <x:c r="U249" s="23" t="n">
        <x:f>MAX(0,MIN('Activities'!L249,102)-MAX('Activities'!K249,96))</x:f>
        <x:v>0</x:v>
      </x:c>
      <x:c r="V249" s="23" t="n">
        <x:f>MAX(0,MIN('Activities'!L249,108)-MAX('Activities'!K249,102))</x:f>
        <x:v>0</x:v>
      </x:c>
      <x:c r="W249" s="23" t="n">
        <x:f>MAX(0,MIN('Activities'!L249,114)-MAX('Activities'!K249,108))</x:f>
        <x:v>0</x:v>
      </x:c>
      <x:c r="X249" s="23" t="n">
        <x:f>MAX(0,MIN('Activities'!L249,120)-MAX('Activities'!K249,114))</x:f>
        <x:v>0</x:v>
      </x:c>
      <x:c r="Y249" s="23" t="n">
        <x:f>MAX(0,MIN('Activities'!L249,126)-MAX('Activities'!K249,120))</x:f>
        <x:v>0</x:v>
      </x:c>
      <x:c r="Z249" s="23" t="n">
        <x:f>MAX(0,MIN('Activities'!L249,132)-MAX('Activities'!K249,126))</x:f>
        <x:v>0</x:v>
      </x:c>
      <x:c r="AA249" s="23" t="n">
        <x:f>MAX(0,MIN('Activities'!L249,138)-MAX('Activities'!K249,132))</x:f>
        <x:v>0</x:v>
      </x:c>
      <x:c r="AB249" s="23" t="n">
        <x:f>MAX(0,MIN('Activities'!L249,144)-MAX('Activities'!K249,138))</x:f>
        <x:v>0</x:v>
      </x:c>
      <x:c r="AC249" s="23" t="n">
        <x:f>MAX(0,MIN('Activities'!L249,150)-MAX('Activities'!K249,144))</x:f>
        <x:v>0</x:v>
      </x:c>
      <x:c r="AD249" s="23" t="n">
        <x:f>MAX(0,MIN('Activities'!L249,156)-MAX('Activities'!K249,150))</x:f>
        <x:v>0</x:v>
      </x:c>
      <x:c r="AE249" s="23" t="n">
        <x:f>MAX(0,MIN('Activities'!L249,162)-MAX('Activities'!K249,156))</x:f>
        <x:v>0</x:v>
      </x:c>
      <x:c r="AF249" s="23" t="n">
        <x:f>MAX(0,MIN('Activities'!L249,168)-MAX('Activities'!K249,162))</x:f>
        <x:v>0</x:v>
      </x:c>
      <x:c r="AG249" s="23" t="n">
        <x:f>MAX(0,MIN('Activities'!L249,174)-MAX('Activities'!K249,168))</x:f>
        <x:v>0</x:v>
      </x:c>
      <x:c r="AH249" s="23" t="n">
        <x:f>MAX(0,MIN('Activities'!L249,180)-MAX('Activities'!K249,174))</x:f>
        <x:v>0</x:v>
      </x:c>
      <x:c r="AI249" s="23" t="n">
        <x:f>MAX(0,MIN('Activities'!L249,186)-MAX('Activities'!K249,180))</x:f>
        <x:v>0</x:v>
      </x:c>
      <x:c r="AJ249" s="23" t="n">
        <x:f>MAX(0,MIN('Activities'!L249,192)-MAX('Activities'!K249,186))</x:f>
        <x:v>0</x:v>
      </x:c>
      <x:c r="AK249" s="23" t="n">
        <x:f>MAX(0,MIN('Activities'!L249,198)-MAX('Activities'!K249,192))</x:f>
        <x:v>0</x:v>
      </x:c>
      <x:c r="AL249" s="23" t="n">
        <x:f>MAX(0,MIN('Activities'!L249,204)-MAX('Activities'!K249,198))</x:f>
        <x:v>0</x:v>
      </x:c>
      <x:c r="AM249" s="23" t="n">
        <x:f>MAX(0,MIN('Activities'!L249,210)-MAX('Activities'!K249,204))</x:f>
        <x:v>0</x:v>
      </x:c>
      <x:c r="AN249" s="23" t="n">
        <x:f>MAX(0,MIN('Activities'!L249,216)-MAX('Activities'!K249,210))</x:f>
        <x:v>0</x:v>
      </x:c>
      <x:c r="AO249" s="23" t="n">
        <x:f>MAX(0,MIN('Activities'!L249,222)-MAX('Activities'!K249,216))</x:f>
        <x:v>0</x:v>
      </x:c>
      <x:c r="AP249" s="23" t="n">
        <x:f>MAX(0,MIN('Activities'!L249,228)-MAX('Activities'!K249,222))</x:f>
        <x:v>0</x:v>
      </x:c>
      <x:c r="AQ249" s="23" t="n">
        <x:f>MAX(0,MIN('Activities'!L249,234)-MAX('Activities'!K249,228))</x:f>
        <x:v>0</x:v>
      </x:c>
      <x:c r="AR249" s="23" t="n">
        <x:f>MAX(0,MIN('Activities'!L249,240)-MAX('Activities'!K249,234))</x:f>
        <x:v>0</x:v>
      </x:c>
      <x:c r="AS249" s="23" t="n">
        <x:f>MAX(0,MIN('Activities'!L249,246)-MAX('Activities'!K249,240))</x:f>
        <x:v>0</x:v>
      </x:c>
      <x:c r="AT249" s="23" t="n">
        <x:f>MAX(0,MIN('Activities'!L249,252)-MAX('Activities'!K249,246))</x:f>
        <x:v>0</x:v>
      </x:c>
      <x:c r="AU249" s="23" t="n">
        <x:f>MAX(0,MIN('Activities'!L249,258)-MAX('Activities'!K249,252))</x:f>
        <x:v>0</x:v>
      </x:c>
      <x:c r="AV249" s="23" t="n">
        <x:f>MAX(0,MIN('Activities'!L249,264)-MAX('Activities'!K249,258))</x:f>
        <x:v>0</x:v>
      </x:c>
      <x:c r="AW249" s="23" t="n">
        <x:f>MAX(0,MIN('Activities'!L249,270)-MAX('Activities'!K249,264))</x:f>
        <x:v>0</x:v>
      </x:c>
      <x:c r="AX249" s="23" t="n">
        <x:f>MAX(0,MIN('Activities'!L249,276)-MAX('Activities'!K249,270))</x:f>
        <x:v>0</x:v>
      </x:c>
      <x:c r="AY249" s="23" t="n">
        <x:f>MAX(0,MIN('Activities'!L249,282)-MAX('Activities'!K249,276))</x:f>
        <x:v>0</x:v>
      </x:c>
      <x:c r="AZ249" s="23" t="n">
        <x:f>MAX(0,MIN('Activities'!L249,288)-MAX('Activities'!K249,282))</x:f>
        <x:v>0</x:v>
      </x:c>
      <x:c r="BA249" s="23" t="n">
        <x:f>MAX(0,MIN('Activities'!L249,294)-MAX('Activities'!K249,288))</x:f>
        <x:v>0</x:v>
      </x:c>
      <x:c r="BB249" s="23" t="n">
        <x:f>MAX(0,MIN('Activities'!L249,300)-MAX('Activities'!K249,294))</x:f>
        <x:v>0</x:v>
      </x:c>
      <x:c r="BC249" s="23" t="n">
        <x:f>MAX(0,MIN('Activities'!L249,306)-MAX('Activities'!K249,300))</x:f>
        <x:v>0</x:v>
      </x:c>
      <x:c r="BD249" s="23" t="n">
        <x:f>MAX(0,MIN('Activities'!L249,312)-MAX('Activities'!K249,306))</x:f>
        <x:v>0</x:v>
      </x:c>
      <x:c r="BE249" s="23" t="n">
        <x:f>MAX(0,MIN('Activities'!L249,318)-MAX('Activities'!K249,312))</x:f>
        <x:v>0</x:v>
      </x:c>
      <x:c r="BF249" s="23" t="n">
        <x:f>MAX(0,MIN('Activities'!L249,324)-MAX('Activities'!K249,318))</x:f>
        <x:v>0</x:v>
      </x:c>
      <x:c r="BG249" s="23" t="n">
        <x:f>MAX(0,MIN('Activities'!L249,330)-MAX('Activities'!K249,324))</x:f>
        <x:v>0</x:v>
      </x:c>
      <x:c r="BH249" s="23" t="n">
        <x:f>MAX(0,MIN('Activities'!L249,336)-MAX('Activities'!K249,330))</x:f>
        <x:v>0</x:v>
      </x:c>
      <x:c r="BI249" s="23" t="n">
        <x:f>MAX(0,MIN('Activities'!L249,342)-MAX('Activities'!K249,336))</x:f>
        <x:v>0</x:v>
      </x:c>
      <x:c r="BJ249" s="23" t="n">
        <x:f>MAX(0,MIN('Activities'!L249,348)-MAX('Activities'!K249,342))</x:f>
        <x:v>0</x:v>
      </x:c>
      <x:c r="BK249" s="23" t="n">
        <x:f>MAX(0,MIN('Activities'!L249,354)-MAX('Activities'!K249,348))</x:f>
        <x:v>0</x:v>
      </x:c>
      <x:c r="BL249" s="23" t="n">
        <x:f>MAX(0,MIN('Activities'!L249,360)-MAX('Activities'!K249,354))</x:f>
        <x:v>0</x:v>
      </x:c>
      <x:c r="BM249" s="23" t="n">
        <x:f>MAX(0,MIN('Activities'!L249,366)-MAX('Activities'!K249,360))</x:f>
        <x:v>0</x:v>
      </x:c>
      <x:c r="BN249" s="23" t="n">
        <x:f>MAX(0,MIN('Activities'!L249,372)-MAX('Activities'!K249,366))</x:f>
        <x:v>0</x:v>
      </x:c>
      <x:c r="BO249" s="23" t="n">
        <x:f>MAX(0,MIN('Activities'!L249,378)-MAX('Activities'!K249,372))</x:f>
        <x:v>0</x:v>
      </x:c>
      <x:c r="BP249" s="23" t="n">
        <x:f>MAX(0,MIN('Activities'!L249,384)-MAX('Activities'!K249,378))</x:f>
        <x:v>0</x:v>
      </x:c>
      <x:c r="BQ249" s="23" t="n">
        <x:f>MAX(0,MIN('Activities'!L249,390)-MAX('Activities'!K249,384))</x:f>
        <x:v>0</x:v>
      </x:c>
      <x:c r="BR249" s="23" t="n">
        <x:f>MAX(0,MIN('Activities'!L249,396)-MAX('Activities'!K249,390))</x:f>
        <x:v>0</x:v>
      </x:c>
      <x:c r="BS249" s="23" t="n">
        <x:f>MAX(0,MIN('Activities'!L249,402)-MAX('Activities'!K249,396))</x:f>
        <x:v>0</x:v>
      </x:c>
      <x:c r="BT249" s="23" t="n">
        <x:f>MAX(0,MIN('Activities'!L249,408)-MAX('Activities'!K249,402))</x:f>
        <x:v>0</x:v>
      </x:c>
      <x:c r="BU249" s="23" t="n">
        <x:f>MAX(0,MIN('Activities'!L249,414)-MAX('Activities'!K249,408))</x:f>
        <x:v>1</x:v>
      </x:c>
      <x:c r="BV249" s="23" t="n">
        <x:f>MAX(0,MIN('Activities'!L249,420)-MAX('Activities'!K249,414))</x:f>
        <x:v>5</x:v>
      </x:c>
      <x:c r="BW249" s="23" t="n">
        <x:f>MAX(0,MIN('Activities'!L249,426)-MAX('Activities'!K249,420))</x:f>
        <x:v>0</x:v>
      </x:c>
      <x:c r="BX249" s="23" t="n">
        <x:f>MAX(0,MIN('Activities'!L249,432)-MAX('Activities'!K249,426))</x:f>
        <x:v>0</x:v>
      </x:c>
      <x:c r="BY249" s="23" t="n">
        <x:f>MAX(0,MIN('Activities'!L249,438)-MAX('Activities'!K249,432))</x:f>
        <x:v>0</x:v>
      </x:c>
      <x:c r="BZ249" s="23" t="n">
        <x:f>MAX(0,MIN('Activities'!L249,444)-MAX('Activities'!K249,438))</x:f>
        <x:v>0</x:v>
      </x:c>
      <x:c r="CA249" s="23" t="n">
        <x:f>MAX(0,MIN('Activities'!L249,450)-MAX('Activities'!K249,444))</x:f>
        <x:v>0</x:v>
      </x:c>
      <x:c r="CB249" s="23" t="n">
        <x:f>MAX(0,MIN('Activities'!L249,456)-MAX('Activities'!K249,450))</x:f>
        <x:v>0</x:v>
      </x:c>
      <x:c r="CC249" s="23" t="n">
        <x:f>MAX(0,MIN('Activities'!L249,462)-MAX('Activities'!K249,456))</x:f>
        <x:v>0</x:v>
      </x:c>
      <x:c r="CD249" s="23" t="n">
        <x:f>MAX(0,MIN('Activities'!L249,468)-MAX('Activities'!K249,462))</x:f>
        <x:v>0</x:v>
      </x:c>
      <x:c r="CE249" s="23" t="n">
        <x:f>MAX(0,MIN('Activities'!L249,474)-MAX('Activities'!K249,468))</x:f>
        <x:v>0</x:v>
      </x:c>
      <x:c r="CF249" s="23" t="n">
        <x:f>MAX(0,MIN('Activities'!L249,480)-MAX('Activities'!K249,474))</x:f>
        <x:v>0</x:v>
      </x:c>
      <x:c r="CG249" s="23" t="n">
        <x:f>MAX(0,MIN('Activities'!L249,486)-MAX('Activities'!K249,480))</x:f>
        <x:v>0</x:v>
      </x:c>
      <x:c r="CH249" s="23" t="n">
        <x:f>MAX(0,MIN('Activities'!L249,492)-MAX('Activities'!K249,486))</x:f>
        <x:v>0</x:v>
      </x:c>
      <x:c r="CI249" s="23" t="n">
        <x:f>MAX(0,MIN('Activities'!L249,498)-MAX('Activities'!K249,492))</x:f>
        <x:v>0</x:v>
      </x:c>
      <x:c r="CJ249" s="23" t="n">
        <x:f>MAX(0,MIN('Activities'!L249,504)-MAX('Activities'!K249,498))</x:f>
        <x:v>0</x:v>
      </x:c>
      <x:c r="CK249" s="23" t="n">
        <x:f>MAX(0,MIN('Activities'!L249,510)-MAX('Activities'!K249,504))</x:f>
        <x:v>0</x:v>
      </x:c>
      <x:c r="CL249" s="23" t="n">
        <x:f>MAX(0,MIN('Activities'!L249,516)-MAX('Activities'!K249,510))</x:f>
        <x:v>0</x:v>
      </x:c>
      <x:c r="CM249" s="23" t="n">
        <x:f>MAX(0,MIN('Activities'!L249,522)-MAX('Activities'!K249,516))</x:f>
        <x:v>0</x:v>
      </x:c>
      <x:c r="CN249" s="23" t="n">
        <x:f>MAX(0,MIN('Activities'!L249,528)-MAX('Activities'!K249,522))</x:f>
        <x:v>0</x:v>
      </x:c>
      <x:c r="CO249" s="23" t="n">
        <x:f>MAX(0,MIN('Activities'!L249,534)-MAX('Activities'!K249,528))</x:f>
        <x:v>0</x:v>
      </x:c>
      <x:c r="CP249" s="23" t="n">
        <x:f>MAX(0,MIN('Activities'!L249,540)-MAX('Activities'!K249,534))</x:f>
        <x:v>0</x:v>
      </x:c>
      <x:c r="CQ249" s="23" t="n">
        <x:f>MAX(0,MIN('Activities'!L249,546)-MAX('Activities'!K249,540))</x:f>
        <x:v>0</x:v>
      </x:c>
      <x:c r="CR249" s="23" t="n">
        <x:f>MAX(0,MIN('Activities'!L249,552)-MAX('Activities'!K249,546))</x:f>
        <x:v>0</x:v>
      </x:c>
      <x:c r="CS249" s="23" t="n">
        <x:f>MAX(0,MIN('Activities'!L249,558)-MAX('Activities'!K249,552))</x:f>
        <x:v>0</x:v>
      </x:c>
      <x:c r="CT249" s="23" t="n">
        <x:f>MAX(0,MIN('Activities'!L249,564)-MAX('Activities'!K249,558))</x:f>
        <x:v>0</x:v>
      </x:c>
      <x:c r="CU249" s="23" t="n">
        <x:f>MAX(0,MIN('Activities'!L249,570)-MAX('Activities'!K249,564))</x:f>
        <x:v>0</x:v>
      </x:c>
      <x:c r="CV249" s="23" t="n">
        <x:f>MAX(0,MIN('Activities'!L249,576)-MAX('Activities'!K249,570))</x:f>
        <x:v>0</x:v>
      </x:c>
      <x:c r="CW249" s="23" t="n">
        <x:f>MAX(0,MIN('Activities'!L249,582)-MAX('Activities'!K249,576))</x:f>
        <x:v>0</x:v>
      </x:c>
      <x:c r="CX249" s="23" t="n">
        <x:f>MAX(0,MIN('Activities'!L249,588)-MAX('Activities'!K249,582))</x:f>
        <x:v>0</x:v>
      </x:c>
      <x:c r="CY249" s="23" t="n">
        <x:f>MAX(0,MIN('Activities'!L249,594)-MAX('Activities'!K249,588))</x:f>
        <x:v>0</x:v>
      </x:c>
      <x:c r="CZ249" s="23" t="n">
        <x:f>MAX(0,MIN('Activities'!L249,600)-MAX('Activities'!K249,594))</x:f>
        <x:v>0</x:v>
      </x:c>
      <x:c r="DA249" s="23" t="n">
        <x:f>MAX(0,MIN('Activities'!L249,606)-MAX('Activities'!K249,600))</x:f>
        <x:v>0</x:v>
      </x:c>
      <x:c r="DB249" s="23" t="n">
        <x:f>MAX(0,MIN('Activities'!L249,612)-MAX('Activities'!K249,606))</x:f>
        <x:v>0</x:v>
      </x:c>
      <x:c r="DC249" s="23" t="n">
        <x:f>MAX(0,MIN('Activities'!L249,618)-MAX('Activities'!K249,612))</x:f>
        <x:v>0</x:v>
      </x:c>
      <x:c r="DD249" s="23" t="n">
        <x:f>MAX(0,MIN('Activities'!L249,624)-MAX('Activities'!K249,618))</x:f>
        <x:v>0</x:v>
      </x:c>
      <x:c r="DE249" s="23" t="n">
        <x:f>MAX(0,MIN('Activities'!L249,630)-MAX('Activities'!K249,624))</x:f>
        <x:v>0</x:v>
      </x:c>
      <x:c r="DF249" s="23" t="n">
        <x:f>MAX(0,MIN('Activities'!L249,636)-MAX('Activities'!K249,630))</x:f>
        <x:v>0</x:v>
      </x:c>
    </x:row>
    <x:row r="250" ht="23" customHeight="1">
      <x:c r="A250" s="6" t="str">
        <x:v>T2-L07-A</x:v>
      </x:c>
      <x:c r="B250" s="6" t="str">
        <x:v>T2</x:v>
      </x:c>
      <x:c r="C250" s="6" t="str">
        <x:v>Paint and final decorations</x:v>
      </x:c>
      <x:c r="D250" s="6" t="str">
        <x:v>Finishes</x:v>
      </x:c>
      <x:c r="E250" s="22" t="n">
        <x:f>MAX(0,MIN('Activities'!L250,6)-MAX('Activities'!K250,0))</x:f>
        <x:v>0</x:v>
      </x:c>
      <x:c r="F250" s="22" t="n">
        <x:f>MAX(0,MIN('Activities'!L250,12)-MAX('Activities'!K250,6))</x:f>
        <x:v>0</x:v>
      </x:c>
      <x:c r="G250" s="22" t="n">
        <x:f>MAX(0,MIN('Activities'!L250,18)-MAX('Activities'!K250,12))</x:f>
        <x:v>0</x:v>
      </x:c>
      <x:c r="H250" s="22" t="n">
        <x:f>MAX(0,MIN('Activities'!L250,24)-MAX('Activities'!K250,18))</x:f>
        <x:v>0</x:v>
      </x:c>
      <x:c r="I250" s="22" t="n">
        <x:f>MAX(0,MIN('Activities'!L250,30)-MAX('Activities'!K250,24))</x:f>
        <x:v>0</x:v>
      </x:c>
      <x:c r="J250" s="22" t="n">
        <x:f>MAX(0,MIN('Activities'!L250,36)-MAX('Activities'!K250,30))</x:f>
        <x:v>0</x:v>
      </x:c>
      <x:c r="K250" s="22" t="n">
        <x:f>MAX(0,MIN('Activities'!L250,42)-MAX('Activities'!K250,36))</x:f>
        <x:v>0</x:v>
      </x:c>
      <x:c r="L250" s="22" t="n">
        <x:f>MAX(0,MIN('Activities'!L250,48)-MAX('Activities'!K250,42))</x:f>
        <x:v>0</x:v>
      </x:c>
      <x:c r="M250" s="22" t="n">
        <x:f>MAX(0,MIN('Activities'!L250,54)-MAX('Activities'!K250,48))</x:f>
        <x:v>0</x:v>
      </x:c>
      <x:c r="N250" s="22" t="n">
        <x:f>MAX(0,MIN('Activities'!L250,60)-MAX('Activities'!K250,54))</x:f>
        <x:v>0</x:v>
      </x:c>
      <x:c r="O250" s="22" t="n">
        <x:f>MAX(0,MIN('Activities'!L250,66)-MAX('Activities'!K250,60))</x:f>
        <x:v>0</x:v>
      </x:c>
      <x:c r="P250" s="22" t="n">
        <x:f>MAX(0,MIN('Activities'!L250,72)-MAX('Activities'!K250,66))</x:f>
        <x:v>0</x:v>
      </x:c>
      <x:c r="Q250" s="22" t="n">
        <x:f>MAX(0,MIN('Activities'!L250,78)-MAX('Activities'!K250,72))</x:f>
        <x:v>0</x:v>
      </x:c>
      <x:c r="R250" s="22" t="n">
        <x:f>MAX(0,MIN('Activities'!L250,84)-MAX('Activities'!K250,78))</x:f>
        <x:v>0</x:v>
      </x:c>
      <x:c r="S250" s="22" t="n">
        <x:f>MAX(0,MIN('Activities'!L250,90)-MAX('Activities'!K250,84))</x:f>
        <x:v>0</x:v>
      </x:c>
      <x:c r="T250" s="22" t="n">
        <x:f>MAX(0,MIN('Activities'!L250,96)-MAX('Activities'!K250,90))</x:f>
        <x:v>0</x:v>
      </x:c>
      <x:c r="U250" s="22" t="n">
        <x:f>MAX(0,MIN('Activities'!L250,102)-MAX('Activities'!K250,96))</x:f>
        <x:v>0</x:v>
      </x:c>
      <x:c r="V250" s="22" t="n">
        <x:f>MAX(0,MIN('Activities'!L250,108)-MAX('Activities'!K250,102))</x:f>
        <x:v>0</x:v>
      </x:c>
      <x:c r="W250" s="22" t="n">
        <x:f>MAX(0,MIN('Activities'!L250,114)-MAX('Activities'!K250,108))</x:f>
        <x:v>0</x:v>
      </x:c>
      <x:c r="X250" s="22" t="n">
        <x:f>MAX(0,MIN('Activities'!L250,120)-MAX('Activities'!K250,114))</x:f>
        <x:v>0</x:v>
      </x:c>
      <x:c r="Y250" s="22" t="n">
        <x:f>MAX(0,MIN('Activities'!L250,126)-MAX('Activities'!K250,120))</x:f>
        <x:v>0</x:v>
      </x:c>
      <x:c r="Z250" s="22" t="n">
        <x:f>MAX(0,MIN('Activities'!L250,132)-MAX('Activities'!K250,126))</x:f>
        <x:v>0</x:v>
      </x:c>
      <x:c r="AA250" s="22" t="n">
        <x:f>MAX(0,MIN('Activities'!L250,138)-MAX('Activities'!K250,132))</x:f>
        <x:v>0</x:v>
      </x:c>
      <x:c r="AB250" s="22" t="n">
        <x:f>MAX(0,MIN('Activities'!L250,144)-MAX('Activities'!K250,138))</x:f>
        <x:v>0</x:v>
      </x:c>
      <x:c r="AC250" s="22" t="n">
        <x:f>MAX(0,MIN('Activities'!L250,150)-MAX('Activities'!K250,144))</x:f>
        <x:v>0</x:v>
      </x:c>
      <x:c r="AD250" s="22" t="n">
        <x:f>MAX(0,MIN('Activities'!L250,156)-MAX('Activities'!K250,150))</x:f>
        <x:v>0</x:v>
      </x:c>
      <x:c r="AE250" s="22" t="n">
        <x:f>MAX(0,MIN('Activities'!L250,162)-MAX('Activities'!K250,156))</x:f>
        <x:v>0</x:v>
      </x:c>
      <x:c r="AF250" s="22" t="n">
        <x:f>MAX(0,MIN('Activities'!L250,168)-MAX('Activities'!K250,162))</x:f>
        <x:v>0</x:v>
      </x:c>
      <x:c r="AG250" s="22" t="n">
        <x:f>MAX(0,MIN('Activities'!L250,174)-MAX('Activities'!K250,168))</x:f>
        <x:v>0</x:v>
      </x:c>
      <x:c r="AH250" s="22" t="n">
        <x:f>MAX(0,MIN('Activities'!L250,180)-MAX('Activities'!K250,174))</x:f>
        <x:v>0</x:v>
      </x:c>
      <x:c r="AI250" s="22" t="n">
        <x:f>MAX(0,MIN('Activities'!L250,186)-MAX('Activities'!K250,180))</x:f>
        <x:v>0</x:v>
      </x:c>
      <x:c r="AJ250" s="22" t="n">
        <x:f>MAX(0,MIN('Activities'!L250,192)-MAX('Activities'!K250,186))</x:f>
        <x:v>0</x:v>
      </x:c>
      <x:c r="AK250" s="22" t="n">
        <x:f>MAX(0,MIN('Activities'!L250,198)-MAX('Activities'!K250,192))</x:f>
        <x:v>0</x:v>
      </x:c>
      <x:c r="AL250" s="22" t="n">
        <x:f>MAX(0,MIN('Activities'!L250,204)-MAX('Activities'!K250,198))</x:f>
        <x:v>0</x:v>
      </x:c>
      <x:c r="AM250" s="22" t="n">
        <x:f>MAX(0,MIN('Activities'!L250,210)-MAX('Activities'!K250,204))</x:f>
        <x:v>0</x:v>
      </x:c>
      <x:c r="AN250" s="22" t="n">
        <x:f>MAX(0,MIN('Activities'!L250,216)-MAX('Activities'!K250,210))</x:f>
        <x:v>0</x:v>
      </x:c>
      <x:c r="AO250" s="22" t="n">
        <x:f>MAX(0,MIN('Activities'!L250,222)-MAX('Activities'!K250,216))</x:f>
        <x:v>0</x:v>
      </x:c>
      <x:c r="AP250" s="22" t="n">
        <x:f>MAX(0,MIN('Activities'!L250,228)-MAX('Activities'!K250,222))</x:f>
        <x:v>0</x:v>
      </x:c>
      <x:c r="AQ250" s="22" t="n">
        <x:f>MAX(0,MIN('Activities'!L250,234)-MAX('Activities'!K250,228))</x:f>
        <x:v>0</x:v>
      </x:c>
      <x:c r="AR250" s="22" t="n">
        <x:f>MAX(0,MIN('Activities'!L250,240)-MAX('Activities'!K250,234))</x:f>
        <x:v>0</x:v>
      </x:c>
      <x:c r="AS250" s="22" t="n">
        <x:f>MAX(0,MIN('Activities'!L250,246)-MAX('Activities'!K250,240))</x:f>
        <x:v>0</x:v>
      </x:c>
      <x:c r="AT250" s="22" t="n">
        <x:f>MAX(0,MIN('Activities'!L250,252)-MAX('Activities'!K250,246))</x:f>
        <x:v>0</x:v>
      </x:c>
      <x:c r="AU250" s="22" t="n">
        <x:f>MAX(0,MIN('Activities'!L250,258)-MAX('Activities'!K250,252))</x:f>
        <x:v>0</x:v>
      </x:c>
      <x:c r="AV250" s="22" t="n">
        <x:f>MAX(0,MIN('Activities'!L250,264)-MAX('Activities'!K250,258))</x:f>
        <x:v>0</x:v>
      </x:c>
      <x:c r="AW250" s="22" t="n">
        <x:f>MAX(0,MIN('Activities'!L250,270)-MAX('Activities'!K250,264))</x:f>
        <x:v>0</x:v>
      </x:c>
      <x:c r="AX250" s="22" t="n">
        <x:f>MAX(0,MIN('Activities'!L250,276)-MAX('Activities'!K250,270))</x:f>
        <x:v>0</x:v>
      </x:c>
      <x:c r="AY250" s="22" t="n">
        <x:f>MAX(0,MIN('Activities'!L250,282)-MAX('Activities'!K250,276))</x:f>
        <x:v>0</x:v>
      </x:c>
      <x:c r="AZ250" s="22" t="n">
        <x:f>MAX(0,MIN('Activities'!L250,288)-MAX('Activities'!K250,282))</x:f>
        <x:v>0</x:v>
      </x:c>
      <x:c r="BA250" s="22" t="n">
        <x:f>MAX(0,MIN('Activities'!L250,294)-MAX('Activities'!K250,288))</x:f>
        <x:v>0</x:v>
      </x:c>
      <x:c r="BB250" s="22" t="n">
        <x:f>MAX(0,MIN('Activities'!L250,300)-MAX('Activities'!K250,294))</x:f>
        <x:v>0</x:v>
      </x:c>
      <x:c r="BC250" s="22" t="n">
        <x:f>MAX(0,MIN('Activities'!L250,306)-MAX('Activities'!K250,300))</x:f>
        <x:v>0</x:v>
      </x:c>
      <x:c r="BD250" s="22" t="n">
        <x:f>MAX(0,MIN('Activities'!L250,312)-MAX('Activities'!K250,306))</x:f>
        <x:v>0</x:v>
      </x:c>
      <x:c r="BE250" s="22" t="n">
        <x:f>MAX(0,MIN('Activities'!L250,318)-MAX('Activities'!K250,312))</x:f>
        <x:v>0</x:v>
      </x:c>
      <x:c r="BF250" s="22" t="n">
        <x:f>MAX(0,MIN('Activities'!L250,324)-MAX('Activities'!K250,318))</x:f>
        <x:v>0</x:v>
      </x:c>
      <x:c r="BG250" s="22" t="n">
        <x:f>MAX(0,MIN('Activities'!L250,330)-MAX('Activities'!K250,324))</x:f>
        <x:v>0</x:v>
      </x:c>
      <x:c r="BH250" s="22" t="n">
        <x:f>MAX(0,MIN('Activities'!L250,336)-MAX('Activities'!K250,330))</x:f>
        <x:v>0</x:v>
      </x:c>
      <x:c r="BI250" s="22" t="n">
        <x:f>MAX(0,MIN('Activities'!L250,342)-MAX('Activities'!K250,336))</x:f>
        <x:v>0</x:v>
      </x:c>
      <x:c r="BJ250" s="22" t="n">
        <x:f>MAX(0,MIN('Activities'!L250,348)-MAX('Activities'!K250,342))</x:f>
        <x:v>0</x:v>
      </x:c>
      <x:c r="BK250" s="22" t="n">
        <x:f>MAX(0,MIN('Activities'!L250,354)-MAX('Activities'!K250,348))</x:f>
        <x:v>0</x:v>
      </x:c>
      <x:c r="BL250" s="22" t="n">
        <x:f>MAX(0,MIN('Activities'!L250,360)-MAX('Activities'!K250,354))</x:f>
        <x:v>0</x:v>
      </x:c>
      <x:c r="BM250" s="22" t="n">
        <x:f>MAX(0,MIN('Activities'!L250,366)-MAX('Activities'!K250,360))</x:f>
        <x:v>0</x:v>
      </x:c>
      <x:c r="BN250" s="22" t="n">
        <x:f>MAX(0,MIN('Activities'!L250,372)-MAX('Activities'!K250,366))</x:f>
        <x:v>0</x:v>
      </x:c>
      <x:c r="BO250" s="22" t="n">
        <x:f>MAX(0,MIN('Activities'!L250,378)-MAX('Activities'!K250,372))</x:f>
        <x:v>0</x:v>
      </x:c>
      <x:c r="BP250" s="22" t="n">
        <x:f>MAX(0,MIN('Activities'!L250,384)-MAX('Activities'!K250,378))</x:f>
        <x:v>0</x:v>
      </x:c>
      <x:c r="BQ250" s="22" t="n">
        <x:f>MAX(0,MIN('Activities'!L250,390)-MAX('Activities'!K250,384))</x:f>
        <x:v>0</x:v>
      </x:c>
      <x:c r="BR250" s="22" t="n">
        <x:f>MAX(0,MIN('Activities'!L250,396)-MAX('Activities'!K250,390))</x:f>
        <x:v>0</x:v>
      </x:c>
      <x:c r="BS250" s="22" t="n">
        <x:f>MAX(0,MIN('Activities'!L250,402)-MAX('Activities'!K250,396))</x:f>
        <x:v>0</x:v>
      </x:c>
      <x:c r="BT250" s="22" t="n">
        <x:f>MAX(0,MIN('Activities'!L250,408)-MAX('Activities'!K250,402))</x:f>
        <x:v>0</x:v>
      </x:c>
      <x:c r="BU250" s="22" t="n">
        <x:f>MAX(0,MIN('Activities'!L250,414)-MAX('Activities'!K250,408))</x:f>
        <x:v>0</x:v>
      </x:c>
      <x:c r="BV250" s="22" t="n">
        <x:f>MAX(0,MIN('Activities'!L250,420)-MAX('Activities'!K250,414))</x:f>
        <x:v>0</x:v>
      </x:c>
      <x:c r="BW250" s="22" t="n">
        <x:f>MAX(0,MIN('Activities'!L250,426)-MAX('Activities'!K250,420))</x:f>
        <x:v>5</x:v>
      </x:c>
      <x:c r="BX250" s="22" t="n">
        <x:f>MAX(0,MIN('Activities'!L250,432)-MAX('Activities'!K250,426))</x:f>
        <x:v>0</x:v>
      </x:c>
      <x:c r="BY250" s="22" t="n">
        <x:f>MAX(0,MIN('Activities'!L250,438)-MAX('Activities'!K250,432))</x:f>
        <x:v>0</x:v>
      </x:c>
      <x:c r="BZ250" s="22" t="n">
        <x:f>MAX(0,MIN('Activities'!L250,444)-MAX('Activities'!K250,438))</x:f>
        <x:v>0</x:v>
      </x:c>
      <x:c r="CA250" s="22" t="n">
        <x:f>MAX(0,MIN('Activities'!L250,450)-MAX('Activities'!K250,444))</x:f>
        <x:v>0</x:v>
      </x:c>
      <x:c r="CB250" s="22" t="n">
        <x:f>MAX(0,MIN('Activities'!L250,456)-MAX('Activities'!K250,450))</x:f>
        <x:v>0</x:v>
      </x:c>
      <x:c r="CC250" s="22" t="n">
        <x:f>MAX(0,MIN('Activities'!L250,462)-MAX('Activities'!K250,456))</x:f>
        <x:v>0</x:v>
      </x:c>
      <x:c r="CD250" s="22" t="n">
        <x:f>MAX(0,MIN('Activities'!L250,468)-MAX('Activities'!K250,462))</x:f>
        <x:v>0</x:v>
      </x:c>
      <x:c r="CE250" s="22" t="n">
        <x:f>MAX(0,MIN('Activities'!L250,474)-MAX('Activities'!K250,468))</x:f>
        <x:v>0</x:v>
      </x:c>
      <x:c r="CF250" s="22" t="n">
        <x:f>MAX(0,MIN('Activities'!L250,480)-MAX('Activities'!K250,474))</x:f>
        <x:v>0</x:v>
      </x:c>
      <x:c r="CG250" s="22" t="n">
        <x:f>MAX(0,MIN('Activities'!L250,486)-MAX('Activities'!K250,480))</x:f>
        <x:v>0</x:v>
      </x:c>
      <x:c r="CH250" s="22" t="n">
        <x:f>MAX(0,MIN('Activities'!L250,492)-MAX('Activities'!K250,486))</x:f>
        <x:v>0</x:v>
      </x:c>
      <x:c r="CI250" s="22" t="n">
        <x:f>MAX(0,MIN('Activities'!L250,498)-MAX('Activities'!K250,492))</x:f>
        <x:v>0</x:v>
      </x:c>
      <x:c r="CJ250" s="22" t="n">
        <x:f>MAX(0,MIN('Activities'!L250,504)-MAX('Activities'!K250,498))</x:f>
        <x:v>0</x:v>
      </x:c>
      <x:c r="CK250" s="22" t="n">
        <x:f>MAX(0,MIN('Activities'!L250,510)-MAX('Activities'!K250,504))</x:f>
        <x:v>0</x:v>
      </x:c>
      <x:c r="CL250" s="22" t="n">
        <x:f>MAX(0,MIN('Activities'!L250,516)-MAX('Activities'!K250,510))</x:f>
        <x:v>0</x:v>
      </x:c>
      <x:c r="CM250" s="22" t="n">
        <x:f>MAX(0,MIN('Activities'!L250,522)-MAX('Activities'!K250,516))</x:f>
        <x:v>0</x:v>
      </x:c>
      <x:c r="CN250" s="22" t="n">
        <x:f>MAX(0,MIN('Activities'!L250,528)-MAX('Activities'!K250,522))</x:f>
        <x:v>0</x:v>
      </x:c>
      <x:c r="CO250" s="22" t="n">
        <x:f>MAX(0,MIN('Activities'!L250,534)-MAX('Activities'!K250,528))</x:f>
        <x:v>0</x:v>
      </x:c>
      <x:c r="CP250" s="22" t="n">
        <x:f>MAX(0,MIN('Activities'!L250,540)-MAX('Activities'!K250,534))</x:f>
        <x:v>0</x:v>
      </x:c>
      <x:c r="CQ250" s="22" t="n">
        <x:f>MAX(0,MIN('Activities'!L250,546)-MAX('Activities'!K250,540))</x:f>
        <x:v>0</x:v>
      </x:c>
      <x:c r="CR250" s="22" t="n">
        <x:f>MAX(0,MIN('Activities'!L250,552)-MAX('Activities'!K250,546))</x:f>
        <x:v>0</x:v>
      </x:c>
      <x:c r="CS250" s="22" t="n">
        <x:f>MAX(0,MIN('Activities'!L250,558)-MAX('Activities'!K250,552))</x:f>
        <x:v>0</x:v>
      </x:c>
      <x:c r="CT250" s="22" t="n">
        <x:f>MAX(0,MIN('Activities'!L250,564)-MAX('Activities'!K250,558))</x:f>
        <x:v>0</x:v>
      </x:c>
      <x:c r="CU250" s="22" t="n">
        <x:f>MAX(0,MIN('Activities'!L250,570)-MAX('Activities'!K250,564))</x:f>
        <x:v>0</x:v>
      </x:c>
      <x:c r="CV250" s="22" t="n">
        <x:f>MAX(0,MIN('Activities'!L250,576)-MAX('Activities'!K250,570))</x:f>
        <x:v>0</x:v>
      </x:c>
      <x:c r="CW250" s="22" t="n">
        <x:f>MAX(0,MIN('Activities'!L250,582)-MAX('Activities'!K250,576))</x:f>
        <x:v>0</x:v>
      </x:c>
      <x:c r="CX250" s="22" t="n">
        <x:f>MAX(0,MIN('Activities'!L250,588)-MAX('Activities'!K250,582))</x:f>
        <x:v>0</x:v>
      </x:c>
      <x:c r="CY250" s="22" t="n">
        <x:f>MAX(0,MIN('Activities'!L250,594)-MAX('Activities'!K250,588))</x:f>
        <x:v>0</x:v>
      </x:c>
      <x:c r="CZ250" s="22" t="n">
        <x:f>MAX(0,MIN('Activities'!L250,600)-MAX('Activities'!K250,594))</x:f>
        <x:v>0</x:v>
      </x:c>
      <x:c r="DA250" s="22" t="n">
        <x:f>MAX(0,MIN('Activities'!L250,606)-MAX('Activities'!K250,600))</x:f>
        <x:v>0</x:v>
      </x:c>
      <x:c r="DB250" s="22" t="n">
        <x:f>MAX(0,MIN('Activities'!L250,612)-MAX('Activities'!K250,606))</x:f>
        <x:v>0</x:v>
      </x:c>
      <x:c r="DC250" s="22" t="n">
        <x:f>MAX(0,MIN('Activities'!L250,618)-MAX('Activities'!K250,612))</x:f>
        <x:v>0</x:v>
      </x:c>
      <x:c r="DD250" s="22" t="n">
        <x:f>MAX(0,MIN('Activities'!L250,624)-MAX('Activities'!K250,618))</x:f>
        <x:v>0</x:v>
      </x:c>
      <x:c r="DE250" s="22" t="n">
        <x:f>MAX(0,MIN('Activities'!L250,630)-MAX('Activities'!K250,624))</x:f>
        <x:v>0</x:v>
      </x:c>
      <x:c r="DF250" s="22" t="n">
        <x:f>MAX(0,MIN('Activities'!L250,636)-MAX('Activities'!K250,630))</x:f>
        <x:v>0</x:v>
      </x:c>
    </x:row>
    <x:row r="251" ht="23" customHeight="1">
      <x:c r="A251" s="1" t="str">
        <x:v>T2-L07-D</x:v>
      </x:c>
      <x:c r="B251" s="1" t="str">
        <x:v>T2</x:v>
      </x:c>
      <x:c r="C251" s="1" t="str">
        <x:v>Door sets and ironmongery</x:v>
      </x:c>
      <x:c r="D251" s="1" t="str">
        <x:v>Finishes</x:v>
      </x:c>
      <x:c r="E251" s="23" t="n">
        <x:f>MAX(0,MIN('Activities'!L251,6)-MAX('Activities'!K251,0))</x:f>
        <x:v>0</x:v>
      </x:c>
      <x:c r="F251" s="23" t="n">
        <x:f>MAX(0,MIN('Activities'!L251,12)-MAX('Activities'!K251,6))</x:f>
        <x:v>0</x:v>
      </x:c>
      <x:c r="G251" s="23" t="n">
        <x:f>MAX(0,MIN('Activities'!L251,18)-MAX('Activities'!K251,12))</x:f>
        <x:v>0</x:v>
      </x:c>
      <x:c r="H251" s="23" t="n">
        <x:f>MAX(0,MIN('Activities'!L251,24)-MAX('Activities'!K251,18))</x:f>
        <x:v>0</x:v>
      </x:c>
      <x:c r="I251" s="23" t="n">
        <x:f>MAX(0,MIN('Activities'!L251,30)-MAX('Activities'!K251,24))</x:f>
        <x:v>0</x:v>
      </x:c>
      <x:c r="J251" s="23" t="n">
        <x:f>MAX(0,MIN('Activities'!L251,36)-MAX('Activities'!K251,30))</x:f>
        <x:v>0</x:v>
      </x:c>
      <x:c r="K251" s="23" t="n">
        <x:f>MAX(0,MIN('Activities'!L251,42)-MAX('Activities'!K251,36))</x:f>
        <x:v>0</x:v>
      </x:c>
      <x:c r="L251" s="23" t="n">
        <x:f>MAX(0,MIN('Activities'!L251,48)-MAX('Activities'!K251,42))</x:f>
        <x:v>0</x:v>
      </x:c>
      <x:c r="M251" s="23" t="n">
        <x:f>MAX(0,MIN('Activities'!L251,54)-MAX('Activities'!K251,48))</x:f>
        <x:v>0</x:v>
      </x:c>
      <x:c r="N251" s="23" t="n">
        <x:f>MAX(0,MIN('Activities'!L251,60)-MAX('Activities'!K251,54))</x:f>
        <x:v>0</x:v>
      </x:c>
      <x:c r="O251" s="23" t="n">
        <x:f>MAX(0,MIN('Activities'!L251,66)-MAX('Activities'!K251,60))</x:f>
        <x:v>0</x:v>
      </x:c>
      <x:c r="P251" s="23" t="n">
        <x:f>MAX(0,MIN('Activities'!L251,72)-MAX('Activities'!K251,66))</x:f>
        <x:v>0</x:v>
      </x:c>
      <x:c r="Q251" s="23" t="n">
        <x:f>MAX(0,MIN('Activities'!L251,78)-MAX('Activities'!K251,72))</x:f>
        <x:v>0</x:v>
      </x:c>
      <x:c r="R251" s="23" t="n">
        <x:f>MAX(0,MIN('Activities'!L251,84)-MAX('Activities'!K251,78))</x:f>
        <x:v>0</x:v>
      </x:c>
      <x:c r="S251" s="23" t="n">
        <x:f>MAX(0,MIN('Activities'!L251,90)-MAX('Activities'!K251,84))</x:f>
        <x:v>0</x:v>
      </x:c>
      <x:c r="T251" s="23" t="n">
        <x:f>MAX(0,MIN('Activities'!L251,96)-MAX('Activities'!K251,90))</x:f>
        <x:v>0</x:v>
      </x:c>
      <x:c r="U251" s="23" t="n">
        <x:f>MAX(0,MIN('Activities'!L251,102)-MAX('Activities'!K251,96))</x:f>
        <x:v>0</x:v>
      </x:c>
      <x:c r="V251" s="23" t="n">
        <x:f>MAX(0,MIN('Activities'!L251,108)-MAX('Activities'!K251,102))</x:f>
        <x:v>0</x:v>
      </x:c>
      <x:c r="W251" s="23" t="n">
        <x:f>MAX(0,MIN('Activities'!L251,114)-MAX('Activities'!K251,108))</x:f>
        <x:v>0</x:v>
      </x:c>
      <x:c r="X251" s="23" t="n">
        <x:f>MAX(0,MIN('Activities'!L251,120)-MAX('Activities'!K251,114))</x:f>
        <x:v>0</x:v>
      </x:c>
      <x:c r="Y251" s="23" t="n">
        <x:f>MAX(0,MIN('Activities'!L251,126)-MAX('Activities'!K251,120))</x:f>
        <x:v>0</x:v>
      </x:c>
      <x:c r="Z251" s="23" t="n">
        <x:f>MAX(0,MIN('Activities'!L251,132)-MAX('Activities'!K251,126))</x:f>
        <x:v>0</x:v>
      </x:c>
      <x:c r="AA251" s="23" t="n">
        <x:f>MAX(0,MIN('Activities'!L251,138)-MAX('Activities'!K251,132))</x:f>
        <x:v>0</x:v>
      </x:c>
      <x:c r="AB251" s="23" t="n">
        <x:f>MAX(0,MIN('Activities'!L251,144)-MAX('Activities'!K251,138))</x:f>
        <x:v>0</x:v>
      </x:c>
      <x:c r="AC251" s="23" t="n">
        <x:f>MAX(0,MIN('Activities'!L251,150)-MAX('Activities'!K251,144))</x:f>
        <x:v>0</x:v>
      </x:c>
      <x:c r="AD251" s="23" t="n">
        <x:f>MAX(0,MIN('Activities'!L251,156)-MAX('Activities'!K251,150))</x:f>
        <x:v>0</x:v>
      </x:c>
      <x:c r="AE251" s="23" t="n">
        <x:f>MAX(0,MIN('Activities'!L251,162)-MAX('Activities'!K251,156))</x:f>
        <x:v>0</x:v>
      </x:c>
      <x:c r="AF251" s="23" t="n">
        <x:f>MAX(0,MIN('Activities'!L251,168)-MAX('Activities'!K251,162))</x:f>
        <x:v>0</x:v>
      </x:c>
      <x:c r="AG251" s="23" t="n">
        <x:f>MAX(0,MIN('Activities'!L251,174)-MAX('Activities'!K251,168))</x:f>
        <x:v>0</x:v>
      </x:c>
      <x:c r="AH251" s="23" t="n">
        <x:f>MAX(0,MIN('Activities'!L251,180)-MAX('Activities'!K251,174))</x:f>
        <x:v>0</x:v>
      </x:c>
      <x:c r="AI251" s="23" t="n">
        <x:f>MAX(0,MIN('Activities'!L251,186)-MAX('Activities'!K251,180))</x:f>
        <x:v>0</x:v>
      </x:c>
      <x:c r="AJ251" s="23" t="n">
        <x:f>MAX(0,MIN('Activities'!L251,192)-MAX('Activities'!K251,186))</x:f>
        <x:v>0</x:v>
      </x:c>
      <x:c r="AK251" s="23" t="n">
        <x:f>MAX(0,MIN('Activities'!L251,198)-MAX('Activities'!K251,192))</x:f>
        <x:v>0</x:v>
      </x:c>
      <x:c r="AL251" s="23" t="n">
        <x:f>MAX(0,MIN('Activities'!L251,204)-MAX('Activities'!K251,198))</x:f>
        <x:v>0</x:v>
      </x:c>
      <x:c r="AM251" s="23" t="n">
        <x:f>MAX(0,MIN('Activities'!L251,210)-MAX('Activities'!K251,204))</x:f>
        <x:v>0</x:v>
      </x:c>
      <x:c r="AN251" s="23" t="n">
        <x:f>MAX(0,MIN('Activities'!L251,216)-MAX('Activities'!K251,210))</x:f>
        <x:v>0</x:v>
      </x:c>
      <x:c r="AO251" s="23" t="n">
        <x:f>MAX(0,MIN('Activities'!L251,222)-MAX('Activities'!K251,216))</x:f>
        <x:v>0</x:v>
      </x:c>
      <x:c r="AP251" s="23" t="n">
        <x:f>MAX(0,MIN('Activities'!L251,228)-MAX('Activities'!K251,222))</x:f>
        <x:v>0</x:v>
      </x:c>
      <x:c r="AQ251" s="23" t="n">
        <x:f>MAX(0,MIN('Activities'!L251,234)-MAX('Activities'!K251,228))</x:f>
        <x:v>0</x:v>
      </x:c>
      <x:c r="AR251" s="23" t="n">
        <x:f>MAX(0,MIN('Activities'!L251,240)-MAX('Activities'!K251,234))</x:f>
        <x:v>0</x:v>
      </x:c>
      <x:c r="AS251" s="23" t="n">
        <x:f>MAX(0,MIN('Activities'!L251,246)-MAX('Activities'!K251,240))</x:f>
        <x:v>0</x:v>
      </x:c>
      <x:c r="AT251" s="23" t="n">
        <x:f>MAX(0,MIN('Activities'!L251,252)-MAX('Activities'!K251,246))</x:f>
        <x:v>0</x:v>
      </x:c>
      <x:c r="AU251" s="23" t="n">
        <x:f>MAX(0,MIN('Activities'!L251,258)-MAX('Activities'!K251,252))</x:f>
        <x:v>0</x:v>
      </x:c>
      <x:c r="AV251" s="23" t="n">
        <x:f>MAX(0,MIN('Activities'!L251,264)-MAX('Activities'!K251,258))</x:f>
        <x:v>0</x:v>
      </x:c>
      <x:c r="AW251" s="23" t="n">
        <x:f>MAX(0,MIN('Activities'!L251,270)-MAX('Activities'!K251,264))</x:f>
        <x:v>0</x:v>
      </x:c>
      <x:c r="AX251" s="23" t="n">
        <x:f>MAX(0,MIN('Activities'!L251,276)-MAX('Activities'!K251,270))</x:f>
        <x:v>0</x:v>
      </x:c>
      <x:c r="AY251" s="23" t="n">
        <x:f>MAX(0,MIN('Activities'!L251,282)-MAX('Activities'!K251,276))</x:f>
        <x:v>0</x:v>
      </x:c>
      <x:c r="AZ251" s="23" t="n">
        <x:f>MAX(0,MIN('Activities'!L251,288)-MAX('Activities'!K251,282))</x:f>
        <x:v>0</x:v>
      </x:c>
      <x:c r="BA251" s="23" t="n">
        <x:f>MAX(0,MIN('Activities'!L251,294)-MAX('Activities'!K251,288))</x:f>
        <x:v>0</x:v>
      </x:c>
      <x:c r="BB251" s="23" t="n">
        <x:f>MAX(0,MIN('Activities'!L251,300)-MAX('Activities'!K251,294))</x:f>
        <x:v>0</x:v>
      </x:c>
      <x:c r="BC251" s="23" t="n">
        <x:f>MAX(0,MIN('Activities'!L251,306)-MAX('Activities'!K251,300))</x:f>
        <x:v>0</x:v>
      </x:c>
      <x:c r="BD251" s="23" t="n">
        <x:f>MAX(0,MIN('Activities'!L251,312)-MAX('Activities'!K251,306))</x:f>
        <x:v>0</x:v>
      </x:c>
      <x:c r="BE251" s="23" t="n">
        <x:f>MAX(0,MIN('Activities'!L251,318)-MAX('Activities'!K251,312))</x:f>
        <x:v>0</x:v>
      </x:c>
      <x:c r="BF251" s="23" t="n">
        <x:f>MAX(0,MIN('Activities'!L251,324)-MAX('Activities'!K251,318))</x:f>
        <x:v>0</x:v>
      </x:c>
      <x:c r="BG251" s="23" t="n">
        <x:f>MAX(0,MIN('Activities'!L251,330)-MAX('Activities'!K251,324))</x:f>
        <x:v>0</x:v>
      </x:c>
      <x:c r="BH251" s="23" t="n">
        <x:f>MAX(0,MIN('Activities'!L251,336)-MAX('Activities'!K251,330))</x:f>
        <x:v>0</x:v>
      </x:c>
      <x:c r="BI251" s="23" t="n">
        <x:f>MAX(0,MIN('Activities'!L251,342)-MAX('Activities'!K251,336))</x:f>
        <x:v>0</x:v>
      </x:c>
      <x:c r="BJ251" s="23" t="n">
        <x:f>MAX(0,MIN('Activities'!L251,348)-MAX('Activities'!K251,342))</x:f>
        <x:v>0</x:v>
      </x:c>
      <x:c r="BK251" s="23" t="n">
        <x:f>MAX(0,MIN('Activities'!L251,354)-MAX('Activities'!K251,348))</x:f>
        <x:v>0</x:v>
      </x:c>
      <x:c r="BL251" s="23" t="n">
        <x:f>MAX(0,MIN('Activities'!L251,360)-MAX('Activities'!K251,354))</x:f>
        <x:v>0</x:v>
      </x:c>
      <x:c r="BM251" s="23" t="n">
        <x:f>MAX(0,MIN('Activities'!L251,366)-MAX('Activities'!K251,360))</x:f>
        <x:v>0</x:v>
      </x:c>
      <x:c r="BN251" s="23" t="n">
        <x:f>MAX(0,MIN('Activities'!L251,372)-MAX('Activities'!K251,366))</x:f>
        <x:v>0</x:v>
      </x:c>
      <x:c r="BO251" s="23" t="n">
        <x:f>MAX(0,MIN('Activities'!L251,378)-MAX('Activities'!K251,372))</x:f>
        <x:v>0</x:v>
      </x:c>
      <x:c r="BP251" s="23" t="n">
        <x:f>MAX(0,MIN('Activities'!L251,384)-MAX('Activities'!K251,378))</x:f>
        <x:v>0</x:v>
      </x:c>
      <x:c r="BQ251" s="23" t="n">
        <x:f>MAX(0,MIN('Activities'!L251,390)-MAX('Activities'!K251,384))</x:f>
        <x:v>0</x:v>
      </x:c>
      <x:c r="BR251" s="23" t="n">
        <x:f>MAX(0,MIN('Activities'!L251,396)-MAX('Activities'!K251,390))</x:f>
        <x:v>0</x:v>
      </x:c>
      <x:c r="BS251" s="23" t="n">
        <x:f>MAX(0,MIN('Activities'!L251,402)-MAX('Activities'!K251,396))</x:f>
        <x:v>0</x:v>
      </x:c>
      <x:c r="BT251" s="23" t="n">
        <x:f>MAX(0,MIN('Activities'!L251,408)-MAX('Activities'!K251,402))</x:f>
        <x:v>0</x:v>
      </x:c>
      <x:c r="BU251" s="23" t="n">
        <x:f>MAX(0,MIN('Activities'!L251,414)-MAX('Activities'!K251,408))</x:f>
        <x:v>0</x:v>
      </x:c>
      <x:c r="BV251" s="23" t="n">
        <x:f>MAX(0,MIN('Activities'!L251,420)-MAX('Activities'!K251,414))</x:f>
        <x:v>0</x:v>
      </x:c>
      <x:c r="BW251" s="23" t="n">
        <x:f>MAX(0,MIN('Activities'!L251,426)-MAX('Activities'!K251,420))</x:f>
        <x:v>0</x:v>
      </x:c>
      <x:c r="BX251" s="23" t="n">
        <x:f>MAX(0,MIN('Activities'!L251,432)-MAX('Activities'!K251,426))</x:f>
        <x:v>3</x:v>
      </x:c>
      <x:c r="BY251" s="23" t="n">
        <x:f>MAX(0,MIN('Activities'!L251,438)-MAX('Activities'!K251,432))</x:f>
        <x:v>0</x:v>
      </x:c>
      <x:c r="BZ251" s="23" t="n">
        <x:f>MAX(0,MIN('Activities'!L251,444)-MAX('Activities'!K251,438))</x:f>
        <x:v>0</x:v>
      </x:c>
      <x:c r="CA251" s="23" t="n">
        <x:f>MAX(0,MIN('Activities'!L251,450)-MAX('Activities'!K251,444))</x:f>
        <x:v>0</x:v>
      </x:c>
      <x:c r="CB251" s="23" t="n">
        <x:f>MAX(0,MIN('Activities'!L251,456)-MAX('Activities'!K251,450))</x:f>
        <x:v>0</x:v>
      </x:c>
      <x:c r="CC251" s="23" t="n">
        <x:f>MAX(0,MIN('Activities'!L251,462)-MAX('Activities'!K251,456))</x:f>
        <x:v>0</x:v>
      </x:c>
      <x:c r="CD251" s="23" t="n">
        <x:f>MAX(0,MIN('Activities'!L251,468)-MAX('Activities'!K251,462))</x:f>
        <x:v>0</x:v>
      </x:c>
      <x:c r="CE251" s="23" t="n">
        <x:f>MAX(0,MIN('Activities'!L251,474)-MAX('Activities'!K251,468))</x:f>
        <x:v>0</x:v>
      </x:c>
      <x:c r="CF251" s="23" t="n">
        <x:f>MAX(0,MIN('Activities'!L251,480)-MAX('Activities'!K251,474))</x:f>
        <x:v>0</x:v>
      </x:c>
      <x:c r="CG251" s="23" t="n">
        <x:f>MAX(0,MIN('Activities'!L251,486)-MAX('Activities'!K251,480))</x:f>
        <x:v>0</x:v>
      </x:c>
      <x:c r="CH251" s="23" t="n">
        <x:f>MAX(0,MIN('Activities'!L251,492)-MAX('Activities'!K251,486))</x:f>
        <x:v>0</x:v>
      </x:c>
      <x:c r="CI251" s="23" t="n">
        <x:f>MAX(0,MIN('Activities'!L251,498)-MAX('Activities'!K251,492))</x:f>
        <x:v>0</x:v>
      </x:c>
      <x:c r="CJ251" s="23" t="n">
        <x:f>MAX(0,MIN('Activities'!L251,504)-MAX('Activities'!K251,498))</x:f>
        <x:v>0</x:v>
      </x:c>
      <x:c r="CK251" s="23" t="n">
        <x:f>MAX(0,MIN('Activities'!L251,510)-MAX('Activities'!K251,504))</x:f>
        <x:v>0</x:v>
      </x:c>
      <x:c r="CL251" s="23" t="n">
        <x:f>MAX(0,MIN('Activities'!L251,516)-MAX('Activities'!K251,510))</x:f>
        <x:v>0</x:v>
      </x:c>
      <x:c r="CM251" s="23" t="n">
        <x:f>MAX(0,MIN('Activities'!L251,522)-MAX('Activities'!K251,516))</x:f>
        <x:v>0</x:v>
      </x:c>
      <x:c r="CN251" s="23" t="n">
        <x:f>MAX(0,MIN('Activities'!L251,528)-MAX('Activities'!K251,522))</x:f>
        <x:v>0</x:v>
      </x:c>
      <x:c r="CO251" s="23" t="n">
        <x:f>MAX(0,MIN('Activities'!L251,534)-MAX('Activities'!K251,528))</x:f>
        <x:v>0</x:v>
      </x:c>
      <x:c r="CP251" s="23" t="n">
        <x:f>MAX(0,MIN('Activities'!L251,540)-MAX('Activities'!K251,534))</x:f>
        <x:v>0</x:v>
      </x:c>
      <x:c r="CQ251" s="23" t="n">
        <x:f>MAX(0,MIN('Activities'!L251,546)-MAX('Activities'!K251,540))</x:f>
        <x:v>0</x:v>
      </x:c>
      <x:c r="CR251" s="23" t="n">
        <x:f>MAX(0,MIN('Activities'!L251,552)-MAX('Activities'!K251,546))</x:f>
        <x:v>0</x:v>
      </x:c>
      <x:c r="CS251" s="23" t="n">
        <x:f>MAX(0,MIN('Activities'!L251,558)-MAX('Activities'!K251,552))</x:f>
        <x:v>0</x:v>
      </x:c>
      <x:c r="CT251" s="23" t="n">
        <x:f>MAX(0,MIN('Activities'!L251,564)-MAX('Activities'!K251,558))</x:f>
        <x:v>0</x:v>
      </x:c>
      <x:c r="CU251" s="23" t="n">
        <x:f>MAX(0,MIN('Activities'!L251,570)-MAX('Activities'!K251,564))</x:f>
        <x:v>0</x:v>
      </x:c>
      <x:c r="CV251" s="23" t="n">
        <x:f>MAX(0,MIN('Activities'!L251,576)-MAX('Activities'!K251,570))</x:f>
        <x:v>0</x:v>
      </x:c>
      <x:c r="CW251" s="23" t="n">
        <x:f>MAX(0,MIN('Activities'!L251,582)-MAX('Activities'!K251,576))</x:f>
        <x:v>0</x:v>
      </x:c>
      <x:c r="CX251" s="23" t="n">
        <x:f>MAX(0,MIN('Activities'!L251,588)-MAX('Activities'!K251,582))</x:f>
        <x:v>0</x:v>
      </x:c>
      <x:c r="CY251" s="23" t="n">
        <x:f>MAX(0,MIN('Activities'!L251,594)-MAX('Activities'!K251,588))</x:f>
        <x:v>0</x:v>
      </x:c>
      <x:c r="CZ251" s="23" t="n">
        <x:f>MAX(0,MIN('Activities'!L251,600)-MAX('Activities'!K251,594))</x:f>
        <x:v>0</x:v>
      </x:c>
      <x:c r="DA251" s="23" t="n">
        <x:f>MAX(0,MIN('Activities'!L251,606)-MAX('Activities'!K251,600))</x:f>
        <x:v>0</x:v>
      </x:c>
      <x:c r="DB251" s="23" t="n">
        <x:f>MAX(0,MIN('Activities'!L251,612)-MAX('Activities'!K251,606))</x:f>
        <x:v>0</x:v>
      </x:c>
      <x:c r="DC251" s="23" t="n">
        <x:f>MAX(0,MIN('Activities'!L251,618)-MAX('Activities'!K251,612))</x:f>
        <x:v>0</x:v>
      </x:c>
      <x:c r="DD251" s="23" t="n">
        <x:f>MAX(0,MIN('Activities'!L251,624)-MAX('Activities'!K251,618))</x:f>
        <x:v>0</x:v>
      </x:c>
      <x:c r="DE251" s="23" t="n">
        <x:f>MAX(0,MIN('Activities'!L251,630)-MAX('Activities'!K251,624))</x:f>
        <x:v>0</x:v>
      </x:c>
      <x:c r="DF251" s="23" t="n">
        <x:f>MAX(0,MIN('Activities'!L251,636)-MAX('Activities'!K251,630))</x:f>
        <x:v>0</x:v>
      </x:c>
    </x:row>
    <x:row r="252" ht="23" customHeight="1">
      <x:c r="A252" s="6" t="str">
        <x:v>T2-L08-M</x:v>
      </x:c>
      <x:c r="B252" s="6" t="str">
        <x:v>T2</x:v>
      </x:c>
      <x:c r="C252" s="6" t="str">
        <x:v>Partition masonry</x:v>
      </x:c>
      <x:c r="D252" s="6" t="str">
        <x:v>Masonry</x:v>
      </x:c>
      <x:c r="E252" s="22" t="n">
        <x:f>MAX(0,MIN('Activities'!L252,6)-MAX('Activities'!K252,0))</x:f>
        <x:v>0</x:v>
      </x:c>
      <x:c r="F252" s="22" t="n">
        <x:f>MAX(0,MIN('Activities'!L252,12)-MAX('Activities'!K252,6))</x:f>
        <x:v>0</x:v>
      </x:c>
      <x:c r="G252" s="22" t="n">
        <x:f>MAX(0,MIN('Activities'!L252,18)-MAX('Activities'!K252,12))</x:f>
        <x:v>0</x:v>
      </x:c>
      <x:c r="H252" s="22" t="n">
        <x:f>MAX(0,MIN('Activities'!L252,24)-MAX('Activities'!K252,18))</x:f>
        <x:v>0</x:v>
      </x:c>
      <x:c r="I252" s="22" t="n">
        <x:f>MAX(0,MIN('Activities'!L252,30)-MAX('Activities'!K252,24))</x:f>
        <x:v>0</x:v>
      </x:c>
      <x:c r="J252" s="22" t="n">
        <x:f>MAX(0,MIN('Activities'!L252,36)-MAX('Activities'!K252,30))</x:f>
        <x:v>0</x:v>
      </x:c>
      <x:c r="K252" s="22" t="n">
        <x:f>MAX(0,MIN('Activities'!L252,42)-MAX('Activities'!K252,36))</x:f>
        <x:v>0</x:v>
      </x:c>
      <x:c r="L252" s="22" t="n">
        <x:f>MAX(0,MIN('Activities'!L252,48)-MAX('Activities'!K252,42))</x:f>
        <x:v>0</x:v>
      </x:c>
      <x:c r="M252" s="22" t="n">
        <x:f>MAX(0,MIN('Activities'!L252,54)-MAX('Activities'!K252,48))</x:f>
        <x:v>0</x:v>
      </x:c>
      <x:c r="N252" s="22" t="n">
        <x:f>MAX(0,MIN('Activities'!L252,60)-MAX('Activities'!K252,54))</x:f>
        <x:v>0</x:v>
      </x:c>
      <x:c r="O252" s="22" t="n">
        <x:f>MAX(0,MIN('Activities'!L252,66)-MAX('Activities'!K252,60))</x:f>
        <x:v>0</x:v>
      </x:c>
      <x:c r="P252" s="22" t="n">
        <x:f>MAX(0,MIN('Activities'!L252,72)-MAX('Activities'!K252,66))</x:f>
        <x:v>0</x:v>
      </x:c>
      <x:c r="Q252" s="22" t="n">
        <x:f>MAX(0,MIN('Activities'!L252,78)-MAX('Activities'!K252,72))</x:f>
        <x:v>0</x:v>
      </x:c>
      <x:c r="R252" s="22" t="n">
        <x:f>MAX(0,MIN('Activities'!L252,84)-MAX('Activities'!K252,78))</x:f>
        <x:v>0</x:v>
      </x:c>
      <x:c r="S252" s="22" t="n">
        <x:f>MAX(0,MIN('Activities'!L252,90)-MAX('Activities'!K252,84))</x:f>
        <x:v>0</x:v>
      </x:c>
      <x:c r="T252" s="22" t="n">
        <x:f>MAX(0,MIN('Activities'!L252,96)-MAX('Activities'!K252,90))</x:f>
        <x:v>0</x:v>
      </x:c>
      <x:c r="U252" s="22" t="n">
        <x:f>MAX(0,MIN('Activities'!L252,102)-MAX('Activities'!K252,96))</x:f>
        <x:v>0</x:v>
      </x:c>
      <x:c r="V252" s="22" t="n">
        <x:f>MAX(0,MIN('Activities'!L252,108)-MAX('Activities'!K252,102))</x:f>
        <x:v>0</x:v>
      </x:c>
      <x:c r="W252" s="22" t="n">
        <x:f>MAX(0,MIN('Activities'!L252,114)-MAX('Activities'!K252,108))</x:f>
        <x:v>0</x:v>
      </x:c>
      <x:c r="X252" s="22" t="n">
        <x:f>MAX(0,MIN('Activities'!L252,120)-MAX('Activities'!K252,114))</x:f>
        <x:v>0</x:v>
      </x:c>
      <x:c r="Y252" s="22" t="n">
        <x:f>MAX(0,MIN('Activities'!L252,126)-MAX('Activities'!K252,120))</x:f>
        <x:v>0</x:v>
      </x:c>
      <x:c r="Z252" s="22" t="n">
        <x:f>MAX(0,MIN('Activities'!L252,132)-MAX('Activities'!K252,126))</x:f>
        <x:v>0</x:v>
      </x:c>
      <x:c r="AA252" s="22" t="n">
        <x:f>MAX(0,MIN('Activities'!L252,138)-MAX('Activities'!K252,132))</x:f>
        <x:v>0</x:v>
      </x:c>
      <x:c r="AB252" s="22" t="n">
        <x:f>MAX(0,MIN('Activities'!L252,144)-MAX('Activities'!K252,138))</x:f>
        <x:v>0</x:v>
      </x:c>
      <x:c r="AC252" s="22" t="n">
        <x:f>MAX(0,MIN('Activities'!L252,150)-MAX('Activities'!K252,144))</x:f>
        <x:v>0</x:v>
      </x:c>
      <x:c r="AD252" s="22" t="n">
        <x:f>MAX(0,MIN('Activities'!L252,156)-MAX('Activities'!K252,150))</x:f>
        <x:v>0</x:v>
      </x:c>
      <x:c r="AE252" s="22" t="n">
        <x:f>MAX(0,MIN('Activities'!L252,162)-MAX('Activities'!K252,156))</x:f>
        <x:v>0</x:v>
      </x:c>
      <x:c r="AF252" s="22" t="n">
        <x:f>MAX(0,MIN('Activities'!L252,168)-MAX('Activities'!K252,162))</x:f>
        <x:v>0</x:v>
      </x:c>
      <x:c r="AG252" s="22" t="n">
        <x:f>MAX(0,MIN('Activities'!L252,174)-MAX('Activities'!K252,168))</x:f>
        <x:v>0</x:v>
      </x:c>
      <x:c r="AH252" s="22" t="n">
        <x:f>MAX(0,MIN('Activities'!L252,180)-MAX('Activities'!K252,174))</x:f>
        <x:v>0</x:v>
      </x:c>
      <x:c r="AI252" s="22" t="n">
        <x:f>MAX(0,MIN('Activities'!L252,186)-MAX('Activities'!K252,180))</x:f>
        <x:v>0</x:v>
      </x:c>
      <x:c r="AJ252" s="22" t="n">
        <x:f>MAX(0,MIN('Activities'!L252,192)-MAX('Activities'!K252,186))</x:f>
        <x:v>0</x:v>
      </x:c>
      <x:c r="AK252" s="22" t="n">
        <x:f>MAX(0,MIN('Activities'!L252,198)-MAX('Activities'!K252,192))</x:f>
        <x:v>0</x:v>
      </x:c>
      <x:c r="AL252" s="22" t="n">
        <x:f>MAX(0,MIN('Activities'!L252,204)-MAX('Activities'!K252,198))</x:f>
        <x:v>0</x:v>
      </x:c>
      <x:c r="AM252" s="22" t="n">
        <x:f>MAX(0,MIN('Activities'!L252,210)-MAX('Activities'!K252,204))</x:f>
        <x:v>0</x:v>
      </x:c>
      <x:c r="AN252" s="22" t="n">
        <x:f>MAX(0,MIN('Activities'!L252,216)-MAX('Activities'!K252,210))</x:f>
        <x:v>0</x:v>
      </x:c>
      <x:c r="AO252" s="22" t="n">
        <x:f>MAX(0,MIN('Activities'!L252,222)-MAX('Activities'!K252,216))</x:f>
        <x:v>0</x:v>
      </x:c>
      <x:c r="AP252" s="22" t="n">
        <x:f>MAX(0,MIN('Activities'!L252,228)-MAX('Activities'!K252,222))</x:f>
        <x:v>0</x:v>
      </x:c>
      <x:c r="AQ252" s="22" t="n">
        <x:f>MAX(0,MIN('Activities'!L252,234)-MAX('Activities'!K252,228))</x:f>
        <x:v>0</x:v>
      </x:c>
      <x:c r="AR252" s="22" t="n">
        <x:f>MAX(0,MIN('Activities'!L252,240)-MAX('Activities'!K252,234))</x:f>
        <x:v>0</x:v>
      </x:c>
      <x:c r="AS252" s="22" t="n">
        <x:f>MAX(0,MIN('Activities'!L252,246)-MAX('Activities'!K252,240))</x:f>
        <x:v>0</x:v>
      </x:c>
      <x:c r="AT252" s="22" t="n">
        <x:f>MAX(0,MIN('Activities'!L252,252)-MAX('Activities'!K252,246))</x:f>
        <x:v>0</x:v>
      </x:c>
      <x:c r="AU252" s="22" t="n">
        <x:f>MAX(0,MIN('Activities'!L252,258)-MAX('Activities'!K252,252))</x:f>
        <x:v>0</x:v>
      </x:c>
      <x:c r="AV252" s="22" t="n">
        <x:f>MAX(0,MIN('Activities'!L252,264)-MAX('Activities'!K252,258))</x:f>
        <x:v>0</x:v>
      </x:c>
      <x:c r="AW252" s="22" t="n">
        <x:f>MAX(0,MIN('Activities'!L252,270)-MAX('Activities'!K252,264))</x:f>
        <x:v>0</x:v>
      </x:c>
      <x:c r="AX252" s="22" t="n">
        <x:f>MAX(0,MIN('Activities'!L252,276)-MAX('Activities'!K252,270))</x:f>
        <x:v>0</x:v>
      </x:c>
      <x:c r="AY252" s="22" t="n">
        <x:f>MAX(0,MIN('Activities'!L252,282)-MAX('Activities'!K252,276))</x:f>
        <x:v>0</x:v>
      </x:c>
      <x:c r="AZ252" s="22" t="n">
        <x:f>MAX(0,MIN('Activities'!L252,288)-MAX('Activities'!K252,282))</x:f>
        <x:v>0</x:v>
      </x:c>
      <x:c r="BA252" s="22" t="n">
        <x:f>MAX(0,MIN('Activities'!L252,294)-MAX('Activities'!K252,288))</x:f>
        <x:v>0</x:v>
      </x:c>
      <x:c r="BB252" s="22" t="n">
        <x:f>MAX(0,MIN('Activities'!L252,300)-MAX('Activities'!K252,294))</x:f>
        <x:v>0</x:v>
      </x:c>
      <x:c r="BC252" s="22" t="n">
        <x:f>MAX(0,MIN('Activities'!L252,306)-MAX('Activities'!K252,300))</x:f>
        <x:v>0</x:v>
      </x:c>
      <x:c r="BD252" s="22" t="n">
        <x:f>MAX(0,MIN('Activities'!L252,312)-MAX('Activities'!K252,306))</x:f>
        <x:v>0</x:v>
      </x:c>
      <x:c r="BE252" s="22" t="n">
        <x:f>MAX(0,MIN('Activities'!L252,318)-MAX('Activities'!K252,312))</x:f>
        <x:v>0</x:v>
      </x:c>
      <x:c r="BF252" s="22" t="n">
        <x:f>MAX(0,MIN('Activities'!L252,324)-MAX('Activities'!K252,318))</x:f>
        <x:v>0</x:v>
      </x:c>
      <x:c r="BG252" s="22" t="n">
        <x:f>MAX(0,MIN('Activities'!L252,330)-MAX('Activities'!K252,324))</x:f>
        <x:v>0</x:v>
      </x:c>
      <x:c r="BH252" s="22" t="n">
        <x:f>MAX(0,MIN('Activities'!L252,336)-MAX('Activities'!K252,330))</x:f>
        <x:v>0</x:v>
      </x:c>
      <x:c r="BI252" s="22" t="n">
        <x:f>MAX(0,MIN('Activities'!L252,342)-MAX('Activities'!K252,336))</x:f>
        <x:v>0</x:v>
      </x:c>
      <x:c r="BJ252" s="22" t="n">
        <x:f>MAX(0,MIN('Activities'!L252,348)-MAX('Activities'!K252,342))</x:f>
        <x:v>0</x:v>
      </x:c>
      <x:c r="BK252" s="22" t="n">
        <x:f>MAX(0,MIN('Activities'!L252,354)-MAX('Activities'!K252,348))</x:f>
        <x:v>0</x:v>
      </x:c>
      <x:c r="BL252" s="22" t="n">
        <x:f>MAX(0,MIN('Activities'!L252,360)-MAX('Activities'!K252,354))</x:f>
        <x:v>0</x:v>
      </x:c>
      <x:c r="BM252" s="22" t="n">
        <x:f>MAX(0,MIN('Activities'!L252,366)-MAX('Activities'!K252,360))</x:f>
        <x:v>0</x:v>
      </x:c>
      <x:c r="BN252" s="22" t="n">
        <x:f>MAX(0,MIN('Activities'!L252,372)-MAX('Activities'!K252,366))</x:f>
        <x:v>5</x:v>
      </x:c>
      <x:c r="BO252" s="22" t="n">
        <x:f>MAX(0,MIN('Activities'!L252,378)-MAX('Activities'!K252,372))</x:f>
        <x:v>0</x:v>
      </x:c>
      <x:c r="BP252" s="22" t="n">
        <x:f>MAX(0,MIN('Activities'!L252,384)-MAX('Activities'!K252,378))</x:f>
        <x:v>0</x:v>
      </x:c>
      <x:c r="BQ252" s="22" t="n">
        <x:f>MAX(0,MIN('Activities'!L252,390)-MAX('Activities'!K252,384))</x:f>
        <x:v>0</x:v>
      </x:c>
      <x:c r="BR252" s="22" t="n">
        <x:f>MAX(0,MIN('Activities'!L252,396)-MAX('Activities'!K252,390))</x:f>
        <x:v>0</x:v>
      </x:c>
      <x:c r="BS252" s="22" t="n">
        <x:f>MAX(0,MIN('Activities'!L252,402)-MAX('Activities'!K252,396))</x:f>
        <x:v>0</x:v>
      </x:c>
      <x:c r="BT252" s="22" t="n">
        <x:f>MAX(0,MIN('Activities'!L252,408)-MAX('Activities'!K252,402))</x:f>
        <x:v>0</x:v>
      </x:c>
      <x:c r="BU252" s="22" t="n">
        <x:f>MAX(0,MIN('Activities'!L252,414)-MAX('Activities'!K252,408))</x:f>
        <x:v>0</x:v>
      </x:c>
      <x:c r="BV252" s="22" t="n">
        <x:f>MAX(0,MIN('Activities'!L252,420)-MAX('Activities'!K252,414))</x:f>
        <x:v>0</x:v>
      </x:c>
      <x:c r="BW252" s="22" t="n">
        <x:f>MAX(0,MIN('Activities'!L252,426)-MAX('Activities'!K252,420))</x:f>
        <x:v>0</x:v>
      </x:c>
      <x:c r="BX252" s="22" t="n">
        <x:f>MAX(0,MIN('Activities'!L252,432)-MAX('Activities'!K252,426))</x:f>
        <x:v>0</x:v>
      </x:c>
      <x:c r="BY252" s="22" t="n">
        <x:f>MAX(0,MIN('Activities'!L252,438)-MAX('Activities'!K252,432))</x:f>
        <x:v>0</x:v>
      </x:c>
      <x:c r="BZ252" s="22" t="n">
        <x:f>MAX(0,MIN('Activities'!L252,444)-MAX('Activities'!K252,438))</x:f>
        <x:v>0</x:v>
      </x:c>
      <x:c r="CA252" s="22" t="n">
        <x:f>MAX(0,MIN('Activities'!L252,450)-MAX('Activities'!K252,444))</x:f>
        <x:v>0</x:v>
      </x:c>
      <x:c r="CB252" s="22" t="n">
        <x:f>MAX(0,MIN('Activities'!L252,456)-MAX('Activities'!K252,450))</x:f>
        <x:v>0</x:v>
      </x:c>
      <x:c r="CC252" s="22" t="n">
        <x:f>MAX(0,MIN('Activities'!L252,462)-MAX('Activities'!K252,456))</x:f>
        <x:v>0</x:v>
      </x:c>
      <x:c r="CD252" s="22" t="n">
        <x:f>MAX(0,MIN('Activities'!L252,468)-MAX('Activities'!K252,462))</x:f>
        <x:v>0</x:v>
      </x:c>
      <x:c r="CE252" s="22" t="n">
        <x:f>MAX(0,MIN('Activities'!L252,474)-MAX('Activities'!K252,468))</x:f>
        <x:v>0</x:v>
      </x:c>
      <x:c r="CF252" s="22" t="n">
        <x:f>MAX(0,MIN('Activities'!L252,480)-MAX('Activities'!K252,474))</x:f>
        <x:v>0</x:v>
      </x:c>
      <x:c r="CG252" s="22" t="n">
        <x:f>MAX(0,MIN('Activities'!L252,486)-MAX('Activities'!K252,480))</x:f>
        <x:v>0</x:v>
      </x:c>
      <x:c r="CH252" s="22" t="n">
        <x:f>MAX(0,MIN('Activities'!L252,492)-MAX('Activities'!K252,486))</x:f>
        <x:v>0</x:v>
      </x:c>
      <x:c r="CI252" s="22" t="n">
        <x:f>MAX(0,MIN('Activities'!L252,498)-MAX('Activities'!K252,492))</x:f>
        <x:v>0</x:v>
      </x:c>
      <x:c r="CJ252" s="22" t="n">
        <x:f>MAX(0,MIN('Activities'!L252,504)-MAX('Activities'!K252,498))</x:f>
        <x:v>0</x:v>
      </x:c>
      <x:c r="CK252" s="22" t="n">
        <x:f>MAX(0,MIN('Activities'!L252,510)-MAX('Activities'!K252,504))</x:f>
        <x:v>0</x:v>
      </x:c>
      <x:c r="CL252" s="22" t="n">
        <x:f>MAX(0,MIN('Activities'!L252,516)-MAX('Activities'!K252,510))</x:f>
        <x:v>0</x:v>
      </x:c>
      <x:c r="CM252" s="22" t="n">
        <x:f>MAX(0,MIN('Activities'!L252,522)-MAX('Activities'!K252,516))</x:f>
        <x:v>0</x:v>
      </x:c>
      <x:c r="CN252" s="22" t="n">
        <x:f>MAX(0,MIN('Activities'!L252,528)-MAX('Activities'!K252,522))</x:f>
        <x:v>0</x:v>
      </x:c>
      <x:c r="CO252" s="22" t="n">
        <x:f>MAX(0,MIN('Activities'!L252,534)-MAX('Activities'!K252,528))</x:f>
        <x:v>0</x:v>
      </x:c>
      <x:c r="CP252" s="22" t="n">
        <x:f>MAX(0,MIN('Activities'!L252,540)-MAX('Activities'!K252,534))</x:f>
        <x:v>0</x:v>
      </x:c>
      <x:c r="CQ252" s="22" t="n">
        <x:f>MAX(0,MIN('Activities'!L252,546)-MAX('Activities'!K252,540))</x:f>
        <x:v>0</x:v>
      </x:c>
      <x:c r="CR252" s="22" t="n">
        <x:f>MAX(0,MIN('Activities'!L252,552)-MAX('Activities'!K252,546))</x:f>
        <x:v>0</x:v>
      </x:c>
      <x:c r="CS252" s="22" t="n">
        <x:f>MAX(0,MIN('Activities'!L252,558)-MAX('Activities'!K252,552))</x:f>
        <x:v>0</x:v>
      </x:c>
      <x:c r="CT252" s="22" t="n">
        <x:f>MAX(0,MIN('Activities'!L252,564)-MAX('Activities'!K252,558))</x:f>
        <x:v>0</x:v>
      </x:c>
      <x:c r="CU252" s="22" t="n">
        <x:f>MAX(0,MIN('Activities'!L252,570)-MAX('Activities'!K252,564))</x:f>
        <x:v>0</x:v>
      </x:c>
      <x:c r="CV252" s="22" t="n">
        <x:f>MAX(0,MIN('Activities'!L252,576)-MAX('Activities'!K252,570))</x:f>
        <x:v>0</x:v>
      </x:c>
      <x:c r="CW252" s="22" t="n">
        <x:f>MAX(0,MIN('Activities'!L252,582)-MAX('Activities'!K252,576))</x:f>
        <x:v>0</x:v>
      </x:c>
      <x:c r="CX252" s="22" t="n">
        <x:f>MAX(0,MIN('Activities'!L252,588)-MAX('Activities'!K252,582))</x:f>
        <x:v>0</x:v>
      </x:c>
      <x:c r="CY252" s="22" t="n">
        <x:f>MAX(0,MIN('Activities'!L252,594)-MAX('Activities'!K252,588))</x:f>
        <x:v>0</x:v>
      </x:c>
      <x:c r="CZ252" s="22" t="n">
        <x:f>MAX(0,MIN('Activities'!L252,600)-MAX('Activities'!K252,594))</x:f>
        <x:v>0</x:v>
      </x:c>
      <x:c r="DA252" s="22" t="n">
        <x:f>MAX(0,MIN('Activities'!L252,606)-MAX('Activities'!K252,600))</x:f>
        <x:v>0</x:v>
      </x:c>
      <x:c r="DB252" s="22" t="n">
        <x:f>MAX(0,MIN('Activities'!L252,612)-MAX('Activities'!K252,606))</x:f>
        <x:v>0</x:v>
      </x:c>
      <x:c r="DC252" s="22" t="n">
        <x:f>MAX(0,MIN('Activities'!L252,618)-MAX('Activities'!K252,612))</x:f>
        <x:v>0</x:v>
      </x:c>
      <x:c r="DD252" s="22" t="n">
        <x:f>MAX(0,MIN('Activities'!L252,624)-MAX('Activities'!K252,618))</x:f>
        <x:v>0</x:v>
      </x:c>
      <x:c r="DE252" s="22" t="n">
        <x:f>MAX(0,MIN('Activities'!L252,630)-MAX('Activities'!K252,624))</x:f>
        <x:v>0</x:v>
      </x:c>
      <x:c r="DF252" s="22" t="n">
        <x:f>MAX(0,MIN('Activities'!L252,636)-MAX('Activities'!K252,630))</x:f>
        <x:v>0</x:v>
      </x:c>
    </x:row>
    <x:row r="253" ht="23" customHeight="1">
      <x:c r="A253" s="1" t="str">
        <x:v>T2-L08-P</x:v>
      </x:c>
      <x:c r="B253" s="1" t="str">
        <x:v>T2</x:v>
      </x:c>
      <x:c r="C253" s="1" t="str">
        <x:v>Internal plaster</x:v>
      </x:c>
      <x:c r="D253" s="1" t="str">
        <x:v>Finishes</x:v>
      </x:c>
      <x:c r="E253" s="23" t="n">
        <x:f>MAX(0,MIN('Activities'!L253,6)-MAX('Activities'!K253,0))</x:f>
        <x:v>0</x:v>
      </x:c>
      <x:c r="F253" s="23" t="n">
        <x:f>MAX(0,MIN('Activities'!L253,12)-MAX('Activities'!K253,6))</x:f>
        <x:v>0</x:v>
      </x:c>
      <x:c r="G253" s="23" t="n">
        <x:f>MAX(0,MIN('Activities'!L253,18)-MAX('Activities'!K253,12))</x:f>
        <x:v>0</x:v>
      </x:c>
      <x:c r="H253" s="23" t="n">
        <x:f>MAX(0,MIN('Activities'!L253,24)-MAX('Activities'!K253,18))</x:f>
        <x:v>0</x:v>
      </x:c>
      <x:c r="I253" s="23" t="n">
        <x:f>MAX(0,MIN('Activities'!L253,30)-MAX('Activities'!K253,24))</x:f>
        <x:v>0</x:v>
      </x:c>
      <x:c r="J253" s="23" t="n">
        <x:f>MAX(0,MIN('Activities'!L253,36)-MAX('Activities'!K253,30))</x:f>
        <x:v>0</x:v>
      </x:c>
      <x:c r="K253" s="23" t="n">
        <x:f>MAX(0,MIN('Activities'!L253,42)-MAX('Activities'!K253,36))</x:f>
        <x:v>0</x:v>
      </x:c>
      <x:c r="L253" s="23" t="n">
        <x:f>MAX(0,MIN('Activities'!L253,48)-MAX('Activities'!K253,42))</x:f>
        <x:v>0</x:v>
      </x:c>
      <x:c r="M253" s="23" t="n">
        <x:f>MAX(0,MIN('Activities'!L253,54)-MAX('Activities'!K253,48))</x:f>
        <x:v>0</x:v>
      </x:c>
      <x:c r="N253" s="23" t="n">
        <x:f>MAX(0,MIN('Activities'!L253,60)-MAX('Activities'!K253,54))</x:f>
        <x:v>0</x:v>
      </x:c>
      <x:c r="O253" s="23" t="n">
        <x:f>MAX(0,MIN('Activities'!L253,66)-MAX('Activities'!K253,60))</x:f>
        <x:v>0</x:v>
      </x:c>
      <x:c r="P253" s="23" t="n">
        <x:f>MAX(0,MIN('Activities'!L253,72)-MAX('Activities'!K253,66))</x:f>
        <x:v>0</x:v>
      </x:c>
      <x:c r="Q253" s="23" t="n">
        <x:f>MAX(0,MIN('Activities'!L253,78)-MAX('Activities'!K253,72))</x:f>
        <x:v>0</x:v>
      </x:c>
      <x:c r="R253" s="23" t="n">
        <x:f>MAX(0,MIN('Activities'!L253,84)-MAX('Activities'!K253,78))</x:f>
        <x:v>0</x:v>
      </x:c>
      <x:c r="S253" s="23" t="n">
        <x:f>MAX(0,MIN('Activities'!L253,90)-MAX('Activities'!K253,84))</x:f>
        <x:v>0</x:v>
      </x:c>
      <x:c r="T253" s="23" t="n">
        <x:f>MAX(0,MIN('Activities'!L253,96)-MAX('Activities'!K253,90))</x:f>
        <x:v>0</x:v>
      </x:c>
      <x:c r="U253" s="23" t="n">
        <x:f>MAX(0,MIN('Activities'!L253,102)-MAX('Activities'!K253,96))</x:f>
        <x:v>0</x:v>
      </x:c>
      <x:c r="V253" s="23" t="n">
        <x:f>MAX(0,MIN('Activities'!L253,108)-MAX('Activities'!K253,102))</x:f>
        <x:v>0</x:v>
      </x:c>
      <x:c r="W253" s="23" t="n">
        <x:f>MAX(0,MIN('Activities'!L253,114)-MAX('Activities'!K253,108))</x:f>
        <x:v>0</x:v>
      </x:c>
      <x:c r="X253" s="23" t="n">
        <x:f>MAX(0,MIN('Activities'!L253,120)-MAX('Activities'!K253,114))</x:f>
        <x:v>0</x:v>
      </x:c>
      <x:c r="Y253" s="23" t="n">
        <x:f>MAX(0,MIN('Activities'!L253,126)-MAX('Activities'!K253,120))</x:f>
        <x:v>0</x:v>
      </x:c>
      <x:c r="Z253" s="23" t="n">
        <x:f>MAX(0,MIN('Activities'!L253,132)-MAX('Activities'!K253,126))</x:f>
        <x:v>0</x:v>
      </x:c>
      <x:c r="AA253" s="23" t="n">
        <x:f>MAX(0,MIN('Activities'!L253,138)-MAX('Activities'!K253,132))</x:f>
        <x:v>0</x:v>
      </x:c>
      <x:c r="AB253" s="23" t="n">
        <x:f>MAX(0,MIN('Activities'!L253,144)-MAX('Activities'!K253,138))</x:f>
        <x:v>0</x:v>
      </x:c>
      <x:c r="AC253" s="23" t="n">
        <x:f>MAX(0,MIN('Activities'!L253,150)-MAX('Activities'!K253,144))</x:f>
        <x:v>0</x:v>
      </x:c>
      <x:c r="AD253" s="23" t="n">
        <x:f>MAX(0,MIN('Activities'!L253,156)-MAX('Activities'!K253,150))</x:f>
        <x:v>0</x:v>
      </x:c>
      <x:c r="AE253" s="23" t="n">
        <x:f>MAX(0,MIN('Activities'!L253,162)-MAX('Activities'!K253,156))</x:f>
        <x:v>0</x:v>
      </x:c>
      <x:c r="AF253" s="23" t="n">
        <x:f>MAX(0,MIN('Activities'!L253,168)-MAX('Activities'!K253,162))</x:f>
        <x:v>0</x:v>
      </x:c>
      <x:c r="AG253" s="23" t="n">
        <x:f>MAX(0,MIN('Activities'!L253,174)-MAX('Activities'!K253,168))</x:f>
        <x:v>0</x:v>
      </x:c>
      <x:c r="AH253" s="23" t="n">
        <x:f>MAX(0,MIN('Activities'!L253,180)-MAX('Activities'!K253,174))</x:f>
        <x:v>0</x:v>
      </x:c>
      <x:c r="AI253" s="23" t="n">
        <x:f>MAX(0,MIN('Activities'!L253,186)-MAX('Activities'!K253,180))</x:f>
        <x:v>0</x:v>
      </x:c>
      <x:c r="AJ253" s="23" t="n">
        <x:f>MAX(0,MIN('Activities'!L253,192)-MAX('Activities'!K253,186))</x:f>
        <x:v>0</x:v>
      </x:c>
      <x:c r="AK253" s="23" t="n">
        <x:f>MAX(0,MIN('Activities'!L253,198)-MAX('Activities'!K253,192))</x:f>
        <x:v>0</x:v>
      </x:c>
      <x:c r="AL253" s="23" t="n">
        <x:f>MAX(0,MIN('Activities'!L253,204)-MAX('Activities'!K253,198))</x:f>
        <x:v>0</x:v>
      </x:c>
      <x:c r="AM253" s="23" t="n">
        <x:f>MAX(0,MIN('Activities'!L253,210)-MAX('Activities'!K253,204))</x:f>
        <x:v>0</x:v>
      </x:c>
      <x:c r="AN253" s="23" t="n">
        <x:f>MAX(0,MIN('Activities'!L253,216)-MAX('Activities'!K253,210))</x:f>
        <x:v>0</x:v>
      </x:c>
      <x:c r="AO253" s="23" t="n">
        <x:f>MAX(0,MIN('Activities'!L253,222)-MAX('Activities'!K253,216))</x:f>
        <x:v>0</x:v>
      </x:c>
      <x:c r="AP253" s="23" t="n">
        <x:f>MAX(0,MIN('Activities'!L253,228)-MAX('Activities'!K253,222))</x:f>
        <x:v>0</x:v>
      </x:c>
      <x:c r="AQ253" s="23" t="n">
        <x:f>MAX(0,MIN('Activities'!L253,234)-MAX('Activities'!K253,228))</x:f>
        <x:v>0</x:v>
      </x:c>
      <x:c r="AR253" s="23" t="n">
        <x:f>MAX(0,MIN('Activities'!L253,240)-MAX('Activities'!K253,234))</x:f>
        <x:v>0</x:v>
      </x:c>
      <x:c r="AS253" s="23" t="n">
        <x:f>MAX(0,MIN('Activities'!L253,246)-MAX('Activities'!K253,240))</x:f>
        <x:v>0</x:v>
      </x:c>
      <x:c r="AT253" s="23" t="n">
        <x:f>MAX(0,MIN('Activities'!L253,252)-MAX('Activities'!K253,246))</x:f>
        <x:v>0</x:v>
      </x:c>
      <x:c r="AU253" s="23" t="n">
        <x:f>MAX(0,MIN('Activities'!L253,258)-MAX('Activities'!K253,252))</x:f>
        <x:v>0</x:v>
      </x:c>
      <x:c r="AV253" s="23" t="n">
        <x:f>MAX(0,MIN('Activities'!L253,264)-MAX('Activities'!K253,258))</x:f>
        <x:v>0</x:v>
      </x:c>
      <x:c r="AW253" s="23" t="n">
        <x:f>MAX(0,MIN('Activities'!L253,270)-MAX('Activities'!K253,264))</x:f>
        <x:v>0</x:v>
      </x:c>
      <x:c r="AX253" s="23" t="n">
        <x:f>MAX(0,MIN('Activities'!L253,276)-MAX('Activities'!K253,270))</x:f>
        <x:v>0</x:v>
      </x:c>
      <x:c r="AY253" s="23" t="n">
        <x:f>MAX(0,MIN('Activities'!L253,282)-MAX('Activities'!K253,276))</x:f>
        <x:v>0</x:v>
      </x:c>
      <x:c r="AZ253" s="23" t="n">
        <x:f>MAX(0,MIN('Activities'!L253,288)-MAX('Activities'!K253,282))</x:f>
        <x:v>0</x:v>
      </x:c>
      <x:c r="BA253" s="23" t="n">
        <x:f>MAX(0,MIN('Activities'!L253,294)-MAX('Activities'!K253,288))</x:f>
        <x:v>0</x:v>
      </x:c>
      <x:c r="BB253" s="23" t="n">
        <x:f>MAX(0,MIN('Activities'!L253,300)-MAX('Activities'!K253,294))</x:f>
        <x:v>0</x:v>
      </x:c>
      <x:c r="BC253" s="23" t="n">
        <x:f>MAX(0,MIN('Activities'!L253,306)-MAX('Activities'!K253,300))</x:f>
        <x:v>0</x:v>
      </x:c>
      <x:c r="BD253" s="23" t="n">
        <x:f>MAX(0,MIN('Activities'!L253,312)-MAX('Activities'!K253,306))</x:f>
        <x:v>0</x:v>
      </x:c>
      <x:c r="BE253" s="23" t="n">
        <x:f>MAX(0,MIN('Activities'!L253,318)-MAX('Activities'!K253,312))</x:f>
        <x:v>0</x:v>
      </x:c>
      <x:c r="BF253" s="23" t="n">
        <x:f>MAX(0,MIN('Activities'!L253,324)-MAX('Activities'!K253,318))</x:f>
        <x:v>0</x:v>
      </x:c>
      <x:c r="BG253" s="23" t="n">
        <x:f>MAX(0,MIN('Activities'!L253,330)-MAX('Activities'!K253,324))</x:f>
        <x:v>0</x:v>
      </x:c>
      <x:c r="BH253" s="23" t="n">
        <x:f>MAX(0,MIN('Activities'!L253,336)-MAX('Activities'!K253,330))</x:f>
        <x:v>0</x:v>
      </x:c>
      <x:c r="BI253" s="23" t="n">
        <x:f>MAX(0,MIN('Activities'!L253,342)-MAX('Activities'!K253,336))</x:f>
        <x:v>0</x:v>
      </x:c>
      <x:c r="BJ253" s="23" t="n">
        <x:f>MAX(0,MIN('Activities'!L253,348)-MAX('Activities'!K253,342))</x:f>
        <x:v>0</x:v>
      </x:c>
      <x:c r="BK253" s="23" t="n">
        <x:f>MAX(0,MIN('Activities'!L253,354)-MAX('Activities'!K253,348))</x:f>
        <x:v>0</x:v>
      </x:c>
      <x:c r="BL253" s="23" t="n">
        <x:f>MAX(0,MIN('Activities'!L253,360)-MAX('Activities'!K253,354))</x:f>
        <x:v>0</x:v>
      </x:c>
      <x:c r="BM253" s="23" t="n">
        <x:f>MAX(0,MIN('Activities'!L253,366)-MAX('Activities'!K253,360))</x:f>
        <x:v>0</x:v>
      </x:c>
      <x:c r="BN253" s="23" t="n">
        <x:f>MAX(0,MIN('Activities'!L253,372)-MAX('Activities'!K253,366))</x:f>
        <x:v>0</x:v>
      </x:c>
      <x:c r="BO253" s="23" t="n">
        <x:f>MAX(0,MIN('Activities'!L253,378)-MAX('Activities'!K253,372))</x:f>
        <x:v>3</x:v>
      </x:c>
      <x:c r="BP253" s="23" t="n">
        <x:f>MAX(0,MIN('Activities'!L253,384)-MAX('Activities'!K253,378))</x:f>
        <x:v>3</x:v>
      </x:c>
      <x:c r="BQ253" s="23" t="n">
        <x:f>MAX(0,MIN('Activities'!L253,390)-MAX('Activities'!K253,384))</x:f>
        <x:v>0</x:v>
      </x:c>
      <x:c r="BR253" s="23" t="n">
        <x:f>MAX(0,MIN('Activities'!L253,396)-MAX('Activities'!K253,390))</x:f>
        <x:v>0</x:v>
      </x:c>
      <x:c r="BS253" s="23" t="n">
        <x:f>MAX(0,MIN('Activities'!L253,402)-MAX('Activities'!K253,396))</x:f>
        <x:v>0</x:v>
      </x:c>
      <x:c r="BT253" s="23" t="n">
        <x:f>MAX(0,MIN('Activities'!L253,408)-MAX('Activities'!K253,402))</x:f>
        <x:v>0</x:v>
      </x:c>
      <x:c r="BU253" s="23" t="n">
        <x:f>MAX(0,MIN('Activities'!L253,414)-MAX('Activities'!K253,408))</x:f>
        <x:v>0</x:v>
      </x:c>
      <x:c r="BV253" s="23" t="n">
        <x:f>MAX(0,MIN('Activities'!L253,420)-MAX('Activities'!K253,414))</x:f>
        <x:v>0</x:v>
      </x:c>
      <x:c r="BW253" s="23" t="n">
        <x:f>MAX(0,MIN('Activities'!L253,426)-MAX('Activities'!K253,420))</x:f>
        <x:v>0</x:v>
      </x:c>
      <x:c r="BX253" s="23" t="n">
        <x:f>MAX(0,MIN('Activities'!L253,432)-MAX('Activities'!K253,426))</x:f>
        <x:v>0</x:v>
      </x:c>
      <x:c r="BY253" s="23" t="n">
        <x:f>MAX(0,MIN('Activities'!L253,438)-MAX('Activities'!K253,432))</x:f>
        <x:v>0</x:v>
      </x:c>
      <x:c r="BZ253" s="23" t="n">
        <x:f>MAX(0,MIN('Activities'!L253,444)-MAX('Activities'!K253,438))</x:f>
        <x:v>0</x:v>
      </x:c>
      <x:c r="CA253" s="23" t="n">
        <x:f>MAX(0,MIN('Activities'!L253,450)-MAX('Activities'!K253,444))</x:f>
        <x:v>0</x:v>
      </x:c>
      <x:c r="CB253" s="23" t="n">
        <x:f>MAX(0,MIN('Activities'!L253,456)-MAX('Activities'!K253,450))</x:f>
        <x:v>0</x:v>
      </x:c>
      <x:c r="CC253" s="23" t="n">
        <x:f>MAX(0,MIN('Activities'!L253,462)-MAX('Activities'!K253,456))</x:f>
        <x:v>0</x:v>
      </x:c>
      <x:c r="CD253" s="23" t="n">
        <x:f>MAX(0,MIN('Activities'!L253,468)-MAX('Activities'!K253,462))</x:f>
        <x:v>0</x:v>
      </x:c>
      <x:c r="CE253" s="23" t="n">
        <x:f>MAX(0,MIN('Activities'!L253,474)-MAX('Activities'!K253,468))</x:f>
        <x:v>0</x:v>
      </x:c>
      <x:c r="CF253" s="23" t="n">
        <x:f>MAX(0,MIN('Activities'!L253,480)-MAX('Activities'!K253,474))</x:f>
        <x:v>0</x:v>
      </x:c>
      <x:c r="CG253" s="23" t="n">
        <x:f>MAX(0,MIN('Activities'!L253,486)-MAX('Activities'!K253,480))</x:f>
        <x:v>0</x:v>
      </x:c>
      <x:c r="CH253" s="23" t="n">
        <x:f>MAX(0,MIN('Activities'!L253,492)-MAX('Activities'!K253,486))</x:f>
        <x:v>0</x:v>
      </x:c>
      <x:c r="CI253" s="23" t="n">
        <x:f>MAX(0,MIN('Activities'!L253,498)-MAX('Activities'!K253,492))</x:f>
        <x:v>0</x:v>
      </x:c>
      <x:c r="CJ253" s="23" t="n">
        <x:f>MAX(0,MIN('Activities'!L253,504)-MAX('Activities'!K253,498))</x:f>
        <x:v>0</x:v>
      </x:c>
      <x:c r="CK253" s="23" t="n">
        <x:f>MAX(0,MIN('Activities'!L253,510)-MAX('Activities'!K253,504))</x:f>
        <x:v>0</x:v>
      </x:c>
      <x:c r="CL253" s="23" t="n">
        <x:f>MAX(0,MIN('Activities'!L253,516)-MAX('Activities'!K253,510))</x:f>
        <x:v>0</x:v>
      </x:c>
      <x:c r="CM253" s="23" t="n">
        <x:f>MAX(0,MIN('Activities'!L253,522)-MAX('Activities'!K253,516))</x:f>
        <x:v>0</x:v>
      </x:c>
      <x:c r="CN253" s="23" t="n">
        <x:f>MAX(0,MIN('Activities'!L253,528)-MAX('Activities'!K253,522))</x:f>
        <x:v>0</x:v>
      </x:c>
      <x:c r="CO253" s="23" t="n">
        <x:f>MAX(0,MIN('Activities'!L253,534)-MAX('Activities'!K253,528))</x:f>
        <x:v>0</x:v>
      </x:c>
      <x:c r="CP253" s="23" t="n">
        <x:f>MAX(0,MIN('Activities'!L253,540)-MAX('Activities'!K253,534))</x:f>
        <x:v>0</x:v>
      </x:c>
      <x:c r="CQ253" s="23" t="n">
        <x:f>MAX(0,MIN('Activities'!L253,546)-MAX('Activities'!K253,540))</x:f>
        <x:v>0</x:v>
      </x:c>
      <x:c r="CR253" s="23" t="n">
        <x:f>MAX(0,MIN('Activities'!L253,552)-MAX('Activities'!K253,546))</x:f>
        <x:v>0</x:v>
      </x:c>
      <x:c r="CS253" s="23" t="n">
        <x:f>MAX(0,MIN('Activities'!L253,558)-MAX('Activities'!K253,552))</x:f>
        <x:v>0</x:v>
      </x:c>
      <x:c r="CT253" s="23" t="n">
        <x:f>MAX(0,MIN('Activities'!L253,564)-MAX('Activities'!K253,558))</x:f>
        <x:v>0</x:v>
      </x:c>
      <x:c r="CU253" s="23" t="n">
        <x:f>MAX(0,MIN('Activities'!L253,570)-MAX('Activities'!K253,564))</x:f>
        <x:v>0</x:v>
      </x:c>
      <x:c r="CV253" s="23" t="n">
        <x:f>MAX(0,MIN('Activities'!L253,576)-MAX('Activities'!K253,570))</x:f>
        <x:v>0</x:v>
      </x:c>
      <x:c r="CW253" s="23" t="n">
        <x:f>MAX(0,MIN('Activities'!L253,582)-MAX('Activities'!K253,576))</x:f>
        <x:v>0</x:v>
      </x:c>
      <x:c r="CX253" s="23" t="n">
        <x:f>MAX(0,MIN('Activities'!L253,588)-MAX('Activities'!K253,582))</x:f>
        <x:v>0</x:v>
      </x:c>
      <x:c r="CY253" s="23" t="n">
        <x:f>MAX(0,MIN('Activities'!L253,594)-MAX('Activities'!K253,588))</x:f>
        <x:v>0</x:v>
      </x:c>
      <x:c r="CZ253" s="23" t="n">
        <x:f>MAX(0,MIN('Activities'!L253,600)-MAX('Activities'!K253,594))</x:f>
        <x:v>0</x:v>
      </x:c>
      <x:c r="DA253" s="23" t="n">
        <x:f>MAX(0,MIN('Activities'!L253,606)-MAX('Activities'!K253,600))</x:f>
        <x:v>0</x:v>
      </x:c>
      <x:c r="DB253" s="23" t="n">
        <x:f>MAX(0,MIN('Activities'!L253,612)-MAX('Activities'!K253,606))</x:f>
        <x:v>0</x:v>
      </x:c>
      <x:c r="DC253" s="23" t="n">
        <x:f>MAX(0,MIN('Activities'!L253,618)-MAX('Activities'!K253,612))</x:f>
        <x:v>0</x:v>
      </x:c>
      <x:c r="DD253" s="23" t="n">
        <x:f>MAX(0,MIN('Activities'!L253,624)-MAX('Activities'!K253,618))</x:f>
        <x:v>0</x:v>
      </x:c>
      <x:c r="DE253" s="23" t="n">
        <x:f>MAX(0,MIN('Activities'!L253,630)-MAX('Activities'!K253,624))</x:f>
        <x:v>0</x:v>
      </x:c>
      <x:c r="DF253" s="23" t="n">
        <x:f>MAX(0,MIN('Activities'!L253,636)-MAX('Activities'!K253,630))</x:f>
        <x:v>0</x:v>
      </x:c>
    </x:row>
    <x:row r="254" ht="23" customHeight="1">
      <x:c r="A254" s="6" t="str">
        <x:v>T2-L08-S</x:v>
      </x:c>
      <x:c r="B254" s="6" t="str">
        <x:v>T2</x:v>
      </x:c>
      <x:c r="C254" s="6" t="str">
        <x:v>Screed and substrate preparation</x:v>
      </x:c>
      <x:c r="D254" s="6" t="str">
        <x:v>Finishes</x:v>
      </x:c>
      <x:c r="E254" s="22" t="n">
        <x:f>MAX(0,MIN('Activities'!L254,6)-MAX('Activities'!K254,0))</x:f>
        <x:v>0</x:v>
      </x:c>
      <x:c r="F254" s="22" t="n">
        <x:f>MAX(0,MIN('Activities'!L254,12)-MAX('Activities'!K254,6))</x:f>
        <x:v>0</x:v>
      </x:c>
      <x:c r="G254" s="22" t="n">
        <x:f>MAX(0,MIN('Activities'!L254,18)-MAX('Activities'!K254,12))</x:f>
        <x:v>0</x:v>
      </x:c>
      <x:c r="H254" s="22" t="n">
        <x:f>MAX(0,MIN('Activities'!L254,24)-MAX('Activities'!K254,18))</x:f>
        <x:v>0</x:v>
      </x:c>
      <x:c r="I254" s="22" t="n">
        <x:f>MAX(0,MIN('Activities'!L254,30)-MAX('Activities'!K254,24))</x:f>
        <x:v>0</x:v>
      </x:c>
      <x:c r="J254" s="22" t="n">
        <x:f>MAX(0,MIN('Activities'!L254,36)-MAX('Activities'!K254,30))</x:f>
        <x:v>0</x:v>
      </x:c>
      <x:c r="K254" s="22" t="n">
        <x:f>MAX(0,MIN('Activities'!L254,42)-MAX('Activities'!K254,36))</x:f>
        <x:v>0</x:v>
      </x:c>
      <x:c r="L254" s="22" t="n">
        <x:f>MAX(0,MIN('Activities'!L254,48)-MAX('Activities'!K254,42))</x:f>
        <x:v>0</x:v>
      </x:c>
      <x:c r="M254" s="22" t="n">
        <x:f>MAX(0,MIN('Activities'!L254,54)-MAX('Activities'!K254,48))</x:f>
        <x:v>0</x:v>
      </x:c>
      <x:c r="N254" s="22" t="n">
        <x:f>MAX(0,MIN('Activities'!L254,60)-MAX('Activities'!K254,54))</x:f>
        <x:v>0</x:v>
      </x:c>
      <x:c r="O254" s="22" t="n">
        <x:f>MAX(0,MIN('Activities'!L254,66)-MAX('Activities'!K254,60))</x:f>
        <x:v>0</x:v>
      </x:c>
      <x:c r="P254" s="22" t="n">
        <x:f>MAX(0,MIN('Activities'!L254,72)-MAX('Activities'!K254,66))</x:f>
        <x:v>0</x:v>
      </x:c>
      <x:c r="Q254" s="22" t="n">
        <x:f>MAX(0,MIN('Activities'!L254,78)-MAX('Activities'!K254,72))</x:f>
        <x:v>0</x:v>
      </x:c>
      <x:c r="R254" s="22" t="n">
        <x:f>MAX(0,MIN('Activities'!L254,84)-MAX('Activities'!K254,78))</x:f>
        <x:v>0</x:v>
      </x:c>
      <x:c r="S254" s="22" t="n">
        <x:f>MAX(0,MIN('Activities'!L254,90)-MAX('Activities'!K254,84))</x:f>
        <x:v>0</x:v>
      </x:c>
      <x:c r="T254" s="22" t="n">
        <x:f>MAX(0,MIN('Activities'!L254,96)-MAX('Activities'!K254,90))</x:f>
        <x:v>0</x:v>
      </x:c>
      <x:c r="U254" s="22" t="n">
        <x:f>MAX(0,MIN('Activities'!L254,102)-MAX('Activities'!K254,96))</x:f>
        <x:v>0</x:v>
      </x:c>
      <x:c r="V254" s="22" t="n">
        <x:f>MAX(0,MIN('Activities'!L254,108)-MAX('Activities'!K254,102))</x:f>
        <x:v>0</x:v>
      </x:c>
      <x:c r="W254" s="22" t="n">
        <x:f>MAX(0,MIN('Activities'!L254,114)-MAX('Activities'!K254,108))</x:f>
        <x:v>0</x:v>
      </x:c>
      <x:c r="X254" s="22" t="n">
        <x:f>MAX(0,MIN('Activities'!L254,120)-MAX('Activities'!K254,114))</x:f>
        <x:v>0</x:v>
      </x:c>
      <x:c r="Y254" s="22" t="n">
        <x:f>MAX(0,MIN('Activities'!L254,126)-MAX('Activities'!K254,120))</x:f>
        <x:v>0</x:v>
      </x:c>
      <x:c r="Z254" s="22" t="n">
        <x:f>MAX(0,MIN('Activities'!L254,132)-MAX('Activities'!K254,126))</x:f>
        <x:v>0</x:v>
      </x:c>
      <x:c r="AA254" s="22" t="n">
        <x:f>MAX(0,MIN('Activities'!L254,138)-MAX('Activities'!K254,132))</x:f>
        <x:v>0</x:v>
      </x:c>
      <x:c r="AB254" s="22" t="n">
        <x:f>MAX(0,MIN('Activities'!L254,144)-MAX('Activities'!K254,138))</x:f>
        <x:v>0</x:v>
      </x:c>
      <x:c r="AC254" s="22" t="n">
        <x:f>MAX(0,MIN('Activities'!L254,150)-MAX('Activities'!K254,144))</x:f>
        <x:v>0</x:v>
      </x:c>
      <x:c r="AD254" s="22" t="n">
        <x:f>MAX(0,MIN('Activities'!L254,156)-MAX('Activities'!K254,150))</x:f>
        <x:v>0</x:v>
      </x:c>
      <x:c r="AE254" s="22" t="n">
        <x:f>MAX(0,MIN('Activities'!L254,162)-MAX('Activities'!K254,156))</x:f>
        <x:v>0</x:v>
      </x:c>
      <x:c r="AF254" s="22" t="n">
        <x:f>MAX(0,MIN('Activities'!L254,168)-MAX('Activities'!K254,162))</x:f>
        <x:v>0</x:v>
      </x:c>
      <x:c r="AG254" s="22" t="n">
        <x:f>MAX(0,MIN('Activities'!L254,174)-MAX('Activities'!K254,168))</x:f>
        <x:v>0</x:v>
      </x:c>
      <x:c r="AH254" s="22" t="n">
        <x:f>MAX(0,MIN('Activities'!L254,180)-MAX('Activities'!K254,174))</x:f>
        <x:v>0</x:v>
      </x:c>
      <x:c r="AI254" s="22" t="n">
        <x:f>MAX(0,MIN('Activities'!L254,186)-MAX('Activities'!K254,180))</x:f>
        <x:v>0</x:v>
      </x:c>
      <x:c r="AJ254" s="22" t="n">
        <x:f>MAX(0,MIN('Activities'!L254,192)-MAX('Activities'!K254,186))</x:f>
        <x:v>0</x:v>
      </x:c>
      <x:c r="AK254" s="22" t="n">
        <x:f>MAX(0,MIN('Activities'!L254,198)-MAX('Activities'!K254,192))</x:f>
        <x:v>0</x:v>
      </x:c>
      <x:c r="AL254" s="22" t="n">
        <x:f>MAX(0,MIN('Activities'!L254,204)-MAX('Activities'!K254,198))</x:f>
        <x:v>0</x:v>
      </x:c>
      <x:c r="AM254" s="22" t="n">
        <x:f>MAX(0,MIN('Activities'!L254,210)-MAX('Activities'!K254,204))</x:f>
        <x:v>0</x:v>
      </x:c>
      <x:c r="AN254" s="22" t="n">
        <x:f>MAX(0,MIN('Activities'!L254,216)-MAX('Activities'!K254,210))</x:f>
        <x:v>0</x:v>
      </x:c>
      <x:c r="AO254" s="22" t="n">
        <x:f>MAX(0,MIN('Activities'!L254,222)-MAX('Activities'!K254,216))</x:f>
        <x:v>0</x:v>
      </x:c>
      <x:c r="AP254" s="22" t="n">
        <x:f>MAX(0,MIN('Activities'!L254,228)-MAX('Activities'!K254,222))</x:f>
        <x:v>0</x:v>
      </x:c>
      <x:c r="AQ254" s="22" t="n">
        <x:f>MAX(0,MIN('Activities'!L254,234)-MAX('Activities'!K254,228))</x:f>
        <x:v>0</x:v>
      </x:c>
      <x:c r="AR254" s="22" t="n">
        <x:f>MAX(0,MIN('Activities'!L254,240)-MAX('Activities'!K254,234))</x:f>
        <x:v>0</x:v>
      </x:c>
      <x:c r="AS254" s="22" t="n">
        <x:f>MAX(0,MIN('Activities'!L254,246)-MAX('Activities'!K254,240))</x:f>
        <x:v>0</x:v>
      </x:c>
      <x:c r="AT254" s="22" t="n">
        <x:f>MAX(0,MIN('Activities'!L254,252)-MAX('Activities'!K254,246))</x:f>
        <x:v>0</x:v>
      </x:c>
      <x:c r="AU254" s="22" t="n">
        <x:f>MAX(0,MIN('Activities'!L254,258)-MAX('Activities'!K254,252))</x:f>
        <x:v>0</x:v>
      </x:c>
      <x:c r="AV254" s="22" t="n">
        <x:f>MAX(0,MIN('Activities'!L254,264)-MAX('Activities'!K254,258))</x:f>
        <x:v>0</x:v>
      </x:c>
      <x:c r="AW254" s="22" t="n">
        <x:f>MAX(0,MIN('Activities'!L254,270)-MAX('Activities'!K254,264))</x:f>
        <x:v>0</x:v>
      </x:c>
      <x:c r="AX254" s="22" t="n">
        <x:f>MAX(0,MIN('Activities'!L254,276)-MAX('Activities'!K254,270))</x:f>
        <x:v>0</x:v>
      </x:c>
      <x:c r="AY254" s="22" t="n">
        <x:f>MAX(0,MIN('Activities'!L254,282)-MAX('Activities'!K254,276))</x:f>
        <x:v>0</x:v>
      </x:c>
      <x:c r="AZ254" s="22" t="n">
        <x:f>MAX(0,MIN('Activities'!L254,288)-MAX('Activities'!K254,282))</x:f>
        <x:v>0</x:v>
      </x:c>
      <x:c r="BA254" s="22" t="n">
        <x:f>MAX(0,MIN('Activities'!L254,294)-MAX('Activities'!K254,288))</x:f>
        <x:v>0</x:v>
      </x:c>
      <x:c r="BB254" s="22" t="n">
        <x:f>MAX(0,MIN('Activities'!L254,300)-MAX('Activities'!K254,294))</x:f>
        <x:v>0</x:v>
      </x:c>
      <x:c r="BC254" s="22" t="n">
        <x:f>MAX(0,MIN('Activities'!L254,306)-MAX('Activities'!K254,300))</x:f>
        <x:v>0</x:v>
      </x:c>
      <x:c r="BD254" s="22" t="n">
        <x:f>MAX(0,MIN('Activities'!L254,312)-MAX('Activities'!K254,306))</x:f>
        <x:v>0</x:v>
      </x:c>
      <x:c r="BE254" s="22" t="n">
        <x:f>MAX(0,MIN('Activities'!L254,318)-MAX('Activities'!K254,312))</x:f>
        <x:v>0</x:v>
      </x:c>
      <x:c r="BF254" s="22" t="n">
        <x:f>MAX(0,MIN('Activities'!L254,324)-MAX('Activities'!K254,318))</x:f>
        <x:v>0</x:v>
      </x:c>
      <x:c r="BG254" s="22" t="n">
        <x:f>MAX(0,MIN('Activities'!L254,330)-MAX('Activities'!K254,324))</x:f>
        <x:v>0</x:v>
      </x:c>
      <x:c r="BH254" s="22" t="n">
        <x:f>MAX(0,MIN('Activities'!L254,336)-MAX('Activities'!K254,330))</x:f>
        <x:v>0</x:v>
      </x:c>
      <x:c r="BI254" s="22" t="n">
        <x:f>MAX(0,MIN('Activities'!L254,342)-MAX('Activities'!K254,336))</x:f>
        <x:v>0</x:v>
      </x:c>
      <x:c r="BJ254" s="22" t="n">
        <x:f>MAX(0,MIN('Activities'!L254,348)-MAX('Activities'!K254,342))</x:f>
        <x:v>0</x:v>
      </x:c>
      <x:c r="BK254" s="22" t="n">
        <x:f>MAX(0,MIN('Activities'!L254,354)-MAX('Activities'!K254,348))</x:f>
        <x:v>0</x:v>
      </x:c>
      <x:c r="BL254" s="22" t="n">
        <x:f>MAX(0,MIN('Activities'!L254,360)-MAX('Activities'!K254,354))</x:f>
        <x:v>0</x:v>
      </x:c>
      <x:c r="BM254" s="22" t="n">
        <x:f>MAX(0,MIN('Activities'!L254,366)-MAX('Activities'!K254,360))</x:f>
        <x:v>0</x:v>
      </x:c>
      <x:c r="BN254" s="22" t="n">
        <x:f>MAX(0,MIN('Activities'!L254,372)-MAX('Activities'!K254,366))</x:f>
        <x:v>0</x:v>
      </x:c>
      <x:c r="BO254" s="22" t="n">
        <x:f>MAX(0,MIN('Activities'!L254,378)-MAX('Activities'!K254,372))</x:f>
        <x:v>0</x:v>
      </x:c>
      <x:c r="BP254" s="22" t="n">
        <x:f>MAX(0,MIN('Activities'!L254,384)-MAX('Activities'!K254,378))</x:f>
        <x:v>1</x:v>
      </x:c>
      <x:c r="BQ254" s="22" t="n">
        <x:f>MAX(0,MIN('Activities'!L254,390)-MAX('Activities'!K254,384))</x:f>
        <x:v>2</x:v>
      </x:c>
      <x:c r="BR254" s="22" t="n">
        <x:f>MAX(0,MIN('Activities'!L254,396)-MAX('Activities'!K254,390))</x:f>
        <x:v>0</x:v>
      </x:c>
      <x:c r="BS254" s="22" t="n">
        <x:f>MAX(0,MIN('Activities'!L254,402)-MAX('Activities'!K254,396))</x:f>
        <x:v>0</x:v>
      </x:c>
      <x:c r="BT254" s="22" t="n">
        <x:f>MAX(0,MIN('Activities'!L254,408)-MAX('Activities'!K254,402))</x:f>
        <x:v>0</x:v>
      </x:c>
      <x:c r="BU254" s="22" t="n">
        <x:f>MAX(0,MIN('Activities'!L254,414)-MAX('Activities'!K254,408))</x:f>
        <x:v>0</x:v>
      </x:c>
      <x:c r="BV254" s="22" t="n">
        <x:f>MAX(0,MIN('Activities'!L254,420)-MAX('Activities'!K254,414))</x:f>
        <x:v>0</x:v>
      </x:c>
      <x:c r="BW254" s="22" t="n">
        <x:f>MAX(0,MIN('Activities'!L254,426)-MAX('Activities'!K254,420))</x:f>
        <x:v>0</x:v>
      </x:c>
      <x:c r="BX254" s="22" t="n">
        <x:f>MAX(0,MIN('Activities'!L254,432)-MAX('Activities'!K254,426))</x:f>
        <x:v>0</x:v>
      </x:c>
      <x:c r="BY254" s="22" t="n">
        <x:f>MAX(0,MIN('Activities'!L254,438)-MAX('Activities'!K254,432))</x:f>
        <x:v>0</x:v>
      </x:c>
      <x:c r="BZ254" s="22" t="n">
        <x:f>MAX(0,MIN('Activities'!L254,444)-MAX('Activities'!K254,438))</x:f>
        <x:v>0</x:v>
      </x:c>
      <x:c r="CA254" s="22" t="n">
        <x:f>MAX(0,MIN('Activities'!L254,450)-MAX('Activities'!K254,444))</x:f>
        <x:v>0</x:v>
      </x:c>
      <x:c r="CB254" s="22" t="n">
        <x:f>MAX(0,MIN('Activities'!L254,456)-MAX('Activities'!K254,450))</x:f>
        <x:v>0</x:v>
      </x:c>
      <x:c r="CC254" s="22" t="n">
        <x:f>MAX(0,MIN('Activities'!L254,462)-MAX('Activities'!K254,456))</x:f>
        <x:v>0</x:v>
      </x:c>
      <x:c r="CD254" s="22" t="n">
        <x:f>MAX(0,MIN('Activities'!L254,468)-MAX('Activities'!K254,462))</x:f>
        <x:v>0</x:v>
      </x:c>
      <x:c r="CE254" s="22" t="n">
        <x:f>MAX(0,MIN('Activities'!L254,474)-MAX('Activities'!K254,468))</x:f>
        <x:v>0</x:v>
      </x:c>
      <x:c r="CF254" s="22" t="n">
        <x:f>MAX(0,MIN('Activities'!L254,480)-MAX('Activities'!K254,474))</x:f>
        <x:v>0</x:v>
      </x:c>
      <x:c r="CG254" s="22" t="n">
        <x:f>MAX(0,MIN('Activities'!L254,486)-MAX('Activities'!K254,480))</x:f>
        <x:v>0</x:v>
      </x:c>
      <x:c r="CH254" s="22" t="n">
        <x:f>MAX(0,MIN('Activities'!L254,492)-MAX('Activities'!K254,486))</x:f>
        <x:v>0</x:v>
      </x:c>
      <x:c r="CI254" s="22" t="n">
        <x:f>MAX(0,MIN('Activities'!L254,498)-MAX('Activities'!K254,492))</x:f>
        <x:v>0</x:v>
      </x:c>
      <x:c r="CJ254" s="22" t="n">
        <x:f>MAX(0,MIN('Activities'!L254,504)-MAX('Activities'!K254,498))</x:f>
        <x:v>0</x:v>
      </x:c>
      <x:c r="CK254" s="22" t="n">
        <x:f>MAX(0,MIN('Activities'!L254,510)-MAX('Activities'!K254,504))</x:f>
        <x:v>0</x:v>
      </x:c>
      <x:c r="CL254" s="22" t="n">
        <x:f>MAX(0,MIN('Activities'!L254,516)-MAX('Activities'!K254,510))</x:f>
        <x:v>0</x:v>
      </x:c>
      <x:c r="CM254" s="22" t="n">
        <x:f>MAX(0,MIN('Activities'!L254,522)-MAX('Activities'!K254,516))</x:f>
        <x:v>0</x:v>
      </x:c>
      <x:c r="CN254" s="22" t="n">
        <x:f>MAX(0,MIN('Activities'!L254,528)-MAX('Activities'!K254,522))</x:f>
        <x:v>0</x:v>
      </x:c>
      <x:c r="CO254" s="22" t="n">
        <x:f>MAX(0,MIN('Activities'!L254,534)-MAX('Activities'!K254,528))</x:f>
        <x:v>0</x:v>
      </x:c>
      <x:c r="CP254" s="22" t="n">
        <x:f>MAX(0,MIN('Activities'!L254,540)-MAX('Activities'!K254,534))</x:f>
        <x:v>0</x:v>
      </x:c>
      <x:c r="CQ254" s="22" t="n">
        <x:f>MAX(0,MIN('Activities'!L254,546)-MAX('Activities'!K254,540))</x:f>
        <x:v>0</x:v>
      </x:c>
      <x:c r="CR254" s="22" t="n">
        <x:f>MAX(0,MIN('Activities'!L254,552)-MAX('Activities'!K254,546))</x:f>
        <x:v>0</x:v>
      </x:c>
      <x:c r="CS254" s="22" t="n">
        <x:f>MAX(0,MIN('Activities'!L254,558)-MAX('Activities'!K254,552))</x:f>
        <x:v>0</x:v>
      </x:c>
      <x:c r="CT254" s="22" t="n">
        <x:f>MAX(0,MIN('Activities'!L254,564)-MAX('Activities'!K254,558))</x:f>
        <x:v>0</x:v>
      </x:c>
      <x:c r="CU254" s="22" t="n">
        <x:f>MAX(0,MIN('Activities'!L254,570)-MAX('Activities'!K254,564))</x:f>
        <x:v>0</x:v>
      </x:c>
      <x:c r="CV254" s="22" t="n">
        <x:f>MAX(0,MIN('Activities'!L254,576)-MAX('Activities'!K254,570))</x:f>
        <x:v>0</x:v>
      </x:c>
      <x:c r="CW254" s="22" t="n">
        <x:f>MAX(0,MIN('Activities'!L254,582)-MAX('Activities'!K254,576))</x:f>
        <x:v>0</x:v>
      </x:c>
      <x:c r="CX254" s="22" t="n">
        <x:f>MAX(0,MIN('Activities'!L254,588)-MAX('Activities'!K254,582))</x:f>
        <x:v>0</x:v>
      </x:c>
      <x:c r="CY254" s="22" t="n">
        <x:f>MAX(0,MIN('Activities'!L254,594)-MAX('Activities'!K254,588))</x:f>
        <x:v>0</x:v>
      </x:c>
      <x:c r="CZ254" s="22" t="n">
        <x:f>MAX(0,MIN('Activities'!L254,600)-MAX('Activities'!K254,594))</x:f>
        <x:v>0</x:v>
      </x:c>
      <x:c r="DA254" s="22" t="n">
        <x:f>MAX(0,MIN('Activities'!L254,606)-MAX('Activities'!K254,600))</x:f>
        <x:v>0</x:v>
      </x:c>
      <x:c r="DB254" s="22" t="n">
        <x:f>MAX(0,MIN('Activities'!L254,612)-MAX('Activities'!K254,606))</x:f>
        <x:v>0</x:v>
      </x:c>
      <x:c r="DC254" s="22" t="n">
        <x:f>MAX(0,MIN('Activities'!L254,618)-MAX('Activities'!K254,612))</x:f>
        <x:v>0</x:v>
      </x:c>
      <x:c r="DD254" s="22" t="n">
        <x:f>MAX(0,MIN('Activities'!L254,624)-MAX('Activities'!K254,618))</x:f>
        <x:v>0</x:v>
      </x:c>
      <x:c r="DE254" s="22" t="n">
        <x:f>MAX(0,MIN('Activities'!L254,630)-MAX('Activities'!K254,624))</x:f>
        <x:v>0</x:v>
      </x:c>
      <x:c r="DF254" s="22" t="n">
        <x:f>MAX(0,MIN('Activities'!L254,636)-MAX('Activities'!K254,630))</x:f>
        <x:v>0</x:v>
      </x:c>
    </x:row>
    <x:row r="255" ht="23" customHeight="1">
      <x:c r="A255" s="1" t="str">
        <x:v>T2-L08-T</x:v>
      </x:c>
      <x:c r="B255" s="1" t="str">
        <x:v>T2</x:v>
      </x:c>
      <x:c r="C255" s="1" t="str">
        <x:v>Floor finishes and skirtings</x:v>
      </x:c>
      <x:c r="D255" s="1" t="str">
        <x:v>Finishes</x:v>
      </x:c>
      <x:c r="E255" s="23" t="n">
        <x:f>MAX(0,MIN('Activities'!L255,6)-MAX('Activities'!K255,0))</x:f>
        <x:v>0</x:v>
      </x:c>
      <x:c r="F255" s="23" t="n">
        <x:f>MAX(0,MIN('Activities'!L255,12)-MAX('Activities'!K255,6))</x:f>
        <x:v>0</x:v>
      </x:c>
      <x:c r="G255" s="23" t="n">
        <x:f>MAX(0,MIN('Activities'!L255,18)-MAX('Activities'!K255,12))</x:f>
        <x:v>0</x:v>
      </x:c>
      <x:c r="H255" s="23" t="n">
        <x:f>MAX(0,MIN('Activities'!L255,24)-MAX('Activities'!K255,18))</x:f>
        <x:v>0</x:v>
      </x:c>
      <x:c r="I255" s="23" t="n">
        <x:f>MAX(0,MIN('Activities'!L255,30)-MAX('Activities'!K255,24))</x:f>
        <x:v>0</x:v>
      </x:c>
      <x:c r="J255" s="23" t="n">
        <x:f>MAX(0,MIN('Activities'!L255,36)-MAX('Activities'!K255,30))</x:f>
        <x:v>0</x:v>
      </x:c>
      <x:c r="K255" s="23" t="n">
        <x:f>MAX(0,MIN('Activities'!L255,42)-MAX('Activities'!K255,36))</x:f>
        <x:v>0</x:v>
      </x:c>
      <x:c r="L255" s="23" t="n">
        <x:f>MAX(0,MIN('Activities'!L255,48)-MAX('Activities'!K255,42))</x:f>
        <x:v>0</x:v>
      </x:c>
      <x:c r="M255" s="23" t="n">
        <x:f>MAX(0,MIN('Activities'!L255,54)-MAX('Activities'!K255,48))</x:f>
        <x:v>0</x:v>
      </x:c>
      <x:c r="N255" s="23" t="n">
        <x:f>MAX(0,MIN('Activities'!L255,60)-MAX('Activities'!K255,54))</x:f>
        <x:v>0</x:v>
      </x:c>
      <x:c r="O255" s="23" t="n">
        <x:f>MAX(0,MIN('Activities'!L255,66)-MAX('Activities'!K255,60))</x:f>
        <x:v>0</x:v>
      </x:c>
      <x:c r="P255" s="23" t="n">
        <x:f>MAX(0,MIN('Activities'!L255,72)-MAX('Activities'!K255,66))</x:f>
        <x:v>0</x:v>
      </x:c>
      <x:c r="Q255" s="23" t="n">
        <x:f>MAX(0,MIN('Activities'!L255,78)-MAX('Activities'!K255,72))</x:f>
        <x:v>0</x:v>
      </x:c>
      <x:c r="R255" s="23" t="n">
        <x:f>MAX(0,MIN('Activities'!L255,84)-MAX('Activities'!K255,78))</x:f>
        <x:v>0</x:v>
      </x:c>
      <x:c r="S255" s="23" t="n">
        <x:f>MAX(0,MIN('Activities'!L255,90)-MAX('Activities'!K255,84))</x:f>
        <x:v>0</x:v>
      </x:c>
      <x:c r="T255" s="23" t="n">
        <x:f>MAX(0,MIN('Activities'!L255,96)-MAX('Activities'!K255,90))</x:f>
        <x:v>0</x:v>
      </x:c>
      <x:c r="U255" s="23" t="n">
        <x:f>MAX(0,MIN('Activities'!L255,102)-MAX('Activities'!K255,96))</x:f>
        <x:v>0</x:v>
      </x:c>
      <x:c r="V255" s="23" t="n">
        <x:f>MAX(0,MIN('Activities'!L255,108)-MAX('Activities'!K255,102))</x:f>
        <x:v>0</x:v>
      </x:c>
      <x:c r="W255" s="23" t="n">
        <x:f>MAX(0,MIN('Activities'!L255,114)-MAX('Activities'!K255,108))</x:f>
        <x:v>0</x:v>
      </x:c>
      <x:c r="X255" s="23" t="n">
        <x:f>MAX(0,MIN('Activities'!L255,120)-MAX('Activities'!K255,114))</x:f>
        <x:v>0</x:v>
      </x:c>
      <x:c r="Y255" s="23" t="n">
        <x:f>MAX(0,MIN('Activities'!L255,126)-MAX('Activities'!K255,120))</x:f>
        <x:v>0</x:v>
      </x:c>
      <x:c r="Z255" s="23" t="n">
        <x:f>MAX(0,MIN('Activities'!L255,132)-MAX('Activities'!K255,126))</x:f>
        <x:v>0</x:v>
      </x:c>
      <x:c r="AA255" s="23" t="n">
        <x:f>MAX(0,MIN('Activities'!L255,138)-MAX('Activities'!K255,132))</x:f>
        <x:v>0</x:v>
      </x:c>
      <x:c r="AB255" s="23" t="n">
        <x:f>MAX(0,MIN('Activities'!L255,144)-MAX('Activities'!K255,138))</x:f>
        <x:v>0</x:v>
      </x:c>
      <x:c r="AC255" s="23" t="n">
        <x:f>MAX(0,MIN('Activities'!L255,150)-MAX('Activities'!K255,144))</x:f>
        <x:v>0</x:v>
      </x:c>
      <x:c r="AD255" s="23" t="n">
        <x:f>MAX(0,MIN('Activities'!L255,156)-MAX('Activities'!K255,150))</x:f>
        <x:v>0</x:v>
      </x:c>
      <x:c r="AE255" s="23" t="n">
        <x:f>MAX(0,MIN('Activities'!L255,162)-MAX('Activities'!K255,156))</x:f>
        <x:v>0</x:v>
      </x:c>
      <x:c r="AF255" s="23" t="n">
        <x:f>MAX(0,MIN('Activities'!L255,168)-MAX('Activities'!K255,162))</x:f>
        <x:v>0</x:v>
      </x:c>
      <x:c r="AG255" s="23" t="n">
        <x:f>MAX(0,MIN('Activities'!L255,174)-MAX('Activities'!K255,168))</x:f>
        <x:v>0</x:v>
      </x:c>
      <x:c r="AH255" s="23" t="n">
        <x:f>MAX(0,MIN('Activities'!L255,180)-MAX('Activities'!K255,174))</x:f>
        <x:v>0</x:v>
      </x:c>
      <x:c r="AI255" s="23" t="n">
        <x:f>MAX(0,MIN('Activities'!L255,186)-MAX('Activities'!K255,180))</x:f>
        <x:v>0</x:v>
      </x:c>
      <x:c r="AJ255" s="23" t="n">
        <x:f>MAX(0,MIN('Activities'!L255,192)-MAX('Activities'!K255,186))</x:f>
        <x:v>0</x:v>
      </x:c>
      <x:c r="AK255" s="23" t="n">
        <x:f>MAX(0,MIN('Activities'!L255,198)-MAX('Activities'!K255,192))</x:f>
        <x:v>0</x:v>
      </x:c>
      <x:c r="AL255" s="23" t="n">
        <x:f>MAX(0,MIN('Activities'!L255,204)-MAX('Activities'!K255,198))</x:f>
        <x:v>0</x:v>
      </x:c>
      <x:c r="AM255" s="23" t="n">
        <x:f>MAX(0,MIN('Activities'!L255,210)-MAX('Activities'!K255,204))</x:f>
        <x:v>0</x:v>
      </x:c>
      <x:c r="AN255" s="23" t="n">
        <x:f>MAX(0,MIN('Activities'!L255,216)-MAX('Activities'!K255,210))</x:f>
        <x:v>0</x:v>
      </x:c>
      <x:c r="AO255" s="23" t="n">
        <x:f>MAX(0,MIN('Activities'!L255,222)-MAX('Activities'!K255,216))</x:f>
        <x:v>0</x:v>
      </x:c>
      <x:c r="AP255" s="23" t="n">
        <x:f>MAX(0,MIN('Activities'!L255,228)-MAX('Activities'!K255,222))</x:f>
        <x:v>0</x:v>
      </x:c>
      <x:c r="AQ255" s="23" t="n">
        <x:f>MAX(0,MIN('Activities'!L255,234)-MAX('Activities'!K255,228))</x:f>
        <x:v>0</x:v>
      </x:c>
      <x:c r="AR255" s="23" t="n">
        <x:f>MAX(0,MIN('Activities'!L255,240)-MAX('Activities'!K255,234))</x:f>
        <x:v>0</x:v>
      </x:c>
      <x:c r="AS255" s="23" t="n">
        <x:f>MAX(0,MIN('Activities'!L255,246)-MAX('Activities'!K255,240))</x:f>
        <x:v>0</x:v>
      </x:c>
      <x:c r="AT255" s="23" t="n">
        <x:f>MAX(0,MIN('Activities'!L255,252)-MAX('Activities'!K255,246))</x:f>
        <x:v>0</x:v>
      </x:c>
      <x:c r="AU255" s="23" t="n">
        <x:f>MAX(0,MIN('Activities'!L255,258)-MAX('Activities'!K255,252))</x:f>
        <x:v>0</x:v>
      </x:c>
      <x:c r="AV255" s="23" t="n">
        <x:f>MAX(0,MIN('Activities'!L255,264)-MAX('Activities'!K255,258))</x:f>
        <x:v>0</x:v>
      </x:c>
      <x:c r="AW255" s="23" t="n">
        <x:f>MAX(0,MIN('Activities'!L255,270)-MAX('Activities'!K255,264))</x:f>
        <x:v>0</x:v>
      </x:c>
      <x:c r="AX255" s="23" t="n">
        <x:f>MAX(0,MIN('Activities'!L255,276)-MAX('Activities'!K255,270))</x:f>
        <x:v>0</x:v>
      </x:c>
      <x:c r="AY255" s="23" t="n">
        <x:f>MAX(0,MIN('Activities'!L255,282)-MAX('Activities'!K255,276))</x:f>
        <x:v>0</x:v>
      </x:c>
      <x:c r="AZ255" s="23" t="n">
        <x:f>MAX(0,MIN('Activities'!L255,288)-MAX('Activities'!K255,282))</x:f>
        <x:v>0</x:v>
      </x:c>
      <x:c r="BA255" s="23" t="n">
        <x:f>MAX(0,MIN('Activities'!L255,294)-MAX('Activities'!K255,288))</x:f>
        <x:v>0</x:v>
      </x:c>
      <x:c r="BB255" s="23" t="n">
        <x:f>MAX(0,MIN('Activities'!L255,300)-MAX('Activities'!K255,294))</x:f>
        <x:v>0</x:v>
      </x:c>
      <x:c r="BC255" s="23" t="n">
        <x:f>MAX(0,MIN('Activities'!L255,306)-MAX('Activities'!K255,300))</x:f>
        <x:v>0</x:v>
      </x:c>
      <x:c r="BD255" s="23" t="n">
        <x:f>MAX(0,MIN('Activities'!L255,312)-MAX('Activities'!K255,306))</x:f>
        <x:v>0</x:v>
      </x:c>
      <x:c r="BE255" s="23" t="n">
        <x:f>MAX(0,MIN('Activities'!L255,318)-MAX('Activities'!K255,312))</x:f>
        <x:v>0</x:v>
      </x:c>
      <x:c r="BF255" s="23" t="n">
        <x:f>MAX(0,MIN('Activities'!L255,324)-MAX('Activities'!K255,318))</x:f>
        <x:v>0</x:v>
      </x:c>
      <x:c r="BG255" s="23" t="n">
        <x:f>MAX(0,MIN('Activities'!L255,330)-MAX('Activities'!K255,324))</x:f>
        <x:v>0</x:v>
      </x:c>
      <x:c r="BH255" s="23" t="n">
        <x:f>MAX(0,MIN('Activities'!L255,336)-MAX('Activities'!K255,330))</x:f>
        <x:v>0</x:v>
      </x:c>
      <x:c r="BI255" s="23" t="n">
        <x:f>MAX(0,MIN('Activities'!L255,342)-MAX('Activities'!K255,336))</x:f>
        <x:v>0</x:v>
      </x:c>
      <x:c r="BJ255" s="23" t="n">
        <x:f>MAX(0,MIN('Activities'!L255,348)-MAX('Activities'!K255,342))</x:f>
        <x:v>0</x:v>
      </x:c>
      <x:c r="BK255" s="23" t="n">
        <x:f>MAX(0,MIN('Activities'!L255,354)-MAX('Activities'!K255,348))</x:f>
        <x:v>0</x:v>
      </x:c>
      <x:c r="BL255" s="23" t="n">
        <x:f>MAX(0,MIN('Activities'!L255,360)-MAX('Activities'!K255,354))</x:f>
        <x:v>0</x:v>
      </x:c>
      <x:c r="BM255" s="23" t="n">
        <x:f>MAX(0,MIN('Activities'!L255,366)-MAX('Activities'!K255,360))</x:f>
        <x:v>0</x:v>
      </x:c>
      <x:c r="BN255" s="23" t="n">
        <x:f>MAX(0,MIN('Activities'!L255,372)-MAX('Activities'!K255,366))</x:f>
        <x:v>0</x:v>
      </x:c>
      <x:c r="BO255" s="23" t="n">
        <x:f>MAX(0,MIN('Activities'!L255,378)-MAX('Activities'!K255,372))</x:f>
        <x:v>0</x:v>
      </x:c>
      <x:c r="BP255" s="23" t="n">
        <x:f>MAX(0,MIN('Activities'!L255,384)-MAX('Activities'!K255,378))</x:f>
        <x:v>0</x:v>
      </x:c>
      <x:c r="BQ255" s="23" t="n">
        <x:f>MAX(0,MIN('Activities'!L255,390)-MAX('Activities'!K255,384))</x:f>
        <x:v>0</x:v>
      </x:c>
      <x:c r="BR255" s="23" t="n">
        <x:f>MAX(0,MIN('Activities'!L255,396)-MAX('Activities'!K255,390))</x:f>
        <x:v>0</x:v>
      </x:c>
      <x:c r="BS255" s="23" t="n">
        <x:f>MAX(0,MIN('Activities'!L255,402)-MAX('Activities'!K255,396))</x:f>
        <x:v>0</x:v>
      </x:c>
      <x:c r="BT255" s="23" t="n">
        <x:f>MAX(0,MIN('Activities'!L255,408)-MAX('Activities'!K255,402))</x:f>
        <x:v>0</x:v>
      </x:c>
      <x:c r="BU255" s="23" t="n">
        <x:f>MAX(0,MIN('Activities'!L255,414)-MAX('Activities'!K255,408))</x:f>
        <x:v>1</x:v>
      </x:c>
      <x:c r="BV255" s="23" t="n">
        <x:f>MAX(0,MIN('Activities'!L255,420)-MAX('Activities'!K255,414))</x:f>
        <x:v>5</x:v>
      </x:c>
      <x:c r="BW255" s="23" t="n">
        <x:f>MAX(0,MIN('Activities'!L255,426)-MAX('Activities'!K255,420))</x:f>
        <x:v>0</x:v>
      </x:c>
      <x:c r="BX255" s="23" t="n">
        <x:f>MAX(0,MIN('Activities'!L255,432)-MAX('Activities'!K255,426))</x:f>
        <x:v>0</x:v>
      </x:c>
      <x:c r="BY255" s="23" t="n">
        <x:f>MAX(0,MIN('Activities'!L255,438)-MAX('Activities'!K255,432))</x:f>
        <x:v>0</x:v>
      </x:c>
      <x:c r="BZ255" s="23" t="n">
        <x:f>MAX(0,MIN('Activities'!L255,444)-MAX('Activities'!K255,438))</x:f>
        <x:v>0</x:v>
      </x:c>
      <x:c r="CA255" s="23" t="n">
        <x:f>MAX(0,MIN('Activities'!L255,450)-MAX('Activities'!K255,444))</x:f>
        <x:v>0</x:v>
      </x:c>
      <x:c r="CB255" s="23" t="n">
        <x:f>MAX(0,MIN('Activities'!L255,456)-MAX('Activities'!K255,450))</x:f>
        <x:v>0</x:v>
      </x:c>
      <x:c r="CC255" s="23" t="n">
        <x:f>MAX(0,MIN('Activities'!L255,462)-MAX('Activities'!K255,456))</x:f>
        <x:v>0</x:v>
      </x:c>
      <x:c r="CD255" s="23" t="n">
        <x:f>MAX(0,MIN('Activities'!L255,468)-MAX('Activities'!K255,462))</x:f>
        <x:v>0</x:v>
      </x:c>
      <x:c r="CE255" s="23" t="n">
        <x:f>MAX(0,MIN('Activities'!L255,474)-MAX('Activities'!K255,468))</x:f>
        <x:v>0</x:v>
      </x:c>
      <x:c r="CF255" s="23" t="n">
        <x:f>MAX(0,MIN('Activities'!L255,480)-MAX('Activities'!K255,474))</x:f>
        <x:v>0</x:v>
      </x:c>
      <x:c r="CG255" s="23" t="n">
        <x:f>MAX(0,MIN('Activities'!L255,486)-MAX('Activities'!K255,480))</x:f>
        <x:v>0</x:v>
      </x:c>
      <x:c r="CH255" s="23" t="n">
        <x:f>MAX(0,MIN('Activities'!L255,492)-MAX('Activities'!K255,486))</x:f>
        <x:v>0</x:v>
      </x:c>
      <x:c r="CI255" s="23" t="n">
        <x:f>MAX(0,MIN('Activities'!L255,498)-MAX('Activities'!K255,492))</x:f>
        <x:v>0</x:v>
      </x:c>
      <x:c r="CJ255" s="23" t="n">
        <x:f>MAX(0,MIN('Activities'!L255,504)-MAX('Activities'!K255,498))</x:f>
        <x:v>0</x:v>
      </x:c>
      <x:c r="CK255" s="23" t="n">
        <x:f>MAX(0,MIN('Activities'!L255,510)-MAX('Activities'!K255,504))</x:f>
        <x:v>0</x:v>
      </x:c>
      <x:c r="CL255" s="23" t="n">
        <x:f>MAX(0,MIN('Activities'!L255,516)-MAX('Activities'!K255,510))</x:f>
        <x:v>0</x:v>
      </x:c>
      <x:c r="CM255" s="23" t="n">
        <x:f>MAX(0,MIN('Activities'!L255,522)-MAX('Activities'!K255,516))</x:f>
        <x:v>0</x:v>
      </x:c>
      <x:c r="CN255" s="23" t="n">
        <x:f>MAX(0,MIN('Activities'!L255,528)-MAX('Activities'!K255,522))</x:f>
        <x:v>0</x:v>
      </x:c>
      <x:c r="CO255" s="23" t="n">
        <x:f>MAX(0,MIN('Activities'!L255,534)-MAX('Activities'!K255,528))</x:f>
        <x:v>0</x:v>
      </x:c>
      <x:c r="CP255" s="23" t="n">
        <x:f>MAX(0,MIN('Activities'!L255,540)-MAX('Activities'!K255,534))</x:f>
        <x:v>0</x:v>
      </x:c>
      <x:c r="CQ255" s="23" t="n">
        <x:f>MAX(0,MIN('Activities'!L255,546)-MAX('Activities'!K255,540))</x:f>
        <x:v>0</x:v>
      </x:c>
      <x:c r="CR255" s="23" t="n">
        <x:f>MAX(0,MIN('Activities'!L255,552)-MAX('Activities'!K255,546))</x:f>
        <x:v>0</x:v>
      </x:c>
      <x:c r="CS255" s="23" t="n">
        <x:f>MAX(0,MIN('Activities'!L255,558)-MAX('Activities'!K255,552))</x:f>
        <x:v>0</x:v>
      </x:c>
      <x:c r="CT255" s="23" t="n">
        <x:f>MAX(0,MIN('Activities'!L255,564)-MAX('Activities'!K255,558))</x:f>
        <x:v>0</x:v>
      </x:c>
      <x:c r="CU255" s="23" t="n">
        <x:f>MAX(0,MIN('Activities'!L255,570)-MAX('Activities'!K255,564))</x:f>
        <x:v>0</x:v>
      </x:c>
      <x:c r="CV255" s="23" t="n">
        <x:f>MAX(0,MIN('Activities'!L255,576)-MAX('Activities'!K255,570))</x:f>
        <x:v>0</x:v>
      </x:c>
      <x:c r="CW255" s="23" t="n">
        <x:f>MAX(0,MIN('Activities'!L255,582)-MAX('Activities'!K255,576))</x:f>
        <x:v>0</x:v>
      </x:c>
      <x:c r="CX255" s="23" t="n">
        <x:f>MAX(0,MIN('Activities'!L255,588)-MAX('Activities'!K255,582))</x:f>
        <x:v>0</x:v>
      </x:c>
      <x:c r="CY255" s="23" t="n">
        <x:f>MAX(0,MIN('Activities'!L255,594)-MAX('Activities'!K255,588))</x:f>
        <x:v>0</x:v>
      </x:c>
      <x:c r="CZ255" s="23" t="n">
        <x:f>MAX(0,MIN('Activities'!L255,600)-MAX('Activities'!K255,594))</x:f>
        <x:v>0</x:v>
      </x:c>
      <x:c r="DA255" s="23" t="n">
        <x:f>MAX(0,MIN('Activities'!L255,606)-MAX('Activities'!K255,600))</x:f>
        <x:v>0</x:v>
      </x:c>
      <x:c r="DB255" s="23" t="n">
        <x:f>MAX(0,MIN('Activities'!L255,612)-MAX('Activities'!K255,606))</x:f>
        <x:v>0</x:v>
      </x:c>
      <x:c r="DC255" s="23" t="n">
        <x:f>MAX(0,MIN('Activities'!L255,618)-MAX('Activities'!K255,612))</x:f>
        <x:v>0</x:v>
      </x:c>
      <x:c r="DD255" s="23" t="n">
        <x:f>MAX(0,MIN('Activities'!L255,624)-MAX('Activities'!K255,618))</x:f>
        <x:v>0</x:v>
      </x:c>
      <x:c r="DE255" s="23" t="n">
        <x:f>MAX(0,MIN('Activities'!L255,630)-MAX('Activities'!K255,624))</x:f>
        <x:v>0</x:v>
      </x:c>
      <x:c r="DF255" s="23" t="n">
        <x:f>MAX(0,MIN('Activities'!L255,636)-MAX('Activities'!K255,630))</x:f>
        <x:v>0</x:v>
      </x:c>
    </x:row>
    <x:row r="256" ht="23" customHeight="1">
      <x:c r="A256" s="6" t="str">
        <x:v>T2-L08-A</x:v>
      </x:c>
      <x:c r="B256" s="6" t="str">
        <x:v>T2</x:v>
      </x:c>
      <x:c r="C256" s="6" t="str">
        <x:v>Paint and final decorations</x:v>
      </x:c>
      <x:c r="D256" s="6" t="str">
        <x:v>Finishes</x:v>
      </x:c>
      <x:c r="E256" s="22" t="n">
        <x:f>MAX(0,MIN('Activities'!L256,6)-MAX('Activities'!K256,0))</x:f>
        <x:v>0</x:v>
      </x:c>
      <x:c r="F256" s="22" t="n">
        <x:f>MAX(0,MIN('Activities'!L256,12)-MAX('Activities'!K256,6))</x:f>
        <x:v>0</x:v>
      </x:c>
      <x:c r="G256" s="22" t="n">
        <x:f>MAX(0,MIN('Activities'!L256,18)-MAX('Activities'!K256,12))</x:f>
        <x:v>0</x:v>
      </x:c>
      <x:c r="H256" s="22" t="n">
        <x:f>MAX(0,MIN('Activities'!L256,24)-MAX('Activities'!K256,18))</x:f>
        <x:v>0</x:v>
      </x:c>
      <x:c r="I256" s="22" t="n">
        <x:f>MAX(0,MIN('Activities'!L256,30)-MAX('Activities'!K256,24))</x:f>
        <x:v>0</x:v>
      </x:c>
      <x:c r="J256" s="22" t="n">
        <x:f>MAX(0,MIN('Activities'!L256,36)-MAX('Activities'!K256,30))</x:f>
        <x:v>0</x:v>
      </x:c>
      <x:c r="K256" s="22" t="n">
        <x:f>MAX(0,MIN('Activities'!L256,42)-MAX('Activities'!K256,36))</x:f>
        <x:v>0</x:v>
      </x:c>
      <x:c r="L256" s="22" t="n">
        <x:f>MAX(0,MIN('Activities'!L256,48)-MAX('Activities'!K256,42))</x:f>
        <x:v>0</x:v>
      </x:c>
      <x:c r="M256" s="22" t="n">
        <x:f>MAX(0,MIN('Activities'!L256,54)-MAX('Activities'!K256,48))</x:f>
        <x:v>0</x:v>
      </x:c>
      <x:c r="N256" s="22" t="n">
        <x:f>MAX(0,MIN('Activities'!L256,60)-MAX('Activities'!K256,54))</x:f>
        <x:v>0</x:v>
      </x:c>
      <x:c r="O256" s="22" t="n">
        <x:f>MAX(0,MIN('Activities'!L256,66)-MAX('Activities'!K256,60))</x:f>
        <x:v>0</x:v>
      </x:c>
      <x:c r="P256" s="22" t="n">
        <x:f>MAX(0,MIN('Activities'!L256,72)-MAX('Activities'!K256,66))</x:f>
        <x:v>0</x:v>
      </x:c>
      <x:c r="Q256" s="22" t="n">
        <x:f>MAX(0,MIN('Activities'!L256,78)-MAX('Activities'!K256,72))</x:f>
        <x:v>0</x:v>
      </x:c>
      <x:c r="R256" s="22" t="n">
        <x:f>MAX(0,MIN('Activities'!L256,84)-MAX('Activities'!K256,78))</x:f>
        <x:v>0</x:v>
      </x:c>
      <x:c r="S256" s="22" t="n">
        <x:f>MAX(0,MIN('Activities'!L256,90)-MAX('Activities'!K256,84))</x:f>
        <x:v>0</x:v>
      </x:c>
      <x:c r="T256" s="22" t="n">
        <x:f>MAX(0,MIN('Activities'!L256,96)-MAX('Activities'!K256,90))</x:f>
        <x:v>0</x:v>
      </x:c>
      <x:c r="U256" s="22" t="n">
        <x:f>MAX(0,MIN('Activities'!L256,102)-MAX('Activities'!K256,96))</x:f>
        <x:v>0</x:v>
      </x:c>
      <x:c r="V256" s="22" t="n">
        <x:f>MAX(0,MIN('Activities'!L256,108)-MAX('Activities'!K256,102))</x:f>
        <x:v>0</x:v>
      </x:c>
      <x:c r="W256" s="22" t="n">
        <x:f>MAX(0,MIN('Activities'!L256,114)-MAX('Activities'!K256,108))</x:f>
        <x:v>0</x:v>
      </x:c>
      <x:c r="X256" s="22" t="n">
        <x:f>MAX(0,MIN('Activities'!L256,120)-MAX('Activities'!K256,114))</x:f>
        <x:v>0</x:v>
      </x:c>
      <x:c r="Y256" s="22" t="n">
        <x:f>MAX(0,MIN('Activities'!L256,126)-MAX('Activities'!K256,120))</x:f>
        <x:v>0</x:v>
      </x:c>
      <x:c r="Z256" s="22" t="n">
        <x:f>MAX(0,MIN('Activities'!L256,132)-MAX('Activities'!K256,126))</x:f>
        <x:v>0</x:v>
      </x:c>
      <x:c r="AA256" s="22" t="n">
        <x:f>MAX(0,MIN('Activities'!L256,138)-MAX('Activities'!K256,132))</x:f>
        <x:v>0</x:v>
      </x:c>
      <x:c r="AB256" s="22" t="n">
        <x:f>MAX(0,MIN('Activities'!L256,144)-MAX('Activities'!K256,138))</x:f>
        <x:v>0</x:v>
      </x:c>
      <x:c r="AC256" s="22" t="n">
        <x:f>MAX(0,MIN('Activities'!L256,150)-MAX('Activities'!K256,144))</x:f>
        <x:v>0</x:v>
      </x:c>
      <x:c r="AD256" s="22" t="n">
        <x:f>MAX(0,MIN('Activities'!L256,156)-MAX('Activities'!K256,150))</x:f>
        <x:v>0</x:v>
      </x:c>
      <x:c r="AE256" s="22" t="n">
        <x:f>MAX(0,MIN('Activities'!L256,162)-MAX('Activities'!K256,156))</x:f>
        <x:v>0</x:v>
      </x:c>
      <x:c r="AF256" s="22" t="n">
        <x:f>MAX(0,MIN('Activities'!L256,168)-MAX('Activities'!K256,162))</x:f>
        <x:v>0</x:v>
      </x:c>
      <x:c r="AG256" s="22" t="n">
        <x:f>MAX(0,MIN('Activities'!L256,174)-MAX('Activities'!K256,168))</x:f>
        <x:v>0</x:v>
      </x:c>
      <x:c r="AH256" s="22" t="n">
        <x:f>MAX(0,MIN('Activities'!L256,180)-MAX('Activities'!K256,174))</x:f>
        <x:v>0</x:v>
      </x:c>
      <x:c r="AI256" s="22" t="n">
        <x:f>MAX(0,MIN('Activities'!L256,186)-MAX('Activities'!K256,180))</x:f>
        <x:v>0</x:v>
      </x:c>
      <x:c r="AJ256" s="22" t="n">
        <x:f>MAX(0,MIN('Activities'!L256,192)-MAX('Activities'!K256,186))</x:f>
        <x:v>0</x:v>
      </x:c>
      <x:c r="AK256" s="22" t="n">
        <x:f>MAX(0,MIN('Activities'!L256,198)-MAX('Activities'!K256,192))</x:f>
        <x:v>0</x:v>
      </x:c>
      <x:c r="AL256" s="22" t="n">
        <x:f>MAX(0,MIN('Activities'!L256,204)-MAX('Activities'!K256,198))</x:f>
        <x:v>0</x:v>
      </x:c>
      <x:c r="AM256" s="22" t="n">
        <x:f>MAX(0,MIN('Activities'!L256,210)-MAX('Activities'!K256,204))</x:f>
        <x:v>0</x:v>
      </x:c>
      <x:c r="AN256" s="22" t="n">
        <x:f>MAX(0,MIN('Activities'!L256,216)-MAX('Activities'!K256,210))</x:f>
        <x:v>0</x:v>
      </x:c>
      <x:c r="AO256" s="22" t="n">
        <x:f>MAX(0,MIN('Activities'!L256,222)-MAX('Activities'!K256,216))</x:f>
        <x:v>0</x:v>
      </x:c>
      <x:c r="AP256" s="22" t="n">
        <x:f>MAX(0,MIN('Activities'!L256,228)-MAX('Activities'!K256,222))</x:f>
        <x:v>0</x:v>
      </x:c>
      <x:c r="AQ256" s="22" t="n">
        <x:f>MAX(0,MIN('Activities'!L256,234)-MAX('Activities'!K256,228))</x:f>
        <x:v>0</x:v>
      </x:c>
      <x:c r="AR256" s="22" t="n">
        <x:f>MAX(0,MIN('Activities'!L256,240)-MAX('Activities'!K256,234))</x:f>
        <x:v>0</x:v>
      </x:c>
      <x:c r="AS256" s="22" t="n">
        <x:f>MAX(0,MIN('Activities'!L256,246)-MAX('Activities'!K256,240))</x:f>
        <x:v>0</x:v>
      </x:c>
      <x:c r="AT256" s="22" t="n">
        <x:f>MAX(0,MIN('Activities'!L256,252)-MAX('Activities'!K256,246))</x:f>
        <x:v>0</x:v>
      </x:c>
      <x:c r="AU256" s="22" t="n">
        <x:f>MAX(0,MIN('Activities'!L256,258)-MAX('Activities'!K256,252))</x:f>
        <x:v>0</x:v>
      </x:c>
      <x:c r="AV256" s="22" t="n">
        <x:f>MAX(0,MIN('Activities'!L256,264)-MAX('Activities'!K256,258))</x:f>
        <x:v>0</x:v>
      </x:c>
      <x:c r="AW256" s="22" t="n">
        <x:f>MAX(0,MIN('Activities'!L256,270)-MAX('Activities'!K256,264))</x:f>
        <x:v>0</x:v>
      </x:c>
      <x:c r="AX256" s="22" t="n">
        <x:f>MAX(0,MIN('Activities'!L256,276)-MAX('Activities'!K256,270))</x:f>
        <x:v>0</x:v>
      </x:c>
      <x:c r="AY256" s="22" t="n">
        <x:f>MAX(0,MIN('Activities'!L256,282)-MAX('Activities'!K256,276))</x:f>
        <x:v>0</x:v>
      </x:c>
      <x:c r="AZ256" s="22" t="n">
        <x:f>MAX(0,MIN('Activities'!L256,288)-MAX('Activities'!K256,282))</x:f>
        <x:v>0</x:v>
      </x:c>
      <x:c r="BA256" s="22" t="n">
        <x:f>MAX(0,MIN('Activities'!L256,294)-MAX('Activities'!K256,288))</x:f>
        <x:v>0</x:v>
      </x:c>
      <x:c r="BB256" s="22" t="n">
        <x:f>MAX(0,MIN('Activities'!L256,300)-MAX('Activities'!K256,294))</x:f>
        <x:v>0</x:v>
      </x:c>
      <x:c r="BC256" s="22" t="n">
        <x:f>MAX(0,MIN('Activities'!L256,306)-MAX('Activities'!K256,300))</x:f>
        <x:v>0</x:v>
      </x:c>
      <x:c r="BD256" s="22" t="n">
        <x:f>MAX(0,MIN('Activities'!L256,312)-MAX('Activities'!K256,306))</x:f>
        <x:v>0</x:v>
      </x:c>
      <x:c r="BE256" s="22" t="n">
        <x:f>MAX(0,MIN('Activities'!L256,318)-MAX('Activities'!K256,312))</x:f>
        <x:v>0</x:v>
      </x:c>
      <x:c r="BF256" s="22" t="n">
        <x:f>MAX(0,MIN('Activities'!L256,324)-MAX('Activities'!K256,318))</x:f>
        <x:v>0</x:v>
      </x:c>
      <x:c r="BG256" s="22" t="n">
        <x:f>MAX(0,MIN('Activities'!L256,330)-MAX('Activities'!K256,324))</x:f>
        <x:v>0</x:v>
      </x:c>
      <x:c r="BH256" s="22" t="n">
        <x:f>MAX(0,MIN('Activities'!L256,336)-MAX('Activities'!K256,330))</x:f>
        <x:v>0</x:v>
      </x:c>
      <x:c r="BI256" s="22" t="n">
        <x:f>MAX(0,MIN('Activities'!L256,342)-MAX('Activities'!K256,336))</x:f>
        <x:v>0</x:v>
      </x:c>
      <x:c r="BJ256" s="22" t="n">
        <x:f>MAX(0,MIN('Activities'!L256,348)-MAX('Activities'!K256,342))</x:f>
        <x:v>0</x:v>
      </x:c>
      <x:c r="BK256" s="22" t="n">
        <x:f>MAX(0,MIN('Activities'!L256,354)-MAX('Activities'!K256,348))</x:f>
        <x:v>0</x:v>
      </x:c>
      <x:c r="BL256" s="22" t="n">
        <x:f>MAX(0,MIN('Activities'!L256,360)-MAX('Activities'!K256,354))</x:f>
        <x:v>0</x:v>
      </x:c>
      <x:c r="BM256" s="22" t="n">
        <x:f>MAX(0,MIN('Activities'!L256,366)-MAX('Activities'!K256,360))</x:f>
        <x:v>0</x:v>
      </x:c>
      <x:c r="BN256" s="22" t="n">
        <x:f>MAX(0,MIN('Activities'!L256,372)-MAX('Activities'!K256,366))</x:f>
        <x:v>0</x:v>
      </x:c>
      <x:c r="BO256" s="22" t="n">
        <x:f>MAX(0,MIN('Activities'!L256,378)-MAX('Activities'!K256,372))</x:f>
        <x:v>0</x:v>
      </x:c>
      <x:c r="BP256" s="22" t="n">
        <x:f>MAX(0,MIN('Activities'!L256,384)-MAX('Activities'!K256,378))</x:f>
        <x:v>0</x:v>
      </x:c>
      <x:c r="BQ256" s="22" t="n">
        <x:f>MAX(0,MIN('Activities'!L256,390)-MAX('Activities'!K256,384))</x:f>
        <x:v>0</x:v>
      </x:c>
      <x:c r="BR256" s="22" t="n">
        <x:f>MAX(0,MIN('Activities'!L256,396)-MAX('Activities'!K256,390))</x:f>
        <x:v>0</x:v>
      </x:c>
      <x:c r="BS256" s="22" t="n">
        <x:f>MAX(0,MIN('Activities'!L256,402)-MAX('Activities'!K256,396))</x:f>
        <x:v>0</x:v>
      </x:c>
      <x:c r="BT256" s="22" t="n">
        <x:f>MAX(0,MIN('Activities'!L256,408)-MAX('Activities'!K256,402))</x:f>
        <x:v>0</x:v>
      </x:c>
      <x:c r="BU256" s="22" t="n">
        <x:f>MAX(0,MIN('Activities'!L256,414)-MAX('Activities'!K256,408))</x:f>
        <x:v>0</x:v>
      </x:c>
      <x:c r="BV256" s="22" t="n">
        <x:f>MAX(0,MIN('Activities'!L256,420)-MAX('Activities'!K256,414))</x:f>
        <x:v>0</x:v>
      </x:c>
      <x:c r="BW256" s="22" t="n">
        <x:f>MAX(0,MIN('Activities'!L256,426)-MAX('Activities'!K256,420))</x:f>
        <x:v>5</x:v>
      </x:c>
      <x:c r="BX256" s="22" t="n">
        <x:f>MAX(0,MIN('Activities'!L256,432)-MAX('Activities'!K256,426))</x:f>
        <x:v>0</x:v>
      </x:c>
      <x:c r="BY256" s="22" t="n">
        <x:f>MAX(0,MIN('Activities'!L256,438)-MAX('Activities'!K256,432))</x:f>
        <x:v>0</x:v>
      </x:c>
      <x:c r="BZ256" s="22" t="n">
        <x:f>MAX(0,MIN('Activities'!L256,444)-MAX('Activities'!K256,438))</x:f>
        <x:v>0</x:v>
      </x:c>
      <x:c r="CA256" s="22" t="n">
        <x:f>MAX(0,MIN('Activities'!L256,450)-MAX('Activities'!K256,444))</x:f>
        <x:v>0</x:v>
      </x:c>
      <x:c r="CB256" s="22" t="n">
        <x:f>MAX(0,MIN('Activities'!L256,456)-MAX('Activities'!K256,450))</x:f>
        <x:v>0</x:v>
      </x:c>
      <x:c r="CC256" s="22" t="n">
        <x:f>MAX(0,MIN('Activities'!L256,462)-MAX('Activities'!K256,456))</x:f>
        <x:v>0</x:v>
      </x:c>
      <x:c r="CD256" s="22" t="n">
        <x:f>MAX(0,MIN('Activities'!L256,468)-MAX('Activities'!K256,462))</x:f>
        <x:v>0</x:v>
      </x:c>
      <x:c r="CE256" s="22" t="n">
        <x:f>MAX(0,MIN('Activities'!L256,474)-MAX('Activities'!K256,468))</x:f>
        <x:v>0</x:v>
      </x:c>
      <x:c r="CF256" s="22" t="n">
        <x:f>MAX(0,MIN('Activities'!L256,480)-MAX('Activities'!K256,474))</x:f>
        <x:v>0</x:v>
      </x:c>
      <x:c r="CG256" s="22" t="n">
        <x:f>MAX(0,MIN('Activities'!L256,486)-MAX('Activities'!K256,480))</x:f>
        <x:v>0</x:v>
      </x:c>
      <x:c r="CH256" s="22" t="n">
        <x:f>MAX(0,MIN('Activities'!L256,492)-MAX('Activities'!K256,486))</x:f>
        <x:v>0</x:v>
      </x:c>
      <x:c r="CI256" s="22" t="n">
        <x:f>MAX(0,MIN('Activities'!L256,498)-MAX('Activities'!K256,492))</x:f>
        <x:v>0</x:v>
      </x:c>
      <x:c r="CJ256" s="22" t="n">
        <x:f>MAX(0,MIN('Activities'!L256,504)-MAX('Activities'!K256,498))</x:f>
        <x:v>0</x:v>
      </x:c>
      <x:c r="CK256" s="22" t="n">
        <x:f>MAX(0,MIN('Activities'!L256,510)-MAX('Activities'!K256,504))</x:f>
        <x:v>0</x:v>
      </x:c>
      <x:c r="CL256" s="22" t="n">
        <x:f>MAX(0,MIN('Activities'!L256,516)-MAX('Activities'!K256,510))</x:f>
        <x:v>0</x:v>
      </x:c>
      <x:c r="CM256" s="22" t="n">
        <x:f>MAX(0,MIN('Activities'!L256,522)-MAX('Activities'!K256,516))</x:f>
        <x:v>0</x:v>
      </x:c>
      <x:c r="CN256" s="22" t="n">
        <x:f>MAX(0,MIN('Activities'!L256,528)-MAX('Activities'!K256,522))</x:f>
        <x:v>0</x:v>
      </x:c>
      <x:c r="CO256" s="22" t="n">
        <x:f>MAX(0,MIN('Activities'!L256,534)-MAX('Activities'!K256,528))</x:f>
        <x:v>0</x:v>
      </x:c>
      <x:c r="CP256" s="22" t="n">
        <x:f>MAX(0,MIN('Activities'!L256,540)-MAX('Activities'!K256,534))</x:f>
        <x:v>0</x:v>
      </x:c>
      <x:c r="CQ256" s="22" t="n">
        <x:f>MAX(0,MIN('Activities'!L256,546)-MAX('Activities'!K256,540))</x:f>
        <x:v>0</x:v>
      </x:c>
      <x:c r="CR256" s="22" t="n">
        <x:f>MAX(0,MIN('Activities'!L256,552)-MAX('Activities'!K256,546))</x:f>
        <x:v>0</x:v>
      </x:c>
      <x:c r="CS256" s="22" t="n">
        <x:f>MAX(0,MIN('Activities'!L256,558)-MAX('Activities'!K256,552))</x:f>
        <x:v>0</x:v>
      </x:c>
      <x:c r="CT256" s="22" t="n">
        <x:f>MAX(0,MIN('Activities'!L256,564)-MAX('Activities'!K256,558))</x:f>
        <x:v>0</x:v>
      </x:c>
      <x:c r="CU256" s="22" t="n">
        <x:f>MAX(0,MIN('Activities'!L256,570)-MAX('Activities'!K256,564))</x:f>
        <x:v>0</x:v>
      </x:c>
      <x:c r="CV256" s="22" t="n">
        <x:f>MAX(0,MIN('Activities'!L256,576)-MAX('Activities'!K256,570))</x:f>
        <x:v>0</x:v>
      </x:c>
      <x:c r="CW256" s="22" t="n">
        <x:f>MAX(0,MIN('Activities'!L256,582)-MAX('Activities'!K256,576))</x:f>
        <x:v>0</x:v>
      </x:c>
      <x:c r="CX256" s="22" t="n">
        <x:f>MAX(0,MIN('Activities'!L256,588)-MAX('Activities'!K256,582))</x:f>
        <x:v>0</x:v>
      </x:c>
      <x:c r="CY256" s="22" t="n">
        <x:f>MAX(0,MIN('Activities'!L256,594)-MAX('Activities'!K256,588))</x:f>
        <x:v>0</x:v>
      </x:c>
      <x:c r="CZ256" s="22" t="n">
        <x:f>MAX(0,MIN('Activities'!L256,600)-MAX('Activities'!K256,594))</x:f>
        <x:v>0</x:v>
      </x:c>
      <x:c r="DA256" s="22" t="n">
        <x:f>MAX(0,MIN('Activities'!L256,606)-MAX('Activities'!K256,600))</x:f>
        <x:v>0</x:v>
      </x:c>
      <x:c r="DB256" s="22" t="n">
        <x:f>MAX(0,MIN('Activities'!L256,612)-MAX('Activities'!K256,606))</x:f>
        <x:v>0</x:v>
      </x:c>
      <x:c r="DC256" s="22" t="n">
        <x:f>MAX(0,MIN('Activities'!L256,618)-MAX('Activities'!K256,612))</x:f>
        <x:v>0</x:v>
      </x:c>
      <x:c r="DD256" s="22" t="n">
        <x:f>MAX(0,MIN('Activities'!L256,624)-MAX('Activities'!K256,618))</x:f>
        <x:v>0</x:v>
      </x:c>
      <x:c r="DE256" s="22" t="n">
        <x:f>MAX(0,MIN('Activities'!L256,630)-MAX('Activities'!K256,624))</x:f>
        <x:v>0</x:v>
      </x:c>
      <x:c r="DF256" s="22" t="n">
        <x:f>MAX(0,MIN('Activities'!L256,636)-MAX('Activities'!K256,630))</x:f>
        <x:v>0</x:v>
      </x:c>
    </x:row>
    <x:row r="257" ht="23" customHeight="1">
      <x:c r="A257" s="1" t="str">
        <x:v>T2-L08-D</x:v>
      </x:c>
      <x:c r="B257" s="1" t="str">
        <x:v>T2</x:v>
      </x:c>
      <x:c r="C257" s="1" t="str">
        <x:v>Door sets and ironmongery</x:v>
      </x:c>
      <x:c r="D257" s="1" t="str">
        <x:v>Finishes</x:v>
      </x:c>
      <x:c r="E257" s="23" t="n">
        <x:f>MAX(0,MIN('Activities'!L257,6)-MAX('Activities'!K257,0))</x:f>
        <x:v>0</x:v>
      </x:c>
      <x:c r="F257" s="23" t="n">
        <x:f>MAX(0,MIN('Activities'!L257,12)-MAX('Activities'!K257,6))</x:f>
        <x:v>0</x:v>
      </x:c>
      <x:c r="G257" s="23" t="n">
        <x:f>MAX(0,MIN('Activities'!L257,18)-MAX('Activities'!K257,12))</x:f>
        <x:v>0</x:v>
      </x:c>
      <x:c r="H257" s="23" t="n">
        <x:f>MAX(0,MIN('Activities'!L257,24)-MAX('Activities'!K257,18))</x:f>
        <x:v>0</x:v>
      </x:c>
      <x:c r="I257" s="23" t="n">
        <x:f>MAX(0,MIN('Activities'!L257,30)-MAX('Activities'!K257,24))</x:f>
        <x:v>0</x:v>
      </x:c>
      <x:c r="J257" s="23" t="n">
        <x:f>MAX(0,MIN('Activities'!L257,36)-MAX('Activities'!K257,30))</x:f>
        <x:v>0</x:v>
      </x:c>
      <x:c r="K257" s="23" t="n">
        <x:f>MAX(0,MIN('Activities'!L257,42)-MAX('Activities'!K257,36))</x:f>
        <x:v>0</x:v>
      </x:c>
      <x:c r="L257" s="23" t="n">
        <x:f>MAX(0,MIN('Activities'!L257,48)-MAX('Activities'!K257,42))</x:f>
        <x:v>0</x:v>
      </x:c>
      <x:c r="M257" s="23" t="n">
        <x:f>MAX(0,MIN('Activities'!L257,54)-MAX('Activities'!K257,48))</x:f>
        <x:v>0</x:v>
      </x:c>
      <x:c r="N257" s="23" t="n">
        <x:f>MAX(0,MIN('Activities'!L257,60)-MAX('Activities'!K257,54))</x:f>
        <x:v>0</x:v>
      </x:c>
      <x:c r="O257" s="23" t="n">
        <x:f>MAX(0,MIN('Activities'!L257,66)-MAX('Activities'!K257,60))</x:f>
        <x:v>0</x:v>
      </x:c>
      <x:c r="P257" s="23" t="n">
        <x:f>MAX(0,MIN('Activities'!L257,72)-MAX('Activities'!K257,66))</x:f>
        <x:v>0</x:v>
      </x:c>
      <x:c r="Q257" s="23" t="n">
        <x:f>MAX(0,MIN('Activities'!L257,78)-MAX('Activities'!K257,72))</x:f>
        <x:v>0</x:v>
      </x:c>
      <x:c r="R257" s="23" t="n">
        <x:f>MAX(0,MIN('Activities'!L257,84)-MAX('Activities'!K257,78))</x:f>
        <x:v>0</x:v>
      </x:c>
      <x:c r="S257" s="23" t="n">
        <x:f>MAX(0,MIN('Activities'!L257,90)-MAX('Activities'!K257,84))</x:f>
        <x:v>0</x:v>
      </x:c>
      <x:c r="T257" s="23" t="n">
        <x:f>MAX(0,MIN('Activities'!L257,96)-MAX('Activities'!K257,90))</x:f>
        <x:v>0</x:v>
      </x:c>
      <x:c r="U257" s="23" t="n">
        <x:f>MAX(0,MIN('Activities'!L257,102)-MAX('Activities'!K257,96))</x:f>
        <x:v>0</x:v>
      </x:c>
      <x:c r="V257" s="23" t="n">
        <x:f>MAX(0,MIN('Activities'!L257,108)-MAX('Activities'!K257,102))</x:f>
        <x:v>0</x:v>
      </x:c>
      <x:c r="W257" s="23" t="n">
        <x:f>MAX(0,MIN('Activities'!L257,114)-MAX('Activities'!K257,108))</x:f>
        <x:v>0</x:v>
      </x:c>
      <x:c r="X257" s="23" t="n">
        <x:f>MAX(0,MIN('Activities'!L257,120)-MAX('Activities'!K257,114))</x:f>
        <x:v>0</x:v>
      </x:c>
      <x:c r="Y257" s="23" t="n">
        <x:f>MAX(0,MIN('Activities'!L257,126)-MAX('Activities'!K257,120))</x:f>
        <x:v>0</x:v>
      </x:c>
      <x:c r="Z257" s="23" t="n">
        <x:f>MAX(0,MIN('Activities'!L257,132)-MAX('Activities'!K257,126))</x:f>
        <x:v>0</x:v>
      </x:c>
      <x:c r="AA257" s="23" t="n">
        <x:f>MAX(0,MIN('Activities'!L257,138)-MAX('Activities'!K257,132))</x:f>
        <x:v>0</x:v>
      </x:c>
      <x:c r="AB257" s="23" t="n">
        <x:f>MAX(0,MIN('Activities'!L257,144)-MAX('Activities'!K257,138))</x:f>
        <x:v>0</x:v>
      </x:c>
      <x:c r="AC257" s="23" t="n">
        <x:f>MAX(0,MIN('Activities'!L257,150)-MAX('Activities'!K257,144))</x:f>
        <x:v>0</x:v>
      </x:c>
      <x:c r="AD257" s="23" t="n">
        <x:f>MAX(0,MIN('Activities'!L257,156)-MAX('Activities'!K257,150))</x:f>
        <x:v>0</x:v>
      </x:c>
      <x:c r="AE257" s="23" t="n">
        <x:f>MAX(0,MIN('Activities'!L257,162)-MAX('Activities'!K257,156))</x:f>
        <x:v>0</x:v>
      </x:c>
      <x:c r="AF257" s="23" t="n">
        <x:f>MAX(0,MIN('Activities'!L257,168)-MAX('Activities'!K257,162))</x:f>
        <x:v>0</x:v>
      </x:c>
      <x:c r="AG257" s="23" t="n">
        <x:f>MAX(0,MIN('Activities'!L257,174)-MAX('Activities'!K257,168))</x:f>
        <x:v>0</x:v>
      </x:c>
      <x:c r="AH257" s="23" t="n">
        <x:f>MAX(0,MIN('Activities'!L257,180)-MAX('Activities'!K257,174))</x:f>
        <x:v>0</x:v>
      </x:c>
      <x:c r="AI257" s="23" t="n">
        <x:f>MAX(0,MIN('Activities'!L257,186)-MAX('Activities'!K257,180))</x:f>
        <x:v>0</x:v>
      </x:c>
      <x:c r="AJ257" s="23" t="n">
        <x:f>MAX(0,MIN('Activities'!L257,192)-MAX('Activities'!K257,186))</x:f>
        <x:v>0</x:v>
      </x:c>
      <x:c r="AK257" s="23" t="n">
        <x:f>MAX(0,MIN('Activities'!L257,198)-MAX('Activities'!K257,192))</x:f>
        <x:v>0</x:v>
      </x:c>
      <x:c r="AL257" s="23" t="n">
        <x:f>MAX(0,MIN('Activities'!L257,204)-MAX('Activities'!K257,198))</x:f>
        <x:v>0</x:v>
      </x:c>
      <x:c r="AM257" s="23" t="n">
        <x:f>MAX(0,MIN('Activities'!L257,210)-MAX('Activities'!K257,204))</x:f>
        <x:v>0</x:v>
      </x:c>
      <x:c r="AN257" s="23" t="n">
        <x:f>MAX(0,MIN('Activities'!L257,216)-MAX('Activities'!K257,210))</x:f>
        <x:v>0</x:v>
      </x:c>
      <x:c r="AO257" s="23" t="n">
        <x:f>MAX(0,MIN('Activities'!L257,222)-MAX('Activities'!K257,216))</x:f>
        <x:v>0</x:v>
      </x:c>
      <x:c r="AP257" s="23" t="n">
        <x:f>MAX(0,MIN('Activities'!L257,228)-MAX('Activities'!K257,222))</x:f>
        <x:v>0</x:v>
      </x:c>
      <x:c r="AQ257" s="23" t="n">
        <x:f>MAX(0,MIN('Activities'!L257,234)-MAX('Activities'!K257,228))</x:f>
        <x:v>0</x:v>
      </x:c>
      <x:c r="AR257" s="23" t="n">
        <x:f>MAX(0,MIN('Activities'!L257,240)-MAX('Activities'!K257,234))</x:f>
        <x:v>0</x:v>
      </x:c>
      <x:c r="AS257" s="23" t="n">
        <x:f>MAX(0,MIN('Activities'!L257,246)-MAX('Activities'!K257,240))</x:f>
        <x:v>0</x:v>
      </x:c>
      <x:c r="AT257" s="23" t="n">
        <x:f>MAX(0,MIN('Activities'!L257,252)-MAX('Activities'!K257,246))</x:f>
        <x:v>0</x:v>
      </x:c>
      <x:c r="AU257" s="23" t="n">
        <x:f>MAX(0,MIN('Activities'!L257,258)-MAX('Activities'!K257,252))</x:f>
        <x:v>0</x:v>
      </x:c>
      <x:c r="AV257" s="23" t="n">
        <x:f>MAX(0,MIN('Activities'!L257,264)-MAX('Activities'!K257,258))</x:f>
        <x:v>0</x:v>
      </x:c>
      <x:c r="AW257" s="23" t="n">
        <x:f>MAX(0,MIN('Activities'!L257,270)-MAX('Activities'!K257,264))</x:f>
        <x:v>0</x:v>
      </x:c>
      <x:c r="AX257" s="23" t="n">
        <x:f>MAX(0,MIN('Activities'!L257,276)-MAX('Activities'!K257,270))</x:f>
        <x:v>0</x:v>
      </x:c>
      <x:c r="AY257" s="23" t="n">
        <x:f>MAX(0,MIN('Activities'!L257,282)-MAX('Activities'!K257,276))</x:f>
        <x:v>0</x:v>
      </x:c>
      <x:c r="AZ257" s="23" t="n">
        <x:f>MAX(0,MIN('Activities'!L257,288)-MAX('Activities'!K257,282))</x:f>
        <x:v>0</x:v>
      </x:c>
      <x:c r="BA257" s="23" t="n">
        <x:f>MAX(0,MIN('Activities'!L257,294)-MAX('Activities'!K257,288))</x:f>
        <x:v>0</x:v>
      </x:c>
      <x:c r="BB257" s="23" t="n">
        <x:f>MAX(0,MIN('Activities'!L257,300)-MAX('Activities'!K257,294))</x:f>
        <x:v>0</x:v>
      </x:c>
      <x:c r="BC257" s="23" t="n">
        <x:f>MAX(0,MIN('Activities'!L257,306)-MAX('Activities'!K257,300))</x:f>
        <x:v>0</x:v>
      </x:c>
      <x:c r="BD257" s="23" t="n">
        <x:f>MAX(0,MIN('Activities'!L257,312)-MAX('Activities'!K257,306))</x:f>
        <x:v>0</x:v>
      </x:c>
      <x:c r="BE257" s="23" t="n">
        <x:f>MAX(0,MIN('Activities'!L257,318)-MAX('Activities'!K257,312))</x:f>
        <x:v>0</x:v>
      </x:c>
      <x:c r="BF257" s="23" t="n">
        <x:f>MAX(0,MIN('Activities'!L257,324)-MAX('Activities'!K257,318))</x:f>
        <x:v>0</x:v>
      </x:c>
      <x:c r="BG257" s="23" t="n">
        <x:f>MAX(0,MIN('Activities'!L257,330)-MAX('Activities'!K257,324))</x:f>
        <x:v>0</x:v>
      </x:c>
      <x:c r="BH257" s="23" t="n">
        <x:f>MAX(0,MIN('Activities'!L257,336)-MAX('Activities'!K257,330))</x:f>
        <x:v>0</x:v>
      </x:c>
      <x:c r="BI257" s="23" t="n">
        <x:f>MAX(0,MIN('Activities'!L257,342)-MAX('Activities'!K257,336))</x:f>
        <x:v>0</x:v>
      </x:c>
      <x:c r="BJ257" s="23" t="n">
        <x:f>MAX(0,MIN('Activities'!L257,348)-MAX('Activities'!K257,342))</x:f>
        <x:v>0</x:v>
      </x:c>
      <x:c r="BK257" s="23" t="n">
        <x:f>MAX(0,MIN('Activities'!L257,354)-MAX('Activities'!K257,348))</x:f>
        <x:v>0</x:v>
      </x:c>
      <x:c r="BL257" s="23" t="n">
        <x:f>MAX(0,MIN('Activities'!L257,360)-MAX('Activities'!K257,354))</x:f>
        <x:v>0</x:v>
      </x:c>
      <x:c r="BM257" s="23" t="n">
        <x:f>MAX(0,MIN('Activities'!L257,366)-MAX('Activities'!K257,360))</x:f>
        <x:v>0</x:v>
      </x:c>
      <x:c r="BN257" s="23" t="n">
        <x:f>MAX(0,MIN('Activities'!L257,372)-MAX('Activities'!K257,366))</x:f>
        <x:v>0</x:v>
      </x:c>
      <x:c r="BO257" s="23" t="n">
        <x:f>MAX(0,MIN('Activities'!L257,378)-MAX('Activities'!K257,372))</x:f>
        <x:v>0</x:v>
      </x:c>
      <x:c r="BP257" s="23" t="n">
        <x:f>MAX(0,MIN('Activities'!L257,384)-MAX('Activities'!K257,378))</x:f>
        <x:v>0</x:v>
      </x:c>
      <x:c r="BQ257" s="23" t="n">
        <x:f>MAX(0,MIN('Activities'!L257,390)-MAX('Activities'!K257,384))</x:f>
        <x:v>0</x:v>
      </x:c>
      <x:c r="BR257" s="23" t="n">
        <x:f>MAX(0,MIN('Activities'!L257,396)-MAX('Activities'!K257,390))</x:f>
        <x:v>0</x:v>
      </x:c>
      <x:c r="BS257" s="23" t="n">
        <x:f>MAX(0,MIN('Activities'!L257,402)-MAX('Activities'!K257,396))</x:f>
        <x:v>0</x:v>
      </x:c>
      <x:c r="BT257" s="23" t="n">
        <x:f>MAX(0,MIN('Activities'!L257,408)-MAX('Activities'!K257,402))</x:f>
        <x:v>0</x:v>
      </x:c>
      <x:c r="BU257" s="23" t="n">
        <x:f>MAX(0,MIN('Activities'!L257,414)-MAX('Activities'!K257,408))</x:f>
        <x:v>0</x:v>
      </x:c>
      <x:c r="BV257" s="23" t="n">
        <x:f>MAX(0,MIN('Activities'!L257,420)-MAX('Activities'!K257,414))</x:f>
        <x:v>0</x:v>
      </x:c>
      <x:c r="BW257" s="23" t="n">
        <x:f>MAX(0,MIN('Activities'!L257,426)-MAX('Activities'!K257,420))</x:f>
        <x:v>0</x:v>
      </x:c>
      <x:c r="BX257" s="23" t="n">
        <x:f>MAX(0,MIN('Activities'!L257,432)-MAX('Activities'!K257,426))</x:f>
        <x:v>3</x:v>
      </x:c>
      <x:c r="BY257" s="23" t="n">
        <x:f>MAX(0,MIN('Activities'!L257,438)-MAX('Activities'!K257,432))</x:f>
        <x:v>0</x:v>
      </x:c>
      <x:c r="BZ257" s="23" t="n">
        <x:f>MAX(0,MIN('Activities'!L257,444)-MAX('Activities'!K257,438))</x:f>
        <x:v>0</x:v>
      </x:c>
      <x:c r="CA257" s="23" t="n">
        <x:f>MAX(0,MIN('Activities'!L257,450)-MAX('Activities'!K257,444))</x:f>
        <x:v>0</x:v>
      </x:c>
      <x:c r="CB257" s="23" t="n">
        <x:f>MAX(0,MIN('Activities'!L257,456)-MAX('Activities'!K257,450))</x:f>
        <x:v>0</x:v>
      </x:c>
      <x:c r="CC257" s="23" t="n">
        <x:f>MAX(0,MIN('Activities'!L257,462)-MAX('Activities'!K257,456))</x:f>
        <x:v>0</x:v>
      </x:c>
      <x:c r="CD257" s="23" t="n">
        <x:f>MAX(0,MIN('Activities'!L257,468)-MAX('Activities'!K257,462))</x:f>
        <x:v>0</x:v>
      </x:c>
      <x:c r="CE257" s="23" t="n">
        <x:f>MAX(0,MIN('Activities'!L257,474)-MAX('Activities'!K257,468))</x:f>
        <x:v>0</x:v>
      </x:c>
      <x:c r="CF257" s="23" t="n">
        <x:f>MAX(0,MIN('Activities'!L257,480)-MAX('Activities'!K257,474))</x:f>
        <x:v>0</x:v>
      </x:c>
      <x:c r="CG257" s="23" t="n">
        <x:f>MAX(0,MIN('Activities'!L257,486)-MAX('Activities'!K257,480))</x:f>
        <x:v>0</x:v>
      </x:c>
      <x:c r="CH257" s="23" t="n">
        <x:f>MAX(0,MIN('Activities'!L257,492)-MAX('Activities'!K257,486))</x:f>
        <x:v>0</x:v>
      </x:c>
      <x:c r="CI257" s="23" t="n">
        <x:f>MAX(0,MIN('Activities'!L257,498)-MAX('Activities'!K257,492))</x:f>
        <x:v>0</x:v>
      </x:c>
      <x:c r="CJ257" s="23" t="n">
        <x:f>MAX(0,MIN('Activities'!L257,504)-MAX('Activities'!K257,498))</x:f>
        <x:v>0</x:v>
      </x:c>
      <x:c r="CK257" s="23" t="n">
        <x:f>MAX(0,MIN('Activities'!L257,510)-MAX('Activities'!K257,504))</x:f>
        <x:v>0</x:v>
      </x:c>
      <x:c r="CL257" s="23" t="n">
        <x:f>MAX(0,MIN('Activities'!L257,516)-MAX('Activities'!K257,510))</x:f>
        <x:v>0</x:v>
      </x:c>
      <x:c r="CM257" s="23" t="n">
        <x:f>MAX(0,MIN('Activities'!L257,522)-MAX('Activities'!K257,516))</x:f>
        <x:v>0</x:v>
      </x:c>
      <x:c r="CN257" s="23" t="n">
        <x:f>MAX(0,MIN('Activities'!L257,528)-MAX('Activities'!K257,522))</x:f>
        <x:v>0</x:v>
      </x:c>
      <x:c r="CO257" s="23" t="n">
        <x:f>MAX(0,MIN('Activities'!L257,534)-MAX('Activities'!K257,528))</x:f>
        <x:v>0</x:v>
      </x:c>
      <x:c r="CP257" s="23" t="n">
        <x:f>MAX(0,MIN('Activities'!L257,540)-MAX('Activities'!K257,534))</x:f>
        <x:v>0</x:v>
      </x:c>
      <x:c r="CQ257" s="23" t="n">
        <x:f>MAX(0,MIN('Activities'!L257,546)-MAX('Activities'!K257,540))</x:f>
        <x:v>0</x:v>
      </x:c>
      <x:c r="CR257" s="23" t="n">
        <x:f>MAX(0,MIN('Activities'!L257,552)-MAX('Activities'!K257,546))</x:f>
        <x:v>0</x:v>
      </x:c>
      <x:c r="CS257" s="23" t="n">
        <x:f>MAX(0,MIN('Activities'!L257,558)-MAX('Activities'!K257,552))</x:f>
        <x:v>0</x:v>
      </x:c>
      <x:c r="CT257" s="23" t="n">
        <x:f>MAX(0,MIN('Activities'!L257,564)-MAX('Activities'!K257,558))</x:f>
        <x:v>0</x:v>
      </x:c>
      <x:c r="CU257" s="23" t="n">
        <x:f>MAX(0,MIN('Activities'!L257,570)-MAX('Activities'!K257,564))</x:f>
        <x:v>0</x:v>
      </x:c>
      <x:c r="CV257" s="23" t="n">
        <x:f>MAX(0,MIN('Activities'!L257,576)-MAX('Activities'!K257,570))</x:f>
        <x:v>0</x:v>
      </x:c>
      <x:c r="CW257" s="23" t="n">
        <x:f>MAX(0,MIN('Activities'!L257,582)-MAX('Activities'!K257,576))</x:f>
        <x:v>0</x:v>
      </x:c>
      <x:c r="CX257" s="23" t="n">
        <x:f>MAX(0,MIN('Activities'!L257,588)-MAX('Activities'!K257,582))</x:f>
        <x:v>0</x:v>
      </x:c>
      <x:c r="CY257" s="23" t="n">
        <x:f>MAX(0,MIN('Activities'!L257,594)-MAX('Activities'!K257,588))</x:f>
        <x:v>0</x:v>
      </x:c>
      <x:c r="CZ257" s="23" t="n">
        <x:f>MAX(0,MIN('Activities'!L257,600)-MAX('Activities'!K257,594))</x:f>
        <x:v>0</x:v>
      </x:c>
      <x:c r="DA257" s="23" t="n">
        <x:f>MAX(0,MIN('Activities'!L257,606)-MAX('Activities'!K257,600))</x:f>
        <x:v>0</x:v>
      </x:c>
      <x:c r="DB257" s="23" t="n">
        <x:f>MAX(0,MIN('Activities'!L257,612)-MAX('Activities'!K257,606))</x:f>
        <x:v>0</x:v>
      </x:c>
      <x:c r="DC257" s="23" t="n">
        <x:f>MAX(0,MIN('Activities'!L257,618)-MAX('Activities'!K257,612))</x:f>
        <x:v>0</x:v>
      </x:c>
      <x:c r="DD257" s="23" t="n">
        <x:f>MAX(0,MIN('Activities'!L257,624)-MAX('Activities'!K257,618))</x:f>
        <x:v>0</x:v>
      </x:c>
      <x:c r="DE257" s="23" t="n">
        <x:f>MAX(0,MIN('Activities'!L257,630)-MAX('Activities'!K257,624))</x:f>
        <x:v>0</x:v>
      </x:c>
      <x:c r="DF257" s="23" t="n">
        <x:f>MAX(0,MIN('Activities'!L257,636)-MAX('Activities'!K257,630))</x:f>
        <x:v>0</x:v>
      </x:c>
    </x:row>
    <x:row r="258" ht="23" customHeight="1">
      <x:c r="A258" s="6" t="str">
        <x:v>T2-L09-M</x:v>
      </x:c>
      <x:c r="B258" s="6" t="str">
        <x:v>T2</x:v>
      </x:c>
      <x:c r="C258" s="6" t="str">
        <x:v>Partition masonry</x:v>
      </x:c>
      <x:c r="D258" s="6" t="str">
        <x:v>Masonry</x:v>
      </x:c>
      <x:c r="E258" s="22" t="n">
        <x:f>MAX(0,MIN('Activities'!L258,6)-MAX('Activities'!K258,0))</x:f>
        <x:v>0</x:v>
      </x:c>
      <x:c r="F258" s="22" t="n">
        <x:f>MAX(0,MIN('Activities'!L258,12)-MAX('Activities'!K258,6))</x:f>
        <x:v>0</x:v>
      </x:c>
      <x:c r="G258" s="22" t="n">
        <x:f>MAX(0,MIN('Activities'!L258,18)-MAX('Activities'!K258,12))</x:f>
        <x:v>0</x:v>
      </x:c>
      <x:c r="H258" s="22" t="n">
        <x:f>MAX(0,MIN('Activities'!L258,24)-MAX('Activities'!K258,18))</x:f>
        <x:v>0</x:v>
      </x:c>
      <x:c r="I258" s="22" t="n">
        <x:f>MAX(0,MIN('Activities'!L258,30)-MAX('Activities'!K258,24))</x:f>
        <x:v>0</x:v>
      </x:c>
      <x:c r="J258" s="22" t="n">
        <x:f>MAX(0,MIN('Activities'!L258,36)-MAX('Activities'!K258,30))</x:f>
        <x:v>0</x:v>
      </x:c>
      <x:c r="K258" s="22" t="n">
        <x:f>MAX(0,MIN('Activities'!L258,42)-MAX('Activities'!K258,36))</x:f>
        <x:v>0</x:v>
      </x:c>
      <x:c r="L258" s="22" t="n">
        <x:f>MAX(0,MIN('Activities'!L258,48)-MAX('Activities'!K258,42))</x:f>
        <x:v>0</x:v>
      </x:c>
      <x:c r="M258" s="22" t="n">
        <x:f>MAX(0,MIN('Activities'!L258,54)-MAX('Activities'!K258,48))</x:f>
        <x:v>0</x:v>
      </x:c>
      <x:c r="N258" s="22" t="n">
        <x:f>MAX(0,MIN('Activities'!L258,60)-MAX('Activities'!K258,54))</x:f>
        <x:v>0</x:v>
      </x:c>
      <x:c r="O258" s="22" t="n">
        <x:f>MAX(0,MIN('Activities'!L258,66)-MAX('Activities'!K258,60))</x:f>
        <x:v>0</x:v>
      </x:c>
      <x:c r="P258" s="22" t="n">
        <x:f>MAX(0,MIN('Activities'!L258,72)-MAX('Activities'!K258,66))</x:f>
        <x:v>0</x:v>
      </x:c>
      <x:c r="Q258" s="22" t="n">
        <x:f>MAX(0,MIN('Activities'!L258,78)-MAX('Activities'!K258,72))</x:f>
        <x:v>0</x:v>
      </x:c>
      <x:c r="R258" s="22" t="n">
        <x:f>MAX(0,MIN('Activities'!L258,84)-MAX('Activities'!K258,78))</x:f>
        <x:v>0</x:v>
      </x:c>
      <x:c r="S258" s="22" t="n">
        <x:f>MAX(0,MIN('Activities'!L258,90)-MAX('Activities'!K258,84))</x:f>
        <x:v>0</x:v>
      </x:c>
      <x:c r="T258" s="22" t="n">
        <x:f>MAX(0,MIN('Activities'!L258,96)-MAX('Activities'!K258,90))</x:f>
        <x:v>0</x:v>
      </x:c>
      <x:c r="U258" s="22" t="n">
        <x:f>MAX(0,MIN('Activities'!L258,102)-MAX('Activities'!K258,96))</x:f>
        <x:v>0</x:v>
      </x:c>
      <x:c r="V258" s="22" t="n">
        <x:f>MAX(0,MIN('Activities'!L258,108)-MAX('Activities'!K258,102))</x:f>
        <x:v>0</x:v>
      </x:c>
      <x:c r="W258" s="22" t="n">
        <x:f>MAX(0,MIN('Activities'!L258,114)-MAX('Activities'!K258,108))</x:f>
        <x:v>0</x:v>
      </x:c>
      <x:c r="X258" s="22" t="n">
        <x:f>MAX(0,MIN('Activities'!L258,120)-MAX('Activities'!K258,114))</x:f>
        <x:v>0</x:v>
      </x:c>
      <x:c r="Y258" s="22" t="n">
        <x:f>MAX(0,MIN('Activities'!L258,126)-MAX('Activities'!K258,120))</x:f>
        <x:v>0</x:v>
      </x:c>
      <x:c r="Z258" s="22" t="n">
        <x:f>MAX(0,MIN('Activities'!L258,132)-MAX('Activities'!K258,126))</x:f>
        <x:v>0</x:v>
      </x:c>
      <x:c r="AA258" s="22" t="n">
        <x:f>MAX(0,MIN('Activities'!L258,138)-MAX('Activities'!K258,132))</x:f>
        <x:v>0</x:v>
      </x:c>
      <x:c r="AB258" s="22" t="n">
        <x:f>MAX(0,MIN('Activities'!L258,144)-MAX('Activities'!K258,138))</x:f>
        <x:v>0</x:v>
      </x:c>
      <x:c r="AC258" s="22" t="n">
        <x:f>MAX(0,MIN('Activities'!L258,150)-MAX('Activities'!K258,144))</x:f>
        <x:v>0</x:v>
      </x:c>
      <x:c r="AD258" s="22" t="n">
        <x:f>MAX(0,MIN('Activities'!L258,156)-MAX('Activities'!K258,150))</x:f>
        <x:v>0</x:v>
      </x:c>
      <x:c r="AE258" s="22" t="n">
        <x:f>MAX(0,MIN('Activities'!L258,162)-MAX('Activities'!K258,156))</x:f>
        <x:v>0</x:v>
      </x:c>
      <x:c r="AF258" s="22" t="n">
        <x:f>MAX(0,MIN('Activities'!L258,168)-MAX('Activities'!K258,162))</x:f>
        <x:v>0</x:v>
      </x:c>
      <x:c r="AG258" s="22" t="n">
        <x:f>MAX(0,MIN('Activities'!L258,174)-MAX('Activities'!K258,168))</x:f>
        <x:v>0</x:v>
      </x:c>
      <x:c r="AH258" s="22" t="n">
        <x:f>MAX(0,MIN('Activities'!L258,180)-MAX('Activities'!K258,174))</x:f>
        <x:v>0</x:v>
      </x:c>
      <x:c r="AI258" s="22" t="n">
        <x:f>MAX(0,MIN('Activities'!L258,186)-MAX('Activities'!K258,180))</x:f>
        <x:v>0</x:v>
      </x:c>
      <x:c r="AJ258" s="22" t="n">
        <x:f>MAX(0,MIN('Activities'!L258,192)-MAX('Activities'!K258,186))</x:f>
        <x:v>0</x:v>
      </x:c>
      <x:c r="AK258" s="22" t="n">
        <x:f>MAX(0,MIN('Activities'!L258,198)-MAX('Activities'!K258,192))</x:f>
        <x:v>0</x:v>
      </x:c>
      <x:c r="AL258" s="22" t="n">
        <x:f>MAX(0,MIN('Activities'!L258,204)-MAX('Activities'!K258,198))</x:f>
        <x:v>0</x:v>
      </x:c>
      <x:c r="AM258" s="22" t="n">
        <x:f>MAX(0,MIN('Activities'!L258,210)-MAX('Activities'!K258,204))</x:f>
        <x:v>0</x:v>
      </x:c>
      <x:c r="AN258" s="22" t="n">
        <x:f>MAX(0,MIN('Activities'!L258,216)-MAX('Activities'!K258,210))</x:f>
        <x:v>0</x:v>
      </x:c>
      <x:c r="AO258" s="22" t="n">
        <x:f>MAX(0,MIN('Activities'!L258,222)-MAX('Activities'!K258,216))</x:f>
        <x:v>0</x:v>
      </x:c>
      <x:c r="AP258" s="22" t="n">
        <x:f>MAX(0,MIN('Activities'!L258,228)-MAX('Activities'!K258,222))</x:f>
        <x:v>0</x:v>
      </x:c>
      <x:c r="AQ258" s="22" t="n">
        <x:f>MAX(0,MIN('Activities'!L258,234)-MAX('Activities'!K258,228))</x:f>
        <x:v>0</x:v>
      </x:c>
      <x:c r="AR258" s="22" t="n">
        <x:f>MAX(0,MIN('Activities'!L258,240)-MAX('Activities'!K258,234))</x:f>
        <x:v>0</x:v>
      </x:c>
      <x:c r="AS258" s="22" t="n">
        <x:f>MAX(0,MIN('Activities'!L258,246)-MAX('Activities'!K258,240))</x:f>
        <x:v>0</x:v>
      </x:c>
      <x:c r="AT258" s="22" t="n">
        <x:f>MAX(0,MIN('Activities'!L258,252)-MAX('Activities'!K258,246))</x:f>
        <x:v>0</x:v>
      </x:c>
      <x:c r="AU258" s="22" t="n">
        <x:f>MAX(0,MIN('Activities'!L258,258)-MAX('Activities'!K258,252))</x:f>
        <x:v>0</x:v>
      </x:c>
      <x:c r="AV258" s="22" t="n">
        <x:f>MAX(0,MIN('Activities'!L258,264)-MAX('Activities'!K258,258))</x:f>
        <x:v>0</x:v>
      </x:c>
      <x:c r="AW258" s="22" t="n">
        <x:f>MAX(0,MIN('Activities'!L258,270)-MAX('Activities'!K258,264))</x:f>
        <x:v>0</x:v>
      </x:c>
      <x:c r="AX258" s="22" t="n">
        <x:f>MAX(0,MIN('Activities'!L258,276)-MAX('Activities'!K258,270))</x:f>
        <x:v>0</x:v>
      </x:c>
      <x:c r="AY258" s="22" t="n">
        <x:f>MAX(0,MIN('Activities'!L258,282)-MAX('Activities'!K258,276))</x:f>
        <x:v>0</x:v>
      </x:c>
      <x:c r="AZ258" s="22" t="n">
        <x:f>MAX(0,MIN('Activities'!L258,288)-MAX('Activities'!K258,282))</x:f>
        <x:v>0</x:v>
      </x:c>
      <x:c r="BA258" s="22" t="n">
        <x:f>MAX(0,MIN('Activities'!L258,294)-MAX('Activities'!K258,288))</x:f>
        <x:v>0</x:v>
      </x:c>
      <x:c r="BB258" s="22" t="n">
        <x:f>MAX(0,MIN('Activities'!L258,300)-MAX('Activities'!K258,294))</x:f>
        <x:v>0</x:v>
      </x:c>
      <x:c r="BC258" s="22" t="n">
        <x:f>MAX(0,MIN('Activities'!L258,306)-MAX('Activities'!K258,300))</x:f>
        <x:v>0</x:v>
      </x:c>
      <x:c r="BD258" s="22" t="n">
        <x:f>MAX(0,MIN('Activities'!L258,312)-MAX('Activities'!K258,306))</x:f>
        <x:v>0</x:v>
      </x:c>
      <x:c r="BE258" s="22" t="n">
        <x:f>MAX(0,MIN('Activities'!L258,318)-MAX('Activities'!K258,312))</x:f>
        <x:v>0</x:v>
      </x:c>
      <x:c r="BF258" s="22" t="n">
        <x:f>MAX(0,MIN('Activities'!L258,324)-MAX('Activities'!K258,318))</x:f>
        <x:v>0</x:v>
      </x:c>
      <x:c r="BG258" s="22" t="n">
        <x:f>MAX(0,MIN('Activities'!L258,330)-MAX('Activities'!K258,324))</x:f>
        <x:v>0</x:v>
      </x:c>
      <x:c r="BH258" s="22" t="n">
        <x:f>MAX(0,MIN('Activities'!L258,336)-MAX('Activities'!K258,330))</x:f>
        <x:v>0</x:v>
      </x:c>
      <x:c r="BI258" s="22" t="n">
        <x:f>MAX(0,MIN('Activities'!L258,342)-MAX('Activities'!K258,336))</x:f>
        <x:v>0</x:v>
      </x:c>
      <x:c r="BJ258" s="22" t="n">
        <x:f>MAX(0,MIN('Activities'!L258,348)-MAX('Activities'!K258,342))</x:f>
        <x:v>0</x:v>
      </x:c>
      <x:c r="BK258" s="22" t="n">
        <x:f>MAX(0,MIN('Activities'!L258,354)-MAX('Activities'!K258,348))</x:f>
        <x:v>0</x:v>
      </x:c>
      <x:c r="BL258" s="22" t="n">
        <x:f>MAX(0,MIN('Activities'!L258,360)-MAX('Activities'!K258,354))</x:f>
        <x:v>0</x:v>
      </x:c>
      <x:c r="BM258" s="22" t="n">
        <x:f>MAX(0,MIN('Activities'!L258,366)-MAX('Activities'!K258,360))</x:f>
        <x:v>0</x:v>
      </x:c>
      <x:c r="BN258" s="22" t="n">
        <x:f>MAX(0,MIN('Activities'!L258,372)-MAX('Activities'!K258,366))</x:f>
        <x:v>0</x:v>
      </x:c>
      <x:c r="BO258" s="22" t="n">
        <x:f>MAX(0,MIN('Activities'!L258,378)-MAX('Activities'!K258,372))</x:f>
        <x:v>0</x:v>
      </x:c>
      <x:c r="BP258" s="22" t="n">
        <x:f>MAX(0,MIN('Activities'!L258,384)-MAX('Activities'!K258,378))</x:f>
        <x:v>0</x:v>
      </x:c>
      <x:c r="BQ258" s="22" t="n">
        <x:f>MAX(0,MIN('Activities'!L258,390)-MAX('Activities'!K258,384))</x:f>
        <x:v>5</x:v>
      </x:c>
      <x:c r="BR258" s="22" t="n">
        <x:f>MAX(0,MIN('Activities'!L258,396)-MAX('Activities'!K258,390))</x:f>
        <x:v>0</x:v>
      </x:c>
      <x:c r="BS258" s="22" t="n">
        <x:f>MAX(0,MIN('Activities'!L258,402)-MAX('Activities'!K258,396))</x:f>
        <x:v>0</x:v>
      </x:c>
      <x:c r="BT258" s="22" t="n">
        <x:f>MAX(0,MIN('Activities'!L258,408)-MAX('Activities'!K258,402))</x:f>
        <x:v>0</x:v>
      </x:c>
      <x:c r="BU258" s="22" t="n">
        <x:f>MAX(0,MIN('Activities'!L258,414)-MAX('Activities'!K258,408))</x:f>
        <x:v>0</x:v>
      </x:c>
      <x:c r="BV258" s="22" t="n">
        <x:f>MAX(0,MIN('Activities'!L258,420)-MAX('Activities'!K258,414))</x:f>
        <x:v>0</x:v>
      </x:c>
      <x:c r="BW258" s="22" t="n">
        <x:f>MAX(0,MIN('Activities'!L258,426)-MAX('Activities'!K258,420))</x:f>
        <x:v>0</x:v>
      </x:c>
      <x:c r="BX258" s="22" t="n">
        <x:f>MAX(0,MIN('Activities'!L258,432)-MAX('Activities'!K258,426))</x:f>
        <x:v>0</x:v>
      </x:c>
      <x:c r="BY258" s="22" t="n">
        <x:f>MAX(0,MIN('Activities'!L258,438)-MAX('Activities'!K258,432))</x:f>
        <x:v>0</x:v>
      </x:c>
      <x:c r="BZ258" s="22" t="n">
        <x:f>MAX(0,MIN('Activities'!L258,444)-MAX('Activities'!K258,438))</x:f>
        <x:v>0</x:v>
      </x:c>
      <x:c r="CA258" s="22" t="n">
        <x:f>MAX(0,MIN('Activities'!L258,450)-MAX('Activities'!K258,444))</x:f>
        <x:v>0</x:v>
      </x:c>
      <x:c r="CB258" s="22" t="n">
        <x:f>MAX(0,MIN('Activities'!L258,456)-MAX('Activities'!K258,450))</x:f>
        <x:v>0</x:v>
      </x:c>
      <x:c r="CC258" s="22" t="n">
        <x:f>MAX(0,MIN('Activities'!L258,462)-MAX('Activities'!K258,456))</x:f>
        <x:v>0</x:v>
      </x:c>
      <x:c r="CD258" s="22" t="n">
        <x:f>MAX(0,MIN('Activities'!L258,468)-MAX('Activities'!K258,462))</x:f>
        <x:v>0</x:v>
      </x:c>
      <x:c r="CE258" s="22" t="n">
        <x:f>MAX(0,MIN('Activities'!L258,474)-MAX('Activities'!K258,468))</x:f>
        <x:v>0</x:v>
      </x:c>
      <x:c r="CF258" s="22" t="n">
        <x:f>MAX(0,MIN('Activities'!L258,480)-MAX('Activities'!K258,474))</x:f>
        <x:v>0</x:v>
      </x:c>
      <x:c r="CG258" s="22" t="n">
        <x:f>MAX(0,MIN('Activities'!L258,486)-MAX('Activities'!K258,480))</x:f>
        <x:v>0</x:v>
      </x:c>
      <x:c r="CH258" s="22" t="n">
        <x:f>MAX(0,MIN('Activities'!L258,492)-MAX('Activities'!K258,486))</x:f>
        <x:v>0</x:v>
      </x:c>
      <x:c r="CI258" s="22" t="n">
        <x:f>MAX(0,MIN('Activities'!L258,498)-MAX('Activities'!K258,492))</x:f>
        <x:v>0</x:v>
      </x:c>
      <x:c r="CJ258" s="22" t="n">
        <x:f>MAX(0,MIN('Activities'!L258,504)-MAX('Activities'!K258,498))</x:f>
        <x:v>0</x:v>
      </x:c>
      <x:c r="CK258" s="22" t="n">
        <x:f>MAX(0,MIN('Activities'!L258,510)-MAX('Activities'!K258,504))</x:f>
        <x:v>0</x:v>
      </x:c>
      <x:c r="CL258" s="22" t="n">
        <x:f>MAX(0,MIN('Activities'!L258,516)-MAX('Activities'!K258,510))</x:f>
        <x:v>0</x:v>
      </x:c>
      <x:c r="CM258" s="22" t="n">
        <x:f>MAX(0,MIN('Activities'!L258,522)-MAX('Activities'!K258,516))</x:f>
        <x:v>0</x:v>
      </x:c>
      <x:c r="CN258" s="22" t="n">
        <x:f>MAX(0,MIN('Activities'!L258,528)-MAX('Activities'!K258,522))</x:f>
        <x:v>0</x:v>
      </x:c>
      <x:c r="CO258" s="22" t="n">
        <x:f>MAX(0,MIN('Activities'!L258,534)-MAX('Activities'!K258,528))</x:f>
        <x:v>0</x:v>
      </x:c>
      <x:c r="CP258" s="22" t="n">
        <x:f>MAX(0,MIN('Activities'!L258,540)-MAX('Activities'!K258,534))</x:f>
        <x:v>0</x:v>
      </x:c>
      <x:c r="CQ258" s="22" t="n">
        <x:f>MAX(0,MIN('Activities'!L258,546)-MAX('Activities'!K258,540))</x:f>
        <x:v>0</x:v>
      </x:c>
      <x:c r="CR258" s="22" t="n">
        <x:f>MAX(0,MIN('Activities'!L258,552)-MAX('Activities'!K258,546))</x:f>
        <x:v>0</x:v>
      </x:c>
      <x:c r="CS258" s="22" t="n">
        <x:f>MAX(0,MIN('Activities'!L258,558)-MAX('Activities'!K258,552))</x:f>
        <x:v>0</x:v>
      </x:c>
      <x:c r="CT258" s="22" t="n">
        <x:f>MAX(0,MIN('Activities'!L258,564)-MAX('Activities'!K258,558))</x:f>
        <x:v>0</x:v>
      </x:c>
      <x:c r="CU258" s="22" t="n">
        <x:f>MAX(0,MIN('Activities'!L258,570)-MAX('Activities'!K258,564))</x:f>
        <x:v>0</x:v>
      </x:c>
      <x:c r="CV258" s="22" t="n">
        <x:f>MAX(0,MIN('Activities'!L258,576)-MAX('Activities'!K258,570))</x:f>
        <x:v>0</x:v>
      </x:c>
      <x:c r="CW258" s="22" t="n">
        <x:f>MAX(0,MIN('Activities'!L258,582)-MAX('Activities'!K258,576))</x:f>
        <x:v>0</x:v>
      </x:c>
      <x:c r="CX258" s="22" t="n">
        <x:f>MAX(0,MIN('Activities'!L258,588)-MAX('Activities'!K258,582))</x:f>
        <x:v>0</x:v>
      </x:c>
      <x:c r="CY258" s="22" t="n">
        <x:f>MAX(0,MIN('Activities'!L258,594)-MAX('Activities'!K258,588))</x:f>
        <x:v>0</x:v>
      </x:c>
      <x:c r="CZ258" s="22" t="n">
        <x:f>MAX(0,MIN('Activities'!L258,600)-MAX('Activities'!K258,594))</x:f>
        <x:v>0</x:v>
      </x:c>
      <x:c r="DA258" s="22" t="n">
        <x:f>MAX(0,MIN('Activities'!L258,606)-MAX('Activities'!K258,600))</x:f>
        <x:v>0</x:v>
      </x:c>
      <x:c r="DB258" s="22" t="n">
        <x:f>MAX(0,MIN('Activities'!L258,612)-MAX('Activities'!K258,606))</x:f>
        <x:v>0</x:v>
      </x:c>
      <x:c r="DC258" s="22" t="n">
        <x:f>MAX(0,MIN('Activities'!L258,618)-MAX('Activities'!K258,612))</x:f>
        <x:v>0</x:v>
      </x:c>
      <x:c r="DD258" s="22" t="n">
        <x:f>MAX(0,MIN('Activities'!L258,624)-MAX('Activities'!K258,618))</x:f>
        <x:v>0</x:v>
      </x:c>
      <x:c r="DE258" s="22" t="n">
        <x:f>MAX(0,MIN('Activities'!L258,630)-MAX('Activities'!K258,624))</x:f>
        <x:v>0</x:v>
      </x:c>
      <x:c r="DF258" s="22" t="n">
        <x:f>MAX(0,MIN('Activities'!L258,636)-MAX('Activities'!K258,630))</x:f>
        <x:v>0</x:v>
      </x:c>
    </x:row>
    <x:row r="259" ht="23" customHeight="1">
      <x:c r="A259" s="1" t="str">
        <x:v>T2-L09-P</x:v>
      </x:c>
      <x:c r="B259" s="1" t="str">
        <x:v>T2</x:v>
      </x:c>
      <x:c r="C259" s="1" t="str">
        <x:v>Internal plaster</x:v>
      </x:c>
      <x:c r="D259" s="1" t="str">
        <x:v>Finishes</x:v>
      </x:c>
      <x:c r="E259" s="23" t="n">
        <x:f>MAX(0,MIN('Activities'!L259,6)-MAX('Activities'!K259,0))</x:f>
        <x:v>0</x:v>
      </x:c>
      <x:c r="F259" s="23" t="n">
        <x:f>MAX(0,MIN('Activities'!L259,12)-MAX('Activities'!K259,6))</x:f>
        <x:v>0</x:v>
      </x:c>
      <x:c r="G259" s="23" t="n">
        <x:f>MAX(0,MIN('Activities'!L259,18)-MAX('Activities'!K259,12))</x:f>
        <x:v>0</x:v>
      </x:c>
      <x:c r="H259" s="23" t="n">
        <x:f>MAX(0,MIN('Activities'!L259,24)-MAX('Activities'!K259,18))</x:f>
        <x:v>0</x:v>
      </x:c>
      <x:c r="I259" s="23" t="n">
        <x:f>MAX(0,MIN('Activities'!L259,30)-MAX('Activities'!K259,24))</x:f>
        <x:v>0</x:v>
      </x:c>
      <x:c r="J259" s="23" t="n">
        <x:f>MAX(0,MIN('Activities'!L259,36)-MAX('Activities'!K259,30))</x:f>
        <x:v>0</x:v>
      </x:c>
      <x:c r="K259" s="23" t="n">
        <x:f>MAX(0,MIN('Activities'!L259,42)-MAX('Activities'!K259,36))</x:f>
        <x:v>0</x:v>
      </x:c>
      <x:c r="L259" s="23" t="n">
        <x:f>MAX(0,MIN('Activities'!L259,48)-MAX('Activities'!K259,42))</x:f>
        <x:v>0</x:v>
      </x:c>
      <x:c r="M259" s="23" t="n">
        <x:f>MAX(0,MIN('Activities'!L259,54)-MAX('Activities'!K259,48))</x:f>
        <x:v>0</x:v>
      </x:c>
      <x:c r="N259" s="23" t="n">
        <x:f>MAX(0,MIN('Activities'!L259,60)-MAX('Activities'!K259,54))</x:f>
        <x:v>0</x:v>
      </x:c>
      <x:c r="O259" s="23" t="n">
        <x:f>MAX(0,MIN('Activities'!L259,66)-MAX('Activities'!K259,60))</x:f>
        <x:v>0</x:v>
      </x:c>
      <x:c r="P259" s="23" t="n">
        <x:f>MAX(0,MIN('Activities'!L259,72)-MAX('Activities'!K259,66))</x:f>
        <x:v>0</x:v>
      </x:c>
      <x:c r="Q259" s="23" t="n">
        <x:f>MAX(0,MIN('Activities'!L259,78)-MAX('Activities'!K259,72))</x:f>
        <x:v>0</x:v>
      </x:c>
      <x:c r="R259" s="23" t="n">
        <x:f>MAX(0,MIN('Activities'!L259,84)-MAX('Activities'!K259,78))</x:f>
        <x:v>0</x:v>
      </x:c>
      <x:c r="S259" s="23" t="n">
        <x:f>MAX(0,MIN('Activities'!L259,90)-MAX('Activities'!K259,84))</x:f>
        <x:v>0</x:v>
      </x:c>
      <x:c r="T259" s="23" t="n">
        <x:f>MAX(0,MIN('Activities'!L259,96)-MAX('Activities'!K259,90))</x:f>
        <x:v>0</x:v>
      </x:c>
      <x:c r="U259" s="23" t="n">
        <x:f>MAX(0,MIN('Activities'!L259,102)-MAX('Activities'!K259,96))</x:f>
        <x:v>0</x:v>
      </x:c>
      <x:c r="V259" s="23" t="n">
        <x:f>MAX(0,MIN('Activities'!L259,108)-MAX('Activities'!K259,102))</x:f>
        <x:v>0</x:v>
      </x:c>
      <x:c r="W259" s="23" t="n">
        <x:f>MAX(0,MIN('Activities'!L259,114)-MAX('Activities'!K259,108))</x:f>
        <x:v>0</x:v>
      </x:c>
      <x:c r="X259" s="23" t="n">
        <x:f>MAX(0,MIN('Activities'!L259,120)-MAX('Activities'!K259,114))</x:f>
        <x:v>0</x:v>
      </x:c>
      <x:c r="Y259" s="23" t="n">
        <x:f>MAX(0,MIN('Activities'!L259,126)-MAX('Activities'!K259,120))</x:f>
        <x:v>0</x:v>
      </x:c>
      <x:c r="Z259" s="23" t="n">
        <x:f>MAX(0,MIN('Activities'!L259,132)-MAX('Activities'!K259,126))</x:f>
        <x:v>0</x:v>
      </x:c>
      <x:c r="AA259" s="23" t="n">
        <x:f>MAX(0,MIN('Activities'!L259,138)-MAX('Activities'!K259,132))</x:f>
        <x:v>0</x:v>
      </x:c>
      <x:c r="AB259" s="23" t="n">
        <x:f>MAX(0,MIN('Activities'!L259,144)-MAX('Activities'!K259,138))</x:f>
        <x:v>0</x:v>
      </x:c>
      <x:c r="AC259" s="23" t="n">
        <x:f>MAX(0,MIN('Activities'!L259,150)-MAX('Activities'!K259,144))</x:f>
        <x:v>0</x:v>
      </x:c>
      <x:c r="AD259" s="23" t="n">
        <x:f>MAX(0,MIN('Activities'!L259,156)-MAX('Activities'!K259,150))</x:f>
        <x:v>0</x:v>
      </x:c>
      <x:c r="AE259" s="23" t="n">
        <x:f>MAX(0,MIN('Activities'!L259,162)-MAX('Activities'!K259,156))</x:f>
        <x:v>0</x:v>
      </x:c>
      <x:c r="AF259" s="23" t="n">
        <x:f>MAX(0,MIN('Activities'!L259,168)-MAX('Activities'!K259,162))</x:f>
        <x:v>0</x:v>
      </x:c>
      <x:c r="AG259" s="23" t="n">
        <x:f>MAX(0,MIN('Activities'!L259,174)-MAX('Activities'!K259,168))</x:f>
        <x:v>0</x:v>
      </x:c>
      <x:c r="AH259" s="23" t="n">
        <x:f>MAX(0,MIN('Activities'!L259,180)-MAX('Activities'!K259,174))</x:f>
        <x:v>0</x:v>
      </x:c>
      <x:c r="AI259" s="23" t="n">
        <x:f>MAX(0,MIN('Activities'!L259,186)-MAX('Activities'!K259,180))</x:f>
        <x:v>0</x:v>
      </x:c>
      <x:c r="AJ259" s="23" t="n">
        <x:f>MAX(0,MIN('Activities'!L259,192)-MAX('Activities'!K259,186))</x:f>
        <x:v>0</x:v>
      </x:c>
      <x:c r="AK259" s="23" t="n">
        <x:f>MAX(0,MIN('Activities'!L259,198)-MAX('Activities'!K259,192))</x:f>
        <x:v>0</x:v>
      </x:c>
      <x:c r="AL259" s="23" t="n">
        <x:f>MAX(0,MIN('Activities'!L259,204)-MAX('Activities'!K259,198))</x:f>
        <x:v>0</x:v>
      </x:c>
      <x:c r="AM259" s="23" t="n">
        <x:f>MAX(0,MIN('Activities'!L259,210)-MAX('Activities'!K259,204))</x:f>
        <x:v>0</x:v>
      </x:c>
      <x:c r="AN259" s="23" t="n">
        <x:f>MAX(0,MIN('Activities'!L259,216)-MAX('Activities'!K259,210))</x:f>
        <x:v>0</x:v>
      </x:c>
      <x:c r="AO259" s="23" t="n">
        <x:f>MAX(0,MIN('Activities'!L259,222)-MAX('Activities'!K259,216))</x:f>
        <x:v>0</x:v>
      </x:c>
      <x:c r="AP259" s="23" t="n">
        <x:f>MAX(0,MIN('Activities'!L259,228)-MAX('Activities'!K259,222))</x:f>
        <x:v>0</x:v>
      </x:c>
      <x:c r="AQ259" s="23" t="n">
        <x:f>MAX(0,MIN('Activities'!L259,234)-MAX('Activities'!K259,228))</x:f>
        <x:v>0</x:v>
      </x:c>
      <x:c r="AR259" s="23" t="n">
        <x:f>MAX(0,MIN('Activities'!L259,240)-MAX('Activities'!K259,234))</x:f>
        <x:v>0</x:v>
      </x:c>
      <x:c r="AS259" s="23" t="n">
        <x:f>MAX(0,MIN('Activities'!L259,246)-MAX('Activities'!K259,240))</x:f>
        <x:v>0</x:v>
      </x:c>
      <x:c r="AT259" s="23" t="n">
        <x:f>MAX(0,MIN('Activities'!L259,252)-MAX('Activities'!K259,246))</x:f>
        <x:v>0</x:v>
      </x:c>
      <x:c r="AU259" s="23" t="n">
        <x:f>MAX(0,MIN('Activities'!L259,258)-MAX('Activities'!K259,252))</x:f>
        <x:v>0</x:v>
      </x:c>
      <x:c r="AV259" s="23" t="n">
        <x:f>MAX(0,MIN('Activities'!L259,264)-MAX('Activities'!K259,258))</x:f>
        <x:v>0</x:v>
      </x:c>
      <x:c r="AW259" s="23" t="n">
        <x:f>MAX(0,MIN('Activities'!L259,270)-MAX('Activities'!K259,264))</x:f>
        <x:v>0</x:v>
      </x:c>
      <x:c r="AX259" s="23" t="n">
        <x:f>MAX(0,MIN('Activities'!L259,276)-MAX('Activities'!K259,270))</x:f>
        <x:v>0</x:v>
      </x:c>
      <x:c r="AY259" s="23" t="n">
        <x:f>MAX(0,MIN('Activities'!L259,282)-MAX('Activities'!K259,276))</x:f>
        <x:v>0</x:v>
      </x:c>
      <x:c r="AZ259" s="23" t="n">
        <x:f>MAX(0,MIN('Activities'!L259,288)-MAX('Activities'!K259,282))</x:f>
        <x:v>0</x:v>
      </x:c>
      <x:c r="BA259" s="23" t="n">
        <x:f>MAX(0,MIN('Activities'!L259,294)-MAX('Activities'!K259,288))</x:f>
        <x:v>0</x:v>
      </x:c>
      <x:c r="BB259" s="23" t="n">
        <x:f>MAX(0,MIN('Activities'!L259,300)-MAX('Activities'!K259,294))</x:f>
        <x:v>0</x:v>
      </x:c>
      <x:c r="BC259" s="23" t="n">
        <x:f>MAX(0,MIN('Activities'!L259,306)-MAX('Activities'!K259,300))</x:f>
        <x:v>0</x:v>
      </x:c>
      <x:c r="BD259" s="23" t="n">
        <x:f>MAX(0,MIN('Activities'!L259,312)-MAX('Activities'!K259,306))</x:f>
        <x:v>0</x:v>
      </x:c>
      <x:c r="BE259" s="23" t="n">
        <x:f>MAX(0,MIN('Activities'!L259,318)-MAX('Activities'!K259,312))</x:f>
        <x:v>0</x:v>
      </x:c>
      <x:c r="BF259" s="23" t="n">
        <x:f>MAX(0,MIN('Activities'!L259,324)-MAX('Activities'!K259,318))</x:f>
        <x:v>0</x:v>
      </x:c>
      <x:c r="BG259" s="23" t="n">
        <x:f>MAX(0,MIN('Activities'!L259,330)-MAX('Activities'!K259,324))</x:f>
        <x:v>0</x:v>
      </x:c>
      <x:c r="BH259" s="23" t="n">
        <x:f>MAX(0,MIN('Activities'!L259,336)-MAX('Activities'!K259,330))</x:f>
        <x:v>0</x:v>
      </x:c>
      <x:c r="BI259" s="23" t="n">
        <x:f>MAX(0,MIN('Activities'!L259,342)-MAX('Activities'!K259,336))</x:f>
        <x:v>0</x:v>
      </x:c>
      <x:c r="BJ259" s="23" t="n">
        <x:f>MAX(0,MIN('Activities'!L259,348)-MAX('Activities'!K259,342))</x:f>
        <x:v>0</x:v>
      </x:c>
      <x:c r="BK259" s="23" t="n">
        <x:f>MAX(0,MIN('Activities'!L259,354)-MAX('Activities'!K259,348))</x:f>
        <x:v>0</x:v>
      </x:c>
      <x:c r="BL259" s="23" t="n">
        <x:f>MAX(0,MIN('Activities'!L259,360)-MAX('Activities'!K259,354))</x:f>
        <x:v>0</x:v>
      </x:c>
      <x:c r="BM259" s="23" t="n">
        <x:f>MAX(0,MIN('Activities'!L259,366)-MAX('Activities'!K259,360))</x:f>
        <x:v>0</x:v>
      </x:c>
      <x:c r="BN259" s="23" t="n">
        <x:f>MAX(0,MIN('Activities'!L259,372)-MAX('Activities'!K259,366))</x:f>
        <x:v>0</x:v>
      </x:c>
      <x:c r="BO259" s="23" t="n">
        <x:f>MAX(0,MIN('Activities'!L259,378)-MAX('Activities'!K259,372))</x:f>
        <x:v>0</x:v>
      </x:c>
      <x:c r="BP259" s="23" t="n">
        <x:f>MAX(0,MIN('Activities'!L259,384)-MAX('Activities'!K259,378))</x:f>
        <x:v>0</x:v>
      </x:c>
      <x:c r="BQ259" s="23" t="n">
        <x:f>MAX(0,MIN('Activities'!L259,390)-MAX('Activities'!K259,384))</x:f>
        <x:v>0</x:v>
      </x:c>
      <x:c r="BR259" s="23" t="n">
        <x:f>MAX(0,MIN('Activities'!L259,396)-MAX('Activities'!K259,390))</x:f>
        <x:v>3</x:v>
      </x:c>
      <x:c r="BS259" s="23" t="n">
        <x:f>MAX(0,MIN('Activities'!L259,402)-MAX('Activities'!K259,396))</x:f>
        <x:v>3</x:v>
      </x:c>
      <x:c r="BT259" s="23" t="n">
        <x:f>MAX(0,MIN('Activities'!L259,408)-MAX('Activities'!K259,402))</x:f>
        <x:v>0</x:v>
      </x:c>
      <x:c r="BU259" s="23" t="n">
        <x:f>MAX(0,MIN('Activities'!L259,414)-MAX('Activities'!K259,408))</x:f>
        <x:v>0</x:v>
      </x:c>
      <x:c r="BV259" s="23" t="n">
        <x:f>MAX(0,MIN('Activities'!L259,420)-MAX('Activities'!K259,414))</x:f>
        <x:v>0</x:v>
      </x:c>
      <x:c r="BW259" s="23" t="n">
        <x:f>MAX(0,MIN('Activities'!L259,426)-MAX('Activities'!K259,420))</x:f>
        <x:v>0</x:v>
      </x:c>
      <x:c r="BX259" s="23" t="n">
        <x:f>MAX(0,MIN('Activities'!L259,432)-MAX('Activities'!K259,426))</x:f>
        <x:v>0</x:v>
      </x:c>
      <x:c r="BY259" s="23" t="n">
        <x:f>MAX(0,MIN('Activities'!L259,438)-MAX('Activities'!K259,432))</x:f>
        <x:v>0</x:v>
      </x:c>
      <x:c r="BZ259" s="23" t="n">
        <x:f>MAX(0,MIN('Activities'!L259,444)-MAX('Activities'!K259,438))</x:f>
        <x:v>0</x:v>
      </x:c>
      <x:c r="CA259" s="23" t="n">
        <x:f>MAX(0,MIN('Activities'!L259,450)-MAX('Activities'!K259,444))</x:f>
        <x:v>0</x:v>
      </x:c>
      <x:c r="CB259" s="23" t="n">
        <x:f>MAX(0,MIN('Activities'!L259,456)-MAX('Activities'!K259,450))</x:f>
        <x:v>0</x:v>
      </x:c>
      <x:c r="CC259" s="23" t="n">
        <x:f>MAX(0,MIN('Activities'!L259,462)-MAX('Activities'!K259,456))</x:f>
        <x:v>0</x:v>
      </x:c>
      <x:c r="CD259" s="23" t="n">
        <x:f>MAX(0,MIN('Activities'!L259,468)-MAX('Activities'!K259,462))</x:f>
        <x:v>0</x:v>
      </x:c>
      <x:c r="CE259" s="23" t="n">
        <x:f>MAX(0,MIN('Activities'!L259,474)-MAX('Activities'!K259,468))</x:f>
        <x:v>0</x:v>
      </x:c>
      <x:c r="CF259" s="23" t="n">
        <x:f>MAX(0,MIN('Activities'!L259,480)-MAX('Activities'!K259,474))</x:f>
        <x:v>0</x:v>
      </x:c>
      <x:c r="CG259" s="23" t="n">
        <x:f>MAX(0,MIN('Activities'!L259,486)-MAX('Activities'!K259,480))</x:f>
        <x:v>0</x:v>
      </x:c>
      <x:c r="CH259" s="23" t="n">
        <x:f>MAX(0,MIN('Activities'!L259,492)-MAX('Activities'!K259,486))</x:f>
        <x:v>0</x:v>
      </x:c>
      <x:c r="CI259" s="23" t="n">
        <x:f>MAX(0,MIN('Activities'!L259,498)-MAX('Activities'!K259,492))</x:f>
        <x:v>0</x:v>
      </x:c>
      <x:c r="CJ259" s="23" t="n">
        <x:f>MAX(0,MIN('Activities'!L259,504)-MAX('Activities'!K259,498))</x:f>
        <x:v>0</x:v>
      </x:c>
      <x:c r="CK259" s="23" t="n">
        <x:f>MAX(0,MIN('Activities'!L259,510)-MAX('Activities'!K259,504))</x:f>
        <x:v>0</x:v>
      </x:c>
      <x:c r="CL259" s="23" t="n">
        <x:f>MAX(0,MIN('Activities'!L259,516)-MAX('Activities'!K259,510))</x:f>
        <x:v>0</x:v>
      </x:c>
      <x:c r="CM259" s="23" t="n">
        <x:f>MAX(0,MIN('Activities'!L259,522)-MAX('Activities'!K259,516))</x:f>
        <x:v>0</x:v>
      </x:c>
      <x:c r="CN259" s="23" t="n">
        <x:f>MAX(0,MIN('Activities'!L259,528)-MAX('Activities'!K259,522))</x:f>
        <x:v>0</x:v>
      </x:c>
      <x:c r="CO259" s="23" t="n">
        <x:f>MAX(0,MIN('Activities'!L259,534)-MAX('Activities'!K259,528))</x:f>
        <x:v>0</x:v>
      </x:c>
      <x:c r="CP259" s="23" t="n">
        <x:f>MAX(0,MIN('Activities'!L259,540)-MAX('Activities'!K259,534))</x:f>
        <x:v>0</x:v>
      </x:c>
      <x:c r="CQ259" s="23" t="n">
        <x:f>MAX(0,MIN('Activities'!L259,546)-MAX('Activities'!K259,540))</x:f>
        <x:v>0</x:v>
      </x:c>
      <x:c r="CR259" s="23" t="n">
        <x:f>MAX(0,MIN('Activities'!L259,552)-MAX('Activities'!K259,546))</x:f>
        <x:v>0</x:v>
      </x:c>
      <x:c r="CS259" s="23" t="n">
        <x:f>MAX(0,MIN('Activities'!L259,558)-MAX('Activities'!K259,552))</x:f>
        <x:v>0</x:v>
      </x:c>
      <x:c r="CT259" s="23" t="n">
        <x:f>MAX(0,MIN('Activities'!L259,564)-MAX('Activities'!K259,558))</x:f>
        <x:v>0</x:v>
      </x:c>
      <x:c r="CU259" s="23" t="n">
        <x:f>MAX(0,MIN('Activities'!L259,570)-MAX('Activities'!K259,564))</x:f>
        <x:v>0</x:v>
      </x:c>
      <x:c r="CV259" s="23" t="n">
        <x:f>MAX(0,MIN('Activities'!L259,576)-MAX('Activities'!K259,570))</x:f>
        <x:v>0</x:v>
      </x:c>
      <x:c r="CW259" s="23" t="n">
        <x:f>MAX(0,MIN('Activities'!L259,582)-MAX('Activities'!K259,576))</x:f>
        <x:v>0</x:v>
      </x:c>
      <x:c r="CX259" s="23" t="n">
        <x:f>MAX(0,MIN('Activities'!L259,588)-MAX('Activities'!K259,582))</x:f>
        <x:v>0</x:v>
      </x:c>
      <x:c r="CY259" s="23" t="n">
        <x:f>MAX(0,MIN('Activities'!L259,594)-MAX('Activities'!K259,588))</x:f>
        <x:v>0</x:v>
      </x:c>
      <x:c r="CZ259" s="23" t="n">
        <x:f>MAX(0,MIN('Activities'!L259,600)-MAX('Activities'!K259,594))</x:f>
        <x:v>0</x:v>
      </x:c>
      <x:c r="DA259" s="23" t="n">
        <x:f>MAX(0,MIN('Activities'!L259,606)-MAX('Activities'!K259,600))</x:f>
        <x:v>0</x:v>
      </x:c>
      <x:c r="DB259" s="23" t="n">
        <x:f>MAX(0,MIN('Activities'!L259,612)-MAX('Activities'!K259,606))</x:f>
        <x:v>0</x:v>
      </x:c>
      <x:c r="DC259" s="23" t="n">
        <x:f>MAX(0,MIN('Activities'!L259,618)-MAX('Activities'!K259,612))</x:f>
        <x:v>0</x:v>
      </x:c>
      <x:c r="DD259" s="23" t="n">
        <x:f>MAX(0,MIN('Activities'!L259,624)-MAX('Activities'!K259,618))</x:f>
        <x:v>0</x:v>
      </x:c>
      <x:c r="DE259" s="23" t="n">
        <x:f>MAX(0,MIN('Activities'!L259,630)-MAX('Activities'!K259,624))</x:f>
        <x:v>0</x:v>
      </x:c>
      <x:c r="DF259" s="23" t="n">
        <x:f>MAX(0,MIN('Activities'!L259,636)-MAX('Activities'!K259,630))</x:f>
        <x:v>0</x:v>
      </x:c>
    </x:row>
    <x:row r="260" ht="23" customHeight="1">
      <x:c r="A260" s="6" t="str">
        <x:v>T2-L09-S</x:v>
      </x:c>
      <x:c r="B260" s="6" t="str">
        <x:v>T2</x:v>
      </x:c>
      <x:c r="C260" s="6" t="str">
        <x:v>Screed and substrate preparation</x:v>
      </x:c>
      <x:c r="D260" s="6" t="str">
        <x:v>Finishes</x:v>
      </x:c>
      <x:c r="E260" s="22" t="n">
        <x:f>MAX(0,MIN('Activities'!L260,6)-MAX('Activities'!K260,0))</x:f>
        <x:v>0</x:v>
      </x:c>
      <x:c r="F260" s="22" t="n">
        <x:f>MAX(0,MIN('Activities'!L260,12)-MAX('Activities'!K260,6))</x:f>
        <x:v>0</x:v>
      </x:c>
      <x:c r="G260" s="22" t="n">
        <x:f>MAX(0,MIN('Activities'!L260,18)-MAX('Activities'!K260,12))</x:f>
        <x:v>0</x:v>
      </x:c>
      <x:c r="H260" s="22" t="n">
        <x:f>MAX(0,MIN('Activities'!L260,24)-MAX('Activities'!K260,18))</x:f>
        <x:v>0</x:v>
      </x:c>
      <x:c r="I260" s="22" t="n">
        <x:f>MAX(0,MIN('Activities'!L260,30)-MAX('Activities'!K260,24))</x:f>
        <x:v>0</x:v>
      </x:c>
      <x:c r="J260" s="22" t="n">
        <x:f>MAX(0,MIN('Activities'!L260,36)-MAX('Activities'!K260,30))</x:f>
        <x:v>0</x:v>
      </x:c>
      <x:c r="K260" s="22" t="n">
        <x:f>MAX(0,MIN('Activities'!L260,42)-MAX('Activities'!K260,36))</x:f>
        <x:v>0</x:v>
      </x:c>
      <x:c r="L260" s="22" t="n">
        <x:f>MAX(0,MIN('Activities'!L260,48)-MAX('Activities'!K260,42))</x:f>
        <x:v>0</x:v>
      </x:c>
      <x:c r="M260" s="22" t="n">
        <x:f>MAX(0,MIN('Activities'!L260,54)-MAX('Activities'!K260,48))</x:f>
        <x:v>0</x:v>
      </x:c>
      <x:c r="N260" s="22" t="n">
        <x:f>MAX(0,MIN('Activities'!L260,60)-MAX('Activities'!K260,54))</x:f>
        <x:v>0</x:v>
      </x:c>
      <x:c r="O260" s="22" t="n">
        <x:f>MAX(0,MIN('Activities'!L260,66)-MAX('Activities'!K260,60))</x:f>
        <x:v>0</x:v>
      </x:c>
      <x:c r="P260" s="22" t="n">
        <x:f>MAX(0,MIN('Activities'!L260,72)-MAX('Activities'!K260,66))</x:f>
        <x:v>0</x:v>
      </x:c>
      <x:c r="Q260" s="22" t="n">
        <x:f>MAX(0,MIN('Activities'!L260,78)-MAX('Activities'!K260,72))</x:f>
        <x:v>0</x:v>
      </x:c>
      <x:c r="R260" s="22" t="n">
        <x:f>MAX(0,MIN('Activities'!L260,84)-MAX('Activities'!K260,78))</x:f>
        <x:v>0</x:v>
      </x:c>
      <x:c r="S260" s="22" t="n">
        <x:f>MAX(0,MIN('Activities'!L260,90)-MAX('Activities'!K260,84))</x:f>
        <x:v>0</x:v>
      </x:c>
      <x:c r="T260" s="22" t="n">
        <x:f>MAX(0,MIN('Activities'!L260,96)-MAX('Activities'!K260,90))</x:f>
        <x:v>0</x:v>
      </x:c>
      <x:c r="U260" s="22" t="n">
        <x:f>MAX(0,MIN('Activities'!L260,102)-MAX('Activities'!K260,96))</x:f>
        <x:v>0</x:v>
      </x:c>
      <x:c r="V260" s="22" t="n">
        <x:f>MAX(0,MIN('Activities'!L260,108)-MAX('Activities'!K260,102))</x:f>
        <x:v>0</x:v>
      </x:c>
      <x:c r="W260" s="22" t="n">
        <x:f>MAX(0,MIN('Activities'!L260,114)-MAX('Activities'!K260,108))</x:f>
        <x:v>0</x:v>
      </x:c>
      <x:c r="X260" s="22" t="n">
        <x:f>MAX(0,MIN('Activities'!L260,120)-MAX('Activities'!K260,114))</x:f>
        <x:v>0</x:v>
      </x:c>
      <x:c r="Y260" s="22" t="n">
        <x:f>MAX(0,MIN('Activities'!L260,126)-MAX('Activities'!K260,120))</x:f>
        <x:v>0</x:v>
      </x:c>
      <x:c r="Z260" s="22" t="n">
        <x:f>MAX(0,MIN('Activities'!L260,132)-MAX('Activities'!K260,126))</x:f>
        <x:v>0</x:v>
      </x:c>
      <x:c r="AA260" s="22" t="n">
        <x:f>MAX(0,MIN('Activities'!L260,138)-MAX('Activities'!K260,132))</x:f>
        <x:v>0</x:v>
      </x:c>
      <x:c r="AB260" s="22" t="n">
        <x:f>MAX(0,MIN('Activities'!L260,144)-MAX('Activities'!K260,138))</x:f>
        <x:v>0</x:v>
      </x:c>
      <x:c r="AC260" s="22" t="n">
        <x:f>MAX(0,MIN('Activities'!L260,150)-MAX('Activities'!K260,144))</x:f>
        <x:v>0</x:v>
      </x:c>
      <x:c r="AD260" s="22" t="n">
        <x:f>MAX(0,MIN('Activities'!L260,156)-MAX('Activities'!K260,150))</x:f>
        <x:v>0</x:v>
      </x:c>
      <x:c r="AE260" s="22" t="n">
        <x:f>MAX(0,MIN('Activities'!L260,162)-MAX('Activities'!K260,156))</x:f>
        <x:v>0</x:v>
      </x:c>
      <x:c r="AF260" s="22" t="n">
        <x:f>MAX(0,MIN('Activities'!L260,168)-MAX('Activities'!K260,162))</x:f>
        <x:v>0</x:v>
      </x:c>
      <x:c r="AG260" s="22" t="n">
        <x:f>MAX(0,MIN('Activities'!L260,174)-MAX('Activities'!K260,168))</x:f>
        <x:v>0</x:v>
      </x:c>
      <x:c r="AH260" s="22" t="n">
        <x:f>MAX(0,MIN('Activities'!L260,180)-MAX('Activities'!K260,174))</x:f>
        <x:v>0</x:v>
      </x:c>
      <x:c r="AI260" s="22" t="n">
        <x:f>MAX(0,MIN('Activities'!L260,186)-MAX('Activities'!K260,180))</x:f>
        <x:v>0</x:v>
      </x:c>
      <x:c r="AJ260" s="22" t="n">
        <x:f>MAX(0,MIN('Activities'!L260,192)-MAX('Activities'!K260,186))</x:f>
        <x:v>0</x:v>
      </x:c>
      <x:c r="AK260" s="22" t="n">
        <x:f>MAX(0,MIN('Activities'!L260,198)-MAX('Activities'!K260,192))</x:f>
        <x:v>0</x:v>
      </x:c>
      <x:c r="AL260" s="22" t="n">
        <x:f>MAX(0,MIN('Activities'!L260,204)-MAX('Activities'!K260,198))</x:f>
        <x:v>0</x:v>
      </x:c>
      <x:c r="AM260" s="22" t="n">
        <x:f>MAX(0,MIN('Activities'!L260,210)-MAX('Activities'!K260,204))</x:f>
        <x:v>0</x:v>
      </x:c>
      <x:c r="AN260" s="22" t="n">
        <x:f>MAX(0,MIN('Activities'!L260,216)-MAX('Activities'!K260,210))</x:f>
        <x:v>0</x:v>
      </x:c>
      <x:c r="AO260" s="22" t="n">
        <x:f>MAX(0,MIN('Activities'!L260,222)-MAX('Activities'!K260,216))</x:f>
        <x:v>0</x:v>
      </x:c>
      <x:c r="AP260" s="22" t="n">
        <x:f>MAX(0,MIN('Activities'!L260,228)-MAX('Activities'!K260,222))</x:f>
        <x:v>0</x:v>
      </x:c>
      <x:c r="AQ260" s="22" t="n">
        <x:f>MAX(0,MIN('Activities'!L260,234)-MAX('Activities'!K260,228))</x:f>
        <x:v>0</x:v>
      </x:c>
      <x:c r="AR260" s="22" t="n">
        <x:f>MAX(0,MIN('Activities'!L260,240)-MAX('Activities'!K260,234))</x:f>
        <x:v>0</x:v>
      </x:c>
      <x:c r="AS260" s="22" t="n">
        <x:f>MAX(0,MIN('Activities'!L260,246)-MAX('Activities'!K260,240))</x:f>
        <x:v>0</x:v>
      </x:c>
      <x:c r="AT260" s="22" t="n">
        <x:f>MAX(0,MIN('Activities'!L260,252)-MAX('Activities'!K260,246))</x:f>
        <x:v>0</x:v>
      </x:c>
      <x:c r="AU260" s="22" t="n">
        <x:f>MAX(0,MIN('Activities'!L260,258)-MAX('Activities'!K260,252))</x:f>
        <x:v>0</x:v>
      </x:c>
      <x:c r="AV260" s="22" t="n">
        <x:f>MAX(0,MIN('Activities'!L260,264)-MAX('Activities'!K260,258))</x:f>
        <x:v>0</x:v>
      </x:c>
      <x:c r="AW260" s="22" t="n">
        <x:f>MAX(0,MIN('Activities'!L260,270)-MAX('Activities'!K260,264))</x:f>
        <x:v>0</x:v>
      </x:c>
      <x:c r="AX260" s="22" t="n">
        <x:f>MAX(0,MIN('Activities'!L260,276)-MAX('Activities'!K260,270))</x:f>
        <x:v>0</x:v>
      </x:c>
      <x:c r="AY260" s="22" t="n">
        <x:f>MAX(0,MIN('Activities'!L260,282)-MAX('Activities'!K260,276))</x:f>
        <x:v>0</x:v>
      </x:c>
      <x:c r="AZ260" s="22" t="n">
        <x:f>MAX(0,MIN('Activities'!L260,288)-MAX('Activities'!K260,282))</x:f>
        <x:v>0</x:v>
      </x:c>
      <x:c r="BA260" s="22" t="n">
        <x:f>MAX(0,MIN('Activities'!L260,294)-MAX('Activities'!K260,288))</x:f>
        <x:v>0</x:v>
      </x:c>
      <x:c r="BB260" s="22" t="n">
        <x:f>MAX(0,MIN('Activities'!L260,300)-MAX('Activities'!K260,294))</x:f>
        <x:v>0</x:v>
      </x:c>
      <x:c r="BC260" s="22" t="n">
        <x:f>MAX(0,MIN('Activities'!L260,306)-MAX('Activities'!K260,300))</x:f>
        <x:v>0</x:v>
      </x:c>
      <x:c r="BD260" s="22" t="n">
        <x:f>MAX(0,MIN('Activities'!L260,312)-MAX('Activities'!K260,306))</x:f>
        <x:v>0</x:v>
      </x:c>
      <x:c r="BE260" s="22" t="n">
        <x:f>MAX(0,MIN('Activities'!L260,318)-MAX('Activities'!K260,312))</x:f>
        <x:v>0</x:v>
      </x:c>
      <x:c r="BF260" s="22" t="n">
        <x:f>MAX(0,MIN('Activities'!L260,324)-MAX('Activities'!K260,318))</x:f>
        <x:v>0</x:v>
      </x:c>
      <x:c r="BG260" s="22" t="n">
        <x:f>MAX(0,MIN('Activities'!L260,330)-MAX('Activities'!K260,324))</x:f>
        <x:v>0</x:v>
      </x:c>
      <x:c r="BH260" s="22" t="n">
        <x:f>MAX(0,MIN('Activities'!L260,336)-MAX('Activities'!K260,330))</x:f>
        <x:v>0</x:v>
      </x:c>
      <x:c r="BI260" s="22" t="n">
        <x:f>MAX(0,MIN('Activities'!L260,342)-MAX('Activities'!K260,336))</x:f>
        <x:v>0</x:v>
      </x:c>
      <x:c r="BJ260" s="22" t="n">
        <x:f>MAX(0,MIN('Activities'!L260,348)-MAX('Activities'!K260,342))</x:f>
        <x:v>0</x:v>
      </x:c>
      <x:c r="BK260" s="22" t="n">
        <x:f>MAX(0,MIN('Activities'!L260,354)-MAX('Activities'!K260,348))</x:f>
        <x:v>0</x:v>
      </x:c>
      <x:c r="BL260" s="22" t="n">
        <x:f>MAX(0,MIN('Activities'!L260,360)-MAX('Activities'!K260,354))</x:f>
        <x:v>0</x:v>
      </x:c>
      <x:c r="BM260" s="22" t="n">
        <x:f>MAX(0,MIN('Activities'!L260,366)-MAX('Activities'!K260,360))</x:f>
        <x:v>0</x:v>
      </x:c>
      <x:c r="BN260" s="22" t="n">
        <x:f>MAX(0,MIN('Activities'!L260,372)-MAX('Activities'!K260,366))</x:f>
        <x:v>0</x:v>
      </x:c>
      <x:c r="BO260" s="22" t="n">
        <x:f>MAX(0,MIN('Activities'!L260,378)-MAX('Activities'!K260,372))</x:f>
        <x:v>0</x:v>
      </x:c>
      <x:c r="BP260" s="22" t="n">
        <x:f>MAX(0,MIN('Activities'!L260,384)-MAX('Activities'!K260,378))</x:f>
        <x:v>0</x:v>
      </x:c>
      <x:c r="BQ260" s="22" t="n">
        <x:f>MAX(0,MIN('Activities'!L260,390)-MAX('Activities'!K260,384))</x:f>
        <x:v>0</x:v>
      </x:c>
      <x:c r="BR260" s="22" t="n">
        <x:f>MAX(0,MIN('Activities'!L260,396)-MAX('Activities'!K260,390))</x:f>
        <x:v>0</x:v>
      </x:c>
      <x:c r="BS260" s="22" t="n">
        <x:f>MAX(0,MIN('Activities'!L260,402)-MAX('Activities'!K260,396))</x:f>
        <x:v>1</x:v>
      </x:c>
      <x:c r="BT260" s="22" t="n">
        <x:f>MAX(0,MIN('Activities'!L260,408)-MAX('Activities'!K260,402))</x:f>
        <x:v>2</x:v>
      </x:c>
      <x:c r="BU260" s="22" t="n">
        <x:f>MAX(0,MIN('Activities'!L260,414)-MAX('Activities'!K260,408))</x:f>
        <x:v>0</x:v>
      </x:c>
      <x:c r="BV260" s="22" t="n">
        <x:f>MAX(0,MIN('Activities'!L260,420)-MAX('Activities'!K260,414))</x:f>
        <x:v>0</x:v>
      </x:c>
      <x:c r="BW260" s="22" t="n">
        <x:f>MAX(0,MIN('Activities'!L260,426)-MAX('Activities'!K260,420))</x:f>
        <x:v>0</x:v>
      </x:c>
      <x:c r="BX260" s="22" t="n">
        <x:f>MAX(0,MIN('Activities'!L260,432)-MAX('Activities'!K260,426))</x:f>
        <x:v>0</x:v>
      </x:c>
      <x:c r="BY260" s="22" t="n">
        <x:f>MAX(0,MIN('Activities'!L260,438)-MAX('Activities'!K260,432))</x:f>
        <x:v>0</x:v>
      </x:c>
      <x:c r="BZ260" s="22" t="n">
        <x:f>MAX(0,MIN('Activities'!L260,444)-MAX('Activities'!K260,438))</x:f>
        <x:v>0</x:v>
      </x:c>
      <x:c r="CA260" s="22" t="n">
        <x:f>MAX(0,MIN('Activities'!L260,450)-MAX('Activities'!K260,444))</x:f>
        <x:v>0</x:v>
      </x:c>
      <x:c r="CB260" s="22" t="n">
        <x:f>MAX(0,MIN('Activities'!L260,456)-MAX('Activities'!K260,450))</x:f>
        <x:v>0</x:v>
      </x:c>
      <x:c r="CC260" s="22" t="n">
        <x:f>MAX(0,MIN('Activities'!L260,462)-MAX('Activities'!K260,456))</x:f>
        <x:v>0</x:v>
      </x:c>
      <x:c r="CD260" s="22" t="n">
        <x:f>MAX(0,MIN('Activities'!L260,468)-MAX('Activities'!K260,462))</x:f>
        <x:v>0</x:v>
      </x:c>
      <x:c r="CE260" s="22" t="n">
        <x:f>MAX(0,MIN('Activities'!L260,474)-MAX('Activities'!K260,468))</x:f>
        <x:v>0</x:v>
      </x:c>
      <x:c r="CF260" s="22" t="n">
        <x:f>MAX(0,MIN('Activities'!L260,480)-MAX('Activities'!K260,474))</x:f>
        <x:v>0</x:v>
      </x:c>
      <x:c r="CG260" s="22" t="n">
        <x:f>MAX(0,MIN('Activities'!L260,486)-MAX('Activities'!K260,480))</x:f>
        <x:v>0</x:v>
      </x:c>
      <x:c r="CH260" s="22" t="n">
        <x:f>MAX(0,MIN('Activities'!L260,492)-MAX('Activities'!K260,486))</x:f>
        <x:v>0</x:v>
      </x:c>
      <x:c r="CI260" s="22" t="n">
        <x:f>MAX(0,MIN('Activities'!L260,498)-MAX('Activities'!K260,492))</x:f>
        <x:v>0</x:v>
      </x:c>
      <x:c r="CJ260" s="22" t="n">
        <x:f>MAX(0,MIN('Activities'!L260,504)-MAX('Activities'!K260,498))</x:f>
        <x:v>0</x:v>
      </x:c>
      <x:c r="CK260" s="22" t="n">
        <x:f>MAX(0,MIN('Activities'!L260,510)-MAX('Activities'!K260,504))</x:f>
        <x:v>0</x:v>
      </x:c>
      <x:c r="CL260" s="22" t="n">
        <x:f>MAX(0,MIN('Activities'!L260,516)-MAX('Activities'!K260,510))</x:f>
        <x:v>0</x:v>
      </x:c>
      <x:c r="CM260" s="22" t="n">
        <x:f>MAX(0,MIN('Activities'!L260,522)-MAX('Activities'!K260,516))</x:f>
        <x:v>0</x:v>
      </x:c>
      <x:c r="CN260" s="22" t="n">
        <x:f>MAX(0,MIN('Activities'!L260,528)-MAX('Activities'!K260,522))</x:f>
        <x:v>0</x:v>
      </x:c>
      <x:c r="CO260" s="22" t="n">
        <x:f>MAX(0,MIN('Activities'!L260,534)-MAX('Activities'!K260,528))</x:f>
        <x:v>0</x:v>
      </x:c>
      <x:c r="CP260" s="22" t="n">
        <x:f>MAX(0,MIN('Activities'!L260,540)-MAX('Activities'!K260,534))</x:f>
        <x:v>0</x:v>
      </x:c>
      <x:c r="CQ260" s="22" t="n">
        <x:f>MAX(0,MIN('Activities'!L260,546)-MAX('Activities'!K260,540))</x:f>
        <x:v>0</x:v>
      </x:c>
      <x:c r="CR260" s="22" t="n">
        <x:f>MAX(0,MIN('Activities'!L260,552)-MAX('Activities'!K260,546))</x:f>
        <x:v>0</x:v>
      </x:c>
      <x:c r="CS260" s="22" t="n">
        <x:f>MAX(0,MIN('Activities'!L260,558)-MAX('Activities'!K260,552))</x:f>
        <x:v>0</x:v>
      </x:c>
      <x:c r="CT260" s="22" t="n">
        <x:f>MAX(0,MIN('Activities'!L260,564)-MAX('Activities'!K260,558))</x:f>
        <x:v>0</x:v>
      </x:c>
      <x:c r="CU260" s="22" t="n">
        <x:f>MAX(0,MIN('Activities'!L260,570)-MAX('Activities'!K260,564))</x:f>
        <x:v>0</x:v>
      </x:c>
      <x:c r="CV260" s="22" t="n">
        <x:f>MAX(0,MIN('Activities'!L260,576)-MAX('Activities'!K260,570))</x:f>
        <x:v>0</x:v>
      </x:c>
      <x:c r="CW260" s="22" t="n">
        <x:f>MAX(0,MIN('Activities'!L260,582)-MAX('Activities'!K260,576))</x:f>
        <x:v>0</x:v>
      </x:c>
      <x:c r="CX260" s="22" t="n">
        <x:f>MAX(0,MIN('Activities'!L260,588)-MAX('Activities'!K260,582))</x:f>
        <x:v>0</x:v>
      </x:c>
      <x:c r="CY260" s="22" t="n">
        <x:f>MAX(0,MIN('Activities'!L260,594)-MAX('Activities'!K260,588))</x:f>
        <x:v>0</x:v>
      </x:c>
      <x:c r="CZ260" s="22" t="n">
        <x:f>MAX(0,MIN('Activities'!L260,600)-MAX('Activities'!K260,594))</x:f>
        <x:v>0</x:v>
      </x:c>
      <x:c r="DA260" s="22" t="n">
        <x:f>MAX(0,MIN('Activities'!L260,606)-MAX('Activities'!K260,600))</x:f>
        <x:v>0</x:v>
      </x:c>
      <x:c r="DB260" s="22" t="n">
        <x:f>MAX(0,MIN('Activities'!L260,612)-MAX('Activities'!K260,606))</x:f>
        <x:v>0</x:v>
      </x:c>
      <x:c r="DC260" s="22" t="n">
        <x:f>MAX(0,MIN('Activities'!L260,618)-MAX('Activities'!K260,612))</x:f>
        <x:v>0</x:v>
      </x:c>
      <x:c r="DD260" s="22" t="n">
        <x:f>MAX(0,MIN('Activities'!L260,624)-MAX('Activities'!K260,618))</x:f>
        <x:v>0</x:v>
      </x:c>
      <x:c r="DE260" s="22" t="n">
        <x:f>MAX(0,MIN('Activities'!L260,630)-MAX('Activities'!K260,624))</x:f>
        <x:v>0</x:v>
      </x:c>
      <x:c r="DF260" s="22" t="n">
        <x:f>MAX(0,MIN('Activities'!L260,636)-MAX('Activities'!K260,630))</x:f>
        <x:v>0</x:v>
      </x:c>
    </x:row>
    <x:row r="261" ht="23" customHeight="1">
      <x:c r="A261" s="1" t="str">
        <x:v>T2-L09-T</x:v>
      </x:c>
      <x:c r="B261" s="1" t="str">
        <x:v>T2</x:v>
      </x:c>
      <x:c r="C261" s="1" t="str">
        <x:v>Floor finishes and skirtings</x:v>
      </x:c>
      <x:c r="D261" s="1" t="str">
        <x:v>Finishes</x:v>
      </x:c>
      <x:c r="E261" s="23" t="n">
        <x:f>MAX(0,MIN('Activities'!L261,6)-MAX('Activities'!K261,0))</x:f>
        <x:v>0</x:v>
      </x:c>
      <x:c r="F261" s="23" t="n">
        <x:f>MAX(0,MIN('Activities'!L261,12)-MAX('Activities'!K261,6))</x:f>
        <x:v>0</x:v>
      </x:c>
      <x:c r="G261" s="23" t="n">
        <x:f>MAX(0,MIN('Activities'!L261,18)-MAX('Activities'!K261,12))</x:f>
        <x:v>0</x:v>
      </x:c>
      <x:c r="H261" s="23" t="n">
        <x:f>MAX(0,MIN('Activities'!L261,24)-MAX('Activities'!K261,18))</x:f>
        <x:v>0</x:v>
      </x:c>
      <x:c r="I261" s="23" t="n">
        <x:f>MAX(0,MIN('Activities'!L261,30)-MAX('Activities'!K261,24))</x:f>
        <x:v>0</x:v>
      </x:c>
      <x:c r="J261" s="23" t="n">
        <x:f>MAX(0,MIN('Activities'!L261,36)-MAX('Activities'!K261,30))</x:f>
        <x:v>0</x:v>
      </x:c>
      <x:c r="K261" s="23" t="n">
        <x:f>MAX(0,MIN('Activities'!L261,42)-MAX('Activities'!K261,36))</x:f>
        <x:v>0</x:v>
      </x:c>
      <x:c r="L261" s="23" t="n">
        <x:f>MAX(0,MIN('Activities'!L261,48)-MAX('Activities'!K261,42))</x:f>
        <x:v>0</x:v>
      </x:c>
      <x:c r="M261" s="23" t="n">
        <x:f>MAX(0,MIN('Activities'!L261,54)-MAX('Activities'!K261,48))</x:f>
        <x:v>0</x:v>
      </x:c>
      <x:c r="N261" s="23" t="n">
        <x:f>MAX(0,MIN('Activities'!L261,60)-MAX('Activities'!K261,54))</x:f>
        <x:v>0</x:v>
      </x:c>
      <x:c r="O261" s="23" t="n">
        <x:f>MAX(0,MIN('Activities'!L261,66)-MAX('Activities'!K261,60))</x:f>
        <x:v>0</x:v>
      </x:c>
      <x:c r="P261" s="23" t="n">
        <x:f>MAX(0,MIN('Activities'!L261,72)-MAX('Activities'!K261,66))</x:f>
        <x:v>0</x:v>
      </x:c>
      <x:c r="Q261" s="23" t="n">
        <x:f>MAX(0,MIN('Activities'!L261,78)-MAX('Activities'!K261,72))</x:f>
        <x:v>0</x:v>
      </x:c>
      <x:c r="R261" s="23" t="n">
        <x:f>MAX(0,MIN('Activities'!L261,84)-MAX('Activities'!K261,78))</x:f>
        <x:v>0</x:v>
      </x:c>
      <x:c r="S261" s="23" t="n">
        <x:f>MAX(0,MIN('Activities'!L261,90)-MAX('Activities'!K261,84))</x:f>
        <x:v>0</x:v>
      </x:c>
      <x:c r="T261" s="23" t="n">
        <x:f>MAX(0,MIN('Activities'!L261,96)-MAX('Activities'!K261,90))</x:f>
        <x:v>0</x:v>
      </x:c>
      <x:c r="U261" s="23" t="n">
        <x:f>MAX(0,MIN('Activities'!L261,102)-MAX('Activities'!K261,96))</x:f>
        <x:v>0</x:v>
      </x:c>
      <x:c r="V261" s="23" t="n">
        <x:f>MAX(0,MIN('Activities'!L261,108)-MAX('Activities'!K261,102))</x:f>
        <x:v>0</x:v>
      </x:c>
      <x:c r="W261" s="23" t="n">
        <x:f>MAX(0,MIN('Activities'!L261,114)-MAX('Activities'!K261,108))</x:f>
        <x:v>0</x:v>
      </x:c>
      <x:c r="X261" s="23" t="n">
        <x:f>MAX(0,MIN('Activities'!L261,120)-MAX('Activities'!K261,114))</x:f>
        <x:v>0</x:v>
      </x:c>
      <x:c r="Y261" s="23" t="n">
        <x:f>MAX(0,MIN('Activities'!L261,126)-MAX('Activities'!K261,120))</x:f>
        <x:v>0</x:v>
      </x:c>
      <x:c r="Z261" s="23" t="n">
        <x:f>MAX(0,MIN('Activities'!L261,132)-MAX('Activities'!K261,126))</x:f>
        <x:v>0</x:v>
      </x:c>
      <x:c r="AA261" s="23" t="n">
        <x:f>MAX(0,MIN('Activities'!L261,138)-MAX('Activities'!K261,132))</x:f>
        <x:v>0</x:v>
      </x:c>
      <x:c r="AB261" s="23" t="n">
        <x:f>MAX(0,MIN('Activities'!L261,144)-MAX('Activities'!K261,138))</x:f>
        <x:v>0</x:v>
      </x:c>
      <x:c r="AC261" s="23" t="n">
        <x:f>MAX(0,MIN('Activities'!L261,150)-MAX('Activities'!K261,144))</x:f>
        <x:v>0</x:v>
      </x:c>
      <x:c r="AD261" s="23" t="n">
        <x:f>MAX(0,MIN('Activities'!L261,156)-MAX('Activities'!K261,150))</x:f>
        <x:v>0</x:v>
      </x:c>
      <x:c r="AE261" s="23" t="n">
        <x:f>MAX(0,MIN('Activities'!L261,162)-MAX('Activities'!K261,156))</x:f>
        <x:v>0</x:v>
      </x:c>
      <x:c r="AF261" s="23" t="n">
        <x:f>MAX(0,MIN('Activities'!L261,168)-MAX('Activities'!K261,162))</x:f>
        <x:v>0</x:v>
      </x:c>
      <x:c r="AG261" s="23" t="n">
        <x:f>MAX(0,MIN('Activities'!L261,174)-MAX('Activities'!K261,168))</x:f>
        <x:v>0</x:v>
      </x:c>
      <x:c r="AH261" s="23" t="n">
        <x:f>MAX(0,MIN('Activities'!L261,180)-MAX('Activities'!K261,174))</x:f>
        <x:v>0</x:v>
      </x:c>
      <x:c r="AI261" s="23" t="n">
        <x:f>MAX(0,MIN('Activities'!L261,186)-MAX('Activities'!K261,180))</x:f>
        <x:v>0</x:v>
      </x:c>
      <x:c r="AJ261" s="23" t="n">
        <x:f>MAX(0,MIN('Activities'!L261,192)-MAX('Activities'!K261,186))</x:f>
        <x:v>0</x:v>
      </x:c>
      <x:c r="AK261" s="23" t="n">
        <x:f>MAX(0,MIN('Activities'!L261,198)-MAX('Activities'!K261,192))</x:f>
        <x:v>0</x:v>
      </x:c>
      <x:c r="AL261" s="23" t="n">
        <x:f>MAX(0,MIN('Activities'!L261,204)-MAX('Activities'!K261,198))</x:f>
        <x:v>0</x:v>
      </x:c>
      <x:c r="AM261" s="23" t="n">
        <x:f>MAX(0,MIN('Activities'!L261,210)-MAX('Activities'!K261,204))</x:f>
        <x:v>0</x:v>
      </x:c>
      <x:c r="AN261" s="23" t="n">
        <x:f>MAX(0,MIN('Activities'!L261,216)-MAX('Activities'!K261,210))</x:f>
        <x:v>0</x:v>
      </x:c>
      <x:c r="AO261" s="23" t="n">
        <x:f>MAX(0,MIN('Activities'!L261,222)-MAX('Activities'!K261,216))</x:f>
        <x:v>0</x:v>
      </x:c>
      <x:c r="AP261" s="23" t="n">
        <x:f>MAX(0,MIN('Activities'!L261,228)-MAX('Activities'!K261,222))</x:f>
        <x:v>0</x:v>
      </x:c>
      <x:c r="AQ261" s="23" t="n">
        <x:f>MAX(0,MIN('Activities'!L261,234)-MAX('Activities'!K261,228))</x:f>
        <x:v>0</x:v>
      </x:c>
      <x:c r="AR261" s="23" t="n">
        <x:f>MAX(0,MIN('Activities'!L261,240)-MAX('Activities'!K261,234))</x:f>
        <x:v>0</x:v>
      </x:c>
      <x:c r="AS261" s="23" t="n">
        <x:f>MAX(0,MIN('Activities'!L261,246)-MAX('Activities'!K261,240))</x:f>
        <x:v>0</x:v>
      </x:c>
      <x:c r="AT261" s="23" t="n">
        <x:f>MAX(0,MIN('Activities'!L261,252)-MAX('Activities'!K261,246))</x:f>
        <x:v>0</x:v>
      </x:c>
      <x:c r="AU261" s="23" t="n">
        <x:f>MAX(0,MIN('Activities'!L261,258)-MAX('Activities'!K261,252))</x:f>
        <x:v>0</x:v>
      </x:c>
      <x:c r="AV261" s="23" t="n">
        <x:f>MAX(0,MIN('Activities'!L261,264)-MAX('Activities'!K261,258))</x:f>
        <x:v>0</x:v>
      </x:c>
      <x:c r="AW261" s="23" t="n">
        <x:f>MAX(0,MIN('Activities'!L261,270)-MAX('Activities'!K261,264))</x:f>
        <x:v>0</x:v>
      </x:c>
      <x:c r="AX261" s="23" t="n">
        <x:f>MAX(0,MIN('Activities'!L261,276)-MAX('Activities'!K261,270))</x:f>
        <x:v>0</x:v>
      </x:c>
      <x:c r="AY261" s="23" t="n">
        <x:f>MAX(0,MIN('Activities'!L261,282)-MAX('Activities'!K261,276))</x:f>
        <x:v>0</x:v>
      </x:c>
      <x:c r="AZ261" s="23" t="n">
        <x:f>MAX(0,MIN('Activities'!L261,288)-MAX('Activities'!K261,282))</x:f>
        <x:v>0</x:v>
      </x:c>
      <x:c r="BA261" s="23" t="n">
        <x:f>MAX(0,MIN('Activities'!L261,294)-MAX('Activities'!K261,288))</x:f>
        <x:v>0</x:v>
      </x:c>
      <x:c r="BB261" s="23" t="n">
        <x:f>MAX(0,MIN('Activities'!L261,300)-MAX('Activities'!K261,294))</x:f>
        <x:v>0</x:v>
      </x:c>
      <x:c r="BC261" s="23" t="n">
        <x:f>MAX(0,MIN('Activities'!L261,306)-MAX('Activities'!K261,300))</x:f>
        <x:v>0</x:v>
      </x:c>
      <x:c r="BD261" s="23" t="n">
        <x:f>MAX(0,MIN('Activities'!L261,312)-MAX('Activities'!K261,306))</x:f>
        <x:v>0</x:v>
      </x:c>
      <x:c r="BE261" s="23" t="n">
        <x:f>MAX(0,MIN('Activities'!L261,318)-MAX('Activities'!K261,312))</x:f>
        <x:v>0</x:v>
      </x:c>
      <x:c r="BF261" s="23" t="n">
        <x:f>MAX(0,MIN('Activities'!L261,324)-MAX('Activities'!K261,318))</x:f>
        <x:v>0</x:v>
      </x:c>
      <x:c r="BG261" s="23" t="n">
        <x:f>MAX(0,MIN('Activities'!L261,330)-MAX('Activities'!K261,324))</x:f>
        <x:v>0</x:v>
      </x:c>
      <x:c r="BH261" s="23" t="n">
        <x:f>MAX(0,MIN('Activities'!L261,336)-MAX('Activities'!K261,330))</x:f>
        <x:v>0</x:v>
      </x:c>
      <x:c r="BI261" s="23" t="n">
        <x:f>MAX(0,MIN('Activities'!L261,342)-MAX('Activities'!K261,336))</x:f>
        <x:v>0</x:v>
      </x:c>
      <x:c r="BJ261" s="23" t="n">
        <x:f>MAX(0,MIN('Activities'!L261,348)-MAX('Activities'!K261,342))</x:f>
        <x:v>0</x:v>
      </x:c>
      <x:c r="BK261" s="23" t="n">
        <x:f>MAX(0,MIN('Activities'!L261,354)-MAX('Activities'!K261,348))</x:f>
        <x:v>0</x:v>
      </x:c>
      <x:c r="BL261" s="23" t="n">
        <x:f>MAX(0,MIN('Activities'!L261,360)-MAX('Activities'!K261,354))</x:f>
        <x:v>0</x:v>
      </x:c>
      <x:c r="BM261" s="23" t="n">
        <x:f>MAX(0,MIN('Activities'!L261,366)-MAX('Activities'!K261,360))</x:f>
        <x:v>0</x:v>
      </x:c>
      <x:c r="BN261" s="23" t="n">
        <x:f>MAX(0,MIN('Activities'!L261,372)-MAX('Activities'!K261,366))</x:f>
        <x:v>0</x:v>
      </x:c>
      <x:c r="BO261" s="23" t="n">
        <x:f>MAX(0,MIN('Activities'!L261,378)-MAX('Activities'!K261,372))</x:f>
        <x:v>0</x:v>
      </x:c>
      <x:c r="BP261" s="23" t="n">
        <x:f>MAX(0,MIN('Activities'!L261,384)-MAX('Activities'!K261,378))</x:f>
        <x:v>0</x:v>
      </x:c>
      <x:c r="BQ261" s="23" t="n">
        <x:f>MAX(0,MIN('Activities'!L261,390)-MAX('Activities'!K261,384))</x:f>
        <x:v>0</x:v>
      </x:c>
      <x:c r="BR261" s="23" t="n">
        <x:f>MAX(0,MIN('Activities'!L261,396)-MAX('Activities'!K261,390))</x:f>
        <x:v>0</x:v>
      </x:c>
      <x:c r="BS261" s="23" t="n">
        <x:f>MAX(0,MIN('Activities'!L261,402)-MAX('Activities'!K261,396))</x:f>
        <x:v>0</x:v>
      </x:c>
      <x:c r="BT261" s="23" t="n">
        <x:f>MAX(0,MIN('Activities'!L261,408)-MAX('Activities'!K261,402))</x:f>
        <x:v>0</x:v>
      </x:c>
      <x:c r="BU261" s="23" t="n">
        <x:f>MAX(0,MIN('Activities'!L261,414)-MAX('Activities'!K261,408))</x:f>
        <x:v>0</x:v>
      </x:c>
      <x:c r="BV261" s="23" t="n">
        <x:f>MAX(0,MIN('Activities'!L261,420)-MAX('Activities'!K261,414))</x:f>
        <x:v>2</x:v>
      </x:c>
      <x:c r="BW261" s="23" t="n">
        <x:f>MAX(0,MIN('Activities'!L261,426)-MAX('Activities'!K261,420))</x:f>
        <x:v>4</x:v>
      </x:c>
      <x:c r="BX261" s="23" t="n">
        <x:f>MAX(0,MIN('Activities'!L261,432)-MAX('Activities'!K261,426))</x:f>
        <x:v>0</x:v>
      </x:c>
      <x:c r="BY261" s="23" t="n">
        <x:f>MAX(0,MIN('Activities'!L261,438)-MAX('Activities'!K261,432))</x:f>
        <x:v>0</x:v>
      </x:c>
      <x:c r="BZ261" s="23" t="n">
        <x:f>MAX(0,MIN('Activities'!L261,444)-MAX('Activities'!K261,438))</x:f>
        <x:v>0</x:v>
      </x:c>
      <x:c r="CA261" s="23" t="n">
        <x:f>MAX(0,MIN('Activities'!L261,450)-MAX('Activities'!K261,444))</x:f>
        <x:v>0</x:v>
      </x:c>
      <x:c r="CB261" s="23" t="n">
        <x:f>MAX(0,MIN('Activities'!L261,456)-MAX('Activities'!K261,450))</x:f>
        <x:v>0</x:v>
      </x:c>
      <x:c r="CC261" s="23" t="n">
        <x:f>MAX(0,MIN('Activities'!L261,462)-MAX('Activities'!K261,456))</x:f>
        <x:v>0</x:v>
      </x:c>
      <x:c r="CD261" s="23" t="n">
        <x:f>MAX(0,MIN('Activities'!L261,468)-MAX('Activities'!K261,462))</x:f>
        <x:v>0</x:v>
      </x:c>
      <x:c r="CE261" s="23" t="n">
        <x:f>MAX(0,MIN('Activities'!L261,474)-MAX('Activities'!K261,468))</x:f>
        <x:v>0</x:v>
      </x:c>
      <x:c r="CF261" s="23" t="n">
        <x:f>MAX(0,MIN('Activities'!L261,480)-MAX('Activities'!K261,474))</x:f>
        <x:v>0</x:v>
      </x:c>
      <x:c r="CG261" s="23" t="n">
        <x:f>MAX(0,MIN('Activities'!L261,486)-MAX('Activities'!K261,480))</x:f>
        <x:v>0</x:v>
      </x:c>
      <x:c r="CH261" s="23" t="n">
        <x:f>MAX(0,MIN('Activities'!L261,492)-MAX('Activities'!K261,486))</x:f>
        <x:v>0</x:v>
      </x:c>
      <x:c r="CI261" s="23" t="n">
        <x:f>MAX(0,MIN('Activities'!L261,498)-MAX('Activities'!K261,492))</x:f>
        <x:v>0</x:v>
      </x:c>
      <x:c r="CJ261" s="23" t="n">
        <x:f>MAX(0,MIN('Activities'!L261,504)-MAX('Activities'!K261,498))</x:f>
        <x:v>0</x:v>
      </x:c>
      <x:c r="CK261" s="23" t="n">
        <x:f>MAX(0,MIN('Activities'!L261,510)-MAX('Activities'!K261,504))</x:f>
        <x:v>0</x:v>
      </x:c>
      <x:c r="CL261" s="23" t="n">
        <x:f>MAX(0,MIN('Activities'!L261,516)-MAX('Activities'!K261,510))</x:f>
        <x:v>0</x:v>
      </x:c>
      <x:c r="CM261" s="23" t="n">
        <x:f>MAX(0,MIN('Activities'!L261,522)-MAX('Activities'!K261,516))</x:f>
        <x:v>0</x:v>
      </x:c>
      <x:c r="CN261" s="23" t="n">
        <x:f>MAX(0,MIN('Activities'!L261,528)-MAX('Activities'!K261,522))</x:f>
        <x:v>0</x:v>
      </x:c>
      <x:c r="CO261" s="23" t="n">
        <x:f>MAX(0,MIN('Activities'!L261,534)-MAX('Activities'!K261,528))</x:f>
        <x:v>0</x:v>
      </x:c>
      <x:c r="CP261" s="23" t="n">
        <x:f>MAX(0,MIN('Activities'!L261,540)-MAX('Activities'!K261,534))</x:f>
        <x:v>0</x:v>
      </x:c>
      <x:c r="CQ261" s="23" t="n">
        <x:f>MAX(0,MIN('Activities'!L261,546)-MAX('Activities'!K261,540))</x:f>
        <x:v>0</x:v>
      </x:c>
      <x:c r="CR261" s="23" t="n">
        <x:f>MAX(0,MIN('Activities'!L261,552)-MAX('Activities'!K261,546))</x:f>
        <x:v>0</x:v>
      </x:c>
      <x:c r="CS261" s="23" t="n">
        <x:f>MAX(0,MIN('Activities'!L261,558)-MAX('Activities'!K261,552))</x:f>
        <x:v>0</x:v>
      </x:c>
      <x:c r="CT261" s="23" t="n">
        <x:f>MAX(0,MIN('Activities'!L261,564)-MAX('Activities'!K261,558))</x:f>
        <x:v>0</x:v>
      </x:c>
      <x:c r="CU261" s="23" t="n">
        <x:f>MAX(0,MIN('Activities'!L261,570)-MAX('Activities'!K261,564))</x:f>
        <x:v>0</x:v>
      </x:c>
      <x:c r="CV261" s="23" t="n">
        <x:f>MAX(0,MIN('Activities'!L261,576)-MAX('Activities'!K261,570))</x:f>
        <x:v>0</x:v>
      </x:c>
      <x:c r="CW261" s="23" t="n">
        <x:f>MAX(0,MIN('Activities'!L261,582)-MAX('Activities'!K261,576))</x:f>
        <x:v>0</x:v>
      </x:c>
      <x:c r="CX261" s="23" t="n">
        <x:f>MAX(0,MIN('Activities'!L261,588)-MAX('Activities'!K261,582))</x:f>
        <x:v>0</x:v>
      </x:c>
      <x:c r="CY261" s="23" t="n">
        <x:f>MAX(0,MIN('Activities'!L261,594)-MAX('Activities'!K261,588))</x:f>
        <x:v>0</x:v>
      </x:c>
      <x:c r="CZ261" s="23" t="n">
        <x:f>MAX(0,MIN('Activities'!L261,600)-MAX('Activities'!K261,594))</x:f>
        <x:v>0</x:v>
      </x:c>
      <x:c r="DA261" s="23" t="n">
        <x:f>MAX(0,MIN('Activities'!L261,606)-MAX('Activities'!K261,600))</x:f>
        <x:v>0</x:v>
      </x:c>
      <x:c r="DB261" s="23" t="n">
        <x:f>MAX(0,MIN('Activities'!L261,612)-MAX('Activities'!K261,606))</x:f>
        <x:v>0</x:v>
      </x:c>
      <x:c r="DC261" s="23" t="n">
        <x:f>MAX(0,MIN('Activities'!L261,618)-MAX('Activities'!K261,612))</x:f>
        <x:v>0</x:v>
      </x:c>
      <x:c r="DD261" s="23" t="n">
        <x:f>MAX(0,MIN('Activities'!L261,624)-MAX('Activities'!K261,618))</x:f>
        <x:v>0</x:v>
      </x:c>
      <x:c r="DE261" s="23" t="n">
        <x:f>MAX(0,MIN('Activities'!L261,630)-MAX('Activities'!K261,624))</x:f>
        <x:v>0</x:v>
      </x:c>
      <x:c r="DF261" s="23" t="n">
        <x:f>MAX(0,MIN('Activities'!L261,636)-MAX('Activities'!K261,630))</x:f>
        <x:v>0</x:v>
      </x:c>
    </x:row>
    <x:row r="262" ht="23" customHeight="1">
      <x:c r="A262" s="6" t="str">
        <x:v>T2-L09-A</x:v>
      </x:c>
      <x:c r="B262" s="6" t="str">
        <x:v>T2</x:v>
      </x:c>
      <x:c r="C262" s="6" t="str">
        <x:v>Paint and final decorations</x:v>
      </x:c>
      <x:c r="D262" s="6" t="str">
        <x:v>Finishes</x:v>
      </x:c>
      <x:c r="E262" s="22" t="n">
        <x:f>MAX(0,MIN('Activities'!L262,6)-MAX('Activities'!K262,0))</x:f>
        <x:v>0</x:v>
      </x:c>
      <x:c r="F262" s="22" t="n">
        <x:f>MAX(0,MIN('Activities'!L262,12)-MAX('Activities'!K262,6))</x:f>
        <x:v>0</x:v>
      </x:c>
      <x:c r="G262" s="22" t="n">
        <x:f>MAX(0,MIN('Activities'!L262,18)-MAX('Activities'!K262,12))</x:f>
        <x:v>0</x:v>
      </x:c>
      <x:c r="H262" s="22" t="n">
        <x:f>MAX(0,MIN('Activities'!L262,24)-MAX('Activities'!K262,18))</x:f>
        <x:v>0</x:v>
      </x:c>
      <x:c r="I262" s="22" t="n">
        <x:f>MAX(0,MIN('Activities'!L262,30)-MAX('Activities'!K262,24))</x:f>
        <x:v>0</x:v>
      </x:c>
      <x:c r="J262" s="22" t="n">
        <x:f>MAX(0,MIN('Activities'!L262,36)-MAX('Activities'!K262,30))</x:f>
        <x:v>0</x:v>
      </x:c>
      <x:c r="K262" s="22" t="n">
        <x:f>MAX(0,MIN('Activities'!L262,42)-MAX('Activities'!K262,36))</x:f>
        <x:v>0</x:v>
      </x:c>
      <x:c r="L262" s="22" t="n">
        <x:f>MAX(0,MIN('Activities'!L262,48)-MAX('Activities'!K262,42))</x:f>
        <x:v>0</x:v>
      </x:c>
      <x:c r="M262" s="22" t="n">
        <x:f>MAX(0,MIN('Activities'!L262,54)-MAX('Activities'!K262,48))</x:f>
        <x:v>0</x:v>
      </x:c>
      <x:c r="N262" s="22" t="n">
        <x:f>MAX(0,MIN('Activities'!L262,60)-MAX('Activities'!K262,54))</x:f>
        <x:v>0</x:v>
      </x:c>
      <x:c r="O262" s="22" t="n">
        <x:f>MAX(0,MIN('Activities'!L262,66)-MAX('Activities'!K262,60))</x:f>
        <x:v>0</x:v>
      </x:c>
      <x:c r="P262" s="22" t="n">
        <x:f>MAX(0,MIN('Activities'!L262,72)-MAX('Activities'!K262,66))</x:f>
        <x:v>0</x:v>
      </x:c>
      <x:c r="Q262" s="22" t="n">
        <x:f>MAX(0,MIN('Activities'!L262,78)-MAX('Activities'!K262,72))</x:f>
        <x:v>0</x:v>
      </x:c>
      <x:c r="R262" s="22" t="n">
        <x:f>MAX(0,MIN('Activities'!L262,84)-MAX('Activities'!K262,78))</x:f>
        <x:v>0</x:v>
      </x:c>
      <x:c r="S262" s="22" t="n">
        <x:f>MAX(0,MIN('Activities'!L262,90)-MAX('Activities'!K262,84))</x:f>
        <x:v>0</x:v>
      </x:c>
      <x:c r="T262" s="22" t="n">
        <x:f>MAX(0,MIN('Activities'!L262,96)-MAX('Activities'!K262,90))</x:f>
        <x:v>0</x:v>
      </x:c>
      <x:c r="U262" s="22" t="n">
        <x:f>MAX(0,MIN('Activities'!L262,102)-MAX('Activities'!K262,96))</x:f>
        <x:v>0</x:v>
      </x:c>
      <x:c r="V262" s="22" t="n">
        <x:f>MAX(0,MIN('Activities'!L262,108)-MAX('Activities'!K262,102))</x:f>
        <x:v>0</x:v>
      </x:c>
      <x:c r="W262" s="22" t="n">
        <x:f>MAX(0,MIN('Activities'!L262,114)-MAX('Activities'!K262,108))</x:f>
        <x:v>0</x:v>
      </x:c>
      <x:c r="X262" s="22" t="n">
        <x:f>MAX(0,MIN('Activities'!L262,120)-MAX('Activities'!K262,114))</x:f>
        <x:v>0</x:v>
      </x:c>
      <x:c r="Y262" s="22" t="n">
        <x:f>MAX(0,MIN('Activities'!L262,126)-MAX('Activities'!K262,120))</x:f>
        <x:v>0</x:v>
      </x:c>
      <x:c r="Z262" s="22" t="n">
        <x:f>MAX(0,MIN('Activities'!L262,132)-MAX('Activities'!K262,126))</x:f>
        <x:v>0</x:v>
      </x:c>
      <x:c r="AA262" s="22" t="n">
        <x:f>MAX(0,MIN('Activities'!L262,138)-MAX('Activities'!K262,132))</x:f>
        <x:v>0</x:v>
      </x:c>
      <x:c r="AB262" s="22" t="n">
        <x:f>MAX(0,MIN('Activities'!L262,144)-MAX('Activities'!K262,138))</x:f>
        <x:v>0</x:v>
      </x:c>
      <x:c r="AC262" s="22" t="n">
        <x:f>MAX(0,MIN('Activities'!L262,150)-MAX('Activities'!K262,144))</x:f>
        <x:v>0</x:v>
      </x:c>
      <x:c r="AD262" s="22" t="n">
        <x:f>MAX(0,MIN('Activities'!L262,156)-MAX('Activities'!K262,150))</x:f>
        <x:v>0</x:v>
      </x:c>
      <x:c r="AE262" s="22" t="n">
        <x:f>MAX(0,MIN('Activities'!L262,162)-MAX('Activities'!K262,156))</x:f>
        <x:v>0</x:v>
      </x:c>
      <x:c r="AF262" s="22" t="n">
        <x:f>MAX(0,MIN('Activities'!L262,168)-MAX('Activities'!K262,162))</x:f>
        <x:v>0</x:v>
      </x:c>
      <x:c r="AG262" s="22" t="n">
        <x:f>MAX(0,MIN('Activities'!L262,174)-MAX('Activities'!K262,168))</x:f>
        <x:v>0</x:v>
      </x:c>
      <x:c r="AH262" s="22" t="n">
        <x:f>MAX(0,MIN('Activities'!L262,180)-MAX('Activities'!K262,174))</x:f>
        <x:v>0</x:v>
      </x:c>
      <x:c r="AI262" s="22" t="n">
        <x:f>MAX(0,MIN('Activities'!L262,186)-MAX('Activities'!K262,180))</x:f>
        <x:v>0</x:v>
      </x:c>
      <x:c r="AJ262" s="22" t="n">
        <x:f>MAX(0,MIN('Activities'!L262,192)-MAX('Activities'!K262,186))</x:f>
        <x:v>0</x:v>
      </x:c>
      <x:c r="AK262" s="22" t="n">
        <x:f>MAX(0,MIN('Activities'!L262,198)-MAX('Activities'!K262,192))</x:f>
        <x:v>0</x:v>
      </x:c>
      <x:c r="AL262" s="22" t="n">
        <x:f>MAX(0,MIN('Activities'!L262,204)-MAX('Activities'!K262,198))</x:f>
        <x:v>0</x:v>
      </x:c>
      <x:c r="AM262" s="22" t="n">
        <x:f>MAX(0,MIN('Activities'!L262,210)-MAX('Activities'!K262,204))</x:f>
        <x:v>0</x:v>
      </x:c>
      <x:c r="AN262" s="22" t="n">
        <x:f>MAX(0,MIN('Activities'!L262,216)-MAX('Activities'!K262,210))</x:f>
        <x:v>0</x:v>
      </x:c>
      <x:c r="AO262" s="22" t="n">
        <x:f>MAX(0,MIN('Activities'!L262,222)-MAX('Activities'!K262,216))</x:f>
        <x:v>0</x:v>
      </x:c>
      <x:c r="AP262" s="22" t="n">
        <x:f>MAX(0,MIN('Activities'!L262,228)-MAX('Activities'!K262,222))</x:f>
        <x:v>0</x:v>
      </x:c>
      <x:c r="AQ262" s="22" t="n">
        <x:f>MAX(0,MIN('Activities'!L262,234)-MAX('Activities'!K262,228))</x:f>
        <x:v>0</x:v>
      </x:c>
      <x:c r="AR262" s="22" t="n">
        <x:f>MAX(0,MIN('Activities'!L262,240)-MAX('Activities'!K262,234))</x:f>
        <x:v>0</x:v>
      </x:c>
      <x:c r="AS262" s="22" t="n">
        <x:f>MAX(0,MIN('Activities'!L262,246)-MAX('Activities'!K262,240))</x:f>
        <x:v>0</x:v>
      </x:c>
      <x:c r="AT262" s="22" t="n">
        <x:f>MAX(0,MIN('Activities'!L262,252)-MAX('Activities'!K262,246))</x:f>
        <x:v>0</x:v>
      </x:c>
      <x:c r="AU262" s="22" t="n">
        <x:f>MAX(0,MIN('Activities'!L262,258)-MAX('Activities'!K262,252))</x:f>
        <x:v>0</x:v>
      </x:c>
      <x:c r="AV262" s="22" t="n">
        <x:f>MAX(0,MIN('Activities'!L262,264)-MAX('Activities'!K262,258))</x:f>
        <x:v>0</x:v>
      </x:c>
      <x:c r="AW262" s="22" t="n">
        <x:f>MAX(0,MIN('Activities'!L262,270)-MAX('Activities'!K262,264))</x:f>
        <x:v>0</x:v>
      </x:c>
      <x:c r="AX262" s="22" t="n">
        <x:f>MAX(0,MIN('Activities'!L262,276)-MAX('Activities'!K262,270))</x:f>
        <x:v>0</x:v>
      </x:c>
      <x:c r="AY262" s="22" t="n">
        <x:f>MAX(0,MIN('Activities'!L262,282)-MAX('Activities'!K262,276))</x:f>
        <x:v>0</x:v>
      </x:c>
      <x:c r="AZ262" s="22" t="n">
        <x:f>MAX(0,MIN('Activities'!L262,288)-MAX('Activities'!K262,282))</x:f>
        <x:v>0</x:v>
      </x:c>
      <x:c r="BA262" s="22" t="n">
        <x:f>MAX(0,MIN('Activities'!L262,294)-MAX('Activities'!K262,288))</x:f>
        <x:v>0</x:v>
      </x:c>
      <x:c r="BB262" s="22" t="n">
        <x:f>MAX(0,MIN('Activities'!L262,300)-MAX('Activities'!K262,294))</x:f>
        <x:v>0</x:v>
      </x:c>
      <x:c r="BC262" s="22" t="n">
        <x:f>MAX(0,MIN('Activities'!L262,306)-MAX('Activities'!K262,300))</x:f>
        <x:v>0</x:v>
      </x:c>
      <x:c r="BD262" s="22" t="n">
        <x:f>MAX(0,MIN('Activities'!L262,312)-MAX('Activities'!K262,306))</x:f>
        <x:v>0</x:v>
      </x:c>
      <x:c r="BE262" s="22" t="n">
        <x:f>MAX(0,MIN('Activities'!L262,318)-MAX('Activities'!K262,312))</x:f>
        <x:v>0</x:v>
      </x:c>
      <x:c r="BF262" s="22" t="n">
        <x:f>MAX(0,MIN('Activities'!L262,324)-MAX('Activities'!K262,318))</x:f>
        <x:v>0</x:v>
      </x:c>
      <x:c r="BG262" s="22" t="n">
        <x:f>MAX(0,MIN('Activities'!L262,330)-MAX('Activities'!K262,324))</x:f>
        <x:v>0</x:v>
      </x:c>
      <x:c r="BH262" s="22" t="n">
        <x:f>MAX(0,MIN('Activities'!L262,336)-MAX('Activities'!K262,330))</x:f>
        <x:v>0</x:v>
      </x:c>
      <x:c r="BI262" s="22" t="n">
        <x:f>MAX(0,MIN('Activities'!L262,342)-MAX('Activities'!K262,336))</x:f>
        <x:v>0</x:v>
      </x:c>
      <x:c r="BJ262" s="22" t="n">
        <x:f>MAX(0,MIN('Activities'!L262,348)-MAX('Activities'!K262,342))</x:f>
        <x:v>0</x:v>
      </x:c>
      <x:c r="BK262" s="22" t="n">
        <x:f>MAX(0,MIN('Activities'!L262,354)-MAX('Activities'!K262,348))</x:f>
        <x:v>0</x:v>
      </x:c>
      <x:c r="BL262" s="22" t="n">
        <x:f>MAX(0,MIN('Activities'!L262,360)-MAX('Activities'!K262,354))</x:f>
        <x:v>0</x:v>
      </x:c>
      <x:c r="BM262" s="22" t="n">
        <x:f>MAX(0,MIN('Activities'!L262,366)-MAX('Activities'!K262,360))</x:f>
        <x:v>0</x:v>
      </x:c>
      <x:c r="BN262" s="22" t="n">
        <x:f>MAX(0,MIN('Activities'!L262,372)-MAX('Activities'!K262,366))</x:f>
        <x:v>0</x:v>
      </x:c>
      <x:c r="BO262" s="22" t="n">
        <x:f>MAX(0,MIN('Activities'!L262,378)-MAX('Activities'!K262,372))</x:f>
        <x:v>0</x:v>
      </x:c>
      <x:c r="BP262" s="22" t="n">
        <x:f>MAX(0,MIN('Activities'!L262,384)-MAX('Activities'!K262,378))</x:f>
        <x:v>0</x:v>
      </x:c>
      <x:c r="BQ262" s="22" t="n">
        <x:f>MAX(0,MIN('Activities'!L262,390)-MAX('Activities'!K262,384))</x:f>
        <x:v>0</x:v>
      </x:c>
      <x:c r="BR262" s="22" t="n">
        <x:f>MAX(0,MIN('Activities'!L262,396)-MAX('Activities'!K262,390))</x:f>
        <x:v>0</x:v>
      </x:c>
      <x:c r="BS262" s="22" t="n">
        <x:f>MAX(0,MIN('Activities'!L262,402)-MAX('Activities'!K262,396))</x:f>
        <x:v>0</x:v>
      </x:c>
      <x:c r="BT262" s="22" t="n">
        <x:f>MAX(0,MIN('Activities'!L262,408)-MAX('Activities'!K262,402))</x:f>
        <x:v>0</x:v>
      </x:c>
      <x:c r="BU262" s="22" t="n">
        <x:f>MAX(0,MIN('Activities'!L262,414)-MAX('Activities'!K262,408))</x:f>
        <x:v>0</x:v>
      </x:c>
      <x:c r="BV262" s="22" t="n">
        <x:f>MAX(0,MIN('Activities'!L262,420)-MAX('Activities'!K262,414))</x:f>
        <x:v>0</x:v>
      </x:c>
      <x:c r="BW262" s="22" t="n">
        <x:f>MAX(0,MIN('Activities'!L262,426)-MAX('Activities'!K262,420))</x:f>
        <x:v>0</x:v>
      </x:c>
      <x:c r="BX262" s="22" t="n">
        <x:f>MAX(0,MIN('Activities'!L262,432)-MAX('Activities'!K262,426))</x:f>
        <x:v>5</x:v>
      </x:c>
      <x:c r="BY262" s="22" t="n">
        <x:f>MAX(0,MIN('Activities'!L262,438)-MAX('Activities'!K262,432))</x:f>
        <x:v>0</x:v>
      </x:c>
      <x:c r="BZ262" s="22" t="n">
        <x:f>MAX(0,MIN('Activities'!L262,444)-MAX('Activities'!K262,438))</x:f>
        <x:v>0</x:v>
      </x:c>
      <x:c r="CA262" s="22" t="n">
        <x:f>MAX(0,MIN('Activities'!L262,450)-MAX('Activities'!K262,444))</x:f>
        <x:v>0</x:v>
      </x:c>
      <x:c r="CB262" s="22" t="n">
        <x:f>MAX(0,MIN('Activities'!L262,456)-MAX('Activities'!K262,450))</x:f>
        <x:v>0</x:v>
      </x:c>
      <x:c r="CC262" s="22" t="n">
        <x:f>MAX(0,MIN('Activities'!L262,462)-MAX('Activities'!K262,456))</x:f>
        <x:v>0</x:v>
      </x:c>
      <x:c r="CD262" s="22" t="n">
        <x:f>MAX(0,MIN('Activities'!L262,468)-MAX('Activities'!K262,462))</x:f>
        <x:v>0</x:v>
      </x:c>
      <x:c r="CE262" s="22" t="n">
        <x:f>MAX(0,MIN('Activities'!L262,474)-MAX('Activities'!K262,468))</x:f>
        <x:v>0</x:v>
      </x:c>
      <x:c r="CF262" s="22" t="n">
        <x:f>MAX(0,MIN('Activities'!L262,480)-MAX('Activities'!K262,474))</x:f>
        <x:v>0</x:v>
      </x:c>
      <x:c r="CG262" s="22" t="n">
        <x:f>MAX(0,MIN('Activities'!L262,486)-MAX('Activities'!K262,480))</x:f>
        <x:v>0</x:v>
      </x:c>
      <x:c r="CH262" s="22" t="n">
        <x:f>MAX(0,MIN('Activities'!L262,492)-MAX('Activities'!K262,486))</x:f>
        <x:v>0</x:v>
      </x:c>
      <x:c r="CI262" s="22" t="n">
        <x:f>MAX(0,MIN('Activities'!L262,498)-MAX('Activities'!K262,492))</x:f>
        <x:v>0</x:v>
      </x:c>
      <x:c r="CJ262" s="22" t="n">
        <x:f>MAX(0,MIN('Activities'!L262,504)-MAX('Activities'!K262,498))</x:f>
        <x:v>0</x:v>
      </x:c>
      <x:c r="CK262" s="22" t="n">
        <x:f>MAX(0,MIN('Activities'!L262,510)-MAX('Activities'!K262,504))</x:f>
        <x:v>0</x:v>
      </x:c>
      <x:c r="CL262" s="22" t="n">
        <x:f>MAX(0,MIN('Activities'!L262,516)-MAX('Activities'!K262,510))</x:f>
        <x:v>0</x:v>
      </x:c>
      <x:c r="CM262" s="22" t="n">
        <x:f>MAX(0,MIN('Activities'!L262,522)-MAX('Activities'!K262,516))</x:f>
        <x:v>0</x:v>
      </x:c>
      <x:c r="CN262" s="22" t="n">
        <x:f>MAX(0,MIN('Activities'!L262,528)-MAX('Activities'!K262,522))</x:f>
        <x:v>0</x:v>
      </x:c>
      <x:c r="CO262" s="22" t="n">
        <x:f>MAX(0,MIN('Activities'!L262,534)-MAX('Activities'!K262,528))</x:f>
        <x:v>0</x:v>
      </x:c>
      <x:c r="CP262" s="22" t="n">
        <x:f>MAX(0,MIN('Activities'!L262,540)-MAX('Activities'!K262,534))</x:f>
        <x:v>0</x:v>
      </x:c>
      <x:c r="CQ262" s="22" t="n">
        <x:f>MAX(0,MIN('Activities'!L262,546)-MAX('Activities'!K262,540))</x:f>
        <x:v>0</x:v>
      </x:c>
      <x:c r="CR262" s="22" t="n">
        <x:f>MAX(0,MIN('Activities'!L262,552)-MAX('Activities'!K262,546))</x:f>
        <x:v>0</x:v>
      </x:c>
      <x:c r="CS262" s="22" t="n">
        <x:f>MAX(0,MIN('Activities'!L262,558)-MAX('Activities'!K262,552))</x:f>
        <x:v>0</x:v>
      </x:c>
      <x:c r="CT262" s="22" t="n">
        <x:f>MAX(0,MIN('Activities'!L262,564)-MAX('Activities'!K262,558))</x:f>
        <x:v>0</x:v>
      </x:c>
      <x:c r="CU262" s="22" t="n">
        <x:f>MAX(0,MIN('Activities'!L262,570)-MAX('Activities'!K262,564))</x:f>
        <x:v>0</x:v>
      </x:c>
      <x:c r="CV262" s="22" t="n">
        <x:f>MAX(0,MIN('Activities'!L262,576)-MAX('Activities'!K262,570))</x:f>
        <x:v>0</x:v>
      </x:c>
      <x:c r="CW262" s="22" t="n">
        <x:f>MAX(0,MIN('Activities'!L262,582)-MAX('Activities'!K262,576))</x:f>
        <x:v>0</x:v>
      </x:c>
      <x:c r="CX262" s="22" t="n">
        <x:f>MAX(0,MIN('Activities'!L262,588)-MAX('Activities'!K262,582))</x:f>
        <x:v>0</x:v>
      </x:c>
      <x:c r="CY262" s="22" t="n">
        <x:f>MAX(0,MIN('Activities'!L262,594)-MAX('Activities'!K262,588))</x:f>
        <x:v>0</x:v>
      </x:c>
      <x:c r="CZ262" s="22" t="n">
        <x:f>MAX(0,MIN('Activities'!L262,600)-MAX('Activities'!K262,594))</x:f>
        <x:v>0</x:v>
      </x:c>
      <x:c r="DA262" s="22" t="n">
        <x:f>MAX(0,MIN('Activities'!L262,606)-MAX('Activities'!K262,600))</x:f>
        <x:v>0</x:v>
      </x:c>
      <x:c r="DB262" s="22" t="n">
        <x:f>MAX(0,MIN('Activities'!L262,612)-MAX('Activities'!K262,606))</x:f>
        <x:v>0</x:v>
      </x:c>
      <x:c r="DC262" s="22" t="n">
        <x:f>MAX(0,MIN('Activities'!L262,618)-MAX('Activities'!K262,612))</x:f>
        <x:v>0</x:v>
      </x:c>
      <x:c r="DD262" s="22" t="n">
        <x:f>MAX(0,MIN('Activities'!L262,624)-MAX('Activities'!K262,618))</x:f>
        <x:v>0</x:v>
      </x:c>
      <x:c r="DE262" s="22" t="n">
        <x:f>MAX(0,MIN('Activities'!L262,630)-MAX('Activities'!K262,624))</x:f>
        <x:v>0</x:v>
      </x:c>
      <x:c r="DF262" s="22" t="n">
        <x:f>MAX(0,MIN('Activities'!L262,636)-MAX('Activities'!K262,630))</x:f>
        <x:v>0</x:v>
      </x:c>
    </x:row>
    <x:row r="263" ht="23" customHeight="1">
      <x:c r="A263" s="1" t="str">
        <x:v>T2-L09-D</x:v>
      </x:c>
      <x:c r="B263" s="1" t="str">
        <x:v>T2</x:v>
      </x:c>
      <x:c r="C263" s="1" t="str">
        <x:v>Door sets and ironmongery</x:v>
      </x:c>
      <x:c r="D263" s="1" t="str">
        <x:v>Finishes</x:v>
      </x:c>
      <x:c r="E263" s="23" t="n">
        <x:f>MAX(0,MIN('Activities'!L263,6)-MAX('Activities'!K263,0))</x:f>
        <x:v>0</x:v>
      </x:c>
      <x:c r="F263" s="23" t="n">
        <x:f>MAX(0,MIN('Activities'!L263,12)-MAX('Activities'!K263,6))</x:f>
        <x:v>0</x:v>
      </x:c>
      <x:c r="G263" s="23" t="n">
        <x:f>MAX(0,MIN('Activities'!L263,18)-MAX('Activities'!K263,12))</x:f>
        <x:v>0</x:v>
      </x:c>
      <x:c r="H263" s="23" t="n">
        <x:f>MAX(0,MIN('Activities'!L263,24)-MAX('Activities'!K263,18))</x:f>
        <x:v>0</x:v>
      </x:c>
      <x:c r="I263" s="23" t="n">
        <x:f>MAX(0,MIN('Activities'!L263,30)-MAX('Activities'!K263,24))</x:f>
        <x:v>0</x:v>
      </x:c>
      <x:c r="J263" s="23" t="n">
        <x:f>MAX(0,MIN('Activities'!L263,36)-MAX('Activities'!K263,30))</x:f>
        <x:v>0</x:v>
      </x:c>
      <x:c r="K263" s="23" t="n">
        <x:f>MAX(0,MIN('Activities'!L263,42)-MAX('Activities'!K263,36))</x:f>
        <x:v>0</x:v>
      </x:c>
      <x:c r="L263" s="23" t="n">
        <x:f>MAX(0,MIN('Activities'!L263,48)-MAX('Activities'!K263,42))</x:f>
        <x:v>0</x:v>
      </x:c>
      <x:c r="M263" s="23" t="n">
        <x:f>MAX(0,MIN('Activities'!L263,54)-MAX('Activities'!K263,48))</x:f>
        <x:v>0</x:v>
      </x:c>
      <x:c r="N263" s="23" t="n">
        <x:f>MAX(0,MIN('Activities'!L263,60)-MAX('Activities'!K263,54))</x:f>
        <x:v>0</x:v>
      </x:c>
      <x:c r="O263" s="23" t="n">
        <x:f>MAX(0,MIN('Activities'!L263,66)-MAX('Activities'!K263,60))</x:f>
        <x:v>0</x:v>
      </x:c>
      <x:c r="P263" s="23" t="n">
        <x:f>MAX(0,MIN('Activities'!L263,72)-MAX('Activities'!K263,66))</x:f>
        <x:v>0</x:v>
      </x:c>
      <x:c r="Q263" s="23" t="n">
        <x:f>MAX(0,MIN('Activities'!L263,78)-MAX('Activities'!K263,72))</x:f>
        <x:v>0</x:v>
      </x:c>
      <x:c r="R263" s="23" t="n">
        <x:f>MAX(0,MIN('Activities'!L263,84)-MAX('Activities'!K263,78))</x:f>
        <x:v>0</x:v>
      </x:c>
      <x:c r="S263" s="23" t="n">
        <x:f>MAX(0,MIN('Activities'!L263,90)-MAX('Activities'!K263,84))</x:f>
        <x:v>0</x:v>
      </x:c>
      <x:c r="T263" s="23" t="n">
        <x:f>MAX(0,MIN('Activities'!L263,96)-MAX('Activities'!K263,90))</x:f>
        <x:v>0</x:v>
      </x:c>
      <x:c r="U263" s="23" t="n">
        <x:f>MAX(0,MIN('Activities'!L263,102)-MAX('Activities'!K263,96))</x:f>
        <x:v>0</x:v>
      </x:c>
      <x:c r="V263" s="23" t="n">
        <x:f>MAX(0,MIN('Activities'!L263,108)-MAX('Activities'!K263,102))</x:f>
        <x:v>0</x:v>
      </x:c>
      <x:c r="W263" s="23" t="n">
        <x:f>MAX(0,MIN('Activities'!L263,114)-MAX('Activities'!K263,108))</x:f>
        <x:v>0</x:v>
      </x:c>
      <x:c r="X263" s="23" t="n">
        <x:f>MAX(0,MIN('Activities'!L263,120)-MAX('Activities'!K263,114))</x:f>
        <x:v>0</x:v>
      </x:c>
      <x:c r="Y263" s="23" t="n">
        <x:f>MAX(0,MIN('Activities'!L263,126)-MAX('Activities'!K263,120))</x:f>
        <x:v>0</x:v>
      </x:c>
      <x:c r="Z263" s="23" t="n">
        <x:f>MAX(0,MIN('Activities'!L263,132)-MAX('Activities'!K263,126))</x:f>
        <x:v>0</x:v>
      </x:c>
      <x:c r="AA263" s="23" t="n">
        <x:f>MAX(0,MIN('Activities'!L263,138)-MAX('Activities'!K263,132))</x:f>
        <x:v>0</x:v>
      </x:c>
      <x:c r="AB263" s="23" t="n">
        <x:f>MAX(0,MIN('Activities'!L263,144)-MAX('Activities'!K263,138))</x:f>
        <x:v>0</x:v>
      </x:c>
      <x:c r="AC263" s="23" t="n">
        <x:f>MAX(0,MIN('Activities'!L263,150)-MAX('Activities'!K263,144))</x:f>
        <x:v>0</x:v>
      </x:c>
      <x:c r="AD263" s="23" t="n">
        <x:f>MAX(0,MIN('Activities'!L263,156)-MAX('Activities'!K263,150))</x:f>
        <x:v>0</x:v>
      </x:c>
      <x:c r="AE263" s="23" t="n">
        <x:f>MAX(0,MIN('Activities'!L263,162)-MAX('Activities'!K263,156))</x:f>
        <x:v>0</x:v>
      </x:c>
      <x:c r="AF263" s="23" t="n">
        <x:f>MAX(0,MIN('Activities'!L263,168)-MAX('Activities'!K263,162))</x:f>
        <x:v>0</x:v>
      </x:c>
      <x:c r="AG263" s="23" t="n">
        <x:f>MAX(0,MIN('Activities'!L263,174)-MAX('Activities'!K263,168))</x:f>
        <x:v>0</x:v>
      </x:c>
      <x:c r="AH263" s="23" t="n">
        <x:f>MAX(0,MIN('Activities'!L263,180)-MAX('Activities'!K263,174))</x:f>
        <x:v>0</x:v>
      </x:c>
      <x:c r="AI263" s="23" t="n">
        <x:f>MAX(0,MIN('Activities'!L263,186)-MAX('Activities'!K263,180))</x:f>
        <x:v>0</x:v>
      </x:c>
      <x:c r="AJ263" s="23" t="n">
        <x:f>MAX(0,MIN('Activities'!L263,192)-MAX('Activities'!K263,186))</x:f>
        <x:v>0</x:v>
      </x:c>
      <x:c r="AK263" s="23" t="n">
        <x:f>MAX(0,MIN('Activities'!L263,198)-MAX('Activities'!K263,192))</x:f>
        <x:v>0</x:v>
      </x:c>
      <x:c r="AL263" s="23" t="n">
        <x:f>MAX(0,MIN('Activities'!L263,204)-MAX('Activities'!K263,198))</x:f>
        <x:v>0</x:v>
      </x:c>
      <x:c r="AM263" s="23" t="n">
        <x:f>MAX(0,MIN('Activities'!L263,210)-MAX('Activities'!K263,204))</x:f>
        <x:v>0</x:v>
      </x:c>
      <x:c r="AN263" s="23" t="n">
        <x:f>MAX(0,MIN('Activities'!L263,216)-MAX('Activities'!K263,210))</x:f>
        <x:v>0</x:v>
      </x:c>
      <x:c r="AO263" s="23" t="n">
        <x:f>MAX(0,MIN('Activities'!L263,222)-MAX('Activities'!K263,216))</x:f>
        <x:v>0</x:v>
      </x:c>
      <x:c r="AP263" s="23" t="n">
        <x:f>MAX(0,MIN('Activities'!L263,228)-MAX('Activities'!K263,222))</x:f>
        <x:v>0</x:v>
      </x:c>
      <x:c r="AQ263" s="23" t="n">
        <x:f>MAX(0,MIN('Activities'!L263,234)-MAX('Activities'!K263,228))</x:f>
        <x:v>0</x:v>
      </x:c>
      <x:c r="AR263" s="23" t="n">
        <x:f>MAX(0,MIN('Activities'!L263,240)-MAX('Activities'!K263,234))</x:f>
        <x:v>0</x:v>
      </x:c>
      <x:c r="AS263" s="23" t="n">
        <x:f>MAX(0,MIN('Activities'!L263,246)-MAX('Activities'!K263,240))</x:f>
        <x:v>0</x:v>
      </x:c>
      <x:c r="AT263" s="23" t="n">
        <x:f>MAX(0,MIN('Activities'!L263,252)-MAX('Activities'!K263,246))</x:f>
        <x:v>0</x:v>
      </x:c>
      <x:c r="AU263" s="23" t="n">
        <x:f>MAX(0,MIN('Activities'!L263,258)-MAX('Activities'!K263,252))</x:f>
        <x:v>0</x:v>
      </x:c>
      <x:c r="AV263" s="23" t="n">
        <x:f>MAX(0,MIN('Activities'!L263,264)-MAX('Activities'!K263,258))</x:f>
        <x:v>0</x:v>
      </x:c>
      <x:c r="AW263" s="23" t="n">
        <x:f>MAX(0,MIN('Activities'!L263,270)-MAX('Activities'!K263,264))</x:f>
        <x:v>0</x:v>
      </x:c>
      <x:c r="AX263" s="23" t="n">
        <x:f>MAX(0,MIN('Activities'!L263,276)-MAX('Activities'!K263,270))</x:f>
        <x:v>0</x:v>
      </x:c>
      <x:c r="AY263" s="23" t="n">
        <x:f>MAX(0,MIN('Activities'!L263,282)-MAX('Activities'!K263,276))</x:f>
        <x:v>0</x:v>
      </x:c>
      <x:c r="AZ263" s="23" t="n">
        <x:f>MAX(0,MIN('Activities'!L263,288)-MAX('Activities'!K263,282))</x:f>
        <x:v>0</x:v>
      </x:c>
      <x:c r="BA263" s="23" t="n">
        <x:f>MAX(0,MIN('Activities'!L263,294)-MAX('Activities'!K263,288))</x:f>
        <x:v>0</x:v>
      </x:c>
      <x:c r="BB263" s="23" t="n">
        <x:f>MAX(0,MIN('Activities'!L263,300)-MAX('Activities'!K263,294))</x:f>
        <x:v>0</x:v>
      </x:c>
      <x:c r="BC263" s="23" t="n">
        <x:f>MAX(0,MIN('Activities'!L263,306)-MAX('Activities'!K263,300))</x:f>
        <x:v>0</x:v>
      </x:c>
      <x:c r="BD263" s="23" t="n">
        <x:f>MAX(0,MIN('Activities'!L263,312)-MAX('Activities'!K263,306))</x:f>
        <x:v>0</x:v>
      </x:c>
      <x:c r="BE263" s="23" t="n">
        <x:f>MAX(0,MIN('Activities'!L263,318)-MAX('Activities'!K263,312))</x:f>
        <x:v>0</x:v>
      </x:c>
      <x:c r="BF263" s="23" t="n">
        <x:f>MAX(0,MIN('Activities'!L263,324)-MAX('Activities'!K263,318))</x:f>
        <x:v>0</x:v>
      </x:c>
      <x:c r="BG263" s="23" t="n">
        <x:f>MAX(0,MIN('Activities'!L263,330)-MAX('Activities'!K263,324))</x:f>
        <x:v>0</x:v>
      </x:c>
      <x:c r="BH263" s="23" t="n">
        <x:f>MAX(0,MIN('Activities'!L263,336)-MAX('Activities'!K263,330))</x:f>
        <x:v>0</x:v>
      </x:c>
      <x:c r="BI263" s="23" t="n">
        <x:f>MAX(0,MIN('Activities'!L263,342)-MAX('Activities'!K263,336))</x:f>
        <x:v>0</x:v>
      </x:c>
      <x:c r="BJ263" s="23" t="n">
        <x:f>MAX(0,MIN('Activities'!L263,348)-MAX('Activities'!K263,342))</x:f>
        <x:v>0</x:v>
      </x:c>
      <x:c r="BK263" s="23" t="n">
        <x:f>MAX(0,MIN('Activities'!L263,354)-MAX('Activities'!K263,348))</x:f>
        <x:v>0</x:v>
      </x:c>
      <x:c r="BL263" s="23" t="n">
        <x:f>MAX(0,MIN('Activities'!L263,360)-MAX('Activities'!K263,354))</x:f>
        <x:v>0</x:v>
      </x:c>
      <x:c r="BM263" s="23" t="n">
        <x:f>MAX(0,MIN('Activities'!L263,366)-MAX('Activities'!K263,360))</x:f>
        <x:v>0</x:v>
      </x:c>
      <x:c r="BN263" s="23" t="n">
        <x:f>MAX(0,MIN('Activities'!L263,372)-MAX('Activities'!K263,366))</x:f>
        <x:v>0</x:v>
      </x:c>
      <x:c r="BO263" s="23" t="n">
        <x:f>MAX(0,MIN('Activities'!L263,378)-MAX('Activities'!K263,372))</x:f>
        <x:v>0</x:v>
      </x:c>
      <x:c r="BP263" s="23" t="n">
        <x:f>MAX(0,MIN('Activities'!L263,384)-MAX('Activities'!K263,378))</x:f>
        <x:v>0</x:v>
      </x:c>
      <x:c r="BQ263" s="23" t="n">
        <x:f>MAX(0,MIN('Activities'!L263,390)-MAX('Activities'!K263,384))</x:f>
        <x:v>0</x:v>
      </x:c>
      <x:c r="BR263" s="23" t="n">
        <x:f>MAX(0,MIN('Activities'!L263,396)-MAX('Activities'!K263,390))</x:f>
        <x:v>0</x:v>
      </x:c>
      <x:c r="BS263" s="23" t="n">
        <x:f>MAX(0,MIN('Activities'!L263,402)-MAX('Activities'!K263,396))</x:f>
        <x:v>0</x:v>
      </x:c>
      <x:c r="BT263" s="23" t="n">
        <x:f>MAX(0,MIN('Activities'!L263,408)-MAX('Activities'!K263,402))</x:f>
        <x:v>0</x:v>
      </x:c>
      <x:c r="BU263" s="23" t="n">
        <x:f>MAX(0,MIN('Activities'!L263,414)-MAX('Activities'!K263,408))</x:f>
        <x:v>0</x:v>
      </x:c>
      <x:c r="BV263" s="23" t="n">
        <x:f>MAX(0,MIN('Activities'!L263,420)-MAX('Activities'!K263,414))</x:f>
        <x:v>0</x:v>
      </x:c>
      <x:c r="BW263" s="23" t="n">
        <x:f>MAX(0,MIN('Activities'!L263,426)-MAX('Activities'!K263,420))</x:f>
        <x:v>0</x:v>
      </x:c>
      <x:c r="BX263" s="23" t="n">
        <x:f>MAX(0,MIN('Activities'!L263,432)-MAX('Activities'!K263,426))</x:f>
        <x:v>1</x:v>
      </x:c>
      <x:c r="BY263" s="23" t="n">
        <x:f>MAX(0,MIN('Activities'!L263,438)-MAX('Activities'!K263,432))</x:f>
        <x:v>2</x:v>
      </x:c>
      <x:c r="BZ263" s="23" t="n">
        <x:f>MAX(0,MIN('Activities'!L263,444)-MAX('Activities'!K263,438))</x:f>
        <x:v>0</x:v>
      </x:c>
      <x:c r="CA263" s="23" t="n">
        <x:f>MAX(0,MIN('Activities'!L263,450)-MAX('Activities'!K263,444))</x:f>
        <x:v>0</x:v>
      </x:c>
      <x:c r="CB263" s="23" t="n">
        <x:f>MAX(0,MIN('Activities'!L263,456)-MAX('Activities'!K263,450))</x:f>
        <x:v>0</x:v>
      </x:c>
      <x:c r="CC263" s="23" t="n">
        <x:f>MAX(0,MIN('Activities'!L263,462)-MAX('Activities'!K263,456))</x:f>
        <x:v>0</x:v>
      </x:c>
      <x:c r="CD263" s="23" t="n">
        <x:f>MAX(0,MIN('Activities'!L263,468)-MAX('Activities'!K263,462))</x:f>
        <x:v>0</x:v>
      </x:c>
      <x:c r="CE263" s="23" t="n">
        <x:f>MAX(0,MIN('Activities'!L263,474)-MAX('Activities'!K263,468))</x:f>
        <x:v>0</x:v>
      </x:c>
      <x:c r="CF263" s="23" t="n">
        <x:f>MAX(0,MIN('Activities'!L263,480)-MAX('Activities'!K263,474))</x:f>
        <x:v>0</x:v>
      </x:c>
      <x:c r="CG263" s="23" t="n">
        <x:f>MAX(0,MIN('Activities'!L263,486)-MAX('Activities'!K263,480))</x:f>
        <x:v>0</x:v>
      </x:c>
      <x:c r="CH263" s="23" t="n">
        <x:f>MAX(0,MIN('Activities'!L263,492)-MAX('Activities'!K263,486))</x:f>
        <x:v>0</x:v>
      </x:c>
      <x:c r="CI263" s="23" t="n">
        <x:f>MAX(0,MIN('Activities'!L263,498)-MAX('Activities'!K263,492))</x:f>
        <x:v>0</x:v>
      </x:c>
      <x:c r="CJ263" s="23" t="n">
        <x:f>MAX(0,MIN('Activities'!L263,504)-MAX('Activities'!K263,498))</x:f>
        <x:v>0</x:v>
      </x:c>
      <x:c r="CK263" s="23" t="n">
        <x:f>MAX(0,MIN('Activities'!L263,510)-MAX('Activities'!K263,504))</x:f>
        <x:v>0</x:v>
      </x:c>
      <x:c r="CL263" s="23" t="n">
        <x:f>MAX(0,MIN('Activities'!L263,516)-MAX('Activities'!K263,510))</x:f>
        <x:v>0</x:v>
      </x:c>
      <x:c r="CM263" s="23" t="n">
        <x:f>MAX(0,MIN('Activities'!L263,522)-MAX('Activities'!K263,516))</x:f>
        <x:v>0</x:v>
      </x:c>
      <x:c r="CN263" s="23" t="n">
        <x:f>MAX(0,MIN('Activities'!L263,528)-MAX('Activities'!K263,522))</x:f>
        <x:v>0</x:v>
      </x:c>
      <x:c r="CO263" s="23" t="n">
        <x:f>MAX(0,MIN('Activities'!L263,534)-MAX('Activities'!K263,528))</x:f>
        <x:v>0</x:v>
      </x:c>
      <x:c r="CP263" s="23" t="n">
        <x:f>MAX(0,MIN('Activities'!L263,540)-MAX('Activities'!K263,534))</x:f>
        <x:v>0</x:v>
      </x:c>
      <x:c r="CQ263" s="23" t="n">
        <x:f>MAX(0,MIN('Activities'!L263,546)-MAX('Activities'!K263,540))</x:f>
        <x:v>0</x:v>
      </x:c>
      <x:c r="CR263" s="23" t="n">
        <x:f>MAX(0,MIN('Activities'!L263,552)-MAX('Activities'!K263,546))</x:f>
        <x:v>0</x:v>
      </x:c>
      <x:c r="CS263" s="23" t="n">
        <x:f>MAX(0,MIN('Activities'!L263,558)-MAX('Activities'!K263,552))</x:f>
        <x:v>0</x:v>
      </x:c>
      <x:c r="CT263" s="23" t="n">
        <x:f>MAX(0,MIN('Activities'!L263,564)-MAX('Activities'!K263,558))</x:f>
        <x:v>0</x:v>
      </x:c>
      <x:c r="CU263" s="23" t="n">
        <x:f>MAX(0,MIN('Activities'!L263,570)-MAX('Activities'!K263,564))</x:f>
        <x:v>0</x:v>
      </x:c>
      <x:c r="CV263" s="23" t="n">
        <x:f>MAX(0,MIN('Activities'!L263,576)-MAX('Activities'!K263,570))</x:f>
        <x:v>0</x:v>
      </x:c>
      <x:c r="CW263" s="23" t="n">
        <x:f>MAX(0,MIN('Activities'!L263,582)-MAX('Activities'!K263,576))</x:f>
        <x:v>0</x:v>
      </x:c>
      <x:c r="CX263" s="23" t="n">
        <x:f>MAX(0,MIN('Activities'!L263,588)-MAX('Activities'!K263,582))</x:f>
        <x:v>0</x:v>
      </x:c>
      <x:c r="CY263" s="23" t="n">
        <x:f>MAX(0,MIN('Activities'!L263,594)-MAX('Activities'!K263,588))</x:f>
        <x:v>0</x:v>
      </x:c>
      <x:c r="CZ263" s="23" t="n">
        <x:f>MAX(0,MIN('Activities'!L263,600)-MAX('Activities'!K263,594))</x:f>
        <x:v>0</x:v>
      </x:c>
      <x:c r="DA263" s="23" t="n">
        <x:f>MAX(0,MIN('Activities'!L263,606)-MAX('Activities'!K263,600))</x:f>
        <x:v>0</x:v>
      </x:c>
      <x:c r="DB263" s="23" t="n">
        <x:f>MAX(0,MIN('Activities'!L263,612)-MAX('Activities'!K263,606))</x:f>
        <x:v>0</x:v>
      </x:c>
      <x:c r="DC263" s="23" t="n">
        <x:f>MAX(0,MIN('Activities'!L263,618)-MAX('Activities'!K263,612))</x:f>
        <x:v>0</x:v>
      </x:c>
      <x:c r="DD263" s="23" t="n">
        <x:f>MAX(0,MIN('Activities'!L263,624)-MAX('Activities'!K263,618))</x:f>
        <x:v>0</x:v>
      </x:c>
      <x:c r="DE263" s="23" t="n">
        <x:f>MAX(0,MIN('Activities'!L263,630)-MAX('Activities'!K263,624))</x:f>
        <x:v>0</x:v>
      </x:c>
      <x:c r="DF263" s="23" t="n">
        <x:f>MAX(0,MIN('Activities'!L263,636)-MAX('Activities'!K263,630))</x:f>
        <x:v>0</x:v>
      </x:c>
    </x:row>
    <x:row r="264" ht="23" customHeight="1">
      <x:c r="A264" s="6" t="str">
        <x:v>T2-L10-M</x:v>
      </x:c>
      <x:c r="B264" s="6" t="str">
        <x:v>T2</x:v>
      </x:c>
      <x:c r="C264" s="6" t="str">
        <x:v>Partition masonry</x:v>
      </x:c>
      <x:c r="D264" s="6" t="str">
        <x:v>Masonry</x:v>
      </x:c>
      <x:c r="E264" s="22" t="n">
        <x:f>MAX(0,MIN('Activities'!L264,6)-MAX('Activities'!K264,0))</x:f>
        <x:v>0</x:v>
      </x:c>
      <x:c r="F264" s="22" t="n">
        <x:f>MAX(0,MIN('Activities'!L264,12)-MAX('Activities'!K264,6))</x:f>
        <x:v>0</x:v>
      </x:c>
      <x:c r="G264" s="22" t="n">
        <x:f>MAX(0,MIN('Activities'!L264,18)-MAX('Activities'!K264,12))</x:f>
        <x:v>0</x:v>
      </x:c>
      <x:c r="H264" s="22" t="n">
        <x:f>MAX(0,MIN('Activities'!L264,24)-MAX('Activities'!K264,18))</x:f>
        <x:v>0</x:v>
      </x:c>
      <x:c r="I264" s="22" t="n">
        <x:f>MAX(0,MIN('Activities'!L264,30)-MAX('Activities'!K264,24))</x:f>
        <x:v>0</x:v>
      </x:c>
      <x:c r="J264" s="22" t="n">
        <x:f>MAX(0,MIN('Activities'!L264,36)-MAX('Activities'!K264,30))</x:f>
        <x:v>0</x:v>
      </x:c>
      <x:c r="K264" s="22" t="n">
        <x:f>MAX(0,MIN('Activities'!L264,42)-MAX('Activities'!K264,36))</x:f>
        <x:v>0</x:v>
      </x:c>
      <x:c r="L264" s="22" t="n">
        <x:f>MAX(0,MIN('Activities'!L264,48)-MAX('Activities'!K264,42))</x:f>
        <x:v>0</x:v>
      </x:c>
      <x:c r="M264" s="22" t="n">
        <x:f>MAX(0,MIN('Activities'!L264,54)-MAX('Activities'!K264,48))</x:f>
        <x:v>0</x:v>
      </x:c>
      <x:c r="N264" s="22" t="n">
        <x:f>MAX(0,MIN('Activities'!L264,60)-MAX('Activities'!K264,54))</x:f>
        <x:v>0</x:v>
      </x:c>
      <x:c r="O264" s="22" t="n">
        <x:f>MAX(0,MIN('Activities'!L264,66)-MAX('Activities'!K264,60))</x:f>
        <x:v>0</x:v>
      </x:c>
      <x:c r="P264" s="22" t="n">
        <x:f>MAX(0,MIN('Activities'!L264,72)-MAX('Activities'!K264,66))</x:f>
        <x:v>0</x:v>
      </x:c>
      <x:c r="Q264" s="22" t="n">
        <x:f>MAX(0,MIN('Activities'!L264,78)-MAX('Activities'!K264,72))</x:f>
        <x:v>0</x:v>
      </x:c>
      <x:c r="R264" s="22" t="n">
        <x:f>MAX(0,MIN('Activities'!L264,84)-MAX('Activities'!K264,78))</x:f>
        <x:v>0</x:v>
      </x:c>
      <x:c r="S264" s="22" t="n">
        <x:f>MAX(0,MIN('Activities'!L264,90)-MAX('Activities'!K264,84))</x:f>
        <x:v>0</x:v>
      </x:c>
      <x:c r="T264" s="22" t="n">
        <x:f>MAX(0,MIN('Activities'!L264,96)-MAX('Activities'!K264,90))</x:f>
        <x:v>0</x:v>
      </x:c>
      <x:c r="U264" s="22" t="n">
        <x:f>MAX(0,MIN('Activities'!L264,102)-MAX('Activities'!K264,96))</x:f>
        <x:v>0</x:v>
      </x:c>
      <x:c r="V264" s="22" t="n">
        <x:f>MAX(0,MIN('Activities'!L264,108)-MAX('Activities'!K264,102))</x:f>
        <x:v>0</x:v>
      </x:c>
      <x:c r="W264" s="22" t="n">
        <x:f>MAX(0,MIN('Activities'!L264,114)-MAX('Activities'!K264,108))</x:f>
        <x:v>0</x:v>
      </x:c>
      <x:c r="X264" s="22" t="n">
        <x:f>MAX(0,MIN('Activities'!L264,120)-MAX('Activities'!K264,114))</x:f>
        <x:v>0</x:v>
      </x:c>
      <x:c r="Y264" s="22" t="n">
        <x:f>MAX(0,MIN('Activities'!L264,126)-MAX('Activities'!K264,120))</x:f>
        <x:v>0</x:v>
      </x:c>
      <x:c r="Z264" s="22" t="n">
        <x:f>MAX(0,MIN('Activities'!L264,132)-MAX('Activities'!K264,126))</x:f>
        <x:v>0</x:v>
      </x:c>
      <x:c r="AA264" s="22" t="n">
        <x:f>MAX(0,MIN('Activities'!L264,138)-MAX('Activities'!K264,132))</x:f>
        <x:v>0</x:v>
      </x:c>
      <x:c r="AB264" s="22" t="n">
        <x:f>MAX(0,MIN('Activities'!L264,144)-MAX('Activities'!K264,138))</x:f>
        <x:v>0</x:v>
      </x:c>
      <x:c r="AC264" s="22" t="n">
        <x:f>MAX(0,MIN('Activities'!L264,150)-MAX('Activities'!K264,144))</x:f>
        <x:v>0</x:v>
      </x:c>
      <x:c r="AD264" s="22" t="n">
        <x:f>MAX(0,MIN('Activities'!L264,156)-MAX('Activities'!K264,150))</x:f>
        <x:v>0</x:v>
      </x:c>
      <x:c r="AE264" s="22" t="n">
        <x:f>MAX(0,MIN('Activities'!L264,162)-MAX('Activities'!K264,156))</x:f>
        <x:v>0</x:v>
      </x:c>
      <x:c r="AF264" s="22" t="n">
        <x:f>MAX(0,MIN('Activities'!L264,168)-MAX('Activities'!K264,162))</x:f>
        <x:v>0</x:v>
      </x:c>
      <x:c r="AG264" s="22" t="n">
        <x:f>MAX(0,MIN('Activities'!L264,174)-MAX('Activities'!K264,168))</x:f>
        <x:v>0</x:v>
      </x:c>
      <x:c r="AH264" s="22" t="n">
        <x:f>MAX(0,MIN('Activities'!L264,180)-MAX('Activities'!K264,174))</x:f>
        <x:v>0</x:v>
      </x:c>
      <x:c r="AI264" s="22" t="n">
        <x:f>MAX(0,MIN('Activities'!L264,186)-MAX('Activities'!K264,180))</x:f>
        <x:v>0</x:v>
      </x:c>
      <x:c r="AJ264" s="22" t="n">
        <x:f>MAX(0,MIN('Activities'!L264,192)-MAX('Activities'!K264,186))</x:f>
        <x:v>0</x:v>
      </x:c>
      <x:c r="AK264" s="22" t="n">
        <x:f>MAX(0,MIN('Activities'!L264,198)-MAX('Activities'!K264,192))</x:f>
        <x:v>0</x:v>
      </x:c>
      <x:c r="AL264" s="22" t="n">
        <x:f>MAX(0,MIN('Activities'!L264,204)-MAX('Activities'!K264,198))</x:f>
        <x:v>0</x:v>
      </x:c>
      <x:c r="AM264" s="22" t="n">
        <x:f>MAX(0,MIN('Activities'!L264,210)-MAX('Activities'!K264,204))</x:f>
        <x:v>0</x:v>
      </x:c>
      <x:c r="AN264" s="22" t="n">
        <x:f>MAX(0,MIN('Activities'!L264,216)-MAX('Activities'!K264,210))</x:f>
        <x:v>0</x:v>
      </x:c>
      <x:c r="AO264" s="22" t="n">
        <x:f>MAX(0,MIN('Activities'!L264,222)-MAX('Activities'!K264,216))</x:f>
        <x:v>0</x:v>
      </x:c>
      <x:c r="AP264" s="22" t="n">
        <x:f>MAX(0,MIN('Activities'!L264,228)-MAX('Activities'!K264,222))</x:f>
        <x:v>0</x:v>
      </x:c>
      <x:c r="AQ264" s="22" t="n">
        <x:f>MAX(0,MIN('Activities'!L264,234)-MAX('Activities'!K264,228))</x:f>
        <x:v>0</x:v>
      </x:c>
      <x:c r="AR264" s="22" t="n">
        <x:f>MAX(0,MIN('Activities'!L264,240)-MAX('Activities'!K264,234))</x:f>
        <x:v>0</x:v>
      </x:c>
      <x:c r="AS264" s="22" t="n">
        <x:f>MAX(0,MIN('Activities'!L264,246)-MAX('Activities'!K264,240))</x:f>
        <x:v>0</x:v>
      </x:c>
      <x:c r="AT264" s="22" t="n">
        <x:f>MAX(0,MIN('Activities'!L264,252)-MAX('Activities'!K264,246))</x:f>
        <x:v>0</x:v>
      </x:c>
      <x:c r="AU264" s="22" t="n">
        <x:f>MAX(0,MIN('Activities'!L264,258)-MAX('Activities'!K264,252))</x:f>
        <x:v>0</x:v>
      </x:c>
      <x:c r="AV264" s="22" t="n">
        <x:f>MAX(0,MIN('Activities'!L264,264)-MAX('Activities'!K264,258))</x:f>
        <x:v>0</x:v>
      </x:c>
      <x:c r="AW264" s="22" t="n">
        <x:f>MAX(0,MIN('Activities'!L264,270)-MAX('Activities'!K264,264))</x:f>
        <x:v>0</x:v>
      </x:c>
      <x:c r="AX264" s="22" t="n">
        <x:f>MAX(0,MIN('Activities'!L264,276)-MAX('Activities'!K264,270))</x:f>
        <x:v>0</x:v>
      </x:c>
      <x:c r="AY264" s="22" t="n">
        <x:f>MAX(0,MIN('Activities'!L264,282)-MAX('Activities'!K264,276))</x:f>
        <x:v>0</x:v>
      </x:c>
      <x:c r="AZ264" s="22" t="n">
        <x:f>MAX(0,MIN('Activities'!L264,288)-MAX('Activities'!K264,282))</x:f>
        <x:v>0</x:v>
      </x:c>
      <x:c r="BA264" s="22" t="n">
        <x:f>MAX(0,MIN('Activities'!L264,294)-MAX('Activities'!K264,288))</x:f>
        <x:v>0</x:v>
      </x:c>
      <x:c r="BB264" s="22" t="n">
        <x:f>MAX(0,MIN('Activities'!L264,300)-MAX('Activities'!K264,294))</x:f>
        <x:v>0</x:v>
      </x:c>
      <x:c r="BC264" s="22" t="n">
        <x:f>MAX(0,MIN('Activities'!L264,306)-MAX('Activities'!K264,300))</x:f>
        <x:v>0</x:v>
      </x:c>
      <x:c r="BD264" s="22" t="n">
        <x:f>MAX(0,MIN('Activities'!L264,312)-MAX('Activities'!K264,306))</x:f>
        <x:v>0</x:v>
      </x:c>
      <x:c r="BE264" s="22" t="n">
        <x:f>MAX(0,MIN('Activities'!L264,318)-MAX('Activities'!K264,312))</x:f>
        <x:v>0</x:v>
      </x:c>
      <x:c r="BF264" s="22" t="n">
        <x:f>MAX(0,MIN('Activities'!L264,324)-MAX('Activities'!K264,318))</x:f>
        <x:v>0</x:v>
      </x:c>
      <x:c r="BG264" s="22" t="n">
        <x:f>MAX(0,MIN('Activities'!L264,330)-MAX('Activities'!K264,324))</x:f>
        <x:v>0</x:v>
      </x:c>
      <x:c r="BH264" s="22" t="n">
        <x:f>MAX(0,MIN('Activities'!L264,336)-MAX('Activities'!K264,330))</x:f>
        <x:v>0</x:v>
      </x:c>
      <x:c r="BI264" s="22" t="n">
        <x:f>MAX(0,MIN('Activities'!L264,342)-MAX('Activities'!K264,336))</x:f>
        <x:v>0</x:v>
      </x:c>
      <x:c r="BJ264" s="22" t="n">
        <x:f>MAX(0,MIN('Activities'!L264,348)-MAX('Activities'!K264,342))</x:f>
        <x:v>0</x:v>
      </x:c>
      <x:c r="BK264" s="22" t="n">
        <x:f>MAX(0,MIN('Activities'!L264,354)-MAX('Activities'!K264,348))</x:f>
        <x:v>0</x:v>
      </x:c>
      <x:c r="BL264" s="22" t="n">
        <x:f>MAX(0,MIN('Activities'!L264,360)-MAX('Activities'!K264,354))</x:f>
        <x:v>0</x:v>
      </x:c>
      <x:c r="BM264" s="22" t="n">
        <x:f>MAX(0,MIN('Activities'!L264,366)-MAX('Activities'!K264,360))</x:f>
        <x:v>0</x:v>
      </x:c>
      <x:c r="BN264" s="22" t="n">
        <x:f>MAX(0,MIN('Activities'!L264,372)-MAX('Activities'!K264,366))</x:f>
        <x:v>0</x:v>
      </x:c>
      <x:c r="BO264" s="22" t="n">
        <x:f>MAX(0,MIN('Activities'!L264,378)-MAX('Activities'!K264,372))</x:f>
        <x:v>0</x:v>
      </x:c>
      <x:c r="BP264" s="22" t="n">
        <x:f>MAX(0,MIN('Activities'!L264,384)-MAX('Activities'!K264,378))</x:f>
        <x:v>0</x:v>
      </x:c>
      <x:c r="BQ264" s="22" t="n">
        <x:f>MAX(0,MIN('Activities'!L264,390)-MAX('Activities'!K264,384))</x:f>
        <x:v>5</x:v>
      </x:c>
      <x:c r="BR264" s="22" t="n">
        <x:f>MAX(0,MIN('Activities'!L264,396)-MAX('Activities'!K264,390))</x:f>
        <x:v>0</x:v>
      </x:c>
      <x:c r="BS264" s="22" t="n">
        <x:f>MAX(0,MIN('Activities'!L264,402)-MAX('Activities'!K264,396))</x:f>
        <x:v>0</x:v>
      </x:c>
      <x:c r="BT264" s="22" t="n">
        <x:f>MAX(0,MIN('Activities'!L264,408)-MAX('Activities'!K264,402))</x:f>
        <x:v>0</x:v>
      </x:c>
      <x:c r="BU264" s="22" t="n">
        <x:f>MAX(0,MIN('Activities'!L264,414)-MAX('Activities'!K264,408))</x:f>
        <x:v>0</x:v>
      </x:c>
      <x:c r="BV264" s="22" t="n">
        <x:f>MAX(0,MIN('Activities'!L264,420)-MAX('Activities'!K264,414))</x:f>
        <x:v>0</x:v>
      </x:c>
      <x:c r="BW264" s="22" t="n">
        <x:f>MAX(0,MIN('Activities'!L264,426)-MAX('Activities'!K264,420))</x:f>
        <x:v>0</x:v>
      </x:c>
      <x:c r="BX264" s="22" t="n">
        <x:f>MAX(0,MIN('Activities'!L264,432)-MAX('Activities'!K264,426))</x:f>
        <x:v>0</x:v>
      </x:c>
      <x:c r="BY264" s="22" t="n">
        <x:f>MAX(0,MIN('Activities'!L264,438)-MAX('Activities'!K264,432))</x:f>
        <x:v>0</x:v>
      </x:c>
      <x:c r="BZ264" s="22" t="n">
        <x:f>MAX(0,MIN('Activities'!L264,444)-MAX('Activities'!K264,438))</x:f>
        <x:v>0</x:v>
      </x:c>
      <x:c r="CA264" s="22" t="n">
        <x:f>MAX(0,MIN('Activities'!L264,450)-MAX('Activities'!K264,444))</x:f>
        <x:v>0</x:v>
      </x:c>
      <x:c r="CB264" s="22" t="n">
        <x:f>MAX(0,MIN('Activities'!L264,456)-MAX('Activities'!K264,450))</x:f>
        <x:v>0</x:v>
      </x:c>
      <x:c r="CC264" s="22" t="n">
        <x:f>MAX(0,MIN('Activities'!L264,462)-MAX('Activities'!K264,456))</x:f>
        <x:v>0</x:v>
      </x:c>
      <x:c r="CD264" s="22" t="n">
        <x:f>MAX(0,MIN('Activities'!L264,468)-MAX('Activities'!K264,462))</x:f>
        <x:v>0</x:v>
      </x:c>
      <x:c r="CE264" s="22" t="n">
        <x:f>MAX(0,MIN('Activities'!L264,474)-MAX('Activities'!K264,468))</x:f>
        <x:v>0</x:v>
      </x:c>
      <x:c r="CF264" s="22" t="n">
        <x:f>MAX(0,MIN('Activities'!L264,480)-MAX('Activities'!K264,474))</x:f>
        <x:v>0</x:v>
      </x:c>
      <x:c r="CG264" s="22" t="n">
        <x:f>MAX(0,MIN('Activities'!L264,486)-MAX('Activities'!K264,480))</x:f>
        <x:v>0</x:v>
      </x:c>
      <x:c r="CH264" s="22" t="n">
        <x:f>MAX(0,MIN('Activities'!L264,492)-MAX('Activities'!K264,486))</x:f>
        <x:v>0</x:v>
      </x:c>
      <x:c r="CI264" s="22" t="n">
        <x:f>MAX(0,MIN('Activities'!L264,498)-MAX('Activities'!K264,492))</x:f>
        <x:v>0</x:v>
      </x:c>
      <x:c r="CJ264" s="22" t="n">
        <x:f>MAX(0,MIN('Activities'!L264,504)-MAX('Activities'!K264,498))</x:f>
        <x:v>0</x:v>
      </x:c>
      <x:c r="CK264" s="22" t="n">
        <x:f>MAX(0,MIN('Activities'!L264,510)-MAX('Activities'!K264,504))</x:f>
        <x:v>0</x:v>
      </x:c>
      <x:c r="CL264" s="22" t="n">
        <x:f>MAX(0,MIN('Activities'!L264,516)-MAX('Activities'!K264,510))</x:f>
        <x:v>0</x:v>
      </x:c>
      <x:c r="CM264" s="22" t="n">
        <x:f>MAX(0,MIN('Activities'!L264,522)-MAX('Activities'!K264,516))</x:f>
        <x:v>0</x:v>
      </x:c>
      <x:c r="CN264" s="22" t="n">
        <x:f>MAX(0,MIN('Activities'!L264,528)-MAX('Activities'!K264,522))</x:f>
        <x:v>0</x:v>
      </x:c>
      <x:c r="CO264" s="22" t="n">
        <x:f>MAX(0,MIN('Activities'!L264,534)-MAX('Activities'!K264,528))</x:f>
        <x:v>0</x:v>
      </x:c>
      <x:c r="CP264" s="22" t="n">
        <x:f>MAX(0,MIN('Activities'!L264,540)-MAX('Activities'!K264,534))</x:f>
        <x:v>0</x:v>
      </x:c>
      <x:c r="CQ264" s="22" t="n">
        <x:f>MAX(0,MIN('Activities'!L264,546)-MAX('Activities'!K264,540))</x:f>
        <x:v>0</x:v>
      </x:c>
      <x:c r="CR264" s="22" t="n">
        <x:f>MAX(0,MIN('Activities'!L264,552)-MAX('Activities'!K264,546))</x:f>
        <x:v>0</x:v>
      </x:c>
      <x:c r="CS264" s="22" t="n">
        <x:f>MAX(0,MIN('Activities'!L264,558)-MAX('Activities'!K264,552))</x:f>
        <x:v>0</x:v>
      </x:c>
      <x:c r="CT264" s="22" t="n">
        <x:f>MAX(0,MIN('Activities'!L264,564)-MAX('Activities'!K264,558))</x:f>
        <x:v>0</x:v>
      </x:c>
      <x:c r="CU264" s="22" t="n">
        <x:f>MAX(0,MIN('Activities'!L264,570)-MAX('Activities'!K264,564))</x:f>
        <x:v>0</x:v>
      </x:c>
      <x:c r="CV264" s="22" t="n">
        <x:f>MAX(0,MIN('Activities'!L264,576)-MAX('Activities'!K264,570))</x:f>
        <x:v>0</x:v>
      </x:c>
      <x:c r="CW264" s="22" t="n">
        <x:f>MAX(0,MIN('Activities'!L264,582)-MAX('Activities'!K264,576))</x:f>
        <x:v>0</x:v>
      </x:c>
      <x:c r="CX264" s="22" t="n">
        <x:f>MAX(0,MIN('Activities'!L264,588)-MAX('Activities'!K264,582))</x:f>
        <x:v>0</x:v>
      </x:c>
      <x:c r="CY264" s="22" t="n">
        <x:f>MAX(0,MIN('Activities'!L264,594)-MAX('Activities'!K264,588))</x:f>
        <x:v>0</x:v>
      </x:c>
      <x:c r="CZ264" s="22" t="n">
        <x:f>MAX(0,MIN('Activities'!L264,600)-MAX('Activities'!K264,594))</x:f>
        <x:v>0</x:v>
      </x:c>
      <x:c r="DA264" s="22" t="n">
        <x:f>MAX(0,MIN('Activities'!L264,606)-MAX('Activities'!K264,600))</x:f>
        <x:v>0</x:v>
      </x:c>
      <x:c r="DB264" s="22" t="n">
        <x:f>MAX(0,MIN('Activities'!L264,612)-MAX('Activities'!K264,606))</x:f>
        <x:v>0</x:v>
      </x:c>
      <x:c r="DC264" s="22" t="n">
        <x:f>MAX(0,MIN('Activities'!L264,618)-MAX('Activities'!K264,612))</x:f>
        <x:v>0</x:v>
      </x:c>
      <x:c r="DD264" s="22" t="n">
        <x:f>MAX(0,MIN('Activities'!L264,624)-MAX('Activities'!K264,618))</x:f>
        <x:v>0</x:v>
      </x:c>
      <x:c r="DE264" s="22" t="n">
        <x:f>MAX(0,MIN('Activities'!L264,630)-MAX('Activities'!K264,624))</x:f>
        <x:v>0</x:v>
      </x:c>
      <x:c r="DF264" s="22" t="n">
        <x:f>MAX(0,MIN('Activities'!L264,636)-MAX('Activities'!K264,630))</x:f>
        <x:v>0</x:v>
      </x:c>
    </x:row>
    <x:row r="265" ht="23" customHeight="1">
      <x:c r="A265" s="1" t="str">
        <x:v>T2-L10-P</x:v>
      </x:c>
      <x:c r="B265" s="1" t="str">
        <x:v>T2</x:v>
      </x:c>
      <x:c r="C265" s="1" t="str">
        <x:v>Internal plaster</x:v>
      </x:c>
      <x:c r="D265" s="1" t="str">
        <x:v>Finishes</x:v>
      </x:c>
      <x:c r="E265" s="23" t="n">
        <x:f>MAX(0,MIN('Activities'!L265,6)-MAX('Activities'!K265,0))</x:f>
        <x:v>0</x:v>
      </x:c>
      <x:c r="F265" s="23" t="n">
        <x:f>MAX(0,MIN('Activities'!L265,12)-MAX('Activities'!K265,6))</x:f>
        <x:v>0</x:v>
      </x:c>
      <x:c r="G265" s="23" t="n">
        <x:f>MAX(0,MIN('Activities'!L265,18)-MAX('Activities'!K265,12))</x:f>
        <x:v>0</x:v>
      </x:c>
      <x:c r="H265" s="23" t="n">
        <x:f>MAX(0,MIN('Activities'!L265,24)-MAX('Activities'!K265,18))</x:f>
        <x:v>0</x:v>
      </x:c>
      <x:c r="I265" s="23" t="n">
        <x:f>MAX(0,MIN('Activities'!L265,30)-MAX('Activities'!K265,24))</x:f>
        <x:v>0</x:v>
      </x:c>
      <x:c r="J265" s="23" t="n">
        <x:f>MAX(0,MIN('Activities'!L265,36)-MAX('Activities'!K265,30))</x:f>
        <x:v>0</x:v>
      </x:c>
      <x:c r="K265" s="23" t="n">
        <x:f>MAX(0,MIN('Activities'!L265,42)-MAX('Activities'!K265,36))</x:f>
        <x:v>0</x:v>
      </x:c>
      <x:c r="L265" s="23" t="n">
        <x:f>MAX(0,MIN('Activities'!L265,48)-MAX('Activities'!K265,42))</x:f>
        <x:v>0</x:v>
      </x:c>
      <x:c r="M265" s="23" t="n">
        <x:f>MAX(0,MIN('Activities'!L265,54)-MAX('Activities'!K265,48))</x:f>
        <x:v>0</x:v>
      </x:c>
      <x:c r="N265" s="23" t="n">
        <x:f>MAX(0,MIN('Activities'!L265,60)-MAX('Activities'!K265,54))</x:f>
        <x:v>0</x:v>
      </x:c>
      <x:c r="O265" s="23" t="n">
        <x:f>MAX(0,MIN('Activities'!L265,66)-MAX('Activities'!K265,60))</x:f>
        <x:v>0</x:v>
      </x:c>
      <x:c r="P265" s="23" t="n">
        <x:f>MAX(0,MIN('Activities'!L265,72)-MAX('Activities'!K265,66))</x:f>
        <x:v>0</x:v>
      </x:c>
      <x:c r="Q265" s="23" t="n">
        <x:f>MAX(0,MIN('Activities'!L265,78)-MAX('Activities'!K265,72))</x:f>
        <x:v>0</x:v>
      </x:c>
      <x:c r="R265" s="23" t="n">
        <x:f>MAX(0,MIN('Activities'!L265,84)-MAX('Activities'!K265,78))</x:f>
        <x:v>0</x:v>
      </x:c>
      <x:c r="S265" s="23" t="n">
        <x:f>MAX(0,MIN('Activities'!L265,90)-MAX('Activities'!K265,84))</x:f>
        <x:v>0</x:v>
      </x:c>
      <x:c r="T265" s="23" t="n">
        <x:f>MAX(0,MIN('Activities'!L265,96)-MAX('Activities'!K265,90))</x:f>
        <x:v>0</x:v>
      </x:c>
      <x:c r="U265" s="23" t="n">
        <x:f>MAX(0,MIN('Activities'!L265,102)-MAX('Activities'!K265,96))</x:f>
        <x:v>0</x:v>
      </x:c>
      <x:c r="V265" s="23" t="n">
        <x:f>MAX(0,MIN('Activities'!L265,108)-MAX('Activities'!K265,102))</x:f>
        <x:v>0</x:v>
      </x:c>
      <x:c r="W265" s="23" t="n">
        <x:f>MAX(0,MIN('Activities'!L265,114)-MAX('Activities'!K265,108))</x:f>
        <x:v>0</x:v>
      </x:c>
      <x:c r="X265" s="23" t="n">
        <x:f>MAX(0,MIN('Activities'!L265,120)-MAX('Activities'!K265,114))</x:f>
        <x:v>0</x:v>
      </x:c>
      <x:c r="Y265" s="23" t="n">
        <x:f>MAX(0,MIN('Activities'!L265,126)-MAX('Activities'!K265,120))</x:f>
        <x:v>0</x:v>
      </x:c>
      <x:c r="Z265" s="23" t="n">
        <x:f>MAX(0,MIN('Activities'!L265,132)-MAX('Activities'!K265,126))</x:f>
        <x:v>0</x:v>
      </x:c>
      <x:c r="AA265" s="23" t="n">
        <x:f>MAX(0,MIN('Activities'!L265,138)-MAX('Activities'!K265,132))</x:f>
        <x:v>0</x:v>
      </x:c>
      <x:c r="AB265" s="23" t="n">
        <x:f>MAX(0,MIN('Activities'!L265,144)-MAX('Activities'!K265,138))</x:f>
        <x:v>0</x:v>
      </x:c>
      <x:c r="AC265" s="23" t="n">
        <x:f>MAX(0,MIN('Activities'!L265,150)-MAX('Activities'!K265,144))</x:f>
        <x:v>0</x:v>
      </x:c>
      <x:c r="AD265" s="23" t="n">
        <x:f>MAX(0,MIN('Activities'!L265,156)-MAX('Activities'!K265,150))</x:f>
        <x:v>0</x:v>
      </x:c>
      <x:c r="AE265" s="23" t="n">
        <x:f>MAX(0,MIN('Activities'!L265,162)-MAX('Activities'!K265,156))</x:f>
        <x:v>0</x:v>
      </x:c>
      <x:c r="AF265" s="23" t="n">
        <x:f>MAX(0,MIN('Activities'!L265,168)-MAX('Activities'!K265,162))</x:f>
        <x:v>0</x:v>
      </x:c>
      <x:c r="AG265" s="23" t="n">
        <x:f>MAX(0,MIN('Activities'!L265,174)-MAX('Activities'!K265,168))</x:f>
        <x:v>0</x:v>
      </x:c>
      <x:c r="AH265" s="23" t="n">
        <x:f>MAX(0,MIN('Activities'!L265,180)-MAX('Activities'!K265,174))</x:f>
        <x:v>0</x:v>
      </x:c>
      <x:c r="AI265" s="23" t="n">
        <x:f>MAX(0,MIN('Activities'!L265,186)-MAX('Activities'!K265,180))</x:f>
        <x:v>0</x:v>
      </x:c>
      <x:c r="AJ265" s="23" t="n">
        <x:f>MAX(0,MIN('Activities'!L265,192)-MAX('Activities'!K265,186))</x:f>
        <x:v>0</x:v>
      </x:c>
      <x:c r="AK265" s="23" t="n">
        <x:f>MAX(0,MIN('Activities'!L265,198)-MAX('Activities'!K265,192))</x:f>
        <x:v>0</x:v>
      </x:c>
      <x:c r="AL265" s="23" t="n">
        <x:f>MAX(0,MIN('Activities'!L265,204)-MAX('Activities'!K265,198))</x:f>
        <x:v>0</x:v>
      </x:c>
      <x:c r="AM265" s="23" t="n">
        <x:f>MAX(0,MIN('Activities'!L265,210)-MAX('Activities'!K265,204))</x:f>
        <x:v>0</x:v>
      </x:c>
      <x:c r="AN265" s="23" t="n">
        <x:f>MAX(0,MIN('Activities'!L265,216)-MAX('Activities'!K265,210))</x:f>
        <x:v>0</x:v>
      </x:c>
      <x:c r="AO265" s="23" t="n">
        <x:f>MAX(0,MIN('Activities'!L265,222)-MAX('Activities'!K265,216))</x:f>
        <x:v>0</x:v>
      </x:c>
      <x:c r="AP265" s="23" t="n">
        <x:f>MAX(0,MIN('Activities'!L265,228)-MAX('Activities'!K265,222))</x:f>
        <x:v>0</x:v>
      </x:c>
      <x:c r="AQ265" s="23" t="n">
        <x:f>MAX(0,MIN('Activities'!L265,234)-MAX('Activities'!K265,228))</x:f>
        <x:v>0</x:v>
      </x:c>
      <x:c r="AR265" s="23" t="n">
        <x:f>MAX(0,MIN('Activities'!L265,240)-MAX('Activities'!K265,234))</x:f>
        <x:v>0</x:v>
      </x:c>
      <x:c r="AS265" s="23" t="n">
        <x:f>MAX(0,MIN('Activities'!L265,246)-MAX('Activities'!K265,240))</x:f>
        <x:v>0</x:v>
      </x:c>
      <x:c r="AT265" s="23" t="n">
        <x:f>MAX(0,MIN('Activities'!L265,252)-MAX('Activities'!K265,246))</x:f>
        <x:v>0</x:v>
      </x:c>
      <x:c r="AU265" s="23" t="n">
        <x:f>MAX(0,MIN('Activities'!L265,258)-MAX('Activities'!K265,252))</x:f>
        <x:v>0</x:v>
      </x:c>
      <x:c r="AV265" s="23" t="n">
        <x:f>MAX(0,MIN('Activities'!L265,264)-MAX('Activities'!K265,258))</x:f>
        <x:v>0</x:v>
      </x:c>
      <x:c r="AW265" s="23" t="n">
        <x:f>MAX(0,MIN('Activities'!L265,270)-MAX('Activities'!K265,264))</x:f>
        <x:v>0</x:v>
      </x:c>
      <x:c r="AX265" s="23" t="n">
        <x:f>MAX(0,MIN('Activities'!L265,276)-MAX('Activities'!K265,270))</x:f>
        <x:v>0</x:v>
      </x:c>
      <x:c r="AY265" s="23" t="n">
        <x:f>MAX(0,MIN('Activities'!L265,282)-MAX('Activities'!K265,276))</x:f>
        <x:v>0</x:v>
      </x:c>
      <x:c r="AZ265" s="23" t="n">
        <x:f>MAX(0,MIN('Activities'!L265,288)-MAX('Activities'!K265,282))</x:f>
        <x:v>0</x:v>
      </x:c>
      <x:c r="BA265" s="23" t="n">
        <x:f>MAX(0,MIN('Activities'!L265,294)-MAX('Activities'!K265,288))</x:f>
        <x:v>0</x:v>
      </x:c>
      <x:c r="BB265" s="23" t="n">
        <x:f>MAX(0,MIN('Activities'!L265,300)-MAX('Activities'!K265,294))</x:f>
        <x:v>0</x:v>
      </x:c>
      <x:c r="BC265" s="23" t="n">
        <x:f>MAX(0,MIN('Activities'!L265,306)-MAX('Activities'!K265,300))</x:f>
        <x:v>0</x:v>
      </x:c>
      <x:c r="BD265" s="23" t="n">
        <x:f>MAX(0,MIN('Activities'!L265,312)-MAX('Activities'!K265,306))</x:f>
        <x:v>0</x:v>
      </x:c>
      <x:c r="BE265" s="23" t="n">
        <x:f>MAX(0,MIN('Activities'!L265,318)-MAX('Activities'!K265,312))</x:f>
        <x:v>0</x:v>
      </x:c>
      <x:c r="BF265" s="23" t="n">
        <x:f>MAX(0,MIN('Activities'!L265,324)-MAX('Activities'!K265,318))</x:f>
        <x:v>0</x:v>
      </x:c>
      <x:c r="BG265" s="23" t="n">
        <x:f>MAX(0,MIN('Activities'!L265,330)-MAX('Activities'!K265,324))</x:f>
        <x:v>0</x:v>
      </x:c>
      <x:c r="BH265" s="23" t="n">
        <x:f>MAX(0,MIN('Activities'!L265,336)-MAX('Activities'!K265,330))</x:f>
        <x:v>0</x:v>
      </x:c>
      <x:c r="BI265" s="23" t="n">
        <x:f>MAX(0,MIN('Activities'!L265,342)-MAX('Activities'!K265,336))</x:f>
        <x:v>0</x:v>
      </x:c>
      <x:c r="BJ265" s="23" t="n">
        <x:f>MAX(0,MIN('Activities'!L265,348)-MAX('Activities'!K265,342))</x:f>
        <x:v>0</x:v>
      </x:c>
      <x:c r="BK265" s="23" t="n">
        <x:f>MAX(0,MIN('Activities'!L265,354)-MAX('Activities'!K265,348))</x:f>
        <x:v>0</x:v>
      </x:c>
      <x:c r="BL265" s="23" t="n">
        <x:f>MAX(0,MIN('Activities'!L265,360)-MAX('Activities'!K265,354))</x:f>
        <x:v>0</x:v>
      </x:c>
      <x:c r="BM265" s="23" t="n">
        <x:f>MAX(0,MIN('Activities'!L265,366)-MAX('Activities'!K265,360))</x:f>
        <x:v>0</x:v>
      </x:c>
      <x:c r="BN265" s="23" t="n">
        <x:f>MAX(0,MIN('Activities'!L265,372)-MAX('Activities'!K265,366))</x:f>
        <x:v>0</x:v>
      </x:c>
      <x:c r="BO265" s="23" t="n">
        <x:f>MAX(0,MIN('Activities'!L265,378)-MAX('Activities'!K265,372))</x:f>
        <x:v>0</x:v>
      </x:c>
      <x:c r="BP265" s="23" t="n">
        <x:f>MAX(0,MIN('Activities'!L265,384)-MAX('Activities'!K265,378))</x:f>
        <x:v>0</x:v>
      </x:c>
      <x:c r="BQ265" s="23" t="n">
        <x:f>MAX(0,MIN('Activities'!L265,390)-MAX('Activities'!K265,384))</x:f>
        <x:v>0</x:v>
      </x:c>
      <x:c r="BR265" s="23" t="n">
        <x:f>MAX(0,MIN('Activities'!L265,396)-MAX('Activities'!K265,390))</x:f>
        <x:v>3</x:v>
      </x:c>
      <x:c r="BS265" s="23" t="n">
        <x:f>MAX(0,MIN('Activities'!L265,402)-MAX('Activities'!K265,396))</x:f>
        <x:v>3</x:v>
      </x:c>
      <x:c r="BT265" s="23" t="n">
        <x:f>MAX(0,MIN('Activities'!L265,408)-MAX('Activities'!K265,402))</x:f>
        <x:v>0</x:v>
      </x:c>
      <x:c r="BU265" s="23" t="n">
        <x:f>MAX(0,MIN('Activities'!L265,414)-MAX('Activities'!K265,408))</x:f>
        <x:v>0</x:v>
      </x:c>
      <x:c r="BV265" s="23" t="n">
        <x:f>MAX(0,MIN('Activities'!L265,420)-MAX('Activities'!K265,414))</x:f>
        <x:v>0</x:v>
      </x:c>
      <x:c r="BW265" s="23" t="n">
        <x:f>MAX(0,MIN('Activities'!L265,426)-MAX('Activities'!K265,420))</x:f>
        <x:v>0</x:v>
      </x:c>
      <x:c r="BX265" s="23" t="n">
        <x:f>MAX(0,MIN('Activities'!L265,432)-MAX('Activities'!K265,426))</x:f>
        <x:v>0</x:v>
      </x:c>
      <x:c r="BY265" s="23" t="n">
        <x:f>MAX(0,MIN('Activities'!L265,438)-MAX('Activities'!K265,432))</x:f>
        <x:v>0</x:v>
      </x:c>
      <x:c r="BZ265" s="23" t="n">
        <x:f>MAX(0,MIN('Activities'!L265,444)-MAX('Activities'!K265,438))</x:f>
        <x:v>0</x:v>
      </x:c>
      <x:c r="CA265" s="23" t="n">
        <x:f>MAX(0,MIN('Activities'!L265,450)-MAX('Activities'!K265,444))</x:f>
        <x:v>0</x:v>
      </x:c>
      <x:c r="CB265" s="23" t="n">
        <x:f>MAX(0,MIN('Activities'!L265,456)-MAX('Activities'!K265,450))</x:f>
        <x:v>0</x:v>
      </x:c>
      <x:c r="CC265" s="23" t="n">
        <x:f>MAX(0,MIN('Activities'!L265,462)-MAX('Activities'!K265,456))</x:f>
        <x:v>0</x:v>
      </x:c>
      <x:c r="CD265" s="23" t="n">
        <x:f>MAX(0,MIN('Activities'!L265,468)-MAX('Activities'!K265,462))</x:f>
        <x:v>0</x:v>
      </x:c>
      <x:c r="CE265" s="23" t="n">
        <x:f>MAX(0,MIN('Activities'!L265,474)-MAX('Activities'!K265,468))</x:f>
        <x:v>0</x:v>
      </x:c>
      <x:c r="CF265" s="23" t="n">
        <x:f>MAX(0,MIN('Activities'!L265,480)-MAX('Activities'!K265,474))</x:f>
        <x:v>0</x:v>
      </x:c>
      <x:c r="CG265" s="23" t="n">
        <x:f>MAX(0,MIN('Activities'!L265,486)-MAX('Activities'!K265,480))</x:f>
        <x:v>0</x:v>
      </x:c>
      <x:c r="CH265" s="23" t="n">
        <x:f>MAX(0,MIN('Activities'!L265,492)-MAX('Activities'!K265,486))</x:f>
        <x:v>0</x:v>
      </x:c>
      <x:c r="CI265" s="23" t="n">
        <x:f>MAX(0,MIN('Activities'!L265,498)-MAX('Activities'!K265,492))</x:f>
        <x:v>0</x:v>
      </x:c>
      <x:c r="CJ265" s="23" t="n">
        <x:f>MAX(0,MIN('Activities'!L265,504)-MAX('Activities'!K265,498))</x:f>
        <x:v>0</x:v>
      </x:c>
      <x:c r="CK265" s="23" t="n">
        <x:f>MAX(0,MIN('Activities'!L265,510)-MAX('Activities'!K265,504))</x:f>
        <x:v>0</x:v>
      </x:c>
      <x:c r="CL265" s="23" t="n">
        <x:f>MAX(0,MIN('Activities'!L265,516)-MAX('Activities'!K265,510))</x:f>
        <x:v>0</x:v>
      </x:c>
      <x:c r="CM265" s="23" t="n">
        <x:f>MAX(0,MIN('Activities'!L265,522)-MAX('Activities'!K265,516))</x:f>
        <x:v>0</x:v>
      </x:c>
      <x:c r="CN265" s="23" t="n">
        <x:f>MAX(0,MIN('Activities'!L265,528)-MAX('Activities'!K265,522))</x:f>
        <x:v>0</x:v>
      </x:c>
      <x:c r="CO265" s="23" t="n">
        <x:f>MAX(0,MIN('Activities'!L265,534)-MAX('Activities'!K265,528))</x:f>
        <x:v>0</x:v>
      </x:c>
      <x:c r="CP265" s="23" t="n">
        <x:f>MAX(0,MIN('Activities'!L265,540)-MAX('Activities'!K265,534))</x:f>
        <x:v>0</x:v>
      </x:c>
      <x:c r="CQ265" s="23" t="n">
        <x:f>MAX(0,MIN('Activities'!L265,546)-MAX('Activities'!K265,540))</x:f>
        <x:v>0</x:v>
      </x:c>
      <x:c r="CR265" s="23" t="n">
        <x:f>MAX(0,MIN('Activities'!L265,552)-MAX('Activities'!K265,546))</x:f>
        <x:v>0</x:v>
      </x:c>
      <x:c r="CS265" s="23" t="n">
        <x:f>MAX(0,MIN('Activities'!L265,558)-MAX('Activities'!K265,552))</x:f>
        <x:v>0</x:v>
      </x:c>
      <x:c r="CT265" s="23" t="n">
        <x:f>MAX(0,MIN('Activities'!L265,564)-MAX('Activities'!K265,558))</x:f>
        <x:v>0</x:v>
      </x:c>
      <x:c r="CU265" s="23" t="n">
        <x:f>MAX(0,MIN('Activities'!L265,570)-MAX('Activities'!K265,564))</x:f>
        <x:v>0</x:v>
      </x:c>
      <x:c r="CV265" s="23" t="n">
        <x:f>MAX(0,MIN('Activities'!L265,576)-MAX('Activities'!K265,570))</x:f>
        <x:v>0</x:v>
      </x:c>
      <x:c r="CW265" s="23" t="n">
        <x:f>MAX(0,MIN('Activities'!L265,582)-MAX('Activities'!K265,576))</x:f>
        <x:v>0</x:v>
      </x:c>
      <x:c r="CX265" s="23" t="n">
        <x:f>MAX(0,MIN('Activities'!L265,588)-MAX('Activities'!K265,582))</x:f>
        <x:v>0</x:v>
      </x:c>
      <x:c r="CY265" s="23" t="n">
        <x:f>MAX(0,MIN('Activities'!L265,594)-MAX('Activities'!K265,588))</x:f>
        <x:v>0</x:v>
      </x:c>
      <x:c r="CZ265" s="23" t="n">
        <x:f>MAX(0,MIN('Activities'!L265,600)-MAX('Activities'!K265,594))</x:f>
        <x:v>0</x:v>
      </x:c>
      <x:c r="DA265" s="23" t="n">
        <x:f>MAX(0,MIN('Activities'!L265,606)-MAX('Activities'!K265,600))</x:f>
        <x:v>0</x:v>
      </x:c>
      <x:c r="DB265" s="23" t="n">
        <x:f>MAX(0,MIN('Activities'!L265,612)-MAX('Activities'!K265,606))</x:f>
        <x:v>0</x:v>
      </x:c>
      <x:c r="DC265" s="23" t="n">
        <x:f>MAX(0,MIN('Activities'!L265,618)-MAX('Activities'!K265,612))</x:f>
        <x:v>0</x:v>
      </x:c>
      <x:c r="DD265" s="23" t="n">
        <x:f>MAX(0,MIN('Activities'!L265,624)-MAX('Activities'!K265,618))</x:f>
        <x:v>0</x:v>
      </x:c>
      <x:c r="DE265" s="23" t="n">
        <x:f>MAX(0,MIN('Activities'!L265,630)-MAX('Activities'!K265,624))</x:f>
        <x:v>0</x:v>
      </x:c>
      <x:c r="DF265" s="23" t="n">
        <x:f>MAX(0,MIN('Activities'!L265,636)-MAX('Activities'!K265,630))</x:f>
        <x:v>0</x:v>
      </x:c>
    </x:row>
    <x:row r="266" ht="23" customHeight="1">
      <x:c r="A266" s="6" t="str">
        <x:v>T2-L10-S</x:v>
      </x:c>
      <x:c r="B266" s="6" t="str">
        <x:v>T2</x:v>
      </x:c>
      <x:c r="C266" s="6" t="str">
        <x:v>Screed and substrate preparation</x:v>
      </x:c>
      <x:c r="D266" s="6" t="str">
        <x:v>Finishes</x:v>
      </x:c>
      <x:c r="E266" s="22" t="n">
        <x:f>MAX(0,MIN('Activities'!L266,6)-MAX('Activities'!K266,0))</x:f>
        <x:v>0</x:v>
      </x:c>
      <x:c r="F266" s="22" t="n">
        <x:f>MAX(0,MIN('Activities'!L266,12)-MAX('Activities'!K266,6))</x:f>
        <x:v>0</x:v>
      </x:c>
      <x:c r="G266" s="22" t="n">
        <x:f>MAX(0,MIN('Activities'!L266,18)-MAX('Activities'!K266,12))</x:f>
        <x:v>0</x:v>
      </x:c>
      <x:c r="H266" s="22" t="n">
        <x:f>MAX(0,MIN('Activities'!L266,24)-MAX('Activities'!K266,18))</x:f>
        <x:v>0</x:v>
      </x:c>
      <x:c r="I266" s="22" t="n">
        <x:f>MAX(0,MIN('Activities'!L266,30)-MAX('Activities'!K266,24))</x:f>
        <x:v>0</x:v>
      </x:c>
      <x:c r="J266" s="22" t="n">
        <x:f>MAX(0,MIN('Activities'!L266,36)-MAX('Activities'!K266,30))</x:f>
        <x:v>0</x:v>
      </x:c>
      <x:c r="K266" s="22" t="n">
        <x:f>MAX(0,MIN('Activities'!L266,42)-MAX('Activities'!K266,36))</x:f>
        <x:v>0</x:v>
      </x:c>
      <x:c r="L266" s="22" t="n">
        <x:f>MAX(0,MIN('Activities'!L266,48)-MAX('Activities'!K266,42))</x:f>
        <x:v>0</x:v>
      </x:c>
      <x:c r="M266" s="22" t="n">
        <x:f>MAX(0,MIN('Activities'!L266,54)-MAX('Activities'!K266,48))</x:f>
        <x:v>0</x:v>
      </x:c>
      <x:c r="N266" s="22" t="n">
        <x:f>MAX(0,MIN('Activities'!L266,60)-MAX('Activities'!K266,54))</x:f>
        <x:v>0</x:v>
      </x:c>
      <x:c r="O266" s="22" t="n">
        <x:f>MAX(0,MIN('Activities'!L266,66)-MAX('Activities'!K266,60))</x:f>
        <x:v>0</x:v>
      </x:c>
      <x:c r="P266" s="22" t="n">
        <x:f>MAX(0,MIN('Activities'!L266,72)-MAX('Activities'!K266,66))</x:f>
        <x:v>0</x:v>
      </x:c>
      <x:c r="Q266" s="22" t="n">
        <x:f>MAX(0,MIN('Activities'!L266,78)-MAX('Activities'!K266,72))</x:f>
        <x:v>0</x:v>
      </x:c>
      <x:c r="R266" s="22" t="n">
        <x:f>MAX(0,MIN('Activities'!L266,84)-MAX('Activities'!K266,78))</x:f>
        <x:v>0</x:v>
      </x:c>
      <x:c r="S266" s="22" t="n">
        <x:f>MAX(0,MIN('Activities'!L266,90)-MAX('Activities'!K266,84))</x:f>
        <x:v>0</x:v>
      </x:c>
      <x:c r="T266" s="22" t="n">
        <x:f>MAX(0,MIN('Activities'!L266,96)-MAX('Activities'!K266,90))</x:f>
        <x:v>0</x:v>
      </x:c>
      <x:c r="U266" s="22" t="n">
        <x:f>MAX(0,MIN('Activities'!L266,102)-MAX('Activities'!K266,96))</x:f>
        <x:v>0</x:v>
      </x:c>
      <x:c r="V266" s="22" t="n">
        <x:f>MAX(0,MIN('Activities'!L266,108)-MAX('Activities'!K266,102))</x:f>
        <x:v>0</x:v>
      </x:c>
      <x:c r="W266" s="22" t="n">
        <x:f>MAX(0,MIN('Activities'!L266,114)-MAX('Activities'!K266,108))</x:f>
        <x:v>0</x:v>
      </x:c>
      <x:c r="X266" s="22" t="n">
        <x:f>MAX(0,MIN('Activities'!L266,120)-MAX('Activities'!K266,114))</x:f>
        <x:v>0</x:v>
      </x:c>
      <x:c r="Y266" s="22" t="n">
        <x:f>MAX(0,MIN('Activities'!L266,126)-MAX('Activities'!K266,120))</x:f>
        <x:v>0</x:v>
      </x:c>
      <x:c r="Z266" s="22" t="n">
        <x:f>MAX(0,MIN('Activities'!L266,132)-MAX('Activities'!K266,126))</x:f>
        <x:v>0</x:v>
      </x:c>
      <x:c r="AA266" s="22" t="n">
        <x:f>MAX(0,MIN('Activities'!L266,138)-MAX('Activities'!K266,132))</x:f>
        <x:v>0</x:v>
      </x:c>
      <x:c r="AB266" s="22" t="n">
        <x:f>MAX(0,MIN('Activities'!L266,144)-MAX('Activities'!K266,138))</x:f>
        <x:v>0</x:v>
      </x:c>
      <x:c r="AC266" s="22" t="n">
        <x:f>MAX(0,MIN('Activities'!L266,150)-MAX('Activities'!K266,144))</x:f>
        <x:v>0</x:v>
      </x:c>
      <x:c r="AD266" s="22" t="n">
        <x:f>MAX(0,MIN('Activities'!L266,156)-MAX('Activities'!K266,150))</x:f>
        <x:v>0</x:v>
      </x:c>
      <x:c r="AE266" s="22" t="n">
        <x:f>MAX(0,MIN('Activities'!L266,162)-MAX('Activities'!K266,156))</x:f>
        <x:v>0</x:v>
      </x:c>
      <x:c r="AF266" s="22" t="n">
        <x:f>MAX(0,MIN('Activities'!L266,168)-MAX('Activities'!K266,162))</x:f>
        <x:v>0</x:v>
      </x:c>
      <x:c r="AG266" s="22" t="n">
        <x:f>MAX(0,MIN('Activities'!L266,174)-MAX('Activities'!K266,168))</x:f>
        <x:v>0</x:v>
      </x:c>
      <x:c r="AH266" s="22" t="n">
        <x:f>MAX(0,MIN('Activities'!L266,180)-MAX('Activities'!K266,174))</x:f>
        <x:v>0</x:v>
      </x:c>
      <x:c r="AI266" s="22" t="n">
        <x:f>MAX(0,MIN('Activities'!L266,186)-MAX('Activities'!K266,180))</x:f>
        <x:v>0</x:v>
      </x:c>
      <x:c r="AJ266" s="22" t="n">
        <x:f>MAX(0,MIN('Activities'!L266,192)-MAX('Activities'!K266,186))</x:f>
        <x:v>0</x:v>
      </x:c>
      <x:c r="AK266" s="22" t="n">
        <x:f>MAX(0,MIN('Activities'!L266,198)-MAX('Activities'!K266,192))</x:f>
        <x:v>0</x:v>
      </x:c>
      <x:c r="AL266" s="22" t="n">
        <x:f>MAX(0,MIN('Activities'!L266,204)-MAX('Activities'!K266,198))</x:f>
        <x:v>0</x:v>
      </x:c>
      <x:c r="AM266" s="22" t="n">
        <x:f>MAX(0,MIN('Activities'!L266,210)-MAX('Activities'!K266,204))</x:f>
        <x:v>0</x:v>
      </x:c>
      <x:c r="AN266" s="22" t="n">
        <x:f>MAX(0,MIN('Activities'!L266,216)-MAX('Activities'!K266,210))</x:f>
        <x:v>0</x:v>
      </x:c>
      <x:c r="AO266" s="22" t="n">
        <x:f>MAX(0,MIN('Activities'!L266,222)-MAX('Activities'!K266,216))</x:f>
        <x:v>0</x:v>
      </x:c>
      <x:c r="AP266" s="22" t="n">
        <x:f>MAX(0,MIN('Activities'!L266,228)-MAX('Activities'!K266,222))</x:f>
        <x:v>0</x:v>
      </x:c>
      <x:c r="AQ266" s="22" t="n">
        <x:f>MAX(0,MIN('Activities'!L266,234)-MAX('Activities'!K266,228))</x:f>
        <x:v>0</x:v>
      </x:c>
      <x:c r="AR266" s="22" t="n">
        <x:f>MAX(0,MIN('Activities'!L266,240)-MAX('Activities'!K266,234))</x:f>
        <x:v>0</x:v>
      </x:c>
      <x:c r="AS266" s="22" t="n">
        <x:f>MAX(0,MIN('Activities'!L266,246)-MAX('Activities'!K266,240))</x:f>
        <x:v>0</x:v>
      </x:c>
      <x:c r="AT266" s="22" t="n">
        <x:f>MAX(0,MIN('Activities'!L266,252)-MAX('Activities'!K266,246))</x:f>
        <x:v>0</x:v>
      </x:c>
      <x:c r="AU266" s="22" t="n">
        <x:f>MAX(0,MIN('Activities'!L266,258)-MAX('Activities'!K266,252))</x:f>
        <x:v>0</x:v>
      </x:c>
      <x:c r="AV266" s="22" t="n">
        <x:f>MAX(0,MIN('Activities'!L266,264)-MAX('Activities'!K266,258))</x:f>
        <x:v>0</x:v>
      </x:c>
      <x:c r="AW266" s="22" t="n">
        <x:f>MAX(0,MIN('Activities'!L266,270)-MAX('Activities'!K266,264))</x:f>
        <x:v>0</x:v>
      </x:c>
      <x:c r="AX266" s="22" t="n">
        <x:f>MAX(0,MIN('Activities'!L266,276)-MAX('Activities'!K266,270))</x:f>
        <x:v>0</x:v>
      </x:c>
      <x:c r="AY266" s="22" t="n">
        <x:f>MAX(0,MIN('Activities'!L266,282)-MAX('Activities'!K266,276))</x:f>
        <x:v>0</x:v>
      </x:c>
      <x:c r="AZ266" s="22" t="n">
        <x:f>MAX(0,MIN('Activities'!L266,288)-MAX('Activities'!K266,282))</x:f>
        <x:v>0</x:v>
      </x:c>
      <x:c r="BA266" s="22" t="n">
        <x:f>MAX(0,MIN('Activities'!L266,294)-MAX('Activities'!K266,288))</x:f>
        <x:v>0</x:v>
      </x:c>
      <x:c r="BB266" s="22" t="n">
        <x:f>MAX(0,MIN('Activities'!L266,300)-MAX('Activities'!K266,294))</x:f>
        <x:v>0</x:v>
      </x:c>
      <x:c r="BC266" s="22" t="n">
        <x:f>MAX(0,MIN('Activities'!L266,306)-MAX('Activities'!K266,300))</x:f>
        <x:v>0</x:v>
      </x:c>
      <x:c r="BD266" s="22" t="n">
        <x:f>MAX(0,MIN('Activities'!L266,312)-MAX('Activities'!K266,306))</x:f>
        <x:v>0</x:v>
      </x:c>
      <x:c r="BE266" s="22" t="n">
        <x:f>MAX(0,MIN('Activities'!L266,318)-MAX('Activities'!K266,312))</x:f>
        <x:v>0</x:v>
      </x:c>
      <x:c r="BF266" s="22" t="n">
        <x:f>MAX(0,MIN('Activities'!L266,324)-MAX('Activities'!K266,318))</x:f>
        <x:v>0</x:v>
      </x:c>
      <x:c r="BG266" s="22" t="n">
        <x:f>MAX(0,MIN('Activities'!L266,330)-MAX('Activities'!K266,324))</x:f>
        <x:v>0</x:v>
      </x:c>
      <x:c r="BH266" s="22" t="n">
        <x:f>MAX(0,MIN('Activities'!L266,336)-MAX('Activities'!K266,330))</x:f>
        <x:v>0</x:v>
      </x:c>
      <x:c r="BI266" s="22" t="n">
        <x:f>MAX(0,MIN('Activities'!L266,342)-MAX('Activities'!K266,336))</x:f>
        <x:v>0</x:v>
      </x:c>
      <x:c r="BJ266" s="22" t="n">
        <x:f>MAX(0,MIN('Activities'!L266,348)-MAX('Activities'!K266,342))</x:f>
        <x:v>0</x:v>
      </x:c>
      <x:c r="BK266" s="22" t="n">
        <x:f>MAX(0,MIN('Activities'!L266,354)-MAX('Activities'!K266,348))</x:f>
        <x:v>0</x:v>
      </x:c>
      <x:c r="BL266" s="22" t="n">
        <x:f>MAX(0,MIN('Activities'!L266,360)-MAX('Activities'!K266,354))</x:f>
        <x:v>0</x:v>
      </x:c>
      <x:c r="BM266" s="22" t="n">
        <x:f>MAX(0,MIN('Activities'!L266,366)-MAX('Activities'!K266,360))</x:f>
        <x:v>0</x:v>
      </x:c>
      <x:c r="BN266" s="22" t="n">
        <x:f>MAX(0,MIN('Activities'!L266,372)-MAX('Activities'!K266,366))</x:f>
        <x:v>0</x:v>
      </x:c>
      <x:c r="BO266" s="22" t="n">
        <x:f>MAX(0,MIN('Activities'!L266,378)-MAX('Activities'!K266,372))</x:f>
        <x:v>0</x:v>
      </x:c>
      <x:c r="BP266" s="22" t="n">
        <x:f>MAX(0,MIN('Activities'!L266,384)-MAX('Activities'!K266,378))</x:f>
        <x:v>0</x:v>
      </x:c>
      <x:c r="BQ266" s="22" t="n">
        <x:f>MAX(0,MIN('Activities'!L266,390)-MAX('Activities'!K266,384))</x:f>
        <x:v>0</x:v>
      </x:c>
      <x:c r="BR266" s="22" t="n">
        <x:f>MAX(0,MIN('Activities'!L266,396)-MAX('Activities'!K266,390))</x:f>
        <x:v>0</x:v>
      </x:c>
      <x:c r="BS266" s="22" t="n">
        <x:f>MAX(0,MIN('Activities'!L266,402)-MAX('Activities'!K266,396))</x:f>
        <x:v>1</x:v>
      </x:c>
      <x:c r="BT266" s="22" t="n">
        <x:f>MAX(0,MIN('Activities'!L266,408)-MAX('Activities'!K266,402))</x:f>
        <x:v>2</x:v>
      </x:c>
      <x:c r="BU266" s="22" t="n">
        <x:f>MAX(0,MIN('Activities'!L266,414)-MAX('Activities'!K266,408))</x:f>
        <x:v>0</x:v>
      </x:c>
      <x:c r="BV266" s="22" t="n">
        <x:f>MAX(0,MIN('Activities'!L266,420)-MAX('Activities'!K266,414))</x:f>
        <x:v>0</x:v>
      </x:c>
      <x:c r="BW266" s="22" t="n">
        <x:f>MAX(0,MIN('Activities'!L266,426)-MAX('Activities'!K266,420))</x:f>
        <x:v>0</x:v>
      </x:c>
      <x:c r="BX266" s="22" t="n">
        <x:f>MAX(0,MIN('Activities'!L266,432)-MAX('Activities'!K266,426))</x:f>
        <x:v>0</x:v>
      </x:c>
      <x:c r="BY266" s="22" t="n">
        <x:f>MAX(0,MIN('Activities'!L266,438)-MAX('Activities'!K266,432))</x:f>
        <x:v>0</x:v>
      </x:c>
      <x:c r="BZ266" s="22" t="n">
        <x:f>MAX(0,MIN('Activities'!L266,444)-MAX('Activities'!K266,438))</x:f>
        <x:v>0</x:v>
      </x:c>
      <x:c r="CA266" s="22" t="n">
        <x:f>MAX(0,MIN('Activities'!L266,450)-MAX('Activities'!K266,444))</x:f>
        <x:v>0</x:v>
      </x:c>
      <x:c r="CB266" s="22" t="n">
        <x:f>MAX(0,MIN('Activities'!L266,456)-MAX('Activities'!K266,450))</x:f>
        <x:v>0</x:v>
      </x:c>
      <x:c r="CC266" s="22" t="n">
        <x:f>MAX(0,MIN('Activities'!L266,462)-MAX('Activities'!K266,456))</x:f>
        <x:v>0</x:v>
      </x:c>
      <x:c r="CD266" s="22" t="n">
        <x:f>MAX(0,MIN('Activities'!L266,468)-MAX('Activities'!K266,462))</x:f>
        <x:v>0</x:v>
      </x:c>
      <x:c r="CE266" s="22" t="n">
        <x:f>MAX(0,MIN('Activities'!L266,474)-MAX('Activities'!K266,468))</x:f>
        <x:v>0</x:v>
      </x:c>
      <x:c r="CF266" s="22" t="n">
        <x:f>MAX(0,MIN('Activities'!L266,480)-MAX('Activities'!K266,474))</x:f>
        <x:v>0</x:v>
      </x:c>
      <x:c r="CG266" s="22" t="n">
        <x:f>MAX(0,MIN('Activities'!L266,486)-MAX('Activities'!K266,480))</x:f>
        <x:v>0</x:v>
      </x:c>
      <x:c r="CH266" s="22" t="n">
        <x:f>MAX(0,MIN('Activities'!L266,492)-MAX('Activities'!K266,486))</x:f>
        <x:v>0</x:v>
      </x:c>
      <x:c r="CI266" s="22" t="n">
        <x:f>MAX(0,MIN('Activities'!L266,498)-MAX('Activities'!K266,492))</x:f>
        <x:v>0</x:v>
      </x:c>
      <x:c r="CJ266" s="22" t="n">
        <x:f>MAX(0,MIN('Activities'!L266,504)-MAX('Activities'!K266,498))</x:f>
        <x:v>0</x:v>
      </x:c>
      <x:c r="CK266" s="22" t="n">
        <x:f>MAX(0,MIN('Activities'!L266,510)-MAX('Activities'!K266,504))</x:f>
        <x:v>0</x:v>
      </x:c>
      <x:c r="CL266" s="22" t="n">
        <x:f>MAX(0,MIN('Activities'!L266,516)-MAX('Activities'!K266,510))</x:f>
        <x:v>0</x:v>
      </x:c>
      <x:c r="CM266" s="22" t="n">
        <x:f>MAX(0,MIN('Activities'!L266,522)-MAX('Activities'!K266,516))</x:f>
        <x:v>0</x:v>
      </x:c>
      <x:c r="CN266" s="22" t="n">
        <x:f>MAX(0,MIN('Activities'!L266,528)-MAX('Activities'!K266,522))</x:f>
        <x:v>0</x:v>
      </x:c>
      <x:c r="CO266" s="22" t="n">
        <x:f>MAX(0,MIN('Activities'!L266,534)-MAX('Activities'!K266,528))</x:f>
        <x:v>0</x:v>
      </x:c>
      <x:c r="CP266" s="22" t="n">
        <x:f>MAX(0,MIN('Activities'!L266,540)-MAX('Activities'!K266,534))</x:f>
        <x:v>0</x:v>
      </x:c>
      <x:c r="CQ266" s="22" t="n">
        <x:f>MAX(0,MIN('Activities'!L266,546)-MAX('Activities'!K266,540))</x:f>
        <x:v>0</x:v>
      </x:c>
      <x:c r="CR266" s="22" t="n">
        <x:f>MAX(0,MIN('Activities'!L266,552)-MAX('Activities'!K266,546))</x:f>
        <x:v>0</x:v>
      </x:c>
      <x:c r="CS266" s="22" t="n">
        <x:f>MAX(0,MIN('Activities'!L266,558)-MAX('Activities'!K266,552))</x:f>
        <x:v>0</x:v>
      </x:c>
      <x:c r="CT266" s="22" t="n">
        <x:f>MAX(0,MIN('Activities'!L266,564)-MAX('Activities'!K266,558))</x:f>
        <x:v>0</x:v>
      </x:c>
      <x:c r="CU266" s="22" t="n">
        <x:f>MAX(0,MIN('Activities'!L266,570)-MAX('Activities'!K266,564))</x:f>
        <x:v>0</x:v>
      </x:c>
      <x:c r="CV266" s="22" t="n">
        <x:f>MAX(0,MIN('Activities'!L266,576)-MAX('Activities'!K266,570))</x:f>
        <x:v>0</x:v>
      </x:c>
      <x:c r="CW266" s="22" t="n">
        <x:f>MAX(0,MIN('Activities'!L266,582)-MAX('Activities'!K266,576))</x:f>
        <x:v>0</x:v>
      </x:c>
      <x:c r="CX266" s="22" t="n">
        <x:f>MAX(0,MIN('Activities'!L266,588)-MAX('Activities'!K266,582))</x:f>
        <x:v>0</x:v>
      </x:c>
      <x:c r="CY266" s="22" t="n">
        <x:f>MAX(0,MIN('Activities'!L266,594)-MAX('Activities'!K266,588))</x:f>
        <x:v>0</x:v>
      </x:c>
      <x:c r="CZ266" s="22" t="n">
        <x:f>MAX(0,MIN('Activities'!L266,600)-MAX('Activities'!K266,594))</x:f>
        <x:v>0</x:v>
      </x:c>
      <x:c r="DA266" s="22" t="n">
        <x:f>MAX(0,MIN('Activities'!L266,606)-MAX('Activities'!K266,600))</x:f>
        <x:v>0</x:v>
      </x:c>
      <x:c r="DB266" s="22" t="n">
        <x:f>MAX(0,MIN('Activities'!L266,612)-MAX('Activities'!K266,606))</x:f>
        <x:v>0</x:v>
      </x:c>
      <x:c r="DC266" s="22" t="n">
        <x:f>MAX(0,MIN('Activities'!L266,618)-MAX('Activities'!K266,612))</x:f>
        <x:v>0</x:v>
      </x:c>
      <x:c r="DD266" s="22" t="n">
        <x:f>MAX(0,MIN('Activities'!L266,624)-MAX('Activities'!K266,618))</x:f>
        <x:v>0</x:v>
      </x:c>
      <x:c r="DE266" s="22" t="n">
        <x:f>MAX(0,MIN('Activities'!L266,630)-MAX('Activities'!K266,624))</x:f>
        <x:v>0</x:v>
      </x:c>
      <x:c r="DF266" s="22" t="n">
        <x:f>MAX(0,MIN('Activities'!L266,636)-MAX('Activities'!K266,630))</x:f>
        <x:v>0</x:v>
      </x:c>
    </x:row>
    <x:row r="267" ht="23" customHeight="1">
      <x:c r="A267" s="1" t="str">
        <x:v>T2-L10-T</x:v>
      </x:c>
      <x:c r="B267" s="1" t="str">
        <x:v>T2</x:v>
      </x:c>
      <x:c r="C267" s="1" t="str">
        <x:v>Floor finishes and skirtings</x:v>
      </x:c>
      <x:c r="D267" s="1" t="str">
        <x:v>Finishes</x:v>
      </x:c>
      <x:c r="E267" s="23" t="n">
        <x:f>MAX(0,MIN('Activities'!L267,6)-MAX('Activities'!K267,0))</x:f>
        <x:v>0</x:v>
      </x:c>
      <x:c r="F267" s="23" t="n">
        <x:f>MAX(0,MIN('Activities'!L267,12)-MAX('Activities'!K267,6))</x:f>
        <x:v>0</x:v>
      </x:c>
      <x:c r="G267" s="23" t="n">
        <x:f>MAX(0,MIN('Activities'!L267,18)-MAX('Activities'!K267,12))</x:f>
        <x:v>0</x:v>
      </x:c>
      <x:c r="H267" s="23" t="n">
        <x:f>MAX(0,MIN('Activities'!L267,24)-MAX('Activities'!K267,18))</x:f>
        <x:v>0</x:v>
      </x:c>
      <x:c r="I267" s="23" t="n">
        <x:f>MAX(0,MIN('Activities'!L267,30)-MAX('Activities'!K267,24))</x:f>
        <x:v>0</x:v>
      </x:c>
      <x:c r="J267" s="23" t="n">
        <x:f>MAX(0,MIN('Activities'!L267,36)-MAX('Activities'!K267,30))</x:f>
        <x:v>0</x:v>
      </x:c>
      <x:c r="K267" s="23" t="n">
        <x:f>MAX(0,MIN('Activities'!L267,42)-MAX('Activities'!K267,36))</x:f>
        <x:v>0</x:v>
      </x:c>
      <x:c r="L267" s="23" t="n">
        <x:f>MAX(0,MIN('Activities'!L267,48)-MAX('Activities'!K267,42))</x:f>
        <x:v>0</x:v>
      </x:c>
      <x:c r="M267" s="23" t="n">
        <x:f>MAX(0,MIN('Activities'!L267,54)-MAX('Activities'!K267,48))</x:f>
        <x:v>0</x:v>
      </x:c>
      <x:c r="N267" s="23" t="n">
        <x:f>MAX(0,MIN('Activities'!L267,60)-MAX('Activities'!K267,54))</x:f>
        <x:v>0</x:v>
      </x:c>
      <x:c r="O267" s="23" t="n">
        <x:f>MAX(0,MIN('Activities'!L267,66)-MAX('Activities'!K267,60))</x:f>
        <x:v>0</x:v>
      </x:c>
      <x:c r="P267" s="23" t="n">
        <x:f>MAX(0,MIN('Activities'!L267,72)-MAX('Activities'!K267,66))</x:f>
        <x:v>0</x:v>
      </x:c>
      <x:c r="Q267" s="23" t="n">
        <x:f>MAX(0,MIN('Activities'!L267,78)-MAX('Activities'!K267,72))</x:f>
        <x:v>0</x:v>
      </x:c>
      <x:c r="R267" s="23" t="n">
        <x:f>MAX(0,MIN('Activities'!L267,84)-MAX('Activities'!K267,78))</x:f>
        <x:v>0</x:v>
      </x:c>
      <x:c r="S267" s="23" t="n">
        <x:f>MAX(0,MIN('Activities'!L267,90)-MAX('Activities'!K267,84))</x:f>
        <x:v>0</x:v>
      </x:c>
      <x:c r="T267" s="23" t="n">
        <x:f>MAX(0,MIN('Activities'!L267,96)-MAX('Activities'!K267,90))</x:f>
        <x:v>0</x:v>
      </x:c>
      <x:c r="U267" s="23" t="n">
        <x:f>MAX(0,MIN('Activities'!L267,102)-MAX('Activities'!K267,96))</x:f>
        <x:v>0</x:v>
      </x:c>
      <x:c r="V267" s="23" t="n">
        <x:f>MAX(0,MIN('Activities'!L267,108)-MAX('Activities'!K267,102))</x:f>
        <x:v>0</x:v>
      </x:c>
      <x:c r="W267" s="23" t="n">
        <x:f>MAX(0,MIN('Activities'!L267,114)-MAX('Activities'!K267,108))</x:f>
        <x:v>0</x:v>
      </x:c>
      <x:c r="X267" s="23" t="n">
        <x:f>MAX(0,MIN('Activities'!L267,120)-MAX('Activities'!K267,114))</x:f>
        <x:v>0</x:v>
      </x:c>
      <x:c r="Y267" s="23" t="n">
        <x:f>MAX(0,MIN('Activities'!L267,126)-MAX('Activities'!K267,120))</x:f>
        <x:v>0</x:v>
      </x:c>
      <x:c r="Z267" s="23" t="n">
        <x:f>MAX(0,MIN('Activities'!L267,132)-MAX('Activities'!K267,126))</x:f>
        <x:v>0</x:v>
      </x:c>
      <x:c r="AA267" s="23" t="n">
        <x:f>MAX(0,MIN('Activities'!L267,138)-MAX('Activities'!K267,132))</x:f>
        <x:v>0</x:v>
      </x:c>
      <x:c r="AB267" s="23" t="n">
        <x:f>MAX(0,MIN('Activities'!L267,144)-MAX('Activities'!K267,138))</x:f>
        <x:v>0</x:v>
      </x:c>
      <x:c r="AC267" s="23" t="n">
        <x:f>MAX(0,MIN('Activities'!L267,150)-MAX('Activities'!K267,144))</x:f>
        <x:v>0</x:v>
      </x:c>
      <x:c r="AD267" s="23" t="n">
        <x:f>MAX(0,MIN('Activities'!L267,156)-MAX('Activities'!K267,150))</x:f>
        <x:v>0</x:v>
      </x:c>
      <x:c r="AE267" s="23" t="n">
        <x:f>MAX(0,MIN('Activities'!L267,162)-MAX('Activities'!K267,156))</x:f>
        <x:v>0</x:v>
      </x:c>
      <x:c r="AF267" s="23" t="n">
        <x:f>MAX(0,MIN('Activities'!L267,168)-MAX('Activities'!K267,162))</x:f>
        <x:v>0</x:v>
      </x:c>
      <x:c r="AG267" s="23" t="n">
        <x:f>MAX(0,MIN('Activities'!L267,174)-MAX('Activities'!K267,168))</x:f>
        <x:v>0</x:v>
      </x:c>
      <x:c r="AH267" s="23" t="n">
        <x:f>MAX(0,MIN('Activities'!L267,180)-MAX('Activities'!K267,174))</x:f>
        <x:v>0</x:v>
      </x:c>
      <x:c r="AI267" s="23" t="n">
        <x:f>MAX(0,MIN('Activities'!L267,186)-MAX('Activities'!K267,180))</x:f>
        <x:v>0</x:v>
      </x:c>
      <x:c r="AJ267" s="23" t="n">
        <x:f>MAX(0,MIN('Activities'!L267,192)-MAX('Activities'!K267,186))</x:f>
        <x:v>0</x:v>
      </x:c>
      <x:c r="AK267" s="23" t="n">
        <x:f>MAX(0,MIN('Activities'!L267,198)-MAX('Activities'!K267,192))</x:f>
        <x:v>0</x:v>
      </x:c>
      <x:c r="AL267" s="23" t="n">
        <x:f>MAX(0,MIN('Activities'!L267,204)-MAX('Activities'!K267,198))</x:f>
        <x:v>0</x:v>
      </x:c>
      <x:c r="AM267" s="23" t="n">
        <x:f>MAX(0,MIN('Activities'!L267,210)-MAX('Activities'!K267,204))</x:f>
        <x:v>0</x:v>
      </x:c>
      <x:c r="AN267" s="23" t="n">
        <x:f>MAX(0,MIN('Activities'!L267,216)-MAX('Activities'!K267,210))</x:f>
        <x:v>0</x:v>
      </x:c>
      <x:c r="AO267" s="23" t="n">
        <x:f>MAX(0,MIN('Activities'!L267,222)-MAX('Activities'!K267,216))</x:f>
        <x:v>0</x:v>
      </x:c>
      <x:c r="AP267" s="23" t="n">
        <x:f>MAX(0,MIN('Activities'!L267,228)-MAX('Activities'!K267,222))</x:f>
        <x:v>0</x:v>
      </x:c>
      <x:c r="AQ267" s="23" t="n">
        <x:f>MAX(0,MIN('Activities'!L267,234)-MAX('Activities'!K267,228))</x:f>
        <x:v>0</x:v>
      </x:c>
      <x:c r="AR267" s="23" t="n">
        <x:f>MAX(0,MIN('Activities'!L267,240)-MAX('Activities'!K267,234))</x:f>
        <x:v>0</x:v>
      </x:c>
      <x:c r="AS267" s="23" t="n">
        <x:f>MAX(0,MIN('Activities'!L267,246)-MAX('Activities'!K267,240))</x:f>
        <x:v>0</x:v>
      </x:c>
      <x:c r="AT267" s="23" t="n">
        <x:f>MAX(0,MIN('Activities'!L267,252)-MAX('Activities'!K267,246))</x:f>
        <x:v>0</x:v>
      </x:c>
      <x:c r="AU267" s="23" t="n">
        <x:f>MAX(0,MIN('Activities'!L267,258)-MAX('Activities'!K267,252))</x:f>
        <x:v>0</x:v>
      </x:c>
      <x:c r="AV267" s="23" t="n">
        <x:f>MAX(0,MIN('Activities'!L267,264)-MAX('Activities'!K267,258))</x:f>
        <x:v>0</x:v>
      </x:c>
      <x:c r="AW267" s="23" t="n">
        <x:f>MAX(0,MIN('Activities'!L267,270)-MAX('Activities'!K267,264))</x:f>
        <x:v>0</x:v>
      </x:c>
      <x:c r="AX267" s="23" t="n">
        <x:f>MAX(0,MIN('Activities'!L267,276)-MAX('Activities'!K267,270))</x:f>
        <x:v>0</x:v>
      </x:c>
      <x:c r="AY267" s="23" t="n">
        <x:f>MAX(0,MIN('Activities'!L267,282)-MAX('Activities'!K267,276))</x:f>
        <x:v>0</x:v>
      </x:c>
      <x:c r="AZ267" s="23" t="n">
        <x:f>MAX(0,MIN('Activities'!L267,288)-MAX('Activities'!K267,282))</x:f>
        <x:v>0</x:v>
      </x:c>
      <x:c r="BA267" s="23" t="n">
        <x:f>MAX(0,MIN('Activities'!L267,294)-MAX('Activities'!K267,288))</x:f>
        <x:v>0</x:v>
      </x:c>
      <x:c r="BB267" s="23" t="n">
        <x:f>MAX(0,MIN('Activities'!L267,300)-MAX('Activities'!K267,294))</x:f>
        <x:v>0</x:v>
      </x:c>
      <x:c r="BC267" s="23" t="n">
        <x:f>MAX(0,MIN('Activities'!L267,306)-MAX('Activities'!K267,300))</x:f>
        <x:v>0</x:v>
      </x:c>
      <x:c r="BD267" s="23" t="n">
        <x:f>MAX(0,MIN('Activities'!L267,312)-MAX('Activities'!K267,306))</x:f>
        <x:v>0</x:v>
      </x:c>
      <x:c r="BE267" s="23" t="n">
        <x:f>MAX(0,MIN('Activities'!L267,318)-MAX('Activities'!K267,312))</x:f>
        <x:v>0</x:v>
      </x:c>
      <x:c r="BF267" s="23" t="n">
        <x:f>MAX(0,MIN('Activities'!L267,324)-MAX('Activities'!K267,318))</x:f>
        <x:v>0</x:v>
      </x:c>
      <x:c r="BG267" s="23" t="n">
        <x:f>MAX(0,MIN('Activities'!L267,330)-MAX('Activities'!K267,324))</x:f>
        <x:v>0</x:v>
      </x:c>
      <x:c r="BH267" s="23" t="n">
        <x:f>MAX(0,MIN('Activities'!L267,336)-MAX('Activities'!K267,330))</x:f>
        <x:v>0</x:v>
      </x:c>
      <x:c r="BI267" s="23" t="n">
        <x:f>MAX(0,MIN('Activities'!L267,342)-MAX('Activities'!K267,336))</x:f>
        <x:v>0</x:v>
      </x:c>
      <x:c r="BJ267" s="23" t="n">
        <x:f>MAX(0,MIN('Activities'!L267,348)-MAX('Activities'!K267,342))</x:f>
        <x:v>0</x:v>
      </x:c>
      <x:c r="BK267" s="23" t="n">
        <x:f>MAX(0,MIN('Activities'!L267,354)-MAX('Activities'!K267,348))</x:f>
        <x:v>0</x:v>
      </x:c>
      <x:c r="BL267" s="23" t="n">
        <x:f>MAX(0,MIN('Activities'!L267,360)-MAX('Activities'!K267,354))</x:f>
        <x:v>0</x:v>
      </x:c>
      <x:c r="BM267" s="23" t="n">
        <x:f>MAX(0,MIN('Activities'!L267,366)-MAX('Activities'!K267,360))</x:f>
        <x:v>0</x:v>
      </x:c>
      <x:c r="BN267" s="23" t="n">
        <x:f>MAX(0,MIN('Activities'!L267,372)-MAX('Activities'!K267,366))</x:f>
        <x:v>0</x:v>
      </x:c>
      <x:c r="BO267" s="23" t="n">
        <x:f>MAX(0,MIN('Activities'!L267,378)-MAX('Activities'!K267,372))</x:f>
        <x:v>0</x:v>
      </x:c>
      <x:c r="BP267" s="23" t="n">
        <x:f>MAX(0,MIN('Activities'!L267,384)-MAX('Activities'!K267,378))</x:f>
        <x:v>0</x:v>
      </x:c>
      <x:c r="BQ267" s="23" t="n">
        <x:f>MAX(0,MIN('Activities'!L267,390)-MAX('Activities'!K267,384))</x:f>
        <x:v>0</x:v>
      </x:c>
      <x:c r="BR267" s="23" t="n">
        <x:f>MAX(0,MIN('Activities'!L267,396)-MAX('Activities'!K267,390))</x:f>
        <x:v>0</x:v>
      </x:c>
      <x:c r="BS267" s="23" t="n">
        <x:f>MAX(0,MIN('Activities'!L267,402)-MAX('Activities'!K267,396))</x:f>
        <x:v>0</x:v>
      </x:c>
      <x:c r="BT267" s="23" t="n">
        <x:f>MAX(0,MIN('Activities'!L267,408)-MAX('Activities'!K267,402))</x:f>
        <x:v>0</x:v>
      </x:c>
      <x:c r="BU267" s="23" t="n">
        <x:f>MAX(0,MIN('Activities'!L267,414)-MAX('Activities'!K267,408))</x:f>
        <x:v>0</x:v>
      </x:c>
      <x:c r="BV267" s="23" t="n">
        <x:f>MAX(0,MIN('Activities'!L267,420)-MAX('Activities'!K267,414))</x:f>
        <x:v>2</x:v>
      </x:c>
      <x:c r="BW267" s="23" t="n">
        <x:f>MAX(0,MIN('Activities'!L267,426)-MAX('Activities'!K267,420))</x:f>
        <x:v>4</x:v>
      </x:c>
      <x:c r="BX267" s="23" t="n">
        <x:f>MAX(0,MIN('Activities'!L267,432)-MAX('Activities'!K267,426))</x:f>
        <x:v>0</x:v>
      </x:c>
      <x:c r="BY267" s="23" t="n">
        <x:f>MAX(0,MIN('Activities'!L267,438)-MAX('Activities'!K267,432))</x:f>
        <x:v>0</x:v>
      </x:c>
      <x:c r="BZ267" s="23" t="n">
        <x:f>MAX(0,MIN('Activities'!L267,444)-MAX('Activities'!K267,438))</x:f>
        <x:v>0</x:v>
      </x:c>
      <x:c r="CA267" s="23" t="n">
        <x:f>MAX(0,MIN('Activities'!L267,450)-MAX('Activities'!K267,444))</x:f>
        <x:v>0</x:v>
      </x:c>
      <x:c r="CB267" s="23" t="n">
        <x:f>MAX(0,MIN('Activities'!L267,456)-MAX('Activities'!K267,450))</x:f>
        <x:v>0</x:v>
      </x:c>
      <x:c r="CC267" s="23" t="n">
        <x:f>MAX(0,MIN('Activities'!L267,462)-MAX('Activities'!K267,456))</x:f>
        <x:v>0</x:v>
      </x:c>
      <x:c r="CD267" s="23" t="n">
        <x:f>MAX(0,MIN('Activities'!L267,468)-MAX('Activities'!K267,462))</x:f>
        <x:v>0</x:v>
      </x:c>
      <x:c r="CE267" s="23" t="n">
        <x:f>MAX(0,MIN('Activities'!L267,474)-MAX('Activities'!K267,468))</x:f>
        <x:v>0</x:v>
      </x:c>
      <x:c r="CF267" s="23" t="n">
        <x:f>MAX(0,MIN('Activities'!L267,480)-MAX('Activities'!K267,474))</x:f>
        <x:v>0</x:v>
      </x:c>
      <x:c r="CG267" s="23" t="n">
        <x:f>MAX(0,MIN('Activities'!L267,486)-MAX('Activities'!K267,480))</x:f>
        <x:v>0</x:v>
      </x:c>
      <x:c r="CH267" s="23" t="n">
        <x:f>MAX(0,MIN('Activities'!L267,492)-MAX('Activities'!K267,486))</x:f>
        <x:v>0</x:v>
      </x:c>
      <x:c r="CI267" s="23" t="n">
        <x:f>MAX(0,MIN('Activities'!L267,498)-MAX('Activities'!K267,492))</x:f>
        <x:v>0</x:v>
      </x:c>
      <x:c r="CJ267" s="23" t="n">
        <x:f>MAX(0,MIN('Activities'!L267,504)-MAX('Activities'!K267,498))</x:f>
        <x:v>0</x:v>
      </x:c>
      <x:c r="CK267" s="23" t="n">
        <x:f>MAX(0,MIN('Activities'!L267,510)-MAX('Activities'!K267,504))</x:f>
        <x:v>0</x:v>
      </x:c>
      <x:c r="CL267" s="23" t="n">
        <x:f>MAX(0,MIN('Activities'!L267,516)-MAX('Activities'!K267,510))</x:f>
        <x:v>0</x:v>
      </x:c>
      <x:c r="CM267" s="23" t="n">
        <x:f>MAX(0,MIN('Activities'!L267,522)-MAX('Activities'!K267,516))</x:f>
        <x:v>0</x:v>
      </x:c>
      <x:c r="CN267" s="23" t="n">
        <x:f>MAX(0,MIN('Activities'!L267,528)-MAX('Activities'!K267,522))</x:f>
        <x:v>0</x:v>
      </x:c>
      <x:c r="CO267" s="23" t="n">
        <x:f>MAX(0,MIN('Activities'!L267,534)-MAX('Activities'!K267,528))</x:f>
        <x:v>0</x:v>
      </x:c>
      <x:c r="CP267" s="23" t="n">
        <x:f>MAX(0,MIN('Activities'!L267,540)-MAX('Activities'!K267,534))</x:f>
        <x:v>0</x:v>
      </x:c>
      <x:c r="CQ267" s="23" t="n">
        <x:f>MAX(0,MIN('Activities'!L267,546)-MAX('Activities'!K267,540))</x:f>
        <x:v>0</x:v>
      </x:c>
      <x:c r="CR267" s="23" t="n">
        <x:f>MAX(0,MIN('Activities'!L267,552)-MAX('Activities'!K267,546))</x:f>
        <x:v>0</x:v>
      </x:c>
      <x:c r="CS267" s="23" t="n">
        <x:f>MAX(0,MIN('Activities'!L267,558)-MAX('Activities'!K267,552))</x:f>
        <x:v>0</x:v>
      </x:c>
      <x:c r="CT267" s="23" t="n">
        <x:f>MAX(0,MIN('Activities'!L267,564)-MAX('Activities'!K267,558))</x:f>
        <x:v>0</x:v>
      </x:c>
      <x:c r="CU267" s="23" t="n">
        <x:f>MAX(0,MIN('Activities'!L267,570)-MAX('Activities'!K267,564))</x:f>
        <x:v>0</x:v>
      </x:c>
      <x:c r="CV267" s="23" t="n">
        <x:f>MAX(0,MIN('Activities'!L267,576)-MAX('Activities'!K267,570))</x:f>
        <x:v>0</x:v>
      </x:c>
      <x:c r="CW267" s="23" t="n">
        <x:f>MAX(0,MIN('Activities'!L267,582)-MAX('Activities'!K267,576))</x:f>
        <x:v>0</x:v>
      </x:c>
      <x:c r="CX267" s="23" t="n">
        <x:f>MAX(0,MIN('Activities'!L267,588)-MAX('Activities'!K267,582))</x:f>
        <x:v>0</x:v>
      </x:c>
      <x:c r="CY267" s="23" t="n">
        <x:f>MAX(0,MIN('Activities'!L267,594)-MAX('Activities'!K267,588))</x:f>
        <x:v>0</x:v>
      </x:c>
      <x:c r="CZ267" s="23" t="n">
        <x:f>MAX(0,MIN('Activities'!L267,600)-MAX('Activities'!K267,594))</x:f>
        <x:v>0</x:v>
      </x:c>
      <x:c r="DA267" s="23" t="n">
        <x:f>MAX(0,MIN('Activities'!L267,606)-MAX('Activities'!K267,600))</x:f>
        <x:v>0</x:v>
      </x:c>
      <x:c r="DB267" s="23" t="n">
        <x:f>MAX(0,MIN('Activities'!L267,612)-MAX('Activities'!K267,606))</x:f>
        <x:v>0</x:v>
      </x:c>
      <x:c r="DC267" s="23" t="n">
        <x:f>MAX(0,MIN('Activities'!L267,618)-MAX('Activities'!K267,612))</x:f>
        <x:v>0</x:v>
      </x:c>
      <x:c r="DD267" s="23" t="n">
        <x:f>MAX(0,MIN('Activities'!L267,624)-MAX('Activities'!K267,618))</x:f>
        <x:v>0</x:v>
      </x:c>
      <x:c r="DE267" s="23" t="n">
        <x:f>MAX(0,MIN('Activities'!L267,630)-MAX('Activities'!K267,624))</x:f>
        <x:v>0</x:v>
      </x:c>
      <x:c r="DF267" s="23" t="n">
        <x:f>MAX(0,MIN('Activities'!L267,636)-MAX('Activities'!K267,630))</x:f>
        <x:v>0</x:v>
      </x:c>
    </x:row>
    <x:row r="268" ht="23" customHeight="1">
      <x:c r="A268" s="6" t="str">
        <x:v>T2-L10-A</x:v>
      </x:c>
      <x:c r="B268" s="6" t="str">
        <x:v>T2</x:v>
      </x:c>
      <x:c r="C268" s="6" t="str">
        <x:v>Paint and final decorations</x:v>
      </x:c>
      <x:c r="D268" s="6" t="str">
        <x:v>Finishes</x:v>
      </x:c>
      <x:c r="E268" s="22" t="n">
        <x:f>MAX(0,MIN('Activities'!L268,6)-MAX('Activities'!K268,0))</x:f>
        <x:v>0</x:v>
      </x:c>
      <x:c r="F268" s="22" t="n">
        <x:f>MAX(0,MIN('Activities'!L268,12)-MAX('Activities'!K268,6))</x:f>
        <x:v>0</x:v>
      </x:c>
      <x:c r="G268" s="22" t="n">
        <x:f>MAX(0,MIN('Activities'!L268,18)-MAX('Activities'!K268,12))</x:f>
        <x:v>0</x:v>
      </x:c>
      <x:c r="H268" s="22" t="n">
        <x:f>MAX(0,MIN('Activities'!L268,24)-MAX('Activities'!K268,18))</x:f>
        <x:v>0</x:v>
      </x:c>
      <x:c r="I268" s="22" t="n">
        <x:f>MAX(0,MIN('Activities'!L268,30)-MAX('Activities'!K268,24))</x:f>
        <x:v>0</x:v>
      </x:c>
      <x:c r="J268" s="22" t="n">
        <x:f>MAX(0,MIN('Activities'!L268,36)-MAX('Activities'!K268,30))</x:f>
        <x:v>0</x:v>
      </x:c>
      <x:c r="K268" s="22" t="n">
        <x:f>MAX(0,MIN('Activities'!L268,42)-MAX('Activities'!K268,36))</x:f>
        <x:v>0</x:v>
      </x:c>
      <x:c r="L268" s="22" t="n">
        <x:f>MAX(0,MIN('Activities'!L268,48)-MAX('Activities'!K268,42))</x:f>
        <x:v>0</x:v>
      </x:c>
      <x:c r="M268" s="22" t="n">
        <x:f>MAX(0,MIN('Activities'!L268,54)-MAX('Activities'!K268,48))</x:f>
        <x:v>0</x:v>
      </x:c>
      <x:c r="N268" s="22" t="n">
        <x:f>MAX(0,MIN('Activities'!L268,60)-MAX('Activities'!K268,54))</x:f>
        <x:v>0</x:v>
      </x:c>
      <x:c r="O268" s="22" t="n">
        <x:f>MAX(0,MIN('Activities'!L268,66)-MAX('Activities'!K268,60))</x:f>
        <x:v>0</x:v>
      </x:c>
      <x:c r="P268" s="22" t="n">
        <x:f>MAX(0,MIN('Activities'!L268,72)-MAX('Activities'!K268,66))</x:f>
        <x:v>0</x:v>
      </x:c>
      <x:c r="Q268" s="22" t="n">
        <x:f>MAX(0,MIN('Activities'!L268,78)-MAX('Activities'!K268,72))</x:f>
        <x:v>0</x:v>
      </x:c>
      <x:c r="R268" s="22" t="n">
        <x:f>MAX(0,MIN('Activities'!L268,84)-MAX('Activities'!K268,78))</x:f>
        <x:v>0</x:v>
      </x:c>
      <x:c r="S268" s="22" t="n">
        <x:f>MAX(0,MIN('Activities'!L268,90)-MAX('Activities'!K268,84))</x:f>
        <x:v>0</x:v>
      </x:c>
      <x:c r="T268" s="22" t="n">
        <x:f>MAX(0,MIN('Activities'!L268,96)-MAX('Activities'!K268,90))</x:f>
        <x:v>0</x:v>
      </x:c>
      <x:c r="U268" s="22" t="n">
        <x:f>MAX(0,MIN('Activities'!L268,102)-MAX('Activities'!K268,96))</x:f>
        <x:v>0</x:v>
      </x:c>
      <x:c r="V268" s="22" t="n">
        <x:f>MAX(0,MIN('Activities'!L268,108)-MAX('Activities'!K268,102))</x:f>
        <x:v>0</x:v>
      </x:c>
      <x:c r="W268" s="22" t="n">
        <x:f>MAX(0,MIN('Activities'!L268,114)-MAX('Activities'!K268,108))</x:f>
        <x:v>0</x:v>
      </x:c>
      <x:c r="X268" s="22" t="n">
        <x:f>MAX(0,MIN('Activities'!L268,120)-MAX('Activities'!K268,114))</x:f>
        <x:v>0</x:v>
      </x:c>
      <x:c r="Y268" s="22" t="n">
        <x:f>MAX(0,MIN('Activities'!L268,126)-MAX('Activities'!K268,120))</x:f>
        <x:v>0</x:v>
      </x:c>
      <x:c r="Z268" s="22" t="n">
        <x:f>MAX(0,MIN('Activities'!L268,132)-MAX('Activities'!K268,126))</x:f>
        <x:v>0</x:v>
      </x:c>
      <x:c r="AA268" s="22" t="n">
        <x:f>MAX(0,MIN('Activities'!L268,138)-MAX('Activities'!K268,132))</x:f>
        <x:v>0</x:v>
      </x:c>
      <x:c r="AB268" s="22" t="n">
        <x:f>MAX(0,MIN('Activities'!L268,144)-MAX('Activities'!K268,138))</x:f>
        <x:v>0</x:v>
      </x:c>
      <x:c r="AC268" s="22" t="n">
        <x:f>MAX(0,MIN('Activities'!L268,150)-MAX('Activities'!K268,144))</x:f>
        <x:v>0</x:v>
      </x:c>
      <x:c r="AD268" s="22" t="n">
        <x:f>MAX(0,MIN('Activities'!L268,156)-MAX('Activities'!K268,150))</x:f>
        <x:v>0</x:v>
      </x:c>
      <x:c r="AE268" s="22" t="n">
        <x:f>MAX(0,MIN('Activities'!L268,162)-MAX('Activities'!K268,156))</x:f>
        <x:v>0</x:v>
      </x:c>
      <x:c r="AF268" s="22" t="n">
        <x:f>MAX(0,MIN('Activities'!L268,168)-MAX('Activities'!K268,162))</x:f>
        <x:v>0</x:v>
      </x:c>
      <x:c r="AG268" s="22" t="n">
        <x:f>MAX(0,MIN('Activities'!L268,174)-MAX('Activities'!K268,168))</x:f>
        <x:v>0</x:v>
      </x:c>
      <x:c r="AH268" s="22" t="n">
        <x:f>MAX(0,MIN('Activities'!L268,180)-MAX('Activities'!K268,174))</x:f>
        <x:v>0</x:v>
      </x:c>
      <x:c r="AI268" s="22" t="n">
        <x:f>MAX(0,MIN('Activities'!L268,186)-MAX('Activities'!K268,180))</x:f>
        <x:v>0</x:v>
      </x:c>
      <x:c r="AJ268" s="22" t="n">
        <x:f>MAX(0,MIN('Activities'!L268,192)-MAX('Activities'!K268,186))</x:f>
        <x:v>0</x:v>
      </x:c>
      <x:c r="AK268" s="22" t="n">
        <x:f>MAX(0,MIN('Activities'!L268,198)-MAX('Activities'!K268,192))</x:f>
        <x:v>0</x:v>
      </x:c>
      <x:c r="AL268" s="22" t="n">
        <x:f>MAX(0,MIN('Activities'!L268,204)-MAX('Activities'!K268,198))</x:f>
        <x:v>0</x:v>
      </x:c>
      <x:c r="AM268" s="22" t="n">
        <x:f>MAX(0,MIN('Activities'!L268,210)-MAX('Activities'!K268,204))</x:f>
        <x:v>0</x:v>
      </x:c>
      <x:c r="AN268" s="22" t="n">
        <x:f>MAX(0,MIN('Activities'!L268,216)-MAX('Activities'!K268,210))</x:f>
        <x:v>0</x:v>
      </x:c>
      <x:c r="AO268" s="22" t="n">
        <x:f>MAX(0,MIN('Activities'!L268,222)-MAX('Activities'!K268,216))</x:f>
        <x:v>0</x:v>
      </x:c>
      <x:c r="AP268" s="22" t="n">
        <x:f>MAX(0,MIN('Activities'!L268,228)-MAX('Activities'!K268,222))</x:f>
        <x:v>0</x:v>
      </x:c>
      <x:c r="AQ268" s="22" t="n">
        <x:f>MAX(0,MIN('Activities'!L268,234)-MAX('Activities'!K268,228))</x:f>
        <x:v>0</x:v>
      </x:c>
      <x:c r="AR268" s="22" t="n">
        <x:f>MAX(0,MIN('Activities'!L268,240)-MAX('Activities'!K268,234))</x:f>
        <x:v>0</x:v>
      </x:c>
      <x:c r="AS268" s="22" t="n">
        <x:f>MAX(0,MIN('Activities'!L268,246)-MAX('Activities'!K268,240))</x:f>
        <x:v>0</x:v>
      </x:c>
      <x:c r="AT268" s="22" t="n">
        <x:f>MAX(0,MIN('Activities'!L268,252)-MAX('Activities'!K268,246))</x:f>
        <x:v>0</x:v>
      </x:c>
      <x:c r="AU268" s="22" t="n">
        <x:f>MAX(0,MIN('Activities'!L268,258)-MAX('Activities'!K268,252))</x:f>
        <x:v>0</x:v>
      </x:c>
      <x:c r="AV268" s="22" t="n">
        <x:f>MAX(0,MIN('Activities'!L268,264)-MAX('Activities'!K268,258))</x:f>
        <x:v>0</x:v>
      </x:c>
      <x:c r="AW268" s="22" t="n">
        <x:f>MAX(0,MIN('Activities'!L268,270)-MAX('Activities'!K268,264))</x:f>
        <x:v>0</x:v>
      </x:c>
      <x:c r="AX268" s="22" t="n">
        <x:f>MAX(0,MIN('Activities'!L268,276)-MAX('Activities'!K268,270))</x:f>
        <x:v>0</x:v>
      </x:c>
      <x:c r="AY268" s="22" t="n">
        <x:f>MAX(0,MIN('Activities'!L268,282)-MAX('Activities'!K268,276))</x:f>
        <x:v>0</x:v>
      </x:c>
      <x:c r="AZ268" s="22" t="n">
        <x:f>MAX(0,MIN('Activities'!L268,288)-MAX('Activities'!K268,282))</x:f>
        <x:v>0</x:v>
      </x:c>
      <x:c r="BA268" s="22" t="n">
        <x:f>MAX(0,MIN('Activities'!L268,294)-MAX('Activities'!K268,288))</x:f>
        <x:v>0</x:v>
      </x:c>
      <x:c r="BB268" s="22" t="n">
        <x:f>MAX(0,MIN('Activities'!L268,300)-MAX('Activities'!K268,294))</x:f>
        <x:v>0</x:v>
      </x:c>
      <x:c r="BC268" s="22" t="n">
        <x:f>MAX(0,MIN('Activities'!L268,306)-MAX('Activities'!K268,300))</x:f>
        <x:v>0</x:v>
      </x:c>
      <x:c r="BD268" s="22" t="n">
        <x:f>MAX(0,MIN('Activities'!L268,312)-MAX('Activities'!K268,306))</x:f>
        <x:v>0</x:v>
      </x:c>
      <x:c r="BE268" s="22" t="n">
        <x:f>MAX(0,MIN('Activities'!L268,318)-MAX('Activities'!K268,312))</x:f>
        <x:v>0</x:v>
      </x:c>
      <x:c r="BF268" s="22" t="n">
        <x:f>MAX(0,MIN('Activities'!L268,324)-MAX('Activities'!K268,318))</x:f>
        <x:v>0</x:v>
      </x:c>
      <x:c r="BG268" s="22" t="n">
        <x:f>MAX(0,MIN('Activities'!L268,330)-MAX('Activities'!K268,324))</x:f>
        <x:v>0</x:v>
      </x:c>
      <x:c r="BH268" s="22" t="n">
        <x:f>MAX(0,MIN('Activities'!L268,336)-MAX('Activities'!K268,330))</x:f>
        <x:v>0</x:v>
      </x:c>
      <x:c r="BI268" s="22" t="n">
        <x:f>MAX(0,MIN('Activities'!L268,342)-MAX('Activities'!K268,336))</x:f>
        <x:v>0</x:v>
      </x:c>
      <x:c r="BJ268" s="22" t="n">
        <x:f>MAX(0,MIN('Activities'!L268,348)-MAX('Activities'!K268,342))</x:f>
        <x:v>0</x:v>
      </x:c>
      <x:c r="BK268" s="22" t="n">
        <x:f>MAX(0,MIN('Activities'!L268,354)-MAX('Activities'!K268,348))</x:f>
        <x:v>0</x:v>
      </x:c>
      <x:c r="BL268" s="22" t="n">
        <x:f>MAX(0,MIN('Activities'!L268,360)-MAX('Activities'!K268,354))</x:f>
        <x:v>0</x:v>
      </x:c>
      <x:c r="BM268" s="22" t="n">
        <x:f>MAX(0,MIN('Activities'!L268,366)-MAX('Activities'!K268,360))</x:f>
        <x:v>0</x:v>
      </x:c>
      <x:c r="BN268" s="22" t="n">
        <x:f>MAX(0,MIN('Activities'!L268,372)-MAX('Activities'!K268,366))</x:f>
        <x:v>0</x:v>
      </x:c>
      <x:c r="BO268" s="22" t="n">
        <x:f>MAX(0,MIN('Activities'!L268,378)-MAX('Activities'!K268,372))</x:f>
        <x:v>0</x:v>
      </x:c>
      <x:c r="BP268" s="22" t="n">
        <x:f>MAX(0,MIN('Activities'!L268,384)-MAX('Activities'!K268,378))</x:f>
        <x:v>0</x:v>
      </x:c>
      <x:c r="BQ268" s="22" t="n">
        <x:f>MAX(0,MIN('Activities'!L268,390)-MAX('Activities'!K268,384))</x:f>
        <x:v>0</x:v>
      </x:c>
      <x:c r="BR268" s="22" t="n">
        <x:f>MAX(0,MIN('Activities'!L268,396)-MAX('Activities'!K268,390))</x:f>
        <x:v>0</x:v>
      </x:c>
      <x:c r="BS268" s="22" t="n">
        <x:f>MAX(0,MIN('Activities'!L268,402)-MAX('Activities'!K268,396))</x:f>
        <x:v>0</x:v>
      </x:c>
      <x:c r="BT268" s="22" t="n">
        <x:f>MAX(0,MIN('Activities'!L268,408)-MAX('Activities'!K268,402))</x:f>
        <x:v>0</x:v>
      </x:c>
      <x:c r="BU268" s="22" t="n">
        <x:f>MAX(0,MIN('Activities'!L268,414)-MAX('Activities'!K268,408))</x:f>
        <x:v>0</x:v>
      </x:c>
      <x:c r="BV268" s="22" t="n">
        <x:f>MAX(0,MIN('Activities'!L268,420)-MAX('Activities'!K268,414))</x:f>
        <x:v>0</x:v>
      </x:c>
      <x:c r="BW268" s="22" t="n">
        <x:f>MAX(0,MIN('Activities'!L268,426)-MAX('Activities'!K268,420))</x:f>
        <x:v>0</x:v>
      </x:c>
      <x:c r="BX268" s="22" t="n">
        <x:f>MAX(0,MIN('Activities'!L268,432)-MAX('Activities'!K268,426))</x:f>
        <x:v>5</x:v>
      </x:c>
      <x:c r="BY268" s="22" t="n">
        <x:f>MAX(0,MIN('Activities'!L268,438)-MAX('Activities'!K268,432))</x:f>
        <x:v>0</x:v>
      </x:c>
      <x:c r="BZ268" s="22" t="n">
        <x:f>MAX(0,MIN('Activities'!L268,444)-MAX('Activities'!K268,438))</x:f>
        <x:v>0</x:v>
      </x:c>
      <x:c r="CA268" s="22" t="n">
        <x:f>MAX(0,MIN('Activities'!L268,450)-MAX('Activities'!K268,444))</x:f>
        <x:v>0</x:v>
      </x:c>
      <x:c r="CB268" s="22" t="n">
        <x:f>MAX(0,MIN('Activities'!L268,456)-MAX('Activities'!K268,450))</x:f>
        <x:v>0</x:v>
      </x:c>
      <x:c r="CC268" s="22" t="n">
        <x:f>MAX(0,MIN('Activities'!L268,462)-MAX('Activities'!K268,456))</x:f>
        <x:v>0</x:v>
      </x:c>
      <x:c r="CD268" s="22" t="n">
        <x:f>MAX(0,MIN('Activities'!L268,468)-MAX('Activities'!K268,462))</x:f>
        <x:v>0</x:v>
      </x:c>
      <x:c r="CE268" s="22" t="n">
        <x:f>MAX(0,MIN('Activities'!L268,474)-MAX('Activities'!K268,468))</x:f>
        <x:v>0</x:v>
      </x:c>
      <x:c r="CF268" s="22" t="n">
        <x:f>MAX(0,MIN('Activities'!L268,480)-MAX('Activities'!K268,474))</x:f>
        <x:v>0</x:v>
      </x:c>
      <x:c r="CG268" s="22" t="n">
        <x:f>MAX(0,MIN('Activities'!L268,486)-MAX('Activities'!K268,480))</x:f>
        <x:v>0</x:v>
      </x:c>
      <x:c r="CH268" s="22" t="n">
        <x:f>MAX(0,MIN('Activities'!L268,492)-MAX('Activities'!K268,486))</x:f>
        <x:v>0</x:v>
      </x:c>
      <x:c r="CI268" s="22" t="n">
        <x:f>MAX(0,MIN('Activities'!L268,498)-MAX('Activities'!K268,492))</x:f>
        <x:v>0</x:v>
      </x:c>
      <x:c r="CJ268" s="22" t="n">
        <x:f>MAX(0,MIN('Activities'!L268,504)-MAX('Activities'!K268,498))</x:f>
        <x:v>0</x:v>
      </x:c>
      <x:c r="CK268" s="22" t="n">
        <x:f>MAX(0,MIN('Activities'!L268,510)-MAX('Activities'!K268,504))</x:f>
        <x:v>0</x:v>
      </x:c>
      <x:c r="CL268" s="22" t="n">
        <x:f>MAX(0,MIN('Activities'!L268,516)-MAX('Activities'!K268,510))</x:f>
        <x:v>0</x:v>
      </x:c>
      <x:c r="CM268" s="22" t="n">
        <x:f>MAX(0,MIN('Activities'!L268,522)-MAX('Activities'!K268,516))</x:f>
        <x:v>0</x:v>
      </x:c>
      <x:c r="CN268" s="22" t="n">
        <x:f>MAX(0,MIN('Activities'!L268,528)-MAX('Activities'!K268,522))</x:f>
        <x:v>0</x:v>
      </x:c>
      <x:c r="CO268" s="22" t="n">
        <x:f>MAX(0,MIN('Activities'!L268,534)-MAX('Activities'!K268,528))</x:f>
        <x:v>0</x:v>
      </x:c>
      <x:c r="CP268" s="22" t="n">
        <x:f>MAX(0,MIN('Activities'!L268,540)-MAX('Activities'!K268,534))</x:f>
        <x:v>0</x:v>
      </x:c>
      <x:c r="CQ268" s="22" t="n">
        <x:f>MAX(0,MIN('Activities'!L268,546)-MAX('Activities'!K268,540))</x:f>
        <x:v>0</x:v>
      </x:c>
      <x:c r="CR268" s="22" t="n">
        <x:f>MAX(0,MIN('Activities'!L268,552)-MAX('Activities'!K268,546))</x:f>
        <x:v>0</x:v>
      </x:c>
      <x:c r="CS268" s="22" t="n">
        <x:f>MAX(0,MIN('Activities'!L268,558)-MAX('Activities'!K268,552))</x:f>
        <x:v>0</x:v>
      </x:c>
      <x:c r="CT268" s="22" t="n">
        <x:f>MAX(0,MIN('Activities'!L268,564)-MAX('Activities'!K268,558))</x:f>
        <x:v>0</x:v>
      </x:c>
      <x:c r="CU268" s="22" t="n">
        <x:f>MAX(0,MIN('Activities'!L268,570)-MAX('Activities'!K268,564))</x:f>
        <x:v>0</x:v>
      </x:c>
      <x:c r="CV268" s="22" t="n">
        <x:f>MAX(0,MIN('Activities'!L268,576)-MAX('Activities'!K268,570))</x:f>
        <x:v>0</x:v>
      </x:c>
      <x:c r="CW268" s="22" t="n">
        <x:f>MAX(0,MIN('Activities'!L268,582)-MAX('Activities'!K268,576))</x:f>
        <x:v>0</x:v>
      </x:c>
      <x:c r="CX268" s="22" t="n">
        <x:f>MAX(0,MIN('Activities'!L268,588)-MAX('Activities'!K268,582))</x:f>
        <x:v>0</x:v>
      </x:c>
      <x:c r="CY268" s="22" t="n">
        <x:f>MAX(0,MIN('Activities'!L268,594)-MAX('Activities'!K268,588))</x:f>
        <x:v>0</x:v>
      </x:c>
      <x:c r="CZ268" s="22" t="n">
        <x:f>MAX(0,MIN('Activities'!L268,600)-MAX('Activities'!K268,594))</x:f>
        <x:v>0</x:v>
      </x:c>
      <x:c r="DA268" s="22" t="n">
        <x:f>MAX(0,MIN('Activities'!L268,606)-MAX('Activities'!K268,600))</x:f>
        <x:v>0</x:v>
      </x:c>
      <x:c r="DB268" s="22" t="n">
        <x:f>MAX(0,MIN('Activities'!L268,612)-MAX('Activities'!K268,606))</x:f>
        <x:v>0</x:v>
      </x:c>
      <x:c r="DC268" s="22" t="n">
        <x:f>MAX(0,MIN('Activities'!L268,618)-MAX('Activities'!K268,612))</x:f>
        <x:v>0</x:v>
      </x:c>
      <x:c r="DD268" s="22" t="n">
        <x:f>MAX(0,MIN('Activities'!L268,624)-MAX('Activities'!K268,618))</x:f>
        <x:v>0</x:v>
      </x:c>
      <x:c r="DE268" s="22" t="n">
        <x:f>MAX(0,MIN('Activities'!L268,630)-MAX('Activities'!K268,624))</x:f>
        <x:v>0</x:v>
      </x:c>
      <x:c r="DF268" s="22" t="n">
        <x:f>MAX(0,MIN('Activities'!L268,636)-MAX('Activities'!K268,630))</x:f>
        <x:v>0</x:v>
      </x:c>
    </x:row>
    <x:row r="269" ht="23" customHeight="1">
      <x:c r="A269" s="1" t="str">
        <x:v>T2-L10-D</x:v>
      </x:c>
      <x:c r="B269" s="1" t="str">
        <x:v>T2</x:v>
      </x:c>
      <x:c r="C269" s="1" t="str">
        <x:v>Door sets and ironmongery</x:v>
      </x:c>
      <x:c r="D269" s="1" t="str">
        <x:v>Finishes</x:v>
      </x:c>
      <x:c r="E269" s="23" t="n">
        <x:f>MAX(0,MIN('Activities'!L269,6)-MAX('Activities'!K269,0))</x:f>
        <x:v>0</x:v>
      </x:c>
      <x:c r="F269" s="23" t="n">
        <x:f>MAX(0,MIN('Activities'!L269,12)-MAX('Activities'!K269,6))</x:f>
        <x:v>0</x:v>
      </x:c>
      <x:c r="G269" s="23" t="n">
        <x:f>MAX(0,MIN('Activities'!L269,18)-MAX('Activities'!K269,12))</x:f>
        <x:v>0</x:v>
      </x:c>
      <x:c r="H269" s="23" t="n">
        <x:f>MAX(0,MIN('Activities'!L269,24)-MAX('Activities'!K269,18))</x:f>
        <x:v>0</x:v>
      </x:c>
      <x:c r="I269" s="23" t="n">
        <x:f>MAX(0,MIN('Activities'!L269,30)-MAX('Activities'!K269,24))</x:f>
        <x:v>0</x:v>
      </x:c>
      <x:c r="J269" s="23" t="n">
        <x:f>MAX(0,MIN('Activities'!L269,36)-MAX('Activities'!K269,30))</x:f>
        <x:v>0</x:v>
      </x:c>
      <x:c r="K269" s="23" t="n">
        <x:f>MAX(0,MIN('Activities'!L269,42)-MAX('Activities'!K269,36))</x:f>
        <x:v>0</x:v>
      </x:c>
      <x:c r="L269" s="23" t="n">
        <x:f>MAX(0,MIN('Activities'!L269,48)-MAX('Activities'!K269,42))</x:f>
        <x:v>0</x:v>
      </x:c>
      <x:c r="M269" s="23" t="n">
        <x:f>MAX(0,MIN('Activities'!L269,54)-MAX('Activities'!K269,48))</x:f>
        <x:v>0</x:v>
      </x:c>
      <x:c r="N269" s="23" t="n">
        <x:f>MAX(0,MIN('Activities'!L269,60)-MAX('Activities'!K269,54))</x:f>
        <x:v>0</x:v>
      </x:c>
      <x:c r="O269" s="23" t="n">
        <x:f>MAX(0,MIN('Activities'!L269,66)-MAX('Activities'!K269,60))</x:f>
        <x:v>0</x:v>
      </x:c>
      <x:c r="P269" s="23" t="n">
        <x:f>MAX(0,MIN('Activities'!L269,72)-MAX('Activities'!K269,66))</x:f>
        <x:v>0</x:v>
      </x:c>
      <x:c r="Q269" s="23" t="n">
        <x:f>MAX(0,MIN('Activities'!L269,78)-MAX('Activities'!K269,72))</x:f>
        <x:v>0</x:v>
      </x:c>
      <x:c r="R269" s="23" t="n">
        <x:f>MAX(0,MIN('Activities'!L269,84)-MAX('Activities'!K269,78))</x:f>
        <x:v>0</x:v>
      </x:c>
      <x:c r="S269" s="23" t="n">
        <x:f>MAX(0,MIN('Activities'!L269,90)-MAX('Activities'!K269,84))</x:f>
        <x:v>0</x:v>
      </x:c>
      <x:c r="T269" s="23" t="n">
        <x:f>MAX(0,MIN('Activities'!L269,96)-MAX('Activities'!K269,90))</x:f>
        <x:v>0</x:v>
      </x:c>
      <x:c r="U269" s="23" t="n">
        <x:f>MAX(0,MIN('Activities'!L269,102)-MAX('Activities'!K269,96))</x:f>
        <x:v>0</x:v>
      </x:c>
      <x:c r="V269" s="23" t="n">
        <x:f>MAX(0,MIN('Activities'!L269,108)-MAX('Activities'!K269,102))</x:f>
        <x:v>0</x:v>
      </x:c>
      <x:c r="W269" s="23" t="n">
        <x:f>MAX(0,MIN('Activities'!L269,114)-MAX('Activities'!K269,108))</x:f>
        <x:v>0</x:v>
      </x:c>
      <x:c r="X269" s="23" t="n">
        <x:f>MAX(0,MIN('Activities'!L269,120)-MAX('Activities'!K269,114))</x:f>
        <x:v>0</x:v>
      </x:c>
      <x:c r="Y269" s="23" t="n">
        <x:f>MAX(0,MIN('Activities'!L269,126)-MAX('Activities'!K269,120))</x:f>
        <x:v>0</x:v>
      </x:c>
      <x:c r="Z269" s="23" t="n">
        <x:f>MAX(0,MIN('Activities'!L269,132)-MAX('Activities'!K269,126))</x:f>
        <x:v>0</x:v>
      </x:c>
      <x:c r="AA269" s="23" t="n">
        <x:f>MAX(0,MIN('Activities'!L269,138)-MAX('Activities'!K269,132))</x:f>
        <x:v>0</x:v>
      </x:c>
      <x:c r="AB269" s="23" t="n">
        <x:f>MAX(0,MIN('Activities'!L269,144)-MAX('Activities'!K269,138))</x:f>
        <x:v>0</x:v>
      </x:c>
      <x:c r="AC269" s="23" t="n">
        <x:f>MAX(0,MIN('Activities'!L269,150)-MAX('Activities'!K269,144))</x:f>
        <x:v>0</x:v>
      </x:c>
      <x:c r="AD269" s="23" t="n">
        <x:f>MAX(0,MIN('Activities'!L269,156)-MAX('Activities'!K269,150))</x:f>
        <x:v>0</x:v>
      </x:c>
      <x:c r="AE269" s="23" t="n">
        <x:f>MAX(0,MIN('Activities'!L269,162)-MAX('Activities'!K269,156))</x:f>
        <x:v>0</x:v>
      </x:c>
      <x:c r="AF269" s="23" t="n">
        <x:f>MAX(0,MIN('Activities'!L269,168)-MAX('Activities'!K269,162))</x:f>
        <x:v>0</x:v>
      </x:c>
      <x:c r="AG269" s="23" t="n">
        <x:f>MAX(0,MIN('Activities'!L269,174)-MAX('Activities'!K269,168))</x:f>
        <x:v>0</x:v>
      </x:c>
      <x:c r="AH269" s="23" t="n">
        <x:f>MAX(0,MIN('Activities'!L269,180)-MAX('Activities'!K269,174))</x:f>
        <x:v>0</x:v>
      </x:c>
      <x:c r="AI269" s="23" t="n">
        <x:f>MAX(0,MIN('Activities'!L269,186)-MAX('Activities'!K269,180))</x:f>
        <x:v>0</x:v>
      </x:c>
      <x:c r="AJ269" s="23" t="n">
        <x:f>MAX(0,MIN('Activities'!L269,192)-MAX('Activities'!K269,186))</x:f>
        <x:v>0</x:v>
      </x:c>
      <x:c r="AK269" s="23" t="n">
        <x:f>MAX(0,MIN('Activities'!L269,198)-MAX('Activities'!K269,192))</x:f>
        <x:v>0</x:v>
      </x:c>
      <x:c r="AL269" s="23" t="n">
        <x:f>MAX(0,MIN('Activities'!L269,204)-MAX('Activities'!K269,198))</x:f>
        <x:v>0</x:v>
      </x:c>
      <x:c r="AM269" s="23" t="n">
        <x:f>MAX(0,MIN('Activities'!L269,210)-MAX('Activities'!K269,204))</x:f>
        <x:v>0</x:v>
      </x:c>
      <x:c r="AN269" s="23" t="n">
        <x:f>MAX(0,MIN('Activities'!L269,216)-MAX('Activities'!K269,210))</x:f>
        <x:v>0</x:v>
      </x:c>
      <x:c r="AO269" s="23" t="n">
        <x:f>MAX(0,MIN('Activities'!L269,222)-MAX('Activities'!K269,216))</x:f>
        <x:v>0</x:v>
      </x:c>
      <x:c r="AP269" s="23" t="n">
        <x:f>MAX(0,MIN('Activities'!L269,228)-MAX('Activities'!K269,222))</x:f>
        <x:v>0</x:v>
      </x:c>
      <x:c r="AQ269" s="23" t="n">
        <x:f>MAX(0,MIN('Activities'!L269,234)-MAX('Activities'!K269,228))</x:f>
        <x:v>0</x:v>
      </x:c>
      <x:c r="AR269" s="23" t="n">
        <x:f>MAX(0,MIN('Activities'!L269,240)-MAX('Activities'!K269,234))</x:f>
        <x:v>0</x:v>
      </x:c>
      <x:c r="AS269" s="23" t="n">
        <x:f>MAX(0,MIN('Activities'!L269,246)-MAX('Activities'!K269,240))</x:f>
        <x:v>0</x:v>
      </x:c>
      <x:c r="AT269" s="23" t="n">
        <x:f>MAX(0,MIN('Activities'!L269,252)-MAX('Activities'!K269,246))</x:f>
        <x:v>0</x:v>
      </x:c>
      <x:c r="AU269" s="23" t="n">
        <x:f>MAX(0,MIN('Activities'!L269,258)-MAX('Activities'!K269,252))</x:f>
        <x:v>0</x:v>
      </x:c>
      <x:c r="AV269" s="23" t="n">
        <x:f>MAX(0,MIN('Activities'!L269,264)-MAX('Activities'!K269,258))</x:f>
        <x:v>0</x:v>
      </x:c>
      <x:c r="AW269" s="23" t="n">
        <x:f>MAX(0,MIN('Activities'!L269,270)-MAX('Activities'!K269,264))</x:f>
        <x:v>0</x:v>
      </x:c>
      <x:c r="AX269" s="23" t="n">
        <x:f>MAX(0,MIN('Activities'!L269,276)-MAX('Activities'!K269,270))</x:f>
        <x:v>0</x:v>
      </x:c>
      <x:c r="AY269" s="23" t="n">
        <x:f>MAX(0,MIN('Activities'!L269,282)-MAX('Activities'!K269,276))</x:f>
        <x:v>0</x:v>
      </x:c>
      <x:c r="AZ269" s="23" t="n">
        <x:f>MAX(0,MIN('Activities'!L269,288)-MAX('Activities'!K269,282))</x:f>
        <x:v>0</x:v>
      </x:c>
      <x:c r="BA269" s="23" t="n">
        <x:f>MAX(0,MIN('Activities'!L269,294)-MAX('Activities'!K269,288))</x:f>
        <x:v>0</x:v>
      </x:c>
      <x:c r="BB269" s="23" t="n">
        <x:f>MAX(0,MIN('Activities'!L269,300)-MAX('Activities'!K269,294))</x:f>
        <x:v>0</x:v>
      </x:c>
      <x:c r="BC269" s="23" t="n">
        <x:f>MAX(0,MIN('Activities'!L269,306)-MAX('Activities'!K269,300))</x:f>
        <x:v>0</x:v>
      </x:c>
      <x:c r="BD269" s="23" t="n">
        <x:f>MAX(0,MIN('Activities'!L269,312)-MAX('Activities'!K269,306))</x:f>
        <x:v>0</x:v>
      </x:c>
      <x:c r="BE269" s="23" t="n">
        <x:f>MAX(0,MIN('Activities'!L269,318)-MAX('Activities'!K269,312))</x:f>
        <x:v>0</x:v>
      </x:c>
      <x:c r="BF269" s="23" t="n">
        <x:f>MAX(0,MIN('Activities'!L269,324)-MAX('Activities'!K269,318))</x:f>
        <x:v>0</x:v>
      </x:c>
      <x:c r="BG269" s="23" t="n">
        <x:f>MAX(0,MIN('Activities'!L269,330)-MAX('Activities'!K269,324))</x:f>
        <x:v>0</x:v>
      </x:c>
      <x:c r="BH269" s="23" t="n">
        <x:f>MAX(0,MIN('Activities'!L269,336)-MAX('Activities'!K269,330))</x:f>
        <x:v>0</x:v>
      </x:c>
      <x:c r="BI269" s="23" t="n">
        <x:f>MAX(0,MIN('Activities'!L269,342)-MAX('Activities'!K269,336))</x:f>
        <x:v>0</x:v>
      </x:c>
      <x:c r="BJ269" s="23" t="n">
        <x:f>MAX(0,MIN('Activities'!L269,348)-MAX('Activities'!K269,342))</x:f>
        <x:v>0</x:v>
      </x:c>
      <x:c r="BK269" s="23" t="n">
        <x:f>MAX(0,MIN('Activities'!L269,354)-MAX('Activities'!K269,348))</x:f>
        <x:v>0</x:v>
      </x:c>
      <x:c r="BL269" s="23" t="n">
        <x:f>MAX(0,MIN('Activities'!L269,360)-MAX('Activities'!K269,354))</x:f>
        <x:v>0</x:v>
      </x:c>
      <x:c r="BM269" s="23" t="n">
        <x:f>MAX(0,MIN('Activities'!L269,366)-MAX('Activities'!K269,360))</x:f>
        <x:v>0</x:v>
      </x:c>
      <x:c r="BN269" s="23" t="n">
        <x:f>MAX(0,MIN('Activities'!L269,372)-MAX('Activities'!K269,366))</x:f>
        <x:v>0</x:v>
      </x:c>
      <x:c r="BO269" s="23" t="n">
        <x:f>MAX(0,MIN('Activities'!L269,378)-MAX('Activities'!K269,372))</x:f>
        <x:v>0</x:v>
      </x:c>
      <x:c r="BP269" s="23" t="n">
        <x:f>MAX(0,MIN('Activities'!L269,384)-MAX('Activities'!K269,378))</x:f>
        <x:v>0</x:v>
      </x:c>
      <x:c r="BQ269" s="23" t="n">
        <x:f>MAX(0,MIN('Activities'!L269,390)-MAX('Activities'!K269,384))</x:f>
        <x:v>0</x:v>
      </x:c>
      <x:c r="BR269" s="23" t="n">
        <x:f>MAX(0,MIN('Activities'!L269,396)-MAX('Activities'!K269,390))</x:f>
        <x:v>0</x:v>
      </x:c>
      <x:c r="BS269" s="23" t="n">
        <x:f>MAX(0,MIN('Activities'!L269,402)-MAX('Activities'!K269,396))</x:f>
        <x:v>0</x:v>
      </x:c>
      <x:c r="BT269" s="23" t="n">
        <x:f>MAX(0,MIN('Activities'!L269,408)-MAX('Activities'!K269,402))</x:f>
        <x:v>0</x:v>
      </x:c>
      <x:c r="BU269" s="23" t="n">
        <x:f>MAX(0,MIN('Activities'!L269,414)-MAX('Activities'!K269,408))</x:f>
        <x:v>0</x:v>
      </x:c>
      <x:c r="BV269" s="23" t="n">
        <x:f>MAX(0,MIN('Activities'!L269,420)-MAX('Activities'!K269,414))</x:f>
        <x:v>0</x:v>
      </x:c>
      <x:c r="BW269" s="23" t="n">
        <x:f>MAX(0,MIN('Activities'!L269,426)-MAX('Activities'!K269,420))</x:f>
        <x:v>0</x:v>
      </x:c>
      <x:c r="BX269" s="23" t="n">
        <x:f>MAX(0,MIN('Activities'!L269,432)-MAX('Activities'!K269,426))</x:f>
        <x:v>1</x:v>
      </x:c>
      <x:c r="BY269" s="23" t="n">
        <x:f>MAX(0,MIN('Activities'!L269,438)-MAX('Activities'!K269,432))</x:f>
        <x:v>2</x:v>
      </x:c>
      <x:c r="BZ269" s="23" t="n">
        <x:f>MAX(0,MIN('Activities'!L269,444)-MAX('Activities'!K269,438))</x:f>
        <x:v>0</x:v>
      </x:c>
      <x:c r="CA269" s="23" t="n">
        <x:f>MAX(0,MIN('Activities'!L269,450)-MAX('Activities'!K269,444))</x:f>
        <x:v>0</x:v>
      </x:c>
      <x:c r="CB269" s="23" t="n">
        <x:f>MAX(0,MIN('Activities'!L269,456)-MAX('Activities'!K269,450))</x:f>
        <x:v>0</x:v>
      </x:c>
      <x:c r="CC269" s="23" t="n">
        <x:f>MAX(0,MIN('Activities'!L269,462)-MAX('Activities'!K269,456))</x:f>
        <x:v>0</x:v>
      </x:c>
      <x:c r="CD269" s="23" t="n">
        <x:f>MAX(0,MIN('Activities'!L269,468)-MAX('Activities'!K269,462))</x:f>
        <x:v>0</x:v>
      </x:c>
      <x:c r="CE269" s="23" t="n">
        <x:f>MAX(0,MIN('Activities'!L269,474)-MAX('Activities'!K269,468))</x:f>
        <x:v>0</x:v>
      </x:c>
      <x:c r="CF269" s="23" t="n">
        <x:f>MAX(0,MIN('Activities'!L269,480)-MAX('Activities'!K269,474))</x:f>
        <x:v>0</x:v>
      </x:c>
      <x:c r="CG269" s="23" t="n">
        <x:f>MAX(0,MIN('Activities'!L269,486)-MAX('Activities'!K269,480))</x:f>
        <x:v>0</x:v>
      </x:c>
      <x:c r="CH269" s="23" t="n">
        <x:f>MAX(0,MIN('Activities'!L269,492)-MAX('Activities'!K269,486))</x:f>
        <x:v>0</x:v>
      </x:c>
      <x:c r="CI269" s="23" t="n">
        <x:f>MAX(0,MIN('Activities'!L269,498)-MAX('Activities'!K269,492))</x:f>
        <x:v>0</x:v>
      </x:c>
      <x:c r="CJ269" s="23" t="n">
        <x:f>MAX(0,MIN('Activities'!L269,504)-MAX('Activities'!K269,498))</x:f>
        <x:v>0</x:v>
      </x:c>
      <x:c r="CK269" s="23" t="n">
        <x:f>MAX(0,MIN('Activities'!L269,510)-MAX('Activities'!K269,504))</x:f>
        <x:v>0</x:v>
      </x:c>
      <x:c r="CL269" s="23" t="n">
        <x:f>MAX(0,MIN('Activities'!L269,516)-MAX('Activities'!K269,510))</x:f>
        <x:v>0</x:v>
      </x:c>
      <x:c r="CM269" s="23" t="n">
        <x:f>MAX(0,MIN('Activities'!L269,522)-MAX('Activities'!K269,516))</x:f>
        <x:v>0</x:v>
      </x:c>
      <x:c r="CN269" s="23" t="n">
        <x:f>MAX(0,MIN('Activities'!L269,528)-MAX('Activities'!K269,522))</x:f>
        <x:v>0</x:v>
      </x:c>
      <x:c r="CO269" s="23" t="n">
        <x:f>MAX(0,MIN('Activities'!L269,534)-MAX('Activities'!K269,528))</x:f>
        <x:v>0</x:v>
      </x:c>
      <x:c r="CP269" s="23" t="n">
        <x:f>MAX(0,MIN('Activities'!L269,540)-MAX('Activities'!K269,534))</x:f>
        <x:v>0</x:v>
      </x:c>
      <x:c r="CQ269" s="23" t="n">
        <x:f>MAX(0,MIN('Activities'!L269,546)-MAX('Activities'!K269,540))</x:f>
        <x:v>0</x:v>
      </x:c>
      <x:c r="CR269" s="23" t="n">
        <x:f>MAX(0,MIN('Activities'!L269,552)-MAX('Activities'!K269,546))</x:f>
        <x:v>0</x:v>
      </x:c>
      <x:c r="CS269" s="23" t="n">
        <x:f>MAX(0,MIN('Activities'!L269,558)-MAX('Activities'!K269,552))</x:f>
        <x:v>0</x:v>
      </x:c>
      <x:c r="CT269" s="23" t="n">
        <x:f>MAX(0,MIN('Activities'!L269,564)-MAX('Activities'!K269,558))</x:f>
        <x:v>0</x:v>
      </x:c>
      <x:c r="CU269" s="23" t="n">
        <x:f>MAX(0,MIN('Activities'!L269,570)-MAX('Activities'!K269,564))</x:f>
        <x:v>0</x:v>
      </x:c>
      <x:c r="CV269" s="23" t="n">
        <x:f>MAX(0,MIN('Activities'!L269,576)-MAX('Activities'!K269,570))</x:f>
        <x:v>0</x:v>
      </x:c>
      <x:c r="CW269" s="23" t="n">
        <x:f>MAX(0,MIN('Activities'!L269,582)-MAX('Activities'!K269,576))</x:f>
        <x:v>0</x:v>
      </x:c>
      <x:c r="CX269" s="23" t="n">
        <x:f>MAX(0,MIN('Activities'!L269,588)-MAX('Activities'!K269,582))</x:f>
        <x:v>0</x:v>
      </x:c>
      <x:c r="CY269" s="23" t="n">
        <x:f>MAX(0,MIN('Activities'!L269,594)-MAX('Activities'!K269,588))</x:f>
        <x:v>0</x:v>
      </x:c>
      <x:c r="CZ269" s="23" t="n">
        <x:f>MAX(0,MIN('Activities'!L269,600)-MAX('Activities'!K269,594))</x:f>
        <x:v>0</x:v>
      </x:c>
      <x:c r="DA269" s="23" t="n">
        <x:f>MAX(0,MIN('Activities'!L269,606)-MAX('Activities'!K269,600))</x:f>
        <x:v>0</x:v>
      </x:c>
      <x:c r="DB269" s="23" t="n">
        <x:f>MAX(0,MIN('Activities'!L269,612)-MAX('Activities'!K269,606))</x:f>
        <x:v>0</x:v>
      </x:c>
      <x:c r="DC269" s="23" t="n">
        <x:f>MAX(0,MIN('Activities'!L269,618)-MAX('Activities'!K269,612))</x:f>
        <x:v>0</x:v>
      </x:c>
      <x:c r="DD269" s="23" t="n">
        <x:f>MAX(0,MIN('Activities'!L269,624)-MAX('Activities'!K269,618))</x:f>
        <x:v>0</x:v>
      </x:c>
      <x:c r="DE269" s="23" t="n">
        <x:f>MAX(0,MIN('Activities'!L269,630)-MAX('Activities'!K269,624))</x:f>
        <x:v>0</x:v>
      </x:c>
      <x:c r="DF269" s="23" t="n">
        <x:f>MAX(0,MIN('Activities'!L269,636)-MAX('Activities'!K269,630))</x:f>
        <x:v>0</x:v>
      </x:c>
    </x:row>
    <x:row r="270" ht="23" customHeight="1">
      <x:c r="A270" s="6" t="str">
        <x:v>T2-L11-M</x:v>
      </x:c>
      <x:c r="B270" s="6" t="str">
        <x:v>T2</x:v>
      </x:c>
      <x:c r="C270" s="6" t="str">
        <x:v>Partition masonry</x:v>
      </x:c>
      <x:c r="D270" s="6" t="str">
        <x:v>Masonry</x:v>
      </x:c>
      <x:c r="E270" s="22" t="n">
        <x:f>MAX(0,MIN('Activities'!L270,6)-MAX('Activities'!K270,0))</x:f>
        <x:v>0</x:v>
      </x:c>
      <x:c r="F270" s="22" t="n">
        <x:f>MAX(0,MIN('Activities'!L270,12)-MAX('Activities'!K270,6))</x:f>
        <x:v>0</x:v>
      </x:c>
      <x:c r="G270" s="22" t="n">
        <x:f>MAX(0,MIN('Activities'!L270,18)-MAX('Activities'!K270,12))</x:f>
        <x:v>0</x:v>
      </x:c>
      <x:c r="H270" s="22" t="n">
        <x:f>MAX(0,MIN('Activities'!L270,24)-MAX('Activities'!K270,18))</x:f>
        <x:v>0</x:v>
      </x:c>
      <x:c r="I270" s="22" t="n">
        <x:f>MAX(0,MIN('Activities'!L270,30)-MAX('Activities'!K270,24))</x:f>
        <x:v>0</x:v>
      </x:c>
      <x:c r="J270" s="22" t="n">
        <x:f>MAX(0,MIN('Activities'!L270,36)-MAX('Activities'!K270,30))</x:f>
        <x:v>0</x:v>
      </x:c>
      <x:c r="K270" s="22" t="n">
        <x:f>MAX(0,MIN('Activities'!L270,42)-MAX('Activities'!K270,36))</x:f>
        <x:v>0</x:v>
      </x:c>
      <x:c r="L270" s="22" t="n">
        <x:f>MAX(0,MIN('Activities'!L270,48)-MAX('Activities'!K270,42))</x:f>
        <x:v>0</x:v>
      </x:c>
      <x:c r="M270" s="22" t="n">
        <x:f>MAX(0,MIN('Activities'!L270,54)-MAX('Activities'!K270,48))</x:f>
        <x:v>0</x:v>
      </x:c>
      <x:c r="N270" s="22" t="n">
        <x:f>MAX(0,MIN('Activities'!L270,60)-MAX('Activities'!K270,54))</x:f>
        <x:v>0</x:v>
      </x:c>
      <x:c r="O270" s="22" t="n">
        <x:f>MAX(0,MIN('Activities'!L270,66)-MAX('Activities'!K270,60))</x:f>
        <x:v>0</x:v>
      </x:c>
      <x:c r="P270" s="22" t="n">
        <x:f>MAX(0,MIN('Activities'!L270,72)-MAX('Activities'!K270,66))</x:f>
        <x:v>0</x:v>
      </x:c>
      <x:c r="Q270" s="22" t="n">
        <x:f>MAX(0,MIN('Activities'!L270,78)-MAX('Activities'!K270,72))</x:f>
        <x:v>0</x:v>
      </x:c>
      <x:c r="R270" s="22" t="n">
        <x:f>MAX(0,MIN('Activities'!L270,84)-MAX('Activities'!K270,78))</x:f>
        <x:v>0</x:v>
      </x:c>
      <x:c r="S270" s="22" t="n">
        <x:f>MAX(0,MIN('Activities'!L270,90)-MAX('Activities'!K270,84))</x:f>
        <x:v>0</x:v>
      </x:c>
      <x:c r="T270" s="22" t="n">
        <x:f>MAX(0,MIN('Activities'!L270,96)-MAX('Activities'!K270,90))</x:f>
        <x:v>0</x:v>
      </x:c>
      <x:c r="U270" s="22" t="n">
        <x:f>MAX(0,MIN('Activities'!L270,102)-MAX('Activities'!K270,96))</x:f>
        <x:v>0</x:v>
      </x:c>
      <x:c r="V270" s="22" t="n">
        <x:f>MAX(0,MIN('Activities'!L270,108)-MAX('Activities'!K270,102))</x:f>
        <x:v>0</x:v>
      </x:c>
      <x:c r="W270" s="22" t="n">
        <x:f>MAX(0,MIN('Activities'!L270,114)-MAX('Activities'!K270,108))</x:f>
        <x:v>0</x:v>
      </x:c>
      <x:c r="X270" s="22" t="n">
        <x:f>MAX(0,MIN('Activities'!L270,120)-MAX('Activities'!K270,114))</x:f>
        <x:v>0</x:v>
      </x:c>
      <x:c r="Y270" s="22" t="n">
        <x:f>MAX(0,MIN('Activities'!L270,126)-MAX('Activities'!K270,120))</x:f>
        <x:v>0</x:v>
      </x:c>
      <x:c r="Z270" s="22" t="n">
        <x:f>MAX(0,MIN('Activities'!L270,132)-MAX('Activities'!K270,126))</x:f>
        <x:v>0</x:v>
      </x:c>
      <x:c r="AA270" s="22" t="n">
        <x:f>MAX(0,MIN('Activities'!L270,138)-MAX('Activities'!K270,132))</x:f>
        <x:v>0</x:v>
      </x:c>
      <x:c r="AB270" s="22" t="n">
        <x:f>MAX(0,MIN('Activities'!L270,144)-MAX('Activities'!K270,138))</x:f>
        <x:v>0</x:v>
      </x:c>
      <x:c r="AC270" s="22" t="n">
        <x:f>MAX(0,MIN('Activities'!L270,150)-MAX('Activities'!K270,144))</x:f>
        <x:v>0</x:v>
      </x:c>
      <x:c r="AD270" s="22" t="n">
        <x:f>MAX(0,MIN('Activities'!L270,156)-MAX('Activities'!K270,150))</x:f>
        <x:v>0</x:v>
      </x:c>
      <x:c r="AE270" s="22" t="n">
        <x:f>MAX(0,MIN('Activities'!L270,162)-MAX('Activities'!K270,156))</x:f>
        <x:v>0</x:v>
      </x:c>
      <x:c r="AF270" s="22" t="n">
        <x:f>MAX(0,MIN('Activities'!L270,168)-MAX('Activities'!K270,162))</x:f>
        <x:v>0</x:v>
      </x:c>
      <x:c r="AG270" s="22" t="n">
        <x:f>MAX(0,MIN('Activities'!L270,174)-MAX('Activities'!K270,168))</x:f>
        <x:v>0</x:v>
      </x:c>
      <x:c r="AH270" s="22" t="n">
        <x:f>MAX(0,MIN('Activities'!L270,180)-MAX('Activities'!K270,174))</x:f>
        <x:v>0</x:v>
      </x:c>
      <x:c r="AI270" s="22" t="n">
        <x:f>MAX(0,MIN('Activities'!L270,186)-MAX('Activities'!K270,180))</x:f>
        <x:v>0</x:v>
      </x:c>
      <x:c r="AJ270" s="22" t="n">
        <x:f>MAX(0,MIN('Activities'!L270,192)-MAX('Activities'!K270,186))</x:f>
        <x:v>0</x:v>
      </x:c>
      <x:c r="AK270" s="22" t="n">
        <x:f>MAX(0,MIN('Activities'!L270,198)-MAX('Activities'!K270,192))</x:f>
        <x:v>0</x:v>
      </x:c>
      <x:c r="AL270" s="22" t="n">
        <x:f>MAX(0,MIN('Activities'!L270,204)-MAX('Activities'!K270,198))</x:f>
        <x:v>0</x:v>
      </x:c>
      <x:c r="AM270" s="22" t="n">
        <x:f>MAX(0,MIN('Activities'!L270,210)-MAX('Activities'!K270,204))</x:f>
        <x:v>0</x:v>
      </x:c>
      <x:c r="AN270" s="22" t="n">
        <x:f>MAX(0,MIN('Activities'!L270,216)-MAX('Activities'!K270,210))</x:f>
        <x:v>0</x:v>
      </x:c>
      <x:c r="AO270" s="22" t="n">
        <x:f>MAX(0,MIN('Activities'!L270,222)-MAX('Activities'!K270,216))</x:f>
        <x:v>0</x:v>
      </x:c>
      <x:c r="AP270" s="22" t="n">
        <x:f>MAX(0,MIN('Activities'!L270,228)-MAX('Activities'!K270,222))</x:f>
        <x:v>0</x:v>
      </x:c>
      <x:c r="AQ270" s="22" t="n">
        <x:f>MAX(0,MIN('Activities'!L270,234)-MAX('Activities'!K270,228))</x:f>
        <x:v>0</x:v>
      </x:c>
      <x:c r="AR270" s="22" t="n">
        <x:f>MAX(0,MIN('Activities'!L270,240)-MAX('Activities'!K270,234))</x:f>
        <x:v>0</x:v>
      </x:c>
      <x:c r="AS270" s="22" t="n">
        <x:f>MAX(0,MIN('Activities'!L270,246)-MAX('Activities'!K270,240))</x:f>
        <x:v>0</x:v>
      </x:c>
      <x:c r="AT270" s="22" t="n">
        <x:f>MAX(0,MIN('Activities'!L270,252)-MAX('Activities'!K270,246))</x:f>
        <x:v>0</x:v>
      </x:c>
      <x:c r="AU270" s="22" t="n">
        <x:f>MAX(0,MIN('Activities'!L270,258)-MAX('Activities'!K270,252))</x:f>
        <x:v>0</x:v>
      </x:c>
      <x:c r="AV270" s="22" t="n">
        <x:f>MAX(0,MIN('Activities'!L270,264)-MAX('Activities'!K270,258))</x:f>
        <x:v>0</x:v>
      </x:c>
      <x:c r="AW270" s="22" t="n">
        <x:f>MAX(0,MIN('Activities'!L270,270)-MAX('Activities'!K270,264))</x:f>
        <x:v>0</x:v>
      </x:c>
      <x:c r="AX270" s="22" t="n">
        <x:f>MAX(0,MIN('Activities'!L270,276)-MAX('Activities'!K270,270))</x:f>
        <x:v>0</x:v>
      </x:c>
      <x:c r="AY270" s="22" t="n">
        <x:f>MAX(0,MIN('Activities'!L270,282)-MAX('Activities'!K270,276))</x:f>
        <x:v>0</x:v>
      </x:c>
      <x:c r="AZ270" s="22" t="n">
        <x:f>MAX(0,MIN('Activities'!L270,288)-MAX('Activities'!K270,282))</x:f>
        <x:v>0</x:v>
      </x:c>
      <x:c r="BA270" s="22" t="n">
        <x:f>MAX(0,MIN('Activities'!L270,294)-MAX('Activities'!K270,288))</x:f>
        <x:v>0</x:v>
      </x:c>
      <x:c r="BB270" s="22" t="n">
        <x:f>MAX(0,MIN('Activities'!L270,300)-MAX('Activities'!K270,294))</x:f>
        <x:v>0</x:v>
      </x:c>
      <x:c r="BC270" s="22" t="n">
        <x:f>MAX(0,MIN('Activities'!L270,306)-MAX('Activities'!K270,300))</x:f>
        <x:v>0</x:v>
      </x:c>
      <x:c r="BD270" s="22" t="n">
        <x:f>MAX(0,MIN('Activities'!L270,312)-MAX('Activities'!K270,306))</x:f>
        <x:v>0</x:v>
      </x:c>
      <x:c r="BE270" s="22" t="n">
        <x:f>MAX(0,MIN('Activities'!L270,318)-MAX('Activities'!K270,312))</x:f>
        <x:v>0</x:v>
      </x:c>
      <x:c r="BF270" s="22" t="n">
        <x:f>MAX(0,MIN('Activities'!L270,324)-MAX('Activities'!K270,318))</x:f>
        <x:v>0</x:v>
      </x:c>
      <x:c r="BG270" s="22" t="n">
        <x:f>MAX(0,MIN('Activities'!L270,330)-MAX('Activities'!K270,324))</x:f>
        <x:v>0</x:v>
      </x:c>
      <x:c r="BH270" s="22" t="n">
        <x:f>MAX(0,MIN('Activities'!L270,336)-MAX('Activities'!K270,330))</x:f>
        <x:v>0</x:v>
      </x:c>
      <x:c r="BI270" s="22" t="n">
        <x:f>MAX(0,MIN('Activities'!L270,342)-MAX('Activities'!K270,336))</x:f>
        <x:v>0</x:v>
      </x:c>
      <x:c r="BJ270" s="22" t="n">
        <x:f>MAX(0,MIN('Activities'!L270,348)-MAX('Activities'!K270,342))</x:f>
        <x:v>0</x:v>
      </x:c>
      <x:c r="BK270" s="22" t="n">
        <x:f>MAX(0,MIN('Activities'!L270,354)-MAX('Activities'!K270,348))</x:f>
        <x:v>0</x:v>
      </x:c>
      <x:c r="BL270" s="22" t="n">
        <x:f>MAX(0,MIN('Activities'!L270,360)-MAX('Activities'!K270,354))</x:f>
        <x:v>0</x:v>
      </x:c>
      <x:c r="BM270" s="22" t="n">
        <x:f>MAX(0,MIN('Activities'!L270,366)-MAX('Activities'!K270,360))</x:f>
        <x:v>0</x:v>
      </x:c>
      <x:c r="BN270" s="22" t="n">
        <x:f>MAX(0,MIN('Activities'!L270,372)-MAX('Activities'!K270,366))</x:f>
        <x:v>0</x:v>
      </x:c>
      <x:c r="BO270" s="22" t="n">
        <x:f>MAX(0,MIN('Activities'!L270,378)-MAX('Activities'!K270,372))</x:f>
        <x:v>0</x:v>
      </x:c>
      <x:c r="BP270" s="22" t="n">
        <x:f>MAX(0,MIN('Activities'!L270,384)-MAX('Activities'!K270,378))</x:f>
        <x:v>0</x:v>
      </x:c>
      <x:c r="BQ270" s="22" t="n">
        <x:f>MAX(0,MIN('Activities'!L270,390)-MAX('Activities'!K270,384))</x:f>
        <x:v>5</x:v>
      </x:c>
      <x:c r="BR270" s="22" t="n">
        <x:f>MAX(0,MIN('Activities'!L270,396)-MAX('Activities'!K270,390))</x:f>
        <x:v>0</x:v>
      </x:c>
      <x:c r="BS270" s="22" t="n">
        <x:f>MAX(0,MIN('Activities'!L270,402)-MAX('Activities'!K270,396))</x:f>
        <x:v>0</x:v>
      </x:c>
      <x:c r="BT270" s="22" t="n">
        <x:f>MAX(0,MIN('Activities'!L270,408)-MAX('Activities'!K270,402))</x:f>
        <x:v>0</x:v>
      </x:c>
      <x:c r="BU270" s="22" t="n">
        <x:f>MAX(0,MIN('Activities'!L270,414)-MAX('Activities'!K270,408))</x:f>
        <x:v>0</x:v>
      </x:c>
      <x:c r="BV270" s="22" t="n">
        <x:f>MAX(0,MIN('Activities'!L270,420)-MAX('Activities'!K270,414))</x:f>
        <x:v>0</x:v>
      </x:c>
      <x:c r="BW270" s="22" t="n">
        <x:f>MAX(0,MIN('Activities'!L270,426)-MAX('Activities'!K270,420))</x:f>
        <x:v>0</x:v>
      </x:c>
      <x:c r="BX270" s="22" t="n">
        <x:f>MAX(0,MIN('Activities'!L270,432)-MAX('Activities'!K270,426))</x:f>
        <x:v>0</x:v>
      </x:c>
      <x:c r="BY270" s="22" t="n">
        <x:f>MAX(0,MIN('Activities'!L270,438)-MAX('Activities'!K270,432))</x:f>
        <x:v>0</x:v>
      </x:c>
      <x:c r="BZ270" s="22" t="n">
        <x:f>MAX(0,MIN('Activities'!L270,444)-MAX('Activities'!K270,438))</x:f>
        <x:v>0</x:v>
      </x:c>
      <x:c r="CA270" s="22" t="n">
        <x:f>MAX(0,MIN('Activities'!L270,450)-MAX('Activities'!K270,444))</x:f>
        <x:v>0</x:v>
      </x:c>
      <x:c r="CB270" s="22" t="n">
        <x:f>MAX(0,MIN('Activities'!L270,456)-MAX('Activities'!K270,450))</x:f>
        <x:v>0</x:v>
      </x:c>
      <x:c r="CC270" s="22" t="n">
        <x:f>MAX(0,MIN('Activities'!L270,462)-MAX('Activities'!K270,456))</x:f>
        <x:v>0</x:v>
      </x:c>
      <x:c r="CD270" s="22" t="n">
        <x:f>MAX(0,MIN('Activities'!L270,468)-MAX('Activities'!K270,462))</x:f>
        <x:v>0</x:v>
      </x:c>
      <x:c r="CE270" s="22" t="n">
        <x:f>MAX(0,MIN('Activities'!L270,474)-MAX('Activities'!K270,468))</x:f>
        <x:v>0</x:v>
      </x:c>
      <x:c r="CF270" s="22" t="n">
        <x:f>MAX(0,MIN('Activities'!L270,480)-MAX('Activities'!K270,474))</x:f>
        <x:v>0</x:v>
      </x:c>
      <x:c r="CG270" s="22" t="n">
        <x:f>MAX(0,MIN('Activities'!L270,486)-MAX('Activities'!K270,480))</x:f>
        <x:v>0</x:v>
      </x:c>
      <x:c r="CH270" s="22" t="n">
        <x:f>MAX(0,MIN('Activities'!L270,492)-MAX('Activities'!K270,486))</x:f>
        <x:v>0</x:v>
      </x:c>
      <x:c r="CI270" s="22" t="n">
        <x:f>MAX(0,MIN('Activities'!L270,498)-MAX('Activities'!K270,492))</x:f>
        <x:v>0</x:v>
      </x:c>
      <x:c r="CJ270" s="22" t="n">
        <x:f>MAX(0,MIN('Activities'!L270,504)-MAX('Activities'!K270,498))</x:f>
        <x:v>0</x:v>
      </x:c>
      <x:c r="CK270" s="22" t="n">
        <x:f>MAX(0,MIN('Activities'!L270,510)-MAX('Activities'!K270,504))</x:f>
        <x:v>0</x:v>
      </x:c>
      <x:c r="CL270" s="22" t="n">
        <x:f>MAX(0,MIN('Activities'!L270,516)-MAX('Activities'!K270,510))</x:f>
        <x:v>0</x:v>
      </x:c>
      <x:c r="CM270" s="22" t="n">
        <x:f>MAX(0,MIN('Activities'!L270,522)-MAX('Activities'!K270,516))</x:f>
        <x:v>0</x:v>
      </x:c>
      <x:c r="CN270" s="22" t="n">
        <x:f>MAX(0,MIN('Activities'!L270,528)-MAX('Activities'!K270,522))</x:f>
        <x:v>0</x:v>
      </x:c>
      <x:c r="CO270" s="22" t="n">
        <x:f>MAX(0,MIN('Activities'!L270,534)-MAX('Activities'!K270,528))</x:f>
        <x:v>0</x:v>
      </x:c>
      <x:c r="CP270" s="22" t="n">
        <x:f>MAX(0,MIN('Activities'!L270,540)-MAX('Activities'!K270,534))</x:f>
        <x:v>0</x:v>
      </x:c>
      <x:c r="CQ270" s="22" t="n">
        <x:f>MAX(0,MIN('Activities'!L270,546)-MAX('Activities'!K270,540))</x:f>
        <x:v>0</x:v>
      </x:c>
      <x:c r="CR270" s="22" t="n">
        <x:f>MAX(0,MIN('Activities'!L270,552)-MAX('Activities'!K270,546))</x:f>
        <x:v>0</x:v>
      </x:c>
      <x:c r="CS270" s="22" t="n">
        <x:f>MAX(0,MIN('Activities'!L270,558)-MAX('Activities'!K270,552))</x:f>
        <x:v>0</x:v>
      </x:c>
      <x:c r="CT270" s="22" t="n">
        <x:f>MAX(0,MIN('Activities'!L270,564)-MAX('Activities'!K270,558))</x:f>
        <x:v>0</x:v>
      </x:c>
      <x:c r="CU270" s="22" t="n">
        <x:f>MAX(0,MIN('Activities'!L270,570)-MAX('Activities'!K270,564))</x:f>
        <x:v>0</x:v>
      </x:c>
      <x:c r="CV270" s="22" t="n">
        <x:f>MAX(0,MIN('Activities'!L270,576)-MAX('Activities'!K270,570))</x:f>
        <x:v>0</x:v>
      </x:c>
      <x:c r="CW270" s="22" t="n">
        <x:f>MAX(0,MIN('Activities'!L270,582)-MAX('Activities'!K270,576))</x:f>
        <x:v>0</x:v>
      </x:c>
      <x:c r="CX270" s="22" t="n">
        <x:f>MAX(0,MIN('Activities'!L270,588)-MAX('Activities'!K270,582))</x:f>
        <x:v>0</x:v>
      </x:c>
      <x:c r="CY270" s="22" t="n">
        <x:f>MAX(0,MIN('Activities'!L270,594)-MAX('Activities'!K270,588))</x:f>
        <x:v>0</x:v>
      </x:c>
      <x:c r="CZ270" s="22" t="n">
        <x:f>MAX(0,MIN('Activities'!L270,600)-MAX('Activities'!K270,594))</x:f>
        <x:v>0</x:v>
      </x:c>
      <x:c r="DA270" s="22" t="n">
        <x:f>MAX(0,MIN('Activities'!L270,606)-MAX('Activities'!K270,600))</x:f>
        <x:v>0</x:v>
      </x:c>
      <x:c r="DB270" s="22" t="n">
        <x:f>MAX(0,MIN('Activities'!L270,612)-MAX('Activities'!K270,606))</x:f>
        <x:v>0</x:v>
      </x:c>
      <x:c r="DC270" s="22" t="n">
        <x:f>MAX(0,MIN('Activities'!L270,618)-MAX('Activities'!K270,612))</x:f>
        <x:v>0</x:v>
      </x:c>
      <x:c r="DD270" s="22" t="n">
        <x:f>MAX(0,MIN('Activities'!L270,624)-MAX('Activities'!K270,618))</x:f>
        <x:v>0</x:v>
      </x:c>
      <x:c r="DE270" s="22" t="n">
        <x:f>MAX(0,MIN('Activities'!L270,630)-MAX('Activities'!K270,624))</x:f>
        <x:v>0</x:v>
      </x:c>
      <x:c r="DF270" s="22" t="n">
        <x:f>MAX(0,MIN('Activities'!L270,636)-MAX('Activities'!K270,630))</x:f>
        <x:v>0</x:v>
      </x:c>
    </x:row>
    <x:row r="271" ht="23" customHeight="1">
      <x:c r="A271" s="1" t="str">
        <x:v>T2-L11-P</x:v>
      </x:c>
      <x:c r="B271" s="1" t="str">
        <x:v>T2</x:v>
      </x:c>
      <x:c r="C271" s="1" t="str">
        <x:v>Internal plaster</x:v>
      </x:c>
      <x:c r="D271" s="1" t="str">
        <x:v>Finishes</x:v>
      </x:c>
      <x:c r="E271" s="23" t="n">
        <x:f>MAX(0,MIN('Activities'!L271,6)-MAX('Activities'!K271,0))</x:f>
        <x:v>0</x:v>
      </x:c>
      <x:c r="F271" s="23" t="n">
        <x:f>MAX(0,MIN('Activities'!L271,12)-MAX('Activities'!K271,6))</x:f>
        <x:v>0</x:v>
      </x:c>
      <x:c r="G271" s="23" t="n">
        <x:f>MAX(0,MIN('Activities'!L271,18)-MAX('Activities'!K271,12))</x:f>
        <x:v>0</x:v>
      </x:c>
      <x:c r="H271" s="23" t="n">
        <x:f>MAX(0,MIN('Activities'!L271,24)-MAX('Activities'!K271,18))</x:f>
        <x:v>0</x:v>
      </x:c>
      <x:c r="I271" s="23" t="n">
        <x:f>MAX(0,MIN('Activities'!L271,30)-MAX('Activities'!K271,24))</x:f>
        <x:v>0</x:v>
      </x:c>
      <x:c r="J271" s="23" t="n">
        <x:f>MAX(0,MIN('Activities'!L271,36)-MAX('Activities'!K271,30))</x:f>
        <x:v>0</x:v>
      </x:c>
      <x:c r="K271" s="23" t="n">
        <x:f>MAX(0,MIN('Activities'!L271,42)-MAX('Activities'!K271,36))</x:f>
        <x:v>0</x:v>
      </x:c>
      <x:c r="L271" s="23" t="n">
        <x:f>MAX(0,MIN('Activities'!L271,48)-MAX('Activities'!K271,42))</x:f>
        <x:v>0</x:v>
      </x:c>
      <x:c r="M271" s="23" t="n">
        <x:f>MAX(0,MIN('Activities'!L271,54)-MAX('Activities'!K271,48))</x:f>
        <x:v>0</x:v>
      </x:c>
      <x:c r="N271" s="23" t="n">
        <x:f>MAX(0,MIN('Activities'!L271,60)-MAX('Activities'!K271,54))</x:f>
        <x:v>0</x:v>
      </x:c>
      <x:c r="O271" s="23" t="n">
        <x:f>MAX(0,MIN('Activities'!L271,66)-MAX('Activities'!K271,60))</x:f>
        <x:v>0</x:v>
      </x:c>
      <x:c r="P271" s="23" t="n">
        <x:f>MAX(0,MIN('Activities'!L271,72)-MAX('Activities'!K271,66))</x:f>
        <x:v>0</x:v>
      </x:c>
      <x:c r="Q271" s="23" t="n">
        <x:f>MAX(0,MIN('Activities'!L271,78)-MAX('Activities'!K271,72))</x:f>
        <x:v>0</x:v>
      </x:c>
      <x:c r="R271" s="23" t="n">
        <x:f>MAX(0,MIN('Activities'!L271,84)-MAX('Activities'!K271,78))</x:f>
        <x:v>0</x:v>
      </x:c>
      <x:c r="S271" s="23" t="n">
        <x:f>MAX(0,MIN('Activities'!L271,90)-MAX('Activities'!K271,84))</x:f>
        <x:v>0</x:v>
      </x:c>
      <x:c r="T271" s="23" t="n">
        <x:f>MAX(0,MIN('Activities'!L271,96)-MAX('Activities'!K271,90))</x:f>
        <x:v>0</x:v>
      </x:c>
      <x:c r="U271" s="23" t="n">
        <x:f>MAX(0,MIN('Activities'!L271,102)-MAX('Activities'!K271,96))</x:f>
        <x:v>0</x:v>
      </x:c>
      <x:c r="V271" s="23" t="n">
        <x:f>MAX(0,MIN('Activities'!L271,108)-MAX('Activities'!K271,102))</x:f>
        <x:v>0</x:v>
      </x:c>
      <x:c r="W271" s="23" t="n">
        <x:f>MAX(0,MIN('Activities'!L271,114)-MAX('Activities'!K271,108))</x:f>
        <x:v>0</x:v>
      </x:c>
      <x:c r="X271" s="23" t="n">
        <x:f>MAX(0,MIN('Activities'!L271,120)-MAX('Activities'!K271,114))</x:f>
        <x:v>0</x:v>
      </x:c>
      <x:c r="Y271" s="23" t="n">
        <x:f>MAX(0,MIN('Activities'!L271,126)-MAX('Activities'!K271,120))</x:f>
        <x:v>0</x:v>
      </x:c>
      <x:c r="Z271" s="23" t="n">
        <x:f>MAX(0,MIN('Activities'!L271,132)-MAX('Activities'!K271,126))</x:f>
        <x:v>0</x:v>
      </x:c>
      <x:c r="AA271" s="23" t="n">
        <x:f>MAX(0,MIN('Activities'!L271,138)-MAX('Activities'!K271,132))</x:f>
        <x:v>0</x:v>
      </x:c>
      <x:c r="AB271" s="23" t="n">
        <x:f>MAX(0,MIN('Activities'!L271,144)-MAX('Activities'!K271,138))</x:f>
        <x:v>0</x:v>
      </x:c>
      <x:c r="AC271" s="23" t="n">
        <x:f>MAX(0,MIN('Activities'!L271,150)-MAX('Activities'!K271,144))</x:f>
        <x:v>0</x:v>
      </x:c>
      <x:c r="AD271" s="23" t="n">
        <x:f>MAX(0,MIN('Activities'!L271,156)-MAX('Activities'!K271,150))</x:f>
        <x:v>0</x:v>
      </x:c>
      <x:c r="AE271" s="23" t="n">
        <x:f>MAX(0,MIN('Activities'!L271,162)-MAX('Activities'!K271,156))</x:f>
        <x:v>0</x:v>
      </x:c>
      <x:c r="AF271" s="23" t="n">
        <x:f>MAX(0,MIN('Activities'!L271,168)-MAX('Activities'!K271,162))</x:f>
        <x:v>0</x:v>
      </x:c>
      <x:c r="AG271" s="23" t="n">
        <x:f>MAX(0,MIN('Activities'!L271,174)-MAX('Activities'!K271,168))</x:f>
        <x:v>0</x:v>
      </x:c>
      <x:c r="AH271" s="23" t="n">
        <x:f>MAX(0,MIN('Activities'!L271,180)-MAX('Activities'!K271,174))</x:f>
        <x:v>0</x:v>
      </x:c>
      <x:c r="AI271" s="23" t="n">
        <x:f>MAX(0,MIN('Activities'!L271,186)-MAX('Activities'!K271,180))</x:f>
        <x:v>0</x:v>
      </x:c>
      <x:c r="AJ271" s="23" t="n">
        <x:f>MAX(0,MIN('Activities'!L271,192)-MAX('Activities'!K271,186))</x:f>
        <x:v>0</x:v>
      </x:c>
      <x:c r="AK271" s="23" t="n">
        <x:f>MAX(0,MIN('Activities'!L271,198)-MAX('Activities'!K271,192))</x:f>
        <x:v>0</x:v>
      </x:c>
      <x:c r="AL271" s="23" t="n">
        <x:f>MAX(0,MIN('Activities'!L271,204)-MAX('Activities'!K271,198))</x:f>
        <x:v>0</x:v>
      </x:c>
      <x:c r="AM271" s="23" t="n">
        <x:f>MAX(0,MIN('Activities'!L271,210)-MAX('Activities'!K271,204))</x:f>
        <x:v>0</x:v>
      </x:c>
      <x:c r="AN271" s="23" t="n">
        <x:f>MAX(0,MIN('Activities'!L271,216)-MAX('Activities'!K271,210))</x:f>
        <x:v>0</x:v>
      </x:c>
      <x:c r="AO271" s="23" t="n">
        <x:f>MAX(0,MIN('Activities'!L271,222)-MAX('Activities'!K271,216))</x:f>
        <x:v>0</x:v>
      </x:c>
      <x:c r="AP271" s="23" t="n">
        <x:f>MAX(0,MIN('Activities'!L271,228)-MAX('Activities'!K271,222))</x:f>
        <x:v>0</x:v>
      </x:c>
      <x:c r="AQ271" s="23" t="n">
        <x:f>MAX(0,MIN('Activities'!L271,234)-MAX('Activities'!K271,228))</x:f>
        <x:v>0</x:v>
      </x:c>
      <x:c r="AR271" s="23" t="n">
        <x:f>MAX(0,MIN('Activities'!L271,240)-MAX('Activities'!K271,234))</x:f>
        <x:v>0</x:v>
      </x:c>
      <x:c r="AS271" s="23" t="n">
        <x:f>MAX(0,MIN('Activities'!L271,246)-MAX('Activities'!K271,240))</x:f>
        <x:v>0</x:v>
      </x:c>
      <x:c r="AT271" s="23" t="n">
        <x:f>MAX(0,MIN('Activities'!L271,252)-MAX('Activities'!K271,246))</x:f>
        <x:v>0</x:v>
      </x:c>
      <x:c r="AU271" s="23" t="n">
        <x:f>MAX(0,MIN('Activities'!L271,258)-MAX('Activities'!K271,252))</x:f>
        <x:v>0</x:v>
      </x:c>
      <x:c r="AV271" s="23" t="n">
        <x:f>MAX(0,MIN('Activities'!L271,264)-MAX('Activities'!K271,258))</x:f>
        <x:v>0</x:v>
      </x:c>
      <x:c r="AW271" s="23" t="n">
        <x:f>MAX(0,MIN('Activities'!L271,270)-MAX('Activities'!K271,264))</x:f>
        <x:v>0</x:v>
      </x:c>
      <x:c r="AX271" s="23" t="n">
        <x:f>MAX(0,MIN('Activities'!L271,276)-MAX('Activities'!K271,270))</x:f>
        <x:v>0</x:v>
      </x:c>
      <x:c r="AY271" s="23" t="n">
        <x:f>MAX(0,MIN('Activities'!L271,282)-MAX('Activities'!K271,276))</x:f>
        <x:v>0</x:v>
      </x:c>
      <x:c r="AZ271" s="23" t="n">
        <x:f>MAX(0,MIN('Activities'!L271,288)-MAX('Activities'!K271,282))</x:f>
        <x:v>0</x:v>
      </x:c>
      <x:c r="BA271" s="23" t="n">
        <x:f>MAX(0,MIN('Activities'!L271,294)-MAX('Activities'!K271,288))</x:f>
        <x:v>0</x:v>
      </x:c>
      <x:c r="BB271" s="23" t="n">
        <x:f>MAX(0,MIN('Activities'!L271,300)-MAX('Activities'!K271,294))</x:f>
        <x:v>0</x:v>
      </x:c>
      <x:c r="BC271" s="23" t="n">
        <x:f>MAX(0,MIN('Activities'!L271,306)-MAX('Activities'!K271,300))</x:f>
        <x:v>0</x:v>
      </x:c>
      <x:c r="BD271" s="23" t="n">
        <x:f>MAX(0,MIN('Activities'!L271,312)-MAX('Activities'!K271,306))</x:f>
        <x:v>0</x:v>
      </x:c>
      <x:c r="BE271" s="23" t="n">
        <x:f>MAX(0,MIN('Activities'!L271,318)-MAX('Activities'!K271,312))</x:f>
        <x:v>0</x:v>
      </x:c>
      <x:c r="BF271" s="23" t="n">
        <x:f>MAX(0,MIN('Activities'!L271,324)-MAX('Activities'!K271,318))</x:f>
        <x:v>0</x:v>
      </x:c>
      <x:c r="BG271" s="23" t="n">
        <x:f>MAX(0,MIN('Activities'!L271,330)-MAX('Activities'!K271,324))</x:f>
        <x:v>0</x:v>
      </x:c>
      <x:c r="BH271" s="23" t="n">
        <x:f>MAX(0,MIN('Activities'!L271,336)-MAX('Activities'!K271,330))</x:f>
        <x:v>0</x:v>
      </x:c>
      <x:c r="BI271" s="23" t="n">
        <x:f>MAX(0,MIN('Activities'!L271,342)-MAX('Activities'!K271,336))</x:f>
        <x:v>0</x:v>
      </x:c>
      <x:c r="BJ271" s="23" t="n">
        <x:f>MAX(0,MIN('Activities'!L271,348)-MAX('Activities'!K271,342))</x:f>
        <x:v>0</x:v>
      </x:c>
      <x:c r="BK271" s="23" t="n">
        <x:f>MAX(0,MIN('Activities'!L271,354)-MAX('Activities'!K271,348))</x:f>
        <x:v>0</x:v>
      </x:c>
      <x:c r="BL271" s="23" t="n">
        <x:f>MAX(0,MIN('Activities'!L271,360)-MAX('Activities'!K271,354))</x:f>
        <x:v>0</x:v>
      </x:c>
      <x:c r="BM271" s="23" t="n">
        <x:f>MAX(0,MIN('Activities'!L271,366)-MAX('Activities'!K271,360))</x:f>
        <x:v>0</x:v>
      </x:c>
      <x:c r="BN271" s="23" t="n">
        <x:f>MAX(0,MIN('Activities'!L271,372)-MAX('Activities'!K271,366))</x:f>
        <x:v>0</x:v>
      </x:c>
      <x:c r="BO271" s="23" t="n">
        <x:f>MAX(0,MIN('Activities'!L271,378)-MAX('Activities'!K271,372))</x:f>
        <x:v>0</x:v>
      </x:c>
      <x:c r="BP271" s="23" t="n">
        <x:f>MAX(0,MIN('Activities'!L271,384)-MAX('Activities'!K271,378))</x:f>
        <x:v>0</x:v>
      </x:c>
      <x:c r="BQ271" s="23" t="n">
        <x:f>MAX(0,MIN('Activities'!L271,390)-MAX('Activities'!K271,384))</x:f>
        <x:v>0</x:v>
      </x:c>
      <x:c r="BR271" s="23" t="n">
        <x:f>MAX(0,MIN('Activities'!L271,396)-MAX('Activities'!K271,390))</x:f>
        <x:v>3</x:v>
      </x:c>
      <x:c r="BS271" s="23" t="n">
        <x:f>MAX(0,MIN('Activities'!L271,402)-MAX('Activities'!K271,396))</x:f>
        <x:v>3</x:v>
      </x:c>
      <x:c r="BT271" s="23" t="n">
        <x:f>MAX(0,MIN('Activities'!L271,408)-MAX('Activities'!K271,402))</x:f>
        <x:v>0</x:v>
      </x:c>
      <x:c r="BU271" s="23" t="n">
        <x:f>MAX(0,MIN('Activities'!L271,414)-MAX('Activities'!K271,408))</x:f>
        <x:v>0</x:v>
      </x:c>
      <x:c r="BV271" s="23" t="n">
        <x:f>MAX(0,MIN('Activities'!L271,420)-MAX('Activities'!K271,414))</x:f>
        <x:v>0</x:v>
      </x:c>
      <x:c r="BW271" s="23" t="n">
        <x:f>MAX(0,MIN('Activities'!L271,426)-MAX('Activities'!K271,420))</x:f>
        <x:v>0</x:v>
      </x:c>
      <x:c r="BX271" s="23" t="n">
        <x:f>MAX(0,MIN('Activities'!L271,432)-MAX('Activities'!K271,426))</x:f>
        <x:v>0</x:v>
      </x:c>
      <x:c r="BY271" s="23" t="n">
        <x:f>MAX(0,MIN('Activities'!L271,438)-MAX('Activities'!K271,432))</x:f>
        <x:v>0</x:v>
      </x:c>
      <x:c r="BZ271" s="23" t="n">
        <x:f>MAX(0,MIN('Activities'!L271,444)-MAX('Activities'!K271,438))</x:f>
        <x:v>0</x:v>
      </x:c>
      <x:c r="CA271" s="23" t="n">
        <x:f>MAX(0,MIN('Activities'!L271,450)-MAX('Activities'!K271,444))</x:f>
        <x:v>0</x:v>
      </x:c>
      <x:c r="CB271" s="23" t="n">
        <x:f>MAX(0,MIN('Activities'!L271,456)-MAX('Activities'!K271,450))</x:f>
        <x:v>0</x:v>
      </x:c>
      <x:c r="CC271" s="23" t="n">
        <x:f>MAX(0,MIN('Activities'!L271,462)-MAX('Activities'!K271,456))</x:f>
        <x:v>0</x:v>
      </x:c>
      <x:c r="CD271" s="23" t="n">
        <x:f>MAX(0,MIN('Activities'!L271,468)-MAX('Activities'!K271,462))</x:f>
        <x:v>0</x:v>
      </x:c>
      <x:c r="CE271" s="23" t="n">
        <x:f>MAX(0,MIN('Activities'!L271,474)-MAX('Activities'!K271,468))</x:f>
        <x:v>0</x:v>
      </x:c>
      <x:c r="CF271" s="23" t="n">
        <x:f>MAX(0,MIN('Activities'!L271,480)-MAX('Activities'!K271,474))</x:f>
        <x:v>0</x:v>
      </x:c>
      <x:c r="CG271" s="23" t="n">
        <x:f>MAX(0,MIN('Activities'!L271,486)-MAX('Activities'!K271,480))</x:f>
        <x:v>0</x:v>
      </x:c>
      <x:c r="CH271" s="23" t="n">
        <x:f>MAX(0,MIN('Activities'!L271,492)-MAX('Activities'!K271,486))</x:f>
        <x:v>0</x:v>
      </x:c>
      <x:c r="CI271" s="23" t="n">
        <x:f>MAX(0,MIN('Activities'!L271,498)-MAX('Activities'!K271,492))</x:f>
        <x:v>0</x:v>
      </x:c>
      <x:c r="CJ271" s="23" t="n">
        <x:f>MAX(0,MIN('Activities'!L271,504)-MAX('Activities'!K271,498))</x:f>
        <x:v>0</x:v>
      </x:c>
      <x:c r="CK271" s="23" t="n">
        <x:f>MAX(0,MIN('Activities'!L271,510)-MAX('Activities'!K271,504))</x:f>
        <x:v>0</x:v>
      </x:c>
      <x:c r="CL271" s="23" t="n">
        <x:f>MAX(0,MIN('Activities'!L271,516)-MAX('Activities'!K271,510))</x:f>
        <x:v>0</x:v>
      </x:c>
      <x:c r="CM271" s="23" t="n">
        <x:f>MAX(0,MIN('Activities'!L271,522)-MAX('Activities'!K271,516))</x:f>
        <x:v>0</x:v>
      </x:c>
      <x:c r="CN271" s="23" t="n">
        <x:f>MAX(0,MIN('Activities'!L271,528)-MAX('Activities'!K271,522))</x:f>
        <x:v>0</x:v>
      </x:c>
      <x:c r="CO271" s="23" t="n">
        <x:f>MAX(0,MIN('Activities'!L271,534)-MAX('Activities'!K271,528))</x:f>
        <x:v>0</x:v>
      </x:c>
      <x:c r="CP271" s="23" t="n">
        <x:f>MAX(0,MIN('Activities'!L271,540)-MAX('Activities'!K271,534))</x:f>
        <x:v>0</x:v>
      </x:c>
      <x:c r="CQ271" s="23" t="n">
        <x:f>MAX(0,MIN('Activities'!L271,546)-MAX('Activities'!K271,540))</x:f>
        <x:v>0</x:v>
      </x:c>
      <x:c r="CR271" s="23" t="n">
        <x:f>MAX(0,MIN('Activities'!L271,552)-MAX('Activities'!K271,546))</x:f>
        <x:v>0</x:v>
      </x:c>
      <x:c r="CS271" s="23" t="n">
        <x:f>MAX(0,MIN('Activities'!L271,558)-MAX('Activities'!K271,552))</x:f>
        <x:v>0</x:v>
      </x:c>
      <x:c r="CT271" s="23" t="n">
        <x:f>MAX(0,MIN('Activities'!L271,564)-MAX('Activities'!K271,558))</x:f>
        <x:v>0</x:v>
      </x:c>
      <x:c r="CU271" s="23" t="n">
        <x:f>MAX(0,MIN('Activities'!L271,570)-MAX('Activities'!K271,564))</x:f>
        <x:v>0</x:v>
      </x:c>
      <x:c r="CV271" s="23" t="n">
        <x:f>MAX(0,MIN('Activities'!L271,576)-MAX('Activities'!K271,570))</x:f>
        <x:v>0</x:v>
      </x:c>
      <x:c r="CW271" s="23" t="n">
        <x:f>MAX(0,MIN('Activities'!L271,582)-MAX('Activities'!K271,576))</x:f>
        <x:v>0</x:v>
      </x:c>
      <x:c r="CX271" s="23" t="n">
        <x:f>MAX(0,MIN('Activities'!L271,588)-MAX('Activities'!K271,582))</x:f>
        <x:v>0</x:v>
      </x:c>
      <x:c r="CY271" s="23" t="n">
        <x:f>MAX(0,MIN('Activities'!L271,594)-MAX('Activities'!K271,588))</x:f>
        <x:v>0</x:v>
      </x:c>
      <x:c r="CZ271" s="23" t="n">
        <x:f>MAX(0,MIN('Activities'!L271,600)-MAX('Activities'!K271,594))</x:f>
        <x:v>0</x:v>
      </x:c>
      <x:c r="DA271" s="23" t="n">
        <x:f>MAX(0,MIN('Activities'!L271,606)-MAX('Activities'!K271,600))</x:f>
        <x:v>0</x:v>
      </x:c>
      <x:c r="DB271" s="23" t="n">
        <x:f>MAX(0,MIN('Activities'!L271,612)-MAX('Activities'!K271,606))</x:f>
        <x:v>0</x:v>
      </x:c>
      <x:c r="DC271" s="23" t="n">
        <x:f>MAX(0,MIN('Activities'!L271,618)-MAX('Activities'!K271,612))</x:f>
        <x:v>0</x:v>
      </x:c>
      <x:c r="DD271" s="23" t="n">
        <x:f>MAX(0,MIN('Activities'!L271,624)-MAX('Activities'!K271,618))</x:f>
        <x:v>0</x:v>
      </x:c>
      <x:c r="DE271" s="23" t="n">
        <x:f>MAX(0,MIN('Activities'!L271,630)-MAX('Activities'!K271,624))</x:f>
        <x:v>0</x:v>
      </x:c>
      <x:c r="DF271" s="23" t="n">
        <x:f>MAX(0,MIN('Activities'!L271,636)-MAX('Activities'!K271,630))</x:f>
        <x:v>0</x:v>
      </x:c>
    </x:row>
    <x:row r="272" ht="23" customHeight="1">
      <x:c r="A272" s="6" t="str">
        <x:v>T2-L11-S</x:v>
      </x:c>
      <x:c r="B272" s="6" t="str">
        <x:v>T2</x:v>
      </x:c>
      <x:c r="C272" s="6" t="str">
        <x:v>Screed and substrate preparation</x:v>
      </x:c>
      <x:c r="D272" s="6" t="str">
        <x:v>Finishes</x:v>
      </x:c>
      <x:c r="E272" s="22" t="n">
        <x:f>MAX(0,MIN('Activities'!L272,6)-MAX('Activities'!K272,0))</x:f>
        <x:v>0</x:v>
      </x:c>
      <x:c r="F272" s="22" t="n">
        <x:f>MAX(0,MIN('Activities'!L272,12)-MAX('Activities'!K272,6))</x:f>
        <x:v>0</x:v>
      </x:c>
      <x:c r="G272" s="22" t="n">
        <x:f>MAX(0,MIN('Activities'!L272,18)-MAX('Activities'!K272,12))</x:f>
        <x:v>0</x:v>
      </x:c>
      <x:c r="H272" s="22" t="n">
        <x:f>MAX(0,MIN('Activities'!L272,24)-MAX('Activities'!K272,18))</x:f>
        <x:v>0</x:v>
      </x:c>
      <x:c r="I272" s="22" t="n">
        <x:f>MAX(0,MIN('Activities'!L272,30)-MAX('Activities'!K272,24))</x:f>
        <x:v>0</x:v>
      </x:c>
      <x:c r="J272" s="22" t="n">
        <x:f>MAX(0,MIN('Activities'!L272,36)-MAX('Activities'!K272,30))</x:f>
        <x:v>0</x:v>
      </x:c>
      <x:c r="K272" s="22" t="n">
        <x:f>MAX(0,MIN('Activities'!L272,42)-MAX('Activities'!K272,36))</x:f>
        <x:v>0</x:v>
      </x:c>
      <x:c r="L272" s="22" t="n">
        <x:f>MAX(0,MIN('Activities'!L272,48)-MAX('Activities'!K272,42))</x:f>
        <x:v>0</x:v>
      </x:c>
      <x:c r="M272" s="22" t="n">
        <x:f>MAX(0,MIN('Activities'!L272,54)-MAX('Activities'!K272,48))</x:f>
        <x:v>0</x:v>
      </x:c>
      <x:c r="N272" s="22" t="n">
        <x:f>MAX(0,MIN('Activities'!L272,60)-MAX('Activities'!K272,54))</x:f>
        <x:v>0</x:v>
      </x:c>
      <x:c r="O272" s="22" t="n">
        <x:f>MAX(0,MIN('Activities'!L272,66)-MAX('Activities'!K272,60))</x:f>
        <x:v>0</x:v>
      </x:c>
      <x:c r="P272" s="22" t="n">
        <x:f>MAX(0,MIN('Activities'!L272,72)-MAX('Activities'!K272,66))</x:f>
        <x:v>0</x:v>
      </x:c>
      <x:c r="Q272" s="22" t="n">
        <x:f>MAX(0,MIN('Activities'!L272,78)-MAX('Activities'!K272,72))</x:f>
        <x:v>0</x:v>
      </x:c>
      <x:c r="R272" s="22" t="n">
        <x:f>MAX(0,MIN('Activities'!L272,84)-MAX('Activities'!K272,78))</x:f>
        <x:v>0</x:v>
      </x:c>
      <x:c r="S272" s="22" t="n">
        <x:f>MAX(0,MIN('Activities'!L272,90)-MAX('Activities'!K272,84))</x:f>
        <x:v>0</x:v>
      </x:c>
      <x:c r="T272" s="22" t="n">
        <x:f>MAX(0,MIN('Activities'!L272,96)-MAX('Activities'!K272,90))</x:f>
        <x:v>0</x:v>
      </x:c>
      <x:c r="U272" s="22" t="n">
        <x:f>MAX(0,MIN('Activities'!L272,102)-MAX('Activities'!K272,96))</x:f>
        <x:v>0</x:v>
      </x:c>
      <x:c r="V272" s="22" t="n">
        <x:f>MAX(0,MIN('Activities'!L272,108)-MAX('Activities'!K272,102))</x:f>
        <x:v>0</x:v>
      </x:c>
      <x:c r="W272" s="22" t="n">
        <x:f>MAX(0,MIN('Activities'!L272,114)-MAX('Activities'!K272,108))</x:f>
        <x:v>0</x:v>
      </x:c>
      <x:c r="X272" s="22" t="n">
        <x:f>MAX(0,MIN('Activities'!L272,120)-MAX('Activities'!K272,114))</x:f>
        <x:v>0</x:v>
      </x:c>
      <x:c r="Y272" s="22" t="n">
        <x:f>MAX(0,MIN('Activities'!L272,126)-MAX('Activities'!K272,120))</x:f>
        <x:v>0</x:v>
      </x:c>
      <x:c r="Z272" s="22" t="n">
        <x:f>MAX(0,MIN('Activities'!L272,132)-MAX('Activities'!K272,126))</x:f>
        <x:v>0</x:v>
      </x:c>
      <x:c r="AA272" s="22" t="n">
        <x:f>MAX(0,MIN('Activities'!L272,138)-MAX('Activities'!K272,132))</x:f>
        <x:v>0</x:v>
      </x:c>
      <x:c r="AB272" s="22" t="n">
        <x:f>MAX(0,MIN('Activities'!L272,144)-MAX('Activities'!K272,138))</x:f>
        <x:v>0</x:v>
      </x:c>
      <x:c r="AC272" s="22" t="n">
        <x:f>MAX(0,MIN('Activities'!L272,150)-MAX('Activities'!K272,144))</x:f>
        <x:v>0</x:v>
      </x:c>
      <x:c r="AD272" s="22" t="n">
        <x:f>MAX(0,MIN('Activities'!L272,156)-MAX('Activities'!K272,150))</x:f>
        <x:v>0</x:v>
      </x:c>
      <x:c r="AE272" s="22" t="n">
        <x:f>MAX(0,MIN('Activities'!L272,162)-MAX('Activities'!K272,156))</x:f>
        <x:v>0</x:v>
      </x:c>
      <x:c r="AF272" s="22" t="n">
        <x:f>MAX(0,MIN('Activities'!L272,168)-MAX('Activities'!K272,162))</x:f>
        <x:v>0</x:v>
      </x:c>
      <x:c r="AG272" s="22" t="n">
        <x:f>MAX(0,MIN('Activities'!L272,174)-MAX('Activities'!K272,168))</x:f>
        <x:v>0</x:v>
      </x:c>
      <x:c r="AH272" s="22" t="n">
        <x:f>MAX(0,MIN('Activities'!L272,180)-MAX('Activities'!K272,174))</x:f>
        <x:v>0</x:v>
      </x:c>
      <x:c r="AI272" s="22" t="n">
        <x:f>MAX(0,MIN('Activities'!L272,186)-MAX('Activities'!K272,180))</x:f>
        <x:v>0</x:v>
      </x:c>
      <x:c r="AJ272" s="22" t="n">
        <x:f>MAX(0,MIN('Activities'!L272,192)-MAX('Activities'!K272,186))</x:f>
        <x:v>0</x:v>
      </x:c>
      <x:c r="AK272" s="22" t="n">
        <x:f>MAX(0,MIN('Activities'!L272,198)-MAX('Activities'!K272,192))</x:f>
        <x:v>0</x:v>
      </x:c>
      <x:c r="AL272" s="22" t="n">
        <x:f>MAX(0,MIN('Activities'!L272,204)-MAX('Activities'!K272,198))</x:f>
        <x:v>0</x:v>
      </x:c>
      <x:c r="AM272" s="22" t="n">
        <x:f>MAX(0,MIN('Activities'!L272,210)-MAX('Activities'!K272,204))</x:f>
        <x:v>0</x:v>
      </x:c>
      <x:c r="AN272" s="22" t="n">
        <x:f>MAX(0,MIN('Activities'!L272,216)-MAX('Activities'!K272,210))</x:f>
        <x:v>0</x:v>
      </x:c>
      <x:c r="AO272" s="22" t="n">
        <x:f>MAX(0,MIN('Activities'!L272,222)-MAX('Activities'!K272,216))</x:f>
        <x:v>0</x:v>
      </x:c>
      <x:c r="AP272" s="22" t="n">
        <x:f>MAX(0,MIN('Activities'!L272,228)-MAX('Activities'!K272,222))</x:f>
        <x:v>0</x:v>
      </x:c>
      <x:c r="AQ272" s="22" t="n">
        <x:f>MAX(0,MIN('Activities'!L272,234)-MAX('Activities'!K272,228))</x:f>
        <x:v>0</x:v>
      </x:c>
      <x:c r="AR272" s="22" t="n">
        <x:f>MAX(0,MIN('Activities'!L272,240)-MAX('Activities'!K272,234))</x:f>
        <x:v>0</x:v>
      </x:c>
      <x:c r="AS272" s="22" t="n">
        <x:f>MAX(0,MIN('Activities'!L272,246)-MAX('Activities'!K272,240))</x:f>
        <x:v>0</x:v>
      </x:c>
      <x:c r="AT272" s="22" t="n">
        <x:f>MAX(0,MIN('Activities'!L272,252)-MAX('Activities'!K272,246))</x:f>
        <x:v>0</x:v>
      </x:c>
      <x:c r="AU272" s="22" t="n">
        <x:f>MAX(0,MIN('Activities'!L272,258)-MAX('Activities'!K272,252))</x:f>
        <x:v>0</x:v>
      </x:c>
      <x:c r="AV272" s="22" t="n">
        <x:f>MAX(0,MIN('Activities'!L272,264)-MAX('Activities'!K272,258))</x:f>
        <x:v>0</x:v>
      </x:c>
      <x:c r="AW272" s="22" t="n">
        <x:f>MAX(0,MIN('Activities'!L272,270)-MAX('Activities'!K272,264))</x:f>
        <x:v>0</x:v>
      </x:c>
      <x:c r="AX272" s="22" t="n">
        <x:f>MAX(0,MIN('Activities'!L272,276)-MAX('Activities'!K272,270))</x:f>
        <x:v>0</x:v>
      </x:c>
      <x:c r="AY272" s="22" t="n">
        <x:f>MAX(0,MIN('Activities'!L272,282)-MAX('Activities'!K272,276))</x:f>
        <x:v>0</x:v>
      </x:c>
      <x:c r="AZ272" s="22" t="n">
        <x:f>MAX(0,MIN('Activities'!L272,288)-MAX('Activities'!K272,282))</x:f>
        <x:v>0</x:v>
      </x:c>
      <x:c r="BA272" s="22" t="n">
        <x:f>MAX(0,MIN('Activities'!L272,294)-MAX('Activities'!K272,288))</x:f>
        <x:v>0</x:v>
      </x:c>
      <x:c r="BB272" s="22" t="n">
        <x:f>MAX(0,MIN('Activities'!L272,300)-MAX('Activities'!K272,294))</x:f>
        <x:v>0</x:v>
      </x:c>
      <x:c r="BC272" s="22" t="n">
        <x:f>MAX(0,MIN('Activities'!L272,306)-MAX('Activities'!K272,300))</x:f>
        <x:v>0</x:v>
      </x:c>
      <x:c r="BD272" s="22" t="n">
        <x:f>MAX(0,MIN('Activities'!L272,312)-MAX('Activities'!K272,306))</x:f>
        <x:v>0</x:v>
      </x:c>
      <x:c r="BE272" s="22" t="n">
        <x:f>MAX(0,MIN('Activities'!L272,318)-MAX('Activities'!K272,312))</x:f>
        <x:v>0</x:v>
      </x:c>
      <x:c r="BF272" s="22" t="n">
        <x:f>MAX(0,MIN('Activities'!L272,324)-MAX('Activities'!K272,318))</x:f>
        <x:v>0</x:v>
      </x:c>
      <x:c r="BG272" s="22" t="n">
        <x:f>MAX(0,MIN('Activities'!L272,330)-MAX('Activities'!K272,324))</x:f>
        <x:v>0</x:v>
      </x:c>
      <x:c r="BH272" s="22" t="n">
        <x:f>MAX(0,MIN('Activities'!L272,336)-MAX('Activities'!K272,330))</x:f>
        <x:v>0</x:v>
      </x:c>
      <x:c r="BI272" s="22" t="n">
        <x:f>MAX(0,MIN('Activities'!L272,342)-MAX('Activities'!K272,336))</x:f>
        <x:v>0</x:v>
      </x:c>
      <x:c r="BJ272" s="22" t="n">
        <x:f>MAX(0,MIN('Activities'!L272,348)-MAX('Activities'!K272,342))</x:f>
        <x:v>0</x:v>
      </x:c>
      <x:c r="BK272" s="22" t="n">
        <x:f>MAX(0,MIN('Activities'!L272,354)-MAX('Activities'!K272,348))</x:f>
        <x:v>0</x:v>
      </x:c>
      <x:c r="BL272" s="22" t="n">
        <x:f>MAX(0,MIN('Activities'!L272,360)-MAX('Activities'!K272,354))</x:f>
        <x:v>0</x:v>
      </x:c>
      <x:c r="BM272" s="22" t="n">
        <x:f>MAX(0,MIN('Activities'!L272,366)-MAX('Activities'!K272,360))</x:f>
        <x:v>0</x:v>
      </x:c>
      <x:c r="BN272" s="22" t="n">
        <x:f>MAX(0,MIN('Activities'!L272,372)-MAX('Activities'!K272,366))</x:f>
        <x:v>0</x:v>
      </x:c>
      <x:c r="BO272" s="22" t="n">
        <x:f>MAX(0,MIN('Activities'!L272,378)-MAX('Activities'!K272,372))</x:f>
        <x:v>0</x:v>
      </x:c>
      <x:c r="BP272" s="22" t="n">
        <x:f>MAX(0,MIN('Activities'!L272,384)-MAX('Activities'!K272,378))</x:f>
        <x:v>0</x:v>
      </x:c>
      <x:c r="BQ272" s="22" t="n">
        <x:f>MAX(0,MIN('Activities'!L272,390)-MAX('Activities'!K272,384))</x:f>
        <x:v>0</x:v>
      </x:c>
      <x:c r="BR272" s="22" t="n">
        <x:f>MAX(0,MIN('Activities'!L272,396)-MAX('Activities'!K272,390))</x:f>
        <x:v>0</x:v>
      </x:c>
      <x:c r="BS272" s="22" t="n">
        <x:f>MAX(0,MIN('Activities'!L272,402)-MAX('Activities'!K272,396))</x:f>
        <x:v>1</x:v>
      </x:c>
      <x:c r="BT272" s="22" t="n">
        <x:f>MAX(0,MIN('Activities'!L272,408)-MAX('Activities'!K272,402))</x:f>
        <x:v>2</x:v>
      </x:c>
      <x:c r="BU272" s="22" t="n">
        <x:f>MAX(0,MIN('Activities'!L272,414)-MAX('Activities'!K272,408))</x:f>
        <x:v>0</x:v>
      </x:c>
      <x:c r="BV272" s="22" t="n">
        <x:f>MAX(0,MIN('Activities'!L272,420)-MAX('Activities'!K272,414))</x:f>
        <x:v>0</x:v>
      </x:c>
      <x:c r="BW272" s="22" t="n">
        <x:f>MAX(0,MIN('Activities'!L272,426)-MAX('Activities'!K272,420))</x:f>
        <x:v>0</x:v>
      </x:c>
      <x:c r="BX272" s="22" t="n">
        <x:f>MAX(0,MIN('Activities'!L272,432)-MAX('Activities'!K272,426))</x:f>
        <x:v>0</x:v>
      </x:c>
      <x:c r="BY272" s="22" t="n">
        <x:f>MAX(0,MIN('Activities'!L272,438)-MAX('Activities'!K272,432))</x:f>
        <x:v>0</x:v>
      </x:c>
      <x:c r="BZ272" s="22" t="n">
        <x:f>MAX(0,MIN('Activities'!L272,444)-MAX('Activities'!K272,438))</x:f>
        <x:v>0</x:v>
      </x:c>
      <x:c r="CA272" s="22" t="n">
        <x:f>MAX(0,MIN('Activities'!L272,450)-MAX('Activities'!K272,444))</x:f>
        <x:v>0</x:v>
      </x:c>
      <x:c r="CB272" s="22" t="n">
        <x:f>MAX(0,MIN('Activities'!L272,456)-MAX('Activities'!K272,450))</x:f>
        <x:v>0</x:v>
      </x:c>
      <x:c r="CC272" s="22" t="n">
        <x:f>MAX(0,MIN('Activities'!L272,462)-MAX('Activities'!K272,456))</x:f>
        <x:v>0</x:v>
      </x:c>
      <x:c r="CD272" s="22" t="n">
        <x:f>MAX(0,MIN('Activities'!L272,468)-MAX('Activities'!K272,462))</x:f>
        <x:v>0</x:v>
      </x:c>
      <x:c r="CE272" s="22" t="n">
        <x:f>MAX(0,MIN('Activities'!L272,474)-MAX('Activities'!K272,468))</x:f>
        <x:v>0</x:v>
      </x:c>
      <x:c r="CF272" s="22" t="n">
        <x:f>MAX(0,MIN('Activities'!L272,480)-MAX('Activities'!K272,474))</x:f>
        <x:v>0</x:v>
      </x:c>
      <x:c r="CG272" s="22" t="n">
        <x:f>MAX(0,MIN('Activities'!L272,486)-MAX('Activities'!K272,480))</x:f>
        <x:v>0</x:v>
      </x:c>
      <x:c r="CH272" s="22" t="n">
        <x:f>MAX(0,MIN('Activities'!L272,492)-MAX('Activities'!K272,486))</x:f>
        <x:v>0</x:v>
      </x:c>
      <x:c r="CI272" s="22" t="n">
        <x:f>MAX(0,MIN('Activities'!L272,498)-MAX('Activities'!K272,492))</x:f>
        <x:v>0</x:v>
      </x:c>
      <x:c r="CJ272" s="22" t="n">
        <x:f>MAX(0,MIN('Activities'!L272,504)-MAX('Activities'!K272,498))</x:f>
        <x:v>0</x:v>
      </x:c>
      <x:c r="CK272" s="22" t="n">
        <x:f>MAX(0,MIN('Activities'!L272,510)-MAX('Activities'!K272,504))</x:f>
        <x:v>0</x:v>
      </x:c>
      <x:c r="CL272" s="22" t="n">
        <x:f>MAX(0,MIN('Activities'!L272,516)-MAX('Activities'!K272,510))</x:f>
        <x:v>0</x:v>
      </x:c>
      <x:c r="CM272" s="22" t="n">
        <x:f>MAX(0,MIN('Activities'!L272,522)-MAX('Activities'!K272,516))</x:f>
        <x:v>0</x:v>
      </x:c>
      <x:c r="CN272" s="22" t="n">
        <x:f>MAX(0,MIN('Activities'!L272,528)-MAX('Activities'!K272,522))</x:f>
        <x:v>0</x:v>
      </x:c>
      <x:c r="CO272" s="22" t="n">
        <x:f>MAX(0,MIN('Activities'!L272,534)-MAX('Activities'!K272,528))</x:f>
        <x:v>0</x:v>
      </x:c>
      <x:c r="CP272" s="22" t="n">
        <x:f>MAX(0,MIN('Activities'!L272,540)-MAX('Activities'!K272,534))</x:f>
        <x:v>0</x:v>
      </x:c>
      <x:c r="CQ272" s="22" t="n">
        <x:f>MAX(0,MIN('Activities'!L272,546)-MAX('Activities'!K272,540))</x:f>
        <x:v>0</x:v>
      </x:c>
      <x:c r="CR272" s="22" t="n">
        <x:f>MAX(0,MIN('Activities'!L272,552)-MAX('Activities'!K272,546))</x:f>
        <x:v>0</x:v>
      </x:c>
      <x:c r="CS272" s="22" t="n">
        <x:f>MAX(0,MIN('Activities'!L272,558)-MAX('Activities'!K272,552))</x:f>
        <x:v>0</x:v>
      </x:c>
      <x:c r="CT272" s="22" t="n">
        <x:f>MAX(0,MIN('Activities'!L272,564)-MAX('Activities'!K272,558))</x:f>
        <x:v>0</x:v>
      </x:c>
      <x:c r="CU272" s="22" t="n">
        <x:f>MAX(0,MIN('Activities'!L272,570)-MAX('Activities'!K272,564))</x:f>
        <x:v>0</x:v>
      </x:c>
      <x:c r="CV272" s="22" t="n">
        <x:f>MAX(0,MIN('Activities'!L272,576)-MAX('Activities'!K272,570))</x:f>
        <x:v>0</x:v>
      </x:c>
      <x:c r="CW272" s="22" t="n">
        <x:f>MAX(0,MIN('Activities'!L272,582)-MAX('Activities'!K272,576))</x:f>
        <x:v>0</x:v>
      </x:c>
      <x:c r="CX272" s="22" t="n">
        <x:f>MAX(0,MIN('Activities'!L272,588)-MAX('Activities'!K272,582))</x:f>
        <x:v>0</x:v>
      </x:c>
      <x:c r="CY272" s="22" t="n">
        <x:f>MAX(0,MIN('Activities'!L272,594)-MAX('Activities'!K272,588))</x:f>
        <x:v>0</x:v>
      </x:c>
      <x:c r="CZ272" s="22" t="n">
        <x:f>MAX(0,MIN('Activities'!L272,600)-MAX('Activities'!K272,594))</x:f>
        <x:v>0</x:v>
      </x:c>
      <x:c r="DA272" s="22" t="n">
        <x:f>MAX(0,MIN('Activities'!L272,606)-MAX('Activities'!K272,600))</x:f>
        <x:v>0</x:v>
      </x:c>
      <x:c r="DB272" s="22" t="n">
        <x:f>MAX(0,MIN('Activities'!L272,612)-MAX('Activities'!K272,606))</x:f>
        <x:v>0</x:v>
      </x:c>
      <x:c r="DC272" s="22" t="n">
        <x:f>MAX(0,MIN('Activities'!L272,618)-MAX('Activities'!K272,612))</x:f>
        <x:v>0</x:v>
      </x:c>
      <x:c r="DD272" s="22" t="n">
        <x:f>MAX(0,MIN('Activities'!L272,624)-MAX('Activities'!K272,618))</x:f>
        <x:v>0</x:v>
      </x:c>
      <x:c r="DE272" s="22" t="n">
        <x:f>MAX(0,MIN('Activities'!L272,630)-MAX('Activities'!K272,624))</x:f>
        <x:v>0</x:v>
      </x:c>
      <x:c r="DF272" s="22" t="n">
        <x:f>MAX(0,MIN('Activities'!L272,636)-MAX('Activities'!K272,630))</x:f>
        <x:v>0</x:v>
      </x:c>
    </x:row>
    <x:row r="273" ht="23" customHeight="1">
      <x:c r="A273" s="1" t="str">
        <x:v>T2-L11-T</x:v>
      </x:c>
      <x:c r="B273" s="1" t="str">
        <x:v>T2</x:v>
      </x:c>
      <x:c r="C273" s="1" t="str">
        <x:v>Floor finishes and skirtings</x:v>
      </x:c>
      <x:c r="D273" s="1" t="str">
        <x:v>Finishes</x:v>
      </x:c>
      <x:c r="E273" s="23" t="n">
        <x:f>MAX(0,MIN('Activities'!L273,6)-MAX('Activities'!K273,0))</x:f>
        <x:v>0</x:v>
      </x:c>
      <x:c r="F273" s="23" t="n">
        <x:f>MAX(0,MIN('Activities'!L273,12)-MAX('Activities'!K273,6))</x:f>
        <x:v>0</x:v>
      </x:c>
      <x:c r="G273" s="23" t="n">
        <x:f>MAX(0,MIN('Activities'!L273,18)-MAX('Activities'!K273,12))</x:f>
        <x:v>0</x:v>
      </x:c>
      <x:c r="H273" s="23" t="n">
        <x:f>MAX(0,MIN('Activities'!L273,24)-MAX('Activities'!K273,18))</x:f>
        <x:v>0</x:v>
      </x:c>
      <x:c r="I273" s="23" t="n">
        <x:f>MAX(0,MIN('Activities'!L273,30)-MAX('Activities'!K273,24))</x:f>
        <x:v>0</x:v>
      </x:c>
      <x:c r="J273" s="23" t="n">
        <x:f>MAX(0,MIN('Activities'!L273,36)-MAX('Activities'!K273,30))</x:f>
        <x:v>0</x:v>
      </x:c>
      <x:c r="K273" s="23" t="n">
        <x:f>MAX(0,MIN('Activities'!L273,42)-MAX('Activities'!K273,36))</x:f>
        <x:v>0</x:v>
      </x:c>
      <x:c r="L273" s="23" t="n">
        <x:f>MAX(0,MIN('Activities'!L273,48)-MAX('Activities'!K273,42))</x:f>
        <x:v>0</x:v>
      </x:c>
      <x:c r="M273" s="23" t="n">
        <x:f>MAX(0,MIN('Activities'!L273,54)-MAX('Activities'!K273,48))</x:f>
        <x:v>0</x:v>
      </x:c>
      <x:c r="N273" s="23" t="n">
        <x:f>MAX(0,MIN('Activities'!L273,60)-MAX('Activities'!K273,54))</x:f>
        <x:v>0</x:v>
      </x:c>
      <x:c r="O273" s="23" t="n">
        <x:f>MAX(0,MIN('Activities'!L273,66)-MAX('Activities'!K273,60))</x:f>
        <x:v>0</x:v>
      </x:c>
      <x:c r="P273" s="23" t="n">
        <x:f>MAX(0,MIN('Activities'!L273,72)-MAX('Activities'!K273,66))</x:f>
        <x:v>0</x:v>
      </x:c>
      <x:c r="Q273" s="23" t="n">
        <x:f>MAX(0,MIN('Activities'!L273,78)-MAX('Activities'!K273,72))</x:f>
        <x:v>0</x:v>
      </x:c>
      <x:c r="R273" s="23" t="n">
        <x:f>MAX(0,MIN('Activities'!L273,84)-MAX('Activities'!K273,78))</x:f>
        <x:v>0</x:v>
      </x:c>
      <x:c r="S273" s="23" t="n">
        <x:f>MAX(0,MIN('Activities'!L273,90)-MAX('Activities'!K273,84))</x:f>
        <x:v>0</x:v>
      </x:c>
      <x:c r="T273" s="23" t="n">
        <x:f>MAX(0,MIN('Activities'!L273,96)-MAX('Activities'!K273,90))</x:f>
        <x:v>0</x:v>
      </x:c>
      <x:c r="U273" s="23" t="n">
        <x:f>MAX(0,MIN('Activities'!L273,102)-MAX('Activities'!K273,96))</x:f>
        <x:v>0</x:v>
      </x:c>
      <x:c r="V273" s="23" t="n">
        <x:f>MAX(0,MIN('Activities'!L273,108)-MAX('Activities'!K273,102))</x:f>
        <x:v>0</x:v>
      </x:c>
      <x:c r="W273" s="23" t="n">
        <x:f>MAX(0,MIN('Activities'!L273,114)-MAX('Activities'!K273,108))</x:f>
        <x:v>0</x:v>
      </x:c>
      <x:c r="X273" s="23" t="n">
        <x:f>MAX(0,MIN('Activities'!L273,120)-MAX('Activities'!K273,114))</x:f>
        <x:v>0</x:v>
      </x:c>
      <x:c r="Y273" s="23" t="n">
        <x:f>MAX(0,MIN('Activities'!L273,126)-MAX('Activities'!K273,120))</x:f>
        <x:v>0</x:v>
      </x:c>
      <x:c r="Z273" s="23" t="n">
        <x:f>MAX(0,MIN('Activities'!L273,132)-MAX('Activities'!K273,126))</x:f>
        <x:v>0</x:v>
      </x:c>
      <x:c r="AA273" s="23" t="n">
        <x:f>MAX(0,MIN('Activities'!L273,138)-MAX('Activities'!K273,132))</x:f>
        <x:v>0</x:v>
      </x:c>
      <x:c r="AB273" s="23" t="n">
        <x:f>MAX(0,MIN('Activities'!L273,144)-MAX('Activities'!K273,138))</x:f>
        <x:v>0</x:v>
      </x:c>
      <x:c r="AC273" s="23" t="n">
        <x:f>MAX(0,MIN('Activities'!L273,150)-MAX('Activities'!K273,144))</x:f>
        <x:v>0</x:v>
      </x:c>
      <x:c r="AD273" s="23" t="n">
        <x:f>MAX(0,MIN('Activities'!L273,156)-MAX('Activities'!K273,150))</x:f>
        <x:v>0</x:v>
      </x:c>
      <x:c r="AE273" s="23" t="n">
        <x:f>MAX(0,MIN('Activities'!L273,162)-MAX('Activities'!K273,156))</x:f>
        <x:v>0</x:v>
      </x:c>
      <x:c r="AF273" s="23" t="n">
        <x:f>MAX(0,MIN('Activities'!L273,168)-MAX('Activities'!K273,162))</x:f>
        <x:v>0</x:v>
      </x:c>
      <x:c r="AG273" s="23" t="n">
        <x:f>MAX(0,MIN('Activities'!L273,174)-MAX('Activities'!K273,168))</x:f>
        <x:v>0</x:v>
      </x:c>
      <x:c r="AH273" s="23" t="n">
        <x:f>MAX(0,MIN('Activities'!L273,180)-MAX('Activities'!K273,174))</x:f>
        <x:v>0</x:v>
      </x:c>
      <x:c r="AI273" s="23" t="n">
        <x:f>MAX(0,MIN('Activities'!L273,186)-MAX('Activities'!K273,180))</x:f>
        <x:v>0</x:v>
      </x:c>
      <x:c r="AJ273" s="23" t="n">
        <x:f>MAX(0,MIN('Activities'!L273,192)-MAX('Activities'!K273,186))</x:f>
        <x:v>0</x:v>
      </x:c>
      <x:c r="AK273" s="23" t="n">
        <x:f>MAX(0,MIN('Activities'!L273,198)-MAX('Activities'!K273,192))</x:f>
        <x:v>0</x:v>
      </x:c>
      <x:c r="AL273" s="23" t="n">
        <x:f>MAX(0,MIN('Activities'!L273,204)-MAX('Activities'!K273,198))</x:f>
        <x:v>0</x:v>
      </x:c>
      <x:c r="AM273" s="23" t="n">
        <x:f>MAX(0,MIN('Activities'!L273,210)-MAX('Activities'!K273,204))</x:f>
        <x:v>0</x:v>
      </x:c>
      <x:c r="AN273" s="23" t="n">
        <x:f>MAX(0,MIN('Activities'!L273,216)-MAX('Activities'!K273,210))</x:f>
        <x:v>0</x:v>
      </x:c>
      <x:c r="AO273" s="23" t="n">
        <x:f>MAX(0,MIN('Activities'!L273,222)-MAX('Activities'!K273,216))</x:f>
        <x:v>0</x:v>
      </x:c>
      <x:c r="AP273" s="23" t="n">
        <x:f>MAX(0,MIN('Activities'!L273,228)-MAX('Activities'!K273,222))</x:f>
        <x:v>0</x:v>
      </x:c>
      <x:c r="AQ273" s="23" t="n">
        <x:f>MAX(0,MIN('Activities'!L273,234)-MAX('Activities'!K273,228))</x:f>
        <x:v>0</x:v>
      </x:c>
      <x:c r="AR273" s="23" t="n">
        <x:f>MAX(0,MIN('Activities'!L273,240)-MAX('Activities'!K273,234))</x:f>
        <x:v>0</x:v>
      </x:c>
      <x:c r="AS273" s="23" t="n">
        <x:f>MAX(0,MIN('Activities'!L273,246)-MAX('Activities'!K273,240))</x:f>
        <x:v>0</x:v>
      </x:c>
      <x:c r="AT273" s="23" t="n">
        <x:f>MAX(0,MIN('Activities'!L273,252)-MAX('Activities'!K273,246))</x:f>
        <x:v>0</x:v>
      </x:c>
      <x:c r="AU273" s="23" t="n">
        <x:f>MAX(0,MIN('Activities'!L273,258)-MAX('Activities'!K273,252))</x:f>
        <x:v>0</x:v>
      </x:c>
      <x:c r="AV273" s="23" t="n">
        <x:f>MAX(0,MIN('Activities'!L273,264)-MAX('Activities'!K273,258))</x:f>
        <x:v>0</x:v>
      </x:c>
      <x:c r="AW273" s="23" t="n">
        <x:f>MAX(0,MIN('Activities'!L273,270)-MAX('Activities'!K273,264))</x:f>
        <x:v>0</x:v>
      </x:c>
      <x:c r="AX273" s="23" t="n">
        <x:f>MAX(0,MIN('Activities'!L273,276)-MAX('Activities'!K273,270))</x:f>
        <x:v>0</x:v>
      </x:c>
      <x:c r="AY273" s="23" t="n">
        <x:f>MAX(0,MIN('Activities'!L273,282)-MAX('Activities'!K273,276))</x:f>
        <x:v>0</x:v>
      </x:c>
      <x:c r="AZ273" s="23" t="n">
        <x:f>MAX(0,MIN('Activities'!L273,288)-MAX('Activities'!K273,282))</x:f>
        <x:v>0</x:v>
      </x:c>
      <x:c r="BA273" s="23" t="n">
        <x:f>MAX(0,MIN('Activities'!L273,294)-MAX('Activities'!K273,288))</x:f>
        <x:v>0</x:v>
      </x:c>
      <x:c r="BB273" s="23" t="n">
        <x:f>MAX(0,MIN('Activities'!L273,300)-MAX('Activities'!K273,294))</x:f>
        <x:v>0</x:v>
      </x:c>
      <x:c r="BC273" s="23" t="n">
        <x:f>MAX(0,MIN('Activities'!L273,306)-MAX('Activities'!K273,300))</x:f>
        <x:v>0</x:v>
      </x:c>
      <x:c r="BD273" s="23" t="n">
        <x:f>MAX(0,MIN('Activities'!L273,312)-MAX('Activities'!K273,306))</x:f>
        <x:v>0</x:v>
      </x:c>
      <x:c r="BE273" s="23" t="n">
        <x:f>MAX(0,MIN('Activities'!L273,318)-MAX('Activities'!K273,312))</x:f>
        <x:v>0</x:v>
      </x:c>
      <x:c r="BF273" s="23" t="n">
        <x:f>MAX(0,MIN('Activities'!L273,324)-MAX('Activities'!K273,318))</x:f>
        <x:v>0</x:v>
      </x:c>
      <x:c r="BG273" s="23" t="n">
        <x:f>MAX(0,MIN('Activities'!L273,330)-MAX('Activities'!K273,324))</x:f>
        <x:v>0</x:v>
      </x:c>
      <x:c r="BH273" s="23" t="n">
        <x:f>MAX(0,MIN('Activities'!L273,336)-MAX('Activities'!K273,330))</x:f>
        <x:v>0</x:v>
      </x:c>
      <x:c r="BI273" s="23" t="n">
        <x:f>MAX(0,MIN('Activities'!L273,342)-MAX('Activities'!K273,336))</x:f>
        <x:v>0</x:v>
      </x:c>
      <x:c r="BJ273" s="23" t="n">
        <x:f>MAX(0,MIN('Activities'!L273,348)-MAX('Activities'!K273,342))</x:f>
        <x:v>0</x:v>
      </x:c>
      <x:c r="BK273" s="23" t="n">
        <x:f>MAX(0,MIN('Activities'!L273,354)-MAX('Activities'!K273,348))</x:f>
        <x:v>0</x:v>
      </x:c>
      <x:c r="BL273" s="23" t="n">
        <x:f>MAX(0,MIN('Activities'!L273,360)-MAX('Activities'!K273,354))</x:f>
        <x:v>0</x:v>
      </x:c>
      <x:c r="BM273" s="23" t="n">
        <x:f>MAX(0,MIN('Activities'!L273,366)-MAX('Activities'!K273,360))</x:f>
        <x:v>0</x:v>
      </x:c>
      <x:c r="BN273" s="23" t="n">
        <x:f>MAX(0,MIN('Activities'!L273,372)-MAX('Activities'!K273,366))</x:f>
        <x:v>0</x:v>
      </x:c>
      <x:c r="BO273" s="23" t="n">
        <x:f>MAX(0,MIN('Activities'!L273,378)-MAX('Activities'!K273,372))</x:f>
        <x:v>0</x:v>
      </x:c>
      <x:c r="BP273" s="23" t="n">
        <x:f>MAX(0,MIN('Activities'!L273,384)-MAX('Activities'!K273,378))</x:f>
        <x:v>0</x:v>
      </x:c>
      <x:c r="BQ273" s="23" t="n">
        <x:f>MAX(0,MIN('Activities'!L273,390)-MAX('Activities'!K273,384))</x:f>
        <x:v>0</x:v>
      </x:c>
      <x:c r="BR273" s="23" t="n">
        <x:f>MAX(0,MIN('Activities'!L273,396)-MAX('Activities'!K273,390))</x:f>
        <x:v>0</x:v>
      </x:c>
      <x:c r="BS273" s="23" t="n">
        <x:f>MAX(0,MIN('Activities'!L273,402)-MAX('Activities'!K273,396))</x:f>
        <x:v>0</x:v>
      </x:c>
      <x:c r="BT273" s="23" t="n">
        <x:f>MAX(0,MIN('Activities'!L273,408)-MAX('Activities'!K273,402))</x:f>
        <x:v>0</x:v>
      </x:c>
      <x:c r="BU273" s="23" t="n">
        <x:f>MAX(0,MIN('Activities'!L273,414)-MAX('Activities'!K273,408))</x:f>
        <x:v>0</x:v>
      </x:c>
      <x:c r="BV273" s="23" t="n">
        <x:f>MAX(0,MIN('Activities'!L273,420)-MAX('Activities'!K273,414))</x:f>
        <x:v>2</x:v>
      </x:c>
      <x:c r="BW273" s="23" t="n">
        <x:f>MAX(0,MIN('Activities'!L273,426)-MAX('Activities'!K273,420))</x:f>
        <x:v>4</x:v>
      </x:c>
      <x:c r="BX273" s="23" t="n">
        <x:f>MAX(0,MIN('Activities'!L273,432)-MAX('Activities'!K273,426))</x:f>
        <x:v>0</x:v>
      </x:c>
      <x:c r="BY273" s="23" t="n">
        <x:f>MAX(0,MIN('Activities'!L273,438)-MAX('Activities'!K273,432))</x:f>
        <x:v>0</x:v>
      </x:c>
      <x:c r="BZ273" s="23" t="n">
        <x:f>MAX(0,MIN('Activities'!L273,444)-MAX('Activities'!K273,438))</x:f>
        <x:v>0</x:v>
      </x:c>
      <x:c r="CA273" s="23" t="n">
        <x:f>MAX(0,MIN('Activities'!L273,450)-MAX('Activities'!K273,444))</x:f>
        <x:v>0</x:v>
      </x:c>
      <x:c r="CB273" s="23" t="n">
        <x:f>MAX(0,MIN('Activities'!L273,456)-MAX('Activities'!K273,450))</x:f>
        <x:v>0</x:v>
      </x:c>
      <x:c r="CC273" s="23" t="n">
        <x:f>MAX(0,MIN('Activities'!L273,462)-MAX('Activities'!K273,456))</x:f>
        <x:v>0</x:v>
      </x:c>
      <x:c r="CD273" s="23" t="n">
        <x:f>MAX(0,MIN('Activities'!L273,468)-MAX('Activities'!K273,462))</x:f>
        <x:v>0</x:v>
      </x:c>
      <x:c r="CE273" s="23" t="n">
        <x:f>MAX(0,MIN('Activities'!L273,474)-MAX('Activities'!K273,468))</x:f>
        <x:v>0</x:v>
      </x:c>
      <x:c r="CF273" s="23" t="n">
        <x:f>MAX(0,MIN('Activities'!L273,480)-MAX('Activities'!K273,474))</x:f>
        <x:v>0</x:v>
      </x:c>
      <x:c r="CG273" s="23" t="n">
        <x:f>MAX(0,MIN('Activities'!L273,486)-MAX('Activities'!K273,480))</x:f>
        <x:v>0</x:v>
      </x:c>
      <x:c r="CH273" s="23" t="n">
        <x:f>MAX(0,MIN('Activities'!L273,492)-MAX('Activities'!K273,486))</x:f>
        <x:v>0</x:v>
      </x:c>
      <x:c r="CI273" s="23" t="n">
        <x:f>MAX(0,MIN('Activities'!L273,498)-MAX('Activities'!K273,492))</x:f>
        <x:v>0</x:v>
      </x:c>
      <x:c r="CJ273" s="23" t="n">
        <x:f>MAX(0,MIN('Activities'!L273,504)-MAX('Activities'!K273,498))</x:f>
        <x:v>0</x:v>
      </x:c>
      <x:c r="CK273" s="23" t="n">
        <x:f>MAX(0,MIN('Activities'!L273,510)-MAX('Activities'!K273,504))</x:f>
        <x:v>0</x:v>
      </x:c>
      <x:c r="CL273" s="23" t="n">
        <x:f>MAX(0,MIN('Activities'!L273,516)-MAX('Activities'!K273,510))</x:f>
        <x:v>0</x:v>
      </x:c>
      <x:c r="CM273" s="23" t="n">
        <x:f>MAX(0,MIN('Activities'!L273,522)-MAX('Activities'!K273,516))</x:f>
        <x:v>0</x:v>
      </x:c>
      <x:c r="CN273" s="23" t="n">
        <x:f>MAX(0,MIN('Activities'!L273,528)-MAX('Activities'!K273,522))</x:f>
        <x:v>0</x:v>
      </x:c>
      <x:c r="CO273" s="23" t="n">
        <x:f>MAX(0,MIN('Activities'!L273,534)-MAX('Activities'!K273,528))</x:f>
        <x:v>0</x:v>
      </x:c>
      <x:c r="CP273" s="23" t="n">
        <x:f>MAX(0,MIN('Activities'!L273,540)-MAX('Activities'!K273,534))</x:f>
        <x:v>0</x:v>
      </x:c>
      <x:c r="CQ273" s="23" t="n">
        <x:f>MAX(0,MIN('Activities'!L273,546)-MAX('Activities'!K273,540))</x:f>
        <x:v>0</x:v>
      </x:c>
      <x:c r="CR273" s="23" t="n">
        <x:f>MAX(0,MIN('Activities'!L273,552)-MAX('Activities'!K273,546))</x:f>
        <x:v>0</x:v>
      </x:c>
      <x:c r="CS273" s="23" t="n">
        <x:f>MAX(0,MIN('Activities'!L273,558)-MAX('Activities'!K273,552))</x:f>
        <x:v>0</x:v>
      </x:c>
      <x:c r="CT273" s="23" t="n">
        <x:f>MAX(0,MIN('Activities'!L273,564)-MAX('Activities'!K273,558))</x:f>
        <x:v>0</x:v>
      </x:c>
      <x:c r="CU273" s="23" t="n">
        <x:f>MAX(0,MIN('Activities'!L273,570)-MAX('Activities'!K273,564))</x:f>
        <x:v>0</x:v>
      </x:c>
      <x:c r="CV273" s="23" t="n">
        <x:f>MAX(0,MIN('Activities'!L273,576)-MAX('Activities'!K273,570))</x:f>
        <x:v>0</x:v>
      </x:c>
      <x:c r="CW273" s="23" t="n">
        <x:f>MAX(0,MIN('Activities'!L273,582)-MAX('Activities'!K273,576))</x:f>
        <x:v>0</x:v>
      </x:c>
      <x:c r="CX273" s="23" t="n">
        <x:f>MAX(0,MIN('Activities'!L273,588)-MAX('Activities'!K273,582))</x:f>
        <x:v>0</x:v>
      </x:c>
      <x:c r="CY273" s="23" t="n">
        <x:f>MAX(0,MIN('Activities'!L273,594)-MAX('Activities'!K273,588))</x:f>
        <x:v>0</x:v>
      </x:c>
      <x:c r="CZ273" s="23" t="n">
        <x:f>MAX(0,MIN('Activities'!L273,600)-MAX('Activities'!K273,594))</x:f>
        <x:v>0</x:v>
      </x:c>
      <x:c r="DA273" s="23" t="n">
        <x:f>MAX(0,MIN('Activities'!L273,606)-MAX('Activities'!K273,600))</x:f>
        <x:v>0</x:v>
      </x:c>
      <x:c r="DB273" s="23" t="n">
        <x:f>MAX(0,MIN('Activities'!L273,612)-MAX('Activities'!K273,606))</x:f>
        <x:v>0</x:v>
      </x:c>
      <x:c r="DC273" s="23" t="n">
        <x:f>MAX(0,MIN('Activities'!L273,618)-MAX('Activities'!K273,612))</x:f>
        <x:v>0</x:v>
      </x:c>
      <x:c r="DD273" s="23" t="n">
        <x:f>MAX(0,MIN('Activities'!L273,624)-MAX('Activities'!K273,618))</x:f>
        <x:v>0</x:v>
      </x:c>
      <x:c r="DE273" s="23" t="n">
        <x:f>MAX(0,MIN('Activities'!L273,630)-MAX('Activities'!K273,624))</x:f>
        <x:v>0</x:v>
      </x:c>
      <x:c r="DF273" s="23" t="n">
        <x:f>MAX(0,MIN('Activities'!L273,636)-MAX('Activities'!K273,630))</x:f>
        <x:v>0</x:v>
      </x:c>
    </x:row>
    <x:row r="274" ht="23" customHeight="1">
      <x:c r="A274" s="6" t="str">
        <x:v>T2-L11-A</x:v>
      </x:c>
      <x:c r="B274" s="6" t="str">
        <x:v>T2</x:v>
      </x:c>
      <x:c r="C274" s="6" t="str">
        <x:v>Paint and final decorations</x:v>
      </x:c>
      <x:c r="D274" s="6" t="str">
        <x:v>Finishes</x:v>
      </x:c>
      <x:c r="E274" s="22" t="n">
        <x:f>MAX(0,MIN('Activities'!L274,6)-MAX('Activities'!K274,0))</x:f>
        <x:v>0</x:v>
      </x:c>
      <x:c r="F274" s="22" t="n">
        <x:f>MAX(0,MIN('Activities'!L274,12)-MAX('Activities'!K274,6))</x:f>
        <x:v>0</x:v>
      </x:c>
      <x:c r="G274" s="22" t="n">
        <x:f>MAX(0,MIN('Activities'!L274,18)-MAX('Activities'!K274,12))</x:f>
        <x:v>0</x:v>
      </x:c>
      <x:c r="H274" s="22" t="n">
        <x:f>MAX(0,MIN('Activities'!L274,24)-MAX('Activities'!K274,18))</x:f>
        <x:v>0</x:v>
      </x:c>
      <x:c r="I274" s="22" t="n">
        <x:f>MAX(0,MIN('Activities'!L274,30)-MAX('Activities'!K274,24))</x:f>
        <x:v>0</x:v>
      </x:c>
      <x:c r="J274" s="22" t="n">
        <x:f>MAX(0,MIN('Activities'!L274,36)-MAX('Activities'!K274,30))</x:f>
        <x:v>0</x:v>
      </x:c>
      <x:c r="K274" s="22" t="n">
        <x:f>MAX(0,MIN('Activities'!L274,42)-MAX('Activities'!K274,36))</x:f>
        <x:v>0</x:v>
      </x:c>
      <x:c r="L274" s="22" t="n">
        <x:f>MAX(0,MIN('Activities'!L274,48)-MAX('Activities'!K274,42))</x:f>
        <x:v>0</x:v>
      </x:c>
      <x:c r="M274" s="22" t="n">
        <x:f>MAX(0,MIN('Activities'!L274,54)-MAX('Activities'!K274,48))</x:f>
        <x:v>0</x:v>
      </x:c>
      <x:c r="N274" s="22" t="n">
        <x:f>MAX(0,MIN('Activities'!L274,60)-MAX('Activities'!K274,54))</x:f>
        <x:v>0</x:v>
      </x:c>
      <x:c r="O274" s="22" t="n">
        <x:f>MAX(0,MIN('Activities'!L274,66)-MAX('Activities'!K274,60))</x:f>
        <x:v>0</x:v>
      </x:c>
      <x:c r="P274" s="22" t="n">
        <x:f>MAX(0,MIN('Activities'!L274,72)-MAX('Activities'!K274,66))</x:f>
        <x:v>0</x:v>
      </x:c>
      <x:c r="Q274" s="22" t="n">
        <x:f>MAX(0,MIN('Activities'!L274,78)-MAX('Activities'!K274,72))</x:f>
        <x:v>0</x:v>
      </x:c>
      <x:c r="R274" s="22" t="n">
        <x:f>MAX(0,MIN('Activities'!L274,84)-MAX('Activities'!K274,78))</x:f>
        <x:v>0</x:v>
      </x:c>
      <x:c r="S274" s="22" t="n">
        <x:f>MAX(0,MIN('Activities'!L274,90)-MAX('Activities'!K274,84))</x:f>
        <x:v>0</x:v>
      </x:c>
      <x:c r="T274" s="22" t="n">
        <x:f>MAX(0,MIN('Activities'!L274,96)-MAX('Activities'!K274,90))</x:f>
        <x:v>0</x:v>
      </x:c>
      <x:c r="U274" s="22" t="n">
        <x:f>MAX(0,MIN('Activities'!L274,102)-MAX('Activities'!K274,96))</x:f>
        <x:v>0</x:v>
      </x:c>
      <x:c r="V274" s="22" t="n">
        <x:f>MAX(0,MIN('Activities'!L274,108)-MAX('Activities'!K274,102))</x:f>
        <x:v>0</x:v>
      </x:c>
      <x:c r="W274" s="22" t="n">
        <x:f>MAX(0,MIN('Activities'!L274,114)-MAX('Activities'!K274,108))</x:f>
        <x:v>0</x:v>
      </x:c>
      <x:c r="X274" s="22" t="n">
        <x:f>MAX(0,MIN('Activities'!L274,120)-MAX('Activities'!K274,114))</x:f>
        <x:v>0</x:v>
      </x:c>
      <x:c r="Y274" s="22" t="n">
        <x:f>MAX(0,MIN('Activities'!L274,126)-MAX('Activities'!K274,120))</x:f>
        <x:v>0</x:v>
      </x:c>
      <x:c r="Z274" s="22" t="n">
        <x:f>MAX(0,MIN('Activities'!L274,132)-MAX('Activities'!K274,126))</x:f>
        <x:v>0</x:v>
      </x:c>
      <x:c r="AA274" s="22" t="n">
        <x:f>MAX(0,MIN('Activities'!L274,138)-MAX('Activities'!K274,132))</x:f>
        <x:v>0</x:v>
      </x:c>
      <x:c r="AB274" s="22" t="n">
        <x:f>MAX(0,MIN('Activities'!L274,144)-MAX('Activities'!K274,138))</x:f>
        <x:v>0</x:v>
      </x:c>
      <x:c r="AC274" s="22" t="n">
        <x:f>MAX(0,MIN('Activities'!L274,150)-MAX('Activities'!K274,144))</x:f>
        <x:v>0</x:v>
      </x:c>
      <x:c r="AD274" s="22" t="n">
        <x:f>MAX(0,MIN('Activities'!L274,156)-MAX('Activities'!K274,150))</x:f>
        <x:v>0</x:v>
      </x:c>
      <x:c r="AE274" s="22" t="n">
        <x:f>MAX(0,MIN('Activities'!L274,162)-MAX('Activities'!K274,156))</x:f>
        <x:v>0</x:v>
      </x:c>
      <x:c r="AF274" s="22" t="n">
        <x:f>MAX(0,MIN('Activities'!L274,168)-MAX('Activities'!K274,162))</x:f>
        <x:v>0</x:v>
      </x:c>
      <x:c r="AG274" s="22" t="n">
        <x:f>MAX(0,MIN('Activities'!L274,174)-MAX('Activities'!K274,168))</x:f>
        <x:v>0</x:v>
      </x:c>
      <x:c r="AH274" s="22" t="n">
        <x:f>MAX(0,MIN('Activities'!L274,180)-MAX('Activities'!K274,174))</x:f>
        <x:v>0</x:v>
      </x:c>
      <x:c r="AI274" s="22" t="n">
        <x:f>MAX(0,MIN('Activities'!L274,186)-MAX('Activities'!K274,180))</x:f>
        <x:v>0</x:v>
      </x:c>
      <x:c r="AJ274" s="22" t="n">
        <x:f>MAX(0,MIN('Activities'!L274,192)-MAX('Activities'!K274,186))</x:f>
        <x:v>0</x:v>
      </x:c>
      <x:c r="AK274" s="22" t="n">
        <x:f>MAX(0,MIN('Activities'!L274,198)-MAX('Activities'!K274,192))</x:f>
        <x:v>0</x:v>
      </x:c>
      <x:c r="AL274" s="22" t="n">
        <x:f>MAX(0,MIN('Activities'!L274,204)-MAX('Activities'!K274,198))</x:f>
        <x:v>0</x:v>
      </x:c>
      <x:c r="AM274" s="22" t="n">
        <x:f>MAX(0,MIN('Activities'!L274,210)-MAX('Activities'!K274,204))</x:f>
        <x:v>0</x:v>
      </x:c>
      <x:c r="AN274" s="22" t="n">
        <x:f>MAX(0,MIN('Activities'!L274,216)-MAX('Activities'!K274,210))</x:f>
        <x:v>0</x:v>
      </x:c>
      <x:c r="AO274" s="22" t="n">
        <x:f>MAX(0,MIN('Activities'!L274,222)-MAX('Activities'!K274,216))</x:f>
        <x:v>0</x:v>
      </x:c>
      <x:c r="AP274" s="22" t="n">
        <x:f>MAX(0,MIN('Activities'!L274,228)-MAX('Activities'!K274,222))</x:f>
        <x:v>0</x:v>
      </x:c>
      <x:c r="AQ274" s="22" t="n">
        <x:f>MAX(0,MIN('Activities'!L274,234)-MAX('Activities'!K274,228))</x:f>
        <x:v>0</x:v>
      </x:c>
      <x:c r="AR274" s="22" t="n">
        <x:f>MAX(0,MIN('Activities'!L274,240)-MAX('Activities'!K274,234))</x:f>
        <x:v>0</x:v>
      </x:c>
      <x:c r="AS274" s="22" t="n">
        <x:f>MAX(0,MIN('Activities'!L274,246)-MAX('Activities'!K274,240))</x:f>
        <x:v>0</x:v>
      </x:c>
      <x:c r="AT274" s="22" t="n">
        <x:f>MAX(0,MIN('Activities'!L274,252)-MAX('Activities'!K274,246))</x:f>
        <x:v>0</x:v>
      </x:c>
      <x:c r="AU274" s="22" t="n">
        <x:f>MAX(0,MIN('Activities'!L274,258)-MAX('Activities'!K274,252))</x:f>
        <x:v>0</x:v>
      </x:c>
      <x:c r="AV274" s="22" t="n">
        <x:f>MAX(0,MIN('Activities'!L274,264)-MAX('Activities'!K274,258))</x:f>
        <x:v>0</x:v>
      </x:c>
      <x:c r="AW274" s="22" t="n">
        <x:f>MAX(0,MIN('Activities'!L274,270)-MAX('Activities'!K274,264))</x:f>
        <x:v>0</x:v>
      </x:c>
      <x:c r="AX274" s="22" t="n">
        <x:f>MAX(0,MIN('Activities'!L274,276)-MAX('Activities'!K274,270))</x:f>
        <x:v>0</x:v>
      </x:c>
      <x:c r="AY274" s="22" t="n">
        <x:f>MAX(0,MIN('Activities'!L274,282)-MAX('Activities'!K274,276))</x:f>
        <x:v>0</x:v>
      </x:c>
      <x:c r="AZ274" s="22" t="n">
        <x:f>MAX(0,MIN('Activities'!L274,288)-MAX('Activities'!K274,282))</x:f>
        <x:v>0</x:v>
      </x:c>
      <x:c r="BA274" s="22" t="n">
        <x:f>MAX(0,MIN('Activities'!L274,294)-MAX('Activities'!K274,288))</x:f>
        <x:v>0</x:v>
      </x:c>
      <x:c r="BB274" s="22" t="n">
        <x:f>MAX(0,MIN('Activities'!L274,300)-MAX('Activities'!K274,294))</x:f>
        <x:v>0</x:v>
      </x:c>
      <x:c r="BC274" s="22" t="n">
        <x:f>MAX(0,MIN('Activities'!L274,306)-MAX('Activities'!K274,300))</x:f>
        <x:v>0</x:v>
      </x:c>
      <x:c r="BD274" s="22" t="n">
        <x:f>MAX(0,MIN('Activities'!L274,312)-MAX('Activities'!K274,306))</x:f>
        <x:v>0</x:v>
      </x:c>
      <x:c r="BE274" s="22" t="n">
        <x:f>MAX(0,MIN('Activities'!L274,318)-MAX('Activities'!K274,312))</x:f>
        <x:v>0</x:v>
      </x:c>
      <x:c r="BF274" s="22" t="n">
        <x:f>MAX(0,MIN('Activities'!L274,324)-MAX('Activities'!K274,318))</x:f>
        <x:v>0</x:v>
      </x:c>
      <x:c r="BG274" s="22" t="n">
        <x:f>MAX(0,MIN('Activities'!L274,330)-MAX('Activities'!K274,324))</x:f>
        <x:v>0</x:v>
      </x:c>
      <x:c r="BH274" s="22" t="n">
        <x:f>MAX(0,MIN('Activities'!L274,336)-MAX('Activities'!K274,330))</x:f>
        <x:v>0</x:v>
      </x:c>
      <x:c r="BI274" s="22" t="n">
        <x:f>MAX(0,MIN('Activities'!L274,342)-MAX('Activities'!K274,336))</x:f>
        <x:v>0</x:v>
      </x:c>
      <x:c r="BJ274" s="22" t="n">
        <x:f>MAX(0,MIN('Activities'!L274,348)-MAX('Activities'!K274,342))</x:f>
        <x:v>0</x:v>
      </x:c>
      <x:c r="BK274" s="22" t="n">
        <x:f>MAX(0,MIN('Activities'!L274,354)-MAX('Activities'!K274,348))</x:f>
        <x:v>0</x:v>
      </x:c>
      <x:c r="BL274" s="22" t="n">
        <x:f>MAX(0,MIN('Activities'!L274,360)-MAX('Activities'!K274,354))</x:f>
        <x:v>0</x:v>
      </x:c>
      <x:c r="BM274" s="22" t="n">
        <x:f>MAX(0,MIN('Activities'!L274,366)-MAX('Activities'!K274,360))</x:f>
        <x:v>0</x:v>
      </x:c>
      <x:c r="BN274" s="22" t="n">
        <x:f>MAX(0,MIN('Activities'!L274,372)-MAX('Activities'!K274,366))</x:f>
        <x:v>0</x:v>
      </x:c>
      <x:c r="BO274" s="22" t="n">
        <x:f>MAX(0,MIN('Activities'!L274,378)-MAX('Activities'!K274,372))</x:f>
        <x:v>0</x:v>
      </x:c>
      <x:c r="BP274" s="22" t="n">
        <x:f>MAX(0,MIN('Activities'!L274,384)-MAX('Activities'!K274,378))</x:f>
        <x:v>0</x:v>
      </x:c>
      <x:c r="BQ274" s="22" t="n">
        <x:f>MAX(0,MIN('Activities'!L274,390)-MAX('Activities'!K274,384))</x:f>
        <x:v>0</x:v>
      </x:c>
      <x:c r="BR274" s="22" t="n">
        <x:f>MAX(0,MIN('Activities'!L274,396)-MAX('Activities'!K274,390))</x:f>
        <x:v>0</x:v>
      </x:c>
      <x:c r="BS274" s="22" t="n">
        <x:f>MAX(0,MIN('Activities'!L274,402)-MAX('Activities'!K274,396))</x:f>
        <x:v>0</x:v>
      </x:c>
      <x:c r="BT274" s="22" t="n">
        <x:f>MAX(0,MIN('Activities'!L274,408)-MAX('Activities'!K274,402))</x:f>
        <x:v>0</x:v>
      </x:c>
      <x:c r="BU274" s="22" t="n">
        <x:f>MAX(0,MIN('Activities'!L274,414)-MAX('Activities'!K274,408))</x:f>
        <x:v>0</x:v>
      </x:c>
      <x:c r="BV274" s="22" t="n">
        <x:f>MAX(0,MIN('Activities'!L274,420)-MAX('Activities'!K274,414))</x:f>
        <x:v>0</x:v>
      </x:c>
      <x:c r="BW274" s="22" t="n">
        <x:f>MAX(0,MIN('Activities'!L274,426)-MAX('Activities'!K274,420))</x:f>
        <x:v>0</x:v>
      </x:c>
      <x:c r="BX274" s="22" t="n">
        <x:f>MAX(0,MIN('Activities'!L274,432)-MAX('Activities'!K274,426))</x:f>
        <x:v>5</x:v>
      </x:c>
      <x:c r="BY274" s="22" t="n">
        <x:f>MAX(0,MIN('Activities'!L274,438)-MAX('Activities'!K274,432))</x:f>
        <x:v>0</x:v>
      </x:c>
      <x:c r="BZ274" s="22" t="n">
        <x:f>MAX(0,MIN('Activities'!L274,444)-MAX('Activities'!K274,438))</x:f>
        <x:v>0</x:v>
      </x:c>
      <x:c r="CA274" s="22" t="n">
        <x:f>MAX(0,MIN('Activities'!L274,450)-MAX('Activities'!K274,444))</x:f>
        <x:v>0</x:v>
      </x:c>
      <x:c r="CB274" s="22" t="n">
        <x:f>MAX(0,MIN('Activities'!L274,456)-MAX('Activities'!K274,450))</x:f>
        <x:v>0</x:v>
      </x:c>
      <x:c r="CC274" s="22" t="n">
        <x:f>MAX(0,MIN('Activities'!L274,462)-MAX('Activities'!K274,456))</x:f>
        <x:v>0</x:v>
      </x:c>
      <x:c r="CD274" s="22" t="n">
        <x:f>MAX(0,MIN('Activities'!L274,468)-MAX('Activities'!K274,462))</x:f>
        <x:v>0</x:v>
      </x:c>
      <x:c r="CE274" s="22" t="n">
        <x:f>MAX(0,MIN('Activities'!L274,474)-MAX('Activities'!K274,468))</x:f>
        <x:v>0</x:v>
      </x:c>
      <x:c r="CF274" s="22" t="n">
        <x:f>MAX(0,MIN('Activities'!L274,480)-MAX('Activities'!K274,474))</x:f>
        <x:v>0</x:v>
      </x:c>
      <x:c r="CG274" s="22" t="n">
        <x:f>MAX(0,MIN('Activities'!L274,486)-MAX('Activities'!K274,480))</x:f>
        <x:v>0</x:v>
      </x:c>
      <x:c r="CH274" s="22" t="n">
        <x:f>MAX(0,MIN('Activities'!L274,492)-MAX('Activities'!K274,486))</x:f>
        <x:v>0</x:v>
      </x:c>
      <x:c r="CI274" s="22" t="n">
        <x:f>MAX(0,MIN('Activities'!L274,498)-MAX('Activities'!K274,492))</x:f>
        <x:v>0</x:v>
      </x:c>
      <x:c r="CJ274" s="22" t="n">
        <x:f>MAX(0,MIN('Activities'!L274,504)-MAX('Activities'!K274,498))</x:f>
        <x:v>0</x:v>
      </x:c>
      <x:c r="CK274" s="22" t="n">
        <x:f>MAX(0,MIN('Activities'!L274,510)-MAX('Activities'!K274,504))</x:f>
        <x:v>0</x:v>
      </x:c>
      <x:c r="CL274" s="22" t="n">
        <x:f>MAX(0,MIN('Activities'!L274,516)-MAX('Activities'!K274,510))</x:f>
        <x:v>0</x:v>
      </x:c>
      <x:c r="CM274" s="22" t="n">
        <x:f>MAX(0,MIN('Activities'!L274,522)-MAX('Activities'!K274,516))</x:f>
        <x:v>0</x:v>
      </x:c>
      <x:c r="CN274" s="22" t="n">
        <x:f>MAX(0,MIN('Activities'!L274,528)-MAX('Activities'!K274,522))</x:f>
        <x:v>0</x:v>
      </x:c>
      <x:c r="CO274" s="22" t="n">
        <x:f>MAX(0,MIN('Activities'!L274,534)-MAX('Activities'!K274,528))</x:f>
        <x:v>0</x:v>
      </x:c>
      <x:c r="CP274" s="22" t="n">
        <x:f>MAX(0,MIN('Activities'!L274,540)-MAX('Activities'!K274,534))</x:f>
        <x:v>0</x:v>
      </x:c>
      <x:c r="CQ274" s="22" t="n">
        <x:f>MAX(0,MIN('Activities'!L274,546)-MAX('Activities'!K274,540))</x:f>
        <x:v>0</x:v>
      </x:c>
      <x:c r="CR274" s="22" t="n">
        <x:f>MAX(0,MIN('Activities'!L274,552)-MAX('Activities'!K274,546))</x:f>
        <x:v>0</x:v>
      </x:c>
      <x:c r="CS274" s="22" t="n">
        <x:f>MAX(0,MIN('Activities'!L274,558)-MAX('Activities'!K274,552))</x:f>
        <x:v>0</x:v>
      </x:c>
      <x:c r="CT274" s="22" t="n">
        <x:f>MAX(0,MIN('Activities'!L274,564)-MAX('Activities'!K274,558))</x:f>
        <x:v>0</x:v>
      </x:c>
      <x:c r="CU274" s="22" t="n">
        <x:f>MAX(0,MIN('Activities'!L274,570)-MAX('Activities'!K274,564))</x:f>
        <x:v>0</x:v>
      </x:c>
      <x:c r="CV274" s="22" t="n">
        <x:f>MAX(0,MIN('Activities'!L274,576)-MAX('Activities'!K274,570))</x:f>
        <x:v>0</x:v>
      </x:c>
      <x:c r="CW274" s="22" t="n">
        <x:f>MAX(0,MIN('Activities'!L274,582)-MAX('Activities'!K274,576))</x:f>
        <x:v>0</x:v>
      </x:c>
      <x:c r="CX274" s="22" t="n">
        <x:f>MAX(0,MIN('Activities'!L274,588)-MAX('Activities'!K274,582))</x:f>
        <x:v>0</x:v>
      </x:c>
      <x:c r="CY274" s="22" t="n">
        <x:f>MAX(0,MIN('Activities'!L274,594)-MAX('Activities'!K274,588))</x:f>
        <x:v>0</x:v>
      </x:c>
      <x:c r="CZ274" s="22" t="n">
        <x:f>MAX(0,MIN('Activities'!L274,600)-MAX('Activities'!K274,594))</x:f>
        <x:v>0</x:v>
      </x:c>
      <x:c r="DA274" s="22" t="n">
        <x:f>MAX(0,MIN('Activities'!L274,606)-MAX('Activities'!K274,600))</x:f>
        <x:v>0</x:v>
      </x:c>
      <x:c r="DB274" s="22" t="n">
        <x:f>MAX(0,MIN('Activities'!L274,612)-MAX('Activities'!K274,606))</x:f>
        <x:v>0</x:v>
      </x:c>
      <x:c r="DC274" s="22" t="n">
        <x:f>MAX(0,MIN('Activities'!L274,618)-MAX('Activities'!K274,612))</x:f>
        <x:v>0</x:v>
      </x:c>
      <x:c r="DD274" s="22" t="n">
        <x:f>MAX(0,MIN('Activities'!L274,624)-MAX('Activities'!K274,618))</x:f>
        <x:v>0</x:v>
      </x:c>
      <x:c r="DE274" s="22" t="n">
        <x:f>MAX(0,MIN('Activities'!L274,630)-MAX('Activities'!K274,624))</x:f>
        <x:v>0</x:v>
      </x:c>
      <x:c r="DF274" s="22" t="n">
        <x:f>MAX(0,MIN('Activities'!L274,636)-MAX('Activities'!K274,630))</x:f>
        <x:v>0</x:v>
      </x:c>
    </x:row>
    <x:row r="275" ht="23" customHeight="1">
      <x:c r="A275" s="1" t="str">
        <x:v>T2-L11-D</x:v>
      </x:c>
      <x:c r="B275" s="1" t="str">
        <x:v>T2</x:v>
      </x:c>
      <x:c r="C275" s="1" t="str">
        <x:v>Door sets and ironmongery</x:v>
      </x:c>
      <x:c r="D275" s="1" t="str">
        <x:v>Finishes</x:v>
      </x:c>
      <x:c r="E275" s="23" t="n">
        <x:f>MAX(0,MIN('Activities'!L275,6)-MAX('Activities'!K275,0))</x:f>
        <x:v>0</x:v>
      </x:c>
      <x:c r="F275" s="23" t="n">
        <x:f>MAX(0,MIN('Activities'!L275,12)-MAX('Activities'!K275,6))</x:f>
        <x:v>0</x:v>
      </x:c>
      <x:c r="G275" s="23" t="n">
        <x:f>MAX(0,MIN('Activities'!L275,18)-MAX('Activities'!K275,12))</x:f>
        <x:v>0</x:v>
      </x:c>
      <x:c r="H275" s="23" t="n">
        <x:f>MAX(0,MIN('Activities'!L275,24)-MAX('Activities'!K275,18))</x:f>
        <x:v>0</x:v>
      </x:c>
      <x:c r="I275" s="23" t="n">
        <x:f>MAX(0,MIN('Activities'!L275,30)-MAX('Activities'!K275,24))</x:f>
        <x:v>0</x:v>
      </x:c>
      <x:c r="J275" s="23" t="n">
        <x:f>MAX(0,MIN('Activities'!L275,36)-MAX('Activities'!K275,30))</x:f>
        <x:v>0</x:v>
      </x:c>
      <x:c r="K275" s="23" t="n">
        <x:f>MAX(0,MIN('Activities'!L275,42)-MAX('Activities'!K275,36))</x:f>
        <x:v>0</x:v>
      </x:c>
      <x:c r="L275" s="23" t="n">
        <x:f>MAX(0,MIN('Activities'!L275,48)-MAX('Activities'!K275,42))</x:f>
        <x:v>0</x:v>
      </x:c>
      <x:c r="M275" s="23" t="n">
        <x:f>MAX(0,MIN('Activities'!L275,54)-MAX('Activities'!K275,48))</x:f>
        <x:v>0</x:v>
      </x:c>
      <x:c r="N275" s="23" t="n">
        <x:f>MAX(0,MIN('Activities'!L275,60)-MAX('Activities'!K275,54))</x:f>
        <x:v>0</x:v>
      </x:c>
      <x:c r="O275" s="23" t="n">
        <x:f>MAX(0,MIN('Activities'!L275,66)-MAX('Activities'!K275,60))</x:f>
        <x:v>0</x:v>
      </x:c>
      <x:c r="P275" s="23" t="n">
        <x:f>MAX(0,MIN('Activities'!L275,72)-MAX('Activities'!K275,66))</x:f>
        <x:v>0</x:v>
      </x:c>
      <x:c r="Q275" s="23" t="n">
        <x:f>MAX(0,MIN('Activities'!L275,78)-MAX('Activities'!K275,72))</x:f>
        <x:v>0</x:v>
      </x:c>
      <x:c r="R275" s="23" t="n">
        <x:f>MAX(0,MIN('Activities'!L275,84)-MAX('Activities'!K275,78))</x:f>
        <x:v>0</x:v>
      </x:c>
      <x:c r="S275" s="23" t="n">
        <x:f>MAX(0,MIN('Activities'!L275,90)-MAX('Activities'!K275,84))</x:f>
        <x:v>0</x:v>
      </x:c>
      <x:c r="T275" s="23" t="n">
        <x:f>MAX(0,MIN('Activities'!L275,96)-MAX('Activities'!K275,90))</x:f>
        <x:v>0</x:v>
      </x:c>
      <x:c r="U275" s="23" t="n">
        <x:f>MAX(0,MIN('Activities'!L275,102)-MAX('Activities'!K275,96))</x:f>
        <x:v>0</x:v>
      </x:c>
      <x:c r="V275" s="23" t="n">
        <x:f>MAX(0,MIN('Activities'!L275,108)-MAX('Activities'!K275,102))</x:f>
        <x:v>0</x:v>
      </x:c>
      <x:c r="W275" s="23" t="n">
        <x:f>MAX(0,MIN('Activities'!L275,114)-MAX('Activities'!K275,108))</x:f>
        <x:v>0</x:v>
      </x:c>
      <x:c r="X275" s="23" t="n">
        <x:f>MAX(0,MIN('Activities'!L275,120)-MAX('Activities'!K275,114))</x:f>
        <x:v>0</x:v>
      </x:c>
      <x:c r="Y275" s="23" t="n">
        <x:f>MAX(0,MIN('Activities'!L275,126)-MAX('Activities'!K275,120))</x:f>
        <x:v>0</x:v>
      </x:c>
      <x:c r="Z275" s="23" t="n">
        <x:f>MAX(0,MIN('Activities'!L275,132)-MAX('Activities'!K275,126))</x:f>
        <x:v>0</x:v>
      </x:c>
      <x:c r="AA275" s="23" t="n">
        <x:f>MAX(0,MIN('Activities'!L275,138)-MAX('Activities'!K275,132))</x:f>
        <x:v>0</x:v>
      </x:c>
      <x:c r="AB275" s="23" t="n">
        <x:f>MAX(0,MIN('Activities'!L275,144)-MAX('Activities'!K275,138))</x:f>
        <x:v>0</x:v>
      </x:c>
      <x:c r="AC275" s="23" t="n">
        <x:f>MAX(0,MIN('Activities'!L275,150)-MAX('Activities'!K275,144))</x:f>
        <x:v>0</x:v>
      </x:c>
      <x:c r="AD275" s="23" t="n">
        <x:f>MAX(0,MIN('Activities'!L275,156)-MAX('Activities'!K275,150))</x:f>
        <x:v>0</x:v>
      </x:c>
      <x:c r="AE275" s="23" t="n">
        <x:f>MAX(0,MIN('Activities'!L275,162)-MAX('Activities'!K275,156))</x:f>
        <x:v>0</x:v>
      </x:c>
      <x:c r="AF275" s="23" t="n">
        <x:f>MAX(0,MIN('Activities'!L275,168)-MAX('Activities'!K275,162))</x:f>
        <x:v>0</x:v>
      </x:c>
      <x:c r="AG275" s="23" t="n">
        <x:f>MAX(0,MIN('Activities'!L275,174)-MAX('Activities'!K275,168))</x:f>
        <x:v>0</x:v>
      </x:c>
      <x:c r="AH275" s="23" t="n">
        <x:f>MAX(0,MIN('Activities'!L275,180)-MAX('Activities'!K275,174))</x:f>
        <x:v>0</x:v>
      </x:c>
      <x:c r="AI275" s="23" t="n">
        <x:f>MAX(0,MIN('Activities'!L275,186)-MAX('Activities'!K275,180))</x:f>
        <x:v>0</x:v>
      </x:c>
      <x:c r="AJ275" s="23" t="n">
        <x:f>MAX(0,MIN('Activities'!L275,192)-MAX('Activities'!K275,186))</x:f>
        <x:v>0</x:v>
      </x:c>
      <x:c r="AK275" s="23" t="n">
        <x:f>MAX(0,MIN('Activities'!L275,198)-MAX('Activities'!K275,192))</x:f>
        <x:v>0</x:v>
      </x:c>
      <x:c r="AL275" s="23" t="n">
        <x:f>MAX(0,MIN('Activities'!L275,204)-MAX('Activities'!K275,198))</x:f>
        <x:v>0</x:v>
      </x:c>
      <x:c r="AM275" s="23" t="n">
        <x:f>MAX(0,MIN('Activities'!L275,210)-MAX('Activities'!K275,204))</x:f>
        <x:v>0</x:v>
      </x:c>
      <x:c r="AN275" s="23" t="n">
        <x:f>MAX(0,MIN('Activities'!L275,216)-MAX('Activities'!K275,210))</x:f>
        <x:v>0</x:v>
      </x:c>
      <x:c r="AO275" s="23" t="n">
        <x:f>MAX(0,MIN('Activities'!L275,222)-MAX('Activities'!K275,216))</x:f>
        <x:v>0</x:v>
      </x:c>
      <x:c r="AP275" s="23" t="n">
        <x:f>MAX(0,MIN('Activities'!L275,228)-MAX('Activities'!K275,222))</x:f>
        <x:v>0</x:v>
      </x:c>
      <x:c r="AQ275" s="23" t="n">
        <x:f>MAX(0,MIN('Activities'!L275,234)-MAX('Activities'!K275,228))</x:f>
        <x:v>0</x:v>
      </x:c>
      <x:c r="AR275" s="23" t="n">
        <x:f>MAX(0,MIN('Activities'!L275,240)-MAX('Activities'!K275,234))</x:f>
        <x:v>0</x:v>
      </x:c>
      <x:c r="AS275" s="23" t="n">
        <x:f>MAX(0,MIN('Activities'!L275,246)-MAX('Activities'!K275,240))</x:f>
        <x:v>0</x:v>
      </x:c>
      <x:c r="AT275" s="23" t="n">
        <x:f>MAX(0,MIN('Activities'!L275,252)-MAX('Activities'!K275,246))</x:f>
        <x:v>0</x:v>
      </x:c>
      <x:c r="AU275" s="23" t="n">
        <x:f>MAX(0,MIN('Activities'!L275,258)-MAX('Activities'!K275,252))</x:f>
        <x:v>0</x:v>
      </x:c>
      <x:c r="AV275" s="23" t="n">
        <x:f>MAX(0,MIN('Activities'!L275,264)-MAX('Activities'!K275,258))</x:f>
        <x:v>0</x:v>
      </x:c>
      <x:c r="AW275" s="23" t="n">
        <x:f>MAX(0,MIN('Activities'!L275,270)-MAX('Activities'!K275,264))</x:f>
        <x:v>0</x:v>
      </x:c>
      <x:c r="AX275" s="23" t="n">
        <x:f>MAX(0,MIN('Activities'!L275,276)-MAX('Activities'!K275,270))</x:f>
        <x:v>0</x:v>
      </x:c>
      <x:c r="AY275" s="23" t="n">
        <x:f>MAX(0,MIN('Activities'!L275,282)-MAX('Activities'!K275,276))</x:f>
        <x:v>0</x:v>
      </x:c>
      <x:c r="AZ275" s="23" t="n">
        <x:f>MAX(0,MIN('Activities'!L275,288)-MAX('Activities'!K275,282))</x:f>
        <x:v>0</x:v>
      </x:c>
      <x:c r="BA275" s="23" t="n">
        <x:f>MAX(0,MIN('Activities'!L275,294)-MAX('Activities'!K275,288))</x:f>
        <x:v>0</x:v>
      </x:c>
      <x:c r="BB275" s="23" t="n">
        <x:f>MAX(0,MIN('Activities'!L275,300)-MAX('Activities'!K275,294))</x:f>
        <x:v>0</x:v>
      </x:c>
      <x:c r="BC275" s="23" t="n">
        <x:f>MAX(0,MIN('Activities'!L275,306)-MAX('Activities'!K275,300))</x:f>
        <x:v>0</x:v>
      </x:c>
      <x:c r="BD275" s="23" t="n">
        <x:f>MAX(0,MIN('Activities'!L275,312)-MAX('Activities'!K275,306))</x:f>
        <x:v>0</x:v>
      </x:c>
      <x:c r="BE275" s="23" t="n">
        <x:f>MAX(0,MIN('Activities'!L275,318)-MAX('Activities'!K275,312))</x:f>
        <x:v>0</x:v>
      </x:c>
      <x:c r="BF275" s="23" t="n">
        <x:f>MAX(0,MIN('Activities'!L275,324)-MAX('Activities'!K275,318))</x:f>
        <x:v>0</x:v>
      </x:c>
      <x:c r="BG275" s="23" t="n">
        <x:f>MAX(0,MIN('Activities'!L275,330)-MAX('Activities'!K275,324))</x:f>
        <x:v>0</x:v>
      </x:c>
      <x:c r="BH275" s="23" t="n">
        <x:f>MAX(0,MIN('Activities'!L275,336)-MAX('Activities'!K275,330))</x:f>
        <x:v>0</x:v>
      </x:c>
      <x:c r="BI275" s="23" t="n">
        <x:f>MAX(0,MIN('Activities'!L275,342)-MAX('Activities'!K275,336))</x:f>
        <x:v>0</x:v>
      </x:c>
      <x:c r="BJ275" s="23" t="n">
        <x:f>MAX(0,MIN('Activities'!L275,348)-MAX('Activities'!K275,342))</x:f>
        <x:v>0</x:v>
      </x:c>
      <x:c r="BK275" s="23" t="n">
        <x:f>MAX(0,MIN('Activities'!L275,354)-MAX('Activities'!K275,348))</x:f>
        <x:v>0</x:v>
      </x:c>
      <x:c r="BL275" s="23" t="n">
        <x:f>MAX(0,MIN('Activities'!L275,360)-MAX('Activities'!K275,354))</x:f>
        <x:v>0</x:v>
      </x:c>
      <x:c r="BM275" s="23" t="n">
        <x:f>MAX(0,MIN('Activities'!L275,366)-MAX('Activities'!K275,360))</x:f>
        <x:v>0</x:v>
      </x:c>
      <x:c r="BN275" s="23" t="n">
        <x:f>MAX(0,MIN('Activities'!L275,372)-MAX('Activities'!K275,366))</x:f>
        <x:v>0</x:v>
      </x:c>
      <x:c r="BO275" s="23" t="n">
        <x:f>MAX(0,MIN('Activities'!L275,378)-MAX('Activities'!K275,372))</x:f>
        <x:v>0</x:v>
      </x:c>
      <x:c r="BP275" s="23" t="n">
        <x:f>MAX(0,MIN('Activities'!L275,384)-MAX('Activities'!K275,378))</x:f>
        <x:v>0</x:v>
      </x:c>
      <x:c r="BQ275" s="23" t="n">
        <x:f>MAX(0,MIN('Activities'!L275,390)-MAX('Activities'!K275,384))</x:f>
        <x:v>0</x:v>
      </x:c>
      <x:c r="BR275" s="23" t="n">
        <x:f>MAX(0,MIN('Activities'!L275,396)-MAX('Activities'!K275,390))</x:f>
        <x:v>0</x:v>
      </x:c>
      <x:c r="BS275" s="23" t="n">
        <x:f>MAX(0,MIN('Activities'!L275,402)-MAX('Activities'!K275,396))</x:f>
        <x:v>0</x:v>
      </x:c>
      <x:c r="BT275" s="23" t="n">
        <x:f>MAX(0,MIN('Activities'!L275,408)-MAX('Activities'!K275,402))</x:f>
        <x:v>0</x:v>
      </x:c>
      <x:c r="BU275" s="23" t="n">
        <x:f>MAX(0,MIN('Activities'!L275,414)-MAX('Activities'!K275,408))</x:f>
        <x:v>0</x:v>
      </x:c>
      <x:c r="BV275" s="23" t="n">
        <x:f>MAX(0,MIN('Activities'!L275,420)-MAX('Activities'!K275,414))</x:f>
        <x:v>0</x:v>
      </x:c>
      <x:c r="BW275" s="23" t="n">
        <x:f>MAX(0,MIN('Activities'!L275,426)-MAX('Activities'!K275,420))</x:f>
        <x:v>0</x:v>
      </x:c>
      <x:c r="BX275" s="23" t="n">
        <x:f>MAX(0,MIN('Activities'!L275,432)-MAX('Activities'!K275,426))</x:f>
        <x:v>1</x:v>
      </x:c>
      <x:c r="BY275" s="23" t="n">
        <x:f>MAX(0,MIN('Activities'!L275,438)-MAX('Activities'!K275,432))</x:f>
        <x:v>2</x:v>
      </x:c>
      <x:c r="BZ275" s="23" t="n">
        <x:f>MAX(0,MIN('Activities'!L275,444)-MAX('Activities'!K275,438))</x:f>
        <x:v>0</x:v>
      </x:c>
      <x:c r="CA275" s="23" t="n">
        <x:f>MAX(0,MIN('Activities'!L275,450)-MAX('Activities'!K275,444))</x:f>
        <x:v>0</x:v>
      </x:c>
      <x:c r="CB275" s="23" t="n">
        <x:f>MAX(0,MIN('Activities'!L275,456)-MAX('Activities'!K275,450))</x:f>
        <x:v>0</x:v>
      </x:c>
      <x:c r="CC275" s="23" t="n">
        <x:f>MAX(0,MIN('Activities'!L275,462)-MAX('Activities'!K275,456))</x:f>
        <x:v>0</x:v>
      </x:c>
      <x:c r="CD275" s="23" t="n">
        <x:f>MAX(0,MIN('Activities'!L275,468)-MAX('Activities'!K275,462))</x:f>
        <x:v>0</x:v>
      </x:c>
      <x:c r="CE275" s="23" t="n">
        <x:f>MAX(0,MIN('Activities'!L275,474)-MAX('Activities'!K275,468))</x:f>
        <x:v>0</x:v>
      </x:c>
      <x:c r="CF275" s="23" t="n">
        <x:f>MAX(0,MIN('Activities'!L275,480)-MAX('Activities'!K275,474))</x:f>
        <x:v>0</x:v>
      </x:c>
      <x:c r="CG275" s="23" t="n">
        <x:f>MAX(0,MIN('Activities'!L275,486)-MAX('Activities'!K275,480))</x:f>
        <x:v>0</x:v>
      </x:c>
      <x:c r="CH275" s="23" t="n">
        <x:f>MAX(0,MIN('Activities'!L275,492)-MAX('Activities'!K275,486))</x:f>
        <x:v>0</x:v>
      </x:c>
      <x:c r="CI275" s="23" t="n">
        <x:f>MAX(0,MIN('Activities'!L275,498)-MAX('Activities'!K275,492))</x:f>
        <x:v>0</x:v>
      </x:c>
      <x:c r="CJ275" s="23" t="n">
        <x:f>MAX(0,MIN('Activities'!L275,504)-MAX('Activities'!K275,498))</x:f>
        <x:v>0</x:v>
      </x:c>
      <x:c r="CK275" s="23" t="n">
        <x:f>MAX(0,MIN('Activities'!L275,510)-MAX('Activities'!K275,504))</x:f>
        <x:v>0</x:v>
      </x:c>
      <x:c r="CL275" s="23" t="n">
        <x:f>MAX(0,MIN('Activities'!L275,516)-MAX('Activities'!K275,510))</x:f>
        <x:v>0</x:v>
      </x:c>
      <x:c r="CM275" s="23" t="n">
        <x:f>MAX(0,MIN('Activities'!L275,522)-MAX('Activities'!K275,516))</x:f>
        <x:v>0</x:v>
      </x:c>
      <x:c r="CN275" s="23" t="n">
        <x:f>MAX(0,MIN('Activities'!L275,528)-MAX('Activities'!K275,522))</x:f>
        <x:v>0</x:v>
      </x:c>
      <x:c r="CO275" s="23" t="n">
        <x:f>MAX(0,MIN('Activities'!L275,534)-MAX('Activities'!K275,528))</x:f>
        <x:v>0</x:v>
      </x:c>
      <x:c r="CP275" s="23" t="n">
        <x:f>MAX(0,MIN('Activities'!L275,540)-MAX('Activities'!K275,534))</x:f>
        <x:v>0</x:v>
      </x:c>
      <x:c r="CQ275" s="23" t="n">
        <x:f>MAX(0,MIN('Activities'!L275,546)-MAX('Activities'!K275,540))</x:f>
        <x:v>0</x:v>
      </x:c>
      <x:c r="CR275" s="23" t="n">
        <x:f>MAX(0,MIN('Activities'!L275,552)-MAX('Activities'!K275,546))</x:f>
        <x:v>0</x:v>
      </x:c>
      <x:c r="CS275" s="23" t="n">
        <x:f>MAX(0,MIN('Activities'!L275,558)-MAX('Activities'!K275,552))</x:f>
        <x:v>0</x:v>
      </x:c>
      <x:c r="CT275" s="23" t="n">
        <x:f>MAX(0,MIN('Activities'!L275,564)-MAX('Activities'!K275,558))</x:f>
        <x:v>0</x:v>
      </x:c>
      <x:c r="CU275" s="23" t="n">
        <x:f>MAX(0,MIN('Activities'!L275,570)-MAX('Activities'!K275,564))</x:f>
        <x:v>0</x:v>
      </x:c>
      <x:c r="CV275" s="23" t="n">
        <x:f>MAX(0,MIN('Activities'!L275,576)-MAX('Activities'!K275,570))</x:f>
        <x:v>0</x:v>
      </x:c>
      <x:c r="CW275" s="23" t="n">
        <x:f>MAX(0,MIN('Activities'!L275,582)-MAX('Activities'!K275,576))</x:f>
        <x:v>0</x:v>
      </x:c>
      <x:c r="CX275" s="23" t="n">
        <x:f>MAX(0,MIN('Activities'!L275,588)-MAX('Activities'!K275,582))</x:f>
        <x:v>0</x:v>
      </x:c>
      <x:c r="CY275" s="23" t="n">
        <x:f>MAX(0,MIN('Activities'!L275,594)-MAX('Activities'!K275,588))</x:f>
        <x:v>0</x:v>
      </x:c>
      <x:c r="CZ275" s="23" t="n">
        <x:f>MAX(0,MIN('Activities'!L275,600)-MAX('Activities'!K275,594))</x:f>
        <x:v>0</x:v>
      </x:c>
      <x:c r="DA275" s="23" t="n">
        <x:f>MAX(0,MIN('Activities'!L275,606)-MAX('Activities'!K275,600))</x:f>
        <x:v>0</x:v>
      </x:c>
      <x:c r="DB275" s="23" t="n">
        <x:f>MAX(0,MIN('Activities'!L275,612)-MAX('Activities'!K275,606))</x:f>
        <x:v>0</x:v>
      </x:c>
      <x:c r="DC275" s="23" t="n">
        <x:f>MAX(0,MIN('Activities'!L275,618)-MAX('Activities'!K275,612))</x:f>
        <x:v>0</x:v>
      </x:c>
      <x:c r="DD275" s="23" t="n">
        <x:f>MAX(0,MIN('Activities'!L275,624)-MAX('Activities'!K275,618))</x:f>
        <x:v>0</x:v>
      </x:c>
      <x:c r="DE275" s="23" t="n">
        <x:f>MAX(0,MIN('Activities'!L275,630)-MAX('Activities'!K275,624))</x:f>
        <x:v>0</x:v>
      </x:c>
      <x:c r="DF275" s="23" t="n">
        <x:f>MAX(0,MIN('Activities'!L275,636)-MAX('Activities'!K275,630))</x:f>
        <x:v>0</x:v>
      </x:c>
    </x:row>
    <x:row r="276" ht="23" customHeight="1">
      <x:c r="A276" s="6" t="str">
        <x:v>T2-L12-M</x:v>
      </x:c>
      <x:c r="B276" s="6" t="str">
        <x:v>T2</x:v>
      </x:c>
      <x:c r="C276" s="6" t="str">
        <x:v>Partition masonry</x:v>
      </x:c>
      <x:c r="D276" s="6" t="str">
        <x:v>Masonry</x:v>
      </x:c>
      <x:c r="E276" s="22" t="n">
        <x:f>MAX(0,MIN('Activities'!L276,6)-MAX('Activities'!K276,0))</x:f>
        <x:v>0</x:v>
      </x:c>
      <x:c r="F276" s="22" t="n">
        <x:f>MAX(0,MIN('Activities'!L276,12)-MAX('Activities'!K276,6))</x:f>
        <x:v>0</x:v>
      </x:c>
      <x:c r="G276" s="22" t="n">
        <x:f>MAX(0,MIN('Activities'!L276,18)-MAX('Activities'!K276,12))</x:f>
        <x:v>0</x:v>
      </x:c>
      <x:c r="H276" s="22" t="n">
        <x:f>MAX(0,MIN('Activities'!L276,24)-MAX('Activities'!K276,18))</x:f>
        <x:v>0</x:v>
      </x:c>
      <x:c r="I276" s="22" t="n">
        <x:f>MAX(0,MIN('Activities'!L276,30)-MAX('Activities'!K276,24))</x:f>
        <x:v>0</x:v>
      </x:c>
      <x:c r="J276" s="22" t="n">
        <x:f>MAX(0,MIN('Activities'!L276,36)-MAX('Activities'!K276,30))</x:f>
        <x:v>0</x:v>
      </x:c>
      <x:c r="K276" s="22" t="n">
        <x:f>MAX(0,MIN('Activities'!L276,42)-MAX('Activities'!K276,36))</x:f>
        <x:v>0</x:v>
      </x:c>
      <x:c r="L276" s="22" t="n">
        <x:f>MAX(0,MIN('Activities'!L276,48)-MAX('Activities'!K276,42))</x:f>
        <x:v>0</x:v>
      </x:c>
      <x:c r="M276" s="22" t="n">
        <x:f>MAX(0,MIN('Activities'!L276,54)-MAX('Activities'!K276,48))</x:f>
        <x:v>0</x:v>
      </x:c>
      <x:c r="N276" s="22" t="n">
        <x:f>MAX(0,MIN('Activities'!L276,60)-MAX('Activities'!K276,54))</x:f>
        <x:v>0</x:v>
      </x:c>
      <x:c r="O276" s="22" t="n">
        <x:f>MAX(0,MIN('Activities'!L276,66)-MAX('Activities'!K276,60))</x:f>
        <x:v>0</x:v>
      </x:c>
      <x:c r="P276" s="22" t="n">
        <x:f>MAX(0,MIN('Activities'!L276,72)-MAX('Activities'!K276,66))</x:f>
        <x:v>0</x:v>
      </x:c>
      <x:c r="Q276" s="22" t="n">
        <x:f>MAX(0,MIN('Activities'!L276,78)-MAX('Activities'!K276,72))</x:f>
        <x:v>0</x:v>
      </x:c>
      <x:c r="R276" s="22" t="n">
        <x:f>MAX(0,MIN('Activities'!L276,84)-MAX('Activities'!K276,78))</x:f>
        <x:v>0</x:v>
      </x:c>
      <x:c r="S276" s="22" t="n">
        <x:f>MAX(0,MIN('Activities'!L276,90)-MAX('Activities'!K276,84))</x:f>
        <x:v>0</x:v>
      </x:c>
      <x:c r="T276" s="22" t="n">
        <x:f>MAX(0,MIN('Activities'!L276,96)-MAX('Activities'!K276,90))</x:f>
        <x:v>0</x:v>
      </x:c>
      <x:c r="U276" s="22" t="n">
        <x:f>MAX(0,MIN('Activities'!L276,102)-MAX('Activities'!K276,96))</x:f>
        <x:v>0</x:v>
      </x:c>
      <x:c r="V276" s="22" t="n">
        <x:f>MAX(0,MIN('Activities'!L276,108)-MAX('Activities'!K276,102))</x:f>
        <x:v>0</x:v>
      </x:c>
      <x:c r="W276" s="22" t="n">
        <x:f>MAX(0,MIN('Activities'!L276,114)-MAX('Activities'!K276,108))</x:f>
        <x:v>0</x:v>
      </x:c>
      <x:c r="X276" s="22" t="n">
        <x:f>MAX(0,MIN('Activities'!L276,120)-MAX('Activities'!K276,114))</x:f>
        <x:v>0</x:v>
      </x:c>
      <x:c r="Y276" s="22" t="n">
        <x:f>MAX(0,MIN('Activities'!L276,126)-MAX('Activities'!K276,120))</x:f>
        <x:v>0</x:v>
      </x:c>
      <x:c r="Z276" s="22" t="n">
        <x:f>MAX(0,MIN('Activities'!L276,132)-MAX('Activities'!K276,126))</x:f>
        <x:v>0</x:v>
      </x:c>
      <x:c r="AA276" s="22" t="n">
        <x:f>MAX(0,MIN('Activities'!L276,138)-MAX('Activities'!K276,132))</x:f>
        <x:v>0</x:v>
      </x:c>
      <x:c r="AB276" s="22" t="n">
        <x:f>MAX(0,MIN('Activities'!L276,144)-MAX('Activities'!K276,138))</x:f>
        <x:v>0</x:v>
      </x:c>
      <x:c r="AC276" s="22" t="n">
        <x:f>MAX(0,MIN('Activities'!L276,150)-MAX('Activities'!K276,144))</x:f>
        <x:v>0</x:v>
      </x:c>
      <x:c r="AD276" s="22" t="n">
        <x:f>MAX(0,MIN('Activities'!L276,156)-MAX('Activities'!K276,150))</x:f>
        <x:v>0</x:v>
      </x:c>
      <x:c r="AE276" s="22" t="n">
        <x:f>MAX(0,MIN('Activities'!L276,162)-MAX('Activities'!K276,156))</x:f>
        <x:v>0</x:v>
      </x:c>
      <x:c r="AF276" s="22" t="n">
        <x:f>MAX(0,MIN('Activities'!L276,168)-MAX('Activities'!K276,162))</x:f>
        <x:v>0</x:v>
      </x:c>
      <x:c r="AG276" s="22" t="n">
        <x:f>MAX(0,MIN('Activities'!L276,174)-MAX('Activities'!K276,168))</x:f>
        <x:v>0</x:v>
      </x:c>
      <x:c r="AH276" s="22" t="n">
        <x:f>MAX(0,MIN('Activities'!L276,180)-MAX('Activities'!K276,174))</x:f>
        <x:v>0</x:v>
      </x:c>
      <x:c r="AI276" s="22" t="n">
        <x:f>MAX(0,MIN('Activities'!L276,186)-MAX('Activities'!K276,180))</x:f>
        <x:v>0</x:v>
      </x:c>
      <x:c r="AJ276" s="22" t="n">
        <x:f>MAX(0,MIN('Activities'!L276,192)-MAX('Activities'!K276,186))</x:f>
        <x:v>0</x:v>
      </x:c>
      <x:c r="AK276" s="22" t="n">
        <x:f>MAX(0,MIN('Activities'!L276,198)-MAX('Activities'!K276,192))</x:f>
        <x:v>0</x:v>
      </x:c>
      <x:c r="AL276" s="22" t="n">
        <x:f>MAX(0,MIN('Activities'!L276,204)-MAX('Activities'!K276,198))</x:f>
        <x:v>0</x:v>
      </x:c>
      <x:c r="AM276" s="22" t="n">
        <x:f>MAX(0,MIN('Activities'!L276,210)-MAX('Activities'!K276,204))</x:f>
        <x:v>0</x:v>
      </x:c>
      <x:c r="AN276" s="22" t="n">
        <x:f>MAX(0,MIN('Activities'!L276,216)-MAX('Activities'!K276,210))</x:f>
        <x:v>0</x:v>
      </x:c>
      <x:c r="AO276" s="22" t="n">
        <x:f>MAX(0,MIN('Activities'!L276,222)-MAX('Activities'!K276,216))</x:f>
        <x:v>0</x:v>
      </x:c>
      <x:c r="AP276" s="22" t="n">
        <x:f>MAX(0,MIN('Activities'!L276,228)-MAX('Activities'!K276,222))</x:f>
        <x:v>0</x:v>
      </x:c>
      <x:c r="AQ276" s="22" t="n">
        <x:f>MAX(0,MIN('Activities'!L276,234)-MAX('Activities'!K276,228))</x:f>
        <x:v>0</x:v>
      </x:c>
      <x:c r="AR276" s="22" t="n">
        <x:f>MAX(0,MIN('Activities'!L276,240)-MAX('Activities'!K276,234))</x:f>
        <x:v>0</x:v>
      </x:c>
      <x:c r="AS276" s="22" t="n">
        <x:f>MAX(0,MIN('Activities'!L276,246)-MAX('Activities'!K276,240))</x:f>
        <x:v>0</x:v>
      </x:c>
      <x:c r="AT276" s="22" t="n">
        <x:f>MAX(0,MIN('Activities'!L276,252)-MAX('Activities'!K276,246))</x:f>
        <x:v>0</x:v>
      </x:c>
      <x:c r="AU276" s="22" t="n">
        <x:f>MAX(0,MIN('Activities'!L276,258)-MAX('Activities'!K276,252))</x:f>
        <x:v>0</x:v>
      </x:c>
      <x:c r="AV276" s="22" t="n">
        <x:f>MAX(0,MIN('Activities'!L276,264)-MAX('Activities'!K276,258))</x:f>
        <x:v>0</x:v>
      </x:c>
      <x:c r="AW276" s="22" t="n">
        <x:f>MAX(0,MIN('Activities'!L276,270)-MAX('Activities'!K276,264))</x:f>
        <x:v>0</x:v>
      </x:c>
      <x:c r="AX276" s="22" t="n">
        <x:f>MAX(0,MIN('Activities'!L276,276)-MAX('Activities'!K276,270))</x:f>
        <x:v>0</x:v>
      </x:c>
      <x:c r="AY276" s="22" t="n">
        <x:f>MAX(0,MIN('Activities'!L276,282)-MAX('Activities'!K276,276))</x:f>
        <x:v>0</x:v>
      </x:c>
      <x:c r="AZ276" s="22" t="n">
        <x:f>MAX(0,MIN('Activities'!L276,288)-MAX('Activities'!K276,282))</x:f>
        <x:v>0</x:v>
      </x:c>
      <x:c r="BA276" s="22" t="n">
        <x:f>MAX(0,MIN('Activities'!L276,294)-MAX('Activities'!K276,288))</x:f>
        <x:v>0</x:v>
      </x:c>
      <x:c r="BB276" s="22" t="n">
        <x:f>MAX(0,MIN('Activities'!L276,300)-MAX('Activities'!K276,294))</x:f>
        <x:v>0</x:v>
      </x:c>
      <x:c r="BC276" s="22" t="n">
        <x:f>MAX(0,MIN('Activities'!L276,306)-MAX('Activities'!K276,300))</x:f>
        <x:v>0</x:v>
      </x:c>
      <x:c r="BD276" s="22" t="n">
        <x:f>MAX(0,MIN('Activities'!L276,312)-MAX('Activities'!K276,306))</x:f>
        <x:v>0</x:v>
      </x:c>
      <x:c r="BE276" s="22" t="n">
        <x:f>MAX(0,MIN('Activities'!L276,318)-MAX('Activities'!K276,312))</x:f>
        <x:v>0</x:v>
      </x:c>
      <x:c r="BF276" s="22" t="n">
        <x:f>MAX(0,MIN('Activities'!L276,324)-MAX('Activities'!K276,318))</x:f>
        <x:v>0</x:v>
      </x:c>
      <x:c r="BG276" s="22" t="n">
        <x:f>MAX(0,MIN('Activities'!L276,330)-MAX('Activities'!K276,324))</x:f>
        <x:v>0</x:v>
      </x:c>
      <x:c r="BH276" s="22" t="n">
        <x:f>MAX(0,MIN('Activities'!L276,336)-MAX('Activities'!K276,330))</x:f>
        <x:v>0</x:v>
      </x:c>
      <x:c r="BI276" s="22" t="n">
        <x:f>MAX(0,MIN('Activities'!L276,342)-MAX('Activities'!K276,336))</x:f>
        <x:v>0</x:v>
      </x:c>
      <x:c r="BJ276" s="22" t="n">
        <x:f>MAX(0,MIN('Activities'!L276,348)-MAX('Activities'!K276,342))</x:f>
        <x:v>0</x:v>
      </x:c>
      <x:c r="BK276" s="22" t="n">
        <x:f>MAX(0,MIN('Activities'!L276,354)-MAX('Activities'!K276,348))</x:f>
        <x:v>0</x:v>
      </x:c>
      <x:c r="BL276" s="22" t="n">
        <x:f>MAX(0,MIN('Activities'!L276,360)-MAX('Activities'!K276,354))</x:f>
        <x:v>0</x:v>
      </x:c>
      <x:c r="BM276" s="22" t="n">
        <x:f>MAX(0,MIN('Activities'!L276,366)-MAX('Activities'!K276,360))</x:f>
        <x:v>0</x:v>
      </x:c>
      <x:c r="BN276" s="22" t="n">
        <x:f>MAX(0,MIN('Activities'!L276,372)-MAX('Activities'!K276,366))</x:f>
        <x:v>0</x:v>
      </x:c>
      <x:c r="BO276" s="22" t="n">
        <x:f>MAX(0,MIN('Activities'!L276,378)-MAX('Activities'!K276,372))</x:f>
        <x:v>0</x:v>
      </x:c>
      <x:c r="BP276" s="22" t="n">
        <x:f>MAX(0,MIN('Activities'!L276,384)-MAX('Activities'!K276,378))</x:f>
        <x:v>0</x:v>
      </x:c>
      <x:c r="BQ276" s="22" t="n">
        <x:f>MAX(0,MIN('Activities'!L276,390)-MAX('Activities'!K276,384))</x:f>
        <x:v>5</x:v>
      </x:c>
      <x:c r="BR276" s="22" t="n">
        <x:f>MAX(0,MIN('Activities'!L276,396)-MAX('Activities'!K276,390))</x:f>
        <x:v>0</x:v>
      </x:c>
      <x:c r="BS276" s="22" t="n">
        <x:f>MAX(0,MIN('Activities'!L276,402)-MAX('Activities'!K276,396))</x:f>
        <x:v>0</x:v>
      </x:c>
      <x:c r="BT276" s="22" t="n">
        <x:f>MAX(0,MIN('Activities'!L276,408)-MAX('Activities'!K276,402))</x:f>
        <x:v>0</x:v>
      </x:c>
      <x:c r="BU276" s="22" t="n">
        <x:f>MAX(0,MIN('Activities'!L276,414)-MAX('Activities'!K276,408))</x:f>
        <x:v>0</x:v>
      </x:c>
      <x:c r="BV276" s="22" t="n">
        <x:f>MAX(0,MIN('Activities'!L276,420)-MAX('Activities'!K276,414))</x:f>
        <x:v>0</x:v>
      </x:c>
      <x:c r="BW276" s="22" t="n">
        <x:f>MAX(0,MIN('Activities'!L276,426)-MAX('Activities'!K276,420))</x:f>
        <x:v>0</x:v>
      </x:c>
      <x:c r="BX276" s="22" t="n">
        <x:f>MAX(0,MIN('Activities'!L276,432)-MAX('Activities'!K276,426))</x:f>
        <x:v>0</x:v>
      </x:c>
      <x:c r="BY276" s="22" t="n">
        <x:f>MAX(0,MIN('Activities'!L276,438)-MAX('Activities'!K276,432))</x:f>
        <x:v>0</x:v>
      </x:c>
      <x:c r="BZ276" s="22" t="n">
        <x:f>MAX(0,MIN('Activities'!L276,444)-MAX('Activities'!K276,438))</x:f>
        <x:v>0</x:v>
      </x:c>
      <x:c r="CA276" s="22" t="n">
        <x:f>MAX(0,MIN('Activities'!L276,450)-MAX('Activities'!K276,444))</x:f>
        <x:v>0</x:v>
      </x:c>
      <x:c r="CB276" s="22" t="n">
        <x:f>MAX(0,MIN('Activities'!L276,456)-MAX('Activities'!K276,450))</x:f>
        <x:v>0</x:v>
      </x:c>
      <x:c r="CC276" s="22" t="n">
        <x:f>MAX(0,MIN('Activities'!L276,462)-MAX('Activities'!K276,456))</x:f>
        <x:v>0</x:v>
      </x:c>
      <x:c r="CD276" s="22" t="n">
        <x:f>MAX(0,MIN('Activities'!L276,468)-MAX('Activities'!K276,462))</x:f>
        <x:v>0</x:v>
      </x:c>
      <x:c r="CE276" s="22" t="n">
        <x:f>MAX(0,MIN('Activities'!L276,474)-MAX('Activities'!K276,468))</x:f>
        <x:v>0</x:v>
      </x:c>
      <x:c r="CF276" s="22" t="n">
        <x:f>MAX(0,MIN('Activities'!L276,480)-MAX('Activities'!K276,474))</x:f>
        <x:v>0</x:v>
      </x:c>
      <x:c r="CG276" s="22" t="n">
        <x:f>MAX(0,MIN('Activities'!L276,486)-MAX('Activities'!K276,480))</x:f>
        <x:v>0</x:v>
      </x:c>
      <x:c r="CH276" s="22" t="n">
        <x:f>MAX(0,MIN('Activities'!L276,492)-MAX('Activities'!K276,486))</x:f>
        <x:v>0</x:v>
      </x:c>
      <x:c r="CI276" s="22" t="n">
        <x:f>MAX(0,MIN('Activities'!L276,498)-MAX('Activities'!K276,492))</x:f>
        <x:v>0</x:v>
      </x:c>
      <x:c r="CJ276" s="22" t="n">
        <x:f>MAX(0,MIN('Activities'!L276,504)-MAX('Activities'!K276,498))</x:f>
        <x:v>0</x:v>
      </x:c>
      <x:c r="CK276" s="22" t="n">
        <x:f>MAX(0,MIN('Activities'!L276,510)-MAX('Activities'!K276,504))</x:f>
        <x:v>0</x:v>
      </x:c>
      <x:c r="CL276" s="22" t="n">
        <x:f>MAX(0,MIN('Activities'!L276,516)-MAX('Activities'!K276,510))</x:f>
        <x:v>0</x:v>
      </x:c>
      <x:c r="CM276" s="22" t="n">
        <x:f>MAX(0,MIN('Activities'!L276,522)-MAX('Activities'!K276,516))</x:f>
        <x:v>0</x:v>
      </x:c>
      <x:c r="CN276" s="22" t="n">
        <x:f>MAX(0,MIN('Activities'!L276,528)-MAX('Activities'!K276,522))</x:f>
        <x:v>0</x:v>
      </x:c>
      <x:c r="CO276" s="22" t="n">
        <x:f>MAX(0,MIN('Activities'!L276,534)-MAX('Activities'!K276,528))</x:f>
        <x:v>0</x:v>
      </x:c>
      <x:c r="CP276" s="22" t="n">
        <x:f>MAX(0,MIN('Activities'!L276,540)-MAX('Activities'!K276,534))</x:f>
        <x:v>0</x:v>
      </x:c>
      <x:c r="CQ276" s="22" t="n">
        <x:f>MAX(0,MIN('Activities'!L276,546)-MAX('Activities'!K276,540))</x:f>
        <x:v>0</x:v>
      </x:c>
      <x:c r="CR276" s="22" t="n">
        <x:f>MAX(0,MIN('Activities'!L276,552)-MAX('Activities'!K276,546))</x:f>
        <x:v>0</x:v>
      </x:c>
      <x:c r="CS276" s="22" t="n">
        <x:f>MAX(0,MIN('Activities'!L276,558)-MAX('Activities'!K276,552))</x:f>
        <x:v>0</x:v>
      </x:c>
      <x:c r="CT276" s="22" t="n">
        <x:f>MAX(0,MIN('Activities'!L276,564)-MAX('Activities'!K276,558))</x:f>
        <x:v>0</x:v>
      </x:c>
      <x:c r="CU276" s="22" t="n">
        <x:f>MAX(0,MIN('Activities'!L276,570)-MAX('Activities'!K276,564))</x:f>
        <x:v>0</x:v>
      </x:c>
      <x:c r="CV276" s="22" t="n">
        <x:f>MAX(0,MIN('Activities'!L276,576)-MAX('Activities'!K276,570))</x:f>
        <x:v>0</x:v>
      </x:c>
      <x:c r="CW276" s="22" t="n">
        <x:f>MAX(0,MIN('Activities'!L276,582)-MAX('Activities'!K276,576))</x:f>
        <x:v>0</x:v>
      </x:c>
      <x:c r="CX276" s="22" t="n">
        <x:f>MAX(0,MIN('Activities'!L276,588)-MAX('Activities'!K276,582))</x:f>
        <x:v>0</x:v>
      </x:c>
      <x:c r="CY276" s="22" t="n">
        <x:f>MAX(0,MIN('Activities'!L276,594)-MAX('Activities'!K276,588))</x:f>
        <x:v>0</x:v>
      </x:c>
      <x:c r="CZ276" s="22" t="n">
        <x:f>MAX(0,MIN('Activities'!L276,600)-MAX('Activities'!K276,594))</x:f>
        <x:v>0</x:v>
      </x:c>
      <x:c r="DA276" s="22" t="n">
        <x:f>MAX(0,MIN('Activities'!L276,606)-MAX('Activities'!K276,600))</x:f>
        <x:v>0</x:v>
      </x:c>
      <x:c r="DB276" s="22" t="n">
        <x:f>MAX(0,MIN('Activities'!L276,612)-MAX('Activities'!K276,606))</x:f>
        <x:v>0</x:v>
      </x:c>
      <x:c r="DC276" s="22" t="n">
        <x:f>MAX(0,MIN('Activities'!L276,618)-MAX('Activities'!K276,612))</x:f>
        <x:v>0</x:v>
      </x:c>
      <x:c r="DD276" s="22" t="n">
        <x:f>MAX(0,MIN('Activities'!L276,624)-MAX('Activities'!K276,618))</x:f>
        <x:v>0</x:v>
      </x:c>
      <x:c r="DE276" s="22" t="n">
        <x:f>MAX(0,MIN('Activities'!L276,630)-MAX('Activities'!K276,624))</x:f>
        <x:v>0</x:v>
      </x:c>
      <x:c r="DF276" s="22" t="n">
        <x:f>MAX(0,MIN('Activities'!L276,636)-MAX('Activities'!K276,630))</x:f>
        <x:v>0</x:v>
      </x:c>
    </x:row>
    <x:row r="277" ht="23" customHeight="1">
      <x:c r="A277" s="1" t="str">
        <x:v>T2-L12-P</x:v>
      </x:c>
      <x:c r="B277" s="1" t="str">
        <x:v>T2</x:v>
      </x:c>
      <x:c r="C277" s="1" t="str">
        <x:v>Internal plaster</x:v>
      </x:c>
      <x:c r="D277" s="1" t="str">
        <x:v>Finishes</x:v>
      </x:c>
      <x:c r="E277" s="23" t="n">
        <x:f>MAX(0,MIN('Activities'!L277,6)-MAX('Activities'!K277,0))</x:f>
        <x:v>0</x:v>
      </x:c>
      <x:c r="F277" s="23" t="n">
        <x:f>MAX(0,MIN('Activities'!L277,12)-MAX('Activities'!K277,6))</x:f>
        <x:v>0</x:v>
      </x:c>
      <x:c r="G277" s="23" t="n">
        <x:f>MAX(0,MIN('Activities'!L277,18)-MAX('Activities'!K277,12))</x:f>
        <x:v>0</x:v>
      </x:c>
      <x:c r="H277" s="23" t="n">
        <x:f>MAX(0,MIN('Activities'!L277,24)-MAX('Activities'!K277,18))</x:f>
        <x:v>0</x:v>
      </x:c>
      <x:c r="I277" s="23" t="n">
        <x:f>MAX(0,MIN('Activities'!L277,30)-MAX('Activities'!K277,24))</x:f>
        <x:v>0</x:v>
      </x:c>
      <x:c r="J277" s="23" t="n">
        <x:f>MAX(0,MIN('Activities'!L277,36)-MAX('Activities'!K277,30))</x:f>
        <x:v>0</x:v>
      </x:c>
      <x:c r="K277" s="23" t="n">
        <x:f>MAX(0,MIN('Activities'!L277,42)-MAX('Activities'!K277,36))</x:f>
        <x:v>0</x:v>
      </x:c>
      <x:c r="L277" s="23" t="n">
        <x:f>MAX(0,MIN('Activities'!L277,48)-MAX('Activities'!K277,42))</x:f>
        <x:v>0</x:v>
      </x:c>
      <x:c r="M277" s="23" t="n">
        <x:f>MAX(0,MIN('Activities'!L277,54)-MAX('Activities'!K277,48))</x:f>
        <x:v>0</x:v>
      </x:c>
      <x:c r="N277" s="23" t="n">
        <x:f>MAX(0,MIN('Activities'!L277,60)-MAX('Activities'!K277,54))</x:f>
        <x:v>0</x:v>
      </x:c>
      <x:c r="O277" s="23" t="n">
        <x:f>MAX(0,MIN('Activities'!L277,66)-MAX('Activities'!K277,60))</x:f>
        <x:v>0</x:v>
      </x:c>
      <x:c r="P277" s="23" t="n">
        <x:f>MAX(0,MIN('Activities'!L277,72)-MAX('Activities'!K277,66))</x:f>
        <x:v>0</x:v>
      </x:c>
      <x:c r="Q277" s="23" t="n">
        <x:f>MAX(0,MIN('Activities'!L277,78)-MAX('Activities'!K277,72))</x:f>
        <x:v>0</x:v>
      </x:c>
      <x:c r="R277" s="23" t="n">
        <x:f>MAX(0,MIN('Activities'!L277,84)-MAX('Activities'!K277,78))</x:f>
        <x:v>0</x:v>
      </x:c>
      <x:c r="S277" s="23" t="n">
        <x:f>MAX(0,MIN('Activities'!L277,90)-MAX('Activities'!K277,84))</x:f>
        <x:v>0</x:v>
      </x:c>
      <x:c r="T277" s="23" t="n">
        <x:f>MAX(0,MIN('Activities'!L277,96)-MAX('Activities'!K277,90))</x:f>
        <x:v>0</x:v>
      </x:c>
      <x:c r="U277" s="23" t="n">
        <x:f>MAX(0,MIN('Activities'!L277,102)-MAX('Activities'!K277,96))</x:f>
        <x:v>0</x:v>
      </x:c>
      <x:c r="V277" s="23" t="n">
        <x:f>MAX(0,MIN('Activities'!L277,108)-MAX('Activities'!K277,102))</x:f>
        <x:v>0</x:v>
      </x:c>
      <x:c r="W277" s="23" t="n">
        <x:f>MAX(0,MIN('Activities'!L277,114)-MAX('Activities'!K277,108))</x:f>
        <x:v>0</x:v>
      </x:c>
      <x:c r="X277" s="23" t="n">
        <x:f>MAX(0,MIN('Activities'!L277,120)-MAX('Activities'!K277,114))</x:f>
        <x:v>0</x:v>
      </x:c>
      <x:c r="Y277" s="23" t="n">
        <x:f>MAX(0,MIN('Activities'!L277,126)-MAX('Activities'!K277,120))</x:f>
        <x:v>0</x:v>
      </x:c>
      <x:c r="Z277" s="23" t="n">
        <x:f>MAX(0,MIN('Activities'!L277,132)-MAX('Activities'!K277,126))</x:f>
        <x:v>0</x:v>
      </x:c>
      <x:c r="AA277" s="23" t="n">
        <x:f>MAX(0,MIN('Activities'!L277,138)-MAX('Activities'!K277,132))</x:f>
        <x:v>0</x:v>
      </x:c>
      <x:c r="AB277" s="23" t="n">
        <x:f>MAX(0,MIN('Activities'!L277,144)-MAX('Activities'!K277,138))</x:f>
        <x:v>0</x:v>
      </x:c>
      <x:c r="AC277" s="23" t="n">
        <x:f>MAX(0,MIN('Activities'!L277,150)-MAX('Activities'!K277,144))</x:f>
        <x:v>0</x:v>
      </x:c>
      <x:c r="AD277" s="23" t="n">
        <x:f>MAX(0,MIN('Activities'!L277,156)-MAX('Activities'!K277,150))</x:f>
        <x:v>0</x:v>
      </x:c>
      <x:c r="AE277" s="23" t="n">
        <x:f>MAX(0,MIN('Activities'!L277,162)-MAX('Activities'!K277,156))</x:f>
        <x:v>0</x:v>
      </x:c>
      <x:c r="AF277" s="23" t="n">
        <x:f>MAX(0,MIN('Activities'!L277,168)-MAX('Activities'!K277,162))</x:f>
        <x:v>0</x:v>
      </x:c>
      <x:c r="AG277" s="23" t="n">
        <x:f>MAX(0,MIN('Activities'!L277,174)-MAX('Activities'!K277,168))</x:f>
        <x:v>0</x:v>
      </x:c>
      <x:c r="AH277" s="23" t="n">
        <x:f>MAX(0,MIN('Activities'!L277,180)-MAX('Activities'!K277,174))</x:f>
        <x:v>0</x:v>
      </x:c>
      <x:c r="AI277" s="23" t="n">
        <x:f>MAX(0,MIN('Activities'!L277,186)-MAX('Activities'!K277,180))</x:f>
        <x:v>0</x:v>
      </x:c>
      <x:c r="AJ277" s="23" t="n">
        <x:f>MAX(0,MIN('Activities'!L277,192)-MAX('Activities'!K277,186))</x:f>
        <x:v>0</x:v>
      </x:c>
      <x:c r="AK277" s="23" t="n">
        <x:f>MAX(0,MIN('Activities'!L277,198)-MAX('Activities'!K277,192))</x:f>
        <x:v>0</x:v>
      </x:c>
      <x:c r="AL277" s="23" t="n">
        <x:f>MAX(0,MIN('Activities'!L277,204)-MAX('Activities'!K277,198))</x:f>
        <x:v>0</x:v>
      </x:c>
      <x:c r="AM277" s="23" t="n">
        <x:f>MAX(0,MIN('Activities'!L277,210)-MAX('Activities'!K277,204))</x:f>
        <x:v>0</x:v>
      </x:c>
      <x:c r="AN277" s="23" t="n">
        <x:f>MAX(0,MIN('Activities'!L277,216)-MAX('Activities'!K277,210))</x:f>
        <x:v>0</x:v>
      </x:c>
      <x:c r="AO277" s="23" t="n">
        <x:f>MAX(0,MIN('Activities'!L277,222)-MAX('Activities'!K277,216))</x:f>
        <x:v>0</x:v>
      </x:c>
      <x:c r="AP277" s="23" t="n">
        <x:f>MAX(0,MIN('Activities'!L277,228)-MAX('Activities'!K277,222))</x:f>
        <x:v>0</x:v>
      </x:c>
      <x:c r="AQ277" s="23" t="n">
        <x:f>MAX(0,MIN('Activities'!L277,234)-MAX('Activities'!K277,228))</x:f>
        <x:v>0</x:v>
      </x:c>
      <x:c r="AR277" s="23" t="n">
        <x:f>MAX(0,MIN('Activities'!L277,240)-MAX('Activities'!K277,234))</x:f>
        <x:v>0</x:v>
      </x:c>
      <x:c r="AS277" s="23" t="n">
        <x:f>MAX(0,MIN('Activities'!L277,246)-MAX('Activities'!K277,240))</x:f>
        <x:v>0</x:v>
      </x:c>
      <x:c r="AT277" s="23" t="n">
        <x:f>MAX(0,MIN('Activities'!L277,252)-MAX('Activities'!K277,246))</x:f>
        <x:v>0</x:v>
      </x:c>
      <x:c r="AU277" s="23" t="n">
        <x:f>MAX(0,MIN('Activities'!L277,258)-MAX('Activities'!K277,252))</x:f>
        <x:v>0</x:v>
      </x:c>
      <x:c r="AV277" s="23" t="n">
        <x:f>MAX(0,MIN('Activities'!L277,264)-MAX('Activities'!K277,258))</x:f>
        <x:v>0</x:v>
      </x:c>
      <x:c r="AW277" s="23" t="n">
        <x:f>MAX(0,MIN('Activities'!L277,270)-MAX('Activities'!K277,264))</x:f>
        <x:v>0</x:v>
      </x:c>
      <x:c r="AX277" s="23" t="n">
        <x:f>MAX(0,MIN('Activities'!L277,276)-MAX('Activities'!K277,270))</x:f>
        <x:v>0</x:v>
      </x:c>
      <x:c r="AY277" s="23" t="n">
        <x:f>MAX(0,MIN('Activities'!L277,282)-MAX('Activities'!K277,276))</x:f>
        <x:v>0</x:v>
      </x:c>
      <x:c r="AZ277" s="23" t="n">
        <x:f>MAX(0,MIN('Activities'!L277,288)-MAX('Activities'!K277,282))</x:f>
        <x:v>0</x:v>
      </x:c>
      <x:c r="BA277" s="23" t="n">
        <x:f>MAX(0,MIN('Activities'!L277,294)-MAX('Activities'!K277,288))</x:f>
        <x:v>0</x:v>
      </x:c>
      <x:c r="BB277" s="23" t="n">
        <x:f>MAX(0,MIN('Activities'!L277,300)-MAX('Activities'!K277,294))</x:f>
        <x:v>0</x:v>
      </x:c>
      <x:c r="BC277" s="23" t="n">
        <x:f>MAX(0,MIN('Activities'!L277,306)-MAX('Activities'!K277,300))</x:f>
        <x:v>0</x:v>
      </x:c>
      <x:c r="BD277" s="23" t="n">
        <x:f>MAX(0,MIN('Activities'!L277,312)-MAX('Activities'!K277,306))</x:f>
        <x:v>0</x:v>
      </x:c>
      <x:c r="BE277" s="23" t="n">
        <x:f>MAX(0,MIN('Activities'!L277,318)-MAX('Activities'!K277,312))</x:f>
        <x:v>0</x:v>
      </x:c>
      <x:c r="BF277" s="23" t="n">
        <x:f>MAX(0,MIN('Activities'!L277,324)-MAX('Activities'!K277,318))</x:f>
        <x:v>0</x:v>
      </x:c>
      <x:c r="BG277" s="23" t="n">
        <x:f>MAX(0,MIN('Activities'!L277,330)-MAX('Activities'!K277,324))</x:f>
        <x:v>0</x:v>
      </x:c>
      <x:c r="BH277" s="23" t="n">
        <x:f>MAX(0,MIN('Activities'!L277,336)-MAX('Activities'!K277,330))</x:f>
        <x:v>0</x:v>
      </x:c>
      <x:c r="BI277" s="23" t="n">
        <x:f>MAX(0,MIN('Activities'!L277,342)-MAX('Activities'!K277,336))</x:f>
        <x:v>0</x:v>
      </x:c>
      <x:c r="BJ277" s="23" t="n">
        <x:f>MAX(0,MIN('Activities'!L277,348)-MAX('Activities'!K277,342))</x:f>
        <x:v>0</x:v>
      </x:c>
      <x:c r="BK277" s="23" t="n">
        <x:f>MAX(0,MIN('Activities'!L277,354)-MAX('Activities'!K277,348))</x:f>
        <x:v>0</x:v>
      </x:c>
      <x:c r="BL277" s="23" t="n">
        <x:f>MAX(0,MIN('Activities'!L277,360)-MAX('Activities'!K277,354))</x:f>
        <x:v>0</x:v>
      </x:c>
      <x:c r="BM277" s="23" t="n">
        <x:f>MAX(0,MIN('Activities'!L277,366)-MAX('Activities'!K277,360))</x:f>
        <x:v>0</x:v>
      </x:c>
      <x:c r="BN277" s="23" t="n">
        <x:f>MAX(0,MIN('Activities'!L277,372)-MAX('Activities'!K277,366))</x:f>
        <x:v>0</x:v>
      </x:c>
      <x:c r="BO277" s="23" t="n">
        <x:f>MAX(0,MIN('Activities'!L277,378)-MAX('Activities'!K277,372))</x:f>
        <x:v>0</x:v>
      </x:c>
      <x:c r="BP277" s="23" t="n">
        <x:f>MAX(0,MIN('Activities'!L277,384)-MAX('Activities'!K277,378))</x:f>
        <x:v>0</x:v>
      </x:c>
      <x:c r="BQ277" s="23" t="n">
        <x:f>MAX(0,MIN('Activities'!L277,390)-MAX('Activities'!K277,384))</x:f>
        <x:v>0</x:v>
      </x:c>
      <x:c r="BR277" s="23" t="n">
        <x:f>MAX(0,MIN('Activities'!L277,396)-MAX('Activities'!K277,390))</x:f>
        <x:v>3</x:v>
      </x:c>
      <x:c r="BS277" s="23" t="n">
        <x:f>MAX(0,MIN('Activities'!L277,402)-MAX('Activities'!K277,396))</x:f>
        <x:v>3</x:v>
      </x:c>
      <x:c r="BT277" s="23" t="n">
        <x:f>MAX(0,MIN('Activities'!L277,408)-MAX('Activities'!K277,402))</x:f>
        <x:v>0</x:v>
      </x:c>
      <x:c r="BU277" s="23" t="n">
        <x:f>MAX(0,MIN('Activities'!L277,414)-MAX('Activities'!K277,408))</x:f>
        <x:v>0</x:v>
      </x:c>
      <x:c r="BV277" s="23" t="n">
        <x:f>MAX(0,MIN('Activities'!L277,420)-MAX('Activities'!K277,414))</x:f>
        <x:v>0</x:v>
      </x:c>
      <x:c r="BW277" s="23" t="n">
        <x:f>MAX(0,MIN('Activities'!L277,426)-MAX('Activities'!K277,420))</x:f>
        <x:v>0</x:v>
      </x:c>
      <x:c r="BX277" s="23" t="n">
        <x:f>MAX(0,MIN('Activities'!L277,432)-MAX('Activities'!K277,426))</x:f>
        <x:v>0</x:v>
      </x:c>
      <x:c r="BY277" s="23" t="n">
        <x:f>MAX(0,MIN('Activities'!L277,438)-MAX('Activities'!K277,432))</x:f>
        <x:v>0</x:v>
      </x:c>
      <x:c r="BZ277" s="23" t="n">
        <x:f>MAX(0,MIN('Activities'!L277,444)-MAX('Activities'!K277,438))</x:f>
        <x:v>0</x:v>
      </x:c>
      <x:c r="CA277" s="23" t="n">
        <x:f>MAX(0,MIN('Activities'!L277,450)-MAX('Activities'!K277,444))</x:f>
        <x:v>0</x:v>
      </x:c>
      <x:c r="CB277" s="23" t="n">
        <x:f>MAX(0,MIN('Activities'!L277,456)-MAX('Activities'!K277,450))</x:f>
        <x:v>0</x:v>
      </x:c>
      <x:c r="CC277" s="23" t="n">
        <x:f>MAX(0,MIN('Activities'!L277,462)-MAX('Activities'!K277,456))</x:f>
        <x:v>0</x:v>
      </x:c>
      <x:c r="CD277" s="23" t="n">
        <x:f>MAX(0,MIN('Activities'!L277,468)-MAX('Activities'!K277,462))</x:f>
        <x:v>0</x:v>
      </x:c>
      <x:c r="CE277" s="23" t="n">
        <x:f>MAX(0,MIN('Activities'!L277,474)-MAX('Activities'!K277,468))</x:f>
        <x:v>0</x:v>
      </x:c>
      <x:c r="CF277" s="23" t="n">
        <x:f>MAX(0,MIN('Activities'!L277,480)-MAX('Activities'!K277,474))</x:f>
        <x:v>0</x:v>
      </x:c>
      <x:c r="CG277" s="23" t="n">
        <x:f>MAX(0,MIN('Activities'!L277,486)-MAX('Activities'!K277,480))</x:f>
        <x:v>0</x:v>
      </x:c>
      <x:c r="CH277" s="23" t="n">
        <x:f>MAX(0,MIN('Activities'!L277,492)-MAX('Activities'!K277,486))</x:f>
        <x:v>0</x:v>
      </x:c>
      <x:c r="CI277" s="23" t="n">
        <x:f>MAX(0,MIN('Activities'!L277,498)-MAX('Activities'!K277,492))</x:f>
        <x:v>0</x:v>
      </x:c>
      <x:c r="CJ277" s="23" t="n">
        <x:f>MAX(0,MIN('Activities'!L277,504)-MAX('Activities'!K277,498))</x:f>
        <x:v>0</x:v>
      </x:c>
      <x:c r="CK277" s="23" t="n">
        <x:f>MAX(0,MIN('Activities'!L277,510)-MAX('Activities'!K277,504))</x:f>
        <x:v>0</x:v>
      </x:c>
      <x:c r="CL277" s="23" t="n">
        <x:f>MAX(0,MIN('Activities'!L277,516)-MAX('Activities'!K277,510))</x:f>
        <x:v>0</x:v>
      </x:c>
      <x:c r="CM277" s="23" t="n">
        <x:f>MAX(0,MIN('Activities'!L277,522)-MAX('Activities'!K277,516))</x:f>
        <x:v>0</x:v>
      </x:c>
      <x:c r="CN277" s="23" t="n">
        <x:f>MAX(0,MIN('Activities'!L277,528)-MAX('Activities'!K277,522))</x:f>
        <x:v>0</x:v>
      </x:c>
      <x:c r="CO277" s="23" t="n">
        <x:f>MAX(0,MIN('Activities'!L277,534)-MAX('Activities'!K277,528))</x:f>
        <x:v>0</x:v>
      </x:c>
      <x:c r="CP277" s="23" t="n">
        <x:f>MAX(0,MIN('Activities'!L277,540)-MAX('Activities'!K277,534))</x:f>
        <x:v>0</x:v>
      </x:c>
      <x:c r="CQ277" s="23" t="n">
        <x:f>MAX(0,MIN('Activities'!L277,546)-MAX('Activities'!K277,540))</x:f>
        <x:v>0</x:v>
      </x:c>
      <x:c r="CR277" s="23" t="n">
        <x:f>MAX(0,MIN('Activities'!L277,552)-MAX('Activities'!K277,546))</x:f>
        <x:v>0</x:v>
      </x:c>
      <x:c r="CS277" s="23" t="n">
        <x:f>MAX(0,MIN('Activities'!L277,558)-MAX('Activities'!K277,552))</x:f>
        <x:v>0</x:v>
      </x:c>
      <x:c r="CT277" s="23" t="n">
        <x:f>MAX(0,MIN('Activities'!L277,564)-MAX('Activities'!K277,558))</x:f>
        <x:v>0</x:v>
      </x:c>
      <x:c r="CU277" s="23" t="n">
        <x:f>MAX(0,MIN('Activities'!L277,570)-MAX('Activities'!K277,564))</x:f>
        <x:v>0</x:v>
      </x:c>
      <x:c r="CV277" s="23" t="n">
        <x:f>MAX(0,MIN('Activities'!L277,576)-MAX('Activities'!K277,570))</x:f>
        <x:v>0</x:v>
      </x:c>
      <x:c r="CW277" s="23" t="n">
        <x:f>MAX(0,MIN('Activities'!L277,582)-MAX('Activities'!K277,576))</x:f>
        <x:v>0</x:v>
      </x:c>
      <x:c r="CX277" s="23" t="n">
        <x:f>MAX(0,MIN('Activities'!L277,588)-MAX('Activities'!K277,582))</x:f>
        <x:v>0</x:v>
      </x:c>
      <x:c r="CY277" s="23" t="n">
        <x:f>MAX(0,MIN('Activities'!L277,594)-MAX('Activities'!K277,588))</x:f>
        <x:v>0</x:v>
      </x:c>
      <x:c r="CZ277" s="23" t="n">
        <x:f>MAX(0,MIN('Activities'!L277,600)-MAX('Activities'!K277,594))</x:f>
        <x:v>0</x:v>
      </x:c>
      <x:c r="DA277" s="23" t="n">
        <x:f>MAX(0,MIN('Activities'!L277,606)-MAX('Activities'!K277,600))</x:f>
        <x:v>0</x:v>
      </x:c>
      <x:c r="DB277" s="23" t="n">
        <x:f>MAX(0,MIN('Activities'!L277,612)-MAX('Activities'!K277,606))</x:f>
        <x:v>0</x:v>
      </x:c>
      <x:c r="DC277" s="23" t="n">
        <x:f>MAX(0,MIN('Activities'!L277,618)-MAX('Activities'!K277,612))</x:f>
        <x:v>0</x:v>
      </x:c>
      <x:c r="DD277" s="23" t="n">
        <x:f>MAX(0,MIN('Activities'!L277,624)-MAX('Activities'!K277,618))</x:f>
        <x:v>0</x:v>
      </x:c>
      <x:c r="DE277" s="23" t="n">
        <x:f>MAX(0,MIN('Activities'!L277,630)-MAX('Activities'!K277,624))</x:f>
        <x:v>0</x:v>
      </x:c>
      <x:c r="DF277" s="23" t="n">
        <x:f>MAX(0,MIN('Activities'!L277,636)-MAX('Activities'!K277,630))</x:f>
        <x:v>0</x:v>
      </x:c>
    </x:row>
    <x:row r="278" ht="23" customHeight="1">
      <x:c r="A278" s="6" t="str">
        <x:v>T2-L12-S</x:v>
      </x:c>
      <x:c r="B278" s="6" t="str">
        <x:v>T2</x:v>
      </x:c>
      <x:c r="C278" s="6" t="str">
        <x:v>Screed and substrate preparation</x:v>
      </x:c>
      <x:c r="D278" s="6" t="str">
        <x:v>Finishes</x:v>
      </x:c>
      <x:c r="E278" s="22" t="n">
        <x:f>MAX(0,MIN('Activities'!L278,6)-MAX('Activities'!K278,0))</x:f>
        <x:v>0</x:v>
      </x:c>
      <x:c r="F278" s="22" t="n">
        <x:f>MAX(0,MIN('Activities'!L278,12)-MAX('Activities'!K278,6))</x:f>
        <x:v>0</x:v>
      </x:c>
      <x:c r="G278" s="22" t="n">
        <x:f>MAX(0,MIN('Activities'!L278,18)-MAX('Activities'!K278,12))</x:f>
        <x:v>0</x:v>
      </x:c>
      <x:c r="H278" s="22" t="n">
        <x:f>MAX(0,MIN('Activities'!L278,24)-MAX('Activities'!K278,18))</x:f>
        <x:v>0</x:v>
      </x:c>
      <x:c r="I278" s="22" t="n">
        <x:f>MAX(0,MIN('Activities'!L278,30)-MAX('Activities'!K278,24))</x:f>
        <x:v>0</x:v>
      </x:c>
      <x:c r="J278" s="22" t="n">
        <x:f>MAX(0,MIN('Activities'!L278,36)-MAX('Activities'!K278,30))</x:f>
        <x:v>0</x:v>
      </x:c>
      <x:c r="K278" s="22" t="n">
        <x:f>MAX(0,MIN('Activities'!L278,42)-MAX('Activities'!K278,36))</x:f>
        <x:v>0</x:v>
      </x:c>
      <x:c r="L278" s="22" t="n">
        <x:f>MAX(0,MIN('Activities'!L278,48)-MAX('Activities'!K278,42))</x:f>
        <x:v>0</x:v>
      </x:c>
      <x:c r="M278" s="22" t="n">
        <x:f>MAX(0,MIN('Activities'!L278,54)-MAX('Activities'!K278,48))</x:f>
        <x:v>0</x:v>
      </x:c>
      <x:c r="N278" s="22" t="n">
        <x:f>MAX(0,MIN('Activities'!L278,60)-MAX('Activities'!K278,54))</x:f>
        <x:v>0</x:v>
      </x:c>
      <x:c r="O278" s="22" t="n">
        <x:f>MAX(0,MIN('Activities'!L278,66)-MAX('Activities'!K278,60))</x:f>
        <x:v>0</x:v>
      </x:c>
      <x:c r="P278" s="22" t="n">
        <x:f>MAX(0,MIN('Activities'!L278,72)-MAX('Activities'!K278,66))</x:f>
        <x:v>0</x:v>
      </x:c>
      <x:c r="Q278" s="22" t="n">
        <x:f>MAX(0,MIN('Activities'!L278,78)-MAX('Activities'!K278,72))</x:f>
        <x:v>0</x:v>
      </x:c>
      <x:c r="R278" s="22" t="n">
        <x:f>MAX(0,MIN('Activities'!L278,84)-MAX('Activities'!K278,78))</x:f>
        <x:v>0</x:v>
      </x:c>
      <x:c r="S278" s="22" t="n">
        <x:f>MAX(0,MIN('Activities'!L278,90)-MAX('Activities'!K278,84))</x:f>
        <x:v>0</x:v>
      </x:c>
      <x:c r="T278" s="22" t="n">
        <x:f>MAX(0,MIN('Activities'!L278,96)-MAX('Activities'!K278,90))</x:f>
        <x:v>0</x:v>
      </x:c>
      <x:c r="U278" s="22" t="n">
        <x:f>MAX(0,MIN('Activities'!L278,102)-MAX('Activities'!K278,96))</x:f>
        <x:v>0</x:v>
      </x:c>
      <x:c r="V278" s="22" t="n">
        <x:f>MAX(0,MIN('Activities'!L278,108)-MAX('Activities'!K278,102))</x:f>
        <x:v>0</x:v>
      </x:c>
      <x:c r="W278" s="22" t="n">
        <x:f>MAX(0,MIN('Activities'!L278,114)-MAX('Activities'!K278,108))</x:f>
        <x:v>0</x:v>
      </x:c>
      <x:c r="X278" s="22" t="n">
        <x:f>MAX(0,MIN('Activities'!L278,120)-MAX('Activities'!K278,114))</x:f>
        <x:v>0</x:v>
      </x:c>
      <x:c r="Y278" s="22" t="n">
        <x:f>MAX(0,MIN('Activities'!L278,126)-MAX('Activities'!K278,120))</x:f>
        <x:v>0</x:v>
      </x:c>
      <x:c r="Z278" s="22" t="n">
        <x:f>MAX(0,MIN('Activities'!L278,132)-MAX('Activities'!K278,126))</x:f>
        <x:v>0</x:v>
      </x:c>
      <x:c r="AA278" s="22" t="n">
        <x:f>MAX(0,MIN('Activities'!L278,138)-MAX('Activities'!K278,132))</x:f>
        <x:v>0</x:v>
      </x:c>
      <x:c r="AB278" s="22" t="n">
        <x:f>MAX(0,MIN('Activities'!L278,144)-MAX('Activities'!K278,138))</x:f>
        <x:v>0</x:v>
      </x:c>
      <x:c r="AC278" s="22" t="n">
        <x:f>MAX(0,MIN('Activities'!L278,150)-MAX('Activities'!K278,144))</x:f>
        <x:v>0</x:v>
      </x:c>
      <x:c r="AD278" s="22" t="n">
        <x:f>MAX(0,MIN('Activities'!L278,156)-MAX('Activities'!K278,150))</x:f>
        <x:v>0</x:v>
      </x:c>
      <x:c r="AE278" s="22" t="n">
        <x:f>MAX(0,MIN('Activities'!L278,162)-MAX('Activities'!K278,156))</x:f>
        <x:v>0</x:v>
      </x:c>
      <x:c r="AF278" s="22" t="n">
        <x:f>MAX(0,MIN('Activities'!L278,168)-MAX('Activities'!K278,162))</x:f>
        <x:v>0</x:v>
      </x:c>
      <x:c r="AG278" s="22" t="n">
        <x:f>MAX(0,MIN('Activities'!L278,174)-MAX('Activities'!K278,168))</x:f>
        <x:v>0</x:v>
      </x:c>
      <x:c r="AH278" s="22" t="n">
        <x:f>MAX(0,MIN('Activities'!L278,180)-MAX('Activities'!K278,174))</x:f>
        <x:v>0</x:v>
      </x:c>
      <x:c r="AI278" s="22" t="n">
        <x:f>MAX(0,MIN('Activities'!L278,186)-MAX('Activities'!K278,180))</x:f>
        <x:v>0</x:v>
      </x:c>
      <x:c r="AJ278" s="22" t="n">
        <x:f>MAX(0,MIN('Activities'!L278,192)-MAX('Activities'!K278,186))</x:f>
        <x:v>0</x:v>
      </x:c>
      <x:c r="AK278" s="22" t="n">
        <x:f>MAX(0,MIN('Activities'!L278,198)-MAX('Activities'!K278,192))</x:f>
        <x:v>0</x:v>
      </x:c>
      <x:c r="AL278" s="22" t="n">
        <x:f>MAX(0,MIN('Activities'!L278,204)-MAX('Activities'!K278,198))</x:f>
        <x:v>0</x:v>
      </x:c>
      <x:c r="AM278" s="22" t="n">
        <x:f>MAX(0,MIN('Activities'!L278,210)-MAX('Activities'!K278,204))</x:f>
        <x:v>0</x:v>
      </x:c>
      <x:c r="AN278" s="22" t="n">
        <x:f>MAX(0,MIN('Activities'!L278,216)-MAX('Activities'!K278,210))</x:f>
        <x:v>0</x:v>
      </x:c>
      <x:c r="AO278" s="22" t="n">
        <x:f>MAX(0,MIN('Activities'!L278,222)-MAX('Activities'!K278,216))</x:f>
        <x:v>0</x:v>
      </x:c>
      <x:c r="AP278" s="22" t="n">
        <x:f>MAX(0,MIN('Activities'!L278,228)-MAX('Activities'!K278,222))</x:f>
        <x:v>0</x:v>
      </x:c>
      <x:c r="AQ278" s="22" t="n">
        <x:f>MAX(0,MIN('Activities'!L278,234)-MAX('Activities'!K278,228))</x:f>
        <x:v>0</x:v>
      </x:c>
      <x:c r="AR278" s="22" t="n">
        <x:f>MAX(0,MIN('Activities'!L278,240)-MAX('Activities'!K278,234))</x:f>
        <x:v>0</x:v>
      </x:c>
      <x:c r="AS278" s="22" t="n">
        <x:f>MAX(0,MIN('Activities'!L278,246)-MAX('Activities'!K278,240))</x:f>
        <x:v>0</x:v>
      </x:c>
      <x:c r="AT278" s="22" t="n">
        <x:f>MAX(0,MIN('Activities'!L278,252)-MAX('Activities'!K278,246))</x:f>
        <x:v>0</x:v>
      </x:c>
      <x:c r="AU278" s="22" t="n">
        <x:f>MAX(0,MIN('Activities'!L278,258)-MAX('Activities'!K278,252))</x:f>
        <x:v>0</x:v>
      </x:c>
      <x:c r="AV278" s="22" t="n">
        <x:f>MAX(0,MIN('Activities'!L278,264)-MAX('Activities'!K278,258))</x:f>
        <x:v>0</x:v>
      </x:c>
      <x:c r="AW278" s="22" t="n">
        <x:f>MAX(0,MIN('Activities'!L278,270)-MAX('Activities'!K278,264))</x:f>
        <x:v>0</x:v>
      </x:c>
      <x:c r="AX278" s="22" t="n">
        <x:f>MAX(0,MIN('Activities'!L278,276)-MAX('Activities'!K278,270))</x:f>
        <x:v>0</x:v>
      </x:c>
      <x:c r="AY278" s="22" t="n">
        <x:f>MAX(0,MIN('Activities'!L278,282)-MAX('Activities'!K278,276))</x:f>
        <x:v>0</x:v>
      </x:c>
      <x:c r="AZ278" s="22" t="n">
        <x:f>MAX(0,MIN('Activities'!L278,288)-MAX('Activities'!K278,282))</x:f>
        <x:v>0</x:v>
      </x:c>
      <x:c r="BA278" s="22" t="n">
        <x:f>MAX(0,MIN('Activities'!L278,294)-MAX('Activities'!K278,288))</x:f>
        <x:v>0</x:v>
      </x:c>
      <x:c r="BB278" s="22" t="n">
        <x:f>MAX(0,MIN('Activities'!L278,300)-MAX('Activities'!K278,294))</x:f>
        <x:v>0</x:v>
      </x:c>
      <x:c r="BC278" s="22" t="n">
        <x:f>MAX(0,MIN('Activities'!L278,306)-MAX('Activities'!K278,300))</x:f>
        <x:v>0</x:v>
      </x:c>
      <x:c r="BD278" s="22" t="n">
        <x:f>MAX(0,MIN('Activities'!L278,312)-MAX('Activities'!K278,306))</x:f>
        <x:v>0</x:v>
      </x:c>
      <x:c r="BE278" s="22" t="n">
        <x:f>MAX(0,MIN('Activities'!L278,318)-MAX('Activities'!K278,312))</x:f>
        <x:v>0</x:v>
      </x:c>
      <x:c r="BF278" s="22" t="n">
        <x:f>MAX(0,MIN('Activities'!L278,324)-MAX('Activities'!K278,318))</x:f>
        <x:v>0</x:v>
      </x:c>
      <x:c r="BG278" s="22" t="n">
        <x:f>MAX(0,MIN('Activities'!L278,330)-MAX('Activities'!K278,324))</x:f>
        <x:v>0</x:v>
      </x:c>
      <x:c r="BH278" s="22" t="n">
        <x:f>MAX(0,MIN('Activities'!L278,336)-MAX('Activities'!K278,330))</x:f>
        <x:v>0</x:v>
      </x:c>
      <x:c r="BI278" s="22" t="n">
        <x:f>MAX(0,MIN('Activities'!L278,342)-MAX('Activities'!K278,336))</x:f>
        <x:v>0</x:v>
      </x:c>
      <x:c r="BJ278" s="22" t="n">
        <x:f>MAX(0,MIN('Activities'!L278,348)-MAX('Activities'!K278,342))</x:f>
        <x:v>0</x:v>
      </x:c>
      <x:c r="BK278" s="22" t="n">
        <x:f>MAX(0,MIN('Activities'!L278,354)-MAX('Activities'!K278,348))</x:f>
        <x:v>0</x:v>
      </x:c>
      <x:c r="BL278" s="22" t="n">
        <x:f>MAX(0,MIN('Activities'!L278,360)-MAX('Activities'!K278,354))</x:f>
        <x:v>0</x:v>
      </x:c>
      <x:c r="BM278" s="22" t="n">
        <x:f>MAX(0,MIN('Activities'!L278,366)-MAX('Activities'!K278,360))</x:f>
        <x:v>0</x:v>
      </x:c>
      <x:c r="BN278" s="22" t="n">
        <x:f>MAX(0,MIN('Activities'!L278,372)-MAX('Activities'!K278,366))</x:f>
        <x:v>0</x:v>
      </x:c>
      <x:c r="BO278" s="22" t="n">
        <x:f>MAX(0,MIN('Activities'!L278,378)-MAX('Activities'!K278,372))</x:f>
        <x:v>0</x:v>
      </x:c>
      <x:c r="BP278" s="22" t="n">
        <x:f>MAX(0,MIN('Activities'!L278,384)-MAX('Activities'!K278,378))</x:f>
        <x:v>0</x:v>
      </x:c>
      <x:c r="BQ278" s="22" t="n">
        <x:f>MAX(0,MIN('Activities'!L278,390)-MAX('Activities'!K278,384))</x:f>
        <x:v>0</x:v>
      </x:c>
      <x:c r="BR278" s="22" t="n">
        <x:f>MAX(0,MIN('Activities'!L278,396)-MAX('Activities'!K278,390))</x:f>
        <x:v>0</x:v>
      </x:c>
      <x:c r="BS278" s="22" t="n">
        <x:f>MAX(0,MIN('Activities'!L278,402)-MAX('Activities'!K278,396))</x:f>
        <x:v>1</x:v>
      </x:c>
      <x:c r="BT278" s="22" t="n">
        <x:f>MAX(0,MIN('Activities'!L278,408)-MAX('Activities'!K278,402))</x:f>
        <x:v>2</x:v>
      </x:c>
      <x:c r="BU278" s="22" t="n">
        <x:f>MAX(0,MIN('Activities'!L278,414)-MAX('Activities'!K278,408))</x:f>
        <x:v>0</x:v>
      </x:c>
      <x:c r="BV278" s="22" t="n">
        <x:f>MAX(0,MIN('Activities'!L278,420)-MAX('Activities'!K278,414))</x:f>
        <x:v>0</x:v>
      </x:c>
      <x:c r="BW278" s="22" t="n">
        <x:f>MAX(0,MIN('Activities'!L278,426)-MAX('Activities'!K278,420))</x:f>
        <x:v>0</x:v>
      </x:c>
      <x:c r="BX278" s="22" t="n">
        <x:f>MAX(0,MIN('Activities'!L278,432)-MAX('Activities'!K278,426))</x:f>
        <x:v>0</x:v>
      </x:c>
      <x:c r="BY278" s="22" t="n">
        <x:f>MAX(0,MIN('Activities'!L278,438)-MAX('Activities'!K278,432))</x:f>
        <x:v>0</x:v>
      </x:c>
      <x:c r="BZ278" s="22" t="n">
        <x:f>MAX(0,MIN('Activities'!L278,444)-MAX('Activities'!K278,438))</x:f>
        <x:v>0</x:v>
      </x:c>
      <x:c r="CA278" s="22" t="n">
        <x:f>MAX(0,MIN('Activities'!L278,450)-MAX('Activities'!K278,444))</x:f>
        <x:v>0</x:v>
      </x:c>
      <x:c r="CB278" s="22" t="n">
        <x:f>MAX(0,MIN('Activities'!L278,456)-MAX('Activities'!K278,450))</x:f>
        <x:v>0</x:v>
      </x:c>
      <x:c r="CC278" s="22" t="n">
        <x:f>MAX(0,MIN('Activities'!L278,462)-MAX('Activities'!K278,456))</x:f>
        <x:v>0</x:v>
      </x:c>
      <x:c r="CD278" s="22" t="n">
        <x:f>MAX(0,MIN('Activities'!L278,468)-MAX('Activities'!K278,462))</x:f>
        <x:v>0</x:v>
      </x:c>
      <x:c r="CE278" s="22" t="n">
        <x:f>MAX(0,MIN('Activities'!L278,474)-MAX('Activities'!K278,468))</x:f>
        <x:v>0</x:v>
      </x:c>
      <x:c r="CF278" s="22" t="n">
        <x:f>MAX(0,MIN('Activities'!L278,480)-MAX('Activities'!K278,474))</x:f>
        <x:v>0</x:v>
      </x:c>
      <x:c r="CG278" s="22" t="n">
        <x:f>MAX(0,MIN('Activities'!L278,486)-MAX('Activities'!K278,480))</x:f>
        <x:v>0</x:v>
      </x:c>
      <x:c r="CH278" s="22" t="n">
        <x:f>MAX(0,MIN('Activities'!L278,492)-MAX('Activities'!K278,486))</x:f>
        <x:v>0</x:v>
      </x:c>
      <x:c r="CI278" s="22" t="n">
        <x:f>MAX(0,MIN('Activities'!L278,498)-MAX('Activities'!K278,492))</x:f>
        <x:v>0</x:v>
      </x:c>
      <x:c r="CJ278" s="22" t="n">
        <x:f>MAX(0,MIN('Activities'!L278,504)-MAX('Activities'!K278,498))</x:f>
        <x:v>0</x:v>
      </x:c>
      <x:c r="CK278" s="22" t="n">
        <x:f>MAX(0,MIN('Activities'!L278,510)-MAX('Activities'!K278,504))</x:f>
        <x:v>0</x:v>
      </x:c>
      <x:c r="CL278" s="22" t="n">
        <x:f>MAX(0,MIN('Activities'!L278,516)-MAX('Activities'!K278,510))</x:f>
        <x:v>0</x:v>
      </x:c>
      <x:c r="CM278" s="22" t="n">
        <x:f>MAX(0,MIN('Activities'!L278,522)-MAX('Activities'!K278,516))</x:f>
        <x:v>0</x:v>
      </x:c>
      <x:c r="CN278" s="22" t="n">
        <x:f>MAX(0,MIN('Activities'!L278,528)-MAX('Activities'!K278,522))</x:f>
        <x:v>0</x:v>
      </x:c>
      <x:c r="CO278" s="22" t="n">
        <x:f>MAX(0,MIN('Activities'!L278,534)-MAX('Activities'!K278,528))</x:f>
        <x:v>0</x:v>
      </x:c>
      <x:c r="CP278" s="22" t="n">
        <x:f>MAX(0,MIN('Activities'!L278,540)-MAX('Activities'!K278,534))</x:f>
        <x:v>0</x:v>
      </x:c>
      <x:c r="CQ278" s="22" t="n">
        <x:f>MAX(0,MIN('Activities'!L278,546)-MAX('Activities'!K278,540))</x:f>
        <x:v>0</x:v>
      </x:c>
      <x:c r="CR278" s="22" t="n">
        <x:f>MAX(0,MIN('Activities'!L278,552)-MAX('Activities'!K278,546))</x:f>
        <x:v>0</x:v>
      </x:c>
      <x:c r="CS278" s="22" t="n">
        <x:f>MAX(0,MIN('Activities'!L278,558)-MAX('Activities'!K278,552))</x:f>
        <x:v>0</x:v>
      </x:c>
      <x:c r="CT278" s="22" t="n">
        <x:f>MAX(0,MIN('Activities'!L278,564)-MAX('Activities'!K278,558))</x:f>
        <x:v>0</x:v>
      </x:c>
      <x:c r="CU278" s="22" t="n">
        <x:f>MAX(0,MIN('Activities'!L278,570)-MAX('Activities'!K278,564))</x:f>
        <x:v>0</x:v>
      </x:c>
      <x:c r="CV278" s="22" t="n">
        <x:f>MAX(0,MIN('Activities'!L278,576)-MAX('Activities'!K278,570))</x:f>
        <x:v>0</x:v>
      </x:c>
      <x:c r="CW278" s="22" t="n">
        <x:f>MAX(0,MIN('Activities'!L278,582)-MAX('Activities'!K278,576))</x:f>
        <x:v>0</x:v>
      </x:c>
      <x:c r="CX278" s="22" t="n">
        <x:f>MAX(0,MIN('Activities'!L278,588)-MAX('Activities'!K278,582))</x:f>
        <x:v>0</x:v>
      </x:c>
      <x:c r="CY278" s="22" t="n">
        <x:f>MAX(0,MIN('Activities'!L278,594)-MAX('Activities'!K278,588))</x:f>
        <x:v>0</x:v>
      </x:c>
      <x:c r="CZ278" s="22" t="n">
        <x:f>MAX(0,MIN('Activities'!L278,600)-MAX('Activities'!K278,594))</x:f>
        <x:v>0</x:v>
      </x:c>
      <x:c r="DA278" s="22" t="n">
        <x:f>MAX(0,MIN('Activities'!L278,606)-MAX('Activities'!K278,600))</x:f>
        <x:v>0</x:v>
      </x:c>
      <x:c r="DB278" s="22" t="n">
        <x:f>MAX(0,MIN('Activities'!L278,612)-MAX('Activities'!K278,606))</x:f>
        <x:v>0</x:v>
      </x:c>
      <x:c r="DC278" s="22" t="n">
        <x:f>MAX(0,MIN('Activities'!L278,618)-MAX('Activities'!K278,612))</x:f>
        <x:v>0</x:v>
      </x:c>
      <x:c r="DD278" s="22" t="n">
        <x:f>MAX(0,MIN('Activities'!L278,624)-MAX('Activities'!K278,618))</x:f>
        <x:v>0</x:v>
      </x:c>
      <x:c r="DE278" s="22" t="n">
        <x:f>MAX(0,MIN('Activities'!L278,630)-MAX('Activities'!K278,624))</x:f>
        <x:v>0</x:v>
      </x:c>
      <x:c r="DF278" s="22" t="n">
        <x:f>MAX(0,MIN('Activities'!L278,636)-MAX('Activities'!K278,630))</x:f>
        <x:v>0</x:v>
      </x:c>
    </x:row>
    <x:row r="279" ht="23" customHeight="1">
      <x:c r="A279" s="1" t="str">
        <x:v>T2-L12-T</x:v>
      </x:c>
      <x:c r="B279" s="1" t="str">
        <x:v>T2</x:v>
      </x:c>
      <x:c r="C279" s="1" t="str">
        <x:v>Floor finishes and skirtings</x:v>
      </x:c>
      <x:c r="D279" s="1" t="str">
        <x:v>Finishes</x:v>
      </x:c>
      <x:c r="E279" s="23" t="n">
        <x:f>MAX(0,MIN('Activities'!L279,6)-MAX('Activities'!K279,0))</x:f>
        <x:v>0</x:v>
      </x:c>
      <x:c r="F279" s="23" t="n">
        <x:f>MAX(0,MIN('Activities'!L279,12)-MAX('Activities'!K279,6))</x:f>
        <x:v>0</x:v>
      </x:c>
      <x:c r="G279" s="23" t="n">
        <x:f>MAX(0,MIN('Activities'!L279,18)-MAX('Activities'!K279,12))</x:f>
        <x:v>0</x:v>
      </x:c>
      <x:c r="H279" s="23" t="n">
        <x:f>MAX(0,MIN('Activities'!L279,24)-MAX('Activities'!K279,18))</x:f>
        <x:v>0</x:v>
      </x:c>
      <x:c r="I279" s="23" t="n">
        <x:f>MAX(0,MIN('Activities'!L279,30)-MAX('Activities'!K279,24))</x:f>
        <x:v>0</x:v>
      </x:c>
      <x:c r="J279" s="23" t="n">
        <x:f>MAX(0,MIN('Activities'!L279,36)-MAX('Activities'!K279,30))</x:f>
        <x:v>0</x:v>
      </x:c>
      <x:c r="K279" s="23" t="n">
        <x:f>MAX(0,MIN('Activities'!L279,42)-MAX('Activities'!K279,36))</x:f>
        <x:v>0</x:v>
      </x:c>
      <x:c r="L279" s="23" t="n">
        <x:f>MAX(0,MIN('Activities'!L279,48)-MAX('Activities'!K279,42))</x:f>
        <x:v>0</x:v>
      </x:c>
      <x:c r="M279" s="23" t="n">
        <x:f>MAX(0,MIN('Activities'!L279,54)-MAX('Activities'!K279,48))</x:f>
        <x:v>0</x:v>
      </x:c>
      <x:c r="N279" s="23" t="n">
        <x:f>MAX(0,MIN('Activities'!L279,60)-MAX('Activities'!K279,54))</x:f>
        <x:v>0</x:v>
      </x:c>
      <x:c r="O279" s="23" t="n">
        <x:f>MAX(0,MIN('Activities'!L279,66)-MAX('Activities'!K279,60))</x:f>
        <x:v>0</x:v>
      </x:c>
      <x:c r="P279" s="23" t="n">
        <x:f>MAX(0,MIN('Activities'!L279,72)-MAX('Activities'!K279,66))</x:f>
        <x:v>0</x:v>
      </x:c>
      <x:c r="Q279" s="23" t="n">
        <x:f>MAX(0,MIN('Activities'!L279,78)-MAX('Activities'!K279,72))</x:f>
        <x:v>0</x:v>
      </x:c>
      <x:c r="R279" s="23" t="n">
        <x:f>MAX(0,MIN('Activities'!L279,84)-MAX('Activities'!K279,78))</x:f>
        <x:v>0</x:v>
      </x:c>
      <x:c r="S279" s="23" t="n">
        <x:f>MAX(0,MIN('Activities'!L279,90)-MAX('Activities'!K279,84))</x:f>
        <x:v>0</x:v>
      </x:c>
      <x:c r="T279" s="23" t="n">
        <x:f>MAX(0,MIN('Activities'!L279,96)-MAX('Activities'!K279,90))</x:f>
        <x:v>0</x:v>
      </x:c>
      <x:c r="U279" s="23" t="n">
        <x:f>MAX(0,MIN('Activities'!L279,102)-MAX('Activities'!K279,96))</x:f>
        <x:v>0</x:v>
      </x:c>
      <x:c r="V279" s="23" t="n">
        <x:f>MAX(0,MIN('Activities'!L279,108)-MAX('Activities'!K279,102))</x:f>
        <x:v>0</x:v>
      </x:c>
      <x:c r="W279" s="23" t="n">
        <x:f>MAX(0,MIN('Activities'!L279,114)-MAX('Activities'!K279,108))</x:f>
        <x:v>0</x:v>
      </x:c>
      <x:c r="X279" s="23" t="n">
        <x:f>MAX(0,MIN('Activities'!L279,120)-MAX('Activities'!K279,114))</x:f>
        <x:v>0</x:v>
      </x:c>
      <x:c r="Y279" s="23" t="n">
        <x:f>MAX(0,MIN('Activities'!L279,126)-MAX('Activities'!K279,120))</x:f>
        <x:v>0</x:v>
      </x:c>
      <x:c r="Z279" s="23" t="n">
        <x:f>MAX(0,MIN('Activities'!L279,132)-MAX('Activities'!K279,126))</x:f>
        <x:v>0</x:v>
      </x:c>
      <x:c r="AA279" s="23" t="n">
        <x:f>MAX(0,MIN('Activities'!L279,138)-MAX('Activities'!K279,132))</x:f>
        <x:v>0</x:v>
      </x:c>
      <x:c r="AB279" s="23" t="n">
        <x:f>MAX(0,MIN('Activities'!L279,144)-MAX('Activities'!K279,138))</x:f>
        <x:v>0</x:v>
      </x:c>
      <x:c r="AC279" s="23" t="n">
        <x:f>MAX(0,MIN('Activities'!L279,150)-MAX('Activities'!K279,144))</x:f>
        <x:v>0</x:v>
      </x:c>
      <x:c r="AD279" s="23" t="n">
        <x:f>MAX(0,MIN('Activities'!L279,156)-MAX('Activities'!K279,150))</x:f>
        <x:v>0</x:v>
      </x:c>
      <x:c r="AE279" s="23" t="n">
        <x:f>MAX(0,MIN('Activities'!L279,162)-MAX('Activities'!K279,156))</x:f>
        <x:v>0</x:v>
      </x:c>
      <x:c r="AF279" s="23" t="n">
        <x:f>MAX(0,MIN('Activities'!L279,168)-MAX('Activities'!K279,162))</x:f>
        <x:v>0</x:v>
      </x:c>
      <x:c r="AG279" s="23" t="n">
        <x:f>MAX(0,MIN('Activities'!L279,174)-MAX('Activities'!K279,168))</x:f>
        <x:v>0</x:v>
      </x:c>
      <x:c r="AH279" s="23" t="n">
        <x:f>MAX(0,MIN('Activities'!L279,180)-MAX('Activities'!K279,174))</x:f>
        <x:v>0</x:v>
      </x:c>
      <x:c r="AI279" s="23" t="n">
        <x:f>MAX(0,MIN('Activities'!L279,186)-MAX('Activities'!K279,180))</x:f>
        <x:v>0</x:v>
      </x:c>
      <x:c r="AJ279" s="23" t="n">
        <x:f>MAX(0,MIN('Activities'!L279,192)-MAX('Activities'!K279,186))</x:f>
        <x:v>0</x:v>
      </x:c>
      <x:c r="AK279" s="23" t="n">
        <x:f>MAX(0,MIN('Activities'!L279,198)-MAX('Activities'!K279,192))</x:f>
        <x:v>0</x:v>
      </x:c>
      <x:c r="AL279" s="23" t="n">
        <x:f>MAX(0,MIN('Activities'!L279,204)-MAX('Activities'!K279,198))</x:f>
        <x:v>0</x:v>
      </x:c>
      <x:c r="AM279" s="23" t="n">
        <x:f>MAX(0,MIN('Activities'!L279,210)-MAX('Activities'!K279,204))</x:f>
        <x:v>0</x:v>
      </x:c>
      <x:c r="AN279" s="23" t="n">
        <x:f>MAX(0,MIN('Activities'!L279,216)-MAX('Activities'!K279,210))</x:f>
        <x:v>0</x:v>
      </x:c>
      <x:c r="AO279" s="23" t="n">
        <x:f>MAX(0,MIN('Activities'!L279,222)-MAX('Activities'!K279,216))</x:f>
        <x:v>0</x:v>
      </x:c>
      <x:c r="AP279" s="23" t="n">
        <x:f>MAX(0,MIN('Activities'!L279,228)-MAX('Activities'!K279,222))</x:f>
        <x:v>0</x:v>
      </x:c>
      <x:c r="AQ279" s="23" t="n">
        <x:f>MAX(0,MIN('Activities'!L279,234)-MAX('Activities'!K279,228))</x:f>
        <x:v>0</x:v>
      </x:c>
      <x:c r="AR279" s="23" t="n">
        <x:f>MAX(0,MIN('Activities'!L279,240)-MAX('Activities'!K279,234))</x:f>
        <x:v>0</x:v>
      </x:c>
      <x:c r="AS279" s="23" t="n">
        <x:f>MAX(0,MIN('Activities'!L279,246)-MAX('Activities'!K279,240))</x:f>
        <x:v>0</x:v>
      </x:c>
      <x:c r="AT279" s="23" t="n">
        <x:f>MAX(0,MIN('Activities'!L279,252)-MAX('Activities'!K279,246))</x:f>
        <x:v>0</x:v>
      </x:c>
      <x:c r="AU279" s="23" t="n">
        <x:f>MAX(0,MIN('Activities'!L279,258)-MAX('Activities'!K279,252))</x:f>
        <x:v>0</x:v>
      </x:c>
      <x:c r="AV279" s="23" t="n">
        <x:f>MAX(0,MIN('Activities'!L279,264)-MAX('Activities'!K279,258))</x:f>
        <x:v>0</x:v>
      </x:c>
      <x:c r="AW279" s="23" t="n">
        <x:f>MAX(0,MIN('Activities'!L279,270)-MAX('Activities'!K279,264))</x:f>
        <x:v>0</x:v>
      </x:c>
      <x:c r="AX279" s="23" t="n">
        <x:f>MAX(0,MIN('Activities'!L279,276)-MAX('Activities'!K279,270))</x:f>
        <x:v>0</x:v>
      </x:c>
      <x:c r="AY279" s="23" t="n">
        <x:f>MAX(0,MIN('Activities'!L279,282)-MAX('Activities'!K279,276))</x:f>
        <x:v>0</x:v>
      </x:c>
      <x:c r="AZ279" s="23" t="n">
        <x:f>MAX(0,MIN('Activities'!L279,288)-MAX('Activities'!K279,282))</x:f>
        <x:v>0</x:v>
      </x:c>
      <x:c r="BA279" s="23" t="n">
        <x:f>MAX(0,MIN('Activities'!L279,294)-MAX('Activities'!K279,288))</x:f>
        <x:v>0</x:v>
      </x:c>
      <x:c r="BB279" s="23" t="n">
        <x:f>MAX(0,MIN('Activities'!L279,300)-MAX('Activities'!K279,294))</x:f>
        <x:v>0</x:v>
      </x:c>
      <x:c r="BC279" s="23" t="n">
        <x:f>MAX(0,MIN('Activities'!L279,306)-MAX('Activities'!K279,300))</x:f>
        <x:v>0</x:v>
      </x:c>
      <x:c r="BD279" s="23" t="n">
        <x:f>MAX(0,MIN('Activities'!L279,312)-MAX('Activities'!K279,306))</x:f>
        <x:v>0</x:v>
      </x:c>
      <x:c r="BE279" s="23" t="n">
        <x:f>MAX(0,MIN('Activities'!L279,318)-MAX('Activities'!K279,312))</x:f>
        <x:v>0</x:v>
      </x:c>
      <x:c r="BF279" s="23" t="n">
        <x:f>MAX(0,MIN('Activities'!L279,324)-MAX('Activities'!K279,318))</x:f>
        <x:v>0</x:v>
      </x:c>
      <x:c r="BG279" s="23" t="n">
        <x:f>MAX(0,MIN('Activities'!L279,330)-MAX('Activities'!K279,324))</x:f>
        <x:v>0</x:v>
      </x:c>
      <x:c r="BH279" s="23" t="n">
        <x:f>MAX(0,MIN('Activities'!L279,336)-MAX('Activities'!K279,330))</x:f>
        <x:v>0</x:v>
      </x:c>
      <x:c r="BI279" s="23" t="n">
        <x:f>MAX(0,MIN('Activities'!L279,342)-MAX('Activities'!K279,336))</x:f>
        <x:v>0</x:v>
      </x:c>
      <x:c r="BJ279" s="23" t="n">
        <x:f>MAX(0,MIN('Activities'!L279,348)-MAX('Activities'!K279,342))</x:f>
        <x:v>0</x:v>
      </x:c>
      <x:c r="BK279" s="23" t="n">
        <x:f>MAX(0,MIN('Activities'!L279,354)-MAX('Activities'!K279,348))</x:f>
        <x:v>0</x:v>
      </x:c>
      <x:c r="BL279" s="23" t="n">
        <x:f>MAX(0,MIN('Activities'!L279,360)-MAX('Activities'!K279,354))</x:f>
        <x:v>0</x:v>
      </x:c>
      <x:c r="BM279" s="23" t="n">
        <x:f>MAX(0,MIN('Activities'!L279,366)-MAX('Activities'!K279,360))</x:f>
        <x:v>0</x:v>
      </x:c>
      <x:c r="BN279" s="23" t="n">
        <x:f>MAX(0,MIN('Activities'!L279,372)-MAX('Activities'!K279,366))</x:f>
        <x:v>0</x:v>
      </x:c>
      <x:c r="BO279" s="23" t="n">
        <x:f>MAX(0,MIN('Activities'!L279,378)-MAX('Activities'!K279,372))</x:f>
        <x:v>0</x:v>
      </x:c>
      <x:c r="BP279" s="23" t="n">
        <x:f>MAX(0,MIN('Activities'!L279,384)-MAX('Activities'!K279,378))</x:f>
        <x:v>0</x:v>
      </x:c>
      <x:c r="BQ279" s="23" t="n">
        <x:f>MAX(0,MIN('Activities'!L279,390)-MAX('Activities'!K279,384))</x:f>
        <x:v>0</x:v>
      </x:c>
      <x:c r="BR279" s="23" t="n">
        <x:f>MAX(0,MIN('Activities'!L279,396)-MAX('Activities'!K279,390))</x:f>
        <x:v>0</x:v>
      </x:c>
      <x:c r="BS279" s="23" t="n">
        <x:f>MAX(0,MIN('Activities'!L279,402)-MAX('Activities'!K279,396))</x:f>
        <x:v>0</x:v>
      </x:c>
      <x:c r="BT279" s="23" t="n">
        <x:f>MAX(0,MIN('Activities'!L279,408)-MAX('Activities'!K279,402))</x:f>
        <x:v>0</x:v>
      </x:c>
      <x:c r="BU279" s="23" t="n">
        <x:f>MAX(0,MIN('Activities'!L279,414)-MAX('Activities'!K279,408))</x:f>
        <x:v>0</x:v>
      </x:c>
      <x:c r="BV279" s="23" t="n">
        <x:f>MAX(0,MIN('Activities'!L279,420)-MAX('Activities'!K279,414))</x:f>
        <x:v>2</x:v>
      </x:c>
      <x:c r="BW279" s="23" t="n">
        <x:f>MAX(0,MIN('Activities'!L279,426)-MAX('Activities'!K279,420))</x:f>
        <x:v>4</x:v>
      </x:c>
      <x:c r="BX279" s="23" t="n">
        <x:f>MAX(0,MIN('Activities'!L279,432)-MAX('Activities'!K279,426))</x:f>
        <x:v>0</x:v>
      </x:c>
      <x:c r="BY279" s="23" t="n">
        <x:f>MAX(0,MIN('Activities'!L279,438)-MAX('Activities'!K279,432))</x:f>
        <x:v>0</x:v>
      </x:c>
      <x:c r="BZ279" s="23" t="n">
        <x:f>MAX(0,MIN('Activities'!L279,444)-MAX('Activities'!K279,438))</x:f>
        <x:v>0</x:v>
      </x:c>
      <x:c r="CA279" s="23" t="n">
        <x:f>MAX(0,MIN('Activities'!L279,450)-MAX('Activities'!K279,444))</x:f>
        <x:v>0</x:v>
      </x:c>
      <x:c r="CB279" s="23" t="n">
        <x:f>MAX(0,MIN('Activities'!L279,456)-MAX('Activities'!K279,450))</x:f>
        <x:v>0</x:v>
      </x:c>
      <x:c r="CC279" s="23" t="n">
        <x:f>MAX(0,MIN('Activities'!L279,462)-MAX('Activities'!K279,456))</x:f>
        <x:v>0</x:v>
      </x:c>
      <x:c r="CD279" s="23" t="n">
        <x:f>MAX(0,MIN('Activities'!L279,468)-MAX('Activities'!K279,462))</x:f>
        <x:v>0</x:v>
      </x:c>
      <x:c r="CE279" s="23" t="n">
        <x:f>MAX(0,MIN('Activities'!L279,474)-MAX('Activities'!K279,468))</x:f>
        <x:v>0</x:v>
      </x:c>
      <x:c r="CF279" s="23" t="n">
        <x:f>MAX(0,MIN('Activities'!L279,480)-MAX('Activities'!K279,474))</x:f>
        <x:v>0</x:v>
      </x:c>
      <x:c r="CG279" s="23" t="n">
        <x:f>MAX(0,MIN('Activities'!L279,486)-MAX('Activities'!K279,480))</x:f>
        <x:v>0</x:v>
      </x:c>
      <x:c r="CH279" s="23" t="n">
        <x:f>MAX(0,MIN('Activities'!L279,492)-MAX('Activities'!K279,486))</x:f>
        <x:v>0</x:v>
      </x:c>
      <x:c r="CI279" s="23" t="n">
        <x:f>MAX(0,MIN('Activities'!L279,498)-MAX('Activities'!K279,492))</x:f>
        <x:v>0</x:v>
      </x:c>
      <x:c r="CJ279" s="23" t="n">
        <x:f>MAX(0,MIN('Activities'!L279,504)-MAX('Activities'!K279,498))</x:f>
        <x:v>0</x:v>
      </x:c>
      <x:c r="CK279" s="23" t="n">
        <x:f>MAX(0,MIN('Activities'!L279,510)-MAX('Activities'!K279,504))</x:f>
        <x:v>0</x:v>
      </x:c>
      <x:c r="CL279" s="23" t="n">
        <x:f>MAX(0,MIN('Activities'!L279,516)-MAX('Activities'!K279,510))</x:f>
        <x:v>0</x:v>
      </x:c>
      <x:c r="CM279" s="23" t="n">
        <x:f>MAX(0,MIN('Activities'!L279,522)-MAX('Activities'!K279,516))</x:f>
        <x:v>0</x:v>
      </x:c>
      <x:c r="CN279" s="23" t="n">
        <x:f>MAX(0,MIN('Activities'!L279,528)-MAX('Activities'!K279,522))</x:f>
        <x:v>0</x:v>
      </x:c>
      <x:c r="CO279" s="23" t="n">
        <x:f>MAX(0,MIN('Activities'!L279,534)-MAX('Activities'!K279,528))</x:f>
        <x:v>0</x:v>
      </x:c>
      <x:c r="CP279" s="23" t="n">
        <x:f>MAX(0,MIN('Activities'!L279,540)-MAX('Activities'!K279,534))</x:f>
        <x:v>0</x:v>
      </x:c>
      <x:c r="CQ279" s="23" t="n">
        <x:f>MAX(0,MIN('Activities'!L279,546)-MAX('Activities'!K279,540))</x:f>
        <x:v>0</x:v>
      </x:c>
      <x:c r="CR279" s="23" t="n">
        <x:f>MAX(0,MIN('Activities'!L279,552)-MAX('Activities'!K279,546))</x:f>
        <x:v>0</x:v>
      </x:c>
      <x:c r="CS279" s="23" t="n">
        <x:f>MAX(0,MIN('Activities'!L279,558)-MAX('Activities'!K279,552))</x:f>
        <x:v>0</x:v>
      </x:c>
      <x:c r="CT279" s="23" t="n">
        <x:f>MAX(0,MIN('Activities'!L279,564)-MAX('Activities'!K279,558))</x:f>
        <x:v>0</x:v>
      </x:c>
      <x:c r="CU279" s="23" t="n">
        <x:f>MAX(0,MIN('Activities'!L279,570)-MAX('Activities'!K279,564))</x:f>
        <x:v>0</x:v>
      </x:c>
      <x:c r="CV279" s="23" t="n">
        <x:f>MAX(0,MIN('Activities'!L279,576)-MAX('Activities'!K279,570))</x:f>
        <x:v>0</x:v>
      </x:c>
      <x:c r="CW279" s="23" t="n">
        <x:f>MAX(0,MIN('Activities'!L279,582)-MAX('Activities'!K279,576))</x:f>
        <x:v>0</x:v>
      </x:c>
      <x:c r="CX279" s="23" t="n">
        <x:f>MAX(0,MIN('Activities'!L279,588)-MAX('Activities'!K279,582))</x:f>
        <x:v>0</x:v>
      </x:c>
      <x:c r="CY279" s="23" t="n">
        <x:f>MAX(0,MIN('Activities'!L279,594)-MAX('Activities'!K279,588))</x:f>
        <x:v>0</x:v>
      </x:c>
      <x:c r="CZ279" s="23" t="n">
        <x:f>MAX(0,MIN('Activities'!L279,600)-MAX('Activities'!K279,594))</x:f>
        <x:v>0</x:v>
      </x:c>
      <x:c r="DA279" s="23" t="n">
        <x:f>MAX(0,MIN('Activities'!L279,606)-MAX('Activities'!K279,600))</x:f>
        <x:v>0</x:v>
      </x:c>
      <x:c r="DB279" s="23" t="n">
        <x:f>MAX(0,MIN('Activities'!L279,612)-MAX('Activities'!K279,606))</x:f>
        <x:v>0</x:v>
      </x:c>
      <x:c r="DC279" s="23" t="n">
        <x:f>MAX(0,MIN('Activities'!L279,618)-MAX('Activities'!K279,612))</x:f>
        <x:v>0</x:v>
      </x:c>
      <x:c r="DD279" s="23" t="n">
        <x:f>MAX(0,MIN('Activities'!L279,624)-MAX('Activities'!K279,618))</x:f>
        <x:v>0</x:v>
      </x:c>
      <x:c r="DE279" s="23" t="n">
        <x:f>MAX(0,MIN('Activities'!L279,630)-MAX('Activities'!K279,624))</x:f>
        <x:v>0</x:v>
      </x:c>
      <x:c r="DF279" s="23" t="n">
        <x:f>MAX(0,MIN('Activities'!L279,636)-MAX('Activities'!K279,630))</x:f>
        <x:v>0</x:v>
      </x:c>
    </x:row>
    <x:row r="280" ht="23" customHeight="1">
      <x:c r="A280" s="6" t="str">
        <x:v>T2-L12-A</x:v>
      </x:c>
      <x:c r="B280" s="6" t="str">
        <x:v>T2</x:v>
      </x:c>
      <x:c r="C280" s="6" t="str">
        <x:v>Paint and final decorations</x:v>
      </x:c>
      <x:c r="D280" s="6" t="str">
        <x:v>Finishes</x:v>
      </x:c>
      <x:c r="E280" s="22" t="n">
        <x:f>MAX(0,MIN('Activities'!L280,6)-MAX('Activities'!K280,0))</x:f>
        <x:v>0</x:v>
      </x:c>
      <x:c r="F280" s="22" t="n">
        <x:f>MAX(0,MIN('Activities'!L280,12)-MAX('Activities'!K280,6))</x:f>
        <x:v>0</x:v>
      </x:c>
      <x:c r="G280" s="22" t="n">
        <x:f>MAX(0,MIN('Activities'!L280,18)-MAX('Activities'!K280,12))</x:f>
        <x:v>0</x:v>
      </x:c>
      <x:c r="H280" s="22" t="n">
        <x:f>MAX(0,MIN('Activities'!L280,24)-MAX('Activities'!K280,18))</x:f>
        <x:v>0</x:v>
      </x:c>
      <x:c r="I280" s="22" t="n">
        <x:f>MAX(0,MIN('Activities'!L280,30)-MAX('Activities'!K280,24))</x:f>
        <x:v>0</x:v>
      </x:c>
      <x:c r="J280" s="22" t="n">
        <x:f>MAX(0,MIN('Activities'!L280,36)-MAX('Activities'!K280,30))</x:f>
        <x:v>0</x:v>
      </x:c>
      <x:c r="K280" s="22" t="n">
        <x:f>MAX(0,MIN('Activities'!L280,42)-MAX('Activities'!K280,36))</x:f>
        <x:v>0</x:v>
      </x:c>
      <x:c r="L280" s="22" t="n">
        <x:f>MAX(0,MIN('Activities'!L280,48)-MAX('Activities'!K280,42))</x:f>
        <x:v>0</x:v>
      </x:c>
      <x:c r="M280" s="22" t="n">
        <x:f>MAX(0,MIN('Activities'!L280,54)-MAX('Activities'!K280,48))</x:f>
        <x:v>0</x:v>
      </x:c>
      <x:c r="N280" s="22" t="n">
        <x:f>MAX(0,MIN('Activities'!L280,60)-MAX('Activities'!K280,54))</x:f>
        <x:v>0</x:v>
      </x:c>
      <x:c r="O280" s="22" t="n">
        <x:f>MAX(0,MIN('Activities'!L280,66)-MAX('Activities'!K280,60))</x:f>
        <x:v>0</x:v>
      </x:c>
      <x:c r="P280" s="22" t="n">
        <x:f>MAX(0,MIN('Activities'!L280,72)-MAX('Activities'!K280,66))</x:f>
        <x:v>0</x:v>
      </x:c>
      <x:c r="Q280" s="22" t="n">
        <x:f>MAX(0,MIN('Activities'!L280,78)-MAX('Activities'!K280,72))</x:f>
        <x:v>0</x:v>
      </x:c>
      <x:c r="R280" s="22" t="n">
        <x:f>MAX(0,MIN('Activities'!L280,84)-MAX('Activities'!K280,78))</x:f>
        <x:v>0</x:v>
      </x:c>
      <x:c r="S280" s="22" t="n">
        <x:f>MAX(0,MIN('Activities'!L280,90)-MAX('Activities'!K280,84))</x:f>
        <x:v>0</x:v>
      </x:c>
      <x:c r="T280" s="22" t="n">
        <x:f>MAX(0,MIN('Activities'!L280,96)-MAX('Activities'!K280,90))</x:f>
        <x:v>0</x:v>
      </x:c>
      <x:c r="U280" s="22" t="n">
        <x:f>MAX(0,MIN('Activities'!L280,102)-MAX('Activities'!K280,96))</x:f>
        <x:v>0</x:v>
      </x:c>
      <x:c r="V280" s="22" t="n">
        <x:f>MAX(0,MIN('Activities'!L280,108)-MAX('Activities'!K280,102))</x:f>
        <x:v>0</x:v>
      </x:c>
      <x:c r="W280" s="22" t="n">
        <x:f>MAX(0,MIN('Activities'!L280,114)-MAX('Activities'!K280,108))</x:f>
        <x:v>0</x:v>
      </x:c>
      <x:c r="X280" s="22" t="n">
        <x:f>MAX(0,MIN('Activities'!L280,120)-MAX('Activities'!K280,114))</x:f>
        <x:v>0</x:v>
      </x:c>
      <x:c r="Y280" s="22" t="n">
        <x:f>MAX(0,MIN('Activities'!L280,126)-MAX('Activities'!K280,120))</x:f>
        <x:v>0</x:v>
      </x:c>
      <x:c r="Z280" s="22" t="n">
        <x:f>MAX(0,MIN('Activities'!L280,132)-MAX('Activities'!K280,126))</x:f>
        <x:v>0</x:v>
      </x:c>
      <x:c r="AA280" s="22" t="n">
        <x:f>MAX(0,MIN('Activities'!L280,138)-MAX('Activities'!K280,132))</x:f>
        <x:v>0</x:v>
      </x:c>
      <x:c r="AB280" s="22" t="n">
        <x:f>MAX(0,MIN('Activities'!L280,144)-MAX('Activities'!K280,138))</x:f>
        <x:v>0</x:v>
      </x:c>
      <x:c r="AC280" s="22" t="n">
        <x:f>MAX(0,MIN('Activities'!L280,150)-MAX('Activities'!K280,144))</x:f>
        <x:v>0</x:v>
      </x:c>
      <x:c r="AD280" s="22" t="n">
        <x:f>MAX(0,MIN('Activities'!L280,156)-MAX('Activities'!K280,150))</x:f>
        <x:v>0</x:v>
      </x:c>
      <x:c r="AE280" s="22" t="n">
        <x:f>MAX(0,MIN('Activities'!L280,162)-MAX('Activities'!K280,156))</x:f>
        <x:v>0</x:v>
      </x:c>
      <x:c r="AF280" s="22" t="n">
        <x:f>MAX(0,MIN('Activities'!L280,168)-MAX('Activities'!K280,162))</x:f>
        <x:v>0</x:v>
      </x:c>
      <x:c r="AG280" s="22" t="n">
        <x:f>MAX(0,MIN('Activities'!L280,174)-MAX('Activities'!K280,168))</x:f>
        <x:v>0</x:v>
      </x:c>
      <x:c r="AH280" s="22" t="n">
        <x:f>MAX(0,MIN('Activities'!L280,180)-MAX('Activities'!K280,174))</x:f>
        <x:v>0</x:v>
      </x:c>
      <x:c r="AI280" s="22" t="n">
        <x:f>MAX(0,MIN('Activities'!L280,186)-MAX('Activities'!K280,180))</x:f>
        <x:v>0</x:v>
      </x:c>
      <x:c r="AJ280" s="22" t="n">
        <x:f>MAX(0,MIN('Activities'!L280,192)-MAX('Activities'!K280,186))</x:f>
        <x:v>0</x:v>
      </x:c>
      <x:c r="AK280" s="22" t="n">
        <x:f>MAX(0,MIN('Activities'!L280,198)-MAX('Activities'!K280,192))</x:f>
        <x:v>0</x:v>
      </x:c>
      <x:c r="AL280" s="22" t="n">
        <x:f>MAX(0,MIN('Activities'!L280,204)-MAX('Activities'!K280,198))</x:f>
        <x:v>0</x:v>
      </x:c>
      <x:c r="AM280" s="22" t="n">
        <x:f>MAX(0,MIN('Activities'!L280,210)-MAX('Activities'!K280,204))</x:f>
        <x:v>0</x:v>
      </x:c>
      <x:c r="AN280" s="22" t="n">
        <x:f>MAX(0,MIN('Activities'!L280,216)-MAX('Activities'!K280,210))</x:f>
        <x:v>0</x:v>
      </x:c>
      <x:c r="AO280" s="22" t="n">
        <x:f>MAX(0,MIN('Activities'!L280,222)-MAX('Activities'!K280,216))</x:f>
        <x:v>0</x:v>
      </x:c>
      <x:c r="AP280" s="22" t="n">
        <x:f>MAX(0,MIN('Activities'!L280,228)-MAX('Activities'!K280,222))</x:f>
        <x:v>0</x:v>
      </x:c>
      <x:c r="AQ280" s="22" t="n">
        <x:f>MAX(0,MIN('Activities'!L280,234)-MAX('Activities'!K280,228))</x:f>
        <x:v>0</x:v>
      </x:c>
      <x:c r="AR280" s="22" t="n">
        <x:f>MAX(0,MIN('Activities'!L280,240)-MAX('Activities'!K280,234))</x:f>
        <x:v>0</x:v>
      </x:c>
      <x:c r="AS280" s="22" t="n">
        <x:f>MAX(0,MIN('Activities'!L280,246)-MAX('Activities'!K280,240))</x:f>
        <x:v>0</x:v>
      </x:c>
      <x:c r="AT280" s="22" t="n">
        <x:f>MAX(0,MIN('Activities'!L280,252)-MAX('Activities'!K280,246))</x:f>
        <x:v>0</x:v>
      </x:c>
      <x:c r="AU280" s="22" t="n">
        <x:f>MAX(0,MIN('Activities'!L280,258)-MAX('Activities'!K280,252))</x:f>
        <x:v>0</x:v>
      </x:c>
      <x:c r="AV280" s="22" t="n">
        <x:f>MAX(0,MIN('Activities'!L280,264)-MAX('Activities'!K280,258))</x:f>
        <x:v>0</x:v>
      </x:c>
      <x:c r="AW280" s="22" t="n">
        <x:f>MAX(0,MIN('Activities'!L280,270)-MAX('Activities'!K280,264))</x:f>
        <x:v>0</x:v>
      </x:c>
      <x:c r="AX280" s="22" t="n">
        <x:f>MAX(0,MIN('Activities'!L280,276)-MAX('Activities'!K280,270))</x:f>
        <x:v>0</x:v>
      </x:c>
      <x:c r="AY280" s="22" t="n">
        <x:f>MAX(0,MIN('Activities'!L280,282)-MAX('Activities'!K280,276))</x:f>
        <x:v>0</x:v>
      </x:c>
      <x:c r="AZ280" s="22" t="n">
        <x:f>MAX(0,MIN('Activities'!L280,288)-MAX('Activities'!K280,282))</x:f>
        <x:v>0</x:v>
      </x:c>
      <x:c r="BA280" s="22" t="n">
        <x:f>MAX(0,MIN('Activities'!L280,294)-MAX('Activities'!K280,288))</x:f>
        <x:v>0</x:v>
      </x:c>
      <x:c r="BB280" s="22" t="n">
        <x:f>MAX(0,MIN('Activities'!L280,300)-MAX('Activities'!K280,294))</x:f>
        <x:v>0</x:v>
      </x:c>
      <x:c r="BC280" s="22" t="n">
        <x:f>MAX(0,MIN('Activities'!L280,306)-MAX('Activities'!K280,300))</x:f>
        <x:v>0</x:v>
      </x:c>
      <x:c r="BD280" s="22" t="n">
        <x:f>MAX(0,MIN('Activities'!L280,312)-MAX('Activities'!K280,306))</x:f>
        <x:v>0</x:v>
      </x:c>
      <x:c r="BE280" s="22" t="n">
        <x:f>MAX(0,MIN('Activities'!L280,318)-MAX('Activities'!K280,312))</x:f>
        <x:v>0</x:v>
      </x:c>
      <x:c r="BF280" s="22" t="n">
        <x:f>MAX(0,MIN('Activities'!L280,324)-MAX('Activities'!K280,318))</x:f>
        <x:v>0</x:v>
      </x:c>
      <x:c r="BG280" s="22" t="n">
        <x:f>MAX(0,MIN('Activities'!L280,330)-MAX('Activities'!K280,324))</x:f>
        <x:v>0</x:v>
      </x:c>
      <x:c r="BH280" s="22" t="n">
        <x:f>MAX(0,MIN('Activities'!L280,336)-MAX('Activities'!K280,330))</x:f>
        <x:v>0</x:v>
      </x:c>
      <x:c r="BI280" s="22" t="n">
        <x:f>MAX(0,MIN('Activities'!L280,342)-MAX('Activities'!K280,336))</x:f>
        <x:v>0</x:v>
      </x:c>
      <x:c r="BJ280" s="22" t="n">
        <x:f>MAX(0,MIN('Activities'!L280,348)-MAX('Activities'!K280,342))</x:f>
        <x:v>0</x:v>
      </x:c>
      <x:c r="BK280" s="22" t="n">
        <x:f>MAX(0,MIN('Activities'!L280,354)-MAX('Activities'!K280,348))</x:f>
        <x:v>0</x:v>
      </x:c>
      <x:c r="BL280" s="22" t="n">
        <x:f>MAX(0,MIN('Activities'!L280,360)-MAX('Activities'!K280,354))</x:f>
        <x:v>0</x:v>
      </x:c>
      <x:c r="BM280" s="22" t="n">
        <x:f>MAX(0,MIN('Activities'!L280,366)-MAX('Activities'!K280,360))</x:f>
        <x:v>0</x:v>
      </x:c>
      <x:c r="BN280" s="22" t="n">
        <x:f>MAX(0,MIN('Activities'!L280,372)-MAX('Activities'!K280,366))</x:f>
        <x:v>0</x:v>
      </x:c>
      <x:c r="BO280" s="22" t="n">
        <x:f>MAX(0,MIN('Activities'!L280,378)-MAX('Activities'!K280,372))</x:f>
        <x:v>0</x:v>
      </x:c>
      <x:c r="BP280" s="22" t="n">
        <x:f>MAX(0,MIN('Activities'!L280,384)-MAX('Activities'!K280,378))</x:f>
        <x:v>0</x:v>
      </x:c>
      <x:c r="BQ280" s="22" t="n">
        <x:f>MAX(0,MIN('Activities'!L280,390)-MAX('Activities'!K280,384))</x:f>
        <x:v>0</x:v>
      </x:c>
      <x:c r="BR280" s="22" t="n">
        <x:f>MAX(0,MIN('Activities'!L280,396)-MAX('Activities'!K280,390))</x:f>
        <x:v>0</x:v>
      </x:c>
      <x:c r="BS280" s="22" t="n">
        <x:f>MAX(0,MIN('Activities'!L280,402)-MAX('Activities'!K280,396))</x:f>
        <x:v>0</x:v>
      </x:c>
      <x:c r="BT280" s="22" t="n">
        <x:f>MAX(0,MIN('Activities'!L280,408)-MAX('Activities'!K280,402))</x:f>
        <x:v>0</x:v>
      </x:c>
      <x:c r="BU280" s="22" t="n">
        <x:f>MAX(0,MIN('Activities'!L280,414)-MAX('Activities'!K280,408))</x:f>
        <x:v>0</x:v>
      </x:c>
      <x:c r="BV280" s="22" t="n">
        <x:f>MAX(0,MIN('Activities'!L280,420)-MAX('Activities'!K280,414))</x:f>
        <x:v>0</x:v>
      </x:c>
      <x:c r="BW280" s="22" t="n">
        <x:f>MAX(0,MIN('Activities'!L280,426)-MAX('Activities'!K280,420))</x:f>
        <x:v>0</x:v>
      </x:c>
      <x:c r="BX280" s="22" t="n">
        <x:f>MAX(0,MIN('Activities'!L280,432)-MAX('Activities'!K280,426))</x:f>
        <x:v>5</x:v>
      </x:c>
      <x:c r="BY280" s="22" t="n">
        <x:f>MAX(0,MIN('Activities'!L280,438)-MAX('Activities'!K280,432))</x:f>
        <x:v>0</x:v>
      </x:c>
      <x:c r="BZ280" s="22" t="n">
        <x:f>MAX(0,MIN('Activities'!L280,444)-MAX('Activities'!K280,438))</x:f>
        <x:v>0</x:v>
      </x:c>
      <x:c r="CA280" s="22" t="n">
        <x:f>MAX(0,MIN('Activities'!L280,450)-MAX('Activities'!K280,444))</x:f>
        <x:v>0</x:v>
      </x:c>
      <x:c r="CB280" s="22" t="n">
        <x:f>MAX(0,MIN('Activities'!L280,456)-MAX('Activities'!K280,450))</x:f>
        <x:v>0</x:v>
      </x:c>
      <x:c r="CC280" s="22" t="n">
        <x:f>MAX(0,MIN('Activities'!L280,462)-MAX('Activities'!K280,456))</x:f>
        <x:v>0</x:v>
      </x:c>
      <x:c r="CD280" s="22" t="n">
        <x:f>MAX(0,MIN('Activities'!L280,468)-MAX('Activities'!K280,462))</x:f>
        <x:v>0</x:v>
      </x:c>
      <x:c r="CE280" s="22" t="n">
        <x:f>MAX(0,MIN('Activities'!L280,474)-MAX('Activities'!K280,468))</x:f>
        <x:v>0</x:v>
      </x:c>
      <x:c r="CF280" s="22" t="n">
        <x:f>MAX(0,MIN('Activities'!L280,480)-MAX('Activities'!K280,474))</x:f>
        <x:v>0</x:v>
      </x:c>
      <x:c r="CG280" s="22" t="n">
        <x:f>MAX(0,MIN('Activities'!L280,486)-MAX('Activities'!K280,480))</x:f>
        <x:v>0</x:v>
      </x:c>
      <x:c r="CH280" s="22" t="n">
        <x:f>MAX(0,MIN('Activities'!L280,492)-MAX('Activities'!K280,486))</x:f>
        <x:v>0</x:v>
      </x:c>
      <x:c r="CI280" s="22" t="n">
        <x:f>MAX(0,MIN('Activities'!L280,498)-MAX('Activities'!K280,492))</x:f>
        <x:v>0</x:v>
      </x:c>
      <x:c r="CJ280" s="22" t="n">
        <x:f>MAX(0,MIN('Activities'!L280,504)-MAX('Activities'!K280,498))</x:f>
        <x:v>0</x:v>
      </x:c>
      <x:c r="CK280" s="22" t="n">
        <x:f>MAX(0,MIN('Activities'!L280,510)-MAX('Activities'!K280,504))</x:f>
        <x:v>0</x:v>
      </x:c>
      <x:c r="CL280" s="22" t="n">
        <x:f>MAX(0,MIN('Activities'!L280,516)-MAX('Activities'!K280,510))</x:f>
        <x:v>0</x:v>
      </x:c>
      <x:c r="CM280" s="22" t="n">
        <x:f>MAX(0,MIN('Activities'!L280,522)-MAX('Activities'!K280,516))</x:f>
        <x:v>0</x:v>
      </x:c>
      <x:c r="CN280" s="22" t="n">
        <x:f>MAX(0,MIN('Activities'!L280,528)-MAX('Activities'!K280,522))</x:f>
        <x:v>0</x:v>
      </x:c>
      <x:c r="CO280" s="22" t="n">
        <x:f>MAX(0,MIN('Activities'!L280,534)-MAX('Activities'!K280,528))</x:f>
        <x:v>0</x:v>
      </x:c>
      <x:c r="CP280" s="22" t="n">
        <x:f>MAX(0,MIN('Activities'!L280,540)-MAX('Activities'!K280,534))</x:f>
        <x:v>0</x:v>
      </x:c>
      <x:c r="CQ280" s="22" t="n">
        <x:f>MAX(0,MIN('Activities'!L280,546)-MAX('Activities'!K280,540))</x:f>
        <x:v>0</x:v>
      </x:c>
      <x:c r="CR280" s="22" t="n">
        <x:f>MAX(0,MIN('Activities'!L280,552)-MAX('Activities'!K280,546))</x:f>
        <x:v>0</x:v>
      </x:c>
      <x:c r="CS280" s="22" t="n">
        <x:f>MAX(0,MIN('Activities'!L280,558)-MAX('Activities'!K280,552))</x:f>
        <x:v>0</x:v>
      </x:c>
      <x:c r="CT280" s="22" t="n">
        <x:f>MAX(0,MIN('Activities'!L280,564)-MAX('Activities'!K280,558))</x:f>
        <x:v>0</x:v>
      </x:c>
      <x:c r="CU280" s="22" t="n">
        <x:f>MAX(0,MIN('Activities'!L280,570)-MAX('Activities'!K280,564))</x:f>
        <x:v>0</x:v>
      </x:c>
      <x:c r="CV280" s="22" t="n">
        <x:f>MAX(0,MIN('Activities'!L280,576)-MAX('Activities'!K280,570))</x:f>
        <x:v>0</x:v>
      </x:c>
      <x:c r="CW280" s="22" t="n">
        <x:f>MAX(0,MIN('Activities'!L280,582)-MAX('Activities'!K280,576))</x:f>
        <x:v>0</x:v>
      </x:c>
      <x:c r="CX280" s="22" t="n">
        <x:f>MAX(0,MIN('Activities'!L280,588)-MAX('Activities'!K280,582))</x:f>
        <x:v>0</x:v>
      </x:c>
      <x:c r="CY280" s="22" t="n">
        <x:f>MAX(0,MIN('Activities'!L280,594)-MAX('Activities'!K280,588))</x:f>
        <x:v>0</x:v>
      </x:c>
      <x:c r="CZ280" s="22" t="n">
        <x:f>MAX(0,MIN('Activities'!L280,600)-MAX('Activities'!K280,594))</x:f>
        <x:v>0</x:v>
      </x:c>
      <x:c r="DA280" s="22" t="n">
        <x:f>MAX(0,MIN('Activities'!L280,606)-MAX('Activities'!K280,600))</x:f>
        <x:v>0</x:v>
      </x:c>
      <x:c r="DB280" s="22" t="n">
        <x:f>MAX(0,MIN('Activities'!L280,612)-MAX('Activities'!K280,606))</x:f>
        <x:v>0</x:v>
      </x:c>
      <x:c r="DC280" s="22" t="n">
        <x:f>MAX(0,MIN('Activities'!L280,618)-MAX('Activities'!K280,612))</x:f>
        <x:v>0</x:v>
      </x:c>
      <x:c r="DD280" s="22" t="n">
        <x:f>MAX(0,MIN('Activities'!L280,624)-MAX('Activities'!K280,618))</x:f>
        <x:v>0</x:v>
      </x:c>
      <x:c r="DE280" s="22" t="n">
        <x:f>MAX(0,MIN('Activities'!L280,630)-MAX('Activities'!K280,624))</x:f>
        <x:v>0</x:v>
      </x:c>
      <x:c r="DF280" s="22" t="n">
        <x:f>MAX(0,MIN('Activities'!L280,636)-MAX('Activities'!K280,630))</x:f>
        <x:v>0</x:v>
      </x:c>
    </x:row>
    <x:row r="281" ht="23" customHeight="1">
      <x:c r="A281" s="1" t="str">
        <x:v>T2-L12-D</x:v>
      </x:c>
      <x:c r="B281" s="1" t="str">
        <x:v>T2</x:v>
      </x:c>
      <x:c r="C281" s="1" t="str">
        <x:v>Door sets and ironmongery</x:v>
      </x:c>
      <x:c r="D281" s="1" t="str">
        <x:v>Finishes</x:v>
      </x:c>
      <x:c r="E281" s="23" t="n">
        <x:f>MAX(0,MIN('Activities'!L281,6)-MAX('Activities'!K281,0))</x:f>
        <x:v>0</x:v>
      </x:c>
      <x:c r="F281" s="23" t="n">
        <x:f>MAX(0,MIN('Activities'!L281,12)-MAX('Activities'!K281,6))</x:f>
        <x:v>0</x:v>
      </x:c>
      <x:c r="G281" s="23" t="n">
        <x:f>MAX(0,MIN('Activities'!L281,18)-MAX('Activities'!K281,12))</x:f>
        <x:v>0</x:v>
      </x:c>
      <x:c r="H281" s="23" t="n">
        <x:f>MAX(0,MIN('Activities'!L281,24)-MAX('Activities'!K281,18))</x:f>
        <x:v>0</x:v>
      </x:c>
      <x:c r="I281" s="23" t="n">
        <x:f>MAX(0,MIN('Activities'!L281,30)-MAX('Activities'!K281,24))</x:f>
        <x:v>0</x:v>
      </x:c>
      <x:c r="J281" s="23" t="n">
        <x:f>MAX(0,MIN('Activities'!L281,36)-MAX('Activities'!K281,30))</x:f>
        <x:v>0</x:v>
      </x:c>
      <x:c r="K281" s="23" t="n">
        <x:f>MAX(0,MIN('Activities'!L281,42)-MAX('Activities'!K281,36))</x:f>
        <x:v>0</x:v>
      </x:c>
      <x:c r="L281" s="23" t="n">
        <x:f>MAX(0,MIN('Activities'!L281,48)-MAX('Activities'!K281,42))</x:f>
        <x:v>0</x:v>
      </x:c>
      <x:c r="M281" s="23" t="n">
        <x:f>MAX(0,MIN('Activities'!L281,54)-MAX('Activities'!K281,48))</x:f>
        <x:v>0</x:v>
      </x:c>
      <x:c r="N281" s="23" t="n">
        <x:f>MAX(0,MIN('Activities'!L281,60)-MAX('Activities'!K281,54))</x:f>
        <x:v>0</x:v>
      </x:c>
      <x:c r="O281" s="23" t="n">
        <x:f>MAX(0,MIN('Activities'!L281,66)-MAX('Activities'!K281,60))</x:f>
        <x:v>0</x:v>
      </x:c>
      <x:c r="P281" s="23" t="n">
        <x:f>MAX(0,MIN('Activities'!L281,72)-MAX('Activities'!K281,66))</x:f>
        <x:v>0</x:v>
      </x:c>
      <x:c r="Q281" s="23" t="n">
        <x:f>MAX(0,MIN('Activities'!L281,78)-MAX('Activities'!K281,72))</x:f>
        <x:v>0</x:v>
      </x:c>
      <x:c r="R281" s="23" t="n">
        <x:f>MAX(0,MIN('Activities'!L281,84)-MAX('Activities'!K281,78))</x:f>
        <x:v>0</x:v>
      </x:c>
      <x:c r="S281" s="23" t="n">
        <x:f>MAX(0,MIN('Activities'!L281,90)-MAX('Activities'!K281,84))</x:f>
        <x:v>0</x:v>
      </x:c>
      <x:c r="T281" s="23" t="n">
        <x:f>MAX(0,MIN('Activities'!L281,96)-MAX('Activities'!K281,90))</x:f>
        <x:v>0</x:v>
      </x:c>
      <x:c r="U281" s="23" t="n">
        <x:f>MAX(0,MIN('Activities'!L281,102)-MAX('Activities'!K281,96))</x:f>
        <x:v>0</x:v>
      </x:c>
      <x:c r="V281" s="23" t="n">
        <x:f>MAX(0,MIN('Activities'!L281,108)-MAX('Activities'!K281,102))</x:f>
        <x:v>0</x:v>
      </x:c>
      <x:c r="W281" s="23" t="n">
        <x:f>MAX(0,MIN('Activities'!L281,114)-MAX('Activities'!K281,108))</x:f>
        <x:v>0</x:v>
      </x:c>
      <x:c r="X281" s="23" t="n">
        <x:f>MAX(0,MIN('Activities'!L281,120)-MAX('Activities'!K281,114))</x:f>
        <x:v>0</x:v>
      </x:c>
      <x:c r="Y281" s="23" t="n">
        <x:f>MAX(0,MIN('Activities'!L281,126)-MAX('Activities'!K281,120))</x:f>
        <x:v>0</x:v>
      </x:c>
      <x:c r="Z281" s="23" t="n">
        <x:f>MAX(0,MIN('Activities'!L281,132)-MAX('Activities'!K281,126))</x:f>
        <x:v>0</x:v>
      </x:c>
      <x:c r="AA281" s="23" t="n">
        <x:f>MAX(0,MIN('Activities'!L281,138)-MAX('Activities'!K281,132))</x:f>
        <x:v>0</x:v>
      </x:c>
      <x:c r="AB281" s="23" t="n">
        <x:f>MAX(0,MIN('Activities'!L281,144)-MAX('Activities'!K281,138))</x:f>
        <x:v>0</x:v>
      </x:c>
      <x:c r="AC281" s="23" t="n">
        <x:f>MAX(0,MIN('Activities'!L281,150)-MAX('Activities'!K281,144))</x:f>
        <x:v>0</x:v>
      </x:c>
      <x:c r="AD281" s="23" t="n">
        <x:f>MAX(0,MIN('Activities'!L281,156)-MAX('Activities'!K281,150))</x:f>
        <x:v>0</x:v>
      </x:c>
      <x:c r="AE281" s="23" t="n">
        <x:f>MAX(0,MIN('Activities'!L281,162)-MAX('Activities'!K281,156))</x:f>
        <x:v>0</x:v>
      </x:c>
      <x:c r="AF281" s="23" t="n">
        <x:f>MAX(0,MIN('Activities'!L281,168)-MAX('Activities'!K281,162))</x:f>
        <x:v>0</x:v>
      </x:c>
      <x:c r="AG281" s="23" t="n">
        <x:f>MAX(0,MIN('Activities'!L281,174)-MAX('Activities'!K281,168))</x:f>
        <x:v>0</x:v>
      </x:c>
      <x:c r="AH281" s="23" t="n">
        <x:f>MAX(0,MIN('Activities'!L281,180)-MAX('Activities'!K281,174))</x:f>
        <x:v>0</x:v>
      </x:c>
      <x:c r="AI281" s="23" t="n">
        <x:f>MAX(0,MIN('Activities'!L281,186)-MAX('Activities'!K281,180))</x:f>
        <x:v>0</x:v>
      </x:c>
      <x:c r="AJ281" s="23" t="n">
        <x:f>MAX(0,MIN('Activities'!L281,192)-MAX('Activities'!K281,186))</x:f>
        <x:v>0</x:v>
      </x:c>
      <x:c r="AK281" s="23" t="n">
        <x:f>MAX(0,MIN('Activities'!L281,198)-MAX('Activities'!K281,192))</x:f>
        <x:v>0</x:v>
      </x:c>
      <x:c r="AL281" s="23" t="n">
        <x:f>MAX(0,MIN('Activities'!L281,204)-MAX('Activities'!K281,198))</x:f>
        <x:v>0</x:v>
      </x:c>
      <x:c r="AM281" s="23" t="n">
        <x:f>MAX(0,MIN('Activities'!L281,210)-MAX('Activities'!K281,204))</x:f>
        <x:v>0</x:v>
      </x:c>
      <x:c r="AN281" s="23" t="n">
        <x:f>MAX(0,MIN('Activities'!L281,216)-MAX('Activities'!K281,210))</x:f>
        <x:v>0</x:v>
      </x:c>
      <x:c r="AO281" s="23" t="n">
        <x:f>MAX(0,MIN('Activities'!L281,222)-MAX('Activities'!K281,216))</x:f>
        <x:v>0</x:v>
      </x:c>
      <x:c r="AP281" s="23" t="n">
        <x:f>MAX(0,MIN('Activities'!L281,228)-MAX('Activities'!K281,222))</x:f>
        <x:v>0</x:v>
      </x:c>
      <x:c r="AQ281" s="23" t="n">
        <x:f>MAX(0,MIN('Activities'!L281,234)-MAX('Activities'!K281,228))</x:f>
        <x:v>0</x:v>
      </x:c>
      <x:c r="AR281" s="23" t="n">
        <x:f>MAX(0,MIN('Activities'!L281,240)-MAX('Activities'!K281,234))</x:f>
        <x:v>0</x:v>
      </x:c>
      <x:c r="AS281" s="23" t="n">
        <x:f>MAX(0,MIN('Activities'!L281,246)-MAX('Activities'!K281,240))</x:f>
        <x:v>0</x:v>
      </x:c>
      <x:c r="AT281" s="23" t="n">
        <x:f>MAX(0,MIN('Activities'!L281,252)-MAX('Activities'!K281,246))</x:f>
        <x:v>0</x:v>
      </x:c>
      <x:c r="AU281" s="23" t="n">
        <x:f>MAX(0,MIN('Activities'!L281,258)-MAX('Activities'!K281,252))</x:f>
        <x:v>0</x:v>
      </x:c>
      <x:c r="AV281" s="23" t="n">
        <x:f>MAX(0,MIN('Activities'!L281,264)-MAX('Activities'!K281,258))</x:f>
        <x:v>0</x:v>
      </x:c>
      <x:c r="AW281" s="23" t="n">
        <x:f>MAX(0,MIN('Activities'!L281,270)-MAX('Activities'!K281,264))</x:f>
        <x:v>0</x:v>
      </x:c>
      <x:c r="AX281" s="23" t="n">
        <x:f>MAX(0,MIN('Activities'!L281,276)-MAX('Activities'!K281,270))</x:f>
        <x:v>0</x:v>
      </x:c>
      <x:c r="AY281" s="23" t="n">
        <x:f>MAX(0,MIN('Activities'!L281,282)-MAX('Activities'!K281,276))</x:f>
        <x:v>0</x:v>
      </x:c>
      <x:c r="AZ281" s="23" t="n">
        <x:f>MAX(0,MIN('Activities'!L281,288)-MAX('Activities'!K281,282))</x:f>
        <x:v>0</x:v>
      </x:c>
      <x:c r="BA281" s="23" t="n">
        <x:f>MAX(0,MIN('Activities'!L281,294)-MAX('Activities'!K281,288))</x:f>
        <x:v>0</x:v>
      </x:c>
      <x:c r="BB281" s="23" t="n">
        <x:f>MAX(0,MIN('Activities'!L281,300)-MAX('Activities'!K281,294))</x:f>
        <x:v>0</x:v>
      </x:c>
      <x:c r="BC281" s="23" t="n">
        <x:f>MAX(0,MIN('Activities'!L281,306)-MAX('Activities'!K281,300))</x:f>
        <x:v>0</x:v>
      </x:c>
      <x:c r="BD281" s="23" t="n">
        <x:f>MAX(0,MIN('Activities'!L281,312)-MAX('Activities'!K281,306))</x:f>
        <x:v>0</x:v>
      </x:c>
      <x:c r="BE281" s="23" t="n">
        <x:f>MAX(0,MIN('Activities'!L281,318)-MAX('Activities'!K281,312))</x:f>
        <x:v>0</x:v>
      </x:c>
      <x:c r="BF281" s="23" t="n">
        <x:f>MAX(0,MIN('Activities'!L281,324)-MAX('Activities'!K281,318))</x:f>
        <x:v>0</x:v>
      </x:c>
      <x:c r="BG281" s="23" t="n">
        <x:f>MAX(0,MIN('Activities'!L281,330)-MAX('Activities'!K281,324))</x:f>
        <x:v>0</x:v>
      </x:c>
      <x:c r="BH281" s="23" t="n">
        <x:f>MAX(0,MIN('Activities'!L281,336)-MAX('Activities'!K281,330))</x:f>
        <x:v>0</x:v>
      </x:c>
      <x:c r="BI281" s="23" t="n">
        <x:f>MAX(0,MIN('Activities'!L281,342)-MAX('Activities'!K281,336))</x:f>
        <x:v>0</x:v>
      </x:c>
      <x:c r="BJ281" s="23" t="n">
        <x:f>MAX(0,MIN('Activities'!L281,348)-MAX('Activities'!K281,342))</x:f>
        <x:v>0</x:v>
      </x:c>
      <x:c r="BK281" s="23" t="n">
        <x:f>MAX(0,MIN('Activities'!L281,354)-MAX('Activities'!K281,348))</x:f>
        <x:v>0</x:v>
      </x:c>
      <x:c r="BL281" s="23" t="n">
        <x:f>MAX(0,MIN('Activities'!L281,360)-MAX('Activities'!K281,354))</x:f>
        <x:v>0</x:v>
      </x:c>
      <x:c r="BM281" s="23" t="n">
        <x:f>MAX(0,MIN('Activities'!L281,366)-MAX('Activities'!K281,360))</x:f>
        <x:v>0</x:v>
      </x:c>
      <x:c r="BN281" s="23" t="n">
        <x:f>MAX(0,MIN('Activities'!L281,372)-MAX('Activities'!K281,366))</x:f>
        <x:v>0</x:v>
      </x:c>
      <x:c r="BO281" s="23" t="n">
        <x:f>MAX(0,MIN('Activities'!L281,378)-MAX('Activities'!K281,372))</x:f>
        <x:v>0</x:v>
      </x:c>
      <x:c r="BP281" s="23" t="n">
        <x:f>MAX(0,MIN('Activities'!L281,384)-MAX('Activities'!K281,378))</x:f>
        <x:v>0</x:v>
      </x:c>
      <x:c r="BQ281" s="23" t="n">
        <x:f>MAX(0,MIN('Activities'!L281,390)-MAX('Activities'!K281,384))</x:f>
        <x:v>0</x:v>
      </x:c>
      <x:c r="BR281" s="23" t="n">
        <x:f>MAX(0,MIN('Activities'!L281,396)-MAX('Activities'!K281,390))</x:f>
        <x:v>0</x:v>
      </x:c>
      <x:c r="BS281" s="23" t="n">
        <x:f>MAX(0,MIN('Activities'!L281,402)-MAX('Activities'!K281,396))</x:f>
        <x:v>0</x:v>
      </x:c>
      <x:c r="BT281" s="23" t="n">
        <x:f>MAX(0,MIN('Activities'!L281,408)-MAX('Activities'!K281,402))</x:f>
        <x:v>0</x:v>
      </x:c>
      <x:c r="BU281" s="23" t="n">
        <x:f>MAX(0,MIN('Activities'!L281,414)-MAX('Activities'!K281,408))</x:f>
        <x:v>0</x:v>
      </x:c>
      <x:c r="BV281" s="23" t="n">
        <x:f>MAX(0,MIN('Activities'!L281,420)-MAX('Activities'!K281,414))</x:f>
        <x:v>0</x:v>
      </x:c>
      <x:c r="BW281" s="23" t="n">
        <x:f>MAX(0,MIN('Activities'!L281,426)-MAX('Activities'!K281,420))</x:f>
        <x:v>0</x:v>
      </x:c>
      <x:c r="BX281" s="23" t="n">
        <x:f>MAX(0,MIN('Activities'!L281,432)-MAX('Activities'!K281,426))</x:f>
        <x:v>1</x:v>
      </x:c>
      <x:c r="BY281" s="23" t="n">
        <x:f>MAX(0,MIN('Activities'!L281,438)-MAX('Activities'!K281,432))</x:f>
        <x:v>2</x:v>
      </x:c>
      <x:c r="BZ281" s="23" t="n">
        <x:f>MAX(0,MIN('Activities'!L281,444)-MAX('Activities'!K281,438))</x:f>
        <x:v>0</x:v>
      </x:c>
      <x:c r="CA281" s="23" t="n">
        <x:f>MAX(0,MIN('Activities'!L281,450)-MAX('Activities'!K281,444))</x:f>
        <x:v>0</x:v>
      </x:c>
      <x:c r="CB281" s="23" t="n">
        <x:f>MAX(0,MIN('Activities'!L281,456)-MAX('Activities'!K281,450))</x:f>
        <x:v>0</x:v>
      </x:c>
      <x:c r="CC281" s="23" t="n">
        <x:f>MAX(0,MIN('Activities'!L281,462)-MAX('Activities'!K281,456))</x:f>
        <x:v>0</x:v>
      </x:c>
      <x:c r="CD281" s="23" t="n">
        <x:f>MAX(0,MIN('Activities'!L281,468)-MAX('Activities'!K281,462))</x:f>
        <x:v>0</x:v>
      </x:c>
      <x:c r="CE281" s="23" t="n">
        <x:f>MAX(0,MIN('Activities'!L281,474)-MAX('Activities'!K281,468))</x:f>
        <x:v>0</x:v>
      </x:c>
      <x:c r="CF281" s="23" t="n">
        <x:f>MAX(0,MIN('Activities'!L281,480)-MAX('Activities'!K281,474))</x:f>
        <x:v>0</x:v>
      </x:c>
      <x:c r="CG281" s="23" t="n">
        <x:f>MAX(0,MIN('Activities'!L281,486)-MAX('Activities'!K281,480))</x:f>
        <x:v>0</x:v>
      </x:c>
      <x:c r="CH281" s="23" t="n">
        <x:f>MAX(0,MIN('Activities'!L281,492)-MAX('Activities'!K281,486))</x:f>
        <x:v>0</x:v>
      </x:c>
      <x:c r="CI281" s="23" t="n">
        <x:f>MAX(0,MIN('Activities'!L281,498)-MAX('Activities'!K281,492))</x:f>
        <x:v>0</x:v>
      </x:c>
      <x:c r="CJ281" s="23" t="n">
        <x:f>MAX(0,MIN('Activities'!L281,504)-MAX('Activities'!K281,498))</x:f>
        <x:v>0</x:v>
      </x:c>
      <x:c r="CK281" s="23" t="n">
        <x:f>MAX(0,MIN('Activities'!L281,510)-MAX('Activities'!K281,504))</x:f>
        <x:v>0</x:v>
      </x:c>
      <x:c r="CL281" s="23" t="n">
        <x:f>MAX(0,MIN('Activities'!L281,516)-MAX('Activities'!K281,510))</x:f>
        <x:v>0</x:v>
      </x:c>
      <x:c r="CM281" s="23" t="n">
        <x:f>MAX(0,MIN('Activities'!L281,522)-MAX('Activities'!K281,516))</x:f>
        <x:v>0</x:v>
      </x:c>
      <x:c r="CN281" s="23" t="n">
        <x:f>MAX(0,MIN('Activities'!L281,528)-MAX('Activities'!K281,522))</x:f>
        <x:v>0</x:v>
      </x:c>
      <x:c r="CO281" s="23" t="n">
        <x:f>MAX(0,MIN('Activities'!L281,534)-MAX('Activities'!K281,528))</x:f>
        <x:v>0</x:v>
      </x:c>
      <x:c r="CP281" s="23" t="n">
        <x:f>MAX(0,MIN('Activities'!L281,540)-MAX('Activities'!K281,534))</x:f>
        <x:v>0</x:v>
      </x:c>
      <x:c r="CQ281" s="23" t="n">
        <x:f>MAX(0,MIN('Activities'!L281,546)-MAX('Activities'!K281,540))</x:f>
        <x:v>0</x:v>
      </x:c>
      <x:c r="CR281" s="23" t="n">
        <x:f>MAX(0,MIN('Activities'!L281,552)-MAX('Activities'!K281,546))</x:f>
        <x:v>0</x:v>
      </x:c>
      <x:c r="CS281" s="23" t="n">
        <x:f>MAX(0,MIN('Activities'!L281,558)-MAX('Activities'!K281,552))</x:f>
        <x:v>0</x:v>
      </x:c>
      <x:c r="CT281" s="23" t="n">
        <x:f>MAX(0,MIN('Activities'!L281,564)-MAX('Activities'!K281,558))</x:f>
        <x:v>0</x:v>
      </x:c>
      <x:c r="CU281" s="23" t="n">
        <x:f>MAX(0,MIN('Activities'!L281,570)-MAX('Activities'!K281,564))</x:f>
        <x:v>0</x:v>
      </x:c>
      <x:c r="CV281" s="23" t="n">
        <x:f>MAX(0,MIN('Activities'!L281,576)-MAX('Activities'!K281,570))</x:f>
        <x:v>0</x:v>
      </x:c>
      <x:c r="CW281" s="23" t="n">
        <x:f>MAX(0,MIN('Activities'!L281,582)-MAX('Activities'!K281,576))</x:f>
        <x:v>0</x:v>
      </x:c>
      <x:c r="CX281" s="23" t="n">
        <x:f>MAX(0,MIN('Activities'!L281,588)-MAX('Activities'!K281,582))</x:f>
        <x:v>0</x:v>
      </x:c>
      <x:c r="CY281" s="23" t="n">
        <x:f>MAX(0,MIN('Activities'!L281,594)-MAX('Activities'!K281,588))</x:f>
        <x:v>0</x:v>
      </x:c>
      <x:c r="CZ281" s="23" t="n">
        <x:f>MAX(0,MIN('Activities'!L281,600)-MAX('Activities'!K281,594))</x:f>
        <x:v>0</x:v>
      </x:c>
      <x:c r="DA281" s="23" t="n">
        <x:f>MAX(0,MIN('Activities'!L281,606)-MAX('Activities'!K281,600))</x:f>
        <x:v>0</x:v>
      </x:c>
      <x:c r="DB281" s="23" t="n">
        <x:f>MAX(0,MIN('Activities'!L281,612)-MAX('Activities'!K281,606))</x:f>
        <x:v>0</x:v>
      </x:c>
      <x:c r="DC281" s="23" t="n">
        <x:f>MAX(0,MIN('Activities'!L281,618)-MAX('Activities'!K281,612))</x:f>
        <x:v>0</x:v>
      </x:c>
      <x:c r="DD281" s="23" t="n">
        <x:f>MAX(0,MIN('Activities'!L281,624)-MAX('Activities'!K281,618))</x:f>
        <x:v>0</x:v>
      </x:c>
      <x:c r="DE281" s="23" t="n">
        <x:f>MAX(0,MIN('Activities'!L281,630)-MAX('Activities'!K281,624))</x:f>
        <x:v>0</x:v>
      </x:c>
      <x:c r="DF281" s="23" t="n">
        <x:f>MAX(0,MIN('Activities'!L281,636)-MAX('Activities'!K281,630))</x:f>
        <x:v>0</x:v>
      </x:c>
    </x:row>
    <x:row r="282" ht="23" customHeight="1">
      <x:c r="A282" s="6" t="str">
        <x:v>T3-L00-F</x:v>
      </x:c>
      <x:c r="B282" s="6" t="str">
        <x:v>T3</x:v>
      </x:c>
      <x:c r="C282" s="6" t="str">
        <x:v>Columns, core and deck formwork</x:v>
      </x:c>
      <x:c r="D282" s="6" t="str">
        <x:v>Formwork</x:v>
      </x:c>
      <x:c r="E282" s="22" t="n">
        <x:f>MAX(0,MIN('Activities'!L282,6)-MAX('Activities'!K282,0))</x:f>
        <x:v>0</x:v>
      </x:c>
      <x:c r="F282" s="22" t="n">
        <x:f>MAX(0,MIN('Activities'!L282,12)-MAX('Activities'!K282,6))</x:f>
        <x:v>0</x:v>
      </x:c>
      <x:c r="G282" s="22" t="n">
        <x:f>MAX(0,MIN('Activities'!L282,18)-MAX('Activities'!K282,12))</x:f>
        <x:v>0</x:v>
      </x:c>
      <x:c r="H282" s="22" t="n">
        <x:f>MAX(0,MIN('Activities'!L282,24)-MAX('Activities'!K282,18))</x:f>
        <x:v>0</x:v>
      </x:c>
      <x:c r="I282" s="22" t="n">
        <x:f>MAX(0,MIN('Activities'!L282,30)-MAX('Activities'!K282,24))</x:f>
        <x:v>0</x:v>
      </x:c>
      <x:c r="J282" s="22" t="n">
        <x:f>MAX(0,MIN('Activities'!L282,36)-MAX('Activities'!K282,30))</x:f>
        <x:v>0</x:v>
      </x:c>
      <x:c r="K282" s="22" t="n">
        <x:f>MAX(0,MIN('Activities'!L282,42)-MAX('Activities'!K282,36))</x:f>
        <x:v>0</x:v>
      </x:c>
      <x:c r="L282" s="22" t="n">
        <x:f>MAX(0,MIN('Activities'!L282,48)-MAX('Activities'!K282,42))</x:f>
        <x:v>0</x:v>
      </x:c>
      <x:c r="M282" s="22" t="n">
        <x:f>MAX(0,MIN('Activities'!L282,54)-MAX('Activities'!K282,48))</x:f>
        <x:v>0</x:v>
      </x:c>
      <x:c r="N282" s="22" t="n">
        <x:f>MAX(0,MIN('Activities'!L282,60)-MAX('Activities'!K282,54))</x:f>
        <x:v>0</x:v>
      </x:c>
      <x:c r="O282" s="22" t="n">
        <x:f>MAX(0,MIN('Activities'!L282,66)-MAX('Activities'!K282,60))</x:f>
        <x:v>0</x:v>
      </x:c>
      <x:c r="P282" s="22" t="n">
        <x:f>MAX(0,MIN('Activities'!L282,72)-MAX('Activities'!K282,66))</x:f>
        <x:v>0</x:v>
      </x:c>
      <x:c r="Q282" s="22" t="n">
        <x:f>MAX(0,MIN('Activities'!L282,78)-MAX('Activities'!K282,72))</x:f>
        <x:v>0</x:v>
      </x:c>
      <x:c r="R282" s="22" t="n">
        <x:f>MAX(0,MIN('Activities'!L282,84)-MAX('Activities'!K282,78))</x:f>
        <x:v>0</x:v>
      </x:c>
      <x:c r="S282" s="22" t="n">
        <x:f>MAX(0,MIN('Activities'!L282,90)-MAX('Activities'!K282,84))</x:f>
        <x:v>0</x:v>
      </x:c>
      <x:c r="T282" s="22" t="n">
        <x:f>MAX(0,MIN('Activities'!L282,96)-MAX('Activities'!K282,90))</x:f>
        <x:v>0</x:v>
      </x:c>
      <x:c r="U282" s="22" t="n">
        <x:f>MAX(0,MIN('Activities'!L282,102)-MAX('Activities'!K282,96))</x:f>
        <x:v>0</x:v>
      </x:c>
      <x:c r="V282" s="22" t="n">
        <x:f>MAX(0,MIN('Activities'!L282,108)-MAX('Activities'!K282,102))</x:f>
        <x:v>0</x:v>
      </x:c>
      <x:c r="W282" s="22" t="n">
        <x:f>MAX(0,MIN('Activities'!L282,114)-MAX('Activities'!K282,108))</x:f>
        <x:v>0</x:v>
      </x:c>
      <x:c r="X282" s="22" t="n">
        <x:f>MAX(0,MIN('Activities'!L282,120)-MAX('Activities'!K282,114))</x:f>
        <x:v>0</x:v>
      </x:c>
      <x:c r="Y282" s="22" t="n">
        <x:f>MAX(0,MIN('Activities'!L282,126)-MAX('Activities'!K282,120))</x:f>
        <x:v>0</x:v>
      </x:c>
      <x:c r="Z282" s="22" t="n">
        <x:f>MAX(0,MIN('Activities'!L282,132)-MAX('Activities'!K282,126))</x:f>
        <x:v>0</x:v>
      </x:c>
      <x:c r="AA282" s="22" t="n">
        <x:f>MAX(0,MIN('Activities'!L282,138)-MAX('Activities'!K282,132))</x:f>
        <x:v>0</x:v>
      </x:c>
      <x:c r="AB282" s="22" t="n">
        <x:f>MAX(0,MIN('Activities'!L282,144)-MAX('Activities'!K282,138))</x:f>
        <x:v>0</x:v>
      </x:c>
      <x:c r="AC282" s="22" t="n">
        <x:f>MAX(0,MIN('Activities'!L282,150)-MAX('Activities'!K282,144))</x:f>
        <x:v>0</x:v>
      </x:c>
      <x:c r="AD282" s="22" t="n">
        <x:f>MAX(0,MIN('Activities'!L282,156)-MAX('Activities'!K282,150))</x:f>
        <x:v>0</x:v>
      </x:c>
      <x:c r="AE282" s="22" t="n">
        <x:f>MAX(0,MIN('Activities'!L282,162)-MAX('Activities'!K282,156))</x:f>
        <x:v>4</x:v>
      </x:c>
      <x:c r="AF282" s="22" t="n">
        <x:f>MAX(0,MIN('Activities'!L282,168)-MAX('Activities'!K282,162))</x:f>
        <x:v>2</x:v>
      </x:c>
      <x:c r="AG282" s="22" t="n">
        <x:f>MAX(0,MIN('Activities'!L282,174)-MAX('Activities'!K282,168))</x:f>
        <x:v>0</x:v>
      </x:c>
      <x:c r="AH282" s="22" t="n">
        <x:f>MAX(0,MIN('Activities'!L282,180)-MAX('Activities'!K282,174))</x:f>
        <x:v>0</x:v>
      </x:c>
      <x:c r="AI282" s="22" t="n">
        <x:f>MAX(0,MIN('Activities'!L282,186)-MAX('Activities'!K282,180))</x:f>
        <x:v>0</x:v>
      </x:c>
      <x:c r="AJ282" s="22" t="n">
        <x:f>MAX(0,MIN('Activities'!L282,192)-MAX('Activities'!K282,186))</x:f>
        <x:v>0</x:v>
      </x:c>
      <x:c r="AK282" s="22" t="n">
        <x:f>MAX(0,MIN('Activities'!L282,198)-MAX('Activities'!K282,192))</x:f>
        <x:v>0</x:v>
      </x:c>
      <x:c r="AL282" s="22" t="n">
        <x:f>MAX(0,MIN('Activities'!L282,204)-MAX('Activities'!K282,198))</x:f>
        <x:v>0</x:v>
      </x:c>
      <x:c r="AM282" s="22" t="n">
        <x:f>MAX(0,MIN('Activities'!L282,210)-MAX('Activities'!K282,204))</x:f>
        <x:v>0</x:v>
      </x:c>
      <x:c r="AN282" s="22" t="n">
        <x:f>MAX(0,MIN('Activities'!L282,216)-MAX('Activities'!K282,210))</x:f>
        <x:v>0</x:v>
      </x:c>
      <x:c r="AO282" s="22" t="n">
        <x:f>MAX(0,MIN('Activities'!L282,222)-MAX('Activities'!K282,216))</x:f>
        <x:v>0</x:v>
      </x:c>
      <x:c r="AP282" s="22" t="n">
        <x:f>MAX(0,MIN('Activities'!L282,228)-MAX('Activities'!K282,222))</x:f>
        <x:v>0</x:v>
      </x:c>
      <x:c r="AQ282" s="22" t="n">
        <x:f>MAX(0,MIN('Activities'!L282,234)-MAX('Activities'!K282,228))</x:f>
        <x:v>0</x:v>
      </x:c>
      <x:c r="AR282" s="22" t="n">
        <x:f>MAX(0,MIN('Activities'!L282,240)-MAX('Activities'!K282,234))</x:f>
        <x:v>0</x:v>
      </x:c>
      <x:c r="AS282" s="22" t="n">
        <x:f>MAX(0,MIN('Activities'!L282,246)-MAX('Activities'!K282,240))</x:f>
        <x:v>0</x:v>
      </x:c>
      <x:c r="AT282" s="22" t="n">
        <x:f>MAX(0,MIN('Activities'!L282,252)-MAX('Activities'!K282,246))</x:f>
        <x:v>0</x:v>
      </x:c>
      <x:c r="AU282" s="22" t="n">
        <x:f>MAX(0,MIN('Activities'!L282,258)-MAX('Activities'!K282,252))</x:f>
        <x:v>0</x:v>
      </x:c>
      <x:c r="AV282" s="22" t="n">
        <x:f>MAX(0,MIN('Activities'!L282,264)-MAX('Activities'!K282,258))</x:f>
        <x:v>0</x:v>
      </x:c>
      <x:c r="AW282" s="22" t="n">
        <x:f>MAX(0,MIN('Activities'!L282,270)-MAX('Activities'!K282,264))</x:f>
        <x:v>0</x:v>
      </x:c>
      <x:c r="AX282" s="22" t="n">
        <x:f>MAX(0,MIN('Activities'!L282,276)-MAX('Activities'!K282,270))</x:f>
        <x:v>0</x:v>
      </x:c>
      <x:c r="AY282" s="22" t="n">
        <x:f>MAX(0,MIN('Activities'!L282,282)-MAX('Activities'!K282,276))</x:f>
        <x:v>0</x:v>
      </x:c>
      <x:c r="AZ282" s="22" t="n">
        <x:f>MAX(0,MIN('Activities'!L282,288)-MAX('Activities'!K282,282))</x:f>
        <x:v>0</x:v>
      </x:c>
      <x:c r="BA282" s="22" t="n">
        <x:f>MAX(0,MIN('Activities'!L282,294)-MAX('Activities'!K282,288))</x:f>
        <x:v>0</x:v>
      </x:c>
      <x:c r="BB282" s="22" t="n">
        <x:f>MAX(0,MIN('Activities'!L282,300)-MAX('Activities'!K282,294))</x:f>
        <x:v>0</x:v>
      </x:c>
      <x:c r="BC282" s="22" t="n">
        <x:f>MAX(0,MIN('Activities'!L282,306)-MAX('Activities'!K282,300))</x:f>
        <x:v>0</x:v>
      </x:c>
      <x:c r="BD282" s="22" t="n">
        <x:f>MAX(0,MIN('Activities'!L282,312)-MAX('Activities'!K282,306))</x:f>
        <x:v>0</x:v>
      </x:c>
      <x:c r="BE282" s="22" t="n">
        <x:f>MAX(0,MIN('Activities'!L282,318)-MAX('Activities'!K282,312))</x:f>
        <x:v>0</x:v>
      </x:c>
      <x:c r="BF282" s="22" t="n">
        <x:f>MAX(0,MIN('Activities'!L282,324)-MAX('Activities'!K282,318))</x:f>
        <x:v>0</x:v>
      </x:c>
      <x:c r="BG282" s="22" t="n">
        <x:f>MAX(0,MIN('Activities'!L282,330)-MAX('Activities'!K282,324))</x:f>
        <x:v>0</x:v>
      </x:c>
      <x:c r="BH282" s="22" t="n">
        <x:f>MAX(0,MIN('Activities'!L282,336)-MAX('Activities'!K282,330))</x:f>
        <x:v>0</x:v>
      </x:c>
      <x:c r="BI282" s="22" t="n">
        <x:f>MAX(0,MIN('Activities'!L282,342)-MAX('Activities'!K282,336))</x:f>
        <x:v>0</x:v>
      </x:c>
      <x:c r="BJ282" s="22" t="n">
        <x:f>MAX(0,MIN('Activities'!L282,348)-MAX('Activities'!K282,342))</x:f>
        <x:v>0</x:v>
      </x:c>
      <x:c r="BK282" s="22" t="n">
        <x:f>MAX(0,MIN('Activities'!L282,354)-MAX('Activities'!K282,348))</x:f>
        <x:v>0</x:v>
      </x:c>
      <x:c r="BL282" s="22" t="n">
        <x:f>MAX(0,MIN('Activities'!L282,360)-MAX('Activities'!K282,354))</x:f>
        <x:v>0</x:v>
      </x:c>
      <x:c r="BM282" s="22" t="n">
        <x:f>MAX(0,MIN('Activities'!L282,366)-MAX('Activities'!K282,360))</x:f>
        <x:v>0</x:v>
      </x:c>
      <x:c r="BN282" s="22" t="n">
        <x:f>MAX(0,MIN('Activities'!L282,372)-MAX('Activities'!K282,366))</x:f>
        <x:v>0</x:v>
      </x:c>
      <x:c r="BO282" s="22" t="n">
        <x:f>MAX(0,MIN('Activities'!L282,378)-MAX('Activities'!K282,372))</x:f>
        <x:v>0</x:v>
      </x:c>
      <x:c r="BP282" s="22" t="n">
        <x:f>MAX(0,MIN('Activities'!L282,384)-MAX('Activities'!K282,378))</x:f>
        <x:v>0</x:v>
      </x:c>
      <x:c r="BQ282" s="22" t="n">
        <x:f>MAX(0,MIN('Activities'!L282,390)-MAX('Activities'!K282,384))</x:f>
        <x:v>0</x:v>
      </x:c>
      <x:c r="BR282" s="22" t="n">
        <x:f>MAX(0,MIN('Activities'!L282,396)-MAX('Activities'!K282,390))</x:f>
        <x:v>0</x:v>
      </x:c>
      <x:c r="BS282" s="22" t="n">
        <x:f>MAX(0,MIN('Activities'!L282,402)-MAX('Activities'!K282,396))</x:f>
        <x:v>0</x:v>
      </x:c>
      <x:c r="BT282" s="22" t="n">
        <x:f>MAX(0,MIN('Activities'!L282,408)-MAX('Activities'!K282,402))</x:f>
        <x:v>0</x:v>
      </x:c>
      <x:c r="BU282" s="22" t="n">
        <x:f>MAX(0,MIN('Activities'!L282,414)-MAX('Activities'!K282,408))</x:f>
        <x:v>0</x:v>
      </x:c>
      <x:c r="BV282" s="22" t="n">
        <x:f>MAX(0,MIN('Activities'!L282,420)-MAX('Activities'!K282,414))</x:f>
        <x:v>0</x:v>
      </x:c>
      <x:c r="BW282" s="22" t="n">
        <x:f>MAX(0,MIN('Activities'!L282,426)-MAX('Activities'!K282,420))</x:f>
        <x:v>0</x:v>
      </x:c>
      <x:c r="BX282" s="22" t="n">
        <x:f>MAX(0,MIN('Activities'!L282,432)-MAX('Activities'!K282,426))</x:f>
        <x:v>0</x:v>
      </x:c>
      <x:c r="BY282" s="22" t="n">
        <x:f>MAX(0,MIN('Activities'!L282,438)-MAX('Activities'!K282,432))</x:f>
        <x:v>0</x:v>
      </x:c>
      <x:c r="BZ282" s="22" t="n">
        <x:f>MAX(0,MIN('Activities'!L282,444)-MAX('Activities'!K282,438))</x:f>
        <x:v>0</x:v>
      </x:c>
      <x:c r="CA282" s="22" t="n">
        <x:f>MAX(0,MIN('Activities'!L282,450)-MAX('Activities'!K282,444))</x:f>
        <x:v>0</x:v>
      </x:c>
      <x:c r="CB282" s="22" t="n">
        <x:f>MAX(0,MIN('Activities'!L282,456)-MAX('Activities'!K282,450))</x:f>
        <x:v>0</x:v>
      </x:c>
      <x:c r="CC282" s="22" t="n">
        <x:f>MAX(0,MIN('Activities'!L282,462)-MAX('Activities'!K282,456))</x:f>
        <x:v>0</x:v>
      </x:c>
      <x:c r="CD282" s="22" t="n">
        <x:f>MAX(0,MIN('Activities'!L282,468)-MAX('Activities'!K282,462))</x:f>
        <x:v>0</x:v>
      </x:c>
      <x:c r="CE282" s="22" t="n">
        <x:f>MAX(0,MIN('Activities'!L282,474)-MAX('Activities'!K282,468))</x:f>
        <x:v>0</x:v>
      </x:c>
      <x:c r="CF282" s="22" t="n">
        <x:f>MAX(0,MIN('Activities'!L282,480)-MAX('Activities'!K282,474))</x:f>
        <x:v>0</x:v>
      </x:c>
      <x:c r="CG282" s="22" t="n">
        <x:f>MAX(0,MIN('Activities'!L282,486)-MAX('Activities'!K282,480))</x:f>
        <x:v>0</x:v>
      </x:c>
      <x:c r="CH282" s="22" t="n">
        <x:f>MAX(0,MIN('Activities'!L282,492)-MAX('Activities'!K282,486))</x:f>
        <x:v>0</x:v>
      </x:c>
      <x:c r="CI282" s="22" t="n">
        <x:f>MAX(0,MIN('Activities'!L282,498)-MAX('Activities'!K282,492))</x:f>
        <x:v>0</x:v>
      </x:c>
      <x:c r="CJ282" s="22" t="n">
        <x:f>MAX(0,MIN('Activities'!L282,504)-MAX('Activities'!K282,498))</x:f>
        <x:v>0</x:v>
      </x:c>
      <x:c r="CK282" s="22" t="n">
        <x:f>MAX(0,MIN('Activities'!L282,510)-MAX('Activities'!K282,504))</x:f>
        <x:v>0</x:v>
      </x:c>
      <x:c r="CL282" s="22" t="n">
        <x:f>MAX(0,MIN('Activities'!L282,516)-MAX('Activities'!K282,510))</x:f>
        <x:v>0</x:v>
      </x:c>
      <x:c r="CM282" s="22" t="n">
        <x:f>MAX(0,MIN('Activities'!L282,522)-MAX('Activities'!K282,516))</x:f>
        <x:v>0</x:v>
      </x:c>
      <x:c r="CN282" s="22" t="n">
        <x:f>MAX(0,MIN('Activities'!L282,528)-MAX('Activities'!K282,522))</x:f>
        <x:v>0</x:v>
      </x:c>
      <x:c r="CO282" s="22" t="n">
        <x:f>MAX(0,MIN('Activities'!L282,534)-MAX('Activities'!K282,528))</x:f>
        <x:v>0</x:v>
      </x:c>
      <x:c r="CP282" s="22" t="n">
        <x:f>MAX(0,MIN('Activities'!L282,540)-MAX('Activities'!K282,534))</x:f>
        <x:v>0</x:v>
      </x:c>
      <x:c r="CQ282" s="22" t="n">
        <x:f>MAX(0,MIN('Activities'!L282,546)-MAX('Activities'!K282,540))</x:f>
        <x:v>0</x:v>
      </x:c>
      <x:c r="CR282" s="22" t="n">
        <x:f>MAX(0,MIN('Activities'!L282,552)-MAX('Activities'!K282,546))</x:f>
        <x:v>0</x:v>
      </x:c>
      <x:c r="CS282" s="22" t="n">
        <x:f>MAX(0,MIN('Activities'!L282,558)-MAX('Activities'!K282,552))</x:f>
        <x:v>0</x:v>
      </x:c>
      <x:c r="CT282" s="22" t="n">
        <x:f>MAX(0,MIN('Activities'!L282,564)-MAX('Activities'!K282,558))</x:f>
        <x:v>0</x:v>
      </x:c>
      <x:c r="CU282" s="22" t="n">
        <x:f>MAX(0,MIN('Activities'!L282,570)-MAX('Activities'!K282,564))</x:f>
        <x:v>0</x:v>
      </x:c>
      <x:c r="CV282" s="22" t="n">
        <x:f>MAX(0,MIN('Activities'!L282,576)-MAX('Activities'!K282,570))</x:f>
        <x:v>0</x:v>
      </x:c>
      <x:c r="CW282" s="22" t="n">
        <x:f>MAX(0,MIN('Activities'!L282,582)-MAX('Activities'!K282,576))</x:f>
        <x:v>0</x:v>
      </x:c>
      <x:c r="CX282" s="22" t="n">
        <x:f>MAX(0,MIN('Activities'!L282,588)-MAX('Activities'!K282,582))</x:f>
        <x:v>0</x:v>
      </x:c>
      <x:c r="CY282" s="22" t="n">
        <x:f>MAX(0,MIN('Activities'!L282,594)-MAX('Activities'!K282,588))</x:f>
        <x:v>0</x:v>
      </x:c>
      <x:c r="CZ282" s="22" t="n">
        <x:f>MAX(0,MIN('Activities'!L282,600)-MAX('Activities'!K282,594))</x:f>
        <x:v>0</x:v>
      </x:c>
      <x:c r="DA282" s="22" t="n">
        <x:f>MAX(0,MIN('Activities'!L282,606)-MAX('Activities'!K282,600))</x:f>
        <x:v>0</x:v>
      </x:c>
      <x:c r="DB282" s="22" t="n">
        <x:f>MAX(0,MIN('Activities'!L282,612)-MAX('Activities'!K282,606))</x:f>
        <x:v>0</x:v>
      </x:c>
      <x:c r="DC282" s="22" t="n">
        <x:f>MAX(0,MIN('Activities'!L282,618)-MAX('Activities'!K282,612))</x:f>
        <x:v>0</x:v>
      </x:c>
      <x:c r="DD282" s="22" t="n">
        <x:f>MAX(0,MIN('Activities'!L282,624)-MAX('Activities'!K282,618))</x:f>
        <x:v>0</x:v>
      </x:c>
      <x:c r="DE282" s="22" t="n">
        <x:f>MAX(0,MIN('Activities'!L282,630)-MAX('Activities'!K282,624))</x:f>
        <x:v>0</x:v>
      </x:c>
      <x:c r="DF282" s="22" t="n">
        <x:f>MAX(0,MIN('Activities'!L282,636)-MAX('Activities'!K282,630))</x:f>
        <x:v>0</x:v>
      </x:c>
    </x:row>
    <x:row r="283" ht="23" customHeight="1">
      <x:c r="A283" s="1" t="str">
        <x:v>T3-L00-R</x:v>
      </x:c>
      <x:c r="B283" s="1" t="str">
        <x:v>T3</x:v>
      </x:c>
      <x:c r="C283" s="1" t="str">
        <x:v>Column, wall, beam and slab reinforcement</x:v>
      </x:c>
      <x:c r="D283" s="1" t="str">
        <x:v>Rebar</x:v>
      </x:c>
      <x:c r="E283" s="23" t="n">
        <x:f>MAX(0,MIN('Activities'!L283,6)-MAX('Activities'!K283,0))</x:f>
        <x:v>0</x:v>
      </x:c>
      <x:c r="F283" s="23" t="n">
        <x:f>MAX(0,MIN('Activities'!L283,12)-MAX('Activities'!K283,6))</x:f>
        <x:v>0</x:v>
      </x:c>
      <x:c r="G283" s="23" t="n">
        <x:f>MAX(0,MIN('Activities'!L283,18)-MAX('Activities'!K283,12))</x:f>
        <x:v>0</x:v>
      </x:c>
      <x:c r="H283" s="23" t="n">
        <x:f>MAX(0,MIN('Activities'!L283,24)-MAX('Activities'!K283,18))</x:f>
        <x:v>0</x:v>
      </x:c>
      <x:c r="I283" s="23" t="n">
        <x:f>MAX(0,MIN('Activities'!L283,30)-MAX('Activities'!K283,24))</x:f>
        <x:v>0</x:v>
      </x:c>
      <x:c r="J283" s="23" t="n">
        <x:f>MAX(0,MIN('Activities'!L283,36)-MAX('Activities'!K283,30))</x:f>
        <x:v>0</x:v>
      </x:c>
      <x:c r="K283" s="23" t="n">
        <x:f>MAX(0,MIN('Activities'!L283,42)-MAX('Activities'!K283,36))</x:f>
        <x:v>0</x:v>
      </x:c>
      <x:c r="L283" s="23" t="n">
        <x:f>MAX(0,MIN('Activities'!L283,48)-MAX('Activities'!K283,42))</x:f>
        <x:v>0</x:v>
      </x:c>
      <x:c r="M283" s="23" t="n">
        <x:f>MAX(0,MIN('Activities'!L283,54)-MAX('Activities'!K283,48))</x:f>
        <x:v>0</x:v>
      </x:c>
      <x:c r="N283" s="23" t="n">
        <x:f>MAX(0,MIN('Activities'!L283,60)-MAX('Activities'!K283,54))</x:f>
        <x:v>0</x:v>
      </x:c>
      <x:c r="O283" s="23" t="n">
        <x:f>MAX(0,MIN('Activities'!L283,66)-MAX('Activities'!K283,60))</x:f>
        <x:v>0</x:v>
      </x:c>
      <x:c r="P283" s="23" t="n">
        <x:f>MAX(0,MIN('Activities'!L283,72)-MAX('Activities'!K283,66))</x:f>
        <x:v>0</x:v>
      </x:c>
      <x:c r="Q283" s="23" t="n">
        <x:f>MAX(0,MIN('Activities'!L283,78)-MAX('Activities'!K283,72))</x:f>
        <x:v>0</x:v>
      </x:c>
      <x:c r="R283" s="23" t="n">
        <x:f>MAX(0,MIN('Activities'!L283,84)-MAX('Activities'!K283,78))</x:f>
        <x:v>0</x:v>
      </x:c>
      <x:c r="S283" s="23" t="n">
        <x:f>MAX(0,MIN('Activities'!L283,90)-MAX('Activities'!K283,84))</x:f>
        <x:v>0</x:v>
      </x:c>
      <x:c r="T283" s="23" t="n">
        <x:f>MAX(0,MIN('Activities'!L283,96)-MAX('Activities'!K283,90))</x:f>
        <x:v>0</x:v>
      </x:c>
      <x:c r="U283" s="23" t="n">
        <x:f>MAX(0,MIN('Activities'!L283,102)-MAX('Activities'!K283,96))</x:f>
        <x:v>0</x:v>
      </x:c>
      <x:c r="V283" s="23" t="n">
        <x:f>MAX(0,MIN('Activities'!L283,108)-MAX('Activities'!K283,102))</x:f>
        <x:v>0</x:v>
      </x:c>
      <x:c r="W283" s="23" t="n">
        <x:f>MAX(0,MIN('Activities'!L283,114)-MAX('Activities'!K283,108))</x:f>
        <x:v>0</x:v>
      </x:c>
      <x:c r="X283" s="23" t="n">
        <x:f>MAX(0,MIN('Activities'!L283,120)-MAX('Activities'!K283,114))</x:f>
        <x:v>0</x:v>
      </x:c>
      <x:c r="Y283" s="23" t="n">
        <x:f>MAX(0,MIN('Activities'!L283,126)-MAX('Activities'!K283,120))</x:f>
        <x:v>0</x:v>
      </x:c>
      <x:c r="Z283" s="23" t="n">
        <x:f>MAX(0,MIN('Activities'!L283,132)-MAX('Activities'!K283,126))</x:f>
        <x:v>0</x:v>
      </x:c>
      <x:c r="AA283" s="23" t="n">
        <x:f>MAX(0,MIN('Activities'!L283,138)-MAX('Activities'!K283,132))</x:f>
        <x:v>0</x:v>
      </x:c>
      <x:c r="AB283" s="23" t="n">
        <x:f>MAX(0,MIN('Activities'!L283,144)-MAX('Activities'!K283,138))</x:f>
        <x:v>0</x:v>
      </x:c>
      <x:c r="AC283" s="23" t="n">
        <x:f>MAX(0,MIN('Activities'!L283,150)-MAX('Activities'!K283,144))</x:f>
        <x:v>0</x:v>
      </x:c>
      <x:c r="AD283" s="23" t="n">
        <x:f>MAX(0,MIN('Activities'!L283,156)-MAX('Activities'!K283,150))</x:f>
        <x:v>0</x:v>
      </x:c>
      <x:c r="AE283" s="23" t="n">
        <x:f>MAX(0,MIN('Activities'!L283,162)-MAX('Activities'!K283,156))</x:f>
        <x:v>0</x:v>
      </x:c>
      <x:c r="AF283" s="23" t="n">
        <x:f>MAX(0,MIN('Activities'!L283,168)-MAX('Activities'!K283,162))</x:f>
        <x:v>4</x:v>
      </x:c>
      <x:c r="AG283" s="23" t="n">
        <x:f>MAX(0,MIN('Activities'!L283,174)-MAX('Activities'!K283,168))</x:f>
        <x:v>1</x:v>
      </x:c>
      <x:c r="AH283" s="23" t="n">
        <x:f>MAX(0,MIN('Activities'!L283,180)-MAX('Activities'!K283,174))</x:f>
        <x:v>0</x:v>
      </x:c>
      <x:c r="AI283" s="23" t="n">
        <x:f>MAX(0,MIN('Activities'!L283,186)-MAX('Activities'!K283,180))</x:f>
        <x:v>0</x:v>
      </x:c>
      <x:c r="AJ283" s="23" t="n">
        <x:f>MAX(0,MIN('Activities'!L283,192)-MAX('Activities'!K283,186))</x:f>
        <x:v>0</x:v>
      </x:c>
      <x:c r="AK283" s="23" t="n">
        <x:f>MAX(0,MIN('Activities'!L283,198)-MAX('Activities'!K283,192))</x:f>
        <x:v>0</x:v>
      </x:c>
      <x:c r="AL283" s="23" t="n">
        <x:f>MAX(0,MIN('Activities'!L283,204)-MAX('Activities'!K283,198))</x:f>
        <x:v>0</x:v>
      </x:c>
      <x:c r="AM283" s="23" t="n">
        <x:f>MAX(0,MIN('Activities'!L283,210)-MAX('Activities'!K283,204))</x:f>
        <x:v>0</x:v>
      </x:c>
      <x:c r="AN283" s="23" t="n">
        <x:f>MAX(0,MIN('Activities'!L283,216)-MAX('Activities'!K283,210))</x:f>
        <x:v>0</x:v>
      </x:c>
      <x:c r="AO283" s="23" t="n">
        <x:f>MAX(0,MIN('Activities'!L283,222)-MAX('Activities'!K283,216))</x:f>
        <x:v>0</x:v>
      </x:c>
      <x:c r="AP283" s="23" t="n">
        <x:f>MAX(0,MIN('Activities'!L283,228)-MAX('Activities'!K283,222))</x:f>
        <x:v>0</x:v>
      </x:c>
      <x:c r="AQ283" s="23" t="n">
        <x:f>MAX(0,MIN('Activities'!L283,234)-MAX('Activities'!K283,228))</x:f>
        <x:v>0</x:v>
      </x:c>
      <x:c r="AR283" s="23" t="n">
        <x:f>MAX(0,MIN('Activities'!L283,240)-MAX('Activities'!K283,234))</x:f>
        <x:v>0</x:v>
      </x:c>
      <x:c r="AS283" s="23" t="n">
        <x:f>MAX(0,MIN('Activities'!L283,246)-MAX('Activities'!K283,240))</x:f>
        <x:v>0</x:v>
      </x:c>
      <x:c r="AT283" s="23" t="n">
        <x:f>MAX(0,MIN('Activities'!L283,252)-MAX('Activities'!K283,246))</x:f>
        <x:v>0</x:v>
      </x:c>
      <x:c r="AU283" s="23" t="n">
        <x:f>MAX(0,MIN('Activities'!L283,258)-MAX('Activities'!K283,252))</x:f>
        <x:v>0</x:v>
      </x:c>
      <x:c r="AV283" s="23" t="n">
        <x:f>MAX(0,MIN('Activities'!L283,264)-MAX('Activities'!K283,258))</x:f>
        <x:v>0</x:v>
      </x:c>
      <x:c r="AW283" s="23" t="n">
        <x:f>MAX(0,MIN('Activities'!L283,270)-MAX('Activities'!K283,264))</x:f>
        <x:v>0</x:v>
      </x:c>
      <x:c r="AX283" s="23" t="n">
        <x:f>MAX(0,MIN('Activities'!L283,276)-MAX('Activities'!K283,270))</x:f>
        <x:v>0</x:v>
      </x:c>
      <x:c r="AY283" s="23" t="n">
        <x:f>MAX(0,MIN('Activities'!L283,282)-MAX('Activities'!K283,276))</x:f>
        <x:v>0</x:v>
      </x:c>
      <x:c r="AZ283" s="23" t="n">
        <x:f>MAX(0,MIN('Activities'!L283,288)-MAX('Activities'!K283,282))</x:f>
        <x:v>0</x:v>
      </x:c>
      <x:c r="BA283" s="23" t="n">
        <x:f>MAX(0,MIN('Activities'!L283,294)-MAX('Activities'!K283,288))</x:f>
        <x:v>0</x:v>
      </x:c>
      <x:c r="BB283" s="23" t="n">
        <x:f>MAX(0,MIN('Activities'!L283,300)-MAX('Activities'!K283,294))</x:f>
        <x:v>0</x:v>
      </x:c>
      <x:c r="BC283" s="23" t="n">
        <x:f>MAX(0,MIN('Activities'!L283,306)-MAX('Activities'!K283,300))</x:f>
        <x:v>0</x:v>
      </x:c>
      <x:c r="BD283" s="23" t="n">
        <x:f>MAX(0,MIN('Activities'!L283,312)-MAX('Activities'!K283,306))</x:f>
        <x:v>0</x:v>
      </x:c>
      <x:c r="BE283" s="23" t="n">
        <x:f>MAX(0,MIN('Activities'!L283,318)-MAX('Activities'!K283,312))</x:f>
        <x:v>0</x:v>
      </x:c>
      <x:c r="BF283" s="23" t="n">
        <x:f>MAX(0,MIN('Activities'!L283,324)-MAX('Activities'!K283,318))</x:f>
        <x:v>0</x:v>
      </x:c>
      <x:c r="BG283" s="23" t="n">
        <x:f>MAX(0,MIN('Activities'!L283,330)-MAX('Activities'!K283,324))</x:f>
        <x:v>0</x:v>
      </x:c>
      <x:c r="BH283" s="23" t="n">
        <x:f>MAX(0,MIN('Activities'!L283,336)-MAX('Activities'!K283,330))</x:f>
        <x:v>0</x:v>
      </x:c>
      <x:c r="BI283" s="23" t="n">
        <x:f>MAX(0,MIN('Activities'!L283,342)-MAX('Activities'!K283,336))</x:f>
        <x:v>0</x:v>
      </x:c>
      <x:c r="BJ283" s="23" t="n">
        <x:f>MAX(0,MIN('Activities'!L283,348)-MAX('Activities'!K283,342))</x:f>
        <x:v>0</x:v>
      </x:c>
      <x:c r="BK283" s="23" t="n">
        <x:f>MAX(0,MIN('Activities'!L283,354)-MAX('Activities'!K283,348))</x:f>
        <x:v>0</x:v>
      </x:c>
      <x:c r="BL283" s="23" t="n">
        <x:f>MAX(0,MIN('Activities'!L283,360)-MAX('Activities'!K283,354))</x:f>
        <x:v>0</x:v>
      </x:c>
      <x:c r="BM283" s="23" t="n">
        <x:f>MAX(0,MIN('Activities'!L283,366)-MAX('Activities'!K283,360))</x:f>
        <x:v>0</x:v>
      </x:c>
      <x:c r="BN283" s="23" t="n">
        <x:f>MAX(0,MIN('Activities'!L283,372)-MAX('Activities'!K283,366))</x:f>
        <x:v>0</x:v>
      </x:c>
      <x:c r="BO283" s="23" t="n">
        <x:f>MAX(0,MIN('Activities'!L283,378)-MAX('Activities'!K283,372))</x:f>
        <x:v>0</x:v>
      </x:c>
      <x:c r="BP283" s="23" t="n">
        <x:f>MAX(0,MIN('Activities'!L283,384)-MAX('Activities'!K283,378))</x:f>
        <x:v>0</x:v>
      </x:c>
      <x:c r="BQ283" s="23" t="n">
        <x:f>MAX(0,MIN('Activities'!L283,390)-MAX('Activities'!K283,384))</x:f>
        <x:v>0</x:v>
      </x:c>
      <x:c r="BR283" s="23" t="n">
        <x:f>MAX(0,MIN('Activities'!L283,396)-MAX('Activities'!K283,390))</x:f>
        <x:v>0</x:v>
      </x:c>
      <x:c r="BS283" s="23" t="n">
        <x:f>MAX(0,MIN('Activities'!L283,402)-MAX('Activities'!K283,396))</x:f>
        <x:v>0</x:v>
      </x:c>
      <x:c r="BT283" s="23" t="n">
        <x:f>MAX(0,MIN('Activities'!L283,408)-MAX('Activities'!K283,402))</x:f>
        <x:v>0</x:v>
      </x:c>
      <x:c r="BU283" s="23" t="n">
        <x:f>MAX(0,MIN('Activities'!L283,414)-MAX('Activities'!K283,408))</x:f>
        <x:v>0</x:v>
      </x:c>
      <x:c r="BV283" s="23" t="n">
        <x:f>MAX(0,MIN('Activities'!L283,420)-MAX('Activities'!K283,414))</x:f>
        <x:v>0</x:v>
      </x:c>
      <x:c r="BW283" s="23" t="n">
        <x:f>MAX(0,MIN('Activities'!L283,426)-MAX('Activities'!K283,420))</x:f>
        <x:v>0</x:v>
      </x:c>
      <x:c r="BX283" s="23" t="n">
        <x:f>MAX(0,MIN('Activities'!L283,432)-MAX('Activities'!K283,426))</x:f>
        <x:v>0</x:v>
      </x:c>
      <x:c r="BY283" s="23" t="n">
        <x:f>MAX(0,MIN('Activities'!L283,438)-MAX('Activities'!K283,432))</x:f>
        <x:v>0</x:v>
      </x:c>
      <x:c r="BZ283" s="23" t="n">
        <x:f>MAX(0,MIN('Activities'!L283,444)-MAX('Activities'!K283,438))</x:f>
        <x:v>0</x:v>
      </x:c>
      <x:c r="CA283" s="23" t="n">
        <x:f>MAX(0,MIN('Activities'!L283,450)-MAX('Activities'!K283,444))</x:f>
        <x:v>0</x:v>
      </x:c>
      <x:c r="CB283" s="23" t="n">
        <x:f>MAX(0,MIN('Activities'!L283,456)-MAX('Activities'!K283,450))</x:f>
        <x:v>0</x:v>
      </x:c>
      <x:c r="CC283" s="23" t="n">
        <x:f>MAX(0,MIN('Activities'!L283,462)-MAX('Activities'!K283,456))</x:f>
        <x:v>0</x:v>
      </x:c>
      <x:c r="CD283" s="23" t="n">
        <x:f>MAX(0,MIN('Activities'!L283,468)-MAX('Activities'!K283,462))</x:f>
        <x:v>0</x:v>
      </x:c>
      <x:c r="CE283" s="23" t="n">
        <x:f>MAX(0,MIN('Activities'!L283,474)-MAX('Activities'!K283,468))</x:f>
        <x:v>0</x:v>
      </x:c>
      <x:c r="CF283" s="23" t="n">
        <x:f>MAX(0,MIN('Activities'!L283,480)-MAX('Activities'!K283,474))</x:f>
        <x:v>0</x:v>
      </x:c>
      <x:c r="CG283" s="23" t="n">
        <x:f>MAX(0,MIN('Activities'!L283,486)-MAX('Activities'!K283,480))</x:f>
        <x:v>0</x:v>
      </x:c>
      <x:c r="CH283" s="23" t="n">
        <x:f>MAX(0,MIN('Activities'!L283,492)-MAX('Activities'!K283,486))</x:f>
        <x:v>0</x:v>
      </x:c>
      <x:c r="CI283" s="23" t="n">
        <x:f>MAX(0,MIN('Activities'!L283,498)-MAX('Activities'!K283,492))</x:f>
        <x:v>0</x:v>
      </x:c>
      <x:c r="CJ283" s="23" t="n">
        <x:f>MAX(0,MIN('Activities'!L283,504)-MAX('Activities'!K283,498))</x:f>
        <x:v>0</x:v>
      </x:c>
      <x:c r="CK283" s="23" t="n">
        <x:f>MAX(0,MIN('Activities'!L283,510)-MAX('Activities'!K283,504))</x:f>
        <x:v>0</x:v>
      </x:c>
      <x:c r="CL283" s="23" t="n">
        <x:f>MAX(0,MIN('Activities'!L283,516)-MAX('Activities'!K283,510))</x:f>
        <x:v>0</x:v>
      </x:c>
      <x:c r="CM283" s="23" t="n">
        <x:f>MAX(0,MIN('Activities'!L283,522)-MAX('Activities'!K283,516))</x:f>
        <x:v>0</x:v>
      </x:c>
      <x:c r="CN283" s="23" t="n">
        <x:f>MAX(0,MIN('Activities'!L283,528)-MAX('Activities'!K283,522))</x:f>
        <x:v>0</x:v>
      </x:c>
      <x:c r="CO283" s="23" t="n">
        <x:f>MAX(0,MIN('Activities'!L283,534)-MAX('Activities'!K283,528))</x:f>
        <x:v>0</x:v>
      </x:c>
      <x:c r="CP283" s="23" t="n">
        <x:f>MAX(0,MIN('Activities'!L283,540)-MAX('Activities'!K283,534))</x:f>
        <x:v>0</x:v>
      </x:c>
      <x:c r="CQ283" s="23" t="n">
        <x:f>MAX(0,MIN('Activities'!L283,546)-MAX('Activities'!K283,540))</x:f>
        <x:v>0</x:v>
      </x:c>
      <x:c r="CR283" s="23" t="n">
        <x:f>MAX(0,MIN('Activities'!L283,552)-MAX('Activities'!K283,546))</x:f>
        <x:v>0</x:v>
      </x:c>
      <x:c r="CS283" s="23" t="n">
        <x:f>MAX(0,MIN('Activities'!L283,558)-MAX('Activities'!K283,552))</x:f>
        <x:v>0</x:v>
      </x:c>
      <x:c r="CT283" s="23" t="n">
        <x:f>MAX(0,MIN('Activities'!L283,564)-MAX('Activities'!K283,558))</x:f>
        <x:v>0</x:v>
      </x:c>
      <x:c r="CU283" s="23" t="n">
        <x:f>MAX(0,MIN('Activities'!L283,570)-MAX('Activities'!K283,564))</x:f>
        <x:v>0</x:v>
      </x:c>
      <x:c r="CV283" s="23" t="n">
        <x:f>MAX(0,MIN('Activities'!L283,576)-MAX('Activities'!K283,570))</x:f>
        <x:v>0</x:v>
      </x:c>
      <x:c r="CW283" s="23" t="n">
        <x:f>MAX(0,MIN('Activities'!L283,582)-MAX('Activities'!K283,576))</x:f>
        <x:v>0</x:v>
      </x:c>
      <x:c r="CX283" s="23" t="n">
        <x:f>MAX(0,MIN('Activities'!L283,588)-MAX('Activities'!K283,582))</x:f>
        <x:v>0</x:v>
      </x:c>
      <x:c r="CY283" s="23" t="n">
        <x:f>MAX(0,MIN('Activities'!L283,594)-MAX('Activities'!K283,588))</x:f>
        <x:v>0</x:v>
      </x:c>
      <x:c r="CZ283" s="23" t="n">
        <x:f>MAX(0,MIN('Activities'!L283,600)-MAX('Activities'!K283,594))</x:f>
        <x:v>0</x:v>
      </x:c>
      <x:c r="DA283" s="23" t="n">
        <x:f>MAX(0,MIN('Activities'!L283,606)-MAX('Activities'!K283,600))</x:f>
        <x:v>0</x:v>
      </x:c>
      <x:c r="DB283" s="23" t="n">
        <x:f>MAX(0,MIN('Activities'!L283,612)-MAX('Activities'!K283,606))</x:f>
        <x:v>0</x:v>
      </x:c>
      <x:c r="DC283" s="23" t="n">
        <x:f>MAX(0,MIN('Activities'!L283,618)-MAX('Activities'!K283,612))</x:f>
        <x:v>0</x:v>
      </x:c>
      <x:c r="DD283" s="23" t="n">
        <x:f>MAX(0,MIN('Activities'!L283,624)-MAX('Activities'!K283,618))</x:f>
        <x:v>0</x:v>
      </x:c>
      <x:c r="DE283" s="23" t="n">
        <x:f>MAX(0,MIN('Activities'!L283,630)-MAX('Activities'!K283,624))</x:f>
        <x:v>0</x:v>
      </x:c>
      <x:c r="DF283" s="23" t="n">
        <x:f>MAX(0,MIN('Activities'!L283,636)-MAX('Activities'!K283,630))</x:f>
        <x:v>0</x:v>
      </x:c>
    </x:row>
    <x:row r="284" ht="23" customHeight="1">
      <x:c r="A284" s="6" t="str">
        <x:v>T3-L00-C</x:v>
      </x:c>
      <x:c r="B284" s="6" t="str">
        <x:v>T3</x:v>
      </x:c>
      <x:c r="C284" s="6" t="str">
        <x:v>Concrete placement and finishing</x:v>
      </x:c>
      <x:c r="D284" s="6" t="str">
        <x:v>Concrete</x:v>
      </x:c>
      <x:c r="E284" s="22" t="n">
        <x:f>MAX(0,MIN('Activities'!L284,6)-MAX('Activities'!K284,0))</x:f>
        <x:v>0</x:v>
      </x:c>
      <x:c r="F284" s="22" t="n">
        <x:f>MAX(0,MIN('Activities'!L284,12)-MAX('Activities'!K284,6))</x:f>
        <x:v>0</x:v>
      </x:c>
      <x:c r="G284" s="22" t="n">
        <x:f>MAX(0,MIN('Activities'!L284,18)-MAX('Activities'!K284,12))</x:f>
        <x:v>0</x:v>
      </x:c>
      <x:c r="H284" s="22" t="n">
        <x:f>MAX(0,MIN('Activities'!L284,24)-MAX('Activities'!K284,18))</x:f>
        <x:v>0</x:v>
      </x:c>
      <x:c r="I284" s="22" t="n">
        <x:f>MAX(0,MIN('Activities'!L284,30)-MAX('Activities'!K284,24))</x:f>
        <x:v>0</x:v>
      </x:c>
      <x:c r="J284" s="22" t="n">
        <x:f>MAX(0,MIN('Activities'!L284,36)-MAX('Activities'!K284,30))</x:f>
        <x:v>0</x:v>
      </x:c>
      <x:c r="K284" s="22" t="n">
        <x:f>MAX(0,MIN('Activities'!L284,42)-MAX('Activities'!K284,36))</x:f>
        <x:v>0</x:v>
      </x:c>
      <x:c r="L284" s="22" t="n">
        <x:f>MAX(0,MIN('Activities'!L284,48)-MAX('Activities'!K284,42))</x:f>
        <x:v>0</x:v>
      </x:c>
      <x:c r="M284" s="22" t="n">
        <x:f>MAX(0,MIN('Activities'!L284,54)-MAX('Activities'!K284,48))</x:f>
        <x:v>0</x:v>
      </x:c>
      <x:c r="N284" s="22" t="n">
        <x:f>MAX(0,MIN('Activities'!L284,60)-MAX('Activities'!K284,54))</x:f>
        <x:v>0</x:v>
      </x:c>
      <x:c r="O284" s="22" t="n">
        <x:f>MAX(0,MIN('Activities'!L284,66)-MAX('Activities'!K284,60))</x:f>
        <x:v>0</x:v>
      </x:c>
      <x:c r="P284" s="22" t="n">
        <x:f>MAX(0,MIN('Activities'!L284,72)-MAX('Activities'!K284,66))</x:f>
        <x:v>0</x:v>
      </x:c>
      <x:c r="Q284" s="22" t="n">
        <x:f>MAX(0,MIN('Activities'!L284,78)-MAX('Activities'!K284,72))</x:f>
        <x:v>0</x:v>
      </x:c>
      <x:c r="R284" s="22" t="n">
        <x:f>MAX(0,MIN('Activities'!L284,84)-MAX('Activities'!K284,78))</x:f>
        <x:v>0</x:v>
      </x:c>
      <x:c r="S284" s="22" t="n">
        <x:f>MAX(0,MIN('Activities'!L284,90)-MAX('Activities'!K284,84))</x:f>
        <x:v>0</x:v>
      </x:c>
      <x:c r="T284" s="22" t="n">
        <x:f>MAX(0,MIN('Activities'!L284,96)-MAX('Activities'!K284,90))</x:f>
        <x:v>0</x:v>
      </x:c>
      <x:c r="U284" s="22" t="n">
        <x:f>MAX(0,MIN('Activities'!L284,102)-MAX('Activities'!K284,96))</x:f>
        <x:v>0</x:v>
      </x:c>
      <x:c r="V284" s="22" t="n">
        <x:f>MAX(0,MIN('Activities'!L284,108)-MAX('Activities'!K284,102))</x:f>
        <x:v>0</x:v>
      </x:c>
      <x:c r="W284" s="22" t="n">
        <x:f>MAX(0,MIN('Activities'!L284,114)-MAX('Activities'!K284,108))</x:f>
        <x:v>0</x:v>
      </x:c>
      <x:c r="X284" s="22" t="n">
        <x:f>MAX(0,MIN('Activities'!L284,120)-MAX('Activities'!K284,114))</x:f>
        <x:v>0</x:v>
      </x:c>
      <x:c r="Y284" s="22" t="n">
        <x:f>MAX(0,MIN('Activities'!L284,126)-MAX('Activities'!K284,120))</x:f>
        <x:v>0</x:v>
      </x:c>
      <x:c r="Z284" s="22" t="n">
        <x:f>MAX(0,MIN('Activities'!L284,132)-MAX('Activities'!K284,126))</x:f>
        <x:v>0</x:v>
      </x:c>
      <x:c r="AA284" s="22" t="n">
        <x:f>MAX(0,MIN('Activities'!L284,138)-MAX('Activities'!K284,132))</x:f>
        <x:v>0</x:v>
      </x:c>
      <x:c r="AB284" s="22" t="n">
        <x:f>MAX(0,MIN('Activities'!L284,144)-MAX('Activities'!K284,138))</x:f>
        <x:v>0</x:v>
      </x:c>
      <x:c r="AC284" s="22" t="n">
        <x:f>MAX(0,MIN('Activities'!L284,150)-MAX('Activities'!K284,144))</x:f>
        <x:v>0</x:v>
      </x:c>
      <x:c r="AD284" s="22" t="n">
        <x:f>MAX(0,MIN('Activities'!L284,156)-MAX('Activities'!K284,150))</x:f>
        <x:v>0</x:v>
      </x:c>
      <x:c r="AE284" s="22" t="n">
        <x:f>MAX(0,MIN('Activities'!L284,162)-MAX('Activities'!K284,156))</x:f>
        <x:v>0</x:v>
      </x:c>
      <x:c r="AF284" s="22" t="n">
        <x:f>MAX(0,MIN('Activities'!L284,168)-MAX('Activities'!K284,162))</x:f>
        <x:v>0</x:v>
      </x:c>
      <x:c r="AG284" s="22" t="n">
        <x:f>MAX(0,MIN('Activities'!L284,174)-MAX('Activities'!K284,168))</x:f>
        <x:v>2</x:v>
      </x:c>
      <x:c r="AH284" s="22" t="n">
        <x:f>MAX(0,MIN('Activities'!L284,180)-MAX('Activities'!K284,174))</x:f>
        <x:v>0</x:v>
      </x:c>
      <x:c r="AI284" s="22" t="n">
        <x:f>MAX(0,MIN('Activities'!L284,186)-MAX('Activities'!K284,180))</x:f>
        <x:v>0</x:v>
      </x:c>
      <x:c r="AJ284" s="22" t="n">
        <x:f>MAX(0,MIN('Activities'!L284,192)-MAX('Activities'!K284,186))</x:f>
        <x:v>0</x:v>
      </x:c>
      <x:c r="AK284" s="22" t="n">
        <x:f>MAX(0,MIN('Activities'!L284,198)-MAX('Activities'!K284,192))</x:f>
        <x:v>0</x:v>
      </x:c>
      <x:c r="AL284" s="22" t="n">
        <x:f>MAX(0,MIN('Activities'!L284,204)-MAX('Activities'!K284,198))</x:f>
        <x:v>0</x:v>
      </x:c>
      <x:c r="AM284" s="22" t="n">
        <x:f>MAX(0,MIN('Activities'!L284,210)-MAX('Activities'!K284,204))</x:f>
        <x:v>0</x:v>
      </x:c>
      <x:c r="AN284" s="22" t="n">
        <x:f>MAX(0,MIN('Activities'!L284,216)-MAX('Activities'!K284,210))</x:f>
        <x:v>0</x:v>
      </x:c>
      <x:c r="AO284" s="22" t="n">
        <x:f>MAX(0,MIN('Activities'!L284,222)-MAX('Activities'!K284,216))</x:f>
        <x:v>0</x:v>
      </x:c>
      <x:c r="AP284" s="22" t="n">
        <x:f>MAX(0,MIN('Activities'!L284,228)-MAX('Activities'!K284,222))</x:f>
        <x:v>0</x:v>
      </x:c>
      <x:c r="AQ284" s="22" t="n">
        <x:f>MAX(0,MIN('Activities'!L284,234)-MAX('Activities'!K284,228))</x:f>
        <x:v>0</x:v>
      </x:c>
      <x:c r="AR284" s="22" t="n">
        <x:f>MAX(0,MIN('Activities'!L284,240)-MAX('Activities'!K284,234))</x:f>
        <x:v>0</x:v>
      </x:c>
      <x:c r="AS284" s="22" t="n">
        <x:f>MAX(0,MIN('Activities'!L284,246)-MAX('Activities'!K284,240))</x:f>
        <x:v>0</x:v>
      </x:c>
      <x:c r="AT284" s="22" t="n">
        <x:f>MAX(0,MIN('Activities'!L284,252)-MAX('Activities'!K284,246))</x:f>
        <x:v>0</x:v>
      </x:c>
      <x:c r="AU284" s="22" t="n">
        <x:f>MAX(0,MIN('Activities'!L284,258)-MAX('Activities'!K284,252))</x:f>
        <x:v>0</x:v>
      </x:c>
      <x:c r="AV284" s="22" t="n">
        <x:f>MAX(0,MIN('Activities'!L284,264)-MAX('Activities'!K284,258))</x:f>
        <x:v>0</x:v>
      </x:c>
      <x:c r="AW284" s="22" t="n">
        <x:f>MAX(0,MIN('Activities'!L284,270)-MAX('Activities'!K284,264))</x:f>
        <x:v>0</x:v>
      </x:c>
      <x:c r="AX284" s="22" t="n">
        <x:f>MAX(0,MIN('Activities'!L284,276)-MAX('Activities'!K284,270))</x:f>
        <x:v>0</x:v>
      </x:c>
      <x:c r="AY284" s="22" t="n">
        <x:f>MAX(0,MIN('Activities'!L284,282)-MAX('Activities'!K284,276))</x:f>
        <x:v>0</x:v>
      </x:c>
      <x:c r="AZ284" s="22" t="n">
        <x:f>MAX(0,MIN('Activities'!L284,288)-MAX('Activities'!K284,282))</x:f>
        <x:v>0</x:v>
      </x:c>
      <x:c r="BA284" s="22" t="n">
        <x:f>MAX(0,MIN('Activities'!L284,294)-MAX('Activities'!K284,288))</x:f>
        <x:v>0</x:v>
      </x:c>
      <x:c r="BB284" s="22" t="n">
        <x:f>MAX(0,MIN('Activities'!L284,300)-MAX('Activities'!K284,294))</x:f>
        <x:v>0</x:v>
      </x:c>
      <x:c r="BC284" s="22" t="n">
        <x:f>MAX(0,MIN('Activities'!L284,306)-MAX('Activities'!K284,300))</x:f>
        <x:v>0</x:v>
      </x:c>
      <x:c r="BD284" s="22" t="n">
        <x:f>MAX(0,MIN('Activities'!L284,312)-MAX('Activities'!K284,306))</x:f>
        <x:v>0</x:v>
      </x:c>
      <x:c r="BE284" s="22" t="n">
        <x:f>MAX(0,MIN('Activities'!L284,318)-MAX('Activities'!K284,312))</x:f>
        <x:v>0</x:v>
      </x:c>
      <x:c r="BF284" s="22" t="n">
        <x:f>MAX(0,MIN('Activities'!L284,324)-MAX('Activities'!K284,318))</x:f>
        <x:v>0</x:v>
      </x:c>
      <x:c r="BG284" s="22" t="n">
        <x:f>MAX(0,MIN('Activities'!L284,330)-MAX('Activities'!K284,324))</x:f>
        <x:v>0</x:v>
      </x:c>
      <x:c r="BH284" s="22" t="n">
        <x:f>MAX(0,MIN('Activities'!L284,336)-MAX('Activities'!K284,330))</x:f>
        <x:v>0</x:v>
      </x:c>
      <x:c r="BI284" s="22" t="n">
        <x:f>MAX(0,MIN('Activities'!L284,342)-MAX('Activities'!K284,336))</x:f>
        <x:v>0</x:v>
      </x:c>
      <x:c r="BJ284" s="22" t="n">
        <x:f>MAX(0,MIN('Activities'!L284,348)-MAX('Activities'!K284,342))</x:f>
        <x:v>0</x:v>
      </x:c>
      <x:c r="BK284" s="22" t="n">
        <x:f>MAX(0,MIN('Activities'!L284,354)-MAX('Activities'!K284,348))</x:f>
        <x:v>0</x:v>
      </x:c>
      <x:c r="BL284" s="22" t="n">
        <x:f>MAX(0,MIN('Activities'!L284,360)-MAX('Activities'!K284,354))</x:f>
        <x:v>0</x:v>
      </x:c>
      <x:c r="BM284" s="22" t="n">
        <x:f>MAX(0,MIN('Activities'!L284,366)-MAX('Activities'!K284,360))</x:f>
        <x:v>0</x:v>
      </x:c>
      <x:c r="BN284" s="22" t="n">
        <x:f>MAX(0,MIN('Activities'!L284,372)-MAX('Activities'!K284,366))</x:f>
        <x:v>0</x:v>
      </x:c>
      <x:c r="BO284" s="22" t="n">
        <x:f>MAX(0,MIN('Activities'!L284,378)-MAX('Activities'!K284,372))</x:f>
        <x:v>0</x:v>
      </x:c>
      <x:c r="BP284" s="22" t="n">
        <x:f>MAX(0,MIN('Activities'!L284,384)-MAX('Activities'!K284,378))</x:f>
        <x:v>0</x:v>
      </x:c>
      <x:c r="BQ284" s="22" t="n">
        <x:f>MAX(0,MIN('Activities'!L284,390)-MAX('Activities'!K284,384))</x:f>
        <x:v>0</x:v>
      </x:c>
      <x:c r="BR284" s="22" t="n">
        <x:f>MAX(0,MIN('Activities'!L284,396)-MAX('Activities'!K284,390))</x:f>
        <x:v>0</x:v>
      </x:c>
      <x:c r="BS284" s="22" t="n">
        <x:f>MAX(0,MIN('Activities'!L284,402)-MAX('Activities'!K284,396))</x:f>
        <x:v>0</x:v>
      </x:c>
      <x:c r="BT284" s="22" t="n">
        <x:f>MAX(0,MIN('Activities'!L284,408)-MAX('Activities'!K284,402))</x:f>
        <x:v>0</x:v>
      </x:c>
      <x:c r="BU284" s="22" t="n">
        <x:f>MAX(0,MIN('Activities'!L284,414)-MAX('Activities'!K284,408))</x:f>
        <x:v>0</x:v>
      </x:c>
      <x:c r="BV284" s="22" t="n">
        <x:f>MAX(0,MIN('Activities'!L284,420)-MAX('Activities'!K284,414))</x:f>
        <x:v>0</x:v>
      </x:c>
      <x:c r="BW284" s="22" t="n">
        <x:f>MAX(0,MIN('Activities'!L284,426)-MAX('Activities'!K284,420))</x:f>
        <x:v>0</x:v>
      </x:c>
      <x:c r="BX284" s="22" t="n">
        <x:f>MAX(0,MIN('Activities'!L284,432)-MAX('Activities'!K284,426))</x:f>
        <x:v>0</x:v>
      </x:c>
      <x:c r="BY284" s="22" t="n">
        <x:f>MAX(0,MIN('Activities'!L284,438)-MAX('Activities'!K284,432))</x:f>
        <x:v>0</x:v>
      </x:c>
      <x:c r="BZ284" s="22" t="n">
        <x:f>MAX(0,MIN('Activities'!L284,444)-MAX('Activities'!K284,438))</x:f>
        <x:v>0</x:v>
      </x:c>
      <x:c r="CA284" s="22" t="n">
        <x:f>MAX(0,MIN('Activities'!L284,450)-MAX('Activities'!K284,444))</x:f>
        <x:v>0</x:v>
      </x:c>
      <x:c r="CB284" s="22" t="n">
        <x:f>MAX(0,MIN('Activities'!L284,456)-MAX('Activities'!K284,450))</x:f>
        <x:v>0</x:v>
      </x:c>
      <x:c r="CC284" s="22" t="n">
        <x:f>MAX(0,MIN('Activities'!L284,462)-MAX('Activities'!K284,456))</x:f>
        <x:v>0</x:v>
      </x:c>
      <x:c r="CD284" s="22" t="n">
        <x:f>MAX(0,MIN('Activities'!L284,468)-MAX('Activities'!K284,462))</x:f>
        <x:v>0</x:v>
      </x:c>
      <x:c r="CE284" s="22" t="n">
        <x:f>MAX(0,MIN('Activities'!L284,474)-MAX('Activities'!K284,468))</x:f>
        <x:v>0</x:v>
      </x:c>
      <x:c r="CF284" s="22" t="n">
        <x:f>MAX(0,MIN('Activities'!L284,480)-MAX('Activities'!K284,474))</x:f>
        <x:v>0</x:v>
      </x:c>
      <x:c r="CG284" s="22" t="n">
        <x:f>MAX(0,MIN('Activities'!L284,486)-MAX('Activities'!K284,480))</x:f>
        <x:v>0</x:v>
      </x:c>
      <x:c r="CH284" s="22" t="n">
        <x:f>MAX(0,MIN('Activities'!L284,492)-MAX('Activities'!K284,486))</x:f>
        <x:v>0</x:v>
      </x:c>
      <x:c r="CI284" s="22" t="n">
        <x:f>MAX(0,MIN('Activities'!L284,498)-MAX('Activities'!K284,492))</x:f>
        <x:v>0</x:v>
      </x:c>
      <x:c r="CJ284" s="22" t="n">
        <x:f>MAX(0,MIN('Activities'!L284,504)-MAX('Activities'!K284,498))</x:f>
        <x:v>0</x:v>
      </x:c>
      <x:c r="CK284" s="22" t="n">
        <x:f>MAX(0,MIN('Activities'!L284,510)-MAX('Activities'!K284,504))</x:f>
        <x:v>0</x:v>
      </x:c>
      <x:c r="CL284" s="22" t="n">
        <x:f>MAX(0,MIN('Activities'!L284,516)-MAX('Activities'!K284,510))</x:f>
        <x:v>0</x:v>
      </x:c>
      <x:c r="CM284" s="22" t="n">
        <x:f>MAX(0,MIN('Activities'!L284,522)-MAX('Activities'!K284,516))</x:f>
        <x:v>0</x:v>
      </x:c>
      <x:c r="CN284" s="22" t="n">
        <x:f>MAX(0,MIN('Activities'!L284,528)-MAX('Activities'!K284,522))</x:f>
        <x:v>0</x:v>
      </x:c>
      <x:c r="CO284" s="22" t="n">
        <x:f>MAX(0,MIN('Activities'!L284,534)-MAX('Activities'!K284,528))</x:f>
        <x:v>0</x:v>
      </x:c>
      <x:c r="CP284" s="22" t="n">
        <x:f>MAX(0,MIN('Activities'!L284,540)-MAX('Activities'!K284,534))</x:f>
        <x:v>0</x:v>
      </x:c>
      <x:c r="CQ284" s="22" t="n">
        <x:f>MAX(0,MIN('Activities'!L284,546)-MAX('Activities'!K284,540))</x:f>
        <x:v>0</x:v>
      </x:c>
      <x:c r="CR284" s="22" t="n">
        <x:f>MAX(0,MIN('Activities'!L284,552)-MAX('Activities'!K284,546))</x:f>
        <x:v>0</x:v>
      </x:c>
      <x:c r="CS284" s="22" t="n">
        <x:f>MAX(0,MIN('Activities'!L284,558)-MAX('Activities'!K284,552))</x:f>
        <x:v>0</x:v>
      </x:c>
      <x:c r="CT284" s="22" t="n">
        <x:f>MAX(0,MIN('Activities'!L284,564)-MAX('Activities'!K284,558))</x:f>
        <x:v>0</x:v>
      </x:c>
      <x:c r="CU284" s="22" t="n">
        <x:f>MAX(0,MIN('Activities'!L284,570)-MAX('Activities'!K284,564))</x:f>
        <x:v>0</x:v>
      </x:c>
      <x:c r="CV284" s="22" t="n">
        <x:f>MAX(0,MIN('Activities'!L284,576)-MAX('Activities'!K284,570))</x:f>
        <x:v>0</x:v>
      </x:c>
      <x:c r="CW284" s="22" t="n">
        <x:f>MAX(0,MIN('Activities'!L284,582)-MAX('Activities'!K284,576))</x:f>
        <x:v>0</x:v>
      </x:c>
      <x:c r="CX284" s="22" t="n">
        <x:f>MAX(0,MIN('Activities'!L284,588)-MAX('Activities'!K284,582))</x:f>
        <x:v>0</x:v>
      </x:c>
      <x:c r="CY284" s="22" t="n">
        <x:f>MAX(0,MIN('Activities'!L284,594)-MAX('Activities'!K284,588))</x:f>
        <x:v>0</x:v>
      </x:c>
      <x:c r="CZ284" s="22" t="n">
        <x:f>MAX(0,MIN('Activities'!L284,600)-MAX('Activities'!K284,594))</x:f>
        <x:v>0</x:v>
      </x:c>
      <x:c r="DA284" s="22" t="n">
        <x:f>MAX(0,MIN('Activities'!L284,606)-MAX('Activities'!K284,600))</x:f>
        <x:v>0</x:v>
      </x:c>
      <x:c r="DB284" s="22" t="n">
        <x:f>MAX(0,MIN('Activities'!L284,612)-MAX('Activities'!K284,606))</x:f>
        <x:v>0</x:v>
      </x:c>
      <x:c r="DC284" s="22" t="n">
        <x:f>MAX(0,MIN('Activities'!L284,618)-MAX('Activities'!K284,612))</x:f>
        <x:v>0</x:v>
      </x:c>
      <x:c r="DD284" s="22" t="n">
        <x:f>MAX(0,MIN('Activities'!L284,624)-MAX('Activities'!K284,618))</x:f>
        <x:v>0</x:v>
      </x:c>
      <x:c r="DE284" s="22" t="n">
        <x:f>MAX(0,MIN('Activities'!L284,630)-MAX('Activities'!K284,624))</x:f>
        <x:v>0</x:v>
      </x:c>
      <x:c r="DF284" s="22" t="n">
        <x:f>MAX(0,MIN('Activities'!L284,636)-MAX('Activities'!K284,630))</x:f>
        <x:v>0</x:v>
      </x:c>
    </x:row>
    <x:row r="285" ht="23" customHeight="1">
      <x:c r="A285" s="1" t="str">
        <x:v>T3-L00-H</x:v>
      </x:c>
      <x:c r="B285" s="1" t="str">
        <x:v>T3</x:v>
      </x:c>
      <x:c r="C285" s="1" t="str">
        <x:v>Curing and release hold point</x:v>
      </x:c>
      <x:c r="D285" s="1" t="str">
        <x:v>Site</x:v>
      </x:c>
      <x:c r="E285" s="23" t="n">
        <x:f>MAX(0,MIN('Activities'!L285,6)-MAX('Activities'!K285,0))</x:f>
        <x:v>0</x:v>
      </x:c>
      <x:c r="F285" s="23" t="n">
        <x:f>MAX(0,MIN('Activities'!L285,12)-MAX('Activities'!K285,6))</x:f>
        <x:v>0</x:v>
      </x:c>
      <x:c r="G285" s="23" t="n">
        <x:f>MAX(0,MIN('Activities'!L285,18)-MAX('Activities'!K285,12))</x:f>
        <x:v>0</x:v>
      </x:c>
      <x:c r="H285" s="23" t="n">
        <x:f>MAX(0,MIN('Activities'!L285,24)-MAX('Activities'!K285,18))</x:f>
        <x:v>0</x:v>
      </x:c>
      <x:c r="I285" s="23" t="n">
        <x:f>MAX(0,MIN('Activities'!L285,30)-MAX('Activities'!K285,24))</x:f>
        <x:v>0</x:v>
      </x:c>
      <x:c r="J285" s="23" t="n">
        <x:f>MAX(0,MIN('Activities'!L285,36)-MAX('Activities'!K285,30))</x:f>
        <x:v>0</x:v>
      </x:c>
      <x:c r="K285" s="23" t="n">
        <x:f>MAX(0,MIN('Activities'!L285,42)-MAX('Activities'!K285,36))</x:f>
        <x:v>0</x:v>
      </x:c>
      <x:c r="L285" s="23" t="n">
        <x:f>MAX(0,MIN('Activities'!L285,48)-MAX('Activities'!K285,42))</x:f>
        <x:v>0</x:v>
      </x:c>
      <x:c r="M285" s="23" t="n">
        <x:f>MAX(0,MIN('Activities'!L285,54)-MAX('Activities'!K285,48))</x:f>
        <x:v>0</x:v>
      </x:c>
      <x:c r="N285" s="23" t="n">
        <x:f>MAX(0,MIN('Activities'!L285,60)-MAX('Activities'!K285,54))</x:f>
        <x:v>0</x:v>
      </x:c>
      <x:c r="O285" s="23" t="n">
        <x:f>MAX(0,MIN('Activities'!L285,66)-MAX('Activities'!K285,60))</x:f>
        <x:v>0</x:v>
      </x:c>
      <x:c r="P285" s="23" t="n">
        <x:f>MAX(0,MIN('Activities'!L285,72)-MAX('Activities'!K285,66))</x:f>
        <x:v>0</x:v>
      </x:c>
      <x:c r="Q285" s="23" t="n">
        <x:f>MAX(0,MIN('Activities'!L285,78)-MAX('Activities'!K285,72))</x:f>
        <x:v>0</x:v>
      </x:c>
      <x:c r="R285" s="23" t="n">
        <x:f>MAX(0,MIN('Activities'!L285,84)-MAX('Activities'!K285,78))</x:f>
        <x:v>0</x:v>
      </x:c>
      <x:c r="S285" s="23" t="n">
        <x:f>MAX(0,MIN('Activities'!L285,90)-MAX('Activities'!K285,84))</x:f>
        <x:v>0</x:v>
      </x:c>
      <x:c r="T285" s="23" t="n">
        <x:f>MAX(0,MIN('Activities'!L285,96)-MAX('Activities'!K285,90))</x:f>
        <x:v>0</x:v>
      </x:c>
      <x:c r="U285" s="23" t="n">
        <x:f>MAX(0,MIN('Activities'!L285,102)-MAX('Activities'!K285,96))</x:f>
        <x:v>0</x:v>
      </x:c>
      <x:c r="V285" s="23" t="n">
        <x:f>MAX(0,MIN('Activities'!L285,108)-MAX('Activities'!K285,102))</x:f>
        <x:v>0</x:v>
      </x:c>
      <x:c r="W285" s="23" t="n">
        <x:f>MAX(0,MIN('Activities'!L285,114)-MAX('Activities'!K285,108))</x:f>
        <x:v>0</x:v>
      </x:c>
      <x:c r="X285" s="23" t="n">
        <x:f>MAX(0,MIN('Activities'!L285,120)-MAX('Activities'!K285,114))</x:f>
        <x:v>0</x:v>
      </x:c>
      <x:c r="Y285" s="23" t="n">
        <x:f>MAX(0,MIN('Activities'!L285,126)-MAX('Activities'!K285,120))</x:f>
        <x:v>0</x:v>
      </x:c>
      <x:c r="Z285" s="23" t="n">
        <x:f>MAX(0,MIN('Activities'!L285,132)-MAX('Activities'!K285,126))</x:f>
        <x:v>0</x:v>
      </x:c>
      <x:c r="AA285" s="23" t="n">
        <x:f>MAX(0,MIN('Activities'!L285,138)-MAX('Activities'!K285,132))</x:f>
        <x:v>0</x:v>
      </x:c>
      <x:c r="AB285" s="23" t="n">
        <x:f>MAX(0,MIN('Activities'!L285,144)-MAX('Activities'!K285,138))</x:f>
        <x:v>0</x:v>
      </x:c>
      <x:c r="AC285" s="23" t="n">
        <x:f>MAX(0,MIN('Activities'!L285,150)-MAX('Activities'!K285,144))</x:f>
        <x:v>0</x:v>
      </x:c>
      <x:c r="AD285" s="23" t="n">
        <x:f>MAX(0,MIN('Activities'!L285,156)-MAX('Activities'!K285,150))</x:f>
        <x:v>0</x:v>
      </x:c>
      <x:c r="AE285" s="23" t="n">
        <x:f>MAX(0,MIN('Activities'!L285,162)-MAX('Activities'!K285,156))</x:f>
        <x:v>0</x:v>
      </x:c>
      <x:c r="AF285" s="23" t="n">
        <x:f>MAX(0,MIN('Activities'!L285,168)-MAX('Activities'!K285,162))</x:f>
        <x:v>0</x:v>
      </x:c>
      <x:c r="AG285" s="23" t="n">
        <x:f>MAX(0,MIN('Activities'!L285,174)-MAX('Activities'!K285,168))</x:f>
        <x:v>3</x:v>
      </x:c>
      <x:c r="AH285" s="23" t="n">
        <x:f>MAX(0,MIN('Activities'!L285,180)-MAX('Activities'!K285,174))</x:f>
        <x:v>2</x:v>
      </x:c>
      <x:c r="AI285" s="23" t="n">
        <x:f>MAX(0,MIN('Activities'!L285,186)-MAX('Activities'!K285,180))</x:f>
        <x:v>0</x:v>
      </x:c>
      <x:c r="AJ285" s="23" t="n">
        <x:f>MAX(0,MIN('Activities'!L285,192)-MAX('Activities'!K285,186))</x:f>
        <x:v>0</x:v>
      </x:c>
      <x:c r="AK285" s="23" t="n">
        <x:f>MAX(0,MIN('Activities'!L285,198)-MAX('Activities'!K285,192))</x:f>
        <x:v>0</x:v>
      </x:c>
      <x:c r="AL285" s="23" t="n">
        <x:f>MAX(0,MIN('Activities'!L285,204)-MAX('Activities'!K285,198))</x:f>
        <x:v>0</x:v>
      </x:c>
      <x:c r="AM285" s="23" t="n">
        <x:f>MAX(0,MIN('Activities'!L285,210)-MAX('Activities'!K285,204))</x:f>
        <x:v>0</x:v>
      </x:c>
      <x:c r="AN285" s="23" t="n">
        <x:f>MAX(0,MIN('Activities'!L285,216)-MAX('Activities'!K285,210))</x:f>
        <x:v>0</x:v>
      </x:c>
      <x:c r="AO285" s="23" t="n">
        <x:f>MAX(0,MIN('Activities'!L285,222)-MAX('Activities'!K285,216))</x:f>
        <x:v>0</x:v>
      </x:c>
      <x:c r="AP285" s="23" t="n">
        <x:f>MAX(0,MIN('Activities'!L285,228)-MAX('Activities'!K285,222))</x:f>
        <x:v>0</x:v>
      </x:c>
      <x:c r="AQ285" s="23" t="n">
        <x:f>MAX(0,MIN('Activities'!L285,234)-MAX('Activities'!K285,228))</x:f>
        <x:v>0</x:v>
      </x:c>
      <x:c r="AR285" s="23" t="n">
        <x:f>MAX(0,MIN('Activities'!L285,240)-MAX('Activities'!K285,234))</x:f>
        <x:v>0</x:v>
      </x:c>
      <x:c r="AS285" s="23" t="n">
        <x:f>MAX(0,MIN('Activities'!L285,246)-MAX('Activities'!K285,240))</x:f>
        <x:v>0</x:v>
      </x:c>
      <x:c r="AT285" s="23" t="n">
        <x:f>MAX(0,MIN('Activities'!L285,252)-MAX('Activities'!K285,246))</x:f>
        <x:v>0</x:v>
      </x:c>
      <x:c r="AU285" s="23" t="n">
        <x:f>MAX(0,MIN('Activities'!L285,258)-MAX('Activities'!K285,252))</x:f>
        <x:v>0</x:v>
      </x:c>
      <x:c r="AV285" s="23" t="n">
        <x:f>MAX(0,MIN('Activities'!L285,264)-MAX('Activities'!K285,258))</x:f>
        <x:v>0</x:v>
      </x:c>
      <x:c r="AW285" s="23" t="n">
        <x:f>MAX(0,MIN('Activities'!L285,270)-MAX('Activities'!K285,264))</x:f>
        <x:v>0</x:v>
      </x:c>
      <x:c r="AX285" s="23" t="n">
        <x:f>MAX(0,MIN('Activities'!L285,276)-MAX('Activities'!K285,270))</x:f>
        <x:v>0</x:v>
      </x:c>
      <x:c r="AY285" s="23" t="n">
        <x:f>MAX(0,MIN('Activities'!L285,282)-MAX('Activities'!K285,276))</x:f>
        <x:v>0</x:v>
      </x:c>
      <x:c r="AZ285" s="23" t="n">
        <x:f>MAX(0,MIN('Activities'!L285,288)-MAX('Activities'!K285,282))</x:f>
        <x:v>0</x:v>
      </x:c>
      <x:c r="BA285" s="23" t="n">
        <x:f>MAX(0,MIN('Activities'!L285,294)-MAX('Activities'!K285,288))</x:f>
        <x:v>0</x:v>
      </x:c>
      <x:c r="BB285" s="23" t="n">
        <x:f>MAX(0,MIN('Activities'!L285,300)-MAX('Activities'!K285,294))</x:f>
        <x:v>0</x:v>
      </x:c>
      <x:c r="BC285" s="23" t="n">
        <x:f>MAX(0,MIN('Activities'!L285,306)-MAX('Activities'!K285,300))</x:f>
        <x:v>0</x:v>
      </x:c>
      <x:c r="BD285" s="23" t="n">
        <x:f>MAX(0,MIN('Activities'!L285,312)-MAX('Activities'!K285,306))</x:f>
        <x:v>0</x:v>
      </x:c>
      <x:c r="BE285" s="23" t="n">
        <x:f>MAX(0,MIN('Activities'!L285,318)-MAX('Activities'!K285,312))</x:f>
        <x:v>0</x:v>
      </x:c>
      <x:c r="BF285" s="23" t="n">
        <x:f>MAX(0,MIN('Activities'!L285,324)-MAX('Activities'!K285,318))</x:f>
        <x:v>0</x:v>
      </x:c>
      <x:c r="BG285" s="23" t="n">
        <x:f>MAX(0,MIN('Activities'!L285,330)-MAX('Activities'!K285,324))</x:f>
        <x:v>0</x:v>
      </x:c>
      <x:c r="BH285" s="23" t="n">
        <x:f>MAX(0,MIN('Activities'!L285,336)-MAX('Activities'!K285,330))</x:f>
        <x:v>0</x:v>
      </x:c>
      <x:c r="BI285" s="23" t="n">
        <x:f>MAX(0,MIN('Activities'!L285,342)-MAX('Activities'!K285,336))</x:f>
        <x:v>0</x:v>
      </x:c>
      <x:c r="BJ285" s="23" t="n">
        <x:f>MAX(0,MIN('Activities'!L285,348)-MAX('Activities'!K285,342))</x:f>
        <x:v>0</x:v>
      </x:c>
      <x:c r="BK285" s="23" t="n">
        <x:f>MAX(0,MIN('Activities'!L285,354)-MAX('Activities'!K285,348))</x:f>
        <x:v>0</x:v>
      </x:c>
      <x:c r="BL285" s="23" t="n">
        <x:f>MAX(0,MIN('Activities'!L285,360)-MAX('Activities'!K285,354))</x:f>
        <x:v>0</x:v>
      </x:c>
      <x:c r="BM285" s="23" t="n">
        <x:f>MAX(0,MIN('Activities'!L285,366)-MAX('Activities'!K285,360))</x:f>
        <x:v>0</x:v>
      </x:c>
      <x:c r="BN285" s="23" t="n">
        <x:f>MAX(0,MIN('Activities'!L285,372)-MAX('Activities'!K285,366))</x:f>
        <x:v>0</x:v>
      </x:c>
      <x:c r="BO285" s="23" t="n">
        <x:f>MAX(0,MIN('Activities'!L285,378)-MAX('Activities'!K285,372))</x:f>
        <x:v>0</x:v>
      </x:c>
      <x:c r="BP285" s="23" t="n">
        <x:f>MAX(0,MIN('Activities'!L285,384)-MAX('Activities'!K285,378))</x:f>
        <x:v>0</x:v>
      </x:c>
      <x:c r="BQ285" s="23" t="n">
        <x:f>MAX(0,MIN('Activities'!L285,390)-MAX('Activities'!K285,384))</x:f>
        <x:v>0</x:v>
      </x:c>
      <x:c r="BR285" s="23" t="n">
        <x:f>MAX(0,MIN('Activities'!L285,396)-MAX('Activities'!K285,390))</x:f>
        <x:v>0</x:v>
      </x:c>
      <x:c r="BS285" s="23" t="n">
        <x:f>MAX(0,MIN('Activities'!L285,402)-MAX('Activities'!K285,396))</x:f>
        <x:v>0</x:v>
      </x:c>
      <x:c r="BT285" s="23" t="n">
        <x:f>MAX(0,MIN('Activities'!L285,408)-MAX('Activities'!K285,402))</x:f>
        <x:v>0</x:v>
      </x:c>
      <x:c r="BU285" s="23" t="n">
        <x:f>MAX(0,MIN('Activities'!L285,414)-MAX('Activities'!K285,408))</x:f>
        <x:v>0</x:v>
      </x:c>
      <x:c r="BV285" s="23" t="n">
        <x:f>MAX(0,MIN('Activities'!L285,420)-MAX('Activities'!K285,414))</x:f>
        <x:v>0</x:v>
      </x:c>
      <x:c r="BW285" s="23" t="n">
        <x:f>MAX(0,MIN('Activities'!L285,426)-MAX('Activities'!K285,420))</x:f>
        <x:v>0</x:v>
      </x:c>
      <x:c r="BX285" s="23" t="n">
        <x:f>MAX(0,MIN('Activities'!L285,432)-MAX('Activities'!K285,426))</x:f>
        <x:v>0</x:v>
      </x:c>
      <x:c r="BY285" s="23" t="n">
        <x:f>MAX(0,MIN('Activities'!L285,438)-MAX('Activities'!K285,432))</x:f>
        <x:v>0</x:v>
      </x:c>
      <x:c r="BZ285" s="23" t="n">
        <x:f>MAX(0,MIN('Activities'!L285,444)-MAX('Activities'!K285,438))</x:f>
        <x:v>0</x:v>
      </x:c>
      <x:c r="CA285" s="23" t="n">
        <x:f>MAX(0,MIN('Activities'!L285,450)-MAX('Activities'!K285,444))</x:f>
        <x:v>0</x:v>
      </x:c>
      <x:c r="CB285" s="23" t="n">
        <x:f>MAX(0,MIN('Activities'!L285,456)-MAX('Activities'!K285,450))</x:f>
        <x:v>0</x:v>
      </x:c>
      <x:c r="CC285" s="23" t="n">
        <x:f>MAX(0,MIN('Activities'!L285,462)-MAX('Activities'!K285,456))</x:f>
        <x:v>0</x:v>
      </x:c>
      <x:c r="CD285" s="23" t="n">
        <x:f>MAX(0,MIN('Activities'!L285,468)-MAX('Activities'!K285,462))</x:f>
        <x:v>0</x:v>
      </x:c>
      <x:c r="CE285" s="23" t="n">
        <x:f>MAX(0,MIN('Activities'!L285,474)-MAX('Activities'!K285,468))</x:f>
        <x:v>0</x:v>
      </x:c>
      <x:c r="CF285" s="23" t="n">
        <x:f>MAX(0,MIN('Activities'!L285,480)-MAX('Activities'!K285,474))</x:f>
        <x:v>0</x:v>
      </x:c>
      <x:c r="CG285" s="23" t="n">
        <x:f>MAX(0,MIN('Activities'!L285,486)-MAX('Activities'!K285,480))</x:f>
        <x:v>0</x:v>
      </x:c>
      <x:c r="CH285" s="23" t="n">
        <x:f>MAX(0,MIN('Activities'!L285,492)-MAX('Activities'!K285,486))</x:f>
        <x:v>0</x:v>
      </x:c>
      <x:c r="CI285" s="23" t="n">
        <x:f>MAX(0,MIN('Activities'!L285,498)-MAX('Activities'!K285,492))</x:f>
        <x:v>0</x:v>
      </x:c>
      <x:c r="CJ285" s="23" t="n">
        <x:f>MAX(0,MIN('Activities'!L285,504)-MAX('Activities'!K285,498))</x:f>
        <x:v>0</x:v>
      </x:c>
      <x:c r="CK285" s="23" t="n">
        <x:f>MAX(0,MIN('Activities'!L285,510)-MAX('Activities'!K285,504))</x:f>
        <x:v>0</x:v>
      </x:c>
      <x:c r="CL285" s="23" t="n">
        <x:f>MAX(0,MIN('Activities'!L285,516)-MAX('Activities'!K285,510))</x:f>
        <x:v>0</x:v>
      </x:c>
      <x:c r="CM285" s="23" t="n">
        <x:f>MAX(0,MIN('Activities'!L285,522)-MAX('Activities'!K285,516))</x:f>
        <x:v>0</x:v>
      </x:c>
      <x:c r="CN285" s="23" t="n">
        <x:f>MAX(0,MIN('Activities'!L285,528)-MAX('Activities'!K285,522))</x:f>
        <x:v>0</x:v>
      </x:c>
      <x:c r="CO285" s="23" t="n">
        <x:f>MAX(0,MIN('Activities'!L285,534)-MAX('Activities'!K285,528))</x:f>
        <x:v>0</x:v>
      </x:c>
      <x:c r="CP285" s="23" t="n">
        <x:f>MAX(0,MIN('Activities'!L285,540)-MAX('Activities'!K285,534))</x:f>
        <x:v>0</x:v>
      </x:c>
      <x:c r="CQ285" s="23" t="n">
        <x:f>MAX(0,MIN('Activities'!L285,546)-MAX('Activities'!K285,540))</x:f>
        <x:v>0</x:v>
      </x:c>
      <x:c r="CR285" s="23" t="n">
        <x:f>MAX(0,MIN('Activities'!L285,552)-MAX('Activities'!K285,546))</x:f>
        <x:v>0</x:v>
      </x:c>
      <x:c r="CS285" s="23" t="n">
        <x:f>MAX(0,MIN('Activities'!L285,558)-MAX('Activities'!K285,552))</x:f>
        <x:v>0</x:v>
      </x:c>
      <x:c r="CT285" s="23" t="n">
        <x:f>MAX(0,MIN('Activities'!L285,564)-MAX('Activities'!K285,558))</x:f>
        <x:v>0</x:v>
      </x:c>
      <x:c r="CU285" s="23" t="n">
        <x:f>MAX(0,MIN('Activities'!L285,570)-MAX('Activities'!K285,564))</x:f>
        <x:v>0</x:v>
      </x:c>
      <x:c r="CV285" s="23" t="n">
        <x:f>MAX(0,MIN('Activities'!L285,576)-MAX('Activities'!K285,570))</x:f>
        <x:v>0</x:v>
      </x:c>
      <x:c r="CW285" s="23" t="n">
        <x:f>MAX(0,MIN('Activities'!L285,582)-MAX('Activities'!K285,576))</x:f>
        <x:v>0</x:v>
      </x:c>
      <x:c r="CX285" s="23" t="n">
        <x:f>MAX(0,MIN('Activities'!L285,588)-MAX('Activities'!K285,582))</x:f>
        <x:v>0</x:v>
      </x:c>
      <x:c r="CY285" s="23" t="n">
        <x:f>MAX(0,MIN('Activities'!L285,594)-MAX('Activities'!K285,588))</x:f>
        <x:v>0</x:v>
      </x:c>
      <x:c r="CZ285" s="23" t="n">
        <x:f>MAX(0,MIN('Activities'!L285,600)-MAX('Activities'!K285,594))</x:f>
        <x:v>0</x:v>
      </x:c>
      <x:c r="DA285" s="23" t="n">
        <x:f>MAX(0,MIN('Activities'!L285,606)-MAX('Activities'!K285,600))</x:f>
        <x:v>0</x:v>
      </x:c>
      <x:c r="DB285" s="23" t="n">
        <x:f>MAX(0,MIN('Activities'!L285,612)-MAX('Activities'!K285,606))</x:f>
        <x:v>0</x:v>
      </x:c>
      <x:c r="DC285" s="23" t="n">
        <x:f>MAX(0,MIN('Activities'!L285,618)-MAX('Activities'!K285,612))</x:f>
        <x:v>0</x:v>
      </x:c>
      <x:c r="DD285" s="23" t="n">
        <x:f>MAX(0,MIN('Activities'!L285,624)-MAX('Activities'!K285,618))</x:f>
        <x:v>0</x:v>
      </x:c>
      <x:c r="DE285" s="23" t="n">
        <x:f>MAX(0,MIN('Activities'!L285,630)-MAX('Activities'!K285,624))</x:f>
        <x:v>0</x:v>
      </x:c>
      <x:c r="DF285" s="23" t="n">
        <x:f>MAX(0,MIN('Activities'!L285,636)-MAX('Activities'!K285,630))</x:f>
        <x:v>0</x:v>
      </x:c>
    </x:row>
    <x:row r="286" ht="23" customHeight="1">
      <x:c r="A286" s="6" t="str">
        <x:v>T3-L01-F</x:v>
      </x:c>
      <x:c r="B286" s="6" t="str">
        <x:v>T3</x:v>
      </x:c>
      <x:c r="C286" s="6" t="str">
        <x:v>Columns, core and deck formwork</x:v>
      </x:c>
      <x:c r="D286" s="6" t="str">
        <x:v>Formwork</x:v>
      </x:c>
      <x:c r="E286" s="22" t="n">
        <x:f>MAX(0,MIN('Activities'!L286,6)-MAX('Activities'!K286,0))</x:f>
        <x:v>0</x:v>
      </x:c>
      <x:c r="F286" s="22" t="n">
        <x:f>MAX(0,MIN('Activities'!L286,12)-MAX('Activities'!K286,6))</x:f>
        <x:v>0</x:v>
      </x:c>
      <x:c r="G286" s="22" t="n">
        <x:f>MAX(0,MIN('Activities'!L286,18)-MAX('Activities'!K286,12))</x:f>
        <x:v>0</x:v>
      </x:c>
      <x:c r="H286" s="22" t="n">
        <x:f>MAX(0,MIN('Activities'!L286,24)-MAX('Activities'!K286,18))</x:f>
        <x:v>0</x:v>
      </x:c>
      <x:c r="I286" s="22" t="n">
        <x:f>MAX(0,MIN('Activities'!L286,30)-MAX('Activities'!K286,24))</x:f>
        <x:v>0</x:v>
      </x:c>
      <x:c r="J286" s="22" t="n">
        <x:f>MAX(0,MIN('Activities'!L286,36)-MAX('Activities'!K286,30))</x:f>
        <x:v>0</x:v>
      </x:c>
      <x:c r="K286" s="22" t="n">
        <x:f>MAX(0,MIN('Activities'!L286,42)-MAX('Activities'!K286,36))</x:f>
        <x:v>0</x:v>
      </x:c>
      <x:c r="L286" s="22" t="n">
        <x:f>MAX(0,MIN('Activities'!L286,48)-MAX('Activities'!K286,42))</x:f>
        <x:v>0</x:v>
      </x:c>
      <x:c r="M286" s="22" t="n">
        <x:f>MAX(0,MIN('Activities'!L286,54)-MAX('Activities'!K286,48))</x:f>
        <x:v>0</x:v>
      </x:c>
      <x:c r="N286" s="22" t="n">
        <x:f>MAX(0,MIN('Activities'!L286,60)-MAX('Activities'!K286,54))</x:f>
        <x:v>0</x:v>
      </x:c>
      <x:c r="O286" s="22" t="n">
        <x:f>MAX(0,MIN('Activities'!L286,66)-MAX('Activities'!K286,60))</x:f>
        <x:v>0</x:v>
      </x:c>
      <x:c r="P286" s="22" t="n">
        <x:f>MAX(0,MIN('Activities'!L286,72)-MAX('Activities'!K286,66))</x:f>
        <x:v>0</x:v>
      </x:c>
      <x:c r="Q286" s="22" t="n">
        <x:f>MAX(0,MIN('Activities'!L286,78)-MAX('Activities'!K286,72))</x:f>
        <x:v>0</x:v>
      </x:c>
      <x:c r="R286" s="22" t="n">
        <x:f>MAX(0,MIN('Activities'!L286,84)-MAX('Activities'!K286,78))</x:f>
        <x:v>0</x:v>
      </x:c>
      <x:c r="S286" s="22" t="n">
        <x:f>MAX(0,MIN('Activities'!L286,90)-MAX('Activities'!K286,84))</x:f>
        <x:v>0</x:v>
      </x:c>
      <x:c r="T286" s="22" t="n">
        <x:f>MAX(0,MIN('Activities'!L286,96)-MAX('Activities'!K286,90))</x:f>
        <x:v>0</x:v>
      </x:c>
      <x:c r="U286" s="22" t="n">
        <x:f>MAX(0,MIN('Activities'!L286,102)-MAX('Activities'!K286,96))</x:f>
        <x:v>0</x:v>
      </x:c>
      <x:c r="V286" s="22" t="n">
        <x:f>MAX(0,MIN('Activities'!L286,108)-MAX('Activities'!K286,102))</x:f>
        <x:v>0</x:v>
      </x:c>
      <x:c r="W286" s="22" t="n">
        <x:f>MAX(0,MIN('Activities'!L286,114)-MAX('Activities'!K286,108))</x:f>
        <x:v>0</x:v>
      </x:c>
      <x:c r="X286" s="22" t="n">
        <x:f>MAX(0,MIN('Activities'!L286,120)-MAX('Activities'!K286,114))</x:f>
        <x:v>0</x:v>
      </x:c>
      <x:c r="Y286" s="22" t="n">
        <x:f>MAX(0,MIN('Activities'!L286,126)-MAX('Activities'!K286,120))</x:f>
        <x:v>0</x:v>
      </x:c>
      <x:c r="Z286" s="22" t="n">
        <x:f>MAX(0,MIN('Activities'!L286,132)-MAX('Activities'!K286,126))</x:f>
        <x:v>0</x:v>
      </x:c>
      <x:c r="AA286" s="22" t="n">
        <x:f>MAX(0,MIN('Activities'!L286,138)-MAX('Activities'!K286,132))</x:f>
        <x:v>0</x:v>
      </x:c>
      <x:c r="AB286" s="22" t="n">
        <x:f>MAX(0,MIN('Activities'!L286,144)-MAX('Activities'!K286,138))</x:f>
        <x:v>0</x:v>
      </x:c>
      <x:c r="AC286" s="22" t="n">
        <x:f>MAX(0,MIN('Activities'!L286,150)-MAX('Activities'!K286,144))</x:f>
        <x:v>0</x:v>
      </x:c>
      <x:c r="AD286" s="22" t="n">
        <x:f>MAX(0,MIN('Activities'!L286,156)-MAX('Activities'!K286,150))</x:f>
        <x:v>0</x:v>
      </x:c>
      <x:c r="AE286" s="22" t="n">
        <x:f>MAX(0,MIN('Activities'!L286,162)-MAX('Activities'!K286,156))</x:f>
        <x:v>0</x:v>
      </x:c>
      <x:c r="AF286" s="22" t="n">
        <x:f>MAX(0,MIN('Activities'!L286,168)-MAX('Activities'!K286,162))</x:f>
        <x:v>0</x:v>
      </x:c>
      <x:c r="AG286" s="22" t="n">
        <x:f>MAX(0,MIN('Activities'!L286,174)-MAX('Activities'!K286,168))</x:f>
        <x:v>0</x:v>
      </x:c>
      <x:c r="AH286" s="22" t="n">
        <x:f>MAX(0,MIN('Activities'!L286,180)-MAX('Activities'!K286,174))</x:f>
        <x:v>4</x:v>
      </x:c>
      <x:c r="AI286" s="22" t="n">
        <x:f>MAX(0,MIN('Activities'!L286,186)-MAX('Activities'!K286,180))</x:f>
        <x:v>2</x:v>
      </x:c>
      <x:c r="AJ286" s="22" t="n">
        <x:f>MAX(0,MIN('Activities'!L286,192)-MAX('Activities'!K286,186))</x:f>
        <x:v>0</x:v>
      </x:c>
      <x:c r="AK286" s="22" t="n">
        <x:f>MAX(0,MIN('Activities'!L286,198)-MAX('Activities'!K286,192))</x:f>
        <x:v>0</x:v>
      </x:c>
      <x:c r="AL286" s="22" t="n">
        <x:f>MAX(0,MIN('Activities'!L286,204)-MAX('Activities'!K286,198))</x:f>
        <x:v>0</x:v>
      </x:c>
      <x:c r="AM286" s="22" t="n">
        <x:f>MAX(0,MIN('Activities'!L286,210)-MAX('Activities'!K286,204))</x:f>
        <x:v>0</x:v>
      </x:c>
      <x:c r="AN286" s="22" t="n">
        <x:f>MAX(0,MIN('Activities'!L286,216)-MAX('Activities'!K286,210))</x:f>
        <x:v>0</x:v>
      </x:c>
      <x:c r="AO286" s="22" t="n">
        <x:f>MAX(0,MIN('Activities'!L286,222)-MAX('Activities'!K286,216))</x:f>
        <x:v>0</x:v>
      </x:c>
      <x:c r="AP286" s="22" t="n">
        <x:f>MAX(0,MIN('Activities'!L286,228)-MAX('Activities'!K286,222))</x:f>
        <x:v>0</x:v>
      </x:c>
      <x:c r="AQ286" s="22" t="n">
        <x:f>MAX(0,MIN('Activities'!L286,234)-MAX('Activities'!K286,228))</x:f>
        <x:v>0</x:v>
      </x:c>
      <x:c r="AR286" s="22" t="n">
        <x:f>MAX(0,MIN('Activities'!L286,240)-MAX('Activities'!K286,234))</x:f>
        <x:v>0</x:v>
      </x:c>
      <x:c r="AS286" s="22" t="n">
        <x:f>MAX(0,MIN('Activities'!L286,246)-MAX('Activities'!K286,240))</x:f>
        <x:v>0</x:v>
      </x:c>
      <x:c r="AT286" s="22" t="n">
        <x:f>MAX(0,MIN('Activities'!L286,252)-MAX('Activities'!K286,246))</x:f>
        <x:v>0</x:v>
      </x:c>
      <x:c r="AU286" s="22" t="n">
        <x:f>MAX(0,MIN('Activities'!L286,258)-MAX('Activities'!K286,252))</x:f>
        <x:v>0</x:v>
      </x:c>
      <x:c r="AV286" s="22" t="n">
        <x:f>MAX(0,MIN('Activities'!L286,264)-MAX('Activities'!K286,258))</x:f>
        <x:v>0</x:v>
      </x:c>
      <x:c r="AW286" s="22" t="n">
        <x:f>MAX(0,MIN('Activities'!L286,270)-MAX('Activities'!K286,264))</x:f>
        <x:v>0</x:v>
      </x:c>
      <x:c r="AX286" s="22" t="n">
        <x:f>MAX(0,MIN('Activities'!L286,276)-MAX('Activities'!K286,270))</x:f>
        <x:v>0</x:v>
      </x:c>
      <x:c r="AY286" s="22" t="n">
        <x:f>MAX(0,MIN('Activities'!L286,282)-MAX('Activities'!K286,276))</x:f>
        <x:v>0</x:v>
      </x:c>
      <x:c r="AZ286" s="22" t="n">
        <x:f>MAX(0,MIN('Activities'!L286,288)-MAX('Activities'!K286,282))</x:f>
        <x:v>0</x:v>
      </x:c>
      <x:c r="BA286" s="22" t="n">
        <x:f>MAX(0,MIN('Activities'!L286,294)-MAX('Activities'!K286,288))</x:f>
        <x:v>0</x:v>
      </x:c>
      <x:c r="BB286" s="22" t="n">
        <x:f>MAX(0,MIN('Activities'!L286,300)-MAX('Activities'!K286,294))</x:f>
        <x:v>0</x:v>
      </x:c>
      <x:c r="BC286" s="22" t="n">
        <x:f>MAX(0,MIN('Activities'!L286,306)-MAX('Activities'!K286,300))</x:f>
        <x:v>0</x:v>
      </x:c>
      <x:c r="BD286" s="22" t="n">
        <x:f>MAX(0,MIN('Activities'!L286,312)-MAX('Activities'!K286,306))</x:f>
        <x:v>0</x:v>
      </x:c>
      <x:c r="BE286" s="22" t="n">
        <x:f>MAX(0,MIN('Activities'!L286,318)-MAX('Activities'!K286,312))</x:f>
        <x:v>0</x:v>
      </x:c>
      <x:c r="BF286" s="22" t="n">
        <x:f>MAX(0,MIN('Activities'!L286,324)-MAX('Activities'!K286,318))</x:f>
        <x:v>0</x:v>
      </x:c>
      <x:c r="BG286" s="22" t="n">
        <x:f>MAX(0,MIN('Activities'!L286,330)-MAX('Activities'!K286,324))</x:f>
        <x:v>0</x:v>
      </x:c>
      <x:c r="BH286" s="22" t="n">
        <x:f>MAX(0,MIN('Activities'!L286,336)-MAX('Activities'!K286,330))</x:f>
        <x:v>0</x:v>
      </x:c>
      <x:c r="BI286" s="22" t="n">
        <x:f>MAX(0,MIN('Activities'!L286,342)-MAX('Activities'!K286,336))</x:f>
        <x:v>0</x:v>
      </x:c>
      <x:c r="BJ286" s="22" t="n">
        <x:f>MAX(0,MIN('Activities'!L286,348)-MAX('Activities'!K286,342))</x:f>
        <x:v>0</x:v>
      </x:c>
      <x:c r="BK286" s="22" t="n">
        <x:f>MAX(0,MIN('Activities'!L286,354)-MAX('Activities'!K286,348))</x:f>
        <x:v>0</x:v>
      </x:c>
      <x:c r="BL286" s="22" t="n">
        <x:f>MAX(0,MIN('Activities'!L286,360)-MAX('Activities'!K286,354))</x:f>
        <x:v>0</x:v>
      </x:c>
      <x:c r="BM286" s="22" t="n">
        <x:f>MAX(0,MIN('Activities'!L286,366)-MAX('Activities'!K286,360))</x:f>
        <x:v>0</x:v>
      </x:c>
      <x:c r="BN286" s="22" t="n">
        <x:f>MAX(0,MIN('Activities'!L286,372)-MAX('Activities'!K286,366))</x:f>
        <x:v>0</x:v>
      </x:c>
      <x:c r="BO286" s="22" t="n">
        <x:f>MAX(0,MIN('Activities'!L286,378)-MAX('Activities'!K286,372))</x:f>
        <x:v>0</x:v>
      </x:c>
      <x:c r="BP286" s="22" t="n">
        <x:f>MAX(0,MIN('Activities'!L286,384)-MAX('Activities'!K286,378))</x:f>
        <x:v>0</x:v>
      </x:c>
      <x:c r="BQ286" s="22" t="n">
        <x:f>MAX(0,MIN('Activities'!L286,390)-MAX('Activities'!K286,384))</x:f>
        <x:v>0</x:v>
      </x:c>
      <x:c r="BR286" s="22" t="n">
        <x:f>MAX(0,MIN('Activities'!L286,396)-MAX('Activities'!K286,390))</x:f>
        <x:v>0</x:v>
      </x:c>
      <x:c r="BS286" s="22" t="n">
        <x:f>MAX(0,MIN('Activities'!L286,402)-MAX('Activities'!K286,396))</x:f>
        <x:v>0</x:v>
      </x:c>
      <x:c r="BT286" s="22" t="n">
        <x:f>MAX(0,MIN('Activities'!L286,408)-MAX('Activities'!K286,402))</x:f>
        <x:v>0</x:v>
      </x:c>
      <x:c r="BU286" s="22" t="n">
        <x:f>MAX(0,MIN('Activities'!L286,414)-MAX('Activities'!K286,408))</x:f>
        <x:v>0</x:v>
      </x:c>
      <x:c r="BV286" s="22" t="n">
        <x:f>MAX(0,MIN('Activities'!L286,420)-MAX('Activities'!K286,414))</x:f>
        <x:v>0</x:v>
      </x:c>
      <x:c r="BW286" s="22" t="n">
        <x:f>MAX(0,MIN('Activities'!L286,426)-MAX('Activities'!K286,420))</x:f>
        <x:v>0</x:v>
      </x:c>
      <x:c r="BX286" s="22" t="n">
        <x:f>MAX(0,MIN('Activities'!L286,432)-MAX('Activities'!K286,426))</x:f>
        <x:v>0</x:v>
      </x:c>
      <x:c r="BY286" s="22" t="n">
        <x:f>MAX(0,MIN('Activities'!L286,438)-MAX('Activities'!K286,432))</x:f>
        <x:v>0</x:v>
      </x:c>
      <x:c r="BZ286" s="22" t="n">
        <x:f>MAX(0,MIN('Activities'!L286,444)-MAX('Activities'!K286,438))</x:f>
        <x:v>0</x:v>
      </x:c>
      <x:c r="CA286" s="22" t="n">
        <x:f>MAX(0,MIN('Activities'!L286,450)-MAX('Activities'!K286,444))</x:f>
        <x:v>0</x:v>
      </x:c>
      <x:c r="CB286" s="22" t="n">
        <x:f>MAX(0,MIN('Activities'!L286,456)-MAX('Activities'!K286,450))</x:f>
        <x:v>0</x:v>
      </x:c>
      <x:c r="CC286" s="22" t="n">
        <x:f>MAX(0,MIN('Activities'!L286,462)-MAX('Activities'!K286,456))</x:f>
        <x:v>0</x:v>
      </x:c>
      <x:c r="CD286" s="22" t="n">
        <x:f>MAX(0,MIN('Activities'!L286,468)-MAX('Activities'!K286,462))</x:f>
        <x:v>0</x:v>
      </x:c>
      <x:c r="CE286" s="22" t="n">
        <x:f>MAX(0,MIN('Activities'!L286,474)-MAX('Activities'!K286,468))</x:f>
        <x:v>0</x:v>
      </x:c>
      <x:c r="CF286" s="22" t="n">
        <x:f>MAX(0,MIN('Activities'!L286,480)-MAX('Activities'!K286,474))</x:f>
        <x:v>0</x:v>
      </x:c>
      <x:c r="CG286" s="22" t="n">
        <x:f>MAX(0,MIN('Activities'!L286,486)-MAX('Activities'!K286,480))</x:f>
        <x:v>0</x:v>
      </x:c>
      <x:c r="CH286" s="22" t="n">
        <x:f>MAX(0,MIN('Activities'!L286,492)-MAX('Activities'!K286,486))</x:f>
        <x:v>0</x:v>
      </x:c>
      <x:c r="CI286" s="22" t="n">
        <x:f>MAX(0,MIN('Activities'!L286,498)-MAX('Activities'!K286,492))</x:f>
        <x:v>0</x:v>
      </x:c>
      <x:c r="CJ286" s="22" t="n">
        <x:f>MAX(0,MIN('Activities'!L286,504)-MAX('Activities'!K286,498))</x:f>
        <x:v>0</x:v>
      </x:c>
      <x:c r="CK286" s="22" t="n">
        <x:f>MAX(0,MIN('Activities'!L286,510)-MAX('Activities'!K286,504))</x:f>
        <x:v>0</x:v>
      </x:c>
      <x:c r="CL286" s="22" t="n">
        <x:f>MAX(0,MIN('Activities'!L286,516)-MAX('Activities'!K286,510))</x:f>
        <x:v>0</x:v>
      </x:c>
      <x:c r="CM286" s="22" t="n">
        <x:f>MAX(0,MIN('Activities'!L286,522)-MAX('Activities'!K286,516))</x:f>
        <x:v>0</x:v>
      </x:c>
      <x:c r="CN286" s="22" t="n">
        <x:f>MAX(0,MIN('Activities'!L286,528)-MAX('Activities'!K286,522))</x:f>
        <x:v>0</x:v>
      </x:c>
      <x:c r="CO286" s="22" t="n">
        <x:f>MAX(0,MIN('Activities'!L286,534)-MAX('Activities'!K286,528))</x:f>
        <x:v>0</x:v>
      </x:c>
      <x:c r="CP286" s="22" t="n">
        <x:f>MAX(0,MIN('Activities'!L286,540)-MAX('Activities'!K286,534))</x:f>
        <x:v>0</x:v>
      </x:c>
      <x:c r="CQ286" s="22" t="n">
        <x:f>MAX(0,MIN('Activities'!L286,546)-MAX('Activities'!K286,540))</x:f>
        <x:v>0</x:v>
      </x:c>
      <x:c r="CR286" s="22" t="n">
        <x:f>MAX(0,MIN('Activities'!L286,552)-MAX('Activities'!K286,546))</x:f>
        <x:v>0</x:v>
      </x:c>
      <x:c r="CS286" s="22" t="n">
        <x:f>MAX(0,MIN('Activities'!L286,558)-MAX('Activities'!K286,552))</x:f>
        <x:v>0</x:v>
      </x:c>
      <x:c r="CT286" s="22" t="n">
        <x:f>MAX(0,MIN('Activities'!L286,564)-MAX('Activities'!K286,558))</x:f>
        <x:v>0</x:v>
      </x:c>
      <x:c r="CU286" s="22" t="n">
        <x:f>MAX(0,MIN('Activities'!L286,570)-MAX('Activities'!K286,564))</x:f>
        <x:v>0</x:v>
      </x:c>
      <x:c r="CV286" s="22" t="n">
        <x:f>MAX(0,MIN('Activities'!L286,576)-MAX('Activities'!K286,570))</x:f>
        <x:v>0</x:v>
      </x:c>
      <x:c r="CW286" s="22" t="n">
        <x:f>MAX(0,MIN('Activities'!L286,582)-MAX('Activities'!K286,576))</x:f>
        <x:v>0</x:v>
      </x:c>
      <x:c r="CX286" s="22" t="n">
        <x:f>MAX(0,MIN('Activities'!L286,588)-MAX('Activities'!K286,582))</x:f>
        <x:v>0</x:v>
      </x:c>
      <x:c r="CY286" s="22" t="n">
        <x:f>MAX(0,MIN('Activities'!L286,594)-MAX('Activities'!K286,588))</x:f>
        <x:v>0</x:v>
      </x:c>
      <x:c r="CZ286" s="22" t="n">
        <x:f>MAX(0,MIN('Activities'!L286,600)-MAX('Activities'!K286,594))</x:f>
        <x:v>0</x:v>
      </x:c>
      <x:c r="DA286" s="22" t="n">
        <x:f>MAX(0,MIN('Activities'!L286,606)-MAX('Activities'!K286,600))</x:f>
        <x:v>0</x:v>
      </x:c>
      <x:c r="DB286" s="22" t="n">
        <x:f>MAX(0,MIN('Activities'!L286,612)-MAX('Activities'!K286,606))</x:f>
        <x:v>0</x:v>
      </x:c>
      <x:c r="DC286" s="22" t="n">
        <x:f>MAX(0,MIN('Activities'!L286,618)-MAX('Activities'!K286,612))</x:f>
        <x:v>0</x:v>
      </x:c>
      <x:c r="DD286" s="22" t="n">
        <x:f>MAX(0,MIN('Activities'!L286,624)-MAX('Activities'!K286,618))</x:f>
        <x:v>0</x:v>
      </x:c>
      <x:c r="DE286" s="22" t="n">
        <x:f>MAX(0,MIN('Activities'!L286,630)-MAX('Activities'!K286,624))</x:f>
        <x:v>0</x:v>
      </x:c>
      <x:c r="DF286" s="22" t="n">
        <x:f>MAX(0,MIN('Activities'!L286,636)-MAX('Activities'!K286,630))</x:f>
        <x:v>0</x:v>
      </x:c>
    </x:row>
    <x:row r="287" ht="23" customHeight="1">
      <x:c r="A287" s="1" t="str">
        <x:v>T3-L01-R</x:v>
      </x:c>
      <x:c r="B287" s="1" t="str">
        <x:v>T3</x:v>
      </x:c>
      <x:c r="C287" s="1" t="str">
        <x:v>Column, wall, beam and slab reinforcement</x:v>
      </x:c>
      <x:c r="D287" s="1" t="str">
        <x:v>Rebar</x:v>
      </x:c>
      <x:c r="E287" s="23" t="n">
        <x:f>MAX(0,MIN('Activities'!L287,6)-MAX('Activities'!K287,0))</x:f>
        <x:v>0</x:v>
      </x:c>
      <x:c r="F287" s="23" t="n">
        <x:f>MAX(0,MIN('Activities'!L287,12)-MAX('Activities'!K287,6))</x:f>
        <x:v>0</x:v>
      </x:c>
      <x:c r="G287" s="23" t="n">
        <x:f>MAX(0,MIN('Activities'!L287,18)-MAX('Activities'!K287,12))</x:f>
        <x:v>0</x:v>
      </x:c>
      <x:c r="H287" s="23" t="n">
        <x:f>MAX(0,MIN('Activities'!L287,24)-MAX('Activities'!K287,18))</x:f>
        <x:v>0</x:v>
      </x:c>
      <x:c r="I287" s="23" t="n">
        <x:f>MAX(0,MIN('Activities'!L287,30)-MAX('Activities'!K287,24))</x:f>
        <x:v>0</x:v>
      </x:c>
      <x:c r="J287" s="23" t="n">
        <x:f>MAX(0,MIN('Activities'!L287,36)-MAX('Activities'!K287,30))</x:f>
        <x:v>0</x:v>
      </x:c>
      <x:c r="K287" s="23" t="n">
        <x:f>MAX(0,MIN('Activities'!L287,42)-MAX('Activities'!K287,36))</x:f>
        <x:v>0</x:v>
      </x:c>
      <x:c r="L287" s="23" t="n">
        <x:f>MAX(0,MIN('Activities'!L287,48)-MAX('Activities'!K287,42))</x:f>
        <x:v>0</x:v>
      </x:c>
      <x:c r="M287" s="23" t="n">
        <x:f>MAX(0,MIN('Activities'!L287,54)-MAX('Activities'!K287,48))</x:f>
        <x:v>0</x:v>
      </x:c>
      <x:c r="N287" s="23" t="n">
        <x:f>MAX(0,MIN('Activities'!L287,60)-MAX('Activities'!K287,54))</x:f>
        <x:v>0</x:v>
      </x:c>
      <x:c r="O287" s="23" t="n">
        <x:f>MAX(0,MIN('Activities'!L287,66)-MAX('Activities'!K287,60))</x:f>
        <x:v>0</x:v>
      </x:c>
      <x:c r="P287" s="23" t="n">
        <x:f>MAX(0,MIN('Activities'!L287,72)-MAX('Activities'!K287,66))</x:f>
        <x:v>0</x:v>
      </x:c>
      <x:c r="Q287" s="23" t="n">
        <x:f>MAX(0,MIN('Activities'!L287,78)-MAX('Activities'!K287,72))</x:f>
        <x:v>0</x:v>
      </x:c>
      <x:c r="R287" s="23" t="n">
        <x:f>MAX(0,MIN('Activities'!L287,84)-MAX('Activities'!K287,78))</x:f>
        <x:v>0</x:v>
      </x:c>
      <x:c r="S287" s="23" t="n">
        <x:f>MAX(0,MIN('Activities'!L287,90)-MAX('Activities'!K287,84))</x:f>
        <x:v>0</x:v>
      </x:c>
      <x:c r="T287" s="23" t="n">
        <x:f>MAX(0,MIN('Activities'!L287,96)-MAX('Activities'!K287,90))</x:f>
        <x:v>0</x:v>
      </x:c>
      <x:c r="U287" s="23" t="n">
        <x:f>MAX(0,MIN('Activities'!L287,102)-MAX('Activities'!K287,96))</x:f>
        <x:v>0</x:v>
      </x:c>
      <x:c r="V287" s="23" t="n">
        <x:f>MAX(0,MIN('Activities'!L287,108)-MAX('Activities'!K287,102))</x:f>
        <x:v>0</x:v>
      </x:c>
      <x:c r="W287" s="23" t="n">
        <x:f>MAX(0,MIN('Activities'!L287,114)-MAX('Activities'!K287,108))</x:f>
        <x:v>0</x:v>
      </x:c>
      <x:c r="X287" s="23" t="n">
        <x:f>MAX(0,MIN('Activities'!L287,120)-MAX('Activities'!K287,114))</x:f>
        <x:v>0</x:v>
      </x:c>
      <x:c r="Y287" s="23" t="n">
        <x:f>MAX(0,MIN('Activities'!L287,126)-MAX('Activities'!K287,120))</x:f>
        <x:v>0</x:v>
      </x:c>
      <x:c r="Z287" s="23" t="n">
        <x:f>MAX(0,MIN('Activities'!L287,132)-MAX('Activities'!K287,126))</x:f>
        <x:v>0</x:v>
      </x:c>
      <x:c r="AA287" s="23" t="n">
        <x:f>MAX(0,MIN('Activities'!L287,138)-MAX('Activities'!K287,132))</x:f>
        <x:v>0</x:v>
      </x:c>
      <x:c r="AB287" s="23" t="n">
        <x:f>MAX(0,MIN('Activities'!L287,144)-MAX('Activities'!K287,138))</x:f>
        <x:v>0</x:v>
      </x:c>
      <x:c r="AC287" s="23" t="n">
        <x:f>MAX(0,MIN('Activities'!L287,150)-MAX('Activities'!K287,144))</x:f>
        <x:v>0</x:v>
      </x:c>
      <x:c r="AD287" s="23" t="n">
        <x:f>MAX(0,MIN('Activities'!L287,156)-MAX('Activities'!K287,150))</x:f>
        <x:v>0</x:v>
      </x:c>
      <x:c r="AE287" s="23" t="n">
        <x:f>MAX(0,MIN('Activities'!L287,162)-MAX('Activities'!K287,156))</x:f>
        <x:v>0</x:v>
      </x:c>
      <x:c r="AF287" s="23" t="n">
        <x:f>MAX(0,MIN('Activities'!L287,168)-MAX('Activities'!K287,162))</x:f>
        <x:v>0</x:v>
      </x:c>
      <x:c r="AG287" s="23" t="n">
        <x:f>MAX(0,MIN('Activities'!L287,174)-MAX('Activities'!K287,168))</x:f>
        <x:v>0</x:v>
      </x:c>
      <x:c r="AH287" s="23" t="n">
        <x:f>MAX(0,MIN('Activities'!L287,180)-MAX('Activities'!K287,174))</x:f>
        <x:v>0</x:v>
      </x:c>
      <x:c r="AI287" s="23" t="n">
        <x:f>MAX(0,MIN('Activities'!L287,186)-MAX('Activities'!K287,180))</x:f>
        <x:v>4</x:v>
      </x:c>
      <x:c r="AJ287" s="23" t="n">
        <x:f>MAX(0,MIN('Activities'!L287,192)-MAX('Activities'!K287,186))</x:f>
        <x:v>1</x:v>
      </x:c>
      <x:c r="AK287" s="23" t="n">
        <x:f>MAX(0,MIN('Activities'!L287,198)-MAX('Activities'!K287,192))</x:f>
        <x:v>0</x:v>
      </x:c>
      <x:c r="AL287" s="23" t="n">
        <x:f>MAX(0,MIN('Activities'!L287,204)-MAX('Activities'!K287,198))</x:f>
        <x:v>0</x:v>
      </x:c>
      <x:c r="AM287" s="23" t="n">
        <x:f>MAX(0,MIN('Activities'!L287,210)-MAX('Activities'!K287,204))</x:f>
        <x:v>0</x:v>
      </x:c>
      <x:c r="AN287" s="23" t="n">
        <x:f>MAX(0,MIN('Activities'!L287,216)-MAX('Activities'!K287,210))</x:f>
        <x:v>0</x:v>
      </x:c>
      <x:c r="AO287" s="23" t="n">
        <x:f>MAX(0,MIN('Activities'!L287,222)-MAX('Activities'!K287,216))</x:f>
        <x:v>0</x:v>
      </x:c>
      <x:c r="AP287" s="23" t="n">
        <x:f>MAX(0,MIN('Activities'!L287,228)-MAX('Activities'!K287,222))</x:f>
        <x:v>0</x:v>
      </x:c>
      <x:c r="AQ287" s="23" t="n">
        <x:f>MAX(0,MIN('Activities'!L287,234)-MAX('Activities'!K287,228))</x:f>
        <x:v>0</x:v>
      </x:c>
      <x:c r="AR287" s="23" t="n">
        <x:f>MAX(0,MIN('Activities'!L287,240)-MAX('Activities'!K287,234))</x:f>
        <x:v>0</x:v>
      </x:c>
      <x:c r="AS287" s="23" t="n">
        <x:f>MAX(0,MIN('Activities'!L287,246)-MAX('Activities'!K287,240))</x:f>
        <x:v>0</x:v>
      </x:c>
      <x:c r="AT287" s="23" t="n">
        <x:f>MAX(0,MIN('Activities'!L287,252)-MAX('Activities'!K287,246))</x:f>
        <x:v>0</x:v>
      </x:c>
      <x:c r="AU287" s="23" t="n">
        <x:f>MAX(0,MIN('Activities'!L287,258)-MAX('Activities'!K287,252))</x:f>
        <x:v>0</x:v>
      </x:c>
      <x:c r="AV287" s="23" t="n">
        <x:f>MAX(0,MIN('Activities'!L287,264)-MAX('Activities'!K287,258))</x:f>
        <x:v>0</x:v>
      </x:c>
      <x:c r="AW287" s="23" t="n">
        <x:f>MAX(0,MIN('Activities'!L287,270)-MAX('Activities'!K287,264))</x:f>
        <x:v>0</x:v>
      </x:c>
      <x:c r="AX287" s="23" t="n">
        <x:f>MAX(0,MIN('Activities'!L287,276)-MAX('Activities'!K287,270))</x:f>
        <x:v>0</x:v>
      </x:c>
      <x:c r="AY287" s="23" t="n">
        <x:f>MAX(0,MIN('Activities'!L287,282)-MAX('Activities'!K287,276))</x:f>
        <x:v>0</x:v>
      </x:c>
      <x:c r="AZ287" s="23" t="n">
        <x:f>MAX(0,MIN('Activities'!L287,288)-MAX('Activities'!K287,282))</x:f>
        <x:v>0</x:v>
      </x:c>
      <x:c r="BA287" s="23" t="n">
        <x:f>MAX(0,MIN('Activities'!L287,294)-MAX('Activities'!K287,288))</x:f>
        <x:v>0</x:v>
      </x:c>
      <x:c r="BB287" s="23" t="n">
        <x:f>MAX(0,MIN('Activities'!L287,300)-MAX('Activities'!K287,294))</x:f>
        <x:v>0</x:v>
      </x:c>
      <x:c r="BC287" s="23" t="n">
        <x:f>MAX(0,MIN('Activities'!L287,306)-MAX('Activities'!K287,300))</x:f>
        <x:v>0</x:v>
      </x:c>
      <x:c r="BD287" s="23" t="n">
        <x:f>MAX(0,MIN('Activities'!L287,312)-MAX('Activities'!K287,306))</x:f>
        <x:v>0</x:v>
      </x:c>
      <x:c r="BE287" s="23" t="n">
        <x:f>MAX(0,MIN('Activities'!L287,318)-MAX('Activities'!K287,312))</x:f>
        <x:v>0</x:v>
      </x:c>
      <x:c r="BF287" s="23" t="n">
        <x:f>MAX(0,MIN('Activities'!L287,324)-MAX('Activities'!K287,318))</x:f>
        <x:v>0</x:v>
      </x:c>
      <x:c r="BG287" s="23" t="n">
        <x:f>MAX(0,MIN('Activities'!L287,330)-MAX('Activities'!K287,324))</x:f>
        <x:v>0</x:v>
      </x:c>
      <x:c r="BH287" s="23" t="n">
        <x:f>MAX(0,MIN('Activities'!L287,336)-MAX('Activities'!K287,330))</x:f>
        <x:v>0</x:v>
      </x:c>
      <x:c r="BI287" s="23" t="n">
        <x:f>MAX(0,MIN('Activities'!L287,342)-MAX('Activities'!K287,336))</x:f>
        <x:v>0</x:v>
      </x:c>
      <x:c r="BJ287" s="23" t="n">
        <x:f>MAX(0,MIN('Activities'!L287,348)-MAX('Activities'!K287,342))</x:f>
        <x:v>0</x:v>
      </x:c>
      <x:c r="BK287" s="23" t="n">
        <x:f>MAX(0,MIN('Activities'!L287,354)-MAX('Activities'!K287,348))</x:f>
        <x:v>0</x:v>
      </x:c>
      <x:c r="BL287" s="23" t="n">
        <x:f>MAX(0,MIN('Activities'!L287,360)-MAX('Activities'!K287,354))</x:f>
        <x:v>0</x:v>
      </x:c>
      <x:c r="BM287" s="23" t="n">
        <x:f>MAX(0,MIN('Activities'!L287,366)-MAX('Activities'!K287,360))</x:f>
        <x:v>0</x:v>
      </x:c>
      <x:c r="BN287" s="23" t="n">
        <x:f>MAX(0,MIN('Activities'!L287,372)-MAX('Activities'!K287,366))</x:f>
        <x:v>0</x:v>
      </x:c>
      <x:c r="BO287" s="23" t="n">
        <x:f>MAX(0,MIN('Activities'!L287,378)-MAX('Activities'!K287,372))</x:f>
        <x:v>0</x:v>
      </x:c>
      <x:c r="BP287" s="23" t="n">
        <x:f>MAX(0,MIN('Activities'!L287,384)-MAX('Activities'!K287,378))</x:f>
        <x:v>0</x:v>
      </x:c>
      <x:c r="BQ287" s="23" t="n">
        <x:f>MAX(0,MIN('Activities'!L287,390)-MAX('Activities'!K287,384))</x:f>
        <x:v>0</x:v>
      </x:c>
      <x:c r="BR287" s="23" t="n">
        <x:f>MAX(0,MIN('Activities'!L287,396)-MAX('Activities'!K287,390))</x:f>
        <x:v>0</x:v>
      </x:c>
      <x:c r="BS287" s="23" t="n">
        <x:f>MAX(0,MIN('Activities'!L287,402)-MAX('Activities'!K287,396))</x:f>
        <x:v>0</x:v>
      </x:c>
      <x:c r="BT287" s="23" t="n">
        <x:f>MAX(0,MIN('Activities'!L287,408)-MAX('Activities'!K287,402))</x:f>
        <x:v>0</x:v>
      </x:c>
      <x:c r="BU287" s="23" t="n">
        <x:f>MAX(0,MIN('Activities'!L287,414)-MAX('Activities'!K287,408))</x:f>
        <x:v>0</x:v>
      </x:c>
      <x:c r="BV287" s="23" t="n">
        <x:f>MAX(0,MIN('Activities'!L287,420)-MAX('Activities'!K287,414))</x:f>
        <x:v>0</x:v>
      </x:c>
      <x:c r="BW287" s="23" t="n">
        <x:f>MAX(0,MIN('Activities'!L287,426)-MAX('Activities'!K287,420))</x:f>
        <x:v>0</x:v>
      </x:c>
      <x:c r="BX287" s="23" t="n">
        <x:f>MAX(0,MIN('Activities'!L287,432)-MAX('Activities'!K287,426))</x:f>
        <x:v>0</x:v>
      </x:c>
      <x:c r="BY287" s="23" t="n">
        <x:f>MAX(0,MIN('Activities'!L287,438)-MAX('Activities'!K287,432))</x:f>
        <x:v>0</x:v>
      </x:c>
      <x:c r="BZ287" s="23" t="n">
        <x:f>MAX(0,MIN('Activities'!L287,444)-MAX('Activities'!K287,438))</x:f>
        <x:v>0</x:v>
      </x:c>
      <x:c r="CA287" s="23" t="n">
        <x:f>MAX(0,MIN('Activities'!L287,450)-MAX('Activities'!K287,444))</x:f>
        <x:v>0</x:v>
      </x:c>
      <x:c r="CB287" s="23" t="n">
        <x:f>MAX(0,MIN('Activities'!L287,456)-MAX('Activities'!K287,450))</x:f>
        <x:v>0</x:v>
      </x:c>
      <x:c r="CC287" s="23" t="n">
        <x:f>MAX(0,MIN('Activities'!L287,462)-MAX('Activities'!K287,456))</x:f>
        <x:v>0</x:v>
      </x:c>
      <x:c r="CD287" s="23" t="n">
        <x:f>MAX(0,MIN('Activities'!L287,468)-MAX('Activities'!K287,462))</x:f>
        <x:v>0</x:v>
      </x:c>
      <x:c r="CE287" s="23" t="n">
        <x:f>MAX(0,MIN('Activities'!L287,474)-MAX('Activities'!K287,468))</x:f>
        <x:v>0</x:v>
      </x:c>
      <x:c r="CF287" s="23" t="n">
        <x:f>MAX(0,MIN('Activities'!L287,480)-MAX('Activities'!K287,474))</x:f>
        <x:v>0</x:v>
      </x:c>
      <x:c r="CG287" s="23" t="n">
        <x:f>MAX(0,MIN('Activities'!L287,486)-MAX('Activities'!K287,480))</x:f>
        <x:v>0</x:v>
      </x:c>
      <x:c r="CH287" s="23" t="n">
        <x:f>MAX(0,MIN('Activities'!L287,492)-MAX('Activities'!K287,486))</x:f>
        <x:v>0</x:v>
      </x:c>
      <x:c r="CI287" s="23" t="n">
        <x:f>MAX(0,MIN('Activities'!L287,498)-MAX('Activities'!K287,492))</x:f>
        <x:v>0</x:v>
      </x:c>
      <x:c r="CJ287" s="23" t="n">
        <x:f>MAX(0,MIN('Activities'!L287,504)-MAX('Activities'!K287,498))</x:f>
        <x:v>0</x:v>
      </x:c>
      <x:c r="CK287" s="23" t="n">
        <x:f>MAX(0,MIN('Activities'!L287,510)-MAX('Activities'!K287,504))</x:f>
        <x:v>0</x:v>
      </x:c>
      <x:c r="CL287" s="23" t="n">
        <x:f>MAX(0,MIN('Activities'!L287,516)-MAX('Activities'!K287,510))</x:f>
        <x:v>0</x:v>
      </x:c>
      <x:c r="CM287" s="23" t="n">
        <x:f>MAX(0,MIN('Activities'!L287,522)-MAX('Activities'!K287,516))</x:f>
        <x:v>0</x:v>
      </x:c>
      <x:c r="CN287" s="23" t="n">
        <x:f>MAX(0,MIN('Activities'!L287,528)-MAX('Activities'!K287,522))</x:f>
        <x:v>0</x:v>
      </x:c>
      <x:c r="CO287" s="23" t="n">
        <x:f>MAX(0,MIN('Activities'!L287,534)-MAX('Activities'!K287,528))</x:f>
        <x:v>0</x:v>
      </x:c>
      <x:c r="CP287" s="23" t="n">
        <x:f>MAX(0,MIN('Activities'!L287,540)-MAX('Activities'!K287,534))</x:f>
        <x:v>0</x:v>
      </x:c>
      <x:c r="CQ287" s="23" t="n">
        <x:f>MAX(0,MIN('Activities'!L287,546)-MAX('Activities'!K287,540))</x:f>
        <x:v>0</x:v>
      </x:c>
      <x:c r="CR287" s="23" t="n">
        <x:f>MAX(0,MIN('Activities'!L287,552)-MAX('Activities'!K287,546))</x:f>
        <x:v>0</x:v>
      </x:c>
      <x:c r="CS287" s="23" t="n">
        <x:f>MAX(0,MIN('Activities'!L287,558)-MAX('Activities'!K287,552))</x:f>
        <x:v>0</x:v>
      </x:c>
      <x:c r="CT287" s="23" t="n">
        <x:f>MAX(0,MIN('Activities'!L287,564)-MAX('Activities'!K287,558))</x:f>
        <x:v>0</x:v>
      </x:c>
      <x:c r="CU287" s="23" t="n">
        <x:f>MAX(0,MIN('Activities'!L287,570)-MAX('Activities'!K287,564))</x:f>
        <x:v>0</x:v>
      </x:c>
      <x:c r="CV287" s="23" t="n">
        <x:f>MAX(0,MIN('Activities'!L287,576)-MAX('Activities'!K287,570))</x:f>
        <x:v>0</x:v>
      </x:c>
      <x:c r="CW287" s="23" t="n">
        <x:f>MAX(0,MIN('Activities'!L287,582)-MAX('Activities'!K287,576))</x:f>
        <x:v>0</x:v>
      </x:c>
      <x:c r="CX287" s="23" t="n">
        <x:f>MAX(0,MIN('Activities'!L287,588)-MAX('Activities'!K287,582))</x:f>
        <x:v>0</x:v>
      </x:c>
      <x:c r="CY287" s="23" t="n">
        <x:f>MAX(0,MIN('Activities'!L287,594)-MAX('Activities'!K287,588))</x:f>
        <x:v>0</x:v>
      </x:c>
      <x:c r="CZ287" s="23" t="n">
        <x:f>MAX(0,MIN('Activities'!L287,600)-MAX('Activities'!K287,594))</x:f>
        <x:v>0</x:v>
      </x:c>
      <x:c r="DA287" s="23" t="n">
        <x:f>MAX(0,MIN('Activities'!L287,606)-MAX('Activities'!K287,600))</x:f>
        <x:v>0</x:v>
      </x:c>
      <x:c r="DB287" s="23" t="n">
        <x:f>MAX(0,MIN('Activities'!L287,612)-MAX('Activities'!K287,606))</x:f>
        <x:v>0</x:v>
      </x:c>
      <x:c r="DC287" s="23" t="n">
        <x:f>MAX(0,MIN('Activities'!L287,618)-MAX('Activities'!K287,612))</x:f>
        <x:v>0</x:v>
      </x:c>
      <x:c r="DD287" s="23" t="n">
        <x:f>MAX(0,MIN('Activities'!L287,624)-MAX('Activities'!K287,618))</x:f>
        <x:v>0</x:v>
      </x:c>
      <x:c r="DE287" s="23" t="n">
        <x:f>MAX(0,MIN('Activities'!L287,630)-MAX('Activities'!K287,624))</x:f>
        <x:v>0</x:v>
      </x:c>
      <x:c r="DF287" s="23" t="n">
        <x:f>MAX(0,MIN('Activities'!L287,636)-MAX('Activities'!K287,630))</x:f>
        <x:v>0</x:v>
      </x:c>
    </x:row>
    <x:row r="288" ht="23" customHeight="1">
      <x:c r="A288" s="6" t="str">
        <x:v>T3-L01-C</x:v>
      </x:c>
      <x:c r="B288" s="6" t="str">
        <x:v>T3</x:v>
      </x:c>
      <x:c r="C288" s="6" t="str">
        <x:v>Concrete placement and finishing</x:v>
      </x:c>
      <x:c r="D288" s="6" t="str">
        <x:v>Concrete</x:v>
      </x:c>
      <x:c r="E288" s="22" t="n">
        <x:f>MAX(0,MIN('Activities'!L288,6)-MAX('Activities'!K288,0))</x:f>
        <x:v>0</x:v>
      </x:c>
      <x:c r="F288" s="22" t="n">
        <x:f>MAX(0,MIN('Activities'!L288,12)-MAX('Activities'!K288,6))</x:f>
        <x:v>0</x:v>
      </x:c>
      <x:c r="G288" s="22" t="n">
        <x:f>MAX(0,MIN('Activities'!L288,18)-MAX('Activities'!K288,12))</x:f>
        <x:v>0</x:v>
      </x:c>
      <x:c r="H288" s="22" t="n">
        <x:f>MAX(0,MIN('Activities'!L288,24)-MAX('Activities'!K288,18))</x:f>
        <x:v>0</x:v>
      </x:c>
      <x:c r="I288" s="22" t="n">
        <x:f>MAX(0,MIN('Activities'!L288,30)-MAX('Activities'!K288,24))</x:f>
        <x:v>0</x:v>
      </x:c>
      <x:c r="J288" s="22" t="n">
        <x:f>MAX(0,MIN('Activities'!L288,36)-MAX('Activities'!K288,30))</x:f>
        <x:v>0</x:v>
      </x:c>
      <x:c r="K288" s="22" t="n">
        <x:f>MAX(0,MIN('Activities'!L288,42)-MAX('Activities'!K288,36))</x:f>
        <x:v>0</x:v>
      </x:c>
      <x:c r="L288" s="22" t="n">
        <x:f>MAX(0,MIN('Activities'!L288,48)-MAX('Activities'!K288,42))</x:f>
        <x:v>0</x:v>
      </x:c>
      <x:c r="M288" s="22" t="n">
        <x:f>MAX(0,MIN('Activities'!L288,54)-MAX('Activities'!K288,48))</x:f>
        <x:v>0</x:v>
      </x:c>
      <x:c r="N288" s="22" t="n">
        <x:f>MAX(0,MIN('Activities'!L288,60)-MAX('Activities'!K288,54))</x:f>
        <x:v>0</x:v>
      </x:c>
      <x:c r="O288" s="22" t="n">
        <x:f>MAX(0,MIN('Activities'!L288,66)-MAX('Activities'!K288,60))</x:f>
        <x:v>0</x:v>
      </x:c>
      <x:c r="P288" s="22" t="n">
        <x:f>MAX(0,MIN('Activities'!L288,72)-MAX('Activities'!K288,66))</x:f>
        <x:v>0</x:v>
      </x:c>
      <x:c r="Q288" s="22" t="n">
        <x:f>MAX(0,MIN('Activities'!L288,78)-MAX('Activities'!K288,72))</x:f>
        <x:v>0</x:v>
      </x:c>
      <x:c r="R288" s="22" t="n">
        <x:f>MAX(0,MIN('Activities'!L288,84)-MAX('Activities'!K288,78))</x:f>
        <x:v>0</x:v>
      </x:c>
      <x:c r="S288" s="22" t="n">
        <x:f>MAX(0,MIN('Activities'!L288,90)-MAX('Activities'!K288,84))</x:f>
        <x:v>0</x:v>
      </x:c>
      <x:c r="T288" s="22" t="n">
        <x:f>MAX(0,MIN('Activities'!L288,96)-MAX('Activities'!K288,90))</x:f>
        <x:v>0</x:v>
      </x:c>
      <x:c r="U288" s="22" t="n">
        <x:f>MAX(0,MIN('Activities'!L288,102)-MAX('Activities'!K288,96))</x:f>
        <x:v>0</x:v>
      </x:c>
      <x:c r="V288" s="22" t="n">
        <x:f>MAX(0,MIN('Activities'!L288,108)-MAX('Activities'!K288,102))</x:f>
        <x:v>0</x:v>
      </x:c>
      <x:c r="W288" s="22" t="n">
        <x:f>MAX(0,MIN('Activities'!L288,114)-MAX('Activities'!K288,108))</x:f>
        <x:v>0</x:v>
      </x:c>
      <x:c r="X288" s="22" t="n">
        <x:f>MAX(0,MIN('Activities'!L288,120)-MAX('Activities'!K288,114))</x:f>
        <x:v>0</x:v>
      </x:c>
      <x:c r="Y288" s="22" t="n">
        <x:f>MAX(0,MIN('Activities'!L288,126)-MAX('Activities'!K288,120))</x:f>
        <x:v>0</x:v>
      </x:c>
      <x:c r="Z288" s="22" t="n">
        <x:f>MAX(0,MIN('Activities'!L288,132)-MAX('Activities'!K288,126))</x:f>
        <x:v>0</x:v>
      </x:c>
      <x:c r="AA288" s="22" t="n">
        <x:f>MAX(0,MIN('Activities'!L288,138)-MAX('Activities'!K288,132))</x:f>
        <x:v>0</x:v>
      </x:c>
      <x:c r="AB288" s="22" t="n">
        <x:f>MAX(0,MIN('Activities'!L288,144)-MAX('Activities'!K288,138))</x:f>
        <x:v>0</x:v>
      </x:c>
      <x:c r="AC288" s="22" t="n">
        <x:f>MAX(0,MIN('Activities'!L288,150)-MAX('Activities'!K288,144))</x:f>
        <x:v>0</x:v>
      </x:c>
      <x:c r="AD288" s="22" t="n">
        <x:f>MAX(0,MIN('Activities'!L288,156)-MAX('Activities'!K288,150))</x:f>
        <x:v>0</x:v>
      </x:c>
      <x:c r="AE288" s="22" t="n">
        <x:f>MAX(0,MIN('Activities'!L288,162)-MAX('Activities'!K288,156))</x:f>
        <x:v>0</x:v>
      </x:c>
      <x:c r="AF288" s="22" t="n">
        <x:f>MAX(0,MIN('Activities'!L288,168)-MAX('Activities'!K288,162))</x:f>
        <x:v>0</x:v>
      </x:c>
      <x:c r="AG288" s="22" t="n">
        <x:f>MAX(0,MIN('Activities'!L288,174)-MAX('Activities'!K288,168))</x:f>
        <x:v>0</x:v>
      </x:c>
      <x:c r="AH288" s="22" t="n">
        <x:f>MAX(0,MIN('Activities'!L288,180)-MAX('Activities'!K288,174))</x:f>
        <x:v>0</x:v>
      </x:c>
      <x:c r="AI288" s="22" t="n">
        <x:f>MAX(0,MIN('Activities'!L288,186)-MAX('Activities'!K288,180))</x:f>
        <x:v>0</x:v>
      </x:c>
      <x:c r="AJ288" s="22" t="n">
        <x:f>MAX(0,MIN('Activities'!L288,192)-MAX('Activities'!K288,186))</x:f>
        <x:v>2</x:v>
      </x:c>
      <x:c r="AK288" s="22" t="n">
        <x:f>MAX(0,MIN('Activities'!L288,198)-MAX('Activities'!K288,192))</x:f>
        <x:v>0</x:v>
      </x:c>
      <x:c r="AL288" s="22" t="n">
        <x:f>MAX(0,MIN('Activities'!L288,204)-MAX('Activities'!K288,198))</x:f>
        <x:v>0</x:v>
      </x:c>
      <x:c r="AM288" s="22" t="n">
        <x:f>MAX(0,MIN('Activities'!L288,210)-MAX('Activities'!K288,204))</x:f>
        <x:v>0</x:v>
      </x:c>
      <x:c r="AN288" s="22" t="n">
        <x:f>MAX(0,MIN('Activities'!L288,216)-MAX('Activities'!K288,210))</x:f>
        <x:v>0</x:v>
      </x:c>
      <x:c r="AO288" s="22" t="n">
        <x:f>MAX(0,MIN('Activities'!L288,222)-MAX('Activities'!K288,216))</x:f>
        <x:v>0</x:v>
      </x:c>
      <x:c r="AP288" s="22" t="n">
        <x:f>MAX(0,MIN('Activities'!L288,228)-MAX('Activities'!K288,222))</x:f>
        <x:v>0</x:v>
      </x:c>
      <x:c r="AQ288" s="22" t="n">
        <x:f>MAX(0,MIN('Activities'!L288,234)-MAX('Activities'!K288,228))</x:f>
        <x:v>0</x:v>
      </x:c>
      <x:c r="AR288" s="22" t="n">
        <x:f>MAX(0,MIN('Activities'!L288,240)-MAX('Activities'!K288,234))</x:f>
        <x:v>0</x:v>
      </x:c>
      <x:c r="AS288" s="22" t="n">
        <x:f>MAX(0,MIN('Activities'!L288,246)-MAX('Activities'!K288,240))</x:f>
        <x:v>0</x:v>
      </x:c>
      <x:c r="AT288" s="22" t="n">
        <x:f>MAX(0,MIN('Activities'!L288,252)-MAX('Activities'!K288,246))</x:f>
        <x:v>0</x:v>
      </x:c>
      <x:c r="AU288" s="22" t="n">
        <x:f>MAX(0,MIN('Activities'!L288,258)-MAX('Activities'!K288,252))</x:f>
        <x:v>0</x:v>
      </x:c>
      <x:c r="AV288" s="22" t="n">
        <x:f>MAX(0,MIN('Activities'!L288,264)-MAX('Activities'!K288,258))</x:f>
        <x:v>0</x:v>
      </x:c>
      <x:c r="AW288" s="22" t="n">
        <x:f>MAX(0,MIN('Activities'!L288,270)-MAX('Activities'!K288,264))</x:f>
        <x:v>0</x:v>
      </x:c>
      <x:c r="AX288" s="22" t="n">
        <x:f>MAX(0,MIN('Activities'!L288,276)-MAX('Activities'!K288,270))</x:f>
        <x:v>0</x:v>
      </x:c>
      <x:c r="AY288" s="22" t="n">
        <x:f>MAX(0,MIN('Activities'!L288,282)-MAX('Activities'!K288,276))</x:f>
        <x:v>0</x:v>
      </x:c>
      <x:c r="AZ288" s="22" t="n">
        <x:f>MAX(0,MIN('Activities'!L288,288)-MAX('Activities'!K288,282))</x:f>
        <x:v>0</x:v>
      </x:c>
      <x:c r="BA288" s="22" t="n">
        <x:f>MAX(0,MIN('Activities'!L288,294)-MAX('Activities'!K288,288))</x:f>
        <x:v>0</x:v>
      </x:c>
      <x:c r="BB288" s="22" t="n">
        <x:f>MAX(0,MIN('Activities'!L288,300)-MAX('Activities'!K288,294))</x:f>
        <x:v>0</x:v>
      </x:c>
      <x:c r="BC288" s="22" t="n">
        <x:f>MAX(0,MIN('Activities'!L288,306)-MAX('Activities'!K288,300))</x:f>
        <x:v>0</x:v>
      </x:c>
      <x:c r="BD288" s="22" t="n">
        <x:f>MAX(0,MIN('Activities'!L288,312)-MAX('Activities'!K288,306))</x:f>
        <x:v>0</x:v>
      </x:c>
      <x:c r="BE288" s="22" t="n">
        <x:f>MAX(0,MIN('Activities'!L288,318)-MAX('Activities'!K288,312))</x:f>
        <x:v>0</x:v>
      </x:c>
      <x:c r="BF288" s="22" t="n">
        <x:f>MAX(0,MIN('Activities'!L288,324)-MAX('Activities'!K288,318))</x:f>
        <x:v>0</x:v>
      </x:c>
      <x:c r="BG288" s="22" t="n">
        <x:f>MAX(0,MIN('Activities'!L288,330)-MAX('Activities'!K288,324))</x:f>
        <x:v>0</x:v>
      </x:c>
      <x:c r="BH288" s="22" t="n">
        <x:f>MAX(0,MIN('Activities'!L288,336)-MAX('Activities'!K288,330))</x:f>
        <x:v>0</x:v>
      </x:c>
      <x:c r="BI288" s="22" t="n">
        <x:f>MAX(0,MIN('Activities'!L288,342)-MAX('Activities'!K288,336))</x:f>
        <x:v>0</x:v>
      </x:c>
      <x:c r="BJ288" s="22" t="n">
        <x:f>MAX(0,MIN('Activities'!L288,348)-MAX('Activities'!K288,342))</x:f>
        <x:v>0</x:v>
      </x:c>
      <x:c r="BK288" s="22" t="n">
        <x:f>MAX(0,MIN('Activities'!L288,354)-MAX('Activities'!K288,348))</x:f>
        <x:v>0</x:v>
      </x:c>
      <x:c r="BL288" s="22" t="n">
        <x:f>MAX(0,MIN('Activities'!L288,360)-MAX('Activities'!K288,354))</x:f>
        <x:v>0</x:v>
      </x:c>
      <x:c r="BM288" s="22" t="n">
        <x:f>MAX(0,MIN('Activities'!L288,366)-MAX('Activities'!K288,360))</x:f>
        <x:v>0</x:v>
      </x:c>
      <x:c r="BN288" s="22" t="n">
        <x:f>MAX(0,MIN('Activities'!L288,372)-MAX('Activities'!K288,366))</x:f>
        <x:v>0</x:v>
      </x:c>
      <x:c r="BO288" s="22" t="n">
        <x:f>MAX(0,MIN('Activities'!L288,378)-MAX('Activities'!K288,372))</x:f>
        <x:v>0</x:v>
      </x:c>
      <x:c r="BP288" s="22" t="n">
        <x:f>MAX(0,MIN('Activities'!L288,384)-MAX('Activities'!K288,378))</x:f>
        <x:v>0</x:v>
      </x:c>
      <x:c r="BQ288" s="22" t="n">
        <x:f>MAX(0,MIN('Activities'!L288,390)-MAX('Activities'!K288,384))</x:f>
        <x:v>0</x:v>
      </x:c>
      <x:c r="BR288" s="22" t="n">
        <x:f>MAX(0,MIN('Activities'!L288,396)-MAX('Activities'!K288,390))</x:f>
        <x:v>0</x:v>
      </x:c>
      <x:c r="BS288" s="22" t="n">
        <x:f>MAX(0,MIN('Activities'!L288,402)-MAX('Activities'!K288,396))</x:f>
        <x:v>0</x:v>
      </x:c>
      <x:c r="BT288" s="22" t="n">
        <x:f>MAX(0,MIN('Activities'!L288,408)-MAX('Activities'!K288,402))</x:f>
        <x:v>0</x:v>
      </x:c>
      <x:c r="BU288" s="22" t="n">
        <x:f>MAX(0,MIN('Activities'!L288,414)-MAX('Activities'!K288,408))</x:f>
        <x:v>0</x:v>
      </x:c>
      <x:c r="BV288" s="22" t="n">
        <x:f>MAX(0,MIN('Activities'!L288,420)-MAX('Activities'!K288,414))</x:f>
        <x:v>0</x:v>
      </x:c>
      <x:c r="BW288" s="22" t="n">
        <x:f>MAX(0,MIN('Activities'!L288,426)-MAX('Activities'!K288,420))</x:f>
        <x:v>0</x:v>
      </x:c>
      <x:c r="BX288" s="22" t="n">
        <x:f>MAX(0,MIN('Activities'!L288,432)-MAX('Activities'!K288,426))</x:f>
        <x:v>0</x:v>
      </x:c>
      <x:c r="BY288" s="22" t="n">
        <x:f>MAX(0,MIN('Activities'!L288,438)-MAX('Activities'!K288,432))</x:f>
        <x:v>0</x:v>
      </x:c>
      <x:c r="BZ288" s="22" t="n">
        <x:f>MAX(0,MIN('Activities'!L288,444)-MAX('Activities'!K288,438))</x:f>
        <x:v>0</x:v>
      </x:c>
      <x:c r="CA288" s="22" t="n">
        <x:f>MAX(0,MIN('Activities'!L288,450)-MAX('Activities'!K288,444))</x:f>
        <x:v>0</x:v>
      </x:c>
      <x:c r="CB288" s="22" t="n">
        <x:f>MAX(0,MIN('Activities'!L288,456)-MAX('Activities'!K288,450))</x:f>
        <x:v>0</x:v>
      </x:c>
      <x:c r="CC288" s="22" t="n">
        <x:f>MAX(0,MIN('Activities'!L288,462)-MAX('Activities'!K288,456))</x:f>
        <x:v>0</x:v>
      </x:c>
      <x:c r="CD288" s="22" t="n">
        <x:f>MAX(0,MIN('Activities'!L288,468)-MAX('Activities'!K288,462))</x:f>
        <x:v>0</x:v>
      </x:c>
      <x:c r="CE288" s="22" t="n">
        <x:f>MAX(0,MIN('Activities'!L288,474)-MAX('Activities'!K288,468))</x:f>
        <x:v>0</x:v>
      </x:c>
      <x:c r="CF288" s="22" t="n">
        <x:f>MAX(0,MIN('Activities'!L288,480)-MAX('Activities'!K288,474))</x:f>
        <x:v>0</x:v>
      </x:c>
      <x:c r="CG288" s="22" t="n">
        <x:f>MAX(0,MIN('Activities'!L288,486)-MAX('Activities'!K288,480))</x:f>
        <x:v>0</x:v>
      </x:c>
      <x:c r="CH288" s="22" t="n">
        <x:f>MAX(0,MIN('Activities'!L288,492)-MAX('Activities'!K288,486))</x:f>
        <x:v>0</x:v>
      </x:c>
      <x:c r="CI288" s="22" t="n">
        <x:f>MAX(0,MIN('Activities'!L288,498)-MAX('Activities'!K288,492))</x:f>
        <x:v>0</x:v>
      </x:c>
      <x:c r="CJ288" s="22" t="n">
        <x:f>MAX(0,MIN('Activities'!L288,504)-MAX('Activities'!K288,498))</x:f>
        <x:v>0</x:v>
      </x:c>
      <x:c r="CK288" s="22" t="n">
        <x:f>MAX(0,MIN('Activities'!L288,510)-MAX('Activities'!K288,504))</x:f>
        <x:v>0</x:v>
      </x:c>
      <x:c r="CL288" s="22" t="n">
        <x:f>MAX(0,MIN('Activities'!L288,516)-MAX('Activities'!K288,510))</x:f>
        <x:v>0</x:v>
      </x:c>
      <x:c r="CM288" s="22" t="n">
        <x:f>MAX(0,MIN('Activities'!L288,522)-MAX('Activities'!K288,516))</x:f>
        <x:v>0</x:v>
      </x:c>
      <x:c r="CN288" s="22" t="n">
        <x:f>MAX(0,MIN('Activities'!L288,528)-MAX('Activities'!K288,522))</x:f>
        <x:v>0</x:v>
      </x:c>
      <x:c r="CO288" s="22" t="n">
        <x:f>MAX(0,MIN('Activities'!L288,534)-MAX('Activities'!K288,528))</x:f>
        <x:v>0</x:v>
      </x:c>
      <x:c r="CP288" s="22" t="n">
        <x:f>MAX(0,MIN('Activities'!L288,540)-MAX('Activities'!K288,534))</x:f>
        <x:v>0</x:v>
      </x:c>
      <x:c r="CQ288" s="22" t="n">
        <x:f>MAX(0,MIN('Activities'!L288,546)-MAX('Activities'!K288,540))</x:f>
        <x:v>0</x:v>
      </x:c>
      <x:c r="CR288" s="22" t="n">
        <x:f>MAX(0,MIN('Activities'!L288,552)-MAX('Activities'!K288,546))</x:f>
        <x:v>0</x:v>
      </x:c>
      <x:c r="CS288" s="22" t="n">
        <x:f>MAX(0,MIN('Activities'!L288,558)-MAX('Activities'!K288,552))</x:f>
        <x:v>0</x:v>
      </x:c>
      <x:c r="CT288" s="22" t="n">
        <x:f>MAX(0,MIN('Activities'!L288,564)-MAX('Activities'!K288,558))</x:f>
        <x:v>0</x:v>
      </x:c>
      <x:c r="CU288" s="22" t="n">
        <x:f>MAX(0,MIN('Activities'!L288,570)-MAX('Activities'!K288,564))</x:f>
        <x:v>0</x:v>
      </x:c>
      <x:c r="CV288" s="22" t="n">
        <x:f>MAX(0,MIN('Activities'!L288,576)-MAX('Activities'!K288,570))</x:f>
        <x:v>0</x:v>
      </x:c>
      <x:c r="CW288" s="22" t="n">
        <x:f>MAX(0,MIN('Activities'!L288,582)-MAX('Activities'!K288,576))</x:f>
        <x:v>0</x:v>
      </x:c>
      <x:c r="CX288" s="22" t="n">
        <x:f>MAX(0,MIN('Activities'!L288,588)-MAX('Activities'!K288,582))</x:f>
        <x:v>0</x:v>
      </x:c>
      <x:c r="CY288" s="22" t="n">
        <x:f>MAX(0,MIN('Activities'!L288,594)-MAX('Activities'!K288,588))</x:f>
        <x:v>0</x:v>
      </x:c>
      <x:c r="CZ288" s="22" t="n">
        <x:f>MAX(0,MIN('Activities'!L288,600)-MAX('Activities'!K288,594))</x:f>
        <x:v>0</x:v>
      </x:c>
      <x:c r="DA288" s="22" t="n">
        <x:f>MAX(0,MIN('Activities'!L288,606)-MAX('Activities'!K288,600))</x:f>
        <x:v>0</x:v>
      </x:c>
      <x:c r="DB288" s="22" t="n">
        <x:f>MAX(0,MIN('Activities'!L288,612)-MAX('Activities'!K288,606))</x:f>
        <x:v>0</x:v>
      </x:c>
      <x:c r="DC288" s="22" t="n">
        <x:f>MAX(0,MIN('Activities'!L288,618)-MAX('Activities'!K288,612))</x:f>
        <x:v>0</x:v>
      </x:c>
      <x:c r="DD288" s="22" t="n">
        <x:f>MAX(0,MIN('Activities'!L288,624)-MAX('Activities'!K288,618))</x:f>
        <x:v>0</x:v>
      </x:c>
      <x:c r="DE288" s="22" t="n">
        <x:f>MAX(0,MIN('Activities'!L288,630)-MAX('Activities'!K288,624))</x:f>
        <x:v>0</x:v>
      </x:c>
      <x:c r="DF288" s="22" t="n">
        <x:f>MAX(0,MIN('Activities'!L288,636)-MAX('Activities'!K288,630))</x:f>
        <x:v>0</x:v>
      </x:c>
    </x:row>
    <x:row r="289" ht="23" customHeight="1">
      <x:c r="A289" s="1" t="str">
        <x:v>T3-L01-H</x:v>
      </x:c>
      <x:c r="B289" s="1" t="str">
        <x:v>T3</x:v>
      </x:c>
      <x:c r="C289" s="1" t="str">
        <x:v>Curing and release hold point</x:v>
      </x:c>
      <x:c r="D289" s="1" t="str">
        <x:v>Site</x:v>
      </x:c>
      <x:c r="E289" s="23" t="n">
        <x:f>MAX(0,MIN('Activities'!L289,6)-MAX('Activities'!K289,0))</x:f>
        <x:v>0</x:v>
      </x:c>
      <x:c r="F289" s="23" t="n">
        <x:f>MAX(0,MIN('Activities'!L289,12)-MAX('Activities'!K289,6))</x:f>
        <x:v>0</x:v>
      </x:c>
      <x:c r="G289" s="23" t="n">
        <x:f>MAX(0,MIN('Activities'!L289,18)-MAX('Activities'!K289,12))</x:f>
        <x:v>0</x:v>
      </x:c>
      <x:c r="H289" s="23" t="n">
        <x:f>MAX(0,MIN('Activities'!L289,24)-MAX('Activities'!K289,18))</x:f>
        <x:v>0</x:v>
      </x:c>
      <x:c r="I289" s="23" t="n">
        <x:f>MAX(0,MIN('Activities'!L289,30)-MAX('Activities'!K289,24))</x:f>
        <x:v>0</x:v>
      </x:c>
      <x:c r="J289" s="23" t="n">
        <x:f>MAX(0,MIN('Activities'!L289,36)-MAX('Activities'!K289,30))</x:f>
        <x:v>0</x:v>
      </x:c>
      <x:c r="K289" s="23" t="n">
        <x:f>MAX(0,MIN('Activities'!L289,42)-MAX('Activities'!K289,36))</x:f>
        <x:v>0</x:v>
      </x:c>
      <x:c r="L289" s="23" t="n">
        <x:f>MAX(0,MIN('Activities'!L289,48)-MAX('Activities'!K289,42))</x:f>
        <x:v>0</x:v>
      </x:c>
      <x:c r="M289" s="23" t="n">
        <x:f>MAX(0,MIN('Activities'!L289,54)-MAX('Activities'!K289,48))</x:f>
        <x:v>0</x:v>
      </x:c>
      <x:c r="N289" s="23" t="n">
        <x:f>MAX(0,MIN('Activities'!L289,60)-MAX('Activities'!K289,54))</x:f>
        <x:v>0</x:v>
      </x:c>
      <x:c r="O289" s="23" t="n">
        <x:f>MAX(0,MIN('Activities'!L289,66)-MAX('Activities'!K289,60))</x:f>
        <x:v>0</x:v>
      </x:c>
      <x:c r="P289" s="23" t="n">
        <x:f>MAX(0,MIN('Activities'!L289,72)-MAX('Activities'!K289,66))</x:f>
        <x:v>0</x:v>
      </x:c>
      <x:c r="Q289" s="23" t="n">
        <x:f>MAX(0,MIN('Activities'!L289,78)-MAX('Activities'!K289,72))</x:f>
        <x:v>0</x:v>
      </x:c>
      <x:c r="R289" s="23" t="n">
        <x:f>MAX(0,MIN('Activities'!L289,84)-MAX('Activities'!K289,78))</x:f>
        <x:v>0</x:v>
      </x:c>
      <x:c r="S289" s="23" t="n">
        <x:f>MAX(0,MIN('Activities'!L289,90)-MAX('Activities'!K289,84))</x:f>
        <x:v>0</x:v>
      </x:c>
      <x:c r="T289" s="23" t="n">
        <x:f>MAX(0,MIN('Activities'!L289,96)-MAX('Activities'!K289,90))</x:f>
        <x:v>0</x:v>
      </x:c>
      <x:c r="U289" s="23" t="n">
        <x:f>MAX(0,MIN('Activities'!L289,102)-MAX('Activities'!K289,96))</x:f>
        <x:v>0</x:v>
      </x:c>
      <x:c r="V289" s="23" t="n">
        <x:f>MAX(0,MIN('Activities'!L289,108)-MAX('Activities'!K289,102))</x:f>
        <x:v>0</x:v>
      </x:c>
      <x:c r="W289" s="23" t="n">
        <x:f>MAX(0,MIN('Activities'!L289,114)-MAX('Activities'!K289,108))</x:f>
        <x:v>0</x:v>
      </x:c>
      <x:c r="X289" s="23" t="n">
        <x:f>MAX(0,MIN('Activities'!L289,120)-MAX('Activities'!K289,114))</x:f>
        <x:v>0</x:v>
      </x:c>
      <x:c r="Y289" s="23" t="n">
        <x:f>MAX(0,MIN('Activities'!L289,126)-MAX('Activities'!K289,120))</x:f>
        <x:v>0</x:v>
      </x:c>
      <x:c r="Z289" s="23" t="n">
        <x:f>MAX(0,MIN('Activities'!L289,132)-MAX('Activities'!K289,126))</x:f>
        <x:v>0</x:v>
      </x:c>
      <x:c r="AA289" s="23" t="n">
        <x:f>MAX(0,MIN('Activities'!L289,138)-MAX('Activities'!K289,132))</x:f>
        <x:v>0</x:v>
      </x:c>
      <x:c r="AB289" s="23" t="n">
        <x:f>MAX(0,MIN('Activities'!L289,144)-MAX('Activities'!K289,138))</x:f>
        <x:v>0</x:v>
      </x:c>
      <x:c r="AC289" s="23" t="n">
        <x:f>MAX(0,MIN('Activities'!L289,150)-MAX('Activities'!K289,144))</x:f>
        <x:v>0</x:v>
      </x:c>
      <x:c r="AD289" s="23" t="n">
        <x:f>MAX(0,MIN('Activities'!L289,156)-MAX('Activities'!K289,150))</x:f>
        <x:v>0</x:v>
      </x:c>
      <x:c r="AE289" s="23" t="n">
        <x:f>MAX(0,MIN('Activities'!L289,162)-MAX('Activities'!K289,156))</x:f>
        <x:v>0</x:v>
      </x:c>
      <x:c r="AF289" s="23" t="n">
        <x:f>MAX(0,MIN('Activities'!L289,168)-MAX('Activities'!K289,162))</x:f>
        <x:v>0</x:v>
      </x:c>
      <x:c r="AG289" s="23" t="n">
        <x:f>MAX(0,MIN('Activities'!L289,174)-MAX('Activities'!K289,168))</x:f>
        <x:v>0</x:v>
      </x:c>
      <x:c r="AH289" s="23" t="n">
        <x:f>MAX(0,MIN('Activities'!L289,180)-MAX('Activities'!K289,174))</x:f>
        <x:v>0</x:v>
      </x:c>
      <x:c r="AI289" s="23" t="n">
        <x:f>MAX(0,MIN('Activities'!L289,186)-MAX('Activities'!K289,180))</x:f>
        <x:v>0</x:v>
      </x:c>
      <x:c r="AJ289" s="23" t="n">
        <x:f>MAX(0,MIN('Activities'!L289,192)-MAX('Activities'!K289,186))</x:f>
        <x:v>3</x:v>
      </x:c>
      <x:c r="AK289" s="23" t="n">
        <x:f>MAX(0,MIN('Activities'!L289,198)-MAX('Activities'!K289,192))</x:f>
        <x:v>2</x:v>
      </x:c>
      <x:c r="AL289" s="23" t="n">
        <x:f>MAX(0,MIN('Activities'!L289,204)-MAX('Activities'!K289,198))</x:f>
        <x:v>0</x:v>
      </x:c>
      <x:c r="AM289" s="23" t="n">
        <x:f>MAX(0,MIN('Activities'!L289,210)-MAX('Activities'!K289,204))</x:f>
        <x:v>0</x:v>
      </x:c>
      <x:c r="AN289" s="23" t="n">
        <x:f>MAX(0,MIN('Activities'!L289,216)-MAX('Activities'!K289,210))</x:f>
        <x:v>0</x:v>
      </x:c>
      <x:c r="AO289" s="23" t="n">
        <x:f>MAX(0,MIN('Activities'!L289,222)-MAX('Activities'!K289,216))</x:f>
        <x:v>0</x:v>
      </x:c>
      <x:c r="AP289" s="23" t="n">
        <x:f>MAX(0,MIN('Activities'!L289,228)-MAX('Activities'!K289,222))</x:f>
        <x:v>0</x:v>
      </x:c>
      <x:c r="AQ289" s="23" t="n">
        <x:f>MAX(0,MIN('Activities'!L289,234)-MAX('Activities'!K289,228))</x:f>
        <x:v>0</x:v>
      </x:c>
      <x:c r="AR289" s="23" t="n">
        <x:f>MAX(0,MIN('Activities'!L289,240)-MAX('Activities'!K289,234))</x:f>
        <x:v>0</x:v>
      </x:c>
      <x:c r="AS289" s="23" t="n">
        <x:f>MAX(0,MIN('Activities'!L289,246)-MAX('Activities'!K289,240))</x:f>
        <x:v>0</x:v>
      </x:c>
      <x:c r="AT289" s="23" t="n">
        <x:f>MAX(0,MIN('Activities'!L289,252)-MAX('Activities'!K289,246))</x:f>
        <x:v>0</x:v>
      </x:c>
      <x:c r="AU289" s="23" t="n">
        <x:f>MAX(0,MIN('Activities'!L289,258)-MAX('Activities'!K289,252))</x:f>
        <x:v>0</x:v>
      </x:c>
      <x:c r="AV289" s="23" t="n">
        <x:f>MAX(0,MIN('Activities'!L289,264)-MAX('Activities'!K289,258))</x:f>
        <x:v>0</x:v>
      </x:c>
      <x:c r="AW289" s="23" t="n">
        <x:f>MAX(0,MIN('Activities'!L289,270)-MAX('Activities'!K289,264))</x:f>
        <x:v>0</x:v>
      </x:c>
      <x:c r="AX289" s="23" t="n">
        <x:f>MAX(0,MIN('Activities'!L289,276)-MAX('Activities'!K289,270))</x:f>
        <x:v>0</x:v>
      </x:c>
      <x:c r="AY289" s="23" t="n">
        <x:f>MAX(0,MIN('Activities'!L289,282)-MAX('Activities'!K289,276))</x:f>
        <x:v>0</x:v>
      </x:c>
      <x:c r="AZ289" s="23" t="n">
        <x:f>MAX(0,MIN('Activities'!L289,288)-MAX('Activities'!K289,282))</x:f>
        <x:v>0</x:v>
      </x:c>
      <x:c r="BA289" s="23" t="n">
        <x:f>MAX(0,MIN('Activities'!L289,294)-MAX('Activities'!K289,288))</x:f>
        <x:v>0</x:v>
      </x:c>
      <x:c r="BB289" s="23" t="n">
        <x:f>MAX(0,MIN('Activities'!L289,300)-MAX('Activities'!K289,294))</x:f>
        <x:v>0</x:v>
      </x:c>
      <x:c r="BC289" s="23" t="n">
        <x:f>MAX(0,MIN('Activities'!L289,306)-MAX('Activities'!K289,300))</x:f>
        <x:v>0</x:v>
      </x:c>
      <x:c r="BD289" s="23" t="n">
        <x:f>MAX(0,MIN('Activities'!L289,312)-MAX('Activities'!K289,306))</x:f>
        <x:v>0</x:v>
      </x:c>
      <x:c r="BE289" s="23" t="n">
        <x:f>MAX(0,MIN('Activities'!L289,318)-MAX('Activities'!K289,312))</x:f>
        <x:v>0</x:v>
      </x:c>
      <x:c r="BF289" s="23" t="n">
        <x:f>MAX(0,MIN('Activities'!L289,324)-MAX('Activities'!K289,318))</x:f>
        <x:v>0</x:v>
      </x:c>
      <x:c r="BG289" s="23" t="n">
        <x:f>MAX(0,MIN('Activities'!L289,330)-MAX('Activities'!K289,324))</x:f>
        <x:v>0</x:v>
      </x:c>
      <x:c r="BH289" s="23" t="n">
        <x:f>MAX(0,MIN('Activities'!L289,336)-MAX('Activities'!K289,330))</x:f>
        <x:v>0</x:v>
      </x:c>
      <x:c r="BI289" s="23" t="n">
        <x:f>MAX(0,MIN('Activities'!L289,342)-MAX('Activities'!K289,336))</x:f>
        <x:v>0</x:v>
      </x:c>
      <x:c r="BJ289" s="23" t="n">
        <x:f>MAX(0,MIN('Activities'!L289,348)-MAX('Activities'!K289,342))</x:f>
        <x:v>0</x:v>
      </x:c>
      <x:c r="BK289" s="23" t="n">
        <x:f>MAX(0,MIN('Activities'!L289,354)-MAX('Activities'!K289,348))</x:f>
        <x:v>0</x:v>
      </x:c>
      <x:c r="BL289" s="23" t="n">
        <x:f>MAX(0,MIN('Activities'!L289,360)-MAX('Activities'!K289,354))</x:f>
        <x:v>0</x:v>
      </x:c>
      <x:c r="BM289" s="23" t="n">
        <x:f>MAX(0,MIN('Activities'!L289,366)-MAX('Activities'!K289,360))</x:f>
        <x:v>0</x:v>
      </x:c>
      <x:c r="BN289" s="23" t="n">
        <x:f>MAX(0,MIN('Activities'!L289,372)-MAX('Activities'!K289,366))</x:f>
        <x:v>0</x:v>
      </x:c>
      <x:c r="BO289" s="23" t="n">
        <x:f>MAX(0,MIN('Activities'!L289,378)-MAX('Activities'!K289,372))</x:f>
        <x:v>0</x:v>
      </x:c>
      <x:c r="BP289" s="23" t="n">
        <x:f>MAX(0,MIN('Activities'!L289,384)-MAX('Activities'!K289,378))</x:f>
        <x:v>0</x:v>
      </x:c>
      <x:c r="BQ289" s="23" t="n">
        <x:f>MAX(0,MIN('Activities'!L289,390)-MAX('Activities'!K289,384))</x:f>
        <x:v>0</x:v>
      </x:c>
      <x:c r="BR289" s="23" t="n">
        <x:f>MAX(0,MIN('Activities'!L289,396)-MAX('Activities'!K289,390))</x:f>
        <x:v>0</x:v>
      </x:c>
      <x:c r="BS289" s="23" t="n">
        <x:f>MAX(0,MIN('Activities'!L289,402)-MAX('Activities'!K289,396))</x:f>
        <x:v>0</x:v>
      </x:c>
      <x:c r="BT289" s="23" t="n">
        <x:f>MAX(0,MIN('Activities'!L289,408)-MAX('Activities'!K289,402))</x:f>
        <x:v>0</x:v>
      </x:c>
      <x:c r="BU289" s="23" t="n">
        <x:f>MAX(0,MIN('Activities'!L289,414)-MAX('Activities'!K289,408))</x:f>
        <x:v>0</x:v>
      </x:c>
      <x:c r="BV289" s="23" t="n">
        <x:f>MAX(0,MIN('Activities'!L289,420)-MAX('Activities'!K289,414))</x:f>
        <x:v>0</x:v>
      </x:c>
      <x:c r="BW289" s="23" t="n">
        <x:f>MAX(0,MIN('Activities'!L289,426)-MAX('Activities'!K289,420))</x:f>
        <x:v>0</x:v>
      </x:c>
      <x:c r="BX289" s="23" t="n">
        <x:f>MAX(0,MIN('Activities'!L289,432)-MAX('Activities'!K289,426))</x:f>
        <x:v>0</x:v>
      </x:c>
      <x:c r="BY289" s="23" t="n">
        <x:f>MAX(0,MIN('Activities'!L289,438)-MAX('Activities'!K289,432))</x:f>
        <x:v>0</x:v>
      </x:c>
      <x:c r="BZ289" s="23" t="n">
        <x:f>MAX(0,MIN('Activities'!L289,444)-MAX('Activities'!K289,438))</x:f>
        <x:v>0</x:v>
      </x:c>
      <x:c r="CA289" s="23" t="n">
        <x:f>MAX(0,MIN('Activities'!L289,450)-MAX('Activities'!K289,444))</x:f>
        <x:v>0</x:v>
      </x:c>
      <x:c r="CB289" s="23" t="n">
        <x:f>MAX(0,MIN('Activities'!L289,456)-MAX('Activities'!K289,450))</x:f>
        <x:v>0</x:v>
      </x:c>
      <x:c r="CC289" s="23" t="n">
        <x:f>MAX(0,MIN('Activities'!L289,462)-MAX('Activities'!K289,456))</x:f>
        <x:v>0</x:v>
      </x:c>
      <x:c r="CD289" s="23" t="n">
        <x:f>MAX(0,MIN('Activities'!L289,468)-MAX('Activities'!K289,462))</x:f>
        <x:v>0</x:v>
      </x:c>
      <x:c r="CE289" s="23" t="n">
        <x:f>MAX(0,MIN('Activities'!L289,474)-MAX('Activities'!K289,468))</x:f>
        <x:v>0</x:v>
      </x:c>
      <x:c r="CF289" s="23" t="n">
        <x:f>MAX(0,MIN('Activities'!L289,480)-MAX('Activities'!K289,474))</x:f>
        <x:v>0</x:v>
      </x:c>
      <x:c r="CG289" s="23" t="n">
        <x:f>MAX(0,MIN('Activities'!L289,486)-MAX('Activities'!K289,480))</x:f>
        <x:v>0</x:v>
      </x:c>
      <x:c r="CH289" s="23" t="n">
        <x:f>MAX(0,MIN('Activities'!L289,492)-MAX('Activities'!K289,486))</x:f>
        <x:v>0</x:v>
      </x:c>
      <x:c r="CI289" s="23" t="n">
        <x:f>MAX(0,MIN('Activities'!L289,498)-MAX('Activities'!K289,492))</x:f>
        <x:v>0</x:v>
      </x:c>
      <x:c r="CJ289" s="23" t="n">
        <x:f>MAX(0,MIN('Activities'!L289,504)-MAX('Activities'!K289,498))</x:f>
        <x:v>0</x:v>
      </x:c>
      <x:c r="CK289" s="23" t="n">
        <x:f>MAX(0,MIN('Activities'!L289,510)-MAX('Activities'!K289,504))</x:f>
        <x:v>0</x:v>
      </x:c>
      <x:c r="CL289" s="23" t="n">
        <x:f>MAX(0,MIN('Activities'!L289,516)-MAX('Activities'!K289,510))</x:f>
        <x:v>0</x:v>
      </x:c>
      <x:c r="CM289" s="23" t="n">
        <x:f>MAX(0,MIN('Activities'!L289,522)-MAX('Activities'!K289,516))</x:f>
        <x:v>0</x:v>
      </x:c>
      <x:c r="CN289" s="23" t="n">
        <x:f>MAX(0,MIN('Activities'!L289,528)-MAX('Activities'!K289,522))</x:f>
        <x:v>0</x:v>
      </x:c>
      <x:c r="CO289" s="23" t="n">
        <x:f>MAX(0,MIN('Activities'!L289,534)-MAX('Activities'!K289,528))</x:f>
        <x:v>0</x:v>
      </x:c>
      <x:c r="CP289" s="23" t="n">
        <x:f>MAX(0,MIN('Activities'!L289,540)-MAX('Activities'!K289,534))</x:f>
        <x:v>0</x:v>
      </x:c>
      <x:c r="CQ289" s="23" t="n">
        <x:f>MAX(0,MIN('Activities'!L289,546)-MAX('Activities'!K289,540))</x:f>
        <x:v>0</x:v>
      </x:c>
      <x:c r="CR289" s="23" t="n">
        <x:f>MAX(0,MIN('Activities'!L289,552)-MAX('Activities'!K289,546))</x:f>
        <x:v>0</x:v>
      </x:c>
      <x:c r="CS289" s="23" t="n">
        <x:f>MAX(0,MIN('Activities'!L289,558)-MAX('Activities'!K289,552))</x:f>
        <x:v>0</x:v>
      </x:c>
      <x:c r="CT289" s="23" t="n">
        <x:f>MAX(0,MIN('Activities'!L289,564)-MAX('Activities'!K289,558))</x:f>
        <x:v>0</x:v>
      </x:c>
      <x:c r="CU289" s="23" t="n">
        <x:f>MAX(0,MIN('Activities'!L289,570)-MAX('Activities'!K289,564))</x:f>
        <x:v>0</x:v>
      </x:c>
      <x:c r="CV289" s="23" t="n">
        <x:f>MAX(0,MIN('Activities'!L289,576)-MAX('Activities'!K289,570))</x:f>
        <x:v>0</x:v>
      </x:c>
      <x:c r="CW289" s="23" t="n">
        <x:f>MAX(0,MIN('Activities'!L289,582)-MAX('Activities'!K289,576))</x:f>
        <x:v>0</x:v>
      </x:c>
      <x:c r="CX289" s="23" t="n">
        <x:f>MAX(0,MIN('Activities'!L289,588)-MAX('Activities'!K289,582))</x:f>
        <x:v>0</x:v>
      </x:c>
      <x:c r="CY289" s="23" t="n">
        <x:f>MAX(0,MIN('Activities'!L289,594)-MAX('Activities'!K289,588))</x:f>
        <x:v>0</x:v>
      </x:c>
      <x:c r="CZ289" s="23" t="n">
        <x:f>MAX(0,MIN('Activities'!L289,600)-MAX('Activities'!K289,594))</x:f>
        <x:v>0</x:v>
      </x:c>
      <x:c r="DA289" s="23" t="n">
        <x:f>MAX(0,MIN('Activities'!L289,606)-MAX('Activities'!K289,600))</x:f>
        <x:v>0</x:v>
      </x:c>
      <x:c r="DB289" s="23" t="n">
        <x:f>MAX(0,MIN('Activities'!L289,612)-MAX('Activities'!K289,606))</x:f>
        <x:v>0</x:v>
      </x:c>
      <x:c r="DC289" s="23" t="n">
        <x:f>MAX(0,MIN('Activities'!L289,618)-MAX('Activities'!K289,612))</x:f>
        <x:v>0</x:v>
      </x:c>
      <x:c r="DD289" s="23" t="n">
        <x:f>MAX(0,MIN('Activities'!L289,624)-MAX('Activities'!K289,618))</x:f>
        <x:v>0</x:v>
      </x:c>
      <x:c r="DE289" s="23" t="n">
        <x:f>MAX(0,MIN('Activities'!L289,630)-MAX('Activities'!K289,624))</x:f>
        <x:v>0</x:v>
      </x:c>
      <x:c r="DF289" s="23" t="n">
        <x:f>MAX(0,MIN('Activities'!L289,636)-MAX('Activities'!K289,630))</x:f>
        <x:v>0</x:v>
      </x:c>
    </x:row>
    <x:row r="290" ht="23" customHeight="1">
      <x:c r="A290" s="6" t="str">
        <x:v>T3-L02-F</x:v>
      </x:c>
      <x:c r="B290" s="6" t="str">
        <x:v>T3</x:v>
      </x:c>
      <x:c r="C290" s="6" t="str">
        <x:v>Columns, core and deck formwork</x:v>
      </x:c>
      <x:c r="D290" s="6" t="str">
        <x:v>Formwork</x:v>
      </x:c>
      <x:c r="E290" s="22" t="n">
        <x:f>MAX(0,MIN('Activities'!L290,6)-MAX('Activities'!K290,0))</x:f>
        <x:v>0</x:v>
      </x:c>
      <x:c r="F290" s="22" t="n">
        <x:f>MAX(0,MIN('Activities'!L290,12)-MAX('Activities'!K290,6))</x:f>
        <x:v>0</x:v>
      </x:c>
      <x:c r="G290" s="22" t="n">
        <x:f>MAX(0,MIN('Activities'!L290,18)-MAX('Activities'!K290,12))</x:f>
        <x:v>0</x:v>
      </x:c>
      <x:c r="H290" s="22" t="n">
        <x:f>MAX(0,MIN('Activities'!L290,24)-MAX('Activities'!K290,18))</x:f>
        <x:v>0</x:v>
      </x:c>
      <x:c r="I290" s="22" t="n">
        <x:f>MAX(0,MIN('Activities'!L290,30)-MAX('Activities'!K290,24))</x:f>
        <x:v>0</x:v>
      </x:c>
      <x:c r="J290" s="22" t="n">
        <x:f>MAX(0,MIN('Activities'!L290,36)-MAX('Activities'!K290,30))</x:f>
        <x:v>0</x:v>
      </x:c>
      <x:c r="K290" s="22" t="n">
        <x:f>MAX(0,MIN('Activities'!L290,42)-MAX('Activities'!K290,36))</x:f>
        <x:v>0</x:v>
      </x:c>
      <x:c r="L290" s="22" t="n">
        <x:f>MAX(0,MIN('Activities'!L290,48)-MAX('Activities'!K290,42))</x:f>
        <x:v>0</x:v>
      </x:c>
      <x:c r="M290" s="22" t="n">
        <x:f>MAX(0,MIN('Activities'!L290,54)-MAX('Activities'!K290,48))</x:f>
        <x:v>0</x:v>
      </x:c>
      <x:c r="N290" s="22" t="n">
        <x:f>MAX(0,MIN('Activities'!L290,60)-MAX('Activities'!K290,54))</x:f>
        <x:v>0</x:v>
      </x:c>
      <x:c r="O290" s="22" t="n">
        <x:f>MAX(0,MIN('Activities'!L290,66)-MAX('Activities'!K290,60))</x:f>
        <x:v>0</x:v>
      </x:c>
      <x:c r="P290" s="22" t="n">
        <x:f>MAX(0,MIN('Activities'!L290,72)-MAX('Activities'!K290,66))</x:f>
        <x:v>0</x:v>
      </x:c>
      <x:c r="Q290" s="22" t="n">
        <x:f>MAX(0,MIN('Activities'!L290,78)-MAX('Activities'!K290,72))</x:f>
        <x:v>0</x:v>
      </x:c>
      <x:c r="R290" s="22" t="n">
        <x:f>MAX(0,MIN('Activities'!L290,84)-MAX('Activities'!K290,78))</x:f>
        <x:v>0</x:v>
      </x:c>
      <x:c r="S290" s="22" t="n">
        <x:f>MAX(0,MIN('Activities'!L290,90)-MAX('Activities'!K290,84))</x:f>
        <x:v>0</x:v>
      </x:c>
      <x:c r="T290" s="22" t="n">
        <x:f>MAX(0,MIN('Activities'!L290,96)-MAX('Activities'!K290,90))</x:f>
        <x:v>0</x:v>
      </x:c>
      <x:c r="U290" s="22" t="n">
        <x:f>MAX(0,MIN('Activities'!L290,102)-MAX('Activities'!K290,96))</x:f>
        <x:v>0</x:v>
      </x:c>
      <x:c r="V290" s="22" t="n">
        <x:f>MAX(0,MIN('Activities'!L290,108)-MAX('Activities'!K290,102))</x:f>
        <x:v>0</x:v>
      </x:c>
      <x:c r="W290" s="22" t="n">
        <x:f>MAX(0,MIN('Activities'!L290,114)-MAX('Activities'!K290,108))</x:f>
        <x:v>0</x:v>
      </x:c>
      <x:c r="X290" s="22" t="n">
        <x:f>MAX(0,MIN('Activities'!L290,120)-MAX('Activities'!K290,114))</x:f>
        <x:v>0</x:v>
      </x:c>
      <x:c r="Y290" s="22" t="n">
        <x:f>MAX(0,MIN('Activities'!L290,126)-MAX('Activities'!K290,120))</x:f>
        <x:v>0</x:v>
      </x:c>
      <x:c r="Z290" s="22" t="n">
        <x:f>MAX(0,MIN('Activities'!L290,132)-MAX('Activities'!K290,126))</x:f>
        <x:v>0</x:v>
      </x:c>
      <x:c r="AA290" s="22" t="n">
        <x:f>MAX(0,MIN('Activities'!L290,138)-MAX('Activities'!K290,132))</x:f>
        <x:v>0</x:v>
      </x:c>
      <x:c r="AB290" s="22" t="n">
        <x:f>MAX(0,MIN('Activities'!L290,144)-MAX('Activities'!K290,138))</x:f>
        <x:v>0</x:v>
      </x:c>
      <x:c r="AC290" s="22" t="n">
        <x:f>MAX(0,MIN('Activities'!L290,150)-MAX('Activities'!K290,144))</x:f>
        <x:v>0</x:v>
      </x:c>
      <x:c r="AD290" s="22" t="n">
        <x:f>MAX(0,MIN('Activities'!L290,156)-MAX('Activities'!K290,150))</x:f>
        <x:v>0</x:v>
      </x:c>
      <x:c r="AE290" s="22" t="n">
        <x:f>MAX(0,MIN('Activities'!L290,162)-MAX('Activities'!K290,156))</x:f>
        <x:v>0</x:v>
      </x:c>
      <x:c r="AF290" s="22" t="n">
        <x:f>MAX(0,MIN('Activities'!L290,168)-MAX('Activities'!K290,162))</x:f>
        <x:v>0</x:v>
      </x:c>
      <x:c r="AG290" s="22" t="n">
        <x:f>MAX(0,MIN('Activities'!L290,174)-MAX('Activities'!K290,168))</x:f>
        <x:v>0</x:v>
      </x:c>
      <x:c r="AH290" s="22" t="n">
        <x:f>MAX(0,MIN('Activities'!L290,180)-MAX('Activities'!K290,174))</x:f>
        <x:v>0</x:v>
      </x:c>
      <x:c r="AI290" s="22" t="n">
        <x:f>MAX(0,MIN('Activities'!L290,186)-MAX('Activities'!K290,180))</x:f>
        <x:v>0</x:v>
      </x:c>
      <x:c r="AJ290" s="22" t="n">
        <x:f>MAX(0,MIN('Activities'!L290,192)-MAX('Activities'!K290,186))</x:f>
        <x:v>0</x:v>
      </x:c>
      <x:c r="AK290" s="22" t="n">
        <x:f>MAX(0,MIN('Activities'!L290,198)-MAX('Activities'!K290,192))</x:f>
        <x:v>4</x:v>
      </x:c>
      <x:c r="AL290" s="22" t="n">
        <x:f>MAX(0,MIN('Activities'!L290,204)-MAX('Activities'!K290,198))</x:f>
        <x:v>2</x:v>
      </x:c>
      <x:c r="AM290" s="22" t="n">
        <x:f>MAX(0,MIN('Activities'!L290,210)-MAX('Activities'!K290,204))</x:f>
        <x:v>0</x:v>
      </x:c>
      <x:c r="AN290" s="22" t="n">
        <x:f>MAX(0,MIN('Activities'!L290,216)-MAX('Activities'!K290,210))</x:f>
        <x:v>0</x:v>
      </x:c>
      <x:c r="AO290" s="22" t="n">
        <x:f>MAX(0,MIN('Activities'!L290,222)-MAX('Activities'!K290,216))</x:f>
        <x:v>0</x:v>
      </x:c>
      <x:c r="AP290" s="22" t="n">
        <x:f>MAX(0,MIN('Activities'!L290,228)-MAX('Activities'!K290,222))</x:f>
        <x:v>0</x:v>
      </x:c>
      <x:c r="AQ290" s="22" t="n">
        <x:f>MAX(0,MIN('Activities'!L290,234)-MAX('Activities'!K290,228))</x:f>
        <x:v>0</x:v>
      </x:c>
      <x:c r="AR290" s="22" t="n">
        <x:f>MAX(0,MIN('Activities'!L290,240)-MAX('Activities'!K290,234))</x:f>
        <x:v>0</x:v>
      </x:c>
      <x:c r="AS290" s="22" t="n">
        <x:f>MAX(0,MIN('Activities'!L290,246)-MAX('Activities'!K290,240))</x:f>
        <x:v>0</x:v>
      </x:c>
      <x:c r="AT290" s="22" t="n">
        <x:f>MAX(0,MIN('Activities'!L290,252)-MAX('Activities'!K290,246))</x:f>
        <x:v>0</x:v>
      </x:c>
      <x:c r="AU290" s="22" t="n">
        <x:f>MAX(0,MIN('Activities'!L290,258)-MAX('Activities'!K290,252))</x:f>
        <x:v>0</x:v>
      </x:c>
      <x:c r="AV290" s="22" t="n">
        <x:f>MAX(0,MIN('Activities'!L290,264)-MAX('Activities'!K290,258))</x:f>
        <x:v>0</x:v>
      </x:c>
      <x:c r="AW290" s="22" t="n">
        <x:f>MAX(0,MIN('Activities'!L290,270)-MAX('Activities'!K290,264))</x:f>
        <x:v>0</x:v>
      </x:c>
      <x:c r="AX290" s="22" t="n">
        <x:f>MAX(0,MIN('Activities'!L290,276)-MAX('Activities'!K290,270))</x:f>
        <x:v>0</x:v>
      </x:c>
      <x:c r="AY290" s="22" t="n">
        <x:f>MAX(0,MIN('Activities'!L290,282)-MAX('Activities'!K290,276))</x:f>
        <x:v>0</x:v>
      </x:c>
      <x:c r="AZ290" s="22" t="n">
        <x:f>MAX(0,MIN('Activities'!L290,288)-MAX('Activities'!K290,282))</x:f>
        <x:v>0</x:v>
      </x:c>
      <x:c r="BA290" s="22" t="n">
        <x:f>MAX(0,MIN('Activities'!L290,294)-MAX('Activities'!K290,288))</x:f>
        <x:v>0</x:v>
      </x:c>
      <x:c r="BB290" s="22" t="n">
        <x:f>MAX(0,MIN('Activities'!L290,300)-MAX('Activities'!K290,294))</x:f>
        <x:v>0</x:v>
      </x:c>
      <x:c r="BC290" s="22" t="n">
        <x:f>MAX(0,MIN('Activities'!L290,306)-MAX('Activities'!K290,300))</x:f>
        <x:v>0</x:v>
      </x:c>
      <x:c r="BD290" s="22" t="n">
        <x:f>MAX(0,MIN('Activities'!L290,312)-MAX('Activities'!K290,306))</x:f>
        <x:v>0</x:v>
      </x:c>
      <x:c r="BE290" s="22" t="n">
        <x:f>MAX(0,MIN('Activities'!L290,318)-MAX('Activities'!K290,312))</x:f>
        <x:v>0</x:v>
      </x:c>
      <x:c r="BF290" s="22" t="n">
        <x:f>MAX(0,MIN('Activities'!L290,324)-MAX('Activities'!K290,318))</x:f>
        <x:v>0</x:v>
      </x:c>
      <x:c r="BG290" s="22" t="n">
        <x:f>MAX(0,MIN('Activities'!L290,330)-MAX('Activities'!K290,324))</x:f>
        <x:v>0</x:v>
      </x:c>
      <x:c r="BH290" s="22" t="n">
        <x:f>MAX(0,MIN('Activities'!L290,336)-MAX('Activities'!K290,330))</x:f>
        <x:v>0</x:v>
      </x:c>
      <x:c r="BI290" s="22" t="n">
        <x:f>MAX(0,MIN('Activities'!L290,342)-MAX('Activities'!K290,336))</x:f>
        <x:v>0</x:v>
      </x:c>
      <x:c r="BJ290" s="22" t="n">
        <x:f>MAX(0,MIN('Activities'!L290,348)-MAX('Activities'!K290,342))</x:f>
        <x:v>0</x:v>
      </x:c>
      <x:c r="BK290" s="22" t="n">
        <x:f>MAX(0,MIN('Activities'!L290,354)-MAX('Activities'!K290,348))</x:f>
        <x:v>0</x:v>
      </x:c>
      <x:c r="BL290" s="22" t="n">
        <x:f>MAX(0,MIN('Activities'!L290,360)-MAX('Activities'!K290,354))</x:f>
        <x:v>0</x:v>
      </x:c>
      <x:c r="BM290" s="22" t="n">
        <x:f>MAX(0,MIN('Activities'!L290,366)-MAX('Activities'!K290,360))</x:f>
        <x:v>0</x:v>
      </x:c>
      <x:c r="BN290" s="22" t="n">
        <x:f>MAX(0,MIN('Activities'!L290,372)-MAX('Activities'!K290,366))</x:f>
        <x:v>0</x:v>
      </x:c>
      <x:c r="BO290" s="22" t="n">
        <x:f>MAX(0,MIN('Activities'!L290,378)-MAX('Activities'!K290,372))</x:f>
        <x:v>0</x:v>
      </x:c>
      <x:c r="BP290" s="22" t="n">
        <x:f>MAX(0,MIN('Activities'!L290,384)-MAX('Activities'!K290,378))</x:f>
        <x:v>0</x:v>
      </x:c>
      <x:c r="BQ290" s="22" t="n">
        <x:f>MAX(0,MIN('Activities'!L290,390)-MAX('Activities'!K290,384))</x:f>
        <x:v>0</x:v>
      </x:c>
      <x:c r="BR290" s="22" t="n">
        <x:f>MAX(0,MIN('Activities'!L290,396)-MAX('Activities'!K290,390))</x:f>
        <x:v>0</x:v>
      </x:c>
      <x:c r="BS290" s="22" t="n">
        <x:f>MAX(0,MIN('Activities'!L290,402)-MAX('Activities'!K290,396))</x:f>
        <x:v>0</x:v>
      </x:c>
      <x:c r="BT290" s="22" t="n">
        <x:f>MAX(0,MIN('Activities'!L290,408)-MAX('Activities'!K290,402))</x:f>
        <x:v>0</x:v>
      </x:c>
      <x:c r="BU290" s="22" t="n">
        <x:f>MAX(0,MIN('Activities'!L290,414)-MAX('Activities'!K290,408))</x:f>
        <x:v>0</x:v>
      </x:c>
      <x:c r="BV290" s="22" t="n">
        <x:f>MAX(0,MIN('Activities'!L290,420)-MAX('Activities'!K290,414))</x:f>
        <x:v>0</x:v>
      </x:c>
      <x:c r="BW290" s="22" t="n">
        <x:f>MAX(0,MIN('Activities'!L290,426)-MAX('Activities'!K290,420))</x:f>
        <x:v>0</x:v>
      </x:c>
      <x:c r="BX290" s="22" t="n">
        <x:f>MAX(0,MIN('Activities'!L290,432)-MAX('Activities'!K290,426))</x:f>
        <x:v>0</x:v>
      </x:c>
      <x:c r="BY290" s="22" t="n">
        <x:f>MAX(0,MIN('Activities'!L290,438)-MAX('Activities'!K290,432))</x:f>
        <x:v>0</x:v>
      </x:c>
      <x:c r="BZ290" s="22" t="n">
        <x:f>MAX(0,MIN('Activities'!L290,444)-MAX('Activities'!K290,438))</x:f>
        <x:v>0</x:v>
      </x:c>
      <x:c r="CA290" s="22" t="n">
        <x:f>MAX(0,MIN('Activities'!L290,450)-MAX('Activities'!K290,444))</x:f>
        <x:v>0</x:v>
      </x:c>
      <x:c r="CB290" s="22" t="n">
        <x:f>MAX(0,MIN('Activities'!L290,456)-MAX('Activities'!K290,450))</x:f>
        <x:v>0</x:v>
      </x:c>
      <x:c r="CC290" s="22" t="n">
        <x:f>MAX(0,MIN('Activities'!L290,462)-MAX('Activities'!K290,456))</x:f>
        <x:v>0</x:v>
      </x:c>
      <x:c r="CD290" s="22" t="n">
        <x:f>MAX(0,MIN('Activities'!L290,468)-MAX('Activities'!K290,462))</x:f>
        <x:v>0</x:v>
      </x:c>
      <x:c r="CE290" s="22" t="n">
        <x:f>MAX(0,MIN('Activities'!L290,474)-MAX('Activities'!K290,468))</x:f>
        <x:v>0</x:v>
      </x:c>
      <x:c r="CF290" s="22" t="n">
        <x:f>MAX(0,MIN('Activities'!L290,480)-MAX('Activities'!K290,474))</x:f>
        <x:v>0</x:v>
      </x:c>
      <x:c r="CG290" s="22" t="n">
        <x:f>MAX(0,MIN('Activities'!L290,486)-MAX('Activities'!K290,480))</x:f>
        <x:v>0</x:v>
      </x:c>
      <x:c r="CH290" s="22" t="n">
        <x:f>MAX(0,MIN('Activities'!L290,492)-MAX('Activities'!K290,486))</x:f>
        <x:v>0</x:v>
      </x:c>
      <x:c r="CI290" s="22" t="n">
        <x:f>MAX(0,MIN('Activities'!L290,498)-MAX('Activities'!K290,492))</x:f>
        <x:v>0</x:v>
      </x:c>
      <x:c r="CJ290" s="22" t="n">
        <x:f>MAX(0,MIN('Activities'!L290,504)-MAX('Activities'!K290,498))</x:f>
        <x:v>0</x:v>
      </x:c>
      <x:c r="CK290" s="22" t="n">
        <x:f>MAX(0,MIN('Activities'!L290,510)-MAX('Activities'!K290,504))</x:f>
        <x:v>0</x:v>
      </x:c>
      <x:c r="CL290" s="22" t="n">
        <x:f>MAX(0,MIN('Activities'!L290,516)-MAX('Activities'!K290,510))</x:f>
        <x:v>0</x:v>
      </x:c>
      <x:c r="CM290" s="22" t="n">
        <x:f>MAX(0,MIN('Activities'!L290,522)-MAX('Activities'!K290,516))</x:f>
        <x:v>0</x:v>
      </x:c>
      <x:c r="CN290" s="22" t="n">
        <x:f>MAX(0,MIN('Activities'!L290,528)-MAX('Activities'!K290,522))</x:f>
        <x:v>0</x:v>
      </x:c>
      <x:c r="CO290" s="22" t="n">
        <x:f>MAX(0,MIN('Activities'!L290,534)-MAX('Activities'!K290,528))</x:f>
        <x:v>0</x:v>
      </x:c>
      <x:c r="CP290" s="22" t="n">
        <x:f>MAX(0,MIN('Activities'!L290,540)-MAX('Activities'!K290,534))</x:f>
        <x:v>0</x:v>
      </x:c>
      <x:c r="CQ290" s="22" t="n">
        <x:f>MAX(0,MIN('Activities'!L290,546)-MAX('Activities'!K290,540))</x:f>
        <x:v>0</x:v>
      </x:c>
      <x:c r="CR290" s="22" t="n">
        <x:f>MAX(0,MIN('Activities'!L290,552)-MAX('Activities'!K290,546))</x:f>
        <x:v>0</x:v>
      </x:c>
      <x:c r="CS290" s="22" t="n">
        <x:f>MAX(0,MIN('Activities'!L290,558)-MAX('Activities'!K290,552))</x:f>
        <x:v>0</x:v>
      </x:c>
      <x:c r="CT290" s="22" t="n">
        <x:f>MAX(0,MIN('Activities'!L290,564)-MAX('Activities'!K290,558))</x:f>
        <x:v>0</x:v>
      </x:c>
      <x:c r="CU290" s="22" t="n">
        <x:f>MAX(0,MIN('Activities'!L290,570)-MAX('Activities'!K290,564))</x:f>
        <x:v>0</x:v>
      </x:c>
      <x:c r="CV290" s="22" t="n">
        <x:f>MAX(0,MIN('Activities'!L290,576)-MAX('Activities'!K290,570))</x:f>
        <x:v>0</x:v>
      </x:c>
      <x:c r="CW290" s="22" t="n">
        <x:f>MAX(0,MIN('Activities'!L290,582)-MAX('Activities'!K290,576))</x:f>
        <x:v>0</x:v>
      </x:c>
      <x:c r="CX290" s="22" t="n">
        <x:f>MAX(0,MIN('Activities'!L290,588)-MAX('Activities'!K290,582))</x:f>
        <x:v>0</x:v>
      </x:c>
      <x:c r="CY290" s="22" t="n">
        <x:f>MAX(0,MIN('Activities'!L290,594)-MAX('Activities'!K290,588))</x:f>
        <x:v>0</x:v>
      </x:c>
      <x:c r="CZ290" s="22" t="n">
        <x:f>MAX(0,MIN('Activities'!L290,600)-MAX('Activities'!K290,594))</x:f>
        <x:v>0</x:v>
      </x:c>
      <x:c r="DA290" s="22" t="n">
        <x:f>MAX(0,MIN('Activities'!L290,606)-MAX('Activities'!K290,600))</x:f>
        <x:v>0</x:v>
      </x:c>
      <x:c r="DB290" s="22" t="n">
        <x:f>MAX(0,MIN('Activities'!L290,612)-MAX('Activities'!K290,606))</x:f>
        <x:v>0</x:v>
      </x:c>
      <x:c r="DC290" s="22" t="n">
        <x:f>MAX(0,MIN('Activities'!L290,618)-MAX('Activities'!K290,612))</x:f>
        <x:v>0</x:v>
      </x:c>
      <x:c r="DD290" s="22" t="n">
        <x:f>MAX(0,MIN('Activities'!L290,624)-MAX('Activities'!K290,618))</x:f>
        <x:v>0</x:v>
      </x:c>
      <x:c r="DE290" s="22" t="n">
        <x:f>MAX(0,MIN('Activities'!L290,630)-MAX('Activities'!K290,624))</x:f>
        <x:v>0</x:v>
      </x:c>
      <x:c r="DF290" s="22" t="n">
        <x:f>MAX(0,MIN('Activities'!L290,636)-MAX('Activities'!K290,630))</x:f>
        <x:v>0</x:v>
      </x:c>
    </x:row>
    <x:row r="291" ht="23" customHeight="1">
      <x:c r="A291" s="1" t="str">
        <x:v>T3-L02-R</x:v>
      </x:c>
      <x:c r="B291" s="1" t="str">
        <x:v>T3</x:v>
      </x:c>
      <x:c r="C291" s="1" t="str">
        <x:v>Column, wall, beam and slab reinforcement</x:v>
      </x:c>
      <x:c r="D291" s="1" t="str">
        <x:v>Rebar</x:v>
      </x:c>
      <x:c r="E291" s="23" t="n">
        <x:f>MAX(0,MIN('Activities'!L291,6)-MAX('Activities'!K291,0))</x:f>
        <x:v>0</x:v>
      </x:c>
      <x:c r="F291" s="23" t="n">
        <x:f>MAX(0,MIN('Activities'!L291,12)-MAX('Activities'!K291,6))</x:f>
        <x:v>0</x:v>
      </x:c>
      <x:c r="G291" s="23" t="n">
        <x:f>MAX(0,MIN('Activities'!L291,18)-MAX('Activities'!K291,12))</x:f>
        <x:v>0</x:v>
      </x:c>
      <x:c r="H291" s="23" t="n">
        <x:f>MAX(0,MIN('Activities'!L291,24)-MAX('Activities'!K291,18))</x:f>
        <x:v>0</x:v>
      </x:c>
      <x:c r="I291" s="23" t="n">
        <x:f>MAX(0,MIN('Activities'!L291,30)-MAX('Activities'!K291,24))</x:f>
        <x:v>0</x:v>
      </x:c>
      <x:c r="J291" s="23" t="n">
        <x:f>MAX(0,MIN('Activities'!L291,36)-MAX('Activities'!K291,30))</x:f>
        <x:v>0</x:v>
      </x:c>
      <x:c r="K291" s="23" t="n">
        <x:f>MAX(0,MIN('Activities'!L291,42)-MAX('Activities'!K291,36))</x:f>
        <x:v>0</x:v>
      </x:c>
      <x:c r="L291" s="23" t="n">
        <x:f>MAX(0,MIN('Activities'!L291,48)-MAX('Activities'!K291,42))</x:f>
        <x:v>0</x:v>
      </x:c>
      <x:c r="M291" s="23" t="n">
        <x:f>MAX(0,MIN('Activities'!L291,54)-MAX('Activities'!K291,48))</x:f>
        <x:v>0</x:v>
      </x:c>
      <x:c r="N291" s="23" t="n">
        <x:f>MAX(0,MIN('Activities'!L291,60)-MAX('Activities'!K291,54))</x:f>
        <x:v>0</x:v>
      </x:c>
      <x:c r="O291" s="23" t="n">
        <x:f>MAX(0,MIN('Activities'!L291,66)-MAX('Activities'!K291,60))</x:f>
        <x:v>0</x:v>
      </x:c>
      <x:c r="P291" s="23" t="n">
        <x:f>MAX(0,MIN('Activities'!L291,72)-MAX('Activities'!K291,66))</x:f>
        <x:v>0</x:v>
      </x:c>
      <x:c r="Q291" s="23" t="n">
        <x:f>MAX(0,MIN('Activities'!L291,78)-MAX('Activities'!K291,72))</x:f>
        <x:v>0</x:v>
      </x:c>
      <x:c r="R291" s="23" t="n">
        <x:f>MAX(0,MIN('Activities'!L291,84)-MAX('Activities'!K291,78))</x:f>
        <x:v>0</x:v>
      </x:c>
      <x:c r="S291" s="23" t="n">
        <x:f>MAX(0,MIN('Activities'!L291,90)-MAX('Activities'!K291,84))</x:f>
        <x:v>0</x:v>
      </x:c>
      <x:c r="T291" s="23" t="n">
        <x:f>MAX(0,MIN('Activities'!L291,96)-MAX('Activities'!K291,90))</x:f>
        <x:v>0</x:v>
      </x:c>
      <x:c r="U291" s="23" t="n">
        <x:f>MAX(0,MIN('Activities'!L291,102)-MAX('Activities'!K291,96))</x:f>
        <x:v>0</x:v>
      </x:c>
      <x:c r="V291" s="23" t="n">
        <x:f>MAX(0,MIN('Activities'!L291,108)-MAX('Activities'!K291,102))</x:f>
        <x:v>0</x:v>
      </x:c>
      <x:c r="W291" s="23" t="n">
        <x:f>MAX(0,MIN('Activities'!L291,114)-MAX('Activities'!K291,108))</x:f>
        <x:v>0</x:v>
      </x:c>
      <x:c r="X291" s="23" t="n">
        <x:f>MAX(0,MIN('Activities'!L291,120)-MAX('Activities'!K291,114))</x:f>
        <x:v>0</x:v>
      </x:c>
      <x:c r="Y291" s="23" t="n">
        <x:f>MAX(0,MIN('Activities'!L291,126)-MAX('Activities'!K291,120))</x:f>
        <x:v>0</x:v>
      </x:c>
      <x:c r="Z291" s="23" t="n">
        <x:f>MAX(0,MIN('Activities'!L291,132)-MAX('Activities'!K291,126))</x:f>
        <x:v>0</x:v>
      </x:c>
      <x:c r="AA291" s="23" t="n">
        <x:f>MAX(0,MIN('Activities'!L291,138)-MAX('Activities'!K291,132))</x:f>
        <x:v>0</x:v>
      </x:c>
      <x:c r="AB291" s="23" t="n">
        <x:f>MAX(0,MIN('Activities'!L291,144)-MAX('Activities'!K291,138))</x:f>
        <x:v>0</x:v>
      </x:c>
      <x:c r="AC291" s="23" t="n">
        <x:f>MAX(0,MIN('Activities'!L291,150)-MAX('Activities'!K291,144))</x:f>
        <x:v>0</x:v>
      </x:c>
      <x:c r="AD291" s="23" t="n">
        <x:f>MAX(0,MIN('Activities'!L291,156)-MAX('Activities'!K291,150))</x:f>
        <x:v>0</x:v>
      </x:c>
      <x:c r="AE291" s="23" t="n">
        <x:f>MAX(0,MIN('Activities'!L291,162)-MAX('Activities'!K291,156))</x:f>
        <x:v>0</x:v>
      </x:c>
      <x:c r="AF291" s="23" t="n">
        <x:f>MAX(0,MIN('Activities'!L291,168)-MAX('Activities'!K291,162))</x:f>
        <x:v>0</x:v>
      </x:c>
      <x:c r="AG291" s="23" t="n">
        <x:f>MAX(0,MIN('Activities'!L291,174)-MAX('Activities'!K291,168))</x:f>
        <x:v>0</x:v>
      </x:c>
      <x:c r="AH291" s="23" t="n">
        <x:f>MAX(0,MIN('Activities'!L291,180)-MAX('Activities'!K291,174))</x:f>
        <x:v>0</x:v>
      </x:c>
      <x:c r="AI291" s="23" t="n">
        <x:f>MAX(0,MIN('Activities'!L291,186)-MAX('Activities'!K291,180))</x:f>
        <x:v>0</x:v>
      </x:c>
      <x:c r="AJ291" s="23" t="n">
        <x:f>MAX(0,MIN('Activities'!L291,192)-MAX('Activities'!K291,186))</x:f>
        <x:v>0</x:v>
      </x:c>
      <x:c r="AK291" s="23" t="n">
        <x:f>MAX(0,MIN('Activities'!L291,198)-MAX('Activities'!K291,192))</x:f>
        <x:v>0</x:v>
      </x:c>
      <x:c r="AL291" s="23" t="n">
        <x:f>MAX(0,MIN('Activities'!L291,204)-MAX('Activities'!K291,198))</x:f>
        <x:v>4</x:v>
      </x:c>
      <x:c r="AM291" s="23" t="n">
        <x:f>MAX(0,MIN('Activities'!L291,210)-MAX('Activities'!K291,204))</x:f>
        <x:v>1</x:v>
      </x:c>
      <x:c r="AN291" s="23" t="n">
        <x:f>MAX(0,MIN('Activities'!L291,216)-MAX('Activities'!K291,210))</x:f>
        <x:v>0</x:v>
      </x:c>
      <x:c r="AO291" s="23" t="n">
        <x:f>MAX(0,MIN('Activities'!L291,222)-MAX('Activities'!K291,216))</x:f>
        <x:v>0</x:v>
      </x:c>
      <x:c r="AP291" s="23" t="n">
        <x:f>MAX(0,MIN('Activities'!L291,228)-MAX('Activities'!K291,222))</x:f>
        <x:v>0</x:v>
      </x:c>
      <x:c r="AQ291" s="23" t="n">
        <x:f>MAX(0,MIN('Activities'!L291,234)-MAX('Activities'!K291,228))</x:f>
        <x:v>0</x:v>
      </x:c>
      <x:c r="AR291" s="23" t="n">
        <x:f>MAX(0,MIN('Activities'!L291,240)-MAX('Activities'!K291,234))</x:f>
        <x:v>0</x:v>
      </x:c>
      <x:c r="AS291" s="23" t="n">
        <x:f>MAX(0,MIN('Activities'!L291,246)-MAX('Activities'!K291,240))</x:f>
        <x:v>0</x:v>
      </x:c>
      <x:c r="AT291" s="23" t="n">
        <x:f>MAX(0,MIN('Activities'!L291,252)-MAX('Activities'!K291,246))</x:f>
        <x:v>0</x:v>
      </x:c>
      <x:c r="AU291" s="23" t="n">
        <x:f>MAX(0,MIN('Activities'!L291,258)-MAX('Activities'!K291,252))</x:f>
        <x:v>0</x:v>
      </x:c>
      <x:c r="AV291" s="23" t="n">
        <x:f>MAX(0,MIN('Activities'!L291,264)-MAX('Activities'!K291,258))</x:f>
        <x:v>0</x:v>
      </x:c>
      <x:c r="AW291" s="23" t="n">
        <x:f>MAX(0,MIN('Activities'!L291,270)-MAX('Activities'!K291,264))</x:f>
        <x:v>0</x:v>
      </x:c>
      <x:c r="AX291" s="23" t="n">
        <x:f>MAX(0,MIN('Activities'!L291,276)-MAX('Activities'!K291,270))</x:f>
        <x:v>0</x:v>
      </x:c>
      <x:c r="AY291" s="23" t="n">
        <x:f>MAX(0,MIN('Activities'!L291,282)-MAX('Activities'!K291,276))</x:f>
        <x:v>0</x:v>
      </x:c>
      <x:c r="AZ291" s="23" t="n">
        <x:f>MAX(0,MIN('Activities'!L291,288)-MAX('Activities'!K291,282))</x:f>
        <x:v>0</x:v>
      </x:c>
      <x:c r="BA291" s="23" t="n">
        <x:f>MAX(0,MIN('Activities'!L291,294)-MAX('Activities'!K291,288))</x:f>
        <x:v>0</x:v>
      </x:c>
      <x:c r="BB291" s="23" t="n">
        <x:f>MAX(0,MIN('Activities'!L291,300)-MAX('Activities'!K291,294))</x:f>
        <x:v>0</x:v>
      </x:c>
      <x:c r="BC291" s="23" t="n">
        <x:f>MAX(0,MIN('Activities'!L291,306)-MAX('Activities'!K291,300))</x:f>
        <x:v>0</x:v>
      </x:c>
      <x:c r="BD291" s="23" t="n">
        <x:f>MAX(0,MIN('Activities'!L291,312)-MAX('Activities'!K291,306))</x:f>
        <x:v>0</x:v>
      </x:c>
      <x:c r="BE291" s="23" t="n">
        <x:f>MAX(0,MIN('Activities'!L291,318)-MAX('Activities'!K291,312))</x:f>
        <x:v>0</x:v>
      </x:c>
      <x:c r="BF291" s="23" t="n">
        <x:f>MAX(0,MIN('Activities'!L291,324)-MAX('Activities'!K291,318))</x:f>
        <x:v>0</x:v>
      </x:c>
      <x:c r="BG291" s="23" t="n">
        <x:f>MAX(0,MIN('Activities'!L291,330)-MAX('Activities'!K291,324))</x:f>
        <x:v>0</x:v>
      </x:c>
      <x:c r="BH291" s="23" t="n">
        <x:f>MAX(0,MIN('Activities'!L291,336)-MAX('Activities'!K291,330))</x:f>
        <x:v>0</x:v>
      </x:c>
      <x:c r="BI291" s="23" t="n">
        <x:f>MAX(0,MIN('Activities'!L291,342)-MAX('Activities'!K291,336))</x:f>
        <x:v>0</x:v>
      </x:c>
      <x:c r="BJ291" s="23" t="n">
        <x:f>MAX(0,MIN('Activities'!L291,348)-MAX('Activities'!K291,342))</x:f>
        <x:v>0</x:v>
      </x:c>
      <x:c r="BK291" s="23" t="n">
        <x:f>MAX(0,MIN('Activities'!L291,354)-MAX('Activities'!K291,348))</x:f>
        <x:v>0</x:v>
      </x:c>
      <x:c r="BL291" s="23" t="n">
        <x:f>MAX(0,MIN('Activities'!L291,360)-MAX('Activities'!K291,354))</x:f>
        <x:v>0</x:v>
      </x:c>
      <x:c r="BM291" s="23" t="n">
        <x:f>MAX(0,MIN('Activities'!L291,366)-MAX('Activities'!K291,360))</x:f>
        <x:v>0</x:v>
      </x:c>
      <x:c r="BN291" s="23" t="n">
        <x:f>MAX(0,MIN('Activities'!L291,372)-MAX('Activities'!K291,366))</x:f>
        <x:v>0</x:v>
      </x:c>
      <x:c r="BO291" s="23" t="n">
        <x:f>MAX(0,MIN('Activities'!L291,378)-MAX('Activities'!K291,372))</x:f>
        <x:v>0</x:v>
      </x:c>
      <x:c r="BP291" s="23" t="n">
        <x:f>MAX(0,MIN('Activities'!L291,384)-MAX('Activities'!K291,378))</x:f>
        <x:v>0</x:v>
      </x:c>
      <x:c r="BQ291" s="23" t="n">
        <x:f>MAX(0,MIN('Activities'!L291,390)-MAX('Activities'!K291,384))</x:f>
        <x:v>0</x:v>
      </x:c>
      <x:c r="BR291" s="23" t="n">
        <x:f>MAX(0,MIN('Activities'!L291,396)-MAX('Activities'!K291,390))</x:f>
        <x:v>0</x:v>
      </x:c>
      <x:c r="BS291" s="23" t="n">
        <x:f>MAX(0,MIN('Activities'!L291,402)-MAX('Activities'!K291,396))</x:f>
        <x:v>0</x:v>
      </x:c>
      <x:c r="BT291" s="23" t="n">
        <x:f>MAX(0,MIN('Activities'!L291,408)-MAX('Activities'!K291,402))</x:f>
        <x:v>0</x:v>
      </x:c>
      <x:c r="BU291" s="23" t="n">
        <x:f>MAX(0,MIN('Activities'!L291,414)-MAX('Activities'!K291,408))</x:f>
        <x:v>0</x:v>
      </x:c>
      <x:c r="BV291" s="23" t="n">
        <x:f>MAX(0,MIN('Activities'!L291,420)-MAX('Activities'!K291,414))</x:f>
        <x:v>0</x:v>
      </x:c>
      <x:c r="BW291" s="23" t="n">
        <x:f>MAX(0,MIN('Activities'!L291,426)-MAX('Activities'!K291,420))</x:f>
        <x:v>0</x:v>
      </x:c>
      <x:c r="BX291" s="23" t="n">
        <x:f>MAX(0,MIN('Activities'!L291,432)-MAX('Activities'!K291,426))</x:f>
        <x:v>0</x:v>
      </x:c>
      <x:c r="BY291" s="23" t="n">
        <x:f>MAX(0,MIN('Activities'!L291,438)-MAX('Activities'!K291,432))</x:f>
        <x:v>0</x:v>
      </x:c>
      <x:c r="BZ291" s="23" t="n">
        <x:f>MAX(0,MIN('Activities'!L291,444)-MAX('Activities'!K291,438))</x:f>
        <x:v>0</x:v>
      </x:c>
      <x:c r="CA291" s="23" t="n">
        <x:f>MAX(0,MIN('Activities'!L291,450)-MAX('Activities'!K291,444))</x:f>
        <x:v>0</x:v>
      </x:c>
      <x:c r="CB291" s="23" t="n">
        <x:f>MAX(0,MIN('Activities'!L291,456)-MAX('Activities'!K291,450))</x:f>
        <x:v>0</x:v>
      </x:c>
      <x:c r="CC291" s="23" t="n">
        <x:f>MAX(0,MIN('Activities'!L291,462)-MAX('Activities'!K291,456))</x:f>
        <x:v>0</x:v>
      </x:c>
      <x:c r="CD291" s="23" t="n">
        <x:f>MAX(0,MIN('Activities'!L291,468)-MAX('Activities'!K291,462))</x:f>
        <x:v>0</x:v>
      </x:c>
      <x:c r="CE291" s="23" t="n">
        <x:f>MAX(0,MIN('Activities'!L291,474)-MAX('Activities'!K291,468))</x:f>
        <x:v>0</x:v>
      </x:c>
      <x:c r="CF291" s="23" t="n">
        <x:f>MAX(0,MIN('Activities'!L291,480)-MAX('Activities'!K291,474))</x:f>
        <x:v>0</x:v>
      </x:c>
      <x:c r="CG291" s="23" t="n">
        <x:f>MAX(0,MIN('Activities'!L291,486)-MAX('Activities'!K291,480))</x:f>
        <x:v>0</x:v>
      </x:c>
      <x:c r="CH291" s="23" t="n">
        <x:f>MAX(0,MIN('Activities'!L291,492)-MAX('Activities'!K291,486))</x:f>
        <x:v>0</x:v>
      </x:c>
      <x:c r="CI291" s="23" t="n">
        <x:f>MAX(0,MIN('Activities'!L291,498)-MAX('Activities'!K291,492))</x:f>
        <x:v>0</x:v>
      </x:c>
      <x:c r="CJ291" s="23" t="n">
        <x:f>MAX(0,MIN('Activities'!L291,504)-MAX('Activities'!K291,498))</x:f>
        <x:v>0</x:v>
      </x:c>
      <x:c r="CK291" s="23" t="n">
        <x:f>MAX(0,MIN('Activities'!L291,510)-MAX('Activities'!K291,504))</x:f>
        <x:v>0</x:v>
      </x:c>
      <x:c r="CL291" s="23" t="n">
        <x:f>MAX(0,MIN('Activities'!L291,516)-MAX('Activities'!K291,510))</x:f>
        <x:v>0</x:v>
      </x:c>
      <x:c r="CM291" s="23" t="n">
        <x:f>MAX(0,MIN('Activities'!L291,522)-MAX('Activities'!K291,516))</x:f>
        <x:v>0</x:v>
      </x:c>
      <x:c r="CN291" s="23" t="n">
        <x:f>MAX(0,MIN('Activities'!L291,528)-MAX('Activities'!K291,522))</x:f>
        <x:v>0</x:v>
      </x:c>
      <x:c r="CO291" s="23" t="n">
        <x:f>MAX(0,MIN('Activities'!L291,534)-MAX('Activities'!K291,528))</x:f>
        <x:v>0</x:v>
      </x:c>
      <x:c r="CP291" s="23" t="n">
        <x:f>MAX(0,MIN('Activities'!L291,540)-MAX('Activities'!K291,534))</x:f>
        <x:v>0</x:v>
      </x:c>
      <x:c r="CQ291" s="23" t="n">
        <x:f>MAX(0,MIN('Activities'!L291,546)-MAX('Activities'!K291,540))</x:f>
        <x:v>0</x:v>
      </x:c>
      <x:c r="CR291" s="23" t="n">
        <x:f>MAX(0,MIN('Activities'!L291,552)-MAX('Activities'!K291,546))</x:f>
        <x:v>0</x:v>
      </x:c>
      <x:c r="CS291" s="23" t="n">
        <x:f>MAX(0,MIN('Activities'!L291,558)-MAX('Activities'!K291,552))</x:f>
        <x:v>0</x:v>
      </x:c>
      <x:c r="CT291" s="23" t="n">
        <x:f>MAX(0,MIN('Activities'!L291,564)-MAX('Activities'!K291,558))</x:f>
        <x:v>0</x:v>
      </x:c>
      <x:c r="CU291" s="23" t="n">
        <x:f>MAX(0,MIN('Activities'!L291,570)-MAX('Activities'!K291,564))</x:f>
        <x:v>0</x:v>
      </x:c>
      <x:c r="CV291" s="23" t="n">
        <x:f>MAX(0,MIN('Activities'!L291,576)-MAX('Activities'!K291,570))</x:f>
        <x:v>0</x:v>
      </x:c>
      <x:c r="CW291" s="23" t="n">
        <x:f>MAX(0,MIN('Activities'!L291,582)-MAX('Activities'!K291,576))</x:f>
        <x:v>0</x:v>
      </x:c>
      <x:c r="CX291" s="23" t="n">
        <x:f>MAX(0,MIN('Activities'!L291,588)-MAX('Activities'!K291,582))</x:f>
        <x:v>0</x:v>
      </x:c>
      <x:c r="CY291" s="23" t="n">
        <x:f>MAX(0,MIN('Activities'!L291,594)-MAX('Activities'!K291,588))</x:f>
        <x:v>0</x:v>
      </x:c>
      <x:c r="CZ291" s="23" t="n">
        <x:f>MAX(0,MIN('Activities'!L291,600)-MAX('Activities'!K291,594))</x:f>
        <x:v>0</x:v>
      </x:c>
      <x:c r="DA291" s="23" t="n">
        <x:f>MAX(0,MIN('Activities'!L291,606)-MAX('Activities'!K291,600))</x:f>
        <x:v>0</x:v>
      </x:c>
      <x:c r="DB291" s="23" t="n">
        <x:f>MAX(0,MIN('Activities'!L291,612)-MAX('Activities'!K291,606))</x:f>
        <x:v>0</x:v>
      </x:c>
      <x:c r="DC291" s="23" t="n">
        <x:f>MAX(0,MIN('Activities'!L291,618)-MAX('Activities'!K291,612))</x:f>
        <x:v>0</x:v>
      </x:c>
      <x:c r="DD291" s="23" t="n">
        <x:f>MAX(0,MIN('Activities'!L291,624)-MAX('Activities'!K291,618))</x:f>
        <x:v>0</x:v>
      </x:c>
      <x:c r="DE291" s="23" t="n">
        <x:f>MAX(0,MIN('Activities'!L291,630)-MAX('Activities'!K291,624))</x:f>
        <x:v>0</x:v>
      </x:c>
      <x:c r="DF291" s="23" t="n">
        <x:f>MAX(0,MIN('Activities'!L291,636)-MAX('Activities'!K291,630))</x:f>
        <x:v>0</x:v>
      </x:c>
    </x:row>
    <x:row r="292" ht="23" customHeight="1">
      <x:c r="A292" s="6" t="str">
        <x:v>T3-L02-C</x:v>
      </x:c>
      <x:c r="B292" s="6" t="str">
        <x:v>T3</x:v>
      </x:c>
      <x:c r="C292" s="6" t="str">
        <x:v>Concrete placement and finishing</x:v>
      </x:c>
      <x:c r="D292" s="6" t="str">
        <x:v>Concrete</x:v>
      </x:c>
      <x:c r="E292" s="22" t="n">
        <x:f>MAX(0,MIN('Activities'!L292,6)-MAX('Activities'!K292,0))</x:f>
        <x:v>0</x:v>
      </x:c>
      <x:c r="F292" s="22" t="n">
        <x:f>MAX(0,MIN('Activities'!L292,12)-MAX('Activities'!K292,6))</x:f>
        <x:v>0</x:v>
      </x:c>
      <x:c r="G292" s="22" t="n">
        <x:f>MAX(0,MIN('Activities'!L292,18)-MAX('Activities'!K292,12))</x:f>
        <x:v>0</x:v>
      </x:c>
      <x:c r="H292" s="22" t="n">
        <x:f>MAX(0,MIN('Activities'!L292,24)-MAX('Activities'!K292,18))</x:f>
        <x:v>0</x:v>
      </x:c>
      <x:c r="I292" s="22" t="n">
        <x:f>MAX(0,MIN('Activities'!L292,30)-MAX('Activities'!K292,24))</x:f>
        <x:v>0</x:v>
      </x:c>
      <x:c r="J292" s="22" t="n">
        <x:f>MAX(0,MIN('Activities'!L292,36)-MAX('Activities'!K292,30))</x:f>
        <x:v>0</x:v>
      </x:c>
      <x:c r="K292" s="22" t="n">
        <x:f>MAX(0,MIN('Activities'!L292,42)-MAX('Activities'!K292,36))</x:f>
        <x:v>0</x:v>
      </x:c>
      <x:c r="L292" s="22" t="n">
        <x:f>MAX(0,MIN('Activities'!L292,48)-MAX('Activities'!K292,42))</x:f>
        <x:v>0</x:v>
      </x:c>
      <x:c r="M292" s="22" t="n">
        <x:f>MAX(0,MIN('Activities'!L292,54)-MAX('Activities'!K292,48))</x:f>
        <x:v>0</x:v>
      </x:c>
      <x:c r="N292" s="22" t="n">
        <x:f>MAX(0,MIN('Activities'!L292,60)-MAX('Activities'!K292,54))</x:f>
        <x:v>0</x:v>
      </x:c>
      <x:c r="O292" s="22" t="n">
        <x:f>MAX(0,MIN('Activities'!L292,66)-MAX('Activities'!K292,60))</x:f>
        <x:v>0</x:v>
      </x:c>
      <x:c r="P292" s="22" t="n">
        <x:f>MAX(0,MIN('Activities'!L292,72)-MAX('Activities'!K292,66))</x:f>
        <x:v>0</x:v>
      </x:c>
      <x:c r="Q292" s="22" t="n">
        <x:f>MAX(0,MIN('Activities'!L292,78)-MAX('Activities'!K292,72))</x:f>
        <x:v>0</x:v>
      </x:c>
      <x:c r="R292" s="22" t="n">
        <x:f>MAX(0,MIN('Activities'!L292,84)-MAX('Activities'!K292,78))</x:f>
        <x:v>0</x:v>
      </x:c>
      <x:c r="S292" s="22" t="n">
        <x:f>MAX(0,MIN('Activities'!L292,90)-MAX('Activities'!K292,84))</x:f>
        <x:v>0</x:v>
      </x:c>
      <x:c r="T292" s="22" t="n">
        <x:f>MAX(0,MIN('Activities'!L292,96)-MAX('Activities'!K292,90))</x:f>
        <x:v>0</x:v>
      </x:c>
      <x:c r="U292" s="22" t="n">
        <x:f>MAX(0,MIN('Activities'!L292,102)-MAX('Activities'!K292,96))</x:f>
        <x:v>0</x:v>
      </x:c>
      <x:c r="V292" s="22" t="n">
        <x:f>MAX(0,MIN('Activities'!L292,108)-MAX('Activities'!K292,102))</x:f>
        <x:v>0</x:v>
      </x:c>
      <x:c r="W292" s="22" t="n">
        <x:f>MAX(0,MIN('Activities'!L292,114)-MAX('Activities'!K292,108))</x:f>
        <x:v>0</x:v>
      </x:c>
      <x:c r="X292" s="22" t="n">
        <x:f>MAX(0,MIN('Activities'!L292,120)-MAX('Activities'!K292,114))</x:f>
        <x:v>0</x:v>
      </x:c>
      <x:c r="Y292" s="22" t="n">
        <x:f>MAX(0,MIN('Activities'!L292,126)-MAX('Activities'!K292,120))</x:f>
        <x:v>0</x:v>
      </x:c>
      <x:c r="Z292" s="22" t="n">
        <x:f>MAX(0,MIN('Activities'!L292,132)-MAX('Activities'!K292,126))</x:f>
        <x:v>0</x:v>
      </x:c>
      <x:c r="AA292" s="22" t="n">
        <x:f>MAX(0,MIN('Activities'!L292,138)-MAX('Activities'!K292,132))</x:f>
        <x:v>0</x:v>
      </x:c>
      <x:c r="AB292" s="22" t="n">
        <x:f>MAX(0,MIN('Activities'!L292,144)-MAX('Activities'!K292,138))</x:f>
        <x:v>0</x:v>
      </x:c>
      <x:c r="AC292" s="22" t="n">
        <x:f>MAX(0,MIN('Activities'!L292,150)-MAX('Activities'!K292,144))</x:f>
        <x:v>0</x:v>
      </x:c>
      <x:c r="AD292" s="22" t="n">
        <x:f>MAX(0,MIN('Activities'!L292,156)-MAX('Activities'!K292,150))</x:f>
        <x:v>0</x:v>
      </x:c>
      <x:c r="AE292" s="22" t="n">
        <x:f>MAX(0,MIN('Activities'!L292,162)-MAX('Activities'!K292,156))</x:f>
        <x:v>0</x:v>
      </x:c>
      <x:c r="AF292" s="22" t="n">
        <x:f>MAX(0,MIN('Activities'!L292,168)-MAX('Activities'!K292,162))</x:f>
        <x:v>0</x:v>
      </x:c>
      <x:c r="AG292" s="22" t="n">
        <x:f>MAX(0,MIN('Activities'!L292,174)-MAX('Activities'!K292,168))</x:f>
        <x:v>0</x:v>
      </x:c>
      <x:c r="AH292" s="22" t="n">
        <x:f>MAX(0,MIN('Activities'!L292,180)-MAX('Activities'!K292,174))</x:f>
        <x:v>0</x:v>
      </x:c>
      <x:c r="AI292" s="22" t="n">
        <x:f>MAX(0,MIN('Activities'!L292,186)-MAX('Activities'!K292,180))</x:f>
        <x:v>0</x:v>
      </x:c>
      <x:c r="AJ292" s="22" t="n">
        <x:f>MAX(0,MIN('Activities'!L292,192)-MAX('Activities'!K292,186))</x:f>
        <x:v>0</x:v>
      </x:c>
      <x:c r="AK292" s="22" t="n">
        <x:f>MAX(0,MIN('Activities'!L292,198)-MAX('Activities'!K292,192))</x:f>
        <x:v>0</x:v>
      </x:c>
      <x:c r="AL292" s="22" t="n">
        <x:f>MAX(0,MIN('Activities'!L292,204)-MAX('Activities'!K292,198))</x:f>
        <x:v>0</x:v>
      </x:c>
      <x:c r="AM292" s="22" t="n">
        <x:f>MAX(0,MIN('Activities'!L292,210)-MAX('Activities'!K292,204))</x:f>
        <x:v>2</x:v>
      </x:c>
      <x:c r="AN292" s="22" t="n">
        <x:f>MAX(0,MIN('Activities'!L292,216)-MAX('Activities'!K292,210))</x:f>
        <x:v>0</x:v>
      </x:c>
      <x:c r="AO292" s="22" t="n">
        <x:f>MAX(0,MIN('Activities'!L292,222)-MAX('Activities'!K292,216))</x:f>
        <x:v>0</x:v>
      </x:c>
      <x:c r="AP292" s="22" t="n">
        <x:f>MAX(0,MIN('Activities'!L292,228)-MAX('Activities'!K292,222))</x:f>
        <x:v>0</x:v>
      </x:c>
      <x:c r="AQ292" s="22" t="n">
        <x:f>MAX(0,MIN('Activities'!L292,234)-MAX('Activities'!K292,228))</x:f>
        <x:v>0</x:v>
      </x:c>
      <x:c r="AR292" s="22" t="n">
        <x:f>MAX(0,MIN('Activities'!L292,240)-MAX('Activities'!K292,234))</x:f>
        <x:v>0</x:v>
      </x:c>
      <x:c r="AS292" s="22" t="n">
        <x:f>MAX(0,MIN('Activities'!L292,246)-MAX('Activities'!K292,240))</x:f>
        <x:v>0</x:v>
      </x:c>
      <x:c r="AT292" s="22" t="n">
        <x:f>MAX(0,MIN('Activities'!L292,252)-MAX('Activities'!K292,246))</x:f>
        <x:v>0</x:v>
      </x:c>
      <x:c r="AU292" s="22" t="n">
        <x:f>MAX(0,MIN('Activities'!L292,258)-MAX('Activities'!K292,252))</x:f>
        <x:v>0</x:v>
      </x:c>
      <x:c r="AV292" s="22" t="n">
        <x:f>MAX(0,MIN('Activities'!L292,264)-MAX('Activities'!K292,258))</x:f>
        <x:v>0</x:v>
      </x:c>
      <x:c r="AW292" s="22" t="n">
        <x:f>MAX(0,MIN('Activities'!L292,270)-MAX('Activities'!K292,264))</x:f>
        <x:v>0</x:v>
      </x:c>
      <x:c r="AX292" s="22" t="n">
        <x:f>MAX(0,MIN('Activities'!L292,276)-MAX('Activities'!K292,270))</x:f>
        <x:v>0</x:v>
      </x:c>
      <x:c r="AY292" s="22" t="n">
        <x:f>MAX(0,MIN('Activities'!L292,282)-MAX('Activities'!K292,276))</x:f>
        <x:v>0</x:v>
      </x:c>
      <x:c r="AZ292" s="22" t="n">
        <x:f>MAX(0,MIN('Activities'!L292,288)-MAX('Activities'!K292,282))</x:f>
        <x:v>0</x:v>
      </x:c>
      <x:c r="BA292" s="22" t="n">
        <x:f>MAX(0,MIN('Activities'!L292,294)-MAX('Activities'!K292,288))</x:f>
        <x:v>0</x:v>
      </x:c>
      <x:c r="BB292" s="22" t="n">
        <x:f>MAX(0,MIN('Activities'!L292,300)-MAX('Activities'!K292,294))</x:f>
        <x:v>0</x:v>
      </x:c>
      <x:c r="BC292" s="22" t="n">
        <x:f>MAX(0,MIN('Activities'!L292,306)-MAX('Activities'!K292,300))</x:f>
        <x:v>0</x:v>
      </x:c>
      <x:c r="BD292" s="22" t="n">
        <x:f>MAX(0,MIN('Activities'!L292,312)-MAX('Activities'!K292,306))</x:f>
        <x:v>0</x:v>
      </x:c>
      <x:c r="BE292" s="22" t="n">
        <x:f>MAX(0,MIN('Activities'!L292,318)-MAX('Activities'!K292,312))</x:f>
        <x:v>0</x:v>
      </x:c>
      <x:c r="BF292" s="22" t="n">
        <x:f>MAX(0,MIN('Activities'!L292,324)-MAX('Activities'!K292,318))</x:f>
        <x:v>0</x:v>
      </x:c>
      <x:c r="BG292" s="22" t="n">
        <x:f>MAX(0,MIN('Activities'!L292,330)-MAX('Activities'!K292,324))</x:f>
        <x:v>0</x:v>
      </x:c>
      <x:c r="BH292" s="22" t="n">
        <x:f>MAX(0,MIN('Activities'!L292,336)-MAX('Activities'!K292,330))</x:f>
        <x:v>0</x:v>
      </x:c>
      <x:c r="BI292" s="22" t="n">
        <x:f>MAX(0,MIN('Activities'!L292,342)-MAX('Activities'!K292,336))</x:f>
        <x:v>0</x:v>
      </x:c>
      <x:c r="BJ292" s="22" t="n">
        <x:f>MAX(0,MIN('Activities'!L292,348)-MAX('Activities'!K292,342))</x:f>
        <x:v>0</x:v>
      </x:c>
      <x:c r="BK292" s="22" t="n">
        <x:f>MAX(0,MIN('Activities'!L292,354)-MAX('Activities'!K292,348))</x:f>
        <x:v>0</x:v>
      </x:c>
      <x:c r="BL292" s="22" t="n">
        <x:f>MAX(0,MIN('Activities'!L292,360)-MAX('Activities'!K292,354))</x:f>
        <x:v>0</x:v>
      </x:c>
      <x:c r="BM292" s="22" t="n">
        <x:f>MAX(0,MIN('Activities'!L292,366)-MAX('Activities'!K292,360))</x:f>
        <x:v>0</x:v>
      </x:c>
      <x:c r="BN292" s="22" t="n">
        <x:f>MAX(0,MIN('Activities'!L292,372)-MAX('Activities'!K292,366))</x:f>
        <x:v>0</x:v>
      </x:c>
      <x:c r="BO292" s="22" t="n">
        <x:f>MAX(0,MIN('Activities'!L292,378)-MAX('Activities'!K292,372))</x:f>
        <x:v>0</x:v>
      </x:c>
      <x:c r="BP292" s="22" t="n">
        <x:f>MAX(0,MIN('Activities'!L292,384)-MAX('Activities'!K292,378))</x:f>
        <x:v>0</x:v>
      </x:c>
      <x:c r="BQ292" s="22" t="n">
        <x:f>MAX(0,MIN('Activities'!L292,390)-MAX('Activities'!K292,384))</x:f>
        <x:v>0</x:v>
      </x:c>
      <x:c r="BR292" s="22" t="n">
        <x:f>MAX(0,MIN('Activities'!L292,396)-MAX('Activities'!K292,390))</x:f>
        <x:v>0</x:v>
      </x:c>
      <x:c r="BS292" s="22" t="n">
        <x:f>MAX(0,MIN('Activities'!L292,402)-MAX('Activities'!K292,396))</x:f>
        <x:v>0</x:v>
      </x:c>
      <x:c r="BT292" s="22" t="n">
        <x:f>MAX(0,MIN('Activities'!L292,408)-MAX('Activities'!K292,402))</x:f>
        <x:v>0</x:v>
      </x:c>
      <x:c r="BU292" s="22" t="n">
        <x:f>MAX(0,MIN('Activities'!L292,414)-MAX('Activities'!K292,408))</x:f>
        <x:v>0</x:v>
      </x:c>
      <x:c r="BV292" s="22" t="n">
        <x:f>MAX(0,MIN('Activities'!L292,420)-MAX('Activities'!K292,414))</x:f>
        <x:v>0</x:v>
      </x:c>
      <x:c r="BW292" s="22" t="n">
        <x:f>MAX(0,MIN('Activities'!L292,426)-MAX('Activities'!K292,420))</x:f>
        <x:v>0</x:v>
      </x:c>
      <x:c r="BX292" s="22" t="n">
        <x:f>MAX(0,MIN('Activities'!L292,432)-MAX('Activities'!K292,426))</x:f>
        <x:v>0</x:v>
      </x:c>
      <x:c r="BY292" s="22" t="n">
        <x:f>MAX(0,MIN('Activities'!L292,438)-MAX('Activities'!K292,432))</x:f>
        <x:v>0</x:v>
      </x:c>
      <x:c r="BZ292" s="22" t="n">
        <x:f>MAX(0,MIN('Activities'!L292,444)-MAX('Activities'!K292,438))</x:f>
        <x:v>0</x:v>
      </x:c>
      <x:c r="CA292" s="22" t="n">
        <x:f>MAX(0,MIN('Activities'!L292,450)-MAX('Activities'!K292,444))</x:f>
        <x:v>0</x:v>
      </x:c>
      <x:c r="CB292" s="22" t="n">
        <x:f>MAX(0,MIN('Activities'!L292,456)-MAX('Activities'!K292,450))</x:f>
        <x:v>0</x:v>
      </x:c>
      <x:c r="CC292" s="22" t="n">
        <x:f>MAX(0,MIN('Activities'!L292,462)-MAX('Activities'!K292,456))</x:f>
        <x:v>0</x:v>
      </x:c>
      <x:c r="CD292" s="22" t="n">
        <x:f>MAX(0,MIN('Activities'!L292,468)-MAX('Activities'!K292,462))</x:f>
        <x:v>0</x:v>
      </x:c>
      <x:c r="CE292" s="22" t="n">
        <x:f>MAX(0,MIN('Activities'!L292,474)-MAX('Activities'!K292,468))</x:f>
        <x:v>0</x:v>
      </x:c>
      <x:c r="CF292" s="22" t="n">
        <x:f>MAX(0,MIN('Activities'!L292,480)-MAX('Activities'!K292,474))</x:f>
        <x:v>0</x:v>
      </x:c>
      <x:c r="CG292" s="22" t="n">
        <x:f>MAX(0,MIN('Activities'!L292,486)-MAX('Activities'!K292,480))</x:f>
        <x:v>0</x:v>
      </x:c>
      <x:c r="CH292" s="22" t="n">
        <x:f>MAX(0,MIN('Activities'!L292,492)-MAX('Activities'!K292,486))</x:f>
        <x:v>0</x:v>
      </x:c>
      <x:c r="CI292" s="22" t="n">
        <x:f>MAX(0,MIN('Activities'!L292,498)-MAX('Activities'!K292,492))</x:f>
        <x:v>0</x:v>
      </x:c>
      <x:c r="CJ292" s="22" t="n">
        <x:f>MAX(0,MIN('Activities'!L292,504)-MAX('Activities'!K292,498))</x:f>
        <x:v>0</x:v>
      </x:c>
      <x:c r="CK292" s="22" t="n">
        <x:f>MAX(0,MIN('Activities'!L292,510)-MAX('Activities'!K292,504))</x:f>
        <x:v>0</x:v>
      </x:c>
      <x:c r="CL292" s="22" t="n">
        <x:f>MAX(0,MIN('Activities'!L292,516)-MAX('Activities'!K292,510))</x:f>
        <x:v>0</x:v>
      </x:c>
      <x:c r="CM292" s="22" t="n">
        <x:f>MAX(0,MIN('Activities'!L292,522)-MAX('Activities'!K292,516))</x:f>
        <x:v>0</x:v>
      </x:c>
      <x:c r="CN292" s="22" t="n">
        <x:f>MAX(0,MIN('Activities'!L292,528)-MAX('Activities'!K292,522))</x:f>
        <x:v>0</x:v>
      </x:c>
      <x:c r="CO292" s="22" t="n">
        <x:f>MAX(0,MIN('Activities'!L292,534)-MAX('Activities'!K292,528))</x:f>
        <x:v>0</x:v>
      </x:c>
      <x:c r="CP292" s="22" t="n">
        <x:f>MAX(0,MIN('Activities'!L292,540)-MAX('Activities'!K292,534))</x:f>
        <x:v>0</x:v>
      </x:c>
      <x:c r="CQ292" s="22" t="n">
        <x:f>MAX(0,MIN('Activities'!L292,546)-MAX('Activities'!K292,540))</x:f>
        <x:v>0</x:v>
      </x:c>
      <x:c r="CR292" s="22" t="n">
        <x:f>MAX(0,MIN('Activities'!L292,552)-MAX('Activities'!K292,546))</x:f>
        <x:v>0</x:v>
      </x:c>
      <x:c r="CS292" s="22" t="n">
        <x:f>MAX(0,MIN('Activities'!L292,558)-MAX('Activities'!K292,552))</x:f>
        <x:v>0</x:v>
      </x:c>
      <x:c r="CT292" s="22" t="n">
        <x:f>MAX(0,MIN('Activities'!L292,564)-MAX('Activities'!K292,558))</x:f>
        <x:v>0</x:v>
      </x:c>
      <x:c r="CU292" s="22" t="n">
        <x:f>MAX(0,MIN('Activities'!L292,570)-MAX('Activities'!K292,564))</x:f>
        <x:v>0</x:v>
      </x:c>
      <x:c r="CV292" s="22" t="n">
        <x:f>MAX(0,MIN('Activities'!L292,576)-MAX('Activities'!K292,570))</x:f>
        <x:v>0</x:v>
      </x:c>
      <x:c r="CW292" s="22" t="n">
        <x:f>MAX(0,MIN('Activities'!L292,582)-MAX('Activities'!K292,576))</x:f>
        <x:v>0</x:v>
      </x:c>
      <x:c r="CX292" s="22" t="n">
        <x:f>MAX(0,MIN('Activities'!L292,588)-MAX('Activities'!K292,582))</x:f>
        <x:v>0</x:v>
      </x:c>
      <x:c r="CY292" s="22" t="n">
        <x:f>MAX(0,MIN('Activities'!L292,594)-MAX('Activities'!K292,588))</x:f>
        <x:v>0</x:v>
      </x:c>
      <x:c r="CZ292" s="22" t="n">
        <x:f>MAX(0,MIN('Activities'!L292,600)-MAX('Activities'!K292,594))</x:f>
        <x:v>0</x:v>
      </x:c>
      <x:c r="DA292" s="22" t="n">
        <x:f>MAX(0,MIN('Activities'!L292,606)-MAX('Activities'!K292,600))</x:f>
        <x:v>0</x:v>
      </x:c>
      <x:c r="DB292" s="22" t="n">
        <x:f>MAX(0,MIN('Activities'!L292,612)-MAX('Activities'!K292,606))</x:f>
        <x:v>0</x:v>
      </x:c>
      <x:c r="DC292" s="22" t="n">
        <x:f>MAX(0,MIN('Activities'!L292,618)-MAX('Activities'!K292,612))</x:f>
        <x:v>0</x:v>
      </x:c>
      <x:c r="DD292" s="22" t="n">
        <x:f>MAX(0,MIN('Activities'!L292,624)-MAX('Activities'!K292,618))</x:f>
        <x:v>0</x:v>
      </x:c>
      <x:c r="DE292" s="22" t="n">
        <x:f>MAX(0,MIN('Activities'!L292,630)-MAX('Activities'!K292,624))</x:f>
        <x:v>0</x:v>
      </x:c>
      <x:c r="DF292" s="22" t="n">
        <x:f>MAX(0,MIN('Activities'!L292,636)-MAX('Activities'!K292,630))</x:f>
        <x:v>0</x:v>
      </x:c>
    </x:row>
    <x:row r="293" ht="23" customHeight="1">
      <x:c r="A293" s="1" t="str">
        <x:v>T3-L02-H</x:v>
      </x:c>
      <x:c r="B293" s="1" t="str">
        <x:v>T3</x:v>
      </x:c>
      <x:c r="C293" s="1" t="str">
        <x:v>Curing and release hold point</x:v>
      </x:c>
      <x:c r="D293" s="1" t="str">
        <x:v>Site</x:v>
      </x:c>
      <x:c r="E293" s="23" t="n">
        <x:f>MAX(0,MIN('Activities'!L293,6)-MAX('Activities'!K293,0))</x:f>
        <x:v>0</x:v>
      </x:c>
      <x:c r="F293" s="23" t="n">
        <x:f>MAX(0,MIN('Activities'!L293,12)-MAX('Activities'!K293,6))</x:f>
        <x:v>0</x:v>
      </x:c>
      <x:c r="G293" s="23" t="n">
        <x:f>MAX(0,MIN('Activities'!L293,18)-MAX('Activities'!K293,12))</x:f>
        <x:v>0</x:v>
      </x:c>
      <x:c r="H293" s="23" t="n">
        <x:f>MAX(0,MIN('Activities'!L293,24)-MAX('Activities'!K293,18))</x:f>
        <x:v>0</x:v>
      </x:c>
      <x:c r="I293" s="23" t="n">
        <x:f>MAX(0,MIN('Activities'!L293,30)-MAX('Activities'!K293,24))</x:f>
        <x:v>0</x:v>
      </x:c>
      <x:c r="J293" s="23" t="n">
        <x:f>MAX(0,MIN('Activities'!L293,36)-MAX('Activities'!K293,30))</x:f>
        <x:v>0</x:v>
      </x:c>
      <x:c r="K293" s="23" t="n">
        <x:f>MAX(0,MIN('Activities'!L293,42)-MAX('Activities'!K293,36))</x:f>
        <x:v>0</x:v>
      </x:c>
      <x:c r="L293" s="23" t="n">
        <x:f>MAX(0,MIN('Activities'!L293,48)-MAX('Activities'!K293,42))</x:f>
        <x:v>0</x:v>
      </x:c>
      <x:c r="M293" s="23" t="n">
        <x:f>MAX(0,MIN('Activities'!L293,54)-MAX('Activities'!K293,48))</x:f>
        <x:v>0</x:v>
      </x:c>
      <x:c r="N293" s="23" t="n">
        <x:f>MAX(0,MIN('Activities'!L293,60)-MAX('Activities'!K293,54))</x:f>
        <x:v>0</x:v>
      </x:c>
      <x:c r="O293" s="23" t="n">
        <x:f>MAX(0,MIN('Activities'!L293,66)-MAX('Activities'!K293,60))</x:f>
        <x:v>0</x:v>
      </x:c>
      <x:c r="P293" s="23" t="n">
        <x:f>MAX(0,MIN('Activities'!L293,72)-MAX('Activities'!K293,66))</x:f>
        <x:v>0</x:v>
      </x:c>
      <x:c r="Q293" s="23" t="n">
        <x:f>MAX(0,MIN('Activities'!L293,78)-MAX('Activities'!K293,72))</x:f>
        <x:v>0</x:v>
      </x:c>
      <x:c r="R293" s="23" t="n">
        <x:f>MAX(0,MIN('Activities'!L293,84)-MAX('Activities'!K293,78))</x:f>
        <x:v>0</x:v>
      </x:c>
      <x:c r="S293" s="23" t="n">
        <x:f>MAX(0,MIN('Activities'!L293,90)-MAX('Activities'!K293,84))</x:f>
        <x:v>0</x:v>
      </x:c>
      <x:c r="T293" s="23" t="n">
        <x:f>MAX(0,MIN('Activities'!L293,96)-MAX('Activities'!K293,90))</x:f>
        <x:v>0</x:v>
      </x:c>
      <x:c r="U293" s="23" t="n">
        <x:f>MAX(0,MIN('Activities'!L293,102)-MAX('Activities'!K293,96))</x:f>
        <x:v>0</x:v>
      </x:c>
      <x:c r="V293" s="23" t="n">
        <x:f>MAX(0,MIN('Activities'!L293,108)-MAX('Activities'!K293,102))</x:f>
        <x:v>0</x:v>
      </x:c>
      <x:c r="W293" s="23" t="n">
        <x:f>MAX(0,MIN('Activities'!L293,114)-MAX('Activities'!K293,108))</x:f>
        <x:v>0</x:v>
      </x:c>
      <x:c r="X293" s="23" t="n">
        <x:f>MAX(0,MIN('Activities'!L293,120)-MAX('Activities'!K293,114))</x:f>
        <x:v>0</x:v>
      </x:c>
      <x:c r="Y293" s="23" t="n">
        <x:f>MAX(0,MIN('Activities'!L293,126)-MAX('Activities'!K293,120))</x:f>
        <x:v>0</x:v>
      </x:c>
      <x:c r="Z293" s="23" t="n">
        <x:f>MAX(0,MIN('Activities'!L293,132)-MAX('Activities'!K293,126))</x:f>
        <x:v>0</x:v>
      </x:c>
      <x:c r="AA293" s="23" t="n">
        <x:f>MAX(0,MIN('Activities'!L293,138)-MAX('Activities'!K293,132))</x:f>
        <x:v>0</x:v>
      </x:c>
      <x:c r="AB293" s="23" t="n">
        <x:f>MAX(0,MIN('Activities'!L293,144)-MAX('Activities'!K293,138))</x:f>
        <x:v>0</x:v>
      </x:c>
      <x:c r="AC293" s="23" t="n">
        <x:f>MAX(0,MIN('Activities'!L293,150)-MAX('Activities'!K293,144))</x:f>
        <x:v>0</x:v>
      </x:c>
      <x:c r="AD293" s="23" t="n">
        <x:f>MAX(0,MIN('Activities'!L293,156)-MAX('Activities'!K293,150))</x:f>
        <x:v>0</x:v>
      </x:c>
      <x:c r="AE293" s="23" t="n">
        <x:f>MAX(0,MIN('Activities'!L293,162)-MAX('Activities'!K293,156))</x:f>
        <x:v>0</x:v>
      </x:c>
      <x:c r="AF293" s="23" t="n">
        <x:f>MAX(0,MIN('Activities'!L293,168)-MAX('Activities'!K293,162))</x:f>
        <x:v>0</x:v>
      </x:c>
      <x:c r="AG293" s="23" t="n">
        <x:f>MAX(0,MIN('Activities'!L293,174)-MAX('Activities'!K293,168))</x:f>
        <x:v>0</x:v>
      </x:c>
      <x:c r="AH293" s="23" t="n">
        <x:f>MAX(0,MIN('Activities'!L293,180)-MAX('Activities'!K293,174))</x:f>
        <x:v>0</x:v>
      </x:c>
      <x:c r="AI293" s="23" t="n">
        <x:f>MAX(0,MIN('Activities'!L293,186)-MAX('Activities'!K293,180))</x:f>
        <x:v>0</x:v>
      </x:c>
      <x:c r="AJ293" s="23" t="n">
        <x:f>MAX(0,MIN('Activities'!L293,192)-MAX('Activities'!K293,186))</x:f>
        <x:v>0</x:v>
      </x:c>
      <x:c r="AK293" s="23" t="n">
        <x:f>MAX(0,MIN('Activities'!L293,198)-MAX('Activities'!K293,192))</x:f>
        <x:v>0</x:v>
      </x:c>
      <x:c r="AL293" s="23" t="n">
        <x:f>MAX(0,MIN('Activities'!L293,204)-MAX('Activities'!K293,198))</x:f>
        <x:v>0</x:v>
      </x:c>
      <x:c r="AM293" s="23" t="n">
        <x:f>MAX(0,MIN('Activities'!L293,210)-MAX('Activities'!K293,204))</x:f>
        <x:v>3</x:v>
      </x:c>
      <x:c r="AN293" s="23" t="n">
        <x:f>MAX(0,MIN('Activities'!L293,216)-MAX('Activities'!K293,210))</x:f>
        <x:v>2</x:v>
      </x:c>
      <x:c r="AO293" s="23" t="n">
        <x:f>MAX(0,MIN('Activities'!L293,222)-MAX('Activities'!K293,216))</x:f>
        <x:v>0</x:v>
      </x:c>
      <x:c r="AP293" s="23" t="n">
        <x:f>MAX(0,MIN('Activities'!L293,228)-MAX('Activities'!K293,222))</x:f>
        <x:v>0</x:v>
      </x:c>
      <x:c r="AQ293" s="23" t="n">
        <x:f>MAX(0,MIN('Activities'!L293,234)-MAX('Activities'!K293,228))</x:f>
        <x:v>0</x:v>
      </x:c>
      <x:c r="AR293" s="23" t="n">
        <x:f>MAX(0,MIN('Activities'!L293,240)-MAX('Activities'!K293,234))</x:f>
        <x:v>0</x:v>
      </x:c>
      <x:c r="AS293" s="23" t="n">
        <x:f>MAX(0,MIN('Activities'!L293,246)-MAX('Activities'!K293,240))</x:f>
        <x:v>0</x:v>
      </x:c>
      <x:c r="AT293" s="23" t="n">
        <x:f>MAX(0,MIN('Activities'!L293,252)-MAX('Activities'!K293,246))</x:f>
        <x:v>0</x:v>
      </x:c>
      <x:c r="AU293" s="23" t="n">
        <x:f>MAX(0,MIN('Activities'!L293,258)-MAX('Activities'!K293,252))</x:f>
        <x:v>0</x:v>
      </x:c>
      <x:c r="AV293" s="23" t="n">
        <x:f>MAX(0,MIN('Activities'!L293,264)-MAX('Activities'!K293,258))</x:f>
        <x:v>0</x:v>
      </x:c>
      <x:c r="AW293" s="23" t="n">
        <x:f>MAX(0,MIN('Activities'!L293,270)-MAX('Activities'!K293,264))</x:f>
        <x:v>0</x:v>
      </x:c>
      <x:c r="AX293" s="23" t="n">
        <x:f>MAX(0,MIN('Activities'!L293,276)-MAX('Activities'!K293,270))</x:f>
        <x:v>0</x:v>
      </x:c>
      <x:c r="AY293" s="23" t="n">
        <x:f>MAX(0,MIN('Activities'!L293,282)-MAX('Activities'!K293,276))</x:f>
        <x:v>0</x:v>
      </x:c>
      <x:c r="AZ293" s="23" t="n">
        <x:f>MAX(0,MIN('Activities'!L293,288)-MAX('Activities'!K293,282))</x:f>
        <x:v>0</x:v>
      </x:c>
      <x:c r="BA293" s="23" t="n">
        <x:f>MAX(0,MIN('Activities'!L293,294)-MAX('Activities'!K293,288))</x:f>
        <x:v>0</x:v>
      </x:c>
      <x:c r="BB293" s="23" t="n">
        <x:f>MAX(0,MIN('Activities'!L293,300)-MAX('Activities'!K293,294))</x:f>
        <x:v>0</x:v>
      </x:c>
      <x:c r="BC293" s="23" t="n">
        <x:f>MAX(0,MIN('Activities'!L293,306)-MAX('Activities'!K293,300))</x:f>
        <x:v>0</x:v>
      </x:c>
      <x:c r="BD293" s="23" t="n">
        <x:f>MAX(0,MIN('Activities'!L293,312)-MAX('Activities'!K293,306))</x:f>
        <x:v>0</x:v>
      </x:c>
      <x:c r="BE293" s="23" t="n">
        <x:f>MAX(0,MIN('Activities'!L293,318)-MAX('Activities'!K293,312))</x:f>
        <x:v>0</x:v>
      </x:c>
      <x:c r="BF293" s="23" t="n">
        <x:f>MAX(0,MIN('Activities'!L293,324)-MAX('Activities'!K293,318))</x:f>
        <x:v>0</x:v>
      </x:c>
      <x:c r="BG293" s="23" t="n">
        <x:f>MAX(0,MIN('Activities'!L293,330)-MAX('Activities'!K293,324))</x:f>
        <x:v>0</x:v>
      </x:c>
      <x:c r="BH293" s="23" t="n">
        <x:f>MAX(0,MIN('Activities'!L293,336)-MAX('Activities'!K293,330))</x:f>
        <x:v>0</x:v>
      </x:c>
      <x:c r="BI293" s="23" t="n">
        <x:f>MAX(0,MIN('Activities'!L293,342)-MAX('Activities'!K293,336))</x:f>
        <x:v>0</x:v>
      </x:c>
      <x:c r="BJ293" s="23" t="n">
        <x:f>MAX(0,MIN('Activities'!L293,348)-MAX('Activities'!K293,342))</x:f>
        <x:v>0</x:v>
      </x:c>
      <x:c r="BK293" s="23" t="n">
        <x:f>MAX(0,MIN('Activities'!L293,354)-MAX('Activities'!K293,348))</x:f>
        <x:v>0</x:v>
      </x:c>
      <x:c r="BL293" s="23" t="n">
        <x:f>MAX(0,MIN('Activities'!L293,360)-MAX('Activities'!K293,354))</x:f>
        <x:v>0</x:v>
      </x:c>
      <x:c r="BM293" s="23" t="n">
        <x:f>MAX(0,MIN('Activities'!L293,366)-MAX('Activities'!K293,360))</x:f>
        <x:v>0</x:v>
      </x:c>
      <x:c r="BN293" s="23" t="n">
        <x:f>MAX(0,MIN('Activities'!L293,372)-MAX('Activities'!K293,366))</x:f>
        <x:v>0</x:v>
      </x:c>
      <x:c r="BO293" s="23" t="n">
        <x:f>MAX(0,MIN('Activities'!L293,378)-MAX('Activities'!K293,372))</x:f>
        <x:v>0</x:v>
      </x:c>
      <x:c r="BP293" s="23" t="n">
        <x:f>MAX(0,MIN('Activities'!L293,384)-MAX('Activities'!K293,378))</x:f>
        <x:v>0</x:v>
      </x:c>
      <x:c r="BQ293" s="23" t="n">
        <x:f>MAX(0,MIN('Activities'!L293,390)-MAX('Activities'!K293,384))</x:f>
        <x:v>0</x:v>
      </x:c>
      <x:c r="BR293" s="23" t="n">
        <x:f>MAX(0,MIN('Activities'!L293,396)-MAX('Activities'!K293,390))</x:f>
        <x:v>0</x:v>
      </x:c>
      <x:c r="BS293" s="23" t="n">
        <x:f>MAX(0,MIN('Activities'!L293,402)-MAX('Activities'!K293,396))</x:f>
        <x:v>0</x:v>
      </x:c>
      <x:c r="BT293" s="23" t="n">
        <x:f>MAX(0,MIN('Activities'!L293,408)-MAX('Activities'!K293,402))</x:f>
        <x:v>0</x:v>
      </x:c>
      <x:c r="BU293" s="23" t="n">
        <x:f>MAX(0,MIN('Activities'!L293,414)-MAX('Activities'!K293,408))</x:f>
        <x:v>0</x:v>
      </x:c>
      <x:c r="BV293" s="23" t="n">
        <x:f>MAX(0,MIN('Activities'!L293,420)-MAX('Activities'!K293,414))</x:f>
        <x:v>0</x:v>
      </x:c>
      <x:c r="BW293" s="23" t="n">
        <x:f>MAX(0,MIN('Activities'!L293,426)-MAX('Activities'!K293,420))</x:f>
        <x:v>0</x:v>
      </x:c>
      <x:c r="BX293" s="23" t="n">
        <x:f>MAX(0,MIN('Activities'!L293,432)-MAX('Activities'!K293,426))</x:f>
        <x:v>0</x:v>
      </x:c>
      <x:c r="BY293" s="23" t="n">
        <x:f>MAX(0,MIN('Activities'!L293,438)-MAX('Activities'!K293,432))</x:f>
        <x:v>0</x:v>
      </x:c>
      <x:c r="BZ293" s="23" t="n">
        <x:f>MAX(0,MIN('Activities'!L293,444)-MAX('Activities'!K293,438))</x:f>
        <x:v>0</x:v>
      </x:c>
      <x:c r="CA293" s="23" t="n">
        <x:f>MAX(0,MIN('Activities'!L293,450)-MAX('Activities'!K293,444))</x:f>
        <x:v>0</x:v>
      </x:c>
      <x:c r="CB293" s="23" t="n">
        <x:f>MAX(0,MIN('Activities'!L293,456)-MAX('Activities'!K293,450))</x:f>
        <x:v>0</x:v>
      </x:c>
      <x:c r="CC293" s="23" t="n">
        <x:f>MAX(0,MIN('Activities'!L293,462)-MAX('Activities'!K293,456))</x:f>
        <x:v>0</x:v>
      </x:c>
      <x:c r="CD293" s="23" t="n">
        <x:f>MAX(0,MIN('Activities'!L293,468)-MAX('Activities'!K293,462))</x:f>
        <x:v>0</x:v>
      </x:c>
      <x:c r="CE293" s="23" t="n">
        <x:f>MAX(0,MIN('Activities'!L293,474)-MAX('Activities'!K293,468))</x:f>
        <x:v>0</x:v>
      </x:c>
      <x:c r="CF293" s="23" t="n">
        <x:f>MAX(0,MIN('Activities'!L293,480)-MAX('Activities'!K293,474))</x:f>
        <x:v>0</x:v>
      </x:c>
      <x:c r="CG293" s="23" t="n">
        <x:f>MAX(0,MIN('Activities'!L293,486)-MAX('Activities'!K293,480))</x:f>
        <x:v>0</x:v>
      </x:c>
      <x:c r="CH293" s="23" t="n">
        <x:f>MAX(0,MIN('Activities'!L293,492)-MAX('Activities'!K293,486))</x:f>
        <x:v>0</x:v>
      </x:c>
      <x:c r="CI293" s="23" t="n">
        <x:f>MAX(0,MIN('Activities'!L293,498)-MAX('Activities'!K293,492))</x:f>
        <x:v>0</x:v>
      </x:c>
      <x:c r="CJ293" s="23" t="n">
        <x:f>MAX(0,MIN('Activities'!L293,504)-MAX('Activities'!K293,498))</x:f>
        <x:v>0</x:v>
      </x:c>
      <x:c r="CK293" s="23" t="n">
        <x:f>MAX(0,MIN('Activities'!L293,510)-MAX('Activities'!K293,504))</x:f>
        <x:v>0</x:v>
      </x:c>
      <x:c r="CL293" s="23" t="n">
        <x:f>MAX(0,MIN('Activities'!L293,516)-MAX('Activities'!K293,510))</x:f>
        <x:v>0</x:v>
      </x:c>
      <x:c r="CM293" s="23" t="n">
        <x:f>MAX(0,MIN('Activities'!L293,522)-MAX('Activities'!K293,516))</x:f>
        <x:v>0</x:v>
      </x:c>
      <x:c r="CN293" s="23" t="n">
        <x:f>MAX(0,MIN('Activities'!L293,528)-MAX('Activities'!K293,522))</x:f>
        <x:v>0</x:v>
      </x:c>
      <x:c r="CO293" s="23" t="n">
        <x:f>MAX(0,MIN('Activities'!L293,534)-MAX('Activities'!K293,528))</x:f>
        <x:v>0</x:v>
      </x:c>
      <x:c r="CP293" s="23" t="n">
        <x:f>MAX(0,MIN('Activities'!L293,540)-MAX('Activities'!K293,534))</x:f>
        <x:v>0</x:v>
      </x:c>
      <x:c r="CQ293" s="23" t="n">
        <x:f>MAX(0,MIN('Activities'!L293,546)-MAX('Activities'!K293,540))</x:f>
        <x:v>0</x:v>
      </x:c>
      <x:c r="CR293" s="23" t="n">
        <x:f>MAX(0,MIN('Activities'!L293,552)-MAX('Activities'!K293,546))</x:f>
        <x:v>0</x:v>
      </x:c>
      <x:c r="CS293" s="23" t="n">
        <x:f>MAX(0,MIN('Activities'!L293,558)-MAX('Activities'!K293,552))</x:f>
        <x:v>0</x:v>
      </x:c>
      <x:c r="CT293" s="23" t="n">
        <x:f>MAX(0,MIN('Activities'!L293,564)-MAX('Activities'!K293,558))</x:f>
        <x:v>0</x:v>
      </x:c>
      <x:c r="CU293" s="23" t="n">
        <x:f>MAX(0,MIN('Activities'!L293,570)-MAX('Activities'!K293,564))</x:f>
        <x:v>0</x:v>
      </x:c>
      <x:c r="CV293" s="23" t="n">
        <x:f>MAX(0,MIN('Activities'!L293,576)-MAX('Activities'!K293,570))</x:f>
        <x:v>0</x:v>
      </x:c>
      <x:c r="CW293" s="23" t="n">
        <x:f>MAX(0,MIN('Activities'!L293,582)-MAX('Activities'!K293,576))</x:f>
        <x:v>0</x:v>
      </x:c>
      <x:c r="CX293" s="23" t="n">
        <x:f>MAX(0,MIN('Activities'!L293,588)-MAX('Activities'!K293,582))</x:f>
        <x:v>0</x:v>
      </x:c>
      <x:c r="CY293" s="23" t="n">
        <x:f>MAX(0,MIN('Activities'!L293,594)-MAX('Activities'!K293,588))</x:f>
        <x:v>0</x:v>
      </x:c>
      <x:c r="CZ293" s="23" t="n">
        <x:f>MAX(0,MIN('Activities'!L293,600)-MAX('Activities'!K293,594))</x:f>
        <x:v>0</x:v>
      </x:c>
      <x:c r="DA293" s="23" t="n">
        <x:f>MAX(0,MIN('Activities'!L293,606)-MAX('Activities'!K293,600))</x:f>
        <x:v>0</x:v>
      </x:c>
      <x:c r="DB293" s="23" t="n">
        <x:f>MAX(0,MIN('Activities'!L293,612)-MAX('Activities'!K293,606))</x:f>
        <x:v>0</x:v>
      </x:c>
      <x:c r="DC293" s="23" t="n">
        <x:f>MAX(0,MIN('Activities'!L293,618)-MAX('Activities'!K293,612))</x:f>
        <x:v>0</x:v>
      </x:c>
      <x:c r="DD293" s="23" t="n">
        <x:f>MAX(0,MIN('Activities'!L293,624)-MAX('Activities'!K293,618))</x:f>
        <x:v>0</x:v>
      </x:c>
      <x:c r="DE293" s="23" t="n">
        <x:f>MAX(0,MIN('Activities'!L293,630)-MAX('Activities'!K293,624))</x:f>
        <x:v>0</x:v>
      </x:c>
      <x:c r="DF293" s="23" t="n">
        <x:f>MAX(0,MIN('Activities'!L293,636)-MAX('Activities'!K293,630))</x:f>
        <x:v>0</x:v>
      </x:c>
    </x:row>
    <x:row r="294" ht="23" customHeight="1">
      <x:c r="A294" s="6" t="str">
        <x:v>T3-L03-F</x:v>
      </x:c>
      <x:c r="B294" s="6" t="str">
        <x:v>T3</x:v>
      </x:c>
      <x:c r="C294" s="6" t="str">
        <x:v>Columns, core and deck formwork</x:v>
      </x:c>
      <x:c r="D294" s="6" t="str">
        <x:v>Formwork</x:v>
      </x:c>
      <x:c r="E294" s="22" t="n">
        <x:f>MAX(0,MIN('Activities'!L294,6)-MAX('Activities'!K294,0))</x:f>
        <x:v>0</x:v>
      </x:c>
      <x:c r="F294" s="22" t="n">
        <x:f>MAX(0,MIN('Activities'!L294,12)-MAX('Activities'!K294,6))</x:f>
        <x:v>0</x:v>
      </x:c>
      <x:c r="G294" s="22" t="n">
        <x:f>MAX(0,MIN('Activities'!L294,18)-MAX('Activities'!K294,12))</x:f>
        <x:v>0</x:v>
      </x:c>
      <x:c r="H294" s="22" t="n">
        <x:f>MAX(0,MIN('Activities'!L294,24)-MAX('Activities'!K294,18))</x:f>
        <x:v>0</x:v>
      </x:c>
      <x:c r="I294" s="22" t="n">
        <x:f>MAX(0,MIN('Activities'!L294,30)-MAX('Activities'!K294,24))</x:f>
        <x:v>0</x:v>
      </x:c>
      <x:c r="J294" s="22" t="n">
        <x:f>MAX(0,MIN('Activities'!L294,36)-MAX('Activities'!K294,30))</x:f>
        <x:v>0</x:v>
      </x:c>
      <x:c r="K294" s="22" t="n">
        <x:f>MAX(0,MIN('Activities'!L294,42)-MAX('Activities'!K294,36))</x:f>
        <x:v>0</x:v>
      </x:c>
      <x:c r="L294" s="22" t="n">
        <x:f>MAX(0,MIN('Activities'!L294,48)-MAX('Activities'!K294,42))</x:f>
        <x:v>0</x:v>
      </x:c>
      <x:c r="M294" s="22" t="n">
        <x:f>MAX(0,MIN('Activities'!L294,54)-MAX('Activities'!K294,48))</x:f>
        <x:v>0</x:v>
      </x:c>
      <x:c r="N294" s="22" t="n">
        <x:f>MAX(0,MIN('Activities'!L294,60)-MAX('Activities'!K294,54))</x:f>
        <x:v>0</x:v>
      </x:c>
      <x:c r="O294" s="22" t="n">
        <x:f>MAX(0,MIN('Activities'!L294,66)-MAX('Activities'!K294,60))</x:f>
        <x:v>0</x:v>
      </x:c>
      <x:c r="P294" s="22" t="n">
        <x:f>MAX(0,MIN('Activities'!L294,72)-MAX('Activities'!K294,66))</x:f>
        <x:v>0</x:v>
      </x:c>
      <x:c r="Q294" s="22" t="n">
        <x:f>MAX(0,MIN('Activities'!L294,78)-MAX('Activities'!K294,72))</x:f>
        <x:v>0</x:v>
      </x:c>
      <x:c r="R294" s="22" t="n">
        <x:f>MAX(0,MIN('Activities'!L294,84)-MAX('Activities'!K294,78))</x:f>
        <x:v>0</x:v>
      </x:c>
      <x:c r="S294" s="22" t="n">
        <x:f>MAX(0,MIN('Activities'!L294,90)-MAX('Activities'!K294,84))</x:f>
        <x:v>0</x:v>
      </x:c>
      <x:c r="T294" s="22" t="n">
        <x:f>MAX(0,MIN('Activities'!L294,96)-MAX('Activities'!K294,90))</x:f>
        <x:v>0</x:v>
      </x:c>
      <x:c r="U294" s="22" t="n">
        <x:f>MAX(0,MIN('Activities'!L294,102)-MAX('Activities'!K294,96))</x:f>
        <x:v>0</x:v>
      </x:c>
      <x:c r="V294" s="22" t="n">
        <x:f>MAX(0,MIN('Activities'!L294,108)-MAX('Activities'!K294,102))</x:f>
        <x:v>0</x:v>
      </x:c>
      <x:c r="W294" s="22" t="n">
        <x:f>MAX(0,MIN('Activities'!L294,114)-MAX('Activities'!K294,108))</x:f>
        <x:v>0</x:v>
      </x:c>
      <x:c r="X294" s="22" t="n">
        <x:f>MAX(0,MIN('Activities'!L294,120)-MAX('Activities'!K294,114))</x:f>
        <x:v>0</x:v>
      </x:c>
      <x:c r="Y294" s="22" t="n">
        <x:f>MAX(0,MIN('Activities'!L294,126)-MAX('Activities'!K294,120))</x:f>
        <x:v>0</x:v>
      </x:c>
      <x:c r="Z294" s="22" t="n">
        <x:f>MAX(0,MIN('Activities'!L294,132)-MAX('Activities'!K294,126))</x:f>
        <x:v>0</x:v>
      </x:c>
      <x:c r="AA294" s="22" t="n">
        <x:f>MAX(0,MIN('Activities'!L294,138)-MAX('Activities'!K294,132))</x:f>
        <x:v>0</x:v>
      </x:c>
      <x:c r="AB294" s="22" t="n">
        <x:f>MAX(0,MIN('Activities'!L294,144)-MAX('Activities'!K294,138))</x:f>
        <x:v>0</x:v>
      </x:c>
      <x:c r="AC294" s="22" t="n">
        <x:f>MAX(0,MIN('Activities'!L294,150)-MAX('Activities'!K294,144))</x:f>
        <x:v>0</x:v>
      </x:c>
      <x:c r="AD294" s="22" t="n">
        <x:f>MAX(0,MIN('Activities'!L294,156)-MAX('Activities'!K294,150))</x:f>
        <x:v>0</x:v>
      </x:c>
      <x:c r="AE294" s="22" t="n">
        <x:f>MAX(0,MIN('Activities'!L294,162)-MAX('Activities'!K294,156))</x:f>
        <x:v>0</x:v>
      </x:c>
      <x:c r="AF294" s="22" t="n">
        <x:f>MAX(0,MIN('Activities'!L294,168)-MAX('Activities'!K294,162))</x:f>
        <x:v>0</x:v>
      </x:c>
      <x:c r="AG294" s="22" t="n">
        <x:f>MAX(0,MIN('Activities'!L294,174)-MAX('Activities'!K294,168))</x:f>
        <x:v>0</x:v>
      </x:c>
      <x:c r="AH294" s="22" t="n">
        <x:f>MAX(0,MIN('Activities'!L294,180)-MAX('Activities'!K294,174))</x:f>
        <x:v>0</x:v>
      </x:c>
      <x:c r="AI294" s="22" t="n">
        <x:f>MAX(0,MIN('Activities'!L294,186)-MAX('Activities'!K294,180))</x:f>
        <x:v>0</x:v>
      </x:c>
      <x:c r="AJ294" s="22" t="n">
        <x:f>MAX(0,MIN('Activities'!L294,192)-MAX('Activities'!K294,186))</x:f>
        <x:v>0</x:v>
      </x:c>
      <x:c r="AK294" s="22" t="n">
        <x:f>MAX(0,MIN('Activities'!L294,198)-MAX('Activities'!K294,192))</x:f>
        <x:v>0</x:v>
      </x:c>
      <x:c r="AL294" s="22" t="n">
        <x:f>MAX(0,MIN('Activities'!L294,204)-MAX('Activities'!K294,198))</x:f>
        <x:v>0</x:v>
      </x:c>
      <x:c r="AM294" s="22" t="n">
        <x:f>MAX(0,MIN('Activities'!L294,210)-MAX('Activities'!K294,204))</x:f>
        <x:v>0</x:v>
      </x:c>
      <x:c r="AN294" s="22" t="n">
        <x:f>MAX(0,MIN('Activities'!L294,216)-MAX('Activities'!K294,210))</x:f>
        <x:v>4</x:v>
      </x:c>
      <x:c r="AO294" s="22" t="n">
        <x:f>MAX(0,MIN('Activities'!L294,222)-MAX('Activities'!K294,216))</x:f>
        <x:v>2</x:v>
      </x:c>
      <x:c r="AP294" s="22" t="n">
        <x:f>MAX(0,MIN('Activities'!L294,228)-MAX('Activities'!K294,222))</x:f>
        <x:v>0</x:v>
      </x:c>
      <x:c r="AQ294" s="22" t="n">
        <x:f>MAX(0,MIN('Activities'!L294,234)-MAX('Activities'!K294,228))</x:f>
        <x:v>0</x:v>
      </x:c>
      <x:c r="AR294" s="22" t="n">
        <x:f>MAX(0,MIN('Activities'!L294,240)-MAX('Activities'!K294,234))</x:f>
        <x:v>0</x:v>
      </x:c>
      <x:c r="AS294" s="22" t="n">
        <x:f>MAX(0,MIN('Activities'!L294,246)-MAX('Activities'!K294,240))</x:f>
        <x:v>0</x:v>
      </x:c>
      <x:c r="AT294" s="22" t="n">
        <x:f>MAX(0,MIN('Activities'!L294,252)-MAX('Activities'!K294,246))</x:f>
        <x:v>0</x:v>
      </x:c>
      <x:c r="AU294" s="22" t="n">
        <x:f>MAX(0,MIN('Activities'!L294,258)-MAX('Activities'!K294,252))</x:f>
        <x:v>0</x:v>
      </x:c>
      <x:c r="AV294" s="22" t="n">
        <x:f>MAX(0,MIN('Activities'!L294,264)-MAX('Activities'!K294,258))</x:f>
        <x:v>0</x:v>
      </x:c>
      <x:c r="AW294" s="22" t="n">
        <x:f>MAX(0,MIN('Activities'!L294,270)-MAX('Activities'!K294,264))</x:f>
        <x:v>0</x:v>
      </x:c>
      <x:c r="AX294" s="22" t="n">
        <x:f>MAX(0,MIN('Activities'!L294,276)-MAX('Activities'!K294,270))</x:f>
        <x:v>0</x:v>
      </x:c>
      <x:c r="AY294" s="22" t="n">
        <x:f>MAX(0,MIN('Activities'!L294,282)-MAX('Activities'!K294,276))</x:f>
        <x:v>0</x:v>
      </x:c>
      <x:c r="AZ294" s="22" t="n">
        <x:f>MAX(0,MIN('Activities'!L294,288)-MAX('Activities'!K294,282))</x:f>
        <x:v>0</x:v>
      </x:c>
      <x:c r="BA294" s="22" t="n">
        <x:f>MAX(0,MIN('Activities'!L294,294)-MAX('Activities'!K294,288))</x:f>
        <x:v>0</x:v>
      </x:c>
      <x:c r="BB294" s="22" t="n">
        <x:f>MAX(0,MIN('Activities'!L294,300)-MAX('Activities'!K294,294))</x:f>
        <x:v>0</x:v>
      </x:c>
      <x:c r="BC294" s="22" t="n">
        <x:f>MAX(0,MIN('Activities'!L294,306)-MAX('Activities'!K294,300))</x:f>
        <x:v>0</x:v>
      </x:c>
      <x:c r="BD294" s="22" t="n">
        <x:f>MAX(0,MIN('Activities'!L294,312)-MAX('Activities'!K294,306))</x:f>
        <x:v>0</x:v>
      </x:c>
      <x:c r="BE294" s="22" t="n">
        <x:f>MAX(0,MIN('Activities'!L294,318)-MAX('Activities'!K294,312))</x:f>
        <x:v>0</x:v>
      </x:c>
      <x:c r="BF294" s="22" t="n">
        <x:f>MAX(0,MIN('Activities'!L294,324)-MAX('Activities'!K294,318))</x:f>
        <x:v>0</x:v>
      </x:c>
      <x:c r="BG294" s="22" t="n">
        <x:f>MAX(0,MIN('Activities'!L294,330)-MAX('Activities'!K294,324))</x:f>
        <x:v>0</x:v>
      </x:c>
      <x:c r="BH294" s="22" t="n">
        <x:f>MAX(0,MIN('Activities'!L294,336)-MAX('Activities'!K294,330))</x:f>
        <x:v>0</x:v>
      </x:c>
      <x:c r="BI294" s="22" t="n">
        <x:f>MAX(0,MIN('Activities'!L294,342)-MAX('Activities'!K294,336))</x:f>
        <x:v>0</x:v>
      </x:c>
      <x:c r="BJ294" s="22" t="n">
        <x:f>MAX(0,MIN('Activities'!L294,348)-MAX('Activities'!K294,342))</x:f>
        <x:v>0</x:v>
      </x:c>
      <x:c r="BK294" s="22" t="n">
        <x:f>MAX(0,MIN('Activities'!L294,354)-MAX('Activities'!K294,348))</x:f>
        <x:v>0</x:v>
      </x:c>
      <x:c r="BL294" s="22" t="n">
        <x:f>MAX(0,MIN('Activities'!L294,360)-MAX('Activities'!K294,354))</x:f>
        <x:v>0</x:v>
      </x:c>
      <x:c r="BM294" s="22" t="n">
        <x:f>MAX(0,MIN('Activities'!L294,366)-MAX('Activities'!K294,360))</x:f>
        <x:v>0</x:v>
      </x:c>
      <x:c r="BN294" s="22" t="n">
        <x:f>MAX(0,MIN('Activities'!L294,372)-MAX('Activities'!K294,366))</x:f>
        <x:v>0</x:v>
      </x:c>
      <x:c r="BO294" s="22" t="n">
        <x:f>MAX(0,MIN('Activities'!L294,378)-MAX('Activities'!K294,372))</x:f>
        <x:v>0</x:v>
      </x:c>
      <x:c r="BP294" s="22" t="n">
        <x:f>MAX(0,MIN('Activities'!L294,384)-MAX('Activities'!K294,378))</x:f>
        <x:v>0</x:v>
      </x:c>
      <x:c r="BQ294" s="22" t="n">
        <x:f>MAX(0,MIN('Activities'!L294,390)-MAX('Activities'!K294,384))</x:f>
        <x:v>0</x:v>
      </x:c>
      <x:c r="BR294" s="22" t="n">
        <x:f>MAX(0,MIN('Activities'!L294,396)-MAX('Activities'!K294,390))</x:f>
        <x:v>0</x:v>
      </x:c>
      <x:c r="BS294" s="22" t="n">
        <x:f>MAX(0,MIN('Activities'!L294,402)-MAX('Activities'!K294,396))</x:f>
        <x:v>0</x:v>
      </x:c>
      <x:c r="BT294" s="22" t="n">
        <x:f>MAX(0,MIN('Activities'!L294,408)-MAX('Activities'!K294,402))</x:f>
        <x:v>0</x:v>
      </x:c>
      <x:c r="BU294" s="22" t="n">
        <x:f>MAX(0,MIN('Activities'!L294,414)-MAX('Activities'!K294,408))</x:f>
        <x:v>0</x:v>
      </x:c>
      <x:c r="BV294" s="22" t="n">
        <x:f>MAX(0,MIN('Activities'!L294,420)-MAX('Activities'!K294,414))</x:f>
        <x:v>0</x:v>
      </x:c>
      <x:c r="BW294" s="22" t="n">
        <x:f>MAX(0,MIN('Activities'!L294,426)-MAX('Activities'!K294,420))</x:f>
        <x:v>0</x:v>
      </x:c>
      <x:c r="BX294" s="22" t="n">
        <x:f>MAX(0,MIN('Activities'!L294,432)-MAX('Activities'!K294,426))</x:f>
        <x:v>0</x:v>
      </x:c>
      <x:c r="BY294" s="22" t="n">
        <x:f>MAX(0,MIN('Activities'!L294,438)-MAX('Activities'!K294,432))</x:f>
        <x:v>0</x:v>
      </x:c>
      <x:c r="BZ294" s="22" t="n">
        <x:f>MAX(0,MIN('Activities'!L294,444)-MAX('Activities'!K294,438))</x:f>
        <x:v>0</x:v>
      </x:c>
      <x:c r="CA294" s="22" t="n">
        <x:f>MAX(0,MIN('Activities'!L294,450)-MAX('Activities'!K294,444))</x:f>
        <x:v>0</x:v>
      </x:c>
      <x:c r="CB294" s="22" t="n">
        <x:f>MAX(0,MIN('Activities'!L294,456)-MAX('Activities'!K294,450))</x:f>
        <x:v>0</x:v>
      </x:c>
      <x:c r="CC294" s="22" t="n">
        <x:f>MAX(0,MIN('Activities'!L294,462)-MAX('Activities'!K294,456))</x:f>
        <x:v>0</x:v>
      </x:c>
      <x:c r="CD294" s="22" t="n">
        <x:f>MAX(0,MIN('Activities'!L294,468)-MAX('Activities'!K294,462))</x:f>
        <x:v>0</x:v>
      </x:c>
      <x:c r="CE294" s="22" t="n">
        <x:f>MAX(0,MIN('Activities'!L294,474)-MAX('Activities'!K294,468))</x:f>
        <x:v>0</x:v>
      </x:c>
      <x:c r="CF294" s="22" t="n">
        <x:f>MAX(0,MIN('Activities'!L294,480)-MAX('Activities'!K294,474))</x:f>
        <x:v>0</x:v>
      </x:c>
      <x:c r="CG294" s="22" t="n">
        <x:f>MAX(0,MIN('Activities'!L294,486)-MAX('Activities'!K294,480))</x:f>
        <x:v>0</x:v>
      </x:c>
      <x:c r="CH294" s="22" t="n">
        <x:f>MAX(0,MIN('Activities'!L294,492)-MAX('Activities'!K294,486))</x:f>
        <x:v>0</x:v>
      </x:c>
      <x:c r="CI294" s="22" t="n">
        <x:f>MAX(0,MIN('Activities'!L294,498)-MAX('Activities'!K294,492))</x:f>
        <x:v>0</x:v>
      </x:c>
      <x:c r="CJ294" s="22" t="n">
        <x:f>MAX(0,MIN('Activities'!L294,504)-MAX('Activities'!K294,498))</x:f>
        <x:v>0</x:v>
      </x:c>
      <x:c r="CK294" s="22" t="n">
        <x:f>MAX(0,MIN('Activities'!L294,510)-MAX('Activities'!K294,504))</x:f>
        <x:v>0</x:v>
      </x:c>
      <x:c r="CL294" s="22" t="n">
        <x:f>MAX(0,MIN('Activities'!L294,516)-MAX('Activities'!K294,510))</x:f>
        <x:v>0</x:v>
      </x:c>
      <x:c r="CM294" s="22" t="n">
        <x:f>MAX(0,MIN('Activities'!L294,522)-MAX('Activities'!K294,516))</x:f>
        <x:v>0</x:v>
      </x:c>
      <x:c r="CN294" s="22" t="n">
        <x:f>MAX(0,MIN('Activities'!L294,528)-MAX('Activities'!K294,522))</x:f>
        <x:v>0</x:v>
      </x:c>
      <x:c r="CO294" s="22" t="n">
        <x:f>MAX(0,MIN('Activities'!L294,534)-MAX('Activities'!K294,528))</x:f>
        <x:v>0</x:v>
      </x:c>
      <x:c r="CP294" s="22" t="n">
        <x:f>MAX(0,MIN('Activities'!L294,540)-MAX('Activities'!K294,534))</x:f>
        <x:v>0</x:v>
      </x:c>
      <x:c r="CQ294" s="22" t="n">
        <x:f>MAX(0,MIN('Activities'!L294,546)-MAX('Activities'!K294,540))</x:f>
        <x:v>0</x:v>
      </x:c>
      <x:c r="CR294" s="22" t="n">
        <x:f>MAX(0,MIN('Activities'!L294,552)-MAX('Activities'!K294,546))</x:f>
        <x:v>0</x:v>
      </x:c>
      <x:c r="CS294" s="22" t="n">
        <x:f>MAX(0,MIN('Activities'!L294,558)-MAX('Activities'!K294,552))</x:f>
        <x:v>0</x:v>
      </x:c>
      <x:c r="CT294" s="22" t="n">
        <x:f>MAX(0,MIN('Activities'!L294,564)-MAX('Activities'!K294,558))</x:f>
        <x:v>0</x:v>
      </x:c>
      <x:c r="CU294" s="22" t="n">
        <x:f>MAX(0,MIN('Activities'!L294,570)-MAX('Activities'!K294,564))</x:f>
        <x:v>0</x:v>
      </x:c>
      <x:c r="CV294" s="22" t="n">
        <x:f>MAX(0,MIN('Activities'!L294,576)-MAX('Activities'!K294,570))</x:f>
        <x:v>0</x:v>
      </x:c>
      <x:c r="CW294" s="22" t="n">
        <x:f>MAX(0,MIN('Activities'!L294,582)-MAX('Activities'!K294,576))</x:f>
        <x:v>0</x:v>
      </x:c>
      <x:c r="CX294" s="22" t="n">
        <x:f>MAX(0,MIN('Activities'!L294,588)-MAX('Activities'!K294,582))</x:f>
        <x:v>0</x:v>
      </x:c>
      <x:c r="CY294" s="22" t="n">
        <x:f>MAX(0,MIN('Activities'!L294,594)-MAX('Activities'!K294,588))</x:f>
        <x:v>0</x:v>
      </x:c>
      <x:c r="CZ294" s="22" t="n">
        <x:f>MAX(0,MIN('Activities'!L294,600)-MAX('Activities'!K294,594))</x:f>
        <x:v>0</x:v>
      </x:c>
      <x:c r="DA294" s="22" t="n">
        <x:f>MAX(0,MIN('Activities'!L294,606)-MAX('Activities'!K294,600))</x:f>
        <x:v>0</x:v>
      </x:c>
      <x:c r="DB294" s="22" t="n">
        <x:f>MAX(0,MIN('Activities'!L294,612)-MAX('Activities'!K294,606))</x:f>
        <x:v>0</x:v>
      </x:c>
      <x:c r="DC294" s="22" t="n">
        <x:f>MAX(0,MIN('Activities'!L294,618)-MAX('Activities'!K294,612))</x:f>
        <x:v>0</x:v>
      </x:c>
      <x:c r="DD294" s="22" t="n">
        <x:f>MAX(0,MIN('Activities'!L294,624)-MAX('Activities'!K294,618))</x:f>
        <x:v>0</x:v>
      </x:c>
      <x:c r="DE294" s="22" t="n">
        <x:f>MAX(0,MIN('Activities'!L294,630)-MAX('Activities'!K294,624))</x:f>
        <x:v>0</x:v>
      </x:c>
      <x:c r="DF294" s="22" t="n">
        <x:f>MAX(0,MIN('Activities'!L294,636)-MAX('Activities'!K294,630))</x:f>
        <x:v>0</x:v>
      </x:c>
    </x:row>
    <x:row r="295" ht="23" customHeight="1">
      <x:c r="A295" s="1" t="str">
        <x:v>T3-L03-R</x:v>
      </x:c>
      <x:c r="B295" s="1" t="str">
        <x:v>T3</x:v>
      </x:c>
      <x:c r="C295" s="1" t="str">
        <x:v>Column, wall, beam and slab reinforcement</x:v>
      </x:c>
      <x:c r="D295" s="1" t="str">
        <x:v>Rebar</x:v>
      </x:c>
      <x:c r="E295" s="23" t="n">
        <x:f>MAX(0,MIN('Activities'!L295,6)-MAX('Activities'!K295,0))</x:f>
        <x:v>0</x:v>
      </x:c>
      <x:c r="F295" s="23" t="n">
        <x:f>MAX(0,MIN('Activities'!L295,12)-MAX('Activities'!K295,6))</x:f>
        <x:v>0</x:v>
      </x:c>
      <x:c r="G295" s="23" t="n">
        <x:f>MAX(0,MIN('Activities'!L295,18)-MAX('Activities'!K295,12))</x:f>
        <x:v>0</x:v>
      </x:c>
      <x:c r="H295" s="23" t="n">
        <x:f>MAX(0,MIN('Activities'!L295,24)-MAX('Activities'!K295,18))</x:f>
        <x:v>0</x:v>
      </x:c>
      <x:c r="I295" s="23" t="n">
        <x:f>MAX(0,MIN('Activities'!L295,30)-MAX('Activities'!K295,24))</x:f>
        <x:v>0</x:v>
      </x:c>
      <x:c r="J295" s="23" t="n">
        <x:f>MAX(0,MIN('Activities'!L295,36)-MAX('Activities'!K295,30))</x:f>
        <x:v>0</x:v>
      </x:c>
      <x:c r="K295" s="23" t="n">
        <x:f>MAX(0,MIN('Activities'!L295,42)-MAX('Activities'!K295,36))</x:f>
        <x:v>0</x:v>
      </x:c>
      <x:c r="L295" s="23" t="n">
        <x:f>MAX(0,MIN('Activities'!L295,48)-MAX('Activities'!K295,42))</x:f>
        <x:v>0</x:v>
      </x:c>
      <x:c r="M295" s="23" t="n">
        <x:f>MAX(0,MIN('Activities'!L295,54)-MAX('Activities'!K295,48))</x:f>
        <x:v>0</x:v>
      </x:c>
      <x:c r="N295" s="23" t="n">
        <x:f>MAX(0,MIN('Activities'!L295,60)-MAX('Activities'!K295,54))</x:f>
        <x:v>0</x:v>
      </x:c>
      <x:c r="O295" s="23" t="n">
        <x:f>MAX(0,MIN('Activities'!L295,66)-MAX('Activities'!K295,60))</x:f>
        <x:v>0</x:v>
      </x:c>
      <x:c r="P295" s="23" t="n">
        <x:f>MAX(0,MIN('Activities'!L295,72)-MAX('Activities'!K295,66))</x:f>
        <x:v>0</x:v>
      </x:c>
      <x:c r="Q295" s="23" t="n">
        <x:f>MAX(0,MIN('Activities'!L295,78)-MAX('Activities'!K295,72))</x:f>
        <x:v>0</x:v>
      </x:c>
      <x:c r="R295" s="23" t="n">
        <x:f>MAX(0,MIN('Activities'!L295,84)-MAX('Activities'!K295,78))</x:f>
        <x:v>0</x:v>
      </x:c>
      <x:c r="S295" s="23" t="n">
        <x:f>MAX(0,MIN('Activities'!L295,90)-MAX('Activities'!K295,84))</x:f>
        <x:v>0</x:v>
      </x:c>
      <x:c r="T295" s="23" t="n">
        <x:f>MAX(0,MIN('Activities'!L295,96)-MAX('Activities'!K295,90))</x:f>
        <x:v>0</x:v>
      </x:c>
      <x:c r="U295" s="23" t="n">
        <x:f>MAX(0,MIN('Activities'!L295,102)-MAX('Activities'!K295,96))</x:f>
        <x:v>0</x:v>
      </x:c>
      <x:c r="V295" s="23" t="n">
        <x:f>MAX(0,MIN('Activities'!L295,108)-MAX('Activities'!K295,102))</x:f>
        <x:v>0</x:v>
      </x:c>
      <x:c r="W295" s="23" t="n">
        <x:f>MAX(0,MIN('Activities'!L295,114)-MAX('Activities'!K295,108))</x:f>
        <x:v>0</x:v>
      </x:c>
      <x:c r="X295" s="23" t="n">
        <x:f>MAX(0,MIN('Activities'!L295,120)-MAX('Activities'!K295,114))</x:f>
        <x:v>0</x:v>
      </x:c>
      <x:c r="Y295" s="23" t="n">
        <x:f>MAX(0,MIN('Activities'!L295,126)-MAX('Activities'!K295,120))</x:f>
        <x:v>0</x:v>
      </x:c>
      <x:c r="Z295" s="23" t="n">
        <x:f>MAX(0,MIN('Activities'!L295,132)-MAX('Activities'!K295,126))</x:f>
        <x:v>0</x:v>
      </x:c>
      <x:c r="AA295" s="23" t="n">
        <x:f>MAX(0,MIN('Activities'!L295,138)-MAX('Activities'!K295,132))</x:f>
        <x:v>0</x:v>
      </x:c>
      <x:c r="AB295" s="23" t="n">
        <x:f>MAX(0,MIN('Activities'!L295,144)-MAX('Activities'!K295,138))</x:f>
        <x:v>0</x:v>
      </x:c>
      <x:c r="AC295" s="23" t="n">
        <x:f>MAX(0,MIN('Activities'!L295,150)-MAX('Activities'!K295,144))</x:f>
        <x:v>0</x:v>
      </x:c>
      <x:c r="AD295" s="23" t="n">
        <x:f>MAX(0,MIN('Activities'!L295,156)-MAX('Activities'!K295,150))</x:f>
        <x:v>0</x:v>
      </x:c>
      <x:c r="AE295" s="23" t="n">
        <x:f>MAX(0,MIN('Activities'!L295,162)-MAX('Activities'!K295,156))</x:f>
        <x:v>0</x:v>
      </x:c>
      <x:c r="AF295" s="23" t="n">
        <x:f>MAX(0,MIN('Activities'!L295,168)-MAX('Activities'!K295,162))</x:f>
        <x:v>0</x:v>
      </x:c>
      <x:c r="AG295" s="23" t="n">
        <x:f>MAX(0,MIN('Activities'!L295,174)-MAX('Activities'!K295,168))</x:f>
        <x:v>0</x:v>
      </x:c>
      <x:c r="AH295" s="23" t="n">
        <x:f>MAX(0,MIN('Activities'!L295,180)-MAX('Activities'!K295,174))</x:f>
        <x:v>0</x:v>
      </x:c>
      <x:c r="AI295" s="23" t="n">
        <x:f>MAX(0,MIN('Activities'!L295,186)-MAX('Activities'!K295,180))</x:f>
        <x:v>0</x:v>
      </x:c>
      <x:c r="AJ295" s="23" t="n">
        <x:f>MAX(0,MIN('Activities'!L295,192)-MAX('Activities'!K295,186))</x:f>
        <x:v>0</x:v>
      </x:c>
      <x:c r="AK295" s="23" t="n">
        <x:f>MAX(0,MIN('Activities'!L295,198)-MAX('Activities'!K295,192))</x:f>
        <x:v>0</x:v>
      </x:c>
      <x:c r="AL295" s="23" t="n">
        <x:f>MAX(0,MIN('Activities'!L295,204)-MAX('Activities'!K295,198))</x:f>
        <x:v>0</x:v>
      </x:c>
      <x:c r="AM295" s="23" t="n">
        <x:f>MAX(0,MIN('Activities'!L295,210)-MAX('Activities'!K295,204))</x:f>
        <x:v>0</x:v>
      </x:c>
      <x:c r="AN295" s="23" t="n">
        <x:f>MAX(0,MIN('Activities'!L295,216)-MAX('Activities'!K295,210))</x:f>
        <x:v>0</x:v>
      </x:c>
      <x:c r="AO295" s="23" t="n">
        <x:f>MAX(0,MIN('Activities'!L295,222)-MAX('Activities'!K295,216))</x:f>
        <x:v>4</x:v>
      </x:c>
      <x:c r="AP295" s="23" t="n">
        <x:f>MAX(0,MIN('Activities'!L295,228)-MAX('Activities'!K295,222))</x:f>
        <x:v>1</x:v>
      </x:c>
      <x:c r="AQ295" s="23" t="n">
        <x:f>MAX(0,MIN('Activities'!L295,234)-MAX('Activities'!K295,228))</x:f>
        <x:v>0</x:v>
      </x:c>
      <x:c r="AR295" s="23" t="n">
        <x:f>MAX(0,MIN('Activities'!L295,240)-MAX('Activities'!K295,234))</x:f>
        <x:v>0</x:v>
      </x:c>
      <x:c r="AS295" s="23" t="n">
        <x:f>MAX(0,MIN('Activities'!L295,246)-MAX('Activities'!K295,240))</x:f>
        <x:v>0</x:v>
      </x:c>
      <x:c r="AT295" s="23" t="n">
        <x:f>MAX(0,MIN('Activities'!L295,252)-MAX('Activities'!K295,246))</x:f>
        <x:v>0</x:v>
      </x:c>
      <x:c r="AU295" s="23" t="n">
        <x:f>MAX(0,MIN('Activities'!L295,258)-MAX('Activities'!K295,252))</x:f>
        <x:v>0</x:v>
      </x:c>
      <x:c r="AV295" s="23" t="n">
        <x:f>MAX(0,MIN('Activities'!L295,264)-MAX('Activities'!K295,258))</x:f>
        <x:v>0</x:v>
      </x:c>
      <x:c r="AW295" s="23" t="n">
        <x:f>MAX(0,MIN('Activities'!L295,270)-MAX('Activities'!K295,264))</x:f>
        <x:v>0</x:v>
      </x:c>
      <x:c r="AX295" s="23" t="n">
        <x:f>MAX(0,MIN('Activities'!L295,276)-MAX('Activities'!K295,270))</x:f>
        <x:v>0</x:v>
      </x:c>
      <x:c r="AY295" s="23" t="n">
        <x:f>MAX(0,MIN('Activities'!L295,282)-MAX('Activities'!K295,276))</x:f>
        <x:v>0</x:v>
      </x:c>
      <x:c r="AZ295" s="23" t="n">
        <x:f>MAX(0,MIN('Activities'!L295,288)-MAX('Activities'!K295,282))</x:f>
        <x:v>0</x:v>
      </x:c>
      <x:c r="BA295" s="23" t="n">
        <x:f>MAX(0,MIN('Activities'!L295,294)-MAX('Activities'!K295,288))</x:f>
        <x:v>0</x:v>
      </x:c>
      <x:c r="BB295" s="23" t="n">
        <x:f>MAX(0,MIN('Activities'!L295,300)-MAX('Activities'!K295,294))</x:f>
        <x:v>0</x:v>
      </x:c>
      <x:c r="BC295" s="23" t="n">
        <x:f>MAX(0,MIN('Activities'!L295,306)-MAX('Activities'!K295,300))</x:f>
        <x:v>0</x:v>
      </x:c>
      <x:c r="BD295" s="23" t="n">
        <x:f>MAX(0,MIN('Activities'!L295,312)-MAX('Activities'!K295,306))</x:f>
        <x:v>0</x:v>
      </x:c>
      <x:c r="BE295" s="23" t="n">
        <x:f>MAX(0,MIN('Activities'!L295,318)-MAX('Activities'!K295,312))</x:f>
        <x:v>0</x:v>
      </x:c>
      <x:c r="BF295" s="23" t="n">
        <x:f>MAX(0,MIN('Activities'!L295,324)-MAX('Activities'!K295,318))</x:f>
        <x:v>0</x:v>
      </x:c>
      <x:c r="BG295" s="23" t="n">
        <x:f>MAX(0,MIN('Activities'!L295,330)-MAX('Activities'!K295,324))</x:f>
        <x:v>0</x:v>
      </x:c>
      <x:c r="BH295" s="23" t="n">
        <x:f>MAX(0,MIN('Activities'!L295,336)-MAX('Activities'!K295,330))</x:f>
        <x:v>0</x:v>
      </x:c>
      <x:c r="BI295" s="23" t="n">
        <x:f>MAX(0,MIN('Activities'!L295,342)-MAX('Activities'!K295,336))</x:f>
        <x:v>0</x:v>
      </x:c>
      <x:c r="BJ295" s="23" t="n">
        <x:f>MAX(0,MIN('Activities'!L295,348)-MAX('Activities'!K295,342))</x:f>
        <x:v>0</x:v>
      </x:c>
      <x:c r="BK295" s="23" t="n">
        <x:f>MAX(0,MIN('Activities'!L295,354)-MAX('Activities'!K295,348))</x:f>
        <x:v>0</x:v>
      </x:c>
      <x:c r="BL295" s="23" t="n">
        <x:f>MAX(0,MIN('Activities'!L295,360)-MAX('Activities'!K295,354))</x:f>
        <x:v>0</x:v>
      </x:c>
      <x:c r="BM295" s="23" t="n">
        <x:f>MAX(0,MIN('Activities'!L295,366)-MAX('Activities'!K295,360))</x:f>
        <x:v>0</x:v>
      </x:c>
      <x:c r="BN295" s="23" t="n">
        <x:f>MAX(0,MIN('Activities'!L295,372)-MAX('Activities'!K295,366))</x:f>
        <x:v>0</x:v>
      </x:c>
      <x:c r="BO295" s="23" t="n">
        <x:f>MAX(0,MIN('Activities'!L295,378)-MAX('Activities'!K295,372))</x:f>
        <x:v>0</x:v>
      </x:c>
      <x:c r="BP295" s="23" t="n">
        <x:f>MAX(0,MIN('Activities'!L295,384)-MAX('Activities'!K295,378))</x:f>
        <x:v>0</x:v>
      </x:c>
      <x:c r="BQ295" s="23" t="n">
        <x:f>MAX(0,MIN('Activities'!L295,390)-MAX('Activities'!K295,384))</x:f>
        <x:v>0</x:v>
      </x:c>
      <x:c r="BR295" s="23" t="n">
        <x:f>MAX(0,MIN('Activities'!L295,396)-MAX('Activities'!K295,390))</x:f>
        <x:v>0</x:v>
      </x:c>
      <x:c r="BS295" s="23" t="n">
        <x:f>MAX(0,MIN('Activities'!L295,402)-MAX('Activities'!K295,396))</x:f>
        <x:v>0</x:v>
      </x:c>
      <x:c r="BT295" s="23" t="n">
        <x:f>MAX(0,MIN('Activities'!L295,408)-MAX('Activities'!K295,402))</x:f>
        <x:v>0</x:v>
      </x:c>
      <x:c r="BU295" s="23" t="n">
        <x:f>MAX(0,MIN('Activities'!L295,414)-MAX('Activities'!K295,408))</x:f>
        <x:v>0</x:v>
      </x:c>
      <x:c r="BV295" s="23" t="n">
        <x:f>MAX(0,MIN('Activities'!L295,420)-MAX('Activities'!K295,414))</x:f>
        <x:v>0</x:v>
      </x:c>
      <x:c r="BW295" s="23" t="n">
        <x:f>MAX(0,MIN('Activities'!L295,426)-MAX('Activities'!K295,420))</x:f>
        <x:v>0</x:v>
      </x:c>
      <x:c r="BX295" s="23" t="n">
        <x:f>MAX(0,MIN('Activities'!L295,432)-MAX('Activities'!K295,426))</x:f>
        <x:v>0</x:v>
      </x:c>
      <x:c r="BY295" s="23" t="n">
        <x:f>MAX(0,MIN('Activities'!L295,438)-MAX('Activities'!K295,432))</x:f>
        <x:v>0</x:v>
      </x:c>
      <x:c r="BZ295" s="23" t="n">
        <x:f>MAX(0,MIN('Activities'!L295,444)-MAX('Activities'!K295,438))</x:f>
        <x:v>0</x:v>
      </x:c>
      <x:c r="CA295" s="23" t="n">
        <x:f>MAX(0,MIN('Activities'!L295,450)-MAX('Activities'!K295,444))</x:f>
        <x:v>0</x:v>
      </x:c>
      <x:c r="CB295" s="23" t="n">
        <x:f>MAX(0,MIN('Activities'!L295,456)-MAX('Activities'!K295,450))</x:f>
        <x:v>0</x:v>
      </x:c>
      <x:c r="CC295" s="23" t="n">
        <x:f>MAX(0,MIN('Activities'!L295,462)-MAX('Activities'!K295,456))</x:f>
        <x:v>0</x:v>
      </x:c>
      <x:c r="CD295" s="23" t="n">
        <x:f>MAX(0,MIN('Activities'!L295,468)-MAX('Activities'!K295,462))</x:f>
        <x:v>0</x:v>
      </x:c>
      <x:c r="CE295" s="23" t="n">
        <x:f>MAX(0,MIN('Activities'!L295,474)-MAX('Activities'!K295,468))</x:f>
        <x:v>0</x:v>
      </x:c>
      <x:c r="CF295" s="23" t="n">
        <x:f>MAX(0,MIN('Activities'!L295,480)-MAX('Activities'!K295,474))</x:f>
        <x:v>0</x:v>
      </x:c>
      <x:c r="CG295" s="23" t="n">
        <x:f>MAX(0,MIN('Activities'!L295,486)-MAX('Activities'!K295,480))</x:f>
        <x:v>0</x:v>
      </x:c>
      <x:c r="CH295" s="23" t="n">
        <x:f>MAX(0,MIN('Activities'!L295,492)-MAX('Activities'!K295,486))</x:f>
        <x:v>0</x:v>
      </x:c>
      <x:c r="CI295" s="23" t="n">
        <x:f>MAX(0,MIN('Activities'!L295,498)-MAX('Activities'!K295,492))</x:f>
        <x:v>0</x:v>
      </x:c>
      <x:c r="CJ295" s="23" t="n">
        <x:f>MAX(0,MIN('Activities'!L295,504)-MAX('Activities'!K295,498))</x:f>
        <x:v>0</x:v>
      </x:c>
      <x:c r="CK295" s="23" t="n">
        <x:f>MAX(0,MIN('Activities'!L295,510)-MAX('Activities'!K295,504))</x:f>
        <x:v>0</x:v>
      </x:c>
      <x:c r="CL295" s="23" t="n">
        <x:f>MAX(0,MIN('Activities'!L295,516)-MAX('Activities'!K295,510))</x:f>
        <x:v>0</x:v>
      </x:c>
      <x:c r="CM295" s="23" t="n">
        <x:f>MAX(0,MIN('Activities'!L295,522)-MAX('Activities'!K295,516))</x:f>
        <x:v>0</x:v>
      </x:c>
      <x:c r="CN295" s="23" t="n">
        <x:f>MAX(0,MIN('Activities'!L295,528)-MAX('Activities'!K295,522))</x:f>
        <x:v>0</x:v>
      </x:c>
      <x:c r="CO295" s="23" t="n">
        <x:f>MAX(0,MIN('Activities'!L295,534)-MAX('Activities'!K295,528))</x:f>
        <x:v>0</x:v>
      </x:c>
      <x:c r="CP295" s="23" t="n">
        <x:f>MAX(0,MIN('Activities'!L295,540)-MAX('Activities'!K295,534))</x:f>
        <x:v>0</x:v>
      </x:c>
      <x:c r="CQ295" s="23" t="n">
        <x:f>MAX(0,MIN('Activities'!L295,546)-MAX('Activities'!K295,540))</x:f>
        <x:v>0</x:v>
      </x:c>
      <x:c r="CR295" s="23" t="n">
        <x:f>MAX(0,MIN('Activities'!L295,552)-MAX('Activities'!K295,546))</x:f>
        <x:v>0</x:v>
      </x:c>
      <x:c r="CS295" s="23" t="n">
        <x:f>MAX(0,MIN('Activities'!L295,558)-MAX('Activities'!K295,552))</x:f>
        <x:v>0</x:v>
      </x:c>
      <x:c r="CT295" s="23" t="n">
        <x:f>MAX(0,MIN('Activities'!L295,564)-MAX('Activities'!K295,558))</x:f>
        <x:v>0</x:v>
      </x:c>
      <x:c r="CU295" s="23" t="n">
        <x:f>MAX(0,MIN('Activities'!L295,570)-MAX('Activities'!K295,564))</x:f>
        <x:v>0</x:v>
      </x:c>
      <x:c r="CV295" s="23" t="n">
        <x:f>MAX(0,MIN('Activities'!L295,576)-MAX('Activities'!K295,570))</x:f>
        <x:v>0</x:v>
      </x:c>
      <x:c r="CW295" s="23" t="n">
        <x:f>MAX(0,MIN('Activities'!L295,582)-MAX('Activities'!K295,576))</x:f>
        <x:v>0</x:v>
      </x:c>
      <x:c r="CX295" s="23" t="n">
        <x:f>MAX(0,MIN('Activities'!L295,588)-MAX('Activities'!K295,582))</x:f>
        <x:v>0</x:v>
      </x:c>
      <x:c r="CY295" s="23" t="n">
        <x:f>MAX(0,MIN('Activities'!L295,594)-MAX('Activities'!K295,588))</x:f>
        <x:v>0</x:v>
      </x:c>
      <x:c r="CZ295" s="23" t="n">
        <x:f>MAX(0,MIN('Activities'!L295,600)-MAX('Activities'!K295,594))</x:f>
        <x:v>0</x:v>
      </x:c>
      <x:c r="DA295" s="23" t="n">
        <x:f>MAX(0,MIN('Activities'!L295,606)-MAX('Activities'!K295,600))</x:f>
        <x:v>0</x:v>
      </x:c>
      <x:c r="DB295" s="23" t="n">
        <x:f>MAX(0,MIN('Activities'!L295,612)-MAX('Activities'!K295,606))</x:f>
        <x:v>0</x:v>
      </x:c>
      <x:c r="DC295" s="23" t="n">
        <x:f>MAX(0,MIN('Activities'!L295,618)-MAX('Activities'!K295,612))</x:f>
        <x:v>0</x:v>
      </x:c>
      <x:c r="DD295" s="23" t="n">
        <x:f>MAX(0,MIN('Activities'!L295,624)-MAX('Activities'!K295,618))</x:f>
        <x:v>0</x:v>
      </x:c>
      <x:c r="DE295" s="23" t="n">
        <x:f>MAX(0,MIN('Activities'!L295,630)-MAX('Activities'!K295,624))</x:f>
        <x:v>0</x:v>
      </x:c>
      <x:c r="DF295" s="23" t="n">
        <x:f>MAX(0,MIN('Activities'!L295,636)-MAX('Activities'!K295,630))</x:f>
        <x:v>0</x:v>
      </x:c>
    </x:row>
    <x:row r="296" ht="23" customHeight="1">
      <x:c r="A296" s="6" t="str">
        <x:v>T3-L03-C</x:v>
      </x:c>
      <x:c r="B296" s="6" t="str">
        <x:v>T3</x:v>
      </x:c>
      <x:c r="C296" s="6" t="str">
        <x:v>Concrete placement and finishing</x:v>
      </x:c>
      <x:c r="D296" s="6" t="str">
        <x:v>Concrete</x:v>
      </x:c>
      <x:c r="E296" s="22" t="n">
        <x:f>MAX(0,MIN('Activities'!L296,6)-MAX('Activities'!K296,0))</x:f>
        <x:v>0</x:v>
      </x:c>
      <x:c r="F296" s="22" t="n">
        <x:f>MAX(0,MIN('Activities'!L296,12)-MAX('Activities'!K296,6))</x:f>
        <x:v>0</x:v>
      </x:c>
      <x:c r="G296" s="22" t="n">
        <x:f>MAX(0,MIN('Activities'!L296,18)-MAX('Activities'!K296,12))</x:f>
        <x:v>0</x:v>
      </x:c>
      <x:c r="H296" s="22" t="n">
        <x:f>MAX(0,MIN('Activities'!L296,24)-MAX('Activities'!K296,18))</x:f>
        <x:v>0</x:v>
      </x:c>
      <x:c r="I296" s="22" t="n">
        <x:f>MAX(0,MIN('Activities'!L296,30)-MAX('Activities'!K296,24))</x:f>
        <x:v>0</x:v>
      </x:c>
      <x:c r="J296" s="22" t="n">
        <x:f>MAX(0,MIN('Activities'!L296,36)-MAX('Activities'!K296,30))</x:f>
        <x:v>0</x:v>
      </x:c>
      <x:c r="K296" s="22" t="n">
        <x:f>MAX(0,MIN('Activities'!L296,42)-MAX('Activities'!K296,36))</x:f>
        <x:v>0</x:v>
      </x:c>
      <x:c r="L296" s="22" t="n">
        <x:f>MAX(0,MIN('Activities'!L296,48)-MAX('Activities'!K296,42))</x:f>
        <x:v>0</x:v>
      </x:c>
      <x:c r="M296" s="22" t="n">
        <x:f>MAX(0,MIN('Activities'!L296,54)-MAX('Activities'!K296,48))</x:f>
        <x:v>0</x:v>
      </x:c>
      <x:c r="N296" s="22" t="n">
        <x:f>MAX(0,MIN('Activities'!L296,60)-MAX('Activities'!K296,54))</x:f>
        <x:v>0</x:v>
      </x:c>
      <x:c r="O296" s="22" t="n">
        <x:f>MAX(0,MIN('Activities'!L296,66)-MAX('Activities'!K296,60))</x:f>
        <x:v>0</x:v>
      </x:c>
      <x:c r="P296" s="22" t="n">
        <x:f>MAX(0,MIN('Activities'!L296,72)-MAX('Activities'!K296,66))</x:f>
        <x:v>0</x:v>
      </x:c>
      <x:c r="Q296" s="22" t="n">
        <x:f>MAX(0,MIN('Activities'!L296,78)-MAX('Activities'!K296,72))</x:f>
        <x:v>0</x:v>
      </x:c>
      <x:c r="R296" s="22" t="n">
        <x:f>MAX(0,MIN('Activities'!L296,84)-MAX('Activities'!K296,78))</x:f>
        <x:v>0</x:v>
      </x:c>
      <x:c r="S296" s="22" t="n">
        <x:f>MAX(0,MIN('Activities'!L296,90)-MAX('Activities'!K296,84))</x:f>
        <x:v>0</x:v>
      </x:c>
      <x:c r="T296" s="22" t="n">
        <x:f>MAX(0,MIN('Activities'!L296,96)-MAX('Activities'!K296,90))</x:f>
        <x:v>0</x:v>
      </x:c>
      <x:c r="U296" s="22" t="n">
        <x:f>MAX(0,MIN('Activities'!L296,102)-MAX('Activities'!K296,96))</x:f>
        <x:v>0</x:v>
      </x:c>
      <x:c r="V296" s="22" t="n">
        <x:f>MAX(0,MIN('Activities'!L296,108)-MAX('Activities'!K296,102))</x:f>
        <x:v>0</x:v>
      </x:c>
      <x:c r="W296" s="22" t="n">
        <x:f>MAX(0,MIN('Activities'!L296,114)-MAX('Activities'!K296,108))</x:f>
        <x:v>0</x:v>
      </x:c>
      <x:c r="X296" s="22" t="n">
        <x:f>MAX(0,MIN('Activities'!L296,120)-MAX('Activities'!K296,114))</x:f>
        <x:v>0</x:v>
      </x:c>
      <x:c r="Y296" s="22" t="n">
        <x:f>MAX(0,MIN('Activities'!L296,126)-MAX('Activities'!K296,120))</x:f>
        <x:v>0</x:v>
      </x:c>
      <x:c r="Z296" s="22" t="n">
        <x:f>MAX(0,MIN('Activities'!L296,132)-MAX('Activities'!K296,126))</x:f>
        <x:v>0</x:v>
      </x:c>
      <x:c r="AA296" s="22" t="n">
        <x:f>MAX(0,MIN('Activities'!L296,138)-MAX('Activities'!K296,132))</x:f>
        <x:v>0</x:v>
      </x:c>
      <x:c r="AB296" s="22" t="n">
        <x:f>MAX(0,MIN('Activities'!L296,144)-MAX('Activities'!K296,138))</x:f>
        <x:v>0</x:v>
      </x:c>
      <x:c r="AC296" s="22" t="n">
        <x:f>MAX(0,MIN('Activities'!L296,150)-MAX('Activities'!K296,144))</x:f>
        <x:v>0</x:v>
      </x:c>
      <x:c r="AD296" s="22" t="n">
        <x:f>MAX(0,MIN('Activities'!L296,156)-MAX('Activities'!K296,150))</x:f>
        <x:v>0</x:v>
      </x:c>
      <x:c r="AE296" s="22" t="n">
        <x:f>MAX(0,MIN('Activities'!L296,162)-MAX('Activities'!K296,156))</x:f>
        <x:v>0</x:v>
      </x:c>
      <x:c r="AF296" s="22" t="n">
        <x:f>MAX(0,MIN('Activities'!L296,168)-MAX('Activities'!K296,162))</x:f>
        <x:v>0</x:v>
      </x:c>
      <x:c r="AG296" s="22" t="n">
        <x:f>MAX(0,MIN('Activities'!L296,174)-MAX('Activities'!K296,168))</x:f>
        <x:v>0</x:v>
      </x:c>
      <x:c r="AH296" s="22" t="n">
        <x:f>MAX(0,MIN('Activities'!L296,180)-MAX('Activities'!K296,174))</x:f>
        <x:v>0</x:v>
      </x:c>
      <x:c r="AI296" s="22" t="n">
        <x:f>MAX(0,MIN('Activities'!L296,186)-MAX('Activities'!K296,180))</x:f>
        <x:v>0</x:v>
      </x:c>
      <x:c r="AJ296" s="22" t="n">
        <x:f>MAX(0,MIN('Activities'!L296,192)-MAX('Activities'!K296,186))</x:f>
        <x:v>0</x:v>
      </x:c>
      <x:c r="AK296" s="22" t="n">
        <x:f>MAX(0,MIN('Activities'!L296,198)-MAX('Activities'!K296,192))</x:f>
        <x:v>0</x:v>
      </x:c>
      <x:c r="AL296" s="22" t="n">
        <x:f>MAX(0,MIN('Activities'!L296,204)-MAX('Activities'!K296,198))</x:f>
        <x:v>0</x:v>
      </x:c>
      <x:c r="AM296" s="22" t="n">
        <x:f>MAX(0,MIN('Activities'!L296,210)-MAX('Activities'!K296,204))</x:f>
        <x:v>0</x:v>
      </x:c>
      <x:c r="AN296" s="22" t="n">
        <x:f>MAX(0,MIN('Activities'!L296,216)-MAX('Activities'!K296,210))</x:f>
        <x:v>0</x:v>
      </x:c>
      <x:c r="AO296" s="22" t="n">
        <x:f>MAX(0,MIN('Activities'!L296,222)-MAX('Activities'!K296,216))</x:f>
        <x:v>0</x:v>
      </x:c>
      <x:c r="AP296" s="22" t="n">
        <x:f>MAX(0,MIN('Activities'!L296,228)-MAX('Activities'!K296,222))</x:f>
        <x:v>2</x:v>
      </x:c>
      <x:c r="AQ296" s="22" t="n">
        <x:f>MAX(0,MIN('Activities'!L296,234)-MAX('Activities'!K296,228))</x:f>
        <x:v>0</x:v>
      </x:c>
      <x:c r="AR296" s="22" t="n">
        <x:f>MAX(0,MIN('Activities'!L296,240)-MAX('Activities'!K296,234))</x:f>
        <x:v>0</x:v>
      </x:c>
      <x:c r="AS296" s="22" t="n">
        <x:f>MAX(0,MIN('Activities'!L296,246)-MAX('Activities'!K296,240))</x:f>
        <x:v>0</x:v>
      </x:c>
      <x:c r="AT296" s="22" t="n">
        <x:f>MAX(0,MIN('Activities'!L296,252)-MAX('Activities'!K296,246))</x:f>
        <x:v>0</x:v>
      </x:c>
      <x:c r="AU296" s="22" t="n">
        <x:f>MAX(0,MIN('Activities'!L296,258)-MAX('Activities'!K296,252))</x:f>
        <x:v>0</x:v>
      </x:c>
      <x:c r="AV296" s="22" t="n">
        <x:f>MAX(0,MIN('Activities'!L296,264)-MAX('Activities'!K296,258))</x:f>
        <x:v>0</x:v>
      </x:c>
      <x:c r="AW296" s="22" t="n">
        <x:f>MAX(0,MIN('Activities'!L296,270)-MAX('Activities'!K296,264))</x:f>
        <x:v>0</x:v>
      </x:c>
      <x:c r="AX296" s="22" t="n">
        <x:f>MAX(0,MIN('Activities'!L296,276)-MAX('Activities'!K296,270))</x:f>
        <x:v>0</x:v>
      </x:c>
      <x:c r="AY296" s="22" t="n">
        <x:f>MAX(0,MIN('Activities'!L296,282)-MAX('Activities'!K296,276))</x:f>
        <x:v>0</x:v>
      </x:c>
      <x:c r="AZ296" s="22" t="n">
        <x:f>MAX(0,MIN('Activities'!L296,288)-MAX('Activities'!K296,282))</x:f>
        <x:v>0</x:v>
      </x:c>
      <x:c r="BA296" s="22" t="n">
        <x:f>MAX(0,MIN('Activities'!L296,294)-MAX('Activities'!K296,288))</x:f>
        <x:v>0</x:v>
      </x:c>
      <x:c r="BB296" s="22" t="n">
        <x:f>MAX(0,MIN('Activities'!L296,300)-MAX('Activities'!K296,294))</x:f>
        <x:v>0</x:v>
      </x:c>
      <x:c r="BC296" s="22" t="n">
        <x:f>MAX(0,MIN('Activities'!L296,306)-MAX('Activities'!K296,300))</x:f>
        <x:v>0</x:v>
      </x:c>
      <x:c r="BD296" s="22" t="n">
        <x:f>MAX(0,MIN('Activities'!L296,312)-MAX('Activities'!K296,306))</x:f>
        <x:v>0</x:v>
      </x:c>
      <x:c r="BE296" s="22" t="n">
        <x:f>MAX(0,MIN('Activities'!L296,318)-MAX('Activities'!K296,312))</x:f>
        <x:v>0</x:v>
      </x:c>
      <x:c r="BF296" s="22" t="n">
        <x:f>MAX(0,MIN('Activities'!L296,324)-MAX('Activities'!K296,318))</x:f>
        <x:v>0</x:v>
      </x:c>
      <x:c r="BG296" s="22" t="n">
        <x:f>MAX(0,MIN('Activities'!L296,330)-MAX('Activities'!K296,324))</x:f>
        <x:v>0</x:v>
      </x:c>
      <x:c r="BH296" s="22" t="n">
        <x:f>MAX(0,MIN('Activities'!L296,336)-MAX('Activities'!K296,330))</x:f>
        <x:v>0</x:v>
      </x:c>
      <x:c r="BI296" s="22" t="n">
        <x:f>MAX(0,MIN('Activities'!L296,342)-MAX('Activities'!K296,336))</x:f>
        <x:v>0</x:v>
      </x:c>
      <x:c r="BJ296" s="22" t="n">
        <x:f>MAX(0,MIN('Activities'!L296,348)-MAX('Activities'!K296,342))</x:f>
        <x:v>0</x:v>
      </x:c>
      <x:c r="BK296" s="22" t="n">
        <x:f>MAX(0,MIN('Activities'!L296,354)-MAX('Activities'!K296,348))</x:f>
        <x:v>0</x:v>
      </x:c>
      <x:c r="BL296" s="22" t="n">
        <x:f>MAX(0,MIN('Activities'!L296,360)-MAX('Activities'!K296,354))</x:f>
        <x:v>0</x:v>
      </x:c>
      <x:c r="BM296" s="22" t="n">
        <x:f>MAX(0,MIN('Activities'!L296,366)-MAX('Activities'!K296,360))</x:f>
        <x:v>0</x:v>
      </x:c>
      <x:c r="BN296" s="22" t="n">
        <x:f>MAX(0,MIN('Activities'!L296,372)-MAX('Activities'!K296,366))</x:f>
        <x:v>0</x:v>
      </x:c>
      <x:c r="BO296" s="22" t="n">
        <x:f>MAX(0,MIN('Activities'!L296,378)-MAX('Activities'!K296,372))</x:f>
        <x:v>0</x:v>
      </x:c>
      <x:c r="BP296" s="22" t="n">
        <x:f>MAX(0,MIN('Activities'!L296,384)-MAX('Activities'!K296,378))</x:f>
        <x:v>0</x:v>
      </x:c>
      <x:c r="BQ296" s="22" t="n">
        <x:f>MAX(0,MIN('Activities'!L296,390)-MAX('Activities'!K296,384))</x:f>
        <x:v>0</x:v>
      </x:c>
      <x:c r="BR296" s="22" t="n">
        <x:f>MAX(0,MIN('Activities'!L296,396)-MAX('Activities'!K296,390))</x:f>
        <x:v>0</x:v>
      </x:c>
      <x:c r="BS296" s="22" t="n">
        <x:f>MAX(0,MIN('Activities'!L296,402)-MAX('Activities'!K296,396))</x:f>
        <x:v>0</x:v>
      </x:c>
      <x:c r="BT296" s="22" t="n">
        <x:f>MAX(0,MIN('Activities'!L296,408)-MAX('Activities'!K296,402))</x:f>
        <x:v>0</x:v>
      </x:c>
      <x:c r="BU296" s="22" t="n">
        <x:f>MAX(0,MIN('Activities'!L296,414)-MAX('Activities'!K296,408))</x:f>
        <x:v>0</x:v>
      </x:c>
      <x:c r="BV296" s="22" t="n">
        <x:f>MAX(0,MIN('Activities'!L296,420)-MAX('Activities'!K296,414))</x:f>
        <x:v>0</x:v>
      </x:c>
      <x:c r="BW296" s="22" t="n">
        <x:f>MAX(0,MIN('Activities'!L296,426)-MAX('Activities'!K296,420))</x:f>
        <x:v>0</x:v>
      </x:c>
      <x:c r="BX296" s="22" t="n">
        <x:f>MAX(0,MIN('Activities'!L296,432)-MAX('Activities'!K296,426))</x:f>
        <x:v>0</x:v>
      </x:c>
      <x:c r="BY296" s="22" t="n">
        <x:f>MAX(0,MIN('Activities'!L296,438)-MAX('Activities'!K296,432))</x:f>
        <x:v>0</x:v>
      </x:c>
      <x:c r="BZ296" s="22" t="n">
        <x:f>MAX(0,MIN('Activities'!L296,444)-MAX('Activities'!K296,438))</x:f>
        <x:v>0</x:v>
      </x:c>
      <x:c r="CA296" s="22" t="n">
        <x:f>MAX(0,MIN('Activities'!L296,450)-MAX('Activities'!K296,444))</x:f>
        <x:v>0</x:v>
      </x:c>
      <x:c r="CB296" s="22" t="n">
        <x:f>MAX(0,MIN('Activities'!L296,456)-MAX('Activities'!K296,450))</x:f>
        <x:v>0</x:v>
      </x:c>
      <x:c r="CC296" s="22" t="n">
        <x:f>MAX(0,MIN('Activities'!L296,462)-MAX('Activities'!K296,456))</x:f>
        <x:v>0</x:v>
      </x:c>
      <x:c r="CD296" s="22" t="n">
        <x:f>MAX(0,MIN('Activities'!L296,468)-MAX('Activities'!K296,462))</x:f>
        <x:v>0</x:v>
      </x:c>
      <x:c r="CE296" s="22" t="n">
        <x:f>MAX(0,MIN('Activities'!L296,474)-MAX('Activities'!K296,468))</x:f>
        <x:v>0</x:v>
      </x:c>
      <x:c r="CF296" s="22" t="n">
        <x:f>MAX(0,MIN('Activities'!L296,480)-MAX('Activities'!K296,474))</x:f>
        <x:v>0</x:v>
      </x:c>
      <x:c r="CG296" s="22" t="n">
        <x:f>MAX(0,MIN('Activities'!L296,486)-MAX('Activities'!K296,480))</x:f>
        <x:v>0</x:v>
      </x:c>
      <x:c r="CH296" s="22" t="n">
        <x:f>MAX(0,MIN('Activities'!L296,492)-MAX('Activities'!K296,486))</x:f>
        <x:v>0</x:v>
      </x:c>
      <x:c r="CI296" s="22" t="n">
        <x:f>MAX(0,MIN('Activities'!L296,498)-MAX('Activities'!K296,492))</x:f>
        <x:v>0</x:v>
      </x:c>
      <x:c r="CJ296" s="22" t="n">
        <x:f>MAX(0,MIN('Activities'!L296,504)-MAX('Activities'!K296,498))</x:f>
        <x:v>0</x:v>
      </x:c>
      <x:c r="CK296" s="22" t="n">
        <x:f>MAX(0,MIN('Activities'!L296,510)-MAX('Activities'!K296,504))</x:f>
        <x:v>0</x:v>
      </x:c>
      <x:c r="CL296" s="22" t="n">
        <x:f>MAX(0,MIN('Activities'!L296,516)-MAX('Activities'!K296,510))</x:f>
        <x:v>0</x:v>
      </x:c>
      <x:c r="CM296" s="22" t="n">
        <x:f>MAX(0,MIN('Activities'!L296,522)-MAX('Activities'!K296,516))</x:f>
        <x:v>0</x:v>
      </x:c>
      <x:c r="CN296" s="22" t="n">
        <x:f>MAX(0,MIN('Activities'!L296,528)-MAX('Activities'!K296,522))</x:f>
        <x:v>0</x:v>
      </x:c>
      <x:c r="CO296" s="22" t="n">
        <x:f>MAX(0,MIN('Activities'!L296,534)-MAX('Activities'!K296,528))</x:f>
        <x:v>0</x:v>
      </x:c>
      <x:c r="CP296" s="22" t="n">
        <x:f>MAX(0,MIN('Activities'!L296,540)-MAX('Activities'!K296,534))</x:f>
        <x:v>0</x:v>
      </x:c>
      <x:c r="CQ296" s="22" t="n">
        <x:f>MAX(0,MIN('Activities'!L296,546)-MAX('Activities'!K296,540))</x:f>
        <x:v>0</x:v>
      </x:c>
      <x:c r="CR296" s="22" t="n">
        <x:f>MAX(0,MIN('Activities'!L296,552)-MAX('Activities'!K296,546))</x:f>
        <x:v>0</x:v>
      </x:c>
      <x:c r="CS296" s="22" t="n">
        <x:f>MAX(0,MIN('Activities'!L296,558)-MAX('Activities'!K296,552))</x:f>
        <x:v>0</x:v>
      </x:c>
      <x:c r="CT296" s="22" t="n">
        <x:f>MAX(0,MIN('Activities'!L296,564)-MAX('Activities'!K296,558))</x:f>
        <x:v>0</x:v>
      </x:c>
      <x:c r="CU296" s="22" t="n">
        <x:f>MAX(0,MIN('Activities'!L296,570)-MAX('Activities'!K296,564))</x:f>
        <x:v>0</x:v>
      </x:c>
      <x:c r="CV296" s="22" t="n">
        <x:f>MAX(0,MIN('Activities'!L296,576)-MAX('Activities'!K296,570))</x:f>
        <x:v>0</x:v>
      </x:c>
      <x:c r="CW296" s="22" t="n">
        <x:f>MAX(0,MIN('Activities'!L296,582)-MAX('Activities'!K296,576))</x:f>
        <x:v>0</x:v>
      </x:c>
      <x:c r="CX296" s="22" t="n">
        <x:f>MAX(0,MIN('Activities'!L296,588)-MAX('Activities'!K296,582))</x:f>
        <x:v>0</x:v>
      </x:c>
      <x:c r="CY296" s="22" t="n">
        <x:f>MAX(0,MIN('Activities'!L296,594)-MAX('Activities'!K296,588))</x:f>
        <x:v>0</x:v>
      </x:c>
      <x:c r="CZ296" s="22" t="n">
        <x:f>MAX(0,MIN('Activities'!L296,600)-MAX('Activities'!K296,594))</x:f>
        <x:v>0</x:v>
      </x:c>
      <x:c r="DA296" s="22" t="n">
        <x:f>MAX(0,MIN('Activities'!L296,606)-MAX('Activities'!K296,600))</x:f>
        <x:v>0</x:v>
      </x:c>
      <x:c r="DB296" s="22" t="n">
        <x:f>MAX(0,MIN('Activities'!L296,612)-MAX('Activities'!K296,606))</x:f>
        <x:v>0</x:v>
      </x:c>
      <x:c r="DC296" s="22" t="n">
        <x:f>MAX(0,MIN('Activities'!L296,618)-MAX('Activities'!K296,612))</x:f>
        <x:v>0</x:v>
      </x:c>
      <x:c r="DD296" s="22" t="n">
        <x:f>MAX(0,MIN('Activities'!L296,624)-MAX('Activities'!K296,618))</x:f>
        <x:v>0</x:v>
      </x:c>
      <x:c r="DE296" s="22" t="n">
        <x:f>MAX(0,MIN('Activities'!L296,630)-MAX('Activities'!K296,624))</x:f>
        <x:v>0</x:v>
      </x:c>
      <x:c r="DF296" s="22" t="n">
        <x:f>MAX(0,MIN('Activities'!L296,636)-MAX('Activities'!K296,630))</x:f>
        <x:v>0</x:v>
      </x:c>
    </x:row>
    <x:row r="297" ht="23" customHeight="1">
      <x:c r="A297" s="1" t="str">
        <x:v>T3-L03-H</x:v>
      </x:c>
      <x:c r="B297" s="1" t="str">
        <x:v>T3</x:v>
      </x:c>
      <x:c r="C297" s="1" t="str">
        <x:v>Curing and release hold point</x:v>
      </x:c>
      <x:c r="D297" s="1" t="str">
        <x:v>Site</x:v>
      </x:c>
      <x:c r="E297" s="23" t="n">
        <x:f>MAX(0,MIN('Activities'!L297,6)-MAX('Activities'!K297,0))</x:f>
        <x:v>0</x:v>
      </x:c>
      <x:c r="F297" s="23" t="n">
        <x:f>MAX(0,MIN('Activities'!L297,12)-MAX('Activities'!K297,6))</x:f>
        <x:v>0</x:v>
      </x:c>
      <x:c r="G297" s="23" t="n">
        <x:f>MAX(0,MIN('Activities'!L297,18)-MAX('Activities'!K297,12))</x:f>
        <x:v>0</x:v>
      </x:c>
      <x:c r="H297" s="23" t="n">
        <x:f>MAX(0,MIN('Activities'!L297,24)-MAX('Activities'!K297,18))</x:f>
        <x:v>0</x:v>
      </x:c>
      <x:c r="I297" s="23" t="n">
        <x:f>MAX(0,MIN('Activities'!L297,30)-MAX('Activities'!K297,24))</x:f>
        <x:v>0</x:v>
      </x:c>
      <x:c r="J297" s="23" t="n">
        <x:f>MAX(0,MIN('Activities'!L297,36)-MAX('Activities'!K297,30))</x:f>
        <x:v>0</x:v>
      </x:c>
      <x:c r="K297" s="23" t="n">
        <x:f>MAX(0,MIN('Activities'!L297,42)-MAX('Activities'!K297,36))</x:f>
        <x:v>0</x:v>
      </x:c>
      <x:c r="L297" s="23" t="n">
        <x:f>MAX(0,MIN('Activities'!L297,48)-MAX('Activities'!K297,42))</x:f>
        <x:v>0</x:v>
      </x:c>
      <x:c r="M297" s="23" t="n">
        <x:f>MAX(0,MIN('Activities'!L297,54)-MAX('Activities'!K297,48))</x:f>
        <x:v>0</x:v>
      </x:c>
      <x:c r="N297" s="23" t="n">
        <x:f>MAX(0,MIN('Activities'!L297,60)-MAX('Activities'!K297,54))</x:f>
        <x:v>0</x:v>
      </x:c>
      <x:c r="O297" s="23" t="n">
        <x:f>MAX(0,MIN('Activities'!L297,66)-MAX('Activities'!K297,60))</x:f>
        <x:v>0</x:v>
      </x:c>
      <x:c r="P297" s="23" t="n">
        <x:f>MAX(0,MIN('Activities'!L297,72)-MAX('Activities'!K297,66))</x:f>
        <x:v>0</x:v>
      </x:c>
      <x:c r="Q297" s="23" t="n">
        <x:f>MAX(0,MIN('Activities'!L297,78)-MAX('Activities'!K297,72))</x:f>
        <x:v>0</x:v>
      </x:c>
      <x:c r="R297" s="23" t="n">
        <x:f>MAX(0,MIN('Activities'!L297,84)-MAX('Activities'!K297,78))</x:f>
        <x:v>0</x:v>
      </x:c>
      <x:c r="S297" s="23" t="n">
        <x:f>MAX(0,MIN('Activities'!L297,90)-MAX('Activities'!K297,84))</x:f>
        <x:v>0</x:v>
      </x:c>
      <x:c r="T297" s="23" t="n">
        <x:f>MAX(0,MIN('Activities'!L297,96)-MAX('Activities'!K297,90))</x:f>
        <x:v>0</x:v>
      </x:c>
      <x:c r="U297" s="23" t="n">
        <x:f>MAX(0,MIN('Activities'!L297,102)-MAX('Activities'!K297,96))</x:f>
        <x:v>0</x:v>
      </x:c>
      <x:c r="V297" s="23" t="n">
        <x:f>MAX(0,MIN('Activities'!L297,108)-MAX('Activities'!K297,102))</x:f>
        <x:v>0</x:v>
      </x:c>
      <x:c r="W297" s="23" t="n">
        <x:f>MAX(0,MIN('Activities'!L297,114)-MAX('Activities'!K297,108))</x:f>
        <x:v>0</x:v>
      </x:c>
      <x:c r="X297" s="23" t="n">
        <x:f>MAX(0,MIN('Activities'!L297,120)-MAX('Activities'!K297,114))</x:f>
        <x:v>0</x:v>
      </x:c>
      <x:c r="Y297" s="23" t="n">
        <x:f>MAX(0,MIN('Activities'!L297,126)-MAX('Activities'!K297,120))</x:f>
        <x:v>0</x:v>
      </x:c>
      <x:c r="Z297" s="23" t="n">
        <x:f>MAX(0,MIN('Activities'!L297,132)-MAX('Activities'!K297,126))</x:f>
        <x:v>0</x:v>
      </x:c>
      <x:c r="AA297" s="23" t="n">
        <x:f>MAX(0,MIN('Activities'!L297,138)-MAX('Activities'!K297,132))</x:f>
        <x:v>0</x:v>
      </x:c>
      <x:c r="AB297" s="23" t="n">
        <x:f>MAX(0,MIN('Activities'!L297,144)-MAX('Activities'!K297,138))</x:f>
        <x:v>0</x:v>
      </x:c>
      <x:c r="AC297" s="23" t="n">
        <x:f>MAX(0,MIN('Activities'!L297,150)-MAX('Activities'!K297,144))</x:f>
        <x:v>0</x:v>
      </x:c>
      <x:c r="AD297" s="23" t="n">
        <x:f>MAX(0,MIN('Activities'!L297,156)-MAX('Activities'!K297,150))</x:f>
        <x:v>0</x:v>
      </x:c>
      <x:c r="AE297" s="23" t="n">
        <x:f>MAX(0,MIN('Activities'!L297,162)-MAX('Activities'!K297,156))</x:f>
        <x:v>0</x:v>
      </x:c>
      <x:c r="AF297" s="23" t="n">
        <x:f>MAX(0,MIN('Activities'!L297,168)-MAX('Activities'!K297,162))</x:f>
        <x:v>0</x:v>
      </x:c>
      <x:c r="AG297" s="23" t="n">
        <x:f>MAX(0,MIN('Activities'!L297,174)-MAX('Activities'!K297,168))</x:f>
        <x:v>0</x:v>
      </x:c>
      <x:c r="AH297" s="23" t="n">
        <x:f>MAX(0,MIN('Activities'!L297,180)-MAX('Activities'!K297,174))</x:f>
        <x:v>0</x:v>
      </x:c>
      <x:c r="AI297" s="23" t="n">
        <x:f>MAX(0,MIN('Activities'!L297,186)-MAX('Activities'!K297,180))</x:f>
        <x:v>0</x:v>
      </x:c>
      <x:c r="AJ297" s="23" t="n">
        <x:f>MAX(0,MIN('Activities'!L297,192)-MAX('Activities'!K297,186))</x:f>
        <x:v>0</x:v>
      </x:c>
      <x:c r="AK297" s="23" t="n">
        <x:f>MAX(0,MIN('Activities'!L297,198)-MAX('Activities'!K297,192))</x:f>
        <x:v>0</x:v>
      </x:c>
      <x:c r="AL297" s="23" t="n">
        <x:f>MAX(0,MIN('Activities'!L297,204)-MAX('Activities'!K297,198))</x:f>
        <x:v>0</x:v>
      </x:c>
      <x:c r="AM297" s="23" t="n">
        <x:f>MAX(0,MIN('Activities'!L297,210)-MAX('Activities'!K297,204))</x:f>
        <x:v>0</x:v>
      </x:c>
      <x:c r="AN297" s="23" t="n">
        <x:f>MAX(0,MIN('Activities'!L297,216)-MAX('Activities'!K297,210))</x:f>
        <x:v>0</x:v>
      </x:c>
      <x:c r="AO297" s="23" t="n">
        <x:f>MAX(0,MIN('Activities'!L297,222)-MAX('Activities'!K297,216))</x:f>
        <x:v>0</x:v>
      </x:c>
      <x:c r="AP297" s="23" t="n">
        <x:f>MAX(0,MIN('Activities'!L297,228)-MAX('Activities'!K297,222))</x:f>
        <x:v>3</x:v>
      </x:c>
      <x:c r="AQ297" s="23" t="n">
        <x:f>MAX(0,MIN('Activities'!L297,234)-MAX('Activities'!K297,228))</x:f>
        <x:v>2</x:v>
      </x:c>
      <x:c r="AR297" s="23" t="n">
        <x:f>MAX(0,MIN('Activities'!L297,240)-MAX('Activities'!K297,234))</x:f>
        <x:v>0</x:v>
      </x:c>
      <x:c r="AS297" s="23" t="n">
        <x:f>MAX(0,MIN('Activities'!L297,246)-MAX('Activities'!K297,240))</x:f>
        <x:v>0</x:v>
      </x:c>
      <x:c r="AT297" s="23" t="n">
        <x:f>MAX(0,MIN('Activities'!L297,252)-MAX('Activities'!K297,246))</x:f>
        <x:v>0</x:v>
      </x:c>
      <x:c r="AU297" s="23" t="n">
        <x:f>MAX(0,MIN('Activities'!L297,258)-MAX('Activities'!K297,252))</x:f>
        <x:v>0</x:v>
      </x:c>
      <x:c r="AV297" s="23" t="n">
        <x:f>MAX(0,MIN('Activities'!L297,264)-MAX('Activities'!K297,258))</x:f>
        <x:v>0</x:v>
      </x:c>
      <x:c r="AW297" s="23" t="n">
        <x:f>MAX(0,MIN('Activities'!L297,270)-MAX('Activities'!K297,264))</x:f>
        <x:v>0</x:v>
      </x:c>
      <x:c r="AX297" s="23" t="n">
        <x:f>MAX(0,MIN('Activities'!L297,276)-MAX('Activities'!K297,270))</x:f>
        <x:v>0</x:v>
      </x:c>
      <x:c r="AY297" s="23" t="n">
        <x:f>MAX(0,MIN('Activities'!L297,282)-MAX('Activities'!K297,276))</x:f>
        <x:v>0</x:v>
      </x:c>
      <x:c r="AZ297" s="23" t="n">
        <x:f>MAX(0,MIN('Activities'!L297,288)-MAX('Activities'!K297,282))</x:f>
        <x:v>0</x:v>
      </x:c>
      <x:c r="BA297" s="23" t="n">
        <x:f>MAX(0,MIN('Activities'!L297,294)-MAX('Activities'!K297,288))</x:f>
        <x:v>0</x:v>
      </x:c>
      <x:c r="BB297" s="23" t="n">
        <x:f>MAX(0,MIN('Activities'!L297,300)-MAX('Activities'!K297,294))</x:f>
        <x:v>0</x:v>
      </x:c>
      <x:c r="BC297" s="23" t="n">
        <x:f>MAX(0,MIN('Activities'!L297,306)-MAX('Activities'!K297,300))</x:f>
        <x:v>0</x:v>
      </x:c>
      <x:c r="BD297" s="23" t="n">
        <x:f>MAX(0,MIN('Activities'!L297,312)-MAX('Activities'!K297,306))</x:f>
        <x:v>0</x:v>
      </x:c>
      <x:c r="BE297" s="23" t="n">
        <x:f>MAX(0,MIN('Activities'!L297,318)-MAX('Activities'!K297,312))</x:f>
        <x:v>0</x:v>
      </x:c>
      <x:c r="BF297" s="23" t="n">
        <x:f>MAX(0,MIN('Activities'!L297,324)-MAX('Activities'!K297,318))</x:f>
        <x:v>0</x:v>
      </x:c>
      <x:c r="BG297" s="23" t="n">
        <x:f>MAX(0,MIN('Activities'!L297,330)-MAX('Activities'!K297,324))</x:f>
        <x:v>0</x:v>
      </x:c>
      <x:c r="BH297" s="23" t="n">
        <x:f>MAX(0,MIN('Activities'!L297,336)-MAX('Activities'!K297,330))</x:f>
        <x:v>0</x:v>
      </x:c>
      <x:c r="BI297" s="23" t="n">
        <x:f>MAX(0,MIN('Activities'!L297,342)-MAX('Activities'!K297,336))</x:f>
        <x:v>0</x:v>
      </x:c>
      <x:c r="BJ297" s="23" t="n">
        <x:f>MAX(0,MIN('Activities'!L297,348)-MAX('Activities'!K297,342))</x:f>
        <x:v>0</x:v>
      </x:c>
      <x:c r="BK297" s="23" t="n">
        <x:f>MAX(0,MIN('Activities'!L297,354)-MAX('Activities'!K297,348))</x:f>
        <x:v>0</x:v>
      </x:c>
      <x:c r="BL297" s="23" t="n">
        <x:f>MAX(0,MIN('Activities'!L297,360)-MAX('Activities'!K297,354))</x:f>
        <x:v>0</x:v>
      </x:c>
      <x:c r="BM297" s="23" t="n">
        <x:f>MAX(0,MIN('Activities'!L297,366)-MAX('Activities'!K297,360))</x:f>
        <x:v>0</x:v>
      </x:c>
      <x:c r="BN297" s="23" t="n">
        <x:f>MAX(0,MIN('Activities'!L297,372)-MAX('Activities'!K297,366))</x:f>
        <x:v>0</x:v>
      </x:c>
      <x:c r="BO297" s="23" t="n">
        <x:f>MAX(0,MIN('Activities'!L297,378)-MAX('Activities'!K297,372))</x:f>
        <x:v>0</x:v>
      </x:c>
      <x:c r="BP297" s="23" t="n">
        <x:f>MAX(0,MIN('Activities'!L297,384)-MAX('Activities'!K297,378))</x:f>
        <x:v>0</x:v>
      </x:c>
      <x:c r="BQ297" s="23" t="n">
        <x:f>MAX(0,MIN('Activities'!L297,390)-MAX('Activities'!K297,384))</x:f>
        <x:v>0</x:v>
      </x:c>
      <x:c r="BR297" s="23" t="n">
        <x:f>MAX(0,MIN('Activities'!L297,396)-MAX('Activities'!K297,390))</x:f>
        <x:v>0</x:v>
      </x:c>
      <x:c r="BS297" s="23" t="n">
        <x:f>MAX(0,MIN('Activities'!L297,402)-MAX('Activities'!K297,396))</x:f>
        <x:v>0</x:v>
      </x:c>
      <x:c r="BT297" s="23" t="n">
        <x:f>MAX(0,MIN('Activities'!L297,408)-MAX('Activities'!K297,402))</x:f>
        <x:v>0</x:v>
      </x:c>
      <x:c r="BU297" s="23" t="n">
        <x:f>MAX(0,MIN('Activities'!L297,414)-MAX('Activities'!K297,408))</x:f>
        <x:v>0</x:v>
      </x:c>
      <x:c r="BV297" s="23" t="n">
        <x:f>MAX(0,MIN('Activities'!L297,420)-MAX('Activities'!K297,414))</x:f>
        <x:v>0</x:v>
      </x:c>
      <x:c r="BW297" s="23" t="n">
        <x:f>MAX(0,MIN('Activities'!L297,426)-MAX('Activities'!K297,420))</x:f>
        <x:v>0</x:v>
      </x:c>
      <x:c r="BX297" s="23" t="n">
        <x:f>MAX(0,MIN('Activities'!L297,432)-MAX('Activities'!K297,426))</x:f>
        <x:v>0</x:v>
      </x:c>
      <x:c r="BY297" s="23" t="n">
        <x:f>MAX(0,MIN('Activities'!L297,438)-MAX('Activities'!K297,432))</x:f>
        <x:v>0</x:v>
      </x:c>
      <x:c r="BZ297" s="23" t="n">
        <x:f>MAX(0,MIN('Activities'!L297,444)-MAX('Activities'!K297,438))</x:f>
        <x:v>0</x:v>
      </x:c>
      <x:c r="CA297" s="23" t="n">
        <x:f>MAX(0,MIN('Activities'!L297,450)-MAX('Activities'!K297,444))</x:f>
        <x:v>0</x:v>
      </x:c>
      <x:c r="CB297" s="23" t="n">
        <x:f>MAX(0,MIN('Activities'!L297,456)-MAX('Activities'!K297,450))</x:f>
        <x:v>0</x:v>
      </x:c>
      <x:c r="CC297" s="23" t="n">
        <x:f>MAX(0,MIN('Activities'!L297,462)-MAX('Activities'!K297,456))</x:f>
        <x:v>0</x:v>
      </x:c>
      <x:c r="CD297" s="23" t="n">
        <x:f>MAX(0,MIN('Activities'!L297,468)-MAX('Activities'!K297,462))</x:f>
        <x:v>0</x:v>
      </x:c>
      <x:c r="CE297" s="23" t="n">
        <x:f>MAX(0,MIN('Activities'!L297,474)-MAX('Activities'!K297,468))</x:f>
        <x:v>0</x:v>
      </x:c>
      <x:c r="CF297" s="23" t="n">
        <x:f>MAX(0,MIN('Activities'!L297,480)-MAX('Activities'!K297,474))</x:f>
        <x:v>0</x:v>
      </x:c>
      <x:c r="CG297" s="23" t="n">
        <x:f>MAX(0,MIN('Activities'!L297,486)-MAX('Activities'!K297,480))</x:f>
        <x:v>0</x:v>
      </x:c>
      <x:c r="CH297" s="23" t="n">
        <x:f>MAX(0,MIN('Activities'!L297,492)-MAX('Activities'!K297,486))</x:f>
        <x:v>0</x:v>
      </x:c>
      <x:c r="CI297" s="23" t="n">
        <x:f>MAX(0,MIN('Activities'!L297,498)-MAX('Activities'!K297,492))</x:f>
        <x:v>0</x:v>
      </x:c>
      <x:c r="CJ297" s="23" t="n">
        <x:f>MAX(0,MIN('Activities'!L297,504)-MAX('Activities'!K297,498))</x:f>
        <x:v>0</x:v>
      </x:c>
      <x:c r="CK297" s="23" t="n">
        <x:f>MAX(0,MIN('Activities'!L297,510)-MAX('Activities'!K297,504))</x:f>
        <x:v>0</x:v>
      </x:c>
      <x:c r="CL297" s="23" t="n">
        <x:f>MAX(0,MIN('Activities'!L297,516)-MAX('Activities'!K297,510))</x:f>
        <x:v>0</x:v>
      </x:c>
      <x:c r="CM297" s="23" t="n">
        <x:f>MAX(0,MIN('Activities'!L297,522)-MAX('Activities'!K297,516))</x:f>
        <x:v>0</x:v>
      </x:c>
      <x:c r="CN297" s="23" t="n">
        <x:f>MAX(0,MIN('Activities'!L297,528)-MAX('Activities'!K297,522))</x:f>
        <x:v>0</x:v>
      </x:c>
      <x:c r="CO297" s="23" t="n">
        <x:f>MAX(0,MIN('Activities'!L297,534)-MAX('Activities'!K297,528))</x:f>
        <x:v>0</x:v>
      </x:c>
      <x:c r="CP297" s="23" t="n">
        <x:f>MAX(0,MIN('Activities'!L297,540)-MAX('Activities'!K297,534))</x:f>
        <x:v>0</x:v>
      </x:c>
      <x:c r="CQ297" s="23" t="n">
        <x:f>MAX(0,MIN('Activities'!L297,546)-MAX('Activities'!K297,540))</x:f>
        <x:v>0</x:v>
      </x:c>
      <x:c r="CR297" s="23" t="n">
        <x:f>MAX(0,MIN('Activities'!L297,552)-MAX('Activities'!K297,546))</x:f>
        <x:v>0</x:v>
      </x:c>
      <x:c r="CS297" s="23" t="n">
        <x:f>MAX(0,MIN('Activities'!L297,558)-MAX('Activities'!K297,552))</x:f>
        <x:v>0</x:v>
      </x:c>
      <x:c r="CT297" s="23" t="n">
        <x:f>MAX(0,MIN('Activities'!L297,564)-MAX('Activities'!K297,558))</x:f>
        <x:v>0</x:v>
      </x:c>
      <x:c r="CU297" s="23" t="n">
        <x:f>MAX(0,MIN('Activities'!L297,570)-MAX('Activities'!K297,564))</x:f>
        <x:v>0</x:v>
      </x:c>
      <x:c r="CV297" s="23" t="n">
        <x:f>MAX(0,MIN('Activities'!L297,576)-MAX('Activities'!K297,570))</x:f>
        <x:v>0</x:v>
      </x:c>
      <x:c r="CW297" s="23" t="n">
        <x:f>MAX(0,MIN('Activities'!L297,582)-MAX('Activities'!K297,576))</x:f>
        <x:v>0</x:v>
      </x:c>
      <x:c r="CX297" s="23" t="n">
        <x:f>MAX(0,MIN('Activities'!L297,588)-MAX('Activities'!K297,582))</x:f>
        <x:v>0</x:v>
      </x:c>
      <x:c r="CY297" s="23" t="n">
        <x:f>MAX(0,MIN('Activities'!L297,594)-MAX('Activities'!K297,588))</x:f>
        <x:v>0</x:v>
      </x:c>
      <x:c r="CZ297" s="23" t="n">
        <x:f>MAX(0,MIN('Activities'!L297,600)-MAX('Activities'!K297,594))</x:f>
        <x:v>0</x:v>
      </x:c>
      <x:c r="DA297" s="23" t="n">
        <x:f>MAX(0,MIN('Activities'!L297,606)-MAX('Activities'!K297,600))</x:f>
        <x:v>0</x:v>
      </x:c>
      <x:c r="DB297" s="23" t="n">
        <x:f>MAX(0,MIN('Activities'!L297,612)-MAX('Activities'!K297,606))</x:f>
        <x:v>0</x:v>
      </x:c>
      <x:c r="DC297" s="23" t="n">
        <x:f>MAX(0,MIN('Activities'!L297,618)-MAX('Activities'!K297,612))</x:f>
        <x:v>0</x:v>
      </x:c>
      <x:c r="DD297" s="23" t="n">
        <x:f>MAX(0,MIN('Activities'!L297,624)-MAX('Activities'!K297,618))</x:f>
        <x:v>0</x:v>
      </x:c>
      <x:c r="DE297" s="23" t="n">
        <x:f>MAX(0,MIN('Activities'!L297,630)-MAX('Activities'!K297,624))</x:f>
        <x:v>0</x:v>
      </x:c>
      <x:c r="DF297" s="23" t="n">
        <x:f>MAX(0,MIN('Activities'!L297,636)-MAX('Activities'!K297,630))</x:f>
        <x:v>0</x:v>
      </x:c>
    </x:row>
    <x:row r="298" ht="23" customHeight="1">
      <x:c r="A298" s="6" t="str">
        <x:v>T3-L04-F</x:v>
      </x:c>
      <x:c r="B298" s="6" t="str">
        <x:v>T3</x:v>
      </x:c>
      <x:c r="C298" s="6" t="str">
        <x:v>Columns, core and deck formwork</x:v>
      </x:c>
      <x:c r="D298" s="6" t="str">
        <x:v>Formwork</x:v>
      </x:c>
      <x:c r="E298" s="22" t="n">
        <x:f>MAX(0,MIN('Activities'!L298,6)-MAX('Activities'!K298,0))</x:f>
        <x:v>0</x:v>
      </x:c>
      <x:c r="F298" s="22" t="n">
        <x:f>MAX(0,MIN('Activities'!L298,12)-MAX('Activities'!K298,6))</x:f>
        <x:v>0</x:v>
      </x:c>
      <x:c r="G298" s="22" t="n">
        <x:f>MAX(0,MIN('Activities'!L298,18)-MAX('Activities'!K298,12))</x:f>
        <x:v>0</x:v>
      </x:c>
      <x:c r="H298" s="22" t="n">
        <x:f>MAX(0,MIN('Activities'!L298,24)-MAX('Activities'!K298,18))</x:f>
        <x:v>0</x:v>
      </x:c>
      <x:c r="I298" s="22" t="n">
        <x:f>MAX(0,MIN('Activities'!L298,30)-MAX('Activities'!K298,24))</x:f>
        <x:v>0</x:v>
      </x:c>
      <x:c r="J298" s="22" t="n">
        <x:f>MAX(0,MIN('Activities'!L298,36)-MAX('Activities'!K298,30))</x:f>
        <x:v>0</x:v>
      </x:c>
      <x:c r="K298" s="22" t="n">
        <x:f>MAX(0,MIN('Activities'!L298,42)-MAX('Activities'!K298,36))</x:f>
        <x:v>0</x:v>
      </x:c>
      <x:c r="L298" s="22" t="n">
        <x:f>MAX(0,MIN('Activities'!L298,48)-MAX('Activities'!K298,42))</x:f>
        <x:v>0</x:v>
      </x:c>
      <x:c r="M298" s="22" t="n">
        <x:f>MAX(0,MIN('Activities'!L298,54)-MAX('Activities'!K298,48))</x:f>
        <x:v>0</x:v>
      </x:c>
      <x:c r="N298" s="22" t="n">
        <x:f>MAX(0,MIN('Activities'!L298,60)-MAX('Activities'!K298,54))</x:f>
        <x:v>0</x:v>
      </x:c>
      <x:c r="O298" s="22" t="n">
        <x:f>MAX(0,MIN('Activities'!L298,66)-MAX('Activities'!K298,60))</x:f>
        <x:v>0</x:v>
      </x:c>
      <x:c r="P298" s="22" t="n">
        <x:f>MAX(0,MIN('Activities'!L298,72)-MAX('Activities'!K298,66))</x:f>
        <x:v>0</x:v>
      </x:c>
      <x:c r="Q298" s="22" t="n">
        <x:f>MAX(0,MIN('Activities'!L298,78)-MAX('Activities'!K298,72))</x:f>
        <x:v>0</x:v>
      </x:c>
      <x:c r="R298" s="22" t="n">
        <x:f>MAX(0,MIN('Activities'!L298,84)-MAX('Activities'!K298,78))</x:f>
        <x:v>0</x:v>
      </x:c>
      <x:c r="S298" s="22" t="n">
        <x:f>MAX(0,MIN('Activities'!L298,90)-MAX('Activities'!K298,84))</x:f>
        <x:v>0</x:v>
      </x:c>
      <x:c r="T298" s="22" t="n">
        <x:f>MAX(0,MIN('Activities'!L298,96)-MAX('Activities'!K298,90))</x:f>
        <x:v>0</x:v>
      </x:c>
      <x:c r="U298" s="22" t="n">
        <x:f>MAX(0,MIN('Activities'!L298,102)-MAX('Activities'!K298,96))</x:f>
        <x:v>0</x:v>
      </x:c>
      <x:c r="V298" s="22" t="n">
        <x:f>MAX(0,MIN('Activities'!L298,108)-MAX('Activities'!K298,102))</x:f>
        <x:v>0</x:v>
      </x:c>
      <x:c r="W298" s="22" t="n">
        <x:f>MAX(0,MIN('Activities'!L298,114)-MAX('Activities'!K298,108))</x:f>
        <x:v>0</x:v>
      </x:c>
      <x:c r="X298" s="22" t="n">
        <x:f>MAX(0,MIN('Activities'!L298,120)-MAX('Activities'!K298,114))</x:f>
        <x:v>0</x:v>
      </x:c>
      <x:c r="Y298" s="22" t="n">
        <x:f>MAX(0,MIN('Activities'!L298,126)-MAX('Activities'!K298,120))</x:f>
        <x:v>0</x:v>
      </x:c>
      <x:c r="Z298" s="22" t="n">
        <x:f>MAX(0,MIN('Activities'!L298,132)-MAX('Activities'!K298,126))</x:f>
        <x:v>0</x:v>
      </x:c>
      <x:c r="AA298" s="22" t="n">
        <x:f>MAX(0,MIN('Activities'!L298,138)-MAX('Activities'!K298,132))</x:f>
        <x:v>0</x:v>
      </x:c>
      <x:c r="AB298" s="22" t="n">
        <x:f>MAX(0,MIN('Activities'!L298,144)-MAX('Activities'!K298,138))</x:f>
        <x:v>0</x:v>
      </x:c>
      <x:c r="AC298" s="22" t="n">
        <x:f>MAX(0,MIN('Activities'!L298,150)-MAX('Activities'!K298,144))</x:f>
        <x:v>0</x:v>
      </x:c>
      <x:c r="AD298" s="22" t="n">
        <x:f>MAX(0,MIN('Activities'!L298,156)-MAX('Activities'!K298,150))</x:f>
        <x:v>0</x:v>
      </x:c>
      <x:c r="AE298" s="22" t="n">
        <x:f>MAX(0,MIN('Activities'!L298,162)-MAX('Activities'!K298,156))</x:f>
        <x:v>0</x:v>
      </x:c>
      <x:c r="AF298" s="22" t="n">
        <x:f>MAX(0,MIN('Activities'!L298,168)-MAX('Activities'!K298,162))</x:f>
        <x:v>0</x:v>
      </x:c>
      <x:c r="AG298" s="22" t="n">
        <x:f>MAX(0,MIN('Activities'!L298,174)-MAX('Activities'!K298,168))</x:f>
        <x:v>0</x:v>
      </x:c>
      <x:c r="AH298" s="22" t="n">
        <x:f>MAX(0,MIN('Activities'!L298,180)-MAX('Activities'!K298,174))</x:f>
        <x:v>0</x:v>
      </x:c>
      <x:c r="AI298" s="22" t="n">
        <x:f>MAX(0,MIN('Activities'!L298,186)-MAX('Activities'!K298,180))</x:f>
        <x:v>0</x:v>
      </x:c>
      <x:c r="AJ298" s="22" t="n">
        <x:f>MAX(0,MIN('Activities'!L298,192)-MAX('Activities'!K298,186))</x:f>
        <x:v>0</x:v>
      </x:c>
      <x:c r="AK298" s="22" t="n">
        <x:f>MAX(0,MIN('Activities'!L298,198)-MAX('Activities'!K298,192))</x:f>
        <x:v>0</x:v>
      </x:c>
      <x:c r="AL298" s="22" t="n">
        <x:f>MAX(0,MIN('Activities'!L298,204)-MAX('Activities'!K298,198))</x:f>
        <x:v>0</x:v>
      </x:c>
      <x:c r="AM298" s="22" t="n">
        <x:f>MAX(0,MIN('Activities'!L298,210)-MAX('Activities'!K298,204))</x:f>
        <x:v>0</x:v>
      </x:c>
      <x:c r="AN298" s="22" t="n">
        <x:f>MAX(0,MIN('Activities'!L298,216)-MAX('Activities'!K298,210))</x:f>
        <x:v>0</x:v>
      </x:c>
      <x:c r="AO298" s="22" t="n">
        <x:f>MAX(0,MIN('Activities'!L298,222)-MAX('Activities'!K298,216))</x:f>
        <x:v>0</x:v>
      </x:c>
      <x:c r="AP298" s="22" t="n">
        <x:f>MAX(0,MIN('Activities'!L298,228)-MAX('Activities'!K298,222))</x:f>
        <x:v>0</x:v>
      </x:c>
      <x:c r="AQ298" s="22" t="n">
        <x:f>MAX(0,MIN('Activities'!L298,234)-MAX('Activities'!K298,228))</x:f>
        <x:v>4</x:v>
      </x:c>
      <x:c r="AR298" s="22" t="n">
        <x:f>MAX(0,MIN('Activities'!L298,240)-MAX('Activities'!K298,234))</x:f>
        <x:v>2</x:v>
      </x:c>
      <x:c r="AS298" s="22" t="n">
        <x:f>MAX(0,MIN('Activities'!L298,246)-MAX('Activities'!K298,240))</x:f>
        <x:v>0</x:v>
      </x:c>
      <x:c r="AT298" s="22" t="n">
        <x:f>MAX(0,MIN('Activities'!L298,252)-MAX('Activities'!K298,246))</x:f>
        <x:v>0</x:v>
      </x:c>
      <x:c r="AU298" s="22" t="n">
        <x:f>MAX(0,MIN('Activities'!L298,258)-MAX('Activities'!K298,252))</x:f>
        <x:v>0</x:v>
      </x:c>
      <x:c r="AV298" s="22" t="n">
        <x:f>MAX(0,MIN('Activities'!L298,264)-MAX('Activities'!K298,258))</x:f>
        <x:v>0</x:v>
      </x:c>
      <x:c r="AW298" s="22" t="n">
        <x:f>MAX(0,MIN('Activities'!L298,270)-MAX('Activities'!K298,264))</x:f>
        <x:v>0</x:v>
      </x:c>
      <x:c r="AX298" s="22" t="n">
        <x:f>MAX(0,MIN('Activities'!L298,276)-MAX('Activities'!K298,270))</x:f>
        <x:v>0</x:v>
      </x:c>
      <x:c r="AY298" s="22" t="n">
        <x:f>MAX(0,MIN('Activities'!L298,282)-MAX('Activities'!K298,276))</x:f>
        <x:v>0</x:v>
      </x:c>
      <x:c r="AZ298" s="22" t="n">
        <x:f>MAX(0,MIN('Activities'!L298,288)-MAX('Activities'!K298,282))</x:f>
        <x:v>0</x:v>
      </x:c>
      <x:c r="BA298" s="22" t="n">
        <x:f>MAX(0,MIN('Activities'!L298,294)-MAX('Activities'!K298,288))</x:f>
        <x:v>0</x:v>
      </x:c>
      <x:c r="BB298" s="22" t="n">
        <x:f>MAX(0,MIN('Activities'!L298,300)-MAX('Activities'!K298,294))</x:f>
        <x:v>0</x:v>
      </x:c>
      <x:c r="BC298" s="22" t="n">
        <x:f>MAX(0,MIN('Activities'!L298,306)-MAX('Activities'!K298,300))</x:f>
        <x:v>0</x:v>
      </x:c>
      <x:c r="BD298" s="22" t="n">
        <x:f>MAX(0,MIN('Activities'!L298,312)-MAX('Activities'!K298,306))</x:f>
        <x:v>0</x:v>
      </x:c>
      <x:c r="BE298" s="22" t="n">
        <x:f>MAX(0,MIN('Activities'!L298,318)-MAX('Activities'!K298,312))</x:f>
        <x:v>0</x:v>
      </x:c>
      <x:c r="BF298" s="22" t="n">
        <x:f>MAX(0,MIN('Activities'!L298,324)-MAX('Activities'!K298,318))</x:f>
        <x:v>0</x:v>
      </x:c>
      <x:c r="BG298" s="22" t="n">
        <x:f>MAX(0,MIN('Activities'!L298,330)-MAX('Activities'!K298,324))</x:f>
        <x:v>0</x:v>
      </x:c>
      <x:c r="BH298" s="22" t="n">
        <x:f>MAX(0,MIN('Activities'!L298,336)-MAX('Activities'!K298,330))</x:f>
        <x:v>0</x:v>
      </x:c>
      <x:c r="BI298" s="22" t="n">
        <x:f>MAX(0,MIN('Activities'!L298,342)-MAX('Activities'!K298,336))</x:f>
        <x:v>0</x:v>
      </x:c>
      <x:c r="BJ298" s="22" t="n">
        <x:f>MAX(0,MIN('Activities'!L298,348)-MAX('Activities'!K298,342))</x:f>
        <x:v>0</x:v>
      </x:c>
      <x:c r="BK298" s="22" t="n">
        <x:f>MAX(0,MIN('Activities'!L298,354)-MAX('Activities'!K298,348))</x:f>
        <x:v>0</x:v>
      </x:c>
      <x:c r="BL298" s="22" t="n">
        <x:f>MAX(0,MIN('Activities'!L298,360)-MAX('Activities'!K298,354))</x:f>
        <x:v>0</x:v>
      </x:c>
      <x:c r="BM298" s="22" t="n">
        <x:f>MAX(0,MIN('Activities'!L298,366)-MAX('Activities'!K298,360))</x:f>
        <x:v>0</x:v>
      </x:c>
      <x:c r="BN298" s="22" t="n">
        <x:f>MAX(0,MIN('Activities'!L298,372)-MAX('Activities'!K298,366))</x:f>
        <x:v>0</x:v>
      </x:c>
      <x:c r="BO298" s="22" t="n">
        <x:f>MAX(0,MIN('Activities'!L298,378)-MAX('Activities'!K298,372))</x:f>
        <x:v>0</x:v>
      </x:c>
      <x:c r="BP298" s="22" t="n">
        <x:f>MAX(0,MIN('Activities'!L298,384)-MAX('Activities'!K298,378))</x:f>
        <x:v>0</x:v>
      </x:c>
      <x:c r="BQ298" s="22" t="n">
        <x:f>MAX(0,MIN('Activities'!L298,390)-MAX('Activities'!K298,384))</x:f>
        <x:v>0</x:v>
      </x:c>
      <x:c r="BR298" s="22" t="n">
        <x:f>MAX(0,MIN('Activities'!L298,396)-MAX('Activities'!K298,390))</x:f>
        <x:v>0</x:v>
      </x:c>
      <x:c r="BS298" s="22" t="n">
        <x:f>MAX(0,MIN('Activities'!L298,402)-MAX('Activities'!K298,396))</x:f>
        <x:v>0</x:v>
      </x:c>
      <x:c r="BT298" s="22" t="n">
        <x:f>MAX(0,MIN('Activities'!L298,408)-MAX('Activities'!K298,402))</x:f>
        <x:v>0</x:v>
      </x:c>
      <x:c r="BU298" s="22" t="n">
        <x:f>MAX(0,MIN('Activities'!L298,414)-MAX('Activities'!K298,408))</x:f>
        <x:v>0</x:v>
      </x:c>
      <x:c r="BV298" s="22" t="n">
        <x:f>MAX(0,MIN('Activities'!L298,420)-MAX('Activities'!K298,414))</x:f>
        <x:v>0</x:v>
      </x:c>
      <x:c r="BW298" s="22" t="n">
        <x:f>MAX(0,MIN('Activities'!L298,426)-MAX('Activities'!K298,420))</x:f>
        <x:v>0</x:v>
      </x:c>
      <x:c r="BX298" s="22" t="n">
        <x:f>MAX(0,MIN('Activities'!L298,432)-MAX('Activities'!K298,426))</x:f>
        <x:v>0</x:v>
      </x:c>
      <x:c r="BY298" s="22" t="n">
        <x:f>MAX(0,MIN('Activities'!L298,438)-MAX('Activities'!K298,432))</x:f>
        <x:v>0</x:v>
      </x:c>
      <x:c r="BZ298" s="22" t="n">
        <x:f>MAX(0,MIN('Activities'!L298,444)-MAX('Activities'!K298,438))</x:f>
        <x:v>0</x:v>
      </x:c>
      <x:c r="CA298" s="22" t="n">
        <x:f>MAX(0,MIN('Activities'!L298,450)-MAX('Activities'!K298,444))</x:f>
        <x:v>0</x:v>
      </x:c>
      <x:c r="CB298" s="22" t="n">
        <x:f>MAX(0,MIN('Activities'!L298,456)-MAX('Activities'!K298,450))</x:f>
        <x:v>0</x:v>
      </x:c>
      <x:c r="CC298" s="22" t="n">
        <x:f>MAX(0,MIN('Activities'!L298,462)-MAX('Activities'!K298,456))</x:f>
        <x:v>0</x:v>
      </x:c>
      <x:c r="CD298" s="22" t="n">
        <x:f>MAX(0,MIN('Activities'!L298,468)-MAX('Activities'!K298,462))</x:f>
        <x:v>0</x:v>
      </x:c>
      <x:c r="CE298" s="22" t="n">
        <x:f>MAX(0,MIN('Activities'!L298,474)-MAX('Activities'!K298,468))</x:f>
        <x:v>0</x:v>
      </x:c>
      <x:c r="CF298" s="22" t="n">
        <x:f>MAX(0,MIN('Activities'!L298,480)-MAX('Activities'!K298,474))</x:f>
        <x:v>0</x:v>
      </x:c>
      <x:c r="CG298" s="22" t="n">
        <x:f>MAX(0,MIN('Activities'!L298,486)-MAX('Activities'!K298,480))</x:f>
        <x:v>0</x:v>
      </x:c>
      <x:c r="CH298" s="22" t="n">
        <x:f>MAX(0,MIN('Activities'!L298,492)-MAX('Activities'!K298,486))</x:f>
        <x:v>0</x:v>
      </x:c>
      <x:c r="CI298" s="22" t="n">
        <x:f>MAX(0,MIN('Activities'!L298,498)-MAX('Activities'!K298,492))</x:f>
        <x:v>0</x:v>
      </x:c>
      <x:c r="CJ298" s="22" t="n">
        <x:f>MAX(0,MIN('Activities'!L298,504)-MAX('Activities'!K298,498))</x:f>
        <x:v>0</x:v>
      </x:c>
      <x:c r="CK298" s="22" t="n">
        <x:f>MAX(0,MIN('Activities'!L298,510)-MAX('Activities'!K298,504))</x:f>
        <x:v>0</x:v>
      </x:c>
      <x:c r="CL298" s="22" t="n">
        <x:f>MAX(0,MIN('Activities'!L298,516)-MAX('Activities'!K298,510))</x:f>
        <x:v>0</x:v>
      </x:c>
      <x:c r="CM298" s="22" t="n">
        <x:f>MAX(0,MIN('Activities'!L298,522)-MAX('Activities'!K298,516))</x:f>
        <x:v>0</x:v>
      </x:c>
      <x:c r="CN298" s="22" t="n">
        <x:f>MAX(0,MIN('Activities'!L298,528)-MAX('Activities'!K298,522))</x:f>
        <x:v>0</x:v>
      </x:c>
      <x:c r="CO298" s="22" t="n">
        <x:f>MAX(0,MIN('Activities'!L298,534)-MAX('Activities'!K298,528))</x:f>
        <x:v>0</x:v>
      </x:c>
      <x:c r="CP298" s="22" t="n">
        <x:f>MAX(0,MIN('Activities'!L298,540)-MAX('Activities'!K298,534))</x:f>
        <x:v>0</x:v>
      </x:c>
      <x:c r="CQ298" s="22" t="n">
        <x:f>MAX(0,MIN('Activities'!L298,546)-MAX('Activities'!K298,540))</x:f>
        <x:v>0</x:v>
      </x:c>
      <x:c r="CR298" s="22" t="n">
        <x:f>MAX(0,MIN('Activities'!L298,552)-MAX('Activities'!K298,546))</x:f>
        <x:v>0</x:v>
      </x:c>
      <x:c r="CS298" s="22" t="n">
        <x:f>MAX(0,MIN('Activities'!L298,558)-MAX('Activities'!K298,552))</x:f>
        <x:v>0</x:v>
      </x:c>
      <x:c r="CT298" s="22" t="n">
        <x:f>MAX(0,MIN('Activities'!L298,564)-MAX('Activities'!K298,558))</x:f>
        <x:v>0</x:v>
      </x:c>
      <x:c r="CU298" s="22" t="n">
        <x:f>MAX(0,MIN('Activities'!L298,570)-MAX('Activities'!K298,564))</x:f>
        <x:v>0</x:v>
      </x:c>
      <x:c r="CV298" s="22" t="n">
        <x:f>MAX(0,MIN('Activities'!L298,576)-MAX('Activities'!K298,570))</x:f>
        <x:v>0</x:v>
      </x:c>
      <x:c r="CW298" s="22" t="n">
        <x:f>MAX(0,MIN('Activities'!L298,582)-MAX('Activities'!K298,576))</x:f>
        <x:v>0</x:v>
      </x:c>
      <x:c r="CX298" s="22" t="n">
        <x:f>MAX(0,MIN('Activities'!L298,588)-MAX('Activities'!K298,582))</x:f>
        <x:v>0</x:v>
      </x:c>
      <x:c r="CY298" s="22" t="n">
        <x:f>MAX(0,MIN('Activities'!L298,594)-MAX('Activities'!K298,588))</x:f>
        <x:v>0</x:v>
      </x:c>
      <x:c r="CZ298" s="22" t="n">
        <x:f>MAX(0,MIN('Activities'!L298,600)-MAX('Activities'!K298,594))</x:f>
        <x:v>0</x:v>
      </x:c>
      <x:c r="DA298" s="22" t="n">
        <x:f>MAX(0,MIN('Activities'!L298,606)-MAX('Activities'!K298,600))</x:f>
        <x:v>0</x:v>
      </x:c>
      <x:c r="DB298" s="22" t="n">
        <x:f>MAX(0,MIN('Activities'!L298,612)-MAX('Activities'!K298,606))</x:f>
        <x:v>0</x:v>
      </x:c>
      <x:c r="DC298" s="22" t="n">
        <x:f>MAX(0,MIN('Activities'!L298,618)-MAX('Activities'!K298,612))</x:f>
        <x:v>0</x:v>
      </x:c>
      <x:c r="DD298" s="22" t="n">
        <x:f>MAX(0,MIN('Activities'!L298,624)-MAX('Activities'!K298,618))</x:f>
        <x:v>0</x:v>
      </x:c>
      <x:c r="DE298" s="22" t="n">
        <x:f>MAX(0,MIN('Activities'!L298,630)-MAX('Activities'!K298,624))</x:f>
        <x:v>0</x:v>
      </x:c>
      <x:c r="DF298" s="22" t="n">
        <x:f>MAX(0,MIN('Activities'!L298,636)-MAX('Activities'!K298,630))</x:f>
        <x:v>0</x:v>
      </x:c>
    </x:row>
    <x:row r="299" ht="23" customHeight="1">
      <x:c r="A299" s="1" t="str">
        <x:v>T3-L04-R</x:v>
      </x:c>
      <x:c r="B299" s="1" t="str">
        <x:v>T3</x:v>
      </x:c>
      <x:c r="C299" s="1" t="str">
        <x:v>Column, wall, beam and slab reinforcement</x:v>
      </x:c>
      <x:c r="D299" s="1" t="str">
        <x:v>Rebar</x:v>
      </x:c>
      <x:c r="E299" s="23" t="n">
        <x:f>MAX(0,MIN('Activities'!L299,6)-MAX('Activities'!K299,0))</x:f>
        <x:v>0</x:v>
      </x:c>
      <x:c r="F299" s="23" t="n">
        <x:f>MAX(0,MIN('Activities'!L299,12)-MAX('Activities'!K299,6))</x:f>
        <x:v>0</x:v>
      </x:c>
      <x:c r="G299" s="23" t="n">
        <x:f>MAX(0,MIN('Activities'!L299,18)-MAX('Activities'!K299,12))</x:f>
        <x:v>0</x:v>
      </x:c>
      <x:c r="H299" s="23" t="n">
        <x:f>MAX(0,MIN('Activities'!L299,24)-MAX('Activities'!K299,18))</x:f>
        <x:v>0</x:v>
      </x:c>
      <x:c r="I299" s="23" t="n">
        <x:f>MAX(0,MIN('Activities'!L299,30)-MAX('Activities'!K299,24))</x:f>
        <x:v>0</x:v>
      </x:c>
      <x:c r="J299" s="23" t="n">
        <x:f>MAX(0,MIN('Activities'!L299,36)-MAX('Activities'!K299,30))</x:f>
        <x:v>0</x:v>
      </x:c>
      <x:c r="K299" s="23" t="n">
        <x:f>MAX(0,MIN('Activities'!L299,42)-MAX('Activities'!K299,36))</x:f>
        <x:v>0</x:v>
      </x:c>
      <x:c r="L299" s="23" t="n">
        <x:f>MAX(0,MIN('Activities'!L299,48)-MAX('Activities'!K299,42))</x:f>
        <x:v>0</x:v>
      </x:c>
      <x:c r="M299" s="23" t="n">
        <x:f>MAX(0,MIN('Activities'!L299,54)-MAX('Activities'!K299,48))</x:f>
        <x:v>0</x:v>
      </x:c>
      <x:c r="N299" s="23" t="n">
        <x:f>MAX(0,MIN('Activities'!L299,60)-MAX('Activities'!K299,54))</x:f>
        <x:v>0</x:v>
      </x:c>
      <x:c r="O299" s="23" t="n">
        <x:f>MAX(0,MIN('Activities'!L299,66)-MAX('Activities'!K299,60))</x:f>
        <x:v>0</x:v>
      </x:c>
      <x:c r="P299" s="23" t="n">
        <x:f>MAX(0,MIN('Activities'!L299,72)-MAX('Activities'!K299,66))</x:f>
        <x:v>0</x:v>
      </x:c>
      <x:c r="Q299" s="23" t="n">
        <x:f>MAX(0,MIN('Activities'!L299,78)-MAX('Activities'!K299,72))</x:f>
        <x:v>0</x:v>
      </x:c>
      <x:c r="R299" s="23" t="n">
        <x:f>MAX(0,MIN('Activities'!L299,84)-MAX('Activities'!K299,78))</x:f>
        <x:v>0</x:v>
      </x:c>
      <x:c r="S299" s="23" t="n">
        <x:f>MAX(0,MIN('Activities'!L299,90)-MAX('Activities'!K299,84))</x:f>
        <x:v>0</x:v>
      </x:c>
      <x:c r="T299" s="23" t="n">
        <x:f>MAX(0,MIN('Activities'!L299,96)-MAX('Activities'!K299,90))</x:f>
        <x:v>0</x:v>
      </x:c>
      <x:c r="U299" s="23" t="n">
        <x:f>MAX(0,MIN('Activities'!L299,102)-MAX('Activities'!K299,96))</x:f>
        <x:v>0</x:v>
      </x:c>
      <x:c r="V299" s="23" t="n">
        <x:f>MAX(0,MIN('Activities'!L299,108)-MAX('Activities'!K299,102))</x:f>
        <x:v>0</x:v>
      </x:c>
      <x:c r="W299" s="23" t="n">
        <x:f>MAX(0,MIN('Activities'!L299,114)-MAX('Activities'!K299,108))</x:f>
        <x:v>0</x:v>
      </x:c>
      <x:c r="X299" s="23" t="n">
        <x:f>MAX(0,MIN('Activities'!L299,120)-MAX('Activities'!K299,114))</x:f>
        <x:v>0</x:v>
      </x:c>
      <x:c r="Y299" s="23" t="n">
        <x:f>MAX(0,MIN('Activities'!L299,126)-MAX('Activities'!K299,120))</x:f>
        <x:v>0</x:v>
      </x:c>
      <x:c r="Z299" s="23" t="n">
        <x:f>MAX(0,MIN('Activities'!L299,132)-MAX('Activities'!K299,126))</x:f>
        <x:v>0</x:v>
      </x:c>
      <x:c r="AA299" s="23" t="n">
        <x:f>MAX(0,MIN('Activities'!L299,138)-MAX('Activities'!K299,132))</x:f>
        <x:v>0</x:v>
      </x:c>
      <x:c r="AB299" s="23" t="n">
        <x:f>MAX(0,MIN('Activities'!L299,144)-MAX('Activities'!K299,138))</x:f>
        <x:v>0</x:v>
      </x:c>
      <x:c r="AC299" s="23" t="n">
        <x:f>MAX(0,MIN('Activities'!L299,150)-MAX('Activities'!K299,144))</x:f>
        <x:v>0</x:v>
      </x:c>
      <x:c r="AD299" s="23" t="n">
        <x:f>MAX(0,MIN('Activities'!L299,156)-MAX('Activities'!K299,150))</x:f>
        <x:v>0</x:v>
      </x:c>
      <x:c r="AE299" s="23" t="n">
        <x:f>MAX(0,MIN('Activities'!L299,162)-MAX('Activities'!K299,156))</x:f>
        <x:v>0</x:v>
      </x:c>
      <x:c r="AF299" s="23" t="n">
        <x:f>MAX(0,MIN('Activities'!L299,168)-MAX('Activities'!K299,162))</x:f>
        <x:v>0</x:v>
      </x:c>
      <x:c r="AG299" s="23" t="n">
        <x:f>MAX(0,MIN('Activities'!L299,174)-MAX('Activities'!K299,168))</x:f>
        <x:v>0</x:v>
      </x:c>
      <x:c r="AH299" s="23" t="n">
        <x:f>MAX(0,MIN('Activities'!L299,180)-MAX('Activities'!K299,174))</x:f>
        <x:v>0</x:v>
      </x:c>
      <x:c r="AI299" s="23" t="n">
        <x:f>MAX(0,MIN('Activities'!L299,186)-MAX('Activities'!K299,180))</x:f>
        <x:v>0</x:v>
      </x:c>
      <x:c r="AJ299" s="23" t="n">
        <x:f>MAX(0,MIN('Activities'!L299,192)-MAX('Activities'!K299,186))</x:f>
        <x:v>0</x:v>
      </x:c>
      <x:c r="AK299" s="23" t="n">
        <x:f>MAX(0,MIN('Activities'!L299,198)-MAX('Activities'!K299,192))</x:f>
        <x:v>0</x:v>
      </x:c>
      <x:c r="AL299" s="23" t="n">
        <x:f>MAX(0,MIN('Activities'!L299,204)-MAX('Activities'!K299,198))</x:f>
        <x:v>0</x:v>
      </x:c>
      <x:c r="AM299" s="23" t="n">
        <x:f>MAX(0,MIN('Activities'!L299,210)-MAX('Activities'!K299,204))</x:f>
        <x:v>0</x:v>
      </x:c>
      <x:c r="AN299" s="23" t="n">
        <x:f>MAX(0,MIN('Activities'!L299,216)-MAX('Activities'!K299,210))</x:f>
        <x:v>0</x:v>
      </x:c>
      <x:c r="AO299" s="23" t="n">
        <x:f>MAX(0,MIN('Activities'!L299,222)-MAX('Activities'!K299,216))</x:f>
        <x:v>0</x:v>
      </x:c>
      <x:c r="AP299" s="23" t="n">
        <x:f>MAX(0,MIN('Activities'!L299,228)-MAX('Activities'!K299,222))</x:f>
        <x:v>0</x:v>
      </x:c>
      <x:c r="AQ299" s="23" t="n">
        <x:f>MAX(0,MIN('Activities'!L299,234)-MAX('Activities'!K299,228))</x:f>
        <x:v>0</x:v>
      </x:c>
      <x:c r="AR299" s="23" t="n">
        <x:f>MAX(0,MIN('Activities'!L299,240)-MAX('Activities'!K299,234))</x:f>
        <x:v>4</x:v>
      </x:c>
      <x:c r="AS299" s="23" t="n">
        <x:f>MAX(0,MIN('Activities'!L299,246)-MAX('Activities'!K299,240))</x:f>
        <x:v>1</x:v>
      </x:c>
      <x:c r="AT299" s="23" t="n">
        <x:f>MAX(0,MIN('Activities'!L299,252)-MAX('Activities'!K299,246))</x:f>
        <x:v>0</x:v>
      </x:c>
      <x:c r="AU299" s="23" t="n">
        <x:f>MAX(0,MIN('Activities'!L299,258)-MAX('Activities'!K299,252))</x:f>
        <x:v>0</x:v>
      </x:c>
      <x:c r="AV299" s="23" t="n">
        <x:f>MAX(0,MIN('Activities'!L299,264)-MAX('Activities'!K299,258))</x:f>
        <x:v>0</x:v>
      </x:c>
      <x:c r="AW299" s="23" t="n">
        <x:f>MAX(0,MIN('Activities'!L299,270)-MAX('Activities'!K299,264))</x:f>
        <x:v>0</x:v>
      </x:c>
      <x:c r="AX299" s="23" t="n">
        <x:f>MAX(0,MIN('Activities'!L299,276)-MAX('Activities'!K299,270))</x:f>
        <x:v>0</x:v>
      </x:c>
      <x:c r="AY299" s="23" t="n">
        <x:f>MAX(0,MIN('Activities'!L299,282)-MAX('Activities'!K299,276))</x:f>
        <x:v>0</x:v>
      </x:c>
      <x:c r="AZ299" s="23" t="n">
        <x:f>MAX(0,MIN('Activities'!L299,288)-MAX('Activities'!K299,282))</x:f>
        <x:v>0</x:v>
      </x:c>
      <x:c r="BA299" s="23" t="n">
        <x:f>MAX(0,MIN('Activities'!L299,294)-MAX('Activities'!K299,288))</x:f>
        <x:v>0</x:v>
      </x:c>
      <x:c r="BB299" s="23" t="n">
        <x:f>MAX(0,MIN('Activities'!L299,300)-MAX('Activities'!K299,294))</x:f>
        <x:v>0</x:v>
      </x:c>
      <x:c r="BC299" s="23" t="n">
        <x:f>MAX(0,MIN('Activities'!L299,306)-MAX('Activities'!K299,300))</x:f>
        <x:v>0</x:v>
      </x:c>
      <x:c r="BD299" s="23" t="n">
        <x:f>MAX(0,MIN('Activities'!L299,312)-MAX('Activities'!K299,306))</x:f>
        <x:v>0</x:v>
      </x:c>
      <x:c r="BE299" s="23" t="n">
        <x:f>MAX(0,MIN('Activities'!L299,318)-MAX('Activities'!K299,312))</x:f>
        <x:v>0</x:v>
      </x:c>
      <x:c r="BF299" s="23" t="n">
        <x:f>MAX(0,MIN('Activities'!L299,324)-MAX('Activities'!K299,318))</x:f>
        <x:v>0</x:v>
      </x:c>
      <x:c r="BG299" s="23" t="n">
        <x:f>MAX(0,MIN('Activities'!L299,330)-MAX('Activities'!K299,324))</x:f>
        <x:v>0</x:v>
      </x:c>
      <x:c r="BH299" s="23" t="n">
        <x:f>MAX(0,MIN('Activities'!L299,336)-MAX('Activities'!K299,330))</x:f>
        <x:v>0</x:v>
      </x:c>
      <x:c r="BI299" s="23" t="n">
        <x:f>MAX(0,MIN('Activities'!L299,342)-MAX('Activities'!K299,336))</x:f>
        <x:v>0</x:v>
      </x:c>
      <x:c r="BJ299" s="23" t="n">
        <x:f>MAX(0,MIN('Activities'!L299,348)-MAX('Activities'!K299,342))</x:f>
        <x:v>0</x:v>
      </x:c>
      <x:c r="BK299" s="23" t="n">
        <x:f>MAX(0,MIN('Activities'!L299,354)-MAX('Activities'!K299,348))</x:f>
        <x:v>0</x:v>
      </x:c>
      <x:c r="BL299" s="23" t="n">
        <x:f>MAX(0,MIN('Activities'!L299,360)-MAX('Activities'!K299,354))</x:f>
        <x:v>0</x:v>
      </x:c>
      <x:c r="BM299" s="23" t="n">
        <x:f>MAX(0,MIN('Activities'!L299,366)-MAX('Activities'!K299,360))</x:f>
        <x:v>0</x:v>
      </x:c>
      <x:c r="BN299" s="23" t="n">
        <x:f>MAX(0,MIN('Activities'!L299,372)-MAX('Activities'!K299,366))</x:f>
        <x:v>0</x:v>
      </x:c>
      <x:c r="BO299" s="23" t="n">
        <x:f>MAX(0,MIN('Activities'!L299,378)-MAX('Activities'!K299,372))</x:f>
        <x:v>0</x:v>
      </x:c>
      <x:c r="BP299" s="23" t="n">
        <x:f>MAX(0,MIN('Activities'!L299,384)-MAX('Activities'!K299,378))</x:f>
        <x:v>0</x:v>
      </x:c>
      <x:c r="BQ299" s="23" t="n">
        <x:f>MAX(0,MIN('Activities'!L299,390)-MAX('Activities'!K299,384))</x:f>
        <x:v>0</x:v>
      </x:c>
      <x:c r="BR299" s="23" t="n">
        <x:f>MAX(0,MIN('Activities'!L299,396)-MAX('Activities'!K299,390))</x:f>
        <x:v>0</x:v>
      </x:c>
      <x:c r="BS299" s="23" t="n">
        <x:f>MAX(0,MIN('Activities'!L299,402)-MAX('Activities'!K299,396))</x:f>
        <x:v>0</x:v>
      </x:c>
      <x:c r="BT299" s="23" t="n">
        <x:f>MAX(0,MIN('Activities'!L299,408)-MAX('Activities'!K299,402))</x:f>
        <x:v>0</x:v>
      </x:c>
      <x:c r="BU299" s="23" t="n">
        <x:f>MAX(0,MIN('Activities'!L299,414)-MAX('Activities'!K299,408))</x:f>
        <x:v>0</x:v>
      </x:c>
      <x:c r="BV299" s="23" t="n">
        <x:f>MAX(0,MIN('Activities'!L299,420)-MAX('Activities'!K299,414))</x:f>
        <x:v>0</x:v>
      </x:c>
      <x:c r="BW299" s="23" t="n">
        <x:f>MAX(0,MIN('Activities'!L299,426)-MAX('Activities'!K299,420))</x:f>
        <x:v>0</x:v>
      </x:c>
      <x:c r="BX299" s="23" t="n">
        <x:f>MAX(0,MIN('Activities'!L299,432)-MAX('Activities'!K299,426))</x:f>
        <x:v>0</x:v>
      </x:c>
      <x:c r="BY299" s="23" t="n">
        <x:f>MAX(0,MIN('Activities'!L299,438)-MAX('Activities'!K299,432))</x:f>
        <x:v>0</x:v>
      </x:c>
      <x:c r="BZ299" s="23" t="n">
        <x:f>MAX(0,MIN('Activities'!L299,444)-MAX('Activities'!K299,438))</x:f>
        <x:v>0</x:v>
      </x:c>
      <x:c r="CA299" s="23" t="n">
        <x:f>MAX(0,MIN('Activities'!L299,450)-MAX('Activities'!K299,444))</x:f>
        <x:v>0</x:v>
      </x:c>
      <x:c r="CB299" s="23" t="n">
        <x:f>MAX(0,MIN('Activities'!L299,456)-MAX('Activities'!K299,450))</x:f>
        <x:v>0</x:v>
      </x:c>
      <x:c r="CC299" s="23" t="n">
        <x:f>MAX(0,MIN('Activities'!L299,462)-MAX('Activities'!K299,456))</x:f>
        <x:v>0</x:v>
      </x:c>
      <x:c r="CD299" s="23" t="n">
        <x:f>MAX(0,MIN('Activities'!L299,468)-MAX('Activities'!K299,462))</x:f>
        <x:v>0</x:v>
      </x:c>
      <x:c r="CE299" s="23" t="n">
        <x:f>MAX(0,MIN('Activities'!L299,474)-MAX('Activities'!K299,468))</x:f>
        <x:v>0</x:v>
      </x:c>
      <x:c r="CF299" s="23" t="n">
        <x:f>MAX(0,MIN('Activities'!L299,480)-MAX('Activities'!K299,474))</x:f>
        <x:v>0</x:v>
      </x:c>
      <x:c r="CG299" s="23" t="n">
        <x:f>MAX(0,MIN('Activities'!L299,486)-MAX('Activities'!K299,480))</x:f>
        <x:v>0</x:v>
      </x:c>
      <x:c r="CH299" s="23" t="n">
        <x:f>MAX(0,MIN('Activities'!L299,492)-MAX('Activities'!K299,486))</x:f>
        <x:v>0</x:v>
      </x:c>
      <x:c r="CI299" s="23" t="n">
        <x:f>MAX(0,MIN('Activities'!L299,498)-MAX('Activities'!K299,492))</x:f>
        <x:v>0</x:v>
      </x:c>
      <x:c r="CJ299" s="23" t="n">
        <x:f>MAX(0,MIN('Activities'!L299,504)-MAX('Activities'!K299,498))</x:f>
        <x:v>0</x:v>
      </x:c>
      <x:c r="CK299" s="23" t="n">
        <x:f>MAX(0,MIN('Activities'!L299,510)-MAX('Activities'!K299,504))</x:f>
        <x:v>0</x:v>
      </x:c>
      <x:c r="CL299" s="23" t="n">
        <x:f>MAX(0,MIN('Activities'!L299,516)-MAX('Activities'!K299,510))</x:f>
        <x:v>0</x:v>
      </x:c>
      <x:c r="CM299" s="23" t="n">
        <x:f>MAX(0,MIN('Activities'!L299,522)-MAX('Activities'!K299,516))</x:f>
        <x:v>0</x:v>
      </x:c>
      <x:c r="CN299" s="23" t="n">
        <x:f>MAX(0,MIN('Activities'!L299,528)-MAX('Activities'!K299,522))</x:f>
        <x:v>0</x:v>
      </x:c>
      <x:c r="CO299" s="23" t="n">
        <x:f>MAX(0,MIN('Activities'!L299,534)-MAX('Activities'!K299,528))</x:f>
        <x:v>0</x:v>
      </x:c>
      <x:c r="CP299" s="23" t="n">
        <x:f>MAX(0,MIN('Activities'!L299,540)-MAX('Activities'!K299,534))</x:f>
        <x:v>0</x:v>
      </x:c>
      <x:c r="CQ299" s="23" t="n">
        <x:f>MAX(0,MIN('Activities'!L299,546)-MAX('Activities'!K299,540))</x:f>
        <x:v>0</x:v>
      </x:c>
      <x:c r="CR299" s="23" t="n">
        <x:f>MAX(0,MIN('Activities'!L299,552)-MAX('Activities'!K299,546))</x:f>
        <x:v>0</x:v>
      </x:c>
      <x:c r="CS299" s="23" t="n">
        <x:f>MAX(0,MIN('Activities'!L299,558)-MAX('Activities'!K299,552))</x:f>
        <x:v>0</x:v>
      </x:c>
      <x:c r="CT299" s="23" t="n">
        <x:f>MAX(0,MIN('Activities'!L299,564)-MAX('Activities'!K299,558))</x:f>
        <x:v>0</x:v>
      </x:c>
      <x:c r="CU299" s="23" t="n">
        <x:f>MAX(0,MIN('Activities'!L299,570)-MAX('Activities'!K299,564))</x:f>
        <x:v>0</x:v>
      </x:c>
      <x:c r="CV299" s="23" t="n">
        <x:f>MAX(0,MIN('Activities'!L299,576)-MAX('Activities'!K299,570))</x:f>
        <x:v>0</x:v>
      </x:c>
      <x:c r="CW299" s="23" t="n">
        <x:f>MAX(0,MIN('Activities'!L299,582)-MAX('Activities'!K299,576))</x:f>
        <x:v>0</x:v>
      </x:c>
      <x:c r="CX299" s="23" t="n">
        <x:f>MAX(0,MIN('Activities'!L299,588)-MAX('Activities'!K299,582))</x:f>
        <x:v>0</x:v>
      </x:c>
      <x:c r="CY299" s="23" t="n">
        <x:f>MAX(0,MIN('Activities'!L299,594)-MAX('Activities'!K299,588))</x:f>
        <x:v>0</x:v>
      </x:c>
      <x:c r="CZ299" s="23" t="n">
        <x:f>MAX(0,MIN('Activities'!L299,600)-MAX('Activities'!K299,594))</x:f>
        <x:v>0</x:v>
      </x:c>
      <x:c r="DA299" s="23" t="n">
        <x:f>MAX(0,MIN('Activities'!L299,606)-MAX('Activities'!K299,600))</x:f>
        <x:v>0</x:v>
      </x:c>
      <x:c r="DB299" s="23" t="n">
        <x:f>MAX(0,MIN('Activities'!L299,612)-MAX('Activities'!K299,606))</x:f>
        <x:v>0</x:v>
      </x:c>
      <x:c r="DC299" s="23" t="n">
        <x:f>MAX(0,MIN('Activities'!L299,618)-MAX('Activities'!K299,612))</x:f>
        <x:v>0</x:v>
      </x:c>
      <x:c r="DD299" s="23" t="n">
        <x:f>MAX(0,MIN('Activities'!L299,624)-MAX('Activities'!K299,618))</x:f>
        <x:v>0</x:v>
      </x:c>
      <x:c r="DE299" s="23" t="n">
        <x:f>MAX(0,MIN('Activities'!L299,630)-MAX('Activities'!K299,624))</x:f>
        <x:v>0</x:v>
      </x:c>
      <x:c r="DF299" s="23" t="n">
        <x:f>MAX(0,MIN('Activities'!L299,636)-MAX('Activities'!K299,630))</x:f>
        <x:v>0</x:v>
      </x:c>
    </x:row>
    <x:row r="300" ht="23" customHeight="1">
      <x:c r="A300" s="6" t="str">
        <x:v>T3-L04-C</x:v>
      </x:c>
      <x:c r="B300" s="6" t="str">
        <x:v>T3</x:v>
      </x:c>
      <x:c r="C300" s="6" t="str">
        <x:v>Concrete placement and finishing</x:v>
      </x:c>
      <x:c r="D300" s="6" t="str">
        <x:v>Concrete</x:v>
      </x:c>
      <x:c r="E300" s="22" t="n">
        <x:f>MAX(0,MIN('Activities'!L300,6)-MAX('Activities'!K300,0))</x:f>
        <x:v>0</x:v>
      </x:c>
      <x:c r="F300" s="22" t="n">
        <x:f>MAX(0,MIN('Activities'!L300,12)-MAX('Activities'!K300,6))</x:f>
        <x:v>0</x:v>
      </x:c>
      <x:c r="G300" s="22" t="n">
        <x:f>MAX(0,MIN('Activities'!L300,18)-MAX('Activities'!K300,12))</x:f>
        <x:v>0</x:v>
      </x:c>
      <x:c r="H300" s="22" t="n">
        <x:f>MAX(0,MIN('Activities'!L300,24)-MAX('Activities'!K300,18))</x:f>
        <x:v>0</x:v>
      </x:c>
      <x:c r="I300" s="22" t="n">
        <x:f>MAX(0,MIN('Activities'!L300,30)-MAX('Activities'!K300,24))</x:f>
        <x:v>0</x:v>
      </x:c>
      <x:c r="J300" s="22" t="n">
        <x:f>MAX(0,MIN('Activities'!L300,36)-MAX('Activities'!K300,30))</x:f>
        <x:v>0</x:v>
      </x:c>
      <x:c r="K300" s="22" t="n">
        <x:f>MAX(0,MIN('Activities'!L300,42)-MAX('Activities'!K300,36))</x:f>
        <x:v>0</x:v>
      </x:c>
      <x:c r="L300" s="22" t="n">
        <x:f>MAX(0,MIN('Activities'!L300,48)-MAX('Activities'!K300,42))</x:f>
        <x:v>0</x:v>
      </x:c>
      <x:c r="M300" s="22" t="n">
        <x:f>MAX(0,MIN('Activities'!L300,54)-MAX('Activities'!K300,48))</x:f>
        <x:v>0</x:v>
      </x:c>
      <x:c r="N300" s="22" t="n">
        <x:f>MAX(0,MIN('Activities'!L300,60)-MAX('Activities'!K300,54))</x:f>
        <x:v>0</x:v>
      </x:c>
      <x:c r="O300" s="22" t="n">
        <x:f>MAX(0,MIN('Activities'!L300,66)-MAX('Activities'!K300,60))</x:f>
        <x:v>0</x:v>
      </x:c>
      <x:c r="P300" s="22" t="n">
        <x:f>MAX(0,MIN('Activities'!L300,72)-MAX('Activities'!K300,66))</x:f>
        <x:v>0</x:v>
      </x:c>
      <x:c r="Q300" s="22" t="n">
        <x:f>MAX(0,MIN('Activities'!L300,78)-MAX('Activities'!K300,72))</x:f>
        <x:v>0</x:v>
      </x:c>
      <x:c r="R300" s="22" t="n">
        <x:f>MAX(0,MIN('Activities'!L300,84)-MAX('Activities'!K300,78))</x:f>
        <x:v>0</x:v>
      </x:c>
      <x:c r="S300" s="22" t="n">
        <x:f>MAX(0,MIN('Activities'!L300,90)-MAX('Activities'!K300,84))</x:f>
        <x:v>0</x:v>
      </x:c>
      <x:c r="T300" s="22" t="n">
        <x:f>MAX(0,MIN('Activities'!L300,96)-MAX('Activities'!K300,90))</x:f>
        <x:v>0</x:v>
      </x:c>
      <x:c r="U300" s="22" t="n">
        <x:f>MAX(0,MIN('Activities'!L300,102)-MAX('Activities'!K300,96))</x:f>
        <x:v>0</x:v>
      </x:c>
      <x:c r="V300" s="22" t="n">
        <x:f>MAX(0,MIN('Activities'!L300,108)-MAX('Activities'!K300,102))</x:f>
        <x:v>0</x:v>
      </x:c>
      <x:c r="W300" s="22" t="n">
        <x:f>MAX(0,MIN('Activities'!L300,114)-MAX('Activities'!K300,108))</x:f>
        <x:v>0</x:v>
      </x:c>
      <x:c r="X300" s="22" t="n">
        <x:f>MAX(0,MIN('Activities'!L300,120)-MAX('Activities'!K300,114))</x:f>
        <x:v>0</x:v>
      </x:c>
      <x:c r="Y300" s="22" t="n">
        <x:f>MAX(0,MIN('Activities'!L300,126)-MAX('Activities'!K300,120))</x:f>
        <x:v>0</x:v>
      </x:c>
      <x:c r="Z300" s="22" t="n">
        <x:f>MAX(0,MIN('Activities'!L300,132)-MAX('Activities'!K300,126))</x:f>
        <x:v>0</x:v>
      </x:c>
      <x:c r="AA300" s="22" t="n">
        <x:f>MAX(0,MIN('Activities'!L300,138)-MAX('Activities'!K300,132))</x:f>
        <x:v>0</x:v>
      </x:c>
      <x:c r="AB300" s="22" t="n">
        <x:f>MAX(0,MIN('Activities'!L300,144)-MAX('Activities'!K300,138))</x:f>
        <x:v>0</x:v>
      </x:c>
      <x:c r="AC300" s="22" t="n">
        <x:f>MAX(0,MIN('Activities'!L300,150)-MAX('Activities'!K300,144))</x:f>
        <x:v>0</x:v>
      </x:c>
      <x:c r="AD300" s="22" t="n">
        <x:f>MAX(0,MIN('Activities'!L300,156)-MAX('Activities'!K300,150))</x:f>
        <x:v>0</x:v>
      </x:c>
      <x:c r="AE300" s="22" t="n">
        <x:f>MAX(0,MIN('Activities'!L300,162)-MAX('Activities'!K300,156))</x:f>
        <x:v>0</x:v>
      </x:c>
      <x:c r="AF300" s="22" t="n">
        <x:f>MAX(0,MIN('Activities'!L300,168)-MAX('Activities'!K300,162))</x:f>
        <x:v>0</x:v>
      </x:c>
      <x:c r="AG300" s="22" t="n">
        <x:f>MAX(0,MIN('Activities'!L300,174)-MAX('Activities'!K300,168))</x:f>
        <x:v>0</x:v>
      </x:c>
      <x:c r="AH300" s="22" t="n">
        <x:f>MAX(0,MIN('Activities'!L300,180)-MAX('Activities'!K300,174))</x:f>
        <x:v>0</x:v>
      </x:c>
      <x:c r="AI300" s="22" t="n">
        <x:f>MAX(0,MIN('Activities'!L300,186)-MAX('Activities'!K300,180))</x:f>
        <x:v>0</x:v>
      </x:c>
      <x:c r="AJ300" s="22" t="n">
        <x:f>MAX(0,MIN('Activities'!L300,192)-MAX('Activities'!K300,186))</x:f>
        <x:v>0</x:v>
      </x:c>
      <x:c r="AK300" s="22" t="n">
        <x:f>MAX(0,MIN('Activities'!L300,198)-MAX('Activities'!K300,192))</x:f>
        <x:v>0</x:v>
      </x:c>
      <x:c r="AL300" s="22" t="n">
        <x:f>MAX(0,MIN('Activities'!L300,204)-MAX('Activities'!K300,198))</x:f>
        <x:v>0</x:v>
      </x:c>
      <x:c r="AM300" s="22" t="n">
        <x:f>MAX(0,MIN('Activities'!L300,210)-MAX('Activities'!K300,204))</x:f>
        <x:v>0</x:v>
      </x:c>
      <x:c r="AN300" s="22" t="n">
        <x:f>MAX(0,MIN('Activities'!L300,216)-MAX('Activities'!K300,210))</x:f>
        <x:v>0</x:v>
      </x:c>
      <x:c r="AO300" s="22" t="n">
        <x:f>MAX(0,MIN('Activities'!L300,222)-MAX('Activities'!K300,216))</x:f>
        <x:v>0</x:v>
      </x:c>
      <x:c r="AP300" s="22" t="n">
        <x:f>MAX(0,MIN('Activities'!L300,228)-MAX('Activities'!K300,222))</x:f>
        <x:v>0</x:v>
      </x:c>
      <x:c r="AQ300" s="22" t="n">
        <x:f>MAX(0,MIN('Activities'!L300,234)-MAX('Activities'!K300,228))</x:f>
        <x:v>0</x:v>
      </x:c>
      <x:c r="AR300" s="22" t="n">
        <x:f>MAX(0,MIN('Activities'!L300,240)-MAX('Activities'!K300,234))</x:f>
        <x:v>0</x:v>
      </x:c>
      <x:c r="AS300" s="22" t="n">
        <x:f>MAX(0,MIN('Activities'!L300,246)-MAX('Activities'!K300,240))</x:f>
        <x:v>2</x:v>
      </x:c>
      <x:c r="AT300" s="22" t="n">
        <x:f>MAX(0,MIN('Activities'!L300,252)-MAX('Activities'!K300,246))</x:f>
        <x:v>0</x:v>
      </x:c>
      <x:c r="AU300" s="22" t="n">
        <x:f>MAX(0,MIN('Activities'!L300,258)-MAX('Activities'!K300,252))</x:f>
        <x:v>0</x:v>
      </x:c>
      <x:c r="AV300" s="22" t="n">
        <x:f>MAX(0,MIN('Activities'!L300,264)-MAX('Activities'!K300,258))</x:f>
        <x:v>0</x:v>
      </x:c>
      <x:c r="AW300" s="22" t="n">
        <x:f>MAX(0,MIN('Activities'!L300,270)-MAX('Activities'!K300,264))</x:f>
        <x:v>0</x:v>
      </x:c>
      <x:c r="AX300" s="22" t="n">
        <x:f>MAX(0,MIN('Activities'!L300,276)-MAX('Activities'!K300,270))</x:f>
        <x:v>0</x:v>
      </x:c>
      <x:c r="AY300" s="22" t="n">
        <x:f>MAX(0,MIN('Activities'!L300,282)-MAX('Activities'!K300,276))</x:f>
        <x:v>0</x:v>
      </x:c>
      <x:c r="AZ300" s="22" t="n">
        <x:f>MAX(0,MIN('Activities'!L300,288)-MAX('Activities'!K300,282))</x:f>
        <x:v>0</x:v>
      </x:c>
      <x:c r="BA300" s="22" t="n">
        <x:f>MAX(0,MIN('Activities'!L300,294)-MAX('Activities'!K300,288))</x:f>
        <x:v>0</x:v>
      </x:c>
      <x:c r="BB300" s="22" t="n">
        <x:f>MAX(0,MIN('Activities'!L300,300)-MAX('Activities'!K300,294))</x:f>
        <x:v>0</x:v>
      </x:c>
      <x:c r="BC300" s="22" t="n">
        <x:f>MAX(0,MIN('Activities'!L300,306)-MAX('Activities'!K300,300))</x:f>
        <x:v>0</x:v>
      </x:c>
      <x:c r="BD300" s="22" t="n">
        <x:f>MAX(0,MIN('Activities'!L300,312)-MAX('Activities'!K300,306))</x:f>
        <x:v>0</x:v>
      </x:c>
      <x:c r="BE300" s="22" t="n">
        <x:f>MAX(0,MIN('Activities'!L300,318)-MAX('Activities'!K300,312))</x:f>
        <x:v>0</x:v>
      </x:c>
      <x:c r="BF300" s="22" t="n">
        <x:f>MAX(0,MIN('Activities'!L300,324)-MAX('Activities'!K300,318))</x:f>
        <x:v>0</x:v>
      </x:c>
      <x:c r="BG300" s="22" t="n">
        <x:f>MAX(0,MIN('Activities'!L300,330)-MAX('Activities'!K300,324))</x:f>
        <x:v>0</x:v>
      </x:c>
      <x:c r="BH300" s="22" t="n">
        <x:f>MAX(0,MIN('Activities'!L300,336)-MAX('Activities'!K300,330))</x:f>
        <x:v>0</x:v>
      </x:c>
      <x:c r="BI300" s="22" t="n">
        <x:f>MAX(0,MIN('Activities'!L300,342)-MAX('Activities'!K300,336))</x:f>
        <x:v>0</x:v>
      </x:c>
      <x:c r="BJ300" s="22" t="n">
        <x:f>MAX(0,MIN('Activities'!L300,348)-MAX('Activities'!K300,342))</x:f>
        <x:v>0</x:v>
      </x:c>
      <x:c r="BK300" s="22" t="n">
        <x:f>MAX(0,MIN('Activities'!L300,354)-MAX('Activities'!K300,348))</x:f>
        <x:v>0</x:v>
      </x:c>
      <x:c r="BL300" s="22" t="n">
        <x:f>MAX(0,MIN('Activities'!L300,360)-MAX('Activities'!K300,354))</x:f>
        <x:v>0</x:v>
      </x:c>
      <x:c r="BM300" s="22" t="n">
        <x:f>MAX(0,MIN('Activities'!L300,366)-MAX('Activities'!K300,360))</x:f>
        <x:v>0</x:v>
      </x:c>
      <x:c r="BN300" s="22" t="n">
        <x:f>MAX(0,MIN('Activities'!L300,372)-MAX('Activities'!K300,366))</x:f>
        <x:v>0</x:v>
      </x:c>
      <x:c r="BO300" s="22" t="n">
        <x:f>MAX(0,MIN('Activities'!L300,378)-MAX('Activities'!K300,372))</x:f>
        <x:v>0</x:v>
      </x:c>
      <x:c r="BP300" s="22" t="n">
        <x:f>MAX(0,MIN('Activities'!L300,384)-MAX('Activities'!K300,378))</x:f>
        <x:v>0</x:v>
      </x:c>
      <x:c r="BQ300" s="22" t="n">
        <x:f>MAX(0,MIN('Activities'!L300,390)-MAX('Activities'!K300,384))</x:f>
        <x:v>0</x:v>
      </x:c>
      <x:c r="BR300" s="22" t="n">
        <x:f>MAX(0,MIN('Activities'!L300,396)-MAX('Activities'!K300,390))</x:f>
        <x:v>0</x:v>
      </x:c>
      <x:c r="BS300" s="22" t="n">
        <x:f>MAX(0,MIN('Activities'!L300,402)-MAX('Activities'!K300,396))</x:f>
        <x:v>0</x:v>
      </x:c>
      <x:c r="BT300" s="22" t="n">
        <x:f>MAX(0,MIN('Activities'!L300,408)-MAX('Activities'!K300,402))</x:f>
        <x:v>0</x:v>
      </x:c>
      <x:c r="BU300" s="22" t="n">
        <x:f>MAX(0,MIN('Activities'!L300,414)-MAX('Activities'!K300,408))</x:f>
        <x:v>0</x:v>
      </x:c>
      <x:c r="BV300" s="22" t="n">
        <x:f>MAX(0,MIN('Activities'!L300,420)-MAX('Activities'!K300,414))</x:f>
        <x:v>0</x:v>
      </x:c>
      <x:c r="BW300" s="22" t="n">
        <x:f>MAX(0,MIN('Activities'!L300,426)-MAX('Activities'!K300,420))</x:f>
        <x:v>0</x:v>
      </x:c>
      <x:c r="BX300" s="22" t="n">
        <x:f>MAX(0,MIN('Activities'!L300,432)-MAX('Activities'!K300,426))</x:f>
        <x:v>0</x:v>
      </x:c>
      <x:c r="BY300" s="22" t="n">
        <x:f>MAX(0,MIN('Activities'!L300,438)-MAX('Activities'!K300,432))</x:f>
        <x:v>0</x:v>
      </x:c>
      <x:c r="BZ300" s="22" t="n">
        <x:f>MAX(0,MIN('Activities'!L300,444)-MAX('Activities'!K300,438))</x:f>
        <x:v>0</x:v>
      </x:c>
      <x:c r="CA300" s="22" t="n">
        <x:f>MAX(0,MIN('Activities'!L300,450)-MAX('Activities'!K300,444))</x:f>
        <x:v>0</x:v>
      </x:c>
      <x:c r="CB300" s="22" t="n">
        <x:f>MAX(0,MIN('Activities'!L300,456)-MAX('Activities'!K300,450))</x:f>
        <x:v>0</x:v>
      </x:c>
      <x:c r="CC300" s="22" t="n">
        <x:f>MAX(0,MIN('Activities'!L300,462)-MAX('Activities'!K300,456))</x:f>
        <x:v>0</x:v>
      </x:c>
      <x:c r="CD300" s="22" t="n">
        <x:f>MAX(0,MIN('Activities'!L300,468)-MAX('Activities'!K300,462))</x:f>
        <x:v>0</x:v>
      </x:c>
      <x:c r="CE300" s="22" t="n">
        <x:f>MAX(0,MIN('Activities'!L300,474)-MAX('Activities'!K300,468))</x:f>
        <x:v>0</x:v>
      </x:c>
      <x:c r="CF300" s="22" t="n">
        <x:f>MAX(0,MIN('Activities'!L300,480)-MAX('Activities'!K300,474))</x:f>
        <x:v>0</x:v>
      </x:c>
      <x:c r="CG300" s="22" t="n">
        <x:f>MAX(0,MIN('Activities'!L300,486)-MAX('Activities'!K300,480))</x:f>
        <x:v>0</x:v>
      </x:c>
      <x:c r="CH300" s="22" t="n">
        <x:f>MAX(0,MIN('Activities'!L300,492)-MAX('Activities'!K300,486))</x:f>
        <x:v>0</x:v>
      </x:c>
      <x:c r="CI300" s="22" t="n">
        <x:f>MAX(0,MIN('Activities'!L300,498)-MAX('Activities'!K300,492))</x:f>
        <x:v>0</x:v>
      </x:c>
      <x:c r="CJ300" s="22" t="n">
        <x:f>MAX(0,MIN('Activities'!L300,504)-MAX('Activities'!K300,498))</x:f>
        <x:v>0</x:v>
      </x:c>
      <x:c r="CK300" s="22" t="n">
        <x:f>MAX(0,MIN('Activities'!L300,510)-MAX('Activities'!K300,504))</x:f>
        <x:v>0</x:v>
      </x:c>
      <x:c r="CL300" s="22" t="n">
        <x:f>MAX(0,MIN('Activities'!L300,516)-MAX('Activities'!K300,510))</x:f>
        <x:v>0</x:v>
      </x:c>
      <x:c r="CM300" s="22" t="n">
        <x:f>MAX(0,MIN('Activities'!L300,522)-MAX('Activities'!K300,516))</x:f>
        <x:v>0</x:v>
      </x:c>
      <x:c r="CN300" s="22" t="n">
        <x:f>MAX(0,MIN('Activities'!L300,528)-MAX('Activities'!K300,522))</x:f>
        <x:v>0</x:v>
      </x:c>
      <x:c r="CO300" s="22" t="n">
        <x:f>MAX(0,MIN('Activities'!L300,534)-MAX('Activities'!K300,528))</x:f>
        <x:v>0</x:v>
      </x:c>
      <x:c r="CP300" s="22" t="n">
        <x:f>MAX(0,MIN('Activities'!L300,540)-MAX('Activities'!K300,534))</x:f>
        <x:v>0</x:v>
      </x:c>
      <x:c r="CQ300" s="22" t="n">
        <x:f>MAX(0,MIN('Activities'!L300,546)-MAX('Activities'!K300,540))</x:f>
        <x:v>0</x:v>
      </x:c>
      <x:c r="CR300" s="22" t="n">
        <x:f>MAX(0,MIN('Activities'!L300,552)-MAX('Activities'!K300,546))</x:f>
        <x:v>0</x:v>
      </x:c>
      <x:c r="CS300" s="22" t="n">
        <x:f>MAX(0,MIN('Activities'!L300,558)-MAX('Activities'!K300,552))</x:f>
        <x:v>0</x:v>
      </x:c>
      <x:c r="CT300" s="22" t="n">
        <x:f>MAX(0,MIN('Activities'!L300,564)-MAX('Activities'!K300,558))</x:f>
        <x:v>0</x:v>
      </x:c>
      <x:c r="CU300" s="22" t="n">
        <x:f>MAX(0,MIN('Activities'!L300,570)-MAX('Activities'!K300,564))</x:f>
        <x:v>0</x:v>
      </x:c>
      <x:c r="CV300" s="22" t="n">
        <x:f>MAX(0,MIN('Activities'!L300,576)-MAX('Activities'!K300,570))</x:f>
        <x:v>0</x:v>
      </x:c>
      <x:c r="CW300" s="22" t="n">
        <x:f>MAX(0,MIN('Activities'!L300,582)-MAX('Activities'!K300,576))</x:f>
        <x:v>0</x:v>
      </x:c>
      <x:c r="CX300" s="22" t="n">
        <x:f>MAX(0,MIN('Activities'!L300,588)-MAX('Activities'!K300,582))</x:f>
        <x:v>0</x:v>
      </x:c>
      <x:c r="CY300" s="22" t="n">
        <x:f>MAX(0,MIN('Activities'!L300,594)-MAX('Activities'!K300,588))</x:f>
        <x:v>0</x:v>
      </x:c>
      <x:c r="CZ300" s="22" t="n">
        <x:f>MAX(0,MIN('Activities'!L300,600)-MAX('Activities'!K300,594))</x:f>
        <x:v>0</x:v>
      </x:c>
      <x:c r="DA300" s="22" t="n">
        <x:f>MAX(0,MIN('Activities'!L300,606)-MAX('Activities'!K300,600))</x:f>
        <x:v>0</x:v>
      </x:c>
      <x:c r="DB300" s="22" t="n">
        <x:f>MAX(0,MIN('Activities'!L300,612)-MAX('Activities'!K300,606))</x:f>
        <x:v>0</x:v>
      </x:c>
      <x:c r="DC300" s="22" t="n">
        <x:f>MAX(0,MIN('Activities'!L300,618)-MAX('Activities'!K300,612))</x:f>
        <x:v>0</x:v>
      </x:c>
      <x:c r="DD300" s="22" t="n">
        <x:f>MAX(0,MIN('Activities'!L300,624)-MAX('Activities'!K300,618))</x:f>
        <x:v>0</x:v>
      </x:c>
      <x:c r="DE300" s="22" t="n">
        <x:f>MAX(0,MIN('Activities'!L300,630)-MAX('Activities'!K300,624))</x:f>
        <x:v>0</x:v>
      </x:c>
      <x:c r="DF300" s="22" t="n">
        <x:f>MAX(0,MIN('Activities'!L300,636)-MAX('Activities'!K300,630))</x:f>
        <x:v>0</x:v>
      </x:c>
    </x:row>
    <x:row r="301" ht="23" customHeight="1">
      <x:c r="A301" s="1" t="str">
        <x:v>T3-L04-H</x:v>
      </x:c>
      <x:c r="B301" s="1" t="str">
        <x:v>T3</x:v>
      </x:c>
      <x:c r="C301" s="1" t="str">
        <x:v>Curing and release hold point</x:v>
      </x:c>
      <x:c r="D301" s="1" t="str">
        <x:v>Site</x:v>
      </x:c>
      <x:c r="E301" s="23" t="n">
        <x:f>MAX(0,MIN('Activities'!L301,6)-MAX('Activities'!K301,0))</x:f>
        <x:v>0</x:v>
      </x:c>
      <x:c r="F301" s="23" t="n">
        <x:f>MAX(0,MIN('Activities'!L301,12)-MAX('Activities'!K301,6))</x:f>
        <x:v>0</x:v>
      </x:c>
      <x:c r="G301" s="23" t="n">
        <x:f>MAX(0,MIN('Activities'!L301,18)-MAX('Activities'!K301,12))</x:f>
        <x:v>0</x:v>
      </x:c>
      <x:c r="H301" s="23" t="n">
        <x:f>MAX(0,MIN('Activities'!L301,24)-MAX('Activities'!K301,18))</x:f>
        <x:v>0</x:v>
      </x:c>
      <x:c r="I301" s="23" t="n">
        <x:f>MAX(0,MIN('Activities'!L301,30)-MAX('Activities'!K301,24))</x:f>
        <x:v>0</x:v>
      </x:c>
      <x:c r="J301" s="23" t="n">
        <x:f>MAX(0,MIN('Activities'!L301,36)-MAX('Activities'!K301,30))</x:f>
        <x:v>0</x:v>
      </x:c>
      <x:c r="K301" s="23" t="n">
        <x:f>MAX(0,MIN('Activities'!L301,42)-MAX('Activities'!K301,36))</x:f>
        <x:v>0</x:v>
      </x:c>
      <x:c r="L301" s="23" t="n">
        <x:f>MAX(0,MIN('Activities'!L301,48)-MAX('Activities'!K301,42))</x:f>
        <x:v>0</x:v>
      </x:c>
      <x:c r="M301" s="23" t="n">
        <x:f>MAX(0,MIN('Activities'!L301,54)-MAX('Activities'!K301,48))</x:f>
        <x:v>0</x:v>
      </x:c>
      <x:c r="N301" s="23" t="n">
        <x:f>MAX(0,MIN('Activities'!L301,60)-MAX('Activities'!K301,54))</x:f>
        <x:v>0</x:v>
      </x:c>
      <x:c r="O301" s="23" t="n">
        <x:f>MAX(0,MIN('Activities'!L301,66)-MAX('Activities'!K301,60))</x:f>
        <x:v>0</x:v>
      </x:c>
      <x:c r="P301" s="23" t="n">
        <x:f>MAX(0,MIN('Activities'!L301,72)-MAX('Activities'!K301,66))</x:f>
        <x:v>0</x:v>
      </x:c>
      <x:c r="Q301" s="23" t="n">
        <x:f>MAX(0,MIN('Activities'!L301,78)-MAX('Activities'!K301,72))</x:f>
        <x:v>0</x:v>
      </x:c>
      <x:c r="R301" s="23" t="n">
        <x:f>MAX(0,MIN('Activities'!L301,84)-MAX('Activities'!K301,78))</x:f>
        <x:v>0</x:v>
      </x:c>
      <x:c r="S301" s="23" t="n">
        <x:f>MAX(0,MIN('Activities'!L301,90)-MAX('Activities'!K301,84))</x:f>
        <x:v>0</x:v>
      </x:c>
      <x:c r="T301" s="23" t="n">
        <x:f>MAX(0,MIN('Activities'!L301,96)-MAX('Activities'!K301,90))</x:f>
        <x:v>0</x:v>
      </x:c>
      <x:c r="U301" s="23" t="n">
        <x:f>MAX(0,MIN('Activities'!L301,102)-MAX('Activities'!K301,96))</x:f>
        <x:v>0</x:v>
      </x:c>
      <x:c r="V301" s="23" t="n">
        <x:f>MAX(0,MIN('Activities'!L301,108)-MAX('Activities'!K301,102))</x:f>
        <x:v>0</x:v>
      </x:c>
      <x:c r="W301" s="23" t="n">
        <x:f>MAX(0,MIN('Activities'!L301,114)-MAX('Activities'!K301,108))</x:f>
        <x:v>0</x:v>
      </x:c>
      <x:c r="X301" s="23" t="n">
        <x:f>MAX(0,MIN('Activities'!L301,120)-MAX('Activities'!K301,114))</x:f>
        <x:v>0</x:v>
      </x:c>
      <x:c r="Y301" s="23" t="n">
        <x:f>MAX(0,MIN('Activities'!L301,126)-MAX('Activities'!K301,120))</x:f>
        <x:v>0</x:v>
      </x:c>
      <x:c r="Z301" s="23" t="n">
        <x:f>MAX(0,MIN('Activities'!L301,132)-MAX('Activities'!K301,126))</x:f>
        <x:v>0</x:v>
      </x:c>
      <x:c r="AA301" s="23" t="n">
        <x:f>MAX(0,MIN('Activities'!L301,138)-MAX('Activities'!K301,132))</x:f>
        <x:v>0</x:v>
      </x:c>
      <x:c r="AB301" s="23" t="n">
        <x:f>MAX(0,MIN('Activities'!L301,144)-MAX('Activities'!K301,138))</x:f>
        <x:v>0</x:v>
      </x:c>
      <x:c r="AC301" s="23" t="n">
        <x:f>MAX(0,MIN('Activities'!L301,150)-MAX('Activities'!K301,144))</x:f>
        <x:v>0</x:v>
      </x:c>
      <x:c r="AD301" s="23" t="n">
        <x:f>MAX(0,MIN('Activities'!L301,156)-MAX('Activities'!K301,150))</x:f>
        <x:v>0</x:v>
      </x:c>
      <x:c r="AE301" s="23" t="n">
        <x:f>MAX(0,MIN('Activities'!L301,162)-MAX('Activities'!K301,156))</x:f>
        <x:v>0</x:v>
      </x:c>
      <x:c r="AF301" s="23" t="n">
        <x:f>MAX(0,MIN('Activities'!L301,168)-MAX('Activities'!K301,162))</x:f>
        <x:v>0</x:v>
      </x:c>
      <x:c r="AG301" s="23" t="n">
        <x:f>MAX(0,MIN('Activities'!L301,174)-MAX('Activities'!K301,168))</x:f>
        <x:v>0</x:v>
      </x:c>
      <x:c r="AH301" s="23" t="n">
        <x:f>MAX(0,MIN('Activities'!L301,180)-MAX('Activities'!K301,174))</x:f>
        <x:v>0</x:v>
      </x:c>
      <x:c r="AI301" s="23" t="n">
        <x:f>MAX(0,MIN('Activities'!L301,186)-MAX('Activities'!K301,180))</x:f>
        <x:v>0</x:v>
      </x:c>
      <x:c r="AJ301" s="23" t="n">
        <x:f>MAX(0,MIN('Activities'!L301,192)-MAX('Activities'!K301,186))</x:f>
        <x:v>0</x:v>
      </x:c>
      <x:c r="AK301" s="23" t="n">
        <x:f>MAX(0,MIN('Activities'!L301,198)-MAX('Activities'!K301,192))</x:f>
        <x:v>0</x:v>
      </x:c>
      <x:c r="AL301" s="23" t="n">
        <x:f>MAX(0,MIN('Activities'!L301,204)-MAX('Activities'!K301,198))</x:f>
        <x:v>0</x:v>
      </x:c>
      <x:c r="AM301" s="23" t="n">
        <x:f>MAX(0,MIN('Activities'!L301,210)-MAX('Activities'!K301,204))</x:f>
        <x:v>0</x:v>
      </x:c>
      <x:c r="AN301" s="23" t="n">
        <x:f>MAX(0,MIN('Activities'!L301,216)-MAX('Activities'!K301,210))</x:f>
        <x:v>0</x:v>
      </x:c>
      <x:c r="AO301" s="23" t="n">
        <x:f>MAX(0,MIN('Activities'!L301,222)-MAX('Activities'!K301,216))</x:f>
        <x:v>0</x:v>
      </x:c>
      <x:c r="AP301" s="23" t="n">
        <x:f>MAX(0,MIN('Activities'!L301,228)-MAX('Activities'!K301,222))</x:f>
        <x:v>0</x:v>
      </x:c>
      <x:c r="AQ301" s="23" t="n">
        <x:f>MAX(0,MIN('Activities'!L301,234)-MAX('Activities'!K301,228))</x:f>
        <x:v>0</x:v>
      </x:c>
      <x:c r="AR301" s="23" t="n">
        <x:f>MAX(0,MIN('Activities'!L301,240)-MAX('Activities'!K301,234))</x:f>
        <x:v>0</x:v>
      </x:c>
      <x:c r="AS301" s="23" t="n">
        <x:f>MAX(0,MIN('Activities'!L301,246)-MAX('Activities'!K301,240))</x:f>
        <x:v>3</x:v>
      </x:c>
      <x:c r="AT301" s="23" t="n">
        <x:f>MAX(0,MIN('Activities'!L301,252)-MAX('Activities'!K301,246))</x:f>
        <x:v>2</x:v>
      </x:c>
      <x:c r="AU301" s="23" t="n">
        <x:f>MAX(0,MIN('Activities'!L301,258)-MAX('Activities'!K301,252))</x:f>
        <x:v>0</x:v>
      </x:c>
      <x:c r="AV301" s="23" t="n">
        <x:f>MAX(0,MIN('Activities'!L301,264)-MAX('Activities'!K301,258))</x:f>
        <x:v>0</x:v>
      </x:c>
      <x:c r="AW301" s="23" t="n">
        <x:f>MAX(0,MIN('Activities'!L301,270)-MAX('Activities'!K301,264))</x:f>
        <x:v>0</x:v>
      </x:c>
      <x:c r="AX301" s="23" t="n">
        <x:f>MAX(0,MIN('Activities'!L301,276)-MAX('Activities'!K301,270))</x:f>
        <x:v>0</x:v>
      </x:c>
      <x:c r="AY301" s="23" t="n">
        <x:f>MAX(0,MIN('Activities'!L301,282)-MAX('Activities'!K301,276))</x:f>
        <x:v>0</x:v>
      </x:c>
      <x:c r="AZ301" s="23" t="n">
        <x:f>MAX(0,MIN('Activities'!L301,288)-MAX('Activities'!K301,282))</x:f>
        <x:v>0</x:v>
      </x:c>
      <x:c r="BA301" s="23" t="n">
        <x:f>MAX(0,MIN('Activities'!L301,294)-MAX('Activities'!K301,288))</x:f>
        <x:v>0</x:v>
      </x:c>
      <x:c r="BB301" s="23" t="n">
        <x:f>MAX(0,MIN('Activities'!L301,300)-MAX('Activities'!K301,294))</x:f>
        <x:v>0</x:v>
      </x:c>
      <x:c r="BC301" s="23" t="n">
        <x:f>MAX(0,MIN('Activities'!L301,306)-MAX('Activities'!K301,300))</x:f>
        <x:v>0</x:v>
      </x:c>
      <x:c r="BD301" s="23" t="n">
        <x:f>MAX(0,MIN('Activities'!L301,312)-MAX('Activities'!K301,306))</x:f>
        <x:v>0</x:v>
      </x:c>
      <x:c r="BE301" s="23" t="n">
        <x:f>MAX(0,MIN('Activities'!L301,318)-MAX('Activities'!K301,312))</x:f>
        <x:v>0</x:v>
      </x:c>
      <x:c r="BF301" s="23" t="n">
        <x:f>MAX(0,MIN('Activities'!L301,324)-MAX('Activities'!K301,318))</x:f>
        <x:v>0</x:v>
      </x:c>
      <x:c r="BG301" s="23" t="n">
        <x:f>MAX(0,MIN('Activities'!L301,330)-MAX('Activities'!K301,324))</x:f>
        <x:v>0</x:v>
      </x:c>
      <x:c r="BH301" s="23" t="n">
        <x:f>MAX(0,MIN('Activities'!L301,336)-MAX('Activities'!K301,330))</x:f>
        <x:v>0</x:v>
      </x:c>
      <x:c r="BI301" s="23" t="n">
        <x:f>MAX(0,MIN('Activities'!L301,342)-MAX('Activities'!K301,336))</x:f>
        <x:v>0</x:v>
      </x:c>
      <x:c r="BJ301" s="23" t="n">
        <x:f>MAX(0,MIN('Activities'!L301,348)-MAX('Activities'!K301,342))</x:f>
        <x:v>0</x:v>
      </x:c>
      <x:c r="BK301" s="23" t="n">
        <x:f>MAX(0,MIN('Activities'!L301,354)-MAX('Activities'!K301,348))</x:f>
        <x:v>0</x:v>
      </x:c>
      <x:c r="BL301" s="23" t="n">
        <x:f>MAX(0,MIN('Activities'!L301,360)-MAX('Activities'!K301,354))</x:f>
        <x:v>0</x:v>
      </x:c>
      <x:c r="BM301" s="23" t="n">
        <x:f>MAX(0,MIN('Activities'!L301,366)-MAX('Activities'!K301,360))</x:f>
        <x:v>0</x:v>
      </x:c>
      <x:c r="BN301" s="23" t="n">
        <x:f>MAX(0,MIN('Activities'!L301,372)-MAX('Activities'!K301,366))</x:f>
        <x:v>0</x:v>
      </x:c>
      <x:c r="BO301" s="23" t="n">
        <x:f>MAX(0,MIN('Activities'!L301,378)-MAX('Activities'!K301,372))</x:f>
        <x:v>0</x:v>
      </x:c>
      <x:c r="BP301" s="23" t="n">
        <x:f>MAX(0,MIN('Activities'!L301,384)-MAX('Activities'!K301,378))</x:f>
        <x:v>0</x:v>
      </x:c>
      <x:c r="BQ301" s="23" t="n">
        <x:f>MAX(0,MIN('Activities'!L301,390)-MAX('Activities'!K301,384))</x:f>
        <x:v>0</x:v>
      </x:c>
      <x:c r="BR301" s="23" t="n">
        <x:f>MAX(0,MIN('Activities'!L301,396)-MAX('Activities'!K301,390))</x:f>
        <x:v>0</x:v>
      </x:c>
      <x:c r="BS301" s="23" t="n">
        <x:f>MAX(0,MIN('Activities'!L301,402)-MAX('Activities'!K301,396))</x:f>
        <x:v>0</x:v>
      </x:c>
      <x:c r="BT301" s="23" t="n">
        <x:f>MAX(0,MIN('Activities'!L301,408)-MAX('Activities'!K301,402))</x:f>
        <x:v>0</x:v>
      </x:c>
      <x:c r="BU301" s="23" t="n">
        <x:f>MAX(0,MIN('Activities'!L301,414)-MAX('Activities'!K301,408))</x:f>
        <x:v>0</x:v>
      </x:c>
      <x:c r="BV301" s="23" t="n">
        <x:f>MAX(0,MIN('Activities'!L301,420)-MAX('Activities'!K301,414))</x:f>
        <x:v>0</x:v>
      </x:c>
      <x:c r="BW301" s="23" t="n">
        <x:f>MAX(0,MIN('Activities'!L301,426)-MAX('Activities'!K301,420))</x:f>
        <x:v>0</x:v>
      </x:c>
      <x:c r="BX301" s="23" t="n">
        <x:f>MAX(0,MIN('Activities'!L301,432)-MAX('Activities'!K301,426))</x:f>
        <x:v>0</x:v>
      </x:c>
      <x:c r="BY301" s="23" t="n">
        <x:f>MAX(0,MIN('Activities'!L301,438)-MAX('Activities'!K301,432))</x:f>
        <x:v>0</x:v>
      </x:c>
      <x:c r="BZ301" s="23" t="n">
        <x:f>MAX(0,MIN('Activities'!L301,444)-MAX('Activities'!K301,438))</x:f>
        <x:v>0</x:v>
      </x:c>
      <x:c r="CA301" s="23" t="n">
        <x:f>MAX(0,MIN('Activities'!L301,450)-MAX('Activities'!K301,444))</x:f>
        <x:v>0</x:v>
      </x:c>
      <x:c r="CB301" s="23" t="n">
        <x:f>MAX(0,MIN('Activities'!L301,456)-MAX('Activities'!K301,450))</x:f>
        <x:v>0</x:v>
      </x:c>
      <x:c r="CC301" s="23" t="n">
        <x:f>MAX(0,MIN('Activities'!L301,462)-MAX('Activities'!K301,456))</x:f>
        <x:v>0</x:v>
      </x:c>
      <x:c r="CD301" s="23" t="n">
        <x:f>MAX(0,MIN('Activities'!L301,468)-MAX('Activities'!K301,462))</x:f>
        <x:v>0</x:v>
      </x:c>
      <x:c r="CE301" s="23" t="n">
        <x:f>MAX(0,MIN('Activities'!L301,474)-MAX('Activities'!K301,468))</x:f>
        <x:v>0</x:v>
      </x:c>
      <x:c r="CF301" s="23" t="n">
        <x:f>MAX(0,MIN('Activities'!L301,480)-MAX('Activities'!K301,474))</x:f>
        <x:v>0</x:v>
      </x:c>
      <x:c r="CG301" s="23" t="n">
        <x:f>MAX(0,MIN('Activities'!L301,486)-MAX('Activities'!K301,480))</x:f>
        <x:v>0</x:v>
      </x:c>
      <x:c r="CH301" s="23" t="n">
        <x:f>MAX(0,MIN('Activities'!L301,492)-MAX('Activities'!K301,486))</x:f>
        <x:v>0</x:v>
      </x:c>
      <x:c r="CI301" s="23" t="n">
        <x:f>MAX(0,MIN('Activities'!L301,498)-MAX('Activities'!K301,492))</x:f>
        <x:v>0</x:v>
      </x:c>
      <x:c r="CJ301" s="23" t="n">
        <x:f>MAX(0,MIN('Activities'!L301,504)-MAX('Activities'!K301,498))</x:f>
        <x:v>0</x:v>
      </x:c>
      <x:c r="CK301" s="23" t="n">
        <x:f>MAX(0,MIN('Activities'!L301,510)-MAX('Activities'!K301,504))</x:f>
        <x:v>0</x:v>
      </x:c>
      <x:c r="CL301" s="23" t="n">
        <x:f>MAX(0,MIN('Activities'!L301,516)-MAX('Activities'!K301,510))</x:f>
        <x:v>0</x:v>
      </x:c>
      <x:c r="CM301" s="23" t="n">
        <x:f>MAX(0,MIN('Activities'!L301,522)-MAX('Activities'!K301,516))</x:f>
        <x:v>0</x:v>
      </x:c>
      <x:c r="CN301" s="23" t="n">
        <x:f>MAX(0,MIN('Activities'!L301,528)-MAX('Activities'!K301,522))</x:f>
        <x:v>0</x:v>
      </x:c>
      <x:c r="CO301" s="23" t="n">
        <x:f>MAX(0,MIN('Activities'!L301,534)-MAX('Activities'!K301,528))</x:f>
        <x:v>0</x:v>
      </x:c>
      <x:c r="CP301" s="23" t="n">
        <x:f>MAX(0,MIN('Activities'!L301,540)-MAX('Activities'!K301,534))</x:f>
        <x:v>0</x:v>
      </x:c>
      <x:c r="CQ301" s="23" t="n">
        <x:f>MAX(0,MIN('Activities'!L301,546)-MAX('Activities'!K301,540))</x:f>
        <x:v>0</x:v>
      </x:c>
      <x:c r="CR301" s="23" t="n">
        <x:f>MAX(0,MIN('Activities'!L301,552)-MAX('Activities'!K301,546))</x:f>
        <x:v>0</x:v>
      </x:c>
      <x:c r="CS301" s="23" t="n">
        <x:f>MAX(0,MIN('Activities'!L301,558)-MAX('Activities'!K301,552))</x:f>
        <x:v>0</x:v>
      </x:c>
      <x:c r="CT301" s="23" t="n">
        <x:f>MAX(0,MIN('Activities'!L301,564)-MAX('Activities'!K301,558))</x:f>
        <x:v>0</x:v>
      </x:c>
      <x:c r="CU301" s="23" t="n">
        <x:f>MAX(0,MIN('Activities'!L301,570)-MAX('Activities'!K301,564))</x:f>
        <x:v>0</x:v>
      </x:c>
      <x:c r="CV301" s="23" t="n">
        <x:f>MAX(0,MIN('Activities'!L301,576)-MAX('Activities'!K301,570))</x:f>
        <x:v>0</x:v>
      </x:c>
      <x:c r="CW301" s="23" t="n">
        <x:f>MAX(0,MIN('Activities'!L301,582)-MAX('Activities'!K301,576))</x:f>
        <x:v>0</x:v>
      </x:c>
      <x:c r="CX301" s="23" t="n">
        <x:f>MAX(0,MIN('Activities'!L301,588)-MAX('Activities'!K301,582))</x:f>
        <x:v>0</x:v>
      </x:c>
      <x:c r="CY301" s="23" t="n">
        <x:f>MAX(0,MIN('Activities'!L301,594)-MAX('Activities'!K301,588))</x:f>
        <x:v>0</x:v>
      </x:c>
      <x:c r="CZ301" s="23" t="n">
        <x:f>MAX(0,MIN('Activities'!L301,600)-MAX('Activities'!K301,594))</x:f>
        <x:v>0</x:v>
      </x:c>
      <x:c r="DA301" s="23" t="n">
        <x:f>MAX(0,MIN('Activities'!L301,606)-MAX('Activities'!K301,600))</x:f>
        <x:v>0</x:v>
      </x:c>
      <x:c r="DB301" s="23" t="n">
        <x:f>MAX(0,MIN('Activities'!L301,612)-MAX('Activities'!K301,606))</x:f>
        <x:v>0</x:v>
      </x:c>
      <x:c r="DC301" s="23" t="n">
        <x:f>MAX(0,MIN('Activities'!L301,618)-MAX('Activities'!K301,612))</x:f>
        <x:v>0</x:v>
      </x:c>
      <x:c r="DD301" s="23" t="n">
        <x:f>MAX(0,MIN('Activities'!L301,624)-MAX('Activities'!K301,618))</x:f>
        <x:v>0</x:v>
      </x:c>
      <x:c r="DE301" s="23" t="n">
        <x:f>MAX(0,MIN('Activities'!L301,630)-MAX('Activities'!K301,624))</x:f>
        <x:v>0</x:v>
      </x:c>
      <x:c r="DF301" s="23" t="n">
        <x:f>MAX(0,MIN('Activities'!L301,636)-MAX('Activities'!K301,630))</x:f>
        <x:v>0</x:v>
      </x:c>
    </x:row>
    <x:row r="302" ht="23" customHeight="1">
      <x:c r="A302" s="6" t="str">
        <x:v>T3-L05-F</x:v>
      </x:c>
      <x:c r="B302" s="6" t="str">
        <x:v>T3</x:v>
      </x:c>
      <x:c r="C302" s="6" t="str">
        <x:v>Columns, core and deck formwork</x:v>
      </x:c>
      <x:c r="D302" s="6" t="str">
        <x:v>Formwork</x:v>
      </x:c>
      <x:c r="E302" s="22" t="n">
        <x:f>MAX(0,MIN('Activities'!L302,6)-MAX('Activities'!K302,0))</x:f>
        <x:v>0</x:v>
      </x:c>
      <x:c r="F302" s="22" t="n">
        <x:f>MAX(0,MIN('Activities'!L302,12)-MAX('Activities'!K302,6))</x:f>
        <x:v>0</x:v>
      </x:c>
      <x:c r="G302" s="22" t="n">
        <x:f>MAX(0,MIN('Activities'!L302,18)-MAX('Activities'!K302,12))</x:f>
        <x:v>0</x:v>
      </x:c>
      <x:c r="H302" s="22" t="n">
        <x:f>MAX(0,MIN('Activities'!L302,24)-MAX('Activities'!K302,18))</x:f>
        <x:v>0</x:v>
      </x:c>
      <x:c r="I302" s="22" t="n">
        <x:f>MAX(0,MIN('Activities'!L302,30)-MAX('Activities'!K302,24))</x:f>
        <x:v>0</x:v>
      </x:c>
      <x:c r="J302" s="22" t="n">
        <x:f>MAX(0,MIN('Activities'!L302,36)-MAX('Activities'!K302,30))</x:f>
        <x:v>0</x:v>
      </x:c>
      <x:c r="K302" s="22" t="n">
        <x:f>MAX(0,MIN('Activities'!L302,42)-MAX('Activities'!K302,36))</x:f>
        <x:v>0</x:v>
      </x:c>
      <x:c r="L302" s="22" t="n">
        <x:f>MAX(0,MIN('Activities'!L302,48)-MAX('Activities'!K302,42))</x:f>
        <x:v>0</x:v>
      </x:c>
      <x:c r="M302" s="22" t="n">
        <x:f>MAX(0,MIN('Activities'!L302,54)-MAX('Activities'!K302,48))</x:f>
        <x:v>0</x:v>
      </x:c>
      <x:c r="N302" s="22" t="n">
        <x:f>MAX(0,MIN('Activities'!L302,60)-MAX('Activities'!K302,54))</x:f>
        <x:v>0</x:v>
      </x:c>
      <x:c r="O302" s="22" t="n">
        <x:f>MAX(0,MIN('Activities'!L302,66)-MAX('Activities'!K302,60))</x:f>
        <x:v>0</x:v>
      </x:c>
      <x:c r="P302" s="22" t="n">
        <x:f>MAX(0,MIN('Activities'!L302,72)-MAX('Activities'!K302,66))</x:f>
        <x:v>0</x:v>
      </x:c>
      <x:c r="Q302" s="22" t="n">
        <x:f>MAX(0,MIN('Activities'!L302,78)-MAX('Activities'!K302,72))</x:f>
        <x:v>0</x:v>
      </x:c>
      <x:c r="R302" s="22" t="n">
        <x:f>MAX(0,MIN('Activities'!L302,84)-MAX('Activities'!K302,78))</x:f>
        <x:v>0</x:v>
      </x:c>
      <x:c r="S302" s="22" t="n">
        <x:f>MAX(0,MIN('Activities'!L302,90)-MAX('Activities'!K302,84))</x:f>
        <x:v>0</x:v>
      </x:c>
      <x:c r="T302" s="22" t="n">
        <x:f>MAX(0,MIN('Activities'!L302,96)-MAX('Activities'!K302,90))</x:f>
        <x:v>0</x:v>
      </x:c>
      <x:c r="U302" s="22" t="n">
        <x:f>MAX(0,MIN('Activities'!L302,102)-MAX('Activities'!K302,96))</x:f>
        <x:v>0</x:v>
      </x:c>
      <x:c r="V302" s="22" t="n">
        <x:f>MAX(0,MIN('Activities'!L302,108)-MAX('Activities'!K302,102))</x:f>
        <x:v>0</x:v>
      </x:c>
      <x:c r="W302" s="22" t="n">
        <x:f>MAX(0,MIN('Activities'!L302,114)-MAX('Activities'!K302,108))</x:f>
        <x:v>0</x:v>
      </x:c>
      <x:c r="X302" s="22" t="n">
        <x:f>MAX(0,MIN('Activities'!L302,120)-MAX('Activities'!K302,114))</x:f>
        <x:v>0</x:v>
      </x:c>
      <x:c r="Y302" s="22" t="n">
        <x:f>MAX(0,MIN('Activities'!L302,126)-MAX('Activities'!K302,120))</x:f>
        <x:v>0</x:v>
      </x:c>
      <x:c r="Z302" s="22" t="n">
        <x:f>MAX(0,MIN('Activities'!L302,132)-MAX('Activities'!K302,126))</x:f>
        <x:v>0</x:v>
      </x:c>
      <x:c r="AA302" s="22" t="n">
        <x:f>MAX(0,MIN('Activities'!L302,138)-MAX('Activities'!K302,132))</x:f>
        <x:v>0</x:v>
      </x:c>
      <x:c r="AB302" s="22" t="n">
        <x:f>MAX(0,MIN('Activities'!L302,144)-MAX('Activities'!K302,138))</x:f>
        <x:v>0</x:v>
      </x:c>
      <x:c r="AC302" s="22" t="n">
        <x:f>MAX(0,MIN('Activities'!L302,150)-MAX('Activities'!K302,144))</x:f>
        <x:v>0</x:v>
      </x:c>
      <x:c r="AD302" s="22" t="n">
        <x:f>MAX(0,MIN('Activities'!L302,156)-MAX('Activities'!K302,150))</x:f>
        <x:v>0</x:v>
      </x:c>
      <x:c r="AE302" s="22" t="n">
        <x:f>MAX(0,MIN('Activities'!L302,162)-MAX('Activities'!K302,156))</x:f>
        <x:v>0</x:v>
      </x:c>
      <x:c r="AF302" s="22" t="n">
        <x:f>MAX(0,MIN('Activities'!L302,168)-MAX('Activities'!K302,162))</x:f>
        <x:v>0</x:v>
      </x:c>
      <x:c r="AG302" s="22" t="n">
        <x:f>MAX(0,MIN('Activities'!L302,174)-MAX('Activities'!K302,168))</x:f>
        <x:v>0</x:v>
      </x:c>
      <x:c r="AH302" s="22" t="n">
        <x:f>MAX(0,MIN('Activities'!L302,180)-MAX('Activities'!K302,174))</x:f>
        <x:v>0</x:v>
      </x:c>
      <x:c r="AI302" s="22" t="n">
        <x:f>MAX(0,MIN('Activities'!L302,186)-MAX('Activities'!K302,180))</x:f>
        <x:v>0</x:v>
      </x:c>
      <x:c r="AJ302" s="22" t="n">
        <x:f>MAX(0,MIN('Activities'!L302,192)-MAX('Activities'!K302,186))</x:f>
        <x:v>0</x:v>
      </x:c>
      <x:c r="AK302" s="22" t="n">
        <x:f>MAX(0,MIN('Activities'!L302,198)-MAX('Activities'!K302,192))</x:f>
        <x:v>0</x:v>
      </x:c>
      <x:c r="AL302" s="22" t="n">
        <x:f>MAX(0,MIN('Activities'!L302,204)-MAX('Activities'!K302,198))</x:f>
        <x:v>0</x:v>
      </x:c>
      <x:c r="AM302" s="22" t="n">
        <x:f>MAX(0,MIN('Activities'!L302,210)-MAX('Activities'!K302,204))</x:f>
        <x:v>0</x:v>
      </x:c>
      <x:c r="AN302" s="22" t="n">
        <x:f>MAX(0,MIN('Activities'!L302,216)-MAX('Activities'!K302,210))</x:f>
        <x:v>0</x:v>
      </x:c>
      <x:c r="AO302" s="22" t="n">
        <x:f>MAX(0,MIN('Activities'!L302,222)-MAX('Activities'!K302,216))</x:f>
        <x:v>0</x:v>
      </x:c>
      <x:c r="AP302" s="22" t="n">
        <x:f>MAX(0,MIN('Activities'!L302,228)-MAX('Activities'!K302,222))</x:f>
        <x:v>0</x:v>
      </x:c>
      <x:c r="AQ302" s="22" t="n">
        <x:f>MAX(0,MIN('Activities'!L302,234)-MAX('Activities'!K302,228))</x:f>
        <x:v>0</x:v>
      </x:c>
      <x:c r="AR302" s="22" t="n">
        <x:f>MAX(0,MIN('Activities'!L302,240)-MAX('Activities'!K302,234))</x:f>
        <x:v>0</x:v>
      </x:c>
      <x:c r="AS302" s="22" t="n">
        <x:f>MAX(0,MIN('Activities'!L302,246)-MAX('Activities'!K302,240))</x:f>
        <x:v>0</x:v>
      </x:c>
      <x:c r="AT302" s="22" t="n">
        <x:f>MAX(0,MIN('Activities'!L302,252)-MAX('Activities'!K302,246))</x:f>
        <x:v>4</x:v>
      </x:c>
      <x:c r="AU302" s="22" t="n">
        <x:f>MAX(0,MIN('Activities'!L302,258)-MAX('Activities'!K302,252))</x:f>
        <x:v>2</x:v>
      </x:c>
      <x:c r="AV302" s="22" t="n">
        <x:f>MAX(0,MIN('Activities'!L302,264)-MAX('Activities'!K302,258))</x:f>
        <x:v>0</x:v>
      </x:c>
      <x:c r="AW302" s="22" t="n">
        <x:f>MAX(0,MIN('Activities'!L302,270)-MAX('Activities'!K302,264))</x:f>
        <x:v>0</x:v>
      </x:c>
      <x:c r="AX302" s="22" t="n">
        <x:f>MAX(0,MIN('Activities'!L302,276)-MAX('Activities'!K302,270))</x:f>
        <x:v>0</x:v>
      </x:c>
      <x:c r="AY302" s="22" t="n">
        <x:f>MAX(0,MIN('Activities'!L302,282)-MAX('Activities'!K302,276))</x:f>
        <x:v>0</x:v>
      </x:c>
      <x:c r="AZ302" s="22" t="n">
        <x:f>MAX(0,MIN('Activities'!L302,288)-MAX('Activities'!K302,282))</x:f>
        <x:v>0</x:v>
      </x:c>
      <x:c r="BA302" s="22" t="n">
        <x:f>MAX(0,MIN('Activities'!L302,294)-MAX('Activities'!K302,288))</x:f>
        <x:v>0</x:v>
      </x:c>
      <x:c r="BB302" s="22" t="n">
        <x:f>MAX(0,MIN('Activities'!L302,300)-MAX('Activities'!K302,294))</x:f>
        <x:v>0</x:v>
      </x:c>
      <x:c r="BC302" s="22" t="n">
        <x:f>MAX(0,MIN('Activities'!L302,306)-MAX('Activities'!K302,300))</x:f>
        <x:v>0</x:v>
      </x:c>
      <x:c r="BD302" s="22" t="n">
        <x:f>MAX(0,MIN('Activities'!L302,312)-MAX('Activities'!K302,306))</x:f>
        <x:v>0</x:v>
      </x:c>
      <x:c r="BE302" s="22" t="n">
        <x:f>MAX(0,MIN('Activities'!L302,318)-MAX('Activities'!K302,312))</x:f>
        <x:v>0</x:v>
      </x:c>
      <x:c r="BF302" s="22" t="n">
        <x:f>MAX(0,MIN('Activities'!L302,324)-MAX('Activities'!K302,318))</x:f>
        <x:v>0</x:v>
      </x:c>
      <x:c r="BG302" s="22" t="n">
        <x:f>MAX(0,MIN('Activities'!L302,330)-MAX('Activities'!K302,324))</x:f>
        <x:v>0</x:v>
      </x:c>
      <x:c r="BH302" s="22" t="n">
        <x:f>MAX(0,MIN('Activities'!L302,336)-MAX('Activities'!K302,330))</x:f>
        <x:v>0</x:v>
      </x:c>
      <x:c r="BI302" s="22" t="n">
        <x:f>MAX(0,MIN('Activities'!L302,342)-MAX('Activities'!K302,336))</x:f>
        <x:v>0</x:v>
      </x:c>
      <x:c r="BJ302" s="22" t="n">
        <x:f>MAX(0,MIN('Activities'!L302,348)-MAX('Activities'!K302,342))</x:f>
        <x:v>0</x:v>
      </x:c>
      <x:c r="BK302" s="22" t="n">
        <x:f>MAX(0,MIN('Activities'!L302,354)-MAX('Activities'!K302,348))</x:f>
        <x:v>0</x:v>
      </x:c>
      <x:c r="BL302" s="22" t="n">
        <x:f>MAX(0,MIN('Activities'!L302,360)-MAX('Activities'!K302,354))</x:f>
        <x:v>0</x:v>
      </x:c>
      <x:c r="BM302" s="22" t="n">
        <x:f>MAX(0,MIN('Activities'!L302,366)-MAX('Activities'!K302,360))</x:f>
        <x:v>0</x:v>
      </x:c>
      <x:c r="BN302" s="22" t="n">
        <x:f>MAX(0,MIN('Activities'!L302,372)-MAX('Activities'!K302,366))</x:f>
        <x:v>0</x:v>
      </x:c>
      <x:c r="BO302" s="22" t="n">
        <x:f>MAX(0,MIN('Activities'!L302,378)-MAX('Activities'!K302,372))</x:f>
        <x:v>0</x:v>
      </x:c>
      <x:c r="BP302" s="22" t="n">
        <x:f>MAX(0,MIN('Activities'!L302,384)-MAX('Activities'!K302,378))</x:f>
        <x:v>0</x:v>
      </x:c>
      <x:c r="BQ302" s="22" t="n">
        <x:f>MAX(0,MIN('Activities'!L302,390)-MAX('Activities'!K302,384))</x:f>
        <x:v>0</x:v>
      </x:c>
      <x:c r="BR302" s="22" t="n">
        <x:f>MAX(0,MIN('Activities'!L302,396)-MAX('Activities'!K302,390))</x:f>
        <x:v>0</x:v>
      </x:c>
      <x:c r="BS302" s="22" t="n">
        <x:f>MAX(0,MIN('Activities'!L302,402)-MAX('Activities'!K302,396))</x:f>
        <x:v>0</x:v>
      </x:c>
      <x:c r="BT302" s="22" t="n">
        <x:f>MAX(0,MIN('Activities'!L302,408)-MAX('Activities'!K302,402))</x:f>
        <x:v>0</x:v>
      </x:c>
      <x:c r="BU302" s="22" t="n">
        <x:f>MAX(0,MIN('Activities'!L302,414)-MAX('Activities'!K302,408))</x:f>
        <x:v>0</x:v>
      </x:c>
      <x:c r="BV302" s="22" t="n">
        <x:f>MAX(0,MIN('Activities'!L302,420)-MAX('Activities'!K302,414))</x:f>
        <x:v>0</x:v>
      </x:c>
      <x:c r="BW302" s="22" t="n">
        <x:f>MAX(0,MIN('Activities'!L302,426)-MAX('Activities'!K302,420))</x:f>
        <x:v>0</x:v>
      </x:c>
      <x:c r="BX302" s="22" t="n">
        <x:f>MAX(0,MIN('Activities'!L302,432)-MAX('Activities'!K302,426))</x:f>
        <x:v>0</x:v>
      </x:c>
      <x:c r="BY302" s="22" t="n">
        <x:f>MAX(0,MIN('Activities'!L302,438)-MAX('Activities'!K302,432))</x:f>
        <x:v>0</x:v>
      </x:c>
      <x:c r="BZ302" s="22" t="n">
        <x:f>MAX(0,MIN('Activities'!L302,444)-MAX('Activities'!K302,438))</x:f>
        <x:v>0</x:v>
      </x:c>
      <x:c r="CA302" s="22" t="n">
        <x:f>MAX(0,MIN('Activities'!L302,450)-MAX('Activities'!K302,444))</x:f>
        <x:v>0</x:v>
      </x:c>
      <x:c r="CB302" s="22" t="n">
        <x:f>MAX(0,MIN('Activities'!L302,456)-MAX('Activities'!K302,450))</x:f>
        <x:v>0</x:v>
      </x:c>
      <x:c r="CC302" s="22" t="n">
        <x:f>MAX(0,MIN('Activities'!L302,462)-MAX('Activities'!K302,456))</x:f>
        <x:v>0</x:v>
      </x:c>
      <x:c r="CD302" s="22" t="n">
        <x:f>MAX(0,MIN('Activities'!L302,468)-MAX('Activities'!K302,462))</x:f>
        <x:v>0</x:v>
      </x:c>
      <x:c r="CE302" s="22" t="n">
        <x:f>MAX(0,MIN('Activities'!L302,474)-MAX('Activities'!K302,468))</x:f>
        <x:v>0</x:v>
      </x:c>
      <x:c r="CF302" s="22" t="n">
        <x:f>MAX(0,MIN('Activities'!L302,480)-MAX('Activities'!K302,474))</x:f>
        <x:v>0</x:v>
      </x:c>
      <x:c r="CG302" s="22" t="n">
        <x:f>MAX(0,MIN('Activities'!L302,486)-MAX('Activities'!K302,480))</x:f>
        <x:v>0</x:v>
      </x:c>
      <x:c r="CH302" s="22" t="n">
        <x:f>MAX(0,MIN('Activities'!L302,492)-MAX('Activities'!K302,486))</x:f>
        <x:v>0</x:v>
      </x:c>
      <x:c r="CI302" s="22" t="n">
        <x:f>MAX(0,MIN('Activities'!L302,498)-MAX('Activities'!K302,492))</x:f>
        <x:v>0</x:v>
      </x:c>
      <x:c r="CJ302" s="22" t="n">
        <x:f>MAX(0,MIN('Activities'!L302,504)-MAX('Activities'!K302,498))</x:f>
        <x:v>0</x:v>
      </x:c>
      <x:c r="CK302" s="22" t="n">
        <x:f>MAX(0,MIN('Activities'!L302,510)-MAX('Activities'!K302,504))</x:f>
        <x:v>0</x:v>
      </x:c>
      <x:c r="CL302" s="22" t="n">
        <x:f>MAX(0,MIN('Activities'!L302,516)-MAX('Activities'!K302,510))</x:f>
        <x:v>0</x:v>
      </x:c>
      <x:c r="CM302" s="22" t="n">
        <x:f>MAX(0,MIN('Activities'!L302,522)-MAX('Activities'!K302,516))</x:f>
        <x:v>0</x:v>
      </x:c>
      <x:c r="CN302" s="22" t="n">
        <x:f>MAX(0,MIN('Activities'!L302,528)-MAX('Activities'!K302,522))</x:f>
        <x:v>0</x:v>
      </x:c>
      <x:c r="CO302" s="22" t="n">
        <x:f>MAX(0,MIN('Activities'!L302,534)-MAX('Activities'!K302,528))</x:f>
        <x:v>0</x:v>
      </x:c>
      <x:c r="CP302" s="22" t="n">
        <x:f>MAX(0,MIN('Activities'!L302,540)-MAX('Activities'!K302,534))</x:f>
        <x:v>0</x:v>
      </x:c>
      <x:c r="CQ302" s="22" t="n">
        <x:f>MAX(0,MIN('Activities'!L302,546)-MAX('Activities'!K302,540))</x:f>
        <x:v>0</x:v>
      </x:c>
      <x:c r="CR302" s="22" t="n">
        <x:f>MAX(0,MIN('Activities'!L302,552)-MAX('Activities'!K302,546))</x:f>
        <x:v>0</x:v>
      </x:c>
      <x:c r="CS302" s="22" t="n">
        <x:f>MAX(0,MIN('Activities'!L302,558)-MAX('Activities'!K302,552))</x:f>
        <x:v>0</x:v>
      </x:c>
      <x:c r="CT302" s="22" t="n">
        <x:f>MAX(0,MIN('Activities'!L302,564)-MAX('Activities'!K302,558))</x:f>
        <x:v>0</x:v>
      </x:c>
      <x:c r="CU302" s="22" t="n">
        <x:f>MAX(0,MIN('Activities'!L302,570)-MAX('Activities'!K302,564))</x:f>
        <x:v>0</x:v>
      </x:c>
      <x:c r="CV302" s="22" t="n">
        <x:f>MAX(0,MIN('Activities'!L302,576)-MAX('Activities'!K302,570))</x:f>
        <x:v>0</x:v>
      </x:c>
      <x:c r="CW302" s="22" t="n">
        <x:f>MAX(0,MIN('Activities'!L302,582)-MAX('Activities'!K302,576))</x:f>
        <x:v>0</x:v>
      </x:c>
      <x:c r="CX302" s="22" t="n">
        <x:f>MAX(0,MIN('Activities'!L302,588)-MAX('Activities'!K302,582))</x:f>
        <x:v>0</x:v>
      </x:c>
      <x:c r="CY302" s="22" t="n">
        <x:f>MAX(0,MIN('Activities'!L302,594)-MAX('Activities'!K302,588))</x:f>
        <x:v>0</x:v>
      </x:c>
      <x:c r="CZ302" s="22" t="n">
        <x:f>MAX(0,MIN('Activities'!L302,600)-MAX('Activities'!K302,594))</x:f>
        <x:v>0</x:v>
      </x:c>
      <x:c r="DA302" s="22" t="n">
        <x:f>MAX(0,MIN('Activities'!L302,606)-MAX('Activities'!K302,600))</x:f>
        <x:v>0</x:v>
      </x:c>
      <x:c r="DB302" s="22" t="n">
        <x:f>MAX(0,MIN('Activities'!L302,612)-MAX('Activities'!K302,606))</x:f>
        <x:v>0</x:v>
      </x:c>
      <x:c r="DC302" s="22" t="n">
        <x:f>MAX(0,MIN('Activities'!L302,618)-MAX('Activities'!K302,612))</x:f>
        <x:v>0</x:v>
      </x:c>
      <x:c r="DD302" s="22" t="n">
        <x:f>MAX(0,MIN('Activities'!L302,624)-MAX('Activities'!K302,618))</x:f>
        <x:v>0</x:v>
      </x:c>
      <x:c r="DE302" s="22" t="n">
        <x:f>MAX(0,MIN('Activities'!L302,630)-MAX('Activities'!K302,624))</x:f>
        <x:v>0</x:v>
      </x:c>
      <x:c r="DF302" s="22" t="n">
        <x:f>MAX(0,MIN('Activities'!L302,636)-MAX('Activities'!K302,630))</x:f>
        <x:v>0</x:v>
      </x:c>
    </x:row>
    <x:row r="303" ht="23" customHeight="1">
      <x:c r="A303" s="1" t="str">
        <x:v>T3-L05-R</x:v>
      </x:c>
      <x:c r="B303" s="1" t="str">
        <x:v>T3</x:v>
      </x:c>
      <x:c r="C303" s="1" t="str">
        <x:v>Column, wall, beam and slab reinforcement</x:v>
      </x:c>
      <x:c r="D303" s="1" t="str">
        <x:v>Rebar</x:v>
      </x:c>
      <x:c r="E303" s="23" t="n">
        <x:f>MAX(0,MIN('Activities'!L303,6)-MAX('Activities'!K303,0))</x:f>
        <x:v>0</x:v>
      </x:c>
      <x:c r="F303" s="23" t="n">
        <x:f>MAX(0,MIN('Activities'!L303,12)-MAX('Activities'!K303,6))</x:f>
        <x:v>0</x:v>
      </x:c>
      <x:c r="G303" s="23" t="n">
        <x:f>MAX(0,MIN('Activities'!L303,18)-MAX('Activities'!K303,12))</x:f>
        <x:v>0</x:v>
      </x:c>
      <x:c r="H303" s="23" t="n">
        <x:f>MAX(0,MIN('Activities'!L303,24)-MAX('Activities'!K303,18))</x:f>
        <x:v>0</x:v>
      </x:c>
      <x:c r="I303" s="23" t="n">
        <x:f>MAX(0,MIN('Activities'!L303,30)-MAX('Activities'!K303,24))</x:f>
        <x:v>0</x:v>
      </x:c>
      <x:c r="J303" s="23" t="n">
        <x:f>MAX(0,MIN('Activities'!L303,36)-MAX('Activities'!K303,30))</x:f>
        <x:v>0</x:v>
      </x:c>
      <x:c r="K303" s="23" t="n">
        <x:f>MAX(0,MIN('Activities'!L303,42)-MAX('Activities'!K303,36))</x:f>
        <x:v>0</x:v>
      </x:c>
      <x:c r="L303" s="23" t="n">
        <x:f>MAX(0,MIN('Activities'!L303,48)-MAX('Activities'!K303,42))</x:f>
        <x:v>0</x:v>
      </x:c>
      <x:c r="M303" s="23" t="n">
        <x:f>MAX(0,MIN('Activities'!L303,54)-MAX('Activities'!K303,48))</x:f>
        <x:v>0</x:v>
      </x:c>
      <x:c r="N303" s="23" t="n">
        <x:f>MAX(0,MIN('Activities'!L303,60)-MAX('Activities'!K303,54))</x:f>
        <x:v>0</x:v>
      </x:c>
      <x:c r="O303" s="23" t="n">
        <x:f>MAX(0,MIN('Activities'!L303,66)-MAX('Activities'!K303,60))</x:f>
        <x:v>0</x:v>
      </x:c>
      <x:c r="P303" s="23" t="n">
        <x:f>MAX(0,MIN('Activities'!L303,72)-MAX('Activities'!K303,66))</x:f>
        <x:v>0</x:v>
      </x:c>
      <x:c r="Q303" s="23" t="n">
        <x:f>MAX(0,MIN('Activities'!L303,78)-MAX('Activities'!K303,72))</x:f>
        <x:v>0</x:v>
      </x:c>
      <x:c r="R303" s="23" t="n">
        <x:f>MAX(0,MIN('Activities'!L303,84)-MAX('Activities'!K303,78))</x:f>
        <x:v>0</x:v>
      </x:c>
      <x:c r="S303" s="23" t="n">
        <x:f>MAX(0,MIN('Activities'!L303,90)-MAX('Activities'!K303,84))</x:f>
        <x:v>0</x:v>
      </x:c>
      <x:c r="T303" s="23" t="n">
        <x:f>MAX(0,MIN('Activities'!L303,96)-MAX('Activities'!K303,90))</x:f>
        <x:v>0</x:v>
      </x:c>
      <x:c r="U303" s="23" t="n">
        <x:f>MAX(0,MIN('Activities'!L303,102)-MAX('Activities'!K303,96))</x:f>
        <x:v>0</x:v>
      </x:c>
      <x:c r="V303" s="23" t="n">
        <x:f>MAX(0,MIN('Activities'!L303,108)-MAX('Activities'!K303,102))</x:f>
        <x:v>0</x:v>
      </x:c>
      <x:c r="W303" s="23" t="n">
        <x:f>MAX(0,MIN('Activities'!L303,114)-MAX('Activities'!K303,108))</x:f>
        <x:v>0</x:v>
      </x:c>
      <x:c r="X303" s="23" t="n">
        <x:f>MAX(0,MIN('Activities'!L303,120)-MAX('Activities'!K303,114))</x:f>
        <x:v>0</x:v>
      </x:c>
      <x:c r="Y303" s="23" t="n">
        <x:f>MAX(0,MIN('Activities'!L303,126)-MAX('Activities'!K303,120))</x:f>
        <x:v>0</x:v>
      </x:c>
      <x:c r="Z303" s="23" t="n">
        <x:f>MAX(0,MIN('Activities'!L303,132)-MAX('Activities'!K303,126))</x:f>
        <x:v>0</x:v>
      </x:c>
      <x:c r="AA303" s="23" t="n">
        <x:f>MAX(0,MIN('Activities'!L303,138)-MAX('Activities'!K303,132))</x:f>
        <x:v>0</x:v>
      </x:c>
      <x:c r="AB303" s="23" t="n">
        <x:f>MAX(0,MIN('Activities'!L303,144)-MAX('Activities'!K303,138))</x:f>
        <x:v>0</x:v>
      </x:c>
      <x:c r="AC303" s="23" t="n">
        <x:f>MAX(0,MIN('Activities'!L303,150)-MAX('Activities'!K303,144))</x:f>
        <x:v>0</x:v>
      </x:c>
      <x:c r="AD303" s="23" t="n">
        <x:f>MAX(0,MIN('Activities'!L303,156)-MAX('Activities'!K303,150))</x:f>
        <x:v>0</x:v>
      </x:c>
      <x:c r="AE303" s="23" t="n">
        <x:f>MAX(0,MIN('Activities'!L303,162)-MAX('Activities'!K303,156))</x:f>
        <x:v>0</x:v>
      </x:c>
      <x:c r="AF303" s="23" t="n">
        <x:f>MAX(0,MIN('Activities'!L303,168)-MAX('Activities'!K303,162))</x:f>
        <x:v>0</x:v>
      </x:c>
      <x:c r="AG303" s="23" t="n">
        <x:f>MAX(0,MIN('Activities'!L303,174)-MAX('Activities'!K303,168))</x:f>
        <x:v>0</x:v>
      </x:c>
      <x:c r="AH303" s="23" t="n">
        <x:f>MAX(0,MIN('Activities'!L303,180)-MAX('Activities'!K303,174))</x:f>
        <x:v>0</x:v>
      </x:c>
      <x:c r="AI303" s="23" t="n">
        <x:f>MAX(0,MIN('Activities'!L303,186)-MAX('Activities'!K303,180))</x:f>
        <x:v>0</x:v>
      </x:c>
      <x:c r="AJ303" s="23" t="n">
        <x:f>MAX(0,MIN('Activities'!L303,192)-MAX('Activities'!K303,186))</x:f>
        <x:v>0</x:v>
      </x:c>
      <x:c r="AK303" s="23" t="n">
        <x:f>MAX(0,MIN('Activities'!L303,198)-MAX('Activities'!K303,192))</x:f>
        <x:v>0</x:v>
      </x:c>
      <x:c r="AL303" s="23" t="n">
        <x:f>MAX(0,MIN('Activities'!L303,204)-MAX('Activities'!K303,198))</x:f>
        <x:v>0</x:v>
      </x:c>
      <x:c r="AM303" s="23" t="n">
        <x:f>MAX(0,MIN('Activities'!L303,210)-MAX('Activities'!K303,204))</x:f>
        <x:v>0</x:v>
      </x:c>
      <x:c r="AN303" s="23" t="n">
        <x:f>MAX(0,MIN('Activities'!L303,216)-MAX('Activities'!K303,210))</x:f>
        <x:v>0</x:v>
      </x:c>
      <x:c r="AO303" s="23" t="n">
        <x:f>MAX(0,MIN('Activities'!L303,222)-MAX('Activities'!K303,216))</x:f>
        <x:v>0</x:v>
      </x:c>
      <x:c r="AP303" s="23" t="n">
        <x:f>MAX(0,MIN('Activities'!L303,228)-MAX('Activities'!K303,222))</x:f>
        <x:v>0</x:v>
      </x:c>
      <x:c r="AQ303" s="23" t="n">
        <x:f>MAX(0,MIN('Activities'!L303,234)-MAX('Activities'!K303,228))</x:f>
        <x:v>0</x:v>
      </x:c>
      <x:c r="AR303" s="23" t="n">
        <x:f>MAX(0,MIN('Activities'!L303,240)-MAX('Activities'!K303,234))</x:f>
        <x:v>0</x:v>
      </x:c>
      <x:c r="AS303" s="23" t="n">
        <x:f>MAX(0,MIN('Activities'!L303,246)-MAX('Activities'!K303,240))</x:f>
        <x:v>0</x:v>
      </x:c>
      <x:c r="AT303" s="23" t="n">
        <x:f>MAX(0,MIN('Activities'!L303,252)-MAX('Activities'!K303,246))</x:f>
        <x:v>0</x:v>
      </x:c>
      <x:c r="AU303" s="23" t="n">
        <x:f>MAX(0,MIN('Activities'!L303,258)-MAX('Activities'!K303,252))</x:f>
        <x:v>4</x:v>
      </x:c>
      <x:c r="AV303" s="23" t="n">
        <x:f>MAX(0,MIN('Activities'!L303,264)-MAX('Activities'!K303,258))</x:f>
        <x:v>1</x:v>
      </x:c>
      <x:c r="AW303" s="23" t="n">
        <x:f>MAX(0,MIN('Activities'!L303,270)-MAX('Activities'!K303,264))</x:f>
        <x:v>0</x:v>
      </x:c>
      <x:c r="AX303" s="23" t="n">
        <x:f>MAX(0,MIN('Activities'!L303,276)-MAX('Activities'!K303,270))</x:f>
        <x:v>0</x:v>
      </x:c>
      <x:c r="AY303" s="23" t="n">
        <x:f>MAX(0,MIN('Activities'!L303,282)-MAX('Activities'!K303,276))</x:f>
        <x:v>0</x:v>
      </x:c>
      <x:c r="AZ303" s="23" t="n">
        <x:f>MAX(0,MIN('Activities'!L303,288)-MAX('Activities'!K303,282))</x:f>
        <x:v>0</x:v>
      </x:c>
      <x:c r="BA303" s="23" t="n">
        <x:f>MAX(0,MIN('Activities'!L303,294)-MAX('Activities'!K303,288))</x:f>
        <x:v>0</x:v>
      </x:c>
      <x:c r="BB303" s="23" t="n">
        <x:f>MAX(0,MIN('Activities'!L303,300)-MAX('Activities'!K303,294))</x:f>
        <x:v>0</x:v>
      </x:c>
      <x:c r="BC303" s="23" t="n">
        <x:f>MAX(0,MIN('Activities'!L303,306)-MAX('Activities'!K303,300))</x:f>
        <x:v>0</x:v>
      </x:c>
      <x:c r="BD303" s="23" t="n">
        <x:f>MAX(0,MIN('Activities'!L303,312)-MAX('Activities'!K303,306))</x:f>
        <x:v>0</x:v>
      </x:c>
      <x:c r="BE303" s="23" t="n">
        <x:f>MAX(0,MIN('Activities'!L303,318)-MAX('Activities'!K303,312))</x:f>
        <x:v>0</x:v>
      </x:c>
      <x:c r="BF303" s="23" t="n">
        <x:f>MAX(0,MIN('Activities'!L303,324)-MAX('Activities'!K303,318))</x:f>
        <x:v>0</x:v>
      </x:c>
      <x:c r="BG303" s="23" t="n">
        <x:f>MAX(0,MIN('Activities'!L303,330)-MAX('Activities'!K303,324))</x:f>
        <x:v>0</x:v>
      </x:c>
      <x:c r="BH303" s="23" t="n">
        <x:f>MAX(0,MIN('Activities'!L303,336)-MAX('Activities'!K303,330))</x:f>
        <x:v>0</x:v>
      </x:c>
      <x:c r="BI303" s="23" t="n">
        <x:f>MAX(0,MIN('Activities'!L303,342)-MAX('Activities'!K303,336))</x:f>
        <x:v>0</x:v>
      </x:c>
      <x:c r="BJ303" s="23" t="n">
        <x:f>MAX(0,MIN('Activities'!L303,348)-MAX('Activities'!K303,342))</x:f>
        <x:v>0</x:v>
      </x:c>
      <x:c r="BK303" s="23" t="n">
        <x:f>MAX(0,MIN('Activities'!L303,354)-MAX('Activities'!K303,348))</x:f>
        <x:v>0</x:v>
      </x:c>
      <x:c r="BL303" s="23" t="n">
        <x:f>MAX(0,MIN('Activities'!L303,360)-MAX('Activities'!K303,354))</x:f>
        <x:v>0</x:v>
      </x:c>
      <x:c r="BM303" s="23" t="n">
        <x:f>MAX(0,MIN('Activities'!L303,366)-MAX('Activities'!K303,360))</x:f>
        <x:v>0</x:v>
      </x:c>
      <x:c r="BN303" s="23" t="n">
        <x:f>MAX(0,MIN('Activities'!L303,372)-MAX('Activities'!K303,366))</x:f>
        <x:v>0</x:v>
      </x:c>
      <x:c r="BO303" s="23" t="n">
        <x:f>MAX(0,MIN('Activities'!L303,378)-MAX('Activities'!K303,372))</x:f>
        <x:v>0</x:v>
      </x:c>
      <x:c r="BP303" s="23" t="n">
        <x:f>MAX(0,MIN('Activities'!L303,384)-MAX('Activities'!K303,378))</x:f>
        <x:v>0</x:v>
      </x:c>
      <x:c r="BQ303" s="23" t="n">
        <x:f>MAX(0,MIN('Activities'!L303,390)-MAX('Activities'!K303,384))</x:f>
        <x:v>0</x:v>
      </x:c>
      <x:c r="BR303" s="23" t="n">
        <x:f>MAX(0,MIN('Activities'!L303,396)-MAX('Activities'!K303,390))</x:f>
        <x:v>0</x:v>
      </x:c>
      <x:c r="BS303" s="23" t="n">
        <x:f>MAX(0,MIN('Activities'!L303,402)-MAX('Activities'!K303,396))</x:f>
        <x:v>0</x:v>
      </x:c>
      <x:c r="BT303" s="23" t="n">
        <x:f>MAX(0,MIN('Activities'!L303,408)-MAX('Activities'!K303,402))</x:f>
        <x:v>0</x:v>
      </x:c>
      <x:c r="BU303" s="23" t="n">
        <x:f>MAX(0,MIN('Activities'!L303,414)-MAX('Activities'!K303,408))</x:f>
        <x:v>0</x:v>
      </x:c>
      <x:c r="BV303" s="23" t="n">
        <x:f>MAX(0,MIN('Activities'!L303,420)-MAX('Activities'!K303,414))</x:f>
        <x:v>0</x:v>
      </x:c>
      <x:c r="BW303" s="23" t="n">
        <x:f>MAX(0,MIN('Activities'!L303,426)-MAX('Activities'!K303,420))</x:f>
        <x:v>0</x:v>
      </x:c>
      <x:c r="BX303" s="23" t="n">
        <x:f>MAX(0,MIN('Activities'!L303,432)-MAX('Activities'!K303,426))</x:f>
        <x:v>0</x:v>
      </x:c>
      <x:c r="BY303" s="23" t="n">
        <x:f>MAX(0,MIN('Activities'!L303,438)-MAX('Activities'!K303,432))</x:f>
        <x:v>0</x:v>
      </x:c>
      <x:c r="BZ303" s="23" t="n">
        <x:f>MAX(0,MIN('Activities'!L303,444)-MAX('Activities'!K303,438))</x:f>
        <x:v>0</x:v>
      </x:c>
      <x:c r="CA303" s="23" t="n">
        <x:f>MAX(0,MIN('Activities'!L303,450)-MAX('Activities'!K303,444))</x:f>
        <x:v>0</x:v>
      </x:c>
      <x:c r="CB303" s="23" t="n">
        <x:f>MAX(0,MIN('Activities'!L303,456)-MAX('Activities'!K303,450))</x:f>
        <x:v>0</x:v>
      </x:c>
      <x:c r="CC303" s="23" t="n">
        <x:f>MAX(0,MIN('Activities'!L303,462)-MAX('Activities'!K303,456))</x:f>
        <x:v>0</x:v>
      </x:c>
      <x:c r="CD303" s="23" t="n">
        <x:f>MAX(0,MIN('Activities'!L303,468)-MAX('Activities'!K303,462))</x:f>
        <x:v>0</x:v>
      </x:c>
      <x:c r="CE303" s="23" t="n">
        <x:f>MAX(0,MIN('Activities'!L303,474)-MAX('Activities'!K303,468))</x:f>
        <x:v>0</x:v>
      </x:c>
      <x:c r="CF303" s="23" t="n">
        <x:f>MAX(0,MIN('Activities'!L303,480)-MAX('Activities'!K303,474))</x:f>
        <x:v>0</x:v>
      </x:c>
      <x:c r="CG303" s="23" t="n">
        <x:f>MAX(0,MIN('Activities'!L303,486)-MAX('Activities'!K303,480))</x:f>
        <x:v>0</x:v>
      </x:c>
      <x:c r="CH303" s="23" t="n">
        <x:f>MAX(0,MIN('Activities'!L303,492)-MAX('Activities'!K303,486))</x:f>
        <x:v>0</x:v>
      </x:c>
      <x:c r="CI303" s="23" t="n">
        <x:f>MAX(0,MIN('Activities'!L303,498)-MAX('Activities'!K303,492))</x:f>
        <x:v>0</x:v>
      </x:c>
      <x:c r="CJ303" s="23" t="n">
        <x:f>MAX(0,MIN('Activities'!L303,504)-MAX('Activities'!K303,498))</x:f>
        <x:v>0</x:v>
      </x:c>
      <x:c r="CK303" s="23" t="n">
        <x:f>MAX(0,MIN('Activities'!L303,510)-MAX('Activities'!K303,504))</x:f>
        <x:v>0</x:v>
      </x:c>
      <x:c r="CL303" s="23" t="n">
        <x:f>MAX(0,MIN('Activities'!L303,516)-MAX('Activities'!K303,510))</x:f>
        <x:v>0</x:v>
      </x:c>
      <x:c r="CM303" s="23" t="n">
        <x:f>MAX(0,MIN('Activities'!L303,522)-MAX('Activities'!K303,516))</x:f>
        <x:v>0</x:v>
      </x:c>
      <x:c r="CN303" s="23" t="n">
        <x:f>MAX(0,MIN('Activities'!L303,528)-MAX('Activities'!K303,522))</x:f>
        <x:v>0</x:v>
      </x:c>
      <x:c r="CO303" s="23" t="n">
        <x:f>MAX(0,MIN('Activities'!L303,534)-MAX('Activities'!K303,528))</x:f>
        <x:v>0</x:v>
      </x:c>
      <x:c r="CP303" s="23" t="n">
        <x:f>MAX(0,MIN('Activities'!L303,540)-MAX('Activities'!K303,534))</x:f>
        <x:v>0</x:v>
      </x:c>
      <x:c r="CQ303" s="23" t="n">
        <x:f>MAX(0,MIN('Activities'!L303,546)-MAX('Activities'!K303,540))</x:f>
        <x:v>0</x:v>
      </x:c>
      <x:c r="CR303" s="23" t="n">
        <x:f>MAX(0,MIN('Activities'!L303,552)-MAX('Activities'!K303,546))</x:f>
        <x:v>0</x:v>
      </x:c>
      <x:c r="CS303" s="23" t="n">
        <x:f>MAX(0,MIN('Activities'!L303,558)-MAX('Activities'!K303,552))</x:f>
        <x:v>0</x:v>
      </x:c>
      <x:c r="CT303" s="23" t="n">
        <x:f>MAX(0,MIN('Activities'!L303,564)-MAX('Activities'!K303,558))</x:f>
        <x:v>0</x:v>
      </x:c>
      <x:c r="CU303" s="23" t="n">
        <x:f>MAX(0,MIN('Activities'!L303,570)-MAX('Activities'!K303,564))</x:f>
        <x:v>0</x:v>
      </x:c>
      <x:c r="CV303" s="23" t="n">
        <x:f>MAX(0,MIN('Activities'!L303,576)-MAX('Activities'!K303,570))</x:f>
        <x:v>0</x:v>
      </x:c>
      <x:c r="CW303" s="23" t="n">
        <x:f>MAX(0,MIN('Activities'!L303,582)-MAX('Activities'!K303,576))</x:f>
        <x:v>0</x:v>
      </x:c>
      <x:c r="CX303" s="23" t="n">
        <x:f>MAX(0,MIN('Activities'!L303,588)-MAX('Activities'!K303,582))</x:f>
        <x:v>0</x:v>
      </x:c>
      <x:c r="CY303" s="23" t="n">
        <x:f>MAX(0,MIN('Activities'!L303,594)-MAX('Activities'!K303,588))</x:f>
        <x:v>0</x:v>
      </x:c>
      <x:c r="CZ303" s="23" t="n">
        <x:f>MAX(0,MIN('Activities'!L303,600)-MAX('Activities'!K303,594))</x:f>
        <x:v>0</x:v>
      </x:c>
      <x:c r="DA303" s="23" t="n">
        <x:f>MAX(0,MIN('Activities'!L303,606)-MAX('Activities'!K303,600))</x:f>
        <x:v>0</x:v>
      </x:c>
      <x:c r="DB303" s="23" t="n">
        <x:f>MAX(0,MIN('Activities'!L303,612)-MAX('Activities'!K303,606))</x:f>
        <x:v>0</x:v>
      </x:c>
      <x:c r="DC303" s="23" t="n">
        <x:f>MAX(0,MIN('Activities'!L303,618)-MAX('Activities'!K303,612))</x:f>
        <x:v>0</x:v>
      </x:c>
      <x:c r="DD303" s="23" t="n">
        <x:f>MAX(0,MIN('Activities'!L303,624)-MAX('Activities'!K303,618))</x:f>
        <x:v>0</x:v>
      </x:c>
      <x:c r="DE303" s="23" t="n">
        <x:f>MAX(0,MIN('Activities'!L303,630)-MAX('Activities'!K303,624))</x:f>
        <x:v>0</x:v>
      </x:c>
      <x:c r="DF303" s="23" t="n">
        <x:f>MAX(0,MIN('Activities'!L303,636)-MAX('Activities'!K303,630))</x:f>
        <x:v>0</x:v>
      </x:c>
    </x:row>
    <x:row r="304" ht="23" customHeight="1">
      <x:c r="A304" s="6" t="str">
        <x:v>T3-L05-C</x:v>
      </x:c>
      <x:c r="B304" s="6" t="str">
        <x:v>T3</x:v>
      </x:c>
      <x:c r="C304" s="6" t="str">
        <x:v>Concrete placement and finishing</x:v>
      </x:c>
      <x:c r="D304" s="6" t="str">
        <x:v>Concrete</x:v>
      </x:c>
      <x:c r="E304" s="22" t="n">
        <x:f>MAX(0,MIN('Activities'!L304,6)-MAX('Activities'!K304,0))</x:f>
        <x:v>0</x:v>
      </x:c>
      <x:c r="F304" s="22" t="n">
        <x:f>MAX(0,MIN('Activities'!L304,12)-MAX('Activities'!K304,6))</x:f>
        <x:v>0</x:v>
      </x:c>
      <x:c r="G304" s="22" t="n">
        <x:f>MAX(0,MIN('Activities'!L304,18)-MAX('Activities'!K304,12))</x:f>
        <x:v>0</x:v>
      </x:c>
      <x:c r="H304" s="22" t="n">
        <x:f>MAX(0,MIN('Activities'!L304,24)-MAX('Activities'!K304,18))</x:f>
        <x:v>0</x:v>
      </x:c>
      <x:c r="I304" s="22" t="n">
        <x:f>MAX(0,MIN('Activities'!L304,30)-MAX('Activities'!K304,24))</x:f>
        <x:v>0</x:v>
      </x:c>
      <x:c r="J304" s="22" t="n">
        <x:f>MAX(0,MIN('Activities'!L304,36)-MAX('Activities'!K304,30))</x:f>
        <x:v>0</x:v>
      </x:c>
      <x:c r="K304" s="22" t="n">
        <x:f>MAX(0,MIN('Activities'!L304,42)-MAX('Activities'!K304,36))</x:f>
        <x:v>0</x:v>
      </x:c>
      <x:c r="L304" s="22" t="n">
        <x:f>MAX(0,MIN('Activities'!L304,48)-MAX('Activities'!K304,42))</x:f>
        <x:v>0</x:v>
      </x:c>
      <x:c r="M304" s="22" t="n">
        <x:f>MAX(0,MIN('Activities'!L304,54)-MAX('Activities'!K304,48))</x:f>
        <x:v>0</x:v>
      </x:c>
      <x:c r="N304" s="22" t="n">
        <x:f>MAX(0,MIN('Activities'!L304,60)-MAX('Activities'!K304,54))</x:f>
        <x:v>0</x:v>
      </x:c>
      <x:c r="O304" s="22" t="n">
        <x:f>MAX(0,MIN('Activities'!L304,66)-MAX('Activities'!K304,60))</x:f>
        <x:v>0</x:v>
      </x:c>
      <x:c r="P304" s="22" t="n">
        <x:f>MAX(0,MIN('Activities'!L304,72)-MAX('Activities'!K304,66))</x:f>
        <x:v>0</x:v>
      </x:c>
      <x:c r="Q304" s="22" t="n">
        <x:f>MAX(0,MIN('Activities'!L304,78)-MAX('Activities'!K304,72))</x:f>
        <x:v>0</x:v>
      </x:c>
      <x:c r="R304" s="22" t="n">
        <x:f>MAX(0,MIN('Activities'!L304,84)-MAX('Activities'!K304,78))</x:f>
        <x:v>0</x:v>
      </x:c>
      <x:c r="S304" s="22" t="n">
        <x:f>MAX(0,MIN('Activities'!L304,90)-MAX('Activities'!K304,84))</x:f>
        <x:v>0</x:v>
      </x:c>
      <x:c r="T304" s="22" t="n">
        <x:f>MAX(0,MIN('Activities'!L304,96)-MAX('Activities'!K304,90))</x:f>
        <x:v>0</x:v>
      </x:c>
      <x:c r="U304" s="22" t="n">
        <x:f>MAX(0,MIN('Activities'!L304,102)-MAX('Activities'!K304,96))</x:f>
        <x:v>0</x:v>
      </x:c>
      <x:c r="V304" s="22" t="n">
        <x:f>MAX(0,MIN('Activities'!L304,108)-MAX('Activities'!K304,102))</x:f>
        <x:v>0</x:v>
      </x:c>
      <x:c r="W304" s="22" t="n">
        <x:f>MAX(0,MIN('Activities'!L304,114)-MAX('Activities'!K304,108))</x:f>
        <x:v>0</x:v>
      </x:c>
      <x:c r="X304" s="22" t="n">
        <x:f>MAX(0,MIN('Activities'!L304,120)-MAX('Activities'!K304,114))</x:f>
        <x:v>0</x:v>
      </x:c>
      <x:c r="Y304" s="22" t="n">
        <x:f>MAX(0,MIN('Activities'!L304,126)-MAX('Activities'!K304,120))</x:f>
        <x:v>0</x:v>
      </x:c>
      <x:c r="Z304" s="22" t="n">
        <x:f>MAX(0,MIN('Activities'!L304,132)-MAX('Activities'!K304,126))</x:f>
        <x:v>0</x:v>
      </x:c>
      <x:c r="AA304" s="22" t="n">
        <x:f>MAX(0,MIN('Activities'!L304,138)-MAX('Activities'!K304,132))</x:f>
        <x:v>0</x:v>
      </x:c>
      <x:c r="AB304" s="22" t="n">
        <x:f>MAX(0,MIN('Activities'!L304,144)-MAX('Activities'!K304,138))</x:f>
        <x:v>0</x:v>
      </x:c>
      <x:c r="AC304" s="22" t="n">
        <x:f>MAX(0,MIN('Activities'!L304,150)-MAX('Activities'!K304,144))</x:f>
        <x:v>0</x:v>
      </x:c>
      <x:c r="AD304" s="22" t="n">
        <x:f>MAX(0,MIN('Activities'!L304,156)-MAX('Activities'!K304,150))</x:f>
        <x:v>0</x:v>
      </x:c>
      <x:c r="AE304" s="22" t="n">
        <x:f>MAX(0,MIN('Activities'!L304,162)-MAX('Activities'!K304,156))</x:f>
        <x:v>0</x:v>
      </x:c>
      <x:c r="AF304" s="22" t="n">
        <x:f>MAX(0,MIN('Activities'!L304,168)-MAX('Activities'!K304,162))</x:f>
        <x:v>0</x:v>
      </x:c>
      <x:c r="AG304" s="22" t="n">
        <x:f>MAX(0,MIN('Activities'!L304,174)-MAX('Activities'!K304,168))</x:f>
        <x:v>0</x:v>
      </x:c>
      <x:c r="AH304" s="22" t="n">
        <x:f>MAX(0,MIN('Activities'!L304,180)-MAX('Activities'!K304,174))</x:f>
        <x:v>0</x:v>
      </x:c>
      <x:c r="AI304" s="22" t="n">
        <x:f>MAX(0,MIN('Activities'!L304,186)-MAX('Activities'!K304,180))</x:f>
        <x:v>0</x:v>
      </x:c>
      <x:c r="AJ304" s="22" t="n">
        <x:f>MAX(0,MIN('Activities'!L304,192)-MAX('Activities'!K304,186))</x:f>
        <x:v>0</x:v>
      </x:c>
      <x:c r="AK304" s="22" t="n">
        <x:f>MAX(0,MIN('Activities'!L304,198)-MAX('Activities'!K304,192))</x:f>
        <x:v>0</x:v>
      </x:c>
      <x:c r="AL304" s="22" t="n">
        <x:f>MAX(0,MIN('Activities'!L304,204)-MAX('Activities'!K304,198))</x:f>
        <x:v>0</x:v>
      </x:c>
      <x:c r="AM304" s="22" t="n">
        <x:f>MAX(0,MIN('Activities'!L304,210)-MAX('Activities'!K304,204))</x:f>
        <x:v>0</x:v>
      </x:c>
      <x:c r="AN304" s="22" t="n">
        <x:f>MAX(0,MIN('Activities'!L304,216)-MAX('Activities'!K304,210))</x:f>
        <x:v>0</x:v>
      </x:c>
      <x:c r="AO304" s="22" t="n">
        <x:f>MAX(0,MIN('Activities'!L304,222)-MAX('Activities'!K304,216))</x:f>
        <x:v>0</x:v>
      </x:c>
      <x:c r="AP304" s="22" t="n">
        <x:f>MAX(0,MIN('Activities'!L304,228)-MAX('Activities'!K304,222))</x:f>
        <x:v>0</x:v>
      </x:c>
      <x:c r="AQ304" s="22" t="n">
        <x:f>MAX(0,MIN('Activities'!L304,234)-MAX('Activities'!K304,228))</x:f>
        <x:v>0</x:v>
      </x:c>
      <x:c r="AR304" s="22" t="n">
        <x:f>MAX(0,MIN('Activities'!L304,240)-MAX('Activities'!K304,234))</x:f>
        <x:v>0</x:v>
      </x:c>
      <x:c r="AS304" s="22" t="n">
        <x:f>MAX(0,MIN('Activities'!L304,246)-MAX('Activities'!K304,240))</x:f>
        <x:v>0</x:v>
      </x:c>
      <x:c r="AT304" s="22" t="n">
        <x:f>MAX(0,MIN('Activities'!L304,252)-MAX('Activities'!K304,246))</x:f>
        <x:v>0</x:v>
      </x:c>
      <x:c r="AU304" s="22" t="n">
        <x:f>MAX(0,MIN('Activities'!L304,258)-MAX('Activities'!K304,252))</x:f>
        <x:v>0</x:v>
      </x:c>
      <x:c r="AV304" s="22" t="n">
        <x:f>MAX(0,MIN('Activities'!L304,264)-MAX('Activities'!K304,258))</x:f>
        <x:v>2</x:v>
      </x:c>
      <x:c r="AW304" s="22" t="n">
        <x:f>MAX(0,MIN('Activities'!L304,270)-MAX('Activities'!K304,264))</x:f>
        <x:v>0</x:v>
      </x:c>
      <x:c r="AX304" s="22" t="n">
        <x:f>MAX(0,MIN('Activities'!L304,276)-MAX('Activities'!K304,270))</x:f>
        <x:v>0</x:v>
      </x:c>
      <x:c r="AY304" s="22" t="n">
        <x:f>MAX(0,MIN('Activities'!L304,282)-MAX('Activities'!K304,276))</x:f>
        <x:v>0</x:v>
      </x:c>
      <x:c r="AZ304" s="22" t="n">
        <x:f>MAX(0,MIN('Activities'!L304,288)-MAX('Activities'!K304,282))</x:f>
        <x:v>0</x:v>
      </x:c>
      <x:c r="BA304" s="22" t="n">
        <x:f>MAX(0,MIN('Activities'!L304,294)-MAX('Activities'!K304,288))</x:f>
        <x:v>0</x:v>
      </x:c>
      <x:c r="BB304" s="22" t="n">
        <x:f>MAX(0,MIN('Activities'!L304,300)-MAX('Activities'!K304,294))</x:f>
        <x:v>0</x:v>
      </x:c>
      <x:c r="BC304" s="22" t="n">
        <x:f>MAX(0,MIN('Activities'!L304,306)-MAX('Activities'!K304,300))</x:f>
        <x:v>0</x:v>
      </x:c>
      <x:c r="BD304" s="22" t="n">
        <x:f>MAX(0,MIN('Activities'!L304,312)-MAX('Activities'!K304,306))</x:f>
        <x:v>0</x:v>
      </x:c>
      <x:c r="BE304" s="22" t="n">
        <x:f>MAX(0,MIN('Activities'!L304,318)-MAX('Activities'!K304,312))</x:f>
        <x:v>0</x:v>
      </x:c>
      <x:c r="BF304" s="22" t="n">
        <x:f>MAX(0,MIN('Activities'!L304,324)-MAX('Activities'!K304,318))</x:f>
        <x:v>0</x:v>
      </x:c>
      <x:c r="BG304" s="22" t="n">
        <x:f>MAX(0,MIN('Activities'!L304,330)-MAX('Activities'!K304,324))</x:f>
        <x:v>0</x:v>
      </x:c>
      <x:c r="BH304" s="22" t="n">
        <x:f>MAX(0,MIN('Activities'!L304,336)-MAX('Activities'!K304,330))</x:f>
        <x:v>0</x:v>
      </x:c>
      <x:c r="BI304" s="22" t="n">
        <x:f>MAX(0,MIN('Activities'!L304,342)-MAX('Activities'!K304,336))</x:f>
        <x:v>0</x:v>
      </x:c>
      <x:c r="BJ304" s="22" t="n">
        <x:f>MAX(0,MIN('Activities'!L304,348)-MAX('Activities'!K304,342))</x:f>
        <x:v>0</x:v>
      </x:c>
      <x:c r="BK304" s="22" t="n">
        <x:f>MAX(0,MIN('Activities'!L304,354)-MAX('Activities'!K304,348))</x:f>
        <x:v>0</x:v>
      </x:c>
      <x:c r="BL304" s="22" t="n">
        <x:f>MAX(0,MIN('Activities'!L304,360)-MAX('Activities'!K304,354))</x:f>
        <x:v>0</x:v>
      </x:c>
      <x:c r="BM304" s="22" t="n">
        <x:f>MAX(0,MIN('Activities'!L304,366)-MAX('Activities'!K304,360))</x:f>
        <x:v>0</x:v>
      </x:c>
      <x:c r="BN304" s="22" t="n">
        <x:f>MAX(0,MIN('Activities'!L304,372)-MAX('Activities'!K304,366))</x:f>
        <x:v>0</x:v>
      </x:c>
      <x:c r="BO304" s="22" t="n">
        <x:f>MAX(0,MIN('Activities'!L304,378)-MAX('Activities'!K304,372))</x:f>
        <x:v>0</x:v>
      </x:c>
      <x:c r="BP304" s="22" t="n">
        <x:f>MAX(0,MIN('Activities'!L304,384)-MAX('Activities'!K304,378))</x:f>
        <x:v>0</x:v>
      </x:c>
      <x:c r="BQ304" s="22" t="n">
        <x:f>MAX(0,MIN('Activities'!L304,390)-MAX('Activities'!K304,384))</x:f>
        <x:v>0</x:v>
      </x:c>
      <x:c r="BR304" s="22" t="n">
        <x:f>MAX(0,MIN('Activities'!L304,396)-MAX('Activities'!K304,390))</x:f>
        <x:v>0</x:v>
      </x:c>
      <x:c r="BS304" s="22" t="n">
        <x:f>MAX(0,MIN('Activities'!L304,402)-MAX('Activities'!K304,396))</x:f>
        <x:v>0</x:v>
      </x:c>
      <x:c r="BT304" s="22" t="n">
        <x:f>MAX(0,MIN('Activities'!L304,408)-MAX('Activities'!K304,402))</x:f>
        <x:v>0</x:v>
      </x:c>
      <x:c r="BU304" s="22" t="n">
        <x:f>MAX(0,MIN('Activities'!L304,414)-MAX('Activities'!K304,408))</x:f>
        <x:v>0</x:v>
      </x:c>
      <x:c r="BV304" s="22" t="n">
        <x:f>MAX(0,MIN('Activities'!L304,420)-MAX('Activities'!K304,414))</x:f>
        <x:v>0</x:v>
      </x:c>
      <x:c r="BW304" s="22" t="n">
        <x:f>MAX(0,MIN('Activities'!L304,426)-MAX('Activities'!K304,420))</x:f>
        <x:v>0</x:v>
      </x:c>
      <x:c r="BX304" s="22" t="n">
        <x:f>MAX(0,MIN('Activities'!L304,432)-MAX('Activities'!K304,426))</x:f>
        <x:v>0</x:v>
      </x:c>
      <x:c r="BY304" s="22" t="n">
        <x:f>MAX(0,MIN('Activities'!L304,438)-MAX('Activities'!K304,432))</x:f>
        <x:v>0</x:v>
      </x:c>
      <x:c r="BZ304" s="22" t="n">
        <x:f>MAX(0,MIN('Activities'!L304,444)-MAX('Activities'!K304,438))</x:f>
        <x:v>0</x:v>
      </x:c>
      <x:c r="CA304" s="22" t="n">
        <x:f>MAX(0,MIN('Activities'!L304,450)-MAX('Activities'!K304,444))</x:f>
        <x:v>0</x:v>
      </x:c>
      <x:c r="CB304" s="22" t="n">
        <x:f>MAX(0,MIN('Activities'!L304,456)-MAX('Activities'!K304,450))</x:f>
        <x:v>0</x:v>
      </x:c>
      <x:c r="CC304" s="22" t="n">
        <x:f>MAX(0,MIN('Activities'!L304,462)-MAX('Activities'!K304,456))</x:f>
        <x:v>0</x:v>
      </x:c>
      <x:c r="CD304" s="22" t="n">
        <x:f>MAX(0,MIN('Activities'!L304,468)-MAX('Activities'!K304,462))</x:f>
        <x:v>0</x:v>
      </x:c>
      <x:c r="CE304" s="22" t="n">
        <x:f>MAX(0,MIN('Activities'!L304,474)-MAX('Activities'!K304,468))</x:f>
        <x:v>0</x:v>
      </x:c>
      <x:c r="CF304" s="22" t="n">
        <x:f>MAX(0,MIN('Activities'!L304,480)-MAX('Activities'!K304,474))</x:f>
        <x:v>0</x:v>
      </x:c>
      <x:c r="CG304" s="22" t="n">
        <x:f>MAX(0,MIN('Activities'!L304,486)-MAX('Activities'!K304,480))</x:f>
        <x:v>0</x:v>
      </x:c>
      <x:c r="CH304" s="22" t="n">
        <x:f>MAX(0,MIN('Activities'!L304,492)-MAX('Activities'!K304,486))</x:f>
        <x:v>0</x:v>
      </x:c>
      <x:c r="CI304" s="22" t="n">
        <x:f>MAX(0,MIN('Activities'!L304,498)-MAX('Activities'!K304,492))</x:f>
        <x:v>0</x:v>
      </x:c>
      <x:c r="CJ304" s="22" t="n">
        <x:f>MAX(0,MIN('Activities'!L304,504)-MAX('Activities'!K304,498))</x:f>
        <x:v>0</x:v>
      </x:c>
      <x:c r="CK304" s="22" t="n">
        <x:f>MAX(0,MIN('Activities'!L304,510)-MAX('Activities'!K304,504))</x:f>
        <x:v>0</x:v>
      </x:c>
      <x:c r="CL304" s="22" t="n">
        <x:f>MAX(0,MIN('Activities'!L304,516)-MAX('Activities'!K304,510))</x:f>
        <x:v>0</x:v>
      </x:c>
      <x:c r="CM304" s="22" t="n">
        <x:f>MAX(0,MIN('Activities'!L304,522)-MAX('Activities'!K304,516))</x:f>
        <x:v>0</x:v>
      </x:c>
      <x:c r="CN304" s="22" t="n">
        <x:f>MAX(0,MIN('Activities'!L304,528)-MAX('Activities'!K304,522))</x:f>
        <x:v>0</x:v>
      </x:c>
      <x:c r="CO304" s="22" t="n">
        <x:f>MAX(0,MIN('Activities'!L304,534)-MAX('Activities'!K304,528))</x:f>
        <x:v>0</x:v>
      </x:c>
      <x:c r="CP304" s="22" t="n">
        <x:f>MAX(0,MIN('Activities'!L304,540)-MAX('Activities'!K304,534))</x:f>
        <x:v>0</x:v>
      </x:c>
      <x:c r="CQ304" s="22" t="n">
        <x:f>MAX(0,MIN('Activities'!L304,546)-MAX('Activities'!K304,540))</x:f>
        <x:v>0</x:v>
      </x:c>
      <x:c r="CR304" s="22" t="n">
        <x:f>MAX(0,MIN('Activities'!L304,552)-MAX('Activities'!K304,546))</x:f>
        <x:v>0</x:v>
      </x:c>
      <x:c r="CS304" s="22" t="n">
        <x:f>MAX(0,MIN('Activities'!L304,558)-MAX('Activities'!K304,552))</x:f>
        <x:v>0</x:v>
      </x:c>
      <x:c r="CT304" s="22" t="n">
        <x:f>MAX(0,MIN('Activities'!L304,564)-MAX('Activities'!K304,558))</x:f>
        <x:v>0</x:v>
      </x:c>
      <x:c r="CU304" s="22" t="n">
        <x:f>MAX(0,MIN('Activities'!L304,570)-MAX('Activities'!K304,564))</x:f>
        <x:v>0</x:v>
      </x:c>
      <x:c r="CV304" s="22" t="n">
        <x:f>MAX(0,MIN('Activities'!L304,576)-MAX('Activities'!K304,570))</x:f>
        <x:v>0</x:v>
      </x:c>
      <x:c r="CW304" s="22" t="n">
        <x:f>MAX(0,MIN('Activities'!L304,582)-MAX('Activities'!K304,576))</x:f>
        <x:v>0</x:v>
      </x:c>
      <x:c r="CX304" s="22" t="n">
        <x:f>MAX(0,MIN('Activities'!L304,588)-MAX('Activities'!K304,582))</x:f>
        <x:v>0</x:v>
      </x:c>
      <x:c r="CY304" s="22" t="n">
        <x:f>MAX(0,MIN('Activities'!L304,594)-MAX('Activities'!K304,588))</x:f>
        <x:v>0</x:v>
      </x:c>
      <x:c r="CZ304" s="22" t="n">
        <x:f>MAX(0,MIN('Activities'!L304,600)-MAX('Activities'!K304,594))</x:f>
        <x:v>0</x:v>
      </x:c>
      <x:c r="DA304" s="22" t="n">
        <x:f>MAX(0,MIN('Activities'!L304,606)-MAX('Activities'!K304,600))</x:f>
        <x:v>0</x:v>
      </x:c>
      <x:c r="DB304" s="22" t="n">
        <x:f>MAX(0,MIN('Activities'!L304,612)-MAX('Activities'!K304,606))</x:f>
        <x:v>0</x:v>
      </x:c>
      <x:c r="DC304" s="22" t="n">
        <x:f>MAX(0,MIN('Activities'!L304,618)-MAX('Activities'!K304,612))</x:f>
        <x:v>0</x:v>
      </x:c>
      <x:c r="DD304" s="22" t="n">
        <x:f>MAX(0,MIN('Activities'!L304,624)-MAX('Activities'!K304,618))</x:f>
        <x:v>0</x:v>
      </x:c>
      <x:c r="DE304" s="22" t="n">
        <x:f>MAX(0,MIN('Activities'!L304,630)-MAX('Activities'!K304,624))</x:f>
        <x:v>0</x:v>
      </x:c>
      <x:c r="DF304" s="22" t="n">
        <x:f>MAX(0,MIN('Activities'!L304,636)-MAX('Activities'!K304,630))</x:f>
        <x:v>0</x:v>
      </x:c>
    </x:row>
    <x:row r="305" ht="23" customHeight="1">
      <x:c r="A305" s="1" t="str">
        <x:v>T3-L05-H</x:v>
      </x:c>
      <x:c r="B305" s="1" t="str">
        <x:v>T3</x:v>
      </x:c>
      <x:c r="C305" s="1" t="str">
        <x:v>Curing and release hold point</x:v>
      </x:c>
      <x:c r="D305" s="1" t="str">
        <x:v>Site</x:v>
      </x:c>
      <x:c r="E305" s="23" t="n">
        <x:f>MAX(0,MIN('Activities'!L305,6)-MAX('Activities'!K305,0))</x:f>
        <x:v>0</x:v>
      </x:c>
      <x:c r="F305" s="23" t="n">
        <x:f>MAX(0,MIN('Activities'!L305,12)-MAX('Activities'!K305,6))</x:f>
        <x:v>0</x:v>
      </x:c>
      <x:c r="G305" s="23" t="n">
        <x:f>MAX(0,MIN('Activities'!L305,18)-MAX('Activities'!K305,12))</x:f>
        <x:v>0</x:v>
      </x:c>
      <x:c r="H305" s="23" t="n">
        <x:f>MAX(0,MIN('Activities'!L305,24)-MAX('Activities'!K305,18))</x:f>
        <x:v>0</x:v>
      </x:c>
      <x:c r="I305" s="23" t="n">
        <x:f>MAX(0,MIN('Activities'!L305,30)-MAX('Activities'!K305,24))</x:f>
        <x:v>0</x:v>
      </x:c>
      <x:c r="J305" s="23" t="n">
        <x:f>MAX(0,MIN('Activities'!L305,36)-MAX('Activities'!K305,30))</x:f>
        <x:v>0</x:v>
      </x:c>
      <x:c r="K305" s="23" t="n">
        <x:f>MAX(0,MIN('Activities'!L305,42)-MAX('Activities'!K305,36))</x:f>
        <x:v>0</x:v>
      </x:c>
      <x:c r="L305" s="23" t="n">
        <x:f>MAX(0,MIN('Activities'!L305,48)-MAX('Activities'!K305,42))</x:f>
        <x:v>0</x:v>
      </x:c>
      <x:c r="M305" s="23" t="n">
        <x:f>MAX(0,MIN('Activities'!L305,54)-MAX('Activities'!K305,48))</x:f>
        <x:v>0</x:v>
      </x:c>
      <x:c r="N305" s="23" t="n">
        <x:f>MAX(0,MIN('Activities'!L305,60)-MAX('Activities'!K305,54))</x:f>
        <x:v>0</x:v>
      </x:c>
      <x:c r="O305" s="23" t="n">
        <x:f>MAX(0,MIN('Activities'!L305,66)-MAX('Activities'!K305,60))</x:f>
        <x:v>0</x:v>
      </x:c>
      <x:c r="P305" s="23" t="n">
        <x:f>MAX(0,MIN('Activities'!L305,72)-MAX('Activities'!K305,66))</x:f>
        <x:v>0</x:v>
      </x:c>
      <x:c r="Q305" s="23" t="n">
        <x:f>MAX(0,MIN('Activities'!L305,78)-MAX('Activities'!K305,72))</x:f>
        <x:v>0</x:v>
      </x:c>
      <x:c r="R305" s="23" t="n">
        <x:f>MAX(0,MIN('Activities'!L305,84)-MAX('Activities'!K305,78))</x:f>
        <x:v>0</x:v>
      </x:c>
      <x:c r="S305" s="23" t="n">
        <x:f>MAX(0,MIN('Activities'!L305,90)-MAX('Activities'!K305,84))</x:f>
        <x:v>0</x:v>
      </x:c>
      <x:c r="T305" s="23" t="n">
        <x:f>MAX(0,MIN('Activities'!L305,96)-MAX('Activities'!K305,90))</x:f>
        <x:v>0</x:v>
      </x:c>
      <x:c r="U305" s="23" t="n">
        <x:f>MAX(0,MIN('Activities'!L305,102)-MAX('Activities'!K305,96))</x:f>
        <x:v>0</x:v>
      </x:c>
      <x:c r="V305" s="23" t="n">
        <x:f>MAX(0,MIN('Activities'!L305,108)-MAX('Activities'!K305,102))</x:f>
        <x:v>0</x:v>
      </x:c>
      <x:c r="W305" s="23" t="n">
        <x:f>MAX(0,MIN('Activities'!L305,114)-MAX('Activities'!K305,108))</x:f>
        <x:v>0</x:v>
      </x:c>
      <x:c r="X305" s="23" t="n">
        <x:f>MAX(0,MIN('Activities'!L305,120)-MAX('Activities'!K305,114))</x:f>
        <x:v>0</x:v>
      </x:c>
      <x:c r="Y305" s="23" t="n">
        <x:f>MAX(0,MIN('Activities'!L305,126)-MAX('Activities'!K305,120))</x:f>
        <x:v>0</x:v>
      </x:c>
      <x:c r="Z305" s="23" t="n">
        <x:f>MAX(0,MIN('Activities'!L305,132)-MAX('Activities'!K305,126))</x:f>
        <x:v>0</x:v>
      </x:c>
      <x:c r="AA305" s="23" t="n">
        <x:f>MAX(0,MIN('Activities'!L305,138)-MAX('Activities'!K305,132))</x:f>
        <x:v>0</x:v>
      </x:c>
      <x:c r="AB305" s="23" t="n">
        <x:f>MAX(0,MIN('Activities'!L305,144)-MAX('Activities'!K305,138))</x:f>
        <x:v>0</x:v>
      </x:c>
      <x:c r="AC305" s="23" t="n">
        <x:f>MAX(0,MIN('Activities'!L305,150)-MAX('Activities'!K305,144))</x:f>
        <x:v>0</x:v>
      </x:c>
      <x:c r="AD305" s="23" t="n">
        <x:f>MAX(0,MIN('Activities'!L305,156)-MAX('Activities'!K305,150))</x:f>
        <x:v>0</x:v>
      </x:c>
      <x:c r="AE305" s="23" t="n">
        <x:f>MAX(0,MIN('Activities'!L305,162)-MAX('Activities'!K305,156))</x:f>
        <x:v>0</x:v>
      </x:c>
      <x:c r="AF305" s="23" t="n">
        <x:f>MAX(0,MIN('Activities'!L305,168)-MAX('Activities'!K305,162))</x:f>
        <x:v>0</x:v>
      </x:c>
      <x:c r="AG305" s="23" t="n">
        <x:f>MAX(0,MIN('Activities'!L305,174)-MAX('Activities'!K305,168))</x:f>
        <x:v>0</x:v>
      </x:c>
      <x:c r="AH305" s="23" t="n">
        <x:f>MAX(0,MIN('Activities'!L305,180)-MAX('Activities'!K305,174))</x:f>
        <x:v>0</x:v>
      </x:c>
      <x:c r="AI305" s="23" t="n">
        <x:f>MAX(0,MIN('Activities'!L305,186)-MAX('Activities'!K305,180))</x:f>
        <x:v>0</x:v>
      </x:c>
      <x:c r="AJ305" s="23" t="n">
        <x:f>MAX(0,MIN('Activities'!L305,192)-MAX('Activities'!K305,186))</x:f>
        <x:v>0</x:v>
      </x:c>
      <x:c r="AK305" s="23" t="n">
        <x:f>MAX(0,MIN('Activities'!L305,198)-MAX('Activities'!K305,192))</x:f>
        <x:v>0</x:v>
      </x:c>
      <x:c r="AL305" s="23" t="n">
        <x:f>MAX(0,MIN('Activities'!L305,204)-MAX('Activities'!K305,198))</x:f>
        <x:v>0</x:v>
      </x:c>
      <x:c r="AM305" s="23" t="n">
        <x:f>MAX(0,MIN('Activities'!L305,210)-MAX('Activities'!K305,204))</x:f>
        <x:v>0</x:v>
      </x:c>
      <x:c r="AN305" s="23" t="n">
        <x:f>MAX(0,MIN('Activities'!L305,216)-MAX('Activities'!K305,210))</x:f>
        <x:v>0</x:v>
      </x:c>
      <x:c r="AO305" s="23" t="n">
        <x:f>MAX(0,MIN('Activities'!L305,222)-MAX('Activities'!K305,216))</x:f>
        <x:v>0</x:v>
      </x:c>
      <x:c r="AP305" s="23" t="n">
        <x:f>MAX(0,MIN('Activities'!L305,228)-MAX('Activities'!K305,222))</x:f>
        <x:v>0</x:v>
      </x:c>
      <x:c r="AQ305" s="23" t="n">
        <x:f>MAX(0,MIN('Activities'!L305,234)-MAX('Activities'!K305,228))</x:f>
        <x:v>0</x:v>
      </x:c>
      <x:c r="AR305" s="23" t="n">
        <x:f>MAX(0,MIN('Activities'!L305,240)-MAX('Activities'!K305,234))</x:f>
        <x:v>0</x:v>
      </x:c>
      <x:c r="AS305" s="23" t="n">
        <x:f>MAX(0,MIN('Activities'!L305,246)-MAX('Activities'!K305,240))</x:f>
        <x:v>0</x:v>
      </x:c>
      <x:c r="AT305" s="23" t="n">
        <x:f>MAX(0,MIN('Activities'!L305,252)-MAX('Activities'!K305,246))</x:f>
        <x:v>0</x:v>
      </x:c>
      <x:c r="AU305" s="23" t="n">
        <x:f>MAX(0,MIN('Activities'!L305,258)-MAX('Activities'!K305,252))</x:f>
        <x:v>0</x:v>
      </x:c>
      <x:c r="AV305" s="23" t="n">
        <x:f>MAX(0,MIN('Activities'!L305,264)-MAX('Activities'!K305,258))</x:f>
        <x:v>3</x:v>
      </x:c>
      <x:c r="AW305" s="23" t="n">
        <x:f>MAX(0,MIN('Activities'!L305,270)-MAX('Activities'!K305,264))</x:f>
        <x:v>2</x:v>
      </x:c>
      <x:c r="AX305" s="23" t="n">
        <x:f>MAX(0,MIN('Activities'!L305,276)-MAX('Activities'!K305,270))</x:f>
        <x:v>0</x:v>
      </x:c>
      <x:c r="AY305" s="23" t="n">
        <x:f>MAX(0,MIN('Activities'!L305,282)-MAX('Activities'!K305,276))</x:f>
        <x:v>0</x:v>
      </x:c>
      <x:c r="AZ305" s="23" t="n">
        <x:f>MAX(0,MIN('Activities'!L305,288)-MAX('Activities'!K305,282))</x:f>
        <x:v>0</x:v>
      </x:c>
      <x:c r="BA305" s="23" t="n">
        <x:f>MAX(0,MIN('Activities'!L305,294)-MAX('Activities'!K305,288))</x:f>
        <x:v>0</x:v>
      </x:c>
      <x:c r="BB305" s="23" t="n">
        <x:f>MAX(0,MIN('Activities'!L305,300)-MAX('Activities'!K305,294))</x:f>
        <x:v>0</x:v>
      </x:c>
      <x:c r="BC305" s="23" t="n">
        <x:f>MAX(0,MIN('Activities'!L305,306)-MAX('Activities'!K305,300))</x:f>
        <x:v>0</x:v>
      </x:c>
      <x:c r="BD305" s="23" t="n">
        <x:f>MAX(0,MIN('Activities'!L305,312)-MAX('Activities'!K305,306))</x:f>
        <x:v>0</x:v>
      </x:c>
      <x:c r="BE305" s="23" t="n">
        <x:f>MAX(0,MIN('Activities'!L305,318)-MAX('Activities'!K305,312))</x:f>
        <x:v>0</x:v>
      </x:c>
      <x:c r="BF305" s="23" t="n">
        <x:f>MAX(0,MIN('Activities'!L305,324)-MAX('Activities'!K305,318))</x:f>
        <x:v>0</x:v>
      </x:c>
      <x:c r="BG305" s="23" t="n">
        <x:f>MAX(0,MIN('Activities'!L305,330)-MAX('Activities'!K305,324))</x:f>
        <x:v>0</x:v>
      </x:c>
      <x:c r="BH305" s="23" t="n">
        <x:f>MAX(0,MIN('Activities'!L305,336)-MAX('Activities'!K305,330))</x:f>
        <x:v>0</x:v>
      </x:c>
      <x:c r="BI305" s="23" t="n">
        <x:f>MAX(0,MIN('Activities'!L305,342)-MAX('Activities'!K305,336))</x:f>
        <x:v>0</x:v>
      </x:c>
      <x:c r="BJ305" s="23" t="n">
        <x:f>MAX(0,MIN('Activities'!L305,348)-MAX('Activities'!K305,342))</x:f>
        <x:v>0</x:v>
      </x:c>
      <x:c r="BK305" s="23" t="n">
        <x:f>MAX(0,MIN('Activities'!L305,354)-MAX('Activities'!K305,348))</x:f>
        <x:v>0</x:v>
      </x:c>
      <x:c r="BL305" s="23" t="n">
        <x:f>MAX(0,MIN('Activities'!L305,360)-MAX('Activities'!K305,354))</x:f>
        <x:v>0</x:v>
      </x:c>
      <x:c r="BM305" s="23" t="n">
        <x:f>MAX(0,MIN('Activities'!L305,366)-MAX('Activities'!K305,360))</x:f>
        <x:v>0</x:v>
      </x:c>
      <x:c r="BN305" s="23" t="n">
        <x:f>MAX(0,MIN('Activities'!L305,372)-MAX('Activities'!K305,366))</x:f>
        <x:v>0</x:v>
      </x:c>
      <x:c r="BO305" s="23" t="n">
        <x:f>MAX(0,MIN('Activities'!L305,378)-MAX('Activities'!K305,372))</x:f>
        <x:v>0</x:v>
      </x:c>
      <x:c r="BP305" s="23" t="n">
        <x:f>MAX(0,MIN('Activities'!L305,384)-MAX('Activities'!K305,378))</x:f>
        <x:v>0</x:v>
      </x:c>
      <x:c r="BQ305" s="23" t="n">
        <x:f>MAX(0,MIN('Activities'!L305,390)-MAX('Activities'!K305,384))</x:f>
        <x:v>0</x:v>
      </x:c>
      <x:c r="BR305" s="23" t="n">
        <x:f>MAX(0,MIN('Activities'!L305,396)-MAX('Activities'!K305,390))</x:f>
        <x:v>0</x:v>
      </x:c>
      <x:c r="BS305" s="23" t="n">
        <x:f>MAX(0,MIN('Activities'!L305,402)-MAX('Activities'!K305,396))</x:f>
        <x:v>0</x:v>
      </x:c>
      <x:c r="BT305" s="23" t="n">
        <x:f>MAX(0,MIN('Activities'!L305,408)-MAX('Activities'!K305,402))</x:f>
        <x:v>0</x:v>
      </x:c>
      <x:c r="BU305" s="23" t="n">
        <x:f>MAX(0,MIN('Activities'!L305,414)-MAX('Activities'!K305,408))</x:f>
        <x:v>0</x:v>
      </x:c>
      <x:c r="BV305" s="23" t="n">
        <x:f>MAX(0,MIN('Activities'!L305,420)-MAX('Activities'!K305,414))</x:f>
        <x:v>0</x:v>
      </x:c>
      <x:c r="BW305" s="23" t="n">
        <x:f>MAX(0,MIN('Activities'!L305,426)-MAX('Activities'!K305,420))</x:f>
        <x:v>0</x:v>
      </x:c>
      <x:c r="BX305" s="23" t="n">
        <x:f>MAX(0,MIN('Activities'!L305,432)-MAX('Activities'!K305,426))</x:f>
        <x:v>0</x:v>
      </x:c>
      <x:c r="BY305" s="23" t="n">
        <x:f>MAX(0,MIN('Activities'!L305,438)-MAX('Activities'!K305,432))</x:f>
        <x:v>0</x:v>
      </x:c>
      <x:c r="BZ305" s="23" t="n">
        <x:f>MAX(0,MIN('Activities'!L305,444)-MAX('Activities'!K305,438))</x:f>
        <x:v>0</x:v>
      </x:c>
      <x:c r="CA305" s="23" t="n">
        <x:f>MAX(0,MIN('Activities'!L305,450)-MAX('Activities'!K305,444))</x:f>
        <x:v>0</x:v>
      </x:c>
      <x:c r="CB305" s="23" t="n">
        <x:f>MAX(0,MIN('Activities'!L305,456)-MAX('Activities'!K305,450))</x:f>
        <x:v>0</x:v>
      </x:c>
      <x:c r="CC305" s="23" t="n">
        <x:f>MAX(0,MIN('Activities'!L305,462)-MAX('Activities'!K305,456))</x:f>
        <x:v>0</x:v>
      </x:c>
      <x:c r="CD305" s="23" t="n">
        <x:f>MAX(0,MIN('Activities'!L305,468)-MAX('Activities'!K305,462))</x:f>
        <x:v>0</x:v>
      </x:c>
      <x:c r="CE305" s="23" t="n">
        <x:f>MAX(0,MIN('Activities'!L305,474)-MAX('Activities'!K305,468))</x:f>
        <x:v>0</x:v>
      </x:c>
      <x:c r="CF305" s="23" t="n">
        <x:f>MAX(0,MIN('Activities'!L305,480)-MAX('Activities'!K305,474))</x:f>
        <x:v>0</x:v>
      </x:c>
      <x:c r="CG305" s="23" t="n">
        <x:f>MAX(0,MIN('Activities'!L305,486)-MAX('Activities'!K305,480))</x:f>
        <x:v>0</x:v>
      </x:c>
      <x:c r="CH305" s="23" t="n">
        <x:f>MAX(0,MIN('Activities'!L305,492)-MAX('Activities'!K305,486))</x:f>
        <x:v>0</x:v>
      </x:c>
      <x:c r="CI305" s="23" t="n">
        <x:f>MAX(0,MIN('Activities'!L305,498)-MAX('Activities'!K305,492))</x:f>
        <x:v>0</x:v>
      </x:c>
      <x:c r="CJ305" s="23" t="n">
        <x:f>MAX(0,MIN('Activities'!L305,504)-MAX('Activities'!K305,498))</x:f>
        <x:v>0</x:v>
      </x:c>
      <x:c r="CK305" s="23" t="n">
        <x:f>MAX(0,MIN('Activities'!L305,510)-MAX('Activities'!K305,504))</x:f>
        <x:v>0</x:v>
      </x:c>
      <x:c r="CL305" s="23" t="n">
        <x:f>MAX(0,MIN('Activities'!L305,516)-MAX('Activities'!K305,510))</x:f>
        <x:v>0</x:v>
      </x:c>
      <x:c r="CM305" s="23" t="n">
        <x:f>MAX(0,MIN('Activities'!L305,522)-MAX('Activities'!K305,516))</x:f>
        <x:v>0</x:v>
      </x:c>
      <x:c r="CN305" s="23" t="n">
        <x:f>MAX(0,MIN('Activities'!L305,528)-MAX('Activities'!K305,522))</x:f>
        <x:v>0</x:v>
      </x:c>
      <x:c r="CO305" s="23" t="n">
        <x:f>MAX(0,MIN('Activities'!L305,534)-MAX('Activities'!K305,528))</x:f>
        <x:v>0</x:v>
      </x:c>
      <x:c r="CP305" s="23" t="n">
        <x:f>MAX(0,MIN('Activities'!L305,540)-MAX('Activities'!K305,534))</x:f>
        <x:v>0</x:v>
      </x:c>
      <x:c r="CQ305" s="23" t="n">
        <x:f>MAX(0,MIN('Activities'!L305,546)-MAX('Activities'!K305,540))</x:f>
        <x:v>0</x:v>
      </x:c>
      <x:c r="CR305" s="23" t="n">
        <x:f>MAX(0,MIN('Activities'!L305,552)-MAX('Activities'!K305,546))</x:f>
        <x:v>0</x:v>
      </x:c>
      <x:c r="CS305" s="23" t="n">
        <x:f>MAX(0,MIN('Activities'!L305,558)-MAX('Activities'!K305,552))</x:f>
        <x:v>0</x:v>
      </x:c>
      <x:c r="CT305" s="23" t="n">
        <x:f>MAX(0,MIN('Activities'!L305,564)-MAX('Activities'!K305,558))</x:f>
        <x:v>0</x:v>
      </x:c>
      <x:c r="CU305" s="23" t="n">
        <x:f>MAX(0,MIN('Activities'!L305,570)-MAX('Activities'!K305,564))</x:f>
        <x:v>0</x:v>
      </x:c>
      <x:c r="CV305" s="23" t="n">
        <x:f>MAX(0,MIN('Activities'!L305,576)-MAX('Activities'!K305,570))</x:f>
        <x:v>0</x:v>
      </x:c>
      <x:c r="CW305" s="23" t="n">
        <x:f>MAX(0,MIN('Activities'!L305,582)-MAX('Activities'!K305,576))</x:f>
        <x:v>0</x:v>
      </x:c>
      <x:c r="CX305" s="23" t="n">
        <x:f>MAX(0,MIN('Activities'!L305,588)-MAX('Activities'!K305,582))</x:f>
        <x:v>0</x:v>
      </x:c>
      <x:c r="CY305" s="23" t="n">
        <x:f>MAX(0,MIN('Activities'!L305,594)-MAX('Activities'!K305,588))</x:f>
        <x:v>0</x:v>
      </x:c>
      <x:c r="CZ305" s="23" t="n">
        <x:f>MAX(0,MIN('Activities'!L305,600)-MAX('Activities'!K305,594))</x:f>
        <x:v>0</x:v>
      </x:c>
      <x:c r="DA305" s="23" t="n">
        <x:f>MAX(0,MIN('Activities'!L305,606)-MAX('Activities'!K305,600))</x:f>
        <x:v>0</x:v>
      </x:c>
      <x:c r="DB305" s="23" t="n">
        <x:f>MAX(0,MIN('Activities'!L305,612)-MAX('Activities'!K305,606))</x:f>
        <x:v>0</x:v>
      </x:c>
      <x:c r="DC305" s="23" t="n">
        <x:f>MAX(0,MIN('Activities'!L305,618)-MAX('Activities'!K305,612))</x:f>
        <x:v>0</x:v>
      </x:c>
      <x:c r="DD305" s="23" t="n">
        <x:f>MAX(0,MIN('Activities'!L305,624)-MAX('Activities'!K305,618))</x:f>
        <x:v>0</x:v>
      </x:c>
      <x:c r="DE305" s="23" t="n">
        <x:f>MAX(0,MIN('Activities'!L305,630)-MAX('Activities'!K305,624))</x:f>
        <x:v>0</x:v>
      </x:c>
      <x:c r="DF305" s="23" t="n">
        <x:f>MAX(0,MIN('Activities'!L305,636)-MAX('Activities'!K305,630))</x:f>
        <x:v>0</x:v>
      </x:c>
    </x:row>
    <x:row r="306" ht="23" customHeight="1">
      <x:c r="A306" s="6" t="str">
        <x:v>T3-L06-F</x:v>
      </x:c>
      <x:c r="B306" s="6" t="str">
        <x:v>T3</x:v>
      </x:c>
      <x:c r="C306" s="6" t="str">
        <x:v>Columns, core and deck formwork</x:v>
      </x:c>
      <x:c r="D306" s="6" t="str">
        <x:v>Formwork</x:v>
      </x:c>
      <x:c r="E306" s="22" t="n">
        <x:f>MAX(0,MIN('Activities'!L306,6)-MAX('Activities'!K306,0))</x:f>
        <x:v>0</x:v>
      </x:c>
      <x:c r="F306" s="22" t="n">
        <x:f>MAX(0,MIN('Activities'!L306,12)-MAX('Activities'!K306,6))</x:f>
        <x:v>0</x:v>
      </x:c>
      <x:c r="G306" s="22" t="n">
        <x:f>MAX(0,MIN('Activities'!L306,18)-MAX('Activities'!K306,12))</x:f>
        <x:v>0</x:v>
      </x:c>
      <x:c r="H306" s="22" t="n">
        <x:f>MAX(0,MIN('Activities'!L306,24)-MAX('Activities'!K306,18))</x:f>
        <x:v>0</x:v>
      </x:c>
      <x:c r="I306" s="22" t="n">
        <x:f>MAX(0,MIN('Activities'!L306,30)-MAX('Activities'!K306,24))</x:f>
        <x:v>0</x:v>
      </x:c>
      <x:c r="J306" s="22" t="n">
        <x:f>MAX(0,MIN('Activities'!L306,36)-MAX('Activities'!K306,30))</x:f>
        <x:v>0</x:v>
      </x:c>
      <x:c r="K306" s="22" t="n">
        <x:f>MAX(0,MIN('Activities'!L306,42)-MAX('Activities'!K306,36))</x:f>
        <x:v>0</x:v>
      </x:c>
      <x:c r="L306" s="22" t="n">
        <x:f>MAX(0,MIN('Activities'!L306,48)-MAX('Activities'!K306,42))</x:f>
        <x:v>0</x:v>
      </x:c>
      <x:c r="M306" s="22" t="n">
        <x:f>MAX(0,MIN('Activities'!L306,54)-MAX('Activities'!K306,48))</x:f>
        <x:v>0</x:v>
      </x:c>
      <x:c r="N306" s="22" t="n">
        <x:f>MAX(0,MIN('Activities'!L306,60)-MAX('Activities'!K306,54))</x:f>
        <x:v>0</x:v>
      </x:c>
      <x:c r="O306" s="22" t="n">
        <x:f>MAX(0,MIN('Activities'!L306,66)-MAX('Activities'!K306,60))</x:f>
        <x:v>0</x:v>
      </x:c>
      <x:c r="P306" s="22" t="n">
        <x:f>MAX(0,MIN('Activities'!L306,72)-MAX('Activities'!K306,66))</x:f>
        <x:v>0</x:v>
      </x:c>
      <x:c r="Q306" s="22" t="n">
        <x:f>MAX(0,MIN('Activities'!L306,78)-MAX('Activities'!K306,72))</x:f>
        <x:v>0</x:v>
      </x:c>
      <x:c r="R306" s="22" t="n">
        <x:f>MAX(0,MIN('Activities'!L306,84)-MAX('Activities'!K306,78))</x:f>
        <x:v>0</x:v>
      </x:c>
      <x:c r="S306" s="22" t="n">
        <x:f>MAX(0,MIN('Activities'!L306,90)-MAX('Activities'!K306,84))</x:f>
        <x:v>0</x:v>
      </x:c>
      <x:c r="T306" s="22" t="n">
        <x:f>MAX(0,MIN('Activities'!L306,96)-MAX('Activities'!K306,90))</x:f>
        <x:v>0</x:v>
      </x:c>
      <x:c r="U306" s="22" t="n">
        <x:f>MAX(0,MIN('Activities'!L306,102)-MAX('Activities'!K306,96))</x:f>
        <x:v>0</x:v>
      </x:c>
      <x:c r="V306" s="22" t="n">
        <x:f>MAX(0,MIN('Activities'!L306,108)-MAX('Activities'!K306,102))</x:f>
        <x:v>0</x:v>
      </x:c>
      <x:c r="W306" s="22" t="n">
        <x:f>MAX(0,MIN('Activities'!L306,114)-MAX('Activities'!K306,108))</x:f>
        <x:v>0</x:v>
      </x:c>
      <x:c r="X306" s="22" t="n">
        <x:f>MAX(0,MIN('Activities'!L306,120)-MAX('Activities'!K306,114))</x:f>
        <x:v>0</x:v>
      </x:c>
      <x:c r="Y306" s="22" t="n">
        <x:f>MAX(0,MIN('Activities'!L306,126)-MAX('Activities'!K306,120))</x:f>
        <x:v>0</x:v>
      </x:c>
      <x:c r="Z306" s="22" t="n">
        <x:f>MAX(0,MIN('Activities'!L306,132)-MAX('Activities'!K306,126))</x:f>
        <x:v>0</x:v>
      </x:c>
      <x:c r="AA306" s="22" t="n">
        <x:f>MAX(0,MIN('Activities'!L306,138)-MAX('Activities'!K306,132))</x:f>
        <x:v>0</x:v>
      </x:c>
      <x:c r="AB306" s="22" t="n">
        <x:f>MAX(0,MIN('Activities'!L306,144)-MAX('Activities'!K306,138))</x:f>
        <x:v>0</x:v>
      </x:c>
      <x:c r="AC306" s="22" t="n">
        <x:f>MAX(0,MIN('Activities'!L306,150)-MAX('Activities'!K306,144))</x:f>
        <x:v>0</x:v>
      </x:c>
      <x:c r="AD306" s="22" t="n">
        <x:f>MAX(0,MIN('Activities'!L306,156)-MAX('Activities'!K306,150))</x:f>
        <x:v>0</x:v>
      </x:c>
      <x:c r="AE306" s="22" t="n">
        <x:f>MAX(0,MIN('Activities'!L306,162)-MAX('Activities'!K306,156))</x:f>
        <x:v>0</x:v>
      </x:c>
      <x:c r="AF306" s="22" t="n">
        <x:f>MAX(0,MIN('Activities'!L306,168)-MAX('Activities'!K306,162))</x:f>
        <x:v>0</x:v>
      </x:c>
      <x:c r="AG306" s="22" t="n">
        <x:f>MAX(0,MIN('Activities'!L306,174)-MAX('Activities'!K306,168))</x:f>
        <x:v>0</x:v>
      </x:c>
      <x:c r="AH306" s="22" t="n">
        <x:f>MAX(0,MIN('Activities'!L306,180)-MAX('Activities'!K306,174))</x:f>
        <x:v>0</x:v>
      </x:c>
      <x:c r="AI306" s="22" t="n">
        <x:f>MAX(0,MIN('Activities'!L306,186)-MAX('Activities'!K306,180))</x:f>
        <x:v>0</x:v>
      </x:c>
      <x:c r="AJ306" s="22" t="n">
        <x:f>MAX(0,MIN('Activities'!L306,192)-MAX('Activities'!K306,186))</x:f>
        <x:v>0</x:v>
      </x:c>
      <x:c r="AK306" s="22" t="n">
        <x:f>MAX(0,MIN('Activities'!L306,198)-MAX('Activities'!K306,192))</x:f>
        <x:v>0</x:v>
      </x:c>
      <x:c r="AL306" s="22" t="n">
        <x:f>MAX(0,MIN('Activities'!L306,204)-MAX('Activities'!K306,198))</x:f>
        <x:v>0</x:v>
      </x:c>
      <x:c r="AM306" s="22" t="n">
        <x:f>MAX(0,MIN('Activities'!L306,210)-MAX('Activities'!K306,204))</x:f>
        <x:v>0</x:v>
      </x:c>
      <x:c r="AN306" s="22" t="n">
        <x:f>MAX(0,MIN('Activities'!L306,216)-MAX('Activities'!K306,210))</x:f>
        <x:v>0</x:v>
      </x:c>
      <x:c r="AO306" s="22" t="n">
        <x:f>MAX(0,MIN('Activities'!L306,222)-MAX('Activities'!K306,216))</x:f>
        <x:v>0</x:v>
      </x:c>
      <x:c r="AP306" s="22" t="n">
        <x:f>MAX(0,MIN('Activities'!L306,228)-MAX('Activities'!K306,222))</x:f>
        <x:v>0</x:v>
      </x:c>
      <x:c r="AQ306" s="22" t="n">
        <x:f>MAX(0,MIN('Activities'!L306,234)-MAX('Activities'!K306,228))</x:f>
        <x:v>0</x:v>
      </x:c>
      <x:c r="AR306" s="22" t="n">
        <x:f>MAX(0,MIN('Activities'!L306,240)-MAX('Activities'!K306,234))</x:f>
        <x:v>0</x:v>
      </x:c>
      <x:c r="AS306" s="22" t="n">
        <x:f>MAX(0,MIN('Activities'!L306,246)-MAX('Activities'!K306,240))</x:f>
        <x:v>0</x:v>
      </x:c>
      <x:c r="AT306" s="22" t="n">
        <x:f>MAX(0,MIN('Activities'!L306,252)-MAX('Activities'!K306,246))</x:f>
        <x:v>0</x:v>
      </x:c>
      <x:c r="AU306" s="22" t="n">
        <x:f>MAX(0,MIN('Activities'!L306,258)-MAX('Activities'!K306,252))</x:f>
        <x:v>0</x:v>
      </x:c>
      <x:c r="AV306" s="22" t="n">
        <x:f>MAX(0,MIN('Activities'!L306,264)-MAX('Activities'!K306,258))</x:f>
        <x:v>0</x:v>
      </x:c>
      <x:c r="AW306" s="22" t="n">
        <x:f>MAX(0,MIN('Activities'!L306,270)-MAX('Activities'!K306,264))</x:f>
        <x:v>4</x:v>
      </x:c>
      <x:c r="AX306" s="22" t="n">
        <x:f>MAX(0,MIN('Activities'!L306,276)-MAX('Activities'!K306,270))</x:f>
        <x:v>2</x:v>
      </x:c>
      <x:c r="AY306" s="22" t="n">
        <x:f>MAX(0,MIN('Activities'!L306,282)-MAX('Activities'!K306,276))</x:f>
        <x:v>0</x:v>
      </x:c>
      <x:c r="AZ306" s="22" t="n">
        <x:f>MAX(0,MIN('Activities'!L306,288)-MAX('Activities'!K306,282))</x:f>
        <x:v>0</x:v>
      </x:c>
      <x:c r="BA306" s="22" t="n">
        <x:f>MAX(0,MIN('Activities'!L306,294)-MAX('Activities'!K306,288))</x:f>
        <x:v>0</x:v>
      </x:c>
      <x:c r="BB306" s="22" t="n">
        <x:f>MAX(0,MIN('Activities'!L306,300)-MAX('Activities'!K306,294))</x:f>
        <x:v>0</x:v>
      </x:c>
      <x:c r="BC306" s="22" t="n">
        <x:f>MAX(0,MIN('Activities'!L306,306)-MAX('Activities'!K306,300))</x:f>
        <x:v>0</x:v>
      </x:c>
      <x:c r="BD306" s="22" t="n">
        <x:f>MAX(0,MIN('Activities'!L306,312)-MAX('Activities'!K306,306))</x:f>
        <x:v>0</x:v>
      </x:c>
      <x:c r="BE306" s="22" t="n">
        <x:f>MAX(0,MIN('Activities'!L306,318)-MAX('Activities'!K306,312))</x:f>
        <x:v>0</x:v>
      </x:c>
      <x:c r="BF306" s="22" t="n">
        <x:f>MAX(0,MIN('Activities'!L306,324)-MAX('Activities'!K306,318))</x:f>
        <x:v>0</x:v>
      </x:c>
      <x:c r="BG306" s="22" t="n">
        <x:f>MAX(0,MIN('Activities'!L306,330)-MAX('Activities'!K306,324))</x:f>
        <x:v>0</x:v>
      </x:c>
      <x:c r="BH306" s="22" t="n">
        <x:f>MAX(0,MIN('Activities'!L306,336)-MAX('Activities'!K306,330))</x:f>
        <x:v>0</x:v>
      </x:c>
      <x:c r="BI306" s="22" t="n">
        <x:f>MAX(0,MIN('Activities'!L306,342)-MAX('Activities'!K306,336))</x:f>
        <x:v>0</x:v>
      </x:c>
      <x:c r="BJ306" s="22" t="n">
        <x:f>MAX(0,MIN('Activities'!L306,348)-MAX('Activities'!K306,342))</x:f>
        <x:v>0</x:v>
      </x:c>
      <x:c r="BK306" s="22" t="n">
        <x:f>MAX(0,MIN('Activities'!L306,354)-MAX('Activities'!K306,348))</x:f>
        <x:v>0</x:v>
      </x:c>
      <x:c r="BL306" s="22" t="n">
        <x:f>MAX(0,MIN('Activities'!L306,360)-MAX('Activities'!K306,354))</x:f>
        <x:v>0</x:v>
      </x:c>
      <x:c r="BM306" s="22" t="n">
        <x:f>MAX(0,MIN('Activities'!L306,366)-MAX('Activities'!K306,360))</x:f>
        <x:v>0</x:v>
      </x:c>
      <x:c r="BN306" s="22" t="n">
        <x:f>MAX(0,MIN('Activities'!L306,372)-MAX('Activities'!K306,366))</x:f>
        <x:v>0</x:v>
      </x:c>
      <x:c r="BO306" s="22" t="n">
        <x:f>MAX(0,MIN('Activities'!L306,378)-MAX('Activities'!K306,372))</x:f>
        <x:v>0</x:v>
      </x:c>
      <x:c r="BP306" s="22" t="n">
        <x:f>MAX(0,MIN('Activities'!L306,384)-MAX('Activities'!K306,378))</x:f>
        <x:v>0</x:v>
      </x:c>
      <x:c r="BQ306" s="22" t="n">
        <x:f>MAX(0,MIN('Activities'!L306,390)-MAX('Activities'!K306,384))</x:f>
        <x:v>0</x:v>
      </x:c>
      <x:c r="BR306" s="22" t="n">
        <x:f>MAX(0,MIN('Activities'!L306,396)-MAX('Activities'!K306,390))</x:f>
        <x:v>0</x:v>
      </x:c>
      <x:c r="BS306" s="22" t="n">
        <x:f>MAX(0,MIN('Activities'!L306,402)-MAX('Activities'!K306,396))</x:f>
        <x:v>0</x:v>
      </x:c>
      <x:c r="BT306" s="22" t="n">
        <x:f>MAX(0,MIN('Activities'!L306,408)-MAX('Activities'!K306,402))</x:f>
        <x:v>0</x:v>
      </x:c>
      <x:c r="BU306" s="22" t="n">
        <x:f>MAX(0,MIN('Activities'!L306,414)-MAX('Activities'!K306,408))</x:f>
        <x:v>0</x:v>
      </x:c>
      <x:c r="BV306" s="22" t="n">
        <x:f>MAX(0,MIN('Activities'!L306,420)-MAX('Activities'!K306,414))</x:f>
        <x:v>0</x:v>
      </x:c>
      <x:c r="BW306" s="22" t="n">
        <x:f>MAX(0,MIN('Activities'!L306,426)-MAX('Activities'!K306,420))</x:f>
        <x:v>0</x:v>
      </x:c>
      <x:c r="BX306" s="22" t="n">
        <x:f>MAX(0,MIN('Activities'!L306,432)-MAX('Activities'!K306,426))</x:f>
        <x:v>0</x:v>
      </x:c>
      <x:c r="BY306" s="22" t="n">
        <x:f>MAX(0,MIN('Activities'!L306,438)-MAX('Activities'!K306,432))</x:f>
        <x:v>0</x:v>
      </x:c>
      <x:c r="BZ306" s="22" t="n">
        <x:f>MAX(0,MIN('Activities'!L306,444)-MAX('Activities'!K306,438))</x:f>
        <x:v>0</x:v>
      </x:c>
      <x:c r="CA306" s="22" t="n">
        <x:f>MAX(0,MIN('Activities'!L306,450)-MAX('Activities'!K306,444))</x:f>
        <x:v>0</x:v>
      </x:c>
      <x:c r="CB306" s="22" t="n">
        <x:f>MAX(0,MIN('Activities'!L306,456)-MAX('Activities'!K306,450))</x:f>
        <x:v>0</x:v>
      </x:c>
      <x:c r="CC306" s="22" t="n">
        <x:f>MAX(0,MIN('Activities'!L306,462)-MAX('Activities'!K306,456))</x:f>
        <x:v>0</x:v>
      </x:c>
      <x:c r="CD306" s="22" t="n">
        <x:f>MAX(0,MIN('Activities'!L306,468)-MAX('Activities'!K306,462))</x:f>
        <x:v>0</x:v>
      </x:c>
      <x:c r="CE306" s="22" t="n">
        <x:f>MAX(0,MIN('Activities'!L306,474)-MAX('Activities'!K306,468))</x:f>
        <x:v>0</x:v>
      </x:c>
      <x:c r="CF306" s="22" t="n">
        <x:f>MAX(0,MIN('Activities'!L306,480)-MAX('Activities'!K306,474))</x:f>
        <x:v>0</x:v>
      </x:c>
      <x:c r="CG306" s="22" t="n">
        <x:f>MAX(0,MIN('Activities'!L306,486)-MAX('Activities'!K306,480))</x:f>
        <x:v>0</x:v>
      </x:c>
      <x:c r="CH306" s="22" t="n">
        <x:f>MAX(0,MIN('Activities'!L306,492)-MAX('Activities'!K306,486))</x:f>
        <x:v>0</x:v>
      </x:c>
      <x:c r="CI306" s="22" t="n">
        <x:f>MAX(0,MIN('Activities'!L306,498)-MAX('Activities'!K306,492))</x:f>
        <x:v>0</x:v>
      </x:c>
      <x:c r="CJ306" s="22" t="n">
        <x:f>MAX(0,MIN('Activities'!L306,504)-MAX('Activities'!K306,498))</x:f>
        <x:v>0</x:v>
      </x:c>
      <x:c r="CK306" s="22" t="n">
        <x:f>MAX(0,MIN('Activities'!L306,510)-MAX('Activities'!K306,504))</x:f>
        <x:v>0</x:v>
      </x:c>
      <x:c r="CL306" s="22" t="n">
        <x:f>MAX(0,MIN('Activities'!L306,516)-MAX('Activities'!K306,510))</x:f>
        <x:v>0</x:v>
      </x:c>
      <x:c r="CM306" s="22" t="n">
        <x:f>MAX(0,MIN('Activities'!L306,522)-MAX('Activities'!K306,516))</x:f>
        <x:v>0</x:v>
      </x:c>
      <x:c r="CN306" s="22" t="n">
        <x:f>MAX(0,MIN('Activities'!L306,528)-MAX('Activities'!K306,522))</x:f>
        <x:v>0</x:v>
      </x:c>
      <x:c r="CO306" s="22" t="n">
        <x:f>MAX(0,MIN('Activities'!L306,534)-MAX('Activities'!K306,528))</x:f>
        <x:v>0</x:v>
      </x:c>
      <x:c r="CP306" s="22" t="n">
        <x:f>MAX(0,MIN('Activities'!L306,540)-MAX('Activities'!K306,534))</x:f>
        <x:v>0</x:v>
      </x:c>
      <x:c r="CQ306" s="22" t="n">
        <x:f>MAX(0,MIN('Activities'!L306,546)-MAX('Activities'!K306,540))</x:f>
        <x:v>0</x:v>
      </x:c>
      <x:c r="CR306" s="22" t="n">
        <x:f>MAX(0,MIN('Activities'!L306,552)-MAX('Activities'!K306,546))</x:f>
        <x:v>0</x:v>
      </x:c>
      <x:c r="CS306" s="22" t="n">
        <x:f>MAX(0,MIN('Activities'!L306,558)-MAX('Activities'!K306,552))</x:f>
        <x:v>0</x:v>
      </x:c>
      <x:c r="CT306" s="22" t="n">
        <x:f>MAX(0,MIN('Activities'!L306,564)-MAX('Activities'!K306,558))</x:f>
        <x:v>0</x:v>
      </x:c>
      <x:c r="CU306" s="22" t="n">
        <x:f>MAX(0,MIN('Activities'!L306,570)-MAX('Activities'!K306,564))</x:f>
        <x:v>0</x:v>
      </x:c>
      <x:c r="CV306" s="22" t="n">
        <x:f>MAX(0,MIN('Activities'!L306,576)-MAX('Activities'!K306,570))</x:f>
        <x:v>0</x:v>
      </x:c>
      <x:c r="CW306" s="22" t="n">
        <x:f>MAX(0,MIN('Activities'!L306,582)-MAX('Activities'!K306,576))</x:f>
        <x:v>0</x:v>
      </x:c>
      <x:c r="CX306" s="22" t="n">
        <x:f>MAX(0,MIN('Activities'!L306,588)-MAX('Activities'!K306,582))</x:f>
        <x:v>0</x:v>
      </x:c>
      <x:c r="CY306" s="22" t="n">
        <x:f>MAX(0,MIN('Activities'!L306,594)-MAX('Activities'!K306,588))</x:f>
        <x:v>0</x:v>
      </x:c>
      <x:c r="CZ306" s="22" t="n">
        <x:f>MAX(0,MIN('Activities'!L306,600)-MAX('Activities'!K306,594))</x:f>
        <x:v>0</x:v>
      </x:c>
      <x:c r="DA306" s="22" t="n">
        <x:f>MAX(0,MIN('Activities'!L306,606)-MAX('Activities'!K306,600))</x:f>
        <x:v>0</x:v>
      </x:c>
      <x:c r="DB306" s="22" t="n">
        <x:f>MAX(0,MIN('Activities'!L306,612)-MAX('Activities'!K306,606))</x:f>
        <x:v>0</x:v>
      </x:c>
      <x:c r="DC306" s="22" t="n">
        <x:f>MAX(0,MIN('Activities'!L306,618)-MAX('Activities'!K306,612))</x:f>
        <x:v>0</x:v>
      </x:c>
      <x:c r="DD306" s="22" t="n">
        <x:f>MAX(0,MIN('Activities'!L306,624)-MAX('Activities'!K306,618))</x:f>
        <x:v>0</x:v>
      </x:c>
      <x:c r="DE306" s="22" t="n">
        <x:f>MAX(0,MIN('Activities'!L306,630)-MAX('Activities'!K306,624))</x:f>
        <x:v>0</x:v>
      </x:c>
      <x:c r="DF306" s="22" t="n">
        <x:f>MAX(0,MIN('Activities'!L306,636)-MAX('Activities'!K306,630))</x:f>
        <x:v>0</x:v>
      </x:c>
    </x:row>
    <x:row r="307" ht="23" customHeight="1">
      <x:c r="A307" s="1" t="str">
        <x:v>T3-L06-R</x:v>
      </x:c>
      <x:c r="B307" s="1" t="str">
        <x:v>T3</x:v>
      </x:c>
      <x:c r="C307" s="1" t="str">
        <x:v>Column, wall, beam and slab reinforcement</x:v>
      </x:c>
      <x:c r="D307" s="1" t="str">
        <x:v>Rebar</x:v>
      </x:c>
      <x:c r="E307" s="23" t="n">
        <x:f>MAX(0,MIN('Activities'!L307,6)-MAX('Activities'!K307,0))</x:f>
        <x:v>0</x:v>
      </x:c>
      <x:c r="F307" s="23" t="n">
        <x:f>MAX(0,MIN('Activities'!L307,12)-MAX('Activities'!K307,6))</x:f>
        <x:v>0</x:v>
      </x:c>
      <x:c r="G307" s="23" t="n">
        <x:f>MAX(0,MIN('Activities'!L307,18)-MAX('Activities'!K307,12))</x:f>
        <x:v>0</x:v>
      </x:c>
      <x:c r="H307" s="23" t="n">
        <x:f>MAX(0,MIN('Activities'!L307,24)-MAX('Activities'!K307,18))</x:f>
        <x:v>0</x:v>
      </x:c>
      <x:c r="I307" s="23" t="n">
        <x:f>MAX(0,MIN('Activities'!L307,30)-MAX('Activities'!K307,24))</x:f>
        <x:v>0</x:v>
      </x:c>
      <x:c r="J307" s="23" t="n">
        <x:f>MAX(0,MIN('Activities'!L307,36)-MAX('Activities'!K307,30))</x:f>
        <x:v>0</x:v>
      </x:c>
      <x:c r="K307" s="23" t="n">
        <x:f>MAX(0,MIN('Activities'!L307,42)-MAX('Activities'!K307,36))</x:f>
        <x:v>0</x:v>
      </x:c>
      <x:c r="L307" s="23" t="n">
        <x:f>MAX(0,MIN('Activities'!L307,48)-MAX('Activities'!K307,42))</x:f>
        <x:v>0</x:v>
      </x:c>
      <x:c r="M307" s="23" t="n">
        <x:f>MAX(0,MIN('Activities'!L307,54)-MAX('Activities'!K307,48))</x:f>
        <x:v>0</x:v>
      </x:c>
      <x:c r="N307" s="23" t="n">
        <x:f>MAX(0,MIN('Activities'!L307,60)-MAX('Activities'!K307,54))</x:f>
        <x:v>0</x:v>
      </x:c>
      <x:c r="O307" s="23" t="n">
        <x:f>MAX(0,MIN('Activities'!L307,66)-MAX('Activities'!K307,60))</x:f>
        <x:v>0</x:v>
      </x:c>
      <x:c r="P307" s="23" t="n">
        <x:f>MAX(0,MIN('Activities'!L307,72)-MAX('Activities'!K307,66))</x:f>
        <x:v>0</x:v>
      </x:c>
      <x:c r="Q307" s="23" t="n">
        <x:f>MAX(0,MIN('Activities'!L307,78)-MAX('Activities'!K307,72))</x:f>
        <x:v>0</x:v>
      </x:c>
      <x:c r="R307" s="23" t="n">
        <x:f>MAX(0,MIN('Activities'!L307,84)-MAX('Activities'!K307,78))</x:f>
        <x:v>0</x:v>
      </x:c>
      <x:c r="S307" s="23" t="n">
        <x:f>MAX(0,MIN('Activities'!L307,90)-MAX('Activities'!K307,84))</x:f>
        <x:v>0</x:v>
      </x:c>
      <x:c r="T307" s="23" t="n">
        <x:f>MAX(0,MIN('Activities'!L307,96)-MAX('Activities'!K307,90))</x:f>
        <x:v>0</x:v>
      </x:c>
      <x:c r="U307" s="23" t="n">
        <x:f>MAX(0,MIN('Activities'!L307,102)-MAX('Activities'!K307,96))</x:f>
        <x:v>0</x:v>
      </x:c>
      <x:c r="V307" s="23" t="n">
        <x:f>MAX(0,MIN('Activities'!L307,108)-MAX('Activities'!K307,102))</x:f>
        <x:v>0</x:v>
      </x:c>
      <x:c r="W307" s="23" t="n">
        <x:f>MAX(0,MIN('Activities'!L307,114)-MAX('Activities'!K307,108))</x:f>
        <x:v>0</x:v>
      </x:c>
      <x:c r="X307" s="23" t="n">
        <x:f>MAX(0,MIN('Activities'!L307,120)-MAX('Activities'!K307,114))</x:f>
        <x:v>0</x:v>
      </x:c>
      <x:c r="Y307" s="23" t="n">
        <x:f>MAX(0,MIN('Activities'!L307,126)-MAX('Activities'!K307,120))</x:f>
        <x:v>0</x:v>
      </x:c>
      <x:c r="Z307" s="23" t="n">
        <x:f>MAX(0,MIN('Activities'!L307,132)-MAX('Activities'!K307,126))</x:f>
        <x:v>0</x:v>
      </x:c>
      <x:c r="AA307" s="23" t="n">
        <x:f>MAX(0,MIN('Activities'!L307,138)-MAX('Activities'!K307,132))</x:f>
        <x:v>0</x:v>
      </x:c>
      <x:c r="AB307" s="23" t="n">
        <x:f>MAX(0,MIN('Activities'!L307,144)-MAX('Activities'!K307,138))</x:f>
        <x:v>0</x:v>
      </x:c>
      <x:c r="AC307" s="23" t="n">
        <x:f>MAX(0,MIN('Activities'!L307,150)-MAX('Activities'!K307,144))</x:f>
        <x:v>0</x:v>
      </x:c>
      <x:c r="AD307" s="23" t="n">
        <x:f>MAX(0,MIN('Activities'!L307,156)-MAX('Activities'!K307,150))</x:f>
        <x:v>0</x:v>
      </x:c>
      <x:c r="AE307" s="23" t="n">
        <x:f>MAX(0,MIN('Activities'!L307,162)-MAX('Activities'!K307,156))</x:f>
        <x:v>0</x:v>
      </x:c>
      <x:c r="AF307" s="23" t="n">
        <x:f>MAX(0,MIN('Activities'!L307,168)-MAX('Activities'!K307,162))</x:f>
        <x:v>0</x:v>
      </x:c>
      <x:c r="AG307" s="23" t="n">
        <x:f>MAX(0,MIN('Activities'!L307,174)-MAX('Activities'!K307,168))</x:f>
        <x:v>0</x:v>
      </x:c>
      <x:c r="AH307" s="23" t="n">
        <x:f>MAX(0,MIN('Activities'!L307,180)-MAX('Activities'!K307,174))</x:f>
        <x:v>0</x:v>
      </x:c>
      <x:c r="AI307" s="23" t="n">
        <x:f>MAX(0,MIN('Activities'!L307,186)-MAX('Activities'!K307,180))</x:f>
        <x:v>0</x:v>
      </x:c>
      <x:c r="AJ307" s="23" t="n">
        <x:f>MAX(0,MIN('Activities'!L307,192)-MAX('Activities'!K307,186))</x:f>
        <x:v>0</x:v>
      </x:c>
      <x:c r="AK307" s="23" t="n">
        <x:f>MAX(0,MIN('Activities'!L307,198)-MAX('Activities'!K307,192))</x:f>
        <x:v>0</x:v>
      </x:c>
      <x:c r="AL307" s="23" t="n">
        <x:f>MAX(0,MIN('Activities'!L307,204)-MAX('Activities'!K307,198))</x:f>
        <x:v>0</x:v>
      </x:c>
      <x:c r="AM307" s="23" t="n">
        <x:f>MAX(0,MIN('Activities'!L307,210)-MAX('Activities'!K307,204))</x:f>
        <x:v>0</x:v>
      </x:c>
      <x:c r="AN307" s="23" t="n">
        <x:f>MAX(0,MIN('Activities'!L307,216)-MAX('Activities'!K307,210))</x:f>
        <x:v>0</x:v>
      </x:c>
      <x:c r="AO307" s="23" t="n">
        <x:f>MAX(0,MIN('Activities'!L307,222)-MAX('Activities'!K307,216))</x:f>
        <x:v>0</x:v>
      </x:c>
      <x:c r="AP307" s="23" t="n">
        <x:f>MAX(0,MIN('Activities'!L307,228)-MAX('Activities'!K307,222))</x:f>
        <x:v>0</x:v>
      </x:c>
      <x:c r="AQ307" s="23" t="n">
        <x:f>MAX(0,MIN('Activities'!L307,234)-MAX('Activities'!K307,228))</x:f>
        <x:v>0</x:v>
      </x:c>
      <x:c r="AR307" s="23" t="n">
        <x:f>MAX(0,MIN('Activities'!L307,240)-MAX('Activities'!K307,234))</x:f>
        <x:v>0</x:v>
      </x:c>
      <x:c r="AS307" s="23" t="n">
        <x:f>MAX(0,MIN('Activities'!L307,246)-MAX('Activities'!K307,240))</x:f>
        <x:v>0</x:v>
      </x:c>
      <x:c r="AT307" s="23" t="n">
        <x:f>MAX(0,MIN('Activities'!L307,252)-MAX('Activities'!K307,246))</x:f>
        <x:v>0</x:v>
      </x:c>
      <x:c r="AU307" s="23" t="n">
        <x:f>MAX(0,MIN('Activities'!L307,258)-MAX('Activities'!K307,252))</x:f>
        <x:v>0</x:v>
      </x:c>
      <x:c r="AV307" s="23" t="n">
        <x:f>MAX(0,MIN('Activities'!L307,264)-MAX('Activities'!K307,258))</x:f>
        <x:v>0</x:v>
      </x:c>
      <x:c r="AW307" s="23" t="n">
        <x:f>MAX(0,MIN('Activities'!L307,270)-MAX('Activities'!K307,264))</x:f>
        <x:v>0</x:v>
      </x:c>
      <x:c r="AX307" s="23" t="n">
        <x:f>MAX(0,MIN('Activities'!L307,276)-MAX('Activities'!K307,270))</x:f>
        <x:v>4</x:v>
      </x:c>
      <x:c r="AY307" s="23" t="n">
        <x:f>MAX(0,MIN('Activities'!L307,282)-MAX('Activities'!K307,276))</x:f>
        <x:v>1</x:v>
      </x:c>
      <x:c r="AZ307" s="23" t="n">
        <x:f>MAX(0,MIN('Activities'!L307,288)-MAX('Activities'!K307,282))</x:f>
        <x:v>0</x:v>
      </x:c>
      <x:c r="BA307" s="23" t="n">
        <x:f>MAX(0,MIN('Activities'!L307,294)-MAX('Activities'!K307,288))</x:f>
        <x:v>0</x:v>
      </x:c>
      <x:c r="BB307" s="23" t="n">
        <x:f>MAX(0,MIN('Activities'!L307,300)-MAX('Activities'!K307,294))</x:f>
        <x:v>0</x:v>
      </x:c>
      <x:c r="BC307" s="23" t="n">
        <x:f>MAX(0,MIN('Activities'!L307,306)-MAX('Activities'!K307,300))</x:f>
        <x:v>0</x:v>
      </x:c>
      <x:c r="BD307" s="23" t="n">
        <x:f>MAX(0,MIN('Activities'!L307,312)-MAX('Activities'!K307,306))</x:f>
        <x:v>0</x:v>
      </x:c>
      <x:c r="BE307" s="23" t="n">
        <x:f>MAX(0,MIN('Activities'!L307,318)-MAX('Activities'!K307,312))</x:f>
        <x:v>0</x:v>
      </x:c>
      <x:c r="BF307" s="23" t="n">
        <x:f>MAX(0,MIN('Activities'!L307,324)-MAX('Activities'!K307,318))</x:f>
        <x:v>0</x:v>
      </x:c>
      <x:c r="BG307" s="23" t="n">
        <x:f>MAX(0,MIN('Activities'!L307,330)-MAX('Activities'!K307,324))</x:f>
        <x:v>0</x:v>
      </x:c>
      <x:c r="BH307" s="23" t="n">
        <x:f>MAX(0,MIN('Activities'!L307,336)-MAX('Activities'!K307,330))</x:f>
        <x:v>0</x:v>
      </x:c>
      <x:c r="BI307" s="23" t="n">
        <x:f>MAX(0,MIN('Activities'!L307,342)-MAX('Activities'!K307,336))</x:f>
        <x:v>0</x:v>
      </x:c>
      <x:c r="BJ307" s="23" t="n">
        <x:f>MAX(0,MIN('Activities'!L307,348)-MAX('Activities'!K307,342))</x:f>
        <x:v>0</x:v>
      </x:c>
      <x:c r="BK307" s="23" t="n">
        <x:f>MAX(0,MIN('Activities'!L307,354)-MAX('Activities'!K307,348))</x:f>
        <x:v>0</x:v>
      </x:c>
      <x:c r="BL307" s="23" t="n">
        <x:f>MAX(0,MIN('Activities'!L307,360)-MAX('Activities'!K307,354))</x:f>
        <x:v>0</x:v>
      </x:c>
      <x:c r="BM307" s="23" t="n">
        <x:f>MAX(0,MIN('Activities'!L307,366)-MAX('Activities'!K307,360))</x:f>
        <x:v>0</x:v>
      </x:c>
      <x:c r="BN307" s="23" t="n">
        <x:f>MAX(0,MIN('Activities'!L307,372)-MAX('Activities'!K307,366))</x:f>
        <x:v>0</x:v>
      </x:c>
      <x:c r="BO307" s="23" t="n">
        <x:f>MAX(0,MIN('Activities'!L307,378)-MAX('Activities'!K307,372))</x:f>
        <x:v>0</x:v>
      </x:c>
      <x:c r="BP307" s="23" t="n">
        <x:f>MAX(0,MIN('Activities'!L307,384)-MAX('Activities'!K307,378))</x:f>
        <x:v>0</x:v>
      </x:c>
      <x:c r="BQ307" s="23" t="n">
        <x:f>MAX(0,MIN('Activities'!L307,390)-MAX('Activities'!K307,384))</x:f>
        <x:v>0</x:v>
      </x:c>
      <x:c r="BR307" s="23" t="n">
        <x:f>MAX(0,MIN('Activities'!L307,396)-MAX('Activities'!K307,390))</x:f>
        <x:v>0</x:v>
      </x:c>
      <x:c r="BS307" s="23" t="n">
        <x:f>MAX(0,MIN('Activities'!L307,402)-MAX('Activities'!K307,396))</x:f>
        <x:v>0</x:v>
      </x:c>
      <x:c r="BT307" s="23" t="n">
        <x:f>MAX(0,MIN('Activities'!L307,408)-MAX('Activities'!K307,402))</x:f>
        <x:v>0</x:v>
      </x:c>
      <x:c r="BU307" s="23" t="n">
        <x:f>MAX(0,MIN('Activities'!L307,414)-MAX('Activities'!K307,408))</x:f>
        <x:v>0</x:v>
      </x:c>
      <x:c r="BV307" s="23" t="n">
        <x:f>MAX(0,MIN('Activities'!L307,420)-MAX('Activities'!K307,414))</x:f>
        <x:v>0</x:v>
      </x:c>
      <x:c r="BW307" s="23" t="n">
        <x:f>MAX(0,MIN('Activities'!L307,426)-MAX('Activities'!K307,420))</x:f>
        <x:v>0</x:v>
      </x:c>
      <x:c r="BX307" s="23" t="n">
        <x:f>MAX(0,MIN('Activities'!L307,432)-MAX('Activities'!K307,426))</x:f>
        <x:v>0</x:v>
      </x:c>
      <x:c r="BY307" s="23" t="n">
        <x:f>MAX(0,MIN('Activities'!L307,438)-MAX('Activities'!K307,432))</x:f>
        <x:v>0</x:v>
      </x:c>
      <x:c r="BZ307" s="23" t="n">
        <x:f>MAX(0,MIN('Activities'!L307,444)-MAX('Activities'!K307,438))</x:f>
        <x:v>0</x:v>
      </x:c>
      <x:c r="CA307" s="23" t="n">
        <x:f>MAX(0,MIN('Activities'!L307,450)-MAX('Activities'!K307,444))</x:f>
        <x:v>0</x:v>
      </x:c>
      <x:c r="CB307" s="23" t="n">
        <x:f>MAX(0,MIN('Activities'!L307,456)-MAX('Activities'!K307,450))</x:f>
        <x:v>0</x:v>
      </x:c>
      <x:c r="CC307" s="23" t="n">
        <x:f>MAX(0,MIN('Activities'!L307,462)-MAX('Activities'!K307,456))</x:f>
        <x:v>0</x:v>
      </x:c>
      <x:c r="CD307" s="23" t="n">
        <x:f>MAX(0,MIN('Activities'!L307,468)-MAX('Activities'!K307,462))</x:f>
        <x:v>0</x:v>
      </x:c>
      <x:c r="CE307" s="23" t="n">
        <x:f>MAX(0,MIN('Activities'!L307,474)-MAX('Activities'!K307,468))</x:f>
        <x:v>0</x:v>
      </x:c>
      <x:c r="CF307" s="23" t="n">
        <x:f>MAX(0,MIN('Activities'!L307,480)-MAX('Activities'!K307,474))</x:f>
        <x:v>0</x:v>
      </x:c>
      <x:c r="CG307" s="23" t="n">
        <x:f>MAX(0,MIN('Activities'!L307,486)-MAX('Activities'!K307,480))</x:f>
        <x:v>0</x:v>
      </x:c>
      <x:c r="CH307" s="23" t="n">
        <x:f>MAX(0,MIN('Activities'!L307,492)-MAX('Activities'!K307,486))</x:f>
        <x:v>0</x:v>
      </x:c>
      <x:c r="CI307" s="23" t="n">
        <x:f>MAX(0,MIN('Activities'!L307,498)-MAX('Activities'!K307,492))</x:f>
        <x:v>0</x:v>
      </x:c>
      <x:c r="CJ307" s="23" t="n">
        <x:f>MAX(0,MIN('Activities'!L307,504)-MAX('Activities'!K307,498))</x:f>
        <x:v>0</x:v>
      </x:c>
      <x:c r="CK307" s="23" t="n">
        <x:f>MAX(0,MIN('Activities'!L307,510)-MAX('Activities'!K307,504))</x:f>
        <x:v>0</x:v>
      </x:c>
      <x:c r="CL307" s="23" t="n">
        <x:f>MAX(0,MIN('Activities'!L307,516)-MAX('Activities'!K307,510))</x:f>
        <x:v>0</x:v>
      </x:c>
      <x:c r="CM307" s="23" t="n">
        <x:f>MAX(0,MIN('Activities'!L307,522)-MAX('Activities'!K307,516))</x:f>
        <x:v>0</x:v>
      </x:c>
      <x:c r="CN307" s="23" t="n">
        <x:f>MAX(0,MIN('Activities'!L307,528)-MAX('Activities'!K307,522))</x:f>
        <x:v>0</x:v>
      </x:c>
      <x:c r="CO307" s="23" t="n">
        <x:f>MAX(0,MIN('Activities'!L307,534)-MAX('Activities'!K307,528))</x:f>
        <x:v>0</x:v>
      </x:c>
      <x:c r="CP307" s="23" t="n">
        <x:f>MAX(0,MIN('Activities'!L307,540)-MAX('Activities'!K307,534))</x:f>
        <x:v>0</x:v>
      </x:c>
      <x:c r="CQ307" s="23" t="n">
        <x:f>MAX(0,MIN('Activities'!L307,546)-MAX('Activities'!K307,540))</x:f>
        <x:v>0</x:v>
      </x:c>
      <x:c r="CR307" s="23" t="n">
        <x:f>MAX(0,MIN('Activities'!L307,552)-MAX('Activities'!K307,546))</x:f>
        <x:v>0</x:v>
      </x:c>
      <x:c r="CS307" s="23" t="n">
        <x:f>MAX(0,MIN('Activities'!L307,558)-MAX('Activities'!K307,552))</x:f>
        <x:v>0</x:v>
      </x:c>
      <x:c r="CT307" s="23" t="n">
        <x:f>MAX(0,MIN('Activities'!L307,564)-MAX('Activities'!K307,558))</x:f>
        <x:v>0</x:v>
      </x:c>
      <x:c r="CU307" s="23" t="n">
        <x:f>MAX(0,MIN('Activities'!L307,570)-MAX('Activities'!K307,564))</x:f>
        <x:v>0</x:v>
      </x:c>
      <x:c r="CV307" s="23" t="n">
        <x:f>MAX(0,MIN('Activities'!L307,576)-MAX('Activities'!K307,570))</x:f>
        <x:v>0</x:v>
      </x:c>
      <x:c r="CW307" s="23" t="n">
        <x:f>MAX(0,MIN('Activities'!L307,582)-MAX('Activities'!K307,576))</x:f>
        <x:v>0</x:v>
      </x:c>
      <x:c r="CX307" s="23" t="n">
        <x:f>MAX(0,MIN('Activities'!L307,588)-MAX('Activities'!K307,582))</x:f>
        <x:v>0</x:v>
      </x:c>
      <x:c r="CY307" s="23" t="n">
        <x:f>MAX(0,MIN('Activities'!L307,594)-MAX('Activities'!K307,588))</x:f>
        <x:v>0</x:v>
      </x:c>
      <x:c r="CZ307" s="23" t="n">
        <x:f>MAX(0,MIN('Activities'!L307,600)-MAX('Activities'!K307,594))</x:f>
        <x:v>0</x:v>
      </x:c>
      <x:c r="DA307" s="23" t="n">
        <x:f>MAX(0,MIN('Activities'!L307,606)-MAX('Activities'!K307,600))</x:f>
        <x:v>0</x:v>
      </x:c>
      <x:c r="DB307" s="23" t="n">
        <x:f>MAX(0,MIN('Activities'!L307,612)-MAX('Activities'!K307,606))</x:f>
        <x:v>0</x:v>
      </x:c>
      <x:c r="DC307" s="23" t="n">
        <x:f>MAX(0,MIN('Activities'!L307,618)-MAX('Activities'!K307,612))</x:f>
        <x:v>0</x:v>
      </x:c>
      <x:c r="DD307" s="23" t="n">
        <x:f>MAX(0,MIN('Activities'!L307,624)-MAX('Activities'!K307,618))</x:f>
        <x:v>0</x:v>
      </x:c>
      <x:c r="DE307" s="23" t="n">
        <x:f>MAX(0,MIN('Activities'!L307,630)-MAX('Activities'!K307,624))</x:f>
        <x:v>0</x:v>
      </x:c>
      <x:c r="DF307" s="23" t="n">
        <x:f>MAX(0,MIN('Activities'!L307,636)-MAX('Activities'!K307,630))</x:f>
        <x:v>0</x:v>
      </x:c>
    </x:row>
    <x:row r="308" ht="23" customHeight="1">
      <x:c r="A308" s="6" t="str">
        <x:v>T3-L06-C</x:v>
      </x:c>
      <x:c r="B308" s="6" t="str">
        <x:v>T3</x:v>
      </x:c>
      <x:c r="C308" s="6" t="str">
        <x:v>Concrete placement and finishing</x:v>
      </x:c>
      <x:c r="D308" s="6" t="str">
        <x:v>Concrete</x:v>
      </x:c>
      <x:c r="E308" s="22" t="n">
        <x:f>MAX(0,MIN('Activities'!L308,6)-MAX('Activities'!K308,0))</x:f>
        <x:v>0</x:v>
      </x:c>
      <x:c r="F308" s="22" t="n">
        <x:f>MAX(0,MIN('Activities'!L308,12)-MAX('Activities'!K308,6))</x:f>
        <x:v>0</x:v>
      </x:c>
      <x:c r="G308" s="22" t="n">
        <x:f>MAX(0,MIN('Activities'!L308,18)-MAX('Activities'!K308,12))</x:f>
        <x:v>0</x:v>
      </x:c>
      <x:c r="H308" s="22" t="n">
        <x:f>MAX(0,MIN('Activities'!L308,24)-MAX('Activities'!K308,18))</x:f>
        <x:v>0</x:v>
      </x:c>
      <x:c r="I308" s="22" t="n">
        <x:f>MAX(0,MIN('Activities'!L308,30)-MAX('Activities'!K308,24))</x:f>
        <x:v>0</x:v>
      </x:c>
      <x:c r="J308" s="22" t="n">
        <x:f>MAX(0,MIN('Activities'!L308,36)-MAX('Activities'!K308,30))</x:f>
        <x:v>0</x:v>
      </x:c>
      <x:c r="K308" s="22" t="n">
        <x:f>MAX(0,MIN('Activities'!L308,42)-MAX('Activities'!K308,36))</x:f>
        <x:v>0</x:v>
      </x:c>
      <x:c r="L308" s="22" t="n">
        <x:f>MAX(0,MIN('Activities'!L308,48)-MAX('Activities'!K308,42))</x:f>
        <x:v>0</x:v>
      </x:c>
      <x:c r="M308" s="22" t="n">
        <x:f>MAX(0,MIN('Activities'!L308,54)-MAX('Activities'!K308,48))</x:f>
        <x:v>0</x:v>
      </x:c>
      <x:c r="N308" s="22" t="n">
        <x:f>MAX(0,MIN('Activities'!L308,60)-MAX('Activities'!K308,54))</x:f>
        <x:v>0</x:v>
      </x:c>
      <x:c r="O308" s="22" t="n">
        <x:f>MAX(0,MIN('Activities'!L308,66)-MAX('Activities'!K308,60))</x:f>
        <x:v>0</x:v>
      </x:c>
      <x:c r="P308" s="22" t="n">
        <x:f>MAX(0,MIN('Activities'!L308,72)-MAX('Activities'!K308,66))</x:f>
        <x:v>0</x:v>
      </x:c>
      <x:c r="Q308" s="22" t="n">
        <x:f>MAX(0,MIN('Activities'!L308,78)-MAX('Activities'!K308,72))</x:f>
        <x:v>0</x:v>
      </x:c>
      <x:c r="R308" s="22" t="n">
        <x:f>MAX(0,MIN('Activities'!L308,84)-MAX('Activities'!K308,78))</x:f>
        <x:v>0</x:v>
      </x:c>
      <x:c r="S308" s="22" t="n">
        <x:f>MAX(0,MIN('Activities'!L308,90)-MAX('Activities'!K308,84))</x:f>
        <x:v>0</x:v>
      </x:c>
      <x:c r="T308" s="22" t="n">
        <x:f>MAX(0,MIN('Activities'!L308,96)-MAX('Activities'!K308,90))</x:f>
        <x:v>0</x:v>
      </x:c>
      <x:c r="U308" s="22" t="n">
        <x:f>MAX(0,MIN('Activities'!L308,102)-MAX('Activities'!K308,96))</x:f>
        <x:v>0</x:v>
      </x:c>
      <x:c r="V308" s="22" t="n">
        <x:f>MAX(0,MIN('Activities'!L308,108)-MAX('Activities'!K308,102))</x:f>
        <x:v>0</x:v>
      </x:c>
      <x:c r="W308" s="22" t="n">
        <x:f>MAX(0,MIN('Activities'!L308,114)-MAX('Activities'!K308,108))</x:f>
        <x:v>0</x:v>
      </x:c>
      <x:c r="X308" s="22" t="n">
        <x:f>MAX(0,MIN('Activities'!L308,120)-MAX('Activities'!K308,114))</x:f>
        <x:v>0</x:v>
      </x:c>
      <x:c r="Y308" s="22" t="n">
        <x:f>MAX(0,MIN('Activities'!L308,126)-MAX('Activities'!K308,120))</x:f>
        <x:v>0</x:v>
      </x:c>
      <x:c r="Z308" s="22" t="n">
        <x:f>MAX(0,MIN('Activities'!L308,132)-MAX('Activities'!K308,126))</x:f>
        <x:v>0</x:v>
      </x:c>
      <x:c r="AA308" s="22" t="n">
        <x:f>MAX(0,MIN('Activities'!L308,138)-MAX('Activities'!K308,132))</x:f>
        <x:v>0</x:v>
      </x:c>
      <x:c r="AB308" s="22" t="n">
        <x:f>MAX(0,MIN('Activities'!L308,144)-MAX('Activities'!K308,138))</x:f>
        <x:v>0</x:v>
      </x:c>
      <x:c r="AC308" s="22" t="n">
        <x:f>MAX(0,MIN('Activities'!L308,150)-MAX('Activities'!K308,144))</x:f>
        <x:v>0</x:v>
      </x:c>
      <x:c r="AD308" s="22" t="n">
        <x:f>MAX(0,MIN('Activities'!L308,156)-MAX('Activities'!K308,150))</x:f>
        <x:v>0</x:v>
      </x:c>
      <x:c r="AE308" s="22" t="n">
        <x:f>MAX(0,MIN('Activities'!L308,162)-MAX('Activities'!K308,156))</x:f>
        <x:v>0</x:v>
      </x:c>
      <x:c r="AF308" s="22" t="n">
        <x:f>MAX(0,MIN('Activities'!L308,168)-MAX('Activities'!K308,162))</x:f>
        <x:v>0</x:v>
      </x:c>
      <x:c r="AG308" s="22" t="n">
        <x:f>MAX(0,MIN('Activities'!L308,174)-MAX('Activities'!K308,168))</x:f>
        <x:v>0</x:v>
      </x:c>
      <x:c r="AH308" s="22" t="n">
        <x:f>MAX(0,MIN('Activities'!L308,180)-MAX('Activities'!K308,174))</x:f>
        <x:v>0</x:v>
      </x:c>
      <x:c r="AI308" s="22" t="n">
        <x:f>MAX(0,MIN('Activities'!L308,186)-MAX('Activities'!K308,180))</x:f>
        <x:v>0</x:v>
      </x:c>
      <x:c r="AJ308" s="22" t="n">
        <x:f>MAX(0,MIN('Activities'!L308,192)-MAX('Activities'!K308,186))</x:f>
        <x:v>0</x:v>
      </x:c>
      <x:c r="AK308" s="22" t="n">
        <x:f>MAX(0,MIN('Activities'!L308,198)-MAX('Activities'!K308,192))</x:f>
        <x:v>0</x:v>
      </x:c>
      <x:c r="AL308" s="22" t="n">
        <x:f>MAX(0,MIN('Activities'!L308,204)-MAX('Activities'!K308,198))</x:f>
        <x:v>0</x:v>
      </x:c>
      <x:c r="AM308" s="22" t="n">
        <x:f>MAX(0,MIN('Activities'!L308,210)-MAX('Activities'!K308,204))</x:f>
        <x:v>0</x:v>
      </x:c>
      <x:c r="AN308" s="22" t="n">
        <x:f>MAX(0,MIN('Activities'!L308,216)-MAX('Activities'!K308,210))</x:f>
        <x:v>0</x:v>
      </x:c>
      <x:c r="AO308" s="22" t="n">
        <x:f>MAX(0,MIN('Activities'!L308,222)-MAX('Activities'!K308,216))</x:f>
        <x:v>0</x:v>
      </x:c>
      <x:c r="AP308" s="22" t="n">
        <x:f>MAX(0,MIN('Activities'!L308,228)-MAX('Activities'!K308,222))</x:f>
        <x:v>0</x:v>
      </x:c>
      <x:c r="AQ308" s="22" t="n">
        <x:f>MAX(0,MIN('Activities'!L308,234)-MAX('Activities'!K308,228))</x:f>
        <x:v>0</x:v>
      </x:c>
      <x:c r="AR308" s="22" t="n">
        <x:f>MAX(0,MIN('Activities'!L308,240)-MAX('Activities'!K308,234))</x:f>
        <x:v>0</x:v>
      </x:c>
      <x:c r="AS308" s="22" t="n">
        <x:f>MAX(0,MIN('Activities'!L308,246)-MAX('Activities'!K308,240))</x:f>
        <x:v>0</x:v>
      </x:c>
      <x:c r="AT308" s="22" t="n">
        <x:f>MAX(0,MIN('Activities'!L308,252)-MAX('Activities'!K308,246))</x:f>
        <x:v>0</x:v>
      </x:c>
      <x:c r="AU308" s="22" t="n">
        <x:f>MAX(0,MIN('Activities'!L308,258)-MAX('Activities'!K308,252))</x:f>
        <x:v>0</x:v>
      </x:c>
      <x:c r="AV308" s="22" t="n">
        <x:f>MAX(0,MIN('Activities'!L308,264)-MAX('Activities'!K308,258))</x:f>
        <x:v>0</x:v>
      </x:c>
      <x:c r="AW308" s="22" t="n">
        <x:f>MAX(0,MIN('Activities'!L308,270)-MAX('Activities'!K308,264))</x:f>
        <x:v>0</x:v>
      </x:c>
      <x:c r="AX308" s="22" t="n">
        <x:f>MAX(0,MIN('Activities'!L308,276)-MAX('Activities'!K308,270))</x:f>
        <x:v>0</x:v>
      </x:c>
      <x:c r="AY308" s="22" t="n">
        <x:f>MAX(0,MIN('Activities'!L308,282)-MAX('Activities'!K308,276))</x:f>
        <x:v>2</x:v>
      </x:c>
      <x:c r="AZ308" s="22" t="n">
        <x:f>MAX(0,MIN('Activities'!L308,288)-MAX('Activities'!K308,282))</x:f>
        <x:v>0</x:v>
      </x:c>
      <x:c r="BA308" s="22" t="n">
        <x:f>MAX(0,MIN('Activities'!L308,294)-MAX('Activities'!K308,288))</x:f>
        <x:v>0</x:v>
      </x:c>
      <x:c r="BB308" s="22" t="n">
        <x:f>MAX(0,MIN('Activities'!L308,300)-MAX('Activities'!K308,294))</x:f>
        <x:v>0</x:v>
      </x:c>
      <x:c r="BC308" s="22" t="n">
        <x:f>MAX(0,MIN('Activities'!L308,306)-MAX('Activities'!K308,300))</x:f>
        <x:v>0</x:v>
      </x:c>
      <x:c r="BD308" s="22" t="n">
        <x:f>MAX(0,MIN('Activities'!L308,312)-MAX('Activities'!K308,306))</x:f>
        <x:v>0</x:v>
      </x:c>
      <x:c r="BE308" s="22" t="n">
        <x:f>MAX(0,MIN('Activities'!L308,318)-MAX('Activities'!K308,312))</x:f>
        <x:v>0</x:v>
      </x:c>
      <x:c r="BF308" s="22" t="n">
        <x:f>MAX(0,MIN('Activities'!L308,324)-MAX('Activities'!K308,318))</x:f>
        <x:v>0</x:v>
      </x:c>
      <x:c r="BG308" s="22" t="n">
        <x:f>MAX(0,MIN('Activities'!L308,330)-MAX('Activities'!K308,324))</x:f>
        <x:v>0</x:v>
      </x:c>
      <x:c r="BH308" s="22" t="n">
        <x:f>MAX(0,MIN('Activities'!L308,336)-MAX('Activities'!K308,330))</x:f>
        <x:v>0</x:v>
      </x:c>
      <x:c r="BI308" s="22" t="n">
        <x:f>MAX(0,MIN('Activities'!L308,342)-MAX('Activities'!K308,336))</x:f>
        <x:v>0</x:v>
      </x:c>
      <x:c r="BJ308" s="22" t="n">
        <x:f>MAX(0,MIN('Activities'!L308,348)-MAX('Activities'!K308,342))</x:f>
        <x:v>0</x:v>
      </x:c>
      <x:c r="BK308" s="22" t="n">
        <x:f>MAX(0,MIN('Activities'!L308,354)-MAX('Activities'!K308,348))</x:f>
        <x:v>0</x:v>
      </x:c>
      <x:c r="BL308" s="22" t="n">
        <x:f>MAX(0,MIN('Activities'!L308,360)-MAX('Activities'!K308,354))</x:f>
        <x:v>0</x:v>
      </x:c>
      <x:c r="BM308" s="22" t="n">
        <x:f>MAX(0,MIN('Activities'!L308,366)-MAX('Activities'!K308,360))</x:f>
        <x:v>0</x:v>
      </x:c>
      <x:c r="BN308" s="22" t="n">
        <x:f>MAX(0,MIN('Activities'!L308,372)-MAX('Activities'!K308,366))</x:f>
        <x:v>0</x:v>
      </x:c>
      <x:c r="BO308" s="22" t="n">
        <x:f>MAX(0,MIN('Activities'!L308,378)-MAX('Activities'!K308,372))</x:f>
        <x:v>0</x:v>
      </x:c>
      <x:c r="BP308" s="22" t="n">
        <x:f>MAX(0,MIN('Activities'!L308,384)-MAX('Activities'!K308,378))</x:f>
        <x:v>0</x:v>
      </x:c>
      <x:c r="BQ308" s="22" t="n">
        <x:f>MAX(0,MIN('Activities'!L308,390)-MAX('Activities'!K308,384))</x:f>
        <x:v>0</x:v>
      </x:c>
      <x:c r="BR308" s="22" t="n">
        <x:f>MAX(0,MIN('Activities'!L308,396)-MAX('Activities'!K308,390))</x:f>
        <x:v>0</x:v>
      </x:c>
      <x:c r="BS308" s="22" t="n">
        <x:f>MAX(0,MIN('Activities'!L308,402)-MAX('Activities'!K308,396))</x:f>
        <x:v>0</x:v>
      </x:c>
      <x:c r="BT308" s="22" t="n">
        <x:f>MAX(0,MIN('Activities'!L308,408)-MAX('Activities'!K308,402))</x:f>
        <x:v>0</x:v>
      </x:c>
      <x:c r="BU308" s="22" t="n">
        <x:f>MAX(0,MIN('Activities'!L308,414)-MAX('Activities'!K308,408))</x:f>
        <x:v>0</x:v>
      </x:c>
      <x:c r="BV308" s="22" t="n">
        <x:f>MAX(0,MIN('Activities'!L308,420)-MAX('Activities'!K308,414))</x:f>
        <x:v>0</x:v>
      </x:c>
      <x:c r="BW308" s="22" t="n">
        <x:f>MAX(0,MIN('Activities'!L308,426)-MAX('Activities'!K308,420))</x:f>
        <x:v>0</x:v>
      </x:c>
      <x:c r="BX308" s="22" t="n">
        <x:f>MAX(0,MIN('Activities'!L308,432)-MAX('Activities'!K308,426))</x:f>
        <x:v>0</x:v>
      </x:c>
      <x:c r="BY308" s="22" t="n">
        <x:f>MAX(0,MIN('Activities'!L308,438)-MAX('Activities'!K308,432))</x:f>
        <x:v>0</x:v>
      </x:c>
      <x:c r="BZ308" s="22" t="n">
        <x:f>MAX(0,MIN('Activities'!L308,444)-MAX('Activities'!K308,438))</x:f>
        <x:v>0</x:v>
      </x:c>
      <x:c r="CA308" s="22" t="n">
        <x:f>MAX(0,MIN('Activities'!L308,450)-MAX('Activities'!K308,444))</x:f>
        <x:v>0</x:v>
      </x:c>
      <x:c r="CB308" s="22" t="n">
        <x:f>MAX(0,MIN('Activities'!L308,456)-MAX('Activities'!K308,450))</x:f>
        <x:v>0</x:v>
      </x:c>
      <x:c r="CC308" s="22" t="n">
        <x:f>MAX(0,MIN('Activities'!L308,462)-MAX('Activities'!K308,456))</x:f>
        <x:v>0</x:v>
      </x:c>
      <x:c r="CD308" s="22" t="n">
        <x:f>MAX(0,MIN('Activities'!L308,468)-MAX('Activities'!K308,462))</x:f>
        <x:v>0</x:v>
      </x:c>
      <x:c r="CE308" s="22" t="n">
        <x:f>MAX(0,MIN('Activities'!L308,474)-MAX('Activities'!K308,468))</x:f>
        <x:v>0</x:v>
      </x:c>
      <x:c r="CF308" s="22" t="n">
        <x:f>MAX(0,MIN('Activities'!L308,480)-MAX('Activities'!K308,474))</x:f>
        <x:v>0</x:v>
      </x:c>
      <x:c r="CG308" s="22" t="n">
        <x:f>MAX(0,MIN('Activities'!L308,486)-MAX('Activities'!K308,480))</x:f>
        <x:v>0</x:v>
      </x:c>
      <x:c r="CH308" s="22" t="n">
        <x:f>MAX(0,MIN('Activities'!L308,492)-MAX('Activities'!K308,486))</x:f>
        <x:v>0</x:v>
      </x:c>
      <x:c r="CI308" s="22" t="n">
        <x:f>MAX(0,MIN('Activities'!L308,498)-MAX('Activities'!K308,492))</x:f>
        <x:v>0</x:v>
      </x:c>
      <x:c r="CJ308" s="22" t="n">
        <x:f>MAX(0,MIN('Activities'!L308,504)-MAX('Activities'!K308,498))</x:f>
        <x:v>0</x:v>
      </x:c>
      <x:c r="CK308" s="22" t="n">
        <x:f>MAX(0,MIN('Activities'!L308,510)-MAX('Activities'!K308,504))</x:f>
        <x:v>0</x:v>
      </x:c>
      <x:c r="CL308" s="22" t="n">
        <x:f>MAX(0,MIN('Activities'!L308,516)-MAX('Activities'!K308,510))</x:f>
        <x:v>0</x:v>
      </x:c>
      <x:c r="CM308" s="22" t="n">
        <x:f>MAX(0,MIN('Activities'!L308,522)-MAX('Activities'!K308,516))</x:f>
        <x:v>0</x:v>
      </x:c>
      <x:c r="CN308" s="22" t="n">
        <x:f>MAX(0,MIN('Activities'!L308,528)-MAX('Activities'!K308,522))</x:f>
        <x:v>0</x:v>
      </x:c>
      <x:c r="CO308" s="22" t="n">
        <x:f>MAX(0,MIN('Activities'!L308,534)-MAX('Activities'!K308,528))</x:f>
        <x:v>0</x:v>
      </x:c>
      <x:c r="CP308" s="22" t="n">
        <x:f>MAX(0,MIN('Activities'!L308,540)-MAX('Activities'!K308,534))</x:f>
        <x:v>0</x:v>
      </x:c>
      <x:c r="CQ308" s="22" t="n">
        <x:f>MAX(0,MIN('Activities'!L308,546)-MAX('Activities'!K308,540))</x:f>
        <x:v>0</x:v>
      </x:c>
      <x:c r="CR308" s="22" t="n">
        <x:f>MAX(0,MIN('Activities'!L308,552)-MAX('Activities'!K308,546))</x:f>
        <x:v>0</x:v>
      </x:c>
      <x:c r="CS308" s="22" t="n">
        <x:f>MAX(0,MIN('Activities'!L308,558)-MAX('Activities'!K308,552))</x:f>
        <x:v>0</x:v>
      </x:c>
      <x:c r="CT308" s="22" t="n">
        <x:f>MAX(0,MIN('Activities'!L308,564)-MAX('Activities'!K308,558))</x:f>
        <x:v>0</x:v>
      </x:c>
      <x:c r="CU308" s="22" t="n">
        <x:f>MAX(0,MIN('Activities'!L308,570)-MAX('Activities'!K308,564))</x:f>
        <x:v>0</x:v>
      </x:c>
      <x:c r="CV308" s="22" t="n">
        <x:f>MAX(0,MIN('Activities'!L308,576)-MAX('Activities'!K308,570))</x:f>
        <x:v>0</x:v>
      </x:c>
      <x:c r="CW308" s="22" t="n">
        <x:f>MAX(0,MIN('Activities'!L308,582)-MAX('Activities'!K308,576))</x:f>
        <x:v>0</x:v>
      </x:c>
      <x:c r="CX308" s="22" t="n">
        <x:f>MAX(0,MIN('Activities'!L308,588)-MAX('Activities'!K308,582))</x:f>
        <x:v>0</x:v>
      </x:c>
      <x:c r="CY308" s="22" t="n">
        <x:f>MAX(0,MIN('Activities'!L308,594)-MAX('Activities'!K308,588))</x:f>
        <x:v>0</x:v>
      </x:c>
      <x:c r="CZ308" s="22" t="n">
        <x:f>MAX(0,MIN('Activities'!L308,600)-MAX('Activities'!K308,594))</x:f>
        <x:v>0</x:v>
      </x:c>
      <x:c r="DA308" s="22" t="n">
        <x:f>MAX(0,MIN('Activities'!L308,606)-MAX('Activities'!K308,600))</x:f>
        <x:v>0</x:v>
      </x:c>
      <x:c r="DB308" s="22" t="n">
        <x:f>MAX(0,MIN('Activities'!L308,612)-MAX('Activities'!K308,606))</x:f>
        <x:v>0</x:v>
      </x:c>
      <x:c r="DC308" s="22" t="n">
        <x:f>MAX(0,MIN('Activities'!L308,618)-MAX('Activities'!K308,612))</x:f>
        <x:v>0</x:v>
      </x:c>
      <x:c r="DD308" s="22" t="n">
        <x:f>MAX(0,MIN('Activities'!L308,624)-MAX('Activities'!K308,618))</x:f>
        <x:v>0</x:v>
      </x:c>
      <x:c r="DE308" s="22" t="n">
        <x:f>MAX(0,MIN('Activities'!L308,630)-MAX('Activities'!K308,624))</x:f>
        <x:v>0</x:v>
      </x:c>
      <x:c r="DF308" s="22" t="n">
        <x:f>MAX(0,MIN('Activities'!L308,636)-MAX('Activities'!K308,630))</x:f>
        <x:v>0</x:v>
      </x:c>
    </x:row>
    <x:row r="309" ht="23" customHeight="1">
      <x:c r="A309" s="1" t="str">
        <x:v>T3-L06-H</x:v>
      </x:c>
      <x:c r="B309" s="1" t="str">
        <x:v>T3</x:v>
      </x:c>
      <x:c r="C309" s="1" t="str">
        <x:v>Curing and release hold point</x:v>
      </x:c>
      <x:c r="D309" s="1" t="str">
        <x:v>Site</x:v>
      </x:c>
      <x:c r="E309" s="23" t="n">
        <x:f>MAX(0,MIN('Activities'!L309,6)-MAX('Activities'!K309,0))</x:f>
        <x:v>0</x:v>
      </x:c>
      <x:c r="F309" s="23" t="n">
        <x:f>MAX(0,MIN('Activities'!L309,12)-MAX('Activities'!K309,6))</x:f>
        <x:v>0</x:v>
      </x:c>
      <x:c r="G309" s="23" t="n">
        <x:f>MAX(0,MIN('Activities'!L309,18)-MAX('Activities'!K309,12))</x:f>
        <x:v>0</x:v>
      </x:c>
      <x:c r="H309" s="23" t="n">
        <x:f>MAX(0,MIN('Activities'!L309,24)-MAX('Activities'!K309,18))</x:f>
        <x:v>0</x:v>
      </x:c>
      <x:c r="I309" s="23" t="n">
        <x:f>MAX(0,MIN('Activities'!L309,30)-MAX('Activities'!K309,24))</x:f>
        <x:v>0</x:v>
      </x:c>
      <x:c r="J309" s="23" t="n">
        <x:f>MAX(0,MIN('Activities'!L309,36)-MAX('Activities'!K309,30))</x:f>
        <x:v>0</x:v>
      </x:c>
      <x:c r="K309" s="23" t="n">
        <x:f>MAX(0,MIN('Activities'!L309,42)-MAX('Activities'!K309,36))</x:f>
        <x:v>0</x:v>
      </x:c>
      <x:c r="L309" s="23" t="n">
        <x:f>MAX(0,MIN('Activities'!L309,48)-MAX('Activities'!K309,42))</x:f>
        <x:v>0</x:v>
      </x:c>
      <x:c r="M309" s="23" t="n">
        <x:f>MAX(0,MIN('Activities'!L309,54)-MAX('Activities'!K309,48))</x:f>
        <x:v>0</x:v>
      </x:c>
      <x:c r="N309" s="23" t="n">
        <x:f>MAX(0,MIN('Activities'!L309,60)-MAX('Activities'!K309,54))</x:f>
        <x:v>0</x:v>
      </x:c>
      <x:c r="O309" s="23" t="n">
        <x:f>MAX(0,MIN('Activities'!L309,66)-MAX('Activities'!K309,60))</x:f>
        <x:v>0</x:v>
      </x:c>
      <x:c r="P309" s="23" t="n">
        <x:f>MAX(0,MIN('Activities'!L309,72)-MAX('Activities'!K309,66))</x:f>
        <x:v>0</x:v>
      </x:c>
      <x:c r="Q309" s="23" t="n">
        <x:f>MAX(0,MIN('Activities'!L309,78)-MAX('Activities'!K309,72))</x:f>
        <x:v>0</x:v>
      </x:c>
      <x:c r="R309" s="23" t="n">
        <x:f>MAX(0,MIN('Activities'!L309,84)-MAX('Activities'!K309,78))</x:f>
        <x:v>0</x:v>
      </x:c>
      <x:c r="S309" s="23" t="n">
        <x:f>MAX(0,MIN('Activities'!L309,90)-MAX('Activities'!K309,84))</x:f>
        <x:v>0</x:v>
      </x:c>
      <x:c r="T309" s="23" t="n">
        <x:f>MAX(0,MIN('Activities'!L309,96)-MAX('Activities'!K309,90))</x:f>
        <x:v>0</x:v>
      </x:c>
      <x:c r="U309" s="23" t="n">
        <x:f>MAX(0,MIN('Activities'!L309,102)-MAX('Activities'!K309,96))</x:f>
        <x:v>0</x:v>
      </x:c>
      <x:c r="V309" s="23" t="n">
        <x:f>MAX(0,MIN('Activities'!L309,108)-MAX('Activities'!K309,102))</x:f>
        <x:v>0</x:v>
      </x:c>
      <x:c r="W309" s="23" t="n">
        <x:f>MAX(0,MIN('Activities'!L309,114)-MAX('Activities'!K309,108))</x:f>
        <x:v>0</x:v>
      </x:c>
      <x:c r="X309" s="23" t="n">
        <x:f>MAX(0,MIN('Activities'!L309,120)-MAX('Activities'!K309,114))</x:f>
        <x:v>0</x:v>
      </x:c>
      <x:c r="Y309" s="23" t="n">
        <x:f>MAX(0,MIN('Activities'!L309,126)-MAX('Activities'!K309,120))</x:f>
        <x:v>0</x:v>
      </x:c>
      <x:c r="Z309" s="23" t="n">
        <x:f>MAX(0,MIN('Activities'!L309,132)-MAX('Activities'!K309,126))</x:f>
        <x:v>0</x:v>
      </x:c>
      <x:c r="AA309" s="23" t="n">
        <x:f>MAX(0,MIN('Activities'!L309,138)-MAX('Activities'!K309,132))</x:f>
        <x:v>0</x:v>
      </x:c>
      <x:c r="AB309" s="23" t="n">
        <x:f>MAX(0,MIN('Activities'!L309,144)-MAX('Activities'!K309,138))</x:f>
        <x:v>0</x:v>
      </x:c>
      <x:c r="AC309" s="23" t="n">
        <x:f>MAX(0,MIN('Activities'!L309,150)-MAX('Activities'!K309,144))</x:f>
        <x:v>0</x:v>
      </x:c>
      <x:c r="AD309" s="23" t="n">
        <x:f>MAX(0,MIN('Activities'!L309,156)-MAX('Activities'!K309,150))</x:f>
        <x:v>0</x:v>
      </x:c>
      <x:c r="AE309" s="23" t="n">
        <x:f>MAX(0,MIN('Activities'!L309,162)-MAX('Activities'!K309,156))</x:f>
        <x:v>0</x:v>
      </x:c>
      <x:c r="AF309" s="23" t="n">
        <x:f>MAX(0,MIN('Activities'!L309,168)-MAX('Activities'!K309,162))</x:f>
        <x:v>0</x:v>
      </x:c>
      <x:c r="AG309" s="23" t="n">
        <x:f>MAX(0,MIN('Activities'!L309,174)-MAX('Activities'!K309,168))</x:f>
        <x:v>0</x:v>
      </x:c>
      <x:c r="AH309" s="23" t="n">
        <x:f>MAX(0,MIN('Activities'!L309,180)-MAX('Activities'!K309,174))</x:f>
        <x:v>0</x:v>
      </x:c>
      <x:c r="AI309" s="23" t="n">
        <x:f>MAX(0,MIN('Activities'!L309,186)-MAX('Activities'!K309,180))</x:f>
        <x:v>0</x:v>
      </x:c>
      <x:c r="AJ309" s="23" t="n">
        <x:f>MAX(0,MIN('Activities'!L309,192)-MAX('Activities'!K309,186))</x:f>
        <x:v>0</x:v>
      </x:c>
      <x:c r="AK309" s="23" t="n">
        <x:f>MAX(0,MIN('Activities'!L309,198)-MAX('Activities'!K309,192))</x:f>
        <x:v>0</x:v>
      </x:c>
      <x:c r="AL309" s="23" t="n">
        <x:f>MAX(0,MIN('Activities'!L309,204)-MAX('Activities'!K309,198))</x:f>
        <x:v>0</x:v>
      </x:c>
      <x:c r="AM309" s="23" t="n">
        <x:f>MAX(0,MIN('Activities'!L309,210)-MAX('Activities'!K309,204))</x:f>
        <x:v>0</x:v>
      </x:c>
      <x:c r="AN309" s="23" t="n">
        <x:f>MAX(0,MIN('Activities'!L309,216)-MAX('Activities'!K309,210))</x:f>
        <x:v>0</x:v>
      </x:c>
      <x:c r="AO309" s="23" t="n">
        <x:f>MAX(0,MIN('Activities'!L309,222)-MAX('Activities'!K309,216))</x:f>
        <x:v>0</x:v>
      </x:c>
      <x:c r="AP309" s="23" t="n">
        <x:f>MAX(0,MIN('Activities'!L309,228)-MAX('Activities'!K309,222))</x:f>
        <x:v>0</x:v>
      </x:c>
      <x:c r="AQ309" s="23" t="n">
        <x:f>MAX(0,MIN('Activities'!L309,234)-MAX('Activities'!K309,228))</x:f>
        <x:v>0</x:v>
      </x:c>
      <x:c r="AR309" s="23" t="n">
        <x:f>MAX(0,MIN('Activities'!L309,240)-MAX('Activities'!K309,234))</x:f>
        <x:v>0</x:v>
      </x:c>
      <x:c r="AS309" s="23" t="n">
        <x:f>MAX(0,MIN('Activities'!L309,246)-MAX('Activities'!K309,240))</x:f>
        <x:v>0</x:v>
      </x:c>
      <x:c r="AT309" s="23" t="n">
        <x:f>MAX(0,MIN('Activities'!L309,252)-MAX('Activities'!K309,246))</x:f>
        <x:v>0</x:v>
      </x:c>
      <x:c r="AU309" s="23" t="n">
        <x:f>MAX(0,MIN('Activities'!L309,258)-MAX('Activities'!K309,252))</x:f>
        <x:v>0</x:v>
      </x:c>
      <x:c r="AV309" s="23" t="n">
        <x:f>MAX(0,MIN('Activities'!L309,264)-MAX('Activities'!K309,258))</x:f>
        <x:v>0</x:v>
      </x:c>
      <x:c r="AW309" s="23" t="n">
        <x:f>MAX(0,MIN('Activities'!L309,270)-MAX('Activities'!K309,264))</x:f>
        <x:v>0</x:v>
      </x:c>
      <x:c r="AX309" s="23" t="n">
        <x:f>MAX(0,MIN('Activities'!L309,276)-MAX('Activities'!K309,270))</x:f>
        <x:v>0</x:v>
      </x:c>
      <x:c r="AY309" s="23" t="n">
        <x:f>MAX(0,MIN('Activities'!L309,282)-MAX('Activities'!K309,276))</x:f>
        <x:v>3</x:v>
      </x:c>
      <x:c r="AZ309" s="23" t="n">
        <x:f>MAX(0,MIN('Activities'!L309,288)-MAX('Activities'!K309,282))</x:f>
        <x:v>2</x:v>
      </x:c>
      <x:c r="BA309" s="23" t="n">
        <x:f>MAX(0,MIN('Activities'!L309,294)-MAX('Activities'!K309,288))</x:f>
        <x:v>0</x:v>
      </x:c>
      <x:c r="BB309" s="23" t="n">
        <x:f>MAX(0,MIN('Activities'!L309,300)-MAX('Activities'!K309,294))</x:f>
        <x:v>0</x:v>
      </x:c>
      <x:c r="BC309" s="23" t="n">
        <x:f>MAX(0,MIN('Activities'!L309,306)-MAX('Activities'!K309,300))</x:f>
        <x:v>0</x:v>
      </x:c>
      <x:c r="BD309" s="23" t="n">
        <x:f>MAX(0,MIN('Activities'!L309,312)-MAX('Activities'!K309,306))</x:f>
        <x:v>0</x:v>
      </x:c>
      <x:c r="BE309" s="23" t="n">
        <x:f>MAX(0,MIN('Activities'!L309,318)-MAX('Activities'!K309,312))</x:f>
        <x:v>0</x:v>
      </x:c>
      <x:c r="BF309" s="23" t="n">
        <x:f>MAX(0,MIN('Activities'!L309,324)-MAX('Activities'!K309,318))</x:f>
        <x:v>0</x:v>
      </x:c>
      <x:c r="BG309" s="23" t="n">
        <x:f>MAX(0,MIN('Activities'!L309,330)-MAX('Activities'!K309,324))</x:f>
        <x:v>0</x:v>
      </x:c>
      <x:c r="BH309" s="23" t="n">
        <x:f>MAX(0,MIN('Activities'!L309,336)-MAX('Activities'!K309,330))</x:f>
        <x:v>0</x:v>
      </x:c>
      <x:c r="BI309" s="23" t="n">
        <x:f>MAX(0,MIN('Activities'!L309,342)-MAX('Activities'!K309,336))</x:f>
        <x:v>0</x:v>
      </x:c>
      <x:c r="BJ309" s="23" t="n">
        <x:f>MAX(0,MIN('Activities'!L309,348)-MAX('Activities'!K309,342))</x:f>
        <x:v>0</x:v>
      </x:c>
      <x:c r="BK309" s="23" t="n">
        <x:f>MAX(0,MIN('Activities'!L309,354)-MAX('Activities'!K309,348))</x:f>
        <x:v>0</x:v>
      </x:c>
      <x:c r="BL309" s="23" t="n">
        <x:f>MAX(0,MIN('Activities'!L309,360)-MAX('Activities'!K309,354))</x:f>
        <x:v>0</x:v>
      </x:c>
      <x:c r="BM309" s="23" t="n">
        <x:f>MAX(0,MIN('Activities'!L309,366)-MAX('Activities'!K309,360))</x:f>
        <x:v>0</x:v>
      </x:c>
      <x:c r="BN309" s="23" t="n">
        <x:f>MAX(0,MIN('Activities'!L309,372)-MAX('Activities'!K309,366))</x:f>
        <x:v>0</x:v>
      </x:c>
      <x:c r="BO309" s="23" t="n">
        <x:f>MAX(0,MIN('Activities'!L309,378)-MAX('Activities'!K309,372))</x:f>
        <x:v>0</x:v>
      </x:c>
      <x:c r="BP309" s="23" t="n">
        <x:f>MAX(0,MIN('Activities'!L309,384)-MAX('Activities'!K309,378))</x:f>
        <x:v>0</x:v>
      </x:c>
      <x:c r="BQ309" s="23" t="n">
        <x:f>MAX(0,MIN('Activities'!L309,390)-MAX('Activities'!K309,384))</x:f>
        <x:v>0</x:v>
      </x:c>
      <x:c r="BR309" s="23" t="n">
        <x:f>MAX(0,MIN('Activities'!L309,396)-MAX('Activities'!K309,390))</x:f>
        <x:v>0</x:v>
      </x:c>
      <x:c r="BS309" s="23" t="n">
        <x:f>MAX(0,MIN('Activities'!L309,402)-MAX('Activities'!K309,396))</x:f>
        <x:v>0</x:v>
      </x:c>
      <x:c r="BT309" s="23" t="n">
        <x:f>MAX(0,MIN('Activities'!L309,408)-MAX('Activities'!K309,402))</x:f>
        <x:v>0</x:v>
      </x:c>
      <x:c r="BU309" s="23" t="n">
        <x:f>MAX(0,MIN('Activities'!L309,414)-MAX('Activities'!K309,408))</x:f>
        <x:v>0</x:v>
      </x:c>
      <x:c r="BV309" s="23" t="n">
        <x:f>MAX(0,MIN('Activities'!L309,420)-MAX('Activities'!K309,414))</x:f>
        <x:v>0</x:v>
      </x:c>
      <x:c r="BW309" s="23" t="n">
        <x:f>MAX(0,MIN('Activities'!L309,426)-MAX('Activities'!K309,420))</x:f>
        <x:v>0</x:v>
      </x:c>
      <x:c r="BX309" s="23" t="n">
        <x:f>MAX(0,MIN('Activities'!L309,432)-MAX('Activities'!K309,426))</x:f>
        <x:v>0</x:v>
      </x:c>
      <x:c r="BY309" s="23" t="n">
        <x:f>MAX(0,MIN('Activities'!L309,438)-MAX('Activities'!K309,432))</x:f>
        <x:v>0</x:v>
      </x:c>
      <x:c r="BZ309" s="23" t="n">
        <x:f>MAX(0,MIN('Activities'!L309,444)-MAX('Activities'!K309,438))</x:f>
        <x:v>0</x:v>
      </x:c>
      <x:c r="CA309" s="23" t="n">
        <x:f>MAX(0,MIN('Activities'!L309,450)-MAX('Activities'!K309,444))</x:f>
        <x:v>0</x:v>
      </x:c>
      <x:c r="CB309" s="23" t="n">
        <x:f>MAX(0,MIN('Activities'!L309,456)-MAX('Activities'!K309,450))</x:f>
        <x:v>0</x:v>
      </x:c>
      <x:c r="CC309" s="23" t="n">
        <x:f>MAX(0,MIN('Activities'!L309,462)-MAX('Activities'!K309,456))</x:f>
        <x:v>0</x:v>
      </x:c>
      <x:c r="CD309" s="23" t="n">
        <x:f>MAX(0,MIN('Activities'!L309,468)-MAX('Activities'!K309,462))</x:f>
        <x:v>0</x:v>
      </x:c>
      <x:c r="CE309" s="23" t="n">
        <x:f>MAX(0,MIN('Activities'!L309,474)-MAX('Activities'!K309,468))</x:f>
        <x:v>0</x:v>
      </x:c>
      <x:c r="CF309" s="23" t="n">
        <x:f>MAX(0,MIN('Activities'!L309,480)-MAX('Activities'!K309,474))</x:f>
        <x:v>0</x:v>
      </x:c>
      <x:c r="CG309" s="23" t="n">
        <x:f>MAX(0,MIN('Activities'!L309,486)-MAX('Activities'!K309,480))</x:f>
        <x:v>0</x:v>
      </x:c>
      <x:c r="CH309" s="23" t="n">
        <x:f>MAX(0,MIN('Activities'!L309,492)-MAX('Activities'!K309,486))</x:f>
        <x:v>0</x:v>
      </x:c>
      <x:c r="CI309" s="23" t="n">
        <x:f>MAX(0,MIN('Activities'!L309,498)-MAX('Activities'!K309,492))</x:f>
        <x:v>0</x:v>
      </x:c>
      <x:c r="CJ309" s="23" t="n">
        <x:f>MAX(0,MIN('Activities'!L309,504)-MAX('Activities'!K309,498))</x:f>
        <x:v>0</x:v>
      </x:c>
      <x:c r="CK309" s="23" t="n">
        <x:f>MAX(0,MIN('Activities'!L309,510)-MAX('Activities'!K309,504))</x:f>
        <x:v>0</x:v>
      </x:c>
      <x:c r="CL309" s="23" t="n">
        <x:f>MAX(0,MIN('Activities'!L309,516)-MAX('Activities'!K309,510))</x:f>
        <x:v>0</x:v>
      </x:c>
      <x:c r="CM309" s="23" t="n">
        <x:f>MAX(0,MIN('Activities'!L309,522)-MAX('Activities'!K309,516))</x:f>
        <x:v>0</x:v>
      </x:c>
      <x:c r="CN309" s="23" t="n">
        <x:f>MAX(0,MIN('Activities'!L309,528)-MAX('Activities'!K309,522))</x:f>
        <x:v>0</x:v>
      </x:c>
      <x:c r="CO309" s="23" t="n">
        <x:f>MAX(0,MIN('Activities'!L309,534)-MAX('Activities'!K309,528))</x:f>
        <x:v>0</x:v>
      </x:c>
      <x:c r="CP309" s="23" t="n">
        <x:f>MAX(0,MIN('Activities'!L309,540)-MAX('Activities'!K309,534))</x:f>
        <x:v>0</x:v>
      </x:c>
      <x:c r="CQ309" s="23" t="n">
        <x:f>MAX(0,MIN('Activities'!L309,546)-MAX('Activities'!K309,540))</x:f>
        <x:v>0</x:v>
      </x:c>
      <x:c r="CR309" s="23" t="n">
        <x:f>MAX(0,MIN('Activities'!L309,552)-MAX('Activities'!K309,546))</x:f>
        <x:v>0</x:v>
      </x:c>
      <x:c r="CS309" s="23" t="n">
        <x:f>MAX(0,MIN('Activities'!L309,558)-MAX('Activities'!K309,552))</x:f>
        <x:v>0</x:v>
      </x:c>
      <x:c r="CT309" s="23" t="n">
        <x:f>MAX(0,MIN('Activities'!L309,564)-MAX('Activities'!K309,558))</x:f>
        <x:v>0</x:v>
      </x:c>
      <x:c r="CU309" s="23" t="n">
        <x:f>MAX(0,MIN('Activities'!L309,570)-MAX('Activities'!K309,564))</x:f>
        <x:v>0</x:v>
      </x:c>
      <x:c r="CV309" s="23" t="n">
        <x:f>MAX(0,MIN('Activities'!L309,576)-MAX('Activities'!K309,570))</x:f>
        <x:v>0</x:v>
      </x:c>
      <x:c r="CW309" s="23" t="n">
        <x:f>MAX(0,MIN('Activities'!L309,582)-MAX('Activities'!K309,576))</x:f>
        <x:v>0</x:v>
      </x:c>
      <x:c r="CX309" s="23" t="n">
        <x:f>MAX(0,MIN('Activities'!L309,588)-MAX('Activities'!K309,582))</x:f>
        <x:v>0</x:v>
      </x:c>
      <x:c r="CY309" s="23" t="n">
        <x:f>MAX(0,MIN('Activities'!L309,594)-MAX('Activities'!K309,588))</x:f>
        <x:v>0</x:v>
      </x:c>
      <x:c r="CZ309" s="23" t="n">
        <x:f>MAX(0,MIN('Activities'!L309,600)-MAX('Activities'!K309,594))</x:f>
        <x:v>0</x:v>
      </x:c>
      <x:c r="DA309" s="23" t="n">
        <x:f>MAX(0,MIN('Activities'!L309,606)-MAX('Activities'!K309,600))</x:f>
        <x:v>0</x:v>
      </x:c>
      <x:c r="DB309" s="23" t="n">
        <x:f>MAX(0,MIN('Activities'!L309,612)-MAX('Activities'!K309,606))</x:f>
        <x:v>0</x:v>
      </x:c>
      <x:c r="DC309" s="23" t="n">
        <x:f>MAX(0,MIN('Activities'!L309,618)-MAX('Activities'!K309,612))</x:f>
        <x:v>0</x:v>
      </x:c>
      <x:c r="DD309" s="23" t="n">
        <x:f>MAX(0,MIN('Activities'!L309,624)-MAX('Activities'!K309,618))</x:f>
        <x:v>0</x:v>
      </x:c>
      <x:c r="DE309" s="23" t="n">
        <x:f>MAX(0,MIN('Activities'!L309,630)-MAX('Activities'!K309,624))</x:f>
        <x:v>0</x:v>
      </x:c>
      <x:c r="DF309" s="23" t="n">
        <x:f>MAX(0,MIN('Activities'!L309,636)-MAX('Activities'!K309,630))</x:f>
        <x:v>0</x:v>
      </x:c>
    </x:row>
    <x:row r="310" ht="23" customHeight="1">
      <x:c r="A310" s="6" t="str">
        <x:v>T3-L07-F</x:v>
      </x:c>
      <x:c r="B310" s="6" t="str">
        <x:v>T3</x:v>
      </x:c>
      <x:c r="C310" s="6" t="str">
        <x:v>Columns, core and deck formwork</x:v>
      </x:c>
      <x:c r="D310" s="6" t="str">
        <x:v>Formwork</x:v>
      </x:c>
      <x:c r="E310" s="22" t="n">
        <x:f>MAX(0,MIN('Activities'!L310,6)-MAX('Activities'!K310,0))</x:f>
        <x:v>0</x:v>
      </x:c>
      <x:c r="F310" s="22" t="n">
        <x:f>MAX(0,MIN('Activities'!L310,12)-MAX('Activities'!K310,6))</x:f>
        <x:v>0</x:v>
      </x:c>
      <x:c r="G310" s="22" t="n">
        <x:f>MAX(0,MIN('Activities'!L310,18)-MAX('Activities'!K310,12))</x:f>
        <x:v>0</x:v>
      </x:c>
      <x:c r="H310" s="22" t="n">
        <x:f>MAX(0,MIN('Activities'!L310,24)-MAX('Activities'!K310,18))</x:f>
        <x:v>0</x:v>
      </x:c>
      <x:c r="I310" s="22" t="n">
        <x:f>MAX(0,MIN('Activities'!L310,30)-MAX('Activities'!K310,24))</x:f>
        <x:v>0</x:v>
      </x:c>
      <x:c r="J310" s="22" t="n">
        <x:f>MAX(0,MIN('Activities'!L310,36)-MAX('Activities'!K310,30))</x:f>
        <x:v>0</x:v>
      </x:c>
      <x:c r="K310" s="22" t="n">
        <x:f>MAX(0,MIN('Activities'!L310,42)-MAX('Activities'!K310,36))</x:f>
        <x:v>0</x:v>
      </x:c>
      <x:c r="L310" s="22" t="n">
        <x:f>MAX(0,MIN('Activities'!L310,48)-MAX('Activities'!K310,42))</x:f>
        <x:v>0</x:v>
      </x:c>
      <x:c r="M310" s="22" t="n">
        <x:f>MAX(0,MIN('Activities'!L310,54)-MAX('Activities'!K310,48))</x:f>
        <x:v>0</x:v>
      </x:c>
      <x:c r="N310" s="22" t="n">
        <x:f>MAX(0,MIN('Activities'!L310,60)-MAX('Activities'!K310,54))</x:f>
        <x:v>0</x:v>
      </x:c>
      <x:c r="O310" s="22" t="n">
        <x:f>MAX(0,MIN('Activities'!L310,66)-MAX('Activities'!K310,60))</x:f>
        <x:v>0</x:v>
      </x:c>
      <x:c r="P310" s="22" t="n">
        <x:f>MAX(0,MIN('Activities'!L310,72)-MAX('Activities'!K310,66))</x:f>
        <x:v>0</x:v>
      </x:c>
      <x:c r="Q310" s="22" t="n">
        <x:f>MAX(0,MIN('Activities'!L310,78)-MAX('Activities'!K310,72))</x:f>
        <x:v>0</x:v>
      </x:c>
      <x:c r="R310" s="22" t="n">
        <x:f>MAX(0,MIN('Activities'!L310,84)-MAX('Activities'!K310,78))</x:f>
        <x:v>0</x:v>
      </x:c>
      <x:c r="S310" s="22" t="n">
        <x:f>MAX(0,MIN('Activities'!L310,90)-MAX('Activities'!K310,84))</x:f>
        <x:v>0</x:v>
      </x:c>
      <x:c r="T310" s="22" t="n">
        <x:f>MAX(0,MIN('Activities'!L310,96)-MAX('Activities'!K310,90))</x:f>
        <x:v>0</x:v>
      </x:c>
      <x:c r="U310" s="22" t="n">
        <x:f>MAX(0,MIN('Activities'!L310,102)-MAX('Activities'!K310,96))</x:f>
        <x:v>0</x:v>
      </x:c>
      <x:c r="V310" s="22" t="n">
        <x:f>MAX(0,MIN('Activities'!L310,108)-MAX('Activities'!K310,102))</x:f>
        <x:v>0</x:v>
      </x:c>
      <x:c r="W310" s="22" t="n">
        <x:f>MAX(0,MIN('Activities'!L310,114)-MAX('Activities'!K310,108))</x:f>
        <x:v>0</x:v>
      </x:c>
      <x:c r="X310" s="22" t="n">
        <x:f>MAX(0,MIN('Activities'!L310,120)-MAX('Activities'!K310,114))</x:f>
        <x:v>0</x:v>
      </x:c>
      <x:c r="Y310" s="22" t="n">
        <x:f>MAX(0,MIN('Activities'!L310,126)-MAX('Activities'!K310,120))</x:f>
        <x:v>0</x:v>
      </x:c>
      <x:c r="Z310" s="22" t="n">
        <x:f>MAX(0,MIN('Activities'!L310,132)-MAX('Activities'!K310,126))</x:f>
        <x:v>0</x:v>
      </x:c>
      <x:c r="AA310" s="22" t="n">
        <x:f>MAX(0,MIN('Activities'!L310,138)-MAX('Activities'!K310,132))</x:f>
        <x:v>0</x:v>
      </x:c>
      <x:c r="AB310" s="22" t="n">
        <x:f>MAX(0,MIN('Activities'!L310,144)-MAX('Activities'!K310,138))</x:f>
        <x:v>0</x:v>
      </x:c>
      <x:c r="AC310" s="22" t="n">
        <x:f>MAX(0,MIN('Activities'!L310,150)-MAX('Activities'!K310,144))</x:f>
        <x:v>0</x:v>
      </x:c>
      <x:c r="AD310" s="22" t="n">
        <x:f>MAX(0,MIN('Activities'!L310,156)-MAX('Activities'!K310,150))</x:f>
        <x:v>0</x:v>
      </x:c>
      <x:c r="AE310" s="22" t="n">
        <x:f>MAX(0,MIN('Activities'!L310,162)-MAX('Activities'!K310,156))</x:f>
        <x:v>0</x:v>
      </x:c>
      <x:c r="AF310" s="22" t="n">
        <x:f>MAX(0,MIN('Activities'!L310,168)-MAX('Activities'!K310,162))</x:f>
        <x:v>0</x:v>
      </x:c>
      <x:c r="AG310" s="22" t="n">
        <x:f>MAX(0,MIN('Activities'!L310,174)-MAX('Activities'!K310,168))</x:f>
        <x:v>0</x:v>
      </x:c>
      <x:c r="AH310" s="22" t="n">
        <x:f>MAX(0,MIN('Activities'!L310,180)-MAX('Activities'!K310,174))</x:f>
        <x:v>0</x:v>
      </x:c>
      <x:c r="AI310" s="22" t="n">
        <x:f>MAX(0,MIN('Activities'!L310,186)-MAX('Activities'!K310,180))</x:f>
        <x:v>0</x:v>
      </x:c>
      <x:c r="AJ310" s="22" t="n">
        <x:f>MAX(0,MIN('Activities'!L310,192)-MAX('Activities'!K310,186))</x:f>
        <x:v>0</x:v>
      </x:c>
      <x:c r="AK310" s="22" t="n">
        <x:f>MAX(0,MIN('Activities'!L310,198)-MAX('Activities'!K310,192))</x:f>
        <x:v>0</x:v>
      </x:c>
      <x:c r="AL310" s="22" t="n">
        <x:f>MAX(0,MIN('Activities'!L310,204)-MAX('Activities'!K310,198))</x:f>
        <x:v>0</x:v>
      </x:c>
      <x:c r="AM310" s="22" t="n">
        <x:f>MAX(0,MIN('Activities'!L310,210)-MAX('Activities'!K310,204))</x:f>
        <x:v>0</x:v>
      </x:c>
      <x:c r="AN310" s="22" t="n">
        <x:f>MAX(0,MIN('Activities'!L310,216)-MAX('Activities'!K310,210))</x:f>
        <x:v>0</x:v>
      </x:c>
      <x:c r="AO310" s="22" t="n">
        <x:f>MAX(0,MIN('Activities'!L310,222)-MAX('Activities'!K310,216))</x:f>
        <x:v>0</x:v>
      </x:c>
      <x:c r="AP310" s="22" t="n">
        <x:f>MAX(0,MIN('Activities'!L310,228)-MAX('Activities'!K310,222))</x:f>
        <x:v>0</x:v>
      </x:c>
      <x:c r="AQ310" s="22" t="n">
        <x:f>MAX(0,MIN('Activities'!L310,234)-MAX('Activities'!K310,228))</x:f>
        <x:v>0</x:v>
      </x:c>
      <x:c r="AR310" s="22" t="n">
        <x:f>MAX(0,MIN('Activities'!L310,240)-MAX('Activities'!K310,234))</x:f>
        <x:v>0</x:v>
      </x:c>
      <x:c r="AS310" s="22" t="n">
        <x:f>MAX(0,MIN('Activities'!L310,246)-MAX('Activities'!K310,240))</x:f>
        <x:v>0</x:v>
      </x:c>
      <x:c r="AT310" s="22" t="n">
        <x:f>MAX(0,MIN('Activities'!L310,252)-MAX('Activities'!K310,246))</x:f>
        <x:v>0</x:v>
      </x:c>
      <x:c r="AU310" s="22" t="n">
        <x:f>MAX(0,MIN('Activities'!L310,258)-MAX('Activities'!K310,252))</x:f>
        <x:v>0</x:v>
      </x:c>
      <x:c r="AV310" s="22" t="n">
        <x:f>MAX(0,MIN('Activities'!L310,264)-MAX('Activities'!K310,258))</x:f>
        <x:v>0</x:v>
      </x:c>
      <x:c r="AW310" s="22" t="n">
        <x:f>MAX(0,MIN('Activities'!L310,270)-MAX('Activities'!K310,264))</x:f>
        <x:v>0</x:v>
      </x:c>
      <x:c r="AX310" s="22" t="n">
        <x:f>MAX(0,MIN('Activities'!L310,276)-MAX('Activities'!K310,270))</x:f>
        <x:v>0</x:v>
      </x:c>
      <x:c r="AY310" s="22" t="n">
        <x:f>MAX(0,MIN('Activities'!L310,282)-MAX('Activities'!K310,276))</x:f>
        <x:v>0</x:v>
      </x:c>
      <x:c r="AZ310" s="22" t="n">
        <x:f>MAX(0,MIN('Activities'!L310,288)-MAX('Activities'!K310,282))</x:f>
        <x:v>4</x:v>
      </x:c>
      <x:c r="BA310" s="22" t="n">
        <x:f>MAX(0,MIN('Activities'!L310,294)-MAX('Activities'!K310,288))</x:f>
        <x:v>2</x:v>
      </x:c>
      <x:c r="BB310" s="22" t="n">
        <x:f>MAX(0,MIN('Activities'!L310,300)-MAX('Activities'!K310,294))</x:f>
        <x:v>0</x:v>
      </x:c>
      <x:c r="BC310" s="22" t="n">
        <x:f>MAX(0,MIN('Activities'!L310,306)-MAX('Activities'!K310,300))</x:f>
        <x:v>0</x:v>
      </x:c>
      <x:c r="BD310" s="22" t="n">
        <x:f>MAX(0,MIN('Activities'!L310,312)-MAX('Activities'!K310,306))</x:f>
        <x:v>0</x:v>
      </x:c>
      <x:c r="BE310" s="22" t="n">
        <x:f>MAX(0,MIN('Activities'!L310,318)-MAX('Activities'!K310,312))</x:f>
        <x:v>0</x:v>
      </x:c>
      <x:c r="BF310" s="22" t="n">
        <x:f>MAX(0,MIN('Activities'!L310,324)-MAX('Activities'!K310,318))</x:f>
        <x:v>0</x:v>
      </x:c>
      <x:c r="BG310" s="22" t="n">
        <x:f>MAX(0,MIN('Activities'!L310,330)-MAX('Activities'!K310,324))</x:f>
        <x:v>0</x:v>
      </x:c>
      <x:c r="BH310" s="22" t="n">
        <x:f>MAX(0,MIN('Activities'!L310,336)-MAX('Activities'!K310,330))</x:f>
        <x:v>0</x:v>
      </x:c>
      <x:c r="BI310" s="22" t="n">
        <x:f>MAX(0,MIN('Activities'!L310,342)-MAX('Activities'!K310,336))</x:f>
        <x:v>0</x:v>
      </x:c>
      <x:c r="BJ310" s="22" t="n">
        <x:f>MAX(0,MIN('Activities'!L310,348)-MAX('Activities'!K310,342))</x:f>
        <x:v>0</x:v>
      </x:c>
      <x:c r="BK310" s="22" t="n">
        <x:f>MAX(0,MIN('Activities'!L310,354)-MAX('Activities'!K310,348))</x:f>
        <x:v>0</x:v>
      </x:c>
      <x:c r="BL310" s="22" t="n">
        <x:f>MAX(0,MIN('Activities'!L310,360)-MAX('Activities'!K310,354))</x:f>
        <x:v>0</x:v>
      </x:c>
      <x:c r="BM310" s="22" t="n">
        <x:f>MAX(0,MIN('Activities'!L310,366)-MAX('Activities'!K310,360))</x:f>
        <x:v>0</x:v>
      </x:c>
      <x:c r="BN310" s="22" t="n">
        <x:f>MAX(0,MIN('Activities'!L310,372)-MAX('Activities'!K310,366))</x:f>
        <x:v>0</x:v>
      </x:c>
      <x:c r="BO310" s="22" t="n">
        <x:f>MAX(0,MIN('Activities'!L310,378)-MAX('Activities'!K310,372))</x:f>
        <x:v>0</x:v>
      </x:c>
      <x:c r="BP310" s="22" t="n">
        <x:f>MAX(0,MIN('Activities'!L310,384)-MAX('Activities'!K310,378))</x:f>
        <x:v>0</x:v>
      </x:c>
      <x:c r="BQ310" s="22" t="n">
        <x:f>MAX(0,MIN('Activities'!L310,390)-MAX('Activities'!K310,384))</x:f>
        <x:v>0</x:v>
      </x:c>
      <x:c r="BR310" s="22" t="n">
        <x:f>MAX(0,MIN('Activities'!L310,396)-MAX('Activities'!K310,390))</x:f>
        <x:v>0</x:v>
      </x:c>
      <x:c r="BS310" s="22" t="n">
        <x:f>MAX(0,MIN('Activities'!L310,402)-MAX('Activities'!K310,396))</x:f>
        <x:v>0</x:v>
      </x:c>
      <x:c r="BT310" s="22" t="n">
        <x:f>MAX(0,MIN('Activities'!L310,408)-MAX('Activities'!K310,402))</x:f>
        <x:v>0</x:v>
      </x:c>
      <x:c r="BU310" s="22" t="n">
        <x:f>MAX(0,MIN('Activities'!L310,414)-MAX('Activities'!K310,408))</x:f>
        <x:v>0</x:v>
      </x:c>
      <x:c r="BV310" s="22" t="n">
        <x:f>MAX(0,MIN('Activities'!L310,420)-MAX('Activities'!K310,414))</x:f>
        <x:v>0</x:v>
      </x:c>
      <x:c r="BW310" s="22" t="n">
        <x:f>MAX(0,MIN('Activities'!L310,426)-MAX('Activities'!K310,420))</x:f>
        <x:v>0</x:v>
      </x:c>
      <x:c r="BX310" s="22" t="n">
        <x:f>MAX(0,MIN('Activities'!L310,432)-MAX('Activities'!K310,426))</x:f>
        <x:v>0</x:v>
      </x:c>
      <x:c r="BY310" s="22" t="n">
        <x:f>MAX(0,MIN('Activities'!L310,438)-MAX('Activities'!K310,432))</x:f>
        <x:v>0</x:v>
      </x:c>
      <x:c r="BZ310" s="22" t="n">
        <x:f>MAX(0,MIN('Activities'!L310,444)-MAX('Activities'!K310,438))</x:f>
        <x:v>0</x:v>
      </x:c>
      <x:c r="CA310" s="22" t="n">
        <x:f>MAX(0,MIN('Activities'!L310,450)-MAX('Activities'!K310,444))</x:f>
        <x:v>0</x:v>
      </x:c>
      <x:c r="CB310" s="22" t="n">
        <x:f>MAX(0,MIN('Activities'!L310,456)-MAX('Activities'!K310,450))</x:f>
        <x:v>0</x:v>
      </x:c>
      <x:c r="CC310" s="22" t="n">
        <x:f>MAX(0,MIN('Activities'!L310,462)-MAX('Activities'!K310,456))</x:f>
        <x:v>0</x:v>
      </x:c>
      <x:c r="CD310" s="22" t="n">
        <x:f>MAX(0,MIN('Activities'!L310,468)-MAX('Activities'!K310,462))</x:f>
        <x:v>0</x:v>
      </x:c>
      <x:c r="CE310" s="22" t="n">
        <x:f>MAX(0,MIN('Activities'!L310,474)-MAX('Activities'!K310,468))</x:f>
        <x:v>0</x:v>
      </x:c>
      <x:c r="CF310" s="22" t="n">
        <x:f>MAX(0,MIN('Activities'!L310,480)-MAX('Activities'!K310,474))</x:f>
        <x:v>0</x:v>
      </x:c>
      <x:c r="CG310" s="22" t="n">
        <x:f>MAX(0,MIN('Activities'!L310,486)-MAX('Activities'!K310,480))</x:f>
        <x:v>0</x:v>
      </x:c>
      <x:c r="CH310" s="22" t="n">
        <x:f>MAX(0,MIN('Activities'!L310,492)-MAX('Activities'!K310,486))</x:f>
        <x:v>0</x:v>
      </x:c>
      <x:c r="CI310" s="22" t="n">
        <x:f>MAX(0,MIN('Activities'!L310,498)-MAX('Activities'!K310,492))</x:f>
        <x:v>0</x:v>
      </x:c>
      <x:c r="CJ310" s="22" t="n">
        <x:f>MAX(0,MIN('Activities'!L310,504)-MAX('Activities'!K310,498))</x:f>
        <x:v>0</x:v>
      </x:c>
      <x:c r="CK310" s="22" t="n">
        <x:f>MAX(0,MIN('Activities'!L310,510)-MAX('Activities'!K310,504))</x:f>
        <x:v>0</x:v>
      </x:c>
      <x:c r="CL310" s="22" t="n">
        <x:f>MAX(0,MIN('Activities'!L310,516)-MAX('Activities'!K310,510))</x:f>
        <x:v>0</x:v>
      </x:c>
      <x:c r="CM310" s="22" t="n">
        <x:f>MAX(0,MIN('Activities'!L310,522)-MAX('Activities'!K310,516))</x:f>
        <x:v>0</x:v>
      </x:c>
      <x:c r="CN310" s="22" t="n">
        <x:f>MAX(0,MIN('Activities'!L310,528)-MAX('Activities'!K310,522))</x:f>
        <x:v>0</x:v>
      </x:c>
      <x:c r="CO310" s="22" t="n">
        <x:f>MAX(0,MIN('Activities'!L310,534)-MAX('Activities'!K310,528))</x:f>
        <x:v>0</x:v>
      </x:c>
      <x:c r="CP310" s="22" t="n">
        <x:f>MAX(0,MIN('Activities'!L310,540)-MAX('Activities'!K310,534))</x:f>
        <x:v>0</x:v>
      </x:c>
      <x:c r="CQ310" s="22" t="n">
        <x:f>MAX(0,MIN('Activities'!L310,546)-MAX('Activities'!K310,540))</x:f>
        <x:v>0</x:v>
      </x:c>
      <x:c r="CR310" s="22" t="n">
        <x:f>MAX(0,MIN('Activities'!L310,552)-MAX('Activities'!K310,546))</x:f>
        <x:v>0</x:v>
      </x:c>
      <x:c r="CS310" s="22" t="n">
        <x:f>MAX(0,MIN('Activities'!L310,558)-MAX('Activities'!K310,552))</x:f>
        <x:v>0</x:v>
      </x:c>
      <x:c r="CT310" s="22" t="n">
        <x:f>MAX(0,MIN('Activities'!L310,564)-MAX('Activities'!K310,558))</x:f>
        <x:v>0</x:v>
      </x:c>
      <x:c r="CU310" s="22" t="n">
        <x:f>MAX(0,MIN('Activities'!L310,570)-MAX('Activities'!K310,564))</x:f>
        <x:v>0</x:v>
      </x:c>
      <x:c r="CV310" s="22" t="n">
        <x:f>MAX(0,MIN('Activities'!L310,576)-MAX('Activities'!K310,570))</x:f>
        <x:v>0</x:v>
      </x:c>
      <x:c r="CW310" s="22" t="n">
        <x:f>MAX(0,MIN('Activities'!L310,582)-MAX('Activities'!K310,576))</x:f>
        <x:v>0</x:v>
      </x:c>
      <x:c r="CX310" s="22" t="n">
        <x:f>MAX(0,MIN('Activities'!L310,588)-MAX('Activities'!K310,582))</x:f>
        <x:v>0</x:v>
      </x:c>
      <x:c r="CY310" s="22" t="n">
        <x:f>MAX(0,MIN('Activities'!L310,594)-MAX('Activities'!K310,588))</x:f>
        <x:v>0</x:v>
      </x:c>
      <x:c r="CZ310" s="22" t="n">
        <x:f>MAX(0,MIN('Activities'!L310,600)-MAX('Activities'!K310,594))</x:f>
        <x:v>0</x:v>
      </x:c>
      <x:c r="DA310" s="22" t="n">
        <x:f>MAX(0,MIN('Activities'!L310,606)-MAX('Activities'!K310,600))</x:f>
        <x:v>0</x:v>
      </x:c>
      <x:c r="DB310" s="22" t="n">
        <x:f>MAX(0,MIN('Activities'!L310,612)-MAX('Activities'!K310,606))</x:f>
        <x:v>0</x:v>
      </x:c>
      <x:c r="DC310" s="22" t="n">
        <x:f>MAX(0,MIN('Activities'!L310,618)-MAX('Activities'!K310,612))</x:f>
        <x:v>0</x:v>
      </x:c>
      <x:c r="DD310" s="22" t="n">
        <x:f>MAX(0,MIN('Activities'!L310,624)-MAX('Activities'!K310,618))</x:f>
        <x:v>0</x:v>
      </x:c>
      <x:c r="DE310" s="22" t="n">
        <x:f>MAX(0,MIN('Activities'!L310,630)-MAX('Activities'!K310,624))</x:f>
        <x:v>0</x:v>
      </x:c>
      <x:c r="DF310" s="22" t="n">
        <x:f>MAX(0,MIN('Activities'!L310,636)-MAX('Activities'!K310,630))</x:f>
        <x:v>0</x:v>
      </x:c>
    </x:row>
    <x:row r="311" ht="23" customHeight="1">
      <x:c r="A311" s="1" t="str">
        <x:v>T3-L07-R</x:v>
      </x:c>
      <x:c r="B311" s="1" t="str">
        <x:v>T3</x:v>
      </x:c>
      <x:c r="C311" s="1" t="str">
        <x:v>Column, wall, beam and slab reinforcement</x:v>
      </x:c>
      <x:c r="D311" s="1" t="str">
        <x:v>Rebar</x:v>
      </x:c>
      <x:c r="E311" s="23" t="n">
        <x:f>MAX(0,MIN('Activities'!L311,6)-MAX('Activities'!K311,0))</x:f>
        <x:v>0</x:v>
      </x:c>
      <x:c r="F311" s="23" t="n">
        <x:f>MAX(0,MIN('Activities'!L311,12)-MAX('Activities'!K311,6))</x:f>
        <x:v>0</x:v>
      </x:c>
      <x:c r="G311" s="23" t="n">
        <x:f>MAX(0,MIN('Activities'!L311,18)-MAX('Activities'!K311,12))</x:f>
        <x:v>0</x:v>
      </x:c>
      <x:c r="H311" s="23" t="n">
        <x:f>MAX(0,MIN('Activities'!L311,24)-MAX('Activities'!K311,18))</x:f>
        <x:v>0</x:v>
      </x:c>
      <x:c r="I311" s="23" t="n">
        <x:f>MAX(0,MIN('Activities'!L311,30)-MAX('Activities'!K311,24))</x:f>
        <x:v>0</x:v>
      </x:c>
      <x:c r="J311" s="23" t="n">
        <x:f>MAX(0,MIN('Activities'!L311,36)-MAX('Activities'!K311,30))</x:f>
        <x:v>0</x:v>
      </x:c>
      <x:c r="K311" s="23" t="n">
        <x:f>MAX(0,MIN('Activities'!L311,42)-MAX('Activities'!K311,36))</x:f>
        <x:v>0</x:v>
      </x:c>
      <x:c r="L311" s="23" t="n">
        <x:f>MAX(0,MIN('Activities'!L311,48)-MAX('Activities'!K311,42))</x:f>
        <x:v>0</x:v>
      </x:c>
      <x:c r="M311" s="23" t="n">
        <x:f>MAX(0,MIN('Activities'!L311,54)-MAX('Activities'!K311,48))</x:f>
        <x:v>0</x:v>
      </x:c>
      <x:c r="N311" s="23" t="n">
        <x:f>MAX(0,MIN('Activities'!L311,60)-MAX('Activities'!K311,54))</x:f>
        <x:v>0</x:v>
      </x:c>
      <x:c r="O311" s="23" t="n">
        <x:f>MAX(0,MIN('Activities'!L311,66)-MAX('Activities'!K311,60))</x:f>
        <x:v>0</x:v>
      </x:c>
      <x:c r="P311" s="23" t="n">
        <x:f>MAX(0,MIN('Activities'!L311,72)-MAX('Activities'!K311,66))</x:f>
        <x:v>0</x:v>
      </x:c>
      <x:c r="Q311" s="23" t="n">
        <x:f>MAX(0,MIN('Activities'!L311,78)-MAX('Activities'!K311,72))</x:f>
        <x:v>0</x:v>
      </x:c>
      <x:c r="R311" s="23" t="n">
        <x:f>MAX(0,MIN('Activities'!L311,84)-MAX('Activities'!K311,78))</x:f>
        <x:v>0</x:v>
      </x:c>
      <x:c r="S311" s="23" t="n">
        <x:f>MAX(0,MIN('Activities'!L311,90)-MAX('Activities'!K311,84))</x:f>
        <x:v>0</x:v>
      </x:c>
      <x:c r="T311" s="23" t="n">
        <x:f>MAX(0,MIN('Activities'!L311,96)-MAX('Activities'!K311,90))</x:f>
        <x:v>0</x:v>
      </x:c>
      <x:c r="U311" s="23" t="n">
        <x:f>MAX(0,MIN('Activities'!L311,102)-MAX('Activities'!K311,96))</x:f>
        <x:v>0</x:v>
      </x:c>
      <x:c r="V311" s="23" t="n">
        <x:f>MAX(0,MIN('Activities'!L311,108)-MAX('Activities'!K311,102))</x:f>
        <x:v>0</x:v>
      </x:c>
      <x:c r="W311" s="23" t="n">
        <x:f>MAX(0,MIN('Activities'!L311,114)-MAX('Activities'!K311,108))</x:f>
        <x:v>0</x:v>
      </x:c>
      <x:c r="X311" s="23" t="n">
        <x:f>MAX(0,MIN('Activities'!L311,120)-MAX('Activities'!K311,114))</x:f>
        <x:v>0</x:v>
      </x:c>
      <x:c r="Y311" s="23" t="n">
        <x:f>MAX(0,MIN('Activities'!L311,126)-MAX('Activities'!K311,120))</x:f>
        <x:v>0</x:v>
      </x:c>
      <x:c r="Z311" s="23" t="n">
        <x:f>MAX(0,MIN('Activities'!L311,132)-MAX('Activities'!K311,126))</x:f>
        <x:v>0</x:v>
      </x:c>
      <x:c r="AA311" s="23" t="n">
        <x:f>MAX(0,MIN('Activities'!L311,138)-MAX('Activities'!K311,132))</x:f>
        <x:v>0</x:v>
      </x:c>
      <x:c r="AB311" s="23" t="n">
        <x:f>MAX(0,MIN('Activities'!L311,144)-MAX('Activities'!K311,138))</x:f>
        <x:v>0</x:v>
      </x:c>
      <x:c r="AC311" s="23" t="n">
        <x:f>MAX(0,MIN('Activities'!L311,150)-MAX('Activities'!K311,144))</x:f>
        <x:v>0</x:v>
      </x:c>
      <x:c r="AD311" s="23" t="n">
        <x:f>MAX(0,MIN('Activities'!L311,156)-MAX('Activities'!K311,150))</x:f>
        <x:v>0</x:v>
      </x:c>
      <x:c r="AE311" s="23" t="n">
        <x:f>MAX(0,MIN('Activities'!L311,162)-MAX('Activities'!K311,156))</x:f>
        <x:v>0</x:v>
      </x:c>
      <x:c r="AF311" s="23" t="n">
        <x:f>MAX(0,MIN('Activities'!L311,168)-MAX('Activities'!K311,162))</x:f>
        <x:v>0</x:v>
      </x:c>
      <x:c r="AG311" s="23" t="n">
        <x:f>MAX(0,MIN('Activities'!L311,174)-MAX('Activities'!K311,168))</x:f>
        <x:v>0</x:v>
      </x:c>
      <x:c r="AH311" s="23" t="n">
        <x:f>MAX(0,MIN('Activities'!L311,180)-MAX('Activities'!K311,174))</x:f>
        <x:v>0</x:v>
      </x:c>
      <x:c r="AI311" s="23" t="n">
        <x:f>MAX(0,MIN('Activities'!L311,186)-MAX('Activities'!K311,180))</x:f>
        <x:v>0</x:v>
      </x:c>
      <x:c r="AJ311" s="23" t="n">
        <x:f>MAX(0,MIN('Activities'!L311,192)-MAX('Activities'!K311,186))</x:f>
        <x:v>0</x:v>
      </x:c>
      <x:c r="AK311" s="23" t="n">
        <x:f>MAX(0,MIN('Activities'!L311,198)-MAX('Activities'!K311,192))</x:f>
        <x:v>0</x:v>
      </x:c>
      <x:c r="AL311" s="23" t="n">
        <x:f>MAX(0,MIN('Activities'!L311,204)-MAX('Activities'!K311,198))</x:f>
        <x:v>0</x:v>
      </x:c>
      <x:c r="AM311" s="23" t="n">
        <x:f>MAX(0,MIN('Activities'!L311,210)-MAX('Activities'!K311,204))</x:f>
        <x:v>0</x:v>
      </x:c>
      <x:c r="AN311" s="23" t="n">
        <x:f>MAX(0,MIN('Activities'!L311,216)-MAX('Activities'!K311,210))</x:f>
        <x:v>0</x:v>
      </x:c>
      <x:c r="AO311" s="23" t="n">
        <x:f>MAX(0,MIN('Activities'!L311,222)-MAX('Activities'!K311,216))</x:f>
        <x:v>0</x:v>
      </x:c>
      <x:c r="AP311" s="23" t="n">
        <x:f>MAX(0,MIN('Activities'!L311,228)-MAX('Activities'!K311,222))</x:f>
        <x:v>0</x:v>
      </x:c>
      <x:c r="AQ311" s="23" t="n">
        <x:f>MAX(0,MIN('Activities'!L311,234)-MAX('Activities'!K311,228))</x:f>
        <x:v>0</x:v>
      </x:c>
      <x:c r="AR311" s="23" t="n">
        <x:f>MAX(0,MIN('Activities'!L311,240)-MAX('Activities'!K311,234))</x:f>
        <x:v>0</x:v>
      </x:c>
      <x:c r="AS311" s="23" t="n">
        <x:f>MAX(0,MIN('Activities'!L311,246)-MAX('Activities'!K311,240))</x:f>
        <x:v>0</x:v>
      </x:c>
      <x:c r="AT311" s="23" t="n">
        <x:f>MAX(0,MIN('Activities'!L311,252)-MAX('Activities'!K311,246))</x:f>
        <x:v>0</x:v>
      </x:c>
      <x:c r="AU311" s="23" t="n">
        <x:f>MAX(0,MIN('Activities'!L311,258)-MAX('Activities'!K311,252))</x:f>
        <x:v>0</x:v>
      </x:c>
      <x:c r="AV311" s="23" t="n">
        <x:f>MAX(0,MIN('Activities'!L311,264)-MAX('Activities'!K311,258))</x:f>
        <x:v>0</x:v>
      </x:c>
      <x:c r="AW311" s="23" t="n">
        <x:f>MAX(0,MIN('Activities'!L311,270)-MAX('Activities'!K311,264))</x:f>
        <x:v>0</x:v>
      </x:c>
      <x:c r="AX311" s="23" t="n">
        <x:f>MAX(0,MIN('Activities'!L311,276)-MAX('Activities'!K311,270))</x:f>
        <x:v>0</x:v>
      </x:c>
      <x:c r="AY311" s="23" t="n">
        <x:f>MAX(0,MIN('Activities'!L311,282)-MAX('Activities'!K311,276))</x:f>
        <x:v>0</x:v>
      </x:c>
      <x:c r="AZ311" s="23" t="n">
        <x:f>MAX(0,MIN('Activities'!L311,288)-MAX('Activities'!K311,282))</x:f>
        <x:v>0</x:v>
      </x:c>
      <x:c r="BA311" s="23" t="n">
        <x:f>MAX(0,MIN('Activities'!L311,294)-MAX('Activities'!K311,288))</x:f>
        <x:v>4</x:v>
      </x:c>
      <x:c r="BB311" s="23" t="n">
        <x:f>MAX(0,MIN('Activities'!L311,300)-MAX('Activities'!K311,294))</x:f>
        <x:v>1</x:v>
      </x:c>
      <x:c r="BC311" s="23" t="n">
        <x:f>MAX(0,MIN('Activities'!L311,306)-MAX('Activities'!K311,300))</x:f>
        <x:v>0</x:v>
      </x:c>
      <x:c r="BD311" s="23" t="n">
        <x:f>MAX(0,MIN('Activities'!L311,312)-MAX('Activities'!K311,306))</x:f>
        <x:v>0</x:v>
      </x:c>
      <x:c r="BE311" s="23" t="n">
        <x:f>MAX(0,MIN('Activities'!L311,318)-MAX('Activities'!K311,312))</x:f>
        <x:v>0</x:v>
      </x:c>
      <x:c r="BF311" s="23" t="n">
        <x:f>MAX(0,MIN('Activities'!L311,324)-MAX('Activities'!K311,318))</x:f>
        <x:v>0</x:v>
      </x:c>
      <x:c r="BG311" s="23" t="n">
        <x:f>MAX(0,MIN('Activities'!L311,330)-MAX('Activities'!K311,324))</x:f>
        <x:v>0</x:v>
      </x:c>
      <x:c r="BH311" s="23" t="n">
        <x:f>MAX(0,MIN('Activities'!L311,336)-MAX('Activities'!K311,330))</x:f>
        <x:v>0</x:v>
      </x:c>
      <x:c r="BI311" s="23" t="n">
        <x:f>MAX(0,MIN('Activities'!L311,342)-MAX('Activities'!K311,336))</x:f>
        <x:v>0</x:v>
      </x:c>
      <x:c r="BJ311" s="23" t="n">
        <x:f>MAX(0,MIN('Activities'!L311,348)-MAX('Activities'!K311,342))</x:f>
        <x:v>0</x:v>
      </x:c>
      <x:c r="BK311" s="23" t="n">
        <x:f>MAX(0,MIN('Activities'!L311,354)-MAX('Activities'!K311,348))</x:f>
        <x:v>0</x:v>
      </x:c>
      <x:c r="BL311" s="23" t="n">
        <x:f>MAX(0,MIN('Activities'!L311,360)-MAX('Activities'!K311,354))</x:f>
        <x:v>0</x:v>
      </x:c>
      <x:c r="BM311" s="23" t="n">
        <x:f>MAX(0,MIN('Activities'!L311,366)-MAX('Activities'!K311,360))</x:f>
        <x:v>0</x:v>
      </x:c>
      <x:c r="BN311" s="23" t="n">
        <x:f>MAX(0,MIN('Activities'!L311,372)-MAX('Activities'!K311,366))</x:f>
        <x:v>0</x:v>
      </x:c>
      <x:c r="BO311" s="23" t="n">
        <x:f>MAX(0,MIN('Activities'!L311,378)-MAX('Activities'!K311,372))</x:f>
        <x:v>0</x:v>
      </x:c>
      <x:c r="BP311" s="23" t="n">
        <x:f>MAX(0,MIN('Activities'!L311,384)-MAX('Activities'!K311,378))</x:f>
        <x:v>0</x:v>
      </x:c>
      <x:c r="BQ311" s="23" t="n">
        <x:f>MAX(0,MIN('Activities'!L311,390)-MAX('Activities'!K311,384))</x:f>
        <x:v>0</x:v>
      </x:c>
      <x:c r="BR311" s="23" t="n">
        <x:f>MAX(0,MIN('Activities'!L311,396)-MAX('Activities'!K311,390))</x:f>
        <x:v>0</x:v>
      </x:c>
      <x:c r="BS311" s="23" t="n">
        <x:f>MAX(0,MIN('Activities'!L311,402)-MAX('Activities'!K311,396))</x:f>
        <x:v>0</x:v>
      </x:c>
      <x:c r="BT311" s="23" t="n">
        <x:f>MAX(0,MIN('Activities'!L311,408)-MAX('Activities'!K311,402))</x:f>
        <x:v>0</x:v>
      </x:c>
      <x:c r="BU311" s="23" t="n">
        <x:f>MAX(0,MIN('Activities'!L311,414)-MAX('Activities'!K311,408))</x:f>
        <x:v>0</x:v>
      </x:c>
      <x:c r="BV311" s="23" t="n">
        <x:f>MAX(0,MIN('Activities'!L311,420)-MAX('Activities'!K311,414))</x:f>
        <x:v>0</x:v>
      </x:c>
      <x:c r="BW311" s="23" t="n">
        <x:f>MAX(0,MIN('Activities'!L311,426)-MAX('Activities'!K311,420))</x:f>
        <x:v>0</x:v>
      </x:c>
      <x:c r="BX311" s="23" t="n">
        <x:f>MAX(0,MIN('Activities'!L311,432)-MAX('Activities'!K311,426))</x:f>
        <x:v>0</x:v>
      </x:c>
      <x:c r="BY311" s="23" t="n">
        <x:f>MAX(0,MIN('Activities'!L311,438)-MAX('Activities'!K311,432))</x:f>
        <x:v>0</x:v>
      </x:c>
      <x:c r="BZ311" s="23" t="n">
        <x:f>MAX(0,MIN('Activities'!L311,444)-MAX('Activities'!K311,438))</x:f>
        <x:v>0</x:v>
      </x:c>
      <x:c r="CA311" s="23" t="n">
        <x:f>MAX(0,MIN('Activities'!L311,450)-MAX('Activities'!K311,444))</x:f>
        <x:v>0</x:v>
      </x:c>
      <x:c r="CB311" s="23" t="n">
        <x:f>MAX(0,MIN('Activities'!L311,456)-MAX('Activities'!K311,450))</x:f>
        <x:v>0</x:v>
      </x:c>
      <x:c r="CC311" s="23" t="n">
        <x:f>MAX(0,MIN('Activities'!L311,462)-MAX('Activities'!K311,456))</x:f>
        <x:v>0</x:v>
      </x:c>
      <x:c r="CD311" s="23" t="n">
        <x:f>MAX(0,MIN('Activities'!L311,468)-MAX('Activities'!K311,462))</x:f>
        <x:v>0</x:v>
      </x:c>
      <x:c r="CE311" s="23" t="n">
        <x:f>MAX(0,MIN('Activities'!L311,474)-MAX('Activities'!K311,468))</x:f>
        <x:v>0</x:v>
      </x:c>
      <x:c r="CF311" s="23" t="n">
        <x:f>MAX(0,MIN('Activities'!L311,480)-MAX('Activities'!K311,474))</x:f>
        <x:v>0</x:v>
      </x:c>
      <x:c r="CG311" s="23" t="n">
        <x:f>MAX(0,MIN('Activities'!L311,486)-MAX('Activities'!K311,480))</x:f>
        <x:v>0</x:v>
      </x:c>
      <x:c r="CH311" s="23" t="n">
        <x:f>MAX(0,MIN('Activities'!L311,492)-MAX('Activities'!K311,486))</x:f>
        <x:v>0</x:v>
      </x:c>
      <x:c r="CI311" s="23" t="n">
        <x:f>MAX(0,MIN('Activities'!L311,498)-MAX('Activities'!K311,492))</x:f>
        <x:v>0</x:v>
      </x:c>
      <x:c r="CJ311" s="23" t="n">
        <x:f>MAX(0,MIN('Activities'!L311,504)-MAX('Activities'!K311,498))</x:f>
        <x:v>0</x:v>
      </x:c>
      <x:c r="CK311" s="23" t="n">
        <x:f>MAX(0,MIN('Activities'!L311,510)-MAX('Activities'!K311,504))</x:f>
        <x:v>0</x:v>
      </x:c>
      <x:c r="CL311" s="23" t="n">
        <x:f>MAX(0,MIN('Activities'!L311,516)-MAX('Activities'!K311,510))</x:f>
        <x:v>0</x:v>
      </x:c>
      <x:c r="CM311" s="23" t="n">
        <x:f>MAX(0,MIN('Activities'!L311,522)-MAX('Activities'!K311,516))</x:f>
        <x:v>0</x:v>
      </x:c>
      <x:c r="CN311" s="23" t="n">
        <x:f>MAX(0,MIN('Activities'!L311,528)-MAX('Activities'!K311,522))</x:f>
        <x:v>0</x:v>
      </x:c>
      <x:c r="CO311" s="23" t="n">
        <x:f>MAX(0,MIN('Activities'!L311,534)-MAX('Activities'!K311,528))</x:f>
        <x:v>0</x:v>
      </x:c>
      <x:c r="CP311" s="23" t="n">
        <x:f>MAX(0,MIN('Activities'!L311,540)-MAX('Activities'!K311,534))</x:f>
        <x:v>0</x:v>
      </x:c>
      <x:c r="CQ311" s="23" t="n">
        <x:f>MAX(0,MIN('Activities'!L311,546)-MAX('Activities'!K311,540))</x:f>
        <x:v>0</x:v>
      </x:c>
      <x:c r="CR311" s="23" t="n">
        <x:f>MAX(0,MIN('Activities'!L311,552)-MAX('Activities'!K311,546))</x:f>
        <x:v>0</x:v>
      </x:c>
      <x:c r="CS311" s="23" t="n">
        <x:f>MAX(0,MIN('Activities'!L311,558)-MAX('Activities'!K311,552))</x:f>
        <x:v>0</x:v>
      </x:c>
      <x:c r="CT311" s="23" t="n">
        <x:f>MAX(0,MIN('Activities'!L311,564)-MAX('Activities'!K311,558))</x:f>
        <x:v>0</x:v>
      </x:c>
      <x:c r="CU311" s="23" t="n">
        <x:f>MAX(0,MIN('Activities'!L311,570)-MAX('Activities'!K311,564))</x:f>
        <x:v>0</x:v>
      </x:c>
      <x:c r="CV311" s="23" t="n">
        <x:f>MAX(0,MIN('Activities'!L311,576)-MAX('Activities'!K311,570))</x:f>
        <x:v>0</x:v>
      </x:c>
      <x:c r="CW311" s="23" t="n">
        <x:f>MAX(0,MIN('Activities'!L311,582)-MAX('Activities'!K311,576))</x:f>
        <x:v>0</x:v>
      </x:c>
      <x:c r="CX311" s="23" t="n">
        <x:f>MAX(0,MIN('Activities'!L311,588)-MAX('Activities'!K311,582))</x:f>
        <x:v>0</x:v>
      </x:c>
      <x:c r="CY311" s="23" t="n">
        <x:f>MAX(0,MIN('Activities'!L311,594)-MAX('Activities'!K311,588))</x:f>
        <x:v>0</x:v>
      </x:c>
      <x:c r="CZ311" s="23" t="n">
        <x:f>MAX(0,MIN('Activities'!L311,600)-MAX('Activities'!K311,594))</x:f>
        <x:v>0</x:v>
      </x:c>
      <x:c r="DA311" s="23" t="n">
        <x:f>MAX(0,MIN('Activities'!L311,606)-MAX('Activities'!K311,600))</x:f>
        <x:v>0</x:v>
      </x:c>
      <x:c r="DB311" s="23" t="n">
        <x:f>MAX(0,MIN('Activities'!L311,612)-MAX('Activities'!K311,606))</x:f>
        <x:v>0</x:v>
      </x:c>
      <x:c r="DC311" s="23" t="n">
        <x:f>MAX(0,MIN('Activities'!L311,618)-MAX('Activities'!K311,612))</x:f>
        <x:v>0</x:v>
      </x:c>
      <x:c r="DD311" s="23" t="n">
        <x:f>MAX(0,MIN('Activities'!L311,624)-MAX('Activities'!K311,618))</x:f>
        <x:v>0</x:v>
      </x:c>
      <x:c r="DE311" s="23" t="n">
        <x:f>MAX(0,MIN('Activities'!L311,630)-MAX('Activities'!K311,624))</x:f>
        <x:v>0</x:v>
      </x:c>
      <x:c r="DF311" s="23" t="n">
        <x:f>MAX(0,MIN('Activities'!L311,636)-MAX('Activities'!K311,630))</x:f>
        <x:v>0</x:v>
      </x:c>
    </x:row>
    <x:row r="312" ht="23" customHeight="1">
      <x:c r="A312" s="6" t="str">
        <x:v>T3-L07-C</x:v>
      </x:c>
      <x:c r="B312" s="6" t="str">
        <x:v>T3</x:v>
      </x:c>
      <x:c r="C312" s="6" t="str">
        <x:v>Concrete placement and finishing</x:v>
      </x:c>
      <x:c r="D312" s="6" t="str">
        <x:v>Concrete</x:v>
      </x:c>
      <x:c r="E312" s="22" t="n">
        <x:f>MAX(0,MIN('Activities'!L312,6)-MAX('Activities'!K312,0))</x:f>
        <x:v>0</x:v>
      </x:c>
      <x:c r="F312" s="22" t="n">
        <x:f>MAX(0,MIN('Activities'!L312,12)-MAX('Activities'!K312,6))</x:f>
        <x:v>0</x:v>
      </x:c>
      <x:c r="G312" s="22" t="n">
        <x:f>MAX(0,MIN('Activities'!L312,18)-MAX('Activities'!K312,12))</x:f>
        <x:v>0</x:v>
      </x:c>
      <x:c r="H312" s="22" t="n">
        <x:f>MAX(0,MIN('Activities'!L312,24)-MAX('Activities'!K312,18))</x:f>
        <x:v>0</x:v>
      </x:c>
      <x:c r="I312" s="22" t="n">
        <x:f>MAX(0,MIN('Activities'!L312,30)-MAX('Activities'!K312,24))</x:f>
        <x:v>0</x:v>
      </x:c>
      <x:c r="J312" s="22" t="n">
        <x:f>MAX(0,MIN('Activities'!L312,36)-MAX('Activities'!K312,30))</x:f>
        <x:v>0</x:v>
      </x:c>
      <x:c r="K312" s="22" t="n">
        <x:f>MAX(0,MIN('Activities'!L312,42)-MAX('Activities'!K312,36))</x:f>
        <x:v>0</x:v>
      </x:c>
      <x:c r="L312" s="22" t="n">
        <x:f>MAX(0,MIN('Activities'!L312,48)-MAX('Activities'!K312,42))</x:f>
        <x:v>0</x:v>
      </x:c>
      <x:c r="M312" s="22" t="n">
        <x:f>MAX(0,MIN('Activities'!L312,54)-MAX('Activities'!K312,48))</x:f>
        <x:v>0</x:v>
      </x:c>
      <x:c r="N312" s="22" t="n">
        <x:f>MAX(0,MIN('Activities'!L312,60)-MAX('Activities'!K312,54))</x:f>
        <x:v>0</x:v>
      </x:c>
      <x:c r="O312" s="22" t="n">
        <x:f>MAX(0,MIN('Activities'!L312,66)-MAX('Activities'!K312,60))</x:f>
        <x:v>0</x:v>
      </x:c>
      <x:c r="P312" s="22" t="n">
        <x:f>MAX(0,MIN('Activities'!L312,72)-MAX('Activities'!K312,66))</x:f>
        <x:v>0</x:v>
      </x:c>
      <x:c r="Q312" s="22" t="n">
        <x:f>MAX(0,MIN('Activities'!L312,78)-MAX('Activities'!K312,72))</x:f>
        <x:v>0</x:v>
      </x:c>
      <x:c r="R312" s="22" t="n">
        <x:f>MAX(0,MIN('Activities'!L312,84)-MAX('Activities'!K312,78))</x:f>
        <x:v>0</x:v>
      </x:c>
      <x:c r="S312" s="22" t="n">
        <x:f>MAX(0,MIN('Activities'!L312,90)-MAX('Activities'!K312,84))</x:f>
        <x:v>0</x:v>
      </x:c>
      <x:c r="T312" s="22" t="n">
        <x:f>MAX(0,MIN('Activities'!L312,96)-MAX('Activities'!K312,90))</x:f>
        <x:v>0</x:v>
      </x:c>
      <x:c r="U312" s="22" t="n">
        <x:f>MAX(0,MIN('Activities'!L312,102)-MAX('Activities'!K312,96))</x:f>
        <x:v>0</x:v>
      </x:c>
      <x:c r="V312" s="22" t="n">
        <x:f>MAX(0,MIN('Activities'!L312,108)-MAX('Activities'!K312,102))</x:f>
        <x:v>0</x:v>
      </x:c>
      <x:c r="W312" s="22" t="n">
        <x:f>MAX(0,MIN('Activities'!L312,114)-MAX('Activities'!K312,108))</x:f>
        <x:v>0</x:v>
      </x:c>
      <x:c r="X312" s="22" t="n">
        <x:f>MAX(0,MIN('Activities'!L312,120)-MAX('Activities'!K312,114))</x:f>
        <x:v>0</x:v>
      </x:c>
      <x:c r="Y312" s="22" t="n">
        <x:f>MAX(0,MIN('Activities'!L312,126)-MAX('Activities'!K312,120))</x:f>
        <x:v>0</x:v>
      </x:c>
      <x:c r="Z312" s="22" t="n">
        <x:f>MAX(0,MIN('Activities'!L312,132)-MAX('Activities'!K312,126))</x:f>
        <x:v>0</x:v>
      </x:c>
      <x:c r="AA312" s="22" t="n">
        <x:f>MAX(0,MIN('Activities'!L312,138)-MAX('Activities'!K312,132))</x:f>
        <x:v>0</x:v>
      </x:c>
      <x:c r="AB312" s="22" t="n">
        <x:f>MAX(0,MIN('Activities'!L312,144)-MAX('Activities'!K312,138))</x:f>
        <x:v>0</x:v>
      </x:c>
      <x:c r="AC312" s="22" t="n">
        <x:f>MAX(0,MIN('Activities'!L312,150)-MAX('Activities'!K312,144))</x:f>
        <x:v>0</x:v>
      </x:c>
      <x:c r="AD312" s="22" t="n">
        <x:f>MAX(0,MIN('Activities'!L312,156)-MAX('Activities'!K312,150))</x:f>
        <x:v>0</x:v>
      </x:c>
      <x:c r="AE312" s="22" t="n">
        <x:f>MAX(0,MIN('Activities'!L312,162)-MAX('Activities'!K312,156))</x:f>
        <x:v>0</x:v>
      </x:c>
      <x:c r="AF312" s="22" t="n">
        <x:f>MAX(0,MIN('Activities'!L312,168)-MAX('Activities'!K312,162))</x:f>
        <x:v>0</x:v>
      </x:c>
      <x:c r="AG312" s="22" t="n">
        <x:f>MAX(0,MIN('Activities'!L312,174)-MAX('Activities'!K312,168))</x:f>
        <x:v>0</x:v>
      </x:c>
      <x:c r="AH312" s="22" t="n">
        <x:f>MAX(0,MIN('Activities'!L312,180)-MAX('Activities'!K312,174))</x:f>
        <x:v>0</x:v>
      </x:c>
      <x:c r="AI312" s="22" t="n">
        <x:f>MAX(0,MIN('Activities'!L312,186)-MAX('Activities'!K312,180))</x:f>
        <x:v>0</x:v>
      </x:c>
      <x:c r="AJ312" s="22" t="n">
        <x:f>MAX(0,MIN('Activities'!L312,192)-MAX('Activities'!K312,186))</x:f>
        <x:v>0</x:v>
      </x:c>
      <x:c r="AK312" s="22" t="n">
        <x:f>MAX(0,MIN('Activities'!L312,198)-MAX('Activities'!K312,192))</x:f>
        <x:v>0</x:v>
      </x:c>
      <x:c r="AL312" s="22" t="n">
        <x:f>MAX(0,MIN('Activities'!L312,204)-MAX('Activities'!K312,198))</x:f>
        <x:v>0</x:v>
      </x:c>
      <x:c r="AM312" s="22" t="n">
        <x:f>MAX(0,MIN('Activities'!L312,210)-MAX('Activities'!K312,204))</x:f>
        <x:v>0</x:v>
      </x:c>
      <x:c r="AN312" s="22" t="n">
        <x:f>MAX(0,MIN('Activities'!L312,216)-MAX('Activities'!K312,210))</x:f>
        <x:v>0</x:v>
      </x:c>
      <x:c r="AO312" s="22" t="n">
        <x:f>MAX(0,MIN('Activities'!L312,222)-MAX('Activities'!K312,216))</x:f>
        <x:v>0</x:v>
      </x:c>
      <x:c r="AP312" s="22" t="n">
        <x:f>MAX(0,MIN('Activities'!L312,228)-MAX('Activities'!K312,222))</x:f>
        <x:v>0</x:v>
      </x:c>
      <x:c r="AQ312" s="22" t="n">
        <x:f>MAX(0,MIN('Activities'!L312,234)-MAX('Activities'!K312,228))</x:f>
        <x:v>0</x:v>
      </x:c>
      <x:c r="AR312" s="22" t="n">
        <x:f>MAX(0,MIN('Activities'!L312,240)-MAX('Activities'!K312,234))</x:f>
        <x:v>0</x:v>
      </x:c>
      <x:c r="AS312" s="22" t="n">
        <x:f>MAX(0,MIN('Activities'!L312,246)-MAX('Activities'!K312,240))</x:f>
        <x:v>0</x:v>
      </x:c>
      <x:c r="AT312" s="22" t="n">
        <x:f>MAX(0,MIN('Activities'!L312,252)-MAX('Activities'!K312,246))</x:f>
        <x:v>0</x:v>
      </x:c>
      <x:c r="AU312" s="22" t="n">
        <x:f>MAX(0,MIN('Activities'!L312,258)-MAX('Activities'!K312,252))</x:f>
        <x:v>0</x:v>
      </x:c>
      <x:c r="AV312" s="22" t="n">
        <x:f>MAX(0,MIN('Activities'!L312,264)-MAX('Activities'!K312,258))</x:f>
        <x:v>0</x:v>
      </x:c>
      <x:c r="AW312" s="22" t="n">
        <x:f>MAX(0,MIN('Activities'!L312,270)-MAX('Activities'!K312,264))</x:f>
        <x:v>0</x:v>
      </x:c>
      <x:c r="AX312" s="22" t="n">
        <x:f>MAX(0,MIN('Activities'!L312,276)-MAX('Activities'!K312,270))</x:f>
        <x:v>0</x:v>
      </x:c>
      <x:c r="AY312" s="22" t="n">
        <x:f>MAX(0,MIN('Activities'!L312,282)-MAX('Activities'!K312,276))</x:f>
        <x:v>0</x:v>
      </x:c>
      <x:c r="AZ312" s="22" t="n">
        <x:f>MAX(0,MIN('Activities'!L312,288)-MAX('Activities'!K312,282))</x:f>
        <x:v>0</x:v>
      </x:c>
      <x:c r="BA312" s="22" t="n">
        <x:f>MAX(0,MIN('Activities'!L312,294)-MAX('Activities'!K312,288))</x:f>
        <x:v>0</x:v>
      </x:c>
      <x:c r="BB312" s="22" t="n">
        <x:f>MAX(0,MIN('Activities'!L312,300)-MAX('Activities'!K312,294))</x:f>
        <x:v>2</x:v>
      </x:c>
      <x:c r="BC312" s="22" t="n">
        <x:f>MAX(0,MIN('Activities'!L312,306)-MAX('Activities'!K312,300))</x:f>
        <x:v>0</x:v>
      </x:c>
      <x:c r="BD312" s="22" t="n">
        <x:f>MAX(0,MIN('Activities'!L312,312)-MAX('Activities'!K312,306))</x:f>
        <x:v>0</x:v>
      </x:c>
      <x:c r="BE312" s="22" t="n">
        <x:f>MAX(0,MIN('Activities'!L312,318)-MAX('Activities'!K312,312))</x:f>
        <x:v>0</x:v>
      </x:c>
      <x:c r="BF312" s="22" t="n">
        <x:f>MAX(0,MIN('Activities'!L312,324)-MAX('Activities'!K312,318))</x:f>
        <x:v>0</x:v>
      </x:c>
      <x:c r="BG312" s="22" t="n">
        <x:f>MAX(0,MIN('Activities'!L312,330)-MAX('Activities'!K312,324))</x:f>
        <x:v>0</x:v>
      </x:c>
      <x:c r="BH312" s="22" t="n">
        <x:f>MAX(0,MIN('Activities'!L312,336)-MAX('Activities'!K312,330))</x:f>
        <x:v>0</x:v>
      </x:c>
      <x:c r="BI312" s="22" t="n">
        <x:f>MAX(0,MIN('Activities'!L312,342)-MAX('Activities'!K312,336))</x:f>
        <x:v>0</x:v>
      </x:c>
      <x:c r="BJ312" s="22" t="n">
        <x:f>MAX(0,MIN('Activities'!L312,348)-MAX('Activities'!K312,342))</x:f>
        <x:v>0</x:v>
      </x:c>
      <x:c r="BK312" s="22" t="n">
        <x:f>MAX(0,MIN('Activities'!L312,354)-MAX('Activities'!K312,348))</x:f>
        <x:v>0</x:v>
      </x:c>
      <x:c r="BL312" s="22" t="n">
        <x:f>MAX(0,MIN('Activities'!L312,360)-MAX('Activities'!K312,354))</x:f>
        <x:v>0</x:v>
      </x:c>
      <x:c r="BM312" s="22" t="n">
        <x:f>MAX(0,MIN('Activities'!L312,366)-MAX('Activities'!K312,360))</x:f>
        <x:v>0</x:v>
      </x:c>
      <x:c r="BN312" s="22" t="n">
        <x:f>MAX(0,MIN('Activities'!L312,372)-MAX('Activities'!K312,366))</x:f>
        <x:v>0</x:v>
      </x:c>
      <x:c r="BO312" s="22" t="n">
        <x:f>MAX(0,MIN('Activities'!L312,378)-MAX('Activities'!K312,372))</x:f>
        <x:v>0</x:v>
      </x:c>
      <x:c r="BP312" s="22" t="n">
        <x:f>MAX(0,MIN('Activities'!L312,384)-MAX('Activities'!K312,378))</x:f>
        <x:v>0</x:v>
      </x:c>
      <x:c r="BQ312" s="22" t="n">
        <x:f>MAX(0,MIN('Activities'!L312,390)-MAX('Activities'!K312,384))</x:f>
        <x:v>0</x:v>
      </x:c>
      <x:c r="BR312" s="22" t="n">
        <x:f>MAX(0,MIN('Activities'!L312,396)-MAX('Activities'!K312,390))</x:f>
        <x:v>0</x:v>
      </x:c>
      <x:c r="BS312" s="22" t="n">
        <x:f>MAX(0,MIN('Activities'!L312,402)-MAX('Activities'!K312,396))</x:f>
        <x:v>0</x:v>
      </x:c>
      <x:c r="BT312" s="22" t="n">
        <x:f>MAX(0,MIN('Activities'!L312,408)-MAX('Activities'!K312,402))</x:f>
        <x:v>0</x:v>
      </x:c>
      <x:c r="BU312" s="22" t="n">
        <x:f>MAX(0,MIN('Activities'!L312,414)-MAX('Activities'!K312,408))</x:f>
        <x:v>0</x:v>
      </x:c>
      <x:c r="BV312" s="22" t="n">
        <x:f>MAX(0,MIN('Activities'!L312,420)-MAX('Activities'!K312,414))</x:f>
        <x:v>0</x:v>
      </x:c>
      <x:c r="BW312" s="22" t="n">
        <x:f>MAX(0,MIN('Activities'!L312,426)-MAX('Activities'!K312,420))</x:f>
        <x:v>0</x:v>
      </x:c>
      <x:c r="BX312" s="22" t="n">
        <x:f>MAX(0,MIN('Activities'!L312,432)-MAX('Activities'!K312,426))</x:f>
        <x:v>0</x:v>
      </x:c>
      <x:c r="BY312" s="22" t="n">
        <x:f>MAX(0,MIN('Activities'!L312,438)-MAX('Activities'!K312,432))</x:f>
        <x:v>0</x:v>
      </x:c>
      <x:c r="BZ312" s="22" t="n">
        <x:f>MAX(0,MIN('Activities'!L312,444)-MAX('Activities'!K312,438))</x:f>
        <x:v>0</x:v>
      </x:c>
      <x:c r="CA312" s="22" t="n">
        <x:f>MAX(0,MIN('Activities'!L312,450)-MAX('Activities'!K312,444))</x:f>
        <x:v>0</x:v>
      </x:c>
      <x:c r="CB312" s="22" t="n">
        <x:f>MAX(0,MIN('Activities'!L312,456)-MAX('Activities'!K312,450))</x:f>
        <x:v>0</x:v>
      </x:c>
      <x:c r="CC312" s="22" t="n">
        <x:f>MAX(0,MIN('Activities'!L312,462)-MAX('Activities'!K312,456))</x:f>
        <x:v>0</x:v>
      </x:c>
      <x:c r="CD312" s="22" t="n">
        <x:f>MAX(0,MIN('Activities'!L312,468)-MAX('Activities'!K312,462))</x:f>
        <x:v>0</x:v>
      </x:c>
      <x:c r="CE312" s="22" t="n">
        <x:f>MAX(0,MIN('Activities'!L312,474)-MAX('Activities'!K312,468))</x:f>
        <x:v>0</x:v>
      </x:c>
      <x:c r="CF312" s="22" t="n">
        <x:f>MAX(0,MIN('Activities'!L312,480)-MAX('Activities'!K312,474))</x:f>
        <x:v>0</x:v>
      </x:c>
      <x:c r="CG312" s="22" t="n">
        <x:f>MAX(0,MIN('Activities'!L312,486)-MAX('Activities'!K312,480))</x:f>
        <x:v>0</x:v>
      </x:c>
      <x:c r="CH312" s="22" t="n">
        <x:f>MAX(0,MIN('Activities'!L312,492)-MAX('Activities'!K312,486))</x:f>
        <x:v>0</x:v>
      </x:c>
      <x:c r="CI312" s="22" t="n">
        <x:f>MAX(0,MIN('Activities'!L312,498)-MAX('Activities'!K312,492))</x:f>
        <x:v>0</x:v>
      </x:c>
      <x:c r="CJ312" s="22" t="n">
        <x:f>MAX(0,MIN('Activities'!L312,504)-MAX('Activities'!K312,498))</x:f>
        <x:v>0</x:v>
      </x:c>
      <x:c r="CK312" s="22" t="n">
        <x:f>MAX(0,MIN('Activities'!L312,510)-MAX('Activities'!K312,504))</x:f>
        <x:v>0</x:v>
      </x:c>
      <x:c r="CL312" s="22" t="n">
        <x:f>MAX(0,MIN('Activities'!L312,516)-MAX('Activities'!K312,510))</x:f>
        <x:v>0</x:v>
      </x:c>
      <x:c r="CM312" s="22" t="n">
        <x:f>MAX(0,MIN('Activities'!L312,522)-MAX('Activities'!K312,516))</x:f>
        <x:v>0</x:v>
      </x:c>
      <x:c r="CN312" s="22" t="n">
        <x:f>MAX(0,MIN('Activities'!L312,528)-MAX('Activities'!K312,522))</x:f>
        <x:v>0</x:v>
      </x:c>
      <x:c r="CO312" s="22" t="n">
        <x:f>MAX(0,MIN('Activities'!L312,534)-MAX('Activities'!K312,528))</x:f>
        <x:v>0</x:v>
      </x:c>
      <x:c r="CP312" s="22" t="n">
        <x:f>MAX(0,MIN('Activities'!L312,540)-MAX('Activities'!K312,534))</x:f>
        <x:v>0</x:v>
      </x:c>
      <x:c r="CQ312" s="22" t="n">
        <x:f>MAX(0,MIN('Activities'!L312,546)-MAX('Activities'!K312,540))</x:f>
        <x:v>0</x:v>
      </x:c>
      <x:c r="CR312" s="22" t="n">
        <x:f>MAX(0,MIN('Activities'!L312,552)-MAX('Activities'!K312,546))</x:f>
        <x:v>0</x:v>
      </x:c>
      <x:c r="CS312" s="22" t="n">
        <x:f>MAX(0,MIN('Activities'!L312,558)-MAX('Activities'!K312,552))</x:f>
        <x:v>0</x:v>
      </x:c>
      <x:c r="CT312" s="22" t="n">
        <x:f>MAX(0,MIN('Activities'!L312,564)-MAX('Activities'!K312,558))</x:f>
        <x:v>0</x:v>
      </x:c>
      <x:c r="CU312" s="22" t="n">
        <x:f>MAX(0,MIN('Activities'!L312,570)-MAX('Activities'!K312,564))</x:f>
        <x:v>0</x:v>
      </x:c>
      <x:c r="CV312" s="22" t="n">
        <x:f>MAX(0,MIN('Activities'!L312,576)-MAX('Activities'!K312,570))</x:f>
        <x:v>0</x:v>
      </x:c>
      <x:c r="CW312" s="22" t="n">
        <x:f>MAX(0,MIN('Activities'!L312,582)-MAX('Activities'!K312,576))</x:f>
        <x:v>0</x:v>
      </x:c>
      <x:c r="CX312" s="22" t="n">
        <x:f>MAX(0,MIN('Activities'!L312,588)-MAX('Activities'!K312,582))</x:f>
        <x:v>0</x:v>
      </x:c>
      <x:c r="CY312" s="22" t="n">
        <x:f>MAX(0,MIN('Activities'!L312,594)-MAX('Activities'!K312,588))</x:f>
        <x:v>0</x:v>
      </x:c>
      <x:c r="CZ312" s="22" t="n">
        <x:f>MAX(0,MIN('Activities'!L312,600)-MAX('Activities'!K312,594))</x:f>
        <x:v>0</x:v>
      </x:c>
      <x:c r="DA312" s="22" t="n">
        <x:f>MAX(0,MIN('Activities'!L312,606)-MAX('Activities'!K312,600))</x:f>
        <x:v>0</x:v>
      </x:c>
      <x:c r="DB312" s="22" t="n">
        <x:f>MAX(0,MIN('Activities'!L312,612)-MAX('Activities'!K312,606))</x:f>
        <x:v>0</x:v>
      </x:c>
      <x:c r="DC312" s="22" t="n">
        <x:f>MAX(0,MIN('Activities'!L312,618)-MAX('Activities'!K312,612))</x:f>
        <x:v>0</x:v>
      </x:c>
      <x:c r="DD312" s="22" t="n">
        <x:f>MAX(0,MIN('Activities'!L312,624)-MAX('Activities'!K312,618))</x:f>
        <x:v>0</x:v>
      </x:c>
      <x:c r="DE312" s="22" t="n">
        <x:f>MAX(0,MIN('Activities'!L312,630)-MAX('Activities'!K312,624))</x:f>
        <x:v>0</x:v>
      </x:c>
      <x:c r="DF312" s="22" t="n">
        <x:f>MAX(0,MIN('Activities'!L312,636)-MAX('Activities'!K312,630))</x:f>
        <x:v>0</x:v>
      </x:c>
    </x:row>
    <x:row r="313" ht="23" customHeight="1">
      <x:c r="A313" s="1" t="str">
        <x:v>T3-L07-H</x:v>
      </x:c>
      <x:c r="B313" s="1" t="str">
        <x:v>T3</x:v>
      </x:c>
      <x:c r="C313" s="1" t="str">
        <x:v>Curing and release hold point</x:v>
      </x:c>
      <x:c r="D313" s="1" t="str">
        <x:v>Site</x:v>
      </x:c>
      <x:c r="E313" s="23" t="n">
        <x:f>MAX(0,MIN('Activities'!L313,6)-MAX('Activities'!K313,0))</x:f>
        <x:v>0</x:v>
      </x:c>
      <x:c r="F313" s="23" t="n">
        <x:f>MAX(0,MIN('Activities'!L313,12)-MAX('Activities'!K313,6))</x:f>
        <x:v>0</x:v>
      </x:c>
      <x:c r="G313" s="23" t="n">
        <x:f>MAX(0,MIN('Activities'!L313,18)-MAX('Activities'!K313,12))</x:f>
        <x:v>0</x:v>
      </x:c>
      <x:c r="H313" s="23" t="n">
        <x:f>MAX(0,MIN('Activities'!L313,24)-MAX('Activities'!K313,18))</x:f>
        <x:v>0</x:v>
      </x:c>
      <x:c r="I313" s="23" t="n">
        <x:f>MAX(0,MIN('Activities'!L313,30)-MAX('Activities'!K313,24))</x:f>
        <x:v>0</x:v>
      </x:c>
      <x:c r="J313" s="23" t="n">
        <x:f>MAX(0,MIN('Activities'!L313,36)-MAX('Activities'!K313,30))</x:f>
        <x:v>0</x:v>
      </x:c>
      <x:c r="K313" s="23" t="n">
        <x:f>MAX(0,MIN('Activities'!L313,42)-MAX('Activities'!K313,36))</x:f>
        <x:v>0</x:v>
      </x:c>
      <x:c r="L313" s="23" t="n">
        <x:f>MAX(0,MIN('Activities'!L313,48)-MAX('Activities'!K313,42))</x:f>
        <x:v>0</x:v>
      </x:c>
      <x:c r="M313" s="23" t="n">
        <x:f>MAX(0,MIN('Activities'!L313,54)-MAX('Activities'!K313,48))</x:f>
        <x:v>0</x:v>
      </x:c>
      <x:c r="N313" s="23" t="n">
        <x:f>MAX(0,MIN('Activities'!L313,60)-MAX('Activities'!K313,54))</x:f>
        <x:v>0</x:v>
      </x:c>
      <x:c r="O313" s="23" t="n">
        <x:f>MAX(0,MIN('Activities'!L313,66)-MAX('Activities'!K313,60))</x:f>
        <x:v>0</x:v>
      </x:c>
      <x:c r="P313" s="23" t="n">
        <x:f>MAX(0,MIN('Activities'!L313,72)-MAX('Activities'!K313,66))</x:f>
        <x:v>0</x:v>
      </x:c>
      <x:c r="Q313" s="23" t="n">
        <x:f>MAX(0,MIN('Activities'!L313,78)-MAX('Activities'!K313,72))</x:f>
        <x:v>0</x:v>
      </x:c>
      <x:c r="R313" s="23" t="n">
        <x:f>MAX(0,MIN('Activities'!L313,84)-MAX('Activities'!K313,78))</x:f>
        <x:v>0</x:v>
      </x:c>
      <x:c r="S313" s="23" t="n">
        <x:f>MAX(0,MIN('Activities'!L313,90)-MAX('Activities'!K313,84))</x:f>
        <x:v>0</x:v>
      </x:c>
      <x:c r="T313" s="23" t="n">
        <x:f>MAX(0,MIN('Activities'!L313,96)-MAX('Activities'!K313,90))</x:f>
        <x:v>0</x:v>
      </x:c>
      <x:c r="U313" s="23" t="n">
        <x:f>MAX(0,MIN('Activities'!L313,102)-MAX('Activities'!K313,96))</x:f>
        <x:v>0</x:v>
      </x:c>
      <x:c r="V313" s="23" t="n">
        <x:f>MAX(0,MIN('Activities'!L313,108)-MAX('Activities'!K313,102))</x:f>
        <x:v>0</x:v>
      </x:c>
      <x:c r="W313" s="23" t="n">
        <x:f>MAX(0,MIN('Activities'!L313,114)-MAX('Activities'!K313,108))</x:f>
        <x:v>0</x:v>
      </x:c>
      <x:c r="X313" s="23" t="n">
        <x:f>MAX(0,MIN('Activities'!L313,120)-MAX('Activities'!K313,114))</x:f>
        <x:v>0</x:v>
      </x:c>
      <x:c r="Y313" s="23" t="n">
        <x:f>MAX(0,MIN('Activities'!L313,126)-MAX('Activities'!K313,120))</x:f>
        <x:v>0</x:v>
      </x:c>
      <x:c r="Z313" s="23" t="n">
        <x:f>MAX(0,MIN('Activities'!L313,132)-MAX('Activities'!K313,126))</x:f>
        <x:v>0</x:v>
      </x:c>
      <x:c r="AA313" s="23" t="n">
        <x:f>MAX(0,MIN('Activities'!L313,138)-MAX('Activities'!K313,132))</x:f>
        <x:v>0</x:v>
      </x:c>
      <x:c r="AB313" s="23" t="n">
        <x:f>MAX(0,MIN('Activities'!L313,144)-MAX('Activities'!K313,138))</x:f>
        <x:v>0</x:v>
      </x:c>
      <x:c r="AC313" s="23" t="n">
        <x:f>MAX(0,MIN('Activities'!L313,150)-MAX('Activities'!K313,144))</x:f>
        <x:v>0</x:v>
      </x:c>
      <x:c r="AD313" s="23" t="n">
        <x:f>MAX(0,MIN('Activities'!L313,156)-MAX('Activities'!K313,150))</x:f>
        <x:v>0</x:v>
      </x:c>
      <x:c r="AE313" s="23" t="n">
        <x:f>MAX(0,MIN('Activities'!L313,162)-MAX('Activities'!K313,156))</x:f>
        <x:v>0</x:v>
      </x:c>
      <x:c r="AF313" s="23" t="n">
        <x:f>MAX(0,MIN('Activities'!L313,168)-MAX('Activities'!K313,162))</x:f>
        <x:v>0</x:v>
      </x:c>
      <x:c r="AG313" s="23" t="n">
        <x:f>MAX(0,MIN('Activities'!L313,174)-MAX('Activities'!K313,168))</x:f>
        <x:v>0</x:v>
      </x:c>
      <x:c r="AH313" s="23" t="n">
        <x:f>MAX(0,MIN('Activities'!L313,180)-MAX('Activities'!K313,174))</x:f>
        <x:v>0</x:v>
      </x:c>
      <x:c r="AI313" s="23" t="n">
        <x:f>MAX(0,MIN('Activities'!L313,186)-MAX('Activities'!K313,180))</x:f>
        <x:v>0</x:v>
      </x:c>
      <x:c r="AJ313" s="23" t="n">
        <x:f>MAX(0,MIN('Activities'!L313,192)-MAX('Activities'!K313,186))</x:f>
        <x:v>0</x:v>
      </x:c>
      <x:c r="AK313" s="23" t="n">
        <x:f>MAX(0,MIN('Activities'!L313,198)-MAX('Activities'!K313,192))</x:f>
        <x:v>0</x:v>
      </x:c>
      <x:c r="AL313" s="23" t="n">
        <x:f>MAX(0,MIN('Activities'!L313,204)-MAX('Activities'!K313,198))</x:f>
        <x:v>0</x:v>
      </x:c>
      <x:c r="AM313" s="23" t="n">
        <x:f>MAX(0,MIN('Activities'!L313,210)-MAX('Activities'!K313,204))</x:f>
        <x:v>0</x:v>
      </x:c>
      <x:c r="AN313" s="23" t="n">
        <x:f>MAX(0,MIN('Activities'!L313,216)-MAX('Activities'!K313,210))</x:f>
        <x:v>0</x:v>
      </x:c>
      <x:c r="AO313" s="23" t="n">
        <x:f>MAX(0,MIN('Activities'!L313,222)-MAX('Activities'!K313,216))</x:f>
        <x:v>0</x:v>
      </x:c>
      <x:c r="AP313" s="23" t="n">
        <x:f>MAX(0,MIN('Activities'!L313,228)-MAX('Activities'!K313,222))</x:f>
        <x:v>0</x:v>
      </x:c>
      <x:c r="AQ313" s="23" t="n">
        <x:f>MAX(0,MIN('Activities'!L313,234)-MAX('Activities'!K313,228))</x:f>
        <x:v>0</x:v>
      </x:c>
      <x:c r="AR313" s="23" t="n">
        <x:f>MAX(0,MIN('Activities'!L313,240)-MAX('Activities'!K313,234))</x:f>
        <x:v>0</x:v>
      </x:c>
      <x:c r="AS313" s="23" t="n">
        <x:f>MAX(0,MIN('Activities'!L313,246)-MAX('Activities'!K313,240))</x:f>
        <x:v>0</x:v>
      </x:c>
      <x:c r="AT313" s="23" t="n">
        <x:f>MAX(0,MIN('Activities'!L313,252)-MAX('Activities'!K313,246))</x:f>
        <x:v>0</x:v>
      </x:c>
      <x:c r="AU313" s="23" t="n">
        <x:f>MAX(0,MIN('Activities'!L313,258)-MAX('Activities'!K313,252))</x:f>
        <x:v>0</x:v>
      </x:c>
      <x:c r="AV313" s="23" t="n">
        <x:f>MAX(0,MIN('Activities'!L313,264)-MAX('Activities'!K313,258))</x:f>
        <x:v>0</x:v>
      </x:c>
      <x:c r="AW313" s="23" t="n">
        <x:f>MAX(0,MIN('Activities'!L313,270)-MAX('Activities'!K313,264))</x:f>
        <x:v>0</x:v>
      </x:c>
      <x:c r="AX313" s="23" t="n">
        <x:f>MAX(0,MIN('Activities'!L313,276)-MAX('Activities'!K313,270))</x:f>
        <x:v>0</x:v>
      </x:c>
      <x:c r="AY313" s="23" t="n">
        <x:f>MAX(0,MIN('Activities'!L313,282)-MAX('Activities'!K313,276))</x:f>
        <x:v>0</x:v>
      </x:c>
      <x:c r="AZ313" s="23" t="n">
        <x:f>MAX(0,MIN('Activities'!L313,288)-MAX('Activities'!K313,282))</x:f>
        <x:v>0</x:v>
      </x:c>
      <x:c r="BA313" s="23" t="n">
        <x:f>MAX(0,MIN('Activities'!L313,294)-MAX('Activities'!K313,288))</x:f>
        <x:v>0</x:v>
      </x:c>
      <x:c r="BB313" s="23" t="n">
        <x:f>MAX(0,MIN('Activities'!L313,300)-MAX('Activities'!K313,294))</x:f>
        <x:v>3</x:v>
      </x:c>
      <x:c r="BC313" s="23" t="n">
        <x:f>MAX(0,MIN('Activities'!L313,306)-MAX('Activities'!K313,300))</x:f>
        <x:v>2</x:v>
      </x:c>
      <x:c r="BD313" s="23" t="n">
        <x:f>MAX(0,MIN('Activities'!L313,312)-MAX('Activities'!K313,306))</x:f>
        <x:v>0</x:v>
      </x:c>
      <x:c r="BE313" s="23" t="n">
        <x:f>MAX(0,MIN('Activities'!L313,318)-MAX('Activities'!K313,312))</x:f>
        <x:v>0</x:v>
      </x:c>
      <x:c r="BF313" s="23" t="n">
        <x:f>MAX(0,MIN('Activities'!L313,324)-MAX('Activities'!K313,318))</x:f>
        <x:v>0</x:v>
      </x:c>
      <x:c r="BG313" s="23" t="n">
        <x:f>MAX(0,MIN('Activities'!L313,330)-MAX('Activities'!K313,324))</x:f>
        <x:v>0</x:v>
      </x:c>
      <x:c r="BH313" s="23" t="n">
        <x:f>MAX(0,MIN('Activities'!L313,336)-MAX('Activities'!K313,330))</x:f>
        <x:v>0</x:v>
      </x:c>
      <x:c r="BI313" s="23" t="n">
        <x:f>MAX(0,MIN('Activities'!L313,342)-MAX('Activities'!K313,336))</x:f>
        <x:v>0</x:v>
      </x:c>
      <x:c r="BJ313" s="23" t="n">
        <x:f>MAX(0,MIN('Activities'!L313,348)-MAX('Activities'!K313,342))</x:f>
        <x:v>0</x:v>
      </x:c>
      <x:c r="BK313" s="23" t="n">
        <x:f>MAX(0,MIN('Activities'!L313,354)-MAX('Activities'!K313,348))</x:f>
        <x:v>0</x:v>
      </x:c>
      <x:c r="BL313" s="23" t="n">
        <x:f>MAX(0,MIN('Activities'!L313,360)-MAX('Activities'!K313,354))</x:f>
        <x:v>0</x:v>
      </x:c>
      <x:c r="BM313" s="23" t="n">
        <x:f>MAX(0,MIN('Activities'!L313,366)-MAX('Activities'!K313,360))</x:f>
        <x:v>0</x:v>
      </x:c>
      <x:c r="BN313" s="23" t="n">
        <x:f>MAX(0,MIN('Activities'!L313,372)-MAX('Activities'!K313,366))</x:f>
        <x:v>0</x:v>
      </x:c>
      <x:c r="BO313" s="23" t="n">
        <x:f>MAX(0,MIN('Activities'!L313,378)-MAX('Activities'!K313,372))</x:f>
        <x:v>0</x:v>
      </x:c>
      <x:c r="BP313" s="23" t="n">
        <x:f>MAX(0,MIN('Activities'!L313,384)-MAX('Activities'!K313,378))</x:f>
        <x:v>0</x:v>
      </x:c>
      <x:c r="BQ313" s="23" t="n">
        <x:f>MAX(0,MIN('Activities'!L313,390)-MAX('Activities'!K313,384))</x:f>
        <x:v>0</x:v>
      </x:c>
      <x:c r="BR313" s="23" t="n">
        <x:f>MAX(0,MIN('Activities'!L313,396)-MAX('Activities'!K313,390))</x:f>
        <x:v>0</x:v>
      </x:c>
      <x:c r="BS313" s="23" t="n">
        <x:f>MAX(0,MIN('Activities'!L313,402)-MAX('Activities'!K313,396))</x:f>
        <x:v>0</x:v>
      </x:c>
      <x:c r="BT313" s="23" t="n">
        <x:f>MAX(0,MIN('Activities'!L313,408)-MAX('Activities'!K313,402))</x:f>
        <x:v>0</x:v>
      </x:c>
      <x:c r="BU313" s="23" t="n">
        <x:f>MAX(0,MIN('Activities'!L313,414)-MAX('Activities'!K313,408))</x:f>
        <x:v>0</x:v>
      </x:c>
      <x:c r="BV313" s="23" t="n">
        <x:f>MAX(0,MIN('Activities'!L313,420)-MAX('Activities'!K313,414))</x:f>
        <x:v>0</x:v>
      </x:c>
      <x:c r="BW313" s="23" t="n">
        <x:f>MAX(0,MIN('Activities'!L313,426)-MAX('Activities'!K313,420))</x:f>
        <x:v>0</x:v>
      </x:c>
      <x:c r="BX313" s="23" t="n">
        <x:f>MAX(0,MIN('Activities'!L313,432)-MAX('Activities'!K313,426))</x:f>
        <x:v>0</x:v>
      </x:c>
      <x:c r="BY313" s="23" t="n">
        <x:f>MAX(0,MIN('Activities'!L313,438)-MAX('Activities'!K313,432))</x:f>
        <x:v>0</x:v>
      </x:c>
      <x:c r="BZ313" s="23" t="n">
        <x:f>MAX(0,MIN('Activities'!L313,444)-MAX('Activities'!K313,438))</x:f>
        <x:v>0</x:v>
      </x:c>
      <x:c r="CA313" s="23" t="n">
        <x:f>MAX(0,MIN('Activities'!L313,450)-MAX('Activities'!K313,444))</x:f>
        <x:v>0</x:v>
      </x:c>
      <x:c r="CB313" s="23" t="n">
        <x:f>MAX(0,MIN('Activities'!L313,456)-MAX('Activities'!K313,450))</x:f>
        <x:v>0</x:v>
      </x:c>
      <x:c r="CC313" s="23" t="n">
        <x:f>MAX(0,MIN('Activities'!L313,462)-MAX('Activities'!K313,456))</x:f>
        <x:v>0</x:v>
      </x:c>
      <x:c r="CD313" s="23" t="n">
        <x:f>MAX(0,MIN('Activities'!L313,468)-MAX('Activities'!K313,462))</x:f>
        <x:v>0</x:v>
      </x:c>
      <x:c r="CE313" s="23" t="n">
        <x:f>MAX(0,MIN('Activities'!L313,474)-MAX('Activities'!K313,468))</x:f>
        <x:v>0</x:v>
      </x:c>
      <x:c r="CF313" s="23" t="n">
        <x:f>MAX(0,MIN('Activities'!L313,480)-MAX('Activities'!K313,474))</x:f>
        <x:v>0</x:v>
      </x:c>
      <x:c r="CG313" s="23" t="n">
        <x:f>MAX(0,MIN('Activities'!L313,486)-MAX('Activities'!K313,480))</x:f>
        <x:v>0</x:v>
      </x:c>
      <x:c r="CH313" s="23" t="n">
        <x:f>MAX(0,MIN('Activities'!L313,492)-MAX('Activities'!K313,486))</x:f>
        <x:v>0</x:v>
      </x:c>
      <x:c r="CI313" s="23" t="n">
        <x:f>MAX(0,MIN('Activities'!L313,498)-MAX('Activities'!K313,492))</x:f>
        <x:v>0</x:v>
      </x:c>
      <x:c r="CJ313" s="23" t="n">
        <x:f>MAX(0,MIN('Activities'!L313,504)-MAX('Activities'!K313,498))</x:f>
        <x:v>0</x:v>
      </x:c>
      <x:c r="CK313" s="23" t="n">
        <x:f>MAX(0,MIN('Activities'!L313,510)-MAX('Activities'!K313,504))</x:f>
        <x:v>0</x:v>
      </x:c>
      <x:c r="CL313" s="23" t="n">
        <x:f>MAX(0,MIN('Activities'!L313,516)-MAX('Activities'!K313,510))</x:f>
        <x:v>0</x:v>
      </x:c>
      <x:c r="CM313" s="23" t="n">
        <x:f>MAX(0,MIN('Activities'!L313,522)-MAX('Activities'!K313,516))</x:f>
        <x:v>0</x:v>
      </x:c>
      <x:c r="CN313" s="23" t="n">
        <x:f>MAX(0,MIN('Activities'!L313,528)-MAX('Activities'!K313,522))</x:f>
        <x:v>0</x:v>
      </x:c>
      <x:c r="CO313" s="23" t="n">
        <x:f>MAX(0,MIN('Activities'!L313,534)-MAX('Activities'!K313,528))</x:f>
        <x:v>0</x:v>
      </x:c>
      <x:c r="CP313" s="23" t="n">
        <x:f>MAX(0,MIN('Activities'!L313,540)-MAX('Activities'!K313,534))</x:f>
        <x:v>0</x:v>
      </x:c>
      <x:c r="CQ313" s="23" t="n">
        <x:f>MAX(0,MIN('Activities'!L313,546)-MAX('Activities'!K313,540))</x:f>
        <x:v>0</x:v>
      </x:c>
      <x:c r="CR313" s="23" t="n">
        <x:f>MAX(0,MIN('Activities'!L313,552)-MAX('Activities'!K313,546))</x:f>
        <x:v>0</x:v>
      </x:c>
      <x:c r="CS313" s="23" t="n">
        <x:f>MAX(0,MIN('Activities'!L313,558)-MAX('Activities'!K313,552))</x:f>
        <x:v>0</x:v>
      </x:c>
      <x:c r="CT313" s="23" t="n">
        <x:f>MAX(0,MIN('Activities'!L313,564)-MAX('Activities'!K313,558))</x:f>
        <x:v>0</x:v>
      </x:c>
      <x:c r="CU313" s="23" t="n">
        <x:f>MAX(0,MIN('Activities'!L313,570)-MAX('Activities'!K313,564))</x:f>
        <x:v>0</x:v>
      </x:c>
      <x:c r="CV313" s="23" t="n">
        <x:f>MAX(0,MIN('Activities'!L313,576)-MAX('Activities'!K313,570))</x:f>
        <x:v>0</x:v>
      </x:c>
      <x:c r="CW313" s="23" t="n">
        <x:f>MAX(0,MIN('Activities'!L313,582)-MAX('Activities'!K313,576))</x:f>
        <x:v>0</x:v>
      </x:c>
      <x:c r="CX313" s="23" t="n">
        <x:f>MAX(0,MIN('Activities'!L313,588)-MAX('Activities'!K313,582))</x:f>
        <x:v>0</x:v>
      </x:c>
      <x:c r="CY313" s="23" t="n">
        <x:f>MAX(0,MIN('Activities'!L313,594)-MAX('Activities'!K313,588))</x:f>
        <x:v>0</x:v>
      </x:c>
      <x:c r="CZ313" s="23" t="n">
        <x:f>MAX(0,MIN('Activities'!L313,600)-MAX('Activities'!K313,594))</x:f>
        <x:v>0</x:v>
      </x:c>
      <x:c r="DA313" s="23" t="n">
        <x:f>MAX(0,MIN('Activities'!L313,606)-MAX('Activities'!K313,600))</x:f>
        <x:v>0</x:v>
      </x:c>
      <x:c r="DB313" s="23" t="n">
        <x:f>MAX(0,MIN('Activities'!L313,612)-MAX('Activities'!K313,606))</x:f>
        <x:v>0</x:v>
      </x:c>
      <x:c r="DC313" s="23" t="n">
        <x:f>MAX(0,MIN('Activities'!L313,618)-MAX('Activities'!K313,612))</x:f>
        <x:v>0</x:v>
      </x:c>
      <x:c r="DD313" s="23" t="n">
        <x:f>MAX(0,MIN('Activities'!L313,624)-MAX('Activities'!K313,618))</x:f>
        <x:v>0</x:v>
      </x:c>
      <x:c r="DE313" s="23" t="n">
        <x:f>MAX(0,MIN('Activities'!L313,630)-MAX('Activities'!K313,624))</x:f>
        <x:v>0</x:v>
      </x:c>
      <x:c r="DF313" s="23" t="n">
        <x:f>MAX(0,MIN('Activities'!L313,636)-MAX('Activities'!K313,630))</x:f>
        <x:v>0</x:v>
      </x:c>
    </x:row>
    <x:row r="314" ht="23" customHeight="1">
      <x:c r="A314" s="6" t="str">
        <x:v>T3-L08-F</x:v>
      </x:c>
      <x:c r="B314" s="6" t="str">
        <x:v>T3</x:v>
      </x:c>
      <x:c r="C314" s="6" t="str">
        <x:v>Columns, core and deck formwork</x:v>
      </x:c>
      <x:c r="D314" s="6" t="str">
        <x:v>Formwork</x:v>
      </x:c>
      <x:c r="E314" s="22" t="n">
        <x:f>MAX(0,MIN('Activities'!L314,6)-MAX('Activities'!K314,0))</x:f>
        <x:v>0</x:v>
      </x:c>
      <x:c r="F314" s="22" t="n">
        <x:f>MAX(0,MIN('Activities'!L314,12)-MAX('Activities'!K314,6))</x:f>
        <x:v>0</x:v>
      </x:c>
      <x:c r="G314" s="22" t="n">
        <x:f>MAX(0,MIN('Activities'!L314,18)-MAX('Activities'!K314,12))</x:f>
        <x:v>0</x:v>
      </x:c>
      <x:c r="H314" s="22" t="n">
        <x:f>MAX(0,MIN('Activities'!L314,24)-MAX('Activities'!K314,18))</x:f>
        <x:v>0</x:v>
      </x:c>
      <x:c r="I314" s="22" t="n">
        <x:f>MAX(0,MIN('Activities'!L314,30)-MAX('Activities'!K314,24))</x:f>
        <x:v>0</x:v>
      </x:c>
      <x:c r="J314" s="22" t="n">
        <x:f>MAX(0,MIN('Activities'!L314,36)-MAX('Activities'!K314,30))</x:f>
        <x:v>0</x:v>
      </x:c>
      <x:c r="K314" s="22" t="n">
        <x:f>MAX(0,MIN('Activities'!L314,42)-MAX('Activities'!K314,36))</x:f>
        <x:v>0</x:v>
      </x:c>
      <x:c r="L314" s="22" t="n">
        <x:f>MAX(0,MIN('Activities'!L314,48)-MAX('Activities'!K314,42))</x:f>
        <x:v>0</x:v>
      </x:c>
      <x:c r="M314" s="22" t="n">
        <x:f>MAX(0,MIN('Activities'!L314,54)-MAX('Activities'!K314,48))</x:f>
        <x:v>0</x:v>
      </x:c>
      <x:c r="N314" s="22" t="n">
        <x:f>MAX(0,MIN('Activities'!L314,60)-MAX('Activities'!K314,54))</x:f>
        <x:v>0</x:v>
      </x:c>
      <x:c r="O314" s="22" t="n">
        <x:f>MAX(0,MIN('Activities'!L314,66)-MAX('Activities'!K314,60))</x:f>
        <x:v>0</x:v>
      </x:c>
      <x:c r="P314" s="22" t="n">
        <x:f>MAX(0,MIN('Activities'!L314,72)-MAX('Activities'!K314,66))</x:f>
        <x:v>0</x:v>
      </x:c>
      <x:c r="Q314" s="22" t="n">
        <x:f>MAX(0,MIN('Activities'!L314,78)-MAX('Activities'!K314,72))</x:f>
        <x:v>0</x:v>
      </x:c>
      <x:c r="R314" s="22" t="n">
        <x:f>MAX(0,MIN('Activities'!L314,84)-MAX('Activities'!K314,78))</x:f>
        <x:v>0</x:v>
      </x:c>
      <x:c r="S314" s="22" t="n">
        <x:f>MAX(0,MIN('Activities'!L314,90)-MAX('Activities'!K314,84))</x:f>
        <x:v>0</x:v>
      </x:c>
      <x:c r="T314" s="22" t="n">
        <x:f>MAX(0,MIN('Activities'!L314,96)-MAX('Activities'!K314,90))</x:f>
        <x:v>0</x:v>
      </x:c>
      <x:c r="U314" s="22" t="n">
        <x:f>MAX(0,MIN('Activities'!L314,102)-MAX('Activities'!K314,96))</x:f>
        <x:v>0</x:v>
      </x:c>
      <x:c r="V314" s="22" t="n">
        <x:f>MAX(0,MIN('Activities'!L314,108)-MAX('Activities'!K314,102))</x:f>
        <x:v>0</x:v>
      </x:c>
      <x:c r="W314" s="22" t="n">
        <x:f>MAX(0,MIN('Activities'!L314,114)-MAX('Activities'!K314,108))</x:f>
        <x:v>0</x:v>
      </x:c>
      <x:c r="X314" s="22" t="n">
        <x:f>MAX(0,MIN('Activities'!L314,120)-MAX('Activities'!K314,114))</x:f>
        <x:v>0</x:v>
      </x:c>
      <x:c r="Y314" s="22" t="n">
        <x:f>MAX(0,MIN('Activities'!L314,126)-MAX('Activities'!K314,120))</x:f>
        <x:v>0</x:v>
      </x:c>
      <x:c r="Z314" s="22" t="n">
        <x:f>MAX(0,MIN('Activities'!L314,132)-MAX('Activities'!K314,126))</x:f>
        <x:v>0</x:v>
      </x:c>
      <x:c r="AA314" s="22" t="n">
        <x:f>MAX(0,MIN('Activities'!L314,138)-MAX('Activities'!K314,132))</x:f>
        <x:v>0</x:v>
      </x:c>
      <x:c r="AB314" s="22" t="n">
        <x:f>MAX(0,MIN('Activities'!L314,144)-MAX('Activities'!K314,138))</x:f>
        <x:v>0</x:v>
      </x:c>
      <x:c r="AC314" s="22" t="n">
        <x:f>MAX(0,MIN('Activities'!L314,150)-MAX('Activities'!K314,144))</x:f>
        <x:v>0</x:v>
      </x:c>
      <x:c r="AD314" s="22" t="n">
        <x:f>MAX(0,MIN('Activities'!L314,156)-MAX('Activities'!K314,150))</x:f>
        <x:v>0</x:v>
      </x:c>
      <x:c r="AE314" s="22" t="n">
        <x:f>MAX(0,MIN('Activities'!L314,162)-MAX('Activities'!K314,156))</x:f>
        <x:v>0</x:v>
      </x:c>
      <x:c r="AF314" s="22" t="n">
        <x:f>MAX(0,MIN('Activities'!L314,168)-MAX('Activities'!K314,162))</x:f>
        <x:v>0</x:v>
      </x:c>
      <x:c r="AG314" s="22" t="n">
        <x:f>MAX(0,MIN('Activities'!L314,174)-MAX('Activities'!K314,168))</x:f>
        <x:v>0</x:v>
      </x:c>
      <x:c r="AH314" s="22" t="n">
        <x:f>MAX(0,MIN('Activities'!L314,180)-MAX('Activities'!K314,174))</x:f>
        <x:v>0</x:v>
      </x:c>
      <x:c r="AI314" s="22" t="n">
        <x:f>MAX(0,MIN('Activities'!L314,186)-MAX('Activities'!K314,180))</x:f>
        <x:v>0</x:v>
      </x:c>
      <x:c r="AJ314" s="22" t="n">
        <x:f>MAX(0,MIN('Activities'!L314,192)-MAX('Activities'!K314,186))</x:f>
        <x:v>0</x:v>
      </x:c>
      <x:c r="AK314" s="22" t="n">
        <x:f>MAX(0,MIN('Activities'!L314,198)-MAX('Activities'!K314,192))</x:f>
        <x:v>0</x:v>
      </x:c>
      <x:c r="AL314" s="22" t="n">
        <x:f>MAX(0,MIN('Activities'!L314,204)-MAX('Activities'!K314,198))</x:f>
        <x:v>0</x:v>
      </x:c>
      <x:c r="AM314" s="22" t="n">
        <x:f>MAX(0,MIN('Activities'!L314,210)-MAX('Activities'!K314,204))</x:f>
        <x:v>0</x:v>
      </x:c>
      <x:c r="AN314" s="22" t="n">
        <x:f>MAX(0,MIN('Activities'!L314,216)-MAX('Activities'!K314,210))</x:f>
        <x:v>0</x:v>
      </x:c>
      <x:c r="AO314" s="22" t="n">
        <x:f>MAX(0,MIN('Activities'!L314,222)-MAX('Activities'!K314,216))</x:f>
        <x:v>0</x:v>
      </x:c>
      <x:c r="AP314" s="22" t="n">
        <x:f>MAX(0,MIN('Activities'!L314,228)-MAX('Activities'!K314,222))</x:f>
        <x:v>0</x:v>
      </x:c>
      <x:c r="AQ314" s="22" t="n">
        <x:f>MAX(0,MIN('Activities'!L314,234)-MAX('Activities'!K314,228))</x:f>
        <x:v>0</x:v>
      </x:c>
      <x:c r="AR314" s="22" t="n">
        <x:f>MAX(0,MIN('Activities'!L314,240)-MAX('Activities'!K314,234))</x:f>
        <x:v>0</x:v>
      </x:c>
      <x:c r="AS314" s="22" t="n">
        <x:f>MAX(0,MIN('Activities'!L314,246)-MAX('Activities'!K314,240))</x:f>
        <x:v>0</x:v>
      </x:c>
      <x:c r="AT314" s="22" t="n">
        <x:f>MAX(0,MIN('Activities'!L314,252)-MAX('Activities'!K314,246))</x:f>
        <x:v>0</x:v>
      </x:c>
      <x:c r="AU314" s="22" t="n">
        <x:f>MAX(0,MIN('Activities'!L314,258)-MAX('Activities'!K314,252))</x:f>
        <x:v>0</x:v>
      </x:c>
      <x:c r="AV314" s="22" t="n">
        <x:f>MAX(0,MIN('Activities'!L314,264)-MAX('Activities'!K314,258))</x:f>
        <x:v>0</x:v>
      </x:c>
      <x:c r="AW314" s="22" t="n">
        <x:f>MAX(0,MIN('Activities'!L314,270)-MAX('Activities'!K314,264))</x:f>
        <x:v>0</x:v>
      </x:c>
      <x:c r="AX314" s="22" t="n">
        <x:f>MAX(0,MIN('Activities'!L314,276)-MAX('Activities'!K314,270))</x:f>
        <x:v>0</x:v>
      </x:c>
      <x:c r="AY314" s="22" t="n">
        <x:f>MAX(0,MIN('Activities'!L314,282)-MAX('Activities'!K314,276))</x:f>
        <x:v>0</x:v>
      </x:c>
      <x:c r="AZ314" s="22" t="n">
        <x:f>MAX(0,MIN('Activities'!L314,288)-MAX('Activities'!K314,282))</x:f>
        <x:v>0</x:v>
      </x:c>
      <x:c r="BA314" s="22" t="n">
        <x:f>MAX(0,MIN('Activities'!L314,294)-MAX('Activities'!K314,288))</x:f>
        <x:v>0</x:v>
      </x:c>
      <x:c r="BB314" s="22" t="n">
        <x:f>MAX(0,MIN('Activities'!L314,300)-MAX('Activities'!K314,294))</x:f>
        <x:v>0</x:v>
      </x:c>
      <x:c r="BC314" s="22" t="n">
        <x:f>MAX(0,MIN('Activities'!L314,306)-MAX('Activities'!K314,300))</x:f>
        <x:v>4</x:v>
      </x:c>
      <x:c r="BD314" s="22" t="n">
        <x:f>MAX(0,MIN('Activities'!L314,312)-MAX('Activities'!K314,306))</x:f>
        <x:v>2</x:v>
      </x:c>
      <x:c r="BE314" s="22" t="n">
        <x:f>MAX(0,MIN('Activities'!L314,318)-MAX('Activities'!K314,312))</x:f>
        <x:v>0</x:v>
      </x:c>
      <x:c r="BF314" s="22" t="n">
        <x:f>MAX(0,MIN('Activities'!L314,324)-MAX('Activities'!K314,318))</x:f>
        <x:v>0</x:v>
      </x:c>
      <x:c r="BG314" s="22" t="n">
        <x:f>MAX(0,MIN('Activities'!L314,330)-MAX('Activities'!K314,324))</x:f>
        <x:v>0</x:v>
      </x:c>
      <x:c r="BH314" s="22" t="n">
        <x:f>MAX(0,MIN('Activities'!L314,336)-MAX('Activities'!K314,330))</x:f>
        <x:v>0</x:v>
      </x:c>
      <x:c r="BI314" s="22" t="n">
        <x:f>MAX(0,MIN('Activities'!L314,342)-MAX('Activities'!K314,336))</x:f>
        <x:v>0</x:v>
      </x:c>
      <x:c r="BJ314" s="22" t="n">
        <x:f>MAX(0,MIN('Activities'!L314,348)-MAX('Activities'!K314,342))</x:f>
        <x:v>0</x:v>
      </x:c>
      <x:c r="BK314" s="22" t="n">
        <x:f>MAX(0,MIN('Activities'!L314,354)-MAX('Activities'!K314,348))</x:f>
        <x:v>0</x:v>
      </x:c>
      <x:c r="BL314" s="22" t="n">
        <x:f>MAX(0,MIN('Activities'!L314,360)-MAX('Activities'!K314,354))</x:f>
        <x:v>0</x:v>
      </x:c>
      <x:c r="BM314" s="22" t="n">
        <x:f>MAX(0,MIN('Activities'!L314,366)-MAX('Activities'!K314,360))</x:f>
        <x:v>0</x:v>
      </x:c>
      <x:c r="BN314" s="22" t="n">
        <x:f>MAX(0,MIN('Activities'!L314,372)-MAX('Activities'!K314,366))</x:f>
        <x:v>0</x:v>
      </x:c>
      <x:c r="BO314" s="22" t="n">
        <x:f>MAX(0,MIN('Activities'!L314,378)-MAX('Activities'!K314,372))</x:f>
        <x:v>0</x:v>
      </x:c>
      <x:c r="BP314" s="22" t="n">
        <x:f>MAX(0,MIN('Activities'!L314,384)-MAX('Activities'!K314,378))</x:f>
        <x:v>0</x:v>
      </x:c>
      <x:c r="BQ314" s="22" t="n">
        <x:f>MAX(0,MIN('Activities'!L314,390)-MAX('Activities'!K314,384))</x:f>
        <x:v>0</x:v>
      </x:c>
      <x:c r="BR314" s="22" t="n">
        <x:f>MAX(0,MIN('Activities'!L314,396)-MAX('Activities'!K314,390))</x:f>
        <x:v>0</x:v>
      </x:c>
      <x:c r="BS314" s="22" t="n">
        <x:f>MAX(0,MIN('Activities'!L314,402)-MAX('Activities'!K314,396))</x:f>
        <x:v>0</x:v>
      </x:c>
      <x:c r="BT314" s="22" t="n">
        <x:f>MAX(0,MIN('Activities'!L314,408)-MAX('Activities'!K314,402))</x:f>
        <x:v>0</x:v>
      </x:c>
      <x:c r="BU314" s="22" t="n">
        <x:f>MAX(0,MIN('Activities'!L314,414)-MAX('Activities'!K314,408))</x:f>
        <x:v>0</x:v>
      </x:c>
      <x:c r="BV314" s="22" t="n">
        <x:f>MAX(0,MIN('Activities'!L314,420)-MAX('Activities'!K314,414))</x:f>
        <x:v>0</x:v>
      </x:c>
      <x:c r="BW314" s="22" t="n">
        <x:f>MAX(0,MIN('Activities'!L314,426)-MAX('Activities'!K314,420))</x:f>
        <x:v>0</x:v>
      </x:c>
      <x:c r="BX314" s="22" t="n">
        <x:f>MAX(0,MIN('Activities'!L314,432)-MAX('Activities'!K314,426))</x:f>
        <x:v>0</x:v>
      </x:c>
      <x:c r="BY314" s="22" t="n">
        <x:f>MAX(0,MIN('Activities'!L314,438)-MAX('Activities'!K314,432))</x:f>
        <x:v>0</x:v>
      </x:c>
      <x:c r="BZ314" s="22" t="n">
        <x:f>MAX(0,MIN('Activities'!L314,444)-MAX('Activities'!K314,438))</x:f>
        <x:v>0</x:v>
      </x:c>
      <x:c r="CA314" s="22" t="n">
        <x:f>MAX(0,MIN('Activities'!L314,450)-MAX('Activities'!K314,444))</x:f>
        <x:v>0</x:v>
      </x:c>
      <x:c r="CB314" s="22" t="n">
        <x:f>MAX(0,MIN('Activities'!L314,456)-MAX('Activities'!K314,450))</x:f>
        <x:v>0</x:v>
      </x:c>
      <x:c r="CC314" s="22" t="n">
        <x:f>MAX(0,MIN('Activities'!L314,462)-MAX('Activities'!K314,456))</x:f>
        <x:v>0</x:v>
      </x:c>
      <x:c r="CD314" s="22" t="n">
        <x:f>MAX(0,MIN('Activities'!L314,468)-MAX('Activities'!K314,462))</x:f>
        <x:v>0</x:v>
      </x:c>
      <x:c r="CE314" s="22" t="n">
        <x:f>MAX(0,MIN('Activities'!L314,474)-MAX('Activities'!K314,468))</x:f>
        <x:v>0</x:v>
      </x:c>
      <x:c r="CF314" s="22" t="n">
        <x:f>MAX(0,MIN('Activities'!L314,480)-MAX('Activities'!K314,474))</x:f>
        <x:v>0</x:v>
      </x:c>
      <x:c r="CG314" s="22" t="n">
        <x:f>MAX(0,MIN('Activities'!L314,486)-MAX('Activities'!K314,480))</x:f>
        <x:v>0</x:v>
      </x:c>
      <x:c r="CH314" s="22" t="n">
        <x:f>MAX(0,MIN('Activities'!L314,492)-MAX('Activities'!K314,486))</x:f>
        <x:v>0</x:v>
      </x:c>
      <x:c r="CI314" s="22" t="n">
        <x:f>MAX(0,MIN('Activities'!L314,498)-MAX('Activities'!K314,492))</x:f>
        <x:v>0</x:v>
      </x:c>
      <x:c r="CJ314" s="22" t="n">
        <x:f>MAX(0,MIN('Activities'!L314,504)-MAX('Activities'!K314,498))</x:f>
        <x:v>0</x:v>
      </x:c>
      <x:c r="CK314" s="22" t="n">
        <x:f>MAX(0,MIN('Activities'!L314,510)-MAX('Activities'!K314,504))</x:f>
        <x:v>0</x:v>
      </x:c>
      <x:c r="CL314" s="22" t="n">
        <x:f>MAX(0,MIN('Activities'!L314,516)-MAX('Activities'!K314,510))</x:f>
        <x:v>0</x:v>
      </x:c>
      <x:c r="CM314" s="22" t="n">
        <x:f>MAX(0,MIN('Activities'!L314,522)-MAX('Activities'!K314,516))</x:f>
        <x:v>0</x:v>
      </x:c>
      <x:c r="CN314" s="22" t="n">
        <x:f>MAX(0,MIN('Activities'!L314,528)-MAX('Activities'!K314,522))</x:f>
        <x:v>0</x:v>
      </x:c>
      <x:c r="CO314" s="22" t="n">
        <x:f>MAX(0,MIN('Activities'!L314,534)-MAX('Activities'!K314,528))</x:f>
        <x:v>0</x:v>
      </x:c>
      <x:c r="CP314" s="22" t="n">
        <x:f>MAX(0,MIN('Activities'!L314,540)-MAX('Activities'!K314,534))</x:f>
        <x:v>0</x:v>
      </x:c>
      <x:c r="CQ314" s="22" t="n">
        <x:f>MAX(0,MIN('Activities'!L314,546)-MAX('Activities'!K314,540))</x:f>
        <x:v>0</x:v>
      </x:c>
      <x:c r="CR314" s="22" t="n">
        <x:f>MAX(0,MIN('Activities'!L314,552)-MAX('Activities'!K314,546))</x:f>
        <x:v>0</x:v>
      </x:c>
      <x:c r="CS314" s="22" t="n">
        <x:f>MAX(0,MIN('Activities'!L314,558)-MAX('Activities'!K314,552))</x:f>
        <x:v>0</x:v>
      </x:c>
      <x:c r="CT314" s="22" t="n">
        <x:f>MAX(0,MIN('Activities'!L314,564)-MAX('Activities'!K314,558))</x:f>
        <x:v>0</x:v>
      </x:c>
      <x:c r="CU314" s="22" t="n">
        <x:f>MAX(0,MIN('Activities'!L314,570)-MAX('Activities'!K314,564))</x:f>
        <x:v>0</x:v>
      </x:c>
      <x:c r="CV314" s="22" t="n">
        <x:f>MAX(0,MIN('Activities'!L314,576)-MAX('Activities'!K314,570))</x:f>
        <x:v>0</x:v>
      </x:c>
      <x:c r="CW314" s="22" t="n">
        <x:f>MAX(0,MIN('Activities'!L314,582)-MAX('Activities'!K314,576))</x:f>
        <x:v>0</x:v>
      </x:c>
      <x:c r="CX314" s="22" t="n">
        <x:f>MAX(0,MIN('Activities'!L314,588)-MAX('Activities'!K314,582))</x:f>
        <x:v>0</x:v>
      </x:c>
      <x:c r="CY314" s="22" t="n">
        <x:f>MAX(0,MIN('Activities'!L314,594)-MAX('Activities'!K314,588))</x:f>
        <x:v>0</x:v>
      </x:c>
      <x:c r="CZ314" s="22" t="n">
        <x:f>MAX(0,MIN('Activities'!L314,600)-MAX('Activities'!K314,594))</x:f>
        <x:v>0</x:v>
      </x:c>
      <x:c r="DA314" s="22" t="n">
        <x:f>MAX(0,MIN('Activities'!L314,606)-MAX('Activities'!K314,600))</x:f>
        <x:v>0</x:v>
      </x:c>
      <x:c r="DB314" s="22" t="n">
        <x:f>MAX(0,MIN('Activities'!L314,612)-MAX('Activities'!K314,606))</x:f>
        <x:v>0</x:v>
      </x:c>
      <x:c r="DC314" s="22" t="n">
        <x:f>MAX(0,MIN('Activities'!L314,618)-MAX('Activities'!K314,612))</x:f>
        <x:v>0</x:v>
      </x:c>
      <x:c r="DD314" s="22" t="n">
        <x:f>MAX(0,MIN('Activities'!L314,624)-MAX('Activities'!K314,618))</x:f>
        <x:v>0</x:v>
      </x:c>
      <x:c r="DE314" s="22" t="n">
        <x:f>MAX(0,MIN('Activities'!L314,630)-MAX('Activities'!K314,624))</x:f>
        <x:v>0</x:v>
      </x:c>
      <x:c r="DF314" s="22" t="n">
        <x:f>MAX(0,MIN('Activities'!L314,636)-MAX('Activities'!K314,630))</x:f>
        <x:v>0</x:v>
      </x:c>
    </x:row>
    <x:row r="315" ht="23" customHeight="1">
      <x:c r="A315" s="1" t="str">
        <x:v>T3-L08-R</x:v>
      </x:c>
      <x:c r="B315" s="1" t="str">
        <x:v>T3</x:v>
      </x:c>
      <x:c r="C315" s="1" t="str">
        <x:v>Column, wall, beam and slab reinforcement</x:v>
      </x:c>
      <x:c r="D315" s="1" t="str">
        <x:v>Rebar</x:v>
      </x:c>
      <x:c r="E315" s="23" t="n">
        <x:f>MAX(0,MIN('Activities'!L315,6)-MAX('Activities'!K315,0))</x:f>
        <x:v>0</x:v>
      </x:c>
      <x:c r="F315" s="23" t="n">
        <x:f>MAX(0,MIN('Activities'!L315,12)-MAX('Activities'!K315,6))</x:f>
        <x:v>0</x:v>
      </x:c>
      <x:c r="G315" s="23" t="n">
        <x:f>MAX(0,MIN('Activities'!L315,18)-MAX('Activities'!K315,12))</x:f>
        <x:v>0</x:v>
      </x:c>
      <x:c r="H315" s="23" t="n">
        <x:f>MAX(0,MIN('Activities'!L315,24)-MAX('Activities'!K315,18))</x:f>
        <x:v>0</x:v>
      </x:c>
      <x:c r="I315" s="23" t="n">
        <x:f>MAX(0,MIN('Activities'!L315,30)-MAX('Activities'!K315,24))</x:f>
        <x:v>0</x:v>
      </x:c>
      <x:c r="J315" s="23" t="n">
        <x:f>MAX(0,MIN('Activities'!L315,36)-MAX('Activities'!K315,30))</x:f>
        <x:v>0</x:v>
      </x:c>
      <x:c r="K315" s="23" t="n">
        <x:f>MAX(0,MIN('Activities'!L315,42)-MAX('Activities'!K315,36))</x:f>
        <x:v>0</x:v>
      </x:c>
      <x:c r="L315" s="23" t="n">
        <x:f>MAX(0,MIN('Activities'!L315,48)-MAX('Activities'!K315,42))</x:f>
        <x:v>0</x:v>
      </x:c>
      <x:c r="M315" s="23" t="n">
        <x:f>MAX(0,MIN('Activities'!L315,54)-MAX('Activities'!K315,48))</x:f>
        <x:v>0</x:v>
      </x:c>
      <x:c r="N315" s="23" t="n">
        <x:f>MAX(0,MIN('Activities'!L315,60)-MAX('Activities'!K315,54))</x:f>
        <x:v>0</x:v>
      </x:c>
      <x:c r="O315" s="23" t="n">
        <x:f>MAX(0,MIN('Activities'!L315,66)-MAX('Activities'!K315,60))</x:f>
        <x:v>0</x:v>
      </x:c>
      <x:c r="P315" s="23" t="n">
        <x:f>MAX(0,MIN('Activities'!L315,72)-MAX('Activities'!K315,66))</x:f>
        <x:v>0</x:v>
      </x:c>
      <x:c r="Q315" s="23" t="n">
        <x:f>MAX(0,MIN('Activities'!L315,78)-MAX('Activities'!K315,72))</x:f>
        <x:v>0</x:v>
      </x:c>
      <x:c r="R315" s="23" t="n">
        <x:f>MAX(0,MIN('Activities'!L315,84)-MAX('Activities'!K315,78))</x:f>
        <x:v>0</x:v>
      </x:c>
      <x:c r="S315" s="23" t="n">
        <x:f>MAX(0,MIN('Activities'!L315,90)-MAX('Activities'!K315,84))</x:f>
        <x:v>0</x:v>
      </x:c>
      <x:c r="T315" s="23" t="n">
        <x:f>MAX(0,MIN('Activities'!L315,96)-MAX('Activities'!K315,90))</x:f>
        <x:v>0</x:v>
      </x:c>
      <x:c r="U315" s="23" t="n">
        <x:f>MAX(0,MIN('Activities'!L315,102)-MAX('Activities'!K315,96))</x:f>
        <x:v>0</x:v>
      </x:c>
      <x:c r="V315" s="23" t="n">
        <x:f>MAX(0,MIN('Activities'!L315,108)-MAX('Activities'!K315,102))</x:f>
        <x:v>0</x:v>
      </x:c>
      <x:c r="W315" s="23" t="n">
        <x:f>MAX(0,MIN('Activities'!L315,114)-MAX('Activities'!K315,108))</x:f>
        <x:v>0</x:v>
      </x:c>
      <x:c r="X315" s="23" t="n">
        <x:f>MAX(0,MIN('Activities'!L315,120)-MAX('Activities'!K315,114))</x:f>
        <x:v>0</x:v>
      </x:c>
      <x:c r="Y315" s="23" t="n">
        <x:f>MAX(0,MIN('Activities'!L315,126)-MAX('Activities'!K315,120))</x:f>
        <x:v>0</x:v>
      </x:c>
      <x:c r="Z315" s="23" t="n">
        <x:f>MAX(0,MIN('Activities'!L315,132)-MAX('Activities'!K315,126))</x:f>
        <x:v>0</x:v>
      </x:c>
      <x:c r="AA315" s="23" t="n">
        <x:f>MAX(0,MIN('Activities'!L315,138)-MAX('Activities'!K315,132))</x:f>
        <x:v>0</x:v>
      </x:c>
      <x:c r="AB315" s="23" t="n">
        <x:f>MAX(0,MIN('Activities'!L315,144)-MAX('Activities'!K315,138))</x:f>
        <x:v>0</x:v>
      </x:c>
      <x:c r="AC315" s="23" t="n">
        <x:f>MAX(0,MIN('Activities'!L315,150)-MAX('Activities'!K315,144))</x:f>
        <x:v>0</x:v>
      </x:c>
      <x:c r="AD315" s="23" t="n">
        <x:f>MAX(0,MIN('Activities'!L315,156)-MAX('Activities'!K315,150))</x:f>
        <x:v>0</x:v>
      </x:c>
      <x:c r="AE315" s="23" t="n">
        <x:f>MAX(0,MIN('Activities'!L315,162)-MAX('Activities'!K315,156))</x:f>
        <x:v>0</x:v>
      </x:c>
      <x:c r="AF315" s="23" t="n">
        <x:f>MAX(0,MIN('Activities'!L315,168)-MAX('Activities'!K315,162))</x:f>
        <x:v>0</x:v>
      </x:c>
      <x:c r="AG315" s="23" t="n">
        <x:f>MAX(0,MIN('Activities'!L315,174)-MAX('Activities'!K315,168))</x:f>
        <x:v>0</x:v>
      </x:c>
      <x:c r="AH315" s="23" t="n">
        <x:f>MAX(0,MIN('Activities'!L315,180)-MAX('Activities'!K315,174))</x:f>
        <x:v>0</x:v>
      </x:c>
      <x:c r="AI315" s="23" t="n">
        <x:f>MAX(0,MIN('Activities'!L315,186)-MAX('Activities'!K315,180))</x:f>
        <x:v>0</x:v>
      </x:c>
      <x:c r="AJ315" s="23" t="n">
        <x:f>MAX(0,MIN('Activities'!L315,192)-MAX('Activities'!K315,186))</x:f>
        <x:v>0</x:v>
      </x:c>
      <x:c r="AK315" s="23" t="n">
        <x:f>MAX(0,MIN('Activities'!L315,198)-MAX('Activities'!K315,192))</x:f>
        <x:v>0</x:v>
      </x:c>
      <x:c r="AL315" s="23" t="n">
        <x:f>MAX(0,MIN('Activities'!L315,204)-MAX('Activities'!K315,198))</x:f>
        <x:v>0</x:v>
      </x:c>
      <x:c r="AM315" s="23" t="n">
        <x:f>MAX(0,MIN('Activities'!L315,210)-MAX('Activities'!K315,204))</x:f>
        <x:v>0</x:v>
      </x:c>
      <x:c r="AN315" s="23" t="n">
        <x:f>MAX(0,MIN('Activities'!L315,216)-MAX('Activities'!K315,210))</x:f>
        <x:v>0</x:v>
      </x:c>
      <x:c r="AO315" s="23" t="n">
        <x:f>MAX(0,MIN('Activities'!L315,222)-MAX('Activities'!K315,216))</x:f>
        <x:v>0</x:v>
      </x:c>
      <x:c r="AP315" s="23" t="n">
        <x:f>MAX(0,MIN('Activities'!L315,228)-MAX('Activities'!K315,222))</x:f>
        <x:v>0</x:v>
      </x:c>
      <x:c r="AQ315" s="23" t="n">
        <x:f>MAX(0,MIN('Activities'!L315,234)-MAX('Activities'!K315,228))</x:f>
        <x:v>0</x:v>
      </x:c>
      <x:c r="AR315" s="23" t="n">
        <x:f>MAX(0,MIN('Activities'!L315,240)-MAX('Activities'!K315,234))</x:f>
        <x:v>0</x:v>
      </x:c>
      <x:c r="AS315" s="23" t="n">
        <x:f>MAX(0,MIN('Activities'!L315,246)-MAX('Activities'!K315,240))</x:f>
        <x:v>0</x:v>
      </x:c>
      <x:c r="AT315" s="23" t="n">
        <x:f>MAX(0,MIN('Activities'!L315,252)-MAX('Activities'!K315,246))</x:f>
        <x:v>0</x:v>
      </x:c>
      <x:c r="AU315" s="23" t="n">
        <x:f>MAX(0,MIN('Activities'!L315,258)-MAX('Activities'!K315,252))</x:f>
        <x:v>0</x:v>
      </x:c>
      <x:c r="AV315" s="23" t="n">
        <x:f>MAX(0,MIN('Activities'!L315,264)-MAX('Activities'!K315,258))</x:f>
        <x:v>0</x:v>
      </x:c>
      <x:c r="AW315" s="23" t="n">
        <x:f>MAX(0,MIN('Activities'!L315,270)-MAX('Activities'!K315,264))</x:f>
        <x:v>0</x:v>
      </x:c>
      <x:c r="AX315" s="23" t="n">
        <x:f>MAX(0,MIN('Activities'!L315,276)-MAX('Activities'!K315,270))</x:f>
        <x:v>0</x:v>
      </x:c>
      <x:c r="AY315" s="23" t="n">
        <x:f>MAX(0,MIN('Activities'!L315,282)-MAX('Activities'!K315,276))</x:f>
        <x:v>0</x:v>
      </x:c>
      <x:c r="AZ315" s="23" t="n">
        <x:f>MAX(0,MIN('Activities'!L315,288)-MAX('Activities'!K315,282))</x:f>
        <x:v>0</x:v>
      </x:c>
      <x:c r="BA315" s="23" t="n">
        <x:f>MAX(0,MIN('Activities'!L315,294)-MAX('Activities'!K315,288))</x:f>
        <x:v>0</x:v>
      </x:c>
      <x:c r="BB315" s="23" t="n">
        <x:f>MAX(0,MIN('Activities'!L315,300)-MAX('Activities'!K315,294))</x:f>
        <x:v>0</x:v>
      </x:c>
      <x:c r="BC315" s="23" t="n">
        <x:f>MAX(0,MIN('Activities'!L315,306)-MAX('Activities'!K315,300))</x:f>
        <x:v>0</x:v>
      </x:c>
      <x:c r="BD315" s="23" t="n">
        <x:f>MAX(0,MIN('Activities'!L315,312)-MAX('Activities'!K315,306))</x:f>
        <x:v>4</x:v>
      </x:c>
      <x:c r="BE315" s="23" t="n">
        <x:f>MAX(0,MIN('Activities'!L315,318)-MAX('Activities'!K315,312))</x:f>
        <x:v>1</x:v>
      </x:c>
      <x:c r="BF315" s="23" t="n">
        <x:f>MAX(0,MIN('Activities'!L315,324)-MAX('Activities'!K315,318))</x:f>
        <x:v>0</x:v>
      </x:c>
      <x:c r="BG315" s="23" t="n">
        <x:f>MAX(0,MIN('Activities'!L315,330)-MAX('Activities'!K315,324))</x:f>
        <x:v>0</x:v>
      </x:c>
      <x:c r="BH315" s="23" t="n">
        <x:f>MAX(0,MIN('Activities'!L315,336)-MAX('Activities'!K315,330))</x:f>
        <x:v>0</x:v>
      </x:c>
      <x:c r="BI315" s="23" t="n">
        <x:f>MAX(0,MIN('Activities'!L315,342)-MAX('Activities'!K315,336))</x:f>
        <x:v>0</x:v>
      </x:c>
      <x:c r="BJ315" s="23" t="n">
        <x:f>MAX(0,MIN('Activities'!L315,348)-MAX('Activities'!K315,342))</x:f>
        <x:v>0</x:v>
      </x:c>
      <x:c r="BK315" s="23" t="n">
        <x:f>MAX(0,MIN('Activities'!L315,354)-MAX('Activities'!K315,348))</x:f>
        <x:v>0</x:v>
      </x:c>
      <x:c r="BL315" s="23" t="n">
        <x:f>MAX(0,MIN('Activities'!L315,360)-MAX('Activities'!K315,354))</x:f>
        <x:v>0</x:v>
      </x:c>
      <x:c r="BM315" s="23" t="n">
        <x:f>MAX(0,MIN('Activities'!L315,366)-MAX('Activities'!K315,360))</x:f>
        <x:v>0</x:v>
      </x:c>
      <x:c r="BN315" s="23" t="n">
        <x:f>MAX(0,MIN('Activities'!L315,372)-MAX('Activities'!K315,366))</x:f>
        <x:v>0</x:v>
      </x:c>
      <x:c r="BO315" s="23" t="n">
        <x:f>MAX(0,MIN('Activities'!L315,378)-MAX('Activities'!K315,372))</x:f>
        <x:v>0</x:v>
      </x:c>
      <x:c r="BP315" s="23" t="n">
        <x:f>MAX(0,MIN('Activities'!L315,384)-MAX('Activities'!K315,378))</x:f>
        <x:v>0</x:v>
      </x:c>
      <x:c r="BQ315" s="23" t="n">
        <x:f>MAX(0,MIN('Activities'!L315,390)-MAX('Activities'!K315,384))</x:f>
        <x:v>0</x:v>
      </x:c>
      <x:c r="BR315" s="23" t="n">
        <x:f>MAX(0,MIN('Activities'!L315,396)-MAX('Activities'!K315,390))</x:f>
        <x:v>0</x:v>
      </x:c>
      <x:c r="BS315" s="23" t="n">
        <x:f>MAX(0,MIN('Activities'!L315,402)-MAX('Activities'!K315,396))</x:f>
        <x:v>0</x:v>
      </x:c>
      <x:c r="BT315" s="23" t="n">
        <x:f>MAX(0,MIN('Activities'!L315,408)-MAX('Activities'!K315,402))</x:f>
        <x:v>0</x:v>
      </x:c>
      <x:c r="BU315" s="23" t="n">
        <x:f>MAX(0,MIN('Activities'!L315,414)-MAX('Activities'!K315,408))</x:f>
        <x:v>0</x:v>
      </x:c>
      <x:c r="BV315" s="23" t="n">
        <x:f>MAX(0,MIN('Activities'!L315,420)-MAX('Activities'!K315,414))</x:f>
        <x:v>0</x:v>
      </x:c>
      <x:c r="BW315" s="23" t="n">
        <x:f>MAX(0,MIN('Activities'!L315,426)-MAX('Activities'!K315,420))</x:f>
        <x:v>0</x:v>
      </x:c>
      <x:c r="BX315" s="23" t="n">
        <x:f>MAX(0,MIN('Activities'!L315,432)-MAX('Activities'!K315,426))</x:f>
        <x:v>0</x:v>
      </x:c>
      <x:c r="BY315" s="23" t="n">
        <x:f>MAX(0,MIN('Activities'!L315,438)-MAX('Activities'!K315,432))</x:f>
        <x:v>0</x:v>
      </x:c>
      <x:c r="BZ315" s="23" t="n">
        <x:f>MAX(0,MIN('Activities'!L315,444)-MAX('Activities'!K315,438))</x:f>
        <x:v>0</x:v>
      </x:c>
      <x:c r="CA315" s="23" t="n">
        <x:f>MAX(0,MIN('Activities'!L315,450)-MAX('Activities'!K315,444))</x:f>
        <x:v>0</x:v>
      </x:c>
      <x:c r="CB315" s="23" t="n">
        <x:f>MAX(0,MIN('Activities'!L315,456)-MAX('Activities'!K315,450))</x:f>
        <x:v>0</x:v>
      </x:c>
      <x:c r="CC315" s="23" t="n">
        <x:f>MAX(0,MIN('Activities'!L315,462)-MAX('Activities'!K315,456))</x:f>
        <x:v>0</x:v>
      </x:c>
      <x:c r="CD315" s="23" t="n">
        <x:f>MAX(0,MIN('Activities'!L315,468)-MAX('Activities'!K315,462))</x:f>
        <x:v>0</x:v>
      </x:c>
      <x:c r="CE315" s="23" t="n">
        <x:f>MAX(0,MIN('Activities'!L315,474)-MAX('Activities'!K315,468))</x:f>
        <x:v>0</x:v>
      </x:c>
      <x:c r="CF315" s="23" t="n">
        <x:f>MAX(0,MIN('Activities'!L315,480)-MAX('Activities'!K315,474))</x:f>
        <x:v>0</x:v>
      </x:c>
      <x:c r="CG315" s="23" t="n">
        <x:f>MAX(0,MIN('Activities'!L315,486)-MAX('Activities'!K315,480))</x:f>
        <x:v>0</x:v>
      </x:c>
      <x:c r="CH315" s="23" t="n">
        <x:f>MAX(0,MIN('Activities'!L315,492)-MAX('Activities'!K315,486))</x:f>
        <x:v>0</x:v>
      </x:c>
      <x:c r="CI315" s="23" t="n">
        <x:f>MAX(0,MIN('Activities'!L315,498)-MAX('Activities'!K315,492))</x:f>
        <x:v>0</x:v>
      </x:c>
      <x:c r="CJ315" s="23" t="n">
        <x:f>MAX(0,MIN('Activities'!L315,504)-MAX('Activities'!K315,498))</x:f>
        <x:v>0</x:v>
      </x:c>
      <x:c r="CK315" s="23" t="n">
        <x:f>MAX(0,MIN('Activities'!L315,510)-MAX('Activities'!K315,504))</x:f>
        <x:v>0</x:v>
      </x:c>
      <x:c r="CL315" s="23" t="n">
        <x:f>MAX(0,MIN('Activities'!L315,516)-MAX('Activities'!K315,510))</x:f>
        <x:v>0</x:v>
      </x:c>
      <x:c r="CM315" s="23" t="n">
        <x:f>MAX(0,MIN('Activities'!L315,522)-MAX('Activities'!K315,516))</x:f>
        <x:v>0</x:v>
      </x:c>
      <x:c r="CN315" s="23" t="n">
        <x:f>MAX(0,MIN('Activities'!L315,528)-MAX('Activities'!K315,522))</x:f>
        <x:v>0</x:v>
      </x:c>
      <x:c r="CO315" s="23" t="n">
        <x:f>MAX(0,MIN('Activities'!L315,534)-MAX('Activities'!K315,528))</x:f>
        <x:v>0</x:v>
      </x:c>
      <x:c r="CP315" s="23" t="n">
        <x:f>MAX(0,MIN('Activities'!L315,540)-MAX('Activities'!K315,534))</x:f>
        <x:v>0</x:v>
      </x:c>
      <x:c r="CQ315" s="23" t="n">
        <x:f>MAX(0,MIN('Activities'!L315,546)-MAX('Activities'!K315,540))</x:f>
        <x:v>0</x:v>
      </x:c>
      <x:c r="CR315" s="23" t="n">
        <x:f>MAX(0,MIN('Activities'!L315,552)-MAX('Activities'!K315,546))</x:f>
        <x:v>0</x:v>
      </x:c>
      <x:c r="CS315" s="23" t="n">
        <x:f>MAX(0,MIN('Activities'!L315,558)-MAX('Activities'!K315,552))</x:f>
        <x:v>0</x:v>
      </x:c>
      <x:c r="CT315" s="23" t="n">
        <x:f>MAX(0,MIN('Activities'!L315,564)-MAX('Activities'!K315,558))</x:f>
        <x:v>0</x:v>
      </x:c>
      <x:c r="CU315" s="23" t="n">
        <x:f>MAX(0,MIN('Activities'!L315,570)-MAX('Activities'!K315,564))</x:f>
        <x:v>0</x:v>
      </x:c>
      <x:c r="CV315" s="23" t="n">
        <x:f>MAX(0,MIN('Activities'!L315,576)-MAX('Activities'!K315,570))</x:f>
        <x:v>0</x:v>
      </x:c>
      <x:c r="CW315" s="23" t="n">
        <x:f>MAX(0,MIN('Activities'!L315,582)-MAX('Activities'!K315,576))</x:f>
        <x:v>0</x:v>
      </x:c>
      <x:c r="CX315" s="23" t="n">
        <x:f>MAX(0,MIN('Activities'!L315,588)-MAX('Activities'!K315,582))</x:f>
        <x:v>0</x:v>
      </x:c>
      <x:c r="CY315" s="23" t="n">
        <x:f>MAX(0,MIN('Activities'!L315,594)-MAX('Activities'!K315,588))</x:f>
        <x:v>0</x:v>
      </x:c>
      <x:c r="CZ315" s="23" t="n">
        <x:f>MAX(0,MIN('Activities'!L315,600)-MAX('Activities'!K315,594))</x:f>
        <x:v>0</x:v>
      </x:c>
      <x:c r="DA315" s="23" t="n">
        <x:f>MAX(0,MIN('Activities'!L315,606)-MAX('Activities'!K315,600))</x:f>
        <x:v>0</x:v>
      </x:c>
      <x:c r="DB315" s="23" t="n">
        <x:f>MAX(0,MIN('Activities'!L315,612)-MAX('Activities'!K315,606))</x:f>
        <x:v>0</x:v>
      </x:c>
      <x:c r="DC315" s="23" t="n">
        <x:f>MAX(0,MIN('Activities'!L315,618)-MAX('Activities'!K315,612))</x:f>
        <x:v>0</x:v>
      </x:c>
      <x:c r="DD315" s="23" t="n">
        <x:f>MAX(0,MIN('Activities'!L315,624)-MAX('Activities'!K315,618))</x:f>
        <x:v>0</x:v>
      </x:c>
      <x:c r="DE315" s="23" t="n">
        <x:f>MAX(0,MIN('Activities'!L315,630)-MAX('Activities'!K315,624))</x:f>
        <x:v>0</x:v>
      </x:c>
      <x:c r="DF315" s="23" t="n">
        <x:f>MAX(0,MIN('Activities'!L315,636)-MAX('Activities'!K315,630))</x:f>
        <x:v>0</x:v>
      </x:c>
    </x:row>
    <x:row r="316" ht="23" customHeight="1">
      <x:c r="A316" s="6" t="str">
        <x:v>T3-L08-C</x:v>
      </x:c>
      <x:c r="B316" s="6" t="str">
        <x:v>T3</x:v>
      </x:c>
      <x:c r="C316" s="6" t="str">
        <x:v>Concrete placement and finishing</x:v>
      </x:c>
      <x:c r="D316" s="6" t="str">
        <x:v>Concrete</x:v>
      </x:c>
      <x:c r="E316" s="22" t="n">
        <x:f>MAX(0,MIN('Activities'!L316,6)-MAX('Activities'!K316,0))</x:f>
        <x:v>0</x:v>
      </x:c>
      <x:c r="F316" s="22" t="n">
        <x:f>MAX(0,MIN('Activities'!L316,12)-MAX('Activities'!K316,6))</x:f>
        <x:v>0</x:v>
      </x:c>
      <x:c r="G316" s="22" t="n">
        <x:f>MAX(0,MIN('Activities'!L316,18)-MAX('Activities'!K316,12))</x:f>
        <x:v>0</x:v>
      </x:c>
      <x:c r="H316" s="22" t="n">
        <x:f>MAX(0,MIN('Activities'!L316,24)-MAX('Activities'!K316,18))</x:f>
        <x:v>0</x:v>
      </x:c>
      <x:c r="I316" s="22" t="n">
        <x:f>MAX(0,MIN('Activities'!L316,30)-MAX('Activities'!K316,24))</x:f>
        <x:v>0</x:v>
      </x:c>
      <x:c r="J316" s="22" t="n">
        <x:f>MAX(0,MIN('Activities'!L316,36)-MAX('Activities'!K316,30))</x:f>
        <x:v>0</x:v>
      </x:c>
      <x:c r="K316" s="22" t="n">
        <x:f>MAX(0,MIN('Activities'!L316,42)-MAX('Activities'!K316,36))</x:f>
        <x:v>0</x:v>
      </x:c>
      <x:c r="L316" s="22" t="n">
        <x:f>MAX(0,MIN('Activities'!L316,48)-MAX('Activities'!K316,42))</x:f>
        <x:v>0</x:v>
      </x:c>
      <x:c r="M316" s="22" t="n">
        <x:f>MAX(0,MIN('Activities'!L316,54)-MAX('Activities'!K316,48))</x:f>
        <x:v>0</x:v>
      </x:c>
      <x:c r="N316" s="22" t="n">
        <x:f>MAX(0,MIN('Activities'!L316,60)-MAX('Activities'!K316,54))</x:f>
        <x:v>0</x:v>
      </x:c>
      <x:c r="O316" s="22" t="n">
        <x:f>MAX(0,MIN('Activities'!L316,66)-MAX('Activities'!K316,60))</x:f>
        <x:v>0</x:v>
      </x:c>
      <x:c r="P316" s="22" t="n">
        <x:f>MAX(0,MIN('Activities'!L316,72)-MAX('Activities'!K316,66))</x:f>
        <x:v>0</x:v>
      </x:c>
      <x:c r="Q316" s="22" t="n">
        <x:f>MAX(0,MIN('Activities'!L316,78)-MAX('Activities'!K316,72))</x:f>
        <x:v>0</x:v>
      </x:c>
      <x:c r="R316" s="22" t="n">
        <x:f>MAX(0,MIN('Activities'!L316,84)-MAX('Activities'!K316,78))</x:f>
        <x:v>0</x:v>
      </x:c>
      <x:c r="S316" s="22" t="n">
        <x:f>MAX(0,MIN('Activities'!L316,90)-MAX('Activities'!K316,84))</x:f>
        <x:v>0</x:v>
      </x:c>
      <x:c r="T316" s="22" t="n">
        <x:f>MAX(0,MIN('Activities'!L316,96)-MAX('Activities'!K316,90))</x:f>
        <x:v>0</x:v>
      </x:c>
      <x:c r="U316" s="22" t="n">
        <x:f>MAX(0,MIN('Activities'!L316,102)-MAX('Activities'!K316,96))</x:f>
        <x:v>0</x:v>
      </x:c>
      <x:c r="V316" s="22" t="n">
        <x:f>MAX(0,MIN('Activities'!L316,108)-MAX('Activities'!K316,102))</x:f>
        <x:v>0</x:v>
      </x:c>
      <x:c r="W316" s="22" t="n">
        <x:f>MAX(0,MIN('Activities'!L316,114)-MAX('Activities'!K316,108))</x:f>
        <x:v>0</x:v>
      </x:c>
      <x:c r="X316" s="22" t="n">
        <x:f>MAX(0,MIN('Activities'!L316,120)-MAX('Activities'!K316,114))</x:f>
        <x:v>0</x:v>
      </x:c>
      <x:c r="Y316" s="22" t="n">
        <x:f>MAX(0,MIN('Activities'!L316,126)-MAX('Activities'!K316,120))</x:f>
        <x:v>0</x:v>
      </x:c>
      <x:c r="Z316" s="22" t="n">
        <x:f>MAX(0,MIN('Activities'!L316,132)-MAX('Activities'!K316,126))</x:f>
        <x:v>0</x:v>
      </x:c>
      <x:c r="AA316" s="22" t="n">
        <x:f>MAX(0,MIN('Activities'!L316,138)-MAX('Activities'!K316,132))</x:f>
        <x:v>0</x:v>
      </x:c>
      <x:c r="AB316" s="22" t="n">
        <x:f>MAX(0,MIN('Activities'!L316,144)-MAX('Activities'!K316,138))</x:f>
        <x:v>0</x:v>
      </x:c>
      <x:c r="AC316" s="22" t="n">
        <x:f>MAX(0,MIN('Activities'!L316,150)-MAX('Activities'!K316,144))</x:f>
        <x:v>0</x:v>
      </x:c>
      <x:c r="AD316" s="22" t="n">
        <x:f>MAX(0,MIN('Activities'!L316,156)-MAX('Activities'!K316,150))</x:f>
        <x:v>0</x:v>
      </x:c>
      <x:c r="AE316" s="22" t="n">
        <x:f>MAX(0,MIN('Activities'!L316,162)-MAX('Activities'!K316,156))</x:f>
        <x:v>0</x:v>
      </x:c>
      <x:c r="AF316" s="22" t="n">
        <x:f>MAX(0,MIN('Activities'!L316,168)-MAX('Activities'!K316,162))</x:f>
        <x:v>0</x:v>
      </x:c>
      <x:c r="AG316" s="22" t="n">
        <x:f>MAX(0,MIN('Activities'!L316,174)-MAX('Activities'!K316,168))</x:f>
        <x:v>0</x:v>
      </x:c>
      <x:c r="AH316" s="22" t="n">
        <x:f>MAX(0,MIN('Activities'!L316,180)-MAX('Activities'!K316,174))</x:f>
        <x:v>0</x:v>
      </x:c>
      <x:c r="AI316" s="22" t="n">
        <x:f>MAX(0,MIN('Activities'!L316,186)-MAX('Activities'!K316,180))</x:f>
        <x:v>0</x:v>
      </x:c>
      <x:c r="AJ316" s="22" t="n">
        <x:f>MAX(0,MIN('Activities'!L316,192)-MAX('Activities'!K316,186))</x:f>
        <x:v>0</x:v>
      </x:c>
      <x:c r="AK316" s="22" t="n">
        <x:f>MAX(0,MIN('Activities'!L316,198)-MAX('Activities'!K316,192))</x:f>
        <x:v>0</x:v>
      </x:c>
      <x:c r="AL316" s="22" t="n">
        <x:f>MAX(0,MIN('Activities'!L316,204)-MAX('Activities'!K316,198))</x:f>
        <x:v>0</x:v>
      </x:c>
      <x:c r="AM316" s="22" t="n">
        <x:f>MAX(0,MIN('Activities'!L316,210)-MAX('Activities'!K316,204))</x:f>
        <x:v>0</x:v>
      </x:c>
      <x:c r="AN316" s="22" t="n">
        <x:f>MAX(0,MIN('Activities'!L316,216)-MAX('Activities'!K316,210))</x:f>
        <x:v>0</x:v>
      </x:c>
      <x:c r="AO316" s="22" t="n">
        <x:f>MAX(0,MIN('Activities'!L316,222)-MAX('Activities'!K316,216))</x:f>
        <x:v>0</x:v>
      </x:c>
      <x:c r="AP316" s="22" t="n">
        <x:f>MAX(0,MIN('Activities'!L316,228)-MAX('Activities'!K316,222))</x:f>
        <x:v>0</x:v>
      </x:c>
      <x:c r="AQ316" s="22" t="n">
        <x:f>MAX(0,MIN('Activities'!L316,234)-MAX('Activities'!K316,228))</x:f>
        <x:v>0</x:v>
      </x:c>
      <x:c r="AR316" s="22" t="n">
        <x:f>MAX(0,MIN('Activities'!L316,240)-MAX('Activities'!K316,234))</x:f>
        <x:v>0</x:v>
      </x:c>
      <x:c r="AS316" s="22" t="n">
        <x:f>MAX(0,MIN('Activities'!L316,246)-MAX('Activities'!K316,240))</x:f>
        <x:v>0</x:v>
      </x:c>
      <x:c r="AT316" s="22" t="n">
        <x:f>MAX(0,MIN('Activities'!L316,252)-MAX('Activities'!K316,246))</x:f>
        <x:v>0</x:v>
      </x:c>
      <x:c r="AU316" s="22" t="n">
        <x:f>MAX(0,MIN('Activities'!L316,258)-MAX('Activities'!K316,252))</x:f>
        <x:v>0</x:v>
      </x:c>
      <x:c r="AV316" s="22" t="n">
        <x:f>MAX(0,MIN('Activities'!L316,264)-MAX('Activities'!K316,258))</x:f>
        <x:v>0</x:v>
      </x:c>
      <x:c r="AW316" s="22" t="n">
        <x:f>MAX(0,MIN('Activities'!L316,270)-MAX('Activities'!K316,264))</x:f>
        <x:v>0</x:v>
      </x:c>
      <x:c r="AX316" s="22" t="n">
        <x:f>MAX(0,MIN('Activities'!L316,276)-MAX('Activities'!K316,270))</x:f>
        <x:v>0</x:v>
      </x:c>
      <x:c r="AY316" s="22" t="n">
        <x:f>MAX(0,MIN('Activities'!L316,282)-MAX('Activities'!K316,276))</x:f>
        <x:v>0</x:v>
      </x:c>
      <x:c r="AZ316" s="22" t="n">
        <x:f>MAX(0,MIN('Activities'!L316,288)-MAX('Activities'!K316,282))</x:f>
        <x:v>0</x:v>
      </x:c>
      <x:c r="BA316" s="22" t="n">
        <x:f>MAX(0,MIN('Activities'!L316,294)-MAX('Activities'!K316,288))</x:f>
        <x:v>0</x:v>
      </x:c>
      <x:c r="BB316" s="22" t="n">
        <x:f>MAX(0,MIN('Activities'!L316,300)-MAX('Activities'!K316,294))</x:f>
        <x:v>0</x:v>
      </x:c>
      <x:c r="BC316" s="22" t="n">
        <x:f>MAX(0,MIN('Activities'!L316,306)-MAX('Activities'!K316,300))</x:f>
        <x:v>0</x:v>
      </x:c>
      <x:c r="BD316" s="22" t="n">
        <x:f>MAX(0,MIN('Activities'!L316,312)-MAX('Activities'!K316,306))</x:f>
        <x:v>0</x:v>
      </x:c>
      <x:c r="BE316" s="22" t="n">
        <x:f>MAX(0,MIN('Activities'!L316,318)-MAX('Activities'!K316,312))</x:f>
        <x:v>2</x:v>
      </x:c>
      <x:c r="BF316" s="22" t="n">
        <x:f>MAX(0,MIN('Activities'!L316,324)-MAX('Activities'!K316,318))</x:f>
        <x:v>0</x:v>
      </x:c>
      <x:c r="BG316" s="22" t="n">
        <x:f>MAX(0,MIN('Activities'!L316,330)-MAX('Activities'!K316,324))</x:f>
        <x:v>0</x:v>
      </x:c>
      <x:c r="BH316" s="22" t="n">
        <x:f>MAX(0,MIN('Activities'!L316,336)-MAX('Activities'!K316,330))</x:f>
        <x:v>0</x:v>
      </x:c>
      <x:c r="BI316" s="22" t="n">
        <x:f>MAX(0,MIN('Activities'!L316,342)-MAX('Activities'!K316,336))</x:f>
        <x:v>0</x:v>
      </x:c>
      <x:c r="BJ316" s="22" t="n">
        <x:f>MAX(0,MIN('Activities'!L316,348)-MAX('Activities'!K316,342))</x:f>
        <x:v>0</x:v>
      </x:c>
      <x:c r="BK316" s="22" t="n">
        <x:f>MAX(0,MIN('Activities'!L316,354)-MAX('Activities'!K316,348))</x:f>
        <x:v>0</x:v>
      </x:c>
      <x:c r="BL316" s="22" t="n">
        <x:f>MAX(0,MIN('Activities'!L316,360)-MAX('Activities'!K316,354))</x:f>
        <x:v>0</x:v>
      </x:c>
      <x:c r="BM316" s="22" t="n">
        <x:f>MAX(0,MIN('Activities'!L316,366)-MAX('Activities'!K316,360))</x:f>
        <x:v>0</x:v>
      </x:c>
      <x:c r="BN316" s="22" t="n">
        <x:f>MAX(0,MIN('Activities'!L316,372)-MAX('Activities'!K316,366))</x:f>
        <x:v>0</x:v>
      </x:c>
      <x:c r="BO316" s="22" t="n">
        <x:f>MAX(0,MIN('Activities'!L316,378)-MAX('Activities'!K316,372))</x:f>
        <x:v>0</x:v>
      </x:c>
      <x:c r="BP316" s="22" t="n">
        <x:f>MAX(0,MIN('Activities'!L316,384)-MAX('Activities'!K316,378))</x:f>
        <x:v>0</x:v>
      </x:c>
      <x:c r="BQ316" s="22" t="n">
        <x:f>MAX(0,MIN('Activities'!L316,390)-MAX('Activities'!K316,384))</x:f>
        <x:v>0</x:v>
      </x:c>
      <x:c r="BR316" s="22" t="n">
        <x:f>MAX(0,MIN('Activities'!L316,396)-MAX('Activities'!K316,390))</x:f>
        <x:v>0</x:v>
      </x:c>
      <x:c r="BS316" s="22" t="n">
        <x:f>MAX(0,MIN('Activities'!L316,402)-MAX('Activities'!K316,396))</x:f>
        <x:v>0</x:v>
      </x:c>
      <x:c r="BT316" s="22" t="n">
        <x:f>MAX(0,MIN('Activities'!L316,408)-MAX('Activities'!K316,402))</x:f>
        <x:v>0</x:v>
      </x:c>
      <x:c r="BU316" s="22" t="n">
        <x:f>MAX(0,MIN('Activities'!L316,414)-MAX('Activities'!K316,408))</x:f>
        <x:v>0</x:v>
      </x:c>
      <x:c r="BV316" s="22" t="n">
        <x:f>MAX(0,MIN('Activities'!L316,420)-MAX('Activities'!K316,414))</x:f>
        <x:v>0</x:v>
      </x:c>
      <x:c r="BW316" s="22" t="n">
        <x:f>MAX(0,MIN('Activities'!L316,426)-MAX('Activities'!K316,420))</x:f>
        <x:v>0</x:v>
      </x:c>
      <x:c r="BX316" s="22" t="n">
        <x:f>MAX(0,MIN('Activities'!L316,432)-MAX('Activities'!K316,426))</x:f>
        <x:v>0</x:v>
      </x:c>
      <x:c r="BY316" s="22" t="n">
        <x:f>MAX(0,MIN('Activities'!L316,438)-MAX('Activities'!K316,432))</x:f>
        <x:v>0</x:v>
      </x:c>
      <x:c r="BZ316" s="22" t="n">
        <x:f>MAX(0,MIN('Activities'!L316,444)-MAX('Activities'!K316,438))</x:f>
        <x:v>0</x:v>
      </x:c>
      <x:c r="CA316" s="22" t="n">
        <x:f>MAX(0,MIN('Activities'!L316,450)-MAX('Activities'!K316,444))</x:f>
        <x:v>0</x:v>
      </x:c>
      <x:c r="CB316" s="22" t="n">
        <x:f>MAX(0,MIN('Activities'!L316,456)-MAX('Activities'!K316,450))</x:f>
        <x:v>0</x:v>
      </x:c>
      <x:c r="CC316" s="22" t="n">
        <x:f>MAX(0,MIN('Activities'!L316,462)-MAX('Activities'!K316,456))</x:f>
        <x:v>0</x:v>
      </x:c>
      <x:c r="CD316" s="22" t="n">
        <x:f>MAX(0,MIN('Activities'!L316,468)-MAX('Activities'!K316,462))</x:f>
        <x:v>0</x:v>
      </x:c>
      <x:c r="CE316" s="22" t="n">
        <x:f>MAX(0,MIN('Activities'!L316,474)-MAX('Activities'!K316,468))</x:f>
        <x:v>0</x:v>
      </x:c>
      <x:c r="CF316" s="22" t="n">
        <x:f>MAX(0,MIN('Activities'!L316,480)-MAX('Activities'!K316,474))</x:f>
        <x:v>0</x:v>
      </x:c>
      <x:c r="CG316" s="22" t="n">
        <x:f>MAX(0,MIN('Activities'!L316,486)-MAX('Activities'!K316,480))</x:f>
        <x:v>0</x:v>
      </x:c>
      <x:c r="CH316" s="22" t="n">
        <x:f>MAX(0,MIN('Activities'!L316,492)-MAX('Activities'!K316,486))</x:f>
        <x:v>0</x:v>
      </x:c>
      <x:c r="CI316" s="22" t="n">
        <x:f>MAX(0,MIN('Activities'!L316,498)-MAX('Activities'!K316,492))</x:f>
        <x:v>0</x:v>
      </x:c>
      <x:c r="CJ316" s="22" t="n">
        <x:f>MAX(0,MIN('Activities'!L316,504)-MAX('Activities'!K316,498))</x:f>
        <x:v>0</x:v>
      </x:c>
      <x:c r="CK316" s="22" t="n">
        <x:f>MAX(0,MIN('Activities'!L316,510)-MAX('Activities'!K316,504))</x:f>
        <x:v>0</x:v>
      </x:c>
      <x:c r="CL316" s="22" t="n">
        <x:f>MAX(0,MIN('Activities'!L316,516)-MAX('Activities'!K316,510))</x:f>
        <x:v>0</x:v>
      </x:c>
      <x:c r="CM316" s="22" t="n">
        <x:f>MAX(0,MIN('Activities'!L316,522)-MAX('Activities'!K316,516))</x:f>
        <x:v>0</x:v>
      </x:c>
      <x:c r="CN316" s="22" t="n">
        <x:f>MAX(0,MIN('Activities'!L316,528)-MAX('Activities'!K316,522))</x:f>
        <x:v>0</x:v>
      </x:c>
      <x:c r="CO316" s="22" t="n">
        <x:f>MAX(0,MIN('Activities'!L316,534)-MAX('Activities'!K316,528))</x:f>
        <x:v>0</x:v>
      </x:c>
      <x:c r="CP316" s="22" t="n">
        <x:f>MAX(0,MIN('Activities'!L316,540)-MAX('Activities'!K316,534))</x:f>
        <x:v>0</x:v>
      </x:c>
      <x:c r="CQ316" s="22" t="n">
        <x:f>MAX(0,MIN('Activities'!L316,546)-MAX('Activities'!K316,540))</x:f>
        <x:v>0</x:v>
      </x:c>
      <x:c r="CR316" s="22" t="n">
        <x:f>MAX(0,MIN('Activities'!L316,552)-MAX('Activities'!K316,546))</x:f>
        <x:v>0</x:v>
      </x:c>
      <x:c r="CS316" s="22" t="n">
        <x:f>MAX(0,MIN('Activities'!L316,558)-MAX('Activities'!K316,552))</x:f>
        <x:v>0</x:v>
      </x:c>
      <x:c r="CT316" s="22" t="n">
        <x:f>MAX(0,MIN('Activities'!L316,564)-MAX('Activities'!K316,558))</x:f>
        <x:v>0</x:v>
      </x:c>
      <x:c r="CU316" s="22" t="n">
        <x:f>MAX(0,MIN('Activities'!L316,570)-MAX('Activities'!K316,564))</x:f>
        <x:v>0</x:v>
      </x:c>
      <x:c r="CV316" s="22" t="n">
        <x:f>MAX(0,MIN('Activities'!L316,576)-MAX('Activities'!K316,570))</x:f>
        <x:v>0</x:v>
      </x:c>
      <x:c r="CW316" s="22" t="n">
        <x:f>MAX(0,MIN('Activities'!L316,582)-MAX('Activities'!K316,576))</x:f>
        <x:v>0</x:v>
      </x:c>
      <x:c r="CX316" s="22" t="n">
        <x:f>MAX(0,MIN('Activities'!L316,588)-MAX('Activities'!K316,582))</x:f>
        <x:v>0</x:v>
      </x:c>
      <x:c r="CY316" s="22" t="n">
        <x:f>MAX(0,MIN('Activities'!L316,594)-MAX('Activities'!K316,588))</x:f>
        <x:v>0</x:v>
      </x:c>
      <x:c r="CZ316" s="22" t="n">
        <x:f>MAX(0,MIN('Activities'!L316,600)-MAX('Activities'!K316,594))</x:f>
        <x:v>0</x:v>
      </x:c>
      <x:c r="DA316" s="22" t="n">
        <x:f>MAX(0,MIN('Activities'!L316,606)-MAX('Activities'!K316,600))</x:f>
        <x:v>0</x:v>
      </x:c>
      <x:c r="DB316" s="22" t="n">
        <x:f>MAX(0,MIN('Activities'!L316,612)-MAX('Activities'!K316,606))</x:f>
        <x:v>0</x:v>
      </x:c>
      <x:c r="DC316" s="22" t="n">
        <x:f>MAX(0,MIN('Activities'!L316,618)-MAX('Activities'!K316,612))</x:f>
        <x:v>0</x:v>
      </x:c>
      <x:c r="DD316" s="22" t="n">
        <x:f>MAX(0,MIN('Activities'!L316,624)-MAX('Activities'!K316,618))</x:f>
        <x:v>0</x:v>
      </x:c>
      <x:c r="DE316" s="22" t="n">
        <x:f>MAX(0,MIN('Activities'!L316,630)-MAX('Activities'!K316,624))</x:f>
        <x:v>0</x:v>
      </x:c>
      <x:c r="DF316" s="22" t="n">
        <x:f>MAX(0,MIN('Activities'!L316,636)-MAX('Activities'!K316,630))</x:f>
        <x:v>0</x:v>
      </x:c>
    </x:row>
    <x:row r="317" ht="23" customHeight="1">
      <x:c r="A317" s="1" t="str">
        <x:v>T3-L08-H</x:v>
      </x:c>
      <x:c r="B317" s="1" t="str">
        <x:v>T3</x:v>
      </x:c>
      <x:c r="C317" s="1" t="str">
        <x:v>Curing and release hold point</x:v>
      </x:c>
      <x:c r="D317" s="1" t="str">
        <x:v>Site</x:v>
      </x:c>
      <x:c r="E317" s="23" t="n">
        <x:f>MAX(0,MIN('Activities'!L317,6)-MAX('Activities'!K317,0))</x:f>
        <x:v>0</x:v>
      </x:c>
      <x:c r="F317" s="23" t="n">
        <x:f>MAX(0,MIN('Activities'!L317,12)-MAX('Activities'!K317,6))</x:f>
        <x:v>0</x:v>
      </x:c>
      <x:c r="G317" s="23" t="n">
        <x:f>MAX(0,MIN('Activities'!L317,18)-MAX('Activities'!K317,12))</x:f>
        <x:v>0</x:v>
      </x:c>
      <x:c r="H317" s="23" t="n">
        <x:f>MAX(0,MIN('Activities'!L317,24)-MAX('Activities'!K317,18))</x:f>
        <x:v>0</x:v>
      </x:c>
      <x:c r="I317" s="23" t="n">
        <x:f>MAX(0,MIN('Activities'!L317,30)-MAX('Activities'!K317,24))</x:f>
        <x:v>0</x:v>
      </x:c>
      <x:c r="J317" s="23" t="n">
        <x:f>MAX(0,MIN('Activities'!L317,36)-MAX('Activities'!K317,30))</x:f>
        <x:v>0</x:v>
      </x:c>
      <x:c r="K317" s="23" t="n">
        <x:f>MAX(0,MIN('Activities'!L317,42)-MAX('Activities'!K317,36))</x:f>
        <x:v>0</x:v>
      </x:c>
      <x:c r="L317" s="23" t="n">
        <x:f>MAX(0,MIN('Activities'!L317,48)-MAX('Activities'!K317,42))</x:f>
        <x:v>0</x:v>
      </x:c>
      <x:c r="M317" s="23" t="n">
        <x:f>MAX(0,MIN('Activities'!L317,54)-MAX('Activities'!K317,48))</x:f>
        <x:v>0</x:v>
      </x:c>
      <x:c r="N317" s="23" t="n">
        <x:f>MAX(0,MIN('Activities'!L317,60)-MAX('Activities'!K317,54))</x:f>
        <x:v>0</x:v>
      </x:c>
      <x:c r="O317" s="23" t="n">
        <x:f>MAX(0,MIN('Activities'!L317,66)-MAX('Activities'!K317,60))</x:f>
        <x:v>0</x:v>
      </x:c>
      <x:c r="P317" s="23" t="n">
        <x:f>MAX(0,MIN('Activities'!L317,72)-MAX('Activities'!K317,66))</x:f>
        <x:v>0</x:v>
      </x:c>
      <x:c r="Q317" s="23" t="n">
        <x:f>MAX(0,MIN('Activities'!L317,78)-MAX('Activities'!K317,72))</x:f>
        <x:v>0</x:v>
      </x:c>
      <x:c r="R317" s="23" t="n">
        <x:f>MAX(0,MIN('Activities'!L317,84)-MAX('Activities'!K317,78))</x:f>
        <x:v>0</x:v>
      </x:c>
      <x:c r="S317" s="23" t="n">
        <x:f>MAX(0,MIN('Activities'!L317,90)-MAX('Activities'!K317,84))</x:f>
        <x:v>0</x:v>
      </x:c>
      <x:c r="T317" s="23" t="n">
        <x:f>MAX(0,MIN('Activities'!L317,96)-MAX('Activities'!K317,90))</x:f>
        <x:v>0</x:v>
      </x:c>
      <x:c r="U317" s="23" t="n">
        <x:f>MAX(0,MIN('Activities'!L317,102)-MAX('Activities'!K317,96))</x:f>
        <x:v>0</x:v>
      </x:c>
      <x:c r="V317" s="23" t="n">
        <x:f>MAX(0,MIN('Activities'!L317,108)-MAX('Activities'!K317,102))</x:f>
        <x:v>0</x:v>
      </x:c>
      <x:c r="W317" s="23" t="n">
        <x:f>MAX(0,MIN('Activities'!L317,114)-MAX('Activities'!K317,108))</x:f>
        <x:v>0</x:v>
      </x:c>
      <x:c r="X317" s="23" t="n">
        <x:f>MAX(0,MIN('Activities'!L317,120)-MAX('Activities'!K317,114))</x:f>
        <x:v>0</x:v>
      </x:c>
      <x:c r="Y317" s="23" t="n">
        <x:f>MAX(0,MIN('Activities'!L317,126)-MAX('Activities'!K317,120))</x:f>
        <x:v>0</x:v>
      </x:c>
      <x:c r="Z317" s="23" t="n">
        <x:f>MAX(0,MIN('Activities'!L317,132)-MAX('Activities'!K317,126))</x:f>
        <x:v>0</x:v>
      </x:c>
      <x:c r="AA317" s="23" t="n">
        <x:f>MAX(0,MIN('Activities'!L317,138)-MAX('Activities'!K317,132))</x:f>
        <x:v>0</x:v>
      </x:c>
      <x:c r="AB317" s="23" t="n">
        <x:f>MAX(0,MIN('Activities'!L317,144)-MAX('Activities'!K317,138))</x:f>
        <x:v>0</x:v>
      </x:c>
      <x:c r="AC317" s="23" t="n">
        <x:f>MAX(0,MIN('Activities'!L317,150)-MAX('Activities'!K317,144))</x:f>
        <x:v>0</x:v>
      </x:c>
      <x:c r="AD317" s="23" t="n">
        <x:f>MAX(0,MIN('Activities'!L317,156)-MAX('Activities'!K317,150))</x:f>
        <x:v>0</x:v>
      </x:c>
      <x:c r="AE317" s="23" t="n">
        <x:f>MAX(0,MIN('Activities'!L317,162)-MAX('Activities'!K317,156))</x:f>
        <x:v>0</x:v>
      </x:c>
      <x:c r="AF317" s="23" t="n">
        <x:f>MAX(0,MIN('Activities'!L317,168)-MAX('Activities'!K317,162))</x:f>
        <x:v>0</x:v>
      </x:c>
      <x:c r="AG317" s="23" t="n">
        <x:f>MAX(0,MIN('Activities'!L317,174)-MAX('Activities'!K317,168))</x:f>
        <x:v>0</x:v>
      </x:c>
      <x:c r="AH317" s="23" t="n">
        <x:f>MAX(0,MIN('Activities'!L317,180)-MAX('Activities'!K317,174))</x:f>
        <x:v>0</x:v>
      </x:c>
      <x:c r="AI317" s="23" t="n">
        <x:f>MAX(0,MIN('Activities'!L317,186)-MAX('Activities'!K317,180))</x:f>
        <x:v>0</x:v>
      </x:c>
      <x:c r="AJ317" s="23" t="n">
        <x:f>MAX(0,MIN('Activities'!L317,192)-MAX('Activities'!K317,186))</x:f>
        <x:v>0</x:v>
      </x:c>
      <x:c r="AK317" s="23" t="n">
        <x:f>MAX(0,MIN('Activities'!L317,198)-MAX('Activities'!K317,192))</x:f>
        <x:v>0</x:v>
      </x:c>
      <x:c r="AL317" s="23" t="n">
        <x:f>MAX(0,MIN('Activities'!L317,204)-MAX('Activities'!K317,198))</x:f>
        <x:v>0</x:v>
      </x:c>
      <x:c r="AM317" s="23" t="n">
        <x:f>MAX(0,MIN('Activities'!L317,210)-MAX('Activities'!K317,204))</x:f>
        <x:v>0</x:v>
      </x:c>
      <x:c r="AN317" s="23" t="n">
        <x:f>MAX(0,MIN('Activities'!L317,216)-MAX('Activities'!K317,210))</x:f>
        <x:v>0</x:v>
      </x:c>
      <x:c r="AO317" s="23" t="n">
        <x:f>MAX(0,MIN('Activities'!L317,222)-MAX('Activities'!K317,216))</x:f>
        <x:v>0</x:v>
      </x:c>
      <x:c r="AP317" s="23" t="n">
        <x:f>MAX(0,MIN('Activities'!L317,228)-MAX('Activities'!K317,222))</x:f>
        <x:v>0</x:v>
      </x:c>
      <x:c r="AQ317" s="23" t="n">
        <x:f>MAX(0,MIN('Activities'!L317,234)-MAX('Activities'!K317,228))</x:f>
        <x:v>0</x:v>
      </x:c>
      <x:c r="AR317" s="23" t="n">
        <x:f>MAX(0,MIN('Activities'!L317,240)-MAX('Activities'!K317,234))</x:f>
        <x:v>0</x:v>
      </x:c>
      <x:c r="AS317" s="23" t="n">
        <x:f>MAX(0,MIN('Activities'!L317,246)-MAX('Activities'!K317,240))</x:f>
        <x:v>0</x:v>
      </x:c>
      <x:c r="AT317" s="23" t="n">
        <x:f>MAX(0,MIN('Activities'!L317,252)-MAX('Activities'!K317,246))</x:f>
        <x:v>0</x:v>
      </x:c>
      <x:c r="AU317" s="23" t="n">
        <x:f>MAX(0,MIN('Activities'!L317,258)-MAX('Activities'!K317,252))</x:f>
        <x:v>0</x:v>
      </x:c>
      <x:c r="AV317" s="23" t="n">
        <x:f>MAX(0,MIN('Activities'!L317,264)-MAX('Activities'!K317,258))</x:f>
        <x:v>0</x:v>
      </x:c>
      <x:c r="AW317" s="23" t="n">
        <x:f>MAX(0,MIN('Activities'!L317,270)-MAX('Activities'!K317,264))</x:f>
        <x:v>0</x:v>
      </x:c>
      <x:c r="AX317" s="23" t="n">
        <x:f>MAX(0,MIN('Activities'!L317,276)-MAX('Activities'!K317,270))</x:f>
        <x:v>0</x:v>
      </x:c>
      <x:c r="AY317" s="23" t="n">
        <x:f>MAX(0,MIN('Activities'!L317,282)-MAX('Activities'!K317,276))</x:f>
        <x:v>0</x:v>
      </x:c>
      <x:c r="AZ317" s="23" t="n">
        <x:f>MAX(0,MIN('Activities'!L317,288)-MAX('Activities'!K317,282))</x:f>
        <x:v>0</x:v>
      </x:c>
      <x:c r="BA317" s="23" t="n">
        <x:f>MAX(0,MIN('Activities'!L317,294)-MAX('Activities'!K317,288))</x:f>
        <x:v>0</x:v>
      </x:c>
      <x:c r="BB317" s="23" t="n">
        <x:f>MAX(0,MIN('Activities'!L317,300)-MAX('Activities'!K317,294))</x:f>
        <x:v>0</x:v>
      </x:c>
      <x:c r="BC317" s="23" t="n">
        <x:f>MAX(0,MIN('Activities'!L317,306)-MAX('Activities'!K317,300))</x:f>
        <x:v>0</x:v>
      </x:c>
      <x:c r="BD317" s="23" t="n">
        <x:f>MAX(0,MIN('Activities'!L317,312)-MAX('Activities'!K317,306))</x:f>
        <x:v>0</x:v>
      </x:c>
      <x:c r="BE317" s="23" t="n">
        <x:f>MAX(0,MIN('Activities'!L317,318)-MAX('Activities'!K317,312))</x:f>
        <x:v>3</x:v>
      </x:c>
      <x:c r="BF317" s="23" t="n">
        <x:f>MAX(0,MIN('Activities'!L317,324)-MAX('Activities'!K317,318))</x:f>
        <x:v>2</x:v>
      </x:c>
      <x:c r="BG317" s="23" t="n">
        <x:f>MAX(0,MIN('Activities'!L317,330)-MAX('Activities'!K317,324))</x:f>
        <x:v>0</x:v>
      </x:c>
      <x:c r="BH317" s="23" t="n">
        <x:f>MAX(0,MIN('Activities'!L317,336)-MAX('Activities'!K317,330))</x:f>
        <x:v>0</x:v>
      </x:c>
      <x:c r="BI317" s="23" t="n">
        <x:f>MAX(0,MIN('Activities'!L317,342)-MAX('Activities'!K317,336))</x:f>
        <x:v>0</x:v>
      </x:c>
      <x:c r="BJ317" s="23" t="n">
        <x:f>MAX(0,MIN('Activities'!L317,348)-MAX('Activities'!K317,342))</x:f>
        <x:v>0</x:v>
      </x:c>
      <x:c r="BK317" s="23" t="n">
        <x:f>MAX(0,MIN('Activities'!L317,354)-MAX('Activities'!K317,348))</x:f>
        <x:v>0</x:v>
      </x:c>
      <x:c r="BL317" s="23" t="n">
        <x:f>MAX(0,MIN('Activities'!L317,360)-MAX('Activities'!K317,354))</x:f>
        <x:v>0</x:v>
      </x:c>
      <x:c r="BM317" s="23" t="n">
        <x:f>MAX(0,MIN('Activities'!L317,366)-MAX('Activities'!K317,360))</x:f>
        <x:v>0</x:v>
      </x:c>
      <x:c r="BN317" s="23" t="n">
        <x:f>MAX(0,MIN('Activities'!L317,372)-MAX('Activities'!K317,366))</x:f>
        <x:v>0</x:v>
      </x:c>
      <x:c r="BO317" s="23" t="n">
        <x:f>MAX(0,MIN('Activities'!L317,378)-MAX('Activities'!K317,372))</x:f>
        <x:v>0</x:v>
      </x:c>
      <x:c r="BP317" s="23" t="n">
        <x:f>MAX(0,MIN('Activities'!L317,384)-MAX('Activities'!K317,378))</x:f>
        <x:v>0</x:v>
      </x:c>
      <x:c r="BQ317" s="23" t="n">
        <x:f>MAX(0,MIN('Activities'!L317,390)-MAX('Activities'!K317,384))</x:f>
        <x:v>0</x:v>
      </x:c>
      <x:c r="BR317" s="23" t="n">
        <x:f>MAX(0,MIN('Activities'!L317,396)-MAX('Activities'!K317,390))</x:f>
        <x:v>0</x:v>
      </x:c>
      <x:c r="BS317" s="23" t="n">
        <x:f>MAX(0,MIN('Activities'!L317,402)-MAX('Activities'!K317,396))</x:f>
        <x:v>0</x:v>
      </x:c>
      <x:c r="BT317" s="23" t="n">
        <x:f>MAX(0,MIN('Activities'!L317,408)-MAX('Activities'!K317,402))</x:f>
        <x:v>0</x:v>
      </x:c>
      <x:c r="BU317" s="23" t="n">
        <x:f>MAX(0,MIN('Activities'!L317,414)-MAX('Activities'!K317,408))</x:f>
        <x:v>0</x:v>
      </x:c>
      <x:c r="BV317" s="23" t="n">
        <x:f>MAX(0,MIN('Activities'!L317,420)-MAX('Activities'!K317,414))</x:f>
        <x:v>0</x:v>
      </x:c>
      <x:c r="BW317" s="23" t="n">
        <x:f>MAX(0,MIN('Activities'!L317,426)-MAX('Activities'!K317,420))</x:f>
        <x:v>0</x:v>
      </x:c>
      <x:c r="BX317" s="23" t="n">
        <x:f>MAX(0,MIN('Activities'!L317,432)-MAX('Activities'!K317,426))</x:f>
        <x:v>0</x:v>
      </x:c>
      <x:c r="BY317" s="23" t="n">
        <x:f>MAX(0,MIN('Activities'!L317,438)-MAX('Activities'!K317,432))</x:f>
        <x:v>0</x:v>
      </x:c>
      <x:c r="BZ317" s="23" t="n">
        <x:f>MAX(0,MIN('Activities'!L317,444)-MAX('Activities'!K317,438))</x:f>
        <x:v>0</x:v>
      </x:c>
      <x:c r="CA317" s="23" t="n">
        <x:f>MAX(0,MIN('Activities'!L317,450)-MAX('Activities'!K317,444))</x:f>
        <x:v>0</x:v>
      </x:c>
      <x:c r="CB317" s="23" t="n">
        <x:f>MAX(0,MIN('Activities'!L317,456)-MAX('Activities'!K317,450))</x:f>
        <x:v>0</x:v>
      </x:c>
      <x:c r="CC317" s="23" t="n">
        <x:f>MAX(0,MIN('Activities'!L317,462)-MAX('Activities'!K317,456))</x:f>
        <x:v>0</x:v>
      </x:c>
      <x:c r="CD317" s="23" t="n">
        <x:f>MAX(0,MIN('Activities'!L317,468)-MAX('Activities'!K317,462))</x:f>
        <x:v>0</x:v>
      </x:c>
      <x:c r="CE317" s="23" t="n">
        <x:f>MAX(0,MIN('Activities'!L317,474)-MAX('Activities'!K317,468))</x:f>
        <x:v>0</x:v>
      </x:c>
      <x:c r="CF317" s="23" t="n">
        <x:f>MAX(0,MIN('Activities'!L317,480)-MAX('Activities'!K317,474))</x:f>
        <x:v>0</x:v>
      </x:c>
      <x:c r="CG317" s="23" t="n">
        <x:f>MAX(0,MIN('Activities'!L317,486)-MAX('Activities'!K317,480))</x:f>
        <x:v>0</x:v>
      </x:c>
      <x:c r="CH317" s="23" t="n">
        <x:f>MAX(0,MIN('Activities'!L317,492)-MAX('Activities'!K317,486))</x:f>
        <x:v>0</x:v>
      </x:c>
      <x:c r="CI317" s="23" t="n">
        <x:f>MAX(0,MIN('Activities'!L317,498)-MAX('Activities'!K317,492))</x:f>
        <x:v>0</x:v>
      </x:c>
      <x:c r="CJ317" s="23" t="n">
        <x:f>MAX(0,MIN('Activities'!L317,504)-MAX('Activities'!K317,498))</x:f>
        <x:v>0</x:v>
      </x:c>
      <x:c r="CK317" s="23" t="n">
        <x:f>MAX(0,MIN('Activities'!L317,510)-MAX('Activities'!K317,504))</x:f>
        <x:v>0</x:v>
      </x:c>
      <x:c r="CL317" s="23" t="n">
        <x:f>MAX(0,MIN('Activities'!L317,516)-MAX('Activities'!K317,510))</x:f>
        <x:v>0</x:v>
      </x:c>
      <x:c r="CM317" s="23" t="n">
        <x:f>MAX(0,MIN('Activities'!L317,522)-MAX('Activities'!K317,516))</x:f>
        <x:v>0</x:v>
      </x:c>
      <x:c r="CN317" s="23" t="n">
        <x:f>MAX(0,MIN('Activities'!L317,528)-MAX('Activities'!K317,522))</x:f>
        <x:v>0</x:v>
      </x:c>
      <x:c r="CO317" s="23" t="n">
        <x:f>MAX(0,MIN('Activities'!L317,534)-MAX('Activities'!K317,528))</x:f>
        <x:v>0</x:v>
      </x:c>
      <x:c r="CP317" s="23" t="n">
        <x:f>MAX(0,MIN('Activities'!L317,540)-MAX('Activities'!K317,534))</x:f>
        <x:v>0</x:v>
      </x:c>
      <x:c r="CQ317" s="23" t="n">
        <x:f>MAX(0,MIN('Activities'!L317,546)-MAX('Activities'!K317,540))</x:f>
        <x:v>0</x:v>
      </x:c>
      <x:c r="CR317" s="23" t="n">
        <x:f>MAX(0,MIN('Activities'!L317,552)-MAX('Activities'!K317,546))</x:f>
        <x:v>0</x:v>
      </x:c>
      <x:c r="CS317" s="23" t="n">
        <x:f>MAX(0,MIN('Activities'!L317,558)-MAX('Activities'!K317,552))</x:f>
        <x:v>0</x:v>
      </x:c>
      <x:c r="CT317" s="23" t="n">
        <x:f>MAX(0,MIN('Activities'!L317,564)-MAX('Activities'!K317,558))</x:f>
        <x:v>0</x:v>
      </x:c>
      <x:c r="CU317" s="23" t="n">
        <x:f>MAX(0,MIN('Activities'!L317,570)-MAX('Activities'!K317,564))</x:f>
        <x:v>0</x:v>
      </x:c>
      <x:c r="CV317" s="23" t="n">
        <x:f>MAX(0,MIN('Activities'!L317,576)-MAX('Activities'!K317,570))</x:f>
        <x:v>0</x:v>
      </x:c>
      <x:c r="CW317" s="23" t="n">
        <x:f>MAX(0,MIN('Activities'!L317,582)-MAX('Activities'!K317,576))</x:f>
        <x:v>0</x:v>
      </x:c>
      <x:c r="CX317" s="23" t="n">
        <x:f>MAX(0,MIN('Activities'!L317,588)-MAX('Activities'!K317,582))</x:f>
        <x:v>0</x:v>
      </x:c>
      <x:c r="CY317" s="23" t="n">
        <x:f>MAX(0,MIN('Activities'!L317,594)-MAX('Activities'!K317,588))</x:f>
        <x:v>0</x:v>
      </x:c>
      <x:c r="CZ317" s="23" t="n">
        <x:f>MAX(0,MIN('Activities'!L317,600)-MAX('Activities'!K317,594))</x:f>
        <x:v>0</x:v>
      </x:c>
      <x:c r="DA317" s="23" t="n">
        <x:f>MAX(0,MIN('Activities'!L317,606)-MAX('Activities'!K317,600))</x:f>
        <x:v>0</x:v>
      </x:c>
      <x:c r="DB317" s="23" t="n">
        <x:f>MAX(0,MIN('Activities'!L317,612)-MAX('Activities'!K317,606))</x:f>
        <x:v>0</x:v>
      </x:c>
      <x:c r="DC317" s="23" t="n">
        <x:f>MAX(0,MIN('Activities'!L317,618)-MAX('Activities'!K317,612))</x:f>
        <x:v>0</x:v>
      </x:c>
      <x:c r="DD317" s="23" t="n">
        <x:f>MAX(0,MIN('Activities'!L317,624)-MAX('Activities'!K317,618))</x:f>
        <x:v>0</x:v>
      </x:c>
      <x:c r="DE317" s="23" t="n">
        <x:f>MAX(0,MIN('Activities'!L317,630)-MAX('Activities'!K317,624))</x:f>
        <x:v>0</x:v>
      </x:c>
      <x:c r="DF317" s="23" t="n">
        <x:f>MAX(0,MIN('Activities'!L317,636)-MAX('Activities'!K317,630))</x:f>
        <x:v>0</x:v>
      </x:c>
    </x:row>
    <x:row r="318" ht="23" customHeight="1">
      <x:c r="A318" s="6" t="str">
        <x:v>T3-L09-F</x:v>
      </x:c>
      <x:c r="B318" s="6" t="str">
        <x:v>T3</x:v>
      </x:c>
      <x:c r="C318" s="6" t="str">
        <x:v>Columns, core and deck formwork</x:v>
      </x:c>
      <x:c r="D318" s="6" t="str">
        <x:v>Formwork</x:v>
      </x:c>
      <x:c r="E318" s="22" t="n">
        <x:f>MAX(0,MIN('Activities'!L318,6)-MAX('Activities'!K318,0))</x:f>
        <x:v>0</x:v>
      </x:c>
      <x:c r="F318" s="22" t="n">
        <x:f>MAX(0,MIN('Activities'!L318,12)-MAX('Activities'!K318,6))</x:f>
        <x:v>0</x:v>
      </x:c>
      <x:c r="G318" s="22" t="n">
        <x:f>MAX(0,MIN('Activities'!L318,18)-MAX('Activities'!K318,12))</x:f>
        <x:v>0</x:v>
      </x:c>
      <x:c r="H318" s="22" t="n">
        <x:f>MAX(0,MIN('Activities'!L318,24)-MAX('Activities'!K318,18))</x:f>
        <x:v>0</x:v>
      </x:c>
      <x:c r="I318" s="22" t="n">
        <x:f>MAX(0,MIN('Activities'!L318,30)-MAX('Activities'!K318,24))</x:f>
        <x:v>0</x:v>
      </x:c>
      <x:c r="J318" s="22" t="n">
        <x:f>MAX(0,MIN('Activities'!L318,36)-MAX('Activities'!K318,30))</x:f>
        <x:v>0</x:v>
      </x:c>
      <x:c r="K318" s="22" t="n">
        <x:f>MAX(0,MIN('Activities'!L318,42)-MAX('Activities'!K318,36))</x:f>
        <x:v>0</x:v>
      </x:c>
      <x:c r="L318" s="22" t="n">
        <x:f>MAX(0,MIN('Activities'!L318,48)-MAX('Activities'!K318,42))</x:f>
        <x:v>0</x:v>
      </x:c>
      <x:c r="M318" s="22" t="n">
        <x:f>MAX(0,MIN('Activities'!L318,54)-MAX('Activities'!K318,48))</x:f>
        <x:v>0</x:v>
      </x:c>
      <x:c r="N318" s="22" t="n">
        <x:f>MAX(0,MIN('Activities'!L318,60)-MAX('Activities'!K318,54))</x:f>
        <x:v>0</x:v>
      </x:c>
      <x:c r="O318" s="22" t="n">
        <x:f>MAX(0,MIN('Activities'!L318,66)-MAX('Activities'!K318,60))</x:f>
        <x:v>0</x:v>
      </x:c>
      <x:c r="P318" s="22" t="n">
        <x:f>MAX(0,MIN('Activities'!L318,72)-MAX('Activities'!K318,66))</x:f>
        <x:v>0</x:v>
      </x:c>
      <x:c r="Q318" s="22" t="n">
        <x:f>MAX(0,MIN('Activities'!L318,78)-MAX('Activities'!K318,72))</x:f>
        <x:v>0</x:v>
      </x:c>
      <x:c r="R318" s="22" t="n">
        <x:f>MAX(0,MIN('Activities'!L318,84)-MAX('Activities'!K318,78))</x:f>
        <x:v>0</x:v>
      </x:c>
      <x:c r="S318" s="22" t="n">
        <x:f>MAX(0,MIN('Activities'!L318,90)-MAX('Activities'!K318,84))</x:f>
        <x:v>0</x:v>
      </x:c>
      <x:c r="T318" s="22" t="n">
        <x:f>MAX(0,MIN('Activities'!L318,96)-MAX('Activities'!K318,90))</x:f>
        <x:v>0</x:v>
      </x:c>
      <x:c r="U318" s="22" t="n">
        <x:f>MAX(0,MIN('Activities'!L318,102)-MAX('Activities'!K318,96))</x:f>
        <x:v>0</x:v>
      </x:c>
      <x:c r="V318" s="22" t="n">
        <x:f>MAX(0,MIN('Activities'!L318,108)-MAX('Activities'!K318,102))</x:f>
        <x:v>0</x:v>
      </x:c>
      <x:c r="W318" s="22" t="n">
        <x:f>MAX(0,MIN('Activities'!L318,114)-MAX('Activities'!K318,108))</x:f>
        <x:v>0</x:v>
      </x:c>
      <x:c r="X318" s="22" t="n">
        <x:f>MAX(0,MIN('Activities'!L318,120)-MAX('Activities'!K318,114))</x:f>
        <x:v>0</x:v>
      </x:c>
      <x:c r="Y318" s="22" t="n">
        <x:f>MAX(0,MIN('Activities'!L318,126)-MAX('Activities'!K318,120))</x:f>
        <x:v>0</x:v>
      </x:c>
      <x:c r="Z318" s="22" t="n">
        <x:f>MAX(0,MIN('Activities'!L318,132)-MAX('Activities'!K318,126))</x:f>
        <x:v>0</x:v>
      </x:c>
      <x:c r="AA318" s="22" t="n">
        <x:f>MAX(0,MIN('Activities'!L318,138)-MAX('Activities'!K318,132))</x:f>
        <x:v>0</x:v>
      </x:c>
      <x:c r="AB318" s="22" t="n">
        <x:f>MAX(0,MIN('Activities'!L318,144)-MAX('Activities'!K318,138))</x:f>
        <x:v>0</x:v>
      </x:c>
      <x:c r="AC318" s="22" t="n">
        <x:f>MAX(0,MIN('Activities'!L318,150)-MAX('Activities'!K318,144))</x:f>
        <x:v>0</x:v>
      </x:c>
      <x:c r="AD318" s="22" t="n">
        <x:f>MAX(0,MIN('Activities'!L318,156)-MAX('Activities'!K318,150))</x:f>
        <x:v>0</x:v>
      </x:c>
      <x:c r="AE318" s="22" t="n">
        <x:f>MAX(0,MIN('Activities'!L318,162)-MAX('Activities'!K318,156))</x:f>
        <x:v>0</x:v>
      </x:c>
      <x:c r="AF318" s="22" t="n">
        <x:f>MAX(0,MIN('Activities'!L318,168)-MAX('Activities'!K318,162))</x:f>
        <x:v>0</x:v>
      </x:c>
      <x:c r="AG318" s="22" t="n">
        <x:f>MAX(0,MIN('Activities'!L318,174)-MAX('Activities'!K318,168))</x:f>
        <x:v>0</x:v>
      </x:c>
      <x:c r="AH318" s="22" t="n">
        <x:f>MAX(0,MIN('Activities'!L318,180)-MAX('Activities'!K318,174))</x:f>
        <x:v>0</x:v>
      </x:c>
      <x:c r="AI318" s="22" t="n">
        <x:f>MAX(0,MIN('Activities'!L318,186)-MAX('Activities'!K318,180))</x:f>
        <x:v>0</x:v>
      </x:c>
      <x:c r="AJ318" s="22" t="n">
        <x:f>MAX(0,MIN('Activities'!L318,192)-MAX('Activities'!K318,186))</x:f>
        <x:v>0</x:v>
      </x:c>
      <x:c r="AK318" s="22" t="n">
        <x:f>MAX(0,MIN('Activities'!L318,198)-MAX('Activities'!K318,192))</x:f>
        <x:v>0</x:v>
      </x:c>
      <x:c r="AL318" s="22" t="n">
        <x:f>MAX(0,MIN('Activities'!L318,204)-MAX('Activities'!K318,198))</x:f>
        <x:v>0</x:v>
      </x:c>
      <x:c r="AM318" s="22" t="n">
        <x:f>MAX(0,MIN('Activities'!L318,210)-MAX('Activities'!K318,204))</x:f>
        <x:v>0</x:v>
      </x:c>
      <x:c r="AN318" s="22" t="n">
        <x:f>MAX(0,MIN('Activities'!L318,216)-MAX('Activities'!K318,210))</x:f>
        <x:v>0</x:v>
      </x:c>
      <x:c r="AO318" s="22" t="n">
        <x:f>MAX(0,MIN('Activities'!L318,222)-MAX('Activities'!K318,216))</x:f>
        <x:v>0</x:v>
      </x:c>
      <x:c r="AP318" s="22" t="n">
        <x:f>MAX(0,MIN('Activities'!L318,228)-MAX('Activities'!K318,222))</x:f>
        <x:v>0</x:v>
      </x:c>
      <x:c r="AQ318" s="22" t="n">
        <x:f>MAX(0,MIN('Activities'!L318,234)-MAX('Activities'!K318,228))</x:f>
        <x:v>0</x:v>
      </x:c>
      <x:c r="AR318" s="22" t="n">
        <x:f>MAX(0,MIN('Activities'!L318,240)-MAX('Activities'!K318,234))</x:f>
        <x:v>0</x:v>
      </x:c>
      <x:c r="AS318" s="22" t="n">
        <x:f>MAX(0,MIN('Activities'!L318,246)-MAX('Activities'!K318,240))</x:f>
        <x:v>0</x:v>
      </x:c>
      <x:c r="AT318" s="22" t="n">
        <x:f>MAX(0,MIN('Activities'!L318,252)-MAX('Activities'!K318,246))</x:f>
        <x:v>0</x:v>
      </x:c>
      <x:c r="AU318" s="22" t="n">
        <x:f>MAX(0,MIN('Activities'!L318,258)-MAX('Activities'!K318,252))</x:f>
        <x:v>0</x:v>
      </x:c>
      <x:c r="AV318" s="22" t="n">
        <x:f>MAX(0,MIN('Activities'!L318,264)-MAX('Activities'!K318,258))</x:f>
        <x:v>0</x:v>
      </x:c>
      <x:c r="AW318" s="22" t="n">
        <x:f>MAX(0,MIN('Activities'!L318,270)-MAX('Activities'!K318,264))</x:f>
        <x:v>0</x:v>
      </x:c>
      <x:c r="AX318" s="22" t="n">
        <x:f>MAX(0,MIN('Activities'!L318,276)-MAX('Activities'!K318,270))</x:f>
        <x:v>0</x:v>
      </x:c>
      <x:c r="AY318" s="22" t="n">
        <x:f>MAX(0,MIN('Activities'!L318,282)-MAX('Activities'!K318,276))</x:f>
        <x:v>0</x:v>
      </x:c>
      <x:c r="AZ318" s="22" t="n">
        <x:f>MAX(0,MIN('Activities'!L318,288)-MAX('Activities'!K318,282))</x:f>
        <x:v>0</x:v>
      </x:c>
      <x:c r="BA318" s="22" t="n">
        <x:f>MAX(0,MIN('Activities'!L318,294)-MAX('Activities'!K318,288))</x:f>
        <x:v>0</x:v>
      </x:c>
      <x:c r="BB318" s="22" t="n">
        <x:f>MAX(0,MIN('Activities'!L318,300)-MAX('Activities'!K318,294))</x:f>
        <x:v>0</x:v>
      </x:c>
      <x:c r="BC318" s="22" t="n">
        <x:f>MAX(0,MIN('Activities'!L318,306)-MAX('Activities'!K318,300))</x:f>
        <x:v>0</x:v>
      </x:c>
      <x:c r="BD318" s="22" t="n">
        <x:f>MAX(0,MIN('Activities'!L318,312)-MAX('Activities'!K318,306))</x:f>
        <x:v>0</x:v>
      </x:c>
      <x:c r="BE318" s="22" t="n">
        <x:f>MAX(0,MIN('Activities'!L318,318)-MAX('Activities'!K318,312))</x:f>
        <x:v>0</x:v>
      </x:c>
      <x:c r="BF318" s="22" t="n">
        <x:f>MAX(0,MIN('Activities'!L318,324)-MAX('Activities'!K318,318))</x:f>
        <x:v>4</x:v>
      </x:c>
      <x:c r="BG318" s="22" t="n">
        <x:f>MAX(0,MIN('Activities'!L318,330)-MAX('Activities'!K318,324))</x:f>
        <x:v>2</x:v>
      </x:c>
      <x:c r="BH318" s="22" t="n">
        <x:f>MAX(0,MIN('Activities'!L318,336)-MAX('Activities'!K318,330))</x:f>
        <x:v>0</x:v>
      </x:c>
      <x:c r="BI318" s="22" t="n">
        <x:f>MAX(0,MIN('Activities'!L318,342)-MAX('Activities'!K318,336))</x:f>
        <x:v>0</x:v>
      </x:c>
      <x:c r="BJ318" s="22" t="n">
        <x:f>MAX(0,MIN('Activities'!L318,348)-MAX('Activities'!K318,342))</x:f>
        <x:v>0</x:v>
      </x:c>
      <x:c r="BK318" s="22" t="n">
        <x:f>MAX(0,MIN('Activities'!L318,354)-MAX('Activities'!K318,348))</x:f>
        <x:v>0</x:v>
      </x:c>
      <x:c r="BL318" s="22" t="n">
        <x:f>MAX(0,MIN('Activities'!L318,360)-MAX('Activities'!K318,354))</x:f>
        <x:v>0</x:v>
      </x:c>
      <x:c r="BM318" s="22" t="n">
        <x:f>MAX(0,MIN('Activities'!L318,366)-MAX('Activities'!K318,360))</x:f>
        <x:v>0</x:v>
      </x:c>
      <x:c r="BN318" s="22" t="n">
        <x:f>MAX(0,MIN('Activities'!L318,372)-MAX('Activities'!K318,366))</x:f>
        <x:v>0</x:v>
      </x:c>
      <x:c r="BO318" s="22" t="n">
        <x:f>MAX(0,MIN('Activities'!L318,378)-MAX('Activities'!K318,372))</x:f>
        <x:v>0</x:v>
      </x:c>
      <x:c r="BP318" s="22" t="n">
        <x:f>MAX(0,MIN('Activities'!L318,384)-MAX('Activities'!K318,378))</x:f>
        <x:v>0</x:v>
      </x:c>
      <x:c r="BQ318" s="22" t="n">
        <x:f>MAX(0,MIN('Activities'!L318,390)-MAX('Activities'!K318,384))</x:f>
        <x:v>0</x:v>
      </x:c>
      <x:c r="BR318" s="22" t="n">
        <x:f>MAX(0,MIN('Activities'!L318,396)-MAX('Activities'!K318,390))</x:f>
        <x:v>0</x:v>
      </x:c>
      <x:c r="BS318" s="22" t="n">
        <x:f>MAX(0,MIN('Activities'!L318,402)-MAX('Activities'!K318,396))</x:f>
        <x:v>0</x:v>
      </x:c>
      <x:c r="BT318" s="22" t="n">
        <x:f>MAX(0,MIN('Activities'!L318,408)-MAX('Activities'!K318,402))</x:f>
        <x:v>0</x:v>
      </x:c>
      <x:c r="BU318" s="22" t="n">
        <x:f>MAX(0,MIN('Activities'!L318,414)-MAX('Activities'!K318,408))</x:f>
        <x:v>0</x:v>
      </x:c>
      <x:c r="BV318" s="22" t="n">
        <x:f>MAX(0,MIN('Activities'!L318,420)-MAX('Activities'!K318,414))</x:f>
        <x:v>0</x:v>
      </x:c>
      <x:c r="BW318" s="22" t="n">
        <x:f>MAX(0,MIN('Activities'!L318,426)-MAX('Activities'!K318,420))</x:f>
        <x:v>0</x:v>
      </x:c>
      <x:c r="BX318" s="22" t="n">
        <x:f>MAX(0,MIN('Activities'!L318,432)-MAX('Activities'!K318,426))</x:f>
        <x:v>0</x:v>
      </x:c>
      <x:c r="BY318" s="22" t="n">
        <x:f>MAX(0,MIN('Activities'!L318,438)-MAX('Activities'!K318,432))</x:f>
        <x:v>0</x:v>
      </x:c>
      <x:c r="BZ318" s="22" t="n">
        <x:f>MAX(0,MIN('Activities'!L318,444)-MAX('Activities'!K318,438))</x:f>
        <x:v>0</x:v>
      </x:c>
      <x:c r="CA318" s="22" t="n">
        <x:f>MAX(0,MIN('Activities'!L318,450)-MAX('Activities'!K318,444))</x:f>
        <x:v>0</x:v>
      </x:c>
      <x:c r="CB318" s="22" t="n">
        <x:f>MAX(0,MIN('Activities'!L318,456)-MAX('Activities'!K318,450))</x:f>
        <x:v>0</x:v>
      </x:c>
      <x:c r="CC318" s="22" t="n">
        <x:f>MAX(0,MIN('Activities'!L318,462)-MAX('Activities'!K318,456))</x:f>
        <x:v>0</x:v>
      </x:c>
      <x:c r="CD318" s="22" t="n">
        <x:f>MAX(0,MIN('Activities'!L318,468)-MAX('Activities'!K318,462))</x:f>
        <x:v>0</x:v>
      </x:c>
      <x:c r="CE318" s="22" t="n">
        <x:f>MAX(0,MIN('Activities'!L318,474)-MAX('Activities'!K318,468))</x:f>
        <x:v>0</x:v>
      </x:c>
      <x:c r="CF318" s="22" t="n">
        <x:f>MAX(0,MIN('Activities'!L318,480)-MAX('Activities'!K318,474))</x:f>
        <x:v>0</x:v>
      </x:c>
      <x:c r="CG318" s="22" t="n">
        <x:f>MAX(0,MIN('Activities'!L318,486)-MAX('Activities'!K318,480))</x:f>
        <x:v>0</x:v>
      </x:c>
      <x:c r="CH318" s="22" t="n">
        <x:f>MAX(0,MIN('Activities'!L318,492)-MAX('Activities'!K318,486))</x:f>
        <x:v>0</x:v>
      </x:c>
      <x:c r="CI318" s="22" t="n">
        <x:f>MAX(0,MIN('Activities'!L318,498)-MAX('Activities'!K318,492))</x:f>
        <x:v>0</x:v>
      </x:c>
      <x:c r="CJ318" s="22" t="n">
        <x:f>MAX(0,MIN('Activities'!L318,504)-MAX('Activities'!K318,498))</x:f>
        <x:v>0</x:v>
      </x:c>
      <x:c r="CK318" s="22" t="n">
        <x:f>MAX(0,MIN('Activities'!L318,510)-MAX('Activities'!K318,504))</x:f>
        <x:v>0</x:v>
      </x:c>
      <x:c r="CL318" s="22" t="n">
        <x:f>MAX(0,MIN('Activities'!L318,516)-MAX('Activities'!K318,510))</x:f>
        <x:v>0</x:v>
      </x:c>
      <x:c r="CM318" s="22" t="n">
        <x:f>MAX(0,MIN('Activities'!L318,522)-MAX('Activities'!K318,516))</x:f>
        <x:v>0</x:v>
      </x:c>
      <x:c r="CN318" s="22" t="n">
        <x:f>MAX(0,MIN('Activities'!L318,528)-MAX('Activities'!K318,522))</x:f>
        <x:v>0</x:v>
      </x:c>
      <x:c r="CO318" s="22" t="n">
        <x:f>MAX(0,MIN('Activities'!L318,534)-MAX('Activities'!K318,528))</x:f>
        <x:v>0</x:v>
      </x:c>
      <x:c r="CP318" s="22" t="n">
        <x:f>MAX(0,MIN('Activities'!L318,540)-MAX('Activities'!K318,534))</x:f>
        <x:v>0</x:v>
      </x:c>
      <x:c r="CQ318" s="22" t="n">
        <x:f>MAX(0,MIN('Activities'!L318,546)-MAX('Activities'!K318,540))</x:f>
        <x:v>0</x:v>
      </x:c>
      <x:c r="CR318" s="22" t="n">
        <x:f>MAX(0,MIN('Activities'!L318,552)-MAX('Activities'!K318,546))</x:f>
        <x:v>0</x:v>
      </x:c>
      <x:c r="CS318" s="22" t="n">
        <x:f>MAX(0,MIN('Activities'!L318,558)-MAX('Activities'!K318,552))</x:f>
        <x:v>0</x:v>
      </x:c>
      <x:c r="CT318" s="22" t="n">
        <x:f>MAX(0,MIN('Activities'!L318,564)-MAX('Activities'!K318,558))</x:f>
        <x:v>0</x:v>
      </x:c>
      <x:c r="CU318" s="22" t="n">
        <x:f>MAX(0,MIN('Activities'!L318,570)-MAX('Activities'!K318,564))</x:f>
        <x:v>0</x:v>
      </x:c>
      <x:c r="CV318" s="22" t="n">
        <x:f>MAX(0,MIN('Activities'!L318,576)-MAX('Activities'!K318,570))</x:f>
        <x:v>0</x:v>
      </x:c>
      <x:c r="CW318" s="22" t="n">
        <x:f>MAX(0,MIN('Activities'!L318,582)-MAX('Activities'!K318,576))</x:f>
        <x:v>0</x:v>
      </x:c>
      <x:c r="CX318" s="22" t="n">
        <x:f>MAX(0,MIN('Activities'!L318,588)-MAX('Activities'!K318,582))</x:f>
        <x:v>0</x:v>
      </x:c>
      <x:c r="CY318" s="22" t="n">
        <x:f>MAX(0,MIN('Activities'!L318,594)-MAX('Activities'!K318,588))</x:f>
        <x:v>0</x:v>
      </x:c>
      <x:c r="CZ318" s="22" t="n">
        <x:f>MAX(0,MIN('Activities'!L318,600)-MAX('Activities'!K318,594))</x:f>
        <x:v>0</x:v>
      </x:c>
      <x:c r="DA318" s="22" t="n">
        <x:f>MAX(0,MIN('Activities'!L318,606)-MAX('Activities'!K318,600))</x:f>
        <x:v>0</x:v>
      </x:c>
      <x:c r="DB318" s="22" t="n">
        <x:f>MAX(0,MIN('Activities'!L318,612)-MAX('Activities'!K318,606))</x:f>
        <x:v>0</x:v>
      </x:c>
      <x:c r="DC318" s="22" t="n">
        <x:f>MAX(0,MIN('Activities'!L318,618)-MAX('Activities'!K318,612))</x:f>
        <x:v>0</x:v>
      </x:c>
      <x:c r="DD318" s="22" t="n">
        <x:f>MAX(0,MIN('Activities'!L318,624)-MAX('Activities'!K318,618))</x:f>
        <x:v>0</x:v>
      </x:c>
      <x:c r="DE318" s="22" t="n">
        <x:f>MAX(0,MIN('Activities'!L318,630)-MAX('Activities'!K318,624))</x:f>
        <x:v>0</x:v>
      </x:c>
      <x:c r="DF318" s="22" t="n">
        <x:f>MAX(0,MIN('Activities'!L318,636)-MAX('Activities'!K318,630))</x:f>
        <x:v>0</x:v>
      </x:c>
    </x:row>
    <x:row r="319" ht="23" customHeight="1">
      <x:c r="A319" s="1" t="str">
        <x:v>T3-L09-R</x:v>
      </x:c>
      <x:c r="B319" s="1" t="str">
        <x:v>T3</x:v>
      </x:c>
      <x:c r="C319" s="1" t="str">
        <x:v>Column, wall, beam and slab reinforcement</x:v>
      </x:c>
      <x:c r="D319" s="1" t="str">
        <x:v>Rebar</x:v>
      </x:c>
      <x:c r="E319" s="23" t="n">
        <x:f>MAX(0,MIN('Activities'!L319,6)-MAX('Activities'!K319,0))</x:f>
        <x:v>0</x:v>
      </x:c>
      <x:c r="F319" s="23" t="n">
        <x:f>MAX(0,MIN('Activities'!L319,12)-MAX('Activities'!K319,6))</x:f>
        <x:v>0</x:v>
      </x:c>
      <x:c r="G319" s="23" t="n">
        <x:f>MAX(0,MIN('Activities'!L319,18)-MAX('Activities'!K319,12))</x:f>
        <x:v>0</x:v>
      </x:c>
      <x:c r="H319" s="23" t="n">
        <x:f>MAX(0,MIN('Activities'!L319,24)-MAX('Activities'!K319,18))</x:f>
        <x:v>0</x:v>
      </x:c>
      <x:c r="I319" s="23" t="n">
        <x:f>MAX(0,MIN('Activities'!L319,30)-MAX('Activities'!K319,24))</x:f>
        <x:v>0</x:v>
      </x:c>
      <x:c r="J319" s="23" t="n">
        <x:f>MAX(0,MIN('Activities'!L319,36)-MAX('Activities'!K319,30))</x:f>
        <x:v>0</x:v>
      </x:c>
      <x:c r="K319" s="23" t="n">
        <x:f>MAX(0,MIN('Activities'!L319,42)-MAX('Activities'!K319,36))</x:f>
        <x:v>0</x:v>
      </x:c>
      <x:c r="L319" s="23" t="n">
        <x:f>MAX(0,MIN('Activities'!L319,48)-MAX('Activities'!K319,42))</x:f>
        <x:v>0</x:v>
      </x:c>
      <x:c r="M319" s="23" t="n">
        <x:f>MAX(0,MIN('Activities'!L319,54)-MAX('Activities'!K319,48))</x:f>
        <x:v>0</x:v>
      </x:c>
      <x:c r="N319" s="23" t="n">
        <x:f>MAX(0,MIN('Activities'!L319,60)-MAX('Activities'!K319,54))</x:f>
        <x:v>0</x:v>
      </x:c>
      <x:c r="O319" s="23" t="n">
        <x:f>MAX(0,MIN('Activities'!L319,66)-MAX('Activities'!K319,60))</x:f>
        <x:v>0</x:v>
      </x:c>
      <x:c r="P319" s="23" t="n">
        <x:f>MAX(0,MIN('Activities'!L319,72)-MAX('Activities'!K319,66))</x:f>
        <x:v>0</x:v>
      </x:c>
      <x:c r="Q319" s="23" t="n">
        <x:f>MAX(0,MIN('Activities'!L319,78)-MAX('Activities'!K319,72))</x:f>
        <x:v>0</x:v>
      </x:c>
      <x:c r="R319" s="23" t="n">
        <x:f>MAX(0,MIN('Activities'!L319,84)-MAX('Activities'!K319,78))</x:f>
        <x:v>0</x:v>
      </x:c>
      <x:c r="S319" s="23" t="n">
        <x:f>MAX(0,MIN('Activities'!L319,90)-MAX('Activities'!K319,84))</x:f>
        <x:v>0</x:v>
      </x:c>
      <x:c r="T319" s="23" t="n">
        <x:f>MAX(0,MIN('Activities'!L319,96)-MAX('Activities'!K319,90))</x:f>
        <x:v>0</x:v>
      </x:c>
      <x:c r="U319" s="23" t="n">
        <x:f>MAX(0,MIN('Activities'!L319,102)-MAX('Activities'!K319,96))</x:f>
        <x:v>0</x:v>
      </x:c>
      <x:c r="V319" s="23" t="n">
        <x:f>MAX(0,MIN('Activities'!L319,108)-MAX('Activities'!K319,102))</x:f>
        <x:v>0</x:v>
      </x:c>
      <x:c r="W319" s="23" t="n">
        <x:f>MAX(0,MIN('Activities'!L319,114)-MAX('Activities'!K319,108))</x:f>
        <x:v>0</x:v>
      </x:c>
      <x:c r="X319" s="23" t="n">
        <x:f>MAX(0,MIN('Activities'!L319,120)-MAX('Activities'!K319,114))</x:f>
        <x:v>0</x:v>
      </x:c>
      <x:c r="Y319" s="23" t="n">
        <x:f>MAX(0,MIN('Activities'!L319,126)-MAX('Activities'!K319,120))</x:f>
        <x:v>0</x:v>
      </x:c>
      <x:c r="Z319" s="23" t="n">
        <x:f>MAX(0,MIN('Activities'!L319,132)-MAX('Activities'!K319,126))</x:f>
        <x:v>0</x:v>
      </x:c>
      <x:c r="AA319" s="23" t="n">
        <x:f>MAX(0,MIN('Activities'!L319,138)-MAX('Activities'!K319,132))</x:f>
        <x:v>0</x:v>
      </x:c>
      <x:c r="AB319" s="23" t="n">
        <x:f>MAX(0,MIN('Activities'!L319,144)-MAX('Activities'!K319,138))</x:f>
        <x:v>0</x:v>
      </x:c>
      <x:c r="AC319" s="23" t="n">
        <x:f>MAX(0,MIN('Activities'!L319,150)-MAX('Activities'!K319,144))</x:f>
        <x:v>0</x:v>
      </x:c>
      <x:c r="AD319" s="23" t="n">
        <x:f>MAX(0,MIN('Activities'!L319,156)-MAX('Activities'!K319,150))</x:f>
        <x:v>0</x:v>
      </x:c>
      <x:c r="AE319" s="23" t="n">
        <x:f>MAX(0,MIN('Activities'!L319,162)-MAX('Activities'!K319,156))</x:f>
        <x:v>0</x:v>
      </x:c>
      <x:c r="AF319" s="23" t="n">
        <x:f>MAX(0,MIN('Activities'!L319,168)-MAX('Activities'!K319,162))</x:f>
        <x:v>0</x:v>
      </x:c>
      <x:c r="AG319" s="23" t="n">
        <x:f>MAX(0,MIN('Activities'!L319,174)-MAX('Activities'!K319,168))</x:f>
        <x:v>0</x:v>
      </x:c>
      <x:c r="AH319" s="23" t="n">
        <x:f>MAX(0,MIN('Activities'!L319,180)-MAX('Activities'!K319,174))</x:f>
        <x:v>0</x:v>
      </x:c>
      <x:c r="AI319" s="23" t="n">
        <x:f>MAX(0,MIN('Activities'!L319,186)-MAX('Activities'!K319,180))</x:f>
        <x:v>0</x:v>
      </x:c>
      <x:c r="AJ319" s="23" t="n">
        <x:f>MAX(0,MIN('Activities'!L319,192)-MAX('Activities'!K319,186))</x:f>
        <x:v>0</x:v>
      </x:c>
      <x:c r="AK319" s="23" t="n">
        <x:f>MAX(0,MIN('Activities'!L319,198)-MAX('Activities'!K319,192))</x:f>
        <x:v>0</x:v>
      </x:c>
      <x:c r="AL319" s="23" t="n">
        <x:f>MAX(0,MIN('Activities'!L319,204)-MAX('Activities'!K319,198))</x:f>
        <x:v>0</x:v>
      </x:c>
      <x:c r="AM319" s="23" t="n">
        <x:f>MAX(0,MIN('Activities'!L319,210)-MAX('Activities'!K319,204))</x:f>
        <x:v>0</x:v>
      </x:c>
      <x:c r="AN319" s="23" t="n">
        <x:f>MAX(0,MIN('Activities'!L319,216)-MAX('Activities'!K319,210))</x:f>
        <x:v>0</x:v>
      </x:c>
      <x:c r="AO319" s="23" t="n">
        <x:f>MAX(0,MIN('Activities'!L319,222)-MAX('Activities'!K319,216))</x:f>
        <x:v>0</x:v>
      </x:c>
      <x:c r="AP319" s="23" t="n">
        <x:f>MAX(0,MIN('Activities'!L319,228)-MAX('Activities'!K319,222))</x:f>
        <x:v>0</x:v>
      </x:c>
      <x:c r="AQ319" s="23" t="n">
        <x:f>MAX(0,MIN('Activities'!L319,234)-MAX('Activities'!K319,228))</x:f>
        <x:v>0</x:v>
      </x:c>
      <x:c r="AR319" s="23" t="n">
        <x:f>MAX(0,MIN('Activities'!L319,240)-MAX('Activities'!K319,234))</x:f>
        <x:v>0</x:v>
      </x:c>
      <x:c r="AS319" s="23" t="n">
        <x:f>MAX(0,MIN('Activities'!L319,246)-MAX('Activities'!K319,240))</x:f>
        <x:v>0</x:v>
      </x:c>
      <x:c r="AT319" s="23" t="n">
        <x:f>MAX(0,MIN('Activities'!L319,252)-MAX('Activities'!K319,246))</x:f>
        <x:v>0</x:v>
      </x:c>
      <x:c r="AU319" s="23" t="n">
        <x:f>MAX(0,MIN('Activities'!L319,258)-MAX('Activities'!K319,252))</x:f>
        <x:v>0</x:v>
      </x:c>
      <x:c r="AV319" s="23" t="n">
        <x:f>MAX(0,MIN('Activities'!L319,264)-MAX('Activities'!K319,258))</x:f>
        <x:v>0</x:v>
      </x:c>
      <x:c r="AW319" s="23" t="n">
        <x:f>MAX(0,MIN('Activities'!L319,270)-MAX('Activities'!K319,264))</x:f>
        <x:v>0</x:v>
      </x:c>
      <x:c r="AX319" s="23" t="n">
        <x:f>MAX(0,MIN('Activities'!L319,276)-MAX('Activities'!K319,270))</x:f>
        <x:v>0</x:v>
      </x:c>
      <x:c r="AY319" s="23" t="n">
        <x:f>MAX(0,MIN('Activities'!L319,282)-MAX('Activities'!K319,276))</x:f>
        <x:v>0</x:v>
      </x:c>
      <x:c r="AZ319" s="23" t="n">
        <x:f>MAX(0,MIN('Activities'!L319,288)-MAX('Activities'!K319,282))</x:f>
        <x:v>0</x:v>
      </x:c>
      <x:c r="BA319" s="23" t="n">
        <x:f>MAX(0,MIN('Activities'!L319,294)-MAX('Activities'!K319,288))</x:f>
        <x:v>0</x:v>
      </x:c>
      <x:c r="BB319" s="23" t="n">
        <x:f>MAX(0,MIN('Activities'!L319,300)-MAX('Activities'!K319,294))</x:f>
        <x:v>0</x:v>
      </x:c>
      <x:c r="BC319" s="23" t="n">
        <x:f>MAX(0,MIN('Activities'!L319,306)-MAX('Activities'!K319,300))</x:f>
        <x:v>0</x:v>
      </x:c>
      <x:c r="BD319" s="23" t="n">
        <x:f>MAX(0,MIN('Activities'!L319,312)-MAX('Activities'!K319,306))</x:f>
        <x:v>0</x:v>
      </x:c>
      <x:c r="BE319" s="23" t="n">
        <x:f>MAX(0,MIN('Activities'!L319,318)-MAX('Activities'!K319,312))</x:f>
        <x:v>0</x:v>
      </x:c>
      <x:c r="BF319" s="23" t="n">
        <x:f>MAX(0,MIN('Activities'!L319,324)-MAX('Activities'!K319,318))</x:f>
        <x:v>0</x:v>
      </x:c>
      <x:c r="BG319" s="23" t="n">
        <x:f>MAX(0,MIN('Activities'!L319,330)-MAX('Activities'!K319,324))</x:f>
        <x:v>4</x:v>
      </x:c>
      <x:c r="BH319" s="23" t="n">
        <x:f>MAX(0,MIN('Activities'!L319,336)-MAX('Activities'!K319,330))</x:f>
        <x:v>1</x:v>
      </x:c>
      <x:c r="BI319" s="23" t="n">
        <x:f>MAX(0,MIN('Activities'!L319,342)-MAX('Activities'!K319,336))</x:f>
        <x:v>0</x:v>
      </x:c>
      <x:c r="BJ319" s="23" t="n">
        <x:f>MAX(0,MIN('Activities'!L319,348)-MAX('Activities'!K319,342))</x:f>
        <x:v>0</x:v>
      </x:c>
      <x:c r="BK319" s="23" t="n">
        <x:f>MAX(0,MIN('Activities'!L319,354)-MAX('Activities'!K319,348))</x:f>
        <x:v>0</x:v>
      </x:c>
      <x:c r="BL319" s="23" t="n">
        <x:f>MAX(0,MIN('Activities'!L319,360)-MAX('Activities'!K319,354))</x:f>
        <x:v>0</x:v>
      </x:c>
      <x:c r="BM319" s="23" t="n">
        <x:f>MAX(0,MIN('Activities'!L319,366)-MAX('Activities'!K319,360))</x:f>
        <x:v>0</x:v>
      </x:c>
      <x:c r="BN319" s="23" t="n">
        <x:f>MAX(0,MIN('Activities'!L319,372)-MAX('Activities'!K319,366))</x:f>
        <x:v>0</x:v>
      </x:c>
      <x:c r="BO319" s="23" t="n">
        <x:f>MAX(0,MIN('Activities'!L319,378)-MAX('Activities'!K319,372))</x:f>
        <x:v>0</x:v>
      </x:c>
      <x:c r="BP319" s="23" t="n">
        <x:f>MAX(0,MIN('Activities'!L319,384)-MAX('Activities'!K319,378))</x:f>
        <x:v>0</x:v>
      </x:c>
      <x:c r="BQ319" s="23" t="n">
        <x:f>MAX(0,MIN('Activities'!L319,390)-MAX('Activities'!K319,384))</x:f>
        <x:v>0</x:v>
      </x:c>
      <x:c r="BR319" s="23" t="n">
        <x:f>MAX(0,MIN('Activities'!L319,396)-MAX('Activities'!K319,390))</x:f>
        <x:v>0</x:v>
      </x:c>
      <x:c r="BS319" s="23" t="n">
        <x:f>MAX(0,MIN('Activities'!L319,402)-MAX('Activities'!K319,396))</x:f>
        <x:v>0</x:v>
      </x:c>
      <x:c r="BT319" s="23" t="n">
        <x:f>MAX(0,MIN('Activities'!L319,408)-MAX('Activities'!K319,402))</x:f>
        <x:v>0</x:v>
      </x:c>
      <x:c r="BU319" s="23" t="n">
        <x:f>MAX(0,MIN('Activities'!L319,414)-MAX('Activities'!K319,408))</x:f>
        <x:v>0</x:v>
      </x:c>
      <x:c r="BV319" s="23" t="n">
        <x:f>MAX(0,MIN('Activities'!L319,420)-MAX('Activities'!K319,414))</x:f>
        <x:v>0</x:v>
      </x:c>
      <x:c r="BW319" s="23" t="n">
        <x:f>MAX(0,MIN('Activities'!L319,426)-MAX('Activities'!K319,420))</x:f>
        <x:v>0</x:v>
      </x:c>
      <x:c r="BX319" s="23" t="n">
        <x:f>MAX(0,MIN('Activities'!L319,432)-MAX('Activities'!K319,426))</x:f>
        <x:v>0</x:v>
      </x:c>
      <x:c r="BY319" s="23" t="n">
        <x:f>MAX(0,MIN('Activities'!L319,438)-MAX('Activities'!K319,432))</x:f>
        <x:v>0</x:v>
      </x:c>
      <x:c r="BZ319" s="23" t="n">
        <x:f>MAX(0,MIN('Activities'!L319,444)-MAX('Activities'!K319,438))</x:f>
        <x:v>0</x:v>
      </x:c>
      <x:c r="CA319" s="23" t="n">
        <x:f>MAX(0,MIN('Activities'!L319,450)-MAX('Activities'!K319,444))</x:f>
        <x:v>0</x:v>
      </x:c>
      <x:c r="CB319" s="23" t="n">
        <x:f>MAX(0,MIN('Activities'!L319,456)-MAX('Activities'!K319,450))</x:f>
        <x:v>0</x:v>
      </x:c>
      <x:c r="CC319" s="23" t="n">
        <x:f>MAX(0,MIN('Activities'!L319,462)-MAX('Activities'!K319,456))</x:f>
        <x:v>0</x:v>
      </x:c>
      <x:c r="CD319" s="23" t="n">
        <x:f>MAX(0,MIN('Activities'!L319,468)-MAX('Activities'!K319,462))</x:f>
        <x:v>0</x:v>
      </x:c>
      <x:c r="CE319" s="23" t="n">
        <x:f>MAX(0,MIN('Activities'!L319,474)-MAX('Activities'!K319,468))</x:f>
        <x:v>0</x:v>
      </x:c>
      <x:c r="CF319" s="23" t="n">
        <x:f>MAX(0,MIN('Activities'!L319,480)-MAX('Activities'!K319,474))</x:f>
        <x:v>0</x:v>
      </x:c>
      <x:c r="CG319" s="23" t="n">
        <x:f>MAX(0,MIN('Activities'!L319,486)-MAX('Activities'!K319,480))</x:f>
        <x:v>0</x:v>
      </x:c>
      <x:c r="CH319" s="23" t="n">
        <x:f>MAX(0,MIN('Activities'!L319,492)-MAX('Activities'!K319,486))</x:f>
        <x:v>0</x:v>
      </x:c>
      <x:c r="CI319" s="23" t="n">
        <x:f>MAX(0,MIN('Activities'!L319,498)-MAX('Activities'!K319,492))</x:f>
        <x:v>0</x:v>
      </x:c>
      <x:c r="CJ319" s="23" t="n">
        <x:f>MAX(0,MIN('Activities'!L319,504)-MAX('Activities'!K319,498))</x:f>
        <x:v>0</x:v>
      </x:c>
      <x:c r="CK319" s="23" t="n">
        <x:f>MAX(0,MIN('Activities'!L319,510)-MAX('Activities'!K319,504))</x:f>
        <x:v>0</x:v>
      </x:c>
      <x:c r="CL319" s="23" t="n">
        <x:f>MAX(0,MIN('Activities'!L319,516)-MAX('Activities'!K319,510))</x:f>
        <x:v>0</x:v>
      </x:c>
      <x:c r="CM319" s="23" t="n">
        <x:f>MAX(0,MIN('Activities'!L319,522)-MAX('Activities'!K319,516))</x:f>
        <x:v>0</x:v>
      </x:c>
      <x:c r="CN319" s="23" t="n">
        <x:f>MAX(0,MIN('Activities'!L319,528)-MAX('Activities'!K319,522))</x:f>
        <x:v>0</x:v>
      </x:c>
      <x:c r="CO319" s="23" t="n">
        <x:f>MAX(0,MIN('Activities'!L319,534)-MAX('Activities'!K319,528))</x:f>
        <x:v>0</x:v>
      </x:c>
      <x:c r="CP319" s="23" t="n">
        <x:f>MAX(0,MIN('Activities'!L319,540)-MAX('Activities'!K319,534))</x:f>
        <x:v>0</x:v>
      </x:c>
      <x:c r="CQ319" s="23" t="n">
        <x:f>MAX(0,MIN('Activities'!L319,546)-MAX('Activities'!K319,540))</x:f>
        <x:v>0</x:v>
      </x:c>
      <x:c r="CR319" s="23" t="n">
        <x:f>MAX(0,MIN('Activities'!L319,552)-MAX('Activities'!K319,546))</x:f>
        <x:v>0</x:v>
      </x:c>
      <x:c r="CS319" s="23" t="n">
        <x:f>MAX(0,MIN('Activities'!L319,558)-MAX('Activities'!K319,552))</x:f>
        <x:v>0</x:v>
      </x:c>
      <x:c r="CT319" s="23" t="n">
        <x:f>MAX(0,MIN('Activities'!L319,564)-MAX('Activities'!K319,558))</x:f>
        <x:v>0</x:v>
      </x:c>
      <x:c r="CU319" s="23" t="n">
        <x:f>MAX(0,MIN('Activities'!L319,570)-MAX('Activities'!K319,564))</x:f>
        <x:v>0</x:v>
      </x:c>
      <x:c r="CV319" s="23" t="n">
        <x:f>MAX(0,MIN('Activities'!L319,576)-MAX('Activities'!K319,570))</x:f>
        <x:v>0</x:v>
      </x:c>
      <x:c r="CW319" s="23" t="n">
        <x:f>MAX(0,MIN('Activities'!L319,582)-MAX('Activities'!K319,576))</x:f>
        <x:v>0</x:v>
      </x:c>
      <x:c r="CX319" s="23" t="n">
        <x:f>MAX(0,MIN('Activities'!L319,588)-MAX('Activities'!K319,582))</x:f>
        <x:v>0</x:v>
      </x:c>
      <x:c r="CY319" s="23" t="n">
        <x:f>MAX(0,MIN('Activities'!L319,594)-MAX('Activities'!K319,588))</x:f>
        <x:v>0</x:v>
      </x:c>
      <x:c r="CZ319" s="23" t="n">
        <x:f>MAX(0,MIN('Activities'!L319,600)-MAX('Activities'!K319,594))</x:f>
        <x:v>0</x:v>
      </x:c>
      <x:c r="DA319" s="23" t="n">
        <x:f>MAX(0,MIN('Activities'!L319,606)-MAX('Activities'!K319,600))</x:f>
        <x:v>0</x:v>
      </x:c>
      <x:c r="DB319" s="23" t="n">
        <x:f>MAX(0,MIN('Activities'!L319,612)-MAX('Activities'!K319,606))</x:f>
        <x:v>0</x:v>
      </x:c>
      <x:c r="DC319" s="23" t="n">
        <x:f>MAX(0,MIN('Activities'!L319,618)-MAX('Activities'!K319,612))</x:f>
        <x:v>0</x:v>
      </x:c>
      <x:c r="DD319" s="23" t="n">
        <x:f>MAX(0,MIN('Activities'!L319,624)-MAX('Activities'!K319,618))</x:f>
        <x:v>0</x:v>
      </x:c>
      <x:c r="DE319" s="23" t="n">
        <x:f>MAX(0,MIN('Activities'!L319,630)-MAX('Activities'!K319,624))</x:f>
        <x:v>0</x:v>
      </x:c>
      <x:c r="DF319" s="23" t="n">
        <x:f>MAX(0,MIN('Activities'!L319,636)-MAX('Activities'!K319,630))</x:f>
        <x:v>0</x:v>
      </x:c>
    </x:row>
    <x:row r="320" ht="23" customHeight="1">
      <x:c r="A320" s="6" t="str">
        <x:v>T3-L09-C</x:v>
      </x:c>
      <x:c r="B320" s="6" t="str">
        <x:v>T3</x:v>
      </x:c>
      <x:c r="C320" s="6" t="str">
        <x:v>Concrete placement and finishing</x:v>
      </x:c>
      <x:c r="D320" s="6" t="str">
        <x:v>Concrete</x:v>
      </x:c>
      <x:c r="E320" s="22" t="n">
        <x:f>MAX(0,MIN('Activities'!L320,6)-MAX('Activities'!K320,0))</x:f>
        <x:v>0</x:v>
      </x:c>
      <x:c r="F320" s="22" t="n">
        <x:f>MAX(0,MIN('Activities'!L320,12)-MAX('Activities'!K320,6))</x:f>
        <x:v>0</x:v>
      </x:c>
      <x:c r="G320" s="22" t="n">
        <x:f>MAX(0,MIN('Activities'!L320,18)-MAX('Activities'!K320,12))</x:f>
        <x:v>0</x:v>
      </x:c>
      <x:c r="H320" s="22" t="n">
        <x:f>MAX(0,MIN('Activities'!L320,24)-MAX('Activities'!K320,18))</x:f>
        <x:v>0</x:v>
      </x:c>
      <x:c r="I320" s="22" t="n">
        <x:f>MAX(0,MIN('Activities'!L320,30)-MAX('Activities'!K320,24))</x:f>
        <x:v>0</x:v>
      </x:c>
      <x:c r="J320" s="22" t="n">
        <x:f>MAX(0,MIN('Activities'!L320,36)-MAX('Activities'!K320,30))</x:f>
        <x:v>0</x:v>
      </x:c>
      <x:c r="K320" s="22" t="n">
        <x:f>MAX(0,MIN('Activities'!L320,42)-MAX('Activities'!K320,36))</x:f>
        <x:v>0</x:v>
      </x:c>
      <x:c r="L320" s="22" t="n">
        <x:f>MAX(0,MIN('Activities'!L320,48)-MAX('Activities'!K320,42))</x:f>
        <x:v>0</x:v>
      </x:c>
      <x:c r="M320" s="22" t="n">
        <x:f>MAX(0,MIN('Activities'!L320,54)-MAX('Activities'!K320,48))</x:f>
        <x:v>0</x:v>
      </x:c>
      <x:c r="N320" s="22" t="n">
        <x:f>MAX(0,MIN('Activities'!L320,60)-MAX('Activities'!K320,54))</x:f>
        <x:v>0</x:v>
      </x:c>
      <x:c r="O320" s="22" t="n">
        <x:f>MAX(0,MIN('Activities'!L320,66)-MAX('Activities'!K320,60))</x:f>
        <x:v>0</x:v>
      </x:c>
      <x:c r="P320" s="22" t="n">
        <x:f>MAX(0,MIN('Activities'!L320,72)-MAX('Activities'!K320,66))</x:f>
        <x:v>0</x:v>
      </x:c>
      <x:c r="Q320" s="22" t="n">
        <x:f>MAX(0,MIN('Activities'!L320,78)-MAX('Activities'!K320,72))</x:f>
        <x:v>0</x:v>
      </x:c>
      <x:c r="R320" s="22" t="n">
        <x:f>MAX(0,MIN('Activities'!L320,84)-MAX('Activities'!K320,78))</x:f>
        <x:v>0</x:v>
      </x:c>
      <x:c r="S320" s="22" t="n">
        <x:f>MAX(0,MIN('Activities'!L320,90)-MAX('Activities'!K320,84))</x:f>
        <x:v>0</x:v>
      </x:c>
      <x:c r="T320" s="22" t="n">
        <x:f>MAX(0,MIN('Activities'!L320,96)-MAX('Activities'!K320,90))</x:f>
        <x:v>0</x:v>
      </x:c>
      <x:c r="U320" s="22" t="n">
        <x:f>MAX(0,MIN('Activities'!L320,102)-MAX('Activities'!K320,96))</x:f>
        <x:v>0</x:v>
      </x:c>
      <x:c r="V320" s="22" t="n">
        <x:f>MAX(0,MIN('Activities'!L320,108)-MAX('Activities'!K320,102))</x:f>
        <x:v>0</x:v>
      </x:c>
      <x:c r="W320" s="22" t="n">
        <x:f>MAX(0,MIN('Activities'!L320,114)-MAX('Activities'!K320,108))</x:f>
        <x:v>0</x:v>
      </x:c>
      <x:c r="X320" s="22" t="n">
        <x:f>MAX(0,MIN('Activities'!L320,120)-MAX('Activities'!K320,114))</x:f>
        <x:v>0</x:v>
      </x:c>
      <x:c r="Y320" s="22" t="n">
        <x:f>MAX(0,MIN('Activities'!L320,126)-MAX('Activities'!K320,120))</x:f>
        <x:v>0</x:v>
      </x:c>
      <x:c r="Z320" s="22" t="n">
        <x:f>MAX(0,MIN('Activities'!L320,132)-MAX('Activities'!K320,126))</x:f>
        <x:v>0</x:v>
      </x:c>
      <x:c r="AA320" s="22" t="n">
        <x:f>MAX(0,MIN('Activities'!L320,138)-MAX('Activities'!K320,132))</x:f>
        <x:v>0</x:v>
      </x:c>
      <x:c r="AB320" s="22" t="n">
        <x:f>MAX(0,MIN('Activities'!L320,144)-MAX('Activities'!K320,138))</x:f>
        <x:v>0</x:v>
      </x:c>
      <x:c r="AC320" s="22" t="n">
        <x:f>MAX(0,MIN('Activities'!L320,150)-MAX('Activities'!K320,144))</x:f>
        <x:v>0</x:v>
      </x:c>
      <x:c r="AD320" s="22" t="n">
        <x:f>MAX(0,MIN('Activities'!L320,156)-MAX('Activities'!K320,150))</x:f>
        <x:v>0</x:v>
      </x:c>
      <x:c r="AE320" s="22" t="n">
        <x:f>MAX(0,MIN('Activities'!L320,162)-MAX('Activities'!K320,156))</x:f>
        <x:v>0</x:v>
      </x:c>
      <x:c r="AF320" s="22" t="n">
        <x:f>MAX(0,MIN('Activities'!L320,168)-MAX('Activities'!K320,162))</x:f>
        <x:v>0</x:v>
      </x:c>
      <x:c r="AG320" s="22" t="n">
        <x:f>MAX(0,MIN('Activities'!L320,174)-MAX('Activities'!K320,168))</x:f>
        <x:v>0</x:v>
      </x:c>
      <x:c r="AH320" s="22" t="n">
        <x:f>MAX(0,MIN('Activities'!L320,180)-MAX('Activities'!K320,174))</x:f>
        <x:v>0</x:v>
      </x:c>
      <x:c r="AI320" s="22" t="n">
        <x:f>MAX(0,MIN('Activities'!L320,186)-MAX('Activities'!K320,180))</x:f>
        <x:v>0</x:v>
      </x:c>
      <x:c r="AJ320" s="22" t="n">
        <x:f>MAX(0,MIN('Activities'!L320,192)-MAX('Activities'!K320,186))</x:f>
        <x:v>0</x:v>
      </x:c>
      <x:c r="AK320" s="22" t="n">
        <x:f>MAX(0,MIN('Activities'!L320,198)-MAX('Activities'!K320,192))</x:f>
        <x:v>0</x:v>
      </x:c>
      <x:c r="AL320" s="22" t="n">
        <x:f>MAX(0,MIN('Activities'!L320,204)-MAX('Activities'!K320,198))</x:f>
        <x:v>0</x:v>
      </x:c>
      <x:c r="AM320" s="22" t="n">
        <x:f>MAX(0,MIN('Activities'!L320,210)-MAX('Activities'!K320,204))</x:f>
        <x:v>0</x:v>
      </x:c>
      <x:c r="AN320" s="22" t="n">
        <x:f>MAX(0,MIN('Activities'!L320,216)-MAX('Activities'!K320,210))</x:f>
        <x:v>0</x:v>
      </x:c>
      <x:c r="AO320" s="22" t="n">
        <x:f>MAX(0,MIN('Activities'!L320,222)-MAX('Activities'!K320,216))</x:f>
        <x:v>0</x:v>
      </x:c>
      <x:c r="AP320" s="22" t="n">
        <x:f>MAX(0,MIN('Activities'!L320,228)-MAX('Activities'!K320,222))</x:f>
        <x:v>0</x:v>
      </x:c>
      <x:c r="AQ320" s="22" t="n">
        <x:f>MAX(0,MIN('Activities'!L320,234)-MAX('Activities'!K320,228))</x:f>
        <x:v>0</x:v>
      </x:c>
      <x:c r="AR320" s="22" t="n">
        <x:f>MAX(0,MIN('Activities'!L320,240)-MAX('Activities'!K320,234))</x:f>
        <x:v>0</x:v>
      </x:c>
      <x:c r="AS320" s="22" t="n">
        <x:f>MAX(0,MIN('Activities'!L320,246)-MAX('Activities'!K320,240))</x:f>
        <x:v>0</x:v>
      </x:c>
      <x:c r="AT320" s="22" t="n">
        <x:f>MAX(0,MIN('Activities'!L320,252)-MAX('Activities'!K320,246))</x:f>
        <x:v>0</x:v>
      </x:c>
      <x:c r="AU320" s="22" t="n">
        <x:f>MAX(0,MIN('Activities'!L320,258)-MAX('Activities'!K320,252))</x:f>
        <x:v>0</x:v>
      </x:c>
      <x:c r="AV320" s="22" t="n">
        <x:f>MAX(0,MIN('Activities'!L320,264)-MAX('Activities'!K320,258))</x:f>
        <x:v>0</x:v>
      </x:c>
      <x:c r="AW320" s="22" t="n">
        <x:f>MAX(0,MIN('Activities'!L320,270)-MAX('Activities'!K320,264))</x:f>
        <x:v>0</x:v>
      </x:c>
      <x:c r="AX320" s="22" t="n">
        <x:f>MAX(0,MIN('Activities'!L320,276)-MAX('Activities'!K320,270))</x:f>
        <x:v>0</x:v>
      </x:c>
      <x:c r="AY320" s="22" t="n">
        <x:f>MAX(0,MIN('Activities'!L320,282)-MAX('Activities'!K320,276))</x:f>
        <x:v>0</x:v>
      </x:c>
      <x:c r="AZ320" s="22" t="n">
        <x:f>MAX(0,MIN('Activities'!L320,288)-MAX('Activities'!K320,282))</x:f>
        <x:v>0</x:v>
      </x:c>
      <x:c r="BA320" s="22" t="n">
        <x:f>MAX(0,MIN('Activities'!L320,294)-MAX('Activities'!K320,288))</x:f>
        <x:v>0</x:v>
      </x:c>
      <x:c r="BB320" s="22" t="n">
        <x:f>MAX(0,MIN('Activities'!L320,300)-MAX('Activities'!K320,294))</x:f>
        <x:v>0</x:v>
      </x:c>
      <x:c r="BC320" s="22" t="n">
        <x:f>MAX(0,MIN('Activities'!L320,306)-MAX('Activities'!K320,300))</x:f>
        <x:v>0</x:v>
      </x:c>
      <x:c r="BD320" s="22" t="n">
        <x:f>MAX(0,MIN('Activities'!L320,312)-MAX('Activities'!K320,306))</x:f>
        <x:v>0</x:v>
      </x:c>
      <x:c r="BE320" s="22" t="n">
        <x:f>MAX(0,MIN('Activities'!L320,318)-MAX('Activities'!K320,312))</x:f>
        <x:v>0</x:v>
      </x:c>
      <x:c r="BF320" s="22" t="n">
        <x:f>MAX(0,MIN('Activities'!L320,324)-MAX('Activities'!K320,318))</x:f>
        <x:v>0</x:v>
      </x:c>
      <x:c r="BG320" s="22" t="n">
        <x:f>MAX(0,MIN('Activities'!L320,330)-MAX('Activities'!K320,324))</x:f>
        <x:v>0</x:v>
      </x:c>
      <x:c r="BH320" s="22" t="n">
        <x:f>MAX(0,MIN('Activities'!L320,336)-MAX('Activities'!K320,330))</x:f>
        <x:v>2</x:v>
      </x:c>
      <x:c r="BI320" s="22" t="n">
        <x:f>MAX(0,MIN('Activities'!L320,342)-MAX('Activities'!K320,336))</x:f>
        <x:v>0</x:v>
      </x:c>
      <x:c r="BJ320" s="22" t="n">
        <x:f>MAX(0,MIN('Activities'!L320,348)-MAX('Activities'!K320,342))</x:f>
        <x:v>0</x:v>
      </x:c>
      <x:c r="BK320" s="22" t="n">
        <x:f>MAX(0,MIN('Activities'!L320,354)-MAX('Activities'!K320,348))</x:f>
        <x:v>0</x:v>
      </x:c>
      <x:c r="BL320" s="22" t="n">
        <x:f>MAX(0,MIN('Activities'!L320,360)-MAX('Activities'!K320,354))</x:f>
        <x:v>0</x:v>
      </x:c>
      <x:c r="BM320" s="22" t="n">
        <x:f>MAX(0,MIN('Activities'!L320,366)-MAX('Activities'!K320,360))</x:f>
        <x:v>0</x:v>
      </x:c>
      <x:c r="BN320" s="22" t="n">
        <x:f>MAX(0,MIN('Activities'!L320,372)-MAX('Activities'!K320,366))</x:f>
        <x:v>0</x:v>
      </x:c>
      <x:c r="BO320" s="22" t="n">
        <x:f>MAX(0,MIN('Activities'!L320,378)-MAX('Activities'!K320,372))</x:f>
        <x:v>0</x:v>
      </x:c>
      <x:c r="BP320" s="22" t="n">
        <x:f>MAX(0,MIN('Activities'!L320,384)-MAX('Activities'!K320,378))</x:f>
        <x:v>0</x:v>
      </x:c>
      <x:c r="BQ320" s="22" t="n">
        <x:f>MAX(0,MIN('Activities'!L320,390)-MAX('Activities'!K320,384))</x:f>
        <x:v>0</x:v>
      </x:c>
      <x:c r="BR320" s="22" t="n">
        <x:f>MAX(0,MIN('Activities'!L320,396)-MAX('Activities'!K320,390))</x:f>
        <x:v>0</x:v>
      </x:c>
      <x:c r="BS320" s="22" t="n">
        <x:f>MAX(0,MIN('Activities'!L320,402)-MAX('Activities'!K320,396))</x:f>
        <x:v>0</x:v>
      </x:c>
      <x:c r="BT320" s="22" t="n">
        <x:f>MAX(0,MIN('Activities'!L320,408)-MAX('Activities'!K320,402))</x:f>
        <x:v>0</x:v>
      </x:c>
      <x:c r="BU320" s="22" t="n">
        <x:f>MAX(0,MIN('Activities'!L320,414)-MAX('Activities'!K320,408))</x:f>
        <x:v>0</x:v>
      </x:c>
      <x:c r="BV320" s="22" t="n">
        <x:f>MAX(0,MIN('Activities'!L320,420)-MAX('Activities'!K320,414))</x:f>
        <x:v>0</x:v>
      </x:c>
      <x:c r="BW320" s="22" t="n">
        <x:f>MAX(0,MIN('Activities'!L320,426)-MAX('Activities'!K320,420))</x:f>
        <x:v>0</x:v>
      </x:c>
      <x:c r="BX320" s="22" t="n">
        <x:f>MAX(0,MIN('Activities'!L320,432)-MAX('Activities'!K320,426))</x:f>
        <x:v>0</x:v>
      </x:c>
      <x:c r="BY320" s="22" t="n">
        <x:f>MAX(0,MIN('Activities'!L320,438)-MAX('Activities'!K320,432))</x:f>
        <x:v>0</x:v>
      </x:c>
      <x:c r="BZ320" s="22" t="n">
        <x:f>MAX(0,MIN('Activities'!L320,444)-MAX('Activities'!K320,438))</x:f>
        <x:v>0</x:v>
      </x:c>
      <x:c r="CA320" s="22" t="n">
        <x:f>MAX(0,MIN('Activities'!L320,450)-MAX('Activities'!K320,444))</x:f>
        <x:v>0</x:v>
      </x:c>
      <x:c r="CB320" s="22" t="n">
        <x:f>MAX(0,MIN('Activities'!L320,456)-MAX('Activities'!K320,450))</x:f>
        <x:v>0</x:v>
      </x:c>
      <x:c r="CC320" s="22" t="n">
        <x:f>MAX(0,MIN('Activities'!L320,462)-MAX('Activities'!K320,456))</x:f>
        <x:v>0</x:v>
      </x:c>
      <x:c r="CD320" s="22" t="n">
        <x:f>MAX(0,MIN('Activities'!L320,468)-MAX('Activities'!K320,462))</x:f>
        <x:v>0</x:v>
      </x:c>
      <x:c r="CE320" s="22" t="n">
        <x:f>MAX(0,MIN('Activities'!L320,474)-MAX('Activities'!K320,468))</x:f>
        <x:v>0</x:v>
      </x:c>
      <x:c r="CF320" s="22" t="n">
        <x:f>MAX(0,MIN('Activities'!L320,480)-MAX('Activities'!K320,474))</x:f>
        <x:v>0</x:v>
      </x:c>
      <x:c r="CG320" s="22" t="n">
        <x:f>MAX(0,MIN('Activities'!L320,486)-MAX('Activities'!K320,480))</x:f>
        <x:v>0</x:v>
      </x:c>
      <x:c r="CH320" s="22" t="n">
        <x:f>MAX(0,MIN('Activities'!L320,492)-MAX('Activities'!K320,486))</x:f>
        <x:v>0</x:v>
      </x:c>
      <x:c r="CI320" s="22" t="n">
        <x:f>MAX(0,MIN('Activities'!L320,498)-MAX('Activities'!K320,492))</x:f>
        <x:v>0</x:v>
      </x:c>
      <x:c r="CJ320" s="22" t="n">
        <x:f>MAX(0,MIN('Activities'!L320,504)-MAX('Activities'!K320,498))</x:f>
        <x:v>0</x:v>
      </x:c>
      <x:c r="CK320" s="22" t="n">
        <x:f>MAX(0,MIN('Activities'!L320,510)-MAX('Activities'!K320,504))</x:f>
        <x:v>0</x:v>
      </x:c>
      <x:c r="CL320" s="22" t="n">
        <x:f>MAX(0,MIN('Activities'!L320,516)-MAX('Activities'!K320,510))</x:f>
        <x:v>0</x:v>
      </x:c>
      <x:c r="CM320" s="22" t="n">
        <x:f>MAX(0,MIN('Activities'!L320,522)-MAX('Activities'!K320,516))</x:f>
        <x:v>0</x:v>
      </x:c>
      <x:c r="CN320" s="22" t="n">
        <x:f>MAX(0,MIN('Activities'!L320,528)-MAX('Activities'!K320,522))</x:f>
        <x:v>0</x:v>
      </x:c>
      <x:c r="CO320" s="22" t="n">
        <x:f>MAX(0,MIN('Activities'!L320,534)-MAX('Activities'!K320,528))</x:f>
        <x:v>0</x:v>
      </x:c>
      <x:c r="CP320" s="22" t="n">
        <x:f>MAX(0,MIN('Activities'!L320,540)-MAX('Activities'!K320,534))</x:f>
        <x:v>0</x:v>
      </x:c>
      <x:c r="CQ320" s="22" t="n">
        <x:f>MAX(0,MIN('Activities'!L320,546)-MAX('Activities'!K320,540))</x:f>
        <x:v>0</x:v>
      </x:c>
      <x:c r="CR320" s="22" t="n">
        <x:f>MAX(0,MIN('Activities'!L320,552)-MAX('Activities'!K320,546))</x:f>
        <x:v>0</x:v>
      </x:c>
      <x:c r="CS320" s="22" t="n">
        <x:f>MAX(0,MIN('Activities'!L320,558)-MAX('Activities'!K320,552))</x:f>
        <x:v>0</x:v>
      </x:c>
      <x:c r="CT320" s="22" t="n">
        <x:f>MAX(0,MIN('Activities'!L320,564)-MAX('Activities'!K320,558))</x:f>
        <x:v>0</x:v>
      </x:c>
      <x:c r="CU320" s="22" t="n">
        <x:f>MAX(0,MIN('Activities'!L320,570)-MAX('Activities'!K320,564))</x:f>
        <x:v>0</x:v>
      </x:c>
      <x:c r="CV320" s="22" t="n">
        <x:f>MAX(0,MIN('Activities'!L320,576)-MAX('Activities'!K320,570))</x:f>
        <x:v>0</x:v>
      </x:c>
      <x:c r="CW320" s="22" t="n">
        <x:f>MAX(0,MIN('Activities'!L320,582)-MAX('Activities'!K320,576))</x:f>
        <x:v>0</x:v>
      </x:c>
      <x:c r="CX320" s="22" t="n">
        <x:f>MAX(0,MIN('Activities'!L320,588)-MAX('Activities'!K320,582))</x:f>
        <x:v>0</x:v>
      </x:c>
      <x:c r="CY320" s="22" t="n">
        <x:f>MAX(0,MIN('Activities'!L320,594)-MAX('Activities'!K320,588))</x:f>
        <x:v>0</x:v>
      </x:c>
      <x:c r="CZ320" s="22" t="n">
        <x:f>MAX(0,MIN('Activities'!L320,600)-MAX('Activities'!K320,594))</x:f>
        <x:v>0</x:v>
      </x:c>
      <x:c r="DA320" s="22" t="n">
        <x:f>MAX(0,MIN('Activities'!L320,606)-MAX('Activities'!K320,600))</x:f>
        <x:v>0</x:v>
      </x:c>
      <x:c r="DB320" s="22" t="n">
        <x:f>MAX(0,MIN('Activities'!L320,612)-MAX('Activities'!K320,606))</x:f>
        <x:v>0</x:v>
      </x:c>
      <x:c r="DC320" s="22" t="n">
        <x:f>MAX(0,MIN('Activities'!L320,618)-MAX('Activities'!K320,612))</x:f>
        <x:v>0</x:v>
      </x:c>
      <x:c r="DD320" s="22" t="n">
        <x:f>MAX(0,MIN('Activities'!L320,624)-MAX('Activities'!K320,618))</x:f>
        <x:v>0</x:v>
      </x:c>
      <x:c r="DE320" s="22" t="n">
        <x:f>MAX(0,MIN('Activities'!L320,630)-MAX('Activities'!K320,624))</x:f>
        <x:v>0</x:v>
      </x:c>
      <x:c r="DF320" s="22" t="n">
        <x:f>MAX(0,MIN('Activities'!L320,636)-MAX('Activities'!K320,630))</x:f>
        <x:v>0</x:v>
      </x:c>
    </x:row>
    <x:row r="321" ht="23" customHeight="1">
      <x:c r="A321" s="1" t="str">
        <x:v>T3-L09-H</x:v>
      </x:c>
      <x:c r="B321" s="1" t="str">
        <x:v>T3</x:v>
      </x:c>
      <x:c r="C321" s="1" t="str">
        <x:v>Curing and release hold point</x:v>
      </x:c>
      <x:c r="D321" s="1" t="str">
        <x:v>Site</x:v>
      </x:c>
      <x:c r="E321" s="23" t="n">
        <x:f>MAX(0,MIN('Activities'!L321,6)-MAX('Activities'!K321,0))</x:f>
        <x:v>0</x:v>
      </x:c>
      <x:c r="F321" s="23" t="n">
        <x:f>MAX(0,MIN('Activities'!L321,12)-MAX('Activities'!K321,6))</x:f>
        <x:v>0</x:v>
      </x:c>
      <x:c r="G321" s="23" t="n">
        <x:f>MAX(0,MIN('Activities'!L321,18)-MAX('Activities'!K321,12))</x:f>
        <x:v>0</x:v>
      </x:c>
      <x:c r="H321" s="23" t="n">
        <x:f>MAX(0,MIN('Activities'!L321,24)-MAX('Activities'!K321,18))</x:f>
        <x:v>0</x:v>
      </x:c>
      <x:c r="I321" s="23" t="n">
        <x:f>MAX(0,MIN('Activities'!L321,30)-MAX('Activities'!K321,24))</x:f>
        <x:v>0</x:v>
      </x:c>
      <x:c r="J321" s="23" t="n">
        <x:f>MAX(0,MIN('Activities'!L321,36)-MAX('Activities'!K321,30))</x:f>
        <x:v>0</x:v>
      </x:c>
      <x:c r="K321" s="23" t="n">
        <x:f>MAX(0,MIN('Activities'!L321,42)-MAX('Activities'!K321,36))</x:f>
        <x:v>0</x:v>
      </x:c>
      <x:c r="L321" s="23" t="n">
        <x:f>MAX(0,MIN('Activities'!L321,48)-MAX('Activities'!K321,42))</x:f>
        <x:v>0</x:v>
      </x:c>
      <x:c r="M321" s="23" t="n">
        <x:f>MAX(0,MIN('Activities'!L321,54)-MAX('Activities'!K321,48))</x:f>
        <x:v>0</x:v>
      </x:c>
      <x:c r="N321" s="23" t="n">
        <x:f>MAX(0,MIN('Activities'!L321,60)-MAX('Activities'!K321,54))</x:f>
        <x:v>0</x:v>
      </x:c>
      <x:c r="O321" s="23" t="n">
        <x:f>MAX(0,MIN('Activities'!L321,66)-MAX('Activities'!K321,60))</x:f>
        <x:v>0</x:v>
      </x:c>
      <x:c r="P321" s="23" t="n">
        <x:f>MAX(0,MIN('Activities'!L321,72)-MAX('Activities'!K321,66))</x:f>
        <x:v>0</x:v>
      </x:c>
      <x:c r="Q321" s="23" t="n">
        <x:f>MAX(0,MIN('Activities'!L321,78)-MAX('Activities'!K321,72))</x:f>
        <x:v>0</x:v>
      </x:c>
      <x:c r="R321" s="23" t="n">
        <x:f>MAX(0,MIN('Activities'!L321,84)-MAX('Activities'!K321,78))</x:f>
        <x:v>0</x:v>
      </x:c>
      <x:c r="S321" s="23" t="n">
        <x:f>MAX(0,MIN('Activities'!L321,90)-MAX('Activities'!K321,84))</x:f>
        <x:v>0</x:v>
      </x:c>
      <x:c r="T321" s="23" t="n">
        <x:f>MAX(0,MIN('Activities'!L321,96)-MAX('Activities'!K321,90))</x:f>
        <x:v>0</x:v>
      </x:c>
      <x:c r="U321" s="23" t="n">
        <x:f>MAX(0,MIN('Activities'!L321,102)-MAX('Activities'!K321,96))</x:f>
        <x:v>0</x:v>
      </x:c>
      <x:c r="V321" s="23" t="n">
        <x:f>MAX(0,MIN('Activities'!L321,108)-MAX('Activities'!K321,102))</x:f>
        <x:v>0</x:v>
      </x:c>
      <x:c r="W321" s="23" t="n">
        <x:f>MAX(0,MIN('Activities'!L321,114)-MAX('Activities'!K321,108))</x:f>
        <x:v>0</x:v>
      </x:c>
      <x:c r="X321" s="23" t="n">
        <x:f>MAX(0,MIN('Activities'!L321,120)-MAX('Activities'!K321,114))</x:f>
        <x:v>0</x:v>
      </x:c>
      <x:c r="Y321" s="23" t="n">
        <x:f>MAX(0,MIN('Activities'!L321,126)-MAX('Activities'!K321,120))</x:f>
        <x:v>0</x:v>
      </x:c>
      <x:c r="Z321" s="23" t="n">
        <x:f>MAX(0,MIN('Activities'!L321,132)-MAX('Activities'!K321,126))</x:f>
        <x:v>0</x:v>
      </x:c>
      <x:c r="AA321" s="23" t="n">
        <x:f>MAX(0,MIN('Activities'!L321,138)-MAX('Activities'!K321,132))</x:f>
        <x:v>0</x:v>
      </x:c>
      <x:c r="AB321" s="23" t="n">
        <x:f>MAX(0,MIN('Activities'!L321,144)-MAX('Activities'!K321,138))</x:f>
        <x:v>0</x:v>
      </x:c>
      <x:c r="AC321" s="23" t="n">
        <x:f>MAX(0,MIN('Activities'!L321,150)-MAX('Activities'!K321,144))</x:f>
        <x:v>0</x:v>
      </x:c>
      <x:c r="AD321" s="23" t="n">
        <x:f>MAX(0,MIN('Activities'!L321,156)-MAX('Activities'!K321,150))</x:f>
        <x:v>0</x:v>
      </x:c>
      <x:c r="AE321" s="23" t="n">
        <x:f>MAX(0,MIN('Activities'!L321,162)-MAX('Activities'!K321,156))</x:f>
        <x:v>0</x:v>
      </x:c>
      <x:c r="AF321" s="23" t="n">
        <x:f>MAX(0,MIN('Activities'!L321,168)-MAX('Activities'!K321,162))</x:f>
        <x:v>0</x:v>
      </x:c>
      <x:c r="AG321" s="23" t="n">
        <x:f>MAX(0,MIN('Activities'!L321,174)-MAX('Activities'!K321,168))</x:f>
        <x:v>0</x:v>
      </x:c>
      <x:c r="AH321" s="23" t="n">
        <x:f>MAX(0,MIN('Activities'!L321,180)-MAX('Activities'!K321,174))</x:f>
        <x:v>0</x:v>
      </x:c>
      <x:c r="AI321" s="23" t="n">
        <x:f>MAX(0,MIN('Activities'!L321,186)-MAX('Activities'!K321,180))</x:f>
        <x:v>0</x:v>
      </x:c>
      <x:c r="AJ321" s="23" t="n">
        <x:f>MAX(0,MIN('Activities'!L321,192)-MAX('Activities'!K321,186))</x:f>
        <x:v>0</x:v>
      </x:c>
      <x:c r="AK321" s="23" t="n">
        <x:f>MAX(0,MIN('Activities'!L321,198)-MAX('Activities'!K321,192))</x:f>
        <x:v>0</x:v>
      </x:c>
      <x:c r="AL321" s="23" t="n">
        <x:f>MAX(0,MIN('Activities'!L321,204)-MAX('Activities'!K321,198))</x:f>
        <x:v>0</x:v>
      </x:c>
      <x:c r="AM321" s="23" t="n">
        <x:f>MAX(0,MIN('Activities'!L321,210)-MAX('Activities'!K321,204))</x:f>
        <x:v>0</x:v>
      </x:c>
      <x:c r="AN321" s="23" t="n">
        <x:f>MAX(0,MIN('Activities'!L321,216)-MAX('Activities'!K321,210))</x:f>
        <x:v>0</x:v>
      </x:c>
      <x:c r="AO321" s="23" t="n">
        <x:f>MAX(0,MIN('Activities'!L321,222)-MAX('Activities'!K321,216))</x:f>
        <x:v>0</x:v>
      </x:c>
      <x:c r="AP321" s="23" t="n">
        <x:f>MAX(0,MIN('Activities'!L321,228)-MAX('Activities'!K321,222))</x:f>
        <x:v>0</x:v>
      </x:c>
      <x:c r="AQ321" s="23" t="n">
        <x:f>MAX(0,MIN('Activities'!L321,234)-MAX('Activities'!K321,228))</x:f>
        <x:v>0</x:v>
      </x:c>
      <x:c r="AR321" s="23" t="n">
        <x:f>MAX(0,MIN('Activities'!L321,240)-MAX('Activities'!K321,234))</x:f>
        <x:v>0</x:v>
      </x:c>
      <x:c r="AS321" s="23" t="n">
        <x:f>MAX(0,MIN('Activities'!L321,246)-MAX('Activities'!K321,240))</x:f>
        <x:v>0</x:v>
      </x:c>
      <x:c r="AT321" s="23" t="n">
        <x:f>MAX(0,MIN('Activities'!L321,252)-MAX('Activities'!K321,246))</x:f>
        <x:v>0</x:v>
      </x:c>
      <x:c r="AU321" s="23" t="n">
        <x:f>MAX(0,MIN('Activities'!L321,258)-MAX('Activities'!K321,252))</x:f>
        <x:v>0</x:v>
      </x:c>
      <x:c r="AV321" s="23" t="n">
        <x:f>MAX(0,MIN('Activities'!L321,264)-MAX('Activities'!K321,258))</x:f>
        <x:v>0</x:v>
      </x:c>
      <x:c r="AW321" s="23" t="n">
        <x:f>MAX(0,MIN('Activities'!L321,270)-MAX('Activities'!K321,264))</x:f>
        <x:v>0</x:v>
      </x:c>
      <x:c r="AX321" s="23" t="n">
        <x:f>MAX(0,MIN('Activities'!L321,276)-MAX('Activities'!K321,270))</x:f>
        <x:v>0</x:v>
      </x:c>
      <x:c r="AY321" s="23" t="n">
        <x:f>MAX(0,MIN('Activities'!L321,282)-MAX('Activities'!K321,276))</x:f>
        <x:v>0</x:v>
      </x:c>
      <x:c r="AZ321" s="23" t="n">
        <x:f>MAX(0,MIN('Activities'!L321,288)-MAX('Activities'!K321,282))</x:f>
        <x:v>0</x:v>
      </x:c>
      <x:c r="BA321" s="23" t="n">
        <x:f>MAX(0,MIN('Activities'!L321,294)-MAX('Activities'!K321,288))</x:f>
        <x:v>0</x:v>
      </x:c>
      <x:c r="BB321" s="23" t="n">
        <x:f>MAX(0,MIN('Activities'!L321,300)-MAX('Activities'!K321,294))</x:f>
        <x:v>0</x:v>
      </x:c>
      <x:c r="BC321" s="23" t="n">
        <x:f>MAX(0,MIN('Activities'!L321,306)-MAX('Activities'!K321,300))</x:f>
        <x:v>0</x:v>
      </x:c>
      <x:c r="BD321" s="23" t="n">
        <x:f>MAX(0,MIN('Activities'!L321,312)-MAX('Activities'!K321,306))</x:f>
        <x:v>0</x:v>
      </x:c>
      <x:c r="BE321" s="23" t="n">
        <x:f>MAX(0,MIN('Activities'!L321,318)-MAX('Activities'!K321,312))</x:f>
        <x:v>0</x:v>
      </x:c>
      <x:c r="BF321" s="23" t="n">
        <x:f>MAX(0,MIN('Activities'!L321,324)-MAX('Activities'!K321,318))</x:f>
        <x:v>0</x:v>
      </x:c>
      <x:c r="BG321" s="23" t="n">
        <x:f>MAX(0,MIN('Activities'!L321,330)-MAX('Activities'!K321,324))</x:f>
        <x:v>0</x:v>
      </x:c>
      <x:c r="BH321" s="23" t="n">
        <x:f>MAX(0,MIN('Activities'!L321,336)-MAX('Activities'!K321,330))</x:f>
        <x:v>3</x:v>
      </x:c>
      <x:c r="BI321" s="23" t="n">
        <x:f>MAX(0,MIN('Activities'!L321,342)-MAX('Activities'!K321,336))</x:f>
        <x:v>2</x:v>
      </x:c>
      <x:c r="BJ321" s="23" t="n">
        <x:f>MAX(0,MIN('Activities'!L321,348)-MAX('Activities'!K321,342))</x:f>
        <x:v>0</x:v>
      </x:c>
      <x:c r="BK321" s="23" t="n">
        <x:f>MAX(0,MIN('Activities'!L321,354)-MAX('Activities'!K321,348))</x:f>
        <x:v>0</x:v>
      </x:c>
      <x:c r="BL321" s="23" t="n">
        <x:f>MAX(0,MIN('Activities'!L321,360)-MAX('Activities'!K321,354))</x:f>
        <x:v>0</x:v>
      </x:c>
      <x:c r="BM321" s="23" t="n">
        <x:f>MAX(0,MIN('Activities'!L321,366)-MAX('Activities'!K321,360))</x:f>
        <x:v>0</x:v>
      </x:c>
      <x:c r="BN321" s="23" t="n">
        <x:f>MAX(0,MIN('Activities'!L321,372)-MAX('Activities'!K321,366))</x:f>
        <x:v>0</x:v>
      </x:c>
      <x:c r="BO321" s="23" t="n">
        <x:f>MAX(0,MIN('Activities'!L321,378)-MAX('Activities'!K321,372))</x:f>
        <x:v>0</x:v>
      </x:c>
      <x:c r="BP321" s="23" t="n">
        <x:f>MAX(0,MIN('Activities'!L321,384)-MAX('Activities'!K321,378))</x:f>
        <x:v>0</x:v>
      </x:c>
      <x:c r="BQ321" s="23" t="n">
        <x:f>MAX(0,MIN('Activities'!L321,390)-MAX('Activities'!K321,384))</x:f>
        <x:v>0</x:v>
      </x:c>
      <x:c r="BR321" s="23" t="n">
        <x:f>MAX(0,MIN('Activities'!L321,396)-MAX('Activities'!K321,390))</x:f>
        <x:v>0</x:v>
      </x:c>
      <x:c r="BS321" s="23" t="n">
        <x:f>MAX(0,MIN('Activities'!L321,402)-MAX('Activities'!K321,396))</x:f>
        <x:v>0</x:v>
      </x:c>
      <x:c r="BT321" s="23" t="n">
        <x:f>MAX(0,MIN('Activities'!L321,408)-MAX('Activities'!K321,402))</x:f>
        <x:v>0</x:v>
      </x:c>
      <x:c r="BU321" s="23" t="n">
        <x:f>MAX(0,MIN('Activities'!L321,414)-MAX('Activities'!K321,408))</x:f>
        <x:v>0</x:v>
      </x:c>
      <x:c r="BV321" s="23" t="n">
        <x:f>MAX(0,MIN('Activities'!L321,420)-MAX('Activities'!K321,414))</x:f>
        <x:v>0</x:v>
      </x:c>
      <x:c r="BW321" s="23" t="n">
        <x:f>MAX(0,MIN('Activities'!L321,426)-MAX('Activities'!K321,420))</x:f>
        <x:v>0</x:v>
      </x:c>
      <x:c r="BX321" s="23" t="n">
        <x:f>MAX(0,MIN('Activities'!L321,432)-MAX('Activities'!K321,426))</x:f>
        <x:v>0</x:v>
      </x:c>
      <x:c r="BY321" s="23" t="n">
        <x:f>MAX(0,MIN('Activities'!L321,438)-MAX('Activities'!K321,432))</x:f>
        <x:v>0</x:v>
      </x:c>
      <x:c r="BZ321" s="23" t="n">
        <x:f>MAX(0,MIN('Activities'!L321,444)-MAX('Activities'!K321,438))</x:f>
        <x:v>0</x:v>
      </x:c>
      <x:c r="CA321" s="23" t="n">
        <x:f>MAX(0,MIN('Activities'!L321,450)-MAX('Activities'!K321,444))</x:f>
        <x:v>0</x:v>
      </x:c>
      <x:c r="CB321" s="23" t="n">
        <x:f>MAX(0,MIN('Activities'!L321,456)-MAX('Activities'!K321,450))</x:f>
        <x:v>0</x:v>
      </x:c>
      <x:c r="CC321" s="23" t="n">
        <x:f>MAX(0,MIN('Activities'!L321,462)-MAX('Activities'!K321,456))</x:f>
        <x:v>0</x:v>
      </x:c>
      <x:c r="CD321" s="23" t="n">
        <x:f>MAX(0,MIN('Activities'!L321,468)-MAX('Activities'!K321,462))</x:f>
        <x:v>0</x:v>
      </x:c>
      <x:c r="CE321" s="23" t="n">
        <x:f>MAX(0,MIN('Activities'!L321,474)-MAX('Activities'!K321,468))</x:f>
        <x:v>0</x:v>
      </x:c>
      <x:c r="CF321" s="23" t="n">
        <x:f>MAX(0,MIN('Activities'!L321,480)-MAX('Activities'!K321,474))</x:f>
        <x:v>0</x:v>
      </x:c>
      <x:c r="CG321" s="23" t="n">
        <x:f>MAX(0,MIN('Activities'!L321,486)-MAX('Activities'!K321,480))</x:f>
        <x:v>0</x:v>
      </x:c>
      <x:c r="CH321" s="23" t="n">
        <x:f>MAX(0,MIN('Activities'!L321,492)-MAX('Activities'!K321,486))</x:f>
        <x:v>0</x:v>
      </x:c>
      <x:c r="CI321" s="23" t="n">
        <x:f>MAX(0,MIN('Activities'!L321,498)-MAX('Activities'!K321,492))</x:f>
        <x:v>0</x:v>
      </x:c>
      <x:c r="CJ321" s="23" t="n">
        <x:f>MAX(0,MIN('Activities'!L321,504)-MAX('Activities'!K321,498))</x:f>
        <x:v>0</x:v>
      </x:c>
      <x:c r="CK321" s="23" t="n">
        <x:f>MAX(0,MIN('Activities'!L321,510)-MAX('Activities'!K321,504))</x:f>
        <x:v>0</x:v>
      </x:c>
      <x:c r="CL321" s="23" t="n">
        <x:f>MAX(0,MIN('Activities'!L321,516)-MAX('Activities'!K321,510))</x:f>
        <x:v>0</x:v>
      </x:c>
      <x:c r="CM321" s="23" t="n">
        <x:f>MAX(0,MIN('Activities'!L321,522)-MAX('Activities'!K321,516))</x:f>
        <x:v>0</x:v>
      </x:c>
      <x:c r="CN321" s="23" t="n">
        <x:f>MAX(0,MIN('Activities'!L321,528)-MAX('Activities'!K321,522))</x:f>
        <x:v>0</x:v>
      </x:c>
      <x:c r="CO321" s="23" t="n">
        <x:f>MAX(0,MIN('Activities'!L321,534)-MAX('Activities'!K321,528))</x:f>
        <x:v>0</x:v>
      </x:c>
      <x:c r="CP321" s="23" t="n">
        <x:f>MAX(0,MIN('Activities'!L321,540)-MAX('Activities'!K321,534))</x:f>
        <x:v>0</x:v>
      </x:c>
      <x:c r="CQ321" s="23" t="n">
        <x:f>MAX(0,MIN('Activities'!L321,546)-MAX('Activities'!K321,540))</x:f>
        <x:v>0</x:v>
      </x:c>
      <x:c r="CR321" s="23" t="n">
        <x:f>MAX(0,MIN('Activities'!L321,552)-MAX('Activities'!K321,546))</x:f>
        <x:v>0</x:v>
      </x:c>
      <x:c r="CS321" s="23" t="n">
        <x:f>MAX(0,MIN('Activities'!L321,558)-MAX('Activities'!K321,552))</x:f>
        <x:v>0</x:v>
      </x:c>
      <x:c r="CT321" s="23" t="n">
        <x:f>MAX(0,MIN('Activities'!L321,564)-MAX('Activities'!K321,558))</x:f>
        <x:v>0</x:v>
      </x:c>
      <x:c r="CU321" s="23" t="n">
        <x:f>MAX(0,MIN('Activities'!L321,570)-MAX('Activities'!K321,564))</x:f>
        <x:v>0</x:v>
      </x:c>
      <x:c r="CV321" s="23" t="n">
        <x:f>MAX(0,MIN('Activities'!L321,576)-MAX('Activities'!K321,570))</x:f>
        <x:v>0</x:v>
      </x:c>
      <x:c r="CW321" s="23" t="n">
        <x:f>MAX(0,MIN('Activities'!L321,582)-MAX('Activities'!K321,576))</x:f>
        <x:v>0</x:v>
      </x:c>
      <x:c r="CX321" s="23" t="n">
        <x:f>MAX(0,MIN('Activities'!L321,588)-MAX('Activities'!K321,582))</x:f>
        <x:v>0</x:v>
      </x:c>
      <x:c r="CY321" s="23" t="n">
        <x:f>MAX(0,MIN('Activities'!L321,594)-MAX('Activities'!K321,588))</x:f>
        <x:v>0</x:v>
      </x:c>
      <x:c r="CZ321" s="23" t="n">
        <x:f>MAX(0,MIN('Activities'!L321,600)-MAX('Activities'!K321,594))</x:f>
        <x:v>0</x:v>
      </x:c>
      <x:c r="DA321" s="23" t="n">
        <x:f>MAX(0,MIN('Activities'!L321,606)-MAX('Activities'!K321,600))</x:f>
        <x:v>0</x:v>
      </x:c>
      <x:c r="DB321" s="23" t="n">
        <x:f>MAX(0,MIN('Activities'!L321,612)-MAX('Activities'!K321,606))</x:f>
        <x:v>0</x:v>
      </x:c>
      <x:c r="DC321" s="23" t="n">
        <x:f>MAX(0,MIN('Activities'!L321,618)-MAX('Activities'!K321,612))</x:f>
        <x:v>0</x:v>
      </x:c>
      <x:c r="DD321" s="23" t="n">
        <x:f>MAX(0,MIN('Activities'!L321,624)-MAX('Activities'!K321,618))</x:f>
        <x:v>0</x:v>
      </x:c>
      <x:c r="DE321" s="23" t="n">
        <x:f>MAX(0,MIN('Activities'!L321,630)-MAX('Activities'!K321,624))</x:f>
        <x:v>0</x:v>
      </x:c>
      <x:c r="DF321" s="23" t="n">
        <x:f>MAX(0,MIN('Activities'!L321,636)-MAX('Activities'!K321,630))</x:f>
        <x:v>0</x:v>
      </x:c>
    </x:row>
    <x:row r="322" ht="23" customHeight="1">
      <x:c r="A322" s="6" t="str">
        <x:v>T3-L10-F</x:v>
      </x:c>
      <x:c r="B322" s="6" t="str">
        <x:v>T3</x:v>
      </x:c>
      <x:c r="C322" s="6" t="str">
        <x:v>Columns, core and deck formwork</x:v>
      </x:c>
      <x:c r="D322" s="6" t="str">
        <x:v>Formwork</x:v>
      </x:c>
      <x:c r="E322" s="22" t="n">
        <x:f>MAX(0,MIN('Activities'!L322,6)-MAX('Activities'!K322,0))</x:f>
        <x:v>0</x:v>
      </x:c>
      <x:c r="F322" s="22" t="n">
        <x:f>MAX(0,MIN('Activities'!L322,12)-MAX('Activities'!K322,6))</x:f>
        <x:v>0</x:v>
      </x:c>
      <x:c r="G322" s="22" t="n">
        <x:f>MAX(0,MIN('Activities'!L322,18)-MAX('Activities'!K322,12))</x:f>
        <x:v>0</x:v>
      </x:c>
      <x:c r="H322" s="22" t="n">
        <x:f>MAX(0,MIN('Activities'!L322,24)-MAX('Activities'!K322,18))</x:f>
        <x:v>0</x:v>
      </x:c>
      <x:c r="I322" s="22" t="n">
        <x:f>MAX(0,MIN('Activities'!L322,30)-MAX('Activities'!K322,24))</x:f>
        <x:v>0</x:v>
      </x:c>
      <x:c r="J322" s="22" t="n">
        <x:f>MAX(0,MIN('Activities'!L322,36)-MAX('Activities'!K322,30))</x:f>
        <x:v>0</x:v>
      </x:c>
      <x:c r="K322" s="22" t="n">
        <x:f>MAX(0,MIN('Activities'!L322,42)-MAX('Activities'!K322,36))</x:f>
        <x:v>0</x:v>
      </x:c>
      <x:c r="L322" s="22" t="n">
        <x:f>MAX(0,MIN('Activities'!L322,48)-MAX('Activities'!K322,42))</x:f>
        <x:v>0</x:v>
      </x:c>
      <x:c r="M322" s="22" t="n">
        <x:f>MAX(0,MIN('Activities'!L322,54)-MAX('Activities'!K322,48))</x:f>
        <x:v>0</x:v>
      </x:c>
      <x:c r="N322" s="22" t="n">
        <x:f>MAX(0,MIN('Activities'!L322,60)-MAX('Activities'!K322,54))</x:f>
        <x:v>0</x:v>
      </x:c>
      <x:c r="O322" s="22" t="n">
        <x:f>MAX(0,MIN('Activities'!L322,66)-MAX('Activities'!K322,60))</x:f>
        <x:v>0</x:v>
      </x:c>
      <x:c r="P322" s="22" t="n">
        <x:f>MAX(0,MIN('Activities'!L322,72)-MAX('Activities'!K322,66))</x:f>
        <x:v>0</x:v>
      </x:c>
      <x:c r="Q322" s="22" t="n">
        <x:f>MAX(0,MIN('Activities'!L322,78)-MAX('Activities'!K322,72))</x:f>
        <x:v>0</x:v>
      </x:c>
      <x:c r="R322" s="22" t="n">
        <x:f>MAX(0,MIN('Activities'!L322,84)-MAX('Activities'!K322,78))</x:f>
        <x:v>0</x:v>
      </x:c>
      <x:c r="S322" s="22" t="n">
        <x:f>MAX(0,MIN('Activities'!L322,90)-MAX('Activities'!K322,84))</x:f>
        <x:v>0</x:v>
      </x:c>
      <x:c r="T322" s="22" t="n">
        <x:f>MAX(0,MIN('Activities'!L322,96)-MAX('Activities'!K322,90))</x:f>
        <x:v>0</x:v>
      </x:c>
      <x:c r="U322" s="22" t="n">
        <x:f>MAX(0,MIN('Activities'!L322,102)-MAX('Activities'!K322,96))</x:f>
        <x:v>0</x:v>
      </x:c>
      <x:c r="V322" s="22" t="n">
        <x:f>MAX(0,MIN('Activities'!L322,108)-MAX('Activities'!K322,102))</x:f>
        <x:v>0</x:v>
      </x:c>
      <x:c r="W322" s="22" t="n">
        <x:f>MAX(0,MIN('Activities'!L322,114)-MAX('Activities'!K322,108))</x:f>
        <x:v>0</x:v>
      </x:c>
      <x:c r="X322" s="22" t="n">
        <x:f>MAX(0,MIN('Activities'!L322,120)-MAX('Activities'!K322,114))</x:f>
        <x:v>0</x:v>
      </x:c>
      <x:c r="Y322" s="22" t="n">
        <x:f>MAX(0,MIN('Activities'!L322,126)-MAX('Activities'!K322,120))</x:f>
        <x:v>0</x:v>
      </x:c>
      <x:c r="Z322" s="22" t="n">
        <x:f>MAX(0,MIN('Activities'!L322,132)-MAX('Activities'!K322,126))</x:f>
        <x:v>0</x:v>
      </x:c>
      <x:c r="AA322" s="22" t="n">
        <x:f>MAX(0,MIN('Activities'!L322,138)-MAX('Activities'!K322,132))</x:f>
        <x:v>0</x:v>
      </x:c>
      <x:c r="AB322" s="22" t="n">
        <x:f>MAX(0,MIN('Activities'!L322,144)-MAX('Activities'!K322,138))</x:f>
        <x:v>0</x:v>
      </x:c>
      <x:c r="AC322" s="22" t="n">
        <x:f>MAX(0,MIN('Activities'!L322,150)-MAX('Activities'!K322,144))</x:f>
        <x:v>0</x:v>
      </x:c>
      <x:c r="AD322" s="22" t="n">
        <x:f>MAX(0,MIN('Activities'!L322,156)-MAX('Activities'!K322,150))</x:f>
        <x:v>0</x:v>
      </x:c>
      <x:c r="AE322" s="22" t="n">
        <x:f>MAX(0,MIN('Activities'!L322,162)-MAX('Activities'!K322,156))</x:f>
        <x:v>0</x:v>
      </x:c>
      <x:c r="AF322" s="22" t="n">
        <x:f>MAX(0,MIN('Activities'!L322,168)-MAX('Activities'!K322,162))</x:f>
        <x:v>0</x:v>
      </x:c>
      <x:c r="AG322" s="22" t="n">
        <x:f>MAX(0,MIN('Activities'!L322,174)-MAX('Activities'!K322,168))</x:f>
        <x:v>0</x:v>
      </x:c>
      <x:c r="AH322" s="22" t="n">
        <x:f>MAX(0,MIN('Activities'!L322,180)-MAX('Activities'!K322,174))</x:f>
        <x:v>0</x:v>
      </x:c>
      <x:c r="AI322" s="22" t="n">
        <x:f>MAX(0,MIN('Activities'!L322,186)-MAX('Activities'!K322,180))</x:f>
        <x:v>0</x:v>
      </x:c>
      <x:c r="AJ322" s="22" t="n">
        <x:f>MAX(0,MIN('Activities'!L322,192)-MAX('Activities'!K322,186))</x:f>
        <x:v>0</x:v>
      </x:c>
      <x:c r="AK322" s="22" t="n">
        <x:f>MAX(0,MIN('Activities'!L322,198)-MAX('Activities'!K322,192))</x:f>
        <x:v>0</x:v>
      </x:c>
      <x:c r="AL322" s="22" t="n">
        <x:f>MAX(0,MIN('Activities'!L322,204)-MAX('Activities'!K322,198))</x:f>
        <x:v>0</x:v>
      </x:c>
      <x:c r="AM322" s="22" t="n">
        <x:f>MAX(0,MIN('Activities'!L322,210)-MAX('Activities'!K322,204))</x:f>
        <x:v>0</x:v>
      </x:c>
      <x:c r="AN322" s="22" t="n">
        <x:f>MAX(0,MIN('Activities'!L322,216)-MAX('Activities'!K322,210))</x:f>
        <x:v>0</x:v>
      </x:c>
      <x:c r="AO322" s="22" t="n">
        <x:f>MAX(0,MIN('Activities'!L322,222)-MAX('Activities'!K322,216))</x:f>
        <x:v>0</x:v>
      </x:c>
      <x:c r="AP322" s="22" t="n">
        <x:f>MAX(0,MIN('Activities'!L322,228)-MAX('Activities'!K322,222))</x:f>
        <x:v>0</x:v>
      </x:c>
      <x:c r="AQ322" s="22" t="n">
        <x:f>MAX(0,MIN('Activities'!L322,234)-MAX('Activities'!K322,228))</x:f>
        <x:v>0</x:v>
      </x:c>
      <x:c r="AR322" s="22" t="n">
        <x:f>MAX(0,MIN('Activities'!L322,240)-MAX('Activities'!K322,234))</x:f>
        <x:v>0</x:v>
      </x:c>
      <x:c r="AS322" s="22" t="n">
        <x:f>MAX(0,MIN('Activities'!L322,246)-MAX('Activities'!K322,240))</x:f>
        <x:v>0</x:v>
      </x:c>
      <x:c r="AT322" s="22" t="n">
        <x:f>MAX(0,MIN('Activities'!L322,252)-MAX('Activities'!K322,246))</x:f>
        <x:v>0</x:v>
      </x:c>
      <x:c r="AU322" s="22" t="n">
        <x:f>MAX(0,MIN('Activities'!L322,258)-MAX('Activities'!K322,252))</x:f>
        <x:v>0</x:v>
      </x:c>
      <x:c r="AV322" s="22" t="n">
        <x:f>MAX(0,MIN('Activities'!L322,264)-MAX('Activities'!K322,258))</x:f>
        <x:v>0</x:v>
      </x:c>
      <x:c r="AW322" s="22" t="n">
        <x:f>MAX(0,MIN('Activities'!L322,270)-MAX('Activities'!K322,264))</x:f>
        <x:v>0</x:v>
      </x:c>
      <x:c r="AX322" s="22" t="n">
        <x:f>MAX(0,MIN('Activities'!L322,276)-MAX('Activities'!K322,270))</x:f>
        <x:v>0</x:v>
      </x:c>
      <x:c r="AY322" s="22" t="n">
        <x:f>MAX(0,MIN('Activities'!L322,282)-MAX('Activities'!K322,276))</x:f>
        <x:v>0</x:v>
      </x:c>
      <x:c r="AZ322" s="22" t="n">
        <x:f>MAX(0,MIN('Activities'!L322,288)-MAX('Activities'!K322,282))</x:f>
        <x:v>0</x:v>
      </x:c>
      <x:c r="BA322" s="22" t="n">
        <x:f>MAX(0,MIN('Activities'!L322,294)-MAX('Activities'!K322,288))</x:f>
        <x:v>0</x:v>
      </x:c>
      <x:c r="BB322" s="22" t="n">
        <x:f>MAX(0,MIN('Activities'!L322,300)-MAX('Activities'!K322,294))</x:f>
        <x:v>0</x:v>
      </x:c>
      <x:c r="BC322" s="22" t="n">
        <x:f>MAX(0,MIN('Activities'!L322,306)-MAX('Activities'!K322,300))</x:f>
        <x:v>0</x:v>
      </x:c>
      <x:c r="BD322" s="22" t="n">
        <x:f>MAX(0,MIN('Activities'!L322,312)-MAX('Activities'!K322,306))</x:f>
        <x:v>0</x:v>
      </x:c>
      <x:c r="BE322" s="22" t="n">
        <x:f>MAX(0,MIN('Activities'!L322,318)-MAX('Activities'!K322,312))</x:f>
        <x:v>0</x:v>
      </x:c>
      <x:c r="BF322" s="22" t="n">
        <x:f>MAX(0,MIN('Activities'!L322,324)-MAX('Activities'!K322,318))</x:f>
        <x:v>0</x:v>
      </x:c>
      <x:c r="BG322" s="22" t="n">
        <x:f>MAX(0,MIN('Activities'!L322,330)-MAX('Activities'!K322,324))</x:f>
        <x:v>0</x:v>
      </x:c>
      <x:c r="BH322" s="22" t="n">
        <x:f>MAX(0,MIN('Activities'!L322,336)-MAX('Activities'!K322,330))</x:f>
        <x:v>0</x:v>
      </x:c>
      <x:c r="BI322" s="22" t="n">
        <x:f>MAX(0,MIN('Activities'!L322,342)-MAX('Activities'!K322,336))</x:f>
        <x:v>4</x:v>
      </x:c>
      <x:c r="BJ322" s="22" t="n">
        <x:f>MAX(0,MIN('Activities'!L322,348)-MAX('Activities'!K322,342))</x:f>
        <x:v>2</x:v>
      </x:c>
      <x:c r="BK322" s="22" t="n">
        <x:f>MAX(0,MIN('Activities'!L322,354)-MAX('Activities'!K322,348))</x:f>
        <x:v>0</x:v>
      </x:c>
      <x:c r="BL322" s="22" t="n">
        <x:f>MAX(0,MIN('Activities'!L322,360)-MAX('Activities'!K322,354))</x:f>
        <x:v>0</x:v>
      </x:c>
      <x:c r="BM322" s="22" t="n">
        <x:f>MAX(0,MIN('Activities'!L322,366)-MAX('Activities'!K322,360))</x:f>
        <x:v>0</x:v>
      </x:c>
      <x:c r="BN322" s="22" t="n">
        <x:f>MAX(0,MIN('Activities'!L322,372)-MAX('Activities'!K322,366))</x:f>
        <x:v>0</x:v>
      </x:c>
      <x:c r="BO322" s="22" t="n">
        <x:f>MAX(0,MIN('Activities'!L322,378)-MAX('Activities'!K322,372))</x:f>
        <x:v>0</x:v>
      </x:c>
      <x:c r="BP322" s="22" t="n">
        <x:f>MAX(0,MIN('Activities'!L322,384)-MAX('Activities'!K322,378))</x:f>
        <x:v>0</x:v>
      </x:c>
      <x:c r="BQ322" s="22" t="n">
        <x:f>MAX(0,MIN('Activities'!L322,390)-MAX('Activities'!K322,384))</x:f>
        <x:v>0</x:v>
      </x:c>
      <x:c r="BR322" s="22" t="n">
        <x:f>MAX(0,MIN('Activities'!L322,396)-MAX('Activities'!K322,390))</x:f>
        <x:v>0</x:v>
      </x:c>
      <x:c r="BS322" s="22" t="n">
        <x:f>MAX(0,MIN('Activities'!L322,402)-MAX('Activities'!K322,396))</x:f>
        <x:v>0</x:v>
      </x:c>
      <x:c r="BT322" s="22" t="n">
        <x:f>MAX(0,MIN('Activities'!L322,408)-MAX('Activities'!K322,402))</x:f>
        <x:v>0</x:v>
      </x:c>
      <x:c r="BU322" s="22" t="n">
        <x:f>MAX(0,MIN('Activities'!L322,414)-MAX('Activities'!K322,408))</x:f>
        <x:v>0</x:v>
      </x:c>
      <x:c r="BV322" s="22" t="n">
        <x:f>MAX(0,MIN('Activities'!L322,420)-MAX('Activities'!K322,414))</x:f>
        <x:v>0</x:v>
      </x:c>
      <x:c r="BW322" s="22" t="n">
        <x:f>MAX(0,MIN('Activities'!L322,426)-MAX('Activities'!K322,420))</x:f>
        <x:v>0</x:v>
      </x:c>
      <x:c r="BX322" s="22" t="n">
        <x:f>MAX(0,MIN('Activities'!L322,432)-MAX('Activities'!K322,426))</x:f>
        <x:v>0</x:v>
      </x:c>
      <x:c r="BY322" s="22" t="n">
        <x:f>MAX(0,MIN('Activities'!L322,438)-MAX('Activities'!K322,432))</x:f>
        <x:v>0</x:v>
      </x:c>
      <x:c r="BZ322" s="22" t="n">
        <x:f>MAX(0,MIN('Activities'!L322,444)-MAX('Activities'!K322,438))</x:f>
        <x:v>0</x:v>
      </x:c>
      <x:c r="CA322" s="22" t="n">
        <x:f>MAX(0,MIN('Activities'!L322,450)-MAX('Activities'!K322,444))</x:f>
        <x:v>0</x:v>
      </x:c>
      <x:c r="CB322" s="22" t="n">
        <x:f>MAX(0,MIN('Activities'!L322,456)-MAX('Activities'!K322,450))</x:f>
        <x:v>0</x:v>
      </x:c>
      <x:c r="CC322" s="22" t="n">
        <x:f>MAX(0,MIN('Activities'!L322,462)-MAX('Activities'!K322,456))</x:f>
        <x:v>0</x:v>
      </x:c>
      <x:c r="CD322" s="22" t="n">
        <x:f>MAX(0,MIN('Activities'!L322,468)-MAX('Activities'!K322,462))</x:f>
        <x:v>0</x:v>
      </x:c>
      <x:c r="CE322" s="22" t="n">
        <x:f>MAX(0,MIN('Activities'!L322,474)-MAX('Activities'!K322,468))</x:f>
        <x:v>0</x:v>
      </x:c>
      <x:c r="CF322" s="22" t="n">
        <x:f>MAX(0,MIN('Activities'!L322,480)-MAX('Activities'!K322,474))</x:f>
        <x:v>0</x:v>
      </x:c>
      <x:c r="CG322" s="22" t="n">
        <x:f>MAX(0,MIN('Activities'!L322,486)-MAX('Activities'!K322,480))</x:f>
        <x:v>0</x:v>
      </x:c>
      <x:c r="CH322" s="22" t="n">
        <x:f>MAX(0,MIN('Activities'!L322,492)-MAX('Activities'!K322,486))</x:f>
        <x:v>0</x:v>
      </x:c>
      <x:c r="CI322" s="22" t="n">
        <x:f>MAX(0,MIN('Activities'!L322,498)-MAX('Activities'!K322,492))</x:f>
        <x:v>0</x:v>
      </x:c>
      <x:c r="CJ322" s="22" t="n">
        <x:f>MAX(0,MIN('Activities'!L322,504)-MAX('Activities'!K322,498))</x:f>
        <x:v>0</x:v>
      </x:c>
      <x:c r="CK322" s="22" t="n">
        <x:f>MAX(0,MIN('Activities'!L322,510)-MAX('Activities'!K322,504))</x:f>
        <x:v>0</x:v>
      </x:c>
      <x:c r="CL322" s="22" t="n">
        <x:f>MAX(0,MIN('Activities'!L322,516)-MAX('Activities'!K322,510))</x:f>
        <x:v>0</x:v>
      </x:c>
      <x:c r="CM322" s="22" t="n">
        <x:f>MAX(0,MIN('Activities'!L322,522)-MAX('Activities'!K322,516))</x:f>
        <x:v>0</x:v>
      </x:c>
      <x:c r="CN322" s="22" t="n">
        <x:f>MAX(0,MIN('Activities'!L322,528)-MAX('Activities'!K322,522))</x:f>
        <x:v>0</x:v>
      </x:c>
      <x:c r="CO322" s="22" t="n">
        <x:f>MAX(0,MIN('Activities'!L322,534)-MAX('Activities'!K322,528))</x:f>
        <x:v>0</x:v>
      </x:c>
      <x:c r="CP322" s="22" t="n">
        <x:f>MAX(0,MIN('Activities'!L322,540)-MAX('Activities'!K322,534))</x:f>
        <x:v>0</x:v>
      </x:c>
      <x:c r="CQ322" s="22" t="n">
        <x:f>MAX(0,MIN('Activities'!L322,546)-MAX('Activities'!K322,540))</x:f>
        <x:v>0</x:v>
      </x:c>
      <x:c r="CR322" s="22" t="n">
        <x:f>MAX(0,MIN('Activities'!L322,552)-MAX('Activities'!K322,546))</x:f>
        <x:v>0</x:v>
      </x:c>
      <x:c r="CS322" s="22" t="n">
        <x:f>MAX(0,MIN('Activities'!L322,558)-MAX('Activities'!K322,552))</x:f>
        <x:v>0</x:v>
      </x:c>
      <x:c r="CT322" s="22" t="n">
        <x:f>MAX(0,MIN('Activities'!L322,564)-MAX('Activities'!K322,558))</x:f>
        <x:v>0</x:v>
      </x:c>
      <x:c r="CU322" s="22" t="n">
        <x:f>MAX(0,MIN('Activities'!L322,570)-MAX('Activities'!K322,564))</x:f>
        <x:v>0</x:v>
      </x:c>
      <x:c r="CV322" s="22" t="n">
        <x:f>MAX(0,MIN('Activities'!L322,576)-MAX('Activities'!K322,570))</x:f>
        <x:v>0</x:v>
      </x:c>
      <x:c r="CW322" s="22" t="n">
        <x:f>MAX(0,MIN('Activities'!L322,582)-MAX('Activities'!K322,576))</x:f>
        <x:v>0</x:v>
      </x:c>
      <x:c r="CX322" s="22" t="n">
        <x:f>MAX(0,MIN('Activities'!L322,588)-MAX('Activities'!K322,582))</x:f>
        <x:v>0</x:v>
      </x:c>
      <x:c r="CY322" s="22" t="n">
        <x:f>MAX(0,MIN('Activities'!L322,594)-MAX('Activities'!K322,588))</x:f>
        <x:v>0</x:v>
      </x:c>
      <x:c r="CZ322" s="22" t="n">
        <x:f>MAX(0,MIN('Activities'!L322,600)-MAX('Activities'!K322,594))</x:f>
        <x:v>0</x:v>
      </x:c>
      <x:c r="DA322" s="22" t="n">
        <x:f>MAX(0,MIN('Activities'!L322,606)-MAX('Activities'!K322,600))</x:f>
        <x:v>0</x:v>
      </x:c>
      <x:c r="DB322" s="22" t="n">
        <x:f>MAX(0,MIN('Activities'!L322,612)-MAX('Activities'!K322,606))</x:f>
        <x:v>0</x:v>
      </x:c>
      <x:c r="DC322" s="22" t="n">
        <x:f>MAX(0,MIN('Activities'!L322,618)-MAX('Activities'!K322,612))</x:f>
        <x:v>0</x:v>
      </x:c>
      <x:c r="DD322" s="22" t="n">
        <x:f>MAX(0,MIN('Activities'!L322,624)-MAX('Activities'!K322,618))</x:f>
        <x:v>0</x:v>
      </x:c>
      <x:c r="DE322" s="22" t="n">
        <x:f>MAX(0,MIN('Activities'!L322,630)-MAX('Activities'!K322,624))</x:f>
        <x:v>0</x:v>
      </x:c>
      <x:c r="DF322" s="22" t="n">
        <x:f>MAX(0,MIN('Activities'!L322,636)-MAX('Activities'!K322,630))</x:f>
        <x:v>0</x:v>
      </x:c>
    </x:row>
    <x:row r="323" ht="23" customHeight="1">
      <x:c r="A323" s="1" t="str">
        <x:v>T3-L10-R</x:v>
      </x:c>
      <x:c r="B323" s="1" t="str">
        <x:v>T3</x:v>
      </x:c>
      <x:c r="C323" s="1" t="str">
        <x:v>Column, wall, beam and slab reinforcement</x:v>
      </x:c>
      <x:c r="D323" s="1" t="str">
        <x:v>Rebar</x:v>
      </x:c>
      <x:c r="E323" s="23" t="n">
        <x:f>MAX(0,MIN('Activities'!L323,6)-MAX('Activities'!K323,0))</x:f>
        <x:v>0</x:v>
      </x:c>
      <x:c r="F323" s="23" t="n">
        <x:f>MAX(0,MIN('Activities'!L323,12)-MAX('Activities'!K323,6))</x:f>
        <x:v>0</x:v>
      </x:c>
      <x:c r="G323" s="23" t="n">
        <x:f>MAX(0,MIN('Activities'!L323,18)-MAX('Activities'!K323,12))</x:f>
        <x:v>0</x:v>
      </x:c>
      <x:c r="H323" s="23" t="n">
        <x:f>MAX(0,MIN('Activities'!L323,24)-MAX('Activities'!K323,18))</x:f>
        <x:v>0</x:v>
      </x:c>
      <x:c r="I323" s="23" t="n">
        <x:f>MAX(0,MIN('Activities'!L323,30)-MAX('Activities'!K323,24))</x:f>
        <x:v>0</x:v>
      </x:c>
      <x:c r="J323" s="23" t="n">
        <x:f>MAX(0,MIN('Activities'!L323,36)-MAX('Activities'!K323,30))</x:f>
        <x:v>0</x:v>
      </x:c>
      <x:c r="K323" s="23" t="n">
        <x:f>MAX(0,MIN('Activities'!L323,42)-MAX('Activities'!K323,36))</x:f>
        <x:v>0</x:v>
      </x:c>
      <x:c r="L323" s="23" t="n">
        <x:f>MAX(0,MIN('Activities'!L323,48)-MAX('Activities'!K323,42))</x:f>
        <x:v>0</x:v>
      </x:c>
      <x:c r="M323" s="23" t="n">
        <x:f>MAX(0,MIN('Activities'!L323,54)-MAX('Activities'!K323,48))</x:f>
        <x:v>0</x:v>
      </x:c>
      <x:c r="N323" s="23" t="n">
        <x:f>MAX(0,MIN('Activities'!L323,60)-MAX('Activities'!K323,54))</x:f>
        <x:v>0</x:v>
      </x:c>
      <x:c r="O323" s="23" t="n">
        <x:f>MAX(0,MIN('Activities'!L323,66)-MAX('Activities'!K323,60))</x:f>
        <x:v>0</x:v>
      </x:c>
      <x:c r="P323" s="23" t="n">
        <x:f>MAX(0,MIN('Activities'!L323,72)-MAX('Activities'!K323,66))</x:f>
        <x:v>0</x:v>
      </x:c>
      <x:c r="Q323" s="23" t="n">
        <x:f>MAX(0,MIN('Activities'!L323,78)-MAX('Activities'!K323,72))</x:f>
        <x:v>0</x:v>
      </x:c>
      <x:c r="R323" s="23" t="n">
        <x:f>MAX(0,MIN('Activities'!L323,84)-MAX('Activities'!K323,78))</x:f>
        <x:v>0</x:v>
      </x:c>
      <x:c r="S323" s="23" t="n">
        <x:f>MAX(0,MIN('Activities'!L323,90)-MAX('Activities'!K323,84))</x:f>
        <x:v>0</x:v>
      </x:c>
      <x:c r="T323" s="23" t="n">
        <x:f>MAX(0,MIN('Activities'!L323,96)-MAX('Activities'!K323,90))</x:f>
        <x:v>0</x:v>
      </x:c>
      <x:c r="U323" s="23" t="n">
        <x:f>MAX(0,MIN('Activities'!L323,102)-MAX('Activities'!K323,96))</x:f>
        <x:v>0</x:v>
      </x:c>
      <x:c r="V323" s="23" t="n">
        <x:f>MAX(0,MIN('Activities'!L323,108)-MAX('Activities'!K323,102))</x:f>
        <x:v>0</x:v>
      </x:c>
      <x:c r="W323" s="23" t="n">
        <x:f>MAX(0,MIN('Activities'!L323,114)-MAX('Activities'!K323,108))</x:f>
        <x:v>0</x:v>
      </x:c>
      <x:c r="X323" s="23" t="n">
        <x:f>MAX(0,MIN('Activities'!L323,120)-MAX('Activities'!K323,114))</x:f>
        <x:v>0</x:v>
      </x:c>
      <x:c r="Y323" s="23" t="n">
        <x:f>MAX(0,MIN('Activities'!L323,126)-MAX('Activities'!K323,120))</x:f>
        <x:v>0</x:v>
      </x:c>
      <x:c r="Z323" s="23" t="n">
        <x:f>MAX(0,MIN('Activities'!L323,132)-MAX('Activities'!K323,126))</x:f>
        <x:v>0</x:v>
      </x:c>
      <x:c r="AA323" s="23" t="n">
        <x:f>MAX(0,MIN('Activities'!L323,138)-MAX('Activities'!K323,132))</x:f>
        <x:v>0</x:v>
      </x:c>
      <x:c r="AB323" s="23" t="n">
        <x:f>MAX(0,MIN('Activities'!L323,144)-MAX('Activities'!K323,138))</x:f>
        <x:v>0</x:v>
      </x:c>
      <x:c r="AC323" s="23" t="n">
        <x:f>MAX(0,MIN('Activities'!L323,150)-MAX('Activities'!K323,144))</x:f>
        <x:v>0</x:v>
      </x:c>
      <x:c r="AD323" s="23" t="n">
        <x:f>MAX(0,MIN('Activities'!L323,156)-MAX('Activities'!K323,150))</x:f>
        <x:v>0</x:v>
      </x:c>
      <x:c r="AE323" s="23" t="n">
        <x:f>MAX(0,MIN('Activities'!L323,162)-MAX('Activities'!K323,156))</x:f>
        <x:v>0</x:v>
      </x:c>
      <x:c r="AF323" s="23" t="n">
        <x:f>MAX(0,MIN('Activities'!L323,168)-MAX('Activities'!K323,162))</x:f>
        <x:v>0</x:v>
      </x:c>
      <x:c r="AG323" s="23" t="n">
        <x:f>MAX(0,MIN('Activities'!L323,174)-MAX('Activities'!K323,168))</x:f>
        <x:v>0</x:v>
      </x:c>
      <x:c r="AH323" s="23" t="n">
        <x:f>MAX(0,MIN('Activities'!L323,180)-MAX('Activities'!K323,174))</x:f>
        <x:v>0</x:v>
      </x:c>
      <x:c r="AI323" s="23" t="n">
        <x:f>MAX(0,MIN('Activities'!L323,186)-MAX('Activities'!K323,180))</x:f>
        <x:v>0</x:v>
      </x:c>
      <x:c r="AJ323" s="23" t="n">
        <x:f>MAX(0,MIN('Activities'!L323,192)-MAX('Activities'!K323,186))</x:f>
        <x:v>0</x:v>
      </x:c>
      <x:c r="AK323" s="23" t="n">
        <x:f>MAX(0,MIN('Activities'!L323,198)-MAX('Activities'!K323,192))</x:f>
        <x:v>0</x:v>
      </x:c>
      <x:c r="AL323" s="23" t="n">
        <x:f>MAX(0,MIN('Activities'!L323,204)-MAX('Activities'!K323,198))</x:f>
        <x:v>0</x:v>
      </x:c>
      <x:c r="AM323" s="23" t="n">
        <x:f>MAX(0,MIN('Activities'!L323,210)-MAX('Activities'!K323,204))</x:f>
        <x:v>0</x:v>
      </x:c>
      <x:c r="AN323" s="23" t="n">
        <x:f>MAX(0,MIN('Activities'!L323,216)-MAX('Activities'!K323,210))</x:f>
        <x:v>0</x:v>
      </x:c>
      <x:c r="AO323" s="23" t="n">
        <x:f>MAX(0,MIN('Activities'!L323,222)-MAX('Activities'!K323,216))</x:f>
        <x:v>0</x:v>
      </x:c>
      <x:c r="AP323" s="23" t="n">
        <x:f>MAX(0,MIN('Activities'!L323,228)-MAX('Activities'!K323,222))</x:f>
        <x:v>0</x:v>
      </x:c>
      <x:c r="AQ323" s="23" t="n">
        <x:f>MAX(0,MIN('Activities'!L323,234)-MAX('Activities'!K323,228))</x:f>
        <x:v>0</x:v>
      </x:c>
      <x:c r="AR323" s="23" t="n">
        <x:f>MAX(0,MIN('Activities'!L323,240)-MAX('Activities'!K323,234))</x:f>
        <x:v>0</x:v>
      </x:c>
      <x:c r="AS323" s="23" t="n">
        <x:f>MAX(0,MIN('Activities'!L323,246)-MAX('Activities'!K323,240))</x:f>
        <x:v>0</x:v>
      </x:c>
      <x:c r="AT323" s="23" t="n">
        <x:f>MAX(0,MIN('Activities'!L323,252)-MAX('Activities'!K323,246))</x:f>
        <x:v>0</x:v>
      </x:c>
      <x:c r="AU323" s="23" t="n">
        <x:f>MAX(0,MIN('Activities'!L323,258)-MAX('Activities'!K323,252))</x:f>
        <x:v>0</x:v>
      </x:c>
      <x:c r="AV323" s="23" t="n">
        <x:f>MAX(0,MIN('Activities'!L323,264)-MAX('Activities'!K323,258))</x:f>
        <x:v>0</x:v>
      </x:c>
      <x:c r="AW323" s="23" t="n">
        <x:f>MAX(0,MIN('Activities'!L323,270)-MAX('Activities'!K323,264))</x:f>
        <x:v>0</x:v>
      </x:c>
      <x:c r="AX323" s="23" t="n">
        <x:f>MAX(0,MIN('Activities'!L323,276)-MAX('Activities'!K323,270))</x:f>
        <x:v>0</x:v>
      </x:c>
      <x:c r="AY323" s="23" t="n">
        <x:f>MAX(0,MIN('Activities'!L323,282)-MAX('Activities'!K323,276))</x:f>
        <x:v>0</x:v>
      </x:c>
      <x:c r="AZ323" s="23" t="n">
        <x:f>MAX(0,MIN('Activities'!L323,288)-MAX('Activities'!K323,282))</x:f>
        <x:v>0</x:v>
      </x:c>
      <x:c r="BA323" s="23" t="n">
        <x:f>MAX(0,MIN('Activities'!L323,294)-MAX('Activities'!K323,288))</x:f>
        <x:v>0</x:v>
      </x:c>
      <x:c r="BB323" s="23" t="n">
        <x:f>MAX(0,MIN('Activities'!L323,300)-MAX('Activities'!K323,294))</x:f>
        <x:v>0</x:v>
      </x:c>
      <x:c r="BC323" s="23" t="n">
        <x:f>MAX(0,MIN('Activities'!L323,306)-MAX('Activities'!K323,300))</x:f>
        <x:v>0</x:v>
      </x:c>
      <x:c r="BD323" s="23" t="n">
        <x:f>MAX(0,MIN('Activities'!L323,312)-MAX('Activities'!K323,306))</x:f>
        <x:v>0</x:v>
      </x:c>
      <x:c r="BE323" s="23" t="n">
        <x:f>MAX(0,MIN('Activities'!L323,318)-MAX('Activities'!K323,312))</x:f>
        <x:v>0</x:v>
      </x:c>
      <x:c r="BF323" s="23" t="n">
        <x:f>MAX(0,MIN('Activities'!L323,324)-MAX('Activities'!K323,318))</x:f>
        <x:v>0</x:v>
      </x:c>
      <x:c r="BG323" s="23" t="n">
        <x:f>MAX(0,MIN('Activities'!L323,330)-MAX('Activities'!K323,324))</x:f>
        <x:v>0</x:v>
      </x:c>
      <x:c r="BH323" s="23" t="n">
        <x:f>MAX(0,MIN('Activities'!L323,336)-MAX('Activities'!K323,330))</x:f>
        <x:v>0</x:v>
      </x:c>
      <x:c r="BI323" s="23" t="n">
        <x:f>MAX(0,MIN('Activities'!L323,342)-MAX('Activities'!K323,336))</x:f>
        <x:v>0</x:v>
      </x:c>
      <x:c r="BJ323" s="23" t="n">
        <x:f>MAX(0,MIN('Activities'!L323,348)-MAX('Activities'!K323,342))</x:f>
        <x:v>4</x:v>
      </x:c>
      <x:c r="BK323" s="23" t="n">
        <x:f>MAX(0,MIN('Activities'!L323,354)-MAX('Activities'!K323,348))</x:f>
        <x:v>1</x:v>
      </x:c>
      <x:c r="BL323" s="23" t="n">
        <x:f>MAX(0,MIN('Activities'!L323,360)-MAX('Activities'!K323,354))</x:f>
        <x:v>0</x:v>
      </x:c>
      <x:c r="BM323" s="23" t="n">
        <x:f>MAX(0,MIN('Activities'!L323,366)-MAX('Activities'!K323,360))</x:f>
        <x:v>0</x:v>
      </x:c>
      <x:c r="BN323" s="23" t="n">
        <x:f>MAX(0,MIN('Activities'!L323,372)-MAX('Activities'!K323,366))</x:f>
        <x:v>0</x:v>
      </x:c>
      <x:c r="BO323" s="23" t="n">
        <x:f>MAX(0,MIN('Activities'!L323,378)-MAX('Activities'!K323,372))</x:f>
        <x:v>0</x:v>
      </x:c>
      <x:c r="BP323" s="23" t="n">
        <x:f>MAX(0,MIN('Activities'!L323,384)-MAX('Activities'!K323,378))</x:f>
        <x:v>0</x:v>
      </x:c>
      <x:c r="BQ323" s="23" t="n">
        <x:f>MAX(0,MIN('Activities'!L323,390)-MAX('Activities'!K323,384))</x:f>
        <x:v>0</x:v>
      </x:c>
      <x:c r="BR323" s="23" t="n">
        <x:f>MAX(0,MIN('Activities'!L323,396)-MAX('Activities'!K323,390))</x:f>
        <x:v>0</x:v>
      </x:c>
      <x:c r="BS323" s="23" t="n">
        <x:f>MAX(0,MIN('Activities'!L323,402)-MAX('Activities'!K323,396))</x:f>
        <x:v>0</x:v>
      </x:c>
      <x:c r="BT323" s="23" t="n">
        <x:f>MAX(0,MIN('Activities'!L323,408)-MAX('Activities'!K323,402))</x:f>
        <x:v>0</x:v>
      </x:c>
      <x:c r="BU323" s="23" t="n">
        <x:f>MAX(0,MIN('Activities'!L323,414)-MAX('Activities'!K323,408))</x:f>
        <x:v>0</x:v>
      </x:c>
      <x:c r="BV323" s="23" t="n">
        <x:f>MAX(0,MIN('Activities'!L323,420)-MAX('Activities'!K323,414))</x:f>
        <x:v>0</x:v>
      </x:c>
      <x:c r="BW323" s="23" t="n">
        <x:f>MAX(0,MIN('Activities'!L323,426)-MAX('Activities'!K323,420))</x:f>
        <x:v>0</x:v>
      </x:c>
      <x:c r="BX323" s="23" t="n">
        <x:f>MAX(0,MIN('Activities'!L323,432)-MAX('Activities'!K323,426))</x:f>
        <x:v>0</x:v>
      </x:c>
      <x:c r="BY323" s="23" t="n">
        <x:f>MAX(0,MIN('Activities'!L323,438)-MAX('Activities'!K323,432))</x:f>
        <x:v>0</x:v>
      </x:c>
      <x:c r="BZ323" s="23" t="n">
        <x:f>MAX(0,MIN('Activities'!L323,444)-MAX('Activities'!K323,438))</x:f>
        <x:v>0</x:v>
      </x:c>
      <x:c r="CA323" s="23" t="n">
        <x:f>MAX(0,MIN('Activities'!L323,450)-MAX('Activities'!K323,444))</x:f>
        <x:v>0</x:v>
      </x:c>
      <x:c r="CB323" s="23" t="n">
        <x:f>MAX(0,MIN('Activities'!L323,456)-MAX('Activities'!K323,450))</x:f>
        <x:v>0</x:v>
      </x:c>
      <x:c r="CC323" s="23" t="n">
        <x:f>MAX(0,MIN('Activities'!L323,462)-MAX('Activities'!K323,456))</x:f>
        <x:v>0</x:v>
      </x:c>
      <x:c r="CD323" s="23" t="n">
        <x:f>MAX(0,MIN('Activities'!L323,468)-MAX('Activities'!K323,462))</x:f>
        <x:v>0</x:v>
      </x:c>
      <x:c r="CE323" s="23" t="n">
        <x:f>MAX(0,MIN('Activities'!L323,474)-MAX('Activities'!K323,468))</x:f>
        <x:v>0</x:v>
      </x:c>
      <x:c r="CF323" s="23" t="n">
        <x:f>MAX(0,MIN('Activities'!L323,480)-MAX('Activities'!K323,474))</x:f>
        <x:v>0</x:v>
      </x:c>
      <x:c r="CG323" s="23" t="n">
        <x:f>MAX(0,MIN('Activities'!L323,486)-MAX('Activities'!K323,480))</x:f>
        <x:v>0</x:v>
      </x:c>
      <x:c r="CH323" s="23" t="n">
        <x:f>MAX(0,MIN('Activities'!L323,492)-MAX('Activities'!K323,486))</x:f>
        <x:v>0</x:v>
      </x:c>
      <x:c r="CI323" s="23" t="n">
        <x:f>MAX(0,MIN('Activities'!L323,498)-MAX('Activities'!K323,492))</x:f>
        <x:v>0</x:v>
      </x:c>
      <x:c r="CJ323" s="23" t="n">
        <x:f>MAX(0,MIN('Activities'!L323,504)-MAX('Activities'!K323,498))</x:f>
        <x:v>0</x:v>
      </x:c>
      <x:c r="CK323" s="23" t="n">
        <x:f>MAX(0,MIN('Activities'!L323,510)-MAX('Activities'!K323,504))</x:f>
        <x:v>0</x:v>
      </x:c>
      <x:c r="CL323" s="23" t="n">
        <x:f>MAX(0,MIN('Activities'!L323,516)-MAX('Activities'!K323,510))</x:f>
        <x:v>0</x:v>
      </x:c>
      <x:c r="CM323" s="23" t="n">
        <x:f>MAX(0,MIN('Activities'!L323,522)-MAX('Activities'!K323,516))</x:f>
        <x:v>0</x:v>
      </x:c>
      <x:c r="CN323" s="23" t="n">
        <x:f>MAX(0,MIN('Activities'!L323,528)-MAX('Activities'!K323,522))</x:f>
        <x:v>0</x:v>
      </x:c>
      <x:c r="CO323" s="23" t="n">
        <x:f>MAX(0,MIN('Activities'!L323,534)-MAX('Activities'!K323,528))</x:f>
        <x:v>0</x:v>
      </x:c>
      <x:c r="CP323" s="23" t="n">
        <x:f>MAX(0,MIN('Activities'!L323,540)-MAX('Activities'!K323,534))</x:f>
        <x:v>0</x:v>
      </x:c>
      <x:c r="CQ323" s="23" t="n">
        <x:f>MAX(0,MIN('Activities'!L323,546)-MAX('Activities'!K323,540))</x:f>
        <x:v>0</x:v>
      </x:c>
      <x:c r="CR323" s="23" t="n">
        <x:f>MAX(0,MIN('Activities'!L323,552)-MAX('Activities'!K323,546))</x:f>
        <x:v>0</x:v>
      </x:c>
      <x:c r="CS323" s="23" t="n">
        <x:f>MAX(0,MIN('Activities'!L323,558)-MAX('Activities'!K323,552))</x:f>
        <x:v>0</x:v>
      </x:c>
      <x:c r="CT323" s="23" t="n">
        <x:f>MAX(0,MIN('Activities'!L323,564)-MAX('Activities'!K323,558))</x:f>
        <x:v>0</x:v>
      </x:c>
      <x:c r="CU323" s="23" t="n">
        <x:f>MAX(0,MIN('Activities'!L323,570)-MAX('Activities'!K323,564))</x:f>
        <x:v>0</x:v>
      </x:c>
      <x:c r="CV323" s="23" t="n">
        <x:f>MAX(0,MIN('Activities'!L323,576)-MAX('Activities'!K323,570))</x:f>
        <x:v>0</x:v>
      </x:c>
      <x:c r="CW323" s="23" t="n">
        <x:f>MAX(0,MIN('Activities'!L323,582)-MAX('Activities'!K323,576))</x:f>
        <x:v>0</x:v>
      </x:c>
      <x:c r="CX323" s="23" t="n">
        <x:f>MAX(0,MIN('Activities'!L323,588)-MAX('Activities'!K323,582))</x:f>
        <x:v>0</x:v>
      </x:c>
      <x:c r="CY323" s="23" t="n">
        <x:f>MAX(0,MIN('Activities'!L323,594)-MAX('Activities'!K323,588))</x:f>
        <x:v>0</x:v>
      </x:c>
      <x:c r="CZ323" s="23" t="n">
        <x:f>MAX(0,MIN('Activities'!L323,600)-MAX('Activities'!K323,594))</x:f>
        <x:v>0</x:v>
      </x:c>
      <x:c r="DA323" s="23" t="n">
        <x:f>MAX(0,MIN('Activities'!L323,606)-MAX('Activities'!K323,600))</x:f>
        <x:v>0</x:v>
      </x:c>
      <x:c r="DB323" s="23" t="n">
        <x:f>MAX(0,MIN('Activities'!L323,612)-MAX('Activities'!K323,606))</x:f>
        <x:v>0</x:v>
      </x:c>
      <x:c r="DC323" s="23" t="n">
        <x:f>MAX(0,MIN('Activities'!L323,618)-MAX('Activities'!K323,612))</x:f>
        <x:v>0</x:v>
      </x:c>
      <x:c r="DD323" s="23" t="n">
        <x:f>MAX(0,MIN('Activities'!L323,624)-MAX('Activities'!K323,618))</x:f>
        <x:v>0</x:v>
      </x:c>
      <x:c r="DE323" s="23" t="n">
        <x:f>MAX(0,MIN('Activities'!L323,630)-MAX('Activities'!K323,624))</x:f>
        <x:v>0</x:v>
      </x:c>
      <x:c r="DF323" s="23" t="n">
        <x:f>MAX(0,MIN('Activities'!L323,636)-MAX('Activities'!K323,630))</x:f>
        <x:v>0</x:v>
      </x:c>
    </x:row>
    <x:row r="324" ht="23" customHeight="1">
      <x:c r="A324" s="6" t="str">
        <x:v>T3-L10-C</x:v>
      </x:c>
      <x:c r="B324" s="6" t="str">
        <x:v>T3</x:v>
      </x:c>
      <x:c r="C324" s="6" t="str">
        <x:v>Concrete placement and finishing</x:v>
      </x:c>
      <x:c r="D324" s="6" t="str">
        <x:v>Concrete</x:v>
      </x:c>
      <x:c r="E324" s="22" t="n">
        <x:f>MAX(0,MIN('Activities'!L324,6)-MAX('Activities'!K324,0))</x:f>
        <x:v>0</x:v>
      </x:c>
      <x:c r="F324" s="22" t="n">
        <x:f>MAX(0,MIN('Activities'!L324,12)-MAX('Activities'!K324,6))</x:f>
        <x:v>0</x:v>
      </x:c>
      <x:c r="G324" s="22" t="n">
        <x:f>MAX(0,MIN('Activities'!L324,18)-MAX('Activities'!K324,12))</x:f>
        <x:v>0</x:v>
      </x:c>
      <x:c r="H324" s="22" t="n">
        <x:f>MAX(0,MIN('Activities'!L324,24)-MAX('Activities'!K324,18))</x:f>
        <x:v>0</x:v>
      </x:c>
      <x:c r="I324" s="22" t="n">
        <x:f>MAX(0,MIN('Activities'!L324,30)-MAX('Activities'!K324,24))</x:f>
        <x:v>0</x:v>
      </x:c>
      <x:c r="J324" s="22" t="n">
        <x:f>MAX(0,MIN('Activities'!L324,36)-MAX('Activities'!K324,30))</x:f>
        <x:v>0</x:v>
      </x:c>
      <x:c r="K324" s="22" t="n">
        <x:f>MAX(0,MIN('Activities'!L324,42)-MAX('Activities'!K324,36))</x:f>
        <x:v>0</x:v>
      </x:c>
      <x:c r="L324" s="22" t="n">
        <x:f>MAX(0,MIN('Activities'!L324,48)-MAX('Activities'!K324,42))</x:f>
        <x:v>0</x:v>
      </x:c>
      <x:c r="M324" s="22" t="n">
        <x:f>MAX(0,MIN('Activities'!L324,54)-MAX('Activities'!K324,48))</x:f>
        <x:v>0</x:v>
      </x:c>
      <x:c r="N324" s="22" t="n">
        <x:f>MAX(0,MIN('Activities'!L324,60)-MAX('Activities'!K324,54))</x:f>
        <x:v>0</x:v>
      </x:c>
      <x:c r="O324" s="22" t="n">
        <x:f>MAX(0,MIN('Activities'!L324,66)-MAX('Activities'!K324,60))</x:f>
        <x:v>0</x:v>
      </x:c>
      <x:c r="P324" s="22" t="n">
        <x:f>MAX(0,MIN('Activities'!L324,72)-MAX('Activities'!K324,66))</x:f>
        <x:v>0</x:v>
      </x:c>
      <x:c r="Q324" s="22" t="n">
        <x:f>MAX(0,MIN('Activities'!L324,78)-MAX('Activities'!K324,72))</x:f>
        <x:v>0</x:v>
      </x:c>
      <x:c r="R324" s="22" t="n">
        <x:f>MAX(0,MIN('Activities'!L324,84)-MAX('Activities'!K324,78))</x:f>
        <x:v>0</x:v>
      </x:c>
      <x:c r="S324" s="22" t="n">
        <x:f>MAX(0,MIN('Activities'!L324,90)-MAX('Activities'!K324,84))</x:f>
        <x:v>0</x:v>
      </x:c>
      <x:c r="T324" s="22" t="n">
        <x:f>MAX(0,MIN('Activities'!L324,96)-MAX('Activities'!K324,90))</x:f>
        <x:v>0</x:v>
      </x:c>
      <x:c r="U324" s="22" t="n">
        <x:f>MAX(0,MIN('Activities'!L324,102)-MAX('Activities'!K324,96))</x:f>
        <x:v>0</x:v>
      </x:c>
      <x:c r="V324" s="22" t="n">
        <x:f>MAX(0,MIN('Activities'!L324,108)-MAX('Activities'!K324,102))</x:f>
        <x:v>0</x:v>
      </x:c>
      <x:c r="W324" s="22" t="n">
        <x:f>MAX(0,MIN('Activities'!L324,114)-MAX('Activities'!K324,108))</x:f>
        <x:v>0</x:v>
      </x:c>
      <x:c r="X324" s="22" t="n">
        <x:f>MAX(0,MIN('Activities'!L324,120)-MAX('Activities'!K324,114))</x:f>
        <x:v>0</x:v>
      </x:c>
      <x:c r="Y324" s="22" t="n">
        <x:f>MAX(0,MIN('Activities'!L324,126)-MAX('Activities'!K324,120))</x:f>
        <x:v>0</x:v>
      </x:c>
      <x:c r="Z324" s="22" t="n">
        <x:f>MAX(0,MIN('Activities'!L324,132)-MAX('Activities'!K324,126))</x:f>
        <x:v>0</x:v>
      </x:c>
      <x:c r="AA324" s="22" t="n">
        <x:f>MAX(0,MIN('Activities'!L324,138)-MAX('Activities'!K324,132))</x:f>
        <x:v>0</x:v>
      </x:c>
      <x:c r="AB324" s="22" t="n">
        <x:f>MAX(0,MIN('Activities'!L324,144)-MAX('Activities'!K324,138))</x:f>
        <x:v>0</x:v>
      </x:c>
      <x:c r="AC324" s="22" t="n">
        <x:f>MAX(0,MIN('Activities'!L324,150)-MAX('Activities'!K324,144))</x:f>
        <x:v>0</x:v>
      </x:c>
      <x:c r="AD324" s="22" t="n">
        <x:f>MAX(0,MIN('Activities'!L324,156)-MAX('Activities'!K324,150))</x:f>
        <x:v>0</x:v>
      </x:c>
      <x:c r="AE324" s="22" t="n">
        <x:f>MAX(0,MIN('Activities'!L324,162)-MAX('Activities'!K324,156))</x:f>
        <x:v>0</x:v>
      </x:c>
      <x:c r="AF324" s="22" t="n">
        <x:f>MAX(0,MIN('Activities'!L324,168)-MAX('Activities'!K324,162))</x:f>
        <x:v>0</x:v>
      </x:c>
      <x:c r="AG324" s="22" t="n">
        <x:f>MAX(0,MIN('Activities'!L324,174)-MAX('Activities'!K324,168))</x:f>
        <x:v>0</x:v>
      </x:c>
      <x:c r="AH324" s="22" t="n">
        <x:f>MAX(0,MIN('Activities'!L324,180)-MAX('Activities'!K324,174))</x:f>
        <x:v>0</x:v>
      </x:c>
      <x:c r="AI324" s="22" t="n">
        <x:f>MAX(0,MIN('Activities'!L324,186)-MAX('Activities'!K324,180))</x:f>
        <x:v>0</x:v>
      </x:c>
      <x:c r="AJ324" s="22" t="n">
        <x:f>MAX(0,MIN('Activities'!L324,192)-MAX('Activities'!K324,186))</x:f>
        <x:v>0</x:v>
      </x:c>
      <x:c r="AK324" s="22" t="n">
        <x:f>MAX(0,MIN('Activities'!L324,198)-MAX('Activities'!K324,192))</x:f>
        <x:v>0</x:v>
      </x:c>
      <x:c r="AL324" s="22" t="n">
        <x:f>MAX(0,MIN('Activities'!L324,204)-MAX('Activities'!K324,198))</x:f>
        <x:v>0</x:v>
      </x:c>
      <x:c r="AM324" s="22" t="n">
        <x:f>MAX(0,MIN('Activities'!L324,210)-MAX('Activities'!K324,204))</x:f>
        <x:v>0</x:v>
      </x:c>
      <x:c r="AN324" s="22" t="n">
        <x:f>MAX(0,MIN('Activities'!L324,216)-MAX('Activities'!K324,210))</x:f>
        <x:v>0</x:v>
      </x:c>
      <x:c r="AO324" s="22" t="n">
        <x:f>MAX(0,MIN('Activities'!L324,222)-MAX('Activities'!K324,216))</x:f>
        <x:v>0</x:v>
      </x:c>
      <x:c r="AP324" s="22" t="n">
        <x:f>MAX(0,MIN('Activities'!L324,228)-MAX('Activities'!K324,222))</x:f>
        <x:v>0</x:v>
      </x:c>
      <x:c r="AQ324" s="22" t="n">
        <x:f>MAX(0,MIN('Activities'!L324,234)-MAX('Activities'!K324,228))</x:f>
        <x:v>0</x:v>
      </x:c>
      <x:c r="AR324" s="22" t="n">
        <x:f>MAX(0,MIN('Activities'!L324,240)-MAX('Activities'!K324,234))</x:f>
        <x:v>0</x:v>
      </x:c>
      <x:c r="AS324" s="22" t="n">
        <x:f>MAX(0,MIN('Activities'!L324,246)-MAX('Activities'!K324,240))</x:f>
        <x:v>0</x:v>
      </x:c>
      <x:c r="AT324" s="22" t="n">
        <x:f>MAX(0,MIN('Activities'!L324,252)-MAX('Activities'!K324,246))</x:f>
        <x:v>0</x:v>
      </x:c>
      <x:c r="AU324" s="22" t="n">
        <x:f>MAX(0,MIN('Activities'!L324,258)-MAX('Activities'!K324,252))</x:f>
        <x:v>0</x:v>
      </x:c>
      <x:c r="AV324" s="22" t="n">
        <x:f>MAX(0,MIN('Activities'!L324,264)-MAX('Activities'!K324,258))</x:f>
        <x:v>0</x:v>
      </x:c>
      <x:c r="AW324" s="22" t="n">
        <x:f>MAX(0,MIN('Activities'!L324,270)-MAX('Activities'!K324,264))</x:f>
        <x:v>0</x:v>
      </x:c>
      <x:c r="AX324" s="22" t="n">
        <x:f>MAX(0,MIN('Activities'!L324,276)-MAX('Activities'!K324,270))</x:f>
        <x:v>0</x:v>
      </x:c>
      <x:c r="AY324" s="22" t="n">
        <x:f>MAX(0,MIN('Activities'!L324,282)-MAX('Activities'!K324,276))</x:f>
        <x:v>0</x:v>
      </x:c>
      <x:c r="AZ324" s="22" t="n">
        <x:f>MAX(0,MIN('Activities'!L324,288)-MAX('Activities'!K324,282))</x:f>
        <x:v>0</x:v>
      </x:c>
      <x:c r="BA324" s="22" t="n">
        <x:f>MAX(0,MIN('Activities'!L324,294)-MAX('Activities'!K324,288))</x:f>
        <x:v>0</x:v>
      </x:c>
      <x:c r="BB324" s="22" t="n">
        <x:f>MAX(0,MIN('Activities'!L324,300)-MAX('Activities'!K324,294))</x:f>
        <x:v>0</x:v>
      </x:c>
      <x:c r="BC324" s="22" t="n">
        <x:f>MAX(0,MIN('Activities'!L324,306)-MAX('Activities'!K324,300))</x:f>
        <x:v>0</x:v>
      </x:c>
      <x:c r="BD324" s="22" t="n">
        <x:f>MAX(0,MIN('Activities'!L324,312)-MAX('Activities'!K324,306))</x:f>
        <x:v>0</x:v>
      </x:c>
      <x:c r="BE324" s="22" t="n">
        <x:f>MAX(0,MIN('Activities'!L324,318)-MAX('Activities'!K324,312))</x:f>
        <x:v>0</x:v>
      </x:c>
      <x:c r="BF324" s="22" t="n">
        <x:f>MAX(0,MIN('Activities'!L324,324)-MAX('Activities'!K324,318))</x:f>
        <x:v>0</x:v>
      </x:c>
      <x:c r="BG324" s="22" t="n">
        <x:f>MAX(0,MIN('Activities'!L324,330)-MAX('Activities'!K324,324))</x:f>
        <x:v>0</x:v>
      </x:c>
      <x:c r="BH324" s="22" t="n">
        <x:f>MAX(0,MIN('Activities'!L324,336)-MAX('Activities'!K324,330))</x:f>
        <x:v>0</x:v>
      </x:c>
      <x:c r="BI324" s="22" t="n">
        <x:f>MAX(0,MIN('Activities'!L324,342)-MAX('Activities'!K324,336))</x:f>
        <x:v>0</x:v>
      </x:c>
      <x:c r="BJ324" s="22" t="n">
        <x:f>MAX(0,MIN('Activities'!L324,348)-MAX('Activities'!K324,342))</x:f>
        <x:v>0</x:v>
      </x:c>
      <x:c r="BK324" s="22" t="n">
        <x:f>MAX(0,MIN('Activities'!L324,354)-MAX('Activities'!K324,348))</x:f>
        <x:v>2</x:v>
      </x:c>
      <x:c r="BL324" s="22" t="n">
        <x:f>MAX(0,MIN('Activities'!L324,360)-MAX('Activities'!K324,354))</x:f>
        <x:v>0</x:v>
      </x:c>
      <x:c r="BM324" s="22" t="n">
        <x:f>MAX(0,MIN('Activities'!L324,366)-MAX('Activities'!K324,360))</x:f>
        <x:v>0</x:v>
      </x:c>
      <x:c r="BN324" s="22" t="n">
        <x:f>MAX(0,MIN('Activities'!L324,372)-MAX('Activities'!K324,366))</x:f>
        <x:v>0</x:v>
      </x:c>
      <x:c r="BO324" s="22" t="n">
        <x:f>MAX(0,MIN('Activities'!L324,378)-MAX('Activities'!K324,372))</x:f>
        <x:v>0</x:v>
      </x:c>
      <x:c r="BP324" s="22" t="n">
        <x:f>MAX(0,MIN('Activities'!L324,384)-MAX('Activities'!K324,378))</x:f>
        <x:v>0</x:v>
      </x:c>
      <x:c r="BQ324" s="22" t="n">
        <x:f>MAX(0,MIN('Activities'!L324,390)-MAX('Activities'!K324,384))</x:f>
        <x:v>0</x:v>
      </x:c>
      <x:c r="BR324" s="22" t="n">
        <x:f>MAX(0,MIN('Activities'!L324,396)-MAX('Activities'!K324,390))</x:f>
        <x:v>0</x:v>
      </x:c>
      <x:c r="BS324" s="22" t="n">
        <x:f>MAX(0,MIN('Activities'!L324,402)-MAX('Activities'!K324,396))</x:f>
        <x:v>0</x:v>
      </x:c>
      <x:c r="BT324" s="22" t="n">
        <x:f>MAX(0,MIN('Activities'!L324,408)-MAX('Activities'!K324,402))</x:f>
        <x:v>0</x:v>
      </x:c>
      <x:c r="BU324" s="22" t="n">
        <x:f>MAX(0,MIN('Activities'!L324,414)-MAX('Activities'!K324,408))</x:f>
        <x:v>0</x:v>
      </x:c>
      <x:c r="BV324" s="22" t="n">
        <x:f>MAX(0,MIN('Activities'!L324,420)-MAX('Activities'!K324,414))</x:f>
        <x:v>0</x:v>
      </x:c>
      <x:c r="BW324" s="22" t="n">
        <x:f>MAX(0,MIN('Activities'!L324,426)-MAX('Activities'!K324,420))</x:f>
        <x:v>0</x:v>
      </x:c>
      <x:c r="BX324" s="22" t="n">
        <x:f>MAX(0,MIN('Activities'!L324,432)-MAX('Activities'!K324,426))</x:f>
        <x:v>0</x:v>
      </x:c>
      <x:c r="BY324" s="22" t="n">
        <x:f>MAX(0,MIN('Activities'!L324,438)-MAX('Activities'!K324,432))</x:f>
        <x:v>0</x:v>
      </x:c>
      <x:c r="BZ324" s="22" t="n">
        <x:f>MAX(0,MIN('Activities'!L324,444)-MAX('Activities'!K324,438))</x:f>
        <x:v>0</x:v>
      </x:c>
      <x:c r="CA324" s="22" t="n">
        <x:f>MAX(0,MIN('Activities'!L324,450)-MAX('Activities'!K324,444))</x:f>
        <x:v>0</x:v>
      </x:c>
      <x:c r="CB324" s="22" t="n">
        <x:f>MAX(0,MIN('Activities'!L324,456)-MAX('Activities'!K324,450))</x:f>
        <x:v>0</x:v>
      </x:c>
      <x:c r="CC324" s="22" t="n">
        <x:f>MAX(0,MIN('Activities'!L324,462)-MAX('Activities'!K324,456))</x:f>
        <x:v>0</x:v>
      </x:c>
      <x:c r="CD324" s="22" t="n">
        <x:f>MAX(0,MIN('Activities'!L324,468)-MAX('Activities'!K324,462))</x:f>
        <x:v>0</x:v>
      </x:c>
      <x:c r="CE324" s="22" t="n">
        <x:f>MAX(0,MIN('Activities'!L324,474)-MAX('Activities'!K324,468))</x:f>
        <x:v>0</x:v>
      </x:c>
      <x:c r="CF324" s="22" t="n">
        <x:f>MAX(0,MIN('Activities'!L324,480)-MAX('Activities'!K324,474))</x:f>
        <x:v>0</x:v>
      </x:c>
      <x:c r="CG324" s="22" t="n">
        <x:f>MAX(0,MIN('Activities'!L324,486)-MAX('Activities'!K324,480))</x:f>
        <x:v>0</x:v>
      </x:c>
      <x:c r="CH324" s="22" t="n">
        <x:f>MAX(0,MIN('Activities'!L324,492)-MAX('Activities'!K324,486))</x:f>
        <x:v>0</x:v>
      </x:c>
      <x:c r="CI324" s="22" t="n">
        <x:f>MAX(0,MIN('Activities'!L324,498)-MAX('Activities'!K324,492))</x:f>
        <x:v>0</x:v>
      </x:c>
      <x:c r="CJ324" s="22" t="n">
        <x:f>MAX(0,MIN('Activities'!L324,504)-MAX('Activities'!K324,498))</x:f>
        <x:v>0</x:v>
      </x:c>
      <x:c r="CK324" s="22" t="n">
        <x:f>MAX(0,MIN('Activities'!L324,510)-MAX('Activities'!K324,504))</x:f>
        <x:v>0</x:v>
      </x:c>
      <x:c r="CL324" s="22" t="n">
        <x:f>MAX(0,MIN('Activities'!L324,516)-MAX('Activities'!K324,510))</x:f>
        <x:v>0</x:v>
      </x:c>
      <x:c r="CM324" s="22" t="n">
        <x:f>MAX(0,MIN('Activities'!L324,522)-MAX('Activities'!K324,516))</x:f>
        <x:v>0</x:v>
      </x:c>
      <x:c r="CN324" s="22" t="n">
        <x:f>MAX(0,MIN('Activities'!L324,528)-MAX('Activities'!K324,522))</x:f>
        <x:v>0</x:v>
      </x:c>
      <x:c r="CO324" s="22" t="n">
        <x:f>MAX(0,MIN('Activities'!L324,534)-MAX('Activities'!K324,528))</x:f>
        <x:v>0</x:v>
      </x:c>
      <x:c r="CP324" s="22" t="n">
        <x:f>MAX(0,MIN('Activities'!L324,540)-MAX('Activities'!K324,534))</x:f>
        <x:v>0</x:v>
      </x:c>
      <x:c r="CQ324" s="22" t="n">
        <x:f>MAX(0,MIN('Activities'!L324,546)-MAX('Activities'!K324,540))</x:f>
        <x:v>0</x:v>
      </x:c>
      <x:c r="CR324" s="22" t="n">
        <x:f>MAX(0,MIN('Activities'!L324,552)-MAX('Activities'!K324,546))</x:f>
        <x:v>0</x:v>
      </x:c>
      <x:c r="CS324" s="22" t="n">
        <x:f>MAX(0,MIN('Activities'!L324,558)-MAX('Activities'!K324,552))</x:f>
        <x:v>0</x:v>
      </x:c>
      <x:c r="CT324" s="22" t="n">
        <x:f>MAX(0,MIN('Activities'!L324,564)-MAX('Activities'!K324,558))</x:f>
        <x:v>0</x:v>
      </x:c>
      <x:c r="CU324" s="22" t="n">
        <x:f>MAX(0,MIN('Activities'!L324,570)-MAX('Activities'!K324,564))</x:f>
        <x:v>0</x:v>
      </x:c>
      <x:c r="CV324" s="22" t="n">
        <x:f>MAX(0,MIN('Activities'!L324,576)-MAX('Activities'!K324,570))</x:f>
        <x:v>0</x:v>
      </x:c>
      <x:c r="CW324" s="22" t="n">
        <x:f>MAX(0,MIN('Activities'!L324,582)-MAX('Activities'!K324,576))</x:f>
        <x:v>0</x:v>
      </x:c>
      <x:c r="CX324" s="22" t="n">
        <x:f>MAX(0,MIN('Activities'!L324,588)-MAX('Activities'!K324,582))</x:f>
        <x:v>0</x:v>
      </x:c>
      <x:c r="CY324" s="22" t="n">
        <x:f>MAX(0,MIN('Activities'!L324,594)-MAX('Activities'!K324,588))</x:f>
        <x:v>0</x:v>
      </x:c>
      <x:c r="CZ324" s="22" t="n">
        <x:f>MAX(0,MIN('Activities'!L324,600)-MAX('Activities'!K324,594))</x:f>
        <x:v>0</x:v>
      </x:c>
      <x:c r="DA324" s="22" t="n">
        <x:f>MAX(0,MIN('Activities'!L324,606)-MAX('Activities'!K324,600))</x:f>
        <x:v>0</x:v>
      </x:c>
      <x:c r="DB324" s="22" t="n">
        <x:f>MAX(0,MIN('Activities'!L324,612)-MAX('Activities'!K324,606))</x:f>
        <x:v>0</x:v>
      </x:c>
      <x:c r="DC324" s="22" t="n">
        <x:f>MAX(0,MIN('Activities'!L324,618)-MAX('Activities'!K324,612))</x:f>
        <x:v>0</x:v>
      </x:c>
      <x:c r="DD324" s="22" t="n">
        <x:f>MAX(0,MIN('Activities'!L324,624)-MAX('Activities'!K324,618))</x:f>
        <x:v>0</x:v>
      </x:c>
      <x:c r="DE324" s="22" t="n">
        <x:f>MAX(0,MIN('Activities'!L324,630)-MAX('Activities'!K324,624))</x:f>
        <x:v>0</x:v>
      </x:c>
      <x:c r="DF324" s="22" t="n">
        <x:f>MAX(0,MIN('Activities'!L324,636)-MAX('Activities'!K324,630))</x:f>
        <x:v>0</x:v>
      </x:c>
    </x:row>
    <x:row r="325" ht="23" customHeight="1">
      <x:c r="A325" s="1" t="str">
        <x:v>T3-L10-H</x:v>
      </x:c>
      <x:c r="B325" s="1" t="str">
        <x:v>T3</x:v>
      </x:c>
      <x:c r="C325" s="1" t="str">
        <x:v>Curing and release hold point</x:v>
      </x:c>
      <x:c r="D325" s="1" t="str">
        <x:v>Site</x:v>
      </x:c>
      <x:c r="E325" s="23" t="n">
        <x:f>MAX(0,MIN('Activities'!L325,6)-MAX('Activities'!K325,0))</x:f>
        <x:v>0</x:v>
      </x:c>
      <x:c r="F325" s="23" t="n">
        <x:f>MAX(0,MIN('Activities'!L325,12)-MAX('Activities'!K325,6))</x:f>
        <x:v>0</x:v>
      </x:c>
      <x:c r="G325" s="23" t="n">
        <x:f>MAX(0,MIN('Activities'!L325,18)-MAX('Activities'!K325,12))</x:f>
        <x:v>0</x:v>
      </x:c>
      <x:c r="H325" s="23" t="n">
        <x:f>MAX(0,MIN('Activities'!L325,24)-MAX('Activities'!K325,18))</x:f>
        <x:v>0</x:v>
      </x:c>
      <x:c r="I325" s="23" t="n">
        <x:f>MAX(0,MIN('Activities'!L325,30)-MAX('Activities'!K325,24))</x:f>
        <x:v>0</x:v>
      </x:c>
      <x:c r="J325" s="23" t="n">
        <x:f>MAX(0,MIN('Activities'!L325,36)-MAX('Activities'!K325,30))</x:f>
        <x:v>0</x:v>
      </x:c>
      <x:c r="K325" s="23" t="n">
        <x:f>MAX(0,MIN('Activities'!L325,42)-MAX('Activities'!K325,36))</x:f>
        <x:v>0</x:v>
      </x:c>
      <x:c r="L325" s="23" t="n">
        <x:f>MAX(0,MIN('Activities'!L325,48)-MAX('Activities'!K325,42))</x:f>
        <x:v>0</x:v>
      </x:c>
      <x:c r="M325" s="23" t="n">
        <x:f>MAX(0,MIN('Activities'!L325,54)-MAX('Activities'!K325,48))</x:f>
        <x:v>0</x:v>
      </x:c>
      <x:c r="N325" s="23" t="n">
        <x:f>MAX(0,MIN('Activities'!L325,60)-MAX('Activities'!K325,54))</x:f>
        <x:v>0</x:v>
      </x:c>
      <x:c r="O325" s="23" t="n">
        <x:f>MAX(0,MIN('Activities'!L325,66)-MAX('Activities'!K325,60))</x:f>
        <x:v>0</x:v>
      </x:c>
      <x:c r="P325" s="23" t="n">
        <x:f>MAX(0,MIN('Activities'!L325,72)-MAX('Activities'!K325,66))</x:f>
        <x:v>0</x:v>
      </x:c>
      <x:c r="Q325" s="23" t="n">
        <x:f>MAX(0,MIN('Activities'!L325,78)-MAX('Activities'!K325,72))</x:f>
        <x:v>0</x:v>
      </x:c>
      <x:c r="R325" s="23" t="n">
        <x:f>MAX(0,MIN('Activities'!L325,84)-MAX('Activities'!K325,78))</x:f>
        <x:v>0</x:v>
      </x:c>
      <x:c r="S325" s="23" t="n">
        <x:f>MAX(0,MIN('Activities'!L325,90)-MAX('Activities'!K325,84))</x:f>
        <x:v>0</x:v>
      </x:c>
      <x:c r="T325" s="23" t="n">
        <x:f>MAX(0,MIN('Activities'!L325,96)-MAX('Activities'!K325,90))</x:f>
        <x:v>0</x:v>
      </x:c>
      <x:c r="U325" s="23" t="n">
        <x:f>MAX(0,MIN('Activities'!L325,102)-MAX('Activities'!K325,96))</x:f>
        <x:v>0</x:v>
      </x:c>
      <x:c r="V325" s="23" t="n">
        <x:f>MAX(0,MIN('Activities'!L325,108)-MAX('Activities'!K325,102))</x:f>
        <x:v>0</x:v>
      </x:c>
      <x:c r="W325" s="23" t="n">
        <x:f>MAX(0,MIN('Activities'!L325,114)-MAX('Activities'!K325,108))</x:f>
        <x:v>0</x:v>
      </x:c>
      <x:c r="X325" s="23" t="n">
        <x:f>MAX(0,MIN('Activities'!L325,120)-MAX('Activities'!K325,114))</x:f>
        <x:v>0</x:v>
      </x:c>
      <x:c r="Y325" s="23" t="n">
        <x:f>MAX(0,MIN('Activities'!L325,126)-MAX('Activities'!K325,120))</x:f>
        <x:v>0</x:v>
      </x:c>
      <x:c r="Z325" s="23" t="n">
        <x:f>MAX(0,MIN('Activities'!L325,132)-MAX('Activities'!K325,126))</x:f>
        <x:v>0</x:v>
      </x:c>
      <x:c r="AA325" s="23" t="n">
        <x:f>MAX(0,MIN('Activities'!L325,138)-MAX('Activities'!K325,132))</x:f>
        <x:v>0</x:v>
      </x:c>
      <x:c r="AB325" s="23" t="n">
        <x:f>MAX(0,MIN('Activities'!L325,144)-MAX('Activities'!K325,138))</x:f>
        <x:v>0</x:v>
      </x:c>
      <x:c r="AC325" s="23" t="n">
        <x:f>MAX(0,MIN('Activities'!L325,150)-MAX('Activities'!K325,144))</x:f>
        <x:v>0</x:v>
      </x:c>
      <x:c r="AD325" s="23" t="n">
        <x:f>MAX(0,MIN('Activities'!L325,156)-MAX('Activities'!K325,150))</x:f>
        <x:v>0</x:v>
      </x:c>
      <x:c r="AE325" s="23" t="n">
        <x:f>MAX(0,MIN('Activities'!L325,162)-MAX('Activities'!K325,156))</x:f>
        <x:v>0</x:v>
      </x:c>
      <x:c r="AF325" s="23" t="n">
        <x:f>MAX(0,MIN('Activities'!L325,168)-MAX('Activities'!K325,162))</x:f>
        <x:v>0</x:v>
      </x:c>
      <x:c r="AG325" s="23" t="n">
        <x:f>MAX(0,MIN('Activities'!L325,174)-MAX('Activities'!K325,168))</x:f>
        <x:v>0</x:v>
      </x:c>
      <x:c r="AH325" s="23" t="n">
        <x:f>MAX(0,MIN('Activities'!L325,180)-MAX('Activities'!K325,174))</x:f>
        <x:v>0</x:v>
      </x:c>
      <x:c r="AI325" s="23" t="n">
        <x:f>MAX(0,MIN('Activities'!L325,186)-MAX('Activities'!K325,180))</x:f>
        <x:v>0</x:v>
      </x:c>
      <x:c r="AJ325" s="23" t="n">
        <x:f>MAX(0,MIN('Activities'!L325,192)-MAX('Activities'!K325,186))</x:f>
        <x:v>0</x:v>
      </x:c>
      <x:c r="AK325" s="23" t="n">
        <x:f>MAX(0,MIN('Activities'!L325,198)-MAX('Activities'!K325,192))</x:f>
        <x:v>0</x:v>
      </x:c>
      <x:c r="AL325" s="23" t="n">
        <x:f>MAX(0,MIN('Activities'!L325,204)-MAX('Activities'!K325,198))</x:f>
        <x:v>0</x:v>
      </x:c>
      <x:c r="AM325" s="23" t="n">
        <x:f>MAX(0,MIN('Activities'!L325,210)-MAX('Activities'!K325,204))</x:f>
        <x:v>0</x:v>
      </x:c>
      <x:c r="AN325" s="23" t="n">
        <x:f>MAX(0,MIN('Activities'!L325,216)-MAX('Activities'!K325,210))</x:f>
        <x:v>0</x:v>
      </x:c>
      <x:c r="AO325" s="23" t="n">
        <x:f>MAX(0,MIN('Activities'!L325,222)-MAX('Activities'!K325,216))</x:f>
        <x:v>0</x:v>
      </x:c>
      <x:c r="AP325" s="23" t="n">
        <x:f>MAX(0,MIN('Activities'!L325,228)-MAX('Activities'!K325,222))</x:f>
        <x:v>0</x:v>
      </x:c>
      <x:c r="AQ325" s="23" t="n">
        <x:f>MAX(0,MIN('Activities'!L325,234)-MAX('Activities'!K325,228))</x:f>
        <x:v>0</x:v>
      </x:c>
      <x:c r="AR325" s="23" t="n">
        <x:f>MAX(0,MIN('Activities'!L325,240)-MAX('Activities'!K325,234))</x:f>
        <x:v>0</x:v>
      </x:c>
      <x:c r="AS325" s="23" t="n">
        <x:f>MAX(0,MIN('Activities'!L325,246)-MAX('Activities'!K325,240))</x:f>
        <x:v>0</x:v>
      </x:c>
      <x:c r="AT325" s="23" t="n">
        <x:f>MAX(0,MIN('Activities'!L325,252)-MAX('Activities'!K325,246))</x:f>
        <x:v>0</x:v>
      </x:c>
      <x:c r="AU325" s="23" t="n">
        <x:f>MAX(0,MIN('Activities'!L325,258)-MAX('Activities'!K325,252))</x:f>
        <x:v>0</x:v>
      </x:c>
      <x:c r="AV325" s="23" t="n">
        <x:f>MAX(0,MIN('Activities'!L325,264)-MAX('Activities'!K325,258))</x:f>
        <x:v>0</x:v>
      </x:c>
      <x:c r="AW325" s="23" t="n">
        <x:f>MAX(0,MIN('Activities'!L325,270)-MAX('Activities'!K325,264))</x:f>
        <x:v>0</x:v>
      </x:c>
      <x:c r="AX325" s="23" t="n">
        <x:f>MAX(0,MIN('Activities'!L325,276)-MAX('Activities'!K325,270))</x:f>
        <x:v>0</x:v>
      </x:c>
      <x:c r="AY325" s="23" t="n">
        <x:f>MAX(0,MIN('Activities'!L325,282)-MAX('Activities'!K325,276))</x:f>
        <x:v>0</x:v>
      </x:c>
      <x:c r="AZ325" s="23" t="n">
        <x:f>MAX(0,MIN('Activities'!L325,288)-MAX('Activities'!K325,282))</x:f>
        <x:v>0</x:v>
      </x:c>
      <x:c r="BA325" s="23" t="n">
        <x:f>MAX(0,MIN('Activities'!L325,294)-MAX('Activities'!K325,288))</x:f>
        <x:v>0</x:v>
      </x:c>
      <x:c r="BB325" s="23" t="n">
        <x:f>MAX(0,MIN('Activities'!L325,300)-MAX('Activities'!K325,294))</x:f>
        <x:v>0</x:v>
      </x:c>
      <x:c r="BC325" s="23" t="n">
        <x:f>MAX(0,MIN('Activities'!L325,306)-MAX('Activities'!K325,300))</x:f>
        <x:v>0</x:v>
      </x:c>
      <x:c r="BD325" s="23" t="n">
        <x:f>MAX(0,MIN('Activities'!L325,312)-MAX('Activities'!K325,306))</x:f>
        <x:v>0</x:v>
      </x:c>
      <x:c r="BE325" s="23" t="n">
        <x:f>MAX(0,MIN('Activities'!L325,318)-MAX('Activities'!K325,312))</x:f>
        <x:v>0</x:v>
      </x:c>
      <x:c r="BF325" s="23" t="n">
        <x:f>MAX(0,MIN('Activities'!L325,324)-MAX('Activities'!K325,318))</x:f>
        <x:v>0</x:v>
      </x:c>
      <x:c r="BG325" s="23" t="n">
        <x:f>MAX(0,MIN('Activities'!L325,330)-MAX('Activities'!K325,324))</x:f>
        <x:v>0</x:v>
      </x:c>
      <x:c r="BH325" s="23" t="n">
        <x:f>MAX(0,MIN('Activities'!L325,336)-MAX('Activities'!K325,330))</x:f>
        <x:v>0</x:v>
      </x:c>
      <x:c r="BI325" s="23" t="n">
        <x:f>MAX(0,MIN('Activities'!L325,342)-MAX('Activities'!K325,336))</x:f>
        <x:v>0</x:v>
      </x:c>
      <x:c r="BJ325" s="23" t="n">
        <x:f>MAX(0,MIN('Activities'!L325,348)-MAX('Activities'!K325,342))</x:f>
        <x:v>0</x:v>
      </x:c>
      <x:c r="BK325" s="23" t="n">
        <x:f>MAX(0,MIN('Activities'!L325,354)-MAX('Activities'!K325,348))</x:f>
        <x:v>3</x:v>
      </x:c>
      <x:c r="BL325" s="23" t="n">
        <x:f>MAX(0,MIN('Activities'!L325,360)-MAX('Activities'!K325,354))</x:f>
        <x:v>2</x:v>
      </x:c>
      <x:c r="BM325" s="23" t="n">
        <x:f>MAX(0,MIN('Activities'!L325,366)-MAX('Activities'!K325,360))</x:f>
        <x:v>0</x:v>
      </x:c>
      <x:c r="BN325" s="23" t="n">
        <x:f>MAX(0,MIN('Activities'!L325,372)-MAX('Activities'!K325,366))</x:f>
        <x:v>0</x:v>
      </x:c>
      <x:c r="BO325" s="23" t="n">
        <x:f>MAX(0,MIN('Activities'!L325,378)-MAX('Activities'!K325,372))</x:f>
        <x:v>0</x:v>
      </x:c>
      <x:c r="BP325" s="23" t="n">
        <x:f>MAX(0,MIN('Activities'!L325,384)-MAX('Activities'!K325,378))</x:f>
        <x:v>0</x:v>
      </x:c>
      <x:c r="BQ325" s="23" t="n">
        <x:f>MAX(0,MIN('Activities'!L325,390)-MAX('Activities'!K325,384))</x:f>
        <x:v>0</x:v>
      </x:c>
      <x:c r="BR325" s="23" t="n">
        <x:f>MAX(0,MIN('Activities'!L325,396)-MAX('Activities'!K325,390))</x:f>
        <x:v>0</x:v>
      </x:c>
      <x:c r="BS325" s="23" t="n">
        <x:f>MAX(0,MIN('Activities'!L325,402)-MAX('Activities'!K325,396))</x:f>
        <x:v>0</x:v>
      </x:c>
      <x:c r="BT325" s="23" t="n">
        <x:f>MAX(0,MIN('Activities'!L325,408)-MAX('Activities'!K325,402))</x:f>
        <x:v>0</x:v>
      </x:c>
      <x:c r="BU325" s="23" t="n">
        <x:f>MAX(0,MIN('Activities'!L325,414)-MAX('Activities'!K325,408))</x:f>
        <x:v>0</x:v>
      </x:c>
      <x:c r="BV325" s="23" t="n">
        <x:f>MAX(0,MIN('Activities'!L325,420)-MAX('Activities'!K325,414))</x:f>
        <x:v>0</x:v>
      </x:c>
      <x:c r="BW325" s="23" t="n">
        <x:f>MAX(0,MIN('Activities'!L325,426)-MAX('Activities'!K325,420))</x:f>
        <x:v>0</x:v>
      </x:c>
      <x:c r="BX325" s="23" t="n">
        <x:f>MAX(0,MIN('Activities'!L325,432)-MAX('Activities'!K325,426))</x:f>
        <x:v>0</x:v>
      </x:c>
      <x:c r="BY325" s="23" t="n">
        <x:f>MAX(0,MIN('Activities'!L325,438)-MAX('Activities'!K325,432))</x:f>
        <x:v>0</x:v>
      </x:c>
      <x:c r="BZ325" s="23" t="n">
        <x:f>MAX(0,MIN('Activities'!L325,444)-MAX('Activities'!K325,438))</x:f>
        <x:v>0</x:v>
      </x:c>
      <x:c r="CA325" s="23" t="n">
        <x:f>MAX(0,MIN('Activities'!L325,450)-MAX('Activities'!K325,444))</x:f>
        <x:v>0</x:v>
      </x:c>
      <x:c r="CB325" s="23" t="n">
        <x:f>MAX(0,MIN('Activities'!L325,456)-MAX('Activities'!K325,450))</x:f>
        <x:v>0</x:v>
      </x:c>
      <x:c r="CC325" s="23" t="n">
        <x:f>MAX(0,MIN('Activities'!L325,462)-MAX('Activities'!K325,456))</x:f>
        <x:v>0</x:v>
      </x:c>
      <x:c r="CD325" s="23" t="n">
        <x:f>MAX(0,MIN('Activities'!L325,468)-MAX('Activities'!K325,462))</x:f>
        <x:v>0</x:v>
      </x:c>
      <x:c r="CE325" s="23" t="n">
        <x:f>MAX(0,MIN('Activities'!L325,474)-MAX('Activities'!K325,468))</x:f>
        <x:v>0</x:v>
      </x:c>
      <x:c r="CF325" s="23" t="n">
        <x:f>MAX(0,MIN('Activities'!L325,480)-MAX('Activities'!K325,474))</x:f>
        <x:v>0</x:v>
      </x:c>
      <x:c r="CG325" s="23" t="n">
        <x:f>MAX(0,MIN('Activities'!L325,486)-MAX('Activities'!K325,480))</x:f>
        <x:v>0</x:v>
      </x:c>
      <x:c r="CH325" s="23" t="n">
        <x:f>MAX(0,MIN('Activities'!L325,492)-MAX('Activities'!K325,486))</x:f>
        <x:v>0</x:v>
      </x:c>
      <x:c r="CI325" s="23" t="n">
        <x:f>MAX(0,MIN('Activities'!L325,498)-MAX('Activities'!K325,492))</x:f>
        <x:v>0</x:v>
      </x:c>
      <x:c r="CJ325" s="23" t="n">
        <x:f>MAX(0,MIN('Activities'!L325,504)-MAX('Activities'!K325,498))</x:f>
        <x:v>0</x:v>
      </x:c>
      <x:c r="CK325" s="23" t="n">
        <x:f>MAX(0,MIN('Activities'!L325,510)-MAX('Activities'!K325,504))</x:f>
        <x:v>0</x:v>
      </x:c>
      <x:c r="CL325" s="23" t="n">
        <x:f>MAX(0,MIN('Activities'!L325,516)-MAX('Activities'!K325,510))</x:f>
        <x:v>0</x:v>
      </x:c>
      <x:c r="CM325" s="23" t="n">
        <x:f>MAX(0,MIN('Activities'!L325,522)-MAX('Activities'!K325,516))</x:f>
        <x:v>0</x:v>
      </x:c>
      <x:c r="CN325" s="23" t="n">
        <x:f>MAX(0,MIN('Activities'!L325,528)-MAX('Activities'!K325,522))</x:f>
        <x:v>0</x:v>
      </x:c>
      <x:c r="CO325" s="23" t="n">
        <x:f>MAX(0,MIN('Activities'!L325,534)-MAX('Activities'!K325,528))</x:f>
        <x:v>0</x:v>
      </x:c>
      <x:c r="CP325" s="23" t="n">
        <x:f>MAX(0,MIN('Activities'!L325,540)-MAX('Activities'!K325,534))</x:f>
        <x:v>0</x:v>
      </x:c>
      <x:c r="CQ325" s="23" t="n">
        <x:f>MAX(0,MIN('Activities'!L325,546)-MAX('Activities'!K325,540))</x:f>
        <x:v>0</x:v>
      </x:c>
      <x:c r="CR325" s="23" t="n">
        <x:f>MAX(0,MIN('Activities'!L325,552)-MAX('Activities'!K325,546))</x:f>
        <x:v>0</x:v>
      </x:c>
      <x:c r="CS325" s="23" t="n">
        <x:f>MAX(0,MIN('Activities'!L325,558)-MAX('Activities'!K325,552))</x:f>
        <x:v>0</x:v>
      </x:c>
      <x:c r="CT325" s="23" t="n">
        <x:f>MAX(0,MIN('Activities'!L325,564)-MAX('Activities'!K325,558))</x:f>
        <x:v>0</x:v>
      </x:c>
      <x:c r="CU325" s="23" t="n">
        <x:f>MAX(0,MIN('Activities'!L325,570)-MAX('Activities'!K325,564))</x:f>
        <x:v>0</x:v>
      </x:c>
      <x:c r="CV325" s="23" t="n">
        <x:f>MAX(0,MIN('Activities'!L325,576)-MAX('Activities'!K325,570))</x:f>
        <x:v>0</x:v>
      </x:c>
      <x:c r="CW325" s="23" t="n">
        <x:f>MAX(0,MIN('Activities'!L325,582)-MAX('Activities'!K325,576))</x:f>
        <x:v>0</x:v>
      </x:c>
      <x:c r="CX325" s="23" t="n">
        <x:f>MAX(0,MIN('Activities'!L325,588)-MAX('Activities'!K325,582))</x:f>
        <x:v>0</x:v>
      </x:c>
      <x:c r="CY325" s="23" t="n">
        <x:f>MAX(0,MIN('Activities'!L325,594)-MAX('Activities'!K325,588))</x:f>
        <x:v>0</x:v>
      </x:c>
      <x:c r="CZ325" s="23" t="n">
        <x:f>MAX(0,MIN('Activities'!L325,600)-MAX('Activities'!K325,594))</x:f>
        <x:v>0</x:v>
      </x:c>
      <x:c r="DA325" s="23" t="n">
        <x:f>MAX(0,MIN('Activities'!L325,606)-MAX('Activities'!K325,600))</x:f>
        <x:v>0</x:v>
      </x:c>
      <x:c r="DB325" s="23" t="n">
        <x:f>MAX(0,MIN('Activities'!L325,612)-MAX('Activities'!K325,606))</x:f>
        <x:v>0</x:v>
      </x:c>
      <x:c r="DC325" s="23" t="n">
        <x:f>MAX(0,MIN('Activities'!L325,618)-MAX('Activities'!K325,612))</x:f>
        <x:v>0</x:v>
      </x:c>
      <x:c r="DD325" s="23" t="n">
        <x:f>MAX(0,MIN('Activities'!L325,624)-MAX('Activities'!K325,618))</x:f>
        <x:v>0</x:v>
      </x:c>
      <x:c r="DE325" s="23" t="n">
        <x:f>MAX(0,MIN('Activities'!L325,630)-MAX('Activities'!K325,624))</x:f>
        <x:v>0</x:v>
      </x:c>
      <x:c r="DF325" s="23" t="n">
        <x:f>MAX(0,MIN('Activities'!L325,636)-MAX('Activities'!K325,630))</x:f>
        <x:v>0</x:v>
      </x:c>
    </x:row>
    <x:row r="326" ht="23" customHeight="1">
      <x:c r="A326" s="6" t="str">
        <x:v>T3-L11-F</x:v>
      </x:c>
      <x:c r="B326" s="6" t="str">
        <x:v>T3</x:v>
      </x:c>
      <x:c r="C326" s="6" t="str">
        <x:v>Columns, core and deck formwork</x:v>
      </x:c>
      <x:c r="D326" s="6" t="str">
        <x:v>Formwork</x:v>
      </x:c>
      <x:c r="E326" s="22" t="n">
        <x:f>MAX(0,MIN('Activities'!L326,6)-MAX('Activities'!K326,0))</x:f>
        <x:v>0</x:v>
      </x:c>
      <x:c r="F326" s="22" t="n">
        <x:f>MAX(0,MIN('Activities'!L326,12)-MAX('Activities'!K326,6))</x:f>
        <x:v>0</x:v>
      </x:c>
      <x:c r="G326" s="22" t="n">
        <x:f>MAX(0,MIN('Activities'!L326,18)-MAX('Activities'!K326,12))</x:f>
        <x:v>0</x:v>
      </x:c>
      <x:c r="H326" s="22" t="n">
        <x:f>MAX(0,MIN('Activities'!L326,24)-MAX('Activities'!K326,18))</x:f>
        <x:v>0</x:v>
      </x:c>
      <x:c r="I326" s="22" t="n">
        <x:f>MAX(0,MIN('Activities'!L326,30)-MAX('Activities'!K326,24))</x:f>
        <x:v>0</x:v>
      </x:c>
      <x:c r="J326" s="22" t="n">
        <x:f>MAX(0,MIN('Activities'!L326,36)-MAX('Activities'!K326,30))</x:f>
        <x:v>0</x:v>
      </x:c>
      <x:c r="K326" s="22" t="n">
        <x:f>MAX(0,MIN('Activities'!L326,42)-MAX('Activities'!K326,36))</x:f>
        <x:v>0</x:v>
      </x:c>
      <x:c r="L326" s="22" t="n">
        <x:f>MAX(0,MIN('Activities'!L326,48)-MAX('Activities'!K326,42))</x:f>
        <x:v>0</x:v>
      </x:c>
      <x:c r="M326" s="22" t="n">
        <x:f>MAX(0,MIN('Activities'!L326,54)-MAX('Activities'!K326,48))</x:f>
        <x:v>0</x:v>
      </x:c>
      <x:c r="N326" s="22" t="n">
        <x:f>MAX(0,MIN('Activities'!L326,60)-MAX('Activities'!K326,54))</x:f>
        <x:v>0</x:v>
      </x:c>
      <x:c r="O326" s="22" t="n">
        <x:f>MAX(0,MIN('Activities'!L326,66)-MAX('Activities'!K326,60))</x:f>
        <x:v>0</x:v>
      </x:c>
      <x:c r="P326" s="22" t="n">
        <x:f>MAX(0,MIN('Activities'!L326,72)-MAX('Activities'!K326,66))</x:f>
        <x:v>0</x:v>
      </x:c>
      <x:c r="Q326" s="22" t="n">
        <x:f>MAX(0,MIN('Activities'!L326,78)-MAX('Activities'!K326,72))</x:f>
        <x:v>0</x:v>
      </x:c>
      <x:c r="R326" s="22" t="n">
        <x:f>MAX(0,MIN('Activities'!L326,84)-MAX('Activities'!K326,78))</x:f>
        <x:v>0</x:v>
      </x:c>
      <x:c r="S326" s="22" t="n">
        <x:f>MAX(0,MIN('Activities'!L326,90)-MAX('Activities'!K326,84))</x:f>
        <x:v>0</x:v>
      </x:c>
      <x:c r="T326" s="22" t="n">
        <x:f>MAX(0,MIN('Activities'!L326,96)-MAX('Activities'!K326,90))</x:f>
        <x:v>0</x:v>
      </x:c>
      <x:c r="U326" s="22" t="n">
        <x:f>MAX(0,MIN('Activities'!L326,102)-MAX('Activities'!K326,96))</x:f>
        <x:v>0</x:v>
      </x:c>
      <x:c r="V326" s="22" t="n">
        <x:f>MAX(0,MIN('Activities'!L326,108)-MAX('Activities'!K326,102))</x:f>
        <x:v>0</x:v>
      </x:c>
      <x:c r="W326" s="22" t="n">
        <x:f>MAX(0,MIN('Activities'!L326,114)-MAX('Activities'!K326,108))</x:f>
        <x:v>0</x:v>
      </x:c>
      <x:c r="X326" s="22" t="n">
        <x:f>MAX(0,MIN('Activities'!L326,120)-MAX('Activities'!K326,114))</x:f>
        <x:v>0</x:v>
      </x:c>
      <x:c r="Y326" s="22" t="n">
        <x:f>MAX(0,MIN('Activities'!L326,126)-MAX('Activities'!K326,120))</x:f>
        <x:v>0</x:v>
      </x:c>
      <x:c r="Z326" s="22" t="n">
        <x:f>MAX(0,MIN('Activities'!L326,132)-MAX('Activities'!K326,126))</x:f>
        <x:v>0</x:v>
      </x:c>
      <x:c r="AA326" s="22" t="n">
        <x:f>MAX(0,MIN('Activities'!L326,138)-MAX('Activities'!K326,132))</x:f>
        <x:v>0</x:v>
      </x:c>
      <x:c r="AB326" s="22" t="n">
        <x:f>MAX(0,MIN('Activities'!L326,144)-MAX('Activities'!K326,138))</x:f>
        <x:v>0</x:v>
      </x:c>
      <x:c r="AC326" s="22" t="n">
        <x:f>MAX(0,MIN('Activities'!L326,150)-MAX('Activities'!K326,144))</x:f>
        <x:v>0</x:v>
      </x:c>
      <x:c r="AD326" s="22" t="n">
        <x:f>MAX(0,MIN('Activities'!L326,156)-MAX('Activities'!K326,150))</x:f>
        <x:v>0</x:v>
      </x:c>
      <x:c r="AE326" s="22" t="n">
        <x:f>MAX(0,MIN('Activities'!L326,162)-MAX('Activities'!K326,156))</x:f>
        <x:v>0</x:v>
      </x:c>
      <x:c r="AF326" s="22" t="n">
        <x:f>MAX(0,MIN('Activities'!L326,168)-MAX('Activities'!K326,162))</x:f>
        <x:v>0</x:v>
      </x:c>
      <x:c r="AG326" s="22" t="n">
        <x:f>MAX(0,MIN('Activities'!L326,174)-MAX('Activities'!K326,168))</x:f>
        <x:v>0</x:v>
      </x:c>
      <x:c r="AH326" s="22" t="n">
        <x:f>MAX(0,MIN('Activities'!L326,180)-MAX('Activities'!K326,174))</x:f>
        <x:v>0</x:v>
      </x:c>
      <x:c r="AI326" s="22" t="n">
        <x:f>MAX(0,MIN('Activities'!L326,186)-MAX('Activities'!K326,180))</x:f>
        <x:v>0</x:v>
      </x:c>
      <x:c r="AJ326" s="22" t="n">
        <x:f>MAX(0,MIN('Activities'!L326,192)-MAX('Activities'!K326,186))</x:f>
        <x:v>0</x:v>
      </x:c>
      <x:c r="AK326" s="22" t="n">
        <x:f>MAX(0,MIN('Activities'!L326,198)-MAX('Activities'!K326,192))</x:f>
        <x:v>0</x:v>
      </x:c>
      <x:c r="AL326" s="22" t="n">
        <x:f>MAX(0,MIN('Activities'!L326,204)-MAX('Activities'!K326,198))</x:f>
        <x:v>0</x:v>
      </x:c>
      <x:c r="AM326" s="22" t="n">
        <x:f>MAX(0,MIN('Activities'!L326,210)-MAX('Activities'!K326,204))</x:f>
        <x:v>0</x:v>
      </x:c>
      <x:c r="AN326" s="22" t="n">
        <x:f>MAX(0,MIN('Activities'!L326,216)-MAX('Activities'!K326,210))</x:f>
        <x:v>0</x:v>
      </x:c>
      <x:c r="AO326" s="22" t="n">
        <x:f>MAX(0,MIN('Activities'!L326,222)-MAX('Activities'!K326,216))</x:f>
        <x:v>0</x:v>
      </x:c>
      <x:c r="AP326" s="22" t="n">
        <x:f>MAX(0,MIN('Activities'!L326,228)-MAX('Activities'!K326,222))</x:f>
        <x:v>0</x:v>
      </x:c>
      <x:c r="AQ326" s="22" t="n">
        <x:f>MAX(0,MIN('Activities'!L326,234)-MAX('Activities'!K326,228))</x:f>
        <x:v>0</x:v>
      </x:c>
      <x:c r="AR326" s="22" t="n">
        <x:f>MAX(0,MIN('Activities'!L326,240)-MAX('Activities'!K326,234))</x:f>
        <x:v>0</x:v>
      </x:c>
      <x:c r="AS326" s="22" t="n">
        <x:f>MAX(0,MIN('Activities'!L326,246)-MAX('Activities'!K326,240))</x:f>
        <x:v>0</x:v>
      </x:c>
      <x:c r="AT326" s="22" t="n">
        <x:f>MAX(0,MIN('Activities'!L326,252)-MAX('Activities'!K326,246))</x:f>
        <x:v>0</x:v>
      </x:c>
      <x:c r="AU326" s="22" t="n">
        <x:f>MAX(0,MIN('Activities'!L326,258)-MAX('Activities'!K326,252))</x:f>
        <x:v>0</x:v>
      </x:c>
      <x:c r="AV326" s="22" t="n">
        <x:f>MAX(0,MIN('Activities'!L326,264)-MAX('Activities'!K326,258))</x:f>
        <x:v>0</x:v>
      </x:c>
      <x:c r="AW326" s="22" t="n">
        <x:f>MAX(0,MIN('Activities'!L326,270)-MAX('Activities'!K326,264))</x:f>
        <x:v>0</x:v>
      </x:c>
      <x:c r="AX326" s="22" t="n">
        <x:f>MAX(0,MIN('Activities'!L326,276)-MAX('Activities'!K326,270))</x:f>
        <x:v>0</x:v>
      </x:c>
      <x:c r="AY326" s="22" t="n">
        <x:f>MAX(0,MIN('Activities'!L326,282)-MAX('Activities'!K326,276))</x:f>
        <x:v>0</x:v>
      </x:c>
      <x:c r="AZ326" s="22" t="n">
        <x:f>MAX(0,MIN('Activities'!L326,288)-MAX('Activities'!K326,282))</x:f>
        <x:v>0</x:v>
      </x:c>
      <x:c r="BA326" s="22" t="n">
        <x:f>MAX(0,MIN('Activities'!L326,294)-MAX('Activities'!K326,288))</x:f>
        <x:v>0</x:v>
      </x:c>
      <x:c r="BB326" s="22" t="n">
        <x:f>MAX(0,MIN('Activities'!L326,300)-MAX('Activities'!K326,294))</x:f>
        <x:v>0</x:v>
      </x:c>
      <x:c r="BC326" s="22" t="n">
        <x:f>MAX(0,MIN('Activities'!L326,306)-MAX('Activities'!K326,300))</x:f>
        <x:v>0</x:v>
      </x:c>
      <x:c r="BD326" s="22" t="n">
        <x:f>MAX(0,MIN('Activities'!L326,312)-MAX('Activities'!K326,306))</x:f>
        <x:v>0</x:v>
      </x:c>
      <x:c r="BE326" s="22" t="n">
        <x:f>MAX(0,MIN('Activities'!L326,318)-MAX('Activities'!K326,312))</x:f>
        <x:v>0</x:v>
      </x:c>
      <x:c r="BF326" s="22" t="n">
        <x:f>MAX(0,MIN('Activities'!L326,324)-MAX('Activities'!K326,318))</x:f>
        <x:v>0</x:v>
      </x:c>
      <x:c r="BG326" s="22" t="n">
        <x:f>MAX(0,MIN('Activities'!L326,330)-MAX('Activities'!K326,324))</x:f>
        <x:v>0</x:v>
      </x:c>
      <x:c r="BH326" s="22" t="n">
        <x:f>MAX(0,MIN('Activities'!L326,336)-MAX('Activities'!K326,330))</x:f>
        <x:v>0</x:v>
      </x:c>
      <x:c r="BI326" s="22" t="n">
        <x:f>MAX(0,MIN('Activities'!L326,342)-MAX('Activities'!K326,336))</x:f>
        <x:v>0</x:v>
      </x:c>
      <x:c r="BJ326" s="22" t="n">
        <x:f>MAX(0,MIN('Activities'!L326,348)-MAX('Activities'!K326,342))</x:f>
        <x:v>0</x:v>
      </x:c>
      <x:c r="BK326" s="22" t="n">
        <x:f>MAX(0,MIN('Activities'!L326,354)-MAX('Activities'!K326,348))</x:f>
        <x:v>0</x:v>
      </x:c>
      <x:c r="BL326" s="22" t="n">
        <x:f>MAX(0,MIN('Activities'!L326,360)-MAX('Activities'!K326,354))</x:f>
        <x:v>4</x:v>
      </x:c>
      <x:c r="BM326" s="22" t="n">
        <x:f>MAX(0,MIN('Activities'!L326,366)-MAX('Activities'!K326,360))</x:f>
        <x:v>2</x:v>
      </x:c>
      <x:c r="BN326" s="22" t="n">
        <x:f>MAX(0,MIN('Activities'!L326,372)-MAX('Activities'!K326,366))</x:f>
        <x:v>0</x:v>
      </x:c>
      <x:c r="BO326" s="22" t="n">
        <x:f>MAX(0,MIN('Activities'!L326,378)-MAX('Activities'!K326,372))</x:f>
        <x:v>0</x:v>
      </x:c>
      <x:c r="BP326" s="22" t="n">
        <x:f>MAX(0,MIN('Activities'!L326,384)-MAX('Activities'!K326,378))</x:f>
        <x:v>0</x:v>
      </x:c>
      <x:c r="BQ326" s="22" t="n">
        <x:f>MAX(0,MIN('Activities'!L326,390)-MAX('Activities'!K326,384))</x:f>
        <x:v>0</x:v>
      </x:c>
      <x:c r="BR326" s="22" t="n">
        <x:f>MAX(0,MIN('Activities'!L326,396)-MAX('Activities'!K326,390))</x:f>
        <x:v>0</x:v>
      </x:c>
      <x:c r="BS326" s="22" t="n">
        <x:f>MAX(0,MIN('Activities'!L326,402)-MAX('Activities'!K326,396))</x:f>
        <x:v>0</x:v>
      </x:c>
      <x:c r="BT326" s="22" t="n">
        <x:f>MAX(0,MIN('Activities'!L326,408)-MAX('Activities'!K326,402))</x:f>
        <x:v>0</x:v>
      </x:c>
      <x:c r="BU326" s="22" t="n">
        <x:f>MAX(0,MIN('Activities'!L326,414)-MAX('Activities'!K326,408))</x:f>
        <x:v>0</x:v>
      </x:c>
      <x:c r="BV326" s="22" t="n">
        <x:f>MAX(0,MIN('Activities'!L326,420)-MAX('Activities'!K326,414))</x:f>
        <x:v>0</x:v>
      </x:c>
      <x:c r="BW326" s="22" t="n">
        <x:f>MAX(0,MIN('Activities'!L326,426)-MAX('Activities'!K326,420))</x:f>
        <x:v>0</x:v>
      </x:c>
      <x:c r="BX326" s="22" t="n">
        <x:f>MAX(0,MIN('Activities'!L326,432)-MAX('Activities'!K326,426))</x:f>
        <x:v>0</x:v>
      </x:c>
      <x:c r="BY326" s="22" t="n">
        <x:f>MAX(0,MIN('Activities'!L326,438)-MAX('Activities'!K326,432))</x:f>
        <x:v>0</x:v>
      </x:c>
      <x:c r="BZ326" s="22" t="n">
        <x:f>MAX(0,MIN('Activities'!L326,444)-MAX('Activities'!K326,438))</x:f>
        <x:v>0</x:v>
      </x:c>
      <x:c r="CA326" s="22" t="n">
        <x:f>MAX(0,MIN('Activities'!L326,450)-MAX('Activities'!K326,444))</x:f>
        <x:v>0</x:v>
      </x:c>
      <x:c r="CB326" s="22" t="n">
        <x:f>MAX(0,MIN('Activities'!L326,456)-MAX('Activities'!K326,450))</x:f>
        <x:v>0</x:v>
      </x:c>
      <x:c r="CC326" s="22" t="n">
        <x:f>MAX(0,MIN('Activities'!L326,462)-MAX('Activities'!K326,456))</x:f>
        <x:v>0</x:v>
      </x:c>
      <x:c r="CD326" s="22" t="n">
        <x:f>MAX(0,MIN('Activities'!L326,468)-MAX('Activities'!K326,462))</x:f>
        <x:v>0</x:v>
      </x:c>
      <x:c r="CE326" s="22" t="n">
        <x:f>MAX(0,MIN('Activities'!L326,474)-MAX('Activities'!K326,468))</x:f>
        <x:v>0</x:v>
      </x:c>
      <x:c r="CF326" s="22" t="n">
        <x:f>MAX(0,MIN('Activities'!L326,480)-MAX('Activities'!K326,474))</x:f>
        <x:v>0</x:v>
      </x:c>
      <x:c r="CG326" s="22" t="n">
        <x:f>MAX(0,MIN('Activities'!L326,486)-MAX('Activities'!K326,480))</x:f>
        <x:v>0</x:v>
      </x:c>
      <x:c r="CH326" s="22" t="n">
        <x:f>MAX(0,MIN('Activities'!L326,492)-MAX('Activities'!K326,486))</x:f>
        <x:v>0</x:v>
      </x:c>
      <x:c r="CI326" s="22" t="n">
        <x:f>MAX(0,MIN('Activities'!L326,498)-MAX('Activities'!K326,492))</x:f>
        <x:v>0</x:v>
      </x:c>
      <x:c r="CJ326" s="22" t="n">
        <x:f>MAX(0,MIN('Activities'!L326,504)-MAX('Activities'!K326,498))</x:f>
        <x:v>0</x:v>
      </x:c>
      <x:c r="CK326" s="22" t="n">
        <x:f>MAX(0,MIN('Activities'!L326,510)-MAX('Activities'!K326,504))</x:f>
        <x:v>0</x:v>
      </x:c>
      <x:c r="CL326" s="22" t="n">
        <x:f>MAX(0,MIN('Activities'!L326,516)-MAX('Activities'!K326,510))</x:f>
        <x:v>0</x:v>
      </x:c>
      <x:c r="CM326" s="22" t="n">
        <x:f>MAX(0,MIN('Activities'!L326,522)-MAX('Activities'!K326,516))</x:f>
        <x:v>0</x:v>
      </x:c>
      <x:c r="CN326" s="22" t="n">
        <x:f>MAX(0,MIN('Activities'!L326,528)-MAX('Activities'!K326,522))</x:f>
        <x:v>0</x:v>
      </x:c>
      <x:c r="CO326" s="22" t="n">
        <x:f>MAX(0,MIN('Activities'!L326,534)-MAX('Activities'!K326,528))</x:f>
        <x:v>0</x:v>
      </x:c>
      <x:c r="CP326" s="22" t="n">
        <x:f>MAX(0,MIN('Activities'!L326,540)-MAX('Activities'!K326,534))</x:f>
        <x:v>0</x:v>
      </x:c>
      <x:c r="CQ326" s="22" t="n">
        <x:f>MAX(0,MIN('Activities'!L326,546)-MAX('Activities'!K326,540))</x:f>
        <x:v>0</x:v>
      </x:c>
      <x:c r="CR326" s="22" t="n">
        <x:f>MAX(0,MIN('Activities'!L326,552)-MAX('Activities'!K326,546))</x:f>
        <x:v>0</x:v>
      </x:c>
      <x:c r="CS326" s="22" t="n">
        <x:f>MAX(0,MIN('Activities'!L326,558)-MAX('Activities'!K326,552))</x:f>
        <x:v>0</x:v>
      </x:c>
      <x:c r="CT326" s="22" t="n">
        <x:f>MAX(0,MIN('Activities'!L326,564)-MAX('Activities'!K326,558))</x:f>
        <x:v>0</x:v>
      </x:c>
      <x:c r="CU326" s="22" t="n">
        <x:f>MAX(0,MIN('Activities'!L326,570)-MAX('Activities'!K326,564))</x:f>
        <x:v>0</x:v>
      </x:c>
      <x:c r="CV326" s="22" t="n">
        <x:f>MAX(0,MIN('Activities'!L326,576)-MAX('Activities'!K326,570))</x:f>
        <x:v>0</x:v>
      </x:c>
      <x:c r="CW326" s="22" t="n">
        <x:f>MAX(0,MIN('Activities'!L326,582)-MAX('Activities'!K326,576))</x:f>
        <x:v>0</x:v>
      </x:c>
      <x:c r="CX326" s="22" t="n">
        <x:f>MAX(0,MIN('Activities'!L326,588)-MAX('Activities'!K326,582))</x:f>
        <x:v>0</x:v>
      </x:c>
      <x:c r="CY326" s="22" t="n">
        <x:f>MAX(0,MIN('Activities'!L326,594)-MAX('Activities'!K326,588))</x:f>
        <x:v>0</x:v>
      </x:c>
      <x:c r="CZ326" s="22" t="n">
        <x:f>MAX(0,MIN('Activities'!L326,600)-MAX('Activities'!K326,594))</x:f>
        <x:v>0</x:v>
      </x:c>
      <x:c r="DA326" s="22" t="n">
        <x:f>MAX(0,MIN('Activities'!L326,606)-MAX('Activities'!K326,600))</x:f>
        <x:v>0</x:v>
      </x:c>
      <x:c r="DB326" s="22" t="n">
        <x:f>MAX(0,MIN('Activities'!L326,612)-MAX('Activities'!K326,606))</x:f>
        <x:v>0</x:v>
      </x:c>
      <x:c r="DC326" s="22" t="n">
        <x:f>MAX(0,MIN('Activities'!L326,618)-MAX('Activities'!K326,612))</x:f>
        <x:v>0</x:v>
      </x:c>
      <x:c r="DD326" s="22" t="n">
        <x:f>MAX(0,MIN('Activities'!L326,624)-MAX('Activities'!K326,618))</x:f>
        <x:v>0</x:v>
      </x:c>
      <x:c r="DE326" s="22" t="n">
        <x:f>MAX(0,MIN('Activities'!L326,630)-MAX('Activities'!K326,624))</x:f>
        <x:v>0</x:v>
      </x:c>
      <x:c r="DF326" s="22" t="n">
        <x:f>MAX(0,MIN('Activities'!L326,636)-MAX('Activities'!K326,630))</x:f>
        <x:v>0</x:v>
      </x:c>
    </x:row>
    <x:row r="327" ht="23" customHeight="1">
      <x:c r="A327" s="1" t="str">
        <x:v>T3-L11-R</x:v>
      </x:c>
      <x:c r="B327" s="1" t="str">
        <x:v>T3</x:v>
      </x:c>
      <x:c r="C327" s="1" t="str">
        <x:v>Column, wall, beam and slab reinforcement</x:v>
      </x:c>
      <x:c r="D327" s="1" t="str">
        <x:v>Rebar</x:v>
      </x:c>
      <x:c r="E327" s="23" t="n">
        <x:f>MAX(0,MIN('Activities'!L327,6)-MAX('Activities'!K327,0))</x:f>
        <x:v>0</x:v>
      </x:c>
      <x:c r="F327" s="23" t="n">
        <x:f>MAX(0,MIN('Activities'!L327,12)-MAX('Activities'!K327,6))</x:f>
        <x:v>0</x:v>
      </x:c>
      <x:c r="G327" s="23" t="n">
        <x:f>MAX(0,MIN('Activities'!L327,18)-MAX('Activities'!K327,12))</x:f>
        <x:v>0</x:v>
      </x:c>
      <x:c r="H327" s="23" t="n">
        <x:f>MAX(0,MIN('Activities'!L327,24)-MAX('Activities'!K327,18))</x:f>
        <x:v>0</x:v>
      </x:c>
      <x:c r="I327" s="23" t="n">
        <x:f>MAX(0,MIN('Activities'!L327,30)-MAX('Activities'!K327,24))</x:f>
        <x:v>0</x:v>
      </x:c>
      <x:c r="J327" s="23" t="n">
        <x:f>MAX(0,MIN('Activities'!L327,36)-MAX('Activities'!K327,30))</x:f>
        <x:v>0</x:v>
      </x:c>
      <x:c r="K327" s="23" t="n">
        <x:f>MAX(0,MIN('Activities'!L327,42)-MAX('Activities'!K327,36))</x:f>
        <x:v>0</x:v>
      </x:c>
      <x:c r="L327" s="23" t="n">
        <x:f>MAX(0,MIN('Activities'!L327,48)-MAX('Activities'!K327,42))</x:f>
        <x:v>0</x:v>
      </x:c>
      <x:c r="M327" s="23" t="n">
        <x:f>MAX(0,MIN('Activities'!L327,54)-MAX('Activities'!K327,48))</x:f>
        <x:v>0</x:v>
      </x:c>
      <x:c r="N327" s="23" t="n">
        <x:f>MAX(0,MIN('Activities'!L327,60)-MAX('Activities'!K327,54))</x:f>
        <x:v>0</x:v>
      </x:c>
      <x:c r="O327" s="23" t="n">
        <x:f>MAX(0,MIN('Activities'!L327,66)-MAX('Activities'!K327,60))</x:f>
        <x:v>0</x:v>
      </x:c>
      <x:c r="P327" s="23" t="n">
        <x:f>MAX(0,MIN('Activities'!L327,72)-MAX('Activities'!K327,66))</x:f>
        <x:v>0</x:v>
      </x:c>
      <x:c r="Q327" s="23" t="n">
        <x:f>MAX(0,MIN('Activities'!L327,78)-MAX('Activities'!K327,72))</x:f>
        <x:v>0</x:v>
      </x:c>
      <x:c r="R327" s="23" t="n">
        <x:f>MAX(0,MIN('Activities'!L327,84)-MAX('Activities'!K327,78))</x:f>
        <x:v>0</x:v>
      </x:c>
      <x:c r="S327" s="23" t="n">
        <x:f>MAX(0,MIN('Activities'!L327,90)-MAX('Activities'!K327,84))</x:f>
        <x:v>0</x:v>
      </x:c>
      <x:c r="T327" s="23" t="n">
        <x:f>MAX(0,MIN('Activities'!L327,96)-MAX('Activities'!K327,90))</x:f>
        <x:v>0</x:v>
      </x:c>
      <x:c r="U327" s="23" t="n">
        <x:f>MAX(0,MIN('Activities'!L327,102)-MAX('Activities'!K327,96))</x:f>
        <x:v>0</x:v>
      </x:c>
      <x:c r="V327" s="23" t="n">
        <x:f>MAX(0,MIN('Activities'!L327,108)-MAX('Activities'!K327,102))</x:f>
        <x:v>0</x:v>
      </x:c>
      <x:c r="W327" s="23" t="n">
        <x:f>MAX(0,MIN('Activities'!L327,114)-MAX('Activities'!K327,108))</x:f>
        <x:v>0</x:v>
      </x:c>
      <x:c r="X327" s="23" t="n">
        <x:f>MAX(0,MIN('Activities'!L327,120)-MAX('Activities'!K327,114))</x:f>
        <x:v>0</x:v>
      </x:c>
      <x:c r="Y327" s="23" t="n">
        <x:f>MAX(0,MIN('Activities'!L327,126)-MAX('Activities'!K327,120))</x:f>
        <x:v>0</x:v>
      </x:c>
      <x:c r="Z327" s="23" t="n">
        <x:f>MAX(0,MIN('Activities'!L327,132)-MAX('Activities'!K327,126))</x:f>
        <x:v>0</x:v>
      </x:c>
      <x:c r="AA327" s="23" t="n">
        <x:f>MAX(0,MIN('Activities'!L327,138)-MAX('Activities'!K327,132))</x:f>
        <x:v>0</x:v>
      </x:c>
      <x:c r="AB327" s="23" t="n">
        <x:f>MAX(0,MIN('Activities'!L327,144)-MAX('Activities'!K327,138))</x:f>
        <x:v>0</x:v>
      </x:c>
      <x:c r="AC327" s="23" t="n">
        <x:f>MAX(0,MIN('Activities'!L327,150)-MAX('Activities'!K327,144))</x:f>
        <x:v>0</x:v>
      </x:c>
      <x:c r="AD327" s="23" t="n">
        <x:f>MAX(0,MIN('Activities'!L327,156)-MAX('Activities'!K327,150))</x:f>
        <x:v>0</x:v>
      </x:c>
      <x:c r="AE327" s="23" t="n">
        <x:f>MAX(0,MIN('Activities'!L327,162)-MAX('Activities'!K327,156))</x:f>
        <x:v>0</x:v>
      </x:c>
      <x:c r="AF327" s="23" t="n">
        <x:f>MAX(0,MIN('Activities'!L327,168)-MAX('Activities'!K327,162))</x:f>
        <x:v>0</x:v>
      </x:c>
      <x:c r="AG327" s="23" t="n">
        <x:f>MAX(0,MIN('Activities'!L327,174)-MAX('Activities'!K327,168))</x:f>
        <x:v>0</x:v>
      </x:c>
      <x:c r="AH327" s="23" t="n">
        <x:f>MAX(0,MIN('Activities'!L327,180)-MAX('Activities'!K327,174))</x:f>
        <x:v>0</x:v>
      </x:c>
      <x:c r="AI327" s="23" t="n">
        <x:f>MAX(0,MIN('Activities'!L327,186)-MAX('Activities'!K327,180))</x:f>
        <x:v>0</x:v>
      </x:c>
      <x:c r="AJ327" s="23" t="n">
        <x:f>MAX(0,MIN('Activities'!L327,192)-MAX('Activities'!K327,186))</x:f>
        <x:v>0</x:v>
      </x:c>
      <x:c r="AK327" s="23" t="n">
        <x:f>MAX(0,MIN('Activities'!L327,198)-MAX('Activities'!K327,192))</x:f>
        <x:v>0</x:v>
      </x:c>
      <x:c r="AL327" s="23" t="n">
        <x:f>MAX(0,MIN('Activities'!L327,204)-MAX('Activities'!K327,198))</x:f>
        <x:v>0</x:v>
      </x:c>
      <x:c r="AM327" s="23" t="n">
        <x:f>MAX(0,MIN('Activities'!L327,210)-MAX('Activities'!K327,204))</x:f>
        <x:v>0</x:v>
      </x:c>
      <x:c r="AN327" s="23" t="n">
        <x:f>MAX(0,MIN('Activities'!L327,216)-MAX('Activities'!K327,210))</x:f>
        <x:v>0</x:v>
      </x:c>
      <x:c r="AO327" s="23" t="n">
        <x:f>MAX(0,MIN('Activities'!L327,222)-MAX('Activities'!K327,216))</x:f>
        <x:v>0</x:v>
      </x:c>
      <x:c r="AP327" s="23" t="n">
        <x:f>MAX(0,MIN('Activities'!L327,228)-MAX('Activities'!K327,222))</x:f>
        <x:v>0</x:v>
      </x:c>
      <x:c r="AQ327" s="23" t="n">
        <x:f>MAX(0,MIN('Activities'!L327,234)-MAX('Activities'!K327,228))</x:f>
        <x:v>0</x:v>
      </x:c>
      <x:c r="AR327" s="23" t="n">
        <x:f>MAX(0,MIN('Activities'!L327,240)-MAX('Activities'!K327,234))</x:f>
        <x:v>0</x:v>
      </x:c>
      <x:c r="AS327" s="23" t="n">
        <x:f>MAX(0,MIN('Activities'!L327,246)-MAX('Activities'!K327,240))</x:f>
        <x:v>0</x:v>
      </x:c>
      <x:c r="AT327" s="23" t="n">
        <x:f>MAX(0,MIN('Activities'!L327,252)-MAX('Activities'!K327,246))</x:f>
        <x:v>0</x:v>
      </x:c>
      <x:c r="AU327" s="23" t="n">
        <x:f>MAX(0,MIN('Activities'!L327,258)-MAX('Activities'!K327,252))</x:f>
        <x:v>0</x:v>
      </x:c>
      <x:c r="AV327" s="23" t="n">
        <x:f>MAX(0,MIN('Activities'!L327,264)-MAX('Activities'!K327,258))</x:f>
        <x:v>0</x:v>
      </x:c>
      <x:c r="AW327" s="23" t="n">
        <x:f>MAX(0,MIN('Activities'!L327,270)-MAX('Activities'!K327,264))</x:f>
        <x:v>0</x:v>
      </x:c>
      <x:c r="AX327" s="23" t="n">
        <x:f>MAX(0,MIN('Activities'!L327,276)-MAX('Activities'!K327,270))</x:f>
        <x:v>0</x:v>
      </x:c>
      <x:c r="AY327" s="23" t="n">
        <x:f>MAX(0,MIN('Activities'!L327,282)-MAX('Activities'!K327,276))</x:f>
        <x:v>0</x:v>
      </x:c>
      <x:c r="AZ327" s="23" t="n">
        <x:f>MAX(0,MIN('Activities'!L327,288)-MAX('Activities'!K327,282))</x:f>
        <x:v>0</x:v>
      </x:c>
      <x:c r="BA327" s="23" t="n">
        <x:f>MAX(0,MIN('Activities'!L327,294)-MAX('Activities'!K327,288))</x:f>
        <x:v>0</x:v>
      </x:c>
      <x:c r="BB327" s="23" t="n">
        <x:f>MAX(0,MIN('Activities'!L327,300)-MAX('Activities'!K327,294))</x:f>
        <x:v>0</x:v>
      </x:c>
      <x:c r="BC327" s="23" t="n">
        <x:f>MAX(0,MIN('Activities'!L327,306)-MAX('Activities'!K327,300))</x:f>
        <x:v>0</x:v>
      </x:c>
      <x:c r="BD327" s="23" t="n">
        <x:f>MAX(0,MIN('Activities'!L327,312)-MAX('Activities'!K327,306))</x:f>
        <x:v>0</x:v>
      </x:c>
      <x:c r="BE327" s="23" t="n">
        <x:f>MAX(0,MIN('Activities'!L327,318)-MAX('Activities'!K327,312))</x:f>
        <x:v>0</x:v>
      </x:c>
      <x:c r="BF327" s="23" t="n">
        <x:f>MAX(0,MIN('Activities'!L327,324)-MAX('Activities'!K327,318))</x:f>
        <x:v>0</x:v>
      </x:c>
      <x:c r="BG327" s="23" t="n">
        <x:f>MAX(0,MIN('Activities'!L327,330)-MAX('Activities'!K327,324))</x:f>
        <x:v>0</x:v>
      </x:c>
      <x:c r="BH327" s="23" t="n">
        <x:f>MAX(0,MIN('Activities'!L327,336)-MAX('Activities'!K327,330))</x:f>
        <x:v>0</x:v>
      </x:c>
      <x:c r="BI327" s="23" t="n">
        <x:f>MAX(0,MIN('Activities'!L327,342)-MAX('Activities'!K327,336))</x:f>
        <x:v>0</x:v>
      </x:c>
      <x:c r="BJ327" s="23" t="n">
        <x:f>MAX(0,MIN('Activities'!L327,348)-MAX('Activities'!K327,342))</x:f>
        <x:v>0</x:v>
      </x:c>
      <x:c r="BK327" s="23" t="n">
        <x:f>MAX(0,MIN('Activities'!L327,354)-MAX('Activities'!K327,348))</x:f>
        <x:v>0</x:v>
      </x:c>
      <x:c r="BL327" s="23" t="n">
        <x:f>MAX(0,MIN('Activities'!L327,360)-MAX('Activities'!K327,354))</x:f>
        <x:v>0</x:v>
      </x:c>
      <x:c r="BM327" s="23" t="n">
        <x:f>MAX(0,MIN('Activities'!L327,366)-MAX('Activities'!K327,360))</x:f>
        <x:v>4</x:v>
      </x:c>
      <x:c r="BN327" s="23" t="n">
        <x:f>MAX(0,MIN('Activities'!L327,372)-MAX('Activities'!K327,366))</x:f>
        <x:v>1</x:v>
      </x:c>
      <x:c r="BO327" s="23" t="n">
        <x:f>MAX(0,MIN('Activities'!L327,378)-MAX('Activities'!K327,372))</x:f>
        <x:v>0</x:v>
      </x:c>
      <x:c r="BP327" s="23" t="n">
        <x:f>MAX(0,MIN('Activities'!L327,384)-MAX('Activities'!K327,378))</x:f>
        <x:v>0</x:v>
      </x:c>
      <x:c r="BQ327" s="23" t="n">
        <x:f>MAX(0,MIN('Activities'!L327,390)-MAX('Activities'!K327,384))</x:f>
        <x:v>0</x:v>
      </x:c>
      <x:c r="BR327" s="23" t="n">
        <x:f>MAX(0,MIN('Activities'!L327,396)-MAX('Activities'!K327,390))</x:f>
        <x:v>0</x:v>
      </x:c>
      <x:c r="BS327" s="23" t="n">
        <x:f>MAX(0,MIN('Activities'!L327,402)-MAX('Activities'!K327,396))</x:f>
        <x:v>0</x:v>
      </x:c>
      <x:c r="BT327" s="23" t="n">
        <x:f>MAX(0,MIN('Activities'!L327,408)-MAX('Activities'!K327,402))</x:f>
        <x:v>0</x:v>
      </x:c>
      <x:c r="BU327" s="23" t="n">
        <x:f>MAX(0,MIN('Activities'!L327,414)-MAX('Activities'!K327,408))</x:f>
        <x:v>0</x:v>
      </x:c>
      <x:c r="BV327" s="23" t="n">
        <x:f>MAX(0,MIN('Activities'!L327,420)-MAX('Activities'!K327,414))</x:f>
        <x:v>0</x:v>
      </x:c>
      <x:c r="BW327" s="23" t="n">
        <x:f>MAX(0,MIN('Activities'!L327,426)-MAX('Activities'!K327,420))</x:f>
        <x:v>0</x:v>
      </x:c>
      <x:c r="BX327" s="23" t="n">
        <x:f>MAX(0,MIN('Activities'!L327,432)-MAX('Activities'!K327,426))</x:f>
        <x:v>0</x:v>
      </x:c>
      <x:c r="BY327" s="23" t="n">
        <x:f>MAX(0,MIN('Activities'!L327,438)-MAX('Activities'!K327,432))</x:f>
        <x:v>0</x:v>
      </x:c>
      <x:c r="BZ327" s="23" t="n">
        <x:f>MAX(0,MIN('Activities'!L327,444)-MAX('Activities'!K327,438))</x:f>
        <x:v>0</x:v>
      </x:c>
      <x:c r="CA327" s="23" t="n">
        <x:f>MAX(0,MIN('Activities'!L327,450)-MAX('Activities'!K327,444))</x:f>
        <x:v>0</x:v>
      </x:c>
      <x:c r="CB327" s="23" t="n">
        <x:f>MAX(0,MIN('Activities'!L327,456)-MAX('Activities'!K327,450))</x:f>
        <x:v>0</x:v>
      </x:c>
      <x:c r="CC327" s="23" t="n">
        <x:f>MAX(0,MIN('Activities'!L327,462)-MAX('Activities'!K327,456))</x:f>
        <x:v>0</x:v>
      </x:c>
      <x:c r="CD327" s="23" t="n">
        <x:f>MAX(0,MIN('Activities'!L327,468)-MAX('Activities'!K327,462))</x:f>
        <x:v>0</x:v>
      </x:c>
      <x:c r="CE327" s="23" t="n">
        <x:f>MAX(0,MIN('Activities'!L327,474)-MAX('Activities'!K327,468))</x:f>
        <x:v>0</x:v>
      </x:c>
      <x:c r="CF327" s="23" t="n">
        <x:f>MAX(0,MIN('Activities'!L327,480)-MAX('Activities'!K327,474))</x:f>
        <x:v>0</x:v>
      </x:c>
      <x:c r="CG327" s="23" t="n">
        <x:f>MAX(0,MIN('Activities'!L327,486)-MAX('Activities'!K327,480))</x:f>
        <x:v>0</x:v>
      </x:c>
      <x:c r="CH327" s="23" t="n">
        <x:f>MAX(0,MIN('Activities'!L327,492)-MAX('Activities'!K327,486))</x:f>
        <x:v>0</x:v>
      </x:c>
      <x:c r="CI327" s="23" t="n">
        <x:f>MAX(0,MIN('Activities'!L327,498)-MAX('Activities'!K327,492))</x:f>
        <x:v>0</x:v>
      </x:c>
      <x:c r="CJ327" s="23" t="n">
        <x:f>MAX(0,MIN('Activities'!L327,504)-MAX('Activities'!K327,498))</x:f>
        <x:v>0</x:v>
      </x:c>
      <x:c r="CK327" s="23" t="n">
        <x:f>MAX(0,MIN('Activities'!L327,510)-MAX('Activities'!K327,504))</x:f>
        <x:v>0</x:v>
      </x:c>
      <x:c r="CL327" s="23" t="n">
        <x:f>MAX(0,MIN('Activities'!L327,516)-MAX('Activities'!K327,510))</x:f>
        <x:v>0</x:v>
      </x:c>
      <x:c r="CM327" s="23" t="n">
        <x:f>MAX(0,MIN('Activities'!L327,522)-MAX('Activities'!K327,516))</x:f>
        <x:v>0</x:v>
      </x:c>
      <x:c r="CN327" s="23" t="n">
        <x:f>MAX(0,MIN('Activities'!L327,528)-MAX('Activities'!K327,522))</x:f>
        <x:v>0</x:v>
      </x:c>
      <x:c r="CO327" s="23" t="n">
        <x:f>MAX(0,MIN('Activities'!L327,534)-MAX('Activities'!K327,528))</x:f>
        <x:v>0</x:v>
      </x:c>
      <x:c r="CP327" s="23" t="n">
        <x:f>MAX(0,MIN('Activities'!L327,540)-MAX('Activities'!K327,534))</x:f>
        <x:v>0</x:v>
      </x:c>
      <x:c r="CQ327" s="23" t="n">
        <x:f>MAX(0,MIN('Activities'!L327,546)-MAX('Activities'!K327,540))</x:f>
        <x:v>0</x:v>
      </x:c>
      <x:c r="CR327" s="23" t="n">
        <x:f>MAX(0,MIN('Activities'!L327,552)-MAX('Activities'!K327,546))</x:f>
        <x:v>0</x:v>
      </x:c>
      <x:c r="CS327" s="23" t="n">
        <x:f>MAX(0,MIN('Activities'!L327,558)-MAX('Activities'!K327,552))</x:f>
        <x:v>0</x:v>
      </x:c>
      <x:c r="CT327" s="23" t="n">
        <x:f>MAX(0,MIN('Activities'!L327,564)-MAX('Activities'!K327,558))</x:f>
        <x:v>0</x:v>
      </x:c>
      <x:c r="CU327" s="23" t="n">
        <x:f>MAX(0,MIN('Activities'!L327,570)-MAX('Activities'!K327,564))</x:f>
        <x:v>0</x:v>
      </x:c>
      <x:c r="CV327" s="23" t="n">
        <x:f>MAX(0,MIN('Activities'!L327,576)-MAX('Activities'!K327,570))</x:f>
        <x:v>0</x:v>
      </x:c>
      <x:c r="CW327" s="23" t="n">
        <x:f>MAX(0,MIN('Activities'!L327,582)-MAX('Activities'!K327,576))</x:f>
        <x:v>0</x:v>
      </x:c>
      <x:c r="CX327" s="23" t="n">
        <x:f>MAX(0,MIN('Activities'!L327,588)-MAX('Activities'!K327,582))</x:f>
        <x:v>0</x:v>
      </x:c>
      <x:c r="CY327" s="23" t="n">
        <x:f>MAX(0,MIN('Activities'!L327,594)-MAX('Activities'!K327,588))</x:f>
        <x:v>0</x:v>
      </x:c>
      <x:c r="CZ327" s="23" t="n">
        <x:f>MAX(0,MIN('Activities'!L327,600)-MAX('Activities'!K327,594))</x:f>
        <x:v>0</x:v>
      </x:c>
      <x:c r="DA327" s="23" t="n">
        <x:f>MAX(0,MIN('Activities'!L327,606)-MAX('Activities'!K327,600))</x:f>
        <x:v>0</x:v>
      </x:c>
      <x:c r="DB327" s="23" t="n">
        <x:f>MAX(0,MIN('Activities'!L327,612)-MAX('Activities'!K327,606))</x:f>
        <x:v>0</x:v>
      </x:c>
      <x:c r="DC327" s="23" t="n">
        <x:f>MAX(0,MIN('Activities'!L327,618)-MAX('Activities'!K327,612))</x:f>
        <x:v>0</x:v>
      </x:c>
      <x:c r="DD327" s="23" t="n">
        <x:f>MAX(0,MIN('Activities'!L327,624)-MAX('Activities'!K327,618))</x:f>
        <x:v>0</x:v>
      </x:c>
      <x:c r="DE327" s="23" t="n">
        <x:f>MAX(0,MIN('Activities'!L327,630)-MAX('Activities'!K327,624))</x:f>
        <x:v>0</x:v>
      </x:c>
      <x:c r="DF327" s="23" t="n">
        <x:f>MAX(0,MIN('Activities'!L327,636)-MAX('Activities'!K327,630))</x:f>
        <x:v>0</x:v>
      </x:c>
    </x:row>
    <x:row r="328" ht="23" customHeight="1">
      <x:c r="A328" s="6" t="str">
        <x:v>T3-L11-C</x:v>
      </x:c>
      <x:c r="B328" s="6" t="str">
        <x:v>T3</x:v>
      </x:c>
      <x:c r="C328" s="6" t="str">
        <x:v>Concrete placement and finishing</x:v>
      </x:c>
      <x:c r="D328" s="6" t="str">
        <x:v>Concrete</x:v>
      </x:c>
      <x:c r="E328" s="22" t="n">
        <x:f>MAX(0,MIN('Activities'!L328,6)-MAX('Activities'!K328,0))</x:f>
        <x:v>0</x:v>
      </x:c>
      <x:c r="F328" s="22" t="n">
        <x:f>MAX(0,MIN('Activities'!L328,12)-MAX('Activities'!K328,6))</x:f>
        <x:v>0</x:v>
      </x:c>
      <x:c r="G328" s="22" t="n">
        <x:f>MAX(0,MIN('Activities'!L328,18)-MAX('Activities'!K328,12))</x:f>
        <x:v>0</x:v>
      </x:c>
      <x:c r="H328" s="22" t="n">
        <x:f>MAX(0,MIN('Activities'!L328,24)-MAX('Activities'!K328,18))</x:f>
        <x:v>0</x:v>
      </x:c>
      <x:c r="I328" s="22" t="n">
        <x:f>MAX(0,MIN('Activities'!L328,30)-MAX('Activities'!K328,24))</x:f>
        <x:v>0</x:v>
      </x:c>
      <x:c r="J328" s="22" t="n">
        <x:f>MAX(0,MIN('Activities'!L328,36)-MAX('Activities'!K328,30))</x:f>
        <x:v>0</x:v>
      </x:c>
      <x:c r="K328" s="22" t="n">
        <x:f>MAX(0,MIN('Activities'!L328,42)-MAX('Activities'!K328,36))</x:f>
        <x:v>0</x:v>
      </x:c>
      <x:c r="L328" s="22" t="n">
        <x:f>MAX(0,MIN('Activities'!L328,48)-MAX('Activities'!K328,42))</x:f>
        <x:v>0</x:v>
      </x:c>
      <x:c r="M328" s="22" t="n">
        <x:f>MAX(0,MIN('Activities'!L328,54)-MAX('Activities'!K328,48))</x:f>
        <x:v>0</x:v>
      </x:c>
      <x:c r="N328" s="22" t="n">
        <x:f>MAX(0,MIN('Activities'!L328,60)-MAX('Activities'!K328,54))</x:f>
        <x:v>0</x:v>
      </x:c>
      <x:c r="O328" s="22" t="n">
        <x:f>MAX(0,MIN('Activities'!L328,66)-MAX('Activities'!K328,60))</x:f>
        <x:v>0</x:v>
      </x:c>
      <x:c r="P328" s="22" t="n">
        <x:f>MAX(0,MIN('Activities'!L328,72)-MAX('Activities'!K328,66))</x:f>
        <x:v>0</x:v>
      </x:c>
      <x:c r="Q328" s="22" t="n">
        <x:f>MAX(0,MIN('Activities'!L328,78)-MAX('Activities'!K328,72))</x:f>
        <x:v>0</x:v>
      </x:c>
      <x:c r="R328" s="22" t="n">
        <x:f>MAX(0,MIN('Activities'!L328,84)-MAX('Activities'!K328,78))</x:f>
        <x:v>0</x:v>
      </x:c>
      <x:c r="S328" s="22" t="n">
        <x:f>MAX(0,MIN('Activities'!L328,90)-MAX('Activities'!K328,84))</x:f>
        <x:v>0</x:v>
      </x:c>
      <x:c r="T328" s="22" t="n">
        <x:f>MAX(0,MIN('Activities'!L328,96)-MAX('Activities'!K328,90))</x:f>
        <x:v>0</x:v>
      </x:c>
      <x:c r="U328" s="22" t="n">
        <x:f>MAX(0,MIN('Activities'!L328,102)-MAX('Activities'!K328,96))</x:f>
        <x:v>0</x:v>
      </x:c>
      <x:c r="V328" s="22" t="n">
        <x:f>MAX(0,MIN('Activities'!L328,108)-MAX('Activities'!K328,102))</x:f>
        <x:v>0</x:v>
      </x:c>
      <x:c r="W328" s="22" t="n">
        <x:f>MAX(0,MIN('Activities'!L328,114)-MAX('Activities'!K328,108))</x:f>
        <x:v>0</x:v>
      </x:c>
      <x:c r="X328" s="22" t="n">
        <x:f>MAX(0,MIN('Activities'!L328,120)-MAX('Activities'!K328,114))</x:f>
        <x:v>0</x:v>
      </x:c>
      <x:c r="Y328" s="22" t="n">
        <x:f>MAX(0,MIN('Activities'!L328,126)-MAX('Activities'!K328,120))</x:f>
        <x:v>0</x:v>
      </x:c>
      <x:c r="Z328" s="22" t="n">
        <x:f>MAX(0,MIN('Activities'!L328,132)-MAX('Activities'!K328,126))</x:f>
        <x:v>0</x:v>
      </x:c>
      <x:c r="AA328" s="22" t="n">
        <x:f>MAX(0,MIN('Activities'!L328,138)-MAX('Activities'!K328,132))</x:f>
        <x:v>0</x:v>
      </x:c>
      <x:c r="AB328" s="22" t="n">
        <x:f>MAX(0,MIN('Activities'!L328,144)-MAX('Activities'!K328,138))</x:f>
        <x:v>0</x:v>
      </x:c>
      <x:c r="AC328" s="22" t="n">
        <x:f>MAX(0,MIN('Activities'!L328,150)-MAX('Activities'!K328,144))</x:f>
        <x:v>0</x:v>
      </x:c>
      <x:c r="AD328" s="22" t="n">
        <x:f>MAX(0,MIN('Activities'!L328,156)-MAX('Activities'!K328,150))</x:f>
        <x:v>0</x:v>
      </x:c>
      <x:c r="AE328" s="22" t="n">
        <x:f>MAX(0,MIN('Activities'!L328,162)-MAX('Activities'!K328,156))</x:f>
        <x:v>0</x:v>
      </x:c>
      <x:c r="AF328" s="22" t="n">
        <x:f>MAX(0,MIN('Activities'!L328,168)-MAX('Activities'!K328,162))</x:f>
        <x:v>0</x:v>
      </x:c>
      <x:c r="AG328" s="22" t="n">
        <x:f>MAX(0,MIN('Activities'!L328,174)-MAX('Activities'!K328,168))</x:f>
        <x:v>0</x:v>
      </x:c>
      <x:c r="AH328" s="22" t="n">
        <x:f>MAX(0,MIN('Activities'!L328,180)-MAX('Activities'!K328,174))</x:f>
        <x:v>0</x:v>
      </x:c>
      <x:c r="AI328" s="22" t="n">
        <x:f>MAX(0,MIN('Activities'!L328,186)-MAX('Activities'!K328,180))</x:f>
        <x:v>0</x:v>
      </x:c>
      <x:c r="AJ328" s="22" t="n">
        <x:f>MAX(0,MIN('Activities'!L328,192)-MAX('Activities'!K328,186))</x:f>
        <x:v>0</x:v>
      </x:c>
      <x:c r="AK328" s="22" t="n">
        <x:f>MAX(0,MIN('Activities'!L328,198)-MAX('Activities'!K328,192))</x:f>
        <x:v>0</x:v>
      </x:c>
      <x:c r="AL328" s="22" t="n">
        <x:f>MAX(0,MIN('Activities'!L328,204)-MAX('Activities'!K328,198))</x:f>
        <x:v>0</x:v>
      </x:c>
      <x:c r="AM328" s="22" t="n">
        <x:f>MAX(0,MIN('Activities'!L328,210)-MAX('Activities'!K328,204))</x:f>
        <x:v>0</x:v>
      </x:c>
      <x:c r="AN328" s="22" t="n">
        <x:f>MAX(0,MIN('Activities'!L328,216)-MAX('Activities'!K328,210))</x:f>
        <x:v>0</x:v>
      </x:c>
      <x:c r="AO328" s="22" t="n">
        <x:f>MAX(0,MIN('Activities'!L328,222)-MAX('Activities'!K328,216))</x:f>
        <x:v>0</x:v>
      </x:c>
      <x:c r="AP328" s="22" t="n">
        <x:f>MAX(0,MIN('Activities'!L328,228)-MAX('Activities'!K328,222))</x:f>
        <x:v>0</x:v>
      </x:c>
      <x:c r="AQ328" s="22" t="n">
        <x:f>MAX(0,MIN('Activities'!L328,234)-MAX('Activities'!K328,228))</x:f>
        <x:v>0</x:v>
      </x:c>
      <x:c r="AR328" s="22" t="n">
        <x:f>MAX(0,MIN('Activities'!L328,240)-MAX('Activities'!K328,234))</x:f>
        <x:v>0</x:v>
      </x:c>
      <x:c r="AS328" s="22" t="n">
        <x:f>MAX(0,MIN('Activities'!L328,246)-MAX('Activities'!K328,240))</x:f>
        <x:v>0</x:v>
      </x:c>
      <x:c r="AT328" s="22" t="n">
        <x:f>MAX(0,MIN('Activities'!L328,252)-MAX('Activities'!K328,246))</x:f>
        <x:v>0</x:v>
      </x:c>
      <x:c r="AU328" s="22" t="n">
        <x:f>MAX(0,MIN('Activities'!L328,258)-MAX('Activities'!K328,252))</x:f>
        <x:v>0</x:v>
      </x:c>
      <x:c r="AV328" s="22" t="n">
        <x:f>MAX(0,MIN('Activities'!L328,264)-MAX('Activities'!K328,258))</x:f>
        <x:v>0</x:v>
      </x:c>
      <x:c r="AW328" s="22" t="n">
        <x:f>MAX(0,MIN('Activities'!L328,270)-MAX('Activities'!K328,264))</x:f>
        <x:v>0</x:v>
      </x:c>
      <x:c r="AX328" s="22" t="n">
        <x:f>MAX(0,MIN('Activities'!L328,276)-MAX('Activities'!K328,270))</x:f>
        <x:v>0</x:v>
      </x:c>
      <x:c r="AY328" s="22" t="n">
        <x:f>MAX(0,MIN('Activities'!L328,282)-MAX('Activities'!K328,276))</x:f>
        <x:v>0</x:v>
      </x:c>
      <x:c r="AZ328" s="22" t="n">
        <x:f>MAX(0,MIN('Activities'!L328,288)-MAX('Activities'!K328,282))</x:f>
        <x:v>0</x:v>
      </x:c>
      <x:c r="BA328" s="22" t="n">
        <x:f>MAX(0,MIN('Activities'!L328,294)-MAX('Activities'!K328,288))</x:f>
        <x:v>0</x:v>
      </x:c>
      <x:c r="BB328" s="22" t="n">
        <x:f>MAX(0,MIN('Activities'!L328,300)-MAX('Activities'!K328,294))</x:f>
        <x:v>0</x:v>
      </x:c>
      <x:c r="BC328" s="22" t="n">
        <x:f>MAX(0,MIN('Activities'!L328,306)-MAX('Activities'!K328,300))</x:f>
        <x:v>0</x:v>
      </x:c>
      <x:c r="BD328" s="22" t="n">
        <x:f>MAX(0,MIN('Activities'!L328,312)-MAX('Activities'!K328,306))</x:f>
        <x:v>0</x:v>
      </x:c>
      <x:c r="BE328" s="22" t="n">
        <x:f>MAX(0,MIN('Activities'!L328,318)-MAX('Activities'!K328,312))</x:f>
        <x:v>0</x:v>
      </x:c>
      <x:c r="BF328" s="22" t="n">
        <x:f>MAX(0,MIN('Activities'!L328,324)-MAX('Activities'!K328,318))</x:f>
        <x:v>0</x:v>
      </x:c>
      <x:c r="BG328" s="22" t="n">
        <x:f>MAX(0,MIN('Activities'!L328,330)-MAX('Activities'!K328,324))</x:f>
        <x:v>0</x:v>
      </x:c>
      <x:c r="BH328" s="22" t="n">
        <x:f>MAX(0,MIN('Activities'!L328,336)-MAX('Activities'!K328,330))</x:f>
        <x:v>0</x:v>
      </x:c>
      <x:c r="BI328" s="22" t="n">
        <x:f>MAX(0,MIN('Activities'!L328,342)-MAX('Activities'!K328,336))</x:f>
        <x:v>0</x:v>
      </x:c>
      <x:c r="BJ328" s="22" t="n">
        <x:f>MAX(0,MIN('Activities'!L328,348)-MAX('Activities'!K328,342))</x:f>
        <x:v>0</x:v>
      </x:c>
      <x:c r="BK328" s="22" t="n">
        <x:f>MAX(0,MIN('Activities'!L328,354)-MAX('Activities'!K328,348))</x:f>
        <x:v>0</x:v>
      </x:c>
      <x:c r="BL328" s="22" t="n">
        <x:f>MAX(0,MIN('Activities'!L328,360)-MAX('Activities'!K328,354))</x:f>
        <x:v>0</x:v>
      </x:c>
      <x:c r="BM328" s="22" t="n">
        <x:f>MAX(0,MIN('Activities'!L328,366)-MAX('Activities'!K328,360))</x:f>
        <x:v>0</x:v>
      </x:c>
      <x:c r="BN328" s="22" t="n">
        <x:f>MAX(0,MIN('Activities'!L328,372)-MAX('Activities'!K328,366))</x:f>
        <x:v>2</x:v>
      </x:c>
      <x:c r="BO328" s="22" t="n">
        <x:f>MAX(0,MIN('Activities'!L328,378)-MAX('Activities'!K328,372))</x:f>
        <x:v>0</x:v>
      </x:c>
      <x:c r="BP328" s="22" t="n">
        <x:f>MAX(0,MIN('Activities'!L328,384)-MAX('Activities'!K328,378))</x:f>
        <x:v>0</x:v>
      </x:c>
      <x:c r="BQ328" s="22" t="n">
        <x:f>MAX(0,MIN('Activities'!L328,390)-MAX('Activities'!K328,384))</x:f>
        <x:v>0</x:v>
      </x:c>
      <x:c r="BR328" s="22" t="n">
        <x:f>MAX(0,MIN('Activities'!L328,396)-MAX('Activities'!K328,390))</x:f>
        <x:v>0</x:v>
      </x:c>
      <x:c r="BS328" s="22" t="n">
        <x:f>MAX(0,MIN('Activities'!L328,402)-MAX('Activities'!K328,396))</x:f>
        <x:v>0</x:v>
      </x:c>
      <x:c r="BT328" s="22" t="n">
        <x:f>MAX(0,MIN('Activities'!L328,408)-MAX('Activities'!K328,402))</x:f>
        <x:v>0</x:v>
      </x:c>
      <x:c r="BU328" s="22" t="n">
        <x:f>MAX(0,MIN('Activities'!L328,414)-MAX('Activities'!K328,408))</x:f>
        <x:v>0</x:v>
      </x:c>
      <x:c r="BV328" s="22" t="n">
        <x:f>MAX(0,MIN('Activities'!L328,420)-MAX('Activities'!K328,414))</x:f>
        <x:v>0</x:v>
      </x:c>
      <x:c r="BW328" s="22" t="n">
        <x:f>MAX(0,MIN('Activities'!L328,426)-MAX('Activities'!K328,420))</x:f>
        <x:v>0</x:v>
      </x:c>
      <x:c r="BX328" s="22" t="n">
        <x:f>MAX(0,MIN('Activities'!L328,432)-MAX('Activities'!K328,426))</x:f>
        <x:v>0</x:v>
      </x:c>
      <x:c r="BY328" s="22" t="n">
        <x:f>MAX(0,MIN('Activities'!L328,438)-MAX('Activities'!K328,432))</x:f>
        <x:v>0</x:v>
      </x:c>
      <x:c r="BZ328" s="22" t="n">
        <x:f>MAX(0,MIN('Activities'!L328,444)-MAX('Activities'!K328,438))</x:f>
        <x:v>0</x:v>
      </x:c>
      <x:c r="CA328" s="22" t="n">
        <x:f>MAX(0,MIN('Activities'!L328,450)-MAX('Activities'!K328,444))</x:f>
        <x:v>0</x:v>
      </x:c>
      <x:c r="CB328" s="22" t="n">
        <x:f>MAX(0,MIN('Activities'!L328,456)-MAX('Activities'!K328,450))</x:f>
        <x:v>0</x:v>
      </x:c>
      <x:c r="CC328" s="22" t="n">
        <x:f>MAX(0,MIN('Activities'!L328,462)-MAX('Activities'!K328,456))</x:f>
        <x:v>0</x:v>
      </x:c>
      <x:c r="CD328" s="22" t="n">
        <x:f>MAX(0,MIN('Activities'!L328,468)-MAX('Activities'!K328,462))</x:f>
        <x:v>0</x:v>
      </x:c>
      <x:c r="CE328" s="22" t="n">
        <x:f>MAX(0,MIN('Activities'!L328,474)-MAX('Activities'!K328,468))</x:f>
        <x:v>0</x:v>
      </x:c>
      <x:c r="CF328" s="22" t="n">
        <x:f>MAX(0,MIN('Activities'!L328,480)-MAX('Activities'!K328,474))</x:f>
        <x:v>0</x:v>
      </x:c>
      <x:c r="CG328" s="22" t="n">
        <x:f>MAX(0,MIN('Activities'!L328,486)-MAX('Activities'!K328,480))</x:f>
        <x:v>0</x:v>
      </x:c>
      <x:c r="CH328" s="22" t="n">
        <x:f>MAX(0,MIN('Activities'!L328,492)-MAX('Activities'!K328,486))</x:f>
        <x:v>0</x:v>
      </x:c>
      <x:c r="CI328" s="22" t="n">
        <x:f>MAX(0,MIN('Activities'!L328,498)-MAX('Activities'!K328,492))</x:f>
        <x:v>0</x:v>
      </x:c>
      <x:c r="CJ328" s="22" t="n">
        <x:f>MAX(0,MIN('Activities'!L328,504)-MAX('Activities'!K328,498))</x:f>
        <x:v>0</x:v>
      </x:c>
      <x:c r="CK328" s="22" t="n">
        <x:f>MAX(0,MIN('Activities'!L328,510)-MAX('Activities'!K328,504))</x:f>
        <x:v>0</x:v>
      </x:c>
      <x:c r="CL328" s="22" t="n">
        <x:f>MAX(0,MIN('Activities'!L328,516)-MAX('Activities'!K328,510))</x:f>
        <x:v>0</x:v>
      </x:c>
      <x:c r="CM328" s="22" t="n">
        <x:f>MAX(0,MIN('Activities'!L328,522)-MAX('Activities'!K328,516))</x:f>
        <x:v>0</x:v>
      </x:c>
      <x:c r="CN328" s="22" t="n">
        <x:f>MAX(0,MIN('Activities'!L328,528)-MAX('Activities'!K328,522))</x:f>
        <x:v>0</x:v>
      </x:c>
      <x:c r="CO328" s="22" t="n">
        <x:f>MAX(0,MIN('Activities'!L328,534)-MAX('Activities'!K328,528))</x:f>
        <x:v>0</x:v>
      </x:c>
      <x:c r="CP328" s="22" t="n">
        <x:f>MAX(0,MIN('Activities'!L328,540)-MAX('Activities'!K328,534))</x:f>
        <x:v>0</x:v>
      </x:c>
      <x:c r="CQ328" s="22" t="n">
        <x:f>MAX(0,MIN('Activities'!L328,546)-MAX('Activities'!K328,540))</x:f>
        <x:v>0</x:v>
      </x:c>
      <x:c r="CR328" s="22" t="n">
        <x:f>MAX(0,MIN('Activities'!L328,552)-MAX('Activities'!K328,546))</x:f>
        <x:v>0</x:v>
      </x:c>
      <x:c r="CS328" s="22" t="n">
        <x:f>MAX(0,MIN('Activities'!L328,558)-MAX('Activities'!K328,552))</x:f>
        <x:v>0</x:v>
      </x:c>
      <x:c r="CT328" s="22" t="n">
        <x:f>MAX(0,MIN('Activities'!L328,564)-MAX('Activities'!K328,558))</x:f>
        <x:v>0</x:v>
      </x:c>
      <x:c r="CU328" s="22" t="n">
        <x:f>MAX(0,MIN('Activities'!L328,570)-MAX('Activities'!K328,564))</x:f>
        <x:v>0</x:v>
      </x:c>
      <x:c r="CV328" s="22" t="n">
        <x:f>MAX(0,MIN('Activities'!L328,576)-MAX('Activities'!K328,570))</x:f>
        <x:v>0</x:v>
      </x:c>
      <x:c r="CW328" s="22" t="n">
        <x:f>MAX(0,MIN('Activities'!L328,582)-MAX('Activities'!K328,576))</x:f>
        <x:v>0</x:v>
      </x:c>
      <x:c r="CX328" s="22" t="n">
        <x:f>MAX(0,MIN('Activities'!L328,588)-MAX('Activities'!K328,582))</x:f>
        <x:v>0</x:v>
      </x:c>
      <x:c r="CY328" s="22" t="n">
        <x:f>MAX(0,MIN('Activities'!L328,594)-MAX('Activities'!K328,588))</x:f>
        <x:v>0</x:v>
      </x:c>
      <x:c r="CZ328" s="22" t="n">
        <x:f>MAX(0,MIN('Activities'!L328,600)-MAX('Activities'!K328,594))</x:f>
        <x:v>0</x:v>
      </x:c>
      <x:c r="DA328" s="22" t="n">
        <x:f>MAX(0,MIN('Activities'!L328,606)-MAX('Activities'!K328,600))</x:f>
        <x:v>0</x:v>
      </x:c>
      <x:c r="DB328" s="22" t="n">
        <x:f>MAX(0,MIN('Activities'!L328,612)-MAX('Activities'!K328,606))</x:f>
        <x:v>0</x:v>
      </x:c>
      <x:c r="DC328" s="22" t="n">
        <x:f>MAX(0,MIN('Activities'!L328,618)-MAX('Activities'!K328,612))</x:f>
        <x:v>0</x:v>
      </x:c>
      <x:c r="DD328" s="22" t="n">
        <x:f>MAX(0,MIN('Activities'!L328,624)-MAX('Activities'!K328,618))</x:f>
        <x:v>0</x:v>
      </x:c>
      <x:c r="DE328" s="22" t="n">
        <x:f>MAX(0,MIN('Activities'!L328,630)-MAX('Activities'!K328,624))</x:f>
        <x:v>0</x:v>
      </x:c>
      <x:c r="DF328" s="22" t="n">
        <x:f>MAX(0,MIN('Activities'!L328,636)-MAX('Activities'!K328,630))</x:f>
        <x:v>0</x:v>
      </x:c>
    </x:row>
    <x:row r="329" ht="23" customHeight="1">
      <x:c r="A329" s="1" t="str">
        <x:v>T3-L11-H</x:v>
      </x:c>
      <x:c r="B329" s="1" t="str">
        <x:v>T3</x:v>
      </x:c>
      <x:c r="C329" s="1" t="str">
        <x:v>Curing and release hold point</x:v>
      </x:c>
      <x:c r="D329" s="1" t="str">
        <x:v>Site</x:v>
      </x:c>
      <x:c r="E329" s="23" t="n">
        <x:f>MAX(0,MIN('Activities'!L329,6)-MAX('Activities'!K329,0))</x:f>
        <x:v>0</x:v>
      </x:c>
      <x:c r="F329" s="23" t="n">
        <x:f>MAX(0,MIN('Activities'!L329,12)-MAX('Activities'!K329,6))</x:f>
        <x:v>0</x:v>
      </x:c>
      <x:c r="G329" s="23" t="n">
        <x:f>MAX(0,MIN('Activities'!L329,18)-MAX('Activities'!K329,12))</x:f>
        <x:v>0</x:v>
      </x:c>
      <x:c r="H329" s="23" t="n">
        <x:f>MAX(0,MIN('Activities'!L329,24)-MAX('Activities'!K329,18))</x:f>
        <x:v>0</x:v>
      </x:c>
      <x:c r="I329" s="23" t="n">
        <x:f>MAX(0,MIN('Activities'!L329,30)-MAX('Activities'!K329,24))</x:f>
        <x:v>0</x:v>
      </x:c>
      <x:c r="J329" s="23" t="n">
        <x:f>MAX(0,MIN('Activities'!L329,36)-MAX('Activities'!K329,30))</x:f>
        <x:v>0</x:v>
      </x:c>
      <x:c r="K329" s="23" t="n">
        <x:f>MAX(0,MIN('Activities'!L329,42)-MAX('Activities'!K329,36))</x:f>
        <x:v>0</x:v>
      </x:c>
      <x:c r="L329" s="23" t="n">
        <x:f>MAX(0,MIN('Activities'!L329,48)-MAX('Activities'!K329,42))</x:f>
        <x:v>0</x:v>
      </x:c>
      <x:c r="M329" s="23" t="n">
        <x:f>MAX(0,MIN('Activities'!L329,54)-MAX('Activities'!K329,48))</x:f>
        <x:v>0</x:v>
      </x:c>
      <x:c r="N329" s="23" t="n">
        <x:f>MAX(0,MIN('Activities'!L329,60)-MAX('Activities'!K329,54))</x:f>
        <x:v>0</x:v>
      </x:c>
      <x:c r="O329" s="23" t="n">
        <x:f>MAX(0,MIN('Activities'!L329,66)-MAX('Activities'!K329,60))</x:f>
        <x:v>0</x:v>
      </x:c>
      <x:c r="P329" s="23" t="n">
        <x:f>MAX(0,MIN('Activities'!L329,72)-MAX('Activities'!K329,66))</x:f>
        <x:v>0</x:v>
      </x:c>
      <x:c r="Q329" s="23" t="n">
        <x:f>MAX(0,MIN('Activities'!L329,78)-MAX('Activities'!K329,72))</x:f>
        <x:v>0</x:v>
      </x:c>
      <x:c r="R329" s="23" t="n">
        <x:f>MAX(0,MIN('Activities'!L329,84)-MAX('Activities'!K329,78))</x:f>
        <x:v>0</x:v>
      </x:c>
      <x:c r="S329" s="23" t="n">
        <x:f>MAX(0,MIN('Activities'!L329,90)-MAX('Activities'!K329,84))</x:f>
        <x:v>0</x:v>
      </x:c>
      <x:c r="T329" s="23" t="n">
        <x:f>MAX(0,MIN('Activities'!L329,96)-MAX('Activities'!K329,90))</x:f>
        <x:v>0</x:v>
      </x:c>
      <x:c r="U329" s="23" t="n">
        <x:f>MAX(0,MIN('Activities'!L329,102)-MAX('Activities'!K329,96))</x:f>
        <x:v>0</x:v>
      </x:c>
      <x:c r="V329" s="23" t="n">
        <x:f>MAX(0,MIN('Activities'!L329,108)-MAX('Activities'!K329,102))</x:f>
        <x:v>0</x:v>
      </x:c>
      <x:c r="W329" s="23" t="n">
        <x:f>MAX(0,MIN('Activities'!L329,114)-MAX('Activities'!K329,108))</x:f>
        <x:v>0</x:v>
      </x:c>
      <x:c r="X329" s="23" t="n">
        <x:f>MAX(0,MIN('Activities'!L329,120)-MAX('Activities'!K329,114))</x:f>
        <x:v>0</x:v>
      </x:c>
      <x:c r="Y329" s="23" t="n">
        <x:f>MAX(0,MIN('Activities'!L329,126)-MAX('Activities'!K329,120))</x:f>
        <x:v>0</x:v>
      </x:c>
      <x:c r="Z329" s="23" t="n">
        <x:f>MAX(0,MIN('Activities'!L329,132)-MAX('Activities'!K329,126))</x:f>
        <x:v>0</x:v>
      </x:c>
      <x:c r="AA329" s="23" t="n">
        <x:f>MAX(0,MIN('Activities'!L329,138)-MAX('Activities'!K329,132))</x:f>
        <x:v>0</x:v>
      </x:c>
      <x:c r="AB329" s="23" t="n">
        <x:f>MAX(0,MIN('Activities'!L329,144)-MAX('Activities'!K329,138))</x:f>
        <x:v>0</x:v>
      </x:c>
      <x:c r="AC329" s="23" t="n">
        <x:f>MAX(0,MIN('Activities'!L329,150)-MAX('Activities'!K329,144))</x:f>
        <x:v>0</x:v>
      </x:c>
      <x:c r="AD329" s="23" t="n">
        <x:f>MAX(0,MIN('Activities'!L329,156)-MAX('Activities'!K329,150))</x:f>
        <x:v>0</x:v>
      </x:c>
      <x:c r="AE329" s="23" t="n">
        <x:f>MAX(0,MIN('Activities'!L329,162)-MAX('Activities'!K329,156))</x:f>
        <x:v>0</x:v>
      </x:c>
      <x:c r="AF329" s="23" t="n">
        <x:f>MAX(0,MIN('Activities'!L329,168)-MAX('Activities'!K329,162))</x:f>
        <x:v>0</x:v>
      </x:c>
      <x:c r="AG329" s="23" t="n">
        <x:f>MAX(0,MIN('Activities'!L329,174)-MAX('Activities'!K329,168))</x:f>
        <x:v>0</x:v>
      </x:c>
      <x:c r="AH329" s="23" t="n">
        <x:f>MAX(0,MIN('Activities'!L329,180)-MAX('Activities'!K329,174))</x:f>
        <x:v>0</x:v>
      </x:c>
      <x:c r="AI329" s="23" t="n">
        <x:f>MAX(0,MIN('Activities'!L329,186)-MAX('Activities'!K329,180))</x:f>
        <x:v>0</x:v>
      </x:c>
      <x:c r="AJ329" s="23" t="n">
        <x:f>MAX(0,MIN('Activities'!L329,192)-MAX('Activities'!K329,186))</x:f>
        <x:v>0</x:v>
      </x:c>
      <x:c r="AK329" s="23" t="n">
        <x:f>MAX(0,MIN('Activities'!L329,198)-MAX('Activities'!K329,192))</x:f>
        <x:v>0</x:v>
      </x:c>
      <x:c r="AL329" s="23" t="n">
        <x:f>MAX(0,MIN('Activities'!L329,204)-MAX('Activities'!K329,198))</x:f>
        <x:v>0</x:v>
      </x:c>
      <x:c r="AM329" s="23" t="n">
        <x:f>MAX(0,MIN('Activities'!L329,210)-MAX('Activities'!K329,204))</x:f>
        <x:v>0</x:v>
      </x:c>
      <x:c r="AN329" s="23" t="n">
        <x:f>MAX(0,MIN('Activities'!L329,216)-MAX('Activities'!K329,210))</x:f>
        <x:v>0</x:v>
      </x:c>
      <x:c r="AO329" s="23" t="n">
        <x:f>MAX(0,MIN('Activities'!L329,222)-MAX('Activities'!K329,216))</x:f>
        <x:v>0</x:v>
      </x:c>
      <x:c r="AP329" s="23" t="n">
        <x:f>MAX(0,MIN('Activities'!L329,228)-MAX('Activities'!K329,222))</x:f>
        <x:v>0</x:v>
      </x:c>
      <x:c r="AQ329" s="23" t="n">
        <x:f>MAX(0,MIN('Activities'!L329,234)-MAX('Activities'!K329,228))</x:f>
        <x:v>0</x:v>
      </x:c>
      <x:c r="AR329" s="23" t="n">
        <x:f>MAX(0,MIN('Activities'!L329,240)-MAX('Activities'!K329,234))</x:f>
        <x:v>0</x:v>
      </x:c>
      <x:c r="AS329" s="23" t="n">
        <x:f>MAX(0,MIN('Activities'!L329,246)-MAX('Activities'!K329,240))</x:f>
        <x:v>0</x:v>
      </x:c>
      <x:c r="AT329" s="23" t="n">
        <x:f>MAX(0,MIN('Activities'!L329,252)-MAX('Activities'!K329,246))</x:f>
        <x:v>0</x:v>
      </x:c>
      <x:c r="AU329" s="23" t="n">
        <x:f>MAX(0,MIN('Activities'!L329,258)-MAX('Activities'!K329,252))</x:f>
        <x:v>0</x:v>
      </x:c>
      <x:c r="AV329" s="23" t="n">
        <x:f>MAX(0,MIN('Activities'!L329,264)-MAX('Activities'!K329,258))</x:f>
        <x:v>0</x:v>
      </x:c>
      <x:c r="AW329" s="23" t="n">
        <x:f>MAX(0,MIN('Activities'!L329,270)-MAX('Activities'!K329,264))</x:f>
        <x:v>0</x:v>
      </x:c>
      <x:c r="AX329" s="23" t="n">
        <x:f>MAX(0,MIN('Activities'!L329,276)-MAX('Activities'!K329,270))</x:f>
        <x:v>0</x:v>
      </x:c>
      <x:c r="AY329" s="23" t="n">
        <x:f>MAX(0,MIN('Activities'!L329,282)-MAX('Activities'!K329,276))</x:f>
        <x:v>0</x:v>
      </x:c>
      <x:c r="AZ329" s="23" t="n">
        <x:f>MAX(0,MIN('Activities'!L329,288)-MAX('Activities'!K329,282))</x:f>
        <x:v>0</x:v>
      </x:c>
      <x:c r="BA329" s="23" t="n">
        <x:f>MAX(0,MIN('Activities'!L329,294)-MAX('Activities'!K329,288))</x:f>
        <x:v>0</x:v>
      </x:c>
      <x:c r="BB329" s="23" t="n">
        <x:f>MAX(0,MIN('Activities'!L329,300)-MAX('Activities'!K329,294))</x:f>
        <x:v>0</x:v>
      </x:c>
      <x:c r="BC329" s="23" t="n">
        <x:f>MAX(0,MIN('Activities'!L329,306)-MAX('Activities'!K329,300))</x:f>
        <x:v>0</x:v>
      </x:c>
      <x:c r="BD329" s="23" t="n">
        <x:f>MAX(0,MIN('Activities'!L329,312)-MAX('Activities'!K329,306))</x:f>
        <x:v>0</x:v>
      </x:c>
      <x:c r="BE329" s="23" t="n">
        <x:f>MAX(0,MIN('Activities'!L329,318)-MAX('Activities'!K329,312))</x:f>
        <x:v>0</x:v>
      </x:c>
      <x:c r="BF329" s="23" t="n">
        <x:f>MAX(0,MIN('Activities'!L329,324)-MAX('Activities'!K329,318))</x:f>
        <x:v>0</x:v>
      </x:c>
      <x:c r="BG329" s="23" t="n">
        <x:f>MAX(0,MIN('Activities'!L329,330)-MAX('Activities'!K329,324))</x:f>
        <x:v>0</x:v>
      </x:c>
      <x:c r="BH329" s="23" t="n">
        <x:f>MAX(0,MIN('Activities'!L329,336)-MAX('Activities'!K329,330))</x:f>
        <x:v>0</x:v>
      </x:c>
      <x:c r="BI329" s="23" t="n">
        <x:f>MAX(0,MIN('Activities'!L329,342)-MAX('Activities'!K329,336))</x:f>
        <x:v>0</x:v>
      </x:c>
      <x:c r="BJ329" s="23" t="n">
        <x:f>MAX(0,MIN('Activities'!L329,348)-MAX('Activities'!K329,342))</x:f>
        <x:v>0</x:v>
      </x:c>
      <x:c r="BK329" s="23" t="n">
        <x:f>MAX(0,MIN('Activities'!L329,354)-MAX('Activities'!K329,348))</x:f>
        <x:v>0</x:v>
      </x:c>
      <x:c r="BL329" s="23" t="n">
        <x:f>MAX(0,MIN('Activities'!L329,360)-MAX('Activities'!K329,354))</x:f>
        <x:v>0</x:v>
      </x:c>
      <x:c r="BM329" s="23" t="n">
        <x:f>MAX(0,MIN('Activities'!L329,366)-MAX('Activities'!K329,360))</x:f>
        <x:v>0</x:v>
      </x:c>
      <x:c r="BN329" s="23" t="n">
        <x:f>MAX(0,MIN('Activities'!L329,372)-MAX('Activities'!K329,366))</x:f>
        <x:v>3</x:v>
      </x:c>
      <x:c r="BO329" s="23" t="n">
        <x:f>MAX(0,MIN('Activities'!L329,378)-MAX('Activities'!K329,372))</x:f>
        <x:v>2</x:v>
      </x:c>
      <x:c r="BP329" s="23" t="n">
        <x:f>MAX(0,MIN('Activities'!L329,384)-MAX('Activities'!K329,378))</x:f>
        <x:v>0</x:v>
      </x:c>
      <x:c r="BQ329" s="23" t="n">
        <x:f>MAX(0,MIN('Activities'!L329,390)-MAX('Activities'!K329,384))</x:f>
        <x:v>0</x:v>
      </x:c>
      <x:c r="BR329" s="23" t="n">
        <x:f>MAX(0,MIN('Activities'!L329,396)-MAX('Activities'!K329,390))</x:f>
        <x:v>0</x:v>
      </x:c>
      <x:c r="BS329" s="23" t="n">
        <x:f>MAX(0,MIN('Activities'!L329,402)-MAX('Activities'!K329,396))</x:f>
        <x:v>0</x:v>
      </x:c>
      <x:c r="BT329" s="23" t="n">
        <x:f>MAX(0,MIN('Activities'!L329,408)-MAX('Activities'!K329,402))</x:f>
        <x:v>0</x:v>
      </x:c>
      <x:c r="BU329" s="23" t="n">
        <x:f>MAX(0,MIN('Activities'!L329,414)-MAX('Activities'!K329,408))</x:f>
        <x:v>0</x:v>
      </x:c>
      <x:c r="BV329" s="23" t="n">
        <x:f>MAX(0,MIN('Activities'!L329,420)-MAX('Activities'!K329,414))</x:f>
        <x:v>0</x:v>
      </x:c>
      <x:c r="BW329" s="23" t="n">
        <x:f>MAX(0,MIN('Activities'!L329,426)-MAX('Activities'!K329,420))</x:f>
        <x:v>0</x:v>
      </x:c>
      <x:c r="BX329" s="23" t="n">
        <x:f>MAX(0,MIN('Activities'!L329,432)-MAX('Activities'!K329,426))</x:f>
        <x:v>0</x:v>
      </x:c>
      <x:c r="BY329" s="23" t="n">
        <x:f>MAX(0,MIN('Activities'!L329,438)-MAX('Activities'!K329,432))</x:f>
        <x:v>0</x:v>
      </x:c>
      <x:c r="BZ329" s="23" t="n">
        <x:f>MAX(0,MIN('Activities'!L329,444)-MAX('Activities'!K329,438))</x:f>
        <x:v>0</x:v>
      </x:c>
      <x:c r="CA329" s="23" t="n">
        <x:f>MAX(0,MIN('Activities'!L329,450)-MAX('Activities'!K329,444))</x:f>
        <x:v>0</x:v>
      </x:c>
      <x:c r="CB329" s="23" t="n">
        <x:f>MAX(0,MIN('Activities'!L329,456)-MAX('Activities'!K329,450))</x:f>
        <x:v>0</x:v>
      </x:c>
      <x:c r="CC329" s="23" t="n">
        <x:f>MAX(0,MIN('Activities'!L329,462)-MAX('Activities'!K329,456))</x:f>
        <x:v>0</x:v>
      </x:c>
      <x:c r="CD329" s="23" t="n">
        <x:f>MAX(0,MIN('Activities'!L329,468)-MAX('Activities'!K329,462))</x:f>
        <x:v>0</x:v>
      </x:c>
      <x:c r="CE329" s="23" t="n">
        <x:f>MAX(0,MIN('Activities'!L329,474)-MAX('Activities'!K329,468))</x:f>
        <x:v>0</x:v>
      </x:c>
      <x:c r="CF329" s="23" t="n">
        <x:f>MAX(0,MIN('Activities'!L329,480)-MAX('Activities'!K329,474))</x:f>
        <x:v>0</x:v>
      </x:c>
      <x:c r="CG329" s="23" t="n">
        <x:f>MAX(0,MIN('Activities'!L329,486)-MAX('Activities'!K329,480))</x:f>
        <x:v>0</x:v>
      </x:c>
      <x:c r="CH329" s="23" t="n">
        <x:f>MAX(0,MIN('Activities'!L329,492)-MAX('Activities'!K329,486))</x:f>
        <x:v>0</x:v>
      </x:c>
      <x:c r="CI329" s="23" t="n">
        <x:f>MAX(0,MIN('Activities'!L329,498)-MAX('Activities'!K329,492))</x:f>
        <x:v>0</x:v>
      </x:c>
      <x:c r="CJ329" s="23" t="n">
        <x:f>MAX(0,MIN('Activities'!L329,504)-MAX('Activities'!K329,498))</x:f>
        <x:v>0</x:v>
      </x:c>
      <x:c r="CK329" s="23" t="n">
        <x:f>MAX(0,MIN('Activities'!L329,510)-MAX('Activities'!K329,504))</x:f>
        <x:v>0</x:v>
      </x:c>
      <x:c r="CL329" s="23" t="n">
        <x:f>MAX(0,MIN('Activities'!L329,516)-MAX('Activities'!K329,510))</x:f>
        <x:v>0</x:v>
      </x:c>
      <x:c r="CM329" s="23" t="n">
        <x:f>MAX(0,MIN('Activities'!L329,522)-MAX('Activities'!K329,516))</x:f>
        <x:v>0</x:v>
      </x:c>
      <x:c r="CN329" s="23" t="n">
        <x:f>MAX(0,MIN('Activities'!L329,528)-MAX('Activities'!K329,522))</x:f>
        <x:v>0</x:v>
      </x:c>
      <x:c r="CO329" s="23" t="n">
        <x:f>MAX(0,MIN('Activities'!L329,534)-MAX('Activities'!K329,528))</x:f>
        <x:v>0</x:v>
      </x:c>
      <x:c r="CP329" s="23" t="n">
        <x:f>MAX(0,MIN('Activities'!L329,540)-MAX('Activities'!K329,534))</x:f>
        <x:v>0</x:v>
      </x:c>
      <x:c r="CQ329" s="23" t="n">
        <x:f>MAX(0,MIN('Activities'!L329,546)-MAX('Activities'!K329,540))</x:f>
        <x:v>0</x:v>
      </x:c>
      <x:c r="CR329" s="23" t="n">
        <x:f>MAX(0,MIN('Activities'!L329,552)-MAX('Activities'!K329,546))</x:f>
        <x:v>0</x:v>
      </x:c>
      <x:c r="CS329" s="23" t="n">
        <x:f>MAX(0,MIN('Activities'!L329,558)-MAX('Activities'!K329,552))</x:f>
        <x:v>0</x:v>
      </x:c>
      <x:c r="CT329" s="23" t="n">
        <x:f>MAX(0,MIN('Activities'!L329,564)-MAX('Activities'!K329,558))</x:f>
        <x:v>0</x:v>
      </x:c>
      <x:c r="CU329" s="23" t="n">
        <x:f>MAX(0,MIN('Activities'!L329,570)-MAX('Activities'!K329,564))</x:f>
        <x:v>0</x:v>
      </x:c>
      <x:c r="CV329" s="23" t="n">
        <x:f>MAX(0,MIN('Activities'!L329,576)-MAX('Activities'!K329,570))</x:f>
        <x:v>0</x:v>
      </x:c>
      <x:c r="CW329" s="23" t="n">
        <x:f>MAX(0,MIN('Activities'!L329,582)-MAX('Activities'!K329,576))</x:f>
        <x:v>0</x:v>
      </x:c>
      <x:c r="CX329" s="23" t="n">
        <x:f>MAX(0,MIN('Activities'!L329,588)-MAX('Activities'!K329,582))</x:f>
        <x:v>0</x:v>
      </x:c>
      <x:c r="CY329" s="23" t="n">
        <x:f>MAX(0,MIN('Activities'!L329,594)-MAX('Activities'!K329,588))</x:f>
        <x:v>0</x:v>
      </x:c>
      <x:c r="CZ329" s="23" t="n">
        <x:f>MAX(0,MIN('Activities'!L329,600)-MAX('Activities'!K329,594))</x:f>
        <x:v>0</x:v>
      </x:c>
      <x:c r="DA329" s="23" t="n">
        <x:f>MAX(0,MIN('Activities'!L329,606)-MAX('Activities'!K329,600))</x:f>
        <x:v>0</x:v>
      </x:c>
      <x:c r="DB329" s="23" t="n">
        <x:f>MAX(0,MIN('Activities'!L329,612)-MAX('Activities'!K329,606))</x:f>
        <x:v>0</x:v>
      </x:c>
      <x:c r="DC329" s="23" t="n">
        <x:f>MAX(0,MIN('Activities'!L329,618)-MAX('Activities'!K329,612))</x:f>
        <x:v>0</x:v>
      </x:c>
      <x:c r="DD329" s="23" t="n">
        <x:f>MAX(0,MIN('Activities'!L329,624)-MAX('Activities'!K329,618))</x:f>
        <x:v>0</x:v>
      </x:c>
      <x:c r="DE329" s="23" t="n">
        <x:f>MAX(0,MIN('Activities'!L329,630)-MAX('Activities'!K329,624))</x:f>
        <x:v>0</x:v>
      </x:c>
      <x:c r="DF329" s="23" t="n">
        <x:f>MAX(0,MIN('Activities'!L329,636)-MAX('Activities'!K329,630))</x:f>
        <x:v>0</x:v>
      </x:c>
    </x:row>
    <x:row r="330" ht="23" customHeight="1">
      <x:c r="A330" s="6" t="str">
        <x:v>T3-L12-F</x:v>
      </x:c>
      <x:c r="B330" s="6" t="str">
        <x:v>T3</x:v>
      </x:c>
      <x:c r="C330" s="6" t="str">
        <x:v>Columns, core and deck formwork</x:v>
      </x:c>
      <x:c r="D330" s="6" t="str">
        <x:v>Formwork</x:v>
      </x:c>
      <x:c r="E330" s="22" t="n">
        <x:f>MAX(0,MIN('Activities'!L330,6)-MAX('Activities'!K330,0))</x:f>
        <x:v>0</x:v>
      </x:c>
      <x:c r="F330" s="22" t="n">
        <x:f>MAX(0,MIN('Activities'!L330,12)-MAX('Activities'!K330,6))</x:f>
        <x:v>0</x:v>
      </x:c>
      <x:c r="G330" s="22" t="n">
        <x:f>MAX(0,MIN('Activities'!L330,18)-MAX('Activities'!K330,12))</x:f>
        <x:v>0</x:v>
      </x:c>
      <x:c r="H330" s="22" t="n">
        <x:f>MAX(0,MIN('Activities'!L330,24)-MAX('Activities'!K330,18))</x:f>
        <x:v>0</x:v>
      </x:c>
      <x:c r="I330" s="22" t="n">
        <x:f>MAX(0,MIN('Activities'!L330,30)-MAX('Activities'!K330,24))</x:f>
        <x:v>0</x:v>
      </x:c>
      <x:c r="J330" s="22" t="n">
        <x:f>MAX(0,MIN('Activities'!L330,36)-MAX('Activities'!K330,30))</x:f>
        <x:v>0</x:v>
      </x:c>
      <x:c r="K330" s="22" t="n">
        <x:f>MAX(0,MIN('Activities'!L330,42)-MAX('Activities'!K330,36))</x:f>
        <x:v>0</x:v>
      </x:c>
      <x:c r="L330" s="22" t="n">
        <x:f>MAX(0,MIN('Activities'!L330,48)-MAX('Activities'!K330,42))</x:f>
        <x:v>0</x:v>
      </x:c>
      <x:c r="M330" s="22" t="n">
        <x:f>MAX(0,MIN('Activities'!L330,54)-MAX('Activities'!K330,48))</x:f>
        <x:v>0</x:v>
      </x:c>
      <x:c r="N330" s="22" t="n">
        <x:f>MAX(0,MIN('Activities'!L330,60)-MAX('Activities'!K330,54))</x:f>
        <x:v>0</x:v>
      </x:c>
      <x:c r="O330" s="22" t="n">
        <x:f>MAX(0,MIN('Activities'!L330,66)-MAX('Activities'!K330,60))</x:f>
        <x:v>0</x:v>
      </x:c>
      <x:c r="P330" s="22" t="n">
        <x:f>MAX(0,MIN('Activities'!L330,72)-MAX('Activities'!K330,66))</x:f>
        <x:v>0</x:v>
      </x:c>
      <x:c r="Q330" s="22" t="n">
        <x:f>MAX(0,MIN('Activities'!L330,78)-MAX('Activities'!K330,72))</x:f>
        <x:v>0</x:v>
      </x:c>
      <x:c r="R330" s="22" t="n">
        <x:f>MAX(0,MIN('Activities'!L330,84)-MAX('Activities'!K330,78))</x:f>
        <x:v>0</x:v>
      </x:c>
      <x:c r="S330" s="22" t="n">
        <x:f>MAX(0,MIN('Activities'!L330,90)-MAX('Activities'!K330,84))</x:f>
        <x:v>0</x:v>
      </x:c>
      <x:c r="T330" s="22" t="n">
        <x:f>MAX(0,MIN('Activities'!L330,96)-MAX('Activities'!K330,90))</x:f>
        <x:v>0</x:v>
      </x:c>
      <x:c r="U330" s="22" t="n">
        <x:f>MAX(0,MIN('Activities'!L330,102)-MAX('Activities'!K330,96))</x:f>
        <x:v>0</x:v>
      </x:c>
      <x:c r="V330" s="22" t="n">
        <x:f>MAX(0,MIN('Activities'!L330,108)-MAX('Activities'!K330,102))</x:f>
        <x:v>0</x:v>
      </x:c>
      <x:c r="W330" s="22" t="n">
        <x:f>MAX(0,MIN('Activities'!L330,114)-MAX('Activities'!K330,108))</x:f>
        <x:v>0</x:v>
      </x:c>
      <x:c r="X330" s="22" t="n">
        <x:f>MAX(0,MIN('Activities'!L330,120)-MAX('Activities'!K330,114))</x:f>
        <x:v>0</x:v>
      </x:c>
      <x:c r="Y330" s="22" t="n">
        <x:f>MAX(0,MIN('Activities'!L330,126)-MAX('Activities'!K330,120))</x:f>
        <x:v>0</x:v>
      </x:c>
      <x:c r="Z330" s="22" t="n">
        <x:f>MAX(0,MIN('Activities'!L330,132)-MAX('Activities'!K330,126))</x:f>
        <x:v>0</x:v>
      </x:c>
      <x:c r="AA330" s="22" t="n">
        <x:f>MAX(0,MIN('Activities'!L330,138)-MAX('Activities'!K330,132))</x:f>
        <x:v>0</x:v>
      </x:c>
      <x:c r="AB330" s="22" t="n">
        <x:f>MAX(0,MIN('Activities'!L330,144)-MAX('Activities'!K330,138))</x:f>
        <x:v>0</x:v>
      </x:c>
      <x:c r="AC330" s="22" t="n">
        <x:f>MAX(0,MIN('Activities'!L330,150)-MAX('Activities'!K330,144))</x:f>
        <x:v>0</x:v>
      </x:c>
      <x:c r="AD330" s="22" t="n">
        <x:f>MAX(0,MIN('Activities'!L330,156)-MAX('Activities'!K330,150))</x:f>
        <x:v>0</x:v>
      </x:c>
      <x:c r="AE330" s="22" t="n">
        <x:f>MAX(0,MIN('Activities'!L330,162)-MAX('Activities'!K330,156))</x:f>
        <x:v>0</x:v>
      </x:c>
      <x:c r="AF330" s="22" t="n">
        <x:f>MAX(0,MIN('Activities'!L330,168)-MAX('Activities'!K330,162))</x:f>
        <x:v>0</x:v>
      </x:c>
      <x:c r="AG330" s="22" t="n">
        <x:f>MAX(0,MIN('Activities'!L330,174)-MAX('Activities'!K330,168))</x:f>
        <x:v>0</x:v>
      </x:c>
      <x:c r="AH330" s="22" t="n">
        <x:f>MAX(0,MIN('Activities'!L330,180)-MAX('Activities'!K330,174))</x:f>
        <x:v>0</x:v>
      </x:c>
      <x:c r="AI330" s="22" t="n">
        <x:f>MAX(0,MIN('Activities'!L330,186)-MAX('Activities'!K330,180))</x:f>
        <x:v>0</x:v>
      </x:c>
      <x:c r="AJ330" s="22" t="n">
        <x:f>MAX(0,MIN('Activities'!L330,192)-MAX('Activities'!K330,186))</x:f>
        <x:v>0</x:v>
      </x:c>
      <x:c r="AK330" s="22" t="n">
        <x:f>MAX(0,MIN('Activities'!L330,198)-MAX('Activities'!K330,192))</x:f>
        <x:v>0</x:v>
      </x:c>
      <x:c r="AL330" s="22" t="n">
        <x:f>MAX(0,MIN('Activities'!L330,204)-MAX('Activities'!K330,198))</x:f>
        <x:v>0</x:v>
      </x:c>
      <x:c r="AM330" s="22" t="n">
        <x:f>MAX(0,MIN('Activities'!L330,210)-MAX('Activities'!K330,204))</x:f>
        <x:v>0</x:v>
      </x:c>
      <x:c r="AN330" s="22" t="n">
        <x:f>MAX(0,MIN('Activities'!L330,216)-MAX('Activities'!K330,210))</x:f>
        <x:v>0</x:v>
      </x:c>
      <x:c r="AO330" s="22" t="n">
        <x:f>MAX(0,MIN('Activities'!L330,222)-MAX('Activities'!K330,216))</x:f>
        <x:v>0</x:v>
      </x:c>
      <x:c r="AP330" s="22" t="n">
        <x:f>MAX(0,MIN('Activities'!L330,228)-MAX('Activities'!K330,222))</x:f>
        <x:v>0</x:v>
      </x:c>
      <x:c r="AQ330" s="22" t="n">
        <x:f>MAX(0,MIN('Activities'!L330,234)-MAX('Activities'!K330,228))</x:f>
        <x:v>0</x:v>
      </x:c>
      <x:c r="AR330" s="22" t="n">
        <x:f>MAX(0,MIN('Activities'!L330,240)-MAX('Activities'!K330,234))</x:f>
        <x:v>0</x:v>
      </x:c>
      <x:c r="AS330" s="22" t="n">
        <x:f>MAX(0,MIN('Activities'!L330,246)-MAX('Activities'!K330,240))</x:f>
        <x:v>0</x:v>
      </x:c>
      <x:c r="AT330" s="22" t="n">
        <x:f>MAX(0,MIN('Activities'!L330,252)-MAX('Activities'!K330,246))</x:f>
        <x:v>0</x:v>
      </x:c>
      <x:c r="AU330" s="22" t="n">
        <x:f>MAX(0,MIN('Activities'!L330,258)-MAX('Activities'!K330,252))</x:f>
        <x:v>0</x:v>
      </x:c>
      <x:c r="AV330" s="22" t="n">
        <x:f>MAX(0,MIN('Activities'!L330,264)-MAX('Activities'!K330,258))</x:f>
        <x:v>0</x:v>
      </x:c>
      <x:c r="AW330" s="22" t="n">
        <x:f>MAX(0,MIN('Activities'!L330,270)-MAX('Activities'!K330,264))</x:f>
        <x:v>0</x:v>
      </x:c>
      <x:c r="AX330" s="22" t="n">
        <x:f>MAX(0,MIN('Activities'!L330,276)-MAX('Activities'!K330,270))</x:f>
        <x:v>0</x:v>
      </x:c>
      <x:c r="AY330" s="22" t="n">
        <x:f>MAX(0,MIN('Activities'!L330,282)-MAX('Activities'!K330,276))</x:f>
        <x:v>0</x:v>
      </x:c>
      <x:c r="AZ330" s="22" t="n">
        <x:f>MAX(0,MIN('Activities'!L330,288)-MAX('Activities'!K330,282))</x:f>
        <x:v>0</x:v>
      </x:c>
      <x:c r="BA330" s="22" t="n">
        <x:f>MAX(0,MIN('Activities'!L330,294)-MAX('Activities'!K330,288))</x:f>
        <x:v>0</x:v>
      </x:c>
      <x:c r="BB330" s="22" t="n">
        <x:f>MAX(0,MIN('Activities'!L330,300)-MAX('Activities'!K330,294))</x:f>
        <x:v>0</x:v>
      </x:c>
      <x:c r="BC330" s="22" t="n">
        <x:f>MAX(0,MIN('Activities'!L330,306)-MAX('Activities'!K330,300))</x:f>
        <x:v>0</x:v>
      </x:c>
      <x:c r="BD330" s="22" t="n">
        <x:f>MAX(0,MIN('Activities'!L330,312)-MAX('Activities'!K330,306))</x:f>
        <x:v>0</x:v>
      </x:c>
      <x:c r="BE330" s="22" t="n">
        <x:f>MAX(0,MIN('Activities'!L330,318)-MAX('Activities'!K330,312))</x:f>
        <x:v>0</x:v>
      </x:c>
      <x:c r="BF330" s="22" t="n">
        <x:f>MAX(0,MIN('Activities'!L330,324)-MAX('Activities'!K330,318))</x:f>
        <x:v>0</x:v>
      </x:c>
      <x:c r="BG330" s="22" t="n">
        <x:f>MAX(0,MIN('Activities'!L330,330)-MAX('Activities'!K330,324))</x:f>
        <x:v>0</x:v>
      </x:c>
      <x:c r="BH330" s="22" t="n">
        <x:f>MAX(0,MIN('Activities'!L330,336)-MAX('Activities'!K330,330))</x:f>
        <x:v>0</x:v>
      </x:c>
      <x:c r="BI330" s="22" t="n">
        <x:f>MAX(0,MIN('Activities'!L330,342)-MAX('Activities'!K330,336))</x:f>
        <x:v>0</x:v>
      </x:c>
      <x:c r="BJ330" s="22" t="n">
        <x:f>MAX(0,MIN('Activities'!L330,348)-MAX('Activities'!K330,342))</x:f>
        <x:v>0</x:v>
      </x:c>
      <x:c r="BK330" s="22" t="n">
        <x:f>MAX(0,MIN('Activities'!L330,354)-MAX('Activities'!K330,348))</x:f>
        <x:v>0</x:v>
      </x:c>
      <x:c r="BL330" s="22" t="n">
        <x:f>MAX(0,MIN('Activities'!L330,360)-MAX('Activities'!K330,354))</x:f>
        <x:v>0</x:v>
      </x:c>
      <x:c r="BM330" s="22" t="n">
        <x:f>MAX(0,MIN('Activities'!L330,366)-MAX('Activities'!K330,360))</x:f>
        <x:v>0</x:v>
      </x:c>
      <x:c r="BN330" s="22" t="n">
        <x:f>MAX(0,MIN('Activities'!L330,372)-MAX('Activities'!K330,366))</x:f>
        <x:v>0</x:v>
      </x:c>
      <x:c r="BO330" s="22" t="n">
        <x:f>MAX(0,MIN('Activities'!L330,378)-MAX('Activities'!K330,372))</x:f>
        <x:v>4</x:v>
      </x:c>
      <x:c r="BP330" s="22" t="n">
        <x:f>MAX(0,MIN('Activities'!L330,384)-MAX('Activities'!K330,378))</x:f>
        <x:v>2</x:v>
      </x:c>
      <x:c r="BQ330" s="22" t="n">
        <x:f>MAX(0,MIN('Activities'!L330,390)-MAX('Activities'!K330,384))</x:f>
        <x:v>0</x:v>
      </x:c>
      <x:c r="BR330" s="22" t="n">
        <x:f>MAX(0,MIN('Activities'!L330,396)-MAX('Activities'!K330,390))</x:f>
        <x:v>0</x:v>
      </x:c>
      <x:c r="BS330" s="22" t="n">
        <x:f>MAX(0,MIN('Activities'!L330,402)-MAX('Activities'!K330,396))</x:f>
        <x:v>0</x:v>
      </x:c>
      <x:c r="BT330" s="22" t="n">
        <x:f>MAX(0,MIN('Activities'!L330,408)-MAX('Activities'!K330,402))</x:f>
        <x:v>0</x:v>
      </x:c>
      <x:c r="BU330" s="22" t="n">
        <x:f>MAX(0,MIN('Activities'!L330,414)-MAX('Activities'!K330,408))</x:f>
        <x:v>0</x:v>
      </x:c>
      <x:c r="BV330" s="22" t="n">
        <x:f>MAX(0,MIN('Activities'!L330,420)-MAX('Activities'!K330,414))</x:f>
        <x:v>0</x:v>
      </x:c>
      <x:c r="BW330" s="22" t="n">
        <x:f>MAX(0,MIN('Activities'!L330,426)-MAX('Activities'!K330,420))</x:f>
        <x:v>0</x:v>
      </x:c>
      <x:c r="BX330" s="22" t="n">
        <x:f>MAX(0,MIN('Activities'!L330,432)-MAX('Activities'!K330,426))</x:f>
        <x:v>0</x:v>
      </x:c>
      <x:c r="BY330" s="22" t="n">
        <x:f>MAX(0,MIN('Activities'!L330,438)-MAX('Activities'!K330,432))</x:f>
        <x:v>0</x:v>
      </x:c>
      <x:c r="BZ330" s="22" t="n">
        <x:f>MAX(0,MIN('Activities'!L330,444)-MAX('Activities'!K330,438))</x:f>
        <x:v>0</x:v>
      </x:c>
      <x:c r="CA330" s="22" t="n">
        <x:f>MAX(0,MIN('Activities'!L330,450)-MAX('Activities'!K330,444))</x:f>
        <x:v>0</x:v>
      </x:c>
      <x:c r="CB330" s="22" t="n">
        <x:f>MAX(0,MIN('Activities'!L330,456)-MAX('Activities'!K330,450))</x:f>
        <x:v>0</x:v>
      </x:c>
      <x:c r="CC330" s="22" t="n">
        <x:f>MAX(0,MIN('Activities'!L330,462)-MAX('Activities'!K330,456))</x:f>
        <x:v>0</x:v>
      </x:c>
      <x:c r="CD330" s="22" t="n">
        <x:f>MAX(0,MIN('Activities'!L330,468)-MAX('Activities'!K330,462))</x:f>
        <x:v>0</x:v>
      </x:c>
      <x:c r="CE330" s="22" t="n">
        <x:f>MAX(0,MIN('Activities'!L330,474)-MAX('Activities'!K330,468))</x:f>
        <x:v>0</x:v>
      </x:c>
      <x:c r="CF330" s="22" t="n">
        <x:f>MAX(0,MIN('Activities'!L330,480)-MAX('Activities'!K330,474))</x:f>
        <x:v>0</x:v>
      </x:c>
      <x:c r="CG330" s="22" t="n">
        <x:f>MAX(0,MIN('Activities'!L330,486)-MAX('Activities'!K330,480))</x:f>
        <x:v>0</x:v>
      </x:c>
      <x:c r="CH330" s="22" t="n">
        <x:f>MAX(0,MIN('Activities'!L330,492)-MAX('Activities'!K330,486))</x:f>
        <x:v>0</x:v>
      </x:c>
      <x:c r="CI330" s="22" t="n">
        <x:f>MAX(0,MIN('Activities'!L330,498)-MAX('Activities'!K330,492))</x:f>
        <x:v>0</x:v>
      </x:c>
      <x:c r="CJ330" s="22" t="n">
        <x:f>MAX(0,MIN('Activities'!L330,504)-MAX('Activities'!K330,498))</x:f>
        <x:v>0</x:v>
      </x:c>
      <x:c r="CK330" s="22" t="n">
        <x:f>MAX(0,MIN('Activities'!L330,510)-MAX('Activities'!K330,504))</x:f>
        <x:v>0</x:v>
      </x:c>
      <x:c r="CL330" s="22" t="n">
        <x:f>MAX(0,MIN('Activities'!L330,516)-MAX('Activities'!K330,510))</x:f>
        <x:v>0</x:v>
      </x:c>
      <x:c r="CM330" s="22" t="n">
        <x:f>MAX(0,MIN('Activities'!L330,522)-MAX('Activities'!K330,516))</x:f>
        <x:v>0</x:v>
      </x:c>
      <x:c r="CN330" s="22" t="n">
        <x:f>MAX(0,MIN('Activities'!L330,528)-MAX('Activities'!K330,522))</x:f>
        <x:v>0</x:v>
      </x:c>
      <x:c r="CO330" s="22" t="n">
        <x:f>MAX(0,MIN('Activities'!L330,534)-MAX('Activities'!K330,528))</x:f>
        <x:v>0</x:v>
      </x:c>
      <x:c r="CP330" s="22" t="n">
        <x:f>MAX(0,MIN('Activities'!L330,540)-MAX('Activities'!K330,534))</x:f>
        <x:v>0</x:v>
      </x:c>
      <x:c r="CQ330" s="22" t="n">
        <x:f>MAX(0,MIN('Activities'!L330,546)-MAX('Activities'!K330,540))</x:f>
        <x:v>0</x:v>
      </x:c>
      <x:c r="CR330" s="22" t="n">
        <x:f>MAX(0,MIN('Activities'!L330,552)-MAX('Activities'!K330,546))</x:f>
        <x:v>0</x:v>
      </x:c>
      <x:c r="CS330" s="22" t="n">
        <x:f>MAX(0,MIN('Activities'!L330,558)-MAX('Activities'!K330,552))</x:f>
        <x:v>0</x:v>
      </x:c>
      <x:c r="CT330" s="22" t="n">
        <x:f>MAX(0,MIN('Activities'!L330,564)-MAX('Activities'!K330,558))</x:f>
        <x:v>0</x:v>
      </x:c>
      <x:c r="CU330" s="22" t="n">
        <x:f>MAX(0,MIN('Activities'!L330,570)-MAX('Activities'!K330,564))</x:f>
        <x:v>0</x:v>
      </x:c>
      <x:c r="CV330" s="22" t="n">
        <x:f>MAX(0,MIN('Activities'!L330,576)-MAX('Activities'!K330,570))</x:f>
        <x:v>0</x:v>
      </x:c>
      <x:c r="CW330" s="22" t="n">
        <x:f>MAX(0,MIN('Activities'!L330,582)-MAX('Activities'!K330,576))</x:f>
        <x:v>0</x:v>
      </x:c>
      <x:c r="CX330" s="22" t="n">
        <x:f>MAX(0,MIN('Activities'!L330,588)-MAX('Activities'!K330,582))</x:f>
        <x:v>0</x:v>
      </x:c>
      <x:c r="CY330" s="22" t="n">
        <x:f>MAX(0,MIN('Activities'!L330,594)-MAX('Activities'!K330,588))</x:f>
        <x:v>0</x:v>
      </x:c>
      <x:c r="CZ330" s="22" t="n">
        <x:f>MAX(0,MIN('Activities'!L330,600)-MAX('Activities'!K330,594))</x:f>
        <x:v>0</x:v>
      </x:c>
      <x:c r="DA330" s="22" t="n">
        <x:f>MAX(0,MIN('Activities'!L330,606)-MAX('Activities'!K330,600))</x:f>
        <x:v>0</x:v>
      </x:c>
      <x:c r="DB330" s="22" t="n">
        <x:f>MAX(0,MIN('Activities'!L330,612)-MAX('Activities'!K330,606))</x:f>
        <x:v>0</x:v>
      </x:c>
      <x:c r="DC330" s="22" t="n">
        <x:f>MAX(0,MIN('Activities'!L330,618)-MAX('Activities'!K330,612))</x:f>
        <x:v>0</x:v>
      </x:c>
      <x:c r="DD330" s="22" t="n">
        <x:f>MAX(0,MIN('Activities'!L330,624)-MAX('Activities'!K330,618))</x:f>
        <x:v>0</x:v>
      </x:c>
      <x:c r="DE330" s="22" t="n">
        <x:f>MAX(0,MIN('Activities'!L330,630)-MAX('Activities'!K330,624))</x:f>
        <x:v>0</x:v>
      </x:c>
      <x:c r="DF330" s="22" t="n">
        <x:f>MAX(0,MIN('Activities'!L330,636)-MAX('Activities'!K330,630))</x:f>
        <x:v>0</x:v>
      </x:c>
    </x:row>
    <x:row r="331" ht="23" customHeight="1">
      <x:c r="A331" s="1" t="str">
        <x:v>T3-L12-R</x:v>
      </x:c>
      <x:c r="B331" s="1" t="str">
        <x:v>T3</x:v>
      </x:c>
      <x:c r="C331" s="1" t="str">
        <x:v>Column, wall, beam and slab reinforcement</x:v>
      </x:c>
      <x:c r="D331" s="1" t="str">
        <x:v>Rebar</x:v>
      </x:c>
      <x:c r="E331" s="23" t="n">
        <x:f>MAX(0,MIN('Activities'!L331,6)-MAX('Activities'!K331,0))</x:f>
        <x:v>0</x:v>
      </x:c>
      <x:c r="F331" s="23" t="n">
        <x:f>MAX(0,MIN('Activities'!L331,12)-MAX('Activities'!K331,6))</x:f>
        <x:v>0</x:v>
      </x:c>
      <x:c r="G331" s="23" t="n">
        <x:f>MAX(0,MIN('Activities'!L331,18)-MAX('Activities'!K331,12))</x:f>
        <x:v>0</x:v>
      </x:c>
      <x:c r="H331" s="23" t="n">
        <x:f>MAX(0,MIN('Activities'!L331,24)-MAX('Activities'!K331,18))</x:f>
        <x:v>0</x:v>
      </x:c>
      <x:c r="I331" s="23" t="n">
        <x:f>MAX(0,MIN('Activities'!L331,30)-MAX('Activities'!K331,24))</x:f>
        <x:v>0</x:v>
      </x:c>
      <x:c r="J331" s="23" t="n">
        <x:f>MAX(0,MIN('Activities'!L331,36)-MAX('Activities'!K331,30))</x:f>
        <x:v>0</x:v>
      </x:c>
      <x:c r="K331" s="23" t="n">
        <x:f>MAX(0,MIN('Activities'!L331,42)-MAX('Activities'!K331,36))</x:f>
        <x:v>0</x:v>
      </x:c>
      <x:c r="L331" s="23" t="n">
        <x:f>MAX(0,MIN('Activities'!L331,48)-MAX('Activities'!K331,42))</x:f>
        <x:v>0</x:v>
      </x:c>
      <x:c r="M331" s="23" t="n">
        <x:f>MAX(0,MIN('Activities'!L331,54)-MAX('Activities'!K331,48))</x:f>
        <x:v>0</x:v>
      </x:c>
      <x:c r="N331" s="23" t="n">
        <x:f>MAX(0,MIN('Activities'!L331,60)-MAX('Activities'!K331,54))</x:f>
        <x:v>0</x:v>
      </x:c>
      <x:c r="O331" s="23" t="n">
        <x:f>MAX(0,MIN('Activities'!L331,66)-MAX('Activities'!K331,60))</x:f>
        <x:v>0</x:v>
      </x:c>
      <x:c r="P331" s="23" t="n">
        <x:f>MAX(0,MIN('Activities'!L331,72)-MAX('Activities'!K331,66))</x:f>
        <x:v>0</x:v>
      </x:c>
      <x:c r="Q331" s="23" t="n">
        <x:f>MAX(0,MIN('Activities'!L331,78)-MAX('Activities'!K331,72))</x:f>
        <x:v>0</x:v>
      </x:c>
      <x:c r="R331" s="23" t="n">
        <x:f>MAX(0,MIN('Activities'!L331,84)-MAX('Activities'!K331,78))</x:f>
        <x:v>0</x:v>
      </x:c>
      <x:c r="S331" s="23" t="n">
        <x:f>MAX(0,MIN('Activities'!L331,90)-MAX('Activities'!K331,84))</x:f>
        <x:v>0</x:v>
      </x:c>
      <x:c r="T331" s="23" t="n">
        <x:f>MAX(0,MIN('Activities'!L331,96)-MAX('Activities'!K331,90))</x:f>
        <x:v>0</x:v>
      </x:c>
      <x:c r="U331" s="23" t="n">
        <x:f>MAX(0,MIN('Activities'!L331,102)-MAX('Activities'!K331,96))</x:f>
        <x:v>0</x:v>
      </x:c>
      <x:c r="V331" s="23" t="n">
        <x:f>MAX(0,MIN('Activities'!L331,108)-MAX('Activities'!K331,102))</x:f>
        <x:v>0</x:v>
      </x:c>
      <x:c r="W331" s="23" t="n">
        <x:f>MAX(0,MIN('Activities'!L331,114)-MAX('Activities'!K331,108))</x:f>
        <x:v>0</x:v>
      </x:c>
      <x:c r="X331" s="23" t="n">
        <x:f>MAX(0,MIN('Activities'!L331,120)-MAX('Activities'!K331,114))</x:f>
        <x:v>0</x:v>
      </x:c>
      <x:c r="Y331" s="23" t="n">
        <x:f>MAX(0,MIN('Activities'!L331,126)-MAX('Activities'!K331,120))</x:f>
        <x:v>0</x:v>
      </x:c>
      <x:c r="Z331" s="23" t="n">
        <x:f>MAX(0,MIN('Activities'!L331,132)-MAX('Activities'!K331,126))</x:f>
        <x:v>0</x:v>
      </x:c>
      <x:c r="AA331" s="23" t="n">
        <x:f>MAX(0,MIN('Activities'!L331,138)-MAX('Activities'!K331,132))</x:f>
        <x:v>0</x:v>
      </x:c>
      <x:c r="AB331" s="23" t="n">
        <x:f>MAX(0,MIN('Activities'!L331,144)-MAX('Activities'!K331,138))</x:f>
        <x:v>0</x:v>
      </x:c>
      <x:c r="AC331" s="23" t="n">
        <x:f>MAX(0,MIN('Activities'!L331,150)-MAX('Activities'!K331,144))</x:f>
        <x:v>0</x:v>
      </x:c>
      <x:c r="AD331" s="23" t="n">
        <x:f>MAX(0,MIN('Activities'!L331,156)-MAX('Activities'!K331,150))</x:f>
        <x:v>0</x:v>
      </x:c>
      <x:c r="AE331" s="23" t="n">
        <x:f>MAX(0,MIN('Activities'!L331,162)-MAX('Activities'!K331,156))</x:f>
        <x:v>0</x:v>
      </x:c>
      <x:c r="AF331" s="23" t="n">
        <x:f>MAX(0,MIN('Activities'!L331,168)-MAX('Activities'!K331,162))</x:f>
        <x:v>0</x:v>
      </x:c>
      <x:c r="AG331" s="23" t="n">
        <x:f>MAX(0,MIN('Activities'!L331,174)-MAX('Activities'!K331,168))</x:f>
        <x:v>0</x:v>
      </x:c>
      <x:c r="AH331" s="23" t="n">
        <x:f>MAX(0,MIN('Activities'!L331,180)-MAX('Activities'!K331,174))</x:f>
        <x:v>0</x:v>
      </x:c>
      <x:c r="AI331" s="23" t="n">
        <x:f>MAX(0,MIN('Activities'!L331,186)-MAX('Activities'!K331,180))</x:f>
        <x:v>0</x:v>
      </x:c>
      <x:c r="AJ331" s="23" t="n">
        <x:f>MAX(0,MIN('Activities'!L331,192)-MAX('Activities'!K331,186))</x:f>
        <x:v>0</x:v>
      </x:c>
      <x:c r="AK331" s="23" t="n">
        <x:f>MAX(0,MIN('Activities'!L331,198)-MAX('Activities'!K331,192))</x:f>
        <x:v>0</x:v>
      </x:c>
      <x:c r="AL331" s="23" t="n">
        <x:f>MAX(0,MIN('Activities'!L331,204)-MAX('Activities'!K331,198))</x:f>
        <x:v>0</x:v>
      </x:c>
      <x:c r="AM331" s="23" t="n">
        <x:f>MAX(0,MIN('Activities'!L331,210)-MAX('Activities'!K331,204))</x:f>
        <x:v>0</x:v>
      </x:c>
      <x:c r="AN331" s="23" t="n">
        <x:f>MAX(0,MIN('Activities'!L331,216)-MAX('Activities'!K331,210))</x:f>
        <x:v>0</x:v>
      </x:c>
      <x:c r="AO331" s="23" t="n">
        <x:f>MAX(0,MIN('Activities'!L331,222)-MAX('Activities'!K331,216))</x:f>
        <x:v>0</x:v>
      </x:c>
      <x:c r="AP331" s="23" t="n">
        <x:f>MAX(0,MIN('Activities'!L331,228)-MAX('Activities'!K331,222))</x:f>
        <x:v>0</x:v>
      </x:c>
      <x:c r="AQ331" s="23" t="n">
        <x:f>MAX(0,MIN('Activities'!L331,234)-MAX('Activities'!K331,228))</x:f>
        <x:v>0</x:v>
      </x:c>
      <x:c r="AR331" s="23" t="n">
        <x:f>MAX(0,MIN('Activities'!L331,240)-MAX('Activities'!K331,234))</x:f>
        <x:v>0</x:v>
      </x:c>
      <x:c r="AS331" s="23" t="n">
        <x:f>MAX(0,MIN('Activities'!L331,246)-MAX('Activities'!K331,240))</x:f>
        <x:v>0</x:v>
      </x:c>
      <x:c r="AT331" s="23" t="n">
        <x:f>MAX(0,MIN('Activities'!L331,252)-MAX('Activities'!K331,246))</x:f>
        <x:v>0</x:v>
      </x:c>
      <x:c r="AU331" s="23" t="n">
        <x:f>MAX(0,MIN('Activities'!L331,258)-MAX('Activities'!K331,252))</x:f>
        <x:v>0</x:v>
      </x:c>
      <x:c r="AV331" s="23" t="n">
        <x:f>MAX(0,MIN('Activities'!L331,264)-MAX('Activities'!K331,258))</x:f>
        <x:v>0</x:v>
      </x:c>
      <x:c r="AW331" s="23" t="n">
        <x:f>MAX(0,MIN('Activities'!L331,270)-MAX('Activities'!K331,264))</x:f>
        <x:v>0</x:v>
      </x:c>
      <x:c r="AX331" s="23" t="n">
        <x:f>MAX(0,MIN('Activities'!L331,276)-MAX('Activities'!K331,270))</x:f>
        <x:v>0</x:v>
      </x:c>
      <x:c r="AY331" s="23" t="n">
        <x:f>MAX(0,MIN('Activities'!L331,282)-MAX('Activities'!K331,276))</x:f>
        <x:v>0</x:v>
      </x:c>
      <x:c r="AZ331" s="23" t="n">
        <x:f>MAX(0,MIN('Activities'!L331,288)-MAX('Activities'!K331,282))</x:f>
        <x:v>0</x:v>
      </x:c>
      <x:c r="BA331" s="23" t="n">
        <x:f>MAX(0,MIN('Activities'!L331,294)-MAX('Activities'!K331,288))</x:f>
        <x:v>0</x:v>
      </x:c>
      <x:c r="BB331" s="23" t="n">
        <x:f>MAX(0,MIN('Activities'!L331,300)-MAX('Activities'!K331,294))</x:f>
        <x:v>0</x:v>
      </x:c>
      <x:c r="BC331" s="23" t="n">
        <x:f>MAX(0,MIN('Activities'!L331,306)-MAX('Activities'!K331,300))</x:f>
        <x:v>0</x:v>
      </x:c>
      <x:c r="BD331" s="23" t="n">
        <x:f>MAX(0,MIN('Activities'!L331,312)-MAX('Activities'!K331,306))</x:f>
        <x:v>0</x:v>
      </x:c>
      <x:c r="BE331" s="23" t="n">
        <x:f>MAX(0,MIN('Activities'!L331,318)-MAX('Activities'!K331,312))</x:f>
        <x:v>0</x:v>
      </x:c>
      <x:c r="BF331" s="23" t="n">
        <x:f>MAX(0,MIN('Activities'!L331,324)-MAX('Activities'!K331,318))</x:f>
        <x:v>0</x:v>
      </x:c>
      <x:c r="BG331" s="23" t="n">
        <x:f>MAX(0,MIN('Activities'!L331,330)-MAX('Activities'!K331,324))</x:f>
        <x:v>0</x:v>
      </x:c>
      <x:c r="BH331" s="23" t="n">
        <x:f>MAX(0,MIN('Activities'!L331,336)-MAX('Activities'!K331,330))</x:f>
        <x:v>0</x:v>
      </x:c>
      <x:c r="BI331" s="23" t="n">
        <x:f>MAX(0,MIN('Activities'!L331,342)-MAX('Activities'!K331,336))</x:f>
        <x:v>0</x:v>
      </x:c>
      <x:c r="BJ331" s="23" t="n">
        <x:f>MAX(0,MIN('Activities'!L331,348)-MAX('Activities'!K331,342))</x:f>
        <x:v>0</x:v>
      </x:c>
      <x:c r="BK331" s="23" t="n">
        <x:f>MAX(0,MIN('Activities'!L331,354)-MAX('Activities'!K331,348))</x:f>
        <x:v>0</x:v>
      </x:c>
      <x:c r="BL331" s="23" t="n">
        <x:f>MAX(0,MIN('Activities'!L331,360)-MAX('Activities'!K331,354))</x:f>
        <x:v>0</x:v>
      </x:c>
      <x:c r="BM331" s="23" t="n">
        <x:f>MAX(0,MIN('Activities'!L331,366)-MAX('Activities'!K331,360))</x:f>
        <x:v>0</x:v>
      </x:c>
      <x:c r="BN331" s="23" t="n">
        <x:f>MAX(0,MIN('Activities'!L331,372)-MAX('Activities'!K331,366))</x:f>
        <x:v>0</x:v>
      </x:c>
      <x:c r="BO331" s="23" t="n">
        <x:f>MAX(0,MIN('Activities'!L331,378)-MAX('Activities'!K331,372))</x:f>
        <x:v>0</x:v>
      </x:c>
      <x:c r="BP331" s="23" t="n">
        <x:f>MAX(0,MIN('Activities'!L331,384)-MAX('Activities'!K331,378))</x:f>
        <x:v>4</x:v>
      </x:c>
      <x:c r="BQ331" s="23" t="n">
        <x:f>MAX(0,MIN('Activities'!L331,390)-MAX('Activities'!K331,384))</x:f>
        <x:v>1</x:v>
      </x:c>
      <x:c r="BR331" s="23" t="n">
        <x:f>MAX(0,MIN('Activities'!L331,396)-MAX('Activities'!K331,390))</x:f>
        <x:v>0</x:v>
      </x:c>
      <x:c r="BS331" s="23" t="n">
        <x:f>MAX(0,MIN('Activities'!L331,402)-MAX('Activities'!K331,396))</x:f>
        <x:v>0</x:v>
      </x:c>
      <x:c r="BT331" s="23" t="n">
        <x:f>MAX(0,MIN('Activities'!L331,408)-MAX('Activities'!K331,402))</x:f>
        <x:v>0</x:v>
      </x:c>
      <x:c r="BU331" s="23" t="n">
        <x:f>MAX(0,MIN('Activities'!L331,414)-MAX('Activities'!K331,408))</x:f>
        <x:v>0</x:v>
      </x:c>
      <x:c r="BV331" s="23" t="n">
        <x:f>MAX(0,MIN('Activities'!L331,420)-MAX('Activities'!K331,414))</x:f>
        <x:v>0</x:v>
      </x:c>
      <x:c r="BW331" s="23" t="n">
        <x:f>MAX(0,MIN('Activities'!L331,426)-MAX('Activities'!K331,420))</x:f>
        <x:v>0</x:v>
      </x:c>
      <x:c r="BX331" s="23" t="n">
        <x:f>MAX(0,MIN('Activities'!L331,432)-MAX('Activities'!K331,426))</x:f>
        <x:v>0</x:v>
      </x:c>
      <x:c r="BY331" s="23" t="n">
        <x:f>MAX(0,MIN('Activities'!L331,438)-MAX('Activities'!K331,432))</x:f>
        <x:v>0</x:v>
      </x:c>
      <x:c r="BZ331" s="23" t="n">
        <x:f>MAX(0,MIN('Activities'!L331,444)-MAX('Activities'!K331,438))</x:f>
        <x:v>0</x:v>
      </x:c>
      <x:c r="CA331" s="23" t="n">
        <x:f>MAX(0,MIN('Activities'!L331,450)-MAX('Activities'!K331,444))</x:f>
        <x:v>0</x:v>
      </x:c>
      <x:c r="CB331" s="23" t="n">
        <x:f>MAX(0,MIN('Activities'!L331,456)-MAX('Activities'!K331,450))</x:f>
        <x:v>0</x:v>
      </x:c>
      <x:c r="CC331" s="23" t="n">
        <x:f>MAX(0,MIN('Activities'!L331,462)-MAX('Activities'!K331,456))</x:f>
        <x:v>0</x:v>
      </x:c>
      <x:c r="CD331" s="23" t="n">
        <x:f>MAX(0,MIN('Activities'!L331,468)-MAX('Activities'!K331,462))</x:f>
        <x:v>0</x:v>
      </x:c>
      <x:c r="CE331" s="23" t="n">
        <x:f>MAX(0,MIN('Activities'!L331,474)-MAX('Activities'!K331,468))</x:f>
        <x:v>0</x:v>
      </x:c>
      <x:c r="CF331" s="23" t="n">
        <x:f>MAX(0,MIN('Activities'!L331,480)-MAX('Activities'!K331,474))</x:f>
        <x:v>0</x:v>
      </x:c>
      <x:c r="CG331" s="23" t="n">
        <x:f>MAX(0,MIN('Activities'!L331,486)-MAX('Activities'!K331,480))</x:f>
        <x:v>0</x:v>
      </x:c>
      <x:c r="CH331" s="23" t="n">
        <x:f>MAX(0,MIN('Activities'!L331,492)-MAX('Activities'!K331,486))</x:f>
        <x:v>0</x:v>
      </x:c>
      <x:c r="CI331" s="23" t="n">
        <x:f>MAX(0,MIN('Activities'!L331,498)-MAX('Activities'!K331,492))</x:f>
        <x:v>0</x:v>
      </x:c>
      <x:c r="CJ331" s="23" t="n">
        <x:f>MAX(0,MIN('Activities'!L331,504)-MAX('Activities'!K331,498))</x:f>
        <x:v>0</x:v>
      </x:c>
      <x:c r="CK331" s="23" t="n">
        <x:f>MAX(0,MIN('Activities'!L331,510)-MAX('Activities'!K331,504))</x:f>
        <x:v>0</x:v>
      </x:c>
      <x:c r="CL331" s="23" t="n">
        <x:f>MAX(0,MIN('Activities'!L331,516)-MAX('Activities'!K331,510))</x:f>
        <x:v>0</x:v>
      </x:c>
      <x:c r="CM331" s="23" t="n">
        <x:f>MAX(0,MIN('Activities'!L331,522)-MAX('Activities'!K331,516))</x:f>
        <x:v>0</x:v>
      </x:c>
      <x:c r="CN331" s="23" t="n">
        <x:f>MAX(0,MIN('Activities'!L331,528)-MAX('Activities'!K331,522))</x:f>
        <x:v>0</x:v>
      </x:c>
      <x:c r="CO331" s="23" t="n">
        <x:f>MAX(0,MIN('Activities'!L331,534)-MAX('Activities'!K331,528))</x:f>
        <x:v>0</x:v>
      </x:c>
      <x:c r="CP331" s="23" t="n">
        <x:f>MAX(0,MIN('Activities'!L331,540)-MAX('Activities'!K331,534))</x:f>
        <x:v>0</x:v>
      </x:c>
      <x:c r="CQ331" s="23" t="n">
        <x:f>MAX(0,MIN('Activities'!L331,546)-MAX('Activities'!K331,540))</x:f>
        <x:v>0</x:v>
      </x:c>
      <x:c r="CR331" s="23" t="n">
        <x:f>MAX(0,MIN('Activities'!L331,552)-MAX('Activities'!K331,546))</x:f>
        <x:v>0</x:v>
      </x:c>
      <x:c r="CS331" s="23" t="n">
        <x:f>MAX(0,MIN('Activities'!L331,558)-MAX('Activities'!K331,552))</x:f>
        <x:v>0</x:v>
      </x:c>
      <x:c r="CT331" s="23" t="n">
        <x:f>MAX(0,MIN('Activities'!L331,564)-MAX('Activities'!K331,558))</x:f>
        <x:v>0</x:v>
      </x:c>
      <x:c r="CU331" s="23" t="n">
        <x:f>MAX(0,MIN('Activities'!L331,570)-MAX('Activities'!K331,564))</x:f>
        <x:v>0</x:v>
      </x:c>
      <x:c r="CV331" s="23" t="n">
        <x:f>MAX(0,MIN('Activities'!L331,576)-MAX('Activities'!K331,570))</x:f>
        <x:v>0</x:v>
      </x:c>
      <x:c r="CW331" s="23" t="n">
        <x:f>MAX(0,MIN('Activities'!L331,582)-MAX('Activities'!K331,576))</x:f>
        <x:v>0</x:v>
      </x:c>
      <x:c r="CX331" s="23" t="n">
        <x:f>MAX(0,MIN('Activities'!L331,588)-MAX('Activities'!K331,582))</x:f>
        <x:v>0</x:v>
      </x:c>
      <x:c r="CY331" s="23" t="n">
        <x:f>MAX(0,MIN('Activities'!L331,594)-MAX('Activities'!K331,588))</x:f>
        <x:v>0</x:v>
      </x:c>
      <x:c r="CZ331" s="23" t="n">
        <x:f>MAX(0,MIN('Activities'!L331,600)-MAX('Activities'!K331,594))</x:f>
        <x:v>0</x:v>
      </x:c>
      <x:c r="DA331" s="23" t="n">
        <x:f>MAX(0,MIN('Activities'!L331,606)-MAX('Activities'!K331,600))</x:f>
        <x:v>0</x:v>
      </x:c>
      <x:c r="DB331" s="23" t="n">
        <x:f>MAX(0,MIN('Activities'!L331,612)-MAX('Activities'!K331,606))</x:f>
        <x:v>0</x:v>
      </x:c>
      <x:c r="DC331" s="23" t="n">
        <x:f>MAX(0,MIN('Activities'!L331,618)-MAX('Activities'!K331,612))</x:f>
        <x:v>0</x:v>
      </x:c>
      <x:c r="DD331" s="23" t="n">
        <x:f>MAX(0,MIN('Activities'!L331,624)-MAX('Activities'!K331,618))</x:f>
        <x:v>0</x:v>
      </x:c>
      <x:c r="DE331" s="23" t="n">
        <x:f>MAX(0,MIN('Activities'!L331,630)-MAX('Activities'!K331,624))</x:f>
        <x:v>0</x:v>
      </x:c>
      <x:c r="DF331" s="23" t="n">
        <x:f>MAX(0,MIN('Activities'!L331,636)-MAX('Activities'!K331,630))</x:f>
        <x:v>0</x:v>
      </x:c>
    </x:row>
    <x:row r="332" ht="23" customHeight="1">
      <x:c r="A332" s="6" t="str">
        <x:v>T3-L12-C</x:v>
      </x:c>
      <x:c r="B332" s="6" t="str">
        <x:v>T3</x:v>
      </x:c>
      <x:c r="C332" s="6" t="str">
        <x:v>Concrete placement and finishing</x:v>
      </x:c>
      <x:c r="D332" s="6" t="str">
        <x:v>Concrete</x:v>
      </x:c>
      <x:c r="E332" s="22" t="n">
        <x:f>MAX(0,MIN('Activities'!L332,6)-MAX('Activities'!K332,0))</x:f>
        <x:v>0</x:v>
      </x:c>
      <x:c r="F332" s="22" t="n">
        <x:f>MAX(0,MIN('Activities'!L332,12)-MAX('Activities'!K332,6))</x:f>
        <x:v>0</x:v>
      </x:c>
      <x:c r="G332" s="22" t="n">
        <x:f>MAX(0,MIN('Activities'!L332,18)-MAX('Activities'!K332,12))</x:f>
        <x:v>0</x:v>
      </x:c>
      <x:c r="H332" s="22" t="n">
        <x:f>MAX(0,MIN('Activities'!L332,24)-MAX('Activities'!K332,18))</x:f>
        <x:v>0</x:v>
      </x:c>
      <x:c r="I332" s="22" t="n">
        <x:f>MAX(0,MIN('Activities'!L332,30)-MAX('Activities'!K332,24))</x:f>
        <x:v>0</x:v>
      </x:c>
      <x:c r="J332" s="22" t="n">
        <x:f>MAX(0,MIN('Activities'!L332,36)-MAX('Activities'!K332,30))</x:f>
        <x:v>0</x:v>
      </x:c>
      <x:c r="K332" s="22" t="n">
        <x:f>MAX(0,MIN('Activities'!L332,42)-MAX('Activities'!K332,36))</x:f>
        <x:v>0</x:v>
      </x:c>
      <x:c r="L332" s="22" t="n">
        <x:f>MAX(0,MIN('Activities'!L332,48)-MAX('Activities'!K332,42))</x:f>
        <x:v>0</x:v>
      </x:c>
      <x:c r="M332" s="22" t="n">
        <x:f>MAX(0,MIN('Activities'!L332,54)-MAX('Activities'!K332,48))</x:f>
        <x:v>0</x:v>
      </x:c>
      <x:c r="N332" s="22" t="n">
        <x:f>MAX(0,MIN('Activities'!L332,60)-MAX('Activities'!K332,54))</x:f>
        <x:v>0</x:v>
      </x:c>
      <x:c r="O332" s="22" t="n">
        <x:f>MAX(0,MIN('Activities'!L332,66)-MAX('Activities'!K332,60))</x:f>
        <x:v>0</x:v>
      </x:c>
      <x:c r="P332" s="22" t="n">
        <x:f>MAX(0,MIN('Activities'!L332,72)-MAX('Activities'!K332,66))</x:f>
        <x:v>0</x:v>
      </x:c>
      <x:c r="Q332" s="22" t="n">
        <x:f>MAX(0,MIN('Activities'!L332,78)-MAX('Activities'!K332,72))</x:f>
        <x:v>0</x:v>
      </x:c>
      <x:c r="R332" s="22" t="n">
        <x:f>MAX(0,MIN('Activities'!L332,84)-MAX('Activities'!K332,78))</x:f>
        <x:v>0</x:v>
      </x:c>
      <x:c r="S332" s="22" t="n">
        <x:f>MAX(0,MIN('Activities'!L332,90)-MAX('Activities'!K332,84))</x:f>
        <x:v>0</x:v>
      </x:c>
      <x:c r="T332" s="22" t="n">
        <x:f>MAX(0,MIN('Activities'!L332,96)-MAX('Activities'!K332,90))</x:f>
        <x:v>0</x:v>
      </x:c>
      <x:c r="U332" s="22" t="n">
        <x:f>MAX(0,MIN('Activities'!L332,102)-MAX('Activities'!K332,96))</x:f>
        <x:v>0</x:v>
      </x:c>
      <x:c r="V332" s="22" t="n">
        <x:f>MAX(0,MIN('Activities'!L332,108)-MAX('Activities'!K332,102))</x:f>
        <x:v>0</x:v>
      </x:c>
      <x:c r="W332" s="22" t="n">
        <x:f>MAX(0,MIN('Activities'!L332,114)-MAX('Activities'!K332,108))</x:f>
        <x:v>0</x:v>
      </x:c>
      <x:c r="X332" s="22" t="n">
        <x:f>MAX(0,MIN('Activities'!L332,120)-MAX('Activities'!K332,114))</x:f>
        <x:v>0</x:v>
      </x:c>
      <x:c r="Y332" s="22" t="n">
        <x:f>MAX(0,MIN('Activities'!L332,126)-MAX('Activities'!K332,120))</x:f>
        <x:v>0</x:v>
      </x:c>
      <x:c r="Z332" s="22" t="n">
        <x:f>MAX(0,MIN('Activities'!L332,132)-MAX('Activities'!K332,126))</x:f>
        <x:v>0</x:v>
      </x:c>
      <x:c r="AA332" s="22" t="n">
        <x:f>MAX(0,MIN('Activities'!L332,138)-MAX('Activities'!K332,132))</x:f>
        <x:v>0</x:v>
      </x:c>
      <x:c r="AB332" s="22" t="n">
        <x:f>MAX(0,MIN('Activities'!L332,144)-MAX('Activities'!K332,138))</x:f>
        <x:v>0</x:v>
      </x:c>
      <x:c r="AC332" s="22" t="n">
        <x:f>MAX(0,MIN('Activities'!L332,150)-MAX('Activities'!K332,144))</x:f>
        <x:v>0</x:v>
      </x:c>
      <x:c r="AD332" s="22" t="n">
        <x:f>MAX(0,MIN('Activities'!L332,156)-MAX('Activities'!K332,150))</x:f>
        <x:v>0</x:v>
      </x:c>
      <x:c r="AE332" s="22" t="n">
        <x:f>MAX(0,MIN('Activities'!L332,162)-MAX('Activities'!K332,156))</x:f>
        <x:v>0</x:v>
      </x:c>
      <x:c r="AF332" s="22" t="n">
        <x:f>MAX(0,MIN('Activities'!L332,168)-MAX('Activities'!K332,162))</x:f>
        <x:v>0</x:v>
      </x:c>
      <x:c r="AG332" s="22" t="n">
        <x:f>MAX(0,MIN('Activities'!L332,174)-MAX('Activities'!K332,168))</x:f>
        <x:v>0</x:v>
      </x:c>
      <x:c r="AH332" s="22" t="n">
        <x:f>MAX(0,MIN('Activities'!L332,180)-MAX('Activities'!K332,174))</x:f>
        <x:v>0</x:v>
      </x:c>
      <x:c r="AI332" s="22" t="n">
        <x:f>MAX(0,MIN('Activities'!L332,186)-MAX('Activities'!K332,180))</x:f>
        <x:v>0</x:v>
      </x:c>
      <x:c r="AJ332" s="22" t="n">
        <x:f>MAX(0,MIN('Activities'!L332,192)-MAX('Activities'!K332,186))</x:f>
        <x:v>0</x:v>
      </x:c>
      <x:c r="AK332" s="22" t="n">
        <x:f>MAX(0,MIN('Activities'!L332,198)-MAX('Activities'!K332,192))</x:f>
        <x:v>0</x:v>
      </x:c>
      <x:c r="AL332" s="22" t="n">
        <x:f>MAX(0,MIN('Activities'!L332,204)-MAX('Activities'!K332,198))</x:f>
        <x:v>0</x:v>
      </x:c>
      <x:c r="AM332" s="22" t="n">
        <x:f>MAX(0,MIN('Activities'!L332,210)-MAX('Activities'!K332,204))</x:f>
        <x:v>0</x:v>
      </x:c>
      <x:c r="AN332" s="22" t="n">
        <x:f>MAX(0,MIN('Activities'!L332,216)-MAX('Activities'!K332,210))</x:f>
        <x:v>0</x:v>
      </x:c>
      <x:c r="AO332" s="22" t="n">
        <x:f>MAX(0,MIN('Activities'!L332,222)-MAX('Activities'!K332,216))</x:f>
        <x:v>0</x:v>
      </x:c>
      <x:c r="AP332" s="22" t="n">
        <x:f>MAX(0,MIN('Activities'!L332,228)-MAX('Activities'!K332,222))</x:f>
        <x:v>0</x:v>
      </x:c>
      <x:c r="AQ332" s="22" t="n">
        <x:f>MAX(0,MIN('Activities'!L332,234)-MAX('Activities'!K332,228))</x:f>
        <x:v>0</x:v>
      </x:c>
      <x:c r="AR332" s="22" t="n">
        <x:f>MAX(0,MIN('Activities'!L332,240)-MAX('Activities'!K332,234))</x:f>
        <x:v>0</x:v>
      </x:c>
      <x:c r="AS332" s="22" t="n">
        <x:f>MAX(0,MIN('Activities'!L332,246)-MAX('Activities'!K332,240))</x:f>
        <x:v>0</x:v>
      </x:c>
      <x:c r="AT332" s="22" t="n">
        <x:f>MAX(0,MIN('Activities'!L332,252)-MAX('Activities'!K332,246))</x:f>
        <x:v>0</x:v>
      </x:c>
      <x:c r="AU332" s="22" t="n">
        <x:f>MAX(0,MIN('Activities'!L332,258)-MAX('Activities'!K332,252))</x:f>
        <x:v>0</x:v>
      </x:c>
      <x:c r="AV332" s="22" t="n">
        <x:f>MAX(0,MIN('Activities'!L332,264)-MAX('Activities'!K332,258))</x:f>
        <x:v>0</x:v>
      </x:c>
      <x:c r="AW332" s="22" t="n">
        <x:f>MAX(0,MIN('Activities'!L332,270)-MAX('Activities'!K332,264))</x:f>
        <x:v>0</x:v>
      </x:c>
      <x:c r="AX332" s="22" t="n">
        <x:f>MAX(0,MIN('Activities'!L332,276)-MAX('Activities'!K332,270))</x:f>
        <x:v>0</x:v>
      </x:c>
      <x:c r="AY332" s="22" t="n">
        <x:f>MAX(0,MIN('Activities'!L332,282)-MAX('Activities'!K332,276))</x:f>
        <x:v>0</x:v>
      </x:c>
      <x:c r="AZ332" s="22" t="n">
        <x:f>MAX(0,MIN('Activities'!L332,288)-MAX('Activities'!K332,282))</x:f>
        <x:v>0</x:v>
      </x:c>
      <x:c r="BA332" s="22" t="n">
        <x:f>MAX(0,MIN('Activities'!L332,294)-MAX('Activities'!K332,288))</x:f>
        <x:v>0</x:v>
      </x:c>
      <x:c r="BB332" s="22" t="n">
        <x:f>MAX(0,MIN('Activities'!L332,300)-MAX('Activities'!K332,294))</x:f>
        <x:v>0</x:v>
      </x:c>
      <x:c r="BC332" s="22" t="n">
        <x:f>MAX(0,MIN('Activities'!L332,306)-MAX('Activities'!K332,300))</x:f>
        <x:v>0</x:v>
      </x:c>
      <x:c r="BD332" s="22" t="n">
        <x:f>MAX(0,MIN('Activities'!L332,312)-MAX('Activities'!K332,306))</x:f>
        <x:v>0</x:v>
      </x:c>
      <x:c r="BE332" s="22" t="n">
        <x:f>MAX(0,MIN('Activities'!L332,318)-MAX('Activities'!K332,312))</x:f>
        <x:v>0</x:v>
      </x:c>
      <x:c r="BF332" s="22" t="n">
        <x:f>MAX(0,MIN('Activities'!L332,324)-MAX('Activities'!K332,318))</x:f>
        <x:v>0</x:v>
      </x:c>
      <x:c r="BG332" s="22" t="n">
        <x:f>MAX(0,MIN('Activities'!L332,330)-MAX('Activities'!K332,324))</x:f>
        <x:v>0</x:v>
      </x:c>
      <x:c r="BH332" s="22" t="n">
        <x:f>MAX(0,MIN('Activities'!L332,336)-MAX('Activities'!K332,330))</x:f>
        <x:v>0</x:v>
      </x:c>
      <x:c r="BI332" s="22" t="n">
        <x:f>MAX(0,MIN('Activities'!L332,342)-MAX('Activities'!K332,336))</x:f>
        <x:v>0</x:v>
      </x:c>
      <x:c r="BJ332" s="22" t="n">
        <x:f>MAX(0,MIN('Activities'!L332,348)-MAX('Activities'!K332,342))</x:f>
        <x:v>0</x:v>
      </x:c>
      <x:c r="BK332" s="22" t="n">
        <x:f>MAX(0,MIN('Activities'!L332,354)-MAX('Activities'!K332,348))</x:f>
        <x:v>0</x:v>
      </x:c>
      <x:c r="BL332" s="22" t="n">
        <x:f>MAX(0,MIN('Activities'!L332,360)-MAX('Activities'!K332,354))</x:f>
        <x:v>0</x:v>
      </x:c>
      <x:c r="BM332" s="22" t="n">
        <x:f>MAX(0,MIN('Activities'!L332,366)-MAX('Activities'!K332,360))</x:f>
        <x:v>0</x:v>
      </x:c>
      <x:c r="BN332" s="22" t="n">
        <x:f>MAX(0,MIN('Activities'!L332,372)-MAX('Activities'!K332,366))</x:f>
        <x:v>0</x:v>
      </x:c>
      <x:c r="BO332" s="22" t="n">
        <x:f>MAX(0,MIN('Activities'!L332,378)-MAX('Activities'!K332,372))</x:f>
        <x:v>0</x:v>
      </x:c>
      <x:c r="BP332" s="22" t="n">
        <x:f>MAX(0,MIN('Activities'!L332,384)-MAX('Activities'!K332,378))</x:f>
        <x:v>0</x:v>
      </x:c>
      <x:c r="BQ332" s="22" t="n">
        <x:f>MAX(0,MIN('Activities'!L332,390)-MAX('Activities'!K332,384))</x:f>
        <x:v>2</x:v>
      </x:c>
      <x:c r="BR332" s="22" t="n">
        <x:f>MAX(0,MIN('Activities'!L332,396)-MAX('Activities'!K332,390))</x:f>
        <x:v>0</x:v>
      </x:c>
      <x:c r="BS332" s="22" t="n">
        <x:f>MAX(0,MIN('Activities'!L332,402)-MAX('Activities'!K332,396))</x:f>
        <x:v>0</x:v>
      </x:c>
      <x:c r="BT332" s="22" t="n">
        <x:f>MAX(0,MIN('Activities'!L332,408)-MAX('Activities'!K332,402))</x:f>
        <x:v>0</x:v>
      </x:c>
      <x:c r="BU332" s="22" t="n">
        <x:f>MAX(0,MIN('Activities'!L332,414)-MAX('Activities'!K332,408))</x:f>
        <x:v>0</x:v>
      </x:c>
      <x:c r="BV332" s="22" t="n">
        <x:f>MAX(0,MIN('Activities'!L332,420)-MAX('Activities'!K332,414))</x:f>
        <x:v>0</x:v>
      </x:c>
      <x:c r="BW332" s="22" t="n">
        <x:f>MAX(0,MIN('Activities'!L332,426)-MAX('Activities'!K332,420))</x:f>
        <x:v>0</x:v>
      </x:c>
      <x:c r="BX332" s="22" t="n">
        <x:f>MAX(0,MIN('Activities'!L332,432)-MAX('Activities'!K332,426))</x:f>
        <x:v>0</x:v>
      </x:c>
      <x:c r="BY332" s="22" t="n">
        <x:f>MAX(0,MIN('Activities'!L332,438)-MAX('Activities'!K332,432))</x:f>
        <x:v>0</x:v>
      </x:c>
      <x:c r="BZ332" s="22" t="n">
        <x:f>MAX(0,MIN('Activities'!L332,444)-MAX('Activities'!K332,438))</x:f>
        <x:v>0</x:v>
      </x:c>
      <x:c r="CA332" s="22" t="n">
        <x:f>MAX(0,MIN('Activities'!L332,450)-MAX('Activities'!K332,444))</x:f>
        <x:v>0</x:v>
      </x:c>
      <x:c r="CB332" s="22" t="n">
        <x:f>MAX(0,MIN('Activities'!L332,456)-MAX('Activities'!K332,450))</x:f>
        <x:v>0</x:v>
      </x:c>
      <x:c r="CC332" s="22" t="n">
        <x:f>MAX(0,MIN('Activities'!L332,462)-MAX('Activities'!K332,456))</x:f>
        <x:v>0</x:v>
      </x:c>
      <x:c r="CD332" s="22" t="n">
        <x:f>MAX(0,MIN('Activities'!L332,468)-MAX('Activities'!K332,462))</x:f>
        <x:v>0</x:v>
      </x:c>
      <x:c r="CE332" s="22" t="n">
        <x:f>MAX(0,MIN('Activities'!L332,474)-MAX('Activities'!K332,468))</x:f>
        <x:v>0</x:v>
      </x:c>
      <x:c r="CF332" s="22" t="n">
        <x:f>MAX(0,MIN('Activities'!L332,480)-MAX('Activities'!K332,474))</x:f>
        <x:v>0</x:v>
      </x:c>
      <x:c r="CG332" s="22" t="n">
        <x:f>MAX(0,MIN('Activities'!L332,486)-MAX('Activities'!K332,480))</x:f>
        <x:v>0</x:v>
      </x:c>
      <x:c r="CH332" s="22" t="n">
        <x:f>MAX(0,MIN('Activities'!L332,492)-MAX('Activities'!K332,486))</x:f>
        <x:v>0</x:v>
      </x:c>
      <x:c r="CI332" s="22" t="n">
        <x:f>MAX(0,MIN('Activities'!L332,498)-MAX('Activities'!K332,492))</x:f>
        <x:v>0</x:v>
      </x:c>
      <x:c r="CJ332" s="22" t="n">
        <x:f>MAX(0,MIN('Activities'!L332,504)-MAX('Activities'!K332,498))</x:f>
        <x:v>0</x:v>
      </x:c>
      <x:c r="CK332" s="22" t="n">
        <x:f>MAX(0,MIN('Activities'!L332,510)-MAX('Activities'!K332,504))</x:f>
        <x:v>0</x:v>
      </x:c>
      <x:c r="CL332" s="22" t="n">
        <x:f>MAX(0,MIN('Activities'!L332,516)-MAX('Activities'!K332,510))</x:f>
        <x:v>0</x:v>
      </x:c>
      <x:c r="CM332" s="22" t="n">
        <x:f>MAX(0,MIN('Activities'!L332,522)-MAX('Activities'!K332,516))</x:f>
        <x:v>0</x:v>
      </x:c>
      <x:c r="CN332" s="22" t="n">
        <x:f>MAX(0,MIN('Activities'!L332,528)-MAX('Activities'!K332,522))</x:f>
        <x:v>0</x:v>
      </x:c>
      <x:c r="CO332" s="22" t="n">
        <x:f>MAX(0,MIN('Activities'!L332,534)-MAX('Activities'!K332,528))</x:f>
        <x:v>0</x:v>
      </x:c>
      <x:c r="CP332" s="22" t="n">
        <x:f>MAX(0,MIN('Activities'!L332,540)-MAX('Activities'!K332,534))</x:f>
        <x:v>0</x:v>
      </x:c>
      <x:c r="CQ332" s="22" t="n">
        <x:f>MAX(0,MIN('Activities'!L332,546)-MAX('Activities'!K332,540))</x:f>
        <x:v>0</x:v>
      </x:c>
      <x:c r="CR332" s="22" t="n">
        <x:f>MAX(0,MIN('Activities'!L332,552)-MAX('Activities'!K332,546))</x:f>
        <x:v>0</x:v>
      </x:c>
      <x:c r="CS332" s="22" t="n">
        <x:f>MAX(0,MIN('Activities'!L332,558)-MAX('Activities'!K332,552))</x:f>
        <x:v>0</x:v>
      </x:c>
      <x:c r="CT332" s="22" t="n">
        <x:f>MAX(0,MIN('Activities'!L332,564)-MAX('Activities'!K332,558))</x:f>
        <x:v>0</x:v>
      </x:c>
      <x:c r="CU332" s="22" t="n">
        <x:f>MAX(0,MIN('Activities'!L332,570)-MAX('Activities'!K332,564))</x:f>
        <x:v>0</x:v>
      </x:c>
      <x:c r="CV332" s="22" t="n">
        <x:f>MAX(0,MIN('Activities'!L332,576)-MAX('Activities'!K332,570))</x:f>
        <x:v>0</x:v>
      </x:c>
      <x:c r="CW332" s="22" t="n">
        <x:f>MAX(0,MIN('Activities'!L332,582)-MAX('Activities'!K332,576))</x:f>
        <x:v>0</x:v>
      </x:c>
      <x:c r="CX332" s="22" t="n">
        <x:f>MAX(0,MIN('Activities'!L332,588)-MAX('Activities'!K332,582))</x:f>
        <x:v>0</x:v>
      </x:c>
      <x:c r="CY332" s="22" t="n">
        <x:f>MAX(0,MIN('Activities'!L332,594)-MAX('Activities'!K332,588))</x:f>
        <x:v>0</x:v>
      </x:c>
      <x:c r="CZ332" s="22" t="n">
        <x:f>MAX(0,MIN('Activities'!L332,600)-MAX('Activities'!K332,594))</x:f>
        <x:v>0</x:v>
      </x:c>
      <x:c r="DA332" s="22" t="n">
        <x:f>MAX(0,MIN('Activities'!L332,606)-MAX('Activities'!K332,600))</x:f>
        <x:v>0</x:v>
      </x:c>
      <x:c r="DB332" s="22" t="n">
        <x:f>MAX(0,MIN('Activities'!L332,612)-MAX('Activities'!K332,606))</x:f>
        <x:v>0</x:v>
      </x:c>
      <x:c r="DC332" s="22" t="n">
        <x:f>MAX(0,MIN('Activities'!L332,618)-MAX('Activities'!K332,612))</x:f>
        <x:v>0</x:v>
      </x:c>
      <x:c r="DD332" s="22" t="n">
        <x:f>MAX(0,MIN('Activities'!L332,624)-MAX('Activities'!K332,618))</x:f>
        <x:v>0</x:v>
      </x:c>
      <x:c r="DE332" s="22" t="n">
        <x:f>MAX(0,MIN('Activities'!L332,630)-MAX('Activities'!K332,624))</x:f>
        <x:v>0</x:v>
      </x:c>
      <x:c r="DF332" s="22" t="n">
        <x:f>MAX(0,MIN('Activities'!L332,636)-MAX('Activities'!K332,630))</x:f>
        <x:v>0</x:v>
      </x:c>
    </x:row>
    <x:row r="333" ht="23" customHeight="1">
      <x:c r="A333" s="1" t="str">
        <x:v>T3-L12-H</x:v>
      </x:c>
      <x:c r="B333" s="1" t="str">
        <x:v>T3</x:v>
      </x:c>
      <x:c r="C333" s="1" t="str">
        <x:v>Curing and release hold point</x:v>
      </x:c>
      <x:c r="D333" s="1" t="str">
        <x:v>Site</x:v>
      </x:c>
      <x:c r="E333" s="23" t="n">
        <x:f>MAX(0,MIN('Activities'!L333,6)-MAX('Activities'!K333,0))</x:f>
        <x:v>0</x:v>
      </x:c>
      <x:c r="F333" s="23" t="n">
        <x:f>MAX(0,MIN('Activities'!L333,12)-MAX('Activities'!K333,6))</x:f>
        <x:v>0</x:v>
      </x:c>
      <x:c r="G333" s="23" t="n">
        <x:f>MAX(0,MIN('Activities'!L333,18)-MAX('Activities'!K333,12))</x:f>
        <x:v>0</x:v>
      </x:c>
      <x:c r="H333" s="23" t="n">
        <x:f>MAX(0,MIN('Activities'!L333,24)-MAX('Activities'!K333,18))</x:f>
        <x:v>0</x:v>
      </x:c>
      <x:c r="I333" s="23" t="n">
        <x:f>MAX(0,MIN('Activities'!L333,30)-MAX('Activities'!K333,24))</x:f>
        <x:v>0</x:v>
      </x:c>
      <x:c r="J333" s="23" t="n">
        <x:f>MAX(0,MIN('Activities'!L333,36)-MAX('Activities'!K333,30))</x:f>
        <x:v>0</x:v>
      </x:c>
      <x:c r="K333" s="23" t="n">
        <x:f>MAX(0,MIN('Activities'!L333,42)-MAX('Activities'!K333,36))</x:f>
        <x:v>0</x:v>
      </x:c>
      <x:c r="L333" s="23" t="n">
        <x:f>MAX(0,MIN('Activities'!L333,48)-MAX('Activities'!K333,42))</x:f>
        <x:v>0</x:v>
      </x:c>
      <x:c r="M333" s="23" t="n">
        <x:f>MAX(0,MIN('Activities'!L333,54)-MAX('Activities'!K333,48))</x:f>
        <x:v>0</x:v>
      </x:c>
      <x:c r="N333" s="23" t="n">
        <x:f>MAX(0,MIN('Activities'!L333,60)-MAX('Activities'!K333,54))</x:f>
        <x:v>0</x:v>
      </x:c>
      <x:c r="O333" s="23" t="n">
        <x:f>MAX(0,MIN('Activities'!L333,66)-MAX('Activities'!K333,60))</x:f>
        <x:v>0</x:v>
      </x:c>
      <x:c r="P333" s="23" t="n">
        <x:f>MAX(0,MIN('Activities'!L333,72)-MAX('Activities'!K333,66))</x:f>
        <x:v>0</x:v>
      </x:c>
      <x:c r="Q333" s="23" t="n">
        <x:f>MAX(0,MIN('Activities'!L333,78)-MAX('Activities'!K333,72))</x:f>
        <x:v>0</x:v>
      </x:c>
      <x:c r="R333" s="23" t="n">
        <x:f>MAX(0,MIN('Activities'!L333,84)-MAX('Activities'!K333,78))</x:f>
        <x:v>0</x:v>
      </x:c>
      <x:c r="S333" s="23" t="n">
        <x:f>MAX(0,MIN('Activities'!L333,90)-MAX('Activities'!K333,84))</x:f>
        <x:v>0</x:v>
      </x:c>
      <x:c r="T333" s="23" t="n">
        <x:f>MAX(0,MIN('Activities'!L333,96)-MAX('Activities'!K333,90))</x:f>
        <x:v>0</x:v>
      </x:c>
      <x:c r="U333" s="23" t="n">
        <x:f>MAX(0,MIN('Activities'!L333,102)-MAX('Activities'!K333,96))</x:f>
        <x:v>0</x:v>
      </x:c>
      <x:c r="V333" s="23" t="n">
        <x:f>MAX(0,MIN('Activities'!L333,108)-MAX('Activities'!K333,102))</x:f>
        <x:v>0</x:v>
      </x:c>
      <x:c r="W333" s="23" t="n">
        <x:f>MAX(0,MIN('Activities'!L333,114)-MAX('Activities'!K333,108))</x:f>
        <x:v>0</x:v>
      </x:c>
      <x:c r="X333" s="23" t="n">
        <x:f>MAX(0,MIN('Activities'!L333,120)-MAX('Activities'!K333,114))</x:f>
        <x:v>0</x:v>
      </x:c>
      <x:c r="Y333" s="23" t="n">
        <x:f>MAX(0,MIN('Activities'!L333,126)-MAX('Activities'!K333,120))</x:f>
        <x:v>0</x:v>
      </x:c>
      <x:c r="Z333" s="23" t="n">
        <x:f>MAX(0,MIN('Activities'!L333,132)-MAX('Activities'!K333,126))</x:f>
        <x:v>0</x:v>
      </x:c>
      <x:c r="AA333" s="23" t="n">
        <x:f>MAX(0,MIN('Activities'!L333,138)-MAX('Activities'!K333,132))</x:f>
        <x:v>0</x:v>
      </x:c>
      <x:c r="AB333" s="23" t="n">
        <x:f>MAX(0,MIN('Activities'!L333,144)-MAX('Activities'!K333,138))</x:f>
        <x:v>0</x:v>
      </x:c>
      <x:c r="AC333" s="23" t="n">
        <x:f>MAX(0,MIN('Activities'!L333,150)-MAX('Activities'!K333,144))</x:f>
        <x:v>0</x:v>
      </x:c>
      <x:c r="AD333" s="23" t="n">
        <x:f>MAX(0,MIN('Activities'!L333,156)-MAX('Activities'!K333,150))</x:f>
        <x:v>0</x:v>
      </x:c>
      <x:c r="AE333" s="23" t="n">
        <x:f>MAX(0,MIN('Activities'!L333,162)-MAX('Activities'!K333,156))</x:f>
        <x:v>0</x:v>
      </x:c>
      <x:c r="AF333" s="23" t="n">
        <x:f>MAX(0,MIN('Activities'!L333,168)-MAX('Activities'!K333,162))</x:f>
        <x:v>0</x:v>
      </x:c>
      <x:c r="AG333" s="23" t="n">
        <x:f>MAX(0,MIN('Activities'!L333,174)-MAX('Activities'!K333,168))</x:f>
        <x:v>0</x:v>
      </x:c>
      <x:c r="AH333" s="23" t="n">
        <x:f>MAX(0,MIN('Activities'!L333,180)-MAX('Activities'!K333,174))</x:f>
        <x:v>0</x:v>
      </x:c>
      <x:c r="AI333" s="23" t="n">
        <x:f>MAX(0,MIN('Activities'!L333,186)-MAX('Activities'!K333,180))</x:f>
        <x:v>0</x:v>
      </x:c>
      <x:c r="AJ333" s="23" t="n">
        <x:f>MAX(0,MIN('Activities'!L333,192)-MAX('Activities'!K333,186))</x:f>
        <x:v>0</x:v>
      </x:c>
      <x:c r="AK333" s="23" t="n">
        <x:f>MAX(0,MIN('Activities'!L333,198)-MAX('Activities'!K333,192))</x:f>
        <x:v>0</x:v>
      </x:c>
      <x:c r="AL333" s="23" t="n">
        <x:f>MAX(0,MIN('Activities'!L333,204)-MAX('Activities'!K333,198))</x:f>
        <x:v>0</x:v>
      </x:c>
      <x:c r="AM333" s="23" t="n">
        <x:f>MAX(0,MIN('Activities'!L333,210)-MAX('Activities'!K333,204))</x:f>
        <x:v>0</x:v>
      </x:c>
      <x:c r="AN333" s="23" t="n">
        <x:f>MAX(0,MIN('Activities'!L333,216)-MAX('Activities'!K333,210))</x:f>
        <x:v>0</x:v>
      </x:c>
      <x:c r="AO333" s="23" t="n">
        <x:f>MAX(0,MIN('Activities'!L333,222)-MAX('Activities'!K333,216))</x:f>
        <x:v>0</x:v>
      </x:c>
      <x:c r="AP333" s="23" t="n">
        <x:f>MAX(0,MIN('Activities'!L333,228)-MAX('Activities'!K333,222))</x:f>
        <x:v>0</x:v>
      </x:c>
      <x:c r="AQ333" s="23" t="n">
        <x:f>MAX(0,MIN('Activities'!L333,234)-MAX('Activities'!K333,228))</x:f>
        <x:v>0</x:v>
      </x:c>
      <x:c r="AR333" s="23" t="n">
        <x:f>MAX(0,MIN('Activities'!L333,240)-MAX('Activities'!K333,234))</x:f>
        <x:v>0</x:v>
      </x:c>
      <x:c r="AS333" s="23" t="n">
        <x:f>MAX(0,MIN('Activities'!L333,246)-MAX('Activities'!K333,240))</x:f>
        <x:v>0</x:v>
      </x:c>
      <x:c r="AT333" s="23" t="n">
        <x:f>MAX(0,MIN('Activities'!L333,252)-MAX('Activities'!K333,246))</x:f>
        <x:v>0</x:v>
      </x:c>
      <x:c r="AU333" s="23" t="n">
        <x:f>MAX(0,MIN('Activities'!L333,258)-MAX('Activities'!K333,252))</x:f>
        <x:v>0</x:v>
      </x:c>
      <x:c r="AV333" s="23" t="n">
        <x:f>MAX(0,MIN('Activities'!L333,264)-MAX('Activities'!K333,258))</x:f>
        <x:v>0</x:v>
      </x:c>
      <x:c r="AW333" s="23" t="n">
        <x:f>MAX(0,MIN('Activities'!L333,270)-MAX('Activities'!K333,264))</x:f>
        <x:v>0</x:v>
      </x:c>
      <x:c r="AX333" s="23" t="n">
        <x:f>MAX(0,MIN('Activities'!L333,276)-MAX('Activities'!K333,270))</x:f>
        <x:v>0</x:v>
      </x:c>
      <x:c r="AY333" s="23" t="n">
        <x:f>MAX(0,MIN('Activities'!L333,282)-MAX('Activities'!K333,276))</x:f>
        <x:v>0</x:v>
      </x:c>
      <x:c r="AZ333" s="23" t="n">
        <x:f>MAX(0,MIN('Activities'!L333,288)-MAX('Activities'!K333,282))</x:f>
        <x:v>0</x:v>
      </x:c>
      <x:c r="BA333" s="23" t="n">
        <x:f>MAX(0,MIN('Activities'!L333,294)-MAX('Activities'!K333,288))</x:f>
        <x:v>0</x:v>
      </x:c>
      <x:c r="BB333" s="23" t="n">
        <x:f>MAX(0,MIN('Activities'!L333,300)-MAX('Activities'!K333,294))</x:f>
        <x:v>0</x:v>
      </x:c>
      <x:c r="BC333" s="23" t="n">
        <x:f>MAX(0,MIN('Activities'!L333,306)-MAX('Activities'!K333,300))</x:f>
        <x:v>0</x:v>
      </x:c>
      <x:c r="BD333" s="23" t="n">
        <x:f>MAX(0,MIN('Activities'!L333,312)-MAX('Activities'!K333,306))</x:f>
        <x:v>0</x:v>
      </x:c>
      <x:c r="BE333" s="23" t="n">
        <x:f>MAX(0,MIN('Activities'!L333,318)-MAX('Activities'!K333,312))</x:f>
        <x:v>0</x:v>
      </x:c>
      <x:c r="BF333" s="23" t="n">
        <x:f>MAX(0,MIN('Activities'!L333,324)-MAX('Activities'!K333,318))</x:f>
        <x:v>0</x:v>
      </x:c>
      <x:c r="BG333" s="23" t="n">
        <x:f>MAX(0,MIN('Activities'!L333,330)-MAX('Activities'!K333,324))</x:f>
        <x:v>0</x:v>
      </x:c>
      <x:c r="BH333" s="23" t="n">
        <x:f>MAX(0,MIN('Activities'!L333,336)-MAX('Activities'!K333,330))</x:f>
        <x:v>0</x:v>
      </x:c>
      <x:c r="BI333" s="23" t="n">
        <x:f>MAX(0,MIN('Activities'!L333,342)-MAX('Activities'!K333,336))</x:f>
        <x:v>0</x:v>
      </x:c>
      <x:c r="BJ333" s="23" t="n">
        <x:f>MAX(0,MIN('Activities'!L333,348)-MAX('Activities'!K333,342))</x:f>
        <x:v>0</x:v>
      </x:c>
      <x:c r="BK333" s="23" t="n">
        <x:f>MAX(0,MIN('Activities'!L333,354)-MAX('Activities'!K333,348))</x:f>
        <x:v>0</x:v>
      </x:c>
      <x:c r="BL333" s="23" t="n">
        <x:f>MAX(0,MIN('Activities'!L333,360)-MAX('Activities'!K333,354))</x:f>
        <x:v>0</x:v>
      </x:c>
      <x:c r="BM333" s="23" t="n">
        <x:f>MAX(0,MIN('Activities'!L333,366)-MAX('Activities'!K333,360))</x:f>
        <x:v>0</x:v>
      </x:c>
      <x:c r="BN333" s="23" t="n">
        <x:f>MAX(0,MIN('Activities'!L333,372)-MAX('Activities'!K333,366))</x:f>
        <x:v>0</x:v>
      </x:c>
      <x:c r="BO333" s="23" t="n">
        <x:f>MAX(0,MIN('Activities'!L333,378)-MAX('Activities'!K333,372))</x:f>
        <x:v>0</x:v>
      </x:c>
      <x:c r="BP333" s="23" t="n">
        <x:f>MAX(0,MIN('Activities'!L333,384)-MAX('Activities'!K333,378))</x:f>
        <x:v>0</x:v>
      </x:c>
      <x:c r="BQ333" s="23" t="n">
        <x:f>MAX(0,MIN('Activities'!L333,390)-MAX('Activities'!K333,384))</x:f>
        <x:v>3</x:v>
      </x:c>
      <x:c r="BR333" s="23" t="n">
        <x:f>MAX(0,MIN('Activities'!L333,396)-MAX('Activities'!K333,390))</x:f>
        <x:v>2</x:v>
      </x:c>
      <x:c r="BS333" s="23" t="n">
        <x:f>MAX(0,MIN('Activities'!L333,402)-MAX('Activities'!K333,396))</x:f>
        <x:v>0</x:v>
      </x:c>
      <x:c r="BT333" s="23" t="n">
        <x:f>MAX(0,MIN('Activities'!L333,408)-MAX('Activities'!K333,402))</x:f>
        <x:v>0</x:v>
      </x:c>
      <x:c r="BU333" s="23" t="n">
        <x:f>MAX(0,MIN('Activities'!L333,414)-MAX('Activities'!K333,408))</x:f>
        <x:v>0</x:v>
      </x:c>
      <x:c r="BV333" s="23" t="n">
        <x:f>MAX(0,MIN('Activities'!L333,420)-MAX('Activities'!K333,414))</x:f>
        <x:v>0</x:v>
      </x:c>
      <x:c r="BW333" s="23" t="n">
        <x:f>MAX(0,MIN('Activities'!L333,426)-MAX('Activities'!K333,420))</x:f>
        <x:v>0</x:v>
      </x:c>
      <x:c r="BX333" s="23" t="n">
        <x:f>MAX(0,MIN('Activities'!L333,432)-MAX('Activities'!K333,426))</x:f>
        <x:v>0</x:v>
      </x:c>
      <x:c r="BY333" s="23" t="n">
        <x:f>MAX(0,MIN('Activities'!L333,438)-MAX('Activities'!K333,432))</x:f>
        <x:v>0</x:v>
      </x:c>
      <x:c r="BZ333" s="23" t="n">
        <x:f>MAX(0,MIN('Activities'!L333,444)-MAX('Activities'!K333,438))</x:f>
        <x:v>0</x:v>
      </x:c>
      <x:c r="CA333" s="23" t="n">
        <x:f>MAX(0,MIN('Activities'!L333,450)-MAX('Activities'!K333,444))</x:f>
        <x:v>0</x:v>
      </x:c>
      <x:c r="CB333" s="23" t="n">
        <x:f>MAX(0,MIN('Activities'!L333,456)-MAX('Activities'!K333,450))</x:f>
        <x:v>0</x:v>
      </x:c>
      <x:c r="CC333" s="23" t="n">
        <x:f>MAX(0,MIN('Activities'!L333,462)-MAX('Activities'!K333,456))</x:f>
        <x:v>0</x:v>
      </x:c>
      <x:c r="CD333" s="23" t="n">
        <x:f>MAX(0,MIN('Activities'!L333,468)-MAX('Activities'!K333,462))</x:f>
        <x:v>0</x:v>
      </x:c>
      <x:c r="CE333" s="23" t="n">
        <x:f>MAX(0,MIN('Activities'!L333,474)-MAX('Activities'!K333,468))</x:f>
        <x:v>0</x:v>
      </x:c>
      <x:c r="CF333" s="23" t="n">
        <x:f>MAX(0,MIN('Activities'!L333,480)-MAX('Activities'!K333,474))</x:f>
        <x:v>0</x:v>
      </x:c>
      <x:c r="CG333" s="23" t="n">
        <x:f>MAX(0,MIN('Activities'!L333,486)-MAX('Activities'!K333,480))</x:f>
        <x:v>0</x:v>
      </x:c>
      <x:c r="CH333" s="23" t="n">
        <x:f>MAX(0,MIN('Activities'!L333,492)-MAX('Activities'!K333,486))</x:f>
        <x:v>0</x:v>
      </x:c>
      <x:c r="CI333" s="23" t="n">
        <x:f>MAX(0,MIN('Activities'!L333,498)-MAX('Activities'!K333,492))</x:f>
        <x:v>0</x:v>
      </x:c>
      <x:c r="CJ333" s="23" t="n">
        <x:f>MAX(0,MIN('Activities'!L333,504)-MAX('Activities'!K333,498))</x:f>
        <x:v>0</x:v>
      </x:c>
      <x:c r="CK333" s="23" t="n">
        <x:f>MAX(0,MIN('Activities'!L333,510)-MAX('Activities'!K333,504))</x:f>
        <x:v>0</x:v>
      </x:c>
      <x:c r="CL333" s="23" t="n">
        <x:f>MAX(0,MIN('Activities'!L333,516)-MAX('Activities'!K333,510))</x:f>
        <x:v>0</x:v>
      </x:c>
      <x:c r="CM333" s="23" t="n">
        <x:f>MAX(0,MIN('Activities'!L333,522)-MAX('Activities'!K333,516))</x:f>
        <x:v>0</x:v>
      </x:c>
      <x:c r="CN333" s="23" t="n">
        <x:f>MAX(0,MIN('Activities'!L333,528)-MAX('Activities'!K333,522))</x:f>
        <x:v>0</x:v>
      </x:c>
      <x:c r="CO333" s="23" t="n">
        <x:f>MAX(0,MIN('Activities'!L333,534)-MAX('Activities'!K333,528))</x:f>
        <x:v>0</x:v>
      </x:c>
      <x:c r="CP333" s="23" t="n">
        <x:f>MAX(0,MIN('Activities'!L333,540)-MAX('Activities'!K333,534))</x:f>
        <x:v>0</x:v>
      </x:c>
      <x:c r="CQ333" s="23" t="n">
        <x:f>MAX(0,MIN('Activities'!L333,546)-MAX('Activities'!K333,540))</x:f>
        <x:v>0</x:v>
      </x:c>
      <x:c r="CR333" s="23" t="n">
        <x:f>MAX(0,MIN('Activities'!L333,552)-MAX('Activities'!K333,546))</x:f>
        <x:v>0</x:v>
      </x:c>
      <x:c r="CS333" s="23" t="n">
        <x:f>MAX(0,MIN('Activities'!L333,558)-MAX('Activities'!K333,552))</x:f>
        <x:v>0</x:v>
      </x:c>
      <x:c r="CT333" s="23" t="n">
        <x:f>MAX(0,MIN('Activities'!L333,564)-MAX('Activities'!K333,558))</x:f>
        <x:v>0</x:v>
      </x:c>
      <x:c r="CU333" s="23" t="n">
        <x:f>MAX(0,MIN('Activities'!L333,570)-MAX('Activities'!K333,564))</x:f>
        <x:v>0</x:v>
      </x:c>
      <x:c r="CV333" s="23" t="n">
        <x:f>MAX(0,MIN('Activities'!L333,576)-MAX('Activities'!K333,570))</x:f>
        <x:v>0</x:v>
      </x:c>
      <x:c r="CW333" s="23" t="n">
        <x:f>MAX(0,MIN('Activities'!L333,582)-MAX('Activities'!K333,576))</x:f>
        <x:v>0</x:v>
      </x:c>
      <x:c r="CX333" s="23" t="n">
        <x:f>MAX(0,MIN('Activities'!L333,588)-MAX('Activities'!K333,582))</x:f>
        <x:v>0</x:v>
      </x:c>
      <x:c r="CY333" s="23" t="n">
        <x:f>MAX(0,MIN('Activities'!L333,594)-MAX('Activities'!K333,588))</x:f>
        <x:v>0</x:v>
      </x:c>
      <x:c r="CZ333" s="23" t="n">
        <x:f>MAX(0,MIN('Activities'!L333,600)-MAX('Activities'!K333,594))</x:f>
        <x:v>0</x:v>
      </x:c>
      <x:c r="DA333" s="23" t="n">
        <x:f>MAX(0,MIN('Activities'!L333,606)-MAX('Activities'!K333,600))</x:f>
        <x:v>0</x:v>
      </x:c>
      <x:c r="DB333" s="23" t="n">
        <x:f>MAX(0,MIN('Activities'!L333,612)-MAX('Activities'!K333,606))</x:f>
        <x:v>0</x:v>
      </x:c>
      <x:c r="DC333" s="23" t="n">
        <x:f>MAX(0,MIN('Activities'!L333,618)-MAX('Activities'!K333,612))</x:f>
        <x:v>0</x:v>
      </x:c>
      <x:c r="DD333" s="23" t="n">
        <x:f>MAX(0,MIN('Activities'!L333,624)-MAX('Activities'!K333,618))</x:f>
        <x:v>0</x:v>
      </x:c>
      <x:c r="DE333" s="23" t="n">
        <x:f>MAX(0,MIN('Activities'!L333,630)-MAX('Activities'!K333,624))</x:f>
        <x:v>0</x:v>
      </x:c>
      <x:c r="DF333" s="23" t="n">
        <x:f>MAX(0,MIN('Activities'!L333,636)-MAX('Activities'!K333,630))</x:f>
        <x:v>0</x:v>
      </x:c>
    </x:row>
    <x:row r="334" ht="23" customHeight="1">
      <x:c r="A334" s="6" t="str">
        <x:v>T3-RF</x:v>
      </x:c>
      <x:c r="B334" s="6" t="str">
        <x:v>T3</x:v>
      </x:c>
      <x:c r="C334" s="6" t="str">
        <x:v>Roof membrane and weatherproofing</x:v>
      </x:c>
      <x:c r="D334" s="6" t="str">
        <x:v>Envelope</x:v>
      </x:c>
      <x:c r="E334" s="22" t="n">
        <x:f>MAX(0,MIN('Activities'!L334,6)-MAX('Activities'!K334,0))</x:f>
        <x:v>0</x:v>
      </x:c>
      <x:c r="F334" s="22" t="n">
        <x:f>MAX(0,MIN('Activities'!L334,12)-MAX('Activities'!K334,6))</x:f>
        <x:v>0</x:v>
      </x:c>
      <x:c r="G334" s="22" t="n">
        <x:f>MAX(0,MIN('Activities'!L334,18)-MAX('Activities'!K334,12))</x:f>
        <x:v>0</x:v>
      </x:c>
      <x:c r="H334" s="22" t="n">
        <x:f>MAX(0,MIN('Activities'!L334,24)-MAX('Activities'!K334,18))</x:f>
        <x:v>0</x:v>
      </x:c>
      <x:c r="I334" s="22" t="n">
        <x:f>MAX(0,MIN('Activities'!L334,30)-MAX('Activities'!K334,24))</x:f>
        <x:v>0</x:v>
      </x:c>
      <x:c r="J334" s="22" t="n">
        <x:f>MAX(0,MIN('Activities'!L334,36)-MAX('Activities'!K334,30))</x:f>
        <x:v>0</x:v>
      </x:c>
      <x:c r="K334" s="22" t="n">
        <x:f>MAX(0,MIN('Activities'!L334,42)-MAX('Activities'!K334,36))</x:f>
        <x:v>0</x:v>
      </x:c>
      <x:c r="L334" s="22" t="n">
        <x:f>MAX(0,MIN('Activities'!L334,48)-MAX('Activities'!K334,42))</x:f>
        <x:v>0</x:v>
      </x:c>
      <x:c r="M334" s="22" t="n">
        <x:f>MAX(0,MIN('Activities'!L334,54)-MAX('Activities'!K334,48))</x:f>
        <x:v>0</x:v>
      </x:c>
      <x:c r="N334" s="22" t="n">
        <x:f>MAX(0,MIN('Activities'!L334,60)-MAX('Activities'!K334,54))</x:f>
        <x:v>0</x:v>
      </x:c>
      <x:c r="O334" s="22" t="n">
        <x:f>MAX(0,MIN('Activities'!L334,66)-MAX('Activities'!K334,60))</x:f>
        <x:v>0</x:v>
      </x:c>
      <x:c r="P334" s="22" t="n">
        <x:f>MAX(0,MIN('Activities'!L334,72)-MAX('Activities'!K334,66))</x:f>
        <x:v>0</x:v>
      </x:c>
      <x:c r="Q334" s="22" t="n">
        <x:f>MAX(0,MIN('Activities'!L334,78)-MAX('Activities'!K334,72))</x:f>
        <x:v>0</x:v>
      </x:c>
      <x:c r="R334" s="22" t="n">
        <x:f>MAX(0,MIN('Activities'!L334,84)-MAX('Activities'!K334,78))</x:f>
        <x:v>0</x:v>
      </x:c>
      <x:c r="S334" s="22" t="n">
        <x:f>MAX(0,MIN('Activities'!L334,90)-MAX('Activities'!K334,84))</x:f>
        <x:v>0</x:v>
      </x:c>
      <x:c r="T334" s="22" t="n">
        <x:f>MAX(0,MIN('Activities'!L334,96)-MAX('Activities'!K334,90))</x:f>
        <x:v>0</x:v>
      </x:c>
      <x:c r="U334" s="22" t="n">
        <x:f>MAX(0,MIN('Activities'!L334,102)-MAX('Activities'!K334,96))</x:f>
        <x:v>0</x:v>
      </x:c>
      <x:c r="V334" s="22" t="n">
        <x:f>MAX(0,MIN('Activities'!L334,108)-MAX('Activities'!K334,102))</x:f>
        <x:v>0</x:v>
      </x:c>
      <x:c r="W334" s="22" t="n">
        <x:f>MAX(0,MIN('Activities'!L334,114)-MAX('Activities'!K334,108))</x:f>
        <x:v>0</x:v>
      </x:c>
      <x:c r="X334" s="22" t="n">
        <x:f>MAX(0,MIN('Activities'!L334,120)-MAX('Activities'!K334,114))</x:f>
        <x:v>0</x:v>
      </x:c>
      <x:c r="Y334" s="22" t="n">
        <x:f>MAX(0,MIN('Activities'!L334,126)-MAX('Activities'!K334,120))</x:f>
        <x:v>0</x:v>
      </x:c>
      <x:c r="Z334" s="22" t="n">
        <x:f>MAX(0,MIN('Activities'!L334,132)-MAX('Activities'!K334,126))</x:f>
        <x:v>0</x:v>
      </x:c>
      <x:c r="AA334" s="22" t="n">
        <x:f>MAX(0,MIN('Activities'!L334,138)-MAX('Activities'!K334,132))</x:f>
        <x:v>0</x:v>
      </x:c>
      <x:c r="AB334" s="22" t="n">
        <x:f>MAX(0,MIN('Activities'!L334,144)-MAX('Activities'!K334,138))</x:f>
        <x:v>0</x:v>
      </x:c>
      <x:c r="AC334" s="22" t="n">
        <x:f>MAX(0,MIN('Activities'!L334,150)-MAX('Activities'!K334,144))</x:f>
        <x:v>0</x:v>
      </x:c>
      <x:c r="AD334" s="22" t="n">
        <x:f>MAX(0,MIN('Activities'!L334,156)-MAX('Activities'!K334,150))</x:f>
        <x:v>0</x:v>
      </x:c>
      <x:c r="AE334" s="22" t="n">
        <x:f>MAX(0,MIN('Activities'!L334,162)-MAX('Activities'!K334,156))</x:f>
        <x:v>0</x:v>
      </x:c>
      <x:c r="AF334" s="22" t="n">
        <x:f>MAX(0,MIN('Activities'!L334,168)-MAX('Activities'!K334,162))</x:f>
        <x:v>0</x:v>
      </x:c>
      <x:c r="AG334" s="22" t="n">
        <x:f>MAX(0,MIN('Activities'!L334,174)-MAX('Activities'!K334,168))</x:f>
        <x:v>0</x:v>
      </x:c>
      <x:c r="AH334" s="22" t="n">
        <x:f>MAX(0,MIN('Activities'!L334,180)-MAX('Activities'!K334,174))</x:f>
        <x:v>0</x:v>
      </x:c>
      <x:c r="AI334" s="22" t="n">
        <x:f>MAX(0,MIN('Activities'!L334,186)-MAX('Activities'!K334,180))</x:f>
        <x:v>0</x:v>
      </x:c>
      <x:c r="AJ334" s="22" t="n">
        <x:f>MAX(0,MIN('Activities'!L334,192)-MAX('Activities'!K334,186))</x:f>
        <x:v>0</x:v>
      </x:c>
      <x:c r="AK334" s="22" t="n">
        <x:f>MAX(0,MIN('Activities'!L334,198)-MAX('Activities'!K334,192))</x:f>
        <x:v>0</x:v>
      </x:c>
      <x:c r="AL334" s="22" t="n">
        <x:f>MAX(0,MIN('Activities'!L334,204)-MAX('Activities'!K334,198))</x:f>
        <x:v>0</x:v>
      </x:c>
      <x:c r="AM334" s="22" t="n">
        <x:f>MAX(0,MIN('Activities'!L334,210)-MAX('Activities'!K334,204))</x:f>
        <x:v>0</x:v>
      </x:c>
      <x:c r="AN334" s="22" t="n">
        <x:f>MAX(0,MIN('Activities'!L334,216)-MAX('Activities'!K334,210))</x:f>
        <x:v>0</x:v>
      </x:c>
      <x:c r="AO334" s="22" t="n">
        <x:f>MAX(0,MIN('Activities'!L334,222)-MAX('Activities'!K334,216))</x:f>
        <x:v>0</x:v>
      </x:c>
      <x:c r="AP334" s="22" t="n">
        <x:f>MAX(0,MIN('Activities'!L334,228)-MAX('Activities'!K334,222))</x:f>
        <x:v>0</x:v>
      </x:c>
      <x:c r="AQ334" s="22" t="n">
        <x:f>MAX(0,MIN('Activities'!L334,234)-MAX('Activities'!K334,228))</x:f>
        <x:v>0</x:v>
      </x:c>
      <x:c r="AR334" s="22" t="n">
        <x:f>MAX(0,MIN('Activities'!L334,240)-MAX('Activities'!K334,234))</x:f>
        <x:v>0</x:v>
      </x:c>
      <x:c r="AS334" s="22" t="n">
        <x:f>MAX(0,MIN('Activities'!L334,246)-MAX('Activities'!K334,240))</x:f>
        <x:v>0</x:v>
      </x:c>
      <x:c r="AT334" s="22" t="n">
        <x:f>MAX(0,MIN('Activities'!L334,252)-MAX('Activities'!K334,246))</x:f>
        <x:v>0</x:v>
      </x:c>
      <x:c r="AU334" s="22" t="n">
        <x:f>MAX(0,MIN('Activities'!L334,258)-MAX('Activities'!K334,252))</x:f>
        <x:v>0</x:v>
      </x:c>
      <x:c r="AV334" s="22" t="n">
        <x:f>MAX(0,MIN('Activities'!L334,264)-MAX('Activities'!K334,258))</x:f>
        <x:v>0</x:v>
      </x:c>
      <x:c r="AW334" s="22" t="n">
        <x:f>MAX(0,MIN('Activities'!L334,270)-MAX('Activities'!K334,264))</x:f>
        <x:v>0</x:v>
      </x:c>
      <x:c r="AX334" s="22" t="n">
        <x:f>MAX(0,MIN('Activities'!L334,276)-MAX('Activities'!K334,270))</x:f>
        <x:v>0</x:v>
      </x:c>
      <x:c r="AY334" s="22" t="n">
        <x:f>MAX(0,MIN('Activities'!L334,282)-MAX('Activities'!K334,276))</x:f>
        <x:v>0</x:v>
      </x:c>
      <x:c r="AZ334" s="22" t="n">
        <x:f>MAX(0,MIN('Activities'!L334,288)-MAX('Activities'!K334,282))</x:f>
        <x:v>0</x:v>
      </x:c>
      <x:c r="BA334" s="22" t="n">
        <x:f>MAX(0,MIN('Activities'!L334,294)-MAX('Activities'!K334,288))</x:f>
        <x:v>0</x:v>
      </x:c>
      <x:c r="BB334" s="22" t="n">
        <x:f>MAX(0,MIN('Activities'!L334,300)-MAX('Activities'!K334,294))</x:f>
        <x:v>0</x:v>
      </x:c>
      <x:c r="BC334" s="22" t="n">
        <x:f>MAX(0,MIN('Activities'!L334,306)-MAX('Activities'!K334,300))</x:f>
        <x:v>0</x:v>
      </x:c>
      <x:c r="BD334" s="22" t="n">
        <x:f>MAX(0,MIN('Activities'!L334,312)-MAX('Activities'!K334,306))</x:f>
        <x:v>0</x:v>
      </x:c>
      <x:c r="BE334" s="22" t="n">
        <x:f>MAX(0,MIN('Activities'!L334,318)-MAX('Activities'!K334,312))</x:f>
        <x:v>0</x:v>
      </x:c>
      <x:c r="BF334" s="22" t="n">
        <x:f>MAX(0,MIN('Activities'!L334,324)-MAX('Activities'!K334,318))</x:f>
        <x:v>0</x:v>
      </x:c>
      <x:c r="BG334" s="22" t="n">
        <x:f>MAX(0,MIN('Activities'!L334,330)-MAX('Activities'!K334,324))</x:f>
        <x:v>0</x:v>
      </x:c>
      <x:c r="BH334" s="22" t="n">
        <x:f>MAX(0,MIN('Activities'!L334,336)-MAX('Activities'!K334,330))</x:f>
        <x:v>0</x:v>
      </x:c>
      <x:c r="BI334" s="22" t="n">
        <x:f>MAX(0,MIN('Activities'!L334,342)-MAX('Activities'!K334,336))</x:f>
        <x:v>0</x:v>
      </x:c>
      <x:c r="BJ334" s="22" t="n">
        <x:f>MAX(0,MIN('Activities'!L334,348)-MAX('Activities'!K334,342))</x:f>
        <x:v>0</x:v>
      </x:c>
      <x:c r="BK334" s="22" t="n">
        <x:f>MAX(0,MIN('Activities'!L334,354)-MAX('Activities'!K334,348))</x:f>
        <x:v>0</x:v>
      </x:c>
      <x:c r="BL334" s="22" t="n">
        <x:f>MAX(0,MIN('Activities'!L334,360)-MAX('Activities'!K334,354))</x:f>
        <x:v>0</x:v>
      </x:c>
      <x:c r="BM334" s="22" t="n">
        <x:f>MAX(0,MIN('Activities'!L334,366)-MAX('Activities'!K334,360))</x:f>
        <x:v>0</x:v>
      </x:c>
      <x:c r="BN334" s="22" t="n">
        <x:f>MAX(0,MIN('Activities'!L334,372)-MAX('Activities'!K334,366))</x:f>
        <x:v>0</x:v>
      </x:c>
      <x:c r="BO334" s="22" t="n">
        <x:f>MAX(0,MIN('Activities'!L334,378)-MAX('Activities'!K334,372))</x:f>
        <x:v>0</x:v>
      </x:c>
      <x:c r="BP334" s="22" t="n">
        <x:f>MAX(0,MIN('Activities'!L334,384)-MAX('Activities'!K334,378))</x:f>
        <x:v>0</x:v>
      </x:c>
      <x:c r="BQ334" s="22" t="n">
        <x:f>MAX(0,MIN('Activities'!L334,390)-MAX('Activities'!K334,384))</x:f>
        <x:v>0</x:v>
      </x:c>
      <x:c r="BR334" s="22" t="n">
        <x:f>MAX(0,MIN('Activities'!L334,396)-MAX('Activities'!K334,390))</x:f>
        <x:v>0</x:v>
      </x:c>
      <x:c r="BS334" s="22" t="n">
        <x:f>MAX(0,MIN('Activities'!L334,402)-MAX('Activities'!K334,396))</x:f>
        <x:v>5</x:v>
      </x:c>
      <x:c r="BT334" s="22" t="n">
        <x:f>MAX(0,MIN('Activities'!L334,408)-MAX('Activities'!K334,402))</x:f>
        <x:v>6</x:v>
      </x:c>
      <x:c r="BU334" s="22" t="n">
        <x:f>MAX(0,MIN('Activities'!L334,414)-MAX('Activities'!K334,408))</x:f>
        <x:v>3</x:v>
      </x:c>
      <x:c r="BV334" s="22" t="n">
        <x:f>MAX(0,MIN('Activities'!L334,420)-MAX('Activities'!K334,414))</x:f>
        <x:v>0</x:v>
      </x:c>
      <x:c r="BW334" s="22" t="n">
        <x:f>MAX(0,MIN('Activities'!L334,426)-MAX('Activities'!K334,420))</x:f>
        <x:v>0</x:v>
      </x:c>
      <x:c r="BX334" s="22" t="n">
        <x:f>MAX(0,MIN('Activities'!L334,432)-MAX('Activities'!K334,426))</x:f>
        <x:v>0</x:v>
      </x:c>
      <x:c r="BY334" s="22" t="n">
        <x:f>MAX(0,MIN('Activities'!L334,438)-MAX('Activities'!K334,432))</x:f>
        <x:v>0</x:v>
      </x:c>
      <x:c r="BZ334" s="22" t="n">
        <x:f>MAX(0,MIN('Activities'!L334,444)-MAX('Activities'!K334,438))</x:f>
        <x:v>0</x:v>
      </x:c>
      <x:c r="CA334" s="22" t="n">
        <x:f>MAX(0,MIN('Activities'!L334,450)-MAX('Activities'!K334,444))</x:f>
        <x:v>0</x:v>
      </x:c>
      <x:c r="CB334" s="22" t="n">
        <x:f>MAX(0,MIN('Activities'!L334,456)-MAX('Activities'!K334,450))</x:f>
        <x:v>0</x:v>
      </x:c>
      <x:c r="CC334" s="22" t="n">
        <x:f>MAX(0,MIN('Activities'!L334,462)-MAX('Activities'!K334,456))</x:f>
        <x:v>0</x:v>
      </x:c>
      <x:c r="CD334" s="22" t="n">
        <x:f>MAX(0,MIN('Activities'!L334,468)-MAX('Activities'!K334,462))</x:f>
        <x:v>0</x:v>
      </x:c>
      <x:c r="CE334" s="22" t="n">
        <x:f>MAX(0,MIN('Activities'!L334,474)-MAX('Activities'!K334,468))</x:f>
        <x:v>0</x:v>
      </x:c>
      <x:c r="CF334" s="22" t="n">
        <x:f>MAX(0,MIN('Activities'!L334,480)-MAX('Activities'!K334,474))</x:f>
        <x:v>0</x:v>
      </x:c>
      <x:c r="CG334" s="22" t="n">
        <x:f>MAX(0,MIN('Activities'!L334,486)-MAX('Activities'!K334,480))</x:f>
        <x:v>0</x:v>
      </x:c>
      <x:c r="CH334" s="22" t="n">
        <x:f>MAX(0,MIN('Activities'!L334,492)-MAX('Activities'!K334,486))</x:f>
        <x:v>0</x:v>
      </x:c>
      <x:c r="CI334" s="22" t="n">
        <x:f>MAX(0,MIN('Activities'!L334,498)-MAX('Activities'!K334,492))</x:f>
        <x:v>0</x:v>
      </x:c>
      <x:c r="CJ334" s="22" t="n">
        <x:f>MAX(0,MIN('Activities'!L334,504)-MAX('Activities'!K334,498))</x:f>
        <x:v>0</x:v>
      </x:c>
      <x:c r="CK334" s="22" t="n">
        <x:f>MAX(0,MIN('Activities'!L334,510)-MAX('Activities'!K334,504))</x:f>
        <x:v>0</x:v>
      </x:c>
      <x:c r="CL334" s="22" t="n">
        <x:f>MAX(0,MIN('Activities'!L334,516)-MAX('Activities'!K334,510))</x:f>
        <x:v>0</x:v>
      </x:c>
      <x:c r="CM334" s="22" t="n">
        <x:f>MAX(0,MIN('Activities'!L334,522)-MAX('Activities'!K334,516))</x:f>
        <x:v>0</x:v>
      </x:c>
      <x:c r="CN334" s="22" t="n">
        <x:f>MAX(0,MIN('Activities'!L334,528)-MAX('Activities'!K334,522))</x:f>
        <x:v>0</x:v>
      </x:c>
      <x:c r="CO334" s="22" t="n">
        <x:f>MAX(0,MIN('Activities'!L334,534)-MAX('Activities'!K334,528))</x:f>
        <x:v>0</x:v>
      </x:c>
      <x:c r="CP334" s="22" t="n">
        <x:f>MAX(0,MIN('Activities'!L334,540)-MAX('Activities'!K334,534))</x:f>
        <x:v>0</x:v>
      </x:c>
      <x:c r="CQ334" s="22" t="n">
        <x:f>MAX(0,MIN('Activities'!L334,546)-MAX('Activities'!K334,540))</x:f>
        <x:v>0</x:v>
      </x:c>
      <x:c r="CR334" s="22" t="n">
        <x:f>MAX(0,MIN('Activities'!L334,552)-MAX('Activities'!K334,546))</x:f>
        <x:v>0</x:v>
      </x:c>
      <x:c r="CS334" s="22" t="n">
        <x:f>MAX(0,MIN('Activities'!L334,558)-MAX('Activities'!K334,552))</x:f>
        <x:v>0</x:v>
      </x:c>
      <x:c r="CT334" s="22" t="n">
        <x:f>MAX(0,MIN('Activities'!L334,564)-MAX('Activities'!K334,558))</x:f>
        <x:v>0</x:v>
      </x:c>
      <x:c r="CU334" s="22" t="n">
        <x:f>MAX(0,MIN('Activities'!L334,570)-MAX('Activities'!K334,564))</x:f>
        <x:v>0</x:v>
      </x:c>
      <x:c r="CV334" s="22" t="n">
        <x:f>MAX(0,MIN('Activities'!L334,576)-MAX('Activities'!K334,570))</x:f>
        <x:v>0</x:v>
      </x:c>
      <x:c r="CW334" s="22" t="n">
        <x:f>MAX(0,MIN('Activities'!L334,582)-MAX('Activities'!K334,576))</x:f>
        <x:v>0</x:v>
      </x:c>
      <x:c r="CX334" s="22" t="n">
        <x:f>MAX(0,MIN('Activities'!L334,588)-MAX('Activities'!K334,582))</x:f>
        <x:v>0</x:v>
      </x:c>
      <x:c r="CY334" s="22" t="n">
        <x:f>MAX(0,MIN('Activities'!L334,594)-MAX('Activities'!K334,588))</x:f>
        <x:v>0</x:v>
      </x:c>
      <x:c r="CZ334" s="22" t="n">
        <x:f>MAX(0,MIN('Activities'!L334,600)-MAX('Activities'!K334,594))</x:f>
        <x:v>0</x:v>
      </x:c>
      <x:c r="DA334" s="22" t="n">
        <x:f>MAX(0,MIN('Activities'!L334,606)-MAX('Activities'!K334,600))</x:f>
        <x:v>0</x:v>
      </x:c>
      <x:c r="DB334" s="22" t="n">
        <x:f>MAX(0,MIN('Activities'!L334,612)-MAX('Activities'!K334,606))</x:f>
        <x:v>0</x:v>
      </x:c>
      <x:c r="DC334" s="22" t="n">
        <x:f>MAX(0,MIN('Activities'!L334,618)-MAX('Activities'!K334,612))</x:f>
        <x:v>0</x:v>
      </x:c>
      <x:c r="DD334" s="22" t="n">
        <x:f>MAX(0,MIN('Activities'!L334,624)-MAX('Activities'!K334,618))</x:f>
        <x:v>0</x:v>
      </x:c>
      <x:c r="DE334" s="22" t="n">
        <x:f>MAX(0,MIN('Activities'!L334,630)-MAX('Activities'!K334,624))</x:f>
        <x:v>0</x:v>
      </x:c>
      <x:c r="DF334" s="22" t="n">
        <x:f>MAX(0,MIN('Activities'!L334,636)-MAX('Activities'!K334,630))</x:f>
        <x:v>0</x:v>
      </x:c>
    </x:row>
    <x:row r="335" ht="23" customHeight="1">
      <x:c r="A335" s="1" t="str">
        <x:v>T3-FA</x:v>
      </x:c>
      <x:c r="B335" s="1" t="str">
        <x:v>T3</x:v>
      </x:c>
      <x:c r="C335" s="1" t="str">
        <x:v>Insulated facade installation</x:v>
      </x:c>
      <x:c r="D335" s="1" t="str">
        <x:v>Envelope</x:v>
      </x:c>
      <x:c r="E335" s="23" t="n">
        <x:f>MAX(0,MIN('Activities'!L335,6)-MAX('Activities'!K335,0))</x:f>
        <x:v>0</x:v>
      </x:c>
      <x:c r="F335" s="23" t="n">
        <x:f>MAX(0,MIN('Activities'!L335,12)-MAX('Activities'!K335,6))</x:f>
        <x:v>0</x:v>
      </x:c>
      <x:c r="G335" s="23" t="n">
        <x:f>MAX(0,MIN('Activities'!L335,18)-MAX('Activities'!K335,12))</x:f>
        <x:v>0</x:v>
      </x:c>
      <x:c r="H335" s="23" t="n">
        <x:f>MAX(0,MIN('Activities'!L335,24)-MAX('Activities'!K335,18))</x:f>
        <x:v>0</x:v>
      </x:c>
      <x:c r="I335" s="23" t="n">
        <x:f>MAX(0,MIN('Activities'!L335,30)-MAX('Activities'!K335,24))</x:f>
        <x:v>0</x:v>
      </x:c>
      <x:c r="J335" s="23" t="n">
        <x:f>MAX(0,MIN('Activities'!L335,36)-MAX('Activities'!K335,30))</x:f>
        <x:v>0</x:v>
      </x:c>
      <x:c r="K335" s="23" t="n">
        <x:f>MAX(0,MIN('Activities'!L335,42)-MAX('Activities'!K335,36))</x:f>
        <x:v>0</x:v>
      </x:c>
      <x:c r="L335" s="23" t="n">
        <x:f>MAX(0,MIN('Activities'!L335,48)-MAX('Activities'!K335,42))</x:f>
        <x:v>0</x:v>
      </x:c>
      <x:c r="M335" s="23" t="n">
        <x:f>MAX(0,MIN('Activities'!L335,54)-MAX('Activities'!K335,48))</x:f>
        <x:v>0</x:v>
      </x:c>
      <x:c r="N335" s="23" t="n">
        <x:f>MAX(0,MIN('Activities'!L335,60)-MAX('Activities'!K335,54))</x:f>
        <x:v>0</x:v>
      </x:c>
      <x:c r="O335" s="23" t="n">
        <x:f>MAX(0,MIN('Activities'!L335,66)-MAX('Activities'!K335,60))</x:f>
        <x:v>0</x:v>
      </x:c>
      <x:c r="P335" s="23" t="n">
        <x:f>MAX(0,MIN('Activities'!L335,72)-MAX('Activities'!K335,66))</x:f>
        <x:v>0</x:v>
      </x:c>
      <x:c r="Q335" s="23" t="n">
        <x:f>MAX(0,MIN('Activities'!L335,78)-MAX('Activities'!K335,72))</x:f>
        <x:v>0</x:v>
      </x:c>
      <x:c r="R335" s="23" t="n">
        <x:f>MAX(0,MIN('Activities'!L335,84)-MAX('Activities'!K335,78))</x:f>
        <x:v>0</x:v>
      </x:c>
      <x:c r="S335" s="23" t="n">
        <x:f>MAX(0,MIN('Activities'!L335,90)-MAX('Activities'!K335,84))</x:f>
        <x:v>0</x:v>
      </x:c>
      <x:c r="T335" s="23" t="n">
        <x:f>MAX(0,MIN('Activities'!L335,96)-MAX('Activities'!K335,90))</x:f>
        <x:v>0</x:v>
      </x:c>
      <x:c r="U335" s="23" t="n">
        <x:f>MAX(0,MIN('Activities'!L335,102)-MAX('Activities'!K335,96))</x:f>
        <x:v>0</x:v>
      </x:c>
      <x:c r="V335" s="23" t="n">
        <x:f>MAX(0,MIN('Activities'!L335,108)-MAX('Activities'!K335,102))</x:f>
        <x:v>0</x:v>
      </x:c>
      <x:c r="W335" s="23" t="n">
        <x:f>MAX(0,MIN('Activities'!L335,114)-MAX('Activities'!K335,108))</x:f>
        <x:v>0</x:v>
      </x:c>
      <x:c r="X335" s="23" t="n">
        <x:f>MAX(0,MIN('Activities'!L335,120)-MAX('Activities'!K335,114))</x:f>
        <x:v>0</x:v>
      </x:c>
      <x:c r="Y335" s="23" t="n">
        <x:f>MAX(0,MIN('Activities'!L335,126)-MAX('Activities'!K335,120))</x:f>
        <x:v>0</x:v>
      </x:c>
      <x:c r="Z335" s="23" t="n">
        <x:f>MAX(0,MIN('Activities'!L335,132)-MAX('Activities'!K335,126))</x:f>
        <x:v>0</x:v>
      </x:c>
      <x:c r="AA335" s="23" t="n">
        <x:f>MAX(0,MIN('Activities'!L335,138)-MAX('Activities'!K335,132))</x:f>
        <x:v>0</x:v>
      </x:c>
      <x:c r="AB335" s="23" t="n">
        <x:f>MAX(0,MIN('Activities'!L335,144)-MAX('Activities'!K335,138))</x:f>
        <x:v>0</x:v>
      </x:c>
      <x:c r="AC335" s="23" t="n">
        <x:f>MAX(0,MIN('Activities'!L335,150)-MAX('Activities'!K335,144))</x:f>
        <x:v>0</x:v>
      </x:c>
      <x:c r="AD335" s="23" t="n">
        <x:f>MAX(0,MIN('Activities'!L335,156)-MAX('Activities'!K335,150))</x:f>
        <x:v>0</x:v>
      </x:c>
      <x:c r="AE335" s="23" t="n">
        <x:f>MAX(0,MIN('Activities'!L335,162)-MAX('Activities'!K335,156))</x:f>
        <x:v>0</x:v>
      </x:c>
      <x:c r="AF335" s="23" t="n">
        <x:f>MAX(0,MIN('Activities'!L335,168)-MAX('Activities'!K335,162))</x:f>
        <x:v>0</x:v>
      </x:c>
      <x:c r="AG335" s="23" t="n">
        <x:f>MAX(0,MIN('Activities'!L335,174)-MAX('Activities'!K335,168))</x:f>
        <x:v>0</x:v>
      </x:c>
      <x:c r="AH335" s="23" t="n">
        <x:f>MAX(0,MIN('Activities'!L335,180)-MAX('Activities'!K335,174))</x:f>
        <x:v>0</x:v>
      </x:c>
      <x:c r="AI335" s="23" t="n">
        <x:f>MAX(0,MIN('Activities'!L335,186)-MAX('Activities'!K335,180))</x:f>
        <x:v>0</x:v>
      </x:c>
      <x:c r="AJ335" s="23" t="n">
        <x:f>MAX(0,MIN('Activities'!L335,192)-MAX('Activities'!K335,186))</x:f>
        <x:v>0</x:v>
      </x:c>
      <x:c r="AK335" s="23" t="n">
        <x:f>MAX(0,MIN('Activities'!L335,198)-MAX('Activities'!K335,192))</x:f>
        <x:v>0</x:v>
      </x:c>
      <x:c r="AL335" s="23" t="n">
        <x:f>MAX(0,MIN('Activities'!L335,204)-MAX('Activities'!K335,198))</x:f>
        <x:v>0</x:v>
      </x:c>
      <x:c r="AM335" s="23" t="n">
        <x:f>MAX(0,MIN('Activities'!L335,210)-MAX('Activities'!K335,204))</x:f>
        <x:v>0</x:v>
      </x:c>
      <x:c r="AN335" s="23" t="n">
        <x:f>MAX(0,MIN('Activities'!L335,216)-MAX('Activities'!K335,210))</x:f>
        <x:v>0</x:v>
      </x:c>
      <x:c r="AO335" s="23" t="n">
        <x:f>MAX(0,MIN('Activities'!L335,222)-MAX('Activities'!K335,216))</x:f>
        <x:v>0</x:v>
      </x:c>
      <x:c r="AP335" s="23" t="n">
        <x:f>MAX(0,MIN('Activities'!L335,228)-MAX('Activities'!K335,222))</x:f>
        <x:v>0</x:v>
      </x:c>
      <x:c r="AQ335" s="23" t="n">
        <x:f>MAX(0,MIN('Activities'!L335,234)-MAX('Activities'!K335,228))</x:f>
        <x:v>0</x:v>
      </x:c>
      <x:c r="AR335" s="23" t="n">
        <x:f>MAX(0,MIN('Activities'!L335,240)-MAX('Activities'!K335,234))</x:f>
        <x:v>0</x:v>
      </x:c>
      <x:c r="AS335" s="23" t="n">
        <x:f>MAX(0,MIN('Activities'!L335,246)-MAX('Activities'!K335,240))</x:f>
        <x:v>0</x:v>
      </x:c>
      <x:c r="AT335" s="23" t="n">
        <x:f>MAX(0,MIN('Activities'!L335,252)-MAX('Activities'!K335,246))</x:f>
        <x:v>0</x:v>
      </x:c>
      <x:c r="AU335" s="23" t="n">
        <x:f>MAX(0,MIN('Activities'!L335,258)-MAX('Activities'!K335,252))</x:f>
        <x:v>0</x:v>
      </x:c>
      <x:c r="AV335" s="23" t="n">
        <x:f>MAX(0,MIN('Activities'!L335,264)-MAX('Activities'!K335,258))</x:f>
        <x:v>0</x:v>
      </x:c>
      <x:c r="AW335" s="23" t="n">
        <x:f>MAX(0,MIN('Activities'!L335,270)-MAX('Activities'!K335,264))</x:f>
        <x:v>0</x:v>
      </x:c>
      <x:c r="AX335" s="23" t="n">
        <x:f>MAX(0,MIN('Activities'!L335,276)-MAX('Activities'!K335,270))</x:f>
        <x:v>0</x:v>
      </x:c>
      <x:c r="AY335" s="23" t="n">
        <x:f>MAX(0,MIN('Activities'!L335,282)-MAX('Activities'!K335,276))</x:f>
        <x:v>0</x:v>
      </x:c>
      <x:c r="AZ335" s="23" t="n">
        <x:f>MAX(0,MIN('Activities'!L335,288)-MAX('Activities'!K335,282))</x:f>
        <x:v>0</x:v>
      </x:c>
      <x:c r="BA335" s="23" t="n">
        <x:f>MAX(0,MIN('Activities'!L335,294)-MAX('Activities'!K335,288))</x:f>
        <x:v>0</x:v>
      </x:c>
      <x:c r="BB335" s="23" t="n">
        <x:f>MAX(0,MIN('Activities'!L335,300)-MAX('Activities'!K335,294))</x:f>
        <x:v>0</x:v>
      </x:c>
      <x:c r="BC335" s="23" t="n">
        <x:f>MAX(0,MIN('Activities'!L335,306)-MAX('Activities'!K335,300))</x:f>
        <x:v>0</x:v>
      </x:c>
      <x:c r="BD335" s="23" t="n">
        <x:f>MAX(0,MIN('Activities'!L335,312)-MAX('Activities'!K335,306))</x:f>
        <x:v>0</x:v>
      </x:c>
      <x:c r="BE335" s="23" t="n">
        <x:f>MAX(0,MIN('Activities'!L335,318)-MAX('Activities'!K335,312))</x:f>
        <x:v>0</x:v>
      </x:c>
      <x:c r="BF335" s="23" t="n">
        <x:f>MAX(0,MIN('Activities'!L335,324)-MAX('Activities'!K335,318))</x:f>
        <x:v>0</x:v>
      </x:c>
      <x:c r="BG335" s="23" t="n">
        <x:f>MAX(0,MIN('Activities'!L335,330)-MAX('Activities'!K335,324))</x:f>
        <x:v>0</x:v>
      </x:c>
      <x:c r="BH335" s="23" t="n">
        <x:f>MAX(0,MIN('Activities'!L335,336)-MAX('Activities'!K335,330))</x:f>
        <x:v>6</x:v>
      </x:c>
      <x:c r="BI335" s="23" t="n">
        <x:f>MAX(0,MIN('Activities'!L335,342)-MAX('Activities'!K335,336))</x:f>
        <x:v>6</x:v>
      </x:c>
      <x:c r="BJ335" s="23" t="n">
        <x:f>MAX(0,MIN('Activities'!L335,348)-MAX('Activities'!K335,342))</x:f>
        <x:v>6</x:v>
      </x:c>
      <x:c r="BK335" s="23" t="n">
        <x:f>MAX(0,MIN('Activities'!L335,354)-MAX('Activities'!K335,348))</x:f>
        <x:v>4</x:v>
      </x:c>
      <x:c r="BL335" s="23" t="n">
        <x:f>MAX(0,MIN('Activities'!L335,360)-MAX('Activities'!K335,354))</x:f>
        <x:v>0</x:v>
      </x:c>
      <x:c r="BM335" s="23" t="n">
        <x:f>MAX(0,MIN('Activities'!L335,366)-MAX('Activities'!K335,360))</x:f>
        <x:v>0</x:v>
      </x:c>
      <x:c r="BN335" s="23" t="n">
        <x:f>MAX(0,MIN('Activities'!L335,372)-MAX('Activities'!K335,366))</x:f>
        <x:v>0</x:v>
      </x:c>
      <x:c r="BO335" s="23" t="n">
        <x:f>MAX(0,MIN('Activities'!L335,378)-MAX('Activities'!K335,372))</x:f>
        <x:v>0</x:v>
      </x:c>
      <x:c r="BP335" s="23" t="n">
        <x:f>MAX(0,MIN('Activities'!L335,384)-MAX('Activities'!K335,378))</x:f>
        <x:v>0</x:v>
      </x:c>
      <x:c r="BQ335" s="23" t="n">
        <x:f>MAX(0,MIN('Activities'!L335,390)-MAX('Activities'!K335,384))</x:f>
        <x:v>0</x:v>
      </x:c>
      <x:c r="BR335" s="23" t="n">
        <x:f>MAX(0,MIN('Activities'!L335,396)-MAX('Activities'!K335,390))</x:f>
        <x:v>0</x:v>
      </x:c>
      <x:c r="BS335" s="23" t="n">
        <x:f>MAX(0,MIN('Activities'!L335,402)-MAX('Activities'!K335,396))</x:f>
        <x:v>0</x:v>
      </x:c>
      <x:c r="BT335" s="23" t="n">
        <x:f>MAX(0,MIN('Activities'!L335,408)-MAX('Activities'!K335,402))</x:f>
        <x:v>0</x:v>
      </x:c>
      <x:c r="BU335" s="23" t="n">
        <x:f>MAX(0,MIN('Activities'!L335,414)-MAX('Activities'!K335,408))</x:f>
        <x:v>0</x:v>
      </x:c>
      <x:c r="BV335" s="23" t="n">
        <x:f>MAX(0,MIN('Activities'!L335,420)-MAX('Activities'!K335,414))</x:f>
        <x:v>0</x:v>
      </x:c>
      <x:c r="BW335" s="23" t="n">
        <x:f>MAX(0,MIN('Activities'!L335,426)-MAX('Activities'!K335,420))</x:f>
        <x:v>0</x:v>
      </x:c>
      <x:c r="BX335" s="23" t="n">
        <x:f>MAX(0,MIN('Activities'!L335,432)-MAX('Activities'!K335,426))</x:f>
        <x:v>0</x:v>
      </x:c>
      <x:c r="BY335" s="23" t="n">
        <x:f>MAX(0,MIN('Activities'!L335,438)-MAX('Activities'!K335,432))</x:f>
        <x:v>0</x:v>
      </x:c>
      <x:c r="BZ335" s="23" t="n">
        <x:f>MAX(0,MIN('Activities'!L335,444)-MAX('Activities'!K335,438))</x:f>
        <x:v>0</x:v>
      </x:c>
      <x:c r="CA335" s="23" t="n">
        <x:f>MAX(0,MIN('Activities'!L335,450)-MAX('Activities'!K335,444))</x:f>
        <x:v>0</x:v>
      </x:c>
      <x:c r="CB335" s="23" t="n">
        <x:f>MAX(0,MIN('Activities'!L335,456)-MAX('Activities'!K335,450))</x:f>
        <x:v>0</x:v>
      </x:c>
      <x:c r="CC335" s="23" t="n">
        <x:f>MAX(0,MIN('Activities'!L335,462)-MAX('Activities'!K335,456))</x:f>
        <x:v>0</x:v>
      </x:c>
      <x:c r="CD335" s="23" t="n">
        <x:f>MAX(0,MIN('Activities'!L335,468)-MAX('Activities'!K335,462))</x:f>
        <x:v>0</x:v>
      </x:c>
      <x:c r="CE335" s="23" t="n">
        <x:f>MAX(0,MIN('Activities'!L335,474)-MAX('Activities'!K335,468))</x:f>
        <x:v>0</x:v>
      </x:c>
      <x:c r="CF335" s="23" t="n">
        <x:f>MAX(0,MIN('Activities'!L335,480)-MAX('Activities'!K335,474))</x:f>
        <x:v>0</x:v>
      </x:c>
      <x:c r="CG335" s="23" t="n">
        <x:f>MAX(0,MIN('Activities'!L335,486)-MAX('Activities'!K335,480))</x:f>
        <x:v>0</x:v>
      </x:c>
      <x:c r="CH335" s="23" t="n">
        <x:f>MAX(0,MIN('Activities'!L335,492)-MAX('Activities'!K335,486))</x:f>
        <x:v>0</x:v>
      </x:c>
      <x:c r="CI335" s="23" t="n">
        <x:f>MAX(0,MIN('Activities'!L335,498)-MAX('Activities'!K335,492))</x:f>
        <x:v>0</x:v>
      </x:c>
      <x:c r="CJ335" s="23" t="n">
        <x:f>MAX(0,MIN('Activities'!L335,504)-MAX('Activities'!K335,498))</x:f>
        <x:v>0</x:v>
      </x:c>
      <x:c r="CK335" s="23" t="n">
        <x:f>MAX(0,MIN('Activities'!L335,510)-MAX('Activities'!K335,504))</x:f>
        <x:v>0</x:v>
      </x:c>
      <x:c r="CL335" s="23" t="n">
        <x:f>MAX(0,MIN('Activities'!L335,516)-MAX('Activities'!K335,510))</x:f>
        <x:v>0</x:v>
      </x:c>
      <x:c r="CM335" s="23" t="n">
        <x:f>MAX(0,MIN('Activities'!L335,522)-MAX('Activities'!K335,516))</x:f>
        <x:v>0</x:v>
      </x:c>
      <x:c r="CN335" s="23" t="n">
        <x:f>MAX(0,MIN('Activities'!L335,528)-MAX('Activities'!K335,522))</x:f>
        <x:v>0</x:v>
      </x:c>
      <x:c r="CO335" s="23" t="n">
        <x:f>MAX(0,MIN('Activities'!L335,534)-MAX('Activities'!K335,528))</x:f>
        <x:v>0</x:v>
      </x:c>
      <x:c r="CP335" s="23" t="n">
        <x:f>MAX(0,MIN('Activities'!L335,540)-MAX('Activities'!K335,534))</x:f>
        <x:v>0</x:v>
      </x:c>
      <x:c r="CQ335" s="23" t="n">
        <x:f>MAX(0,MIN('Activities'!L335,546)-MAX('Activities'!K335,540))</x:f>
        <x:v>0</x:v>
      </x:c>
      <x:c r="CR335" s="23" t="n">
        <x:f>MAX(0,MIN('Activities'!L335,552)-MAX('Activities'!K335,546))</x:f>
        <x:v>0</x:v>
      </x:c>
      <x:c r="CS335" s="23" t="n">
        <x:f>MAX(0,MIN('Activities'!L335,558)-MAX('Activities'!K335,552))</x:f>
        <x:v>0</x:v>
      </x:c>
      <x:c r="CT335" s="23" t="n">
        <x:f>MAX(0,MIN('Activities'!L335,564)-MAX('Activities'!K335,558))</x:f>
        <x:v>0</x:v>
      </x:c>
      <x:c r="CU335" s="23" t="n">
        <x:f>MAX(0,MIN('Activities'!L335,570)-MAX('Activities'!K335,564))</x:f>
        <x:v>0</x:v>
      </x:c>
      <x:c r="CV335" s="23" t="n">
        <x:f>MAX(0,MIN('Activities'!L335,576)-MAX('Activities'!K335,570))</x:f>
        <x:v>0</x:v>
      </x:c>
      <x:c r="CW335" s="23" t="n">
        <x:f>MAX(0,MIN('Activities'!L335,582)-MAX('Activities'!K335,576))</x:f>
        <x:v>0</x:v>
      </x:c>
      <x:c r="CX335" s="23" t="n">
        <x:f>MAX(0,MIN('Activities'!L335,588)-MAX('Activities'!K335,582))</x:f>
        <x:v>0</x:v>
      </x:c>
      <x:c r="CY335" s="23" t="n">
        <x:f>MAX(0,MIN('Activities'!L335,594)-MAX('Activities'!K335,588))</x:f>
        <x:v>0</x:v>
      </x:c>
      <x:c r="CZ335" s="23" t="n">
        <x:f>MAX(0,MIN('Activities'!L335,600)-MAX('Activities'!K335,594))</x:f>
        <x:v>0</x:v>
      </x:c>
      <x:c r="DA335" s="23" t="n">
        <x:f>MAX(0,MIN('Activities'!L335,606)-MAX('Activities'!K335,600))</x:f>
        <x:v>0</x:v>
      </x:c>
      <x:c r="DB335" s="23" t="n">
        <x:f>MAX(0,MIN('Activities'!L335,612)-MAX('Activities'!K335,606))</x:f>
        <x:v>0</x:v>
      </x:c>
      <x:c r="DC335" s="23" t="n">
        <x:f>MAX(0,MIN('Activities'!L335,618)-MAX('Activities'!K335,612))</x:f>
        <x:v>0</x:v>
      </x:c>
      <x:c r="DD335" s="23" t="n">
        <x:f>MAX(0,MIN('Activities'!L335,624)-MAX('Activities'!K335,618))</x:f>
        <x:v>0</x:v>
      </x:c>
      <x:c r="DE335" s="23" t="n">
        <x:f>MAX(0,MIN('Activities'!L335,630)-MAX('Activities'!K335,624))</x:f>
        <x:v>0</x:v>
      </x:c>
      <x:c r="DF335" s="23" t="n">
        <x:f>MAX(0,MIN('Activities'!L335,636)-MAX('Activities'!K335,630))</x:f>
        <x:v>0</x:v>
      </x:c>
    </x:row>
    <x:row r="336" ht="23" customHeight="1">
      <x:c r="A336" s="6" t="str">
        <x:v>T3-GL</x:v>
      </x:c>
      <x:c r="B336" s="6" t="str">
        <x:v>T3</x:v>
      </x:c>
      <x:c r="C336" s="6" t="str">
        <x:v>Glazing and frame installation</x:v>
      </x:c>
      <x:c r="D336" s="6" t="str">
        <x:v>Envelope</x:v>
      </x:c>
      <x:c r="E336" s="22" t="n">
        <x:f>MAX(0,MIN('Activities'!L336,6)-MAX('Activities'!K336,0))</x:f>
        <x:v>0</x:v>
      </x:c>
      <x:c r="F336" s="22" t="n">
        <x:f>MAX(0,MIN('Activities'!L336,12)-MAX('Activities'!K336,6))</x:f>
        <x:v>0</x:v>
      </x:c>
      <x:c r="G336" s="22" t="n">
        <x:f>MAX(0,MIN('Activities'!L336,18)-MAX('Activities'!K336,12))</x:f>
        <x:v>0</x:v>
      </x:c>
      <x:c r="H336" s="22" t="n">
        <x:f>MAX(0,MIN('Activities'!L336,24)-MAX('Activities'!K336,18))</x:f>
        <x:v>0</x:v>
      </x:c>
      <x:c r="I336" s="22" t="n">
        <x:f>MAX(0,MIN('Activities'!L336,30)-MAX('Activities'!K336,24))</x:f>
        <x:v>0</x:v>
      </x:c>
      <x:c r="J336" s="22" t="n">
        <x:f>MAX(0,MIN('Activities'!L336,36)-MAX('Activities'!K336,30))</x:f>
        <x:v>0</x:v>
      </x:c>
      <x:c r="K336" s="22" t="n">
        <x:f>MAX(0,MIN('Activities'!L336,42)-MAX('Activities'!K336,36))</x:f>
        <x:v>0</x:v>
      </x:c>
      <x:c r="L336" s="22" t="n">
        <x:f>MAX(0,MIN('Activities'!L336,48)-MAX('Activities'!K336,42))</x:f>
        <x:v>0</x:v>
      </x:c>
      <x:c r="M336" s="22" t="n">
        <x:f>MAX(0,MIN('Activities'!L336,54)-MAX('Activities'!K336,48))</x:f>
        <x:v>0</x:v>
      </x:c>
      <x:c r="N336" s="22" t="n">
        <x:f>MAX(0,MIN('Activities'!L336,60)-MAX('Activities'!K336,54))</x:f>
        <x:v>0</x:v>
      </x:c>
      <x:c r="O336" s="22" t="n">
        <x:f>MAX(0,MIN('Activities'!L336,66)-MAX('Activities'!K336,60))</x:f>
        <x:v>0</x:v>
      </x:c>
      <x:c r="P336" s="22" t="n">
        <x:f>MAX(0,MIN('Activities'!L336,72)-MAX('Activities'!K336,66))</x:f>
        <x:v>0</x:v>
      </x:c>
      <x:c r="Q336" s="22" t="n">
        <x:f>MAX(0,MIN('Activities'!L336,78)-MAX('Activities'!K336,72))</x:f>
        <x:v>0</x:v>
      </x:c>
      <x:c r="R336" s="22" t="n">
        <x:f>MAX(0,MIN('Activities'!L336,84)-MAX('Activities'!K336,78))</x:f>
        <x:v>0</x:v>
      </x:c>
      <x:c r="S336" s="22" t="n">
        <x:f>MAX(0,MIN('Activities'!L336,90)-MAX('Activities'!K336,84))</x:f>
        <x:v>0</x:v>
      </x:c>
      <x:c r="T336" s="22" t="n">
        <x:f>MAX(0,MIN('Activities'!L336,96)-MAX('Activities'!K336,90))</x:f>
        <x:v>0</x:v>
      </x:c>
      <x:c r="U336" s="22" t="n">
        <x:f>MAX(0,MIN('Activities'!L336,102)-MAX('Activities'!K336,96))</x:f>
        <x:v>0</x:v>
      </x:c>
      <x:c r="V336" s="22" t="n">
        <x:f>MAX(0,MIN('Activities'!L336,108)-MAX('Activities'!K336,102))</x:f>
        <x:v>0</x:v>
      </x:c>
      <x:c r="W336" s="22" t="n">
        <x:f>MAX(0,MIN('Activities'!L336,114)-MAX('Activities'!K336,108))</x:f>
        <x:v>0</x:v>
      </x:c>
      <x:c r="X336" s="22" t="n">
        <x:f>MAX(0,MIN('Activities'!L336,120)-MAX('Activities'!K336,114))</x:f>
        <x:v>0</x:v>
      </x:c>
      <x:c r="Y336" s="22" t="n">
        <x:f>MAX(0,MIN('Activities'!L336,126)-MAX('Activities'!K336,120))</x:f>
        <x:v>0</x:v>
      </x:c>
      <x:c r="Z336" s="22" t="n">
        <x:f>MAX(0,MIN('Activities'!L336,132)-MAX('Activities'!K336,126))</x:f>
        <x:v>0</x:v>
      </x:c>
      <x:c r="AA336" s="22" t="n">
        <x:f>MAX(0,MIN('Activities'!L336,138)-MAX('Activities'!K336,132))</x:f>
        <x:v>0</x:v>
      </x:c>
      <x:c r="AB336" s="22" t="n">
        <x:f>MAX(0,MIN('Activities'!L336,144)-MAX('Activities'!K336,138))</x:f>
        <x:v>0</x:v>
      </x:c>
      <x:c r="AC336" s="22" t="n">
        <x:f>MAX(0,MIN('Activities'!L336,150)-MAX('Activities'!K336,144))</x:f>
        <x:v>0</x:v>
      </x:c>
      <x:c r="AD336" s="22" t="n">
        <x:f>MAX(0,MIN('Activities'!L336,156)-MAX('Activities'!K336,150))</x:f>
        <x:v>0</x:v>
      </x:c>
      <x:c r="AE336" s="22" t="n">
        <x:f>MAX(0,MIN('Activities'!L336,162)-MAX('Activities'!K336,156))</x:f>
        <x:v>0</x:v>
      </x:c>
      <x:c r="AF336" s="22" t="n">
        <x:f>MAX(0,MIN('Activities'!L336,168)-MAX('Activities'!K336,162))</x:f>
        <x:v>0</x:v>
      </x:c>
      <x:c r="AG336" s="22" t="n">
        <x:f>MAX(0,MIN('Activities'!L336,174)-MAX('Activities'!K336,168))</x:f>
        <x:v>0</x:v>
      </x:c>
      <x:c r="AH336" s="22" t="n">
        <x:f>MAX(0,MIN('Activities'!L336,180)-MAX('Activities'!K336,174))</x:f>
        <x:v>0</x:v>
      </x:c>
      <x:c r="AI336" s="22" t="n">
        <x:f>MAX(0,MIN('Activities'!L336,186)-MAX('Activities'!K336,180))</x:f>
        <x:v>0</x:v>
      </x:c>
      <x:c r="AJ336" s="22" t="n">
        <x:f>MAX(0,MIN('Activities'!L336,192)-MAX('Activities'!K336,186))</x:f>
        <x:v>0</x:v>
      </x:c>
      <x:c r="AK336" s="22" t="n">
        <x:f>MAX(0,MIN('Activities'!L336,198)-MAX('Activities'!K336,192))</x:f>
        <x:v>0</x:v>
      </x:c>
      <x:c r="AL336" s="22" t="n">
        <x:f>MAX(0,MIN('Activities'!L336,204)-MAX('Activities'!K336,198))</x:f>
        <x:v>0</x:v>
      </x:c>
      <x:c r="AM336" s="22" t="n">
        <x:f>MAX(0,MIN('Activities'!L336,210)-MAX('Activities'!K336,204))</x:f>
        <x:v>0</x:v>
      </x:c>
      <x:c r="AN336" s="22" t="n">
        <x:f>MAX(0,MIN('Activities'!L336,216)-MAX('Activities'!K336,210))</x:f>
        <x:v>0</x:v>
      </x:c>
      <x:c r="AO336" s="22" t="n">
        <x:f>MAX(0,MIN('Activities'!L336,222)-MAX('Activities'!K336,216))</x:f>
        <x:v>0</x:v>
      </x:c>
      <x:c r="AP336" s="22" t="n">
        <x:f>MAX(0,MIN('Activities'!L336,228)-MAX('Activities'!K336,222))</x:f>
        <x:v>0</x:v>
      </x:c>
      <x:c r="AQ336" s="22" t="n">
        <x:f>MAX(0,MIN('Activities'!L336,234)-MAX('Activities'!K336,228))</x:f>
        <x:v>0</x:v>
      </x:c>
      <x:c r="AR336" s="22" t="n">
        <x:f>MAX(0,MIN('Activities'!L336,240)-MAX('Activities'!K336,234))</x:f>
        <x:v>0</x:v>
      </x:c>
      <x:c r="AS336" s="22" t="n">
        <x:f>MAX(0,MIN('Activities'!L336,246)-MAX('Activities'!K336,240))</x:f>
        <x:v>0</x:v>
      </x:c>
      <x:c r="AT336" s="22" t="n">
        <x:f>MAX(0,MIN('Activities'!L336,252)-MAX('Activities'!K336,246))</x:f>
        <x:v>0</x:v>
      </x:c>
      <x:c r="AU336" s="22" t="n">
        <x:f>MAX(0,MIN('Activities'!L336,258)-MAX('Activities'!K336,252))</x:f>
        <x:v>0</x:v>
      </x:c>
      <x:c r="AV336" s="22" t="n">
        <x:f>MAX(0,MIN('Activities'!L336,264)-MAX('Activities'!K336,258))</x:f>
        <x:v>0</x:v>
      </x:c>
      <x:c r="AW336" s="22" t="n">
        <x:f>MAX(0,MIN('Activities'!L336,270)-MAX('Activities'!K336,264))</x:f>
        <x:v>0</x:v>
      </x:c>
      <x:c r="AX336" s="22" t="n">
        <x:f>MAX(0,MIN('Activities'!L336,276)-MAX('Activities'!K336,270))</x:f>
        <x:v>0</x:v>
      </x:c>
      <x:c r="AY336" s="22" t="n">
        <x:f>MAX(0,MIN('Activities'!L336,282)-MAX('Activities'!K336,276))</x:f>
        <x:v>0</x:v>
      </x:c>
      <x:c r="AZ336" s="22" t="n">
        <x:f>MAX(0,MIN('Activities'!L336,288)-MAX('Activities'!K336,282))</x:f>
        <x:v>0</x:v>
      </x:c>
      <x:c r="BA336" s="22" t="n">
        <x:f>MAX(0,MIN('Activities'!L336,294)-MAX('Activities'!K336,288))</x:f>
        <x:v>0</x:v>
      </x:c>
      <x:c r="BB336" s="22" t="n">
        <x:f>MAX(0,MIN('Activities'!L336,300)-MAX('Activities'!K336,294))</x:f>
        <x:v>0</x:v>
      </x:c>
      <x:c r="BC336" s="22" t="n">
        <x:f>MAX(0,MIN('Activities'!L336,306)-MAX('Activities'!K336,300))</x:f>
        <x:v>0</x:v>
      </x:c>
      <x:c r="BD336" s="22" t="n">
        <x:f>MAX(0,MIN('Activities'!L336,312)-MAX('Activities'!K336,306))</x:f>
        <x:v>0</x:v>
      </x:c>
      <x:c r="BE336" s="22" t="n">
        <x:f>MAX(0,MIN('Activities'!L336,318)-MAX('Activities'!K336,312))</x:f>
        <x:v>0</x:v>
      </x:c>
      <x:c r="BF336" s="22" t="n">
        <x:f>MAX(0,MIN('Activities'!L336,324)-MAX('Activities'!K336,318))</x:f>
        <x:v>0</x:v>
      </x:c>
      <x:c r="BG336" s="22" t="n">
        <x:f>MAX(0,MIN('Activities'!L336,330)-MAX('Activities'!K336,324))</x:f>
        <x:v>0</x:v>
      </x:c>
      <x:c r="BH336" s="22" t="n">
        <x:f>MAX(0,MIN('Activities'!L336,336)-MAX('Activities'!K336,330))</x:f>
        <x:v>0</x:v>
      </x:c>
      <x:c r="BI336" s="22" t="n">
        <x:f>MAX(0,MIN('Activities'!L336,342)-MAX('Activities'!K336,336))</x:f>
        <x:v>0</x:v>
      </x:c>
      <x:c r="BJ336" s="22" t="n">
        <x:f>MAX(0,MIN('Activities'!L336,348)-MAX('Activities'!K336,342))</x:f>
        <x:v>0</x:v>
      </x:c>
      <x:c r="BK336" s="22" t="n">
        <x:f>MAX(0,MIN('Activities'!L336,354)-MAX('Activities'!K336,348))</x:f>
        <x:v>0</x:v>
      </x:c>
      <x:c r="BL336" s="22" t="n">
        <x:f>MAX(0,MIN('Activities'!L336,360)-MAX('Activities'!K336,354))</x:f>
        <x:v>0</x:v>
      </x:c>
      <x:c r="BM336" s="22" t="n">
        <x:f>MAX(0,MIN('Activities'!L336,366)-MAX('Activities'!K336,360))</x:f>
        <x:v>0</x:v>
      </x:c>
      <x:c r="BN336" s="22" t="n">
        <x:f>MAX(0,MIN('Activities'!L336,372)-MAX('Activities'!K336,366))</x:f>
        <x:v>0</x:v>
      </x:c>
      <x:c r="BO336" s="22" t="n">
        <x:f>MAX(0,MIN('Activities'!L336,378)-MAX('Activities'!K336,372))</x:f>
        <x:v>0</x:v>
      </x:c>
      <x:c r="BP336" s="22" t="n">
        <x:f>MAX(0,MIN('Activities'!L336,384)-MAX('Activities'!K336,378))</x:f>
        <x:v>0</x:v>
      </x:c>
      <x:c r="BQ336" s="22" t="n">
        <x:f>MAX(0,MIN('Activities'!L336,390)-MAX('Activities'!K336,384))</x:f>
        <x:v>0</x:v>
      </x:c>
      <x:c r="BR336" s="22" t="n">
        <x:f>MAX(0,MIN('Activities'!L336,396)-MAX('Activities'!K336,390))</x:f>
        <x:v>0</x:v>
      </x:c>
      <x:c r="BS336" s="22" t="n">
        <x:f>MAX(0,MIN('Activities'!L336,402)-MAX('Activities'!K336,396))</x:f>
        <x:v>0</x:v>
      </x:c>
      <x:c r="BT336" s="22" t="n">
        <x:f>MAX(0,MIN('Activities'!L336,408)-MAX('Activities'!K336,402))</x:f>
        <x:v>0</x:v>
      </x:c>
      <x:c r="BU336" s="22" t="n">
        <x:f>MAX(0,MIN('Activities'!L336,414)-MAX('Activities'!K336,408))</x:f>
        <x:v>3</x:v>
      </x:c>
      <x:c r="BV336" s="22" t="n">
        <x:f>MAX(0,MIN('Activities'!L336,420)-MAX('Activities'!K336,414))</x:f>
        <x:v>6</x:v>
      </x:c>
      <x:c r="BW336" s="22" t="n">
        <x:f>MAX(0,MIN('Activities'!L336,426)-MAX('Activities'!K336,420))</x:f>
        <x:v>5</x:v>
      </x:c>
      <x:c r="BX336" s="22" t="n">
        <x:f>MAX(0,MIN('Activities'!L336,432)-MAX('Activities'!K336,426))</x:f>
        <x:v>0</x:v>
      </x:c>
      <x:c r="BY336" s="22" t="n">
        <x:f>MAX(0,MIN('Activities'!L336,438)-MAX('Activities'!K336,432))</x:f>
        <x:v>0</x:v>
      </x:c>
      <x:c r="BZ336" s="22" t="n">
        <x:f>MAX(0,MIN('Activities'!L336,444)-MAX('Activities'!K336,438))</x:f>
        <x:v>0</x:v>
      </x:c>
      <x:c r="CA336" s="22" t="n">
        <x:f>MAX(0,MIN('Activities'!L336,450)-MAX('Activities'!K336,444))</x:f>
        <x:v>0</x:v>
      </x:c>
      <x:c r="CB336" s="22" t="n">
        <x:f>MAX(0,MIN('Activities'!L336,456)-MAX('Activities'!K336,450))</x:f>
        <x:v>0</x:v>
      </x:c>
      <x:c r="CC336" s="22" t="n">
        <x:f>MAX(0,MIN('Activities'!L336,462)-MAX('Activities'!K336,456))</x:f>
        <x:v>0</x:v>
      </x:c>
      <x:c r="CD336" s="22" t="n">
        <x:f>MAX(0,MIN('Activities'!L336,468)-MAX('Activities'!K336,462))</x:f>
        <x:v>0</x:v>
      </x:c>
      <x:c r="CE336" s="22" t="n">
        <x:f>MAX(0,MIN('Activities'!L336,474)-MAX('Activities'!K336,468))</x:f>
        <x:v>0</x:v>
      </x:c>
      <x:c r="CF336" s="22" t="n">
        <x:f>MAX(0,MIN('Activities'!L336,480)-MAX('Activities'!K336,474))</x:f>
        <x:v>0</x:v>
      </x:c>
      <x:c r="CG336" s="22" t="n">
        <x:f>MAX(0,MIN('Activities'!L336,486)-MAX('Activities'!K336,480))</x:f>
        <x:v>0</x:v>
      </x:c>
      <x:c r="CH336" s="22" t="n">
        <x:f>MAX(0,MIN('Activities'!L336,492)-MAX('Activities'!K336,486))</x:f>
        <x:v>0</x:v>
      </x:c>
      <x:c r="CI336" s="22" t="n">
        <x:f>MAX(0,MIN('Activities'!L336,498)-MAX('Activities'!K336,492))</x:f>
        <x:v>0</x:v>
      </x:c>
      <x:c r="CJ336" s="22" t="n">
        <x:f>MAX(0,MIN('Activities'!L336,504)-MAX('Activities'!K336,498))</x:f>
        <x:v>0</x:v>
      </x:c>
      <x:c r="CK336" s="22" t="n">
        <x:f>MAX(0,MIN('Activities'!L336,510)-MAX('Activities'!K336,504))</x:f>
        <x:v>0</x:v>
      </x:c>
      <x:c r="CL336" s="22" t="n">
        <x:f>MAX(0,MIN('Activities'!L336,516)-MAX('Activities'!K336,510))</x:f>
        <x:v>0</x:v>
      </x:c>
      <x:c r="CM336" s="22" t="n">
        <x:f>MAX(0,MIN('Activities'!L336,522)-MAX('Activities'!K336,516))</x:f>
        <x:v>0</x:v>
      </x:c>
      <x:c r="CN336" s="22" t="n">
        <x:f>MAX(0,MIN('Activities'!L336,528)-MAX('Activities'!K336,522))</x:f>
        <x:v>0</x:v>
      </x:c>
      <x:c r="CO336" s="22" t="n">
        <x:f>MAX(0,MIN('Activities'!L336,534)-MAX('Activities'!K336,528))</x:f>
        <x:v>0</x:v>
      </x:c>
      <x:c r="CP336" s="22" t="n">
        <x:f>MAX(0,MIN('Activities'!L336,540)-MAX('Activities'!K336,534))</x:f>
        <x:v>0</x:v>
      </x:c>
      <x:c r="CQ336" s="22" t="n">
        <x:f>MAX(0,MIN('Activities'!L336,546)-MAX('Activities'!K336,540))</x:f>
        <x:v>0</x:v>
      </x:c>
      <x:c r="CR336" s="22" t="n">
        <x:f>MAX(0,MIN('Activities'!L336,552)-MAX('Activities'!K336,546))</x:f>
        <x:v>0</x:v>
      </x:c>
      <x:c r="CS336" s="22" t="n">
        <x:f>MAX(0,MIN('Activities'!L336,558)-MAX('Activities'!K336,552))</x:f>
        <x:v>0</x:v>
      </x:c>
      <x:c r="CT336" s="22" t="n">
        <x:f>MAX(0,MIN('Activities'!L336,564)-MAX('Activities'!K336,558))</x:f>
        <x:v>0</x:v>
      </x:c>
      <x:c r="CU336" s="22" t="n">
        <x:f>MAX(0,MIN('Activities'!L336,570)-MAX('Activities'!K336,564))</x:f>
        <x:v>0</x:v>
      </x:c>
      <x:c r="CV336" s="22" t="n">
        <x:f>MAX(0,MIN('Activities'!L336,576)-MAX('Activities'!K336,570))</x:f>
        <x:v>0</x:v>
      </x:c>
      <x:c r="CW336" s="22" t="n">
        <x:f>MAX(0,MIN('Activities'!L336,582)-MAX('Activities'!K336,576))</x:f>
        <x:v>0</x:v>
      </x:c>
      <x:c r="CX336" s="22" t="n">
        <x:f>MAX(0,MIN('Activities'!L336,588)-MAX('Activities'!K336,582))</x:f>
        <x:v>0</x:v>
      </x:c>
      <x:c r="CY336" s="22" t="n">
        <x:f>MAX(0,MIN('Activities'!L336,594)-MAX('Activities'!K336,588))</x:f>
        <x:v>0</x:v>
      </x:c>
      <x:c r="CZ336" s="22" t="n">
        <x:f>MAX(0,MIN('Activities'!L336,600)-MAX('Activities'!K336,594))</x:f>
        <x:v>0</x:v>
      </x:c>
      <x:c r="DA336" s="22" t="n">
        <x:f>MAX(0,MIN('Activities'!L336,606)-MAX('Activities'!K336,600))</x:f>
        <x:v>0</x:v>
      </x:c>
      <x:c r="DB336" s="22" t="n">
        <x:f>MAX(0,MIN('Activities'!L336,612)-MAX('Activities'!K336,606))</x:f>
        <x:v>0</x:v>
      </x:c>
      <x:c r="DC336" s="22" t="n">
        <x:f>MAX(0,MIN('Activities'!L336,618)-MAX('Activities'!K336,612))</x:f>
        <x:v>0</x:v>
      </x:c>
      <x:c r="DD336" s="22" t="n">
        <x:f>MAX(0,MIN('Activities'!L336,624)-MAX('Activities'!K336,618))</x:f>
        <x:v>0</x:v>
      </x:c>
      <x:c r="DE336" s="22" t="n">
        <x:f>MAX(0,MIN('Activities'!L336,630)-MAX('Activities'!K336,624))</x:f>
        <x:v>0</x:v>
      </x:c>
      <x:c r="DF336" s="22" t="n">
        <x:f>MAX(0,MIN('Activities'!L336,636)-MAX('Activities'!K336,630))</x:f>
        <x:v>0</x:v>
      </x:c>
    </x:row>
    <x:row r="337" ht="23" customHeight="1">
      <x:c r="A337" s="1" t="str">
        <x:v>T3-L00-M</x:v>
      </x:c>
      <x:c r="B337" s="1" t="str">
        <x:v>T3</x:v>
      </x:c>
      <x:c r="C337" s="1" t="str">
        <x:v>Partition masonry</x:v>
      </x:c>
      <x:c r="D337" s="1" t="str">
        <x:v>Masonry</x:v>
      </x:c>
      <x:c r="E337" s="23" t="n">
        <x:f>MAX(0,MIN('Activities'!L337,6)-MAX('Activities'!K337,0))</x:f>
        <x:v>0</x:v>
      </x:c>
      <x:c r="F337" s="23" t="n">
        <x:f>MAX(0,MIN('Activities'!L337,12)-MAX('Activities'!K337,6))</x:f>
        <x:v>0</x:v>
      </x:c>
      <x:c r="G337" s="23" t="n">
        <x:f>MAX(0,MIN('Activities'!L337,18)-MAX('Activities'!K337,12))</x:f>
        <x:v>0</x:v>
      </x:c>
      <x:c r="H337" s="23" t="n">
        <x:f>MAX(0,MIN('Activities'!L337,24)-MAX('Activities'!K337,18))</x:f>
        <x:v>0</x:v>
      </x:c>
      <x:c r="I337" s="23" t="n">
        <x:f>MAX(0,MIN('Activities'!L337,30)-MAX('Activities'!K337,24))</x:f>
        <x:v>0</x:v>
      </x:c>
      <x:c r="J337" s="23" t="n">
        <x:f>MAX(0,MIN('Activities'!L337,36)-MAX('Activities'!K337,30))</x:f>
        <x:v>0</x:v>
      </x:c>
      <x:c r="K337" s="23" t="n">
        <x:f>MAX(0,MIN('Activities'!L337,42)-MAX('Activities'!K337,36))</x:f>
        <x:v>0</x:v>
      </x:c>
      <x:c r="L337" s="23" t="n">
        <x:f>MAX(0,MIN('Activities'!L337,48)-MAX('Activities'!K337,42))</x:f>
        <x:v>0</x:v>
      </x:c>
      <x:c r="M337" s="23" t="n">
        <x:f>MAX(0,MIN('Activities'!L337,54)-MAX('Activities'!K337,48))</x:f>
        <x:v>0</x:v>
      </x:c>
      <x:c r="N337" s="23" t="n">
        <x:f>MAX(0,MIN('Activities'!L337,60)-MAX('Activities'!K337,54))</x:f>
        <x:v>0</x:v>
      </x:c>
      <x:c r="O337" s="23" t="n">
        <x:f>MAX(0,MIN('Activities'!L337,66)-MAX('Activities'!K337,60))</x:f>
        <x:v>0</x:v>
      </x:c>
      <x:c r="P337" s="23" t="n">
        <x:f>MAX(0,MIN('Activities'!L337,72)-MAX('Activities'!K337,66))</x:f>
        <x:v>0</x:v>
      </x:c>
      <x:c r="Q337" s="23" t="n">
        <x:f>MAX(0,MIN('Activities'!L337,78)-MAX('Activities'!K337,72))</x:f>
        <x:v>0</x:v>
      </x:c>
      <x:c r="R337" s="23" t="n">
        <x:f>MAX(0,MIN('Activities'!L337,84)-MAX('Activities'!K337,78))</x:f>
        <x:v>0</x:v>
      </x:c>
      <x:c r="S337" s="23" t="n">
        <x:f>MAX(0,MIN('Activities'!L337,90)-MAX('Activities'!K337,84))</x:f>
        <x:v>0</x:v>
      </x:c>
      <x:c r="T337" s="23" t="n">
        <x:f>MAX(0,MIN('Activities'!L337,96)-MAX('Activities'!K337,90))</x:f>
        <x:v>0</x:v>
      </x:c>
      <x:c r="U337" s="23" t="n">
        <x:f>MAX(0,MIN('Activities'!L337,102)-MAX('Activities'!K337,96))</x:f>
        <x:v>0</x:v>
      </x:c>
      <x:c r="V337" s="23" t="n">
        <x:f>MAX(0,MIN('Activities'!L337,108)-MAX('Activities'!K337,102))</x:f>
        <x:v>0</x:v>
      </x:c>
      <x:c r="W337" s="23" t="n">
        <x:f>MAX(0,MIN('Activities'!L337,114)-MAX('Activities'!K337,108))</x:f>
        <x:v>0</x:v>
      </x:c>
      <x:c r="X337" s="23" t="n">
        <x:f>MAX(0,MIN('Activities'!L337,120)-MAX('Activities'!K337,114))</x:f>
        <x:v>0</x:v>
      </x:c>
      <x:c r="Y337" s="23" t="n">
        <x:f>MAX(0,MIN('Activities'!L337,126)-MAX('Activities'!K337,120))</x:f>
        <x:v>0</x:v>
      </x:c>
      <x:c r="Z337" s="23" t="n">
        <x:f>MAX(0,MIN('Activities'!L337,132)-MAX('Activities'!K337,126))</x:f>
        <x:v>0</x:v>
      </x:c>
      <x:c r="AA337" s="23" t="n">
        <x:f>MAX(0,MIN('Activities'!L337,138)-MAX('Activities'!K337,132))</x:f>
        <x:v>0</x:v>
      </x:c>
      <x:c r="AB337" s="23" t="n">
        <x:f>MAX(0,MIN('Activities'!L337,144)-MAX('Activities'!K337,138))</x:f>
        <x:v>0</x:v>
      </x:c>
      <x:c r="AC337" s="23" t="n">
        <x:f>MAX(0,MIN('Activities'!L337,150)-MAX('Activities'!K337,144))</x:f>
        <x:v>0</x:v>
      </x:c>
      <x:c r="AD337" s="23" t="n">
        <x:f>MAX(0,MIN('Activities'!L337,156)-MAX('Activities'!K337,150))</x:f>
        <x:v>0</x:v>
      </x:c>
      <x:c r="AE337" s="23" t="n">
        <x:f>MAX(0,MIN('Activities'!L337,162)-MAX('Activities'!K337,156))</x:f>
        <x:v>0</x:v>
      </x:c>
      <x:c r="AF337" s="23" t="n">
        <x:f>MAX(0,MIN('Activities'!L337,168)-MAX('Activities'!K337,162))</x:f>
        <x:v>0</x:v>
      </x:c>
      <x:c r="AG337" s="23" t="n">
        <x:f>MAX(0,MIN('Activities'!L337,174)-MAX('Activities'!K337,168))</x:f>
        <x:v>0</x:v>
      </x:c>
      <x:c r="AH337" s="23" t="n">
        <x:f>MAX(0,MIN('Activities'!L337,180)-MAX('Activities'!K337,174))</x:f>
        <x:v>0</x:v>
      </x:c>
      <x:c r="AI337" s="23" t="n">
        <x:f>MAX(0,MIN('Activities'!L337,186)-MAX('Activities'!K337,180))</x:f>
        <x:v>0</x:v>
      </x:c>
      <x:c r="AJ337" s="23" t="n">
        <x:f>MAX(0,MIN('Activities'!L337,192)-MAX('Activities'!K337,186))</x:f>
        <x:v>0</x:v>
      </x:c>
      <x:c r="AK337" s="23" t="n">
        <x:f>MAX(0,MIN('Activities'!L337,198)-MAX('Activities'!K337,192))</x:f>
        <x:v>0</x:v>
      </x:c>
      <x:c r="AL337" s="23" t="n">
        <x:f>MAX(0,MIN('Activities'!L337,204)-MAX('Activities'!K337,198))</x:f>
        <x:v>0</x:v>
      </x:c>
      <x:c r="AM337" s="23" t="n">
        <x:f>MAX(0,MIN('Activities'!L337,210)-MAX('Activities'!K337,204))</x:f>
        <x:v>0</x:v>
      </x:c>
      <x:c r="AN337" s="23" t="n">
        <x:f>MAX(0,MIN('Activities'!L337,216)-MAX('Activities'!K337,210))</x:f>
        <x:v>0</x:v>
      </x:c>
      <x:c r="AO337" s="23" t="n">
        <x:f>MAX(0,MIN('Activities'!L337,222)-MAX('Activities'!K337,216))</x:f>
        <x:v>0</x:v>
      </x:c>
      <x:c r="AP337" s="23" t="n">
        <x:f>MAX(0,MIN('Activities'!L337,228)-MAX('Activities'!K337,222))</x:f>
        <x:v>0</x:v>
      </x:c>
      <x:c r="AQ337" s="23" t="n">
        <x:f>MAX(0,MIN('Activities'!L337,234)-MAX('Activities'!K337,228))</x:f>
        <x:v>0</x:v>
      </x:c>
      <x:c r="AR337" s="23" t="n">
        <x:f>MAX(0,MIN('Activities'!L337,240)-MAX('Activities'!K337,234))</x:f>
        <x:v>5</x:v>
      </x:c>
      <x:c r="AS337" s="23" t="n">
        <x:f>MAX(0,MIN('Activities'!L337,246)-MAX('Activities'!K337,240))</x:f>
        <x:v>0</x:v>
      </x:c>
      <x:c r="AT337" s="23" t="n">
        <x:f>MAX(0,MIN('Activities'!L337,252)-MAX('Activities'!K337,246))</x:f>
        <x:v>0</x:v>
      </x:c>
      <x:c r="AU337" s="23" t="n">
        <x:f>MAX(0,MIN('Activities'!L337,258)-MAX('Activities'!K337,252))</x:f>
        <x:v>0</x:v>
      </x:c>
      <x:c r="AV337" s="23" t="n">
        <x:f>MAX(0,MIN('Activities'!L337,264)-MAX('Activities'!K337,258))</x:f>
        <x:v>0</x:v>
      </x:c>
      <x:c r="AW337" s="23" t="n">
        <x:f>MAX(0,MIN('Activities'!L337,270)-MAX('Activities'!K337,264))</x:f>
        <x:v>0</x:v>
      </x:c>
      <x:c r="AX337" s="23" t="n">
        <x:f>MAX(0,MIN('Activities'!L337,276)-MAX('Activities'!K337,270))</x:f>
        <x:v>0</x:v>
      </x:c>
      <x:c r="AY337" s="23" t="n">
        <x:f>MAX(0,MIN('Activities'!L337,282)-MAX('Activities'!K337,276))</x:f>
        <x:v>0</x:v>
      </x:c>
      <x:c r="AZ337" s="23" t="n">
        <x:f>MAX(0,MIN('Activities'!L337,288)-MAX('Activities'!K337,282))</x:f>
        <x:v>0</x:v>
      </x:c>
      <x:c r="BA337" s="23" t="n">
        <x:f>MAX(0,MIN('Activities'!L337,294)-MAX('Activities'!K337,288))</x:f>
        <x:v>0</x:v>
      </x:c>
      <x:c r="BB337" s="23" t="n">
        <x:f>MAX(0,MIN('Activities'!L337,300)-MAX('Activities'!K337,294))</x:f>
        <x:v>0</x:v>
      </x:c>
      <x:c r="BC337" s="23" t="n">
        <x:f>MAX(0,MIN('Activities'!L337,306)-MAX('Activities'!K337,300))</x:f>
        <x:v>0</x:v>
      </x:c>
      <x:c r="BD337" s="23" t="n">
        <x:f>MAX(0,MIN('Activities'!L337,312)-MAX('Activities'!K337,306))</x:f>
        <x:v>0</x:v>
      </x:c>
      <x:c r="BE337" s="23" t="n">
        <x:f>MAX(0,MIN('Activities'!L337,318)-MAX('Activities'!K337,312))</x:f>
        <x:v>0</x:v>
      </x:c>
      <x:c r="BF337" s="23" t="n">
        <x:f>MAX(0,MIN('Activities'!L337,324)-MAX('Activities'!K337,318))</x:f>
        <x:v>0</x:v>
      </x:c>
      <x:c r="BG337" s="23" t="n">
        <x:f>MAX(0,MIN('Activities'!L337,330)-MAX('Activities'!K337,324))</x:f>
        <x:v>0</x:v>
      </x:c>
      <x:c r="BH337" s="23" t="n">
        <x:f>MAX(0,MIN('Activities'!L337,336)-MAX('Activities'!K337,330))</x:f>
        <x:v>0</x:v>
      </x:c>
      <x:c r="BI337" s="23" t="n">
        <x:f>MAX(0,MIN('Activities'!L337,342)-MAX('Activities'!K337,336))</x:f>
        <x:v>0</x:v>
      </x:c>
      <x:c r="BJ337" s="23" t="n">
        <x:f>MAX(0,MIN('Activities'!L337,348)-MAX('Activities'!K337,342))</x:f>
        <x:v>0</x:v>
      </x:c>
      <x:c r="BK337" s="23" t="n">
        <x:f>MAX(0,MIN('Activities'!L337,354)-MAX('Activities'!K337,348))</x:f>
        <x:v>0</x:v>
      </x:c>
      <x:c r="BL337" s="23" t="n">
        <x:f>MAX(0,MIN('Activities'!L337,360)-MAX('Activities'!K337,354))</x:f>
        <x:v>0</x:v>
      </x:c>
      <x:c r="BM337" s="23" t="n">
        <x:f>MAX(0,MIN('Activities'!L337,366)-MAX('Activities'!K337,360))</x:f>
        <x:v>0</x:v>
      </x:c>
      <x:c r="BN337" s="23" t="n">
        <x:f>MAX(0,MIN('Activities'!L337,372)-MAX('Activities'!K337,366))</x:f>
        <x:v>0</x:v>
      </x:c>
      <x:c r="BO337" s="23" t="n">
        <x:f>MAX(0,MIN('Activities'!L337,378)-MAX('Activities'!K337,372))</x:f>
        <x:v>0</x:v>
      </x:c>
      <x:c r="BP337" s="23" t="n">
        <x:f>MAX(0,MIN('Activities'!L337,384)-MAX('Activities'!K337,378))</x:f>
        <x:v>0</x:v>
      </x:c>
      <x:c r="BQ337" s="23" t="n">
        <x:f>MAX(0,MIN('Activities'!L337,390)-MAX('Activities'!K337,384))</x:f>
        <x:v>0</x:v>
      </x:c>
      <x:c r="BR337" s="23" t="n">
        <x:f>MAX(0,MIN('Activities'!L337,396)-MAX('Activities'!K337,390))</x:f>
        <x:v>0</x:v>
      </x:c>
      <x:c r="BS337" s="23" t="n">
        <x:f>MAX(0,MIN('Activities'!L337,402)-MAX('Activities'!K337,396))</x:f>
        <x:v>0</x:v>
      </x:c>
      <x:c r="BT337" s="23" t="n">
        <x:f>MAX(0,MIN('Activities'!L337,408)-MAX('Activities'!K337,402))</x:f>
        <x:v>0</x:v>
      </x:c>
      <x:c r="BU337" s="23" t="n">
        <x:f>MAX(0,MIN('Activities'!L337,414)-MAX('Activities'!K337,408))</x:f>
        <x:v>0</x:v>
      </x:c>
      <x:c r="BV337" s="23" t="n">
        <x:f>MAX(0,MIN('Activities'!L337,420)-MAX('Activities'!K337,414))</x:f>
        <x:v>0</x:v>
      </x:c>
      <x:c r="BW337" s="23" t="n">
        <x:f>MAX(0,MIN('Activities'!L337,426)-MAX('Activities'!K337,420))</x:f>
        <x:v>0</x:v>
      </x:c>
      <x:c r="BX337" s="23" t="n">
        <x:f>MAX(0,MIN('Activities'!L337,432)-MAX('Activities'!K337,426))</x:f>
        <x:v>0</x:v>
      </x:c>
      <x:c r="BY337" s="23" t="n">
        <x:f>MAX(0,MIN('Activities'!L337,438)-MAX('Activities'!K337,432))</x:f>
        <x:v>0</x:v>
      </x:c>
      <x:c r="BZ337" s="23" t="n">
        <x:f>MAX(0,MIN('Activities'!L337,444)-MAX('Activities'!K337,438))</x:f>
        <x:v>0</x:v>
      </x:c>
      <x:c r="CA337" s="23" t="n">
        <x:f>MAX(0,MIN('Activities'!L337,450)-MAX('Activities'!K337,444))</x:f>
        <x:v>0</x:v>
      </x:c>
      <x:c r="CB337" s="23" t="n">
        <x:f>MAX(0,MIN('Activities'!L337,456)-MAX('Activities'!K337,450))</x:f>
        <x:v>0</x:v>
      </x:c>
      <x:c r="CC337" s="23" t="n">
        <x:f>MAX(0,MIN('Activities'!L337,462)-MAX('Activities'!K337,456))</x:f>
        <x:v>0</x:v>
      </x:c>
      <x:c r="CD337" s="23" t="n">
        <x:f>MAX(0,MIN('Activities'!L337,468)-MAX('Activities'!K337,462))</x:f>
        <x:v>0</x:v>
      </x:c>
      <x:c r="CE337" s="23" t="n">
        <x:f>MAX(0,MIN('Activities'!L337,474)-MAX('Activities'!K337,468))</x:f>
        <x:v>0</x:v>
      </x:c>
      <x:c r="CF337" s="23" t="n">
        <x:f>MAX(0,MIN('Activities'!L337,480)-MAX('Activities'!K337,474))</x:f>
        <x:v>0</x:v>
      </x:c>
      <x:c r="CG337" s="23" t="n">
        <x:f>MAX(0,MIN('Activities'!L337,486)-MAX('Activities'!K337,480))</x:f>
        <x:v>0</x:v>
      </x:c>
      <x:c r="CH337" s="23" t="n">
        <x:f>MAX(0,MIN('Activities'!L337,492)-MAX('Activities'!K337,486))</x:f>
        <x:v>0</x:v>
      </x:c>
      <x:c r="CI337" s="23" t="n">
        <x:f>MAX(0,MIN('Activities'!L337,498)-MAX('Activities'!K337,492))</x:f>
        <x:v>0</x:v>
      </x:c>
      <x:c r="CJ337" s="23" t="n">
        <x:f>MAX(0,MIN('Activities'!L337,504)-MAX('Activities'!K337,498))</x:f>
        <x:v>0</x:v>
      </x:c>
      <x:c r="CK337" s="23" t="n">
        <x:f>MAX(0,MIN('Activities'!L337,510)-MAX('Activities'!K337,504))</x:f>
        <x:v>0</x:v>
      </x:c>
      <x:c r="CL337" s="23" t="n">
        <x:f>MAX(0,MIN('Activities'!L337,516)-MAX('Activities'!K337,510))</x:f>
        <x:v>0</x:v>
      </x:c>
      <x:c r="CM337" s="23" t="n">
        <x:f>MAX(0,MIN('Activities'!L337,522)-MAX('Activities'!K337,516))</x:f>
        <x:v>0</x:v>
      </x:c>
      <x:c r="CN337" s="23" t="n">
        <x:f>MAX(0,MIN('Activities'!L337,528)-MAX('Activities'!K337,522))</x:f>
        <x:v>0</x:v>
      </x:c>
      <x:c r="CO337" s="23" t="n">
        <x:f>MAX(0,MIN('Activities'!L337,534)-MAX('Activities'!K337,528))</x:f>
        <x:v>0</x:v>
      </x:c>
      <x:c r="CP337" s="23" t="n">
        <x:f>MAX(0,MIN('Activities'!L337,540)-MAX('Activities'!K337,534))</x:f>
        <x:v>0</x:v>
      </x:c>
      <x:c r="CQ337" s="23" t="n">
        <x:f>MAX(0,MIN('Activities'!L337,546)-MAX('Activities'!K337,540))</x:f>
        <x:v>0</x:v>
      </x:c>
      <x:c r="CR337" s="23" t="n">
        <x:f>MAX(0,MIN('Activities'!L337,552)-MAX('Activities'!K337,546))</x:f>
        <x:v>0</x:v>
      </x:c>
      <x:c r="CS337" s="23" t="n">
        <x:f>MAX(0,MIN('Activities'!L337,558)-MAX('Activities'!K337,552))</x:f>
        <x:v>0</x:v>
      </x:c>
      <x:c r="CT337" s="23" t="n">
        <x:f>MAX(0,MIN('Activities'!L337,564)-MAX('Activities'!K337,558))</x:f>
        <x:v>0</x:v>
      </x:c>
      <x:c r="CU337" s="23" t="n">
        <x:f>MAX(0,MIN('Activities'!L337,570)-MAX('Activities'!K337,564))</x:f>
        <x:v>0</x:v>
      </x:c>
      <x:c r="CV337" s="23" t="n">
        <x:f>MAX(0,MIN('Activities'!L337,576)-MAX('Activities'!K337,570))</x:f>
        <x:v>0</x:v>
      </x:c>
      <x:c r="CW337" s="23" t="n">
        <x:f>MAX(0,MIN('Activities'!L337,582)-MAX('Activities'!K337,576))</x:f>
        <x:v>0</x:v>
      </x:c>
      <x:c r="CX337" s="23" t="n">
        <x:f>MAX(0,MIN('Activities'!L337,588)-MAX('Activities'!K337,582))</x:f>
        <x:v>0</x:v>
      </x:c>
      <x:c r="CY337" s="23" t="n">
        <x:f>MAX(0,MIN('Activities'!L337,594)-MAX('Activities'!K337,588))</x:f>
        <x:v>0</x:v>
      </x:c>
      <x:c r="CZ337" s="23" t="n">
        <x:f>MAX(0,MIN('Activities'!L337,600)-MAX('Activities'!K337,594))</x:f>
        <x:v>0</x:v>
      </x:c>
      <x:c r="DA337" s="23" t="n">
        <x:f>MAX(0,MIN('Activities'!L337,606)-MAX('Activities'!K337,600))</x:f>
        <x:v>0</x:v>
      </x:c>
      <x:c r="DB337" s="23" t="n">
        <x:f>MAX(0,MIN('Activities'!L337,612)-MAX('Activities'!K337,606))</x:f>
        <x:v>0</x:v>
      </x:c>
      <x:c r="DC337" s="23" t="n">
        <x:f>MAX(0,MIN('Activities'!L337,618)-MAX('Activities'!K337,612))</x:f>
        <x:v>0</x:v>
      </x:c>
      <x:c r="DD337" s="23" t="n">
        <x:f>MAX(0,MIN('Activities'!L337,624)-MAX('Activities'!K337,618))</x:f>
        <x:v>0</x:v>
      </x:c>
      <x:c r="DE337" s="23" t="n">
        <x:f>MAX(0,MIN('Activities'!L337,630)-MAX('Activities'!K337,624))</x:f>
        <x:v>0</x:v>
      </x:c>
      <x:c r="DF337" s="23" t="n">
        <x:f>MAX(0,MIN('Activities'!L337,636)-MAX('Activities'!K337,630))</x:f>
        <x:v>0</x:v>
      </x:c>
    </x:row>
    <x:row r="338" ht="23" customHeight="1">
      <x:c r="A338" s="6" t="str">
        <x:v>T3-L00-P</x:v>
      </x:c>
      <x:c r="B338" s="6" t="str">
        <x:v>T3</x:v>
      </x:c>
      <x:c r="C338" s="6" t="str">
        <x:v>Internal plaster</x:v>
      </x:c>
      <x:c r="D338" s="6" t="str">
        <x:v>Finishes</x:v>
      </x:c>
      <x:c r="E338" s="22" t="n">
        <x:f>MAX(0,MIN('Activities'!L338,6)-MAX('Activities'!K338,0))</x:f>
        <x:v>0</x:v>
      </x:c>
      <x:c r="F338" s="22" t="n">
        <x:f>MAX(0,MIN('Activities'!L338,12)-MAX('Activities'!K338,6))</x:f>
        <x:v>0</x:v>
      </x:c>
      <x:c r="G338" s="22" t="n">
        <x:f>MAX(0,MIN('Activities'!L338,18)-MAX('Activities'!K338,12))</x:f>
        <x:v>0</x:v>
      </x:c>
      <x:c r="H338" s="22" t="n">
        <x:f>MAX(0,MIN('Activities'!L338,24)-MAX('Activities'!K338,18))</x:f>
        <x:v>0</x:v>
      </x:c>
      <x:c r="I338" s="22" t="n">
        <x:f>MAX(0,MIN('Activities'!L338,30)-MAX('Activities'!K338,24))</x:f>
        <x:v>0</x:v>
      </x:c>
      <x:c r="J338" s="22" t="n">
        <x:f>MAX(0,MIN('Activities'!L338,36)-MAX('Activities'!K338,30))</x:f>
        <x:v>0</x:v>
      </x:c>
      <x:c r="K338" s="22" t="n">
        <x:f>MAX(0,MIN('Activities'!L338,42)-MAX('Activities'!K338,36))</x:f>
        <x:v>0</x:v>
      </x:c>
      <x:c r="L338" s="22" t="n">
        <x:f>MAX(0,MIN('Activities'!L338,48)-MAX('Activities'!K338,42))</x:f>
        <x:v>0</x:v>
      </x:c>
      <x:c r="M338" s="22" t="n">
        <x:f>MAX(0,MIN('Activities'!L338,54)-MAX('Activities'!K338,48))</x:f>
        <x:v>0</x:v>
      </x:c>
      <x:c r="N338" s="22" t="n">
        <x:f>MAX(0,MIN('Activities'!L338,60)-MAX('Activities'!K338,54))</x:f>
        <x:v>0</x:v>
      </x:c>
      <x:c r="O338" s="22" t="n">
        <x:f>MAX(0,MIN('Activities'!L338,66)-MAX('Activities'!K338,60))</x:f>
        <x:v>0</x:v>
      </x:c>
      <x:c r="P338" s="22" t="n">
        <x:f>MAX(0,MIN('Activities'!L338,72)-MAX('Activities'!K338,66))</x:f>
        <x:v>0</x:v>
      </x:c>
      <x:c r="Q338" s="22" t="n">
        <x:f>MAX(0,MIN('Activities'!L338,78)-MAX('Activities'!K338,72))</x:f>
        <x:v>0</x:v>
      </x:c>
      <x:c r="R338" s="22" t="n">
        <x:f>MAX(0,MIN('Activities'!L338,84)-MAX('Activities'!K338,78))</x:f>
        <x:v>0</x:v>
      </x:c>
      <x:c r="S338" s="22" t="n">
        <x:f>MAX(0,MIN('Activities'!L338,90)-MAX('Activities'!K338,84))</x:f>
        <x:v>0</x:v>
      </x:c>
      <x:c r="T338" s="22" t="n">
        <x:f>MAX(0,MIN('Activities'!L338,96)-MAX('Activities'!K338,90))</x:f>
        <x:v>0</x:v>
      </x:c>
      <x:c r="U338" s="22" t="n">
        <x:f>MAX(0,MIN('Activities'!L338,102)-MAX('Activities'!K338,96))</x:f>
        <x:v>0</x:v>
      </x:c>
      <x:c r="V338" s="22" t="n">
        <x:f>MAX(0,MIN('Activities'!L338,108)-MAX('Activities'!K338,102))</x:f>
        <x:v>0</x:v>
      </x:c>
      <x:c r="W338" s="22" t="n">
        <x:f>MAX(0,MIN('Activities'!L338,114)-MAX('Activities'!K338,108))</x:f>
        <x:v>0</x:v>
      </x:c>
      <x:c r="X338" s="22" t="n">
        <x:f>MAX(0,MIN('Activities'!L338,120)-MAX('Activities'!K338,114))</x:f>
        <x:v>0</x:v>
      </x:c>
      <x:c r="Y338" s="22" t="n">
        <x:f>MAX(0,MIN('Activities'!L338,126)-MAX('Activities'!K338,120))</x:f>
        <x:v>0</x:v>
      </x:c>
      <x:c r="Z338" s="22" t="n">
        <x:f>MAX(0,MIN('Activities'!L338,132)-MAX('Activities'!K338,126))</x:f>
        <x:v>0</x:v>
      </x:c>
      <x:c r="AA338" s="22" t="n">
        <x:f>MAX(0,MIN('Activities'!L338,138)-MAX('Activities'!K338,132))</x:f>
        <x:v>0</x:v>
      </x:c>
      <x:c r="AB338" s="22" t="n">
        <x:f>MAX(0,MIN('Activities'!L338,144)-MAX('Activities'!K338,138))</x:f>
        <x:v>0</x:v>
      </x:c>
      <x:c r="AC338" s="22" t="n">
        <x:f>MAX(0,MIN('Activities'!L338,150)-MAX('Activities'!K338,144))</x:f>
        <x:v>0</x:v>
      </x:c>
      <x:c r="AD338" s="22" t="n">
        <x:f>MAX(0,MIN('Activities'!L338,156)-MAX('Activities'!K338,150))</x:f>
        <x:v>0</x:v>
      </x:c>
      <x:c r="AE338" s="22" t="n">
        <x:f>MAX(0,MIN('Activities'!L338,162)-MAX('Activities'!K338,156))</x:f>
        <x:v>0</x:v>
      </x:c>
      <x:c r="AF338" s="22" t="n">
        <x:f>MAX(0,MIN('Activities'!L338,168)-MAX('Activities'!K338,162))</x:f>
        <x:v>0</x:v>
      </x:c>
      <x:c r="AG338" s="22" t="n">
        <x:f>MAX(0,MIN('Activities'!L338,174)-MAX('Activities'!K338,168))</x:f>
        <x:v>0</x:v>
      </x:c>
      <x:c r="AH338" s="22" t="n">
        <x:f>MAX(0,MIN('Activities'!L338,180)-MAX('Activities'!K338,174))</x:f>
        <x:v>0</x:v>
      </x:c>
      <x:c r="AI338" s="22" t="n">
        <x:f>MAX(0,MIN('Activities'!L338,186)-MAX('Activities'!K338,180))</x:f>
        <x:v>0</x:v>
      </x:c>
      <x:c r="AJ338" s="22" t="n">
        <x:f>MAX(0,MIN('Activities'!L338,192)-MAX('Activities'!K338,186))</x:f>
        <x:v>0</x:v>
      </x:c>
      <x:c r="AK338" s="22" t="n">
        <x:f>MAX(0,MIN('Activities'!L338,198)-MAX('Activities'!K338,192))</x:f>
        <x:v>0</x:v>
      </x:c>
      <x:c r="AL338" s="22" t="n">
        <x:f>MAX(0,MIN('Activities'!L338,204)-MAX('Activities'!K338,198))</x:f>
        <x:v>0</x:v>
      </x:c>
      <x:c r="AM338" s="22" t="n">
        <x:f>MAX(0,MIN('Activities'!L338,210)-MAX('Activities'!K338,204))</x:f>
        <x:v>0</x:v>
      </x:c>
      <x:c r="AN338" s="22" t="n">
        <x:f>MAX(0,MIN('Activities'!L338,216)-MAX('Activities'!K338,210))</x:f>
        <x:v>0</x:v>
      </x:c>
      <x:c r="AO338" s="22" t="n">
        <x:f>MAX(0,MIN('Activities'!L338,222)-MAX('Activities'!K338,216))</x:f>
        <x:v>0</x:v>
      </x:c>
      <x:c r="AP338" s="22" t="n">
        <x:f>MAX(0,MIN('Activities'!L338,228)-MAX('Activities'!K338,222))</x:f>
        <x:v>0</x:v>
      </x:c>
      <x:c r="AQ338" s="22" t="n">
        <x:f>MAX(0,MIN('Activities'!L338,234)-MAX('Activities'!K338,228))</x:f>
        <x:v>0</x:v>
      </x:c>
      <x:c r="AR338" s="22" t="n">
        <x:f>MAX(0,MIN('Activities'!L338,240)-MAX('Activities'!K338,234))</x:f>
        <x:v>0</x:v>
      </x:c>
      <x:c r="AS338" s="22" t="n">
        <x:f>MAX(0,MIN('Activities'!L338,246)-MAX('Activities'!K338,240))</x:f>
        <x:v>3</x:v>
      </x:c>
      <x:c r="AT338" s="22" t="n">
        <x:f>MAX(0,MIN('Activities'!L338,252)-MAX('Activities'!K338,246))</x:f>
        <x:v>3</x:v>
      </x:c>
      <x:c r="AU338" s="22" t="n">
        <x:f>MAX(0,MIN('Activities'!L338,258)-MAX('Activities'!K338,252))</x:f>
        <x:v>0</x:v>
      </x:c>
      <x:c r="AV338" s="22" t="n">
        <x:f>MAX(0,MIN('Activities'!L338,264)-MAX('Activities'!K338,258))</x:f>
        <x:v>0</x:v>
      </x:c>
      <x:c r="AW338" s="22" t="n">
        <x:f>MAX(0,MIN('Activities'!L338,270)-MAX('Activities'!K338,264))</x:f>
        <x:v>0</x:v>
      </x:c>
      <x:c r="AX338" s="22" t="n">
        <x:f>MAX(0,MIN('Activities'!L338,276)-MAX('Activities'!K338,270))</x:f>
        <x:v>0</x:v>
      </x:c>
      <x:c r="AY338" s="22" t="n">
        <x:f>MAX(0,MIN('Activities'!L338,282)-MAX('Activities'!K338,276))</x:f>
        <x:v>0</x:v>
      </x:c>
      <x:c r="AZ338" s="22" t="n">
        <x:f>MAX(0,MIN('Activities'!L338,288)-MAX('Activities'!K338,282))</x:f>
        <x:v>0</x:v>
      </x:c>
      <x:c r="BA338" s="22" t="n">
        <x:f>MAX(0,MIN('Activities'!L338,294)-MAX('Activities'!K338,288))</x:f>
        <x:v>0</x:v>
      </x:c>
      <x:c r="BB338" s="22" t="n">
        <x:f>MAX(0,MIN('Activities'!L338,300)-MAX('Activities'!K338,294))</x:f>
        <x:v>0</x:v>
      </x:c>
      <x:c r="BC338" s="22" t="n">
        <x:f>MAX(0,MIN('Activities'!L338,306)-MAX('Activities'!K338,300))</x:f>
        <x:v>0</x:v>
      </x:c>
      <x:c r="BD338" s="22" t="n">
        <x:f>MAX(0,MIN('Activities'!L338,312)-MAX('Activities'!K338,306))</x:f>
        <x:v>0</x:v>
      </x:c>
      <x:c r="BE338" s="22" t="n">
        <x:f>MAX(0,MIN('Activities'!L338,318)-MAX('Activities'!K338,312))</x:f>
        <x:v>0</x:v>
      </x:c>
      <x:c r="BF338" s="22" t="n">
        <x:f>MAX(0,MIN('Activities'!L338,324)-MAX('Activities'!K338,318))</x:f>
        <x:v>0</x:v>
      </x:c>
      <x:c r="BG338" s="22" t="n">
        <x:f>MAX(0,MIN('Activities'!L338,330)-MAX('Activities'!K338,324))</x:f>
        <x:v>0</x:v>
      </x:c>
      <x:c r="BH338" s="22" t="n">
        <x:f>MAX(0,MIN('Activities'!L338,336)-MAX('Activities'!K338,330))</x:f>
        <x:v>0</x:v>
      </x:c>
      <x:c r="BI338" s="22" t="n">
        <x:f>MAX(0,MIN('Activities'!L338,342)-MAX('Activities'!K338,336))</x:f>
        <x:v>0</x:v>
      </x:c>
      <x:c r="BJ338" s="22" t="n">
        <x:f>MAX(0,MIN('Activities'!L338,348)-MAX('Activities'!K338,342))</x:f>
        <x:v>0</x:v>
      </x:c>
      <x:c r="BK338" s="22" t="n">
        <x:f>MAX(0,MIN('Activities'!L338,354)-MAX('Activities'!K338,348))</x:f>
        <x:v>0</x:v>
      </x:c>
      <x:c r="BL338" s="22" t="n">
        <x:f>MAX(0,MIN('Activities'!L338,360)-MAX('Activities'!K338,354))</x:f>
        <x:v>0</x:v>
      </x:c>
      <x:c r="BM338" s="22" t="n">
        <x:f>MAX(0,MIN('Activities'!L338,366)-MAX('Activities'!K338,360))</x:f>
        <x:v>0</x:v>
      </x:c>
      <x:c r="BN338" s="22" t="n">
        <x:f>MAX(0,MIN('Activities'!L338,372)-MAX('Activities'!K338,366))</x:f>
        <x:v>0</x:v>
      </x:c>
      <x:c r="BO338" s="22" t="n">
        <x:f>MAX(0,MIN('Activities'!L338,378)-MAX('Activities'!K338,372))</x:f>
        <x:v>0</x:v>
      </x:c>
      <x:c r="BP338" s="22" t="n">
        <x:f>MAX(0,MIN('Activities'!L338,384)-MAX('Activities'!K338,378))</x:f>
        <x:v>0</x:v>
      </x:c>
      <x:c r="BQ338" s="22" t="n">
        <x:f>MAX(0,MIN('Activities'!L338,390)-MAX('Activities'!K338,384))</x:f>
        <x:v>0</x:v>
      </x:c>
      <x:c r="BR338" s="22" t="n">
        <x:f>MAX(0,MIN('Activities'!L338,396)-MAX('Activities'!K338,390))</x:f>
        <x:v>0</x:v>
      </x:c>
      <x:c r="BS338" s="22" t="n">
        <x:f>MAX(0,MIN('Activities'!L338,402)-MAX('Activities'!K338,396))</x:f>
        <x:v>0</x:v>
      </x:c>
      <x:c r="BT338" s="22" t="n">
        <x:f>MAX(0,MIN('Activities'!L338,408)-MAX('Activities'!K338,402))</x:f>
        <x:v>0</x:v>
      </x:c>
      <x:c r="BU338" s="22" t="n">
        <x:f>MAX(0,MIN('Activities'!L338,414)-MAX('Activities'!K338,408))</x:f>
        <x:v>0</x:v>
      </x:c>
      <x:c r="BV338" s="22" t="n">
        <x:f>MAX(0,MIN('Activities'!L338,420)-MAX('Activities'!K338,414))</x:f>
        <x:v>0</x:v>
      </x:c>
      <x:c r="BW338" s="22" t="n">
        <x:f>MAX(0,MIN('Activities'!L338,426)-MAX('Activities'!K338,420))</x:f>
        <x:v>0</x:v>
      </x:c>
      <x:c r="BX338" s="22" t="n">
        <x:f>MAX(0,MIN('Activities'!L338,432)-MAX('Activities'!K338,426))</x:f>
        <x:v>0</x:v>
      </x:c>
      <x:c r="BY338" s="22" t="n">
        <x:f>MAX(0,MIN('Activities'!L338,438)-MAX('Activities'!K338,432))</x:f>
        <x:v>0</x:v>
      </x:c>
      <x:c r="BZ338" s="22" t="n">
        <x:f>MAX(0,MIN('Activities'!L338,444)-MAX('Activities'!K338,438))</x:f>
        <x:v>0</x:v>
      </x:c>
      <x:c r="CA338" s="22" t="n">
        <x:f>MAX(0,MIN('Activities'!L338,450)-MAX('Activities'!K338,444))</x:f>
        <x:v>0</x:v>
      </x:c>
      <x:c r="CB338" s="22" t="n">
        <x:f>MAX(0,MIN('Activities'!L338,456)-MAX('Activities'!K338,450))</x:f>
        <x:v>0</x:v>
      </x:c>
      <x:c r="CC338" s="22" t="n">
        <x:f>MAX(0,MIN('Activities'!L338,462)-MAX('Activities'!K338,456))</x:f>
        <x:v>0</x:v>
      </x:c>
      <x:c r="CD338" s="22" t="n">
        <x:f>MAX(0,MIN('Activities'!L338,468)-MAX('Activities'!K338,462))</x:f>
        <x:v>0</x:v>
      </x:c>
      <x:c r="CE338" s="22" t="n">
        <x:f>MAX(0,MIN('Activities'!L338,474)-MAX('Activities'!K338,468))</x:f>
        <x:v>0</x:v>
      </x:c>
      <x:c r="CF338" s="22" t="n">
        <x:f>MAX(0,MIN('Activities'!L338,480)-MAX('Activities'!K338,474))</x:f>
        <x:v>0</x:v>
      </x:c>
      <x:c r="CG338" s="22" t="n">
        <x:f>MAX(0,MIN('Activities'!L338,486)-MAX('Activities'!K338,480))</x:f>
        <x:v>0</x:v>
      </x:c>
      <x:c r="CH338" s="22" t="n">
        <x:f>MAX(0,MIN('Activities'!L338,492)-MAX('Activities'!K338,486))</x:f>
        <x:v>0</x:v>
      </x:c>
      <x:c r="CI338" s="22" t="n">
        <x:f>MAX(0,MIN('Activities'!L338,498)-MAX('Activities'!K338,492))</x:f>
        <x:v>0</x:v>
      </x:c>
      <x:c r="CJ338" s="22" t="n">
        <x:f>MAX(0,MIN('Activities'!L338,504)-MAX('Activities'!K338,498))</x:f>
        <x:v>0</x:v>
      </x:c>
      <x:c r="CK338" s="22" t="n">
        <x:f>MAX(0,MIN('Activities'!L338,510)-MAX('Activities'!K338,504))</x:f>
        <x:v>0</x:v>
      </x:c>
      <x:c r="CL338" s="22" t="n">
        <x:f>MAX(0,MIN('Activities'!L338,516)-MAX('Activities'!K338,510))</x:f>
        <x:v>0</x:v>
      </x:c>
      <x:c r="CM338" s="22" t="n">
        <x:f>MAX(0,MIN('Activities'!L338,522)-MAX('Activities'!K338,516))</x:f>
        <x:v>0</x:v>
      </x:c>
      <x:c r="CN338" s="22" t="n">
        <x:f>MAX(0,MIN('Activities'!L338,528)-MAX('Activities'!K338,522))</x:f>
        <x:v>0</x:v>
      </x:c>
      <x:c r="CO338" s="22" t="n">
        <x:f>MAX(0,MIN('Activities'!L338,534)-MAX('Activities'!K338,528))</x:f>
        <x:v>0</x:v>
      </x:c>
      <x:c r="CP338" s="22" t="n">
        <x:f>MAX(0,MIN('Activities'!L338,540)-MAX('Activities'!K338,534))</x:f>
        <x:v>0</x:v>
      </x:c>
      <x:c r="CQ338" s="22" t="n">
        <x:f>MAX(0,MIN('Activities'!L338,546)-MAX('Activities'!K338,540))</x:f>
        <x:v>0</x:v>
      </x:c>
      <x:c r="CR338" s="22" t="n">
        <x:f>MAX(0,MIN('Activities'!L338,552)-MAX('Activities'!K338,546))</x:f>
        <x:v>0</x:v>
      </x:c>
      <x:c r="CS338" s="22" t="n">
        <x:f>MAX(0,MIN('Activities'!L338,558)-MAX('Activities'!K338,552))</x:f>
        <x:v>0</x:v>
      </x:c>
      <x:c r="CT338" s="22" t="n">
        <x:f>MAX(0,MIN('Activities'!L338,564)-MAX('Activities'!K338,558))</x:f>
        <x:v>0</x:v>
      </x:c>
      <x:c r="CU338" s="22" t="n">
        <x:f>MAX(0,MIN('Activities'!L338,570)-MAX('Activities'!K338,564))</x:f>
        <x:v>0</x:v>
      </x:c>
      <x:c r="CV338" s="22" t="n">
        <x:f>MAX(0,MIN('Activities'!L338,576)-MAX('Activities'!K338,570))</x:f>
        <x:v>0</x:v>
      </x:c>
      <x:c r="CW338" s="22" t="n">
        <x:f>MAX(0,MIN('Activities'!L338,582)-MAX('Activities'!K338,576))</x:f>
        <x:v>0</x:v>
      </x:c>
      <x:c r="CX338" s="22" t="n">
        <x:f>MAX(0,MIN('Activities'!L338,588)-MAX('Activities'!K338,582))</x:f>
        <x:v>0</x:v>
      </x:c>
      <x:c r="CY338" s="22" t="n">
        <x:f>MAX(0,MIN('Activities'!L338,594)-MAX('Activities'!K338,588))</x:f>
        <x:v>0</x:v>
      </x:c>
      <x:c r="CZ338" s="22" t="n">
        <x:f>MAX(0,MIN('Activities'!L338,600)-MAX('Activities'!K338,594))</x:f>
        <x:v>0</x:v>
      </x:c>
      <x:c r="DA338" s="22" t="n">
        <x:f>MAX(0,MIN('Activities'!L338,606)-MAX('Activities'!K338,600))</x:f>
        <x:v>0</x:v>
      </x:c>
      <x:c r="DB338" s="22" t="n">
        <x:f>MAX(0,MIN('Activities'!L338,612)-MAX('Activities'!K338,606))</x:f>
        <x:v>0</x:v>
      </x:c>
      <x:c r="DC338" s="22" t="n">
        <x:f>MAX(0,MIN('Activities'!L338,618)-MAX('Activities'!K338,612))</x:f>
        <x:v>0</x:v>
      </x:c>
      <x:c r="DD338" s="22" t="n">
        <x:f>MAX(0,MIN('Activities'!L338,624)-MAX('Activities'!K338,618))</x:f>
        <x:v>0</x:v>
      </x:c>
      <x:c r="DE338" s="22" t="n">
        <x:f>MAX(0,MIN('Activities'!L338,630)-MAX('Activities'!K338,624))</x:f>
        <x:v>0</x:v>
      </x:c>
      <x:c r="DF338" s="22" t="n">
        <x:f>MAX(0,MIN('Activities'!L338,636)-MAX('Activities'!K338,630))</x:f>
        <x:v>0</x:v>
      </x:c>
    </x:row>
    <x:row r="339" ht="23" customHeight="1">
      <x:c r="A339" s="1" t="str">
        <x:v>T3-L00-S</x:v>
      </x:c>
      <x:c r="B339" s="1" t="str">
        <x:v>T3</x:v>
      </x:c>
      <x:c r="C339" s="1" t="str">
        <x:v>Screed and substrate preparation</x:v>
      </x:c>
      <x:c r="D339" s="1" t="str">
        <x:v>Finishes</x:v>
      </x:c>
      <x:c r="E339" s="23" t="n">
        <x:f>MAX(0,MIN('Activities'!L339,6)-MAX('Activities'!K339,0))</x:f>
        <x:v>0</x:v>
      </x:c>
      <x:c r="F339" s="23" t="n">
        <x:f>MAX(0,MIN('Activities'!L339,12)-MAX('Activities'!K339,6))</x:f>
        <x:v>0</x:v>
      </x:c>
      <x:c r="G339" s="23" t="n">
        <x:f>MAX(0,MIN('Activities'!L339,18)-MAX('Activities'!K339,12))</x:f>
        <x:v>0</x:v>
      </x:c>
      <x:c r="H339" s="23" t="n">
        <x:f>MAX(0,MIN('Activities'!L339,24)-MAX('Activities'!K339,18))</x:f>
        <x:v>0</x:v>
      </x:c>
      <x:c r="I339" s="23" t="n">
        <x:f>MAX(0,MIN('Activities'!L339,30)-MAX('Activities'!K339,24))</x:f>
        <x:v>0</x:v>
      </x:c>
      <x:c r="J339" s="23" t="n">
        <x:f>MAX(0,MIN('Activities'!L339,36)-MAX('Activities'!K339,30))</x:f>
        <x:v>0</x:v>
      </x:c>
      <x:c r="K339" s="23" t="n">
        <x:f>MAX(0,MIN('Activities'!L339,42)-MAX('Activities'!K339,36))</x:f>
        <x:v>0</x:v>
      </x:c>
      <x:c r="L339" s="23" t="n">
        <x:f>MAX(0,MIN('Activities'!L339,48)-MAX('Activities'!K339,42))</x:f>
        <x:v>0</x:v>
      </x:c>
      <x:c r="M339" s="23" t="n">
        <x:f>MAX(0,MIN('Activities'!L339,54)-MAX('Activities'!K339,48))</x:f>
        <x:v>0</x:v>
      </x:c>
      <x:c r="N339" s="23" t="n">
        <x:f>MAX(0,MIN('Activities'!L339,60)-MAX('Activities'!K339,54))</x:f>
        <x:v>0</x:v>
      </x:c>
      <x:c r="O339" s="23" t="n">
        <x:f>MAX(0,MIN('Activities'!L339,66)-MAX('Activities'!K339,60))</x:f>
        <x:v>0</x:v>
      </x:c>
      <x:c r="P339" s="23" t="n">
        <x:f>MAX(0,MIN('Activities'!L339,72)-MAX('Activities'!K339,66))</x:f>
        <x:v>0</x:v>
      </x:c>
      <x:c r="Q339" s="23" t="n">
        <x:f>MAX(0,MIN('Activities'!L339,78)-MAX('Activities'!K339,72))</x:f>
        <x:v>0</x:v>
      </x:c>
      <x:c r="R339" s="23" t="n">
        <x:f>MAX(0,MIN('Activities'!L339,84)-MAX('Activities'!K339,78))</x:f>
        <x:v>0</x:v>
      </x:c>
      <x:c r="S339" s="23" t="n">
        <x:f>MAX(0,MIN('Activities'!L339,90)-MAX('Activities'!K339,84))</x:f>
        <x:v>0</x:v>
      </x:c>
      <x:c r="T339" s="23" t="n">
        <x:f>MAX(0,MIN('Activities'!L339,96)-MAX('Activities'!K339,90))</x:f>
        <x:v>0</x:v>
      </x:c>
      <x:c r="U339" s="23" t="n">
        <x:f>MAX(0,MIN('Activities'!L339,102)-MAX('Activities'!K339,96))</x:f>
        <x:v>0</x:v>
      </x:c>
      <x:c r="V339" s="23" t="n">
        <x:f>MAX(0,MIN('Activities'!L339,108)-MAX('Activities'!K339,102))</x:f>
        <x:v>0</x:v>
      </x:c>
      <x:c r="W339" s="23" t="n">
        <x:f>MAX(0,MIN('Activities'!L339,114)-MAX('Activities'!K339,108))</x:f>
        <x:v>0</x:v>
      </x:c>
      <x:c r="X339" s="23" t="n">
        <x:f>MAX(0,MIN('Activities'!L339,120)-MAX('Activities'!K339,114))</x:f>
        <x:v>0</x:v>
      </x:c>
      <x:c r="Y339" s="23" t="n">
        <x:f>MAX(0,MIN('Activities'!L339,126)-MAX('Activities'!K339,120))</x:f>
        <x:v>0</x:v>
      </x:c>
      <x:c r="Z339" s="23" t="n">
        <x:f>MAX(0,MIN('Activities'!L339,132)-MAX('Activities'!K339,126))</x:f>
        <x:v>0</x:v>
      </x:c>
      <x:c r="AA339" s="23" t="n">
        <x:f>MAX(0,MIN('Activities'!L339,138)-MAX('Activities'!K339,132))</x:f>
        <x:v>0</x:v>
      </x:c>
      <x:c r="AB339" s="23" t="n">
        <x:f>MAX(0,MIN('Activities'!L339,144)-MAX('Activities'!K339,138))</x:f>
        <x:v>0</x:v>
      </x:c>
      <x:c r="AC339" s="23" t="n">
        <x:f>MAX(0,MIN('Activities'!L339,150)-MAX('Activities'!K339,144))</x:f>
        <x:v>0</x:v>
      </x:c>
      <x:c r="AD339" s="23" t="n">
        <x:f>MAX(0,MIN('Activities'!L339,156)-MAX('Activities'!K339,150))</x:f>
        <x:v>0</x:v>
      </x:c>
      <x:c r="AE339" s="23" t="n">
        <x:f>MAX(0,MIN('Activities'!L339,162)-MAX('Activities'!K339,156))</x:f>
        <x:v>0</x:v>
      </x:c>
      <x:c r="AF339" s="23" t="n">
        <x:f>MAX(0,MIN('Activities'!L339,168)-MAX('Activities'!K339,162))</x:f>
        <x:v>0</x:v>
      </x:c>
      <x:c r="AG339" s="23" t="n">
        <x:f>MAX(0,MIN('Activities'!L339,174)-MAX('Activities'!K339,168))</x:f>
        <x:v>0</x:v>
      </x:c>
      <x:c r="AH339" s="23" t="n">
        <x:f>MAX(0,MIN('Activities'!L339,180)-MAX('Activities'!K339,174))</x:f>
        <x:v>0</x:v>
      </x:c>
      <x:c r="AI339" s="23" t="n">
        <x:f>MAX(0,MIN('Activities'!L339,186)-MAX('Activities'!K339,180))</x:f>
        <x:v>0</x:v>
      </x:c>
      <x:c r="AJ339" s="23" t="n">
        <x:f>MAX(0,MIN('Activities'!L339,192)-MAX('Activities'!K339,186))</x:f>
        <x:v>0</x:v>
      </x:c>
      <x:c r="AK339" s="23" t="n">
        <x:f>MAX(0,MIN('Activities'!L339,198)-MAX('Activities'!K339,192))</x:f>
        <x:v>0</x:v>
      </x:c>
      <x:c r="AL339" s="23" t="n">
        <x:f>MAX(0,MIN('Activities'!L339,204)-MAX('Activities'!K339,198))</x:f>
        <x:v>0</x:v>
      </x:c>
      <x:c r="AM339" s="23" t="n">
        <x:f>MAX(0,MIN('Activities'!L339,210)-MAX('Activities'!K339,204))</x:f>
        <x:v>0</x:v>
      </x:c>
      <x:c r="AN339" s="23" t="n">
        <x:f>MAX(0,MIN('Activities'!L339,216)-MAX('Activities'!K339,210))</x:f>
        <x:v>0</x:v>
      </x:c>
      <x:c r="AO339" s="23" t="n">
        <x:f>MAX(0,MIN('Activities'!L339,222)-MAX('Activities'!K339,216))</x:f>
        <x:v>0</x:v>
      </x:c>
      <x:c r="AP339" s="23" t="n">
        <x:f>MAX(0,MIN('Activities'!L339,228)-MAX('Activities'!K339,222))</x:f>
        <x:v>0</x:v>
      </x:c>
      <x:c r="AQ339" s="23" t="n">
        <x:f>MAX(0,MIN('Activities'!L339,234)-MAX('Activities'!K339,228))</x:f>
        <x:v>0</x:v>
      </x:c>
      <x:c r="AR339" s="23" t="n">
        <x:f>MAX(0,MIN('Activities'!L339,240)-MAX('Activities'!K339,234))</x:f>
        <x:v>0</x:v>
      </x:c>
      <x:c r="AS339" s="23" t="n">
        <x:f>MAX(0,MIN('Activities'!L339,246)-MAX('Activities'!K339,240))</x:f>
        <x:v>0</x:v>
      </x:c>
      <x:c r="AT339" s="23" t="n">
        <x:f>MAX(0,MIN('Activities'!L339,252)-MAX('Activities'!K339,246))</x:f>
        <x:v>1</x:v>
      </x:c>
      <x:c r="AU339" s="23" t="n">
        <x:f>MAX(0,MIN('Activities'!L339,258)-MAX('Activities'!K339,252))</x:f>
        <x:v>2</x:v>
      </x:c>
      <x:c r="AV339" s="23" t="n">
        <x:f>MAX(0,MIN('Activities'!L339,264)-MAX('Activities'!K339,258))</x:f>
        <x:v>0</x:v>
      </x:c>
      <x:c r="AW339" s="23" t="n">
        <x:f>MAX(0,MIN('Activities'!L339,270)-MAX('Activities'!K339,264))</x:f>
        <x:v>0</x:v>
      </x:c>
      <x:c r="AX339" s="23" t="n">
        <x:f>MAX(0,MIN('Activities'!L339,276)-MAX('Activities'!K339,270))</x:f>
        <x:v>0</x:v>
      </x:c>
      <x:c r="AY339" s="23" t="n">
        <x:f>MAX(0,MIN('Activities'!L339,282)-MAX('Activities'!K339,276))</x:f>
        <x:v>0</x:v>
      </x:c>
      <x:c r="AZ339" s="23" t="n">
        <x:f>MAX(0,MIN('Activities'!L339,288)-MAX('Activities'!K339,282))</x:f>
        <x:v>0</x:v>
      </x:c>
      <x:c r="BA339" s="23" t="n">
        <x:f>MAX(0,MIN('Activities'!L339,294)-MAX('Activities'!K339,288))</x:f>
        <x:v>0</x:v>
      </x:c>
      <x:c r="BB339" s="23" t="n">
        <x:f>MAX(0,MIN('Activities'!L339,300)-MAX('Activities'!K339,294))</x:f>
        <x:v>0</x:v>
      </x:c>
      <x:c r="BC339" s="23" t="n">
        <x:f>MAX(0,MIN('Activities'!L339,306)-MAX('Activities'!K339,300))</x:f>
        <x:v>0</x:v>
      </x:c>
      <x:c r="BD339" s="23" t="n">
        <x:f>MAX(0,MIN('Activities'!L339,312)-MAX('Activities'!K339,306))</x:f>
        <x:v>0</x:v>
      </x:c>
      <x:c r="BE339" s="23" t="n">
        <x:f>MAX(0,MIN('Activities'!L339,318)-MAX('Activities'!K339,312))</x:f>
        <x:v>0</x:v>
      </x:c>
      <x:c r="BF339" s="23" t="n">
        <x:f>MAX(0,MIN('Activities'!L339,324)-MAX('Activities'!K339,318))</x:f>
        <x:v>0</x:v>
      </x:c>
      <x:c r="BG339" s="23" t="n">
        <x:f>MAX(0,MIN('Activities'!L339,330)-MAX('Activities'!K339,324))</x:f>
        <x:v>0</x:v>
      </x:c>
      <x:c r="BH339" s="23" t="n">
        <x:f>MAX(0,MIN('Activities'!L339,336)-MAX('Activities'!K339,330))</x:f>
        <x:v>0</x:v>
      </x:c>
      <x:c r="BI339" s="23" t="n">
        <x:f>MAX(0,MIN('Activities'!L339,342)-MAX('Activities'!K339,336))</x:f>
        <x:v>0</x:v>
      </x:c>
      <x:c r="BJ339" s="23" t="n">
        <x:f>MAX(0,MIN('Activities'!L339,348)-MAX('Activities'!K339,342))</x:f>
        <x:v>0</x:v>
      </x:c>
      <x:c r="BK339" s="23" t="n">
        <x:f>MAX(0,MIN('Activities'!L339,354)-MAX('Activities'!K339,348))</x:f>
        <x:v>0</x:v>
      </x:c>
      <x:c r="BL339" s="23" t="n">
        <x:f>MAX(0,MIN('Activities'!L339,360)-MAX('Activities'!K339,354))</x:f>
        <x:v>0</x:v>
      </x:c>
      <x:c r="BM339" s="23" t="n">
        <x:f>MAX(0,MIN('Activities'!L339,366)-MAX('Activities'!K339,360))</x:f>
        <x:v>0</x:v>
      </x:c>
      <x:c r="BN339" s="23" t="n">
        <x:f>MAX(0,MIN('Activities'!L339,372)-MAX('Activities'!K339,366))</x:f>
        <x:v>0</x:v>
      </x:c>
      <x:c r="BO339" s="23" t="n">
        <x:f>MAX(0,MIN('Activities'!L339,378)-MAX('Activities'!K339,372))</x:f>
        <x:v>0</x:v>
      </x:c>
      <x:c r="BP339" s="23" t="n">
        <x:f>MAX(0,MIN('Activities'!L339,384)-MAX('Activities'!K339,378))</x:f>
        <x:v>0</x:v>
      </x:c>
      <x:c r="BQ339" s="23" t="n">
        <x:f>MAX(0,MIN('Activities'!L339,390)-MAX('Activities'!K339,384))</x:f>
        <x:v>0</x:v>
      </x:c>
      <x:c r="BR339" s="23" t="n">
        <x:f>MAX(0,MIN('Activities'!L339,396)-MAX('Activities'!K339,390))</x:f>
        <x:v>0</x:v>
      </x:c>
      <x:c r="BS339" s="23" t="n">
        <x:f>MAX(0,MIN('Activities'!L339,402)-MAX('Activities'!K339,396))</x:f>
        <x:v>0</x:v>
      </x:c>
      <x:c r="BT339" s="23" t="n">
        <x:f>MAX(0,MIN('Activities'!L339,408)-MAX('Activities'!K339,402))</x:f>
        <x:v>0</x:v>
      </x:c>
      <x:c r="BU339" s="23" t="n">
        <x:f>MAX(0,MIN('Activities'!L339,414)-MAX('Activities'!K339,408))</x:f>
        <x:v>0</x:v>
      </x:c>
      <x:c r="BV339" s="23" t="n">
        <x:f>MAX(0,MIN('Activities'!L339,420)-MAX('Activities'!K339,414))</x:f>
        <x:v>0</x:v>
      </x:c>
      <x:c r="BW339" s="23" t="n">
        <x:f>MAX(0,MIN('Activities'!L339,426)-MAX('Activities'!K339,420))</x:f>
        <x:v>0</x:v>
      </x:c>
      <x:c r="BX339" s="23" t="n">
        <x:f>MAX(0,MIN('Activities'!L339,432)-MAX('Activities'!K339,426))</x:f>
        <x:v>0</x:v>
      </x:c>
      <x:c r="BY339" s="23" t="n">
        <x:f>MAX(0,MIN('Activities'!L339,438)-MAX('Activities'!K339,432))</x:f>
        <x:v>0</x:v>
      </x:c>
      <x:c r="BZ339" s="23" t="n">
        <x:f>MAX(0,MIN('Activities'!L339,444)-MAX('Activities'!K339,438))</x:f>
        <x:v>0</x:v>
      </x:c>
      <x:c r="CA339" s="23" t="n">
        <x:f>MAX(0,MIN('Activities'!L339,450)-MAX('Activities'!K339,444))</x:f>
        <x:v>0</x:v>
      </x:c>
      <x:c r="CB339" s="23" t="n">
        <x:f>MAX(0,MIN('Activities'!L339,456)-MAX('Activities'!K339,450))</x:f>
        <x:v>0</x:v>
      </x:c>
      <x:c r="CC339" s="23" t="n">
        <x:f>MAX(0,MIN('Activities'!L339,462)-MAX('Activities'!K339,456))</x:f>
        <x:v>0</x:v>
      </x:c>
      <x:c r="CD339" s="23" t="n">
        <x:f>MAX(0,MIN('Activities'!L339,468)-MAX('Activities'!K339,462))</x:f>
        <x:v>0</x:v>
      </x:c>
      <x:c r="CE339" s="23" t="n">
        <x:f>MAX(0,MIN('Activities'!L339,474)-MAX('Activities'!K339,468))</x:f>
        <x:v>0</x:v>
      </x:c>
      <x:c r="CF339" s="23" t="n">
        <x:f>MAX(0,MIN('Activities'!L339,480)-MAX('Activities'!K339,474))</x:f>
        <x:v>0</x:v>
      </x:c>
      <x:c r="CG339" s="23" t="n">
        <x:f>MAX(0,MIN('Activities'!L339,486)-MAX('Activities'!K339,480))</x:f>
        <x:v>0</x:v>
      </x:c>
      <x:c r="CH339" s="23" t="n">
        <x:f>MAX(0,MIN('Activities'!L339,492)-MAX('Activities'!K339,486))</x:f>
        <x:v>0</x:v>
      </x:c>
      <x:c r="CI339" s="23" t="n">
        <x:f>MAX(0,MIN('Activities'!L339,498)-MAX('Activities'!K339,492))</x:f>
        <x:v>0</x:v>
      </x:c>
      <x:c r="CJ339" s="23" t="n">
        <x:f>MAX(0,MIN('Activities'!L339,504)-MAX('Activities'!K339,498))</x:f>
        <x:v>0</x:v>
      </x:c>
      <x:c r="CK339" s="23" t="n">
        <x:f>MAX(0,MIN('Activities'!L339,510)-MAX('Activities'!K339,504))</x:f>
        <x:v>0</x:v>
      </x:c>
      <x:c r="CL339" s="23" t="n">
        <x:f>MAX(0,MIN('Activities'!L339,516)-MAX('Activities'!K339,510))</x:f>
        <x:v>0</x:v>
      </x:c>
      <x:c r="CM339" s="23" t="n">
        <x:f>MAX(0,MIN('Activities'!L339,522)-MAX('Activities'!K339,516))</x:f>
        <x:v>0</x:v>
      </x:c>
      <x:c r="CN339" s="23" t="n">
        <x:f>MAX(0,MIN('Activities'!L339,528)-MAX('Activities'!K339,522))</x:f>
        <x:v>0</x:v>
      </x:c>
      <x:c r="CO339" s="23" t="n">
        <x:f>MAX(0,MIN('Activities'!L339,534)-MAX('Activities'!K339,528))</x:f>
        <x:v>0</x:v>
      </x:c>
      <x:c r="CP339" s="23" t="n">
        <x:f>MAX(0,MIN('Activities'!L339,540)-MAX('Activities'!K339,534))</x:f>
        <x:v>0</x:v>
      </x:c>
      <x:c r="CQ339" s="23" t="n">
        <x:f>MAX(0,MIN('Activities'!L339,546)-MAX('Activities'!K339,540))</x:f>
        <x:v>0</x:v>
      </x:c>
      <x:c r="CR339" s="23" t="n">
        <x:f>MAX(0,MIN('Activities'!L339,552)-MAX('Activities'!K339,546))</x:f>
        <x:v>0</x:v>
      </x:c>
      <x:c r="CS339" s="23" t="n">
        <x:f>MAX(0,MIN('Activities'!L339,558)-MAX('Activities'!K339,552))</x:f>
        <x:v>0</x:v>
      </x:c>
      <x:c r="CT339" s="23" t="n">
        <x:f>MAX(0,MIN('Activities'!L339,564)-MAX('Activities'!K339,558))</x:f>
        <x:v>0</x:v>
      </x:c>
      <x:c r="CU339" s="23" t="n">
        <x:f>MAX(0,MIN('Activities'!L339,570)-MAX('Activities'!K339,564))</x:f>
        <x:v>0</x:v>
      </x:c>
      <x:c r="CV339" s="23" t="n">
        <x:f>MAX(0,MIN('Activities'!L339,576)-MAX('Activities'!K339,570))</x:f>
        <x:v>0</x:v>
      </x:c>
      <x:c r="CW339" s="23" t="n">
        <x:f>MAX(0,MIN('Activities'!L339,582)-MAX('Activities'!K339,576))</x:f>
        <x:v>0</x:v>
      </x:c>
      <x:c r="CX339" s="23" t="n">
        <x:f>MAX(0,MIN('Activities'!L339,588)-MAX('Activities'!K339,582))</x:f>
        <x:v>0</x:v>
      </x:c>
      <x:c r="CY339" s="23" t="n">
        <x:f>MAX(0,MIN('Activities'!L339,594)-MAX('Activities'!K339,588))</x:f>
        <x:v>0</x:v>
      </x:c>
      <x:c r="CZ339" s="23" t="n">
        <x:f>MAX(0,MIN('Activities'!L339,600)-MAX('Activities'!K339,594))</x:f>
        <x:v>0</x:v>
      </x:c>
      <x:c r="DA339" s="23" t="n">
        <x:f>MAX(0,MIN('Activities'!L339,606)-MAX('Activities'!K339,600))</x:f>
        <x:v>0</x:v>
      </x:c>
      <x:c r="DB339" s="23" t="n">
        <x:f>MAX(0,MIN('Activities'!L339,612)-MAX('Activities'!K339,606))</x:f>
        <x:v>0</x:v>
      </x:c>
      <x:c r="DC339" s="23" t="n">
        <x:f>MAX(0,MIN('Activities'!L339,618)-MAX('Activities'!K339,612))</x:f>
        <x:v>0</x:v>
      </x:c>
      <x:c r="DD339" s="23" t="n">
        <x:f>MAX(0,MIN('Activities'!L339,624)-MAX('Activities'!K339,618))</x:f>
        <x:v>0</x:v>
      </x:c>
      <x:c r="DE339" s="23" t="n">
        <x:f>MAX(0,MIN('Activities'!L339,630)-MAX('Activities'!K339,624))</x:f>
        <x:v>0</x:v>
      </x:c>
      <x:c r="DF339" s="23" t="n">
        <x:f>MAX(0,MIN('Activities'!L339,636)-MAX('Activities'!K339,630))</x:f>
        <x:v>0</x:v>
      </x:c>
    </x:row>
    <x:row r="340" ht="23" customHeight="1">
      <x:c r="A340" s="6" t="str">
        <x:v>T3-L00-T</x:v>
      </x:c>
      <x:c r="B340" s="6" t="str">
        <x:v>T3</x:v>
      </x:c>
      <x:c r="C340" s="6" t="str">
        <x:v>Floor finishes and skirtings</x:v>
      </x:c>
      <x:c r="D340" s="6" t="str">
        <x:v>Finishes</x:v>
      </x:c>
      <x:c r="E340" s="22" t="n">
        <x:f>MAX(0,MIN('Activities'!L340,6)-MAX('Activities'!K340,0))</x:f>
        <x:v>0</x:v>
      </x:c>
      <x:c r="F340" s="22" t="n">
        <x:f>MAX(0,MIN('Activities'!L340,12)-MAX('Activities'!K340,6))</x:f>
        <x:v>0</x:v>
      </x:c>
      <x:c r="G340" s="22" t="n">
        <x:f>MAX(0,MIN('Activities'!L340,18)-MAX('Activities'!K340,12))</x:f>
        <x:v>0</x:v>
      </x:c>
      <x:c r="H340" s="22" t="n">
        <x:f>MAX(0,MIN('Activities'!L340,24)-MAX('Activities'!K340,18))</x:f>
        <x:v>0</x:v>
      </x:c>
      <x:c r="I340" s="22" t="n">
        <x:f>MAX(0,MIN('Activities'!L340,30)-MAX('Activities'!K340,24))</x:f>
        <x:v>0</x:v>
      </x:c>
      <x:c r="J340" s="22" t="n">
        <x:f>MAX(0,MIN('Activities'!L340,36)-MAX('Activities'!K340,30))</x:f>
        <x:v>0</x:v>
      </x:c>
      <x:c r="K340" s="22" t="n">
        <x:f>MAX(0,MIN('Activities'!L340,42)-MAX('Activities'!K340,36))</x:f>
        <x:v>0</x:v>
      </x:c>
      <x:c r="L340" s="22" t="n">
        <x:f>MAX(0,MIN('Activities'!L340,48)-MAX('Activities'!K340,42))</x:f>
        <x:v>0</x:v>
      </x:c>
      <x:c r="M340" s="22" t="n">
        <x:f>MAX(0,MIN('Activities'!L340,54)-MAX('Activities'!K340,48))</x:f>
        <x:v>0</x:v>
      </x:c>
      <x:c r="N340" s="22" t="n">
        <x:f>MAX(0,MIN('Activities'!L340,60)-MAX('Activities'!K340,54))</x:f>
        <x:v>0</x:v>
      </x:c>
      <x:c r="O340" s="22" t="n">
        <x:f>MAX(0,MIN('Activities'!L340,66)-MAX('Activities'!K340,60))</x:f>
        <x:v>0</x:v>
      </x:c>
      <x:c r="P340" s="22" t="n">
        <x:f>MAX(0,MIN('Activities'!L340,72)-MAX('Activities'!K340,66))</x:f>
        <x:v>0</x:v>
      </x:c>
      <x:c r="Q340" s="22" t="n">
        <x:f>MAX(0,MIN('Activities'!L340,78)-MAX('Activities'!K340,72))</x:f>
        <x:v>0</x:v>
      </x:c>
      <x:c r="R340" s="22" t="n">
        <x:f>MAX(0,MIN('Activities'!L340,84)-MAX('Activities'!K340,78))</x:f>
        <x:v>0</x:v>
      </x:c>
      <x:c r="S340" s="22" t="n">
        <x:f>MAX(0,MIN('Activities'!L340,90)-MAX('Activities'!K340,84))</x:f>
        <x:v>0</x:v>
      </x:c>
      <x:c r="T340" s="22" t="n">
        <x:f>MAX(0,MIN('Activities'!L340,96)-MAX('Activities'!K340,90))</x:f>
        <x:v>0</x:v>
      </x:c>
      <x:c r="U340" s="22" t="n">
        <x:f>MAX(0,MIN('Activities'!L340,102)-MAX('Activities'!K340,96))</x:f>
        <x:v>0</x:v>
      </x:c>
      <x:c r="V340" s="22" t="n">
        <x:f>MAX(0,MIN('Activities'!L340,108)-MAX('Activities'!K340,102))</x:f>
        <x:v>0</x:v>
      </x:c>
      <x:c r="W340" s="22" t="n">
        <x:f>MAX(0,MIN('Activities'!L340,114)-MAX('Activities'!K340,108))</x:f>
        <x:v>0</x:v>
      </x:c>
      <x:c r="X340" s="22" t="n">
        <x:f>MAX(0,MIN('Activities'!L340,120)-MAX('Activities'!K340,114))</x:f>
        <x:v>0</x:v>
      </x:c>
      <x:c r="Y340" s="22" t="n">
        <x:f>MAX(0,MIN('Activities'!L340,126)-MAX('Activities'!K340,120))</x:f>
        <x:v>0</x:v>
      </x:c>
      <x:c r="Z340" s="22" t="n">
        <x:f>MAX(0,MIN('Activities'!L340,132)-MAX('Activities'!K340,126))</x:f>
        <x:v>0</x:v>
      </x:c>
      <x:c r="AA340" s="22" t="n">
        <x:f>MAX(0,MIN('Activities'!L340,138)-MAX('Activities'!K340,132))</x:f>
        <x:v>0</x:v>
      </x:c>
      <x:c r="AB340" s="22" t="n">
        <x:f>MAX(0,MIN('Activities'!L340,144)-MAX('Activities'!K340,138))</x:f>
        <x:v>0</x:v>
      </x:c>
      <x:c r="AC340" s="22" t="n">
        <x:f>MAX(0,MIN('Activities'!L340,150)-MAX('Activities'!K340,144))</x:f>
        <x:v>0</x:v>
      </x:c>
      <x:c r="AD340" s="22" t="n">
        <x:f>MAX(0,MIN('Activities'!L340,156)-MAX('Activities'!K340,150))</x:f>
        <x:v>0</x:v>
      </x:c>
      <x:c r="AE340" s="22" t="n">
        <x:f>MAX(0,MIN('Activities'!L340,162)-MAX('Activities'!K340,156))</x:f>
        <x:v>0</x:v>
      </x:c>
      <x:c r="AF340" s="22" t="n">
        <x:f>MAX(0,MIN('Activities'!L340,168)-MAX('Activities'!K340,162))</x:f>
        <x:v>0</x:v>
      </x:c>
      <x:c r="AG340" s="22" t="n">
        <x:f>MAX(0,MIN('Activities'!L340,174)-MAX('Activities'!K340,168))</x:f>
        <x:v>0</x:v>
      </x:c>
      <x:c r="AH340" s="22" t="n">
        <x:f>MAX(0,MIN('Activities'!L340,180)-MAX('Activities'!K340,174))</x:f>
        <x:v>0</x:v>
      </x:c>
      <x:c r="AI340" s="22" t="n">
        <x:f>MAX(0,MIN('Activities'!L340,186)-MAX('Activities'!K340,180))</x:f>
        <x:v>0</x:v>
      </x:c>
      <x:c r="AJ340" s="22" t="n">
        <x:f>MAX(0,MIN('Activities'!L340,192)-MAX('Activities'!K340,186))</x:f>
        <x:v>0</x:v>
      </x:c>
      <x:c r="AK340" s="22" t="n">
        <x:f>MAX(0,MIN('Activities'!L340,198)-MAX('Activities'!K340,192))</x:f>
        <x:v>0</x:v>
      </x:c>
      <x:c r="AL340" s="22" t="n">
        <x:f>MAX(0,MIN('Activities'!L340,204)-MAX('Activities'!K340,198))</x:f>
        <x:v>0</x:v>
      </x:c>
      <x:c r="AM340" s="22" t="n">
        <x:f>MAX(0,MIN('Activities'!L340,210)-MAX('Activities'!K340,204))</x:f>
        <x:v>0</x:v>
      </x:c>
      <x:c r="AN340" s="22" t="n">
        <x:f>MAX(0,MIN('Activities'!L340,216)-MAX('Activities'!K340,210))</x:f>
        <x:v>0</x:v>
      </x:c>
      <x:c r="AO340" s="22" t="n">
        <x:f>MAX(0,MIN('Activities'!L340,222)-MAX('Activities'!K340,216))</x:f>
        <x:v>0</x:v>
      </x:c>
      <x:c r="AP340" s="22" t="n">
        <x:f>MAX(0,MIN('Activities'!L340,228)-MAX('Activities'!K340,222))</x:f>
        <x:v>0</x:v>
      </x:c>
      <x:c r="AQ340" s="22" t="n">
        <x:f>MAX(0,MIN('Activities'!L340,234)-MAX('Activities'!K340,228))</x:f>
        <x:v>0</x:v>
      </x:c>
      <x:c r="AR340" s="22" t="n">
        <x:f>MAX(0,MIN('Activities'!L340,240)-MAX('Activities'!K340,234))</x:f>
        <x:v>0</x:v>
      </x:c>
      <x:c r="AS340" s="22" t="n">
        <x:f>MAX(0,MIN('Activities'!L340,246)-MAX('Activities'!K340,240))</x:f>
        <x:v>0</x:v>
      </x:c>
      <x:c r="AT340" s="22" t="n">
        <x:f>MAX(0,MIN('Activities'!L340,252)-MAX('Activities'!K340,246))</x:f>
        <x:v>0</x:v>
      </x:c>
      <x:c r="AU340" s="22" t="n">
        <x:f>MAX(0,MIN('Activities'!L340,258)-MAX('Activities'!K340,252))</x:f>
        <x:v>0</x:v>
      </x:c>
      <x:c r="AV340" s="22" t="n">
        <x:f>MAX(0,MIN('Activities'!L340,264)-MAX('Activities'!K340,258))</x:f>
        <x:v>0</x:v>
      </x:c>
      <x:c r="AW340" s="22" t="n">
        <x:f>MAX(0,MIN('Activities'!L340,270)-MAX('Activities'!K340,264))</x:f>
        <x:v>0</x:v>
      </x:c>
      <x:c r="AX340" s="22" t="n">
        <x:f>MAX(0,MIN('Activities'!L340,276)-MAX('Activities'!K340,270))</x:f>
        <x:v>0</x:v>
      </x:c>
      <x:c r="AY340" s="22" t="n">
        <x:f>MAX(0,MIN('Activities'!L340,282)-MAX('Activities'!K340,276))</x:f>
        <x:v>0</x:v>
      </x:c>
      <x:c r="AZ340" s="22" t="n">
        <x:f>MAX(0,MIN('Activities'!L340,288)-MAX('Activities'!K340,282))</x:f>
        <x:v>0</x:v>
      </x:c>
      <x:c r="BA340" s="22" t="n">
        <x:f>MAX(0,MIN('Activities'!L340,294)-MAX('Activities'!K340,288))</x:f>
        <x:v>0</x:v>
      </x:c>
      <x:c r="BB340" s="22" t="n">
        <x:f>MAX(0,MIN('Activities'!L340,300)-MAX('Activities'!K340,294))</x:f>
        <x:v>0</x:v>
      </x:c>
      <x:c r="BC340" s="22" t="n">
        <x:f>MAX(0,MIN('Activities'!L340,306)-MAX('Activities'!K340,300))</x:f>
        <x:v>0</x:v>
      </x:c>
      <x:c r="BD340" s="22" t="n">
        <x:f>MAX(0,MIN('Activities'!L340,312)-MAX('Activities'!K340,306))</x:f>
        <x:v>0</x:v>
      </x:c>
      <x:c r="BE340" s="22" t="n">
        <x:f>MAX(0,MIN('Activities'!L340,318)-MAX('Activities'!K340,312))</x:f>
        <x:v>0</x:v>
      </x:c>
      <x:c r="BF340" s="22" t="n">
        <x:f>MAX(0,MIN('Activities'!L340,324)-MAX('Activities'!K340,318))</x:f>
        <x:v>0</x:v>
      </x:c>
      <x:c r="BG340" s="22" t="n">
        <x:f>MAX(0,MIN('Activities'!L340,330)-MAX('Activities'!K340,324))</x:f>
        <x:v>0</x:v>
      </x:c>
      <x:c r="BH340" s="22" t="n">
        <x:f>MAX(0,MIN('Activities'!L340,336)-MAX('Activities'!K340,330))</x:f>
        <x:v>0</x:v>
      </x:c>
      <x:c r="BI340" s="22" t="n">
        <x:f>MAX(0,MIN('Activities'!L340,342)-MAX('Activities'!K340,336))</x:f>
        <x:v>0</x:v>
      </x:c>
      <x:c r="BJ340" s="22" t="n">
        <x:f>MAX(0,MIN('Activities'!L340,348)-MAX('Activities'!K340,342))</x:f>
        <x:v>0</x:v>
      </x:c>
      <x:c r="BK340" s="22" t="n">
        <x:f>MAX(0,MIN('Activities'!L340,354)-MAX('Activities'!K340,348))</x:f>
        <x:v>0</x:v>
      </x:c>
      <x:c r="BL340" s="22" t="n">
        <x:f>MAX(0,MIN('Activities'!L340,360)-MAX('Activities'!K340,354))</x:f>
        <x:v>0</x:v>
      </x:c>
      <x:c r="BM340" s="22" t="n">
        <x:f>MAX(0,MIN('Activities'!L340,366)-MAX('Activities'!K340,360))</x:f>
        <x:v>0</x:v>
      </x:c>
      <x:c r="BN340" s="22" t="n">
        <x:f>MAX(0,MIN('Activities'!L340,372)-MAX('Activities'!K340,366))</x:f>
        <x:v>0</x:v>
      </x:c>
      <x:c r="BO340" s="22" t="n">
        <x:f>MAX(0,MIN('Activities'!L340,378)-MAX('Activities'!K340,372))</x:f>
        <x:v>0</x:v>
      </x:c>
      <x:c r="BP340" s="22" t="n">
        <x:f>MAX(0,MIN('Activities'!L340,384)-MAX('Activities'!K340,378))</x:f>
        <x:v>0</x:v>
      </x:c>
      <x:c r="BQ340" s="22" t="n">
        <x:f>MAX(0,MIN('Activities'!L340,390)-MAX('Activities'!K340,384))</x:f>
        <x:v>0</x:v>
      </x:c>
      <x:c r="BR340" s="22" t="n">
        <x:f>MAX(0,MIN('Activities'!L340,396)-MAX('Activities'!K340,390))</x:f>
        <x:v>0</x:v>
      </x:c>
      <x:c r="BS340" s="22" t="n">
        <x:f>MAX(0,MIN('Activities'!L340,402)-MAX('Activities'!K340,396))</x:f>
        <x:v>0</x:v>
      </x:c>
      <x:c r="BT340" s="22" t="n">
        <x:f>MAX(0,MIN('Activities'!L340,408)-MAX('Activities'!K340,402))</x:f>
        <x:v>0</x:v>
      </x:c>
      <x:c r="BU340" s="22" t="n">
        <x:f>MAX(0,MIN('Activities'!L340,414)-MAX('Activities'!K340,408))</x:f>
        <x:v>0</x:v>
      </x:c>
      <x:c r="BV340" s="22" t="n">
        <x:f>MAX(0,MIN('Activities'!L340,420)-MAX('Activities'!K340,414))</x:f>
        <x:v>0</x:v>
      </x:c>
      <x:c r="BW340" s="22" t="n">
        <x:f>MAX(0,MIN('Activities'!L340,426)-MAX('Activities'!K340,420))</x:f>
        <x:v>1</x:v>
      </x:c>
      <x:c r="BX340" s="22" t="n">
        <x:f>MAX(0,MIN('Activities'!L340,432)-MAX('Activities'!K340,426))</x:f>
        <x:v>5</x:v>
      </x:c>
      <x:c r="BY340" s="22" t="n">
        <x:f>MAX(0,MIN('Activities'!L340,438)-MAX('Activities'!K340,432))</x:f>
        <x:v>0</x:v>
      </x:c>
      <x:c r="BZ340" s="22" t="n">
        <x:f>MAX(0,MIN('Activities'!L340,444)-MAX('Activities'!K340,438))</x:f>
        <x:v>0</x:v>
      </x:c>
      <x:c r="CA340" s="22" t="n">
        <x:f>MAX(0,MIN('Activities'!L340,450)-MAX('Activities'!K340,444))</x:f>
        <x:v>0</x:v>
      </x:c>
      <x:c r="CB340" s="22" t="n">
        <x:f>MAX(0,MIN('Activities'!L340,456)-MAX('Activities'!K340,450))</x:f>
        <x:v>0</x:v>
      </x:c>
      <x:c r="CC340" s="22" t="n">
        <x:f>MAX(0,MIN('Activities'!L340,462)-MAX('Activities'!K340,456))</x:f>
        <x:v>0</x:v>
      </x:c>
      <x:c r="CD340" s="22" t="n">
        <x:f>MAX(0,MIN('Activities'!L340,468)-MAX('Activities'!K340,462))</x:f>
        <x:v>0</x:v>
      </x:c>
      <x:c r="CE340" s="22" t="n">
        <x:f>MAX(0,MIN('Activities'!L340,474)-MAX('Activities'!K340,468))</x:f>
        <x:v>0</x:v>
      </x:c>
      <x:c r="CF340" s="22" t="n">
        <x:f>MAX(0,MIN('Activities'!L340,480)-MAX('Activities'!K340,474))</x:f>
        <x:v>0</x:v>
      </x:c>
      <x:c r="CG340" s="22" t="n">
        <x:f>MAX(0,MIN('Activities'!L340,486)-MAX('Activities'!K340,480))</x:f>
        <x:v>0</x:v>
      </x:c>
      <x:c r="CH340" s="22" t="n">
        <x:f>MAX(0,MIN('Activities'!L340,492)-MAX('Activities'!K340,486))</x:f>
        <x:v>0</x:v>
      </x:c>
      <x:c r="CI340" s="22" t="n">
        <x:f>MAX(0,MIN('Activities'!L340,498)-MAX('Activities'!K340,492))</x:f>
        <x:v>0</x:v>
      </x:c>
      <x:c r="CJ340" s="22" t="n">
        <x:f>MAX(0,MIN('Activities'!L340,504)-MAX('Activities'!K340,498))</x:f>
        <x:v>0</x:v>
      </x:c>
      <x:c r="CK340" s="22" t="n">
        <x:f>MAX(0,MIN('Activities'!L340,510)-MAX('Activities'!K340,504))</x:f>
        <x:v>0</x:v>
      </x:c>
      <x:c r="CL340" s="22" t="n">
        <x:f>MAX(0,MIN('Activities'!L340,516)-MAX('Activities'!K340,510))</x:f>
        <x:v>0</x:v>
      </x:c>
      <x:c r="CM340" s="22" t="n">
        <x:f>MAX(0,MIN('Activities'!L340,522)-MAX('Activities'!K340,516))</x:f>
        <x:v>0</x:v>
      </x:c>
      <x:c r="CN340" s="22" t="n">
        <x:f>MAX(0,MIN('Activities'!L340,528)-MAX('Activities'!K340,522))</x:f>
        <x:v>0</x:v>
      </x:c>
      <x:c r="CO340" s="22" t="n">
        <x:f>MAX(0,MIN('Activities'!L340,534)-MAX('Activities'!K340,528))</x:f>
        <x:v>0</x:v>
      </x:c>
      <x:c r="CP340" s="22" t="n">
        <x:f>MAX(0,MIN('Activities'!L340,540)-MAX('Activities'!K340,534))</x:f>
        <x:v>0</x:v>
      </x:c>
      <x:c r="CQ340" s="22" t="n">
        <x:f>MAX(0,MIN('Activities'!L340,546)-MAX('Activities'!K340,540))</x:f>
        <x:v>0</x:v>
      </x:c>
      <x:c r="CR340" s="22" t="n">
        <x:f>MAX(0,MIN('Activities'!L340,552)-MAX('Activities'!K340,546))</x:f>
        <x:v>0</x:v>
      </x:c>
      <x:c r="CS340" s="22" t="n">
        <x:f>MAX(0,MIN('Activities'!L340,558)-MAX('Activities'!K340,552))</x:f>
        <x:v>0</x:v>
      </x:c>
      <x:c r="CT340" s="22" t="n">
        <x:f>MAX(0,MIN('Activities'!L340,564)-MAX('Activities'!K340,558))</x:f>
        <x:v>0</x:v>
      </x:c>
      <x:c r="CU340" s="22" t="n">
        <x:f>MAX(0,MIN('Activities'!L340,570)-MAX('Activities'!K340,564))</x:f>
        <x:v>0</x:v>
      </x:c>
      <x:c r="CV340" s="22" t="n">
        <x:f>MAX(0,MIN('Activities'!L340,576)-MAX('Activities'!K340,570))</x:f>
        <x:v>0</x:v>
      </x:c>
      <x:c r="CW340" s="22" t="n">
        <x:f>MAX(0,MIN('Activities'!L340,582)-MAX('Activities'!K340,576))</x:f>
        <x:v>0</x:v>
      </x:c>
      <x:c r="CX340" s="22" t="n">
        <x:f>MAX(0,MIN('Activities'!L340,588)-MAX('Activities'!K340,582))</x:f>
        <x:v>0</x:v>
      </x:c>
      <x:c r="CY340" s="22" t="n">
        <x:f>MAX(0,MIN('Activities'!L340,594)-MAX('Activities'!K340,588))</x:f>
        <x:v>0</x:v>
      </x:c>
      <x:c r="CZ340" s="22" t="n">
        <x:f>MAX(0,MIN('Activities'!L340,600)-MAX('Activities'!K340,594))</x:f>
        <x:v>0</x:v>
      </x:c>
      <x:c r="DA340" s="22" t="n">
        <x:f>MAX(0,MIN('Activities'!L340,606)-MAX('Activities'!K340,600))</x:f>
        <x:v>0</x:v>
      </x:c>
      <x:c r="DB340" s="22" t="n">
        <x:f>MAX(0,MIN('Activities'!L340,612)-MAX('Activities'!K340,606))</x:f>
        <x:v>0</x:v>
      </x:c>
      <x:c r="DC340" s="22" t="n">
        <x:f>MAX(0,MIN('Activities'!L340,618)-MAX('Activities'!K340,612))</x:f>
        <x:v>0</x:v>
      </x:c>
      <x:c r="DD340" s="22" t="n">
        <x:f>MAX(0,MIN('Activities'!L340,624)-MAX('Activities'!K340,618))</x:f>
        <x:v>0</x:v>
      </x:c>
      <x:c r="DE340" s="22" t="n">
        <x:f>MAX(0,MIN('Activities'!L340,630)-MAX('Activities'!K340,624))</x:f>
        <x:v>0</x:v>
      </x:c>
      <x:c r="DF340" s="22" t="n">
        <x:f>MAX(0,MIN('Activities'!L340,636)-MAX('Activities'!K340,630))</x:f>
        <x:v>0</x:v>
      </x:c>
    </x:row>
    <x:row r="341" ht="23" customHeight="1">
      <x:c r="A341" s="1" t="str">
        <x:v>T3-L00-A</x:v>
      </x:c>
      <x:c r="B341" s="1" t="str">
        <x:v>T3</x:v>
      </x:c>
      <x:c r="C341" s="1" t="str">
        <x:v>Paint and final decorations</x:v>
      </x:c>
      <x:c r="D341" s="1" t="str">
        <x:v>Finishes</x:v>
      </x:c>
      <x:c r="E341" s="23" t="n">
        <x:f>MAX(0,MIN('Activities'!L341,6)-MAX('Activities'!K341,0))</x:f>
        <x:v>0</x:v>
      </x:c>
      <x:c r="F341" s="23" t="n">
        <x:f>MAX(0,MIN('Activities'!L341,12)-MAX('Activities'!K341,6))</x:f>
        <x:v>0</x:v>
      </x:c>
      <x:c r="G341" s="23" t="n">
        <x:f>MAX(0,MIN('Activities'!L341,18)-MAX('Activities'!K341,12))</x:f>
        <x:v>0</x:v>
      </x:c>
      <x:c r="H341" s="23" t="n">
        <x:f>MAX(0,MIN('Activities'!L341,24)-MAX('Activities'!K341,18))</x:f>
        <x:v>0</x:v>
      </x:c>
      <x:c r="I341" s="23" t="n">
        <x:f>MAX(0,MIN('Activities'!L341,30)-MAX('Activities'!K341,24))</x:f>
        <x:v>0</x:v>
      </x:c>
      <x:c r="J341" s="23" t="n">
        <x:f>MAX(0,MIN('Activities'!L341,36)-MAX('Activities'!K341,30))</x:f>
        <x:v>0</x:v>
      </x:c>
      <x:c r="K341" s="23" t="n">
        <x:f>MAX(0,MIN('Activities'!L341,42)-MAX('Activities'!K341,36))</x:f>
        <x:v>0</x:v>
      </x:c>
      <x:c r="L341" s="23" t="n">
        <x:f>MAX(0,MIN('Activities'!L341,48)-MAX('Activities'!K341,42))</x:f>
        <x:v>0</x:v>
      </x:c>
      <x:c r="M341" s="23" t="n">
        <x:f>MAX(0,MIN('Activities'!L341,54)-MAX('Activities'!K341,48))</x:f>
        <x:v>0</x:v>
      </x:c>
      <x:c r="N341" s="23" t="n">
        <x:f>MAX(0,MIN('Activities'!L341,60)-MAX('Activities'!K341,54))</x:f>
        <x:v>0</x:v>
      </x:c>
      <x:c r="O341" s="23" t="n">
        <x:f>MAX(0,MIN('Activities'!L341,66)-MAX('Activities'!K341,60))</x:f>
        <x:v>0</x:v>
      </x:c>
      <x:c r="P341" s="23" t="n">
        <x:f>MAX(0,MIN('Activities'!L341,72)-MAX('Activities'!K341,66))</x:f>
        <x:v>0</x:v>
      </x:c>
      <x:c r="Q341" s="23" t="n">
        <x:f>MAX(0,MIN('Activities'!L341,78)-MAX('Activities'!K341,72))</x:f>
        <x:v>0</x:v>
      </x:c>
      <x:c r="R341" s="23" t="n">
        <x:f>MAX(0,MIN('Activities'!L341,84)-MAX('Activities'!K341,78))</x:f>
        <x:v>0</x:v>
      </x:c>
      <x:c r="S341" s="23" t="n">
        <x:f>MAX(0,MIN('Activities'!L341,90)-MAX('Activities'!K341,84))</x:f>
        <x:v>0</x:v>
      </x:c>
      <x:c r="T341" s="23" t="n">
        <x:f>MAX(0,MIN('Activities'!L341,96)-MAX('Activities'!K341,90))</x:f>
        <x:v>0</x:v>
      </x:c>
      <x:c r="U341" s="23" t="n">
        <x:f>MAX(0,MIN('Activities'!L341,102)-MAX('Activities'!K341,96))</x:f>
        <x:v>0</x:v>
      </x:c>
      <x:c r="V341" s="23" t="n">
        <x:f>MAX(0,MIN('Activities'!L341,108)-MAX('Activities'!K341,102))</x:f>
        <x:v>0</x:v>
      </x:c>
      <x:c r="W341" s="23" t="n">
        <x:f>MAX(0,MIN('Activities'!L341,114)-MAX('Activities'!K341,108))</x:f>
        <x:v>0</x:v>
      </x:c>
      <x:c r="X341" s="23" t="n">
        <x:f>MAX(0,MIN('Activities'!L341,120)-MAX('Activities'!K341,114))</x:f>
        <x:v>0</x:v>
      </x:c>
      <x:c r="Y341" s="23" t="n">
        <x:f>MAX(0,MIN('Activities'!L341,126)-MAX('Activities'!K341,120))</x:f>
        <x:v>0</x:v>
      </x:c>
      <x:c r="Z341" s="23" t="n">
        <x:f>MAX(0,MIN('Activities'!L341,132)-MAX('Activities'!K341,126))</x:f>
        <x:v>0</x:v>
      </x:c>
      <x:c r="AA341" s="23" t="n">
        <x:f>MAX(0,MIN('Activities'!L341,138)-MAX('Activities'!K341,132))</x:f>
        <x:v>0</x:v>
      </x:c>
      <x:c r="AB341" s="23" t="n">
        <x:f>MAX(0,MIN('Activities'!L341,144)-MAX('Activities'!K341,138))</x:f>
        <x:v>0</x:v>
      </x:c>
      <x:c r="AC341" s="23" t="n">
        <x:f>MAX(0,MIN('Activities'!L341,150)-MAX('Activities'!K341,144))</x:f>
        <x:v>0</x:v>
      </x:c>
      <x:c r="AD341" s="23" t="n">
        <x:f>MAX(0,MIN('Activities'!L341,156)-MAX('Activities'!K341,150))</x:f>
        <x:v>0</x:v>
      </x:c>
      <x:c r="AE341" s="23" t="n">
        <x:f>MAX(0,MIN('Activities'!L341,162)-MAX('Activities'!K341,156))</x:f>
        <x:v>0</x:v>
      </x:c>
      <x:c r="AF341" s="23" t="n">
        <x:f>MAX(0,MIN('Activities'!L341,168)-MAX('Activities'!K341,162))</x:f>
        <x:v>0</x:v>
      </x:c>
      <x:c r="AG341" s="23" t="n">
        <x:f>MAX(0,MIN('Activities'!L341,174)-MAX('Activities'!K341,168))</x:f>
        <x:v>0</x:v>
      </x:c>
      <x:c r="AH341" s="23" t="n">
        <x:f>MAX(0,MIN('Activities'!L341,180)-MAX('Activities'!K341,174))</x:f>
        <x:v>0</x:v>
      </x:c>
      <x:c r="AI341" s="23" t="n">
        <x:f>MAX(0,MIN('Activities'!L341,186)-MAX('Activities'!K341,180))</x:f>
        <x:v>0</x:v>
      </x:c>
      <x:c r="AJ341" s="23" t="n">
        <x:f>MAX(0,MIN('Activities'!L341,192)-MAX('Activities'!K341,186))</x:f>
        <x:v>0</x:v>
      </x:c>
      <x:c r="AK341" s="23" t="n">
        <x:f>MAX(0,MIN('Activities'!L341,198)-MAX('Activities'!K341,192))</x:f>
        <x:v>0</x:v>
      </x:c>
      <x:c r="AL341" s="23" t="n">
        <x:f>MAX(0,MIN('Activities'!L341,204)-MAX('Activities'!K341,198))</x:f>
        <x:v>0</x:v>
      </x:c>
      <x:c r="AM341" s="23" t="n">
        <x:f>MAX(0,MIN('Activities'!L341,210)-MAX('Activities'!K341,204))</x:f>
        <x:v>0</x:v>
      </x:c>
      <x:c r="AN341" s="23" t="n">
        <x:f>MAX(0,MIN('Activities'!L341,216)-MAX('Activities'!K341,210))</x:f>
        <x:v>0</x:v>
      </x:c>
      <x:c r="AO341" s="23" t="n">
        <x:f>MAX(0,MIN('Activities'!L341,222)-MAX('Activities'!K341,216))</x:f>
        <x:v>0</x:v>
      </x:c>
      <x:c r="AP341" s="23" t="n">
        <x:f>MAX(0,MIN('Activities'!L341,228)-MAX('Activities'!K341,222))</x:f>
        <x:v>0</x:v>
      </x:c>
      <x:c r="AQ341" s="23" t="n">
        <x:f>MAX(0,MIN('Activities'!L341,234)-MAX('Activities'!K341,228))</x:f>
        <x:v>0</x:v>
      </x:c>
      <x:c r="AR341" s="23" t="n">
        <x:f>MAX(0,MIN('Activities'!L341,240)-MAX('Activities'!K341,234))</x:f>
        <x:v>0</x:v>
      </x:c>
      <x:c r="AS341" s="23" t="n">
        <x:f>MAX(0,MIN('Activities'!L341,246)-MAX('Activities'!K341,240))</x:f>
        <x:v>0</x:v>
      </x:c>
      <x:c r="AT341" s="23" t="n">
        <x:f>MAX(0,MIN('Activities'!L341,252)-MAX('Activities'!K341,246))</x:f>
        <x:v>0</x:v>
      </x:c>
      <x:c r="AU341" s="23" t="n">
        <x:f>MAX(0,MIN('Activities'!L341,258)-MAX('Activities'!K341,252))</x:f>
        <x:v>0</x:v>
      </x:c>
      <x:c r="AV341" s="23" t="n">
        <x:f>MAX(0,MIN('Activities'!L341,264)-MAX('Activities'!K341,258))</x:f>
        <x:v>0</x:v>
      </x:c>
      <x:c r="AW341" s="23" t="n">
        <x:f>MAX(0,MIN('Activities'!L341,270)-MAX('Activities'!K341,264))</x:f>
        <x:v>0</x:v>
      </x:c>
      <x:c r="AX341" s="23" t="n">
        <x:f>MAX(0,MIN('Activities'!L341,276)-MAX('Activities'!K341,270))</x:f>
        <x:v>0</x:v>
      </x:c>
      <x:c r="AY341" s="23" t="n">
        <x:f>MAX(0,MIN('Activities'!L341,282)-MAX('Activities'!K341,276))</x:f>
        <x:v>0</x:v>
      </x:c>
      <x:c r="AZ341" s="23" t="n">
        <x:f>MAX(0,MIN('Activities'!L341,288)-MAX('Activities'!K341,282))</x:f>
        <x:v>0</x:v>
      </x:c>
      <x:c r="BA341" s="23" t="n">
        <x:f>MAX(0,MIN('Activities'!L341,294)-MAX('Activities'!K341,288))</x:f>
        <x:v>0</x:v>
      </x:c>
      <x:c r="BB341" s="23" t="n">
        <x:f>MAX(0,MIN('Activities'!L341,300)-MAX('Activities'!K341,294))</x:f>
        <x:v>0</x:v>
      </x:c>
      <x:c r="BC341" s="23" t="n">
        <x:f>MAX(0,MIN('Activities'!L341,306)-MAX('Activities'!K341,300))</x:f>
        <x:v>0</x:v>
      </x:c>
      <x:c r="BD341" s="23" t="n">
        <x:f>MAX(0,MIN('Activities'!L341,312)-MAX('Activities'!K341,306))</x:f>
        <x:v>0</x:v>
      </x:c>
      <x:c r="BE341" s="23" t="n">
        <x:f>MAX(0,MIN('Activities'!L341,318)-MAX('Activities'!K341,312))</x:f>
        <x:v>0</x:v>
      </x:c>
      <x:c r="BF341" s="23" t="n">
        <x:f>MAX(0,MIN('Activities'!L341,324)-MAX('Activities'!K341,318))</x:f>
        <x:v>0</x:v>
      </x:c>
      <x:c r="BG341" s="23" t="n">
        <x:f>MAX(0,MIN('Activities'!L341,330)-MAX('Activities'!K341,324))</x:f>
        <x:v>0</x:v>
      </x:c>
      <x:c r="BH341" s="23" t="n">
        <x:f>MAX(0,MIN('Activities'!L341,336)-MAX('Activities'!K341,330))</x:f>
        <x:v>0</x:v>
      </x:c>
      <x:c r="BI341" s="23" t="n">
        <x:f>MAX(0,MIN('Activities'!L341,342)-MAX('Activities'!K341,336))</x:f>
        <x:v>0</x:v>
      </x:c>
      <x:c r="BJ341" s="23" t="n">
        <x:f>MAX(0,MIN('Activities'!L341,348)-MAX('Activities'!K341,342))</x:f>
        <x:v>0</x:v>
      </x:c>
      <x:c r="BK341" s="23" t="n">
        <x:f>MAX(0,MIN('Activities'!L341,354)-MAX('Activities'!K341,348))</x:f>
        <x:v>0</x:v>
      </x:c>
      <x:c r="BL341" s="23" t="n">
        <x:f>MAX(0,MIN('Activities'!L341,360)-MAX('Activities'!K341,354))</x:f>
        <x:v>0</x:v>
      </x:c>
      <x:c r="BM341" s="23" t="n">
        <x:f>MAX(0,MIN('Activities'!L341,366)-MAX('Activities'!K341,360))</x:f>
        <x:v>0</x:v>
      </x:c>
      <x:c r="BN341" s="23" t="n">
        <x:f>MAX(0,MIN('Activities'!L341,372)-MAX('Activities'!K341,366))</x:f>
        <x:v>0</x:v>
      </x:c>
      <x:c r="BO341" s="23" t="n">
        <x:f>MAX(0,MIN('Activities'!L341,378)-MAX('Activities'!K341,372))</x:f>
        <x:v>0</x:v>
      </x:c>
      <x:c r="BP341" s="23" t="n">
        <x:f>MAX(0,MIN('Activities'!L341,384)-MAX('Activities'!K341,378))</x:f>
        <x:v>0</x:v>
      </x:c>
      <x:c r="BQ341" s="23" t="n">
        <x:f>MAX(0,MIN('Activities'!L341,390)-MAX('Activities'!K341,384))</x:f>
        <x:v>0</x:v>
      </x:c>
      <x:c r="BR341" s="23" t="n">
        <x:f>MAX(0,MIN('Activities'!L341,396)-MAX('Activities'!K341,390))</x:f>
        <x:v>0</x:v>
      </x:c>
      <x:c r="BS341" s="23" t="n">
        <x:f>MAX(0,MIN('Activities'!L341,402)-MAX('Activities'!K341,396))</x:f>
        <x:v>0</x:v>
      </x:c>
      <x:c r="BT341" s="23" t="n">
        <x:f>MAX(0,MIN('Activities'!L341,408)-MAX('Activities'!K341,402))</x:f>
        <x:v>0</x:v>
      </x:c>
      <x:c r="BU341" s="23" t="n">
        <x:f>MAX(0,MIN('Activities'!L341,414)-MAX('Activities'!K341,408))</x:f>
        <x:v>0</x:v>
      </x:c>
      <x:c r="BV341" s="23" t="n">
        <x:f>MAX(0,MIN('Activities'!L341,420)-MAX('Activities'!K341,414))</x:f>
        <x:v>0</x:v>
      </x:c>
      <x:c r="BW341" s="23" t="n">
        <x:f>MAX(0,MIN('Activities'!L341,426)-MAX('Activities'!K341,420))</x:f>
        <x:v>0</x:v>
      </x:c>
      <x:c r="BX341" s="23" t="n">
        <x:f>MAX(0,MIN('Activities'!L341,432)-MAX('Activities'!K341,426))</x:f>
        <x:v>0</x:v>
      </x:c>
      <x:c r="BY341" s="23" t="n">
        <x:f>MAX(0,MIN('Activities'!L341,438)-MAX('Activities'!K341,432))</x:f>
        <x:v>5</x:v>
      </x:c>
      <x:c r="BZ341" s="23" t="n">
        <x:f>MAX(0,MIN('Activities'!L341,444)-MAX('Activities'!K341,438))</x:f>
        <x:v>0</x:v>
      </x:c>
      <x:c r="CA341" s="23" t="n">
        <x:f>MAX(0,MIN('Activities'!L341,450)-MAX('Activities'!K341,444))</x:f>
        <x:v>0</x:v>
      </x:c>
      <x:c r="CB341" s="23" t="n">
        <x:f>MAX(0,MIN('Activities'!L341,456)-MAX('Activities'!K341,450))</x:f>
        <x:v>0</x:v>
      </x:c>
      <x:c r="CC341" s="23" t="n">
        <x:f>MAX(0,MIN('Activities'!L341,462)-MAX('Activities'!K341,456))</x:f>
        <x:v>0</x:v>
      </x:c>
      <x:c r="CD341" s="23" t="n">
        <x:f>MAX(0,MIN('Activities'!L341,468)-MAX('Activities'!K341,462))</x:f>
        <x:v>0</x:v>
      </x:c>
      <x:c r="CE341" s="23" t="n">
        <x:f>MAX(0,MIN('Activities'!L341,474)-MAX('Activities'!K341,468))</x:f>
        <x:v>0</x:v>
      </x:c>
      <x:c r="CF341" s="23" t="n">
        <x:f>MAX(0,MIN('Activities'!L341,480)-MAX('Activities'!K341,474))</x:f>
        <x:v>0</x:v>
      </x:c>
      <x:c r="CG341" s="23" t="n">
        <x:f>MAX(0,MIN('Activities'!L341,486)-MAX('Activities'!K341,480))</x:f>
        <x:v>0</x:v>
      </x:c>
      <x:c r="CH341" s="23" t="n">
        <x:f>MAX(0,MIN('Activities'!L341,492)-MAX('Activities'!K341,486))</x:f>
        <x:v>0</x:v>
      </x:c>
      <x:c r="CI341" s="23" t="n">
        <x:f>MAX(0,MIN('Activities'!L341,498)-MAX('Activities'!K341,492))</x:f>
        <x:v>0</x:v>
      </x:c>
      <x:c r="CJ341" s="23" t="n">
        <x:f>MAX(0,MIN('Activities'!L341,504)-MAX('Activities'!K341,498))</x:f>
        <x:v>0</x:v>
      </x:c>
      <x:c r="CK341" s="23" t="n">
        <x:f>MAX(0,MIN('Activities'!L341,510)-MAX('Activities'!K341,504))</x:f>
        <x:v>0</x:v>
      </x:c>
      <x:c r="CL341" s="23" t="n">
        <x:f>MAX(0,MIN('Activities'!L341,516)-MAX('Activities'!K341,510))</x:f>
        <x:v>0</x:v>
      </x:c>
      <x:c r="CM341" s="23" t="n">
        <x:f>MAX(0,MIN('Activities'!L341,522)-MAX('Activities'!K341,516))</x:f>
        <x:v>0</x:v>
      </x:c>
      <x:c r="CN341" s="23" t="n">
        <x:f>MAX(0,MIN('Activities'!L341,528)-MAX('Activities'!K341,522))</x:f>
        <x:v>0</x:v>
      </x:c>
      <x:c r="CO341" s="23" t="n">
        <x:f>MAX(0,MIN('Activities'!L341,534)-MAX('Activities'!K341,528))</x:f>
        <x:v>0</x:v>
      </x:c>
      <x:c r="CP341" s="23" t="n">
        <x:f>MAX(0,MIN('Activities'!L341,540)-MAX('Activities'!K341,534))</x:f>
        <x:v>0</x:v>
      </x:c>
      <x:c r="CQ341" s="23" t="n">
        <x:f>MAX(0,MIN('Activities'!L341,546)-MAX('Activities'!K341,540))</x:f>
        <x:v>0</x:v>
      </x:c>
      <x:c r="CR341" s="23" t="n">
        <x:f>MAX(0,MIN('Activities'!L341,552)-MAX('Activities'!K341,546))</x:f>
        <x:v>0</x:v>
      </x:c>
      <x:c r="CS341" s="23" t="n">
        <x:f>MAX(0,MIN('Activities'!L341,558)-MAX('Activities'!K341,552))</x:f>
        <x:v>0</x:v>
      </x:c>
      <x:c r="CT341" s="23" t="n">
        <x:f>MAX(0,MIN('Activities'!L341,564)-MAX('Activities'!K341,558))</x:f>
        <x:v>0</x:v>
      </x:c>
      <x:c r="CU341" s="23" t="n">
        <x:f>MAX(0,MIN('Activities'!L341,570)-MAX('Activities'!K341,564))</x:f>
        <x:v>0</x:v>
      </x:c>
      <x:c r="CV341" s="23" t="n">
        <x:f>MAX(0,MIN('Activities'!L341,576)-MAX('Activities'!K341,570))</x:f>
        <x:v>0</x:v>
      </x:c>
      <x:c r="CW341" s="23" t="n">
        <x:f>MAX(0,MIN('Activities'!L341,582)-MAX('Activities'!K341,576))</x:f>
        <x:v>0</x:v>
      </x:c>
      <x:c r="CX341" s="23" t="n">
        <x:f>MAX(0,MIN('Activities'!L341,588)-MAX('Activities'!K341,582))</x:f>
        <x:v>0</x:v>
      </x:c>
      <x:c r="CY341" s="23" t="n">
        <x:f>MAX(0,MIN('Activities'!L341,594)-MAX('Activities'!K341,588))</x:f>
        <x:v>0</x:v>
      </x:c>
      <x:c r="CZ341" s="23" t="n">
        <x:f>MAX(0,MIN('Activities'!L341,600)-MAX('Activities'!K341,594))</x:f>
        <x:v>0</x:v>
      </x:c>
      <x:c r="DA341" s="23" t="n">
        <x:f>MAX(0,MIN('Activities'!L341,606)-MAX('Activities'!K341,600))</x:f>
        <x:v>0</x:v>
      </x:c>
      <x:c r="DB341" s="23" t="n">
        <x:f>MAX(0,MIN('Activities'!L341,612)-MAX('Activities'!K341,606))</x:f>
        <x:v>0</x:v>
      </x:c>
      <x:c r="DC341" s="23" t="n">
        <x:f>MAX(0,MIN('Activities'!L341,618)-MAX('Activities'!K341,612))</x:f>
        <x:v>0</x:v>
      </x:c>
      <x:c r="DD341" s="23" t="n">
        <x:f>MAX(0,MIN('Activities'!L341,624)-MAX('Activities'!K341,618))</x:f>
        <x:v>0</x:v>
      </x:c>
      <x:c r="DE341" s="23" t="n">
        <x:f>MAX(0,MIN('Activities'!L341,630)-MAX('Activities'!K341,624))</x:f>
        <x:v>0</x:v>
      </x:c>
      <x:c r="DF341" s="23" t="n">
        <x:f>MAX(0,MIN('Activities'!L341,636)-MAX('Activities'!K341,630))</x:f>
        <x:v>0</x:v>
      </x:c>
    </x:row>
    <x:row r="342" ht="23" customHeight="1">
      <x:c r="A342" s="6" t="str">
        <x:v>T3-L00-D</x:v>
      </x:c>
      <x:c r="B342" s="6" t="str">
        <x:v>T3</x:v>
      </x:c>
      <x:c r="C342" s="6" t="str">
        <x:v>Door sets and ironmongery</x:v>
      </x:c>
      <x:c r="D342" s="6" t="str">
        <x:v>Finishes</x:v>
      </x:c>
      <x:c r="E342" s="22" t="n">
        <x:f>MAX(0,MIN('Activities'!L342,6)-MAX('Activities'!K342,0))</x:f>
        <x:v>0</x:v>
      </x:c>
      <x:c r="F342" s="22" t="n">
        <x:f>MAX(0,MIN('Activities'!L342,12)-MAX('Activities'!K342,6))</x:f>
        <x:v>0</x:v>
      </x:c>
      <x:c r="G342" s="22" t="n">
        <x:f>MAX(0,MIN('Activities'!L342,18)-MAX('Activities'!K342,12))</x:f>
        <x:v>0</x:v>
      </x:c>
      <x:c r="H342" s="22" t="n">
        <x:f>MAX(0,MIN('Activities'!L342,24)-MAX('Activities'!K342,18))</x:f>
        <x:v>0</x:v>
      </x:c>
      <x:c r="I342" s="22" t="n">
        <x:f>MAX(0,MIN('Activities'!L342,30)-MAX('Activities'!K342,24))</x:f>
        <x:v>0</x:v>
      </x:c>
      <x:c r="J342" s="22" t="n">
        <x:f>MAX(0,MIN('Activities'!L342,36)-MAX('Activities'!K342,30))</x:f>
        <x:v>0</x:v>
      </x:c>
      <x:c r="K342" s="22" t="n">
        <x:f>MAX(0,MIN('Activities'!L342,42)-MAX('Activities'!K342,36))</x:f>
        <x:v>0</x:v>
      </x:c>
      <x:c r="L342" s="22" t="n">
        <x:f>MAX(0,MIN('Activities'!L342,48)-MAX('Activities'!K342,42))</x:f>
        <x:v>0</x:v>
      </x:c>
      <x:c r="M342" s="22" t="n">
        <x:f>MAX(0,MIN('Activities'!L342,54)-MAX('Activities'!K342,48))</x:f>
        <x:v>0</x:v>
      </x:c>
      <x:c r="N342" s="22" t="n">
        <x:f>MAX(0,MIN('Activities'!L342,60)-MAX('Activities'!K342,54))</x:f>
        <x:v>0</x:v>
      </x:c>
      <x:c r="O342" s="22" t="n">
        <x:f>MAX(0,MIN('Activities'!L342,66)-MAX('Activities'!K342,60))</x:f>
        <x:v>0</x:v>
      </x:c>
      <x:c r="P342" s="22" t="n">
        <x:f>MAX(0,MIN('Activities'!L342,72)-MAX('Activities'!K342,66))</x:f>
        <x:v>0</x:v>
      </x:c>
      <x:c r="Q342" s="22" t="n">
        <x:f>MAX(0,MIN('Activities'!L342,78)-MAX('Activities'!K342,72))</x:f>
        <x:v>0</x:v>
      </x:c>
      <x:c r="R342" s="22" t="n">
        <x:f>MAX(0,MIN('Activities'!L342,84)-MAX('Activities'!K342,78))</x:f>
        <x:v>0</x:v>
      </x:c>
      <x:c r="S342" s="22" t="n">
        <x:f>MAX(0,MIN('Activities'!L342,90)-MAX('Activities'!K342,84))</x:f>
        <x:v>0</x:v>
      </x:c>
      <x:c r="T342" s="22" t="n">
        <x:f>MAX(0,MIN('Activities'!L342,96)-MAX('Activities'!K342,90))</x:f>
        <x:v>0</x:v>
      </x:c>
      <x:c r="U342" s="22" t="n">
        <x:f>MAX(0,MIN('Activities'!L342,102)-MAX('Activities'!K342,96))</x:f>
        <x:v>0</x:v>
      </x:c>
      <x:c r="V342" s="22" t="n">
        <x:f>MAX(0,MIN('Activities'!L342,108)-MAX('Activities'!K342,102))</x:f>
        <x:v>0</x:v>
      </x:c>
      <x:c r="W342" s="22" t="n">
        <x:f>MAX(0,MIN('Activities'!L342,114)-MAX('Activities'!K342,108))</x:f>
        <x:v>0</x:v>
      </x:c>
      <x:c r="X342" s="22" t="n">
        <x:f>MAX(0,MIN('Activities'!L342,120)-MAX('Activities'!K342,114))</x:f>
        <x:v>0</x:v>
      </x:c>
      <x:c r="Y342" s="22" t="n">
        <x:f>MAX(0,MIN('Activities'!L342,126)-MAX('Activities'!K342,120))</x:f>
        <x:v>0</x:v>
      </x:c>
      <x:c r="Z342" s="22" t="n">
        <x:f>MAX(0,MIN('Activities'!L342,132)-MAX('Activities'!K342,126))</x:f>
        <x:v>0</x:v>
      </x:c>
      <x:c r="AA342" s="22" t="n">
        <x:f>MAX(0,MIN('Activities'!L342,138)-MAX('Activities'!K342,132))</x:f>
        <x:v>0</x:v>
      </x:c>
      <x:c r="AB342" s="22" t="n">
        <x:f>MAX(0,MIN('Activities'!L342,144)-MAX('Activities'!K342,138))</x:f>
        <x:v>0</x:v>
      </x:c>
      <x:c r="AC342" s="22" t="n">
        <x:f>MAX(0,MIN('Activities'!L342,150)-MAX('Activities'!K342,144))</x:f>
        <x:v>0</x:v>
      </x:c>
      <x:c r="AD342" s="22" t="n">
        <x:f>MAX(0,MIN('Activities'!L342,156)-MAX('Activities'!K342,150))</x:f>
        <x:v>0</x:v>
      </x:c>
      <x:c r="AE342" s="22" t="n">
        <x:f>MAX(0,MIN('Activities'!L342,162)-MAX('Activities'!K342,156))</x:f>
        <x:v>0</x:v>
      </x:c>
      <x:c r="AF342" s="22" t="n">
        <x:f>MAX(0,MIN('Activities'!L342,168)-MAX('Activities'!K342,162))</x:f>
        <x:v>0</x:v>
      </x:c>
      <x:c r="AG342" s="22" t="n">
        <x:f>MAX(0,MIN('Activities'!L342,174)-MAX('Activities'!K342,168))</x:f>
        <x:v>0</x:v>
      </x:c>
      <x:c r="AH342" s="22" t="n">
        <x:f>MAX(0,MIN('Activities'!L342,180)-MAX('Activities'!K342,174))</x:f>
        <x:v>0</x:v>
      </x:c>
      <x:c r="AI342" s="22" t="n">
        <x:f>MAX(0,MIN('Activities'!L342,186)-MAX('Activities'!K342,180))</x:f>
        <x:v>0</x:v>
      </x:c>
      <x:c r="AJ342" s="22" t="n">
        <x:f>MAX(0,MIN('Activities'!L342,192)-MAX('Activities'!K342,186))</x:f>
        <x:v>0</x:v>
      </x:c>
      <x:c r="AK342" s="22" t="n">
        <x:f>MAX(0,MIN('Activities'!L342,198)-MAX('Activities'!K342,192))</x:f>
        <x:v>0</x:v>
      </x:c>
      <x:c r="AL342" s="22" t="n">
        <x:f>MAX(0,MIN('Activities'!L342,204)-MAX('Activities'!K342,198))</x:f>
        <x:v>0</x:v>
      </x:c>
      <x:c r="AM342" s="22" t="n">
        <x:f>MAX(0,MIN('Activities'!L342,210)-MAX('Activities'!K342,204))</x:f>
        <x:v>0</x:v>
      </x:c>
      <x:c r="AN342" s="22" t="n">
        <x:f>MAX(0,MIN('Activities'!L342,216)-MAX('Activities'!K342,210))</x:f>
        <x:v>0</x:v>
      </x:c>
      <x:c r="AO342" s="22" t="n">
        <x:f>MAX(0,MIN('Activities'!L342,222)-MAX('Activities'!K342,216))</x:f>
        <x:v>0</x:v>
      </x:c>
      <x:c r="AP342" s="22" t="n">
        <x:f>MAX(0,MIN('Activities'!L342,228)-MAX('Activities'!K342,222))</x:f>
        <x:v>0</x:v>
      </x:c>
      <x:c r="AQ342" s="22" t="n">
        <x:f>MAX(0,MIN('Activities'!L342,234)-MAX('Activities'!K342,228))</x:f>
        <x:v>0</x:v>
      </x:c>
      <x:c r="AR342" s="22" t="n">
        <x:f>MAX(0,MIN('Activities'!L342,240)-MAX('Activities'!K342,234))</x:f>
        <x:v>0</x:v>
      </x:c>
      <x:c r="AS342" s="22" t="n">
        <x:f>MAX(0,MIN('Activities'!L342,246)-MAX('Activities'!K342,240))</x:f>
        <x:v>0</x:v>
      </x:c>
      <x:c r="AT342" s="22" t="n">
        <x:f>MAX(0,MIN('Activities'!L342,252)-MAX('Activities'!K342,246))</x:f>
        <x:v>0</x:v>
      </x:c>
      <x:c r="AU342" s="22" t="n">
        <x:f>MAX(0,MIN('Activities'!L342,258)-MAX('Activities'!K342,252))</x:f>
        <x:v>0</x:v>
      </x:c>
      <x:c r="AV342" s="22" t="n">
        <x:f>MAX(0,MIN('Activities'!L342,264)-MAX('Activities'!K342,258))</x:f>
        <x:v>0</x:v>
      </x:c>
      <x:c r="AW342" s="22" t="n">
        <x:f>MAX(0,MIN('Activities'!L342,270)-MAX('Activities'!K342,264))</x:f>
        <x:v>0</x:v>
      </x:c>
      <x:c r="AX342" s="22" t="n">
        <x:f>MAX(0,MIN('Activities'!L342,276)-MAX('Activities'!K342,270))</x:f>
        <x:v>0</x:v>
      </x:c>
      <x:c r="AY342" s="22" t="n">
        <x:f>MAX(0,MIN('Activities'!L342,282)-MAX('Activities'!K342,276))</x:f>
        <x:v>0</x:v>
      </x:c>
      <x:c r="AZ342" s="22" t="n">
        <x:f>MAX(0,MIN('Activities'!L342,288)-MAX('Activities'!K342,282))</x:f>
        <x:v>0</x:v>
      </x:c>
      <x:c r="BA342" s="22" t="n">
        <x:f>MAX(0,MIN('Activities'!L342,294)-MAX('Activities'!K342,288))</x:f>
        <x:v>0</x:v>
      </x:c>
      <x:c r="BB342" s="22" t="n">
        <x:f>MAX(0,MIN('Activities'!L342,300)-MAX('Activities'!K342,294))</x:f>
        <x:v>0</x:v>
      </x:c>
      <x:c r="BC342" s="22" t="n">
        <x:f>MAX(0,MIN('Activities'!L342,306)-MAX('Activities'!K342,300))</x:f>
        <x:v>0</x:v>
      </x:c>
      <x:c r="BD342" s="22" t="n">
        <x:f>MAX(0,MIN('Activities'!L342,312)-MAX('Activities'!K342,306))</x:f>
        <x:v>0</x:v>
      </x:c>
      <x:c r="BE342" s="22" t="n">
        <x:f>MAX(0,MIN('Activities'!L342,318)-MAX('Activities'!K342,312))</x:f>
        <x:v>0</x:v>
      </x:c>
      <x:c r="BF342" s="22" t="n">
        <x:f>MAX(0,MIN('Activities'!L342,324)-MAX('Activities'!K342,318))</x:f>
        <x:v>0</x:v>
      </x:c>
      <x:c r="BG342" s="22" t="n">
        <x:f>MAX(0,MIN('Activities'!L342,330)-MAX('Activities'!K342,324))</x:f>
        <x:v>0</x:v>
      </x:c>
      <x:c r="BH342" s="22" t="n">
        <x:f>MAX(0,MIN('Activities'!L342,336)-MAX('Activities'!K342,330))</x:f>
        <x:v>0</x:v>
      </x:c>
      <x:c r="BI342" s="22" t="n">
        <x:f>MAX(0,MIN('Activities'!L342,342)-MAX('Activities'!K342,336))</x:f>
        <x:v>0</x:v>
      </x:c>
      <x:c r="BJ342" s="22" t="n">
        <x:f>MAX(0,MIN('Activities'!L342,348)-MAX('Activities'!K342,342))</x:f>
        <x:v>0</x:v>
      </x:c>
      <x:c r="BK342" s="22" t="n">
        <x:f>MAX(0,MIN('Activities'!L342,354)-MAX('Activities'!K342,348))</x:f>
        <x:v>0</x:v>
      </x:c>
      <x:c r="BL342" s="22" t="n">
        <x:f>MAX(0,MIN('Activities'!L342,360)-MAX('Activities'!K342,354))</x:f>
        <x:v>0</x:v>
      </x:c>
      <x:c r="BM342" s="22" t="n">
        <x:f>MAX(0,MIN('Activities'!L342,366)-MAX('Activities'!K342,360))</x:f>
        <x:v>0</x:v>
      </x:c>
      <x:c r="BN342" s="22" t="n">
        <x:f>MAX(0,MIN('Activities'!L342,372)-MAX('Activities'!K342,366))</x:f>
        <x:v>0</x:v>
      </x:c>
      <x:c r="BO342" s="22" t="n">
        <x:f>MAX(0,MIN('Activities'!L342,378)-MAX('Activities'!K342,372))</x:f>
        <x:v>0</x:v>
      </x:c>
      <x:c r="BP342" s="22" t="n">
        <x:f>MAX(0,MIN('Activities'!L342,384)-MAX('Activities'!K342,378))</x:f>
        <x:v>0</x:v>
      </x:c>
      <x:c r="BQ342" s="22" t="n">
        <x:f>MAX(0,MIN('Activities'!L342,390)-MAX('Activities'!K342,384))</x:f>
        <x:v>0</x:v>
      </x:c>
      <x:c r="BR342" s="22" t="n">
        <x:f>MAX(0,MIN('Activities'!L342,396)-MAX('Activities'!K342,390))</x:f>
        <x:v>0</x:v>
      </x:c>
      <x:c r="BS342" s="22" t="n">
        <x:f>MAX(0,MIN('Activities'!L342,402)-MAX('Activities'!K342,396))</x:f>
        <x:v>0</x:v>
      </x:c>
      <x:c r="BT342" s="22" t="n">
        <x:f>MAX(0,MIN('Activities'!L342,408)-MAX('Activities'!K342,402))</x:f>
        <x:v>0</x:v>
      </x:c>
      <x:c r="BU342" s="22" t="n">
        <x:f>MAX(0,MIN('Activities'!L342,414)-MAX('Activities'!K342,408))</x:f>
        <x:v>0</x:v>
      </x:c>
      <x:c r="BV342" s="22" t="n">
        <x:f>MAX(0,MIN('Activities'!L342,420)-MAX('Activities'!K342,414))</x:f>
        <x:v>0</x:v>
      </x:c>
      <x:c r="BW342" s="22" t="n">
        <x:f>MAX(0,MIN('Activities'!L342,426)-MAX('Activities'!K342,420))</x:f>
        <x:v>0</x:v>
      </x:c>
      <x:c r="BX342" s="22" t="n">
        <x:f>MAX(0,MIN('Activities'!L342,432)-MAX('Activities'!K342,426))</x:f>
        <x:v>0</x:v>
      </x:c>
      <x:c r="BY342" s="22" t="n">
        <x:f>MAX(0,MIN('Activities'!L342,438)-MAX('Activities'!K342,432))</x:f>
        <x:v>0</x:v>
      </x:c>
      <x:c r="BZ342" s="22" t="n">
        <x:f>MAX(0,MIN('Activities'!L342,444)-MAX('Activities'!K342,438))</x:f>
        <x:v>3</x:v>
      </x:c>
      <x:c r="CA342" s="22" t="n">
        <x:f>MAX(0,MIN('Activities'!L342,450)-MAX('Activities'!K342,444))</x:f>
        <x:v>0</x:v>
      </x:c>
      <x:c r="CB342" s="22" t="n">
        <x:f>MAX(0,MIN('Activities'!L342,456)-MAX('Activities'!K342,450))</x:f>
        <x:v>0</x:v>
      </x:c>
      <x:c r="CC342" s="22" t="n">
        <x:f>MAX(0,MIN('Activities'!L342,462)-MAX('Activities'!K342,456))</x:f>
        <x:v>0</x:v>
      </x:c>
      <x:c r="CD342" s="22" t="n">
        <x:f>MAX(0,MIN('Activities'!L342,468)-MAX('Activities'!K342,462))</x:f>
        <x:v>0</x:v>
      </x:c>
      <x:c r="CE342" s="22" t="n">
        <x:f>MAX(0,MIN('Activities'!L342,474)-MAX('Activities'!K342,468))</x:f>
        <x:v>0</x:v>
      </x:c>
      <x:c r="CF342" s="22" t="n">
        <x:f>MAX(0,MIN('Activities'!L342,480)-MAX('Activities'!K342,474))</x:f>
        <x:v>0</x:v>
      </x:c>
      <x:c r="CG342" s="22" t="n">
        <x:f>MAX(0,MIN('Activities'!L342,486)-MAX('Activities'!K342,480))</x:f>
        <x:v>0</x:v>
      </x:c>
      <x:c r="CH342" s="22" t="n">
        <x:f>MAX(0,MIN('Activities'!L342,492)-MAX('Activities'!K342,486))</x:f>
        <x:v>0</x:v>
      </x:c>
      <x:c r="CI342" s="22" t="n">
        <x:f>MAX(0,MIN('Activities'!L342,498)-MAX('Activities'!K342,492))</x:f>
        <x:v>0</x:v>
      </x:c>
      <x:c r="CJ342" s="22" t="n">
        <x:f>MAX(0,MIN('Activities'!L342,504)-MAX('Activities'!K342,498))</x:f>
        <x:v>0</x:v>
      </x:c>
      <x:c r="CK342" s="22" t="n">
        <x:f>MAX(0,MIN('Activities'!L342,510)-MAX('Activities'!K342,504))</x:f>
        <x:v>0</x:v>
      </x:c>
      <x:c r="CL342" s="22" t="n">
        <x:f>MAX(0,MIN('Activities'!L342,516)-MAX('Activities'!K342,510))</x:f>
        <x:v>0</x:v>
      </x:c>
      <x:c r="CM342" s="22" t="n">
        <x:f>MAX(0,MIN('Activities'!L342,522)-MAX('Activities'!K342,516))</x:f>
        <x:v>0</x:v>
      </x:c>
      <x:c r="CN342" s="22" t="n">
        <x:f>MAX(0,MIN('Activities'!L342,528)-MAX('Activities'!K342,522))</x:f>
        <x:v>0</x:v>
      </x:c>
      <x:c r="CO342" s="22" t="n">
        <x:f>MAX(0,MIN('Activities'!L342,534)-MAX('Activities'!K342,528))</x:f>
        <x:v>0</x:v>
      </x:c>
      <x:c r="CP342" s="22" t="n">
        <x:f>MAX(0,MIN('Activities'!L342,540)-MAX('Activities'!K342,534))</x:f>
        <x:v>0</x:v>
      </x:c>
      <x:c r="CQ342" s="22" t="n">
        <x:f>MAX(0,MIN('Activities'!L342,546)-MAX('Activities'!K342,540))</x:f>
        <x:v>0</x:v>
      </x:c>
      <x:c r="CR342" s="22" t="n">
        <x:f>MAX(0,MIN('Activities'!L342,552)-MAX('Activities'!K342,546))</x:f>
        <x:v>0</x:v>
      </x:c>
      <x:c r="CS342" s="22" t="n">
        <x:f>MAX(0,MIN('Activities'!L342,558)-MAX('Activities'!K342,552))</x:f>
        <x:v>0</x:v>
      </x:c>
      <x:c r="CT342" s="22" t="n">
        <x:f>MAX(0,MIN('Activities'!L342,564)-MAX('Activities'!K342,558))</x:f>
        <x:v>0</x:v>
      </x:c>
      <x:c r="CU342" s="22" t="n">
        <x:f>MAX(0,MIN('Activities'!L342,570)-MAX('Activities'!K342,564))</x:f>
        <x:v>0</x:v>
      </x:c>
      <x:c r="CV342" s="22" t="n">
        <x:f>MAX(0,MIN('Activities'!L342,576)-MAX('Activities'!K342,570))</x:f>
        <x:v>0</x:v>
      </x:c>
      <x:c r="CW342" s="22" t="n">
        <x:f>MAX(0,MIN('Activities'!L342,582)-MAX('Activities'!K342,576))</x:f>
        <x:v>0</x:v>
      </x:c>
      <x:c r="CX342" s="22" t="n">
        <x:f>MAX(0,MIN('Activities'!L342,588)-MAX('Activities'!K342,582))</x:f>
        <x:v>0</x:v>
      </x:c>
      <x:c r="CY342" s="22" t="n">
        <x:f>MAX(0,MIN('Activities'!L342,594)-MAX('Activities'!K342,588))</x:f>
        <x:v>0</x:v>
      </x:c>
      <x:c r="CZ342" s="22" t="n">
        <x:f>MAX(0,MIN('Activities'!L342,600)-MAX('Activities'!K342,594))</x:f>
        <x:v>0</x:v>
      </x:c>
      <x:c r="DA342" s="22" t="n">
        <x:f>MAX(0,MIN('Activities'!L342,606)-MAX('Activities'!K342,600))</x:f>
        <x:v>0</x:v>
      </x:c>
      <x:c r="DB342" s="22" t="n">
        <x:f>MAX(0,MIN('Activities'!L342,612)-MAX('Activities'!K342,606))</x:f>
        <x:v>0</x:v>
      </x:c>
      <x:c r="DC342" s="22" t="n">
        <x:f>MAX(0,MIN('Activities'!L342,618)-MAX('Activities'!K342,612))</x:f>
        <x:v>0</x:v>
      </x:c>
      <x:c r="DD342" s="22" t="n">
        <x:f>MAX(0,MIN('Activities'!L342,624)-MAX('Activities'!K342,618))</x:f>
        <x:v>0</x:v>
      </x:c>
      <x:c r="DE342" s="22" t="n">
        <x:f>MAX(0,MIN('Activities'!L342,630)-MAX('Activities'!K342,624))</x:f>
        <x:v>0</x:v>
      </x:c>
      <x:c r="DF342" s="22" t="n">
        <x:f>MAX(0,MIN('Activities'!L342,636)-MAX('Activities'!K342,630))</x:f>
        <x:v>0</x:v>
      </x:c>
    </x:row>
    <x:row r="343" ht="23" customHeight="1">
      <x:c r="A343" s="1" t="str">
        <x:v>T3-L01-M</x:v>
      </x:c>
      <x:c r="B343" s="1" t="str">
        <x:v>T3</x:v>
      </x:c>
      <x:c r="C343" s="1" t="str">
        <x:v>Partition masonry</x:v>
      </x:c>
      <x:c r="D343" s="1" t="str">
        <x:v>Masonry</x:v>
      </x:c>
      <x:c r="E343" s="23" t="n">
        <x:f>MAX(0,MIN('Activities'!L343,6)-MAX('Activities'!K343,0))</x:f>
        <x:v>0</x:v>
      </x:c>
      <x:c r="F343" s="23" t="n">
        <x:f>MAX(0,MIN('Activities'!L343,12)-MAX('Activities'!K343,6))</x:f>
        <x:v>0</x:v>
      </x:c>
      <x:c r="G343" s="23" t="n">
        <x:f>MAX(0,MIN('Activities'!L343,18)-MAX('Activities'!K343,12))</x:f>
        <x:v>0</x:v>
      </x:c>
      <x:c r="H343" s="23" t="n">
        <x:f>MAX(0,MIN('Activities'!L343,24)-MAX('Activities'!K343,18))</x:f>
        <x:v>0</x:v>
      </x:c>
      <x:c r="I343" s="23" t="n">
        <x:f>MAX(0,MIN('Activities'!L343,30)-MAX('Activities'!K343,24))</x:f>
        <x:v>0</x:v>
      </x:c>
      <x:c r="J343" s="23" t="n">
        <x:f>MAX(0,MIN('Activities'!L343,36)-MAX('Activities'!K343,30))</x:f>
        <x:v>0</x:v>
      </x:c>
      <x:c r="K343" s="23" t="n">
        <x:f>MAX(0,MIN('Activities'!L343,42)-MAX('Activities'!K343,36))</x:f>
        <x:v>0</x:v>
      </x:c>
      <x:c r="L343" s="23" t="n">
        <x:f>MAX(0,MIN('Activities'!L343,48)-MAX('Activities'!K343,42))</x:f>
        <x:v>0</x:v>
      </x:c>
      <x:c r="M343" s="23" t="n">
        <x:f>MAX(0,MIN('Activities'!L343,54)-MAX('Activities'!K343,48))</x:f>
        <x:v>0</x:v>
      </x:c>
      <x:c r="N343" s="23" t="n">
        <x:f>MAX(0,MIN('Activities'!L343,60)-MAX('Activities'!K343,54))</x:f>
        <x:v>0</x:v>
      </x:c>
      <x:c r="O343" s="23" t="n">
        <x:f>MAX(0,MIN('Activities'!L343,66)-MAX('Activities'!K343,60))</x:f>
        <x:v>0</x:v>
      </x:c>
      <x:c r="P343" s="23" t="n">
        <x:f>MAX(0,MIN('Activities'!L343,72)-MAX('Activities'!K343,66))</x:f>
        <x:v>0</x:v>
      </x:c>
      <x:c r="Q343" s="23" t="n">
        <x:f>MAX(0,MIN('Activities'!L343,78)-MAX('Activities'!K343,72))</x:f>
        <x:v>0</x:v>
      </x:c>
      <x:c r="R343" s="23" t="n">
        <x:f>MAX(0,MIN('Activities'!L343,84)-MAX('Activities'!K343,78))</x:f>
        <x:v>0</x:v>
      </x:c>
      <x:c r="S343" s="23" t="n">
        <x:f>MAX(0,MIN('Activities'!L343,90)-MAX('Activities'!K343,84))</x:f>
        <x:v>0</x:v>
      </x:c>
      <x:c r="T343" s="23" t="n">
        <x:f>MAX(0,MIN('Activities'!L343,96)-MAX('Activities'!K343,90))</x:f>
        <x:v>0</x:v>
      </x:c>
      <x:c r="U343" s="23" t="n">
        <x:f>MAX(0,MIN('Activities'!L343,102)-MAX('Activities'!K343,96))</x:f>
        <x:v>0</x:v>
      </x:c>
      <x:c r="V343" s="23" t="n">
        <x:f>MAX(0,MIN('Activities'!L343,108)-MAX('Activities'!K343,102))</x:f>
        <x:v>0</x:v>
      </x:c>
      <x:c r="W343" s="23" t="n">
        <x:f>MAX(0,MIN('Activities'!L343,114)-MAX('Activities'!K343,108))</x:f>
        <x:v>0</x:v>
      </x:c>
      <x:c r="X343" s="23" t="n">
        <x:f>MAX(0,MIN('Activities'!L343,120)-MAX('Activities'!K343,114))</x:f>
        <x:v>0</x:v>
      </x:c>
      <x:c r="Y343" s="23" t="n">
        <x:f>MAX(0,MIN('Activities'!L343,126)-MAX('Activities'!K343,120))</x:f>
        <x:v>0</x:v>
      </x:c>
      <x:c r="Z343" s="23" t="n">
        <x:f>MAX(0,MIN('Activities'!L343,132)-MAX('Activities'!K343,126))</x:f>
        <x:v>0</x:v>
      </x:c>
      <x:c r="AA343" s="23" t="n">
        <x:f>MAX(0,MIN('Activities'!L343,138)-MAX('Activities'!K343,132))</x:f>
        <x:v>0</x:v>
      </x:c>
      <x:c r="AB343" s="23" t="n">
        <x:f>MAX(0,MIN('Activities'!L343,144)-MAX('Activities'!K343,138))</x:f>
        <x:v>0</x:v>
      </x:c>
      <x:c r="AC343" s="23" t="n">
        <x:f>MAX(0,MIN('Activities'!L343,150)-MAX('Activities'!K343,144))</x:f>
        <x:v>0</x:v>
      </x:c>
      <x:c r="AD343" s="23" t="n">
        <x:f>MAX(0,MIN('Activities'!L343,156)-MAX('Activities'!K343,150))</x:f>
        <x:v>0</x:v>
      </x:c>
      <x:c r="AE343" s="23" t="n">
        <x:f>MAX(0,MIN('Activities'!L343,162)-MAX('Activities'!K343,156))</x:f>
        <x:v>0</x:v>
      </x:c>
      <x:c r="AF343" s="23" t="n">
        <x:f>MAX(0,MIN('Activities'!L343,168)-MAX('Activities'!K343,162))</x:f>
        <x:v>0</x:v>
      </x:c>
      <x:c r="AG343" s="23" t="n">
        <x:f>MAX(0,MIN('Activities'!L343,174)-MAX('Activities'!K343,168))</x:f>
        <x:v>0</x:v>
      </x:c>
      <x:c r="AH343" s="23" t="n">
        <x:f>MAX(0,MIN('Activities'!L343,180)-MAX('Activities'!K343,174))</x:f>
        <x:v>0</x:v>
      </x:c>
      <x:c r="AI343" s="23" t="n">
        <x:f>MAX(0,MIN('Activities'!L343,186)-MAX('Activities'!K343,180))</x:f>
        <x:v>0</x:v>
      </x:c>
      <x:c r="AJ343" s="23" t="n">
        <x:f>MAX(0,MIN('Activities'!L343,192)-MAX('Activities'!K343,186))</x:f>
        <x:v>0</x:v>
      </x:c>
      <x:c r="AK343" s="23" t="n">
        <x:f>MAX(0,MIN('Activities'!L343,198)-MAX('Activities'!K343,192))</x:f>
        <x:v>0</x:v>
      </x:c>
      <x:c r="AL343" s="23" t="n">
        <x:f>MAX(0,MIN('Activities'!L343,204)-MAX('Activities'!K343,198))</x:f>
        <x:v>0</x:v>
      </x:c>
      <x:c r="AM343" s="23" t="n">
        <x:f>MAX(0,MIN('Activities'!L343,210)-MAX('Activities'!K343,204))</x:f>
        <x:v>0</x:v>
      </x:c>
      <x:c r="AN343" s="23" t="n">
        <x:f>MAX(0,MIN('Activities'!L343,216)-MAX('Activities'!K343,210))</x:f>
        <x:v>0</x:v>
      </x:c>
      <x:c r="AO343" s="23" t="n">
        <x:f>MAX(0,MIN('Activities'!L343,222)-MAX('Activities'!K343,216))</x:f>
        <x:v>0</x:v>
      </x:c>
      <x:c r="AP343" s="23" t="n">
        <x:f>MAX(0,MIN('Activities'!L343,228)-MAX('Activities'!K343,222))</x:f>
        <x:v>0</x:v>
      </x:c>
      <x:c r="AQ343" s="23" t="n">
        <x:f>MAX(0,MIN('Activities'!L343,234)-MAX('Activities'!K343,228))</x:f>
        <x:v>0</x:v>
      </x:c>
      <x:c r="AR343" s="23" t="n">
        <x:f>MAX(0,MIN('Activities'!L343,240)-MAX('Activities'!K343,234))</x:f>
        <x:v>0</x:v>
      </x:c>
      <x:c r="AS343" s="23" t="n">
        <x:f>MAX(0,MIN('Activities'!L343,246)-MAX('Activities'!K343,240))</x:f>
        <x:v>0</x:v>
      </x:c>
      <x:c r="AT343" s="23" t="n">
        <x:f>MAX(0,MIN('Activities'!L343,252)-MAX('Activities'!K343,246))</x:f>
        <x:v>0</x:v>
      </x:c>
      <x:c r="AU343" s="23" t="n">
        <x:f>MAX(0,MIN('Activities'!L343,258)-MAX('Activities'!K343,252))</x:f>
        <x:v>5</x:v>
      </x:c>
      <x:c r="AV343" s="23" t="n">
        <x:f>MAX(0,MIN('Activities'!L343,264)-MAX('Activities'!K343,258))</x:f>
        <x:v>0</x:v>
      </x:c>
      <x:c r="AW343" s="23" t="n">
        <x:f>MAX(0,MIN('Activities'!L343,270)-MAX('Activities'!K343,264))</x:f>
        <x:v>0</x:v>
      </x:c>
      <x:c r="AX343" s="23" t="n">
        <x:f>MAX(0,MIN('Activities'!L343,276)-MAX('Activities'!K343,270))</x:f>
        <x:v>0</x:v>
      </x:c>
      <x:c r="AY343" s="23" t="n">
        <x:f>MAX(0,MIN('Activities'!L343,282)-MAX('Activities'!K343,276))</x:f>
        <x:v>0</x:v>
      </x:c>
      <x:c r="AZ343" s="23" t="n">
        <x:f>MAX(0,MIN('Activities'!L343,288)-MAX('Activities'!K343,282))</x:f>
        <x:v>0</x:v>
      </x:c>
      <x:c r="BA343" s="23" t="n">
        <x:f>MAX(0,MIN('Activities'!L343,294)-MAX('Activities'!K343,288))</x:f>
        <x:v>0</x:v>
      </x:c>
      <x:c r="BB343" s="23" t="n">
        <x:f>MAX(0,MIN('Activities'!L343,300)-MAX('Activities'!K343,294))</x:f>
        <x:v>0</x:v>
      </x:c>
      <x:c r="BC343" s="23" t="n">
        <x:f>MAX(0,MIN('Activities'!L343,306)-MAX('Activities'!K343,300))</x:f>
        <x:v>0</x:v>
      </x:c>
      <x:c r="BD343" s="23" t="n">
        <x:f>MAX(0,MIN('Activities'!L343,312)-MAX('Activities'!K343,306))</x:f>
        <x:v>0</x:v>
      </x:c>
      <x:c r="BE343" s="23" t="n">
        <x:f>MAX(0,MIN('Activities'!L343,318)-MAX('Activities'!K343,312))</x:f>
        <x:v>0</x:v>
      </x:c>
      <x:c r="BF343" s="23" t="n">
        <x:f>MAX(0,MIN('Activities'!L343,324)-MAX('Activities'!K343,318))</x:f>
        <x:v>0</x:v>
      </x:c>
      <x:c r="BG343" s="23" t="n">
        <x:f>MAX(0,MIN('Activities'!L343,330)-MAX('Activities'!K343,324))</x:f>
        <x:v>0</x:v>
      </x:c>
      <x:c r="BH343" s="23" t="n">
        <x:f>MAX(0,MIN('Activities'!L343,336)-MAX('Activities'!K343,330))</x:f>
        <x:v>0</x:v>
      </x:c>
      <x:c r="BI343" s="23" t="n">
        <x:f>MAX(0,MIN('Activities'!L343,342)-MAX('Activities'!K343,336))</x:f>
        <x:v>0</x:v>
      </x:c>
      <x:c r="BJ343" s="23" t="n">
        <x:f>MAX(0,MIN('Activities'!L343,348)-MAX('Activities'!K343,342))</x:f>
        <x:v>0</x:v>
      </x:c>
      <x:c r="BK343" s="23" t="n">
        <x:f>MAX(0,MIN('Activities'!L343,354)-MAX('Activities'!K343,348))</x:f>
        <x:v>0</x:v>
      </x:c>
      <x:c r="BL343" s="23" t="n">
        <x:f>MAX(0,MIN('Activities'!L343,360)-MAX('Activities'!K343,354))</x:f>
        <x:v>0</x:v>
      </x:c>
      <x:c r="BM343" s="23" t="n">
        <x:f>MAX(0,MIN('Activities'!L343,366)-MAX('Activities'!K343,360))</x:f>
        <x:v>0</x:v>
      </x:c>
      <x:c r="BN343" s="23" t="n">
        <x:f>MAX(0,MIN('Activities'!L343,372)-MAX('Activities'!K343,366))</x:f>
        <x:v>0</x:v>
      </x:c>
      <x:c r="BO343" s="23" t="n">
        <x:f>MAX(0,MIN('Activities'!L343,378)-MAX('Activities'!K343,372))</x:f>
        <x:v>0</x:v>
      </x:c>
      <x:c r="BP343" s="23" t="n">
        <x:f>MAX(0,MIN('Activities'!L343,384)-MAX('Activities'!K343,378))</x:f>
        <x:v>0</x:v>
      </x:c>
      <x:c r="BQ343" s="23" t="n">
        <x:f>MAX(0,MIN('Activities'!L343,390)-MAX('Activities'!K343,384))</x:f>
        <x:v>0</x:v>
      </x:c>
      <x:c r="BR343" s="23" t="n">
        <x:f>MAX(0,MIN('Activities'!L343,396)-MAX('Activities'!K343,390))</x:f>
        <x:v>0</x:v>
      </x:c>
      <x:c r="BS343" s="23" t="n">
        <x:f>MAX(0,MIN('Activities'!L343,402)-MAX('Activities'!K343,396))</x:f>
        <x:v>0</x:v>
      </x:c>
      <x:c r="BT343" s="23" t="n">
        <x:f>MAX(0,MIN('Activities'!L343,408)-MAX('Activities'!K343,402))</x:f>
        <x:v>0</x:v>
      </x:c>
      <x:c r="BU343" s="23" t="n">
        <x:f>MAX(0,MIN('Activities'!L343,414)-MAX('Activities'!K343,408))</x:f>
        <x:v>0</x:v>
      </x:c>
      <x:c r="BV343" s="23" t="n">
        <x:f>MAX(0,MIN('Activities'!L343,420)-MAX('Activities'!K343,414))</x:f>
        <x:v>0</x:v>
      </x:c>
      <x:c r="BW343" s="23" t="n">
        <x:f>MAX(0,MIN('Activities'!L343,426)-MAX('Activities'!K343,420))</x:f>
        <x:v>0</x:v>
      </x:c>
      <x:c r="BX343" s="23" t="n">
        <x:f>MAX(0,MIN('Activities'!L343,432)-MAX('Activities'!K343,426))</x:f>
        <x:v>0</x:v>
      </x:c>
      <x:c r="BY343" s="23" t="n">
        <x:f>MAX(0,MIN('Activities'!L343,438)-MAX('Activities'!K343,432))</x:f>
        <x:v>0</x:v>
      </x:c>
      <x:c r="BZ343" s="23" t="n">
        <x:f>MAX(0,MIN('Activities'!L343,444)-MAX('Activities'!K343,438))</x:f>
        <x:v>0</x:v>
      </x:c>
      <x:c r="CA343" s="23" t="n">
        <x:f>MAX(0,MIN('Activities'!L343,450)-MAX('Activities'!K343,444))</x:f>
        <x:v>0</x:v>
      </x:c>
      <x:c r="CB343" s="23" t="n">
        <x:f>MAX(0,MIN('Activities'!L343,456)-MAX('Activities'!K343,450))</x:f>
        <x:v>0</x:v>
      </x:c>
      <x:c r="CC343" s="23" t="n">
        <x:f>MAX(0,MIN('Activities'!L343,462)-MAX('Activities'!K343,456))</x:f>
        <x:v>0</x:v>
      </x:c>
      <x:c r="CD343" s="23" t="n">
        <x:f>MAX(0,MIN('Activities'!L343,468)-MAX('Activities'!K343,462))</x:f>
        <x:v>0</x:v>
      </x:c>
      <x:c r="CE343" s="23" t="n">
        <x:f>MAX(0,MIN('Activities'!L343,474)-MAX('Activities'!K343,468))</x:f>
        <x:v>0</x:v>
      </x:c>
      <x:c r="CF343" s="23" t="n">
        <x:f>MAX(0,MIN('Activities'!L343,480)-MAX('Activities'!K343,474))</x:f>
        <x:v>0</x:v>
      </x:c>
      <x:c r="CG343" s="23" t="n">
        <x:f>MAX(0,MIN('Activities'!L343,486)-MAX('Activities'!K343,480))</x:f>
        <x:v>0</x:v>
      </x:c>
      <x:c r="CH343" s="23" t="n">
        <x:f>MAX(0,MIN('Activities'!L343,492)-MAX('Activities'!K343,486))</x:f>
        <x:v>0</x:v>
      </x:c>
      <x:c r="CI343" s="23" t="n">
        <x:f>MAX(0,MIN('Activities'!L343,498)-MAX('Activities'!K343,492))</x:f>
        <x:v>0</x:v>
      </x:c>
      <x:c r="CJ343" s="23" t="n">
        <x:f>MAX(0,MIN('Activities'!L343,504)-MAX('Activities'!K343,498))</x:f>
        <x:v>0</x:v>
      </x:c>
      <x:c r="CK343" s="23" t="n">
        <x:f>MAX(0,MIN('Activities'!L343,510)-MAX('Activities'!K343,504))</x:f>
        <x:v>0</x:v>
      </x:c>
      <x:c r="CL343" s="23" t="n">
        <x:f>MAX(0,MIN('Activities'!L343,516)-MAX('Activities'!K343,510))</x:f>
        <x:v>0</x:v>
      </x:c>
      <x:c r="CM343" s="23" t="n">
        <x:f>MAX(0,MIN('Activities'!L343,522)-MAX('Activities'!K343,516))</x:f>
        <x:v>0</x:v>
      </x:c>
      <x:c r="CN343" s="23" t="n">
        <x:f>MAX(0,MIN('Activities'!L343,528)-MAX('Activities'!K343,522))</x:f>
        <x:v>0</x:v>
      </x:c>
      <x:c r="CO343" s="23" t="n">
        <x:f>MAX(0,MIN('Activities'!L343,534)-MAX('Activities'!K343,528))</x:f>
        <x:v>0</x:v>
      </x:c>
      <x:c r="CP343" s="23" t="n">
        <x:f>MAX(0,MIN('Activities'!L343,540)-MAX('Activities'!K343,534))</x:f>
        <x:v>0</x:v>
      </x:c>
      <x:c r="CQ343" s="23" t="n">
        <x:f>MAX(0,MIN('Activities'!L343,546)-MAX('Activities'!K343,540))</x:f>
        <x:v>0</x:v>
      </x:c>
      <x:c r="CR343" s="23" t="n">
        <x:f>MAX(0,MIN('Activities'!L343,552)-MAX('Activities'!K343,546))</x:f>
        <x:v>0</x:v>
      </x:c>
      <x:c r="CS343" s="23" t="n">
        <x:f>MAX(0,MIN('Activities'!L343,558)-MAX('Activities'!K343,552))</x:f>
        <x:v>0</x:v>
      </x:c>
      <x:c r="CT343" s="23" t="n">
        <x:f>MAX(0,MIN('Activities'!L343,564)-MAX('Activities'!K343,558))</x:f>
        <x:v>0</x:v>
      </x:c>
      <x:c r="CU343" s="23" t="n">
        <x:f>MAX(0,MIN('Activities'!L343,570)-MAX('Activities'!K343,564))</x:f>
        <x:v>0</x:v>
      </x:c>
      <x:c r="CV343" s="23" t="n">
        <x:f>MAX(0,MIN('Activities'!L343,576)-MAX('Activities'!K343,570))</x:f>
        <x:v>0</x:v>
      </x:c>
      <x:c r="CW343" s="23" t="n">
        <x:f>MAX(0,MIN('Activities'!L343,582)-MAX('Activities'!K343,576))</x:f>
        <x:v>0</x:v>
      </x:c>
      <x:c r="CX343" s="23" t="n">
        <x:f>MAX(0,MIN('Activities'!L343,588)-MAX('Activities'!K343,582))</x:f>
        <x:v>0</x:v>
      </x:c>
      <x:c r="CY343" s="23" t="n">
        <x:f>MAX(0,MIN('Activities'!L343,594)-MAX('Activities'!K343,588))</x:f>
        <x:v>0</x:v>
      </x:c>
      <x:c r="CZ343" s="23" t="n">
        <x:f>MAX(0,MIN('Activities'!L343,600)-MAX('Activities'!K343,594))</x:f>
        <x:v>0</x:v>
      </x:c>
      <x:c r="DA343" s="23" t="n">
        <x:f>MAX(0,MIN('Activities'!L343,606)-MAX('Activities'!K343,600))</x:f>
        <x:v>0</x:v>
      </x:c>
      <x:c r="DB343" s="23" t="n">
        <x:f>MAX(0,MIN('Activities'!L343,612)-MAX('Activities'!K343,606))</x:f>
        <x:v>0</x:v>
      </x:c>
      <x:c r="DC343" s="23" t="n">
        <x:f>MAX(0,MIN('Activities'!L343,618)-MAX('Activities'!K343,612))</x:f>
        <x:v>0</x:v>
      </x:c>
      <x:c r="DD343" s="23" t="n">
        <x:f>MAX(0,MIN('Activities'!L343,624)-MAX('Activities'!K343,618))</x:f>
        <x:v>0</x:v>
      </x:c>
      <x:c r="DE343" s="23" t="n">
        <x:f>MAX(0,MIN('Activities'!L343,630)-MAX('Activities'!K343,624))</x:f>
        <x:v>0</x:v>
      </x:c>
      <x:c r="DF343" s="23" t="n">
        <x:f>MAX(0,MIN('Activities'!L343,636)-MAX('Activities'!K343,630))</x:f>
        <x:v>0</x:v>
      </x:c>
    </x:row>
    <x:row r="344" ht="23" customHeight="1">
      <x:c r="A344" s="6" t="str">
        <x:v>T3-L01-P</x:v>
      </x:c>
      <x:c r="B344" s="6" t="str">
        <x:v>T3</x:v>
      </x:c>
      <x:c r="C344" s="6" t="str">
        <x:v>Internal plaster</x:v>
      </x:c>
      <x:c r="D344" s="6" t="str">
        <x:v>Finishes</x:v>
      </x:c>
      <x:c r="E344" s="22" t="n">
        <x:f>MAX(0,MIN('Activities'!L344,6)-MAX('Activities'!K344,0))</x:f>
        <x:v>0</x:v>
      </x:c>
      <x:c r="F344" s="22" t="n">
        <x:f>MAX(0,MIN('Activities'!L344,12)-MAX('Activities'!K344,6))</x:f>
        <x:v>0</x:v>
      </x:c>
      <x:c r="G344" s="22" t="n">
        <x:f>MAX(0,MIN('Activities'!L344,18)-MAX('Activities'!K344,12))</x:f>
        <x:v>0</x:v>
      </x:c>
      <x:c r="H344" s="22" t="n">
        <x:f>MAX(0,MIN('Activities'!L344,24)-MAX('Activities'!K344,18))</x:f>
        <x:v>0</x:v>
      </x:c>
      <x:c r="I344" s="22" t="n">
        <x:f>MAX(0,MIN('Activities'!L344,30)-MAX('Activities'!K344,24))</x:f>
        <x:v>0</x:v>
      </x:c>
      <x:c r="J344" s="22" t="n">
        <x:f>MAX(0,MIN('Activities'!L344,36)-MAX('Activities'!K344,30))</x:f>
        <x:v>0</x:v>
      </x:c>
      <x:c r="K344" s="22" t="n">
        <x:f>MAX(0,MIN('Activities'!L344,42)-MAX('Activities'!K344,36))</x:f>
        <x:v>0</x:v>
      </x:c>
      <x:c r="L344" s="22" t="n">
        <x:f>MAX(0,MIN('Activities'!L344,48)-MAX('Activities'!K344,42))</x:f>
        <x:v>0</x:v>
      </x:c>
      <x:c r="M344" s="22" t="n">
        <x:f>MAX(0,MIN('Activities'!L344,54)-MAX('Activities'!K344,48))</x:f>
        <x:v>0</x:v>
      </x:c>
      <x:c r="N344" s="22" t="n">
        <x:f>MAX(0,MIN('Activities'!L344,60)-MAX('Activities'!K344,54))</x:f>
        <x:v>0</x:v>
      </x:c>
      <x:c r="O344" s="22" t="n">
        <x:f>MAX(0,MIN('Activities'!L344,66)-MAX('Activities'!K344,60))</x:f>
        <x:v>0</x:v>
      </x:c>
      <x:c r="P344" s="22" t="n">
        <x:f>MAX(0,MIN('Activities'!L344,72)-MAX('Activities'!K344,66))</x:f>
        <x:v>0</x:v>
      </x:c>
      <x:c r="Q344" s="22" t="n">
        <x:f>MAX(0,MIN('Activities'!L344,78)-MAX('Activities'!K344,72))</x:f>
        <x:v>0</x:v>
      </x:c>
      <x:c r="R344" s="22" t="n">
        <x:f>MAX(0,MIN('Activities'!L344,84)-MAX('Activities'!K344,78))</x:f>
        <x:v>0</x:v>
      </x:c>
      <x:c r="S344" s="22" t="n">
        <x:f>MAX(0,MIN('Activities'!L344,90)-MAX('Activities'!K344,84))</x:f>
        <x:v>0</x:v>
      </x:c>
      <x:c r="T344" s="22" t="n">
        <x:f>MAX(0,MIN('Activities'!L344,96)-MAX('Activities'!K344,90))</x:f>
        <x:v>0</x:v>
      </x:c>
      <x:c r="U344" s="22" t="n">
        <x:f>MAX(0,MIN('Activities'!L344,102)-MAX('Activities'!K344,96))</x:f>
        <x:v>0</x:v>
      </x:c>
      <x:c r="V344" s="22" t="n">
        <x:f>MAX(0,MIN('Activities'!L344,108)-MAX('Activities'!K344,102))</x:f>
        <x:v>0</x:v>
      </x:c>
      <x:c r="W344" s="22" t="n">
        <x:f>MAX(0,MIN('Activities'!L344,114)-MAX('Activities'!K344,108))</x:f>
        <x:v>0</x:v>
      </x:c>
      <x:c r="X344" s="22" t="n">
        <x:f>MAX(0,MIN('Activities'!L344,120)-MAX('Activities'!K344,114))</x:f>
        <x:v>0</x:v>
      </x:c>
      <x:c r="Y344" s="22" t="n">
        <x:f>MAX(0,MIN('Activities'!L344,126)-MAX('Activities'!K344,120))</x:f>
        <x:v>0</x:v>
      </x:c>
      <x:c r="Z344" s="22" t="n">
        <x:f>MAX(0,MIN('Activities'!L344,132)-MAX('Activities'!K344,126))</x:f>
        <x:v>0</x:v>
      </x:c>
      <x:c r="AA344" s="22" t="n">
        <x:f>MAX(0,MIN('Activities'!L344,138)-MAX('Activities'!K344,132))</x:f>
        <x:v>0</x:v>
      </x:c>
      <x:c r="AB344" s="22" t="n">
        <x:f>MAX(0,MIN('Activities'!L344,144)-MAX('Activities'!K344,138))</x:f>
        <x:v>0</x:v>
      </x:c>
      <x:c r="AC344" s="22" t="n">
        <x:f>MAX(0,MIN('Activities'!L344,150)-MAX('Activities'!K344,144))</x:f>
        <x:v>0</x:v>
      </x:c>
      <x:c r="AD344" s="22" t="n">
        <x:f>MAX(0,MIN('Activities'!L344,156)-MAX('Activities'!K344,150))</x:f>
        <x:v>0</x:v>
      </x:c>
      <x:c r="AE344" s="22" t="n">
        <x:f>MAX(0,MIN('Activities'!L344,162)-MAX('Activities'!K344,156))</x:f>
        <x:v>0</x:v>
      </x:c>
      <x:c r="AF344" s="22" t="n">
        <x:f>MAX(0,MIN('Activities'!L344,168)-MAX('Activities'!K344,162))</x:f>
        <x:v>0</x:v>
      </x:c>
      <x:c r="AG344" s="22" t="n">
        <x:f>MAX(0,MIN('Activities'!L344,174)-MAX('Activities'!K344,168))</x:f>
        <x:v>0</x:v>
      </x:c>
      <x:c r="AH344" s="22" t="n">
        <x:f>MAX(0,MIN('Activities'!L344,180)-MAX('Activities'!K344,174))</x:f>
        <x:v>0</x:v>
      </x:c>
      <x:c r="AI344" s="22" t="n">
        <x:f>MAX(0,MIN('Activities'!L344,186)-MAX('Activities'!K344,180))</x:f>
        <x:v>0</x:v>
      </x:c>
      <x:c r="AJ344" s="22" t="n">
        <x:f>MAX(0,MIN('Activities'!L344,192)-MAX('Activities'!K344,186))</x:f>
        <x:v>0</x:v>
      </x:c>
      <x:c r="AK344" s="22" t="n">
        <x:f>MAX(0,MIN('Activities'!L344,198)-MAX('Activities'!K344,192))</x:f>
        <x:v>0</x:v>
      </x:c>
      <x:c r="AL344" s="22" t="n">
        <x:f>MAX(0,MIN('Activities'!L344,204)-MAX('Activities'!K344,198))</x:f>
        <x:v>0</x:v>
      </x:c>
      <x:c r="AM344" s="22" t="n">
        <x:f>MAX(0,MIN('Activities'!L344,210)-MAX('Activities'!K344,204))</x:f>
        <x:v>0</x:v>
      </x:c>
      <x:c r="AN344" s="22" t="n">
        <x:f>MAX(0,MIN('Activities'!L344,216)-MAX('Activities'!K344,210))</x:f>
        <x:v>0</x:v>
      </x:c>
      <x:c r="AO344" s="22" t="n">
        <x:f>MAX(0,MIN('Activities'!L344,222)-MAX('Activities'!K344,216))</x:f>
        <x:v>0</x:v>
      </x:c>
      <x:c r="AP344" s="22" t="n">
        <x:f>MAX(0,MIN('Activities'!L344,228)-MAX('Activities'!K344,222))</x:f>
        <x:v>0</x:v>
      </x:c>
      <x:c r="AQ344" s="22" t="n">
        <x:f>MAX(0,MIN('Activities'!L344,234)-MAX('Activities'!K344,228))</x:f>
        <x:v>0</x:v>
      </x:c>
      <x:c r="AR344" s="22" t="n">
        <x:f>MAX(0,MIN('Activities'!L344,240)-MAX('Activities'!K344,234))</x:f>
        <x:v>0</x:v>
      </x:c>
      <x:c r="AS344" s="22" t="n">
        <x:f>MAX(0,MIN('Activities'!L344,246)-MAX('Activities'!K344,240))</x:f>
        <x:v>0</x:v>
      </x:c>
      <x:c r="AT344" s="22" t="n">
        <x:f>MAX(0,MIN('Activities'!L344,252)-MAX('Activities'!K344,246))</x:f>
        <x:v>0</x:v>
      </x:c>
      <x:c r="AU344" s="22" t="n">
        <x:f>MAX(0,MIN('Activities'!L344,258)-MAX('Activities'!K344,252))</x:f>
        <x:v>0</x:v>
      </x:c>
      <x:c r="AV344" s="22" t="n">
        <x:f>MAX(0,MIN('Activities'!L344,264)-MAX('Activities'!K344,258))</x:f>
        <x:v>3</x:v>
      </x:c>
      <x:c r="AW344" s="22" t="n">
        <x:f>MAX(0,MIN('Activities'!L344,270)-MAX('Activities'!K344,264))</x:f>
        <x:v>3</x:v>
      </x:c>
      <x:c r="AX344" s="22" t="n">
        <x:f>MAX(0,MIN('Activities'!L344,276)-MAX('Activities'!K344,270))</x:f>
        <x:v>0</x:v>
      </x:c>
      <x:c r="AY344" s="22" t="n">
        <x:f>MAX(0,MIN('Activities'!L344,282)-MAX('Activities'!K344,276))</x:f>
        <x:v>0</x:v>
      </x:c>
      <x:c r="AZ344" s="22" t="n">
        <x:f>MAX(0,MIN('Activities'!L344,288)-MAX('Activities'!K344,282))</x:f>
        <x:v>0</x:v>
      </x:c>
      <x:c r="BA344" s="22" t="n">
        <x:f>MAX(0,MIN('Activities'!L344,294)-MAX('Activities'!K344,288))</x:f>
        <x:v>0</x:v>
      </x:c>
      <x:c r="BB344" s="22" t="n">
        <x:f>MAX(0,MIN('Activities'!L344,300)-MAX('Activities'!K344,294))</x:f>
        <x:v>0</x:v>
      </x:c>
      <x:c r="BC344" s="22" t="n">
        <x:f>MAX(0,MIN('Activities'!L344,306)-MAX('Activities'!K344,300))</x:f>
        <x:v>0</x:v>
      </x:c>
      <x:c r="BD344" s="22" t="n">
        <x:f>MAX(0,MIN('Activities'!L344,312)-MAX('Activities'!K344,306))</x:f>
        <x:v>0</x:v>
      </x:c>
      <x:c r="BE344" s="22" t="n">
        <x:f>MAX(0,MIN('Activities'!L344,318)-MAX('Activities'!K344,312))</x:f>
        <x:v>0</x:v>
      </x:c>
      <x:c r="BF344" s="22" t="n">
        <x:f>MAX(0,MIN('Activities'!L344,324)-MAX('Activities'!K344,318))</x:f>
        <x:v>0</x:v>
      </x:c>
      <x:c r="BG344" s="22" t="n">
        <x:f>MAX(0,MIN('Activities'!L344,330)-MAX('Activities'!K344,324))</x:f>
        <x:v>0</x:v>
      </x:c>
      <x:c r="BH344" s="22" t="n">
        <x:f>MAX(0,MIN('Activities'!L344,336)-MAX('Activities'!K344,330))</x:f>
        <x:v>0</x:v>
      </x:c>
      <x:c r="BI344" s="22" t="n">
        <x:f>MAX(0,MIN('Activities'!L344,342)-MAX('Activities'!K344,336))</x:f>
        <x:v>0</x:v>
      </x:c>
      <x:c r="BJ344" s="22" t="n">
        <x:f>MAX(0,MIN('Activities'!L344,348)-MAX('Activities'!K344,342))</x:f>
        <x:v>0</x:v>
      </x:c>
      <x:c r="BK344" s="22" t="n">
        <x:f>MAX(0,MIN('Activities'!L344,354)-MAX('Activities'!K344,348))</x:f>
        <x:v>0</x:v>
      </x:c>
      <x:c r="BL344" s="22" t="n">
        <x:f>MAX(0,MIN('Activities'!L344,360)-MAX('Activities'!K344,354))</x:f>
        <x:v>0</x:v>
      </x:c>
      <x:c r="BM344" s="22" t="n">
        <x:f>MAX(0,MIN('Activities'!L344,366)-MAX('Activities'!K344,360))</x:f>
        <x:v>0</x:v>
      </x:c>
      <x:c r="BN344" s="22" t="n">
        <x:f>MAX(0,MIN('Activities'!L344,372)-MAX('Activities'!K344,366))</x:f>
        <x:v>0</x:v>
      </x:c>
      <x:c r="BO344" s="22" t="n">
        <x:f>MAX(0,MIN('Activities'!L344,378)-MAX('Activities'!K344,372))</x:f>
        <x:v>0</x:v>
      </x:c>
      <x:c r="BP344" s="22" t="n">
        <x:f>MAX(0,MIN('Activities'!L344,384)-MAX('Activities'!K344,378))</x:f>
        <x:v>0</x:v>
      </x:c>
      <x:c r="BQ344" s="22" t="n">
        <x:f>MAX(0,MIN('Activities'!L344,390)-MAX('Activities'!K344,384))</x:f>
        <x:v>0</x:v>
      </x:c>
      <x:c r="BR344" s="22" t="n">
        <x:f>MAX(0,MIN('Activities'!L344,396)-MAX('Activities'!K344,390))</x:f>
        <x:v>0</x:v>
      </x:c>
      <x:c r="BS344" s="22" t="n">
        <x:f>MAX(0,MIN('Activities'!L344,402)-MAX('Activities'!K344,396))</x:f>
        <x:v>0</x:v>
      </x:c>
      <x:c r="BT344" s="22" t="n">
        <x:f>MAX(0,MIN('Activities'!L344,408)-MAX('Activities'!K344,402))</x:f>
        <x:v>0</x:v>
      </x:c>
      <x:c r="BU344" s="22" t="n">
        <x:f>MAX(0,MIN('Activities'!L344,414)-MAX('Activities'!K344,408))</x:f>
        <x:v>0</x:v>
      </x:c>
      <x:c r="BV344" s="22" t="n">
        <x:f>MAX(0,MIN('Activities'!L344,420)-MAX('Activities'!K344,414))</x:f>
        <x:v>0</x:v>
      </x:c>
      <x:c r="BW344" s="22" t="n">
        <x:f>MAX(0,MIN('Activities'!L344,426)-MAX('Activities'!K344,420))</x:f>
        <x:v>0</x:v>
      </x:c>
      <x:c r="BX344" s="22" t="n">
        <x:f>MAX(0,MIN('Activities'!L344,432)-MAX('Activities'!K344,426))</x:f>
        <x:v>0</x:v>
      </x:c>
      <x:c r="BY344" s="22" t="n">
        <x:f>MAX(0,MIN('Activities'!L344,438)-MAX('Activities'!K344,432))</x:f>
        <x:v>0</x:v>
      </x:c>
      <x:c r="BZ344" s="22" t="n">
        <x:f>MAX(0,MIN('Activities'!L344,444)-MAX('Activities'!K344,438))</x:f>
        <x:v>0</x:v>
      </x:c>
      <x:c r="CA344" s="22" t="n">
        <x:f>MAX(0,MIN('Activities'!L344,450)-MAX('Activities'!K344,444))</x:f>
        <x:v>0</x:v>
      </x:c>
      <x:c r="CB344" s="22" t="n">
        <x:f>MAX(0,MIN('Activities'!L344,456)-MAX('Activities'!K344,450))</x:f>
        <x:v>0</x:v>
      </x:c>
      <x:c r="CC344" s="22" t="n">
        <x:f>MAX(0,MIN('Activities'!L344,462)-MAX('Activities'!K344,456))</x:f>
        <x:v>0</x:v>
      </x:c>
      <x:c r="CD344" s="22" t="n">
        <x:f>MAX(0,MIN('Activities'!L344,468)-MAX('Activities'!K344,462))</x:f>
        <x:v>0</x:v>
      </x:c>
      <x:c r="CE344" s="22" t="n">
        <x:f>MAX(0,MIN('Activities'!L344,474)-MAX('Activities'!K344,468))</x:f>
        <x:v>0</x:v>
      </x:c>
      <x:c r="CF344" s="22" t="n">
        <x:f>MAX(0,MIN('Activities'!L344,480)-MAX('Activities'!K344,474))</x:f>
        <x:v>0</x:v>
      </x:c>
      <x:c r="CG344" s="22" t="n">
        <x:f>MAX(0,MIN('Activities'!L344,486)-MAX('Activities'!K344,480))</x:f>
        <x:v>0</x:v>
      </x:c>
      <x:c r="CH344" s="22" t="n">
        <x:f>MAX(0,MIN('Activities'!L344,492)-MAX('Activities'!K344,486))</x:f>
        <x:v>0</x:v>
      </x:c>
      <x:c r="CI344" s="22" t="n">
        <x:f>MAX(0,MIN('Activities'!L344,498)-MAX('Activities'!K344,492))</x:f>
        <x:v>0</x:v>
      </x:c>
      <x:c r="CJ344" s="22" t="n">
        <x:f>MAX(0,MIN('Activities'!L344,504)-MAX('Activities'!K344,498))</x:f>
        <x:v>0</x:v>
      </x:c>
      <x:c r="CK344" s="22" t="n">
        <x:f>MAX(0,MIN('Activities'!L344,510)-MAX('Activities'!K344,504))</x:f>
        <x:v>0</x:v>
      </x:c>
      <x:c r="CL344" s="22" t="n">
        <x:f>MAX(0,MIN('Activities'!L344,516)-MAX('Activities'!K344,510))</x:f>
        <x:v>0</x:v>
      </x:c>
      <x:c r="CM344" s="22" t="n">
        <x:f>MAX(0,MIN('Activities'!L344,522)-MAX('Activities'!K344,516))</x:f>
        <x:v>0</x:v>
      </x:c>
      <x:c r="CN344" s="22" t="n">
        <x:f>MAX(0,MIN('Activities'!L344,528)-MAX('Activities'!K344,522))</x:f>
        <x:v>0</x:v>
      </x:c>
      <x:c r="CO344" s="22" t="n">
        <x:f>MAX(0,MIN('Activities'!L344,534)-MAX('Activities'!K344,528))</x:f>
        <x:v>0</x:v>
      </x:c>
      <x:c r="CP344" s="22" t="n">
        <x:f>MAX(0,MIN('Activities'!L344,540)-MAX('Activities'!K344,534))</x:f>
        <x:v>0</x:v>
      </x:c>
      <x:c r="CQ344" s="22" t="n">
        <x:f>MAX(0,MIN('Activities'!L344,546)-MAX('Activities'!K344,540))</x:f>
        <x:v>0</x:v>
      </x:c>
      <x:c r="CR344" s="22" t="n">
        <x:f>MAX(0,MIN('Activities'!L344,552)-MAX('Activities'!K344,546))</x:f>
        <x:v>0</x:v>
      </x:c>
      <x:c r="CS344" s="22" t="n">
        <x:f>MAX(0,MIN('Activities'!L344,558)-MAX('Activities'!K344,552))</x:f>
        <x:v>0</x:v>
      </x:c>
      <x:c r="CT344" s="22" t="n">
        <x:f>MAX(0,MIN('Activities'!L344,564)-MAX('Activities'!K344,558))</x:f>
        <x:v>0</x:v>
      </x:c>
      <x:c r="CU344" s="22" t="n">
        <x:f>MAX(0,MIN('Activities'!L344,570)-MAX('Activities'!K344,564))</x:f>
        <x:v>0</x:v>
      </x:c>
      <x:c r="CV344" s="22" t="n">
        <x:f>MAX(0,MIN('Activities'!L344,576)-MAX('Activities'!K344,570))</x:f>
        <x:v>0</x:v>
      </x:c>
      <x:c r="CW344" s="22" t="n">
        <x:f>MAX(0,MIN('Activities'!L344,582)-MAX('Activities'!K344,576))</x:f>
        <x:v>0</x:v>
      </x:c>
      <x:c r="CX344" s="22" t="n">
        <x:f>MAX(0,MIN('Activities'!L344,588)-MAX('Activities'!K344,582))</x:f>
        <x:v>0</x:v>
      </x:c>
      <x:c r="CY344" s="22" t="n">
        <x:f>MAX(0,MIN('Activities'!L344,594)-MAX('Activities'!K344,588))</x:f>
        <x:v>0</x:v>
      </x:c>
      <x:c r="CZ344" s="22" t="n">
        <x:f>MAX(0,MIN('Activities'!L344,600)-MAX('Activities'!K344,594))</x:f>
        <x:v>0</x:v>
      </x:c>
      <x:c r="DA344" s="22" t="n">
        <x:f>MAX(0,MIN('Activities'!L344,606)-MAX('Activities'!K344,600))</x:f>
        <x:v>0</x:v>
      </x:c>
      <x:c r="DB344" s="22" t="n">
        <x:f>MAX(0,MIN('Activities'!L344,612)-MAX('Activities'!K344,606))</x:f>
        <x:v>0</x:v>
      </x:c>
      <x:c r="DC344" s="22" t="n">
        <x:f>MAX(0,MIN('Activities'!L344,618)-MAX('Activities'!K344,612))</x:f>
        <x:v>0</x:v>
      </x:c>
      <x:c r="DD344" s="22" t="n">
        <x:f>MAX(0,MIN('Activities'!L344,624)-MAX('Activities'!K344,618))</x:f>
        <x:v>0</x:v>
      </x:c>
      <x:c r="DE344" s="22" t="n">
        <x:f>MAX(0,MIN('Activities'!L344,630)-MAX('Activities'!K344,624))</x:f>
        <x:v>0</x:v>
      </x:c>
      <x:c r="DF344" s="22" t="n">
        <x:f>MAX(0,MIN('Activities'!L344,636)-MAX('Activities'!K344,630))</x:f>
        <x:v>0</x:v>
      </x:c>
    </x:row>
    <x:row r="345" ht="23" customHeight="1">
      <x:c r="A345" s="1" t="str">
        <x:v>T3-L01-S</x:v>
      </x:c>
      <x:c r="B345" s="1" t="str">
        <x:v>T3</x:v>
      </x:c>
      <x:c r="C345" s="1" t="str">
        <x:v>Screed and substrate preparation</x:v>
      </x:c>
      <x:c r="D345" s="1" t="str">
        <x:v>Finishes</x:v>
      </x:c>
      <x:c r="E345" s="23" t="n">
        <x:f>MAX(0,MIN('Activities'!L345,6)-MAX('Activities'!K345,0))</x:f>
        <x:v>0</x:v>
      </x:c>
      <x:c r="F345" s="23" t="n">
        <x:f>MAX(0,MIN('Activities'!L345,12)-MAX('Activities'!K345,6))</x:f>
        <x:v>0</x:v>
      </x:c>
      <x:c r="G345" s="23" t="n">
        <x:f>MAX(0,MIN('Activities'!L345,18)-MAX('Activities'!K345,12))</x:f>
        <x:v>0</x:v>
      </x:c>
      <x:c r="H345" s="23" t="n">
        <x:f>MAX(0,MIN('Activities'!L345,24)-MAX('Activities'!K345,18))</x:f>
        <x:v>0</x:v>
      </x:c>
      <x:c r="I345" s="23" t="n">
        <x:f>MAX(0,MIN('Activities'!L345,30)-MAX('Activities'!K345,24))</x:f>
        <x:v>0</x:v>
      </x:c>
      <x:c r="J345" s="23" t="n">
        <x:f>MAX(0,MIN('Activities'!L345,36)-MAX('Activities'!K345,30))</x:f>
        <x:v>0</x:v>
      </x:c>
      <x:c r="K345" s="23" t="n">
        <x:f>MAX(0,MIN('Activities'!L345,42)-MAX('Activities'!K345,36))</x:f>
        <x:v>0</x:v>
      </x:c>
      <x:c r="L345" s="23" t="n">
        <x:f>MAX(0,MIN('Activities'!L345,48)-MAX('Activities'!K345,42))</x:f>
        <x:v>0</x:v>
      </x:c>
      <x:c r="M345" s="23" t="n">
        <x:f>MAX(0,MIN('Activities'!L345,54)-MAX('Activities'!K345,48))</x:f>
        <x:v>0</x:v>
      </x:c>
      <x:c r="N345" s="23" t="n">
        <x:f>MAX(0,MIN('Activities'!L345,60)-MAX('Activities'!K345,54))</x:f>
        <x:v>0</x:v>
      </x:c>
      <x:c r="O345" s="23" t="n">
        <x:f>MAX(0,MIN('Activities'!L345,66)-MAX('Activities'!K345,60))</x:f>
        <x:v>0</x:v>
      </x:c>
      <x:c r="P345" s="23" t="n">
        <x:f>MAX(0,MIN('Activities'!L345,72)-MAX('Activities'!K345,66))</x:f>
        <x:v>0</x:v>
      </x:c>
      <x:c r="Q345" s="23" t="n">
        <x:f>MAX(0,MIN('Activities'!L345,78)-MAX('Activities'!K345,72))</x:f>
        <x:v>0</x:v>
      </x:c>
      <x:c r="R345" s="23" t="n">
        <x:f>MAX(0,MIN('Activities'!L345,84)-MAX('Activities'!K345,78))</x:f>
        <x:v>0</x:v>
      </x:c>
      <x:c r="S345" s="23" t="n">
        <x:f>MAX(0,MIN('Activities'!L345,90)-MAX('Activities'!K345,84))</x:f>
        <x:v>0</x:v>
      </x:c>
      <x:c r="T345" s="23" t="n">
        <x:f>MAX(0,MIN('Activities'!L345,96)-MAX('Activities'!K345,90))</x:f>
        <x:v>0</x:v>
      </x:c>
      <x:c r="U345" s="23" t="n">
        <x:f>MAX(0,MIN('Activities'!L345,102)-MAX('Activities'!K345,96))</x:f>
        <x:v>0</x:v>
      </x:c>
      <x:c r="V345" s="23" t="n">
        <x:f>MAX(0,MIN('Activities'!L345,108)-MAX('Activities'!K345,102))</x:f>
        <x:v>0</x:v>
      </x:c>
      <x:c r="W345" s="23" t="n">
        <x:f>MAX(0,MIN('Activities'!L345,114)-MAX('Activities'!K345,108))</x:f>
        <x:v>0</x:v>
      </x:c>
      <x:c r="X345" s="23" t="n">
        <x:f>MAX(0,MIN('Activities'!L345,120)-MAX('Activities'!K345,114))</x:f>
        <x:v>0</x:v>
      </x:c>
      <x:c r="Y345" s="23" t="n">
        <x:f>MAX(0,MIN('Activities'!L345,126)-MAX('Activities'!K345,120))</x:f>
        <x:v>0</x:v>
      </x:c>
      <x:c r="Z345" s="23" t="n">
        <x:f>MAX(0,MIN('Activities'!L345,132)-MAX('Activities'!K345,126))</x:f>
        <x:v>0</x:v>
      </x:c>
      <x:c r="AA345" s="23" t="n">
        <x:f>MAX(0,MIN('Activities'!L345,138)-MAX('Activities'!K345,132))</x:f>
        <x:v>0</x:v>
      </x:c>
      <x:c r="AB345" s="23" t="n">
        <x:f>MAX(0,MIN('Activities'!L345,144)-MAX('Activities'!K345,138))</x:f>
        <x:v>0</x:v>
      </x:c>
      <x:c r="AC345" s="23" t="n">
        <x:f>MAX(0,MIN('Activities'!L345,150)-MAX('Activities'!K345,144))</x:f>
        <x:v>0</x:v>
      </x:c>
      <x:c r="AD345" s="23" t="n">
        <x:f>MAX(0,MIN('Activities'!L345,156)-MAX('Activities'!K345,150))</x:f>
        <x:v>0</x:v>
      </x:c>
      <x:c r="AE345" s="23" t="n">
        <x:f>MAX(0,MIN('Activities'!L345,162)-MAX('Activities'!K345,156))</x:f>
        <x:v>0</x:v>
      </x:c>
      <x:c r="AF345" s="23" t="n">
        <x:f>MAX(0,MIN('Activities'!L345,168)-MAX('Activities'!K345,162))</x:f>
        <x:v>0</x:v>
      </x:c>
      <x:c r="AG345" s="23" t="n">
        <x:f>MAX(0,MIN('Activities'!L345,174)-MAX('Activities'!K345,168))</x:f>
        <x:v>0</x:v>
      </x:c>
      <x:c r="AH345" s="23" t="n">
        <x:f>MAX(0,MIN('Activities'!L345,180)-MAX('Activities'!K345,174))</x:f>
        <x:v>0</x:v>
      </x:c>
      <x:c r="AI345" s="23" t="n">
        <x:f>MAX(0,MIN('Activities'!L345,186)-MAX('Activities'!K345,180))</x:f>
        <x:v>0</x:v>
      </x:c>
      <x:c r="AJ345" s="23" t="n">
        <x:f>MAX(0,MIN('Activities'!L345,192)-MAX('Activities'!K345,186))</x:f>
        <x:v>0</x:v>
      </x:c>
      <x:c r="AK345" s="23" t="n">
        <x:f>MAX(0,MIN('Activities'!L345,198)-MAX('Activities'!K345,192))</x:f>
        <x:v>0</x:v>
      </x:c>
      <x:c r="AL345" s="23" t="n">
        <x:f>MAX(0,MIN('Activities'!L345,204)-MAX('Activities'!K345,198))</x:f>
        <x:v>0</x:v>
      </x:c>
      <x:c r="AM345" s="23" t="n">
        <x:f>MAX(0,MIN('Activities'!L345,210)-MAX('Activities'!K345,204))</x:f>
        <x:v>0</x:v>
      </x:c>
      <x:c r="AN345" s="23" t="n">
        <x:f>MAX(0,MIN('Activities'!L345,216)-MAX('Activities'!K345,210))</x:f>
        <x:v>0</x:v>
      </x:c>
      <x:c r="AO345" s="23" t="n">
        <x:f>MAX(0,MIN('Activities'!L345,222)-MAX('Activities'!K345,216))</x:f>
        <x:v>0</x:v>
      </x:c>
      <x:c r="AP345" s="23" t="n">
        <x:f>MAX(0,MIN('Activities'!L345,228)-MAX('Activities'!K345,222))</x:f>
        <x:v>0</x:v>
      </x:c>
      <x:c r="AQ345" s="23" t="n">
        <x:f>MAX(0,MIN('Activities'!L345,234)-MAX('Activities'!K345,228))</x:f>
        <x:v>0</x:v>
      </x:c>
      <x:c r="AR345" s="23" t="n">
        <x:f>MAX(0,MIN('Activities'!L345,240)-MAX('Activities'!K345,234))</x:f>
        <x:v>0</x:v>
      </x:c>
      <x:c r="AS345" s="23" t="n">
        <x:f>MAX(0,MIN('Activities'!L345,246)-MAX('Activities'!K345,240))</x:f>
        <x:v>0</x:v>
      </x:c>
      <x:c r="AT345" s="23" t="n">
        <x:f>MAX(0,MIN('Activities'!L345,252)-MAX('Activities'!K345,246))</x:f>
        <x:v>0</x:v>
      </x:c>
      <x:c r="AU345" s="23" t="n">
        <x:f>MAX(0,MIN('Activities'!L345,258)-MAX('Activities'!K345,252))</x:f>
        <x:v>0</x:v>
      </x:c>
      <x:c r="AV345" s="23" t="n">
        <x:f>MAX(0,MIN('Activities'!L345,264)-MAX('Activities'!K345,258))</x:f>
        <x:v>0</x:v>
      </x:c>
      <x:c r="AW345" s="23" t="n">
        <x:f>MAX(0,MIN('Activities'!L345,270)-MAX('Activities'!K345,264))</x:f>
        <x:v>1</x:v>
      </x:c>
      <x:c r="AX345" s="23" t="n">
        <x:f>MAX(0,MIN('Activities'!L345,276)-MAX('Activities'!K345,270))</x:f>
        <x:v>2</x:v>
      </x:c>
      <x:c r="AY345" s="23" t="n">
        <x:f>MAX(0,MIN('Activities'!L345,282)-MAX('Activities'!K345,276))</x:f>
        <x:v>0</x:v>
      </x:c>
      <x:c r="AZ345" s="23" t="n">
        <x:f>MAX(0,MIN('Activities'!L345,288)-MAX('Activities'!K345,282))</x:f>
        <x:v>0</x:v>
      </x:c>
      <x:c r="BA345" s="23" t="n">
        <x:f>MAX(0,MIN('Activities'!L345,294)-MAX('Activities'!K345,288))</x:f>
        <x:v>0</x:v>
      </x:c>
      <x:c r="BB345" s="23" t="n">
        <x:f>MAX(0,MIN('Activities'!L345,300)-MAX('Activities'!K345,294))</x:f>
        <x:v>0</x:v>
      </x:c>
      <x:c r="BC345" s="23" t="n">
        <x:f>MAX(0,MIN('Activities'!L345,306)-MAX('Activities'!K345,300))</x:f>
        <x:v>0</x:v>
      </x:c>
      <x:c r="BD345" s="23" t="n">
        <x:f>MAX(0,MIN('Activities'!L345,312)-MAX('Activities'!K345,306))</x:f>
        <x:v>0</x:v>
      </x:c>
      <x:c r="BE345" s="23" t="n">
        <x:f>MAX(0,MIN('Activities'!L345,318)-MAX('Activities'!K345,312))</x:f>
        <x:v>0</x:v>
      </x:c>
      <x:c r="BF345" s="23" t="n">
        <x:f>MAX(0,MIN('Activities'!L345,324)-MAX('Activities'!K345,318))</x:f>
        <x:v>0</x:v>
      </x:c>
      <x:c r="BG345" s="23" t="n">
        <x:f>MAX(0,MIN('Activities'!L345,330)-MAX('Activities'!K345,324))</x:f>
        <x:v>0</x:v>
      </x:c>
      <x:c r="BH345" s="23" t="n">
        <x:f>MAX(0,MIN('Activities'!L345,336)-MAX('Activities'!K345,330))</x:f>
        <x:v>0</x:v>
      </x:c>
      <x:c r="BI345" s="23" t="n">
        <x:f>MAX(0,MIN('Activities'!L345,342)-MAX('Activities'!K345,336))</x:f>
        <x:v>0</x:v>
      </x:c>
      <x:c r="BJ345" s="23" t="n">
        <x:f>MAX(0,MIN('Activities'!L345,348)-MAX('Activities'!K345,342))</x:f>
        <x:v>0</x:v>
      </x:c>
      <x:c r="BK345" s="23" t="n">
        <x:f>MAX(0,MIN('Activities'!L345,354)-MAX('Activities'!K345,348))</x:f>
        <x:v>0</x:v>
      </x:c>
      <x:c r="BL345" s="23" t="n">
        <x:f>MAX(0,MIN('Activities'!L345,360)-MAX('Activities'!K345,354))</x:f>
        <x:v>0</x:v>
      </x:c>
      <x:c r="BM345" s="23" t="n">
        <x:f>MAX(0,MIN('Activities'!L345,366)-MAX('Activities'!K345,360))</x:f>
        <x:v>0</x:v>
      </x:c>
      <x:c r="BN345" s="23" t="n">
        <x:f>MAX(0,MIN('Activities'!L345,372)-MAX('Activities'!K345,366))</x:f>
        <x:v>0</x:v>
      </x:c>
      <x:c r="BO345" s="23" t="n">
        <x:f>MAX(0,MIN('Activities'!L345,378)-MAX('Activities'!K345,372))</x:f>
        <x:v>0</x:v>
      </x:c>
      <x:c r="BP345" s="23" t="n">
        <x:f>MAX(0,MIN('Activities'!L345,384)-MAX('Activities'!K345,378))</x:f>
        <x:v>0</x:v>
      </x:c>
      <x:c r="BQ345" s="23" t="n">
        <x:f>MAX(0,MIN('Activities'!L345,390)-MAX('Activities'!K345,384))</x:f>
        <x:v>0</x:v>
      </x:c>
      <x:c r="BR345" s="23" t="n">
        <x:f>MAX(0,MIN('Activities'!L345,396)-MAX('Activities'!K345,390))</x:f>
        <x:v>0</x:v>
      </x:c>
      <x:c r="BS345" s="23" t="n">
        <x:f>MAX(0,MIN('Activities'!L345,402)-MAX('Activities'!K345,396))</x:f>
        <x:v>0</x:v>
      </x:c>
      <x:c r="BT345" s="23" t="n">
        <x:f>MAX(0,MIN('Activities'!L345,408)-MAX('Activities'!K345,402))</x:f>
        <x:v>0</x:v>
      </x:c>
      <x:c r="BU345" s="23" t="n">
        <x:f>MAX(0,MIN('Activities'!L345,414)-MAX('Activities'!K345,408))</x:f>
        <x:v>0</x:v>
      </x:c>
      <x:c r="BV345" s="23" t="n">
        <x:f>MAX(0,MIN('Activities'!L345,420)-MAX('Activities'!K345,414))</x:f>
        <x:v>0</x:v>
      </x:c>
      <x:c r="BW345" s="23" t="n">
        <x:f>MAX(0,MIN('Activities'!L345,426)-MAX('Activities'!K345,420))</x:f>
        <x:v>0</x:v>
      </x:c>
      <x:c r="BX345" s="23" t="n">
        <x:f>MAX(0,MIN('Activities'!L345,432)-MAX('Activities'!K345,426))</x:f>
        <x:v>0</x:v>
      </x:c>
      <x:c r="BY345" s="23" t="n">
        <x:f>MAX(0,MIN('Activities'!L345,438)-MAX('Activities'!K345,432))</x:f>
        <x:v>0</x:v>
      </x:c>
      <x:c r="BZ345" s="23" t="n">
        <x:f>MAX(0,MIN('Activities'!L345,444)-MAX('Activities'!K345,438))</x:f>
        <x:v>0</x:v>
      </x:c>
      <x:c r="CA345" s="23" t="n">
        <x:f>MAX(0,MIN('Activities'!L345,450)-MAX('Activities'!K345,444))</x:f>
        <x:v>0</x:v>
      </x:c>
      <x:c r="CB345" s="23" t="n">
        <x:f>MAX(0,MIN('Activities'!L345,456)-MAX('Activities'!K345,450))</x:f>
        <x:v>0</x:v>
      </x:c>
      <x:c r="CC345" s="23" t="n">
        <x:f>MAX(0,MIN('Activities'!L345,462)-MAX('Activities'!K345,456))</x:f>
        <x:v>0</x:v>
      </x:c>
      <x:c r="CD345" s="23" t="n">
        <x:f>MAX(0,MIN('Activities'!L345,468)-MAX('Activities'!K345,462))</x:f>
        <x:v>0</x:v>
      </x:c>
      <x:c r="CE345" s="23" t="n">
        <x:f>MAX(0,MIN('Activities'!L345,474)-MAX('Activities'!K345,468))</x:f>
        <x:v>0</x:v>
      </x:c>
      <x:c r="CF345" s="23" t="n">
        <x:f>MAX(0,MIN('Activities'!L345,480)-MAX('Activities'!K345,474))</x:f>
        <x:v>0</x:v>
      </x:c>
      <x:c r="CG345" s="23" t="n">
        <x:f>MAX(0,MIN('Activities'!L345,486)-MAX('Activities'!K345,480))</x:f>
        <x:v>0</x:v>
      </x:c>
      <x:c r="CH345" s="23" t="n">
        <x:f>MAX(0,MIN('Activities'!L345,492)-MAX('Activities'!K345,486))</x:f>
        <x:v>0</x:v>
      </x:c>
      <x:c r="CI345" s="23" t="n">
        <x:f>MAX(0,MIN('Activities'!L345,498)-MAX('Activities'!K345,492))</x:f>
        <x:v>0</x:v>
      </x:c>
      <x:c r="CJ345" s="23" t="n">
        <x:f>MAX(0,MIN('Activities'!L345,504)-MAX('Activities'!K345,498))</x:f>
        <x:v>0</x:v>
      </x:c>
      <x:c r="CK345" s="23" t="n">
        <x:f>MAX(0,MIN('Activities'!L345,510)-MAX('Activities'!K345,504))</x:f>
        <x:v>0</x:v>
      </x:c>
      <x:c r="CL345" s="23" t="n">
        <x:f>MAX(0,MIN('Activities'!L345,516)-MAX('Activities'!K345,510))</x:f>
        <x:v>0</x:v>
      </x:c>
      <x:c r="CM345" s="23" t="n">
        <x:f>MAX(0,MIN('Activities'!L345,522)-MAX('Activities'!K345,516))</x:f>
        <x:v>0</x:v>
      </x:c>
      <x:c r="CN345" s="23" t="n">
        <x:f>MAX(0,MIN('Activities'!L345,528)-MAX('Activities'!K345,522))</x:f>
        <x:v>0</x:v>
      </x:c>
      <x:c r="CO345" s="23" t="n">
        <x:f>MAX(0,MIN('Activities'!L345,534)-MAX('Activities'!K345,528))</x:f>
        <x:v>0</x:v>
      </x:c>
      <x:c r="CP345" s="23" t="n">
        <x:f>MAX(0,MIN('Activities'!L345,540)-MAX('Activities'!K345,534))</x:f>
        <x:v>0</x:v>
      </x:c>
      <x:c r="CQ345" s="23" t="n">
        <x:f>MAX(0,MIN('Activities'!L345,546)-MAX('Activities'!K345,540))</x:f>
        <x:v>0</x:v>
      </x:c>
      <x:c r="CR345" s="23" t="n">
        <x:f>MAX(0,MIN('Activities'!L345,552)-MAX('Activities'!K345,546))</x:f>
        <x:v>0</x:v>
      </x:c>
      <x:c r="CS345" s="23" t="n">
        <x:f>MAX(0,MIN('Activities'!L345,558)-MAX('Activities'!K345,552))</x:f>
        <x:v>0</x:v>
      </x:c>
      <x:c r="CT345" s="23" t="n">
        <x:f>MAX(0,MIN('Activities'!L345,564)-MAX('Activities'!K345,558))</x:f>
        <x:v>0</x:v>
      </x:c>
      <x:c r="CU345" s="23" t="n">
        <x:f>MAX(0,MIN('Activities'!L345,570)-MAX('Activities'!K345,564))</x:f>
        <x:v>0</x:v>
      </x:c>
      <x:c r="CV345" s="23" t="n">
        <x:f>MAX(0,MIN('Activities'!L345,576)-MAX('Activities'!K345,570))</x:f>
        <x:v>0</x:v>
      </x:c>
      <x:c r="CW345" s="23" t="n">
        <x:f>MAX(0,MIN('Activities'!L345,582)-MAX('Activities'!K345,576))</x:f>
        <x:v>0</x:v>
      </x:c>
      <x:c r="CX345" s="23" t="n">
        <x:f>MAX(0,MIN('Activities'!L345,588)-MAX('Activities'!K345,582))</x:f>
        <x:v>0</x:v>
      </x:c>
      <x:c r="CY345" s="23" t="n">
        <x:f>MAX(0,MIN('Activities'!L345,594)-MAX('Activities'!K345,588))</x:f>
        <x:v>0</x:v>
      </x:c>
      <x:c r="CZ345" s="23" t="n">
        <x:f>MAX(0,MIN('Activities'!L345,600)-MAX('Activities'!K345,594))</x:f>
        <x:v>0</x:v>
      </x:c>
      <x:c r="DA345" s="23" t="n">
        <x:f>MAX(0,MIN('Activities'!L345,606)-MAX('Activities'!K345,600))</x:f>
        <x:v>0</x:v>
      </x:c>
      <x:c r="DB345" s="23" t="n">
        <x:f>MAX(0,MIN('Activities'!L345,612)-MAX('Activities'!K345,606))</x:f>
        <x:v>0</x:v>
      </x:c>
      <x:c r="DC345" s="23" t="n">
        <x:f>MAX(0,MIN('Activities'!L345,618)-MAX('Activities'!K345,612))</x:f>
        <x:v>0</x:v>
      </x:c>
      <x:c r="DD345" s="23" t="n">
        <x:f>MAX(0,MIN('Activities'!L345,624)-MAX('Activities'!K345,618))</x:f>
        <x:v>0</x:v>
      </x:c>
      <x:c r="DE345" s="23" t="n">
        <x:f>MAX(0,MIN('Activities'!L345,630)-MAX('Activities'!K345,624))</x:f>
        <x:v>0</x:v>
      </x:c>
      <x:c r="DF345" s="23" t="n">
        <x:f>MAX(0,MIN('Activities'!L345,636)-MAX('Activities'!K345,630))</x:f>
        <x:v>0</x:v>
      </x:c>
    </x:row>
    <x:row r="346" ht="23" customHeight="1">
      <x:c r="A346" s="6" t="str">
        <x:v>T3-L01-T</x:v>
      </x:c>
      <x:c r="B346" s="6" t="str">
        <x:v>T3</x:v>
      </x:c>
      <x:c r="C346" s="6" t="str">
        <x:v>Floor finishes and skirtings</x:v>
      </x:c>
      <x:c r="D346" s="6" t="str">
        <x:v>Finishes</x:v>
      </x:c>
      <x:c r="E346" s="22" t="n">
        <x:f>MAX(0,MIN('Activities'!L346,6)-MAX('Activities'!K346,0))</x:f>
        <x:v>0</x:v>
      </x:c>
      <x:c r="F346" s="22" t="n">
        <x:f>MAX(0,MIN('Activities'!L346,12)-MAX('Activities'!K346,6))</x:f>
        <x:v>0</x:v>
      </x:c>
      <x:c r="G346" s="22" t="n">
        <x:f>MAX(0,MIN('Activities'!L346,18)-MAX('Activities'!K346,12))</x:f>
        <x:v>0</x:v>
      </x:c>
      <x:c r="H346" s="22" t="n">
        <x:f>MAX(0,MIN('Activities'!L346,24)-MAX('Activities'!K346,18))</x:f>
        <x:v>0</x:v>
      </x:c>
      <x:c r="I346" s="22" t="n">
        <x:f>MAX(0,MIN('Activities'!L346,30)-MAX('Activities'!K346,24))</x:f>
        <x:v>0</x:v>
      </x:c>
      <x:c r="J346" s="22" t="n">
        <x:f>MAX(0,MIN('Activities'!L346,36)-MAX('Activities'!K346,30))</x:f>
        <x:v>0</x:v>
      </x:c>
      <x:c r="K346" s="22" t="n">
        <x:f>MAX(0,MIN('Activities'!L346,42)-MAX('Activities'!K346,36))</x:f>
        <x:v>0</x:v>
      </x:c>
      <x:c r="L346" s="22" t="n">
        <x:f>MAX(0,MIN('Activities'!L346,48)-MAX('Activities'!K346,42))</x:f>
        <x:v>0</x:v>
      </x:c>
      <x:c r="M346" s="22" t="n">
        <x:f>MAX(0,MIN('Activities'!L346,54)-MAX('Activities'!K346,48))</x:f>
        <x:v>0</x:v>
      </x:c>
      <x:c r="N346" s="22" t="n">
        <x:f>MAX(0,MIN('Activities'!L346,60)-MAX('Activities'!K346,54))</x:f>
        <x:v>0</x:v>
      </x:c>
      <x:c r="O346" s="22" t="n">
        <x:f>MAX(0,MIN('Activities'!L346,66)-MAX('Activities'!K346,60))</x:f>
        <x:v>0</x:v>
      </x:c>
      <x:c r="P346" s="22" t="n">
        <x:f>MAX(0,MIN('Activities'!L346,72)-MAX('Activities'!K346,66))</x:f>
        <x:v>0</x:v>
      </x:c>
      <x:c r="Q346" s="22" t="n">
        <x:f>MAX(0,MIN('Activities'!L346,78)-MAX('Activities'!K346,72))</x:f>
        <x:v>0</x:v>
      </x:c>
      <x:c r="R346" s="22" t="n">
        <x:f>MAX(0,MIN('Activities'!L346,84)-MAX('Activities'!K346,78))</x:f>
        <x:v>0</x:v>
      </x:c>
      <x:c r="S346" s="22" t="n">
        <x:f>MAX(0,MIN('Activities'!L346,90)-MAX('Activities'!K346,84))</x:f>
        <x:v>0</x:v>
      </x:c>
      <x:c r="T346" s="22" t="n">
        <x:f>MAX(0,MIN('Activities'!L346,96)-MAX('Activities'!K346,90))</x:f>
        <x:v>0</x:v>
      </x:c>
      <x:c r="U346" s="22" t="n">
        <x:f>MAX(0,MIN('Activities'!L346,102)-MAX('Activities'!K346,96))</x:f>
        <x:v>0</x:v>
      </x:c>
      <x:c r="V346" s="22" t="n">
        <x:f>MAX(0,MIN('Activities'!L346,108)-MAX('Activities'!K346,102))</x:f>
        <x:v>0</x:v>
      </x:c>
      <x:c r="W346" s="22" t="n">
        <x:f>MAX(0,MIN('Activities'!L346,114)-MAX('Activities'!K346,108))</x:f>
        <x:v>0</x:v>
      </x:c>
      <x:c r="X346" s="22" t="n">
        <x:f>MAX(0,MIN('Activities'!L346,120)-MAX('Activities'!K346,114))</x:f>
        <x:v>0</x:v>
      </x:c>
      <x:c r="Y346" s="22" t="n">
        <x:f>MAX(0,MIN('Activities'!L346,126)-MAX('Activities'!K346,120))</x:f>
        <x:v>0</x:v>
      </x:c>
      <x:c r="Z346" s="22" t="n">
        <x:f>MAX(0,MIN('Activities'!L346,132)-MAX('Activities'!K346,126))</x:f>
        <x:v>0</x:v>
      </x:c>
      <x:c r="AA346" s="22" t="n">
        <x:f>MAX(0,MIN('Activities'!L346,138)-MAX('Activities'!K346,132))</x:f>
        <x:v>0</x:v>
      </x:c>
      <x:c r="AB346" s="22" t="n">
        <x:f>MAX(0,MIN('Activities'!L346,144)-MAX('Activities'!K346,138))</x:f>
        <x:v>0</x:v>
      </x:c>
      <x:c r="AC346" s="22" t="n">
        <x:f>MAX(0,MIN('Activities'!L346,150)-MAX('Activities'!K346,144))</x:f>
        <x:v>0</x:v>
      </x:c>
      <x:c r="AD346" s="22" t="n">
        <x:f>MAX(0,MIN('Activities'!L346,156)-MAX('Activities'!K346,150))</x:f>
        <x:v>0</x:v>
      </x:c>
      <x:c r="AE346" s="22" t="n">
        <x:f>MAX(0,MIN('Activities'!L346,162)-MAX('Activities'!K346,156))</x:f>
        <x:v>0</x:v>
      </x:c>
      <x:c r="AF346" s="22" t="n">
        <x:f>MAX(0,MIN('Activities'!L346,168)-MAX('Activities'!K346,162))</x:f>
        <x:v>0</x:v>
      </x:c>
      <x:c r="AG346" s="22" t="n">
        <x:f>MAX(0,MIN('Activities'!L346,174)-MAX('Activities'!K346,168))</x:f>
        <x:v>0</x:v>
      </x:c>
      <x:c r="AH346" s="22" t="n">
        <x:f>MAX(0,MIN('Activities'!L346,180)-MAX('Activities'!K346,174))</x:f>
        <x:v>0</x:v>
      </x:c>
      <x:c r="AI346" s="22" t="n">
        <x:f>MAX(0,MIN('Activities'!L346,186)-MAX('Activities'!K346,180))</x:f>
        <x:v>0</x:v>
      </x:c>
      <x:c r="AJ346" s="22" t="n">
        <x:f>MAX(0,MIN('Activities'!L346,192)-MAX('Activities'!K346,186))</x:f>
        <x:v>0</x:v>
      </x:c>
      <x:c r="AK346" s="22" t="n">
        <x:f>MAX(0,MIN('Activities'!L346,198)-MAX('Activities'!K346,192))</x:f>
        <x:v>0</x:v>
      </x:c>
      <x:c r="AL346" s="22" t="n">
        <x:f>MAX(0,MIN('Activities'!L346,204)-MAX('Activities'!K346,198))</x:f>
        <x:v>0</x:v>
      </x:c>
      <x:c r="AM346" s="22" t="n">
        <x:f>MAX(0,MIN('Activities'!L346,210)-MAX('Activities'!K346,204))</x:f>
        <x:v>0</x:v>
      </x:c>
      <x:c r="AN346" s="22" t="n">
        <x:f>MAX(0,MIN('Activities'!L346,216)-MAX('Activities'!K346,210))</x:f>
        <x:v>0</x:v>
      </x:c>
      <x:c r="AO346" s="22" t="n">
        <x:f>MAX(0,MIN('Activities'!L346,222)-MAX('Activities'!K346,216))</x:f>
        <x:v>0</x:v>
      </x:c>
      <x:c r="AP346" s="22" t="n">
        <x:f>MAX(0,MIN('Activities'!L346,228)-MAX('Activities'!K346,222))</x:f>
        <x:v>0</x:v>
      </x:c>
      <x:c r="AQ346" s="22" t="n">
        <x:f>MAX(0,MIN('Activities'!L346,234)-MAX('Activities'!K346,228))</x:f>
        <x:v>0</x:v>
      </x:c>
      <x:c r="AR346" s="22" t="n">
        <x:f>MAX(0,MIN('Activities'!L346,240)-MAX('Activities'!K346,234))</x:f>
        <x:v>0</x:v>
      </x:c>
      <x:c r="AS346" s="22" t="n">
        <x:f>MAX(0,MIN('Activities'!L346,246)-MAX('Activities'!K346,240))</x:f>
        <x:v>0</x:v>
      </x:c>
      <x:c r="AT346" s="22" t="n">
        <x:f>MAX(0,MIN('Activities'!L346,252)-MAX('Activities'!K346,246))</x:f>
        <x:v>0</x:v>
      </x:c>
      <x:c r="AU346" s="22" t="n">
        <x:f>MAX(0,MIN('Activities'!L346,258)-MAX('Activities'!K346,252))</x:f>
        <x:v>0</x:v>
      </x:c>
      <x:c r="AV346" s="22" t="n">
        <x:f>MAX(0,MIN('Activities'!L346,264)-MAX('Activities'!K346,258))</x:f>
        <x:v>0</x:v>
      </x:c>
      <x:c r="AW346" s="22" t="n">
        <x:f>MAX(0,MIN('Activities'!L346,270)-MAX('Activities'!K346,264))</x:f>
        <x:v>0</x:v>
      </x:c>
      <x:c r="AX346" s="22" t="n">
        <x:f>MAX(0,MIN('Activities'!L346,276)-MAX('Activities'!K346,270))</x:f>
        <x:v>0</x:v>
      </x:c>
      <x:c r="AY346" s="22" t="n">
        <x:f>MAX(0,MIN('Activities'!L346,282)-MAX('Activities'!K346,276))</x:f>
        <x:v>0</x:v>
      </x:c>
      <x:c r="AZ346" s="22" t="n">
        <x:f>MAX(0,MIN('Activities'!L346,288)-MAX('Activities'!K346,282))</x:f>
        <x:v>0</x:v>
      </x:c>
      <x:c r="BA346" s="22" t="n">
        <x:f>MAX(0,MIN('Activities'!L346,294)-MAX('Activities'!K346,288))</x:f>
        <x:v>0</x:v>
      </x:c>
      <x:c r="BB346" s="22" t="n">
        <x:f>MAX(0,MIN('Activities'!L346,300)-MAX('Activities'!K346,294))</x:f>
        <x:v>0</x:v>
      </x:c>
      <x:c r="BC346" s="22" t="n">
        <x:f>MAX(0,MIN('Activities'!L346,306)-MAX('Activities'!K346,300))</x:f>
        <x:v>0</x:v>
      </x:c>
      <x:c r="BD346" s="22" t="n">
        <x:f>MAX(0,MIN('Activities'!L346,312)-MAX('Activities'!K346,306))</x:f>
        <x:v>0</x:v>
      </x:c>
      <x:c r="BE346" s="22" t="n">
        <x:f>MAX(0,MIN('Activities'!L346,318)-MAX('Activities'!K346,312))</x:f>
        <x:v>0</x:v>
      </x:c>
      <x:c r="BF346" s="22" t="n">
        <x:f>MAX(0,MIN('Activities'!L346,324)-MAX('Activities'!K346,318))</x:f>
        <x:v>0</x:v>
      </x:c>
      <x:c r="BG346" s="22" t="n">
        <x:f>MAX(0,MIN('Activities'!L346,330)-MAX('Activities'!K346,324))</x:f>
        <x:v>0</x:v>
      </x:c>
      <x:c r="BH346" s="22" t="n">
        <x:f>MAX(0,MIN('Activities'!L346,336)-MAX('Activities'!K346,330))</x:f>
        <x:v>0</x:v>
      </x:c>
      <x:c r="BI346" s="22" t="n">
        <x:f>MAX(0,MIN('Activities'!L346,342)-MAX('Activities'!K346,336))</x:f>
        <x:v>0</x:v>
      </x:c>
      <x:c r="BJ346" s="22" t="n">
        <x:f>MAX(0,MIN('Activities'!L346,348)-MAX('Activities'!K346,342))</x:f>
        <x:v>0</x:v>
      </x:c>
      <x:c r="BK346" s="22" t="n">
        <x:f>MAX(0,MIN('Activities'!L346,354)-MAX('Activities'!K346,348))</x:f>
        <x:v>0</x:v>
      </x:c>
      <x:c r="BL346" s="22" t="n">
        <x:f>MAX(0,MIN('Activities'!L346,360)-MAX('Activities'!K346,354))</x:f>
        <x:v>0</x:v>
      </x:c>
      <x:c r="BM346" s="22" t="n">
        <x:f>MAX(0,MIN('Activities'!L346,366)-MAX('Activities'!K346,360))</x:f>
        <x:v>0</x:v>
      </x:c>
      <x:c r="BN346" s="22" t="n">
        <x:f>MAX(0,MIN('Activities'!L346,372)-MAX('Activities'!K346,366))</x:f>
        <x:v>0</x:v>
      </x:c>
      <x:c r="BO346" s="22" t="n">
        <x:f>MAX(0,MIN('Activities'!L346,378)-MAX('Activities'!K346,372))</x:f>
        <x:v>0</x:v>
      </x:c>
      <x:c r="BP346" s="22" t="n">
        <x:f>MAX(0,MIN('Activities'!L346,384)-MAX('Activities'!K346,378))</x:f>
        <x:v>0</x:v>
      </x:c>
      <x:c r="BQ346" s="22" t="n">
        <x:f>MAX(0,MIN('Activities'!L346,390)-MAX('Activities'!K346,384))</x:f>
        <x:v>0</x:v>
      </x:c>
      <x:c r="BR346" s="22" t="n">
        <x:f>MAX(0,MIN('Activities'!L346,396)-MAX('Activities'!K346,390))</x:f>
        <x:v>0</x:v>
      </x:c>
      <x:c r="BS346" s="22" t="n">
        <x:f>MAX(0,MIN('Activities'!L346,402)-MAX('Activities'!K346,396))</x:f>
        <x:v>0</x:v>
      </x:c>
      <x:c r="BT346" s="22" t="n">
        <x:f>MAX(0,MIN('Activities'!L346,408)-MAX('Activities'!K346,402))</x:f>
        <x:v>0</x:v>
      </x:c>
      <x:c r="BU346" s="22" t="n">
        <x:f>MAX(0,MIN('Activities'!L346,414)-MAX('Activities'!K346,408))</x:f>
        <x:v>0</x:v>
      </x:c>
      <x:c r="BV346" s="22" t="n">
        <x:f>MAX(0,MIN('Activities'!L346,420)-MAX('Activities'!K346,414))</x:f>
        <x:v>0</x:v>
      </x:c>
      <x:c r="BW346" s="22" t="n">
        <x:f>MAX(0,MIN('Activities'!L346,426)-MAX('Activities'!K346,420))</x:f>
        <x:v>1</x:v>
      </x:c>
      <x:c r="BX346" s="22" t="n">
        <x:f>MAX(0,MIN('Activities'!L346,432)-MAX('Activities'!K346,426))</x:f>
        <x:v>5</x:v>
      </x:c>
      <x:c r="BY346" s="22" t="n">
        <x:f>MAX(0,MIN('Activities'!L346,438)-MAX('Activities'!K346,432))</x:f>
        <x:v>0</x:v>
      </x:c>
      <x:c r="BZ346" s="22" t="n">
        <x:f>MAX(0,MIN('Activities'!L346,444)-MAX('Activities'!K346,438))</x:f>
        <x:v>0</x:v>
      </x:c>
      <x:c r="CA346" s="22" t="n">
        <x:f>MAX(0,MIN('Activities'!L346,450)-MAX('Activities'!K346,444))</x:f>
        <x:v>0</x:v>
      </x:c>
      <x:c r="CB346" s="22" t="n">
        <x:f>MAX(0,MIN('Activities'!L346,456)-MAX('Activities'!K346,450))</x:f>
        <x:v>0</x:v>
      </x:c>
      <x:c r="CC346" s="22" t="n">
        <x:f>MAX(0,MIN('Activities'!L346,462)-MAX('Activities'!K346,456))</x:f>
        <x:v>0</x:v>
      </x:c>
      <x:c r="CD346" s="22" t="n">
        <x:f>MAX(0,MIN('Activities'!L346,468)-MAX('Activities'!K346,462))</x:f>
        <x:v>0</x:v>
      </x:c>
      <x:c r="CE346" s="22" t="n">
        <x:f>MAX(0,MIN('Activities'!L346,474)-MAX('Activities'!K346,468))</x:f>
        <x:v>0</x:v>
      </x:c>
      <x:c r="CF346" s="22" t="n">
        <x:f>MAX(0,MIN('Activities'!L346,480)-MAX('Activities'!K346,474))</x:f>
        <x:v>0</x:v>
      </x:c>
      <x:c r="CG346" s="22" t="n">
        <x:f>MAX(0,MIN('Activities'!L346,486)-MAX('Activities'!K346,480))</x:f>
        <x:v>0</x:v>
      </x:c>
      <x:c r="CH346" s="22" t="n">
        <x:f>MAX(0,MIN('Activities'!L346,492)-MAX('Activities'!K346,486))</x:f>
        <x:v>0</x:v>
      </x:c>
      <x:c r="CI346" s="22" t="n">
        <x:f>MAX(0,MIN('Activities'!L346,498)-MAX('Activities'!K346,492))</x:f>
        <x:v>0</x:v>
      </x:c>
      <x:c r="CJ346" s="22" t="n">
        <x:f>MAX(0,MIN('Activities'!L346,504)-MAX('Activities'!K346,498))</x:f>
        <x:v>0</x:v>
      </x:c>
      <x:c r="CK346" s="22" t="n">
        <x:f>MAX(0,MIN('Activities'!L346,510)-MAX('Activities'!K346,504))</x:f>
        <x:v>0</x:v>
      </x:c>
      <x:c r="CL346" s="22" t="n">
        <x:f>MAX(0,MIN('Activities'!L346,516)-MAX('Activities'!K346,510))</x:f>
        <x:v>0</x:v>
      </x:c>
      <x:c r="CM346" s="22" t="n">
        <x:f>MAX(0,MIN('Activities'!L346,522)-MAX('Activities'!K346,516))</x:f>
        <x:v>0</x:v>
      </x:c>
      <x:c r="CN346" s="22" t="n">
        <x:f>MAX(0,MIN('Activities'!L346,528)-MAX('Activities'!K346,522))</x:f>
        <x:v>0</x:v>
      </x:c>
      <x:c r="CO346" s="22" t="n">
        <x:f>MAX(0,MIN('Activities'!L346,534)-MAX('Activities'!K346,528))</x:f>
        <x:v>0</x:v>
      </x:c>
      <x:c r="CP346" s="22" t="n">
        <x:f>MAX(0,MIN('Activities'!L346,540)-MAX('Activities'!K346,534))</x:f>
        <x:v>0</x:v>
      </x:c>
      <x:c r="CQ346" s="22" t="n">
        <x:f>MAX(0,MIN('Activities'!L346,546)-MAX('Activities'!K346,540))</x:f>
        <x:v>0</x:v>
      </x:c>
      <x:c r="CR346" s="22" t="n">
        <x:f>MAX(0,MIN('Activities'!L346,552)-MAX('Activities'!K346,546))</x:f>
        <x:v>0</x:v>
      </x:c>
      <x:c r="CS346" s="22" t="n">
        <x:f>MAX(0,MIN('Activities'!L346,558)-MAX('Activities'!K346,552))</x:f>
        <x:v>0</x:v>
      </x:c>
      <x:c r="CT346" s="22" t="n">
        <x:f>MAX(0,MIN('Activities'!L346,564)-MAX('Activities'!K346,558))</x:f>
        <x:v>0</x:v>
      </x:c>
      <x:c r="CU346" s="22" t="n">
        <x:f>MAX(0,MIN('Activities'!L346,570)-MAX('Activities'!K346,564))</x:f>
        <x:v>0</x:v>
      </x:c>
      <x:c r="CV346" s="22" t="n">
        <x:f>MAX(0,MIN('Activities'!L346,576)-MAX('Activities'!K346,570))</x:f>
        <x:v>0</x:v>
      </x:c>
      <x:c r="CW346" s="22" t="n">
        <x:f>MAX(0,MIN('Activities'!L346,582)-MAX('Activities'!K346,576))</x:f>
        <x:v>0</x:v>
      </x:c>
      <x:c r="CX346" s="22" t="n">
        <x:f>MAX(0,MIN('Activities'!L346,588)-MAX('Activities'!K346,582))</x:f>
        <x:v>0</x:v>
      </x:c>
      <x:c r="CY346" s="22" t="n">
        <x:f>MAX(0,MIN('Activities'!L346,594)-MAX('Activities'!K346,588))</x:f>
        <x:v>0</x:v>
      </x:c>
      <x:c r="CZ346" s="22" t="n">
        <x:f>MAX(0,MIN('Activities'!L346,600)-MAX('Activities'!K346,594))</x:f>
        <x:v>0</x:v>
      </x:c>
      <x:c r="DA346" s="22" t="n">
        <x:f>MAX(0,MIN('Activities'!L346,606)-MAX('Activities'!K346,600))</x:f>
        <x:v>0</x:v>
      </x:c>
      <x:c r="DB346" s="22" t="n">
        <x:f>MAX(0,MIN('Activities'!L346,612)-MAX('Activities'!K346,606))</x:f>
        <x:v>0</x:v>
      </x:c>
      <x:c r="DC346" s="22" t="n">
        <x:f>MAX(0,MIN('Activities'!L346,618)-MAX('Activities'!K346,612))</x:f>
        <x:v>0</x:v>
      </x:c>
      <x:c r="DD346" s="22" t="n">
        <x:f>MAX(0,MIN('Activities'!L346,624)-MAX('Activities'!K346,618))</x:f>
        <x:v>0</x:v>
      </x:c>
      <x:c r="DE346" s="22" t="n">
        <x:f>MAX(0,MIN('Activities'!L346,630)-MAX('Activities'!K346,624))</x:f>
        <x:v>0</x:v>
      </x:c>
      <x:c r="DF346" s="22" t="n">
        <x:f>MAX(0,MIN('Activities'!L346,636)-MAX('Activities'!K346,630))</x:f>
        <x:v>0</x:v>
      </x:c>
    </x:row>
    <x:row r="347" ht="23" customHeight="1">
      <x:c r="A347" s="1" t="str">
        <x:v>T3-L01-A</x:v>
      </x:c>
      <x:c r="B347" s="1" t="str">
        <x:v>T3</x:v>
      </x:c>
      <x:c r="C347" s="1" t="str">
        <x:v>Paint and final decorations</x:v>
      </x:c>
      <x:c r="D347" s="1" t="str">
        <x:v>Finishes</x:v>
      </x:c>
      <x:c r="E347" s="23" t="n">
        <x:f>MAX(0,MIN('Activities'!L347,6)-MAX('Activities'!K347,0))</x:f>
        <x:v>0</x:v>
      </x:c>
      <x:c r="F347" s="23" t="n">
        <x:f>MAX(0,MIN('Activities'!L347,12)-MAX('Activities'!K347,6))</x:f>
        <x:v>0</x:v>
      </x:c>
      <x:c r="G347" s="23" t="n">
        <x:f>MAX(0,MIN('Activities'!L347,18)-MAX('Activities'!K347,12))</x:f>
        <x:v>0</x:v>
      </x:c>
      <x:c r="H347" s="23" t="n">
        <x:f>MAX(0,MIN('Activities'!L347,24)-MAX('Activities'!K347,18))</x:f>
        <x:v>0</x:v>
      </x:c>
      <x:c r="I347" s="23" t="n">
        <x:f>MAX(0,MIN('Activities'!L347,30)-MAX('Activities'!K347,24))</x:f>
        <x:v>0</x:v>
      </x:c>
      <x:c r="J347" s="23" t="n">
        <x:f>MAX(0,MIN('Activities'!L347,36)-MAX('Activities'!K347,30))</x:f>
        <x:v>0</x:v>
      </x:c>
      <x:c r="K347" s="23" t="n">
        <x:f>MAX(0,MIN('Activities'!L347,42)-MAX('Activities'!K347,36))</x:f>
        <x:v>0</x:v>
      </x:c>
      <x:c r="L347" s="23" t="n">
        <x:f>MAX(0,MIN('Activities'!L347,48)-MAX('Activities'!K347,42))</x:f>
        <x:v>0</x:v>
      </x:c>
      <x:c r="M347" s="23" t="n">
        <x:f>MAX(0,MIN('Activities'!L347,54)-MAX('Activities'!K347,48))</x:f>
        <x:v>0</x:v>
      </x:c>
      <x:c r="N347" s="23" t="n">
        <x:f>MAX(0,MIN('Activities'!L347,60)-MAX('Activities'!K347,54))</x:f>
        <x:v>0</x:v>
      </x:c>
      <x:c r="O347" s="23" t="n">
        <x:f>MAX(0,MIN('Activities'!L347,66)-MAX('Activities'!K347,60))</x:f>
        <x:v>0</x:v>
      </x:c>
      <x:c r="P347" s="23" t="n">
        <x:f>MAX(0,MIN('Activities'!L347,72)-MAX('Activities'!K347,66))</x:f>
        <x:v>0</x:v>
      </x:c>
      <x:c r="Q347" s="23" t="n">
        <x:f>MAX(0,MIN('Activities'!L347,78)-MAX('Activities'!K347,72))</x:f>
        <x:v>0</x:v>
      </x:c>
      <x:c r="R347" s="23" t="n">
        <x:f>MAX(0,MIN('Activities'!L347,84)-MAX('Activities'!K347,78))</x:f>
        <x:v>0</x:v>
      </x:c>
      <x:c r="S347" s="23" t="n">
        <x:f>MAX(0,MIN('Activities'!L347,90)-MAX('Activities'!K347,84))</x:f>
        <x:v>0</x:v>
      </x:c>
      <x:c r="T347" s="23" t="n">
        <x:f>MAX(0,MIN('Activities'!L347,96)-MAX('Activities'!K347,90))</x:f>
        <x:v>0</x:v>
      </x:c>
      <x:c r="U347" s="23" t="n">
        <x:f>MAX(0,MIN('Activities'!L347,102)-MAX('Activities'!K347,96))</x:f>
        <x:v>0</x:v>
      </x:c>
      <x:c r="V347" s="23" t="n">
        <x:f>MAX(0,MIN('Activities'!L347,108)-MAX('Activities'!K347,102))</x:f>
        <x:v>0</x:v>
      </x:c>
      <x:c r="W347" s="23" t="n">
        <x:f>MAX(0,MIN('Activities'!L347,114)-MAX('Activities'!K347,108))</x:f>
        <x:v>0</x:v>
      </x:c>
      <x:c r="X347" s="23" t="n">
        <x:f>MAX(0,MIN('Activities'!L347,120)-MAX('Activities'!K347,114))</x:f>
        <x:v>0</x:v>
      </x:c>
      <x:c r="Y347" s="23" t="n">
        <x:f>MAX(0,MIN('Activities'!L347,126)-MAX('Activities'!K347,120))</x:f>
        <x:v>0</x:v>
      </x:c>
      <x:c r="Z347" s="23" t="n">
        <x:f>MAX(0,MIN('Activities'!L347,132)-MAX('Activities'!K347,126))</x:f>
        <x:v>0</x:v>
      </x:c>
      <x:c r="AA347" s="23" t="n">
        <x:f>MAX(0,MIN('Activities'!L347,138)-MAX('Activities'!K347,132))</x:f>
        <x:v>0</x:v>
      </x:c>
      <x:c r="AB347" s="23" t="n">
        <x:f>MAX(0,MIN('Activities'!L347,144)-MAX('Activities'!K347,138))</x:f>
        <x:v>0</x:v>
      </x:c>
      <x:c r="AC347" s="23" t="n">
        <x:f>MAX(0,MIN('Activities'!L347,150)-MAX('Activities'!K347,144))</x:f>
        <x:v>0</x:v>
      </x:c>
      <x:c r="AD347" s="23" t="n">
        <x:f>MAX(0,MIN('Activities'!L347,156)-MAX('Activities'!K347,150))</x:f>
        <x:v>0</x:v>
      </x:c>
      <x:c r="AE347" s="23" t="n">
        <x:f>MAX(0,MIN('Activities'!L347,162)-MAX('Activities'!K347,156))</x:f>
        <x:v>0</x:v>
      </x:c>
      <x:c r="AF347" s="23" t="n">
        <x:f>MAX(0,MIN('Activities'!L347,168)-MAX('Activities'!K347,162))</x:f>
        <x:v>0</x:v>
      </x:c>
      <x:c r="AG347" s="23" t="n">
        <x:f>MAX(0,MIN('Activities'!L347,174)-MAX('Activities'!K347,168))</x:f>
        <x:v>0</x:v>
      </x:c>
      <x:c r="AH347" s="23" t="n">
        <x:f>MAX(0,MIN('Activities'!L347,180)-MAX('Activities'!K347,174))</x:f>
        <x:v>0</x:v>
      </x:c>
      <x:c r="AI347" s="23" t="n">
        <x:f>MAX(0,MIN('Activities'!L347,186)-MAX('Activities'!K347,180))</x:f>
        <x:v>0</x:v>
      </x:c>
      <x:c r="AJ347" s="23" t="n">
        <x:f>MAX(0,MIN('Activities'!L347,192)-MAX('Activities'!K347,186))</x:f>
        <x:v>0</x:v>
      </x:c>
      <x:c r="AK347" s="23" t="n">
        <x:f>MAX(0,MIN('Activities'!L347,198)-MAX('Activities'!K347,192))</x:f>
        <x:v>0</x:v>
      </x:c>
      <x:c r="AL347" s="23" t="n">
        <x:f>MAX(0,MIN('Activities'!L347,204)-MAX('Activities'!K347,198))</x:f>
        <x:v>0</x:v>
      </x:c>
      <x:c r="AM347" s="23" t="n">
        <x:f>MAX(0,MIN('Activities'!L347,210)-MAX('Activities'!K347,204))</x:f>
        <x:v>0</x:v>
      </x:c>
      <x:c r="AN347" s="23" t="n">
        <x:f>MAX(0,MIN('Activities'!L347,216)-MAX('Activities'!K347,210))</x:f>
        <x:v>0</x:v>
      </x:c>
      <x:c r="AO347" s="23" t="n">
        <x:f>MAX(0,MIN('Activities'!L347,222)-MAX('Activities'!K347,216))</x:f>
        <x:v>0</x:v>
      </x:c>
      <x:c r="AP347" s="23" t="n">
        <x:f>MAX(0,MIN('Activities'!L347,228)-MAX('Activities'!K347,222))</x:f>
        <x:v>0</x:v>
      </x:c>
      <x:c r="AQ347" s="23" t="n">
        <x:f>MAX(0,MIN('Activities'!L347,234)-MAX('Activities'!K347,228))</x:f>
        <x:v>0</x:v>
      </x:c>
      <x:c r="AR347" s="23" t="n">
        <x:f>MAX(0,MIN('Activities'!L347,240)-MAX('Activities'!K347,234))</x:f>
        <x:v>0</x:v>
      </x:c>
      <x:c r="AS347" s="23" t="n">
        <x:f>MAX(0,MIN('Activities'!L347,246)-MAX('Activities'!K347,240))</x:f>
        <x:v>0</x:v>
      </x:c>
      <x:c r="AT347" s="23" t="n">
        <x:f>MAX(0,MIN('Activities'!L347,252)-MAX('Activities'!K347,246))</x:f>
        <x:v>0</x:v>
      </x:c>
      <x:c r="AU347" s="23" t="n">
        <x:f>MAX(0,MIN('Activities'!L347,258)-MAX('Activities'!K347,252))</x:f>
        <x:v>0</x:v>
      </x:c>
      <x:c r="AV347" s="23" t="n">
        <x:f>MAX(0,MIN('Activities'!L347,264)-MAX('Activities'!K347,258))</x:f>
        <x:v>0</x:v>
      </x:c>
      <x:c r="AW347" s="23" t="n">
        <x:f>MAX(0,MIN('Activities'!L347,270)-MAX('Activities'!K347,264))</x:f>
        <x:v>0</x:v>
      </x:c>
      <x:c r="AX347" s="23" t="n">
        <x:f>MAX(0,MIN('Activities'!L347,276)-MAX('Activities'!K347,270))</x:f>
        <x:v>0</x:v>
      </x:c>
      <x:c r="AY347" s="23" t="n">
        <x:f>MAX(0,MIN('Activities'!L347,282)-MAX('Activities'!K347,276))</x:f>
        <x:v>0</x:v>
      </x:c>
      <x:c r="AZ347" s="23" t="n">
        <x:f>MAX(0,MIN('Activities'!L347,288)-MAX('Activities'!K347,282))</x:f>
        <x:v>0</x:v>
      </x:c>
      <x:c r="BA347" s="23" t="n">
        <x:f>MAX(0,MIN('Activities'!L347,294)-MAX('Activities'!K347,288))</x:f>
        <x:v>0</x:v>
      </x:c>
      <x:c r="BB347" s="23" t="n">
        <x:f>MAX(0,MIN('Activities'!L347,300)-MAX('Activities'!K347,294))</x:f>
        <x:v>0</x:v>
      </x:c>
      <x:c r="BC347" s="23" t="n">
        <x:f>MAX(0,MIN('Activities'!L347,306)-MAX('Activities'!K347,300))</x:f>
        <x:v>0</x:v>
      </x:c>
      <x:c r="BD347" s="23" t="n">
        <x:f>MAX(0,MIN('Activities'!L347,312)-MAX('Activities'!K347,306))</x:f>
        <x:v>0</x:v>
      </x:c>
      <x:c r="BE347" s="23" t="n">
        <x:f>MAX(0,MIN('Activities'!L347,318)-MAX('Activities'!K347,312))</x:f>
        <x:v>0</x:v>
      </x:c>
      <x:c r="BF347" s="23" t="n">
        <x:f>MAX(0,MIN('Activities'!L347,324)-MAX('Activities'!K347,318))</x:f>
        <x:v>0</x:v>
      </x:c>
      <x:c r="BG347" s="23" t="n">
        <x:f>MAX(0,MIN('Activities'!L347,330)-MAX('Activities'!K347,324))</x:f>
        <x:v>0</x:v>
      </x:c>
      <x:c r="BH347" s="23" t="n">
        <x:f>MAX(0,MIN('Activities'!L347,336)-MAX('Activities'!K347,330))</x:f>
        <x:v>0</x:v>
      </x:c>
      <x:c r="BI347" s="23" t="n">
        <x:f>MAX(0,MIN('Activities'!L347,342)-MAX('Activities'!K347,336))</x:f>
        <x:v>0</x:v>
      </x:c>
      <x:c r="BJ347" s="23" t="n">
        <x:f>MAX(0,MIN('Activities'!L347,348)-MAX('Activities'!K347,342))</x:f>
        <x:v>0</x:v>
      </x:c>
      <x:c r="BK347" s="23" t="n">
        <x:f>MAX(0,MIN('Activities'!L347,354)-MAX('Activities'!K347,348))</x:f>
        <x:v>0</x:v>
      </x:c>
      <x:c r="BL347" s="23" t="n">
        <x:f>MAX(0,MIN('Activities'!L347,360)-MAX('Activities'!K347,354))</x:f>
        <x:v>0</x:v>
      </x:c>
      <x:c r="BM347" s="23" t="n">
        <x:f>MAX(0,MIN('Activities'!L347,366)-MAX('Activities'!K347,360))</x:f>
        <x:v>0</x:v>
      </x:c>
      <x:c r="BN347" s="23" t="n">
        <x:f>MAX(0,MIN('Activities'!L347,372)-MAX('Activities'!K347,366))</x:f>
        <x:v>0</x:v>
      </x:c>
      <x:c r="BO347" s="23" t="n">
        <x:f>MAX(0,MIN('Activities'!L347,378)-MAX('Activities'!K347,372))</x:f>
        <x:v>0</x:v>
      </x:c>
      <x:c r="BP347" s="23" t="n">
        <x:f>MAX(0,MIN('Activities'!L347,384)-MAX('Activities'!K347,378))</x:f>
        <x:v>0</x:v>
      </x:c>
      <x:c r="BQ347" s="23" t="n">
        <x:f>MAX(0,MIN('Activities'!L347,390)-MAX('Activities'!K347,384))</x:f>
        <x:v>0</x:v>
      </x:c>
      <x:c r="BR347" s="23" t="n">
        <x:f>MAX(0,MIN('Activities'!L347,396)-MAX('Activities'!K347,390))</x:f>
        <x:v>0</x:v>
      </x:c>
      <x:c r="BS347" s="23" t="n">
        <x:f>MAX(0,MIN('Activities'!L347,402)-MAX('Activities'!K347,396))</x:f>
        <x:v>0</x:v>
      </x:c>
      <x:c r="BT347" s="23" t="n">
        <x:f>MAX(0,MIN('Activities'!L347,408)-MAX('Activities'!K347,402))</x:f>
        <x:v>0</x:v>
      </x:c>
      <x:c r="BU347" s="23" t="n">
        <x:f>MAX(0,MIN('Activities'!L347,414)-MAX('Activities'!K347,408))</x:f>
        <x:v>0</x:v>
      </x:c>
      <x:c r="BV347" s="23" t="n">
        <x:f>MAX(0,MIN('Activities'!L347,420)-MAX('Activities'!K347,414))</x:f>
        <x:v>0</x:v>
      </x:c>
      <x:c r="BW347" s="23" t="n">
        <x:f>MAX(0,MIN('Activities'!L347,426)-MAX('Activities'!K347,420))</x:f>
        <x:v>0</x:v>
      </x:c>
      <x:c r="BX347" s="23" t="n">
        <x:f>MAX(0,MIN('Activities'!L347,432)-MAX('Activities'!K347,426))</x:f>
        <x:v>0</x:v>
      </x:c>
      <x:c r="BY347" s="23" t="n">
        <x:f>MAX(0,MIN('Activities'!L347,438)-MAX('Activities'!K347,432))</x:f>
        <x:v>5</x:v>
      </x:c>
      <x:c r="BZ347" s="23" t="n">
        <x:f>MAX(0,MIN('Activities'!L347,444)-MAX('Activities'!K347,438))</x:f>
        <x:v>0</x:v>
      </x:c>
      <x:c r="CA347" s="23" t="n">
        <x:f>MAX(0,MIN('Activities'!L347,450)-MAX('Activities'!K347,444))</x:f>
        <x:v>0</x:v>
      </x:c>
      <x:c r="CB347" s="23" t="n">
        <x:f>MAX(0,MIN('Activities'!L347,456)-MAX('Activities'!K347,450))</x:f>
        <x:v>0</x:v>
      </x:c>
      <x:c r="CC347" s="23" t="n">
        <x:f>MAX(0,MIN('Activities'!L347,462)-MAX('Activities'!K347,456))</x:f>
        <x:v>0</x:v>
      </x:c>
      <x:c r="CD347" s="23" t="n">
        <x:f>MAX(0,MIN('Activities'!L347,468)-MAX('Activities'!K347,462))</x:f>
        <x:v>0</x:v>
      </x:c>
      <x:c r="CE347" s="23" t="n">
        <x:f>MAX(0,MIN('Activities'!L347,474)-MAX('Activities'!K347,468))</x:f>
        <x:v>0</x:v>
      </x:c>
      <x:c r="CF347" s="23" t="n">
        <x:f>MAX(0,MIN('Activities'!L347,480)-MAX('Activities'!K347,474))</x:f>
        <x:v>0</x:v>
      </x:c>
      <x:c r="CG347" s="23" t="n">
        <x:f>MAX(0,MIN('Activities'!L347,486)-MAX('Activities'!K347,480))</x:f>
        <x:v>0</x:v>
      </x:c>
      <x:c r="CH347" s="23" t="n">
        <x:f>MAX(0,MIN('Activities'!L347,492)-MAX('Activities'!K347,486))</x:f>
        <x:v>0</x:v>
      </x:c>
      <x:c r="CI347" s="23" t="n">
        <x:f>MAX(0,MIN('Activities'!L347,498)-MAX('Activities'!K347,492))</x:f>
        <x:v>0</x:v>
      </x:c>
      <x:c r="CJ347" s="23" t="n">
        <x:f>MAX(0,MIN('Activities'!L347,504)-MAX('Activities'!K347,498))</x:f>
        <x:v>0</x:v>
      </x:c>
      <x:c r="CK347" s="23" t="n">
        <x:f>MAX(0,MIN('Activities'!L347,510)-MAX('Activities'!K347,504))</x:f>
        <x:v>0</x:v>
      </x:c>
      <x:c r="CL347" s="23" t="n">
        <x:f>MAX(0,MIN('Activities'!L347,516)-MAX('Activities'!K347,510))</x:f>
        <x:v>0</x:v>
      </x:c>
      <x:c r="CM347" s="23" t="n">
        <x:f>MAX(0,MIN('Activities'!L347,522)-MAX('Activities'!K347,516))</x:f>
        <x:v>0</x:v>
      </x:c>
      <x:c r="CN347" s="23" t="n">
        <x:f>MAX(0,MIN('Activities'!L347,528)-MAX('Activities'!K347,522))</x:f>
        <x:v>0</x:v>
      </x:c>
      <x:c r="CO347" s="23" t="n">
        <x:f>MAX(0,MIN('Activities'!L347,534)-MAX('Activities'!K347,528))</x:f>
        <x:v>0</x:v>
      </x:c>
      <x:c r="CP347" s="23" t="n">
        <x:f>MAX(0,MIN('Activities'!L347,540)-MAX('Activities'!K347,534))</x:f>
        <x:v>0</x:v>
      </x:c>
      <x:c r="CQ347" s="23" t="n">
        <x:f>MAX(0,MIN('Activities'!L347,546)-MAX('Activities'!K347,540))</x:f>
        <x:v>0</x:v>
      </x:c>
      <x:c r="CR347" s="23" t="n">
        <x:f>MAX(0,MIN('Activities'!L347,552)-MAX('Activities'!K347,546))</x:f>
        <x:v>0</x:v>
      </x:c>
      <x:c r="CS347" s="23" t="n">
        <x:f>MAX(0,MIN('Activities'!L347,558)-MAX('Activities'!K347,552))</x:f>
        <x:v>0</x:v>
      </x:c>
      <x:c r="CT347" s="23" t="n">
        <x:f>MAX(0,MIN('Activities'!L347,564)-MAX('Activities'!K347,558))</x:f>
        <x:v>0</x:v>
      </x:c>
      <x:c r="CU347" s="23" t="n">
        <x:f>MAX(0,MIN('Activities'!L347,570)-MAX('Activities'!K347,564))</x:f>
        <x:v>0</x:v>
      </x:c>
      <x:c r="CV347" s="23" t="n">
        <x:f>MAX(0,MIN('Activities'!L347,576)-MAX('Activities'!K347,570))</x:f>
        <x:v>0</x:v>
      </x:c>
      <x:c r="CW347" s="23" t="n">
        <x:f>MAX(0,MIN('Activities'!L347,582)-MAX('Activities'!K347,576))</x:f>
        <x:v>0</x:v>
      </x:c>
      <x:c r="CX347" s="23" t="n">
        <x:f>MAX(0,MIN('Activities'!L347,588)-MAX('Activities'!K347,582))</x:f>
        <x:v>0</x:v>
      </x:c>
      <x:c r="CY347" s="23" t="n">
        <x:f>MAX(0,MIN('Activities'!L347,594)-MAX('Activities'!K347,588))</x:f>
        <x:v>0</x:v>
      </x:c>
      <x:c r="CZ347" s="23" t="n">
        <x:f>MAX(0,MIN('Activities'!L347,600)-MAX('Activities'!K347,594))</x:f>
        <x:v>0</x:v>
      </x:c>
      <x:c r="DA347" s="23" t="n">
        <x:f>MAX(0,MIN('Activities'!L347,606)-MAX('Activities'!K347,600))</x:f>
        <x:v>0</x:v>
      </x:c>
      <x:c r="DB347" s="23" t="n">
        <x:f>MAX(0,MIN('Activities'!L347,612)-MAX('Activities'!K347,606))</x:f>
        <x:v>0</x:v>
      </x:c>
      <x:c r="DC347" s="23" t="n">
        <x:f>MAX(0,MIN('Activities'!L347,618)-MAX('Activities'!K347,612))</x:f>
        <x:v>0</x:v>
      </x:c>
      <x:c r="DD347" s="23" t="n">
        <x:f>MAX(0,MIN('Activities'!L347,624)-MAX('Activities'!K347,618))</x:f>
        <x:v>0</x:v>
      </x:c>
      <x:c r="DE347" s="23" t="n">
        <x:f>MAX(0,MIN('Activities'!L347,630)-MAX('Activities'!K347,624))</x:f>
        <x:v>0</x:v>
      </x:c>
      <x:c r="DF347" s="23" t="n">
        <x:f>MAX(0,MIN('Activities'!L347,636)-MAX('Activities'!K347,630))</x:f>
        <x:v>0</x:v>
      </x:c>
    </x:row>
    <x:row r="348" ht="23" customHeight="1">
      <x:c r="A348" s="6" t="str">
        <x:v>T3-L01-D</x:v>
      </x:c>
      <x:c r="B348" s="6" t="str">
        <x:v>T3</x:v>
      </x:c>
      <x:c r="C348" s="6" t="str">
        <x:v>Door sets and ironmongery</x:v>
      </x:c>
      <x:c r="D348" s="6" t="str">
        <x:v>Finishes</x:v>
      </x:c>
      <x:c r="E348" s="22" t="n">
        <x:f>MAX(0,MIN('Activities'!L348,6)-MAX('Activities'!K348,0))</x:f>
        <x:v>0</x:v>
      </x:c>
      <x:c r="F348" s="22" t="n">
        <x:f>MAX(0,MIN('Activities'!L348,12)-MAX('Activities'!K348,6))</x:f>
        <x:v>0</x:v>
      </x:c>
      <x:c r="G348" s="22" t="n">
        <x:f>MAX(0,MIN('Activities'!L348,18)-MAX('Activities'!K348,12))</x:f>
        <x:v>0</x:v>
      </x:c>
      <x:c r="H348" s="22" t="n">
        <x:f>MAX(0,MIN('Activities'!L348,24)-MAX('Activities'!K348,18))</x:f>
        <x:v>0</x:v>
      </x:c>
      <x:c r="I348" s="22" t="n">
        <x:f>MAX(0,MIN('Activities'!L348,30)-MAX('Activities'!K348,24))</x:f>
        <x:v>0</x:v>
      </x:c>
      <x:c r="J348" s="22" t="n">
        <x:f>MAX(0,MIN('Activities'!L348,36)-MAX('Activities'!K348,30))</x:f>
        <x:v>0</x:v>
      </x:c>
      <x:c r="K348" s="22" t="n">
        <x:f>MAX(0,MIN('Activities'!L348,42)-MAX('Activities'!K348,36))</x:f>
        <x:v>0</x:v>
      </x:c>
      <x:c r="L348" s="22" t="n">
        <x:f>MAX(0,MIN('Activities'!L348,48)-MAX('Activities'!K348,42))</x:f>
        <x:v>0</x:v>
      </x:c>
      <x:c r="M348" s="22" t="n">
        <x:f>MAX(0,MIN('Activities'!L348,54)-MAX('Activities'!K348,48))</x:f>
        <x:v>0</x:v>
      </x:c>
      <x:c r="N348" s="22" t="n">
        <x:f>MAX(0,MIN('Activities'!L348,60)-MAX('Activities'!K348,54))</x:f>
        <x:v>0</x:v>
      </x:c>
      <x:c r="O348" s="22" t="n">
        <x:f>MAX(0,MIN('Activities'!L348,66)-MAX('Activities'!K348,60))</x:f>
        <x:v>0</x:v>
      </x:c>
      <x:c r="P348" s="22" t="n">
        <x:f>MAX(0,MIN('Activities'!L348,72)-MAX('Activities'!K348,66))</x:f>
        <x:v>0</x:v>
      </x:c>
      <x:c r="Q348" s="22" t="n">
        <x:f>MAX(0,MIN('Activities'!L348,78)-MAX('Activities'!K348,72))</x:f>
        <x:v>0</x:v>
      </x:c>
      <x:c r="R348" s="22" t="n">
        <x:f>MAX(0,MIN('Activities'!L348,84)-MAX('Activities'!K348,78))</x:f>
        <x:v>0</x:v>
      </x:c>
      <x:c r="S348" s="22" t="n">
        <x:f>MAX(0,MIN('Activities'!L348,90)-MAX('Activities'!K348,84))</x:f>
        <x:v>0</x:v>
      </x:c>
      <x:c r="T348" s="22" t="n">
        <x:f>MAX(0,MIN('Activities'!L348,96)-MAX('Activities'!K348,90))</x:f>
        <x:v>0</x:v>
      </x:c>
      <x:c r="U348" s="22" t="n">
        <x:f>MAX(0,MIN('Activities'!L348,102)-MAX('Activities'!K348,96))</x:f>
        <x:v>0</x:v>
      </x:c>
      <x:c r="V348" s="22" t="n">
        <x:f>MAX(0,MIN('Activities'!L348,108)-MAX('Activities'!K348,102))</x:f>
        <x:v>0</x:v>
      </x:c>
      <x:c r="W348" s="22" t="n">
        <x:f>MAX(0,MIN('Activities'!L348,114)-MAX('Activities'!K348,108))</x:f>
        <x:v>0</x:v>
      </x:c>
      <x:c r="X348" s="22" t="n">
        <x:f>MAX(0,MIN('Activities'!L348,120)-MAX('Activities'!K348,114))</x:f>
        <x:v>0</x:v>
      </x:c>
      <x:c r="Y348" s="22" t="n">
        <x:f>MAX(0,MIN('Activities'!L348,126)-MAX('Activities'!K348,120))</x:f>
        <x:v>0</x:v>
      </x:c>
      <x:c r="Z348" s="22" t="n">
        <x:f>MAX(0,MIN('Activities'!L348,132)-MAX('Activities'!K348,126))</x:f>
        <x:v>0</x:v>
      </x:c>
      <x:c r="AA348" s="22" t="n">
        <x:f>MAX(0,MIN('Activities'!L348,138)-MAX('Activities'!K348,132))</x:f>
        <x:v>0</x:v>
      </x:c>
      <x:c r="AB348" s="22" t="n">
        <x:f>MAX(0,MIN('Activities'!L348,144)-MAX('Activities'!K348,138))</x:f>
        <x:v>0</x:v>
      </x:c>
      <x:c r="AC348" s="22" t="n">
        <x:f>MAX(0,MIN('Activities'!L348,150)-MAX('Activities'!K348,144))</x:f>
        <x:v>0</x:v>
      </x:c>
      <x:c r="AD348" s="22" t="n">
        <x:f>MAX(0,MIN('Activities'!L348,156)-MAX('Activities'!K348,150))</x:f>
        <x:v>0</x:v>
      </x:c>
      <x:c r="AE348" s="22" t="n">
        <x:f>MAX(0,MIN('Activities'!L348,162)-MAX('Activities'!K348,156))</x:f>
        <x:v>0</x:v>
      </x:c>
      <x:c r="AF348" s="22" t="n">
        <x:f>MAX(0,MIN('Activities'!L348,168)-MAX('Activities'!K348,162))</x:f>
        <x:v>0</x:v>
      </x:c>
      <x:c r="AG348" s="22" t="n">
        <x:f>MAX(0,MIN('Activities'!L348,174)-MAX('Activities'!K348,168))</x:f>
        <x:v>0</x:v>
      </x:c>
      <x:c r="AH348" s="22" t="n">
        <x:f>MAX(0,MIN('Activities'!L348,180)-MAX('Activities'!K348,174))</x:f>
        <x:v>0</x:v>
      </x:c>
      <x:c r="AI348" s="22" t="n">
        <x:f>MAX(0,MIN('Activities'!L348,186)-MAX('Activities'!K348,180))</x:f>
        <x:v>0</x:v>
      </x:c>
      <x:c r="AJ348" s="22" t="n">
        <x:f>MAX(0,MIN('Activities'!L348,192)-MAX('Activities'!K348,186))</x:f>
        <x:v>0</x:v>
      </x:c>
      <x:c r="AK348" s="22" t="n">
        <x:f>MAX(0,MIN('Activities'!L348,198)-MAX('Activities'!K348,192))</x:f>
        <x:v>0</x:v>
      </x:c>
      <x:c r="AL348" s="22" t="n">
        <x:f>MAX(0,MIN('Activities'!L348,204)-MAX('Activities'!K348,198))</x:f>
        <x:v>0</x:v>
      </x:c>
      <x:c r="AM348" s="22" t="n">
        <x:f>MAX(0,MIN('Activities'!L348,210)-MAX('Activities'!K348,204))</x:f>
        <x:v>0</x:v>
      </x:c>
      <x:c r="AN348" s="22" t="n">
        <x:f>MAX(0,MIN('Activities'!L348,216)-MAX('Activities'!K348,210))</x:f>
        <x:v>0</x:v>
      </x:c>
      <x:c r="AO348" s="22" t="n">
        <x:f>MAX(0,MIN('Activities'!L348,222)-MAX('Activities'!K348,216))</x:f>
        <x:v>0</x:v>
      </x:c>
      <x:c r="AP348" s="22" t="n">
        <x:f>MAX(0,MIN('Activities'!L348,228)-MAX('Activities'!K348,222))</x:f>
        <x:v>0</x:v>
      </x:c>
      <x:c r="AQ348" s="22" t="n">
        <x:f>MAX(0,MIN('Activities'!L348,234)-MAX('Activities'!K348,228))</x:f>
        <x:v>0</x:v>
      </x:c>
      <x:c r="AR348" s="22" t="n">
        <x:f>MAX(0,MIN('Activities'!L348,240)-MAX('Activities'!K348,234))</x:f>
        <x:v>0</x:v>
      </x:c>
      <x:c r="AS348" s="22" t="n">
        <x:f>MAX(0,MIN('Activities'!L348,246)-MAX('Activities'!K348,240))</x:f>
        <x:v>0</x:v>
      </x:c>
      <x:c r="AT348" s="22" t="n">
        <x:f>MAX(0,MIN('Activities'!L348,252)-MAX('Activities'!K348,246))</x:f>
        <x:v>0</x:v>
      </x:c>
      <x:c r="AU348" s="22" t="n">
        <x:f>MAX(0,MIN('Activities'!L348,258)-MAX('Activities'!K348,252))</x:f>
        <x:v>0</x:v>
      </x:c>
      <x:c r="AV348" s="22" t="n">
        <x:f>MAX(0,MIN('Activities'!L348,264)-MAX('Activities'!K348,258))</x:f>
        <x:v>0</x:v>
      </x:c>
      <x:c r="AW348" s="22" t="n">
        <x:f>MAX(0,MIN('Activities'!L348,270)-MAX('Activities'!K348,264))</x:f>
        <x:v>0</x:v>
      </x:c>
      <x:c r="AX348" s="22" t="n">
        <x:f>MAX(0,MIN('Activities'!L348,276)-MAX('Activities'!K348,270))</x:f>
        <x:v>0</x:v>
      </x:c>
      <x:c r="AY348" s="22" t="n">
        <x:f>MAX(0,MIN('Activities'!L348,282)-MAX('Activities'!K348,276))</x:f>
        <x:v>0</x:v>
      </x:c>
      <x:c r="AZ348" s="22" t="n">
        <x:f>MAX(0,MIN('Activities'!L348,288)-MAX('Activities'!K348,282))</x:f>
        <x:v>0</x:v>
      </x:c>
      <x:c r="BA348" s="22" t="n">
        <x:f>MAX(0,MIN('Activities'!L348,294)-MAX('Activities'!K348,288))</x:f>
        <x:v>0</x:v>
      </x:c>
      <x:c r="BB348" s="22" t="n">
        <x:f>MAX(0,MIN('Activities'!L348,300)-MAX('Activities'!K348,294))</x:f>
        <x:v>0</x:v>
      </x:c>
      <x:c r="BC348" s="22" t="n">
        <x:f>MAX(0,MIN('Activities'!L348,306)-MAX('Activities'!K348,300))</x:f>
        <x:v>0</x:v>
      </x:c>
      <x:c r="BD348" s="22" t="n">
        <x:f>MAX(0,MIN('Activities'!L348,312)-MAX('Activities'!K348,306))</x:f>
        <x:v>0</x:v>
      </x:c>
      <x:c r="BE348" s="22" t="n">
        <x:f>MAX(0,MIN('Activities'!L348,318)-MAX('Activities'!K348,312))</x:f>
        <x:v>0</x:v>
      </x:c>
      <x:c r="BF348" s="22" t="n">
        <x:f>MAX(0,MIN('Activities'!L348,324)-MAX('Activities'!K348,318))</x:f>
        <x:v>0</x:v>
      </x:c>
      <x:c r="BG348" s="22" t="n">
        <x:f>MAX(0,MIN('Activities'!L348,330)-MAX('Activities'!K348,324))</x:f>
        <x:v>0</x:v>
      </x:c>
      <x:c r="BH348" s="22" t="n">
        <x:f>MAX(0,MIN('Activities'!L348,336)-MAX('Activities'!K348,330))</x:f>
        <x:v>0</x:v>
      </x:c>
      <x:c r="BI348" s="22" t="n">
        <x:f>MAX(0,MIN('Activities'!L348,342)-MAX('Activities'!K348,336))</x:f>
        <x:v>0</x:v>
      </x:c>
      <x:c r="BJ348" s="22" t="n">
        <x:f>MAX(0,MIN('Activities'!L348,348)-MAX('Activities'!K348,342))</x:f>
        <x:v>0</x:v>
      </x:c>
      <x:c r="BK348" s="22" t="n">
        <x:f>MAX(0,MIN('Activities'!L348,354)-MAX('Activities'!K348,348))</x:f>
        <x:v>0</x:v>
      </x:c>
      <x:c r="BL348" s="22" t="n">
        <x:f>MAX(0,MIN('Activities'!L348,360)-MAX('Activities'!K348,354))</x:f>
        <x:v>0</x:v>
      </x:c>
      <x:c r="BM348" s="22" t="n">
        <x:f>MAX(0,MIN('Activities'!L348,366)-MAX('Activities'!K348,360))</x:f>
        <x:v>0</x:v>
      </x:c>
      <x:c r="BN348" s="22" t="n">
        <x:f>MAX(0,MIN('Activities'!L348,372)-MAX('Activities'!K348,366))</x:f>
        <x:v>0</x:v>
      </x:c>
      <x:c r="BO348" s="22" t="n">
        <x:f>MAX(0,MIN('Activities'!L348,378)-MAX('Activities'!K348,372))</x:f>
        <x:v>0</x:v>
      </x:c>
      <x:c r="BP348" s="22" t="n">
        <x:f>MAX(0,MIN('Activities'!L348,384)-MAX('Activities'!K348,378))</x:f>
        <x:v>0</x:v>
      </x:c>
      <x:c r="BQ348" s="22" t="n">
        <x:f>MAX(0,MIN('Activities'!L348,390)-MAX('Activities'!K348,384))</x:f>
        <x:v>0</x:v>
      </x:c>
      <x:c r="BR348" s="22" t="n">
        <x:f>MAX(0,MIN('Activities'!L348,396)-MAX('Activities'!K348,390))</x:f>
        <x:v>0</x:v>
      </x:c>
      <x:c r="BS348" s="22" t="n">
        <x:f>MAX(0,MIN('Activities'!L348,402)-MAX('Activities'!K348,396))</x:f>
        <x:v>0</x:v>
      </x:c>
      <x:c r="BT348" s="22" t="n">
        <x:f>MAX(0,MIN('Activities'!L348,408)-MAX('Activities'!K348,402))</x:f>
        <x:v>0</x:v>
      </x:c>
      <x:c r="BU348" s="22" t="n">
        <x:f>MAX(0,MIN('Activities'!L348,414)-MAX('Activities'!K348,408))</x:f>
        <x:v>0</x:v>
      </x:c>
      <x:c r="BV348" s="22" t="n">
        <x:f>MAX(0,MIN('Activities'!L348,420)-MAX('Activities'!K348,414))</x:f>
        <x:v>0</x:v>
      </x:c>
      <x:c r="BW348" s="22" t="n">
        <x:f>MAX(0,MIN('Activities'!L348,426)-MAX('Activities'!K348,420))</x:f>
        <x:v>0</x:v>
      </x:c>
      <x:c r="BX348" s="22" t="n">
        <x:f>MAX(0,MIN('Activities'!L348,432)-MAX('Activities'!K348,426))</x:f>
        <x:v>0</x:v>
      </x:c>
      <x:c r="BY348" s="22" t="n">
        <x:f>MAX(0,MIN('Activities'!L348,438)-MAX('Activities'!K348,432))</x:f>
        <x:v>0</x:v>
      </x:c>
      <x:c r="BZ348" s="22" t="n">
        <x:f>MAX(0,MIN('Activities'!L348,444)-MAX('Activities'!K348,438))</x:f>
        <x:v>3</x:v>
      </x:c>
      <x:c r="CA348" s="22" t="n">
        <x:f>MAX(0,MIN('Activities'!L348,450)-MAX('Activities'!K348,444))</x:f>
        <x:v>0</x:v>
      </x:c>
      <x:c r="CB348" s="22" t="n">
        <x:f>MAX(0,MIN('Activities'!L348,456)-MAX('Activities'!K348,450))</x:f>
        <x:v>0</x:v>
      </x:c>
      <x:c r="CC348" s="22" t="n">
        <x:f>MAX(0,MIN('Activities'!L348,462)-MAX('Activities'!K348,456))</x:f>
        <x:v>0</x:v>
      </x:c>
      <x:c r="CD348" s="22" t="n">
        <x:f>MAX(0,MIN('Activities'!L348,468)-MAX('Activities'!K348,462))</x:f>
        <x:v>0</x:v>
      </x:c>
      <x:c r="CE348" s="22" t="n">
        <x:f>MAX(0,MIN('Activities'!L348,474)-MAX('Activities'!K348,468))</x:f>
        <x:v>0</x:v>
      </x:c>
      <x:c r="CF348" s="22" t="n">
        <x:f>MAX(0,MIN('Activities'!L348,480)-MAX('Activities'!K348,474))</x:f>
        <x:v>0</x:v>
      </x:c>
      <x:c r="CG348" s="22" t="n">
        <x:f>MAX(0,MIN('Activities'!L348,486)-MAX('Activities'!K348,480))</x:f>
        <x:v>0</x:v>
      </x:c>
      <x:c r="CH348" s="22" t="n">
        <x:f>MAX(0,MIN('Activities'!L348,492)-MAX('Activities'!K348,486))</x:f>
        <x:v>0</x:v>
      </x:c>
      <x:c r="CI348" s="22" t="n">
        <x:f>MAX(0,MIN('Activities'!L348,498)-MAX('Activities'!K348,492))</x:f>
        <x:v>0</x:v>
      </x:c>
      <x:c r="CJ348" s="22" t="n">
        <x:f>MAX(0,MIN('Activities'!L348,504)-MAX('Activities'!K348,498))</x:f>
        <x:v>0</x:v>
      </x:c>
      <x:c r="CK348" s="22" t="n">
        <x:f>MAX(0,MIN('Activities'!L348,510)-MAX('Activities'!K348,504))</x:f>
        <x:v>0</x:v>
      </x:c>
      <x:c r="CL348" s="22" t="n">
        <x:f>MAX(0,MIN('Activities'!L348,516)-MAX('Activities'!K348,510))</x:f>
        <x:v>0</x:v>
      </x:c>
      <x:c r="CM348" s="22" t="n">
        <x:f>MAX(0,MIN('Activities'!L348,522)-MAX('Activities'!K348,516))</x:f>
        <x:v>0</x:v>
      </x:c>
      <x:c r="CN348" s="22" t="n">
        <x:f>MAX(0,MIN('Activities'!L348,528)-MAX('Activities'!K348,522))</x:f>
        <x:v>0</x:v>
      </x:c>
      <x:c r="CO348" s="22" t="n">
        <x:f>MAX(0,MIN('Activities'!L348,534)-MAX('Activities'!K348,528))</x:f>
        <x:v>0</x:v>
      </x:c>
      <x:c r="CP348" s="22" t="n">
        <x:f>MAX(0,MIN('Activities'!L348,540)-MAX('Activities'!K348,534))</x:f>
        <x:v>0</x:v>
      </x:c>
      <x:c r="CQ348" s="22" t="n">
        <x:f>MAX(0,MIN('Activities'!L348,546)-MAX('Activities'!K348,540))</x:f>
        <x:v>0</x:v>
      </x:c>
      <x:c r="CR348" s="22" t="n">
        <x:f>MAX(0,MIN('Activities'!L348,552)-MAX('Activities'!K348,546))</x:f>
        <x:v>0</x:v>
      </x:c>
      <x:c r="CS348" s="22" t="n">
        <x:f>MAX(0,MIN('Activities'!L348,558)-MAX('Activities'!K348,552))</x:f>
        <x:v>0</x:v>
      </x:c>
      <x:c r="CT348" s="22" t="n">
        <x:f>MAX(0,MIN('Activities'!L348,564)-MAX('Activities'!K348,558))</x:f>
        <x:v>0</x:v>
      </x:c>
      <x:c r="CU348" s="22" t="n">
        <x:f>MAX(0,MIN('Activities'!L348,570)-MAX('Activities'!K348,564))</x:f>
        <x:v>0</x:v>
      </x:c>
      <x:c r="CV348" s="22" t="n">
        <x:f>MAX(0,MIN('Activities'!L348,576)-MAX('Activities'!K348,570))</x:f>
        <x:v>0</x:v>
      </x:c>
      <x:c r="CW348" s="22" t="n">
        <x:f>MAX(0,MIN('Activities'!L348,582)-MAX('Activities'!K348,576))</x:f>
        <x:v>0</x:v>
      </x:c>
      <x:c r="CX348" s="22" t="n">
        <x:f>MAX(0,MIN('Activities'!L348,588)-MAX('Activities'!K348,582))</x:f>
        <x:v>0</x:v>
      </x:c>
      <x:c r="CY348" s="22" t="n">
        <x:f>MAX(0,MIN('Activities'!L348,594)-MAX('Activities'!K348,588))</x:f>
        <x:v>0</x:v>
      </x:c>
      <x:c r="CZ348" s="22" t="n">
        <x:f>MAX(0,MIN('Activities'!L348,600)-MAX('Activities'!K348,594))</x:f>
        <x:v>0</x:v>
      </x:c>
      <x:c r="DA348" s="22" t="n">
        <x:f>MAX(0,MIN('Activities'!L348,606)-MAX('Activities'!K348,600))</x:f>
        <x:v>0</x:v>
      </x:c>
      <x:c r="DB348" s="22" t="n">
        <x:f>MAX(0,MIN('Activities'!L348,612)-MAX('Activities'!K348,606))</x:f>
        <x:v>0</x:v>
      </x:c>
      <x:c r="DC348" s="22" t="n">
        <x:f>MAX(0,MIN('Activities'!L348,618)-MAX('Activities'!K348,612))</x:f>
        <x:v>0</x:v>
      </x:c>
      <x:c r="DD348" s="22" t="n">
        <x:f>MAX(0,MIN('Activities'!L348,624)-MAX('Activities'!K348,618))</x:f>
        <x:v>0</x:v>
      </x:c>
      <x:c r="DE348" s="22" t="n">
        <x:f>MAX(0,MIN('Activities'!L348,630)-MAX('Activities'!K348,624))</x:f>
        <x:v>0</x:v>
      </x:c>
      <x:c r="DF348" s="22" t="n">
        <x:f>MAX(0,MIN('Activities'!L348,636)-MAX('Activities'!K348,630))</x:f>
        <x:v>0</x:v>
      </x:c>
    </x:row>
    <x:row r="349" ht="23" customHeight="1">
      <x:c r="A349" s="1" t="str">
        <x:v>T3-L02-M</x:v>
      </x:c>
      <x:c r="B349" s="1" t="str">
        <x:v>T3</x:v>
      </x:c>
      <x:c r="C349" s="1" t="str">
        <x:v>Partition masonry</x:v>
      </x:c>
      <x:c r="D349" s="1" t="str">
        <x:v>Masonry</x:v>
      </x:c>
      <x:c r="E349" s="23" t="n">
        <x:f>MAX(0,MIN('Activities'!L349,6)-MAX('Activities'!K349,0))</x:f>
        <x:v>0</x:v>
      </x:c>
      <x:c r="F349" s="23" t="n">
        <x:f>MAX(0,MIN('Activities'!L349,12)-MAX('Activities'!K349,6))</x:f>
        <x:v>0</x:v>
      </x:c>
      <x:c r="G349" s="23" t="n">
        <x:f>MAX(0,MIN('Activities'!L349,18)-MAX('Activities'!K349,12))</x:f>
        <x:v>0</x:v>
      </x:c>
      <x:c r="H349" s="23" t="n">
        <x:f>MAX(0,MIN('Activities'!L349,24)-MAX('Activities'!K349,18))</x:f>
        <x:v>0</x:v>
      </x:c>
      <x:c r="I349" s="23" t="n">
        <x:f>MAX(0,MIN('Activities'!L349,30)-MAX('Activities'!K349,24))</x:f>
        <x:v>0</x:v>
      </x:c>
      <x:c r="J349" s="23" t="n">
        <x:f>MAX(0,MIN('Activities'!L349,36)-MAX('Activities'!K349,30))</x:f>
        <x:v>0</x:v>
      </x:c>
      <x:c r="K349" s="23" t="n">
        <x:f>MAX(0,MIN('Activities'!L349,42)-MAX('Activities'!K349,36))</x:f>
        <x:v>0</x:v>
      </x:c>
      <x:c r="L349" s="23" t="n">
        <x:f>MAX(0,MIN('Activities'!L349,48)-MAX('Activities'!K349,42))</x:f>
        <x:v>0</x:v>
      </x:c>
      <x:c r="M349" s="23" t="n">
        <x:f>MAX(0,MIN('Activities'!L349,54)-MAX('Activities'!K349,48))</x:f>
        <x:v>0</x:v>
      </x:c>
      <x:c r="N349" s="23" t="n">
        <x:f>MAX(0,MIN('Activities'!L349,60)-MAX('Activities'!K349,54))</x:f>
        <x:v>0</x:v>
      </x:c>
      <x:c r="O349" s="23" t="n">
        <x:f>MAX(0,MIN('Activities'!L349,66)-MAX('Activities'!K349,60))</x:f>
        <x:v>0</x:v>
      </x:c>
      <x:c r="P349" s="23" t="n">
        <x:f>MAX(0,MIN('Activities'!L349,72)-MAX('Activities'!K349,66))</x:f>
        <x:v>0</x:v>
      </x:c>
      <x:c r="Q349" s="23" t="n">
        <x:f>MAX(0,MIN('Activities'!L349,78)-MAX('Activities'!K349,72))</x:f>
        <x:v>0</x:v>
      </x:c>
      <x:c r="R349" s="23" t="n">
        <x:f>MAX(0,MIN('Activities'!L349,84)-MAX('Activities'!K349,78))</x:f>
        <x:v>0</x:v>
      </x:c>
      <x:c r="S349" s="23" t="n">
        <x:f>MAX(0,MIN('Activities'!L349,90)-MAX('Activities'!K349,84))</x:f>
        <x:v>0</x:v>
      </x:c>
      <x:c r="T349" s="23" t="n">
        <x:f>MAX(0,MIN('Activities'!L349,96)-MAX('Activities'!K349,90))</x:f>
        <x:v>0</x:v>
      </x:c>
      <x:c r="U349" s="23" t="n">
        <x:f>MAX(0,MIN('Activities'!L349,102)-MAX('Activities'!K349,96))</x:f>
        <x:v>0</x:v>
      </x:c>
      <x:c r="V349" s="23" t="n">
        <x:f>MAX(0,MIN('Activities'!L349,108)-MAX('Activities'!K349,102))</x:f>
        <x:v>0</x:v>
      </x:c>
      <x:c r="W349" s="23" t="n">
        <x:f>MAX(0,MIN('Activities'!L349,114)-MAX('Activities'!K349,108))</x:f>
        <x:v>0</x:v>
      </x:c>
      <x:c r="X349" s="23" t="n">
        <x:f>MAX(0,MIN('Activities'!L349,120)-MAX('Activities'!K349,114))</x:f>
        <x:v>0</x:v>
      </x:c>
      <x:c r="Y349" s="23" t="n">
        <x:f>MAX(0,MIN('Activities'!L349,126)-MAX('Activities'!K349,120))</x:f>
        <x:v>0</x:v>
      </x:c>
      <x:c r="Z349" s="23" t="n">
        <x:f>MAX(0,MIN('Activities'!L349,132)-MAX('Activities'!K349,126))</x:f>
        <x:v>0</x:v>
      </x:c>
      <x:c r="AA349" s="23" t="n">
        <x:f>MAX(0,MIN('Activities'!L349,138)-MAX('Activities'!K349,132))</x:f>
        <x:v>0</x:v>
      </x:c>
      <x:c r="AB349" s="23" t="n">
        <x:f>MAX(0,MIN('Activities'!L349,144)-MAX('Activities'!K349,138))</x:f>
        <x:v>0</x:v>
      </x:c>
      <x:c r="AC349" s="23" t="n">
        <x:f>MAX(0,MIN('Activities'!L349,150)-MAX('Activities'!K349,144))</x:f>
        <x:v>0</x:v>
      </x:c>
      <x:c r="AD349" s="23" t="n">
        <x:f>MAX(0,MIN('Activities'!L349,156)-MAX('Activities'!K349,150))</x:f>
        <x:v>0</x:v>
      </x:c>
      <x:c r="AE349" s="23" t="n">
        <x:f>MAX(0,MIN('Activities'!L349,162)-MAX('Activities'!K349,156))</x:f>
        <x:v>0</x:v>
      </x:c>
      <x:c r="AF349" s="23" t="n">
        <x:f>MAX(0,MIN('Activities'!L349,168)-MAX('Activities'!K349,162))</x:f>
        <x:v>0</x:v>
      </x:c>
      <x:c r="AG349" s="23" t="n">
        <x:f>MAX(0,MIN('Activities'!L349,174)-MAX('Activities'!K349,168))</x:f>
        <x:v>0</x:v>
      </x:c>
      <x:c r="AH349" s="23" t="n">
        <x:f>MAX(0,MIN('Activities'!L349,180)-MAX('Activities'!K349,174))</x:f>
        <x:v>0</x:v>
      </x:c>
      <x:c r="AI349" s="23" t="n">
        <x:f>MAX(0,MIN('Activities'!L349,186)-MAX('Activities'!K349,180))</x:f>
        <x:v>0</x:v>
      </x:c>
      <x:c r="AJ349" s="23" t="n">
        <x:f>MAX(0,MIN('Activities'!L349,192)-MAX('Activities'!K349,186))</x:f>
        <x:v>0</x:v>
      </x:c>
      <x:c r="AK349" s="23" t="n">
        <x:f>MAX(0,MIN('Activities'!L349,198)-MAX('Activities'!K349,192))</x:f>
        <x:v>0</x:v>
      </x:c>
      <x:c r="AL349" s="23" t="n">
        <x:f>MAX(0,MIN('Activities'!L349,204)-MAX('Activities'!K349,198))</x:f>
        <x:v>0</x:v>
      </x:c>
      <x:c r="AM349" s="23" t="n">
        <x:f>MAX(0,MIN('Activities'!L349,210)-MAX('Activities'!K349,204))</x:f>
        <x:v>0</x:v>
      </x:c>
      <x:c r="AN349" s="23" t="n">
        <x:f>MAX(0,MIN('Activities'!L349,216)-MAX('Activities'!K349,210))</x:f>
        <x:v>0</x:v>
      </x:c>
      <x:c r="AO349" s="23" t="n">
        <x:f>MAX(0,MIN('Activities'!L349,222)-MAX('Activities'!K349,216))</x:f>
        <x:v>0</x:v>
      </x:c>
      <x:c r="AP349" s="23" t="n">
        <x:f>MAX(0,MIN('Activities'!L349,228)-MAX('Activities'!K349,222))</x:f>
        <x:v>0</x:v>
      </x:c>
      <x:c r="AQ349" s="23" t="n">
        <x:f>MAX(0,MIN('Activities'!L349,234)-MAX('Activities'!K349,228))</x:f>
        <x:v>0</x:v>
      </x:c>
      <x:c r="AR349" s="23" t="n">
        <x:f>MAX(0,MIN('Activities'!L349,240)-MAX('Activities'!K349,234))</x:f>
        <x:v>0</x:v>
      </x:c>
      <x:c r="AS349" s="23" t="n">
        <x:f>MAX(0,MIN('Activities'!L349,246)-MAX('Activities'!K349,240))</x:f>
        <x:v>0</x:v>
      </x:c>
      <x:c r="AT349" s="23" t="n">
        <x:f>MAX(0,MIN('Activities'!L349,252)-MAX('Activities'!K349,246))</x:f>
        <x:v>0</x:v>
      </x:c>
      <x:c r="AU349" s="23" t="n">
        <x:f>MAX(0,MIN('Activities'!L349,258)-MAX('Activities'!K349,252))</x:f>
        <x:v>0</x:v>
      </x:c>
      <x:c r="AV349" s="23" t="n">
        <x:f>MAX(0,MIN('Activities'!L349,264)-MAX('Activities'!K349,258))</x:f>
        <x:v>0</x:v>
      </x:c>
      <x:c r="AW349" s="23" t="n">
        <x:f>MAX(0,MIN('Activities'!L349,270)-MAX('Activities'!K349,264))</x:f>
        <x:v>0</x:v>
      </x:c>
      <x:c r="AX349" s="23" t="n">
        <x:f>MAX(0,MIN('Activities'!L349,276)-MAX('Activities'!K349,270))</x:f>
        <x:v>5</x:v>
      </x:c>
      <x:c r="AY349" s="23" t="n">
        <x:f>MAX(0,MIN('Activities'!L349,282)-MAX('Activities'!K349,276))</x:f>
        <x:v>0</x:v>
      </x:c>
      <x:c r="AZ349" s="23" t="n">
        <x:f>MAX(0,MIN('Activities'!L349,288)-MAX('Activities'!K349,282))</x:f>
        <x:v>0</x:v>
      </x:c>
      <x:c r="BA349" s="23" t="n">
        <x:f>MAX(0,MIN('Activities'!L349,294)-MAX('Activities'!K349,288))</x:f>
        <x:v>0</x:v>
      </x:c>
      <x:c r="BB349" s="23" t="n">
        <x:f>MAX(0,MIN('Activities'!L349,300)-MAX('Activities'!K349,294))</x:f>
        <x:v>0</x:v>
      </x:c>
      <x:c r="BC349" s="23" t="n">
        <x:f>MAX(0,MIN('Activities'!L349,306)-MAX('Activities'!K349,300))</x:f>
        <x:v>0</x:v>
      </x:c>
      <x:c r="BD349" s="23" t="n">
        <x:f>MAX(0,MIN('Activities'!L349,312)-MAX('Activities'!K349,306))</x:f>
        <x:v>0</x:v>
      </x:c>
      <x:c r="BE349" s="23" t="n">
        <x:f>MAX(0,MIN('Activities'!L349,318)-MAX('Activities'!K349,312))</x:f>
        <x:v>0</x:v>
      </x:c>
      <x:c r="BF349" s="23" t="n">
        <x:f>MAX(0,MIN('Activities'!L349,324)-MAX('Activities'!K349,318))</x:f>
        <x:v>0</x:v>
      </x:c>
      <x:c r="BG349" s="23" t="n">
        <x:f>MAX(0,MIN('Activities'!L349,330)-MAX('Activities'!K349,324))</x:f>
        <x:v>0</x:v>
      </x:c>
      <x:c r="BH349" s="23" t="n">
        <x:f>MAX(0,MIN('Activities'!L349,336)-MAX('Activities'!K349,330))</x:f>
        <x:v>0</x:v>
      </x:c>
      <x:c r="BI349" s="23" t="n">
        <x:f>MAX(0,MIN('Activities'!L349,342)-MAX('Activities'!K349,336))</x:f>
        <x:v>0</x:v>
      </x:c>
      <x:c r="BJ349" s="23" t="n">
        <x:f>MAX(0,MIN('Activities'!L349,348)-MAX('Activities'!K349,342))</x:f>
        <x:v>0</x:v>
      </x:c>
      <x:c r="BK349" s="23" t="n">
        <x:f>MAX(0,MIN('Activities'!L349,354)-MAX('Activities'!K349,348))</x:f>
        <x:v>0</x:v>
      </x:c>
      <x:c r="BL349" s="23" t="n">
        <x:f>MAX(0,MIN('Activities'!L349,360)-MAX('Activities'!K349,354))</x:f>
        <x:v>0</x:v>
      </x:c>
      <x:c r="BM349" s="23" t="n">
        <x:f>MAX(0,MIN('Activities'!L349,366)-MAX('Activities'!K349,360))</x:f>
        <x:v>0</x:v>
      </x:c>
      <x:c r="BN349" s="23" t="n">
        <x:f>MAX(0,MIN('Activities'!L349,372)-MAX('Activities'!K349,366))</x:f>
        <x:v>0</x:v>
      </x:c>
      <x:c r="BO349" s="23" t="n">
        <x:f>MAX(0,MIN('Activities'!L349,378)-MAX('Activities'!K349,372))</x:f>
        <x:v>0</x:v>
      </x:c>
      <x:c r="BP349" s="23" t="n">
        <x:f>MAX(0,MIN('Activities'!L349,384)-MAX('Activities'!K349,378))</x:f>
        <x:v>0</x:v>
      </x:c>
      <x:c r="BQ349" s="23" t="n">
        <x:f>MAX(0,MIN('Activities'!L349,390)-MAX('Activities'!K349,384))</x:f>
        <x:v>0</x:v>
      </x:c>
      <x:c r="BR349" s="23" t="n">
        <x:f>MAX(0,MIN('Activities'!L349,396)-MAX('Activities'!K349,390))</x:f>
        <x:v>0</x:v>
      </x:c>
      <x:c r="BS349" s="23" t="n">
        <x:f>MAX(0,MIN('Activities'!L349,402)-MAX('Activities'!K349,396))</x:f>
        <x:v>0</x:v>
      </x:c>
      <x:c r="BT349" s="23" t="n">
        <x:f>MAX(0,MIN('Activities'!L349,408)-MAX('Activities'!K349,402))</x:f>
        <x:v>0</x:v>
      </x:c>
      <x:c r="BU349" s="23" t="n">
        <x:f>MAX(0,MIN('Activities'!L349,414)-MAX('Activities'!K349,408))</x:f>
        <x:v>0</x:v>
      </x:c>
      <x:c r="BV349" s="23" t="n">
        <x:f>MAX(0,MIN('Activities'!L349,420)-MAX('Activities'!K349,414))</x:f>
        <x:v>0</x:v>
      </x:c>
      <x:c r="BW349" s="23" t="n">
        <x:f>MAX(0,MIN('Activities'!L349,426)-MAX('Activities'!K349,420))</x:f>
        <x:v>0</x:v>
      </x:c>
      <x:c r="BX349" s="23" t="n">
        <x:f>MAX(0,MIN('Activities'!L349,432)-MAX('Activities'!K349,426))</x:f>
        <x:v>0</x:v>
      </x:c>
      <x:c r="BY349" s="23" t="n">
        <x:f>MAX(0,MIN('Activities'!L349,438)-MAX('Activities'!K349,432))</x:f>
        <x:v>0</x:v>
      </x:c>
      <x:c r="BZ349" s="23" t="n">
        <x:f>MAX(0,MIN('Activities'!L349,444)-MAX('Activities'!K349,438))</x:f>
        <x:v>0</x:v>
      </x:c>
      <x:c r="CA349" s="23" t="n">
        <x:f>MAX(0,MIN('Activities'!L349,450)-MAX('Activities'!K349,444))</x:f>
        <x:v>0</x:v>
      </x:c>
      <x:c r="CB349" s="23" t="n">
        <x:f>MAX(0,MIN('Activities'!L349,456)-MAX('Activities'!K349,450))</x:f>
        <x:v>0</x:v>
      </x:c>
      <x:c r="CC349" s="23" t="n">
        <x:f>MAX(0,MIN('Activities'!L349,462)-MAX('Activities'!K349,456))</x:f>
        <x:v>0</x:v>
      </x:c>
      <x:c r="CD349" s="23" t="n">
        <x:f>MAX(0,MIN('Activities'!L349,468)-MAX('Activities'!K349,462))</x:f>
        <x:v>0</x:v>
      </x:c>
      <x:c r="CE349" s="23" t="n">
        <x:f>MAX(0,MIN('Activities'!L349,474)-MAX('Activities'!K349,468))</x:f>
        <x:v>0</x:v>
      </x:c>
      <x:c r="CF349" s="23" t="n">
        <x:f>MAX(0,MIN('Activities'!L349,480)-MAX('Activities'!K349,474))</x:f>
        <x:v>0</x:v>
      </x:c>
      <x:c r="CG349" s="23" t="n">
        <x:f>MAX(0,MIN('Activities'!L349,486)-MAX('Activities'!K349,480))</x:f>
        <x:v>0</x:v>
      </x:c>
      <x:c r="CH349" s="23" t="n">
        <x:f>MAX(0,MIN('Activities'!L349,492)-MAX('Activities'!K349,486))</x:f>
        <x:v>0</x:v>
      </x:c>
      <x:c r="CI349" s="23" t="n">
        <x:f>MAX(0,MIN('Activities'!L349,498)-MAX('Activities'!K349,492))</x:f>
        <x:v>0</x:v>
      </x:c>
      <x:c r="CJ349" s="23" t="n">
        <x:f>MAX(0,MIN('Activities'!L349,504)-MAX('Activities'!K349,498))</x:f>
        <x:v>0</x:v>
      </x:c>
      <x:c r="CK349" s="23" t="n">
        <x:f>MAX(0,MIN('Activities'!L349,510)-MAX('Activities'!K349,504))</x:f>
        <x:v>0</x:v>
      </x:c>
      <x:c r="CL349" s="23" t="n">
        <x:f>MAX(0,MIN('Activities'!L349,516)-MAX('Activities'!K349,510))</x:f>
        <x:v>0</x:v>
      </x:c>
      <x:c r="CM349" s="23" t="n">
        <x:f>MAX(0,MIN('Activities'!L349,522)-MAX('Activities'!K349,516))</x:f>
        <x:v>0</x:v>
      </x:c>
      <x:c r="CN349" s="23" t="n">
        <x:f>MAX(0,MIN('Activities'!L349,528)-MAX('Activities'!K349,522))</x:f>
        <x:v>0</x:v>
      </x:c>
      <x:c r="CO349" s="23" t="n">
        <x:f>MAX(0,MIN('Activities'!L349,534)-MAX('Activities'!K349,528))</x:f>
        <x:v>0</x:v>
      </x:c>
      <x:c r="CP349" s="23" t="n">
        <x:f>MAX(0,MIN('Activities'!L349,540)-MAX('Activities'!K349,534))</x:f>
        <x:v>0</x:v>
      </x:c>
      <x:c r="CQ349" s="23" t="n">
        <x:f>MAX(0,MIN('Activities'!L349,546)-MAX('Activities'!K349,540))</x:f>
        <x:v>0</x:v>
      </x:c>
      <x:c r="CR349" s="23" t="n">
        <x:f>MAX(0,MIN('Activities'!L349,552)-MAX('Activities'!K349,546))</x:f>
        <x:v>0</x:v>
      </x:c>
      <x:c r="CS349" s="23" t="n">
        <x:f>MAX(0,MIN('Activities'!L349,558)-MAX('Activities'!K349,552))</x:f>
        <x:v>0</x:v>
      </x:c>
      <x:c r="CT349" s="23" t="n">
        <x:f>MAX(0,MIN('Activities'!L349,564)-MAX('Activities'!K349,558))</x:f>
        <x:v>0</x:v>
      </x:c>
      <x:c r="CU349" s="23" t="n">
        <x:f>MAX(0,MIN('Activities'!L349,570)-MAX('Activities'!K349,564))</x:f>
        <x:v>0</x:v>
      </x:c>
      <x:c r="CV349" s="23" t="n">
        <x:f>MAX(0,MIN('Activities'!L349,576)-MAX('Activities'!K349,570))</x:f>
        <x:v>0</x:v>
      </x:c>
      <x:c r="CW349" s="23" t="n">
        <x:f>MAX(0,MIN('Activities'!L349,582)-MAX('Activities'!K349,576))</x:f>
        <x:v>0</x:v>
      </x:c>
      <x:c r="CX349" s="23" t="n">
        <x:f>MAX(0,MIN('Activities'!L349,588)-MAX('Activities'!K349,582))</x:f>
        <x:v>0</x:v>
      </x:c>
      <x:c r="CY349" s="23" t="n">
        <x:f>MAX(0,MIN('Activities'!L349,594)-MAX('Activities'!K349,588))</x:f>
        <x:v>0</x:v>
      </x:c>
      <x:c r="CZ349" s="23" t="n">
        <x:f>MAX(0,MIN('Activities'!L349,600)-MAX('Activities'!K349,594))</x:f>
        <x:v>0</x:v>
      </x:c>
      <x:c r="DA349" s="23" t="n">
        <x:f>MAX(0,MIN('Activities'!L349,606)-MAX('Activities'!K349,600))</x:f>
        <x:v>0</x:v>
      </x:c>
      <x:c r="DB349" s="23" t="n">
        <x:f>MAX(0,MIN('Activities'!L349,612)-MAX('Activities'!K349,606))</x:f>
        <x:v>0</x:v>
      </x:c>
      <x:c r="DC349" s="23" t="n">
        <x:f>MAX(0,MIN('Activities'!L349,618)-MAX('Activities'!K349,612))</x:f>
        <x:v>0</x:v>
      </x:c>
      <x:c r="DD349" s="23" t="n">
        <x:f>MAX(0,MIN('Activities'!L349,624)-MAX('Activities'!K349,618))</x:f>
        <x:v>0</x:v>
      </x:c>
      <x:c r="DE349" s="23" t="n">
        <x:f>MAX(0,MIN('Activities'!L349,630)-MAX('Activities'!K349,624))</x:f>
        <x:v>0</x:v>
      </x:c>
      <x:c r="DF349" s="23" t="n">
        <x:f>MAX(0,MIN('Activities'!L349,636)-MAX('Activities'!K349,630))</x:f>
        <x:v>0</x:v>
      </x:c>
    </x:row>
    <x:row r="350" ht="23" customHeight="1">
      <x:c r="A350" s="6" t="str">
        <x:v>T3-L02-P</x:v>
      </x:c>
      <x:c r="B350" s="6" t="str">
        <x:v>T3</x:v>
      </x:c>
      <x:c r="C350" s="6" t="str">
        <x:v>Internal plaster</x:v>
      </x:c>
      <x:c r="D350" s="6" t="str">
        <x:v>Finishes</x:v>
      </x:c>
      <x:c r="E350" s="22" t="n">
        <x:f>MAX(0,MIN('Activities'!L350,6)-MAX('Activities'!K350,0))</x:f>
        <x:v>0</x:v>
      </x:c>
      <x:c r="F350" s="22" t="n">
        <x:f>MAX(0,MIN('Activities'!L350,12)-MAX('Activities'!K350,6))</x:f>
        <x:v>0</x:v>
      </x:c>
      <x:c r="G350" s="22" t="n">
        <x:f>MAX(0,MIN('Activities'!L350,18)-MAX('Activities'!K350,12))</x:f>
        <x:v>0</x:v>
      </x:c>
      <x:c r="H350" s="22" t="n">
        <x:f>MAX(0,MIN('Activities'!L350,24)-MAX('Activities'!K350,18))</x:f>
        <x:v>0</x:v>
      </x:c>
      <x:c r="I350" s="22" t="n">
        <x:f>MAX(0,MIN('Activities'!L350,30)-MAX('Activities'!K350,24))</x:f>
        <x:v>0</x:v>
      </x:c>
      <x:c r="J350" s="22" t="n">
        <x:f>MAX(0,MIN('Activities'!L350,36)-MAX('Activities'!K350,30))</x:f>
        <x:v>0</x:v>
      </x:c>
      <x:c r="K350" s="22" t="n">
        <x:f>MAX(0,MIN('Activities'!L350,42)-MAX('Activities'!K350,36))</x:f>
        <x:v>0</x:v>
      </x:c>
      <x:c r="L350" s="22" t="n">
        <x:f>MAX(0,MIN('Activities'!L350,48)-MAX('Activities'!K350,42))</x:f>
        <x:v>0</x:v>
      </x:c>
      <x:c r="M350" s="22" t="n">
        <x:f>MAX(0,MIN('Activities'!L350,54)-MAX('Activities'!K350,48))</x:f>
        <x:v>0</x:v>
      </x:c>
      <x:c r="N350" s="22" t="n">
        <x:f>MAX(0,MIN('Activities'!L350,60)-MAX('Activities'!K350,54))</x:f>
        <x:v>0</x:v>
      </x:c>
      <x:c r="O350" s="22" t="n">
        <x:f>MAX(0,MIN('Activities'!L350,66)-MAX('Activities'!K350,60))</x:f>
        <x:v>0</x:v>
      </x:c>
      <x:c r="P350" s="22" t="n">
        <x:f>MAX(0,MIN('Activities'!L350,72)-MAX('Activities'!K350,66))</x:f>
        <x:v>0</x:v>
      </x:c>
      <x:c r="Q350" s="22" t="n">
        <x:f>MAX(0,MIN('Activities'!L350,78)-MAX('Activities'!K350,72))</x:f>
        <x:v>0</x:v>
      </x:c>
      <x:c r="R350" s="22" t="n">
        <x:f>MAX(0,MIN('Activities'!L350,84)-MAX('Activities'!K350,78))</x:f>
        <x:v>0</x:v>
      </x:c>
      <x:c r="S350" s="22" t="n">
        <x:f>MAX(0,MIN('Activities'!L350,90)-MAX('Activities'!K350,84))</x:f>
        <x:v>0</x:v>
      </x:c>
      <x:c r="T350" s="22" t="n">
        <x:f>MAX(0,MIN('Activities'!L350,96)-MAX('Activities'!K350,90))</x:f>
        <x:v>0</x:v>
      </x:c>
      <x:c r="U350" s="22" t="n">
        <x:f>MAX(0,MIN('Activities'!L350,102)-MAX('Activities'!K350,96))</x:f>
        <x:v>0</x:v>
      </x:c>
      <x:c r="V350" s="22" t="n">
        <x:f>MAX(0,MIN('Activities'!L350,108)-MAX('Activities'!K350,102))</x:f>
        <x:v>0</x:v>
      </x:c>
      <x:c r="W350" s="22" t="n">
        <x:f>MAX(0,MIN('Activities'!L350,114)-MAX('Activities'!K350,108))</x:f>
        <x:v>0</x:v>
      </x:c>
      <x:c r="X350" s="22" t="n">
        <x:f>MAX(0,MIN('Activities'!L350,120)-MAX('Activities'!K350,114))</x:f>
        <x:v>0</x:v>
      </x:c>
      <x:c r="Y350" s="22" t="n">
        <x:f>MAX(0,MIN('Activities'!L350,126)-MAX('Activities'!K350,120))</x:f>
        <x:v>0</x:v>
      </x:c>
      <x:c r="Z350" s="22" t="n">
        <x:f>MAX(0,MIN('Activities'!L350,132)-MAX('Activities'!K350,126))</x:f>
        <x:v>0</x:v>
      </x:c>
      <x:c r="AA350" s="22" t="n">
        <x:f>MAX(0,MIN('Activities'!L350,138)-MAX('Activities'!K350,132))</x:f>
        <x:v>0</x:v>
      </x:c>
      <x:c r="AB350" s="22" t="n">
        <x:f>MAX(0,MIN('Activities'!L350,144)-MAX('Activities'!K350,138))</x:f>
        <x:v>0</x:v>
      </x:c>
      <x:c r="AC350" s="22" t="n">
        <x:f>MAX(0,MIN('Activities'!L350,150)-MAX('Activities'!K350,144))</x:f>
        <x:v>0</x:v>
      </x:c>
      <x:c r="AD350" s="22" t="n">
        <x:f>MAX(0,MIN('Activities'!L350,156)-MAX('Activities'!K350,150))</x:f>
        <x:v>0</x:v>
      </x:c>
      <x:c r="AE350" s="22" t="n">
        <x:f>MAX(0,MIN('Activities'!L350,162)-MAX('Activities'!K350,156))</x:f>
        <x:v>0</x:v>
      </x:c>
      <x:c r="AF350" s="22" t="n">
        <x:f>MAX(0,MIN('Activities'!L350,168)-MAX('Activities'!K350,162))</x:f>
        <x:v>0</x:v>
      </x:c>
      <x:c r="AG350" s="22" t="n">
        <x:f>MAX(0,MIN('Activities'!L350,174)-MAX('Activities'!K350,168))</x:f>
        <x:v>0</x:v>
      </x:c>
      <x:c r="AH350" s="22" t="n">
        <x:f>MAX(0,MIN('Activities'!L350,180)-MAX('Activities'!K350,174))</x:f>
        <x:v>0</x:v>
      </x:c>
      <x:c r="AI350" s="22" t="n">
        <x:f>MAX(0,MIN('Activities'!L350,186)-MAX('Activities'!K350,180))</x:f>
        <x:v>0</x:v>
      </x:c>
      <x:c r="AJ350" s="22" t="n">
        <x:f>MAX(0,MIN('Activities'!L350,192)-MAX('Activities'!K350,186))</x:f>
        <x:v>0</x:v>
      </x:c>
      <x:c r="AK350" s="22" t="n">
        <x:f>MAX(0,MIN('Activities'!L350,198)-MAX('Activities'!K350,192))</x:f>
        <x:v>0</x:v>
      </x:c>
      <x:c r="AL350" s="22" t="n">
        <x:f>MAX(0,MIN('Activities'!L350,204)-MAX('Activities'!K350,198))</x:f>
        <x:v>0</x:v>
      </x:c>
      <x:c r="AM350" s="22" t="n">
        <x:f>MAX(0,MIN('Activities'!L350,210)-MAX('Activities'!K350,204))</x:f>
        <x:v>0</x:v>
      </x:c>
      <x:c r="AN350" s="22" t="n">
        <x:f>MAX(0,MIN('Activities'!L350,216)-MAX('Activities'!K350,210))</x:f>
        <x:v>0</x:v>
      </x:c>
      <x:c r="AO350" s="22" t="n">
        <x:f>MAX(0,MIN('Activities'!L350,222)-MAX('Activities'!K350,216))</x:f>
        <x:v>0</x:v>
      </x:c>
      <x:c r="AP350" s="22" t="n">
        <x:f>MAX(0,MIN('Activities'!L350,228)-MAX('Activities'!K350,222))</x:f>
        <x:v>0</x:v>
      </x:c>
      <x:c r="AQ350" s="22" t="n">
        <x:f>MAX(0,MIN('Activities'!L350,234)-MAX('Activities'!K350,228))</x:f>
        <x:v>0</x:v>
      </x:c>
      <x:c r="AR350" s="22" t="n">
        <x:f>MAX(0,MIN('Activities'!L350,240)-MAX('Activities'!K350,234))</x:f>
        <x:v>0</x:v>
      </x:c>
      <x:c r="AS350" s="22" t="n">
        <x:f>MAX(0,MIN('Activities'!L350,246)-MAX('Activities'!K350,240))</x:f>
        <x:v>0</x:v>
      </x:c>
      <x:c r="AT350" s="22" t="n">
        <x:f>MAX(0,MIN('Activities'!L350,252)-MAX('Activities'!K350,246))</x:f>
        <x:v>0</x:v>
      </x:c>
      <x:c r="AU350" s="22" t="n">
        <x:f>MAX(0,MIN('Activities'!L350,258)-MAX('Activities'!K350,252))</x:f>
        <x:v>0</x:v>
      </x:c>
      <x:c r="AV350" s="22" t="n">
        <x:f>MAX(0,MIN('Activities'!L350,264)-MAX('Activities'!K350,258))</x:f>
        <x:v>0</x:v>
      </x:c>
      <x:c r="AW350" s="22" t="n">
        <x:f>MAX(0,MIN('Activities'!L350,270)-MAX('Activities'!K350,264))</x:f>
        <x:v>0</x:v>
      </x:c>
      <x:c r="AX350" s="22" t="n">
        <x:f>MAX(0,MIN('Activities'!L350,276)-MAX('Activities'!K350,270))</x:f>
        <x:v>0</x:v>
      </x:c>
      <x:c r="AY350" s="22" t="n">
        <x:f>MAX(0,MIN('Activities'!L350,282)-MAX('Activities'!K350,276))</x:f>
        <x:v>3</x:v>
      </x:c>
      <x:c r="AZ350" s="22" t="n">
        <x:f>MAX(0,MIN('Activities'!L350,288)-MAX('Activities'!K350,282))</x:f>
        <x:v>3</x:v>
      </x:c>
      <x:c r="BA350" s="22" t="n">
        <x:f>MAX(0,MIN('Activities'!L350,294)-MAX('Activities'!K350,288))</x:f>
        <x:v>0</x:v>
      </x:c>
      <x:c r="BB350" s="22" t="n">
        <x:f>MAX(0,MIN('Activities'!L350,300)-MAX('Activities'!K350,294))</x:f>
        <x:v>0</x:v>
      </x:c>
      <x:c r="BC350" s="22" t="n">
        <x:f>MAX(0,MIN('Activities'!L350,306)-MAX('Activities'!K350,300))</x:f>
        <x:v>0</x:v>
      </x:c>
      <x:c r="BD350" s="22" t="n">
        <x:f>MAX(0,MIN('Activities'!L350,312)-MAX('Activities'!K350,306))</x:f>
        <x:v>0</x:v>
      </x:c>
      <x:c r="BE350" s="22" t="n">
        <x:f>MAX(0,MIN('Activities'!L350,318)-MAX('Activities'!K350,312))</x:f>
        <x:v>0</x:v>
      </x:c>
      <x:c r="BF350" s="22" t="n">
        <x:f>MAX(0,MIN('Activities'!L350,324)-MAX('Activities'!K350,318))</x:f>
        <x:v>0</x:v>
      </x:c>
      <x:c r="BG350" s="22" t="n">
        <x:f>MAX(0,MIN('Activities'!L350,330)-MAX('Activities'!K350,324))</x:f>
        <x:v>0</x:v>
      </x:c>
      <x:c r="BH350" s="22" t="n">
        <x:f>MAX(0,MIN('Activities'!L350,336)-MAX('Activities'!K350,330))</x:f>
        <x:v>0</x:v>
      </x:c>
      <x:c r="BI350" s="22" t="n">
        <x:f>MAX(0,MIN('Activities'!L350,342)-MAX('Activities'!K350,336))</x:f>
        <x:v>0</x:v>
      </x:c>
      <x:c r="BJ350" s="22" t="n">
        <x:f>MAX(0,MIN('Activities'!L350,348)-MAX('Activities'!K350,342))</x:f>
        <x:v>0</x:v>
      </x:c>
      <x:c r="BK350" s="22" t="n">
        <x:f>MAX(0,MIN('Activities'!L350,354)-MAX('Activities'!K350,348))</x:f>
        <x:v>0</x:v>
      </x:c>
      <x:c r="BL350" s="22" t="n">
        <x:f>MAX(0,MIN('Activities'!L350,360)-MAX('Activities'!K350,354))</x:f>
        <x:v>0</x:v>
      </x:c>
      <x:c r="BM350" s="22" t="n">
        <x:f>MAX(0,MIN('Activities'!L350,366)-MAX('Activities'!K350,360))</x:f>
        <x:v>0</x:v>
      </x:c>
      <x:c r="BN350" s="22" t="n">
        <x:f>MAX(0,MIN('Activities'!L350,372)-MAX('Activities'!K350,366))</x:f>
        <x:v>0</x:v>
      </x:c>
      <x:c r="BO350" s="22" t="n">
        <x:f>MAX(0,MIN('Activities'!L350,378)-MAX('Activities'!K350,372))</x:f>
        <x:v>0</x:v>
      </x:c>
      <x:c r="BP350" s="22" t="n">
        <x:f>MAX(0,MIN('Activities'!L350,384)-MAX('Activities'!K350,378))</x:f>
        <x:v>0</x:v>
      </x:c>
      <x:c r="BQ350" s="22" t="n">
        <x:f>MAX(0,MIN('Activities'!L350,390)-MAX('Activities'!K350,384))</x:f>
        <x:v>0</x:v>
      </x:c>
      <x:c r="BR350" s="22" t="n">
        <x:f>MAX(0,MIN('Activities'!L350,396)-MAX('Activities'!K350,390))</x:f>
        <x:v>0</x:v>
      </x:c>
      <x:c r="BS350" s="22" t="n">
        <x:f>MAX(0,MIN('Activities'!L350,402)-MAX('Activities'!K350,396))</x:f>
        <x:v>0</x:v>
      </x:c>
      <x:c r="BT350" s="22" t="n">
        <x:f>MAX(0,MIN('Activities'!L350,408)-MAX('Activities'!K350,402))</x:f>
        <x:v>0</x:v>
      </x:c>
      <x:c r="BU350" s="22" t="n">
        <x:f>MAX(0,MIN('Activities'!L350,414)-MAX('Activities'!K350,408))</x:f>
        <x:v>0</x:v>
      </x:c>
      <x:c r="BV350" s="22" t="n">
        <x:f>MAX(0,MIN('Activities'!L350,420)-MAX('Activities'!K350,414))</x:f>
        <x:v>0</x:v>
      </x:c>
      <x:c r="BW350" s="22" t="n">
        <x:f>MAX(0,MIN('Activities'!L350,426)-MAX('Activities'!K350,420))</x:f>
        <x:v>0</x:v>
      </x:c>
      <x:c r="BX350" s="22" t="n">
        <x:f>MAX(0,MIN('Activities'!L350,432)-MAX('Activities'!K350,426))</x:f>
        <x:v>0</x:v>
      </x:c>
      <x:c r="BY350" s="22" t="n">
        <x:f>MAX(0,MIN('Activities'!L350,438)-MAX('Activities'!K350,432))</x:f>
        <x:v>0</x:v>
      </x:c>
      <x:c r="BZ350" s="22" t="n">
        <x:f>MAX(0,MIN('Activities'!L350,444)-MAX('Activities'!K350,438))</x:f>
        <x:v>0</x:v>
      </x:c>
      <x:c r="CA350" s="22" t="n">
        <x:f>MAX(0,MIN('Activities'!L350,450)-MAX('Activities'!K350,444))</x:f>
        <x:v>0</x:v>
      </x:c>
      <x:c r="CB350" s="22" t="n">
        <x:f>MAX(0,MIN('Activities'!L350,456)-MAX('Activities'!K350,450))</x:f>
        <x:v>0</x:v>
      </x:c>
      <x:c r="CC350" s="22" t="n">
        <x:f>MAX(0,MIN('Activities'!L350,462)-MAX('Activities'!K350,456))</x:f>
        <x:v>0</x:v>
      </x:c>
      <x:c r="CD350" s="22" t="n">
        <x:f>MAX(0,MIN('Activities'!L350,468)-MAX('Activities'!K350,462))</x:f>
        <x:v>0</x:v>
      </x:c>
      <x:c r="CE350" s="22" t="n">
        <x:f>MAX(0,MIN('Activities'!L350,474)-MAX('Activities'!K350,468))</x:f>
        <x:v>0</x:v>
      </x:c>
      <x:c r="CF350" s="22" t="n">
        <x:f>MAX(0,MIN('Activities'!L350,480)-MAX('Activities'!K350,474))</x:f>
        <x:v>0</x:v>
      </x:c>
      <x:c r="CG350" s="22" t="n">
        <x:f>MAX(0,MIN('Activities'!L350,486)-MAX('Activities'!K350,480))</x:f>
        <x:v>0</x:v>
      </x:c>
      <x:c r="CH350" s="22" t="n">
        <x:f>MAX(0,MIN('Activities'!L350,492)-MAX('Activities'!K350,486))</x:f>
        <x:v>0</x:v>
      </x:c>
      <x:c r="CI350" s="22" t="n">
        <x:f>MAX(0,MIN('Activities'!L350,498)-MAX('Activities'!K350,492))</x:f>
        <x:v>0</x:v>
      </x:c>
      <x:c r="CJ350" s="22" t="n">
        <x:f>MAX(0,MIN('Activities'!L350,504)-MAX('Activities'!K350,498))</x:f>
        <x:v>0</x:v>
      </x:c>
      <x:c r="CK350" s="22" t="n">
        <x:f>MAX(0,MIN('Activities'!L350,510)-MAX('Activities'!K350,504))</x:f>
        <x:v>0</x:v>
      </x:c>
      <x:c r="CL350" s="22" t="n">
        <x:f>MAX(0,MIN('Activities'!L350,516)-MAX('Activities'!K350,510))</x:f>
        <x:v>0</x:v>
      </x:c>
      <x:c r="CM350" s="22" t="n">
        <x:f>MAX(0,MIN('Activities'!L350,522)-MAX('Activities'!K350,516))</x:f>
        <x:v>0</x:v>
      </x:c>
      <x:c r="CN350" s="22" t="n">
        <x:f>MAX(0,MIN('Activities'!L350,528)-MAX('Activities'!K350,522))</x:f>
        <x:v>0</x:v>
      </x:c>
      <x:c r="CO350" s="22" t="n">
        <x:f>MAX(0,MIN('Activities'!L350,534)-MAX('Activities'!K350,528))</x:f>
        <x:v>0</x:v>
      </x:c>
      <x:c r="CP350" s="22" t="n">
        <x:f>MAX(0,MIN('Activities'!L350,540)-MAX('Activities'!K350,534))</x:f>
        <x:v>0</x:v>
      </x:c>
      <x:c r="CQ350" s="22" t="n">
        <x:f>MAX(0,MIN('Activities'!L350,546)-MAX('Activities'!K350,540))</x:f>
        <x:v>0</x:v>
      </x:c>
      <x:c r="CR350" s="22" t="n">
        <x:f>MAX(0,MIN('Activities'!L350,552)-MAX('Activities'!K350,546))</x:f>
        <x:v>0</x:v>
      </x:c>
      <x:c r="CS350" s="22" t="n">
        <x:f>MAX(0,MIN('Activities'!L350,558)-MAX('Activities'!K350,552))</x:f>
        <x:v>0</x:v>
      </x:c>
      <x:c r="CT350" s="22" t="n">
        <x:f>MAX(0,MIN('Activities'!L350,564)-MAX('Activities'!K350,558))</x:f>
        <x:v>0</x:v>
      </x:c>
      <x:c r="CU350" s="22" t="n">
        <x:f>MAX(0,MIN('Activities'!L350,570)-MAX('Activities'!K350,564))</x:f>
        <x:v>0</x:v>
      </x:c>
      <x:c r="CV350" s="22" t="n">
        <x:f>MAX(0,MIN('Activities'!L350,576)-MAX('Activities'!K350,570))</x:f>
        <x:v>0</x:v>
      </x:c>
      <x:c r="CW350" s="22" t="n">
        <x:f>MAX(0,MIN('Activities'!L350,582)-MAX('Activities'!K350,576))</x:f>
        <x:v>0</x:v>
      </x:c>
      <x:c r="CX350" s="22" t="n">
        <x:f>MAX(0,MIN('Activities'!L350,588)-MAX('Activities'!K350,582))</x:f>
        <x:v>0</x:v>
      </x:c>
      <x:c r="CY350" s="22" t="n">
        <x:f>MAX(0,MIN('Activities'!L350,594)-MAX('Activities'!K350,588))</x:f>
        <x:v>0</x:v>
      </x:c>
      <x:c r="CZ350" s="22" t="n">
        <x:f>MAX(0,MIN('Activities'!L350,600)-MAX('Activities'!K350,594))</x:f>
        <x:v>0</x:v>
      </x:c>
      <x:c r="DA350" s="22" t="n">
        <x:f>MAX(0,MIN('Activities'!L350,606)-MAX('Activities'!K350,600))</x:f>
        <x:v>0</x:v>
      </x:c>
      <x:c r="DB350" s="22" t="n">
        <x:f>MAX(0,MIN('Activities'!L350,612)-MAX('Activities'!K350,606))</x:f>
        <x:v>0</x:v>
      </x:c>
      <x:c r="DC350" s="22" t="n">
        <x:f>MAX(0,MIN('Activities'!L350,618)-MAX('Activities'!K350,612))</x:f>
        <x:v>0</x:v>
      </x:c>
      <x:c r="DD350" s="22" t="n">
        <x:f>MAX(0,MIN('Activities'!L350,624)-MAX('Activities'!K350,618))</x:f>
        <x:v>0</x:v>
      </x:c>
      <x:c r="DE350" s="22" t="n">
        <x:f>MAX(0,MIN('Activities'!L350,630)-MAX('Activities'!K350,624))</x:f>
        <x:v>0</x:v>
      </x:c>
      <x:c r="DF350" s="22" t="n">
        <x:f>MAX(0,MIN('Activities'!L350,636)-MAX('Activities'!K350,630))</x:f>
        <x:v>0</x:v>
      </x:c>
    </x:row>
    <x:row r="351" ht="23" customHeight="1">
      <x:c r="A351" s="1" t="str">
        <x:v>T3-L02-S</x:v>
      </x:c>
      <x:c r="B351" s="1" t="str">
        <x:v>T3</x:v>
      </x:c>
      <x:c r="C351" s="1" t="str">
        <x:v>Screed and substrate preparation</x:v>
      </x:c>
      <x:c r="D351" s="1" t="str">
        <x:v>Finishes</x:v>
      </x:c>
      <x:c r="E351" s="23" t="n">
        <x:f>MAX(0,MIN('Activities'!L351,6)-MAX('Activities'!K351,0))</x:f>
        <x:v>0</x:v>
      </x:c>
      <x:c r="F351" s="23" t="n">
        <x:f>MAX(0,MIN('Activities'!L351,12)-MAX('Activities'!K351,6))</x:f>
        <x:v>0</x:v>
      </x:c>
      <x:c r="G351" s="23" t="n">
        <x:f>MAX(0,MIN('Activities'!L351,18)-MAX('Activities'!K351,12))</x:f>
        <x:v>0</x:v>
      </x:c>
      <x:c r="H351" s="23" t="n">
        <x:f>MAX(0,MIN('Activities'!L351,24)-MAX('Activities'!K351,18))</x:f>
        <x:v>0</x:v>
      </x:c>
      <x:c r="I351" s="23" t="n">
        <x:f>MAX(0,MIN('Activities'!L351,30)-MAX('Activities'!K351,24))</x:f>
        <x:v>0</x:v>
      </x:c>
      <x:c r="J351" s="23" t="n">
        <x:f>MAX(0,MIN('Activities'!L351,36)-MAX('Activities'!K351,30))</x:f>
        <x:v>0</x:v>
      </x:c>
      <x:c r="K351" s="23" t="n">
        <x:f>MAX(0,MIN('Activities'!L351,42)-MAX('Activities'!K351,36))</x:f>
        <x:v>0</x:v>
      </x:c>
      <x:c r="L351" s="23" t="n">
        <x:f>MAX(0,MIN('Activities'!L351,48)-MAX('Activities'!K351,42))</x:f>
        <x:v>0</x:v>
      </x:c>
      <x:c r="M351" s="23" t="n">
        <x:f>MAX(0,MIN('Activities'!L351,54)-MAX('Activities'!K351,48))</x:f>
        <x:v>0</x:v>
      </x:c>
      <x:c r="N351" s="23" t="n">
        <x:f>MAX(0,MIN('Activities'!L351,60)-MAX('Activities'!K351,54))</x:f>
        <x:v>0</x:v>
      </x:c>
      <x:c r="O351" s="23" t="n">
        <x:f>MAX(0,MIN('Activities'!L351,66)-MAX('Activities'!K351,60))</x:f>
        <x:v>0</x:v>
      </x:c>
      <x:c r="P351" s="23" t="n">
        <x:f>MAX(0,MIN('Activities'!L351,72)-MAX('Activities'!K351,66))</x:f>
        <x:v>0</x:v>
      </x:c>
      <x:c r="Q351" s="23" t="n">
        <x:f>MAX(0,MIN('Activities'!L351,78)-MAX('Activities'!K351,72))</x:f>
        <x:v>0</x:v>
      </x:c>
      <x:c r="R351" s="23" t="n">
        <x:f>MAX(0,MIN('Activities'!L351,84)-MAX('Activities'!K351,78))</x:f>
        <x:v>0</x:v>
      </x:c>
      <x:c r="S351" s="23" t="n">
        <x:f>MAX(0,MIN('Activities'!L351,90)-MAX('Activities'!K351,84))</x:f>
        <x:v>0</x:v>
      </x:c>
      <x:c r="T351" s="23" t="n">
        <x:f>MAX(0,MIN('Activities'!L351,96)-MAX('Activities'!K351,90))</x:f>
        <x:v>0</x:v>
      </x:c>
      <x:c r="U351" s="23" t="n">
        <x:f>MAX(0,MIN('Activities'!L351,102)-MAX('Activities'!K351,96))</x:f>
        <x:v>0</x:v>
      </x:c>
      <x:c r="V351" s="23" t="n">
        <x:f>MAX(0,MIN('Activities'!L351,108)-MAX('Activities'!K351,102))</x:f>
        <x:v>0</x:v>
      </x:c>
      <x:c r="W351" s="23" t="n">
        <x:f>MAX(0,MIN('Activities'!L351,114)-MAX('Activities'!K351,108))</x:f>
        <x:v>0</x:v>
      </x:c>
      <x:c r="X351" s="23" t="n">
        <x:f>MAX(0,MIN('Activities'!L351,120)-MAX('Activities'!K351,114))</x:f>
        <x:v>0</x:v>
      </x:c>
      <x:c r="Y351" s="23" t="n">
        <x:f>MAX(0,MIN('Activities'!L351,126)-MAX('Activities'!K351,120))</x:f>
        <x:v>0</x:v>
      </x:c>
      <x:c r="Z351" s="23" t="n">
        <x:f>MAX(0,MIN('Activities'!L351,132)-MAX('Activities'!K351,126))</x:f>
        <x:v>0</x:v>
      </x:c>
      <x:c r="AA351" s="23" t="n">
        <x:f>MAX(0,MIN('Activities'!L351,138)-MAX('Activities'!K351,132))</x:f>
        <x:v>0</x:v>
      </x:c>
      <x:c r="AB351" s="23" t="n">
        <x:f>MAX(0,MIN('Activities'!L351,144)-MAX('Activities'!K351,138))</x:f>
        <x:v>0</x:v>
      </x:c>
      <x:c r="AC351" s="23" t="n">
        <x:f>MAX(0,MIN('Activities'!L351,150)-MAX('Activities'!K351,144))</x:f>
        <x:v>0</x:v>
      </x:c>
      <x:c r="AD351" s="23" t="n">
        <x:f>MAX(0,MIN('Activities'!L351,156)-MAX('Activities'!K351,150))</x:f>
        <x:v>0</x:v>
      </x:c>
      <x:c r="AE351" s="23" t="n">
        <x:f>MAX(0,MIN('Activities'!L351,162)-MAX('Activities'!K351,156))</x:f>
        <x:v>0</x:v>
      </x:c>
      <x:c r="AF351" s="23" t="n">
        <x:f>MAX(0,MIN('Activities'!L351,168)-MAX('Activities'!K351,162))</x:f>
        <x:v>0</x:v>
      </x:c>
      <x:c r="AG351" s="23" t="n">
        <x:f>MAX(0,MIN('Activities'!L351,174)-MAX('Activities'!K351,168))</x:f>
        <x:v>0</x:v>
      </x:c>
      <x:c r="AH351" s="23" t="n">
        <x:f>MAX(0,MIN('Activities'!L351,180)-MAX('Activities'!K351,174))</x:f>
        <x:v>0</x:v>
      </x:c>
      <x:c r="AI351" s="23" t="n">
        <x:f>MAX(0,MIN('Activities'!L351,186)-MAX('Activities'!K351,180))</x:f>
        <x:v>0</x:v>
      </x:c>
      <x:c r="AJ351" s="23" t="n">
        <x:f>MAX(0,MIN('Activities'!L351,192)-MAX('Activities'!K351,186))</x:f>
        <x:v>0</x:v>
      </x:c>
      <x:c r="AK351" s="23" t="n">
        <x:f>MAX(0,MIN('Activities'!L351,198)-MAX('Activities'!K351,192))</x:f>
        <x:v>0</x:v>
      </x:c>
      <x:c r="AL351" s="23" t="n">
        <x:f>MAX(0,MIN('Activities'!L351,204)-MAX('Activities'!K351,198))</x:f>
        <x:v>0</x:v>
      </x:c>
      <x:c r="AM351" s="23" t="n">
        <x:f>MAX(0,MIN('Activities'!L351,210)-MAX('Activities'!K351,204))</x:f>
        <x:v>0</x:v>
      </x:c>
      <x:c r="AN351" s="23" t="n">
        <x:f>MAX(0,MIN('Activities'!L351,216)-MAX('Activities'!K351,210))</x:f>
        <x:v>0</x:v>
      </x:c>
      <x:c r="AO351" s="23" t="n">
        <x:f>MAX(0,MIN('Activities'!L351,222)-MAX('Activities'!K351,216))</x:f>
        <x:v>0</x:v>
      </x:c>
      <x:c r="AP351" s="23" t="n">
        <x:f>MAX(0,MIN('Activities'!L351,228)-MAX('Activities'!K351,222))</x:f>
        <x:v>0</x:v>
      </x:c>
      <x:c r="AQ351" s="23" t="n">
        <x:f>MAX(0,MIN('Activities'!L351,234)-MAX('Activities'!K351,228))</x:f>
        <x:v>0</x:v>
      </x:c>
      <x:c r="AR351" s="23" t="n">
        <x:f>MAX(0,MIN('Activities'!L351,240)-MAX('Activities'!K351,234))</x:f>
        <x:v>0</x:v>
      </x:c>
      <x:c r="AS351" s="23" t="n">
        <x:f>MAX(0,MIN('Activities'!L351,246)-MAX('Activities'!K351,240))</x:f>
        <x:v>0</x:v>
      </x:c>
      <x:c r="AT351" s="23" t="n">
        <x:f>MAX(0,MIN('Activities'!L351,252)-MAX('Activities'!K351,246))</x:f>
        <x:v>0</x:v>
      </x:c>
      <x:c r="AU351" s="23" t="n">
        <x:f>MAX(0,MIN('Activities'!L351,258)-MAX('Activities'!K351,252))</x:f>
        <x:v>0</x:v>
      </x:c>
      <x:c r="AV351" s="23" t="n">
        <x:f>MAX(0,MIN('Activities'!L351,264)-MAX('Activities'!K351,258))</x:f>
        <x:v>0</x:v>
      </x:c>
      <x:c r="AW351" s="23" t="n">
        <x:f>MAX(0,MIN('Activities'!L351,270)-MAX('Activities'!K351,264))</x:f>
        <x:v>0</x:v>
      </x:c>
      <x:c r="AX351" s="23" t="n">
        <x:f>MAX(0,MIN('Activities'!L351,276)-MAX('Activities'!K351,270))</x:f>
        <x:v>0</x:v>
      </x:c>
      <x:c r="AY351" s="23" t="n">
        <x:f>MAX(0,MIN('Activities'!L351,282)-MAX('Activities'!K351,276))</x:f>
        <x:v>0</x:v>
      </x:c>
      <x:c r="AZ351" s="23" t="n">
        <x:f>MAX(0,MIN('Activities'!L351,288)-MAX('Activities'!K351,282))</x:f>
        <x:v>1</x:v>
      </x:c>
      <x:c r="BA351" s="23" t="n">
        <x:f>MAX(0,MIN('Activities'!L351,294)-MAX('Activities'!K351,288))</x:f>
        <x:v>2</x:v>
      </x:c>
      <x:c r="BB351" s="23" t="n">
        <x:f>MAX(0,MIN('Activities'!L351,300)-MAX('Activities'!K351,294))</x:f>
        <x:v>0</x:v>
      </x:c>
      <x:c r="BC351" s="23" t="n">
        <x:f>MAX(0,MIN('Activities'!L351,306)-MAX('Activities'!K351,300))</x:f>
        <x:v>0</x:v>
      </x:c>
      <x:c r="BD351" s="23" t="n">
        <x:f>MAX(0,MIN('Activities'!L351,312)-MAX('Activities'!K351,306))</x:f>
        <x:v>0</x:v>
      </x:c>
      <x:c r="BE351" s="23" t="n">
        <x:f>MAX(0,MIN('Activities'!L351,318)-MAX('Activities'!K351,312))</x:f>
        <x:v>0</x:v>
      </x:c>
      <x:c r="BF351" s="23" t="n">
        <x:f>MAX(0,MIN('Activities'!L351,324)-MAX('Activities'!K351,318))</x:f>
        <x:v>0</x:v>
      </x:c>
      <x:c r="BG351" s="23" t="n">
        <x:f>MAX(0,MIN('Activities'!L351,330)-MAX('Activities'!K351,324))</x:f>
        <x:v>0</x:v>
      </x:c>
      <x:c r="BH351" s="23" t="n">
        <x:f>MAX(0,MIN('Activities'!L351,336)-MAX('Activities'!K351,330))</x:f>
        <x:v>0</x:v>
      </x:c>
      <x:c r="BI351" s="23" t="n">
        <x:f>MAX(0,MIN('Activities'!L351,342)-MAX('Activities'!K351,336))</x:f>
        <x:v>0</x:v>
      </x:c>
      <x:c r="BJ351" s="23" t="n">
        <x:f>MAX(0,MIN('Activities'!L351,348)-MAX('Activities'!K351,342))</x:f>
        <x:v>0</x:v>
      </x:c>
      <x:c r="BK351" s="23" t="n">
        <x:f>MAX(0,MIN('Activities'!L351,354)-MAX('Activities'!K351,348))</x:f>
        <x:v>0</x:v>
      </x:c>
      <x:c r="BL351" s="23" t="n">
        <x:f>MAX(0,MIN('Activities'!L351,360)-MAX('Activities'!K351,354))</x:f>
        <x:v>0</x:v>
      </x:c>
      <x:c r="BM351" s="23" t="n">
        <x:f>MAX(0,MIN('Activities'!L351,366)-MAX('Activities'!K351,360))</x:f>
        <x:v>0</x:v>
      </x:c>
      <x:c r="BN351" s="23" t="n">
        <x:f>MAX(0,MIN('Activities'!L351,372)-MAX('Activities'!K351,366))</x:f>
        <x:v>0</x:v>
      </x:c>
      <x:c r="BO351" s="23" t="n">
        <x:f>MAX(0,MIN('Activities'!L351,378)-MAX('Activities'!K351,372))</x:f>
        <x:v>0</x:v>
      </x:c>
      <x:c r="BP351" s="23" t="n">
        <x:f>MAX(0,MIN('Activities'!L351,384)-MAX('Activities'!K351,378))</x:f>
        <x:v>0</x:v>
      </x:c>
      <x:c r="BQ351" s="23" t="n">
        <x:f>MAX(0,MIN('Activities'!L351,390)-MAX('Activities'!K351,384))</x:f>
        <x:v>0</x:v>
      </x:c>
      <x:c r="BR351" s="23" t="n">
        <x:f>MAX(0,MIN('Activities'!L351,396)-MAX('Activities'!K351,390))</x:f>
        <x:v>0</x:v>
      </x:c>
      <x:c r="BS351" s="23" t="n">
        <x:f>MAX(0,MIN('Activities'!L351,402)-MAX('Activities'!K351,396))</x:f>
        <x:v>0</x:v>
      </x:c>
      <x:c r="BT351" s="23" t="n">
        <x:f>MAX(0,MIN('Activities'!L351,408)-MAX('Activities'!K351,402))</x:f>
        <x:v>0</x:v>
      </x:c>
      <x:c r="BU351" s="23" t="n">
        <x:f>MAX(0,MIN('Activities'!L351,414)-MAX('Activities'!K351,408))</x:f>
        <x:v>0</x:v>
      </x:c>
      <x:c r="BV351" s="23" t="n">
        <x:f>MAX(0,MIN('Activities'!L351,420)-MAX('Activities'!K351,414))</x:f>
        <x:v>0</x:v>
      </x:c>
      <x:c r="BW351" s="23" t="n">
        <x:f>MAX(0,MIN('Activities'!L351,426)-MAX('Activities'!K351,420))</x:f>
        <x:v>0</x:v>
      </x:c>
      <x:c r="BX351" s="23" t="n">
        <x:f>MAX(0,MIN('Activities'!L351,432)-MAX('Activities'!K351,426))</x:f>
        <x:v>0</x:v>
      </x:c>
      <x:c r="BY351" s="23" t="n">
        <x:f>MAX(0,MIN('Activities'!L351,438)-MAX('Activities'!K351,432))</x:f>
        <x:v>0</x:v>
      </x:c>
      <x:c r="BZ351" s="23" t="n">
        <x:f>MAX(0,MIN('Activities'!L351,444)-MAX('Activities'!K351,438))</x:f>
        <x:v>0</x:v>
      </x:c>
      <x:c r="CA351" s="23" t="n">
        <x:f>MAX(0,MIN('Activities'!L351,450)-MAX('Activities'!K351,444))</x:f>
        <x:v>0</x:v>
      </x:c>
      <x:c r="CB351" s="23" t="n">
        <x:f>MAX(0,MIN('Activities'!L351,456)-MAX('Activities'!K351,450))</x:f>
        <x:v>0</x:v>
      </x:c>
      <x:c r="CC351" s="23" t="n">
        <x:f>MAX(0,MIN('Activities'!L351,462)-MAX('Activities'!K351,456))</x:f>
        <x:v>0</x:v>
      </x:c>
      <x:c r="CD351" s="23" t="n">
        <x:f>MAX(0,MIN('Activities'!L351,468)-MAX('Activities'!K351,462))</x:f>
        <x:v>0</x:v>
      </x:c>
      <x:c r="CE351" s="23" t="n">
        <x:f>MAX(0,MIN('Activities'!L351,474)-MAX('Activities'!K351,468))</x:f>
        <x:v>0</x:v>
      </x:c>
      <x:c r="CF351" s="23" t="n">
        <x:f>MAX(0,MIN('Activities'!L351,480)-MAX('Activities'!K351,474))</x:f>
        <x:v>0</x:v>
      </x:c>
      <x:c r="CG351" s="23" t="n">
        <x:f>MAX(0,MIN('Activities'!L351,486)-MAX('Activities'!K351,480))</x:f>
        <x:v>0</x:v>
      </x:c>
      <x:c r="CH351" s="23" t="n">
        <x:f>MAX(0,MIN('Activities'!L351,492)-MAX('Activities'!K351,486))</x:f>
        <x:v>0</x:v>
      </x:c>
      <x:c r="CI351" s="23" t="n">
        <x:f>MAX(0,MIN('Activities'!L351,498)-MAX('Activities'!K351,492))</x:f>
        <x:v>0</x:v>
      </x:c>
      <x:c r="CJ351" s="23" t="n">
        <x:f>MAX(0,MIN('Activities'!L351,504)-MAX('Activities'!K351,498))</x:f>
        <x:v>0</x:v>
      </x:c>
      <x:c r="CK351" s="23" t="n">
        <x:f>MAX(0,MIN('Activities'!L351,510)-MAX('Activities'!K351,504))</x:f>
        <x:v>0</x:v>
      </x:c>
      <x:c r="CL351" s="23" t="n">
        <x:f>MAX(0,MIN('Activities'!L351,516)-MAX('Activities'!K351,510))</x:f>
        <x:v>0</x:v>
      </x:c>
      <x:c r="CM351" s="23" t="n">
        <x:f>MAX(0,MIN('Activities'!L351,522)-MAX('Activities'!K351,516))</x:f>
        <x:v>0</x:v>
      </x:c>
      <x:c r="CN351" s="23" t="n">
        <x:f>MAX(0,MIN('Activities'!L351,528)-MAX('Activities'!K351,522))</x:f>
        <x:v>0</x:v>
      </x:c>
      <x:c r="CO351" s="23" t="n">
        <x:f>MAX(0,MIN('Activities'!L351,534)-MAX('Activities'!K351,528))</x:f>
        <x:v>0</x:v>
      </x:c>
      <x:c r="CP351" s="23" t="n">
        <x:f>MAX(0,MIN('Activities'!L351,540)-MAX('Activities'!K351,534))</x:f>
        <x:v>0</x:v>
      </x:c>
      <x:c r="CQ351" s="23" t="n">
        <x:f>MAX(0,MIN('Activities'!L351,546)-MAX('Activities'!K351,540))</x:f>
        <x:v>0</x:v>
      </x:c>
      <x:c r="CR351" s="23" t="n">
        <x:f>MAX(0,MIN('Activities'!L351,552)-MAX('Activities'!K351,546))</x:f>
        <x:v>0</x:v>
      </x:c>
      <x:c r="CS351" s="23" t="n">
        <x:f>MAX(0,MIN('Activities'!L351,558)-MAX('Activities'!K351,552))</x:f>
        <x:v>0</x:v>
      </x:c>
      <x:c r="CT351" s="23" t="n">
        <x:f>MAX(0,MIN('Activities'!L351,564)-MAX('Activities'!K351,558))</x:f>
        <x:v>0</x:v>
      </x:c>
      <x:c r="CU351" s="23" t="n">
        <x:f>MAX(0,MIN('Activities'!L351,570)-MAX('Activities'!K351,564))</x:f>
        <x:v>0</x:v>
      </x:c>
      <x:c r="CV351" s="23" t="n">
        <x:f>MAX(0,MIN('Activities'!L351,576)-MAX('Activities'!K351,570))</x:f>
        <x:v>0</x:v>
      </x:c>
      <x:c r="CW351" s="23" t="n">
        <x:f>MAX(0,MIN('Activities'!L351,582)-MAX('Activities'!K351,576))</x:f>
        <x:v>0</x:v>
      </x:c>
      <x:c r="CX351" s="23" t="n">
        <x:f>MAX(0,MIN('Activities'!L351,588)-MAX('Activities'!K351,582))</x:f>
        <x:v>0</x:v>
      </x:c>
      <x:c r="CY351" s="23" t="n">
        <x:f>MAX(0,MIN('Activities'!L351,594)-MAX('Activities'!K351,588))</x:f>
        <x:v>0</x:v>
      </x:c>
      <x:c r="CZ351" s="23" t="n">
        <x:f>MAX(0,MIN('Activities'!L351,600)-MAX('Activities'!K351,594))</x:f>
        <x:v>0</x:v>
      </x:c>
      <x:c r="DA351" s="23" t="n">
        <x:f>MAX(0,MIN('Activities'!L351,606)-MAX('Activities'!K351,600))</x:f>
        <x:v>0</x:v>
      </x:c>
      <x:c r="DB351" s="23" t="n">
        <x:f>MAX(0,MIN('Activities'!L351,612)-MAX('Activities'!K351,606))</x:f>
        <x:v>0</x:v>
      </x:c>
      <x:c r="DC351" s="23" t="n">
        <x:f>MAX(0,MIN('Activities'!L351,618)-MAX('Activities'!K351,612))</x:f>
        <x:v>0</x:v>
      </x:c>
      <x:c r="DD351" s="23" t="n">
        <x:f>MAX(0,MIN('Activities'!L351,624)-MAX('Activities'!K351,618))</x:f>
        <x:v>0</x:v>
      </x:c>
      <x:c r="DE351" s="23" t="n">
        <x:f>MAX(0,MIN('Activities'!L351,630)-MAX('Activities'!K351,624))</x:f>
        <x:v>0</x:v>
      </x:c>
      <x:c r="DF351" s="23" t="n">
        <x:f>MAX(0,MIN('Activities'!L351,636)-MAX('Activities'!K351,630))</x:f>
        <x:v>0</x:v>
      </x:c>
    </x:row>
    <x:row r="352" ht="23" customHeight="1">
      <x:c r="A352" s="6" t="str">
        <x:v>T3-L02-T</x:v>
      </x:c>
      <x:c r="B352" s="6" t="str">
        <x:v>T3</x:v>
      </x:c>
      <x:c r="C352" s="6" t="str">
        <x:v>Floor finishes and skirtings</x:v>
      </x:c>
      <x:c r="D352" s="6" t="str">
        <x:v>Finishes</x:v>
      </x:c>
      <x:c r="E352" s="22" t="n">
        <x:f>MAX(0,MIN('Activities'!L352,6)-MAX('Activities'!K352,0))</x:f>
        <x:v>0</x:v>
      </x:c>
      <x:c r="F352" s="22" t="n">
        <x:f>MAX(0,MIN('Activities'!L352,12)-MAX('Activities'!K352,6))</x:f>
        <x:v>0</x:v>
      </x:c>
      <x:c r="G352" s="22" t="n">
        <x:f>MAX(0,MIN('Activities'!L352,18)-MAX('Activities'!K352,12))</x:f>
        <x:v>0</x:v>
      </x:c>
      <x:c r="H352" s="22" t="n">
        <x:f>MAX(0,MIN('Activities'!L352,24)-MAX('Activities'!K352,18))</x:f>
        <x:v>0</x:v>
      </x:c>
      <x:c r="I352" s="22" t="n">
        <x:f>MAX(0,MIN('Activities'!L352,30)-MAX('Activities'!K352,24))</x:f>
        <x:v>0</x:v>
      </x:c>
      <x:c r="J352" s="22" t="n">
        <x:f>MAX(0,MIN('Activities'!L352,36)-MAX('Activities'!K352,30))</x:f>
        <x:v>0</x:v>
      </x:c>
      <x:c r="K352" s="22" t="n">
        <x:f>MAX(0,MIN('Activities'!L352,42)-MAX('Activities'!K352,36))</x:f>
        <x:v>0</x:v>
      </x:c>
      <x:c r="L352" s="22" t="n">
        <x:f>MAX(0,MIN('Activities'!L352,48)-MAX('Activities'!K352,42))</x:f>
        <x:v>0</x:v>
      </x:c>
      <x:c r="M352" s="22" t="n">
        <x:f>MAX(0,MIN('Activities'!L352,54)-MAX('Activities'!K352,48))</x:f>
        <x:v>0</x:v>
      </x:c>
      <x:c r="N352" s="22" t="n">
        <x:f>MAX(0,MIN('Activities'!L352,60)-MAX('Activities'!K352,54))</x:f>
        <x:v>0</x:v>
      </x:c>
      <x:c r="O352" s="22" t="n">
        <x:f>MAX(0,MIN('Activities'!L352,66)-MAX('Activities'!K352,60))</x:f>
        <x:v>0</x:v>
      </x:c>
      <x:c r="P352" s="22" t="n">
        <x:f>MAX(0,MIN('Activities'!L352,72)-MAX('Activities'!K352,66))</x:f>
        <x:v>0</x:v>
      </x:c>
      <x:c r="Q352" s="22" t="n">
        <x:f>MAX(0,MIN('Activities'!L352,78)-MAX('Activities'!K352,72))</x:f>
        <x:v>0</x:v>
      </x:c>
      <x:c r="R352" s="22" t="n">
        <x:f>MAX(0,MIN('Activities'!L352,84)-MAX('Activities'!K352,78))</x:f>
        <x:v>0</x:v>
      </x:c>
      <x:c r="S352" s="22" t="n">
        <x:f>MAX(0,MIN('Activities'!L352,90)-MAX('Activities'!K352,84))</x:f>
        <x:v>0</x:v>
      </x:c>
      <x:c r="T352" s="22" t="n">
        <x:f>MAX(0,MIN('Activities'!L352,96)-MAX('Activities'!K352,90))</x:f>
        <x:v>0</x:v>
      </x:c>
      <x:c r="U352" s="22" t="n">
        <x:f>MAX(0,MIN('Activities'!L352,102)-MAX('Activities'!K352,96))</x:f>
        <x:v>0</x:v>
      </x:c>
      <x:c r="V352" s="22" t="n">
        <x:f>MAX(0,MIN('Activities'!L352,108)-MAX('Activities'!K352,102))</x:f>
        <x:v>0</x:v>
      </x:c>
      <x:c r="W352" s="22" t="n">
        <x:f>MAX(0,MIN('Activities'!L352,114)-MAX('Activities'!K352,108))</x:f>
        <x:v>0</x:v>
      </x:c>
      <x:c r="X352" s="22" t="n">
        <x:f>MAX(0,MIN('Activities'!L352,120)-MAX('Activities'!K352,114))</x:f>
        <x:v>0</x:v>
      </x:c>
      <x:c r="Y352" s="22" t="n">
        <x:f>MAX(0,MIN('Activities'!L352,126)-MAX('Activities'!K352,120))</x:f>
        <x:v>0</x:v>
      </x:c>
      <x:c r="Z352" s="22" t="n">
        <x:f>MAX(0,MIN('Activities'!L352,132)-MAX('Activities'!K352,126))</x:f>
        <x:v>0</x:v>
      </x:c>
      <x:c r="AA352" s="22" t="n">
        <x:f>MAX(0,MIN('Activities'!L352,138)-MAX('Activities'!K352,132))</x:f>
        <x:v>0</x:v>
      </x:c>
      <x:c r="AB352" s="22" t="n">
        <x:f>MAX(0,MIN('Activities'!L352,144)-MAX('Activities'!K352,138))</x:f>
        <x:v>0</x:v>
      </x:c>
      <x:c r="AC352" s="22" t="n">
        <x:f>MAX(0,MIN('Activities'!L352,150)-MAX('Activities'!K352,144))</x:f>
        <x:v>0</x:v>
      </x:c>
      <x:c r="AD352" s="22" t="n">
        <x:f>MAX(0,MIN('Activities'!L352,156)-MAX('Activities'!K352,150))</x:f>
        <x:v>0</x:v>
      </x:c>
      <x:c r="AE352" s="22" t="n">
        <x:f>MAX(0,MIN('Activities'!L352,162)-MAX('Activities'!K352,156))</x:f>
        <x:v>0</x:v>
      </x:c>
      <x:c r="AF352" s="22" t="n">
        <x:f>MAX(0,MIN('Activities'!L352,168)-MAX('Activities'!K352,162))</x:f>
        <x:v>0</x:v>
      </x:c>
      <x:c r="AG352" s="22" t="n">
        <x:f>MAX(0,MIN('Activities'!L352,174)-MAX('Activities'!K352,168))</x:f>
        <x:v>0</x:v>
      </x:c>
      <x:c r="AH352" s="22" t="n">
        <x:f>MAX(0,MIN('Activities'!L352,180)-MAX('Activities'!K352,174))</x:f>
        <x:v>0</x:v>
      </x:c>
      <x:c r="AI352" s="22" t="n">
        <x:f>MAX(0,MIN('Activities'!L352,186)-MAX('Activities'!K352,180))</x:f>
        <x:v>0</x:v>
      </x:c>
      <x:c r="AJ352" s="22" t="n">
        <x:f>MAX(0,MIN('Activities'!L352,192)-MAX('Activities'!K352,186))</x:f>
        <x:v>0</x:v>
      </x:c>
      <x:c r="AK352" s="22" t="n">
        <x:f>MAX(0,MIN('Activities'!L352,198)-MAX('Activities'!K352,192))</x:f>
        <x:v>0</x:v>
      </x:c>
      <x:c r="AL352" s="22" t="n">
        <x:f>MAX(0,MIN('Activities'!L352,204)-MAX('Activities'!K352,198))</x:f>
        <x:v>0</x:v>
      </x:c>
      <x:c r="AM352" s="22" t="n">
        <x:f>MAX(0,MIN('Activities'!L352,210)-MAX('Activities'!K352,204))</x:f>
        <x:v>0</x:v>
      </x:c>
      <x:c r="AN352" s="22" t="n">
        <x:f>MAX(0,MIN('Activities'!L352,216)-MAX('Activities'!K352,210))</x:f>
        <x:v>0</x:v>
      </x:c>
      <x:c r="AO352" s="22" t="n">
        <x:f>MAX(0,MIN('Activities'!L352,222)-MAX('Activities'!K352,216))</x:f>
        <x:v>0</x:v>
      </x:c>
      <x:c r="AP352" s="22" t="n">
        <x:f>MAX(0,MIN('Activities'!L352,228)-MAX('Activities'!K352,222))</x:f>
        <x:v>0</x:v>
      </x:c>
      <x:c r="AQ352" s="22" t="n">
        <x:f>MAX(0,MIN('Activities'!L352,234)-MAX('Activities'!K352,228))</x:f>
        <x:v>0</x:v>
      </x:c>
      <x:c r="AR352" s="22" t="n">
        <x:f>MAX(0,MIN('Activities'!L352,240)-MAX('Activities'!K352,234))</x:f>
        <x:v>0</x:v>
      </x:c>
      <x:c r="AS352" s="22" t="n">
        <x:f>MAX(0,MIN('Activities'!L352,246)-MAX('Activities'!K352,240))</x:f>
        <x:v>0</x:v>
      </x:c>
      <x:c r="AT352" s="22" t="n">
        <x:f>MAX(0,MIN('Activities'!L352,252)-MAX('Activities'!K352,246))</x:f>
        <x:v>0</x:v>
      </x:c>
      <x:c r="AU352" s="22" t="n">
        <x:f>MAX(0,MIN('Activities'!L352,258)-MAX('Activities'!K352,252))</x:f>
        <x:v>0</x:v>
      </x:c>
      <x:c r="AV352" s="22" t="n">
        <x:f>MAX(0,MIN('Activities'!L352,264)-MAX('Activities'!K352,258))</x:f>
        <x:v>0</x:v>
      </x:c>
      <x:c r="AW352" s="22" t="n">
        <x:f>MAX(0,MIN('Activities'!L352,270)-MAX('Activities'!K352,264))</x:f>
        <x:v>0</x:v>
      </x:c>
      <x:c r="AX352" s="22" t="n">
        <x:f>MAX(0,MIN('Activities'!L352,276)-MAX('Activities'!K352,270))</x:f>
        <x:v>0</x:v>
      </x:c>
      <x:c r="AY352" s="22" t="n">
        <x:f>MAX(0,MIN('Activities'!L352,282)-MAX('Activities'!K352,276))</x:f>
        <x:v>0</x:v>
      </x:c>
      <x:c r="AZ352" s="22" t="n">
        <x:f>MAX(0,MIN('Activities'!L352,288)-MAX('Activities'!K352,282))</x:f>
        <x:v>0</x:v>
      </x:c>
      <x:c r="BA352" s="22" t="n">
        <x:f>MAX(0,MIN('Activities'!L352,294)-MAX('Activities'!K352,288))</x:f>
        <x:v>0</x:v>
      </x:c>
      <x:c r="BB352" s="22" t="n">
        <x:f>MAX(0,MIN('Activities'!L352,300)-MAX('Activities'!K352,294))</x:f>
        <x:v>0</x:v>
      </x:c>
      <x:c r="BC352" s="22" t="n">
        <x:f>MAX(0,MIN('Activities'!L352,306)-MAX('Activities'!K352,300))</x:f>
        <x:v>0</x:v>
      </x:c>
      <x:c r="BD352" s="22" t="n">
        <x:f>MAX(0,MIN('Activities'!L352,312)-MAX('Activities'!K352,306))</x:f>
        <x:v>0</x:v>
      </x:c>
      <x:c r="BE352" s="22" t="n">
        <x:f>MAX(0,MIN('Activities'!L352,318)-MAX('Activities'!K352,312))</x:f>
        <x:v>0</x:v>
      </x:c>
      <x:c r="BF352" s="22" t="n">
        <x:f>MAX(0,MIN('Activities'!L352,324)-MAX('Activities'!K352,318))</x:f>
        <x:v>0</x:v>
      </x:c>
      <x:c r="BG352" s="22" t="n">
        <x:f>MAX(0,MIN('Activities'!L352,330)-MAX('Activities'!K352,324))</x:f>
        <x:v>0</x:v>
      </x:c>
      <x:c r="BH352" s="22" t="n">
        <x:f>MAX(0,MIN('Activities'!L352,336)-MAX('Activities'!K352,330))</x:f>
        <x:v>0</x:v>
      </x:c>
      <x:c r="BI352" s="22" t="n">
        <x:f>MAX(0,MIN('Activities'!L352,342)-MAX('Activities'!K352,336))</x:f>
        <x:v>0</x:v>
      </x:c>
      <x:c r="BJ352" s="22" t="n">
        <x:f>MAX(0,MIN('Activities'!L352,348)-MAX('Activities'!K352,342))</x:f>
        <x:v>0</x:v>
      </x:c>
      <x:c r="BK352" s="22" t="n">
        <x:f>MAX(0,MIN('Activities'!L352,354)-MAX('Activities'!K352,348))</x:f>
        <x:v>0</x:v>
      </x:c>
      <x:c r="BL352" s="22" t="n">
        <x:f>MAX(0,MIN('Activities'!L352,360)-MAX('Activities'!K352,354))</x:f>
        <x:v>0</x:v>
      </x:c>
      <x:c r="BM352" s="22" t="n">
        <x:f>MAX(0,MIN('Activities'!L352,366)-MAX('Activities'!K352,360))</x:f>
        <x:v>0</x:v>
      </x:c>
      <x:c r="BN352" s="22" t="n">
        <x:f>MAX(0,MIN('Activities'!L352,372)-MAX('Activities'!K352,366))</x:f>
        <x:v>0</x:v>
      </x:c>
      <x:c r="BO352" s="22" t="n">
        <x:f>MAX(0,MIN('Activities'!L352,378)-MAX('Activities'!K352,372))</x:f>
        <x:v>0</x:v>
      </x:c>
      <x:c r="BP352" s="22" t="n">
        <x:f>MAX(0,MIN('Activities'!L352,384)-MAX('Activities'!K352,378))</x:f>
        <x:v>0</x:v>
      </x:c>
      <x:c r="BQ352" s="22" t="n">
        <x:f>MAX(0,MIN('Activities'!L352,390)-MAX('Activities'!K352,384))</x:f>
        <x:v>0</x:v>
      </x:c>
      <x:c r="BR352" s="22" t="n">
        <x:f>MAX(0,MIN('Activities'!L352,396)-MAX('Activities'!K352,390))</x:f>
        <x:v>0</x:v>
      </x:c>
      <x:c r="BS352" s="22" t="n">
        <x:f>MAX(0,MIN('Activities'!L352,402)-MAX('Activities'!K352,396))</x:f>
        <x:v>0</x:v>
      </x:c>
      <x:c r="BT352" s="22" t="n">
        <x:f>MAX(0,MIN('Activities'!L352,408)-MAX('Activities'!K352,402))</x:f>
        <x:v>0</x:v>
      </x:c>
      <x:c r="BU352" s="22" t="n">
        <x:f>MAX(0,MIN('Activities'!L352,414)-MAX('Activities'!K352,408))</x:f>
        <x:v>0</x:v>
      </x:c>
      <x:c r="BV352" s="22" t="n">
        <x:f>MAX(0,MIN('Activities'!L352,420)-MAX('Activities'!K352,414))</x:f>
        <x:v>0</x:v>
      </x:c>
      <x:c r="BW352" s="22" t="n">
        <x:f>MAX(0,MIN('Activities'!L352,426)-MAX('Activities'!K352,420))</x:f>
        <x:v>1</x:v>
      </x:c>
      <x:c r="BX352" s="22" t="n">
        <x:f>MAX(0,MIN('Activities'!L352,432)-MAX('Activities'!K352,426))</x:f>
        <x:v>5</x:v>
      </x:c>
      <x:c r="BY352" s="22" t="n">
        <x:f>MAX(0,MIN('Activities'!L352,438)-MAX('Activities'!K352,432))</x:f>
        <x:v>0</x:v>
      </x:c>
      <x:c r="BZ352" s="22" t="n">
        <x:f>MAX(0,MIN('Activities'!L352,444)-MAX('Activities'!K352,438))</x:f>
        <x:v>0</x:v>
      </x:c>
      <x:c r="CA352" s="22" t="n">
        <x:f>MAX(0,MIN('Activities'!L352,450)-MAX('Activities'!K352,444))</x:f>
        <x:v>0</x:v>
      </x:c>
      <x:c r="CB352" s="22" t="n">
        <x:f>MAX(0,MIN('Activities'!L352,456)-MAX('Activities'!K352,450))</x:f>
        <x:v>0</x:v>
      </x:c>
      <x:c r="CC352" s="22" t="n">
        <x:f>MAX(0,MIN('Activities'!L352,462)-MAX('Activities'!K352,456))</x:f>
        <x:v>0</x:v>
      </x:c>
      <x:c r="CD352" s="22" t="n">
        <x:f>MAX(0,MIN('Activities'!L352,468)-MAX('Activities'!K352,462))</x:f>
        <x:v>0</x:v>
      </x:c>
      <x:c r="CE352" s="22" t="n">
        <x:f>MAX(0,MIN('Activities'!L352,474)-MAX('Activities'!K352,468))</x:f>
        <x:v>0</x:v>
      </x:c>
      <x:c r="CF352" s="22" t="n">
        <x:f>MAX(0,MIN('Activities'!L352,480)-MAX('Activities'!K352,474))</x:f>
        <x:v>0</x:v>
      </x:c>
      <x:c r="CG352" s="22" t="n">
        <x:f>MAX(0,MIN('Activities'!L352,486)-MAX('Activities'!K352,480))</x:f>
        <x:v>0</x:v>
      </x:c>
      <x:c r="CH352" s="22" t="n">
        <x:f>MAX(0,MIN('Activities'!L352,492)-MAX('Activities'!K352,486))</x:f>
        <x:v>0</x:v>
      </x:c>
      <x:c r="CI352" s="22" t="n">
        <x:f>MAX(0,MIN('Activities'!L352,498)-MAX('Activities'!K352,492))</x:f>
        <x:v>0</x:v>
      </x:c>
      <x:c r="CJ352" s="22" t="n">
        <x:f>MAX(0,MIN('Activities'!L352,504)-MAX('Activities'!K352,498))</x:f>
        <x:v>0</x:v>
      </x:c>
      <x:c r="CK352" s="22" t="n">
        <x:f>MAX(0,MIN('Activities'!L352,510)-MAX('Activities'!K352,504))</x:f>
        <x:v>0</x:v>
      </x:c>
      <x:c r="CL352" s="22" t="n">
        <x:f>MAX(0,MIN('Activities'!L352,516)-MAX('Activities'!K352,510))</x:f>
        <x:v>0</x:v>
      </x:c>
      <x:c r="CM352" s="22" t="n">
        <x:f>MAX(0,MIN('Activities'!L352,522)-MAX('Activities'!K352,516))</x:f>
        <x:v>0</x:v>
      </x:c>
      <x:c r="CN352" s="22" t="n">
        <x:f>MAX(0,MIN('Activities'!L352,528)-MAX('Activities'!K352,522))</x:f>
        <x:v>0</x:v>
      </x:c>
      <x:c r="CO352" s="22" t="n">
        <x:f>MAX(0,MIN('Activities'!L352,534)-MAX('Activities'!K352,528))</x:f>
        <x:v>0</x:v>
      </x:c>
      <x:c r="CP352" s="22" t="n">
        <x:f>MAX(0,MIN('Activities'!L352,540)-MAX('Activities'!K352,534))</x:f>
        <x:v>0</x:v>
      </x:c>
      <x:c r="CQ352" s="22" t="n">
        <x:f>MAX(0,MIN('Activities'!L352,546)-MAX('Activities'!K352,540))</x:f>
        <x:v>0</x:v>
      </x:c>
      <x:c r="CR352" s="22" t="n">
        <x:f>MAX(0,MIN('Activities'!L352,552)-MAX('Activities'!K352,546))</x:f>
        <x:v>0</x:v>
      </x:c>
      <x:c r="CS352" s="22" t="n">
        <x:f>MAX(0,MIN('Activities'!L352,558)-MAX('Activities'!K352,552))</x:f>
        <x:v>0</x:v>
      </x:c>
      <x:c r="CT352" s="22" t="n">
        <x:f>MAX(0,MIN('Activities'!L352,564)-MAX('Activities'!K352,558))</x:f>
        <x:v>0</x:v>
      </x:c>
      <x:c r="CU352" s="22" t="n">
        <x:f>MAX(0,MIN('Activities'!L352,570)-MAX('Activities'!K352,564))</x:f>
        <x:v>0</x:v>
      </x:c>
      <x:c r="CV352" s="22" t="n">
        <x:f>MAX(0,MIN('Activities'!L352,576)-MAX('Activities'!K352,570))</x:f>
        <x:v>0</x:v>
      </x:c>
      <x:c r="CW352" s="22" t="n">
        <x:f>MAX(0,MIN('Activities'!L352,582)-MAX('Activities'!K352,576))</x:f>
        <x:v>0</x:v>
      </x:c>
      <x:c r="CX352" s="22" t="n">
        <x:f>MAX(0,MIN('Activities'!L352,588)-MAX('Activities'!K352,582))</x:f>
        <x:v>0</x:v>
      </x:c>
      <x:c r="CY352" s="22" t="n">
        <x:f>MAX(0,MIN('Activities'!L352,594)-MAX('Activities'!K352,588))</x:f>
        <x:v>0</x:v>
      </x:c>
      <x:c r="CZ352" s="22" t="n">
        <x:f>MAX(0,MIN('Activities'!L352,600)-MAX('Activities'!K352,594))</x:f>
        <x:v>0</x:v>
      </x:c>
      <x:c r="DA352" s="22" t="n">
        <x:f>MAX(0,MIN('Activities'!L352,606)-MAX('Activities'!K352,600))</x:f>
        <x:v>0</x:v>
      </x:c>
      <x:c r="DB352" s="22" t="n">
        <x:f>MAX(0,MIN('Activities'!L352,612)-MAX('Activities'!K352,606))</x:f>
        <x:v>0</x:v>
      </x:c>
      <x:c r="DC352" s="22" t="n">
        <x:f>MAX(0,MIN('Activities'!L352,618)-MAX('Activities'!K352,612))</x:f>
        <x:v>0</x:v>
      </x:c>
      <x:c r="DD352" s="22" t="n">
        <x:f>MAX(0,MIN('Activities'!L352,624)-MAX('Activities'!K352,618))</x:f>
        <x:v>0</x:v>
      </x:c>
      <x:c r="DE352" s="22" t="n">
        <x:f>MAX(0,MIN('Activities'!L352,630)-MAX('Activities'!K352,624))</x:f>
        <x:v>0</x:v>
      </x:c>
      <x:c r="DF352" s="22" t="n">
        <x:f>MAX(0,MIN('Activities'!L352,636)-MAX('Activities'!K352,630))</x:f>
        <x:v>0</x:v>
      </x:c>
    </x:row>
    <x:row r="353" ht="23" customHeight="1">
      <x:c r="A353" s="1" t="str">
        <x:v>T3-L02-A</x:v>
      </x:c>
      <x:c r="B353" s="1" t="str">
        <x:v>T3</x:v>
      </x:c>
      <x:c r="C353" s="1" t="str">
        <x:v>Paint and final decorations</x:v>
      </x:c>
      <x:c r="D353" s="1" t="str">
        <x:v>Finishes</x:v>
      </x:c>
      <x:c r="E353" s="23" t="n">
        <x:f>MAX(0,MIN('Activities'!L353,6)-MAX('Activities'!K353,0))</x:f>
        <x:v>0</x:v>
      </x:c>
      <x:c r="F353" s="23" t="n">
        <x:f>MAX(0,MIN('Activities'!L353,12)-MAX('Activities'!K353,6))</x:f>
        <x:v>0</x:v>
      </x:c>
      <x:c r="G353" s="23" t="n">
        <x:f>MAX(0,MIN('Activities'!L353,18)-MAX('Activities'!K353,12))</x:f>
        <x:v>0</x:v>
      </x:c>
      <x:c r="H353" s="23" t="n">
        <x:f>MAX(0,MIN('Activities'!L353,24)-MAX('Activities'!K353,18))</x:f>
        <x:v>0</x:v>
      </x:c>
      <x:c r="I353" s="23" t="n">
        <x:f>MAX(0,MIN('Activities'!L353,30)-MAX('Activities'!K353,24))</x:f>
        <x:v>0</x:v>
      </x:c>
      <x:c r="J353" s="23" t="n">
        <x:f>MAX(0,MIN('Activities'!L353,36)-MAX('Activities'!K353,30))</x:f>
        <x:v>0</x:v>
      </x:c>
      <x:c r="K353" s="23" t="n">
        <x:f>MAX(0,MIN('Activities'!L353,42)-MAX('Activities'!K353,36))</x:f>
        <x:v>0</x:v>
      </x:c>
      <x:c r="L353" s="23" t="n">
        <x:f>MAX(0,MIN('Activities'!L353,48)-MAX('Activities'!K353,42))</x:f>
        <x:v>0</x:v>
      </x:c>
      <x:c r="M353" s="23" t="n">
        <x:f>MAX(0,MIN('Activities'!L353,54)-MAX('Activities'!K353,48))</x:f>
        <x:v>0</x:v>
      </x:c>
      <x:c r="N353" s="23" t="n">
        <x:f>MAX(0,MIN('Activities'!L353,60)-MAX('Activities'!K353,54))</x:f>
        <x:v>0</x:v>
      </x:c>
      <x:c r="O353" s="23" t="n">
        <x:f>MAX(0,MIN('Activities'!L353,66)-MAX('Activities'!K353,60))</x:f>
        <x:v>0</x:v>
      </x:c>
      <x:c r="P353" s="23" t="n">
        <x:f>MAX(0,MIN('Activities'!L353,72)-MAX('Activities'!K353,66))</x:f>
        <x:v>0</x:v>
      </x:c>
      <x:c r="Q353" s="23" t="n">
        <x:f>MAX(0,MIN('Activities'!L353,78)-MAX('Activities'!K353,72))</x:f>
        <x:v>0</x:v>
      </x:c>
      <x:c r="R353" s="23" t="n">
        <x:f>MAX(0,MIN('Activities'!L353,84)-MAX('Activities'!K353,78))</x:f>
        <x:v>0</x:v>
      </x:c>
      <x:c r="S353" s="23" t="n">
        <x:f>MAX(0,MIN('Activities'!L353,90)-MAX('Activities'!K353,84))</x:f>
        <x:v>0</x:v>
      </x:c>
      <x:c r="T353" s="23" t="n">
        <x:f>MAX(0,MIN('Activities'!L353,96)-MAX('Activities'!K353,90))</x:f>
        <x:v>0</x:v>
      </x:c>
      <x:c r="U353" s="23" t="n">
        <x:f>MAX(0,MIN('Activities'!L353,102)-MAX('Activities'!K353,96))</x:f>
        <x:v>0</x:v>
      </x:c>
      <x:c r="V353" s="23" t="n">
        <x:f>MAX(0,MIN('Activities'!L353,108)-MAX('Activities'!K353,102))</x:f>
        <x:v>0</x:v>
      </x:c>
      <x:c r="W353" s="23" t="n">
        <x:f>MAX(0,MIN('Activities'!L353,114)-MAX('Activities'!K353,108))</x:f>
        <x:v>0</x:v>
      </x:c>
      <x:c r="X353" s="23" t="n">
        <x:f>MAX(0,MIN('Activities'!L353,120)-MAX('Activities'!K353,114))</x:f>
        <x:v>0</x:v>
      </x:c>
      <x:c r="Y353" s="23" t="n">
        <x:f>MAX(0,MIN('Activities'!L353,126)-MAX('Activities'!K353,120))</x:f>
        <x:v>0</x:v>
      </x:c>
      <x:c r="Z353" s="23" t="n">
        <x:f>MAX(0,MIN('Activities'!L353,132)-MAX('Activities'!K353,126))</x:f>
        <x:v>0</x:v>
      </x:c>
      <x:c r="AA353" s="23" t="n">
        <x:f>MAX(0,MIN('Activities'!L353,138)-MAX('Activities'!K353,132))</x:f>
        <x:v>0</x:v>
      </x:c>
      <x:c r="AB353" s="23" t="n">
        <x:f>MAX(0,MIN('Activities'!L353,144)-MAX('Activities'!K353,138))</x:f>
        <x:v>0</x:v>
      </x:c>
      <x:c r="AC353" s="23" t="n">
        <x:f>MAX(0,MIN('Activities'!L353,150)-MAX('Activities'!K353,144))</x:f>
        <x:v>0</x:v>
      </x:c>
      <x:c r="AD353" s="23" t="n">
        <x:f>MAX(0,MIN('Activities'!L353,156)-MAX('Activities'!K353,150))</x:f>
        <x:v>0</x:v>
      </x:c>
      <x:c r="AE353" s="23" t="n">
        <x:f>MAX(0,MIN('Activities'!L353,162)-MAX('Activities'!K353,156))</x:f>
        <x:v>0</x:v>
      </x:c>
      <x:c r="AF353" s="23" t="n">
        <x:f>MAX(0,MIN('Activities'!L353,168)-MAX('Activities'!K353,162))</x:f>
        <x:v>0</x:v>
      </x:c>
      <x:c r="AG353" s="23" t="n">
        <x:f>MAX(0,MIN('Activities'!L353,174)-MAX('Activities'!K353,168))</x:f>
        <x:v>0</x:v>
      </x:c>
      <x:c r="AH353" s="23" t="n">
        <x:f>MAX(0,MIN('Activities'!L353,180)-MAX('Activities'!K353,174))</x:f>
        <x:v>0</x:v>
      </x:c>
      <x:c r="AI353" s="23" t="n">
        <x:f>MAX(0,MIN('Activities'!L353,186)-MAX('Activities'!K353,180))</x:f>
        <x:v>0</x:v>
      </x:c>
      <x:c r="AJ353" s="23" t="n">
        <x:f>MAX(0,MIN('Activities'!L353,192)-MAX('Activities'!K353,186))</x:f>
        <x:v>0</x:v>
      </x:c>
      <x:c r="AK353" s="23" t="n">
        <x:f>MAX(0,MIN('Activities'!L353,198)-MAX('Activities'!K353,192))</x:f>
        <x:v>0</x:v>
      </x:c>
      <x:c r="AL353" s="23" t="n">
        <x:f>MAX(0,MIN('Activities'!L353,204)-MAX('Activities'!K353,198))</x:f>
        <x:v>0</x:v>
      </x:c>
      <x:c r="AM353" s="23" t="n">
        <x:f>MAX(0,MIN('Activities'!L353,210)-MAX('Activities'!K353,204))</x:f>
        <x:v>0</x:v>
      </x:c>
      <x:c r="AN353" s="23" t="n">
        <x:f>MAX(0,MIN('Activities'!L353,216)-MAX('Activities'!K353,210))</x:f>
        <x:v>0</x:v>
      </x:c>
      <x:c r="AO353" s="23" t="n">
        <x:f>MAX(0,MIN('Activities'!L353,222)-MAX('Activities'!K353,216))</x:f>
        <x:v>0</x:v>
      </x:c>
      <x:c r="AP353" s="23" t="n">
        <x:f>MAX(0,MIN('Activities'!L353,228)-MAX('Activities'!K353,222))</x:f>
        <x:v>0</x:v>
      </x:c>
      <x:c r="AQ353" s="23" t="n">
        <x:f>MAX(0,MIN('Activities'!L353,234)-MAX('Activities'!K353,228))</x:f>
        <x:v>0</x:v>
      </x:c>
      <x:c r="AR353" s="23" t="n">
        <x:f>MAX(0,MIN('Activities'!L353,240)-MAX('Activities'!K353,234))</x:f>
        <x:v>0</x:v>
      </x:c>
      <x:c r="AS353" s="23" t="n">
        <x:f>MAX(0,MIN('Activities'!L353,246)-MAX('Activities'!K353,240))</x:f>
        <x:v>0</x:v>
      </x:c>
      <x:c r="AT353" s="23" t="n">
        <x:f>MAX(0,MIN('Activities'!L353,252)-MAX('Activities'!K353,246))</x:f>
        <x:v>0</x:v>
      </x:c>
      <x:c r="AU353" s="23" t="n">
        <x:f>MAX(0,MIN('Activities'!L353,258)-MAX('Activities'!K353,252))</x:f>
        <x:v>0</x:v>
      </x:c>
      <x:c r="AV353" s="23" t="n">
        <x:f>MAX(0,MIN('Activities'!L353,264)-MAX('Activities'!K353,258))</x:f>
        <x:v>0</x:v>
      </x:c>
      <x:c r="AW353" s="23" t="n">
        <x:f>MAX(0,MIN('Activities'!L353,270)-MAX('Activities'!K353,264))</x:f>
        <x:v>0</x:v>
      </x:c>
      <x:c r="AX353" s="23" t="n">
        <x:f>MAX(0,MIN('Activities'!L353,276)-MAX('Activities'!K353,270))</x:f>
        <x:v>0</x:v>
      </x:c>
      <x:c r="AY353" s="23" t="n">
        <x:f>MAX(0,MIN('Activities'!L353,282)-MAX('Activities'!K353,276))</x:f>
        <x:v>0</x:v>
      </x:c>
      <x:c r="AZ353" s="23" t="n">
        <x:f>MAX(0,MIN('Activities'!L353,288)-MAX('Activities'!K353,282))</x:f>
        <x:v>0</x:v>
      </x:c>
      <x:c r="BA353" s="23" t="n">
        <x:f>MAX(0,MIN('Activities'!L353,294)-MAX('Activities'!K353,288))</x:f>
        <x:v>0</x:v>
      </x:c>
      <x:c r="BB353" s="23" t="n">
        <x:f>MAX(0,MIN('Activities'!L353,300)-MAX('Activities'!K353,294))</x:f>
        <x:v>0</x:v>
      </x:c>
      <x:c r="BC353" s="23" t="n">
        <x:f>MAX(0,MIN('Activities'!L353,306)-MAX('Activities'!K353,300))</x:f>
        <x:v>0</x:v>
      </x:c>
      <x:c r="BD353" s="23" t="n">
        <x:f>MAX(0,MIN('Activities'!L353,312)-MAX('Activities'!K353,306))</x:f>
        <x:v>0</x:v>
      </x:c>
      <x:c r="BE353" s="23" t="n">
        <x:f>MAX(0,MIN('Activities'!L353,318)-MAX('Activities'!K353,312))</x:f>
        <x:v>0</x:v>
      </x:c>
      <x:c r="BF353" s="23" t="n">
        <x:f>MAX(0,MIN('Activities'!L353,324)-MAX('Activities'!K353,318))</x:f>
        <x:v>0</x:v>
      </x:c>
      <x:c r="BG353" s="23" t="n">
        <x:f>MAX(0,MIN('Activities'!L353,330)-MAX('Activities'!K353,324))</x:f>
        <x:v>0</x:v>
      </x:c>
      <x:c r="BH353" s="23" t="n">
        <x:f>MAX(0,MIN('Activities'!L353,336)-MAX('Activities'!K353,330))</x:f>
        <x:v>0</x:v>
      </x:c>
      <x:c r="BI353" s="23" t="n">
        <x:f>MAX(0,MIN('Activities'!L353,342)-MAX('Activities'!K353,336))</x:f>
        <x:v>0</x:v>
      </x:c>
      <x:c r="BJ353" s="23" t="n">
        <x:f>MAX(0,MIN('Activities'!L353,348)-MAX('Activities'!K353,342))</x:f>
        <x:v>0</x:v>
      </x:c>
      <x:c r="BK353" s="23" t="n">
        <x:f>MAX(0,MIN('Activities'!L353,354)-MAX('Activities'!K353,348))</x:f>
        <x:v>0</x:v>
      </x:c>
      <x:c r="BL353" s="23" t="n">
        <x:f>MAX(0,MIN('Activities'!L353,360)-MAX('Activities'!K353,354))</x:f>
        <x:v>0</x:v>
      </x:c>
      <x:c r="BM353" s="23" t="n">
        <x:f>MAX(0,MIN('Activities'!L353,366)-MAX('Activities'!K353,360))</x:f>
        <x:v>0</x:v>
      </x:c>
      <x:c r="BN353" s="23" t="n">
        <x:f>MAX(0,MIN('Activities'!L353,372)-MAX('Activities'!K353,366))</x:f>
        <x:v>0</x:v>
      </x:c>
      <x:c r="BO353" s="23" t="n">
        <x:f>MAX(0,MIN('Activities'!L353,378)-MAX('Activities'!K353,372))</x:f>
        <x:v>0</x:v>
      </x:c>
      <x:c r="BP353" s="23" t="n">
        <x:f>MAX(0,MIN('Activities'!L353,384)-MAX('Activities'!K353,378))</x:f>
        <x:v>0</x:v>
      </x:c>
      <x:c r="BQ353" s="23" t="n">
        <x:f>MAX(0,MIN('Activities'!L353,390)-MAX('Activities'!K353,384))</x:f>
        <x:v>0</x:v>
      </x:c>
      <x:c r="BR353" s="23" t="n">
        <x:f>MAX(0,MIN('Activities'!L353,396)-MAX('Activities'!K353,390))</x:f>
        <x:v>0</x:v>
      </x:c>
      <x:c r="BS353" s="23" t="n">
        <x:f>MAX(0,MIN('Activities'!L353,402)-MAX('Activities'!K353,396))</x:f>
        <x:v>0</x:v>
      </x:c>
      <x:c r="BT353" s="23" t="n">
        <x:f>MAX(0,MIN('Activities'!L353,408)-MAX('Activities'!K353,402))</x:f>
        <x:v>0</x:v>
      </x:c>
      <x:c r="BU353" s="23" t="n">
        <x:f>MAX(0,MIN('Activities'!L353,414)-MAX('Activities'!K353,408))</x:f>
        <x:v>0</x:v>
      </x:c>
      <x:c r="BV353" s="23" t="n">
        <x:f>MAX(0,MIN('Activities'!L353,420)-MAX('Activities'!K353,414))</x:f>
        <x:v>0</x:v>
      </x:c>
      <x:c r="BW353" s="23" t="n">
        <x:f>MAX(0,MIN('Activities'!L353,426)-MAX('Activities'!K353,420))</x:f>
        <x:v>0</x:v>
      </x:c>
      <x:c r="BX353" s="23" t="n">
        <x:f>MAX(0,MIN('Activities'!L353,432)-MAX('Activities'!K353,426))</x:f>
        <x:v>0</x:v>
      </x:c>
      <x:c r="BY353" s="23" t="n">
        <x:f>MAX(0,MIN('Activities'!L353,438)-MAX('Activities'!K353,432))</x:f>
        <x:v>5</x:v>
      </x:c>
      <x:c r="BZ353" s="23" t="n">
        <x:f>MAX(0,MIN('Activities'!L353,444)-MAX('Activities'!K353,438))</x:f>
        <x:v>0</x:v>
      </x:c>
      <x:c r="CA353" s="23" t="n">
        <x:f>MAX(0,MIN('Activities'!L353,450)-MAX('Activities'!K353,444))</x:f>
        <x:v>0</x:v>
      </x:c>
      <x:c r="CB353" s="23" t="n">
        <x:f>MAX(0,MIN('Activities'!L353,456)-MAX('Activities'!K353,450))</x:f>
        <x:v>0</x:v>
      </x:c>
      <x:c r="CC353" s="23" t="n">
        <x:f>MAX(0,MIN('Activities'!L353,462)-MAX('Activities'!K353,456))</x:f>
        <x:v>0</x:v>
      </x:c>
      <x:c r="CD353" s="23" t="n">
        <x:f>MAX(0,MIN('Activities'!L353,468)-MAX('Activities'!K353,462))</x:f>
        <x:v>0</x:v>
      </x:c>
      <x:c r="CE353" s="23" t="n">
        <x:f>MAX(0,MIN('Activities'!L353,474)-MAX('Activities'!K353,468))</x:f>
        <x:v>0</x:v>
      </x:c>
      <x:c r="CF353" s="23" t="n">
        <x:f>MAX(0,MIN('Activities'!L353,480)-MAX('Activities'!K353,474))</x:f>
        <x:v>0</x:v>
      </x:c>
      <x:c r="CG353" s="23" t="n">
        <x:f>MAX(0,MIN('Activities'!L353,486)-MAX('Activities'!K353,480))</x:f>
        <x:v>0</x:v>
      </x:c>
      <x:c r="CH353" s="23" t="n">
        <x:f>MAX(0,MIN('Activities'!L353,492)-MAX('Activities'!K353,486))</x:f>
        <x:v>0</x:v>
      </x:c>
      <x:c r="CI353" s="23" t="n">
        <x:f>MAX(0,MIN('Activities'!L353,498)-MAX('Activities'!K353,492))</x:f>
        <x:v>0</x:v>
      </x:c>
      <x:c r="CJ353" s="23" t="n">
        <x:f>MAX(0,MIN('Activities'!L353,504)-MAX('Activities'!K353,498))</x:f>
        <x:v>0</x:v>
      </x:c>
      <x:c r="CK353" s="23" t="n">
        <x:f>MAX(0,MIN('Activities'!L353,510)-MAX('Activities'!K353,504))</x:f>
        <x:v>0</x:v>
      </x:c>
      <x:c r="CL353" s="23" t="n">
        <x:f>MAX(0,MIN('Activities'!L353,516)-MAX('Activities'!K353,510))</x:f>
        <x:v>0</x:v>
      </x:c>
      <x:c r="CM353" s="23" t="n">
        <x:f>MAX(0,MIN('Activities'!L353,522)-MAX('Activities'!K353,516))</x:f>
        <x:v>0</x:v>
      </x:c>
      <x:c r="CN353" s="23" t="n">
        <x:f>MAX(0,MIN('Activities'!L353,528)-MAX('Activities'!K353,522))</x:f>
        <x:v>0</x:v>
      </x:c>
      <x:c r="CO353" s="23" t="n">
        <x:f>MAX(0,MIN('Activities'!L353,534)-MAX('Activities'!K353,528))</x:f>
        <x:v>0</x:v>
      </x:c>
      <x:c r="CP353" s="23" t="n">
        <x:f>MAX(0,MIN('Activities'!L353,540)-MAX('Activities'!K353,534))</x:f>
        <x:v>0</x:v>
      </x:c>
      <x:c r="CQ353" s="23" t="n">
        <x:f>MAX(0,MIN('Activities'!L353,546)-MAX('Activities'!K353,540))</x:f>
        <x:v>0</x:v>
      </x:c>
      <x:c r="CR353" s="23" t="n">
        <x:f>MAX(0,MIN('Activities'!L353,552)-MAX('Activities'!K353,546))</x:f>
        <x:v>0</x:v>
      </x:c>
      <x:c r="CS353" s="23" t="n">
        <x:f>MAX(0,MIN('Activities'!L353,558)-MAX('Activities'!K353,552))</x:f>
        <x:v>0</x:v>
      </x:c>
      <x:c r="CT353" s="23" t="n">
        <x:f>MAX(0,MIN('Activities'!L353,564)-MAX('Activities'!K353,558))</x:f>
        <x:v>0</x:v>
      </x:c>
      <x:c r="CU353" s="23" t="n">
        <x:f>MAX(0,MIN('Activities'!L353,570)-MAX('Activities'!K353,564))</x:f>
        <x:v>0</x:v>
      </x:c>
      <x:c r="CV353" s="23" t="n">
        <x:f>MAX(0,MIN('Activities'!L353,576)-MAX('Activities'!K353,570))</x:f>
        <x:v>0</x:v>
      </x:c>
      <x:c r="CW353" s="23" t="n">
        <x:f>MAX(0,MIN('Activities'!L353,582)-MAX('Activities'!K353,576))</x:f>
        <x:v>0</x:v>
      </x:c>
      <x:c r="CX353" s="23" t="n">
        <x:f>MAX(0,MIN('Activities'!L353,588)-MAX('Activities'!K353,582))</x:f>
        <x:v>0</x:v>
      </x:c>
      <x:c r="CY353" s="23" t="n">
        <x:f>MAX(0,MIN('Activities'!L353,594)-MAX('Activities'!K353,588))</x:f>
        <x:v>0</x:v>
      </x:c>
      <x:c r="CZ353" s="23" t="n">
        <x:f>MAX(0,MIN('Activities'!L353,600)-MAX('Activities'!K353,594))</x:f>
        <x:v>0</x:v>
      </x:c>
      <x:c r="DA353" s="23" t="n">
        <x:f>MAX(0,MIN('Activities'!L353,606)-MAX('Activities'!K353,600))</x:f>
        <x:v>0</x:v>
      </x:c>
      <x:c r="DB353" s="23" t="n">
        <x:f>MAX(0,MIN('Activities'!L353,612)-MAX('Activities'!K353,606))</x:f>
        <x:v>0</x:v>
      </x:c>
      <x:c r="DC353" s="23" t="n">
        <x:f>MAX(0,MIN('Activities'!L353,618)-MAX('Activities'!K353,612))</x:f>
        <x:v>0</x:v>
      </x:c>
      <x:c r="DD353" s="23" t="n">
        <x:f>MAX(0,MIN('Activities'!L353,624)-MAX('Activities'!K353,618))</x:f>
        <x:v>0</x:v>
      </x:c>
      <x:c r="DE353" s="23" t="n">
        <x:f>MAX(0,MIN('Activities'!L353,630)-MAX('Activities'!K353,624))</x:f>
        <x:v>0</x:v>
      </x:c>
      <x:c r="DF353" s="23" t="n">
        <x:f>MAX(0,MIN('Activities'!L353,636)-MAX('Activities'!K353,630))</x:f>
        <x:v>0</x:v>
      </x:c>
    </x:row>
    <x:row r="354" ht="23" customHeight="1">
      <x:c r="A354" s="6" t="str">
        <x:v>T3-L02-D</x:v>
      </x:c>
      <x:c r="B354" s="6" t="str">
        <x:v>T3</x:v>
      </x:c>
      <x:c r="C354" s="6" t="str">
        <x:v>Door sets and ironmongery</x:v>
      </x:c>
      <x:c r="D354" s="6" t="str">
        <x:v>Finishes</x:v>
      </x:c>
      <x:c r="E354" s="22" t="n">
        <x:f>MAX(0,MIN('Activities'!L354,6)-MAX('Activities'!K354,0))</x:f>
        <x:v>0</x:v>
      </x:c>
      <x:c r="F354" s="22" t="n">
        <x:f>MAX(0,MIN('Activities'!L354,12)-MAX('Activities'!K354,6))</x:f>
        <x:v>0</x:v>
      </x:c>
      <x:c r="G354" s="22" t="n">
        <x:f>MAX(0,MIN('Activities'!L354,18)-MAX('Activities'!K354,12))</x:f>
        <x:v>0</x:v>
      </x:c>
      <x:c r="H354" s="22" t="n">
        <x:f>MAX(0,MIN('Activities'!L354,24)-MAX('Activities'!K354,18))</x:f>
        <x:v>0</x:v>
      </x:c>
      <x:c r="I354" s="22" t="n">
        <x:f>MAX(0,MIN('Activities'!L354,30)-MAX('Activities'!K354,24))</x:f>
        <x:v>0</x:v>
      </x:c>
      <x:c r="J354" s="22" t="n">
        <x:f>MAX(0,MIN('Activities'!L354,36)-MAX('Activities'!K354,30))</x:f>
        <x:v>0</x:v>
      </x:c>
      <x:c r="K354" s="22" t="n">
        <x:f>MAX(0,MIN('Activities'!L354,42)-MAX('Activities'!K354,36))</x:f>
        <x:v>0</x:v>
      </x:c>
      <x:c r="L354" s="22" t="n">
        <x:f>MAX(0,MIN('Activities'!L354,48)-MAX('Activities'!K354,42))</x:f>
        <x:v>0</x:v>
      </x:c>
      <x:c r="M354" s="22" t="n">
        <x:f>MAX(0,MIN('Activities'!L354,54)-MAX('Activities'!K354,48))</x:f>
        <x:v>0</x:v>
      </x:c>
      <x:c r="N354" s="22" t="n">
        <x:f>MAX(0,MIN('Activities'!L354,60)-MAX('Activities'!K354,54))</x:f>
        <x:v>0</x:v>
      </x:c>
      <x:c r="O354" s="22" t="n">
        <x:f>MAX(0,MIN('Activities'!L354,66)-MAX('Activities'!K354,60))</x:f>
        <x:v>0</x:v>
      </x:c>
      <x:c r="P354" s="22" t="n">
        <x:f>MAX(0,MIN('Activities'!L354,72)-MAX('Activities'!K354,66))</x:f>
        <x:v>0</x:v>
      </x:c>
      <x:c r="Q354" s="22" t="n">
        <x:f>MAX(0,MIN('Activities'!L354,78)-MAX('Activities'!K354,72))</x:f>
        <x:v>0</x:v>
      </x:c>
      <x:c r="R354" s="22" t="n">
        <x:f>MAX(0,MIN('Activities'!L354,84)-MAX('Activities'!K354,78))</x:f>
        <x:v>0</x:v>
      </x:c>
      <x:c r="S354" s="22" t="n">
        <x:f>MAX(0,MIN('Activities'!L354,90)-MAX('Activities'!K354,84))</x:f>
        <x:v>0</x:v>
      </x:c>
      <x:c r="T354" s="22" t="n">
        <x:f>MAX(0,MIN('Activities'!L354,96)-MAX('Activities'!K354,90))</x:f>
        <x:v>0</x:v>
      </x:c>
      <x:c r="U354" s="22" t="n">
        <x:f>MAX(0,MIN('Activities'!L354,102)-MAX('Activities'!K354,96))</x:f>
        <x:v>0</x:v>
      </x:c>
      <x:c r="V354" s="22" t="n">
        <x:f>MAX(0,MIN('Activities'!L354,108)-MAX('Activities'!K354,102))</x:f>
        <x:v>0</x:v>
      </x:c>
      <x:c r="W354" s="22" t="n">
        <x:f>MAX(0,MIN('Activities'!L354,114)-MAX('Activities'!K354,108))</x:f>
        <x:v>0</x:v>
      </x:c>
      <x:c r="X354" s="22" t="n">
        <x:f>MAX(0,MIN('Activities'!L354,120)-MAX('Activities'!K354,114))</x:f>
        <x:v>0</x:v>
      </x:c>
      <x:c r="Y354" s="22" t="n">
        <x:f>MAX(0,MIN('Activities'!L354,126)-MAX('Activities'!K354,120))</x:f>
        <x:v>0</x:v>
      </x:c>
      <x:c r="Z354" s="22" t="n">
        <x:f>MAX(0,MIN('Activities'!L354,132)-MAX('Activities'!K354,126))</x:f>
        <x:v>0</x:v>
      </x:c>
      <x:c r="AA354" s="22" t="n">
        <x:f>MAX(0,MIN('Activities'!L354,138)-MAX('Activities'!K354,132))</x:f>
        <x:v>0</x:v>
      </x:c>
      <x:c r="AB354" s="22" t="n">
        <x:f>MAX(0,MIN('Activities'!L354,144)-MAX('Activities'!K354,138))</x:f>
        <x:v>0</x:v>
      </x:c>
      <x:c r="AC354" s="22" t="n">
        <x:f>MAX(0,MIN('Activities'!L354,150)-MAX('Activities'!K354,144))</x:f>
        <x:v>0</x:v>
      </x:c>
      <x:c r="AD354" s="22" t="n">
        <x:f>MAX(0,MIN('Activities'!L354,156)-MAX('Activities'!K354,150))</x:f>
        <x:v>0</x:v>
      </x:c>
      <x:c r="AE354" s="22" t="n">
        <x:f>MAX(0,MIN('Activities'!L354,162)-MAX('Activities'!K354,156))</x:f>
        <x:v>0</x:v>
      </x:c>
      <x:c r="AF354" s="22" t="n">
        <x:f>MAX(0,MIN('Activities'!L354,168)-MAX('Activities'!K354,162))</x:f>
        <x:v>0</x:v>
      </x:c>
      <x:c r="AG354" s="22" t="n">
        <x:f>MAX(0,MIN('Activities'!L354,174)-MAX('Activities'!K354,168))</x:f>
        <x:v>0</x:v>
      </x:c>
      <x:c r="AH354" s="22" t="n">
        <x:f>MAX(0,MIN('Activities'!L354,180)-MAX('Activities'!K354,174))</x:f>
        <x:v>0</x:v>
      </x:c>
      <x:c r="AI354" s="22" t="n">
        <x:f>MAX(0,MIN('Activities'!L354,186)-MAX('Activities'!K354,180))</x:f>
        <x:v>0</x:v>
      </x:c>
      <x:c r="AJ354" s="22" t="n">
        <x:f>MAX(0,MIN('Activities'!L354,192)-MAX('Activities'!K354,186))</x:f>
        <x:v>0</x:v>
      </x:c>
      <x:c r="AK354" s="22" t="n">
        <x:f>MAX(0,MIN('Activities'!L354,198)-MAX('Activities'!K354,192))</x:f>
        <x:v>0</x:v>
      </x:c>
      <x:c r="AL354" s="22" t="n">
        <x:f>MAX(0,MIN('Activities'!L354,204)-MAX('Activities'!K354,198))</x:f>
        <x:v>0</x:v>
      </x:c>
      <x:c r="AM354" s="22" t="n">
        <x:f>MAX(0,MIN('Activities'!L354,210)-MAX('Activities'!K354,204))</x:f>
        <x:v>0</x:v>
      </x:c>
      <x:c r="AN354" s="22" t="n">
        <x:f>MAX(0,MIN('Activities'!L354,216)-MAX('Activities'!K354,210))</x:f>
        <x:v>0</x:v>
      </x:c>
      <x:c r="AO354" s="22" t="n">
        <x:f>MAX(0,MIN('Activities'!L354,222)-MAX('Activities'!K354,216))</x:f>
        <x:v>0</x:v>
      </x:c>
      <x:c r="AP354" s="22" t="n">
        <x:f>MAX(0,MIN('Activities'!L354,228)-MAX('Activities'!K354,222))</x:f>
        <x:v>0</x:v>
      </x:c>
      <x:c r="AQ354" s="22" t="n">
        <x:f>MAX(0,MIN('Activities'!L354,234)-MAX('Activities'!K354,228))</x:f>
        <x:v>0</x:v>
      </x:c>
      <x:c r="AR354" s="22" t="n">
        <x:f>MAX(0,MIN('Activities'!L354,240)-MAX('Activities'!K354,234))</x:f>
        <x:v>0</x:v>
      </x:c>
      <x:c r="AS354" s="22" t="n">
        <x:f>MAX(0,MIN('Activities'!L354,246)-MAX('Activities'!K354,240))</x:f>
        <x:v>0</x:v>
      </x:c>
      <x:c r="AT354" s="22" t="n">
        <x:f>MAX(0,MIN('Activities'!L354,252)-MAX('Activities'!K354,246))</x:f>
        <x:v>0</x:v>
      </x:c>
      <x:c r="AU354" s="22" t="n">
        <x:f>MAX(0,MIN('Activities'!L354,258)-MAX('Activities'!K354,252))</x:f>
        <x:v>0</x:v>
      </x:c>
      <x:c r="AV354" s="22" t="n">
        <x:f>MAX(0,MIN('Activities'!L354,264)-MAX('Activities'!K354,258))</x:f>
        <x:v>0</x:v>
      </x:c>
      <x:c r="AW354" s="22" t="n">
        <x:f>MAX(0,MIN('Activities'!L354,270)-MAX('Activities'!K354,264))</x:f>
        <x:v>0</x:v>
      </x:c>
      <x:c r="AX354" s="22" t="n">
        <x:f>MAX(0,MIN('Activities'!L354,276)-MAX('Activities'!K354,270))</x:f>
        <x:v>0</x:v>
      </x:c>
      <x:c r="AY354" s="22" t="n">
        <x:f>MAX(0,MIN('Activities'!L354,282)-MAX('Activities'!K354,276))</x:f>
        <x:v>0</x:v>
      </x:c>
      <x:c r="AZ354" s="22" t="n">
        <x:f>MAX(0,MIN('Activities'!L354,288)-MAX('Activities'!K354,282))</x:f>
        <x:v>0</x:v>
      </x:c>
      <x:c r="BA354" s="22" t="n">
        <x:f>MAX(0,MIN('Activities'!L354,294)-MAX('Activities'!K354,288))</x:f>
        <x:v>0</x:v>
      </x:c>
      <x:c r="BB354" s="22" t="n">
        <x:f>MAX(0,MIN('Activities'!L354,300)-MAX('Activities'!K354,294))</x:f>
        <x:v>0</x:v>
      </x:c>
      <x:c r="BC354" s="22" t="n">
        <x:f>MAX(0,MIN('Activities'!L354,306)-MAX('Activities'!K354,300))</x:f>
        <x:v>0</x:v>
      </x:c>
      <x:c r="BD354" s="22" t="n">
        <x:f>MAX(0,MIN('Activities'!L354,312)-MAX('Activities'!K354,306))</x:f>
        <x:v>0</x:v>
      </x:c>
      <x:c r="BE354" s="22" t="n">
        <x:f>MAX(0,MIN('Activities'!L354,318)-MAX('Activities'!K354,312))</x:f>
        <x:v>0</x:v>
      </x:c>
      <x:c r="BF354" s="22" t="n">
        <x:f>MAX(0,MIN('Activities'!L354,324)-MAX('Activities'!K354,318))</x:f>
        <x:v>0</x:v>
      </x:c>
      <x:c r="BG354" s="22" t="n">
        <x:f>MAX(0,MIN('Activities'!L354,330)-MAX('Activities'!K354,324))</x:f>
        <x:v>0</x:v>
      </x:c>
      <x:c r="BH354" s="22" t="n">
        <x:f>MAX(0,MIN('Activities'!L354,336)-MAX('Activities'!K354,330))</x:f>
        <x:v>0</x:v>
      </x:c>
      <x:c r="BI354" s="22" t="n">
        <x:f>MAX(0,MIN('Activities'!L354,342)-MAX('Activities'!K354,336))</x:f>
        <x:v>0</x:v>
      </x:c>
      <x:c r="BJ354" s="22" t="n">
        <x:f>MAX(0,MIN('Activities'!L354,348)-MAX('Activities'!K354,342))</x:f>
        <x:v>0</x:v>
      </x:c>
      <x:c r="BK354" s="22" t="n">
        <x:f>MAX(0,MIN('Activities'!L354,354)-MAX('Activities'!K354,348))</x:f>
        <x:v>0</x:v>
      </x:c>
      <x:c r="BL354" s="22" t="n">
        <x:f>MAX(0,MIN('Activities'!L354,360)-MAX('Activities'!K354,354))</x:f>
        <x:v>0</x:v>
      </x:c>
      <x:c r="BM354" s="22" t="n">
        <x:f>MAX(0,MIN('Activities'!L354,366)-MAX('Activities'!K354,360))</x:f>
        <x:v>0</x:v>
      </x:c>
      <x:c r="BN354" s="22" t="n">
        <x:f>MAX(0,MIN('Activities'!L354,372)-MAX('Activities'!K354,366))</x:f>
        <x:v>0</x:v>
      </x:c>
      <x:c r="BO354" s="22" t="n">
        <x:f>MAX(0,MIN('Activities'!L354,378)-MAX('Activities'!K354,372))</x:f>
        <x:v>0</x:v>
      </x:c>
      <x:c r="BP354" s="22" t="n">
        <x:f>MAX(0,MIN('Activities'!L354,384)-MAX('Activities'!K354,378))</x:f>
        <x:v>0</x:v>
      </x:c>
      <x:c r="BQ354" s="22" t="n">
        <x:f>MAX(0,MIN('Activities'!L354,390)-MAX('Activities'!K354,384))</x:f>
        <x:v>0</x:v>
      </x:c>
      <x:c r="BR354" s="22" t="n">
        <x:f>MAX(0,MIN('Activities'!L354,396)-MAX('Activities'!K354,390))</x:f>
        <x:v>0</x:v>
      </x:c>
      <x:c r="BS354" s="22" t="n">
        <x:f>MAX(0,MIN('Activities'!L354,402)-MAX('Activities'!K354,396))</x:f>
        <x:v>0</x:v>
      </x:c>
      <x:c r="BT354" s="22" t="n">
        <x:f>MAX(0,MIN('Activities'!L354,408)-MAX('Activities'!K354,402))</x:f>
        <x:v>0</x:v>
      </x:c>
      <x:c r="BU354" s="22" t="n">
        <x:f>MAX(0,MIN('Activities'!L354,414)-MAX('Activities'!K354,408))</x:f>
        <x:v>0</x:v>
      </x:c>
      <x:c r="BV354" s="22" t="n">
        <x:f>MAX(0,MIN('Activities'!L354,420)-MAX('Activities'!K354,414))</x:f>
        <x:v>0</x:v>
      </x:c>
      <x:c r="BW354" s="22" t="n">
        <x:f>MAX(0,MIN('Activities'!L354,426)-MAX('Activities'!K354,420))</x:f>
        <x:v>0</x:v>
      </x:c>
      <x:c r="BX354" s="22" t="n">
        <x:f>MAX(0,MIN('Activities'!L354,432)-MAX('Activities'!K354,426))</x:f>
        <x:v>0</x:v>
      </x:c>
      <x:c r="BY354" s="22" t="n">
        <x:f>MAX(0,MIN('Activities'!L354,438)-MAX('Activities'!K354,432))</x:f>
        <x:v>0</x:v>
      </x:c>
      <x:c r="BZ354" s="22" t="n">
        <x:f>MAX(0,MIN('Activities'!L354,444)-MAX('Activities'!K354,438))</x:f>
        <x:v>3</x:v>
      </x:c>
      <x:c r="CA354" s="22" t="n">
        <x:f>MAX(0,MIN('Activities'!L354,450)-MAX('Activities'!K354,444))</x:f>
        <x:v>0</x:v>
      </x:c>
      <x:c r="CB354" s="22" t="n">
        <x:f>MAX(0,MIN('Activities'!L354,456)-MAX('Activities'!K354,450))</x:f>
        <x:v>0</x:v>
      </x:c>
      <x:c r="CC354" s="22" t="n">
        <x:f>MAX(0,MIN('Activities'!L354,462)-MAX('Activities'!K354,456))</x:f>
        <x:v>0</x:v>
      </x:c>
      <x:c r="CD354" s="22" t="n">
        <x:f>MAX(0,MIN('Activities'!L354,468)-MAX('Activities'!K354,462))</x:f>
        <x:v>0</x:v>
      </x:c>
      <x:c r="CE354" s="22" t="n">
        <x:f>MAX(0,MIN('Activities'!L354,474)-MAX('Activities'!K354,468))</x:f>
        <x:v>0</x:v>
      </x:c>
      <x:c r="CF354" s="22" t="n">
        <x:f>MAX(0,MIN('Activities'!L354,480)-MAX('Activities'!K354,474))</x:f>
        <x:v>0</x:v>
      </x:c>
      <x:c r="CG354" s="22" t="n">
        <x:f>MAX(0,MIN('Activities'!L354,486)-MAX('Activities'!K354,480))</x:f>
        <x:v>0</x:v>
      </x:c>
      <x:c r="CH354" s="22" t="n">
        <x:f>MAX(0,MIN('Activities'!L354,492)-MAX('Activities'!K354,486))</x:f>
        <x:v>0</x:v>
      </x:c>
      <x:c r="CI354" s="22" t="n">
        <x:f>MAX(0,MIN('Activities'!L354,498)-MAX('Activities'!K354,492))</x:f>
        <x:v>0</x:v>
      </x:c>
      <x:c r="CJ354" s="22" t="n">
        <x:f>MAX(0,MIN('Activities'!L354,504)-MAX('Activities'!K354,498))</x:f>
        <x:v>0</x:v>
      </x:c>
      <x:c r="CK354" s="22" t="n">
        <x:f>MAX(0,MIN('Activities'!L354,510)-MAX('Activities'!K354,504))</x:f>
        <x:v>0</x:v>
      </x:c>
      <x:c r="CL354" s="22" t="n">
        <x:f>MAX(0,MIN('Activities'!L354,516)-MAX('Activities'!K354,510))</x:f>
        <x:v>0</x:v>
      </x:c>
      <x:c r="CM354" s="22" t="n">
        <x:f>MAX(0,MIN('Activities'!L354,522)-MAX('Activities'!K354,516))</x:f>
        <x:v>0</x:v>
      </x:c>
      <x:c r="CN354" s="22" t="n">
        <x:f>MAX(0,MIN('Activities'!L354,528)-MAX('Activities'!K354,522))</x:f>
        <x:v>0</x:v>
      </x:c>
      <x:c r="CO354" s="22" t="n">
        <x:f>MAX(0,MIN('Activities'!L354,534)-MAX('Activities'!K354,528))</x:f>
        <x:v>0</x:v>
      </x:c>
      <x:c r="CP354" s="22" t="n">
        <x:f>MAX(0,MIN('Activities'!L354,540)-MAX('Activities'!K354,534))</x:f>
        <x:v>0</x:v>
      </x:c>
      <x:c r="CQ354" s="22" t="n">
        <x:f>MAX(0,MIN('Activities'!L354,546)-MAX('Activities'!K354,540))</x:f>
        <x:v>0</x:v>
      </x:c>
      <x:c r="CR354" s="22" t="n">
        <x:f>MAX(0,MIN('Activities'!L354,552)-MAX('Activities'!K354,546))</x:f>
        <x:v>0</x:v>
      </x:c>
      <x:c r="CS354" s="22" t="n">
        <x:f>MAX(0,MIN('Activities'!L354,558)-MAX('Activities'!K354,552))</x:f>
        <x:v>0</x:v>
      </x:c>
      <x:c r="CT354" s="22" t="n">
        <x:f>MAX(0,MIN('Activities'!L354,564)-MAX('Activities'!K354,558))</x:f>
        <x:v>0</x:v>
      </x:c>
      <x:c r="CU354" s="22" t="n">
        <x:f>MAX(0,MIN('Activities'!L354,570)-MAX('Activities'!K354,564))</x:f>
        <x:v>0</x:v>
      </x:c>
      <x:c r="CV354" s="22" t="n">
        <x:f>MAX(0,MIN('Activities'!L354,576)-MAX('Activities'!K354,570))</x:f>
        <x:v>0</x:v>
      </x:c>
      <x:c r="CW354" s="22" t="n">
        <x:f>MAX(0,MIN('Activities'!L354,582)-MAX('Activities'!K354,576))</x:f>
        <x:v>0</x:v>
      </x:c>
      <x:c r="CX354" s="22" t="n">
        <x:f>MAX(0,MIN('Activities'!L354,588)-MAX('Activities'!K354,582))</x:f>
        <x:v>0</x:v>
      </x:c>
      <x:c r="CY354" s="22" t="n">
        <x:f>MAX(0,MIN('Activities'!L354,594)-MAX('Activities'!K354,588))</x:f>
        <x:v>0</x:v>
      </x:c>
      <x:c r="CZ354" s="22" t="n">
        <x:f>MAX(0,MIN('Activities'!L354,600)-MAX('Activities'!K354,594))</x:f>
        <x:v>0</x:v>
      </x:c>
      <x:c r="DA354" s="22" t="n">
        <x:f>MAX(0,MIN('Activities'!L354,606)-MAX('Activities'!K354,600))</x:f>
        <x:v>0</x:v>
      </x:c>
      <x:c r="DB354" s="22" t="n">
        <x:f>MAX(0,MIN('Activities'!L354,612)-MAX('Activities'!K354,606))</x:f>
        <x:v>0</x:v>
      </x:c>
      <x:c r="DC354" s="22" t="n">
        <x:f>MAX(0,MIN('Activities'!L354,618)-MAX('Activities'!K354,612))</x:f>
        <x:v>0</x:v>
      </x:c>
      <x:c r="DD354" s="22" t="n">
        <x:f>MAX(0,MIN('Activities'!L354,624)-MAX('Activities'!K354,618))</x:f>
        <x:v>0</x:v>
      </x:c>
      <x:c r="DE354" s="22" t="n">
        <x:f>MAX(0,MIN('Activities'!L354,630)-MAX('Activities'!K354,624))</x:f>
        <x:v>0</x:v>
      </x:c>
      <x:c r="DF354" s="22" t="n">
        <x:f>MAX(0,MIN('Activities'!L354,636)-MAX('Activities'!K354,630))</x:f>
        <x:v>0</x:v>
      </x:c>
    </x:row>
    <x:row r="355" ht="23" customHeight="1">
      <x:c r="A355" s="1" t="str">
        <x:v>T3-L03-M</x:v>
      </x:c>
      <x:c r="B355" s="1" t="str">
        <x:v>T3</x:v>
      </x:c>
      <x:c r="C355" s="1" t="str">
        <x:v>Partition masonry</x:v>
      </x:c>
      <x:c r="D355" s="1" t="str">
        <x:v>Masonry</x:v>
      </x:c>
      <x:c r="E355" s="23" t="n">
        <x:f>MAX(0,MIN('Activities'!L355,6)-MAX('Activities'!K355,0))</x:f>
        <x:v>0</x:v>
      </x:c>
      <x:c r="F355" s="23" t="n">
        <x:f>MAX(0,MIN('Activities'!L355,12)-MAX('Activities'!K355,6))</x:f>
        <x:v>0</x:v>
      </x:c>
      <x:c r="G355" s="23" t="n">
        <x:f>MAX(0,MIN('Activities'!L355,18)-MAX('Activities'!K355,12))</x:f>
        <x:v>0</x:v>
      </x:c>
      <x:c r="H355" s="23" t="n">
        <x:f>MAX(0,MIN('Activities'!L355,24)-MAX('Activities'!K355,18))</x:f>
        <x:v>0</x:v>
      </x:c>
      <x:c r="I355" s="23" t="n">
        <x:f>MAX(0,MIN('Activities'!L355,30)-MAX('Activities'!K355,24))</x:f>
        <x:v>0</x:v>
      </x:c>
      <x:c r="J355" s="23" t="n">
        <x:f>MAX(0,MIN('Activities'!L355,36)-MAX('Activities'!K355,30))</x:f>
        <x:v>0</x:v>
      </x:c>
      <x:c r="K355" s="23" t="n">
        <x:f>MAX(0,MIN('Activities'!L355,42)-MAX('Activities'!K355,36))</x:f>
        <x:v>0</x:v>
      </x:c>
      <x:c r="L355" s="23" t="n">
        <x:f>MAX(0,MIN('Activities'!L355,48)-MAX('Activities'!K355,42))</x:f>
        <x:v>0</x:v>
      </x:c>
      <x:c r="M355" s="23" t="n">
        <x:f>MAX(0,MIN('Activities'!L355,54)-MAX('Activities'!K355,48))</x:f>
        <x:v>0</x:v>
      </x:c>
      <x:c r="N355" s="23" t="n">
        <x:f>MAX(0,MIN('Activities'!L355,60)-MAX('Activities'!K355,54))</x:f>
        <x:v>0</x:v>
      </x:c>
      <x:c r="O355" s="23" t="n">
        <x:f>MAX(0,MIN('Activities'!L355,66)-MAX('Activities'!K355,60))</x:f>
        <x:v>0</x:v>
      </x:c>
      <x:c r="P355" s="23" t="n">
        <x:f>MAX(0,MIN('Activities'!L355,72)-MAX('Activities'!K355,66))</x:f>
        <x:v>0</x:v>
      </x:c>
      <x:c r="Q355" s="23" t="n">
        <x:f>MAX(0,MIN('Activities'!L355,78)-MAX('Activities'!K355,72))</x:f>
        <x:v>0</x:v>
      </x:c>
      <x:c r="R355" s="23" t="n">
        <x:f>MAX(0,MIN('Activities'!L355,84)-MAX('Activities'!K355,78))</x:f>
        <x:v>0</x:v>
      </x:c>
      <x:c r="S355" s="23" t="n">
        <x:f>MAX(0,MIN('Activities'!L355,90)-MAX('Activities'!K355,84))</x:f>
        <x:v>0</x:v>
      </x:c>
      <x:c r="T355" s="23" t="n">
        <x:f>MAX(0,MIN('Activities'!L355,96)-MAX('Activities'!K355,90))</x:f>
        <x:v>0</x:v>
      </x:c>
      <x:c r="U355" s="23" t="n">
        <x:f>MAX(0,MIN('Activities'!L355,102)-MAX('Activities'!K355,96))</x:f>
        <x:v>0</x:v>
      </x:c>
      <x:c r="V355" s="23" t="n">
        <x:f>MAX(0,MIN('Activities'!L355,108)-MAX('Activities'!K355,102))</x:f>
        <x:v>0</x:v>
      </x:c>
      <x:c r="W355" s="23" t="n">
        <x:f>MAX(0,MIN('Activities'!L355,114)-MAX('Activities'!K355,108))</x:f>
        <x:v>0</x:v>
      </x:c>
      <x:c r="X355" s="23" t="n">
        <x:f>MAX(0,MIN('Activities'!L355,120)-MAX('Activities'!K355,114))</x:f>
        <x:v>0</x:v>
      </x:c>
      <x:c r="Y355" s="23" t="n">
        <x:f>MAX(0,MIN('Activities'!L355,126)-MAX('Activities'!K355,120))</x:f>
        <x:v>0</x:v>
      </x:c>
      <x:c r="Z355" s="23" t="n">
        <x:f>MAX(0,MIN('Activities'!L355,132)-MAX('Activities'!K355,126))</x:f>
        <x:v>0</x:v>
      </x:c>
      <x:c r="AA355" s="23" t="n">
        <x:f>MAX(0,MIN('Activities'!L355,138)-MAX('Activities'!K355,132))</x:f>
        <x:v>0</x:v>
      </x:c>
      <x:c r="AB355" s="23" t="n">
        <x:f>MAX(0,MIN('Activities'!L355,144)-MAX('Activities'!K355,138))</x:f>
        <x:v>0</x:v>
      </x:c>
      <x:c r="AC355" s="23" t="n">
        <x:f>MAX(0,MIN('Activities'!L355,150)-MAX('Activities'!K355,144))</x:f>
        <x:v>0</x:v>
      </x:c>
      <x:c r="AD355" s="23" t="n">
        <x:f>MAX(0,MIN('Activities'!L355,156)-MAX('Activities'!K355,150))</x:f>
        <x:v>0</x:v>
      </x:c>
      <x:c r="AE355" s="23" t="n">
        <x:f>MAX(0,MIN('Activities'!L355,162)-MAX('Activities'!K355,156))</x:f>
        <x:v>0</x:v>
      </x:c>
      <x:c r="AF355" s="23" t="n">
        <x:f>MAX(0,MIN('Activities'!L355,168)-MAX('Activities'!K355,162))</x:f>
        <x:v>0</x:v>
      </x:c>
      <x:c r="AG355" s="23" t="n">
        <x:f>MAX(0,MIN('Activities'!L355,174)-MAX('Activities'!K355,168))</x:f>
        <x:v>0</x:v>
      </x:c>
      <x:c r="AH355" s="23" t="n">
        <x:f>MAX(0,MIN('Activities'!L355,180)-MAX('Activities'!K355,174))</x:f>
        <x:v>0</x:v>
      </x:c>
      <x:c r="AI355" s="23" t="n">
        <x:f>MAX(0,MIN('Activities'!L355,186)-MAX('Activities'!K355,180))</x:f>
        <x:v>0</x:v>
      </x:c>
      <x:c r="AJ355" s="23" t="n">
        <x:f>MAX(0,MIN('Activities'!L355,192)-MAX('Activities'!K355,186))</x:f>
        <x:v>0</x:v>
      </x:c>
      <x:c r="AK355" s="23" t="n">
        <x:f>MAX(0,MIN('Activities'!L355,198)-MAX('Activities'!K355,192))</x:f>
        <x:v>0</x:v>
      </x:c>
      <x:c r="AL355" s="23" t="n">
        <x:f>MAX(0,MIN('Activities'!L355,204)-MAX('Activities'!K355,198))</x:f>
        <x:v>0</x:v>
      </x:c>
      <x:c r="AM355" s="23" t="n">
        <x:f>MAX(0,MIN('Activities'!L355,210)-MAX('Activities'!K355,204))</x:f>
        <x:v>0</x:v>
      </x:c>
      <x:c r="AN355" s="23" t="n">
        <x:f>MAX(0,MIN('Activities'!L355,216)-MAX('Activities'!K355,210))</x:f>
        <x:v>0</x:v>
      </x:c>
      <x:c r="AO355" s="23" t="n">
        <x:f>MAX(0,MIN('Activities'!L355,222)-MAX('Activities'!K355,216))</x:f>
        <x:v>0</x:v>
      </x:c>
      <x:c r="AP355" s="23" t="n">
        <x:f>MAX(0,MIN('Activities'!L355,228)-MAX('Activities'!K355,222))</x:f>
        <x:v>0</x:v>
      </x:c>
      <x:c r="AQ355" s="23" t="n">
        <x:f>MAX(0,MIN('Activities'!L355,234)-MAX('Activities'!K355,228))</x:f>
        <x:v>0</x:v>
      </x:c>
      <x:c r="AR355" s="23" t="n">
        <x:f>MAX(0,MIN('Activities'!L355,240)-MAX('Activities'!K355,234))</x:f>
        <x:v>0</x:v>
      </x:c>
      <x:c r="AS355" s="23" t="n">
        <x:f>MAX(0,MIN('Activities'!L355,246)-MAX('Activities'!K355,240))</x:f>
        <x:v>0</x:v>
      </x:c>
      <x:c r="AT355" s="23" t="n">
        <x:f>MAX(0,MIN('Activities'!L355,252)-MAX('Activities'!K355,246))</x:f>
        <x:v>0</x:v>
      </x:c>
      <x:c r="AU355" s="23" t="n">
        <x:f>MAX(0,MIN('Activities'!L355,258)-MAX('Activities'!K355,252))</x:f>
        <x:v>0</x:v>
      </x:c>
      <x:c r="AV355" s="23" t="n">
        <x:f>MAX(0,MIN('Activities'!L355,264)-MAX('Activities'!K355,258))</x:f>
        <x:v>0</x:v>
      </x:c>
      <x:c r="AW355" s="23" t="n">
        <x:f>MAX(0,MIN('Activities'!L355,270)-MAX('Activities'!K355,264))</x:f>
        <x:v>0</x:v>
      </x:c>
      <x:c r="AX355" s="23" t="n">
        <x:f>MAX(0,MIN('Activities'!L355,276)-MAX('Activities'!K355,270))</x:f>
        <x:v>0</x:v>
      </x:c>
      <x:c r="AY355" s="23" t="n">
        <x:f>MAX(0,MIN('Activities'!L355,282)-MAX('Activities'!K355,276))</x:f>
        <x:v>0</x:v>
      </x:c>
      <x:c r="AZ355" s="23" t="n">
        <x:f>MAX(0,MIN('Activities'!L355,288)-MAX('Activities'!K355,282))</x:f>
        <x:v>0</x:v>
      </x:c>
      <x:c r="BA355" s="23" t="n">
        <x:f>MAX(0,MIN('Activities'!L355,294)-MAX('Activities'!K355,288))</x:f>
        <x:v>5</x:v>
      </x:c>
      <x:c r="BB355" s="23" t="n">
        <x:f>MAX(0,MIN('Activities'!L355,300)-MAX('Activities'!K355,294))</x:f>
        <x:v>0</x:v>
      </x:c>
      <x:c r="BC355" s="23" t="n">
        <x:f>MAX(0,MIN('Activities'!L355,306)-MAX('Activities'!K355,300))</x:f>
        <x:v>0</x:v>
      </x:c>
      <x:c r="BD355" s="23" t="n">
        <x:f>MAX(0,MIN('Activities'!L355,312)-MAX('Activities'!K355,306))</x:f>
        <x:v>0</x:v>
      </x:c>
      <x:c r="BE355" s="23" t="n">
        <x:f>MAX(0,MIN('Activities'!L355,318)-MAX('Activities'!K355,312))</x:f>
        <x:v>0</x:v>
      </x:c>
      <x:c r="BF355" s="23" t="n">
        <x:f>MAX(0,MIN('Activities'!L355,324)-MAX('Activities'!K355,318))</x:f>
        <x:v>0</x:v>
      </x:c>
      <x:c r="BG355" s="23" t="n">
        <x:f>MAX(0,MIN('Activities'!L355,330)-MAX('Activities'!K355,324))</x:f>
        <x:v>0</x:v>
      </x:c>
      <x:c r="BH355" s="23" t="n">
        <x:f>MAX(0,MIN('Activities'!L355,336)-MAX('Activities'!K355,330))</x:f>
        <x:v>0</x:v>
      </x:c>
      <x:c r="BI355" s="23" t="n">
        <x:f>MAX(0,MIN('Activities'!L355,342)-MAX('Activities'!K355,336))</x:f>
        <x:v>0</x:v>
      </x:c>
      <x:c r="BJ355" s="23" t="n">
        <x:f>MAX(0,MIN('Activities'!L355,348)-MAX('Activities'!K355,342))</x:f>
        <x:v>0</x:v>
      </x:c>
      <x:c r="BK355" s="23" t="n">
        <x:f>MAX(0,MIN('Activities'!L355,354)-MAX('Activities'!K355,348))</x:f>
        <x:v>0</x:v>
      </x:c>
      <x:c r="BL355" s="23" t="n">
        <x:f>MAX(0,MIN('Activities'!L355,360)-MAX('Activities'!K355,354))</x:f>
        <x:v>0</x:v>
      </x:c>
      <x:c r="BM355" s="23" t="n">
        <x:f>MAX(0,MIN('Activities'!L355,366)-MAX('Activities'!K355,360))</x:f>
        <x:v>0</x:v>
      </x:c>
      <x:c r="BN355" s="23" t="n">
        <x:f>MAX(0,MIN('Activities'!L355,372)-MAX('Activities'!K355,366))</x:f>
        <x:v>0</x:v>
      </x:c>
      <x:c r="BO355" s="23" t="n">
        <x:f>MAX(0,MIN('Activities'!L355,378)-MAX('Activities'!K355,372))</x:f>
        <x:v>0</x:v>
      </x:c>
      <x:c r="BP355" s="23" t="n">
        <x:f>MAX(0,MIN('Activities'!L355,384)-MAX('Activities'!K355,378))</x:f>
        <x:v>0</x:v>
      </x:c>
      <x:c r="BQ355" s="23" t="n">
        <x:f>MAX(0,MIN('Activities'!L355,390)-MAX('Activities'!K355,384))</x:f>
        <x:v>0</x:v>
      </x:c>
      <x:c r="BR355" s="23" t="n">
        <x:f>MAX(0,MIN('Activities'!L355,396)-MAX('Activities'!K355,390))</x:f>
        <x:v>0</x:v>
      </x:c>
      <x:c r="BS355" s="23" t="n">
        <x:f>MAX(0,MIN('Activities'!L355,402)-MAX('Activities'!K355,396))</x:f>
        <x:v>0</x:v>
      </x:c>
      <x:c r="BT355" s="23" t="n">
        <x:f>MAX(0,MIN('Activities'!L355,408)-MAX('Activities'!K355,402))</x:f>
        <x:v>0</x:v>
      </x:c>
      <x:c r="BU355" s="23" t="n">
        <x:f>MAX(0,MIN('Activities'!L355,414)-MAX('Activities'!K355,408))</x:f>
        <x:v>0</x:v>
      </x:c>
      <x:c r="BV355" s="23" t="n">
        <x:f>MAX(0,MIN('Activities'!L355,420)-MAX('Activities'!K355,414))</x:f>
        <x:v>0</x:v>
      </x:c>
      <x:c r="BW355" s="23" t="n">
        <x:f>MAX(0,MIN('Activities'!L355,426)-MAX('Activities'!K355,420))</x:f>
        <x:v>0</x:v>
      </x:c>
      <x:c r="BX355" s="23" t="n">
        <x:f>MAX(0,MIN('Activities'!L355,432)-MAX('Activities'!K355,426))</x:f>
        <x:v>0</x:v>
      </x:c>
      <x:c r="BY355" s="23" t="n">
        <x:f>MAX(0,MIN('Activities'!L355,438)-MAX('Activities'!K355,432))</x:f>
        <x:v>0</x:v>
      </x:c>
      <x:c r="BZ355" s="23" t="n">
        <x:f>MAX(0,MIN('Activities'!L355,444)-MAX('Activities'!K355,438))</x:f>
        <x:v>0</x:v>
      </x:c>
      <x:c r="CA355" s="23" t="n">
        <x:f>MAX(0,MIN('Activities'!L355,450)-MAX('Activities'!K355,444))</x:f>
        <x:v>0</x:v>
      </x:c>
      <x:c r="CB355" s="23" t="n">
        <x:f>MAX(0,MIN('Activities'!L355,456)-MAX('Activities'!K355,450))</x:f>
        <x:v>0</x:v>
      </x:c>
      <x:c r="CC355" s="23" t="n">
        <x:f>MAX(0,MIN('Activities'!L355,462)-MAX('Activities'!K355,456))</x:f>
        <x:v>0</x:v>
      </x:c>
      <x:c r="CD355" s="23" t="n">
        <x:f>MAX(0,MIN('Activities'!L355,468)-MAX('Activities'!K355,462))</x:f>
        <x:v>0</x:v>
      </x:c>
      <x:c r="CE355" s="23" t="n">
        <x:f>MAX(0,MIN('Activities'!L355,474)-MAX('Activities'!K355,468))</x:f>
        <x:v>0</x:v>
      </x:c>
      <x:c r="CF355" s="23" t="n">
        <x:f>MAX(0,MIN('Activities'!L355,480)-MAX('Activities'!K355,474))</x:f>
        <x:v>0</x:v>
      </x:c>
      <x:c r="CG355" s="23" t="n">
        <x:f>MAX(0,MIN('Activities'!L355,486)-MAX('Activities'!K355,480))</x:f>
        <x:v>0</x:v>
      </x:c>
      <x:c r="CH355" s="23" t="n">
        <x:f>MAX(0,MIN('Activities'!L355,492)-MAX('Activities'!K355,486))</x:f>
        <x:v>0</x:v>
      </x:c>
      <x:c r="CI355" s="23" t="n">
        <x:f>MAX(0,MIN('Activities'!L355,498)-MAX('Activities'!K355,492))</x:f>
        <x:v>0</x:v>
      </x:c>
      <x:c r="CJ355" s="23" t="n">
        <x:f>MAX(0,MIN('Activities'!L355,504)-MAX('Activities'!K355,498))</x:f>
        <x:v>0</x:v>
      </x:c>
      <x:c r="CK355" s="23" t="n">
        <x:f>MAX(0,MIN('Activities'!L355,510)-MAX('Activities'!K355,504))</x:f>
        <x:v>0</x:v>
      </x:c>
      <x:c r="CL355" s="23" t="n">
        <x:f>MAX(0,MIN('Activities'!L355,516)-MAX('Activities'!K355,510))</x:f>
        <x:v>0</x:v>
      </x:c>
      <x:c r="CM355" s="23" t="n">
        <x:f>MAX(0,MIN('Activities'!L355,522)-MAX('Activities'!K355,516))</x:f>
        <x:v>0</x:v>
      </x:c>
      <x:c r="CN355" s="23" t="n">
        <x:f>MAX(0,MIN('Activities'!L355,528)-MAX('Activities'!K355,522))</x:f>
        <x:v>0</x:v>
      </x:c>
      <x:c r="CO355" s="23" t="n">
        <x:f>MAX(0,MIN('Activities'!L355,534)-MAX('Activities'!K355,528))</x:f>
        <x:v>0</x:v>
      </x:c>
      <x:c r="CP355" s="23" t="n">
        <x:f>MAX(0,MIN('Activities'!L355,540)-MAX('Activities'!K355,534))</x:f>
        <x:v>0</x:v>
      </x:c>
      <x:c r="CQ355" s="23" t="n">
        <x:f>MAX(0,MIN('Activities'!L355,546)-MAX('Activities'!K355,540))</x:f>
        <x:v>0</x:v>
      </x:c>
      <x:c r="CR355" s="23" t="n">
        <x:f>MAX(0,MIN('Activities'!L355,552)-MAX('Activities'!K355,546))</x:f>
        <x:v>0</x:v>
      </x:c>
      <x:c r="CS355" s="23" t="n">
        <x:f>MAX(0,MIN('Activities'!L355,558)-MAX('Activities'!K355,552))</x:f>
        <x:v>0</x:v>
      </x:c>
      <x:c r="CT355" s="23" t="n">
        <x:f>MAX(0,MIN('Activities'!L355,564)-MAX('Activities'!K355,558))</x:f>
        <x:v>0</x:v>
      </x:c>
      <x:c r="CU355" s="23" t="n">
        <x:f>MAX(0,MIN('Activities'!L355,570)-MAX('Activities'!K355,564))</x:f>
        <x:v>0</x:v>
      </x:c>
      <x:c r="CV355" s="23" t="n">
        <x:f>MAX(0,MIN('Activities'!L355,576)-MAX('Activities'!K355,570))</x:f>
        <x:v>0</x:v>
      </x:c>
      <x:c r="CW355" s="23" t="n">
        <x:f>MAX(0,MIN('Activities'!L355,582)-MAX('Activities'!K355,576))</x:f>
        <x:v>0</x:v>
      </x:c>
      <x:c r="CX355" s="23" t="n">
        <x:f>MAX(0,MIN('Activities'!L355,588)-MAX('Activities'!K355,582))</x:f>
        <x:v>0</x:v>
      </x:c>
      <x:c r="CY355" s="23" t="n">
        <x:f>MAX(0,MIN('Activities'!L355,594)-MAX('Activities'!K355,588))</x:f>
        <x:v>0</x:v>
      </x:c>
      <x:c r="CZ355" s="23" t="n">
        <x:f>MAX(0,MIN('Activities'!L355,600)-MAX('Activities'!K355,594))</x:f>
        <x:v>0</x:v>
      </x:c>
      <x:c r="DA355" s="23" t="n">
        <x:f>MAX(0,MIN('Activities'!L355,606)-MAX('Activities'!K355,600))</x:f>
        <x:v>0</x:v>
      </x:c>
      <x:c r="DB355" s="23" t="n">
        <x:f>MAX(0,MIN('Activities'!L355,612)-MAX('Activities'!K355,606))</x:f>
        <x:v>0</x:v>
      </x:c>
      <x:c r="DC355" s="23" t="n">
        <x:f>MAX(0,MIN('Activities'!L355,618)-MAX('Activities'!K355,612))</x:f>
        <x:v>0</x:v>
      </x:c>
      <x:c r="DD355" s="23" t="n">
        <x:f>MAX(0,MIN('Activities'!L355,624)-MAX('Activities'!K355,618))</x:f>
        <x:v>0</x:v>
      </x:c>
      <x:c r="DE355" s="23" t="n">
        <x:f>MAX(0,MIN('Activities'!L355,630)-MAX('Activities'!K355,624))</x:f>
        <x:v>0</x:v>
      </x:c>
      <x:c r="DF355" s="23" t="n">
        <x:f>MAX(0,MIN('Activities'!L355,636)-MAX('Activities'!K355,630))</x:f>
        <x:v>0</x:v>
      </x:c>
    </x:row>
    <x:row r="356" ht="23" customHeight="1">
      <x:c r="A356" s="6" t="str">
        <x:v>T3-L03-P</x:v>
      </x:c>
      <x:c r="B356" s="6" t="str">
        <x:v>T3</x:v>
      </x:c>
      <x:c r="C356" s="6" t="str">
        <x:v>Internal plaster</x:v>
      </x:c>
      <x:c r="D356" s="6" t="str">
        <x:v>Finishes</x:v>
      </x:c>
      <x:c r="E356" s="22" t="n">
        <x:f>MAX(0,MIN('Activities'!L356,6)-MAX('Activities'!K356,0))</x:f>
        <x:v>0</x:v>
      </x:c>
      <x:c r="F356" s="22" t="n">
        <x:f>MAX(0,MIN('Activities'!L356,12)-MAX('Activities'!K356,6))</x:f>
        <x:v>0</x:v>
      </x:c>
      <x:c r="G356" s="22" t="n">
        <x:f>MAX(0,MIN('Activities'!L356,18)-MAX('Activities'!K356,12))</x:f>
        <x:v>0</x:v>
      </x:c>
      <x:c r="H356" s="22" t="n">
        <x:f>MAX(0,MIN('Activities'!L356,24)-MAX('Activities'!K356,18))</x:f>
        <x:v>0</x:v>
      </x:c>
      <x:c r="I356" s="22" t="n">
        <x:f>MAX(0,MIN('Activities'!L356,30)-MAX('Activities'!K356,24))</x:f>
        <x:v>0</x:v>
      </x:c>
      <x:c r="J356" s="22" t="n">
        <x:f>MAX(0,MIN('Activities'!L356,36)-MAX('Activities'!K356,30))</x:f>
        <x:v>0</x:v>
      </x:c>
      <x:c r="K356" s="22" t="n">
        <x:f>MAX(0,MIN('Activities'!L356,42)-MAX('Activities'!K356,36))</x:f>
        <x:v>0</x:v>
      </x:c>
      <x:c r="L356" s="22" t="n">
        <x:f>MAX(0,MIN('Activities'!L356,48)-MAX('Activities'!K356,42))</x:f>
        <x:v>0</x:v>
      </x:c>
      <x:c r="M356" s="22" t="n">
        <x:f>MAX(0,MIN('Activities'!L356,54)-MAX('Activities'!K356,48))</x:f>
        <x:v>0</x:v>
      </x:c>
      <x:c r="N356" s="22" t="n">
        <x:f>MAX(0,MIN('Activities'!L356,60)-MAX('Activities'!K356,54))</x:f>
        <x:v>0</x:v>
      </x:c>
      <x:c r="O356" s="22" t="n">
        <x:f>MAX(0,MIN('Activities'!L356,66)-MAX('Activities'!K356,60))</x:f>
        <x:v>0</x:v>
      </x:c>
      <x:c r="P356" s="22" t="n">
        <x:f>MAX(0,MIN('Activities'!L356,72)-MAX('Activities'!K356,66))</x:f>
        <x:v>0</x:v>
      </x:c>
      <x:c r="Q356" s="22" t="n">
        <x:f>MAX(0,MIN('Activities'!L356,78)-MAX('Activities'!K356,72))</x:f>
        <x:v>0</x:v>
      </x:c>
      <x:c r="R356" s="22" t="n">
        <x:f>MAX(0,MIN('Activities'!L356,84)-MAX('Activities'!K356,78))</x:f>
        <x:v>0</x:v>
      </x:c>
      <x:c r="S356" s="22" t="n">
        <x:f>MAX(0,MIN('Activities'!L356,90)-MAX('Activities'!K356,84))</x:f>
        <x:v>0</x:v>
      </x:c>
      <x:c r="T356" s="22" t="n">
        <x:f>MAX(0,MIN('Activities'!L356,96)-MAX('Activities'!K356,90))</x:f>
        <x:v>0</x:v>
      </x:c>
      <x:c r="U356" s="22" t="n">
        <x:f>MAX(0,MIN('Activities'!L356,102)-MAX('Activities'!K356,96))</x:f>
        <x:v>0</x:v>
      </x:c>
      <x:c r="V356" s="22" t="n">
        <x:f>MAX(0,MIN('Activities'!L356,108)-MAX('Activities'!K356,102))</x:f>
        <x:v>0</x:v>
      </x:c>
      <x:c r="W356" s="22" t="n">
        <x:f>MAX(0,MIN('Activities'!L356,114)-MAX('Activities'!K356,108))</x:f>
        <x:v>0</x:v>
      </x:c>
      <x:c r="X356" s="22" t="n">
        <x:f>MAX(0,MIN('Activities'!L356,120)-MAX('Activities'!K356,114))</x:f>
        <x:v>0</x:v>
      </x:c>
      <x:c r="Y356" s="22" t="n">
        <x:f>MAX(0,MIN('Activities'!L356,126)-MAX('Activities'!K356,120))</x:f>
        <x:v>0</x:v>
      </x:c>
      <x:c r="Z356" s="22" t="n">
        <x:f>MAX(0,MIN('Activities'!L356,132)-MAX('Activities'!K356,126))</x:f>
        <x:v>0</x:v>
      </x:c>
      <x:c r="AA356" s="22" t="n">
        <x:f>MAX(0,MIN('Activities'!L356,138)-MAX('Activities'!K356,132))</x:f>
        <x:v>0</x:v>
      </x:c>
      <x:c r="AB356" s="22" t="n">
        <x:f>MAX(0,MIN('Activities'!L356,144)-MAX('Activities'!K356,138))</x:f>
        <x:v>0</x:v>
      </x:c>
      <x:c r="AC356" s="22" t="n">
        <x:f>MAX(0,MIN('Activities'!L356,150)-MAX('Activities'!K356,144))</x:f>
        <x:v>0</x:v>
      </x:c>
      <x:c r="AD356" s="22" t="n">
        <x:f>MAX(0,MIN('Activities'!L356,156)-MAX('Activities'!K356,150))</x:f>
        <x:v>0</x:v>
      </x:c>
      <x:c r="AE356" s="22" t="n">
        <x:f>MAX(0,MIN('Activities'!L356,162)-MAX('Activities'!K356,156))</x:f>
        <x:v>0</x:v>
      </x:c>
      <x:c r="AF356" s="22" t="n">
        <x:f>MAX(0,MIN('Activities'!L356,168)-MAX('Activities'!K356,162))</x:f>
        <x:v>0</x:v>
      </x:c>
      <x:c r="AG356" s="22" t="n">
        <x:f>MAX(0,MIN('Activities'!L356,174)-MAX('Activities'!K356,168))</x:f>
        <x:v>0</x:v>
      </x:c>
      <x:c r="AH356" s="22" t="n">
        <x:f>MAX(0,MIN('Activities'!L356,180)-MAX('Activities'!K356,174))</x:f>
        <x:v>0</x:v>
      </x:c>
      <x:c r="AI356" s="22" t="n">
        <x:f>MAX(0,MIN('Activities'!L356,186)-MAX('Activities'!K356,180))</x:f>
        <x:v>0</x:v>
      </x:c>
      <x:c r="AJ356" s="22" t="n">
        <x:f>MAX(0,MIN('Activities'!L356,192)-MAX('Activities'!K356,186))</x:f>
        <x:v>0</x:v>
      </x:c>
      <x:c r="AK356" s="22" t="n">
        <x:f>MAX(0,MIN('Activities'!L356,198)-MAX('Activities'!K356,192))</x:f>
        <x:v>0</x:v>
      </x:c>
      <x:c r="AL356" s="22" t="n">
        <x:f>MAX(0,MIN('Activities'!L356,204)-MAX('Activities'!K356,198))</x:f>
        <x:v>0</x:v>
      </x:c>
      <x:c r="AM356" s="22" t="n">
        <x:f>MAX(0,MIN('Activities'!L356,210)-MAX('Activities'!K356,204))</x:f>
        <x:v>0</x:v>
      </x:c>
      <x:c r="AN356" s="22" t="n">
        <x:f>MAX(0,MIN('Activities'!L356,216)-MAX('Activities'!K356,210))</x:f>
        <x:v>0</x:v>
      </x:c>
      <x:c r="AO356" s="22" t="n">
        <x:f>MAX(0,MIN('Activities'!L356,222)-MAX('Activities'!K356,216))</x:f>
        <x:v>0</x:v>
      </x:c>
      <x:c r="AP356" s="22" t="n">
        <x:f>MAX(0,MIN('Activities'!L356,228)-MAX('Activities'!K356,222))</x:f>
        <x:v>0</x:v>
      </x:c>
      <x:c r="AQ356" s="22" t="n">
        <x:f>MAX(0,MIN('Activities'!L356,234)-MAX('Activities'!K356,228))</x:f>
        <x:v>0</x:v>
      </x:c>
      <x:c r="AR356" s="22" t="n">
        <x:f>MAX(0,MIN('Activities'!L356,240)-MAX('Activities'!K356,234))</x:f>
        <x:v>0</x:v>
      </x:c>
      <x:c r="AS356" s="22" t="n">
        <x:f>MAX(0,MIN('Activities'!L356,246)-MAX('Activities'!K356,240))</x:f>
        <x:v>0</x:v>
      </x:c>
      <x:c r="AT356" s="22" t="n">
        <x:f>MAX(0,MIN('Activities'!L356,252)-MAX('Activities'!K356,246))</x:f>
        <x:v>0</x:v>
      </x:c>
      <x:c r="AU356" s="22" t="n">
        <x:f>MAX(0,MIN('Activities'!L356,258)-MAX('Activities'!K356,252))</x:f>
        <x:v>0</x:v>
      </x:c>
      <x:c r="AV356" s="22" t="n">
        <x:f>MAX(0,MIN('Activities'!L356,264)-MAX('Activities'!K356,258))</x:f>
        <x:v>0</x:v>
      </x:c>
      <x:c r="AW356" s="22" t="n">
        <x:f>MAX(0,MIN('Activities'!L356,270)-MAX('Activities'!K356,264))</x:f>
        <x:v>0</x:v>
      </x:c>
      <x:c r="AX356" s="22" t="n">
        <x:f>MAX(0,MIN('Activities'!L356,276)-MAX('Activities'!K356,270))</x:f>
        <x:v>0</x:v>
      </x:c>
      <x:c r="AY356" s="22" t="n">
        <x:f>MAX(0,MIN('Activities'!L356,282)-MAX('Activities'!K356,276))</x:f>
        <x:v>0</x:v>
      </x:c>
      <x:c r="AZ356" s="22" t="n">
        <x:f>MAX(0,MIN('Activities'!L356,288)-MAX('Activities'!K356,282))</x:f>
        <x:v>0</x:v>
      </x:c>
      <x:c r="BA356" s="22" t="n">
        <x:f>MAX(0,MIN('Activities'!L356,294)-MAX('Activities'!K356,288))</x:f>
        <x:v>0</x:v>
      </x:c>
      <x:c r="BB356" s="22" t="n">
        <x:f>MAX(0,MIN('Activities'!L356,300)-MAX('Activities'!K356,294))</x:f>
        <x:v>3</x:v>
      </x:c>
      <x:c r="BC356" s="22" t="n">
        <x:f>MAX(0,MIN('Activities'!L356,306)-MAX('Activities'!K356,300))</x:f>
        <x:v>3</x:v>
      </x:c>
      <x:c r="BD356" s="22" t="n">
        <x:f>MAX(0,MIN('Activities'!L356,312)-MAX('Activities'!K356,306))</x:f>
        <x:v>0</x:v>
      </x:c>
      <x:c r="BE356" s="22" t="n">
        <x:f>MAX(0,MIN('Activities'!L356,318)-MAX('Activities'!K356,312))</x:f>
        <x:v>0</x:v>
      </x:c>
      <x:c r="BF356" s="22" t="n">
        <x:f>MAX(0,MIN('Activities'!L356,324)-MAX('Activities'!K356,318))</x:f>
        <x:v>0</x:v>
      </x:c>
      <x:c r="BG356" s="22" t="n">
        <x:f>MAX(0,MIN('Activities'!L356,330)-MAX('Activities'!K356,324))</x:f>
        <x:v>0</x:v>
      </x:c>
      <x:c r="BH356" s="22" t="n">
        <x:f>MAX(0,MIN('Activities'!L356,336)-MAX('Activities'!K356,330))</x:f>
        <x:v>0</x:v>
      </x:c>
      <x:c r="BI356" s="22" t="n">
        <x:f>MAX(0,MIN('Activities'!L356,342)-MAX('Activities'!K356,336))</x:f>
        <x:v>0</x:v>
      </x:c>
      <x:c r="BJ356" s="22" t="n">
        <x:f>MAX(0,MIN('Activities'!L356,348)-MAX('Activities'!K356,342))</x:f>
        <x:v>0</x:v>
      </x:c>
      <x:c r="BK356" s="22" t="n">
        <x:f>MAX(0,MIN('Activities'!L356,354)-MAX('Activities'!K356,348))</x:f>
        <x:v>0</x:v>
      </x:c>
      <x:c r="BL356" s="22" t="n">
        <x:f>MAX(0,MIN('Activities'!L356,360)-MAX('Activities'!K356,354))</x:f>
        <x:v>0</x:v>
      </x:c>
      <x:c r="BM356" s="22" t="n">
        <x:f>MAX(0,MIN('Activities'!L356,366)-MAX('Activities'!K356,360))</x:f>
        <x:v>0</x:v>
      </x:c>
      <x:c r="BN356" s="22" t="n">
        <x:f>MAX(0,MIN('Activities'!L356,372)-MAX('Activities'!K356,366))</x:f>
        <x:v>0</x:v>
      </x:c>
      <x:c r="BO356" s="22" t="n">
        <x:f>MAX(0,MIN('Activities'!L356,378)-MAX('Activities'!K356,372))</x:f>
        <x:v>0</x:v>
      </x:c>
      <x:c r="BP356" s="22" t="n">
        <x:f>MAX(0,MIN('Activities'!L356,384)-MAX('Activities'!K356,378))</x:f>
        <x:v>0</x:v>
      </x:c>
      <x:c r="BQ356" s="22" t="n">
        <x:f>MAX(0,MIN('Activities'!L356,390)-MAX('Activities'!K356,384))</x:f>
        <x:v>0</x:v>
      </x:c>
      <x:c r="BR356" s="22" t="n">
        <x:f>MAX(0,MIN('Activities'!L356,396)-MAX('Activities'!K356,390))</x:f>
        <x:v>0</x:v>
      </x:c>
      <x:c r="BS356" s="22" t="n">
        <x:f>MAX(0,MIN('Activities'!L356,402)-MAX('Activities'!K356,396))</x:f>
        <x:v>0</x:v>
      </x:c>
      <x:c r="BT356" s="22" t="n">
        <x:f>MAX(0,MIN('Activities'!L356,408)-MAX('Activities'!K356,402))</x:f>
        <x:v>0</x:v>
      </x:c>
      <x:c r="BU356" s="22" t="n">
        <x:f>MAX(0,MIN('Activities'!L356,414)-MAX('Activities'!K356,408))</x:f>
        <x:v>0</x:v>
      </x:c>
      <x:c r="BV356" s="22" t="n">
        <x:f>MAX(0,MIN('Activities'!L356,420)-MAX('Activities'!K356,414))</x:f>
        <x:v>0</x:v>
      </x:c>
      <x:c r="BW356" s="22" t="n">
        <x:f>MAX(0,MIN('Activities'!L356,426)-MAX('Activities'!K356,420))</x:f>
        <x:v>0</x:v>
      </x:c>
      <x:c r="BX356" s="22" t="n">
        <x:f>MAX(0,MIN('Activities'!L356,432)-MAX('Activities'!K356,426))</x:f>
        <x:v>0</x:v>
      </x:c>
      <x:c r="BY356" s="22" t="n">
        <x:f>MAX(0,MIN('Activities'!L356,438)-MAX('Activities'!K356,432))</x:f>
        <x:v>0</x:v>
      </x:c>
      <x:c r="BZ356" s="22" t="n">
        <x:f>MAX(0,MIN('Activities'!L356,444)-MAX('Activities'!K356,438))</x:f>
        <x:v>0</x:v>
      </x:c>
      <x:c r="CA356" s="22" t="n">
        <x:f>MAX(0,MIN('Activities'!L356,450)-MAX('Activities'!K356,444))</x:f>
        <x:v>0</x:v>
      </x:c>
      <x:c r="CB356" s="22" t="n">
        <x:f>MAX(0,MIN('Activities'!L356,456)-MAX('Activities'!K356,450))</x:f>
        <x:v>0</x:v>
      </x:c>
      <x:c r="CC356" s="22" t="n">
        <x:f>MAX(0,MIN('Activities'!L356,462)-MAX('Activities'!K356,456))</x:f>
        <x:v>0</x:v>
      </x:c>
      <x:c r="CD356" s="22" t="n">
        <x:f>MAX(0,MIN('Activities'!L356,468)-MAX('Activities'!K356,462))</x:f>
        <x:v>0</x:v>
      </x:c>
      <x:c r="CE356" s="22" t="n">
        <x:f>MAX(0,MIN('Activities'!L356,474)-MAX('Activities'!K356,468))</x:f>
        <x:v>0</x:v>
      </x:c>
      <x:c r="CF356" s="22" t="n">
        <x:f>MAX(0,MIN('Activities'!L356,480)-MAX('Activities'!K356,474))</x:f>
        <x:v>0</x:v>
      </x:c>
      <x:c r="CG356" s="22" t="n">
        <x:f>MAX(0,MIN('Activities'!L356,486)-MAX('Activities'!K356,480))</x:f>
        <x:v>0</x:v>
      </x:c>
      <x:c r="CH356" s="22" t="n">
        <x:f>MAX(0,MIN('Activities'!L356,492)-MAX('Activities'!K356,486))</x:f>
        <x:v>0</x:v>
      </x:c>
      <x:c r="CI356" s="22" t="n">
        <x:f>MAX(0,MIN('Activities'!L356,498)-MAX('Activities'!K356,492))</x:f>
        <x:v>0</x:v>
      </x:c>
      <x:c r="CJ356" s="22" t="n">
        <x:f>MAX(0,MIN('Activities'!L356,504)-MAX('Activities'!K356,498))</x:f>
        <x:v>0</x:v>
      </x:c>
      <x:c r="CK356" s="22" t="n">
        <x:f>MAX(0,MIN('Activities'!L356,510)-MAX('Activities'!K356,504))</x:f>
        <x:v>0</x:v>
      </x:c>
      <x:c r="CL356" s="22" t="n">
        <x:f>MAX(0,MIN('Activities'!L356,516)-MAX('Activities'!K356,510))</x:f>
        <x:v>0</x:v>
      </x:c>
      <x:c r="CM356" s="22" t="n">
        <x:f>MAX(0,MIN('Activities'!L356,522)-MAX('Activities'!K356,516))</x:f>
        <x:v>0</x:v>
      </x:c>
      <x:c r="CN356" s="22" t="n">
        <x:f>MAX(0,MIN('Activities'!L356,528)-MAX('Activities'!K356,522))</x:f>
        <x:v>0</x:v>
      </x:c>
      <x:c r="CO356" s="22" t="n">
        <x:f>MAX(0,MIN('Activities'!L356,534)-MAX('Activities'!K356,528))</x:f>
        <x:v>0</x:v>
      </x:c>
      <x:c r="CP356" s="22" t="n">
        <x:f>MAX(0,MIN('Activities'!L356,540)-MAX('Activities'!K356,534))</x:f>
        <x:v>0</x:v>
      </x:c>
      <x:c r="CQ356" s="22" t="n">
        <x:f>MAX(0,MIN('Activities'!L356,546)-MAX('Activities'!K356,540))</x:f>
        <x:v>0</x:v>
      </x:c>
      <x:c r="CR356" s="22" t="n">
        <x:f>MAX(0,MIN('Activities'!L356,552)-MAX('Activities'!K356,546))</x:f>
        <x:v>0</x:v>
      </x:c>
      <x:c r="CS356" s="22" t="n">
        <x:f>MAX(0,MIN('Activities'!L356,558)-MAX('Activities'!K356,552))</x:f>
        <x:v>0</x:v>
      </x:c>
      <x:c r="CT356" s="22" t="n">
        <x:f>MAX(0,MIN('Activities'!L356,564)-MAX('Activities'!K356,558))</x:f>
        <x:v>0</x:v>
      </x:c>
      <x:c r="CU356" s="22" t="n">
        <x:f>MAX(0,MIN('Activities'!L356,570)-MAX('Activities'!K356,564))</x:f>
        <x:v>0</x:v>
      </x:c>
      <x:c r="CV356" s="22" t="n">
        <x:f>MAX(0,MIN('Activities'!L356,576)-MAX('Activities'!K356,570))</x:f>
        <x:v>0</x:v>
      </x:c>
      <x:c r="CW356" s="22" t="n">
        <x:f>MAX(0,MIN('Activities'!L356,582)-MAX('Activities'!K356,576))</x:f>
        <x:v>0</x:v>
      </x:c>
      <x:c r="CX356" s="22" t="n">
        <x:f>MAX(0,MIN('Activities'!L356,588)-MAX('Activities'!K356,582))</x:f>
        <x:v>0</x:v>
      </x:c>
      <x:c r="CY356" s="22" t="n">
        <x:f>MAX(0,MIN('Activities'!L356,594)-MAX('Activities'!K356,588))</x:f>
        <x:v>0</x:v>
      </x:c>
      <x:c r="CZ356" s="22" t="n">
        <x:f>MAX(0,MIN('Activities'!L356,600)-MAX('Activities'!K356,594))</x:f>
        <x:v>0</x:v>
      </x:c>
      <x:c r="DA356" s="22" t="n">
        <x:f>MAX(0,MIN('Activities'!L356,606)-MAX('Activities'!K356,600))</x:f>
        <x:v>0</x:v>
      </x:c>
      <x:c r="DB356" s="22" t="n">
        <x:f>MAX(0,MIN('Activities'!L356,612)-MAX('Activities'!K356,606))</x:f>
        <x:v>0</x:v>
      </x:c>
      <x:c r="DC356" s="22" t="n">
        <x:f>MAX(0,MIN('Activities'!L356,618)-MAX('Activities'!K356,612))</x:f>
        <x:v>0</x:v>
      </x:c>
      <x:c r="DD356" s="22" t="n">
        <x:f>MAX(0,MIN('Activities'!L356,624)-MAX('Activities'!K356,618))</x:f>
        <x:v>0</x:v>
      </x:c>
      <x:c r="DE356" s="22" t="n">
        <x:f>MAX(0,MIN('Activities'!L356,630)-MAX('Activities'!K356,624))</x:f>
        <x:v>0</x:v>
      </x:c>
      <x:c r="DF356" s="22" t="n">
        <x:f>MAX(0,MIN('Activities'!L356,636)-MAX('Activities'!K356,630))</x:f>
        <x:v>0</x:v>
      </x:c>
    </x:row>
    <x:row r="357" ht="23" customHeight="1">
      <x:c r="A357" s="1" t="str">
        <x:v>T3-L03-S</x:v>
      </x:c>
      <x:c r="B357" s="1" t="str">
        <x:v>T3</x:v>
      </x:c>
      <x:c r="C357" s="1" t="str">
        <x:v>Screed and substrate preparation</x:v>
      </x:c>
      <x:c r="D357" s="1" t="str">
        <x:v>Finishes</x:v>
      </x:c>
      <x:c r="E357" s="23" t="n">
        <x:f>MAX(0,MIN('Activities'!L357,6)-MAX('Activities'!K357,0))</x:f>
        <x:v>0</x:v>
      </x:c>
      <x:c r="F357" s="23" t="n">
        <x:f>MAX(0,MIN('Activities'!L357,12)-MAX('Activities'!K357,6))</x:f>
        <x:v>0</x:v>
      </x:c>
      <x:c r="G357" s="23" t="n">
        <x:f>MAX(0,MIN('Activities'!L357,18)-MAX('Activities'!K357,12))</x:f>
        <x:v>0</x:v>
      </x:c>
      <x:c r="H357" s="23" t="n">
        <x:f>MAX(0,MIN('Activities'!L357,24)-MAX('Activities'!K357,18))</x:f>
        <x:v>0</x:v>
      </x:c>
      <x:c r="I357" s="23" t="n">
        <x:f>MAX(0,MIN('Activities'!L357,30)-MAX('Activities'!K357,24))</x:f>
        <x:v>0</x:v>
      </x:c>
      <x:c r="J357" s="23" t="n">
        <x:f>MAX(0,MIN('Activities'!L357,36)-MAX('Activities'!K357,30))</x:f>
        <x:v>0</x:v>
      </x:c>
      <x:c r="K357" s="23" t="n">
        <x:f>MAX(0,MIN('Activities'!L357,42)-MAX('Activities'!K357,36))</x:f>
        <x:v>0</x:v>
      </x:c>
      <x:c r="L357" s="23" t="n">
        <x:f>MAX(0,MIN('Activities'!L357,48)-MAX('Activities'!K357,42))</x:f>
        <x:v>0</x:v>
      </x:c>
      <x:c r="M357" s="23" t="n">
        <x:f>MAX(0,MIN('Activities'!L357,54)-MAX('Activities'!K357,48))</x:f>
        <x:v>0</x:v>
      </x:c>
      <x:c r="N357" s="23" t="n">
        <x:f>MAX(0,MIN('Activities'!L357,60)-MAX('Activities'!K357,54))</x:f>
        <x:v>0</x:v>
      </x:c>
      <x:c r="O357" s="23" t="n">
        <x:f>MAX(0,MIN('Activities'!L357,66)-MAX('Activities'!K357,60))</x:f>
        <x:v>0</x:v>
      </x:c>
      <x:c r="P357" s="23" t="n">
        <x:f>MAX(0,MIN('Activities'!L357,72)-MAX('Activities'!K357,66))</x:f>
        <x:v>0</x:v>
      </x:c>
      <x:c r="Q357" s="23" t="n">
        <x:f>MAX(0,MIN('Activities'!L357,78)-MAX('Activities'!K357,72))</x:f>
        <x:v>0</x:v>
      </x:c>
      <x:c r="R357" s="23" t="n">
        <x:f>MAX(0,MIN('Activities'!L357,84)-MAX('Activities'!K357,78))</x:f>
        <x:v>0</x:v>
      </x:c>
      <x:c r="S357" s="23" t="n">
        <x:f>MAX(0,MIN('Activities'!L357,90)-MAX('Activities'!K357,84))</x:f>
        <x:v>0</x:v>
      </x:c>
      <x:c r="T357" s="23" t="n">
        <x:f>MAX(0,MIN('Activities'!L357,96)-MAX('Activities'!K357,90))</x:f>
        <x:v>0</x:v>
      </x:c>
      <x:c r="U357" s="23" t="n">
        <x:f>MAX(0,MIN('Activities'!L357,102)-MAX('Activities'!K357,96))</x:f>
        <x:v>0</x:v>
      </x:c>
      <x:c r="V357" s="23" t="n">
        <x:f>MAX(0,MIN('Activities'!L357,108)-MAX('Activities'!K357,102))</x:f>
        <x:v>0</x:v>
      </x:c>
      <x:c r="W357" s="23" t="n">
        <x:f>MAX(0,MIN('Activities'!L357,114)-MAX('Activities'!K357,108))</x:f>
        <x:v>0</x:v>
      </x:c>
      <x:c r="X357" s="23" t="n">
        <x:f>MAX(0,MIN('Activities'!L357,120)-MAX('Activities'!K357,114))</x:f>
        <x:v>0</x:v>
      </x:c>
      <x:c r="Y357" s="23" t="n">
        <x:f>MAX(0,MIN('Activities'!L357,126)-MAX('Activities'!K357,120))</x:f>
        <x:v>0</x:v>
      </x:c>
      <x:c r="Z357" s="23" t="n">
        <x:f>MAX(0,MIN('Activities'!L357,132)-MAX('Activities'!K357,126))</x:f>
        <x:v>0</x:v>
      </x:c>
      <x:c r="AA357" s="23" t="n">
        <x:f>MAX(0,MIN('Activities'!L357,138)-MAX('Activities'!K357,132))</x:f>
        <x:v>0</x:v>
      </x:c>
      <x:c r="AB357" s="23" t="n">
        <x:f>MAX(0,MIN('Activities'!L357,144)-MAX('Activities'!K357,138))</x:f>
        <x:v>0</x:v>
      </x:c>
      <x:c r="AC357" s="23" t="n">
        <x:f>MAX(0,MIN('Activities'!L357,150)-MAX('Activities'!K357,144))</x:f>
        <x:v>0</x:v>
      </x:c>
      <x:c r="AD357" s="23" t="n">
        <x:f>MAX(0,MIN('Activities'!L357,156)-MAX('Activities'!K357,150))</x:f>
        <x:v>0</x:v>
      </x:c>
      <x:c r="AE357" s="23" t="n">
        <x:f>MAX(0,MIN('Activities'!L357,162)-MAX('Activities'!K357,156))</x:f>
        <x:v>0</x:v>
      </x:c>
      <x:c r="AF357" s="23" t="n">
        <x:f>MAX(0,MIN('Activities'!L357,168)-MAX('Activities'!K357,162))</x:f>
        <x:v>0</x:v>
      </x:c>
      <x:c r="AG357" s="23" t="n">
        <x:f>MAX(0,MIN('Activities'!L357,174)-MAX('Activities'!K357,168))</x:f>
        <x:v>0</x:v>
      </x:c>
      <x:c r="AH357" s="23" t="n">
        <x:f>MAX(0,MIN('Activities'!L357,180)-MAX('Activities'!K357,174))</x:f>
        <x:v>0</x:v>
      </x:c>
      <x:c r="AI357" s="23" t="n">
        <x:f>MAX(0,MIN('Activities'!L357,186)-MAX('Activities'!K357,180))</x:f>
        <x:v>0</x:v>
      </x:c>
      <x:c r="AJ357" s="23" t="n">
        <x:f>MAX(0,MIN('Activities'!L357,192)-MAX('Activities'!K357,186))</x:f>
        <x:v>0</x:v>
      </x:c>
      <x:c r="AK357" s="23" t="n">
        <x:f>MAX(0,MIN('Activities'!L357,198)-MAX('Activities'!K357,192))</x:f>
        <x:v>0</x:v>
      </x:c>
      <x:c r="AL357" s="23" t="n">
        <x:f>MAX(0,MIN('Activities'!L357,204)-MAX('Activities'!K357,198))</x:f>
        <x:v>0</x:v>
      </x:c>
      <x:c r="AM357" s="23" t="n">
        <x:f>MAX(0,MIN('Activities'!L357,210)-MAX('Activities'!K357,204))</x:f>
        <x:v>0</x:v>
      </x:c>
      <x:c r="AN357" s="23" t="n">
        <x:f>MAX(0,MIN('Activities'!L357,216)-MAX('Activities'!K357,210))</x:f>
        <x:v>0</x:v>
      </x:c>
      <x:c r="AO357" s="23" t="n">
        <x:f>MAX(0,MIN('Activities'!L357,222)-MAX('Activities'!K357,216))</x:f>
        <x:v>0</x:v>
      </x:c>
      <x:c r="AP357" s="23" t="n">
        <x:f>MAX(0,MIN('Activities'!L357,228)-MAX('Activities'!K357,222))</x:f>
        <x:v>0</x:v>
      </x:c>
      <x:c r="AQ357" s="23" t="n">
        <x:f>MAX(0,MIN('Activities'!L357,234)-MAX('Activities'!K357,228))</x:f>
        <x:v>0</x:v>
      </x:c>
      <x:c r="AR357" s="23" t="n">
        <x:f>MAX(0,MIN('Activities'!L357,240)-MAX('Activities'!K357,234))</x:f>
        <x:v>0</x:v>
      </x:c>
      <x:c r="AS357" s="23" t="n">
        <x:f>MAX(0,MIN('Activities'!L357,246)-MAX('Activities'!K357,240))</x:f>
        <x:v>0</x:v>
      </x:c>
      <x:c r="AT357" s="23" t="n">
        <x:f>MAX(0,MIN('Activities'!L357,252)-MAX('Activities'!K357,246))</x:f>
        <x:v>0</x:v>
      </x:c>
      <x:c r="AU357" s="23" t="n">
        <x:f>MAX(0,MIN('Activities'!L357,258)-MAX('Activities'!K357,252))</x:f>
        <x:v>0</x:v>
      </x:c>
      <x:c r="AV357" s="23" t="n">
        <x:f>MAX(0,MIN('Activities'!L357,264)-MAX('Activities'!K357,258))</x:f>
        <x:v>0</x:v>
      </x:c>
      <x:c r="AW357" s="23" t="n">
        <x:f>MAX(0,MIN('Activities'!L357,270)-MAX('Activities'!K357,264))</x:f>
        <x:v>0</x:v>
      </x:c>
      <x:c r="AX357" s="23" t="n">
        <x:f>MAX(0,MIN('Activities'!L357,276)-MAX('Activities'!K357,270))</x:f>
        <x:v>0</x:v>
      </x:c>
      <x:c r="AY357" s="23" t="n">
        <x:f>MAX(0,MIN('Activities'!L357,282)-MAX('Activities'!K357,276))</x:f>
        <x:v>0</x:v>
      </x:c>
      <x:c r="AZ357" s="23" t="n">
        <x:f>MAX(0,MIN('Activities'!L357,288)-MAX('Activities'!K357,282))</x:f>
        <x:v>0</x:v>
      </x:c>
      <x:c r="BA357" s="23" t="n">
        <x:f>MAX(0,MIN('Activities'!L357,294)-MAX('Activities'!K357,288))</x:f>
        <x:v>0</x:v>
      </x:c>
      <x:c r="BB357" s="23" t="n">
        <x:f>MAX(0,MIN('Activities'!L357,300)-MAX('Activities'!K357,294))</x:f>
        <x:v>0</x:v>
      </x:c>
      <x:c r="BC357" s="23" t="n">
        <x:f>MAX(0,MIN('Activities'!L357,306)-MAX('Activities'!K357,300))</x:f>
        <x:v>1</x:v>
      </x:c>
      <x:c r="BD357" s="23" t="n">
        <x:f>MAX(0,MIN('Activities'!L357,312)-MAX('Activities'!K357,306))</x:f>
        <x:v>2</x:v>
      </x:c>
      <x:c r="BE357" s="23" t="n">
        <x:f>MAX(0,MIN('Activities'!L357,318)-MAX('Activities'!K357,312))</x:f>
        <x:v>0</x:v>
      </x:c>
      <x:c r="BF357" s="23" t="n">
        <x:f>MAX(0,MIN('Activities'!L357,324)-MAX('Activities'!K357,318))</x:f>
        <x:v>0</x:v>
      </x:c>
      <x:c r="BG357" s="23" t="n">
        <x:f>MAX(0,MIN('Activities'!L357,330)-MAX('Activities'!K357,324))</x:f>
        <x:v>0</x:v>
      </x:c>
      <x:c r="BH357" s="23" t="n">
        <x:f>MAX(0,MIN('Activities'!L357,336)-MAX('Activities'!K357,330))</x:f>
        <x:v>0</x:v>
      </x:c>
      <x:c r="BI357" s="23" t="n">
        <x:f>MAX(0,MIN('Activities'!L357,342)-MAX('Activities'!K357,336))</x:f>
        <x:v>0</x:v>
      </x:c>
      <x:c r="BJ357" s="23" t="n">
        <x:f>MAX(0,MIN('Activities'!L357,348)-MAX('Activities'!K357,342))</x:f>
        <x:v>0</x:v>
      </x:c>
      <x:c r="BK357" s="23" t="n">
        <x:f>MAX(0,MIN('Activities'!L357,354)-MAX('Activities'!K357,348))</x:f>
        <x:v>0</x:v>
      </x:c>
      <x:c r="BL357" s="23" t="n">
        <x:f>MAX(0,MIN('Activities'!L357,360)-MAX('Activities'!K357,354))</x:f>
        <x:v>0</x:v>
      </x:c>
      <x:c r="BM357" s="23" t="n">
        <x:f>MAX(0,MIN('Activities'!L357,366)-MAX('Activities'!K357,360))</x:f>
        <x:v>0</x:v>
      </x:c>
      <x:c r="BN357" s="23" t="n">
        <x:f>MAX(0,MIN('Activities'!L357,372)-MAX('Activities'!K357,366))</x:f>
        <x:v>0</x:v>
      </x:c>
      <x:c r="BO357" s="23" t="n">
        <x:f>MAX(0,MIN('Activities'!L357,378)-MAX('Activities'!K357,372))</x:f>
        <x:v>0</x:v>
      </x:c>
      <x:c r="BP357" s="23" t="n">
        <x:f>MAX(0,MIN('Activities'!L357,384)-MAX('Activities'!K357,378))</x:f>
        <x:v>0</x:v>
      </x:c>
      <x:c r="BQ357" s="23" t="n">
        <x:f>MAX(0,MIN('Activities'!L357,390)-MAX('Activities'!K357,384))</x:f>
        <x:v>0</x:v>
      </x:c>
      <x:c r="BR357" s="23" t="n">
        <x:f>MAX(0,MIN('Activities'!L357,396)-MAX('Activities'!K357,390))</x:f>
        <x:v>0</x:v>
      </x:c>
      <x:c r="BS357" s="23" t="n">
        <x:f>MAX(0,MIN('Activities'!L357,402)-MAX('Activities'!K357,396))</x:f>
        <x:v>0</x:v>
      </x:c>
      <x:c r="BT357" s="23" t="n">
        <x:f>MAX(0,MIN('Activities'!L357,408)-MAX('Activities'!K357,402))</x:f>
        <x:v>0</x:v>
      </x:c>
      <x:c r="BU357" s="23" t="n">
        <x:f>MAX(0,MIN('Activities'!L357,414)-MAX('Activities'!K357,408))</x:f>
        <x:v>0</x:v>
      </x:c>
      <x:c r="BV357" s="23" t="n">
        <x:f>MAX(0,MIN('Activities'!L357,420)-MAX('Activities'!K357,414))</x:f>
        <x:v>0</x:v>
      </x:c>
      <x:c r="BW357" s="23" t="n">
        <x:f>MAX(0,MIN('Activities'!L357,426)-MAX('Activities'!K357,420))</x:f>
        <x:v>0</x:v>
      </x:c>
      <x:c r="BX357" s="23" t="n">
        <x:f>MAX(0,MIN('Activities'!L357,432)-MAX('Activities'!K357,426))</x:f>
        <x:v>0</x:v>
      </x:c>
      <x:c r="BY357" s="23" t="n">
        <x:f>MAX(0,MIN('Activities'!L357,438)-MAX('Activities'!K357,432))</x:f>
        <x:v>0</x:v>
      </x:c>
      <x:c r="BZ357" s="23" t="n">
        <x:f>MAX(0,MIN('Activities'!L357,444)-MAX('Activities'!K357,438))</x:f>
        <x:v>0</x:v>
      </x:c>
      <x:c r="CA357" s="23" t="n">
        <x:f>MAX(0,MIN('Activities'!L357,450)-MAX('Activities'!K357,444))</x:f>
        <x:v>0</x:v>
      </x:c>
      <x:c r="CB357" s="23" t="n">
        <x:f>MAX(0,MIN('Activities'!L357,456)-MAX('Activities'!K357,450))</x:f>
        <x:v>0</x:v>
      </x:c>
      <x:c r="CC357" s="23" t="n">
        <x:f>MAX(0,MIN('Activities'!L357,462)-MAX('Activities'!K357,456))</x:f>
        <x:v>0</x:v>
      </x:c>
      <x:c r="CD357" s="23" t="n">
        <x:f>MAX(0,MIN('Activities'!L357,468)-MAX('Activities'!K357,462))</x:f>
        <x:v>0</x:v>
      </x:c>
      <x:c r="CE357" s="23" t="n">
        <x:f>MAX(0,MIN('Activities'!L357,474)-MAX('Activities'!K357,468))</x:f>
        <x:v>0</x:v>
      </x:c>
      <x:c r="CF357" s="23" t="n">
        <x:f>MAX(0,MIN('Activities'!L357,480)-MAX('Activities'!K357,474))</x:f>
        <x:v>0</x:v>
      </x:c>
      <x:c r="CG357" s="23" t="n">
        <x:f>MAX(0,MIN('Activities'!L357,486)-MAX('Activities'!K357,480))</x:f>
        <x:v>0</x:v>
      </x:c>
      <x:c r="CH357" s="23" t="n">
        <x:f>MAX(0,MIN('Activities'!L357,492)-MAX('Activities'!K357,486))</x:f>
        <x:v>0</x:v>
      </x:c>
      <x:c r="CI357" s="23" t="n">
        <x:f>MAX(0,MIN('Activities'!L357,498)-MAX('Activities'!K357,492))</x:f>
        <x:v>0</x:v>
      </x:c>
      <x:c r="CJ357" s="23" t="n">
        <x:f>MAX(0,MIN('Activities'!L357,504)-MAX('Activities'!K357,498))</x:f>
        <x:v>0</x:v>
      </x:c>
      <x:c r="CK357" s="23" t="n">
        <x:f>MAX(0,MIN('Activities'!L357,510)-MAX('Activities'!K357,504))</x:f>
        <x:v>0</x:v>
      </x:c>
      <x:c r="CL357" s="23" t="n">
        <x:f>MAX(0,MIN('Activities'!L357,516)-MAX('Activities'!K357,510))</x:f>
        <x:v>0</x:v>
      </x:c>
      <x:c r="CM357" s="23" t="n">
        <x:f>MAX(0,MIN('Activities'!L357,522)-MAX('Activities'!K357,516))</x:f>
        <x:v>0</x:v>
      </x:c>
      <x:c r="CN357" s="23" t="n">
        <x:f>MAX(0,MIN('Activities'!L357,528)-MAX('Activities'!K357,522))</x:f>
        <x:v>0</x:v>
      </x:c>
      <x:c r="CO357" s="23" t="n">
        <x:f>MAX(0,MIN('Activities'!L357,534)-MAX('Activities'!K357,528))</x:f>
        <x:v>0</x:v>
      </x:c>
      <x:c r="CP357" s="23" t="n">
        <x:f>MAX(0,MIN('Activities'!L357,540)-MAX('Activities'!K357,534))</x:f>
        <x:v>0</x:v>
      </x:c>
      <x:c r="CQ357" s="23" t="n">
        <x:f>MAX(0,MIN('Activities'!L357,546)-MAX('Activities'!K357,540))</x:f>
        <x:v>0</x:v>
      </x:c>
      <x:c r="CR357" s="23" t="n">
        <x:f>MAX(0,MIN('Activities'!L357,552)-MAX('Activities'!K357,546))</x:f>
        <x:v>0</x:v>
      </x:c>
      <x:c r="CS357" s="23" t="n">
        <x:f>MAX(0,MIN('Activities'!L357,558)-MAX('Activities'!K357,552))</x:f>
        <x:v>0</x:v>
      </x:c>
      <x:c r="CT357" s="23" t="n">
        <x:f>MAX(0,MIN('Activities'!L357,564)-MAX('Activities'!K357,558))</x:f>
        <x:v>0</x:v>
      </x:c>
      <x:c r="CU357" s="23" t="n">
        <x:f>MAX(0,MIN('Activities'!L357,570)-MAX('Activities'!K357,564))</x:f>
        <x:v>0</x:v>
      </x:c>
      <x:c r="CV357" s="23" t="n">
        <x:f>MAX(0,MIN('Activities'!L357,576)-MAX('Activities'!K357,570))</x:f>
        <x:v>0</x:v>
      </x:c>
      <x:c r="CW357" s="23" t="n">
        <x:f>MAX(0,MIN('Activities'!L357,582)-MAX('Activities'!K357,576))</x:f>
        <x:v>0</x:v>
      </x:c>
      <x:c r="CX357" s="23" t="n">
        <x:f>MAX(0,MIN('Activities'!L357,588)-MAX('Activities'!K357,582))</x:f>
        <x:v>0</x:v>
      </x:c>
      <x:c r="CY357" s="23" t="n">
        <x:f>MAX(0,MIN('Activities'!L357,594)-MAX('Activities'!K357,588))</x:f>
        <x:v>0</x:v>
      </x:c>
      <x:c r="CZ357" s="23" t="n">
        <x:f>MAX(0,MIN('Activities'!L357,600)-MAX('Activities'!K357,594))</x:f>
        <x:v>0</x:v>
      </x:c>
      <x:c r="DA357" s="23" t="n">
        <x:f>MAX(0,MIN('Activities'!L357,606)-MAX('Activities'!K357,600))</x:f>
        <x:v>0</x:v>
      </x:c>
      <x:c r="DB357" s="23" t="n">
        <x:f>MAX(0,MIN('Activities'!L357,612)-MAX('Activities'!K357,606))</x:f>
        <x:v>0</x:v>
      </x:c>
      <x:c r="DC357" s="23" t="n">
        <x:f>MAX(0,MIN('Activities'!L357,618)-MAX('Activities'!K357,612))</x:f>
        <x:v>0</x:v>
      </x:c>
      <x:c r="DD357" s="23" t="n">
        <x:f>MAX(0,MIN('Activities'!L357,624)-MAX('Activities'!K357,618))</x:f>
        <x:v>0</x:v>
      </x:c>
      <x:c r="DE357" s="23" t="n">
        <x:f>MAX(0,MIN('Activities'!L357,630)-MAX('Activities'!K357,624))</x:f>
        <x:v>0</x:v>
      </x:c>
      <x:c r="DF357" s="23" t="n">
        <x:f>MAX(0,MIN('Activities'!L357,636)-MAX('Activities'!K357,630))</x:f>
        <x:v>0</x:v>
      </x:c>
    </x:row>
    <x:row r="358" ht="23" customHeight="1">
      <x:c r="A358" s="6" t="str">
        <x:v>T3-L03-T</x:v>
      </x:c>
      <x:c r="B358" s="6" t="str">
        <x:v>T3</x:v>
      </x:c>
      <x:c r="C358" s="6" t="str">
        <x:v>Floor finishes and skirtings</x:v>
      </x:c>
      <x:c r="D358" s="6" t="str">
        <x:v>Finishes</x:v>
      </x:c>
      <x:c r="E358" s="22" t="n">
        <x:f>MAX(0,MIN('Activities'!L358,6)-MAX('Activities'!K358,0))</x:f>
        <x:v>0</x:v>
      </x:c>
      <x:c r="F358" s="22" t="n">
        <x:f>MAX(0,MIN('Activities'!L358,12)-MAX('Activities'!K358,6))</x:f>
        <x:v>0</x:v>
      </x:c>
      <x:c r="G358" s="22" t="n">
        <x:f>MAX(0,MIN('Activities'!L358,18)-MAX('Activities'!K358,12))</x:f>
        <x:v>0</x:v>
      </x:c>
      <x:c r="H358" s="22" t="n">
        <x:f>MAX(0,MIN('Activities'!L358,24)-MAX('Activities'!K358,18))</x:f>
        <x:v>0</x:v>
      </x:c>
      <x:c r="I358" s="22" t="n">
        <x:f>MAX(0,MIN('Activities'!L358,30)-MAX('Activities'!K358,24))</x:f>
        <x:v>0</x:v>
      </x:c>
      <x:c r="J358" s="22" t="n">
        <x:f>MAX(0,MIN('Activities'!L358,36)-MAX('Activities'!K358,30))</x:f>
        <x:v>0</x:v>
      </x:c>
      <x:c r="K358" s="22" t="n">
        <x:f>MAX(0,MIN('Activities'!L358,42)-MAX('Activities'!K358,36))</x:f>
        <x:v>0</x:v>
      </x:c>
      <x:c r="L358" s="22" t="n">
        <x:f>MAX(0,MIN('Activities'!L358,48)-MAX('Activities'!K358,42))</x:f>
        <x:v>0</x:v>
      </x:c>
      <x:c r="M358" s="22" t="n">
        <x:f>MAX(0,MIN('Activities'!L358,54)-MAX('Activities'!K358,48))</x:f>
        <x:v>0</x:v>
      </x:c>
      <x:c r="N358" s="22" t="n">
        <x:f>MAX(0,MIN('Activities'!L358,60)-MAX('Activities'!K358,54))</x:f>
        <x:v>0</x:v>
      </x:c>
      <x:c r="O358" s="22" t="n">
        <x:f>MAX(0,MIN('Activities'!L358,66)-MAX('Activities'!K358,60))</x:f>
        <x:v>0</x:v>
      </x:c>
      <x:c r="P358" s="22" t="n">
        <x:f>MAX(0,MIN('Activities'!L358,72)-MAX('Activities'!K358,66))</x:f>
        <x:v>0</x:v>
      </x:c>
      <x:c r="Q358" s="22" t="n">
        <x:f>MAX(0,MIN('Activities'!L358,78)-MAX('Activities'!K358,72))</x:f>
        <x:v>0</x:v>
      </x:c>
      <x:c r="R358" s="22" t="n">
        <x:f>MAX(0,MIN('Activities'!L358,84)-MAX('Activities'!K358,78))</x:f>
        <x:v>0</x:v>
      </x:c>
      <x:c r="S358" s="22" t="n">
        <x:f>MAX(0,MIN('Activities'!L358,90)-MAX('Activities'!K358,84))</x:f>
        <x:v>0</x:v>
      </x:c>
      <x:c r="T358" s="22" t="n">
        <x:f>MAX(0,MIN('Activities'!L358,96)-MAX('Activities'!K358,90))</x:f>
        <x:v>0</x:v>
      </x:c>
      <x:c r="U358" s="22" t="n">
        <x:f>MAX(0,MIN('Activities'!L358,102)-MAX('Activities'!K358,96))</x:f>
        <x:v>0</x:v>
      </x:c>
      <x:c r="V358" s="22" t="n">
        <x:f>MAX(0,MIN('Activities'!L358,108)-MAX('Activities'!K358,102))</x:f>
        <x:v>0</x:v>
      </x:c>
      <x:c r="W358" s="22" t="n">
        <x:f>MAX(0,MIN('Activities'!L358,114)-MAX('Activities'!K358,108))</x:f>
        <x:v>0</x:v>
      </x:c>
      <x:c r="X358" s="22" t="n">
        <x:f>MAX(0,MIN('Activities'!L358,120)-MAX('Activities'!K358,114))</x:f>
        <x:v>0</x:v>
      </x:c>
      <x:c r="Y358" s="22" t="n">
        <x:f>MAX(0,MIN('Activities'!L358,126)-MAX('Activities'!K358,120))</x:f>
        <x:v>0</x:v>
      </x:c>
      <x:c r="Z358" s="22" t="n">
        <x:f>MAX(0,MIN('Activities'!L358,132)-MAX('Activities'!K358,126))</x:f>
        <x:v>0</x:v>
      </x:c>
      <x:c r="AA358" s="22" t="n">
        <x:f>MAX(0,MIN('Activities'!L358,138)-MAX('Activities'!K358,132))</x:f>
        <x:v>0</x:v>
      </x:c>
      <x:c r="AB358" s="22" t="n">
        <x:f>MAX(0,MIN('Activities'!L358,144)-MAX('Activities'!K358,138))</x:f>
        <x:v>0</x:v>
      </x:c>
      <x:c r="AC358" s="22" t="n">
        <x:f>MAX(0,MIN('Activities'!L358,150)-MAX('Activities'!K358,144))</x:f>
        <x:v>0</x:v>
      </x:c>
      <x:c r="AD358" s="22" t="n">
        <x:f>MAX(0,MIN('Activities'!L358,156)-MAX('Activities'!K358,150))</x:f>
        <x:v>0</x:v>
      </x:c>
      <x:c r="AE358" s="22" t="n">
        <x:f>MAX(0,MIN('Activities'!L358,162)-MAX('Activities'!K358,156))</x:f>
        <x:v>0</x:v>
      </x:c>
      <x:c r="AF358" s="22" t="n">
        <x:f>MAX(0,MIN('Activities'!L358,168)-MAX('Activities'!K358,162))</x:f>
        <x:v>0</x:v>
      </x:c>
      <x:c r="AG358" s="22" t="n">
        <x:f>MAX(0,MIN('Activities'!L358,174)-MAX('Activities'!K358,168))</x:f>
        <x:v>0</x:v>
      </x:c>
      <x:c r="AH358" s="22" t="n">
        <x:f>MAX(0,MIN('Activities'!L358,180)-MAX('Activities'!K358,174))</x:f>
        <x:v>0</x:v>
      </x:c>
      <x:c r="AI358" s="22" t="n">
        <x:f>MAX(0,MIN('Activities'!L358,186)-MAX('Activities'!K358,180))</x:f>
        <x:v>0</x:v>
      </x:c>
      <x:c r="AJ358" s="22" t="n">
        <x:f>MAX(0,MIN('Activities'!L358,192)-MAX('Activities'!K358,186))</x:f>
        <x:v>0</x:v>
      </x:c>
      <x:c r="AK358" s="22" t="n">
        <x:f>MAX(0,MIN('Activities'!L358,198)-MAX('Activities'!K358,192))</x:f>
        <x:v>0</x:v>
      </x:c>
      <x:c r="AL358" s="22" t="n">
        <x:f>MAX(0,MIN('Activities'!L358,204)-MAX('Activities'!K358,198))</x:f>
        <x:v>0</x:v>
      </x:c>
      <x:c r="AM358" s="22" t="n">
        <x:f>MAX(0,MIN('Activities'!L358,210)-MAX('Activities'!K358,204))</x:f>
        <x:v>0</x:v>
      </x:c>
      <x:c r="AN358" s="22" t="n">
        <x:f>MAX(0,MIN('Activities'!L358,216)-MAX('Activities'!K358,210))</x:f>
        <x:v>0</x:v>
      </x:c>
      <x:c r="AO358" s="22" t="n">
        <x:f>MAX(0,MIN('Activities'!L358,222)-MAX('Activities'!K358,216))</x:f>
        <x:v>0</x:v>
      </x:c>
      <x:c r="AP358" s="22" t="n">
        <x:f>MAX(0,MIN('Activities'!L358,228)-MAX('Activities'!K358,222))</x:f>
        <x:v>0</x:v>
      </x:c>
      <x:c r="AQ358" s="22" t="n">
        <x:f>MAX(0,MIN('Activities'!L358,234)-MAX('Activities'!K358,228))</x:f>
        <x:v>0</x:v>
      </x:c>
      <x:c r="AR358" s="22" t="n">
        <x:f>MAX(0,MIN('Activities'!L358,240)-MAX('Activities'!K358,234))</x:f>
        <x:v>0</x:v>
      </x:c>
      <x:c r="AS358" s="22" t="n">
        <x:f>MAX(0,MIN('Activities'!L358,246)-MAX('Activities'!K358,240))</x:f>
        <x:v>0</x:v>
      </x:c>
      <x:c r="AT358" s="22" t="n">
        <x:f>MAX(0,MIN('Activities'!L358,252)-MAX('Activities'!K358,246))</x:f>
        <x:v>0</x:v>
      </x:c>
      <x:c r="AU358" s="22" t="n">
        <x:f>MAX(0,MIN('Activities'!L358,258)-MAX('Activities'!K358,252))</x:f>
        <x:v>0</x:v>
      </x:c>
      <x:c r="AV358" s="22" t="n">
        <x:f>MAX(0,MIN('Activities'!L358,264)-MAX('Activities'!K358,258))</x:f>
        <x:v>0</x:v>
      </x:c>
      <x:c r="AW358" s="22" t="n">
        <x:f>MAX(0,MIN('Activities'!L358,270)-MAX('Activities'!K358,264))</x:f>
        <x:v>0</x:v>
      </x:c>
      <x:c r="AX358" s="22" t="n">
        <x:f>MAX(0,MIN('Activities'!L358,276)-MAX('Activities'!K358,270))</x:f>
        <x:v>0</x:v>
      </x:c>
      <x:c r="AY358" s="22" t="n">
        <x:f>MAX(0,MIN('Activities'!L358,282)-MAX('Activities'!K358,276))</x:f>
        <x:v>0</x:v>
      </x:c>
      <x:c r="AZ358" s="22" t="n">
        <x:f>MAX(0,MIN('Activities'!L358,288)-MAX('Activities'!K358,282))</x:f>
        <x:v>0</x:v>
      </x:c>
      <x:c r="BA358" s="22" t="n">
        <x:f>MAX(0,MIN('Activities'!L358,294)-MAX('Activities'!K358,288))</x:f>
        <x:v>0</x:v>
      </x:c>
      <x:c r="BB358" s="22" t="n">
        <x:f>MAX(0,MIN('Activities'!L358,300)-MAX('Activities'!K358,294))</x:f>
        <x:v>0</x:v>
      </x:c>
      <x:c r="BC358" s="22" t="n">
        <x:f>MAX(0,MIN('Activities'!L358,306)-MAX('Activities'!K358,300))</x:f>
        <x:v>0</x:v>
      </x:c>
      <x:c r="BD358" s="22" t="n">
        <x:f>MAX(0,MIN('Activities'!L358,312)-MAX('Activities'!K358,306))</x:f>
        <x:v>0</x:v>
      </x:c>
      <x:c r="BE358" s="22" t="n">
        <x:f>MAX(0,MIN('Activities'!L358,318)-MAX('Activities'!K358,312))</x:f>
        <x:v>0</x:v>
      </x:c>
      <x:c r="BF358" s="22" t="n">
        <x:f>MAX(0,MIN('Activities'!L358,324)-MAX('Activities'!K358,318))</x:f>
        <x:v>0</x:v>
      </x:c>
      <x:c r="BG358" s="22" t="n">
        <x:f>MAX(0,MIN('Activities'!L358,330)-MAX('Activities'!K358,324))</x:f>
        <x:v>0</x:v>
      </x:c>
      <x:c r="BH358" s="22" t="n">
        <x:f>MAX(0,MIN('Activities'!L358,336)-MAX('Activities'!K358,330))</x:f>
        <x:v>0</x:v>
      </x:c>
      <x:c r="BI358" s="22" t="n">
        <x:f>MAX(0,MIN('Activities'!L358,342)-MAX('Activities'!K358,336))</x:f>
        <x:v>0</x:v>
      </x:c>
      <x:c r="BJ358" s="22" t="n">
        <x:f>MAX(0,MIN('Activities'!L358,348)-MAX('Activities'!K358,342))</x:f>
        <x:v>0</x:v>
      </x:c>
      <x:c r="BK358" s="22" t="n">
        <x:f>MAX(0,MIN('Activities'!L358,354)-MAX('Activities'!K358,348))</x:f>
        <x:v>0</x:v>
      </x:c>
      <x:c r="BL358" s="22" t="n">
        <x:f>MAX(0,MIN('Activities'!L358,360)-MAX('Activities'!K358,354))</x:f>
        <x:v>0</x:v>
      </x:c>
      <x:c r="BM358" s="22" t="n">
        <x:f>MAX(0,MIN('Activities'!L358,366)-MAX('Activities'!K358,360))</x:f>
        <x:v>0</x:v>
      </x:c>
      <x:c r="BN358" s="22" t="n">
        <x:f>MAX(0,MIN('Activities'!L358,372)-MAX('Activities'!K358,366))</x:f>
        <x:v>0</x:v>
      </x:c>
      <x:c r="BO358" s="22" t="n">
        <x:f>MAX(0,MIN('Activities'!L358,378)-MAX('Activities'!K358,372))</x:f>
        <x:v>0</x:v>
      </x:c>
      <x:c r="BP358" s="22" t="n">
        <x:f>MAX(0,MIN('Activities'!L358,384)-MAX('Activities'!K358,378))</x:f>
        <x:v>0</x:v>
      </x:c>
      <x:c r="BQ358" s="22" t="n">
        <x:f>MAX(0,MIN('Activities'!L358,390)-MAX('Activities'!K358,384))</x:f>
        <x:v>0</x:v>
      </x:c>
      <x:c r="BR358" s="22" t="n">
        <x:f>MAX(0,MIN('Activities'!L358,396)-MAX('Activities'!K358,390))</x:f>
        <x:v>0</x:v>
      </x:c>
      <x:c r="BS358" s="22" t="n">
        <x:f>MAX(0,MIN('Activities'!L358,402)-MAX('Activities'!K358,396))</x:f>
        <x:v>0</x:v>
      </x:c>
      <x:c r="BT358" s="22" t="n">
        <x:f>MAX(0,MIN('Activities'!L358,408)-MAX('Activities'!K358,402))</x:f>
        <x:v>0</x:v>
      </x:c>
      <x:c r="BU358" s="22" t="n">
        <x:f>MAX(0,MIN('Activities'!L358,414)-MAX('Activities'!K358,408))</x:f>
        <x:v>0</x:v>
      </x:c>
      <x:c r="BV358" s="22" t="n">
        <x:f>MAX(0,MIN('Activities'!L358,420)-MAX('Activities'!K358,414))</x:f>
        <x:v>0</x:v>
      </x:c>
      <x:c r="BW358" s="22" t="n">
        <x:f>MAX(0,MIN('Activities'!L358,426)-MAX('Activities'!K358,420))</x:f>
        <x:v>1</x:v>
      </x:c>
      <x:c r="BX358" s="22" t="n">
        <x:f>MAX(0,MIN('Activities'!L358,432)-MAX('Activities'!K358,426))</x:f>
        <x:v>5</x:v>
      </x:c>
      <x:c r="BY358" s="22" t="n">
        <x:f>MAX(0,MIN('Activities'!L358,438)-MAX('Activities'!K358,432))</x:f>
        <x:v>0</x:v>
      </x:c>
      <x:c r="BZ358" s="22" t="n">
        <x:f>MAX(0,MIN('Activities'!L358,444)-MAX('Activities'!K358,438))</x:f>
        <x:v>0</x:v>
      </x:c>
      <x:c r="CA358" s="22" t="n">
        <x:f>MAX(0,MIN('Activities'!L358,450)-MAX('Activities'!K358,444))</x:f>
        <x:v>0</x:v>
      </x:c>
      <x:c r="CB358" s="22" t="n">
        <x:f>MAX(0,MIN('Activities'!L358,456)-MAX('Activities'!K358,450))</x:f>
        <x:v>0</x:v>
      </x:c>
      <x:c r="CC358" s="22" t="n">
        <x:f>MAX(0,MIN('Activities'!L358,462)-MAX('Activities'!K358,456))</x:f>
        <x:v>0</x:v>
      </x:c>
      <x:c r="CD358" s="22" t="n">
        <x:f>MAX(0,MIN('Activities'!L358,468)-MAX('Activities'!K358,462))</x:f>
        <x:v>0</x:v>
      </x:c>
      <x:c r="CE358" s="22" t="n">
        <x:f>MAX(0,MIN('Activities'!L358,474)-MAX('Activities'!K358,468))</x:f>
        <x:v>0</x:v>
      </x:c>
      <x:c r="CF358" s="22" t="n">
        <x:f>MAX(0,MIN('Activities'!L358,480)-MAX('Activities'!K358,474))</x:f>
        <x:v>0</x:v>
      </x:c>
      <x:c r="CG358" s="22" t="n">
        <x:f>MAX(0,MIN('Activities'!L358,486)-MAX('Activities'!K358,480))</x:f>
        <x:v>0</x:v>
      </x:c>
      <x:c r="CH358" s="22" t="n">
        <x:f>MAX(0,MIN('Activities'!L358,492)-MAX('Activities'!K358,486))</x:f>
        <x:v>0</x:v>
      </x:c>
      <x:c r="CI358" s="22" t="n">
        <x:f>MAX(0,MIN('Activities'!L358,498)-MAX('Activities'!K358,492))</x:f>
        <x:v>0</x:v>
      </x:c>
      <x:c r="CJ358" s="22" t="n">
        <x:f>MAX(0,MIN('Activities'!L358,504)-MAX('Activities'!K358,498))</x:f>
        <x:v>0</x:v>
      </x:c>
      <x:c r="CK358" s="22" t="n">
        <x:f>MAX(0,MIN('Activities'!L358,510)-MAX('Activities'!K358,504))</x:f>
        <x:v>0</x:v>
      </x:c>
      <x:c r="CL358" s="22" t="n">
        <x:f>MAX(0,MIN('Activities'!L358,516)-MAX('Activities'!K358,510))</x:f>
        <x:v>0</x:v>
      </x:c>
      <x:c r="CM358" s="22" t="n">
        <x:f>MAX(0,MIN('Activities'!L358,522)-MAX('Activities'!K358,516))</x:f>
        <x:v>0</x:v>
      </x:c>
      <x:c r="CN358" s="22" t="n">
        <x:f>MAX(0,MIN('Activities'!L358,528)-MAX('Activities'!K358,522))</x:f>
        <x:v>0</x:v>
      </x:c>
      <x:c r="CO358" s="22" t="n">
        <x:f>MAX(0,MIN('Activities'!L358,534)-MAX('Activities'!K358,528))</x:f>
        <x:v>0</x:v>
      </x:c>
      <x:c r="CP358" s="22" t="n">
        <x:f>MAX(0,MIN('Activities'!L358,540)-MAX('Activities'!K358,534))</x:f>
        <x:v>0</x:v>
      </x:c>
      <x:c r="CQ358" s="22" t="n">
        <x:f>MAX(0,MIN('Activities'!L358,546)-MAX('Activities'!K358,540))</x:f>
        <x:v>0</x:v>
      </x:c>
      <x:c r="CR358" s="22" t="n">
        <x:f>MAX(0,MIN('Activities'!L358,552)-MAX('Activities'!K358,546))</x:f>
        <x:v>0</x:v>
      </x:c>
      <x:c r="CS358" s="22" t="n">
        <x:f>MAX(0,MIN('Activities'!L358,558)-MAX('Activities'!K358,552))</x:f>
        <x:v>0</x:v>
      </x:c>
      <x:c r="CT358" s="22" t="n">
        <x:f>MAX(0,MIN('Activities'!L358,564)-MAX('Activities'!K358,558))</x:f>
        <x:v>0</x:v>
      </x:c>
      <x:c r="CU358" s="22" t="n">
        <x:f>MAX(0,MIN('Activities'!L358,570)-MAX('Activities'!K358,564))</x:f>
        <x:v>0</x:v>
      </x:c>
      <x:c r="CV358" s="22" t="n">
        <x:f>MAX(0,MIN('Activities'!L358,576)-MAX('Activities'!K358,570))</x:f>
        <x:v>0</x:v>
      </x:c>
      <x:c r="CW358" s="22" t="n">
        <x:f>MAX(0,MIN('Activities'!L358,582)-MAX('Activities'!K358,576))</x:f>
        <x:v>0</x:v>
      </x:c>
      <x:c r="CX358" s="22" t="n">
        <x:f>MAX(0,MIN('Activities'!L358,588)-MAX('Activities'!K358,582))</x:f>
        <x:v>0</x:v>
      </x:c>
      <x:c r="CY358" s="22" t="n">
        <x:f>MAX(0,MIN('Activities'!L358,594)-MAX('Activities'!K358,588))</x:f>
        <x:v>0</x:v>
      </x:c>
      <x:c r="CZ358" s="22" t="n">
        <x:f>MAX(0,MIN('Activities'!L358,600)-MAX('Activities'!K358,594))</x:f>
        <x:v>0</x:v>
      </x:c>
      <x:c r="DA358" s="22" t="n">
        <x:f>MAX(0,MIN('Activities'!L358,606)-MAX('Activities'!K358,600))</x:f>
        <x:v>0</x:v>
      </x:c>
      <x:c r="DB358" s="22" t="n">
        <x:f>MAX(0,MIN('Activities'!L358,612)-MAX('Activities'!K358,606))</x:f>
        <x:v>0</x:v>
      </x:c>
      <x:c r="DC358" s="22" t="n">
        <x:f>MAX(0,MIN('Activities'!L358,618)-MAX('Activities'!K358,612))</x:f>
        <x:v>0</x:v>
      </x:c>
      <x:c r="DD358" s="22" t="n">
        <x:f>MAX(0,MIN('Activities'!L358,624)-MAX('Activities'!K358,618))</x:f>
        <x:v>0</x:v>
      </x:c>
      <x:c r="DE358" s="22" t="n">
        <x:f>MAX(0,MIN('Activities'!L358,630)-MAX('Activities'!K358,624))</x:f>
        <x:v>0</x:v>
      </x:c>
      <x:c r="DF358" s="22" t="n">
        <x:f>MAX(0,MIN('Activities'!L358,636)-MAX('Activities'!K358,630))</x:f>
        <x:v>0</x:v>
      </x:c>
    </x:row>
    <x:row r="359" ht="23" customHeight="1">
      <x:c r="A359" s="1" t="str">
        <x:v>T3-L03-A</x:v>
      </x:c>
      <x:c r="B359" s="1" t="str">
        <x:v>T3</x:v>
      </x:c>
      <x:c r="C359" s="1" t="str">
        <x:v>Paint and final decorations</x:v>
      </x:c>
      <x:c r="D359" s="1" t="str">
        <x:v>Finishes</x:v>
      </x:c>
      <x:c r="E359" s="23" t="n">
        <x:f>MAX(0,MIN('Activities'!L359,6)-MAX('Activities'!K359,0))</x:f>
        <x:v>0</x:v>
      </x:c>
      <x:c r="F359" s="23" t="n">
        <x:f>MAX(0,MIN('Activities'!L359,12)-MAX('Activities'!K359,6))</x:f>
        <x:v>0</x:v>
      </x:c>
      <x:c r="G359" s="23" t="n">
        <x:f>MAX(0,MIN('Activities'!L359,18)-MAX('Activities'!K359,12))</x:f>
        <x:v>0</x:v>
      </x:c>
      <x:c r="H359" s="23" t="n">
        <x:f>MAX(0,MIN('Activities'!L359,24)-MAX('Activities'!K359,18))</x:f>
        <x:v>0</x:v>
      </x:c>
      <x:c r="I359" s="23" t="n">
        <x:f>MAX(0,MIN('Activities'!L359,30)-MAX('Activities'!K359,24))</x:f>
        <x:v>0</x:v>
      </x:c>
      <x:c r="J359" s="23" t="n">
        <x:f>MAX(0,MIN('Activities'!L359,36)-MAX('Activities'!K359,30))</x:f>
        <x:v>0</x:v>
      </x:c>
      <x:c r="K359" s="23" t="n">
        <x:f>MAX(0,MIN('Activities'!L359,42)-MAX('Activities'!K359,36))</x:f>
        <x:v>0</x:v>
      </x:c>
      <x:c r="L359" s="23" t="n">
        <x:f>MAX(0,MIN('Activities'!L359,48)-MAX('Activities'!K359,42))</x:f>
        <x:v>0</x:v>
      </x:c>
      <x:c r="M359" s="23" t="n">
        <x:f>MAX(0,MIN('Activities'!L359,54)-MAX('Activities'!K359,48))</x:f>
        <x:v>0</x:v>
      </x:c>
      <x:c r="N359" s="23" t="n">
        <x:f>MAX(0,MIN('Activities'!L359,60)-MAX('Activities'!K359,54))</x:f>
        <x:v>0</x:v>
      </x:c>
      <x:c r="O359" s="23" t="n">
        <x:f>MAX(0,MIN('Activities'!L359,66)-MAX('Activities'!K359,60))</x:f>
        <x:v>0</x:v>
      </x:c>
      <x:c r="P359" s="23" t="n">
        <x:f>MAX(0,MIN('Activities'!L359,72)-MAX('Activities'!K359,66))</x:f>
        <x:v>0</x:v>
      </x:c>
      <x:c r="Q359" s="23" t="n">
        <x:f>MAX(0,MIN('Activities'!L359,78)-MAX('Activities'!K359,72))</x:f>
        <x:v>0</x:v>
      </x:c>
      <x:c r="R359" s="23" t="n">
        <x:f>MAX(0,MIN('Activities'!L359,84)-MAX('Activities'!K359,78))</x:f>
        <x:v>0</x:v>
      </x:c>
      <x:c r="S359" s="23" t="n">
        <x:f>MAX(0,MIN('Activities'!L359,90)-MAX('Activities'!K359,84))</x:f>
        <x:v>0</x:v>
      </x:c>
      <x:c r="T359" s="23" t="n">
        <x:f>MAX(0,MIN('Activities'!L359,96)-MAX('Activities'!K359,90))</x:f>
        <x:v>0</x:v>
      </x:c>
      <x:c r="U359" s="23" t="n">
        <x:f>MAX(0,MIN('Activities'!L359,102)-MAX('Activities'!K359,96))</x:f>
        <x:v>0</x:v>
      </x:c>
      <x:c r="V359" s="23" t="n">
        <x:f>MAX(0,MIN('Activities'!L359,108)-MAX('Activities'!K359,102))</x:f>
        <x:v>0</x:v>
      </x:c>
      <x:c r="W359" s="23" t="n">
        <x:f>MAX(0,MIN('Activities'!L359,114)-MAX('Activities'!K359,108))</x:f>
        <x:v>0</x:v>
      </x:c>
      <x:c r="X359" s="23" t="n">
        <x:f>MAX(0,MIN('Activities'!L359,120)-MAX('Activities'!K359,114))</x:f>
        <x:v>0</x:v>
      </x:c>
      <x:c r="Y359" s="23" t="n">
        <x:f>MAX(0,MIN('Activities'!L359,126)-MAX('Activities'!K359,120))</x:f>
        <x:v>0</x:v>
      </x:c>
      <x:c r="Z359" s="23" t="n">
        <x:f>MAX(0,MIN('Activities'!L359,132)-MAX('Activities'!K359,126))</x:f>
        <x:v>0</x:v>
      </x:c>
      <x:c r="AA359" s="23" t="n">
        <x:f>MAX(0,MIN('Activities'!L359,138)-MAX('Activities'!K359,132))</x:f>
        <x:v>0</x:v>
      </x:c>
      <x:c r="AB359" s="23" t="n">
        <x:f>MAX(0,MIN('Activities'!L359,144)-MAX('Activities'!K359,138))</x:f>
        <x:v>0</x:v>
      </x:c>
      <x:c r="AC359" s="23" t="n">
        <x:f>MAX(0,MIN('Activities'!L359,150)-MAX('Activities'!K359,144))</x:f>
        <x:v>0</x:v>
      </x:c>
      <x:c r="AD359" s="23" t="n">
        <x:f>MAX(0,MIN('Activities'!L359,156)-MAX('Activities'!K359,150))</x:f>
        <x:v>0</x:v>
      </x:c>
      <x:c r="AE359" s="23" t="n">
        <x:f>MAX(0,MIN('Activities'!L359,162)-MAX('Activities'!K359,156))</x:f>
        <x:v>0</x:v>
      </x:c>
      <x:c r="AF359" s="23" t="n">
        <x:f>MAX(0,MIN('Activities'!L359,168)-MAX('Activities'!K359,162))</x:f>
        <x:v>0</x:v>
      </x:c>
      <x:c r="AG359" s="23" t="n">
        <x:f>MAX(0,MIN('Activities'!L359,174)-MAX('Activities'!K359,168))</x:f>
        <x:v>0</x:v>
      </x:c>
      <x:c r="AH359" s="23" t="n">
        <x:f>MAX(0,MIN('Activities'!L359,180)-MAX('Activities'!K359,174))</x:f>
        <x:v>0</x:v>
      </x:c>
      <x:c r="AI359" s="23" t="n">
        <x:f>MAX(0,MIN('Activities'!L359,186)-MAX('Activities'!K359,180))</x:f>
        <x:v>0</x:v>
      </x:c>
      <x:c r="AJ359" s="23" t="n">
        <x:f>MAX(0,MIN('Activities'!L359,192)-MAX('Activities'!K359,186))</x:f>
        <x:v>0</x:v>
      </x:c>
      <x:c r="AK359" s="23" t="n">
        <x:f>MAX(0,MIN('Activities'!L359,198)-MAX('Activities'!K359,192))</x:f>
        <x:v>0</x:v>
      </x:c>
      <x:c r="AL359" s="23" t="n">
        <x:f>MAX(0,MIN('Activities'!L359,204)-MAX('Activities'!K359,198))</x:f>
        <x:v>0</x:v>
      </x:c>
      <x:c r="AM359" s="23" t="n">
        <x:f>MAX(0,MIN('Activities'!L359,210)-MAX('Activities'!K359,204))</x:f>
        <x:v>0</x:v>
      </x:c>
      <x:c r="AN359" s="23" t="n">
        <x:f>MAX(0,MIN('Activities'!L359,216)-MAX('Activities'!K359,210))</x:f>
        <x:v>0</x:v>
      </x:c>
      <x:c r="AO359" s="23" t="n">
        <x:f>MAX(0,MIN('Activities'!L359,222)-MAX('Activities'!K359,216))</x:f>
        <x:v>0</x:v>
      </x:c>
      <x:c r="AP359" s="23" t="n">
        <x:f>MAX(0,MIN('Activities'!L359,228)-MAX('Activities'!K359,222))</x:f>
        <x:v>0</x:v>
      </x:c>
      <x:c r="AQ359" s="23" t="n">
        <x:f>MAX(0,MIN('Activities'!L359,234)-MAX('Activities'!K359,228))</x:f>
        <x:v>0</x:v>
      </x:c>
      <x:c r="AR359" s="23" t="n">
        <x:f>MAX(0,MIN('Activities'!L359,240)-MAX('Activities'!K359,234))</x:f>
        <x:v>0</x:v>
      </x:c>
      <x:c r="AS359" s="23" t="n">
        <x:f>MAX(0,MIN('Activities'!L359,246)-MAX('Activities'!K359,240))</x:f>
        <x:v>0</x:v>
      </x:c>
      <x:c r="AT359" s="23" t="n">
        <x:f>MAX(0,MIN('Activities'!L359,252)-MAX('Activities'!K359,246))</x:f>
        <x:v>0</x:v>
      </x:c>
      <x:c r="AU359" s="23" t="n">
        <x:f>MAX(0,MIN('Activities'!L359,258)-MAX('Activities'!K359,252))</x:f>
        <x:v>0</x:v>
      </x:c>
      <x:c r="AV359" s="23" t="n">
        <x:f>MAX(0,MIN('Activities'!L359,264)-MAX('Activities'!K359,258))</x:f>
        <x:v>0</x:v>
      </x:c>
      <x:c r="AW359" s="23" t="n">
        <x:f>MAX(0,MIN('Activities'!L359,270)-MAX('Activities'!K359,264))</x:f>
        <x:v>0</x:v>
      </x:c>
      <x:c r="AX359" s="23" t="n">
        <x:f>MAX(0,MIN('Activities'!L359,276)-MAX('Activities'!K359,270))</x:f>
        <x:v>0</x:v>
      </x:c>
      <x:c r="AY359" s="23" t="n">
        <x:f>MAX(0,MIN('Activities'!L359,282)-MAX('Activities'!K359,276))</x:f>
        <x:v>0</x:v>
      </x:c>
      <x:c r="AZ359" s="23" t="n">
        <x:f>MAX(0,MIN('Activities'!L359,288)-MAX('Activities'!K359,282))</x:f>
        <x:v>0</x:v>
      </x:c>
      <x:c r="BA359" s="23" t="n">
        <x:f>MAX(0,MIN('Activities'!L359,294)-MAX('Activities'!K359,288))</x:f>
        <x:v>0</x:v>
      </x:c>
      <x:c r="BB359" s="23" t="n">
        <x:f>MAX(0,MIN('Activities'!L359,300)-MAX('Activities'!K359,294))</x:f>
        <x:v>0</x:v>
      </x:c>
      <x:c r="BC359" s="23" t="n">
        <x:f>MAX(0,MIN('Activities'!L359,306)-MAX('Activities'!K359,300))</x:f>
        <x:v>0</x:v>
      </x:c>
      <x:c r="BD359" s="23" t="n">
        <x:f>MAX(0,MIN('Activities'!L359,312)-MAX('Activities'!K359,306))</x:f>
        <x:v>0</x:v>
      </x:c>
      <x:c r="BE359" s="23" t="n">
        <x:f>MAX(0,MIN('Activities'!L359,318)-MAX('Activities'!K359,312))</x:f>
        <x:v>0</x:v>
      </x:c>
      <x:c r="BF359" s="23" t="n">
        <x:f>MAX(0,MIN('Activities'!L359,324)-MAX('Activities'!K359,318))</x:f>
        <x:v>0</x:v>
      </x:c>
      <x:c r="BG359" s="23" t="n">
        <x:f>MAX(0,MIN('Activities'!L359,330)-MAX('Activities'!K359,324))</x:f>
        <x:v>0</x:v>
      </x:c>
      <x:c r="BH359" s="23" t="n">
        <x:f>MAX(0,MIN('Activities'!L359,336)-MAX('Activities'!K359,330))</x:f>
        <x:v>0</x:v>
      </x:c>
      <x:c r="BI359" s="23" t="n">
        <x:f>MAX(0,MIN('Activities'!L359,342)-MAX('Activities'!K359,336))</x:f>
        <x:v>0</x:v>
      </x:c>
      <x:c r="BJ359" s="23" t="n">
        <x:f>MAX(0,MIN('Activities'!L359,348)-MAX('Activities'!K359,342))</x:f>
        <x:v>0</x:v>
      </x:c>
      <x:c r="BK359" s="23" t="n">
        <x:f>MAX(0,MIN('Activities'!L359,354)-MAX('Activities'!K359,348))</x:f>
        <x:v>0</x:v>
      </x:c>
      <x:c r="BL359" s="23" t="n">
        <x:f>MAX(0,MIN('Activities'!L359,360)-MAX('Activities'!K359,354))</x:f>
        <x:v>0</x:v>
      </x:c>
      <x:c r="BM359" s="23" t="n">
        <x:f>MAX(0,MIN('Activities'!L359,366)-MAX('Activities'!K359,360))</x:f>
        <x:v>0</x:v>
      </x:c>
      <x:c r="BN359" s="23" t="n">
        <x:f>MAX(0,MIN('Activities'!L359,372)-MAX('Activities'!K359,366))</x:f>
        <x:v>0</x:v>
      </x:c>
      <x:c r="BO359" s="23" t="n">
        <x:f>MAX(0,MIN('Activities'!L359,378)-MAX('Activities'!K359,372))</x:f>
        <x:v>0</x:v>
      </x:c>
      <x:c r="BP359" s="23" t="n">
        <x:f>MAX(0,MIN('Activities'!L359,384)-MAX('Activities'!K359,378))</x:f>
        <x:v>0</x:v>
      </x:c>
      <x:c r="BQ359" s="23" t="n">
        <x:f>MAX(0,MIN('Activities'!L359,390)-MAX('Activities'!K359,384))</x:f>
        <x:v>0</x:v>
      </x:c>
      <x:c r="BR359" s="23" t="n">
        <x:f>MAX(0,MIN('Activities'!L359,396)-MAX('Activities'!K359,390))</x:f>
        <x:v>0</x:v>
      </x:c>
      <x:c r="BS359" s="23" t="n">
        <x:f>MAX(0,MIN('Activities'!L359,402)-MAX('Activities'!K359,396))</x:f>
        <x:v>0</x:v>
      </x:c>
      <x:c r="BT359" s="23" t="n">
        <x:f>MAX(0,MIN('Activities'!L359,408)-MAX('Activities'!K359,402))</x:f>
        <x:v>0</x:v>
      </x:c>
      <x:c r="BU359" s="23" t="n">
        <x:f>MAX(0,MIN('Activities'!L359,414)-MAX('Activities'!K359,408))</x:f>
        <x:v>0</x:v>
      </x:c>
      <x:c r="BV359" s="23" t="n">
        <x:f>MAX(0,MIN('Activities'!L359,420)-MAX('Activities'!K359,414))</x:f>
        <x:v>0</x:v>
      </x:c>
      <x:c r="BW359" s="23" t="n">
        <x:f>MAX(0,MIN('Activities'!L359,426)-MAX('Activities'!K359,420))</x:f>
        <x:v>0</x:v>
      </x:c>
      <x:c r="BX359" s="23" t="n">
        <x:f>MAX(0,MIN('Activities'!L359,432)-MAX('Activities'!K359,426))</x:f>
        <x:v>0</x:v>
      </x:c>
      <x:c r="BY359" s="23" t="n">
        <x:f>MAX(0,MIN('Activities'!L359,438)-MAX('Activities'!K359,432))</x:f>
        <x:v>5</x:v>
      </x:c>
      <x:c r="BZ359" s="23" t="n">
        <x:f>MAX(0,MIN('Activities'!L359,444)-MAX('Activities'!K359,438))</x:f>
        <x:v>0</x:v>
      </x:c>
      <x:c r="CA359" s="23" t="n">
        <x:f>MAX(0,MIN('Activities'!L359,450)-MAX('Activities'!K359,444))</x:f>
        <x:v>0</x:v>
      </x:c>
      <x:c r="CB359" s="23" t="n">
        <x:f>MAX(0,MIN('Activities'!L359,456)-MAX('Activities'!K359,450))</x:f>
        <x:v>0</x:v>
      </x:c>
      <x:c r="CC359" s="23" t="n">
        <x:f>MAX(0,MIN('Activities'!L359,462)-MAX('Activities'!K359,456))</x:f>
        <x:v>0</x:v>
      </x:c>
      <x:c r="CD359" s="23" t="n">
        <x:f>MAX(0,MIN('Activities'!L359,468)-MAX('Activities'!K359,462))</x:f>
        <x:v>0</x:v>
      </x:c>
      <x:c r="CE359" s="23" t="n">
        <x:f>MAX(0,MIN('Activities'!L359,474)-MAX('Activities'!K359,468))</x:f>
        <x:v>0</x:v>
      </x:c>
      <x:c r="CF359" s="23" t="n">
        <x:f>MAX(0,MIN('Activities'!L359,480)-MAX('Activities'!K359,474))</x:f>
        <x:v>0</x:v>
      </x:c>
      <x:c r="CG359" s="23" t="n">
        <x:f>MAX(0,MIN('Activities'!L359,486)-MAX('Activities'!K359,480))</x:f>
        <x:v>0</x:v>
      </x:c>
      <x:c r="CH359" s="23" t="n">
        <x:f>MAX(0,MIN('Activities'!L359,492)-MAX('Activities'!K359,486))</x:f>
        <x:v>0</x:v>
      </x:c>
      <x:c r="CI359" s="23" t="n">
        <x:f>MAX(0,MIN('Activities'!L359,498)-MAX('Activities'!K359,492))</x:f>
        <x:v>0</x:v>
      </x:c>
      <x:c r="CJ359" s="23" t="n">
        <x:f>MAX(0,MIN('Activities'!L359,504)-MAX('Activities'!K359,498))</x:f>
        <x:v>0</x:v>
      </x:c>
      <x:c r="CK359" s="23" t="n">
        <x:f>MAX(0,MIN('Activities'!L359,510)-MAX('Activities'!K359,504))</x:f>
        <x:v>0</x:v>
      </x:c>
      <x:c r="CL359" s="23" t="n">
        <x:f>MAX(0,MIN('Activities'!L359,516)-MAX('Activities'!K359,510))</x:f>
        <x:v>0</x:v>
      </x:c>
      <x:c r="CM359" s="23" t="n">
        <x:f>MAX(0,MIN('Activities'!L359,522)-MAX('Activities'!K359,516))</x:f>
        <x:v>0</x:v>
      </x:c>
      <x:c r="CN359" s="23" t="n">
        <x:f>MAX(0,MIN('Activities'!L359,528)-MAX('Activities'!K359,522))</x:f>
        <x:v>0</x:v>
      </x:c>
      <x:c r="CO359" s="23" t="n">
        <x:f>MAX(0,MIN('Activities'!L359,534)-MAX('Activities'!K359,528))</x:f>
        <x:v>0</x:v>
      </x:c>
      <x:c r="CP359" s="23" t="n">
        <x:f>MAX(0,MIN('Activities'!L359,540)-MAX('Activities'!K359,534))</x:f>
        <x:v>0</x:v>
      </x:c>
      <x:c r="CQ359" s="23" t="n">
        <x:f>MAX(0,MIN('Activities'!L359,546)-MAX('Activities'!K359,540))</x:f>
        <x:v>0</x:v>
      </x:c>
      <x:c r="CR359" s="23" t="n">
        <x:f>MAX(0,MIN('Activities'!L359,552)-MAX('Activities'!K359,546))</x:f>
        <x:v>0</x:v>
      </x:c>
      <x:c r="CS359" s="23" t="n">
        <x:f>MAX(0,MIN('Activities'!L359,558)-MAX('Activities'!K359,552))</x:f>
        <x:v>0</x:v>
      </x:c>
      <x:c r="CT359" s="23" t="n">
        <x:f>MAX(0,MIN('Activities'!L359,564)-MAX('Activities'!K359,558))</x:f>
        <x:v>0</x:v>
      </x:c>
      <x:c r="CU359" s="23" t="n">
        <x:f>MAX(0,MIN('Activities'!L359,570)-MAX('Activities'!K359,564))</x:f>
        <x:v>0</x:v>
      </x:c>
      <x:c r="CV359" s="23" t="n">
        <x:f>MAX(0,MIN('Activities'!L359,576)-MAX('Activities'!K359,570))</x:f>
        <x:v>0</x:v>
      </x:c>
      <x:c r="CW359" s="23" t="n">
        <x:f>MAX(0,MIN('Activities'!L359,582)-MAX('Activities'!K359,576))</x:f>
        <x:v>0</x:v>
      </x:c>
      <x:c r="CX359" s="23" t="n">
        <x:f>MAX(0,MIN('Activities'!L359,588)-MAX('Activities'!K359,582))</x:f>
        <x:v>0</x:v>
      </x:c>
      <x:c r="CY359" s="23" t="n">
        <x:f>MAX(0,MIN('Activities'!L359,594)-MAX('Activities'!K359,588))</x:f>
        <x:v>0</x:v>
      </x:c>
      <x:c r="CZ359" s="23" t="n">
        <x:f>MAX(0,MIN('Activities'!L359,600)-MAX('Activities'!K359,594))</x:f>
        <x:v>0</x:v>
      </x:c>
      <x:c r="DA359" s="23" t="n">
        <x:f>MAX(0,MIN('Activities'!L359,606)-MAX('Activities'!K359,600))</x:f>
        <x:v>0</x:v>
      </x:c>
      <x:c r="DB359" s="23" t="n">
        <x:f>MAX(0,MIN('Activities'!L359,612)-MAX('Activities'!K359,606))</x:f>
        <x:v>0</x:v>
      </x:c>
      <x:c r="DC359" s="23" t="n">
        <x:f>MAX(0,MIN('Activities'!L359,618)-MAX('Activities'!K359,612))</x:f>
        <x:v>0</x:v>
      </x:c>
      <x:c r="DD359" s="23" t="n">
        <x:f>MAX(0,MIN('Activities'!L359,624)-MAX('Activities'!K359,618))</x:f>
        <x:v>0</x:v>
      </x:c>
      <x:c r="DE359" s="23" t="n">
        <x:f>MAX(0,MIN('Activities'!L359,630)-MAX('Activities'!K359,624))</x:f>
        <x:v>0</x:v>
      </x:c>
      <x:c r="DF359" s="23" t="n">
        <x:f>MAX(0,MIN('Activities'!L359,636)-MAX('Activities'!K359,630))</x:f>
        <x:v>0</x:v>
      </x:c>
    </x:row>
    <x:row r="360" ht="23" customHeight="1">
      <x:c r="A360" s="6" t="str">
        <x:v>T3-L03-D</x:v>
      </x:c>
      <x:c r="B360" s="6" t="str">
        <x:v>T3</x:v>
      </x:c>
      <x:c r="C360" s="6" t="str">
        <x:v>Door sets and ironmongery</x:v>
      </x:c>
      <x:c r="D360" s="6" t="str">
        <x:v>Finishes</x:v>
      </x:c>
      <x:c r="E360" s="22" t="n">
        <x:f>MAX(0,MIN('Activities'!L360,6)-MAX('Activities'!K360,0))</x:f>
        <x:v>0</x:v>
      </x:c>
      <x:c r="F360" s="22" t="n">
        <x:f>MAX(0,MIN('Activities'!L360,12)-MAX('Activities'!K360,6))</x:f>
        <x:v>0</x:v>
      </x:c>
      <x:c r="G360" s="22" t="n">
        <x:f>MAX(0,MIN('Activities'!L360,18)-MAX('Activities'!K360,12))</x:f>
        <x:v>0</x:v>
      </x:c>
      <x:c r="H360" s="22" t="n">
        <x:f>MAX(0,MIN('Activities'!L360,24)-MAX('Activities'!K360,18))</x:f>
        <x:v>0</x:v>
      </x:c>
      <x:c r="I360" s="22" t="n">
        <x:f>MAX(0,MIN('Activities'!L360,30)-MAX('Activities'!K360,24))</x:f>
        <x:v>0</x:v>
      </x:c>
      <x:c r="J360" s="22" t="n">
        <x:f>MAX(0,MIN('Activities'!L360,36)-MAX('Activities'!K360,30))</x:f>
        <x:v>0</x:v>
      </x:c>
      <x:c r="K360" s="22" t="n">
        <x:f>MAX(0,MIN('Activities'!L360,42)-MAX('Activities'!K360,36))</x:f>
        <x:v>0</x:v>
      </x:c>
      <x:c r="L360" s="22" t="n">
        <x:f>MAX(0,MIN('Activities'!L360,48)-MAX('Activities'!K360,42))</x:f>
        <x:v>0</x:v>
      </x:c>
      <x:c r="M360" s="22" t="n">
        <x:f>MAX(0,MIN('Activities'!L360,54)-MAX('Activities'!K360,48))</x:f>
        <x:v>0</x:v>
      </x:c>
      <x:c r="N360" s="22" t="n">
        <x:f>MAX(0,MIN('Activities'!L360,60)-MAX('Activities'!K360,54))</x:f>
        <x:v>0</x:v>
      </x:c>
      <x:c r="O360" s="22" t="n">
        <x:f>MAX(0,MIN('Activities'!L360,66)-MAX('Activities'!K360,60))</x:f>
        <x:v>0</x:v>
      </x:c>
      <x:c r="P360" s="22" t="n">
        <x:f>MAX(0,MIN('Activities'!L360,72)-MAX('Activities'!K360,66))</x:f>
        <x:v>0</x:v>
      </x:c>
      <x:c r="Q360" s="22" t="n">
        <x:f>MAX(0,MIN('Activities'!L360,78)-MAX('Activities'!K360,72))</x:f>
        <x:v>0</x:v>
      </x:c>
      <x:c r="R360" s="22" t="n">
        <x:f>MAX(0,MIN('Activities'!L360,84)-MAX('Activities'!K360,78))</x:f>
        <x:v>0</x:v>
      </x:c>
      <x:c r="S360" s="22" t="n">
        <x:f>MAX(0,MIN('Activities'!L360,90)-MAX('Activities'!K360,84))</x:f>
        <x:v>0</x:v>
      </x:c>
      <x:c r="T360" s="22" t="n">
        <x:f>MAX(0,MIN('Activities'!L360,96)-MAX('Activities'!K360,90))</x:f>
        <x:v>0</x:v>
      </x:c>
      <x:c r="U360" s="22" t="n">
        <x:f>MAX(0,MIN('Activities'!L360,102)-MAX('Activities'!K360,96))</x:f>
        <x:v>0</x:v>
      </x:c>
      <x:c r="V360" s="22" t="n">
        <x:f>MAX(0,MIN('Activities'!L360,108)-MAX('Activities'!K360,102))</x:f>
        <x:v>0</x:v>
      </x:c>
      <x:c r="W360" s="22" t="n">
        <x:f>MAX(0,MIN('Activities'!L360,114)-MAX('Activities'!K360,108))</x:f>
        <x:v>0</x:v>
      </x:c>
      <x:c r="X360" s="22" t="n">
        <x:f>MAX(0,MIN('Activities'!L360,120)-MAX('Activities'!K360,114))</x:f>
        <x:v>0</x:v>
      </x:c>
      <x:c r="Y360" s="22" t="n">
        <x:f>MAX(0,MIN('Activities'!L360,126)-MAX('Activities'!K360,120))</x:f>
        <x:v>0</x:v>
      </x:c>
      <x:c r="Z360" s="22" t="n">
        <x:f>MAX(0,MIN('Activities'!L360,132)-MAX('Activities'!K360,126))</x:f>
        <x:v>0</x:v>
      </x:c>
      <x:c r="AA360" s="22" t="n">
        <x:f>MAX(0,MIN('Activities'!L360,138)-MAX('Activities'!K360,132))</x:f>
        <x:v>0</x:v>
      </x:c>
      <x:c r="AB360" s="22" t="n">
        <x:f>MAX(0,MIN('Activities'!L360,144)-MAX('Activities'!K360,138))</x:f>
        <x:v>0</x:v>
      </x:c>
      <x:c r="AC360" s="22" t="n">
        <x:f>MAX(0,MIN('Activities'!L360,150)-MAX('Activities'!K360,144))</x:f>
        <x:v>0</x:v>
      </x:c>
      <x:c r="AD360" s="22" t="n">
        <x:f>MAX(0,MIN('Activities'!L360,156)-MAX('Activities'!K360,150))</x:f>
        <x:v>0</x:v>
      </x:c>
      <x:c r="AE360" s="22" t="n">
        <x:f>MAX(0,MIN('Activities'!L360,162)-MAX('Activities'!K360,156))</x:f>
        <x:v>0</x:v>
      </x:c>
      <x:c r="AF360" s="22" t="n">
        <x:f>MAX(0,MIN('Activities'!L360,168)-MAX('Activities'!K360,162))</x:f>
        <x:v>0</x:v>
      </x:c>
      <x:c r="AG360" s="22" t="n">
        <x:f>MAX(0,MIN('Activities'!L360,174)-MAX('Activities'!K360,168))</x:f>
        <x:v>0</x:v>
      </x:c>
      <x:c r="AH360" s="22" t="n">
        <x:f>MAX(0,MIN('Activities'!L360,180)-MAX('Activities'!K360,174))</x:f>
        <x:v>0</x:v>
      </x:c>
      <x:c r="AI360" s="22" t="n">
        <x:f>MAX(0,MIN('Activities'!L360,186)-MAX('Activities'!K360,180))</x:f>
        <x:v>0</x:v>
      </x:c>
      <x:c r="AJ360" s="22" t="n">
        <x:f>MAX(0,MIN('Activities'!L360,192)-MAX('Activities'!K360,186))</x:f>
        <x:v>0</x:v>
      </x:c>
      <x:c r="AK360" s="22" t="n">
        <x:f>MAX(0,MIN('Activities'!L360,198)-MAX('Activities'!K360,192))</x:f>
        <x:v>0</x:v>
      </x:c>
      <x:c r="AL360" s="22" t="n">
        <x:f>MAX(0,MIN('Activities'!L360,204)-MAX('Activities'!K360,198))</x:f>
        <x:v>0</x:v>
      </x:c>
      <x:c r="AM360" s="22" t="n">
        <x:f>MAX(0,MIN('Activities'!L360,210)-MAX('Activities'!K360,204))</x:f>
        <x:v>0</x:v>
      </x:c>
      <x:c r="AN360" s="22" t="n">
        <x:f>MAX(0,MIN('Activities'!L360,216)-MAX('Activities'!K360,210))</x:f>
        <x:v>0</x:v>
      </x:c>
      <x:c r="AO360" s="22" t="n">
        <x:f>MAX(0,MIN('Activities'!L360,222)-MAX('Activities'!K360,216))</x:f>
        <x:v>0</x:v>
      </x:c>
      <x:c r="AP360" s="22" t="n">
        <x:f>MAX(0,MIN('Activities'!L360,228)-MAX('Activities'!K360,222))</x:f>
        <x:v>0</x:v>
      </x:c>
      <x:c r="AQ360" s="22" t="n">
        <x:f>MAX(0,MIN('Activities'!L360,234)-MAX('Activities'!K360,228))</x:f>
        <x:v>0</x:v>
      </x:c>
      <x:c r="AR360" s="22" t="n">
        <x:f>MAX(0,MIN('Activities'!L360,240)-MAX('Activities'!K360,234))</x:f>
        <x:v>0</x:v>
      </x:c>
      <x:c r="AS360" s="22" t="n">
        <x:f>MAX(0,MIN('Activities'!L360,246)-MAX('Activities'!K360,240))</x:f>
        <x:v>0</x:v>
      </x:c>
      <x:c r="AT360" s="22" t="n">
        <x:f>MAX(0,MIN('Activities'!L360,252)-MAX('Activities'!K360,246))</x:f>
        <x:v>0</x:v>
      </x:c>
      <x:c r="AU360" s="22" t="n">
        <x:f>MAX(0,MIN('Activities'!L360,258)-MAX('Activities'!K360,252))</x:f>
        <x:v>0</x:v>
      </x:c>
      <x:c r="AV360" s="22" t="n">
        <x:f>MAX(0,MIN('Activities'!L360,264)-MAX('Activities'!K360,258))</x:f>
        <x:v>0</x:v>
      </x:c>
      <x:c r="AW360" s="22" t="n">
        <x:f>MAX(0,MIN('Activities'!L360,270)-MAX('Activities'!K360,264))</x:f>
        <x:v>0</x:v>
      </x:c>
      <x:c r="AX360" s="22" t="n">
        <x:f>MAX(0,MIN('Activities'!L360,276)-MAX('Activities'!K360,270))</x:f>
        <x:v>0</x:v>
      </x:c>
      <x:c r="AY360" s="22" t="n">
        <x:f>MAX(0,MIN('Activities'!L360,282)-MAX('Activities'!K360,276))</x:f>
        <x:v>0</x:v>
      </x:c>
      <x:c r="AZ360" s="22" t="n">
        <x:f>MAX(0,MIN('Activities'!L360,288)-MAX('Activities'!K360,282))</x:f>
        <x:v>0</x:v>
      </x:c>
      <x:c r="BA360" s="22" t="n">
        <x:f>MAX(0,MIN('Activities'!L360,294)-MAX('Activities'!K360,288))</x:f>
        <x:v>0</x:v>
      </x:c>
      <x:c r="BB360" s="22" t="n">
        <x:f>MAX(0,MIN('Activities'!L360,300)-MAX('Activities'!K360,294))</x:f>
        <x:v>0</x:v>
      </x:c>
      <x:c r="BC360" s="22" t="n">
        <x:f>MAX(0,MIN('Activities'!L360,306)-MAX('Activities'!K360,300))</x:f>
        <x:v>0</x:v>
      </x:c>
      <x:c r="BD360" s="22" t="n">
        <x:f>MAX(0,MIN('Activities'!L360,312)-MAX('Activities'!K360,306))</x:f>
        <x:v>0</x:v>
      </x:c>
      <x:c r="BE360" s="22" t="n">
        <x:f>MAX(0,MIN('Activities'!L360,318)-MAX('Activities'!K360,312))</x:f>
        <x:v>0</x:v>
      </x:c>
      <x:c r="BF360" s="22" t="n">
        <x:f>MAX(0,MIN('Activities'!L360,324)-MAX('Activities'!K360,318))</x:f>
        <x:v>0</x:v>
      </x:c>
      <x:c r="BG360" s="22" t="n">
        <x:f>MAX(0,MIN('Activities'!L360,330)-MAX('Activities'!K360,324))</x:f>
        <x:v>0</x:v>
      </x:c>
      <x:c r="BH360" s="22" t="n">
        <x:f>MAX(0,MIN('Activities'!L360,336)-MAX('Activities'!K360,330))</x:f>
        <x:v>0</x:v>
      </x:c>
      <x:c r="BI360" s="22" t="n">
        <x:f>MAX(0,MIN('Activities'!L360,342)-MAX('Activities'!K360,336))</x:f>
        <x:v>0</x:v>
      </x:c>
      <x:c r="BJ360" s="22" t="n">
        <x:f>MAX(0,MIN('Activities'!L360,348)-MAX('Activities'!K360,342))</x:f>
        <x:v>0</x:v>
      </x:c>
      <x:c r="BK360" s="22" t="n">
        <x:f>MAX(0,MIN('Activities'!L360,354)-MAX('Activities'!K360,348))</x:f>
        <x:v>0</x:v>
      </x:c>
      <x:c r="BL360" s="22" t="n">
        <x:f>MAX(0,MIN('Activities'!L360,360)-MAX('Activities'!K360,354))</x:f>
        <x:v>0</x:v>
      </x:c>
      <x:c r="BM360" s="22" t="n">
        <x:f>MAX(0,MIN('Activities'!L360,366)-MAX('Activities'!K360,360))</x:f>
        <x:v>0</x:v>
      </x:c>
      <x:c r="BN360" s="22" t="n">
        <x:f>MAX(0,MIN('Activities'!L360,372)-MAX('Activities'!K360,366))</x:f>
        <x:v>0</x:v>
      </x:c>
      <x:c r="BO360" s="22" t="n">
        <x:f>MAX(0,MIN('Activities'!L360,378)-MAX('Activities'!K360,372))</x:f>
        <x:v>0</x:v>
      </x:c>
      <x:c r="BP360" s="22" t="n">
        <x:f>MAX(0,MIN('Activities'!L360,384)-MAX('Activities'!K360,378))</x:f>
        <x:v>0</x:v>
      </x:c>
      <x:c r="BQ360" s="22" t="n">
        <x:f>MAX(0,MIN('Activities'!L360,390)-MAX('Activities'!K360,384))</x:f>
        <x:v>0</x:v>
      </x:c>
      <x:c r="BR360" s="22" t="n">
        <x:f>MAX(0,MIN('Activities'!L360,396)-MAX('Activities'!K360,390))</x:f>
        <x:v>0</x:v>
      </x:c>
      <x:c r="BS360" s="22" t="n">
        <x:f>MAX(0,MIN('Activities'!L360,402)-MAX('Activities'!K360,396))</x:f>
        <x:v>0</x:v>
      </x:c>
      <x:c r="BT360" s="22" t="n">
        <x:f>MAX(0,MIN('Activities'!L360,408)-MAX('Activities'!K360,402))</x:f>
        <x:v>0</x:v>
      </x:c>
      <x:c r="BU360" s="22" t="n">
        <x:f>MAX(0,MIN('Activities'!L360,414)-MAX('Activities'!K360,408))</x:f>
        <x:v>0</x:v>
      </x:c>
      <x:c r="BV360" s="22" t="n">
        <x:f>MAX(0,MIN('Activities'!L360,420)-MAX('Activities'!K360,414))</x:f>
        <x:v>0</x:v>
      </x:c>
      <x:c r="BW360" s="22" t="n">
        <x:f>MAX(0,MIN('Activities'!L360,426)-MAX('Activities'!K360,420))</x:f>
        <x:v>0</x:v>
      </x:c>
      <x:c r="BX360" s="22" t="n">
        <x:f>MAX(0,MIN('Activities'!L360,432)-MAX('Activities'!K360,426))</x:f>
        <x:v>0</x:v>
      </x:c>
      <x:c r="BY360" s="22" t="n">
        <x:f>MAX(0,MIN('Activities'!L360,438)-MAX('Activities'!K360,432))</x:f>
        <x:v>0</x:v>
      </x:c>
      <x:c r="BZ360" s="22" t="n">
        <x:f>MAX(0,MIN('Activities'!L360,444)-MAX('Activities'!K360,438))</x:f>
        <x:v>3</x:v>
      </x:c>
      <x:c r="CA360" s="22" t="n">
        <x:f>MAX(0,MIN('Activities'!L360,450)-MAX('Activities'!K360,444))</x:f>
        <x:v>0</x:v>
      </x:c>
      <x:c r="CB360" s="22" t="n">
        <x:f>MAX(0,MIN('Activities'!L360,456)-MAX('Activities'!K360,450))</x:f>
        <x:v>0</x:v>
      </x:c>
      <x:c r="CC360" s="22" t="n">
        <x:f>MAX(0,MIN('Activities'!L360,462)-MAX('Activities'!K360,456))</x:f>
        <x:v>0</x:v>
      </x:c>
      <x:c r="CD360" s="22" t="n">
        <x:f>MAX(0,MIN('Activities'!L360,468)-MAX('Activities'!K360,462))</x:f>
        <x:v>0</x:v>
      </x:c>
      <x:c r="CE360" s="22" t="n">
        <x:f>MAX(0,MIN('Activities'!L360,474)-MAX('Activities'!K360,468))</x:f>
        <x:v>0</x:v>
      </x:c>
      <x:c r="CF360" s="22" t="n">
        <x:f>MAX(0,MIN('Activities'!L360,480)-MAX('Activities'!K360,474))</x:f>
        <x:v>0</x:v>
      </x:c>
      <x:c r="CG360" s="22" t="n">
        <x:f>MAX(0,MIN('Activities'!L360,486)-MAX('Activities'!K360,480))</x:f>
        <x:v>0</x:v>
      </x:c>
      <x:c r="CH360" s="22" t="n">
        <x:f>MAX(0,MIN('Activities'!L360,492)-MAX('Activities'!K360,486))</x:f>
        <x:v>0</x:v>
      </x:c>
      <x:c r="CI360" s="22" t="n">
        <x:f>MAX(0,MIN('Activities'!L360,498)-MAX('Activities'!K360,492))</x:f>
        <x:v>0</x:v>
      </x:c>
      <x:c r="CJ360" s="22" t="n">
        <x:f>MAX(0,MIN('Activities'!L360,504)-MAX('Activities'!K360,498))</x:f>
        <x:v>0</x:v>
      </x:c>
      <x:c r="CK360" s="22" t="n">
        <x:f>MAX(0,MIN('Activities'!L360,510)-MAX('Activities'!K360,504))</x:f>
        <x:v>0</x:v>
      </x:c>
      <x:c r="CL360" s="22" t="n">
        <x:f>MAX(0,MIN('Activities'!L360,516)-MAX('Activities'!K360,510))</x:f>
        <x:v>0</x:v>
      </x:c>
      <x:c r="CM360" s="22" t="n">
        <x:f>MAX(0,MIN('Activities'!L360,522)-MAX('Activities'!K360,516))</x:f>
        <x:v>0</x:v>
      </x:c>
      <x:c r="CN360" s="22" t="n">
        <x:f>MAX(0,MIN('Activities'!L360,528)-MAX('Activities'!K360,522))</x:f>
        <x:v>0</x:v>
      </x:c>
      <x:c r="CO360" s="22" t="n">
        <x:f>MAX(0,MIN('Activities'!L360,534)-MAX('Activities'!K360,528))</x:f>
        <x:v>0</x:v>
      </x:c>
      <x:c r="CP360" s="22" t="n">
        <x:f>MAX(0,MIN('Activities'!L360,540)-MAX('Activities'!K360,534))</x:f>
        <x:v>0</x:v>
      </x:c>
      <x:c r="CQ360" s="22" t="n">
        <x:f>MAX(0,MIN('Activities'!L360,546)-MAX('Activities'!K360,540))</x:f>
        <x:v>0</x:v>
      </x:c>
      <x:c r="CR360" s="22" t="n">
        <x:f>MAX(0,MIN('Activities'!L360,552)-MAX('Activities'!K360,546))</x:f>
        <x:v>0</x:v>
      </x:c>
      <x:c r="CS360" s="22" t="n">
        <x:f>MAX(0,MIN('Activities'!L360,558)-MAX('Activities'!K360,552))</x:f>
        <x:v>0</x:v>
      </x:c>
      <x:c r="CT360" s="22" t="n">
        <x:f>MAX(0,MIN('Activities'!L360,564)-MAX('Activities'!K360,558))</x:f>
        <x:v>0</x:v>
      </x:c>
      <x:c r="CU360" s="22" t="n">
        <x:f>MAX(0,MIN('Activities'!L360,570)-MAX('Activities'!K360,564))</x:f>
        <x:v>0</x:v>
      </x:c>
      <x:c r="CV360" s="22" t="n">
        <x:f>MAX(0,MIN('Activities'!L360,576)-MAX('Activities'!K360,570))</x:f>
        <x:v>0</x:v>
      </x:c>
      <x:c r="CW360" s="22" t="n">
        <x:f>MAX(0,MIN('Activities'!L360,582)-MAX('Activities'!K360,576))</x:f>
        <x:v>0</x:v>
      </x:c>
      <x:c r="CX360" s="22" t="n">
        <x:f>MAX(0,MIN('Activities'!L360,588)-MAX('Activities'!K360,582))</x:f>
        <x:v>0</x:v>
      </x:c>
      <x:c r="CY360" s="22" t="n">
        <x:f>MAX(0,MIN('Activities'!L360,594)-MAX('Activities'!K360,588))</x:f>
        <x:v>0</x:v>
      </x:c>
      <x:c r="CZ360" s="22" t="n">
        <x:f>MAX(0,MIN('Activities'!L360,600)-MAX('Activities'!K360,594))</x:f>
        <x:v>0</x:v>
      </x:c>
      <x:c r="DA360" s="22" t="n">
        <x:f>MAX(0,MIN('Activities'!L360,606)-MAX('Activities'!K360,600))</x:f>
        <x:v>0</x:v>
      </x:c>
      <x:c r="DB360" s="22" t="n">
        <x:f>MAX(0,MIN('Activities'!L360,612)-MAX('Activities'!K360,606))</x:f>
        <x:v>0</x:v>
      </x:c>
      <x:c r="DC360" s="22" t="n">
        <x:f>MAX(0,MIN('Activities'!L360,618)-MAX('Activities'!K360,612))</x:f>
        <x:v>0</x:v>
      </x:c>
      <x:c r="DD360" s="22" t="n">
        <x:f>MAX(0,MIN('Activities'!L360,624)-MAX('Activities'!K360,618))</x:f>
        <x:v>0</x:v>
      </x:c>
      <x:c r="DE360" s="22" t="n">
        <x:f>MAX(0,MIN('Activities'!L360,630)-MAX('Activities'!K360,624))</x:f>
        <x:v>0</x:v>
      </x:c>
      <x:c r="DF360" s="22" t="n">
        <x:f>MAX(0,MIN('Activities'!L360,636)-MAX('Activities'!K360,630))</x:f>
        <x:v>0</x:v>
      </x:c>
    </x:row>
    <x:row r="361" ht="23" customHeight="1">
      <x:c r="A361" s="1" t="str">
        <x:v>T3-L04-M</x:v>
      </x:c>
      <x:c r="B361" s="1" t="str">
        <x:v>T3</x:v>
      </x:c>
      <x:c r="C361" s="1" t="str">
        <x:v>Partition masonry</x:v>
      </x:c>
      <x:c r="D361" s="1" t="str">
        <x:v>Masonry</x:v>
      </x:c>
      <x:c r="E361" s="23" t="n">
        <x:f>MAX(0,MIN('Activities'!L361,6)-MAX('Activities'!K361,0))</x:f>
        <x:v>0</x:v>
      </x:c>
      <x:c r="F361" s="23" t="n">
        <x:f>MAX(0,MIN('Activities'!L361,12)-MAX('Activities'!K361,6))</x:f>
        <x:v>0</x:v>
      </x:c>
      <x:c r="G361" s="23" t="n">
        <x:f>MAX(0,MIN('Activities'!L361,18)-MAX('Activities'!K361,12))</x:f>
        <x:v>0</x:v>
      </x:c>
      <x:c r="H361" s="23" t="n">
        <x:f>MAX(0,MIN('Activities'!L361,24)-MAX('Activities'!K361,18))</x:f>
        <x:v>0</x:v>
      </x:c>
      <x:c r="I361" s="23" t="n">
        <x:f>MAX(0,MIN('Activities'!L361,30)-MAX('Activities'!K361,24))</x:f>
        <x:v>0</x:v>
      </x:c>
      <x:c r="J361" s="23" t="n">
        <x:f>MAX(0,MIN('Activities'!L361,36)-MAX('Activities'!K361,30))</x:f>
        <x:v>0</x:v>
      </x:c>
      <x:c r="K361" s="23" t="n">
        <x:f>MAX(0,MIN('Activities'!L361,42)-MAX('Activities'!K361,36))</x:f>
        <x:v>0</x:v>
      </x:c>
      <x:c r="L361" s="23" t="n">
        <x:f>MAX(0,MIN('Activities'!L361,48)-MAX('Activities'!K361,42))</x:f>
        <x:v>0</x:v>
      </x:c>
      <x:c r="M361" s="23" t="n">
        <x:f>MAX(0,MIN('Activities'!L361,54)-MAX('Activities'!K361,48))</x:f>
        <x:v>0</x:v>
      </x:c>
      <x:c r="N361" s="23" t="n">
        <x:f>MAX(0,MIN('Activities'!L361,60)-MAX('Activities'!K361,54))</x:f>
        <x:v>0</x:v>
      </x:c>
      <x:c r="O361" s="23" t="n">
        <x:f>MAX(0,MIN('Activities'!L361,66)-MAX('Activities'!K361,60))</x:f>
        <x:v>0</x:v>
      </x:c>
      <x:c r="P361" s="23" t="n">
        <x:f>MAX(0,MIN('Activities'!L361,72)-MAX('Activities'!K361,66))</x:f>
        <x:v>0</x:v>
      </x:c>
      <x:c r="Q361" s="23" t="n">
        <x:f>MAX(0,MIN('Activities'!L361,78)-MAX('Activities'!K361,72))</x:f>
        <x:v>0</x:v>
      </x:c>
      <x:c r="R361" s="23" t="n">
        <x:f>MAX(0,MIN('Activities'!L361,84)-MAX('Activities'!K361,78))</x:f>
        <x:v>0</x:v>
      </x:c>
      <x:c r="S361" s="23" t="n">
        <x:f>MAX(0,MIN('Activities'!L361,90)-MAX('Activities'!K361,84))</x:f>
        <x:v>0</x:v>
      </x:c>
      <x:c r="T361" s="23" t="n">
        <x:f>MAX(0,MIN('Activities'!L361,96)-MAX('Activities'!K361,90))</x:f>
        <x:v>0</x:v>
      </x:c>
      <x:c r="U361" s="23" t="n">
        <x:f>MAX(0,MIN('Activities'!L361,102)-MAX('Activities'!K361,96))</x:f>
        <x:v>0</x:v>
      </x:c>
      <x:c r="V361" s="23" t="n">
        <x:f>MAX(0,MIN('Activities'!L361,108)-MAX('Activities'!K361,102))</x:f>
        <x:v>0</x:v>
      </x:c>
      <x:c r="W361" s="23" t="n">
        <x:f>MAX(0,MIN('Activities'!L361,114)-MAX('Activities'!K361,108))</x:f>
        <x:v>0</x:v>
      </x:c>
      <x:c r="X361" s="23" t="n">
        <x:f>MAX(0,MIN('Activities'!L361,120)-MAX('Activities'!K361,114))</x:f>
        <x:v>0</x:v>
      </x:c>
      <x:c r="Y361" s="23" t="n">
        <x:f>MAX(0,MIN('Activities'!L361,126)-MAX('Activities'!K361,120))</x:f>
        <x:v>0</x:v>
      </x:c>
      <x:c r="Z361" s="23" t="n">
        <x:f>MAX(0,MIN('Activities'!L361,132)-MAX('Activities'!K361,126))</x:f>
        <x:v>0</x:v>
      </x:c>
      <x:c r="AA361" s="23" t="n">
        <x:f>MAX(0,MIN('Activities'!L361,138)-MAX('Activities'!K361,132))</x:f>
        <x:v>0</x:v>
      </x:c>
      <x:c r="AB361" s="23" t="n">
        <x:f>MAX(0,MIN('Activities'!L361,144)-MAX('Activities'!K361,138))</x:f>
        <x:v>0</x:v>
      </x:c>
      <x:c r="AC361" s="23" t="n">
        <x:f>MAX(0,MIN('Activities'!L361,150)-MAX('Activities'!K361,144))</x:f>
        <x:v>0</x:v>
      </x:c>
      <x:c r="AD361" s="23" t="n">
        <x:f>MAX(0,MIN('Activities'!L361,156)-MAX('Activities'!K361,150))</x:f>
        <x:v>0</x:v>
      </x:c>
      <x:c r="AE361" s="23" t="n">
        <x:f>MAX(0,MIN('Activities'!L361,162)-MAX('Activities'!K361,156))</x:f>
        <x:v>0</x:v>
      </x:c>
      <x:c r="AF361" s="23" t="n">
        <x:f>MAX(0,MIN('Activities'!L361,168)-MAX('Activities'!K361,162))</x:f>
        <x:v>0</x:v>
      </x:c>
      <x:c r="AG361" s="23" t="n">
        <x:f>MAX(0,MIN('Activities'!L361,174)-MAX('Activities'!K361,168))</x:f>
        <x:v>0</x:v>
      </x:c>
      <x:c r="AH361" s="23" t="n">
        <x:f>MAX(0,MIN('Activities'!L361,180)-MAX('Activities'!K361,174))</x:f>
        <x:v>0</x:v>
      </x:c>
      <x:c r="AI361" s="23" t="n">
        <x:f>MAX(0,MIN('Activities'!L361,186)-MAX('Activities'!K361,180))</x:f>
        <x:v>0</x:v>
      </x:c>
      <x:c r="AJ361" s="23" t="n">
        <x:f>MAX(0,MIN('Activities'!L361,192)-MAX('Activities'!K361,186))</x:f>
        <x:v>0</x:v>
      </x:c>
      <x:c r="AK361" s="23" t="n">
        <x:f>MAX(0,MIN('Activities'!L361,198)-MAX('Activities'!K361,192))</x:f>
        <x:v>0</x:v>
      </x:c>
      <x:c r="AL361" s="23" t="n">
        <x:f>MAX(0,MIN('Activities'!L361,204)-MAX('Activities'!K361,198))</x:f>
        <x:v>0</x:v>
      </x:c>
      <x:c r="AM361" s="23" t="n">
        <x:f>MAX(0,MIN('Activities'!L361,210)-MAX('Activities'!K361,204))</x:f>
        <x:v>0</x:v>
      </x:c>
      <x:c r="AN361" s="23" t="n">
        <x:f>MAX(0,MIN('Activities'!L361,216)-MAX('Activities'!K361,210))</x:f>
        <x:v>0</x:v>
      </x:c>
      <x:c r="AO361" s="23" t="n">
        <x:f>MAX(0,MIN('Activities'!L361,222)-MAX('Activities'!K361,216))</x:f>
        <x:v>0</x:v>
      </x:c>
      <x:c r="AP361" s="23" t="n">
        <x:f>MAX(0,MIN('Activities'!L361,228)-MAX('Activities'!K361,222))</x:f>
        <x:v>0</x:v>
      </x:c>
      <x:c r="AQ361" s="23" t="n">
        <x:f>MAX(0,MIN('Activities'!L361,234)-MAX('Activities'!K361,228))</x:f>
        <x:v>0</x:v>
      </x:c>
      <x:c r="AR361" s="23" t="n">
        <x:f>MAX(0,MIN('Activities'!L361,240)-MAX('Activities'!K361,234))</x:f>
        <x:v>0</x:v>
      </x:c>
      <x:c r="AS361" s="23" t="n">
        <x:f>MAX(0,MIN('Activities'!L361,246)-MAX('Activities'!K361,240))</x:f>
        <x:v>0</x:v>
      </x:c>
      <x:c r="AT361" s="23" t="n">
        <x:f>MAX(0,MIN('Activities'!L361,252)-MAX('Activities'!K361,246))</x:f>
        <x:v>0</x:v>
      </x:c>
      <x:c r="AU361" s="23" t="n">
        <x:f>MAX(0,MIN('Activities'!L361,258)-MAX('Activities'!K361,252))</x:f>
        <x:v>0</x:v>
      </x:c>
      <x:c r="AV361" s="23" t="n">
        <x:f>MAX(0,MIN('Activities'!L361,264)-MAX('Activities'!K361,258))</x:f>
        <x:v>0</x:v>
      </x:c>
      <x:c r="AW361" s="23" t="n">
        <x:f>MAX(0,MIN('Activities'!L361,270)-MAX('Activities'!K361,264))</x:f>
        <x:v>0</x:v>
      </x:c>
      <x:c r="AX361" s="23" t="n">
        <x:f>MAX(0,MIN('Activities'!L361,276)-MAX('Activities'!K361,270))</x:f>
        <x:v>0</x:v>
      </x:c>
      <x:c r="AY361" s="23" t="n">
        <x:f>MAX(0,MIN('Activities'!L361,282)-MAX('Activities'!K361,276))</x:f>
        <x:v>0</x:v>
      </x:c>
      <x:c r="AZ361" s="23" t="n">
        <x:f>MAX(0,MIN('Activities'!L361,288)-MAX('Activities'!K361,282))</x:f>
        <x:v>0</x:v>
      </x:c>
      <x:c r="BA361" s="23" t="n">
        <x:f>MAX(0,MIN('Activities'!L361,294)-MAX('Activities'!K361,288))</x:f>
        <x:v>0</x:v>
      </x:c>
      <x:c r="BB361" s="23" t="n">
        <x:f>MAX(0,MIN('Activities'!L361,300)-MAX('Activities'!K361,294))</x:f>
        <x:v>0</x:v>
      </x:c>
      <x:c r="BC361" s="23" t="n">
        <x:f>MAX(0,MIN('Activities'!L361,306)-MAX('Activities'!K361,300))</x:f>
        <x:v>0</x:v>
      </x:c>
      <x:c r="BD361" s="23" t="n">
        <x:f>MAX(0,MIN('Activities'!L361,312)-MAX('Activities'!K361,306))</x:f>
        <x:v>5</x:v>
      </x:c>
      <x:c r="BE361" s="23" t="n">
        <x:f>MAX(0,MIN('Activities'!L361,318)-MAX('Activities'!K361,312))</x:f>
        <x:v>0</x:v>
      </x:c>
      <x:c r="BF361" s="23" t="n">
        <x:f>MAX(0,MIN('Activities'!L361,324)-MAX('Activities'!K361,318))</x:f>
        <x:v>0</x:v>
      </x:c>
      <x:c r="BG361" s="23" t="n">
        <x:f>MAX(0,MIN('Activities'!L361,330)-MAX('Activities'!K361,324))</x:f>
        <x:v>0</x:v>
      </x:c>
      <x:c r="BH361" s="23" t="n">
        <x:f>MAX(0,MIN('Activities'!L361,336)-MAX('Activities'!K361,330))</x:f>
        <x:v>0</x:v>
      </x:c>
      <x:c r="BI361" s="23" t="n">
        <x:f>MAX(0,MIN('Activities'!L361,342)-MAX('Activities'!K361,336))</x:f>
        <x:v>0</x:v>
      </x:c>
      <x:c r="BJ361" s="23" t="n">
        <x:f>MAX(0,MIN('Activities'!L361,348)-MAX('Activities'!K361,342))</x:f>
        <x:v>0</x:v>
      </x:c>
      <x:c r="BK361" s="23" t="n">
        <x:f>MAX(0,MIN('Activities'!L361,354)-MAX('Activities'!K361,348))</x:f>
        <x:v>0</x:v>
      </x:c>
      <x:c r="BL361" s="23" t="n">
        <x:f>MAX(0,MIN('Activities'!L361,360)-MAX('Activities'!K361,354))</x:f>
        <x:v>0</x:v>
      </x:c>
      <x:c r="BM361" s="23" t="n">
        <x:f>MAX(0,MIN('Activities'!L361,366)-MAX('Activities'!K361,360))</x:f>
        <x:v>0</x:v>
      </x:c>
      <x:c r="BN361" s="23" t="n">
        <x:f>MAX(0,MIN('Activities'!L361,372)-MAX('Activities'!K361,366))</x:f>
        <x:v>0</x:v>
      </x:c>
      <x:c r="BO361" s="23" t="n">
        <x:f>MAX(0,MIN('Activities'!L361,378)-MAX('Activities'!K361,372))</x:f>
        <x:v>0</x:v>
      </x:c>
      <x:c r="BP361" s="23" t="n">
        <x:f>MAX(0,MIN('Activities'!L361,384)-MAX('Activities'!K361,378))</x:f>
        <x:v>0</x:v>
      </x:c>
      <x:c r="BQ361" s="23" t="n">
        <x:f>MAX(0,MIN('Activities'!L361,390)-MAX('Activities'!K361,384))</x:f>
        <x:v>0</x:v>
      </x:c>
      <x:c r="BR361" s="23" t="n">
        <x:f>MAX(0,MIN('Activities'!L361,396)-MAX('Activities'!K361,390))</x:f>
        <x:v>0</x:v>
      </x:c>
      <x:c r="BS361" s="23" t="n">
        <x:f>MAX(0,MIN('Activities'!L361,402)-MAX('Activities'!K361,396))</x:f>
        <x:v>0</x:v>
      </x:c>
      <x:c r="BT361" s="23" t="n">
        <x:f>MAX(0,MIN('Activities'!L361,408)-MAX('Activities'!K361,402))</x:f>
        <x:v>0</x:v>
      </x:c>
      <x:c r="BU361" s="23" t="n">
        <x:f>MAX(0,MIN('Activities'!L361,414)-MAX('Activities'!K361,408))</x:f>
        <x:v>0</x:v>
      </x:c>
      <x:c r="BV361" s="23" t="n">
        <x:f>MAX(0,MIN('Activities'!L361,420)-MAX('Activities'!K361,414))</x:f>
        <x:v>0</x:v>
      </x:c>
      <x:c r="BW361" s="23" t="n">
        <x:f>MAX(0,MIN('Activities'!L361,426)-MAX('Activities'!K361,420))</x:f>
        <x:v>0</x:v>
      </x:c>
      <x:c r="BX361" s="23" t="n">
        <x:f>MAX(0,MIN('Activities'!L361,432)-MAX('Activities'!K361,426))</x:f>
        <x:v>0</x:v>
      </x:c>
      <x:c r="BY361" s="23" t="n">
        <x:f>MAX(0,MIN('Activities'!L361,438)-MAX('Activities'!K361,432))</x:f>
        <x:v>0</x:v>
      </x:c>
      <x:c r="BZ361" s="23" t="n">
        <x:f>MAX(0,MIN('Activities'!L361,444)-MAX('Activities'!K361,438))</x:f>
        <x:v>0</x:v>
      </x:c>
      <x:c r="CA361" s="23" t="n">
        <x:f>MAX(0,MIN('Activities'!L361,450)-MAX('Activities'!K361,444))</x:f>
        <x:v>0</x:v>
      </x:c>
      <x:c r="CB361" s="23" t="n">
        <x:f>MAX(0,MIN('Activities'!L361,456)-MAX('Activities'!K361,450))</x:f>
        <x:v>0</x:v>
      </x:c>
      <x:c r="CC361" s="23" t="n">
        <x:f>MAX(0,MIN('Activities'!L361,462)-MAX('Activities'!K361,456))</x:f>
        <x:v>0</x:v>
      </x:c>
      <x:c r="CD361" s="23" t="n">
        <x:f>MAX(0,MIN('Activities'!L361,468)-MAX('Activities'!K361,462))</x:f>
        <x:v>0</x:v>
      </x:c>
      <x:c r="CE361" s="23" t="n">
        <x:f>MAX(0,MIN('Activities'!L361,474)-MAX('Activities'!K361,468))</x:f>
        <x:v>0</x:v>
      </x:c>
      <x:c r="CF361" s="23" t="n">
        <x:f>MAX(0,MIN('Activities'!L361,480)-MAX('Activities'!K361,474))</x:f>
        <x:v>0</x:v>
      </x:c>
      <x:c r="CG361" s="23" t="n">
        <x:f>MAX(0,MIN('Activities'!L361,486)-MAX('Activities'!K361,480))</x:f>
        <x:v>0</x:v>
      </x:c>
      <x:c r="CH361" s="23" t="n">
        <x:f>MAX(0,MIN('Activities'!L361,492)-MAX('Activities'!K361,486))</x:f>
        <x:v>0</x:v>
      </x:c>
      <x:c r="CI361" s="23" t="n">
        <x:f>MAX(0,MIN('Activities'!L361,498)-MAX('Activities'!K361,492))</x:f>
        <x:v>0</x:v>
      </x:c>
      <x:c r="CJ361" s="23" t="n">
        <x:f>MAX(0,MIN('Activities'!L361,504)-MAX('Activities'!K361,498))</x:f>
        <x:v>0</x:v>
      </x:c>
      <x:c r="CK361" s="23" t="n">
        <x:f>MAX(0,MIN('Activities'!L361,510)-MAX('Activities'!K361,504))</x:f>
        <x:v>0</x:v>
      </x:c>
      <x:c r="CL361" s="23" t="n">
        <x:f>MAX(0,MIN('Activities'!L361,516)-MAX('Activities'!K361,510))</x:f>
        <x:v>0</x:v>
      </x:c>
      <x:c r="CM361" s="23" t="n">
        <x:f>MAX(0,MIN('Activities'!L361,522)-MAX('Activities'!K361,516))</x:f>
        <x:v>0</x:v>
      </x:c>
      <x:c r="CN361" s="23" t="n">
        <x:f>MAX(0,MIN('Activities'!L361,528)-MAX('Activities'!K361,522))</x:f>
        <x:v>0</x:v>
      </x:c>
      <x:c r="CO361" s="23" t="n">
        <x:f>MAX(0,MIN('Activities'!L361,534)-MAX('Activities'!K361,528))</x:f>
        <x:v>0</x:v>
      </x:c>
      <x:c r="CP361" s="23" t="n">
        <x:f>MAX(0,MIN('Activities'!L361,540)-MAX('Activities'!K361,534))</x:f>
        <x:v>0</x:v>
      </x:c>
      <x:c r="CQ361" s="23" t="n">
        <x:f>MAX(0,MIN('Activities'!L361,546)-MAX('Activities'!K361,540))</x:f>
        <x:v>0</x:v>
      </x:c>
      <x:c r="CR361" s="23" t="n">
        <x:f>MAX(0,MIN('Activities'!L361,552)-MAX('Activities'!K361,546))</x:f>
        <x:v>0</x:v>
      </x:c>
      <x:c r="CS361" s="23" t="n">
        <x:f>MAX(0,MIN('Activities'!L361,558)-MAX('Activities'!K361,552))</x:f>
        <x:v>0</x:v>
      </x:c>
      <x:c r="CT361" s="23" t="n">
        <x:f>MAX(0,MIN('Activities'!L361,564)-MAX('Activities'!K361,558))</x:f>
        <x:v>0</x:v>
      </x:c>
      <x:c r="CU361" s="23" t="n">
        <x:f>MAX(0,MIN('Activities'!L361,570)-MAX('Activities'!K361,564))</x:f>
        <x:v>0</x:v>
      </x:c>
      <x:c r="CV361" s="23" t="n">
        <x:f>MAX(0,MIN('Activities'!L361,576)-MAX('Activities'!K361,570))</x:f>
        <x:v>0</x:v>
      </x:c>
      <x:c r="CW361" s="23" t="n">
        <x:f>MAX(0,MIN('Activities'!L361,582)-MAX('Activities'!K361,576))</x:f>
        <x:v>0</x:v>
      </x:c>
      <x:c r="CX361" s="23" t="n">
        <x:f>MAX(0,MIN('Activities'!L361,588)-MAX('Activities'!K361,582))</x:f>
        <x:v>0</x:v>
      </x:c>
      <x:c r="CY361" s="23" t="n">
        <x:f>MAX(0,MIN('Activities'!L361,594)-MAX('Activities'!K361,588))</x:f>
        <x:v>0</x:v>
      </x:c>
      <x:c r="CZ361" s="23" t="n">
        <x:f>MAX(0,MIN('Activities'!L361,600)-MAX('Activities'!K361,594))</x:f>
        <x:v>0</x:v>
      </x:c>
      <x:c r="DA361" s="23" t="n">
        <x:f>MAX(0,MIN('Activities'!L361,606)-MAX('Activities'!K361,600))</x:f>
        <x:v>0</x:v>
      </x:c>
      <x:c r="DB361" s="23" t="n">
        <x:f>MAX(0,MIN('Activities'!L361,612)-MAX('Activities'!K361,606))</x:f>
        <x:v>0</x:v>
      </x:c>
      <x:c r="DC361" s="23" t="n">
        <x:f>MAX(0,MIN('Activities'!L361,618)-MAX('Activities'!K361,612))</x:f>
        <x:v>0</x:v>
      </x:c>
      <x:c r="DD361" s="23" t="n">
        <x:f>MAX(0,MIN('Activities'!L361,624)-MAX('Activities'!K361,618))</x:f>
        <x:v>0</x:v>
      </x:c>
      <x:c r="DE361" s="23" t="n">
        <x:f>MAX(0,MIN('Activities'!L361,630)-MAX('Activities'!K361,624))</x:f>
        <x:v>0</x:v>
      </x:c>
      <x:c r="DF361" s="23" t="n">
        <x:f>MAX(0,MIN('Activities'!L361,636)-MAX('Activities'!K361,630))</x:f>
        <x:v>0</x:v>
      </x:c>
    </x:row>
    <x:row r="362" ht="23" customHeight="1">
      <x:c r="A362" s="6" t="str">
        <x:v>T3-L04-P</x:v>
      </x:c>
      <x:c r="B362" s="6" t="str">
        <x:v>T3</x:v>
      </x:c>
      <x:c r="C362" s="6" t="str">
        <x:v>Internal plaster</x:v>
      </x:c>
      <x:c r="D362" s="6" t="str">
        <x:v>Finishes</x:v>
      </x:c>
      <x:c r="E362" s="22" t="n">
        <x:f>MAX(0,MIN('Activities'!L362,6)-MAX('Activities'!K362,0))</x:f>
        <x:v>0</x:v>
      </x:c>
      <x:c r="F362" s="22" t="n">
        <x:f>MAX(0,MIN('Activities'!L362,12)-MAX('Activities'!K362,6))</x:f>
        <x:v>0</x:v>
      </x:c>
      <x:c r="G362" s="22" t="n">
        <x:f>MAX(0,MIN('Activities'!L362,18)-MAX('Activities'!K362,12))</x:f>
        <x:v>0</x:v>
      </x:c>
      <x:c r="H362" s="22" t="n">
        <x:f>MAX(0,MIN('Activities'!L362,24)-MAX('Activities'!K362,18))</x:f>
        <x:v>0</x:v>
      </x:c>
      <x:c r="I362" s="22" t="n">
        <x:f>MAX(0,MIN('Activities'!L362,30)-MAX('Activities'!K362,24))</x:f>
        <x:v>0</x:v>
      </x:c>
      <x:c r="J362" s="22" t="n">
        <x:f>MAX(0,MIN('Activities'!L362,36)-MAX('Activities'!K362,30))</x:f>
        <x:v>0</x:v>
      </x:c>
      <x:c r="K362" s="22" t="n">
        <x:f>MAX(0,MIN('Activities'!L362,42)-MAX('Activities'!K362,36))</x:f>
        <x:v>0</x:v>
      </x:c>
      <x:c r="L362" s="22" t="n">
        <x:f>MAX(0,MIN('Activities'!L362,48)-MAX('Activities'!K362,42))</x:f>
        <x:v>0</x:v>
      </x:c>
      <x:c r="M362" s="22" t="n">
        <x:f>MAX(0,MIN('Activities'!L362,54)-MAX('Activities'!K362,48))</x:f>
        <x:v>0</x:v>
      </x:c>
      <x:c r="N362" s="22" t="n">
        <x:f>MAX(0,MIN('Activities'!L362,60)-MAX('Activities'!K362,54))</x:f>
        <x:v>0</x:v>
      </x:c>
      <x:c r="O362" s="22" t="n">
        <x:f>MAX(0,MIN('Activities'!L362,66)-MAX('Activities'!K362,60))</x:f>
        <x:v>0</x:v>
      </x:c>
      <x:c r="P362" s="22" t="n">
        <x:f>MAX(0,MIN('Activities'!L362,72)-MAX('Activities'!K362,66))</x:f>
        <x:v>0</x:v>
      </x:c>
      <x:c r="Q362" s="22" t="n">
        <x:f>MAX(0,MIN('Activities'!L362,78)-MAX('Activities'!K362,72))</x:f>
        <x:v>0</x:v>
      </x:c>
      <x:c r="R362" s="22" t="n">
        <x:f>MAX(0,MIN('Activities'!L362,84)-MAX('Activities'!K362,78))</x:f>
        <x:v>0</x:v>
      </x:c>
      <x:c r="S362" s="22" t="n">
        <x:f>MAX(0,MIN('Activities'!L362,90)-MAX('Activities'!K362,84))</x:f>
        <x:v>0</x:v>
      </x:c>
      <x:c r="T362" s="22" t="n">
        <x:f>MAX(0,MIN('Activities'!L362,96)-MAX('Activities'!K362,90))</x:f>
        <x:v>0</x:v>
      </x:c>
      <x:c r="U362" s="22" t="n">
        <x:f>MAX(0,MIN('Activities'!L362,102)-MAX('Activities'!K362,96))</x:f>
        <x:v>0</x:v>
      </x:c>
      <x:c r="V362" s="22" t="n">
        <x:f>MAX(0,MIN('Activities'!L362,108)-MAX('Activities'!K362,102))</x:f>
        <x:v>0</x:v>
      </x:c>
      <x:c r="W362" s="22" t="n">
        <x:f>MAX(0,MIN('Activities'!L362,114)-MAX('Activities'!K362,108))</x:f>
        <x:v>0</x:v>
      </x:c>
      <x:c r="X362" s="22" t="n">
        <x:f>MAX(0,MIN('Activities'!L362,120)-MAX('Activities'!K362,114))</x:f>
        <x:v>0</x:v>
      </x:c>
      <x:c r="Y362" s="22" t="n">
        <x:f>MAX(0,MIN('Activities'!L362,126)-MAX('Activities'!K362,120))</x:f>
        <x:v>0</x:v>
      </x:c>
      <x:c r="Z362" s="22" t="n">
        <x:f>MAX(0,MIN('Activities'!L362,132)-MAX('Activities'!K362,126))</x:f>
        <x:v>0</x:v>
      </x:c>
      <x:c r="AA362" s="22" t="n">
        <x:f>MAX(0,MIN('Activities'!L362,138)-MAX('Activities'!K362,132))</x:f>
        <x:v>0</x:v>
      </x:c>
      <x:c r="AB362" s="22" t="n">
        <x:f>MAX(0,MIN('Activities'!L362,144)-MAX('Activities'!K362,138))</x:f>
        <x:v>0</x:v>
      </x:c>
      <x:c r="AC362" s="22" t="n">
        <x:f>MAX(0,MIN('Activities'!L362,150)-MAX('Activities'!K362,144))</x:f>
        <x:v>0</x:v>
      </x:c>
      <x:c r="AD362" s="22" t="n">
        <x:f>MAX(0,MIN('Activities'!L362,156)-MAX('Activities'!K362,150))</x:f>
        <x:v>0</x:v>
      </x:c>
      <x:c r="AE362" s="22" t="n">
        <x:f>MAX(0,MIN('Activities'!L362,162)-MAX('Activities'!K362,156))</x:f>
        <x:v>0</x:v>
      </x:c>
      <x:c r="AF362" s="22" t="n">
        <x:f>MAX(0,MIN('Activities'!L362,168)-MAX('Activities'!K362,162))</x:f>
        <x:v>0</x:v>
      </x:c>
      <x:c r="AG362" s="22" t="n">
        <x:f>MAX(0,MIN('Activities'!L362,174)-MAX('Activities'!K362,168))</x:f>
        <x:v>0</x:v>
      </x:c>
      <x:c r="AH362" s="22" t="n">
        <x:f>MAX(0,MIN('Activities'!L362,180)-MAX('Activities'!K362,174))</x:f>
        <x:v>0</x:v>
      </x:c>
      <x:c r="AI362" s="22" t="n">
        <x:f>MAX(0,MIN('Activities'!L362,186)-MAX('Activities'!K362,180))</x:f>
        <x:v>0</x:v>
      </x:c>
      <x:c r="AJ362" s="22" t="n">
        <x:f>MAX(0,MIN('Activities'!L362,192)-MAX('Activities'!K362,186))</x:f>
        <x:v>0</x:v>
      </x:c>
      <x:c r="AK362" s="22" t="n">
        <x:f>MAX(0,MIN('Activities'!L362,198)-MAX('Activities'!K362,192))</x:f>
        <x:v>0</x:v>
      </x:c>
      <x:c r="AL362" s="22" t="n">
        <x:f>MAX(0,MIN('Activities'!L362,204)-MAX('Activities'!K362,198))</x:f>
        <x:v>0</x:v>
      </x:c>
      <x:c r="AM362" s="22" t="n">
        <x:f>MAX(0,MIN('Activities'!L362,210)-MAX('Activities'!K362,204))</x:f>
        <x:v>0</x:v>
      </x:c>
      <x:c r="AN362" s="22" t="n">
        <x:f>MAX(0,MIN('Activities'!L362,216)-MAX('Activities'!K362,210))</x:f>
        <x:v>0</x:v>
      </x:c>
      <x:c r="AO362" s="22" t="n">
        <x:f>MAX(0,MIN('Activities'!L362,222)-MAX('Activities'!K362,216))</x:f>
        <x:v>0</x:v>
      </x:c>
      <x:c r="AP362" s="22" t="n">
        <x:f>MAX(0,MIN('Activities'!L362,228)-MAX('Activities'!K362,222))</x:f>
        <x:v>0</x:v>
      </x:c>
      <x:c r="AQ362" s="22" t="n">
        <x:f>MAX(0,MIN('Activities'!L362,234)-MAX('Activities'!K362,228))</x:f>
        <x:v>0</x:v>
      </x:c>
      <x:c r="AR362" s="22" t="n">
        <x:f>MAX(0,MIN('Activities'!L362,240)-MAX('Activities'!K362,234))</x:f>
        <x:v>0</x:v>
      </x:c>
      <x:c r="AS362" s="22" t="n">
        <x:f>MAX(0,MIN('Activities'!L362,246)-MAX('Activities'!K362,240))</x:f>
        <x:v>0</x:v>
      </x:c>
      <x:c r="AT362" s="22" t="n">
        <x:f>MAX(0,MIN('Activities'!L362,252)-MAX('Activities'!K362,246))</x:f>
        <x:v>0</x:v>
      </x:c>
      <x:c r="AU362" s="22" t="n">
        <x:f>MAX(0,MIN('Activities'!L362,258)-MAX('Activities'!K362,252))</x:f>
        <x:v>0</x:v>
      </x:c>
      <x:c r="AV362" s="22" t="n">
        <x:f>MAX(0,MIN('Activities'!L362,264)-MAX('Activities'!K362,258))</x:f>
        <x:v>0</x:v>
      </x:c>
      <x:c r="AW362" s="22" t="n">
        <x:f>MAX(0,MIN('Activities'!L362,270)-MAX('Activities'!K362,264))</x:f>
        <x:v>0</x:v>
      </x:c>
      <x:c r="AX362" s="22" t="n">
        <x:f>MAX(0,MIN('Activities'!L362,276)-MAX('Activities'!K362,270))</x:f>
        <x:v>0</x:v>
      </x:c>
      <x:c r="AY362" s="22" t="n">
        <x:f>MAX(0,MIN('Activities'!L362,282)-MAX('Activities'!K362,276))</x:f>
        <x:v>0</x:v>
      </x:c>
      <x:c r="AZ362" s="22" t="n">
        <x:f>MAX(0,MIN('Activities'!L362,288)-MAX('Activities'!K362,282))</x:f>
        <x:v>0</x:v>
      </x:c>
      <x:c r="BA362" s="22" t="n">
        <x:f>MAX(0,MIN('Activities'!L362,294)-MAX('Activities'!K362,288))</x:f>
        <x:v>0</x:v>
      </x:c>
      <x:c r="BB362" s="22" t="n">
        <x:f>MAX(0,MIN('Activities'!L362,300)-MAX('Activities'!K362,294))</x:f>
        <x:v>0</x:v>
      </x:c>
      <x:c r="BC362" s="22" t="n">
        <x:f>MAX(0,MIN('Activities'!L362,306)-MAX('Activities'!K362,300))</x:f>
        <x:v>0</x:v>
      </x:c>
      <x:c r="BD362" s="22" t="n">
        <x:f>MAX(0,MIN('Activities'!L362,312)-MAX('Activities'!K362,306))</x:f>
        <x:v>0</x:v>
      </x:c>
      <x:c r="BE362" s="22" t="n">
        <x:f>MAX(0,MIN('Activities'!L362,318)-MAX('Activities'!K362,312))</x:f>
        <x:v>3</x:v>
      </x:c>
      <x:c r="BF362" s="22" t="n">
        <x:f>MAX(0,MIN('Activities'!L362,324)-MAX('Activities'!K362,318))</x:f>
        <x:v>3</x:v>
      </x:c>
      <x:c r="BG362" s="22" t="n">
        <x:f>MAX(0,MIN('Activities'!L362,330)-MAX('Activities'!K362,324))</x:f>
        <x:v>0</x:v>
      </x:c>
      <x:c r="BH362" s="22" t="n">
        <x:f>MAX(0,MIN('Activities'!L362,336)-MAX('Activities'!K362,330))</x:f>
        <x:v>0</x:v>
      </x:c>
      <x:c r="BI362" s="22" t="n">
        <x:f>MAX(0,MIN('Activities'!L362,342)-MAX('Activities'!K362,336))</x:f>
        <x:v>0</x:v>
      </x:c>
      <x:c r="BJ362" s="22" t="n">
        <x:f>MAX(0,MIN('Activities'!L362,348)-MAX('Activities'!K362,342))</x:f>
        <x:v>0</x:v>
      </x:c>
      <x:c r="BK362" s="22" t="n">
        <x:f>MAX(0,MIN('Activities'!L362,354)-MAX('Activities'!K362,348))</x:f>
        <x:v>0</x:v>
      </x:c>
      <x:c r="BL362" s="22" t="n">
        <x:f>MAX(0,MIN('Activities'!L362,360)-MAX('Activities'!K362,354))</x:f>
        <x:v>0</x:v>
      </x:c>
      <x:c r="BM362" s="22" t="n">
        <x:f>MAX(0,MIN('Activities'!L362,366)-MAX('Activities'!K362,360))</x:f>
        <x:v>0</x:v>
      </x:c>
      <x:c r="BN362" s="22" t="n">
        <x:f>MAX(0,MIN('Activities'!L362,372)-MAX('Activities'!K362,366))</x:f>
        <x:v>0</x:v>
      </x:c>
      <x:c r="BO362" s="22" t="n">
        <x:f>MAX(0,MIN('Activities'!L362,378)-MAX('Activities'!K362,372))</x:f>
        <x:v>0</x:v>
      </x:c>
      <x:c r="BP362" s="22" t="n">
        <x:f>MAX(0,MIN('Activities'!L362,384)-MAX('Activities'!K362,378))</x:f>
        <x:v>0</x:v>
      </x:c>
      <x:c r="BQ362" s="22" t="n">
        <x:f>MAX(0,MIN('Activities'!L362,390)-MAX('Activities'!K362,384))</x:f>
        <x:v>0</x:v>
      </x:c>
      <x:c r="BR362" s="22" t="n">
        <x:f>MAX(0,MIN('Activities'!L362,396)-MAX('Activities'!K362,390))</x:f>
        <x:v>0</x:v>
      </x:c>
      <x:c r="BS362" s="22" t="n">
        <x:f>MAX(0,MIN('Activities'!L362,402)-MAX('Activities'!K362,396))</x:f>
        <x:v>0</x:v>
      </x:c>
      <x:c r="BT362" s="22" t="n">
        <x:f>MAX(0,MIN('Activities'!L362,408)-MAX('Activities'!K362,402))</x:f>
        <x:v>0</x:v>
      </x:c>
      <x:c r="BU362" s="22" t="n">
        <x:f>MAX(0,MIN('Activities'!L362,414)-MAX('Activities'!K362,408))</x:f>
        <x:v>0</x:v>
      </x:c>
      <x:c r="BV362" s="22" t="n">
        <x:f>MAX(0,MIN('Activities'!L362,420)-MAX('Activities'!K362,414))</x:f>
        <x:v>0</x:v>
      </x:c>
      <x:c r="BW362" s="22" t="n">
        <x:f>MAX(0,MIN('Activities'!L362,426)-MAX('Activities'!K362,420))</x:f>
        <x:v>0</x:v>
      </x:c>
      <x:c r="BX362" s="22" t="n">
        <x:f>MAX(0,MIN('Activities'!L362,432)-MAX('Activities'!K362,426))</x:f>
        <x:v>0</x:v>
      </x:c>
      <x:c r="BY362" s="22" t="n">
        <x:f>MAX(0,MIN('Activities'!L362,438)-MAX('Activities'!K362,432))</x:f>
        <x:v>0</x:v>
      </x:c>
      <x:c r="BZ362" s="22" t="n">
        <x:f>MAX(0,MIN('Activities'!L362,444)-MAX('Activities'!K362,438))</x:f>
        <x:v>0</x:v>
      </x:c>
      <x:c r="CA362" s="22" t="n">
        <x:f>MAX(0,MIN('Activities'!L362,450)-MAX('Activities'!K362,444))</x:f>
        <x:v>0</x:v>
      </x:c>
      <x:c r="CB362" s="22" t="n">
        <x:f>MAX(0,MIN('Activities'!L362,456)-MAX('Activities'!K362,450))</x:f>
        <x:v>0</x:v>
      </x:c>
      <x:c r="CC362" s="22" t="n">
        <x:f>MAX(0,MIN('Activities'!L362,462)-MAX('Activities'!K362,456))</x:f>
        <x:v>0</x:v>
      </x:c>
      <x:c r="CD362" s="22" t="n">
        <x:f>MAX(0,MIN('Activities'!L362,468)-MAX('Activities'!K362,462))</x:f>
        <x:v>0</x:v>
      </x:c>
      <x:c r="CE362" s="22" t="n">
        <x:f>MAX(0,MIN('Activities'!L362,474)-MAX('Activities'!K362,468))</x:f>
        <x:v>0</x:v>
      </x:c>
      <x:c r="CF362" s="22" t="n">
        <x:f>MAX(0,MIN('Activities'!L362,480)-MAX('Activities'!K362,474))</x:f>
        <x:v>0</x:v>
      </x:c>
      <x:c r="CG362" s="22" t="n">
        <x:f>MAX(0,MIN('Activities'!L362,486)-MAX('Activities'!K362,480))</x:f>
        <x:v>0</x:v>
      </x:c>
      <x:c r="CH362" s="22" t="n">
        <x:f>MAX(0,MIN('Activities'!L362,492)-MAX('Activities'!K362,486))</x:f>
        <x:v>0</x:v>
      </x:c>
      <x:c r="CI362" s="22" t="n">
        <x:f>MAX(0,MIN('Activities'!L362,498)-MAX('Activities'!K362,492))</x:f>
        <x:v>0</x:v>
      </x:c>
      <x:c r="CJ362" s="22" t="n">
        <x:f>MAX(0,MIN('Activities'!L362,504)-MAX('Activities'!K362,498))</x:f>
        <x:v>0</x:v>
      </x:c>
      <x:c r="CK362" s="22" t="n">
        <x:f>MAX(0,MIN('Activities'!L362,510)-MAX('Activities'!K362,504))</x:f>
        <x:v>0</x:v>
      </x:c>
      <x:c r="CL362" s="22" t="n">
        <x:f>MAX(0,MIN('Activities'!L362,516)-MAX('Activities'!K362,510))</x:f>
        <x:v>0</x:v>
      </x:c>
      <x:c r="CM362" s="22" t="n">
        <x:f>MAX(0,MIN('Activities'!L362,522)-MAX('Activities'!K362,516))</x:f>
        <x:v>0</x:v>
      </x:c>
      <x:c r="CN362" s="22" t="n">
        <x:f>MAX(0,MIN('Activities'!L362,528)-MAX('Activities'!K362,522))</x:f>
        <x:v>0</x:v>
      </x:c>
      <x:c r="CO362" s="22" t="n">
        <x:f>MAX(0,MIN('Activities'!L362,534)-MAX('Activities'!K362,528))</x:f>
        <x:v>0</x:v>
      </x:c>
      <x:c r="CP362" s="22" t="n">
        <x:f>MAX(0,MIN('Activities'!L362,540)-MAX('Activities'!K362,534))</x:f>
        <x:v>0</x:v>
      </x:c>
      <x:c r="CQ362" s="22" t="n">
        <x:f>MAX(0,MIN('Activities'!L362,546)-MAX('Activities'!K362,540))</x:f>
        <x:v>0</x:v>
      </x:c>
      <x:c r="CR362" s="22" t="n">
        <x:f>MAX(0,MIN('Activities'!L362,552)-MAX('Activities'!K362,546))</x:f>
        <x:v>0</x:v>
      </x:c>
      <x:c r="CS362" s="22" t="n">
        <x:f>MAX(0,MIN('Activities'!L362,558)-MAX('Activities'!K362,552))</x:f>
        <x:v>0</x:v>
      </x:c>
      <x:c r="CT362" s="22" t="n">
        <x:f>MAX(0,MIN('Activities'!L362,564)-MAX('Activities'!K362,558))</x:f>
        <x:v>0</x:v>
      </x:c>
      <x:c r="CU362" s="22" t="n">
        <x:f>MAX(0,MIN('Activities'!L362,570)-MAX('Activities'!K362,564))</x:f>
        <x:v>0</x:v>
      </x:c>
      <x:c r="CV362" s="22" t="n">
        <x:f>MAX(0,MIN('Activities'!L362,576)-MAX('Activities'!K362,570))</x:f>
        <x:v>0</x:v>
      </x:c>
      <x:c r="CW362" s="22" t="n">
        <x:f>MAX(0,MIN('Activities'!L362,582)-MAX('Activities'!K362,576))</x:f>
        <x:v>0</x:v>
      </x:c>
      <x:c r="CX362" s="22" t="n">
        <x:f>MAX(0,MIN('Activities'!L362,588)-MAX('Activities'!K362,582))</x:f>
        <x:v>0</x:v>
      </x:c>
      <x:c r="CY362" s="22" t="n">
        <x:f>MAX(0,MIN('Activities'!L362,594)-MAX('Activities'!K362,588))</x:f>
        <x:v>0</x:v>
      </x:c>
      <x:c r="CZ362" s="22" t="n">
        <x:f>MAX(0,MIN('Activities'!L362,600)-MAX('Activities'!K362,594))</x:f>
        <x:v>0</x:v>
      </x:c>
      <x:c r="DA362" s="22" t="n">
        <x:f>MAX(0,MIN('Activities'!L362,606)-MAX('Activities'!K362,600))</x:f>
        <x:v>0</x:v>
      </x:c>
      <x:c r="DB362" s="22" t="n">
        <x:f>MAX(0,MIN('Activities'!L362,612)-MAX('Activities'!K362,606))</x:f>
        <x:v>0</x:v>
      </x:c>
      <x:c r="DC362" s="22" t="n">
        <x:f>MAX(0,MIN('Activities'!L362,618)-MAX('Activities'!K362,612))</x:f>
        <x:v>0</x:v>
      </x:c>
      <x:c r="DD362" s="22" t="n">
        <x:f>MAX(0,MIN('Activities'!L362,624)-MAX('Activities'!K362,618))</x:f>
        <x:v>0</x:v>
      </x:c>
      <x:c r="DE362" s="22" t="n">
        <x:f>MAX(0,MIN('Activities'!L362,630)-MAX('Activities'!K362,624))</x:f>
        <x:v>0</x:v>
      </x:c>
      <x:c r="DF362" s="22" t="n">
        <x:f>MAX(0,MIN('Activities'!L362,636)-MAX('Activities'!K362,630))</x:f>
        <x:v>0</x:v>
      </x:c>
    </x:row>
    <x:row r="363" ht="23" customHeight="1">
      <x:c r="A363" s="1" t="str">
        <x:v>T3-L04-S</x:v>
      </x:c>
      <x:c r="B363" s="1" t="str">
        <x:v>T3</x:v>
      </x:c>
      <x:c r="C363" s="1" t="str">
        <x:v>Screed and substrate preparation</x:v>
      </x:c>
      <x:c r="D363" s="1" t="str">
        <x:v>Finishes</x:v>
      </x:c>
      <x:c r="E363" s="23" t="n">
        <x:f>MAX(0,MIN('Activities'!L363,6)-MAX('Activities'!K363,0))</x:f>
        <x:v>0</x:v>
      </x:c>
      <x:c r="F363" s="23" t="n">
        <x:f>MAX(0,MIN('Activities'!L363,12)-MAX('Activities'!K363,6))</x:f>
        <x:v>0</x:v>
      </x:c>
      <x:c r="G363" s="23" t="n">
        <x:f>MAX(0,MIN('Activities'!L363,18)-MAX('Activities'!K363,12))</x:f>
        <x:v>0</x:v>
      </x:c>
      <x:c r="H363" s="23" t="n">
        <x:f>MAX(0,MIN('Activities'!L363,24)-MAX('Activities'!K363,18))</x:f>
        <x:v>0</x:v>
      </x:c>
      <x:c r="I363" s="23" t="n">
        <x:f>MAX(0,MIN('Activities'!L363,30)-MAX('Activities'!K363,24))</x:f>
        <x:v>0</x:v>
      </x:c>
      <x:c r="J363" s="23" t="n">
        <x:f>MAX(0,MIN('Activities'!L363,36)-MAX('Activities'!K363,30))</x:f>
        <x:v>0</x:v>
      </x:c>
      <x:c r="K363" s="23" t="n">
        <x:f>MAX(0,MIN('Activities'!L363,42)-MAX('Activities'!K363,36))</x:f>
        <x:v>0</x:v>
      </x:c>
      <x:c r="L363" s="23" t="n">
        <x:f>MAX(0,MIN('Activities'!L363,48)-MAX('Activities'!K363,42))</x:f>
        <x:v>0</x:v>
      </x:c>
      <x:c r="M363" s="23" t="n">
        <x:f>MAX(0,MIN('Activities'!L363,54)-MAX('Activities'!K363,48))</x:f>
        <x:v>0</x:v>
      </x:c>
      <x:c r="N363" s="23" t="n">
        <x:f>MAX(0,MIN('Activities'!L363,60)-MAX('Activities'!K363,54))</x:f>
        <x:v>0</x:v>
      </x:c>
      <x:c r="O363" s="23" t="n">
        <x:f>MAX(0,MIN('Activities'!L363,66)-MAX('Activities'!K363,60))</x:f>
        <x:v>0</x:v>
      </x:c>
      <x:c r="P363" s="23" t="n">
        <x:f>MAX(0,MIN('Activities'!L363,72)-MAX('Activities'!K363,66))</x:f>
        <x:v>0</x:v>
      </x:c>
      <x:c r="Q363" s="23" t="n">
        <x:f>MAX(0,MIN('Activities'!L363,78)-MAX('Activities'!K363,72))</x:f>
        <x:v>0</x:v>
      </x:c>
      <x:c r="R363" s="23" t="n">
        <x:f>MAX(0,MIN('Activities'!L363,84)-MAX('Activities'!K363,78))</x:f>
        <x:v>0</x:v>
      </x:c>
      <x:c r="S363" s="23" t="n">
        <x:f>MAX(0,MIN('Activities'!L363,90)-MAX('Activities'!K363,84))</x:f>
        <x:v>0</x:v>
      </x:c>
      <x:c r="T363" s="23" t="n">
        <x:f>MAX(0,MIN('Activities'!L363,96)-MAX('Activities'!K363,90))</x:f>
        <x:v>0</x:v>
      </x:c>
      <x:c r="U363" s="23" t="n">
        <x:f>MAX(0,MIN('Activities'!L363,102)-MAX('Activities'!K363,96))</x:f>
        <x:v>0</x:v>
      </x:c>
      <x:c r="V363" s="23" t="n">
        <x:f>MAX(0,MIN('Activities'!L363,108)-MAX('Activities'!K363,102))</x:f>
        <x:v>0</x:v>
      </x:c>
      <x:c r="W363" s="23" t="n">
        <x:f>MAX(0,MIN('Activities'!L363,114)-MAX('Activities'!K363,108))</x:f>
        <x:v>0</x:v>
      </x:c>
      <x:c r="X363" s="23" t="n">
        <x:f>MAX(0,MIN('Activities'!L363,120)-MAX('Activities'!K363,114))</x:f>
        <x:v>0</x:v>
      </x:c>
      <x:c r="Y363" s="23" t="n">
        <x:f>MAX(0,MIN('Activities'!L363,126)-MAX('Activities'!K363,120))</x:f>
        <x:v>0</x:v>
      </x:c>
      <x:c r="Z363" s="23" t="n">
        <x:f>MAX(0,MIN('Activities'!L363,132)-MAX('Activities'!K363,126))</x:f>
        <x:v>0</x:v>
      </x:c>
      <x:c r="AA363" s="23" t="n">
        <x:f>MAX(0,MIN('Activities'!L363,138)-MAX('Activities'!K363,132))</x:f>
        <x:v>0</x:v>
      </x:c>
      <x:c r="AB363" s="23" t="n">
        <x:f>MAX(0,MIN('Activities'!L363,144)-MAX('Activities'!K363,138))</x:f>
        <x:v>0</x:v>
      </x:c>
      <x:c r="AC363" s="23" t="n">
        <x:f>MAX(0,MIN('Activities'!L363,150)-MAX('Activities'!K363,144))</x:f>
        <x:v>0</x:v>
      </x:c>
      <x:c r="AD363" s="23" t="n">
        <x:f>MAX(0,MIN('Activities'!L363,156)-MAX('Activities'!K363,150))</x:f>
        <x:v>0</x:v>
      </x:c>
      <x:c r="AE363" s="23" t="n">
        <x:f>MAX(0,MIN('Activities'!L363,162)-MAX('Activities'!K363,156))</x:f>
        <x:v>0</x:v>
      </x:c>
      <x:c r="AF363" s="23" t="n">
        <x:f>MAX(0,MIN('Activities'!L363,168)-MAX('Activities'!K363,162))</x:f>
        <x:v>0</x:v>
      </x:c>
      <x:c r="AG363" s="23" t="n">
        <x:f>MAX(0,MIN('Activities'!L363,174)-MAX('Activities'!K363,168))</x:f>
        <x:v>0</x:v>
      </x:c>
      <x:c r="AH363" s="23" t="n">
        <x:f>MAX(0,MIN('Activities'!L363,180)-MAX('Activities'!K363,174))</x:f>
        <x:v>0</x:v>
      </x:c>
      <x:c r="AI363" s="23" t="n">
        <x:f>MAX(0,MIN('Activities'!L363,186)-MAX('Activities'!K363,180))</x:f>
        <x:v>0</x:v>
      </x:c>
      <x:c r="AJ363" s="23" t="n">
        <x:f>MAX(0,MIN('Activities'!L363,192)-MAX('Activities'!K363,186))</x:f>
        <x:v>0</x:v>
      </x:c>
      <x:c r="AK363" s="23" t="n">
        <x:f>MAX(0,MIN('Activities'!L363,198)-MAX('Activities'!K363,192))</x:f>
        <x:v>0</x:v>
      </x:c>
      <x:c r="AL363" s="23" t="n">
        <x:f>MAX(0,MIN('Activities'!L363,204)-MAX('Activities'!K363,198))</x:f>
        <x:v>0</x:v>
      </x:c>
      <x:c r="AM363" s="23" t="n">
        <x:f>MAX(0,MIN('Activities'!L363,210)-MAX('Activities'!K363,204))</x:f>
        <x:v>0</x:v>
      </x:c>
      <x:c r="AN363" s="23" t="n">
        <x:f>MAX(0,MIN('Activities'!L363,216)-MAX('Activities'!K363,210))</x:f>
        <x:v>0</x:v>
      </x:c>
      <x:c r="AO363" s="23" t="n">
        <x:f>MAX(0,MIN('Activities'!L363,222)-MAX('Activities'!K363,216))</x:f>
        <x:v>0</x:v>
      </x:c>
      <x:c r="AP363" s="23" t="n">
        <x:f>MAX(0,MIN('Activities'!L363,228)-MAX('Activities'!K363,222))</x:f>
        <x:v>0</x:v>
      </x:c>
      <x:c r="AQ363" s="23" t="n">
        <x:f>MAX(0,MIN('Activities'!L363,234)-MAX('Activities'!K363,228))</x:f>
        <x:v>0</x:v>
      </x:c>
      <x:c r="AR363" s="23" t="n">
        <x:f>MAX(0,MIN('Activities'!L363,240)-MAX('Activities'!K363,234))</x:f>
        <x:v>0</x:v>
      </x:c>
      <x:c r="AS363" s="23" t="n">
        <x:f>MAX(0,MIN('Activities'!L363,246)-MAX('Activities'!K363,240))</x:f>
        <x:v>0</x:v>
      </x:c>
      <x:c r="AT363" s="23" t="n">
        <x:f>MAX(0,MIN('Activities'!L363,252)-MAX('Activities'!K363,246))</x:f>
        <x:v>0</x:v>
      </x:c>
      <x:c r="AU363" s="23" t="n">
        <x:f>MAX(0,MIN('Activities'!L363,258)-MAX('Activities'!K363,252))</x:f>
        <x:v>0</x:v>
      </x:c>
      <x:c r="AV363" s="23" t="n">
        <x:f>MAX(0,MIN('Activities'!L363,264)-MAX('Activities'!K363,258))</x:f>
        <x:v>0</x:v>
      </x:c>
      <x:c r="AW363" s="23" t="n">
        <x:f>MAX(0,MIN('Activities'!L363,270)-MAX('Activities'!K363,264))</x:f>
        <x:v>0</x:v>
      </x:c>
      <x:c r="AX363" s="23" t="n">
        <x:f>MAX(0,MIN('Activities'!L363,276)-MAX('Activities'!K363,270))</x:f>
        <x:v>0</x:v>
      </x:c>
      <x:c r="AY363" s="23" t="n">
        <x:f>MAX(0,MIN('Activities'!L363,282)-MAX('Activities'!K363,276))</x:f>
        <x:v>0</x:v>
      </x:c>
      <x:c r="AZ363" s="23" t="n">
        <x:f>MAX(0,MIN('Activities'!L363,288)-MAX('Activities'!K363,282))</x:f>
        <x:v>0</x:v>
      </x:c>
      <x:c r="BA363" s="23" t="n">
        <x:f>MAX(0,MIN('Activities'!L363,294)-MAX('Activities'!K363,288))</x:f>
        <x:v>0</x:v>
      </x:c>
      <x:c r="BB363" s="23" t="n">
        <x:f>MAX(0,MIN('Activities'!L363,300)-MAX('Activities'!K363,294))</x:f>
        <x:v>0</x:v>
      </x:c>
      <x:c r="BC363" s="23" t="n">
        <x:f>MAX(0,MIN('Activities'!L363,306)-MAX('Activities'!K363,300))</x:f>
        <x:v>0</x:v>
      </x:c>
      <x:c r="BD363" s="23" t="n">
        <x:f>MAX(0,MIN('Activities'!L363,312)-MAX('Activities'!K363,306))</x:f>
        <x:v>0</x:v>
      </x:c>
      <x:c r="BE363" s="23" t="n">
        <x:f>MAX(0,MIN('Activities'!L363,318)-MAX('Activities'!K363,312))</x:f>
        <x:v>0</x:v>
      </x:c>
      <x:c r="BF363" s="23" t="n">
        <x:f>MAX(0,MIN('Activities'!L363,324)-MAX('Activities'!K363,318))</x:f>
        <x:v>1</x:v>
      </x:c>
      <x:c r="BG363" s="23" t="n">
        <x:f>MAX(0,MIN('Activities'!L363,330)-MAX('Activities'!K363,324))</x:f>
        <x:v>2</x:v>
      </x:c>
      <x:c r="BH363" s="23" t="n">
        <x:f>MAX(0,MIN('Activities'!L363,336)-MAX('Activities'!K363,330))</x:f>
        <x:v>0</x:v>
      </x:c>
      <x:c r="BI363" s="23" t="n">
        <x:f>MAX(0,MIN('Activities'!L363,342)-MAX('Activities'!K363,336))</x:f>
        <x:v>0</x:v>
      </x:c>
      <x:c r="BJ363" s="23" t="n">
        <x:f>MAX(0,MIN('Activities'!L363,348)-MAX('Activities'!K363,342))</x:f>
        <x:v>0</x:v>
      </x:c>
      <x:c r="BK363" s="23" t="n">
        <x:f>MAX(0,MIN('Activities'!L363,354)-MAX('Activities'!K363,348))</x:f>
        <x:v>0</x:v>
      </x:c>
      <x:c r="BL363" s="23" t="n">
        <x:f>MAX(0,MIN('Activities'!L363,360)-MAX('Activities'!K363,354))</x:f>
        <x:v>0</x:v>
      </x:c>
      <x:c r="BM363" s="23" t="n">
        <x:f>MAX(0,MIN('Activities'!L363,366)-MAX('Activities'!K363,360))</x:f>
        <x:v>0</x:v>
      </x:c>
      <x:c r="BN363" s="23" t="n">
        <x:f>MAX(0,MIN('Activities'!L363,372)-MAX('Activities'!K363,366))</x:f>
        <x:v>0</x:v>
      </x:c>
      <x:c r="BO363" s="23" t="n">
        <x:f>MAX(0,MIN('Activities'!L363,378)-MAX('Activities'!K363,372))</x:f>
        <x:v>0</x:v>
      </x:c>
      <x:c r="BP363" s="23" t="n">
        <x:f>MAX(0,MIN('Activities'!L363,384)-MAX('Activities'!K363,378))</x:f>
        <x:v>0</x:v>
      </x:c>
      <x:c r="BQ363" s="23" t="n">
        <x:f>MAX(0,MIN('Activities'!L363,390)-MAX('Activities'!K363,384))</x:f>
        <x:v>0</x:v>
      </x:c>
      <x:c r="BR363" s="23" t="n">
        <x:f>MAX(0,MIN('Activities'!L363,396)-MAX('Activities'!K363,390))</x:f>
        <x:v>0</x:v>
      </x:c>
      <x:c r="BS363" s="23" t="n">
        <x:f>MAX(0,MIN('Activities'!L363,402)-MAX('Activities'!K363,396))</x:f>
        <x:v>0</x:v>
      </x:c>
      <x:c r="BT363" s="23" t="n">
        <x:f>MAX(0,MIN('Activities'!L363,408)-MAX('Activities'!K363,402))</x:f>
        <x:v>0</x:v>
      </x:c>
      <x:c r="BU363" s="23" t="n">
        <x:f>MAX(0,MIN('Activities'!L363,414)-MAX('Activities'!K363,408))</x:f>
        <x:v>0</x:v>
      </x:c>
      <x:c r="BV363" s="23" t="n">
        <x:f>MAX(0,MIN('Activities'!L363,420)-MAX('Activities'!K363,414))</x:f>
        <x:v>0</x:v>
      </x:c>
      <x:c r="BW363" s="23" t="n">
        <x:f>MAX(0,MIN('Activities'!L363,426)-MAX('Activities'!K363,420))</x:f>
        <x:v>0</x:v>
      </x:c>
      <x:c r="BX363" s="23" t="n">
        <x:f>MAX(0,MIN('Activities'!L363,432)-MAX('Activities'!K363,426))</x:f>
        <x:v>0</x:v>
      </x:c>
      <x:c r="BY363" s="23" t="n">
        <x:f>MAX(0,MIN('Activities'!L363,438)-MAX('Activities'!K363,432))</x:f>
        <x:v>0</x:v>
      </x:c>
      <x:c r="BZ363" s="23" t="n">
        <x:f>MAX(0,MIN('Activities'!L363,444)-MAX('Activities'!K363,438))</x:f>
        <x:v>0</x:v>
      </x:c>
      <x:c r="CA363" s="23" t="n">
        <x:f>MAX(0,MIN('Activities'!L363,450)-MAX('Activities'!K363,444))</x:f>
        <x:v>0</x:v>
      </x:c>
      <x:c r="CB363" s="23" t="n">
        <x:f>MAX(0,MIN('Activities'!L363,456)-MAX('Activities'!K363,450))</x:f>
        <x:v>0</x:v>
      </x:c>
      <x:c r="CC363" s="23" t="n">
        <x:f>MAX(0,MIN('Activities'!L363,462)-MAX('Activities'!K363,456))</x:f>
        <x:v>0</x:v>
      </x:c>
      <x:c r="CD363" s="23" t="n">
        <x:f>MAX(0,MIN('Activities'!L363,468)-MAX('Activities'!K363,462))</x:f>
        <x:v>0</x:v>
      </x:c>
      <x:c r="CE363" s="23" t="n">
        <x:f>MAX(0,MIN('Activities'!L363,474)-MAX('Activities'!K363,468))</x:f>
        <x:v>0</x:v>
      </x:c>
      <x:c r="CF363" s="23" t="n">
        <x:f>MAX(0,MIN('Activities'!L363,480)-MAX('Activities'!K363,474))</x:f>
        <x:v>0</x:v>
      </x:c>
      <x:c r="CG363" s="23" t="n">
        <x:f>MAX(0,MIN('Activities'!L363,486)-MAX('Activities'!K363,480))</x:f>
        <x:v>0</x:v>
      </x:c>
      <x:c r="CH363" s="23" t="n">
        <x:f>MAX(0,MIN('Activities'!L363,492)-MAX('Activities'!K363,486))</x:f>
        <x:v>0</x:v>
      </x:c>
      <x:c r="CI363" s="23" t="n">
        <x:f>MAX(0,MIN('Activities'!L363,498)-MAX('Activities'!K363,492))</x:f>
        <x:v>0</x:v>
      </x:c>
      <x:c r="CJ363" s="23" t="n">
        <x:f>MAX(0,MIN('Activities'!L363,504)-MAX('Activities'!K363,498))</x:f>
        <x:v>0</x:v>
      </x:c>
      <x:c r="CK363" s="23" t="n">
        <x:f>MAX(0,MIN('Activities'!L363,510)-MAX('Activities'!K363,504))</x:f>
        <x:v>0</x:v>
      </x:c>
      <x:c r="CL363" s="23" t="n">
        <x:f>MAX(0,MIN('Activities'!L363,516)-MAX('Activities'!K363,510))</x:f>
        <x:v>0</x:v>
      </x:c>
      <x:c r="CM363" s="23" t="n">
        <x:f>MAX(0,MIN('Activities'!L363,522)-MAX('Activities'!K363,516))</x:f>
        <x:v>0</x:v>
      </x:c>
      <x:c r="CN363" s="23" t="n">
        <x:f>MAX(0,MIN('Activities'!L363,528)-MAX('Activities'!K363,522))</x:f>
        <x:v>0</x:v>
      </x:c>
      <x:c r="CO363" s="23" t="n">
        <x:f>MAX(0,MIN('Activities'!L363,534)-MAX('Activities'!K363,528))</x:f>
        <x:v>0</x:v>
      </x:c>
      <x:c r="CP363" s="23" t="n">
        <x:f>MAX(0,MIN('Activities'!L363,540)-MAX('Activities'!K363,534))</x:f>
        <x:v>0</x:v>
      </x:c>
      <x:c r="CQ363" s="23" t="n">
        <x:f>MAX(0,MIN('Activities'!L363,546)-MAX('Activities'!K363,540))</x:f>
        <x:v>0</x:v>
      </x:c>
      <x:c r="CR363" s="23" t="n">
        <x:f>MAX(0,MIN('Activities'!L363,552)-MAX('Activities'!K363,546))</x:f>
        <x:v>0</x:v>
      </x:c>
      <x:c r="CS363" s="23" t="n">
        <x:f>MAX(0,MIN('Activities'!L363,558)-MAX('Activities'!K363,552))</x:f>
        <x:v>0</x:v>
      </x:c>
      <x:c r="CT363" s="23" t="n">
        <x:f>MAX(0,MIN('Activities'!L363,564)-MAX('Activities'!K363,558))</x:f>
        <x:v>0</x:v>
      </x:c>
      <x:c r="CU363" s="23" t="n">
        <x:f>MAX(0,MIN('Activities'!L363,570)-MAX('Activities'!K363,564))</x:f>
        <x:v>0</x:v>
      </x:c>
      <x:c r="CV363" s="23" t="n">
        <x:f>MAX(0,MIN('Activities'!L363,576)-MAX('Activities'!K363,570))</x:f>
        <x:v>0</x:v>
      </x:c>
      <x:c r="CW363" s="23" t="n">
        <x:f>MAX(0,MIN('Activities'!L363,582)-MAX('Activities'!K363,576))</x:f>
        <x:v>0</x:v>
      </x:c>
      <x:c r="CX363" s="23" t="n">
        <x:f>MAX(0,MIN('Activities'!L363,588)-MAX('Activities'!K363,582))</x:f>
        <x:v>0</x:v>
      </x:c>
      <x:c r="CY363" s="23" t="n">
        <x:f>MAX(0,MIN('Activities'!L363,594)-MAX('Activities'!K363,588))</x:f>
        <x:v>0</x:v>
      </x:c>
      <x:c r="CZ363" s="23" t="n">
        <x:f>MAX(0,MIN('Activities'!L363,600)-MAX('Activities'!K363,594))</x:f>
        <x:v>0</x:v>
      </x:c>
      <x:c r="DA363" s="23" t="n">
        <x:f>MAX(0,MIN('Activities'!L363,606)-MAX('Activities'!K363,600))</x:f>
        <x:v>0</x:v>
      </x:c>
      <x:c r="DB363" s="23" t="n">
        <x:f>MAX(0,MIN('Activities'!L363,612)-MAX('Activities'!K363,606))</x:f>
        <x:v>0</x:v>
      </x:c>
      <x:c r="DC363" s="23" t="n">
        <x:f>MAX(0,MIN('Activities'!L363,618)-MAX('Activities'!K363,612))</x:f>
        <x:v>0</x:v>
      </x:c>
      <x:c r="DD363" s="23" t="n">
        <x:f>MAX(0,MIN('Activities'!L363,624)-MAX('Activities'!K363,618))</x:f>
        <x:v>0</x:v>
      </x:c>
      <x:c r="DE363" s="23" t="n">
        <x:f>MAX(0,MIN('Activities'!L363,630)-MAX('Activities'!K363,624))</x:f>
        <x:v>0</x:v>
      </x:c>
      <x:c r="DF363" s="23" t="n">
        <x:f>MAX(0,MIN('Activities'!L363,636)-MAX('Activities'!K363,630))</x:f>
        <x:v>0</x:v>
      </x:c>
    </x:row>
    <x:row r="364" ht="23" customHeight="1">
      <x:c r="A364" s="6" t="str">
        <x:v>T3-L04-T</x:v>
      </x:c>
      <x:c r="B364" s="6" t="str">
        <x:v>T3</x:v>
      </x:c>
      <x:c r="C364" s="6" t="str">
        <x:v>Floor finishes and skirtings</x:v>
      </x:c>
      <x:c r="D364" s="6" t="str">
        <x:v>Finishes</x:v>
      </x:c>
      <x:c r="E364" s="22" t="n">
        <x:f>MAX(0,MIN('Activities'!L364,6)-MAX('Activities'!K364,0))</x:f>
        <x:v>0</x:v>
      </x:c>
      <x:c r="F364" s="22" t="n">
        <x:f>MAX(0,MIN('Activities'!L364,12)-MAX('Activities'!K364,6))</x:f>
        <x:v>0</x:v>
      </x:c>
      <x:c r="G364" s="22" t="n">
        <x:f>MAX(0,MIN('Activities'!L364,18)-MAX('Activities'!K364,12))</x:f>
        <x:v>0</x:v>
      </x:c>
      <x:c r="H364" s="22" t="n">
        <x:f>MAX(0,MIN('Activities'!L364,24)-MAX('Activities'!K364,18))</x:f>
        <x:v>0</x:v>
      </x:c>
      <x:c r="I364" s="22" t="n">
        <x:f>MAX(0,MIN('Activities'!L364,30)-MAX('Activities'!K364,24))</x:f>
        <x:v>0</x:v>
      </x:c>
      <x:c r="J364" s="22" t="n">
        <x:f>MAX(0,MIN('Activities'!L364,36)-MAX('Activities'!K364,30))</x:f>
        <x:v>0</x:v>
      </x:c>
      <x:c r="K364" s="22" t="n">
        <x:f>MAX(0,MIN('Activities'!L364,42)-MAX('Activities'!K364,36))</x:f>
        <x:v>0</x:v>
      </x:c>
      <x:c r="L364" s="22" t="n">
        <x:f>MAX(0,MIN('Activities'!L364,48)-MAX('Activities'!K364,42))</x:f>
        <x:v>0</x:v>
      </x:c>
      <x:c r="M364" s="22" t="n">
        <x:f>MAX(0,MIN('Activities'!L364,54)-MAX('Activities'!K364,48))</x:f>
        <x:v>0</x:v>
      </x:c>
      <x:c r="N364" s="22" t="n">
        <x:f>MAX(0,MIN('Activities'!L364,60)-MAX('Activities'!K364,54))</x:f>
        <x:v>0</x:v>
      </x:c>
      <x:c r="O364" s="22" t="n">
        <x:f>MAX(0,MIN('Activities'!L364,66)-MAX('Activities'!K364,60))</x:f>
        <x:v>0</x:v>
      </x:c>
      <x:c r="P364" s="22" t="n">
        <x:f>MAX(0,MIN('Activities'!L364,72)-MAX('Activities'!K364,66))</x:f>
        <x:v>0</x:v>
      </x:c>
      <x:c r="Q364" s="22" t="n">
        <x:f>MAX(0,MIN('Activities'!L364,78)-MAX('Activities'!K364,72))</x:f>
        <x:v>0</x:v>
      </x:c>
      <x:c r="R364" s="22" t="n">
        <x:f>MAX(0,MIN('Activities'!L364,84)-MAX('Activities'!K364,78))</x:f>
        <x:v>0</x:v>
      </x:c>
      <x:c r="S364" s="22" t="n">
        <x:f>MAX(0,MIN('Activities'!L364,90)-MAX('Activities'!K364,84))</x:f>
        <x:v>0</x:v>
      </x:c>
      <x:c r="T364" s="22" t="n">
        <x:f>MAX(0,MIN('Activities'!L364,96)-MAX('Activities'!K364,90))</x:f>
        <x:v>0</x:v>
      </x:c>
      <x:c r="U364" s="22" t="n">
        <x:f>MAX(0,MIN('Activities'!L364,102)-MAX('Activities'!K364,96))</x:f>
        <x:v>0</x:v>
      </x:c>
      <x:c r="V364" s="22" t="n">
        <x:f>MAX(0,MIN('Activities'!L364,108)-MAX('Activities'!K364,102))</x:f>
        <x:v>0</x:v>
      </x:c>
      <x:c r="W364" s="22" t="n">
        <x:f>MAX(0,MIN('Activities'!L364,114)-MAX('Activities'!K364,108))</x:f>
        <x:v>0</x:v>
      </x:c>
      <x:c r="X364" s="22" t="n">
        <x:f>MAX(0,MIN('Activities'!L364,120)-MAX('Activities'!K364,114))</x:f>
        <x:v>0</x:v>
      </x:c>
      <x:c r="Y364" s="22" t="n">
        <x:f>MAX(0,MIN('Activities'!L364,126)-MAX('Activities'!K364,120))</x:f>
        <x:v>0</x:v>
      </x:c>
      <x:c r="Z364" s="22" t="n">
        <x:f>MAX(0,MIN('Activities'!L364,132)-MAX('Activities'!K364,126))</x:f>
        <x:v>0</x:v>
      </x:c>
      <x:c r="AA364" s="22" t="n">
        <x:f>MAX(0,MIN('Activities'!L364,138)-MAX('Activities'!K364,132))</x:f>
        <x:v>0</x:v>
      </x:c>
      <x:c r="AB364" s="22" t="n">
        <x:f>MAX(0,MIN('Activities'!L364,144)-MAX('Activities'!K364,138))</x:f>
        <x:v>0</x:v>
      </x:c>
      <x:c r="AC364" s="22" t="n">
        <x:f>MAX(0,MIN('Activities'!L364,150)-MAX('Activities'!K364,144))</x:f>
        <x:v>0</x:v>
      </x:c>
      <x:c r="AD364" s="22" t="n">
        <x:f>MAX(0,MIN('Activities'!L364,156)-MAX('Activities'!K364,150))</x:f>
        <x:v>0</x:v>
      </x:c>
      <x:c r="AE364" s="22" t="n">
        <x:f>MAX(0,MIN('Activities'!L364,162)-MAX('Activities'!K364,156))</x:f>
        <x:v>0</x:v>
      </x:c>
      <x:c r="AF364" s="22" t="n">
        <x:f>MAX(0,MIN('Activities'!L364,168)-MAX('Activities'!K364,162))</x:f>
        <x:v>0</x:v>
      </x:c>
      <x:c r="AG364" s="22" t="n">
        <x:f>MAX(0,MIN('Activities'!L364,174)-MAX('Activities'!K364,168))</x:f>
        <x:v>0</x:v>
      </x:c>
      <x:c r="AH364" s="22" t="n">
        <x:f>MAX(0,MIN('Activities'!L364,180)-MAX('Activities'!K364,174))</x:f>
        <x:v>0</x:v>
      </x:c>
      <x:c r="AI364" s="22" t="n">
        <x:f>MAX(0,MIN('Activities'!L364,186)-MAX('Activities'!K364,180))</x:f>
        <x:v>0</x:v>
      </x:c>
      <x:c r="AJ364" s="22" t="n">
        <x:f>MAX(0,MIN('Activities'!L364,192)-MAX('Activities'!K364,186))</x:f>
        <x:v>0</x:v>
      </x:c>
      <x:c r="AK364" s="22" t="n">
        <x:f>MAX(0,MIN('Activities'!L364,198)-MAX('Activities'!K364,192))</x:f>
        <x:v>0</x:v>
      </x:c>
      <x:c r="AL364" s="22" t="n">
        <x:f>MAX(0,MIN('Activities'!L364,204)-MAX('Activities'!K364,198))</x:f>
        <x:v>0</x:v>
      </x:c>
      <x:c r="AM364" s="22" t="n">
        <x:f>MAX(0,MIN('Activities'!L364,210)-MAX('Activities'!K364,204))</x:f>
        <x:v>0</x:v>
      </x:c>
      <x:c r="AN364" s="22" t="n">
        <x:f>MAX(0,MIN('Activities'!L364,216)-MAX('Activities'!K364,210))</x:f>
        <x:v>0</x:v>
      </x:c>
      <x:c r="AO364" s="22" t="n">
        <x:f>MAX(0,MIN('Activities'!L364,222)-MAX('Activities'!K364,216))</x:f>
        <x:v>0</x:v>
      </x:c>
      <x:c r="AP364" s="22" t="n">
        <x:f>MAX(0,MIN('Activities'!L364,228)-MAX('Activities'!K364,222))</x:f>
        <x:v>0</x:v>
      </x:c>
      <x:c r="AQ364" s="22" t="n">
        <x:f>MAX(0,MIN('Activities'!L364,234)-MAX('Activities'!K364,228))</x:f>
        <x:v>0</x:v>
      </x:c>
      <x:c r="AR364" s="22" t="n">
        <x:f>MAX(0,MIN('Activities'!L364,240)-MAX('Activities'!K364,234))</x:f>
        <x:v>0</x:v>
      </x:c>
      <x:c r="AS364" s="22" t="n">
        <x:f>MAX(0,MIN('Activities'!L364,246)-MAX('Activities'!K364,240))</x:f>
        <x:v>0</x:v>
      </x:c>
      <x:c r="AT364" s="22" t="n">
        <x:f>MAX(0,MIN('Activities'!L364,252)-MAX('Activities'!K364,246))</x:f>
        <x:v>0</x:v>
      </x:c>
      <x:c r="AU364" s="22" t="n">
        <x:f>MAX(0,MIN('Activities'!L364,258)-MAX('Activities'!K364,252))</x:f>
        <x:v>0</x:v>
      </x:c>
      <x:c r="AV364" s="22" t="n">
        <x:f>MAX(0,MIN('Activities'!L364,264)-MAX('Activities'!K364,258))</x:f>
        <x:v>0</x:v>
      </x:c>
      <x:c r="AW364" s="22" t="n">
        <x:f>MAX(0,MIN('Activities'!L364,270)-MAX('Activities'!K364,264))</x:f>
        <x:v>0</x:v>
      </x:c>
      <x:c r="AX364" s="22" t="n">
        <x:f>MAX(0,MIN('Activities'!L364,276)-MAX('Activities'!K364,270))</x:f>
        <x:v>0</x:v>
      </x:c>
      <x:c r="AY364" s="22" t="n">
        <x:f>MAX(0,MIN('Activities'!L364,282)-MAX('Activities'!K364,276))</x:f>
        <x:v>0</x:v>
      </x:c>
      <x:c r="AZ364" s="22" t="n">
        <x:f>MAX(0,MIN('Activities'!L364,288)-MAX('Activities'!K364,282))</x:f>
        <x:v>0</x:v>
      </x:c>
      <x:c r="BA364" s="22" t="n">
        <x:f>MAX(0,MIN('Activities'!L364,294)-MAX('Activities'!K364,288))</x:f>
        <x:v>0</x:v>
      </x:c>
      <x:c r="BB364" s="22" t="n">
        <x:f>MAX(0,MIN('Activities'!L364,300)-MAX('Activities'!K364,294))</x:f>
        <x:v>0</x:v>
      </x:c>
      <x:c r="BC364" s="22" t="n">
        <x:f>MAX(0,MIN('Activities'!L364,306)-MAX('Activities'!K364,300))</x:f>
        <x:v>0</x:v>
      </x:c>
      <x:c r="BD364" s="22" t="n">
        <x:f>MAX(0,MIN('Activities'!L364,312)-MAX('Activities'!K364,306))</x:f>
        <x:v>0</x:v>
      </x:c>
      <x:c r="BE364" s="22" t="n">
        <x:f>MAX(0,MIN('Activities'!L364,318)-MAX('Activities'!K364,312))</x:f>
        <x:v>0</x:v>
      </x:c>
      <x:c r="BF364" s="22" t="n">
        <x:f>MAX(0,MIN('Activities'!L364,324)-MAX('Activities'!K364,318))</x:f>
        <x:v>0</x:v>
      </x:c>
      <x:c r="BG364" s="22" t="n">
        <x:f>MAX(0,MIN('Activities'!L364,330)-MAX('Activities'!K364,324))</x:f>
        <x:v>0</x:v>
      </x:c>
      <x:c r="BH364" s="22" t="n">
        <x:f>MAX(0,MIN('Activities'!L364,336)-MAX('Activities'!K364,330))</x:f>
        <x:v>0</x:v>
      </x:c>
      <x:c r="BI364" s="22" t="n">
        <x:f>MAX(0,MIN('Activities'!L364,342)-MAX('Activities'!K364,336))</x:f>
        <x:v>0</x:v>
      </x:c>
      <x:c r="BJ364" s="22" t="n">
        <x:f>MAX(0,MIN('Activities'!L364,348)-MAX('Activities'!K364,342))</x:f>
        <x:v>0</x:v>
      </x:c>
      <x:c r="BK364" s="22" t="n">
        <x:f>MAX(0,MIN('Activities'!L364,354)-MAX('Activities'!K364,348))</x:f>
        <x:v>0</x:v>
      </x:c>
      <x:c r="BL364" s="22" t="n">
        <x:f>MAX(0,MIN('Activities'!L364,360)-MAX('Activities'!K364,354))</x:f>
        <x:v>0</x:v>
      </x:c>
      <x:c r="BM364" s="22" t="n">
        <x:f>MAX(0,MIN('Activities'!L364,366)-MAX('Activities'!K364,360))</x:f>
        <x:v>0</x:v>
      </x:c>
      <x:c r="BN364" s="22" t="n">
        <x:f>MAX(0,MIN('Activities'!L364,372)-MAX('Activities'!K364,366))</x:f>
        <x:v>0</x:v>
      </x:c>
      <x:c r="BO364" s="22" t="n">
        <x:f>MAX(0,MIN('Activities'!L364,378)-MAX('Activities'!K364,372))</x:f>
        <x:v>0</x:v>
      </x:c>
      <x:c r="BP364" s="22" t="n">
        <x:f>MAX(0,MIN('Activities'!L364,384)-MAX('Activities'!K364,378))</x:f>
        <x:v>0</x:v>
      </x:c>
      <x:c r="BQ364" s="22" t="n">
        <x:f>MAX(0,MIN('Activities'!L364,390)-MAX('Activities'!K364,384))</x:f>
        <x:v>0</x:v>
      </x:c>
      <x:c r="BR364" s="22" t="n">
        <x:f>MAX(0,MIN('Activities'!L364,396)-MAX('Activities'!K364,390))</x:f>
        <x:v>0</x:v>
      </x:c>
      <x:c r="BS364" s="22" t="n">
        <x:f>MAX(0,MIN('Activities'!L364,402)-MAX('Activities'!K364,396))</x:f>
        <x:v>0</x:v>
      </x:c>
      <x:c r="BT364" s="22" t="n">
        <x:f>MAX(0,MIN('Activities'!L364,408)-MAX('Activities'!K364,402))</x:f>
        <x:v>0</x:v>
      </x:c>
      <x:c r="BU364" s="22" t="n">
        <x:f>MAX(0,MIN('Activities'!L364,414)-MAX('Activities'!K364,408))</x:f>
        <x:v>0</x:v>
      </x:c>
      <x:c r="BV364" s="22" t="n">
        <x:f>MAX(0,MIN('Activities'!L364,420)-MAX('Activities'!K364,414))</x:f>
        <x:v>0</x:v>
      </x:c>
      <x:c r="BW364" s="22" t="n">
        <x:f>MAX(0,MIN('Activities'!L364,426)-MAX('Activities'!K364,420))</x:f>
        <x:v>1</x:v>
      </x:c>
      <x:c r="BX364" s="22" t="n">
        <x:f>MAX(0,MIN('Activities'!L364,432)-MAX('Activities'!K364,426))</x:f>
        <x:v>5</x:v>
      </x:c>
      <x:c r="BY364" s="22" t="n">
        <x:f>MAX(0,MIN('Activities'!L364,438)-MAX('Activities'!K364,432))</x:f>
        <x:v>0</x:v>
      </x:c>
      <x:c r="BZ364" s="22" t="n">
        <x:f>MAX(0,MIN('Activities'!L364,444)-MAX('Activities'!K364,438))</x:f>
        <x:v>0</x:v>
      </x:c>
      <x:c r="CA364" s="22" t="n">
        <x:f>MAX(0,MIN('Activities'!L364,450)-MAX('Activities'!K364,444))</x:f>
        <x:v>0</x:v>
      </x:c>
      <x:c r="CB364" s="22" t="n">
        <x:f>MAX(0,MIN('Activities'!L364,456)-MAX('Activities'!K364,450))</x:f>
        <x:v>0</x:v>
      </x:c>
      <x:c r="CC364" s="22" t="n">
        <x:f>MAX(0,MIN('Activities'!L364,462)-MAX('Activities'!K364,456))</x:f>
        <x:v>0</x:v>
      </x:c>
      <x:c r="CD364" s="22" t="n">
        <x:f>MAX(0,MIN('Activities'!L364,468)-MAX('Activities'!K364,462))</x:f>
        <x:v>0</x:v>
      </x:c>
      <x:c r="CE364" s="22" t="n">
        <x:f>MAX(0,MIN('Activities'!L364,474)-MAX('Activities'!K364,468))</x:f>
        <x:v>0</x:v>
      </x:c>
      <x:c r="CF364" s="22" t="n">
        <x:f>MAX(0,MIN('Activities'!L364,480)-MAX('Activities'!K364,474))</x:f>
        <x:v>0</x:v>
      </x:c>
      <x:c r="CG364" s="22" t="n">
        <x:f>MAX(0,MIN('Activities'!L364,486)-MAX('Activities'!K364,480))</x:f>
        <x:v>0</x:v>
      </x:c>
      <x:c r="CH364" s="22" t="n">
        <x:f>MAX(0,MIN('Activities'!L364,492)-MAX('Activities'!K364,486))</x:f>
        <x:v>0</x:v>
      </x:c>
      <x:c r="CI364" s="22" t="n">
        <x:f>MAX(0,MIN('Activities'!L364,498)-MAX('Activities'!K364,492))</x:f>
        <x:v>0</x:v>
      </x:c>
      <x:c r="CJ364" s="22" t="n">
        <x:f>MAX(0,MIN('Activities'!L364,504)-MAX('Activities'!K364,498))</x:f>
        <x:v>0</x:v>
      </x:c>
      <x:c r="CK364" s="22" t="n">
        <x:f>MAX(0,MIN('Activities'!L364,510)-MAX('Activities'!K364,504))</x:f>
        <x:v>0</x:v>
      </x:c>
      <x:c r="CL364" s="22" t="n">
        <x:f>MAX(0,MIN('Activities'!L364,516)-MAX('Activities'!K364,510))</x:f>
        <x:v>0</x:v>
      </x:c>
      <x:c r="CM364" s="22" t="n">
        <x:f>MAX(0,MIN('Activities'!L364,522)-MAX('Activities'!K364,516))</x:f>
        <x:v>0</x:v>
      </x:c>
      <x:c r="CN364" s="22" t="n">
        <x:f>MAX(0,MIN('Activities'!L364,528)-MAX('Activities'!K364,522))</x:f>
        <x:v>0</x:v>
      </x:c>
      <x:c r="CO364" s="22" t="n">
        <x:f>MAX(0,MIN('Activities'!L364,534)-MAX('Activities'!K364,528))</x:f>
        <x:v>0</x:v>
      </x:c>
      <x:c r="CP364" s="22" t="n">
        <x:f>MAX(0,MIN('Activities'!L364,540)-MAX('Activities'!K364,534))</x:f>
        <x:v>0</x:v>
      </x:c>
      <x:c r="CQ364" s="22" t="n">
        <x:f>MAX(0,MIN('Activities'!L364,546)-MAX('Activities'!K364,540))</x:f>
        <x:v>0</x:v>
      </x:c>
      <x:c r="CR364" s="22" t="n">
        <x:f>MAX(0,MIN('Activities'!L364,552)-MAX('Activities'!K364,546))</x:f>
        <x:v>0</x:v>
      </x:c>
      <x:c r="CS364" s="22" t="n">
        <x:f>MAX(0,MIN('Activities'!L364,558)-MAX('Activities'!K364,552))</x:f>
        <x:v>0</x:v>
      </x:c>
      <x:c r="CT364" s="22" t="n">
        <x:f>MAX(0,MIN('Activities'!L364,564)-MAX('Activities'!K364,558))</x:f>
        <x:v>0</x:v>
      </x:c>
      <x:c r="CU364" s="22" t="n">
        <x:f>MAX(0,MIN('Activities'!L364,570)-MAX('Activities'!K364,564))</x:f>
        <x:v>0</x:v>
      </x:c>
      <x:c r="CV364" s="22" t="n">
        <x:f>MAX(0,MIN('Activities'!L364,576)-MAX('Activities'!K364,570))</x:f>
        <x:v>0</x:v>
      </x:c>
      <x:c r="CW364" s="22" t="n">
        <x:f>MAX(0,MIN('Activities'!L364,582)-MAX('Activities'!K364,576))</x:f>
        <x:v>0</x:v>
      </x:c>
      <x:c r="CX364" s="22" t="n">
        <x:f>MAX(0,MIN('Activities'!L364,588)-MAX('Activities'!K364,582))</x:f>
        <x:v>0</x:v>
      </x:c>
      <x:c r="CY364" s="22" t="n">
        <x:f>MAX(0,MIN('Activities'!L364,594)-MAX('Activities'!K364,588))</x:f>
        <x:v>0</x:v>
      </x:c>
      <x:c r="CZ364" s="22" t="n">
        <x:f>MAX(0,MIN('Activities'!L364,600)-MAX('Activities'!K364,594))</x:f>
        <x:v>0</x:v>
      </x:c>
      <x:c r="DA364" s="22" t="n">
        <x:f>MAX(0,MIN('Activities'!L364,606)-MAX('Activities'!K364,600))</x:f>
        <x:v>0</x:v>
      </x:c>
      <x:c r="DB364" s="22" t="n">
        <x:f>MAX(0,MIN('Activities'!L364,612)-MAX('Activities'!K364,606))</x:f>
        <x:v>0</x:v>
      </x:c>
      <x:c r="DC364" s="22" t="n">
        <x:f>MAX(0,MIN('Activities'!L364,618)-MAX('Activities'!K364,612))</x:f>
        <x:v>0</x:v>
      </x:c>
      <x:c r="DD364" s="22" t="n">
        <x:f>MAX(0,MIN('Activities'!L364,624)-MAX('Activities'!K364,618))</x:f>
        <x:v>0</x:v>
      </x:c>
      <x:c r="DE364" s="22" t="n">
        <x:f>MAX(0,MIN('Activities'!L364,630)-MAX('Activities'!K364,624))</x:f>
        <x:v>0</x:v>
      </x:c>
      <x:c r="DF364" s="22" t="n">
        <x:f>MAX(0,MIN('Activities'!L364,636)-MAX('Activities'!K364,630))</x:f>
        <x:v>0</x:v>
      </x:c>
    </x:row>
    <x:row r="365" ht="23" customHeight="1">
      <x:c r="A365" s="1" t="str">
        <x:v>T3-L04-A</x:v>
      </x:c>
      <x:c r="B365" s="1" t="str">
        <x:v>T3</x:v>
      </x:c>
      <x:c r="C365" s="1" t="str">
        <x:v>Paint and final decorations</x:v>
      </x:c>
      <x:c r="D365" s="1" t="str">
        <x:v>Finishes</x:v>
      </x:c>
      <x:c r="E365" s="23" t="n">
        <x:f>MAX(0,MIN('Activities'!L365,6)-MAX('Activities'!K365,0))</x:f>
        <x:v>0</x:v>
      </x:c>
      <x:c r="F365" s="23" t="n">
        <x:f>MAX(0,MIN('Activities'!L365,12)-MAX('Activities'!K365,6))</x:f>
        <x:v>0</x:v>
      </x:c>
      <x:c r="G365" s="23" t="n">
        <x:f>MAX(0,MIN('Activities'!L365,18)-MAX('Activities'!K365,12))</x:f>
        <x:v>0</x:v>
      </x:c>
      <x:c r="H365" s="23" t="n">
        <x:f>MAX(0,MIN('Activities'!L365,24)-MAX('Activities'!K365,18))</x:f>
        <x:v>0</x:v>
      </x:c>
      <x:c r="I365" s="23" t="n">
        <x:f>MAX(0,MIN('Activities'!L365,30)-MAX('Activities'!K365,24))</x:f>
        <x:v>0</x:v>
      </x:c>
      <x:c r="J365" s="23" t="n">
        <x:f>MAX(0,MIN('Activities'!L365,36)-MAX('Activities'!K365,30))</x:f>
        <x:v>0</x:v>
      </x:c>
      <x:c r="K365" s="23" t="n">
        <x:f>MAX(0,MIN('Activities'!L365,42)-MAX('Activities'!K365,36))</x:f>
        <x:v>0</x:v>
      </x:c>
      <x:c r="L365" s="23" t="n">
        <x:f>MAX(0,MIN('Activities'!L365,48)-MAX('Activities'!K365,42))</x:f>
        <x:v>0</x:v>
      </x:c>
      <x:c r="M365" s="23" t="n">
        <x:f>MAX(0,MIN('Activities'!L365,54)-MAX('Activities'!K365,48))</x:f>
        <x:v>0</x:v>
      </x:c>
      <x:c r="N365" s="23" t="n">
        <x:f>MAX(0,MIN('Activities'!L365,60)-MAX('Activities'!K365,54))</x:f>
        <x:v>0</x:v>
      </x:c>
      <x:c r="O365" s="23" t="n">
        <x:f>MAX(0,MIN('Activities'!L365,66)-MAX('Activities'!K365,60))</x:f>
        <x:v>0</x:v>
      </x:c>
      <x:c r="P365" s="23" t="n">
        <x:f>MAX(0,MIN('Activities'!L365,72)-MAX('Activities'!K365,66))</x:f>
        <x:v>0</x:v>
      </x:c>
      <x:c r="Q365" s="23" t="n">
        <x:f>MAX(0,MIN('Activities'!L365,78)-MAX('Activities'!K365,72))</x:f>
        <x:v>0</x:v>
      </x:c>
      <x:c r="R365" s="23" t="n">
        <x:f>MAX(0,MIN('Activities'!L365,84)-MAX('Activities'!K365,78))</x:f>
        <x:v>0</x:v>
      </x:c>
      <x:c r="S365" s="23" t="n">
        <x:f>MAX(0,MIN('Activities'!L365,90)-MAX('Activities'!K365,84))</x:f>
        <x:v>0</x:v>
      </x:c>
      <x:c r="T365" s="23" t="n">
        <x:f>MAX(0,MIN('Activities'!L365,96)-MAX('Activities'!K365,90))</x:f>
        <x:v>0</x:v>
      </x:c>
      <x:c r="U365" s="23" t="n">
        <x:f>MAX(0,MIN('Activities'!L365,102)-MAX('Activities'!K365,96))</x:f>
        <x:v>0</x:v>
      </x:c>
      <x:c r="V365" s="23" t="n">
        <x:f>MAX(0,MIN('Activities'!L365,108)-MAX('Activities'!K365,102))</x:f>
        <x:v>0</x:v>
      </x:c>
      <x:c r="W365" s="23" t="n">
        <x:f>MAX(0,MIN('Activities'!L365,114)-MAX('Activities'!K365,108))</x:f>
        <x:v>0</x:v>
      </x:c>
      <x:c r="X365" s="23" t="n">
        <x:f>MAX(0,MIN('Activities'!L365,120)-MAX('Activities'!K365,114))</x:f>
        <x:v>0</x:v>
      </x:c>
      <x:c r="Y365" s="23" t="n">
        <x:f>MAX(0,MIN('Activities'!L365,126)-MAX('Activities'!K365,120))</x:f>
        <x:v>0</x:v>
      </x:c>
      <x:c r="Z365" s="23" t="n">
        <x:f>MAX(0,MIN('Activities'!L365,132)-MAX('Activities'!K365,126))</x:f>
        <x:v>0</x:v>
      </x:c>
      <x:c r="AA365" s="23" t="n">
        <x:f>MAX(0,MIN('Activities'!L365,138)-MAX('Activities'!K365,132))</x:f>
        <x:v>0</x:v>
      </x:c>
      <x:c r="AB365" s="23" t="n">
        <x:f>MAX(0,MIN('Activities'!L365,144)-MAX('Activities'!K365,138))</x:f>
        <x:v>0</x:v>
      </x:c>
      <x:c r="AC365" s="23" t="n">
        <x:f>MAX(0,MIN('Activities'!L365,150)-MAX('Activities'!K365,144))</x:f>
        <x:v>0</x:v>
      </x:c>
      <x:c r="AD365" s="23" t="n">
        <x:f>MAX(0,MIN('Activities'!L365,156)-MAX('Activities'!K365,150))</x:f>
        <x:v>0</x:v>
      </x:c>
      <x:c r="AE365" s="23" t="n">
        <x:f>MAX(0,MIN('Activities'!L365,162)-MAX('Activities'!K365,156))</x:f>
        <x:v>0</x:v>
      </x:c>
      <x:c r="AF365" s="23" t="n">
        <x:f>MAX(0,MIN('Activities'!L365,168)-MAX('Activities'!K365,162))</x:f>
        <x:v>0</x:v>
      </x:c>
      <x:c r="AG365" s="23" t="n">
        <x:f>MAX(0,MIN('Activities'!L365,174)-MAX('Activities'!K365,168))</x:f>
        <x:v>0</x:v>
      </x:c>
      <x:c r="AH365" s="23" t="n">
        <x:f>MAX(0,MIN('Activities'!L365,180)-MAX('Activities'!K365,174))</x:f>
        <x:v>0</x:v>
      </x:c>
      <x:c r="AI365" s="23" t="n">
        <x:f>MAX(0,MIN('Activities'!L365,186)-MAX('Activities'!K365,180))</x:f>
        <x:v>0</x:v>
      </x:c>
      <x:c r="AJ365" s="23" t="n">
        <x:f>MAX(0,MIN('Activities'!L365,192)-MAX('Activities'!K365,186))</x:f>
        <x:v>0</x:v>
      </x:c>
      <x:c r="AK365" s="23" t="n">
        <x:f>MAX(0,MIN('Activities'!L365,198)-MAX('Activities'!K365,192))</x:f>
        <x:v>0</x:v>
      </x:c>
      <x:c r="AL365" s="23" t="n">
        <x:f>MAX(0,MIN('Activities'!L365,204)-MAX('Activities'!K365,198))</x:f>
        <x:v>0</x:v>
      </x:c>
      <x:c r="AM365" s="23" t="n">
        <x:f>MAX(0,MIN('Activities'!L365,210)-MAX('Activities'!K365,204))</x:f>
        <x:v>0</x:v>
      </x:c>
      <x:c r="AN365" s="23" t="n">
        <x:f>MAX(0,MIN('Activities'!L365,216)-MAX('Activities'!K365,210))</x:f>
        <x:v>0</x:v>
      </x:c>
      <x:c r="AO365" s="23" t="n">
        <x:f>MAX(0,MIN('Activities'!L365,222)-MAX('Activities'!K365,216))</x:f>
        <x:v>0</x:v>
      </x:c>
      <x:c r="AP365" s="23" t="n">
        <x:f>MAX(0,MIN('Activities'!L365,228)-MAX('Activities'!K365,222))</x:f>
        <x:v>0</x:v>
      </x:c>
      <x:c r="AQ365" s="23" t="n">
        <x:f>MAX(0,MIN('Activities'!L365,234)-MAX('Activities'!K365,228))</x:f>
        <x:v>0</x:v>
      </x:c>
      <x:c r="AR365" s="23" t="n">
        <x:f>MAX(0,MIN('Activities'!L365,240)-MAX('Activities'!K365,234))</x:f>
        <x:v>0</x:v>
      </x:c>
      <x:c r="AS365" s="23" t="n">
        <x:f>MAX(0,MIN('Activities'!L365,246)-MAX('Activities'!K365,240))</x:f>
        <x:v>0</x:v>
      </x:c>
      <x:c r="AT365" s="23" t="n">
        <x:f>MAX(0,MIN('Activities'!L365,252)-MAX('Activities'!K365,246))</x:f>
        <x:v>0</x:v>
      </x:c>
      <x:c r="AU365" s="23" t="n">
        <x:f>MAX(0,MIN('Activities'!L365,258)-MAX('Activities'!K365,252))</x:f>
        <x:v>0</x:v>
      </x:c>
      <x:c r="AV365" s="23" t="n">
        <x:f>MAX(0,MIN('Activities'!L365,264)-MAX('Activities'!K365,258))</x:f>
        <x:v>0</x:v>
      </x:c>
      <x:c r="AW365" s="23" t="n">
        <x:f>MAX(0,MIN('Activities'!L365,270)-MAX('Activities'!K365,264))</x:f>
        <x:v>0</x:v>
      </x:c>
      <x:c r="AX365" s="23" t="n">
        <x:f>MAX(0,MIN('Activities'!L365,276)-MAX('Activities'!K365,270))</x:f>
        <x:v>0</x:v>
      </x:c>
      <x:c r="AY365" s="23" t="n">
        <x:f>MAX(0,MIN('Activities'!L365,282)-MAX('Activities'!K365,276))</x:f>
        <x:v>0</x:v>
      </x:c>
      <x:c r="AZ365" s="23" t="n">
        <x:f>MAX(0,MIN('Activities'!L365,288)-MAX('Activities'!K365,282))</x:f>
        <x:v>0</x:v>
      </x:c>
      <x:c r="BA365" s="23" t="n">
        <x:f>MAX(0,MIN('Activities'!L365,294)-MAX('Activities'!K365,288))</x:f>
        <x:v>0</x:v>
      </x:c>
      <x:c r="BB365" s="23" t="n">
        <x:f>MAX(0,MIN('Activities'!L365,300)-MAX('Activities'!K365,294))</x:f>
        <x:v>0</x:v>
      </x:c>
      <x:c r="BC365" s="23" t="n">
        <x:f>MAX(0,MIN('Activities'!L365,306)-MAX('Activities'!K365,300))</x:f>
        <x:v>0</x:v>
      </x:c>
      <x:c r="BD365" s="23" t="n">
        <x:f>MAX(0,MIN('Activities'!L365,312)-MAX('Activities'!K365,306))</x:f>
        <x:v>0</x:v>
      </x:c>
      <x:c r="BE365" s="23" t="n">
        <x:f>MAX(0,MIN('Activities'!L365,318)-MAX('Activities'!K365,312))</x:f>
        <x:v>0</x:v>
      </x:c>
      <x:c r="BF365" s="23" t="n">
        <x:f>MAX(0,MIN('Activities'!L365,324)-MAX('Activities'!K365,318))</x:f>
        <x:v>0</x:v>
      </x:c>
      <x:c r="BG365" s="23" t="n">
        <x:f>MAX(0,MIN('Activities'!L365,330)-MAX('Activities'!K365,324))</x:f>
        <x:v>0</x:v>
      </x:c>
      <x:c r="BH365" s="23" t="n">
        <x:f>MAX(0,MIN('Activities'!L365,336)-MAX('Activities'!K365,330))</x:f>
        <x:v>0</x:v>
      </x:c>
      <x:c r="BI365" s="23" t="n">
        <x:f>MAX(0,MIN('Activities'!L365,342)-MAX('Activities'!K365,336))</x:f>
        <x:v>0</x:v>
      </x:c>
      <x:c r="BJ365" s="23" t="n">
        <x:f>MAX(0,MIN('Activities'!L365,348)-MAX('Activities'!K365,342))</x:f>
        <x:v>0</x:v>
      </x:c>
      <x:c r="BK365" s="23" t="n">
        <x:f>MAX(0,MIN('Activities'!L365,354)-MAX('Activities'!K365,348))</x:f>
        <x:v>0</x:v>
      </x:c>
      <x:c r="BL365" s="23" t="n">
        <x:f>MAX(0,MIN('Activities'!L365,360)-MAX('Activities'!K365,354))</x:f>
        <x:v>0</x:v>
      </x:c>
      <x:c r="BM365" s="23" t="n">
        <x:f>MAX(0,MIN('Activities'!L365,366)-MAX('Activities'!K365,360))</x:f>
        <x:v>0</x:v>
      </x:c>
      <x:c r="BN365" s="23" t="n">
        <x:f>MAX(0,MIN('Activities'!L365,372)-MAX('Activities'!K365,366))</x:f>
        <x:v>0</x:v>
      </x:c>
      <x:c r="BO365" s="23" t="n">
        <x:f>MAX(0,MIN('Activities'!L365,378)-MAX('Activities'!K365,372))</x:f>
        <x:v>0</x:v>
      </x:c>
      <x:c r="BP365" s="23" t="n">
        <x:f>MAX(0,MIN('Activities'!L365,384)-MAX('Activities'!K365,378))</x:f>
        <x:v>0</x:v>
      </x:c>
      <x:c r="BQ365" s="23" t="n">
        <x:f>MAX(0,MIN('Activities'!L365,390)-MAX('Activities'!K365,384))</x:f>
        <x:v>0</x:v>
      </x:c>
      <x:c r="BR365" s="23" t="n">
        <x:f>MAX(0,MIN('Activities'!L365,396)-MAX('Activities'!K365,390))</x:f>
        <x:v>0</x:v>
      </x:c>
      <x:c r="BS365" s="23" t="n">
        <x:f>MAX(0,MIN('Activities'!L365,402)-MAX('Activities'!K365,396))</x:f>
        <x:v>0</x:v>
      </x:c>
      <x:c r="BT365" s="23" t="n">
        <x:f>MAX(0,MIN('Activities'!L365,408)-MAX('Activities'!K365,402))</x:f>
        <x:v>0</x:v>
      </x:c>
      <x:c r="BU365" s="23" t="n">
        <x:f>MAX(0,MIN('Activities'!L365,414)-MAX('Activities'!K365,408))</x:f>
        <x:v>0</x:v>
      </x:c>
      <x:c r="BV365" s="23" t="n">
        <x:f>MAX(0,MIN('Activities'!L365,420)-MAX('Activities'!K365,414))</x:f>
        <x:v>0</x:v>
      </x:c>
      <x:c r="BW365" s="23" t="n">
        <x:f>MAX(0,MIN('Activities'!L365,426)-MAX('Activities'!K365,420))</x:f>
        <x:v>0</x:v>
      </x:c>
      <x:c r="BX365" s="23" t="n">
        <x:f>MAX(0,MIN('Activities'!L365,432)-MAX('Activities'!K365,426))</x:f>
        <x:v>0</x:v>
      </x:c>
      <x:c r="BY365" s="23" t="n">
        <x:f>MAX(0,MIN('Activities'!L365,438)-MAX('Activities'!K365,432))</x:f>
        <x:v>5</x:v>
      </x:c>
      <x:c r="BZ365" s="23" t="n">
        <x:f>MAX(0,MIN('Activities'!L365,444)-MAX('Activities'!K365,438))</x:f>
        <x:v>0</x:v>
      </x:c>
      <x:c r="CA365" s="23" t="n">
        <x:f>MAX(0,MIN('Activities'!L365,450)-MAX('Activities'!K365,444))</x:f>
        <x:v>0</x:v>
      </x:c>
      <x:c r="CB365" s="23" t="n">
        <x:f>MAX(0,MIN('Activities'!L365,456)-MAX('Activities'!K365,450))</x:f>
        <x:v>0</x:v>
      </x:c>
      <x:c r="CC365" s="23" t="n">
        <x:f>MAX(0,MIN('Activities'!L365,462)-MAX('Activities'!K365,456))</x:f>
        <x:v>0</x:v>
      </x:c>
      <x:c r="CD365" s="23" t="n">
        <x:f>MAX(0,MIN('Activities'!L365,468)-MAX('Activities'!K365,462))</x:f>
        <x:v>0</x:v>
      </x:c>
      <x:c r="CE365" s="23" t="n">
        <x:f>MAX(0,MIN('Activities'!L365,474)-MAX('Activities'!K365,468))</x:f>
        <x:v>0</x:v>
      </x:c>
      <x:c r="CF365" s="23" t="n">
        <x:f>MAX(0,MIN('Activities'!L365,480)-MAX('Activities'!K365,474))</x:f>
        <x:v>0</x:v>
      </x:c>
      <x:c r="CG365" s="23" t="n">
        <x:f>MAX(0,MIN('Activities'!L365,486)-MAX('Activities'!K365,480))</x:f>
        <x:v>0</x:v>
      </x:c>
      <x:c r="CH365" s="23" t="n">
        <x:f>MAX(0,MIN('Activities'!L365,492)-MAX('Activities'!K365,486))</x:f>
        <x:v>0</x:v>
      </x:c>
      <x:c r="CI365" s="23" t="n">
        <x:f>MAX(0,MIN('Activities'!L365,498)-MAX('Activities'!K365,492))</x:f>
        <x:v>0</x:v>
      </x:c>
      <x:c r="CJ365" s="23" t="n">
        <x:f>MAX(0,MIN('Activities'!L365,504)-MAX('Activities'!K365,498))</x:f>
        <x:v>0</x:v>
      </x:c>
      <x:c r="CK365" s="23" t="n">
        <x:f>MAX(0,MIN('Activities'!L365,510)-MAX('Activities'!K365,504))</x:f>
        <x:v>0</x:v>
      </x:c>
      <x:c r="CL365" s="23" t="n">
        <x:f>MAX(0,MIN('Activities'!L365,516)-MAX('Activities'!K365,510))</x:f>
        <x:v>0</x:v>
      </x:c>
      <x:c r="CM365" s="23" t="n">
        <x:f>MAX(0,MIN('Activities'!L365,522)-MAX('Activities'!K365,516))</x:f>
        <x:v>0</x:v>
      </x:c>
      <x:c r="CN365" s="23" t="n">
        <x:f>MAX(0,MIN('Activities'!L365,528)-MAX('Activities'!K365,522))</x:f>
        <x:v>0</x:v>
      </x:c>
      <x:c r="CO365" s="23" t="n">
        <x:f>MAX(0,MIN('Activities'!L365,534)-MAX('Activities'!K365,528))</x:f>
        <x:v>0</x:v>
      </x:c>
      <x:c r="CP365" s="23" t="n">
        <x:f>MAX(0,MIN('Activities'!L365,540)-MAX('Activities'!K365,534))</x:f>
        <x:v>0</x:v>
      </x:c>
      <x:c r="CQ365" s="23" t="n">
        <x:f>MAX(0,MIN('Activities'!L365,546)-MAX('Activities'!K365,540))</x:f>
        <x:v>0</x:v>
      </x:c>
      <x:c r="CR365" s="23" t="n">
        <x:f>MAX(0,MIN('Activities'!L365,552)-MAX('Activities'!K365,546))</x:f>
        <x:v>0</x:v>
      </x:c>
      <x:c r="CS365" s="23" t="n">
        <x:f>MAX(0,MIN('Activities'!L365,558)-MAX('Activities'!K365,552))</x:f>
        <x:v>0</x:v>
      </x:c>
      <x:c r="CT365" s="23" t="n">
        <x:f>MAX(0,MIN('Activities'!L365,564)-MAX('Activities'!K365,558))</x:f>
        <x:v>0</x:v>
      </x:c>
      <x:c r="CU365" s="23" t="n">
        <x:f>MAX(0,MIN('Activities'!L365,570)-MAX('Activities'!K365,564))</x:f>
        <x:v>0</x:v>
      </x:c>
      <x:c r="CV365" s="23" t="n">
        <x:f>MAX(0,MIN('Activities'!L365,576)-MAX('Activities'!K365,570))</x:f>
        <x:v>0</x:v>
      </x:c>
      <x:c r="CW365" s="23" t="n">
        <x:f>MAX(0,MIN('Activities'!L365,582)-MAX('Activities'!K365,576))</x:f>
        <x:v>0</x:v>
      </x:c>
      <x:c r="CX365" s="23" t="n">
        <x:f>MAX(0,MIN('Activities'!L365,588)-MAX('Activities'!K365,582))</x:f>
        <x:v>0</x:v>
      </x:c>
      <x:c r="CY365" s="23" t="n">
        <x:f>MAX(0,MIN('Activities'!L365,594)-MAX('Activities'!K365,588))</x:f>
        <x:v>0</x:v>
      </x:c>
      <x:c r="CZ365" s="23" t="n">
        <x:f>MAX(0,MIN('Activities'!L365,600)-MAX('Activities'!K365,594))</x:f>
        <x:v>0</x:v>
      </x:c>
      <x:c r="DA365" s="23" t="n">
        <x:f>MAX(0,MIN('Activities'!L365,606)-MAX('Activities'!K365,600))</x:f>
        <x:v>0</x:v>
      </x:c>
      <x:c r="DB365" s="23" t="n">
        <x:f>MAX(0,MIN('Activities'!L365,612)-MAX('Activities'!K365,606))</x:f>
        <x:v>0</x:v>
      </x:c>
      <x:c r="DC365" s="23" t="n">
        <x:f>MAX(0,MIN('Activities'!L365,618)-MAX('Activities'!K365,612))</x:f>
        <x:v>0</x:v>
      </x:c>
      <x:c r="DD365" s="23" t="n">
        <x:f>MAX(0,MIN('Activities'!L365,624)-MAX('Activities'!K365,618))</x:f>
        <x:v>0</x:v>
      </x:c>
      <x:c r="DE365" s="23" t="n">
        <x:f>MAX(0,MIN('Activities'!L365,630)-MAX('Activities'!K365,624))</x:f>
        <x:v>0</x:v>
      </x:c>
      <x:c r="DF365" s="23" t="n">
        <x:f>MAX(0,MIN('Activities'!L365,636)-MAX('Activities'!K365,630))</x:f>
        <x:v>0</x:v>
      </x:c>
    </x:row>
    <x:row r="366" ht="23" customHeight="1">
      <x:c r="A366" s="6" t="str">
        <x:v>T3-L04-D</x:v>
      </x:c>
      <x:c r="B366" s="6" t="str">
        <x:v>T3</x:v>
      </x:c>
      <x:c r="C366" s="6" t="str">
        <x:v>Door sets and ironmongery</x:v>
      </x:c>
      <x:c r="D366" s="6" t="str">
        <x:v>Finishes</x:v>
      </x:c>
      <x:c r="E366" s="22" t="n">
        <x:f>MAX(0,MIN('Activities'!L366,6)-MAX('Activities'!K366,0))</x:f>
        <x:v>0</x:v>
      </x:c>
      <x:c r="F366" s="22" t="n">
        <x:f>MAX(0,MIN('Activities'!L366,12)-MAX('Activities'!K366,6))</x:f>
        <x:v>0</x:v>
      </x:c>
      <x:c r="G366" s="22" t="n">
        <x:f>MAX(0,MIN('Activities'!L366,18)-MAX('Activities'!K366,12))</x:f>
        <x:v>0</x:v>
      </x:c>
      <x:c r="H366" s="22" t="n">
        <x:f>MAX(0,MIN('Activities'!L366,24)-MAX('Activities'!K366,18))</x:f>
        <x:v>0</x:v>
      </x:c>
      <x:c r="I366" s="22" t="n">
        <x:f>MAX(0,MIN('Activities'!L366,30)-MAX('Activities'!K366,24))</x:f>
        <x:v>0</x:v>
      </x:c>
      <x:c r="J366" s="22" t="n">
        <x:f>MAX(0,MIN('Activities'!L366,36)-MAX('Activities'!K366,30))</x:f>
        <x:v>0</x:v>
      </x:c>
      <x:c r="K366" s="22" t="n">
        <x:f>MAX(0,MIN('Activities'!L366,42)-MAX('Activities'!K366,36))</x:f>
        <x:v>0</x:v>
      </x:c>
      <x:c r="L366" s="22" t="n">
        <x:f>MAX(0,MIN('Activities'!L366,48)-MAX('Activities'!K366,42))</x:f>
        <x:v>0</x:v>
      </x:c>
      <x:c r="M366" s="22" t="n">
        <x:f>MAX(0,MIN('Activities'!L366,54)-MAX('Activities'!K366,48))</x:f>
        <x:v>0</x:v>
      </x:c>
      <x:c r="N366" s="22" t="n">
        <x:f>MAX(0,MIN('Activities'!L366,60)-MAX('Activities'!K366,54))</x:f>
        <x:v>0</x:v>
      </x:c>
      <x:c r="O366" s="22" t="n">
        <x:f>MAX(0,MIN('Activities'!L366,66)-MAX('Activities'!K366,60))</x:f>
        <x:v>0</x:v>
      </x:c>
      <x:c r="P366" s="22" t="n">
        <x:f>MAX(0,MIN('Activities'!L366,72)-MAX('Activities'!K366,66))</x:f>
        <x:v>0</x:v>
      </x:c>
      <x:c r="Q366" s="22" t="n">
        <x:f>MAX(0,MIN('Activities'!L366,78)-MAX('Activities'!K366,72))</x:f>
        <x:v>0</x:v>
      </x:c>
      <x:c r="R366" s="22" t="n">
        <x:f>MAX(0,MIN('Activities'!L366,84)-MAX('Activities'!K366,78))</x:f>
        <x:v>0</x:v>
      </x:c>
      <x:c r="S366" s="22" t="n">
        <x:f>MAX(0,MIN('Activities'!L366,90)-MAX('Activities'!K366,84))</x:f>
        <x:v>0</x:v>
      </x:c>
      <x:c r="T366" s="22" t="n">
        <x:f>MAX(0,MIN('Activities'!L366,96)-MAX('Activities'!K366,90))</x:f>
        <x:v>0</x:v>
      </x:c>
      <x:c r="U366" s="22" t="n">
        <x:f>MAX(0,MIN('Activities'!L366,102)-MAX('Activities'!K366,96))</x:f>
        <x:v>0</x:v>
      </x:c>
      <x:c r="V366" s="22" t="n">
        <x:f>MAX(0,MIN('Activities'!L366,108)-MAX('Activities'!K366,102))</x:f>
        <x:v>0</x:v>
      </x:c>
      <x:c r="W366" s="22" t="n">
        <x:f>MAX(0,MIN('Activities'!L366,114)-MAX('Activities'!K366,108))</x:f>
        <x:v>0</x:v>
      </x:c>
      <x:c r="X366" s="22" t="n">
        <x:f>MAX(0,MIN('Activities'!L366,120)-MAX('Activities'!K366,114))</x:f>
        <x:v>0</x:v>
      </x:c>
      <x:c r="Y366" s="22" t="n">
        <x:f>MAX(0,MIN('Activities'!L366,126)-MAX('Activities'!K366,120))</x:f>
        <x:v>0</x:v>
      </x:c>
      <x:c r="Z366" s="22" t="n">
        <x:f>MAX(0,MIN('Activities'!L366,132)-MAX('Activities'!K366,126))</x:f>
        <x:v>0</x:v>
      </x:c>
      <x:c r="AA366" s="22" t="n">
        <x:f>MAX(0,MIN('Activities'!L366,138)-MAX('Activities'!K366,132))</x:f>
        <x:v>0</x:v>
      </x:c>
      <x:c r="AB366" s="22" t="n">
        <x:f>MAX(0,MIN('Activities'!L366,144)-MAX('Activities'!K366,138))</x:f>
        <x:v>0</x:v>
      </x:c>
      <x:c r="AC366" s="22" t="n">
        <x:f>MAX(0,MIN('Activities'!L366,150)-MAX('Activities'!K366,144))</x:f>
        <x:v>0</x:v>
      </x:c>
      <x:c r="AD366" s="22" t="n">
        <x:f>MAX(0,MIN('Activities'!L366,156)-MAX('Activities'!K366,150))</x:f>
        <x:v>0</x:v>
      </x:c>
      <x:c r="AE366" s="22" t="n">
        <x:f>MAX(0,MIN('Activities'!L366,162)-MAX('Activities'!K366,156))</x:f>
        <x:v>0</x:v>
      </x:c>
      <x:c r="AF366" s="22" t="n">
        <x:f>MAX(0,MIN('Activities'!L366,168)-MAX('Activities'!K366,162))</x:f>
        <x:v>0</x:v>
      </x:c>
      <x:c r="AG366" s="22" t="n">
        <x:f>MAX(0,MIN('Activities'!L366,174)-MAX('Activities'!K366,168))</x:f>
        <x:v>0</x:v>
      </x:c>
      <x:c r="AH366" s="22" t="n">
        <x:f>MAX(0,MIN('Activities'!L366,180)-MAX('Activities'!K366,174))</x:f>
        <x:v>0</x:v>
      </x:c>
      <x:c r="AI366" s="22" t="n">
        <x:f>MAX(0,MIN('Activities'!L366,186)-MAX('Activities'!K366,180))</x:f>
        <x:v>0</x:v>
      </x:c>
      <x:c r="AJ366" s="22" t="n">
        <x:f>MAX(0,MIN('Activities'!L366,192)-MAX('Activities'!K366,186))</x:f>
        <x:v>0</x:v>
      </x:c>
      <x:c r="AK366" s="22" t="n">
        <x:f>MAX(0,MIN('Activities'!L366,198)-MAX('Activities'!K366,192))</x:f>
        <x:v>0</x:v>
      </x:c>
      <x:c r="AL366" s="22" t="n">
        <x:f>MAX(0,MIN('Activities'!L366,204)-MAX('Activities'!K366,198))</x:f>
        <x:v>0</x:v>
      </x:c>
      <x:c r="AM366" s="22" t="n">
        <x:f>MAX(0,MIN('Activities'!L366,210)-MAX('Activities'!K366,204))</x:f>
        <x:v>0</x:v>
      </x:c>
      <x:c r="AN366" s="22" t="n">
        <x:f>MAX(0,MIN('Activities'!L366,216)-MAX('Activities'!K366,210))</x:f>
        <x:v>0</x:v>
      </x:c>
      <x:c r="AO366" s="22" t="n">
        <x:f>MAX(0,MIN('Activities'!L366,222)-MAX('Activities'!K366,216))</x:f>
        <x:v>0</x:v>
      </x:c>
      <x:c r="AP366" s="22" t="n">
        <x:f>MAX(0,MIN('Activities'!L366,228)-MAX('Activities'!K366,222))</x:f>
        <x:v>0</x:v>
      </x:c>
      <x:c r="AQ366" s="22" t="n">
        <x:f>MAX(0,MIN('Activities'!L366,234)-MAX('Activities'!K366,228))</x:f>
        <x:v>0</x:v>
      </x:c>
      <x:c r="AR366" s="22" t="n">
        <x:f>MAX(0,MIN('Activities'!L366,240)-MAX('Activities'!K366,234))</x:f>
        <x:v>0</x:v>
      </x:c>
      <x:c r="AS366" s="22" t="n">
        <x:f>MAX(0,MIN('Activities'!L366,246)-MAX('Activities'!K366,240))</x:f>
        <x:v>0</x:v>
      </x:c>
      <x:c r="AT366" s="22" t="n">
        <x:f>MAX(0,MIN('Activities'!L366,252)-MAX('Activities'!K366,246))</x:f>
        <x:v>0</x:v>
      </x:c>
      <x:c r="AU366" s="22" t="n">
        <x:f>MAX(0,MIN('Activities'!L366,258)-MAX('Activities'!K366,252))</x:f>
        <x:v>0</x:v>
      </x:c>
      <x:c r="AV366" s="22" t="n">
        <x:f>MAX(0,MIN('Activities'!L366,264)-MAX('Activities'!K366,258))</x:f>
        <x:v>0</x:v>
      </x:c>
      <x:c r="AW366" s="22" t="n">
        <x:f>MAX(0,MIN('Activities'!L366,270)-MAX('Activities'!K366,264))</x:f>
        <x:v>0</x:v>
      </x:c>
      <x:c r="AX366" s="22" t="n">
        <x:f>MAX(0,MIN('Activities'!L366,276)-MAX('Activities'!K366,270))</x:f>
        <x:v>0</x:v>
      </x:c>
      <x:c r="AY366" s="22" t="n">
        <x:f>MAX(0,MIN('Activities'!L366,282)-MAX('Activities'!K366,276))</x:f>
        <x:v>0</x:v>
      </x:c>
      <x:c r="AZ366" s="22" t="n">
        <x:f>MAX(0,MIN('Activities'!L366,288)-MAX('Activities'!K366,282))</x:f>
        <x:v>0</x:v>
      </x:c>
      <x:c r="BA366" s="22" t="n">
        <x:f>MAX(0,MIN('Activities'!L366,294)-MAX('Activities'!K366,288))</x:f>
        <x:v>0</x:v>
      </x:c>
      <x:c r="BB366" s="22" t="n">
        <x:f>MAX(0,MIN('Activities'!L366,300)-MAX('Activities'!K366,294))</x:f>
        <x:v>0</x:v>
      </x:c>
      <x:c r="BC366" s="22" t="n">
        <x:f>MAX(0,MIN('Activities'!L366,306)-MAX('Activities'!K366,300))</x:f>
        <x:v>0</x:v>
      </x:c>
      <x:c r="BD366" s="22" t="n">
        <x:f>MAX(0,MIN('Activities'!L366,312)-MAX('Activities'!K366,306))</x:f>
        <x:v>0</x:v>
      </x:c>
      <x:c r="BE366" s="22" t="n">
        <x:f>MAX(0,MIN('Activities'!L366,318)-MAX('Activities'!K366,312))</x:f>
        <x:v>0</x:v>
      </x:c>
      <x:c r="BF366" s="22" t="n">
        <x:f>MAX(0,MIN('Activities'!L366,324)-MAX('Activities'!K366,318))</x:f>
        <x:v>0</x:v>
      </x:c>
      <x:c r="BG366" s="22" t="n">
        <x:f>MAX(0,MIN('Activities'!L366,330)-MAX('Activities'!K366,324))</x:f>
        <x:v>0</x:v>
      </x:c>
      <x:c r="BH366" s="22" t="n">
        <x:f>MAX(0,MIN('Activities'!L366,336)-MAX('Activities'!K366,330))</x:f>
        <x:v>0</x:v>
      </x:c>
      <x:c r="BI366" s="22" t="n">
        <x:f>MAX(0,MIN('Activities'!L366,342)-MAX('Activities'!K366,336))</x:f>
        <x:v>0</x:v>
      </x:c>
      <x:c r="BJ366" s="22" t="n">
        <x:f>MAX(0,MIN('Activities'!L366,348)-MAX('Activities'!K366,342))</x:f>
        <x:v>0</x:v>
      </x:c>
      <x:c r="BK366" s="22" t="n">
        <x:f>MAX(0,MIN('Activities'!L366,354)-MAX('Activities'!K366,348))</x:f>
        <x:v>0</x:v>
      </x:c>
      <x:c r="BL366" s="22" t="n">
        <x:f>MAX(0,MIN('Activities'!L366,360)-MAX('Activities'!K366,354))</x:f>
        <x:v>0</x:v>
      </x:c>
      <x:c r="BM366" s="22" t="n">
        <x:f>MAX(0,MIN('Activities'!L366,366)-MAX('Activities'!K366,360))</x:f>
        <x:v>0</x:v>
      </x:c>
      <x:c r="BN366" s="22" t="n">
        <x:f>MAX(0,MIN('Activities'!L366,372)-MAX('Activities'!K366,366))</x:f>
        <x:v>0</x:v>
      </x:c>
      <x:c r="BO366" s="22" t="n">
        <x:f>MAX(0,MIN('Activities'!L366,378)-MAX('Activities'!K366,372))</x:f>
        <x:v>0</x:v>
      </x:c>
      <x:c r="BP366" s="22" t="n">
        <x:f>MAX(0,MIN('Activities'!L366,384)-MAX('Activities'!K366,378))</x:f>
        <x:v>0</x:v>
      </x:c>
      <x:c r="BQ366" s="22" t="n">
        <x:f>MAX(0,MIN('Activities'!L366,390)-MAX('Activities'!K366,384))</x:f>
        <x:v>0</x:v>
      </x:c>
      <x:c r="BR366" s="22" t="n">
        <x:f>MAX(0,MIN('Activities'!L366,396)-MAX('Activities'!K366,390))</x:f>
        <x:v>0</x:v>
      </x:c>
      <x:c r="BS366" s="22" t="n">
        <x:f>MAX(0,MIN('Activities'!L366,402)-MAX('Activities'!K366,396))</x:f>
        <x:v>0</x:v>
      </x:c>
      <x:c r="BT366" s="22" t="n">
        <x:f>MAX(0,MIN('Activities'!L366,408)-MAX('Activities'!K366,402))</x:f>
        <x:v>0</x:v>
      </x:c>
      <x:c r="BU366" s="22" t="n">
        <x:f>MAX(0,MIN('Activities'!L366,414)-MAX('Activities'!K366,408))</x:f>
        <x:v>0</x:v>
      </x:c>
      <x:c r="BV366" s="22" t="n">
        <x:f>MAX(0,MIN('Activities'!L366,420)-MAX('Activities'!K366,414))</x:f>
        <x:v>0</x:v>
      </x:c>
      <x:c r="BW366" s="22" t="n">
        <x:f>MAX(0,MIN('Activities'!L366,426)-MAX('Activities'!K366,420))</x:f>
        <x:v>0</x:v>
      </x:c>
      <x:c r="BX366" s="22" t="n">
        <x:f>MAX(0,MIN('Activities'!L366,432)-MAX('Activities'!K366,426))</x:f>
        <x:v>0</x:v>
      </x:c>
      <x:c r="BY366" s="22" t="n">
        <x:f>MAX(0,MIN('Activities'!L366,438)-MAX('Activities'!K366,432))</x:f>
        <x:v>0</x:v>
      </x:c>
      <x:c r="BZ366" s="22" t="n">
        <x:f>MAX(0,MIN('Activities'!L366,444)-MAX('Activities'!K366,438))</x:f>
        <x:v>3</x:v>
      </x:c>
      <x:c r="CA366" s="22" t="n">
        <x:f>MAX(0,MIN('Activities'!L366,450)-MAX('Activities'!K366,444))</x:f>
        <x:v>0</x:v>
      </x:c>
      <x:c r="CB366" s="22" t="n">
        <x:f>MAX(0,MIN('Activities'!L366,456)-MAX('Activities'!K366,450))</x:f>
        <x:v>0</x:v>
      </x:c>
      <x:c r="CC366" s="22" t="n">
        <x:f>MAX(0,MIN('Activities'!L366,462)-MAX('Activities'!K366,456))</x:f>
        <x:v>0</x:v>
      </x:c>
      <x:c r="CD366" s="22" t="n">
        <x:f>MAX(0,MIN('Activities'!L366,468)-MAX('Activities'!K366,462))</x:f>
        <x:v>0</x:v>
      </x:c>
      <x:c r="CE366" s="22" t="n">
        <x:f>MAX(0,MIN('Activities'!L366,474)-MAX('Activities'!K366,468))</x:f>
        <x:v>0</x:v>
      </x:c>
      <x:c r="CF366" s="22" t="n">
        <x:f>MAX(0,MIN('Activities'!L366,480)-MAX('Activities'!K366,474))</x:f>
        <x:v>0</x:v>
      </x:c>
      <x:c r="CG366" s="22" t="n">
        <x:f>MAX(0,MIN('Activities'!L366,486)-MAX('Activities'!K366,480))</x:f>
        <x:v>0</x:v>
      </x:c>
      <x:c r="CH366" s="22" t="n">
        <x:f>MAX(0,MIN('Activities'!L366,492)-MAX('Activities'!K366,486))</x:f>
        <x:v>0</x:v>
      </x:c>
      <x:c r="CI366" s="22" t="n">
        <x:f>MAX(0,MIN('Activities'!L366,498)-MAX('Activities'!K366,492))</x:f>
        <x:v>0</x:v>
      </x:c>
      <x:c r="CJ366" s="22" t="n">
        <x:f>MAX(0,MIN('Activities'!L366,504)-MAX('Activities'!K366,498))</x:f>
        <x:v>0</x:v>
      </x:c>
      <x:c r="CK366" s="22" t="n">
        <x:f>MAX(0,MIN('Activities'!L366,510)-MAX('Activities'!K366,504))</x:f>
        <x:v>0</x:v>
      </x:c>
      <x:c r="CL366" s="22" t="n">
        <x:f>MAX(0,MIN('Activities'!L366,516)-MAX('Activities'!K366,510))</x:f>
        <x:v>0</x:v>
      </x:c>
      <x:c r="CM366" s="22" t="n">
        <x:f>MAX(0,MIN('Activities'!L366,522)-MAX('Activities'!K366,516))</x:f>
        <x:v>0</x:v>
      </x:c>
      <x:c r="CN366" s="22" t="n">
        <x:f>MAX(0,MIN('Activities'!L366,528)-MAX('Activities'!K366,522))</x:f>
        <x:v>0</x:v>
      </x:c>
      <x:c r="CO366" s="22" t="n">
        <x:f>MAX(0,MIN('Activities'!L366,534)-MAX('Activities'!K366,528))</x:f>
        <x:v>0</x:v>
      </x:c>
      <x:c r="CP366" s="22" t="n">
        <x:f>MAX(0,MIN('Activities'!L366,540)-MAX('Activities'!K366,534))</x:f>
        <x:v>0</x:v>
      </x:c>
      <x:c r="CQ366" s="22" t="n">
        <x:f>MAX(0,MIN('Activities'!L366,546)-MAX('Activities'!K366,540))</x:f>
        <x:v>0</x:v>
      </x:c>
      <x:c r="CR366" s="22" t="n">
        <x:f>MAX(0,MIN('Activities'!L366,552)-MAX('Activities'!K366,546))</x:f>
        <x:v>0</x:v>
      </x:c>
      <x:c r="CS366" s="22" t="n">
        <x:f>MAX(0,MIN('Activities'!L366,558)-MAX('Activities'!K366,552))</x:f>
        <x:v>0</x:v>
      </x:c>
      <x:c r="CT366" s="22" t="n">
        <x:f>MAX(0,MIN('Activities'!L366,564)-MAX('Activities'!K366,558))</x:f>
        <x:v>0</x:v>
      </x:c>
      <x:c r="CU366" s="22" t="n">
        <x:f>MAX(0,MIN('Activities'!L366,570)-MAX('Activities'!K366,564))</x:f>
        <x:v>0</x:v>
      </x:c>
      <x:c r="CV366" s="22" t="n">
        <x:f>MAX(0,MIN('Activities'!L366,576)-MAX('Activities'!K366,570))</x:f>
        <x:v>0</x:v>
      </x:c>
      <x:c r="CW366" s="22" t="n">
        <x:f>MAX(0,MIN('Activities'!L366,582)-MAX('Activities'!K366,576))</x:f>
        <x:v>0</x:v>
      </x:c>
      <x:c r="CX366" s="22" t="n">
        <x:f>MAX(0,MIN('Activities'!L366,588)-MAX('Activities'!K366,582))</x:f>
        <x:v>0</x:v>
      </x:c>
      <x:c r="CY366" s="22" t="n">
        <x:f>MAX(0,MIN('Activities'!L366,594)-MAX('Activities'!K366,588))</x:f>
        <x:v>0</x:v>
      </x:c>
      <x:c r="CZ366" s="22" t="n">
        <x:f>MAX(0,MIN('Activities'!L366,600)-MAX('Activities'!K366,594))</x:f>
        <x:v>0</x:v>
      </x:c>
      <x:c r="DA366" s="22" t="n">
        <x:f>MAX(0,MIN('Activities'!L366,606)-MAX('Activities'!K366,600))</x:f>
        <x:v>0</x:v>
      </x:c>
      <x:c r="DB366" s="22" t="n">
        <x:f>MAX(0,MIN('Activities'!L366,612)-MAX('Activities'!K366,606))</x:f>
        <x:v>0</x:v>
      </x:c>
      <x:c r="DC366" s="22" t="n">
        <x:f>MAX(0,MIN('Activities'!L366,618)-MAX('Activities'!K366,612))</x:f>
        <x:v>0</x:v>
      </x:c>
      <x:c r="DD366" s="22" t="n">
        <x:f>MAX(0,MIN('Activities'!L366,624)-MAX('Activities'!K366,618))</x:f>
        <x:v>0</x:v>
      </x:c>
      <x:c r="DE366" s="22" t="n">
        <x:f>MAX(0,MIN('Activities'!L366,630)-MAX('Activities'!K366,624))</x:f>
        <x:v>0</x:v>
      </x:c>
      <x:c r="DF366" s="22" t="n">
        <x:f>MAX(0,MIN('Activities'!L366,636)-MAX('Activities'!K366,630))</x:f>
        <x:v>0</x:v>
      </x:c>
    </x:row>
    <x:row r="367" ht="23" customHeight="1">
      <x:c r="A367" s="1" t="str">
        <x:v>T3-L05-M</x:v>
      </x:c>
      <x:c r="B367" s="1" t="str">
        <x:v>T3</x:v>
      </x:c>
      <x:c r="C367" s="1" t="str">
        <x:v>Partition masonry</x:v>
      </x:c>
      <x:c r="D367" s="1" t="str">
        <x:v>Masonry</x:v>
      </x:c>
      <x:c r="E367" s="23" t="n">
        <x:f>MAX(0,MIN('Activities'!L367,6)-MAX('Activities'!K367,0))</x:f>
        <x:v>0</x:v>
      </x:c>
      <x:c r="F367" s="23" t="n">
        <x:f>MAX(0,MIN('Activities'!L367,12)-MAX('Activities'!K367,6))</x:f>
        <x:v>0</x:v>
      </x:c>
      <x:c r="G367" s="23" t="n">
        <x:f>MAX(0,MIN('Activities'!L367,18)-MAX('Activities'!K367,12))</x:f>
        <x:v>0</x:v>
      </x:c>
      <x:c r="H367" s="23" t="n">
        <x:f>MAX(0,MIN('Activities'!L367,24)-MAX('Activities'!K367,18))</x:f>
        <x:v>0</x:v>
      </x:c>
      <x:c r="I367" s="23" t="n">
        <x:f>MAX(0,MIN('Activities'!L367,30)-MAX('Activities'!K367,24))</x:f>
        <x:v>0</x:v>
      </x:c>
      <x:c r="J367" s="23" t="n">
        <x:f>MAX(0,MIN('Activities'!L367,36)-MAX('Activities'!K367,30))</x:f>
        <x:v>0</x:v>
      </x:c>
      <x:c r="K367" s="23" t="n">
        <x:f>MAX(0,MIN('Activities'!L367,42)-MAX('Activities'!K367,36))</x:f>
        <x:v>0</x:v>
      </x:c>
      <x:c r="L367" s="23" t="n">
        <x:f>MAX(0,MIN('Activities'!L367,48)-MAX('Activities'!K367,42))</x:f>
        <x:v>0</x:v>
      </x:c>
      <x:c r="M367" s="23" t="n">
        <x:f>MAX(0,MIN('Activities'!L367,54)-MAX('Activities'!K367,48))</x:f>
        <x:v>0</x:v>
      </x:c>
      <x:c r="N367" s="23" t="n">
        <x:f>MAX(0,MIN('Activities'!L367,60)-MAX('Activities'!K367,54))</x:f>
        <x:v>0</x:v>
      </x:c>
      <x:c r="O367" s="23" t="n">
        <x:f>MAX(0,MIN('Activities'!L367,66)-MAX('Activities'!K367,60))</x:f>
        <x:v>0</x:v>
      </x:c>
      <x:c r="P367" s="23" t="n">
        <x:f>MAX(0,MIN('Activities'!L367,72)-MAX('Activities'!K367,66))</x:f>
        <x:v>0</x:v>
      </x:c>
      <x:c r="Q367" s="23" t="n">
        <x:f>MAX(0,MIN('Activities'!L367,78)-MAX('Activities'!K367,72))</x:f>
        <x:v>0</x:v>
      </x:c>
      <x:c r="R367" s="23" t="n">
        <x:f>MAX(0,MIN('Activities'!L367,84)-MAX('Activities'!K367,78))</x:f>
        <x:v>0</x:v>
      </x:c>
      <x:c r="S367" s="23" t="n">
        <x:f>MAX(0,MIN('Activities'!L367,90)-MAX('Activities'!K367,84))</x:f>
        <x:v>0</x:v>
      </x:c>
      <x:c r="T367" s="23" t="n">
        <x:f>MAX(0,MIN('Activities'!L367,96)-MAX('Activities'!K367,90))</x:f>
        <x:v>0</x:v>
      </x:c>
      <x:c r="U367" s="23" t="n">
        <x:f>MAX(0,MIN('Activities'!L367,102)-MAX('Activities'!K367,96))</x:f>
        <x:v>0</x:v>
      </x:c>
      <x:c r="V367" s="23" t="n">
        <x:f>MAX(0,MIN('Activities'!L367,108)-MAX('Activities'!K367,102))</x:f>
        <x:v>0</x:v>
      </x:c>
      <x:c r="W367" s="23" t="n">
        <x:f>MAX(0,MIN('Activities'!L367,114)-MAX('Activities'!K367,108))</x:f>
        <x:v>0</x:v>
      </x:c>
      <x:c r="X367" s="23" t="n">
        <x:f>MAX(0,MIN('Activities'!L367,120)-MAX('Activities'!K367,114))</x:f>
        <x:v>0</x:v>
      </x:c>
      <x:c r="Y367" s="23" t="n">
        <x:f>MAX(0,MIN('Activities'!L367,126)-MAX('Activities'!K367,120))</x:f>
        <x:v>0</x:v>
      </x:c>
      <x:c r="Z367" s="23" t="n">
        <x:f>MAX(0,MIN('Activities'!L367,132)-MAX('Activities'!K367,126))</x:f>
        <x:v>0</x:v>
      </x:c>
      <x:c r="AA367" s="23" t="n">
        <x:f>MAX(0,MIN('Activities'!L367,138)-MAX('Activities'!K367,132))</x:f>
        <x:v>0</x:v>
      </x:c>
      <x:c r="AB367" s="23" t="n">
        <x:f>MAX(0,MIN('Activities'!L367,144)-MAX('Activities'!K367,138))</x:f>
        <x:v>0</x:v>
      </x:c>
      <x:c r="AC367" s="23" t="n">
        <x:f>MAX(0,MIN('Activities'!L367,150)-MAX('Activities'!K367,144))</x:f>
        <x:v>0</x:v>
      </x:c>
      <x:c r="AD367" s="23" t="n">
        <x:f>MAX(0,MIN('Activities'!L367,156)-MAX('Activities'!K367,150))</x:f>
        <x:v>0</x:v>
      </x:c>
      <x:c r="AE367" s="23" t="n">
        <x:f>MAX(0,MIN('Activities'!L367,162)-MAX('Activities'!K367,156))</x:f>
        <x:v>0</x:v>
      </x:c>
      <x:c r="AF367" s="23" t="n">
        <x:f>MAX(0,MIN('Activities'!L367,168)-MAX('Activities'!K367,162))</x:f>
        <x:v>0</x:v>
      </x:c>
      <x:c r="AG367" s="23" t="n">
        <x:f>MAX(0,MIN('Activities'!L367,174)-MAX('Activities'!K367,168))</x:f>
        <x:v>0</x:v>
      </x:c>
      <x:c r="AH367" s="23" t="n">
        <x:f>MAX(0,MIN('Activities'!L367,180)-MAX('Activities'!K367,174))</x:f>
        <x:v>0</x:v>
      </x:c>
      <x:c r="AI367" s="23" t="n">
        <x:f>MAX(0,MIN('Activities'!L367,186)-MAX('Activities'!K367,180))</x:f>
        <x:v>0</x:v>
      </x:c>
      <x:c r="AJ367" s="23" t="n">
        <x:f>MAX(0,MIN('Activities'!L367,192)-MAX('Activities'!K367,186))</x:f>
        <x:v>0</x:v>
      </x:c>
      <x:c r="AK367" s="23" t="n">
        <x:f>MAX(0,MIN('Activities'!L367,198)-MAX('Activities'!K367,192))</x:f>
        <x:v>0</x:v>
      </x:c>
      <x:c r="AL367" s="23" t="n">
        <x:f>MAX(0,MIN('Activities'!L367,204)-MAX('Activities'!K367,198))</x:f>
        <x:v>0</x:v>
      </x:c>
      <x:c r="AM367" s="23" t="n">
        <x:f>MAX(0,MIN('Activities'!L367,210)-MAX('Activities'!K367,204))</x:f>
        <x:v>0</x:v>
      </x:c>
      <x:c r="AN367" s="23" t="n">
        <x:f>MAX(0,MIN('Activities'!L367,216)-MAX('Activities'!K367,210))</x:f>
        <x:v>0</x:v>
      </x:c>
      <x:c r="AO367" s="23" t="n">
        <x:f>MAX(0,MIN('Activities'!L367,222)-MAX('Activities'!K367,216))</x:f>
        <x:v>0</x:v>
      </x:c>
      <x:c r="AP367" s="23" t="n">
        <x:f>MAX(0,MIN('Activities'!L367,228)-MAX('Activities'!K367,222))</x:f>
        <x:v>0</x:v>
      </x:c>
      <x:c r="AQ367" s="23" t="n">
        <x:f>MAX(0,MIN('Activities'!L367,234)-MAX('Activities'!K367,228))</x:f>
        <x:v>0</x:v>
      </x:c>
      <x:c r="AR367" s="23" t="n">
        <x:f>MAX(0,MIN('Activities'!L367,240)-MAX('Activities'!K367,234))</x:f>
        <x:v>0</x:v>
      </x:c>
      <x:c r="AS367" s="23" t="n">
        <x:f>MAX(0,MIN('Activities'!L367,246)-MAX('Activities'!K367,240))</x:f>
        <x:v>0</x:v>
      </x:c>
      <x:c r="AT367" s="23" t="n">
        <x:f>MAX(0,MIN('Activities'!L367,252)-MAX('Activities'!K367,246))</x:f>
        <x:v>0</x:v>
      </x:c>
      <x:c r="AU367" s="23" t="n">
        <x:f>MAX(0,MIN('Activities'!L367,258)-MAX('Activities'!K367,252))</x:f>
        <x:v>0</x:v>
      </x:c>
      <x:c r="AV367" s="23" t="n">
        <x:f>MAX(0,MIN('Activities'!L367,264)-MAX('Activities'!K367,258))</x:f>
        <x:v>0</x:v>
      </x:c>
      <x:c r="AW367" s="23" t="n">
        <x:f>MAX(0,MIN('Activities'!L367,270)-MAX('Activities'!K367,264))</x:f>
        <x:v>0</x:v>
      </x:c>
      <x:c r="AX367" s="23" t="n">
        <x:f>MAX(0,MIN('Activities'!L367,276)-MAX('Activities'!K367,270))</x:f>
        <x:v>0</x:v>
      </x:c>
      <x:c r="AY367" s="23" t="n">
        <x:f>MAX(0,MIN('Activities'!L367,282)-MAX('Activities'!K367,276))</x:f>
        <x:v>0</x:v>
      </x:c>
      <x:c r="AZ367" s="23" t="n">
        <x:f>MAX(0,MIN('Activities'!L367,288)-MAX('Activities'!K367,282))</x:f>
        <x:v>0</x:v>
      </x:c>
      <x:c r="BA367" s="23" t="n">
        <x:f>MAX(0,MIN('Activities'!L367,294)-MAX('Activities'!K367,288))</x:f>
        <x:v>0</x:v>
      </x:c>
      <x:c r="BB367" s="23" t="n">
        <x:f>MAX(0,MIN('Activities'!L367,300)-MAX('Activities'!K367,294))</x:f>
        <x:v>0</x:v>
      </x:c>
      <x:c r="BC367" s="23" t="n">
        <x:f>MAX(0,MIN('Activities'!L367,306)-MAX('Activities'!K367,300))</x:f>
        <x:v>0</x:v>
      </x:c>
      <x:c r="BD367" s="23" t="n">
        <x:f>MAX(0,MIN('Activities'!L367,312)-MAX('Activities'!K367,306))</x:f>
        <x:v>0</x:v>
      </x:c>
      <x:c r="BE367" s="23" t="n">
        <x:f>MAX(0,MIN('Activities'!L367,318)-MAX('Activities'!K367,312))</x:f>
        <x:v>0</x:v>
      </x:c>
      <x:c r="BF367" s="23" t="n">
        <x:f>MAX(0,MIN('Activities'!L367,324)-MAX('Activities'!K367,318))</x:f>
        <x:v>0</x:v>
      </x:c>
      <x:c r="BG367" s="23" t="n">
        <x:f>MAX(0,MIN('Activities'!L367,330)-MAX('Activities'!K367,324))</x:f>
        <x:v>5</x:v>
      </x:c>
      <x:c r="BH367" s="23" t="n">
        <x:f>MAX(0,MIN('Activities'!L367,336)-MAX('Activities'!K367,330))</x:f>
        <x:v>0</x:v>
      </x:c>
      <x:c r="BI367" s="23" t="n">
        <x:f>MAX(0,MIN('Activities'!L367,342)-MAX('Activities'!K367,336))</x:f>
        <x:v>0</x:v>
      </x:c>
      <x:c r="BJ367" s="23" t="n">
        <x:f>MAX(0,MIN('Activities'!L367,348)-MAX('Activities'!K367,342))</x:f>
        <x:v>0</x:v>
      </x:c>
      <x:c r="BK367" s="23" t="n">
        <x:f>MAX(0,MIN('Activities'!L367,354)-MAX('Activities'!K367,348))</x:f>
        <x:v>0</x:v>
      </x:c>
      <x:c r="BL367" s="23" t="n">
        <x:f>MAX(0,MIN('Activities'!L367,360)-MAX('Activities'!K367,354))</x:f>
        <x:v>0</x:v>
      </x:c>
      <x:c r="BM367" s="23" t="n">
        <x:f>MAX(0,MIN('Activities'!L367,366)-MAX('Activities'!K367,360))</x:f>
        <x:v>0</x:v>
      </x:c>
      <x:c r="BN367" s="23" t="n">
        <x:f>MAX(0,MIN('Activities'!L367,372)-MAX('Activities'!K367,366))</x:f>
        <x:v>0</x:v>
      </x:c>
      <x:c r="BO367" s="23" t="n">
        <x:f>MAX(0,MIN('Activities'!L367,378)-MAX('Activities'!K367,372))</x:f>
        <x:v>0</x:v>
      </x:c>
      <x:c r="BP367" s="23" t="n">
        <x:f>MAX(0,MIN('Activities'!L367,384)-MAX('Activities'!K367,378))</x:f>
        <x:v>0</x:v>
      </x:c>
      <x:c r="BQ367" s="23" t="n">
        <x:f>MAX(0,MIN('Activities'!L367,390)-MAX('Activities'!K367,384))</x:f>
        <x:v>0</x:v>
      </x:c>
      <x:c r="BR367" s="23" t="n">
        <x:f>MAX(0,MIN('Activities'!L367,396)-MAX('Activities'!K367,390))</x:f>
        <x:v>0</x:v>
      </x:c>
      <x:c r="BS367" s="23" t="n">
        <x:f>MAX(0,MIN('Activities'!L367,402)-MAX('Activities'!K367,396))</x:f>
        <x:v>0</x:v>
      </x:c>
      <x:c r="BT367" s="23" t="n">
        <x:f>MAX(0,MIN('Activities'!L367,408)-MAX('Activities'!K367,402))</x:f>
        <x:v>0</x:v>
      </x:c>
      <x:c r="BU367" s="23" t="n">
        <x:f>MAX(0,MIN('Activities'!L367,414)-MAX('Activities'!K367,408))</x:f>
        <x:v>0</x:v>
      </x:c>
      <x:c r="BV367" s="23" t="n">
        <x:f>MAX(0,MIN('Activities'!L367,420)-MAX('Activities'!K367,414))</x:f>
        <x:v>0</x:v>
      </x:c>
      <x:c r="BW367" s="23" t="n">
        <x:f>MAX(0,MIN('Activities'!L367,426)-MAX('Activities'!K367,420))</x:f>
        <x:v>0</x:v>
      </x:c>
      <x:c r="BX367" s="23" t="n">
        <x:f>MAX(0,MIN('Activities'!L367,432)-MAX('Activities'!K367,426))</x:f>
        <x:v>0</x:v>
      </x:c>
      <x:c r="BY367" s="23" t="n">
        <x:f>MAX(0,MIN('Activities'!L367,438)-MAX('Activities'!K367,432))</x:f>
        <x:v>0</x:v>
      </x:c>
      <x:c r="BZ367" s="23" t="n">
        <x:f>MAX(0,MIN('Activities'!L367,444)-MAX('Activities'!K367,438))</x:f>
        <x:v>0</x:v>
      </x:c>
      <x:c r="CA367" s="23" t="n">
        <x:f>MAX(0,MIN('Activities'!L367,450)-MAX('Activities'!K367,444))</x:f>
        <x:v>0</x:v>
      </x:c>
      <x:c r="CB367" s="23" t="n">
        <x:f>MAX(0,MIN('Activities'!L367,456)-MAX('Activities'!K367,450))</x:f>
        <x:v>0</x:v>
      </x:c>
      <x:c r="CC367" s="23" t="n">
        <x:f>MAX(0,MIN('Activities'!L367,462)-MAX('Activities'!K367,456))</x:f>
        <x:v>0</x:v>
      </x:c>
      <x:c r="CD367" s="23" t="n">
        <x:f>MAX(0,MIN('Activities'!L367,468)-MAX('Activities'!K367,462))</x:f>
        <x:v>0</x:v>
      </x:c>
      <x:c r="CE367" s="23" t="n">
        <x:f>MAX(0,MIN('Activities'!L367,474)-MAX('Activities'!K367,468))</x:f>
        <x:v>0</x:v>
      </x:c>
      <x:c r="CF367" s="23" t="n">
        <x:f>MAX(0,MIN('Activities'!L367,480)-MAX('Activities'!K367,474))</x:f>
        <x:v>0</x:v>
      </x:c>
      <x:c r="CG367" s="23" t="n">
        <x:f>MAX(0,MIN('Activities'!L367,486)-MAX('Activities'!K367,480))</x:f>
        <x:v>0</x:v>
      </x:c>
      <x:c r="CH367" s="23" t="n">
        <x:f>MAX(0,MIN('Activities'!L367,492)-MAX('Activities'!K367,486))</x:f>
        <x:v>0</x:v>
      </x:c>
      <x:c r="CI367" s="23" t="n">
        <x:f>MAX(0,MIN('Activities'!L367,498)-MAX('Activities'!K367,492))</x:f>
        <x:v>0</x:v>
      </x:c>
      <x:c r="CJ367" s="23" t="n">
        <x:f>MAX(0,MIN('Activities'!L367,504)-MAX('Activities'!K367,498))</x:f>
        <x:v>0</x:v>
      </x:c>
      <x:c r="CK367" s="23" t="n">
        <x:f>MAX(0,MIN('Activities'!L367,510)-MAX('Activities'!K367,504))</x:f>
        <x:v>0</x:v>
      </x:c>
      <x:c r="CL367" s="23" t="n">
        <x:f>MAX(0,MIN('Activities'!L367,516)-MAX('Activities'!K367,510))</x:f>
        <x:v>0</x:v>
      </x:c>
      <x:c r="CM367" s="23" t="n">
        <x:f>MAX(0,MIN('Activities'!L367,522)-MAX('Activities'!K367,516))</x:f>
        <x:v>0</x:v>
      </x:c>
      <x:c r="CN367" s="23" t="n">
        <x:f>MAX(0,MIN('Activities'!L367,528)-MAX('Activities'!K367,522))</x:f>
        <x:v>0</x:v>
      </x:c>
      <x:c r="CO367" s="23" t="n">
        <x:f>MAX(0,MIN('Activities'!L367,534)-MAX('Activities'!K367,528))</x:f>
        <x:v>0</x:v>
      </x:c>
      <x:c r="CP367" s="23" t="n">
        <x:f>MAX(0,MIN('Activities'!L367,540)-MAX('Activities'!K367,534))</x:f>
        <x:v>0</x:v>
      </x:c>
      <x:c r="CQ367" s="23" t="n">
        <x:f>MAX(0,MIN('Activities'!L367,546)-MAX('Activities'!K367,540))</x:f>
        <x:v>0</x:v>
      </x:c>
      <x:c r="CR367" s="23" t="n">
        <x:f>MAX(0,MIN('Activities'!L367,552)-MAX('Activities'!K367,546))</x:f>
        <x:v>0</x:v>
      </x:c>
      <x:c r="CS367" s="23" t="n">
        <x:f>MAX(0,MIN('Activities'!L367,558)-MAX('Activities'!K367,552))</x:f>
        <x:v>0</x:v>
      </x:c>
      <x:c r="CT367" s="23" t="n">
        <x:f>MAX(0,MIN('Activities'!L367,564)-MAX('Activities'!K367,558))</x:f>
        <x:v>0</x:v>
      </x:c>
      <x:c r="CU367" s="23" t="n">
        <x:f>MAX(0,MIN('Activities'!L367,570)-MAX('Activities'!K367,564))</x:f>
        <x:v>0</x:v>
      </x:c>
      <x:c r="CV367" s="23" t="n">
        <x:f>MAX(0,MIN('Activities'!L367,576)-MAX('Activities'!K367,570))</x:f>
        <x:v>0</x:v>
      </x:c>
      <x:c r="CW367" s="23" t="n">
        <x:f>MAX(0,MIN('Activities'!L367,582)-MAX('Activities'!K367,576))</x:f>
        <x:v>0</x:v>
      </x:c>
      <x:c r="CX367" s="23" t="n">
        <x:f>MAX(0,MIN('Activities'!L367,588)-MAX('Activities'!K367,582))</x:f>
        <x:v>0</x:v>
      </x:c>
      <x:c r="CY367" s="23" t="n">
        <x:f>MAX(0,MIN('Activities'!L367,594)-MAX('Activities'!K367,588))</x:f>
        <x:v>0</x:v>
      </x:c>
      <x:c r="CZ367" s="23" t="n">
        <x:f>MAX(0,MIN('Activities'!L367,600)-MAX('Activities'!K367,594))</x:f>
        <x:v>0</x:v>
      </x:c>
      <x:c r="DA367" s="23" t="n">
        <x:f>MAX(0,MIN('Activities'!L367,606)-MAX('Activities'!K367,600))</x:f>
        <x:v>0</x:v>
      </x:c>
      <x:c r="DB367" s="23" t="n">
        <x:f>MAX(0,MIN('Activities'!L367,612)-MAX('Activities'!K367,606))</x:f>
        <x:v>0</x:v>
      </x:c>
      <x:c r="DC367" s="23" t="n">
        <x:f>MAX(0,MIN('Activities'!L367,618)-MAX('Activities'!K367,612))</x:f>
        <x:v>0</x:v>
      </x:c>
      <x:c r="DD367" s="23" t="n">
        <x:f>MAX(0,MIN('Activities'!L367,624)-MAX('Activities'!K367,618))</x:f>
        <x:v>0</x:v>
      </x:c>
      <x:c r="DE367" s="23" t="n">
        <x:f>MAX(0,MIN('Activities'!L367,630)-MAX('Activities'!K367,624))</x:f>
        <x:v>0</x:v>
      </x:c>
      <x:c r="DF367" s="23" t="n">
        <x:f>MAX(0,MIN('Activities'!L367,636)-MAX('Activities'!K367,630))</x:f>
        <x:v>0</x:v>
      </x:c>
    </x:row>
    <x:row r="368" ht="23" customHeight="1">
      <x:c r="A368" s="6" t="str">
        <x:v>T3-L05-P</x:v>
      </x:c>
      <x:c r="B368" s="6" t="str">
        <x:v>T3</x:v>
      </x:c>
      <x:c r="C368" s="6" t="str">
        <x:v>Internal plaster</x:v>
      </x:c>
      <x:c r="D368" s="6" t="str">
        <x:v>Finishes</x:v>
      </x:c>
      <x:c r="E368" s="22" t="n">
        <x:f>MAX(0,MIN('Activities'!L368,6)-MAX('Activities'!K368,0))</x:f>
        <x:v>0</x:v>
      </x:c>
      <x:c r="F368" s="22" t="n">
        <x:f>MAX(0,MIN('Activities'!L368,12)-MAX('Activities'!K368,6))</x:f>
        <x:v>0</x:v>
      </x:c>
      <x:c r="G368" s="22" t="n">
        <x:f>MAX(0,MIN('Activities'!L368,18)-MAX('Activities'!K368,12))</x:f>
        <x:v>0</x:v>
      </x:c>
      <x:c r="H368" s="22" t="n">
        <x:f>MAX(0,MIN('Activities'!L368,24)-MAX('Activities'!K368,18))</x:f>
        <x:v>0</x:v>
      </x:c>
      <x:c r="I368" s="22" t="n">
        <x:f>MAX(0,MIN('Activities'!L368,30)-MAX('Activities'!K368,24))</x:f>
        <x:v>0</x:v>
      </x:c>
      <x:c r="J368" s="22" t="n">
        <x:f>MAX(0,MIN('Activities'!L368,36)-MAX('Activities'!K368,30))</x:f>
        <x:v>0</x:v>
      </x:c>
      <x:c r="K368" s="22" t="n">
        <x:f>MAX(0,MIN('Activities'!L368,42)-MAX('Activities'!K368,36))</x:f>
        <x:v>0</x:v>
      </x:c>
      <x:c r="L368" s="22" t="n">
        <x:f>MAX(0,MIN('Activities'!L368,48)-MAX('Activities'!K368,42))</x:f>
        <x:v>0</x:v>
      </x:c>
      <x:c r="M368" s="22" t="n">
        <x:f>MAX(0,MIN('Activities'!L368,54)-MAX('Activities'!K368,48))</x:f>
        <x:v>0</x:v>
      </x:c>
      <x:c r="N368" s="22" t="n">
        <x:f>MAX(0,MIN('Activities'!L368,60)-MAX('Activities'!K368,54))</x:f>
        <x:v>0</x:v>
      </x:c>
      <x:c r="O368" s="22" t="n">
        <x:f>MAX(0,MIN('Activities'!L368,66)-MAX('Activities'!K368,60))</x:f>
        <x:v>0</x:v>
      </x:c>
      <x:c r="P368" s="22" t="n">
        <x:f>MAX(0,MIN('Activities'!L368,72)-MAX('Activities'!K368,66))</x:f>
        <x:v>0</x:v>
      </x:c>
      <x:c r="Q368" s="22" t="n">
        <x:f>MAX(0,MIN('Activities'!L368,78)-MAX('Activities'!K368,72))</x:f>
        <x:v>0</x:v>
      </x:c>
      <x:c r="R368" s="22" t="n">
        <x:f>MAX(0,MIN('Activities'!L368,84)-MAX('Activities'!K368,78))</x:f>
        <x:v>0</x:v>
      </x:c>
      <x:c r="S368" s="22" t="n">
        <x:f>MAX(0,MIN('Activities'!L368,90)-MAX('Activities'!K368,84))</x:f>
        <x:v>0</x:v>
      </x:c>
      <x:c r="T368" s="22" t="n">
        <x:f>MAX(0,MIN('Activities'!L368,96)-MAX('Activities'!K368,90))</x:f>
        <x:v>0</x:v>
      </x:c>
      <x:c r="U368" s="22" t="n">
        <x:f>MAX(0,MIN('Activities'!L368,102)-MAX('Activities'!K368,96))</x:f>
        <x:v>0</x:v>
      </x:c>
      <x:c r="V368" s="22" t="n">
        <x:f>MAX(0,MIN('Activities'!L368,108)-MAX('Activities'!K368,102))</x:f>
        <x:v>0</x:v>
      </x:c>
      <x:c r="W368" s="22" t="n">
        <x:f>MAX(0,MIN('Activities'!L368,114)-MAX('Activities'!K368,108))</x:f>
        <x:v>0</x:v>
      </x:c>
      <x:c r="X368" s="22" t="n">
        <x:f>MAX(0,MIN('Activities'!L368,120)-MAX('Activities'!K368,114))</x:f>
        <x:v>0</x:v>
      </x:c>
      <x:c r="Y368" s="22" t="n">
        <x:f>MAX(0,MIN('Activities'!L368,126)-MAX('Activities'!K368,120))</x:f>
        <x:v>0</x:v>
      </x:c>
      <x:c r="Z368" s="22" t="n">
        <x:f>MAX(0,MIN('Activities'!L368,132)-MAX('Activities'!K368,126))</x:f>
        <x:v>0</x:v>
      </x:c>
      <x:c r="AA368" s="22" t="n">
        <x:f>MAX(0,MIN('Activities'!L368,138)-MAX('Activities'!K368,132))</x:f>
        <x:v>0</x:v>
      </x:c>
      <x:c r="AB368" s="22" t="n">
        <x:f>MAX(0,MIN('Activities'!L368,144)-MAX('Activities'!K368,138))</x:f>
        <x:v>0</x:v>
      </x:c>
      <x:c r="AC368" s="22" t="n">
        <x:f>MAX(0,MIN('Activities'!L368,150)-MAX('Activities'!K368,144))</x:f>
        <x:v>0</x:v>
      </x:c>
      <x:c r="AD368" s="22" t="n">
        <x:f>MAX(0,MIN('Activities'!L368,156)-MAX('Activities'!K368,150))</x:f>
        <x:v>0</x:v>
      </x:c>
      <x:c r="AE368" s="22" t="n">
        <x:f>MAX(0,MIN('Activities'!L368,162)-MAX('Activities'!K368,156))</x:f>
        <x:v>0</x:v>
      </x:c>
      <x:c r="AF368" s="22" t="n">
        <x:f>MAX(0,MIN('Activities'!L368,168)-MAX('Activities'!K368,162))</x:f>
        <x:v>0</x:v>
      </x:c>
      <x:c r="AG368" s="22" t="n">
        <x:f>MAX(0,MIN('Activities'!L368,174)-MAX('Activities'!K368,168))</x:f>
        <x:v>0</x:v>
      </x:c>
      <x:c r="AH368" s="22" t="n">
        <x:f>MAX(0,MIN('Activities'!L368,180)-MAX('Activities'!K368,174))</x:f>
        <x:v>0</x:v>
      </x:c>
      <x:c r="AI368" s="22" t="n">
        <x:f>MAX(0,MIN('Activities'!L368,186)-MAX('Activities'!K368,180))</x:f>
        <x:v>0</x:v>
      </x:c>
      <x:c r="AJ368" s="22" t="n">
        <x:f>MAX(0,MIN('Activities'!L368,192)-MAX('Activities'!K368,186))</x:f>
        <x:v>0</x:v>
      </x:c>
      <x:c r="AK368" s="22" t="n">
        <x:f>MAX(0,MIN('Activities'!L368,198)-MAX('Activities'!K368,192))</x:f>
        <x:v>0</x:v>
      </x:c>
      <x:c r="AL368" s="22" t="n">
        <x:f>MAX(0,MIN('Activities'!L368,204)-MAX('Activities'!K368,198))</x:f>
        <x:v>0</x:v>
      </x:c>
      <x:c r="AM368" s="22" t="n">
        <x:f>MAX(0,MIN('Activities'!L368,210)-MAX('Activities'!K368,204))</x:f>
        <x:v>0</x:v>
      </x:c>
      <x:c r="AN368" s="22" t="n">
        <x:f>MAX(0,MIN('Activities'!L368,216)-MAX('Activities'!K368,210))</x:f>
        <x:v>0</x:v>
      </x:c>
      <x:c r="AO368" s="22" t="n">
        <x:f>MAX(0,MIN('Activities'!L368,222)-MAX('Activities'!K368,216))</x:f>
        <x:v>0</x:v>
      </x:c>
      <x:c r="AP368" s="22" t="n">
        <x:f>MAX(0,MIN('Activities'!L368,228)-MAX('Activities'!K368,222))</x:f>
        <x:v>0</x:v>
      </x:c>
      <x:c r="AQ368" s="22" t="n">
        <x:f>MAX(0,MIN('Activities'!L368,234)-MAX('Activities'!K368,228))</x:f>
        <x:v>0</x:v>
      </x:c>
      <x:c r="AR368" s="22" t="n">
        <x:f>MAX(0,MIN('Activities'!L368,240)-MAX('Activities'!K368,234))</x:f>
        <x:v>0</x:v>
      </x:c>
      <x:c r="AS368" s="22" t="n">
        <x:f>MAX(0,MIN('Activities'!L368,246)-MAX('Activities'!K368,240))</x:f>
        <x:v>0</x:v>
      </x:c>
      <x:c r="AT368" s="22" t="n">
        <x:f>MAX(0,MIN('Activities'!L368,252)-MAX('Activities'!K368,246))</x:f>
        <x:v>0</x:v>
      </x:c>
      <x:c r="AU368" s="22" t="n">
        <x:f>MAX(0,MIN('Activities'!L368,258)-MAX('Activities'!K368,252))</x:f>
        <x:v>0</x:v>
      </x:c>
      <x:c r="AV368" s="22" t="n">
        <x:f>MAX(0,MIN('Activities'!L368,264)-MAX('Activities'!K368,258))</x:f>
        <x:v>0</x:v>
      </x:c>
      <x:c r="AW368" s="22" t="n">
        <x:f>MAX(0,MIN('Activities'!L368,270)-MAX('Activities'!K368,264))</x:f>
        <x:v>0</x:v>
      </x:c>
      <x:c r="AX368" s="22" t="n">
        <x:f>MAX(0,MIN('Activities'!L368,276)-MAX('Activities'!K368,270))</x:f>
        <x:v>0</x:v>
      </x:c>
      <x:c r="AY368" s="22" t="n">
        <x:f>MAX(0,MIN('Activities'!L368,282)-MAX('Activities'!K368,276))</x:f>
        <x:v>0</x:v>
      </x:c>
      <x:c r="AZ368" s="22" t="n">
        <x:f>MAX(0,MIN('Activities'!L368,288)-MAX('Activities'!K368,282))</x:f>
        <x:v>0</x:v>
      </x:c>
      <x:c r="BA368" s="22" t="n">
        <x:f>MAX(0,MIN('Activities'!L368,294)-MAX('Activities'!K368,288))</x:f>
        <x:v>0</x:v>
      </x:c>
      <x:c r="BB368" s="22" t="n">
        <x:f>MAX(0,MIN('Activities'!L368,300)-MAX('Activities'!K368,294))</x:f>
        <x:v>0</x:v>
      </x:c>
      <x:c r="BC368" s="22" t="n">
        <x:f>MAX(0,MIN('Activities'!L368,306)-MAX('Activities'!K368,300))</x:f>
        <x:v>0</x:v>
      </x:c>
      <x:c r="BD368" s="22" t="n">
        <x:f>MAX(0,MIN('Activities'!L368,312)-MAX('Activities'!K368,306))</x:f>
        <x:v>0</x:v>
      </x:c>
      <x:c r="BE368" s="22" t="n">
        <x:f>MAX(0,MIN('Activities'!L368,318)-MAX('Activities'!K368,312))</x:f>
        <x:v>0</x:v>
      </x:c>
      <x:c r="BF368" s="22" t="n">
        <x:f>MAX(0,MIN('Activities'!L368,324)-MAX('Activities'!K368,318))</x:f>
        <x:v>0</x:v>
      </x:c>
      <x:c r="BG368" s="22" t="n">
        <x:f>MAX(0,MIN('Activities'!L368,330)-MAX('Activities'!K368,324))</x:f>
        <x:v>0</x:v>
      </x:c>
      <x:c r="BH368" s="22" t="n">
        <x:f>MAX(0,MIN('Activities'!L368,336)-MAX('Activities'!K368,330))</x:f>
        <x:v>3</x:v>
      </x:c>
      <x:c r="BI368" s="22" t="n">
        <x:f>MAX(0,MIN('Activities'!L368,342)-MAX('Activities'!K368,336))</x:f>
        <x:v>3</x:v>
      </x:c>
      <x:c r="BJ368" s="22" t="n">
        <x:f>MAX(0,MIN('Activities'!L368,348)-MAX('Activities'!K368,342))</x:f>
        <x:v>0</x:v>
      </x:c>
      <x:c r="BK368" s="22" t="n">
        <x:f>MAX(0,MIN('Activities'!L368,354)-MAX('Activities'!K368,348))</x:f>
        <x:v>0</x:v>
      </x:c>
      <x:c r="BL368" s="22" t="n">
        <x:f>MAX(0,MIN('Activities'!L368,360)-MAX('Activities'!K368,354))</x:f>
        <x:v>0</x:v>
      </x:c>
      <x:c r="BM368" s="22" t="n">
        <x:f>MAX(0,MIN('Activities'!L368,366)-MAX('Activities'!K368,360))</x:f>
        <x:v>0</x:v>
      </x:c>
      <x:c r="BN368" s="22" t="n">
        <x:f>MAX(0,MIN('Activities'!L368,372)-MAX('Activities'!K368,366))</x:f>
        <x:v>0</x:v>
      </x:c>
      <x:c r="BO368" s="22" t="n">
        <x:f>MAX(0,MIN('Activities'!L368,378)-MAX('Activities'!K368,372))</x:f>
        <x:v>0</x:v>
      </x:c>
      <x:c r="BP368" s="22" t="n">
        <x:f>MAX(0,MIN('Activities'!L368,384)-MAX('Activities'!K368,378))</x:f>
        <x:v>0</x:v>
      </x:c>
      <x:c r="BQ368" s="22" t="n">
        <x:f>MAX(0,MIN('Activities'!L368,390)-MAX('Activities'!K368,384))</x:f>
        <x:v>0</x:v>
      </x:c>
      <x:c r="BR368" s="22" t="n">
        <x:f>MAX(0,MIN('Activities'!L368,396)-MAX('Activities'!K368,390))</x:f>
        <x:v>0</x:v>
      </x:c>
      <x:c r="BS368" s="22" t="n">
        <x:f>MAX(0,MIN('Activities'!L368,402)-MAX('Activities'!K368,396))</x:f>
        <x:v>0</x:v>
      </x:c>
      <x:c r="BT368" s="22" t="n">
        <x:f>MAX(0,MIN('Activities'!L368,408)-MAX('Activities'!K368,402))</x:f>
        <x:v>0</x:v>
      </x:c>
      <x:c r="BU368" s="22" t="n">
        <x:f>MAX(0,MIN('Activities'!L368,414)-MAX('Activities'!K368,408))</x:f>
        <x:v>0</x:v>
      </x:c>
      <x:c r="BV368" s="22" t="n">
        <x:f>MAX(0,MIN('Activities'!L368,420)-MAX('Activities'!K368,414))</x:f>
        <x:v>0</x:v>
      </x:c>
      <x:c r="BW368" s="22" t="n">
        <x:f>MAX(0,MIN('Activities'!L368,426)-MAX('Activities'!K368,420))</x:f>
        <x:v>0</x:v>
      </x:c>
      <x:c r="BX368" s="22" t="n">
        <x:f>MAX(0,MIN('Activities'!L368,432)-MAX('Activities'!K368,426))</x:f>
        <x:v>0</x:v>
      </x:c>
      <x:c r="BY368" s="22" t="n">
        <x:f>MAX(0,MIN('Activities'!L368,438)-MAX('Activities'!K368,432))</x:f>
        <x:v>0</x:v>
      </x:c>
      <x:c r="BZ368" s="22" t="n">
        <x:f>MAX(0,MIN('Activities'!L368,444)-MAX('Activities'!K368,438))</x:f>
        <x:v>0</x:v>
      </x:c>
      <x:c r="CA368" s="22" t="n">
        <x:f>MAX(0,MIN('Activities'!L368,450)-MAX('Activities'!K368,444))</x:f>
        <x:v>0</x:v>
      </x:c>
      <x:c r="CB368" s="22" t="n">
        <x:f>MAX(0,MIN('Activities'!L368,456)-MAX('Activities'!K368,450))</x:f>
        <x:v>0</x:v>
      </x:c>
      <x:c r="CC368" s="22" t="n">
        <x:f>MAX(0,MIN('Activities'!L368,462)-MAX('Activities'!K368,456))</x:f>
        <x:v>0</x:v>
      </x:c>
      <x:c r="CD368" s="22" t="n">
        <x:f>MAX(0,MIN('Activities'!L368,468)-MAX('Activities'!K368,462))</x:f>
        <x:v>0</x:v>
      </x:c>
      <x:c r="CE368" s="22" t="n">
        <x:f>MAX(0,MIN('Activities'!L368,474)-MAX('Activities'!K368,468))</x:f>
        <x:v>0</x:v>
      </x:c>
      <x:c r="CF368" s="22" t="n">
        <x:f>MAX(0,MIN('Activities'!L368,480)-MAX('Activities'!K368,474))</x:f>
        <x:v>0</x:v>
      </x:c>
      <x:c r="CG368" s="22" t="n">
        <x:f>MAX(0,MIN('Activities'!L368,486)-MAX('Activities'!K368,480))</x:f>
        <x:v>0</x:v>
      </x:c>
      <x:c r="CH368" s="22" t="n">
        <x:f>MAX(0,MIN('Activities'!L368,492)-MAX('Activities'!K368,486))</x:f>
        <x:v>0</x:v>
      </x:c>
      <x:c r="CI368" s="22" t="n">
        <x:f>MAX(0,MIN('Activities'!L368,498)-MAX('Activities'!K368,492))</x:f>
        <x:v>0</x:v>
      </x:c>
      <x:c r="CJ368" s="22" t="n">
        <x:f>MAX(0,MIN('Activities'!L368,504)-MAX('Activities'!K368,498))</x:f>
        <x:v>0</x:v>
      </x:c>
      <x:c r="CK368" s="22" t="n">
        <x:f>MAX(0,MIN('Activities'!L368,510)-MAX('Activities'!K368,504))</x:f>
        <x:v>0</x:v>
      </x:c>
      <x:c r="CL368" s="22" t="n">
        <x:f>MAX(0,MIN('Activities'!L368,516)-MAX('Activities'!K368,510))</x:f>
        <x:v>0</x:v>
      </x:c>
      <x:c r="CM368" s="22" t="n">
        <x:f>MAX(0,MIN('Activities'!L368,522)-MAX('Activities'!K368,516))</x:f>
        <x:v>0</x:v>
      </x:c>
      <x:c r="CN368" s="22" t="n">
        <x:f>MAX(0,MIN('Activities'!L368,528)-MAX('Activities'!K368,522))</x:f>
        <x:v>0</x:v>
      </x:c>
      <x:c r="CO368" s="22" t="n">
        <x:f>MAX(0,MIN('Activities'!L368,534)-MAX('Activities'!K368,528))</x:f>
        <x:v>0</x:v>
      </x:c>
      <x:c r="CP368" s="22" t="n">
        <x:f>MAX(0,MIN('Activities'!L368,540)-MAX('Activities'!K368,534))</x:f>
        <x:v>0</x:v>
      </x:c>
      <x:c r="CQ368" s="22" t="n">
        <x:f>MAX(0,MIN('Activities'!L368,546)-MAX('Activities'!K368,540))</x:f>
        <x:v>0</x:v>
      </x:c>
      <x:c r="CR368" s="22" t="n">
        <x:f>MAX(0,MIN('Activities'!L368,552)-MAX('Activities'!K368,546))</x:f>
        <x:v>0</x:v>
      </x:c>
      <x:c r="CS368" s="22" t="n">
        <x:f>MAX(0,MIN('Activities'!L368,558)-MAX('Activities'!K368,552))</x:f>
        <x:v>0</x:v>
      </x:c>
      <x:c r="CT368" s="22" t="n">
        <x:f>MAX(0,MIN('Activities'!L368,564)-MAX('Activities'!K368,558))</x:f>
        <x:v>0</x:v>
      </x:c>
      <x:c r="CU368" s="22" t="n">
        <x:f>MAX(0,MIN('Activities'!L368,570)-MAX('Activities'!K368,564))</x:f>
        <x:v>0</x:v>
      </x:c>
      <x:c r="CV368" s="22" t="n">
        <x:f>MAX(0,MIN('Activities'!L368,576)-MAX('Activities'!K368,570))</x:f>
        <x:v>0</x:v>
      </x:c>
      <x:c r="CW368" s="22" t="n">
        <x:f>MAX(0,MIN('Activities'!L368,582)-MAX('Activities'!K368,576))</x:f>
        <x:v>0</x:v>
      </x:c>
      <x:c r="CX368" s="22" t="n">
        <x:f>MAX(0,MIN('Activities'!L368,588)-MAX('Activities'!K368,582))</x:f>
        <x:v>0</x:v>
      </x:c>
      <x:c r="CY368" s="22" t="n">
        <x:f>MAX(0,MIN('Activities'!L368,594)-MAX('Activities'!K368,588))</x:f>
        <x:v>0</x:v>
      </x:c>
      <x:c r="CZ368" s="22" t="n">
        <x:f>MAX(0,MIN('Activities'!L368,600)-MAX('Activities'!K368,594))</x:f>
        <x:v>0</x:v>
      </x:c>
      <x:c r="DA368" s="22" t="n">
        <x:f>MAX(0,MIN('Activities'!L368,606)-MAX('Activities'!K368,600))</x:f>
        <x:v>0</x:v>
      </x:c>
      <x:c r="DB368" s="22" t="n">
        <x:f>MAX(0,MIN('Activities'!L368,612)-MAX('Activities'!K368,606))</x:f>
        <x:v>0</x:v>
      </x:c>
      <x:c r="DC368" s="22" t="n">
        <x:f>MAX(0,MIN('Activities'!L368,618)-MAX('Activities'!K368,612))</x:f>
        <x:v>0</x:v>
      </x:c>
      <x:c r="DD368" s="22" t="n">
        <x:f>MAX(0,MIN('Activities'!L368,624)-MAX('Activities'!K368,618))</x:f>
        <x:v>0</x:v>
      </x:c>
      <x:c r="DE368" s="22" t="n">
        <x:f>MAX(0,MIN('Activities'!L368,630)-MAX('Activities'!K368,624))</x:f>
        <x:v>0</x:v>
      </x:c>
      <x:c r="DF368" s="22" t="n">
        <x:f>MAX(0,MIN('Activities'!L368,636)-MAX('Activities'!K368,630))</x:f>
        <x:v>0</x:v>
      </x:c>
    </x:row>
    <x:row r="369" ht="23" customHeight="1">
      <x:c r="A369" s="1" t="str">
        <x:v>T3-L05-S</x:v>
      </x:c>
      <x:c r="B369" s="1" t="str">
        <x:v>T3</x:v>
      </x:c>
      <x:c r="C369" s="1" t="str">
        <x:v>Screed and substrate preparation</x:v>
      </x:c>
      <x:c r="D369" s="1" t="str">
        <x:v>Finishes</x:v>
      </x:c>
      <x:c r="E369" s="23" t="n">
        <x:f>MAX(0,MIN('Activities'!L369,6)-MAX('Activities'!K369,0))</x:f>
        <x:v>0</x:v>
      </x:c>
      <x:c r="F369" s="23" t="n">
        <x:f>MAX(0,MIN('Activities'!L369,12)-MAX('Activities'!K369,6))</x:f>
        <x:v>0</x:v>
      </x:c>
      <x:c r="G369" s="23" t="n">
        <x:f>MAX(0,MIN('Activities'!L369,18)-MAX('Activities'!K369,12))</x:f>
        <x:v>0</x:v>
      </x:c>
      <x:c r="H369" s="23" t="n">
        <x:f>MAX(0,MIN('Activities'!L369,24)-MAX('Activities'!K369,18))</x:f>
        <x:v>0</x:v>
      </x:c>
      <x:c r="I369" s="23" t="n">
        <x:f>MAX(0,MIN('Activities'!L369,30)-MAX('Activities'!K369,24))</x:f>
        <x:v>0</x:v>
      </x:c>
      <x:c r="J369" s="23" t="n">
        <x:f>MAX(0,MIN('Activities'!L369,36)-MAX('Activities'!K369,30))</x:f>
        <x:v>0</x:v>
      </x:c>
      <x:c r="K369" s="23" t="n">
        <x:f>MAX(0,MIN('Activities'!L369,42)-MAX('Activities'!K369,36))</x:f>
        <x:v>0</x:v>
      </x:c>
      <x:c r="L369" s="23" t="n">
        <x:f>MAX(0,MIN('Activities'!L369,48)-MAX('Activities'!K369,42))</x:f>
        <x:v>0</x:v>
      </x:c>
      <x:c r="M369" s="23" t="n">
        <x:f>MAX(0,MIN('Activities'!L369,54)-MAX('Activities'!K369,48))</x:f>
        <x:v>0</x:v>
      </x:c>
      <x:c r="N369" s="23" t="n">
        <x:f>MAX(0,MIN('Activities'!L369,60)-MAX('Activities'!K369,54))</x:f>
        <x:v>0</x:v>
      </x:c>
      <x:c r="O369" s="23" t="n">
        <x:f>MAX(0,MIN('Activities'!L369,66)-MAX('Activities'!K369,60))</x:f>
        <x:v>0</x:v>
      </x:c>
      <x:c r="P369" s="23" t="n">
        <x:f>MAX(0,MIN('Activities'!L369,72)-MAX('Activities'!K369,66))</x:f>
        <x:v>0</x:v>
      </x:c>
      <x:c r="Q369" s="23" t="n">
        <x:f>MAX(0,MIN('Activities'!L369,78)-MAX('Activities'!K369,72))</x:f>
        <x:v>0</x:v>
      </x:c>
      <x:c r="R369" s="23" t="n">
        <x:f>MAX(0,MIN('Activities'!L369,84)-MAX('Activities'!K369,78))</x:f>
        <x:v>0</x:v>
      </x:c>
      <x:c r="S369" s="23" t="n">
        <x:f>MAX(0,MIN('Activities'!L369,90)-MAX('Activities'!K369,84))</x:f>
        <x:v>0</x:v>
      </x:c>
      <x:c r="T369" s="23" t="n">
        <x:f>MAX(0,MIN('Activities'!L369,96)-MAX('Activities'!K369,90))</x:f>
        <x:v>0</x:v>
      </x:c>
      <x:c r="U369" s="23" t="n">
        <x:f>MAX(0,MIN('Activities'!L369,102)-MAX('Activities'!K369,96))</x:f>
        <x:v>0</x:v>
      </x:c>
      <x:c r="V369" s="23" t="n">
        <x:f>MAX(0,MIN('Activities'!L369,108)-MAX('Activities'!K369,102))</x:f>
        <x:v>0</x:v>
      </x:c>
      <x:c r="W369" s="23" t="n">
        <x:f>MAX(0,MIN('Activities'!L369,114)-MAX('Activities'!K369,108))</x:f>
        <x:v>0</x:v>
      </x:c>
      <x:c r="X369" s="23" t="n">
        <x:f>MAX(0,MIN('Activities'!L369,120)-MAX('Activities'!K369,114))</x:f>
        <x:v>0</x:v>
      </x:c>
      <x:c r="Y369" s="23" t="n">
        <x:f>MAX(0,MIN('Activities'!L369,126)-MAX('Activities'!K369,120))</x:f>
        <x:v>0</x:v>
      </x:c>
      <x:c r="Z369" s="23" t="n">
        <x:f>MAX(0,MIN('Activities'!L369,132)-MAX('Activities'!K369,126))</x:f>
        <x:v>0</x:v>
      </x:c>
      <x:c r="AA369" s="23" t="n">
        <x:f>MAX(0,MIN('Activities'!L369,138)-MAX('Activities'!K369,132))</x:f>
        <x:v>0</x:v>
      </x:c>
      <x:c r="AB369" s="23" t="n">
        <x:f>MAX(0,MIN('Activities'!L369,144)-MAX('Activities'!K369,138))</x:f>
        <x:v>0</x:v>
      </x:c>
      <x:c r="AC369" s="23" t="n">
        <x:f>MAX(0,MIN('Activities'!L369,150)-MAX('Activities'!K369,144))</x:f>
        <x:v>0</x:v>
      </x:c>
      <x:c r="AD369" s="23" t="n">
        <x:f>MAX(0,MIN('Activities'!L369,156)-MAX('Activities'!K369,150))</x:f>
        <x:v>0</x:v>
      </x:c>
      <x:c r="AE369" s="23" t="n">
        <x:f>MAX(0,MIN('Activities'!L369,162)-MAX('Activities'!K369,156))</x:f>
        <x:v>0</x:v>
      </x:c>
      <x:c r="AF369" s="23" t="n">
        <x:f>MAX(0,MIN('Activities'!L369,168)-MAX('Activities'!K369,162))</x:f>
        <x:v>0</x:v>
      </x:c>
      <x:c r="AG369" s="23" t="n">
        <x:f>MAX(0,MIN('Activities'!L369,174)-MAX('Activities'!K369,168))</x:f>
        <x:v>0</x:v>
      </x:c>
      <x:c r="AH369" s="23" t="n">
        <x:f>MAX(0,MIN('Activities'!L369,180)-MAX('Activities'!K369,174))</x:f>
        <x:v>0</x:v>
      </x:c>
      <x:c r="AI369" s="23" t="n">
        <x:f>MAX(0,MIN('Activities'!L369,186)-MAX('Activities'!K369,180))</x:f>
        <x:v>0</x:v>
      </x:c>
      <x:c r="AJ369" s="23" t="n">
        <x:f>MAX(0,MIN('Activities'!L369,192)-MAX('Activities'!K369,186))</x:f>
        <x:v>0</x:v>
      </x:c>
      <x:c r="AK369" s="23" t="n">
        <x:f>MAX(0,MIN('Activities'!L369,198)-MAX('Activities'!K369,192))</x:f>
        <x:v>0</x:v>
      </x:c>
      <x:c r="AL369" s="23" t="n">
        <x:f>MAX(0,MIN('Activities'!L369,204)-MAX('Activities'!K369,198))</x:f>
        <x:v>0</x:v>
      </x:c>
      <x:c r="AM369" s="23" t="n">
        <x:f>MAX(0,MIN('Activities'!L369,210)-MAX('Activities'!K369,204))</x:f>
        <x:v>0</x:v>
      </x:c>
      <x:c r="AN369" s="23" t="n">
        <x:f>MAX(0,MIN('Activities'!L369,216)-MAX('Activities'!K369,210))</x:f>
        <x:v>0</x:v>
      </x:c>
      <x:c r="AO369" s="23" t="n">
        <x:f>MAX(0,MIN('Activities'!L369,222)-MAX('Activities'!K369,216))</x:f>
        <x:v>0</x:v>
      </x:c>
      <x:c r="AP369" s="23" t="n">
        <x:f>MAX(0,MIN('Activities'!L369,228)-MAX('Activities'!K369,222))</x:f>
        <x:v>0</x:v>
      </x:c>
      <x:c r="AQ369" s="23" t="n">
        <x:f>MAX(0,MIN('Activities'!L369,234)-MAX('Activities'!K369,228))</x:f>
        <x:v>0</x:v>
      </x:c>
      <x:c r="AR369" s="23" t="n">
        <x:f>MAX(0,MIN('Activities'!L369,240)-MAX('Activities'!K369,234))</x:f>
        <x:v>0</x:v>
      </x:c>
      <x:c r="AS369" s="23" t="n">
        <x:f>MAX(0,MIN('Activities'!L369,246)-MAX('Activities'!K369,240))</x:f>
        <x:v>0</x:v>
      </x:c>
      <x:c r="AT369" s="23" t="n">
        <x:f>MAX(0,MIN('Activities'!L369,252)-MAX('Activities'!K369,246))</x:f>
        <x:v>0</x:v>
      </x:c>
      <x:c r="AU369" s="23" t="n">
        <x:f>MAX(0,MIN('Activities'!L369,258)-MAX('Activities'!K369,252))</x:f>
        <x:v>0</x:v>
      </x:c>
      <x:c r="AV369" s="23" t="n">
        <x:f>MAX(0,MIN('Activities'!L369,264)-MAX('Activities'!K369,258))</x:f>
        <x:v>0</x:v>
      </x:c>
      <x:c r="AW369" s="23" t="n">
        <x:f>MAX(0,MIN('Activities'!L369,270)-MAX('Activities'!K369,264))</x:f>
        <x:v>0</x:v>
      </x:c>
      <x:c r="AX369" s="23" t="n">
        <x:f>MAX(0,MIN('Activities'!L369,276)-MAX('Activities'!K369,270))</x:f>
        <x:v>0</x:v>
      </x:c>
      <x:c r="AY369" s="23" t="n">
        <x:f>MAX(0,MIN('Activities'!L369,282)-MAX('Activities'!K369,276))</x:f>
        <x:v>0</x:v>
      </x:c>
      <x:c r="AZ369" s="23" t="n">
        <x:f>MAX(0,MIN('Activities'!L369,288)-MAX('Activities'!K369,282))</x:f>
        <x:v>0</x:v>
      </x:c>
      <x:c r="BA369" s="23" t="n">
        <x:f>MAX(0,MIN('Activities'!L369,294)-MAX('Activities'!K369,288))</x:f>
        <x:v>0</x:v>
      </x:c>
      <x:c r="BB369" s="23" t="n">
        <x:f>MAX(0,MIN('Activities'!L369,300)-MAX('Activities'!K369,294))</x:f>
        <x:v>0</x:v>
      </x:c>
      <x:c r="BC369" s="23" t="n">
        <x:f>MAX(0,MIN('Activities'!L369,306)-MAX('Activities'!K369,300))</x:f>
        <x:v>0</x:v>
      </x:c>
      <x:c r="BD369" s="23" t="n">
        <x:f>MAX(0,MIN('Activities'!L369,312)-MAX('Activities'!K369,306))</x:f>
        <x:v>0</x:v>
      </x:c>
      <x:c r="BE369" s="23" t="n">
        <x:f>MAX(0,MIN('Activities'!L369,318)-MAX('Activities'!K369,312))</x:f>
        <x:v>0</x:v>
      </x:c>
      <x:c r="BF369" s="23" t="n">
        <x:f>MAX(0,MIN('Activities'!L369,324)-MAX('Activities'!K369,318))</x:f>
        <x:v>0</x:v>
      </x:c>
      <x:c r="BG369" s="23" t="n">
        <x:f>MAX(0,MIN('Activities'!L369,330)-MAX('Activities'!K369,324))</x:f>
        <x:v>0</x:v>
      </x:c>
      <x:c r="BH369" s="23" t="n">
        <x:f>MAX(0,MIN('Activities'!L369,336)-MAX('Activities'!K369,330))</x:f>
        <x:v>0</x:v>
      </x:c>
      <x:c r="BI369" s="23" t="n">
        <x:f>MAX(0,MIN('Activities'!L369,342)-MAX('Activities'!K369,336))</x:f>
        <x:v>1</x:v>
      </x:c>
      <x:c r="BJ369" s="23" t="n">
        <x:f>MAX(0,MIN('Activities'!L369,348)-MAX('Activities'!K369,342))</x:f>
        <x:v>2</x:v>
      </x:c>
      <x:c r="BK369" s="23" t="n">
        <x:f>MAX(0,MIN('Activities'!L369,354)-MAX('Activities'!K369,348))</x:f>
        <x:v>0</x:v>
      </x:c>
      <x:c r="BL369" s="23" t="n">
        <x:f>MAX(0,MIN('Activities'!L369,360)-MAX('Activities'!K369,354))</x:f>
        <x:v>0</x:v>
      </x:c>
      <x:c r="BM369" s="23" t="n">
        <x:f>MAX(0,MIN('Activities'!L369,366)-MAX('Activities'!K369,360))</x:f>
        <x:v>0</x:v>
      </x:c>
      <x:c r="BN369" s="23" t="n">
        <x:f>MAX(0,MIN('Activities'!L369,372)-MAX('Activities'!K369,366))</x:f>
        <x:v>0</x:v>
      </x:c>
      <x:c r="BO369" s="23" t="n">
        <x:f>MAX(0,MIN('Activities'!L369,378)-MAX('Activities'!K369,372))</x:f>
        <x:v>0</x:v>
      </x:c>
      <x:c r="BP369" s="23" t="n">
        <x:f>MAX(0,MIN('Activities'!L369,384)-MAX('Activities'!K369,378))</x:f>
        <x:v>0</x:v>
      </x:c>
      <x:c r="BQ369" s="23" t="n">
        <x:f>MAX(0,MIN('Activities'!L369,390)-MAX('Activities'!K369,384))</x:f>
        <x:v>0</x:v>
      </x:c>
      <x:c r="BR369" s="23" t="n">
        <x:f>MAX(0,MIN('Activities'!L369,396)-MAX('Activities'!K369,390))</x:f>
        <x:v>0</x:v>
      </x:c>
      <x:c r="BS369" s="23" t="n">
        <x:f>MAX(0,MIN('Activities'!L369,402)-MAX('Activities'!K369,396))</x:f>
        <x:v>0</x:v>
      </x:c>
      <x:c r="BT369" s="23" t="n">
        <x:f>MAX(0,MIN('Activities'!L369,408)-MAX('Activities'!K369,402))</x:f>
        <x:v>0</x:v>
      </x:c>
      <x:c r="BU369" s="23" t="n">
        <x:f>MAX(0,MIN('Activities'!L369,414)-MAX('Activities'!K369,408))</x:f>
        <x:v>0</x:v>
      </x:c>
      <x:c r="BV369" s="23" t="n">
        <x:f>MAX(0,MIN('Activities'!L369,420)-MAX('Activities'!K369,414))</x:f>
        <x:v>0</x:v>
      </x:c>
      <x:c r="BW369" s="23" t="n">
        <x:f>MAX(0,MIN('Activities'!L369,426)-MAX('Activities'!K369,420))</x:f>
        <x:v>0</x:v>
      </x:c>
      <x:c r="BX369" s="23" t="n">
        <x:f>MAX(0,MIN('Activities'!L369,432)-MAX('Activities'!K369,426))</x:f>
        <x:v>0</x:v>
      </x:c>
      <x:c r="BY369" s="23" t="n">
        <x:f>MAX(0,MIN('Activities'!L369,438)-MAX('Activities'!K369,432))</x:f>
        <x:v>0</x:v>
      </x:c>
      <x:c r="BZ369" s="23" t="n">
        <x:f>MAX(0,MIN('Activities'!L369,444)-MAX('Activities'!K369,438))</x:f>
        <x:v>0</x:v>
      </x:c>
      <x:c r="CA369" s="23" t="n">
        <x:f>MAX(0,MIN('Activities'!L369,450)-MAX('Activities'!K369,444))</x:f>
        <x:v>0</x:v>
      </x:c>
      <x:c r="CB369" s="23" t="n">
        <x:f>MAX(0,MIN('Activities'!L369,456)-MAX('Activities'!K369,450))</x:f>
        <x:v>0</x:v>
      </x:c>
      <x:c r="CC369" s="23" t="n">
        <x:f>MAX(0,MIN('Activities'!L369,462)-MAX('Activities'!K369,456))</x:f>
        <x:v>0</x:v>
      </x:c>
      <x:c r="CD369" s="23" t="n">
        <x:f>MAX(0,MIN('Activities'!L369,468)-MAX('Activities'!K369,462))</x:f>
        <x:v>0</x:v>
      </x:c>
      <x:c r="CE369" s="23" t="n">
        <x:f>MAX(0,MIN('Activities'!L369,474)-MAX('Activities'!K369,468))</x:f>
        <x:v>0</x:v>
      </x:c>
      <x:c r="CF369" s="23" t="n">
        <x:f>MAX(0,MIN('Activities'!L369,480)-MAX('Activities'!K369,474))</x:f>
        <x:v>0</x:v>
      </x:c>
      <x:c r="CG369" s="23" t="n">
        <x:f>MAX(0,MIN('Activities'!L369,486)-MAX('Activities'!K369,480))</x:f>
        <x:v>0</x:v>
      </x:c>
      <x:c r="CH369" s="23" t="n">
        <x:f>MAX(0,MIN('Activities'!L369,492)-MAX('Activities'!K369,486))</x:f>
        <x:v>0</x:v>
      </x:c>
      <x:c r="CI369" s="23" t="n">
        <x:f>MAX(0,MIN('Activities'!L369,498)-MAX('Activities'!K369,492))</x:f>
        <x:v>0</x:v>
      </x:c>
      <x:c r="CJ369" s="23" t="n">
        <x:f>MAX(0,MIN('Activities'!L369,504)-MAX('Activities'!K369,498))</x:f>
        <x:v>0</x:v>
      </x:c>
      <x:c r="CK369" s="23" t="n">
        <x:f>MAX(0,MIN('Activities'!L369,510)-MAX('Activities'!K369,504))</x:f>
        <x:v>0</x:v>
      </x:c>
      <x:c r="CL369" s="23" t="n">
        <x:f>MAX(0,MIN('Activities'!L369,516)-MAX('Activities'!K369,510))</x:f>
        <x:v>0</x:v>
      </x:c>
      <x:c r="CM369" s="23" t="n">
        <x:f>MAX(0,MIN('Activities'!L369,522)-MAX('Activities'!K369,516))</x:f>
        <x:v>0</x:v>
      </x:c>
      <x:c r="CN369" s="23" t="n">
        <x:f>MAX(0,MIN('Activities'!L369,528)-MAX('Activities'!K369,522))</x:f>
        <x:v>0</x:v>
      </x:c>
      <x:c r="CO369" s="23" t="n">
        <x:f>MAX(0,MIN('Activities'!L369,534)-MAX('Activities'!K369,528))</x:f>
        <x:v>0</x:v>
      </x:c>
      <x:c r="CP369" s="23" t="n">
        <x:f>MAX(0,MIN('Activities'!L369,540)-MAX('Activities'!K369,534))</x:f>
        <x:v>0</x:v>
      </x:c>
      <x:c r="CQ369" s="23" t="n">
        <x:f>MAX(0,MIN('Activities'!L369,546)-MAX('Activities'!K369,540))</x:f>
        <x:v>0</x:v>
      </x:c>
      <x:c r="CR369" s="23" t="n">
        <x:f>MAX(0,MIN('Activities'!L369,552)-MAX('Activities'!K369,546))</x:f>
        <x:v>0</x:v>
      </x:c>
      <x:c r="CS369" s="23" t="n">
        <x:f>MAX(0,MIN('Activities'!L369,558)-MAX('Activities'!K369,552))</x:f>
        <x:v>0</x:v>
      </x:c>
      <x:c r="CT369" s="23" t="n">
        <x:f>MAX(0,MIN('Activities'!L369,564)-MAX('Activities'!K369,558))</x:f>
        <x:v>0</x:v>
      </x:c>
      <x:c r="CU369" s="23" t="n">
        <x:f>MAX(0,MIN('Activities'!L369,570)-MAX('Activities'!K369,564))</x:f>
        <x:v>0</x:v>
      </x:c>
      <x:c r="CV369" s="23" t="n">
        <x:f>MAX(0,MIN('Activities'!L369,576)-MAX('Activities'!K369,570))</x:f>
        <x:v>0</x:v>
      </x:c>
      <x:c r="CW369" s="23" t="n">
        <x:f>MAX(0,MIN('Activities'!L369,582)-MAX('Activities'!K369,576))</x:f>
        <x:v>0</x:v>
      </x:c>
      <x:c r="CX369" s="23" t="n">
        <x:f>MAX(0,MIN('Activities'!L369,588)-MAX('Activities'!K369,582))</x:f>
        <x:v>0</x:v>
      </x:c>
      <x:c r="CY369" s="23" t="n">
        <x:f>MAX(0,MIN('Activities'!L369,594)-MAX('Activities'!K369,588))</x:f>
        <x:v>0</x:v>
      </x:c>
      <x:c r="CZ369" s="23" t="n">
        <x:f>MAX(0,MIN('Activities'!L369,600)-MAX('Activities'!K369,594))</x:f>
        <x:v>0</x:v>
      </x:c>
      <x:c r="DA369" s="23" t="n">
        <x:f>MAX(0,MIN('Activities'!L369,606)-MAX('Activities'!K369,600))</x:f>
        <x:v>0</x:v>
      </x:c>
      <x:c r="DB369" s="23" t="n">
        <x:f>MAX(0,MIN('Activities'!L369,612)-MAX('Activities'!K369,606))</x:f>
        <x:v>0</x:v>
      </x:c>
      <x:c r="DC369" s="23" t="n">
        <x:f>MAX(0,MIN('Activities'!L369,618)-MAX('Activities'!K369,612))</x:f>
        <x:v>0</x:v>
      </x:c>
      <x:c r="DD369" s="23" t="n">
        <x:f>MAX(0,MIN('Activities'!L369,624)-MAX('Activities'!K369,618))</x:f>
        <x:v>0</x:v>
      </x:c>
      <x:c r="DE369" s="23" t="n">
        <x:f>MAX(0,MIN('Activities'!L369,630)-MAX('Activities'!K369,624))</x:f>
        <x:v>0</x:v>
      </x:c>
      <x:c r="DF369" s="23" t="n">
        <x:f>MAX(0,MIN('Activities'!L369,636)-MAX('Activities'!K369,630))</x:f>
        <x:v>0</x:v>
      </x:c>
    </x:row>
    <x:row r="370" ht="23" customHeight="1">
      <x:c r="A370" s="6" t="str">
        <x:v>T3-L05-T</x:v>
      </x:c>
      <x:c r="B370" s="6" t="str">
        <x:v>T3</x:v>
      </x:c>
      <x:c r="C370" s="6" t="str">
        <x:v>Floor finishes and skirtings</x:v>
      </x:c>
      <x:c r="D370" s="6" t="str">
        <x:v>Finishes</x:v>
      </x:c>
      <x:c r="E370" s="22" t="n">
        <x:f>MAX(0,MIN('Activities'!L370,6)-MAX('Activities'!K370,0))</x:f>
        <x:v>0</x:v>
      </x:c>
      <x:c r="F370" s="22" t="n">
        <x:f>MAX(0,MIN('Activities'!L370,12)-MAX('Activities'!K370,6))</x:f>
        <x:v>0</x:v>
      </x:c>
      <x:c r="G370" s="22" t="n">
        <x:f>MAX(0,MIN('Activities'!L370,18)-MAX('Activities'!K370,12))</x:f>
        <x:v>0</x:v>
      </x:c>
      <x:c r="H370" s="22" t="n">
        <x:f>MAX(0,MIN('Activities'!L370,24)-MAX('Activities'!K370,18))</x:f>
        <x:v>0</x:v>
      </x:c>
      <x:c r="I370" s="22" t="n">
        <x:f>MAX(0,MIN('Activities'!L370,30)-MAX('Activities'!K370,24))</x:f>
        <x:v>0</x:v>
      </x:c>
      <x:c r="J370" s="22" t="n">
        <x:f>MAX(0,MIN('Activities'!L370,36)-MAX('Activities'!K370,30))</x:f>
        <x:v>0</x:v>
      </x:c>
      <x:c r="K370" s="22" t="n">
        <x:f>MAX(0,MIN('Activities'!L370,42)-MAX('Activities'!K370,36))</x:f>
        <x:v>0</x:v>
      </x:c>
      <x:c r="L370" s="22" t="n">
        <x:f>MAX(0,MIN('Activities'!L370,48)-MAX('Activities'!K370,42))</x:f>
        <x:v>0</x:v>
      </x:c>
      <x:c r="M370" s="22" t="n">
        <x:f>MAX(0,MIN('Activities'!L370,54)-MAX('Activities'!K370,48))</x:f>
        <x:v>0</x:v>
      </x:c>
      <x:c r="N370" s="22" t="n">
        <x:f>MAX(0,MIN('Activities'!L370,60)-MAX('Activities'!K370,54))</x:f>
        <x:v>0</x:v>
      </x:c>
      <x:c r="O370" s="22" t="n">
        <x:f>MAX(0,MIN('Activities'!L370,66)-MAX('Activities'!K370,60))</x:f>
        <x:v>0</x:v>
      </x:c>
      <x:c r="P370" s="22" t="n">
        <x:f>MAX(0,MIN('Activities'!L370,72)-MAX('Activities'!K370,66))</x:f>
        <x:v>0</x:v>
      </x:c>
      <x:c r="Q370" s="22" t="n">
        <x:f>MAX(0,MIN('Activities'!L370,78)-MAX('Activities'!K370,72))</x:f>
        <x:v>0</x:v>
      </x:c>
      <x:c r="R370" s="22" t="n">
        <x:f>MAX(0,MIN('Activities'!L370,84)-MAX('Activities'!K370,78))</x:f>
        <x:v>0</x:v>
      </x:c>
      <x:c r="S370" s="22" t="n">
        <x:f>MAX(0,MIN('Activities'!L370,90)-MAX('Activities'!K370,84))</x:f>
        <x:v>0</x:v>
      </x:c>
      <x:c r="T370" s="22" t="n">
        <x:f>MAX(0,MIN('Activities'!L370,96)-MAX('Activities'!K370,90))</x:f>
        <x:v>0</x:v>
      </x:c>
      <x:c r="U370" s="22" t="n">
        <x:f>MAX(0,MIN('Activities'!L370,102)-MAX('Activities'!K370,96))</x:f>
        <x:v>0</x:v>
      </x:c>
      <x:c r="V370" s="22" t="n">
        <x:f>MAX(0,MIN('Activities'!L370,108)-MAX('Activities'!K370,102))</x:f>
        <x:v>0</x:v>
      </x:c>
      <x:c r="W370" s="22" t="n">
        <x:f>MAX(0,MIN('Activities'!L370,114)-MAX('Activities'!K370,108))</x:f>
        <x:v>0</x:v>
      </x:c>
      <x:c r="X370" s="22" t="n">
        <x:f>MAX(0,MIN('Activities'!L370,120)-MAX('Activities'!K370,114))</x:f>
        <x:v>0</x:v>
      </x:c>
      <x:c r="Y370" s="22" t="n">
        <x:f>MAX(0,MIN('Activities'!L370,126)-MAX('Activities'!K370,120))</x:f>
        <x:v>0</x:v>
      </x:c>
      <x:c r="Z370" s="22" t="n">
        <x:f>MAX(0,MIN('Activities'!L370,132)-MAX('Activities'!K370,126))</x:f>
        <x:v>0</x:v>
      </x:c>
      <x:c r="AA370" s="22" t="n">
        <x:f>MAX(0,MIN('Activities'!L370,138)-MAX('Activities'!K370,132))</x:f>
        <x:v>0</x:v>
      </x:c>
      <x:c r="AB370" s="22" t="n">
        <x:f>MAX(0,MIN('Activities'!L370,144)-MAX('Activities'!K370,138))</x:f>
        <x:v>0</x:v>
      </x:c>
      <x:c r="AC370" s="22" t="n">
        <x:f>MAX(0,MIN('Activities'!L370,150)-MAX('Activities'!K370,144))</x:f>
        <x:v>0</x:v>
      </x:c>
      <x:c r="AD370" s="22" t="n">
        <x:f>MAX(0,MIN('Activities'!L370,156)-MAX('Activities'!K370,150))</x:f>
        <x:v>0</x:v>
      </x:c>
      <x:c r="AE370" s="22" t="n">
        <x:f>MAX(0,MIN('Activities'!L370,162)-MAX('Activities'!K370,156))</x:f>
        <x:v>0</x:v>
      </x:c>
      <x:c r="AF370" s="22" t="n">
        <x:f>MAX(0,MIN('Activities'!L370,168)-MAX('Activities'!K370,162))</x:f>
        <x:v>0</x:v>
      </x:c>
      <x:c r="AG370" s="22" t="n">
        <x:f>MAX(0,MIN('Activities'!L370,174)-MAX('Activities'!K370,168))</x:f>
        <x:v>0</x:v>
      </x:c>
      <x:c r="AH370" s="22" t="n">
        <x:f>MAX(0,MIN('Activities'!L370,180)-MAX('Activities'!K370,174))</x:f>
        <x:v>0</x:v>
      </x:c>
      <x:c r="AI370" s="22" t="n">
        <x:f>MAX(0,MIN('Activities'!L370,186)-MAX('Activities'!K370,180))</x:f>
        <x:v>0</x:v>
      </x:c>
      <x:c r="AJ370" s="22" t="n">
        <x:f>MAX(0,MIN('Activities'!L370,192)-MAX('Activities'!K370,186))</x:f>
        <x:v>0</x:v>
      </x:c>
      <x:c r="AK370" s="22" t="n">
        <x:f>MAX(0,MIN('Activities'!L370,198)-MAX('Activities'!K370,192))</x:f>
        <x:v>0</x:v>
      </x:c>
      <x:c r="AL370" s="22" t="n">
        <x:f>MAX(0,MIN('Activities'!L370,204)-MAX('Activities'!K370,198))</x:f>
        <x:v>0</x:v>
      </x:c>
      <x:c r="AM370" s="22" t="n">
        <x:f>MAX(0,MIN('Activities'!L370,210)-MAX('Activities'!K370,204))</x:f>
        <x:v>0</x:v>
      </x:c>
      <x:c r="AN370" s="22" t="n">
        <x:f>MAX(0,MIN('Activities'!L370,216)-MAX('Activities'!K370,210))</x:f>
        <x:v>0</x:v>
      </x:c>
      <x:c r="AO370" s="22" t="n">
        <x:f>MAX(0,MIN('Activities'!L370,222)-MAX('Activities'!K370,216))</x:f>
        <x:v>0</x:v>
      </x:c>
      <x:c r="AP370" s="22" t="n">
        <x:f>MAX(0,MIN('Activities'!L370,228)-MAX('Activities'!K370,222))</x:f>
        <x:v>0</x:v>
      </x:c>
      <x:c r="AQ370" s="22" t="n">
        <x:f>MAX(0,MIN('Activities'!L370,234)-MAX('Activities'!K370,228))</x:f>
        <x:v>0</x:v>
      </x:c>
      <x:c r="AR370" s="22" t="n">
        <x:f>MAX(0,MIN('Activities'!L370,240)-MAX('Activities'!K370,234))</x:f>
        <x:v>0</x:v>
      </x:c>
      <x:c r="AS370" s="22" t="n">
        <x:f>MAX(0,MIN('Activities'!L370,246)-MAX('Activities'!K370,240))</x:f>
        <x:v>0</x:v>
      </x:c>
      <x:c r="AT370" s="22" t="n">
        <x:f>MAX(0,MIN('Activities'!L370,252)-MAX('Activities'!K370,246))</x:f>
        <x:v>0</x:v>
      </x:c>
      <x:c r="AU370" s="22" t="n">
        <x:f>MAX(0,MIN('Activities'!L370,258)-MAX('Activities'!K370,252))</x:f>
        <x:v>0</x:v>
      </x:c>
      <x:c r="AV370" s="22" t="n">
        <x:f>MAX(0,MIN('Activities'!L370,264)-MAX('Activities'!K370,258))</x:f>
        <x:v>0</x:v>
      </x:c>
      <x:c r="AW370" s="22" t="n">
        <x:f>MAX(0,MIN('Activities'!L370,270)-MAX('Activities'!K370,264))</x:f>
        <x:v>0</x:v>
      </x:c>
      <x:c r="AX370" s="22" t="n">
        <x:f>MAX(0,MIN('Activities'!L370,276)-MAX('Activities'!K370,270))</x:f>
        <x:v>0</x:v>
      </x:c>
      <x:c r="AY370" s="22" t="n">
        <x:f>MAX(0,MIN('Activities'!L370,282)-MAX('Activities'!K370,276))</x:f>
        <x:v>0</x:v>
      </x:c>
      <x:c r="AZ370" s="22" t="n">
        <x:f>MAX(0,MIN('Activities'!L370,288)-MAX('Activities'!K370,282))</x:f>
        <x:v>0</x:v>
      </x:c>
      <x:c r="BA370" s="22" t="n">
        <x:f>MAX(0,MIN('Activities'!L370,294)-MAX('Activities'!K370,288))</x:f>
        <x:v>0</x:v>
      </x:c>
      <x:c r="BB370" s="22" t="n">
        <x:f>MAX(0,MIN('Activities'!L370,300)-MAX('Activities'!K370,294))</x:f>
        <x:v>0</x:v>
      </x:c>
      <x:c r="BC370" s="22" t="n">
        <x:f>MAX(0,MIN('Activities'!L370,306)-MAX('Activities'!K370,300))</x:f>
        <x:v>0</x:v>
      </x:c>
      <x:c r="BD370" s="22" t="n">
        <x:f>MAX(0,MIN('Activities'!L370,312)-MAX('Activities'!K370,306))</x:f>
        <x:v>0</x:v>
      </x:c>
      <x:c r="BE370" s="22" t="n">
        <x:f>MAX(0,MIN('Activities'!L370,318)-MAX('Activities'!K370,312))</x:f>
        <x:v>0</x:v>
      </x:c>
      <x:c r="BF370" s="22" t="n">
        <x:f>MAX(0,MIN('Activities'!L370,324)-MAX('Activities'!K370,318))</x:f>
        <x:v>0</x:v>
      </x:c>
      <x:c r="BG370" s="22" t="n">
        <x:f>MAX(0,MIN('Activities'!L370,330)-MAX('Activities'!K370,324))</x:f>
        <x:v>0</x:v>
      </x:c>
      <x:c r="BH370" s="22" t="n">
        <x:f>MAX(0,MIN('Activities'!L370,336)-MAX('Activities'!K370,330))</x:f>
        <x:v>0</x:v>
      </x:c>
      <x:c r="BI370" s="22" t="n">
        <x:f>MAX(0,MIN('Activities'!L370,342)-MAX('Activities'!K370,336))</x:f>
        <x:v>0</x:v>
      </x:c>
      <x:c r="BJ370" s="22" t="n">
        <x:f>MAX(0,MIN('Activities'!L370,348)-MAX('Activities'!K370,342))</x:f>
        <x:v>0</x:v>
      </x:c>
      <x:c r="BK370" s="22" t="n">
        <x:f>MAX(0,MIN('Activities'!L370,354)-MAX('Activities'!K370,348))</x:f>
        <x:v>0</x:v>
      </x:c>
      <x:c r="BL370" s="22" t="n">
        <x:f>MAX(0,MIN('Activities'!L370,360)-MAX('Activities'!K370,354))</x:f>
        <x:v>0</x:v>
      </x:c>
      <x:c r="BM370" s="22" t="n">
        <x:f>MAX(0,MIN('Activities'!L370,366)-MAX('Activities'!K370,360))</x:f>
        <x:v>0</x:v>
      </x:c>
      <x:c r="BN370" s="22" t="n">
        <x:f>MAX(0,MIN('Activities'!L370,372)-MAX('Activities'!K370,366))</x:f>
        <x:v>0</x:v>
      </x:c>
      <x:c r="BO370" s="22" t="n">
        <x:f>MAX(0,MIN('Activities'!L370,378)-MAX('Activities'!K370,372))</x:f>
        <x:v>0</x:v>
      </x:c>
      <x:c r="BP370" s="22" t="n">
        <x:f>MAX(0,MIN('Activities'!L370,384)-MAX('Activities'!K370,378))</x:f>
        <x:v>0</x:v>
      </x:c>
      <x:c r="BQ370" s="22" t="n">
        <x:f>MAX(0,MIN('Activities'!L370,390)-MAX('Activities'!K370,384))</x:f>
        <x:v>0</x:v>
      </x:c>
      <x:c r="BR370" s="22" t="n">
        <x:f>MAX(0,MIN('Activities'!L370,396)-MAX('Activities'!K370,390))</x:f>
        <x:v>0</x:v>
      </x:c>
      <x:c r="BS370" s="22" t="n">
        <x:f>MAX(0,MIN('Activities'!L370,402)-MAX('Activities'!K370,396))</x:f>
        <x:v>0</x:v>
      </x:c>
      <x:c r="BT370" s="22" t="n">
        <x:f>MAX(0,MIN('Activities'!L370,408)-MAX('Activities'!K370,402))</x:f>
        <x:v>0</x:v>
      </x:c>
      <x:c r="BU370" s="22" t="n">
        <x:f>MAX(0,MIN('Activities'!L370,414)-MAX('Activities'!K370,408))</x:f>
        <x:v>0</x:v>
      </x:c>
      <x:c r="BV370" s="22" t="n">
        <x:f>MAX(0,MIN('Activities'!L370,420)-MAX('Activities'!K370,414))</x:f>
        <x:v>0</x:v>
      </x:c>
      <x:c r="BW370" s="22" t="n">
        <x:f>MAX(0,MIN('Activities'!L370,426)-MAX('Activities'!K370,420))</x:f>
        <x:v>1</x:v>
      </x:c>
      <x:c r="BX370" s="22" t="n">
        <x:f>MAX(0,MIN('Activities'!L370,432)-MAX('Activities'!K370,426))</x:f>
        <x:v>5</x:v>
      </x:c>
      <x:c r="BY370" s="22" t="n">
        <x:f>MAX(0,MIN('Activities'!L370,438)-MAX('Activities'!K370,432))</x:f>
        <x:v>0</x:v>
      </x:c>
      <x:c r="BZ370" s="22" t="n">
        <x:f>MAX(0,MIN('Activities'!L370,444)-MAX('Activities'!K370,438))</x:f>
        <x:v>0</x:v>
      </x:c>
      <x:c r="CA370" s="22" t="n">
        <x:f>MAX(0,MIN('Activities'!L370,450)-MAX('Activities'!K370,444))</x:f>
        <x:v>0</x:v>
      </x:c>
      <x:c r="CB370" s="22" t="n">
        <x:f>MAX(0,MIN('Activities'!L370,456)-MAX('Activities'!K370,450))</x:f>
        <x:v>0</x:v>
      </x:c>
      <x:c r="CC370" s="22" t="n">
        <x:f>MAX(0,MIN('Activities'!L370,462)-MAX('Activities'!K370,456))</x:f>
        <x:v>0</x:v>
      </x:c>
      <x:c r="CD370" s="22" t="n">
        <x:f>MAX(0,MIN('Activities'!L370,468)-MAX('Activities'!K370,462))</x:f>
        <x:v>0</x:v>
      </x:c>
      <x:c r="CE370" s="22" t="n">
        <x:f>MAX(0,MIN('Activities'!L370,474)-MAX('Activities'!K370,468))</x:f>
        <x:v>0</x:v>
      </x:c>
      <x:c r="CF370" s="22" t="n">
        <x:f>MAX(0,MIN('Activities'!L370,480)-MAX('Activities'!K370,474))</x:f>
        <x:v>0</x:v>
      </x:c>
      <x:c r="CG370" s="22" t="n">
        <x:f>MAX(0,MIN('Activities'!L370,486)-MAX('Activities'!K370,480))</x:f>
        <x:v>0</x:v>
      </x:c>
      <x:c r="CH370" s="22" t="n">
        <x:f>MAX(0,MIN('Activities'!L370,492)-MAX('Activities'!K370,486))</x:f>
        <x:v>0</x:v>
      </x:c>
      <x:c r="CI370" s="22" t="n">
        <x:f>MAX(0,MIN('Activities'!L370,498)-MAX('Activities'!K370,492))</x:f>
        <x:v>0</x:v>
      </x:c>
      <x:c r="CJ370" s="22" t="n">
        <x:f>MAX(0,MIN('Activities'!L370,504)-MAX('Activities'!K370,498))</x:f>
        <x:v>0</x:v>
      </x:c>
      <x:c r="CK370" s="22" t="n">
        <x:f>MAX(0,MIN('Activities'!L370,510)-MAX('Activities'!K370,504))</x:f>
        <x:v>0</x:v>
      </x:c>
      <x:c r="CL370" s="22" t="n">
        <x:f>MAX(0,MIN('Activities'!L370,516)-MAX('Activities'!K370,510))</x:f>
        <x:v>0</x:v>
      </x:c>
      <x:c r="CM370" s="22" t="n">
        <x:f>MAX(0,MIN('Activities'!L370,522)-MAX('Activities'!K370,516))</x:f>
        <x:v>0</x:v>
      </x:c>
      <x:c r="CN370" s="22" t="n">
        <x:f>MAX(0,MIN('Activities'!L370,528)-MAX('Activities'!K370,522))</x:f>
        <x:v>0</x:v>
      </x:c>
      <x:c r="CO370" s="22" t="n">
        <x:f>MAX(0,MIN('Activities'!L370,534)-MAX('Activities'!K370,528))</x:f>
        <x:v>0</x:v>
      </x:c>
      <x:c r="CP370" s="22" t="n">
        <x:f>MAX(0,MIN('Activities'!L370,540)-MAX('Activities'!K370,534))</x:f>
        <x:v>0</x:v>
      </x:c>
      <x:c r="CQ370" s="22" t="n">
        <x:f>MAX(0,MIN('Activities'!L370,546)-MAX('Activities'!K370,540))</x:f>
        <x:v>0</x:v>
      </x:c>
      <x:c r="CR370" s="22" t="n">
        <x:f>MAX(0,MIN('Activities'!L370,552)-MAX('Activities'!K370,546))</x:f>
        <x:v>0</x:v>
      </x:c>
      <x:c r="CS370" s="22" t="n">
        <x:f>MAX(0,MIN('Activities'!L370,558)-MAX('Activities'!K370,552))</x:f>
        <x:v>0</x:v>
      </x:c>
      <x:c r="CT370" s="22" t="n">
        <x:f>MAX(0,MIN('Activities'!L370,564)-MAX('Activities'!K370,558))</x:f>
        <x:v>0</x:v>
      </x:c>
      <x:c r="CU370" s="22" t="n">
        <x:f>MAX(0,MIN('Activities'!L370,570)-MAX('Activities'!K370,564))</x:f>
        <x:v>0</x:v>
      </x:c>
      <x:c r="CV370" s="22" t="n">
        <x:f>MAX(0,MIN('Activities'!L370,576)-MAX('Activities'!K370,570))</x:f>
        <x:v>0</x:v>
      </x:c>
      <x:c r="CW370" s="22" t="n">
        <x:f>MAX(0,MIN('Activities'!L370,582)-MAX('Activities'!K370,576))</x:f>
        <x:v>0</x:v>
      </x:c>
      <x:c r="CX370" s="22" t="n">
        <x:f>MAX(0,MIN('Activities'!L370,588)-MAX('Activities'!K370,582))</x:f>
        <x:v>0</x:v>
      </x:c>
      <x:c r="CY370" s="22" t="n">
        <x:f>MAX(0,MIN('Activities'!L370,594)-MAX('Activities'!K370,588))</x:f>
        <x:v>0</x:v>
      </x:c>
      <x:c r="CZ370" s="22" t="n">
        <x:f>MAX(0,MIN('Activities'!L370,600)-MAX('Activities'!K370,594))</x:f>
        <x:v>0</x:v>
      </x:c>
      <x:c r="DA370" s="22" t="n">
        <x:f>MAX(0,MIN('Activities'!L370,606)-MAX('Activities'!K370,600))</x:f>
        <x:v>0</x:v>
      </x:c>
      <x:c r="DB370" s="22" t="n">
        <x:f>MAX(0,MIN('Activities'!L370,612)-MAX('Activities'!K370,606))</x:f>
        <x:v>0</x:v>
      </x:c>
      <x:c r="DC370" s="22" t="n">
        <x:f>MAX(0,MIN('Activities'!L370,618)-MAX('Activities'!K370,612))</x:f>
        <x:v>0</x:v>
      </x:c>
      <x:c r="DD370" s="22" t="n">
        <x:f>MAX(0,MIN('Activities'!L370,624)-MAX('Activities'!K370,618))</x:f>
        <x:v>0</x:v>
      </x:c>
      <x:c r="DE370" s="22" t="n">
        <x:f>MAX(0,MIN('Activities'!L370,630)-MAX('Activities'!K370,624))</x:f>
        <x:v>0</x:v>
      </x:c>
      <x:c r="DF370" s="22" t="n">
        <x:f>MAX(0,MIN('Activities'!L370,636)-MAX('Activities'!K370,630))</x:f>
        <x:v>0</x:v>
      </x:c>
    </x:row>
    <x:row r="371" ht="23" customHeight="1">
      <x:c r="A371" s="1" t="str">
        <x:v>T3-L05-A</x:v>
      </x:c>
      <x:c r="B371" s="1" t="str">
        <x:v>T3</x:v>
      </x:c>
      <x:c r="C371" s="1" t="str">
        <x:v>Paint and final decorations</x:v>
      </x:c>
      <x:c r="D371" s="1" t="str">
        <x:v>Finishes</x:v>
      </x:c>
      <x:c r="E371" s="23" t="n">
        <x:f>MAX(0,MIN('Activities'!L371,6)-MAX('Activities'!K371,0))</x:f>
        <x:v>0</x:v>
      </x:c>
      <x:c r="F371" s="23" t="n">
        <x:f>MAX(0,MIN('Activities'!L371,12)-MAX('Activities'!K371,6))</x:f>
        <x:v>0</x:v>
      </x:c>
      <x:c r="G371" s="23" t="n">
        <x:f>MAX(0,MIN('Activities'!L371,18)-MAX('Activities'!K371,12))</x:f>
        <x:v>0</x:v>
      </x:c>
      <x:c r="H371" s="23" t="n">
        <x:f>MAX(0,MIN('Activities'!L371,24)-MAX('Activities'!K371,18))</x:f>
        <x:v>0</x:v>
      </x:c>
      <x:c r="I371" s="23" t="n">
        <x:f>MAX(0,MIN('Activities'!L371,30)-MAX('Activities'!K371,24))</x:f>
        <x:v>0</x:v>
      </x:c>
      <x:c r="J371" s="23" t="n">
        <x:f>MAX(0,MIN('Activities'!L371,36)-MAX('Activities'!K371,30))</x:f>
        <x:v>0</x:v>
      </x:c>
      <x:c r="K371" s="23" t="n">
        <x:f>MAX(0,MIN('Activities'!L371,42)-MAX('Activities'!K371,36))</x:f>
        <x:v>0</x:v>
      </x:c>
      <x:c r="L371" s="23" t="n">
        <x:f>MAX(0,MIN('Activities'!L371,48)-MAX('Activities'!K371,42))</x:f>
        <x:v>0</x:v>
      </x:c>
      <x:c r="M371" s="23" t="n">
        <x:f>MAX(0,MIN('Activities'!L371,54)-MAX('Activities'!K371,48))</x:f>
        <x:v>0</x:v>
      </x:c>
      <x:c r="N371" s="23" t="n">
        <x:f>MAX(0,MIN('Activities'!L371,60)-MAX('Activities'!K371,54))</x:f>
        <x:v>0</x:v>
      </x:c>
      <x:c r="O371" s="23" t="n">
        <x:f>MAX(0,MIN('Activities'!L371,66)-MAX('Activities'!K371,60))</x:f>
        <x:v>0</x:v>
      </x:c>
      <x:c r="P371" s="23" t="n">
        <x:f>MAX(0,MIN('Activities'!L371,72)-MAX('Activities'!K371,66))</x:f>
        <x:v>0</x:v>
      </x:c>
      <x:c r="Q371" s="23" t="n">
        <x:f>MAX(0,MIN('Activities'!L371,78)-MAX('Activities'!K371,72))</x:f>
        <x:v>0</x:v>
      </x:c>
      <x:c r="R371" s="23" t="n">
        <x:f>MAX(0,MIN('Activities'!L371,84)-MAX('Activities'!K371,78))</x:f>
        <x:v>0</x:v>
      </x:c>
      <x:c r="S371" s="23" t="n">
        <x:f>MAX(0,MIN('Activities'!L371,90)-MAX('Activities'!K371,84))</x:f>
        <x:v>0</x:v>
      </x:c>
      <x:c r="T371" s="23" t="n">
        <x:f>MAX(0,MIN('Activities'!L371,96)-MAX('Activities'!K371,90))</x:f>
        <x:v>0</x:v>
      </x:c>
      <x:c r="U371" s="23" t="n">
        <x:f>MAX(0,MIN('Activities'!L371,102)-MAX('Activities'!K371,96))</x:f>
        <x:v>0</x:v>
      </x:c>
      <x:c r="V371" s="23" t="n">
        <x:f>MAX(0,MIN('Activities'!L371,108)-MAX('Activities'!K371,102))</x:f>
        <x:v>0</x:v>
      </x:c>
      <x:c r="W371" s="23" t="n">
        <x:f>MAX(0,MIN('Activities'!L371,114)-MAX('Activities'!K371,108))</x:f>
        <x:v>0</x:v>
      </x:c>
      <x:c r="X371" s="23" t="n">
        <x:f>MAX(0,MIN('Activities'!L371,120)-MAX('Activities'!K371,114))</x:f>
        <x:v>0</x:v>
      </x:c>
      <x:c r="Y371" s="23" t="n">
        <x:f>MAX(0,MIN('Activities'!L371,126)-MAX('Activities'!K371,120))</x:f>
        <x:v>0</x:v>
      </x:c>
      <x:c r="Z371" s="23" t="n">
        <x:f>MAX(0,MIN('Activities'!L371,132)-MAX('Activities'!K371,126))</x:f>
        <x:v>0</x:v>
      </x:c>
      <x:c r="AA371" s="23" t="n">
        <x:f>MAX(0,MIN('Activities'!L371,138)-MAX('Activities'!K371,132))</x:f>
        <x:v>0</x:v>
      </x:c>
      <x:c r="AB371" s="23" t="n">
        <x:f>MAX(0,MIN('Activities'!L371,144)-MAX('Activities'!K371,138))</x:f>
        <x:v>0</x:v>
      </x:c>
      <x:c r="AC371" s="23" t="n">
        <x:f>MAX(0,MIN('Activities'!L371,150)-MAX('Activities'!K371,144))</x:f>
        <x:v>0</x:v>
      </x:c>
      <x:c r="AD371" s="23" t="n">
        <x:f>MAX(0,MIN('Activities'!L371,156)-MAX('Activities'!K371,150))</x:f>
        <x:v>0</x:v>
      </x:c>
      <x:c r="AE371" s="23" t="n">
        <x:f>MAX(0,MIN('Activities'!L371,162)-MAX('Activities'!K371,156))</x:f>
        <x:v>0</x:v>
      </x:c>
      <x:c r="AF371" s="23" t="n">
        <x:f>MAX(0,MIN('Activities'!L371,168)-MAX('Activities'!K371,162))</x:f>
        <x:v>0</x:v>
      </x:c>
      <x:c r="AG371" s="23" t="n">
        <x:f>MAX(0,MIN('Activities'!L371,174)-MAX('Activities'!K371,168))</x:f>
        <x:v>0</x:v>
      </x:c>
      <x:c r="AH371" s="23" t="n">
        <x:f>MAX(0,MIN('Activities'!L371,180)-MAX('Activities'!K371,174))</x:f>
        <x:v>0</x:v>
      </x:c>
      <x:c r="AI371" s="23" t="n">
        <x:f>MAX(0,MIN('Activities'!L371,186)-MAX('Activities'!K371,180))</x:f>
        <x:v>0</x:v>
      </x:c>
      <x:c r="AJ371" s="23" t="n">
        <x:f>MAX(0,MIN('Activities'!L371,192)-MAX('Activities'!K371,186))</x:f>
        <x:v>0</x:v>
      </x:c>
      <x:c r="AK371" s="23" t="n">
        <x:f>MAX(0,MIN('Activities'!L371,198)-MAX('Activities'!K371,192))</x:f>
        <x:v>0</x:v>
      </x:c>
      <x:c r="AL371" s="23" t="n">
        <x:f>MAX(0,MIN('Activities'!L371,204)-MAX('Activities'!K371,198))</x:f>
        <x:v>0</x:v>
      </x:c>
      <x:c r="AM371" s="23" t="n">
        <x:f>MAX(0,MIN('Activities'!L371,210)-MAX('Activities'!K371,204))</x:f>
        <x:v>0</x:v>
      </x:c>
      <x:c r="AN371" s="23" t="n">
        <x:f>MAX(0,MIN('Activities'!L371,216)-MAX('Activities'!K371,210))</x:f>
        <x:v>0</x:v>
      </x:c>
      <x:c r="AO371" s="23" t="n">
        <x:f>MAX(0,MIN('Activities'!L371,222)-MAX('Activities'!K371,216))</x:f>
        <x:v>0</x:v>
      </x:c>
      <x:c r="AP371" s="23" t="n">
        <x:f>MAX(0,MIN('Activities'!L371,228)-MAX('Activities'!K371,222))</x:f>
        <x:v>0</x:v>
      </x:c>
      <x:c r="AQ371" s="23" t="n">
        <x:f>MAX(0,MIN('Activities'!L371,234)-MAX('Activities'!K371,228))</x:f>
        <x:v>0</x:v>
      </x:c>
      <x:c r="AR371" s="23" t="n">
        <x:f>MAX(0,MIN('Activities'!L371,240)-MAX('Activities'!K371,234))</x:f>
        <x:v>0</x:v>
      </x:c>
      <x:c r="AS371" s="23" t="n">
        <x:f>MAX(0,MIN('Activities'!L371,246)-MAX('Activities'!K371,240))</x:f>
        <x:v>0</x:v>
      </x:c>
      <x:c r="AT371" s="23" t="n">
        <x:f>MAX(0,MIN('Activities'!L371,252)-MAX('Activities'!K371,246))</x:f>
        <x:v>0</x:v>
      </x:c>
      <x:c r="AU371" s="23" t="n">
        <x:f>MAX(0,MIN('Activities'!L371,258)-MAX('Activities'!K371,252))</x:f>
        <x:v>0</x:v>
      </x:c>
      <x:c r="AV371" s="23" t="n">
        <x:f>MAX(0,MIN('Activities'!L371,264)-MAX('Activities'!K371,258))</x:f>
        <x:v>0</x:v>
      </x:c>
      <x:c r="AW371" s="23" t="n">
        <x:f>MAX(0,MIN('Activities'!L371,270)-MAX('Activities'!K371,264))</x:f>
        <x:v>0</x:v>
      </x:c>
      <x:c r="AX371" s="23" t="n">
        <x:f>MAX(0,MIN('Activities'!L371,276)-MAX('Activities'!K371,270))</x:f>
        <x:v>0</x:v>
      </x:c>
      <x:c r="AY371" s="23" t="n">
        <x:f>MAX(0,MIN('Activities'!L371,282)-MAX('Activities'!K371,276))</x:f>
        <x:v>0</x:v>
      </x:c>
      <x:c r="AZ371" s="23" t="n">
        <x:f>MAX(0,MIN('Activities'!L371,288)-MAX('Activities'!K371,282))</x:f>
        <x:v>0</x:v>
      </x:c>
      <x:c r="BA371" s="23" t="n">
        <x:f>MAX(0,MIN('Activities'!L371,294)-MAX('Activities'!K371,288))</x:f>
        <x:v>0</x:v>
      </x:c>
      <x:c r="BB371" s="23" t="n">
        <x:f>MAX(0,MIN('Activities'!L371,300)-MAX('Activities'!K371,294))</x:f>
        <x:v>0</x:v>
      </x:c>
      <x:c r="BC371" s="23" t="n">
        <x:f>MAX(0,MIN('Activities'!L371,306)-MAX('Activities'!K371,300))</x:f>
        <x:v>0</x:v>
      </x:c>
      <x:c r="BD371" s="23" t="n">
        <x:f>MAX(0,MIN('Activities'!L371,312)-MAX('Activities'!K371,306))</x:f>
        <x:v>0</x:v>
      </x:c>
      <x:c r="BE371" s="23" t="n">
        <x:f>MAX(0,MIN('Activities'!L371,318)-MAX('Activities'!K371,312))</x:f>
        <x:v>0</x:v>
      </x:c>
      <x:c r="BF371" s="23" t="n">
        <x:f>MAX(0,MIN('Activities'!L371,324)-MAX('Activities'!K371,318))</x:f>
        <x:v>0</x:v>
      </x:c>
      <x:c r="BG371" s="23" t="n">
        <x:f>MAX(0,MIN('Activities'!L371,330)-MAX('Activities'!K371,324))</x:f>
        <x:v>0</x:v>
      </x:c>
      <x:c r="BH371" s="23" t="n">
        <x:f>MAX(0,MIN('Activities'!L371,336)-MAX('Activities'!K371,330))</x:f>
        <x:v>0</x:v>
      </x:c>
      <x:c r="BI371" s="23" t="n">
        <x:f>MAX(0,MIN('Activities'!L371,342)-MAX('Activities'!K371,336))</x:f>
        <x:v>0</x:v>
      </x:c>
      <x:c r="BJ371" s="23" t="n">
        <x:f>MAX(0,MIN('Activities'!L371,348)-MAX('Activities'!K371,342))</x:f>
        <x:v>0</x:v>
      </x:c>
      <x:c r="BK371" s="23" t="n">
        <x:f>MAX(0,MIN('Activities'!L371,354)-MAX('Activities'!K371,348))</x:f>
        <x:v>0</x:v>
      </x:c>
      <x:c r="BL371" s="23" t="n">
        <x:f>MAX(0,MIN('Activities'!L371,360)-MAX('Activities'!K371,354))</x:f>
        <x:v>0</x:v>
      </x:c>
      <x:c r="BM371" s="23" t="n">
        <x:f>MAX(0,MIN('Activities'!L371,366)-MAX('Activities'!K371,360))</x:f>
        <x:v>0</x:v>
      </x:c>
      <x:c r="BN371" s="23" t="n">
        <x:f>MAX(0,MIN('Activities'!L371,372)-MAX('Activities'!K371,366))</x:f>
        <x:v>0</x:v>
      </x:c>
      <x:c r="BO371" s="23" t="n">
        <x:f>MAX(0,MIN('Activities'!L371,378)-MAX('Activities'!K371,372))</x:f>
        <x:v>0</x:v>
      </x:c>
      <x:c r="BP371" s="23" t="n">
        <x:f>MAX(0,MIN('Activities'!L371,384)-MAX('Activities'!K371,378))</x:f>
        <x:v>0</x:v>
      </x:c>
      <x:c r="BQ371" s="23" t="n">
        <x:f>MAX(0,MIN('Activities'!L371,390)-MAX('Activities'!K371,384))</x:f>
        <x:v>0</x:v>
      </x:c>
      <x:c r="BR371" s="23" t="n">
        <x:f>MAX(0,MIN('Activities'!L371,396)-MAX('Activities'!K371,390))</x:f>
        <x:v>0</x:v>
      </x:c>
      <x:c r="BS371" s="23" t="n">
        <x:f>MAX(0,MIN('Activities'!L371,402)-MAX('Activities'!K371,396))</x:f>
        <x:v>0</x:v>
      </x:c>
      <x:c r="BT371" s="23" t="n">
        <x:f>MAX(0,MIN('Activities'!L371,408)-MAX('Activities'!K371,402))</x:f>
        <x:v>0</x:v>
      </x:c>
      <x:c r="BU371" s="23" t="n">
        <x:f>MAX(0,MIN('Activities'!L371,414)-MAX('Activities'!K371,408))</x:f>
        <x:v>0</x:v>
      </x:c>
      <x:c r="BV371" s="23" t="n">
        <x:f>MAX(0,MIN('Activities'!L371,420)-MAX('Activities'!K371,414))</x:f>
        <x:v>0</x:v>
      </x:c>
      <x:c r="BW371" s="23" t="n">
        <x:f>MAX(0,MIN('Activities'!L371,426)-MAX('Activities'!K371,420))</x:f>
        <x:v>0</x:v>
      </x:c>
      <x:c r="BX371" s="23" t="n">
        <x:f>MAX(0,MIN('Activities'!L371,432)-MAX('Activities'!K371,426))</x:f>
        <x:v>0</x:v>
      </x:c>
      <x:c r="BY371" s="23" t="n">
        <x:f>MAX(0,MIN('Activities'!L371,438)-MAX('Activities'!K371,432))</x:f>
        <x:v>5</x:v>
      </x:c>
      <x:c r="BZ371" s="23" t="n">
        <x:f>MAX(0,MIN('Activities'!L371,444)-MAX('Activities'!K371,438))</x:f>
        <x:v>0</x:v>
      </x:c>
      <x:c r="CA371" s="23" t="n">
        <x:f>MAX(0,MIN('Activities'!L371,450)-MAX('Activities'!K371,444))</x:f>
        <x:v>0</x:v>
      </x:c>
      <x:c r="CB371" s="23" t="n">
        <x:f>MAX(0,MIN('Activities'!L371,456)-MAX('Activities'!K371,450))</x:f>
        <x:v>0</x:v>
      </x:c>
      <x:c r="CC371" s="23" t="n">
        <x:f>MAX(0,MIN('Activities'!L371,462)-MAX('Activities'!K371,456))</x:f>
        <x:v>0</x:v>
      </x:c>
      <x:c r="CD371" s="23" t="n">
        <x:f>MAX(0,MIN('Activities'!L371,468)-MAX('Activities'!K371,462))</x:f>
        <x:v>0</x:v>
      </x:c>
      <x:c r="CE371" s="23" t="n">
        <x:f>MAX(0,MIN('Activities'!L371,474)-MAX('Activities'!K371,468))</x:f>
        <x:v>0</x:v>
      </x:c>
      <x:c r="CF371" s="23" t="n">
        <x:f>MAX(0,MIN('Activities'!L371,480)-MAX('Activities'!K371,474))</x:f>
        <x:v>0</x:v>
      </x:c>
      <x:c r="CG371" s="23" t="n">
        <x:f>MAX(0,MIN('Activities'!L371,486)-MAX('Activities'!K371,480))</x:f>
        <x:v>0</x:v>
      </x:c>
      <x:c r="CH371" s="23" t="n">
        <x:f>MAX(0,MIN('Activities'!L371,492)-MAX('Activities'!K371,486))</x:f>
        <x:v>0</x:v>
      </x:c>
      <x:c r="CI371" s="23" t="n">
        <x:f>MAX(0,MIN('Activities'!L371,498)-MAX('Activities'!K371,492))</x:f>
        <x:v>0</x:v>
      </x:c>
      <x:c r="CJ371" s="23" t="n">
        <x:f>MAX(0,MIN('Activities'!L371,504)-MAX('Activities'!K371,498))</x:f>
        <x:v>0</x:v>
      </x:c>
      <x:c r="CK371" s="23" t="n">
        <x:f>MAX(0,MIN('Activities'!L371,510)-MAX('Activities'!K371,504))</x:f>
        <x:v>0</x:v>
      </x:c>
      <x:c r="CL371" s="23" t="n">
        <x:f>MAX(0,MIN('Activities'!L371,516)-MAX('Activities'!K371,510))</x:f>
        <x:v>0</x:v>
      </x:c>
      <x:c r="CM371" s="23" t="n">
        <x:f>MAX(0,MIN('Activities'!L371,522)-MAX('Activities'!K371,516))</x:f>
        <x:v>0</x:v>
      </x:c>
      <x:c r="CN371" s="23" t="n">
        <x:f>MAX(0,MIN('Activities'!L371,528)-MAX('Activities'!K371,522))</x:f>
        <x:v>0</x:v>
      </x:c>
      <x:c r="CO371" s="23" t="n">
        <x:f>MAX(0,MIN('Activities'!L371,534)-MAX('Activities'!K371,528))</x:f>
        <x:v>0</x:v>
      </x:c>
      <x:c r="CP371" s="23" t="n">
        <x:f>MAX(0,MIN('Activities'!L371,540)-MAX('Activities'!K371,534))</x:f>
        <x:v>0</x:v>
      </x:c>
      <x:c r="CQ371" s="23" t="n">
        <x:f>MAX(0,MIN('Activities'!L371,546)-MAX('Activities'!K371,540))</x:f>
        <x:v>0</x:v>
      </x:c>
      <x:c r="CR371" s="23" t="n">
        <x:f>MAX(0,MIN('Activities'!L371,552)-MAX('Activities'!K371,546))</x:f>
        <x:v>0</x:v>
      </x:c>
      <x:c r="CS371" s="23" t="n">
        <x:f>MAX(0,MIN('Activities'!L371,558)-MAX('Activities'!K371,552))</x:f>
        <x:v>0</x:v>
      </x:c>
      <x:c r="CT371" s="23" t="n">
        <x:f>MAX(0,MIN('Activities'!L371,564)-MAX('Activities'!K371,558))</x:f>
        <x:v>0</x:v>
      </x:c>
      <x:c r="CU371" s="23" t="n">
        <x:f>MAX(0,MIN('Activities'!L371,570)-MAX('Activities'!K371,564))</x:f>
        <x:v>0</x:v>
      </x:c>
      <x:c r="CV371" s="23" t="n">
        <x:f>MAX(0,MIN('Activities'!L371,576)-MAX('Activities'!K371,570))</x:f>
        <x:v>0</x:v>
      </x:c>
      <x:c r="CW371" s="23" t="n">
        <x:f>MAX(0,MIN('Activities'!L371,582)-MAX('Activities'!K371,576))</x:f>
        <x:v>0</x:v>
      </x:c>
      <x:c r="CX371" s="23" t="n">
        <x:f>MAX(0,MIN('Activities'!L371,588)-MAX('Activities'!K371,582))</x:f>
        <x:v>0</x:v>
      </x:c>
      <x:c r="CY371" s="23" t="n">
        <x:f>MAX(0,MIN('Activities'!L371,594)-MAX('Activities'!K371,588))</x:f>
        <x:v>0</x:v>
      </x:c>
      <x:c r="CZ371" s="23" t="n">
        <x:f>MAX(0,MIN('Activities'!L371,600)-MAX('Activities'!K371,594))</x:f>
        <x:v>0</x:v>
      </x:c>
      <x:c r="DA371" s="23" t="n">
        <x:f>MAX(0,MIN('Activities'!L371,606)-MAX('Activities'!K371,600))</x:f>
        <x:v>0</x:v>
      </x:c>
      <x:c r="DB371" s="23" t="n">
        <x:f>MAX(0,MIN('Activities'!L371,612)-MAX('Activities'!K371,606))</x:f>
        <x:v>0</x:v>
      </x:c>
      <x:c r="DC371" s="23" t="n">
        <x:f>MAX(0,MIN('Activities'!L371,618)-MAX('Activities'!K371,612))</x:f>
        <x:v>0</x:v>
      </x:c>
      <x:c r="DD371" s="23" t="n">
        <x:f>MAX(0,MIN('Activities'!L371,624)-MAX('Activities'!K371,618))</x:f>
        <x:v>0</x:v>
      </x:c>
      <x:c r="DE371" s="23" t="n">
        <x:f>MAX(0,MIN('Activities'!L371,630)-MAX('Activities'!K371,624))</x:f>
        <x:v>0</x:v>
      </x:c>
      <x:c r="DF371" s="23" t="n">
        <x:f>MAX(0,MIN('Activities'!L371,636)-MAX('Activities'!K371,630))</x:f>
        <x:v>0</x:v>
      </x:c>
    </x:row>
    <x:row r="372" ht="23" customHeight="1">
      <x:c r="A372" s="6" t="str">
        <x:v>T3-L05-D</x:v>
      </x:c>
      <x:c r="B372" s="6" t="str">
        <x:v>T3</x:v>
      </x:c>
      <x:c r="C372" s="6" t="str">
        <x:v>Door sets and ironmongery</x:v>
      </x:c>
      <x:c r="D372" s="6" t="str">
        <x:v>Finishes</x:v>
      </x:c>
      <x:c r="E372" s="22" t="n">
        <x:f>MAX(0,MIN('Activities'!L372,6)-MAX('Activities'!K372,0))</x:f>
        <x:v>0</x:v>
      </x:c>
      <x:c r="F372" s="22" t="n">
        <x:f>MAX(0,MIN('Activities'!L372,12)-MAX('Activities'!K372,6))</x:f>
        <x:v>0</x:v>
      </x:c>
      <x:c r="G372" s="22" t="n">
        <x:f>MAX(0,MIN('Activities'!L372,18)-MAX('Activities'!K372,12))</x:f>
        <x:v>0</x:v>
      </x:c>
      <x:c r="H372" s="22" t="n">
        <x:f>MAX(0,MIN('Activities'!L372,24)-MAX('Activities'!K372,18))</x:f>
        <x:v>0</x:v>
      </x:c>
      <x:c r="I372" s="22" t="n">
        <x:f>MAX(0,MIN('Activities'!L372,30)-MAX('Activities'!K372,24))</x:f>
        <x:v>0</x:v>
      </x:c>
      <x:c r="J372" s="22" t="n">
        <x:f>MAX(0,MIN('Activities'!L372,36)-MAX('Activities'!K372,30))</x:f>
        <x:v>0</x:v>
      </x:c>
      <x:c r="K372" s="22" t="n">
        <x:f>MAX(0,MIN('Activities'!L372,42)-MAX('Activities'!K372,36))</x:f>
        <x:v>0</x:v>
      </x:c>
      <x:c r="L372" s="22" t="n">
        <x:f>MAX(0,MIN('Activities'!L372,48)-MAX('Activities'!K372,42))</x:f>
        <x:v>0</x:v>
      </x:c>
      <x:c r="M372" s="22" t="n">
        <x:f>MAX(0,MIN('Activities'!L372,54)-MAX('Activities'!K372,48))</x:f>
        <x:v>0</x:v>
      </x:c>
      <x:c r="N372" s="22" t="n">
        <x:f>MAX(0,MIN('Activities'!L372,60)-MAX('Activities'!K372,54))</x:f>
        <x:v>0</x:v>
      </x:c>
      <x:c r="O372" s="22" t="n">
        <x:f>MAX(0,MIN('Activities'!L372,66)-MAX('Activities'!K372,60))</x:f>
        <x:v>0</x:v>
      </x:c>
      <x:c r="P372" s="22" t="n">
        <x:f>MAX(0,MIN('Activities'!L372,72)-MAX('Activities'!K372,66))</x:f>
        <x:v>0</x:v>
      </x:c>
      <x:c r="Q372" s="22" t="n">
        <x:f>MAX(0,MIN('Activities'!L372,78)-MAX('Activities'!K372,72))</x:f>
        <x:v>0</x:v>
      </x:c>
      <x:c r="R372" s="22" t="n">
        <x:f>MAX(0,MIN('Activities'!L372,84)-MAX('Activities'!K372,78))</x:f>
        <x:v>0</x:v>
      </x:c>
      <x:c r="S372" s="22" t="n">
        <x:f>MAX(0,MIN('Activities'!L372,90)-MAX('Activities'!K372,84))</x:f>
        <x:v>0</x:v>
      </x:c>
      <x:c r="T372" s="22" t="n">
        <x:f>MAX(0,MIN('Activities'!L372,96)-MAX('Activities'!K372,90))</x:f>
        <x:v>0</x:v>
      </x:c>
      <x:c r="U372" s="22" t="n">
        <x:f>MAX(0,MIN('Activities'!L372,102)-MAX('Activities'!K372,96))</x:f>
        <x:v>0</x:v>
      </x:c>
      <x:c r="V372" s="22" t="n">
        <x:f>MAX(0,MIN('Activities'!L372,108)-MAX('Activities'!K372,102))</x:f>
        <x:v>0</x:v>
      </x:c>
      <x:c r="W372" s="22" t="n">
        <x:f>MAX(0,MIN('Activities'!L372,114)-MAX('Activities'!K372,108))</x:f>
        <x:v>0</x:v>
      </x:c>
      <x:c r="X372" s="22" t="n">
        <x:f>MAX(0,MIN('Activities'!L372,120)-MAX('Activities'!K372,114))</x:f>
        <x:v>0</x:v>
      </x:c>
      <x:c r="Y372" s="22" t="n">
        <x:f>MAX(0,MIN('Activities'!L372,126)-MAX('Activities'!K372,120))</x:f>
        <x:v>0</x:v>
      </x:c>
      <x:c r="Z372" s="22" t="n">
        <x:f>MAX(0,MIN('Activities'!L372,132)-MAX('Activities'!K372,126))</x:f>
        <x:v>0</x:v>
      </x:c>
      <x:c r="AA372" s="22" t="n">
        <x:f>MAX(0,MIN('Activities'!L372,138)-MAX('Activities'!K372,132))</x:f>
        <x:v>0</x:v>
      </x:c>
      <x:c r="AB372" s="22" t="n">
        <x:f>MAX(0,MIN('Activities'!L372,144)-MAX('Activities'!K372,138))</x:f>
        <x:v>0</x:v>
      </x:c>
      <x:c r="AC372" s="22" t="n">
        <x:f>MAX(0,MIN('Activities'!L372,150)-MAX('Activities'!K372,144))</x:f>
        <x:v>0</x:v>
      </x:c>
      <x:c r="AD372" s="22" t="n">
        <x:f>MAX(0,MIN('Activities'!L372,156)-MAX('Activities'!K372,150))</x:f>
        <x:v>0</x:v>
      </x:c>
      <x:c r="AE372" s="22" t="n">
        <x:f>MAX(0,MIN('Activities'!L372,162)-MAX('Activities'!K372,156))</x:f>
        <x:v>0</x:v>
      </x:c>
      <x:c r="AF372" s="22" t="n">
        <x:f>MAX(0,MIN('Activities'!L372,168)-MAX('Activities'!K372,162))</x:f>
        <x:v>0</x:v>
      </x:c>
      <x:c r="AG372" s="22" t="n">
        <x:f>MAX(0,MIN('Activities'!L372,174)-MAX('Activities'!K372,168))</x:f>
        <x:v>0</x:v>
      </x:c>
      <x:c r="AH372" s="22" t="n">
        <x:f>MAX(0,MIN('Activities'!L372,180)-MAX('Activities'!K372,174))</x:f>
        <x:v>0</x:v>
      </x:c>
      <x:c r="AI372" s="22" t="n">
        <x:f>MAX(0,MIN('Activities'!L372,186)-MAX('Activities'!K372,180))</x:f>
        <x:v>0</x:v>
      </x:c>
      <x:c r="AJ372" s="22" t="n">
        <x:f>MAX(0,MIN('Activities'!L372,192)-MAX('Activities'!K372,186))</x:f>
        <x:v>0</x:v>
      </x:c>
      <x:c r="AK372" s="22" t="n">
        <x:f>MAX(0,MIN('Activities'!L372,198)-MAX('Activities'!K372,192))</x:f>
        <x:v>0</x:v>
      </x:c>
      <x:c r="AL372" s="22" t="n">
        <x:f>MAX(0,MIN('Activities'!L372,204)-MAX('Activities'!K372,198))</x:f>
        <x:v>0</x:v>
      </x:c>
      <x:c r="AM372" s="22" t="n">
        <x:f>MAX(0,MIN('Activities'!L372,210)-MAX('Activities'!K372,204))</x:f>
        <x:v>0</x:v>
      </x:c>
      <x:c r="AN372" s="22" t="n">
        <x:f>MAX(0,MIN('Activities'!L372,216)-MAX('Activities'!K372,210))</x:f>
        <x:v>0</x:v>
      </x:c>
      <x:c r="AO372" s="22" t="n">
        <x:f>MAX(0,MIN('Activities'!L372,222)-MAX('Activities'!K372,216))</x:f>
        <x:v>0</x:v>
      </x:c>
      <x:c r="AP372" s="22" t="n">
        <x:f>MAX(0,MIN('Activities'!L372,228)-MAX('Activities'!K372,222))</x:f>
        <x:v>0</x:v>
      </x:c>
      <x:c r="AQ372" s="22" t="n">
        <x:f>MAX(0,MIN('Activities'!L372,234)-MAX('Activities'!K372,228))</x:f>
        <x:v>0</x:v>
      </x:c>
      <x:c r="AR372" s="22" t="n">
        <x:f>MAX(0,MIN('Activities'!L372,240)-MAX('Activities'!K372,234))</x:f>
        <x:v>0</x:v>
      </x:c>
      <x:c r="AS372" s="22" t="n">
        <x:f>MAX(0,MIN('Activities'!L372,246)-MAX('Activities'!K372,240))</x:f>
        <x:v>0</x:v>
      </x:c>
      <x:c r="AT372" s="22" t="n">
        <x:f>MAX(0,MIN('Activities'!L372,252)-MAX('Activities'!K372,246))</x:f>
        <x:v>0</x:v>
      </x:c>
      <x:c r="AU372" s="22" t="n">
        <x:f>MAX(0,MIN('Activities'!L372,258)-MAX('Activities'!K372,252))</x:f>
        <x:v>0</x:v>
      </x:c>
      <x:c r="AV372" s="22" t="n">
        <x:f>MAX(0,MIN('Activities'!L372,264)-MAX('Activities'!K372,258))</x:f>
        <x:v>0</x:v>
      </x:c>
      <x:c r="AW372" s="22" t="n">
        <x:f>MAX(0,MIN('Activities'!L372,270)-MAX('Activities'!K372,264))</x:f>
        <x:v>0</x:v>
      </x:c>
      <x:c r="AX372" s="22" t="n">
        <x:f>MAX(0,MIN('Activities'!L372,276)-MAX('Activities'!K372,270))</x:f>
        <x:v>0</x:v>
      </x:c>
      <x:c r="AY372" s="22" t="n">
        <x:f>MAX(0,MIN('Activities'!L372,282)-MAX('Activities'!K372,276))</x:f>
        <x:v>0</x:v>
      </x:c>
      <x:c r="AZ372" s="22" t="n">
        <x:f>MAX(0,MIN('Activities'!L372,288)-MAX('Activities'!K372,282))</x:f>
        <x:v>0</x:v>
      </x:c>
      <x:c r="BA372" s="22" t="n">
        <x:f>MAX(0,MIN('Activities'!L372,294)-MAX('Activities'!K372,288))</x:f>
        <x:v>0</x:v>
      </x:c>
      <x:c r="BB372" s="22" t="n">
        <x:f>MAX(0,MIN('Activities'!L372,300)-MAX('Activities'!K372,294))</x:f>
        <x:v>0</x:v>
      </x:c>
      <x:c r="BC372" s="22" t="n">
        <x:f>MAX(0,MIN('Activities'!L372,306)-MAX('Activities'!K372,300))</x:f>
        <x:v>0</x:v>
      </x:c>
      <x:c r="BD372" s="22" t="n">
        <x:f>MAX(0,MIN('Activities'!L372,312)-MAX('Activities'!K372,306))</x:f>
        <x:v>0</x:v>
      </x:c>
      <x:c r="BE372" s="22" t="n">
        <x:f>MAX(0,MIN('Activities'!L372,318)-MAX('Activities'!K372,312))</x:f>
        <x:v>0</x:v>
      </x:c>
      <x:c r="BF372" s="22" t="n">
        <x:f>MAX(0,MIN('Activities'!L372,324)-MAX('Activities'!K372,318))</x:f>
        <x:v>0</x:v>
      </x:c>
      <x:c r="BG372" s="22" t="n">
        <x:f>MAX(0,MIN('Activities'!L372,330)-MAX('Activities'!K372,324))</x:f>
        <x:v>0</x:v>
      </x:c>
      <x:c r="BH372" s="22" t="n">
        <x:f>MAX(0,MIN('Activities'!L372,336)-MAX('Activities'!K372,330))</x:f>
        <x:v>0</x:v>
      </x:c>
      <x:c r="BI372" s="22" t="n">
        <x:f>MAX(0,MIN('Activities'!L372,342)-MAX('Activities'!K372,336))</x:f>
        <x:v>0</x:v>
      </x:c>
      <x:c r="BJ372" s="22" t="n">
        <x:f>MAX(0,MIN('Activities'!L372,348)-MAX('Activities'!K372,342))</x:f>
        <x:v>0</x:v>
      </x:c>
      <x:c r="BK372" s="22" t="n">
        <x:f>MAX(0,MIN('Activities'!L372,354)-MAX('Activities'!K372,348))</x:f>
        <x:v>0</x:v>
      </x:c>
      <x:c r="BL372" s="22" t="n">
        <x:f>MAX(0,MIN('Activities'!L372,360)-MAX('Activities'!K372,354))</x:f>
        <x:v>0</x:v>
      </x:c>
      <x:c r="BM372" s="22" t="n">
        <x:f>MAX(0,MIN('Activities'!L372,366)-MAX('Activities'!K372,360))</x:f>
        <x:v>0</x:v>
      </x:c>
      <x:c r="BN372" s="22" t="n">
        <x:f>MAX(0,MIN('Activities'!L372,372)-MAX('Activities'!K372,366))</x:f>
        <x:v>0</x:v>
      </x:c>
      <x:c r="BO372" s="22" t="n">
        <x:f>MAX(0,MIN('Activities'!L372,378)-MAX('Activities'!K372,372))</x:f>
        <x:v>0</x:v>
      </x:c>
      <x:c r="BP372" s="22" t="n">
        <x:f>MAX(0,MIN('Activities'!L372,384)-MAX('Activities'!K372,378))</x:f>
        <x:v>0</x:v>
      </x:c>
      <x:c r="BQ372" s="22" t="n">
        <x:f>MAX(0,MIN('Activities'!L372,390)-MAX('Activities'!K372,384))</x:f>
        <x:v>0</x:v>
      </x:c>
      <x:c r="BR372" s="22" t="n">
        <x:f>MAX(0,MIN('Activities'!L372,396)-MAX('Activities'!K372,390))</x:f>
        <x:v>0</x:v>
      </x:c>
      <x:c r="BS372" s="22" t="n">
        <x:f>MAX(0,MIN('Activities'!L372,402)-MAX('Activities'!K372,396))</x:f>
        <x:v>0</x:v>
      </x:c>
      <x:c r="BT372" s="22" t="n">
        <x:f>MAX(0,MIN('Activities'!L372,408)-MAX('Activities'!K372,402))</x:f>
        <x:v>0</x:v>
      </x:c>
      <x:c r="BU372" s="22" t="n">
        <x:f>MAX(0,MIN('Activities'!L372,414)-MAX('Activities'!K372,408))</x:f>
        <x:v>0</x:v>
      </x:c>
      <x:c r="BV372" s="22" t="n">
        <x:f>MAX(0,MIN('Activities'!L372,420)-MAX('Activities'!K372,414))</x:f>
        <x:v>0</x:v>
      </x:c>
      <x:c r="BW372" s="22" t="n">
        <x:f>MAX(0,MIN('Activities'!L372,426)-MAX('Activities'!K372,420))</x:f>
        <x:v>0</x:v>
      </x:c>
      <x:c r="BX372" s="22" t="n">
        <x:f>MAX(0,MIN('Activities'!L372,432)-MAX('Activities'!K372,426))</x:f>
        <x:v>0</x:v>
      </x:c>
      <x:c r="BY372" s="22" t="n">
        <x:f>MAX(0,MIN('Activities'!L372,438)-MAX('Activities'!K372,432))</x:f>
        <x:v>0</x:v>
      </x:c>
      <x:c r="BZ372" s="22" t="n">
        <x:f>MAX(0,MIN('Activities'!L372,444)-MAX('Activities'!K372,438))</x:f>
        <x:v>3</x:v>
      </x:c>
      <x:c r="CA372" s="22" t="n">
        <x:f>MAX(0,MIN('Activities'!L372,450)-MAX('Activities'!K372,444))</x:f>
        <x:v>0</x:v>
      </x:c>
      <x:c r="CB372" s="22" t="n">
        <x:f>MAX(0,MIN('Activities'!L372,456)-MAX('Activities'!K372,450))</x:f>
        <x:v>0</x:v>
      </x:c>
      <x:c r="CC372" s="22" t="n">
        <x:f>MAX(0,MIN('Activities'!L372,462)-MAX('Activities'!K372,456))</x:f>
        <x:v>0</x:v>
      </x:c>
      <x:c r="CD372" s="22" t="n">
        <x:f>MAX(0,MIN('Activities'!L372,468)-MAX('Activities'!K372,462))</x:f>
        <x:v>0</x:v>
      </x:c>
      <x:c r="CE372" s="22" t="n">
        <x:f>MAX(0,MIN('Activities'!L372,474)-MAX('Activities'!K372,468))</x:f>
        <x:v>0</x:v>
      </x:c>
      <x:c r="CF372" s="22" t="n">
        <x:f>MAX(0,MIN('Activities'!L372,480)-MAX('Activities'!K372,474))</x:f>
        <x:v>0</x:v>
      </x:c>
      <x:c r="CG372" s="22" t="n">
        <x:f>MAX(0,MIN('Activities'!L372,486)-MAX('Activities'!K372,480))</x:f>
        <x:v>0</x:v>
      </x:c>
      <x:c r="CH372" s="22" t="n">
        <x:f>MAX(0,MIN('Activities'!L372,492)-MAX('Activities'!K372,486))</x:f>
        <x:v>0</x:v>
      </x:c>
      <x:c r="CI372" s="22" t="n">
        <x:f>MAX(0,MIN('Activities'!L372,498)-MAX('Activities'!K372,492))</x:f>
        <x:v>0</x:v>
      </x:c>
      <x:c r="CJ372" s="22" t="n">
        <x:f>MAX(0,MIN('Activities'!L372,504)-MAX('Activities'!K372,498))</x:f>
        <x:v>0</x:v>
      </x:c>
      <x:c r="CK372" s="22" t="n">
        <x:f>MAX(0,MIN('Activities'!L372,510)-MAX('Activities'!K372,504))</x:f>
        <x:v>0</x:v>
      </x:c>
      <x:c r="CL372" s="22" t="n">
        <x:f>MAX(0,MIN('Activities'!L372,516)-MAX('Activities'!K372,510))</x:f>
        <x:v>0</x:v>
      </x:c>
      <x:c r="CM372" s="22" t="n">
        <x:f>MAX(0,MIN('Activities'!L372,522)-MAX('Activities'!K372,516))</x:f>
        <x:v>0</x:v>
      </x:c>
      <x:c r="CN372" s="22" t="n">
        <x:f>MAX(0,MIN('Activities'!L372,528)-MAX('Activities'!K372,522))</x:f>
        <x:v>0</x:v>
      </x:c>
      <x:c r="CO372" s="22" t="n">
        <x:f>MAX(0,MIN('Activities'!L372,534)-MAX('Activities'!K372,528))</x:f>
        <x:v>0</x:v>
      </x:c>
      <x:c r="CP372" s="22" t="n">
        <x:f>MAX(0,MIN('Activities'!L372,540)-MAX('Activities'!K372,534))</x:f>
        <x:v>0</x:v>
      </x:c>
      <x:c r="CQ372" s="22" t="n">
        <x:f>MAX(0,MIN('Activities'!L372,546)-MAX('Activities'!K372,540))</x:f>
        <x:v>0</x:v>
      </x:c>
      <x:c r="CR372" s="22" t="n">
        <x:f>MAX(0,MIN('Activities'!L372,552)-MAX('Activities'!K372,546))</x:f>
        <x:v>0</x:v>
      </x:c>
      <x:c r="CS372" s="22" t="n">
        <x:f>MAX(0,MIN('Activities'!L372,558)-MAX('Activities'!K372,552))</x:f>
        <x:v>0</x:v>
      </x:c>
      <x:c r="CT372" s="22" t="n">
        <x:f>MAX(0,MIN('Activities'!L372,564)-MAX('Activities'!K372,558))</x:f>
        <x:v>0</x:v>
      </x:c>
      <x:c r="CU372" s="22" t="n">
        <x:f>MAX(0,MIN('Activities'!L372,570)-MAX('Activities'!K372,564))</x:f>
        <x:v>0</x:v>
      </x:c>
      <x:c r="CV372" s="22" t="n">
        <x:f>MAX(0,MIN('Activities'!L372,576)-MAX('Activities'!K372,570))</x:f>
        <x:v>0</x:v>
      </x:c>
      <x:c r="CW372" s="22" t="n">
        <x:f>MAX(0,MIN('Activities'!L372,582)-MAX('Activities'!K372,576))</x:f>
        <x:v>0</x:v>
      </x:c>
      <x:c r="CX372" s="22" t="n">
        <x:f>MAX(0,MIN('Activities'!L372,588)-MAX('Activities'!K372,582))</x:f>
        <x:v>0</x:v>
      </x:c>
      <x:c r="CY372" s="22" t="n">
        <x:f>MAX(0,MIN('Activities'!L372,594)-MAX('Activities'!K372,588))</x:f>
        <x:v>0</x:v>
      </x:c>
      <x:c r="CZ372" s="22" t="n">
        <x:f>MAX(0,MIN('Activities'!L372,600)-MAX('Activities'!K372,594))</x:f>
        <x:v>0</x:v>
      </x:c>
      <x:c r="DA372" s="22" t="n">
        <x:f>MAX(0,MIN('Activities'!L372,606)-MAX('Activities'!K372,600))</x:f>
        <x:v>0</x:v>
      </x:c>
      <x:c r="DB372" s="22" t="n">
        <x:f>MAX(0,MIN('Activities'!L372,612)-MAX('Activities'!K372,606))</x:f>
        <x:v>0</x:v>
      </x:c>
      <x:c r="DC372" s="22" t="n">
        <x:f>MAX(0,MIN('Activities'!L372,618)-MAX('Activities'!K372,612))</x:f>
        <x:v>0</x:v>
      </x:c>
      <x:c r="DD372" s="22" t="n">
        <x:f>MAX(0,MIN('Activities'!L372,624)-MAX('Activities'!K372,618))</x:f>
        <x:v>0</x:v>
      </x:c>
      <x:c r="DE372" s="22" t="n">
        <x:f>MAX(0,MIN('Activities'!L372,630)-MAX('Activities'!K372,624))</x:f>
        <x:v>0</x:v>
      </x:c>
      <x:c r="DF372" s="22" t="n">
        <x:f>MAX(0,MIN('Activities'!L372,636)-MAX('Activities'!K372,630))</x:f>
        <x:v>0</x:v>
      </x:c>
    </x:row>
    <x:row r="373" ht="23" customHeight="1">
      <x:c r="A373" s="1" t="str">
        <x:v>T3-L06-M</x:v>
      </x:c>
      <x:c r="B373" s="1" t="str">
        <x:v>T3</x:v>
      </x:c>
      <x:c r="C373" s="1" t="str">
        <x:v>Partition masonry</x:v>
      </x:c>
      <x:c r="D373" s="1" t="str">
        <x:v>Masonry</x:v>
      </x:c>
      <x:c r="E373" s="23" t="n">
        <x:f>MAX(0,MIN('Activities'!L373,6)-MAX('Activities'!K373,0))</x:f>
        <x:v>0</x:v>
      </x:c>
      <x:c r="F373" s="23" t="n">
        <x:f>MAX(0,MIN('Activities'!L373,12)-MAX('Activities'!K373,6))</x:f>
        <x:v>0</x:v>
      </x:c>
      <x:c r="G373" s="23" t="n">
        <x:f>MAX(0,MIN('Activities'!L373,18)-MAX('Activities'!K373,12))</x:f>
        <x:v>0</x:v>
      </x:c>
      <x:c r="H373" s="23" t="n">
        <x:f>MAX(0,MIN('Activities'!L373,24)-MAX('Activities'!K373,18))</x:f>
        <x:v>0</x:v>
      </x:c>
      <x:c r="I373" s="23" t="n">
        <x:f>MAX(0,MIN('Activities'!L373,30)-MAX('Activities'!K373,24))</x:f>
        <x:v>0</x:v>
      </x:c>
      <x:c r="J373" s="23" t="n">
        <x:f>MAX(0,MIN('Activities'!L373,36)-MAX('Activities'!K373,30))</x:f>
        <x:v>0</x:v>
      </x:c>
      <x:c r="K373" s="23" t="n">
        <x:f>MAX(0,MIN('Activities'!L373,42)-MAX('Activities'!K373,36))</x:f>
        <x:v>0</x:v>
      </x:c>
      <x:c r="L373" s="23" t="n">
        <x:f>MAX(0,MIN('Activities'!L373,48)-MAX('Activities'!K373,42))</x:f>
        <x:v>0</x:v>
      </x:c>
      <x:c r="M373" s="23" t="n">
        <x:f>MAX(0,MIN('Activities'!L373,54)-MAX('Activities'!K373,48))</x:f>
        <x:v>0</x:v>
      </x:c>
      <x:c r="N373" s="23" t="n">
        <x:f>MAX(0,MIN('Activities'!L373,60)-MAX('Activities'!K373,54))</x:f>
        <x:v>0</x:v>
      </x:c>
      <x:c r="O373" s="23" t="n">
        <x:f>MAX(0,MIN('Activities'!L373,66)-MAX('Activities'!K373,60))</x:f>
        <x:v>0</x:v>
      </x:c>
      <x:c r="P373" s="23" t="n">
        <x:f>MAX(0,MIN('Activities'!L373,72)-MAX('Activities'!K373,66))</x:f>
        <x:v>0</x:v>
      </x:c>
      <x:c r="Q373" s="23" t="n">
        <x:f>MAX(0,MIN('Activities'!L373,78)-MAX('Activities'!K373,72))</x:f>
        <x:v>0</x:v>
      </x:c>
      <x:c r="R373" s="23" t="n">
        <x:f>MAX(0,MIN('Activities'!L373,84)-MAX('Activities'!K373,78))</x:f>
        <x:v>0</x:v>
      </x:c>
      <x:c r="S373" s="23" t="n">
        <x:f>MAX(0,MIN('Activities'!L373,90)-MAX('Activities'!K373,84))</x:f>
        <x:v>0</x:v>
      </x:c>
      <x:c r="T373" s="23" t="n">
        <x:f>MAX(0,MIN('Activities'!L373,96)-MAX('Activities'!K373,90))</x:f>
        <x:v>0</x:v>
      </x:c>
      <x:c r="U373" s="23" t="n">
        <x:f>MAX(0,MIN('Activities'!L373,102)-MAX('Activities'!K373,96))</x:f>
        <x:v>0</x:v>
      </x:c>
      <x:c r="V373" s="23" t="n">
        <x:f>MAX(0,MIN('Activities'!L373,108)-MAX('Activities'!K373,102))</x:f>
        <x:v>0</x:v>
      </x:c>
      <x:c r="W373" s="23" t="n">
        <x:f>MAX(0,MIN('Activities'!L373,114)-MAX('Activities'!K373,108))</x:f>
        <x:v>0</x:v>
      </x:c>
      <x:c r="X373" s="23" t="n">
        <x:f>MAX(0,MIN('Activities'!L373,120)-MAX('Activities'!K373,114))</x:f>
        <x:v>0</x:v>
      </x:c>
      <x:c r="Y373" s="23" t="n">
        <x:f>MAX(0,MIN('Activities'!L373,126)-MAX('Activities'!K373,120))</x:f>
        <x:v>0</x:v>
      </x:c>
      <x:c r="Z373" s="23" t="n">
        <x:f>MAX(0,MIN('Activities'!L373,132)-MAX('Activities'!K373,126))</x:f>
        <x:v>0</x:v>
      </x:c>
      <x:c r="AA373" s="23" t="n">
        <x:f>MAX(0,MIN('Activities'!L373,138)-MAX('Activities'!K373,132))</x:f>
        <x:v>0</x:v>
      </x:c>
      <x:c r="AB373" s="23" t="n">
        <x:f>MAX(0,MIN('Activities'!L373,144)-MAX('Activities'!K373,138))</x:f>
        <x:v>0</x:v>
      </x:c>
      <x:c r="AC373" s="23" t="n">
        <x:f>MAX(0,MIN('Activities'!L373,150)-MAX('Activities'!K373,144))</x:f>
        <x:v>0</x:v>
      </x:c>
      <x:c r="AD373" s="23" t="n">
        <x:f>MAX(0,MIN('Activities'!L373,156)-MAX('Activities'!K373,150))</x:f>
        <x:v>0</x:v>
      </x:c>
      <x:c r="AE373" s="23" t="n">
        <x:f>MAX(0,MIN('Activities'!L373,162)-MAX('Activities'!K373,156))</x:f>
        <x:v>0</x:v>
      </x:c>
      <x:c r="AF373" s="23" t="n">
        <x:f>MAX(0,MIN('Activities'!L373,168)-MAX('Activities'!K373,162))</x:f>
        <x:v>0</x:v>
      </x:c>
      <x:c r="AG373" s="23" t="n">
        <x:f>MAX(0,MIN('Activities'!L373,174)-MAX('Activities'!K373,168))</x:f>
        <x:v>0</x:v>
      </x:c>
      <x:c r="AH373" s="23" t="n">
        <x:f>MAX(0,MIN('Activities'!L373,180)-MAX('Activities'!K373,174))</x:f>
        <x:v>0</x:v>
      </x:c>
      <x:c r="AI373" s="23" t="n">
        <x:f>MAX(0,MIN('Activities'!L373,186)-MAX('Activities'!K373,180))</x:f>
        <x:v>0</x:v>
      </x:c>
      <x:c r="AJ373" s="23" t="n">
        <x:f>MAX(0,MIN('Activities'!L373,192)-MAX('Activities'!K373,186))</x:f>
        <x:v>0</x:v>
      </x:c>
      <x:c r="AK373" s="23" t="n">
        <x:f>MAX(0,MIN('Activities'!L373,198)-MAX('Activities'!K373,192))</x:f>
        <x:v>0</x:v>
      </x:c>
      <x:c r="AL373" s="23" t="n">
        <x:f>MAX(0,MIN('Activities'!L373,204)-MAX('Activities'!K373,198))</x:f>
        <x:v>0</x:v>
      </x:c>
      <x:c r="AM373" s="23" t="n">
        <x:f>MAX(0,MIN('Activities'!L373,210)-MAX('Activities'!K373,204))</x:f>
        <x:v>0</x:v>
      </x:c>
      <x:c r="AN373" s="23" t="n">
        <x:f>MAX(0,MIN('Activities'!L373,216)-MAX('Activities'!K373,210))</x:f>
        <x:v>0</x:v>
      </x:c>
      <x:c r="AO373" s="23" t="n">
        <x:f>MAX(0,MIN('Activities'!L373,222)-MAX('Activities'!K373,216))</x:f>
        <x:v>0</x:v>
      </x:c>
      <x:c r="AP373" s="23" t="n">
        <x:f>MAX(0,MIN('Activities'!L373,228)-MAX('Activities'!K373,222))</x:f>
        <x:v>0</x:v>
      </x:c>
      <x:c r="AQ373" s="23" t="n">
        <x:f>MAX(0,MIN('Activities'!L373,234)-MAX('Activities'!K373,228))</x:f>
        <x:v>0</x:v>
      </x:c>
      <x:c r="AR373" s="23" t="n">
        <x:f>MAX(0,MIN('Activities'!L373,240)-MAX('Activities'!K373,234))</x:f>
        <x:v>0</x:v>
      </x:c>
      <x:c r="AS373" s="23" t="n">
        <x:f>MAX(0,MIN('Activities'!L373,246)-MAX('Activities'!K373,240))</x:f>
        <x:v>0</x:v>
      </x:c>
      <x:c r="AT373" s="23" t="n">
        <x:f>MAX(0,MIN('Activities'!L373,252)-MAX('Activities'!K373,246))</x:f>
        <x:v>0</x:v>
      </x:c>
      <x:c r="AU373" s="23" t="n">
        <x:f>MAX(0,MIN('Activities'!L373,258)-MAX('Activities'!K373,252))</x:f>
        <x:v>0</x:v>
      </x:c>
      <x:c r="AV373" s="23" t="n">
        <x:f>MAX(0,MIN('Activities'!L373,264)-MAX('Activities'!K373,258))</x:f>
        <x:v>0</x:v>
      </x:c>
      <x:c r="AW373" s="23" t="n">
        <x:f>MAX(0,MIN('Activities'!L373,270)-MAX('Activities'!K373,264))</x:f>
        <x:v>0</x:v>
      </x:c>
      <x:c r="AX373" s="23" t="n">
        <x:f>MAX(0,MIN('Activities'!L373,276)-MAX('Activities'!K373,270))</x:f>
        <x:v>0</x:v>
      </x:c>
      <x:c r="AY373" s="23" t="n">
        <x:f>MAX(0,MIN('Activities'!L373,282)-MAX('Activities'!K373,276))</x:f>
        <x:v>0</x:v>
      </x:c>
      <x:c r="AZ373" s="23" t="n">
        <x:f>MAX(0,MIN('Activities'!L373,288)-MAX('Activities'!K373,282))</x:f>
        <x:v>0</x:v>
      </x:c>
      <x:c r="BA373" s="23" t="n">
        <x:f>MAX(0,MIN('Activities'!L373,294)-MAX('Activities'!K373,288))</x:f>
        <x:v>0</x:v>
      </x:c>
      <x:c r="BB373" s="23" t="n">
        <x:f>MAX(0,MIN('Activities'!L373,300)-MAX('Activities'!K373,294))</x:f>
        <x:v>0</x:v>
      </x:c>
      <x:c r="BC373" s="23" t="n">
        <x:f>MAX(0,MIN('Activities'!L373,306)-MAX('Activities'!K373,300))</x:f>
        <x:v>0</x:v>
      </x:c>
      <x:c r="BD373" s="23" t="n">
        <x:f>MAX(0,MIN('Activities'!L373,312)-MAX('Activities'!K373,306))</x:f>
        <x:v>0</x:v>
      </x:c>
      <x:c r="BE373" s="23" t="n">
        <x:f>MAX(0,MIN('Activities'!L373,318)-MAX('Activities'!K373,312))</x:f>
        <x:v>0</x:v>
      </x:c>
      <x:c r="BF373" s="23" t="n">
        <x:f>MAX(0,MIN('Activities'!L373,324)-MAX('Activities'!K373,318))</x:f>
        <x:v>0</x:v>
      </x:c>
      <x:c r="BG373" s="23" t="n">
        <x:f>MAX(0,MIN('Activities'!L373,330)-MAX('Activities'!K373,324))</x:f>
        <x:v>0</x:v>
      </x:c>
      <x:c r="BH373" s="23" t="n">
        <x:f>MAX(0,MIN('Activities'!L373,336)-MAX('Activities'!K373,330))</x:f>
        <x:v>0</x:v>
      </x:c>
      <x:c r="BI373" s="23" t="n">
        <x:f>MAX(0,MIN('Activities'!L373,342)-MAX('Activities'!K373,336))</x:f>
        <x:v>0</x:v>
      </x:c>
      <x:c r="BJ373" s="23" t="n">
        <x:f>MAX(0,MIN('Activities'!L373,348)-MAX('Activities'!K373,342))</x:f>
        <x:v>5</x:v>
      </x:c>
      <x:c r="BK373" s="23" t="n">
        <x:f>MAX(0,MIN('Activities'!L373,354)-MAX('Activities'!K373,348))</x:f>
        <x:v>0</x:v>
      </x:c>
      <x:c r="BL373" s="23" t="n">
        <x:f>MAX(0,MIN('Activities'!L373,360)-MAX('Activities'!K373,354))</x:f>
        <x:v>0</x:v>
      </x:c>
      <x:c r="BM373" s="23" t="n">
        <x:f>MAX(0,MIN('Activities'!L373,366)-MAX('Activities'!K373,360))</x:f>
        <x:v>0</x:v>
      </x:c>
      <x:c r="BN373" s="23" t="n">
        <x:f>MAX(0,MIN('Activities'!L373,372)-MAX('Activities'!K373,366))</x:f>
        <x:v>0</x:v>
      </x:c>
      <x:c r="BO373" s="23" t="n">
        <x:f>MAX(0,MIN('Activities'!L373,378)-MAX('Activities'!K373,372))</x:f>
        <x:v>0</x:v>
      </x:c>
      <x:c r="BP373" s="23" t="n">
        <x:f>MAX(0,MIN('Activities'!L373,384)-MAX('Activities'!K373,378))</x:f>
        <x:v>0</x:v>
      </x:c>
      <x:c r="BQ373" s="23" t="n">
        <x:f>MAX(0,MIN('Activities'!L373,390)-MAX('Activities'!K373,384))</x:f>
        <x:v>0</x:v>
      </x:c>
      <x:c r="BR373" s="23" t="n">
        <x:f>MAX(0,MIN('Activities'!L373,396)-MAX('Activities'!K373,390))</x:f>
        <x:v>0</x:v>
      </x:c>
      <x:c r="BS373" s="23" t="n">
        <x:f>MAX(0,MIN('Activities'!L373,402)-MAX('Activities'!K373,396))</x:f>
        <x:v>0</x:v>
      </x:c>
      <x:c r="BT373" s="23" t="n">
        <x:f>MAX(0,MIN('Activities'!L373,408)-MAX('Activities'!K373,402))</x:f>
        <x:v>0</x:v>
      </x:c>
      <x:c r="BU373" s="23" t="n">
        <x:f>MAX(0,MIN('Activities'!L373,414)-MAX('Activities'!K373,408))</x:f>
        <x:v>0</x:v>
      </x:c>
      <x:c r="BV373" s="23" t="n">
        <x:f>MAX(0,MIN('Activities'!L373,420)-MAX('Activities'!K373,414))</x:f>
        <x:v>0</x:v>
      </x:c>
      <x:c r="BW373" s="23" t="n">
        <x:f>MAX(0,MIN('Activities'!L373,426)-MAX('Activities'!K373,420))</x:f>
        <x:v>0</x:v>
      </x:c>
      <x:c r="BX373" s="23" t="n">
        <x:f>MAX(0,MIN('Activities'!L373,432)-MAX('Activities'!K373,426))</x:f>
        <x:v>0</x:v>
      </x:c>
      <x:c r="BY373" s="23" t="n">
        <x:f>MAX(0,MIN('Activities'!L373,438)-MAX('Activities'!K373,432))</x:f>
        <x:v>0</x:v>
      </x:c>
      <x:c r="BZ373" s="23" t="n">
        <x:f>MAX(0,MIN('Activities'!L373,444)-MAX('Activities'!K373,438))</x:f>
        <x:v>0</x:v>
      </x:c>
      <x:c r="CA373" s="23" t="n">
        <x:f>MAX(0,MIN('Activities'!L373,450)-MAX('Activities'!K373,444))</x:f>
        <x:v>0</x:v>
      </x:c>
      <x:c r="CB373" s="23" t="n">
        <x:f>MAX(0,MIN('Activities'!L373,456)-MAX('Activities'!K373,450))</x:f>
        <x:v>0</x:v>
      </x:c>
      <x:c r="CC373" s="23" t="n">
        <x:f>MAX(0,MIN('Activities'!L373,462)-MAX('Activities'!K373,456))</x:f>
        <x:v>0</x:v>
      </x:c>
      <x:c r="CD373" s="23" t="n">
        <x:f>MAX(0,MIN('Activities'!L373,468)-MAX('Activities'!K373,462))</x:f>
        <x:v>0</x:v>
      </x:c>
      <x:c r="CE373" s="23" t="n">
        <x:f>MAX(0,MIN('Activities'!L373,474)-MAX('Activities'!K373,468))</x:f>
        <x:v>0</x:v>
      </x:c>
      <x:c r="CF373" s="23" t="n">
        <x:f>MAX(0,MIN('Activities'!L373,480)-MAX('Activities'!K373,474))</x:f>
        <x:v>0</x:v>
      </x:c>
      <x:c r="CG373" s="23" t="n">
        <x:f>MAX(0,MIN('Activities'!L373,486)-MAX('Activities'!K373,480))</x:f>
        <x:v>0</x:v>
      </x:c>
      <x:c r="CH373" s="23" t="n">
        <x:f>MAX(0,MIN('Activities'!L373,492)-MAX('Activities'!K373,486))</x:f>
        <x:v>0</x:v>
      </x:c>
      <x:c r="CI373" s="23" t="n">
        <x:f>MAX(0,MIN('Activities'!L373,498)-MAX('Activities'!K373,492))</x:f>
        <x:v>0</x:v>
      </x:c>
      <x:c r="CJ373" s="23" t="n">
        <x:f>MAX(0,MIN('Activities'!L373,504)-MAX('Activities'!K373,498))</x:f>
        <x:v>0</x:v>
      </x:c>
      <x:c r="CK373" s="23" t="n">
        <x:f>MAX(0,MIN('Activities'!L373,510)-MAX('Activities'!K373,504))</x:f>
        <x:v>0</x:v>
      </x:c>
      <x:c r="CL373" s="23" t="n">
        <x:f>MAX(0,MIN('Activities'!L373,516)-MAX('Activities'!K373,510))</x:f>
        <x:v>0</x:v>
      </x:c>
      <x:c r="CM373" s="23" t="n">
        <x:f>MAX(0,MIN('Activities'!L373,522)-MAX('Activities'!K373,516))</x:f>
        <x:v>0</x:v>
      </x:c>
      <x:c r="CN373" s="23" t="n">
        <x:f>MAX(0,MIN('Activities'!L373,528)-MAX('Activities'!K373,522))</x:f>
        <x:v>0</x:v>
      </x:c>
      <x:c r="CO373" s="23" t="n">
        <x:f>MAX(0,MIN('Activities'!L373,534)-MAX('Activities'!K373,528))</x:f>
        <x:v>0</x:v>
      </x:c>
      <x:c r="CP373" s="23" t="n">
        <x:f>MAX(0,MIN('Activities'!L373,540)-MAX('Activities'!K373,534))</x:f>
        <x:v>0</x:v>
      </x:c>
      <x:c r="CQ373" s="23" t="n">
        <x:f>MAX(0,MIN('Activities'!L373,546)-MAX('Activities'!K373,540))</x:f>
        <x:v>0</x:v>
      </x:c>
      <x:c r="CR373" s="23" t="n">
        <x:f>MAX(0,MIN('Activities'!L373,552)-MAX('Activities'!K373,546))</x:f>
        <x:v>0</x:v>
      </x:c>
      <x:c r="CS373" s="23" t="n">
        <x:f>MAX(0,MIN('Activities'!L373,558)-MAX('Activities'!K373,552))</x:f>
        <x:v>0</x:v>
      </x:c>
      <x:c r="CT373" s="23" t="n">
        <x:f>MAX(0,MIN('Activities'!L373,564)-MAX('Activities'!K373,558))</x:f>
        <x:v>0</x:v>
      </x:c>
      <x:c r="CU373" s="23" t="n">
        <x:f>MAX(0,MIN('Activities'!L373,570)-MAX('Activities'!K373,564))</x:f>
        <x:v>0</x:v>
      </x:c>
      <x:c r="CV373" s="23" t="n">
        <x:f>MAX(0,MIN('Activities'!L373,576)-MAX('Activities'!K373,570))</x:f>
        <x:v>0</x:v>
      </x:c>
      <x:c r="CW373" s="23" t="n">
        <x:f>MAX(0,MIN('Activities'!L373,582)-MAX('Activities'!K373,576))</x:f>
        <x:v>0</x:v>
      </x:c>
      <x:c r="CX373" s="23" t="n">
        <x:f>MAX(0,MIN('Activities'!L373,588)-MAX('Activities'!K373,582))</x:f>
        <x:v>0</x:v>
      </x:c>
      <x:c r="CY373" s="23" t="n">
        <x:f>MAX(0,MIN('Activities'!L373,594)-MAX('Activities'!K373,588))</x:f>
        <x:v>0</x:v>
      </x:c>
      <x:c r="CZ373" s="23" t="n">
        <x:f>MAX(0,MIN('Activities'!L373,600)-MAX('Activities'!K373,594))</x:f>
        <x:v>0</x:v>
      </x:c>
      <x:c r="DA373" s="23" t="n">
        <x:f>MAX(0,MIN('Activities'!L373,606)-MAX('Activities'!K373,600))</x:f>
        <x:v>0</x:v>
      </x:c>
      <x:c r="DB373" s="23" t="n">
        <x:f>MAX(0,MIN('Activities'!L373,612)-MAX('Activities'!K373,606))</x:f>
        <x:v>0</x:v>
      </x:c>
      <x:c r="DC373" s="23" t="n">
        <x:f>MAX(0,MIN('Activities'!L373,618)-MAX('Activities'!K373,612))</x:f>
        <x:v>0</x:v>
      </x:c>
      <x:c r="DD373" s="23" t="n">
        <x:f>MAX(0,MIN('Activities'!L373,624)-MAX('Activities'!K373,618))</x:f>
        <x:v>0</x:v>
      </x:c>
      <x:c r="DE373" s="23" t="n">
        <x:f>MAX(0,MIN('Activities'!L373,630)-MAX('Activities'!K373,624))</x:f>
        <x:v>0</x:v>
      </x:c>
      <x:c r="DF373" s="23" t="n">
        <x:f>MAX(0,MIN('Activities'!L373,636)-MAX('Activities'!K373,630))</x:f>
        <x:v>0</x:v>
      </x:c>
    </x:row>
    <x:row r="374" ht="23" customHeight="1">
      <x:c r="A374" s="6" t="str">
        <x:v>T3-L06-P</x:v>
      </x:c>
      <x:c r="B374" s="6" t="str">
        <x:v>T3</x:v>
      </x:c>
      <x:c r="C374" s="6" t="str">
        <x:v>Internal plaster</x:v>
      </x:c>
      <x:c r="D374" s="6" t="str">
        <x:v>Finishes</x:v>
      </x:c>
      <x:c r="E374" s="22" t="n">
        <x:f>MAX(0,MIN('Activities'!L374,6)-MAX('Activities'!K374,0))</x:f>
        <x:v>0</x:v>
      </x:c>
      <x:c r="F374" s="22" t="n">
        <x:f>MAX(0,MIN('Activities'!L374,12)-MAX('Activities'!K374,6))</x:f>
        <x:v>0</x:v>
      </x:c>
      <x:c r="G374" s="22" t="n">
        <x:f>MAX(0,MIN('Activities'!L374,18)-MAX('Activities'!K374,12))</x:f>
        <x:v>0</x:v>
      </x:c>
      <x:c r="H374" s="22" t="n">
        <x:f>MAX(0,MIN('Activities'!L374,24)-MAX('Activities'!K374,18))</x:f>
        <x:v>0</x:v>
      </x:c>
      <x:c r="I374" s="22" t="n">
        <x:f>MAX(0,MIN('Activities'!L374,30)-MAX('Activities'!K374,24))</x:f>
        <x:v>0</x:v>
      </x:c>
      <x:c r="J374" s="22" t="n">
        <x:f>MAX(0,MIN('Activities'!L374,36)-MAX('Activities'!K374,30))</x:f>
        <x:v>0</x:v>
      </x:c>
      <x:c r="K374" s="22" t="n">
        <x:f>MAX(0,MIN('Activities'!L374,42)-MAX('Activities'!K374,36))</x:f>
        <x:v>0</x:v>
      </x:c>
      <x:c r="L374" s="22" t="n">
        <x:f>MAX(0,MIN('Activities'!L374,48)-MAX('Activities'!K374,42))</x:f>
        <x:v>0</x:v>
      </x:c>
      <x:c r="M374" s="22" t="n">
        <x:f>MAX(0,MIN('Activities'!L374,54)-MAX('Activities'!K374,48))</x:f>
        <x:v>0</x:v>
      </x:c>
      <x:c r="N374" s="22" t="n">
        <x:f>MAX(0,MIN('Activities'!L374,60)-MAX('Activities'!K374,54))</x:f>
        <x:v>0</x:v>
      </x:c>
      <x:c r="O374" s="22" t="n">
        <x:f>MAX(0,MIN('Activities'!L374,66)-MAX('Activities'!K374,60))</x:f>
        <x:v>0</x:v>
      </x:c>
      <x:c r="P374" s="22" t="n">
        <x:f>MAX(0,MIN('Activities'!L374,72)-MAX('Activities'!K374,66))</x:f>
        <x:v>0</x:v>
      </x:c>
      <x:c r="Q374" s="22" t="n">
        <x:f>MAX(0,MIN('Activities'!L374,78)-MAX('Activities'!K374,72))</x:f>
        <x:v>0</x:v>
      </x:c>
      <x:c r="R374" s="22" t="n">
        <x:f>MAX(0,MIN('Activities'!L374,84)-MAX('Activities'!K374,78))</x:f>
        <x:v>0</x:v>
      </x:c>
      <x:c r="S374" s="22" t="n">
        <x:f>MAX(0,MIN('Activities'!L374,90)-MAX('Activities'!K374,84))</x:f>
        <x:v>0</x:v>
      </x:c>
      <x:c r="T374" s="22" t="n">
        <x:f>MAX(0,MIN('Activities'!L374,96)-MAX('Activities'!K374,90))</x:f>
        <x:v>0</x:v>
      </x:c>
      <x:c r="U374" s="22" t="n">
        <x:f>MAX(0,MIN('Activities'!L374,102)-MAX('Activities'!K374,96))</x:f>
        <x:v>0</x:v>
      </x:c>
      <x:c r="V374" s="22" t="n">
        <x:f>MAX(0,MIN('Activities'!L374,108)-MAX('Activities'!K374,102))</x:f>
        <x:v>0</x:v>
      </x:c>
      <x:c r="W374" s="22" t="n">
        <x:f>MAX(0,MIN('Activities'!L374,114)-MAX('Activities'!K374,108))</x:f>
        <x:v>0</x:v>
      </x:c>
      <x:c r="X374" s="22" t="n">
        <x:f>MAX(0,MIN('Activities'!L374,120)-MAX('Activities'!K374,114))</x:f>
        <x:v>0</x:v>
      </x:c>
      <x:c r="Y374" s="22" t="n">
        <x:f>MAX(0,MIN('Activities'!L374,126)-MAX('Activities'!K374,120))</x:f>
        <x:v>0</x:v>
      </x:c>
      <x:c r="Z374" s="22" t="n">
        <x:f>MAX(0,MIN('Activities'!L374,132)-MAX('Activities'!K374,126))</x:f>
        <x:v>0</x:v>
      </x:c>
      <x:c r="AA374" s="22" t="n">
        <x:f>MAX(0,MIN('Activities'!L374,138)-MAX('Activities'!K374,132))</x:f>
        <x:v>0</x:v>
      </x:c>
      <x:c r="AB374" s="22" t="n">
        <x:f>MAX(0,MIN('Activities'!L374,144)-MAX('Activities'!K374,138))</x:f>
        <x:v>0</x:v>
      </x:c>
      <x:c r="AC374" s="22" t="n">
        <x:f>MAX(0,MIN('Activities'!L374,150)-MAX('Activities'!K374,144))</x:f>
        <x:v>0</x:v>
      </x:c>
      <x:c r="AD374" s="22" t="n">
        <x:f>MAX(0,MIN('Activities'!L374,156)-MAX('Activities'!K374,150))</x:f>
        <x:v>0</x:v>
      </x:c>
      <x:c r="AE374" s="22" t="n">
        <x:f>MAX(0,MIN('Activities'!L374,162)-MAX('Activities'!K374,156))</x:f>
        <x:v>0</x:v>
      </x:c>
      <x:c r="AF374" s="22" t="n">
        <x:f>MAX(0,MIN('Activities'!L374,168)-MAX('Activities'!K374,162))</x:f>
        <x:v>0</x:v>
      </x:c>
      <x:c r="AG374" s="22" t="n">
        <x:f>MAX(0,MIN('Activities'!L374,174)-MAX('Activities'!K374,168))</x:f>
        <x:v>0</x:v>
      </x:c>
      <x:c r="AH374" s="22" t="n">
        <x:f>MAX(0,MIN('Activities'!L374,180)-MAX('Activities'!K374,174))</x:f>
        <x:v>0</x:v>
      </x:c>
      <x:c r="AI374" s="22" t="n">
        <x:f>MAX(0,MIN('Activities'!L374,186)-MAX('Activities'!K374,180))</x:f>
        <x:v>0</x:v>
      </x:c>
      <x:c r="AJ374" s="22" t="n">
        <x:f>MAX(0,MIN('Activities'!L374,192)-MAX('Activities'!K374,186))</x:f>
        <x:v>0</x:v>
      </x:c>
      <x:c r="AK374" s="22" t="n">
        <x:f>MAX(0,MIN('Activities'!L374,198)-MAX('Activities'!K374,192))</x:f>
        <x:v>0</x:v>
      </x:c>
      <x:c r="AL374" s="22" t="n">
        <x:f>MAX(0,MIN('Activities'!L374,204)-MAX('Activities'!K374,198))</x:f>
        <x:v>0</x:v>
      </x:c>
      <x:c r="AM374" s="22" t="n">
        <x:f>MAX(0,MIN('Activities'!L374,210)-MAX('Activities'!K374,204))</x:f>
        <x:v>0</x:v>
      </x:c>
      <x:c r="AN374" s="22" t="n">
        <x:f>MAX(0,MIN('Activities'!L374,216)-MAX('Activities'!K374,210))</x:f>
        <x:v>0</x:v>
      </x:c>
      <x:c r="AO374" s="22" t="n">
        <x:f>MAX(0,MIN('Activities'!L374,222)-MAX('Activities'!K374,216))</x:f>
        <x:v>0</x:v>
      </x:c>
      <x:c r="AP374" s="22" t="n">
        <x:f>MAX(0,MIN('Activities'!L374,228)-MAX('Activities'!K374,222))</x:f>
        <x:v>0</x:v>
      </x:c>
      <x:c r="AQ374" s="22" t="n">
        <x:f>MAX(0,MIN('Activities'!L374,234)-MAX('Activities'!K374,228))</x:f>
        <x:v>0</x:v>
      </x:c>
      <x:c r="AR374" s="22" t="n">
        <x:f>MAX(0,MIN('Activities'!L374,240)-MAX('Activities'!K374,234))</x:f>
        <x:v>0</x:v>
      </x:c>
      <x:c r="AS374" s="22" t="n">
        <x:f>MAX(0,MIN('Activities'!L374,246)-MAX('Activities'!K374,240))</x:f>
        <x:v>0</x:v>
      </x:c>
      <x:c r="AT374" s="22" t="n">
        <x:f>MAX(0,MIN('Activities'!L374,252)-MAX('Activities'!K374,246))</x:f>
        <x:v>0</x:v>
      </x:c>
      <x:c r="AU374" s="22" t="n">
        <x:f>MAX(0,MIN('Activities'!L374,258)-MAX('Activities'!K374,252))</x:f>
        <x:v>0</x:v>
      </x:c>
      <x:c r="AV374" s="22" t="n">
        <x:f>MAX(0,MIN('Activities'!L374,264)-MAX('Activities'!K374,258))</x:f>
        <x:v>0</x:v>
      </x:c>
      <x:c r="AW374" s="22" t="n">
        <x:f>MAX(0,MIN('Activities'!L374,270)-MAX('Activities'!K374,264))</x:f>
        <x:v>0</x:v>
      </x:c>
      <x:c r="AX374" s="22" t="n">
        <x:f>MAX(0,MIN('Activities'!L374,276)-MAX('Activities'!K374,270))</x:f>
        <x:v>0</x:v>
      </x:c>
      <x:c r="AY374" s="22" t="n">
        <x:f>MAX(0,MIN('Activities'!L374,282)-MAX('Activities'!K374,276))</x:f>
        <x:v>0</x:v>
      </x:c>
      <x:c r="AZ374" s="22" t="n">
        <x:f>MAX(0,MIN('Activities'!L374,288)-MAX('Activities'!K374,282))</x:f>
        <x:v>0</x:v>
      </x:c>
      <x:c r="BA374" s="22" t="n">
        <x:f>MAX(0,MIN('Activities'!L374,294)-MAX('Activities'!K374,288))</x:f>
        <x:v>0</x:v>
      </x:c>
      <x:c r="BB374" s="22" t="n">
        <x:f>MAX(0,MIN('Activities'!L374,300)-MAX('Activities'!K374,294))</x:f>
        <x:v>0</x:v>
      </x:c>
      <x:c r="BC374" s="22" t="n">
        <x:f>MAX(0,MIN('Activities'!L374,306)-MAX('Activities'!K374,300))</x:f>
        <x:v>0</x:v>
      </x:c>
      <x:c r="BD374" s="22" t="n">
        <x:f>MAX(0,MIN('Activities'!L374,312)-MAX('Activities'!K374,306))</x:f>
        <x:v>0</x:v>
      </x:c>
      <x:c r="BE374" s="22" t="n">
        <x:f>MAX(0,MIN('Activities'!L374,318)-MAX('Activities'!K374,312))</x:f>
        <x:v>0</x:v>
      </x:c>
      <x:c r="BF374" s="22" t="n">
        <x:f>MAX(0,MIN('Activities'!L374,324)-MAX('Activities'!K374,318))</x:f>
        <x:v>0</x:v>
      </x:c>
      <x:c r="BG374" s="22" t="n">
        <x:f>MAX(0,MIN('Activities'!L374,330)-MAX('Activities'!K374,324))</x:f>
        <x:v>0</x:v>
      </x:c>
      <x:c r="BH374" s="22" t="n">
        <x:f>MAX(0,MIN('Activities'!L374,336)-MAX('Activities'!K374,330))</x:f>
        <x:v>0</x:v>
      </x:c>
      <x:c r="BI374" s="22" t="n">
        <x:f>MAX(0,MIN('Activities'!L374,342)-MAX('Activities'!K374,336))</x:f>
        <x:v>0</x:v>
      </x:c>
      <x:c r="BJ374" s="22" t="n">
        <x:f>MAX(0,MIN('Activities'!L374,348)-MAX('Activities'!K374,342))</x:f>
        <x:v>0</x:v>
      </x:c>
      <x:c r="BK374" s="22" t="n">
        <x:f>MAX(0,MIN('Activities'!L374,354)-MAX('Activities'!K374,348))</x:f>
        <x:v>3</x:v>
      </x:c>
      <x:c r="BL374" s="22" t="n">
        <x:f>MAX(0,MIN('Activities'!L374,360)-MAX('Activities'!K374,354))</x:f>
        <x:v>3</x:v>
      </x:c>
      <x:c r="BM374" s="22" t="n">
        <x:f>MAX(0,MIN('Activities'!L374,366)-MAX('Activities'!K374,360))</x:f>
        <x:v>0</x:v>
      </x:c>
      <x:c r="BN374" s="22" t="n">
        <x:f>MAX(0,MIN('Activities'!L374,372)-MAX('Activities'!K374,366))</x:f>
        <x:v>0</x:v>
      </x:c>
      <x:c r="BO374" s="22" t="n">
        <x:f>MAX(0,MIN('Activities'!L374,378)-MAX('Activities'!K374,372))</x:f>
        <x:v>0</x:v>
      </x:c>
      <x:c r="BP374" s="22" t="n">
        <x:f>MAX(0,MIN('Activities'!L374,384)-MAX('Activities'!K374,378))</x:f>
        <x:v>0</x:v>
      </x:c>
      <x:c r="BQ374" s="22" t="n">
        <x:f>MAX(0,MIN('Activities'!L374,390)-MAX('Activities'!K374,384))</x:f>
        <x:v>0</x:v>
      </x:c>
      <x:c r="BR374" s="22" t="n">
        <x:f>MAX(0,MIN('Activities'!L374,396)-MAX('Activities'!K374,390))</x:f>
        <x:v>0</x:v>
      </x:c>
      <x:c r="BS374" s="22" t="n">
        <x:f>MAX(0,MIN('Activities'!L374,402)-MAX('Activities'!K374,396))</x:f>
        <x:v>0</x:v>
      </x:c>
      <x:c r="BT374" s="22" t="n">
        <x:f>MAX(0,MIN('Activities'!L374,408)-MAX('Activities'!K374,402))</x:f>
        <x:v>0</x:v>
      </x:c>
      <x:c r="BU374" s="22" t="n">
        <x:f>MAX(0,MIN('Activities'!L374,414)-MAX('Activities'!K374,408))</x:f>
        <x:v>0</x:v>
      </x:c>
      <x:c r="BV374" s="22" t="n">
        <x:f>MAX(0,MIN('Activities'!L374,420)-MAX('Activities'!K374,414))</x:f>
        <x:v>0</x:v>
      </x:c>
      <x:c r="BW374" s="22" t="n">
        <x:f>MAX(0,MIN('Activities'!L374,426)-MAX('Activities'!K374,420))</x:f>
        <x:v>0</x:v>
      </x:c>
      <x:c r="BX374" s="22" t="n">
        <x:f>MAX(0,MIN('Activities'!L374,432)-MAX('Activities'!K374,426))</x:f>
        <x:v>0</x:v>
      </x:c>
      <x:c r="BY374" s="22" t="n">
        <x:f>MAX(0,MIN('Activities'!L374,438)-MAX('Activities'!K374,432))</x:f>
        <x:v>0</x:v>
      </x:c>
      <x:c r="BZ374" s="22" t="n">
        <x:f>MAX(0,MIN('Activities'!L374,444)-MAX('Activities'!K374,438))</x:f>
        <x:v>0</x:v>
      </x:c>
      <x:c r="CA374" s="22" t="n">
        <x:f>MAX(0,MIN('Activities'!L374,450)-MAX('Activities'!K374,444))</x:f>
        <x:v>0</x:v>
      </x:c>
      <x:c r="CB374" s="22" t="n">
        <x:f>MAX(0,MIN('Activities'!L374,456)-MAX('Activities'!K374,450))</x:f>
        <x:v>0</x:v>
      </x:c>
      <x:c r="CC374" s="22" t="n">
        <x:f>MAX(0,MIN('Activities'!L374,462)-MAX('Activities'!K374,456))</x:f>
        <x:v>0</x:v>
      </x:c>
      <x:c r="CD374" s="22" t="n">
        <x:f>MAX(0,MIN('Activities'!L374,468)-MAX('Activities'!K374,462))</x:f>
        <x:v>0</x:v>
      </x:c>
      <x:c r="CE374" s="22" t="n">
        <x:f>MAX(0,MIN('Activities'!L374,474)-MAX('Activities'!K374,468))</x:f>
        <x:v>0</x:v>
      </x:c>
      <x:c r="CF374" s="22" t="n">
        <x:f>MAX(0,MIN('Activities'!L374,480)-MAX('Activities'!K374,474))</x:f>
        <x:v>0</x:v>
      </x:c>
      <x:c r="CG374" s="22" t="n">
        <x:f>MAX(0,MIN('Activities'!L374,486)-MAX('Activities'!K374,480))</x:f>
        <x:v>0</x:v>
      </x:c>
      <x:c r="CH374" s="22" t="n">
        <x:f>MAX(0,MIN('Activities'!L374,492)-MAX('Activities'!K374,486))</x:f>
        <x:v>0</x:v>
      </x:c>
      <x:c r="CI374" s="22" t="n">
        <x:f>MAX(0,MIN('Activities'!L374,498)-MAX('Activities'!K374,492))</x:f>
        <x:v>0</x:v>
      </x:c>
      <x:c r="CJ374" s="22" t="n">
        <x:f>MAX(0,MIN('Activities'!L374,504)-MAX('Activities'!K374,498))</x:f>
        <x:v>0</x:v>
      </x:c>
      <x:c r="CK374" s="22" t="n">
        <x:f>MAX(0,MIN('Activities'!L374,510)-MAX('Activities'!K374,504))</x:f>
        <x:v>0</x:v>
      </x:c>
      <x:c r="CL374" s="22" t="n">
        <x:f>MAX(0,MIN('Activities'!L374,516)-MAX('Activities'!K374,510))</x:f>
        <x:v>0</x:v>
      </x:c>
      <x:c r="CM374" s="22" t="n">
        <x:f>MAX(0,MIN('Activities'!L374,522)-MAX('Activities'!K374,516))</x:f>
        <x:v>0</x:v>
      </x:c>
      <x:c r="CN374" s="22" t="n">
        <x:f>MAX(0,MIN('Activities'!L374,528)-MAX('Activities'!K374,522))</x:f>
        <x:v>0</x:v>
      </x:c>
      <x:c r="CO374" s="22" t="n">
        <x:f>MAX(0,MIN('Activities'!L374,534)-MAX('Activities'!K374,528))</x:f>
        <x:v>0</x:v>
      </x:c>
      <x:c r="CP374" s="22" t="n">
        <x:f>MAX(0,MIN('Activities'!L374,540)-MAX('Activities'!K374,534))</x:f>
        <x:v>0</x:v>
      </x:c>
      <x:c r="CQ374" s="22" t="n">
        <x:f>MAX(0,MIN('Activities'!L374,546)-MAX('Activities'!K374,540))</x:f>
        <x:v>0</x:v>
      </x:c>
      <x:c r="CR374" s="22" t="n">
        <x:f>MAX(0,MIN('Activities'!L374,552)-MAX('Activities'!K374,546))</x:f>
        <x:v>0</x:v>
      </x:c>
      <x:c r="CS374" s="22" t="n">
        <x:f>MAX(0,MIN('Activities'!L374,558)-MAX('Activities'!K374,552))</x:f>
        <x:v>0</x:v>
      </x:c>
      <x:c r="CT374" s="22" t="n">
        <x:f>MAX(0,MIN('Activities'!L374,564)-MAX('Activities'!K374,558))</x:f>
        <x:v>0</x:v>
      </x:c>
      <x:c r="CU374" s="22" t="n">
        <x:f>MAX(0,MIN('Activities'!L374,570)-MAX('Activities'!K374,564))</x:f>
        <x:v>0</x:v>
      </x:c>
      <x:c r="CV374" s="22" t="n">
        <x:f>MAX(0,MIN('Activities'!L374,576)-MAX('Activities'!K374,570))</x:f>
        <x:v>0</x:v>
      </x:c>
      <x:c r="CW374" s="22" t="n">
        <x:f>MAX(0,MIN('Activities'!L374,582)-MAX('Activities'!K374,576))</x:f>
        <x:v>0</x:v>
      </x:c>
      <x:c r="CX374" s="22" t="n">
        <x:f>MAX(0,MIN('Activities'!L374,588)-MAX('Activities'!K374,582))</x:f>
        <x:v>0</x:v>
      </x:c>
      <x:c r="CY374" s="22" t="n">
        <x:f>MAX(0,MIN('Activities'!L374,594)-MAX('Activities'!K374,588))</x:f>
        <x:v>0</x:v>
      </x:c>
      <x:c r="CZ374" s="22" t="n">
        <x:f>MAX(0,MIN('Activities'!L374,600)-MAX('Activities'!K374,594))</x:f>
        <x:v>0</x:v>
      </x:c>
      <x:c r="DA374" s="22" t="n">
        <x:f>MAX(0,MIN('Activities'!L374,606)-MAX('Activities'!K374,600))</x:f>
        <x:v>0</x:v>
      </x:c>
      <x:c r="DB374" s="22" t="n">
        <x:f>MAX(0,MIN('Activities'!L374,612)-MAX('Activities'!K374,606))</x:f>
        <x:v>0</x:v>
      </x:c>
      <x:c r="DC374" s="22" t="n">
        <x:f>MAX(0,MIN('Activities'!L374,618)-MAX('Activities'!K374,612))</x:f>
        <x:v>0</x:v>
      </x:c>
      <x:c r="DD374" s="22" t="n">
        <x:f>MAX(0,MIN('Activities'!L374,624)-MAX('Activities'!K374,618))</x:f>
        <x:v>0</x:v>
      </x:c>
      <x:c r="DE374" s="22" t="n">
        <x:f>MAX(0,MIN('Activities'!L374,630)-MAX('Activities'!K374,624))</x:f>
        <x:v>0</x:v>
      </x:c>
      <x:c r="DF374" s="22" t="n">
        <x:f>MAX(0,MIN('Activities'!L374,636)-MAX('Activities'!K374,630))</x:f>
        <x:v>0</x:v>
      </x:c>
    </x:row>
    <x:row r="375" ht="23" customHeight="1">
      <x:c r="A375" s="1" t="str">
        <x:v>T3-L06-S</x:v>
      </x:c>
      <x:c r="B375" s="1" t="str">
        <x:v>T3</x:v>
      </x:c>
      <x:c r="C375" s="1" t="str">
        <x:v>Screed and substrate preparation</x:v>
      </x:c>
      <x:c r="D375" s="1" t="str">
        <x:v>Finishes</x:v>
      </x:c>
      <x:c r="E375" s="23" t="n">
        <x:f>MAX(0,MIN('Activities'!L375,6)-MAX('Activities'!K375,0))</x:f>
        <x:v>0</x:v>
      </x:c>
      <x:c r="F375" s="23" t="n">
        <x:f>MAX(0,MIN('Activities'!L375,12)-MAX('Activities'!K375,6))</x:f>
        <x:v>0</x:v>
      </x:c>
      <x:c r="G375" s="23" t="n">
        <x:f>MAX(0,MIN('Activities'!L375,18)-MAX('Activities'!K375,12))</x:f>
        <x:v>0</x:v>
      </x:c>
      <x:c r="H375" s="23" t="n">
        <x:f>MAX(0,MIN('Activities'!L375,24)-MAX('Activities'!K375,18))</x:f>
        <x:v>0</x:v>
      </x:c>
      <x:c r="I375" s="23" t="n">
        <x:f>MAX(0,MIN('Activities'!L375,30)-MAX('Activities'!K375,24))</x:f>
        <x:v>0</x:v>
      </x:c>
      <x:c r="J375" s="23" t="n">
        <x:f>MAX(0,MIN('Activities'!L375,36)-MAX('Activities'!K375,30))</x:f>
        <x:v>0</x:v>
      </x:c>
      <x:c r="K375" s="23" t="n">
        <x:f>MAX(0,MIN('Activities'!L375,42)-MAX('Activities'!K375,36))</x:f>
        <x:v>0</x:v>
      </x:c>
      <x:c r="L375" s="23" t="n">
        <x:f>MAX(0,MIN('Activities'!L375,48)-MAX('Activities'!K375,42))</x:f>
        <x:v>0</x:v>
      </x:c>
      <x:c r="M375" s="23" t="n">
        <x:f>MAX(0,MIN('Activities'!L375,54)-MAX('Activities'!K375,48))</x:f>
        <x:v>0</x:v>
      </x:c>
      <x:c r="N375" s="23" t="n">
        <x:f>MAX(0,MIN('Activities'!L375,60)-MAX('Activities'!K375,54))</x:f>
        <x:v>0</x:v>
      </x:c>
      <x:c r="O375" s="23" t="n">
        <x:f>MAX(0,MIN('Activities'!L375,66)-MAX('Activities'!K375,60))</x:f>
        <x:v>0</x:v>
      </x:c>
      <x:c r="P375" s="23" t="n">
        <x:f>MAX(0,MIN('Activities'!L375,72)-MAX('Activities'!K375,66))</x:f>
        <x:v>0</x:v>
      </x:c>
      <x:c r="Q375" s="23" t="n">
        <x:f>MAX(0,MIN('Activities'!L375,78)-MAX('Activities'!K375,72))</x:f>
        <x:v>0</x:v>
      </x:c>
      <x:c r="R375" s="23" t="n">
        <x:f>MAX(0,MIN('Activities'!L375,84)-MAX('Activities'!K375,78))</x:f>
        <x:v>0</x:v>
      </x:c>
      <x:c r="S375" s="23" t="n">
        <x:f>MAX(0,MIN('Activities'!L375,90)-MAX('Activities'!K375,84))</x:f>
        <x:v>0</x:v>
      </x:c>
      <x:c r="T375" s="23" t="n">
        <x:f>MAX(0,MIN('Activities'!L375,96)-MAX('Activities'!K375,90))</x:f>
        <x:v>0</x:v>
      </x:c>
      <x:c r="U375" s="23" t="n">
        <x:f>MAX(0,MIN('Activities'!L375,102)-MAX('Activities'!K375,96))</x:f>
        <x:v>0</x:v>
      </x:c>
      <x:c r="V375" s="23" t="n">
        <x:f>MAX(0,MIN('Activities'!L375,108)-MAX('Activities'!K375,102))</x:f>
        <x:v>0</x:v>
      </x:c>
      <x:c r="W375" s="23" t="n">
        <x:f>MAX(0,MIN('Activities'!L375,114)-MAX('Activities'!K375,108))</x:f>
        <x:v>0</x:v>
      </x:c>
      <x:c r="X375" s="23" t="n">
        <x:f>MAX(0,MIN('Activities'!L375,120)-MAX('Activities'!K375,114))</x:f>
        <x:v>0</x:v>
      </x:c>
      <x:c r="Y375" s="23" t="n">
        <x:f>MAX(0,MIN('Activities'!L375,126)-MAX('Activities'!K375,120))</x:f>
        <x:v>0</x:v>
      </x:c>
      <x:c r="Z375" s="23" t="n">
        <x:f>MAX(0,MIN('Activities'!L375,132)-MAX('Activities'!K375,126))</x:f>
        <x:v>0</x:v>
      </x:c>
      <x:c r="AA375" s="23" t="n">
        <x:f>MAX(0,MIN('Activities'!L375,138)-MAX('Activities'!K375,132))</x:f>
        <x:v>0</x:v>
      </x:c>
      <x:c r="AB375" s="23" t="n">
        <x:f>MAX(0,MIN('Activities'!L375,144)-MAX('Activities'!K375,138))</x:f>
        <x:v>0</x:v>
      </x:c>
      <x:c r="AC375" s="23" t="n">
        <x:f>MAX(0,MIN('Activities'!L375,150)-MAX('Activities'!K375,144))</x:f>
        <x:v>0</x:v>
      </x:c>
      <x:c r="AD375" s="23" t="n">
        <x:f>MAX(0,MIN('Activities'!L375,156)-MAX('Activities'!K375,150))</x:f>
        <x:v>0</x:v>
      </x:c>
      <x:c r="AE375" s="23" t="n">
        <x:f>MAX(0,MIN('Activities'!L375,162)-MAX('Activities'!K375,156))</x:f>
        <x:v>0</x:v>
      </x:c>
      <x:c r="AF375" s="23" t="n">
        <x:f>MAX(0,MIN('Activities'!L375,168)-MAX('Activities'!K375,162))</x:f>
        <x:v>0</x:v>
      </x:c>
      <x:c r="AG375" s="23" t="n">
        <x:f>MAX(0,MIN('Activities'!L375,174)-MAX('Activities'!K375,168))</x:f>
        <x:v>0</x:v>
      </x:c>
      <x:c r="AH375" s="23" t="n">
        <x:f>MAX(0,MIN('Activities'!L375,180)-MAX('Activities'!K375,174))</x:f>
        <x:v>0</x:v>
      </x:c>
      <x:c r="AI375" s="23" t="n">
        <x:f>MAX(0,MIN('Activities'!L375,186)-MAX('Activities'!K375,180))</x:f>
        <x:v>0</x:v>
      </x:c>
      <x:c r="AJ375" s="23" t="n">
        <x:f>MAX(0,MIN('Activities'!L375,192)-MAX('Activities'!K375,186))</x:f>
        <x:v>0</x:v>
      </x:c>
      <x:c r="AK375" s="23" t="n">
        <x:f>MAX(0,MIN('Activities'!L375,198)-MAX('Activities'!K375,192))</x:f>
        <x:v>0</x:v>
      </x:c>
      <x:c r="AL375" s="23" t="n">
        <x:f>MAX(0,MIN('Activities'!L375,204)-MAX('Activities'!K375,198))</x:f>
        <x:v>0</x:v>
      </x:c>
      <x:c r="AM375" s="23" t="n">
        <x:f>MAX(0,MIN('Activities'!L375,210)-MAX('Activities'!K375,204))</x:f>
        <x:v>0</x:v>
      </x:c>
      <x:c r="AN375" s="23" t="n">
        <x:f>MAX(0,MIN('Activities'!L375,216)-MAX('Activities'!K375,210))</x:f>
        <x:v>0</x:v>
      </x:c>
      <x:c r="AO375" s="23" t="n">
        <x:f>MAX(0,MIN('Activities'!L375,222)-MAX('Activities'!K375,216))</x:f>
        <x:v>0</x:v>
      </x:c>
      <x:c r="AP375" s="23" t="n">
        <x:f>MAX(0,MIN('Activities'!L375,228)-MAX('Activities'!K375,222))</x:f>
        <x:v>0</x:v>
      </x:c>
      <x:c r="AQ375" s="23" t="n">
        <x:f>MAX(0,MIN('Activities'!L375,234)-MAX('Activities'!K375,228))</x:f>
        <x:v>0</x:v>
      </x:c>
      <x:c r="AR375" s="23" t="n">
        <x:f>MAX(0,MIN('Activities'!L375,240)-MAX('Activities'!K375,234))</x:f>
        <x:v>0</x:v>
      </x:c>
      <x:c r="AS375" s="23" t="n">
        <x:f>MAX(0,MIN('Activities'!L375,246)-MAX('Activities'!K375,240))</x:f>
        <x:v>0</x:v>
      </x:c>
      <x:c r="AT375" s="23" t="n">
        <x:f>MAX(0,MIN('Activities'!L375,252)-MAX('Activities'!K375,246))</x:f>
        <x:v>0</x:v>
      </x:c>
      <x:c r="AU375" s="23" t="n">
        <x:f>MAX(0,MIN('Activities'!L375,258)-MAX('Activities'!K375,252))</x:f>
        <x:v>0</x:v>
      </x:c>
      <x:c r="AV375" s="23" t="n">
        <x:f>MAX(0,MIN('Activities'!L375,264)-MAX('Activities'!K375,258))</x:f>
        <x:v>0</x:v>
      </x:c>
      <x:c r="AW375" s="23" t="n">
        <x:f>MAX(0,MIN('Activities'!L375,270)-MAX('Activities'!K375,264))</x:f>
        <x:v>0</x:v>
      </x:c>
      <x:c r="AX375" s="23" t="n">
        <x:f>MAX(0,MIN('Activities'!L375,276)-MAX('Activities'!K375,270))</x:f>
        <x:v>0</x:v>
      </x:c>
      <x:c r="AY375" s="23" t="n">
        <x:f>MAX(0,MIN('Activities'!L375,282)-MAX('Activities'!K375,276))</x:f>
        <x:v>0</x:v>
      </x:c>
      <x:c r="AZ375" s="23" t="n">
        <x:f>MAX(0,MIN('Activities'!L375,288)-MAX('Activities'!K375,282))</x:f>
        <x:v>0</x:v>
      </x:c>
      <x:c r="BA375" s="23" t="n">
        <x:f>MAX(0,MIN('Activities'!L375,294)-MAX('Activities'!K375,288))</x:f>
        <x:v>0</x:v>
      </x:c>
      <x:c r="BB375" s="23" t="n">
        <x:f>MAX(0,MIN('Activities'!L375,300)-MAX('Activities'!K375,294))</x:f>
        <x:v>0</x:v>
      </x:c>
      <x:c r="BC375" s="23" t="n">
        <x:f>MAX(0,MIN('Activities'!L375,306)-MAX('Activities'!K375,300))</x:f>
        <x:v>0</x:v>
      </x:c>
      <x:c r="BD375" s="23" t="n">
        <x:f>MAX(0,MIN('Activities'!L375,312)-MAX('Activities'!K375,306))</x:f>
        <x:v>0</x:v>
      </x:c>
      <x:c r="BE375" s="23" t="n">
        <x:f>MAX(0,MIN('Activities'!L375,318)-MAX('Activities'!K375,312))</x:f>
        <x:v>0</x:v>
      </x:c>
      <x:c r="BF375" s="23" t="n">
        <x:f>MAX(0,MIN('Activities'!L375,324)-MAX('Activities'!K375,318))</x:f>
        <x:v>0</x:v>
      </x:c>
      <x:c r="BG375" s="23" t="n">
        <x:f>MAX(0,MIN('Activities'!L375,330)-MAX('Activities'!K375,324))</x:f>
        <x:v>0</x:v>
      </x:c>
      <x:c r="BH375" s="23" t="n">
        <x:f>MAX(0,MIN('Activities'!L375,336)-MAX('Activities'!K375,330))</x:f>
        <x:v>0</x:v>
      </x:c>
      <x:c r="BI375" s="23" t="n">
        <x:f>MAX(0,MIN('Activities'!L375,342)-MAX('Activities'!K375,336))</x:f>
        <x:v>0</x:v>
      </x:c>
      <x:c r="BJ375" s="23" t="n">
        <x:f>MAX(0,MIN('Activities'!L375,348)-MAX('Activities'!K375,342))</x:f>
        <x:v>0</x:v>
      </x:c>
      <x:c r="BK375" s="23" t="n">
        <x:f>MAX(0,MIN('Activities'!L375,354)-MAX('Activities'!K375,348))</x:f>
        <x:v>0</x:v>
      </x:c>
      <x:c r="BL375" s="23" t="n">
        <x:f>MAX(0,MIN('Activities'!L375,360)-MAX('Activities'!K375,354))</x:f>
        <x:v>1</x:v>
      </x:c>
      <x:c r="BM375" s="23" t="n">
        <x:f>MAX(0,MIN('Activities'!L375,366)-MAX('Activities'!K375,360))</x:f>
        <x:v>2</x:v>
      </x:c>
      <x:c r="BN375" s="23" t="n">
        <x:f>MAX(0,MIN('Activities'!L375,372)-MAX('Activities'!K375,366))</x:f>
        <x:v>0</x:v>
      </x:c>
      <x:c r="BO375" s="23" t="n">
        <x:f>MAX(0,MIN('Activities'!L375,378)-MAX('Activities'!K375,372))</x:f>
        <x:v>0</x:v>
      </x:c>
      <x:c r="BP375" s="23" t="n">
        <x:f>MAX(0,MIN('Activities'!L375,384)-MAX('Activities'!K375,378))</x:f>
        <x:v>0</x:v>
      </x:c>
      <x:c r="BQ375" s="23" t="n">
        <x:f>MAX(0,MIN('Activities'!L375,390)-MAX('Activities'!K375,384))</x:f>
        <x:v>0</x:v>
      </x:c>
      <x:c r="BR375" s="23" t="n">
        <x:f>MAX(0,MIN('Activities'!L375,396)-MAX('Activities'!K375,390))</x:f>
        <x:v>0</x:v>
      </x:c>
      <x:c r="BS375" s="23" t="n">
        <x:f>MAX(0,MIN('Activities'!L375,402)-MAX('Activities'!K375,396))</x:f>
        <x:v>0</x:v>
      </x:c>
      <x:c r="BT375" s="23" t="n">
        <x:f>MAX(0,MIN('Activities'!L375,408)-MAX('Activities'!K375,402))</x:f>
        <x:v>0</x:v>
      </x:c>
      <x:c r="BU375" s="23" t="n">
        <x:f>MAX(0,MIN('Activities'!L375,414)-MAX('Activities'!K375,408))</x:f>
        <x:v>0</x:v>
      </x:c>
      <x:c r="BV375" s="23" t="n">
        <x:f>MAX(0,MIN('Activities'!L375,420)-MAX('Activities'!K375,414))</x:f>
        <x:v>0</x:v>
      </x:c>
      <x:c r="BW375" s="23" t="n">
        <x:f>MAX(0,MIN('Activities'!L375,426)-MAX('Activities'!K375,420))</x:f>
        <x:v>0</x:v>
      </x:c>
      <x:c r="BX375" s="23" t="n">
        <x:f>MAX(0,MIN('Activities'!L375,432)-MAX('Activities'!K375,426))</x:f>
        <x:v>0</x:v>
      </x:c>
      <x:c r="BY375" s="23" t="n">
        <x:f>MAX(0,MIN('Activities'!L375,438)-MAX('Activities'!K375,432))</x:f>
        <x:v>0</x:v>
      </x:c>
      <x:c r="BZ375" s="23" t="n">
        <x:f>MAX(0,MIN('Activities'!L375,444)-MAX('Activities'!K375,438))</x:f>
        <x:v>0</x:v>
      </x:c>
      <x:c r="CA375" s="23" t="n">
        <x:f>MAX(0,MIN('Activities'!L375,450)-MAX('Activities'!K375,444))</x:f>
        <x:v>0</x:v>
      </x:c>
      <x:c r="CB375" s="23" t="n">
        <x:f>MAX(0,MIN('Activities'!L375,456)-MAX('Activities'!K375,450))</x:f>
        <x:v>0</x:v>
      </x:c>
      <x:c r="CC375" s="23" t="n">
        <x:f>MAX(0,MIN('Activities'!L375,462)-MAX('Activities'!K375,456))</x:f>
        <x:v>0</x:v>
      </x:c>
      <x:c r="CD375" s="23" t="n">
        <x:f>MAX(0,MIN('Activities'!L375,468)-MAX('Activities'!K375,462))</x:f>
        <x:v>0</x:v>
      </x:c>
      <x:c r="CE375" s="23" t="n">
        <x:f>MAX(0,MIN('Activities'!L375,474)-MAX('Activities'!K375,468))</x:f>
        <x:v>0</x:v>
      </x:c>
      <x:c r="CF375" s="23" t="n">
        <x:f>MAX(0,MIN('Activities'!L375,480)-MAX('Activities'!K375,474))</x:f>
        <x:v>0</x:v>
      </x:c>
      <x:c r="CG375" s="23" t="n">
        <x:f>MAX(0,MIN('Activities'!L375,486)-MAX('Activities'!K375,480))</x:f>
        <x:v>0</x:v>
      </x:c>
      <x:c r="CH375" s="23" t="n">
        <x:f>MAX(0,MIN('Activities'!L375,492)-MAX('Activities'!K375,486))</x:f>
        <x:v>0</x:v>
      </x:c>
      <x:c r="CI375" s="23" t="n">
        <x:f>MAX(0,MIN('Activities'!L375,498)-MAX('Activities'!K375,492))</x:f>
        <x:v>0</x:v>
      </x:c>
      <x:c r="CJ375" s="23" t="n">
        <x:f>MAX(0,MIN('Activities'!L375,504)-MAX('Activities'!K375,498))</x:f>
        <x:v>0</x:v>
      </x:c>
      <x:c r="CK375" s="23" t="n">
        <x:f>MAX(0,MIN('Activities'!L375,510)-MAX('Activities'!K375,504))</x:f>
        <x:v>0</x:v>
      </x:c>
      <x:c r="CL375" s="23" t="n">
        <x:f>MAX(0,MIN('Activities'!L375,516)-MAX('Activities'!K375,510))</x:f>
        <x:v>0</x:v>
      </x:c>
      <x:c r="CM375" s="23" t="n">
        <x:f>MAX(0,MIN('Activities'!L375,522)-MAX('Activities'!K375,516))</x:f>
        <x:v>0</x:v>
      </x:c>
      <x:c r="CN375" s="23" t="n">
        <x:f>MAX(0,MIN('Activities'!L375,528)-MAX('Activities'!K375,522))</x:f>
        <x:v>0</x:v>
      </x:c>
      <x:c r="CO375" s="23" t="n">
        <x:f>MAX(0,MIN('Activities'!L375,534)-MAX('Activities'!K375,528))</x:f>
        <x:v>0</x:v>
      </x:c>
      <x:c r="CP375" s="23" t="n">
        <x:f>MAX(0,MIN('Activities'!L375,540)-MAX('Activities'!K375,534))</x:f>
        <x:v>0</x:v>
      </x:c>
      <x:c r="CQ375" s="23" t="n">
        <x:f>MAX(0,MIN('Activities'!L375,546)-MAX('Activities'!K375,540))</x:f>
        <x:v>0</x:v>
      </x:c>
      <x:c r="CR375" s="23" t="n">
        <x:f>MAX(0,MIN('Activities'!L375,552)-MAX('Activities'!K375,546))</x:f>
        <x:v>0</x:v>
      </x:c>
      <x:c r="CS375" s="23" t="n">
        <x:f>MAX(0,MIN('Activities'!L375,558)-MAX('Activities'!K375,552))</x:f>
        <x:v>0</x:v>
      </x:c>
      <x:c r="CT375" s="23" t="n">
        <x:f>MAX(0,MIN('Activities'!L375,564)-MAX('Activities'!K375,558))</x:f>
        <x:v>0</x:v>
      </x:c>
      <x:c r="CU375" s="23" t="n">
        <x:f>MAX(0,MIN('Activities'!L375,570)-MAX('Activities'!K375,564))</x:f>
        <x:v>0</x:v>
      </x:c>
      <x:c r="CV375" s="23" t="n">
        <x:f>MAX(0,MIN('Activities'!L375,576)-MAX('Activities'!K375,570))</x:f>
        <x:v>0</x:v>
      </x:c>
      <x:c r="CW375" s="23" t="n">
        <x:f>MAX(0,MIN('Activities'!L375,582)-MAX('Activities'!K375,576))</x:f>
        <x:v>0</x:v>
      </x:c>
      <x:c r="CX375" s="23" t="n">
        <x:f>MAX(0,MIN('Activities'!L375,588)-MAX('Activities'!K375,582))</x:f>
        <x:v>0</x:v>
      </x:c>
      <x:c r="CY375" s="23" t="n">
        <x:f>MAX(0,MIN('Activities'!L375,594)-MAX('Activities'!K375,588))</x:f>
        <x:v>0</x:v>
      </x:c>
      <x:c r="CZ375" s="23" t="n">
        <x:f>MAX(0,MIN('Activities'!L375,600)-MAX('Activities'!K375,594))</x:f>
        <x:v>0</x:v>
      </x:c>
      <x:c r="DA375" s="23" t="n">
        <x:f>MAX(0,MIN('Activities'!L375,606)-MAX('Activities'!K375,600))</x:f>
        <x:v>0</x:v>
      </x:c>
      <x:c r="DB375" s="23" t="n">
        <x:f>MAX(0,MIN('Activities'!L375,612)-MAX('Activities'!K375,606))</x:f>
        <x:v>0</x:v>
      </x:c>
      <x:c r="DC375" s="23" t="n">
        <x:f>MAX(0,MIN('Activities'!L375,618)-MAX('Activities'!K375,612))</x:f>
        <x:v>0</x:v>
      </x:c>
      <x:c r="DD375" s="23" t="n">
        <x:f>MAX(0,MIN('Activities'!L375,624)-MAX('Activities'!K375,618))</x:f>
        <x:v>0</x:v>
      </x:c>
      <x:c r="DE375" s="23" t="n">
        <x:f>MAX(0,MIN('Activities'!L375,630)-MAX('Activities'!K375,624))</x:f>
        <x:v>0</x:v>
      </x:c>
      <x:c r="DF375" s="23" t="n">
        <x:f>MAX(0,MIN('Activities'!L375,636)-MAX('Activities'!K375,630))</x:f>
        <x:v>0</x:v>
      </x:c>
    </x:row>
    <x:row r="376" ht="23" customHeight="1">
      <x:c r="A376" s="6" t="str">
        <x:v>T3-L06-T</x:v>
      </x:c>
      <x:c r="B376" s="6" t="str">
        <x:v>T3</x:v>
      </x:c>
      <x:c r="C376" s="6" t="str">
        <x:v>Floor finishes and skirtings</x:v>
      </x:c>
      <x:c r="D376" s="6" t="str">
        <x:v>Finishes</x:v>
      </x:c>
      <x:c r="E376" s="22" t="n">
        <x:f>MAX(0,MIN('Activities'!L376,6)-MAX('Activities'!K376,0))</x:f>
        <x:v>0</x:v>
      </x:c>
      <x:c r="F376" s="22" t="n">
        <x:f>MAX(0,MIN('Activities'!L376,12)-MAX('Activities'!K376,6))</x:f>
        <x:v>0</x:v>
      </x:c>
      <x:c r="G376" s="22" t="n">
        <x:f>MAX(0,MIN('Activities'!L376,18)-MAX('Activities'!K376,12))</x:f>
        <x:v>0</x:v>
      </x:c>
      <x:c r="H376" s="22" t="n">
        <x:f>MAX(0,MIN('Activities'!L376,24)-MAX('Activities'!K376,18))</x:f>
        <x:v>0</x:v>
      </x:c>
      <x:c r="I376" s="22" t="n">
        <x:f>MAX(0,MIN('Activities'!L376,30)-MAX('Activities'!K376,24))</x:f>
        <x:v>0</x:v>
      </x:c>
      <x:c r="J376" s="22" t="n">
        <x:f>MAX(0,MIN('Activities'!L376,36)-MAX('Activities'!K376,30))</x:f>
        <x:v>0</x:v>
      </x:c>
      <x:c r="K376" s="22" t="n">
        <x:f>MAX(0,MIN('Activities'!L376,42)-MAX('Activities'!K376,36))</x:f>
        <x:v>0</x:v>
      </x:c>
      <x:c r="L376" s="22" t="n">
        <x:f>MAX(0,MIN('Activities'!L376,48)-MAX('Activities'!K376,42))</x:f>
        <x:v>0</x:v>
      </x:c>
      <x:c r="M376" s="22" t="n">
        <x:f>MAX(0,MIN('Activities'!L376,54)-MAX('Activities'!K376,48))</x:f>
        <x:v>0</x:v>
      </x:c>
      <x:c r="N376" s="22" t="n">
        <x:f>MAX(0,MIN('Activities'!L376,60)-MAX('Activities'!K376,54))</x:f>
        <x:v>0</x:v>
      </x:c>
      <x:c r="O376" s="22" t="n">
        <x:f>MAX(0,MIN('Activities'!L376,66)-MAX('Activities'!K376,60))</x:f>
        <x:v>0</x:v>
      </x:c>
      <x:c r="P376" s="22" t="n">
        <x:f>MAX(0,MIN('Activities'!L376,72)-MAX('Activities'!K376,66))</x:f>
        <x:v>0</x:v>
      </x:c>
      <x:c r="Q376" s="22" t="n">
        <x:f>MAX(0,MIN('Activities'!L376,78)-MAX('Activities'!K376,72))</x:f>
        <x:v>0</x:v>
      </x:c>
      <x:c r="R376" s="22" t="n">
        <x:f>MAX(0,MIN('Activities'!L376,84)-MAX('Activities'!K376,78))</x:f>
        <x:v>0</x:v>
      </x:c>
      <x:c r="S376" s="22" t="n">
        <x:f>MAX(0,MIN('Activities'!L376,90)-MAX('Activities'!K376,84))</x:f>
        <x:v>0</x:v>
      </x:c>
      <x:c r="T376" s="22" t="n">
        <x:f>MAX(0,MIN('Activities'!L376,96)-MAX('Activities'!K376,90))</x:f>
        <x:v>0</x:v>
      </x:c>
      <x:c r="U376" s="22" t="n">
        <x:f>MAX(0,MIN('Activities'!L376,102)-MAX('Activities'!K376,96))</x:f>
        <x:v>0</x:v>
      </x:c>
      <x:c r="V376" s="22" t="n">
        <x:f>MAX(0,MIN('Activities'!L376,108)-MAX('Activities'!K376,102))</x:f>
        <x:v>0</x:v>
      </x:c>
      <x:c r="W376" s="22" t="n">
        <x:f>MAX(0,MIN('Activities'!L376,114)-MAX('Activities'!K376,108))</x:f>
        <x:v>0</x:v>
      </x:c>
      <x:c r="X376" s="22" t="n">
        <x:f>MAX(0,MIN('Activities'!L376,120)-MAX('Activities'!K376,114))</x:f>
        <x:v>0</x:v>
      </x:c>
      <x:c r="Y376" s="22" t="n">
        <x:f>MAX(0,MIN('Activities'!L376,126)-MAX('Activities'!K376,120))</x:f>
        <x:v>0</x:v>
      </x:c>
      <x:c r="Z376" s="22" t="n">
        <x:f>MAX(0,MIN('Activities'!L376,132)-MAX('Activities'!K376,126))</x:f>
        <x:v>0</x:v>
      </x:c>
      <x:c r="AA376" s="22" t="n">
        <x:f>MAX(0,MIN('Activities'!L376,138)-MAX('Activities'!K376,132))</x:f>
        <x:v>0</x:v>
      </x:c>
      <x:c r="AB376" s="22" t="n">
        <x:f>MAX(0,MIN('Activities'!L376,144)-MAX('Activities'!K376,138))</x:f>
        <x:v>0</x:v>
      </x:c>
      <x:c r="AC376" s="22" t="n">
        <x:f>MAX(0,MIN('Activities'!L376,150)-MAX('Activities'!K376,144))</x:f>
        <x:v>0</x:v>
      </x:c>
      <x:c r="AD376" s="22" t="n">
        <x:f>MAX(0,MIN('Activities'!L376,156)-MAX('Activities'!K376,150))</x:f>
        <x:v>0</x:v>
      </x:c>
      <x:c r="AE376" s="22" t="n">
        <x:f>MAX(0,MIN('Activities'!L376,162)-MAX('Activities'!K376,156))</x:f>
        <x:v>0</x:v>
      </x:c>
      <x:c r="AF376" s="22" t="n">
        <x:f>MAX(0,MIN('Activities'!L376,168)-MAX('Activities'!K376,162))</x:f>
        <x:v>0</x:v>
      </x:c>
      <x:c r="AG376" s="22" t="n">
        <x:f>MAX(0,MIN('Activities'!L376,174)-MAX('Activities'!K376,168))</x:f>
        <x:v>0</x:v>
      </x:c>
      <x:c r="AH376" s="22" t="n">
        <x:f>MAX(0,MIN('Activities'!L376,180)-MAX('Activities'!K376,174))</x:f>
        <x:v>0</x:v>
      </x:c>
      <x:c r="AI376" s="22" t="n">
        <x:f>MAX(0,MIN('Activities'!L376,186)-MAX('Activities'!K376,180))</x:f>
        <x:v>0</x:v>
      </x:c>
      <x:c r="AJ376" s="22" t="n">
        <x:f>MAX(0,MIN('Activities'!L376,192)-MAX('Activities'!K376,186))</x:f>
        <x:v>0</x:v>
      </x:c>
      <x:c r="AK376" s="22" t="n">
        <x:f>MAX(0,MIN('Activities'!L376,198)-MAX('Activities'!K376,192))</x:f>
        <x:v>0</x:v>
      </x:c>
      <x:c r="AL376" s="22" t="n">
        <x:f>MAX(0,MIN('Activities'!L376,204)-MAX('Activities'!K376,198))</x:f>
        <x:v>0</x:v>
      </x:c>
      <x:c r="AM376" s="22" t="n">
        <x:f>MAX(0,MIN('Activities'!L376,210)-MAX('Activities'!K376,204))</x:f>
        <x:v>0</x:v>
      </x:c>
      <x:c r="AN376" s="22" t="n">
        <x:f>MAX(0,MIN('Activities'!L376,216)-MAX('Activities'!K376,210))</x:f>
        <x:v>0</x:v>
      </x:c>
      <x:c r="AO376" s="22" t="n">
        <x:f>MAX(0,MIN('Activities'!L376,222)-MAX('Activities'!K376,216))</x:f>
        <x:v>0</x:v>
      </x:c>
      <x:c r="AP376" s="22" t="n">
        <x:f>MAX(0,MIN('Activities'!L376,228)-MAX('Activities'!K376,222))</x:f>
        <x:v>0</x:v>
      </x:c>
      <x:c r="AQ376" s="22" t="n">
        <x:f>MAX(0,MIN('Activities'!L376,234)-MAX('Activities'!K376,228))</x:f>
        <x:v>0</x:v>
      </x:c>
      <x:c r="AR376" s="22" t="n">
        <x:f>MAX(0,MIN('Activities'!L376,240)-MAX('Activities'!K376,234))</x:f>
        <x:v>0</x:v>
      </x:c>
      <x:c r="AS376" s="22" t="n">
        <x:f>MAX(0,MIN('Activities'!L376,246)-MAX('Activities'!K376,240))</x:f>
        <x:v>0</x:v>
      </x:c>
      <x:c r="AT376" s="22" t="n">
        <x:f>MAX(0,MIN('Activities'!L376,252)-MAX('Activities'!K376,246))</x:f>
        <x:v>0</x:v>
      </x:c>
      <x:c r="AU376" s="22" t="n">
        <x:f>MAX(0,MIN('Activities'!L376,258)-MAX('Activities'!K376,252))</x:f>
        <x:v>0</x:v>
      </x:c>
      <x:c r="AV376" s="22" t="n">
        <x:f>MAX(0,MIN('Activities'!L376,264)-MAX('Activities'!K376,258))</x:f>
        <x:v>0</x:v>
      </x:c>
      <x:c r="AW376" s="22" t="n">
        <x:f>MAX(0,MIN('Activities'!L376,270)-MAX('Activities'!K376,264))</x:f>
        <x:v>0</x:v>
      </x:c>
      <x:c r="AX376" s="22" t="n">
        <x:f>MAX(0,MIN('Activities'!L376,276)-MAX('Activities'!K376,270))</x:f>
        <x:v>0</x:v>
      </x:c>
      <x:c r="AY376" s="22" t="n">
        <x:f>MAX(0,MIN('Activities'!L376,282)-MAX('Activities'!K376,276))</x:f>
        <x:v>0</x:v>
      </x:c>
      <x:c r="AZ376" s="22" t="n">
        <x:f>MAX(0,MIN('Activities'!L376,288)-MAX('Activities'!K376,282))</x:f>
        <x:v>0</x:v>
      </x:c>
      <x:c r="BA376" s="22" t="n">
        <x:f>MAX(0,MIN('Activities'!L376,294)-MAX('Activities'!K376,288))</x:f>
        <x:v>0</x:v>
      </x:c>
      <x:c r="BB376" s="22" t="n">
        <x:f>MAX(0,MIN('Activities'!L376,300)-MAX('Activities'!K376,294))</x:f>
        <x:v>0</x:v>
      </x:c>
      <x:c r="BC376" s="22" t="n">
        <x:f>MAX(0,MIN('Activities'!L376,306)-MAX('Activities'!K376,300))</x:f>
        <x:v>0</x:v>
      </x:c>
      <x:c r="BD376" s="22" t="n">
        <x:f>MAX(0,MIN('Activities'!L376,312)-MAX('Activities'!K376,306))</x:f>
        <x:v>0</x:v>
      </x:c>
      <x:c r="BE376" s="22" t="n">
        <x:f>MAX(0,MIN('Activities'!L376,318)-MAX('Activities'!K376,312))</x:f>
        <x:v>0</x:v>
      </x:c>
      <x:c r="BF376" s="22" t="n">
        <x:f>MAX(0,MIN('Activities'!L376,324)-MAX('Activities'!K376,318))</x:f>
        <x:v>0</x:v>
      </x:c>
      <x:c r="BG376" s="22" t="n">
        <x:f>MAX(0,MIN('Activities'!L376,330)-MAX('Activities'!K376,324))</x:f>
        <x:v>0</x:v>
      </x:c>
      <x:c r="BH376" s="22" t="n">
        <x:f>MAX(0,MIN('Activities'!L376,336)-MAX('Activities'!K376,330))</x:f>
        <x:v>0</x:v>
      </x:c>
      <x:c r="BI376" s="22" t="n">
        <x:f>MAX(0,MIN('Activities'!L376,342)-MAX('Activities'!K376,336))</x:f>
        <x:v>0</x:v>
      </x:c>
      <x:c r="BJ376" s="22" t="n">
        <x:f>MAX(0,MIN('Activities'!L376,348)-MAX('Activities'!K376,342))</x:f>
        <x:v>0</x:v>
      </x:c>
      <x:c r="BK376" s="22" t="n">
        <x:f>MAX(0,MIN('Activities'!L376,354)-MAX('Activities'!K376,348))</x:f>
        <x:v>0</x:v>
      </x:c>
      <x:c r="BL376" s="22" t="n">
        <x:f>MAX(0,MIN('Activities'!L376,360)-MAX('Activities'!K376,354))</x:f>
        <x:v>0</x:v>
      </x:c>
      <x:c r="BM376" s="22" t="n">
        <x:f>MAX(0,MIN('Activities'!L376,366)-MAX('Activities'!K376,360))</x:f>
        <x:v>0</x:v>
      </x:c>
      <x:c r="BN376" s="22" t="n">
        <x:f>MAX(0,MIN('Activities'!L376,372)-MAX('Activities'!K376,366))</x:f>
        <x:v>0</x:v>
      </x:c>
      <x:c r="BO376" s="22" t="n">
        <x:f>MAX(0,MIN('Activities'!L376,378)-MAX('Activities'!K376,372))</x:f>
        <x:v>0</x:v>
      </x:c>
      <x:c r="BP376" s="22" t="n">
        <x:f>MAX(0,MIN('Activities'!L376,384)-MAX('Activities'!K376,378))</x:f>
        <x:v>0</x:v>
      </x:c>
      <x:c r="BQ376" s="22" t="n">
        <x:f>MAX(0,MIN('Activities'!L376,390)-MAX('Activities'!K376,384))</x:f>
        <x:v>0</x:v>
      </x:c>
      <x:c r="BR376" s="22" t="n">
        <x:f>MAX(0,MIN('Activities'!L376,396)-MAX('Activities'!K376,390))</x:f>
        <x:v>0</x:v>
      </x:c>
      <x:c r="BS376" s="22" t="n">
        <x:f>MAX(0,MIN('Activities'!L376,402)-MAX('Activities'!K376,396))</x:f>
        <x:v>0</x:v>
      </x:c>
      <x:c r="BT376" s="22" t="n">
        <x:f>MAX(0,MIN('Activities'!L376,408)-MAX('Activities'!K376,402))</x:f>
        <x:v>0</x:v>
      </x:c>
      <x:c r="BU376" s="22" t="n">
        <x:f>MAX(0,MIN('Activities'!L376,414)-MAX('Activities'!K376,408))</x:f>
        <x:v>0</x:v>
      </x:c>
      <x:c r="BV376" s="22" t="n">
        <x:f>MAX(0,MIN('Activities'!L376,420)-MAX('Activities'!K376,414))</x:f>
        <x:v>0</x:v>
      </x:c>
      <x:c r="BW376" s="22" t="n">
        <x:f>MAX(0,MIN('Activities'!L376,426)-MAX('Activities'!K376,420))</x:f>
        <x:v>1</x:v>
      </x:c>
      <x:c r="BX376" s="22" t="n">
        <x:f>MAX(0,MIN('Activities'!L376,432)-MAX('Activities'!K376,426))</x:f>
        <x:v>5</x:v>
      </x:c>
      <x:c r="BY376" s="22" t="n">
        <x:f>MAX(0,MIN('Activities'!L376,438)-MAX('Activities'!K376,432))</x:f>
        <x:v>0</x:v>
      </x:c>
      <x:c r="BZ376" s="22" t="n">
        <x:f>MAX(0,MIN('Activities'!L376,444)-MAX('Activities'!K376,438))</x:f>
        <x:v>0</x:v>
      </x:c>
      <x:c r="CA376" s="22" t="n">
        <x:f>MAX(0,MIN('Activities'!L376,450)-MAX('Activities'!K376,444))</x:f>
        <x:v>0</x:v>
      </x:c>
      <x:c r="CB376" s="22" t="n">
        <x:f>MAX(0,MIN('Activities'!L376,456)-MAX('Activities'!K376,450))</x:f>
        <x:v>0</x:v>
      </x:c>
      <x:c r="CC376" s="22" t="n">
        <x:f>MAX(0,MIN('Activities'!L376,462)-MAX('Activities'!K376,456))</x:f>
        <x:v>0</x:v>
      </x:c>
      <x:c r="CD376" s="22" t="n">
        <x:f>MAX(0,MIN('Activities'!L376,468)-MAX('Activities'!K376,462))</x:f>
        <x:v>0</x:v>
      </x:c>
      <x:c r="CE376" s="22" t="n">
        <x:f>MAX(0,MIN('Activities'!L376,474)-MAX('Activities'!K376,468))</x:f>
        <x:v>0</x:v>
      </x:c>
      <x:c r="CF376" s="22" t="n">
        <x:f>MAX(0,MIN('Activities'!L376,480)-MAX('Activities'!K376,474))</x:f>
        <x:v>0</x:v>
      </x:c>
      <x:c r="CG376" s="22" t="n">
        <x:f>MAX(0,MIN('Activities'!L376,486)-MAX('Activities'!K376,480))</x:f>
        <x:v>0</x:v>
      </x:c>
      <x:c r="CH376" s="22" t="n">
        <x:f>MAX(0,MIN('Activities'!L376,492)-MAX('Activities'!K376,486))</x:f>
        <x:v>0</x:v>
      </x:c>
      <x:c r="CI376" s="22" t="n">
        <x:f>MAX(0,MIN('Activities'!L376,498)-MAX('Activities'!K376,492))</x:f>
        <x:v>0</x:v>
      </x:c>
      <x:c r="CJ376" s="22" t="n">
        <x:f>MAX(0,MIN('Activities'!L376,504)-MAX('Activities'!K376,498))</x:f>
        <x:v>0</x:v>
      </x:c>
      <x:c r="CK376" s="22" t="n">
        <x:f>MAX(0,MIN('Activities'!L376,510)-MAX('Activities'!K376,504))</x:f>
        <x:v>0</x:v>
      </x:c>
      <x:c r="CL376" s="22" t="n">
        <x:f>MAX(0,MIN('Activities'!L376,516)-MAX('Activities'!K376,510))</x:f>
        <x:v>0</x:v>
      </x:c>
      <x:c r="CM376" s="22" t="n">
        <x:f>MAX(0,MIN('Activities'!L376,522)-MAX('Activities'!K376,516))</x:f>
        <x:v>0</x:v>
      </x:c>
      <x:c r="CN376" s="22" t="n">
        <x:f>MAX(0,MIN('Activities'!L376,528)-MAX('Activities'!K376,522))</x:f>
        <x:v>0</x:v>
      </x:c>
      <x:c r="CO376" s="22" t="n">
        <x:f>MAX(0,MIN('Activities'!L376,534)-MAX('Activities'!K376,528))</x:f>
        <x:v>0</x:v>
      </x:c>
      <x:c r="CP376" s="22" t="n">
        <x:f>MAX(0,MIN('Activities'!L376,540)-MAX('Activities'!K376,534))</x:f>
        <x:v>0</x:v>
      </x:c>
      <x:c r="CQ376" s="22" t="n">
        <x:f>MAX(0,MIN('Activities'!L376,546)-MAX('Activities'!K376,540))</x:f>
        <x:v>0</x:v>
      </x:c>
      <x:c r="CR376" s="22" t="n">
        <x:f>MAX(0,MIN('Activities'!L376,552)-MAX('Activities'!K376,546))</x:f>
        <x:v>0</x:v>
      </x:c>
      <x:c r="CS376" s="22" t="n">
        <x:f>MAX(0,MIN('Activities'!L376,558)-MAX('Activities'!K376,552))</x:f>
        <x:v>0</x:v>
      </x:c>
      <x:c r="CT376" s="22" t="n">
        <x:f>MAX(0,MIN('Activities'!L376,564)-MAX('Activities'!K376,558))</x:f>
        <x:v>0</x:v>
      </x:c>
      <x:c r="CU376" s="22" t="n">
        <x:f>MAX(0,MIN('Activities'!L376,570)-MAX('Activities'!K376,564))</x:f>
        <x:v>0</x:v>
      </x:c>
      <x:c r="CV376" s="22" t="n">
        <x:f>MAX(0,MIN('Activities'!L376,576)-MAX('Activities'!K376,570))</x:f>
        <x:v>0</x:v>
      </x:c>
      <x:c r="CW376" s="22" t="n">
        <x:f>MAX(0,MIN('Activities'!L376,582)-MAX('Activities'!K376,576))</x:f>
        <x:v>0</x:v>
      </x:c>
      <x:c r="CX376" s="22" t="n">
        <x:f>MAX(0,MIN('Activities'!L376,588)-MAX('Activities'!K376,582))</x:f>
        <x:v>0</x:v>
      </x:c>
      <x:c r="CY376" s="22" t="n">
        <x:f>MAX(0,MIN('Activities'!L376,594)-MAX('Activities'!K376,588))</x:f>
        <x:v>0</x:v>
      </x:c>
      <x:c r="CZ376" s="22" t="n">
        <x:f>MAX(0,MIN('Activities'!L376,600)-MAX('Activities'!K376,594))</x:f>
        <x:v>0</x:v>
      </x:c>
      <x:c r="DA376" s="22" t="n">
        <x:f>MAX(0,MIN('Activities'!L376,606)-MAX('Activities'!K376,600))</x:f>
        <x:v>0</x:v>
      </x:c>
      <x:c r="DB376" s="22" t="n">
        <x:f>MAX(0,MIN('Activities'!L376,612)-MAX('Activities'!K376,606))</x:f>
        <x:v>0</x:v>
      </x:c>
      <x:c r="DC376" s="22" t="n">
        <x:f>MAX(0,MIN('Activities'!L376,618)-MAX('Activities'!K376,612))</x:f>
        <x:v>0</x:v>
      </x:c>
      <x:c r="DD376" s="22" t="n">
        <x:f>MAX(0,MIN('Activities'!L376,624)-MAX('Activities'!K376,618))</x:f>
        <x:v>0</x:v>
      </x:c>
      <x:c r="DE376" s="22" t="n">
        <x:f>MAX(0,MIN('Activities'!L376,630)-MAX('Activities'!K376,624))</x:f>
        <x:v>0</x:v>
      </x:c>
      <x:c r="DF376" s="22" t="n">
        <x:f>MAX(0,MIN('Activities'!L376,636)-MAX('Activities'!K376,630))</x:f>
        <x:v>0</x:v>
      </x:c>
    </x:row>
    <x:row r="377" ht="23" customHeight="1">
      <x:c r="A377" s="1" t="str">
        <x:v>T3-L06-A</x:v>
      </x:c>
      <x:c r="B377" s="1" t="str">
        <x:v>T3</x:v>
      </x:c>
      <x:c r="C377" s="1" t="str">
        <x:v>Paint and final decorations</x:v>
      </x:c>
      <x:c r="D377" s="1" t="str">
        <x:v>Finishes</x:v>
      </x:c>
      <x:c r="E377" s="23" t="n">
        <x:f>MAX(0,MIN('Activities'!L377,6)-MAX('Activities'!K377,0))</x:f>
        <x:v>0</x:v>
      </x:c>
      <x:c r="F377" s="23" t="n">
        <x:f>MAX(0,MIN('Activities'!L377,12)-MAX('Activities'!K377,6))</x:f>
        <x:v>0</x:v>
      </x:c>
      <x:c r="G377" s="23" t="n">
        <x:f>MAX(0,MIN('Activities'!L377,18)-MAX('Activities'!K377,12))</x:f>
        <x:v>0</x:v>
      </x:c>
      <x:c r="H377" s="23" t="n">
        <x:f>MAX(0,MIN('Activities'!L377,24)-MAX('Activities'!K377,18))</x:f>
        <x:v>0</x:v>
      </x:c>
      <x:c r="I377" s="23" t="n">
        <x:f>MAX(0,MIN('Activities'!L377,30)-MAX('Activities'!K377,24))</x:f>
        <x:v>0</x:v>
      </x:c>
      <x:c r="J377" s="23" t="n">
        <x:f>MAX(0,MIN('Activities'!L377,36)-MAX('Activities'!K377,30))</x:f>
        <x:v>0</x:v>
      </x:c>
      <x:c r="K377" s="23" t="n">
        <x:f>MAX(0,MIN('Activities'!L377,42)-MAX('Activities'!K377,36))</x:f>
        <x:v>0</x:v>
      </x:c>
      <x:c r="L377" s="23" t="n">
        <x:f>MAX(0,MIN('Activities'!L377,48)-MAX('Activities'!K377,42))</x:f>
        <x:v>0</x:v>
      </x:c>
      <x:c r="M377" s="23" t="n">
        <x:f>MAX(0,MIN('Activities'!L377,54)-MAX('Activities'!K377,48))</x:f>
        <x:v>0</x:v>
      </x:c>
      <x:c r="N377" s="23" t="n">
        <x:f>MAX(0,MIN('Activities'!L377,60)-MAX('Activities'!K377,54))</x:f>
        <x:v>0</x:v>
      </x:c>
      <x:c r="O377" s="23" t="n">
        <x:f>MAX(0,MIN('Activities'!L377,66)-MAX('Activities'!K377,60))</x:f>
        <x:v>0</x:v>
      </x:c>
      <x:c r="P377" s="23" t="n">
        <x:f>MAX(0,MIN('Activities'!L377,72)-MAX('Activities'!K377,66))</x:f>
        <x:v>0</x:v>
      </x:c>
      <x:c r="Q377" s="23" t="n">
        <x:f>MAX(0,MIN('Activities'!L377,78)-MAX('Activities'!K377,72))</x:f>
        <x:v>0</x:v>
      </x:c>
      <x:c r="R377" s="23" t="n">
        <x:f>MAX(0,MIN('Activities'!L377,84)-MAX('Activities'!K377,78))</x:f>
        <x:v>0</x:v>
      </x:c>
      <x:c r="S377" s="23" t="n">
        <x:f>MAX(0,MIN('Activities'!L377,90)-MAX('Activities'!K377,84))</x:f>
        <x:v>0</x:v>
      </x:c>
      <x:c r="T377" s="23" t="n">
        <x:f>MAX(0,MIN('Activities'!L377,96)-MAX('Activities'!K377,90))</x:f>
        <x:v>0</x:v>
      </x:c>
      <x:c r="U377" s="23" t="n">
        <x:f>MAX(0,MIN('Activities'!L377,102)-MAX('Activities'!K377,96))</x:f>
        <x:v>0</x:v>
      </x:c>
      <x:c r="V377" s="23" t="n">
        <x:f>MAX(0,MIN('Activities'!L377,108)-MAX('Activities'!K377,102))</x:f>
        <x:v>0</x:v>
      </x:c>
      <x:c r="W377" s="23" t="n">
        <x:f>MAX(0,MIN('Activities'!L377,114)-MAX('Activities'!K377,108))</x:f>
        <x:v>0</x:v>
      </x:c>
      <x:c r="X377" s="23" t="n">
        <x:f>MAX(0,MIN('Activities'!L377,120)-MAX('Activities'!K377,114))</x:f>
        <x:v>0</x:v>
      </x:c>
      <x:c r="Y377" s="23" t="n">
        <x:f>MAX(0,MIN('Activities'!L377,126)-MAX('Activities'!K377,120))</x:f>
        <x:v>0</x:v>
      </x:c>
      <x:c r="Z377" s="23" t="n">
        <x:f>MAX(0,MIN('Activities'!L377,132)-MAX('Activities'!K377,126))</x:f>
        <x:v>0</x:v>
      </x:c>
      <x:c r="AA377" s="23" t="n">
        <x:f>MAX(0,MIN('Activities'!L377,138)-MAX('Activities'!K377,132))</x:f>
        <x:v>0</x:v>
      </x:c>
      <x:c r="AB377" s="23" t="n">
        <x:f>MAX(0,MIN('Activities'!L377,144)-MAX('Activities'!K377,138))</x:f>
        <x:v>0</x:v>
      </x:c>
      <x:c r="AC377" s="23" t="n">
        <x:f>MAX(0,MIN('Activities'!L377,150)-MAX('Activities'!K377,144))</x:f>
        <x:v>0</x:v>
      </x:c>
      <x:c r="AD377" s="23" t="n">
        <x:f>MAX(0,MIN('Activities'!L377,156)-MAX('Activities'!K377,150))</x:f>
        <x:v>0</x:v>
      </x:c>
      <x:c r="AE377" s="23" t="n">
        <x:f>MAX(0,MIN('Activities'!L377,162)-MAX('Activities'!K377,156))</x:f>
        <x:v>0</x:v>
      </x:c>
      <x:c r="AF377" s="23" t="n">
        <x:f>MAX(0,MIN('Activities'!L377,168)-MAX('Activities'!K377,162))</x:f>
        <x:v>0</x:v>
      </x:c>
      <x:c r="AG377" s="23" t="n">
        <x:f>MAX(0,MIN('Activities'!L377,174)-MAX('Activities'!K377,168))</x:f>
        <x:v>0</x:v>
      </x:c>
      <x:c r="AH377" s="23" t="n">
        <x:f>MAX(0,MIN('Activities'!L377,180)-MAX('Activities'!K377,174))</x:f>
        <x:v>0</x:v>
      </x:c>
      <x:c r="AI377" s="23" t="n">
        <x:f>MAX(0,MIN('Activities'!L377,186)-MAX('Activities'!K377,180))</x:f>
        <x:v>0</x:v>
      </x:c>
      <x:c r="AJ377" s="23" t="n">
        <x:f>MAX(0,MIN('Activities'!L377,192)-MAX('Activities'!K377,186))</x:f>
        <x:v>0</x:v>
      </x:c>
      <x:c r="AK377" s="23" t="n">
        <x:f>MAX(0,MIN('Activities'!L377,198)-MAX('Activities'!K377,192))</x:f>
        <x:v>0</x:v>
      </x:c>
      <x:c r="AL377" s="23" t="n">
        <x:f>MAX(0,MIN('Activities'!L377,204)-MAX('Activities'!K377,198))</x:f>
        <x:v>0</x:v>
      </x:c>
      <x:c r="AM377" s="23" t="n">
        <x:f>MAX(0,MIN('Activities'!L377,210)-MAX('Activities'!K377,204))</x:f>
        <x:v>0</x:v>
      </x:c>
      <x:c r="AN377" s="23" t="n">
        <x:f>MAX(0,MIN('Activities'!L377,216)-MAX('Activities'!K377,210))</x:f>
        <x:v>0</x:v>
      </x:c>
      <x:c r="AO377" s="23" t="n">
        <x:f>MAX(0,MIN('Activities'!L377,222)-MAX('Activities'!K377,216))</x:f>
        <x:v>0</x:v>
      </x:c>
      <x:c r="AP377" s="23" t="n">
        <x:f>MAX(0,MIN('Activities'!L377,228)-MAX('Activities'!K377,222))</x:f>
        <x:v>0</x:v>
      </x:c>
      <x:c r="AQ377" s="23" t="n">
        <x:f>MAX(0,MIN('Activities'!L377,234)-MAX('Activities'!K377,228))</x:f>
        <x:v>0</x:v>
      </x:c>
      <x:c r="AR377" s="23" t="n">
        <x:f>MAX(0,MIN('Activities'!L377,240)-MAX('Activities'!K377,234))</x:f>
        <x:v>0</x:v>
      </x:c>
      <x:c r="AS377" s="23" t="n">
        <x:f>MAX(0,MIN('Activities'!L377,246)-MAX('Activities'!K377,240))</x:f>
        <x:v>0</x:v>
      </x:c>
      <x:c r="AT377" s="23" t="n">
        <x:f>MAX(0,MIN('Activities'!L377,252)-MAX('Activities'!K377,246))</x:f>
        <x:v>0</x:v>
      </x:c>
      <x:c r="AU377" s="23" t="n">
        <x:f>MAX(0,MIN('Activities'!L377,258)-MAX('Activities'!K377,252))</x:f>
        <x:v>0</x:v>
      </x:c>
      <x:c r="AV377" s="23" t="n">
        <x:f>MAX(0,MIN('Activities'!L377,264)-MAX('Activities'!K377,258))</x:f>
        <x:v>0</x:v>
      </x:c>
      <x:c r="AW377" s="23" t="n">
        <x:f>MAX(0,MIN('Activities'!L377,270)-MAX('Activities'!K377,264))</x:f>
        <x:v>0</x:v>
      </x:c>
      <x:c r="AX377" s="23" t="n">
        <x:f>MAX(0,MIN('Activities'!L377,276)-MAX('Activities'!K377,270))</x:f>
        <x:v>0</x:v>
      </x:c>
      <x:c r="AY377" s="23" t="n">
        <x:f>MAX(0,MIN('Activities'!L377,282)-MAX('Activities'!K377,276))</x:f>
        <x:v>0</x:v>
      </x:c>
      <x:c r="AZ377" s="23" t="n">
        <x:f>MAX(0,MIN('Activities'!L377,288)-MAX('Activities'!K377,282))</x:f>
        <x:v>0</x:v>
      </x:c>
      <x:c r="BA377" s="23" t="n">
        <x:f>MAX(0,MIN('Activities'!L377,294)-MAX('Activities'!K377,288))</x:f>
        <x:v>0</x:v>
      </x:c>
      <x:c r="BB377" s="23" t="n">
        <x:f>MAX(0,MIN('Activities'!L377,300)-MAX('Activities'!K377,294))</x:f>
        <x:v>0</x:v>
      </x:c>
      <x:c r="BC377" s="23" t="n">
        <x:f>MAX(0,MIN('Activities'!L377,306)-MAX('Activities'!K377,300))</x:f>
        <x:v>0</x:v>
      </x:c>
      <x:c r="BD377" s="23" t="n">
        <x:f>MAX(0,MIN('Activities'!L377,312)-MAX('Activities'!K377,306))</x:f>
        <x:v>0</x:v>
      </x:c>
      <x:c r="BE377" s="23" t="n">
        <x:f>MAX(0,MIN('Activities'!L377,318)-MAX('Activities'!K377,312))</x:f>
        <x:v>0</x:v>
      </x:c>
      <x:c r="BF377" s="23" t="n">
        <x:f>MAX(0,MIN('Activities'!L377,324)-MAX('Activities'!K377,318))</x:f>
        <x:v>0</x:v>
      </x:c>
      <x:c r="BG377" s="23" t="n">
        <x:f>MAX(0,MIN('Activities'!L377,330)-MAX('Activities'!K377,324))</x:f>
        <x:v>0</x:v>
      </x:c>
      <x:c r="BH377" s="23" t="n">
        <x:f>MAX(0,MIN('Activities'!L377,336)-MAX('Activities'!K377,330))</x:f>
        <x:v>0</x:v>
      </x:c>
      <x:c r="BI377" s="23" t="n">
        <x:f>MAX(0,MIN('Activities'!L377,342)-MAX('Activities'!K377,336))</x:f>
        <x:v>0</x:v>
      </x:c>
      <x:c r="BJ377" s="23" t="n">
        <x:f>MAX(0,MIN('Activities'!L377,348)-MAX('Activities'!K377,342))</x:f>
        <x:v>0</x:v>
      </x:c>
      <x:c r="BK377" s="23" t="n">
        <x:f>MAX(0,MIN('Activities'!L377,354)-MAX('Activities'!K377,348))</x:f>
        <x:v>0</x:v>
      </x:c>
      <x:c r="BL377" s="23" t="n">
        <x:f>MAX(0,MIN('Activities'!L377,360)-MAX('Activities'!K377,354))</x:f>
        <x:v>0</x:v>
      </x:c>
      <x:c r="BM377" s="23" t="n">
        <x:f>MAX(0,MIN('Activities'!L377,366)-MAX('Activities'!K377,360))</x:f>
        <x:v>0</x:v>
      </x:c>
      <x:c r="BN377" s="23" t="n">
        <x:f>MAX(0,MIN('Activities'!L377,372)-MAX('Activities'!K377,366))</x:f>
        <x:v>0</x:v>
      </x:c>
      <x:c r="BO377" s="23" t="n">
        <x:f>MAX(0,MIN('Activities'!L377,378)-MAX('Activities'!K377,372))</x:f>
        <x:v>0</x:v>
      </x:c>
      <x:c r="BP377" s="23" t="n">
        <x:f>MAX(0,MIN('Activities'!L377,384)-MAX('Activities'!K377,378))</x:f>
        <x:v>0</x:v>
      </x:c>
      <x:c r="BQ377" s="23" t="n">
        <x:f>MAX(0,MIN('Activities'!L377,390)-MAX('Activities'!K377,384))</x:f>
        <x:v>0</x:v>
      </x:c>
      <x:c r="BR377" s="23" t="n">
        <x:f>MAX(0,MIN('Activities'!L377,396)-MAX('Activities'!K377,390))</x:f>
        <x:v>0</x:v>
      </x:c>
      <x:c r="BS377" s="23" t="n">
        <x:f>MAX(0,MIN('Activities'!L377,402)-MAX('Activities'!K377,396))</x:f>
        <x:v>0</x:v>
      </x:c>
      <x:c r="BT377" s="23" t="n">
        <x:f>MAX(0,MIN('Activities'!L377,408)-MAX('Activities'!K377,402))</x:f>
        <x:v>0</x:v>
      </x:c>
      <x:c r="BU377" s="23" t="n">
        <x:f>MAX(0,MIN('Activities'!L377,414)-MAX('Activities'!K377,408))</x:f>
        <x:v>0</x:v>
      </x:c>
      <x:c r="BV377" s="23" t="n">
        <x:f>MAX(0,MIN('Activities'!L377,420)-MAX('Activities'!K377,414))</x:f>
        <x:v>0</x:v>
      </x:c>
      <x:c r="BW377" s="23" t="n">
        <x:f>MAX(0,MIN('Activities'!L377,426)-MAX('Activities'!K377,420))</x:f>
        <x:v>0</x:v>
      </x:c>
      <x:c r="BX377" s="23" t="n">
        <x:f>MAX(0,MIN('Activities'!L377,432)-MAX('Activities'!K377,426))</x:f>
        <x:v>0</x:v>
      </x:c>
      <x:c r="BY377" s="23" t="n">
        <x:f>MAX(0,MIN('Activities'!L377,438)-MAX('Activities'!K377,432))</x:f>
        <x:v>5</x:v>
      </x:c>
      <x:c r="BZ377" s="23" t="n">
        <x:f>MAX(0,MIN('Activities'!L377,444)-MAX('Activities'!K377,438))</x:f>
        <x:v>0</x:v>
      </x:c>
      <x:c r="CA377" s="23" t="n">
        <x:f>MAX(0,MIN('Activities'!L377,450)-MAX('Activities'!K377,444))</x:f>
        <x:v>0</x:v>
      </x:c>
      <x:c r="CB377" s="23" t="n">
        <x:f>MAX(0,MIN('Activities'!L377,456)-MAX('Activities'!K377,450))</x:f>
        <x:v>0</x:v>
      </x:c>
      <x:c r="CC377" s="23" t="n">
        <x:f>MAX(0,MIN('Activities'!L377,462)-MAX('Activities'!K377,456))</x:f>
        <x:v>0</x:v>
      </x:c>
      <x:c r="CD377" s="23" t="n">
        <x:f>MAX(0,MIN('Activities'!L377,468)-MAX('Activities'!K377,462))</x:f>
        <x:v>0</x:v>
      </x:c>
      <x:c r="CE377" s="23" t="n">
        <x:f>MAX(0,MIN('Activities'!L377,474)-MAX('Activities'!K377,468))</x:f>
        <x:v>0</x:v>
      </x:c>
      <x:c r="CF377" s="23" t="n">
        <x:f>MAX(0,MIN('Activities'!L377,480)-MAX('Activities'!K377,474))</x:f>
        <x:v>0</x:v>
      </x:c>
      <x:c r="CG377" s="23" t="n">
        <x:f>MAX(0,MIN('Activities'!L377,486)-MAX('Activities'!K377,480))</x:f>
        <x:v>0</x:v>
      </x:c>
      <x:c r="CH377" s="23" t="n">
        <x:f>MAX(0,MIN('Activities'!L377,492)-MAX('Activities'!K377,486))</x:f>
        <x:v>0</x:v>
      </x:c>
      <x:c r="CI377" s="23" t="n">
        <x:f>MAX(0,MIN('Activities'!L377,498)-MAX('Activities'!K377,492))</x:f>
        <x:v>0</x:v>
      </x:c>
      <x:c r="CJ377" s="23" t="n">
        <x:f>MAX(0,MIN('Activities'!L377,504)-MAX('Activities'!K377,498))</x:f>
        <x:v>0</x:v>
      </x:c>
      <x:c r="CK377" s="23" t="n">
        <x:f>MAX(0,MIN('Activities'!L377,510)-MAX('Activities'!K377,504))</x:f>
        <x:v>0</x:v>
      </x:c>
      <x:c r="CL377" s="23" t="n">
        <x:f>MAX(0,MIN('Activities'!L377,516)-MAX('Activities'!K377,510))</x:f>
        <x:v>0</x:v>
      </x:c>
      <x:c r="CM377" s="23" t="n">
        <x:f>MAX(0,MIN('Activities'!L377,522)-MAX('Activities'!K377,516))</x:f>
        <x:v>0</x:v>
      </x:c>
      <x:c r="CN377" s="23" t="n">
        <x:f>MAX(0,MIN('Activities'!L377,528)-MAX('Activities'!K377,522))</x:f>
        <x:v>0</x:v>
      </x:c>
      <x:c r="CO377" s="23" t="n">
        <x:f>MAX(0,MIN('Activities'!L377,534)-MAX('Activities'!K377,528))</x:f>
        <x:v>0</x:v>
      </x:c>
      <x:c r="CP377" s="23" t="n">
        <x:f>MAX(0,MIN('Activities'!L377,540)-MAX('Activities'!K377,534))</x:f>
        <x:v>0</x:v>
      </x:c>
      <x:c r="CQ377" s="23" t="n">
        <x:f>MAX(0,MIN('Activities'!L377,546)-MAX('Activities'!K377,540))</x:f>
        <x:v>0</x:v>
      </x:c>
      <x:c r="CR377" s="23" t="n">
        <x:f>MAX(0,MIN('Activities'!L377,552)-MAX('Activities'!K377,546))</x:f>
        <x:v>0</x:v>
      </x:c>
      <x:c r="CS377" s="23" t="n">
        <x:f>MAX(0,MIN('Activities'!L377,558)-MAX('Activities'!K377,552))</x:f>
        <x:v>0</x:v>
      </x:c>
      <x:c r="CT377" s="23" t="n">
        <x:f>MAX(0,MIN('Activities'!L377,564)-MAX('Activities'!K377,558))</x:f>
        <x:v>0</x:v>
      </x:c>
      <x:c r="CU377" s="23" t="n">
        <x:f>MAX(0,MIN('Activities'!L377,570)-MAX('Activities'!K377,564))</x:f>
        <x:v>0</x:v>
      </x:c>
      <x:c r="CV377" s="23" t="n">
        <x:f>MAX(0,MIN('Activities'!L377,576)-MAX('Activities'!K377,570))</x:f>
        <x:v>0</x:v>
      </x:c>
      <x:c r="CW377" s="23" t="n">
        <x:f>MAX(0,MIN('Activities'!L377,582)-MAX('Activities'!K377,576))</x:f>
        <x:v>0</x:v>
      </x:c>
      <x:c r="CX377" s="23" t="n">
        <x:f>MAX(0,MIN('Activities'!L377,588)-MAX('Activities'!K377,582))</x:f>
        <x:v>0</x:v>
      </x:c>
      <x:c r="CY377" s="23" t="n">
        <x:f>MAX(0,MIN('Activities'!L377,594)-MAX('Activities'!K377,588))</x:f>
        <x:v>0</x:v>
      </x:c>
      <x:c r="CZ377" s="23" t="n">
        <x:f>MAX(0,MIN('Activities'!L377,600)-MAX('Activities'!K377,594))</x:f>
        <x:v>0</x:v>
      </x:c>
      <x:c r="DA377" s="23" t="n">
        <x:f>MAX(0,MIN('Activities'!L377,606)-MAX('Activities'!K377,600))</x:f>
        <x:v>0</x:v>
      </x:c>
      <x:c r="DB377" s="23" t="n">
        <x:f>MAX(0,MIN('Activities'!L377,612)-MAX('Activities'!K377,606))</x:f>
        <x:v>0</x:v>
      </x:c>
      <x:c r="DC377" s="23" t="n">
        <x:f>MAX(0,MIN('Activities'!L377,618)-MAX('Activities'!K377,612))</x:f>
        <x:v>0</x:v>
      </x:c>
      <x:c r="DD377" s="23" t="n">
        <x:f>MAX(0,MIN('Activities'!L377,624)-MAX('Activities'!K377,618))</x:f>
        <x:v>0</x:v>
      </x:c>
      <x:c r="DE377" s="23" t="n">
        <x:f>MAX(0,MIN('Activities'!L377,630)-MAX('Activities'!K377,624))</x:f>
        <x:v>0</x:v>
      </x:c>
      <x:c r="DF377" s="23" t="n">
        <x:f>MAX(0,MIN('Activities'!L377,636)-MAX('Activities'!K377,630))</x:f>
        <x:v>0</x:v>
      </x:c>
    </x:row>
    <x:row r="378" ht="23" customHeight="1">
      <x:c r="A378" s="6" t="str">
        <x:v>T3-L06-D</x:v>
      </x:c>
      <x:c r="B378" s="6" t="str">
        <x:v>T3</x:v>
      </x:c>
      <x:c r="C378" s="6" t="str">
        <x:v>Door sets and ironmongery</x:v>
      </x:c>
      <x:c r="D378" s="6" t="str">
        <x:v>Finishes</x:v>
      </x:c>
      <x:c r="E378" s="22" t="n">
        <x:f>MAX(0,MIN('Activities'!L378,6)-MAX('Activities'!K378,0))</x:f>
        <x:v>0</x:v>
      </x:c>
      <x:c r="F378" s="22" t="n">
        <x:f>MAX(0,MIN('Activities'!L378,12)-MAX('Activities'!K378,6))</x:f>
        <x:v>0</x:v>
      </x:c>
      <x:c r="G378" s="22" t="n">
        <x:f>MAX(0,MIN('Activities'!L378,18)-MAX('Activities'!K378,12))</x:f>
        <x:v>0</x:v>
      </x:c>
      <x:c r="H378" s="22" t="n">
        <x:f>MAX(0,MIN('Activities'!L378,24)-MAX('Activities'!K378,18))</x:f>
        <x:v>0</x:v>
      </x:c>
      <x:c r="I378" s="22" t="n">
        <x:f>MAX(0,MIN('Activities'!L378,30)-MAX('Activities'!K378,24))</x:f>
        <x:v>0</x:v>
      </x:c>
      <x:c r="J378" s="22" t="n">
        <x:f>MAX(0,MIN('Activities'!L378,36)-MAX('Activities'!K378,30))</x:f>
        <x:v>0</x:v>
      </x:c>
      <x:c r="K378" s="22" t="n">
        <x:f>MAX(0,MIN('Activities'!L378,42)-MAX('Activities'!K378,36))</x:f>
        <x:v>0</x:v>
      </x:c>
      <x:c r="L378" s="22" t="n">
        <x:f>MAX(0,MIN('Activities'!L378,48)-MAX('Activities'!K378,42))</x:f>
        <x:v>0</x:v>
      </x:c>
      <x:c r="M378" s="22" t="n">
        <x:f>MAX(0,MIN('Activities'!L378,54)-MAX('Activities'!K378,48))</x:f>
        <x:v>0</x:v>
      </x:c>
      <x:c r="N378" s="22" t="n">
        <x:f>MAX(0,MIN('Activities'!L378,60)-MAX('Activities'!K378,54))</x:f>
        <x:v>0</x:v>
      </x:c>
      <x:c r="O378" s="22" t="n">
        <x:f>MAX(0,MIN('Activities'!L378,66)-MAX('Activities'!K378,60))</x:f>
        <x:v>0</x:v>
      </x:c>
      <x:c r="P378" s="22" t="n">
        <x:f>MAX(0,MIN('Activities'!L378,72)-MAX('Activities'!K378,66))</x:f>
        <x:v>0</x:v>
      </x:c>
      <x:c r="Q378" s="22" t="n">
        <x:f>MAX(0,MIN('Activities'!L378,78)-MAX('Activities'!K378,72))</x:f>
        <x:v>0</x:v>
      </x:c>
      <x:c r="R378" s="22" t="n">
        <x:f>MAX(0,MIN('Activities'!L378,84)-MAX('Activities'!K378,78))</x:f>
        <x:v>0</x:v>
      </x:c>
      <x:c r="S378" s="22" t="n">
        <x:f>MAX(0,MIN('Activities'!L378,90)-MAX('Activities'!K378,84))</x:f>
        <x:v>0</x:v>
      </x:c>
      <x:c r="T378" s="22" t="n">
        <x:f>MAX(0,MIN('Activities'!L378,96)-MAX('Activities'!K378,90))</x:f>
        <x:v>0</x:v>
      </x:c>
      <x:c r="U378" s="22" t="n">
        <x:f>MAX(0,MIN('Activities'!L378,102)-MAX('Activities'!K378,96))</x:f>
        <x:v>0</x:v>
      </x:c>
      <x:c r="V378" s="22" t="n">
        <x:f>MAX(0,MIN('Activities'!L378,108)-MAX('Activities'!K378,102))</x:f>
        <x:v>0</x:v>
      </x:c>
      <x:c r="W378" s="22" t="n">
        <x:f>MAX(0,MIN('Activities'!L378,114)-MAX('Activities'!K378,108))</x:f>
        <x:v>0</x:v>
      </x:c>
      <x:c r="X378" s="22" t="n">
        <x:f>MAX(0,MIN('Activities'!L378,120)-MAX('Activities'!K378,114))</x:f>
        <x:v>0</x:v>
      </x:c>
      <x:c r="Y378" s="22" t="n">
        <x:f>MAX(0,MIN('Activities'!L378,126)-MAX('Activities'!K378,120))</x:f>
        <x:v>0</x:v>
      </x:c>
      <x:c r="Z378" s="22" t="n">
        <x:f>MAX(0,MIN('Activities'!L378,132)-MAX('Activities'!K378,126))</x:f>
        <x:v>0</x:v>
      </x:c>
      <x:c r="AA378" s="22" t="n">
        <x:f>MAX(0,MIN('Activities'!L378,138)-MAX('Activities'!K378,132))</x:f>
        <x:v>0</x:v>
      </x:c>
      <x:c r="AB378" s="22" t="n">
        <x:f>MAX(0,MIN('Activities'!L378,144)-MAX('Activities'!K378,138))</x:f>
        <x:v>0</x:v>
      </x:c>
      <x:c r="AC378" s="22" t="n">
        <x:f>MAX(0,MIN('Activities'!L378,150)-MAX('Activities'!K378,144))</x:f>
        <x:v>0</x:v>
      </x:c>
      <x:c r="AD378" s="22" t="n">
        <x:f>MAX(0,MIN('Activities'!L378,156)-MAX('Activities'!K378,150))</x:f>
        <x:v>0</x:v>
      </x:c>
      <x:c r="AE378" s="22" t="n">
        <x:f>MAX(0,MIN('Activities'!L378,162)-MAX('Activities'!K378,156))</x:f>
        <x:v>0</x:v>
      </x:c>
      <x:c r="AF378" s="22" t="n">
        <x:f>MAX(0,MIN('Activities'!L378,168)-MAX('Activities'!K378,162))</x:f>
        <x:v>0</x:v>
      </x:c>
      <x:c r="AG378" s="22" t="n">
        <x:f>MAX(0,MIN('Activities'!L378,174)-MAX('Activities'!K378,168))</x:f>
        <x:v>0</x:v>
      </x:c>
      <x:c r="AH378" s="22" t="n">
        <x:f>MAX(0,MIN('Activities'!L378,180)-MAX('Activities'!K378,174))</x:f>
        <x:v>0</x:v>
      </x:c>
      <x:c r="AI378" s="22" t="n">
        <x:f>MAX(0,MIN('Activities'!L378,186)-MAX('Activities'!K378,180))</x:f>
        <x:v>0</x:v>
      </x:c>
      <x:c r="AJ378" s="22" t="n">
        <x:f>MAX(0,MIN('Activities'!L378,192)-MAX('Activities'!K378,186))</x:f>
        <x:v>0</x:v>
      </x:c>
      <x:c r="AK378" s="22" t="n">
        <x:f>MAX(0,MIN('Activities'!L378,198)-MAX('Activities'!K378,192))</x:f>
        <x:v>0</x:v>
      </x:c>
      <x:c r="AL378" s="22" t="n">
        <x:f>MAX(0,MIN('Activities'!L378,204)-MAX('Activities'!K378,198))</x:f>
        <x:v>0</x:v>
      </x:c>
      <x:c r="AM378" s="22" t="n">
        <x:f>MAX(0,MIN('Activities'!L378,210)-MAX('Activities'!K378,204))</x:f>
        <x:v>0</x:v>
      </x:c>
      <x:c r="AN378" s="22" t="n">
        <x:f>MAX(0,MIN('Activities'!L378,216)-MAX('Activities'!K378,210))</x:f>
        <x:v>0</x:v>
      </x:c>
      <x:c r="AO378" s="22" t="n">
        <x:f>MAX(0,MIN('Activities'!L378,222)-MAX('Activities'!K378,216))</x:f>
        <x:v>0</x:v>
      </x:c>
      <x:c r="AP378" s="22" t="n">
        <x:f>MAX(0,MIN('Activities'!L378,228)-MAX('Activities'!K378,222))</x:f>
        <x:v>0</x:v>
      </x:c>
      <x:c r="AQ378" s="22" t="n">
        <x:f>MAX(0,MIN('Activities'!L378,234)-MAX('Activities'!K378,228))</x:f>
        <x:v>0</x:v>
      </x:c>
      <x:c r="AR378" s="22" t="n">
        <x:f>MAX(0,MIN('Activities'!L378,240)-MAX('Activities'!K378,234))</x:f>
        <x:v>0</x:v>
      </x:c>
      <x:c r="AS378" s="22" t="n">
        <x:f>MAX(0,MIN('Activities'!L378,246)-MAX('Activities'!K378,240))</x:f>
        <x:v>0</x:v>
      </x:c>
      <x:c r="AT378" s="22" t="n">
        <x:f>MAX(0,MIN('Activities'!L378,252)-MAX('Activities'!K378,246))</x:f>
        <x:v>0</x:v>
      </x:c>
      <x:c r="AU378" s="22" t="n">
        <x:f>MAX(0,MIN('Activities'!L378,258)-MAX('Activities'!K378,252))</x:f>
        <x:v>0</x:v>
      </x:c>
      <x:c r="AV378" s="22" t="n">
        <x:f>MAX(0,MIN('Activities'!L378,264)-MAX('Activities'!K378,258))</x:f>
        <x:v>0</x:v>
      </x:c>
      <x:c r="AW378" s="22" t="n">
        <x:f>MAX(0,MIN('Activities'!L378,270)-MAX('Activities'!K378,264))</x:f>
        <x:v>0</x:v>
      </x:c>
      <x:c r="AX378" s="22" t="n">
        <x:f>MAX(0,MIN('Activities'!L378,276)-MAX('Activities'!K378,270))</x:f>
        <x:v>0</x:v>
      </x:c>
      <x:c r="AY378" s="22" t="n">
        <x:f>MAX(0,MIN('Activities'!L378,282)-MAX('Activities'!K378,276))</x:f>
        <x:v>0</x:v>
      </x:c>
      <x:c r="AZ378" s="22" t="n">
        <x:f>MAX(0,MIN('Activities'!L378,288)-MAX('Activities'!K378,282))</x:f>
        <x:v>0</x:v>
      </x:c>
      <x:c r="BA378" s="22" t="n">
        <x:f>MAX(0,MIN('Activities'!L378,294)-MAX('Activities'!K378,288))</x:f>
        <x:v>0</x:v>
      </x:c>
      <x:c r="BB378" s="22" t="n">
        <x:f>MAX(0,MIN('Activities'!L378,300)-MAX('Activities'!K378,294))</x:f>
        <x:v>0</x:v>
      </x:c>
      <x:c r="BC378" s="22" t="n">
        <x:f>MAX(0,MIN('Activities'!L378,306)-MAX('Activities'!K378,300))</x:f>
        <x:v>0</x:v>
      </x:c>
      <x:c r="BD378" s="22" t="n">
        <x:f>MAX(0,MIN('Activities'!L378,312)-MAX('Activities'!K378,306))</x:f>
        <x:v>0</x:v>
      </x:c>
      <x:c r="BE378" s="22" t="n">
        <x:f>MAX(0,MIN('Activities'!L378,318)-MAX('Activities'!K378,312))</x:f>
        <x:v>0</x:v>
      </x:c>
      <x:c r="BF378" s="22" t="n">
        <x:f>MAX(0,MIN('Activities'!L378,324)-MAX('Activities'!K378,318))</x:f>
        <x:v>0</x:v>
      </x:c>
      <x:c r="BG378" s="22" t="n">
        <x:f>MAX(0,MIN('Activities'!L378,330)-MAX('Activities'!K378,324))</x:f>
        <x:v>0</x:v>
      </x:c>
      <x:c r="BH378" s="22" t="n">
        <x:f>MAX(0,MIN('Activities'!L378,336)-MAX('Activities'!K378,330))</x:f>
        <x:v>0</x:v>
      </x:c>
      <x:c r="BI378" s="22" t="n">
        <x:f>MAX(0,MIN('Activities'!L378,342)-MAX('Activities'!K378,336))</x:f>
        <x:v>0</x:v>
      </x:c>
      <x:c r="BJ378" s="22" t="n">
        <x:f>MAX(0,MIN('Activities'!L378,348)-MAX('Activities'!K378,342))</x:f>
        <x:v>0</x:v>
      </x:c>
      <x:c r="BK378" s="22" t="n">
        <x:f>MAX(0,MIN('Activities'!L378,354)-MAX('Activities'!K378,348))</x:f>
        <x:v>0</x:v>
      </x:c>
      <x:c r="BL378" s="22" t="n">
        <x:f>MAX(0,MIN('Activities'!L378,360)-MAX('Activities'!K378,354))</x:f>
        <x:v>0</x:v>
      </x:c>
      <x:c r="BM378" s="22" t="n">
        <x:f>MAX(0,MIN('Activities'!L378,366)-MAX('Activities'!K378,360))</x:f>
        <x:v>0</x:v>
      </x:c>
      <x:c r="BN378" s="22" t="n">
        <x:f>MAX(0,MIN('Activities'!L378,372)-MAX('Activities'!K378,366))</x:f>
        <x:v>0</x:v>
      </x:c>
      <x:c r="BO378" s="22" t="n">
        <x:f>MAX(0,MIN('Activities'!L378,378)-MAX('Activities'!K378,372))</x:f>
        <x:v>0</x:v>
      </x:c>
      <x:c r="BP378" s="22" t="n">
        <x:f>MAX(0,MIN('Activities'!L378,384)-MAX('Activities'!K378,378))</x:f>
        <x:v>0</x:v>
      </x:c>
      <x:c r="BQ378" s="22" t="n">
        <x:f>MAX(0,MIN('Activities'!L378,390)-MAX('Activities'!K378,384))</x:f>
        <x:v>0</x:v>
      </x:c>
      <x:c r="BR378" s="22" t="n">
        <x:f>MAX(0,MIN('Activities'!L378,396)-MAX('Activities'!K378,390))</x:f>
        <x:v>0</x:v>
      </x:c>
      <x:c r="BS378" s="22" t="n">
        <x:f>MAX(0,MIN('Activities'!L378,402)-MAX('Activities'!K378,396))</x:f>
        <x:v>0</x:v>
      </x:c>
      <x:c r="BT378" s="22" t="n">
        <x:f>MAX(0,MIN('Activities'!L378,408)-MAX('Activities'!K378,402))</x:f>
        <x:v>0</x:v>
      </x:c>
      <x:c r="BU378" s="22" t="n">
        <x:f>MAX(0,MIN('Activities'!L378,414)-MAX('Activities'!K378,408))</x:f>
        <x:v>0</x:v>
      </x:c>
      <x:c r="BV378" s="22" t="n">
        <x:f>MAX(0,MIN('Activities'!L378,420)-MAX('Activities'!K378,414))</x:f>
        <x:v>0</x:v>
      </x:c>
      <x:c r="BW378" s="22" t="n">
        <x:f>MAX(0,MIN('Activities'!L378,426)-MAX('Activities'!K378,420))</x:f>
        <x:v>0</x:v>
      </x:c>
      <x:c r="BX378" s="22" t="n">
        <x:f>MAX(0,MIN('Activities'!L378,432)-MAX('Activities'!K378,426))</x:f>
        <x:v>0</x:v>
      </x:c>
      <x:c r="BY378" s="22" t="n">
        <x:f>MAX(0,MIN('Activities'!L378,438)-MAX('Activities'!K378,432))</x:f>
        <x:v>0</x:v>
      </x:c>
      <x:c r="BZ378" s="22" t="n">
        <x:f>MAX(0,MIN('Activities'!L378,444)-MAX('Activities'!K378,438))</x:f>
        <x:v>3</x:v>
      </x:c>
      <x:c r="CA378" s="22" t="n">
        <x:f>MAX(0,MIN('Activities'!L378,450)-MAX('Activities'!K378,444))</x:f>
        <x:v>0</x:v>
      </x:c>
      <x:c r="CB378" s="22" t="n">
        <x:f>MAX(0,MIN('Activities'!L378,456)-MAX('Activities'!K378,450))</x:f>
        <x:v>0</x:v>
      </x:c>
      <x:c r="CC378" s="22" t="n">
        <x:f>MAX(0,MIN('Activities'!L378,462)-MAX('Activities'!K378,456))</x:f>
        <x:v>0</x:v>
      </x:c>
      <x:c r="CD378" s="22" t="n">
        <x:f>MAX(0,MIN('Activities'!L378,468)-MAX('Activities'!K378,462))</x:f>
        <x:v>0</x:v>
      </x:c>
      <x:c r="CE378" s="22" t="n">
        <x:f>MAX(0,MIN('Activities'!L378,474)-MAX('Activities'!K378,468))</x:f>
        <x:v>0</x:v>
      </x:c>
      <x:c r="CF378" s="22" t="n">
        <x:f>MAX(0,MIN('Activities'!L378,480)-MAX('Activities'!K378,474))</x:f>
        <x:v>0</x:v>
      </x:c>
      <x:c r="CG378" s="22" t="n">
        <x:f>MAX(0,MIN('Activities'!L378,486)-MAX('Activities'!K378,480))</x:f>
        <x:v>0</x:v>
      </x:c>
      <x:c r="CH378" s="22" t="n">
        <x:f>MAX(0,MIN('Activities'!L378,492)-MAX('Activities'!K378,486))</x:f>
        <x:v>0</x:v>
      </x:c>
      <x:c r="CI378" s="22" t="n">
        <x:f>MAX(0,MIN('Activities'!L378,498)-MAX('Activities'!K378,492))</x:f>
        <x:v>0</x:v>
      </x:c>
      <x:c r="CJ378" s="22" t="n">
        <x:f>MAX(0,MIN('Activities'!L378,504)-MAX('Activities'!K378,498))</x:f>
        <x:v>0</x:v>
      </x:c>
      <x:c r="CK378" s="22" t="n">
        <x:f>MAX(0,MIN('Activities'!L378,510)-MAX('Activities'!K378,504))</x:f>
        <x:v>0</x:v>
      </x:c>
      <x:c r="CL378" s="22" t="n">
        <x:f>MAX(0,MIN('Activities'!L378,516)-MAX('Activities'!K378,510))</x:f>
        <x:v>0</x:v>
      </x:c>
      <x:c r="CM378" s="22" t="n">
        <x:f>MAX(0,MIN('Activities'!L378,522)-MAX('Activities'!K378,516))</x:f>
        <x:v>0</x:v>
      </x:c>
      <x:c r="CN378" s="22" t="n">
        <x:f>MAX(0,MIN('Activities'!L378,528)-MAX('Activities'!K378,522))</x:f>
        <x:v>0</x:v>
      </x:c>
      <x:c r="CO378" s="22" t="n">
        <x:f>MAX(0,MIN('Activities'!L378,534)-MAX('Activities'!K378,528))</x:f>
        <x:v>0</x:v>
      </x:c>
      <x:c r="CP378" s="22" t="n">
        <x:f>MAX(0,MIN('Activities'!L378,540)-MAX('Activities'!K378,534))</x:f>
        <x:v>0</x:v>
      </x:c>
      <x:c r="CQ378" s="22" t="n">
        <x:f>MAX(0,MIN('Activities'!L378,546)-MAX('Activities'!K378,540))</x:f>
        <x:v>0</x:v>
      </x:c>
      <x:c r="CR378" s="22" t="n">
        <x:f>MAX(0,MIN('Activities'!L378,552)-MAX('Activities'!K378,546))</x:f>
        <x:v>0</x:v>
      </x:c>
      <x:c r="CS378" s="22" t="n">
        <x:f>MAX(0,MIN('Activities'!L378,558)-MAX('Activities'!K378,552))</x:f>
        <x:v>0</x:v>
      </x:c>
      <x:c r="CT378" s="22" t="n">
        <x:f>MAX(0,MIN('Activities'!L378,564)-MAX('Activities'!K378,558))</x:f>
        <x:v>0</x:v>
      </x:c>
      <x:c r="CU378" s="22" t="n">
        <x:f>MAX(0,MIN('Activities'!L378,570)-MAX('Activities'!K378,564))</x:f>
        <x:v>0</x:v>
      </x:c>
      <x:c r="CV378" s="22" t="n">
        <x:f>MAX(0,MIN('Activities'!L378,576)-MAX('Activities'!K378,570))</x:f>
        <x:v>0</x:v>
      </x:c>
      <x:c r="CW378" s="22" t="n">
        <x:f>MAX(0,MIN('Activities'!L378,582)-MAX('Activities'!K378,576))</x:f>
        <x:v>0</x:v>
      </x:c>
      <x:c r="CX378" s="22" t="n">
        <x:f>MAX(0,MIN('Activities'!L378,588)-MAX('Activities'!K378,582))</x:f>
        <x:v>0</x:v>
      </x:c>
      <x:c r="CY378" s="22" t="n">
        <x:f>MAX(0,MIN('Activities'!L378,594)-MAX('Activities'!K378,588))</x:f>
        <x:v>0</x:v>
      </x:c>
      <x:c r="CZ378" s="22" t="n">
        <x:f>MAX(0,MIN('Activities'!L378,600)-MAX('Activities'!K378,594))</x:f>
        <x:v>0</x:v>
      </x:c>
      <x:c r="DA378" s="22" t="n">
        <x:f>MAX(0,MIN('Activities'!L378,606)-MAX('Activities'!K378,600))</x:f>
        <x:v>0</x:v>
      </x:c>
      <x:c r="DB378" s="22" t="n">
        <x:f>MAX(0,MIN('Activities'!L378,612)-MAX('Activities'!K378,606))</x:f>
        <x:v>0</x:v>
      </x:c>
      <x:c r="DC378" s="22" t="n">
        <x:f>MAX(0,MIN('Activities'!L378,618)-MAX('Activities'!K378,612))</x:f>
        <x:v>0</x:v>
      </x:c>
      <x:c r="DD378" s="22" t="n">
        <x:f>MAX(0,MIN('Activities'!L378,624)-MAX('Activities'!K378,618))</x:f>
        <x:v>0</x:v>
      </x:c>
      <x:c r="DE378" s="22" t="n">
        <x:f>MAX(0,MIN('Activities'!L378,630)-MAX('Activities'!K378,624))</x:f>
        <x:v>0</x:v>
      </x:c>
      <x:c r="DF378" s="22" t="n">
        <x:f>MAX(0,MIN('Activities'!L378,636)-MAX('Activities'!K378,630))</x:f>
        <x:v>0</x:v>
      </x:c>
    </x:row>
    <x:row r="379" ht="23" customHeight="1">
      <x:c r="A379" s="1" t="str">
        <x:v>T3-L07-M</x:v>
      </x:c>
      <x:c r="B379" s="1" t="str">
        <x:v>T3</x:v>
      </x:c>
      <x:c r="C379" s="1" t="str">
        <x:v>Partition masonry</x:v>
      </x:c>
      <x:c r="D379" s="1" t="str">
        <x:v>Masonry</x:v>
      </x:c>
      <x:c r="E379" s="23" t="n">
        <x:f>MAX(0,MIN('Activities'!L379,6)-MAX('Activities'!K379,0))</x:f>
        <x:v>0</x:v>
      </x:c>
      <x:c r="F379" s="23" t="n">
        <x:f>MAX(0,MIN('Activities'!L379,12)-MAX('Activities'!K379,6))</x:f>
        <x:v>0</x:v>
      </x:c>
      <x:c r="G379" s="23" t="n">
        <x:f>MAX(0,MIN('Activities'!L379,18)-MAX('Activities'!K379,12))</x:f>
        <x:v>0</x:v>
      </x:c>
      <x:c r="H379" s="23" t="n">
        <x:f>MAX(0,MIN('Activities'!L379,24)-MAX('Activities'!K379,18))</x:f>
        <x:v>0</x:v>
      </x:c>
      <x:c r="I379" s="23" t="n">
        <x:f>MAX(0,MIN('Activities'!L379,30)-MAX('Activities'!K379,24))</x:f>
        <x:v>0</x:v>
      </x:c>
      <x:c r="J379" s="23" t="n">
        <x:f>MAX(0,MIN('Activities'!L379,36)-MAX('Activities'!K379,30))</x:f>
        <x:v>0</x:v>
      </x:c>
      <x:c r="K379" s="23" t="n">
        <x:f>MAX(0,MIN('Activities'!L379,42)-MAX('Activities'!K379,36))</x:f>
        <x:v>0</x:v>
      </x:c>
      <x:c r="L379" s="23" t="n">
        <x:f>MAX(0,MIN('Activities'!L379,48)-MAX('Activities'!K379,42))</x:f>
        <x:v>0</x:v>
      </x:c>
      <x:c r="M379" s="23" t="n">
        <x:f>MAX(0,MIN('Activities'!L379,54)-MAX('Activities'!K379,48))</x:f>
        <x:v>0</x:v>
      </x:c>
      <x:c r="N379" s="23" t="n">
        <x:f>MAX(0,MIN('Activities'!L379,60)-MAX('Activities'!K379,54))</x:f>
        <x:v>0</x:v>
      </x:c>
      <x:c r="O379" s="23" t="n">
        <x:f>MAX(0,MIN('Activities'!L379,66)-MAX('Activities'!K379,60))</x:f>
        <x:v>0</x:v>
      </x:c>
      <x:c r="P379" s="23" t="n">
        <x:f>MAX(0,MIN('Activities'!L379,72)-MAX('Activities'!K379,66))</x:f>
        <x:v>0</x:v>
      </x:c>
      <x:c r="Q379" s="23" t="n">
        <x:f>MAX(0,MIN('Activities'!L379,78)-MAX('Activities'!K379,72))</x:f>
        <x:v>0</x:v>
      </x:c>
      <x:c r="R379" s="23" t="n">
        <x:f>MAX(0,MIN('Activities'!L379,84)-MAX('Activities'!K379,78))</x:f>
        <x:v>0</x:v>
      </x:c>
      <x:c r="S379" s="23" t="n">
        <x:f>MAX(0,MIN('Activities'!L379,90)-MAX('Activities'!K379,84))</x:f>
        <x:v>0</x:v>
      </x:c>
      <x:c r="T379" s="23" t="n">
        <x:f>MAX(0,MIN('Activities'!L379,96)-MAX('Activities'!K379,90))</x:f>
        <x:v>0</x:v>
      </x:c>
      <x:c r="U379" s="23" t="n">
        <x:f>MAX(0,MIN('Activities'!L379,102)-MAX('Activities'!K379,96))</x:f>
        <x:v>0</x:v>
      </x:c>
      <x:c r="V379" s="23" t="n">
        <x:f>MAX(0,MIN('Activities'!L379,108)-MAX('Activities'!K379,102))</x:f>
        <x:v>0</x:v>
      </x:c>
      <x:c r="W379" s="23" t="n">
        <x:f>MAX(0,MIN('Activities'!L379,114)-MAX('Activities'!K379,108))</x:f>
        <x:v>0</x:v>
      </x:c>
      <x:c r="X379" s="23" t="n">
        <x:f>MAX(0,MIN('Activities'!L379,120)-MAX('Activities'!K379,114))</x:f>
        <x:v>0</x:v>
      </x:c>
      <x:c r="Y379" s="23" t="n">
        <x:f>MAX(0,MIN('Activities'!L379,126)-MAX('Activities'!K379,120))</x:f>
        <x:v>0</x:v>
      </x:c>
      <x:c r="Z379" s="23" t="n">
        <x:f>MAX(0,MIN('Activities'!L379,132)-MAX('Activities'!K379,126))</x:f>
        <x:v>0</x:v>
      </x:c>
      <x:c r="AA379" s="23" t="n">
        <x:f>MAX(0,MIN('Activities'!L379,138)-MAX('Activities'!K379,132))</x:f>
        <x:v>0</x:v>
      </x:c>
      <x:c r="AB379" s="23" t="n">
        <x:f>MAX(0,MIN('Activities'!L379,144)-MAX('Activities'!K379,138))</x:f>
        <x:v>0</x:v>
      </x:c>
      <x:c r="AC379" s="23" t="n">
        <x:f>MAX(0,MIN('Activities'!L379,150)-MAX('Activities'!K379,144))</x:f>
        <x:v>0</x:v>
      </x:c>
      <x:c r="AD379" s="23" t="n">
        <x:f>MAX(0,MIN('Activities'!L379,156)-MAX('Activities'!K379,150))</x:f>
        <x:v>0</x:v>
      </x:c>
      <x:c r="AE379" s="23" t="n">
        <x:f>MAX(0,MIN('Activities'!L379,162)-MAX('Activities'!K379,156))</x:f>
        <x:v>0</x:v>
      </x:c>
      <x:c r="AF379" s="23" t="n">
        <x:f>MAX(0,MIN('Activities'!L379,168)-MAX('Activities'!K379,162))</x:f>
        <x:v>0</x:v>
      </x:c>
      <x:c r="AG379" s="23" t="n">
        <x:f>MAX(0,MIN('Activities'!L379,174)-MAX('Activities'!K379,168))</x:f>
        <x:v>0</x:v>
      </x:c>
      <x:c r="AH379" s="23" t="n">
        <x:f>MAX(0,MIN('Activities'!L379,180)-MAX('Activities'!K379,174))</x:f>
        <x:v>0</x:v>
      </x:c>
      <x:c r="AI379" s="23" t="n">
        <x:f>MAX(0,MIN('Activities'!L379,186)-MAX('Activities'!K379,180))</x:f>
        <x:v>0</x:v>
      </x:c>
      <x:c r="AJ379" s="23" t="n">
        <x:f>MAX(0,MIN('Activities'!L379,192)-MAX('Activities'!K379,186))</x:f>
        <x:v>0</x:v>
      </x:c>
      <x:c r="AK379" s="23" t="n">
        <x:f>MAX(0,MIN('Activities'!L379,198)-MAX('Activities'!K379,192))</x:f>
        <x:v>0</x:v>
      </x:c>
      <x:c r="AL379" s="23" t="n">
        <x:f>MAX(0,MIN('Activities'!L379,204)-MAX('Activities'!K379,198))</x:f>
        <x:v>0</x:v>
      </x:c>
      <x:c r="AM379" s="23" t="n">
        <x:f>MAX(0,MIN('Activities'!L379,210)-MAX('Activities'!K379,204))</x:f>
        <x:v>0</x:v>
      </x:c>
      <x:c r="AN379" s="23" t="n">
        <x:f>MAX(0,MIN('Activities'!L379,216)-MAX('Activities'!K379,210))</x:f>
        <x:v>0</x:v>
      </x:c>
      <x:c r="AO379" s="23" t="n">
        <x:f>MAX(0,MIN('Activities'!L379,222)-MAX('Activities'!K379,216))</x:f>
        <x:v>0</x:v>
      </x:c>
      <x:c r="AP379" s="23" t="n">
        <x:f>MAX(0,MIN('Activities'!L379,228)-MAX('Activities'!K379,222))</x:f>
        <x:v>0</x:v>
      </x:c>
      <x:c r="AQ379" s="23" t="n">
        <x:f>MAX(0,MIN('Activities'!L379,234)-MAX('Activities'!K379,228))</x:f>
        <x:v>0</x:v>
      </x:c>
      <x:c r="AR379" s="23" t="n">
        <x:f>MAX(0,MIN('Activities'!L379,240)-MAX('Activities'!K379,234))</x:f>
        <x:v>0</x:v>
      </x:c>
      <x:c r="AS379" s="23" t="n">
        <x:f>MAX(0,MIN('Activities'!L379,246)-MAX('Activities'!K379,240))</x:f>
        <x:v>0</x:v>
      </x:c>
      <x:c r="AT379" s="23" t="n">
        <x:f>MAX(0,MIN('Activities'!L379,252)-MAX('Activities'!K379,246))</x:f>
        <x:v>0</x:v>
      </x:c>
      <x:c r="AU379" s="23" t="n">
        <x:f>MAX(0,MIN('Activities'!L379,258)-MAX('Activities'!K379,252))</x:f>
        <x:v>0</x:v>
      </x:c>
      <x:c r="AV379" s="23" t="n">
        <x:f>MAX(0,MIN('Activities'!L379,264)-MAX('Activities'!K379,258))</x:f>
        <x:v>0</x:v>
      </x:c>
      <x:c r="AW379" s="23" t="n">
        <x:f>MAX(0,MIN('Activities'!L379,270)-MAX('Activities'!K379,264))</x:f>
        <x:v>0</x:v>
      </x:c>
      <x:c r="AX379" s="23" t="n">
        <x:f>MAX(0,MIN('Activities'!L379,276)-MAX('Activities'!K379,270))</x:f>
        <x:v>0</x:v>
      </x:c>
      <x:c r="AY379" s="23" t="n">
        <x:f>MAX(0,MIN('Activities'!L379,282)-MAX('Activities'!K379,276))</x:f>
        <x:v>0</x:v>
      </x:c>
      <x:c r="AZ379" s="23" t="n">
        <x:f>MAX(0,MIN('Activities'!L379,288)-MAX('Activities'!K379,282))</x:f>
        <x:v>0</x:v>
      </x:c>
      <x:c r="BA379" s="23" t="n">
        <x:f>MAX(0,MIN('Activities'!L379,294)-MAX('Activities'!K379,288))</x:f>
        <x:v>0</x:v>
      </x:c>
      <x:c r="BB379" s="23" t="n">
        <x:f>MAX(0,MIN('Activities'!L379,300)-MAX('Activities'!K379,294))</x:f>
        <x:v>0</x:v>
      </x:c>
      <x:c r="BC379" s="23" t="n">
        <x:f>MAX(0,MIN('Activities'!L379,306)-MAX('Activities'!K379,300))</x:f>
        <x:v>0</x:v>
      </x:c>
      <x:c r="BD379" s="23" t="n">
        <x:f>MAX(0,MIN('Activities'!L379,312)-MAX('Activities'!K379,306))</x:f>
        <x:v>0</x:v>
      </x:c>
      <x:c r="BE379" s="23" t="n">
        <x:f>MAX(0,MIN('Activities'!L379,318)-MAX('Activities'!K379,312))</x:f>
        <x:v>0</x:v>
      </x:c>
      <x:c r="BF379" s="23" t="n">
        <x:f>MAX(0,MIN('Activities'!L379,324)-MAX('Activities'!K379,318))</x:f>
        <x:v>0</x:v>
      </x:c>
      <x:c r="BG379" s="23" t="n">
        <x:f>MAX(0,MIN('Activities'!L379,330)-MAX('Activities'!K379,324))</x:f>
        <x:v>0</x:v>
      </x:c>
      <x:c r="BH379" s="23" t="n">
        <x:f>MAX(0,MIN('Activities'!L379,336)-MAX('Activities'!K379,330))</x:f>
        <x:v>0</x:v>
      </x:c>
      <x:c r="BI379" s="23" t="n">
        <x:f>MAX(0,MIN('Activities'!L379,342)-MAX('Activities'!K379,336))</x:f>
        <x:v>0</x:v>
      </x:c>
      <x:c r="BJ379" s="23" t="n">
        <x:f>MAX(0,MIN('Activities'!L379,348)-MAX('Activities'!K379,342))</x:f>
        <x:v>0</x:v>
      </x:c>
      <x:c r="BK379" s="23" t="n">
        <x:f>MAX(0,MIN('Activities'!L379,354)-MAX('Activities'!K379,348))</x:f>
        <x:v>0</x:v>
      </x:c>
      <x:c r="BL379" s="23" t="n">
        <x:f>MAX(0,MIN('Activities'!L379,360)-MAX('Activities'!K379,354))</x:f>
        <x:v>0</x:v>
      </x:c>
      <x:c r="BM379" s="23" t="n">
        <x:f>MAX(0,MIN('Activities'!L379,366)-MAX('Activities'!K379,360))</x:f>
        <x:v>5</x:v>
      </x:c>
      <x:c r="BN379" s="23" t="n">
        <x:f>MAX(0,MIN('Activities'!L379,372)-MAX('Activities'!K379,366))</x:f>
        <x:v>0</x:v>
      </x:c>
      <x:c r="BO379" s="23" t="n">
        <x:f>MAX(0,MIN('Activities'!L379,378)-MAX('Activities'!K379,372))</x:f>
        <x:v>0</x:v>
      </x:c>
      <x:c r="BP379" s="23" t="n">
        <x:f>MAX(0,MIN('Activities'!L379,384)-MAX('Activities'!K379,378))</x:f>
        <x:v>0</x:v>
      </x:c>
      <x:c r="BQ379" s="23" t="n">
        <x:f>MAX(0,MIN('Activities'!L379,390)-MAX('Activities'!K379,384))</x:f>
        <x:v>0</x:v>
      </x:c>
      <x:c r="BR379" s="23" t="n">
        <x:f>MAX(0,MIN('Activities'!L379,396)-MAX('Activities'!K379,390))</x:f>
        <x:v>0</x:v>
      </x:c>
      <x:c r="BS379" s="23" t="n">
        <x:f>MAX(0,MIN('Activities'!L379,402)-MAX('Activities'!K379,396))</x:f>
        <x:v>0</x:v>
      </x:c>
      <x:c r="BT379" s="23" t="n">
        <x:f>MAX(0,MIN('Activities'!L379,408)-MAX('Activities'!K379,402))</x:f>
        <x:v>0</x:v>
      </x:c>
      <x:c r="BU379" s="23" t="n">
        <x:f>MAX(0,MIN('Activities'!L379,414)-MAX('Activities'!K379,408))</x:f>
        <x:v>0</x:v>
      </x:c>
      <x:c r="BV379" s="23" t="n">
        <x:f>MAX(0,MIN('Activities'!L379,420)-MAX('Activities'!K379,414))</x:f>
        <x:v>0</x:v>
      </x:c>
      <x:c r="BW379" s="23" t="n">
        <x:f>MAX(0,MIN('Activities'!L379,426)-MAX('Activities'!K379,420))</x:f>
        <x:v>0</x:v>
      </x:c>
      <x:c r="BX379" s="23" t="n">
        <x:f>MAX(0,MIN('Activities'!L379,432)-MAX('Activities'!K379,426))</x:f>
        <x:v>0</x:v>
      </x:c>
      <x:c r="BY379" s="23" t="n">
        <x:f>MAX(0,MIN('Activities'!L379,438)-MAX('Activities'!K379,432))</x:f>
        <x:v>0</x:v>
      </x:c>
      <x:c r="BZ379" s="23" t="n">
        <x:f>MAX(0,MIN('Activities'!L379,444)-MAX('Activities'!K379,438))</x:f>
        <x:v>0</x:v>
      </x:c>
      <x:c r="CA379" s="23" t="n">
        <x:f>MAX(0,MIN('Activities'!L379,450)-MAX('Activities'!K379,444))</x:f>
        <x:v>0</x:v>
      </x:c>
      <x:c r="CB379" s="23" t="n">
        <x:f>MAX(0,MIN('Activities'!L379,456)-MAX('Activities'!K379,450))</x:f>
        <x:v>0</x:v>
      </x:c>
      <x:c r="CC379" s="23" t="n">
        <x:f>MAX(0,MIN('Activities'!L379,462)-MAX('Activities'!K379,456))</x:f>
        <x:v>0</x:v>
      </x:c>
      <x:c r="CD379" s="23" t="n">
        <x:f>MAX(0,MIN('Activities'!L379,468)-MAX('Activities'!K379,462))</x:f>
        <x:v>0</x:v>
      </x:c>
      <x:c r="CE379" s="23" t="n">
        <x:f>MAX(0,MIN('Activities'!L379,474)-MAX('Activities'!K379,468))</x:f>
        <x:v>0</x:v>
      </x:c>
      <x:c r="CF379" s="23" t="n">
        <x:f>MAX(0,MIN('Activities'!L379,480)-MAX('Activities'!K379,474))</x:f>
        <x:v>0</x:v>
      </x:c>
      <x:c r="CG379" s="23" t="n">
        <x:f>MAX(0,MIN('Activities'!L379,486)-MAX('Activities'!K379,480))</x:f>
        <x:v>0</x:v>
      </x:c>
      <x:c r="CH379" s="23" t="n">
        <x:f>MAX(0,MIN('Activities'!L379,492)-MAX('Activities'!K379,486))</x:f>
        <x:v>0</x:v>
      </x:c>
      <x:c r="CI379" s="23" t="n">
        <x:f>MAX(0,MIN('Activities'!L379,498)-MAX('Activities'!K379,492))</x:f>
        <x:v>0</x:v>
      </x:c>
      <x:c r="CJ379" s="23" t="n">
        <x:f>MAX(0,MIN('Activities'!L379,504)-MAX('Activities'!K379,498))</x:f>
        <x:v>0</x:v>
      </x:c>
      <x:c r="CK379" s="23" t="n">
        <x:f>MAX(0,MIN('Activities'!L379,510)-MAX('Activities'!K379,504))</x:f>
        <x:v>0</x:v>
      </x:c>
      <x:c r="CL379" s="23" t="n">
        <x:f>MAX(0,MIN('Activities'!L379,516)-MAX('Activities'!K379,510))</x:f>
        <x:v>0</x:v>
      </x:c>
      <x:c r="CM379" s="23" t="n">
        <x:f>MAX(0,MIN('Activities'!L379,522)-MAX('Activities'!K379,516))</x:f>
        <x:v>0</x:v>
      </x:c>
      <x:c r="CN379" s="23" t="n">
        <x:f>MAX(0,MIN('Activities'!L379,528)-MAX('Activities'!K379,522))</x:f>
        <x:v>0</x:v>
      </x:c>
      <x:c r="CO379" s="23" t="n">
        <x:f>MAX(0,MIN('Activities'!L379,534)-MAX('Activities'!K379,528))</x:f>
        <x:v>0</x:v>
      </x:c>
      <x:c r="CP379" s="23" t="n">
        <x:f>MAX(0,MIN('Activities'!L379,540)-MAX('Activities'!K379,534))</x:f>
        <x:v>0</x:v>
      </x:c>
      <x:c r="CQ379" s="23" t="n">
        <x:f>MAX(0,MIN('Activities'!L379,546)-MAX('Activities'!K379,540))</x:f>
        <x:v>0</x:v>
      </x:c>
      <x:c r="CR379" s="23" t="n">
        <x:f>MAX(0,MIN('Activities'!L379,552)-MAX('Activities'!K379,546))</x:f>
        <x:v>0</x:v>
      </x:c>
      <x:c r="CS379" s="23" t="n">
        <x:f>MAX(0,MIN('Activities'!L379,558)-MAX('Activities'!K379,552))</x:f>
        <x:v>0</x:v>
      </x:c>
      <x:c r="CT379" s="23" t="n">
        <x:f>MAX(0,MIN('Activities'!L379,564)-MAX('Activities'!K379,558))</x:f>
        <x:v>0</x:v>
      </x:c>
      <x:c r="CU379" s="23" t="n">
        <x:f>MAX(0,MIN('Activities'!L379,570)-MAX('Activities'!K379,564))</x:f>
        <x:v>0</x:v>
      </x:c>
      <x:c r="CV379" s="23" t="n">
        <x:f>MAX(0,MIN('Activities'!L379,576)-MAX('Activities'!K379,570))</x:f>
        <x:v>0</x:v>
      </x:c>
      <x:c r="CW379" s="23" t="n">
        <x:f>MAX(0,MIN('Activities'!L379,582)-MAX('Activities'!K379,576))</x:f>
        <x:v>0</x:v>
      </x:c>
      <x:c r="CX379" s="23" t="n">
        <x:f>MAX(0,MIN('Activities'!L379,588)-MAX('Activities'!K379,582))</x:f>
        <x:v>0</x:v>
      </x:c>
      <x:c r="CY379" s="23" t="n">
        <x:f>MAX(0,MIN('Activities'!L379,594)-MAX('Activities'!K379,588))</x:f>
        <x:v>0</x:v>
      </x:c>
      <x:c r="CZ379" s="23" t="n">
        <x:f>MAX(0,MIN('Activities'!L379,600)-MAX('Activities'!K379,594))</x:f>
        <x:v>0</x:v>
      </x:c>
      <x:c r="DA379" s="23" t="n">
        <x:f>MAX(0,MIN('Activities'!L379,606)-MAX('Activities'!K379,600))</x:f>
        <x:v>0</x:v>
      </x:c>
      <x:c r="DB379" s="23" t="n">
        <x:f>MAX(0,MIN('Activities'!L379,612)-MAX('Activities'!K379,606))</x:f>
        <x:v>0</x:v>
      </x:c>
      <x:c r="DC379" s="23" t="n">
        <x:f>MAX(0,MIN('Activities'!L379,618)-MAX('Activities'!K379,612))</x:f>
        <x:v>0</x:v>
      </x:c>
      <x:c r="DD379" s="23" t="n">
        <x:f>MAX(0,MIN('Activities'!L379,624)-MAX('Activities'!K379,618))</x:f>
        <x:v>0</x:v>
      </x:c>
      <x:c r="DE379" s="23" t="n">
        <x:f>MAX(0,MIN('Activities'!L379,630)-MAX('Activities'!K379,624))</x:f>
        <x:v>0</x:v>
      </x:c>
      <x:c r="DF379" s="23" t="n">
        <x:f>MAX(0,MIN('Activities'!L379,636)-MAX('Activities'!K379,630))</x:f>
        <x:v>0</x:v>
      </x:c>
    </x:row>
    <x:row r="380" ht="23" customHeight="1">
      <x:c r="A380" s="6" t="str">
        <x:v>T3-L07-P</x:v>
      </x:c>
      <x:c r="B380" s="6" t="str">
        <x:v>T3</x:v>
      </x:c>
      <x:c r="C380" s="6" t="str">
        <x:v>Internal plaster</x:v>
      </x:c>
      <x:c r="D380" s="6" t="str">
        <x:v>Finishes</x:v>
      </x:c>
      <x:c r="E380" s="22" t="n">
        <x:f>MAX(0,MIN('Activities'!L380,6)-MAX('Activities'!K380,0))</x:f>
        <x:v>0</x:v>
      </x:c>
      <x:c r="F380" s="22" t="n">
        <x:f>MAX(0,MIN('Activities'!L380,12)-MAX('Activities'!K380,6))</x:f>
        <x:v>0</x:v>
      </x:c>
      <x:c r="G380" s="22" t="n">
        <x:f>MAX(0,MIN('Activities'!L380,18)-MAX('Activities'!K380,12))</x:f>
        <x:v>0</x:v>
      </x:c>
      <x:c r="H380" s="22" t="n">
        <x:f>MAX(0,MIN('Activities'!L380,24)-MAX('Activities'!K380,18))</x:f>
        <x:v>0</x:v>
      </x:c>
      <x:c r="I380" s="22" t="n">
        <x:f>MAX(0,MIN('Activities'!L380,30)-MAX('Activities'!K380,24))</x:f>
        <x:v>0</x:v>
      </x:c>
      <x:c r="J380" s="22" t="n">
        <x:f>MAX(0,MIN('Activities'!L380,36)-MAX('Activities'!K380,30))</x:f>
        <x:v>0</x:v>
      </x:c>
      <x:c r="K380" s="22" t="n">
        <x:f>MAX(0,MIN('Activities'!L380,42)-MAX('Activities'!K380,36))</x:f>
        <x:v>0</x:v>
      </x:c>
      <x:c r="L380" s="22" t="n">
        <x:f>MAX(0,MIN('Activities'!L380,48)-MAX('Activities'!K380,42))</x:f>
        <x:v>0</x:v>
      </x:c>
      <x:c r="M380" s="22" t="n">
        <x:f>MAX(0,MIN('Activities'!L380,54)-MAX('Activities'!K380,48))</x:f>
        <x:v>0</x:v>
      </x:c>
      <x:c r="N380" s="22" t="n">
        <x:f>MAX(0,MIN('Activities'!L380,60)-MAX('Activities'!K380,54))</x:f>
        <x:v>0</x:v>
      </x:c>
      <x:c r="O380" s="22" t="n">
        <x:f>MAX(0,MIN('Activities'!L380,66)-MAX('Activities'!K380,60))</x:f>
        <x:v>0</x:v>
      </x:c>
      <x:c r="P380" s="22" t="n">
        <x:f>MAX(0,MIN('Activities'!L380,72)-MAX('Activities'!K380,66))</x:f>
        <x:v>0</x:v>
      </x:c>
      <x:c r="Q380" s="22" t="n">
        <x:f>MAX(0,MIN('Activities'!L380,78)-MAX('Activities'!K380,72))</x:f>
        <x:v>0</x:v>
      </x:c>
      <x:c r="R380" s="22" t="n">
        <x:f>MAX(0,MIN('Activities'!L380,84)-MAX('Activities'!K380,78))</x:f>
        <x:v>0</x:v>
      </x:c>
      <x:c r="S380" s="22" t="n">
        <x:f>MAX(0,MIN('Activities'!L380,90)-MAX('Activities'!K380,84))</x:f>
        <x:v>0</x:v>
      </x:c>
      <x:c r="T380" s="22" t="n">
        <x:f>MAX(0,MIN('Activities'!L380,96)-MAX('Activities'!K380,90))</x:f>
        <x:v>0</x:v>
      </x:c>
      <x:c r="U380" s="22" t="n">
        <x:f>MAX(0,MIN('Activities'!L380,102)-MAX('Activities'!K380,96))</x:f>
        <x:v>0</x:v>
      </x:c>
      <x:c r="V380" s="22" t="n">
        <x:f>MAX(0,MIN('Activities'!L380,108)-MAX('Activities'!K380,102))</x:f>
        <x:v>0</x:v>
      </x:c>
      <x:c r="W380" s="22" t="n">
        <x:f>MAX(0,MIN('Activities'!L380,114)-MAX('Activities'!K380,108))</x:f>
        <x:v>0</x:v>
      </x:c>
      <x:c r="X380" s="22" t="n">
        <x:f>MAX(0,MIN('Activities'!L380,120)-MAX('Activities'!K380,114))</x:f>
        <x:v>0</x:v>
      </x:c>
      <x:c r="Y380" s="22" t="n">
        <x:f>MAX(0,MIN('Activities'!L380,126)-MAX('Activities'!K380,120))</x:f>
        <x:v>0</x:v>
      </x:c>
      <x:c r="Z380" s="22" t="n">
        <x:f>MAX(0,MIN('Activities'!L380,132)-MAX('Activities'!K380,126))</x:f>
        <x:v>0</x:v>
      </x:c>
      <x:c r="AA380" s="22" t="n">
        <x:f>MAX(0,MIN('Activities'!L380,138)-MAX('Activities'!K380,132))</x:f>
        <x:v>0</x:v>
      </x:c>
      <x:c r="AB380" s="22" t="n">
        <x:f>MAX(0,MIN('Activities'!L380,144)-MAX('Activities'!K380,138))</x:f>
        <x:v>0</x:v>
      </x:c>
      <x:c r="AC380" s="22" t="n">
        <x:f>MAX(0,MIN('Activities'!L380,150)-MAX('Activities'!K380,144))</x:f>
        <x:v>0</x:v>
      </x:c>
      <x:c r="AD380" s="22" t="n">
        <x:f>MAX(0,MIN('Activities'!L380,156)-MAX('Activities'!K380,150))</x:f>
        <x:v>0</x:v>
      </x:c>
      <x:c r="AE380" s="22" t="n">
        <x:f>MAX(0,MIN('Activities'!L380,162)-MAX('Activities'!K380,156))</x:f>
        <x:v>0</x:v>
      </x:c>
      <x:c r="AF380" s="22" t="n">
        <x:f>MAX(0,MIN('Activities'!L380,168)-MAX('Activities'!K380,162))</x:f>
        <x:v>0</x:v>
      </x:c>
      <x:c r="AG380" s="22" t="n">
        <x:f>MAX(0,MIN('Activities'!L380,174)-MAX('Activities'!K380,168))</x:f>
        <x:v>0</x:v>
      </x:c>
      <x:c r="AH380" s="22" t="n">
        <x:f>MAX(0,MIN('Activities'!L380,180)-MAX('Activities'!K380,174))</x:f>
        <x:v>0</x:v>
      </x:c>
      <x:c r="AI380" s="22" t="n">
        <x:f>MAX(0,MIN('Activities'!L380,186)-MAX('Activities'!K380,180))</x:f>
        <x:v>0</x:v>
      </x:c>
      <x:c r="AJ380" s="22" t="n">
        <x:f>MAX(0,MIN('Activities'!L380,192)-MAX('Activities'!K380,186))</x:f>
        <x:v>0</x:v>
      </x:c>
      <x:c r="AK380" s="22" t="n">
        <x:f>MAX(0,MIN('Activities'!L380,198)-MAX('Activities'!K380,192))</x:f>
        <x:v>0</x:v>
      </x:c>
      <x:c r="AL380" s="22" t="n">
        <x:f>MAX(0,MIN('Activities'!L380,204)-MAX('Activities'!K380,198))</x:f>
        <x:v>0</x:v>
      </x:c>
      <x:c r="AM380" s="22" t="n">
        <x:f>MAX(0,MIN('Activities'!L380,210)-MAX('Activities'!K380,204))</x:f>
        <x:v>0</x:v>
      </x:c>
      <x:c r="AN380" s="22" t="n">
        <x:f>MAX(0,MIN('Activities'!L380,216)-MAX('Activities'!K380,210))</x:f>
        <x:v>0</x:v>
      </x:c>
      <x:c r="AO380" s="22" t="n">
        <x:f>MAX(0,MIN('Activities'!L380,222)-MAX('Activities'!K380,216))</x:f>
        <x:v>0</x:v>
      </x:c>
      <x:c r="AP380" s="22" t="n">
        <x:f>MAX(0,MIN('Activities'!L380,228)-MAX('Activities'!K380,222))</x:f>
        <x:v>0</x:v>
      </x:c>
      <x:c r="AQ380" s="22" t="n">
        <x:f>MAX(0,MIN('Activities'!L380,234)-MAX('Activities'!K380,228))</x:f>
        <x:v>0</x:v>
      </x:c>
      <x:c r="AR380" s="22" t="n">
        <x:f>MAX(0,MIN('Activities'!L380,240)-MAX('Activities'!K380,234))</x:f>
        <x:v>0</x:v>
      </x:c>
      <x:c r="AS380" s="22" t="n">
        <x:f>MAX(0,MIN('Activities'!L380,246)-MAX('Activities'!K380,240))</x:f>
        <x:v>0</x:v>
      </x:c>
      <x:c r="AT380" s="22" t="n">
        <x:f>MAX(0,MIN('Activities'!L380,252)-MAX('Activities'!K380,246))</x:f>
        <x:v>0</x:v>
      </x:c>
      <x:c r="AU380" s="22" t="n">
        <x:f>MAX(0,MIN('Activities'!L380,258)-MAX('Activities'!K380,252))</x:f>
        <x:v>0</x:v>
      </x:c>
      <x:c r="AV380" s="22" t="n">
        <x:f>MAX(0,MIN('Activities'!L380,264)-MAX('Activities'!K380,258))</x:f>
        <x:v>0</x:v>
      </x:c>
      <x:c r="AW380" s="22" t="n">
        <x:f>MAX(0,MIN('Activities'!L380,270)-MAX('Activities'!K380,264))</x:f>
        <x:v>0</x:v>
      </x:c>
      <x:c r="AX380" s="22" t="n">
        <x:f>MAX(0,MIN('Activities'!L380,276)-MAX('Activities'!K380,270))</x:f>
        <x:v>0</x:v>
      </x:c>
      <x:c r="AY380" s="22" t="n">
        <x:f>MAX(0,MIN('Activities'!L380,282)-MAX('Activities'!K380,276))</x:f>
        <x:v>0</x:v>
      </x:c>
      <x:c r="AZ380" s="22" t="n">
        <x:f>MAX(0,MIN('Activities'!L380,288)-MAX('Activities'!K380,282))</x:f>
        <x:v>0</x:v>
      </x:c>
      <x:c r="BA380" s="22" t="n">
        <x:f>MAX(0,MIN('Activities'!L380,294)-MAX('Activities'!K380,288))</x:f>
        <x:v>0</x:v>
      </x:c>
      <x:c r="BB380" s="22" t="n">
        <x:f>MAX(0,MIN('Activities'!L380,300)-MAX('Activities'!K380,294))</x:f>
        <x:v>0</x:v>
      </x:c>
      <x:c r="BC380" s="22" t="n">
        <x:f>MAX(0,MIN('Activities'!L380,306)-MAX('Activities'!K380,300))</x:f>
        <x:v>0</x:v>
      </x:c>
      <x:c r="BD380" s="22" t="n">
        <x:f>MAX(0,MIN('Activities'!L380,312)-MAX('Activities'!K380,306))</x:f>
        <x:v>0</x:v>
      </x:c>
      <x:c r="BE380" s="22" t="n">
        <x:f>MAX(0,MIN('Activities'!L380,318)-MAX('Activities'!K380,312))</x:f>
        <x:v>0</x:v>
      </x:c>
      <x:c r="BF380" s="22" t="n">
        <x:f>MAX(0,MIN('Activities'!L380,324)-MAX('Activities'!K380,318))</x:f>
        <x:v>0</x:v>
      </x:c>
      <x:c r="BG380" s="22" t="n">
        <x:f>MAX(0,MIN('Activities'!L380,330)-MAX('Activities'!K380,324))</x:f>
        <x:v>0</x:v>
      </x:c>
      <x:c r="BH380" s="22" t="n">
        <x:f>MAX(0,MIN('Activities'!L380,336)-MAX('Activities'!K380,330))</x:f>
        <x:v>0</x:v>
      </x:c>
      <x:c r="BI380" s="22" t="n">
        <x:f>MAX(0,MIN('Activities'!L380,342)-MAX('Activities'!K380,336))</x:f>
        <x:v>0</x:v>
      </x:c>
      <x:c r="BJ380" s="22" t="n">
        <x:f>MAX(0,MIN('Activities'!L380,348)-MAX('Activities'!K380,342))</x:f>
        <x:v>0</x:v>
      </x:c>
      <x:c r="BK380" s="22" t="n">
        <x:f>MAX(0,MIN('Activities'!L380,354)-MAX('Activities'!K380,348))</x:f>
        <x:v>0</x:v>
      </x:c>
      <x:c r="BL380" s="22" t="n">
        <x:f>MAX(0,MIN('Activities'!L380,360)-MAX('Activities'!K380,354))</x:f>
        <x:v>0</x:v>
      </x:c>
      <x:c r="BM380" s="22" t="n">
        <x:f>MAX(0,MIN('Activities'!L380,366)-MAX('Activities'!K380,360))</x:f>
        <x:v>0</x:v>
      </x:c>
      <x:c r="BN380" s="22" t="n">
        <x:f>MAX(0,MIN('Activities'!L380,372)-MAX('Activities'!K380,366))</x:f>
        <x:v>3</x:v>
      </x:c>
      <x:c r="BO380" s="22" t="n">
        <x:f>MAX(0,MIN('Activities'!L380,378)-MAX('Activities'!K380,372))</x:f>
        <x:v>3</x:v>
      </x:c>
      <x:c r="BP380" s="22" t="n">
        <x:f>MAX(0,MIN('Activities'!L380,384)-MAX('Activities'!K380,378))</x:f>
        <x:v>0</x:v>
      </x:c>
      <x:c r="BQ380" s="22" t="n">
        <x:f>MAX(0,MIN('Activities'!L380,390)-MAX('Activities'!K380,384))</x:f>
        <x:v>0</x:v>
      </x:c>
      <x:c r="BR380" s="22" t="n">
        <x:f>MAX(0,MIN('Activities'!L380,396)-MAX('Activities'!K380,390))</x:f>
        <x:v>0</x:v>
      </x:c>
      <x:c r="BS380" s="22" t="n">
        <x:f>MAX(0,MIN('Activities'!L380,402)-MAX('Activities'!K380,396))</x:f>
        <x:v>0</x:v>
      </x:c>
      <x:c r="BT380" s="22" t="n">
        <x:f>MAX(0,MIN('Activities'!L380,408)-MAX('Activities'!K380,402))</x:f>
        <x:v>0</x:v>
      </x:c>
      <x:c r="BU380" s="22" t="n">
        <x:f>MAX(0,MIN('Activities'!L380,414)-MAX('Activities'!K380,408))</x:f>
        <x:v>0</x:v>
      </x:c>
      <x:c r="BV380" s="22" t="n">
        <x:f>MAX(0,MIN('Activities'!L380,420)-MAX('Activities'!K380,414))</x:f>
        <x:v>0</x:v>
      </x:c>
      <x:c r="BW380" s="22" t="n">
        <x:f>MAX(0,MIN('Activities'!L380,426)-MAX('Activities'!K380,420))</x:f>
        <x:v>0</x:v>
      </x:c>
      <x:c r="BX380" s="22" t="n">
        <x:f>MAX(0,MIN('Activities'!L380,432)-MAX('Activities'!K380,426))</x:f>
        <x:v>0</x:v>
      </x:c>
      <x:c r="BY380" s="22" t="n">
        <x:f>MAX(0,MIN('Activities'!L380,438)-MAX('Activities'!K380,432))</x:f>
        <x:v>0</x:v>
      </x:c>
      <x:c r="BZ380" s="22" t="n">
        <x:f>MAX(0,MIN('Activities'!L380,444)-MAX('Activities'!K380,438))</x:f>
        <x:v>0</x:v>
      </x:c>
      <x:c r="CA380" s="22" t="n">
        <x:f>MAX(0,MIN('Activities'!L380,450)-MAX('Activities'!K380,444))</x:f>
        <x:v>0</x:v>
      </x:c>
      <x:c r="CB380" s="22" t="n">
        <x:f>MAX(0,MIN('Activities'!L380,456)-MAX('Activities'!K380,450))</x:f>
        <x:v>0</x:v>
      </x:c>
      <x:c r="CC380" s="22" t="n">
        <x:f>MAX(0,MIN('Activities'!L380,462)-MAX('Activities'!K380,456))</x:f>
        <x:v>0</x:v>
      </x:c>
      <x:c r="CD380" s="22" t="n">
        <x:f>MAX(0,MIN('Activities'!L380,468)-MAX('Activities'!K380,462))</x:f>
        <x:v>0</x:v>
      </x:c>
      <x:c r="CE380" s="22" t="n">
        <x:f>MAX(0,MIN('Activities'!L380,474)-MAX('Activities'!K380,468))</x:f>
        <x:v>0</x:v>
      </x:c>
      <x:c r="CF380" s="22" t="n">
        <x:f>MAX(0,MIN('Activities'!L380,480)-MAX('Activities'!K380,474))</x:f>
        <x:v>0</x:v>
      </x:c>
      <x:c r="CG380" s="22" t="n">
        <x:f>MAX(0,MIN('Activities'!L380,486)-MAX('Activities'!K380,480))</x:f>
        <x:v>0</x:v>
      </x:c>
      <x:c r="CH380" s="22" t="n">
        <x:f>MAX(0,MIN('Activities'!L380,492)-MAX('Activities'!K380,486))</x:f>
        <x:v>0</x:v>
      </x:c>
      <x:c r="CI380" s="22" t="n">
        <x:f>MAX(0,MIN('Activities'!L380,498)-MAX('Activities'!K380,492))</x:f>
        <x:v>0</x:v>
      </x:c>
      <x:c r="CJ380" s="22" t="n">
        <x:f>MAX(0,MIN('Activities'!L380,504)-MAX('Activities'!K380,498))</x:f>
        <x:v>0</x:v>
      </x:c>
      <x:c r="CK380" s="22" t="n">
        <x:f>MAX(0,MIN('Activities'!L380,510)-MAX('Activities'!K380,504))</x:f>
        <x:v>0</x:v>
      </x:c>
      <x:c r="CL380" s="22" t="n">
        <x:f>MAX(0,MIN('Activities'!L380,516)-MAX('Activities'!K380,510))</x:f>
        <x:v>0</x:v>
      </x:c>
      <x:c r="CM380" s="22" t="n">
        <x:f>MAX(0,MIN('Activities'!L380,522)-MAX('Activities'!K380,516))</x:f>
        <x:v>0</x:v>
      </x:c>
      <x:c r="CN380" s="22" t="n">
        <x:f>MAX(0,MIN('Activities'!L380,528)-MAX('Activities'!K380,522))</x:f>
        <x:v>0</x:v>
      </x:c>
      <x:c r="CO380" s="22" t="n">
        <x:f>MAX(0,MIN('Activities'!L380,534)-MAX('Activities'!K380,528))</x:f>
        <x:v>0</x:v>
      </x:c>
      <x:c r="CP380" s="22" t="n">
        <x:f>MAX(0,MIN('Activities'!L380,540)-MAX('Activities'!K380,534))</x:f>
        <x:v>0</x:v>
      </x:c>
      <x:c r="CQ380" s="22" t="n">
        <x:f>MAX(0,MIN('Activities'!L380,546)-MAX('Activities'!K380,540))</x:f>
        <x:v>0</x:v>
      </x:c>
      <x:c r="CR380" s="22" t="n">
        <x:f>MAX(0,MIN('Activities'!L380,552)-MAX('Activities'!K380,546))</x:f>
        <x:v>0</x:v>
      </x:c>
      <x:c r="CS380" s="22" t="n">
        <x:f>MAX(0,MIN('Activities'!L380,558)-MAX('Activities'!K380,552))</x:f>
        <x:v>0</x:v>
      </x:c>
      <x:c r="CT380" s="22" t="n">
        <x:f>MAX(0,MIN('Activities'!L380,564)-MAX('Activities'!K380,558))</x:f>
        <x:v>0</x:v>
      </x:c>
      <x:c r="CU380" s="22" t="n">
        <x:f>MAX(0,MIN('Activities'!L380,570)-MAX('Activities'!K380,564))</x:f>
        <x:v>0</x:v>
      </x:c>
      <x:c r="CV380" s="22" t="n">
        <x:f>MAX(0,MIN('Activities'!L380,576)-MAX('Activities'!K380,570))</x:f>
        <x:v>0</x:v>
      </x:c>
      <x:c r="CW380" s="22" t="n">
        <x:f>MAX(0,MIN('Activities'!L380,582)-MAX('Activities'!K380,576))</x:f>
        <x:v>0</x:v>
      </x:c>
      <x:c r="CX380" s="22" t="n">
        <x:f>MAX(0,MIN('Activities'!L380,588)-MAX('Activities'!K380,582))</x:f>
        <x:v>0</x:v>
      </x:c>
      <x:c r="CY380" s="22" t="n">
        <x:f>MAX(0,MIN('Activities'!L380,594)-MAX('Activities'!K380,588))</x:f>
        <x:v>0</x:v>
      </x:c>
      <x:c r="CZ380" s="22" t="n">
        <x:f>MAX(0,MIN('Activities'!L380,600)-MAX('Activities'!K380,594))</x:f>
        <x:v>0</x:v>
      </x:c>
      <x:c r="DA380" s="22" t="n">
        <x:f>MAX(0,MIN('Activities'!L380,606)-MAX('Activities'!K380,600))</x:f>
        <x:v>0</x:v>
      </x:c>
      <x:c r="DB380" s="22" t="n">
        <x:f>MAX(0,MIN('Activities'!L380,612)-MAX('Activities'!K380,606))</x:f>
        <x:v>0</x:v>
      </x:c>
      <x:c r="DC380" s="22" t="n">
        <x:f>MAX(0,MIN('Activities'!L380,618)-MAX('Activities'!K380,612))</x:f>
        <x:v>0</x:v>
      </x:c>
      <x:c r="DD380" s="22" t="n">
        <x:f>MAX(0,MIN('Activities'!L380,624)-MAX('Activities'!K380,618))</x:f>
        <x:v>0</x:v>
      </x:c>
      <x:c r="DE380" s="22" t="n">
        <x:f>MAX(0,MIN('Activities'!L380,630)-MAX('Activities'!K380,624))</x:f>
        <x:v>0</x:v>
      </x:c>
      <x:c r="DF380" s="22" t="n">
        <x:f>MAX(0,MIN('Activities'!L380,636)-MAX('Activities'!K380,630))</x:f>
        <x:v>0</x:v>
      </x:c>
    </x:row>
    <x:row r="381" ht="23" customHeight="1">
      <x:c r="A381" s="1" t="str">
        <x:v>T3-L07-S</x:v>
      </x:c>
      <x:c r="B381" s="1" t="str">
        <x:v>T3</x:v>
      </x:c>
      <x:c r="C381" s="1" t="str">
        <x:v>Screed and substrate preparation</x:v>
      </x:c>
      <x:c r="D381" s="1" t="str">
        <x:v>Finishes</x:v>
      </x:c>
      <x:c r="E381" s="23" t="n">
        <x:f>MAX(0,MIN('Activities'!L381,6)-MAX('Activities'!K381,0))</x:f>
        <x:v>0</x:v>
      </x:c>
      <x:c r="F381" s="23" t="n">
        <x:f>MAX(0,MIN('Activities'!L381,12)-MAX('Activities'!K381,6))</x:f>
        <x:v>0</x:v>
      </x:c>
      <x:c r="G381" s="23" t="n">
        <x:f>MAX(0,MIN('Activities'!L381,18)-MAX('Activities'!K381,12))</x:f>
        <x:v>0</x:v>
      </x:c>
      <x:c r="H381" s="23" t="n">
        <x:f>MAX(0,MIN('Activities'!L381,24)-MAX('Activities'!K381,18))</x:f>
        <x:v>0</x:v>
      </x:c>
      <x:c r="I381" s="23" t="n">
        <x:f>MAX(0,MIN('Activities'!L381,30)-MAX('Activities'!K381,24))</x:f>
        <x:v>0</x:v>
      </x:c>
      <x:c r="J381" s="23" t="n">
        <x:f>MAX(0,MIN('Activities'!L381,36)-MAX('Activities'!K381,30))</x:f>
        <x:v>0</x:v>
      </x:c>
      <x:c r="K381" s="23" t="n">
        <x:f>MAX(0,MIN('Activities'!L381,42)-MAX('Activities'!K381,36))</x:f>
        <x:v>0</x:v>
      </x:c>
      <x:c r="L381" s="23" t="n">
        <x:f>MAX(0,MIN('Activities'!L381,48)-MAX('Activities'!K381,42))</x:f>
        <x:v>0</x:v>
      </x:c>
      <x:c r="M381" s="23" t="n">
        <x:f>MAX(0,MIN('Activities'!L381,54)-MAX('Activities'!K381,48))</x:f>
        <x:v>0</x:v>
      </x:c>
      <x:c r="N381" s="23" t="n">
        <x:f>MAX(0,MIN('Activities'!L381,60)-MAX('Activities'!K381,54))</x:f>
        <x:v>0</x:v>
      </x:c>
      <x:c r="O381" s="23" t="n">
        <x:f>MAX(0,MIN('Activities'!L381,66)-MAX('Activities'!K381,60))</x:f>
        <x:v>0</x:v>
      </x:c>
      <x:c r="P381" s="23" t="n">
        <x:f>MAX(0,MIN('Activities'!L381,72)-MAX('Activities'!K381,66))</x:f>
        <x:v>0</x:v>
      </x:c>
      <x:c r="Q381" s="23" t="n">
        <x:f>MAX(0,MIN('Activities'!L381,78)-MAX('Activities'!K381,72))</x:f>
        <x:v>0</x:v>
      </x:c>
      <x:c r="R381" s="23" t="n">
        <x:f>MAX(0,MIN('Activities'!L381,84)-MAX('Activities'!K381,78))</x:f>
        <x:v>0</x:v>
      </x:c>
      <x:c r="S381" s="23" t="n">
        <x:f>MAX(0,MIN('Activities'!L381,90)-MAX('Activities'!K381,84))</x:f>
        <x:v>0</x:v>
      </x:c>
      <x:c r="T381" s="23" t="n">
        <x:f>MAX(0,MIN('Activities'!L381,96)-MAX('Activities'!K381,90))</x:f>
        <x:v>0</x:v>
      </x:c>
      <x:c r="U381" s="23" t="n">
        <x:f>MAX(0,MIN('Activities'!L381,102)-MAX('Activities'!K381,96))</x:f>
        <x:v>0</x:v>
      </x:c>
      <x:c r="V381" s="23" t="n">
        <x:f>MAX(0,MIN('Activities'!L381,108)-MAX('Activities'!K381,102))</x:f>
        <x:v>0</x:v>
      </x:c>
      <x:c r="W381" s="23" t="n">
        <x:f>MAX(0,MIN('Activities'!L381,114)-MAX('Activities'!K381,108))</x:f>
        <x:v>0</x:v>
      </x:c>
      <x:c r="X381" s="23" t="n">
        <x:f>MAX(0,MIN('Activities'!L381,120)-MAX('Activities'!K381,114))</x:f>
        <x:v>0</x:v>
      </x:c>
      <x:c r="Y381" s="23" t="n">
        <x:f>MAX(0,MIN('Activities'!L381,126)-MAX('Activities'!K381,120))</x:f>
        <x:v>0</x:v>
      </x:c>
      <x:c r="Z381" s="23" t="n">
        <x:f>MAX(0,MIN('Activities'!L381,132)-MAX('Activities'!K381,126))</x:f>
        <x:v>0</x:v>
      </x:c>
      <x:c r="AA381" s="23" t="n">
        <x:f>MAX(0,MIN('Activities'!L381,138)-MAX('Activities'!K381,132))</x:f>
        <x:v>0</x:v>
      </x:c>
      <x:c r="AB381" s="23" t="n">
        <x:f>MAX(0,MIN('Activities'!L381,144)-MAX('Activities'!K381,138))</x:f>
        <x:v>0</x:v>
      </x:c>
      <x:c r="AC381" s="23" t="n">
        <x:f>MAX(0,MIN('Activities'!L381,150)-MAX('Activities'!K381,144))</x:f>
        <x:v>0</x:v>
      </x:c>
      <x:c r="AD381" s="23" t="n">
        <x:f>MAX(0,MIN('Activities'!L381,156)-MAX('Activities'!K381,150))</x:f>
        <x:v>0</x:v>
      </x:c>
      <x:c r="AE381" s="23" t="n">
        <x:f>MAX(0,MIN('Activities'!L381,162)-MAX('Activities'!K381,156))</x:f>
        <x:v>0</x:v>
      </x:c>
      <x:c r="AF381" s="23" t="n">
        <x:f>MAX(0,MIN('Activities'!L381,168)-MAX('Activities'!K381,162))</x:f>
        <x:v>0</x:v>
      </x:c>
      <x:c r="AG381" s="23" t="n">
        <x:f>MAX(0,MIN('Activities'!L381,174)-MAX('Activities'!K381,168))</x:f>
        <x:v>0</x:v>
      </x:c>
      <x:c r="AH381" s="23" t="n">
        <x:f>MAX(0,MIN('Activities'!L381,180)-MAX('Activities'!K381,174))</x:f>
        <x:v>0</x:v>
      </x:c>
      <x:c r="AI381" s="23" t="n">
        <x:f>MAX(0,MIN('Activities'!L381,186)-MAX('Activities'!K381,180))</x:f>
        <x:v>0</x:v>
      </x:c>
      <x:c r="AJ381" s="23" t="n">
        <x:f>MAX(0,MIN('Activities'!L381,192)-MAX('Activities'!K381,186))</x:f>
        <x:v>0</x:v>
      </x:c>
      <x:c r="AK381" s="23" t="n">
        <x:f>MAX(0,MIN('Activities'!L381,198)-MAX('Activities'!K381,192))</x:f>
        <x:v>0</x:v>
      </x:c>
      <x:c r="AL381" s="23" t="n">
        <x:f>MAX(0,MIN('Activities'!L381,204)-MAX('Activities'!K381,198))</x:f>
        <x:v>0</x:v>
      </x:c>
      <x:c r="AM381" s="23" t="n">
        <x:f>MAX(0,MIN('Activities'!L381,210)-MAX('Activities'!K381,204))</x:f>
        <x:v>0</x:v>
      </x:c>
      <x:c r="AN381" s="23" t="n">
        <x:f>MAX(0,MIN('Activities'!L381,216)-MAX('Activities'!K381,210))</x:f>
        <x:v>0</x:v>
      </x:c>
      <x:c r="AO381" s="23" t="n">
        <x:f>MAX(0,MIN('Activities'!L381,222)-MAX('Activities'!K381,216))</x:f>
        <x:v>0</x:v>
      </x:c>
      <x:c r="AP381" s="23" t="n">
        <x:f>MAX(0,MIN('Activities'!L381,228)-MAX('Activities'!K381,222))</x:f>
        <x:v>0</x:v>
      </x:c>
      <x:c r="AQ381" s="23" t="n">
        <x:f>MAX(0,MIN('Activities'!L381,234)-MAX('Activities'!K381,228))</x:f>
        <x:v>0</x:v>
      </x:c>
      <x:c r="AR381" s="23" t="n">
        <x:f>MAX(0,MIN('Activities'!L381,240)-MAX('Activities'!K381,234))</x:f>
        <x:v>0</x:v>
      </x:c>
      <x:c r="AS381" s="23" t="n">
        <x:f>MAX(0,MIN('Activities'!L381,246)-MAX('Activities'!K381,240))</x:f>
        <x:v>0</x:v>
      </x:c>
      <x:c r="AT381" s="23" t="n">
        <x:f>MAX(0,MIN('Activities'!L381,252)-MAX('Activities'!K381,246))</x:f>
        <x:v>0</x:v>
      </x:c>
      <x:c r="AU381" s="23" t="n">
        <x:f>MAX(0,MIN('Activities'!L381,258)-MAX('Activities'!K381,252))</x:f>
        <x:v>0</x:v>
      </x:c>
      <x:c r="AV381" s="23" t="n">
        <x:f>MAX(0,MIN('Activities'!L381,264)-MAX('Activities'!K381,258))</x:f>
        <x:v>0</x:v>
      </x:c>
      <x:c r="AW381" s="23" t="n">
        <x:f>MAX(0,MIN('Activities'!L381,270)-MAX('Activities'!K381,264))</x:f>
        <x:v>0</x:v>
      </x:c>
      <x:c r="AX381" s="23" t="n">
        <x:f>MAX(0,MIN('Activities'!L381,276)-MAX('Activities'!K381,270))</x:f>
        <x:v>0</x:v>
      </x:c>
      <x:c r="AY381" s="23" t="n">
        <x:f>MAX(0,MIN('Activities'!L381,282)-MAX('Activities'!K381,276))</x:f>
        <x:v>0</x:v>
      </x:c>
      <x:c r="AZ381" s="23" t="n">
        <x:f>MAX(0,MIN('Activities'!L381,288)-MAX('Activities'!K381,282))</x:f>
        <x:v>0</x:v>
      </x:c>
      <x:c r="BA381" s="23" t="n">
        <x:f>MAX(0,MIN('Activities'!L381,294)-MAX('Activities'!K381,288))</x:f>
        <x:v>0</x:v>
      </x:c>
      <x:c r="BB381" s="23" t="n">
        <x:f>MAX(0,MIN('Activities'!L381,300)-MAX('Activities'!K381,294))</x:f>
        <x:v>0</x:v>
      </x:c>
      <x:c r="BC381" s="23" t="n">
        <x:f>MAX(0,MIN('Activities'!L381,306)-MAX('Activities'!K381,300))</x:f>
        <x:v>0</x:v>
      </x:c>
      <x:c r="BD381" s="23" t="n">
        <x:f>MAX(0,MIN('Activities'!L381,312)-MAX('Activities'!K381,306))</x:f>
        <x:v>0</x:v>
      </x:c>
      <x:c r="BE381" s="23" t="n">
        <x:f>MAX(0,MIN('Activities'!L381,318)-MAX('Activities'!K381,312))</x:f>
        <x:v>0</x:v>
      </x:c>
      <x:c r="BF381" s="23" t="n">
        <x:f>MAX(0,MIN('Activities'!L381,324)-MAX('Activities'!K381,318))</x:f>
        <x:v>0</x:v>
      </x:c>
      <x:c r="BG381" s="23" t="n">
        <x:f>MAX(0,MIN('Activities'!L381,330)-MAX('Activities'!K381,324))</x:f>
        <x:v>0</x:v>
      </x:c>
      <x:c r="BH381" s="23" t="n">
        <x:f>MAX(0,MIN('Activities'!L381,336)-MAX('Activities'!K381,330))</x:f>
        <x:v>0</x:v>
      </x:c>
      <x:c r="BI381" s="23" t="n">
        <x:f>MAX(0,MIN('Activities'!L381,342)-MAX('Activities'!K381,336))</x:f>
        <x:v>0</x:v>
      </x:c>
      <x:c r="BJ381" s="23" t="n">
        <x:f>MAX(0,MIN('Activities'!L381,348)-MAX('Activities'!K381,342))</x:f>
        <x:v>0</x:v>
      </x:c>
      <x:c r="BK381" s="23" t="n">
        <x:f>MAX(0,MIN('Activities'!L381,354)-MAX('Activities'!K381,348))</x:f>
        <x:v>0</x:v>
      </x:c>
      <x:c r="BL381" s="23" t="n">
        <x:f>MAX(0,MIN('Activities'!L381,360)-MAX('Activities'!K381,354))</x:f>
        <x:v>0</x:v>
      </x:c>
      <x:c r="BM381" s="23" t="n">
        <x:f>MAX(0,MIN('Activities'!L381,366)-MAX('Activities'!K381,360))</x:f>
        <x:v>0</x:v>
      </x:c>
      <x:c r="BN381" s="23" t="n">
        <x:f>MAX(0,MIN('Activities'!L381,372)-MAX('Activities'!K381,366))</x:f>
        <x:v>0</x:v>
      </x:c>
      <x:c r="BO381" s="23" t="n">
        <x:f>MAX(0,MIN('Activities'!L381,378)-MAX('Activities'!K381,372))</x:f>
        <x:v>1</x:v>
      </x:c>
      <x:c r="BP381" s="23" t="n">
        <x:f>MAX(0,MIN('Activities'!L381,384)-MAX('Activities'!K381,378))</x:f>
        <x:v>2</x:v>
      </x:c>
      <x:c r="BQ381" s="23" t="n">
        <x:f>MAX(0,MIN('Activities'!L381,390)-MAX('Activities'!K381,384))</x:f>
        <x:v>0</x:v>
      </x:c>
      <x:c r="BR381" s="23" t="n">
        <x:f>MAX(0,MIN('Activities'!L381,396)-MAX('Activities'!K381,390))</x:f>
        <x:v>0</x:v>
      </x:c>
      <x:c r="BS381" s="23" t="n">
        <x:f>MAX(0,MIN('Activities'!L381,402)-MAX('Activities'!K381,396))</x:f>
        <x:v>0</x:v>
      </x:c>
      <x:c r="BT381" s="23" t="n">
        <x:f>MAX(0,MIN('Activities'!L381,408)-MAX('Activities'!K381,402))</x:f>
        <x:v>0</x:v>
      </x:c>
      <x:c r="BU381" s="23" t="n">
        <x:f>MAX(0,MIN('Activities'!L381,414)-MAX('Activities'!K381,408))</x:f>
        <x:v>0</x:v>
      </x:c>
      <x:c r="BV381" s="23" t="n">
        <x:f>MAX(0,MIN('Activities'!L381,420)-MAX('Activities'!K381,414))</x:f>
        <x:v>0</x:v>
      </x:c>
      <x:c r="BW381" s="23" t="n">
        <x:f>MAX(0,MIN('Activities'!L381,426)-MAX('Activities'!K381,420))</x:f>
        <x:v>0</x:v>
      </x:c>
      <x:c r="BX381" s="23" t="n">
        <x:f>MAX(0,MIN('Activities'!L381,432)-MAX('Activities'!K381,426))</x:f>
        <x:v>0</x:v>
      </x:c>
      <x:c r="BY381" s="23" t="n">
        <x:f>MAX(0,MIN('Activities'!L381,438)-MAX('Activities'!K381,432))</x:f>
        <x:v>0</x:v>
      </x:c>
      <x:c r="BZ381" s="23" t="n">
        <x:f>MAX(0,MIN('Activities'!L381,444)-MAX('Activities'!K381,438))</x:f>
        <x:v>0</x:v>
      </x:c>
      <x:c r="CA381" s="23" t="n">
        <x:f>MAX(0,MIN('Activities'!L381,450)-MAX('Activities'!K381,444))</x:f>
        <x:v>0</x:v>
      </x:c>
      <x:c r="CB381" s="23" t="n">
        <x:f>MAX(0,MIN('Activities'!L381,456)-MAX('Activities'!K381,450))</x:f>
        <x:v>0</x:v>
      </x:c>
      <x:c r="CC381" s="23" t="n">
        <x:f>MAX(0,MIN('Activities'!L381,462)-MAX('Activities'!K381,456))</x:f>
        <x:v>0</x:v>
      </x:c>
      <x:c r="CD381" s="23" t="n">
        <x:f>MAX(0,MIN('Activities'!L381,468)-MAX('Activities'!K381,462))</x:f>
        <x:v>0</x:v>
      </x:c>
      <x:c r="CE381" s="23" t="n">
        <x:f>MAX(0,MIN('Activities'!L381,474)-MAX('Activities'!K381,468))</x:f>
        <x:v>0</x:v>
      </x:c>
      <x:c r="CF381" s="23" t="n">
        <x:f>MAX(0,MIN('Activities'!L381,480)-MAX('Activities'!K381,474))</x:f>
        <x:v>0</x:v>
      </x:c>
      <x:c r="CG381" s="23" t="n">
        <x:f>MAX(0,MIN('Activities'!L381,486)-MAX('Activities'!K381,480))</x:f>
        <x:v>0</x:v>
      </x:c>
      <x:c r="CH381" s="23" t="n">
        <x:f>MAX(0,MIN('Activities'!L381,492)-MAX('Activities'!K381,486))</x:f>
        <x:v>0</x:v>
      </x:c>
      <x:c r="CI381" s="23" t="n">
        <x:f>MAX(0,MIN('Activities'!L381,498)-MAX('Activities'!K381,492))</x:f>
        <x:v>0</x:v>
      </x:c>
      <x:c r="CJ381" s="23" t="n">
        <x:f>MAX(0,MIN('Activities'!L381,504)-MAX('Activities'!K381,498))</x:f>
        <x:v>0</x:v>
      </x:c>
      <x:c r="CK381" s="23" t="n">
        <x:f>MAX(0,MIN('Activities'!L381,510)-MAX('Activities'!K381,504))</x:f>
        <x:v>0</x:v>
      </x:c>
      <x:c r="CL381" s="23" t="n">
        <x:f>MAX(0,MIN('Activities'!L381,516)-MAX('Activities'!K381,510))</x:f>
        <x:v>0</x:v>
      </x:c>
      <x:c r="CM381" s="23" t="n">
        <x:f>MAX(0,MIN('Activities'!L381,522)-MAX('Activities'!K381,516))</x:f>
        <x:v>0</x:v>
      </x:c>
      <x:c r="CN381" s="23" t="n">
        <x:f>MAX(0,MIN('Activities'!L381,528)-MAX('Activities'!K381,522))</x:f>
        <x:v>0</x:v>
      </x:c>
      <x:c r="CO381" s="23" t="n">
        <x:f>MAX(0,MIN('Activities'!L381,534)-MAX('Activities'!K381,528))</x:f>
        <x:v>0</x:v>
      </x:c>
      <x:c r="CP381" s="23" t="n">
        <x:f>MAX(0,MIN('Activities'!L381,540)-MAX('Activities'!K381,534))</x:f>
        <x:v>0</x:v>
      </x:c>
      <x:c r="CQ381" s="23" t="n">
        <x:f>MAX(0,MIN('Activities'!L381,546)-MAX('Activities'!K381,540))</x:f>
        <x:v>0</x:v>
      </x:c>
      <x:c r="CR381" s="23" t="n">
        <x:f>MAX(0,MIN('Activities'!L381,552)-MAX('Activities'!K381,546))</x:f>
        <x:v>0</x:v>
      </x:c>
      <x:c r="CS381" s="23" t="n">
        <x:f>MAX(0,MIN('Activities'!L381,558)-MAX('Activities'!K381,552))</x:f>
        <x:v>0</x:v>
      </x:c>
      <x:c r="CT381" s="23" t="n">
        <x:f>MAX(0,MIN('Activities'!L381,564)-MAX('Activities'!K381,558))</x:f>
        <x:v>0</x:v>
      </x:c>
      <x:c r="CU381" s="23" t="n">
        <x:f>MAX(0,MIN('Activities'!L381,570)-MAX('Activities'!K381,564))</x:f>
        <x:v>0</x:v>
      </x:c>
      <x:c r="CV381" s="23" t="n">
        <x:f>MAX(0,MIN('Activities'!L381,576)-MAX('Activities'!K381,570))</x:f>
        <x:v>0</x:v>
      </x:c>
      <x:c r="CW381" s="23" t="n">
        <x:f>MAX(0,MIN('Activities'!L381,582)-MAX('Activities'!K381,576))</x:f>
        <x:v>0</x:v>
      </x:c>
      <x:c r="CX381" s="23" t="n">
        <x:f>MAX(0,MIN('Activities'!L381,588)-MAX('Activities'!K381,582))</x:f>
        <x:v>0</x:v>
      </x:c>
      <x:c r="CY381" s="23" t="n">
        <x:f>MAX(0,MIN('Activities'!L381,594)-MAX('Activities'!K381,588))</x:f>
        <x:v>0</x:v>
      </x:c>
      <x:c r="CZ381" s="23" t="n">
        <x:f>MAX(0,MIN('Activities'!L381,600)-MAX('Activities'!K381,594))</x:f>
        <x:v>0</x:v>
      </x:c>
      <x:c r="DA381" s="23" t="n">
        <x:f>MAX(0,MIN('Activities'!L381,606)-MAX('Activities'!K381,600))</x:f>
        <x:v>0</x:v>
      </x:c>
      <x:c r="DB381" s="23" t="n">
        <x:f>MAX(0,MIN('Activities'!L381,612)-MAX('Activities'!K381,606))</x:f>
        <x:v>0</x:v>
      </x:c>
      <x:c r="DC381" s="23" t="n">
        <x:f>MAX(0,MIN('Activities'!L381,618)-MAX('Activities'!K381,612))</x:f>
        <x:v>0</x:v>
      </x:c>
      <x:c r="DD381" s="23" t="n">
        <x:f>MAX(0,MIN('Activities'!L381,624)-MAX('Activities'!K381,618))</x:f>
        <x:v>0</x:v>
      </x:c>
      <x:c r="DE381" s="23" t="n">
        <x:f>MAX(0,MIN('Activities'!L381,630)-MAX('Activities'!K381,624))</x:f>
        <x:v>0</x:v>
      </x:c>
      <x:c r="DF381" s="23" t="n">
        <x:f>MAX(0,MIN('Activities'!L381,636)-MAX('Activities'!K381,630))</x:f>
        <x:v>0</x:v>
      </x:c>
    </x:row>
    <x:row r="382" ht="23" customHeight="1">
      <x:c r="A382" s="6" t="str">
        <x:v>T3-L07-T</x:v>
      </x:c>
      <x:c r="B382" s="6" t="str">
        <x:v>T3</x:v>
      </x:c>
      <x:c r="C382" s="6" t="str">
        <x:v>Floor finishes and skirtings</x:v>
      </x:c>
      <x:c r="D382" s="6" t="str">
        <x:v>Finishes</x:v>
      </x:c>
      <x:c r="E382" s="22" t="n">
        <x:f>MAX(0,MIN('Activities'!L382,6)-MAX('Activities'!K382,0))</x:f>
        <x:v>0</x:v>
      </x:c>
      <x:c r="F382" s="22" t="n">
        <x:f>MAX(0,MIN('Activities'!L382,12)-MAX('Activities'!K382,6))</x:f>
        <x:v>0</x:v>
      </x:c>
      <x:c r="G382" s="22" t="n">
        <x:f>MAX(0,MIN('Activities'!L382,18)-MAX('Activities'!K382,12))</x:f>
        <x:v>0</x:v>
      </x:c>
      <x:c r="H382" s="22" t="n">
        <x:f>MAX(0,MIN('Activities'!L382,24)-MAX('Activities'!K382,18))</x:f>
        <x:v>0</x:v>
      </x:c>
      <x:c r="I382" s="22" t="n">
        <x:f>MAX(0,MIN('Activities'!L382,30)-MAX('Activities'!K382,24))</x:f>
        <x:v>0</x:v>
      </x:c>
      <x:c r="J382" s="22" t="n">
        <x:f>MAX(0,MIN('Activities'!L382,36)-MAX('Activities'!K382,30))</x:f>
        <x:v>0</x:v>
      </x:c>
      <x:c r="K382" s="22" t="n">
        <x:f>MAX(0,MIN('Activities'!L382,42)-MAX('Activities'!K382,36))</x:f>
        <x:v>0</x:v>
      </x:c>
      <x:c r="L382" s="22" t="n">
        <x:f>MAX(0,MIN('Activities'!L382,48)-MAX('Activities'!K382,42))</x:f>
        <x:v>0</x:v>
      </x:c>
      <x:c r="M382" s="22" t="n">
        <x:f>MAX(0,MIN('Activities'!L382,54)-MAX('Activities'!K382,48))</x:f>
        <x:v>0</x:v>
      </x:c>
      <x:c r="N382" s="22" t="n">
        <x:f>MAX(0,MIN('Activities'!L382,60)-MAX('Activities'!K382,54))</x:f>
        <x:v>0</x:v>
      </x:c>
      <x:c r="O382" s="22" t="n">
        <x:f>MAX(0,MIN('Activities'!L382,66)-MAX('Activities'!K382,60))</x:f>
        <x:v>0</x:v>
      </x:c>
      <x:c r="P382" s="22" t="n">
        <x:f>MAX(0,MIN('Activities'!L382,72)-MAX('Activities'!K382,66))</x:f>
        <x:v>0</x:v>
      </x:c>
      <x:c r="Q382" s="22" t="n">
        <x:f>MAX(0,MIN('Activities'!L382,78)-MAX('Activities'!K382,72))</x:f>
        <x:v>0</x:v>
      </x:c>
      <x:c r="R382" s="22" t="n">
        <x:f>MAX(0,MIN('Activities'!L382,84)-MAX('Activities'!K382,78))</x:f>
        <x:v>0</x:v>
      </x:c>
      <x:c r="S382" s="22" t="n">
        <x:f>MAX(0,MIN('Activities'!L382,90)-MAX('Activities'!K382,84))</x:f>
        <x:v>0</x:v>
      </x:c>
      <x:c r="T382" s="22" t="n">
        <x:f>MAX(0,MIN('Activities'!L382,96)-MAX('Activities'!K382,90))</x:f>
        <x:v>0</x:v>
      </x:c>
      <x:c r="U382" s="22" t="n">
        <x:f>MAX(0,MIN('Activities'!L382,102)-MAX('Activities'!K382,96))</x:f>
        <x:v>0</x:v>
      </x:c>
      <x:c r="V382" s="22" t="n">
        <x:f>MAX(0,MIN('Activities'!L382,108)-MAX('Activities'!K382,102))</x:f>
        <x:v>0</x:v>
      </x:c>
      <x:c r="W382" s="22" t="n">
        <x:f>MAX(0,MIN('Activities'!L382,114)-MAX('Activities'!K382,108))</x:f>
        <x:v>0</x:v>
      </x:c>
      <x:c r="X382" s="22" t="n">
        <x:f>MAX(0,MIN('Activities'!L382,120)-MAX('Activities'!K382,114))</x:f>
        <x:v>0</x:v>
      </x:c>
      <x:c r="Y382" s="22" t="n">
        <x:f>MAX(0,MIN('Activities'!L382,126)-MAX('Activities'!K382,120))</x:f>
        <x:v>0</x:v>
      </x:c>
      <x:c r="Z382" s="22" t="n">
        <x:f>MAX(0,MIN('Activities'!L382,132)-MAX('Activities'!K382,126))</x:f>
        <x:v>0</x:v>
      </x:c>
      <x:c r="AA382" s="22" t="n">
        <x:f>MAX(0,MIN('Activities'!L382,138)-MAX('Activities'!K382,132))</x:f>
        <x:v>0</x:v>
      </x:c>
      <x:c r="AB382" s="22" t="n">
        <x:f>MAX(0,MIN('Activities'!L382,144)-MAX('Activities'!K382,138))</x:f>
        <x:v>0</x:v>
      </x:c>
      <x:c r="AC382" s="22" t="n">
        <x:f>MAX(0,MIN('Activities'!L382,150)-MAX('Activities'!K382,144))</x:f>
        <x:v>0</x:v>
      </x:c>
      <x:c r="AD382" s="22" t="n">
        <x:f>MAX(0,MIN('Activities'!L382,156)-MAX('Activities'!K382,150))</x:f>
        <x:v>0</x:v>
      </x:c>
      <x:c r="AE382" s="22" t="n">
        <x:f>MAX(0,MIN('Activities'!L382,162)-MAX('Activities'!K382,156))</x:f>
        <x:v>0</x:v>
      </x:c>
      <x:c r="AF382" s="22" t="n">
        <x:f>MAX(0,MIN('Activities'!L382,168)-MAX('Activities'!K382,162))</x:f>
        <x:v>0</x:v>
      </x:c>
      <x:c r="AG382" s="22" t="n">
        <x:f>MAX(0,MIN('Activities'!L382,174)-MAX('Activities'!K382,168))</x:f>
        <x:v>0</x:v>
      </x:c>
      <x:c r="AH382" s="22" t="n">
        <x:f>MAX(0,MIN('Activities'!L382,180)-MAX('Activities'!K382,174))</x:f>
        <x:v>0</x:v>
      </x:c>
      <x:c r="AI382" s="22" t="n">
        <x:f>MAX(0,MIN('Activities'!L382,186)-MAX('Activities'!K382,180))</x:f>
        <x:v>0</x:v>
      </x:c>
      <x:c r="AJ382" s="22" t="n">
        <x:f>MAX(0,MIN('Activities'!L382,192)-MAX('Activities'!K382,186))</x:f>
        <x:v>0</x:v>
      </x:c>
      <x:c r="AK382" s="22" t="n">
        <x:f>MAX(0,MIN('Activities'!L382,198)-MAX('Activities'!K382,192))</x:f>
        <x:v>0</x:v>
      </x:c>
      <x:c r="AL382" s="22" t="n">
        <x:f>MAX(0,MIN('Activities'!L382,204)-MAX('Activities'!K382,198))</x:f>
        <x:v>0</x:v>
      </x:c>
      <x:c r="AM382" s="22" t="n">
        <x:f>MAX(0,MIN('Activities'!L382,210)-MAX('Activities'!K382,204))</x:f>
        <x:v>0</x:v>
      </x:c>
      <x:c r="AN382" s="22" t="n">
        <x:f>MAX(0,MIN('Activities'!L382,216)-MAX('Activities'!K382,210))</x:f>
        <x:v>0</x:v>
      </x:c>
      <x:c r="AO382" s="22" t="n">
        <x:f>MAX(0,MIN('Activities'!L382,222)-MAX('Activities'!K382,216))</x:f>
        <x:v>0</x:v>
      </x:c>
      <x:c r="AP382" s="22" t="n">
        <x:f>MAX(0,MIN('Activities'!L382,228)-MAX('Activities'!K382,222))</x:f>
        <x:v>0</x:v>
      </x:c>
      <x:c r="AQ382" s="22" t="n">
        <x:f>MAX(0,MIN('Activities'!L382,234)-MAX('Activities'!K382,228))</x:f>
        <x:v>0</x:v>
      </x:c>
      <x:c r="AR382" s="22" t="n">
        <x:f>MAX(0,MIN('Activities'!L382,240)-MAX('Activities'!K382,234))</x:f>
        <x:v>0</x:v>
      </x:c>
      <x:c r="AS382" s="22" t="n">
        <x:f>MAX(0,MIN('Activities'!L382,246)-MAX('Activities'!K382,240))</x:f>
        <x:v>0</x:v>
      </x:c>
      <x:c r="AT382" s="22" t="n">
        <x:f>MAX(0,MIN('Activities'!L382,252)-MAX('Activities'!K382,246))</x:f>
        <x:v>0</x:v>
      </x:c>
      <x:c r="AU382" s="22" t="n">
        <x:f>MAX(0,MIN('Activities'!L382,258)-MAX('Activities'!K382,252))</x:f>
        <x:v>0</x:v>
      </x:c>
      <x:c r="AV382" s="22" t="n">
        <x:f>MAX(0,MIN('Activities'!L382,264)-MAX('Activities'!K382,258))</x:f>
        <x:v>0</x:v>
      </x:c>
      <x:c r="AW382" s="22" t="n">
        <x:f>MAX(0,MIN('Activities'!L382,270)-MAX('Activities'!K382,264))</x:f>
        <x:v>0</x:v>
      </x:c>
      <x:c r="AX382" s="22" t="n">
        <x:f>MAX(0,MIN('Activities'!L382,276)-MAX('Activities'!K382,270))</x:f>
        <x:v>0</x:v>
      </x:c>
      <x:c r="AY382" s="22" t="n">
        <x:f>MAX(0,MIN('Activities'!L382,282)-MAX('Activities'!K382,276))</x:f>
        <x:v>0</x:v>
      </x:c>
      <x:c r="AZ382" s="22" t="n">
        <x:f>MAX(0,MIN('Activities'!L382,288)-MAX('Activities'!K382,282))</x:f>
        <x:v>0</x:v>
      </x:c>
      <x:c r="BA382" s="22" t="n">
        <x:f>MAX(0,MIN('Activities'!L382,294)-MAX('Activities'!K382,288))</x:f>
        <x:v>0</x:v>
      </x:c>
      <x:c r="BB382" s="22" t="n">
        <x:f>MAX(0,MIN('Activities'!L382,300)-MAX('Activities'!K382,294))</x:f>
        <x:v>0</x:v>
      </x:c>
      <x:c r="BC382" s="22" t="n">
        <x:f>MAX(0,MIN('Activities'!L382,306)-MAX('Activities'!K382,300))</x:f>
        <x:v>0</x:v>
      </x:c>
      <x:c r="BD382" s="22" t="n">
        <x:f>MAX(0,MIN('Activities'!L382,312)-MAX('Activities'!K382,306))</x:f>
        <x:v>0</x:v>
      </x:c>
      <x:c r="BE382" s="22" t="n">
        <x:f>MAX(0,MIN('Activities'!L382,318)-MAX('Activities'!K382,312))</x:f>
        <x:v>0</x:v>
      </x:c>
      <x:c r="BF382" s="22" t="n">
        <x:f>MAX(0,MIN('Activities'!L382,324)-MAX('Activities'!K382,318))</x:f>
        <x:v>0</x:v>
      </x:c>
      <x:c r="BG382" s="22" t="n">
        <x:f>MAX(0,MIN('Activities'!L382,330)-MAX('Activities'!K382,324))</x:f>
        <x:v>0</x:v>
      </x:c>
      <x:c r="BH382" s="22" t="n">
        <x:f>MAX(0,MIN('Activities'!L382,336)-MAX('Activities'!K382,330))</x:f>
        <x:v>0</x:v>
      </x:c>
      <x:c r="BI382" s="22" t="n">
        <x:f>MAX(0,MIN('Activities'!L382,342)-MAX('Activities'!K382,336))</x:f>
        <x:v>0</x:v>
      </x:c>
      <x:c r="BJ382" s="22" t="n">
        <x:f>MAX(0,MIN('Activities'!L382,348)-MAX('Activities'!K382,342))</x:f>
        <x:v>0</x:v>
      </x:c>
      <x:c r="BK382" s="22" t="n">
        <x:f>MAX(0,MIN('Activities'!L382,354)-MAX('Activities'!K382,348))</x:f>
        <x:v>0</x:v>
      </x:c>
      <x:c r="BL382" s="22" t="n">
        <x:f>MAX(0,MIN('Activities'!L382,360)-MAX('Activities'!K382,354))</x:f>
        <x:v>0</x:v>
      </x:c>
      <x:c r="BM382" s="22" t="n">
        <x:f>MAX(0,MIN('Activities'!L382,366)-MAX('Activities'!K382,360))</x:f>
        <x:v>0</x:v>
      </x:c>
      <x:c r="BN382" s="22" t="n">
        <x:f>MAX(0,MIN('Activities'!L382,372)-MAX('Activities'!K382,366))</x:f>
        <x:v>0</x:v>
      </x:c>
      <x:c r="BO382" s="22" t="n">
        <x:f>MAX(0,MIN('Activities'!L382,378)-MAX('Activities'!K382,372))</x:f>
        <x:v>0</x:v>
      </x:c>
      <x:c r="BP382" s="22" t="n">
        <x:f>MAX(0,MIN('Activities'!L382,384)-MAX('Activities'!K382,378))</x:f>
        <x:v>0</x:v>
      </x:c>
      <x:c r="BQ382" s="22" t="n">
        <x:f>MAX(0,MIN('Activities'!L382,390)-MAX('Activities'!K382,384))</x:f>
        <x:v>0</x:v>
      </x:c>
      <x:c r="BR382" s="22" t="n">
        <x:f>MAX(0,MIN('Activities'!L382,396)-MAX('Activities'!K382,390))</x:f>
        <x:v>0</x:v>
      </x:c>
      <x:c r="BS382" s="22" t="n">
        <x:f>MAX(0,MIN('Activities'!L382,402)-MAX('Activities'!K382,396))</x:f>
        <x:v>0</x:v>
      </x:c>
      <x:c r="BT382" s="22" t="n">
        <x:f>MAX(0,MIN('Activities'!L382,408)-MAX('Activities'!K382,402))</x:f>
        <x:v>0</x:v>
      </x:c>
      <x:c r="BU382" s="22" t="n">
        <x:f>MAX(0,MIN('Activities'!L382,414)-MAX('Activities'!K382,408))</x:f>
        <x:v>0</x:v>
      </x:c>
      <x:c r="BV382" s="22" t="n">
        <x:f>MAX(0,MIN('Activities'!L382,420)-MAX('Activities'!K382,414))</x:f>
        <x:v>0</x:v>
      </x:c>
      <x:c r="BW382" s="22" t="n">
        <x:f>MAX(0,MIN('Activities'!L382,426)-MAX('Activities'!K382,420))</x:f>
        <x:v>1</x:v>
      </x:c>
      <x:c r="BX382" s="22" t="n">
        <x:f>MAX(0,MIN('Activities'!L382,432)-MAX('Activities'!K382,426))</x:f>
        <x:v>5</x:v>
      </x:c>
      <x:c r="BY382" s="22" t="n">
        <x:f>MAX(0,MIN('Activities'!L382,438)-MAX('Activities'!K382,432))</x:f>
        <x:v>0</x:v>
      </x:c>
      <x:c r="BZ382" s="22" t="n">
        <x:f>MAX(0,MIN('Activities'!L382,444)-MAX('Activities'!K382,438))</x:f>
        <x:v>0</x:v>
      </x:c>
      <x:c r="CA382" s="22" t="n">
        <x:f>MAX(0,MIN('Activities'!L382,450)-MAX('Activities'!K382,444))</x:f>
        <x:v>0</x:v>
      </x:c>
      <x:c r="CB382" s="22" t="n">
        <x:f>MAX(0,MIN('Activities'!L382,456)-MAX('Activities'!K382,450))</x:f>
        <x:v>0</x:v>
      </x:c>
      <x:c r="CC382" s="22" t="n">
        <x:f>MAX(0,MIN('Activities'!L382,462)-MAX('Activities'!K382,456))</x:f>
        <x:v>0</x:v>
      </x:c>
      <x:c r="CD382" s="22" t="n">
        <x:f>MAX(0,MIN('Activities'!L382,468)-MAX('Activities'!K382,462))</x:f>
        <x:v>0</x:v>
      </x:c>
      <x:c r="CE382" s="22" t="n">
        <x:f>MAX(0,MIN('Activities'!L382,474)-MAX('Activities'!K382,468))</x:f>
        <x:v>0</x:v>
      </x:c>
      <x:c r="CF382" s="22" t="n">
        <x:f>MAX(0,MIN('Activities'!L382,480)-MAX('Activities'!K382,474))</x:f>
        <x:v>0</x:v>
      </x:c>
      <x:c r="CG382" s="22" t="n">
        <x:f>MAX(0,MIN('Activities'!L382,486)-MAX('Activities'!K382,480))</x:f>
        <x:v>0</x:v>
      </x:c>
      <x:c r="CH382" s="22" t="n">
        <x:f>MAX(0,MIN('Activities'!L382,492)-MAX('Activities'!K382,486))</x:f>
        <x:v>0</x:v>
      </x:c>
      <x:c r="CI382" s="22" t="n">
        <x:f>MAX(0,MIN('Activities'!L382,498)-MAX('Activities'!K382,492))</x:f>
        <x:v>0</x:v>
      </x:c>
      <x:c r="CJ382" s="22" t="n">
        <x:f>MAX(0,MIN('Activities'!L382,504)-MAX('Activities'!K382,498))</x:f>
        <x:v>0</x:v>
      </x:c>
      <x:c r="CK382" s="22" t="n">
        <x:f>MAX(0,MIN('Activities'!L382,510)-MAX('Activities'!K382,504))</x:f>
        <x:v>0</x:v>
      </x:c>
      <x:c r="CL382" s="22" t="n">
        <x:f>MAX(0,MIN('Activities'!L382,516)-MAX('Activities'!K382,510))</x:f>
        <x:v>0</x:v>
      </x:c>
      <x:c r="CM382" s="22" t="n">
        <x:f>MAX(0,MIN('Activities'!L382,522)-MAX('Activities'!K382,516))</x:f>
        <x:v>0</x:v>
      </x:c>
      <x:c r="CN382" s="22" t="n">
        <x:f>MAX(0,MIN('Activities'!L382,528)-MAX('Activities'!K382,522))</x:f>
        <x:v>0</x:v>
      </x:c>
      <x:c r="CO382" s="22" t="n">
        <x:f>MAX(0,MIN('Activities'!L382,534)-MAX('Activities'!K382,528))</x:f>
        <x:v>0</x:v>
      </x:c>
      <x:c r="CP382" s="22" t="n">
        <x:f>MAX(0,MIN('Activities'!L382,540)-MAX('Activities'!K382,534))</x:f>
        <x:v>0</x:v>
      </x:c>
      <x:c r="CQ382" s="22" t="n">
        <x:f>MAX(0,MIN('Activities'!L382,546)-MAX('Activities'!K382,540))</x:f>
        <x:v>0</x:v>
      </x:c>
      <x:c r="CR382" s="22" t="n">
        <x:f>MAX(0,MIN('Activities'!L382,552)-MAX('Activities'!K382,546))</x:f>
        <x:v>0</x:v>
      </x:c>
      <x:c r="CS382" s="22" t="n">
        <x:f>MAX(0,MIN('Activities'!L382,558)-MAX('Activities'!K382,552))</x:f>
        <x:v>0</x:v>
      </x:c>
      <x:c r="CT382" s="22" t="n">
        <x:f>MAX(0,MIN('Activities'!L382,564)-MAX('Activities'!K382,558))</x:f>
        <x:v>0</x:v>
      </x:c>
      <x:c r="CU382" s="22" t="n">
        <x:f>MAX(0,MIN('Activities'!L382,570)-MAX('Activities'!K382,564))</x:f>
        <x:v>0</x:v>
      </x:c>
      <x:c r="CV382" s="22" t="n">
        <x:f>MAX(0,MIN('Activities'!L382,576)-MAX('Activities'!K382,570))</x:f>
        <x:v>0</x:v>
      </x:c>
      <x:c r="CW382" s="22" t="n">
        <x:f>MAX(0,MIN('Activities'!L382,582)-MAX('Activities'!K382,576))</x:f>
        <x:v>0</x:v>
      </x:c>
      <x:c r="CX382" s="22" t="n">
        <x:f>MAX(0,MIN('Activities'!L382,588)-MAX('Activities'!K382,582))</x:f>
        <x:v>0</x:v>
      </x:c>
      <x:c r="CY382" s="22" t="n">
        <x:f>MAX(0,MIN('Activities'!L382,594)-MAX('Activities'!K382,588))</x:f>
        <x:v>0</x:v>
      </x:c>
      <x:c r="CZ382" s="22" t="n">
        <x:f>MAX(0,MIN('Activities'!L382,600)-MAX('Activities'!K382,594))</x:f>
        <x:v>0</x:v>
      </x:c>
      <x:c r="DA382" s="22" t="n">
        <x:f>MAX(0,MIN('Activities'!L382,606)-MAX('Activities'!K382,600))</x:f>
        <x:v>0</x:v>
      </x:c>
      <x:c r="DB382" s="22" t="n">
        <x:f>MAX(0,MIN('Activities'!L382,612)-MAX('Activities'!K382,606))</x:f>
        <x:v>0</x:v>
      </x:c>
      <x:c r="DC382" s="22" t="n">
        <x:f>MAX(0,MIN('Activities'!L382,618)-MAX('Activities'!K382,612))</x:f>
        <x:v>0</x:v>
      </x:c>
      <x:c r="DD382" s="22" t="n">
        <x:f>MAX(0,MIN('Activities'!L382,624)-MAX('Activities'!K382,618))</x:f>
        <x:v>0</x:v>
      </x:c>
      <x:c r="DE382" s="22" t="n">
        <x:f>MAX(0,MIN('Activities'!L382,630)-MAX('Activities'!K382,624))</x:f>
        <x:v>0</x:v>
      </x:c>
      <x:c r="DF382" s="22" t="n">
        <x:f>MAX(0,MIN('Activities'!L382,636)-MAX('Activities'!K382,630))</x:f>
        <x:v>0</x:v>
      </x:c>
    </x:row>
    <x:row r="383" ht="23" customHeight="1">
      <x:c r="A383" s="1" t="str">
        <x:v>T3-L07-A</x:v>
      </x:c>
      <x:c r="B383" s="1" t="str">
        <x:v>T3</x:v>
      </x:c>
      <x:c r="C383" s="1" t="str">
        <x:v>Paint and final decorations</x:v>
      </x:c>
      <x:c r="D383" s="1" t="str">
        <x:v>Finishes</x:v>
      </x:c>
      <x:c r="E383" s="23" t="n">
        <x:f>MAX(0,MIN('Activities'!L383,6)-MAX('Activities'!K383,0))</x:f>
        <x:v>0</x:v>
      </x:c>
      <x:c r="F383" s="23" t="n">
        <x:f>MAX(0,MIN('Activities'!L383,12)-MAX('Activities'!K383,6))</x:f>
        <x:v>0</x:v>
      </x:c>
      <x:c r="G383" s="23" t="n">
        <x:f>MAX(0,MIN('Activities'!L383,18)-MAX('Activities'!K383,12))</x:f>
        <x:v>0</x:v>
      </x:c>
      <x:c r="H383" s="23" t="n">
        <x:f>MAX(0,MIN('Activities'!L383,24)-MAX('Activities'!K383,18))</x:f>
        <x:v>0</x:v>
      </x:c>
      <x:c r="I383" s="23" t="n">
        <x:f>MAX(0,MIN('Activities'!L383,30)-MAX('Activities'!K383,24))</x:f>
        <x:v>0</x:v>
      </x:c>
      <x:c r="J383" s="23" t="n">
        <x:f>MAX(0,MIN('Activities'!L383,36)-MAX('Activities'!K383,30))</x:f>
        <x:v>0</x:v>
      </x:c>
      <x:c r="K383" s="23" t="n">
        <x:f>MAX(0,MIN('Activities'!L383,42)-MAX('Activities'!K383,36))</x:f>
        <x:v>0</x:v>
      </x:c>
      <x:c r="L383" s="23" t="n">
        <x:f>MAX(0,MIN('Activities'!L383,48)-MAX('Activities'!K383,42))</x:f>
        <x:v>0</x:v>
      </x:c>
      <x:c r="M383" s="23" t="n">
        <x:f>MAX(0,MIN('Activities'!L383,54)-MAX('Activities'!K383,48))</x:f>
        <x:v>0</x:v>
      </x:c>
      <x:c r="N383" s="23" t="n">
        <x:f>MAX(0,MIN('Activities'!L383,60)-MAX('Activities'!K383,54))</x:f>
        <x:v>0</x:v>
      </x:c>
      <x:c r="O383" s="23" t="n">
        <x:f>MAX(0,MIN('Activities'!L383,66)-MAX('Activities'!K383,60))</x:f>
        <x:v>0</x:v>
      </x:c>
      <x:c r="P383" s="23" t="n">
        <x:f>MAX(0,MIN('Activities'!L383,72)-MAX('Activities'!K383,66))</x:f>
        <x:v>0</x:v>
      </x:c>
      <x:c r="Q383" s="23" t="n">
        <x:f>MAX(0,MIN('Activities'!L383,78)-MAX('Activities'!K383,72))</x:f>
        <x:v>0</x:v>
      </x:c>
      <x:c r="R383" s="23" t="n">
        <x:f>MAX(0,MIN('Activities'!L383,84)-MAX('Activities'!K383,78))</x:f>
        <x:v>0</x:v>
      </x:c>
      <x:c r="S383" s="23" t="n">
        <x:f>MAX(0,MIN('Activities'!L383,90)-MAX('Activities'!K383,84))</x:f>
        <x:v>0</x:v>
      </x:c>
      <x:c r="T383" s="23" t="n">
        <x:f>MAX(0,MIN('Activities'!L383,96)-MAX('Activities'!K383,90))</x:f>
        <x:v>0</x:v>
      </x:c>
      <x:c r="U383" s="23" t="n">
        <x:f>MAX(0,MIN('Activities'!L383,102)-MAX('Activities'!K383,96))</x:f>
        <x:v>0</x:v>
      </x:c>
      <x:c r="V383" s="23" t="n">
        <x:f>MAX(0,MIN('Activities'!L383,108)-MAX('Activities'!K383,102))</x:f>
        <x:v>0</x:v>
      </x:c>
      <x:c r="W383" s="23" t="n">
        <x:f>MAX(0,MIN('Activities'!L383,114)-MAX('Activities'!K383,108))</x:f>
        <x:v>0</x:v>
      </x:c>
      <x:c r="X383" s="23" t="n">
        <x:f>MAX(0,MIN('Activities'!L383,120)-MAX('Activities'!K383,114))</x:f>
        <x:v>0</x:v>
      </x:c>
      <x:c r="Y383" s="23" t="n">
        <x:f>MAX(0,MIN('Activities'!L383,126)-MAX('Activities'!K383,120))</x:f>
        <x:v>0</x:v>
      </x:c>
      <x:c r="Z383" s="23" t="n">
        <x:f>MAX(0,MIN('Activities'!L383,132)-MAX('Activities'!K383,126))</x:f>
        <x:v>0</x:v>
      </x:c>
      <x:c r="AA383" s="23" t="n">
        <x:f>MAX(0,MIN('Activities'!L383,138)-MAX('Activities'!K383,132))</x:f>
        <x:v>0</x:v>
      </x:c>
      <x:c r="AB383" s="23" t="n">
        <x:f>MAX(0,MIN('Activities'!L383,144)-MAX('Activities'!K383,138))</x:f>
        <x:v>0</x:v>
      </x:c>
      <x:c r="AC383" s="23" t="n">
        <x:f>MAX(0,MIN('Activities'!L383,150)-MAX('Activities'!K383,144))</x:f>
        <x:v>0</x:v>
      </x:c>
      <x:c r="AD383" s="23" t="n">
        <x:f>MAX(0,MIN('Activities'!L383,156)-MAX('Activities'!K383,150))</x:f>
        <x:v>0</x:v>
      </x:c>
      <x:c r="AE383" s="23" t="n">
        <x:f>MAX(0,MIN('Activities'!L383,162)-MAX('Activities'!K383,156))</x:f>
        <x:v>0</x:v>
      </x:c>
      <x:c r="AF383" s="23" t="n">
        <x:f>MAX(0,MIN('Activities'!L383,168)-MAX('Activities'!K383,162))</x:f>
        <x:v>0</x:v>
      </x:c>
      <x:c r="AG383" s="23" t="n">
        <x:f>MAX(0,MIN('Activities'!L383,174)-MAX('Activities'!K383,168))</x:f>
        <x:v>0</x:v>
      </x:c>
      <x:c r="AH383" s="23" t="n">
        <x:f>MAX(0,MIN('Activities'!L383,180)-MAX('Activities'!K383,174))</x:f>
        <x:v>0</x:v>
      </x:c>
      <x:c r="AI383" s="23" t="n">
        <x:f>MAX(0,MIN('Activities'!L383,186)-MAX('Activities'!K383,180))</x:f>
        <x:v>0</x:v>
      </x:c>
      <x:c r="AJ383" s="23" t="n">
        <x:f>MAX(0,MIN('Activities'!L383,192)-MAX('Activities'!K383,186))</x:f>
        <x:v>0</x:v>
      </x:c>
      <x:c r="AK383" s="23" t="n">
        <x:f>MAX(0,MIN('Activities'!L383,198)-MAX('Activities'!K383,192))</x:f>
        <x:v>0</x:v>
      </x:c>
      <x:c r="AL383" s="23" t="n">
        <x:f>MAX(0,MIN('Activities'!L383,204)-MAX('Activities'!K383,198))</x:f>
        <x:v>0</x:v>
      </x:c>
      <x:c r="AM383" s="23" t="n">
        <x:f>MAX(0,MIN('Activities'!L383,210)-MAX('Activities'!K383,204))</x:f>
        <x:v>0</x:v>
      </x:c>
      <x:c r="AN383" s="23" t="n">
        <x:f>MAX(0,MIN('Activities'!L383,216)-MAX('Activities'!K383,210))</x:f>
        <x:v>0</x:v>
      </x:c>
      <x:c r="AO383" s="23" t="n">
        <x:f>MAX(0,MIN('Activities'!L383,222)-MAX('Activities'!K383,216))</x:f>
        <x:v>0</x:v>
      </x:c>
      <x:c r="AP383" s="23" t="n">
        <x:f>MAX(0,MIN('Activities'!L383,228)-MAX('Activities'!K383,222))</x:f>
        <x:v>0</x:v>
      </x:c>
      <x:c r="AQ383" s="23" t="n">
        <x:f>MAX(0,MIN('Activities'!L383,234)-MAX('Activities'!K383,228))</x:f>
        <x:v>0</x:v>
      </x:c>
      <x:c r="AR383" s="23" t="n">
        <x:f>MAX(0,MIN('Activities'!L383,240)-MAX('Activities'!K383,234))</x:f>
        <x:v>0</x:v>
      </x:c>
      <x:c r="AS383" s="23" t="n">
        <x:f>MAX(0,MIN('Activities'!L383,246)-MAX('Activities'!K383,240))</x:f>
        <x:v>0</x:v>
      </x:c>
      <x:c r="AT383" s="23" t="n">
        <x:f>MAX(0,MIN('Activities'!L383,252)-MAX('Activities'!K383,246))</x:f>
        <x:v>0</x:v>
      </x:c>
      <x:c r="AU383" s="23" t="n">
        <x:f>MAX(0,MIN('Activities'!L383,258)-MAX('Activities'!K383,252))</x:f>
        <x:v>0</x:v>
      </x:c>
      <x:c r="AV383" s="23" t="n">
        <x:f>MAX(0,MIN('Activities'!L383,264)-MAX('Activities'!K383,258))</x:f>
        <x:v>0</x:v>
      </x:c>
      <x:c r="AW383" s="23" t="n">
        <x:f>MAX(0,MIN('Activities'!L383,270)-MAX('Activities'!K383,264))</x:f>
        <x:v>0</x:v>
      </x:c>
      <x:c r="AX383" s="23" t="n">
        <x:f>MAX(0,MIN('Activities'!L383,276)-MAX('Activities'!K383,270))</x:f>
        <x:v>0</x:v>
      </x:c>
      <x:c r="AY383" s="23" t="n">
        <x:f>MAX(0,MIN('Activities'!L383,282)-MAX('Activities'!K383,276))</x:f>
        <x:v>0</x:v>
      </x:c>
      <x:c r="AZ383" s="23" t="n">
        <x:f>MAX(0,MIN('Activities'!L383,288)-MAX('Activities'!K383,282))</x:f>
        <x:v>0</x:v>
      </x:c>
      <x:c r="BA383" s="23" t="n">
        <x:f>MAX(0,MIN('Activities'!L383,294)-MAX('Activities'!K383,288))</x:f>
        <x:v>0</x:v>
      </x:c>
      <x:c r="BB383" s="23" t="n">
        <x:f>MAX(0,MIN('Activities'!L383,300)-MAX('Activities'!K383,294))</x:f>
        <x:v>0</x:v>
      </x:c>
      <x:c r="BC383" s="23" t="n">
        <x:f>MAX(0,MIN('Activities'!L383,306)-MAX('Activities'!K383,300))</x:f>
        <x:v>0</x:v>
      </x:c>
      <x:c r="BD383" s="23" t="n">
        <x:f>MAX(0,MIN('Activities'!L383,312)-MAX('Activities'!K383,306))</x:f>
        <x:v>0</x:v>
      </x:c>
      <x:c r="BE383" s="23" t="n">
        <x:f>MAX(0,MIN('Activities'!L383,318)-MAX('Activities'!K383,312))</x:f>
        <x:v>0</x:v>
      </x:c>
      <x:c r="BF383" s="23" t="n">
        <x:f>MAX(0,MIN('Activities'!L383,324)-MAX('Activities'!K383,318))</x:f>
        <x:v>0</x:v>
      </x:c>
      <x:c r="BG383" s="23" t="n">
        <x:f>MAX(0,MIN('Activities'!L383,330)-MAX('Activities'!K383,324))</x:f>
        <x:v>0</x:v>
      </x:c>
      <x:c r="BH383" s="23" t="n">
        <x:f>MAX(0,MIN('Activities'!L383,336)-MAX('Activities'!K383,330))</x:f>
        <x:v>0</x:v>
      </x:c>
      <x:c r="BI383" s="23" t="n">
        <x:f>MAX(0,MIN('Activities'!L383,342)-MAX('Activities'!K383,336))</x:f>
        <x:v>0</x:v>
      </x:c>
      <x:c r="BJ383" s="23" t="n">
        <x:f>MAX(0,MIN('Activities'!L383,348)-MAX('Activities'!K383,342))</x:f>
        <x:v>0</x:v>
      </x:c>
      <x:c r="BK383" s="23" t="n">
        <x:f>MAX(0,MIN('Activities'!L383,354)-MAX('Activities'!K383,348))</x:f>
        <x:v>0</x:v>
      </x:c>
      <x:c r="BL383" s="23" t="n">
        <x:f>MAX(0,MIN('Activities'!L383,360)-MAX('Activities'!K383,354))</x:f>
        <x:v>0</x:v>
      </x:c>
      <x:c r="BM383" s="23" t="n">
        <x:f>MAX(0,MIN('Activities'!L383,366)-MAX('Activities'!K383,360))</x:f>
        <x:v>0</x:v>
      </x:c>
      <x:c r="BN383" s="23" t="n">
        <x:f>MAX(0,MIN('Activities'!L383,372)-MAX('Activities'!K383,366))</x:f>
        <x:v>0</x:v>
      </x:c>
      <x:c r="BO383" s="23" t="n">
        <x:f>MAX(0,MIN('Activities'!L383,378)-MAX('Activities'!K383,372))</x:f>
        <x:v>0</x:v>
      </x:c>
      <x:c r="BP383" s="23" t="n">
        <x:f>MAX(0,MIN('Activities'!L383,384)-MAX('Activities'!K383,378))</x:f>
        <x:v>0</x:v>
      </x:c>
      <x:c r="BQ383" s="23" t="n">
        <x:f>MAX(0,MIN('Activities'!L383,390)-MAX('Activities'!K383,384))</x:f>
        <x:v>0</x:v>
      </x:c>
      <x:c r="BR383" s="23" t="n">
        <x:f>MAX(0,MIN('Activities'!L383,396)-MAX('Activities'!K383,390))</x:f>
        <x:v>0</x:v>
      </x:c>
      <x:c r="BS383" s="23" t="n">
        <x:f>MAX(0,MIN('Activities'!L383,402)-MAX('Activities'!K383,396))</x:f>
        <x:v>0</x:v>
      </x:c>
      <x:c r="BT383" s="23" t="n">
        <x:f>MAX(0,MIN('Activities'!L383,408)-MAX('Activities'!K383,402))</x:f>
        <x:v>0</x:v>
      </x:c>
      <x:c r="BU383" s="23" t="n">
        <x:f>MAX(0,MIN('Activities'!L383,414)-MAX('Activities'!K383,408))</x:f>
        <x:v>0</x:v>
      </x:c>
      <x:c r="BV383" s="23" t="n">
        <x:f>MAX(0,MIN('Activities'!L383,420)-MAX('Activities'!K383,414))</x:f>
        <x:v>0</x:v>
      </x:c>
      <x:c r="BW383" s="23" t="n">
        <x:f>MAX(0,MIN('Activities'!L383,426)-MAX('Activities'!K383,420))</x:f>
        <x:v>0</x:v>
      </x:c>
      <x:c r="BX383" s="23" t="n">
        <x:f>MAX(0,MIN('Activities'!L383,432)-MAX('Activities'!K383,426))</x:f>
        <x:v>0</x:v>
      </x:c>
      <x:c r="BY383" s="23" t="n">
        <x:f>MAX(0,MIN('Activities'!L383,438)-MAX('Activities'!K383,432))</x:f>
        <x:v>5</x:v>
      </x:c>
      <x:c r="BZ383" s="23" t="n">
        <x:f>MAX(0,MIN('Activities'!L383,444)-MAX('Activities'!K383,438))</x:f>
        <x:v>0</x:v>
      </x:c>
      <x:c r="CA383" s="23" t="n">
        <x:f>MAX(0,MIN('Activities'!L383,450)-MAX('Activities'!K383,444))</x:f>
        <x:v>0</x:v>
      </x:c>
      <x:c r="CB383" s="23" t="n">
        <x:f>MAX(0,MIN('Activities'!L383,456)-MAX('Activities'!K383,450))</x:f>
        <x:v>0</x:v>
      </x:c>
      <x:c r="CC383" s="23" t="n">
        <x:f>MAX(0,MIN('Activities'!L383,462)-MAX('Activities'!K383,456))</x:f>
        <x:v>0</x:v>
      </x:c>
      <x:c r="CD383" s="23" t="n">
        <x:f>MAX(0,MIN('Activities'!L383,468)-MAX('Activities'!K383,462))</x:f>
        <x:v>0</x:v>
      </x:c>
      <x:c r="CE383" s="23" t="n">
        <x:f>MAX(0,MIN('Activities'!L383,474)-MAX('Activities'!K383,468))</x:f>
        <x:v>0</x:v>
      </x:c>
      <x:c r="CF383" s="23" t="n">
        <x:f>MAX(0,MIN('Activities'!L383,480)-MAX('Activities'!K383,474))</x:f>
        <x:v>0</x:v>
      </x:c>
      <x:c r="CG383" s="23" t="n">
        <x:f>MAX(0,MIN('Activities'!L383,486)-MAX('Activities'!K383,480))</x:f>
        <x:v>0</x:v>
      </x:c>
      <x:c r="CH383" s="23" t="n">
        <x:f>MAX(0,MIN('Activities'!L383,492)-MAX('Activities'!K383,486))</x:f>
        <x:v>0</x:v>
      </x:c>
      <x:c r="CI383" s="23" t="n">
        <x:f>MAX(0,MIN('Activities'!L383,498)-MAX('Activities'!K383,492))</x:f>
        <x:v>0</x:v>
      </x:c>
      <x:c r="CJ383" s="23" t="n">
        <x:f>MAX(0,MIN('Activities'!L383,504)-MAX('Activities'!K383,498))</x:f>
        <x:v>0</x:v>
      </x:c>
      <x:c r="CK383" s="23" t="n">
        <x:f>MAX(0,MIN('Activities'!L383,510)-MAX('Activities'!K383,504))</x:f>
        <x:v>0</x:v>
      </x:c>
      <x:c r="CL383" s="23" t="n">
        <x:f>MAX(0,MIN('Activities'!L383,516)-MAX('Activities'!K383,510))</x:f>
        <x:v>0</x:v>
      </x:c>
      <x:c r="CM383" s="23" t="n">
        <x:f>MAX(0,MIN('Activities'!L383,522)-MAX('Activities'!K383,516))</x:f>
        <x:v>0</x:v>
      </x:c>
      <x:c r="CN383" s="23" t="n">
        <x:f>MAX(0,MIN('Activities'!L383,528)-MAX('Activities'!K383,522))</x:f>
        <x:v>0</x:v>
      </x:c>
      <x:c r="CO383" s="23" t="n">
        <x:f>MAX(0,MIN('Activities'!L383,534)-MAX('Activities'!K383,528))</x:f>
        <x:v>0</x:v>
      </x:c>
      <x:c r="CP383" s="23" t="n">
        <x:f>MAX(0,MIN('Activities'!L383,540)-MAX('Activities'!K383,534))</x:f>
        <x:v>0</x:v>
      </x:c>
      <x:c r="CQ383" s="23" t="n">
        <x:f>MAX(0,MIN('Activities'!L383,546)-MAX('Activities'!K383,540))</x:f>
        <x:v>0</x:v>
      </x:c>
      <x:c r="CR383" s="23" t="n">
        <x:f>MAX(0,MIN('Activities'!L383,552)-MAX('Activities'!K383,546))</x:f>
        <x:v>0</x:v>
      </x:c>
      <x:c r="CS383" s="23" t="n">
        <x:f>MAX(0,MIN('Activities'!L383,558)-MAX('Activities'!K383,552))</x:f>
        <x:v>0</x:v>
      </x:c>
      <x:c r="CT383" s="23" t="n">
        <x:f>MAX(0,MIN('Activities'!L383,564)-MAX('Activities'!K383,558))</x:f>
        <x:v>0</x:v>
      </x:c>
      <x:c r="CU383" s="23" t="n">
        <x:f>MAX(0,MIN('Activities'!L383,570)-MAX('Activities'!K383,564))</x:f>
        <x:v>0</x:v>
      </x:c>
      <x:c r="CV383" s="23" t="n">
        <x:f>MAX(0,MIN('Activities'!L383,576)-MAX('Activities'!K383,570))</x:f>
        <x:v>0</x:v>
      </x:c>
      <x:c r="CW383" s="23" t="n">
        <x:f>MAX(0,MIN('Activities'!L383,582)-MAX('Activities'!K383,576))</x:f>
        <x:v>0</x:v>
      </x:c>
      <x:c r="CX383" s="23" t="n">
        <x:f>MAX(0,MIN('Activities'!L383,588)-MAX('Activities'!K383,582))</x:f>
        <x:v>0</x:v>
      </x:c>
      <x:c r="CY383" s="23" t="n">
        <x:f>MAX(0,MIN('Activities'!L383,594)-MAX('Activities'!K383,588))</x:f>
        <x:v>0</x:v>
      </x:c>
      <x:c r="CZ383" s="23" t="n">
        <x:f>MAX(0,MIN('Activities'!L383,600)-MAX('Activities'!K383,594))</x:f>
        <x:v>0</x:v>
      </x:c>
      <x:c r="DA383" s="23" t="n">
        <x:f>MAX(0,MIN('Activities'!L383,606)-MAX('Activities'!K383,600))</x:f>
        <x:v>0</x:v>
      </x:c>
      <x:c r="DB383" s="23" t="n">
        <x:f>MAX(0,MIN('Activities'!L383,612)-MAX('Activities'!K383,606))</x:f>
        <x:v>0</x:v>
      </x:c>
      <x:c r="DC383" s="23" t="n">
        <x:f>MAX(0,MIN('Activities'!L383,618)-MAX('Activities'!K383,612))</x:f>
        <x:v>0</x:v>
      </x:c>
      <x:c r="DD383" s="23" t="n">
        <x:f>MAX(0,MIN('Activities'!L383,624)-MAX('Activities'!K383,618))</x:f>
        <x:v>0</x:v>
      </x:c>
      <x:c r="DE383" s="23" t="n">
        <x:f>MAX(0,MIN('Activities'!L383,630)-MAX('Activities'!K383,624))</x:f>
        <x:v>0</x:v>
      </x:c>
      <x:c r="DF383" s="23" t="n">
        <x:f>MAX(0,MIN('Activities'!L383,636)-MAX('Activities'!K383,630))</x:f>
        <x:v>0</x:v>
      </x:c>
    </x:row>
    <x:row r="384" ht="23" customHeight="1">
      <x:c r="A384" s="6" t="str">
        <x:v>T3-L07-D</x:v>
      </x:c>
      <x:c r="B384" s="6" t="str">
        <x:v>T3</x:v>
      </x:c>
      <x:c r="C384" s="6" t="str">
        <x:v>Door sets and ironmongery</x:v>
      </x:c>
      <x:c r="D384" s="6" t="str">
        <x:v>Finishes</x:v>
      </x:c>
      <x:c r="E384" s="22" t="n">
        <x:f>MAX(0,MIN('Activities'!L384,6)-MAX('Activities'!K384,0))</x:f>
        <x:v>0</x:v>
      </x:c>
      <x:c r="F384" s="22" t="n">
        <x:f>MAX(0,MIN('Activities'!L384,12)-MAX('Activities'!K384,6))</x:f>
        <x:v>0</x:v>
      </x:c>
      <x:c r="G384" s="22" t="n">
        <x:f>MAX(0,MIN('Activities'!L384,18)-MAX('Activities'!K384,12))</x:f>
        <x:v>0</x:v>
      </x:c>
      <x:c r="H384" s="22" t="n">
        <x:f>MAX(0,MIN('Activities'!L384,24)-MAX('Activities'!K384,18))</x:f>
        <x:v>0</x:v>
      </x:c>
      <x:c r="I384" s="22" t="n">
        <x:f>MAX(0,MIN('Activities'!L384,30)-MAX('Activities'!K384,24))</x:f>
        <x:v>0</x:v>
      </x:c>
      <x:c r="J384" s="22" t="n">
        <x:f>MAX(0,MIN('Activities'!L384,36)-MAX('Activities'!K384,30))</x:f>
        <x:v>0</x:v>
      </x:c>
      <x:c r="K384" s="22" t="n">
        <x:f>MAX(0,MIN('Activities'!L384,42)-MAX('Activities'!K384,36))</x:f>
        <x:v>0</x:v>
      </x:c>
      <x:c r="L384" s="22" t="n">
        <x:f>MAX(0,MIN('Activities'!L384,48)-MAX('Activities'!K384,42))</x:f>
        <x:v>0</x:v>
      </x:c>
      <x:c r="M384" s="22" t="n">
        <x:f>MAX(0,MIN('Activities'!L384,54)-MAX('Activities'!K384,48))</x:f>
        <x:v>0</x:v>
      </x:c>
      <x:c r="N384" s="22" t="n">
        <x:f>MAX(0,MIN('Activities'!L384,60)-MAX('Activities'!K384,54))</x:f>
        <x:v>0</x:v>
      </x:c>
      <x:c r="O384" s="22" t="n">
        <x:f>MAX(0,MIN('Activities'!L384,66)-MAX('Activities'!K384,60))</x:f>
        <x:v>0</x:v>
      </x:c>
      <x:c r="P384" s="22" t="n">
        <x:f>MAX(0,MIN('Activities'!L384,72)-MAX('Activities'!K384,66))</x:f>
        <x:v>0</x:v>
      </x:c>
      <x:c r="Q384" s="22" t="n">
        <x:f>MAX(0,MIN('Activities'!L384,78)-MAX('Activities'!K384,72))</x:f>
        <x:v>0</x:v>
      </x:c>
      <x:c r="R384" s="22" t="n">
        <x:f>MAX(0,MIN('Activities'!L384,84)-MAX('Activities'!K384,78))</x:f>
        <x:v>0</x:v>
      </x:c>
      <x:c r="S384" s="22" t="n">
        <x:f>MAX(0,MIN('Activities'!L384,90)-MAX('Activities'!K384,84))</x:f>
        <x:v>0</x:v>
      </x:c>
      <x:c r="T384" s="22" t="n">
        <x:f>MAX(0,MIN('Activities'!L384,96)-MAX('Activities'!K384,90))</x:f>
        <x:v>0</x:v>
      </x:c>
      <x:c r="U384" s="22" t="n">
        <x:f>MAX(0,MIN('Activities'!L384,102)-MAX('Activities'!K384,96))</x:f>
        <x:v>0</x:v>
      </x:c>
      <x:c r="V384" s="22" t="n">
        <x:f>MAX(0,MIN('Activities'!L384,108)-MAX('Activities'!K384,102))</x:f>
        <x:v>0</x:v>
      </x:c>
      <x:c r="W384" s="22" t="n">
        <x:f>MAX(0,MIN('Activities'!L384,114)-MAX('Activities'!K384,108))</x:f>
        <x:v>0</x:v>
      </x:c>
      <x:c r="X384" s="22" t="n">
        <x:f>MAX(0,MIN('Activities'!L384,120)-MAX('Activities'!K384,114))</x:f>
        <x:v>0</x:v>
      </x:c>
      <x:c r="Y384" s="22" t="n">
        <x:f>MAX(0,MIN('Activities'!L384,126)-MAX('Activities'!K384,120))</x:f>
        <x:v>0</x:v>
      </x:c>
      <x:c r="Z384" s="22" t="n">
        <x:f>MAX(0,MIN('Activities'!L384,132)-MAX('Activities'!K384,126))</x:f>
        <x:v>0</x:v>
      </x:c>
      <x:c r="AA384" s="22" t="n">
        <x:f>MAX(0,MIN('Activities'!L384,138)-MAX('Activities'!K384,132))</x:f>
        <x:v>0</x:v>
      </x:c>
      <x:c r="AB384" s="22" t="n">
        <x:f>MAX(0,MIN('Activities'!L384,144)-MAX('Activities'!K384,138))</x:f>
        <x:v>0</x:v>
      </x:c>
      <x:c r="AC384" s="22" t="n">
        <x:f>MAX(0,MIN('Activities'!L384,150)-MAX('Activities'!K384,144))</x:f>
        <x:v>0</x:v>
      </x:c>
      <x:c r="AD384" s="22" t="n">
        <x:f>MAX(0,MIN('Activities'!L384,156)-MAX('Activities'!K384,150))</x:f>
        <x:v>0</x:v>
      </x:c>
      <x:c r="AE384" s="22" t="n">
        <x:f>MAX(0,MIN('Activities'!L384,162)-MAX('Activities'!K384,156))</x:f>
        <x:v>0</x:v>
      </x:c>
      <x:c r="AF384" s="22" t="n">
        <x:f>MAX(0,MIN('Activities'!L384,168)-MAX('Activities'!K384,162))</x:f>
        <x:v>0</x:v>
      </x:c>
      <x:c r="AG384" s="22" t="n">
        <x:f>MAX(0,MIN('Activities'!L384,174)-MAX('Activities'!K384,168))</x:f>
        <x:v>0</x:v>
      </x:c>
      <x:c r="AH384" s="22" t="n">
        <x:f>MAX(0,MIN('Activities'!L384,180)-MAX('Activities'!K384,174))</x:f>
        <x:v>0</x:v>
      </x:c>
      <x:c r="AI384" s="22" t="n">
        <x:f>MAX(0,MIN('Activities'!L384,186)-MAX('Activities'!K384,180))</x:f>
        <x:v>0</x:v>
      </x:c>
      <x:c r="AJ384" s="22" t="n">
        <x:f>MAX(0,MIN('Activities'!L384,192)-MAX('Activities'!K384,186))</x:f>
        <x:v>0</x:v>
      </x:c>
      <x:c r="AK384" s="22" t="n">
        <x:f>MAX(0,MIN('Activities'!L384,198)-MAX('Activities'!K384,192))</x:f>
        <x:v>0</x:v>
      </x:c>
      <x:c r="AL384" s="22" t="n">
        <x:f>MAX(0,MIN('Activities'!L384,204)-MAX('Activities'!K384,198))</x:f>
        <x:v>0</x:v>
      </x:c>
      <x:c r="AM384" s="22" t="n">
        <x:f>MAX(0,MIN('Activities'!L384,210)-MAX('Activities'!K384,204))</x:f>
        <x:v>0</x:v>
      </x:c>
      <x:c r="AN384" s="22" t="n">
        <x:f>MAX(0,MIN('Activities'!L384,216)-MAX('Activities'!K384,210))</x:f>
        <x:v>0</x:v>
      </x:c>
      <x:c r="AO384" s="22" t="n">
        <x:f>MAX(0,MIN('Activities'!L384,222)-MAX('Activities'!K384,216))</x:f>
        <x:v>0</x:v>
      </x:c>
      <x:c r="AP384" s="22" t="n">
        <x:f>MAX(0,MIN('Activities'!L384,228)-MAX('Activities'!K384,222))</x:f>
        <x:v>0</x:v>
      </x:c>
      <x:c r="AQ384" s="22" t="n">
        <x:f>MAX(0,MIN('Activities'!L384,234)-MAX('Activities'!K384,228))</x:f>
        <x:v>0</x:v>
      </x:c>
      <x:c r="AR384" s="22" t="n">
        <x:f>MAX(0,MIN('Activities'!L384,240)-MAX('Activities'!K384,234))</x:f>
        <x:v>0</x:v>
      </x:c>
      <x:c r="AS384" s="22" t="n">
        <x:f>MAX(0,MIN('Activities'!L384,246)-MAX('Activities'!K384,240))</x:f>
        <x:v>0</x:v>
      </x:c>
      <x:c r="AT384" s="22" t="n">
        <x:f>MAX(0,MIN('Activities'!L384,252)-MAX('Activities'!K384,246))</x:f>
        <x:v>0</x:v>
      </x:c>
      <x:c r="AU384" s="22" t="n">
        <x:f>MAX(0,MIN('Activities'!L384,258)-MAX('Activities'!K384,252))</x:f>
        <x:v>0</x:v>
      </x:c>
      <x:c r="AV384" s="22" t="n">
        <x:f>MAX(0,MIN('Activities'!L384,264)-MAX('Activities'!K384,258))</x:f>
        <x:v>0</x:v>
      </x:c>
      <x:c r="AW384" s="22" t="n">
        <x:f>MAX(0,MIN('Activities'!L384,270)-MAX('Activities'!K384,264))</x:f>
        <x:v>0</x:v>
      </x:c>
      <x:c r="AX384" s="22" t="n">
        <x:f>MAX(0,MIN('Activities'!L384,276)-MAX('Activities'!K384,270))</x:f>
        <x:v>0</x:v>
      </x:c>
      <x:c r="AY384" s="22" t="n">
        <x:f>MAX(0,MIN('Activities'!L384,282)-MAX('Activities'!K384,276))</x:f>
        <x:v>0</x:v>
      </x:c>
      <x:c r="AZ384" s="22" t="n">
        <x:f>MAX(0,MIN('Activities'!L384,288)-MAX('Activities'!K384,282))</x:f>
        <x:v>0</x:v>
      </x:c>
      <x:c r="BA384" s="22" t="n">
        <x:f>MAX(0,MIN('Activities'!L384,294)-MAX('Activities'!K384,288))</x:f>
        <x:v>0</x:v>
      </x:c>
      <x:c r="BB384" s="22" t="n">
        <x:f>MAX(0,MIN('Activities'!L384,300)-MAX('Activities'!K384,294))</x:f>
        <x:v>0</x:v>
      </x:c>
      <x:c r="BC384" s="22" t="n">
        <x:f>MAX(0,MIN('Activities'!L384,306)-MAX('Activities'!K384,300))</x:f>
        <x:v>0</x:v>
      </x:c>
      <x:c r="BD384" s="22" t="n">
        <x:f>MAX(0,MIN('Activities'!L384,312)-MAX('Activities'!K384,306))</x:f>
        <x:v>0</x:v>
      </x:c>
      <x:c r="BE384" s="22" t="n">
        <x:f>MAX(0,MIN('Activities'!L384,318)-MAX('Activities'!K384,312))</x:f>
        <x:v>0</x:v>
      </x:c>
      <x:c r="BF384" s="22" t="n">
        <x:f>MAX(0,MIN('Activities'!L384,324)-MAX('Activities'!K384,318))</x:f>
        <x:v>0</x:v>
      </x:c>
      <x:c r="BG384" s="22" t="n">
        <x:f>MAX(0,MIN('Activities'!L384,330)-MAX('Activities'!K384,324))</x:f>
        <x:v>0</x:v>
      </x:c>
      <x:c r="BH384" s="22" t="n">
        <x:f>MAX(0,MIN('Activities'!L384,336)-MAX('Activities'!K384,330))</x:f>
        <x:v>0</x:v>
      </x:c>
      <x:c r="BI384" s="22" t="n">
        <x:f>MAX(0,MIN('Activities'!L384,342)-MAX('Activities'!K384,336))</x:f>
        <x:v>0</x:v>
      </x:c>
      <x:c r="BJ384" s="22" t="n">
        <x:f>MAX(0,MIN('Activities'!L384,348)-MAX('Activities'!K384,342))</x:f>
        <x:v>0</x:v>
      </x:c>
      <x:c r="BK384" s="22" t="n">
        <x:f>MAX(0,MIN('Activities'!L384,354)-MAX('Activities'!K384,348))</x:f>
        <x:v>0</x:v>
      </x:c>
      <x:c r="BL384" s="22" t="n">
        <x:f>MAX(0,MIN('Activities'!L384,360)-MAX('Activities'!K384,354))</x:f>
        <x:v>0</x:v>
      </x:c>
      <x:c r="BM384" s="22" t="n">
        <x:f>MAX(0,MIN('Activities'!L384,366)-MAX('Activities'!K384,360))</x:f>
        <x:v>0</x:v>
      </x:c>
      <x:c r="BN384" s="22" t="n">
        <x:f>MAX(0,MIN('Activities'!L384,372)-MAX('Activities'!K384,366))</x:f>
        <x:v>0</x:v>
      </x:c>
      <x:c r="BO384" s="22" t="n">
        <x:f>MAX(0,MIN('Activities'!L384,378)-MAX('Activities'!K384,372))</x:f>
        <x:v>0</x:v>
      </x:c>
      <x:c r="BP384" s="22" t="n">
        <x:f>MAX(0,MIN('Activities'!L384,384)-MAX('Activities'!K384,378))</x:f>
        <x:v>0</x:v>
      </x:c>
      <x:c r="BQ384" s="22" t="n">
        <x:f>MAX(0,MIN('Activities'!L384,390)-MAX('Activities'!K384,384))</x:f>
        <x:v>0</x:v>
      </x:c>
      <x:c r="BR384" s="22" t="n">
        <x:f>MAX(0,MIN('Activities'!L384,396)-MAX('Activities'!K384,390))</x:f>
        <x:v>0</x:v>
      </x:c>
      <x:c r="BS384" s="22" t="n">
        <x:f>MAX(0,MIN('Activities'!L384,402)-MAX('Activities'!K384,396))</x:f>
        <x:v>0</x:v>
      </x:c>
      <x:c r="BT384" s="22" t="n">
        <x:f>MAX(0,MIN('Activities'!L384,408)-MAX('Activities'!K384,402))</x:f>
        <x:v>0</x:v>
      </x:c>
      <x:c r="BU384" s="22" t="n">
        <x:f>MAX(0,MIN('Activities'!L384,414)-MAX('Activities'!K384,408))</x:f>
        <x:v>0</x:v>
      </x:c>
      <x:c r="BV384" s="22" t="n">
        <x:f>MAX(0,MIN('Activities'!L384,420)-MAX('Activities'!K384,414))</x:f>
        <x:v>0</x:v>
      </x:c>
      <x:c r="BW384" s="22" t="n">
        <x:f>MAX(0,MIN('Activities'!L384,426)-MAX('Activities'!K384,420))</x:f>
        <x:v>0</x:v>
      </x:c>
      <x:c r="BX384" s="22" t="n">
        <x:f>MAX(0,MIN('Activities'!L384,432)-MAX('Activities'!K384,426))</x:f>
        <x:v>0</x:v>
      </x:c>
      <x:c r="BY384" s="22" t="n">
        <x:f>MAX(0,MIN('Activities'!L384,438)-MAX('Activities'!K384,432))</x:f>
        <x:v>0</x:v>
      </x:c>
      <x:c r="BZ384" s="22" t="n">
        <x:f>MAX(0,MIN('Activities'!L384,444)-MAX('Activities'!K384,438))</x:f>
        <x:v>3</x:v>
      </x:c>
      <x:c r="CA384" s="22" t="n">
        <x:f>MAX(0,MIN('Activities'!L384,450)-MAX('Activities'!K384,444))</x:f>
        <x:v>0</x:v>
      </x:c>
      <x:c r="CB384" s="22" t="n">
        <x:f>MAX(0,MIN('Activities'!L384,456)-MAX('Activities'!K384,450))</x:f>
        <x:v>0</x:v>
      </x:c>
      <x:c r="CC384" s="22" t="n">
        <x:f>MAX(0,MIN('Activities'!L384,462)-MAX('Activities'!K384,456))</x:f>
        <x:v>0</x:v>
      </x:c>
      <x:c r="CD384" s="22" t="n">
        <x:f>MAX(0,MIN('Activities'!L384,468)-MAX('Activities'!K384,462))</x:f>
        <x:v>0</x:v>
      </x:c>
      <x:c r="CE384" s="22" t="n">
        <x:f>MAX(0,MIN('Activities'!L384,474)-MAX('Activities'!K384,468))</x:f>
        <x:v>0</x:v>
      </x:c>
      <x:c r="CF384" s="22" t="n">
        <x:f>MAX(0,MIN('Activities'!L384,480)-MAX('Activities'!K384,474))</x:f>
        <x:v>0</x:v>
      </x:c>
      <x:c r="CG384" s="22" t="n">
        <x:f>MAX(0,MIN('Activities'!L384,486)-MAX('Activities'!K384,480))</x:f>
        <x:v>0</x:v>
      </x:c>
      <x:c r="CH384" s="22" t="n">
        <x:f>MAX(0,MIN('Activities'!L384,492)-MAX('Activities'!K384,486))</x:f>
        <x:v>0</x:v>
      </x:c>
      <x:c r="CI384" s="22" t="n">
        <x:f>MAX(0,MIN('Activities'!L384,498)-MAX('Activities'!K384,492))</x:f>
        <x:v>0</x:v>
      </x:c>
      <x:c r="CJ384" s="22" t="n">
        <x:f>MAX(0,MIN('Activities'!L384,504)-MAX('Activities'!K384,498))</x:f>
        <x:v>0</x:v>
      </x:c>
      <x:c r="CK384" s="22" t="n">
        <x:f>MAX(0,MIN('Activities'!L384,510)-MAX('Activities'!K384,504))</x:f>
        <x:v>0</x:v>
      </x:c>
      <x:c r="CL384" s="22" t="n">
        <x:f>MAX(0,MIN('Activities'!L384,516)-MAX('Activities'!K384,510))</x:f>
        <x:v>0</x:v>
      </x:c>
      <x:c r="CM384" s="22" t="n">
        <x:f>MAX(0,MIN('Activities'!L384,522)-MAX('Activities'!K384,516))</x:f>
        <x:v>0</x:v>
      </x:c>
      <x:c r="CN384" s="22" t="n">
        <x:f>MAX(0,MIN('Activities'!L384,528)-MAX('Activities'!K384,522))</x:f>
        <x:v>0</x:v>
      </x:c>
      <x:c r="CO384" s="22" t="n">
        <x:f>MAX(0,MIN('Activities'!L384,534)-MAX('Activities'!K384,528))</x:f>
        <x:v>0</x:v>
      </x:c>
      <x:c r="CP384" s="22" t="n">
        <x:f>MAX(0,MIN('Activities'!L384,540)-MAX('Activities'!K384,534))</x:f>
        <x:v>0</x:v>
      </x:c>
      <x:c r="CQ384" s="22" t="n">
        <x:f>MAX(0,MIN('Activities'!L384,546)-MAX('Activities'!K384,540))</x:f>
        <x:v>0</x:v>
      </x:c>
      <x:c r="CR384" s="22" t="n">
        <x:f>MAX(0,MIN('Activities'!L384,552)-MAX('Activities'!K384,546))</x:f>
        <x:v>0</x:v>
      </x:c>
      <x:c r="CS384" s="22" t="n">
        <x:f>MAX(0,MIN('Activities'!L384,558)-MAX('Activities'!K384,552))</x:f>
        <x:v>0</x:v>
      </x:c>
      <x:c r="CT384" s="22" t="n">
        <x:f>MAX(0,MIN('Activities'!L384,564)-MAX('Activities'!K384,558))</x:f>
        <x:v>0</x:v>
      </x:c>
      <x:c r="CU384" s="22" t="n">
        <x:f>MAX(0,MIN('Activities'!L384,570)-MAX('Activities'!K384,564))</x:f>
        <x:v>0</x:v>
      </x:c>
      <x:c r="CV384" s="22" t="n">
        <x:f>MAX(0,MIN('Activities'!L384,576)-MAX('Activities'!K384,570))</x:f>
        <x:v>0</x:v>
      </x:c>
      <x:c r="CW384" s="22" t="n">
        <x:f>MAX(0,MIN('Activities'!L384,582)-MAX('Activities'!K384,576))</x:f>
        <x:v>0</x:v>
      </x:c>
      <x:c r="CX384" s="22" t="n">
        <x:f>MAX(0,MIN('Activities'!L384,588)-MAX('Activities'!K384,582))</x:f>
        <x:v>0</x:v>
      </x:c>
      <x:c r="CY384" s="22" t="n">
        <x:f>MAX(0,MIN('Activities'!L384,594)-MAX('Activities'!K384,588))</x:f>
        <x:v>0</x:v>
      </x:c>
      <x:c r="CZ384" s="22" t="n">
        <x:f>MAX(0,MIN('Activities'!L384,600)-MAX('Activities'!K384,594))</x:f>
        <x:v>0</x:v>
      </x:c>
      <x:c r="DA384" s="22" t="n">
        <x:f>MAX(0,MIN('Activities'!L384,606)-MAX('Activities'!K384,600))</x:f>
        <x:v>0</x:v>
      </x:c>
      <x:c r="DB384" s="22" t="n">
        <x:f>MAX(0,MIN('Activities'!L384,612)-MAX('Activities'!K384,606))</x:f>
        <x:v>0</x:v>
      </x:c>
      <x:c r="DC384" s="22" t="n">
        <x:f>MAX(0,MIN('Activities'!L384,618)-MAX('Activities'!K384,612))</x:f>
        <x:v>0</x:v>
      </x:c>
      <x:c r="DD384" s="22" t="n">
        <x:f>MAX(0,MIN('Activities'!L384,624)-MAX('Activities'!K384,618))</x:f>
        <x:v>0</x:v>
      </x:c>
      <x:c r="DE384" s="22" t="n">
        <x:f>MAX(0,MIN('Activities'!L384,630)-MAX('Activities'!K384,624))</x:f>
        <x:v>0</x:v>
      </x:c>
      <x:c r="DF384" s="22" t="n">
        <x:f>MAX(0,MIN('Activities'!L384,636)-MAX('Activities'!K384,630))</x:f>
        <x:v>0</x:v>
      </x:c>
    </x:row>
    <x:row r="385" ht="23" customHeight="1">
      <x:c r="A385" s="1" t="str">
        <x:v>T3-L08-M</x:v>
      </x:c>
      <x:c r="B385" s="1" t="str">
        <x:v>T3</x:v>
      </x:c>
      <x:c r="C385" s="1" t="str">
        <x:v>Partition masonry</x:v>
      </x:c>
      <x:c r="D385" s="1" t="str">
        <x:v>Masonry</x:v>
      </x:c>
      <x:c r="E385" s="23" t="n">
        <x:f>MAX(0,MIN('Activities'!L385,6)-MAX('Activities'!K385,0))</x:f>
        <x:v>0</x:v>
      </x:c>
      <x:c r="F385" s="23" t="n">
        <x:f>MAX(0,MIN('Activities'!L385,12)-MAX('Activities'!K385,6))</x:f>
        <x:v>0</x:v>
      </x:c>
      <x:c r="G385" s="23" t="n">
        <x:f>MAX(0,MIN('Activities'!L385,18)-MAX('Activities'!K385,12))</x:f>
        <x:v>0</x:v>
      </x:c>
      <x:c r="H385" s="23" t="n">
        <x:f>MAX(0,MIN('Activities'!L385,24)-MAX('Activities'!K385,18))</x:f>
        <x:v>0</x:v>
      </x:c>
      <x:c r="I385" s="23" t="n">
        <x:f>MAX(0,MIN('Activities'!L385,30)-MAX('Activities'!K385,24))</x:f>
        <x:v>0</x:v>
      </x:c>
      <x:c r="J385" s="23" t="n">
        <x:f>MAX(0,MIN('Activities'!L385,36)-MAX('Activities'!K385,30))</x:f>
        <x:v>0</x:v>
      </x:c>
      <x:c r="K385" s="23" t="n">
        <x:f>MAX(0,MIN('Activities'!L385,42)-MAX('Activities'!K385,36))</x:f>
        <x:v>0</x:v>
      </x:c>
      <x:c r="L385" s="23" t="n">
        <x:f>MAX(0,MIN('Activities'!L385,48)-MAX('Activities'!K385,42))</x:f>
        <x:v>0</x:v>
      </x:c>
      <x:c r="M385" s="23" t="n">
        <x:f>MAX(0,MIN('Activities'!L385,54)-MAX('Activities'!K385,48))</x:f>
        <x:v>0</x:v>
      </x:c>
      <x:c r="N385" s="23" t="n">
        <x:f>MAX(0,MIN('Activities'!L385,60)-MAX('Activities'!K385,54))</x:f>
        <x:v>0</x:v>
      </x:c>
      <x:c r="O385" s="23" t="n">
        <x:f>MAX(0,MIN('Activities'!L385,66)-MAX('Activities'!K385,60))</x:f>
        <x:v>0</x:v>
      </x:c>
      <x:c r="P385" s="23" t="n">
        <x:f>MAX(0,MIN('Activities'!L385,72)-MAX('Activities'!K385,66))</x:f>
        <x:v>0</x:v>
      </x:c>
      <x:c r="Q385" s="23" t="n">
        <x:f>MAX(0,MIN('Activities'!L385,78)-MAX('Activities'!K385,72))</x:f>
        <x:v>0</x:v>
      </x:c>
      <x:c r="R385" s="23" t="n">
        <x:f>MAX(0,MIN('Activities'!L385,84)-MAX('Activities'!K385,78))</x:f>
        <x:v>0</x:v>
      </x:c>
      <x:c r="S385" s="23" t="n">
        <x:f>MAX(0,MIN('Activities'!L385,90)-MAX('Activities'!K385,84))</x:f>
        <x:v>0</x:v>
      </x:c>
      <x:c r="T385" s="23" t="n">
        <x:f>MAX(0,MIN('Activities'!L385,96)-MAX('Activities'!K385,90))</x:f>
        <x:v>0</x:v>
      </x:c>
      <x:c r="U385" s="23" t="n">
        <x:f>MAX(0,MIN('Activities'!L385,102)-MAX('Activities'!K385,96))</x:f>
        <x:v>0</x:v>
      </x:c>
      <x:c r="V385" s="23" t="n">
        <x:f>MAX(0,MIN('Activities'!L385,108)-MAX('Activities'!K385,102))</x:f>
        <x:v>0</x:v>
      </x:c>
      <x:c r="W385" s="23" t="n">
        <x:f>MAX(0,MIN('Activities'!L385,114)-MAX('Activities'!K385,108))</x:f>
        <x:v>0</x:v>
      </x:c>
      <x:c r="X385" s="23" t="n">
        <x:f>MAX(0,MIN('Activities'!L385,120)-MAX('Activities'!K385,114))</x:f>
        <x:v>0</x:v>
      </x:c>
      <x:c r="Y385" s="23" t="n">
        <x:f>MAX(0,MIN('Activities'!L385,126)-MAX('Activities'!K385,120))</x:f>
        <x:v>0</x:v>
      </x:c>
      <x:c r="Z385" s="23" t="n">
        <x:f>MAX(0,MIN('Activities'!L385,132)-MAX('Activities'!K385,126))</x:f>
        <x:v>0</x:v>
      </x:c>
      <x:c r="AA385" s="23" t="n">
        <x:f>MAX(0,MIN('Activities'!L385,138)-MAX('Activities'!K385,132))</x:f>
        <x:v>0</x:v>
      </x:c>
      <x:c r="AB385" s="23" t="n">
        <x:f>MAX(0,MIN('Activities'!L385,144)-MAX('Activities'!K385,138))</x:f>
        <x:v>0</x:v>
      </x:c>
      <x:c r="AC385" s="23" t="n">
        <x:f>MAX(0,MIN('Activities'!L385,150)-MAX('Activities'!K385,144))</x:f>
        <x:v>0</x:v>
      </x:c>
      <x:c r="AD385" s="23" t="n">
        <x:f>MAX(0,MIN('Activities'!L385,156)-MAX('Activities'!K385,150))</x:f>
        <x:v>0</x:v>
      </x:c>
      <x:c r="AE385" s="23" t="n">
        <x:f>MAX(0,MIN('Activities'!L385,162)-MAX('Activities'!K385,156))</x:f>
        <x:v>0</x:v>
      </x:c>
      <x:c r="AF385" s="23" t="n">
        <x:f>MAX(0,MIN('Activities'!L385,168)-MAX('Activities'!K385,162))</x:f>
        <x:v>0</x:v>
      </x:c>
      <x:c r="AG385" s="23" t="n">
        <x:f>MAX(0,MIN('Activities'!L385,174)-MAX('Activities'!K385,168))</x:f>
        <x:v>0</x:v>
      </x:c>
      <x:c r="AH385" s="23" t="n">
        <x:f>MAX(0,MIN('Activities'!L385,180)-MAX('Activities'!K385,174))</x:f>
        <x:v>0</x:v>
      </x:c>
      <x:c r="AI385" s="23" t="n">
        <x:f>MAX(0,MIN('Activities'!L385,186)-MAX('Activities'!K385,180))</x:f>
        <x:v>0</x:v>
      </x:c>
      <x:c r="AJ385" s="23" t="n">
        <x:f>MAX(0,MIN('Activities'!L385,192)-MAX('Activities'!K385,186))</x:f>
        <x:v>0</x:v>
      </x:c>
      <x:c r="AK385" s="23" t="n">
        <x:f>MAX(0,MIN('Activities'!L385,198)-MAX('Activities'!K385,192))</x:f>
        <x:v>0</x:v>
      </x:c>
      <x:c r="AL385" s="23" t="n">
        <x:f>MAX(0,MIN('Activities'!L385,204)-MAX('Activities'!K385,198))</x:f>
        <x:v>0</x:v>
      </x:c>
      <x:c r="AM385" s="23" t="n">
        <x:f>MAX(0,MIN('Activities'!L385,210)-MAX('Activities'!K385,204))</x:f>
        <x:v>0</x:v>
      </x:c>
      <x:c r="AN385" s="23" t="n">
        <x:f>MAX(0,MIN('Activities'!L385,216)-MAX('Activities'!K385,210))</x:f>
        <x:v>0</x:v>
      </x:c>
      <x:c r="AO385" s="23" t="n">
        <x:f>MAX(0,MIN('Activities'!L385,222)-MAX('Activities'!K385,216))</x:f>
        <x:v>0</x:v>
      </x:c>
      <x:c r="AP385" s="23" t="n">
        <x:f>MAX(0,MIN('Activities'!L385,228)-MAX('Activities'!K385,222))</x:f>
        <x:v>0</x:v>
      </x:c>
      <x:c r="AQ385" s="23" t="n">
        <x:f>MAX(0,MIN('Activities'!L385,234)-MAX('Activities'!K385,228))</x:f>
        <x:v>0</x:v>
      </x:c>
      <x:c r="AR385" s="23" t="n">
        <x:f>MAX(0,MIN('Activities'!L385,240)-MAX('Activities'!K385,234))</x:f>
        <x:v>0</x:v>
      </x:c>
      <x:c r="AS385" s="23" t="n">
        <x:f>MAX(0,MIN('Activities'!L385,246)-MAX('Activities'!K385,240))</x:f>
        <x:v>0</x:v>
      </x:c>
      <x:c r="AT385" s="23" t="n">
        <x:f>MAX(0,MIN('Activities'!L385,252)-MAX('Activities'!K385,246))</x:f>
        <x:v>0</x:v>
      </x:c>
      <x:c r="AU385" s="23" t="n">
        <x:f>MAX(0,MIN('Activities'!L385,258)-MAX('Activities'!K385,252))</x:f>
        <x:v>0</x:v>
      </x:c>
      <x:c r="AV385" s="23" t="n">
        <x:f>MAX(0,MIN('Activities'!L385,264)-MAX('Activities'!K385,258))</x:f>
        <x:v>0</x:v>
      </x:c>
      <x:c r="AW385" s="23" t="n">
        <x:f>MAX(0,MIN('Activities'!L385,270)-MAX('Activities'!K385,264))</x:f>
        <x:v>0</x:v>
      </x:c>
      <x:c r="AX385" s="23" t="n">
        <x:f>MAX(0,MIN('Activities'!L385,276)-MAX('Activities'!K385,270))</x:f>
        <x:v>0</x:v>
      </x:c>
      <x:c r="AY385" s="23" t="n">
        <x:f>MAX(0,MIN('Activities'!L385,282)-MAX('Activities'!K385,276))</x:f>
        <x:v>0</x:v>
      </x:c>
      <x:c r="AZ385" s="23" t="n">
        <x:f>MAX(0,MIN('Activities'!L385,288)-MAX('Activities'!K385,282))</x:f>
        <x:v>0</x:v>
      </x:c>
      <x:c r="BA385" s="23" t="n">
        <x:f>MAX(0,MIN('Activities'!L385,294)-MAX('Activities'!K385,288))</x:f>
        <x:v>0</x:v>
      </x:c>
      <x:c r="BB385" s="23" t="n">
        <x:f>MAX(0,MIN('Activities'!L385,300)-MAX('Activities'!K385,294))</x:f>
        <x:v>0</x:v>
      </x:c>
      <x:c r="BC385" s="23" t="n">
        <x:f>MAX(0,MIN('Activities'!L385,306)-MAX('Activities'!K385,300))</x:f>
        <x:v>0</x:v>
      </x:c>
      <x:c r="BD385" s="23" t="n">
        <x:f>MAX(0,MIN('Activities'!L385,312)-MAX('Activities'!K385,306))</x:f>
        <x:v>0</x:v>
      </x:c>
      <x:c r="BE385" s="23" t="n">
        <x:f>MAX(0,MIN('Activities'!L385,318)-MAX('Activities'!K385,312))</x:f>
        <x:v>0</x:v>
      </x:c>
      <x:c r="BF385" s="23" t="n">
        <x:f>MAX(0,MIN('Activities'!L385,324)-MAX('Activities'!K385,318))</x:f>
        <x:v>0</x:v>
      </x:c>
      <x:c r="BG385" s="23" t="n">
        <x:f>MAX(0,MIN('Activities'!L385,330)-MAX('Activities'!K385,324))</x:f>
        <x:v>0</x:v>
      </x:c>
      <x:c r="BH385" s="23" t="n">
        <x:f>MAX(0,MIN('Activities'!L385,336)-MAX('Activities'!K385,330))</x:f>
        <x:v>0</x:v>
      </x:c>
      <x:c r="BI385" s="23" t="n">
        <x:f>MAX(0,MIN('Activities'!L385,342)-MAX('Activities'!K385,336))</x:f>
        <x:v>0</x:v>
      </x:c>
      <x:c r="BJ385" s="23" t="n">
        <x:f>MAX(0,MIN('Activities'!L385,348)-MAX('Activities'!K385,342))</x:f>
        <x:v>0</x:v>
      </x:c>
      <x:c r="BK385" s="23" t="n">
        <x:f>MAX(0,MIN('Activities'!L385,354)-MAX('Activities'!K385,348))</x:f>
        <x:v>0</x:v>
      </x:c>
      <x:c r="BL385" s="23" t="n">
        <x:f>MAX(0,MIN('Activities'!L385,360)-MAX('Activities'!K385,354))</x:f>
        <x:v>0</x:v>
      </x:c>
      <x:c r="BM385" s="23" t="n">
        <x:f>MAX(0,MIN('Activities'!L385,366)-MAX('Activities'!K385,360))</x:f>
        <x:v>0</x:v>
      </x:c>
      <x:c r="BN385" s="23" t="n">
        <x:f>MAX(0,MIN('Activities'!L385,372)-MAX('Activities'!K385,366))</x:f>
        <x:v>0</x:v>
      </x:c>
      <x:c r="BO385" s="23" t="n">
        <x:f>MAX(0,MIN('Activities'!L385,378)-MAX('Activities'!K385,372))</x:f>
        <x:v>0</x:v>
      </x:c>
      <x:c r="BP385" s="23" t="n">
        <x:f>MAX(0,MIN('Activities'!L385,384)-MAX('Activities'!K385,378))</x:f>
        <x:v>5</x:v>
      </x:c>
      <x:c r="BQ385" s="23" t="n">
        <x:f>MAX(0,MIN('Activities'!L385,390)-MAX('Activities'!K385,384))</x:f>
        <x:v>0</x:v>
      </x:c>
      <x:c r="BR385" s="23" t="n">
        <x:f>MAX(0,MIN('Activities'!L385,396)-MAX('Activities'!K385,390))</x:f>
        <x:v>0</x:v>
      </x:c>
      <x:c r="BS385" s="23" t="n">
        <x:f>MAX(0,MIN('Activities'!L385,402)-MAX('Activities'!K385,396))</x:f>
        <x:v>0</x:v>
      </x:c>
      <x:c r="BT385" s="23" t="n">
        <x:f>MAX(0,MIN('Activities'!L385,408)-MAX('Activities'!K385,402))</x:f>
        <x:v>0</x:v>
      </x:c>
      <x:c r="BU385" s="23" t="n">
        <x:f>MAX(0,MIN('Activities'!L385,414)-MAX('Activities'!K385,408))</x:f>
        <x:v>0</x:v>
      </x:c>
      <x:c r="BV385" s="23" t="n">
        <x:f>MAX(0,MIN('Activities'!L385,420)-MAX('Activities'!K385,414))</x:f>
        <x:v>0</x:v>
      </x:c>
      <x:c r="BW385" s="23" t="n">
        <x:f>MAX(0,MIN('Activities'!L385,426)-MAX('Activities'!K385,420))</x:f>
        <x:v>0</x:v>
      </x:c>
      <x:c r="BX385" s="23" t="n">
        <x:f>MAX(0,MIN('Activities'!L385,432)-MAX('Activities'!K385,426))</x:f>
        <x:v>0</x:v>
      </x:c>
      <x:c r="BY385" s="23" t="n">
        <x:f>MAX(0,MIN('Activities'!L385,438)-MAX('Activities'!K385,432))</x:f>
        <x:v>0</x:v>
      </x:c>
      <x:c r="BZ385" s="23" t="n">
        <x:f>MAX(0,MIN('Activities'!L385,444)-MAX('Activities'!K385,438))</x:f>
        <x:v>0</x:v>
      </x:c>
      <x:c r="CA385" s="23" t="n">
        <x:f>MAX(0,MIN('Activities'!L385,450)-MAX('Activities'!K385,444))</x:f>
        <x:v>0</x:v>
      </x:c>
      <x:c r="CB385" s="23" t="n">
        <x:f>MAX(0,MIN('Activities'!L385,456)-MAX('Activities'!K385,450))</x:f>
        <x:v>0</x:v>
      </x:c>
      <x:c r="CC385" s="23" t="n">
        <x:f>MAX(0,MIN('Activities'!L385,462)-MAX('Activities'!K385,456))</x:f>
        <x:v>0</x:v>
      </x:c>
      <x:c r="CD385" s="23" t="n">
        <x:f>MAX(0,MIN('Activities'!L385,468)-MAX('Activities'!K385,462))</x:f>
        <x:v>0</x:v>
      </x:c>
      <x:c r="CE385" s="23" t="n">
        <x:f>MAX(0,MIN('Activities'!L385,474)-MAX('Activities'!K385,468))</x:f>
        <x:v>0</x:v>
      </x:c>
      <x:c r="CF385" s="23" t="n">
        <x:f>MAX(0,MIN('Activities'!L385,480)-MAX('Activities'!K385,474))</x:f>
        <x:v>0</x:v>
      </x:c>
      <x:c r="CG385" s="23" t="n">
        <x:f>MAX(0,MIN('Activities'!L385,486)-MAX('Activities'!K385,480))</x:f>
        <x:v>0</x:v>
      </x:c>
      <x:c r="CH385" s="23" t="n">
        <x:f>MAX(0,MIN('Activities'!L385,492)-MAX('Activities'!K385,486))</x:f>
        <x:v>0</x:v>
      </x:c>
      <x:c r="CI385" s="23" t="n">
        <x:f>MAX(0,MIN('Activities'!L385,498)-MAX('Activities'!K385,492))</x:f>
        <x:v>0</x:v>
      </x:c>
      <x:c r="CJ385" s="23" t="n">
        <x:f>MAX(0,MIN('Activities'!L385,504)-MAX('Activities'!K385,498))</x:f>
        <x:v>0</x:v>
      </x:c>
      <x:c r="CK385" s="23" t="n">
        <x:f>MAX(0,MIN('Activities'!L385,510)-MAX('Activities'!K385,504))</x:f>
        <x:v>0</x:v>
      </x:c>
      <x:c r="CL385" s="23" t="n">
        <x:f>MAX(0,MIN('Activities'!L385,516)-MAX('Activities'!K385,510))</x:f>
        <x:v>0</x:v>
      </x:c>
      <x:c r="CM385" s="23" t="n">
        <x:f>MAX(0,MIN('Activities'!L385,522)-MAX('Activities'!K385,516))</x:f>
        <x:v>0</x:v>
      </x:c>
      <x:c r="CN385" s="23" t="n">
        <x:f>MAX(0,MIN('Activities'!L385,528)-MAX('Activities'!K385,522))</x:f>
        <x:v>0</x:v>
      </x:c>
      <x:c r="CO385" s="23" t="n">
        <x:f>MAX(0,MIN('Activities'!L385,534)-MAX('Activities'!K385,528))</x:f>
        <x:v>0</x:v>
      </x:c>
      <x:c r="CP385" s="23" t="n">
        <x:f>MAX(0,MIN('Activities'!L385,540)-MAX('Activities'!K385,534))</x:f>
        <x:v>0</x:v>
      </x:c>
      <x:c r="CQ385" s="23" t="n">
        <x:f>MAX(0,MIN('Activities'!L385,546)-MAX('Activities'!K385,540))</x:f>
        <x:v>0</x:v>
      </x:c>
      <x:c r="CR385" s="23" t="n">
        <x:f>MAX(0,MIN('Activities'!L385,552)-MAX('Activities'!K385,546))</x:f>
        <x:v>0</x:v>
      </x:c>
      <x:c r="CS385" s="23" t="n">
        <x:f>MAX(0,MIN('Activities'!L385,558)-MAX('Activities'!K385,552))</x:f>
        <x:v>0</x:v>
      </x:c>
      <x:c r="CT385" s="23" t="n">
        <x:f>MAX(0,MIN('Activities'!L385,564)-MAX('Activities'!K385,558))</x:f>
        <x:v>0</x:v>
      </x:c>
      <x:c r="CU385" s="23" t="n">
        <x:f>MAX(0,MIN('Activities'!L385,570)-MAX('Activities'!K385,564))</x:f>
        <x:v>0</x:v>
      </x:c>
      <x:c r="CV385" s="23" t="n">
        <x:f>MAX(0,MIN('Activities'!L385,576)-MAX('Activities'!K385,570))</x:f>
        <x:v>0</x:v>
      </x:c>
      <x:c r="CW385" s="23" t="n">
        <x:f>MAX(0,MIN('Activities'!L385,582)-MAX('Activities'!K385,576))</x:f>
        <x:v>0</x:v>
      </x:c>
      <x:c r="CX385" s="23" t="n">
        <x:f>MAX(0,MIN('Activities'!L385,588)-MAX('Activities'!K385,582))</x:f>
        <x:v>0</x:v>
      </x:c>
      <x:c r="CY385" s="23" t="n">
        <x:f>MAX(0,MIN('Activities'!L385,594)-MAX('Activities'!K385,588))</x:f>
        <x:v>0</x:v>
      </x:c>
      <x:c r="CZ385" s="23" t="n">
        <x:f>MAX(0,MIN('Activities'!L385,600)-MAX('Activities'!K385,594))</x:f>
        <x:v>0</x:v>
      </x:c>
      <x:c r="DA385" s="23" t="n">
        <x:f>MAX(0,MIN('Activities'!L385,606)-MAX('Activities'!K385,600))</x:f>
        <x:v>0</x:v>
      </x:c>
      <x:c r="DB385" s="23" t="n">
        <x:f>MAX(0,MIN('Activities'!L385,612)-MAX('Activities'!K385,606))</x:f>
        <x:v>0</x:v>
      </x:c>
      <x:c r="DC385" s="23" t="n">
        <x:f>MAX(0,MIN('Activities'!L385,618)-MAX('Activities'!K385,612))</x:f>
        <x:v>0</x:v>
      </x:c>
      <x:c r="DD385" s="23" t="n">
        <x:f>MAX(0,MIN('Activities'!L385,624)-MAX('Activities'!K385,618))</x:f>
        <x:v>0</x:v>
      </x:c>
      <x:c r="DE385" s="23" t="n">
        <x:f>MAX(0,MIN('Activities'!L385,630)-MAX('Activities'!K385,624))</x:f>
        <x:v>0</x:v>
      </x:c>
      <x:c r="DF385" s="23" t="n">
        <x:f>MAX(0,MIN('Activities'!L385,636)-MAX('Activities'!K385,630))</x:f>
        <x:v>0</x:v>
      </x:c>
    </x:row>
    <x:row r="386" ht="23" customHeight="1">
      <x:c r="A386" s="6" t="str">
        <x:v>T3-L08-P</x:v>
      </x:c>
      <x:c r="B386" s="6" t="str">
        <x:v>T3</x:v>
      </x:c>
      <x:c r="C386" s="6" t="str">
        <x:v>Internal plaster</x:v>
      </x:c>
      <x:c r="D386" s="6" t="str">
        <x:v>Finishes</x:v>
      </x:c>
      <x:c r="E386" s="22" t="n">
        <x:f>MAX(0,MIN('Activities'!L386,6)-MAX('Activities'!K386,0))</x:f>
        <x:v>0</x:v>
      </x:c>
      <x:c r="F386" s="22" t="n">
        <x:f>MAX(0,MIN('Activities'!L386,12)-MAX('Activities'!K386,6))</x:f>
        <x:v>0</x:v>
      </x:c>
      <x:c r="G386" s="22" t="n">
        <x:f>MAX(0,MIN('Activities'!L386,18)-MAX('Activities'!K386,12))</x:f>
        <x:v>0</x:v>
      </x:c>
      <x:c r="H386" s="22" t="n">
        <x:f>MAX(0,MIN('Activities'!L386,24)-MAX('Activities'!K386,18))</x:f>
        <x:v>0</x:v>
      </x:c>
      <x:c r="I386" s="22" t="n">
        <x:f>MAX(0,MIN('Activities'!L386,30)-MAX('Activities'!K386,24))</x:f>
        <x:v>0</x:v>
      </x:c>
      <x:c r="J386" s="22" t="n">
        <x:f>MAX(0,MIN('Activities'!L386,36)-MAX('Activities'!K386,30))</x:f>
        <x:v>0</x:v>
      </x:c>
      <x:c r="K386" s="22" t="n">
        <x:f>MAX(0,MIN('Activities'!L386,42)-MAX('Activities'!K386,36))</x:f>
        <x:v>0</x:v>
      </x:c>
      <x:c r="L386" s="22" t="n">
        <x:f>MAX(0,MIN('Activities'!L386,48)-MAX('Activities'!K386,42))</x:f>
        <x:v>0</x:v>
      </x:c>
      <x:c r="M386" s="22" t="n">
        <x:f>MAX(0,MIN('Activities'!L386,54)-MAX('Activities'!K386,48))</x:f>
        <x:v>0</x:v>
      </x:c>
      <x:c r="N386" s="22" t="n">
        <x:f>MAX(0,MIN('Activities'!L386,60)-MAX('Activities'!K386,54))</x:f>
        <x:v>0</x:v>
      </x:c>
      <x:c r="O386" s="22" t="n">
        <x:f>MAX(0,MIN('Activities'!L386,66)-MAX('Activities'!K386,60))</x:f>
        <x:v>0</x:v>
      </x:c>
      <x:c r="P386" s="22" t="n">
        <x:f>MAX(0,MIN('Activities'!L386,72)-MAX('Activities'!K386,66))</x:f>
        <x:v>0</x:v>
      </x:c>
      <x:c r="Q386" s="22" t="n">
        <x:f>MAX(0,MIN('Activities'!L386,78)-MAX('Activities'!K386,72))</x:f>
        <x:v>0</x:v>
      </x:c>
      <x:c r="R386" s="22" t="n">
        <x:f>MAX(0,MIN('Activities'!L386,84)-MAX('Activities'!K386,78))</x:f>
        <x:v>0</x:v>
      </x:c>
      <x:c r="S386" s="22" t="n">
        <x:f>MAX(0,MIN('Activities'!L386,90)-MAX('Activities'!K386,84))</x:f>
        <x:v>0</x:v>
      </x:c>
      <x:c r="T386" s="22" t="n">
        <x:f>MAX(0,MIN('Activities'!L386,96)-MAX('Activities'!K386,90))</x:f>
        <x:v>0</x:v>
      </x:c>
      <x:c r="U386" s="22" t="n">
        <x:f>MAX(0,MIN('Activities'!L386,102)-MAX('Activities'!K386,96))</x:f>
        <x:v>0</x:v>
      </x:c>
      <x:c r="V386" s="22" t="n">
        <x:f>MAX(0,MIN('Activities'!L386,108)-MAX('Activities'!K386,102))</x:f>
        <x:v>0</x:v>
      </x:c>
      <x:c r="W386" s="22" t="n">
        <x:f>MAX(0,MIN('Activities'!L386,114)-MAX('Activities'!K386,108))</x:f>
        <x:v>0</x:v>
      </x:c>
      <x:c r="X386" s="22" t="n">
        <x:f>MAX(0,MIN('Activities'!L386,120)-MAX('Activities'!K386,114))</x:f>
        <x:v>0</x:v>
      </x:c>
      <x:c r="Y386" s="22" t="n">
        <x:f>MAX(0,MIN('Activities'!L386,126)-MAX('Activities'!K386,120))</x:f>
        <x:v>0</x:v>
      </x:c>
      <x:c r="Z386" s="22" t="n">
        <x:f>MAX(0,MIN('Activities'!L386,132)-MAX('Activities'!K386,126))</x:f>
        <x:v>0</x:v>
      </x:c>
      <x:c r="AA386" s="22" t="n">
        <x:f>MAX(0,MIN('Activities'!L386,138)-MAX('Activities'!K386,132))</x:f>
        <x:v>0</x:v>
      </x:c>
      <x:c r="AB386" s="22" t="n">
        <x:f>MAX(0,MIN('Activities'!L386,144)-MAX('Activities'!K386,138))</x:f>
        <x:v>0</x:v>
      </x:c>
      <x:c r="AC386" s="22" t="n">
        <x:f>MAX(0,MIN('Activities'!L386,150)-MAX('Activities'!K386,144))</x:f>
        <x:v>0</x:v>
      </x:c>
      <x:c r="AD386" s="22" t="n">
        <x:f>MAX(0,MIN('Activities'!L386,156)-MAX('Activities'!K386,150))</x:f>
        <x:v>0</x:v>
      </x:c>
      <x:c r="AE386" s="22" t="n">
        <x:f>MAX(0,MIN('Activities'!L386,162)-MAX('Activities'!K386,156))</x:f>
        <x:v>0</x:v>
      </x:c>
      <x:c r="AF386" s="22" t="n">
        <x:f>MAX(0,MIN('Activities'!L386,168)-MAX('Activities'!K386,162))</x:f>
        <x:v>0</x:v>
      </x:c>
      <x:c r="AG386" s="22" t="n">
        <x:f>MAX(0,MIN('Activities'!L386,174)-MAX('Activities'!K386,168))</x:f>
        <x:v>0</x:v>
      </x:c>
      <x:c r="AH386" s="22" t="n">
        <x:f>MAX(0,MIN('Activities'!L386,180)-MAX('Activities'!K386,174))</x:f>
        <x:v>0</x:v>
      </x:c>
      <x:c r="AI386" s="22" t="n">
        <x:f>MAX(0,MIN('Activities'!L386,186)-MAX('Activities'!K386,180))</x:f>
        <x:v>0</x:v>
      </x:c>
      <x:c r="AJ386" s="22" t="n">
        <x:f>MAX(0,MIN('Activities'!L386,192)-MAX('Activities'!K386,186))</x:f>
        <x:v>0</x:v>
      </x:c>
      <x:c r="AK386" s="22" t="n">
        <x:f>MAX(0,MIN('Activities'!L386,198)-MAX('Activities'!K386,192))</x:f>
        <x:v>0</x:v>
      </x:c>
      <x:c r="AL386" s="22" t="n">
        <x:f>MAX(0,MIN('Activities'!L386,204)-MAX('Activities'!K386,198))</x:f>
        <x:v>0</x:v>
      </x:c>
      <x:c r="AM386" s="22" t="n">
        <x:f>MAX(0,MIN('Activities'!L386,210)-MAX('Activities'!K386,204))</x:f>
        <x:v>0</x:v>
      </x:c>
      <x:c r="AN386" s="22" t="n">
        <x:f>MAX(0,MIN('Activities'!L386,216)-MAX('Activities'!K386,210))</x:f>
        <x:v>0</x:v>
      </x:c>
      <x:c r="AO386" s="22" t="n">
        <x:f>MAX(0,MIN('Activities'!L386,222)-MAX('Activities'!K386,216))</x:f>
        <x:v>0</x:v>
      </x:c>
      <x:c r="AP386" s="22" t="n">
        <x:f>MAX(0,MIN('Activities'!L386,228)-MAX('Activities'!K386,222))</x:f>
        <x:v>0</x:v>
      </x:c>
      <x:c r="AQ386" s="22" t="n">
        <x:f>MAX(0,MIN('Activities'!L386,234)-MAX('Activities'!K386,228))</x:f>
        <x:v>0</x:v>
      </x:c>
      <x:c r="AR386" s="22" t="n">
        <x:f>MAX(0,MIN('Activities'!L386,240)-MAX('Activities'!K386,234))</x:f>
        <x:v>0</x:v>
      </x:c>
      <x:c r="AS386" s="22" t="n">
        <x:f>MAX(0,MIN('Activities'!L386,246)-MAX('Activities'!K386,240))</x:f>
        <x:v>0</x:v>
      </x:c>
      <x:c r="AT386" s="22" t="n">
        <x:f>MAX(0,MIN('Activities'!L386,252)-MAX('Activities'!K386,246))</x:f>
        <x:v>0</x:v>
      </x:c>
      <x:c r="AU386" s="22" t="n">
        <x:f>MAX(0,MIN('Activities'!L386,258)-MAX('Activities'!K386,252))</x:f>
        <x:v>0</x:v>
      </x:c>
      <x:c r="AV386" s="22" t="n">
        <x:f>MAX(0,MIN('Activities'!L386,264)-MAX('Activities'!K386,258))</x:f>
        <x:v>0</x:v>
      </x:c>
      <x:c r="AW386" s="22" t="n">
        <x:f>MAX(0,MIN('Activities'!L386,270)-MAX('Activities'!K386,264))</x:f>
        <x:v>0</x:v>
      </x:c>
      <x:c r="AX386" s="22" t="n">
        <x:f>MAX(0,MIN('Activities'!L386,276)-MAX('Activities'!K386,270))</x:f>
        <x:v>0</x:v>
      </x:c>
      <x:c r="AY386" s="22" t="n">
        <x:f>MAX(0,MIN('Activities'!L386,282)-MAX('Activities'!K386,276))</x:f>
        <x:v>0</x:v>
      </x:c>
      <x:c r="AZ386" s="22" t="n">
        <x:f>MAX(0,MIN('Activities'!L386,288)-MAX('Activities'!K386,282))</x:f>
        <x:v>0</x:v>
      </x:c>
      <x:c r="BA386" s="22" t="n">
        <x:f>MAX(0,MIN('Activities'!L386,294)-MAX('Activities'!K386,288))</x:f>
        <x:v>0</x:v>
      </x:c>
      <x:c r="BB386" s="22" t="n">
        <x:f>MAX(0,MIN('Activities'!L386,300)-MAX('Activities'!K386,294))</x:f>
        <x:v>0</x:v>
      </x:c>
      <x:c r="BC386" s="22" t="n">
        <x:f>MAX(0,MIN('Activities'!L386,306)-MAX('Activities'!K386,300))</x:f>
        <x:v>0</x:v>
      </x:c>
      <x:c r="BD386" s="22" t="n">
        <x:f>MAX(0,MIN('Activities'!L386,312)-MAX('Activities'!K386,306))</x:f>
        <x:v>0</x:v>
      </x:c>
      <x:c r="BE386" s="22" t="n">
        <x:f>MAX(0,MIN('Activities'!L386,318)-MAX('Activities'!K386,312))</x:f>
        <x:v>0</x:v>
      </x:c>
      <x:c r="BF386" s="22" t="n">
        <x:f>MAX(0,MIN('Activities'!L386,324)-MAX('Activities'!K386,318))</x:f>
        <x:v>0</x:v>
      </x:c>
      <x:c r="BG386" s="22" t="n">
        <x:f>MAX(0,MIN('Activities'!L386,330)-MAX('Activities'!K386,324))</x:f>
        <x:v>0</x:v>
      </x:c>
      <x:c r="BH386" s="22" t="n">
        <x:f>MAX(0,MIN('Activities'!L386,336)-MAX('Activities'!K386,330))</x:f>
        <x:v>0</x:v>
      </x:c>
      <x:c r="BI386" s="22" t="n">
        <x:f>MAX(0,MIN('Activities'!L386,342)-MAX('Activities'!K386,336))</x:f>
        <x:v>0</x:v>
      </x:c>
      <x:c r="BJ386" s="22" t="n">
        <x:f>MAX(0,MIN('Activities'!L386,348)-MAX('Activities'!K386,342))</x:f>
        <x:v>0</x:v>
      </x:c>
      <x:c r="BK386" s="22" t="n">
        <x:f>MAX(0,MIN('Activities'!L386,354)-MAX('Activities'!K386,348))</x:f>
        <x:v>0</x:v>
      </x:c>
      <x:c r="BL386" s="22" t="n">
        <x:f>MAX(0,MIN('Activities'!L386,360)-MAX('Activities'!K386,354))</x:f>
        <x:v>0</x:v>
      </x:c>
      <x:c r="BM386" s="22" t="n">
        <x:f>MAX(0,MIN('Activities'!L386,366)-MAX('Activities'!K386,360))</x:f>
        <x:v>0</x:v>
      </x:c>
      <x:c r="BN386" s="22" t="n">
        <x:f>MAX(0,MIN('Activities'!L386,372)-MAX('Activities'!K386,366))</x:f>
        <x:v>0</x:v>
      </x:c>
      <x:c r="BO386" s="22" t="n">
        <x:f>MAX(0,MIN('Activities'!L386,378)-MAX('Activities'!K386,372))</x:f>
        <x:v>0</x:v>
      </x:c>
      <x:c r="BP386" s="22" t="n">
        <x:f>MAX(0,MIN('Activities'!L386,384)-MAX('Activities'!K386,378))</x:f>
        <x:v>0</x:v>
      </x:c>
      <x:c r="BQ386" s="22" t="n">
        <x:f>MAX(0,MIN('Activities'!L386,390)-MAX('Activities'!K386,384))</x:f>
        <x:v>3</x:v>
      </x:c>
      <x:c r="BR386" s="22" t="n">
        <x:f>MAX(0,MIN('Activities'!L386,396)-MAX('Activities'!K386,390))</x:f>
        <x:v>3</x:v>
      </x:c>
      <x:c r="BS386" s="22" t="n">
        <x:f>MAX(0,MIN('Activities'!L386,402)-MAX('Activities'!K386,396))</x:f>
        <x:v>0</x:v>
      </x:c>
      <x:c r="BT386" s="22" t="n">
        <x:f>MAX(0,MIN('Activities'!L386,408)-MAX('Activities'!K386,402))</x:f>
        <x:v>0</x:v>
      </x:c>
      <x:c r="BU386" s="22" t="n">
        <x:f>MAX(0,MIN('Activities'!L386,414)-MAX('Activities'!K386,408))</x:f>
        <x:v>0</x:v>
      </x:c>
      <x:c r="BV386" s="22" t="n">
        <x:f>MAX(0,MIN('Activities'!L386,420)-MAX('Activities'!K386,414))</x:f>
        <x:v>0</x:v>
      </x:c>
      <x:c r="BW386" s="22" t="n">
        <x:f>MAX(0,MIN('Activities'!L386,426)-MAX('Activities'!K386,420))</x:f>
        <x:v>0</x:v>
      </x:c>
      <x:c r="BX386" s="22" t="n">
        <x:f>MAX(0,MIN('Activities'!L386,432)-MAX('Activities'!K386,426))</x:f>
        <x:v>0</x:v>
      </x:c>
      <x:c r="BY386" s="22" t="n">
        <x:f>MAX(0,MIN('Activities'!L386,438)-MAX('Activities'!K386,432))</x:f>
        <x:v>0</x:v>
      </x:c>
      <x:c r="BZ386" s="22" t="n">
        <x:f>MAX(0,MIN('Activities'!L386,444)-MAX('Activities'!K386,438))</x:f>
        <x:v>0</x:v>
      </x:c>
      <x:c r="CA386" s="22" t="n">
        <x:f>MAX(0,MIN('Activities'!L386,450)-MAX('Activities'!K386,444))</x:f>
        <x:v>0</x:v>
      </x:c>
      <x:c r="CB386" s="22" t="n">
        <x:f>MAX(0,MIN('Activities'!L386,456)-MAX('Activities'!K386,450))</x:f>
        <x:v>0</x:v>
      </x:c>
      <x:c r="CC386" s="22" t="n">
        <x:f>MAX(0,MIN('Activities'!L386,462)-MAX('Activities'!K386,456))</x:f>
        <x:v>0</x:v>
      </x:c>
      <x:c r="CD386" s="22" t="n">
        <x:f>MAX(0,MIN('Activities'!L386,468)-MAX('Activities'!K386,462))</x:f>
        <x:v>0</x:v>
      </x:c>
      <x:c r="CE386" s="22" t="n">
        <x:f>MAX(0,MIN('Activities'!L386,474)-MAX('Activities'!K386,468))</x:f>
        <x:v>0</x:v>
      </x:c>
      <x:c r="CF386" s="22" t="n">
        <x:f>MAX(0,MIN('Activities'!L386,480)-MAX('Activities'!K386,474))</x:f>
        <x:v>0</x:v>
      </x:c>
      <x:c r="CG386" s="22" t="n">
        <x:f>MAX(0,MIN('Activities'!L386,486)-MAX('Activities'!K386,480))</x:f>
        <x:v>0</x:v>
      </x:c>
      <x:c r="CH386" s="22" t="n">
        <x:f>MAX(0,MIN('Activities'!L386,492)-MAX('Activities'!K386,486))</x:f>
        <x:v>0</x:v>
      </x:c>
      <x:c r="CI386" s="22" t="n">
        <x:f>MAX(0,MIN('Activities'!L386,498)-MAX('Activities'!K386,492))</x:f>
        <x:v>0</x:v>
      </x:c>
      <x:c r="CJ386" s="22" t="n">
        <x:f>MAX(0,MIN('Activities'!L386,504)-MAX('Activities'!K386,498))</x:f>
        <x:v>0</x:v>
      </x:c>
      <x:c r="CK386" s="22" t="n">
        <x:f>MAX(0,MIN('Activities'!L386,510)-MAX('Activities'!K386,504))</x:f>
        <x:v>0</x:v>
      </x:c>
      <x:c r="CL386" s="22" t="n">
        <x:f>MAX(0,MIN('Activities'!L386,516)-MAX('Activities'!K386,510))</x:f>
        <x:v>0</x:v>
      </x:c>
      <x:c r="CM386" s="22" t="n">
        <x:f>MAX(0,MIN('Activities'!L386,522)-MAX('Activities'!K386,516))</x:f>
        <x:v>0</x:v>
      </x:c>
      <x:c r="CN386" s="22" t="n">
        <x:f>MAX(0,MIN('Activities'!L386,528)-MAX('Activities'!K386,522))</x:f>
        <x:v>0</x:v>
      </x:c>
      <x:c r="CO386" s="22" t="n">
        <x:f>MAX(0,MIN('Activities'!L386,534)-MAX('Activities'!K386,528))</x:f>
        <x:v>0</x:v>
      </x:c>
      <x:c r="CP386" s="22" t="n">
        <x:f>MAX(0,MIN('Activities'!L386,540)-MAX('Activities'!K386,534))</x:f>
        <x:v>0</x:v>
      </x:c>
      <x:c r="CQ386" s="22" t="n">
        <x:f>MAX(0,MIN('Activities'!L386,546)-MAX('Activities'!K386,540))</x:f>
        <x:v>0</x:v>
      </x:c>
      <x:c r="CR386" s="22" t="n">
        <x:f>MAX(0,MIN('Activities'!L386,552)-MAX('Activities'!K386,546))</x:f>
        <x:v>0</x:v>
      </x:c>
      <x:c r="CS386" s="22" t="n">
        <x:f>MAX(0,MIN('Activities'!L386,558)-MAX('Activities'!K386,552))</x:f>
        <x:v>0</x:v>
      </x:c>
      <x:c r="CT386" s="22" t="n">
        <x:f>MAX(0,MIN('Activities'!L386,564)-MAX('Activities'!K386,558))</x:f>
        <x:v>0</x:v>
      </x:c>
      <x:c r="CU386" s="22" t="n">
        <x:f>MAX(0,MIN('Activities'!L386,570)-MAX('Activities'!K386,564))</x:f>
        <x:v>0</x:v>
      </x:c>
      <x:c r="CV386" s="22" t="n">
        <x:f>MAX(0,MIN('Activities'!L386,576)-MAX('Activities'!K386,570))</x:f>
        <x:v>0</x:v>
      </x:c>
      <x:c r="CW386" s="22" t="n">
        <x:f>MAX(0,MIN('Activities'!L386,582)-MAX('Activities'!K386,576))</x:f>
        <x:v>0</x:v>
      </x:c>
      <x:c r="CX386" s="22" t="n">
        <x:f>MAX(0,MIN('Activities'!L386,588)-MAX('Activities'!K386,582))</x:f>
        <x:v>0</x:v>
      </x:c>
      <x:c r="CY386" s="22" t="n">
        <x:f>MAX(0,MIN('Activities'!L386,594)-MAX('Activities'!K386,588))</x:f>
        <x:v>0</x:v>
      </x:c>
      <x:c r="CZ386" s="22" t="n">
        <x:f>MAX(0,MIN('Activities'!L386,600)-MAX('Activities'!K386,594))</x:f>
        <x:v>0</x:v>
      </x:c>
      <x:c r="DA386" s="22" t="n">
        <x:f>MAX(0,MIN('Activities'!L386,606)-MAX('Activities'!K386,600))</x:f>
        <x:v>0</x:v>
      </x:c>
      <x:c r="DB386" s="22" t="n">
        <x:f>MAX(0,MIN('Activities'!L386,612)-MAX('Activities'!K386,606))</x:f>
        <x:v>0</x:v>
      </x:c>
      <x:c r="DC386" s="22" t="n">
        <x:f>MAX(0,MIN('Activities'!L386,618)-MAX('Activities'!K386,612))</x:f>
        <x:v>0</x:v>
      </x:c>
      <x:c r="DD386" s="22" t="n">
        <x:f>MAX(0,MIN('Activities'!L386,624)-MAX('Activities'!K386,618))</x:f>
        <x:v>0</x:v>
      </x:c>
      <x:c r="DE386" s="22" t="n">
        <x:f>MAX(0,MIN('Activities'!L386,630)-MAX('Activities'!K386,624))</x:f>
        <x:v>0</x:v>
      </x:c>
      <x:c r="DF386" s="22" t="n">
        <x:f>MAX(0,MIN('Activities'!L386,636)-MAX('Activities'!K386,630))</x:f>
        <x:v>0</x:v>
      </x:c>
    </x:row>
    <x:row r="387" ht="23" customHeight="1">
      <x:c r="A387" s="1" t="str">
        <x:v>T3-L08-S</x:v>
      </x:c>
      <x:c r="B387" s="1" t="str">
        <x:v>T3</x:v>
      </x:c>
      <x:c r="C387" s="1" t="str">
        <x:v>Screed and substrate preparation</x:v>
      </x:c>
      <x:c r="D387" s="1" t="str">
        <x:v>Finishes</x:v>
      </x:c>
      <x:c r="E387" s="23" t="n">
        <x:f>MAX(0,MIN('Activities'!L387,6)-MAX('Activities'!K387,0))</x:f>
        <x:v>0</x:v>
      </x:c>
      <x:c r="F387" s="23" t="n">
        <x:f>MAX(0,MIN('Activities'!L387,12)-MAX('Activities'!K387,6))</x:f>
        <x:v>0</x:v>
      </x:c>
      <x:c r="G387" s="23" t="n">
        <x:f>MAX(0,MIN('Activities'!L387,18)-MAX('Activities'!K387,12))</x:f>
        <x:v>0</x:v>
      </x:c>
      <x:c r="H387" s="23" t="n">
        <x:f>MAX(0,MIN('Activities'!L387,24)-MAX('Activities'!K387,18))</x:f>
        <x:v>0</x:v>
      </x:c>
      <x:c r="I387" s="23" t="n">
        <x:f>MAX(0,MIN('Activities'!L387,30)-MAX('Activities'!K387,24))</x:f>
        <x:v>0</x:v>
      </x:c>
      <x:c r="J387" s="23" t="n">
        <x:f>MAX(0,MIN('Activities'!L387,36)-MAX('Activities'!K387,30))</x:f>
        <x:v>0</x:v>
      </x:c>
      <x:c r="K387" s="23" t="n">
        <x:f>MAX(0,MIN('Activities'!L387,42)-MAX('Activities'!K387,36))</x:f>
        <x:v>0</x:v>
      </x:c>
      <x:c r="L387" s="23" t="n">
        <x:f>MAX(0,MIN('Activities'!L387,48)-MAX('Activities'!K387,42))</x:f>
        <x:v>0</x:v>
      </x:c>
      <x:c r="M387" s="23" t="n">
        <x:f>MAX(0,MIN('Activities'!L387,54)-MAX('Activities'!K387,48))</x:f>
        <x:v>0</x:v>
      </x:c>
      <x:c r="N387" s="23" t="n">
        <x:f>MAX(0,MIN('Activities'!L387,60)-MAX('Activities'!K387,54))</x:f>
        <x:v>0</x:v>
      </x:c>
      <x:c r="O387" s="23" t="n">
        <x:f>MAX(0,MIN('Activities'!L387,66)-MAX('Activities'!K387,60))</x:f>
        <x:v>0</x:v>
      </x:c>
      <x:c r="P387" s="23" t="n">
        <x:f>MAX(0,MIN('Activities'!L387,72)-MAX('Activities'!K387,66))</x:f>
        <x:v>0</x:v>
      </x:c>
      <x:c r="Q387" s="23" t="n">
        <x:f>MAX(0,MIN('Activities'!L387,78)-MAX('Activities'!K387,72))</x:f>
        <x:v>0</x:v>
      </x:c>
      <x:c r="R387" s="23" t="n">
        <x:f>MAX(0,MIN('Activities'!L387,84)-MAX('Activities'!K387,78))</x:f>
        <x:v>0</x:v>
      </x:c>
      <x:c r="S387" s="23" t="n">
        <x:f>MAX(0,MIN('Activities'!L387,90)-MAX('Activities'!K387,84))</x:f>
        <x:v>0</x:v>
      </x:c>
      <x:c r="T387" s="23" t="n">
        <x:f>MAX(0,MIN('Activities'!L387,96)-MAX('Activities'!K387,90))</x:f>
        <x:v>0</x:v>
      </x:c>
      <x:c r="U387" s="23" t="n">
        <x:f>MAX(0,MIN('Activities'!L387,102)-MAX('Activities'!K387,96))</x:f>
        <x:v>0</x:v>
      </x:c>
      <x:c r="V387" s="23" t="n">
        <x:f>MAX(0,MIN('Activities'!L387,108)-MAX('Activities'!K387,102))</x:f>
        <x:v>0</x:v>
      </x:c>
      <x:c r="W387" s="23" t="n">
        <x:f>MAX(0,MIN('Activities'!L387,114)-MAX('Activities'!K387,108))</x:f>
        <x:v>0</x:v>
      </x:c>
      <x:c r="X387" s="23" t="n">
        <x:f>MAX(0,MIN('Activities'!L387,120)-MAX('Activities'!K387,114))</x:f>
        <x:v>0</x:v>
      </x:c>
      <x:c r="Y387" s="23" t="n">
        <x:f>MAX(0,MIN('Activities'!L387,126)-MAX('Activities'!K387,120))</x:f>
        <x:v>0</x:v>
      </x:c>
      <x:c r="Z387" s="23" t="n">
        <x:f>MAX(0,MIN('Activities'!L387,132)-MAX('Activities'!K387,126))</x:f>
        <x:v>0</x:v>
      </x:c>
      <x:c r="AA387" s="23" t="n">
        <x:f>MAX(0,MIN('Activities'!L387,138)-MAX('Activities'!K387,132))</x:f>
        <x:v>0</x:v>
      </x:c>
      <x:c r="AB387" s="23" t="n">
        <x:f>MAX(0,MIN('Activities'!L387,144)-MAX('Activities'!K387,138))</x:f>
        <x:v>0</x:v>
      </x:c>
      <x:c r="AC387" s="23" t="n">
        <x:f>MAX(0,MIN('Activities'!L387,150)-MAX('Activities'!K387,144))</x:f>
        <x:v>0</x:v>
      </x:c>
      <x:c r="AD387" s="23" t="n">
        <x:f>MAX(0,MIN('Activities'!L387,156)-MAX('Activities'!K387,150))</x:f>
        <x:v>0</x:v>
      </x:c>
      <x:c r="AE387" s="23" t="n">
        <x:f>MAX(0,MIN('Activities'!L387,162)-MAX('Activities'!K387,156))</x:f>
        <x:v>0</x:v>
      </x:c>
      <x:c r="AF387" s="23" t="n">
        <x:f>MAX(0,MIN('Activities'!L387,168)-MAX('Activities'!K387,162))</x:f>
        <x:v>0</x:v>
      </x:c>
      <x:c r="AG387" s="23" t="n">
        <x:f>MAX(0,MIN('Activities'!L387,174)-MAX('Activities'!K387,168))</x:f>
        <x:v>0</x:v>
      </x:c>
      <x:c r="AH387" s="23" t="n">
        <x:f>MAX(0,MIN('Activities'!L387,180)-MAX('Activities'!K387,174))</x:f>
        <x:v>0</x:v>
      </x:c>
      <x:c r="AI387" s="23" t="n">
        <x:f>MAX(0,MIN('Activities'!L387,186)-MAX('Activities'!K387,180))</x:f>
        <x:v>0</x:v>
      </x:c>
      <x:c r="AJ387" s="23" t="n">
        <x:f>MAX(0,MIN('Activities'!L387,192)-MAX('Activities'!K387,186))</x:f>
        <x:v>0</x:v>
      </x:c>
      <x:c r="AK387" s="23" t="n">
        <x:f>MAX(0,MIN('Activities'!L387,198)-MAX('Activities'!K387,192))</x:f>
        <x:v>0</x:v>
      </x:c>
      <x:c r="AL387" s="23" t="n">
        <x:f>MAX(0,MIN('Activities'!L387,204)-MAX('Activities'!K387,198))</x:f>
        <x:v>0</x:v>
      </x:c>
      <x:c r="AM387" s="23" t="n">
        <x:f>MAX(0,MIN('Activities'!L387,210)-MAX('Activities'!K387,204))</x:f>
        <x:v>0</x:v>
      </x:c>
      <x:c r="AN387" s="23" t="n">
        <x:f>MAX(0,MIN('Activities'!L387,216)-MAX('Activities'!K387,210))</x:f>
        <x:v>0</x:v>
      </x:c>
      <x:c r="AO387" s="23" t="n">
        <x:f>MAX(0,MIN('Activities'!L387,222)-MAX('Activities'!K387,216))</x:f>
        <x:v>0</x:v>
      </x:c>
      <x:c r="AP387" s="23" t="n">
        <x:f>MAX(0,MIN('Activities'!L387,228)-MAX('Activities'!K387,222))</x:f>
        <x:v>0</x:v>
      </x:c>
      <x:c r="AQ387" s="23" t="n">
        <x:f>MAX(0,MIN('Activities'!L387,234)-MAX('Activities'!K387,228))</x:f>
        <x:v>0</x:v>
      </x:c>
      <x:c r="AR387" s="23" t="n">
        <x:f>MAX(0,MIN('Activities'!L387,240)-MAX('Activities'!K387,234))</x:f>
        <x:v>0</x:v>
      </x:c>
      <x:c r="AS387" s="23" t="n">
        <x:f>MAX(0,MIN('Activities'!L387,246)-MAX('Activities'!K387,240))</x:f>
        <x:v>0</x:v>
      </x:c>
      <x:c r="AT387" s="23" t="n">
        <x:f>MAX(0,MIN('Activities'!L387,252)-MAX('Activities'!K387,246))</x:f>
        <x:v>0</x:v>
      </x:c>
      <x:c r="AU387" s="23" t="n">
        <x:f>MAX(0,MIN('Activities'!L387,258)-MAX('Activities'!K387,252))</x:f>
        <x:v>0</x:v>
      </x:c>
      <x:c r="AV387" s="23" t="n">
        <x:f>MAX(0,MIN('Activities'!L387,264)-MAX('Activities'!K387,258))</x:f>
        <x:v>0</x:v>
      </x:c>
      <x:c r="AW387" s="23" t="n">
        <x:f>MAX(0,MIN('Activities'!L387,270)-MAX('Activities'!K387,264))</x:f>
        <x:v>0</x:v>
      </x:c>
      <x:c r="AX387" s="23" t="n">
        <x:f>MAX(0,MIN('Activities'!L387,276)-MAX('Activities'!K387,270))</x:f>
        <x:v>0</x:v>
      </x:c>
      <x:c r="AY387" s="23" t="n">
        <x:f>MAX(0,MIN('Activities'!L387,282)-MAX('Activities'!K387,276))</x:f>
        <x:v>0</x:v>
      </x:c>
      <x:c r="AZ387" s="23" t="n">
        <x:f>MAX(0,MIN('Activities'!L387,288)-MAX('Activities'!K387,282))</x:f>
        <x:v>0</x:v>
      </x:c>
      <x:c r="BA387" s="23" t="n">
        <x:f>MAX(0,MIN('Activities'!L387,294)-MAX('Activities'!K387,288))</x:f>
        <x:v>0</x:v>
      </x:c>
      <x:c r="BB387" s="23" t="n">
        <x:f>MAX(0,MIN('Activities'!L387,300)-MAX('Activities'!K387,294))</x:f>
        <x:v>0</x:v>
      </x:c>
      <x:c r="BC387" s="23" t="n">
        <x:f>MAX(0,MIN('Activities'!L387,306)-MAX('Activities'!K387,300))</x:f>
        <x:v>0</x:v>
      </x:c>
      <x:c r="BD387" s="23" t="n">
        <x:f>MAX(0,MIN('Activities'!L387,312)-MAX('Activities'!K387,306))</x:f>
        <x:v>0</x:v>
      </x:c>
      <x:c r="BE387" s="23" t="n">
        <x:f>MAX(0,MIN('Activities'!L387,318)-MAX('Activities'!K387,312))</x:f>
        <x:v>0</x:v>
      </x:c>
      <x:c r="BF387" s="23" t="n">
        <x:f>MAX(0,MIN('Activities'!L387,324)-MAX('Activities'!K387,318))</x:f>
        <x:v>0</x:v>
      </x:c>
      <x:c r="BG387" s="23" t="n">
        <x:f>MAX(0,MIN('Activities'!L387,330)-MAX('Activities'!K387,324))</x:f>
        <x:v>0</x:v>
      </x:c>
      <x:c r="BH387" s="23" t="n">
        <x:f>MAX(0,MIN('Activities'!L387,336)-MAX('Activities'!K387,330))</x:f>
        <x:v>0</x:v>
      </x:c>
      <x:c r="BI387" s="23" t="n">
        <x:f>MAX(0,MIN('Activities'!L387,342)-MAX('Activities'!K387,336))</x:f>
        <x:v>0</x:v>
      </x:c>
      <x:c r="BJ387" s="23" t="n">
        <x:f>MAX(0,MIN('Activities'!L387,348)-MAX('Activities'!K387,342))</x:f>
        <x:v>0</x:v>
      </x:c>
      <x:c r="BK387" s="23" t="n">
        <x:f>MAX(0,MIN('Activities'!L387,354)-MAX('Activities'!K387,348))</x:f>
        <x:v>0</x:v>
      </x:c>
      <x:c r="BL387" s="23" t="n">
        <x:f>MAX(0,MIN('Activities'!L387,360)-MAX('Activities'!K387,354))</x:f>
        <x:v>0</x:v>
      </x:c>
      <x:c r="BM387" s="23" t="n">
        <x:f>MAX(0,MIN('Activities'!L387,366)-MAX('Activities'!K387,360))</x:f>
        <x:v>0</x:v>
      </x:c>
      <x:c r="BN387" s="23" t="n">
        <x:f>MAX(0,MIN('Activities'!L387,372)-MAX('Activities'!K387,366))</x:f>
        <x:v>0</x:v>
      </x:c>
      <x:c r="BO387" s="23" t="n">
        <x:f>MAX(0,MIN('Activities'!L387,378)-MAX('Activities'!K387,372))</x:f>
        <x:v>0</x:v>
      </x:c>
      <x:c r="BP387" s="23" t="n">
        <x:f>MAX(0,MIN('Activities'!L387,384)-MAX('Activities'!K387,378))</x:f>
        <x:v>0</x:v>
      </x:c>
      <x:c r="BQ387" s="23" t="n">
        <x:f>MAX(0,MIN('Activities'!L387,390)-MAX('Activities'!K387,384))</x:f>
        <x:v>0</x:v>
      </x:c>
      <x:c r="BR387" s="23" t="n">
        <x:f>MAX(0,MIN('Activities'!L387,396)-MAX('Activities'!K387,390))</x:f>
        <x:v>1</x:v>
      </x:c>
      <x:c r="BS387" s="23" t="n">
        <x:f>MAX(0,MIN('Activities'!L387,402)-MAX('Activities'!K387,396))</x:f>
        <x:v>2</x:v>
      </x:c>
      <x:c r="BT387" s="23" t="n">
        <x:f>MAX(0,MIN('Activities'!L387,408)-MAX('Activities'!K387,402))</x:f>
        <x:v>0</x:v>
      </x:c>
      <x:c r="BU387" s="23" t="n">
        <x:f>MAX(0,MIN('Activities'!L387,414)-MAX('Activities'!K387,408))</x:f>
        <x:v>0</x:v>
      </x:c>
      <x:c r="BV387" s="23" t="n">
        <x:f>MAX(0,MIN('Activities'!L387,420)-MAX('Activities'!K387,414))</x:f>
        <x:v>0</x:v>
      </x:c>
      <x:c r="BW387" s="23" t="n">
        <x:f>MAX(0,MIN('Activities'!L387,426)-MAX('Activities'!K387,420))</x:f>
        <x:v>0</x:v>
      </x:c>
      <x:c r="BX387" s="23" t="n">
        <x:f>MAX(0,MIN('Activities'!L387,432)-MAX('Activities'!K387,426))</x:f>
        <x:v>0</x:v>
      </x:c>
      <x:c r="BY387" s="23" t="n">
        <x:f>MAX(0,MIN('Activities'!L387,438)-MAX('Activities'!K387,432))</x:f>
        <x:v>0</x:v>
      </x:c>
      <x:c r="BZ387" s="23" t="n">
        <x:f>MAX(0,MIN('Activities'!L387,444)-MAX('Activities'!K387,438))</x:f>
        <x:v>0</x:v>
      </x:c>
      <x:c r="CA387" s="23" t="n">
        <x:f>MAX(0,MIN('Activities'!L387,450)-MAX('Activities'!K387,444))</x:f>
        <x:v>0</x:v>
      </x:c>
      <x:c r="CB387" s="23" t="n">
        <x:f>MAX(0,MIN('Activities'!L387,456)-MAX('Activities'!K387,450))</x:f>
        <x:v>0</x:v>
      </x:c>
      <x:c r="CC387" s="23" t="n">
        <x:f>MAX(0,MIN('Activities'!L387,462)-MAX('Activities'!K387,456))</x:f>
        <x:v>0</x:v>
      </x:c>
      <x:c r="CD387" s="23" t="n">
        <x:f>MAX(0,MIN('Activities'!L387,468)-MAX('Activities'!K387,462))</x:f>
        <x:v>0</x:v>
      </x:c>
      <x:c r="CE387" s="23" t="n">
        <x:f>MAX(0,MIN('Activities'!L387,474)-MAX('Activities'!K387,468))</x:f>
        <x:v>0</x:v>
      </x:c>
      <x:c r="CF387" s="23" t="n">
        <x:f>MAX(0,MIN('Activities'!L387,480)-MAX('Activities'!K387,474))</x:f>
        <x:v>0</x:v>
      </x:c>
      <x:c r="CG387" s="23" t="n">
        <x:f>MAX(0,MIN('Activities'!L387,486)-MAX('Activities'!K387,480))</x:f>
        <x:v>0</x:v>
      </x:c>
      <x:c r="CH387" s="23" t="n">
        <x:f>MAX(0,MIN('Activities'!L387,492)-MAX('Activities'!K387,486))</x:f>
        <x:v>0</x:v>
      </x:c>
      <x:c r="CI387" s="23" t="n">
        <x:f>MAX(0,MIN('Activities'!L387,498)-MAX('Activities'!K387,492))</x:f>
        <x:v>0</x:v>
      </x:c>
      <x:c r="CJ387" s="23" t="n">
        <x:f>MAX(0,MIN('Activities'!L387,504)-MAX('Activities'!K387,498))</x:f>
        <x:v>0</x:v>
      </x:c>
      <x:c r="CK387" s="23" t="n">
        <x:f>MAX(0,MIN('Activities'!L387,510)-MAX('Activities'!K387,504))</x:f>
        <x:v>0</x:v>
      </x:c>
      <x:c r="CL387" s="23" t="n">
        <x:f>MAX(0,MIN('Activities'!L387,516)-MAX('Activities'!K387,510))</x:f>
        <x:v>0</x:v>
      </x:c>
      <x:c r="CM387" s="23" t="n">
        <x:f>MAX(0,MIN('Activities'!L387,522)-MAX('Activities'!K387,516))</x:f>
        <x:v>0</x:v>
      </x:c>
      <x:c r="CN387" s="23" t="n">
        <x:f>MAX(0,MIN('Activities'!L387,528)-MAX('Activities'!K387,522))</x:f>
        <x:v>0</x:v>
      </x:c>
      <x:c r="CO387" s="23" t="n">
        <x:f>MAX(0,MIN('Activities'!L387,534)-MAX('Activities'!K387,528))</x:f>
        <x:v>0</x:v>
      </x:c>
      <x:c r="CP387" s="23" t="n">
        <x:f>MAX(0,MIN('Activities'!L387,540)-MAX('Activities'!K387,534))</x:f>
        <x:v>0</x:v>
      </x:c>
      <x:c r="CQ387" s="23" t="n">
        <x:f>MAX(0,MIN('Activities'!L387,546)-MAX('Activities'!K387,540))</x:f>
        <x:v>0</x:v>
      </x:c>
      <x:c r="CR387" s="23" t="n">
        <x:f>MAX(0,MIN('Activities'!L387,552)-MAX('Activities'!K387,546))</x:f>
        <x:v>0</x:v>
      </x:c>
      <x:c r="CS387" s="23" t="n">
        <x:f>MAX(0,MIN('Activities'!L387,558)-MAX('Activities'!K387,552))</x:f>
        <x:v>0</x:v>
      </x:c>
      <x:c r="CT387" s="23" t="n">
        <x:f>MAX(0,MIN('Activities'!L387,564)-MAX('Activities'!K387,558))</x:f>
        <x:v>0</x:v>
      </x:c>
      <x:c r="CU387" s="23" t="n">
        <x:f>MAX(0,MIN('Activities'!L387,570)-MAX('Activities'!K387,564))</x:f>
        <x:v>0</x:v>
      </x:c>
      <x:c r="CV387" s="23" t="n">
        <x:f>MAX(0,MIN('Activities'!L387,576)-MAX('Activities'!K387,570))</x:f>
        <x:v>0</x:v>
      </x:c>
      <x:c r="CW387" s="23" t="n">
        <x:f>MAX(0,MIN('Activities'!L387,582)-MAX('Activities'!K387,576))</x:f>
        <x:v>0</x:v>
      </x:c>
      <x:c r="CX387" s="23" t="n">
        <x:f>MAX(0,MIN('Activities'!L387,588)-MAX('Activities'!K387,582))</x:f>
        <x:v>0</x:v>
      </x:c>
      <x:c r="CY387" s="23" t="n">
        <x:f>MAX(0,MIN('Activities'!L387,594)-MAX('Activities'!K387,588))</x:f>
        <x:v>0</x:v>
      </x:c>
      <x:c r="CZ387" s="23" t="n">
        <x:f>MAX(0,MIN('Activities'!L387,600)-MAX('Activities'!K387,594))</x:f>
        <x:v>0</x:v>
      </x:c>
      <x:c r="DA387" s="23" t="n">
        <x:f>MAX(0,MIN('Activities'!L387,606)-MAX('Activities'!K387,600))</x:f>
        <x:v>0</x:v>
      </x:c>
      <x:c r="DB387" s="23" t="n">
        <x:f>MAX(0,MIN('Activities'!L387,612)-MAX('Activities'!K387,606))</x:f>
        <x:v>0</x:v>
      </x:c>
      <x:c r="DC387" s="23" t="n">
        <x:f>MAX(0,MIN('Activities'!L387,618)-MAX('Activities'!K387,612))</x:f>
        <x:v>0</x:v>
      </x:c>
      <x:c r="DD387" s="23" t="n">
        <x:f>MAX(0,MIN('Activities'!L387,624)-MAX('Activities'!K387,618))</x:f>
        <x:v>0</x:v>
      </x:c>
      <x:c r="DE387" s="23" t="n">
        <x:f>MAX(0,MIN('Activities'!L387,630)-MAX('Activities'!K387,624))</x:f>
        <x:v>0</x:v>
      </x:c>
      <x:c r="DF387" s="23" t="n">
        <x:f>MAX(0,MIN('Activities'!L387,636)-MAX('Activities'!K387,630))</x:f>
        <x:v>0</x:v>
      </x:c>
    </x:row>
    <x:row r="388" ht="23" customHeight="1">
      <x:c r="A388" s="6" t="str">
        <x:v>T3-L08-T</x:v>
      </x:c>
      <x:c r="B388" s="6" t="str">
        <x:v>T3</x:v>
      </x:c>
      <x:c r="C388" s="6" t="str">
        <x:v>Floor finishes and skirtings</x:v>
      </x:c>
      <x:c r="D388" s="6" t="str">
        <x:v>Finishes</x:v>
      </x:c>
      <x:c r="E388" s="22" t="n">
        <x:f>MAX(0,MIN('Activities'!L388,6)-MAX('Activities'!K388,0))</x:f>
        <x:v>0</x:v>
      </x:c>
      <x:c r="F388" s="22" t="n">
        <x:f>MAX(0,MIN('Activities'!L388,12)-MAX('Activities'!K388,6))</x:f>
        <x:v>0</x:v>
      </x:c>
      <x:c r="G388" s="22" t="n">
        <x:f>MAX(0,MIN('Activities'!L388,18)-MAX('Activities'!K388,12))</x:f>
        <x:v>0</x:v>
      </x:c>
      <x:c r="H388" s="22" t="n">
        <x:f>MAX(0,MIN('Activities'!L388,24)-MAX('Activities'!K388,18))</x:f>
        <x:v>0</x:v>
      </x:c>
      <x:c r="I388" s="22" t="n">
        <x:f>MAX(0,MIN('Activities'!L388,30)-MAX('Activities'!K388,24))</x:f>
        <x:v>0</x:v>
      </x:c>
      <x:c r="J388" s="22" t="n">
        <x:f>MAX(0,MIN('Activities'!L388,36)-MAX('Activities'!K388,30))</x:f>
        <x:v>0</x:v>
      </x:c>
      <x:c r="K388" s="22" t="n">
        <x:f>MAX(0,MIN('Activities'!L388,42)-MAX('Activities'!K388,36))</x:f>
        <x:v>0</x:v>
      </x:c>
      <x:c r="L388" s="22" t="n">
        <x:f>MAX(0,MIN('Activities'!L388,48)-MAX('Activities'!K388,42))</x:f>
        <x:v>0</x:v>
      </x:c>
      <x:c r="M388" s="22" t="n">
        <x:f>MAX(0,MIN('Activities'!L388,54)-MAX('Activities'!K388,48))</x:f>
        <x:v>0</x:v>
      </x:c>
      <x:c r="N388" s="22" t="n">
        <x:f>MAX(0,MIN('Activities'!L388,60)-MAX('Activities'!K388,54))</x:f>
        <x:v>0</x:v>
      </x:c>
      <x:c r="O388" s="22" t="n">
        <x:f>MAX(0,MIN('Activities'!L388,66)-MAX('Activities'!K388,60))</x:f>
        <x:v>0</x:v>
      </x:c>
      <x:c r="P388" s="22" t="n">
        <x:f>MAX(0,MIN('Activities'!L388,72)-MAX('Activities'!K388,66))</x:f>
        <x:v>0</x:v>
      </x:c>
      <x:c r="Q388" s="22" t="n">
        <x:f>MAX(0,MIN('Activities'!L388,78)-MAX('Activities'!K388,72))</x:f>
        <x:v>0</x:v>
      </x:c>
      <x:c r="R388" s="22" t="n">
        <x:f>MAX(0,MIN('Activities'!L388,84)-MAX('Activities'!K388,78))</x:f>
        <x:v>0</x:v>
      </x:c>
      <x:c r="S388" s="22" t="n">
        <x:f>MAX(0,MIN('Activities'!L388,90)-MAX('Activities'!K388,84))</x:f>
        <x:v>0</x:v>
      </x:c>
      <x:c r="T388" s="22" t="n">
        <x:f>MAX(0,MIN('Activities'!L388,96)-MAX('Activities'!K388,90))</x:f>
        <x:v>0</x:v>
      </x:c>
      <x:c r="U388" s="22" t="n">
        <x:f>MAX(0,MIN('Activities'!L388,102)-MAX('Activities'!K388,96))</x:f>
        <x:v>0</x:v>
      </x:c>
      <x:c r="V388" s="22" t="n">
        <x:f>MAX(0,MIN('Activities'!L388,108)-MAX('Activities'!K388,102))</x:f>
        <x:v>0</x:v>
      </x:c>
      <x:c r="W388" s="22" t="n">
        <x:f>MAX(0,MIN('Activities'!L388,114)-MAX('Activities'!K388,108))</x:f>
        <x:v>0</x:v>
      </x:c>
      <x:c r="X388" s="22" t="n">
        <x:f>MAX(0,MIN('Activities'!L388,120)-MAX('Activities'!K388,114))</x:f>
        <x:v>0</x:v>
      </x:c>
      <x:c r="Y388" s="22" t="n">
        <x:f>MAX(0,MIN('Activities'!L388,126)-MAX('Activities'!K388,120))</x:f>
        <x:v>0</x:v>
      </x:c>
      <x:c r="Z388" s="22" t="n">
        <x:f>MAX(0,MIN('Activities'!L388,132)-MAX('Activities'!K388,126))</x:f>
        <x:v>0</x:v>
      </x:c>
      <x:c r="AA388" s="22" t="n">
        <x:f>MAX(0,MIN('Activities'!L388,138)-MAX('Activities'!K388,132))</x:f>
        <x:v>0</x:v>
      </x:c>
      <x:c r="AB388" s="22" t="n">
        <x:f>MAX(0,MIN('Activities'!L388,144)-MAX('Activities'!K388,138))</x:f>
        <x:v>0</x:v>
      </x:c>
      <x:c r="AC388" s="22" t="n">
        <x:f>MAX(0,MIN('Activities'!L388,150)-MAX('Activities'!K388,144))</x:f>
        <x:v>0</x:v>
      </x:c>
      <x:c r="AD388" s="22" t="n">
        <x:f>MAX(0,MIN('Activities'!L388,156)-MAX('Activities'!K388,150))</x:f>
        <x:v>0</x:v>
      </x:c>
      <x:c r="AE388" s="22" t="n">
        <x:f>MAX(0,MIN('Activities'!L388,162)-MAX('Activities'!K388,156))</x:f>
        <x:v>0</x:v>
      </x:c>
      <x:c r="AF388" s="22" t="n">
        <x:f>MAX(0,MIN('Activities'!L388,168)-MAX('Activities'!K388,162))</x:f>
        <x:v>0</x:v>
      </x:c>
      <x:c r="AG388" s="22" t="n">
        <x:f>MAX(0,MIN('Activities'!L388,174)-MAX('Activities'!K388,168))</x:f>
        <x:v>0</x:v>
      </x:c>
      <x:c r="AH388" s="22" t="n">
        <x:f>MAX(0,MIN('Activities'!L388,180)-MAX('Activities'!K388,174))</x:f>
        <x:v>0</x:v>
      </x:c>
      <x:c r="AI388" s="22" t="n">
        <x:f>MAX(0,MIN('Activities'!L388,186)-MAX('Activities'!K388,180))</x:f>
        <x:v>0</x:v>
      </x:c>
      <x:c r="AJ388" s="22" t="n">
        <x:f>MAX(0,MIN('Activities'!L388,192)-MAX('Activities'!K388,186))</x:f>
        <x:v>0</x:v>
      </x:c>
      <x:c r="AK388" s="22" t="n">
        <x:f>MAX(0,MIN('Activities'!L388,198)-MAX('Activities'!K388,192))</x:f>
        <x:v>0</x:v>
      </x:c>
      <x:c r="AL388" s="22" t="n">
        <x:f>MAX(0,MIN('Activities'!L388,204)-MAX('Activities'!K388,198))</x:f>
        <x:v>0</x:v>
      </x:c>
      <x:c r="AM388" s="22" t="n">
        <x:f>MAX(0,MIN('Activities'!L388,210)-MAX('Activities'!K388,204))</x:f>
        <x:v>0</x:v>
      </x:c>
      <x:c r="AN388" s="22" t="n">
        <x:f>MAX(0,MIN('Activities'!L388,216)-MAX('Activities'!K388,210))</x:f>
        <x:v>0</x:v>
      </x:c>
      <x:c r="AO388" s="22" t="n">
        <x:f>MAX(0,MIN('Activities'!L388,222)-MAX('Activities'!K388,216))</x:f>
        <x:v>0</x:v>
      </x:c>
      <x:c r="AP388" s="22" t="n">
        <x:f>MAX(0,MIN('Activities'!L388,228)-MAX('Activities'!K388,222))</x:f>
        <x:v>0</x:v>
      </x:c>
      <x:c r="AQ388" s="22" t="n">
        <x:f>MAX(0,MIN('Activities'!L388,234)-MAX('Activities'!K388,228))</x:f>
        <x:v>0</x:v>
      </x:c>
      <x:c r="AR388" s="22" t="n">
        <x:f>MAX(0,MIN('Activities'!L388,240)-MAX('Activities'!K388,234))</x:f>
        <x:v>0</x:v>
      </x:c>
      <x:c r="AS388" s="22" t="n">
        <x:f>MAX(0,MIN('Activities'!L388,246)-MAX('Activities'!K388,240))</x:f>
        <x:v>0</x:v>
      </x:c>
      <x:c r="AT388" s="22" t="n">
        <x:f>MAX(0,MIN('Activities'!L388,252)-MAX('Activities'!K388,246))</x:f>
        <x:v>0</x:v>
      </x:c>
      <x:c r="AU388" s="22" t="n">
        <x:f>MAX(0,MIN('Activities'!L388,258)-MAX('Activities'!K388,252))</x:f>
        <x:v>0</x:v>
      </x:c>
      <x:c r="AV388" s="22" t="n">
        <x:f>MAX(0,MIN('Activities'!L388,264)-MAX('Activities'!K388,258))</x:f>
        <x:v>0</x:v>
      </x:c>
      <x:c r="AW388" s="22" t="n">
        <x:f>MAX(0,MIN('Activities'!L388,270)-MAX('Activities'!K388,264))</x:f>
        <x:v>0</x:v>
      </x:c>
      <x:c r="AX388" s="22" t="n">
        <x:f>MAX(0,MIN('Activities'!L388,276)-MAX('Activities'!K388,270))</x:f>
        <x:v>0</x:v>
      </x:c>
      <x:c r="AY388" s="22" t="n">
        <x:f>MAX(0,MIN('Activities'!L388,282)-MAX('Activities'!K388,276))</x:f>
        <x:v>0</x:v>
      </x:c>
      <x:c r="AZ388" s="22" t="n">
        <x:f>MAX(0,MIN('Activities'!L388,288)-MAX('Activities'!K388,282))</x:f>
        <x:v>0</x:v>
      </x:c>
      <x:c r="BA388" s="22" t="n">
        <x:f>MAX(0,MIN('Activities'!L388,294)-MAX('Activities'!K388,288))</x:f>
        <x:v>0</x:v>
      </x:c>
      <x:c r="BB388" s="22" t="n">
        <x:f>MAX(0,MIN('Activities'!L388,300)-MAX('Activities'!K388,294))</x:f>
        <x:v>0</x:v>
      </x:c>
      <x:c r="BC388" s="22" t="n">
        <x:f>MAX(0,MIN('Activities'!L388,306)-MAX('Activities'!K388,300))</x:f>
        <x:v>0</x:v>
      </x:c>
      <x:c r="BD388" s="22" t="n">
        <x:f>MAX(0,MIN('Activities'!L388,312)-MAX('Activities'!K388,306))</x:f>
        <x:v>0</x:v>
      </x:c>
      <x:c r="BE388" s="22" t="n">
        <x:f>MAX(0,MIN('Activities'!L388,318)-MAX('Activities'!K388,312))</x:f>
        <x:v>0</x:v>
      </x:c>
      <x:c r="BF388" s="22" t="n">
        <x:f>MAX(0,MIN('Activities'!L388,324)-MAX('Activities'!K388,318))</x:f>
        <x:v>0</x:v>
      </x:c>
      <x:c r="BG388" s="22" t="n">
        <x:f>MAX(0,MIN('Activities'!L388,330)-MAX('Activities'!K388,324))</x:f>
        <x:v>0</x:v>
      </x:c>
      <x:c r="BH388" s="22" t="n">
        <x:f>MAX(0,MIN('Activities'!L388,336)-MAX('Activities'!K388,330))</x:f>
        <x:v>0</x:v>
      </x:c>
      <x:c r="BI388" s="22" t="n">
        <x:f>MAX(0,MIN('Activities'!L388,342)-MAX('Activities'!K388,336))</x:f>
        <x:v>0</x:v>
      </x:c>
      <x:c r="BJ388" s="22" t="n">
        <x:f>MAX(0,MIN('Activities'!L388,348)-MAX('Activities'!K388,342))</x:f>
        <x:v>0</x:v>
      </x:c>
      <x:c r="BK388" s="22" t="n">
        <x:f>MAX(0,MIN('Activities'!L388,354)-MAX('Activities'!K388,348))</x:f>
        <x:v>0</x:v>
      </x:c>
      <x:c r="BL388" s="22" t="n">
        <x:f>MAX(0,MIN('Activities'!L388,360)-MAX('Activities'!K388,354))</x:f>
        <x:v>0</x:v>
      </x:c>
      <x:c r="BM388" s="22" t="n">
        <x:f>MAX(0,MIN('Activities'!L388,366)-MAX('Activities'!K388,360))</x:f>
        <x:v>0</x:v>
      </x:c>
      <x:c r="BN388" s="22" t="n">
        <x:f>MAX(0,MIN('Activities'!L388,372)-MAX('Activities'!K388,366))</x:f>
        <x:v>0</x:v>
      </x:c>
      <x:c r="BO388" s="22" t="n">
        <x:f>MAX(0,MIN('Activities'!L388,378)-MAX('Activities'!K388,372))</x:f>
        <x:v>0</x:v>
      </x:c>
      <x:c r="BP388" s="22" t="n">
        <x:f>MAX(0,MIN('Activities'!L388,384)-MAX('Activities'!K388,378))</x:f>
        <x:v>0</x:v>
      </x:c>
      <x:c r="BQ388" s="22" t="n">
        <x:f>MAX(0,MIN('Activities'!L388,390)-MAX('Activities'!K388,384))</x:f>
        <x:v>0</x:v>
      </x:c>
      <x:c r="BR388" s="22" t="n">
        <x:f>MAX(0,MIN('Activities'!L388,396)-MAX('Activities'!K388,390))</x:f>
        <x:v>0</x:v>
      </x:c>
      <x:c r="BS388" s="22" t="n">
        <x:f>MAX(0,MIN('Activities'!L388,402)-MAX('Activities'!K388,396))</x:f>
        <x:v>0</x:v>
      </x:c>
      <x:c r="BT388" s="22" t="n">
        <x:f>MAX(0,MIN('Activities'!L388,408)-MAX('Activities'!K388,402))</x:f>
        <x:v>0</x:v>
      </x:c>
      <x:c r="BU388" s="22" t="n">
        <x:f>MAX(0,MIN('Activities'!L388,414)-MAX('Activities'!K388,408))</x:f>
        <x:v>0</x:v>
      </x:c>
      <x:c r="BV388" s="22" t="n">
        <x:f>MAX(0,MIN('Activities'!L388,420)-MAX('Activities'!K388,414))</x:f>
        <x:v>0</x:v>
      </x:c>
      <x:c r="BW388" s="22" t="n">
        <x:f>MAX(0,MIN('Activities'!L388,426)-MAX('Activities'!K388,420))</x:f>
        <x:v>1</x:v>
      </x:c>
      <x:c r="BX388" s="22" t="n">
        <x:f>MAX(0,MIN('Activities'!L388,432)-MAX('Activities'!K388,426))</x:f>
        <x:v>5</x:v>
      </x:c>
      <x:c r="BY388" s="22" t="n">
        <x:f>MAX(0,MIN('Activities'!L388,438)-MAX('Activities'!K388,432))</x:f>
        <x:v>0</x:v>
      </x:c>
      <x:c r="BZ388" s="22" t="n">
        <x:f>MAX(0,MIN('Activities'!L388,444)-MAX('Activities'!K388,438))</x:f>
        <x:v>0</x:v>
      </x:c>
      <x:c r="CA388" s="22" t="n">
        <x:f>MAX(0,MIN('Activities'!L388,450)-MAX('Activities'!K388,444))</x:f>
        <x:v>0</x:v>
      </x:c>
      <x:c r="CB388" s="22" t="n">
        <x:f>MAX(0,MIN('Activities'!L388,456)-MAX('Activities'!K388,450))</x:f>
        <x:v>0</x:v>
      </x:c>
      <x:c r="CC388" s="22" t="n">
        <x:f>MAX(0,MIN('Activities'!L388,462)-MAX('Activities'!K388,456))</x:f>
        <x:v>0</x:v>
      </x:c>
      <x:c r="CD388" s="22" t="n">
        <x:f>MAX(0,MIN('Activities'!L388,468)-MAX('Activities'!K388,462))</x:f>
        <x:v>0</x:v>
      </x:c>
      <x:c r="CE388" s="22" t="n">
        <x:f>MAX(0,MIN('Activities'!L388,474)-MAX('Activities'!K388,468))</x:f>
        <x:v>0</x:v>
      </x:c>
      <x:c r="CF388" s="22" t="n">
        <x:f>MAX(0,MIN('Activities'!L388,480)-MAX('Activities'!K388,474))</x:f>
        <x:v>0</x:v>
      </x:c>
      <x:c r="CG388" s="22" t="n">
        <x:f>MAX(0,MIN('Activities'!L388,486)-MAX('Activities'!K388,480))</x:f>
        <x:v>0</x:v>
      </x:c>
      <x:c r="CH388" s="22" t="n">
        <x:f>MAX(0,MIN('Activities'!L388,492)-MAX('Activities'!K388,486))</x:f>
        <x:v>0</x:v>
      </x:c>
      <x:c r="CI388" s="22" t="n">
        <x:f>MAX(0,MIN('Activities'!L388,498)-MAX('Activities'!K388,492))</x:f>
        <x:v>0</x:v>
      </x:c>
      <x:c r="CJ388" s="22" t="n">
        <x:f>MAX(0,MIN('Activities'!L388,504)-MAX('Activities'!K388,498))</x:f>
        <x:v>0</x:v>
      </x:c>
      <x:c r="CK388" s="22" t="n">
        <x:f>MAX(0,MIN('Activities'!L388,510)-MAX('Activities'!K388,504))</x:f>
        <x:v>0</x:v>
      </x:c>
      <x:c r="CL388" s="22" t="n">
        <x:f>MAX(0,MIN('Activities'!L388,516)-MAX('Activities'!K388,510))</x:f>
        <x:v>0</x:v>
      </x:c>
      <x:c r="CM388" s="22" t="n">
        <x:f>MAX(0,MIN('Activities'!L388,522)-MAX('Activities'!K388,516))</x:f>
        <x:v>0</x:v>
      </x:c>
      <x:c r="CN388" s="22" t="n">
        <x:f>MAX(0,MIN('Activities'!L388,528)-MAX('Activities'!K388,522))</x:f>
        <x:v>0</x:v>
      </x:c>
      <x:c r="CO388" s="22" t="n">
        <x:f>MAX(0,MIN('Activities'!L388,534)-MAX('Activities'!K388,528))</x:f>
        <x:v>0</x:v>
      </x:c>
      <x:c r="CP388" s="22" t="n">
        <x:f>MAX(0,MIN('Activities'!L388,540)-MAX('Activities'!K388,534))</x:f>
        <x:v>0</x:v>
      </x:c>
      <x:c r="CQ388" s="22" t="n">
        <x:f>MAX(0,MIN('Activities'!L388,546)-MAX('Activities'!K388,540))</x:f>
        <x:v>0</x:v>
      </x:c>
      <x:c r="CR388" s="22" t="n">
        <x:f>MAX(0,MIN('Activities'!L388,552)-MAX('Activities'!K388,546))</x:f>
        <x:v>0</x:v>
      </x:c>
      <x:c r="CS388" s="22" t="n">
        <x:f>MAX(0,MIN('Activities'!L388,558)-MAX('Activities'!K388,552))</x:f>
        <x:v>0</x:v>
      </x:c>
      <x:c r="CT388" s="22" t="n">
        <x:f>MAX(0,MIN('Activities'!L388,564)-MAX('Activities'!K388,558))</x:f>
        <x:v>0</x:v>
      </x:c>
      <x:c r="CU388" s="22" t="n">
        <x:f>MAX(0,MIN('Activities'!L388,570)-MAX('Activities'!K388,564))</x:f>
        <x:v>0</x:v>
      </x:c>
      <x:c r="CV388" s="22" t="n">
        <x:f>MAX(0,MIN('Activities'!L388,576)-MAX('Activities'!K388,570))</x:f>
        <x:v>0</x:v>
      </x:c>
      <x:c r="CW388" s="22" t="n">
        <x:f>MAX(0,MIN('Activities'!L388,582)-MAX('Activities'!K388,576))</x:f>
        <x:v>0</x:v>
      </x:c>
      <x:c r="CX388" s="22" t="n">
        <x:f>MAX(0,MIN('Activities'!L388,588)-MAX('Activities'!K388,582))</x:f>
        <x:v>0</x:v>
      </x:c>
      <x:c r="CY388" s="22" t="n">
        <x:f>MAX(0,MIN('Activities'!L388,594)-MAX('Activities'!K388,588))</x:f>
        <x:v>0</x:v>
      </x:c>
      <x:c r="CZ388" s="22" t="n">
        <x:f>MAX(0,MIN('Activities'!L388,600)-MAX('Activities'!K388,594))</x:f>
        <x:v>0</x:v>
      </x:c>
      <x:c r="DA388" s="22" t="n">
        <x:f>MAX(0,MIN('Activities'!L388,606)-MAX('Activities'!K388,600))</x:f>
        <x:v>0</x:v>
      </x:c>
      <x:c r="DB388" s="22" t="n">
        <x:f>MAX(0,MIN('Activities'!L388,612)-MAX('Activities'!K388,606))</x:f>
        <x:v>0</x:v>
      </x:c>
      <x:c r="DC388" s="22" t="n">
        <x:f>MAX(0,MIN('Activities'!L388,618)-MAX('Activities'!K388,612))</x:f>
        <x:v>0</x:v>
      </x:c>
      <x:c r="DD388" s="22" t="n">
        <x:f>MAX(0,MIN('Activities'!L388,624)-MAX('Activities'!K388,618))</x:f>
        <x:v>0</x:v>
      </x:c>
      <x:c r="DE388" s="22" t="n">
        <x:f>MAX(0,MIN('Activities'!L388,630)-MAX('Activities'!K388,624))</x:f>
        <x:v>0</x:v>
      </x:c>
      <x:c r="DF388" s="22" t="n">
        <x:f>MAX(0,MIN('Activities'!L388,636)-MAX('Activities'!K388,630))</x:f>
        <x:v>0</x:v>
      </x:c>
    </x:row>
    <x:row r="389" ht="23" customHeight="1">
      <x:c r="A389" s="1" t="str">
        <x:v>T3-L08-A</x:v>
      </x:c>
      <x:c r="B389" s="1" t="str">
        <x:v>T3</x:v>
      </x:c>
      <x:c r="C389" s="1" t="str">
        <x:v>Paint and final decorations</x:v>
      </x:c>
      <x:c r="D389" s="1" t="str">
        <x:v>Finishes</x:v>
      </x:c>
      <x:c r="E389" s="23" t="n">
        <x:f>MAX(0,MIN('Activities'!L389,6)-MAX('Activities'!K389,0))</x:f>
        <x:v>0</x:v>
      </x:c>
      <x:c r="F389" s="23" t="n">
        <x:f>MAX(0,MIN('Activities'!L389,12)-MAX('Activities'!K389,6))</x:f>
        <x:v>0</x:v>
      </x:c>
      <x:c r="G389" s="23" t="n">
        <x:f>MAX(0,MIN('Activities'!L389,18)-MAX('Activities'!K389,12))</x:f>
        <x:v>0</x:v>
      </x:c>
      <x:c r="H389" s="23" t="n">
        <x:f>MAX(0,MIN('Activities'!L389,24)-MAX('Activities'!K389,18))</x:f>
        <x:v>0</x:v>
      </x:c>
      <x:c r="I389" s="23" t="n">
        <x:f>MAX(0,MIN('Activities'!L389,30)-MAX('Activities'!K389,24))</x:f>
        <x:v>0</x:v>
      </x:c>
      <x:c r="J389" s="23" t="n">
        <x:f>MAX(0,MIN('Activities'!L389,36)-MAX('Activities'!K389,30))</x:f>
        <x:v>0</x:v>
      </x:c>
      <x:c r="K389" s="23" t="n">
        <x:f>MAX(0,MIN('Activities'!L389,42)-MAX('Activities'!K389,36))</x:f>
        <x:v>0</x:v>
      </x:c>
      <x:c r="L389" s="23" t="n">
        <x:f>MAX(0,MIN('Activities'!L389,48)-MAX('Activities'!K389,42))</x:f>
        <x:v>0</x:v>
      </x:c>
      <x:c r="M389" s="23" t="n">
        <x:f>MAX(0,MIN('Activities'!L389,54)-MAX('Activities'!K389,48))</x:f>
        <x:v>0</x:v>
      </x:c>
      <x:c r="N389" s="23" t="n">
        <x:f>MAX(0,MIN('Activities'!L389,60)-MAX('Activities'!K389,54))</x:f>
        <x:v>0</x:v>
      </x:c>
      <x:c r="O389" s="23" t="n">
        <x:f>MAX(0,MIN('Activities'!L389,66)-MAX('Activities'!K389,60))</x:f>
        <x:v>0</x:v>
      </x:c>
      <x:c r="P389" s="23" t="n">
        <x:f>MAX(0,MIN('Activities'!L389,72)-MAX('Activities'!K389,66))</x:f>
        <x:v>0</x:v>
      </x:c>
      <x:c r="Q389" s="23" t="n">
        <x:f>MAX(0,MIN('Activities'!L389,78)-MAX('Activities'!K389,72))</x:f>
        <x:v>0</x:v>
      </x:c>
      <x:c r="R389" s="23" t="n">
        <x:f>MAX(0,MIN('Activities'!L389,84)-MAX('Activities'!K389,78))</x:f>
        <x:v>0</x:v>
      </x:c>
      <x:c r="S389" s="23" t="n">
        <x:f>MAX(0,MIN('Activities'!L389,90)-MAX('Activities'!K389,84))</x:f>
        <x:v>0</x:v>
      </x:c>
      <x:c r="T389" s="23" t="n">
        <x:f>MAX(0,MIN('Activities'!L389,96)-MAX('Activities'!K389,90))</x:f>
        <x:v>0</x:v>
      </x:c>
      <x:c r="U389" s="23" t="n">
        <x:f>MAX(0,MIN('Activities'!L389,102)-MAX('Activities'!K389,96))</x:f>
        <x:v>0</x:v>
      </x:c>
      <x:c r="V389" s="23" t="n">
        <x:f>MAX(0,MIN('Activities'!L389,108)-MAX('Activities'!K389,102))</x:f>
        <x:v>0</x:v>
      </x:c>
      <x:c r="W389" s="23" t="n">
        <x:f>MAX(0,MIN('Activities'!L389,114)-MAX('Activities'!K389,108))</x:f>
        <x:v>0</x:v>
      </x:c>
      <x:c r="X389" s="23" t="n">
        <x:f>MAX(0,MIN('Activities'!L389,120)-MAX('Activities'!K389,114))</x:f>
        <x:v>0</x:v>
      </x:c>
      <x:c r="Y389" s="23" t="n">
        <x:f>MAX(0,MIN('Activities'!L389,126)-MAX('Activities'!K389,120))</x:f>
        <x:v>0</x:v>
      </x:c>
      <x:c r="Z389" s="23" t="n">
        <x:f>MAX(0,MIN('Activities'!L389,132)-MAX('Activities'!K389,126))</x:f>
        <x:v>0</x:v>
      </x:c>
      <x:c r="AA389" s="23" t="n">
        <x:f>MAX(0,MIN('Activities'!L389,138)-MAX('Activities'!K389,132))</x:f>
        <x:v>0</x:v>
      </x:c>
      <x:c r="AB389" s="23" t="n">
        <x:f>MAX(0,MIN('Activities'!L389,144)-MAX('Activities'!K389,138))</x:f>
        <x:v>0</x:v>
      </x:c>
      <x:c r="AC389" s="23" t="n">
        <x:f>MAX(0,MIN('Activities'!L389,150)-MAX('Activities'!K389,144))</x:f>
        <x:v>0</x:v>
      </x:c>
      <x:c r="AD389" s="23" t="n">
        <x:f>MAX(0,MIN('Activities'!L389,156)-MAX('Activities'!K389,150))</x:f>
        <x:v>0</x:v>
      </x:c>
      <x:c r="AE389" s="23" t="n">
        <x:f>MAX(0,MIN('Activities'!L389,162)-MAX('Activities'!K389,156))</x:f>
        <x:v>0</x:v>
      </x:c>
      <x:c r="AF389" s="23" t="n">
        <x:f>MAX(0,MIN('Activities'!L389,168)-MAX('Activities'!K389,162))</x:f>
        <x:v>0</x:v>
      </x:c>
      <x:c r="AG389" s="23" t="n">
        <x:f>MAX(0,MIN('Activities'!L389,174)-MAX('Activities'!K389,168))</x:f>
        <x:v>0</x:v>
      </x:c>
      <x:c r="AH389" s="23" t="n">
        <x:f>MAX(0,MIN('Activities'!L389,180)-MAX('Activities'!K389,174))</x:f>
        <x:v>0</x:v>
      </x:c>
      <x:c r="AI389" s="23" t="n">
        <x:f>MAX(0,MIN('Activities'!L389,186)-MAX('Activities'!K389,180))</x:f>
        <x:v>0</x:v>
      </x:c>
      <x:c r="AJ389" s="23" t="n">
        <x:f>MAX(0,MIN('Activities'!L389,192)-MAX('Activities'!K389,186))</x:f>
        <x:v>0</x:v>
      </x:c>
      <x:c r="AK389" s="23" t="n">
        <x:f>MAX(0,MIN('Activities'!L389,198)-MAX('Activities'!K389,192))</x:f>
        <x:v>0</x:v>
      </x:c>
      <x:c r="AL389" s="23" t="n">
        <x:f>MAX(0,MIN('Activities'!L389,204)-MAX('Activities'!K389,198))</x:f>
        <x:v>0</x:v>
      </x:c>
      <x:c r="AM389" s="23" t="n">
        <x:f>MAX(0,MIN('Activities'!L389,210)-MAX('Activities'!K389,204))</x:f>
        <x:v>0</x:v>
      </x:c>
      <x:c r="AN389" s="23" t="n">
        <x:f>MAX(0,MIN('Activities'!L389,216)-MAX('Activities'!K389,210))</x:f>
        <x:v>0</x:v>
      </x:c>
      <x:c r="AO389" s="23" t="n">
        <x:f>MAX(0,MIN('Activities'!L389,222)-MAX('Activities'!K389,216))</x:f>
        <x:v>0</x:v>
      </x:c>
      <x:c r="AP389" s="23" t="n">
        <x:f>MAX(0,MIN('Activities'!L389,228)-MAX('Activities'!K389,222))</x:f>
        <x:v>0</x:v>
      </x:c>
      <x:c r="AQ389" s="23" t="n">
        <x:f>MAX(0,MIN('Activities'!L389,234)-MAX('Activities'!K389,228))</x:f>
        <x:v>0</x:v>
      </x:c>
      <x:c r="AR389" s="23" t="n">
        <x:f>MAX(0,MIN('Activities'!L389,240)-MAX('Activities'!K389,234))</x:f>
        <x:v>0</x:v>
      </x:c>
      <x:c r="AS389" s="23" t="n">
        <x:f>MAX(0,MIN('Activities'!L389,246)-MAX('Activities'!K389,240))</x:f>
        <x:v>0</x:v>
      </x:c>
      <x:c r="AT389" s="23" t="n">
        <x:f>MAX(0,MIN('Activities'!L389,252)-MAX('Activities'!K389,246))</x:f>
        <x:v>0</x:v>
      </x:c>
      <x:c r="AU389" s="23" t="n">
        <x:f>MAX(0,MIN('Activities'!L389,258)-MAX('Activities'!K389,252))</x:f>
        <x:v>0</x:v>
      </x:c>
      <x:c r="AV389" s="23" t="n">
        <x:f>MAX(0,MIN('Activities'!L389,264)-MAX('Activities'!K389,258))</x:f>
        <x:v>0</x:v>
      </x:c>
      <x:c r="AW389" s="23" t="n">
        <x:f>MAX(0,MIN('Activities'!L389,270)-MAX('Activities'!K389,264))</x:f>
        <x:v>0</x:v>
      </x:c>
      <x:c r="AX389" s="23" t="n">
        <x:f>MAX(0,MIN('Activities'!L389,276)-MAX('Activities'!K389,270))</x:f>
        <x:v>0</x:v>
      </x:c>
      <x:c r="AY389" s="23" t="n">
        <x:f>MAX(0,MIN('Activities'!L389,282)-MAX('Activities'!K389,276))</x:f>
        <x:v>0</x:v>
      </x:c>
      <x:c r="AZ389" s="23" t="n">
        <x:f>MAX(0,MIN('Activities'!L389,288)-MAX('Activities'!K389,282))</x:f>
        <x:v>0</x:v>
      </x:c>
      <x:c r="BA389" s="23" t="n">
        <x:f>MAX(0,MIN('Activities'!L389,294)-MAX('Activities'!K389,288))</x:f>
        <x:v>0</x:v>
      </x:c>
      <x:c r="BB389" s="23" t="n">
        <x:f>MAX(0,MIN('Activities'!L389,300)-MAX('Activities'!K389,294))</x:f>
        <x:v>0</x:v>
      </x:c>
      <x:c r="BC389" s="23" t="n">
        <x:f>MAX(0,MIN('Activities'!L389,306)-MAX('Activities'!K389,300))</x:f>
        <x:v>0</x:v>
      </x:c>
      <x:c r="BD389" s="23" t="n">
        <x:f>MAX(0,MIN('Activities'!L389,312)-MAX('Activities'!K389,306))</x:f>
        <x:v>0</x:v>
      </x:c>
      <x:c r="BE389" s="23" t="n">
        <x:f>MAX(0,MIN('Activities'!L389,318)-MAX('Activities'!K389,312))</x:f>
        <x:v>0</x:v>
      </x:c>
      <x:c r="BF389" s="23" t="n">
        <x:f>MAX(0,MIN('Activities'!L389,324)-MAX('Activities'!K389,318))</x:f>
        <x:v>0</x:v>
      </x:c>
      <x:c r="BG389" s="23" t="n">
        <x:f>MAX(0,MIN('Activities'!L389,330)-MAX('Activities'!K389,324))</x:f>
        <x:v>0</x:v>
      </x:c>
      <x:c r="BH389" s="23" t="n">
        <x:f>MAX(0,MIN('Activities'!L389,336)-MAX('Activities'!K389,330))</x:f>
        <x:v>0</x:v>
      </x:c>
      <x:c r="BI389" s="23" t="n">
        <x:f>MAX(0,MIN('Activities'!L389,342)-MAX('Activities'!K389,336))</x:f>
        <x:v>0</x:v>
      </x:c>
      <x:c r="BJ389" s="23" t="n">
        <x:f>MAX(0,MIN('Activities'!L389,348)-MAX('Activities'!K389,342))</x:f>
        <x:v>0</x:v>
      </x:c>
      <x:c r="BK389" s="23" t="n">
        <x:f>MAX(0,MIN('Activities'!L389,354)-MAX('Activities'!K389,348))</x:f>
        <x:v>0</x:v>
      </x:c>
      <x:c r="BL389" s="23" t="n">
        <x:f>MAX(0,MIN('Activities'!L389,360)-MAX('Activities'!K389,354))</x:f>
        <x:v>0</x:v>
      </x:c>
      <x:c r="BM389" s="23" t="n">
        <x:f>MAX(0,MIN('Activities'!L389,366)-MAX('Activities'!K389,360))</x:f>
        <x:v>0</x:v>
      </x:c>
      <x:c r="BN389" s="23" t="n">
        <x:f>MAX(0,MIN('Activities'!L389,372)-MAX('Activities'!K389,366))</x:f>
        <x:v>0</x:v>
      </x:c>
      <x:c r="BO389" s="23" t="n">
        <x:f>MAX(0,MIN('Activities'!L389,378)-MAX('Activities'!K389,372))</x:f>
        <x:v>0</x:v>
      </x:c>
      <x:c r="BP389" s="23" t="n">
        <x:f>MAX(0,MIN('Activities'!L389,384)-MAX('Activities'!K389,378))</x:f>
        <x:v>0</x:v>
      </x:c>
      <x:c r="BQ389" s="23" t="n">
        <x:f>MAX(0,MIN('Activities'!L389,390)-MAX('Activities'!K389,384))</x:f>
        <x:v>0</x:v>
      </x:c>
      <x:c r="BR389" s="23" t="n">
        <x:f>MAX(0,MIN('Activities'!L389,396)-MAX('Activities'!K389,390))</x:f>
        <x:v>0</x:v>
      </x:c>
      <x:c r="BS389" s="23" t="n">
        <x:f>MAX(0,MIN('Activities'!L389,402)-MAX('Activities'!K389,396))</x:f>
        <x:v>0</x:v>
      </x:c>
      <x:c r="BT389" s="23" t="n">
        <x:f>MAX(0,MIN('Activities'!L389,408)-MAX('Activities'!K389,402))</x:f>
        <x:v>0</x:v>
      </x:c>
      <x:c r="BU389" s="23" t="n">
        <x:f>MAX(0,MIN('Activities'!L389,414)-MAX('Activities'!K389,408))</x:f>
        <x:v>0</x:v>
      </x:c>
      <x:c r="BV389" s="23" t="n">
        <x:f>MAX(0,MIN('Activities'!L389,420)-MAX('Activities'!K389,414))</x:f>
        <x:v>0</x:v>
      </x:c>
      <x:c r="BW389" s="23" t="n">
        <x:f>MAX(0,MIN('Activities'!L389,426)-MAX('Activities'!K389,420))</x:f>
        <x:v>0</x:v>
      </x:c>
      <x:c r="BX389" s="23" t="n">
        <x:f>MAX(0,MIN('Activities'!L389,432)-MAX('Activities'!K389,426))</x:f>
        <x:v>0</x:v>
      </x:c>
      <x:c r="BY389" s="23" t="n">
        <x:f>MAX(0,MIN('Activities'!L389,438)-MAX('Activities'!K389,432))</x:f>
        <x:v>5</x:v>
      </x:c>
      <x:c r="BZ389" s="23" t="n">
        <x:f>MAX(0,MIN('Activities'!L389,444)-MAX('Activities'!K389,438))</x:f>
        <x:v>0</x:v>
      </x:c>
      <x:c r="CA389" s="23" t="n">
        <x:f>MAX(0,MIN('Activities'!L389,450)-MAX('Activities'!K389,444))</x:f>
        <x:v>0</x:v>
      </x:c>
      <x:c r="CB389" s="23" t="n">
        <x:f>MAX(0,MIN('Activities'!L389,456)-MAX('Activities'!K389,450))</x:f>
        <x:v>0</x:v>
      </x:c>
      <x:c r="CC389" s="23" t="n">
        <x:f>MAX(0,MIN('Activities'!L389,462)-MAX('Activities'!K389,456))</x:f>
        <x:v>0</x:v>
      </x:c>
      <x:c r="CD389" s="23" t="n">
        <x:f>MAX(0,MIN('Activities'!L389,468)-MAX('Activities'!K389,462))</x:f>
        <x:v>0</x:v>
      </x:c>
      <x:c r="CE389" s="23" t="n">
        <x:f>MAX(0,MIN('Activities'!L389,474)-MAX('Activities'!K389,468))</x:f>
        <x:v>0</x:v>
      </x:c>
      <x:c r="CF389" s="23" t="n">
        <x:f>MAX(0,MIN('Activities'!L389,480)-MAX('Activities'!K389,474))</x:f>
        <x:v>0</x:v>
      </x:c>
      <x:c r="CG389" s="23" t="n">
        <x:f>MAX(0,MIN('Activities'!L389,486)-MAX('Activities'!K389,480))</x:f>
        <x:v>0</x:v>
      </x:c>
      <x:c r="CH389" s="23" t="n">
        <x:f>MAX(0,MIN('Activities'!L389,492)-MAX('Activities'!K389,486))</x:f>
        <x:v>0</x:v>
      </x:c>
      <x:c r="CI389" s="23" t="n">
        <x:f>MAX(0,MIN('Activities'!L389,498)-MAX('Activities'!K389,492))</x:f>
        <x:v>0</x:v>
      </x:c>
      <x:c r="CJ389" s="23" t="n">
        <x:f>MAX(0,MIN('Activities'!L389,504)-MAX('Activities'!K389,498))</x:f>
        <x:v>0</x:v>
      </x:c>
      <x:c r="CK389" s="23" t="n">
        <x:f>MAX(0,MIN('Activities'!L389,510)-MAX('Activities'!K389,504))</x:f>
        <x:v>0</x:v>
      </x:c>
      <x:c r="CL389" s="23" t="n">
        <x:f>MAX(0,MIN('Activities'!L389,516)-MAX('Activities'!K389,510))</x:f>
        <x:v>0</x:v>
      </x:c>
      <x:c r="CM389" s="23" t="n">
        <x:f>MAX(0,MIN('Activities'!L389,522)-MAX('Activities'!K389,516))</x:f>
        <x:v>0</x:v>
      </x:c>
      <x:c r="CN389" s="23" t="n">
        <x:f>MAX(0,MIN('Activities'!L389,528)-MAX('Activities'!K389,522))</x:f>
        <x:v>0</x:v>
      </x:c>
      <x:c r="CO389" s="23" t="n">
        <x:f>MAX(0,MIN('Activities'!L389,534)-MAX('Activities'!K389,528))</x:f>
        <x:v>0</x:v>
      </x:c>
      <x:c r="CP389" s="23" t="n">
        <x:f>MAX(0,MIN('Activities'!L389,540)-MAX('Activities'!K389,534))</x:f>
        <x:v>0</x:v>
      </x:c>
      <x:c r="CQ389" s="23" t="n">
        <x:f>MAX(0,MIN('Activities'!L389,546)-MAX('Activities'!K389,540))</x:f>
        <x:v>0</x:v>
      </x:c>
      <x:c r="CR389" s="23" t="n">
        <x:f>MAX(0,MIN('Activities'!L389,552)-MAX('Activities'!K389,546))</x:f>
        <x:v>0</x:v>
      </x:c>
      <x:c r="CS389" s="23" t="n">
        <x:f>MAX(0,MIN('Activities'!L389,558)-MAX('Activities'!K389,552))</x:f>
        <x:v>0</x:v>
      </x:c>
      <x:c r="CT389" s="23" t="n">
        <x:f>MAX(0,MIN('Activities'!L389,564)-MAX('Activities'!K389,558))</x:f>
        <x:v>0</x:v>
      </x:c>
      <x:c r="CU389" s="23" t="n">
        <x:f>MAX(0,MIN('Activities'!L389,570)-MAX('Activities'!K389,564))</x:f>
        <x:v>0</x:v>
      </x:c>
      <x:c r="CV389" s="23" t="n">
        <x:f>MAX(0,MIN('Activities'!L389,576)-MAX('Activities'!K389,570))</x:f>
        <x:v>0</x:v>
      </x:c>
      <x:c r="CW389" s="23" t="n">
        <x:f>MAX(0,MIN('Activities'!L389,582)-MAX('Activities'!K389,576))</x:f>
        <x:v>0</x:v>
      </x:c>
      <x:c r="CX389" s="23" t="n">
        <x:f>MAX(0,MIN('Activities'!L389,588)-MAX('Activities'!K389,582))</x:f>
        <x:v>0</x:v>
      </x:c>
      <x:c r="CY389" s="23" t="n">
        <x:f>MAX(0,MIN('Activities'!L389,594)-MAX('Activities'!K389,588))</x:f>
        <x:v>0</x:v>
      </x:c>
      <x:c r="CZ389" s="23" t="n">
        <x:f>MAX(0,MIN('Activities'!L389,600)-MAX('Activities'!K389,594))</x:f>
        <x:v>0</x:v>
      </x:c>
      <x:c r="DA389" s="23" t="n">
        <x:f>MAX(0,MIN('Activities'!L389,606)-MAX('Activities'!K389,600))</x:f>
        <x:v>0</x:v>
      </x:c>
      <x:c r="DB389" s="23" t="n">
        <x:f>MAX(0,MIN('Activities'!L389,612)-MAX('Activities'!K389,606))</x:f>
        <x:v>0</x:v>
      </x:c>
      <x:c r="DC389" s="23" t="n">
        <x:f>MAX(0,MIN('Activities'!L389,618)-MAX('Activities'!K389,612))</x:f>
        <x:v>0</x:v>
      </x:c>
      <x:c r="DD389" s="23" t="n">
        <x:f>MAX(0,MIN('Activities'!L389,624)-MAX('Activities'!K389,618))</x:f>
        <x:v>0</x:v>
      </x:c>
      <x:c r="DE389" s="23" t="n">
        <x:f>MAX(0,MIN('Activities'!L389,630)-MAX('Activities'!K389,624))</x:f>
        <x:v>0</x:v>
      </x:c>
      <x:c r="DF389" s="23" t="n">
        <x:f>MAX(0,MIN('Activities'!L389,636)-MAX('Activities'!K389,630))</x:f>
        <x:v>0</x:v>
      </x:c>
    </x:row>
    <x:row r="390" ht="23" customHeight="1">
      <x:c r="A390" s="6" t="str">
        <x:v>T3-L08-D</x:v>
      </x:c>
      <x:c r="B390" s="6" t="str">
        <x:v>T3</x:v>
      </x:c>
      <x:c r="C390" s="6" t="str">
        <x:v>Door sets and ironmongery</x:v>
      </x:c>
      <x:c r="D390" s="6" t="str">
        <x:v>Finishes</x:v>
      </x:c>
      <x:c r="E390" s="22" t="n">
        <x:f>MAX(0,MIN('Activities'!L390,6)-MAX('Activities'!K390,0))</x:f>
        <x:v>0</x:v>
      </x:c>
      <x:c r="F390" s="22" t="n">
        <x:f>MAX(0,MIN('Activities'!L390,12)-MAX('Activities'!K390,6))</x:f>
        <x:v>0</x:v>
      </x:c>
      <x:c r="G390" s="22" t="n">
        <x:f>MAX(0,MIN('Activities'!L390,18)-MAX('Activities'!K390,12))</x:f>
        <x:v>0</x:v>
      </x:c>
      <x:c r="H390" s="22" t="n">
        <x:f>MAX(0,MIN('Activities'!L390,24)-MAX('Activities'!K390,18))</x:f>
        <x:v>0</x:v>
      </x:c>
      <x:c r="I390" s="22" t="n">
        <x:f>MAX(0,MIN('Activities'!L390,30)-MAX('Activities'!K390,24))</x:f>
        <x:v>0</x:v>
      </x:c>
      <x:c r="J390" s="22" t="n">
        <x:f>MAX(0,MIN('Activities'!L390,36)-MAX('Activities'!K390,30))</x:f>
        <x:v>0</x:v>
      </x:c>
      <x:c r="K390" s="22" t="n">
        <x:f>MAX(0,MIN('Activities'!L390,42)-MAX('Activities'!K390,36))</x:f>
        <x:v>0</x:v>
      </x:c>
      <x:c r="L390" s="22" t="n">
        <x:f>MAX(0,MIN('Activities'!L390,48)-MAX('Activities'!K390,42))</x:f>
        <x:v>0</x:v>
      </x:c>
      <x:c r="M390" s="22" t="n">
        <x:f>MAX(0,MIN('Activities'!L390,54)-MAX('Activities'!K390,48))</x:f>
        <x:v>0</x:v>
      </x:c>
      <x:c r="N390" s="22" t="n">
        <x:f>MAX(0,MIN('Activities'!L390,60)-MAX('Activities'!K390,54))</x:f>
        <x:v>0</x:v>
      </x:c>
      <x:c r="O390" s="22" t="n">
        <x:f>MAX(0,MIN('Activities'!L390,66)-MAX('Activities'!K390,60))</x:f>
        <x:v>0</x:v>
      </x:c>
      <x:c r="P390" s="22" t="n">
        <x:f>MAX(0,MIN('Activities'!L390,72)-MAX('Activities'!K390,66))</x:f>
        <x:v>0</x:v>
      </x:c>
      <x:c r="Q390" s="22" t="n">
        <x:f>MAX(0,MIN('Activities'!L390,78)-MAX('Activities'!K390,72))</x:f>
        <x:v>0</x:v>
      </x:c>
      <x:c r="R390" s="22" t="n">
        <x:f>MAX(0,MIN('Activities'!L390,84)-MAX('Activities'!K390,78))</x:f>
        <x:v>0</x:v>
      </x:c>
      <x:c r="S390" s="22" t="n">
        <x:f>MAX(0,MIN('Activities'!L390,90)-MAX('Activities'!K390,84))</x:f>
        <x:v>0</x:v>
      </x:c>
      <x:c r="T390" s="22" t="n">
        <x:f>MAX(0,MIN('Activities'!L390,96)-MAX('Activities'!K390,90))</x:f>
        <x:v>0</x:v>
      </x:c>
      <x:c r="U390" s="22" t="n">
        <x:f>MAX(0,MIN('Activities'!L390,102)-MAX('Activities'!K390,96))</x:f>
        <x:v>0</x:v>
      </x:c>
      <x:c r="V390" s="22" t="n">
        <x:f>MAX(0,MIN('Activities'!L390,108)-MAX('Activities'!K390,102))</x:f>
        <x:v>0</x:v>
      </x:c>
      <x:c r="W390" s="22" t="n">
        <x:f>MAX(0,MIN('Activities'!L390,114)-MAX('Activities'!K390,108))</x:f>
        <x:v>0</x:v>
      </x:c>
      <x:c r="X390" s="22" t="n">
        <x:f>MAX(0,MIN('Activities'!L390,120)-MAX('Activities'!K390,114))</x:f>
        <x:v>0</x:v>
      </x:c>
      <x:c r="Y390" s="22" t="n">
        <x:f>MAX(0,MIN('Activities'!L390,126)-MAX('Activities'!K390,120))</x:f>
        <x:v>0</x:v>
      </x:c>
      <x:c r="Z390" s="22" t="n">
        <x:f>MAX(0,MIN('Activities'!L390,132)-MAX('Activities'!K390,126))</x:f>
        <x:v>0</x:v>
      </x:c>
      <x:c r="AA390" s="22" t="n">
        <x:f>MAX(0,MIN('Activities'!L390,138)-MAX('Activities'!K390,132))</x:f>
        <x:v>0</x:v>
      </x:c>
      <x:c r="AB390" s="22" t="n">
        <x:f>MAX(0,MIN('Activities'!L390,144)-MAX('Activities'!K390,138))</x:f>
        <x:v>0</x:v>
      </x:c>
      <x:c r="AC390" s="22" t="n">
        <x:f>MAX(0,MIN('Activities'!L390,150)-MAX('Activities'!K390,144))</x:f>
        <x:v>0</x:v>
      </x:c>
      <x:c r="AD390" s="22" t="n">
        <x:f>MAX(0,MIN('Activities'!L390,156)-MAX('Activities'!K390,150))</x:f>
        <x:v>0</x:v>
      </x:c>
      <x:c r="AE390" s="22" t="n">
        <x:f>MAX(0,MIN('Activities'!L390,162)-MAX('Activities'!K390,156))</x:f>
        <x:v>0</x:v>
      </x:c>
      <x:c r="AF390" s="22" t="n">
        <x:f>MAX(0,MIN('Activities'!L390,168)-MAX('Activities'!K390,162))</x:f>
        <x:v>0</x:v>
      </x:c>
      <x:c r="AG390" s="22" t="n">
        <x:f>MAX(0,MIN('Activities'!L390,174)-MAX('Activities'!K390,168))</x:f>
        <x:v>0</x:v>
      </x:c>
      <x:c r="AH390" s="22" t="n">
        <x:f>MAX(0,MIN('Activities'!L390,180)-MAX('Activities'!K390,174))</x:f>
        <x:v>0</x:v>
      </x:c>
      <x:c r="AI390" s="22" t="n">
        <x:f>MAX(0,MIN('Activities'!L390,186)-MAX('Activities'!K390,180))</x:f>
        <x:v>0</x:v>
      </x:c>
      <x:c r="AJ390" s="22" t="n">
        <x:f>MAX(0,MIN('Activities'!L390,192)-MAX('Activities'!K390,186))</x:f>
        <x:v>0</x:v>
      </x:c>
      <x:c r="AK390" s="22" t="n">
        <x:f>MAX(0,MIN('Activities'!L390,198)-MAX('Activities'!K390,192))</x:f>
        <x:v>0</x:v>
      </x:c>
      <x:c r="AL390" s="22" t="n">
        <x:f>MAX(0,MIN('Activities'!L390,204)-MAX('Activities'!K390,198))</x:f>
        <x:v>0</x:v>
      </x:c>
      <x:c r="AM390" s="22" t="n">
        <x:f>MAX(0,MIN('Activities'!L390,210)-MAX('Activities'!K390,204))</x:f>
        <x:v>0</x:v>
      </x:c>
      <x:c r="AN390" s="22" t="n">
        <x:f>MAX(0,MIN('Activities'!L390,216)-MAX('Activities'!K390,210))</x:f>
        <x:v>0</x:v>
      </x:c>
      <x:c r="AO390" s="22" t="n">
        <x:f>MAX(0,MIN('Activities'!L390,222)-MAX('Activities'!K390,216))</x:f>
        <x:v>0</x:v>
      </x:c>
      <x:c r="AP390" s="22" t="n">
        <x:f>MAX(0,MIN('Activities'!L390,228)-MAX('Activities'!K390,222))</x:f>
        <x:v>0</x:v>
      </x:c>
      <x:c r="AQ390" s="22" t="n">
        <x:f>MAX(0,MIN('Activities'!L390,234)-MAX('Activities'!K390,228))</x:f>
        <x:v>0</x:v>
      </x:c>
      <x:c r="AR390" s="22" t="n">
        <x:f>MAX(0,MIN('Activities'!L390,240)-MAX('Activities'!K390,234))</x:f>
        <x:v>0</x:v>
      </x:c>
      <x:c r="AS390" s="22" t="n">
        <x:f>MAX(0,MIN('Activities'!L390,246)-MAX('Activities'!K390,240))</x:f>
        <x:v>0</x:v>
      </x:c>
      <x:c r="AT390" s="22" t="n">
        <x:f>MAX(0,MIN('Activities'!L390,252)-MAX('Activities'!K390,246))</x:f>
        <x:v>0</x:v>
      </x:c>
      <x:c r="AU390" s="22" t="n">
        <x:f>MAX(0,MIN('Activities'!L390,258)-MAX('Activities'!K390,252))</x:f>
        <x:v>0</x:v>
      </x:c>
      <x:c r="AV390" s="22" t="n">
        <x:f>MAX(0,MIN('Activities'!L390,264)-MAX('Activities'!K390,258))</x:f>
        <x:v>0</x:v>
      </x:c>
      <x:c r="AW390" s="22" t="n">
        <x:f>MAX(0,MIN('Activities'!L390,270)-MAX('Activities'!K390,264))</x:f>
        <x:v>0</x:v>
      </x:c>
      <x:c r="AX390" s="22" t="n">
        <x:f>MAX(0,MIN('Activities'!L390,276)-MAX('Activities'!K390,270))</x:f>
        <x:v>0</x:v>
      </x:c>
      <x:c r="AY390" s="22" t="n">
        <x:f>MAX(0,MIN('Activities'!L390,282)-MAX('Activities'!K390,276))</x:f>
        <x:v>0</x:v>
      </x:c>
      <x:c r="AZ390" s="22" t="n">
        <x:f>MAX(0,MIN('Activities'!L390,288)-MAX('Activities'!K390,282))</x:f>
        <x:v>0</x:v>
      </x:c>
      <x:c r="BA390" s="22" t="n">
        <x:f>MAX(0,MIN('Activities'!L390,294)-MAX('Activities'!K390,288))</x:f>
        <x:v>0</x:v>
      </x:c>
      <x:c r="BB390" s="22" t="n">
        <x:f>MAX(0,MIN('Activities'!L390,300)-MAX('Activities'!K390,294))</x:f>
        <x:v>0</x:v>
      </x:c>
      <x:c r="BC390" s="22" t="n">
        <x:f>MAX(0,MIN('Activities'!L390,306)-MAX('Activities'!K390,300))</x:f>
        <x:v>0</x:v>
      </x:c>
      <x:c r="BD390" s="22" t="n">
        <x:f>MAX(0,MIN('Activities'!L390,312)-MAX('Activities'!K390,306))</x:f>
        <x:v>0</x:v>
      </x:c>
      <x:c r="BE390" s="22" t="n">
        <x:f>MAX(0,MIN('Activities'!L390,318)-MAX('Activities'!K390,312))</x:f>
        <x:v>0</x:v>
      </x:c>
      <x:c r="BF390" s="22" t="n">
        <x:f>MAX(0,MIN('Activities'!L390,324)-MAX('Activities'!K390,318))</x:f>
        <x:v>0</x:v>
      </x:c>
      <x:c r="BG390" s="22" t="n">
        <x:f>MAX(0,MIN('Activities'!L390,330)-MAX('Activities'!K390,324))</x:f>
        <x:v>0</x:v>
      </x:c>
      <x:c r="BH390" s="22" t="n">
        <x:f>MAX(0,MIN('Activities'!L390,336)-MAX('Activities'!K390,330))</x:f>
        <x:v>0</x:v>
      </x:c>
      <x:c r="BI390" s="22" t="n">
        <x:f>MAX(0,MIN('Activities'!L390,342)-MAX('Activities'!K390,336))</x:f>
        <x:v>0</x:v>
      </x:c>
      <x:c r="BJ390" s="22" t="n">
        <x:f>MAX(0,MIN('Activities'!L390,348)-MAX('Activities'!K390,342))</x:f>
        <x:v>0</x:v>
      </x:c>
      <x:c r="BK390" s="22" t="n">
        <x:f>MAX(0,MIN('Activities'!L390,354)-MAX('Activities'!K390,348))</x:f>
        <x:v>0</x:v>
      </x:c>
      <x:c r="BL390" s="22" t="n">
        <x:f>MAX(0,MIN('Activities'!L390,360)-MAX('Activities'!K390,354))</x:f>
        <x:v>0</x:v>
      </x:c>
      <x:c r="BM390" s="22" t="n">
        <x:f>MAX(0,MIN('Activities'!L390,366)-MAX('Activities'!K390,360))</x:f>
        <x:v>0</x:v>
      </x:c>
      <x:c r="BN390" s="22" t="n">
        <x:f>MAX(0,MIN('Activities'!L390,372)-MAX('Activities'!K390,366))</x:f>
        <x:v>0</x:v>
      </x:c>
      <x:c r="BO390" s="22" t="n">
        <x:f>MAX(0,MIN('Activities'!L390,378)-MAX('Activities'!K390,372))</x:f>
        <x:v>0</x:v>
      </x:c>
      <x:c r="BP390" s="22" t="n">
        <x:f>MAX(0,MIN('Activities'!L390,384)-MAX('Activities'!K390,378))</x:f>
        <x:v>0</x:v>
      </x:c>
      <x:c r="BQ390" s="22" t="n">
        <x:f>MAX(0,MIN('Activities'!L390,390)-MAX('Activities'!K390,384))</x:f>
        <x:v>0</x:v>
      </x:c>
      <x:c r="BR390" s="22" t="n">
        <x:f>MAX(0,MIN('Activities'!L390,396)-MAX('Activities'!K390,390))</x:f>
        <x:v>0</x:v>
      </x:c>
      <x:c r="BS390" s="22" t="n">
        <x:f>MAX(0,MIN('Activities'!L390,402)-MAX('Activities'!K390,396))</x:f>
        <x:v>0</x:v>
      </x:c>
      <x:c r="BT390" s="22" t="n">
        <x:f>MAX(0,MIN('Activities'!L390,408)-MAX('Activities'!K390,402))</x:f>
        <x:v>0</x:v>
      </x:c>
      <x:c r="BU390" s="22" t="n">
        <x:f>MAX(0,MIN('Activities'!L390,414)-MAX('Activities'!K390,408))</x:f>
        <x:v>0</x:v>
      </x:c>
      <x:c r="BV390" s="22" t="n">
        <x:f>MAX(0,MIN('Activities'!L390,420)-MAX('Activities'!K390,414))</x:f>
        <x:v>0</x:v>
      </x:c>
      <x:c r="BW390" s="22" t="n">
        <x:f>MAX(0,MIN('Activities'!L390,426)-MAX('Activities'!K390,420))</x:f>
        <x:v>0</x:v>
      </x:c>
      <x:c r="BX390" s="22" t="n">
        <x:f>MAX(0,MIN('Activities'!L390,432)-MAX('Activities'!K390,426))</x:f>
        <x:v>0</x:v>
      </x:c>
      <x:c r="BY390" s="22" t="n">
        <x:f>MAX(0,MIN('Activities'!L390,438)-MAX('Activities'!K390,432))</x:f>
        <x:v>0</x:v>
      </x:c>
      <x:c r="BZ390" s="22" t="n">
        <x:f>MAX(0,MIN('Activities'!L390,444)-MAX('Activities'!K390,438))</x:f>
        <x:v>3</x:v>
      </x:c>
      <x:c r="CA390" s="22" t="n">
        <x:f>MAX(0,MIN('Activities'!L390,450)-MAX('Activities'!K390,444))</x:f>
        <x:v>0</x:v>
      </x:c>
      <x:c r="CB390" s="22" t="n">
        <x:f>MAX(0,MIN('Activities'!L390,456)-MAX('Activities'!K390,450))</x:f>
        <x:v>0</x:v>
      </x:c>
      <x:c r="CC390" s="22" t="n">
        <x:f>MAX(0,MIN('Activities'!L390,462)-MAX('Activities'!K390,456))</x:f>
        <x:v>0</x:v>
      </x:c>
      <x:c r="CD390" s="22" t="n">
        <x:f>MAX(0,MIN('Activities'!L390,468)-MAX('Activities'!K390,462))</x:f>
        <x:v>0</x:v>
      </x:c>
      <x:c r="CE390" s="22" t="n">
        <x:f>MAX(0,MIN('Activities'!L390,474)-MAX('Activities'!K390,468))</x:f>
        <x:v>0</x:v>
      </x:c>
      <x:c r="CF390" s="22" t="n">
        <x:f>MAX(0,MIN('Activities'!L390,480)-MAX('Activities'!K390,474))</x:f>
        <x:v>0</x:v>
      </x:c>
      <x:c r="CG390" s="22" t="n">
        <x:f>MAX(0,MIN('Activities'!L390,486)-MAX('Activities'!K390,480))</x:f>
        <x:v>0</x:v>
      </x:c>
      <x:c r="CH390" s="22" t="n">
        <x:f>MAX(0,MIN('Activities'!L390,492)-MAX('Activities'!K390,486))</x:f>
        <x:v>0</x:v>
      </x:c>
      <x:c r="CI390" s="22" t="n">
        <x:f>MAX(0,MIN('Activities'!L390,498)-MAX('Activities'!K390,492))</x:f>
        <x:v>0</x:v>
      </x:c>
      <x:c r="CJ390" s="22" t="n">
        <x:f>MAX(0,MIN('Activities'!L390,504)-MAX('Activities'!K390,498))</x:f>
        <x:v>0</x:v>
      </x:c>
      <x:c r="CK390" s="22" t="n">
        <x:f>MAX(0,MIN('Activities'!L390,510)-MAX('Activities'!K390,504))</x:f>
        <x:v>0</x:v>
      </x:c>
      <x:c r="CL390" s="22" t="n">
        <x:f>MAX(0,MIN('Activities'!L390,516)-MAX('Activities'!K390,510))</x:f>
        <x:v>0</x:v>
      </x:c>
      <x:c r="CM390" s="22" t="n">
        <x:f>MAX(0,MIN('Activities'!L390,522)-MAX('Activities'!K390,516))</x:f>
        <x:v>0</x:v>
      </x:c>
      <x:c r="CN390" s="22" t="n">
        <x:f>MAX(0,MIN('Activities'!L390,528)-MAX('Activities'!K390,522))</x:f>
        <x:v>0</x:v>
      </x:c>
      <x:c r="CO390" s="22" t="n">
        <x:f>MAX(0,MIN('Activities'!L390,534)-MAX('Activities'!K390,528))</x:f>
        <x:v>0</x:v>
      </x:c>
      <x:c r="CP390" s="22" t="n">
        <x:f>MAX(0,MIN('Activities'!L390,540)-MAX('Activities'!K390,534))</x:f>
        <x:v>0</x:v>
      </x:c>
      <x:c r="CQ390" s="22" t="n">
        <x:f>MAX(0,MIN('Activities'!L390,546)-MAX('Activities'!K390,540))</x:f>
        <x:v>0</x:v>
      </x:c>
      <x:c r="CR390" s="22" t="n">
        <x:f>MAX(0,MIN('Activities'!L390,552)-MAX('Activities'!K390,546))</x:f>
        <x:v>0</x:v>
      </x:c>
      <x:c r="CS390" s="22" t="n">
        <x:f>MAX(0,MIN('Activities'!L390,558)-MAX('Activities'!K390,552))</x:f>
        <x:v>0</x:v>
      </x:c>
      <x:c r="CT390" s="22" t="n">
        <x:f>MAX(0,MIN('Activities'!L390,564)-MAX('Activities'!K390,558))</x:f>
        <x:v>0</x:v>
      </x:c>
      <x:c r="CU390" s="22" t="n">
        <x:f>MAX(0,MIN('Activities'!L390,570)-MAX('Activities'!K390,564))</x:f>
        <x:v>0</x:v>
      </x:c>
      <x:c r="CV390" s="22" t="n">
        <x:f>MAX(0,MIN('Activities'!L390,576)-MAX('Activities'!K390,570))</x:f>
        <x:v>0</x:v>
      </x:c>
      <x:c r="CW390" s="22" t="n">
        <x:f>MAX(0,MIN('Activities'!L390,582)-MAX('Activities'!K390,576))</x:f>
        <x:v>0</x:v>
      </x:c>
      <x:c r="CX390" s="22" t="n">
        <x:f>MAX(0,MIN('Activities'!L390,588)-MAX('Activities'!K390,582))</x:f>
        <x:v>0</x:v>
      </x:c>
      <x:c r="CY390" s="22" t="n">
        <x:f>MAX(0,MIN('Activities'!L390,594)-MAX('Activities'!K390,588))</x:f>
        <x:v>0</x:v>
      </x:c>
      <x:c r="CZ390" s="22" t="n">
        <x:f>MAX(0,MIN('Activities'!L390,600)-MAX('Activities'!K390,594))</x:f>
        <x:v>0</x:v>
      </x:c>
      <x:c r="DA390" s="22" t="n">
        <x:f>MAX(0,MIN('Activities'!L390,606)-MAX('Activities'!K390,600))</x:f>
        <x:v>0</x:v>
      </x:c>
      <x:c r="DB390" s="22" t="n">
        <x:f>MAX(0,MIN('Activities'!L390,612)-MAX('Activities'!K390,606))</x:f>
        <x:v>0</x:v>
      </x:c>
      <x:c r="DC390" s="22" t="n">
        <x:f>MAX(0,MIN('Activities'!L390,618)-MAX('Activities'!K390,612))</x:f>
        <x:v>0</x:v>
      </x:c>
      <x:c r="DD390" s="22" t="n">
        <x:f>MAX(0,MIN('Activities'!L390,624)-MAX('Activities'!K390,618))</x:f>
        <x:v>0</x:v>
      </x:c>
      <x:c r="DE390" s="22" t="n">
        <x:f>MAX(0,MIN('Activities'!L390,630)-MAX('Activities'!K390,624))</x:f>
        <x:v>0</x:v>
      </x:c>
      <x:c r="DF390" s="22" t="n">
        <x:f>MAX(0,MIN('Activities'!L390,636)-MAX('Activities'!K390,630))</x:f>
        <x:v>0</x:v>
      </x:c>
    </x:row>
    <x:row r="391" ht="23" customHeight="1">
      <x:c r="A391" s="1" t="str">
        <x:v>T3-L09-M</x:v>
      </x:c>
      <x:c r="B391" s="1" t="str">
        <x:v>T3</x:v>
      </x:c>
      <x:c r="C391" s="1" t="str">
        <x:v>Partition masonry</x:v>
      </x:c>
      <x:c r="D391" s="1" t="str">
        <x:v>Masonry</x:v>
      </x:c>
      <x:c r="E391" s="23" t="n">
        <x:f>MAX(0,MIN('Activities'!L391,6)-MAX('Activities'!K391,0))</x:f>
        <x:v>0</x:v>
      </x:c>
      <x:c r="F391" s="23" t="n">
        <x:f>MAX(0,MIN('Activities'!L391,12)-MAX('Activities'!K391,6))</x:f>
        <x:v>0</x:v>
      </x:c>
      <x:c r="G391" s="23" t="n">
        <x:f>MAX(0,MIN('Activities'!L391,18)-MAX('Activities'!K391,12))</x:f>
        <x:v>0</x:v>
      </x:c>
      <x:c r="H391" s="23" t="n">
        <x:f>MAX(0,MIN('Activities'!L391,24)-MAX('Activities'!K391,18))</x:f>
        <x:v>0</x:v>
      </x:c>
      <x:c r="I391" s="23" t="n">
        <x:f>MAX(0,MIN('Activities'!L391,30)-MAX('Activities'!K391,24))</x:f>
        <x:v>0</x:v>
      </x:c>
      <x:c r="J391" s="23" t="n">
        <x:f>MAX(0,MIN('Activities'!L391,36)-MAX('Activities'!K391,30))</x:f>
        <x:v>0</x:v>
      </x:c>
      <x:c r="K391" s="23" t="n">
        <x:f>MAX(0,MIN('Activities'!L391,42)-MAX('Activities'!K391,36))</x:f>
        <x:v>0</x:v>
      </x:c>
      <x:c r="L391" s="23" t="n">
        <x:f>MAX(0,MIN('Activities'!L391,48)-MAX('Activities'!K391,42))</x:f>
        <x:v>0</x:v>
      </x:c>
      <x:c r="M391" s="23" t="n">
        <x:f>MAX(0,MIN('Activities'!L391,54)-MAX('Activities'!K391,48))</x:f>
        <x:v>0</x:v>
      </x:c>
      <x:c r="N391" s="23" t="n">
        <x:f>MAX(0,MIN('Activities'!L391,60)-MAX('Activities'!K391,54))</x:f>
        <x:v>0</x:v>
      </x:c>
      <x:c r="O391" s="23" t="n">
        <x:f>MAX(0,MIN('Activities'!L391,66)-MAX('Activities'!K391,60))</x:f>
        <x:v>0</x:v>
      </x:c>
      <x:c r="P391" s="23" t="n">
        <x:f>MAX(0,MIN('Activities'!L391,72)-MAX('Activities'!K391,66))</x:f>
        <x:v>0</x:v>
      </x:c>
      <x:c r="Q391" s="23" t="n">
        <x:f>MAX(0,MIN('Activities'!L391,78)-MAX('Activities'!K391,72))</x:f>
        <x:v>0</x:v>
      </x:c>
      <x:c r="R391" s="23" t="n">
        <x:f>MAX(0,MIN('Activities'!L391,84)-MAX('Activities'!K391,78))</x:f>
        <x:v>0</x:v>
      </x:c>
      <x:c r="S391" s="23" t="n">
        <x:f>MAX(0,MIN('Activities'!L391,90)-MAX('Activities'!K391,84))</x:f>
        <x:v>0</x:v>
      </x:c>
      <x:c r="T391" s="23" t="n">
        <x:f>MAX(0,MIN('Activities'!L391,96)-MAX('Activities'!K391,90))</x:f>
        <x:v>0</x:v>
      </x:c>
      <x:c r="U391" s="23" t="n">
        <x:f>MAX(0,MIN('Activities'!L391,102)-MAX('Activities'!K391,96))</x:f>
        <x:v>0</x:v>
      </x:c>
      <x:c r="V391" s="23" t="n">
        <x:f>MAX(0,MIN('Activities'!L391,108)-MAX('Activities'!K391,102))</x:f>
        <x:v>0</x:v>
      </x:c>
      <x:c r="W391" s="23" t="n">
        <x:f>MAX(0,MIN('Activities'!L391,114)-MAX('Activities'!K391,108))</x:f>
        <x:v>0</x:v>
      </x:c>
      <x:c r="X391" s="23" t="n">
        <x:f>MAX(0,MIN('Activities'!L391,120)-MAX('Activities'!K391,114))</x:f>
        <x:v>0</x:v>
      </x:c>
      <x:c r="Y391" s="23" t="n">
        <x:f>MAX(0,MIN('Activities'!L391,126)-MAX('Activities'!K391,120))</x:f>
        <x:v>0</x:v>
      </x:c>
      <x:c r="Z391" s="23" t="n">
        <x:f>MAX(0,MIN('Activities'!L391,132)-MAX('Activities'!K391,126))</x:f>
        <x:v>0</x:v>
      </x:c>
      <x:c r="AA391" s="23" t="n">
        <x:f>MAX(0,MIN('Activities'!L391,138)-MAX('Activities'!K391,132))</x:f>
        <x:v>0</x:v>
      </x:c>
      <x:c r="AB391" s="23" t="n">
        <x:f>MAX(0,MIN('Activities'!L391,144)-MAX('Activities'!K391,138))</x:f>
        <x:v>0</x:v>
      </x:c>
      <x:c r="AC391" s="23" t="n">
        <x:f>MAX(0,MIN('Activities'!L391,150)-MAX('Activities'!K391,144))</x:f>
        <x:v>0</x:v>
      </x:c>
      <x:c r="AD391" s="23" t="n">
        <x:f>MAX(0,MIN('Activities'!L391,156)-MAX('Activities'!K391,150))</x:f>
        <x:v>0</x:v>
      </x:c>
      <x:c r="AE391" s="23" t="n">
        <x:f>MAX(0,MIN('Activities'!L391,162)-MAX('Activities'!K391,156))</x:f>
        <x:v>0</x:v>
      </x:c>
      <x:c r="AF391" s="23" t="n">
        <x:f>MAX(0,MIN('Activities'!L391,168)-MAX('Activities'!K391,162))</x:f>
        <x:v>0</x:v>
      </x:c>
      <x:c r="AG391" s="23" t="n">
        <x:f>MAX(0,MIN('Activities'!L391,174)-MAX('Activities'!K391,168))</x:f>
        <x:v>0</x:v>
      </x:c>
      <x:c r="AH391" s="23" t="n">
        <x:f>MAX(0,MIN('Activities'!L391,180)-MAX('Activities'!K391,174))</x:f>
        <x:v>0</x:v>
      </x:c>
      <x:c r="AI391" s="23" t="n">
        <x:f>MAX(0,MIN('Activities'!L391,186)-MAX('Activities'!K391,180))</x:f>
        <x:v>0</x:v>
      </x:c>
      <x:c r="AJ391" s="23" t="n">
        <x:f>MAX(0,MIN('Activities'!L391,192)-MAX('Activities'!K391,186))</x:f>
        <x:v>0</x:v>
      </x:c>
      <x:c r="AK391" s="23" t="n">
        <x:f>MAX(0,MIN('Activities'!L391,198)-MAX('Activities'!K391,192))</x:f>
        <x:v>0</x:v>
      </x:c>
      <x:c r="AL391" s="23" t="n">
        <x:f>MAX(0,MIN('Activities'!L391,204)-MAX('Activities'!K391,198))</x:f>
        <x:v>0</x:v>
      </x:c>
      <x:c r="AM391" s="23" t="n">
        <x:f>MAX(0,MIN('Activities'!L391,210)-MAX('Activities'!K391,204))</x:f>
        <x:v>0</x:v>
      </x:c>
      <x:c r="AN391" s="23" t="n">
        <x:f>MAX(0,MIN('Activities'!L391,216)-MAX('Activities'!K391,210))</x:f>
        <x:v>0</x:v>
      </x:c>
      <x:c r="AO391" s="23" t="n">
        <x:f>MAX(0,MIN('Activities'!L391,222)-MAX('Activities'!K391,216))</x:f>
        <x:v>0</x:v>
      </x:c>
      <x:c r="AP391" s="23" t="n">
        <x:f>MAX(0,MIN('Activities'!L391,228)-MAX('Activities'!K391,222))</x:f>
        <x:v>0</x:v>
      </x:c>
      <x:c r="AQ391" s="23" t="n">
        <x:f>MAX(0,MIN('Activities'!L391,234)-MAX('Activities'!K391,228))</x:f>
        <x:v>0</x:v>
      </x:c>
      <x:c r="AR391" s="23" t="n">
        <x:f>MAX(0,MIN('Activities'!L391,240)-MAX('Activities'!K391,234))</x:f>
        <x:v>0</x:v>
      </x:c>
      <x:c r="AS391" s="23" t="n">
        <x:f>MAX(0,MIN('Activities'!L391,246)-MAX('Activities'!K391,240))</x:f>
        <x:v>0</x:v>
      </x:c>
      <x:c r="AT391" s="23" t="n">
        <x:f>MAX(0,MIN('Activities'!L391,252)-MAX('Activities'!K391,246))</x:f>
        <x:v>0</x:v>
      </x:c>
      <x:c r="AU391" s="23" t="n">
        <x:f>MAX(0,MIN('Activities'!L391,258)-MAX('Activities'!K391,252))</x:f>
        <x:v>0</x:v>
      </x:c>
      <x:c r="AV391" s="23" t="n">
        <x:f>MAX(0,MIN('Activities'!L391,264)-MAX('Activities'!K391,258))</x:f>
        <x:v>0</x:v>
      </x:c>
      <x:c r="AW391" s="23" t="n">
        <x:f>MAX(0,MIN('Activities'!L391,270)-MAX('Activities'!K391,264))</x:f>
        <x:v>0</x:v>
      </x:c>
      <x:c r="AX391" s="23" t="n">
        <x:f>MAX(0,MIN('Activities'!L391,276)-MAX('Activities'!K391,270))</x:f>
        <x:v>0</x:v>
      </x:c>
      <x:c r="AY391" s="23" t="n">
        <x:f>MAX(0,MIN('Activities'!L391,282)-MAX('Activities'!K391,276))</x:f>
        <x:v>0</x:v>
      </x:c>
      <x:c r="AZ391" s="23" t="n">
        <x:f>MAX(0,MIN('Activities'!L391,288)-MAX('Activities'!K391,282))</x:f>
        <x:v>0</x:v>
      </x:c>
      <x:c r="BA391" s="23" t="n">
        <x:f>MAX(0,MIN('Activities'!L391,294)-MAX('Activities'!K391,288))</x:f>
        <x:v>0</x:v>
      </x:c>
      <x:c r="BB391" s="23" t="n">
        <x:f>MAX(0,MIN('Activities'!L391,300)-MAX('Activities'!K391,294))</x:f>
        <x:v>0</x:v>
      </x:c>
      <x:c r="BC391" s="23" t="n">
        <x:f>MAX(0,MIN('Activities'!L391,306)-MAX('Activities'!K391,300))</x:f>
        <x:v>0</x:v>
      </x:c>
      <x:c r="BD391" s="23" t="n">
        <x:f>MAX(0,MIN('Activities'!L391,312)-MAX('Activities'!K391,306))</x:f>
        <x:v>0</x:v>
      </x:c>
      <x:c r="BE391" s="23" t="n">
        <x:f>MAX(0,MIN('Activities'!L391,318)-MAX('Activities'!K391,312))</x:f>
        <x:v>0</x:v>
      </x:c>
      <x:c r="BF391" s="23" t="n">
        <x:f>MAX(0,MIN('Activities'!L391,324)-MAX('Activities'!K391,318))</x:f>
        <x:v>0</x:v>
      </x:c>
      <x:c r="BG391" s="23" t="n">
        <x:f>MAX(0,MIN('Activities'!L391,330)-MAX('Activities'!K391,324))</x:f>
        <x:v>0</x:v>
      </x:c>
      <x:c r="BH391" s="23" t="n">
        <x:f>MAX(0,MIN('Activities'!L391,336)-MAX('Activities'!K391,330))</x:f>
        <x:v>0</x:v>
      </x:c>
      <x:c r="BI391" s="23" t="n">
        <x:f>MAX(0,MIN('Activities'!L391,342)-MAX('Activities'!K391,336))</x:f>
        <x:v>0</x:v>
      </x:c>
      <x:c r="BJ391" s="23" t="n">
        <x:f>MAX(0,MIN('Activities'!L391,348)-MAX('Activities'!K391,342))</x:f>
        <x:v>0</x:v>
      </x:c>
      <x:c r="BK391" s="23" t="n">
        <x:f>MAX(0,MIN('Activities'!L391,354)-MAX('Activities'!K391,348))</x:f>
        <x:v>0</x:v>
      </x:c>
      <x:c r="BL391" s="23" t="n">
        <x:f>MAX(0,MIN('Activities'!L391,360)-MAX('Activities'!K391,354))</x:f>
        <x:v>0</x:v>
      </x:c>
      <x:c r="BM391" s="23" t="n">
        <x:f>MAX(0,MIN('Activities'!L391,366)-MAX('Activities'!K391,360))</x:f>
        <x:v>0</x:v>
      </x:c>
      <x:c r="BN391" s="23" t="n">
        <x:f>MAX(0,MIN('Activities'!L391,372)-MAX('Activities'!K391,366))</x:f>
        <x:v>0</x:v>
      </x:c>
      <x:c r="BO391" s="23" t="n">
        <x:f>MAX(0,MIN('Activities'!L391,378)-MAX('Activities'!K391,372))</x:f>
        <x:v>0</x:v>
      </x:c>
      <x:c r="BP391" s="23" t="n">
        <x:f>MAX(0,MIN('Activities'!L391,384)-MAX('Activities'!K391,378))</x:f>
        <x:v>0</x:v>
      </x:c>
      <x:c r="BQ391" s="23" t="n">
        <x:f>MAX(0,MIN('Activities'!L391,390)-MAX('Activities'!K391,384))</x:f>
        <x:v>0</x:v>
      </x:c>
      <x:c r="BR391" s="23" t="n">
        <x:f>MAX(0,MIN('Activities'!L391,396)-MAX('Activities'!K391,390))</x:f>
        <x:v>0</x:v>
      </x:c>
      <x:c r="BS391" s="23" t="n">
        <x:f>MAX(0,MIN('Activities'!L391,402)-MAX('Activities'!K391,396))</x:f>
        <x:v>5</x:v>
      </x:c>
      <x:c r="BT391" s="23" t="n">
        <x:f>MAX(0,MIN('Activities'!L391,408)-MAX('Activities'!K391,402))</x:f>
        <x:v>0</x:v>
      </x:c>
      <x:c r="BU391" s="23" t="n">
        <x:f>MAX(0,MIN('Activities'!L391,414)-MAX('Activities'!K391,408))</x:f>
        <x:v>0</x:v>
      </x:c>
      <x:c r="BV391" s="23" t="n">
        <x:f>MAX(0,MIN('Activities'!L391,420)-MAX('Activities'!K391,414))</x:f>
        <x:v>0</x:v>
      </x:c>
      <x:c r="BW391" s="23" t="n">
        <x:f>MAX(0,MIN('Activities'!L391,426)-MAX('Activities'!K391,420))</x:f>
        <x:v>0</x:v>
      </x:c>
      <x:c r="BX391" s="23" t="n">
        <x:f>MAX(0,MIN('Activities'!L391,432)-MAX('Activities'!K391,426))</x:f>
        <x:v>0</x:v>
      </x:c>
      <x:c r="BY391" s="23" t="n">
        <x:f>MAX(0,MIN('Activities'!L391,438)-MAX('Activities'!K391,432))</x:f>
        <x:v>0</x:v>
      </x:c>
      <x:c r="BZ391" s="23" t="n">
        <x:f>MAX(0,MIN('Activities'!L391,444)-MAX('Activities'!K391,438))</x:f>
        <x:v>0</x:v>
      </x:c>
      <x:c r="CA391" s="23" t="n">
        <x:f>MAX(0,MIN('Activities'!L391,450)-MAX('Activities'!K391,444))</x:f>
        <x:v>0</x:v>
      </x:c>
      <x:c r="CB391" s="23" t="n">
        <x:f>MAX(0,MIN('Activities'!L391,456)-MAX('Activities'!K391,450))</x:f>
        <x:v>0</x:v>
      </x:c>
      <x:c r="CC391" s="23" t="n">
        <x:f>MAX(0,MIN('Activities'!L391,462)-MAX('Activities'!K391,456))</x:f>
        <x:v>0</x:v>
      </x:c>
      <x:c r="CD391" s="23" t="n">
        <x:f>MAX(0,MIN('Activities'!L391,468)-MAX('Activities'!K391,462))</x:f>
        <x:v>0</x:v>
      </x:c>
      <x:c r="CE391" s="23" t="n">
        <x:f>MAX(0,MIN('Activities'!L391,474)-MAX('Activities'!K391,468))</x:f>
        <x:v>0</x:v>
      </x:c>
      <x:c r="CF391" s="23" t="n">
        <x:f>MAX(0,MIN('Activities'!L391,480)-MAX('Activities'!K391,474))</x:f>
        <x:v>0</x:v>
      </x:c>
      <x:c r="CG391" s="23" t="n">
        <x:f>MAX(0,MIN('Activities'!L391,486)-MAX('Activities'!K391,480))</x:f>
        <x:v>0</x:v>
      </x:c>
      <x:c r="CH391" s="23" t="n">
        <x:f>MAX(0,MIN('Activities'!L391,492)-MAX('Activities'!K391,486))</x:f>
        <x:v>0</x:v>
      </x:c>
      <x:c r="CI391" s="23" t="n">
        <x:f>MAX(0,MIN('Activities'!L391,498)-MAX('Activities'!K391,492))</x:f>
        <x:v>0</x:v>
      </x:c>
      <x:c r="CJ391" s="23" t="n">
        <x:f>MAX(0,MIN('Activities'!L391,504)-MAX('Activities'!K391,498))</x:f>
        <x:v>0</x:v>
      </x:c>
      <x:c r="CK391" s="23" t="n">
        <x:f>MAX(0,MIN('Activities'!L391,510)-MAX('Activities'!K391,504))</x:f>
        <x:v>0</x:v>
      </x:c>
      <x:c r="CL391" s="23" t="n">
        <x:f>MAX(0,MIN('Activities'!L391,516)-MAX('Activities'!K391,510))</x:f>
        <x:v>0</x:v>
      </x:c>
      <x:c r="CM391" s="23" t="n">
        <x:f>MAX(0,MIN('Activities'!L391,522)-MAX('Activities'!K391,516))</x:f>
        <x:v>0</x:v>
      </x:c>
      <x:c r="CN391" s="23" t="n">
        <x:f>MAX(0,MIN('Activities'!L391,528)-MAX('Activities'!K391,522))</x:f>
        <x:v>0</x:v>
      </x:c>
      <x:c r="CO391" s="23" t="n">
        <x:f>MAX(0,MIN('Activities'!L391,534)-MAX('Activities'!K391,528))</x:f>
        <x:v>0</x:v>
      </x:c>
      <x:c r="CP391" s="23" t="n">
        <x:f>MAX(0,MIN('Activities'!L391,540)-MAX('Activities'!K391,534))</x:f>
        <x:v>0</x:v>
      </x:c>
      <x:c r="CQ391" s="23" t="n">
        <x:f>MAX(0,MIN('Activities'!L391,546)-MAX('Activities'!K391,540))</x:f>
        <x:v>0</x:v>
      </x:c>
      <x:c r="CR391" s="23" t="n">
        <x:f>MAX(0,MIN('Activities'!L391,552)-MAX('Activities'!K391,546))</x:f>
        <x:v>0</x:v>
      </x:c>
      <x:c r="CS391" s="23" t="n">
        <x:f>MAX(0,MIN('Activities'!L391,558)-MAX('Activities'!K391,552))</x:f>
        <x:v>0</x:v>
      </x:c>
      <x:c r="CT391" s="23" t="n">
        <x:f>MAX(0,MIN('Activities'!L391,564)-MAX('Activities'!K391,558))</x:f>
        <x:v>0</x:v>
      </x:c>
      <x:c r="CU391" s="23" t="n">
        <x:f>MAX(0,MIN('Activities'!L391,570)-MAX('Activities'!K391,564))</x:f>
        <x:v>0</x:v>
      </x:c>
      <x:c r="CV391" s="23" t="n">
        <x:f>MAX(0,MIN('Activities'!L391,576)-MAX('Activities'!K391,570))</x:f>
        <x:v>0</x:v>
      </x:c>
      <x:c r="CW391" s="23" t="n">
        <x:f>MAX(0,MIN('Activities'!L391,582)-MAX('Activities'!K391,576))</x:f>
        <x:v>0</x:v>
      </x:c>
      <x:c r="CX391" s="23" t="n">
        <x:f>MAX(0,MIN('Activities'!L391,588)-MAX('Activities'!K391,582))</x:f>
        <x:v>0</x:v>
      </x:c>
      <x:c r="CY391" s="23" t="n">
        <x:f>MAX(0,MIN('Activities'!L391,594)-MAX('Activities'!K391,588))</x:f>
        <x:v>0</x:v>
      </x:c>
      <x:c r="CZ391" s="23" t="n">
        <x:f>MAX(0,MIN('Activities'!L391,600)-MAX('Activities'!K391,594))</x:f>
        <x:v>0</x:v>
      </x:c>
      <x:c r="DA391" s="23" t="n">
        <x:f>MAX(0,MIN('Activities'!L391,606)-MAX('Activities'!K391,600))</x:f>
        <x:v>0</x:v>
      </x:c>
      <x:c r="DB391" s="23" t="n">
        <x:f>MAX(0,MIN('Activities'!L391,612)-MAX('Activities'!K391,606))</x:f>
        <x:v>0</x:v>
      </x:c>
      <x:c r="DC391" s="23" t="n">
        <x:f>MAX(0,MIN('Activities'!L391,618)-MAX('Activities'!K391,612))</x:f>
        <x:v>0</x:v>
      </x:c>
      <x:c r="DD391" s="23" t="n">
        <x:f>MAX(0,MIN('Activities'!L391,624)-MAX('Activities'!K391,618))</x:f>
        <x:v>0</x:v>
      </x:c>
      <x:c r="DE391" s="23" t="n">
        <x:f>MAX(0,MIN('Activities'!L391,630)-MAX('Activities'!K391,624))</x:f>
        <x:v>0</x:v>
      </x:c>
      <x:c r="DF391" s="23" t="n">
        <x:f>MAX(0,MIN('Activities'!L391,636)-MAX('Activities'!K391,630))</x:f>
        <x:v>0</x:v>
      </x:c>
    </x:row>
    <x:row r="392" ht="23" customHeight="1">
      <x:c r="A392" s="6" t="str">
        <x:v>T3-L09-P</x:v>
      </x:c>
      <x:c r="B392" s="6" t="str">
        <x:v>T3</x:v>
      </x:c>
      <x:c r="C392" s="6" t="str">
        <x:v>Internal plaster</x:v>
      </x:c>
      <x:c r="D392" s="6" t="str">
        <x:v>Finishes</x:v>
      </x:c>
      <x:c r="E392" s="22" t="n">
        <x:f>MAX(0,MIN('Activities'!L392,6)-MAX('Activities'!K392,0))</x:f>
        <x:v>0</x:v>
      </x:c>
      <x:c r="F392" s="22" t="n">
        <x:f>MAX(0,MIN('Activities'!L392,12)-MAX('Activities'!K392,6))</x:f>
        <x:v>0</x:v>
      </x:c>
      <x:c r="G392" s="22" t="n">
        <x:f>MAX(0,MIN('Activities'!L392,18)-MAX('Activities'!K392,12))</x:f>
        <x:v>0</x:v>
      </x:c>
      <x:c r="H392" s="22" t="n">
        <x:f>MAX(0,MIN('Activities'!L392,24)-MAX('Activities'!K392,18))</x:f>
        <x:v>0</x:v>
      </x:c>
      <x:c r="I392" s="22" t="n">
        <x:f>MAX(0,MIN('Activities'!L392,30)-MAX('Activities'!K392,24))</x:f>
        <x:v>0</x:v>
      </x:c>
      <x:c r="J392" s="22" t="n">
        <x:f>MAX(0,MIN('Activities'!L392,36)-MAX('Activities'!K392,30))</x:f>
        <x:v>0</x:v>
      </x:c>
      <x:c r="K392" s="22" t="n">
        <x:f>MAX(0,MIN('Activities'!L392,42)-MAX('Activities'!K392,36))</x:f>
        <x:v>0</x:v>
      </x:c>
      <x:c r="L392" s="22" t="n">
        <x:f>MAX(0,MIN('Activities'!L392,48)-MAX('Activities'!K392,42))</x:f>
        <x:v>0</x:v>
      </x:c>
      <x:c r="M392" s="22" t="n">
        <x:f>MAX(0,MIN('Activities'!L392,54)-MAX('Activities'!K392,48))</x:f>
        <x:v>0</x:v>
      </x:c>
      <x:c r="N392" s="22" t="n">
        <x:f>MAX(0,MIN('Activities'!L392,60)-MAX('Activities'!K392,54))</x:f>
        <x:v>0</x:v>
      </x:c>
      <x:c r="O392" s="22" t="n">
        <x:f>MAX(0,MIN('Activities'!L392,66)-MAX('Activities'!K392,60))</x:f>
        <x:v>0</x:v>
      </x:c>
      <x:c r="P392" s="22" t="n">
        <x:f>MAX(0,MIN('Activities'!L392,72)-MAX('Activities'!K392,66))</x:f>
        <x:v>0</x:v>
      </x:c>
      <x:c r="Q392" s="22" t="n">
        <x:f>MAX(0,MIN('Activities'!L392,78)-MAX('Activities'!K392,72))</x:f>
        <x:v>0</x:v>
      </x:c>
      <x:c r="R392" s="22" t="n">
        <x:f>MAX(0,MIN('Activities'!L392,84)-MAX('Activities'!K392,78))</x:f>
        <x:v>0</x:v>
      </x:c>
      <x:c r="S392" s="22" t="n">
        <x:f>MAX(0,MIN('Activities'!L392,90)-MAX('Activities'!K392,84))</x:f>
        <x:v>0</x:v>
      </x:c>
      <x:c r="T392" s="22" t="n">
        <x:f>MAX(0,MIN('Activities'!L392,96)-MAX('Activities'!K392,90))</x:f>
        <x:v>0</x:v>
      </x:c>
      <x:c r="U392" s="22" t="n">
        <x:f>MAX(0,MIN('Activities'!L392,102)-MAX('Activities'!K392,96))</x:f>
        <x:v>0</x:v>
      </x:c>
      <x:c r="V392" s="22" t="n">
        <x:f>MAX(0,MIN('Activities'!L392,108)-MAX('Activities'!K392,102))</x:f>
        <x:v>0</x:v>
      </x:c>
      <x:c r="W392" s="22" t="n">
        <x:f>MAX(0,MIN('Activities'!L392,114)-MAX('Activities'!K392,108))</x:f>
        <x:v>0</x:v>
      </x:c>
      <x:c r="X392" s="22" t="n">
        <x:f>MAX(0,MIN('Activities'!L392,120)-MAX('Activities'!K392,114))</x:f>
        <x:v>0</x:v>
      </x:c>
      <x:c r="Y392" s="22" t="n">
        <x:f>MAX(0,MIN('Activities'!L392,126)-MAX('Activities'!K392,120))</x:f>
        <x:v>0</x:v>
      </x:c>
      <x:c r="Z392" s="22" t="n">
        <x:f>MAX(0,MIN('Activities'!L392,132)-MAX('Activities'!K392,126))</x:f>
        <x:v>0</x:v>
      </x:c>
      <x:c r="AA392" s="22" t="n">
        <x:f>MAX(0,MIN('Activities'!L392,138)-MAX('Activities'!K392,132))</x:f>
        <x:v>0</x:v>
      </x:c>
      <x:c r="AB392" s="22" t="n">
        <x:f>MAX(0,MIN('Activities'!L392,144)-MAX('Activities'!K392,138))</x:f>
        <x:v>0</x:v>
      </x:c>
      <x:c r="AC392" s="22" t="n">
        <x:f>MAX(0,MIN('Activities'!L392,150)-MAX('Activities'!K392,144))</x:f>
        <x:v>0</x:v>
      </x:c>
      <x:c r="AD392" s="22" t="n">
        <x:f>MAX(0,MIN('Activities'!L392,156)-MAX('Activities'!K392,150))</x:f>
        <x:v>0</x:v>
      </x:c>
      <x:c r="AE392" s="22" t="n">
        <x:f>MAX(0,MIN('Activities'!L392,162)-MAX('Activities'!K392,156))</x:f>
        <x:v>0</x:v>
      </x:c>
      <x:c r="AF392" s="22" t="n">
        <x:f>MAX(0,MIN('Activities'!L392,168)-MAX('Activities'!K392,162))</x:f>
        <x:v>0</x:v>
      </x:c>
      <x:c r="AG392" s="22" t="n">
        <x:f>MAX(0,MIN('Activities'!L392,174)-MAX('Activities'!K392,168))</x:f>
        <x:v>0</x:v>
      </x:c>
      <x:c r="AH392" s="22" t="n">
        <x:f>MAX(0,MIN('Activities'!L392,180)-MAX('Activities'!K392,174))</x:f>
        <x:v>0</x:v>
      </x:c>
      <x:c r="AI392" s="22" t="n">
        <x:f>MAX(0,MIN('Activities'!L392,186)-MAX('Activities'!K392,180))</x:f>
        <x:v>0</x:v>
      </x:c>
      <x:c r="AJ392" s="22" t="n">
        <x:f>MAX(0,MIN('Activities'!L392,192)-MAX('Activities'!K392,186))</x:f>
        <x:v>0</x:v>
      </x:c>
      <x:c r="AK392" s="22" t="n">
        <x:f>MAX(0,MIN('Activities'!L392,198)-MAX('Activities'!K392,192))</x:f>
        <x:v>0</x:v>
      </x:c>
      <x:c r="AL392" s="22" t="n">
        <x:f>MAX(0,MIN('Activities'!L392,204)-MAX('Activities'!K392,198))</x:f>
        <x:v>0</x:v>
      </x:c>
      <x:c r="AM392" s="22" t="n">
        <x:f>MAX(0,MIN('Activities'!L392,210)-MAX('Activities'!K392,204))</x:f>
        <x:v>0</x:v>
      </x:c>
      <x:c r="AN392" s="22" t="n">
        <x:f>MAX(0,MIN('Activities'!L392,216)-MAX('Activities'!K392,210))</x:f>
        <x:v>0</x:v>
      </x:c>
      <x:c r="AO392" s="22" t="n">
        <x:f>MAX(0,MIN('Activities'!L392,222)-MAX('Activities'!K392,216))</x:f>
        <x:v>0</x:v>
      </x:c>
      <x:c r="AP392" s="22" t="n">
        <x:f>MAX(0,MIN('Activities'!L392,228)-MAX('Activities'!K392,222))</x:f>
        <x:v>0</x:v>
      </x:c>
      <x:c r="AQ392" s="22" t="n">
        <x:f>MAX(0,MIN('Activities'!L392,234)-MAX('Activities'!K392,228))</x:f>
        <x:v>0</x:v>
      </x:c>
      <x:c r="AR392" s="22" t="n">
        <x:f>MAX(0,MIN('Activities'!L392,240)-MAX('Activities'!K392,234))</x:f>
        <x:v>0</x:v>
      </x:c>
      <x:c r="AS392" s="22" t="n">
        <x:f>MAX(0,MIN('Activities'!L392,246)-MAX('Activities'!K392,240))</x:f>
        <x:v>0</x:v>
      </x:c>
      <x:c r="AT392" s="22" t="n">
        <x:f>MAX(0,MIN('Activities'!L392,252)-MAX('Activities'!K392,246))</x:f>
        <x:v>0</x:v>
      </x:c>
      <x:c r="AU392" s="22" t="n">
        <x:f>MAX(0,MIN('Activities'!L392,258)-MAX('Activities'!K392,252))</x:f>
        <x:v>0</x:v>
      </x:c>
      <x:c r="AV392" s="22" t="n">
        <x:f>MAX(0,MIN('Activities'!L392,264)-MAX('Activities'!K392,258))</x:f>
        <x:v>0</x:v>
      </x:c>
      <x:c r="AW392" s="22" t="n">
        <x:f>MAX(0,MIN('Activities'!L392,270)-MAX('Activities'!K392,264))</x:f>
        <x:v>0</x:v>
      </x:c>
      <x:c r="AX392" s="22" t="n">
        <x:f>MAX(0,MIN('Activities'!L392,276)-MAX('Activities'!K392,270))</x:f>
        <x:v>0</x:v>
      </x:c>
      <x:c r="AY392" s="22" t="n">
        <x:f>MAX(0,MIN('Activities'!L392,282)-MAX('Activities'!K392,276))</x:f>
        <x:v>0</x:v>
      </x:c>
      <x:c r="AZ392" s="22" t="n">
        <x:f>MAX(0,MIN('Activities'!L392,288)-MAX('Activities'!K392,282))</x:f>
        <x:v>0</x:v>
      </x:c>
      <x:c r="BA392" s="22" t="n">
        <x:f>MAX(0,MIN('Activities'!L392,294)-MAX('Activities'!K392,288))</x:f>
        <x:v>0</x:v>
      </x:c>
      <x:c r="BB392" s="22" t="n">
        <x:f>MAX(0,MIN('Activities'!L392,300)-MAX('Activities'!K392,294))</x:f>
        <x:v>0</x:v>
      </x:c>
      <x:c r="BC392" s="22" t="n">
        <x:f>MAX(0,MIN('Activities'!L392,306)-MAX('Activities'!K392,300))</x:f>
        <x:v>0</x:v>
      </x:c>
      <x:c r="BD392" s="22" t="n">
        <x:f>MAX(0,MIN('Activities'!L392,312)-MAX('Activities'!K392,306))</x:f>
        <x:v>0</x:v>
      </x:c>
      <x:c r="BE392" s="22" t="n">
        <x:f>MAX(0,MIN('Activities'!L392,318)-MAX('Activities'!K392,312))</x:f>
        <x:v>0</x:v>
      </x:c>
      <x:c r="BF392" s="22" t="n">
        <x:f>MAX(0,MIN('Activities'!L392,324)-MAX('Activities'!K392,318))</x:f>
        <x:v>0</x:v>
      </x:c>
      <x:c r="BG392" s="22" t="n">
        <x:f>MAX(0,MIN('Activities'!L392,330)-MAX('Activities'!K392,324))</x:f>
        <x:v>0</x:v>
      </x:c>
      <x:c r="BH392" s="22" t="n">
        <x:f>MAX(0,MIN('Activities'!L392,336)-MAX('Activities'!K392,330))</x:f>
        <x:v>0</x:v>
      </x:c>
      <x:c r="BI392" s="22" t="n">
        <x:f>MAX(0,MIN('Activities'!L392,342)-MAX('Activities'!K392,336))</x:f>
        <x:v>0</x:v>
      </x:c>
      <x:c r="BJ392" s="22" t="n">
        <x:f>MAX(0,MIN('Activities'!L392,348)-MAX('Activities'!K392,342))</x:f>
        <x:v>0</x:v>
      </x:c>
      <x:c r="BK392" s="22" t="n">
        <x:f>MAX(0,MIN('Activities'!L392,354)-MAX('Activities'!K392,348))</x:f>
        <x:v>0</x:v>
      </x:c>
      <x:c r="BL392" s="22" t="n">
        <x:f>MAX(0,MIN('Activities'!L392,360)-MAX('Activities'!K392,354))</x:f>
        <x:v>0</x:v>
      </x:c>
      <x:c r="BM392" s="22" t="n">
        <x:f>MAX(0,MIN('Activities'!L392,366)-MAX('Activities'!K392,360))</x:f>
        <x:v>0</x:v>
      </x:c>
      <x:c r="BN392" s="22" t="n">
        <x:f>MAX(0,MIN('Activities'!L392,372)-MAX('Activities'!K392,366))</x:f>
        <x:v>0</x:v>
      </x:c>
      <x:c r="BO392" s="22" t="n">
        <x:f>MAX(0,MIN('Activities'!L392,378)-MAX('Activities'!K392,372))</x:f>
        <x:v>0</x:v>
      </x:c>
      <x:c r="BP392" s="22" t="n">
        <x:f>MAX(0,MIN('Activities'!L392,384)-MAX('Activities'!K392,378))</x:f>
        <x:v>0</x:v>
      </x:c>
      <x:c r="BQ392" s="22" t="n">
        <x:f>MAX(0,MIN('Activities'!L392,390)-MAX('Activities'!K392,384))</x:f>
        <x:v>0</x:v>
      </x:c>
      <x:c r="BR392" s="22" t="n">
        <x:f>MAX(0,MIN('Activities'!L392,396)-MAX('Activities'!K392,390))</x:f>
        <x:v>0</x:v>
      </x:c>
      <x:c r="BS392" s="22" t="n">
        <x:f>MAX(0,MIN('Activities'!L392,402)-MAX('Activities'!K392,396))</x:f>
        <x:v>0</x:v>
      </x:c>
      <x:c r="BT392" s="22" t="n">
        <x:f>MAX(0,MIN('Activities'!L392,408)-MAX('Activities'!K392,402))</x:f>
        <x:v>3</x:v>
      </x:c>
      <x:c r="BU392" s="22" t="n">
        <x:f>MAX(0,MIN('Activities'!L392,414)-MAX('Activities'!K392,408))</x:f>
        <x:v>3</x:v>
      </x:c>
      <x:c r="BV392" s="22" t="n">
        <x:f>MAX(0,MIN('Activities'!L392,420)-MAX('Activities'!K392,414))</x:f>
        <x:v>0</x:v>
      </x:c>
      <x:c r="BW392" s="22" t="n">
        <x:f>MAX(0,MIN('Activities'!L392,426)-MAX('Activities'!K392,420))</x:f>
        <x:v>0</x:v>
      </x:c>
      <x:c r="BX392" s="22" t="n">
        <x:f>MAX(0,MIN('Activities'!L392,432)-MAX('Activities'!K392,426))</x:f>
        <x:v>0</x:v>
      </x:c>
      <x:c r="BY392" s="22" t="n">
        <x:f>MAX(0,MIN('Activities'!L392,438)-MAX('Activities'!K392,432))</x:f>
        <x:v>0</x:v>
      </x:c>
      <x:c r="BZ392" s="22" t="n">
        <x:f>MAX(0,MIN('Activities'!L392,444)-MAX('Activities'!K392,438))</x:f>
        <x:v>0</x:v>
      </x:c>
      <x:c r="CA392" s="22" t="n">
        <x:f>MAX(0,MIN('Activities'!L392,450)-MAX('Activities'!K392,444))</x:f>
        <x:v>0</x:v>
      </x:c>
      <x:c r="CB392" s="22" t="n">
        <x:f>MAX(0,MIN('Activities'!L392,456)-MAX('Activities'!K392,450))</x:f>
        <x:v>0</x:v>
      </x:c>
      <x:c r="CC392" s="22" t="n">
        <x:f>MAX(0,MIN('Activities'!L392,462)-MAX('Activities'!K392,456))</x:f>
        <x:v>0</x:v>
      </x:c>
      <x:c r="CD392" s="22" t="n">
        <x:f>MAX(0,MIN('Activities'!L392,468)-MAX('Activities'!K392,462))</x:f>
        <x:v>0</x:v>
      </x:c>
      <x:c r="CE392" s="22" t="n">
        <x:f>MAX(0,MIN('Activities'!L392,474)-MAX('Activities'!K392,468))</x:f>
        <x:v>0</x:v>
      </x:c>
      <x:c r="CF392" s="22" t="n">
        <x:f>MAX(0,MIN('Activities'!L392,480)-MAX('Activities'!K392,474))</x:f>
        <x:v>0</x:v>
      </x:c>
      <x:c r="CG392" s="22" t="n">
        <x:f>MAX(0,MIN('Activities'!L392,486)-MAX('Activities'!K392,480))</x:f>
        <x:v>0</x:v>
      </x:c>
      <x:c r="CH392" s="22" t="n">
        <x:f>MAX(0,MIN('Activities'!L392,492)-MAX('Activities'!K392,486))</x:f>
        <x:v>0</x:v>
      </x:c>
      <x:c r="CI392" s="22" t="n">
        <x:f>MAX(0,MIN('Activities'!L392,498)-MAX('Activities'!K392,492))</x:f>
        <x:v>0</x:v>
      </x:c>
      <x:c r="CJ392" s="22" t="n">
        <x:f>MAX(0,MIN('Activities'!L392,504)-MAX('Activities'!K392,498))</x:f>
        <x:v>0</x:v>
      </x:c>
      <x:c r="CK392" s="22" t="n">
        <x:f>MAX(0,MIN('Activities'!L392,510)-MAX('Activities'!K392,504))</x:f>
        <x:v>0</x:v>
      </x:c>
      <x:c r="CL392" s="22" t="n">
        <x:f>MAX(0,MIN('Activities'!L392,516)-MAX('Activities'!K392,510))</x:f>
        <x:v>0</x:v>
      </x:c>
      <x:c r="CM392" s="22" t="n">
        <x:f>MAX(0,MIN('Activities'!L392,522)-MAX('Activities'!K392,516))</x:f>
        <x:v>0</x:v>
      </x:c>
      <x:c r="CN392" s="22" t="n">
        <x:f>MAX(0,MIN('Activities'!L392,528)-MAX('Activities'!K392,522))</x:f>
        <x:v>0</x:v>
      </x:c>
      <x:c r="CO392" s="22" t="n">
        <x:f>MAX(0,MIN('Activities'!L392,534)-MAX('Activities'!K392,528))</x:f>
        <x:v>0</x:v>
      </x:c>
      <x:c r="CP392" s="22" t="n">
        <x:f>MAX(0,MIN('Activities'!L392,540)-MAX('Activities'!K392,534))</x:f>
        <x:v>0</x:v>
      </x:c>
      <x:c r="CQ392" s="22" t="n">
        <x:f>MAX(0,MIN('Activities'!L392,546)-MAX('Activities'!K392,540))</x:f>
        <x:v>0</x:v>
      </x:c>
      <x:c r="CR392" s="22" t="n">
        <x:f>MAX(0,MIN('Activities'!L392,552)-MAX('Activities'!K392,546))</x:f>
        <x:v>0</x:v>
      </x:c>
      <x:c r="CS392" s="22" t="n">
        <x:f>MAX(0,MIN('Activities'!L392,558)-MAX('Activities'!K392,552))</x:f>
        <x:v>0</x:v>
      </x:c>
      <x:c r="CT392" s="22" t="n">
        <x:f>MAX(0,MIN('Activities'!L392,564)-MAX('Activities'!K392,558))</x:f>
        <x:v>0</x:v>
      </x:c>
      <x:c r="CU392" s="22" t="n">
        <x:f>MAX(0,MIN('Activities'!L392,570)-MAX('Activities'!K392,564))</x:f>
        <x:v>0</x:v>
      </x:c>
      <x:c r="CV392" s="22" t="n">
        <x:f>MAX(0,MIN('Activities'!L392,576)-MAX('Activities'!K392,570))</x:f>
        <x:v>0</x:v>
      </x:c>
      <x:c r="CW392" s="22" t="n">
        <x:f>MAX(0,MIN('Activities'!L392,582)-MAX('Activities'!K392,576))</x:f>
        <x:v>0</x:v>
      </x:c>
      <x:c r="CX392" s="22" t="n">
        <x:f>MAX(0,MIN('Activities'!L392,588)-MAX('Activities'!K392,582))</x:f>
        <x:v>0</x:v>
      </x:c>
      <x:c r="CY392" s="22" t="n">
        <x:f>MAX(0,MIN('Activities'!L392,594)-MAX('Activities'!K392,588))</x:f>
        <x:v>0</x:v>
      </x:c>
      <x:c r="CZ392" s="22" t="n">
        <x:f>MAX(0,MIN('Activities'!L392,600)-MAX('Activities'!K392,594))</x:f>
        <x:v>0</x:v>
      </x:c>
      <x:c r="DA392" s="22" t="n">
        <x:f>MAX(0,MIN('Activities'!L392,606)-MAX('Activities'!K392,600))</x:f>
        <x:v>0</x:v>
      </x:c>
      <x:c r="DB392" s="22" t="n">
        <x:f>MAX(0,MIN('Activities'!L392,612)-MAX('Activities'!K392,606))</x:f>
        <x:v>0</x:v>
      </x:c>
      <x:c r="DC392" s="22" t="n">
        <x:f>MAX(0,MIN('Activities'!L392,618)-MAX('Activities'!K392,612))</x:f>
        <x:v>0</x:v>
      </x:c>
      <x:c r="DD392" s="22" t="n">
        <x:f>MAX(0,MIN('Activities'!L392,624)-MAX('Activities'!K392,618))</x:f>
        <x:v>0</x:v>
      </x:c>
      <x:c r="DE392" s="22" t="n">
        <x:f>MAX(0,MIN('Activities'!L392,630)-MAX('Activities'!K392,624))</x:f>
        <x:v>0</x:v>
      </x:c>
      <x:c r="DF392" s="22" t="n">
        <x:f>MAX(0,MIN('Activities'!L392,636)-MAX('Activities'!K392,630))</x:f>
        <x:v>0</x:v>
      </x:c>
    </x:row>
    <x:row r="393" ht="23" customHeight="1">
      <x:c r="A393" s="1" t="str">
        <x:v>T3-L09-S</x:v>
      </x:c>
      <x:c r="B393" s="1" t="str">
        <x:v>T3</x:v>
      </x:c>
      <x:c r="C393" s="1" t="str">
        <x:v>Screed and substrate preparation</x:v>
      </x:c>
      <x:c r="D393" s="1" t="str">
        <x:v>Finishes</x:v>
      </x:c>
      <x:c r="E393" s="23" t="n">
        <x:f>MAX(0,MIN('Activities'!L393,6)-MAX('Activities'!K393,0))</x:f>
        <x:v>0</x:v>
      </x:c>
      <x:c r="F393" s="23" t="n">
        <x:f>MAX(0,MIN('Activities'!L393,12)-MAX('Activities'!K393,6))</x:f>
        <x:v>0</x:v>
      </x:c>
      <x:c r="G393" s="23" t="n">
        <x:f>MAX(0,MIN('Activities'!L393,18)-MAX('Activities'!K393,12))</x:f>
        <x:v>0</x:v>
      </x:c>
      <x:c r="H393" s="23" t="n">
        <x:f>MAX(0,MIN('Activities'!L393,24)-MAX('Activities'!K393,18))</x:f>
        <x:v>0</x:v>
      </x:c>
      <x:c r="I393" s="23" t="n">
        <x:f>MAX(0,MIN('Activities'!L393,30)-MAX('Activities'!K393,24))</x:f>
        <x:v>0</x:v>
      </x:c>
      <x:c r="J393" s="23" t="n">
        <x:f>MAX(0,MIN('Activities'!L393,36)-MAX('Activities'!K393,30))</x:f>
        <x:v>0</x:v>
      </x:c>
      <x:c r="K393" s="23" t="n">
        <x:f>MAX(0,MIN('Activities'!L393,42)-MAX('Activities'!K393,36))</x:f>
        <x:v>0</x:v>
      </x:c>
      <x:c r="L393" s="23" t="n">
        <x:f>MAX(0,MIN('Activities'!L393,48)-MAX('Activities'!K393,42))</x:f>
        <x:v>0</x:v>
      </x:c>
      <x:c r="M393" s="23" t="n">
        <x:f>MAX(0,MIN('Activities'!L393,54)-MAX('Activities'!K393,48))</x:f>
        <x:v>0</x:v>
      </x:c>
      <x:c r="N393" s="23" t="n">
        <x:f>MAX(0,MIN('Activities'!L393,60)-MAX('Activities'!K393,54))</x:f>
        <x:v>0</x:v>
      </x:c>
      <x:c r="O393" s="23" t="n">
        <x:f>MAX(0,MIN('Activities'!L393,66)-MAX('Activities'!K393,60))</x:f>
        <x:v>0</x:v>
      </x:c>
      <x:c r="P393" s="23" t="n">
        <x:f>MAX(0,MIN('Activities'!L393,72)-MAX('Activities'!K393,66))</x:f>
        <x:v>0</x:v>
      </x:c>
      <x:c r="Q393" s="23" t="n">
        <x:f>MAX(0,MIN('Activities'!L393,78)-MAX('Activities'!K393,72))</x:f>
        <x:v>0</x:v>
      </x:c>
      <x:c r="R393" s="23" t="n">
        <x:f>MAX(0,MIN('Activities'!L393,84)-MAX('Activities'!K393,78))</x:f>
        <x:v>0</x:v>
      </x:c>
      <x:c r="S393" s="23" t="n">
        <x:f>MAX(0,MIN('Activities'!L393,90)-MAX('Activities'!K393,84))</x:f>
        <x:v>0</x:v>
      </x:c>
      <x:c r="T393" s="23" t="n">
        <x:f>MAX(0,MIN('Activities'!L393,96)-MAX('Activities'!K393,90))</x:f>
        <x:v>0</x:v>
      </x:c>
      <x:c r="U393" s="23" t="n">
        <x:f>MAX(0,MIN('Activities'!L393,102)-MAX('Activities'!K393,96))</x:f>
        <x:v>0</x:v>
      </x:c>
      <x:c r="V393" s="23" t="n">
        <x:f>MAX(0,MIN('Activities'!L393,108)-MAX('Activities'!K393,102))</x:f>
        <x:v>0</x:v>
      </x:c>
      <x:c r="W393" s="23" t="n">
        <x:f>MAX(0,MIN('Activities'!L393,114)-MAX('Activities'!K393,108))</x:f>
        <x:v>0</x:v>
      </x:c>
      <x:c r="X393" s="23" t="n">
        <x:f>MAX(0,MIN('Activities'!L393,120)-MAX('Activities'!K393,114))</x:f>
        <x:v>0</x:v>
      </x:c>
      <x:c r="Y393" s="23" t="n">
        <x:f>MAX(0,MIN('Activities'!L393,126)-MAX('Activities'!K393,120))</x:f>
        <x:v>0</x:v>
      </x:c>
      <x:c r="Z393" s="23" t="n">
        <x:f>MAX(0,MIN('Activities'!L393,132)-MAX('Activities'!K393,126))</x:f>
        <x:v>0</x:v>
      </x:c>
      <x:c r="AA393" s="23" t="n">
        <x:f>MAX(0,MIN('Activities'!L393,138)-MAX('Activities'!K393,132))</x:f>
        <x:v>0</x:v>
      </x:c>
      <x:c r="AB393" s="23" t="n">
        <x:f>MAX(0,MIN('Activities'!L393,144)-MAX('Activities'!K393,138))</x:f>
        <x:v>0</x:v>
      </x:c>
      <x:c r="AC393" s="23" t="n">
        <x:f>MAX(0,MIN('Activities'!L393,150)-MAX('Activities'!K393,144))</x:f>
        <x:v>0</x:v>
      </x:c>
      <x:c r="AD393" s="23" t="n">
        <x:f>MAX(0,MIN('Activities'!L393,156)-MAX('Activities'!K393,150))</x:f>
        <x:v>0</x:v>
      </x:c>
      <x:c r="AE393" s="23" t="n">
        <x:f>MAX(0,MIN('Activities'!L393,162)-MAX('Activities'!K393,156))</x:f>
        <x:v>0</x:v>
      </x:c>
      <x:c r="AF393" s="23" t="n">
        <x:f>MAX(0,MIN('Activities'!L393,168)-MAX('Activities'!K393,162))</x:f>
        <x:v>0</x:v>
      </x:c>
      <x:c r="AG393" s="23" t="n">
        <x:f>MAX(0,MIN('Activities'!L393,174)-MAX('Activities'!K393,168))</x:f>
        <x:v>0</x:v>
      </x:c>
      <x:c r="AH393" s="23" t="n">
        <x:f>MAX(0,MIN('Activities'!L393,180)-MAX('Activities'!K393,174))</x:f>
        <x:v>0</x:v>
      </x:c>
      <x:c r="AI393" s="23" t="n">
        <x:f>MAX(0,MIN('Activities'!L393,186)-MAX('Activities'!K393,180))</x:f>
        <x:v>0</x:v>
      </x:c>
      <x:c r="AJ393" s="23" t="n">
        <x:f>MAX(0,MIN('Activities'!L393,192)-MAX('Activities'!K393,186))</x:f>
        <x:v>0</x:v>
      </x:c>
      <x:c r="AK393" s="23" t="n">
        <x:f>MAX(0,MIN('Activities'!L393,198)-MAX('Activities'!K393,192))</x:f>
        <x:v>0</x:v>
      </x:c>
      <x:c r="AL393" s="23" t="n">
        <x:f>MAX(0,MIN('Activities'!L393,204)-MAX('Activities'!K393,198))</x:f>
        <x:v>0</x:v>
      </x:c>
      <x:c r="AM393" s="23" t="n">
        <x:f>MAX(0,MIN('Activities'!L393,210)-MAX('Activities'!K393,204))</x:f>
        <x:v>0</x:v>
      </x:c>
      <x:c r="AN393" s="23" t="n">
        <x:f>MAX(0,MIN('Activities'!L393,216)-MAX('Activities'!K393,210))</x:f>
        <x:v>0</x:v>
      </x:c>
      <x:c r="AO393" s="23" t="n">
        <x:f>MAX(0,MIN('Activities'!L393,222)-MAX('Activities'!K393,216))</x:f>
        <x:v>0</x:v>
      </x:c>
      <x:c r="AP393" s="23" t="n">
        <x:f>MAX(0,MIN('Activities'!L393,228)-MAX('Activities'!K393,222))</x:f>
        <x:v>0</x:v>
      </x:c>
      <x:c r="AQ393" s="23" t="n">
        <x:f>MAX(0,MIN('Activities'!L393,234)-MAX('Activities'!K393,228))</x:f>
        <x:v>0</x:v>
      </x:c>
      <x:c r="AR393" s="23" t="n">
        <x:f>MAX(0,MIN('Activities'!L393,240)-MAX('Activities'!K393,234))</x:f>
        <x:v>0</x:v>
      </x:c>
      <x:c r="AS393" s="23" t="n">
        <x:f>MAX(0,MIN('Activities'!L393,246)-MAX('Activities'!K393,240))</x:f>
        <x:v>0</x:v>
      </x:c>
      <x:c r="AT393" s="23" t="n">
        <x:f>MAX(0,MIN('Activities'!L393,252)-MAX('Activities'!K393,246))</x:f>
        <x:v>0</x:v>
      </x:c>
      <x:c r="AU393" s="23" t="n">
        <x:f>MAX(0,MIN('Activities'!L393,258)-MAX('Activities'!K393,252))</x:f>
        <x:v>0</x:v>
      </x:c>
      <x:c r="AV393" s="23" t="n">
        <x:f>MAX(0,MIN('Activities'!L393,264)-MAX('Activities'!K393,258))</x:f>
        <x:v>0</x:v>
      </x:c>
      <x:c r="AW393" s="23" t="n">
        <x:f>MAX(0,MIN('Activities'!L393,270)-MAX('Activities'!K393,264))</x:f>
        <x:v>0</x:v>
      </x:c>
      <x:c r="AX393" s="23" t="n">
        <x:f>MAX(0,MIN('Activities'!L393,276)-MAX('Activities'!K393,270))</x:f>
        <x:v>0</x:v>
      </x:c>
      <x:c r="AY393" s="23" t="n">
        <x:f>MAX(0,MIN('Activities'!L393,282)-MAX('Activities'!K393,276))</x:f>
        <x:v>0</x:v>
      </x:c>
      <x:c r="AZ393" s="23" t="n">
        <x:f>MAX(0,MIN('Activities'!L393,288)-MAX('Activities'!K393,282))</x:f>
        <x:v>0</x:v>
      </x:c>
      <x:c r="BA393" s="23" t="n">
        <x:f>MAX(0,MIN('Activities'!L393,294)-MAX('Activities'!K393,288))</x:f>
        <x:v>0</x:v>
      </x:c>
      <x:c r="BB393" s="23" t="n">
        <x:f>MAX(0,MIN('Activities'!L393,300)-MAX('Activities'!K393,294))</x:f>
        <x:v>0</x:v>
      </x:c>
      <x:c r="BC393" s="23" t="n">
        <x:f>MAX(0,MIN('Activities'!L393,306)-MAX('Activities'!K393,300))</x:f>
        <x:v>0</x:v>
      </x:c>
      <x:c r="BD393" s="23" t="n">
        <x:f>MAX(0,MIN('Activities'!L393,312)-MAX('Activities'!K393,306))</x:f>
        <x:v>0</x:v>
      </x:c>
      <x:c r="BE393" s="23" t="n">
        <x:f>MAX(0,MIN('Activities'!L393,318)-MAX('Activities'!K393,312))</x:f>
        <x:v>0</x:v>
      </x:c>
      <x:c r="BF393" s="23" t="n">
        <x:f>MAX(0,MIN('Activities'!L393,324)-MAX('Activities'!K393,318))</x:f>
        <x:v>0</x:v>
      </x:c>
      <x:c r="BG393" s="23" t="n">
        <x:f>MAX(0,MIN('Activities'!L393,330)-MAX('Activities'!K393,324))</x:f>
        <x:v>0</x:v>
      </x:c>
      <x:c r="BH393" s="23" t="n">
        <x:f>MAX(0,MIN('Activities'!L393,336)-MAX('Activities'!K393,330))</x:f>
        <x:v>0</x:v>
      </x:c>
      <x:c r="BI393" s="23" t="n">
        <x:f>MAX(0,MIN('Activities'!L393,342)-MAX('Activities'!K393,336))</x:f>
        <x:v>0</x:v>
      </x:c>
      <x:c r="BJ393" s="23" t="n">
        <x:f>MAX(0,MIN('Activities'!L393,348)-MAX('Activities'!K393,342))</x:f>
        <x:v>0</x:v>
      </x:c>
      <x:c r="BK393" s="23" t="n">
        <x:f>MAX(0,MIN('Activities'!L393,354)-MAX('Activities'!K393,348))</x:f>
        <x:v>0</x:v>
      </x:c>
      <x:c r="BL393" s="23" t="n">
        <x:f>MAX(0,MIN('Activities'!L393,360)-MAX('Activities'!K393,354))</x:f>
        <x:v>0</x:v>
      </x:c>
      <x:c r="BM393" s="23" t="n">
        <x:f>MAX(0,MIN('Activities'!L393,366)-MAX('Activities'!K393,360))</x:f>
        <x:v>0</x:v>
      </x:c>
      <x:c r="BN393" s="23" t="n">
        <x:f>MAX(0,MIN('Activities'!L393,372)-MAX('Activities'!K393,366))</x:f>
        <x:v>0</x:v>
      </x:c>
      <x:c r="BO393" s="23" t="n">
        <x:f>MAX(0,MIN('Activities'!L393,378)-MAX('Activities'!K393,372))</x:f>
        <x:v>0</x:v>
      </x:c>
      <x:c r="BP393" s="23" t="n">
        <x:f>MAX(0,MIN('Activities'!L393,384)-MAX('Activities'!K393,378))</x:f>
        <x:v>0</x:v>
      </x:c>
      <x:c r="BQ393" s="23" t="n">
        <x:f>MAX(0,MIN('Activities'!L393,390)-MAX('Activities'!K393,384))</x:f>
        <x:v>0</x:v>
      </x:c>
      <x:c r="BR393" s="23" t="n">
        <x:f>MAX(0,MIN('Activities'!L393,396)-MAX('Activities'!K393,390))</x:f>
        <x:v>0</x:v>
      </x:c>
      <x:c r="BS393" s="23" t="n">
        <x:f>MAX(0,MIN('Activities'!L393,402)-MAX('Activities'!K393,396))</x:f>
        <x:v>0</x:v>
      </x:c>
      <x:c r="BT393" s="23" t="n">
        <x:f>MAX(0,MIN('Activities'!L393,408)-MAX('Activities'!K393,402))</x:f>
        <x:v>0</x:v>
      </x:c>
      <x:c r="BU393" s="23" t="n">
        <x:f>MAX(0,MIN('Activities'!L393,414)-MAX('Activities'!K393,408))</x:f>
        <x:v>1</x:v>
      </x:c>
      <x:c r="BV393" s="23" t="n">
        <x:f>MAX(0,MIN('Activities'!L393,420)-MAX('Activities'!K393,414))</x:f>
        <x:v>2</x:v>
      </x:c>
      <x:c r="BW393" s="23" t="n">
        <x:f>MAX(0,MIN('Activities'!L393,426)-MAX('Activities'!K393,420))</x:f>
        <x:v>0</x:v>
      </x:c>
      <x:c r="BX393" s="23" t="n">
        <x:f>MAX(0,MIN('Activities'!L393,432)-MAX('Activities'!K393,426))</x:f>
        <x:v>0</x:v>
      </x:c>
      <x:c r="BY393" s="23" t="n">
        <x:f>MAX(0,MIN('Activities'!L393,438)-MAX('Activities'!K393,432))</x:f>
        <x:v>0</x:v>
      </x:c>
      <x:c r="BZ393" s="23" t="n">
        <x:f>MAX(0,MIN('Activities'!L393,444)-MAX('Activities'!K393,438))</x:f>
        <x:v>0</x:v>
      </x:c>
      <x:c r="CA393" s="23" t="n">
        <x:f>MAX(0,MIN('Activities'!L393,450)-MAX('Activities'!K393,444))</x:f>
        <x:v>0</x:v>
      </x:c>
      <x:c r="CB393" s="23" t="n">
        <x:f>MAX(0,MIN('Activities'!L393,456)-MAX('Activities'!K393,450))</x:f>
        <x:v>0</x:v>
      </x:c>
      <x:c r="CC393" s="23" t="n">
        <x:f>MAX(0,MIN('Activities'!L393,462)-MAX('Activities'!K393,456))</x:f>
        <x:v>0</x:v>
      </x:c>
      <x:c r="CD393" s="23" t="n">
        <x:f>MAX(0,MIN('Activities'!L393,468)-MAX('Activities'!K393,462))</x:f>
        <x:v>0</x:v>
      </x:c>
      <x:c r="CE393" s="23" t="n">
        <x:f>MAX(0,MIN('Activities'!L393,474)-MAX('Activities'!K393,468))</x:f>
        <x:v>0</x:v>
      </x:c>
      <x:c r="CF393" s="23" t="n">
        <x:f>MAX(0,MIN('Activities'!L393,480)-MAX('Activities'!K393,474))</x:f>
        <x:v>0</x:v>
      </x:c>
      <x:c r="CG393" s="23" t="n">
        <x:f>MAX(0,MIN('Activities'!L393,486)-MAX('Activities'!K393,480))</x:f>
        <x:v>0</x:v>
      </x:c>
      <x:c r="CH393" s="23" t="n">
        <x:f>MAX(0,MIN('Activities'!L393,492)-MAX('Activities'!K393,486))</x:f>
        <x:v>0</x:v>
      </x:c>
      <x:c r="CI393" s="23" t="n">
        <x:f>MAX(0,MIN('Activities'!L393,498)-MAX('Activities'!K393,492))</x:f>
        <x:v>0</x:v>
      </x:c>
      <x:c r="CJ393" s="23" t="n">
        <x:f>MAX(0,MIN('Activities'!L393,504)-MAX('Activities'!K393,498))</x:f>
        <x:v>0</x:v>
      </x:c>
      <x:c r="CK393" s="23" t="n">
        <x:f>MAX(0,MIN('Activities'!L393,510)-MAX('Activities'!K393,504))</x:f>
        <x:v>0</x:v>
      </x:c>
      <x:c r="CL393" s="23" t="n">
        <x:f>MAX(0,MIN('Activities'!L393,516)-MAX('Activities'!K393,510))</x:f>
        <x:v>0</x:v>
      </x:c>
      <x:c r="CM393" s="23" t="n">
        <x:f>MAX(0,MIN('Activities'!L393,522)-MAX('Activities'!K393,516))</x:f>
        <x:v>0</x:v>
      </x:c>
      <x:c r="CN393" s="23" t="n">
        <x:f>MAX(0,MIN('Activities'!L393,528)-MAX('Activities'!K393,522))</x:f>
        <x:v>0</x:v>
      </x:c>
      <x:c r="CO393" s="23" t="n">
        <x:f>MAX(0,MIN('Activities'!L393,534)-MAX('Activities'!K393,528))</x:f>
        <x:v>0</x:v>
      </x:c>
      <x:c r="CP393" s="23" t="n">
        <x:f>MAX(0,MIN('Activities'!L393,540)-MAX('Activities'!K393,534))</x:f>
        <x:v>0</x:v>
      </x:c>
      <x:c r="CQ393" s="23" t="n">
        <x:f>MAX(0,MIN('Activities'!L393,546)-MAX('Activities'!K393,540))</x:f>
        <x:v>0</x:v>
      </x:c>
      <x:c r="CR393" s="23" t="n">
        <x:f>MAX(0,MIN('Activities'!L393,552)-MAX('Activities'!K393,546))</x:f>
        <x:v>0</x:v>
      </x:c>
      <x:c r="CS393" s="23" t="n">
        <x:f>MAX(0,MIN('Activities'!L393,558)-MAX('Activities'!K393,552))</x:f>
        <x:v>0</x:v>
      </x:c>
      <x:c r="CT393" s="23" t="n">
        <x:f>MAX(0,MIN('Activities'!L393,564)-MAX('Activities'!K393,558))</x:f>
        <x:v>0</x:v>
      </x:c>
      <x:c r="CU393" s="23" t="n">
        <x:f>MAX(0,MIN('Activities'!L393,570)-MAX('Activities'!K393,564))</x:f>
        <x:v>0</x:v>
      </x:c>
      <x:c r="CV393" s="23" t="n">
        <x:f>MAX(0,MIN('Activities'!L393,576)-MAX('Activities'!K393,570))</x:f>
        <x:v>0</x:v>
      </x:c>
      <x:c r="CW393" s="23" t="n">
        <x:f>MAX(0,MIN('Activities'!L393,582)-MAX('Activities'!K393,576))</x:f>
        <x:v>0</x:v>
      </x:c>
      <x:c r="CX393" s="23" t="n">
        <x:f>MAX(0,MIN('Activities'!L393,588)-MAX('Activities'!K393,582))</x:f>
        <x:v>0</x:v>
      </x:c>
      <x:c r="CY393" s="23" t="n">
        <x:f>MAX(0,MIN('Activities'!L393,594)-MAX('Activities'!K393,588))</x:f>
        <x:v>0</x:v>
      </x:c>
      <x:c r="CZ393" s="23" t="n">
        <x:f>MAX(0,MIN('Activities'!L393,600)-MAX('Activities'!K393,594))</x:f>
        <x:v>0</x:v>
      </x:c>
      <x:c r="DA393" s="23" t="n">
        <x:f>MAX(0,MIN('Activities'!L393,606)-MAX('Activities'!K393,600))</x:f>
        <x:v>0</x:v>
      </x:c>
      <x:c r="DB393" s="23" t="n">
        <x:f>MAX(0,MIN('Activities'!L393,612)-MAX('Activities'!K393,606))</x:f>
        <x:v>0</x:v>
      </x:c>
      <x:c r="DC393" s="23" t="n">
        <x:f>MAX(0,MIN('Activities'!L393,618)-MAX('Activities'!K393,612))</x:f>
        <x:v>0</x:v>
      </x:c>
      <x:c r="DD393" s="23" t="n">
        <x:f>MAX(0,MIN('Activities'!L393,624)-MAX('Activities'!K393,618))</x:f>
        <x:v>0</x:v>
      </x:c>
      <x:c r="DE393" s="23" t="n">
        <x:f>MAX(0,MIN('Activities'!L393,630)-MAX('Activities'!K393,624))</x:f>
        <x:v>0</x:v>
      </x:c>
      <x:c r="DF393" s="23" t="n">
        <x:f>MAX(0,MIN('Activities'!L393,636)-MAX('Activities'!K393,630))</x:f>
        <x:v>0</x:v>
      </x:c>
    </x:row>
    <x:row r="394" ht="23" customHeight="1">
      <x:c r="A394" s="6" t="str">
        <x:v>T3-L09-T</x:v>
      </x:c>
      <x:c r="B394" s="6" t="str">
        <x:v>T3</x:v>
      </x:c>
      <x:c r="C394" s="6" t="str">
        <x:v>Floor finishes and skirtings</x:v>
      </x:c>
      <x:c r="D394" s="6" t="str">
        <x:v>Finishes</x:v>
      </x:c>
      <x:c r="E394" s="22" t="n">
        <x:f>MAX(0,MIN('Activities'!L394,6)-MAX('Activities'!K394,0))</x:f>
        <x:v>0</x:v>
      </x:c>
      <x:c r="F394" s="22" t="n">
        <x:f>MAX(0,MIN('Activities'!L394,12)-MAX('Activities'!K394,6))</x:f>
        <x:v>0</x:v>
      </x:c>
      <x:c r="G394" s="22" t="n">
        <x:f>MAX(0,MIN('Activities'!L394,18)-MAX('Activities'!K394,12))</x:f>
        <x:v>0</x:v>
      </x:c>
      <x:c r="H394" s="22" t="n">
        <x:f>MAX(0,MIN('Activities'!L394,24)-MAX('Activities'!K394,18))</x:f>
        <x:v>0</x:v>
      </x:c>
      <x:c r="I394" s="22" t="n">
        <x:f>MAX(0,MIN('Activities'!L394,30)-MAX('Activities'!K394,24))</x:f>
        <x:v>0</x:v>
      </x:c>
      <x:c r="J394" s="22" t="n">
        <x:f>MAX(0,MIN('Activities'!L394,36)-MAX('Activities'!K394,30))</x:f>
        <x:v>0</x:v>
      </x:c>
      <x:c r="K394" s="22" t="n">
        <x:f>MAX(0,MIN('Activities'!L394,42)-MAX('Activities'!K394,36))</x:f>
        <x:v>0</x:v>
      </x:c>
      <x:c r="L394" s="22" t="n">
        <x:f>MAX(0,MIN('Activities'!L394,48)-MAX('Activities'!K394,42))</x:f>
        <x:v>0</x:v>
      </x:c>
      <x:c r="M394" s="22" t="n">
        <x:f>MAX(0,MIN('Activities'!L394,54)-MAX('Activities'!K394,48))</x:f>
        <x:v>0</x:v>
      </x:c>
      <x:c r="N394" s="22" t="n">
        <x:f>MAX(0,MIN('Activities'!L394,60)-MAX('Activities'!K394,54))</x:f>
        <x:v>0</x:v>
      </x:c>
      <x:c r="O394" s="22" t="n">
        <x:f>MAX(0,MIN('Activities'!L394,66)-MAX('Activities'!K394,60))</x:f>
        <x:v>0</x:v>
      </x:c>
      <x:c r="P394" s="22" t="n">
        <x:f>MAX(0,MIN('Activities'!L394,72)-MAX('Activities'!K394,66))</x:f>
        <x:v>0</x:v>
      </x:c>
      <x:c r="Q394" s="22" t="n">
        <x:f>MAX(0,MIN('Activities'!L394,78)-MAX('Activities'!K394,72))</x:f>
        <x:v>0</x:v>
      </x:c>
      <x:c r="R394" s="22" t="n">
        <x:f>MAX(0,MIN('Activities'!L394,84)-MAX('Activities'!K394,78))</x:f>
        <x:v>0</x:v>
      </x:c>
      <x:c r="S394" s="22" t="n">
        <x:f>MAX(0,MIN('Activities'!L394,90)-MAX('Activities'!K394,84))</x:f>
        <x:v>0</x:v>
      </x:c>
      <x:c r="T394" s="22" t="n">
        <x:f>MAX(0,MIN('Activities'!L394,96)-MAX('Activities'!K394,90))</x:f>
        <x:v>0</x:v>
      </x:c>
      <x:c r="U394" s="22" t="n">
        <x:f>MAX(0,MIN('Activities'!L394,102)-MAX('Activities'!K394,96))</x:f>
        <x:v>0</x:v>
      </x:c>
      <x:c r="V394" s="22" t="n">
        <x:f>MAX(0,MIN('Activities'!L394,108)-MAX('Activities'!K394,102))</x:f>
        <x:v>0</x:v>
      </x:c>
      <x:c r="W394" s="22" t="n">
        <x:f>MAX(0,MIN('Activities'!L394,114)-MAX('Activities'!K394,108))</x:f>
        <x:v>0</x:v>
      </x:c>
      <x:c r="X394" s="22" t="n">
        <x:f>MAX(0,MIN('Activities'!L394,120)-MAX('Activities'!K394,114))</x:f>
        <x:v>0</x:v>
      </x:c>
      <x:c r="Y394" s="22" t="n">
        <x:f>MAX(0,MIN('Activities'!L394,126)-MAX('Activities'!K394,120))</x:f>
        <x:v>0</x:v>
      </x:c>
      <x:c r="Z394" s="22" t="n">
        <x:f>MAX(0,MIN('Activities'!L394,132)-MAX('Activities'!K394,126))</x:f>
        <x:v>0</x:v>
      </x:c>
      <x:c r="AA394" s="22" t="n">
        <x:f>MAX(0,MIN('Activities'!L394,138)-MAX('Activities'!K394,132))</x:f>
        <x:v>0</x:v>
      </x:c>
      <x:c r="AB394" s="22" t="n">
        <x:f>MAX(0,MIN('Activities'!L394,144)-MAX('Activities'!K394,138))</x:f>
        <x:v>0</x:v>
      </x:c>
      <x:c r="AC394" s="22" t="n">
        <x:f>MAX(0,MIN('Activities'!L394,150)-MAX('Activities'!K394,144))</x:f>
        <x:v>0</x:v>
      </x:c>
      <x:c r="AD394" s="22" t="n">
        <x:f>MAX(0,MIN('Activities'!L394,156)-MAX('Activities'!K394,150))</x:f>
        <x:v>0</x:v>
      </x:c>
      <x:c r="AE394" s="22" t="n">
        <x:f>MAX(0,MIN('Activities'!L394,162)-MAX('Activities'!K394,156))</x:f>
        <x:v>0</x:v>
      </x:c>
      <x:c r="AF394" s="22" t="n">
        <x:f>MAX(0,MIN('Activities'!L394,168)-MAX('Activities'!K394,162))</x:f>
        <x:v>0</x:v>
      </x:c>
      <x:c r="AG394" s="22" t="n">
        <x:f>MAX(0,MIN('Activities'!L394,174)-MAX('Activities'!K394,168))</x:f>
        <x:v>0</x:v>
      </x:c>
      <x:c r="AH394" s="22" t="n">
        <x:f>MAX(0,MIN('Activities'!L394,180)-MAX('Activities'!K394,174))</x:f>
        <x:v>0</x:v>
      </x:c>
      <x:c r="AI394" s="22" t="n">
        <x:f>MAX(0,MIN('Activities'!L394,186)-MAX('Activities'!K394,180))</x:f>
        <x:v>0</x:v>
      </x:c>
      <x:c r="AJ394" s="22" t="n">
        <x:f>MAX(0,MIN('Activities'!L394,192)-MAX('Activities'!K394,186))</x:f>
        <x:v>0</x:v>
      </x:c>
      <x:c r="AK394" s="22" t="n">
        <x:f>MAX(0,MIN('Activities'!L394,198)-MAX('Activities'!K394,192))</x:f>
        <x:v>0</x:v>
      </x:c>
      <x:c r="AL394" s="22" t="n">
        <x:f>MAX(0,MIN('Activities'!L394,204)-MAX('Activities'!K394,198))</x:f>
        <x:v>0</x:v>
      </x:c>
      <x:c r="AM394" s="22" t="n">
        <x:f>MAX(0,MIN('Activities'!L394,210)-MAX('Activities'!K394,204))</x:f>
        <x:v>0</x:v>
      </x:c>
      <x:c r="AN394" s="22" t="n">
        <x:f>MAX(0,MIN('Activities'!L394,216)-MAX('Activities'!K394,210))</x:f>
        <x:v>0</x:v>
      </x:c>
      <x:c r="AO394" s="22" t="n">
        <x:f>MAX(0,MIN('Activities'!L394,222)-MAX('Activities'!K394,216))</x:f>
        <x:v>0</x:v>
      </x:c>
      <x:c r="AP394" s="22" t="n">
        <x:f>MAX(0,MIN('Activities'!L394,228)-MAX('Activities'!K394,222))</x:f>
        <x:v>0</x:v>
      </x:c>
      <x:c r="AQ394" s="22" t="n">
        <x:f>MAX(0,MIN('Activities'!L394,234)-MAX('Activities'!K394,228))</x:f>
        <x:v>0</x:v>
      </x:c>
      <x:c r="AR394" s="22" t="n">
        <x:f>MAX(0,MIN('Activities'!L394,240)-MAX('Activities'!K394,234))</x:f>
        <x:v>0</x:v>
      </x:c>
      <x:c r="AS394" s="22" t="n">
        <x:f>MAX(0,MIN('Activities'!L394,246)-MAX('Activities'!K394,240))</x:f>
        <x:v>0</x:v>
      </x:c>
      <x:c r="AT394" s="22" t="n">
        <x:f>MAX(0,MIN('Activities'!L394,252)-MAX('Activities'!K394,246))</x:f>
        <x:v>0</x:v>
      </x:c>
      <x:c r="AU394" s="22" t="n">
        <x:f>MAX(0,MIN('Activities'!L394,258)-MAX('Activities'!K394,252))</x:f>
        <x:v>0</x:v>
      </x:c>
      <x:c r="AV394" s="22" t="n">
        <x:f>MAX(0,MIN('Activities'!L394,264)-MAX('Activities'!K394,258))</x:f>
        <x:v>0</x:v>
      </x:c>
      <x:c r="AW394" s="22" t="n">
        <x:f>MAX(0,MIN('Activities'!L394,270)-MAX('Activities'!K394,264))</x:f>
        <x:v>0</x:v>
      </x:c>
      <x:c r="AX394" s="22" t="n">
        <x:f>MAX(0,MIN('Activities'!L394,276)-MAX('Activities'!K394,270))</x:f>
        <x:v>0</x:v>
      </x:c>
      <x:c r="AY394" s="22" t="n">
        <x:f>MAX(0,MIN('Activities'!L394,282)-MAX('Activities'!K394,276))</x:f>
        <x:v>0</x:v>
      </x:c>
      <x:c r="AZ394" s="22" t="n">
        <x:f>MAX(0,MIN('Activities'!L394,288)-MAX('Activities'!K394,282))</x:f>
        <x:v>0</x:v>
      </x:c>
      <x:c r="BA394" s="22" t="n">
        <x:f>MAX(0,MIN('Activities'!L394,294)-MAX('Activities'!K394,288))</x:f>
        <x:v>0</x:v>
      </x:c>
      <x:c r="BB394" s="22" t="n">
        <x:f>MAX(0,MIN('Activities'!L394,300)-MAX('Activities'!K394,294))</x:f>
        <x:v>0</x:v>
      </x:c>
      <x:c r="BC394" s="22" t="n">
        <x:f>MAX(0,MIN('Activities'!L394,306)-MAX('Activities'!K394,300))</x:f>
        <x:v>0</x:v>
      </x:c>
      <x:c r="BD394" s="22" t="n">
        <x:f>MAX(0,MIN('Activities'!L394,312)-MAX('Activities'!K394,306))</x:f>
        <x:v>0</x:v>
      </x:c>
      <x:c r="BE394" s="22" t="n">
        <x:f>MAX(0,MIN('Activities'!L394,318)-MAX('Activities'!K394,312))</x:f>
        <x:v>0</x:v>
      </x:c>
      <x:c r="BF394" s="22" t="n">
        <x:f>MAX(0,MIN('Activities'!L394,324)-MAX('Activities'!K394,318))</x:f>
        <x:v>0</x:v>
      </x:c>
      <x:c r="BG394" s="22" t="n">
        <x:f>MAX(0,MIN('Activities'!L394,330)-MAX('Activities'!K394,324))</x:f>
        <x:v>0</x:v>
      </x:c>
      <x:c r="BH394" s="22" t="n">
        <x:f>MAX(0,MIN('Activities'!L394,336)-MAX('Activities'!K394,330))</x:f>
        <x:v>0</x:v>
      </x:c>
      <x:c r="BI394" s="22" t="n">
        <x:f>MAX(0,MIN('Activities'!L394,342)-MAX('Activities'!K394,336))</x:f>
        <x:v>0</x:v>
      </x:c>
      <x:c r="BJ394" s="22" t="n">
        <x:f>MAX(0,MIN('Activities'!L394,348)-MAX('Activities'!K394,342))</x:f>
        <x:v>0</x:v>
      </x:c>
      <x:c r="BK394" s="22" t="n">
        <x:f>MAX(0,MIN('Activities'!L394,354)-MAX('Activities'!K394,348))</x:f>
        <x:v>0</x:v>
      </x:c>
      <x:c r="BL394" s="22" t="n">
        <x:f>MAX(0,MIN('Activities'!L394,360)-MAX('Activities'!K394,354))</x:f>
        <x:v>0</x:v>
      </x:c>
      <x:c r="BM394" s="22" t="n">
        <x:f>MAX(0,MIN('Activities'!L394,366)-MAX('Activities'!K394,360))</x:f>
        <x:v>0</x:v>
      </x:c>
      <x:c r="BN394" s="22" t="n">
        <x:f>MAX(0,MIN('Activities'!L394,372)-MAX('Activities'!K394,366))</x:f>
        <x:v>0</x:v>
      </x:c>
      <x:c r="BO394" s="22" t="n">
        <x:f>MAX(0,MIN('Activities'!L394,378)-MAX('Activities'!K394,372))</x:f>
        <x:v>0</x:v>
      </x:c>
      <x:c r="BP394" s="22" t="n">
        <x:f>MAX(0,MIN('Activities'!L394,384)-MAX('Activities'!K394,378))</x:f>
        <x:v>0</x:v>
      </x:c>
      <x:c r="BQ394" s="22" t="n">
        <x:f>MAX(0,MIN('Activities'!L394,390)-MAX('Activities'!K394,384))</x:f>
        <x:v>0</x:v>
      </x:c>
      <x:c r="BR394" s="22" t="n">
        <x:f>MAX(0,MIN('Activities'!L394,396)-MAX('Activities'!K394,390))</x:f>
        <x:v>0</x:v>
      </x:c>
      <x:c r="BS394" s="22" t="n">
        <x:f>MAX(0,MIN('Activities'!L394,402)-MAX('Activities'!K394,396))</x:f>
        <x:v>0</x:v>
      </x:c>
      <x:c r="BT394" s="22" t="n">
        <x:f>MAX(0,MIN('Activities'!L394,408)-MAX('Activities'!K394,402))</x:f>
        <x:v>0</x:v>
      </x:c>
      <x:c r="BU394" s="22" t="n">
        <x:f>MAX(0,MIN('Activities'!L394,414)-MAX('Activities'!K394,408))</x:f>
        <x:v>0</x:v>
      </x:c>
      <x:c r="BV394" s="22" t="n">
        <x:f>MAX(0,MIN('Activities'!L394,420)-MAX('Activities'!K394,414))</x:f>
        <x:v>0</x:v>
      </x:c>
      <x:c r="BW394" s="22" t="n">
        <x:f>MAX(0,MIN('Activities'!L394,426)-MAX('Activities'!K394,420))</x:f>
        <x:v>0</x:v>
      </x:c>
      <x:c r="BX394" s="22" t="n">
        <x:f>MAX(0,MIN('Activities'!L394,432)-MAX('Activities'!K394,426))</x:f>
        <x:v>2</x:v>
      </x:c>
      <x:c r="BY394" s="22" t="n">
        <x:f>MAX(0,MIN('Activities'!L394,438)-MAX('Activities'!K394,432))</x:f>
        <x:v>4</x:v>
      </x:c>
      <x:c r="BZ394" s="22" t="n">
        <x:f>MAX(0,MIN('Activities'!L394,444)-MAX('Activities'!K394,438))</x:f>
        <x:v>0</x:v>
      </x:c>
      <x:c r="CA394" s="22" t="n">
        <x:f>MAX(0,MIN('Activities'!L394,450)-MAX('Activities'!K394,444))</x:f>
        <x:v>0</x:v>
      </x:c>
      <x:c r="CB394" s="22" t="n">
        <x:f>MAX(0,MIN('Activities'!L394,456)-MAX('Activities'!K394,450))</x:f>
        <x:v>0</x:v>
      </x:c>
      <x:c r="CC394" s="22" t="n">
        <x:f>MAX(0,MIN('Activities'!L394,462)-MAX('Activities'!K394,456))</x:f>
        <x:v>0</x:v>
      </x:c>
      <x:c r="CD394" s="22" t="n">
        <x:f>MAX(0,MIN('Activities'!L394,468)-MAX('Activities'!K394,462))</x:f>
        <x:v>0</x:v>
      </x:c>
      <x:c r="CE394" s="22" t="n">
        <x:f>MAX(0,MIN('Activities'!L394,474)-MAX('Activities'!K394,468))</x:f>
        <x:v>0</x:v>
      </x:c>
      <x:c r="CF394" s="22" t="n">
        <x:f>MAX(0,MIN('Activities'!L394,480)-MAX('Activities'!K394,474))</x:f>
        <x:v>0</x:v>
      </x:c>
      <x:c r="CG394" s="22" t="n">
        <x:f>MAX(0,MIN('Activities'!L394,486)-MAX('Activities'!K394,480))</x:f>
        <x:v>0</x:v>
      </x:c>
      <x:c r="CH394" s="22" t="n">
        <x:f>MAX(0,MIN('Activities'!L394,492)-MAX('Activities'!K394,486))</x:f>
        <x:v>0</x:v>
      </x:c>
      <x:c r="CI394" s="22" t="n">
        <x:f>MAX(0,MIN('Activities'!L394,498)-MAX('Activities'!K394,492))</x:f>
        <x:v>0</x:v>
      </x:c>
      <x:c r="CJ394" s="22" t="n">
        <x:f>MAX(0,MIN('Activities'!L394,504)-MAX('Activities'!K394,498))</x:f>
        <x:v>0</x:v>
      </x:c>
      <x:c r="CK394" s="22" t="n">
        <x:f>MAX(0,MIN('Activities'!L394,510)-MAX('Activities'!K394,504))</x:f>
        <x:v>0</x:v>
      </x:c>
      <x:c r="CL394" s="22" t="n">
        <x:f>MAX(0,MIN('Activities'!L394,516)-MAX('Activities'!K394,510))</x:f>
        <x:v>0</x:v>
      </x:c>
      <x:c r="CM394" s="22" t="n">
        <x:f>MAX(0,MIN('Activities'!L394,522)-MAX('Activities'!K394,516))</x:f>
        <x:v>0</x:v>
      </x:c>
      <x:c r="CN394" s="22" t="n">
        <x:f>MAX(0,MIN('Activities'!L394,528)-MAX('Activities'!K394,522))</x:f>
        <x:v>0</x:v>
      </x:c>
      <x:c r="CO394" s="22" t="n">
        <x:f>MAX(0,MIN('Activities'!L394,534)-MAX('Activities'!K394,528))</x:f>
        <x:v>0</x:v>
      </x:c>
      <x:c r="CP394" s="22" t="n">
        <x:f>MAX(0,MIN('Activities'!L394,540)-MAX('Activities'!K394,534))</x:f>
        <x:v>0</x:v>
      </x:c>
      <x:c r="CQ394" s="22" t="n">
        <x:f>MAX(0,MIN('Activities'!L394,546)-MAX('Activities'!K394,540))</x:f>
        <x:v>0</x:v>
      </x:c>
      <x:c r="CR394" s="22" t="n">
        <x:f>MAX(0,MIN('Activities'!L394,552)-MAX('Activities'!K394,546))</x:f>
        <x:v>0</x:v>
      </x:c>
      <x:c r="CS394" s="22" t="n">
        <x:f>MAX(0,MIN('Activities'!L394,558)-MAX('Activities'!K394,552))</x:f>
        <x:v>0</x:v>
      </x:c>
      <x:c r="CT394" s="22" t="n">
        <x:f>MAX(0,MIN('Activities'!L394,564)-MAX('Activities'!K394,558))</x:f>
        <x:v>0</x:v>
      </x:c>
      <x:c r="CU394" s="22" t="n">
        <x:f>MAX(0,MIN('Activities'!L394,570)-MAX('Activities'!K394,564))</x:f>
        <x:v>0</x:v>
      </x:c>
      <x:c r="CV394" s="22" t="n">
        <x:f>MAX(0,MIN('Activities'!L394,576)-MAX('Activities'!K394,570))</x:f>
        <x:v>0</x:v>
      </x:c>
      <x:c r="CW394" s="22" t="n">
        <x:f>MAX(0,MIN('Activities'!L394,582)-MAX('Activities'!K394,576))</x:f>
        <x:v>0</x:v>
      </x:c>
      <x:c r="CX394" s="22" t="n">
        <x:f>MAX(0,MIN('Activities'!L394,588)-MAX('Activities'!K394,582))</x:f>
        <x:v>0</x:v>
      </x:c>
      <x:c r="CY394" s="22" t="n">
        <x:f>MAX(0,MIN('Activities'!L394,594)-MAX('Activities'!K394,588))</x:f>
        <x:v>0</x:v>
      </x:c>
      <x:c r="CZ394" s="22" t="n">
        <x:f>MAX(0,MIN('Activities'!L394,600)-MAX('Activities'!K394,594))</x:f>
        <x:v>0</x:v>
      </x:c>
      <x:c r="DA394" s="22" t="n">
        <x:f>MAX(0,MIN('Activities'!L394,606)-MAX('Activities'!K394,600))</x:f>
        <x:v>0</x:v>
      </x:c>
      <x:c r="DB394" s="22" t="n">
        <x:f>MAX(0,MIN('Activities'!L394,612)-MAX('Activities'!K394,606))</x:f>
        <x:v>0</x:v>
      </x:c>
      <x:c r="DC394" s="22" t="n">
        <x:f>MAX(0,MIN('Activities'!L394,618)-MAX('Activities'!K394,612))</x:f>
        <x:v>0</x:v>
      </x:c>
      <x:c r="DD394" s="22" t="n">
        <x:f>MAX(0,MIN('Activities'!L394,624)-MAX('Activities'!K394,618))</x:f>
        <x:v>0</x:v>
      </x:c>
      <x:c r="DE394" s="22" t="n">
        <x:f>MAX(0,MIN('Activities'!L394,630)-MAX('Activities'!K394,624))</x:f>
        <x:v>0</x:v>
      </x:c>
      <x:c r="DF394" s="22" t="n">
        <x:f>MAX(0,MIN('Activities'!L394,636)-MAX('Activities'!K394,630))</x:f>
        <x:v>0</x:v>
      </x:c>
    </x:row>
    <x:row r="395" ht="23" customHeight="1">
      <x:c r="A395" s="1" t="str">
        <x:v>T3-L09-A</x:v>
      </x:c>
      <x:c r="B395" s="1" t="str">
        <x:v>T3</x:v>
      </x:c>
      <x:c r="C395" s="1" t="str">
        <x:v>Paint and final decorations</x:v>
      </x:c>
      <x:c r="D395" s="1" t="str">
        <x:v>Finishes</x:v>
      </x:c>
      <x:c r="E395" s="23" t="n">
        <x:f>MAX(0,MIN('Activities'!L395,6)-MAX('Activities'!K395,0))</x:f>
        <x:v>0</x:v>
      </x:c>
      <x:c r="F395" s="23" t="n">
        <x:f>MAX(0,MIN('Activities'!L395,12)-MAX('Activities'!K395,6))</x:f>
        <x:v>0</x:v>
      </x:c>
      <x:c r="G395" s="23" t="n">
        <x:f>MAX(0,MIN('Activities'!L395,18)-MAX('Activities'!K395,12))</x:f>
        <x:v>0</x:v>
      </x:c>
      <x:c r="H395" s="23" t="n">
        <x:f>MAX(0,MIN('Activities'!L395,24)-MAX('Activities'!K395,18))</x:f>
        <x:v>0</x:v>
      </x:c>
      <x:c r="I395" s="23" t="n">
        <x:f>MAX(0,MIN('Activities'!L395,30)-MAX('Activities'!K395,24))</x:f>
        <x:v>0</x:v>
      </x:c>
      <x:c r="J395" s="23" t="n">
        <x:f>MAX(0,MIN('Activities'!L395,36)-MAX('Activities'!K395,30))</x:f>
        <x:v>0</x:v>
      </x:c>
      <x:c r="K395" s="23" t="n">
        <x:f>MAX(0,MIN('Activities'!L395,42)-MAX('Activities'!K395,36))</x:f>
        <x:v>0</x:v>
      </x:c>
      <x:c r="L395" s="23" t="n">
        <x:f>MAX(0,MIN('Activities'!L395,48)-MAX('Activities'!K395,42))</x:f>
        <x:v>0</x:v>
      </x:c>
      <x:c r="M395" s="23" t="n">
        <x:f>MAX(0,MIN('Activities'!L395,54)-MAX('Activities'!K395,48))</x:f>
        <x:v>0</x:v>
      </x:c>
      <x:c r="N395" s="23" t="n">
        <x:f>MAX(0,MIN('Activities'!L395,60)-MAX('Activities'!K395,54))</x:f>
        <x:v>0</x:v>
      </x:c>
      <x:c r="O395" s="23" t="n">
        <x:f>MAX(0,MIN('Activities'!L395,66)-MAX('Activities'!K395,60))</x:f>
        <x:v>0</x:v>
      </x:c>
      <x:c r="P395" s="23" t="n">
        <x:f>MAX(0,MIN('Activities'!L395,72)-MAX('Activities'!K395,66))</x:f>
        <x:v>0</x:v>
      </x:c>
      <x:c r="Q395" s="23" t="n">
        <x:f>MAX(0,MIN('Activities'!L395,78)-MAX('Activities'!K395,72))</x:f>
        <x:v>0</x:v>
      </x:c>
      <x:c r="R395" s="23" t="n">
        <x:f>MAX(0,MIN('Activities'!L395,84)-MAX('Activities'!K395,78))</x:f>
        <x:v>0</x:v>
      </x:c>
      <x:c r="S395" s="23" t="n">
        <x:f>MAX(0,MIN('Activities'!L395,90)-MAX('Activities'!K395,84))</x:f>
        <x:v>0</x:v>
      </x:c>
      <x:c r="T395" s="23" t="n">
        <x:f>MAX(0,MIN('Activities'!L395,96)-MAX('Activities'!K395,90))</x:f>
        <x:v>0</x:v>
      </x:c>
      <x:c r="U395" s="23" t="n">
        <x:f>MAX(0,MIN('Activities'!L395,102)-MAX('Activities'!K395,96))</x:f>
        <x:v>0</x:v>
      </x:c>
      <x:c r="V395" s="23" t="n">
        <x:f>MAX(0,MIN('Activities'!L395,108)-MAX('Activities'!K395,102))</x:f>
        <x:v>0</x:v>
      </x:c>
      <x:c r="W395" s="23" t="n">
        <x:f>MAX(0,MIN('Activities'!L395,114)-MAX('Activities'!K395,108))</x:f>
        <x:v>0</x:v>
      </x:c>
      <x:c r="X395" s="23" t="n">
        <x:f>MAX(0,MIN('Activities'!L395,120)-MAX('Activities'!K395,114))</x:f>
        <x:v>0</x:v>
      </x:c>
      <x:c r="Y395" s="23" t="n">
        <x:f>MAX(0,MIN('Activities'!L395,126)-MAX('Activities'!K395,120))</x:f>
        <x:v>0</x:v>
      </x:c>
      <x:c r="Z395" s="23" t="n">
        <x:f>MAX(0,MIN('Activities'!L395,132)-MAX('Activities'!K395,126))</x:f>
        <x:v>0</x:v>
      </x:c>
      <x:c r="AA395" s="23" t="n">
        <x:f>MAX(0,MIN('Activities'!L395,138)-MAX('Activities'!K395,132))</x:f>
        <x:v>0</x:v>
      </x:c>
      <x:c r="AB395" s="23" t="n">
        <x:f>MAX(0,MIN('Activities'!L395,144)-MAX('Activities'!K395,138))</x:f>
        <x:v>0</x:v>
      </x:c>
      <x:c r="AC395" s="23" t="n">
        <x:f>MAX(0,MIN('Activities'!L395,150)-MAX('Activities'!K395,144))</x:f>
        <x:v>0</x:v>
      </x:c>
      <x:c r="AD395" s="23" t="n">
        <x:f>MAX(0,MIN('Activities'!L395,156)-MAX('Activities'!K395,150))</x:f>
        <x:v>0</x:v>
      </x:c>
      <x:c r="AE395" s="23" t="n">
        <x:f>MAX(0,MIN('Activities'!L395,162)-MAX('Activities'!K395,156))</x:f>
        <x:v>0</x:v>
      </x:c>
      <x:c r="AF395" s="23" t="n">
        <x:f>MAX(0,MIN('Activities'!L395,168)-MAX('Activities'!K395,162))</x:f>
        <x:v>0</x:v>
      </x:c>
      <x:c r="AG395" s="23" t="n">
        <x:f>MAX(0,MIN('Activities'!L395,174)-MAX('Activities'!K395,168))</x:f>
        <x:v>0</x:v>
      </x:c>
      <x:c r="AH395" s="23" t="n">
        <x:f>MAX(0,MIN('Activities'!L395,180)-MAX('Activities'!K395,174))</x:f>
        <x:v>0</x:v>
      </x:c>
      <x:c r="AI395" s="23" t="n">
        <x:f>MAX(0,MIN('Activities'!L395,186)-MAX('Activities'!K395,180))</x:f>
        <x:v>0</x:v>
      </x:c>
      <x:c r="AJ395" s="23" t="n">
        <x:f>MAX(0,MIN('Activities'!L395,192)-MAX('Activities'!K395,186))</x:f>
        <x:v>0</x:v>
      </x:c>
      <x:c r="AK395" s="23" t="n">
        <x:f>MAX(0,MIN('Activities'!L395,198)-MAX('Activities'!K395,192))</x:f>
        <x:v>0</x:v>
      </x:c>
      <x:c r="AL395" s="23" t="n">
        <x:f>MAX(0,MIN('Activities'!L395,204)-MAX('Activities'!K395,198))</x:f>
        <x:v>0</x:v>
      </x:c>
      <x:c r="AM395" s="23" t="n">
        <x:f>MAX(0,MIN('Activities'!L395,210)-MAX('Activities'!K395,204))</x:f>
        <x:v>0</x:v>
      </x:c>
      <x:c r="AN395" s="23" t="n">
        <x:f>MAX(0,MIN('Activities'!L395,216)-MAX('Activities'!K395,210))</x:f>
        <x:v>0</x:v>
      </x:c>
      <x:c r="AO395" s="23" t="n">
        <x:f>MAX(0,MIN('Activities'!L395,222)-MAX('Activities'!K395,216))</x:f>
        <x:v>0</x:v>
      </x:c>
      <x:c r="AP395" s="23" t="n">
        <x:f>MAX(0,MIN('Activities'!L395,228)-MAX('Activities'!K395,222))</x:f>
        <x:v>0</x:v>
      </x:c>
      <x:c r="AQ395" s="23" t="n">
        <x:f>MAX(0,MIN('Activities'!L395,234)-MAX('Activities'!K395,228))</x:f>
        <x:v>0</x:v>
      </x:c>
      <x:c r="AR395" s="23" t="n">
        <x:f>MAX(0,MIN('Activities'!L395,240)-MAX('Activities'!K395,234))</x:f>
        <x:v>0</x:v>
      </x:c>
      <x:c r="AS395" s="23" t="n">
        <x:f>MAX(0,MIN('Activities'!L395,246)-MAX('Activities'!K395,240))</x:f>
        <x:v>0</x:v>
      </x:c>
      <x:c r="AT395" s="23" t="n">
        <x:f>MAX(0,MIN('Activities'!L395,252)-MAX('Activities'!K395,246))</x:f>
        <x:v>0</x:v>
      </x:c>
      <x:c r="AU395" s="23" t="n">
        <x:f>MAX(0,MIN('Activities'!L395,258)-MAX('Activities'!K395,252))</x:f>
        <x:v>0</x:v>
      </x:c>
      <x:c r="AV395" s="23" t="n">
        <x:f>MAX(0,MIN('Activities'!L395,264)-MAX('Activities'!K395,258))</x:f>
        <x:v>0</x:v>
      </x:c>
      <x:c r="AW395" s="23" t="n">
        <x:f>MAX(0,MIN('Activities'!L395,270)-MAX('Activities'!K395,264))</x:f>
        <x:v>0</x:v>
      </x:c>
      <x:c r="AX395" s="23" t="n">
        <x:f>MAX(0,MIN('Activities'!L395,276)-MAX('Activities'!K395,270))</x:f>
        <x:v>0</x:v>
      </x:c>
      <x:c r="AY395" s="23" t="n">
        <x:f>MAX(0,MIN('Activities'!L395,282)-MAX('Activities'!K395,276))</x:f>
        <x:v>0</x:v>
      </x:c>
      <x:c r="AZ395" s="23" t="n">
        <x:f>MAX(0,MIN('Activities'!L395,288)-MAX('Activities'!K395,282))</x:f>
        <x:v>0</x:v>
      </x:c>
      <x:c r="BA395" s="23" t="n">
        <x:f>MAX(0,MIN('Activities'!L395,294)-MAX('Activities'!K395,288))</x:f>
        <x:v>0</x:v>
      </x:c>
      <x:c r="BB395" s="23" t="n">
        <x:f>MAX(0,MIN('Activities'!L395,300)-MAX('Activities'!K395,294))</x:f>
        <x:v>0</x:v>
      </x:c>
      <x:c r="BC395" s="23" t="n">
        <x:f>MAX(0,MIN('Activities'!L395,306)-MAX('Activities'!K395,300))</x:f>
        <x:v>0</x:v>
      </x:c>
      <x:c r="BD395" s="23" t="n">
        <x:f>MAX(0,MIN('Activities'!L395,312)-MAX('Activities'!K395,306))</x:f>
        <x:v>0</x:v>
      </x:c>
      <x:c r="BE395" s="23" t="n">
        <x:f>MAX(0,MIN('Activities'!L395,318)-MAX('Activities'!K395,312))</x:f>
        <x:v>0</x:v>
      </x:c>
      <x:c r="BF395" s="23" t="n">
        <x:f>MAX(0,MIN('Activities'!L395,324)-MAX('Activities'!K395,318))</x:f>
        <x:v>0</x:v>
      </x:c>
      <x:c r="BG395" s="23" t="n">
        <x:f>MAX(0,MIN('Activities'!L395,330)-MAX('Activities'!K395,324))</x:f>
        <x:v>0</x:v>
      </x:c>
      <x:c r="BH395" s="23" t="n">
        <x:f>MAX(0,MIN('Activities'!L395,336)-MAX('Activities'!K395,330))</x:f>
        <x:v>0</x:v>
      </x:c>
      <x:c r="BI395" s="23" t="n">
        <x:f>MAX(0,MIN('Activities'!L395,342)-MAX('Activities'!K395,336))</x:f>
        <x:v>0</x:v>
      </x:c>
      <x:c r="BJ395" s="23" t="n">
        <x:f>MAX(0,MIN('Activities'!L395,348)-MAX('Activities'!K395,342))</x:f>
        <x:v>0</x:v>
      </x:c>
      <x:c r="BK395" s="23" t="n">
        <x:f>MAX(0,MIN('Activities'!L395,354)-MAX('Activities'!K395,348))</x:f>
        <x:v>0</x:v>
      </x:c>
      <x:c r="BL395" s="23" t="n">
        <x:f>MAX(0,MIN('Activities'!L395,360)-MAX('Activities'!K395,354))</x:f>
        <x:v>0</x:v>
      </x:c>
      <x:c r="BM395" s="23" t="n">
        <x:f>MAX(0,MIN('Activities'!L395,366)-MAX('Activities'!K395,360))</x:f>
        <x:v>0</x:v>
      </x:c>
      <x:c r="BN395" s="23" t="n">
        <x:f>MAX(0,MIN('Activities'!L395,372)-MAX('Activities'!K395,366))</x:f>
        <x:v>0</x:v>
      </x:c>
      <x:c r="BO395" s="23" t="n">
        <x:f>MAX(0,MIN('Activities'!L395,378)-MAX('Activities'!K395,372))</x:f>
        <x:v>0</x:v>
      </x:c>
      <x:c r="BP395" s="23" t="n">
        <x:f>MAX(0,MIN('Activities'!L395,384)-MAX('Activities'!K395,378))</x:f>
        <x:v>0</x:v>
      </x:c>
      <x:c r="BQ395" s="23" t="n">
        <x:f>MAX(0,MIN('Activities'!L395,390)-MAX('Activities'!K395,384))</x:f>
        <x:v>0</x:v>
      </x:c>
      <x:c r="BR395" s="23" t="n">
        <x:f>MAX(0,MIN('Activities'!L395,396)-MAX('Activities'!K395,390))</x:f>
        <x:v>0</x:v>
      </x:c>
      <x:c r="BS395" s="23" t="n">
        <x:f>MAX(0,MIN('Activities'!L395,402)-MAX('Activities'!K395,396))</x:f>
        <x:v>0</x:v>
      </x:c>
      <x:c r="BT395" s="23" t="n">
        <x:f>MAX(0,MIN('Activities'!L395,408)-MAX('Activities'!K395,402))</x:f>
        <x:v>0</x:v>
      </x:c>
      <x:c r="BU395" s="23" t="n">
        <x:f>MAX(0,MIN('Activities'!L395,414)-MAX('Activities'!K395,408))</x:f>
        <x:v>0</x:v>
      </x:c>
      <x:c r="BV395" s="23" t="n">
        <x:f>MAX(0,MIN('Activities'!L395,420)-MAX('Activities'!K395,414))</x:f>
        <x:v>0</x:v>
      </x:c>
      <x:c r="BW395" s="23" t="n">
        <x:f>MAX(0,MIN('Activities'!L395,426)-MAX('Activities'!K395,420))</x:f>
        <x:v>0</x:v>
      </x:c>
      <x:c r="BX395" s="23" t="n">
        <x:f>MAX(0,MIN('Activities'!L395,432)-MAX('Activities'!K395,426))</x:f>
        <x:v>0</x:v>
      </x:c>
      <x:c r="BY395" s="23" t="n">
        <x:f>MAX(0,MIN('Activities'!L395,438)-MAX('Activities'!K395,432))</x:f>
        <x:v>0</x:v>
      </x:c>
      <x:c r="BZ395" s="23" t="n">
        <x:f>MAX(0,MIN('Activities'!L395,444)-MAX('Activities'!K395,438))</x:f>
        <x:v>5</x:v>
      </x:c>
      <x:c r="CA395" s="23" t="n">
        <x:f>MAX(0,MIN('Activities'!L395,450)-MAX('Activities'!K395,444))</x:f>
        <x:v>0</x:v>
      </x:c>
      <x:c r="CB395" s="23" t="n">
        <x:f>MAX(0,MIN('Activities'!L395,456)-MAX('Activities'!K395,450))</x:f>
        <x:v>0</x:v>
      </x:c>
      <x:c r="CC395" s="23" t="n">
        <x:f>MAX(0,MIN('Activities'!L395,462)-MAX('Activities'!K395,456))</x:f>
        <x:v>0</x:v>
      </x:c>
      <x:c r="CD395" s="23" t="n">
        <x:f>MAX(0,MIN('Activities'!L395,468)-MAX('Activities'!K395,462))</x:f>
        <x:v>0</x:v>
      </x:c>
      <x:c r="CE395" s="23" t="n">
        <x:f>MAX(0,MIN('Activities'!L395,474)-MAX('Activities'!K395,468))</x:f>
        <x:v>0</x:v>
      </x:c>
      <x:c r="CF395" s="23" t="n">
        <x:f>MAX(0,MIN('Activities'!L395,480)-MAX('Activities'!K395,474))</x:f>
        <x:v>0</x:v>
      </x:c>
      <x:c r="CG395" s="23" t="n">
        <x:f>MAX(0,MIN('Activities'!L395,486)-MAX('Activities'!K395,480))</x:f>
        <x:v>0</x:v>
      </x:c>
      <x:c r="CH395" s="23" t="n">
        <x:f>MAX(0,MIN('Activities'!L395,492)-MAX('Activities'!K395,486))</x:f>
        <x:v>0</x:v>
      </x:c>
      <x:c r="CI395" s="23" t="n">
        <x:f>MAX(0,MIN('Activities'!L395,498)-MAX('Activities'!K395,492))</x:f>
        <x:v>0</x:v>
      </x:c>
      <x:c r="CJ395" s="23" t="n">
        <x:f>MAX(0,MIN('Activities'!L395,504)-MAX('Activities'!K395,498))</x:f>
        <x:v>0</x:v>
      </x:c>
      <x:c r="CK395" s="23" t="n">
        <x:f>MAX(0,MIN('Activities'!L395,510)-MAX('Activities'!K395,504))</x:f>
        <x:v>0</x:v>
      </x:c>
      <x:c r="CL395" s="23" t="n">
        <x:f>MAX(0,MIN('Activities'!L395,516)-MAX('Activities'!K395,510))</x:f>
        <x:v>0</x:v>
      </x:c>
      <x:c r="CM395" s="23" t="n">
        <x:f>MAX(0,MIN('Activities'!L395,522)-MAX('Activities'!K395,516))</x:f>
        <x:v>0</x:v>
      </x:c>
      <x:c r="CN395" s="23" t="n">
        <x:f>MAX(0,MIN('Activities'!L395,528)-MAX('Activities'!K395,522))</x:f>
        <x:v>0</x:v>
      </x:c>
      <x:c r="CO395" s="23" t="n">
        <x:f>MAX(0,MIN('Activities'!L395,534)-MAX('Activities'!K395,528))</x:f>
        <x:v>0</x:v>
      </x:c>
      <x:c r="CP395" s="23" t="n">
        <x:f>MAX(0,MIN('Activities'!L395,540)-MAX('Activities'!K395,534))</x:f>
        <x:v>0</x:v>
      </x:c>
      <x:c r="CQ395" s="23" t="n">
        <x:f>MAX(0,MIN('Activities'!L395,546)-MAX('Activities'!K395,540))</x:f>
        <x:v>0</x:v>
      </x:c>
      <x:c r="CR395" s="23" t="n">
        <x:f>MAX(0,MIN('Activities'!L395,552)-MAX('Activities'!K395,546))</x:f>
        <x:v>0</x:v>
      </x:c>
      <x:c r="CS395" s="23" t="n">
        <x:f>MAX(0,MIN('Activities'!L395,558)-MAX('Activities'!K395,552))</x:f>
        <x:v>0</x:v>
      </x:c>
      <x:c r="CT395" s="23" t="n">
        <x:f>MAX(0,MIN('Activities'!L395,564)-MAX('Activities'!K395,558))</x:f>
        <x:v>0</x:v>
      </x:c>
      <x:c r="CU395" s="23" t="n">
        <x:f>MAX(0,MIN('Activities'!L395,570)-MAX('Activities'!K395,564))</x:f>
        <x:v>0</x:v>
      </x:c>
      <x:c r="CV395" s="23" t="n">
        <x:f>MAX(0,MIN('Activities'!L395,576)-MAX('Activities'!K395,570))</x:f>
        <x:v>0</x:v>
      </x:c>
      <x:c r="CW395" s="23" t="n">
        <x:f>MAX(0,MIN('Activities'!L395,582)-MAX('Activities'!K395,576))</x:f>
        <x:v>0</x:v>
      </x:c>
      <x:c r="CX395" s="23" t="n">
        <x:f>MAX(0,MIN('Activities'!L395,588)-MAX('Activities'!K395,582))</x:f>
        <x:v>0</x:v>
      </x:c>
      <x:c r="CY395" s="23" t="n">
        <x:f>MAX(0,MIN('Activities'!L395,594)-MAX('Activities'!K395,588))</x:f>
        <x:v>0</x:v>
      </x:c>
      <x:c r="CZ395" s="23" t="n">
        <x:f>MAX(0,MIN('Activities'!L395,600)-MAX('Activities'!K395,594))</x:f>
        <x:v>0</x:v>
      </x:c>
      <x:c r="DA395" s="23" t="n">
        <x:f>MAX(0,MIN('Activities'!L395,606)-MAX('Activities'!K395,600))</x:f>
        <x:v>0</x:v>
      </x:c>
      <x:c r="DB395" s="23" t="n">
        <x:f>MAX(0,MIN('Activities'!L395,612)-MAX('Activities'!K395,606))</x:f>
        <x:v>0</x:v>
      </x:c>
      <x:c r="DC395" s="23" t="n">
        <x:f>MAX(0,MIN('Activities'!L395,618)-MAX('Activities'!K395,612))</x:f>
        <x:v>0</x:v>
      </x:c>
      <x:c r="DD395" s="23" t="n">
        <x:f>MAX(0,MIN('Activities'!L395,624)-MAX('Activities'!K395,618))</x:f>
        <x:v>0</x:v>
      </x:c>
      <x:c r="DE395" s="23" t="n">
        <x:f>MAX(0,MIN('Activities'!L395,630)-MAX('Activities'!K395,624))</x:f>
        <x:v>0</x:v>
      </x:c>
      <x:c r="DF395" s="23" t="n">
        <x:f>MAX(0,MIN('Activities'!L395,636)-MAX('Activities'!K395,630))</x:f>
        <x:v>0</x:v>
      </x:c>
    </x:row>
    <x:row r="396" ht="23" customHeight="1">
      <x:c r="A396" s="6" t="str">
        <x:v>T3-L09-D</x:v>
      </x:c>
      <x:c r="B396" s="6" t="str">
        <x:v>T3</x:v>
      </x:c>
      <x:c r="C396" s="6" t="str">
        <x:v>Door sets and ironmongery</x:v>
      </x:c>
      <x:c r="D396" s="6" t="str">
        <x:v>Finishes</x:v>
      </x:c>
      <x:c r="E396" s="22" t="n">
        <x:f>MAX(0,MIN('Activities'!L396,6)-MAX('Activities'!K396,0))</x:f>
        <x:v>0</x:v>
      </x:c>
      <x:c r="F396" s="22" t="n">
        <x:f>MAX(0,MIN('Activities'!L396,12)-MAX('Activities'!K396,6))</x:f>
        <x:v>0</x:v>
      </x:c>
      <x:c r="G396" s="22" t="n">
        <x:f>MAX(0,MIN('Activities'!L396,18)-MAX('Activities'!K396,12))</x:f>
        <x:v>0</x:v>
      </x:c>
      <x:c r="H396" s="22" t="n">
        <x:f>MAX(0,MIN('Activities'!L396,24)-MAX('Activities'!K396,18))</x:f>
        <x:v>0</x:v>
      </x:c>
      <x:c r="I396" s="22" t="n">
        <x:f>MAX(0,MIN('Activities'!L396,30)-MAX('Activities'!K396,24))</x:f>
        <x:v>0</x:v>
      </x:c>
      <x:c r="J396" s="22" t="n">
        <x:f>MAX(0,MIN('Activities'!L396,36)-MAX('Activities'!K396,30))</x:f>
        <x:v>0</x:v>
      </x:c>
      <x:c r="K396" s="22" t="n">
        <x:f>MAX(0,MIN('Activities'!L396,42)-MAX('Activities'!K396,36))</x:f>
        <x:v>0</x:v>
      </x:c>
      <x:c r="L396" s="22" t="n">
        <x:f>MAX(0,MIN('Activities'!L396,48)-MAX('Activities'!K396,42))</x:f>
        <x:v>0</x:v>
      </x:c>
      <x:c r="M396" s="22" t="n">
        <x:f>MAX(0,MIN('Activities'!L396,54)-MAX('Activities'!K396,48))</x:f>
        <x:v>0</x:v>
      </x:c>
      <x:c r="N396" s="22" t="n">
        <x:f>MAX(0,MIN('Activities'!L396,60)-MAX('Activities'!K396,54))</x:f>
        <x:v>0</x:v>
      </x:c>
      <x:c r="O396" s="22" t="n">
        <x:f>MAX(0,MIN('Activities'!L396,66)-MAX('Activities'!K396,60))</x:f>
        <x:v>0</x:v>
      </x:c>
      <x:c r="P396" s="22" t="n">
        <x:f>MAX(0,MIN('Activities'!L396,72)-MAX('Activities'!K396,66))</x:f>
        <x:v>0</x:v>
      </x:c>
      <x:c r="Q396" s="22" t="n">
        <x:f>MAX(0,MIN('Activities'!L396,78)-MAX('Activities'!K396,72))</x:f>
        <x:v>0</x:v>
      </x:c>
      <x:c r="R396" s="22" t="n">
        <x:f>MAX(0,MIN('Activities'!L396,84)-MAX('Activities'!K396,78))</x:f>
        <x:v>0</x:v>
      </x:c>
      <x:c r="S396" s="22" t="n">
        <x:f>MAX(0,MIN('Activities'!L396,90)-MAX('Activities'!K396,84))</x:f>
        <x:v>0</x:v>
      </x:c>
      <x:c r="T396" s="22" t="n">
        <x:f>MAX(0,MIN('Activities'!L396,96)-MAX('Activities'!K396,90))</x:f>
        <x:v>0</x:v>
      </x:c>
      <x:c r="U396" s="22" t="n">
        <x:f>MAX(0,MIN('Activities'!L396,102)-MAX('Activities'!K396,96))</x:f>
        <x:v>0</x:v>
      </x:c>
      <x:c r="V396" s="22" t="n">
        <x:f>MAX(0,MIN('Activities'!L396,108)-MAX('Activities'!K396,102))</x:f>
        <x:v>0</x:v>
      </x:c>
      <x:c r="W396" s="22" t="n">
        <x:f>MAX(0,MIN('Activities'!L396,114)-MAX('Activities'!K396,108))</x:f>
        <x:v>0</x:v>
      </x:c>
      <x:c r="X396" s="22" t="n">
        <x:f>MAX(0,MIN('Activities'!L396,120)-MAX('Activities'!K396,114))</x:f>
        <x:v>0</x:v>
      </x:c>
      <x:c r="Y396" s="22" t="n">
        <x:f>MAX(0,MIN('Activities'!L396,126)-MAX('Activities'!K396,120))</x:f>
        <x:v>0</x:v>
      </x:c>
      <x:c r="Z396" s="22" t="n">
        <x:f>MAX(0,MIN('Activities'!L396,132)-MAX('Activities'!K396,126))</x:f>
        <x:v>0</x:v>
      </x:c>
      <x:c r="AA396" s="22" t="n">
        <x:f>MAX(0,MIN('Activities'!L396,138)-MAX('Activities'!K396,132))</x:f>
        <x:v>0</x:v>
      </x:c>
      <x:c r="AB396" s="22" t="n">
        <x:f>MAX(0,MIN('Activities'!L396,144)-MAX('Activities'!K396,138))</x:f>
        <x:v>0</x:v>
      </x:c>
      <x:c r="AC396" s="22" t="n">
        <x:f>MAX(0,MIN('Activities'!L396,150)-MAX('Activities'!K396,144))</x:f>
        <x:v>0</x:v>
      </x:c>
      <x:c r="AD396" s="22" t="n">
        <x:f>MAX(0,MIN('Activities'!L396,156)-MAX('Activities'!K396,150))</x:f>
        <x:v>0</x:v>
      </x:c>
      <x:c r="AE396" s="22" t="n">
        <x:f>MAX(0,MIN('Activities'!L396,162)-MAX('Activities'!K396,156))</x:f>
        <x:v>0</x:v>
      </x:c>
      <x:c r="AF396" s="22" t="n">
        <x:f>MAX(0,MIN('Activities'!L396,168)-MAX('Activities'!K396,162))</x:f>
        <x:v>0</x:v>
      </x:c>
      <x:c r="AG396" s="22" t="n">
        <x:f>MAX(0,MIN('Activities'!L396,174)-MAX('Activities'!K396,168))</x:f>
        <x:v>0</x:v>
      </x:c>
      <x:c r="AH396" s="22" t="n">
        <x:f>MAX(0,MIN('Activities'!L396,180)-MAX('Activities'!K396,174))</x:f>
        <x:v>0</x:v>
      </x:c>
      <x:c r="AI396" s="22" t="n">
        <x:f>MAX(0,MIN('Activities'!L396,186)-MAX('Activities'!K396,180))</x:f>
        <x:v>0</x:v>
      </x:c>
      <x:c r="AJ396" s="22" t="n">
        <x:f>MAX(0,MIN('Activities'!L396,192)-MAX('Activities'!K396,186))</x:f>
        <x:v>0</x:v>
      </x:c>
      <x:c r="AK396" s="22" t="n">
        <x:f>MAX(0,MIN('Activities'!L396,198)-MAX('Activities'!K396,192))</x:f>
        <x:v>0</x:v>
      </x:c>
      <x:c r="AL396" s="22" t="n">
        <x:f>MAX(0,MIN('Activities'!L396,204)-MAX('Activities'!K396,198))</x:f>
        <x:v>0</x:v>
      </x:c>
      <x:c r="AM396" s="22" t="n">
        <x:f>MAX(0,MIN('Activities'!L396,210)-MAX('Activities'!K396,204))</x:f>
        <x:v>0</x:v>
      </x:c>
      <x:c r="AN396" s="22" t="n">
        <x:f>MAX(0,MIN('Activities'!L396,216)-MAX('Activities'!K396,210))</x:f>
        <x:v>0</x:v>
      </x:c>
      <x:c r="AO396" s="22" t="n">
        <x:f>MAX(0,MIN('Activities'!L396,222)-MAX('Activities'!K396,216))</x:f>
        <x:v>0</x:v>
      </x:c>
      <x:c r="AP396" s="22" t="n">
        <x:f>MAX(0,MIN('Activities'!L396,228)-MAX('Activities'!K396,222))</x:f>
        <x:v>0</x:v>
      </x:c>
      <x:c r="AQ396" s="22" t="n">
        <x:f>MAX(0,MIN('Activities'!L396,234)-MAX('Activities'!K396,228))</x:f>
        <x:v>0</x:v>
      </x:c>
      <x:c r="AR396" s="22" t="n">
        <x:f>MAX(0,MIN('Activities'!L396,240)-MAX('Activities'!K396,234))</x:f>
        <x:v>0</x:v>
      </x:c>
      <x:c r="AS396" s="22" t="n">
        <x:f>MAX(0,MIN('Activities'!L396,246)-MAX('Activities'!K396,240))</x:f>
        <x:v>0</x:v>
      </x:c>
      <x:c r="AT396" s="22" t="n">
        <x:f>MAX(0,MIN('Activities'!L396,252)-MAX('Activities'!K396,246))</x:f>
        <x:v>0</x:v>
      </x:c>
      <x:c r="AU396" s="22" t="n">
        <x:f>MAX(0,MIN('Activities'!L396,258)-MAX('Activities'!K396,252))</x:f>
        <x:v>0</x:v>
      </x:c>
      <x:c r="AV396" s="22" t="n">
        <x:f>MAX(0,MIN('Activities'!L396,264)-MAX('Activities'!K396,258))</x:f>
        <x:v>0</x:v>
      </x:c>
      <x:c r="AW396" s="22" t="n">
        <x:f>MAX(0,MIN('Activities'!L396,270)-MAX('Activities'!K396,264))</x:f>
        <x:v>0</x:v>
      </x:c>
      <x:c r="AX396" s="22" t="n">
        <x:f>MAX(0,MIN('Activities'!L396,276)-MAX('Activities'!K396,270))</x:f>
        <x:v>0</x:v>
      </x:c>
      <x:c r="AY396" s="22" t="n">
        <x:f>MAX(0,MIN('Activities'!L396,282)-MAX('Activities'!K396,276))</x:f>
        <x:v>0</x:v>
      </x:c>
      <x:c r="AZ396" s="22" t="n">
        <x:f>MAX(0,MIN('Activities'!L396,288)-MAX('Activities'!K396,282))</x:f>
        <x:v>0</x:v>
      </x:c>
      <x:c r="BA396" s="22" t="n">
        <x:f>MAX(0,MIN('Activities'!L396,294)-MAX('Activities'!K396,288))</x:f>
        <x:v>0</x:v>
      </x:c>
      <x:c r="BB396" s="22" t="n">
        <x:f>MAX(0,MIN('Activities'!L396,300)-MAX('Activities'!K396,294))</x:f>
        <x:v>0</x:v>
      </x:c>
      <x:c r="BC396" s="22" t="n">
        <x:f>MAX(0,MIN('Activities'!L396,306)-MAX('Activities'!K396,300))</x:f>
        <x:v>0</x:v>
      </x:c>
      <x:c r="BD396" s="22" t="n">
        <x:f>MAX(0,MIN('Activities'!L396,312)-MAX('Activities'!K396,306))</x:f>
        <x:v>0</x:v>
      </x:c>
      <x:c r="BE396" s="22" t="n">
        <x:f>MAX(0,MIN('Activities'!L396,318)-MAX('Activities'!K396,312))</x:f>
        <x:v>0</x:v>
      </x:c>
      <x:c r="BF396" s="22" t="n">
        <x:f>MAX(0,MIN('Activities'!L396,324)-MAX('Activities'!K396,318))</x:f>
        <x:v>0</x:v>
      </x:c>
      <x:c r="BG396" s="22" t="n">
        <x:f>MAX(0,MIN('Activities'!L396,330)-MAX('Activities'!K396,324))</x:f>
        <x:v>0</x:v>
      </x:c>
      <x:c r="BH396" s="22" t="n">
        <x:f>MAX(0,MIN('Activities'!L396,336)-MAX('Activities'!K396,330))</x:f>
        <x:v>0</x:v>
      </x:c>
      <x:c r="BI396" s="22" t="n">
        <x:f>MAX(0,MIN('Activities'!L396,342)-MAX('Activities'!K396,336))</x:f>
        <x:v>0</x:v>
      </x:c>
      <x:c r="BJ396" s="22" t="n">
        <x:f>MAX(0,MIN('Activities'!L396,348)-MAX('Activities'!K396,342))</x:f>
        <x:v>0</x:v>
      </x:c>
      <x:c r="BK396" s="22" t="n">
        <x:f>MAX(0,MIN('Activities'!L396,354)-MAX('Activities'!K396,348))</x:f>
        <x:v>0</x:v>
      </x:c>
      <x:c r="BL396" s="22" t="n">
        <x:f>MAX(0,MIN('Activities'!L396,360)-MAX('Activities'!K396,354))</x:f>
        <x:v>0</x:v>
      </x:c>
      <x:c r="BM396" s="22" t="n">
        <x:f>MAX(0,MIN('Activities'!L396,366)-MAX('Activities'!K396,360))</x:f>
        <x:v>0</x:v>
      </x:c>
      <x:c r="BN396" s="22" t="n">
        <x:f>MAX(0,MIN('Activities'!L396,372)-MAX('Activities'!K396,366))</x:f>
        <x:v>0</x:v>
      </x:c>
      <x:c r="BO396" s="22" t="n">
        <x:f>MAX(0,MIN('Activities'!L396,378)-MAX('Activities'!K396,372))</x:f>
        <x:v>0</x:v>
      </x:c>
      <x:c r="BP396" s="22" t="n">
        <x:f>MAX(0,MIN('Activities'!L396,384)-MAX('Activities'!K396,378))</x:f>
        <x:v>0</x:v>
      </x:c>
      <x:c r="BQ396" s="22" t="n">
        <x:f>MAX(0,MIN('Activities'!L396,390)-MAX('Activities'!K396,384))</x:f>
        <x:v>0</x:v>
      </x:c>
      <x:c r="BR396" s="22" t="n">
        <x:f>MAX(0,MIN('Activities'!L396,396)-MAX('Activities'!K396,390))</x:f>
        <x:v>0</x:v>
      </x:c>
      <x:c r="BS396" s="22" t="n">
        <x:f>MAX(0,MIN('Activities'!L396,402)-MAX('Activities'!K396,396))</x:f>
        <x:v>0</x:v>
      </x:c>
      <x:c r="BT396" s="22" t="n">
        <x:f>MAX(0,MIN('Activities'!L396,408)-MAX('Activities'!K396,402))</x:f>
        <x:v>0</x:v>
      </x:c>
      <x:c r="BU396" s="22" t="n">
        <x:f>MAX(0,MIN('Activities'!L396,414)-MAX('Activities'!K396,408))</x:f>
        <x:v>0</x:v>
      </x:c>
      <x:c r="BV396" s="22" t="n">
        <x:f>MAX(0,MIN('Activities'!L396,420)-MAX('Activities'!K396,414))</x:f>
        <x:v>0</x:v>
      </x:c>
      <x:c r="BW396" s="22" t="n">
        <x:f>MAX(0,MIN('Activities'!L396,426)-MAX('Activities'!K396,420))</x:f>
        <x:v>0</x:v>
      </x:c>
      <x:c r="BX396" s="22" t="n">
        <x:f>MAX(0,MIN('Activities'!L396,432)-MAX('Activities'!K396,426))</x:f>
        <x:v>0</x:v>
      </x:c>
      <x:c r="BY396" s="22" t="n">
        <x:f>MAX(0,MIN('Activities'!L396,438)-MAX('Activities'!K396,432))</x:f>
        <x:v>0</x:v>
      </x:c>
      <x:c r="BZ396" s="22" t="n">
        <x:f>MAX(0,MIN('Activities'!L396,444)-MAX('Activities'!K396,438))</x:f>
        <x:v>1</x:v>
      </x:c>
      <x:c r="CA396" s="22" t="n">
        <x:f>MAX(0,MIN('Activities'!L396,450)-MAX('Activities'!K396,444))</x:f>
        <x:v>2</x:v>
      </x:c>
      <x:c r="CB396" s="22" t="n">
        <x:f>MAX(0,MIN('Activities'!L396,456)-MAX('Activities'!K396,450))</x:f>
        <x:v>0</x:v>
      </x:c>
      <x:c r="CC396" s="22" t="n">
        <x:f>MAX(0,MIN('Activities'!L396,462)-MAX('Activities'!K396,456))</x:f>
        <x:v>0</x:v>
      </x:c>
      <x:c r="CD396" s="22" t="n">
        <x:f>MAX(0,MIN('Activities'!L396,468)-MAX('Activities'!K396,462))</x:f>
        <x:v>0</x:v>
      </x:c>
      <x:c r="CE396" s="22" t="n">
        <x:f>MAX(0,MIN('Activities'!L396,474)-MAX('Activities'!K396,468))</x:f>
        <x:v>0</x:v>
      </x:c>
      <x:c r="CF396" s="22" t="n">
        <x:f>MAX(0,MIN('Activities'!L396,480)-MAX('Activities'!K396,474))</x:f>
        <x:v>0</x:v>
      </x:c>
      <x:c r="CG396" s="22" t="n">
        <x:f>MAX(0,MIN('Activities'!L396,486)-MAX('Activities'!K396,480))</x:f>
        <x:v>0</x:v>
      </x:c>
      <x:c r="CH396" s="22" t="n">
        <x:f>MAX(0,MIN('Activities'!L396,492)-MAX('Activities'!K396,486))</x:f>
        <x:v>0</x:v>
      </x:c>
      <x:c r="CI396" s="22" t="n">
        <x:f>MAX(0,MIN('Activities'!L396,498)-MAX('Activities'!K396,492))</x:f>
        <x:v>0</x:v>
      </x:c>
      <x:c r="CJ396" s="22" t="n">
        <x:f>MAX(0,MIN('Activities'!L396,504)-MAX('Activities'!K396,498))</x:f>
        <x:v>0</x:v>
      </x:c>
      <x:c r="CK396" s="22" t="n">
        <x:f>MAX(0,MIN('Activities'!L396,510)-MAX('Activities'!K396,504))</x:f>
        <x:v>0</x:v>
      </x:c>
      <x:c r="CL396" s="22" t="n">
        <x:f>MAX(0,MIN('Activities'!L396,516)-MAX('Activities'!K396,510))</x:f>
        <x:v>0</x:v>
      </x:c>
      <x:c r="CM396" s="22" t="n">
        <x:f>MAX(0,MIN('Activities'!L396,522)-MAX('Activities'!K396,516))</x:f>
        <x:v>0</x:v>
      </x:c>
      <x:c r="CN396" s="22" t="n">
        <x:f>MAX(0,MIN('Activities'!L396,528)-MAX('Activities'!K396,522))</x:f>
        <x:v>0</x:v>
      </x:c>
      <x:c r="CO396" s="22" t="n">
        <x:f>MAX(0,MIN('Activities'!L396,534)-MAX('Activities'!K396,528))</x:f>
        <x:v>0</x:v>
      </x:c>
      <x:c r="CP396" s="22" t="n">
        <x:f>MAX(0,MIN('Activities'!L396,540)-MAX('Activities'!K396,534))</x:f>
        <x:v>0</x:v>
      </x:c>
      <x:c r="CQ396" s="22" t="n">
        <x:f>MAX(0,MIN('Activities'!L396,546)-MAX('Activities'!K396,540))</x:f>
        <x:v>0</x:v>
      </x:c>
      <x:c r="CR396" s="22" t="n">
        <x:f>MAX(0,MIN('Activities'!L396,552)-MAX('Activities'!K396,546))</x:f>
        <x:v>0</x:v>
      </x:c>
      <x:c r="CS396" s="22" t="n">
        <x:f>MAX(0,MIN('Activities'!L396,558)-MAX('Activities'!K396,552))</x:f>
        <x:v>0</x:v>
      </x:c>
      <x:c r="CT396" s="22" t="n">
        <x:f>MAX(0,MIN('Activities'!L396,564)-MAX('Activities'!K396,558))</x:f>
        <x:v>0</x:v>
      </x:c>
      <x:c r="CU396" s="22" t="n">
        <x:f>MAX(0,MIN('Activities'!L396,570)-MAX('Activities'!K396,564))</x:f>
        <x:v>0</x:v>
      </x:c>
      <x:c r="CV396" s="22" t="n">
        <x:f>MAX(0,MIN('Activities'!L396,576)-MAX('Activities'!K396,570))</x:f>
        <x:v>0</x:v>
      </x:c>
      <x:c r="CW396" s="22" t="n">
        <x:f>MAX(0,MIN('Activities'!L396,582)-MAX('Activities'!K396,576))</x:f>
        <x:v>0</x:v>
      </x:c>
      <x:c r="CX396" s="22" t="n">
        <x:f>MAX(0,MIN('Activities'!L396,588)-MAX('Activities'!K396,582))</x:f>
        <x:v>0</x:v>
      </x:c>
      <x:c r="CY396" s="22" t="n">
        <x:f>MAX(0,MIN('Activities'!L396,594)-MAX('Activities'!K396,588))</x:f>
        <x:v>0</x:v>
      </x:c>
      <x:c r="CZ396" s="22" t="n">
        <x:f>MAX(0,MIN('Activities'!L396,600)-MAX('Activities'!K396,594))</x:f>
        <x:v>0</x:v>
      </x:c>
      <x:c r="DA396" s="22" t="n">
        <x:f>MAX(0,MIN('Activities'!L396,606)-MAX('Activities'!K396,600))</x:f>
        <x:v>0</x:v>
      </x:c>
      <x:c r="DB396" s="22" t="n">
        <x:f>MAX(0,MIN('Activities'!L396,612)-MAX('Activities'!K396,606))</x:f>
        <x:v>0</x:v>
      </x:c>
      <x:c r="DC396" s="22" t="n">
        <x:f>MAX(0,MIN('Activities'!L396,618)-MAX('Activities'!K396,612))</x:f>
        <x:v>0</x:v>
      </x:c>
      <x:c r="DD396" s="22" t="n">
        <x:f>MAX(0,MIN('Activities'!L396,624)-MAX('Activities'!K396,618))</x:f>
        <x:v>0</x:v>
      </x:c>
      <x:c r="DE396" s="22" t="n">
        <x:f>MAX(0,MIN('Activities'!L396,630)-MAX('Activities'!K396,624))</x:f>
        <x:v>0</x:v>
      </x:c>
      <x:c r="DF396" s="22" t="n">
        <x:f>MAX(0,MIN('Activities'!L396,636)-MAX('Activities'!K396,630))</x:f>
        <x:v>0</x:v>
      </x:c>
    </x:row>
    <x:row r="397" ht="23" customHeight="1">
      <x:c r="A397" s="1" t="str">
        <x:v>T3-L10-M</x:v>
      </x:c>
      <x:c r="B397" s="1" t="str">
        <x:v>T3</x:v>
      </x:c>
      <x:c r="C397" s="1" t="str">
        <x:v>Partition masonry</x:v>
      </x:c>
      <x:c r="D397" s="1" t="str">
        <x:v>Masonry</x:v>
      </x:c>
      <x:c r="E397" s="23" t="n">
        <x:f>MAX(0,MIN('Activities'!L397,6)-MAX('Activities'!K397,0))</x:f>
        <x:v>0</x:v>
      </x:c>
      <x:c r="F397" s="23" t="n">
        <x:f>MAX(0,MIN('Activities'!L397,12)-MAX('Activities'!K397,6))</x:f>
        <x:v>0</x:v>
      </x:c>
      <x:c r="G397" s="23" t="n">
        <x:f>MAX(0,MIN('Activities'!L397,18)-MAX('Activities'!K397,12))</x:f>
        <x:v>0</x:v>
      </x:c>
      <x:c r="H397" s="23" t="n">
        <x:f>MAX(0,MIN('Activities'!L397,24)-MAX('Activities'!K397,18))</x:f>
        <x:v>0</x:v>
      </x:c>
      <x:c r="I397" s="23" t="n">
        <x:f>MAX(0,MIN('Activities'!L397,30)-MAX('Activities'!K397,24))</x:f>
        <x:v>0</x:v>
      </x:c>
      <x:c r="J397" s="23" t="n">
        <x:f>MAX(0,MIN('Activities'!L397,36)-MAX('Activities'!K397,30))</x:f>
        <x:v>0</x:v>
      </x:c>
      <x:c r="K397" s="23" t="n">
        <x:f>MAX(0,MIN('Activities'!L397,42)-MAX('Activities'!K397,36))</x:f>
        <x:v>0</x:v>
      </x:c>
      <x:c r="L397" s="23" t="n">
        <x:f>MAX(0,MIN('Activities'!L397,48)-MAX('Activities'!K397,42))</x:f>
        <x:v>0</x:v>
      </x:c>
      <x:c r="M397" s="23" t="n">
        <x:f>MAX(0,MIN('Activities'!L397,54)-MAX('Activities'!K397,48))</x:f>
        <x:v>0</x:v>
      </x:c>
      <x:c r="N397" s="23" t="n">
        <x:f>MAX(0,MIN('Activities'!L397,60)-MAX('Activities'!K397,54))</x:f>
        <x:v>0</x:v>
      </x:c>
      <x:c r="O397" s="23" t="n">
        <x:f>MAX(0,MIN('Activities'!L397,66)-MAX('Activities'!K397,60))</x:f>
        <x:v>0</x:v>
      </x:c>
      <x:c r="P397" s="23" t="n">
        <x:f>MAX(0,MIN('Activities'!L397,72)-MAX('Activities'!K397,66))</x:f>
        <x:v>0</x:v>
      </x:c>
      <x:c r="Q397" s="23" t="n">
        <x:f>MAX(0,MIN('Activities'!L397,78)-MAX('Activities'!K397,72))</x:f>
        <x:v>0</x:v>
      </x:c>
      <x:c r="R397" s="23" t="n">
        <x:f>MAX(0,MIN('Activities'!L397,84)-MAX('Activities'!K397,78))</x:f>
        <x:v>0</x:v>
      </x:c>
      <x:c r="S397" s="23" t="n">
        <x:f>MAX(0,MIN('Activities'!L397,90)-MAX('Activities'!K397,84))</x:f>
        <x:v>0</x:v>
      </x:c>
      <x:c r="T397" s="23" t="n">
        <x:f>MAX(0,MIN('Activities'!L397,96)-MAX('Activities'!K397,90))</x:f>
        <x:v>0</x:v>
      </x:c>
      <x:c r="U397" s="23" t="n">
        <x:f>MAX(0,MIN('Activities'!L397,102)-MAX('Activities'!K397,96))</x:f>
        <x:v>0</x:v>
      </x:c>
      <x:c r="V397" s="23" t="n">
        <x:f>MAX(0,MIN('Activities'!L397,108)-MAX('Activities'!K397,102))</x:f>
        <x:v>0</x:v>
      </x:c>
      <x:c r="W397" s="23" t="n">
        <x:f>MAX(0,MIN('Activities'!L397,114)-MAX('Activities'!K397,108))</x:f>
        <x:v>0</x:v>
      </x:c>
      <x:c r="X397" s="23" t="n">
        <x:f>MAX(0,MIN('Activities'!L397,120)-MAX('Activities'!K397,114))</x:f>
        <x:v>0</x:v>
      </x:c>
      <x:c r="Y397" s="23" t="n">
        <x:f>MAX(0,MIN('Activities'!L397,126)-MAX('Activities'!K397,120))</x:f>
        <x:v>0</x:v>
      </x:c>
      <x:c r="Z397" s="23" t="n">
        <x:f>MAX(0,MIN('Activities'!L397,132)-MAX('Activities'!K397,126))</x:f>
        <x:v>0</x:v>
      </x:c>
      <x:c r="AA397" s="23" t="n">
        <x:f>MAX(0,MIN('Activities'!L397,138)-MAX('Activities'!K397,132))</x:f>
        <x:v>0</x:v>
      </x:c>
      <x:c r="AB397" s="23" t="n">
        <x:f>MAX(0,MIN('Activities'!L397,144)-MAX('Activities'!K397,138))</x:f>
        <x:v>0</x:v>
      </x:c>
      <x:c r="AC397" s="23" t="n">
        <x:f>MAX(0,MIN('Activities'!L397,150)-MAX('Activities'!K397,144))</x:f>
        <x:v>0</x:v>
      </x:c>
      <x:c r="AD397" s="23" t="n">
        <x:f>MAX(0,MIN('Activities'!L397,156)-MAX('Activities'!K397,150))</x:f>
        <x:v>0</x:v>
      </x:c>
      <x:c r="AE397" s="23" t="n">
        <x:f>MAX(0,MIN('Activities'!L397,162)-MAX('Activities'!K397,156))</x:f>
        <x:v>0</x:v>
      </x:c>
      <x:c r="AF397" s="23" t="n">
        <x:f>MAX(0,MIN('Activities'!L397,168)-MAX('Activities'!K397,162))</x:f>
        <x:v>0</x:v>
      </x:c>
      <x:c r="AG397" s="23" t="n">
        <x:f>MAX(0,MIN('Activities'!L397,174)-MAX('Activities'!K397,168))</x:f>
        <x:v>0</x:v>
      </x:c>
      <x:c r="AH397" s="23" t="n">
        <x:f>MAX(0,MIN('Activities'!L397,180)-MAX('Activities'!K397,174))</x:f>
        <x:v>0</x:v>
      </x:c>
      <x:c r="AI397" s="23" t="n">
        <x:f>MAX(0,MIN('Activities'!L397,186)-MAX('Activities'!K397,180))</x:f>
        <x:v>0</x:v>
      </x:c>
      <x:c r="AJ397" s="23" t="n">
        <x:f>MAX(0,MIN('Activities'!L397,192)-MAX('Activities'!K397,186))</x:f>
        <x:v>0</x:v>
      </x:c>
      <x:c r="AK397" s="23" t="n">
        <x:f>MAX(0,MIN('Activities'!L397,198)-MAX('Activities'!K397,192))</x:f>
        <x:v>0</x:v>
      </x:c>
      <x:c r="AL397" s="23" t="n">
        <x:f>MAX(0,MIN('Activities'!L397,204)-MAX('Activities'!K397,198))</x:f>
        <x:v>0</x:v>
      </x:c>
      <x:c r="AM397" s="23" t="n">
        <x:f>MAX(0,MIN('Activities'!L397,210)-MAX('Activities'!K397,204))</x:f>
        <x:v>0</x:v>
      </x:c>
      <x:c r="AN397" s="23" t="n">
        <x:f>MAX(0,MIN('Activities'!L397,216)-MAX('Activities'!K397,210))</x:f>
        <x:v>0</x:v>
      </x:c>
      <x:c r="AO397" s="23" t="n">
        <x:f>MAX(0,MIN('Activities'!L397,222)-MAX('Activities'!K397,216))</x:f>
        <x:v>0</x:v>
      </x:c>
      <x:c r="AP397" s="23" t="n">
        <x:f>MAX(0,MIN('Activities'!L397,228)-MAX('Activities'!K397,222))</x:f>
        <x:v>0</x:v>
      </x:c>
      <x:c r="AQ397" s="23" t="n">
        <x:f>MAX(0,MIN('Activities'!L397,234)-MAX('Activities'!K397,228))</x:f>
        <x:v>0</x:v>
      </x:c>
      <x:c r="AR397" s="23" t="n">
        <x:f>MAX(0,MIN('Activities'!L397,240)-MAX('Activities'!K397,234))</x:f>
        <x:v>0</x:v>
      </x:c>
      <x:c r="AS397" s="23" t="n">
        <x:f>MAX(0,MIN('Activities'!L397,246)-MAX('Activities'!K397,240))</x:f>
        <x:v>0</x:v>
      </x:c>
      <x:c r="AT397" s="23" t="n">
        <x:f>MAX(0,MIN('Activities'!L397,252)-MAX('Activities'!K397,246))</x:f>
        <x:v>0</x:v>
      </x:c>
      <x:c r="AU397" s="23" t="n">
        <x:f>MAX(0,MIN('Activities'!L397,258)-MAX('Activities'!K397,252))</x:f>
        <x:v>0</x:v>
      </x:c>
      <x:c r="AV397" s="23" t="n">
        <x:f>MAX(0,MIN('Activities'!L397,264)-MAX('Activities'!K397,258))</x:f>
        <x:v>0</x:v>
      </x:c>
      <x:c r="AW397" s="23" t="n">
        <x:f>MAX(0,MIN('Activities'!L397,270)-MAX('Activities'!K397,264))</x:f>
        <x:v>0</x:v>
      </x:c>
      <x:c r="AX397" s="23" t="n">
        <x:f>MAX(0,MIN('Activities'!L397,276)-MAX('Activities'!K397,270))</x:f>
        <x:v>0</x:v>
      </x:c>
      <x:c r="AY397" s="23" t="n">
        <x:f>MAX(0,MIN('Activities'!L397,282)-MAX('Activities'!K397,276))</x:f>
        <x:v>0</x:v>
      </x:c>
      <x:c r="AZ397" s="23" t="n">
        <x:f>MAX(0,MIN('Activities'!L397,288)-MAX('Activities'!K397,282))</x:f>
        <x:v>0</x:v>
      </x:c>
      <x:c r="BA397" s="23" t="n">
        <x:f>MAX(0,MIN('Activities'!L397,294)-MAX('Activities'!K397,288))</x:f>
        <x:v>0</x:v>
      </x:c>
      <x:c r="BB397" s="23" t="n">
        <x:f>MAX(0,MIN('Activities'!L397,300)-MAX('Activities'!K397,294))</x:f>
        <x:v>0</x:v>
      </x:c>
      <x:c r="BC397" s="23" t="n">
        <x:f>MAX(0,MIN('Activities'!L397,306)-MAX('Activities'!K397,300))</x:f>
        <x:v>0</x:v>
      </x:c>
      <x:c r="BD397" s="23" t="n">
        <x:f>MAX(0,MIN('Activities'!L397,312)-MAX('Activities'!K397,306))</x:f>
        <x:v>0</x:v>
      </x:c>
      <x:c r="BE397" s="23" t="n">
        <x:f>MAX(0,MIN('Activities'!L397,318)-MAX('Activities'!K397,312))</x:f>
        <x:v>0</x:v>
      </x:c>
      <x:c r="BF397" s="23" t="n">
        <x:f>MAX(0,MIN('Activities'!L397,324)-MAX('Activities'!K397,318))</x:f>
        <x:v>0</x:v>
      </x:c>
      <x:c r="BG397" s="23" t="n">
        <x:f>MAX(0,MIN('Activities'!L397,330)-MAX('Activities'!K397,324))</x:f>
        <x:v>0</x:v>
      </x:c>
      <x:c r="BH397" s="23" t="n">
        <x:f>MAX(0,MIN('Activities'!L397,336)-MAX('Activities'!K397,330))</x:f>
        <x:v>0</x:v>
      </x:c>
      <x:c r="BI397" s="23" t="n">
        <x:f>MAX(0,MIN('Activities'!L397,342)-MAX('Activities'!K397,336))</x:f>
        <x:v>0</x:v>
      </x:c>
      <x:c r="BJ397" s="23" t="n">
        <x:f>MAX(0,MIN('Activities'!L397,348)-MAX('Activities'!K397,342))</x:f>
        <x:v>0</x:v>
      </x:c>
      <x:c r="BK397" s="23" t="n">
        <x:f>MAX(0,MIN('Activities'!L397,354)-MAX('Activities'!K397,348))</x:f>
        <x:v>0</x:v>
      </x:c>
      <x:c r="BL397" s="23" t="n">
        <x:f>MAX(0,MIN('Activities'!L397,360)-MAX('Activities'!K397,354))</x:f>
        <x:v>0</x:v>
      </x:c>
      <x:c r="BM397" s="23" t="n">
        <x:f>MAX(0,MIN('Activities'!L397,366)-MAX('Activities'!K397,360))</x:f>
        <x:v>0</x:v>
      </x:c>
      <x:c r="BN397" s="23" t="n">
        <x:f>MAX(0,MIN('Activities'!L397,372)-MAX('Activities'!K397,366))</x:f>
        <x:v>0</x:v>
      </x:c>
      <x:c r="BO397" s="23" t="n">
        <x:f>MAX(0,MIN('Activities'!L397,378)-MAX('Activities'!K397,372))</x:f>
        <x:v>0</x:v>
      </x:c>
      <x:c r="BP397" s="23" t="n">
        <x:f>MAX(0,MIN('Activities'!L397,384)-MAX('Activities'!K397,378))</x:f>
        <x:v>0</x:v>
      </x:c>
      <x:c r="BQ397" s="23" t="n">
        <x:f>MAX(0,MIN('Activities'!L397,390)-MAX('Activities'!K397,384))</x:f>
        <x:v>0</x:v>
      </x:c>
      <x:c r="BR397" s="23" t="n">
        <x:f>MAX(0,MIN('Activities'!L397,396)-MAX('Activities'!K397,390))</x:f>
        <x:v>0</x:v>
      </x:c>
      <x:c r="BS397" s="23" t="n">
        <x:f>MAX(0,MIN('Activities'!L397,402)-MAX('Activities'!K397,396))</x:f>
        <x:v>5</x:v>
      </x:c>
      <x:c r="BT397" s="23" t="n">
        <x:f>MAX(0,MIN('Activities'!L397,408)-MAX('Activities'!K397,402))</x:f>
        <x:v>0</x:v>
      </x:c>
      <x:c r="BU397" s="23" t="n">
        <x:f>MAX(0,MIN('Activities'!L397,414)-MAX('Activities'!K397,408))</x:f>
        <x:v>0</x:v>
      </x:c>
      <x:c r="BV397" s="23" t="n">
        <x:f>MAX(0,MIN('Activities'!L397,420)-MAX('Activities'!K397,414))</x:f>
        <x:v>0</x:v>
      </x:c>
      <x:c r="BW397" s="23" t="n">
        <x:f>MAX(0,MIN('Activities'!L397,426)-MAX('Activities'!K397,420))</x:f>
        <x:v>0</x:v>
      </x:c>
      <x:c r="BX397" s="23" t="n">
        <x:f>MAX(0,MIN('Activities'!L397,432)-MAX('Activities'!K397,426))</x:f>
        <x:v>0</x:v>
      </x:c>
      <x:c r="BY397" s="23" t="n">
        <x:f>MAX(0,MIN('Activities'!L397,438)-MAX('Activities'!K397,432))</x:f>
        <x:v>0</x:v>
      </x:c>
      <x:c r="BZ397" s="23" t="n">
        <x:f>MAX(0,MIN('Activities'!L397,444)-MAX('Activities'!K397,438))</x:f>
        <x:v>0</x:v>
      </x:c>
      <x:c r="CA397" s="23" t="n">
        <x:f>MAX(0,MIN('Activities'!L397,450)-MAX('Activities'!K397,444))</x:f>
        <x:v>0</x:v>
      </x:c>
      <x:c r="CB397" s="23" t="n">
        <x:f>MAX(0,MIN('Activities'!L397,456)-MAX('Activities'!K397,450))</x:f>
        <x:v>0</x:v>
      </x:c>
      <x:c r="CC397" s="23" t="n">
        <x:f>MAX(0,MIN('Activities'!L397,462)-MAX('Activities'!K397,456))</x:f>
        <x:v>0</x:v>
      </x:c>
      <x:c r="CD397" s="23" t="n">
        <x:f>MAX(0,MIN('Activities'!L397,468)-MAX('Activities'!K397,462))</x:f>
        <x:v>0</x:v>
      </x:c>
      <x:c r="CE397" s="23" t="n">
        <x:f>MAX(0,MIN('Activities'!L397,474)-MAX('Activities'!K397,468))</x:f>
        <x:v>0</x:v>
      </x:c>
      <x:c r="CF397" s="23" t="n">
        <x:f>MAX(0,MIN('Activities'!L397,480)-MAX('Activities'!K397,474))</x:f>
        <x:v>0</x:v>
      </x:c>
      <x:c r="CG397" s="23" t="n">
        <x:f>MAX(0,MIN('Activities'!L397,486)-MAX('Activities'!K397,480))</x:f>
        <x:v>0</x:v>
      </x:c>
      <x:c r="CH397" s="23" t="n">
        <x:f>MAX(0,MIN('Activities'!L397,492)-MAX('Activities'!K397,486))</x:f>
        <x:v>0</x:v>
      </x:c>
      <x:c r="CI397" s="23" t="n">
        <x:f>MAX(0,MIN('Activities'!L397,498)-MAX('Activities'!K397,492))</x:f>
        <x:v>0</x:v>
      </x:c>
      <x:c r="CJ397" s="23" t="n">
        <x:f>MAX(0,MIN('Activities'!L397,504)-MAX('Activities'!K397,498))</x:f>
        <x:v>0</x:v>
      </x:c>
      <x:c r="CK397" s="23" t="n">
        <x:f>MAX(0,MIN('Activities'!L397,510)-MAX('Activities'!K397,504))</x:f>
        <x:v>0</x:v>
      </x:c>
      <x:c r="CL397" s="23" t="n">
        <x:f>MAX(0,MIN('Activities'!L397,516)-MAX('Activities'!K397,510))</x:f>
        <x:v>0</x:v>
      </x:c>
      <x:c r="CM397" s="23" t="n">
        <x:f>MAX(0,MIN('Activities'!L397,522)-MAX('Activities'!K397,516))</x:f>
        <x:v>0</x:v>
      </x:c>
      <x:c r="CN397" s="23" t="n">
        <x:f>MAX(0,MIN('Activities'!L397,528)-MAX('Activities'!K397,522))</x:f>
        <x:v>0</x:v>
      </x:c>
      <x:c r="CO397" s="23" t="n">
        <x:f>MAX(0,MIN('Activities'!L397,534)-MAX('Activities'!K397,528))</x:f>
        <x:v>0</x:v>
      </x:c>
      <x:c r="CP397" s="23" t="n">
        <x:f>MAX(0,MIN('Activities'!L397,540)-MAX('Activities'!K397,534))</x:f>
        <x:v>0</x:v>
      </x:c>
      <x:c r="CQ397" s="23" t="n">
        <x:f>MAX(0,MIN('Activities'!L397,546)-MAX('Activities'!K397,540))</x:f>
        <x:v>0</x:v>
      </x:c>
      <x:c r="CR397" s="23" t="n">
        <x:f>MAX(0,MIN('Activities'!L397,552)-MAX('Activities'!K397,546))</x:f>
        <x:v>0</x:v>
      </x:c>
      <x:c r="CS397" s="23" t="n">
        <x:f>MAX(0,MIN('Activities'!L397,558)-MAX('Activities'!K397,552))</x:f>
        <x:v>0</x:v>
      </x:c>
      <x:c r="CT397" s="23" t="n">
        <x:f>MAX(0,MIN('Activities'!L397,564)-MAX('Activities'!K397,558))</x:f>
        <x:v>0</x:v>
      </x:c>
      <x:c r="CU397" s="23" t="n">
        <x:f>MAX(0,MIN('Activities'!L397,570)-MAX('Activities'!K397,564))</x:f>
        <x:v>0</x:v>
      </x:c>
      <x:c r="CV397" s="23" t="n">
        <x:f>MAX(0,MIN('Activities'!L397,576)-MAX('Activities'!K397,570))</x:f>
        <x:v>0</x:v>
      </x:c>
      <x:c r="CW397" s="23" t="n">
        <x:f>MAX(0,MIN('Activities'!L397,582)-MAX('Activities'!K397,576))</x:f>
        <x:v>0</x:v>
      </x:c>
      <x:c r="CX397" s="23" t="n">
        <x:f>MAX(0,MIN('Activities'!L397,588)-MAX('Activities'!K397,582))</x:f>
        <x:v>0</x:v>
      </x:c>
      <x:c r="CY397" s="23" t="n">
        <x:f>MAX(0,MIN('Activities'!L397,594)-MAX('Activities'!K397,588))</x:f>
        <x:v>0</x:v>
      </x:c>
      <x:c r="CZ397" s="23" t="n">
        <x:f>MAX(0,MIN('Activities'!L397,600)-MAX('Activities'!K397,594))</x:f>
        <x:v>0</x:v>
      </x:c>
      <x:c r="DA397" s="23" t="n">
        <x:f>MAX(0,MIN('Activities'!L397,606)-MAX('Activities'!K397,600))</x:f>
        <x:v>0</x:v>
      </x:c>
      <x:c r="DB397" s="23" t="n">
        <x:f>MAX(0,MIN('Activities'!L397,612)-MAX('Activities'!K397,606))</x:f>
        <x:v>0</x:v>
      </x:c>
      <x:c r="DC397" s="23" t="n">
        <x:f>MAX(0,MIN('Activities'!L397,618)-MAX('Activities'!K397,612))</x:f>
        <x:v>0</x:v>
      </x:c>
      <x:c r="DD397" s="23" t="n">
        <x:f>MAX(0,MIN('Activities'!L397,624)-MAX('Activities'!K397,618))</x:f>
        <x:v>0</x:v>
      </x:c>
      <x:c r="DE397" s="23" t="n">
        <x:f>MAX(0,MIN('Activities'!L397,630)-MAX('Activities'!K397,624))</x:f>
        <x:v>0</x:v>
      </x:c>
      <x:c r="DF397" s="23" t="n">
        <x:f>MAX(0,MIN('Activities'!L397,636)-MAX('Activities'!K397,630))</x:f>
        <x:v>0</x:v>
      </x:c>
    </x:row>
    <x:row r="398" ht="23" customHeight="1">
      <x:c r="A398" s="6" t="str">
        <x:v>T3-L10-P</x:v>
      </x:c>
      <x:c r="B398" s="6" t="str">
        <x:v>T3</x:v>
      </x:c>
      <x:c r="C398" s="6" t="str">
        <x:v>Internal plaster</x:v>
      </x:c>
      <x:c r="D398" s="6" t="str">
        <x:v>Finishes</x:v>
      </x:c>
      <x:c r="E398" s="22" t="n">
        <x:f>MAX(0,MIN('Activities'!L398,6)-MAX('Activities'!K398,0))</x:f>
        <x:v>0</x:v>
      </x:c>
      <x:c r="F398" s="22" t="n">
        <x:f>MAX(0,MIN('Activities'!L398,12)-MAX('Activities'!K398,6))</x:f>
        <x:v>0</x:v>
      </x:c>
      <x:c r="G398" s="22" t="n">
        <x:f>MAX(0,MIN('Activities'!L398,18)-MAX('Activities'!K398,12))</x:f>
        <x:v>0</x:v>
      </x:c>
      <x:c r="H398" s="22" t="n">
        <x:f>MAX(0,MIN('Activities'!L398,24)-MAX('Activities'!K398,18))</x:f>
        <x:v>0</x:v>
      </x:c>
      <x:c r="I398" s="22" t="n">
        <x:f>MAX(0,MIN('Activities'!L398,30)-MAX('Activities'!K398,24))</x:f>
        <x:v>0</x:v>
      </x:c>
      <x:c r="J398" s="22" t="n">
        <x:f>MAX(0,MIN('Activities'!L398,36)-MAX('Activities'!K398,30))</x:f>
        <x:v>0</x:v>
      </x:c>
      <x:c r="K398" s="22" t="n">
        <x:f>MAX(0,MIN('Activities'!L398,42)-MAX('Activities'!K398,36))</x:f>
        <x:v>0</x:v>
      </x:c>
      <x:c r="L398" s="22" t="n">
        <x:f>MAX(0,MIN('Activities'!L398,48)-MAX('Activities'!K398,42))</x:f>
        <x:v>0</x:v>
      </x:c>
      <x:c r="M398" s="22" t="n">
        <x:f>MAX(0,MIN('Activities'!L398,54)-MAX('Activities'!K398,48))</x:f>
        <x:v>0</x:v>
      </x:c>
      <x:c r="N398" s="22" t="n">
        <x:f>MAX(0,MIN('Activities'!L398,60)-MAX('Activities'!K398,54))</x:f>
        <x:v>0</x:v>
      </x:c>
      <x:c r="O398" s="22" t="n">
        <x:f>MAX(0,MIN('Activities'!L398,66)-MAX('Activities'!K398,60))</x:f>
        <x:v>0</x:v>
      </x:c>
      <x:c r="P398" s="22" t="n">
        <x:f>MAX(0,MIN('Activities'!L398,72)-MAX('Activities'!K398,66))</x:f>
        <x:v>0</x:v>
      </x:c>
      <x:c r="Q398" s="22" t="n">
        <x:f>MAX(0,MIN('Activities'!L398,78)-MAX('Activities'!K398,72))</x:f>
        <x:v>0</x:v>
      </x:c>
      <x:c r="R398" s="22" t="n">
        <x:f>MAX(0,MIN('Activities'!L398,84)-MAX('Activities'!K398,78))</x:f>
        <x:v>0</x:v>
      </x:c>
      <x:c r="S398" s="22" t="n">
        <x:f>MAX(0,MIN('Activities'!L398,90)-MAX('Activities'!K398,84))</x:f>
        <x:v>0</x:v>
      </x:c>
      <x:c r="T398" s="22" t="n">
        <x:f>MAX(0,MIN('Activities'!L398,96)-MAX('Activities'!K398,90))</x:f>
        <x:v>0</x:v>
      </x:c>
      <x:c r="U398" s="22" t="n">
        <x:f>MAX(0,MIN('Activities'!L398,102)-MAX('Activities'!K398,96))</x:f>
        <x:v>0</x:v>
      </x:c>
      <x:c r="V398" s="22" t="n">
        <x:f>MAX(0,MIN('Activities'!L398,108)-MAX('Activities'!K398,102))</x:f>
        <x:v>0</x:v>
      </x:c>
      <x:c r="W398" s="22" t="n">
        <x:f>MAX(0,MIN('Activities'!L398,114)-MAX('Activities'!K398,108))</x:f>
        <x:v>0</x:v>
      </x:c>
      <x:c r="X398" s="22" t="n">
        <x:f>MAX(0,MIN('Activities'!L398,120)-MAX('Activities'!K398,114))</x:f>
        <x:v>0</x:v>
      </x:c>
      <x:c r="Y398" s="22" t="n">
        <x:f>MAX(0,MIN('Activities'!L398,126)-MAX('Activities'!K398,120))</x:f>
        <x:v>0</x:v>
      </x:c>
      <x:c r="Z398" s="22" t="n">
        <x:f>MAX(0,MIN('Activities'!L398,132)-MAX('Activities'!K398,126))</x:f>
        <x:v>0</x:v>
      </x:c>
      <x:c r="AA398" s="22" t="n">
        <x:f>MAX(0,MIN('Activities'!L398,138)-MAX('Activities'!K398,132))</x:f>
        <x:v>0</x:v>
      </x:c>
      <x:c r="AB398" s="22" t="n">
        <x:f>MAX(0,MIN('Activities'!L398,144)-MAX('Activities'!K398,138))</x:f>
        <x:v>0</x:v>
      </x:c>
      <x:c r="AC398" s="22" t="n">
        <x:f>MAX(0,MIN('Activities'!L398,150)-MAX('Activities'!K398,144))</x:f>
        <x:v>0</x:v>
      </x:c>
      <x:c r="AD398" s="22" t="n">
        <x:f>MAX(0,MIN('Activities'!L398,156)-MAX('Activities'!K398,150))</x:f>
        <x:v>0</x:v>
      </x:c>
      <x:c r="AE398" s="22" t="n">
        <x:f>MAX(0,MIN('Activities'!L398,162)-MAX('Activities'!K398,156))</x:f>
        <x:v>0</x:v>
      </x:c>
      <x:c r="AF398" s="22" t="n">
        <x:f>MAX(0,MIN('Activities'!L398,168)-MAX('Activities'!K398,162))</x:f>
        <x:v>0</x:v>
      </x:c>
      <x:c r="AG398" s="22" t="n">
        <x:f>MAX(0,MIN('Activities'!L398,174)-MAX('Activities'!K398,168))</x:f>
        <x:v>0</x:v>
      </x:c>
      <x:c r="AH398" s="22" t="n">
        <x:f>MAX(0,MIN('Activities'!L398,180)-MAX('Activities'!K398,174))</x:f>
        <x:v>0</x:v>
      </x:c>
      <x:c r="AI398" s="22" t="n">
        <x:f>MAX(0,MIN('Activities'!L398,186)-MAX('Activities'!K398,180))</x:f>
        <x:v>0</x:v>
      </x:c>
      <x:c r="AJ398" s="22" t="n">
        <x:f>MAX(0,MIN('Activities'!L398,192)-MAX('Activities'!K398,186))</x:f>
        <x:v>0</x:v>
      </x:c>
      <x:c r="AK398" s="22" t="n">
        <x:f>MAX(0,MIN('Activities'!L398,198)-MAX('Activities'!K398,192))</x:f>
        <x:v>0</x:v>
      </x:c>
      <x:c r="AL398" s="22" t="n">
        <x:f>MAX(0,MIN('Activities'!L398,204)-MAX('Activities'!K398,198))</x:f>
        <x:v>0</x:v>
      </x:c>
      <x:c r="AM398" s="22" t="n">
        <x:f>MAX(0,MIN('Activities'!L398,210)-MAX('Activities'!K398,204))</x:f>
        <x:v>0</x:v>
      </x:c>
      <x:c r="AN398" s="22" t="n">
        <x:f>MAX(0,MIN('Activities'!L398,216)-MAX('Activities'!K398,210))</x:f>
        <x:v>0</x:v>
      </x:c>
      <x:c r="AO398" s="22" t="n">
        <x:f>MAX(0,MIN('Activities'!L398,222)-MAX('Activities'!K398,216))</x:f>
        <x:v>0</x:v>
      </x:c>
      <x:c r="AP398" s="22" t="n">
        <x:f>MAX(0,MIN('Activities'!L398,228)-MAX('Activities'!K398,222))</x:f>
        <x:v>0</x:v>
      </x:c>
      <x:c r="AQ398" s="22" t="n">
        <x:f>MAX(0,MIN('Activities'!L398,234)-MAX('Activities'!K398,228))</x:f>
        <x:v>0</x:v>
      </x:c>
      <x:c r="AR398" s="22" t="n">
        <x:f>MAX(0,MIN('Activities'!L398,240)-MAX('Activities'!K398,234))</x:f>
        <x:v>0</x:v>
      </x:c>
      <x:c r="AS398" s="22" t="n">
        <x:f>MAX(0,MIN('Activities'!L398,246)-MAX('Activities'!K398,240))</x:f>
        <x:v>0</x:v>
      </x:c>
      <x:c r="AT398" s="22" t="n">
        <x:f>MAX(0,MIN('Activities'!L398,252)-MAX('Activities'!K398,246))</x:f>
        <x:v>0</x:v>
      </x:c>
      <x:c r="AU398" s="22" t="n">
        <x:f>MAX(0,MIN('Activities'!L398,258)-MAX('Activities'!K398,252))</x:f>
        <x:v>0</x:v>
      </x:c>
      <x:c r="AV398" s="22" t="n">
        <x:f>MAX(0,MIN('Activities'!L398,264)-MAX('Activities'!K398,258))</x:f>
        <x:v>0</x:v>
      </x:c>
      <x:c r="AW398" s="22" t="n">
        <x:f>MAX(0,MIN('Activities'!L398,270)-MAX('Activities'!K398,264))</x:f>
        <x:v>0</x:v>
      </x:c>
      <x:c r="AX398" s="22" t="n">
        <x:f>MAX(0,MIN('Activities'!L398,276)-MAX('Activities'!K398,270))</x:f>
        <x:v>0</x:v>
      </x:c>
      <x:c r="AY398" s="22" t="n">
        <x:f>MAX(0,MIN('Activities'!L398,282)-MAX('Activities'!K398,276))</x:f>
        <x:v>0</x:v>
      </x:c>
      <x:c r="AZ398" s="22" t="n">
        <x:f>MAX(0,MIN('Activities'!L398,288)-MAX('Activities'!K398,282))</x:f>
        <x:v>0</x:v>
      </x:c>
      <x:c r="BA398" s="22" t="n">
        <x:f>MAX(0,MIN('Activities'!L398,294)-MAX('Activities'!K398,288))</x:f>
        <x:v>0</x:v>
      </x:c>
      <x:c r="BB398" s="22" t="n">
        <x:f>MAX(0,MIN('Activities'!L398,300)-MAX('Activities'!K398,294))</x:f>
        <x:v>0</x:v>
      </x:c>
      <x:c r="BC398" s="22" t="n">
        <x:f>MAX(0,MIN('Activities'!L398,306)-MAX('Activities'!K398,300))</x:f>
        <x:v>0</x:v>
      </x:c>
      <x:c r="BD398" s="22" t="n">
        <x:f>MAX(0,MIN('Activities'!L398,312)-MAX('Activities'!K398,306))</x:f>
        <x:v>0</x:v>
      </x:c>
      <x:c r="BE398" s="22" t="n">
        <x:f>MAX(0,MIN('Activities'!L398,318)-MAX('Activities'!K398,312))</x:f>
        <x:v>0</x:v>
      </x:c>
      <x:c r="BF398" s="22" t="n">
        <x:f>MAX(0,MIN('Activities'!L398,324)-MAX('Activities'!K398,318))</x:f>
        <x:v>0</x:v>
      </x:c>
      <x:c r="BG398" s="22" t="n">
        <x:f>MAX(0,MIN('Activities'!L398,330)-MAX('Activities'!K398,324))</x:f>
        <x:v>0</x:v>
      </x:c>
      <x:c r="BH398" s="22" t="n">
        <x:f>MAX(0,MIN('Activities'!L398,336)-MAX('Activities'!K398,330))</x:f>
        <x:v>0</x:v>
      </x:c>
      <x:c r="BI398" s="22" t="n">
        <x:f>MAX(0,MIN('Activities'!L398,342)-MAX('Activities'!K398,336))</x:f>
        <x:v>0</x:v>
      </x:c>
      <x:c r="BJ398" s="22" t="n">
        <x:f>MAX(0,MIN('Activities'!L398,348)-MAX('Activities'!K398,342))</x:f>
        <x:v>0</x:v>
      </x:c>
      <x:c r="BK398" s="22" t="n">
        <x:f>MAX(0,MIN('Activities'!L398,354)-MAX('Activities'!K398,348))</x:f>
        <x:v>0</x:v>
      </x:c>
      <x:c r="BL398" s="22" t="n">
        <x:f>MAX(0,MIN('Activities'!L398,360)-MAX('Activities'!K398,354))</x:f>
        <x:v>0</x:v>
      </x:c>
      <x:c r="BM398" s="22" t="n">
        <x:f>MAX(0,MIN('Activities'!L398,366)-MAX('Activities'!K398,360))</x:f>
        <x:v>0</x:v>
      </x:c>
      <x:c r="BN398" s="22" t="n">
        <x:f>MAX(0,MIN('Activities'!L398,372)-MAX('Activities'!K398,366))</x:f>
        <x:v>0</x:v>
      </x:c>
      <x:c r="BO398" s="22" t="n">
        <x:f>MAX(0,MIN('Activities'!L398,378)-MAX('Activities'!K398,372))</x:f>
        <x:v>0</x:v>
      </x:c>
      <x:c r="BP398" s="22" t="n">
        <x:f>MAX(0,MIN('Activities'!L398,384)-MAX('Activities'!K398,378))</x:f>
        <x:v>0</x:v>
      </x:c>
      <x:c r="BQ398" s="22" t="n">
        <x:f>MAX(0,MIN('Activities'!L398,390)-MAX('Activities'!K398,384))</x:f>
        <x:v>0</x:v>
      </x:c>
      <x:c r="BR398" s="22" t="n">
        <x:f>MAX(0,MIN('Activities'!L398,396)-MAX('Activities'!K398,390))</x:f>
        <x:v>0</x:v>
      </x:c>
      <x:c r="BS398" s="22" t="n">
        <x:f>MAX(0,MIN('Activities'!L398,402)-MAX('Activities'!K398,396))</x:f>
        <x:v>0</x:v>
      </x:c>
      <x:c r="BT398" s="22" t="n">
        <x:f>MAX(0,MIN('Activities'!L398,408)-MAX('Activities'!K398,402))</x:f>
        <x:v>3</x:v>
      </x:c>
      <x:c r="BU398" s="22" t="n">
        <x:f>MAX(0,MIN('Activities'!L398,414)-MAX('Activities'!K398,408))</x:f>
        <x:v>3</x:v>
      </x:c>
      <x:c r="BV398" s="22" t="n">
        <x:f>MAX(0,MIN('Activities'!L398,420)-MAX('Activities'!K398,414))</x:f>
        <x:v>0</x:v>
      </x:c>
      <x:c r="BW398" s="22" t="n">
        <x:f>MAX(0,MIN('Activities'!L398,426)-MAX('Activities'!K398,420))</x:f>
        <x:v>0</x:v>
      </x:c>
      <x:c r="BX398" s="22" t="n">
        <x:f>MAX(0,MIN('Activities'!L398,432)-MAX('Activities'!K398,426))</x:f>
        <x:v>0</x:v>
      </x:c>
      <x:c r="BY398" s="22" t="n">
        <x:f>MAX(0,MIN('Activities'!L398,438)-MAX('Activities'!K398,432))</x:f>
        <x:v>0</x:v>
      </x:c>
      <x:c r="BZ398" s="22" t="n">
        <x:f>MAX(0,MIN('Activities'!L398,444)-MAX('Activities'!K398,438))</x:f>
        <x:v>0</x:v>
      </x:c>
      <x:c r="CA398" s="22" t="n">
        <x:f>MAX(0,MIN('Activities'!L398,450)-MAX('Activities'!K398,444))</x:f>
        <x:v>0</x:v>
      </x:c>
      <x:c r="CB398" s="22" t="n">
        <x:f>MAX(0,MIN('Activities'!L398,456)-MAX('Activities'!K398,450))</x:f>
        <x:v>0</x:v>
      </x:c>
      <x:c r="CC398" s="22" t="n">
        <x:f>MAX(0,MIN('Activities'!L398,462)-MAX('Activities'!K398,456))</x:f>
        <x:v>0</x:v>
      </x:c>
      <x:c r="CD398" s="22" t="n">
        <x:f>MAX(0,MIN('Activities'!L398,468)-MAX('Activities'!K398,462))</x:f>
        <x:v>0</x:v>
      </x:c>
      <x:c r="CE398" s="22" t="n">
        <x:f>MAX(0,MIN('Activities'!L398,474)-MAX('Activities'!K398,468))</x:f>
        <x:v>0</x:v>
      </x:c>
      <x:c r="CF398" s="22" t="n">
        <x:f>MAX(0,MIN('Activities'!L398,480)-MAX('Activities'!K398,474))</x:f>
        <x:v>0</x:v>
      </x:c>
      <x:c r="CG398" s="22" t="n">
        <x:f>MAX(0,MIN('Activities'!L398,486)-MAX('Activities'!K398,480))</x:f>
        <x:v>0</x:v>
      </x:c>
      <x:c r="CH398" s="22" t="n">
        <x:f>MAX(0,MIN('Activities'!L398,492)-MAX('Activities'!K398,486))</x:f>
        <x:v>0</x:v>
      </x:c>
      <x:c r="CI398" s="22" t="n">
        <x:f>MAX(0,MIN('Activities'!L398,498)-MAX('Activities'!K398,492))</x:f>
        <x:v>0</x:v>
      </x:c>
      <x:c r="CJ398" s="22" t="n">
        <x:f>MAX(0,MIN('Activities'!L398,504)-MAX('Activities'!K398,498))</x:f>
        <x:v>0</x:v>
      </x:c>
      <x:c r="CK398" s="22" t="n">
        <x:f>MAX(0,MIN('Activities'!L398,510)-MAX('Activities'!K398,504))</x:f>
        <x:v>0</x:v>
      </x:c>
      <x:c r="CL398" s="22" t="n">
        <x:f>MAX(0,MIN('Activities'!L398,516)-MAX('Activities'!K398,510))</x:f>
        <x:v>0</x:v>
      </x:c>
      <x:c r="CM398" s="22" t="n">
        <x:f>MAX(0,MIN('Activities'!L398,522)-MAX('Activities'!K398,516))</x:f>
        <x:v>0</x:v>
      </x:c>
      <x:c r="CN398" s="22" t="n">
        <x:f>MAX(0,MIN('Activities'!L398,528)-MAX('Activities'!K398,522))</x:f>
        <x:v>0</x:v>
      </x:c>
      <x:c r="CO398" s="22" t="n">
        <x:f>MAX(0,MIN('Activities'!L398,534)-MAX('Activities'!K398,528))</x:f>
        <x:v>0</x:v>
      </x:c>
      <x:c r="CP398" s="22" t="n">
        <x:f>MAX(0,MIN('Activities'!L398,540)-MAX('Activities'!K398,534))</x:f>
        <x:v>0</x:v>
      </x:c>
      <x:c r="CQ398" s="22" t="n">
        <x:f>MAX(0,MIN('Activities'!L398,546)-MAX('Activities'!K398,540))</x:f>
        <x:v>0</x:v>
      </x:c>
      <x:c r="CR398" s="22" t="n">
        <x:f>MAX(0,MIN('Activities'!L398,552)-MAX('Activities'!K398,546))</x:f>
        <x:v>0</x:v>
      </x:c>
      <x:c r="CS398" s="22" t="n">
        <x:f>MAX(0,MIN('Activities'!L398,558)-MAX('Activities'!K398,552))</x:f>
        <x:v>0</x:v>
      </x:c>
      <x:c r="CT398" s="22" t="n">
        <x:f>MAX(0,MIN('Activities'!L398,564)-MAX('Activities'!K398,558))</x:f>
        <x:v>0</x:v>
      </x:c>
      <x:c r="CU398" s="22" t="n">
        <x:f>MAX(0,MIN('Activities'!L398,570)-MAX('Activities'!K398,564))</x:f>
        <x:v>0</x:v>
      </x:c>
      <x:c r="CV398" s="22" t="n">
        <x:f>MAX(0,MIN('Activities'!L398,576)-MAX('Activities'!K398,570))</x:f>
        <x:v>0</x:v>
      </x:c>
      <x:c r="CW398" s="22" t="n">
        <x:f>MAX(0,MIN('Activities'!L398,582)-MAX('Activities'!K398,576))</x:f>
        <x:v>0</x:v>
      </x:c>
      <x:c r="CX398" s="22" t="n">
        <x:f>MAX(0,MIN('Activities'!L398,588)-MAX('Activities'!K398,582))</x:f>
        <x:v>0</x:v>
      </x:c>
      <x:c r="CY398" s="22" t="n">
        <x:f>MAX(0,MIN('Activities'!L398,594)-MAX('Activities'!K398,588))</x:f>
        <x:v>0</x:v>
      </x:c>
      <x:c r="CZ398" s="22" t="n">
        <x:f>MAX(0,MIN('Activities'!L398,600)-MAX('Activities'!K398,594))</x:f>
        <x:v>0</x:v>
      </x:c>
      <x:c r="DA398" s="22" t="n">
        <x:f>MAX(0,MIN('Activities'!L398,606)-MAX('Activities'!K398,600))</x:f>
        <x:v>0</x:v>
      </x:c>
      <x:c r="DB398" s="22" t="n">
        <x:f>MAX(0,MIN('Activities'!L398,612)-MAX('Activities'!K398,606))</x:f>
        <x:v>0</x:v>
      </x:c>
      <x:c r="DC398" s="22" t="n">
        <x:f>MAX(0,MIN('Activities'!L398,618)-MAX('Activities'!K398,612))</x:f>
        <x:v>0</x:v>
      </x:c>
      <x:c r="DD398" s="22" t="n">
        <x:f>MAX(0,MIN('Activities'!L398,624)-MAX('Activities'!K398,618))</x:f>
        <x:v>0</x:v>
      </x:c>
      <x:c r="DE398" s="22" t="n">
        <x:f>MAX(0,MIN('Activities'!L398,630)-MAX('Activities'!K398,624))</x:f>
        <x:v>0</x:v>
      </x:c>
      <x:c r="DF398" s="22" t="n">
        <x:f>MAX(0,MIN('Activities'!L398,636)-MAX('Activities'!K398,630))</x:f>
        <x:v>0</x:v>
      </x:c>
    </x:row>
    <x:row r="399" ht="23" customHeight="1">
      <x:c r="A399" s="1" t="str">
        <x:v>T3-L10-S</x:v>
      </x:c>
      <x:c r="B399" s="1" t="str">
        <x:v>T3</x:v>
      </x:c>
      <x:c r="C399" s="1" t="str">
        <x:v>Screed and substrate preparation</x:v>
      </x:c>
      <x:c r="D399" s="1" t="str">
        <x:v>Finishes</x:v>
      </x:c>
      <x:c r="E399" s="23" t="n">
        <x:f>MAX(0,MIN('Activities'!L399,6)-MAX('Activities'!K399,0))</x:f>
        <x:v>0</x:v>
      </x:c>
      <x:c r="F399" s="23" t="n">
        <x:f>MAX(0,MIN('Activities'!L399,12)-MAX('Activities'!K399,6))</x:f>
        <x:v>0</x:v>
      </x:c>
      <x:c r="G399" s="23" t="n">
        <x:f>MAX(0,MIN('Activities'!L399,18)-MAX('Activities'!K399,12))</x:f>
        <x:v>0</x:v>
      </x:c>
      <x:c r="H399" s="23" t="n">
        <x:f>MAX(0,MIN('Activities'!L399,24)-MAX('Activities'!K399,18))</x:f>
        <x:v>0</x:v>
      </x:c>
      <x:c r="I399" s="23" t="n">
        <x:f>MAX(0,MIN('Activities'!L399,30)-MAX('Activities'!K399,24))</x:f>
        <x:v>0</x:v>
      </x:c>
      <x:c r="J399" s="23" t="n">
        <x:f>MAX(0,MIN('Activities'!L399,36)-MAX('Activities'!K399,30))</x:f>
        <x:v>0</x:v>
      </x:c>
      <x:c r="K399" s="23" t="n">
        <x:f>MAX(0,MIN('Activities'!L399,42)-MAX('Activities'!K399,36))</x:f>
        <x:v>0</x:v>
      </x:c>
      <x:c r="L399" s="23" t="n">
        <x:f>MAX(0,MIN('Activities'!L399,48)-MAX('Activities'!K399,42))</x:f>
        <x:v>0</x:v>
      </x:c>
      <x:c r="M399" s="23" t="n">
        <x:f>MAX(0,MIN('Activities'!L399,54)-MAX('Activities'!K399,48))</x:f>
        <x:v>0</x:v>
      </x:c>
      <x:c r="N399" s="23" t="n">
        <x:f>MAX(0,MIN('Activities'!L399,60)-MAX('Activities'!K399,54))</x:f>
        <x:v>0</x:v>
      </x:c>
      <x:c r="O399" s="23" t="n">
        <x:f>MAX(0,MIN('Activities'!L399,66)-MAX('Activities'!K399,60))</x:f>
        <x:v>0</x:v>
      </x:c>
      <x:c r="P399" s="23" t="n">
        <x:f>MAX(0,MIN('Activities'!L399,72)-MAX('Activities'!K399,66))</x:f>
        <x:v>0</x:v>
      </x:c>
      <x:c r="Q399" s="23" t="n">
        <x:f>MAX(0,MIN('Activities'!L399,78)-MAX('Activities'!K399,72))</x:f>
        <x:v>0</x:v>
      </x:c>
      <x:c r="R399" s="23" t="n">
        <x:f>MAX(0,MIN('Activities'!L399,84)-MAX('Activities'!K399,78))</x:f>
        <x:v>0</x:v>
      </x:c>
      <x:c r="S399" s="23" t="n">
        <x:f>MAX(0,MIN('Activities'!L399,90)-MAX('Activities'!K399,84))</x:f>
        <x:v>0</x:v>
      </x:c>
      <x:c r="T399" s="23" t="n">
        <x:f>MAX(0,MIN('Activities'!L399,96)-MAX('Activities'!K399,90))</x:f>
        <x:v>0</x:v>
      </x:c>
      <x:c r="U399" s="23" t="n">
        <x:f>MAX(0,MIN('Activities'!L399,102)-MAX('Activities'!K399,96))</x:f>
        <x:v>0</x:v>
      </x:c>
      <x:c r="V399" s="23" t="n">
        <x:f>MAX(0,MIN('Activities'!L399,108)-MAX('Activities'!K399,102))</x:f>
        <x:v>0</x:v>
      </x:c>
      <x:c r="W399" s="23" t="n">
        <x:f>MAX(0,MIN('Activities'!L399,114)-MAX('Activities'!K399,108))</x:f>
        <x:v>0</x:v>
      </x:c>
      <x:c r="X399" s="23" t="n">
        <x:f>MAX(0,MIN('Activities'!L399,120)-MAX('Activities'!K399,114))</x:f>
        <x:v>0</x:v>
      </x:c>
      <x:c r="Y399" s="23" t="n">
        <x:f>MAX(0,MIN('Activities'!L399,126)-MAX('Activities'!K399,120))</x:f>
        <x:v>0</x:v>
      </x:c>
      <x:c r="Z399" s="23" t="n">
        <x:f>MAX(0,MIN('Activities'!L399,132)-MAX('Activities'!K399,126))</x:f>
        <x:v>0</x:v>
      </x:c>
      <x:c r="AA399" s="23" t="n">
        <x:f>MAX(0,MIN('Activities'!L399,138)-MAX('Activities'!K399,132))</x:f>
        <x:v>0</x:v>
      </x:c>
      <x:c r="AB399" s="23" t="n">
        <x:f>MAX(0,MIN('Activities'!L399,144)-MAX('Activities'!K399,138))</x:f>
        <x:v>0</x:v>
      </x:c>
      <x:c r="AC399" s="23" t="n">
        <x:f>MAX(0,MIN('Activities'!L399,150)-MAX('Activities'!K399,144))</x:f>
        <x:v>0</x:v>
      </x:c>
      <x:c r="AD399" s="23" t="n">
        <x:f>MAX(0,MIN('Activities'!L399,156)-MAX('Activities'!K399,150))</x:f>
        <x:v>0</x:v>
      </x:c>
      <x:c r="AE399" s="23" t="n">
        <x:f>MAX(0,MIN('Activities'!L399,162)-MAX('Activities'!K399,156))</x:f>
        <x:v>0</x:v>
      </x:c>
      <x:c r="AF399" s="23" t="n">
        <x:f>MAX(0,MIN('Activities'!L399,168)-MAX('Activities'!K399,162))</x:f>
        <x:v>0</x:v>
      </x:c>
      <x:c r="AG399" s="23" t="n">
        <x:f>MAX(0,MIN('Activities'!L399,174)-MAX('Activities'!K399,168))</x:f>
        <x:v>0</x:v>
      </x:c>
      <x:c r="AH399" s="23" t="n">
        <x:f>MAX(0,MIN('Activities'!L399,180)-MAX('Activities'!K399,174))</x:f>
        <x:v>0</x:v>
      </x:c>
      <x:c r="AI399" s="23" t="n">
        <x:f>MAX(0,MIN('Activities'!L399,186)-MAX('Activities'!K399,180))</x:f>
        <x:v>0</x:v>
      </x:c>
      <x:c r="AJ399" s="23" t="n">
        <x:f>MAX(0,MIN('Activities'!L399,192)-MAX('Activities'!K399,186))</x:f>
        <x:v>0</x:v>
      </x:c>
      <x:c r="AK399" s="23" t="n">
        <x:f>MAX(0,MIN('Activities'!L399,198)-MAX('Activities'!K399,192))</x:f>
        <x:v>0</x:v>
      </x:c>
      <x:c r="AL399" s="23" t="n">
        <x:f>MAX(0,MIN('Activities'!L399,204)-MAX('Activities'!K399,198))</x:f>
        <x:v>0</x:v>
      </x:c>
      <x:c r="AM399" s="23" t="n">
        <x:f>MAX(0,MIN('Activities'!L399,210)-MAX('Activities'!K399,204))</x:f>
        <x:v>0</x:v>
      </x:c>
      <x:c r="AN399" s="23" t="n">
        <x:f>MAX(0,MIN('Activities'!L399,216)-MAX('Activities'!K399,210))</x:f>
        <x:v>0</x:v>
      </x:c>
      <x:c r="AO399" s="23" t="n">
        <x:f>MAX(0,MIN('Activities'!L399,222)-MAX('Activities'!K399,216))</x:f>
        <x:v>0</x:v>
      </x:c>
      <x:c r="AP399" s="23" t="n">
        <x:f>MAX(0,MIN('Activities'!L399,228)-MAX('Activities'!K399,222))</x:f>
        <x:v>0</x:v>
      </x:c>
      <x:c r="AQ399" s="23" t="n">
        <x:f>MAX(0,MIN('Activities'!L399,234)-MAX('Activities'!K399,228))</x:f>
        <x:v>0</x:v>
      </x:c>
      <x:c r="AR399" s="23" t="n">
        <x:f>MAX(0,MIN('Activities'!L399,240)-MAX('Activities'!K399,234))</x:f>
        <x:v>0</x:v>
      </x:c>
      <x:c r="AS399" s="23" t="n">
        <x:f>MAX(0,MIN('Activities'!L399,246)-MAX('Activities'!K399,240))</x:f>
        <x:v>0</x:v>
      </x:c>
      <x:c r="AT399" s="23" t="n">
        <x:f>MAX(0,MIN('Activities'!L399,252)-MAX('Activities'!K399,246))</x:f>
        <x:v>0</x:v>
      </x:c>
      <x:c r="AU399" s="23" t="n">
        <x:f>MAX(0,MIN('Activities'!L399,258)-MAX('Activities'!K399,252))</x:f>
        <x:v>0</x:v>
      </x:c>
      <x:c r="AV399" s="23" t="n">
        <x:f>MAX(0,MIN('Activities'!L399,264)-MAX('Activities'!K399,258))</x:f>
        <x:v>0</x:v>
      </x:c>
      <x:c r="AW399" s="23" t="n">
        <x:f>MAX(0,MIN('Activities'!L399,270)-MAX('Activities'!K399,264))</x:f>
        <x:v>0</x:v>
      </x:c>
      <x:c r="AX399" s="23" t="n">
        <x:f>MAX(0,MIN('Activities'!L399,276)-MAX('Activities'!K399,270))</x:f>
        <x:v>0</x:v>
      </x:c>
      <x:c r="AY399" s="23" t="n">
        <x:f>MAX(0,MIN('Activities'!L399,282)-MAX('Activities'!K399,276))</x:f>
        <x:v>0</x:v>
      </x:c>
      <x:c r="AZ399" s="23" t="n">
        <x:f>MAX(0,MIN('Activities'!L399,288)-MAX('Activities'!K399,282))</x:f>
        <x:v>0</x:v>
      </x:c>
      <x:c r="BA399" s="23" t="n">
        <x:f>MAX(0,MIN('Activities'!L399,294)-MAX('Activities'!K399,288))</x:f>
        <x:v>0</x:v>
      </x:c>
      <x:c r="BB399" s="23" t="n">
        <x:f>MAX(0,MIN('Activities'!L399,300)-MAX('Activities'!K399,294))</x:f>
        <x:v>0</x:v>
      </x:c>
      <x:c r="BC399" s="23" t="n">
        <x:f>MAX(0,MIN('Activities'!L399,306)-MAX('Activities'!K399,300))</x:f>
        <x:v>0</x:v>
      </x:c>
      <x:c r="BD399" s="23" t="n">
        <x:f>MAX(0,MIN('Activities'!L399,312)-MAX('Activities'!K399,306))</x:f>
        <x:v>0</x:v>
      </x:c>
      <x:c r="BE399" s="23" t="n">
        <x:f>MAX(0,MIN('Activities'!L399,318)-MAX('Activities'!K399,312))</x:f>
        <x:v>0</x:v>
      </x:c>
      <x:c r="BF399" s="23" t="n">
        <x:f>MAX(0,MIN('Activities'!L399,324)-MAX('Activities'!K399,318))</x:f>
        <x:v>0</x:v>
      </x:c>
      <x:c r="BG399" s="23" t="n">
        <x:f>MAX(0,MIN('Activities'!L399,330)-MAX('Activities'!K399,324))</x:f>
        <x:v>0</x:v>
      </x:c>
      <x:c r="BH399" s="23" t="n">
        <x:f>MAX(0,MIN('Activities'!L399,336)-MAX('Activities'!K399,330))</x:f>
        <x:v>0</x:v>
      </x:c>
      <x:c r="BI399" s="23" t="n">
        <x:f>MAX(0,MIN('Activities'!L399,342)-MAX('Activities'!K399,336))</x:f>
        <x:v>0</x:v>
      </x:c>
      <x:c r="BJ399" s="23" t="n">
        <x:f>MAX(0,MIN('Activities'!L399,348)-MAX('Activities'!K399,342))</x:f>
        <x:v>0</x:v>
      </x:c>
      <x:c r="BK399" s="23" t="n">
        <x:f>MAX(0,MIN('Activities'!L399,354)-MAX('Activities'!K399,348))</x:f>
        <x:v>0</x:v>
      </x:c>
      <x:c r="BL399" s="23" t="n">
        <x:f>MAX(0,MIN('Activities'!L399,360)-MAX('Activities'!K399,354))</x:f>
        <x:v>0</x:v>
      </x:c>
      <x:c r="BM399" s="23" t="n">
        <x:f>MAX(0,MIN('Activities'!L399,366)-MAX('Activities'!K399,360))</x:f>
        <x:v>0</x:v>
      </x:c>
      <x:c r="BN399" s="23" t="n">
        <x:f>MAX(0,MIN('Activities'!L399,372)-MAX('Activities'!K399,366))</x:f>
        <x:v>0</x:v>
      </x:c>
      <x:c r="BO399" s="23" t="n">
        <x:f>MAX(0,MIN('Activities'!L399,378)-MAX('Activities'!K399,372))</x:f>
        <x:v>0</x:v>
      </x:c>
      <x:c r="BP399" s="23" t="n">
        <x:f>MAX(0,MIN('Activities'!L399,384)-MAX('Activities'!K399,378))</x:f>
        <x:v>0</x:v>
      </x:c>
      <x:c r="BQ399" s="23" t="n">
        <x:f>MAX(0,MIN('Activities'!L399,390)-MAX('Activities'!K399,384))</x:f>
        <x:v>0</x:v>
      </x:c>
      <x:c r="BR399" s="23" t="n">
        <x:f>MAX(0,MIN('Activities'!L399,396)-MAX('Activities'!K399,390))</x:f>
        <x:v>0</x:v>
      </x:c>
      <x:c r="BS399" s="23" t="n">
        <x:f>MAX(0,MIN('Activities'!L399,402)-MAX('Activities'!K399,396))</x:f>
        <x:v>0</x:v>
      </x:c>
      <x:c r="BT399" s="23" t="n">
        <x:f>MAX(0,MIN('Activities'!L399,408)-MAX('Activities'!K399,402))</x:f>
        <x:v>0</x:v>
      </x:c>
      <x:c r="BU399" s="23" t="n">
        <x:f>MAX(0,MIN('Activities'!L399,414)-MAX('Activities'!K399,408))</x:f>
        <x:v>1</x:v>
      </x:c>
      <x:c r="BV399" s="23" t="n">
        <x:f>MAX(0,MIN('Activities'!L399,420)-MAX('Activities'!K399,414))</x:f>
        <x:v>2</x:v>
      </x:c>
      <x:c r="BW399" s="23" t="n">
        <x:f>MAX(0,MIN('Activities'!L399,426)-MAX('Activities'!K399,420))</x:f>
        <x:v>0</x:v>
      </x:c>
      <x:c r="BX399" s="23" t="n">
        <x:f>MAX(0,MIN('Activities'!L399,432)-MAX('Activities'!K399,426))</x:f>
        <x:v>0</x:v>
      </x:c>
      <x:c r="BY399" s="23" t="n">
        <x:f>MAX(0,MIN('Activities'!L399,438)-MAX('Activities'!K399,432))</x:f>
        <x:v>0</x:v>
      </x:c>
      <x:c r="BZ399" s="23" t="n">
        <x:f>MAX(0,MIN('Activities'!L399,444)-MAX('Activities'!K399,438))</x:f>
        <x:v>0</x:v>
      </x:c>
      <x:c r="CA399" s="23" t="n">
        <x:f>MAX(0,MIN('Activities'!L399,450)-MAX('Activities'!K399,444))</x:f>
        <x:v>0</x:v>
      </x:c>
      <x:c r="CB399" s="23" t="n">
        <x:f>MAX(0,MIN('Activities'!L399,456)-MAX('Activities'!K399,450))</x:f>
        <x:v>0</x:v>
      </x:c>
      <x:c r="CC399" s="23" t="n">
        <x:f>MAX(0,MIN('Activities'!L399,462)-MAX('Activities'!K399,456))</x:f>
        <x:v>0</x:v>
      </x:c>
      <x:c r="CD399" s="23" t="n">
        <x:f>MAX(0,MIN('Activities'!L399,468)-MAX('Activities'!K399,462))</x:f>
        <x:v>0</x:v>
      </x:c>
      <x:c r="CE399" s="23" t="n">
        <x:f>MAX(0,MIN('Activities'!L399,474)-MAX('Activities'!K399,468))</x:f>
        <x:v>0</x:v>
      </x:c>
      <x:c r="CF399" s="23" t="n">
        <x:f>MAX(0,MIN('Activities'!L399,480)-MAX('Activities'!K399,474))</x:f>
        <x:v>0</x:v>
      </x:c>
      <x:c r="CG399" s="23" t="n">
        <x:f>MAX(0,MIN('Activities'!L399,486)-MAX('Activities'!K399,480))</x:f>
        <x:v>0</x:v>
      </x:c>
      <x:c r="CH399" s="23" t="n">
        <x:f>MAX(0,MIN('Activities'!L399,492)-MAX('Activities'!K399,486))</x:f>
        <x:v>0</x:v>
      </x:c>
      <x:c r="CI399" s="23" t="n">
        <x:f>MAX(0,MIN('Activities'!L399,498)-MAX('Activities'!K399,492))</x:f>
        <x:v>0</x:v>
      </x:c>
      <x:c r="CJ399" s="23" t="n">
        <x:f>MAX(0,MIN('Activities'!L399,504)-MAX('Activities'!K399,498))</x:f>
        <x:v>0</x:v>
      </x:c>
      <x:c r="CK399" s="23" t="n">
        <x:f>MAX(0,MIN('Activities'!L399,510)-MAX('Activities'!K399,504))</x:f>
        <x:v>0</x:v>
      </x:c>
      <x:c r="CL399" s="23" t="n">
        <x:f>MAX(0,MIN('Activities'!L399,516)-MAX('Activities'!K399,510))</x:f>
        <x:v>0</x:v>
      </x:c>
      <x:c r="CM399" s="23" t="n">
        <x:f>MAX(0,MIN('Activities'!L399,522)-MAX('Activities'!K399,516))</x:f>
        <x:v>0</x:v>
      </x:c>
      <x:c r="CN399" s="23" t="n">
        <x:f>MAX(0,MIN('Activities'!L399,528)-MAX('Activities'!K399,522))</x:f>
        <x:v>0</x:v>
      </x:c>
      <x:c r="CO399" s="23" t="n">
        <x:f>MAX(0,MIN('Activities'!L399,534)-MAX('Activities'!K399,528))</x:f>
        <x:v>0</x:v>
      </x:c>
      <x:c r="CP399" s="23" t="n">
        <x:f>MAX(0,MIN('Activities'!L399,540)-MAX('Activities'!K399,534))</x:f>
        <x:v>0</x:v>
      </x:c>
      <x:c r="CQ399" s="23" t="n">
        <x:f>MAX(0,MIN('Activities'!L399,546)-MAX('Activities'!K399,540))</x:f>
        <x:v>0</x:v>
      </x:c>
      <x:c r="CR399" s="23" t="n">
        <x:f>MAX(0,MIN('Activities'!L399,552)-MAX('Activities'!K399,546))</x:f>
        <x:v>0</x:v>
      </x:c>
      <x:c r="CS399" s="23" t="n">
        <x:f>MAX(0,MIN('Activities'!L399,558)-MAX('Activities'!K399,552))</x:f>
        <x:v>0</x:v>
      </x:c>
      <x:c r="CT399" s="23" t="n">
        <x:f>MAX(0,MIN('Activities'!L399,564)-MAX('Activities'!K399,558))</x:f>
        <x:v>0</x:v>
      </x:c>
      <x:c r="CU399" s="23" t="n">
        <x:f>MAX(0,MIN('Activities'!L399,570)-MAX('Activities'!K399,564))</x:f>
        <x:v>0</x:v>
      </x:c>
      <x:c r="CV399" s="23" t="n">
        <x:f>MAX(0,MIN('Activities'!L399,576)-MAX('Activities'!K399,570))</x:f>
        <x:v>0</x:v>
      </x:c>
      <x:c r="CW399" s="23" t="n">
        <x:f>MAX(0,MIN('Activities'!L399,582)-MAX('Activities'!K399,576))</x:f>
        <x:v>0</x:v>
      </x:c>
      <x:c r="CX399" s="23" t="n">
        <x:f>MAX(0,MIN('Activities'!L399,588)-MAX('Activities'!K399,582))</x:f>
        <x:v>0</x:v>
      </x:c>
      <x:c r="CY399" s="23" t="n">
        <x:f>MAX(0,MIN('Activities'!L399,594)-MAX('Activities'!K399,588))</x:f>
        <x:v>0</x:v>
      </x:c>
      <x:c r="CZ399" s="23" t="n">
        <x:f>MAX(0,MIN('Activities'!L399,600)-MAX('Activities'!K399,594))</x:f>
        <x:v>0</x:v>
      </x:c>
      <x:c r="DA399" s="23" t="n">
        <x:f>MAX(0,MIN('Activities'!L399,606)-MAX('Activities'!K399,600))</x:f>
        <x:v>0</x:v>
      </x:c>
      <x:c r="DB399" s="23" t="n">
        <x:f>MAX(0,MIN('Activities'!L399,612)-MAX('Activities'!K399,606))</x:f>
        <x:v>0</x:v>
      </x:c>
      <x:c r="DC399" s="23" t="n">
        <x:f>MAX(0,MIN('Activities'!L399,618)-MAX('Activities'!K399,612))</x:f>
        <x:v>0</x:v>
      </x:c>
      <x:c r="DD399" s="23" t="n">
        <x:f>MAX(0,MIN('Activities'!L399,624)-MAX('Activities'!K399,618))</x:f>
        <x:v>0</x:v>
      </x:c>
      <x:c r="DE399" s="23" t="n">
        <x:f>MAX(0,MIN('Activities'!L399,630)-MAX('Activities'!K399,624))</x:f>
        <x:v>0</x:v>
      </x:c>
      <x:c r="DF399" s="23" t="n">
        <x:f>MAX(0,MIN('Activities'!L399,636)-MAX('Activities'!K399,630))</x:f>
        <x:v>0</x:v>
      </x:c>
    </x:row>
    <x:row r="400" ht="23" customHeight="1">
      <x:c r="A400" s="6" t="str">
        <x:v>T3-L10-T</x:v>
      </x:c>
      <x:c r="B400" s="6" t="str">
        <x:v>T3</x:v>
      </x:c>
      <x:c r="C400" s="6" t="str">
        <x:v>Floor finishes and skirtings</x:v>
      </x:c>
      <x:c r="D400" s="6" t="str">
        <x:v>Finishes</x:v>
      </x:c>
      <x:c r="E400" s="22" t="n">
        <x:f>MAX(0,MIN('Activities'!L400,6)-MAX('Activities'!K400,0))</x:f>
        <x:v>0</x:v>
      </x:c>
      <x:c r="F400" s="22" t="n">
        <x:f>MAX(0,MIN('Activities'!L400,12)-MAX('Activities'!K400,6))</x:f>
        <x:v>0</x:v>
      </x:c>
      <x:c r="G400" s="22" t="n">
        <x:f>MAX(0,MIN('Activities'!L400,18)-MAX('Activities'!K400,12))</x:f>
        <x:v>0</x:v>
      </x:c>
      <x:c r="H400" s="22" t="n">
        <x:f>MAX(0,MIN('Activities'!L400,24)-MAX('Activities'!K400,18))</x:f>
        <x:v>0</x:v>
      </x:c>
      <x:c r="I400" s="22" t="n">
        <x:f>MAX(0,MIN('Activities'!L400,30)-MAX('Activities'!K400,24))</x:f>
        <x:v>0</x:v>
      </x:c>
      <x:c r="J400" s="22" t="n">
        <x:f>MAX(0,MIN('Activities'!L400,36)-MAX('Activities'!K400,30))</x:f>
        <x:v>0</x:v>
      </x:c>
      <x:c r="K400" s="22" t="n">
        <x:f>MAX(0,MIN('Activities'!L400,42)-MAX('Activities'!K400,36))</x:f>
        <x:v>0</x:v>
      </x:c>
      <x:c r="L400" s="22" t="n">
        <x:f>MAX(0,MIN('Activities'!L400,48)-MAX('Activities'!K400,42))</x:f>
        <x:v>0</x:v>
      </x:c>
      <x:c r="M400" s="22" t="n">
        <x:f>MAX(0,MIN('Activities'!L400,54)-MAX('Activities'!K400,48))</x:f>
        <x:v>0</x:v>
      </x:c>
      <x:c r="N400" s="22" t="n">
        <x:f>MAX(0,MIN('Activities'!L400,60)-MAX('Activities'!K400,54))</x:f>
        <x:v>0</x:v>
      </x:c>
      <x:c r="O400" s="22" t="n">
        <x:f>MAX(0,MIN('Activities'!L400,66)-MAX('Activities'!K400,60))</x:f>
        <x:v>0</x:v>
      </x:c>
      <x:c r="P400" s="22" t="n">
        <x:f>MAX(0,MIN('Activities'!L400,72)-MAX('Activities'!K400,66))</x:f>
        <x:v>0</x:v>
      </x:c>
      <x:c r="Q400" s="22" t="n">
        <x:f>MAX(0,MIN('Activities'!L400,78)-MAX('Activities'!K400,72))</x:f>
        <x:v>0</x:v>
      </x:c>
      <x:c r="R400" s="22" t="n">
        <x:f>MAX(0,MIN('Activities'!L400,84)-MAX('Activities'!K400,78))</x:f>
        <x:v>0</x:v>
      </x:c>
      <x:c r="S400" s="22" t="n">
        <x:f>MAX(0,MIN('Activities'!L400,90)-MAX('Activities'!K400,84))</x:f>
        <x:v>0</x:v>
      </x:c>
      <x:c r="T400" s="22" t="n">
        <x:f>MAX(0,MIN('Activities'!L400,96)-MAX('Activities'!K400,90))</x:f>
        <x:v>0</x:v>
      </x:c>
      <x:c r="U400" s="22" t="n">
        <x:f>MAX(0,MIN('Activities'!L400,102)-MAX('Activities'!K400,96))</x:f>
        <x:v>0</x:v>
      </x:c>
      <x:c r="V400" s="22" t="n">
        <x:f>MAX(0,MIN('Activities'!L400,108)-MAX('Activities'!K400,102))</x:f>
        <x:v>0</x:v>
      </x:c>
      <x:c r="W400" s="22" t="n">
        <x:f>MAX(0,MIN('Activities'!L400,114)-MAX('Activities'!K400,108))</x:f>
        <x:v>0</x:v>
      </x:c>
      <x:c r="X400" s="22" t="n">
        <x:f>MAX(0,MIN('Activities'!L400,120)-MAX('Activities'!K400,114))</x:f>
        <x:v>0</x:v>
      </x:c>
      <x:c r="Y400" s="22" t="n">
        <x:f>MAX(0,MIN('Activities'!L400,126)-MAX('Activities'!K400,120))</x:f>
        <x:v>0</x:v>
      </x:c>
      <x:c r="Z400" s="22" t="n">
        <x:f>MAX(0,MIN('Activities'!L400,132)-MAX('Activities'!K400,126))</x:f>
        <x:v>0</x:v>
      </x:c>
      <x:c r="AA400" s="22" t="n">
        <x:f>MAX(0,MIN('Activities'!L400,138)-MAX('Activities'!K400,132))</x:f>
        <x:v>0</x:v>
      </x:c>
      <x:c r="AB400" s="22" t="n">
        <x:f>MAX(0,MIN('Activities'!L400,144)-MAX('Activities'!K400,138))</x:f>
        <x:v>0</x:v>
      </x:c>
      <x:c r="AC400" s="22" t="n">
        <x:f>MAX(0,MIN('Activities'!L400,150)-MAX('Activities'!K400,144))</x:f>
        <x:v>0</x:v>
      </x:c>
      <x:c r="AD400" s="22" t="n">
        <x:f>MAX(0,MIN('Activities'!L400,156)-MAX('Activities'!K400,150))</x:f>
        <x:v>0</x:v>
      </x:c>
      <x:c r="AE400" s="22" t="n">
        <x:f>MAX(0,MIN('Activities'!L400,162)-MAX('Activities'!K400,156))</x:f>
        <x:v>0</x:v>
      </x:c>
      <x:c r="AF400" s="22" t="n">
        <x:f>MAX(0,MIN('Activities'!L400,168)-MAX('Activities'!K400,162))</x:f>
        <x:v>0</x:v>
      </x:c>
      <x:c r="AG400" s="22" t="n">
        <x:f>MAX(0,MIN('Activities'!L400,174)-MAX('Activities'!K400,168))</x:f>
        <x:v>0</x:v>
      </x:c>
      <x:c r="AH400" s="22" t="n">
        <x:f>MAX(0,MIN('Activities'!L400,180)-MAX('Activities'!K400,174))</x:f>
        <x:v>0</x:v>
      </x:c>
      <x:c r="AI400" s="22" t="n">
        <x:f>MAX(0,MIN('Activities'!L400,186)-MAX('Activities'!K400,180))</x:f>
        <x:v>0</x:v>
      </x:c>
      <x:c r="AJ400" s="22" t="n">
        <x:f>MAX(0,MIN('Activities'!L400,192)-MAX('Activities'!K400,186))</x:f>
        <x:v>0</x:v>
      </x:c>
      <x:c r="AK400" s="22" t="n">
        <x:f>MAX(0,MIN('Activities'!L400,198)-MAX('Activities'!K400,192))</x:f>
        <x:v>0</x:v>
      </x:c>
      <x:c r="AL400" s="22" t="n">
        <x:f>MAX(0,MIN('Activities'!L400,204)-MAX('Activities'!K400,198))</x:f>
        <x:v>0</x:v>
      </x:c>
      <x:c r="AM400" s="22" t="n">
        <x:f>MAX(0,MIN('Activities'!L400,210)-MAX('Activities'!K400,204))</x:f>
        <x:v>0</x:v>
      </x:c>
      <x:c r="AN400" s="22" t="n">
        <x:f>MAX(0,MIN('Activities'!L400,216)-MAX('Activities'!K400,210))</x:f>
        <x:v>0</x:v>
      </x:c>
      <x:c r="AO400" s="22" t="n">
        <x:f>MAX(0,MIN('Activities'!L400,222)-MAX('Activities'!K400,216))</x:f>
        <x:v>0</x:v>
      </x:c>
      <x:c r="AP400" s="22" t="n">
        <x:f>MAX(0,MIN('Activities'!L400,228)-MAX('Activities'!K400,222))</x:f>
        <x:v>0</x:v>
      </x:c>
      <x:c r="AQ400" s="22" t="n">
        <x:f>MAX(0,MIN('Activities'!L400,234)-MAX('Activities'!K400,228))</x:f>
        <x:v>0</x:v>
      </x:c>
      <x:c r="AR400" s="22" t="n">
        <x:f>MAX(0,MIN('Activities'!L400,240)-MAX('Activities'!K400,234))</x:f>
        <x:v>0</x:v>
      </x:c>
      <x:c r="AS400" s="22" t="n">
        <x:f>MAX(0,MIN('Activities'!L400,246)-MAX('Activities'!K400,240))</x:f>
        <x:v>0</x:v>
      </x:c>
      <x:c r="AT400" s="22" t="n">
        <x:f>MAX(0,MIN('Activities'!L400,252)-MAX('Activities'!K400,246))</x:f>
        <x:v>0</x:v>
      </x:c>
      <x:c r="AU400" s="22" t="n">
        <x:f>MAX(0,MIN('Activities'!L400,258)-MAX('Activities'!K400,252))</x:f>
        <x:v>0</x:v>
      </x:c>
      <x:c r="AV400" s="22" t="n">
        <x:f>MAX(0,MIN('Activities'!L400,264)-MAX('Activities'!K400,258))</x:f>
        <x:v>0</x:v>
      </x:c>
      <x:c r="AW400" s="22" t="n">
        <x:f>MAX(0,MIN('Activities'!L400,270)-MAX('Activities'!K400,264))</x:f>
        <x:v>0</x:v>
      </x:c>
      <x:c r="AX400" s="22" t="n">
        <x:f>MAX(0,MIN('Activities'!L400,276)-MAX('Activities'!K400,270))</x:f>
        <x:v>0</x:v>
      </x:c>
      <x:c r="AY400" s="22" t="n">
        <x:f>MAX(0,MIN('Activities'!L400,282)-MAX('Activities'!K400,276))</x:f>
        <x:v>0</x:v>
      </x:c>
      <x:c r="AZ400" s="22" t="n">
        <x:f>MAX(0,MIN('Activities'!L400,288)-MAX('Activities'!K400,282))</x:f>
        <x:v>0</x:v>
      </x:c>
      <x:c r="BA400" s="22" t="n">
        <x:f>MAX(0,MIN('Activities'!L400,294)-MAX('Activities'!K400,288))</x:f>
        <x:v>0</x:v>
      </x:c>
      <x:c r="BB400" s="22" t="n">
        <x:f>MAX(0,MIN('Activities'!L400,300)-MAX('Activities'!K400,294))</x:f>
        <x:v>0</x:v>
      </x:c>
      <x:c r="BC400" s="22" t="n">
        <x:f>MAX(0,MIN('Activities'!L400,306)-MAX('Activities'!K400,300))</x:f>
        <x:v>0</x:v>
      </x:c>
      <x:c r="BD400" s="22" t="n">
        <x:f>MAX(0,MIN('Activities'!L400,312)-MAX('Activities'!K400,306))</x:f>
        <x:v>0</x:v>
      </x:c>
      <x:c r="BE400" s="22" t="n">
        <x:f>MAX(0,MIN('Activities'!L400,318)-MAX('Activities'!K400,312))</x:f>
        <x:v>0</x:v>
      </x:c>
      <x:c r="BF400" s="22" t="n">
        <x:f>MAX(0,MIN('Activities'!L400,324)-MAX('Activities'!K400,318))</x:f>
        <x:v>0</x:v>
      </x:c>
      <x:c r="BG400" s="22" t="n">
        <x:f>MAX(0,MIN('Activities'!L400,330)-MAX('Activities'!K400,324))</x:f>
        <x:v>0</x:v>
      </x:c>
      <x:c r="BH400" s="22" t="n">
        <x:f>MAX(0,MIN('Activities'!L400,336)-MAX('Activities'!K400,330))</x:f>
        <x:v>0</x:v>
      </x:c>
      <x:c r="BI400" s="22" t="n">
        <x:f>MAX(0,MIN('Activities'!L400,342)-MAX('Activities'!K400,336))</x:f>
        <x:v>0</x:v>
      </x:c>
      <x:c r="BJ400" s="22" t="n">
        <x:f>MAX(0,MIN('Activities'!L400,348)-MAX('Activities'!K400,342))</x:f>
        <x:v>0</x:v>
      </x:c>
      <x:c r="BK400" s="22" t="n">
        <x:f>MAX(0,MIN('Activities'!L400,354)-MAX('Activities'!K400,348))</x:f>
        <x:v>0</x:v>
      </x:c>
      <x:c r="BL400" s="22" t="n">
        <x:f>MAX(0,MIN('Activities'!L400,360)-MAX('Activities'!K400,354))</x:f>
        <x:v>0</x:v>
      </x:c>
      <x:c r="BM400" s="22" t="n">
        <x:f>MAX(0,MIN('Activities'!L400,366)-MAX('Activities'!K400,360))</x:f>
        <x:v>0</x:v>
      </x:c>
      <x:c r="BN400" s="22" t="n">
        <x:f>MAX(0,MIN('Activities'!L400,372)-MAX('Activities'!K400,366))</x:f>
        <x:v>0</x:v>
      </x:c>
      <x:c r="BO400" s="22" t="n">
        <x:f>MAX(0,MIN('Activities'!L400,378)-MAX('Activities'!K400,372))</x:f>
        <x:v>0</x:v>
      </x:c>
      <x:c r="BP400" s="22" t="n">
        <x:f>MAX(0,MIN('Activities'!L400,384)-MAX('Activities'!K400,378))</x:f>
        <x:v>0</x:v>
      </x:c>
      <x:c r="BQ400" s="22" t="n">
        <x:f>MAX(0,MIN('Activities'!L400,390)-MAX('Activities'!K400,384))</x:f>
        <x:v>0</x:v>
      </x:c>
      <x:c r="BR400" s="22" t="n">
        <x:f>MAX(0,MIN('Activities'!L400,396)-MAX('Activities'!K400,390))</x:f>
        <x:v>0</x:v>
      </x:c>
      <x:c r="BS400" s="22" t="n">
        <x:f>MAX(0,MIN('Activities'!L400,402)-MAX('Activities'!K400,396))</x:f>
        <x:v>0</x:v>
      </x:c>
      <x:c r="BT400" s="22" t="n">
        <x:f>MAX(0,MIN('Activities'!L400,408)-MAX('Activities'!K400,402))</x:f>
        <x:v>0</x:v>
      </x:c>
      <x:c r="BU400" s="22" t="n">
        <x:f>MAX(0,MIN('Activities'!L400,414)-MAX('Activities'!K400,408))</x:f>
        <x:v>0</x:v>
      </x:c>
      <x:c r="BV400" s="22" t="n">
        <x:f>MAX(0,MIN('Activities'!L400,420)-MAX('Activities'!K400,414))</x:f>
        <x:v>0</x:v>
      </x:c>
      <x:c r="BW400" s="22" t="n">
        <x:f>MAX(0,MIN('Activities'!L400,426)-MAX('Activities'!K400,420))</x:f>
        <x:v>0</x:v>
      </x:c>
      <x:c r="BX400" s="22" t="n">
        <x:f>MAX(0,MIN('Activities'!L400,432)-MAX('Activities'!K400,426))</x:f>
        <x:v>2</x:v>
      </x:c>
      <x:c r="BY400" s="22" t="n">
        <x:f>MAX(0,MIN('Activities'!L400,438)-MAX('Activities'!K400,432))</x:f>
        <x:v>4</x:v>
      </x:c>
      <x:c r="BZ400" s="22" t="n">
        <x:f>MAX(0,MIN('Activities'!L400,444)-MAX('Activities'!K400,438))</x:f>
        <x:v>0</x:v>
      </x:c>
      <x:c r="CA400" s="22" t="n">
        <x:f>MAX(0,MIN('Activities'!L400,450)-MAX('Activities'!K400,444))</x:f>
        <x:v>0</x:v>
      </x:c>
      <x:c r="CB400" s="22" t="n">
        <x:f>MAX(0,MIN('Activities'!L400,456)-MAX('Activities'!K400,450))</x:f>
        <x:v>0</x:v>
      </x:c>
      <x:c r="CC400" s="22" t="n">
        <x:f>MAX(0,MIN('Activities'!L400,462)-MAX('Activities'!K400,456))</x:f>
        <x:v>0</x:v>
      </x:c>
      <x:c r="CD400" s="22" t="n">
        <x:f>MAX(0,MIN('Activities'!L400,468)-MAX('Activities'!K400,462))</x:f>
        <x:v>0</x:v>
      </x:c>
      <x:c r="CE400" s="22" t="n">
        <x:f>MAX(0,MIN('Activities'!L400,474)-MAX('Activities'!K400,468))</x:f>
        <x:v>0</x:v>
      </x:c>
      <x:c r="CF400" s="22" t="n">
        <x:f>MAX(0,MIN('Activities'!L400,480)-MAX('Activities'!K400,474))</x:f>
        <x:v>0</x:v>
      </x:c>
      <x:c r="CG400" s="22" t="n">
        <x:f>MAX(0,MIN('Activities'!L400,486)-MAX('Activities'!K400,480))</x:f>
        <x:v>0</x:v>
      </x:c>
      <x:c r="CH400" s="22" t="n">
        <x:f>MAX(0,MIN('Activities'!L400,492)-MAX('Activities'!K400,486))</x:f>
        <x:v>0</x:v>
      </x:c>
      <x:c r="CI400" s="22" t="n">
        <x:f>MAX(0,MIN('Activities'!L400,498)-MAX('Activities'!K400,492))</x:f>
        <x:v>0</x:v>
      </x:c>
      <x:c r="CJ400" s="22" t="n">
        <x:f>MAX(0,MIN('Activities'!L400,504)-MAX('Activities'!K400,498))</x:f>
        <x:v>0</x:v>
      </x:c>
      <x:c r="CK400" s="22" t="n">
        <x:f>MAX(0,MIN('Activities'!L400,510)-MAX('Activities'!K400,504))</x:f>
        <x:v>0</x:v>
      </x:c>
      <x:c r="CL400" s="22" t="n">
        <x:f>MAX(0,MIN('Activities'!L400,516)-MAX('Activities'!K400,510))</x:f>
        <x:v>0</x:v>
      </x:c>
      <x:c r="CM400" s="22" t="n">
        <x:f>MAX(0,MIN('Activities'!L400,522)-MAX('Activities'!K400,516))</x:f>
        <x:v>0</x:v>
      </x:c>
      <x:c r="CN400" s="22" t="n">
        <x:f>MAX(0,MIN('Activities'!L400,528)-MAX('Activities'!K400,522))</x:f>
        <x:v>0</x:v>
      </x:c>
      <x:c r="CO400" s="22" t="n">
        <x:f>MAX(0,MIN('Activities'!L400,534)-MAX('Activities'!K400,528))</x:f>
        <x:v>0</x:v>
      </x:c>
      <x:c r="CP400" s="22" t="n">
        <x:f>MAX(0,MIN('Activities'!L400,540)-MAX('Activities'!K400,534))</x:f>
        <x:v>0</x:v>
      </x:c>
      <x:c r="CQ400" s="22" t="n">
        <x:f>MAX(0,MIN('Activities'!L400,546)-MAX('Activities'!K400,540))</x:f>
        <x:v>0</x:v>
      </x:c>
      <x:c r="CR400" s="22" t="n">
        <x:f>MAX(0,MIN('Activities'!L400,552)-MAX('Activities'!K400,546))</x:f>
        <x:v>0</x:v>
      </x:c>
      <x:c r="CS400" s="22" t="n">
        <x:f>MAX(0,MIN('Activities'!L400,558)-MAX('Activities'!K400,552))</x:f>
        <x:v>0</x:v>
      </x:c>
      <x:c r="CT400" s="22" t="n">
        <x:f>MAX(0,MIN('Activities'!L400,564)-MAX('Activities'!K400,558))</x:f>
        <x:v>0</x:v>
      </x:c>
      <x:c r="CU400" s="22" t="n">
        <x:f>MAX(0,MIN('Activities'!L400,570)-MAX('Activities'!K400,564))</x:f>
        <x:v>0</x:v>
      </x:c>
      <x:c r="CV400" s="22" t="n">
        <x:f>MAX(0,MIN('Activities'!L400,576)-MAX('Activities'!K400,570))</x:f>
        <x:v>0</x:v>
      </x:c>
      <x:c r="CW400" s="22" t="n">
        <x:f>MAX(0,MIN('Activities'!L400,582)-MAX('Activities'!K400,576))</x:f>
        <x:v>0</x:v>
      </x:c>
      <x:c r="CX400" s="22" t="n">
        <x:f>MAX(0,MIN('Activities'!L400,588)-MAX('Activities'!K400,582))</x:f>
        <x:v>0</x:v>
      </x:c>
      <x:c r="CY400" s="22" t="n">
        <x:f>MAX(0,MIN('Activities'!L400,594)-MAX('Activities'!K400,588))</x:f>
        <x:v>0</x:v>
      </x:c>
      <x:c r="CZ400" s="22" t="n">
        <x:f>MAX(0,MIN('Activities'!L400,600)-MAX('Activities'!K400,594))</x:f>
        <x:v>0</x:v>
      </x:c>
      <x:c r="DA400" s="22" t="n">
        <x:f>MAX(0,MIN('Activities'!L400,606)-MAX('Activities'!K400,600))</x:f>
        <x:v>0</x:v>
      </x:c>
      <x:c r="DB400" s="22" t="n">
        <x:f>MAX(0,MIN('Activities'!L400,612)-MAX('Activities'!K400,606))</x:f>
        <x:v>0</x:v>
      </x:c>
      <x:c r="DC400" s="22" t="n">
        <x:f>MAX(0,MIN('Activities'!L400,618)-MAX('Activities'!K400,612))</x:f>
        <x:v>0</x:v>
      </x:c>
      <x:c r="DD400" s="22" t="n">
        <x:f>MAX(0,MIN('Activities'!L400,624)-MAX('Activities'!K400,618))</x:f>
        <x:v>0</x:v>
      </x:c>
      <x:c r="DE400" s="22" t="n">
        <x:f>MAX(0,MIN('Activities'!L400,630)-MAX('Activities'!K400,624))</x:f>
        <x:v>0</x:v>
      </x:c>
      <x:c r="DF400" s="22" t="n">
        <x:f>MAX(0,MIN('Activities'!L400,636)-MAX('Activities'!K400,630))</x:f>
        <x:v>0</x:v>
      </x:c>
    </x:row>
    <x:row r="401" ht="23" customHeight="1">
      <x:c r="A401" s="1" t="str">
        <x:v>T3-L10-A</x:v>
      </x:c>
      <x:c r="B401" s="1" t="str">
        <x:v>T3</x:v>
      </x:c>
      <x:c r="C401" s="1" t="str">
        <x:v>Paint and final decorations</x:v>
      </x:c>
      <x:c r="D401" s="1" t="str">
        <x:v>Finishes</x:v>
      </x:c>
      <x:c r="E401" s="23" t="n">
        <x:f>MAX(0,MIN('Activities'!L401,6)-MAX('Activities'!K401,0))</x:f>
        <x:v>0</x:v>
      </x:c>
      <x:c r="F401" s="23" t="n">
        <x:f>MAX(0,MIN('Activities'!L401,12)-MAX('Activities'!K401,6))</x:f>
        <x:v>0</x:v>
      </x:c>
      <x:c r="G401" s="23" t="n">
        <x:f>MAX(0,MIN('Activities'!L401,18)-MAX('Activities'!K401,12))</x:f>
        <x:v>0</x:v>
      </x:c>
      <x:c r="H401" s="23" t="n">
        <x:f>MAX(0,MIN('Activities'!L401,24)-MAX('Activities'!K401,18))</x:f>
        <x:v>0</x:v>
      </x:c>
      <x:c r="I401" s="23" t="n">
        <x:f>MAX(0,MIN('Activities'!L401,30)-MAX('Activities'!K401,24))</x:f>
        <x:v>0</x:v>
      </x:c>
      <x:c r="J401" s="23" t="n">
        <x:f>MAX(0,MIN('Activities'!L401,36)-MAX('Activities'!K401,30))</x:f>
        <x:v>0</x:v>
      </x:c>
      <x:c r="K401" s="23" t="n">
        <x:f>MAX(0,MIN('Activities'!L401,42)-MAX('Activities'!K401,36))</x:f>
        <x:v>0</x:v>
      </x:c>
      <x:c r="L401" s="23" t="n">
        <x:f>MAX(0,MIN('Activities'!L401,48)-MAX('Activities'!K401,42))</x:f>
        <x:v>0</x:v>
      </x:c>
      <x:c r="M401" s="23" t="n">
        <x:f>MAX(0,MIN('Activities'!L401,54)-MAX('Activities'!K401,48))</x:f>
        <x:v>0</x:v>
      </x:c>
      <x:c r="N401" s="23" t="n">
        <x:f>MAX(0,MIN('Activities'!L401,60)-MAX('Activities'!K401,54))</x:f>
        <x:v>0</x:v>
      </x:c>
      <x:c r="O401" s="23" t="n">
        <x:f>MAX(0,MIN('Activities'!L401,66)-MAX('Activities'!K401,60))</x:f>
        <x:v>0</x:v>
      </x:c>
      <x:c r="P401" s="23" t="n">
        <x:f>MAX(0,MIN('Activities'!L401,72)-MAX('Activities'!K401,66))</x:f>
        <x:v>0</x:v>
      </x:c>
      <x:c r="Q401" s="23" t="n">
        <x:f>MAX(0,MIN('Activities'!L401,78)-MAX('Activities'!K401,72))</x:f>
        <x:v>0</x:v>
      </x:c>
      <x:c r="R401" s="23" t="n">
        <x:f>MAX(0,MIN('Activities'!L401,84)-MAX('Activities'!K401,78))</x:f>
        <x:v>0</x:v>
      </x:c>
      <x:c r="S401" s="23" t="n">
        <x:f>MAX(0,MIN('Activities'!L401,90)-MAX('Activities'!K401,84))</x:f>
        <x:v>0</x:v>
      </x:c>
      <x:c r="T401" s="23" t="n">
        <x:f>MAX(0,MIN('Activities'!L401,96)-MAX('Activities'!K401,90))</x:f>
        <x:v>0</x:v>
      </x:c>
      <x:c r="U401" s="23" t="n">
        <x:f>MAX(0,MIN('Activities'!L401,102)-MAX('Activities'!K401,96))</x:f>
        <x:v>0</x:v>
      </x:c>
      <x:c r="V401" s="23" t="n">
        <x:f>MAX(0,MIN('Activities'!L401,108)-MAX('Activities'!K401,102))</x:f>
        <x:v>0</x:v>
      </x:c>
      <x:c r="W401" s="23" t="n">
        <x:f>MAX(0,MIN('Activities'!L401,114)-MAX('Activities'!K401,108))</x:f>
        <x:v>0</x:v>
      </x:c>
      <x:c r="X401" s="23" t="n">
        <x:f>MAX(0,MIN('Activities'!L401,120)-MAX('Activities'!K401,114))</x:f>
        <x:v>0</x:v>
      </x:c>
      <x:c r="Y401" s="23" t="n">
        <x:f>MAX(0,MIN('Activities'!L401,126)-MAX('Activities'!K401,120))</x:f>
        <x:v>0</x:v>
      </x:c>
      <x:c r="Z401" s="23" t="n">
        <x:f>MAX(0,MIN('Activities'!L401,132)-MAX('Activities'!K401,126))</x:f>
        <x:v>0</x:v>
      </x:c>
      <x:c r="AA401" s="23" t="n">
        <x:f>MAX(0,MIN('Activities'!L401,138)-MAX('Activities'!K401,132))</x:f>
        <x:v>0</x:v>
      </x:c>
      <x:c r="AB401" s="23" t="n">
        <x:f>MAX(0,MIN('Activities'!L401,144)-MAX('Activities'!K401,138))</x:f>
        <x:v>0</x:v>
      </x:c>
      <x:c r="AC401" s="23" t="n">
        <x:f>MAX(0,MIN('Activities'!L401,150)-MAX('Activities'!K401,144))</x:f>
        <x:v>0</x:v>
      </x:c>
      <x:c r="AD401" s="23" t="n">
        <x:f>MAX(0,MIN('Activities'!L401,156)-MAX('Activities'!K401,150))</x:f>
        <x:v>0</x:v>
      </x:c>
      <x:c r="AE401" s="23" t="n">
        <x:f>MAX(0,MIN('Activities'!L401,162)-MAX('Activities'!K401,156))</x:f>
        <x:v>0</x:v>
      </x:c>
      <x:c r="AF401" s="23" t="n">
        <x:f>MAX(0,MIN('Activities'!L401,168)-MAX('Activities'!K401,162))</x:f>
        <x:v>0</x:v>
      </x:c>
      <x:c r="AG401" s="23" t="n">
        <x:f>MAX(0,MIN('Activities'!L401,174)-MAX('Activities'!K401,168))</x:f>
        <x:v>0</x:v>
      </x:c>
      <x:c r="AH401" s="23" t="n">
        <x:f>MAX(0,MIN('Activities'!L401,180)-MAX('Activities'!K401,174))</x:f>
        <x:v>0</x:v>
      </x:c>
      <x:c r="AI401" s="23" t="n">
        <x:f>MAX(0,MIN('Activities'!L401,186)-MAX('Activities'!K401,180))</x:f>
        <x:v>0</x:v>
      </x:c>
      <x:c r="AJ401" s="23" t="n">
        <x:f>MAX(0,MIN('Activities'!L401,192)-MAX('Activities'!K401,186))</x:f>
        <x:v>0</x:v>
      </x:c>
      <x:c r="AK401" s="23" t="n">
        <x:f>MAX(0,MIN('Activities'!L401,198)-MAX('Activities'!K401,192))</x:f>
        <x:v>0</x:v>
      </x:c>
      <x:c r="AL401" s="23" t="n">
        <x:f>MAX(0,MIN('Activities'!L401,204)-MAX('Activities'!K401,198))</x:f>
        <x:v>0</x:v>
      </x:c>
      <x:c r="AM401" s="23" t="n">
        <x:f>MAX(0,MIN('Activities'!L401,210)-MAX('Activities'!K401,204))</x:f>
        <x:v>0</x:v>
      </x:c>
      <x:c r="AN401" s="23" t="n">
        <x:f>MAX(0,MIN('Activities'!L401,216)-MAX('Activities'!K401,210))</x:f>
        <x:v>0</x:v>
      </x:c>
      <x:c r="AO401" s="23" t="n">
        <x:f>MAX(0,MIN('Activities'!L401,222)-MAX('Activities'!K401,216))</x:f>
        <x:v>0</x:v>
      </x:c>
      <x:c r="AP401" s="23" t="n">
        <x:f>MAX(0,MIN('Activities'!L401,228)-MAX('Activities'!K401,222))</x:f>
        <x:v>0</x:v>
      </x:c>
      <x:c r="AQ401" s="23" t="n">
        <x:f>MAX(0,MIN('Activities'!L401,234)-MAX('Activities'!K401,228))</x:f>
        <x:v>0</x:v>
      </x:c>
      <x:c r="AR401" s="23" t="n">
        <x:f>MAX(0,MIN('Activities'!L401,240)-MAX('Activities'!K401,234))</x:f>
        <x:v>0</x:v>
      </x:c>
      <x:c r="AS401" s="23" t="n">
        <x:f>MAX(0,MIN('Activities'!L401,246)-MAX('Activities'!K401,240))</x:f>
        <x:v>0</x:v>
      </x:c>
      <x:c r="AT401" s="23" t="n">
        <x:f>MAX(0,MIN('Activities'!L401,252)-MAX('Activities'!K401,246))</x:f>
        <x:v>0</x:v>
      </x:c>
      <x:c r="AU401" s="23" t="n">
        <x:f>MAX(0,MIN('Activities'!L401,258)-MAX('Activities'!K401,252))</x:f>
        <x:v>0</x:v>
      </x:c>
      <x:c r="AV401" s="23" t="n">
        <x:f>MAX(0,MIN('Activities'!L401,264)-MAX('Activities'!K401,258))</x:f>
        <x:v>0</x:v>
      </x:c>
      <x:c r="AW401" s="23" t="n">
        <x:f>MAX(0,MIN('Activities'!L401,270)-MAX('Activities'!K401,264))</x:f>
        <x:v>0</x:v>
      </x:c>
      <x:c r="AX401" s="23" t="n">
        <x:f>MAX(0,MIN('Activities'!L401,276)-MAX('Activities'!K401,270))</x:f>
        <x:v>0</x:v>
      </x:c>
      <x:c r="AY401" s="23" t="n">
        <x:f>MAX(0,MIN('Activities'!L401,282)-MAX('Activities'!K401,276))</x:f>
        <x:v>0</x:v>
      </x:c>
      <x:c r="AZ401" s="23" t="n">
        <x:f>MAX(0,MIN('Activities'!L401,288)-MAX('Activities'!K401,282))</x:f>
        <x:v>0</x:v>
      </x:c>
      <x:c r="BA401" s="23" t="n">
        <x:f>MAX(0,MIN('Activities'!L401,294)-MAX('Activities'!K401,288))</x:f>
        <x:v>0</x:v>
      </x:c>
      <x:c r="BB401" s="23" t="n">
        <x:f>MAX(0,MIN('Activities'!L401,300)-MAX('Activities'!K401,294))</x:f>
        <x:v>0</x:v>
      </x:c>
      <x:c r="BC401" s="23" t="n">
        <x:f>MAX(0,MIN('Activities'!L401,306)-MAX('Activities'!K401,300))</x:f>
        <x:v>0</x:v>
      </x:c>
      <x:c r="BD401" s="23" t="n">
        <x:f>MAX(0,MIN('Activities'!L401,312)-MAX('Activities'!K401,306))</x:f>
        <x:v>0</x:v>
      </x:c>
      <x:c r="BE401" s="23" t="n">
        <x:f>MAX(0,MIN('Activities'!L401,318)-MAX('Activities'!K401,312))</x:f>
        <x:v>0</x:v>
      </x:c>
      <x:c r="BF401" s="23" t="n">
        <x:f>MAX(0,MIN('Activities'!L401,324)-MAX('Activities'!K401,318))</x:f>
        <x:v>0</x:v>
      </x:c>
      <x:c r="BG401" s="23" t="n">
        <x:f>MAX(0,MIN('Activities'!L401,330)-MAX('Activities'!K401,324))</x:f>
        <x:v>0</x:v>
      </x:c>
      <x:c r="BH401" s="23" t="n">
        <x:f>MAX(0,MIN('Activities'!L401,336)-MAX('Activities'!K401,330))</x:f>
        <x:v>0</x:v>
      </x:c>
      <x:c r="BI401" s="23" t="n">
        <x:f>MAX(0,MIN('Activities'!L401,342)-MAX('Activities'!K401,336))</x:f>
        <x:v>0</x:v>
      </x:c>
      <x:c r="BJ401" s="23" t="n">
        <x:f>MAX(0,MIN('Activities'!L401,348)-MAX('Activities'!K401,342))</x:f>
        <x:v>0</x:v>
      </x:c>
      <x:c r="BK401" s="23" t="n">
        <x:f>MAX(0,MIN('Activities'!L401,354)-MAX('Activities'!K401,348))</x:f>
        <x:v>0</x:v>
      </x:c>
      <x:c r="BL401" s="23" t="n">
        <x:f>MAX(0,MIN('Activities'!L401,360)-MAX('Activities'!K401,354))</x:f>
        <x:v>0</x:v>
      </x:c>
      <x:c r="BM401" s="23" t="n">
        <x:f>MAX(0,MIN('Activities'!L401,366)-MAX('Activities'!K401,360))</x:f>
        <x:v>0</x:v>
      </x:c>
      <x:c r="BN401" s="23" t="n">
        <x:f>MAX(0,MIN('Activities'!L401,372)-MAX('Activities'!K401,366))</x:f>
        <x:v>0</x:v>
      </x:c>
      <x:c r="BO401" s="23" t="n">
        <x:f>MAX(0,MIN('Activities'!L401,378)-MAX('Activities'!K401,372))</x:f>
        <x:v>0</x:v>
      </x:c>
      <x:c r="BP401" s="23" t="n">
        <x:f>MAX(0,MIN('Activities'!L401,384)-MAX('Activities'!K401,378))</x:f>
        <x:v>0</x:v>
      </x:c>
      <x:c r="BQ401" s="23" t="n">
        <x:f>MAX(0,MIN('Activities'!L401,390)-MAX('Activities'!K401,384))</x:f>
        <x:v>0</x:v>
      </x:c>
      <x:c r="BR401" s="23" t="n">
        <x:f>MAX(0,MIN('Activities'!L401,396)-MAX('Activities'!K401,390))</x:f>
        <x:v>0</x:v>
      </x:c>
      <x:c r="BS401" s="23" t="n">
        <x:f>MAX(0,MIN('Activities'!L401,402)-MAX('Activities'!K401,396))</x:f>
        <x:v>0</x:v>
      </x:c>
      <x:c r="BT401" s="23" t="n">
        <x:f>MAX(0,MIN('Activities'!L401,408)-MAX('Activities'!K401,402))</x:f>
        <x:v>0</x:v>
      </x:c>
      <x:c r="BU401" s="23" t="n">
        <x:f>MAX(0,MIN('Activities'!L401,414)-MAX('Activities'!K401,408))</x:f>
        <x:v>0</x:v>
      </x:c>
      <x:c r="BV401" s="23" t="n">
        <x:f>MAX(0,MIN('Activities'!L401,420)-MAX('Activities'!K401,414))</x:f>
        <x:v>0</x:v>
      </x:c>
      <x:c r="BW401" s="23" t="n">
        <x:f>MAX(0,MIN('Activities'!L401,426)-MAX('Activities'!K401,420))</x:f>
        <x:v>0</x:v>
      </x:c>
      <x:c r="BX401" s="23" t="n">
        <x:f>MAX(0,MIN('Activities'!L401,432)-MAX('Activities'!K401,426))</x:f>
        <x:v>0</x:v>
      </x:c>
      <x:c r="BY401" s="23" t="n">
        <x:f>MAX(0,MIN('Activities'!L401,438)-MAX('Activities'!K401,432))</x:f>
        <x:v>0</x:v>
      </x:c>
      <x:c r="BZ401" s="23" t="n">
        <x:f>MAX(0,MIN('Activities'!L401,444)-MAX('Activities'!K401,438))</x:f>
        <x:v>5</x:v>
      </x:c>
      <x:c r="CA401" s="23" t="n">
        <x:f>MAX(0,MIN('Activities'!L401,450)-MAX('Activities'!K401,444))</x:f>
        <x:v>0</x:v>
      </x:c>
      <x:c r="CB401" s="23" t="n">
        <x:f>MAX(0,MIN('Activities'!L401,456)-MAX('Activities'!K401,450))</x:f>
        <x:v>0</x:v>
      </x:c>
      <x:c r="CC401" s="23" t="n">
        <x:f>MAX(0,MIN('Activities'!L401,462)-MAX('Activities'!K401,456))</x:f>
        <x:v>0</x:v>
      </x:c>
      <x:c r="CD401" s="23" t="n">
        <x:f>MAX(0,MIN('Activities'!L401,468)-MAX('Activities'!K401,462))</x:f>
        <x:v>0</x:v>
      </x:c>
      <x:c r="CE401" s="23" t="n">
        <x:f>MAX(0,MIN('Activities'!L401,474)-MAX('Activities'!K401,468))</x:f>
        <x:v>0</x:v>
      </x:c>
      <x:c r="CF401" s="23" t="n">
        <x:f>MAX(0,MIN('Activities'!L401,480)-MAX('Activities'!K401,474))</x:f>
        <x:v>0</x:v>
      </x:c>
      <x:c r="CG401" s="23" t="n">
        <x:f>MAX(0,MIN('Activities'!L401,486)-MAX('Activities'!K401,480))</x:f>
        <x:v>0</x:v>
      </x:c>
      <x:c r="CH401" s="23" t="n">
        <x:f>MAX(0,MIN('Activities'!L401,492)-MAX('Activities'!K401,486))</x:f>
        <x:v>0</x:v>
      </x:c>
      <x:c r="CI401" s="23" t="n">
        <x:f>MAX(0,MIN('Activities'!L401,498)-MAX('Activities'!K401,492))</x:f>
        <x:v>0</x:v>
      </x:c>
      <x:c r="CJ401" s="23" t="n">
        <x:f>MAX(0,MIN('Activities'!L401,504)-MAX('Activities'!K401,498))</x:f>
        <x:v>0</x:v>
      </x:c>
      <x:c r="CK401" s="23" t="n">
        <x:f>MAX(0,MIN('Activities'!L401,510)-MAX('Activities'!K401,504))</x:f>
        <x:v>0</x:v>
      </x:c>
      <x:c r="CL401" s="23" t="n">
        <x:f>MAX(0,MIN('Activities'!L401,516)-MAX('Activities'!K401,510))</x:f>
        <x:v>0</x:v>
      </x:c>
      <x:c r="CM401" s="23" t="n">
        <x:f>MAX(0,MIN('Activities'!L401,522)-MAX('Activities'!K401,516))</x:f>
        <x:v>0</x:v>
      </x:c>
      <x:c r="CN401" s="23" t="n">
        <x:f>MAX(0,MIN('Activities'!L401,528)-MAX('Activities'!K401,522))</x:f>
        <x:v>0</x:v>
      </x:c>
      <x:c r="CO401" s="23" t="n">
        <x:f>MAX(0,MIN('Activities'!L401,534)-MAX('Activities'!K401,528))</x:f>
        <x:v>0</x:v>
      </x:c>
      <x:c r="CP401" s="23" t="n">
        <x:f>MAX(0,MIN('Activities'!L401,540)-MAX('Activities'!K401,534))</x:f>
        <x:v>0</x:v>
      </x:c>
      <x:c r="CQ401" s="23" t="n">
        <x:f>MAX(0,MIN('Activities'!L401,546)-MAX('Activities'!K401,540))</x:f>
        <x:v>0</x:v>
      </x:c>
      <x:c r="CR401" s="23" t="n">
        <x:f>MAX(0,MIN('Activities'!L401,552)-MAX('Activities'!K401,546))</x:f>
        <x:v>0</x:v>
      </x:c>
      <x:c r="CS401" s="23" t="n">
        <x:f>MAX(0,MIN('Activities'!L401,558)-MAX('Activities'!K401,552))</x:f>
        <x:v>0</x:v>
      </x:c>
      <x:c r="CT401" s="23" t="n">
        <x:f>MAX(0,MIN('Activities'!L401,564)-MAX('Activities'!K401,558))</x:f>
        <x:v>0</x:v>
      </x:c>
      <x:c r="CU401" s="23" t="n">
        <x:f>MAX(0,MIN('Activities'!L401,570)-MAX('Activities'!K401,564))</x:f>
        <x:v>0</x:v>
      </x:c>
      <x:c r="CV401" s="23" t="n">
        <x:f>MAX(0,MIN('Activities'!L401,576)-MAX('Activities'!K401,570))</x:f>
        <x:v>0</x:v>
      </x:c>
      <x:c r="CW401" s="23" t="n">
        <x:f>MAX(0,MIN('Activities'!L401,582)-MAX('Activities'!K401,576))</x:f>
        <x:v>0</x:v>
      </x:c>
      <x:c r="CX401" s="23" t="n">
        <x:f>MAX(0,MIN('Activities'!L401,588)-MAX('Activities'!K401,582))</x:f>
        <x:v>0</x:v>
      </x:c>
      <x:c r="CY401" s="23" t="n">
        <x:f>MAX(0,MIN('Activities'!L401,594)-MAX('Activities'!K401,588))</x:f>
        <x:v>0</x:v>
      </x:c>
      <x:c r="CZ401" s="23" t="n">
        <x:f>MAX(0,MIN('Activities'!L401,600)-MAX('Activities'!K401,594))</x:f>
        <x:v>0</x:v>
      </x:c>
      <x:c r="DA401" s="23" t="n">
        <x:f>MAX(0,MIN('Activities'!L401,606)-MAX('Activities'!K401,600))</x:f>
        <x:v>0</x:v>
      </x:c>
      <x:c r="DB401" s="23" t="n">
        <x:f>MAX(0,MIN('Activities'!L401,612)-MAX('Activities'!K401,606))</x:f>
        <x:v>0</x:v>
      </x:c>
      <x:c r="DC401" s="23" t="n">
        <x:f>MAX(0,MIN('Activities'!L401,618)-MAX('Activities'!K401,612))</x:f>
        <x:v>0</x:v>
      </x:c>
      <x:c r="DD401" s="23" t="n">
        <x:f>MAX(0,MIN('Activities'!L401,624)-MAX('Activities'!K401,618))</x:f>
        <x:v>0</x:v>
      </x:c>
      <x:c r="DE401" s="23" t="n">
        <x:f>MAX(0,MIN('Activities'!L401,630)-MAX('Activities'!K401,624))</x:f>
        <x:v>0</x:v>
      </x:c>
      <x:c r="DF401" s="23" t="n">
        <x:f>MAX(0,MIN('Activities'!L401,636)-MAX('Activities'!K401,630))</x:f>
        <x:v>0</x:v>
      </x:c>
    </x:row>
    <x:row r="402" ht="23" customHeight="1">
      <x:c r="A402" s="6" t="str">
        <x:v>T3-L10-D</x:v>
      </x:c>
      <x:c r="B402" s="6" t="str">
        <x:v>T3</x:v>
      </x:c>
      <x:c r="C402" s="6" t="str">
        <x:v>Door sets and ironmongery</x:v>
      </x:c>
      <x:c r="D402" s="6" t="str">
        <x:v>Finishes</x:v>
      </x:c>
      <x:c r="E402" s="22" t="n">
        <x:f>MAX(0,MIN('Activities'!L402,6)-MAX('Activities'!K402,0))</x:f>
        <x:v>0</x:v>
      </x:c>
      <x:c r="F402" s="22" t="n">
        <x:f>MAX(0,MIN('Activities'!L402,12)-MAX('Activities'!K402,6))</x:f>
        <x:v>0</x:v>
      </x:c>
      <x:c r="G402" s="22" t="n">
        <x:f>MAX(0,MIN('Activities'!L402,18)-MAX('Activities'!K402,12))</x:f>
        <x:v>0</x:v>
      </x:c>
      <x:c r="H402" s="22" t="n">
        <x:f>MAX(0,MIN('Activities'!L402,24)-MAX('Activities'!K402,18))</x:f>
        <x:v>0</x:v>
      </x:c>
      <x:c r="I402" s="22" t="n">
        <x:f>MAX(0,MIN('Activities'!L402,30)-MAX('Activities'!K402,24))</x:f>
        <x:v>0</x:v>
      </x:c>
      <x:c r="J402" s="22" t="n">
        <x:f>MAX(0,MIN('Activities'!L402,36)-MAX('Activities'!K402,30))</x:f>
        <x:v>0</x:v>
      </x:c>
      <x:c r="K402" s="22" t="n">
        <x:f>MAX(0,MIN('Activities'!L402,42)-MAX('Activities'!K402,36))</x:f>
        <x:v>0</x:v>
      </x:c>
      <x:c r="L402" s="22" t="n">
        <x:f>MAX(0,MIN('Activities'!L402,48)-MAX('Activities'!K402,42))</x:f>
        <x:v>0</x:v>
      </x:c>
      <x:c r="M402" s="22" t="n">
        <x:f>MAX(0,MIN('Activities'!L402,54)-MAX('Activities'!K402,48))</x:f>
        <x:v>0</x:v>
      </x:c>
      <x:c r="N402" s="22" t="n">
        <x:f>MAX(0,MIN('Activities'!L402,60)-MAX('Activities'!K402,54))</x:f>
        <x:v>0</x:v>
      </x:c>
      <x:c r="O402" s="22" t="n">
        <x:f>MAX(0,MIN('Activities'!L402,66)-MAX('Activities'!K402,60))</x:f>
        <x:v>0</x:v>
      </x:c>
      <x:c r="P402" s="22" t="n">
        <x:f>MAX(0,MIN('Activities'!L402,72)-MAX('Activities'!K402,66))</x:f>
        <x:v>0</x:v>
      </x:c>
      <x:c r="Q402" s="22" t="n">
        <x:f>MAX(0,MIN('Activities'!L402,78)-MAX('Activities'!K402,72))</x:f>
        <x:v>0</x:v>
      </x:c>
      <x:c r="R402" s="22" t="n">
        <x:f>MAX(0,MIN('Activities'!L402,84)-MAX('Activities'!K402,78))</x:f>
        <x:v>0</x:v>
      </x:c>
      <x:c r="S402" s="22" t="n">
        <x:f>MAX(0,MIN('Activities'!L402,90)-MAX('Activities'!K402,84))</x:f>
        <x:v>0</x:v>
      </x:c>
      <x:c r="T402" s="22" t="n">
        <x:f>MAX(0,MIN('Activities'!L402,96)-MAX('Activities'!K402,90))</x:f>
        <x:v>0</x:v>
      </x:c>
      <x:c r="U402" s="22" t="n">
        <x:f>MAX(0,MIN('Activities'!L402,102)-MAX('Activities'!K402,96))</x:f>
        <x:v>0</x:v>
      </x:c>
      <x:c r="V402" s="22" t="n">
        <x:f>MAX(0,MIN('Activities'!L402,108)-MAX('Activities'!K402,102))</x:f>
        <x:v>0</x:v>
      </x:c>
      <x:c r="W402" s="22" t="n">
        <x:f>MAX(0,MIN('Activities'!L402,114)-MAX('Activities'!K402,108))</x:f>
        <x:v>0</x:v>
      </x:c>
      <x:c r="X402" s="22" t="n">
        <x:f>MAX(0,MIN('Activities'!L402,120)-MAX('Activities'!K402,114))</x:f>
        <x:v>0</x:v>
      </x:c>
      <x:c r="Y402" s="22" t="n">
        <x:f>MAX(0,MIN('Activities'!L402,126)-MAX('Activities'!K402,120))</x:f>
        <x:v>0</x:v>
      </x:c>
      <x:c r="Z402" s="22" t="n">
        <x:f>MAX(0,MIN('Activities'!L402,132)-MAX('Activities'!K402,126))</x:f>
        <x:v>0</x:v>
      </x:c>
      <x:c r="AA402" s="22" t="n">
        <x:f>MAX(0,MIN('Activities'!L402,138)-MAX('Activities'!K402,132))</x:f>
        <x:v>0</x:v>
      </x:c>
      <x:c r="AB402" s="22" t="n">
        <x:f>MAX(0,MIN('Activities'!L402,144)-MAX('Activities'!K402,138))</x:f>
        <x:v>0</x:v>
      </x:c>
      <x:c r="AC402" s="22" t="n">
        <x:f>MAX(0,MIN('Activities'!L402,150)-MAX('Activities'!K402,144))</x:f>
        <x:v>0</x:v>
      </x:c>
      <x:c r="AD402" s="22" t="n">
        <x:f>MAX(0,MIN('Activities'!L402,156)-MAX('Activities'!K402,150))</x:f>
        <x:v>0</x:v>
      </x:c>
      <x:c r="AE402" s="22" t="n">
        <x:f>MAX(0,MIN('Activities'!L402,162)-MAX('Activities'!K402,156))</x:f>
        <x:v>0</x:v>
      </x:c>
      <x:c r="AF402" s="22" t="n">
        <x:f>MAX(0,MIN('Activities'!L402,168)-MAX('Activities'!K402,162))</x:f>
        <x:v>0</x:v>
      </x:c>
      <x:c r="AG402" s="22" t="n">
        <x:f>MAX(0,MIN('Activities'!L402,174)-MAX('Activities'!K402,168))</x:f>
        <x:v>0</x:v>
      </x:c>
      <x:c r="AH402" s="22" t="n">
        <x:f>MAX(0,MIN('Activities'!L402,180)-MAX('Activities'!K402,174))</x:f>
        <x:v>0</x:v>
      </x:c>
      <x:c r="AI402" s="22" t="n">
        <x:f>MAX(0,MIN('Activities'!L402,186)-MAX('Activities'!K402,180))</x:f>
        <x:v>0</x:v>
      </x:c>
      <x:c r="AJ402" s="22" t="n">
        <x:f>MAX(0,MIN('Activities'!L402,192)-MAX('Activities'!K402,186))</x:f>
        <x:v>0</x:v>
      </x:c>
      <x:c r="AK402" s="22" t="n">
        <x:f>MAX(0,MIN('Activities'!L402,198)-MAX('Activities'!K402,192))</x:f>
        <x:v>0</x:v>
      </x:c>
      <x:c r="AL402" s="22" t="n">
        <x:f>MAX(0,MIN('Activities'!L402,204)-MAX('Activities'!K402,198))</x:f>
        <x:v>0</x:v>
      </x:c>
      <x:c r="AM402" s="22" t="n">
        <x:f>MAX(0,MIN('Activities'!L402,210)-MAX('Activities'!K402,204))</x:f>
        <x:v>0</x:v>
      </x:c>
      <x:c r="AN402" s="22" t="n">
        <x:f>MAX(0,MIN('Activities'!L402,216)-MAX('Activities'!K402,210))</x:f>
        <x:v>0</x:v>
      </x:c>
      <x:c r="AO402" s="22" t="n">
        <x:f>MAX(0,MIN('Activities'!L402,222)-MAX('Activities'!K402,216))</x:f>
        <x:v>0</x:v>
      </x:c>
      <x:c r="AP402" s="22" t="n">
        <x:f>MAX(0,MIN('Activities'!L402,228)-MAX('Activities'!K402,222))</x:f>
        <x:v>0</x:v>
      </x:c>
      <x:c r="AQ402" s="22" t="n">
        <x:f>MAX(0,MIN('Activities'!L402,234)-MAX('Activities'!K402,228))</x:f>
        <x:v>0</x:v>
      </x:c>
      <x:c r="AR402" s="22" t="n">
        <x:f>MAX(0,MIN('Activities'!L402,240)-MAX('Activities'!K402,234))</x:f>
        <x:v>0</x:v>
      </x:c>
      <x:c r="AS402" s="22" t="n">
        <x:f>MAX(0,MIN('Activities'!L402,246)-MAX('Activities'!K402,240))</x:f>
        <x:v>0</x:v>
      </x:c>
      <x:c r="AT402" s="22" t="n">
        <x:f>MAX(0,MIN('Activities'!L402,252)-MAX('Activities'!K402,246))</x:f>
        <x:v>0</x:v>
      </x:c>
      <x:c r="AU402" s="22" t="n">
        <x:f>MAX(0,MIN('Activities'!L402,258)-MAX('Activities'!K402,252))</x:f>
        <x:v>0</x:v>
      </x:c>
      <x:c r="AV402" s="22" t="n">
        <x:f>MAX(0,MIN('Activities'!L402,264)-MAX('Activities'!K402,258))</x:f>
        <x:v>0</x:v>
      </x:c>
      <x:c r="AW402" s="22" t="n">
        <x:f>MAX(0,MIN('Activities'!L402,270)-MAX('Activities'!K402,264))</x:f>
        <x:v>0</x:v>
      </x:c>
      <x:c r="AX402" s="22" t="n">
        <x:f>MAX(0,MIN('Activities'!L402,276)-MAX('Activities'!K402,270))</x:f>
        <x:v>0</x:v>
      </x:c>
      <x:c r="AY402" s="22" t="n">
        <x:f>MAX(0,MIN('Activities'!L402,282)-MAX('Activities'!K402,276))</x:f>
        <x:v>0</x:v>
      </x:c>
      <x:c r="AZ402" s="22" t="n">
        <x:f>MAX(0,MIN('Activities'!L402,288)-MAX('Activities'!K402,282))</x:f>
        <x:v>0</x:v>
      </x:c>
      <x:c r="BA402" s="22" t="n">
        <x:f>MAX(0,MIN('Activities'!L402,294)-MAX('Activities'!K402,288))</x:f>
        <x:v>0</x:v>
      </x:c>
      <x:c r="BB402" s="22" t="n">
        <x:f>MAX(0,MIN('Activities'!L402,300)-MAX('Activities'!K402,294))</x:f>
        <x:v>0</x:v>
      </x:c>
      <x:c r="BC402" s="22" t="n">
        <x:f>MAX(0,MIN('Activities'!L402,306)-MAX('Activities'!K402,300))</x:f>
        <x:v>0</x:v>
      </x:c>
      <x:c r="BD402" s="22" t="n">
        <x:f>MAX(0,MIN('Activities'!L402,312)-MAX('Activities'!K402,306))</x:f>
        <x:v>0</x:v>
      </x:c>
      <x:c r="BE402" s="22" t="n">
        <x:f>MAX(0,MIN('Activities'!L402,318)-MAX('Activities'!K402,312))</x:f>
        <x:v>0</x:v>
      </x:c>
      <x:c r="BF402" s="22" t="n">
        <x:f>MAX(0,MIN('Activities'!L402,324)-MAX('Activities'!K402,318))</x:f>
        <x:v>0</x:v>
      </x:c>
      <x:c r="BG402" s="22" t="n">
        <x:f>MAX(0,MIN('Activities'!L402,330)-MAX('Activities'!K402,324))</x:f>
        <x:v>0</x:v>
      </x:c>
      <x:c r="BH402" s="22" t="n">
        <x:f>MAX(0,MIN('Activities'!L402,336)-MAX('Activities'!K402,330))</x:f>
        <x:v>0</x:v>
      </x:c>
      <x:c r="BI402" s="22" t="n">
        <x:f>MAX(0,MIN('Activities'!L402,342)-MAX('Activities'!K402,336))</x:f>
        <x:v>0</x:v>
      </x:c>
      <x:c r="BJ402" s="22" t="n">
        <x:f>MAX(0,MIN('Activities'!L402,348)-MAX('Activities'!K402,342))</x:f>
        <x:v>0</x:v>
      </x:c>
      <x:c r="BK402" s="22" t="n">
        <x:f>MAX(0,MIN('Activities'!L402,354)-MAX('Activities'!K402,348))</x:f>
        <x:v>0</x:v>
      </x:c>
      <x:c r="BL402" s="22" t="n">
        <x:f>MAX(0,MIN('Activities'!L402,360)-MAX('Activities'!K402,354))</x:f>
        <x:v>0</x:v>
      </x:c>
      <x:c r="BM402" s="22" t="n">
        <x:f>MAX(0,MIN('Activities'!L402,366)-MAX('Activities'!K402,360))</x:f>
        <x:v>0</x:v>
      </x:c>
      <x:c r="BN402" s="22" t="n">
        <x:f>MAX(0,MIN('Activities'!L402,372)-MAX('Activities'!K402,366))</x:f>
        <x:v>0</x:v>
      </x:c>
      <x:c r="BO402" s="22" t="n">
        <x:f>MAX(0,MIN('Activities'!L402,378)-MAX('Activities'!K402,372))</x:f>
        <x:v>0</x:v>
      </x:c>
      <x:c r="BP402" s="22" t="n">
        <x:f>MAX(0,MIN('Activities'!L402,384)-MAX('Activities'!K402,378))</x:f>
        <x:v>0</x:v>
      </x:c>
      <x:c r="BQ402" s="22" t="n">
        <x:f>MAX(0,MIN('Activities'!L402,390)-MAX('Activities'!K402,384))</x:f>
        <x:v>0</x:v>
      </x:c>
      <x:c r="BR402" s="22" t="n">
        <x:f>MAX(0,MIN('Activities'!L402,396)-MAX('Activities'!K402,390))</x:f>
        <x:v>0</x:v>
      </x:c>
      <x:c r="BS402" s="22" t="n">
        <x:f>MAX(0,MIN('Activities'!L402,402)-MAX('Activities'!K402,396))</x:f>
        <x:v>0</x:v>
      </x:c>
      <x:c r="BT402" s="22" t="n">
        <x:f>MAX(0,MIN('Activities'!L402,408)-MAX('Activities'!K402,402))</x:f>
        <x:v>0</x:v>
      </x:c>
      <x:c r="BU402" s="22" t="n">
        <x:f>MAX(0,MIN('Activities'!L402,414)-MAX('Activities'!K402,408))</x:f>
        <x:v>0</x:v>
      </x:c>
      <x:c r="BV402" s="22" t="n">
        <x:f>MAX(0,MIN('Activities'!L402,420)-MAX('Activities'!K402,414))</x:f>
        <x:v>0</x:v>
      </x:c>
      <x:c r="BW402" s="22" t="n">
        <x:f>MAX(0,MIN('Activities'!L402,426)-MAX('Activities'!K402,420))</x:f>
        <x:v>0</x:v>
      </x:c>
      <x:c r="BX402" s="22" t="n">
        <x:f>MAX(0,MIN('Activities'!L402,432)-MAX('Activities'!K402,426))</x:f>
        <x:v>0</x:v>
      </x:c>
      <x:c r="BY402" s="22" t="n">
        <x:f>MAX(0,MIN('Activities'!L402,438)-MAX('Activities'!K402,432))</x:f>
        <x:v>0</x:v>
      </x:c>
      <x:c r="BZ402" s="22" t="n">
        <x:f>MAX(0,MIN('Activities'!L402,444)-MAX('Activities'!K402,438))</x:f>
        <x:v>1</x:v>
      </x:c>
      <x:c r="CA402" s="22" t="n">
        <x:f>MAX(0,MIN('Activities'!L402,450)-MAX('Activities'!K402,444))</x:f>
        <x:v>2</x:v>
      </x:c>
      <x:c r="CB402" s="22" t="n">
        <x:f>MAX(0,MIN('Activities'!L402,456)-MAX('Activities'!K402,450))</x:f>
        <x:v>0</x:v>
      </x:c>
      <x:c r="CC402" s="22" t="n">
        <x:f>MAX(0,MIN('Activities'!L402,462)-MAX('Activities'!K402,456))</x:f>
        <x:v>0</x:v>
      </x:c>
      <x:c r="CD402" s="22" t="n">
        <x:f>MAX(0,MIN('Activities'!L402,468)-MAX('Activities'!K402,462))</x:f>
        <x:v>0</x:v>
      </x:c>
      <x:c r="CE402" s="22" t="n">
        <x:f>MAX(0,MIN('Activities'!L402,474)-MAX('Activities'!K402,468))</x:f>
        <x:v>0</x:v>
      </x:c>
      <x:c r="CF402" s="22" t="n">
        <x:f>MAX(0,MIN('Activities'!L402,480)-MAX('Activities'!K402,474))</x:f>
        <x:v>0</x:v>
      </x:c>
      <x:c r="CG402" s="22" t="n">
        <x:f>MAX(0,MIN('Activities'!L402,486)-MAX('Activities'!K402,480))</x:f>
        <x:v>0</x:v>
      </x:c>
      <x:c r="CH402" s="22" t="n">
        <x:f>MAX(0,MIN('Activities'!L402,492)-MAX('Activities'!K402,486))</x:f>
        <x:v>0</x:v>
      </x:c>
      <x:c r="CI402" s="22" t="n">
        <x:f>MAX(0,MIN('Activities'!L402,498)-MAX('Activities'!K402,492))</x:f>
        <x:v>0</x:v>
      </x:c>
      <x:c r="CJ402" s="22" t="n">
        <x:f>MAX(0,MIN('Activities'!L402,504)-MAX('Activities'!K402,498))</x:f>
        <x:v>0</x:v>
      </x:c>
      <x:c r="CK402" s="22" t="n">
        <x:f>MAX(0,MIN('Activities'!L402,510)-MAX('Activities'!K402,504))</x:f>
        <x:v>0</x:v>
      </x:c>
      <x:c r="CL402" s="22" t="n">
        <x:f>MAX(0,MIN('Activities'!L402,516)-MAX('Activities'!K402,510))</x:f>
        <x:v>0</x:v>
      </x:c>
      <x:c r="CM402" s="22" t="n">
        <x:f>MAX(0,MIN('Activities'!L402,522)-MAX('Activities'!K402,516))</x:f>
        <x:v>0</x:v>
      </x:c>
      <x:c r="CN402" s="22" t="n">
        <x:f>MAX(0,MIN('Activities'!L402,528)-MAX('Activities'!K402,522))</x:f>
        <x:v>0</x:v>
      </x:c>
      <x:c r="CO402" s="22" t="n">
        <x:f>MAX(0,MIN('Activities'!L402,534)-MAX('Activities'!K402,528))</x:f>
        <x:v>0</x:v>
      </x:c>
      <x:c r="CP402" s="22" t="n">
        <x:f>MAX(0,MIN('Activities'!L402,540)-MAX('Activities'!K402,534))</x:f>
        <x:v>0</x:v>
      </x:c>
      <x:c r="CQ402" s="22" t="n">
        <x:f>MAX(0,MIN('Activities'!L402,546)-MAX('Activities'!K402,540))</x:f>
        <x:v>0</x:v>
      </x:c>
      <x:c r="CR402" s="22" t="n">
        <x:f>MAX(0,MIN('Activities'!L402,552)-MAX('Activities'!K402,546))</x:f>
        <x:v>0</x:v>
      </x:c>
      <x:c r="CS402" s="22" t="n">
        <x:f>MAX(0,MIN('Activities'!L402,558)-MAX('Activities'!K402,552))</x:f>
        <x:v>0</x:v>
      </x:c>
      <x:c r="CT402" s="22" t="n">
        <x:f>MAX(0,MIN('Activities'!L402,564)-MAX('Activities'!K402,558))</x:f>
        <x:v>0</x:v>
      </x:c>
      <x:c r="CU402" s="22" t="n">
        <x:f>MAX(0,MIN('Activities'!L402,570)-MAX('Activities'!K402,564))</x:f>
        <x:v>0</x:v>
      </x:c>
      <x:c r="CV402" s="22" t="n">
        <x:f>MAX(0,MIN('Activities'!L402,576)-MAX('Activities'!K402,570))</x:f>
        <x:v>0</x:v>
      </x:c>
      <x:c r="CW402" s="22" t="n">
        <x:f>MAX(0,MIN('Activities'!L402,582)-MAX('Activities'!K402,576))</x:f>
        <x:v>0</x:v>
      </x:c>
      <x:c r="CX402" s="22" t="n">
        <x:f>MAX(0,MIN('Activities'!L402,588)-MAX('Activities'!K402,582))</x:f>
        <x:v>0</x:v>
      </x:c>
      <x:c r="CY402" s="22" t="n">
        <x:f>MAX(0,MIN('Activities'!L402,594)-MAX('Activities'!K402,588))</x:f>
        <x:v>0</x:v>
      </x:c>
      <x:c r="CZ402" s="22" t="n">
        <x:f>MAX(0,MIN('Activities'!L402,600)-MAX('Activities'!K402,594))</x:f>
        <x:v>0</x:v>
      </x:c>
      <x:c r="DA402" s="22" t="n">
        <x:f>MAX(0,MIN('Activities'!L402,606)-MAX('Activities'!K402,600))</x:f>
        <x:v>0</x:v>
      </x:c>
      <x:c r="DB402" s="22" t="n">
        <x:f>MAX(0,MIN('Activities'!L402,612)-MAX('Activities'!K402,606))</x:f>
        <x:v>0</x:v>
      </x:c>
      <x:c r="DC402" s="22" t="n">
        <x:f>MAX(0,MIN('Activities'!L402,618)-MAX('Activities'!K402,612))</x:f>
        <x:v>0</x:v>
      </x:c>
      <x:c r="DD402" s="22" t="n">
        <x:f>MAX(0,MIN('Activities'!L402,624)-MAX('Activities'!K402,618))</x:f>
        <x:v>0</x:v>
      </x:c>
      <x:c r="DE402" s="22" t="n">
        <x:f>MAX(0,MIN('Activities'!L402,630)-MAX('Activities'!K402,624))</x:f>
        <x:v>0</x:v>
      </x:c>
      <x:c r="DF402" s="22" t="n">
        <x:f>MAX(0,MIN('Activities'!L402,636)-MAX('Activities'!K402,630))</x:f>
        <x:v>0</x:v>
      </x:c>
    </x:row>
    <x:row r="403" ht="23" customHeight="1">
      <x:c r="A403" s="1" t="str">
        <x:v>T3-L11-M</x:v>
      </x:c>
      <x:c r="B403" s="1" t="str">
        <x:v>T3</x:v>
      </x:c>
      <x:c r="C403" s="1" t="str">
        <x:v>Partition masonry</x:v>
      </x:c>
      <x:c r="D403" s="1" t="str">
        <x:v>Masonry</x:v>
      </x:c>
      <x:c r="E403" s="23" t="n">
        <x:f>MAX(0,MIN('Activities'!L403,6)-MAX('Activities'!K403,0))</x:f>
        <x:v>0</x:v>
      </x:c>
      <x:c r="F403" s="23" t="n">
        <x:f>MAX(0,MIN('Activities'!L403,12)-MAX('Activities'!K403,6))</x:f>
        <x:v>0</x:v>
      </x:c>
      <x:c r="G403" s="23" t="n">
        <x:f>MAX(0,MIN('Activities'!L403,18)-MAX('Activities'!K403,12))</x:f>
        <x:v>0</x:v>
      </x:c>
      <x:c r="H403" s="23" t="n">
        <x:f>MAX(0,MIN('Activities'!L403,24)-MAX('Activities'!K403,18))</x:f>
        <x:v>0</x:v>
      </x:c>
      <x:c r="I403" s="23" t="n">
        <x:f>MAX(0,MIN('Activities'!L403,30)-MAX('Activities'!K403,24))</x:f>
        <x:v>0</x:v>
      </x:c>
      <x:c r="J403" s="23" t="n">
        <x:f>MAX(0,MIN('Activities'!L403,36)-MAX('Activities'!K403,30))</x:f>
        <x:v>0</x:v>
      </x:c>
      <x:c r="K403" s="23" t="n">
        <x:f>MAX(0,MIN('Activities'!L403,42)-MAX('Activities'!K403,36))</x:f>
        <x:v>0</x:v>
      </x:c>
      <x:c r="L403" s="23" t="n">
        <x:f>MAX(0,MIN('Activities'!L403,48)-MAX('Activities'!K403,42))</x:f>
        <x:v>0</x:v>
      </x:c>
      <x:c r="M403" s="23" t="n">
        <x:f>MAX(0,MIN('Activities'!L403,54)-MAX('Activities'!K403,48))</x:f>
        <x:v>0</x:v>
      </x:c>
      <x:c r="N403" s="23" t="n">
        <x:f>MAX(0,MIN('Activities'!L403,60)-MAX('Activities'!K403,54))</x:f>
        <x:v>0</x:v>
      </x:c>
      <x:c r="O403" s="23" t="n">
        <x:f>MAX(0,MIN('Activities'!L403,66)-MAX('Activities'!K403,60))</x:f>
        <x:v>0</x:v>
      </x:c>
      <x:c r="P403" s="23" t="n">
        <x:f>MAX(0,MIN('Activities'!L403,72)-MAX('Activities'!K403,66))</x:f>
        <x:v>0</x:v>
      </x:c>
      <x:c r="Q403" s="23" t="n">
        <x:f>MAX(0,MIN('Activities'!L403,78)-MAX('Activities'!K403,72))</x:f>
        <x:v>0</x:v>
      </x:c>
      <x:c r="R403" s="23" t="n">
        <x:f>MAX(0,MIN('Activities'!L403,84)-MAX('Activities'!K403,78))</x:f>
        <x:v>0</x:v>
      </x:c>
      <x:c r="S403" s="23" t="n">
        <x:f>MAX(0,MIN('Activities'!L403,90)-MAX('Activities'!K403,84))</x:f>
        <x:v>0</x:v>
      </x:c>
      <x:c r="T403" s="23" t="n">
        <x:f>MAX(0,MIN('Activities'!L403,96)-MAX('Activities'!K403,90))</x:f>
        <x:v>0</x:v>
      </x:c>
      <x:c r="U403" s="23" t="n">
        <x:f>MAX(0,MIN('Activities'!L403,102)-MAX('Activities'!K403,96))</x:f>
        <x:v>0</x:v>
      </x:c>
      <x:c r="V403" s="23" t="n">
        <x:f>MAX(0,MIN('Activities'!L403,108)-MAX('Activities'!K403,102))</x:f>
        <x:v>0</x:v>
      </x:c>
      <x:c r="W403" s="23" t="n">
        <x:f>MAX(0,MIN('Activities'!L403,114)-MAX('Activities'!K403,108))</x:f>
        <x:v>0</x:v>
      </x:c>
      <x:c r="X403" s="23" t="n">
        <x:f>MAX(0,MIN('Activities'!L403,120)-MAX('Activities'!K403,114))</x:f>
        <x:v>0</x:v>
      </x:c>
      <x:c r="Y403" s="23" t="n">
        <x:f>MAX(0,MIN('Activities'!L403,126)-MAX('Activities'!K403,120))</x:f>
        <x:v>0</x:v>
      </x:c>
      <x:c r="Z403" s="23" t="n">
        <x:f>MAX(0,MIN('Activities'!L403,132)-MAX('Activities'!K403,126))</x:f>
        <x:v>0</x:v>
      </x:c>
      <x:c r="AA403" s="23" t="n">
        <x:f>MAX(0,MIN('Activities'!L403,138)-MAX('Activities'!K403,132))</x:f>
        <x:v>0</x:v>
      </x:c>
      <x:c r="AB403" s="23" t="n">
        <x:f>MAX(0,MIN('Activities'!L403,144)-MAX('Activities'!K403,138))</x:f>
        <x:v>0</x:v>
      </x:c>
      <x:c r="AC403" s="23" t="n">
        <x:f>MAX(0,MIN('Activities'!L403,150)-MAX('Activities'!K403,144))</x:f>
        <x:v>0</x:v>
      </x:c>
      <x:c r="AD403" s="23" t="n">
        <x:f>MAX(0,MIN('Activities'!L403,156)-MAX('Activities'!K403,150))</x:f>
        <x:v>0</x:v>
      </x:c>
      <x:c r="AE403" s="23" t="n">
        <x:f>MAX(0,MIN('Activities'!L403,162)-MAX('Activities'!K403,156))</x:f>
        <x:v>0</x:v>
      </x:c>
      <x:c r="AF403" s="23" t="n">
        <x:f>MAX(0,MIN('Activities'!L403,168)-MAX('Activities'!K403,162))</x:f>
        <x:v>0</x:v>
      </x:c>
      <x:c r="AG403" s="23" t="n">
        <x:f>MAX(0,MIN('Activities'!L403,174)-MAX('Activities'!K403,168))</x:f>
        <x:v>0</x:v>
      </x:c>
      <x:c r="AH403" s="23" t="n">
        <x:f>MAX(0,MIN('Activities'!L403,180)-MAX('Activities'!K403,174))</x:f>
        <x:v>0</x:v>
      </x:c>
      <x:c r="AI403" s="23" t="n">
        <x:f>MAX(0,MIN('Activities'!L403,186)-MAX('Activities'!K403,180))</x:f>
        <x:v>0</x:v>
      </x:c>
      <x:c r="AJ403" s="23" t="n">
        <x:f>MAX(0,MIN('Activities'!L403,192)-MAX('Activities'!K403,186))</x:f>
        <x:v>0</x:v>
      </x:c>
      <x:c r="AK403" s="23" t="n">
        <x:f>MAX(0,MIN('Activities'!L403,198)-MAX('Activities'!K403,192))</x:f>
        <x:v>0</x:v>
      </x:c>
      <x:c r="AL403" s="23" t="n">
        <x:f>MAX(0,MIN('Activities'!L403,204)-MAX('Activities'!K403,198))</x:f>
        <x:v>0</x:v>
      </x:c>
      <x:c r="AM403" s="23" t="n">
        <x:f>MAX(0,MIN('Activities'!L403,210)-MAX('Activities'!K403,204))</x:f>
        <x:v>0</x:v>
      </x:c>
      <x:c r="AN403" s="23" t="n">
        <x:f>MAX(0,MIN('Activities'!L403,216)-MAX('Activities'!K403,210))</x:f>
        <x:v>0</x:v>
      </x:c>
      <x:c r="AO403" s="23" t="n">
        <x:f>MAX(0,MIN('Activities'!L403,222)-MAX('Activities'!K403,216))</x:f>
        <x:v>0</x:v>
      </x:c>
      <x:c r="AP403" s="23" t="n">
        <x:f>MAX(0,MIN('Activities'!L403,228)-MAX('Activities'!K403,222))</x:f>
        <x:v>0</x:v>
      </x:c>
      <x:c r="AQ403" s="23" t="n">
        <x:f>MAX(0,MIN('Activities'!L403,234)-MAX('Activities'!K403,228))</x:f>
        <x:v>0</x:v>
      </x:c>
      <x:c r="AR403" s="23" t="n">
        <x:f>MAX(0,MIN('Activities'!L403,240)-MAX('Activities'!K403,234))</x:f>
        <x:v>0</x:v>
      </x:c>
      <x:c r="AS403" s="23" t="n">
        <x:f>MAX(0,MIN('Activities'!L403,246)-MAX('Activities'!K403,240))</x:f>
        <x:v>0</x:v>
      </x:c>
      <x:c r="AT403" s="23" t="n">
        <x:f>MAX(0,MIN('Activities'!L403,252)-MAX('Activities'!K403,246))</x:f>
        <x:v>0</x:v>
      </x:c>
      <x:c r="AU403" s="23" t="n">
        <x:f>MAX(0,MIN('Activities'!L403,258)-MAX('Activities'!K403,252))</x:f>
        <x:v>0</x:v>
      </x:c>
      <x:c r="AV403" s="23" t="n">
        <x:f>MAX(0,MIN('Activities'!L403,264)-MAX('Activities'!K403,258))</x:f>
        <x:v>0</x:v>
      </x:c>
      <x:c r="AW403" s="23" t="n">
        <x:f>MAX(0,MIN('Activities'!L403,270)-MAX('Activities'!K403,264))</x:f>
        <x:v>0</x:v>
      </x:c>
      <x:c r="AX403" s="23" t="n">
        <x:f>MAX(0,MIN('Activities'!L403,276)-MAX('Activities'!K403,270))</x:f>
        <x:v>0</x:v>
      </x:c>
      <x:c r="AY403" s="23" t="n">
        <x:f>MAX(0,MIN('Activities'!L403,282)-MAX('Activities'!K403,276))</x:f>
        <x:v>0</x:v>
      </x:c>
      <x:c r="AZ403" s="23" t="n">
        <x:f>MAX(0,MIN('Activities'!L403,288)-MAX('Activities'!K403,282))</x:f>
        <x:v>0</x:v>
      </x:c>
      <x:c r="BA403" s="23" t="n">
        <x:f>MAX(0,MIN('Activities'!L403,294)-MAX('Activities'!K403,288))</x:f>
        <x:v>0</x:v>
      </x:c>
      <x:c r="BB403" s="23" t="n">
        <x:f>MAX(0,MIN('Activities'!L403,300)-MAX('Activities'!K403,294))</x:f>
        <x:v>0</x:v>
      </x:c>
      <x:c r="BC403" s="23" t="n">
        <x:f>MAX(0,MIN('Activities'!L403,306)-MAX('Activities'!K403,300))</x:f>
        <x:v>0</x:v>
      </x:c>
      <x:c r="BD403" s="23" t="n">
        <x:f>MAX(0,MIN('Activities'!L403,312)-MAX('Activities'!K403,306))</x:f>
        <x:v>0</x:v>
      </x:c>
      <x:c r="BE403" s="23" t="n">
        <x:f>MAX(0,MIN('Activities'!L403,318)-MAX('Activities'!K403,312))</x:f>
        <x:v>0</x:v>
      </x:c>
      <x:c r="BF403" s="23" t="n">
        <x:f>MAX(0,MIN('Activities'!L403,324)-MAX('Activities'!K403,318))</x:f>
        <x:v>0</x:v>
      </x:c>
      <x:c r="BG403" s="23" t="n">
        <x:f>MAX(0,MIN('Activities'!L403,330)-MAX('Activities'!K403,324))</x:f>
        <x:v>0</x:v>
      </x:c>
      <x:c r="BH403" s="23" t="n">
        <x:f>MAX(0,MIN('Activities'!L403,336)-MAX('Activities'!K403,330))</x:f>
        <x:v>0</x:v>
      </x:c>
      <x:c r="BI403" s="23" t="n">
        <x:f>MAX(0,MIN('Activities'!L403,342)-MAX('Activities'!K403,336))</x:f>
        <x:v>0</x:v>
      </x:c>
      <x:c r="BJ403" s="23" t="n">
        <x:f>MAX(0,MIN('Activities'!L403,348)-MAX('Activities'!K403,342))</x:f>
        <x:v>0</x:v>
      </x:c>
      <x:c r="BK403" s="23" t="n">
        <x:f>MAX(0,MIN('Activities'!L403,354)-MAX('Activities'!K403,348))</x:f>
        <x:v>0</x:v>
      </x:c>
      <x:c r="BL403" s="23" t="n">
        <x:f>MAX(0,MIN('Activities'!L403,360)-MAX('Activities'!K403,354))</x:f>
        <x:v>0</x:v>
      </x:c>
      <x:c r="BM403" s="23" t="n">
        <x:f>MAX(0,MIN('Activities'!L403,366)-MAX('Activities'!K403,360))</x:f>
        <x:v>0</x:v>
      </x:c>
      <x:c r="BN403" s="23" t="n">
        <x:f>MAX(0,MIN('Activities'!L403,372)-MAX('Activities'!K403,366))</x:f>
        <x:v>0</x:v>
      </x:c>
      <x:c r="BO403" s="23" t="n">
        <x:f>MAX(0,MIN('Activities'!L403,378)-MAX('Activities'!K403,372))</x:f>
        <x:v>0</x:v>
      </x:c>
      <x:c r="BP403" s="23" t="n">
        <x:f>MAX(0,MIN('Activities'!L403,384)-MAX('Activities'!K403,378))</x:f>
        <x:v>0</x:v>
      </x:c>
      <x:c r="BQ403" s="23" t="n">
        <x:f>MAX(0,MIN('Activities'!L403,390)-MAX('Activities'!K403,384))</x:f>
        <x:v>0</x:v>
      </x:c>
      <x:c r="BR403" s="23" t="n">
        <x:f>MAX(0,MIN('Activities'!L403,396)-MAX('Activities'!K403,390))</x:f>
        <x:v>0</x:v>
      </x:c>
      <x:c r="BS403" s="23" t="n">
        <x:f>MAX(0,MIN('Activities'!L403,402)-MAX('Activities'!K403,396))</x:f>
        <x:v>5</x:v>
      </x:c>
      <x:c r="BT403" s="23" t="n">
        <x:f>MAX(0,MIN('Activities'!L403,408)-MAX('Activities'!K403,402))</x:f>
        <x:v>0</x:v>
      </x:c>
      <x:c r="BU403" s="23" t="n">
        <x:f>MAX(0,MIN('Activities'!L403,414)-MAX('Activities'!K403,408))</x:f>
        <x:v>0</x:v>
      </x:c>
      <x:c r="BV403" s="23" t="n">
        <x:f>MAX(0,MIN('Activities'!L403,420)-MAX('Activities'!K403,414))</x:f>
        <x:v>0</x:v>
      </x:c>
      <x:c r="BW403" s="23" t="n">
        <x:f>MAX(0,MIN('Activities'!L403,426)-MAX('Activities'!K403,420))</x:f>
        <x:v>0</x:v>
      </x:c>
      <x:c r="BX403" s="23" t="n">
        <x:f>MAX(0,MIN('Activities'!L403,432)-MAX('Activities'!K403,426))</x:f>
        <x:v>0</x:v>
      </x:c>
      <x:c r="BY403" s="23" t="n">
        <x:f>MAX(0,MIN('Activities'!L403,438)-MAX('Activities'!K403,432))</x:f>
        <x:v>0</x:v>
      </x:c>
      <x:c r="BZ403" s="23" t="n">
        <x:f>MAX(0,MIN('Activities'!L403,444)-MAX('Activities'!K403,438))</x:f>
        <x:v>0</x:v>
      </x:c>
      <x:c r="CA403" s="23" t="n">
        <x:f>MAX(0,MIN('Activities'!L403,450)-MAX('Activities'!K403,444))</x:f>
        <x:v>0</x:v>
      </x:c>
      <x:c r="CB403" s="23" t="n">
        <x:f>MAX(0,MIN('Activities'!L403,456)-MAX('Activities'!K403,450))</x:f>
        <x:v>0</x:v>
      </x:c>
      <x:c r="CC403" s="23" t="n">
        <x:f>MAX(0,MIN('Activities'!L403,462)-MAX('Activities'!K403,456))</x:f>
        <x:v>0</x:v>
      </x:c>
      <x:c r="CD403" s="23" t="n">
        <x:f>MAX(0,MIN('Activities'!L403,468)-MAX('Activities'!K403,462))</x:f>
        <x:v>0</x:v>
      </x:c>
      <x:c r="CE403" s="23" t="n">
        <x:f>MAX(0,MIN('Activities'!L403,474)-MAX('Activities'!K403,468))</x:f>
        <x:v>0</x:v>
      </x:c>
      <x:c r="CF403" s="23" t="n">
        <x:f>MAX(0,MIN('Activities'!L403,480)-MAX('Activities'!K403,474))</x:f>
        <x:v>0</x:v>
      </x:c>
      <x:c r="CG403" s="23" t="n">
        <x:f>MAX(0,MIN('Activities'!L403,486)-MAX('Activities'!K403,480))</x:f>
        <x:v>0</x:v>
      </x:c>
      <x:c r="CH403" s="23" t="n">
        <x:f>MAX(0,MIN('Activities'!L403,492)-MAX('Activities'!K403,486))</x:f>
        <x:v>0</x:v>
      </x:c>
      <x:c r="CI403" s="23" t="n">
        <x:f>MAX(0,MIN('Activities'!L403,498)-MAX('Activities'!K403,492))</x:f>
        <x:v>0</x:v>
      </x:c>
      <x:c r="CJ403" s="23" t="n">
        <x:f>MAX(0,MIN('Activities'!L403,504)-MAX('Activities'!K403,498))</x:f>
        <x:v>0</x:v>
      </x:c>
      <x:c r="CK403" s="23" t="n">
        <x:f>MAX(0,MIN('Activities'!L403,510)-MAX('Activities'!K403,504))</x:f>
        <x:v>0</x:v>
      </x:c>
      <x:c r="CL403" s="23" t="n">
        <x:f>MAX(0,MIN('Activities'!L403,516)-MAX('Activities'!K403,510))</x:f>
        <x:v>0</x:v>
      </x:c>
      <x:c r="CM403" s="23" t="n">
        <x:f>MAX(0,MIN('Activities'!L403,522)-MAX('Activities'!K403,516))</x:f>
        <x:v>0</x:v>
      </x:c>
      <x:c r="CN403" s="23" t="n">
        <x:f>MAX(0,MIN('Activities'!L403,528)-MAX('Activities'!K403,522))</x:f>
        <x:v>0</x:v>
      </x:c>
      <x:c r="CO403" s="23" t="n">
        <x:f>MAX(0,MIN('Activities'!L403,534)-MAX('Activities'!K403,528))</x:f>
        <x:v>0</x:v>
      </x:c>
      <x:c r="CP403" s="23" t="n">
        <x:f>MAX(0,MIN('Activities'!L403,540)-MAX('Activities'!K403,534))</x:f>
        <x:v>0</x:v>
      </x:c>
      <x:c r="CQ403" s="23" t="n">
        <x:f>MAX(0,MIN('Activities'!L403,546)-MAX('Activities'!K403,540))</x:f>
        <x:v>0</x:v>
      </x:c>
      <x:c r="CR403" s="23" t="n">
        <x:f>MAX(0,MIN('Activities'!L403,552)-MAX('Activities'!K403,546))</x:f>
        <x:v>0</x:v>
      </x:c>
      <x:c r="CS403" s="23" t="n">
        <x:f>MAX(0,MIN('Activities'!L403,558)-MAX('Activities'!K403,552))</x:f>
        <x:v>0</x:v>
      </x:c>
      <x:c r="CT403" s="23" t="n">
        <x:f>MAX(0,MIN('Activities'!L403,564)-MAX('Activities'!K403,558))</x:f>
        <x:v>0</x:v>
      </x:c>
      <x:c r="CU403" s="23" t="n">
        <x:f>MAX(0,MIN('Activities'!L403,570)-MAX('Activities'!K403,564))</x:f>
        <x:v>0</x:v>
      </x:c>
      <x:c r="CV403" s="23" t="n">
        <x:f>MAX(0,MIN('Activities'!L403,576)-MAX('Activities'!K403,570))</x:f>
        <x:v>0</x:v>
      </x:c>
      <x:c r="CW403" s="23" t="n">
        <x:f>MAX(0,MIN('Activities'!L403,582)-MAX('Activities'!K403,576))</x:f>
        <x:v>0</x:v>
      </x:c>
      <x:c r="CX403" s="23" t="n">
        <x:f>MAX(0,MIN('Activities'!L403,588)-MAX('Activities'!K403,582))</x:f>
        <x:v>0</x:v>
      </x:c>
      <x:c r="CY403" s="23" t="n">
        <x:f>MAX(0,MIN('Activities'!L403,594)-MAX('Activities'!K403,588))</x:f>
        <x:v>0</x:v>
      </x:c>
      <x:c r="CZ403" s="23" t="n">
        <x:f>MAX(0,MIN('Activities'!L403,600)-MAX('Activities'!K403,594))</x:f>
        <x:v>0</x:v>
      </x:c>
      <x:c r="DA403" s="23" t="n">
        <x:f>MAX(0,MIN('Activities'!L403,606)-MAX('Activities'!K403,600))</x:f>
        <x:v>0</x:v>
      </x:c>
      <x:c r="DB403" s="23" t="n">
        <x:f>MAX(0,MIN('Activities'!L403,612)-MAX('Activities'!K403,606))</x:f>
        <x:v>0</x:v>
      </x:c>
      <x:c r="DC403" s="23" t="n">
        <x:f>MAX(0,MIN('Activities'!L403,618)-MAX('Activities'!K403,612))</x:f>
        <x:v>0</x:v>
      </x:c>
      <x:c r="DD403" s="23" t="n">
        <x:f>MAX(0,MIN('Activities'!L403,624)-MAX('Activities'!K403,618))</x:f>
        <x:v>0</x:v>
      </x:c>
      <x:c r="DE403" s="23" t="n">
        <x:f>MAX(0,MIN('Activities'!L403,630)-MAX('Activities'!K403,624))</x:f>
        <x:v>0</x:v>
      </x:c>
      <x:c r="DF403" s="23" t="n">
        <x:f>MAX(0,MIN('Activities'!L403,636)-MAX('Activities'!K403,630))</x:f>
        <x:v>0</x:v>
      </x:c>
    </x:row>
    <x:row r="404" ht="23" customHeight="1">
      <x:c r="A404" s="6" t="str">
        <x:v>T3-L11-P</x:v>
      </x:c>
      <x:c r="B404" s="6" t="str">
        <x:v>T3</x:v>
      </x:c>
      <x:c r="C404" s="6" t="str">
        <x:v>Internal plaster</x:v>
      </x:c>
      <x:c r="D404" s="6" t="str">
        <x:v>Finishes</x:v>
      </x:c>
      <x:c r="E404" s="22" t="n">
        <x:f>MAX(0,MIN('Activities'!L404,6)-MAX('Activities'!K404,0))</x:f>
        <x:v>0</x:v>
      </x:c>
      <x:c r="F404" s="22" t="n">
        <x:f>MAX(0,MIN('Activities'!L404,12)-MAX('Activities'!K404,6))</x:f>
        <x:v>0</x:v>
      </x:c>
      <x:c r="G404" s="22" t="n">
        <x:f>MAX(0,MIN('Activities'!L404,18)-MAX('Activities'!K404,12))</x:f>
        <x:v>0</x:v>
      </x:c>
      <x:c r="H404" s="22" t="n">
        <x:f>MAX(0,MIN('Activities'!L404,24)-MAX('Activities'!K404,18))</x:f>
        <x:v>0</x:v>
      </x:c>
      <x:c r="I404" s="22" t="n">
        <x:f>MAX(0,MIN('Activities'!L404,30)-MAX('Activities'!K404,24))</x:f>
        <x:v>0</x:v>
      </x:c>
      <x:c r="J404" s="22" t="n">
        <x:f>MAX(0,MIN('Activities'!L404,36)-MAX('Activities'!K404,30))</x:f>
        <x:v>0</x:v>
      </x:c>
      <x:c r="K404" s="22" t="n">
        <x:f>MAX(0,MIN('Activities'!L404,42)-MAX('Activities'!K404,36))</x:f>
        <x:v>0</x:v>
      </x:c>
      <x:c r="L404" s="22" t="n">
        <x:f>MAX(0,MIN('Activities'!L404,48)-MAX('Activities'!K404,42))</x:f>
        <x:v>0</x:v>
      </x:c>
      <x:c r="M404" s="22" t="n">
        <x:f>MAX(0,MIN('Activities'!L404,54)-MAX('Activities'!K404,48))</x:f>
        <x:v>0</x:v>
      </x:c>
      <x:c r="N404" s="22" t="n">
        <x:f>MAX(0,MIN('Activities'!L404,60)-MAX('Activities'!K404,54))</x:f>
        <x:v>0</x:v>
      </x:c>
      <x:c r="O404" s="22" t="n">
        <x:f>MAX(0,MIN('Activities'!L404,66)-MAX('Activities'!K404,60))</x:f>
        <x:v>0</x:v>
      </x:c>
      <x:c r="P404" s="22" t="n">
        <x:f>MAX(0,MIN('Activities'!L404,72)-MAX('Activities'!K404,66))</x:f>
        <x:v>0</x:v>
      </x:c>
      <x:c r="Q404" s="22" t="n">
        <x:f>MAX(0,MIN('Activities'!L404,78)-MAX('Activities'!K404,72))</x:f>
        <x:v>0</x:v>
      </x:c>
      <x:c r="R404" s="22" t="n">
        <x:f>MAX(0,MIN('Activities'!L404,84)-MAX('Activities'!K404,78))</x:f>
        <x:v>0</x:v>
      </x:c>
      <x:c r="S404" s="22" t="n">
        <x:f>MAX(0,MIN('Activities'!L404,90)-MAX('Activities'!K404,84))</x:f>
        <x:v>0</x:v>
      </x:c>
      <x:c r="T404" s="22" t="n">
        <x:f>MAX(0,MIN('Activities'!L404,96)-MAX('Activities'!K404,90))</x:f>
        <x:v>0</x:v>
      </x:c>
      <x:c r="U404" s="22" t="n">
        <x:f>MAX(0,MIN('Activities'!L404,102)-MAX('Activities'!K404,96))</x:f>
        <x:v>0</x:v>
      </x:c>
      <x:c r="V404" s="22" t="n">
        <x:f>MAX(0,MIN('Activities'!L404,108)-MAX('Activities'!K404,102))</x:f>
        <x:v>0</x:v>
      </x:c>
      <x:c r="W404" s="22" t="n">
        <x:f>MAX(0,MIN('Activities'!L404,114)-MAX('Activities'!K404,108))</x:f>
        <x:v>0</x:v>
      </x:c>
      <x:c r="X404" s="22" t="n">
        <x:f>MAX(0,MIN('Activities'!L404,120)-MAX('Activities'!K404,114))</x:f>
        <x:v>0</x:v>
      </x:c>
      <x:c r="Y404" s="22" t="n">
        <x:f>MAX(0,MIN('Activities'!L404,126)-MAX('Activities'!K404,120))</x:f>
        <x:v>0</x:v>
      </x:c>
      <x:c r="Z404" s="22" t="n">
        <x:f>MAX(0,MIN('Activities'!L404,132)-MAX('Activities'!K404,126))</x:f>
        <x:v>0</x:v>
      </x:c>
      <x:c r="AA404" s="22" t="n">
        <x:f>MAX(0,MIN('Activities'!L404,138)-MAX('Activities'!K404,132))</x:f>
        <x:v>0</x:v>
      </x:c>
      <x:c r="AB404" s="22" t="n">
        <x:f>MAX(0,MIN('Activities'!L404,144)-MAX('Activities'!K404,138))</x:f>
        <x:v>0</x:v>
      </x:c>
      <x:c r="AC404" s="22" t="n">
        <x:f>MAX(0,MIN('Activities'!L404,150)-MAX('Activities'!K404,144))</x:f>
        <x:v>0</x:v>
      </x:c>
      <x:c r="AD404" s="22" t="n">
        <x:f>MAX(0,MIN('Activities'!L404,156)-MAX('Activities'!K404,150))</x:f>
        <x:v>0</x:v>
      </x:c>
      <x:c r="AE404" s="22" t="n">
        <x:f>MAX(0,MIN('Activities'!L404,162)-MAX('Activities'!K404,156))</x:f>
        <x:v>0</x:v>
      </x:c>
      <x:c r="AF404" s="22" t="n">
        <x:f>MAX(0,MIN('Activities'!L404,168)-MAX('Activities'!K404,162))</x:f>
        <x:v>0</x:v>
      </x:c>
      <x:c r="AG404" s="22" t="n">
        <x:f>MAX(0,MIN('Activities'!L404,174)-MAX('Activities'!K404,168))</x:f>
        <x:v>0</x:v>
      </x:c>
      <x:c r="AH404" s="22" t="n">
        <x:f>MAX(0,MIN('Activities'!L404,180)-MAX('Activities'!K404,174))</x:f>
        <x:v>0</x:v>
      </x:c>
      <x:c r="AI404" s="22" t="n">
        <x:f>MAX(0,MIN('Activities'!L404,186)-MAX('Activities'!K404,180))</x:f>
        <x:v>0</x:v>
      </x:c>
      <x:c r="AJ404" s="22" t="n">
        <x:f>MAX(0,MIN('Activities'!L404,192)-MAX('Activities'!K404,186))</x:f>
        <x:v>0</x:v>
      </x:c>
      <x:c r="AK404" s="22" t="n">
        <x:f>MAX(0,MIN('Activities'!L404,198)-MAX('Activities'!K404,192))</x:f>
        <x:v>0</x:v>
      </x:c>
      <x:c r="AL404" s="22" t="n">
        <x:f>MAX(0,MIN('Activities'!L404,204)-MAX('Activities'!K404,198))</x:f>
        <x:v>0</x:v>
      </x:c>
      <x:c r="AM404" s="22" t="n">
        <x:f>MAX(0,MIN('Activities'!L404,210)-MAX('Activities'!K404,204))</x:f>
        <x:v>0</x:v>
      </x:c>
      <x:c r="AN404" s="22" t="n">
        <x:f>MAX(0,MIN('Activities'!L404,216)-MAX('Activities'!K404,210))</x:f>
        <x:v>0</x:v>
      </x:c>
      <x:c r="AO404" s="22" t="n">
        <x:f>MAX(0,MIN('Activities'!L404,222)-MAX('Activities'!K404,216))</x:f>
        <x:v>0</x:v>
      </x:c>
      <x:c r="AP404" s="22" t="n">
        <x:f>MAX(0,MIN('Activities'!L404,228)-MAX('Activities'!K404,222))</x:f>
        <x:v>0</x:v>
      </x:c>
      <x:c r="AQ404" s="22" t="n">
        <x:f>MAX(0,MIN('Activities'!L404,234)-MAX('Activities'!K404,228))</x:f>
        <x:v>0</x:v>
      </x:c>
      <x:c r="AR404" s="22" t="n">
        <x:f>MAX(0,MIN('Activities'!L404,240)-MAX('Activities'!K404,234))</x:f>
        <x:v>0</x:v>
      </x:c>
      <x:c r="AS404" s="22" t="n">
        <x:f>MAX(0,MIN('Activities'!L404,246)-MAX('Activities'!K404,240))</x:f>
        <x:v>0</x:v>
      </x:c>
      <x:c r="AT404" s="22" t="n">
        <x:f>MAX(0,MIN('Activities'!L404,252)-MAX('Activities'!K404,246))</x:f>
        <x:v>0</x:v>
      </x:c>
      <x:c r="AU404" s="22" t="n">
        <x:f>MAX(0,MIN('Activities'!L404,258)-MAX('Activities'!K404,252))</x:f>
        <x:v>0</x:v>
      </x:c>
      <x:c r="AV404" s="22" t="n">
        <x:f>MAX(0,MIN('Activities'!L404,264)-MAX('Activities'!K404,258))</x:f>
        <x:v>0</x:v>
      </x:c>
      <x:c r="AW404" s="22" t="n">
        <x:f>MAX(0,MIN('Activities'!L404,270)-MAX('Activities'!K404,264))</x:f>
        <x:v>0</x:v>
      </x:c>
      <x:c r="AX404" s="22" t="n">
        <x:f>MAX(0,MIN('Activities'!L404,276)-MAX('Activities'!K404,270))</x:f>
        <x:v>0</x:v>
      </x:c>
      <x:c r="AY404" s="22" t="n">
        <x:f>MAX(0,MIN('Activities'!L404,282)-MAX('Activities'!K404,276))</x:f>
        <x:v>0</x:v>
      </x:c>
      <x:c r="AZ404" s="22" t="n">
        <x:f>MAX(0,MIN('Activities'!L404,288)-MAX('Activities'!K404,282))</x:f>
        <x:v>0</x:v>
      </x:c>
      <x:c r="BA404" s="22" t="n">
        <x:f>MAX(0,MIN('Activities'!L404,294)-MAX('Activities'!K404,288))</x:f>
        <x:v>0</x:v>
      </x:c>
      <x:c r="BB404" s="22" t="n">
        <x:f>MAX(0,MIN('Activities'!L404,300)-MAX('Activities'!K404,294))</x:f>
        <x:v>0</x:v>
      </x:c>
      <x:c r="BC404" s="22" t="n">
        <x:f>MAX(0,MIN('Activities'!L404,306)-MAX('Activities'!K404,300))</x:f>
        <x:v>0</x:v>
      </x:c>
      <x:c r="BD404" s="22" t="n">
        <x:f>MAX(0,MIN('Activities'!L404,312)-MAX('Activities'!K404,306))</x:f>
        <x:v>0</x:v>
      </x:c>
      <x:c r="BE404" s="22" t="n">
        <x:f>MAX(0,MIN('Activities'!L404,318)-MAX('Activities'!K404,312))</x:f>
        <x:v>0</x:v>
      </x:c>
      <x:c r="BF404" s="22" t="n">
        <x:f>MAX(0,MIN('Activities'!L404,324)-MAX('Activities'!K404,318))</x:f>
        <x:v>0</x:v>
      </x:c>
      <x:c r="BG404" s="22" t="n">
        <x:f>MAX(0,MIN('Activities'!L404,330)-MAX('Activities'!K404,324))</x:f>
        <x:v>0</x:v>
      </x:c>
      <x:c r="BH404" s="22" t="n">
        <x:f>MAX(0,MIN('Activities'!L404,336)-MAX('Activities'!K404,330))</x:f>
        <x:v>0</x:v>
      </x:c>
      <x:c r="BI404" s="22" t="n">
        <x:f>MAX(0,MIN('Activities'!L404,342)-MAX('Activities'!K404,336))</x:f>
        <x:v>0</x:v>
      </x:c>
      <x:c r="BJ404" s="22" t="n">
        <x:f>MAX(0,MIN('Activities'!L404,348)-MAX('Activities'!K404,342))</x:f>
        <x:v>0</x:v>
      </x:c>
      <x:c r="BK404" s="22" t="n">
        <x:f>MAX(0,MIN('Activities'!L404,354)-MAX('Activities'!K404,348))</x:f>
        <x:v>0</x:v>
      </x:c>
      <x:c r="BL404" s="22" t="n">
        <x:f>MAX(0,MIN('Activities'!L404,360)-MAX('Activities'!K404,354))</x:f>
        <x:v>0</x:v>
      </x:c>
      <x:c r="BM404" s="22" t="n">
        <x:f>MAX(0,MIN('Activities'!L404,366)-MAX('Activities'!K404,360))</x:f>
        <x:v>0</x:v>
      </x:c>
      <x:c r="BN404" s="22" t="n">
        <x:f>MAX(0,MIN('Activities'!L404,372)-MAX('Activities'!K404,366))</x:f>
        <x:v>0</x:v>
      </x:c>
      <x:c r="BO404" s="22" t="n">
        <x:f>MAX(0,MIN('Activities'!L404,378)-MAX('Activities'!K404,372))</x:f>
        <x:v>0</x:v>
      </x:c>
      <x:c r="BP404" s="22" t="n">
        <x:f>MAX(0,MIN('Activities'!L404,384)-MAX('Activities'!K404,378))</x:f>
        <x:v>0</x:v>
      </x:c>
      <x:c r="BQ404" s="22" t="n">
        <x:f>MAX(0,MIN('Activities'!L404,390)-MAX('Activities'!K404,384))</x:f>
        <x:v>0</x:v>
      </x:c>
      <x:c r="BR404" s="22" t="n">
        <x:f>MAX(0,MIN('Activities'!L404,396)-MAX('Activities'!K404,390))</x:f>
        <x:v>0</x:v>
      </x:c>
      <x:c r="BS404" s="22" t="n">
        <x:f>MAX(0,MIN('Activities'!L404,402)-MAX('Activities'!K404,396))</x:f>
        <x:v>0</x:v>
      </x:c>
      <x:c r="BT404" s="22" t="n">
        <x:f>MAX(0,MIN('Activities'!L404,408)-MAX('Activities'!K404,402))</x:f>
        <x:v>3</x:v>
      </x:c>
      <x:c r="BU404" s="22" t="n">
        <x:f>MAX(0,MIN('Activities'!L404,414)-MAX('Activities'!K404,408))</x:f>
        <x:v>3</x:v>
      </x:c>
      <x:c r="BV404" s="22" t="n">
        <x:f>MAX(0,MIN('Activities'!L404,420)-MAX('Activities'!K404,414))</x:f>
        <x:v>0</x:v>
      </x:c>
      <x:c r="BW404" s="22" t="n">
        <x:f>MAX(0,MIN('Activities'!L404,426)-MAX('Activities'!K404,420))</x:f>
        <x:v>0</x:v>
      </x:c>
      <x:c r="BX404" s="22" t="n">
        <x:f>MAX(0,MIN('Activities'!L404,432)-MAX('Activities'!K404,426))</x:f>
        <x:v>0</x:v>
      </x:c>
      <x:c r="BY404" s="22" t="n">
        <x:f>MAX(0,MIN('Activities'!L404,438)-MAX('Activities'!K404,432))</x:f>
        <x:v>0</x:v>
      </x:c>
      <x:c r="BZ404" s="22" t="n">
        <x:f>MAX(0,MIN('Activities'!L404,444)-MAX('Activities'!K404,438))</x:f>
        <x:v>0</x:v>
      </x:c>
      <x:c r="CA404" s="22" t="n">
        <x:f>MAX(0,MIN('Activities'!L404,450)-MAX('Activities'!K404,444))</x:f>
        <x:v>0</x:v>
      </x:c>
      <x:c r="CB404" s="22" t="n">
        <x:f>MAX(0,MIN('Activities'!L404,456)-MAX('Activities'!K404,450))</x:f>
        <x:v>0</x:v>
      </x:c>
      <x:c r="CC404" s="22" t="n">
        <x:f>MAX(0,MIN('Activities'!L404,462)-MAX('Activities'!K404,456))</x:f>
        <x:v>0</x:v>
      </x:c>
      <x:c r="CD404" s="22" t="n">
        <x:f>MAX(0,MIN('Activities'!L404,468)-MAX('Activities'!K404,462))</x:f>
        <x:v>0</x:v>
      </x:c>
      <x:c r="CE404" s="22" t="n">
        <x:f>MAX(0,MIN('Activities'!L404,474)-MAX('Activities'!K404,468))</x:f>
        <x:v>0</x:v>
      </x:c>
      <x:c r="CF404" s="22" t="n">
        <x:f>MAX(0,MIN('Activities'!L404,480)-MAX('Activities'!K404,474))</x:f>
        <x:v>0</x:v>
      </x:c>
      <x:c r="CG404" s="22" t="n">
        <x:f>MAX(0,MIN('Activities'!L404,486)-MAX('Activities'!K404,480))</x:f>
        <x:v>0</x:v>
      </x:c>
      <x:c r="CH404" s="22" t="n">
        <x:f>MAX(0,MIN('Activities'!L404,492)-MAX('Activities'!K404,486))</x:f>
        <x:v>0</x:v>
      </x:c>
      <x:c r="CI404" s="22" t="n">
        <x:f>MAX(0,MIN('Activities'!L404,498)-MAX('Activities'!K404,492))</x:f>
        <x:v>0</x:v>
      </x:c>
      <x:c r="CJ404" s="22" t="n">
        <x:f>MAX(0,MIN('Activities'!L404,504)-MAX('Activities'!K404,498))</x:f>
        <x:v>0</x:v>
      </x:c>
      <x:c r="CK404" s="22" t="n">
        <x:f>MAX(0,MIN('Activities'!L404,510)-MAX('Activities'!K404,504))</x:f>
        <x:v>0</x:v>
      </x:c>
      <x:c r="CL404" s="22" t="n">
        <x:f>MAX(0,MIN('Activities'!L404,516)-MAX('Activities'!K404,510))</x:f>
        <x:v>0</x:v>
      </x:c>
      <x:c r="CM404" s="22" t="n">
        <x:f>MAX(0,MIN('Activities'!L404,522)-MAX('Activities'!K404,516))</x:f>
        <x:v>0</x:v>
      </x:c>
      <x:c r="CN404" s="22" t="n">
        <x:f>MAX(0,MIN('Activities'!L404,528)-MAX('Activities'!K404,522))</x:f>
        <x:v>0</x:v>
      </x:c>
      <x:c r="CO404" s="22" t="n">
        <x:f>MAX(0,MIN('Activities'!L404,534)-MAX('Activities'!K404,528))</x:f>
        <x:v>0</x:v>
      </x:c>
      <x:c r="CP404" s="22" t="n">
        <x:f>MAX(0,MIN('Activities'!L404,540)-MAX('Activities'!K404,534))</x:f>
        <x:v>0</x:v>
      </x:c>
      <x:c r="CQ404" s="22" t="n">
        <x:f>MAX(0,MIN('Activities'!L404,546)-MAX('Activities'!K404,540))</x:f>
        <x:v>0</x:v>
      </x:c>
      <x:c r="CR404" s="22" t="n">
        <x:f>MAX(0,MIN('Activities'!L404,552)-MAX('Activities'!K404,546))</x:f>
        <x:v>0</x:v>
      </x:c>
      <x:c r="CS404" s="22" t="n">
        <x:f>MAX(0,MIN('Activities'!L404,558)-MAX('Activities'!K404,552))</x:f>
        <x:v>0</x:v>
      </x:c>
      <x:c r="CT404" s="22" t="n">
        <x:f>MAX(0,MIN('Activities'!L404,564)-MAX('Activities'!K404,558))</x:f>
        <x:v>0</x:v>
      </x:c>
      <x:c r="CU404" s="22" t="n">
        <x:f>MAX(0,MIN('Activities'!L404,570)-MAX('Activities'!K404,564))</x:f>
        <x:v>0</x:v>
      </x:c>
      <x:c r="CV404" s="22" t="n">
        <x:f>MAX(0,MIN('Activities'!L404,576)-MAX('Activities'!K404,570))</x:f>
        <x:v>0</x:v>
      </x:c>
      <x:c r="CW404" s="22" t="n">
        <x:f>MAX(0,MIN('Activities'!L404,582)-MAX('Activities'!K404,576))</x:f>
        <x:v>0</x:v>
      </x:c>
      <x:c r="CX404" s="22" t="n">
        <x:f>MAX(0,MIN('Activities'!L404,588)-MAX('Activities'!K404,582))</x:f>
        <x:v>0</x:v>
      </x:c>
      <x:c r="CY404" s="22" t="n">
        <x:f>MAX(0,MIN('Activities'!L404,594)-MAX('Activities'!K404,588))</x:f>
        <x:v>0</x:v>
      </x:c>
      <x:c r="CZ404" s="22" t="n">
        <x:f>MAX(0,MIN('Activities'!L404,600)-MAX('Activities'!K404,594))</x:f>
        <x:v>0</x:v>
      </x:c>
      <x:c r="DA404" s="22" t="n">
        <x:f>MAX(0,MIN('Activities'!L404,606)-MAX('Activities'!K404,600))</x:f>
        <x:v>0</x:v>
      </x:c>
      <x:c r="DB404" s="22" t="n">
        <x:f>MAX(0,MIN('Activities'!L404,612)-MAX('Activities'!K404,606))</x:f>
        <x:v>0</x:v>
      </x:c>
      <x:c r="DC404" s="22" t="n">
        <x:f>MAX(0,MIN('Activities'!L404,618)-MAX('Activities'!K404,612))</x:f>
        <x:v>0</x:v>
      </x:c>
      <x:c r="DD404" s="22" t="n">
        <x:f>MAX(0,MIN('Activities'!L404,624)-MAX('Activities'!K404,618))</x:f>
        <x:v>0</x:v>
      </x:c>
      <x:c r="DE404" s="22" t="n">
        <x:f>MAX(0,MIN('Activities'!L404,630)-MAX('Activities'!K404,624))</x:f>
        <x:v>0</x:v>
      </x:c>
      <x:c r="DF404" s="22" t="n">
        <x:f>MAX(0,MIN('Activities'!L404,636)-MAX('Activities'!K404,630))</x:f>
        <x:v>0</x:v>
      </x:c>
    </x:row>
    <x:row r="405" ht="23" customHeight="1">
      <x:c r="A405" s="1" t="str">
        <x:v>T3-L11-S</x:v>
      </x:c>
      <x:c r="B405" s="1" t="str">
        <x:v>T3</x:v>
      </x:c>
      <x:c r="C405" s="1" t="str">
        <x:v>Screed and substrate preparation</x:v>
      </x:c>
      <x:c r="D405" s="1" t="str">
        <x:v>Finishes</x:v>
      </x:c>
      <x:c r="E405" s="23" t="n">
        <x:f>MAX(0,MIN('Activities'!L405,6)-MAX('Activities'!K405,0))</x:f>
        <x:v>0</x:v>
      </x:c>
      <x:c r="F405" s="23" t="n">
        <x:f>MAX(0,MIN('Activities'!L405,12)-MAX('Activities'!K405,6))</x:f>
        <x:v>0</x:v>
      </x:c>
      <x:c r="G405" s="23" t="n">
        <x:f>MAX(0,MIN('Activities'!L405,18)-MAX('Activities'!K405,12))</x:f>
        <x:v>0</x:v>
      </x:c>
      <x:c r="H405" s="23" t="n">
        <x:f>MAX(0,MIN('Activities'!L405,24)-MAX('Activities'!K405,18))</x:f>
        <x:v>0</x:v>
      </x:c>
      <x:c r="I405" s="23" t="n">
        <x:f>MAX(0,MIN('Activities'!L405,30)-MAX('Activities'!K405,24))</x:f>
        <x:v>0</x:v>
      </x:c>
      <x:c r="J405" s="23" t="n">
        <x:f>MAX(0,MIN('Activities'!L405,36)-MAX('Activities'!K405,30))</x:f>
        <x:v>0</x:v>
      </x:c>
      <x:c r="K405" s="23" t="n">
        <x:f>MAX(0,MIN('Activities'!L405,42)-MAX('Activities'!K405,36))</x:f>
        <x:v>0</x:v>
      </x:c>
      <x:c r="L405" s="23" t="n">
        <x:f>MAX(0,MIN('Activities'!L405,48)-MAX('Activities'!K405,42))</x:f>
        <x:v>0</x:v>
      </x:c>
      <x:c r="M405" s="23" t="n">
        <x:f>MAX(0,MIN('Activities'!L405,54)-MAX('Activities'!K405,48))</x:f>
        <x:v>0</x:v>
      </x:c>
      <x:c r="N405" s="23" t="n">
        <x:f>MAX(0,MIN('Activities'!L405,60)-MAX('Activities'!K405,54))</x:f>
        <x:v>0</x:v>
      </x:c>
      <x:c r="O405" s="23" t="n">
        <x:f>MAX(0,MIN('Activities'!L405,66)-MAX('Activities'!K405,60))</x:f>
        <x:v>0</x:v>
      </x:c>
      <x:c r="P405" s="23" t="n">
        <x:f>MAX(0,MIN('Activities'!L405,72)-MAX('Activities'!K405,66))</x:f>
        <x:v>0</x:v>
      </x:c>
      <x:c r="Q405" s="23" t="n">
        <x:f>MAX(0,MIN('Activities'!L405,78)-MAX('Activities'!K405,72))</x:f>
        <x:v>0</x:v>
      </x:c>
      <x:c r="R405" s="23" t="n">
        <x:f>MAX(0,MIN('Activities'!L405,84)-MAX('Activities'!K405,78))</x:f>
        <x:v>0</x:v>
      </x:c>
      <x:c r="S405" s="23" t="n">
        <x:f>MAX(0,MIN('Activities'!L405,90)-MAX('Activities'!K405,84))</x:f>
        <x:v>0</x:v>
      </x:c>
      <x:c r="T405" s="23" t="n">
        <x:f>MAX(0,MIN('Activities'!L405,96)-MAX('Activities'!K405,90))</x:f>
        <x:v>0</x:v>
      </x:c>
      <x:c r="U405" s="23" t="n">
        <x:f>MAX(0,MIN('Activities'!L405,102)-MAX('Activities'!K405,96))</x:f>
        <x:v>0</x:v>
      </x:c>
      <x:c r="V405" s="23" t="n">
        <x:f>MAX(0,MIN('Activities'!L405,108)-MAX('Activities'!K405,102))</x:f>
        <x:v>0</x:v>
      </x:c>
      <x:c r="W405" s="23" t="n">
        <x:f>MAX(0,MIN('Activities'!L405,114)-MAX('Activities'!K405,108))</x:f>
        <x:v>0</x:v>
      </x:c>
      <x:c r="X405" s="23" t="n">
        <x:f>MAX(0,MIN('Activities'!L405,120)-MAX('Activities'!K405,114))</x:f>
        <x:v>0</x:v>
      </x:c>
      <x:c r="Y405" s="23" t="n">
        <x:f>MAX(0,MIN('Activities'!L405,126)-MAX('Activities'!K405,120))</x:f>
        <x:v>0</x:v>
      </x:c>
      <x:c r="Z405" s="23" t="n">
        <x:f>MAX(0,MIN('Activities'!L405,132)-MAX('Activities'!K405,126))</x:f>
        <x:v>0</x:v>
      </x:c>
      <x:c r="AA405" s="23" t="n">
        <x:f>MAX(0,MIN('Activities'!L405,138)-MAX('Activities'!K405,132))</x:f>
        <x:v>0</x:v>
      </x:c>
      <x:c r="AB405" s="23" t="n">
        <x:f>MAX(0,MIN('Activities'!L405,144)-MAX('Activities'!K405,138))</x:f>
        <x:v>0</x:v>
      </x:c>
      <x:c r="AC405" s="23" t="n">
        <x:f>MAX(0,MIN('Activities'!L405,150)-MAX('Activities'!K405,144))</x:f>
        <x:v>0</x:v>
      </x:c>
      <x:c r="AD405" s="23" t="n">
        <x:f>MAX(0,MIN('Activities'!L405,156)-MAX('Activities'!K405,150))</x:f>
        <x:v>0</x:v>
      </x:c>
      <x:c r="AE405" s="23" t="n">
        <x:f>MAX(0,MIN('Activities'!L405,162)-MAX('Activities'!K405,156))</x:f>
        <x:v>0</x:v>
      </x:c>
      <x:c r="AF405" s="23" t="n">
        <x:f>MAX(0,MIN('Activities'!L405,168)-MAX('Activities'!K405,162))</x:f>
        <x:v>0</x:v>
      </x:c>
      <x:c r="AG405" s="23" t="n">
        <x:f>MAX(0,MIN('Activities'!L405,174)-MAX('Activities'!K405,168))</x:f>
        <x:v>0</x:v>
      </x:c>
      <x:c r="AH405" s="23" t="n">
        <x:f>MAX(0,MIN('Activities'!L405,180)-MAX('Activities'!K405,174))</x:f>
        <x:v>0</x:v>
      </x:c>
      <x:c r="AI405" s="23" t="n">
        <x:f>MAX(0,MIN('Activities'!L405,186)-MAX('Activities'!K405,180))</x:f>
        <x:v>0</x:v>
      </x:c>
      <x:c r="AJ405" s="23" t="n">
        <x:f>MAX(0,MIN('Activities'!L405,192)-MAX('Activities'!K405,186))</x:f>
        <x:v>0</x:v>
      </x:c>
      <x:c r="AK405" s="23" t="n">
        <x:f>MAX(0,MIN('Activities'!L405,198)-MAX('Activities'!K405,192))</x:f>
        <x:v>0</x:v>
      </x:c>
      <x:c r="AL405" s="23" t="n">
        <x:f>MAX(0,MIN('Activities'!L405,204)-MAX('Activities'!K405,198))</x:f>
        <x:v>0</x:v>
      </x:c>
      <x:c r="AM405" s="23" t="n">
        <x:f>MAX(0,MIN('Activities'!L405,210)-MAX('Activities'!K405,204))</x:f>
        <x:v>0</x:v>
      </x:c>
      <x:c r="AN405" s="23" t="n">
        <x:f>MAX(0,MIN('Activities'!L405,216)-MAX('Activities'!K405,210))</x:f>
        <x:v>0</x:v>
      </x:c>
      <x:c r="AO405" s="23" t="n">
        <x:f>MAX(0,MIN('Activities'!L405,222)-MAX('Activities'!K405,216))</x:f>
        <x:v>0</x:v>
      </x:c>
      <x:c r="AP405" s="23" t="n">
        <x:f>MAX(0,MIN('Activities'!L405,228)-MAX('Activities'!K405,222))</x:f>
        <x:v>0</x:v>
      </x:c>
      <x:c r="AQ405" s="23" t="n">
        <x:f>MAX(0,MIN('Activities'!L405,234)-MAX('Activities'!K405,228))</x:f>
        <x:v>0</x:v>
      </x:c>
      <x:c r="AR405" s="23" t="n">
        <x:f>MAX(0,MIN('Activities'!L405,240)-MAX('Activities'!K405,234))</x:f>
        <x:v>0</x:v>
      </x:c>
      <x:c r="AS405" s="23" t="n">
        <x:f>MAX(0,MIN('Activities'!L405,246)-MAX('Activities'!K405,240))</x:f>
        <x:v>0</x:v>
      </x:c>
      <x:c r="AT405" s="23" t="n">
        <x:f>MAX(0,MIN('Activities'!L405,252)-MAX('Activities'!K405,246))</x:f>
        <x:v>0</x:v>
      </x:c>
      <x:c r="AU405" s="23" t="n">
        <x:f>MAX(0,MIN('Activities'!L405,258)-MAX('Activities'!K405,252))</x:f>
        <x:v>0</x:v>
      </x:c>
      <x:c r="AV405" s="23" t="n">
        <x:f>MAX(0,MIN('Activities'!L405,264)-MAX('Activities'!K405,258))</x:f>
        <x:v>0</x:v>
      </x:c>
      <x:c r="AW405" s="23" t="n">
        <x:f>MAX(0,MIN('Activities'!L405,270)-MAX('Activities'!K405,264))</x:f>
        <x:v>0</x:v>
      </x:c>
      <x:c r="AX405" s="23" t="n">
        <x:f>MAX(0,MIN('Activities'!L405,276)-MAX('Activities'!K405,270))</x:f>
        <x:v>0</x:v>
      </x:c>
      <x:c r="AY405" s="23" t="n">
        <x:f>MAX(0,MIN('Activities'!L405,282)-MAX('Activities'!K405,276))</x:f>
        <x:v>0</x:v>
      </x:c>
      <x:c r="AZ405" s="23" t="n">
        <x:f>MAX(0,MIN('Activities'!L405,288)-MAX('Activities'!K405,282))</x:f>
        <x:v>0</x:v>
      </x:c>
      <x:c r="BA405" s="23" t="n">
        <x:f>MAX(0,MIN('Activities'!L405,294)-MAX('Activities'!K405,288))</x:f>
        <x:v>0</x:v>
      </x:c>
      <x:c r="BB405" s="23" t="n">
        <x:f>MAX(0,MIN('Activities'!L405,300)-MAX('Activities'!K405,294))</x:f>
        <x:v>0</x:v>
      </x:c>
      <x:c r="BC405" s="23" t="n">
        <x:f>MAX(0,MIN('Activities'!L405,306)-MAX('Activities'!K405,300))</x:f>
        <x:v>0</x:v>
      </x:c>
      <x:c r="BD405" s="23" t="n">
        <x:f>MAX(0,MIN('Activities'!L405,312)-MAX('Activities'!K405,306))</x:f>
        <x:v>0</x:v>
      </x:c>
      <x:c r="BE405" s="23" t="n">
        <x:f>MAX(0,MIN('Activities'!L405,318)-MAX('Activities'!K405,312))</x:f>
        <x:v>0</x:v>
      </x:c>
      <x:c r="BF405" s="23" t="n">
        <x:f>MAX(0,MIN('Activities'!L405,324)-MAX('Activities'!K405,318))</x:f>
        <x:v>0</x:v>
      </x:c>
      <x:c r="BG405" s="23" t="n">
        <x:f>MAX(0,MIN('Activities'!L405,330)-MAX('Activities'!K405,324))</x:f>
        <x:v>0</x:v>
      </x:c>
      <x:c r="BH405" s="23" t="n">
        <x:f>MAX(0,MIN('Activities'!L405,336)-MAX('Activities'!K405,330))</x:f>
        <x:v>0</x:v>
      </x:c>
      <x:c r="BI405" s="23" t="n">
        <x:f>MAX(0,MIN('Activities'!L405,342)-MAX('Activities'!K405,336))</x:f>
        <x:v>0</x:v>
      </x:c>
      <x:c r="BJ405" s="23" t="n">
        <x:f>MAX(0,MIN('Activities'!L405,348)-MAX('Activities'!K405,342))</x:f>
        <x:v>0</x:v>
      </x:c>
      <x:c r="BK405" s="23" t="n">
        <x:f>MAX(0,MIN('Activities'!L405,354)-MAX('Activities'!K405,348))</x:f>
        <x:v>0</x:v>
      </x:c>
      <x:c r="BL405" s="23" t="n">
        <x:f>MAX(0,MIN('Activities'!L405,360)-MAX('Activities'!K405,354))</x:f>
        <x:v>0</x:v>
      </x:c>
      <x:c r="BM405" s="23" t="n">
        <x:f>MAX(0,MIN('Activities'!L405,366)-MAX('Activities'!K405,360))</x:f>
        <x:v>0</x:v>
      </x:c>
      <x:c r="BN405" s="23" t="n">
        <x:f>MAX(0,MIN('Activities'!L405,372)-MAX('Activities'!K405,366))</x:f>
        <x:v>0</x:v>
      </x:c>
      <x:c r="BO405" s="23" t="n">
        <x:f>MAX(0,MIN('Activities'!L405,378)-MAX('Activities'!K405,372))</x:f>
        <x:v>0</x:v>
      </x:c>
      <x:c r="BP405" s="23" t="n">
        <x:f>MAX(0,MIN('Activities'!L405,384)-MAX('Activities'!K405,378))</x:f>
        <x:v>0</x:v>
      </x:c>
      <x:c r="BQ405" s="23" t="n">
        <x:f>MAX(0,MIN('Activities'!L405,390)-MAX('Activities'!K405,384))</x:f>
        <x:v>0</x:v>
      </x:c>
      <x:c r="BR405" s="23" t="n">
        <x:f>MAX(0,MIN('Activities'!L405,396)-MAX('Activities'!K405,390))</x:f>
        <x:v>0</x:v>
      </x:c>
      <x:c r="BS405" s="23" t="n">
        <x:f>MAX(0,MIN('Activities'!L405,402)-MAX('Activities'!K405,396))</x:f>
        <x:v>0</x:v>
      </x:c>
      <x:c r="BT405" s="23" t="n">
        <x:f>MAX(0,MIN('Activities'!L405,408)-MAX('Activities'!K405,402))</x:f>
        <x:v>0</x:v>
      </x:c>
      <x:c r="BU405" s="23" t="n">
        <x:f>MAX(0,MIN('Activities'!L405,414)-MAX('Activities'!K405,408))</x:f>
        <x:v>1</x:v>
      </x:c>
      <x:c r="BV405" s="23" t="n">
        <x:f>MAX(0,MIN('Activities'!L405,420)-MAX('Activities'!K405,414))</x:f>
        <x:v>2</x:v>
      </x:c>
      <x:c r="BW405" s="23" t="n">
        <x:f>MAX(0,MIN('Activities'!L405,426)-MAX('Activities'!K405,420))</x:f>
        <x:v>0</x:v>
      </x:c>
      <x:c r="BX405" s="23" t="n">
        <x:f>MAX(0,MIN('Activities'!L405,432)-MAX('Activities'!K405,426))</x:f>
        <x:v>0</x:v>
      </x:c>
      <x:c r="BY405" s="23" t="n">
        <x:f>MAX(0,MIN('Activities'!L405,438)-MAX('Activities'!K405,432))</x:f>
        <x:v>0</x:v>
      </x:c>
      <x:c r="BZ405" s="23" t="n">
        <x:f>MAX(0,MIN('Activities'!L405,444)-MAX('Activities'!K405,438))</x:f>
        <x:v>0</x:v>
      </x:c>
      <x:c r="CA405" s="23" t="n">
        <x:f>MAX(0,MIN('Activities'!L405,450)-MAX('Activities'!K405,444))</x:f>
        <x:v>0</x:v>
      </x:c>
      <x:c r="CB405" s="23" t="n">
        <x:f>MAX(0,MIN('Activities'!L405,456)-MAX('Activities'!K405,450))</x:f>
        <x:v>0</x:v>
      </x:c>
      <x:c r="CC405" s="23" t="n">
        <x:f>MAX(0,MIN('Activities'!L405,462)-MAX('Activities'!K405,456))</x:f>
        <x:v>0</x:v>
      </x:c>
      <x:c r="CD405" s="23" t="n">
        <x:f>MAX(0,MIN('Activities'!L405,468)-MAX('Activities'!K405,462))</x:f>
        <x:v>0</x:v>
      </x:c>
      <x:c r="CE405" s="23" t="n">
        <x:f>MAX(0,MIN('Activities'!L405,474)-MAX('Activities'!K405,468))</x:f>
        <x:v>0</x:v>
      </x:c>
      <x:c r="CF405" s="23" t="n">
        <x:f>MAX(0,MIN('Activities'!L405,480)-MAX('Activities'!K405,474))</x:f>
        <x:v>0</x:v>
      </x:c>
      <x:c r="CG405" s="23" t="n">
        <x:f>MAX(0,MIN('Activities'!L405,486)-MAX('Activities'!K405,480))</x:f>
        <x:v>0</x:v>
      </x:c>
      <x:c r="CH405" s="23" t="n">
        <x:f>MAX(0,MIN('Activities'!L405,492)-MAX('Activities'!K405,486))</x:f>
        <x:v>0</x:v>
      </x:c>
      <x:c r="CI405" s="23" t="n">
        <x:f>MAX(0,MIN('Activities'!L405,498)-MAX('Activities'!K405,492))</x:f>
        <x:v>0</x:v>
      </x:c>
      <x:c r="CJ405" s="23" t="n">
        <x:f>MAX(0,MIN('Activities'!L405,504)-MAX('Activities'!K405,498))</x:f>
        <x:v>0</x:v>
      </x:c>
      <x:c r="CK405" s="23" t="n">
        <x:f>MAX(0,MIN('Activities'!L405,510)-MAX('Activities'!K405,504))</x:f>
        <x:v>0</x:v>
      </x:c>
      <x:c r="CL405" s="23" t="n">
        <x:f>MAX(0,MIN('Activities'!L405,516)-MAX('Activities'!K405,510))</x:f>
        <x:v>0</x:v>
      </x:c>
      <x:c r="CM405" s="23" t="n">
        <x:f>MAX(0,MIN('Activities'!L405,522)-MAX('Activities'!K405,516))</x:f>
        <x:v>0</x:v>
      </x:c>
      <x:c r="CN405" s="23" t="n">
        <x:f>MAX(0,MIN('Activities'!L405,528)-MAX('Activities'!K405,522))</x:f>
        <x:v>0</x:v>
      </x:c>
      <x:c r="CO405" s="23" t="n">
        <x:f>MAX(0,MIN('Activities'!L405,534)-MAX('Activities'!K405,528))</x:f>
        <x:v>0</x:v>
      </x:c>
      <x:c r="CP405" s="23" t="n">
        <x:f>MAX(0,MIN('Activities'!L405,540)-MAX('Activities'!K405,534))</x:f>
        <x:v>0</x:v>
      </x:c>
      <x:c r="CQ405" s="23" t="n">
        <x:f>MAX(0,MIN('Activities'!L405,546)-MAX('Activities'!K405,540))</x:f>
        <x:v>0</x:v>
      </x:c>
      <x:c r="CR405" s="23" t="n">
        <x:f>MAX(0,MIN('Activities'!L405,552)-MAX('Activities'!K405,546))</x:f>
        <x:v>0</x:v>
      </x:c>
      <x:c r="CS405" s="23" t="n">
        <x:f>MAX(0,MIN('Activities'!L405,558)-MAX('Activities'!K405,552))</x:f>
        <x:v>0</x:v>
      </x:c>
      <x:c r="CT405" s="23" t="n">
        <x:f>MAX(0,MIN('Activities'!L405,564)-MAX('Activities'!K405,558))</x:f>
        <x:v>0</x:v>
      </x:c>
      <x:c r="CU405" s="23" t="n">
        <x:f>MAX(0,MIN('Activities'!L405,570)-MAX('Activities'!K405,564))</x:f>
        <x:v>0</x:v>
      </x:c>
      <x:c r="CV405" s="23" t="n">
        <x:f>MAX(0,MIN('Activities'!L405,576)-MAX('Activities'!K405,570))</x:f>
        <x:v>0</x:v>
      </x:c>
      <x:c r="CW405" s="23" t="n">
        <x:f>MAX(0,MIN('Activities'!L405,582)-MAX('Activities'!K405,576))</x:f>
        <x:v>0</x:v>
      </x:c>
      <x:c r="CX405" s="23" t="n">
        <x:f>MAX(0,MIN('Activities'!L405,588)-MAX('Activities'!K405,582))</x:f>
        <x:v>0</x:v>
      </x:c>
      <x:c r="CY405" s="23" t="n">
        <x:f>MAX(0,MIN('Activities'!L405,594)-MAX('Activities'!K405,588))</x:f>
        <x:v>0</x:v>
      </x:c>
      <x:c r="CZ405" s="23" t="n">
        <x:f>MAX(0,MIN('Activities'!L405,600)-MAX('Activities'!K405,594))</x:f>
        <x:v>0</x:v>
      </x:c>
      <x:c r="DA405" s="23" t="n">
        <x:f>MAX(0,MIN('Activities'!L405,606)-MAX('Activities'!K405,600))</x:f>
        <x:v>0</x:v>
      </x:c>
      <x:c r="DB405" s="23" t="n">
        <x:f>MAX(0,MIN('Activities'!L405,612)-MAX('Activities'!K405,606))</x:f>
        <x:v>0</x:v>
      </x:c>
      <x:c r="DC405" s="23" t="n">
        <x:f>MAX(0,MIN('Activities'!L405,618)-MAX('Activities'!K405,612))</x:f>
        <x:v>0</x:v>
      </x:c>
      <x:c r="DD405" s="23" t="n">
        <x:f>MAX(0,MIN('Activities'!L405,624)-MAX('Activities'!K405,618))</x:f>
        <x:v>0</x:v>
      </x:c>
      <x:c r="DE405" s="23" t="n">
        <x:f>MAX(0,MIN('Activities'!L405,630)-MAX('Activities'!K405,624))</x:f>
        <x:v>0</x:v>
      </x:c>
      <x:c r="DF405" s="23" t="n">
        <x:f>MAX(0,MIN('Activities'!L405,636)-MAX('Activities'!K405,630))</x:f>
        <x:v>0</x:v>
      </x:c>
    </x:row>
    <x:row r="406" ht="23" customHeight="1">
      <x:c r="A406" s="6" t="str">
        <x:v>T3-L11-T</x:v>
      </x:c>
      <x:c r="B406" s="6" t="str">
        <x:v>T3</x:v>
      </x:c>
      <x:c r="C406" s="6" t="str">
        <x:v>Floor finishes and skirtings</x:v>
      </x:c>
      <x:c r="D406" s="6" t="str">
        <x:v>Finishes</x:v>
      </x:c>
      <x:c r="E406" s="22" t="n">
        <x:f>MAX(0,MIN('Activities'!L406,6)-MAX('Activities'!K406,0))</x:f>
        <x:v>0</x:v>
      </x:c>
      <x:c r="F406" s="22" t="n">
        <x:f>MAX(0,MIN('Activities'!L406,12)-MAX('Activities'!K406,6))</x:f>
        <x:v>0</x:v>
      </x:c>
      <x:c r="G406" s="22" t="n">
        <x:f>MAX(0,MIN('Activities'!L406,18)-MAX('Activities'!K406,12))</x:f>
        <x:v>0</x:v>
      </x:c>
      <x:c r="H406" s="22" t="n">
        <x:f>MAX(0,MIN('Activities'!L406,24)-MAX('Activities'!K406,18))</x:f>
        <x:v>0</x:v>
      </x:c>
      <x:c r="I406" s="22" t="n">
        <x:f>MAX(0,MIN('Activities'!L406,30)-MAX('Activities'!K406,24))</x:f>
        <x:v>0</x:v>
      </x:c>
      <x:c r="J406" s="22" t="n">
        <x:f>MAX(0,MIN('Activities'!L406,36)-MAX('Activities'!K406,30))</x:f>
        <x:v>0</x:v>
      </x:c>
      <x:c r="K406" s="22" t="n">
        <x:f>MAX(0,MIN('Activities'!L406,42)-MAX('Activities'!K406,36))</x:f>
        <x:v>0</x:v>
      </x:c>
      <x:c r="L406" s="22" t="n">
        <x:f>MAX(0,MIN('Activities'!L406,48)-MAX('Activities'!K406,42))</x:f>
        <x:v>0</x:v>
      </x:c>
      <x:c r="M406" s="22" t="n">
        <x:f>MAX(0,MIN('Activities'!L406,54)-MAX('Activities'!K406,48))</x:f>
        <x:v>0</x:v>
      </x:c>
      <x:c r="N406" s="22" t="n">
        <x:f>MAX(0,MIN('Activities'!L406,60)-MAX('Activities'!K406,54))</x:f>
        <x:v>0</x:v>
      </x:c>
      <x:c r="O406" s="22" t="n">
        <x:f>MAX(0,MIN('Activities'!L406,66)-MAX('Activities'!K406,60))</x:f>
        <x:v>0</x:v>
      </x:c>
      <x:c r="P406" s="22" t="n">
        <x:f>MAX(0,MIN('Activities'!L406,72)-MAX('Activities'!K406,66))</x:f>
        <x:v>0</x:v>
      </x:c>
      <x:c r="Q406" s="22" t="n">
        <x:f>MAX(0,MIN('Activities'!L406,78)-MAX('Activities'!K406,72))</x:f>
        <x:v>0</x:v>
      </x:c>
      <x:c r="R406" s="22" t="n">
        <x:f>MAX(0,MIN('Activities'!L406,84)-MAX('Activities'!K406,78))</x:f>
        <x:v>0</x:v>
      </x:c>
      <x:c r="S406" s="22" t="n">
        <x:f>MAX(0,MIN('Activities'!L406,90)-MAX('Activities'!K406,84))</x:f>
        <x:v>0</x:v>
      </x:c>
      <x:c r="T406" s="22" t="n">
        <x:f>MAX(0,MIN('Activities'!L406,96)-MAX('Activities'!K406,90))</x:f>
        <x:v>0</x:v>
      </x:c>
      <x:c r="U406" s="22" t="n">
        <x:f>MAX(0,MIN('Activities'!L406,102)-MAX('Activities'!K406,96))</x:f>
        <x:v>0</x:v>
      </x:c>
      <x:c r="V406" s="22" t="n">
        <x:f>MAX(0,MIN('Activities'!L406,108)-MAX('Activities'!K406,102))</x:f>
        <x:v>0</x:v>
      </x:c>
      <x:c r="W406" s="22" t="n">
        <x:f>MAX(0,MIN('Activities'!L406,114)-MAX('Activities'!K406,108))</x:f>
        <x:v>0</x:v>
      </x:c>
      <x:c r="X406" s="22" t="n">
        <x:f>MAX(0,MIN('Activities'!L406,120)-MAX('Activities'!K406,114))</x:f>
        <x:v>0</x:v>
      </x:c>
      <x:c r="Y406" s="22" t="n">
        <x:f>MAX(0,MIN('Activities'!L406,126)-MAX('Activities'!K406,120))</x:f>
        <x:v>0</x:v>
      </x:c>
      <x:c r="Z406" s="22" t="n">
        <x:f>MAX(0,MIN('Activities'!L406,132)-MAX('Activities'!K406,126))</x:f>
        <x:v>0</x:v>
      </x:c>
      <x:c r="AA406" s="22" t="n">
        <x:f>MAX(0,MIN('Activities'!L406,138)-MAX('Activities'!K406,132))</x:f>
        <x:v>0</x:v>
      </x:c>
      <x:c r="AB406" s="22" t="n">
        <x:f>MAX(0,MIN('Activities'!L406,144)-MAX('Activities'!K406,138))</x:f>
        <x:v>0</x:v>
      </x:c>
      <x:c r="AC406" s="22" t="n">
        <x:f>MAX(0,MIN('Activities'!L406,150)-MAX('Activities'!K406,144))</x:f>
        <x:v>0</x:v>
      </x:c>
      <x:c r="AD406" s="22" t="n">
        <x:f>MAX(0,MIN('Activities'!L406,156)-MAX('Activities'!K406,150))</x:f>
        <x:v>0</x:v>
      </x:c>
      <x:c r="AE406" s="22" t="n">
        <x:f>MAX(0,MIN('Activities'!L406,162)-MAX('Activities'!K406,156))</x:f>
        <x:v>0</x:v>
      </x:c>
      <x:c r="AF406" s="22" t="n">
        <x:f>MAX(0,MIN('Activities'!L406,168)-MAX('Activities'!K406,162))</x:f>
        <x:v>0</x:v>
      </x:c>
      <x:c r="AG406" s="22" t="n">
        <x:f>MAX(0,MIN('Activities'!L406,174)-MAX('Activities'!K406,168))</x:f>
        <x:v>0</x:v>
      </x:c>
      <x:c r="AH406" s="22" t="n">
        <x:f>MAX(0,MIN('Activities'!L406,180)-MAX('Activities'!K406,174))</x:f>
        <x:v>0</x:v>
      </x:c>
      <x:c r="AI406" s="22" t="n">
        <x:f>MAX(0,MIN('Activities'!L406,186)-MAX('Activities'!K406,180))</x:f>
        <x:v>0</x:v>
      </x:c>
      <x:c r="AJ406" s="22" t="n">
        <x:f>MAX(0,MIN('Activities'!L406,192)-MAX('Activities'!K406,186))</x:f>
        <x:v>0</x:v>
      </x:c>
      <x:c r="AK406" s="22" t="n">
        <x:f>MAX(0,MIN('Activities'!L406,198)-MAX('Activities'!K406,192))</x:f>
        <x:v>0</x:v>
      </x:c>
      <x:c r="AL406" s="22" t="n">
        <x:f>MAX(0,MIN('Activities'!L406,204)-MAX('Activities'!K406,198))</x:f>
        <x:v>0</x:v>
      </x:c>
      <x:c r="AM406" s="22" t="n">
        <x:f>MAX(0,MIN('Activities'!L406,210)-MAX('Activities'!K406,204))</x:f>
        <x:v>0</x:v>
      </x:c>
      <x:c r="AN406" s="22" t="n">
        <x:f>MAX(0,MIN('Activities'!L406,216)-MAX('Activities'!K406,210))</x:f>
        <x:v>0</x:v>
      </x:c>
      <x:c r="AO406" s="22" t="n">
        <x:f>MAX(0,MIN('Activities'!L406,222)-MAX('Activities'!K406,216))</x:f>
        <x:v>0</x:v>
      </x:c>
      <x:c r="AP406" s="22" t="n">
        <x:f>MAX(0,MIN('Activities'!L406,228)-MAX('Activities'!K406,222))</x:f>
        <x:v>0</x:v>
      </x:c>
      <x:c r="AQ406" s="22" t="n">
        <x:f>MAX(0,MIN('Activities'!L406,234)-MAX('Activities'!K406,228))</x:f>
        <x:v>0</x:v>
      </x:c>
      <x:c r="AR406" s="22" t="n">
        <x:f>MAX(0,MIN('Activities'!L406,240)-MAX('Activities'!K406,234))</x:f>
        <x:v>0</x:v>
      </x:c>
      <x:c r="AS406" s="22" t="n">
        <x:f>MAX(0,MIN('Activities'!L406,246)-MAX('Activities'!K406,240))</x:f>
        <x:v>0</x:v>
      </x:c>
      <x:c r="AT406" s="22" t="n">
        <x:f>MAX(0,MIN('Activities'!L406,252)-MAX('Activities'!K406,246))</x:f>
        <x:v>0</x:v>
      </x:c>
      <x:c r="AU406" s="22" t="n">
        <x:f>MAX(0,MIN('Activities'!L406,258)-MAX('Activities'!K406,252))</x:f>
        <x:v>0</x:v>
      </x:c>
      <x:c r="AV406" s="22" t="n">
        <x:f>MAX(0,MIN('Activities'!L406,264)-MAX('Activities'!K406,258))</x:f>
        <x:v>0</x:v>
      </x:c>
      <x:c r="AW406" s="22" t="n">
        <x:f>MAX(0,MIN('Activities'!L406,270)-MAX('Activities'!K406,264))</x:f>
        <x:v>0</x:v>
      </x:c>
      <x:c r="AX406" s="22" t="n">
        <x:f>MAX(0,MIN('Activities'!L406,276)-MAX('Activities'!K406,270))</x:f>
        <x:v>0</x:v>
      </x:c>
      <x:c r="AY406" s="22" t="n">
        <x:f>MAX(0,MIN('Activities'!L406,282)-MAX('Activities'!K406,276))</x:f>
        <x:v>0</x:v>
      </x:c>
      <x:c r="AZ406" s="22" t="n">
        <x:f>MAX(0,MIN('Activities'!L406,288)-MAX('Activities'!K406,282))</x:f>
        <x:v>0</x:v>
      </x:c>
      <x:c r="BA406" s="22" t="n">
        <x:f>MAX(0,MIN('Activities'!L406,294)-MAX('Activities'!K406,288))</x:f>
        <x:v>0</x:v>
      </x:c>
      <x:c r="BB406" s="22" t="n">
        <x:f>MAX(0,MIN('Activities'!L406,300)-MAX('Activities'!K406,294))</x:f>
        <x:v>0</x:v>
      </x:c>
      <x:c r="BC406" s="22" t="n">
        <x:f>MAX(0,MIN('Activities'!L406,306)-MAX('Activities'!K406,300))</x:f>
        <x:v>0</x:v>
      </x:c>
      <x:c r="BD406" s="22" t="n">
        <x:f>MAX(0,MIN('Activities'!L406,312)-MAX('Activities'!K406,306))</x:f>
        <x:v>0</x:v>
      </x:c>
      <x:c r="BE406" s="22" t="n">
        <x:f>MAX(0,MIN('Activities'!L406,318)-MAX('Activities'!K406,312))</x:f>
        <x:v>0</x:v>
      </x:c>
      <x:c r="BF406" s="22" t="n">
        <x:f>MAX(0,MIN('Activities'!L406,324)-MAX('Activities'!K406,318))</x:f>
        <x:v>0</x:v>
      </x:c>
      <x:c r="BG406" s="22" t="n">
        <x:f>MAX(0,MIN('Activities'!L406,330)-MAX('Activities'!K406,324))</x:f>
        <x:v>0</x:v>
      </x:c>
      <x:c r="BH406" s="22" t="n">
        <x:f>MAX(0,MIN('Activities'!L406,336)-MAX('Activities'!K406,330))</x:f>
        <x:v>0</x:v>
      </x:c>
      <x:c r="BI406" s="22" t="n">
        <x:f>MAX(0,MIN('Activities'!L406,342)-MAX('Activities'!K406,336))</x:f>
        <x:v>0</x:v>
      </x:c>
      <x:c r="BJ406" s="22" t="n">
        <x:f>MAX(0,MIN('Activities'!L406,348)-MAX('Activities'!K406,342))</x:f>
        <x:v>0</x:v>
      </x:c>
      <x:c r="BK406" s="22" t="n">
        <x:f>MAX(0,MIN('Activities'!L406,354)-MAX('Activities'!K406,348))</x:f>
        <x:v>0</x:v>
      </x:c>
      <x:c r="BL406" s="22" t="n">
        <x:f>MAX(0,MIN('Activities'!L406,360)-MAX('Activities'!K406,354))</x:f>
        <x:v>0</x:v>
      </x:c>
      <x:c r="BM406" s="22" t="n">
        <x:f>MAX(0,MIN('Activities'!L406,366)-MAX('Activities'!K406,360))</x:f>
        <x:v>0</x:v>
      </x:c>
      <x:c r="BN406" s="22" t="n">
        <x:f>MAX(0,MIN('Activities'!L406,372)-MAX('Activities'!K406,366))</x:f>
        <x:v>0</x:v>
      </x:c>
      <x:c r="BO406" s="22" t="n">
        <x:f>MAX(0,MIN('Activities'!L406,378)-MAX('Activities'!K406,372))</x:f>
        <x:v>0</x:v>
      </x:c>
      <x:c r="BP406" s="22" t="n">
        <x:f>MAX(0,MIN('Activities'!L406,384)-MAX('Activities'!K406,378))</x:f>
        <x:v>0</x:v>
      </x:c>
      <x:c r="BQ406" s="22" t="n">
        <x:f>MAX(0,MIN('Activities'!L406,390)-MAX('Activities'!K406,384))</x:f>
        <x:v>0</x:v>
      </x:c>
      <x:c r="BR406" s="22" t="n">
        <x:f>MAX(0,MIN('Activities'!L406,396)-MAX('Activities'!K406,390))</x:f>
        <x:v>0</x:v>
      </x:c>
      <x:c r="BS406" s="22" t="n">
        <x:f>MAX(0,MIN('Activities'!L406,402)-MAX('Activities'!K406,396))</x:f>
        <x:v>0</x:v>
      </x:c>
      <x:c r="BT406" s="22" t="n">
        <x:f>MAX(0,MIN('Activities'!L406,408)-MAX('Activities'!K406,402))</x:f>
        <x:v>0</x:v>
      </x:c>
      <x:c r="BU406" s="22" t="n">
        <x:f>MAX(0,MIN('Activities'!L406,414)-MAX('Activities'!K406,408))</x:f>
        <x:v>0</x:v>
      </x:c>
      <x:c r="BV406" s="22" t="n">
        <x:f>MAX(0,MIN('Activities'!L406,420)-MAX('Activities'!K406,414))</x:f>
        <x:v>0</x:v>
      </x:c>
      <x:c r="BW406" s="22" t="n">
        <x:f>MAX(0,MIN('Activities'!L406,426)-MAX('Activities'!K406,420))</x:f>
        <x:v>0</x:v>
      </x:c>
      <x:c r="BX406" s="22" t="n">
        <x:f>MAX(0,MIN('Activities'!L406,432)-MAX('Activities'!K406,426))</x:f>
        <x:v>2</x:v>
      </x:c>
      <x:c r="BY406" s="22" t="n">
        <x:f>MAX(0,MIN('Activities'!L406,438)-MAX('Activities'!K406,432))</x:f>
        <x:v>4</x:v>
      </x:c>
      <x:c r="BZ406" s="22" t="n">
        <x:f>MAX(0,MIN('Activities'!L406,444)-MAX('Activities'!K406,438))</x:f>
        <x:v>0</x:v>
      </x:c>
      <x:c r="CA406" s="22" t="n">
        <x:f>MAX(0,MIN('Activities'!L406,450)-MAX('Activities'!K406,444))</x:f>
        <x:v>0</x:v>
      </x:c>
      <x:c r="CB406" s="22" t="n">
        <x:f>MAX(0,MIN('Activities'!L406,456)-MAX('Activities'!K406,450))</x:f>
        <x:v>0</x:v>
      </x:c>
      <x:c r="CC406" s="22" t="n">
        <x:f>MAX(0,MIN('Activities'!L406,462)-MAX('Activities'!K406,456))</x:f>
        <x:v>0</x:v>
      </x:c>
      <x:c r="CD406" s="22" t="n">
        <x:f>MAX(0,MIN('Activities'!L406,468)-MAX('Activities'!K406,462))</x:f>
        <x:v>0</x:v>
      </x:c>
      <x:c r="CE406" s="22" t="n">
        <x:f>MAX(0,MIN('Activities'!L406,474)-MAX('Activities'!K406,468))</x:f>
        <x:v>0</x:v>
      </x:c>
      <x:c r="CF406" s="22" t="n">
        <x:f>MAX(0,MIN('Activities'!L406,480)-MAX('Activities'!K406,474))</x:f>
        <x:v>0</x:v>
      </x:c>
      <x:c r="CG406" s="22" t="n">
        <x:f>MAX(0,MIN('Activities'!L406,486)-MAX('Activities'!K406,480))</x:f>
        <x:v>0</x:v>
      </x:c>
      <x:c r="CH406" s="22" t="n">
        <x:f>MAX(0,MIN('Activities'!L406,492)-MAX('Activities'!K406,486))</x:f>
        <x:v>0</x:v>
      </x:c>
      <x:c r="CI406" s="22" t="n">
        <x:f>MAX(0,MIN('Activities'!L406,498)-MAX('Activities'!K406,492))</x:f>
        <x:v>0</x:v>
      </x:c>
      <x:c r="CJ406" s="22" t="n">
        <x:f>MAX(0,MIN('Activities'!L406,504)-MAX('Activities'!K406,498))</x:f>
        <x:v>0</x:v>
      </x:c>
      <x:c r="CK406" s="22" t="n">
        <x:f>MAX(0,MIN('Activities'!L406,510)-MAX('Activities'!K406,504))</x:f>
        <x:v>0</x:v>
      </x:c>
      <x:c r="CL406" s="22" t="n">
        <x:f>MAX(0,MIN('Activities'!L406,516)-MAX('Activities'!K406,510))</x:f>
        <x:v>0</x:v>
      </x:c>
      <x:c r="CM406" s="22" t="n">
        <x:f>MAX(0,MIN('Activities'!L406,522)-MAX('Activities'!K406,516))</x:f>
        <x:v>0</x:v>
      </x:c>
      <x:c r="CN406" s="22" t="n">
        <x:f>MAX(0,MIN('Activities'!L406,528)-MAX('Activities'!K406,522))</x:f>
        <x:v>0</x:v>
      </x:c>
      <x:c r="CO406" s="22" t="n">
        <x:f>MAX(0,MIN('Activities'!L406,534)-MAX('Activities'!K406,528))</x:f>
        <x:v>0</x:v>
      </x:c>
      <x:c r="CP406" s="22" t="n">
        <x:f>MAX(0,MIN('Activities'!L406,540)-MAX('Activities'!K406,534))</x:f>
        <x:v>0</x:v>
      </x:c>
      <x:c r="CQ406" s="22" t="n">
        <x:f>MAX(0,MIN('Activities'!L406,546)-MAX('Activities'!K406,540))</x:f>
        <x:v>0</x:v>
      </x:c>
      <x:c r="CR406" s="22" t="n">
        <x:f>MAX(0,MIN('Activities'!L406,552)-MAX('Activities'!K406,546))</x:f>
        <x:v>0</x:v>
      </x:c>
      <x:c r="CS406" s="22" t="n">
        <x:f>MAX(0,MIN('Activities'!L406,558)-MAX('Activities'!K406,552))</x:f>
        <x:v>0</x:v>
      </x:c>
      <x:c r="CT406" s="22" t="n">
        <x:f>MAX(0,MIN('Activities'!L406,564)-MAX('Activities'!K406,558))</x:f>
        <x:v>0</x:v>
      </x:c>
      <x:c r="CU406" s="22" t="n">
        <x:f>MAX(0,MIN('Activities'!L406,570)-MAX('Activities'!K406,564))</x:f>
        <x:v>0</x:v>
      </x:c>
      <x:c r="CV406" s="22" t="n">
        <x:f>MAX(0,MIN('Activities'!L406,576)-MAX('Activities'!K406,570))</x:f>
        <x:v>0</x:v>
      </x:c>
      <x:c r="CW406" s="22" t="n">
        <x:f>MAX(0,MIN('Activities'!L406,582)-MAX('Activities'!K406,576))</x:f>
        <x:v>0</x:v>
      </x:c>
      <x:c r="CX406" s="22" t="n">
        <x:f>MAX(0,MIN('Activities'!L406,588)-MAX('Activities'!K406,582))</x:f>
        <x:v>0</x:v>
      </x:c>
      <x:c r="CY406" s="22" t="n">
        <x:f>MAX(0,MIN('Activities'!L406,594)-MAX('Activities'!K406,588))</x:f>
        <x:v>0</x:v>
      </x:c>
      <x:c r="CZ406" s="22" t="n">
        <x:f>MAX(0,MIN('Activities'!L406,600)-MAX('Activities'!K406,594))</x:f>
        <x:v>0</x:v>
      </x:c>
      <x:c r="DA406" s="22" t="n">
        <x:f>MAX(0,MIN('Activities'!L406,606)-MAX('Activities'!K406,600))</x:f>
        <x:v>0</x:v>
      </x:c>
      <x:c r="DB406" s="22" t="n">
        <x:f>MAX(0,MIN('Activities'!L406,612)-MAX('Activities'!K406,606))</x:f>
        <x:v>0</x:v>
      </x:c>
      <x:c r="DC406" s="22" t="n">
        <x:f>MAX(0,MIN('Activities'!L406,618)-MAX('Activities'!K406,612))</x:f>
        <x:v>0</x:v>
      </x:c>
      <x:c r="DD406" s="22" t="n">
        <x:f>MAX(0,MIN('Activities'!L406,624)-MAX('Activities'!K406,618))</x:f>
        <x:v>0</x:v>
      </x:c>
      <x:c r="DE406" s="22" t="n">
        <x:f>MAX(0,MIN('Activities'!L406,630)-MAX('Activities'!K406,624))</x:f>
        <x:v>0</x:v>
      </x:c>
      <x:c r="DF406" s="22" t="n">
        <x:f>MAX(0,MIN('Activities'!L406,636)-MAX('Activities'!K406,630))</x:f>
        <x:v>0</x:v>
      </x:c>
    </x:row>
    <x:row r="407" ht="23" customHeight="1">
      <x:c r="A407" s="1" t="str">
        <x:v>T3-L11-A</x:v>
      </x:c>
      <x:c r="B407" s="1" t="str">
        <x:v>T3</x:v>
      </x:c>
      <x:c r="C407" s="1" t="str">
        <x:v>Paint and final decorations</x:v>
      </x:c>
      <x:c r="D407" s="1" t="str">
        <x:v>Finishes</x:v>
      </x:c>
      <x:c r="E407" s="23" t="n">
        <x:f>MAX(0,MIN('Activities'!L407,6)-MAX('Activities'!K407,0))</x:f>
        <x:v>0</x:v>
      </x:c>
      <x:c r="F407" s="23" t="n">
        <x:f>MAX(0,MIN('Activities'!L407,12)-MAX('Activities'!K407,6))</x:f>
        <x:v>0</x:v>
      </x:c>
      <x:c r="G407" s="23" t="n">
        <x:f>MAX(0,MIN('Activities'!L407,18)-MAX('Activities'!K407,12))</x:f>
        <x:v>0</x:v>
      </x:c>
      <x:c r="H407" s="23" t="n">
        <x:f>MAX(0,MIN('Activities'!L407,24)-MAX('Activities'!K407,18))</x:f>
        <x:v>0</x:v>
      </x:c>
      <x:c r="I407" s="23" t="n">
        <x:f>MAX(0,MIN('Activities'!L407,30)-MAX('Activities'!K407,24))</x:f>
        <x:v>0</x:v>
      </x:c>
      <x:c r="J407" s="23" t="n">
        <x:f>MAX(0,MIN('Activities'!L407,36)-MAX('Activities'!K407,30))</x:f>
        <x:v>0</x:v>
      </x:c>
      <x:c r="K407" s="23" t="n">
        <x:f>MAX(0,MIN('Activities'!L407,42)-MAX('Activities'!K407,36))</x:f>
        <x:v>0</x:v>
      </x:c>
      <x:c r="L407" s="23" t="n">
        <x:f>MAX(0,MIN('Activities'!L407,48)-MAX('Activities'!K407,42))</x:f>
        <x:v>0</x:v>
      </x:c>
      <x:c r="M407" s="23" t="n">
        <x:f>MAX(0,MIN('Activities'!L407,54)-MAX('Activities'!K407,48))</x:f>
        <x:v>0</x:v>
      </x:c>
      <x:c r="N407" s="23" t="n">
        <x:f>MAX(0,MIN('Activities'!L407,60)-MAX('Activities'!K407,54))</x:f>
        <x:v>0</x:v>
      </x:c>
      <x:c r="O407" s="23" t="n">
        <x:f>MAX(0,MIN('Activities'!L407,66)-MAX('Activities'!K407,60))</x:f>
        <x:v>0</x:v>
      </x:c>
      <x:c r="P407" s="23" t="n">
        <x:f>MAX(0,MIN('Activities'!L407,72)-MAX('Activities'!K407,66))</x:f>
        <x:v>0</x:v>
      </x:c>
      <x:c r="Q407" s="23" t="n">
        <x:f>MAX(0,MIN('Activities'!L407,78)-MAX('Activities'!K407,72))</x:f>
        <x:v>0</x:v>
      </x:c>
      <x:c r="R407" s="23" t="n">
        <x:f>MAX(0,MIN('Activities'!L407,84)-MAX('Activities'!K407,78))</x:f>
        <x:v>0</x:v>
      </x:c>
      <x:c r="S407" s="23" t="n">
        <x:f>MAX(0,MIN('Activities'!L407,90)-MAX('Activities'!K407,84))</x:f>
        <x:v>0</x:v>
      </x:c>
      <x:c r="T407" s="23" t="n">
        <x:f>MAX(0,MIN('Activities'!L407,96)-MAX('Activities'!K407,90))</x:f>
        <x:v>0</x:v>
      </x:c>
      <x:c r="U407" s="23" t="n">
        <x:f>MAX(0,MIN('Activities'!L407,102)-MAX('Activities'!K407,96))</x:f>
        <x:v>0</x:v>
      </x:c>
      <x:c r="V407" s="23" t="n">
        <x:f>MAX(0,MIN('Activities'!L407,108)-MAX('Activities'!K407,102))</x:f>
        <x:v>0</x:v>
      </x:c>
      <x:c r="W407" s="23" t="n">
        <x:f>MAX(0,MIN('Activities'!L407,114)-MAX('Activities'!K407,108))</x:f>
        <x:v>0</x:v>
      </x:c>
      <x:c r="X407" s="23" t="n">
        <x:f>MAX(0,MIN('Activities'!L407,120)-MAX('Activities'!K407,114))</x:f>
        <x:v>0</x:v>
      </x:c>
      <x:c r="Y407" s="23" t="n">
        <x:f>MAX(0,MIN('Activities'!L407,126)-MAX('Activities'!K407,120))</x:f>
        <x:v>0</x:v>
      </x:c>
      <x:c r="Z407" s="23" t="n">
        <x:f>MAX(0,MIN('Activities'!L407,132)-MAX('Activities'!K407,126))</x:f>
        <x:v>0</x:v>
      </x:c>
      <x:c r="AA407" s="23" t="n">
        <x:f>MAX(0,MIN('Activities'!L407,138)-MAX('Activities'!K407,132))</x:f>
        <x:v>0</x:v>
      </x:c>
      <x:c r="AB407" s="23" t="n">
        <x:f>MAX(0,MIN('Activities'!L407,144)-MAX('Activities'!K407,138))</x:f>
        <x:v>0</x:v>
      </x:c>
      <x:c r="AC407" s="23" t="n">
        <x:f>MAX(0,MIN('Activities'!L407,150)-MAX('Activities'!K407,144))</x:f>
        <x:v>0</x:v>
      </x:c>
      <x:c r="AD407" s="23" t="n">
        <x:f>MAX(0,MIN('Activities'!L407,156)-MAX('Activities'!K407,150))</x:f>
        <x:v>0</x:v>
      </x:c>
      <x:c r="AE407" s="23" t="n">
        <x:f>MAX(0,MIN('Activities'!L407,162)-MAX('Activities'!K407,156))</x:f>
        <x:v>0</x:v>
      </x:c>
      <x:c r="AF407" s="23" t="n">
        <x:f>MAX(0,MIN('Activities'!L407,168)-MAX('Activities'!K407,162))</x:f>
        <x:v>0</x:v>
      </x:c>
      <x:c r="AG407" s="23" t="n">
        <x:f>MAX(0,MIN('Activities'!L407,174)-MAX('Activities'!K407,168))</x:f>
        <x:v>0</x:v>
      </x:c>
      <x:c r="AH407" s="23" t="n">
        <x:f>MAX(0,MIN('Activities'!L407,180)-MAX('Activities'!K407,174))</x:f>
        <x:v>0</x:v>
      </x:c>
      <x:c r="AI407" s="23" t="n">
        <x:f>MAX(0,MIN('Activities'!L407,186)-MAX('Activities'!K407,180))</x:f>
        <x:v>0</x:v>
      </x:c>
      <x:c r="AJ407" s="23" t="n">
        <x:f>MAX(0,MIN('Activities'!L407,192)-MAX('Activities'!K407,186))</x:f>
        <x:v>0</x:v>
      </x:c>
      <x:c r="AK407" s="23" t="n">
        <x:f>MAX(0,MIN('Activities'!L407,198)-MAX('Activities'!K407,192))</x:f>
        <x:v>0</x:v>
      </x:c>
      <x:c r="AL407" s="23" t="n">
        <x:f>MAX(0,MIN('Activities'!L407,204)-MAX('Activities'!K407,198))</x:f>
        <x:v>0</x:v>
      </x:c>
      <x:c r="AM407" s="23" t="n">
        <x:f>MAX(0,MIN('Activities'!L407,210)-MAX('Activities'!K407,204))</x:f>
        <x:v>0</x:v>
      </x:c>
      <x:c r="AN407" s="23" t="n">
        <x:f>MAX(0,MIN('Activities'!L407,216)-MAX('Activities'!K407,210))</x:f>
        <x:v>0</x:v>
      </x:c>
      <x:c r="AO407" s="23" t="n">
        <x:f>MAX(0,MIN('Activities'!L407,222)-MAX('Activities'!K407,216))</x:f>
        <x:v>0</x:v>
      </x:c>
      <x:c r="AP407" s="23" t="n">
        <x:f>MAX(0,MIN('Activities'!L407,228)-MAX('Activities'!K407,222))</x:f>
        <x:v>0</x:v>
      </x:c>
      <x:c r="AQ407" s="23" t="n">
        <x:f>MAX(0,MIN('Activities'!L407,234)-MAX('Activities'!K407,228))</x:f>
        <x:v>0</x:v>
      </x:c>
      <x:c r="AR407" s="23" t="n">
        <x:f>MAX(0,MIN('Activities'!L407,240)-MAX('Activities'!K407,234))</x:f>
        <x:v>0</x:v>
      </x:c>
      <x:c r="AS407" s="23" t="n">
        <x:f>MAX(0,MIN('Activities'!L407,246)-MAX('Activities'!K407,240))</x:f>
        <x:v>0</x:v>
      </x:c>
      <x:c r="AT407" s="23" t="n">
        <x:f>MAX(0,MIN('Activities'!L407,252)-MAX('Activities'!K407,246))</x:f>
        <x:v>0</x:v>
      </x:c>
      <x:c r="AU407" s="23" t="n">
        <x:f>MAX(0,MIN('Activities'!L407,258)-MAX('Activities'!K407,252))</x:f>
        <x:v>0</x:v>
      </x:c>
      <x:c r="AV407" s="23" t="n">
        <x:f>MAX(0,MIN('Activities'!L407,264)-MAX('Activities'!K407,258))</x:f>
        <x:v>0</x:v>
      </x:c>
      <x:c r="AW407" s="23" t="n">
        <x:f>MAX(0,MIN('Activities'!L407,270)-MAX('Activities'!K407,264))</x:f>
        <x:v>0</x:v>
      </x:c>
      <x:c r="AX407" s="23" t="n">
        <x:f>MAX(0,MIN('Activities'!L407,276)-MAX('Activities'!K407,270))</x:f>
        <x:v>0</x:v>
      </x:c>
      <x:c r="AY407" s="23" t="n">
        <x:f>MAX(0,MIN('Activities'!L407,282)-MAX('Activities'!K407,276))</x:f>
        <x:v>0</x:v>
      </x:c>
      <x:c r="AZ407" s="23" t="n">
        <x:f>MAX(0,MIN('Activities'!L407,288)-MAX('Activities'!K407,282))</x:f>
        <x:v>0</x:v>
      </x:c>
      <x:c r="BA407" s="23" t="n">
        <x:f>MAX(0,MIN('Activities'!L407,294)-MAX('Activities'!K407,288))</x:f>
        <x:v>0</x:v>
      </x:c>
      <x:c r="BB407" s="23" t="n">
        <x:f>MAX(0,MIN('Activities'!L407,300)-MAX('Activities'!K407,294))</x:f>
        <x:v>0</x:v>
      </x:c>
      <x:c r="BC407" s="23" t="n">
        <x:f>MAX(0,MIN('Activities'!L407,306)-MAX('Activities'!K407,300))</x:f>
        <x:v>0</x:v>
      </x:c>
      <x:c r="BD407" s="23" t="n">
        <x:f>MAX(0,MIN('Activities'!L407,312)-MAX('Activities'!K407,306))</x:f>
        <x:v>0</x:v>
      </x:c>
      <x:c r="BE407" s="23" t="n">
        <x:f>MAX(0,MIN('Activities'!L407,318)-MAX('Activities'!K407,312))</x:f>
        <x:v>0</x:v>
      </x:c>
      <x:c r="BF407" s="23" t="n">
        <x:f>MAX(0,MIN('Activities'!L407,324)-MAX('Activities'!K407,318))</x:f>
        <x:v>0</x:v>
      </x:c>
      <x:c r="BG407" s="23" t="n">
        <x:f>MAX(0,MIN('Activities'!L407,330)-MAX('Activities'!K407,324))</x:f>
        <x:v>0</x:v>
      </x:c>
      <x:c r="BH407" s="23" t="n">
        <x:f>MAX(0,MIN('Activities'!L407,336)-MAX('Activities'!K407,330))</x:f>
        <x:v>0</x:v>
      </x:c>
      <x:c r="BI407" s="23" t="n">
        <x:f>MAX(0,MIN('Activities'!L407,342)-MAX('Activities'!K407,336))</x:f>
        <x:v>0</x:v>
      </x:c>
      <x:c r="BJ407" s="23" t="n">
        <x:f>MAX(0,MIN('Activities'!L407,348)-MAX('Activities'!K407,342))</x:f>
        <x:v>0</x:v>
      </x:c>
      <x:c r="BK407" s="23" t="n">
        <x:f>MAX(0,MIN('Activities'!L407,354)-MAX('Activities'!K407,348))</x:f>
        <x:v>0</x:v>
      </x:c>
      <x:c r="BL407" s="23" t="n">
        <x:f>MAX(0,MIN('Activities'!L407,360)-MAX('Activities'!K407,354))</x:f>
        <x:v>0</x:v>
      </x:c>
      <x:c r="BM407" s="23" t="n">
        <x:f>MAX(0,MIN('Activities'!L407,366)-MAX('Activities'!K407,360))</x:f>
        <x:v>0</x:v>
      </x:c>
      <x:c r="BN407" s="23" t="n">
        <x:f>MAX(0,MIN('Activities'!L407,372)-MAX('Activities'!K407,366))</x:f>
        <x:v>0</x:v>
      </x:c>
      <x:c r="BO407" s="23" t="n">
        <x:f>MAX(0,MIN('Activities'!L407,378)-MAX('Activities'!K407,372))</x:f>
        <x:v>0</x:v>
      </x:c>
      <x:c r="BP407" s="23" t="n">
        <x:f>MAX(0,MIN('Activities'!L407,384)-MAX('Activities'!K407,378))</x:f>
        <x:v>0</x:v>
      </x:c>
      <x:c r="BQ407" s="23" t="n">
        <x:f>MAX(0,MIN('Activities'!L407,390)-MAX('Activities'!K407,384))</x:f>
        <x:v>0</x:v>
      </x:c>
      <x:c r="BR407" s="23" t="n">
        <x:f>MAX(0,MIN('Activities'!L407,396)-MAX('Activities'!K407,390))</x:f>
        <x:v>0</x:v>
      </x:c>
      <x:c r="BS407" s="23" t="n">
        <x:f>MAX(0,MIN('Activities'!L407,402)-MAX('Activities'!K407,396))</x:f>
        <x:v>0</x:v>
      </x:c>
      <x:c r="BT407" s="23" t="n">
        <x:f>MAX(0,MIN('Activities'!L407,408)-MAX('Activities'!K407,402))</x:f>
        <x:v>0</x:v>
      </x:c>
      <x:c r="BU407" s="23" t="n">
        <x:f>MAX(0,MIN('Activities'!L407,414)-MAX('Activities'!K407,408))</x:f>
        <x:v>0</x:v>
      </x:c>
      <x:c r="BV407" s="23" t="n">
        <x:f>MAX(0,MIN('Activities'!L407,420)-MAX('Activities'!K407,414))</x:f>
        <x:v>0</x:v>
      </x:c>
      <x:c r="BW407" s="23" t="n">
        <x:f>MAX(0,MIN('Activities'!L407,426)-MAX('Activities'!K407,420))</x:f>
        <x:v>0</x:v>
      </x:c>
      <x:c r="BX407" s="23" t="n">
        <x:f>MAX(0,MIN('Activities'!L407,432)-MAX('Activities'!K407,426))</x:f>
        <x:v>0</x:v>
      </x:c>
      <x:c r="BY407" s="23" t="n">
        <x:f>MAX(0,MIN('Activities'!L407,438)-MAX('Activities'!K407,432))</x:f>
        <x:v>0</x:v>
      </x:c>
      <x:c r="BZ407" s="23" t="n">
        <x:f>MAX(0,MIN('Activities'!L407,444)-MAX('Activities'!K407,438))</x:f>
        <x:v>5</x:v>
      </x:c>
      <x:c r="CA407" s="23" t="n">
        <x:f>MAX(0,MIN('Activities'!L407,450)-MAX('Activities'!K407,444))</x:f>
        <x:v>0</x:v>
      </x:c>
      <x:c r="CB407" s="23" t="n">
        <x:f>MAX(0,MIN('Activities'!L407,456)-MAX('Activities'!K407,450))</x:f>
        <x:v>0</x:v>
      </x:c>
      <x:c r="CC407" s="23" t="n">
        <x:f>MAX(0,MIN('Activities'!L407,462)-MAX('Activities'!K407,456))</x:f>
        <x:v>0</x:v>
      </x:c>
      <x:c r="CD407" s="23" t="n">
        <x:f>MAX(0,MIN('Activities'!L407,468)-MAX('Activities'!K407,462))</x:f>
        <x:v>0</x:v>
      </x:c>
      <x:c r="CE407" s="23" t="n">
        <x:f>MAX(0,MIN('Activities'!L407,474)-MAX('Activities'!K407,468))</x:f>
        <x:v>0</x:v>
      </x:c>
      <x:c r="CF407" s="23" t="n">
        <x:f>MAX(0,MIN('Activities'!L407,480)-MAX('Activities'!K407,474))</x:f>
        <x:v>0</x:v>
      </x:c>
      <x:c r="CG407" s="23" t="n">
        <x:f>MAX(0,MIN('Activities'!L407,486)-MAX('Activities'!K407,480))</x:f>
        <x:v>0</x:v>
      </x:c>
      <x:c r="CH407" s="23" t="n">
        <x:f>MAX(0,MIN('Activities'!L407,492)-MAX('Activities'!K407,486))</x:f>
        <x:v>0</x:v>
      </x:c>
      <x:c r="CI407" s="23" t="n">
        <x:f>MAX(0,MIN('Activities'!L407,498)-MAX('Activities'!K407,492))</x:f>
        <x:v>0</x:v>
      </x:c>
      <x:c r="CJ407" s="23" t="n">
        <x:f>MAX(0,MIN('Activities'!L407,504)-MAX('Activities'!K407,498))</x:f>
        <x:v>0</x:v>
      </x:c>
      <x:c r="CK407" s="23" t="n">
        <x:f>MAX(0,MIN('Activities'!L407,510)-MAX('Activities'!K407,504))</x:f>
        <x:v>0</x:v>
      </x:c>
      <x:c r="CL407" s="23" t="n">
        <x:f>MAX(0,MIN('Activities'!L407,516)-MAX('Activities'!K407,510))</x:f>
        <x:v>0</x:v>
      </x:c>
      <x:c r="CM407" s="23" t="n">
        <x:f>MAX(0,MIN('Activities'!L407,522)-MAX('Activities'!K407,516))</x:f>
        <x:v>0</x:v>
      </x:c>
      <x:c r="CN407" s="23" t="n">
        <x:f>MAX(0,MIN('Activities'!L407,528)-MAX('Activities'!K407,522))</x:f>
        <x:v>0</x:v>
      </x:c>
      <x:c r="CO407" s="23" t="n">
        <x:f>MAX(0,MIN('Activities'!L407,534)-MAX('Activities'!K407,528))</x:f>
        <x:v>0</x:v>
      </x:c>
      <x:c r="CP407" s="23" t="n">
        <x:f>MAX(0,MIN('Activities'!L407,540)-MAX('Activities'!K407,534))</x:f>
        <x:v>0</x:v>
      </x:c>
      <x:c r="CQ407" s="23" t="n">
        <x:f>MAX(0,MIN('Activities'!L407,546)-MAX('Activities'!K407,540))</x:f>
        <x:v>0</x:v>
      </x:c>
      <x:c r="CR407" s="23" t="n">
        <x:f>MAX(0,MIN('Activities'!L407,552)-MAX('Activities'!K407,546))</x:f>
        <x:v>0</x:v>
      </x:c>
      <x:c r="CS407" s="23" t="n">
        <x:f>MAX(0,MIN('Activities'!L407,558)-MAX('Activities'!K407,552))</x:f>
        <x:v>0</x:v>
      </x:c>
      <x:c r="CT407" s="23" t="n">
        <x:f>MAX(0,MIN('Activities'!L407,564)-MAX('Activities'!K407,558))</x:f>
        <x:v>0</x:v>
      </x:c>
      <x:c r="CU407" s="23" t="n">
        <x:f>MAX(0,MIN('Activities'!L407,570)-MAX('Activities'!K407,564))</x:f>
        <x:v>0</x:v>
      </x:c>
      <x:c r="CV407" s="23" t="n">
        <x:f>MAX(0,MIN('Activities'!L407,576)-MAX('Activities'!K407,570))</x:f>
        <x:v>0</x:v>
      </x:c>
      <x:c r="CW407" s="23" t="n">
        <x:f>MAX(0,MIN('Activities'!L407,582)-MAX('Activities'!K407,576))</x:f>
        <x:v>0</x:v>
      </x:c>
      <x:c r="CX407" s="23" t="n">
        <x:f>MAX(0,MIN('Activities'!L407,588)-MAX('Activities'!K407,582))</x:f>
        <x:v>0</x:v>
      </x:c>
      <x:c r="CY407" s="23" t="n">
        <x:f>MAX(0,MIN('Activities'!L407,594)-MAX('Activities'!K407,588))</x:f>
        <x:v>0</x:v>
      </x:c>
      <x:c r="CZ407" s="23" t="n">
        <x:f>MAX(0,MIN('Activities'!L407,600)-MAX('Activities'!K407,594))</x:f>
        <x:v>0</x:v>
      </x:c>
      <x:c r="DA407" s="23" t="n">
        <x:f>MAX(0,MIN('Activities'!L407,606)-MAX('Activities'!K407,600))</x:f>
        <x:v>0</x:v>
      </x:c>
      <x:c r="DB407" s="23" t="n">
        <x:f>MAX(0,MIN('Activities'!L407,612)-MAX('Activities'!K407,606))</x:f>
        <x:v>0</x:v>
      </x:c>
      <x:c r="DC407" s="23" t="n">
        <x:f>MAX(0,MIN('Activities'!L407,618)-MAX('Activities'!K407,612))</x:f>
        <x:v>0</x:v>
      </x:c>
      <x:c r="DD407" s="23" t="n">
        <x:f>MAX(0,MIN('Activities'!L407,624)-MAX('Activities'!K407,618))</x:f>
        <x:v>0</x:v>
      </x:c>
      <x:c r="DE407" s="23" t="n">
        <x:f>MAX(0,MIN('Activities'!L407,630)-MAX('Activities'!K407,624))</x:f>
        <x:v>0</x:v>
      </x:c>
      <x:c r="DF407" s="23" t="n">
        <x:f>MAX(0,MIN('Activities'!L407,636)-MAX('Activities'!K407,630))</x:f>
        <x:v>0</x:v>
      </x:c>
    </x:row>
    <x:row r="408" ht="23" customHeight="1">
      <x:c r="A408" s="6" t="str">
        <x:v>T3-L11-D</x:v>
      </x:c>
      <x:c r="B408" s="6" t="str">
        <x:v>T3</x:v>
      </x:c>
      <x:c r="C408" s="6" t="str">
        <x:v>Door sets and ironmongery</x:v>
      </x:c>
      <x:c r="D408" s="6" t="str">
        <x:v>Finishes</x:v>
      </x:c>
      <x:c r="E408" s="22" t="n">
        <x:f>MAX(0,MIN('Activities'!L408,6)-MAX('Activities'!K408,0))</x:f>
        <x:v>0</x:v>
      </x:c>
      <x:c r="F408" s="22" t="n">
        <x:f>MAX(0,MIN('Activities'!L408,12)-MAX('Activities'!K408,6))</x:f>
        <x:v>0</x:v>
      </x:c>
      <x:c r="G408" s="22" t="n">
        <x:f>MAX(0,MIN('Activities'!L408,18)-MAX('Activities'!K408,12))</x:f>
        <x:v>0</x:v>
      </x:c>
      <x:c r="H408" s="22" t="n">
        <x:f>MAX(0,MIN('Activities'!L408,24)-MAX('Activities'!K408,18))</x:f>
        <x:v>0</x:v>
      </x:c>
      <x:c r="I408" s="22" t="n">
        <x:f>MAX(0,MIN('Activities'!L408,30)-MAX('Activities'!K408,24))</x:f>
        <x:v>0</x:v>
      </x:c>
      <x:c r="J408" s="22" t="n">
        <x:f>MAX(0,MIN('Activities'!L408,36)-MAX('Activities'!K408,30))</x:f>
        <x:v>0</x:v>
      </x:c>
      <x:c r="K408" s="22" t="n">
        <x:f>MAX(0,MIN('Activities'!L408,42)-MAX('Activities'!K408,36))</x:f>
        <x:v>0</x:v>
      </x:c>
      <x:c r="L408" s="22" t="n">
        <x:f>MAX(0,MIN('Activities'!L408,48)-MAX('Activities'!K408,42))</x:f>
        <x:v>0</x:v>
      </x:c>
      <x:c r="M408" s="22" t="n">
        <x:f>MAX(0,MIN('Activities'!L408,54)-MAX('Activities'!K408,48))</x:f>
        <x:v>0</x:v>
      </x:c>
      <x:c r="N408" s="22" t="n">
        <x:f>MAX(0,MIN('Activities'!L408,60)-MAX('Activities'!K408,54))</x:f>
        <x:v>0</x:v>
      </x:c>
      <x:c r="O408" s="22" t="n">
        <x:f>MAX(0,MIN('Activities'!L408,66)-MAX('Activities'!K408,60))</x:f>
        <x:v>0</x:v>
      </x:c>
      <x:c r="P408" s="22" t="n">
        <x:f>MAX(0,MIN('Activities'!L408,72)-MAX('Activities'!K408,66))</x:f>
        <x:v>0</x:v>
      </x:c>
      <x:c r="Q408" s="22" t="n">
        <x:f>MAX(0,MIN('Activities'!L408,78)-MAX('Activities'!K408,72))</x:f>
        <x:v>0</x:v>
      </x:c>
      <x:c r="R408" s="22" t="n">
        <x:f>MAX(0,MIN('Activities'!L408,84)-MAX('Activities'!K408,78))</x:f>
        <x:v>0</x:v>
      </x:c>
      <x:c r="S408" s="22" t="n">
        <x:f>MAX(0,MIN('Activities'!L408,90)-MAX('Activities'!K408,84))</x:f>
        <x:v>0</x:v>
      </x:c>
      <x:c r="T408" s="22" t="n">
        <x:f>MAX(0,MIN('Activities'!L408,96)-MAX('Activities'!K408,90))</x:f>
        <x:v>0</x:v>
      </x:c>
      <x:c r="U408" s="22" t="n">
        <x:f>MAX(0,MIN('Activities'!L408,102)-MAX('Activities'!K408,96))</x:f>
        <x:v>0</x:v>
      </x:c>
      <x:c r="V408" s="22" t="n">
        <x:f>MAX(0,MIN('Activities'!L408,108)-MAX('Activities'!K408,102))</x:f>
        <x:v>0</x:v>
      </x:c>
      <x:c r="W408" s="22" t="n">
        <x:f>MAX(0,MIN('Activities'!L408,114)-MAX('Activities'!K408,108))</x:f>
        <x:v>0</x:v>
      </x:c>
      <x:c r="X408" s="22" t="n">
        <x:f>MAX(0,MIN('Activities'!L408,120)-MAX('Activities'!K408,114))</x:f>
        <x:v>0</x:v>
      </x:c>
      <x:c r="Y408" s="22" t="n">
        <x:f>MAX(0,MIN('Activities'!L408,126)-MAX('Activities'!K408,120))</x:f>
        <x:v>0</x:v>
      </x:c>
      <x:c r="Z408" s="22" t="n">
        <x:f>MAX(0,MIN('Activities'!L408,132)-MAX('Activities'!K408,126))</x:f>
        <x:v>0</x:v>
      </x:c>
      <x:c r="AA408" s="22" t="n">
        <x:f>MAX(0,MIN('Activities'!L408,138)-MAX('Activities'!K408,132))</x:f>
        <x:v>0</x:v>
      </x:c>
      <x:c r="AB408" s="22" t="n">
        <x:f>MAX(0,MIN('Activities'!L408,144)-MAX('Activities'!K408,138))</x:f>
        <x:v>0</x:v>
      </x:c>
      <x:c r="AC408" s="22" t="n">
        <x:f>MAX(0,MIN('Activities'!L408,150)-MAX('Activities'!K408,144))</x:f>
        <x:v>0</x:v>
      </x:c>
      <x:c r="AD408" s="22" t="n">
        <x:f>MAX(0,MIN('Activities'!L408,156)-MAX('Activities'!K408,150))</x:f>
        <x:v>0</x:v>
      </x:c>
      <x:c r="AE408" s="22" t="n">
        <x:f>MAX(0,MIN('Activities'!L408,162)-MAX('Activities'!K408,156))</x:f>
        <x:v>0</x:v>
      </x:c>
      <x:c r="AF408" s="22" t="n">
        <x:f>MAX(0,MIN('Activities'!L408,168)-MAX('Activities'!K408,162))</x:f>
        <x:v>0</x:v>
      </x:c>
      <x:c r="AG408" s="22" t="n">
        <x:f>MAX(0,MIN('Activities'!L408,174)-MAX('Activities'!K408,168))</x:f>
        <x:v>0</x:v>
      </x:c>
      <x:c r="AH408" s="22" t="n">
        <x:f>MAX(0,MIN('Activities'!L408,180)-MAX('Activities'!K408,174))</x:f>
        <x:v>0</x:v>
      </x:c>
      <x:c r="AI408" s="22" t="n">
        <x:f>MAX(0,MIN('Activities'!L408,186)-MAX('Activities'!K408,180))</x:f>
        <x:v>0</x:v>
      </x:c>
      <x:c r="AJ408" s="22" t="n">
        <x:f>MAX(0,MIN('Activities'!L408,192)-MAX('Activities'!K408,186))</x:f>
        <x:v>0</x:v>
      </x:c>
      <x:c r="AK408" s="22" t="n">
        <x:f>MAX(0,MIN('Activities'!L408,198)-MAX('Activities'!K408,192))</x:f>
        <x:v>0</x:v>
      </x:c>
      <x:c r="AL408" s="22" t="n">
        <x:f>MAX(0,MIN('Activities'!L408,204)-MAX('Activities'!K408,198))</x:f>
        <x:v>0</x:v>
      </x:c>
      <x:c r="AM408" s="22" t="n">
        <x:f>MAX(0,MIN('Activities'!L408,210)-MAX('Activities'!K408,204))</x:f>
        <x:v>0</x:v>
      </x:c>
      <x:c r="AN408" s="22" t="n">
        <x:f>MAX(0,MIN('Activities'!L408,216)-MAX('Activities'!K408,210))</x:f>
        <x:v>0</x:v>
      </x:c>
      <x:c r="AO408" s="22" t="n">
        <x:f>MAX(0,MIN('Activities'!L408,222)-MAX('Activities'!K408,216))</x:f>
        <x:v>0</x:v>
      </x:c>
      <x:c r="AP408" s="22" t="n">
        <x:f>MAX(0,MIN('Activities'!L408,228)-MAX('Activities'!K408,222))</x:f>
        <x:v>0</x:v>
      </x:c>
      <x:c r="AQ408" s="22" t="n">
        <x:f>MAX(0,MIN('Activities'!L408,234)-MAX('Activities'!K408,228))</x:f>
        <x:v>0</x:v>
      </x:c>
      <x:c r="AR408" s="22" t="n">
        <x:f>MAX(0,MIN('Activities'!L408,240)-MAX('Activities'!K408,234))</x:f>
        <x:v>0</x:v>
      </x:c>
      <x:c r="AS408" s="22" t="n">
        <x:f>MAX(0,MIN('Activities'!L408,246)-MAX('Activities'!K408,240))</x:f>
        <x:v>0</x:v>
      </x:c>
      <x:c r="AT408" s="22" t="n">
        <x:f>MAX(0,MIN('Activities'!L408,252)-MAX('Activities'!K408,246))</x:f>
        <x:v>0</x:v>
      </x:c>
      <x:c r="AU408" s="22" t="n">
        <x:f>MAX(0,MIN('Activities'!L408,258)-MAX('Activities'!K408,252))</x:f>
        <x:v>0</x:v>
      </x:c>
      <x:c r="AV408" s="22" t="n">
        <x:f>MAX(0,MIN('Activities'!L408,264)-MAX('Activities'!K408,258))</x:f>
        <x:v>0</x:v>
      </x:c>
      <x:c r="AW408" s="22" t="n">
        <x:f>MAX(0,MIN('Activities'!L408,270)-MAX('Activities'!K408,264))</x:f>
        <x:v>0</x:v>
      </x:c>
      <x:c r="AX408" s="22" t="n">
        <x:f>MAX(0,MIN('Activities'!L408,276)-MAX('Activities'!K408,270))</x:f>
        <x:v>0</x:v>
      </x:c>
      <x:c r="AY408" s="22" t="n">
        <x:f>MAX(0,MIN('Activities'!L408,282)-MAX('Activities'!K408,276))</x:f>
        <x:v>0</x:v>
      </x:c>
      <x:c r="AZ408" s="22" t="n">
        <x:f>MAX(0,MIN('Activities'!L408,288)-MAX('Activities'!K408,282))</x:f>
        <x:v>0</x:v>
      </x:c>
      <x:c r="BA408" s="22" t="n">
        <x:f>MAX(0,MIN('Activities'!L408,294)-MAX('Activities'!K408,288))</x:f>
        <x:v>0</x:v>
      </x:c>
      <x:c r="BB408" s="22" t="n">
        <x:f>MAX(0,MIN('Activities'!L408,300)-MAX('Activities'!K408,294))</x:f>
        <x:v>0</x:v>
      </x:c>
      <x:c r="BC408" s="22" t="n">
        <x:f>MAX(0,MIN('Activities'!L408,306)-MAX('Activities'!K408,300))</x:f>
        <x:v>0</x:v>
      </x:c>
      <x:c r="BD408" s="22" t="n">
        <x:f>MAX(0,MIN('Activities'!L408,312)-MAX('Activities'!K408,306))</x:f>
        <x:v>0</x:v>
      </x:c>
      <x:c r="BE408" s="22" t="n">
        <x:f>MAX(0,MIN('Activities'!L408,318)-MAX('Activities'!K408,312))</x:f>
        <x:v>0</x:v>
      </x:c>
      <x:c r="BF408" s="22" t="n">
        <x:f>MAX(0,MIN('Activities'!L408,324)-MAX('Activities'!K408,318))</x:f>
        <x:v>0</x:v>
      </x:c>
      <x:c r="BG408" s="22" t="n">
        <x:f>MAX(0,MIN('Activities'!L408,330)-MAX('Activities'!K408,324))</x:f>
        <x:v>0</x:v>
      </x:c>
      <x:c r="BH408" s="22" t="n">
        <x:f>MAX(0,MIN('Activities'!L408,336)-MAX('Activities'!K408,330))</x:f>
        <x:v>0</x:v>
      </x:c>
      <x:c r="BI408" s="22" t="n">
        <x:f>MAX(0,MIN('Activities'!L408,342)-MAX('Activities'!K408,336))</x:f>
        <x:v>0</x:v>
      </x:c>
      <x:c r="BJ408" s="22" t="n">
        <x:f>MAX(0,MIN('Activities'!L408,348)-MAX('Activities'!K408,342))</x:f>
        <x:v>0</x:v>
      </x:c>
      <x:c r="BK408" s="22" t="n">
        <x:f>MAX(0,MIN('Activities'!L408,354)-MAX('Activities'!K408,348))</x:f>
        <x:v>0</x:v>
      </x:c>
      <x:c r="BL408" s="22" t="n">
        <x:f>MAX(0,MIN('Activities'!L408,360)-MAX('Activities'!K408,354))</x:f>
        <x:v>0</x:v>
      </x:c>
      <x:c r="BM408" s="22" t="n">
        <x:f>MAX(0,MIN('Activities'!L408,366)-MAX('Activities'!K408,360))</x:f>
        <x:v>0</x:v>
      </x:c>
      <x:c r="BN408" s="22" t="n">
        <x:f>MAX(0,MIN('Activities'!L408,372)-MAX('Activities'!K408,366))</x:f>
        <x:v>0</x:v>
      </x:c>
      <x:c r="BO408" s="22" t="n">
        <x:f>MAX(0,MIN('Activities'!L408,378)-MAX('Activities'!K408,372))</x:f>
        <x:v>0</x:v>
      </x:c>
      <x:c r="BP408" s="22" t="n">
        <x:f>MAX(0,MIN('Activities'!L408,384)-MAX('Activities'!K408,378))</x:f>
        <x:v>0</x:v>
      </x:c>
      <x:c r="BQ408" s="22" t="n">
        <x:f>MAX(0,MIN('Activities'!L408,390)-MAX('Activities'!K408,384))</x:f>
        <x:v>0</x:v>
      </x:c>
      <x:c r="BR408" s="22" t="n">
        <x:f>MAX(0,MIN('Activities'!L408,396)-MAX('Activities'!K408,390))</x:f>
        <x:v>0</x:v>
      </x:c>
      <x:c r="BS408" s="22" t="n">
        <x:f>MAX(0,MIN('Activities'!L408,402)-MAX('Activities'!K408,396))</x:f>
        <x:v>0</x:v>
      </x:c>
      <x:c r="BT408" s="22" t="n">
        <x:f>MAX(0,MIN('Activities'!L408,408)-MAX('Activities'!K408,402))</x:f>
        <x:v>0</x:v>
      </x:c>
      <x:c r="BU408" s="22" t="n">
        <x:f>MAX(0,MIN('Activities'!L408,414)-MAX('Activities'!K408,408))</x:f>
        <x:v>0</x:v>
      </x:c>
      <x:c r="BV408" s="22" t="n">
        <x:f>MAX(0,MIN('Activities'!L408,420)-MAX('Activities'!K408,414))</x:f>
        <x:v>0</x:v>
      </x:c>
      <x:c r="BW408" s="22" t="n">
        <x:f>MAX(0,MIN('Activities'!L408,426)-MAX('Activities'!K408,420))</x:f>
        <x:v>0</x:v>
      </x:c>
      <x:c r="BX408" s="22" t="n">
        <x:f>MAX(0,MIN('Activities'!L408,432)-MAX('Activities'!K408,426))</x:f>
        <x:v>0</x:v>
      </x:c>
      <x:c r="BY408" s="22" t="n">
        <x:f>MAX(0,MIN('Activities'!L408,438)-MAX('Activities'!K408,432))</x:f>
        <x:v>0</x:v>
      </x:c>
      <x:c r="BZ408" s="22" t="n">
        <x:f>MAX(0,MIN('Activities'!L408,444)-MAX('Activities'!K408,438))</x:f>
        <x:v>1</x:v>
      </x:c>
      <x:c r="CA408" s="22" t="n">
        <x:f>MAX(0,MIN('Activities'!L408,450)-MAX('Activities'!K408,444))</x:f>
        <x:v>2</x:v>
      </x:c>
      <x:c r="CB408" s="22" t="n">
        <x:f>MAX(0,MIN('Activities'!L408,456)-MAX('Activities'!K408,450))</x:f>
        <x:v>0</x:v>
      </x:c>
      <x:c r="CC408" s="22" t="n">
        <x:f>MAX(0,MIN('Activities'!L408,462)-MAX('Activities'!K408,456))</x:f>
        <x:v>0</x:v>
      </x:c>
      <x:c r="CD408" s="22" t="n">
        <x:f>MAX(0,MIN('Activities'!L408,468)-MAX('Activities'!K408,462))</x:f>
        <x:v>0</x:v>
      </x:c>
      <x:c r="CE408" s="22" t="n">
        <x:f>MAX(0,MIN('Activities'!L408,474)-MAX('Activities'!K408,468))</x:f>
        <x:v>0</x:v>
      </x:c>
      <x:c r="CF408" s="22" t="n">
        <x:f>MAX(0,MIN('Activities'!L408,480)-MAX('Activities'!K408,474))</x:f>
        <x:v>0</x:v>
      </x:c>
      <x:c r="CG408" s="22" t="n">
        <x:f>MAX(0,MIN('Activities'!L408,486)-MAX('Activities'!K408,480))</x:f>
        <x:v>0</x:v>
      </x:c>
      <x:c r="CH408" s="22" t="n">
        <x:f>MAX(0,MIN('Activities'!L408,492)-MAX('Activities'!K408,486))</x:f>
        <x:v>0</x:v>
      </x:c>
      <x:c r="CI408" s="22" t="n">
        <x:f>MAX(0,MIN('Activities'!L408,498)-MAX('Activities'!K408,492))</x:f>
        <x:v>0</x:v>
      </x:c>
      <x:c r="CJ408" s="22" t="n">
        <x:f>MAX(0,MIN('Activities'!L408,504)-MAX('Activities'!K408,498))</x:f>
        <x:v>0</x:v>
      </x:c>
      <x:c r="CK408" s="22" t="n">
        <x:f>MAX(0,MIN('Activities'!L408,510)-MAX('Activities'!K408,504))</x:f>
        <x:v>0</x:v>
      </x:c>
      <x:c r="CL408" s="22" t="n">
        <x:f>MAX(0,MIN('Activities'!L408,516)-MAX('Activities'!K408,510))</x:f>
        <x:v>0</x:v>
      </x:c>
      <x:c r="CM408" s="22" t="n">
        <x:f>MAX(0,MIN('Activities'!L408,522)-MAX('Activities'!K408,516))</x:f>
        <x:v>0</x:v>
      </x:c>
      <x:c r="CN408" s="22" t="n">
        <x:f>MAX(0,MIN('Activities'!L408,528)-MAX('Activities'!K408,522))</x:f>
        <x:v>0</x:v>
      </x:c>
      <x:c r="CO408" s="22" t="n">
        <x:f>MAX(0,MIN('Activities'!L408,534)-MAX('Activities'!K408,528))</x:f>
        <x:v>0</x:v>
      </x:c>
      <x:c r="CP408" s="22" t="n">
        <x:f>MAX(0,MIN('Activities'!L408,540)-MAX('Activities'!K408,534))</x:f>
        <x:v>0</x:v>
      </x:c>
      <x:c r="CQ408" s="22" t="n">
        <x:f>MAX(0,MIN('Activities'!L408,546)-MAX('Activities'!K408,540))</x:f>
        <x:v>0</x:v>
      </x:c>
      <x:c r="CR408" s="22" t="n">
        <x:f>MAX(0,MIN('Activities'!L408,552)-MAX('Activities'!K408,546))</x:f>
        <x:v>0</x:v>
      </x:c>
      <x:c r="CS408" s="22" t="n">
        <x:f>MAX(0,MIN('Activities'!L408,558)-MAX('Activities'!K408,552))</x:f>
        <x:v>0</x:v>
      </x:c>
      <x:c r="CT408" s="22" t="n">
        <x:f>MAX(0,MIN('Activities'!L408,564)-MAX('Activities'!K408,558))</x:f>
        <x:v>0</x:v>
      </x:c>
      <x:c r="CU408" s="22" t="n">
        <x:f>MAX(0,MIN('Activities'!L408,570)-MAX('Activities'!K408,564))</x:f>
        <x:v>0</x:v>
      </x:c>
      <x:c r="CV408" s="22" t="n">
        <x:f>MAX(0,MIN('Activities'!L408,576)-MAX('Activities'!K408,570))</x:f>
        <x:v>0</x:v>
      </x:c>
      <x:c r="CW408" s="22" t="n">
        <x:f>MAX(0,MIN('Activities'!L408,582)-MAX('Activities'!K408,576))</x:f>
        <x:v>0</x:v>
      </x:c>
      <x:c r="CX408" s="22" t="n">
        <x:f>MAX(0,MIN('Activities'!L408,588)-MAX('Activities'!K408,582))</x:f>
        <x:v>0</x:v>
      </x:c>
      <x:c r="CY408" s="22" t="n">
        <x:f>MAX(0,MIN('Activities'!L408,594)-MAX('Activities'!K408,588))</x:f>
        <x:v>0</x:v>
      </x:c>
      <x:c r="CZ408" s="22" t="n">
        <x:f>MAX(0,MIN('Activities'!L408,600)-MAX('Activities'!K408,594))</x:f>
        <x:v>0</x:v>
      </x:c>
      <x:c r="DA408" s="22" t="n">
        <x:f>MAX(0,MIN('Activities'!L408,606)-MAX('Activities'!K408,600))</x:f>
        <x:v>0</x:v>
      </x:c>
      <x:c r="DB408" s="22" t="n">
        <x:f>MAX(0,MIN('Activities'!L408,612)-MAX('Activities'!K408,606))</x:f>
        <x:v>0</x:v>
      </x:c>
      <x:c r="DC408" s="22" t="n">
        <x:f>MAX(0,MIN('Activities'!L408,618)-MAX('Activities'!K408,612))</x:f>
        <x:v>0</x:v>
      </x:c>
      <x:c r="DD408" s="22" t="n">
        <x:f>MAX(0,MIN('Activities'!L408,624)-MAX('Activities'!K408,618))</x:f>
        <x:v>0</x:v>
      </x:c>
      <x:c r="DE408" s="22" t="n">
        <x:f>MAX(0,MIN('Activities'!L408,630)-MAX('Activities'!K408,624))</x:f>
        <x:v>0</x:v>
      </x:c>
      <x:c r="DF408" s="22" t="n">
        <x:f>MAX(0,MIN('Activities'!L408,636)-MAX('Activities'!K408,630))</x:f>
        <x:v>0</x:v>
      </x:c>
    </x:row>
    <x:row r="409" ht="23" customHeight="1">
      <x:c r="A409" s="1" t="str">
        <x:v>T3-L12-M</x:v>
      </x:c>
      <x:c r="B409" s="1" t="str">
        <x:v>T3</x:v>
      </x:c>
      <x:c r="C409" s="1" t="str">
        <x:v>Partition masonry</x:v>
      </x:c>
      <x:c r="D409" s="1" t="str">
        <x:v>Masonry</x:v>
      </x:c>
      <x:c r="E409" s="23" t="n">
        <x:f>MAX(0,MIN('Activities'!L409,6)-MAX('Activities'!K409,0))</x:f>
        <x:v>0</x:v>
      </x:c>
      <x:c r="F409" s="23" t="n">
        <x:f>MAX(0,MIN('Activities'!L409,12)-MAX('Activities'!K409,6))</x:f>
        <x:v>0</x:v>
      </x:c>
      <x:c r="G409" s="23" t="n">
        <x:f>MAX(0,MIN('Activities'!L409,18)-MAX('Activities'!K409,12))</x:f>
        <x:v>0</x:v>
      </x:c>
      <x:c r="H409" s="23" t="n">
        <x:f>MAX(0,MIN('Activities'!L409,24)-MAX('Activities'!K409,18))</x:f>
        <x:v>0</x:v>
      </x:c>
      <x:c r="I409" s="23" t="n">
        <x:f>MAX(0,MIN('Activities'!L409,30)-MAX('Activities'!K409,24))</x:f>
        <x:v>0</x:v>
      </x:c>
      <x:c r="J409" s="23" t="n">
        <x:f>MAX(0,MIN('Activities'!L409,36)-MAX('Activities'!K409,30))</x:f>
        <x:v>0</x:v>
      </x:c>
      <x:c r="K409" s="23" t="n">
        <x:f>MAX(0,MIN('Activities'!L409,42)-MAX('Activities'!K409,36))</x:f>
        <x:v>0</x:v>
      </x:c>
      <x:c r="L409" s="23" t="n">
        <x:f>MAX(0,MIN('Activities'!L409,48)-MAX('Activities'!K409,42))</x:f>
        <x:v>0</x:v>
      </x:c>
      <x:c r="M409" s="23" t="n">
        <x:f>MAX(0,MIN('Activities'!L409,54)-MAX('Activities'!K409,48))</x:f>
        <x:v>0</x:v>
      </x:c>
      <x:c r="N409" s="23" t="n">
        <x:f>MAX(0,MIN('Activities'!L409,60)-MAX('Activities'!K409,54))</x:f>
        <x:v>0</x:v>
      </x:c>
      <x:c r="O409" s="23" t="n">
        <x:f>MAX(0,MIN('Activities'!L409,66)-MAX('Activities'!K409,60))</x:f>
        <x:v>0</x:v>
      </x:c>
      <x:c r="P409" s="23" t="n">
        <x:f>MAX(0,MIN('Activities'!L409,72)-MAX('Activities'!K409,66))</x:f>
        <x:v>0</x:v>
      </x:c>
      <x:c r="Q409" s="23" t="n">
        <x:f>MAX(0,MIN('Activities'!L409,78)-MAX('Activities'!K409,72))</x:f>
        <x:v>0</x:v>
      </x:c>
      <x:c r="R409" s="23" t="n">
        <x:f>MAX(0,MIN('Activities'!L409,84)-MAX('Activities'!K409,78))</x:f>
        <x:v>0</x:v>
      </x:c>
      <x:c r="S409" s="23" t="n">
        <x:f>MAX(0,MIN('Activities'!L409,90)-MAX('Activities'!K409,84))</x:f>
        <x:v>0</x:v>
      </x:c>
      <x:c r="T409" s="23" t="n">
        <x:f>MAX(0,MIN('Activities'!L409,96)-MAX('Activities'!K409,90))</x:f>
        <x:v>0</x:v>
      </x:c>
      <x:c r="U409" s="23" t="n">
        <x:f>MAX(0,MIN('Activities'!L409,102)-MAX('Activities'!K409,96))</x:f>
        <x:v>0</x:v>
      </x:c>
      <x:c r="V409" s="23" t="n">
        <x:f>MAX(0,MIN('Activities'!L409,108)-MAX('Activities'!K409,102))</x:f>
        <x:v>0</x:v>
      </x:c>
      <x:c r="W409" s="23" t="n">
        <x:f>MAX(0,MIN('Activities'!L409,114)-MAX('Activities'!K409,108))</x:f>
        <x:v>0</x:v>
      </x:c>
      <x:c r="X409" s="23" t="n">
        <x:f>MAX(0,MIN('Activities'!L409,120)-MAX('Activities'!K409,114))</x:f>
        <x:v>0</x:v>
      </x:c>
      <x:c r="Y409" s="23" t="n">
        <x:f>MAX(0,MIN('Activities'!L409,126)-MAX('Activities'!K409,120))</x:f>
        <x:v>0</x:v>
      </x:c>
      <x:c r="Z409" s="23" t="n">
        <x:f>MAX(0,MIN('Activities'!L409,132)-MAX('Activities'!K409,126))</x:f>
        <x:v>0</x:v>
      </x:c>
      <x:c r="AA409" s="23" t="n">
        <x:f>MAX(0,MIN('Activities'!L409,138)-MAX('Activities'!K409,132))</x:f>
        <x:v>0</x:v>
      </x:c>
      <x:c r="AB409" s="23" t="n">
        <x:f>MAX(0,MIN('Activities'!L409,144)-MAX('Activities'!K409,138))</x:f>
        <x:v>0</x:v>
      </x:c>
      <x:c r="AC409" s="23" t="n">
        <x:f>MAX(0,MIN('Activities'!L409,150)-MAX('Activities'!K409,144))</x:f>
        <x:v>0</x:v>
      </x:c>
      <x:c r="AD409" s="23" t="n">
        <x:f>MAX(0,MIN('Activities'!L409,156)-MAX('Activities'!K409,150))</x:f>
        <x:v>0</x:v>
      </x:c>
      <x:c r="AE409" s="23" t="n">
        <x:f>MAX(0,MIN('Activities'!L409,162)-MAX('Activities'!K409,156))</x:f>
        <x:v>0</x:v>
      </x:c>
      <x:c r="AF409" s="23" t="n">
        <x:f>MAX(0,MIN('Activities'!L409,168)-MAX('Activities'!K409,162))</x:f>
        <x:v>0</x:v>
      </x:c>
      <x:c r="AG409" s="23" t="n">
        <x:f>MAX(0,MIN('Activities'!L409,174)-MAX('Activities'!K409,168))</x:f>
        <x:v>0</x:v>
      </x:c>
      <x:c r="AH409" s="23" t="n">
        <x:f>MAX(0,MIN('Activities'!L409,180)-MAX('Activities'!K409,174))</x:f>
        <x:v>0</x:v>
      </x:c>
      <x:c r="AI409" s="23" t="n">
        <x:f>MAX(0,MIN('Activities'!L409,186)-MAX('Activities'!K409,180))</x:f>
        <x:v>0</x:v>
      </x:c>
      <x:c r="AJ409" s="23" t="n">
        <x:f>MAX(0,MIN('Activities'!L409,192)-MAX('Activities'!K409,186))</x:f>
        <x:v>0</x:v>
      </x:c>
      <x:c r="AK409" s="23" t="n">
        <x:f>MAX(0,MIN('Activities'!L409,198)-MAX('Activities'!K409,192))</x:f>
        <x:v>0</x:v>
      </x:c>
      <x:c r="AL409" s="23" t="n">
        <x:f>MAX(0,MIN('Activities'!L409,204)-MAX('Activities'!K409,198))</x:f>
        <x:v>0</x:v>
      </x:c>
      <x:c r="AM409" s="23" t="n">
        <x:f>MAX(0,MIN('Activities'!L409,210)-MAX('Activities'!K409,204))</x:f>
        <x:v>0</x:v>
      </x:c>
      <x:c r="AN409" s="23" t="n">
        <x:f>MAX(0,MIN('Activities'!L409,216)-MAX('Activities'!K409,210))</x:f>
        <x:v>0</x:v>
      </x:c>
      <x:c r="AO409" s="23" t="n">
        <x:f>MAX(0,MIN('Activities'!L409,222)-MAX('Activities'!K409,216))</x:f>
        <x:v>0</x:v>
      </x:c>
      <x:c r="AP409" s="23" t="n">
        <x:f>MAX(0,MIN('Activities'!L409,228)-MAX('Activities'!K409,222))</x:f>
        <x:v>0</x:v>
      </x:c>
      <x:c r="AQ409" s="23" t="n">
        <x:f>MAX(0,MIN('Activities'!L409,234)-MAX('Activities'!K409,228))</x:f>
        <x:v>0</x:v>
      </x:c>
      <x:c r="AR409" s="23" t="n">
        <x:f>MAX(0,MIN('Activities'!L409,240)-MAX('Activities'!K409,234))</x:f>
        <x:v>0</x:v>
      </x:c>
      <x:c r="AS409" s="23" t="n">
        <x:f>MAX(0,MIN('Activities'!L409,246)-MAX('Activities'!K409,240))</x:f>
        <x:v>0</x:v>
      </x:c>
      <x:c r="AT409" s="23" t="n">
        <x:f>MAX(0,MIN('Activities'!L409,252)-MAX('Activities'!K409,246))</x:f>
        <x:v>0</x:v>
      </x:c>
      <x:c r="AU409" s="23" t="n">
        <x:f>MAX(0,MIN('Activities'!L409,258)-MAX('Activities'!K409,252))</x:f>
        <x:v>0</x:v>
      </x:c>
      <x:c r="AV409" s="23" t="n">
        <x:f>MAX(0,MIN('Activities'!L409,264)-MAX('Activities'!K409,258))</x:f>
        <x:v>0</x:v>
      </x:c>
      <x:c r="AW409" s="23" t="n">
        <x:f>MAX(0,MIN('Activities'!L409,270)-MAX('Activities'!K409,264))</x:f>
        <x:v>0</x:v>
      </x:c>
      <x:c r="AX409" s="23" t="n">
        <x:f>MAX(0,MIN('Activities'!L409,276)-MAX('Activities'!K409,270))</x:f>
        <x:v>0</x:v>
      </x:c>
      <x:c r="AY409" s="23" t="n">
        <x:f>MAX(0,MIN('Activities'!L409,282)-MAX('Activities'!K409,276))</x:f>
        <x:v>0</x:v>
      </x:c>
      <x:c r="AZ409" s="23" t="n">
        <x:f>MAX(0,MIN('Activities'!L409,288)-MAX('Activities'!K409,282))</x:f>
        <x:v>0</x:v>
      </x:c>
      <x:c r="BA409" s="23" t="n">
        <x:f>MAX(0,MIN('Activities'!L409,294)-MAX('Activities'!K409,288))</x:f>
        <x:v>0</x:v>
      </x:c>
      <x:c r="BB409" s="23" t="n">
        <x:f>MAX(0,MIN('Activities'!L409,300)-MAX('Activities'!K409,294))</x:f>
        <x:v>0</x:v>
      </x:c>
      <x:c r="BC409" s="23" t="n">
        <x:f>MAX(0,MIN('Activities'!L409,306)-MAX('Activities'!K409,300))</x:f>
        <x:v>0</x:v>
      </x:c>
      <x:c r="BD409" s="23" t="n">
        <x:f>MAX(0,MIN('Activities'!L409,312)-MAX('Activities'!K409,306))</x:f>
        <x:v>0</x:v>
      </x:c>
      <x:c r="BE409" s="23" t="n">
        <x:f>MAX(0,MIN('Activities'!L409,318)-MAX('Activities'!K409,312))</x:f>
        <x:v>0</x:v>
      </x:c>
      <x:c r="BF409" s="23" t="n">
        <x:f>MAX(0,MIN('Activities'!L409,324)-MAX('Activities'!K409,318))</x:f>
        <x:v>0</x:v>
      </x:c>
      <x:c r="BG409" s="23" t="n">
        <x:f>MAX(0,MIN('Activities'!L409,330)-MAX('Activities'!K409,324))</x:f>
        <x:v>0</x:v>
      </x:c>
      <x:c r="BH409" s="23" t="n">
        <x:f>MAX(0,MIN('Activities'!L409,336)-MAX('Activities'!K409,330))</x:f>
        <x:v>0</x:v>
      </x:c>
      <x:c r="BI409" s="23" t="n">
        <x:f>MAX(0,MIN('Activities'!L409,342)-MAX('Activities'!K409,336))</x:f>
        <x:v>0</x:v>
      </x:c>
      <x:c r="BJ409" s="23" t="n">
        <x:f>MAX(0,MIN('Activities'!L409,348)-MAX('Activities'!K409,342))</x:f>
        <x:v>0</x:v>
      </x:c>
      <x:c r="BK409" s="23" t="n">
        <x:f>MAX(0,MIN('Activities'!L409,354)-MAX('Activities'!K409,348))</x:f>
        <x:v>0</x:v>
      </x:c>
      <x:c r="BL409" s="23" t="n">
        <x:f>MAX(0,MIN('Activities'!L409,360)-MAX('Activities'!K409,354))</x:f>
        <x:v>0</x:v>
      </x:c>
      <x:c r="BM409" s="23" t="n">
        <x:f>MAX(0,MIN('Activities'!L409,366)-MAX('Activities'!K409,360))</x:f>
        <x:v>0</x:v>
      </x:c>
      <x:c r="BN409" s="23" t="n">
        <x:f>MAX(0,MIN('Activities'!L409,372)-MAX('Activities'!K409,366))</x:f>
        <x:v>0</x:v>
      </x:c>
      <x:c r="BO409" s="23" t="n">
        <x:f>MAX(0,MIN('Activities'!L409,378)-MAX('Activities'!K409,372))</x:f>
        <x:v>0</x:v>
      </x:c>
      <x:c r="BP409" s="23" t="n">
        <x:f>MAX(0,MIN('Activities'!L409,384)-MAX('Activities'!K409,378))</x:f>
        <x:v>0</x:v>
      </x:c>
      <x:c r="BQ409" s="23" t="n">
        <x:f>MAX(0,MIN('Activities'!L409,390)-MAX('Activities'!K409,384))</x:f>
        <x:v>0</x:v>
      </x:c>
      <x:c r="BR409" s="23" t="n">
        <x:f>MAX(0,MIN('Activities'!L409,396)-MAX('Activities'!K409,390))</x:f>
        <x:v>0</x:v>
      </x:c>
      <x:c r="BS409" s="23" t="n">
        <x:f>MAX(0,MIN('Activities'!L409,402)-MAX('Activities'!K409,396))</x:f>
        <x:v>5</x:v>
      </x:c>
      <x:c r="BT409" s="23" t="n">
        <x:f>MAX(0,MIN('Activities'!L409,408)-MAX('Activities'!K409,402))</x:f>
        <x:v>0</x:v>
      </x:c>
      <x:c r="BU409" s="23" t="n">
        <x:f>MAX(0,MIN('Activities'!L409,414)-MAX('Activities'!K409,408))</x:f>
        <x:v>0</x:v>
      </x:c>
      <x:c r="BV409" s="23" t="n">
        <x:f>MAX(0,MIN('Activities'!L409,420)-MAX('Activities'!K409,414))</x:f>
        <x:v>0</x:v>
      </x:c>
      <x:c r="BW409" s="23" t="n">
        <x:f>MAX(0,MIN('Activities'!L409,426)-MAX('Activities'!K409,420))</x:f>
        <x:v>0</x:v>
      </x:c>
      <x:c r="BX409" s="23" t="n">
        <x:f>MAX(0,MIN('Activities'!L409,432)-MAX('Activities'!K409,426))</x:f>
        <x:v>0</x:v>
      </x:c>
      <x:c r="BY409" s="23" t="n">
        <x:f>MAX(0,MIN('Activities'!L409,438)-MAX('Activities'!K409,432))</x:f>
        <x:v>0</x:v>
      </x:c>
      <x:c r="BZ409" s="23" t="n">
        <x:f>MAX(0,MIN('Activities'!L409,444)-MAX('Activities'!K409,438))</x:f>
        <x:v>0</x:v>
      </x:c>
      <x:c r="CA409" s="23" t="n">
        <x:f>MAX(0,MIN('Activities'!L409,450)-MAX('Activities'!K409,444))</x:f>
        <x:v>0</x:v>
      </x:c>
      <x:c r="CB409" s="23" t="n">
        <x:f>MAX(0,MIN('Activities'!L409,456)-MAX('Activities'!K409,450))</x:f>
        <x:v>0</x:v>
      </x:c>
      <x:c r="CC409" s="23" t="n">
        <x:f>MAX(0,MIN('Activities'!L409,462)-MAX('Activities'!K409,456))</x:f>
        <x:v>0</x:v>
      </x:c>
      <x:c r="CD409" s="23" t="n">
        <x:f>MAX(0,MIN('Activities'!L409,468)-MAX('Activities'!K409,462))</x:f>
        <x:v>0</x:v>
      </x:c>
      <x:c r="CE409" s="23" t="n">
        <x:f>MAX(0,MIN('Activities'!L409,474)-MAX('Activities'!K409,468))</x:f>
        <x:v>0</x:v>
      </x:c>
      <x:c r="CF409" s="23" t="n">
        <x:f>MAX(0,MIN('Activities'!L409,480)-MAX('Activities'!K409,474))</x:f>
        <x:v>0</x:v>
      </x:c>
      <x:c r="CG409" s="23" t="n">
        <x:f>MAX(0,MIN('Activities'!L409,486)-MAX('Activities'!K409,480))</x:f>
        <x:v>0</x:v>
      </x:c>
      <x:c r="CH409" s="23" t="n">
        <x:f>MAX(0,MIN('Activities'!L409,492)-MAX('Activities'!K409,486))</x:f>
        <x:v>0</x:v>
      </x:c>
      <x:c r="CI409" s="23" t="n">
        <x:f>MAX(0,MIN('Activities'!L409,498)-MAX('Activities'!K409,492))</x:f>
        <x:v>0</x:v>
      </x:c>
      <x:c r="CJ409" s="23" t="n">
        <x:f>MAX(0,MIN('Activities'!L409,504)-MAX('Activities'!K409,498))</x:f>
        <x:v>0</x:v>
      </x:c>
      <x:c r="CK409" s="23" t="n">
        <x:f>MAX(0,MIN('Activities'!L409,510)-MAX('Activities'!K409,504))</x:f>
        <x:v>0</x:v>
      </x:c>
      <x:c r="CL409" s="23" t="n">
        <x:f>MAX(0,MIN('Activities'!L409,516)-MAX('Activities'!K409,510))</x:f>
        <x:v>0</x:v>
      </x:c>
      <x:c r="CM409" s="23" t="n">
        <x:f>MAX(0,MIN('Activities'!L409,522)-MAX('Activities'!K409,516))</x:f>
        <x:v>0</x:v>
      </x:c>
      <x:c r="CN409" s="23" t="n">
        <x:f>MAX(0,MIN('Activities'!L409,528)-MAX('Activities'!K409,522))</x:f>
        <x:v>0</x:v>
      </x:c>
      <x:c r="CO409" s="23" t="n">
        <x:f>MAX(0,MIN('Activities'!L409,534)-MAX('Activities'!K409,528))</x:f>
        <x:v>0</x:v>
      </x:c>
      <x:c r="CP409" s="23" t="n">
        <x:f>MAX(0,MIN('Activities'!L409,540)-MAX('Activities'!K409,534))</x:f>
        <x:v>0</x:v>
      </x:c>
      <x:c r="CQ409" s="23" t="n">
        <x:f>MAX(0,MIN('Activities'!L409,546)-MAX('Activities'!K409,540))</x:f>
        <x:v>0</x:v>
      </x:c>
      <x:c r="CR409" s="23" t="n">
        <x:f>MAX(0,MIN('Activities'!L409,552)-MAX('Activities'!K409,546))</x:f>
        <x:v>0</x:v>
      </x:c>
      <x:c r="CS409" s="23" t="n">
        <x:f>MAX(0,MIN('Activities'!L409,558)-MAX('Activities'!K409,552))</x:f>
        <x:v>0</x:v>
      </x:c>
      <x:c r="CT409" s="23" t="n">
        <x:f>MAX(0,MIN('Activities'!L409,564)-MAX('Activities'!K409,558))</x:f>
        <x:v>0</x:v>
      </x:c>
      <x:c r="CU409" s="23" t="n">
        <x:f>MAX(0,MIN('Activities'!L409,570)-MAX('Activities'!K409,564))</x:f>
        <x:v>0</x:v>
      </x:c>
      <x:c r="CV409" s="23" t="n">
        <x:f>MAX(0,MIN('Activities'!L409,576)-MAX('Activities'!K409,570))</x:f>
        <x:v>0</x:v>
      </x:c>
      <x:c r="CW409" s="23" t="n">
        <x:f>MAX(0,MIN('Activities'!L409,582)-MAX('Activities'!K409,576))</x:f>
        <x:v>0</x:v>
      </x:c>
      <x:c r="CX409" s="23" t="n">
        <x:f>MAX(0,MIN('Activities'!L409,588)-MAX('Activities'!K409,582))</x:f>
        <x:v>0</x:v>
      </x:c>
      <x:c r="CY409" s="23" t="n">
        <x:f>MAX(0,MIN('Activities'!L409,594)-MAX('Activities'!K409,588))</x:f>
        <x:v>0</x:v>
      </x:c>
      <x:c r="CZ409" s="23" t="n">
        <x:f>MAX(0,MIN('Activities'!L409,600)-MAX('Activities'!K409,594))</x:f>
        <x:v>0</x:v>
      </x:c>
      <x:c r="DA409" s="23" t="n">
        <x:f>MAX(0,MIN('Activities'!L409,606)-MAX('Activities'!K409,600))</x:f>
        <x:v>0</x:v>
      </x:c>
      <x:c r="DB409" s="23" t="n">
        <x:f>MAX(0,MIN('Activities'!L409,612)-MAX('Activities'!K409,606))</x:f>
        <x:v>0</x:v>
      </x:c>
      <x:c r="DC409" s="23" t="n">
        <x:f>MAX(0,MIN('Activities'!L409,618)-MAX('Activities'!K409,612))</x:f>
        <x:v>0</x:v>
      </x:c>
      <x:c r="DD409" s="23" t="n">
        <x:f>MAX(0,MIN('Activities'!L409,624)-MAX('Activities'!K409,618))</x:f>
        <x:v>0</x:v>
      </x:c>
      <x:c r="DE409" s="23" t="n">
        <x:f>MAX(0,MIN('Activities'!L409,630)-MAX('Activities'!K409,624))</x:f>
        <x:v>0</x:v>
      </x:c>
      <x:c r="DF409" s="23" t="n">
        <x:f>MAX(0,MIN('Activities'!L409,636)-MAX('Activities'!K409,630))</x:f>
        <x:v>0</x:v>
      </x:c>
    </x:row>
    <x:row r="410" ht="23" customHeight="1">
      <x:c r="A410" s="6" t="str">
        <x:v>T3-L12-P</x:v>
      </x:c>
      <x:c r="B410" s="6" t="str">
        <x:v>T3</x:v>
      </x:c>
      <x:c r="C410" s="6" t="str">
        <x:v>Internal plaster</x:v>
      </x:c>
      <x:c r="D410" s="6" t="str">
        <x:v>Finishes</x:v>
      </x:c>
      <x:c r="E410" s="22" t="n">
        <x:f>MAX(0,MIN('Activities'!L410,6)-MAX('Activities'!K410,0))</x:f>
        <x:v>0</x:v>
      </x:c>
      <x:c r="F410" s="22" t="n">
        <x:f>MAX(0,MIN('Activities'!L410,12)-MAX('Activities'!K410,6))</x:f>
        <x:v>0</x:v>
      </x:c>
      <x:c r="G410" s="22" t="n">
        <x:f>MAX(0,MIN('Activities'!L410,18)-MAX('Activities'!K410,12))</x:f>
        <x:v>0</x:v>
      </x:c>
      <x:c r="H410" s="22" t="n">
        <x:f>MAX(0,MIN('Activities'!L410,24)-MAX('Activities'!K410,18))</x:f>
        <x:v>0</x:v>
      </x:c>
      <x:c r="I410" s="22" t="n">
        <x:f>MAX(0,MIN('Activities'!L410,30)-MAX('Activities'!K410,24))</x:f>
        <x:v>0</x:v>
      </x:c>
      <x:c r="J410" s="22" t="n">
        <x:f>MAX(0,MIN('Activities'!L410,36)-MAX('Activities'!K410,30))</x:f>
        <x:v>0</x:v>
      </x:c>
      <x:c r="K410" s="22" t="n">
        <x:f>MAX(0,MIN('Activities'!L410,42)-MAX('Activities'!K410,36))</x:f>
        <x:v>0</x:v>
      </x:c>
      <x:c r="L410" s="22" t="n">
        <x:f>MAX(0,MIN('Activities'!L410,48)-MAX('Activities'!K410,42))</x:f>
        <x:v>0</x:v>
      </x:c>
      <x:c r="M410" s="22" t="n">
        <x:f>MAX(0,MIN('Activities'!L410,54)-MAX('Activities'!K410,48))</x:f>
        <x:v>0</x:v>
      </x:c>
      <x:c r="N410" s="22" t="n">
        <x:f>MAX(0,MIN('Activities'!L410,60)-MAX('Activities'!K410,54))</x:f>
        <x:v>0</x:v>
      </x:c>
      <x:c r="O410" s="22" t="n">
        <x:f>MAX(0,MIN('Activities'!L410,66)-MAX('Activities'!K410,60))</x:f>
        <x:v>0</x:v>
      </x:c>
      <x:c r="P410" s="22" t="n">
        <x:f>MAX(0,MIN('Activities'!L410,72)-MAX('Activities'!K410,66))</x:f>
        <x:v>0</x:v>
      </x:c>
      <x:c r="Q410" s="22" t="n">
        <x:f>MAX(0,MIN('Activities'!L410,78)-MAX('Activities'!K410,72))</x:f>
        <x:v>0</x:v>
      </x:c>
      <x:c r="R410" s="22" t="n">
        <x:f>MAX(0,MIN('Activities'!L410,84)-MAX('Activities'!K410,78))</x:f>
        <x:v>0</x:v>
      </x:c>
      <x:c r="S410" s="22" t="n">
        <x:f>MAX(0,MIN('Activities'!L410,90)-MAX('Activities'!K410,84))</x:f>
        <x:v>0</x:v>
      </x:c>
      <x:c r="T410" s="22" t="n">
        <x:f>MAX(0,MIN('Activities'!L410,96)-MAX('Activities'!K410,90))</x:f>
        <x:v>0</x:v>
      </x:c>
      <x:c r="U410" s="22" t="n">
        <x:f>MAX(0,MIN('Activities'!L410,102)-MAX('Activities'!K410,96))</x:f>
        <x:v>0</x:v>
      </x:c>
      <x:c r="V410" s="22" t="n">
        <x:f>MAX(0,MIN('Activities'!L410,108)-MAX('Activities'!K410,102))</x:f>
        <x:v>0</x:v>
      </x:c>
      <x:c r="W410" s="22" t="n">
        <x:f>MAX(0,MIN('Activities'!L410,114)-MAX('Activities'!K410,108))</x:f>
        <x:v>0</x:v>
      </x:c>
      <x:c r="X410" s="22" t="n">
        <x:f>MAX(0,MIN('Activities'!L410,120)-MAX('Activities'!K410,114))</x:f>
        <x:v>0</x:v>
      </x:c>
      <x:c r="Y410" s="22" t="n">
        <x:f>MAX(0,MIN('Activities'!L410,126)-MAX('Activities'!K410,120))</x:f>
        <x:v>0</x:v>
      </x:c>
      <x:c r="Z410" s="22" t="n">
        <x:f>MAX(0,MIN('Activities'!L410,132)-MAX('Activities'!K410,126))</x:f>
        <x:v>0</x:v>
      </x:c>
      <x:c r="AA410" s="22" t="n">
        <x:f>MAX(0,MIN('Activities'!L410,138)-MAX('Activities'!K410,132))</x:f>
        <x:v>0</x:v>
      </x:c>
      <x:c r="AB410" s="22" t="n">
        <x:f>MAX(0,MIN('Activities'!L410,144)-MAX('Activities'!K410,138))</x:f>
        <x:v>0</x:v>
      </x:c>
      <x:c r="AC410" s="22" t="n">
        <x:f>MAX(0,MIN('Activities'!L410,150)-MAX('Activities'!K410,144))</x:f>
        <x:v>0</x:v>
      </x:c>
      <x:c r="AD410" s="22" t="n">
        <x:f>MAX(0,MIN('Activities'!L410,156)-MAX('Activities'!K410,150))</x:f>
        <x:v>0</x:v>
      </x:c>
      <x:c r="AE410" s="22" t="n">
        <x:f>MAX(0,MIN('Activities'!L410,162)-MAX('Activities'!K410,156))</x:f>
        <x:v>0</x:v>
      </x:c>
      <x:c r="AF410" s="22" t="n">
        <x:f>MAX(0,MIN('Activities'!L410,168)-MAX('Activities'!K410,162))</x:f>
        <x:v>0</x:v>
      </x:c>
      <x:c r="AG410" s="22" t="n">
        <x:f>MAX(0,MIN('Activities'!L410,174)-MAX('Activities'!K410,168))</x:f>
        <x:v>0</x:v>
      </x:c>
      <x:c r="AH410" s="22" t="n">
        <x:f>MAX(0,MIN('Activities'!L410,180)-MAX('Activities'!K410,174))</x:f>
        <x:v>0</x:v>
      </x:c>
      <x:c r="AI410" s="22" t="n">
        <x:f>MAX(0,MIN('Activities'!L410,186)-MAX('Activities'!K410,180))</x:f>
        <x:v>0</x:v>
      </x:c>
      <x:c r="AJ410" s="22" t="n">
        <x:f>MAX(0,MIN('Activities'!L410,192)-MAX('Activities'!K410,186))</x:f>
        <x:v>0</x:v>
      </x:c>
      <x:c r="AK410" s="22" t="n">
        <x:f>MAX(0,MIN('Activities'!L410,198)-MAX('Activities'!K410,192))</x:f>
        <x:v>0</x:v>
      </x:c>
      <x:c r="AL410" s="22" t="n">
        <x:f>MAX(0,MIN('Activities'!L410,204)-MAX('Activities'!K410,198))</x:f>
        <x:v>0</x:v>
      </x:c>
      <x:c r="AM410" s="22" t="n">
        <x:f>MAX(0,MIN('Activities'!L410,210)-MAX('Activities'!K410,204))</x:f>
        <x:v>0</x:v>
      </x:c>
      <x:c r="AN410" s="22" t="n">
        <x:f>MAX(0,MIN('Activities'!L410,216)-MAX('Activities'!K410,210))</x:f>
        <x:v>0</x:v>
      </x:c>
      <x:c r="AO410" s="22" t="n">
        <x:f>MAX(0,MIN('Activities'!L410,222)-MAX('Activities'!K410,216))</x:f>
        <x:v>0</x:v>
      </x:c>
      <x:c r="AP410" s="22" t="n">
        <x:f>MAX(0,MIN('Activities'!L410,228)-MAX('Activities'!K410,222))</x:f>
        <x:v>0</x:v>
      </x:c>
      <x:c r="AQ410" s="22" t="n">
        <x:f>MAX(0,MIN('Activities'!L410,234)-MAX('Activities'!K410,228))</x:f>
        <x:v>0</x:v>
      </x:c>
      <x:c r="AR410" s="22" t="n">
        <x:f>MAX(0,MIN('Activities'!L410,240)-MAX('Activities'!K410,234))</x:f>
        <x:v>0</x:v>
      </x:c>
      <x:c r="AS410" s="22" t="n">
        <x:f>MAX(0,MIN('Activities'!L410,246)-MAX('Activities'!K410,240))</x:f>
        <x:v>0</x:v>
      </x:c>
      <x:c r="AT410" s="22" t="n">
        <x:f>MAX(0,MIN('Activities'!L410,252)-MAX('Activities'!K410,246))</x:f>
        <x:v>0</x:v>
      </x:c>
      <x:c r="AU410" s="22" t="n">
        <x:f>MAX(0,MIN('Activities'!L410,258)-MAX('Activities'!K410,252))</x:f>
        <x:v>0</x:v>
      </x:c>
      <x:c r="AV410" s="22" t="n">
        <x:f>MAX(0,MIN('Activities'!L410,264)-MAX('Activities'!K410,258))</x:f>
        <x:v>0</x:v>
      </x:c>
      <x:c r="AW410" s="22" t="n">
        <x:f>MAX(0,MIN('Activities'!L410,270)-MAX('Activities'!K410,264))</x:f>
        <x:v>0</x:v>
      </x:c>
      <x:c r="AX410" s="22" t="n">
        <x:f>MAX(0,MIN('Activities'!L410,276)-MAX('Activities'!K410,270))</x:f>
        <x:v>0</x:v>
      </x:c>
      <x:c r="AY410" s="22" t="n">
        <x:f>MAX(0,MIN('Activities'!L410,282)-MAX('Activities'!K410,276))</x:f>
        <x:v>0</x:v>
      </x:c>
      <x:c r="AZ410" s="22" t="n">
        <x:f>MAX(0,MIN('Activities'!L410,288)-MAX('Activities'!K410,282))</x:f>
        <x:v>0</x:v>
      </x:c>
      <x:c r="BA410" s="22" t="n">
        <x:f>MAX(0,MIN('Activities'!L410,294)-MAX('Activities'!K410,288))</x:f>
        <x:v>0</x:v>
      </x:c>
      <x:c r="BB410" s="22" t="n">
        <x:f>MAX(0,MIN('Activities'!L410,300)-MAX('Activities'!K410,294))</x:f>
        <x:v>0</x:v>
      </x:c>
      <x:c r="BC410" s="22" t="n">
        <x:f>MAX(0,MIN('Activities'!L410,306)-MAX('Activities'!K410,300))</x:f>
        <x:v>0</x:v>
      </x:c>
      <x:c r="BD410" s="22" t="n">
        <x:f>MAX(0,MIN('Activities'!L410,312)-MAX('Activities'!K410,306))</x:f>
        <x:v>0</x:v>
      </x:c>
      <x:c r="BE410" s="22" t="n">
        <x:f>MAX(0,MIN('Activities'!L410,318)-MAX('Activities'!K410,312))</x:f>
        <x:v>0</x:v>
      </x:c>
      <x:c r="BF410" s="22" t="n">
        <x:f>MAX(0,MIN('Activities'!L410,324)-MAX('Activities'!K410,318))</x:f>
        <x:v>0</x:v>
      </x:c>
      <x:c r="BG410" s="22" t="n">
        <x:f>MAX(0,MIN('Activities'!L410,330)-MAX('Activities'!K410,324))</x:f>
        <x:v>0</x:v>
      </x:c>
      <x:c r="BH410" s="22" t="n">
        <x:f>MAX(0,MIN('Activities'!L410,336)-MAX('Activities'!K410,330))</x:f>
        <x:v>0</x:v>
      </x:c>
      <x:c r="BI410" s="22" t="n">
        <x:f>MAX(0,MIN('Activities'!L410,342)-MAX('Activities'!K410,336))</x:f>
        <x:v>0</x:v>
      </x:c>
      <x:c r="BJ410" s="22" t="n">
        <x:f>MAX(0,MIN('Activities'!L410,348)-MAX('Activities'!K410,342))</x:f>
        <x:v>0</x:v>
      </x:c>
      <x:c r="BK410" s="22" t="n">
        <x:f>MAX(0,MIN('Activities'!L410,354)-MAX('Activities'!K410,348))</x:f>
        <x:v>0</x:v>
      </x:c>
      <x:c r="BL410" s="22" t="n">
        <x:f>MAX(0,MIN('Activities'!L410,360)-MAX('Activities'!K410,354))</x:f>
        <x:v>0</x:v>
      </x:c>
      <x:c r="BM410" s="22" t="n">
        <x:f>MAX(0,MIN('Activities'!L410,366)-MAX('Activities'!K410,360))</x:f>
        <x:v>0</x:v>
      </x:c>
      <x:c r="BN410" s="22" t="n">
        <x:f>MAX(0,MIN('Activities'!L410,372)-MAX('Activities'!K410,366))</x:f>
        <x:v>0</x:v>
      </x:c>
      <x:c r="BO410" s="22" t="n">
        <x:f>MAX(0,MIN('Activities'!L410,378)-MAX('Activities'!K410,372))</x:f>
        <x:v>0</x:v>
      </x:c>
      <x:c r="BP410" s="22" t="n">
        <x:f>MAX(0,MIN('Activities'!L410,384)-MAX('Activities'!K410,378))</x:f>
        <x:v>0</x:v>
      </x:c>
      <x:c r="BQ410" s="22" t="n">
        <x:f>MAX(0,MIN('Activities'!L410,390)-MAX('Activities'!K410,384))</x:f>
        <x:v>0</x:v>
      </x:c>
      <x:c r="BR410" s="22" t="n">
        <x:f>MAX(0,MIN('Activities'!L410,396)-MAX('Activities'!K410,390))</x:f>
        <x:v>0</x:v>
      </x:c>
      <x:c r="BS410" s="22" t="n">
        <x:f>MAX(0,MIN('Activities'!L410,402)-MAX('Activities'!K410,396))</x:f>
        <x:v>0</x:v>
      </x:c>
      <x:c r="BT410" s="22" t="n">
        <x:f>MAX(0,MIN('Activities'!L410,408)-MAX('Activities'!K410,402))</x:f>
        <x:v>3</x:v>
      </x:c>
      <x:c r="BU410" s="22" t="n">
        <x:f>MAX(0,MIN('Activities'!L410,414)-MAX('Activities'!K410,408))</x:f>
        <x:v>3</x:v>
      </x:c>
      <x:c r="BV410" s="22" t="n">
        <x:f>MAX(0,MIN('Activities'!L410,420)-MAX('Activities'!K410,414))</x:f>
        <x:v>0</x:v>
      </x:c>
      <x:c r="BW410" s="22" t="n">
        <x:f>MAX(0,MIN('Activities'!L410,426)-MAX('Activities'!K410,420))</x:f>
        <x:v>0</x:v>
      </x:c>
      <x:c r="BX410" s="22" t="n">
        <x:f>MAX(0,MIN('Activities'!L410,432)-MAX('Activities'!K410,426))</x:f>
        <x:v>0</x:v>
      </x:c>
      <x:c r="BY410" s="22" t="n">
        <x:f>MAX(0,MIN('Activities'!L410,438)-MAX('Activities'!K410,432))</x:f>
        <x:v>0</x:v>
      </x:c>
      <x:c r="BZ410" s="22" t="n">
        <x:f>MAX(0,MIN('Activities'!L410,444)-MAX('Activities'!K410,438))</x:f>
        <x:v>0</x:v>
      </x:c>
      <x:c r="CA410" s="22" t="n">
        <x:f>MAX(0,MIN('Activities'!L410,450)-MAX('Activities'!K410,444))</x:f>
        <x:v>0</x:v>
      </x:c>
      <x:c r="CB410" s="22" t="n">
        <x:f>MAX(0,MIN('Activities'!L410,456)-MAX('Activities'!K410,450))</x:f>
        <x:v>0</x:v>
      </x:c>
      <x:c r="CC410" s="22" t="n">
        <x:f>MAX(0,MIN('Activities'!L410,462)-MAX('Activities'!K410,456))</x:f>
        <x:v>0</x:v>
      </x:c>
      <x:c r="CD410" s="22" t="n">
        <x:f>MAX(0,MIN('Activities'!L410,468)-MAX('Activities'!K410,462))</x:f>
        <x:v>0</x:v>
      </x:c>
      <x:c r="CE410" s="22" t="n">
        <x:f>MAX(0,MIN('Activities'!L410,474)-MAX('Activities'!K410,468))</x:f>
        <x:v>0</x:v>
      </x:c>
      <x:c r="CF410" s="22" t="n">
        <x:f>MAX(0,MIN('Activities'!L410,480)-MAX('Activities'!K410,474))</x:f>
        <x:v>0</x:v>
      </x:c>
      <x:c r="CG410" s="22" t="n">
        <x:f>MAX(0,MIN('Activities'!L410,486)-MAX('Activities'!K410,480))</x:f>
        <x:v>0</x:v>
      </x:c>
      <x:c r="CH410" s="22" t="n">
        <x:f>MAX(0,MIN('Activities'!L410,492)-MAX('Activities'!K410,486))</x:f>
        <x:v>0</x:v>
      </x:c>
      <x:c r="CI410" s="22" t="n">
        <x:f>MAX(0,MIN('Activities'!L410,498)-MAX('Activities'!K410,492))</x:f>
        <x:v>0</x:v>
      </x:c>
      <x:c r="CJ410" s="22" t="n">
        <x:f>MAX(0,MIN('Activities'!L410,504)-MAX('Activities'!K410,498))</x:f>
        <x:v>0</x:v>
      </x:c>
      <x:c r="CK410" s="22" t="n">
        <x:f>MAX(0,MIN('Activities'!L410,510)-MAX('Activities'!K410,504))</x:f>
        <x:v>0</x:v>
      </x:c>
      <x:c r="CL410" s="22" t="n">
        <x:f>MAX(0,MIN('Activities'!L410,516)-MAX('Activities'!K410,510))</x:f>
        <x:v>0</x:v>
      </x:c>
      <x:c r="CM410" s="22" t="n">
        <x:f>MAX(0,MIN('Activities'!L410,522)-MAX('Activities'!K410,516))</x:f>
        <x:v>0</x:v>
      </x:c>
      <x:c r="CN410" s="22" t="n">
        <x:f>MAX(0,MIN('Activities'!L410,528)-MAX('Activities'!K410,522))</x:f>
        <x:v>0</x:v>
      </x:c>
      <x:c r="CO410" s="22" t="n">
        <x:f>MAX(0,MIN('Activities'!L410,534)-MAX('Activities'!K410,528))</x:f>
        <x:v>0</x:v>
      </x:c>
      <x:c r="CP410" s="22" t="n">
        <x:f>MAX(0,MIN('Activities'!L410,540)-MAX('Activities'!K410,534))</x:f>
        <x:v>0</x:v>
      </x:c>
      <x:c r="CQ410" s="22" t="n">
        <x:f>MAX(0,MIN('Activities'!L410,546)-MAX('Activities'!K410,540))</x:f>
        <x:v>0</x:v>
      </x:c>
      <x:c r="CR410" s="22" t="n">
        <x:f>MAX(0,MIN('Activities'!L410,552)-MAX('Activities'!K410,546))</x:f>
        <x:v>0</x:v>
      </x:c>
      <x:c r="CS410" s="22" t="n">
        <x:f>MAX(0,MIN('Activities'!L410,558)-MAX('Activities'!K410,552))</x:f>
        <x:v>0</x:v>
      </x:c>
      <x:c r="CT410" s="22" t="n">
        <x:f>MAX(0,MIN('Activities'!L410,564)-MAX('Activities'!K410,558))</x:f>
        <x:v>0</x:v>
      </x:c>
      <x:c r="CU410" s="22" t="n">
        <x:f>MAX(0,MIN('Activities'!L410,570)-MAX('Activities'!K410,564))</x:f>
        <x:v>0</x:v>
      </x:c>
      <x:c r="CV410" s="22" t="n">
        <x:f>MAX(0,MIN('Activities'!L410,576)-MAX('Activities'!K410,570))</x:f>
        <x:v>0</x:v>
      </x:c>
      <x:c r="CW410" s="22" t="n">
        <x:f>MAX(0,MIN('Activities'!L410,582)-MAX('Activities'!K410,576))</x:f>
        <x:v>0</x:v>
      </x:c>
      <x:c r="CX410" s="22" t="n">
        <x:f>MAX(0,MIN('Activities'!L410,588)-MAX('Activities'!K410,582))</x:f>
        <x:v>0</x:v>
      </x:c>
      <x:c r="CY410" s="22" t="n">
        <x:f>MAX(0,MIN('Activities'!L410,594)-MAX('Activities'!K410,588))</x:f>
        <x:v>0</x:v>
      </x:c>
      <x:c r="CZ410" s="22" t="n">
        <x:f>MAX(0,MIN('Activities'!L410,600)-MAX('Activities'!K410,594))</x:f>
        <x:v>0</x:v>
      </x:c>
      <x:c r="DA410" s="22" t="n">
        <x:f>MAX(0,MIN('Activities'!L410,606)-MAX('Activities'!K410,600))</x:f>
        <x:v>0</x:v>
      </x:c>
      <x:c r="DB410" s="22" t="n">
        <x:f>MAX(0,MIN('Activities'!L410,612)-MAX('Activities'!K410,606))</x:f>
        <x:v>0</x:v>
      </x:c>
      <x:c r="DC410" s="22" t="n">
        <x:f>MAX(0,MIN('Activities'!L410,618)-MAX('Activities'!K410,612))</x:f>
        <x:v>0</x:v>
      </x:c>
      <x:c r="DD410" s="22" t="n">
        <x:f>MAX(0,MIN('Activities'!L410,624)-MAX('Activities'!K410,618))</x:f>
        <x:v>0</x:v>
      </x:c>
      <x:c r="DE410" s="22" t="n">
        <x:f>MAX(0,MIN('Activities'!L410,630)-MAX('Activities'!K410,624))</x:f>
        <x:v>0</x:v>
      </x:c>
      <x:c r="DF410" s="22" t="n">
        <x:f>MAX(0,MIN('Activities'!L410,636)-MAX('Activities'!K410,630))</x:f>
        <x:v>0</x:v>
      </x:c>
    </x:row>
    <x:row r="411" ht="23" customHeight="1">
      <x:c r="A411" s="1" t="str">
        <x:v>T3-L12-S</x:v>
      </x:c>
      <x:c r="B411" s="1" t="str">
        <x:v>T3</x:v>
      </x:c>
      <x:c r="C411" s="1" t="str">
        <x:v>Screed and substrate preparation</x:v>
      </x:c>
      <x:c r="D411" s="1" t="str">
        <x:v>Finishes</x:v>
      </x:c>
      <x:c r="E411" s="23" t="n">
        <x:f>MAX(0,MIN('Activities'!L411,6)-MAX('Activities'!K411,0))</x:f>
        <x:v>0</x:v>
      </x:c>
      <x:c r="F411" s="23" t="n">
        <x:f>MAX(0,MIN('Activities'!L411,12)-MAX('Activities'!K411,6))</x:f>
        <x:v>0</x:v>
      </x:c>
      <x:c r="G411" s="23" t="n">
        <x:f>MAX(0,MIN('Activities'!L411,18)-MAX('Activities'!K411,12))</x:f>
        <x:v>0</x:v>
      </x:c>
      <x:c r="H411" s="23" t="n">
        <x:f>MAX(0,MIN('Activities'!L411,24)-MAX('Activities'!K411,18))</x:f>
        <x:v>0</x:v>
      </x:c>
      <x:c r="I411" s="23" t="n">
        <x:f>MAX(0,MIN('Activities'!L411,30)-MAX('Activities'!K411,24))</x:f>
        <x:v>0</x:v>
      </x:c>
      <x:c r="J411" s="23" t="n">
        <x:f>MAX(0,MIN('Activities'!L411,36)-MAX('Activities'!K411,30))</x:f>
        <x:v>0</x:v>
      </x:c>
      <x:c r="K411" s="23" t="n">
        <x:f>MAX(0,MIN('Activities'!L411,42)-MAX('Activities'!K411,36))</x:f>
        <x:v>0</x:v>
      </x:c>
      <x:c r="L411" s="23" t="n">
        <x:f>MAX(0,MIN('Activities'!L411,48)-MAX('Activities'!K411,42))</x:f>
        <x:v>0</x:v>
      </x:c>
      <x:c r="M411" s="23" t="n">
        <x:f>MAX(0,MIN('Activities'!L411,54)-MAX('Activities'!K411,48))</x:f>
        <x:v>0</x:v>
      </x:c>
      <x:c r="N411" s="23" t="n">
        <x:f>MAX(0,MIN('Activities'!L411,60)-MAX('Activities'!K411,54))</x:f>
        <x:v>0</x:v>
      </x:c>
      <x:c r="O411" s="23" t="n">
        <x:f>MAX(0,MIN('Activities'!L411,66)-MAX('Activities'!K411,60))</x:f>
        <x:v>0</x:v>
      </x:c>
      <x:c r="P411" s="23" t="n">
        <x:f>MAX(0,MIN('Activities'!L411,72)-MAX('Activities'!K411,66))</x:f>
        <x:v>0</x:v>
      </x:c>
      <x:c r="Q411" s="23" t="n">
        <x:f>MAX(0,MIN('Activities'!L411,78)-MAX('Activities'!K411,72))</x:f>
        <x:v>0</x:v>
      </x:c>
      <x:c r="R411" s="23" t="n">
        <x:f>MAX(0,MIN('Activities'!L411,84)-MAX('Activities'!K411,78))</x:f>
        <x:v>0</x:v>
      </x:c>
      <x:c r="S411" s="23" t="n">
        <x:f>MAX(0,MIN('Activities'!L411,90)-MAX('Activities'!K411,84))</x:f>
        <x:v>0</x:v>
      </x:c>
      <x:c r="T411" s="23" t="n">
        <x:f>MAX(0,MIN('Activities'!L411,96)-MAX('Activities'!K411,90))</x:f>
        <x:v>0</x:v>
      </x:c>
      <x:c r="U411" s="23" t="n">
        <x:f>MAX(0,MIN('Activities'!L411,102)-MAX('Activities'!K411,96))</x:f>
        <x:v>0</x:v>
      </x:c>
      <x:c r="V411" s="23" t="n">
        <x:f>MAX(0,MIN('Activities'!L411,108)-MAX('Activities'!K411,102))</x:f>
        <x:v>0</x:v>
      </x:c>
      <x:c r="W411" s="23" t="n">
        <x:f>MAX(0,MIN('Activities'!L411,114)-MAX('Activities'!K411,108))</x:f>
        <x:v>0</x:v>
      </x:c>
      <x:c r="X411" s="23" t="n">
        <x:f>MAX(0,MIN('Activities'!L411,120)-MAX('Activities'!K411,114))</x:f>
        <x:v>0</x:v>
      </x:c>
      <x:c r="Y411" s="23" t="n">
        <x:f>MAX(0,MIN('Activities'!L411,126)-MAX('Activities'!K411,120))</x:f>
        <x:v>0</x:v>
      </x:c>
      <x:c r="Z411" s="23" t="n">
        <x:f>MAX(0,MIN('Activities'!L411,132)-MAX('Activities'!K411,126))</x:f>
        <x:v>0</x:v>
      </x:c>
      <x:c r="AA411" s="23" t="n">
        <x:f>MAX(0,MIN('Activities'!L411,138)-MAX('Activities'!K411,132))</x:f>
        <x:v>0</x:v>
      </x:c>
      <x:c r="AB411" s="23" t="n">
        <x:f>MAX(0,MIN('Activities'!L411,144)-MAX('Activities'!K411,138))</x:f>
        <x:v>0</x:v>
      </x:c>
      <x:c r="AC411" s="23" t="n">
        <x:f>MAX(0,MIN('Activities'!L411,150)-MAX('Activities'!K411,144))</x:f>
        <x:v>0</x:v>
      </x:c>
      <x:c r="AD411" s="23" t="n">
        <x:f>MAX(0,MIN('Activities'!L411,156)-MAX('Activities'!K411,150))</x:f>
        <x:v>0</x:v>
      </x:c>
      <x:c r="AE411" s="23" t="n">
        <x:f>MAX(0,MIN('Activities'!L411,162)-MAX('Activities'!K411,156))</x:f>
        <x:v>0</x:v>
      </x:c>
      <x:c r="AF411" s="23" t="n">
        <x:f>MAX(0,MIN('Activities'!L411,168)-MAX('Activities'!K411,162))</x:f>
        <x:v>0</x:v>
      </x:c>
      <x:c r="AG411" s="23" t="n">
        <x:f>MAX(0,MIN('Activities'!L411,174)-MAX('Activities'!K411,168))</x:f>
        <x:v>0</x:v>
      </x:c>
      <x:c r="AH411" s="23" t="n">
        <x:f>MAX(0,MIN('Activities'!L411,180)-MAX('Activities'!K411,174))</x:f>
        <x:v>0</x:v>
      </x:c>
      <x:c r="AI411" s="23" t="n">
        <x:f>MAX(0,MIN('Activities'!L411,186)-MAX('Activities'!K411,180))</x:f>
        <x:v>0</x:v>
      </x:c>
      <x:c r="AJ411" s="23" t="n">
        <x:f>MAX(0,MIN('Activities'!L411,192)-MAX('Activities'!K411,186))</x:f>
        <x:v>0</x:v>
      </x:c>
      <x:c r="AK411" s="23" t="n">
        <x:f>MAX(0,MIN('Activities'!L411,198)-MAX('Activities'!K411,192))</x:f>
        <x:v>0</x:v>
      </x:c>
      <x:c r="AL411" s="23" t="n">
        <x:f>MAX(0,MIN('Activities'!L411,204)-MAX('Activities'!K411,198))</x:f>
        <x:v>0</x:v>
      </x:c>
      <x:c r="AM411" s="23" t="n">
        <x:f>MAX(0,MIN('Activities'!L411,210)-MAX('Activities'!K411,204))</x:f>
        <x:v>0</x:v>
      </x:c>
      <x:c r="AN411" s="23" t="n">
        <x:f>MAX(0,MIN('Activities'!L411,216)-MAX('Activities'!K411,210))</x:f>
        <x:v>0</x:v>
      </x:c>
      <x:c r="AO411" s="23" t="n">
        <x:f>MAX(0,MIN('Activities'!L411,222)-MAX('Activities'!K411,216))</x:f>
        <x:v>0</x:v>
      </x:c>
      <x:c r="AP411" s="23" t="n">
        <x:f>MAX(0,MIN('Activities'!L411,228)-MAX('Activities'!K411,222))</x:f>
        <x:v>0</x:v>
      </x:c>
      <x:c r="AQ411" s="23" t="n">
        <x:f>MAX(0,MIN('Activities'!L411,234)-MAX('Activities'!K411,228))</x:f>
        <x:v>0</x:v>
      </x:c>
      <x:c r="AR411" s="23" t="n">
        <x:f>MAX(0,MIN('Activities'!L411,240)-MAX('Activities'!K411,234))</x:f>
        <x:v>0</x:v>
      </x:c>
      <x:c r="AS411" s="23" t="n">
        <x:f>MAX(0,MIN('Activities'!L411,246)-MAX('Activities'!K411,240))</x:f>
        <x:v>0</x:v>
      </x:c>
      <x:c r="AT411" s="23" t="n">
        <x:f>MAX(0,MIN('Activities'!L411,252)-MAX('Activities'!K411,246))</x:f>
        <x:v>0</x:v>
      </x:c>
      <x:c r="AU411" s="23" t="n">
        <x:f>MAX(0,MIN('Activities'!L411,258)-MAX('Activities'!K411,252))</x:f>
        <x:v>0</x:v>
      </x:c>
      <x:c r="AV411" s="23" t="n">
        <x:f>MAX(0,MIN('Activities'!L411,264)-MAX('Activities'!K411,258))</x:f>
        <x:v>0</x:v>
      </x:c>
      <x:c r="AW411" s="23" t="n">
        <x:f>MAX(0,MIN('Activities'!L411,270)-MAX('Activities'!K411,264))</x:f>
        <x:v>0</x:v>
      </x:c>
      <x:c r="AX411" s="23" t="n">
        <x:f>MAX(0,MIN('Activities'!L411,276)-MAX('Activities'!K411,270))</x:f>
        <x:v>0</x:v>
      </x:c>
      <x:c r="AY411" s="23" t="n">
        <x:f>MAX(0,MIN('Activities'!L411,282)-MAX('Activities'!K411,276))</x:f>
        <x:v>0</x:v>
      </x:c>
      <x:c r="AZ411" s="23" t="n">
        <x:f>MAX(0,MIN('Activities'!L411,288)-MAX('Activities'!K411,282))</x:f>
        <x:v>0</x:v>
      </x:c>
      <x:c r="BA411" s="23" t="n">
        <x:f>MAX(0,MIN('Activities'!L411,294)-MAX('Activities'!K411,288))</x:f>
        <x:v>0</x:v>
      </x:c>
      <x:c r="BB411" s="23" t="n">
        <x:f>MAX(0,MIN('Activities'!L411,300)-MAX('Activities'!K411,294))</x:f>
        <x:v>0</x:v>
      </x:c>
      <x:c r="BC411" s="23" t="n">
        <x:f>MAX(0,MIN('Activities'!L411,306)-MAX('Activities'!K411,300))</x:f>
        <x:v>0</x:v>
      </x:c>
      <x:c r="BD411" s="23" t="n">
        <x:f>MAX(0,MIN('Activities'!L411,312)-MAX('Activities'!K411,306))</x:f>
        <x:v>0</x:v>
      </x:c>
      <x:c r="BE411" s="23" t="n">
        <x:f>MAX(0,MIN('Activities'!L411,318)-MAX('Activities'!K411,312))</x:f>
        <x:v>0</x:v>
      </x:c>
      <x:c r="BF411" s="23" t="n">
        <x:f>MAX(0,MIN('Activities'!L411,324)-MAX('Activities'!K411,318))</x:f>
        <x:v>0</x:v>
      </x:c>
      <x:c r="BG411" s="23" t="n">
        <x:f>MAX(0,MIN('Activities'!L411,330)-MAX('Activities'!K411,324))</x:f>
        <x:v>0</x:v>
      </x:c>
      <x:c r="BH411" s="23" t="n">
        <x:f>MAX(0,MIN('Activities'!L411,336)-MAX('Activities'!K411,330))</x:f>
        <x:v>0</x:v>
      </x:c>
      <x:c r="BI411" s="23" t="n">
        <x:f>MAX(0,MIN('Activities'!L411,342)-MAX('Activities'!K411,336))</x:f>
        <x:v>0</x:v>
      </x:c>
      <x:c r="BJ411" s="23" t="n">
        <x:f>MAX(0,MIN('Activities'!L411,348)-MAX('Activities'!K411,342))</x:f>
        <x:v>0</x:v>
      </x:c>
      <x:c r="BK411" s="23" t="n">
        <x:f>MAX(0,MIN('Activities'!L411,354)-MAX('Activities'!K411,348))</x:f>
        <x:v>0</x:v>
      </x:c>
      <x:c r="BL411" s="23" t="n">
        <x:f>MAX(0,MIN('Activities'!L411,360)-MAX('Activities'!K411,354))</x:f>
        <x:v>0</x:v>
      </x:c>
      <x:c r="BM411" s="23" t="n">
        <x:f>MAX(0,MIN('Activities'!L411,366)-MAX('Activities'!K411,360))</x:f>
        <x:v>0</x:v>
      </x:c>
      <x:c r="BN411" s="23" t="n">
        <x:f>MAX(0,MIN('Activities'!L411,372)-MAX('Activities'!K411,366))</x:f>
        <x:v>0</x:v>
      </x:c>
      <x:c r="BO411" s="23" t="n">
        <x:f>MAX(0,MIN('Activities'!L411,378)-MAX('Activities'!K411,372))</x:f>
        <x:v>0</x:v>
      </x:c>
      <x:c r="BP411" s="23" t="n">
        <x:f>MAX(0,MIN('Activities'!L411,384)-MAX('Activities'!K411,378))</x:f>
        <x:v>0</x:v>
      </x:c>
      <x:c r="BQ411" s="23" t="n">
        <x:f>MAX(0,MIN('Activities'!L411,390)-MAX('Activities'!K411,384))</x:f>
        <x:v>0</x:v>
      </x:c>
      <x:c r="BR411" s="23" t="n">
        <x:f>MAX(0,MIN('Activities'!L411,396)-MAX('Activities'!K411,390))</x:f>
        <x:v>0</x:v>
      </x:c>
      <x:c r="BS411" s="23" t="n">
        <x:f>MAX(0,MIN('Activities'!L411,402)-MAX('Activities'!K411,396))</x:f>
        <x:v>0</x:v>
      </x:c>
      <x:c r="BT411" s="23" t="n">
        <x:f>MAX(0,MIN('Activities'!L411,408)-MAX('Activities'!K411,402))</x:f>
        <x:v>0</x:v>
      </x:c>
      <x:c r="BU411" s="23" t="n">
        <x:f>MAX(0,MIN('Activities'!L411,414)-MAX('Activities'!K411,408))</x:f>
        <x:v>1</x:v>
      </x:c>
      <x:c r="BV411" s="23" t="n">
        <x:f>MAX(0,MIN('Activities'!L411,420)-MAX('Activities'!K411,414))</x:f>
        <x:v>2</x:v>
      </x:c>
      <x:c r="BW411" s="23" t="n">
        <x:f>MAX(0,MIN('Activities'!L411,426)-MAX('Activities'!K411,420))</x:f>
        <x:v>0</x:v>
      </x:c>
      <x:c r="BX411" s="23" t="n">
        <x:f>MAX(0,MIN('Activities'!L411,432)-MAX('Activities'!K411,426))</x:f>
        <x:v>0</x:v>
      </x:c>
      <x:c r="BY411" s="23" t="n">
        <x:f>MAX(0,MIN('Activities'!L411,438)-MAX('Activities'!K411,432))</x:f>
        <x:v>0</x:v>
      </x:c>
      <x:c r="BZ411" s="23" t="n">
        <x:f>MAX(0,MIN('Activities'!L411,444)-MAX('Activities'!K411,438))</x:f>
        <x:v>0</x:v>
      </x:c>
      <x:c r="CA411" s="23" t="n">
        <x:f>MAX(0,MIN('Activities'!L411,450)-MAX('Activities'!K411,444))</x:f>
        <x:v>0</x:v>
      </x:c>
      <x:c r="CB411" s="23" t="n">
        <x:f>MAX(0,MIN('Activities'!L411,456)-MAX('Activities'!K411,450))</x:f>
        <x:v>0</x:v>
      </x:c>
      <x:c r="CC411" s="23" t="n">
        <x:f>MAX(0,MIN('Activities'!L411,462)-MAX('Activities'!K411,456))</x:f>
        <x:v>0</x:v>
      </x:c>
      <x:c r="CD411" s="23" t="n">
        <x:f>MAX(0,MIN('Activities'!L411,468)-MAX('Activities'!K411,462))</x:f>
        <x:v>0</x:v>
      </x:c>
      <x:c r="CE411" s="23" t="n">
        <x:f>MAX(0,MIN('Activities'!L411,474)-MAX('Activities'!K411,468))</x:f>
        <x:v>0</x:v>
      </x:c>
      <x:c r="CF411" s="23" t="n">
        <x:f>MAX(0,MIN('Activities'!L411,480)-MAX('Activities'!K411,474))</x:f>
        <x:v>0</x:v>
      </x:c>
      <x:c r="CG411" s="23" t="n">
        <x:f>MAX(0,MIN('Activities'!L411,486)-MAX('Activities'!K411,480))</x:f>
        <x:v>0</x:v>
      </x:c>
      <x:c r="CH411" s="23" t="n">
        <x:f>MAX(0,MIN('Activities'!L411,492)-MAX('Activities'!K411,486))</x:f>
        <x:v>0</x:v>
      </x:c>
      <x:c r="CI411" s="23" t="n">
        <x:f>MAX(0,MIN('Activities'!L411,498)-MAX('Activities'!K411,492))</x:f>
        <x:v>0</x:v>
      </x:c>
      <x:c r="CJ411" s="23" t="n">
        <x:f>MAX(0,MIN('Activities'!L411,504)-MAX('Activities'!K411,498))</x:f>
        <x:v>0</x:v>
      </x:c>
      <x:c r="CK411" s="23" t="n">
        <x:f>MAX(0,MIN('Activities'!L411,510)-MAX('Activities'!K411,504))</x:f>
        <x:v>0</x:v>
      </x:c>
      <x:c r="CL411" s="23" t="n">
        <x:f>MAX(0,MIN('Activities'!L411,516)-MAX('Activities'!K411,510))</x:f>
        <x:v>0</x:v>
      </x:c>
      <x:c r="CM411" s="23" t="n">
        <x:f>MAX(0,MIN('Activities'!L411,522)-MAX('Activities'!K411,516))</x:f>
        <x:v>0</x:v>
      </x:c>
      <x:c r="CN411" s="23" t="n">
        <x:f>MAX(0,MIN('Activities'!L411,528)-MAX('Activities'!K411,522))</x:f>
        <x:v>0</x:v>
      </x:c>
      <x:c r="CO411" s="23" t="n">
        <x:f>MAX(0,MIN('Activities'!L411,534)-MAX('Activities'!K411,528))</x:f>
        <x:v>0</x:v>
      </x:c>
      <x:c r="CP411" s="23" t="n">
        <x:f>MAX(0,MIN('Activities'!L411,540)-MAX('Activities'!K411,534))</x:f>
        <x:v>0</x:v>
      </x:c>
      <x:c r="CQ411" s="23" t="n">
        <x:f>MAX(0,MIN('Activities'!L411,546)-MAX('Activities'!K411,540))</x:f>
        <x:v>0</x:v>
      </x:c>
      <x:c r="CR411" s="23" t="n">
        <x:f>MAX(0,MIN('Activities'!L411,552)-MAX('Activities'!K411,546))</x:f>
        <x:v>0</x:v>
      </x:c>
      <x:c r="CS411" s="23" t="n">
        <x:f>MAX(0,MIN('Activities'!L411,558)-MAX('Activities'!K411,552))</x:f>
        <x:v>0</x:v>
      </x:c>
      <x:c r="CT411" s="23" t="n">
        <x:f>MAX(0,MIN('Activities'!L411,564)-MAX('Activities'!K411,558))</x:f>
        <x:v>0</x:v>
      </x:c>
      <x:c r="CU411" s="23" t="n">
        <x:f>MAX(0,MIN('Activities'!L411,570)-MAX('Activities'!K411,564))</x:f>
        <x:v>0</x:v>
      </x:c>
      <x:c r="CV411" s="23" t="n">
        <x:f>MAX(0,MIN('Activities'!L411,576)-MAX('Activities'!K411,570))</x:f>
        <x:v>0</x:v>
      </x:c>
      <x:c r="CW411" s="23" t="n">
        <x:f>MAX(0,MIN('Activities'!L411,582)-MAX('Activities'!K411,576))</x:f>
        <x:v>0</x:v>
      </x:c>
      <x:c r="CX411" s="23" t="n">
        <x:f>MAX(0,MIN('Activities'!L411,588)-MAX('Activities'!K411,582))</x:f>
        <x:v>0</x:v>
      </x:c>
      <x:c r="CY411" s="23" t="n">
        <x:f>MAX(0,MIN('Activities'!L411,594)-MAX('Activities'!K411,588))</x:f>
        <x:v>0</x:v>
      </x:c>
      <x:c r="CZ411" s="23" t="n">
        <x:f>MAX(0,MIN('Activities'!L411,600)-MAX('Activities'!K411,594))</x:f>
        <x:v>0</x:v>
      </x:c>
      <x:c r="DA411" s="23" t="n">
        <x:f>MAX(0,MIN('Activities'!L411,606)-MAX('Activities'!K411,600))</x:f>
        <x:v>0</x:v>
      </x:c>
      <x:c r="DB411" s="23" t="n">
        <x:f>MAX(0,MIN('Activities'!L411,612)-MAX('Activities'!K411,606))</x:f>
        <x:v>0</x:v>
      </x:c>
      <x:c r="DC411" s="23" t="n">
        <x:f>MAX(0,MIN('Activities'!L411,618)-MAX('Activities'!K411,612))</x:f>
        <x:v>0</x:v>
      </x:c>
      <x:c r="DD411" s="23" t="n">
        <x:f>MAX(0,MIN('Activities'!L411,624)-MAX('Activities'!K411,618))</x:f>
        <x:v>0</x:v>
      </x:c>
      <x:c r="DE411" s="23" t="n">
        <x:f>MAX(0,MIN('Activities'!L411,630)-MAX('Activities'!K411,624))</x:f>
        <x:v>0</x:v>
      </x:c>
      <x:c r="DF411" s="23" t="n">
        <x:f>MAX(0,MIN('Activities'!L411,636)-MAX('Activities'!K411,630))</x:f>
        <x:v>0</x:v>
      </x:c>
    </x:row>
    <x:row r="412" ht="23" customHeight="1">
      <x:c r="A412" s="6" t="str">
        <x:v>T3-L12-T</x:v>
      </x:c>
      <x:c r="B412" s="6" t="str">
        <x:v>T3</x:v>
      </x:c>
      <x:c r="C412" s="6" t="str">
        <x:v>Floor finishes and skirtings</x:v>
      </x:c>
      <x:c r="D412" s="6" t="str">
        <x:v>Finishes</x:v>
      </x:c>
      <x:c r="E412" s="22" t="n">
        <x:f>MAX(0,MIN('Activities'!L412,6)-MAX('Activities'!K412,0))</x:f>
        <x:v>0</x:v>
      </x:c>
      <x:c r="F412" s="22" t="n">
        <x:f>MAX(0,MIN('Activities'!L412,12)-MAX('Activities'!K412,6))</x:f>
        <x:v>0</x:v>
      </x:c>
      <x:c r="G412" s="22" t="n">
        <x:f>MAX(0,MIN('Activities'!L412,18)-MAX('Activities'!K412,12))</x:f>
        <x:v>0</x:v>
      </x:c>
      <x:c r="H412" s="22" t="n">
        <x:f>MAX(0,MIN('Activities'!L412,24)-MAX('Activities'!K412,18))</x:f>
        <x:v>0</x:v>
      </x:c>
      <x:c r="I412" s="22" t="n">
        <x:f>MAX(0,MIN('Activities'!L412,30)-MAX('Activities'!K412,24))</x:f>
        <x:v>0</x:v>
      </x:c>
      <x:c r="J412" s="22" t="n">
        <x:f>MAX(0,MIN('Activities'!L412,36)-MAX('Activities'!K412,30))</x:f>
        <x:v>0</x:v>
      </x:c>
      <x:c r="K412" s="22" t="n">
        <x:f>MAX(0,MIN('Activities'!L412,42)-MAX('Activities'!K412,36))</x:f>
        <x:v>0</x:v>
      </x:c>
      <x:c r="L412" s="22" t="n">
        <x:f>MAX(0,MIN('Activities'!L412,48)-MAX('Activities'!K412,42))</x:f>
        <x:v>0</x:v>
      </x:c>
      <x:c r="M412" s="22" t="n">
        <x:f>MAX(0,MIN('Activities'!L412,54)-MAX('Activities'!K412,48))</x:f>
        <x:v>0</x:v>
      </x:c>
      <x:c r="N412" s="22" t="n">
        <x:f>MAX(0,MIN('Activities'!L412,60)-MAX('Activities'!K412,54))</x:f>
        <x:v>0</x:v>
      </x:c>
      <x:c r="O412" s="22" t="n">
        <x:f>MAX(0,MIN('Activities'!L412,66)-MAX('Activities'!K412,60))</x:f>
        <x:v>0</x:v>
      </x:c>
      <x:c r="P412" s="22" t="n">
        <x:f>MAX(0,MIN('Activities'!L412,72)-MAX('Activities'!K412,66))</x:f>
        <x:v>0</x:v>
      </x:c>
      <x:c r="Q412" s="22" t="n">
        <x:f>MAX(0,MIN('Activities'!L412,78)-MAX('Activities'!K412,72))</x:f>
        <x:v>0</x:v>
      </x:c>
      <x:c r="R412" s="22" t="n">
        <x:f>MAX(0,MIN('Activities'!L412,84)-MAX('Activities'!K412,78))</x:f>
        <x:v>0</x:v>
      </x:c>
      <x:c r="S412" s="22" t="n">
        <x:f>MAX(0,MIN('Activities'!L412,90)-MAX('Activities'!K412,84))</x:f>
        <x:v>0</x:v>
      </x:c>
      <x:c r="T412" s="22" t="n">
        <x:f>MAX(0,MIN('Activities'!L412,96)-MAX('Activities'!K412,90))</x:f>
        <x:v>0</x:v>
      </x:c>
      <x:c r="U412" s="22" t="n">
        <x:f>MAX(0,MIN('Activities'!L412,102)-MAX('Activities'!K412,96))</x:f>
        <x:v>0</x:v>
      </x:c>
      <x:c r="V412" s="22" t="n">
        <x:f>MAX(0,MIN('Activities'!L412,108)-MAX('Activities'!K412,102))</x:f>
        <x:v>0</x:v>
      </x:c>
      <x:c r="W412" s="22" t="n">
        <x:f>MAX(0,MIN('Activities'!L412,114)-MAX('Activities'!K412,108))</x:f>
        <x:v>0</x:v>
      </x:c>
      <x:c r="X412" s="22" t="n">
        <x:f>MAX(0,MIN('Activities'!L412,120)-MAX('Activities'!K412,114))</x:f>
        <x:v>0</x:v>
      </x:c>
      <x:c r="Y412" s="22" t="n">
        <x:f>MAX(0,MIN('Activities'!L412,126)-MAX('Activities'!K412,120))</x:f>
        <x:v>0</x:v>
      </x:c>
      <x:c r="Z412" s="22" t="n">
        <x:f>MAX(0,MIN('Activities'!L412,132)-MAX('Activities'!K412,126))</x:f>
        <x:v>0</x:v>
      </x:c>
      <x:c r="AA412" s="22" t="n">
        <x:f>MAX(0,MIN('Activities'!L412,138)-MAX('Activities'!K412,132))</x:f>
        <x:v>0</x:v>
      </x:c>
      <x:c r="AB412" s="22" t="n">
        <x:f>MAX(0,MIN('Activities'!L412,144)-MAX('Activities'!K412,138))</x:f>
        <x:v>0</x:v>
      </x:c>
      <x:c r="AC412" s="22" t="n">
        <x:f>MAX(0,MIN('Activities'!L412,150)-MAX('Activities'!K412,144))</x:f>
        <x:v>0</x:v>
      </x:c>
      <x:c r="AD412" s="22" t="n">
        <x:f>MAX(0,MIN('Activities'!L412,156)-MAX('Activities'!K412,150))</x:f>
        <x:v>0</x:v>
      </x:c>
      <x:c r="AE412" s="22" t="n">
        <x:f>MAX(0,MIN('Activities'!L412,162)-MAX('Activities'!K412,156))</x:f>
        <x:v>0</x:v>
      </x:c>
      <x:c r="AF412" s="22" t="n">
        <x:f>MAX(0,MIN('Activities'!L412,168)-MAX('Activities'!K412,162))</x:f>
        <x:v>0</x:v>
      </x:c>
      <x:c r="AG412" s="22" t="n">
        <x:f>MAX(0,MIN('Activities'!L412,174)-MAX('Activities'!K412,168))</x:f>
        <x:v>0</x:v>
      </x:c>
      <x:c r="AH412" s="22" t="n">
        <x:f>MAX(0,MIN('Activities'!L412,180)-MAX('Activities'!K412,174))</x:f>
        <x:v>0</x:v>
      </x:c>
      <x:c r="AI412" s="22" t="n">
        <x:f>MAX(0,MIN('Activities'!L412,186)-MAX('Activities'!K412,180))</x:f>
        <x:v>0</x:v>
      </x:c>
      <x:c r="AJ412" s="22" t="n">
        <x:f>MAX(0,MIN('Activities'!L412,192)-MAX('Activities'!K412,186))</x:f>
        <x:v>0</x:v>
      </x:c>
      <x:c r="AK412" s="22" t="n">
        <x:f>MAX(0,MIN('Activities'!L412,198)-MAX('Activities'!K412,192))</x:f>
        <x:v>0</x:v>
      </x:c>
      <x:c r="AL412" s="22" t="n">
        <x:f>MAX(0,MIN('Activities'!L412,204)-MAX('Activities'!K412,198))</x:f>
        <x:v>0</x:v>
      </x:c>
      <x:c r="AM412" s="22" t="n">
        <x:f>MAX(0,MIN('Activities'!L412,210)-MAX('Activities'!K412,204))</x:f>
        <x:v>0</x:v>
      </x:c>
      <x:c r="AN412" s="22" t="n">
        <x:f>MAX(0,MIN('Activities'!L412,216)-MAX('Activities'!K412,210))</x:f>
        <x:v>0</x:v>
      </x:c>
      <x:c r="AO412" s="22" t="n">
        <x:f>MAX(0,MIN('Activities'!L412,222)-MAX('Activities'!K412,216))</x:f>
        <x:v>0</x:v>
      </x:c>
      <x:c r="AP412" s="22" t="n">
        <x:f>MAX(0,MIN('Activities'!L412,228)-MAX('Activities'!K412,222))</x:f>
        <x:v>0</x:v>
      </x:c>
      <x:c r="AQ412" s="22" t="n">
        <x:f>MAX(0,MIN('Activities'!L412,234)-MAX('Activities'!K412,228))</x:f>
        <x:v>0</x:v>
      </x:c>
      <x:c r="AR412" s="22" t="n">
        <x:f>MAX(0,MIN('Activities'!L412,240)-MAX('Activities'!K412,234))</x:f>
        <x:v>0</x:v>
      </x:c>
      <x:c r="AS412" s="22" t="n">
        <x:f>MAX(0,MIN('Activities'!L412,246)-MAX('Activities'!K412,240))</x:f>
        <x:v>0</x:v>
      </x:c>
      <x:c r="AT412" s="22" t="n">
        <x:f>MAX(0,MIN('Activities'!L412,252)-MAX('Activities'!K412,246))</x:f>
        <x:v>0</x:v>
      </x:c>
      <x:c r="AU412" s="22" t="n">
        <x:f>MAX(0,MIN('Activities'!L412,258)-MAX('Activities'!K412,252))</x:f>
        <x:v>0</x:v>
      </x:c>
      <x:c r="AV412" s="22" t="n">
        <x:f>MAX(0,MIN('Activities'!L412,264)-MAX('Activities'!K412,258))</x:f>
        <x:v>0</x:v>
      </x:c>
      <x:c r="AW412" s="22" t="n">
        <x:f>MAX(0,MIN('Activities'!L412,270)-MAX('Activities'!K412,264))</x:f>
        <x:v>0</x:v>
      </x:c>
      <x:c r="AX412" s="22" t="n">
        <x:f>MAX(0,MIN('Activities'!L412,276)-MAX('Activities'!K412,270))</x:f>
        <x:v>0</x:v>
      </x:c>
      <x:c r="AY412" s="22" t="n">
        <x:f>MAX(0,MIN('Activities'!L412,282)-MAX('Activities'!K412,276))</x:f>
        <x:v>0</x:v>
      </x:c>
      <x:c r="AZ412" s="22" t="n">
        <x:f>MAX(0,MIN('Activities'!L412,288)-MAX('Activities'!K412,282))</x:f>
        <x:v>0</x:v>
      </x:c>
      <x:c r="BA412" s="22" t="n">
        <x:f>MAX(0,MIN('Activities'!L412,294)-MAX('Activities'!K412,288))</x:f>
        <x:v>0</x:v>
      </x:c>
      <x:c r="BB412" s="22" t="n">
        <x:f>MAX(0,MIN('Activities'!L412,300)-MAX('Activities'!K412,294))</x:f>
        <x:v>0</x:v>
      </x:c>
      <x:c r="BC412" s="22" t="n">
        <x:f>MAX(0,MIN('Activities'!L412,306)-MAX('Activities'!K412,300))</x:f>
        <x:v>0</x:v>
      </x:c>
      <x:c r="BD412" s="22" t="n">
        <x:f>MAX(0,MIN('Activities'!L412,312)-MAX('Activities'!K412,306))</x:f>
        <x:v>0</x:v>
      </x:c>
      <x:c r="BE412" s="22" t="n">
        <x:f>MAX(0,MIN('Activities'!L412,318)-MAX('Activities'!K412,312))</x:f>
        <x:v>0</x:v>
      </x:c>
      <x:c r="BF412" s="22" t="n">
        <x:f>MAX(0,MIN('Activities'!L412,324)-MAX('Activities'!K412,318))</x:f>
        <x:v>0</x:v>
      </x:c>
      <x:c r="BG412" s="22" t="n">
        <x:f>MAX(0,MIN('Activities'!L412,330)-MAX('Activities'!K412,324))</x:f>
        <x:v>0</x:v>
      </x:c>
      <x:c r="BH412" s="22" t="n">
        <x:f>MAX(0,MIN('Activities'!L412,336)-MAX('Activities'!K412,330))</x:f>
        <x:v>0</x:v>
      </x:c>
      <x:c r="BI412" s="22" t="n">
        <x:f>MAX(0,MIN('Activities'!L412,342)-MAX('Activities'!K412,336))</x:f>
        <x:v>0</x:v>
      </x:c>
      <x:c r="BJ412" s="22" t="n">
        <x:f>MAX(0,MIN('Activities'!L412,348)-MAX('Activities'!K412,342))</x:f>
        <x:v>0</x:v>
      </x:c>
      <x:c r="BK412" s="22" t="n">
        <x:f>MAX(0,MIN('Activities'!L412,354)-MAX('Activities'!K412,348))</x:f>
        <x:v>0</x:v>
      </x:c>
      <x:c r="BL412" s="22" t="n">
        <x:f>MAX(0,MIN('Activities'!L412,360)-MAX('Activities'!K412,354))</x:f>
        <x:v>0</x:v>
      </x:c>
      <x:c r="BM412" s="22" t="n">
        <x:f>MAX(0,MIN('Activities'!L412,366)-MAX('Activities'!K412,360))</x:f>
        <x:v>0</x:v>
      </x:c>
      <x:c r="BN412" s="22" t="n">
        <x:f>MAX(0,MIN('Activities'!L412,372)-MAX('Activities'!K412,366))</x:f>
        <x:v>0</x:v>
      </x:c>
      <x:c r="BO412" s="22" t="n">
        <x:f>MAX(0,MIN('Activities'!L412,378)-MAX('Activities'!K412,372))</x:f>
        <x:v>0</x:v>
      </x:c>
      <x:c r="BP412" s="22" t="n">
        <x:f>MAX(0,MIN('Activities'!L412,384)-MAX('Activities'!K412,378))</x:f>
        <x:v>0</x:v>
      </x:c>
      <x:c r="BQ412" s="22" t="n">
        <x:f>MAX(0,MIN('Activities'!L412,390)-MAX('Activities'!K412,384))</x:f>
        <x:v>0</x:v>
      </x:c>
      <x:c r="BR412" s="22" t="n">
        <x:f>MAX(0,MIN('Activities'!L412,396)-MAX('Activities'!K412,390))</x:f>
        <x:v>0</x:v>
      </x:c>
      <x:c r="BS412" s="22" t="n">
        <x:f>MAX(0,MIN('Activities'!L412,402)-MAX('Activities'!K412,396))</x:f>
        <x:v>0</x:v>
      </x:c>
      <x:c r="BT412" s="22" t="n">
        <x:f>MAX(0,MIN('Activities'!L412,408)-MAX('Activities'!K412,402))</x:f>
        <x:v>0</x:v>
      </x:c>
      <x:c r="BU412" s="22" t="n">
        <x:f>MAX(0,MIN('Activities'!L412,414)-MAX('Activities'!K412,408))</x:f>
        <x:v>0</x:v>
      </x:c>
      <x:c r="BV412" s="22" t="n">
        <x:f>MAX(0,MIN('Activities'!L412,420)-MAX('Activities'!K412,414))</x:f>
        <x:v>0</x:v>
      </x:c>
      <x:c r="BW412" s="22" t="n">
        <x:f>MAX(0,MIN('Activities'!L412,426)-MAX('Activities'!K412,420))</x:f>
        <x:v>0</x:v>
      </x:c>
      <x:c r="BX412" s="22" t="n">
        <x:f>MAX(0,MIN('Activities'!L412,432)-MAX('Activities'!K412,426))</x:f>
        <x:v>2</x:v>
      </x:c>
      <x:c r="BY412" s="22" t="n">
        <x:f>MAX(0,MIN('Activities'!L412,438)-MAX('Activities'!K412,432))</x:f>
        <x:v>4</x:v>
      </x:c>
      <x:c r="BZ412" s="22" t="n">
        <x:f>MAX(0,MIN('Activities'!L412,444)-MAX('Activities'!K412,438))</x:f>
        <x:v>0</x:v>
      </x:c>
      <x:c r="CA412" s="22" t="n">
        <x:f>MAX(0,MIN('Activities'!L412,450)-MAX('Activities'!K412,444))</x:f>
        <x:v>0</x:v>
      </x:c>
      <x:c r="CB412" s="22" t="n">
        <x:f>MAX(0,MIN('Activities'!L412,456)-MAX('Activities'!K412,450))</x:f>
        <x:v>0</x:v>
      </x:c>
      <x:c r="CC412" s="22" t="n">
        <x:f>MAX(0,MIN('Activities'!L412,462)-MAX('Activities'!K412,456))</x:f>
        <x:v>0</x:v>
      </x:c>
      <x:c r="CD412" s="22" t="n">
        <x:f>MAX(0,MIN('Activities'!L412,468)-MAX('Activities'!K412,462))</x:f>
        <x:v>0</x:v>
      </x:c>
      <x:c r="CE412" s="22" t="n">
        <x:f>MAX(0,MIN('Activities'!L412,474)-MAX('Activities'!K412,468))</x:f>
        <x:v>0</x:v>
      </x:c>
      <x:c r="CF412" s="22" t="n">
        <x:f>MAX(0,MIN('Activities'!L412,480)-MAX('Activities'!K412,474))</x:f>
        <x:v>0</x:v>
      </x:c>
      <x:c r="CG412" s="22" t="n">
        <x:f>MAX(0,MIN('Activities'!L412,486)-MAX('Activities'!K412,480))</x:f>
        <x:v>0</x:v>
      </x:c>
      <x:c r="CH412" s="22" t="n">
        <x:f>MAX(0,MIN('Activities'!L412,492)-MAX('Activities'!K412,486))</x:f>
        <x:v>0</x:v>
      </x:c>
      <x:c r="CI412" s="22" t="n">
        <x:f>MAX(0,MIN('Activities'!L412,498)-MAX('Activities'!K412,492))</x:f>
        <x:v>0</x:v>
      </x:c>
      <x:c r="CJ412" s="22" t="n">
        <x:f>MAX(0,MIN('Activities'!L412,504)-MAX('Activities'!K412,498))</x:f>
        <x:v>0</x:v>
      </x:c>
      <x:c r="CK412" s="22" t="n">
        <x:f>MAX(0,MIN('Activities'!L412,510)-MAX('Activities'!K412,504))</x:f>
        <x:v>0</x:v>
      </x:c>
      <x:c r="CL412" s="22" t="n">
        <x:f>MAX(0,MIN('Activities'!L412,516)-MAX('Activities'!K412,510))</x:f>
        <x:v>0</x:v>
      </x:c>
      <x:c r="CM412" s="22" t="n">
        <x:f>MAX(0,MIN('Activities'!L412,522)-MAX('Activities'!K412,516))</x:f>
        <x:v>0</x:v>
      </x:c>
      <x:c r="CN412" s="22" t="n">
        <x:f>MAX(0,MIN('Activities'!L412,528)-MAX('Activities'!K412,522))</x:f>
        <x:v>0</x:v>
      </x:c>
      <x:c r="CO412" s="22" t="n">
        <x:f>MAX(0,MIN('Activities'!L412,534)-MAX('Activities'!K412,528))</x:f>
        <x:v>0</x:v>
      </x:c>
      <x:c r="CP412" s="22" t="n">
        <x:f>MAX(0,MIN('Activities'!L412,540)-MAX('Activities'!K412,534))</x:f>
        <x:v>0</x:v>
      </x:c>
      <x:c r="CQ412" s="22" t="n">
        <x:f>MAX(0,MIN('Activities'!L412,546)-MAX('Activities'!K412,540))</x:f>
        <x:v>0</x:v>
      </x:c>
      <x:c r="CR412" s="22" t="n">
        <x:f>MAX(0,MIN('Activities'!L412,552)-MAX('Activities'!K412,546))</x:f>
        <x:v>0</x:v>
      </x:c>
      <x:c r="CS412" s="22" t="n">
        <x:f>MAX(0,MIN('Activities'!L412,558)-MAX('Activities'!K412,552))</x:f>
        <x:v>0</x:v>
      </x:c>
      <x:c r="CT412" s="22" t="n">
        <x:f>MAX(0,MIN('Activities'!L412,564)-MAX('Activities'!K412,558))</x:f>
        <x:v>0</x:v>
      </x:c>
      <x:c r="CU412" s="22" t="n">
        <x:f>MAX(0,MIN('Activities'!L412,570)-MAX('Activities'!K412,564))</x:f>
        <x:v>0</x:v>
      </x:c>
      <x:c r="CV412" s="22" t="n">
        <x:f>MAX(0,MIN('Activities'!L412,576)-MAX('Activities'!K412,570))</x:f>
        <x:v>0</x:v>
      </x:c>
      <x:c r="CW412" s="22" t="n">
        <x:f>MAX(0,MIN('Activities'!L412,582)-MAX('Activities'!K412,576))</x:f>
        <x:v>0</x:v>
      </x:c>
      <x:c r="CX412" s="22" t="n">
        <x:f>MAX(0,MIN('Activities'!L412,588)-MAX('Activities'!K412,582))</x:f>
        <x:v>0</x:v>
      </x:c>
      <x:c r="CY412" s="22" t="n">
        <x:f>MAX(0,MIN('Activities'!L412,594)-MAX('Activities'!K412,588))</x:f>
        <x:v>0</x:v>
      </x:c>
      <x:c r="CZ412" s="22" t="n">
        <x:f>MAX(0,MIN('Activities'!L412,600)-MAX('Activities'!K412,594))</x:f>
        <x:v>0</x:v>
      </x:c>
      <x:c r="DA412" s="22" t="n">
        <x:f>MAX(0,MIN('Activities'!L412,606)-MAX('Activities'!K412,600))</x:f>
        <x:v>0</x:v>
      </x:c>
      <x:c r="DB412" s="22" t="n">
        <x:f>MAX(0,MIN('Activities'!L412,612)-MAX('Activities'!K412,606))</x:f>
        <x:v>0</x:v>
      </x:c>
      <x:c r="DC412" s="22" t="n">
        <x:f>MAX(0,MIN('Activities'!L412,618)-MAX('Activities'!K412,612))</x:f>
        <x:v>0</x:v>
      </x:c>
      <x:c r="DD412" s="22" t="n">
        <x:f>MAX(0,MIN('Activities'!L412,624)-MAX('Activities'!K412,618))</x:f>
        <x:v>0</x:v>
      </x:c>
      <x:c r="DE412" s="22" t="n">
        <x:f>MAX(0,MIN('Activities'!L412,630)-MAX('Activities'!K412,624))</x:f>
        <x:v>0</x:v>
      </x:c>
      <x:c r="DF412" s="22" t="n">
        <x:f>MAX(0,MIN('Activities'!L412,636)-MAX('Activities'!K412,630))</x:f>
        <x:v>0</x:v>
      </x:c>
    </x:row>
    <x:row r="413" ht="23" customHeight="1">
      <x:c r="A413" s="1" t="str">
        <x:v>T3-L12-A</x:v>
      </x:c>
      <x:c r="B413" s="1" t="str">
        <x:v>T3</x:v>
      </x:c>
      <x:c r="C413" s="1" t="str">
        <x:v>Paint and final decorations</x:v>
      </x:c>
      <x:c r="D413" s="1" t="str">
        <x:v>Finishes</x:v>
      </x:c>
      <x:c r="E413" s="23" t="n">
        <x:f>MAX(0,MIN('Activities'!L413,6)-MAX('Activities'!K413,0))</x:f>
        <x:v>0</x:v>
      </x:c>
      <x:c r="F413" s="23" t="n">
        <x:f>MAX(0,MIN('Activities'!L413,12)-MAX('Activities'!K413,6))</x:f>
        <x:v>0</x:v>
      </x:c>
      <x:c r="G413" s="23" t="n">
        <x:f>MAX(0,MIN('Activities'!L413,18)-MAX('Activities'!K413,12))</x:f>
        <x:v>0</x:v>
      </x:c>
      <x:c r="H413" s="23" t="n">
        <x:f>MAX(0,MIN('Activities'!L413,24)-MAX('Activities'!K413,18))</x:f>
        <x:v>0</x:v>
      </x:c>
      <x:c r="I413" s="23" t="n">
        <x:f>MAX(0,MIN('Activities'!L413,30)-MAX('Activities'!K413,24))</x:f>
        <x:v>0</x:v>
      </x:c>
      <x:c r="J413" s="23" t="n">
        <x:f>MAX(0,MIN('Activities'!L413,36)-MAX('Activities'!K413,30))</x:f>
        <x:v>0</x:v>
      </x:c>
      <x:c r="K413" s="23" t="n">
        <x:f>MAX(0,MIN('Activities'!L413,42)-MAX('Activities'!K413,36))</x:f>
        <x:v>0</x:v>
      </x:c>
      <x:c r="L413" s="23" t="n">
        <x:f>MAX(0,MIN('Activities'!L413,48)-MAX('Activities'!K413,42))</x:f>
        <x:v>0</x:v>
      </x:c>
      <x:c r="M413" s="23" t="n">
        <x:f>MAX(0,MIN('Activities'!L413,54)-MAX('Activities'!K413,48))</x:f>
        <x:v>0</x:v>
      </x:c>
      <x:c r="N413" s="23" t="n">
        <x:f>MAX(0,MIN('Activities'!L413,60)-MAX('Activities'!K413,54))</x:f>
        <x:v>0</x:v>
      </x:c>
      <x:c r="O413" s="23" t="n">
        <x:f>MAX(0,MIN('Activities'!L413,66)-MAX('Activities'!K413,60))</x:f>
        <x:v>0</x:v>
      </x:c>
      <x:c r="P413" s="23" t="n">
        <x:f>MAX(0,MIN('Activities'!L413,72)-MAX('Activities'!K413,66))</x:f>
        <x:v>0</x:v>
      </x:c>
      <x:c r="Q413" s="23" t="n">
        <x:f>MAX(0,MIN('Activities'!L413,78)-MAX('Activities'!K413,72))</x:f>
        <x:v>0</x:v>
      </x:c>
      <x:c r="R413" s="23" t="n">
        <x:f>MAX(0,MIN('Activities'!L413,84)-MAX('Activities'!K413,78))</x:f>
        <x:v>0</x:v>
      </x:c>
      <x:c r="S413" s="23" t="n">
        <x:f>MAX(0,MIN('Activities'!L413,90)-MAX('Activities'!K413,84))</x:f>
        <x:v>0</x:v>
      </x:c>
      <x:c r="T413" s="23" t="n">
        <x:f>MAX(0,MIN('Activities'!L413,96)-MAX('Activities'!K413,90))</x:f>
        <x:v>0</x:v>
      </x:c>
      <x:c r="U413" s="23" t="n">
        <x:f>MAX(0,MIN('Activities'!L413,102)-MAX('Activities'!K413,96))</x:f>
        <x:v>0</x:v>
      </x:c>
      <x:c r="V413" s="23" t="n">
        <x:f>MAX(0,MIN('Activities'!L413,108)-MAX('Activities'!K413,102))</x:f>
        <x:v>0</x:v>
      </x:c>
      <x:c r="W413" s="23" t="n">
        <x:f>MAX(0,MIN('Activities'!L413,114)-MAX('Activities'!K413,108))</x:f>
        <x:v>0</x:v>
      </x:c>
      <x:c r="X413" s="23" t="n">
        <x:f>MAX(0,MIN('Activities'!L413,120)-MAX('Activities'!K413,114))</x:f>
        <x:v>0</x:v>
      </x:c>
      <x:c r="Y413" s="23" t="n">
        <x:f>MAX(0,MIN('Activities'!L413,126)-MAX('Activities'!K413,120))</x:f>
        <x:v>0</x:v>
      </x:c>
      <x:c r="Z413" s="23" t="n">
        <x:f>MAX(0,MIN('Activities'!L413,132)-MAX('Activities'!K413,126))</x:f>
        <x:v>0</x:v>
      </x:c>
      <x:c r="AA413" s="23" t="n">
        <x:f>MAX(0,MIN('Activities'!L413,138)-MAX('Activities'!K413,132))</x:f>
        <x:v>0</x:v>
      </x:c>
      <x:c r="AB413" s="23" t="n">
        <x:f>MAX(0,MIN('Activities'!L413,144)-MAX('Activities'!K413,138))</x:f>
        <x:v>0</x:v>
      </x:c>
      <x:c r="AC413" s="23" t="n">
        <x:f>MAX(0,MIN('Activities'!L413,150)-MAX('Activities'!K413,144))</x:f>
        <x:v>0</x:v>
      </x:c>
      <x:c r="AD413" s="23" t="n">
        <x:f>MAX(0,MIN('Activities'!L413,156)-MAX('Activities'!K413,150))</x:f>
        <x:v>0</x:v>
      </x:c>
      <x:c r="AE413" s="23" t="n">
        <x:f>MAX(0,MIN('Activities'!L413,162)-MAX('Activities'!K413,156))</x:f>
        <x:v>0</x:v>
      </x:c>
      <x:c r="AF413" s="23" t="n">
        <x:f>MAX(0,MIN('Activities'!L413,168)-MAX('Activities'!K413,162))</x:f>
        <x:v>0</x:v>
      </x:c>
      <x:c r="AG413" s="23" t="n">
        <x:f>MAX(0,MIN('Activities'!L413,174)-MAX('Activities'!K413,168))</x:f>
        <x:v>0</x:v>
      </x:c>
      <x:c r="AH413" s="23" t="n">
        <x:f>MAX(0,MIN('Activities'!L413,180)-MAX('Activities'!K413,174))</x:f>
        <x:v>0</x:v>
      </x:c>
      <x:c r="AI413" s="23" t="n">
        <x:f>MAX(0,MIN('Activities'!L413,186)-MAX('Activities'!K413,180))</x:f>
        <x:v>0</x:v>
      </x:c>
      <x:c r="AJ413" s="23" t="n">
        <x:f>MAX(0,MIN('Activities'!L413,192)-MAX('Activities'!K413,186))</x:f>
        <x:v>0</x:v>
      </x:c>
      <x:c r="AK413" s="23" t="n">
        <x:f>MAX(0,MIN('Activities'!L413,198)-MAX('Activities'!K413,192))</x:f>
        <x:v>0</x:v>
      </x:c>
      <x:c r="AL413" s="23" t="n">
        <x:f>MAX(0,MIN('Activities'!L413,204)-MAX('Activities'!K413,198))</x:f>
        <x:v>0</x:v>
      </x:c>
      <x:c r="AM413" s="23" t="n">
        <x:f>MAX(0,MIN('Activities'!L413,210)-MAX('Activities'!K413,204))</x:f>
        <x:v>0</x:v>
      </x:c>
      <x:c r="AN413" s="23" t="n">
        <x:f>MAX(0,MIN('Activities'!L413,216)-MAX('Activities'!K413,210))</x:f>
        <x:v>0</x:v>
      </x:c>
      <x:c r="AO413" s="23" t="n">
        <x:f>MAX(0,MIN('Activities'!L413,222)-MAX('Activities'!K413,216))</x:f>
        <x:v>0</x:v>
      </x:c>
      <x:c r="AP413" s="23" t="n">
        <x:f>MAX(0,MIN('Activities'!L413,228)-MAX('Activities'!K413,222))</x:f>
        <x:v>0</x:v>
      </x:c>
      <x:c r="AQ413" s="23" t="n">
        <x:f>MAX(0,MIN('Activities'!L413,234)-MAX('Activities'!K413,228))</x:f>
        <x:v>0</x:v>
      </x:c>
      <x:c r="AR413" s="23" t="n">
        <x:f>MAX(0,MIN('Activities'!L413,240)-MAX('Activities'!K413,234))</x:f>
        <x:v>0</x:v>
      </x:c>
      <x:c r="AS413" s="23" t="n">
        <x:f>MAX(0,MIN('Activities'!L413,246)-MAX('Activities'!K413,240))</x:f>
        <x:v>0</x:v>
      </x:c>
      <x:c r="AT413" s="23" t="n">
        <x:f>MAX(0,MIN('Activities'!L413,252)-MAX('Activities'!K413,246))</x:f>
        <x:v>0</x:v>
      </x:c>
      <x:c r="AU413" s="23" t="n">
        <x:f>MAX(0,MIN('Activities'!L413,258)-MAX('Activities'!K413,252))</x:f>
        <x:v>0</x:v>
      </x:c>
      <x:c r="AV413" s="23" t="n">
        <x:f>MAX(0,MIN('Activities'!L413,264)-MAX('Activities'!K413,258))</x:f>
        <x:v>0</x:v>
      </x:c>
      <x:c r="AW413" s="23" t="n">
        <x:f>MAX(0,MIN('Activities'!L413,270)-MAX('Activities'!K413,264))</x:f>
        <x:v>0</x:v>
      </x:c>
      <x:c r="AX413" s="23" t="n">
        <x:f>MAX(0,MIN('Activities'!L413,276)-MAX('Activities'!K413,270))</x:f>
        <x:v>0</x:v>
      </x:c>
      <x:c r="AY413" s="23" t="n">
        <x:f>MAX(0,MIN('Activities'!L413,282)-MAX('Activities'!K413,276))</x:f>
        <x:v>0</x:v>
      </x:c>
      <x:c r="AZ413" s="23" t="n">
        <x:f>MAX(0,MIN('Activities'!L413,288)-MAX('Activities'!K413,282))</x:f>
        <x:v>0</x:v>
      </x:c>
      <x:c r="BA413" s="23" t="n">
        <x:f>MAX(0,MIN('Activities'!L413,294)-MAX('Activities'!K413,288))</x:f>
        <x:v>0</x:v>
      </x:c>
      <x:c r="BB413" s="23" t="n">
        <x:f>MAX(0,MIN('Activities'!L413,300)-MAX('Activities'!K413,294))</x:f>
        <x:v>0</x:v>
      </x:c>
      <x:c r="BC413" s="23" t="n">
        <x:f>MAX(0,MIN('Activities'!L413,306)-MAX('Activities'!K413,300))</x:f>
        <x:v>0</x:v>
      </x:c>
      <x:c r="BD413" s="23" t="n">
        <x:f>MAX(0,MIN('Activities'!L413,312)-MAX('Activities'!K413,306))</x:f>
        <x:v>0</x:v>
      </x:c>
      <x:c r="BE413" s="23" t="n">
        <x:f>MAX(0,MIN('Activities'!L413,318)-MAX('Activities'!K413,312))</x:f>
        <x:v>0</x:v>
      </x:c>
      <x:c r="BF413" s="23" t="n">
        <x:f>MAX(0,MIN('Activities'!L413,324)-MAX('Activities'!K413,318))</x:f>
        <x:v>0</x:v>
      </x:c>
      <x:c r="BG413" s="23" t="n">
        <x:f>MAX(0,MIN('Activities'!L413,330)-MAX('Activities'!K413,324))</x:f>
        <x:v>0</x:v>
      </x:c>
      <x:c r="BH413" s="23" t="n">
        <x:f>MAX(0,MIN('Activities'!L413,336)-MAX('Activities'!K413,330))</x:f>
        <x:v>0</x:v>
      </x:c>
      <x:c r="BI413" s="23" t="n">
        <x:f>MAX(0,MIN('Activities'!L413,342)-MAX('Activities'!K413,336))</x:f>
        <x:v>0</x:v>
      </x:c>
      <x:c r="BJ413" s="23" t="n">
        <x:f>MAX(0,MIN('Activities'!L413,348)-MAX('Activities'!K413,342))</x:f>
        <x:v>0</x:v>
      </x:c>
      <x:c r="BK413" s="23" t="n">
        <x:f>MAX(0,MIN('Activities'!L413,354)-MAX('Activities'!K413,348))</x:f>
        <x:v>0</x:v>
      </x:c>
      <x:c r="BL413" s="23" t="n">
        <x:f>MAX(0,MIN('Activities'!L413,360)-MAX('Activities'!K413,354))</x:f>
        <x:v>0</x:v>
      </x:c>
      <x:c r="BM413" s="23" t="n">
        <x:f>MAX(0,MIN('Activities'!L413,366)-MAX('Activities'!K413,360))</x:f>
        <x:v>0</x:v>
      </x:c>
      <x:c r="BN413" s="23" t="n">
        <x:f>MAX(0,MIN('Activities'!L413,372)-MAX('Activities'!K413,366))</x:f>
        <x:v>0</x:v>
      </x:c>
      <x:c r="BO413" s="23" t="n">
        <x:f>MAX(0,MIN('Activities'!L413,378)-MAX('Activities'!K413,372))</x:f>
        <x:v>0</x:v>
      </x:c>
      <x:c r="BP413" s="23" t="n">
        <x:f>MAX(0,MIN('Activities'!L413,384)-MAX('Activities'!K413,378))</x:f>
        <x:v>0</x:v>
      </x:c>
      <x:c r="BQ413" s="23" t="n">
        <x:f>MAX(0,MIN('Activities'!L413,390)-MAX('Activities'!K413,384))</x:f>
        <x:v>0</x:v>
      </x:c>
      <x:c r="BR413" s="23" t="n">
        <x:f>MAX(0,MIN('Activities'!L413,396)-MAX('Activities'!K413,390))</x:f>
        <x:v>0</x:v>
      </x:c>
      <x:c r="BS413" s="23" t="n">
        <x:f>MAX(0,MIN('Activities'!L413,402)-MAX('Activities'!K413,396))</x:f>
        <x:v>0</x:v>
      </x:c>
      <x:c r="BT413" s="23" t="n">
        <x:f>MAX(0,MIN('Activities'!L413,408)-MAX('Activities'!K413,402))</x:f>
        <x:v>0</x:v>
      </x:c>
      <x:c r="BU413" s="23" t="n">
        <x:f>MAX(0,MIN('Activities'!L413,414)-MAX('Activities'!K413,408))</x:f>
        <x:v>0</x:v>
      </x:c>
      <x:c r="BV413" s="23" t="n">
        <x:f>MAX(0,MIN('Activities'!L413,420)-MAX('Activities'!K413,414))</x:f>
        <x:v>0</x:v>
      </x:c>
      <x:c r="BW413" s="23" t="n">
        <x:f>MAX(0,MIN('Activities'!L413,426)-MAX('Activities'!K413,420))</x:f>
        <x:v>0</x:v>
      </x:c>
      <x:c r="BX413" s="23" t="n">
        <x:f>MAX(0,MIN('Activities'!L413,432)-MAX('Activities'!K413,426))</x:f>
        <x:v>0</x:v>
      </x:c>
      <x:c r="BY413" s="23" t="n">
        <x:f>MAX(0,MIN('Activities'!L413,438)-MAX('Activities'!K413,432))</x:f>
        <x:v>0</x:v>
      </x:c>
      <x:c r="BZ413" s="23" t="n">
        <x:f>MAX(0,MIN('Activities'!L413,444)-MAX('Activities'!K413,438))</x:f>
        <x:v>5</x:v>
      </x:c>
      <x:c r="CA413" s="23" t="n">
        <x:f>MAX(0,MIN('Activities'!L413,450)-MAX('Activities'!K413,444))</x:f>
        <x:v>0</x:v>
      </x:c>
      <x:c r="CB413" s="23" t="n">
        <x:f>MAX(0,MIN('Activities'!L413,456)-MAX('Activities'!K413,450))</x:f>
        <x:v>0</x:v>
      </x:c>
      <x:c r="CC413" s="23" t="n">
        <x:f>MAX(0,MIN('Activities'!L413,462)-MAX('Activities'!K413,456))</x:f>
        <x:v>0</x:v>
      </x:c>
      <x:c r="CD413" s="23" t="n">
        <x:f>MAX(0,MIN('Activities'!L413,468)-MAX('Activities'!K413,462))</x:f>
        <x:v>0</x:v>
      </x:c>
      <x:c r="CE413" s="23" t="n">
        <x:f>MAX(0,MIN('Activities'!L413,474)-MAX('Activities'!K413,468))</x:f>
        <x:v>0</x:v>
      </x:c>
      <x:c r="CF413" s="23" t="n">
        <x:f>MAX(0,MIN('Activities'!L413,480)-MAX('Activities'!K413,474))</x:f>
        <x:v>0</x:v>
      </x:c>
      <x:c r="CG413" s="23" t="n">
        <x:f>MAX(0,MIN('Activities'!L413,486)-MAX('Activities'!K413,480))</x:f>
        <x:v>0</x:v>
      </x:c>
      <x:c r="CH413" s="23" t="n">
        <x:f>MAX(0,MIN('Activities'!L413,492)-MAX('Activities'!K413,486))</x:f>
        <x:v>0</x:v>
      </x:c>
      <x:c r="CI413" s="23" t="n">
        <x:f>MAX(0,MIN('Activities'!L413,498)-MAX('Activities'!K413,492))</x:f>
        <x:v>0</x:v>
      </x:c>
      <x:c r="CJ413" s="23" t="n">
        <x:f>MAX(0,MIN('Activities'!L413,504)-MAX('Activities'!K413,498))</x:f>
        <x:v>0</x:v>
      </x:c>
      <x:c r="CK413" s="23" t="n">
        <x:f>MAX(0,MIN('Activities'!L413,510)-MAX('Activities'!K413,504))</x:f>
        <x:v>0</x:v>
      </x:c>
      <x:c r="CL413" s="23" t="n">
        <x:f>MAX(0,MIN('Activities'!L413,516)-MAX('Activities'!K413,510))</x:f>
        <x:v>0</x:v>
      </x:c>
      <x:c r="CM413" s="23" t="n">
        <x:f>MAX(0,MIN('Activities'!L413,522)-MAX('Activities'!K413,516))</x:f>
        <x:v>0</x:v>
      </x:c>
      <x:c r="CN413" s="23" t="n">
        <x:f>MAX(0,MIN('Activities'!L413,528)-MAX('Activities'!K413,522))</x:f>
        <x:v>0</x:v>
      </x:c>
      <x:c r="CO413" s="23" t="n">
        <x:f>MAX(0,MIN('Activities'!L413,534)-MAX('Activities'!K413,528))</x:f>
        <x:v>0</x:v>
      </x:c>
      <x:c r="CP413" s="23" t="n">
        <x:f>MAX(0,MIN('Activities'!L413,540)-MAX('Activities'!K413,534))</x:f>
        <x:v>0</x:v>
      </x:c>
      <x:c r="CQ413" s="23" t="n">
        <x:f>MAX(0,MIN('Activities'!L413,546)-MAX('Activities'!K413,540))</x:f>
        <x:v>0</x:v>
      </x:c>
      <x:c r="CR413" s="23" t="n">
        <x:f>MAX(0,MIN('Activities'!L413,552)-MAX('Activities'!K413,546))</x:f>
        <x:v>0</x:v>
      </x:c>
      <x:c r="CS413" s="23" t="n">
        <x:f>MAX(0,MIN('Activities'!L413,558)-MAX('Activities'!K413,552))</x:f>
        <x:v>0</x:v>
      </x:c>
      <x:c r="CT413" s="23" t="n">
        <x:f>MAX(0,MIN('Activities'!L413,564)-MAX('Activities'!K413,558))</x:f>
        <x:v>0</x:v>
      </x:c>
      <x:c r="CU413" s="23" t="n">
        <x:f>MAX(0,MIN('Activities'!L413,570)-MAX('Activities'!K413,564))</x:f>
        <x:v>0</x:v>
      </x:c>
      <x:c r="CV413" s="23" t="n">
        <x:f>MAX(0,MIN('Activities'!L413,576)-MAX('Activities'!K413,570))</x:f>
        <x:v>0</x:v>
      </x:c>
      <x:c r="CW413" s="23" t="n">
        <x:f>MAX(0,MIN('Activities'!L413,582)-MAX('Activities'!K413,576))</x:f>
        <x:v>0</x:v>
      </x:c>
      <x:c r="CX413" s="23" t="n">
        <x:f>MAX(0,MIN('Activities'!L413,588)-MAX('Activities'!K413,582))</x:f>
        <x:v>0</x:v>
      </x:c>
      <x:c r="CY413" s="23" t="n">
        <x:f>MAX(0,MIN('Activities'!L413,594)-MAX('Activities'!K413,588))</x:f>
        <x:v>0</x:v>
      </x:c>
      <x:c r="CZ413" s="23" t="n">
        <x:f>MAX(0,MIN('Activities'!L413,600)-MAX('Activities'!K413,594))</x:f>
        <x:v>0</x:v>
      </x:c>
      <x:c r="DA413" s="23" t="n">
        <x:f>MAX(0,MIN('Activities'!L413,606)-MAX('Activities'!K413,600))</x:f>
        <x:v>0</x:v>
      </x:c>
      <x:c r="DB413" s="23" t="n">
        <x:f>MAX(0,MIN('Activities'!L413,612)-MAX('Activities'!K413,606))</x:f>
        <x:v>0</x:v>
      </x:c>
      <x:c r="DC413" s="23" t="n">
        <x:f>MAX(0,MIN('Activities'!L413,618)-MAX('Activities'!K413,612))</x:f>
        <x:v>0</x:v>
      </x:c>
      <x:c r="DD413" s="23" t="n">
        <x:f>MAX(0,MIN('Activities'!L413,624)-MAX('Activities'!K413,618))</x:f>
        <x:v>0</x:v>
      </x:c>
      <x:c r="DE413" s="23" t="n">
        <x:f>MAX(0,MIN('Activities'!L413,630)-MAX('Activities'!K413,624))</x:f>
        <x:v>0</x:v>
      </x:c>
      <x:c r="DF413" s="23" t="n">
        <x:f>MAX(0,MIN('Activities'!L413,636)-MAX('Activities'!K413,630))</x:f>
        <x:v>0</x:v>
      </x:c>
    </x:row>
    <x:row r="414" ht="23" customHeight="1">
      <x:c r="A414" s="6" t="str">
        <x:v>T3-L12-D</x:v>
      </x:c>
      <x:c r="B414" s="6" t="str">
        <x:v>T3</x:v>
      </x:c>
      <x:c r="C414" s="6" t="str">
        <x:v>Door sets and ironmongery</x:v>
      </x:c>
      <x:c r="D414" s="6" t="str">
        <x:v>Finishes</x:v>
      </x:c>
      <x:c r="E414" s="22" t="n">
        <x:f>MAX(0,MIN('Activities'!L414,6)-MAX('Activities'!K414,0))</x:f>
        <x:v>0</x:v>
      </x:c>
      <x:c r="F414" s="22" t="n">
        <x:f>MAX(0,MIN('Activities'!L414,12)-MAX('Activities'!K414,6))</x:f>
        <x:v>0</x:v>
      </x:c>
      <x:c r="G414" s="22" t="n">
        <x:f>MAX(0,MIN('Activities'!L414,18)-MAX('Activities'!K414,12))</x:f>
        <x:v>0</x:v>
      </x:c>
      <x:c r="H414" s="22" t="n">
        <x:f>MAX(0,MIN('Activities'!L414,24)-MAX('Activities'!K414,18))</x:f>
        <x:v>0</x:v>
      </x:c>
      <x:c r="I414" s="22" t="n">
        <x:f>MAX(0,MIN('Activities'!L414,30)-MAX('Activities'!K414,24))</x:f>
        <x:v>0</x:v>
      </x:c>
      <x:c r="J414" s="22" t="n">
        <x:f>MAX(0,MIN('Activities'!L414,36)-MAX('Activities'!K414,30))</x:f>
        <x:v>0</x:v>
      </x:c>
      <x:c r="K414" s="22" t="n">
        <x:f>MAX(0,MIN('Activities'!L414,42)-MAX('Activities'!K414,36))</x:f>
        <x:v>0</x:v>
      </x:c>
      <x:c r="L414" s="22" t="n">
        <x:f>MAX(0,MIN('Activities'!L414,48)-MAX('Activities'!K414,42))</x:f>
        <x:v>0</x:v>
      </x:c>
      <x:c r="M414" s="22" t="n">
        <x:f>MAX(0,MIN('Activities'!L414,54)-MAX('Activities'!K414,48))</x:f>
        <x:v>0</x:v>
      </x:c>
      <x:c r="N414" s="22" t="n">
        <x:f>MAX(0,MIN('Activities'!L414,60)-MAX('Activities'!K414,54))</x:f>
        <x:v>0</x:v>
      </x:c>
      <x:c r="O414" s="22" t="n">
        <x:f>MAX(0,MIN('Activities'!L414,66)-MAX('Activities'!K414,60))</x:f>
        <x:v>0</x:v>
      </x:c>
      <x:c r="P414" s="22" t="n">
        <x:f>MAX(0,MIN('Activities'!L414,72)-MAX('Activities'!K414,66))</x:f>
        <x:v>0</x:v>
      </x:c>
      <x:c r="Q414" s="22" t="n">
        <x:f>MAX(0,MIN('Activities'!L414,78)-MAX('Activities'!K414,72))</x:f>
        <x:v>0</x:v>
      </x:c>
      <x:c r="R414" s="22" t="n">
        <x:f>MAX(0,MIN('Activities'!L414,84)-MAX('Activities'!K414,78))</x:f>
        <x:v>0</x:v>
      </x:c>
      <x:c r="S414" s="22" t="n">
        <x:f>MAX(0,MIN('Activities'!L414,90)-MAX('Activities'!K414,84))</x:f>
        <x:v>0</x:v>
      </x:c>
      <x:c r="T414" s="22" t="n">
        <x:f>MAX(0,MIN('Activities'!L414,96)-MAX('Activities'!K414,90))</x:f>
        <x:v>0</x:v>
      </x:c>
      <x:c r="U414" s="22" t="n">
        <x:f>MAX(0,MIN('Activities'!L414,102)-MAX('Activities'!K414,96))</x:f>
        <x:v>0</x:v>
      </x:c>
      <x:c r="V414" s="22" t="n">
        <x:f>MAX(0,MIN('Activities'!L414,108)-MAX('Activities'!K414,102))</x:f>
        <x:v>0</x:v>
      </x:c>
      <x:c r="W414" s="22" t="n">
        <x:f>MAX(0,MIN('Activities'!L414,114)-MAX('Activities'!K414,108))</x:f>
        <x:v>0</x:v>
      </x:c>
      <x:c r="X414" s="22" t="n">
        <x:f>MAX(0,MIN('Activities'!L414,120)-MAX('Activities'!K414,114))</x:f>
        <x:v>0</x:v>
      </x:c>
      <x:c r="Y414" s="22" t="n">
        <x:f>MAX(0,MIN('Activities'!L414,126)-MAX('Activities'!K414,120))</x:f>
        <x:v>0</x:v>
      </x:c>
      <x:c r="Z414" s="22" t="n">
        <x:f>MAX(0,MIN('Activities'!L414,132)-MAX('Activities'!K414,126))</x:f>
        <x:v>0</x:v>
      </x:c>
      <x:c r="AA414" s="22" t="n">
        <x:f>MAX(0,MIN('Activities'!L414,138)-MAX('Activities'!K414,132))</x:f>
        <x:v>0</x:v>
      </x:c>
      <x:c r="AB414" s="22" t="n">
        <x:f>MAX(0,MIN('Activities'!L414,144)-MAX('Activities'!K414,138))</x:f>
        <x:v>0</x:v>
      </x:c>
      <x:c r="AC414" s="22" t="n">
        <x:f>MAX(0,MIN('Activities'!L414,150)-MAX('Activities'!K414,144))</x:f>
        <x:v>0</x:v>
      </x:c>
      <x:c r="AD414" s="22" t="n">
        <x:f>MAX(0,MIN('Activities'!L414,156)-MAX('Activities'!K414,150))</x:f>
        <x:v>0</x:v>
      </x:c>
      <x:c r="AE414" s="22" t="n">
        <x:f>MAX(0,MIN('Activities'!L414,162)-MAX('Activities'!K414,156))</x:f>
        <x:v>0</x:v>
      </x:c>
      <x:c r="AF414" s="22" t="n">
        <x:f>MAX(0,MIN('Activities'!L414,168)-MAX('Activities'!K414,162))</x:f>
        <x:v>0</x:v>
      </x:c>
      <x:c r="AG414" s="22" t="n">
        <x:f>MAX(0,MIN('Activities'!L414,174)-MAX('Activities'!K414,168))</x:f>
        <x:v>0</x:v>
      </x:c>
      <x:c r="AH414" s="22" t="n">
        <x:f>MAX(0,MIN('Activities'!L414,180)-MAX('Activities'!K414,174))</x:f>
        <x:v>0</x:v>
      </x:c>
      <x:c r="AI414" s="22" t="n">
        <x:f>MAX(0,MIN('Activities'!L414,186)-MAX('Activities'!K414,180))</x:f>
        <x:v>0</x:v>
      </x:c>
      <x:c r="AJ414" s="22" t="n">
        <x:f>MAX(0,MIN('Activities'!L414,192)-MAX('Activities'!K414,186))</x:f>
        <x:v>0</x:v>
      </x:c>
      <x:c r="AK414" s="22" t="n">
        <x:f>MAX(0,MIN('Activities'!L414,198)-MAX('Activities'!K414,192))</x:f>
        <x:v>0</x:v>
      </x:c>
      <x:c r="AL414" s="22" t="n">
        <x:f>MAX(0,MIN('Activities'!L414,204)-MAX('Activities'!K414,198))</x:f>
        <x:v>0</x:v>
      </x:c>
      <x:c r="AM414" s="22" t="n">
        <x:f>MAX(0,MIN('Activities'!L414,210)-MAX('Activities'!K414,204))</x:f>
        <x:v>0</x:v>
      </x:c>
      <x:c r="AN414" s="22" t="n">
        <x:f>MAX(0,MIN('Activities'!L414,216)-MAX('Activities'!K414,210))</x:f>
        <x:v>0</x:v>
      </x:c>
      <x:c r="AO414" s="22" t="n">
        <x:f>MAX(0,MIN('Activities'!L414,222)-MAX('Activities'!K414,216))</x:f>
        <x:v>0</x:v>
      </x:c>
      <x:c r="AP414" s="22" t="n">
        <x:f>MAX(0,MIN('Activities'!L414,228)-MAX('Activities'!K414,222))</x:f>
        <x:v>0</x:v>
      </x:c>
      <x:c r="AQ414" s="22" t="n">
        <x:f>MAX(0,MIN('Activities'!L414,234)-MAX('Activities'!K414,228))</x:f>
        <x:v>0</x:v>
      </x:c>
      <x:c r="AR414" s="22" t="n">
        <x:f>MAX(0,MIN('Activities'!L414,240)-MAX('Activities'!K414,234))</x:f>
        <x:v>0</x:v>
      </x:c>
      <x:c r="AS414" s="22" t="n">
        <x:f>MAX(0,MIN('Activities'!L414,246)-MAX('Activities'!K414,240))</x:f>
        <x:v>0</x:v>
      </x:c>
      <x:c r="AT414" s="22" t="n">
        <x:f>MAX(0,MIN('Activities'!L414,252)-MAX('Activities'!K414,246))</x:f>
        <x:v>0</x:v>
      </x:c>
      <x:c r="AU414" s="22" t="n">
        <x:f>MAX(0,MIN('Activities'!L414,258)-MAX('Activities'!K414,252))</x:f>
        <x:v>0</x:v>
      </x:c>
      <x:c r="AV414" s="22" t="n">
        <x:f>MAX(0,MIN('Activities'!L414,264)-MAX('Activities'!K414,258))</x:f>
        <x:v>0</x:v>
      </x:c>
      <x:c r="AW414" s="22" t="n">
        <x:f>MAX(0,MIN('Activities'!L414,270)-MAX('Activities'!K414,264))</x:f>
        <x:v>0</x:v>
      </x:c>
      <x:c r="AX414" s="22" t="n">
        <x:f>MAX(0,MIN('Activities'!L414,276)-MAX('Activities'!K414,270))</x:f>
        <x:v>0</x:v>
      </x:c>
      <x:c r="AY414" s="22" t="n">
        <x:f>MAX(0,MIN('Activities'!L414,282)-MAX('Activities'!K414,276))</x:f>
        <x:v>0</x:v>
      </x:c>
      <x:c r="AZ414" s="22" t="n">
        <x:f>MAX(0,MIN('Activities'!L414,288)-MAX('Activities'!K414,282))</x:f>
        <x:v>0</x:v>
      </x:c>
      <x:c r="BA414" s="22" t="n">
        <x:f>MAX(0,MIN('Activities'!L414,294)-MAX('Activities'!K414,288))</x:f>
        <x:v>0</x:v>
      </x:c>
      <x:c r="BB414" s="22" t="n">
        <x:f>MAX(0,MIN('Activities'!L414,300)-MAX('Activities'!K414,294))</x:f>
        <x:v>0</x:v>
      </x:c>
      <x:c r="BC414" s="22" t="n">
        <x:f>MAX(0,MIN('Activities'!L414,306)-MAX('Activities'!K414,300))</x:f>
        <x:v>0</x:v>
      </x:c>
      <x:c r="BD414" s="22" t="n">
        <x:f>MAX(0,MIN('Activities'!L414,312)-MAX('Activities'!K414,306))</x:f>
        <x:v>0</x:v>
      </x:c>
      <x:c r="BE414" s="22" t="n">
        <x:f>MAX(0,MIN('Activities'!L414,318)-MAX('Activities'!K414,312))</x:f>
        <x:v>0</x:v>
      </x:c>
      <x:c r="BF414" s="22" t="n">
        <x:f>MAX(0,MIN('Activities'!L414,324)-MAX('Activities'!K414,318))</x:f>
        <x:v>0</x:v>
      </x:c>
      <x:c r="BG414" s="22" t="n">
        <x:f>MAX(0,MIN('Activities'!L414,330)-MAX('Activities'!K414,324))</x:f>
        <x:v>0</x:v>
      </x:c>
      <x:c r="BH414" s="22" t="n">
        <x:f>MAX(0,MIN('Activities'!L414,336)-MAX('Activities'!K414,330))</x:f>
        <x:v>0</x:v>
      </x:c>
      <x:c r="BI414" s="22" t="n">
        <x:f>MAX(0,MIN('Activities'!L414,342)-MAX('Activities'!K414,336))</x:f>
        <x:v>0</x:v>
      </x:c>
      <x:c r="BJ414" s="22" t="n">
        <x:f>MAX(0,MIN('Activities'!L414,348)-MAX('Activities'!K414,342))</x:f>
        <x:v>0</x:v>
      </x:c>
      <x:c r="BK414" s="22" t="n">
        <x:f>MAX(0,MIN('Activities'!L414,354)-MAX('Activities'!K414,348))</x:f>
        <x:v>0</x:v>
      </x:c>
      <x:c r="BL414" s="22" t="n">
        <x:f>MAX(0,MIN('Activities'!L414,360)-MAX('Activities'!K414,354))</x:f>
        <x:v>0</x:v>
      </x:c>
      <x:c r="BM414" s="22" t="n">
        <x:f>MAX(0,MIN('Activities'!L414,366)-MAX('Activities'!K414,360))</x:f>
        <x:v>0</x:v>
      </x:c>
      <x:c r="BN414" s="22" t="n">
        <x:f>MAX(0,MIN('Activities'!L414,372)-MAX('Activities'!K414,366))</x:f>
        <x:v>0</x:v>
      </x:c>
      <x:c r="BO414" s="22" t="n">
        <x:f>MAX(0,MIN('Activities'!L414,378)-MAX('Activities'!K414,372))</x:f>
        <x:v>0</x:v>
      </x:c>
      <x:c r="BP414" s="22" t="n">
        <x:f>MAX(0,MIN('Activities'!L414,384)-MAX('Activities'!K414,378))</x:f>
        <x:v>0</x:v>
      </x:c>
      <x:c r="BQ414" s="22" t="n">
        <x:f>MAX(0,MIN('Activities'!L414,390)-MAX('Activities'!K414,384))</x:f>
        <x:v>0</x:v>
      </x:c>
      <x:c r="BR414" s="22" t="n">
        <x:f>MAX(0,MIN('Activities'!L414,396)-MAX('Activities'!K414,390))</x:f>
        <x:v>0</x:v>
      </x:c>
      <x:c r="BS414" s="22" t="n">
        <x:f>MAX(0,MIN('Activities'!L414,402)-MAX('Activities'!K414,396))</x:f>
        <x:v>0</x:v>
      </x:c>
      <x:c r="BT414" s="22" t="n">
        <x:f>MAX(0,MIN('Activities'!L414,408)-MAX('Activities'!K414,402))</x:f>
        <x:v>0</x:v>
      </x:c>
      <x:c r="BU414" s="22" t="n">
        <x:f>MAX(0,MIN('Activities'!L414,414)-MAX('Activities'!K414,408))</x:f>
        <x:v>0</x:v>
      </x:c>
      <x:c r="BV414" s="22" t="n">
        <x:f>MAX(0,MIN('Activities'!L414,420)-MAX('Activities'!K414,414))</x:f>
        <x:v>0</x:v>
      </x:c>
      <x:c r="BW414" s="22" t="n">
        <x:f>MAX(0,MIN('Activities'!L414,426)-MAX('Activities'!K414,420))</x:f>
        <x:v>0</x:v>
      </x:c>
      <x:c r="BX414" s="22" t="n">
        <x:f>MAX(0,MIN('Activities'!L414,432)-MAX('Activities'!K414,426))</x:f>
        <x:v>0</x:v>
      </x:c>
      <x:c r="BY414" s="22" t="n">
        <x:f>MAX(0,MIN('Activities'!L414,438)-MAX('Activities'!K414,432))</x:f>
        <x:v>0</x:v>
      </x:c>
      <x:c r="BZ414" s="22" t="n">
        <x:f>MAX(0,MIN('Activities'!L414,444)-MAX('Activities'!K414,438))</x:f>
        <x:v>1</x:v>
      </x:c>
      <x:c r="CA414" s="22" t="n">
        <x:f>MAX(0,MIN('Activities'!L414,450)-MAX('Activities'!K414,444))</x:f>
        <x:v>2</x:v>
      </x:c>
      <x:c r="CB414" s="22" t="n">
        <x:f>MAX(0,MIN('Activities'!L414,456)-MAX('Activities'!K414,450))</x:f>
        <x:v>0</x:v>
      </x:c>
      <x:c r="CC414" s="22" t="n">
        <x:f>MAX(0,MIN('Activities'!L414,462)-MAX('Activities'!K414,456))</x:f>
        <x:v>0</x:v>
      </x:c>
      <x:c r="CD414" s="22" t="n">
        <x:f>MAX(0,MIN('Activities'!L414,468)-MAX('Activities'!K414,462))</x:f>
        <x:v>0</x:v>
      </x:c>
      <x:c r="CE414" s="22" t="n">
        <x:f>MAX(0,MIN('Activities'!L414,474)-MAX('Activities'!K414,468))</x:f>
        <x:v>0</x:v>
      </x:c>
      <x:c r="CF414" s="22" t="n">
        <x:f>MAX(0,MIN('Activities'!L414,480)-MAX('Activities'!K414,474))</x:f>
        <x:v>0</x:v>
      </x:c>
      <x:c r="CG414" s="22" t="n">
        <x:f>MAX(0,MIN('Activities'!L414,486)-MAX('Activities'!K414,480))</x:f>
        <x:v>0</x:v>
      </x:c>
      <x:c r="CH414" s="22" t="n">
        <x:f>MAX(0,MIN('Activities'!L414,492)-MAX('Activities'!K414,486))</x:f>
        <x:v>0</x:v>
      </x:c>
      <x:c r="CI414" s="22" t="n">
        <x:f>MAX(0,MIN('Activities'!L414,498)-MAX('Activities'!K414,492))</x:f>
        <x:v>0</x:v>
      </x:c>
      <x:c r="CJ414" s="22" t="n">
        <x:f>MAX(0,MIN('Activities'!L414,504)-MAX('Activities'!K414,498))</x:f>
        <x:v>0</x:v>
      </x:c>
      <x:c r="CK414" s="22" t="n">
        <x:f>MAX(0,MIN('Activities'!L414,510)-MAX('Activities'!K414,504))</x:f>
        <x:v>0</x:v>
      </x:c>
      <x:c r="CL414" s="22" t="n">
        <x:f>MAX(0,MIN('Activities'!L414,516)-MAX('Activities'!K414,510))</x:f>
        <x:v>0</x:v>
      </x:c>
      <x:c r="CM414" s="22" t="n">
        <x:f>MAX(0,MIN('Activities'!L414,522)-MAX('Activities'!K414,516))</x:f>
        <x:v>0</x:v>
      </x:c>
      <x:c r="CN414" s="22" t="n">
        <x:f>MAX(0,MIN('Activities'!L414,528)-MAX('Activities'!K414,522))</x:f>
        <x:v>0</x:v>
      </x:c>
      <x:c r="CO414" s="22" t="n">
        <x:f>MAX(0,MIN('Activities'!L414,534)-MAX('Activities'!K414,528))</x:f>
        <x:v>0</x:v>
      </x:c>
      <x:c r="CP414" s="22" t="n">
        <x:f>MAX(0,MIN('Activities'!L414,540)-MAX('Activities'!K414,534))</x:f>
        <x:v>0</x:v>
      </x:c>
      <x:c r="CQ414" s="22" t="n">
        <x:f>MAX(0,MIN('Activities'!L414,546)-MAX('Activities'!K414,540))</x:f>
        <x:v>0</x:v>
      </x:c>
      <x:c r="CR414" s="22" t="n">
        <x:f>MAX(0,MIN('Activities'!L414,552)-MAX('Activities'!K414,546))</x:f>
        <x:v>0</x:v>
      </x:c>
      <x:c r="CS414" s="22" t="n">
        <x:f>MAX(0,MIN('Activities'!L414,558)-MAX('Activities'!K414,552))</x:f>
        <x:v>0</x:v>
      </x:c>
      <x:c r="CT414" s="22" t="n">
        <x:f>MAX(0,MIN('Activities'!L414,564)-MAX('Activities'!K414,558))</x:f>
        <x:v>0</x:v>
      </x:c>
      <x:c r="CU414" s="22" t="n">
        <x:f>MAX(0,MIN('Activities'!L414,570)-MAX('Activities'!K414,564))</x:f>
        <x:v>0</x:v>
      </x:c>
      <x:c r="CV414" s="22" t="n">
        <x:f>MAX(0,MIN('Activities'!L414,576)-MAX('Activities'!K414,570))</x:f>
        <x:v>0</x:v>
      </x:c>
      <x:c r="CW414" s="22" t="n">
        <x:f>MAX(0,MIN('Activities'!L414,582)-MAX('Activities'!K414,576))</x:f>
        <x:v>0</x:v>
      </x:c>
      <x:c r="CX414" s="22" t="n">
        <x:f>MAX(0,MIN('Activities'!L414,588)-MAX('Activities'!K414,582))</x:f>
        <x:v>0</x:v>
      </x:c>
      <x:c r="CY414" s="22" t="n">
        <x:f>MAX(0,MIN('Activities'!L414,594)-MAX('Activities'!K414,588))</x:f>
        <x:v>0</x:v>
      </x:c>
      <x:c r="CZ414" s="22" t="n">
        <x:f>MAX(0,MIN('Activities'!L414,600)-MAX('Activities'!K414,594))</x:f>
        <x:v>0</x:v>
      </x:c>
      <x:c r="DA414" s="22" t="n">
        <x:f>MAX(0,MIN('Activities'!L414,606)-MAX('Activities'!K414,600))</x:f>
        <x:v>0</x:v>
      </x:c>
      <x:c r="DB414" s="22" t="n">
        <x:f>MAX(0,MIN('Activities'!L414,612)-MAX('Activities'!K414,606))</x:f>
        <x:v>0</x:v>
      </x:c>
      <x:c r="DC414" s="22" t="n">
        <x:f>MAX(0,MIN('Activities'!L414,618)-MAX('Activities'!K414,612))</x:f>
        <x:v>0</x:v>
      </x:c>
      <x:c r="DD414" s="22" t="n">
        <x:f>MAX(0,MIN('Activities'!L414,624)-MAX('Activities'!K414,618))</x:f>
        <x:v>0</x:v>
      </x:c>
      <x:c r="DE414" s="22" t="n">
        <x:f>MAX(0,MIN('Activities'!L414,630)-MAX('Activities'!K414,624))</x:f>
        <x:v>0</x:v>
      </x:c>
      <x:c r="DF414" s="22" t="n">
        <x:f>MAX(0,MIN('Activities'!L414,636)-MAX('Activities'!K414,630))</x:f>
        <x:v>0</x:v>
      </x:c>
    </x:row>
    <x:row r="415" ht="23" customHeight="1">
      <x:c r="A415" s="1" t="str">
        <x:v>T4-L00-F</x:v>
      </x:c>
      <x:c r="B415" s="1" t="str">
        <x:v>T4</x:v>
      </x:c>
      <x:c r="C415" s="1" t="str">
        <x:v>Columns, core and deck formwork</x:v>
      </x:c>
      <x:c r="D415" s="1" t="str">
        <x:v>Formwork</x:v>
      </x:c>
      <x:c r="E415" s="23" t="n">
        <x:f>MAX(0,MIN('Activities'!L415,6)-MAX('Activities'!K415,0))</x:f>
        <x:v>0</x:v>
      </x:c>
      <x:c r="F415" s="23" t="n">
        <x:f>MAX(0,MIN('Activities'!L415,12)-MAX('Activities'!K415,6))</x:f>
        <x:v>0</x:v>
      </x:c>
      <x:c r="G415" s="23" t="n">
        <x:f>MAX(0,MIN('Activities'!L415,18)-MAX('Activities'!K415,12))</x:f>
        <x:v>0</x:v>
      </x:c>
      <x:c r="H415" s="23" t="n">
        <x:f>MAX(0,MIN('Activities'!L415,24)-MAX('Activities'!K415,18))</x:f>
        <x:v>0</x:v>
      </x:c>
      <x:c r="I415" s="23" t="n">
        <x:f>MAX(0,MIN('Activities'!L415,30)-MAX('Activities'!K415,24))</x:f>
        <x:v>0</x:v>
      </x:c>
      <x:c r="J415" s="23" t="n">
        <x:f>MAX(0,MIN('Activities'!L415,36)-MAX('Activities'!K415,30))</x:f>
        <x:v>0</x:v>
      </x:c>
      <x:c r="K415" s="23" t="n">
        <x:f>MAX(0,MIN('Activities'!L415,42)-MAX('Activities'!K415,36))</x:f>
        <x:v>0</x:v>
      </x:c>
      <x:c r="L415" s="23" t="n">
        <x:f>MAX(0,MIN('Activities'!L415,48)-MAX('Activities'!K415,42))</x:f>
        <x:v>0</x:v>
      </x:c>
      <x:c r="M415" s="23" t="n">
        <x:f>MAX(0,MIN('Activities'!L415,54)-MAX('Activities'!K415,48))</x:f>
        <x:v>0</x:v>
      </x:c>
      <x:c r="N415" s="23" t="n">
        <x:f>MAX(0,MIN('Activities'!L415,60)-MAX('Activities'!K415,54))</x:f>
        <x:v>0</x:v>
      </x:c>
      <x:c r="O415" s="23" t="n">
        <x:f>MAX(0,MIN('Activities'!L415,66)-MAX('Activities'!K415,60))</x:f>
        <x:v>0</x:v>
      </x:c>
      <x:c r="P415" s="23" t="n">
        <x:f>MAX(0,MIN('Activities'!L415,72)-MAX('Activities'!K415,66))</x:f>
        <x:v>0</x:v>
      </x:c>
      <x:c r="Q415" s="23" t="n">
        <x:f>MAX(0,MIN('Activities'!L415,78)-MAX('Activities'!K415,72))</x:f>
        <x:v>0</x:v>
      </x:c>
      <x:c r="R415" s="23" t="n">
        <x:f>MAX(0,MIN('Activities'!L415,84)-MAX('Activities'!K415,78))</x:f>
        <x:v>0</x:v>
      </x:c>
      <x:c r="S415" s="23" t="n">
        <x:f>MAX(0,MIN('Activities'!L415,90)-MAX('Activities'!K415,84))</x:f>
        <x:v>0</x:v>
      </x:c>
      <x:c r="T415" s="23" t="n">
        <x:f>MAX(0,MIN('Activities'!L415,96)-MAX('Activities'!K415,90))</x:f>
        <x:v>0</x:v>
      </x:c>
      <x:c r="U415" s="23" t="n">
        <x:f>MAX(0,MIN('Activities'!L415,102)-MAX('Activities'!K415,96))</x:f>
        <x:v>0</x:v>
      </x:c>
      <x:c r="V415" s="23" t="n">
        <x:f>MAX(0,MIN('Activities'!L415,108)-MAX('Activities'!K415,102))</x:f>
        <x:v>0</x:v>
      </x:c>
      <x:c r="W415" s="23" t="n">
        <x:f>MAX(0,MIN('Activities'!L415,114)-MAX('Activities'!K415,108))</x:f>
        <x:v>0</x:v>
      </x:c>
      <x:c r="X415" s="23" t="n">
        <x:f>MAX(0,MIN('Activities'!L415,120)-MAX('Activities'!K415,114))</x:f>
        <x:v>0</x:v>
      </x:c>
      <x:c r="Y415" s="23" t="n">
        <x:f>MAX(0,MIN('Activities'!L415,126)-MAX('Activities'!K415,120))</x:f>
        <x:v>0</x:v>
      </x:c>
      <x:c r="Z415" s="23" t="n">
        <x:f>MAX(0,MIN('Activities'!L415,132)-MAX('Activities'!K415,126))</x:f>
        <x:v>0</x:v>
      </x:c>
      <x:c r="AA415" s="23" t="n">
        <x:f>MAX(0,MIN('Activities'!L415,138)-MAX('Activities'!K415,132))</x:f>
        <x:v>0</x:v>
      </x:c>
      <x:c r="AB415" s="23" t="n">
        <x:f>MAX(0,MIN('Activities'!L415,144)-MAX('Activities'!K415,138))</x:f>
        <x:v>0</x:v>
      </x:c>
      <x:c r="AC415" s="23" t="n">
        <x:f>MAX(0,MIN('Activities'!L415,150)-MAX('Activities'!K415,144))</x:f>
        <x:v>0</x:v>
      </x:c>
      <x:c r="AD415" s="23" t="n">
        <x:f>MAX(0,MIN('Activities'!L415,156)-MAX('Activities'!K415,150))</x:f>
        <x:v>0</x:v>
      </x:c>
      <x:c r="AE415" s="23" t="n">
        <x:f>MAX(0,MIN('Activities'!L415,162)-MAX('Activities'!K415,156))</x:f>
        <x:v>0</x:v>
      </x:c>
      <x:c r="AF415" s="23" t="n">
        <x:f>MAX(0,MIN('Activities'!L415,168)-MAX('Activities'!K415,162))</x:f>
        <x:v>0</x:v>
      </x:c>
      <x:c r="AG415" s="23" t="n">
        <x:f>MAX(0,MIN('Activities'!L415,174)-MAX('Activities'!K415,168))</x:f>
        <x:v>4</x:v>
      </x:c>
      <x:c r="AH415" s="23" t="n">
        <x:f>MAX(0,MIN('Activities'!L415,180)-MAX('Activities'!K415,174))</x:f>
        <x:v>2</x:v>
      </x:c>
      <x:c r="AI415" s="23" t="n">
        <x:f>MAX(0,MIN('Activities'!L415,186)-MAX('Activities'!K415,180))</x:f>
        <x:v>0</x:v>
      </x:c>
      <x:c r="AJ415" s="23" t="n">
        <x:f>MAX(0,MIN('Activities'!L415,192)-MAX('Activities'!K415,186))</x:f>
        <x:v>0</x:v>
      </x:c>
      <x:c r="AK415" s="23" t="n">
        <x:f>MAX(0,MIN('Activities'!L415,198)-MAX('Activities'!K415,192))</x:f>
        <x:v>0</x:v>
      </x:c>
      <x:c r="AL415" s="23" t="n">
        <x:f>MAX(0,MIN('Activities'!L415,204)-MAX('Activities'!K415,198))</x:f>
        <x:v>0</x:v>
      </x:c>
      <x:c r="AM415" s="23" t="n">
        <x:f>MAX(0,MIN('Activities'!L415,210)-MAX('Activities'!K415,204))</x:f>
        <x:v>0</x:v>
      </x:c>
      <x:c r="AN415" s="23" t="n">
        <x:f>MAX(0,MIN('Activities'!L415,216)-MAX('Activities'!K415,210))</x:f>
        <x:v>0</x:v>
      </x:c>
      <x:c r="AO415" s="23" t="n">
        <x:f>MAX(0,MIN('Activities'!L415,222)-MAX('Activities'!K415,216))</x:f>
        <x:v>0</x:v>
      </x:c>
      <x:c r="AP415" s="23" t="n">
        <x:f>MAX(0,MIN('Activities'!L415,228)-MAX('Activities'!K415,222))</x:f>
        <x:v>0</x:v>
      </x:c>
      <x:c r="AQ415" s="23" t="n">
        <x:f>MAX(0,MIN('Activities'!L415,234)-MAX('Activities'!K415,228))</x:f>
        <x:v>0</x:v>
      </x:c>
      <x:c r="AR415" s="23" t="n">
        <x:f>MAX(0,MIN('Activities'!L415,240)-MAX('Activities'!K415,234))</x:f>
        <x:v>0</x:v>
      </x:c>
      <x:c r="AS415" s="23" t="n">
        <x:f>MAX(0,MIN('Activities'!L415,246)-MAX('Activities'!K415,240))</x:f>
        <x:v>0</x:v>
      </x:c>
      <x:c r="AT415" s="23" t="n">
        <x:f>MAX(0,MIN('Activities'!L415,252)-MAX('Activities'!K415,246))</x:f>
        <x:v>0</x:v>
      </x:c>
      <x:c r="AU415" s="23" t="n">
        <x:f>MAX(0,MIN('Activities'!L415,258)-MAX('Activities'!K415,252))</x:f>
        <x:v>0</x:v>
      </x:c>
      <x:c r="AV415" s="23" t="n">
        <x:f>MAX(0,MIN('Activities'!L415,264)-MAX('Activities'!K415,258))</x:f>
        <x:v>0</x:v>
      </x:c>
      <x:c r="AW415" s="23" t="n">
        <x:f>MAX(0,MIN('Activities'!L415,270)-MAX('Activities'!K415,264))</x:f>
        <x:v>0</x:v>
      </x:c>
      <x:c r="AX415" s="23" t="n">
        <x:f>MAX(0,MIN('Activities'!L415,276)-MAX('Activities'!K415,270))</x:f>
        <x:v>0</x:v>
      </x:c>
      <x:c r="AY415" s="23" t="n">
        <x:f>MAX(0,MIN('Activities'!L415,282)-MAX('Activities'!K415,276))</x:f>
        <x:v>0</x:v>
      </x:c>
      <x:c r="AZ415" s="23" t="n">
        <x:f>MAX(0,MIN('Activities'!L415,288)-MAX('Activities'!K415,282))</x:f>
        <x:v>0</x:v>
      </x:c>
      <x:c r="BA415" s="23" t="n">
        <x:f>MAX(0,MIN('Activities'!L415,294)-MAX('Activities'!K415,288))</x:f>
        <x:v>0</x:v>
      </x:c>
      <x:c r="BB415" s="23" t="n">
        <x:f>MAX(0,MIN('Activities'!L415,300)-MAX('Activities'!K415,294))</x:f>
        <x:v>0</x:v>
      </x:c>
      <x:c r="BC415" s="23" t="n">
        <x:f>MAX(0,MIN('Activities'!L415,306)-MAX('Activities'!K415,300))</x:f>
        <x:v>0</x:v>
      </x:c>
      <x:c r="BD415" s="23" t="n">
        <x:f>MAX(0,MIN('Activities'!L415,312)-MAX('Activities'!K415,306))</x:f>
        <x:v>0</x:v>
      </x:c>
      <x:c r="BE415" s="23" t="n">
        <x:f>MAX(0,MIN('Activities'!L415,318)-MAX('Activities'!K415,312))</x:f>
        <x:v>0</x:v>
      </x:c>
      <x:c r="BF415" s="23" t="n">
        <x:f>MAX(0,MIN('Activities'!L415,324)-MAX('Activities'!K415,318))</x:f>
        <x:v>0</x:v>
      </x:c>
      <x:c r="BG415" s="23" t="n">
        <x:f>MAX(0,MIN('Activities'!L415,330)-MAX('Activities'!K415,324))</x:f>
        <x:v>0</x:v>
      </x:c>
      <x:c r="BH415" s="23" t="n">
        <x:f>MAX(0,MIN('Activities'!L415,336)-MAX('Activities'!K415,330))</x:f>
        <x:v>0</x:v>
      </x:c>
      <x:c r="BI415" s="23" t="n">
        <x:f>MAX(0,MIN('Activities'!L415,342)-MAX('Activities'!K415,336))</x:f>
        <x:v>0</x:v>
      </x:c>
      <x:c r="BJ415" s="23" t="n">
        <x:f>MAX(0,MIN('Activities'!L415,348)-MAX('Activities'!K415,342))</x:f>
        <x:v>0</x:v>
      </x:c>
      <x:c r="BK415" s="23" t="n">
        <x:f>MAX(0,MIN('Activities'!L415,354)-MAX('Activities'!K415,348))</x:f>
        <x:v>0</x:v>
      </x:c>
      <x:c r="BL415" s="23" t="n">
        <x:f>MAX(0,MIN('Activities'!L415,360)-MAX('Activities'!K415,354))</x:f>
        <x:v>0</x:v>
      </x:c>
      <x:c r="BM415" s="23" t="n">
        <x:f>MAX(0,MIN('Activities'!L415,366)-MAX('Activities'!K415,360))</x:f>
        <x:v>0</x:v>
      </x:c>
      <x:c r="BN415" s="23" t="n">
        <x:f>MAX(0,MIN('Activities'!L415,372)-MAX('Activities'!K415,366))</x:f>
        <x:v>0</x:v>
      </x:c>
      <x:c r="BO415" s="23" t="n">
        <x:f>MAX(0,MIN('Activities'!L415,378)-MAX('Activities'!K415,372))</x:f>
        <x:v>0</x:v>
      </x:c>
      <x:c r="BP415" s="23" t="n">
        <x:f>MAX(0,MIN('Activities'!L415,384)-MAX('Activities'!K415,378))</x:f>
        <x:v>0</x:v>
      </x:c>
      <x:c r="BQ415" s="23" t="n">
        <x:f>MAX(0,MIN('Activities'!L415,390)-MAX('Activities'!K415,384))</x:f>
        <x:v>0</x:v>
      </x:c>
      <x:c r="BR415" s="23" t="n">
        <x:f>MAX(0,MIN('Activities'!L415,396)-MAX('Activities'!K415,390))</x:f>
        <x:v>0</x:v>
      </x:c>
      <x:c r="BS415" s="23" t="n">
        <x:f>MAX(0,MIN('Activities'!L415,402)-MAX('Activities'!K415,396))</x:f>
        <x:v>0</x:v>
      </x:c>
      <x:c r="BT415" s="23" t="n">
        <x:f>MAX(0,MIN('Activities'!L415,408)-MAX('Activities'!K415,402))</x:f>
        <x:v>0</x:v>
      </x:c>
      <x:c r="BU415" s="23" t="n">
        <x:f>MAX(0,MIN('Activities'!L415,414)-MAX('Activities'!K415,408))</x:f>
        <x:v>0</x:v>
      </x:c>
      <x:c r="BV415" s="23" t="n">
        <x:f>MAX(0,MIN('Activities'!L415,420)-MAX('Activities'!K415,414))</x:f>
        <x:v>0</x:v>
      </x:c>
      <x:c r="BW415" s="23" t="n">
        <x:f>MAX(0,MIN('Activities'!L415,426)-MAX('Activities'!K415,420))</x:f>
        <x:v>0</x:v>
      </x:c>
      <x:c r="BX415" s="23" t="n">
        <x:f>MAX(0,MIN('Activities'!L415,432)-MAX('Activities'!K415,426))</x:f>
        <x:v>0</x:v>
      </x:c>
      <x:c r="BY415" s="23" t="n">
        <x:f>MAX(0,MIN('Activities'!L415,438)-MAX('Activities'!K415,432))</x:f>
        <x:v>0</x:v>
      </x:c>
      <x:c r="BZ415" s="23" t="n">
        <x:f>MAX(0,MIN('Activities'!L415,444)-MAX('Activities'!K415,438))</x:f>
        <x:v>0</x:v>
      </x:c>
      <x:c r="CA415" s="23" t="n">
        <x:f>MAX(0,MIN('Activities'!L415,450)-MAX('Activities'!K415,444))</x:f>
        <x:v>0</x:v>
      </x:c>
      <x:c r="CB415" s="23" t="n">
        <x:f>MAX(0,MIN('Activities'!L415,456)-MAX('Activities'!K415,450))</x:f>
        <x:v>0</x:v>
      </x:c>
      <x:c r="CC415" s="23" t="n">
        <x:f>MAX(0,MIN('Activities'!L415,462)-MAX('Activities'!K415,456))</x:f>
        <x:v>0</x:v>
      </x:c>
      <x:c r="CD415" s="23" t="n">
        <x:f>MAX(0,MIN('Activities'!L415,468)-MAX('Activities'!K415,462))</x:f>
        <x:v>0</x:v>
      </x:c>
      <x:c r="CE415" s="23" t="n">
        <x:f>MAX(0,MIN('Activities'!L415,474)-MAX('Activities'!K415,468))</x:f>
        <x:v>0</x:v>
      </x:c>
      <x:c r="CF415" s="23" t="n">
        <x:f>MAX(0,MIN('Activities'!L415,480)-MAX('Activities'!K415,474))</x:f>
        <x:v>0</x:v>
      </x:c>
      <x:c r="CG415" s="23" t="n">
        <x:f>MAX(0,MIN('Activities'!L415,486)-MAX('Activities'!K415,480))</x:f>
        <x:v>0</x:v>
      </x:c>
      <x:c r="CH415" s="23" t="n">
        <x:f>MAX(0,MIN('Activities'!L415,492)-MAX('Activities'!K415,486))</x:f>
        <x:v>0</x:v>
      </x:c>
      <x:c r="CI415" s="23" t="n">
        <x:f>MAX(0,MIN('Activities'!L415,498)-MAX('Activities'!K415,492))</x:f>
        <x:v>0</x:v>
      </x:c>
      <x:c r="CJ415" s="23" t="n">
        <x:f>MAX(0,MIN('Activities'!L415,504)-MAX('Activities'!K415,498))</x:f>
        <x:v>0</x:v>
      </x:c>
      <x:c r="CK415" s="23" t="n">
        <x:f>MAX(0,MIN('Activities'!L415,510)-MAX('Activities'!K415,504))</x:f>
        <x:v>0</x:v>
      </x:c>
      <x:c r="CL415" s="23" t="n">
        <x:f>MAX(0,MIN('Activities'!L415,516)-MAX('Activities'!K415,510))</x:f>
        <x:v>0</x:v>
      </x:c>
      <x:c r="CM415" s="23" t="n">
        <x:f>MAX(0,MIN('Activities'!L415,522)-MAX('Activities'!K415,516))</x:f>
        <x:v>0</x:v>
      </x:c>
      <x:c r="CN415" s="23" t="n">
        <x:f>MAX(0,MIN('Activities'!L415,528)-MAX('Activities'!K415,522))</x:f>
        <x:v>0</x:v>
      </x:c>
      <x:c r="CO415" s="23" t="n">
        <x:f>MAX(0,MIN('Activities'!L415,534)-MAX('Activities'!K415,528))</x:f>
        <x:v>0</x:v>
      </x:c>
      <x:c r="CP415" s="23" t="n">
        <x:f>MAX(0,MIN('Activities'!L415,540)-MAX('Activities'!K415,534))</x:f>
        <x:v>0</x:v>
      </x:c>
      <x:c r="CQ415" s="23" t="n">
        <x:f>MAX(0,MIN('Activities'!L415,546)-MAX('Activities'!K415,540))</x:f>
        <x:v>0</x:v>
      </x:c>
      <x:c r="CR415" s="23" t="n">
        <x:f>MAX(0,MIN('Activities'!L415,552)-MAX('Activities'!K415,546))</x:f>
        <x:v>0</x:v>
      </x:c>
      <x:c r="CS415" s="23" t="n">
        <x:f>MAX(0,MIN('Activities'!L415,558)-MAX('Activities'!K415,552))</x:f>
        <x:v>0</x:v>
      </x:c>
      <x:c r="CT415" s="23" t="n">
        <x:f>MAX(0,MIN('Activities'!L415,564)-MAX('Activities'!K415,558))</x:f>
        <x:v>0</x:v>
      </x:c>
      <x:c r="CU415" s="23" t="n">
        <x:f>MAX(0,MIN('Activities'!L415,570)-MAX('Activities'!K415,564))</x:f>
        <x:v>0</x:v>
      </x:c>
      <x:c r="CV415" s="23" t="n">
        <x:f>MAX(0,MIN('Activities'!L415,576)-MAX('Activities'!K415,570))</x:f>
        <x:v>0</x:v>
      </x:c>
      <x:c r="CW415" s="23" t="n">
        <x:f>MAX(0,MIN('Activities'!L415,582)-MAX('Activities'!K415,576))</x:f>
        <x:v>0</x:v>
      </x:c>
      <x:c r="CX415" s="23" t="n">
        <x:f>MAX(0,MIN('Activities'!L415,588)-MAX('Activities'!K415,582))</x:f>
        <x:v>0</x:v>
      </x:c>
      <x:c r="CY415" s="23" t="n">
        <x:f>MAX(0,MIN('Activities'!L415,594)-MAX('Activities'!K415,588))</x:f>
        <x:v>0</x:v>
      </x:c>
      <x:c r="CZ415" s="23" t="n">
        <x:f>MAX(0,MIN('Activities'!L415,600)-MAX('Activities'!K415,594))</x:f>
        <x:v>0</x:v>
      </x:c>
      <x:c r="DA415" s="23" t="n">
        <x:f>MAX(0,MIN('Activities'!L415,606)-MAX('Activities'!K415,600))</x:f>
        <x:v>0</x:v>
      </x:c>
      <x:c r="DB415" s="23" t="n">
        <x:f>MAX(0,MIN('Activities'!L415,612)-MAX('Activities'!K415,606))</x:f>
        <x:v>0</x:v>
      </x:c>
      <x:c r="DC415" s="23" t="n">
        <x:f>MAX(0,MIN('Activities'!L415,618)-MAX('Activities'!K415,612))</x:f>
        <x:v>0</x:v>
      </x:c>
      <x:c r="DD415" s="23" t="n">
        <x:f>MAX(0,MIN('Activities'!L415,624)-MAX('Activities'!K415,618))</x:f>
        <x:v>0</x:v>
      </x:c>
      <x:c r="DE415" s="23" t="n">
        <x:f>MAX(0,MIN('Activities'!L415,630)-MAX('Activities'!K415,624))</x:f>
        <x:v>0</x:v>
      </x:c>
      <x:c r="DF415" s="23" t="n">
        <x:f>MAX(0,MIN('Activities'!L415,636)-MAX('Activities'!K415,630))</x:f>
        <x:v>0</x:v>
      </x:c>
    </x:row>
    <x:row r="416" ht="23" customHeight="1">
      <x:c r="A416" s="6" t="str">
        <x:v>T4-L00-R</x:v>
      </x:c>
      <x:c r="B416" s="6" t="str">
        <x:v>T4</x:v>
      </x:c>
      <x:c r="C416" s="6" t="str">
        <x:v>Column, wall, beam and slab reinforcement</x:v>
      </x:c>
      <x:c r="D416" s="6" t="str">
        <x:v>Rebar</x:v>
      </x:c>
      <x:c r="E416" s="22" t="n">
        <x:f>MAX(0,MIN('Activities'!L416,6)-MAX('Activities'!K416,0))</x:f>
        <x:v>0</x:v>
      </x:c>
      <x:c r="F416" s="22" t="n">
        <x:f>MAX(0,MIN('Activities'!L416,12)-MAX('Activities'!K416,6))</x:f>
        <x:v>0</x:v>
      </x:c>
      <x:c r="G416" s="22" t="n">
        <x:f>MAX(0,MIN('Activities'!L416,18)-MAX('Activities'!K416,12))</x:f>
        <x:v>0</x:v>
      </x:c>
      <x:c r="H416" s="22" t="n">
        <x:f>MAX(0,MIN('Activities'!L416,24)-MAX('Activities'!K416,18))</x:f>
        <x:v>0</x:v>
      </x:c>
      <x:c r="I416" s="22" t="n">
        <x:f>MAX(0,MIN('Activities'!L416,30)-MAX('Activities'!K416,24))</x:f>
        <x:v>0</x:v>
      </x:c>
      <x:c r="J416" s="22" t="n">
        <x:f>MAX(0,MIN('Activities'!L416,36)-MAX('Activities'!K416,30))</x:f>
        <x:v>0</x:v>
      </x:c>
      <x:c r="K416" s="22" t="n">
        <x:f>MAX(0,MIN('Activities'!L416,42)-MAX('Activities'!K416,36))</x:f>
        <x:v>0</x:v>
      </x:c>
      <x:c r="L416" s="22" t="n">
        <x:f>MAX(0,MIN('Activities'!L416,48)-MAX('Activities'!K416,42))</x:f>
        <x:v>0</x:v>
      </x:c>
      <x:c r="M416" s="22" t="n">
        <x:f>MAX(0,MIN('Activities'!L416,54)-MAX('Activities'!K416,48))</x:f>
        <x:v>0</x:v>
      </x:c>
      <x:c r="N416" s="22" t="n">
        <x:f>MAX(0,MIN('Activities'!L416,60)-MAX('Activities'!K416,54))</x:f>
        <x:v>0</x:v>
      </x:c>
      <x:c r="O416" s="22" t="n">
        <x:f>MAX(0,MIN('Activities'!L416,66)-MAX('Activities'!K416,60))</x:f>
        <x:v>0</x:v>
      </x:c>
      <x:c r="P416" s="22" t="n">
        <x:f>MAX(0,MIN('Activities'!L416,72)-MAX('Activities'!K416,66))</x:f>
        <x:v>0</x:v>
      </x:c>
      <x:c r="Q416" s="22" t="n">
        <x:f>MAX(0,MIN('Activities'!L416,78)-MAX('Activities'!K416,72))</x:f>
        <x:v>0</x:v>
      </x:c>
      <x:c r="R416" s="22" t="n">
        <x:f>MAX(0,MIN('Activities'!L416,84)-MAX('Activities'!K416,78))</x:f>
        <x:v>0</x:v>
      </x:c>
      <x:c r="S416" s="22" t="n">
        <x:f>MAX(0,MIN('Activities'!L416,90)-MAX('Activities'!K416,84))</x:f>
        <x:v>0</x:v>
      </x:c>
      <x:c r="T416" s="22" t="n">
        <x:f>MAX(0,MIN('Activities'!L416,96)-MAX('Activities'!K416,90))</x:f>
        <x:v>0</x:v>
      </x:c>
      <x:c r="U416" s="22" t="n">
        <x:f>MAX(0,MIN('Activities'!L416,102)-MAX('Activities'!K416,96))</x:f>
        <x:v>0</x:v>
      </x:c>
      <x:c r="V416" s="22" t="n">
        <x:f>MAX(0,MIN('Activities'!L416,108)-MAX('Activities'!K416,102))</x:f>
        <x:v>0</x:v>
      </x:c>
      <x:c r="W416" s="22" t="n">
        <x:f>MAX(0,MIN('Activities'!L416,114)-MAX('Activities'!K416,108))</x:f>
        <x:v>0</x:v>
      </x:c>
      <x:c r="X416" s="22" t="n">
        <x:f>MAX(0,MIN('Activities'!L416,120)-MAX('Activities'!K416,114))</x:f>
        <x:v>0</x:v>
      </x:c>
      <x:c r="Y416" s="22" t="n">
        <x:f>MAX(0,MIN('Activities'!L416,126)-MAX('Activities'!K416,120))</x:f>
        <x:v>0</x:v>
      </x:c>
      <x:c r="Z416" s="22" t="n">
        <x:f>MAX(0,MIN('Activities'!L416,132)-MAX('Activities'!K416,126))</x:f>
        <x:v>0</x:v>
      </x:c>
      <x:c r="AA416" s="22" t="n">
        <x:f>MAX(0,MIN('Activities'!L416,138)-MAX('Activities'!K416,132))</x:f>
        <x:v>0</x:v>
      </x:c>
      <x:c r="AB416" s="22" t="n">
        <x:f>MAX(0,MIN('Activities'!L416,144)-MAX('Activities'!K416,138))</x:f>
        <x:v>0</x:v>
      </x:c>
      <x:c r="AC416" s="22" t="n">
        <x:f>MAX(0,MIN('Activities'!L416,150)-MAX('Activities'!K416,144))</x:f>
        <x:v>0</x:v>
      </x:c>
      <x:c r="AD416" s="22" t="n">
        <x:f>MAX(0,MIN('Activities'!L416,156)-MAX('Activities'!K416,150))</x:f>
        <x:v>0</x:v>
      </x:c>
      <x:c r="AE416" s="22" t="n">
        <x:f>MAX(0,MIN('Activities'!L416,162)-MAX('Activities'!K416,156))</x:f>
        <x:v>0</x:v>
      </x:c>
      <x:c r="AF416" s="22" t="n">
        <x:f>MAX(0,MIN('Activities'!L416,168)-MAX('Activities'!K416,162))</x:f>
        <x:v>0</x:v>
      </x:c>
      <x:c r="AG416" s="22" t="n">
        <x:f>MAX(0,MIN('Activities'!L416,174)-MAX('Activities'!K416,168))</x:f>
        <x:v>0</x:v>
      </x:c>
      <x:c r="AH416" s="22" t="n">
        <x:f>MAX(0,MIN('Activities'!L416,180)-MAX('Activities'!K416,174))</x:f>
        <x:v>4</x:v>
      </x:c>
      <x:c r="AI416" s="22" t="n">
        <x:f>MAX(0,MIN('Activities'!L416,186)-MAX('Activities'!K416,180))</x:f>
        <x:v>1</x:v>
      </x:c>
      <x:c r="AJ416" s="22" t="n">
        <x:f>MAX(0,MIN('Activities'!L416,192)-MAX('Activities'!K416,186))</x:f>
        <x:v>0</x:v>
      </x:c>
      <x:c r="AK416" s="22" t="n">
        <x:f>MAX(0,MIN('Activities'!L416,198)-MAX('Activities'!K416,192))</x:f>
        <x:v>0</x:v>
      </x:c>
      <x:c r="AL416" s="22" t="n">
        <x:f>MAX(0,MIN('Activities'!L416,204)-MAX('Activities'!K416,198))</x:f>
        <x:v>0</x:v>
      </x:c>
      <x:c r="AM416" s="22" t="n">
        <x:f>MAX(0,MIN('Activities'!L416,210)-MAX('Activities'!K416,204))</x:f>
        <x:v>0</x:v>
      </x:c>
      <x:c r="AN416" s="22" t="n">
        <x:f>MAX(0,MIN('Activities'!L416,216)-MAX('Activities'!K416,210))</x:f>
        <x:v>0</x:v>
      </x:c>
      <x:c r="AO416" s="22" t="n">
        <x:f>MAX(0,MIN('Activities'!L416,222)-MAX('Activities'!K416,216))</x:f>
        <x:v>0</x:v>
      </x:c>
      <x:c r="AP416" s="22" t="n">
        <x:f>MAX(0,MIN('Activities'!L416,228)-MAX('Activities'!K416,222))</x:f>
        <x:v>0</x:v>
      </x:c>
      <x:c r="AQ416" s="22" t="n">
        <x:f>MAX(0,MIN('Activities'!L416,234)-MAX('Activities'!K416,228))</x:f>
        <x:v>0</x:v>
      </x:c>
      <x:c r="AR416" s="22" t="n">
        <x:f>MAX(0,MIN('Activities'!L416,240)-MAX('Activities'!K416,234))</x:f>
        <x:v>0</x:v>
      </x:c>
      <x:c r="AS416" s="22" t="n">
        <x:f>MAX(0,MIN('Activities'!L416,246)-MAX('Activities'!K416,240))</x:f>
        <x:v>0</x:v>
      </x:c>
      <x:c r="AT416" s="22" t="n">
        <x:f>MAX(0,MIN('Activities'!L416,252)-MAX('Activities'!K416,246))</x:f>
        <x:v>0</x:v>
      </x:c>
      <x:c r="AU416" s="22" t="n">
        <x:f>MAX(0,MIN('Activities'!L416,258)-MAX('Activities'!K416,252))</x:f>
        <x:v>0</x:v>
      </x:c>
      <x:c r="AV416" s="22" t="n">
        <x:f>MAX(0,MIN('Activities'!L416,264)-MAX('Activities'!K416,258))</x:f>
        <x:v>0</x:v>
      </x:c>
      <x:c r="AW416" s="22" t="n">
        <x:f>MAX(0,MIN('Activities'!L416,270)-MAX('Activities'!K416,264))</x:f>
        <x:v>0</x:v>
      </x:c>
      <x:c r="AX416" s="22" t="n">
        <x:f>MAX(0,MIN('Activities'!L416,276)-MAX('Activities'!K416,270))</x:f>
        <x:v>0</x:v>
      </x:c>
      <x:c r="AY416" s="22" t="n">
        <x:f>MAX(0,MIN('Activities'!L416,282)-MAX('Activities'!K416,276))</x:f>
        <x:v>0</x:v>
      </x:c>
      <x:c r="AZ416" s="22" t="n">
        <x:f>MAX(0,MIN('Activities'!L416,288)-MAX('Activities'!K416,282))</x:f>
        <x:v>0</x:v>
      </x:c>
      <x:c r="BA416" s="22" t="n">
        <x:f>MAX(0,MIN('Activities'!L416,294)-MAX('Activities'!K416,288))</x:f>
        <x:v>0</x:v>
      </x:c>
      <x:c r="BB416" s="22" t="n">
        <x:f>MAX(0,MIN('Activities'!L416,300)-MAX('Activities'!K416,294))</x:f>
        <x:v>0</x:v>
      </x:c>
      <x:c r="BC416" s="22" t="n">
        <x:f>MAX(0,MIN('Activities'!L416,306)-MAX('Activities'!K416,300))</x:f>
        <x:v>0</x:v>
      </x:c>
      <x:c r="BD416" s="22" t="n">
        <x:f>MAX(0,MIN('Activities'!L416,312)-MAX('Activities'!K416,306))</x:f>
        <x:v>0</x:v>
      </x:c>
      <x:c r="BE416" s="22" t="n">
        <x:f>MAX(0,MIN('Activities'!L416,318)-MAX('Activities'!K416,312))</x:f>
        <x:v>0</x:v>
      </x:c>
      <x:c r="BF416" s="22" t="n">
        <x:f>MAX(0,MIN('Activities'!L416,324)-MAX('Activities'!K416,318))</x:f>
        <x:v>0</x:v>
      </x:c>
      <x:c r="BG416" s="22" t="n">
        <x:f>MAX(0,MIN('Activities'!L416,330)-MAX('Activities'!K416,324))</x:f>
        <x:v>0</x:v>
      </x:c>
      <x:c r="BH416" s="22" t="n">
        <x:f>MAX(0,MIN('Activities'!L416,336)-MAX('Activities'!K416,330))</x:f>
        <x:v>0</x:v>
      </x:c>
      <x:c r="BI416" s="22" t="n">
        <x:f>MAX(0,MIN('Activities'!L416,342)-MAX('Activities'!K416,336))</x:f>
        <x:v>0</x:v>
      </x:c>
      <x:c r="BJ416" s="22" t="n">
        <x:f>MAX(0,MIN('Activities'!L416,348)-MAX('Activities'!K416,342))</x:f>
        <x:v>0</x:v>
      </x:c>
      <x:c r="BK416" s="22" t="n">
        <x:f>MAX(0,MIN('Activities'!L416,354)-MAX('Activities'!K416,348))</x:f>
        <x:v>0</x:v>
      </x:c>
      <x:c r="BL416" s="22" t="n">
        <x:f>MAX(0,MIN('Activities'!L416,360)-MAX('Activities'!K416,354))</x:f>
        <x:v>0</x:v>
      </x:c>
      <x:c r="BM416" s="22" t="n">
        <x:f>MAX(0,MIN('Activities'!L416,366)-MAX('Activities'!K416,360))</x:f>
        <x:v>0</x:v>
      </x:c>
      <x:c r="BN416" s="22" t="n">
        <x:f>MAX(0,MIN('Activities'!L416,372)-MAX('Activities'!K416,366))</x:f>
        <x:v>0</x:v>
      </x:c>
      <x:c r="BO416" s="22" t="n">
        <x:f>MAX(0,MIN('Activities'!L416,378)-MAX('Activities'!K416,372))</x:f>
        <x:v>0</x:v>
      </x:c>
      <x:c r="BP416" s="22" t="n">
        <x:f>MAX(0,MIN('Activities'!L416,384)-MAX('Activities'!K416,378))</x:f>
        <x:v>0</x:v>
      </x:c>
      <x:c r="BQ416" s="22" t="n">
        <x:f>MAX(0,MIN('Activities'!L416,390)-MAX('Activities'!K416,384))</x:f>
        <x:v>0</x:v>
      </x:c>
      <x:c r="BR416" s="22" t="n">
        <x:f>MAX(0,MIN('Activities'!L416,396)-MAX('Activities'!K416,390))</x:f>
        <x:v>0</x:v>
      </x:c>
      <x:c r="BS416" s="22" t="n">
        <x:f>MAX(0,MIN('Activities'!L416,402)-MAX('Activities'!K416,396))</x:f>
        <x:v>0</x:v>
      </x:c>
      <x:c r="BT416" s="22" t="n">
        <x:f>MAX(0,MIN('Activities'!L416,408)-MAX('Activities'!K416,402))</x:f>
        <x:v>0</x:v>
      </x:c>
      <x:c r="BU416" s="22" t="n">
        <x:f>MAX(0,MIN('Activities'!L416,414)-MAX('Activities'!K416,408))</x:f>
        <x:v>0</x:v>
      </x:c>
      <x:c r="BV416" s="22" t="n">
        <x:f>MAX(0,MIN('Activities'!L416,420)-MAX('Activities'!K416,414))</x:f>
        <x:v>0</x:v>
      </x:c>
      <x:c r="BW416" s="22" t="n">
        <x:f>MAX(0,MIN('Activities'!L416,426)-MAX('Activities'!K416,420))</x:f>
        <x:v>0</x:v>
      </x:c>
      <x:c r="BX416" s="22" t="n">
        <x:f>MAX(0,MIN('Activities'!L416,432)-MAX('Activities'!K416,426))</x:f>
        <x:v>0</x:v>
      </x:c>
      <x:c r="BY416" s="22" t="n">
        <x:f>MAX(0,MIN('Activities'!L416,438)-MAX('Activities'!K416,432))</x:f>
        <x:v>0</x:v>
      </x:c>
      <x:c r="BZ416" s="22" t="n">
        <x:f>MAX(0,MIN('Activities'!L416,444)-MAX('Activities'!K416,438))</x:f>
        <x:v>0</x:v>
      </x:c>
      <x:c r="CA416" s="22" t="n">
        <x:f>MAX(0,MIN('Activities'!L416,450)-MAX('Activities'!K416,444))</x:f>
        <x:v>0</x:v>
      </x:c>
      <x:c r="CB416" s="22" t="n">
        <x:f>MAX(0,MIN('Activities'!L416,456)-MAX('Activities'!K416,450))</x:f>
        <x:v>0</x:v>
      </x:c>
      <x:c r="CC416" s="22" t="n">
        <x:f>MAX(0,MIN('Activities'!L416,462)-MAX('Activities'!K416,456))</x:f>
        <x:v>0</x:v>
      </x:c>
      <x:c r="CD416" s="22" t="n">
        <x:f>MAX(0,MIN('Activities'!L416,468)-MAX('Activities'!K416,462))</x:f>
        <x:v>0</x:v>
      </x:c>
      <x:c r="CE416" s="22" t="n">
        <x:f>MAX(0,MIN('Activities'!L416,474)-MAX('Activities'!K416,468))</x:f>
        <x:v>0</x:v>
      </x:c>
      <x:c r="CF416" s="22" t="n">
        <x:f>MAX(0,MIN('Activities'!L416,480)-MAX('Activities'!K416,474))</x:f>
        <x:v>0</x:v>
      </x:c>
      <x:c r="CG416" s="22" t="n">
        <x:f>MAX(0,MIN('Activities'!L416,486)-MAX('Activities'!K416,480))</x:f>
        <x:v>0</x:v>
      </x:c>
      <x:c r="CH416" s="22" t="n">
        <x:f>MAX(0,MIN('Activities'!L416,492)-MAX('Activities'!K416,486))</x:f>
        <x:v>0</x:v>
      </x:c>
      <x:c r="CI416" s="22" t="n">
        <x:f>MAX(0,MIN('Activities'!L416,498)-MAX('Activities'!K416,492))</x:f>
        <x:v>0</x:v>
      </x:c>
      <x:c r="CJ416" s="22" t="n">
        <x:f>MAX(0,MIN('Activities'!L416,504)-MAX('Activities'!K416,498))</x:f>
        <x:v>0</x:v>
      </x:c>
      <x:c r="CK416" s="22" t="n">
        <x:f>MAX(0,MIN('Activities'!L416,510)-MAX('Activities'!K416,504))</x:f>
        <x:v>0</x:v>
      </x:c>
      <x:c r="CL416" s="22" t="n">
        <x:f>MAX(0,MIN('Activities'!L416,516)-MAX('Activities'!K416,510))</x:f>
        <x:v>0</x:v>
      </x:c>
      <x:c r="CM416" s="22" t="n">
        <x:f>MAX(0,MIN('Activities'!L416,522)-MAX('Activities'!K416,516))</x:f>
        <x:v>0</x:v>
      </x:c>
      <x:c r="CN416" s="22" t="n">
        <x:f>MAX(0,MIN('Activities'!L416,528)-MAX('Activities'!K416,522))</x:f>
        <x:v>0</x:v>
      </x:c>
      <x:c r="CO416" s="22" t="n">
        <x:f>MAX(0,MIN('Activities'!L416,534)-MAX('Activities'!K416,528))</x:f>
        <x:v>0</x:v>
      </x:c>
      <x:c r="CP416" s="22" t="n">
        <x:f>MAX(0,MIN('Activities'!L416,540)-MAX('Activities'!K416,534))</x:f>
        <x:v>0</x:v>
      </x:c>
      <x:c r="CQ416" s="22" t="n">
        <x:f>MAX(0,MIN('Activities'!L416,546)-MAX('Activities'!K416,540))</x:f>
        <x:v>0</x:v>
      </x:c>
      <x:c r="CR416" s="22" t="n">
        <x:f>MAX(0,MIN('Activities'!L416,552)-MAX('Activities'!K416,546))</x:f>
        <x:v>0</x:v>
      </x:c>
      <x:c r="CS416" s="22" t="n">
        <x:f>MAX(0,MIN('Activities'!L416,558)-MAX('Activities'!K416,552))</x:f>
        <x:v>0</x:v>
      </x:c>
      <x:c r="CT416" s="22" t="n">
        <x:f>MAX(0,MIN('Activities'!L416,564)-MAX('Activities'!K416,558))</x:f>
        <x:v>0</x:v>
      </x:c>
      <x:c r="CU416" s="22" t="n">
        <x:f>MAX(0,MIN('Activities'!L416,570)-MAX('Activities'!K416,564))</x:f>
        <x:v>0</x:v>
      </x:c>
      <x:c r="CV416" s="22" t="n">
        <x:f>MAX(0,MIN('Activities'!L416,576)-MAX('Activities'!K416,570))</x:f>
        <x:v>0</x:v>
      </x:c>
      <x:c r="CW416" s="22" t="n">
        <x:f>MAX(0,MIN('Activities'!L416,582)-MAX('Activities'!K416,576))</x:f>
        <x:v>0</x:v>
      </x:c>
      <x:c r="CX416" s="22" t="n">
        <x:f>MAX(0,MIN('Activities'!L416,588)-MAX('Activities'!K416,582))</x:f>
        <x:v>0</x:v>
      </x:c>
      <x:c r="CY416" s="22" t="n">
        <x:f>MAX(0,MIN('Activities'!L416,594)-MAX('Activities'!K416,588))</x:f>
        <x:v>0</x:v>
      </x:c>
      <x:c r="CZ416" s="22" t="n">
        <x:f>MAX(0,MIN('Activities'!L416,600)-MAX('Activities'!K416,594))</x:f>
        <x:v>0</x:v>
      </x:c>
      <x:c r="DA416" s="22" t="n">
        <x:f>MAX(0,MIN('Activities'!L416,606)-MAX('Activities'!K416,600))</x:f>
        <x:v>0</x:v>
      </x:c>
      <x:c r="DB416" s="22" t="n">
        <x:f>MAX(0,MIN('Activities'!L416,612)-MAX('Activities'!K416,606))</x:f>
        <x:v>0</x:v>
      </x:c>
      <x:c r="DC416" s="22" t="n">
        <x:f>MAX(0,MIN('Activities'!L416,618)-MAX('Activities'!K416,612))</x:f>
        <x:v>0</x:v>
      </x:c>
      <x:c r="DD416" s="22" t="n">
        <x:f>MAX(0,MIN('Activities'!L416,624)-MAX('Activities'!K416,618))</x:f>
        <x:v>0</x:v>
      </x:c>
      <x:c r="DE416" s="22" t="n">
        <x:f>MAX(0,MIN('Activities'!L416,630)-MAX('Activities'!K416,624))</x:f>
        <x:v>0</x:v>
      </x:c>
      <x:c r="DF416" s="22" t="n">
        <x:f>MAX(0,MIN('Activities'!L416,636)-MAX('Activities'!K416,630))</x:f>
        <x:v>0</x:v>
      </x:c>
    </x:row>
    <x:row r="417" ht="23" customHeight="1">
      <x:c r="A417" s="1" t="str">
        <x:v>T4-L00-C</x:v>
      </x:c>
      <x:c r="B417" s="1" t="str">
        <x:v>T4</x:v>
      </x:c>
      <x:c r="C417" s="1" t="str">
        <x:v>Concrete placement and finishing</x:v>
      </x:c>
      <x:c r="D417" s="1" t="str">
        <x:v>Concrete</x:v>
      </x:c>
      <x:c r="E417" s="23" t="n">
        <x:f>MAX(0,MIN('Activities'!L417,6)-MAX('Activities'!K417,0))</x:f>
        <x:v>0</x:v>
      </x:c>
      <x:c r="F417" s="23" t="n">
        <x:f>MAX(0,MIN('Activities'!L417,12)-MAX('Activities'!K417,6))</x:f>
        <x:v>0</x:v>
      </x:c>
      <x:c r="G417" s="23" t="n">
        <x:f>MAX(0,MIN('Activities'!L417,18)-MAX('Activities'!K417,12))</x:f>
        <x:v>0</x:v>
      </x:c>
      <x:c r="H417" s="23" t="n">
        <x:f>MAX(0,MIN('Activities'!L417,24)-MAX('Activities'!K417,18))</x:f>
        <x:v>0</x:v>
      </x:c>
      <x:c r="I417" s="23" t="n">
        <x:f>MAX(0,MIN('Activities'!L417,30)-MAX('Activities'!K417,24))</x:f>
        <x:v>0</x:v>
      </x:c>
      <x:c r="J417" s="23" t="n">
        <x:f>MAX(0,MIN('Activities'!L417,36)-MAX('Activities'!K417,30))</x:f>
        <x:v>0</x:v>
      </x:c>
      <x:c r="K417" s="23" t="n">
        <x:f>MAX(0,MIN('Activities'!L417,42)-MAX('Activities'!K417,36))</x:f>
        <x:v>0</x:v>
      </x:c>
      <x:c r="L417" s="23" t="n">
        <x:f>MAX(0,MIN('Activities'!L417,48)-MAX('Activities'!K417,42))</x:f>
        <x:v>0</x:v>
      </x:c>
      <x:c r="M417" s="23" t="n">
        <x:f>MAX(0,MIN('Activities'!L417,54)-MAX('Activities'!K417,48))</x:f>
        <x:v>0</x:v>
      </x:c>
      <x:c r="N417" s="23" t="n">
        <x:f>MAX(0,MIN('Activities'!L417,60)-MAX('Activities'!K417,54))</x:f>
        <x:v>0</x:v>
      </x:c>
      <x:c r="O417" s="23" t="n">
        <x:f>MAX(0,MIN('Activities'!L417,66)-MAX('Activities'!K417,60))</x:f>
        <x:v>0</x:v>
      </x:c>
      <x:c r="P417" s="23" t="n">
        <x:f>MAX(0,MIN('Activities'!L417,72)-MAX('Activities'!K417,66))</x:f>
        <x:v>0</x:v>
      </x:c>
      <x:c r="Q417" s="23" t="n">
        <x:f>MAX(0,MIN('Activities'!L417,78)-MAX('Activities'!K417,72))</x:f>
        <x:v>0</x:v>
      </x:c>
      <x:c r="R417" s="23" t="n">
        <x:f>MAX(0,MIN('Activities'!L417,84)-MAX('Activities'!K417,78))</x:f>
        <x:v>0</x:v>
      </x:c>
      <x:c r="S417" s="23" t="n">
        <x:f>MAX(0,MIN('Activities'!L417,90)-MAX('Activities'!K417,84))</x:f>
        <x:v>0</x:v>
      </x:c>
      <x:c r="T417" s="23" t="n">
        <x:f>MAX(0,MIN('Activities'!L417,96)-MAX('Activities'!K417,90))</x:f>
        <x:v>0</x:v>
      </x:c>
      <x:c r="U417" s="23" t="n">
        <x:f>MAX(0,MIN('Activities'!L417,102)-MAX('Activities'!K417,96))</x:f>
        <x:v>0</x:v>
      </x:c>
      <x:c r="V417" s="23" t="n">
        <x:f>MAX(0,MIN('Activities'!L417,108)-MAX('Activities'!K417,102))</x:f>
        <x:v>0</x:v>
      </x:c>
      <x:c r="W417" s="23" t="n">
        <x:f>MAX(0,MIN('Activities'!L417,114)-MAX('Activities'!K417,108))</x:f>
        <x:v>0</x:v>
      </x:c>
      <x:c r="X417" s="23" t="n">
        <x:f>MAX(0,MIN('Activities'!L417,120)-MAX('Activities'!K417,114))</x:f>
        <x:v>0</x:v>
      </x:c>
      <x:c r="Y417" s="23" t="n">
        <x:f>MAX(0,MIN('Activities'!L417,126)-MAX('Activities'!K417,120))</x:f>
        <x:v>0</x:v>
      </x:c>
      <x:c r="Z417" s="23" t="n">
        <x:f>MAX(0,MIN('Activities'!L417,132)-MAX('Activities'!K417,126))</x:f>
        <x:v>0</x:v>
      </x:c>
      <x:c r="AA417" s="23" t="n">
        <x:f>MAX(0,MIN('Activities'!L417,138)-MAX('Activities'!K417,132))</x:f>
        <x:v>0</x:v>
      </x:c>
      <x:c r="AB417" s="23" t="n">
        <x:f>MAX(0,MIN('Activities'!L417,144)-MAX('Activities'!K417,138))</x:f>
        <x:v>0</x:v>
      </x:c>
      <x:c r="AC417" s="23" t="n">
        <x:f>MAX(0,MIN('Activities'!L417,150)-MAX('Activities'!K417,144))</x:f>
        <x:v>0</x:v>
      </x:c>
      <x:c r="AD417" s="23" t="n">
        <x:f>MAX(0,MIN('Activities'!L417,156)-MAX('Activities'!K417,150))</x:f>
        <x:v>0</x:v>
      </x:c>
      <x:c r="AE417" s="23" t="n">
        <x:f>MAX(0,MIN('Activities'!L417,162)-MAX('Activities'!K417,156))</x:f>
        <x:v>0</x:v>
      </x:c>
      <x:c r="AF417" s="23" t="n">
        <x:f>MAX(0,MIN('Activities'!L417,168)-MAX('Activities'!K417,162))</x:f>
        <x:v>0</x:v>
      </x:c>
      <x:c r="AG417" s="23" t="n">
        <x:f>MAX(0,MIN('Activities'!L417,174)-MAX('Activities'!K417,168))</x:f>
        <x:v>0</x:v>
      </x:c>
      <x:c r="AH417" s="23" t="n">
        <x:f>MAX(0,MIN('Activities'!L417,180)-MAX('Activities'!K417,174))</x:f>
        <x:v>0</x:v>
      </x:c>
      <x:c r="AI417" s="23" t="n">
        <x:f>MAX(0,MIN('Activities'!L417,186)-MAX('Activities'!K417,180))</x:f>
        <x:v>2</x:v>
      </x:c>
      <x:c r="AJ417" s="23" t="n">
        <x:f>MAX(0,MIN('Activities'!L417,192)-MAX('Activities'!K417,186))</x:f>
        <x:v>0</x:v>
      </x:c>
      <x:c r="AK417" s="23" t="n">
        <x:f>MAX(0,MIN('Activities'!L417,198)-MAX('Activities'!K417,192))</x:f>
        <x:v>0</x:v>
      </x:c>
      <x:c r="AL417" s="23" t="n">
        <x:f>MAX(0,MIN('Activities'!L417,204)-MAX('Activities'!K417,198))</x:f>
        <x:v>0</x:v>
      </x:c>
      <x:c r="AM417" s="23" t="n">
        <x:f>MAX(0,MIN('Activities'!L417,210)-MAX('Activities'!K417,204))</x:f>
        <x:v>0</x:v>
      </x:c>
      <x:c r="AN417" s="23" t="n">
        <x:f>MAX(0,MIN('Activities'!L417,216)-MAX('Activities'!K417,210))</x:f>
        <x:v>0</x:v>
      </x:c>
      <x:c r="AO417" s="23" t="n">
        <x:f>MAX(0,MIN('Activities'!L417,222)-MAX('Activities'!K417,216))</x:f>
        <x:v>0</x:v>
      </x:c>
      <x:c r="AP417" s="23" t="n">
        <x:f>MAX(0,MIN('Activities'!L417,228)-MAX('Activities'!K417,222))</x:f>
        <x:v>0</x:v>
      </x:c>
      <x:c r="AQ417" s="23" t="n">
        <x:f>MAX(0,MIN('Activities'!L417,234)-MAX('Activities'!K417,228))</x:f>
        <x:v>0</x:v>
      </x:c>
      <x:c r="AR417" s="23" t="n">
        <x:f>MAX(0,MIN('Activities'!L417,240)-MAX('Activities'!K417,234))</x:f>
        <x:v>0</x:v>
      </x:c>
      <x:c r="AS417" s="23" t="n">
        <x:f>MAX(0,MIN('Activities'!L417,246)-MAX('Activities'!K417,240))</x:f>
        <x:v>0</x:v>
      </x:c>
      <x:c r="AT417" s="23" t="n">
        <x:f>MAX(0,MIN('Activities'!L417,252)-MAX('Activities'!K417,246))</x:f>
        <x:v>0</x:v>
      </x:c>
      <x:c r="AU417" s="23" t="n">
        <x:f>MAX(0,MIN('Activities'!L417,258)-MAX('Activities'!K417,252))</x:f>
        <x:v>0</x:v>
      </x:c>
      <x:c r="AV417" s="23" t="n">
        <x:f>MAX(0,MIN('Activities'!L417,264)-MAX('Activities'!K417,258))</x:f>
        <x:v>0</x:v>
      </x:c>
      <x:c r="AW417" s="23" t="n">
        <x:f>MAX(0,MIN('Activities'!L417,270)-MAX('Activities'!K417,264))</x:f>
        <x:v>0</x:v>
      </x:c>
      <x:c r="AX417" s="23" t="n">
        <x:f>MAX(0,MIN('Activities'!L417,276)-MAX('Activities'!K417,270))</x:f>
        <x:v>0</x:v>
      </x:c>
      <x:c r="AY417" s="23" t="n">
        <x:f>MAX(0,MIN('Activities'!L417,282)-MAX('Activities'!K417,276))</x:f>
        <x:v>0</x:v>
      </x:c>
      <x:c r="AZ417" s="23" t="n">
        <x:f>MAX(0,MIN('Activities'!L417,288)-MAX('Activities'!K417,282))</x:f>
        <x:v>0</x:v>
      </x:c>
      <x:c r="BA417" s="23" t="n">
        <x:f>MAX(0,MIN('Activities'!L417,294)-MAX('Activities'!K417,288))</x:f>
        <x:v>0</x:v>
      </x:c>
      <x:c r="BB417" s="23" t="n">
        <x:f>MAX(0,MIN('Activities'!L417,300)-MAX('Activities'!K417,294))</x:f>
        <x:v>0</x:v>
      </x:c>
      <x:c r="BC417" s="23" t="n">
        <x:f>MAX(0,MIN('Activities'!L417,306)-MAX('Activities'!K417,300))</x:f>
        <x:v>0</x:v>
      </x:c>
      <x:c r="BD417" s="23" t="n">
        <x:f>MAX(0,MIN('Activities'!L417,312)-MAX('Activities'!K417,306))</x:f>
        <x:v>0</x:v>
      </x:c>
      <x:c r="BE417" s="23" t="n">
        <x:f>MAX(0,MIN('Activities'!L417,318)-MAX('Activities'!K417,312))</x:f>
        <x:v>0</x:v>
      </x:c>
      <x:c r="BF417" s="23" t="n">
        <x:f>MAX(0,MIN('Activities'!L417,324)-MAX('Activities'!K417,318))</x:f>
        <x:v>0</x:v>
      </x:c>
      <x:c r="BG417" s="23" t="n">
        <x:f>MAX(0,MIN('Activities'!L417,330)-MAX('Activities'!K417,324))</x:f>
        <x:v>0</x:v>
      </x:c>
      <x:c r="BH417" s="23" t="n">
        <x:f>MAX(0,MIN('Activities'!L417,336)-MAX('Activities'!K417,330))</x:f>
        <x:v>0</x:v>
      </x:c>
      <x:c r="BI417" s="23" t="n">
        <x:f>MAX(0,MIN('Activities'!L417,342)-MAX('Activities'!K417,336))</x:f>
        <x:v>0</x:v>
      </x:c>
      <x:c r="BJ417" s="23" t="n">
        <x:f>MAX(0,MIN('Activities'!L417,348)-MAX('Activities'!K417,342))</x:f>
        <x:v>0</x:v>
      </x:c>
      <x:c r="BK417" s="23" t="n">
        <x:f>MAX(0,MIN('Activities'!L417,354)-MAX('Activities'!K417,348))</x:f>
        <x:v>0</x:v>
      </x:c>
      <x:c r="BL417" s="23" t="n">
        <x:f>MAX(0,MIN('Activities'!L417,360)-MAX('Activities'!K417,354))</x:f>
        <x:v>0</x:v>
      </x:c>
      <x:c r="BM417" s="23" t="n">
        <x:f>MAX(0,MIN('Activities'!L417,366)-MAX('Activities'!K417,360))</x:f>
        <x:v>0</x:v>
      </x:c>
      <x:c r="BN417" s="23" t="n">
        <x:f>MAX(0,MIN('Activities'!L417,372)-MAX('Activities'!K417,366))</x:f>
        <x:v>0</x:v>
      </x:c>
      <x:c r="BO417" s="23" t="n">
        <x:f>MAX(0,MIN('Activities'!L417,378)-MAX('Activities'!K417,372))</x:f>
        <x:v>0</x:v>
      </x:c>
      <x:c r="BP417" s="23" t="n">
        <x:f>MAX(0,MIN('Activities'!L417,384)-MAX('Activities'!K417,378))</x:f>
        <x:v>0</x:v>
      </x:c>
      <x:c r="BQ417" s="23" t="n">
        <x:f>MAX(0,MIN('Activities'!L417,390)-MAX('Activities'!K417,384))</x:f>
        <x:v>0</x:v>
      </x:c>
      <x:c r="BR417" s="23" t="n">
        <x:f>MAX(0,MIN('Activities'!L417,396)-MAX('Activities'!K417,390))</x:f>
        <x:v>0</x:v>
      </x:c>
      <x:c r="BS417" s="23" t="n">
        <x:f>MAX(0,MIN('Activities'!L417,402)-MAX('Activities'!K417,396))</x:f>
        <x:v>0</x:v>
      </x:c>
      <x:c r="BT417" s="23" t="n">
        <x:f>MAX(0,MIN('Activities'!L417,408)-MAX('Activities'!K417,402))</x:f>
        <x:v>0</x:v>
      </x:c>
      <x:c r="BU417" s="23" t="n">
        <x:f>MAX(0,MIN('Activities'!L417,414)-MAX('Activities'!K417,408))</x:f>
        <x:v>0</x:v>
      </x:c>
      <x:c r="BV417" s="23" t="n">
        <x:f>MAX(0,MIN('Activities'!L417,420)-MAX('Activities'!K417,414))</x:f>
        <x:v>0</x:v>
      </x:c>
      <x:c r="BW417" s="23" t="n">
        <x:f>MAX(0,MIN('Activities'!L417,426)-MAX('Activities'!K417,420))</x:f>
        <x:v>0</x:v>
      </x:c>
      <x:c r="BX417" s="23" t="n">
        <x:f>MAX(0,MIN('Activities'!L417,432)-MAX('Activities'!K417,426))</x:f>
        <x:v>0</x:v>
      </x:c>
      <x:c r="BY417" s="23" t="n">
        <x:f>MAX(0,MIN('Activities'!L417,438)-MAX('Activities'!K417,432))</x:f>
        <x:v>0</x:v>
      </x:c>
      <x:c r="BZ417" s="23" t="n">
        <x:f>MAX(0,MIN('Activities'!L417,444)-MAX('Activities'!K417,438))</x:f>
        <x:v>0</x:v>
      </x:c>
      <x:c r="CA417" s="23" t="n">
        <x:f>MAX(0,MIN('Activities'!L417,450)-MAX('Activities'!K417,444))</x:f>
        <x:v>0</x:v>
      </x:c>
      <x:c r="CB417" s="23" t="n">
        <x:f>MAX(0,MIN('Activities'!L417,456)-MAX('Activities'!K417,450))</x:f>
        <x:v>0</x:v>
      </x:c>
      <x:c r="CC417" s="23" t="n">
        <x:f>MAX(0,MIN('Activities'!L417,462)-MAX('Activities'!K417,456))</x:f>
        <x:v>0</x:v>
      </x:c>
      <x:c r="CD417" s="23" t="n">
        <x:f>MAX(0,MIN('Activities'!L417,468)-MAX('Activities'!K417,462))</x:f>
        <x:v>0</x:v>
      </x:c>
      <x:c r="CE417" s="23" t="n">
        <x:f>MAX(0,MIN('Activities'!L417,474)-MAX('Activities'!K417,468))</x:f>
        <x:v>0</x:v>
      </x:c>
      <x:c r="CF417" s="23" t="n">
        <x:f>MAX(0,MIN('Activities'!L417,480)-MAX('Activities'!K417,474))</x:f>
        <x:v>0</x:v>
      </x:c>
      <x:c r="CG417" s="23" t="n">
        <x:f>MAX(0,MIN('Activities'!L417,486)-MAX('Activities'!K417,480))</x:f>
        <x:v>0</x:v>
      </x:c>
      <x:c r="CH417" s="23" t="n">
        <x:f>MAX(0,MIN('Activities'!L417,492)-MAX('Activities'!K417,486))</x:f>
        <x:v>0</x:v>
      </x:c>
      <x:c r="CI417" s="23" t="n">
        <x:f>MAX(0,MIN('Activities'!L417,498)-MAX('Activities'!K417,492))</x:f>
        <x:v>0</x:v>
      </x:c>
      <x:c r="CJ417" s="23" t="n">
        <x:f>MAX(0,MIN('Activities'!L417,504)-MAX('Activities'!K417,498))</x:f>
        <x:v>0</x:v>
      </x:c>
      <x:c r="CK417" s="23" t="n">
        <x:f>MAX(0,MIN('Activities'!L417,510)-MAX('Activities'!K417,504))</x:f>
        <x:v>0</x:v>
      </x:c>
      <x:c r="CL417" s="23" t="n">
        <x:f>MAX(0,MIN('Activities'!L417,516)-MAX('Activities'!K417,510))</x:f>
        <x:v>0</x:v>
      </x:c>
      <x:c r="CM417" s="23" t="n">
        <x:f>MAX(0,MIN('Activities'!L417,522)-MAX('Activities'!K417,516))</x:f>
        <x:v>0</x:v>
      </x:c>
      <x:c r="CN417" s="23" t="n">
        <x:f>MAX(0,MIN('Activities'!L417,528)-MAX('Activities'!K417,522))</x:f>
        <x:v>0</x:v>
      </x:c>
      <x:c r="CO417" s="23" t="n">
        <x:f>MAX(0,MIN('Activities'!L417,534)-MAX('Activities'!K417,528))</x:f>
        <x:v>0</x:v>
      </x:c>
      <x:c r="CP417" s="23" t="n">
        <x:f>MAX(0,MIN('Activities'!L417,540)-MAX('Activities'!K417,534))</x:f>
        <x:v>0</x:v>
      </x:c>
      <x:c r="CQ417" s="23" t="n">
        <x:f>MAX(0,MIN('Activities'!L417,546)-MAX('Activities'!K417,540))</x:f>
        <x:v>0</x:v>
      </x:c>
      <x:c r="CR417" s="23" t="n">
        <x:f>MAX(0,MIN('Activities'!L417,552)-MAX('Activities'!K417,546))</x:f>
        <x:v>0</x:v>
      </x:c>
      <x:c r="CS417" s="23" t="n">
        <x:f>MAX(0,MIN('Activities'!L417,558)-MAX('Activities'!K417,552))</x:f>
        <x:v>0</x:v>
      </x:c>
      <x:c r="CT417" s="23" t="n">
        <x:f>MAX(0,MIN('Activities'!L417,564)-MAX('Activities'!K417,558))</x:f>
        <x:v>0</x:v>
      </x:c>
      <x:c r="CU417" s="23" t="n">
        <x:f>MAX(0,MIN('Activities'!L417,570)-MAX('Activities'!K417,564))</x:f>
        <x:v>0</x:v>
      </x:c>
      <x:c r="CV417" s="23" t="n">
        <x:f>MAX(0,MIN('Activities'!L417,576)-MAX('Activities'!K417,570))</x:f>
        <x:v>0</x:v>
      </x:c>
      <x:c r="CW417" s="23" t="n">
        <x:f>MAX(0,MIN('Activities'!L417,582)-MAX('Activities'!K417,576))</x:f>
        <x:v>0</x:v>
      </x:c>
      <x:c r="CX417" s="23" t="n">
        <x:f>MAX(0,MIN('Activities'!L417,588)-MAX('Activities'!K417,582))</x:f>
        <x:v>0</x:v>
      </x:c>
      <x:c r="CY417" s="23" t="n">
        <x:f>MAX(0,MIN('Activities'!L417,594)-MAX('Activities'!K417,588))</x:f>
        <x:v>0</x:v>
      </x:c>
      <x:c r="CZ417" s="23" t="n">
        <x:f>MAX(0,MIN('Activities'!L417,600)-MAX('Activities'!K417,594))</x:f>
        <x:v>0</x:v>
      </x:c>
      <x:c r="DA417" s="23" t="n">
        <x:f>MAX(0,MIN('Activities'!L417,606)-MAX('Activities'!K417,600))</x:f>
        <x:v>0</x:v>
      </x:c>
      <x:c r="DB417" s="23" t="n">
        <x:f>MAX(0,MIN('Activities'!L417,612)-MAX('Activities'!K417,606))</x:f>
        <x:v>0</x:v>
      </x:c>
      <x:c r="DC417" s="23" t="n">
        <x:f>MAX(0,MIN('Activities'!L417,618)-MAX('Activities'!K417,612))</x:f>
        <x:v>0</x:v>
      </x:c>
      <x:c r="DD417" s="23" t="n">
        <x:f>MAX(0,MIN('Activities'!L417,624)-MAX('Activities'!K417,618))</x:f>
        <x:v>0</x:v>
      </x:c>
      <x:c r="DE417" s="23" t="n">
        <x:f>MAX(0,MIN('Activities'!L417,630)-MAX('Activities'!K417,624))</x:f>
        <x:v>0</x:v>
      </x:c>
      <x:c r="DF417" s="23" t="n">
        <x:f>MAX(0,MIN('Activities'!L417,636)-MAX('Activities'!K417,630))</x:f>
        <x:v>0</x:v>
      </x:c>
    </x:row>
    <x:row r="418" ht="23" customHeight="1">
      <x:c r="A418" s="6" t="str">
        <x:v>T4-L00-H</x:v>
      </x:c>
      <x:c r="B418" s="6" t="str">
        <x:v>T4</x:v>
      </x:c>
      <x:c r="C418" s="6" t="str">
        <x:v>Curing and release hold point</x:v>
      </x:c>
      <x:c r="D418" s="6" t="str">
        <x:v>Site</x:v>
      </x:c>
      <x:c r="E418" s="22" t="n">
        <x:f>MAX(0,MIN('Activities'!L418,6)-MAX('Activities'!K418,0))</x:f>
        <x:v>0</x:v>
      </x:c>
      <x:c r="F418" s="22" t="n">
        <x:f>MAX(0,MIN('Activities'!L418,12)-MAX('Activities'!K418,6))</x:f>
        <x:v>0</x:v>
      </x:c>
      <x:c r="G418" s="22" t="n">
        <x:f>MAX(0,MIN('Activities'!L418,18)-MAX('Activities'!K418,12))</x:f>
        <x:v>0</x:v>
      </x:c>
      <x:c r="H418" s="22" t="n">
        <x:f>MAX(0,MIN('Activities'!L418,24)-MAX('Activities'!K418,18))</x:f>
        <x:v>0</x:v>
      </x:c>
      <x:c r="I418" s="22" t="n">
        <x:f>MAX(0,MIN('Activities'!L418,30)-MAX('Activities'!K418,24))</x:f>
        <x:v>0</x:v>
      </x:c>
      <x:c r="J418" s="22" t="n">
        <x:f>MAX(0,MIN('Activities'!L418,36)-MAX('Activities'!K418,30))</x:f>
        <x:v>0</x:v>
      </x:c>
      <x:c r="K418" s="22" t="n">
        <x:f>MAX(0,MIN('Activities'!L418,42)-MAX('Activities'!K418,36))</x:f>
        <x:v>0</x:v>
      </x:c>
      <x:c r="L418" s="22" t="n">
        <x:f>MAX(0,MIN('Activities'!L418,48)-MAX('Activities'!K418,42))</x:f>
        <x:v>0</x:v>
      </x:c>
      <x:c r="M418" s="22" t="n">
        <x:f>MAX(0,MIN('Activities'!L418,54)-MAX('Activities'!K418,48))</x:f>
        <x:v>0</x:v>
      </x:c>
      <x:c r="N418" s="22" t="n">
        <x:f>MAX(0,MIN('Activities'!L418,60)-MAX('Activities'!K418,54))</x:f>
        <x:v>0</x:v>
      </x:c>
      <x:c r="O418" s="22" t="n">
        <x:f>MAX(0,MIN('Activities'!L418,66)-MAX('Activities'!K418,60))</x:f>
        <x:v>0</x:v>
      </x:c>
      <x:c r="P418" s="22" t="n">
        <x:f>MAX(0,MIN('Activities'!L418,72)-MAX('Activities'!K418,66))</x:f>
        <x:v>0</x:v>
      </x:c>
      <x:c r="Q418" s="22" t="n">
        <x:f>MAX(0,MIN('Activities'!L418,78)-MAX('Activities'!K418,72))</x:f>
        <x:v>0</x:v>
      </x:c>
      <x:c r="R418" s="22" t="n">
        <x:f>MAX(0,MIN('Activities'!L418,84)-MAX('Activities'!K418,78))</x:f>
        <x:v>0</x:v>
      </x:c>
      <x:c r="S418" s="22" t="n">
        <x:f>MAX(0,MIN('Activities'!L418,90)-MAX('Activities'!K418,84))</x:f>
        <x:v>0</x:v>
      </x:c>
      <x:c r="T418" s="22" t="n">
        <x:f>MAX(0,MIN('Activities'!L418,96)-MAX('Activities'!K418,90))</x:f>
        <x:v>0</x:v>
      </x:c>
      <x:c r="U418" s="22" t="n">
        <x:f>MAX(0,MIN('Activities'!L418,102)-MAX('Activities'!K418,96))</x:f>
        <x:v>0</x:v>
      </x:c>
      <x:c r="V418" s="22" t="n">
        <x:f>MAX(0,MIN('Activities'!L418,108)-MAX('Activities'!K418,102))</x:f>
        <x:v>0</x:v>
      </x:c>
      <x:c r="W418" s="22" t="n">
        <x:f>MAX(0,MIN('Activities'!L418,114)-MAX('Activities'!K418,108))</x:f>
        <x:v>0</x:v>
      </x:c>
      <x:c r="X418" s="22" t="n">
        <x:f>MAX(0,MIN('Activities'!L418,120)-MAX('Activities'!K418,114))</x:f>
        <x:v>0</x:v>
      </x:c>
      <x:c r="Y418" s="22" t="n">
        <x:f>MAX(0,MIN('Activities'!L418,126)-MAX('Activities'!K418,120))</x:f>
        <x:v>0</x:v>
      </x:c>
      <x:c r="Z418" s="22" t="n">
        <x:f>MAX(0,MIN('Activities'!L418,132)-MAX('Activities'!K418,126))</x:f>
        <x:v>0</x:v>
      </x:c>
      <x:c r="AA418" s="22" t="n">
        <x:f>MAX(0,MIN('Activities'!L418,138)-MAX('Activities'!K418,132))</x:f>
        <x:v>0</x:v>
      </x:c>
      <x:c r="AB418" s="22" t="n">
        <x:f>MAX(0,MIN('Activities'!L418,144)-MAX('Activities'!K418,138))</x:f>
        <x:v>0</x:v>
      </x:c>
      <x:c r="AC418" s="22" t="n">
        <x:f>MAX(0,MIN('Activities'!L418,150)-MAX('Activities'!K418,144))</x:f>
        <x:v>0</x:v>
      </x:c>
      <x:c r="AD418" s="22" t="n">
        <x:f>MAX(0,MIN('Activities'!L418,156)-MAX('Activities'!K418,150))</x:f>
        <x:v>0</x:v>
      </x:c>
      <x:c r="AE418" s="22" t="n">
        <x:f>MAX(0,MIN('Activities'!L418,162)-MAX('Activities'!K418,156))</x:f>
        <x:v>0</x:v>
      </x:c>
      <x:c r="AF418" s="22" t="n">
        <x:f>MAX(0,MIN('Activities'!L418,168)-MAX('Activities'!K418,162))</x:f>
        <x:v>0</x:v>
      </x:c>
      <x:c r="AG418" s="22" t="n">
        <x:f>MAX(0,MIN('Activities'!L418,174)-MAX('Activities'!K418,168))</x:f>
        <x:v>0</x:v>
      </x:c>
      <x:c r="AH418" s="22" t="n">
        <x:f>MAX(0,MIN('Activities'!L418,180)-MAX('Activities'!K418,174))</x:f>
        <x:v>0</x:v>
      </x:c>
      <x:c r="AI418" s="22" t="n">
        <x:f>MAX(0,MIN('Activities'!L418,186)-MAX('Activities'!K418,180))</x:f>
        <x:v>3</x:v>
      </x:c>
      <x:c r="AJ418" s="22" t="n">
        <x:f>MAX(0,MIN('Activities'!L418,192)-MAX('Activities'!K418,186))</x:f>
        <x:v>2</x:v>
      </x:c>
      <x:c r="AK418" s="22" t="n">
        <x:f>MAX(0,MIN('Activities'!L418,198)-MAX('Activities'!K418,192))</x:f>
        <x:v>0</x:v>
      </x:c>
      <x:c r="AL418" s="22" t="n">
        <x:f>MAX(0,MIN('Activities'!L418,204)-MAX('Activities'!K418,198))</x:f>
        <x:v>0</x:v>
      </x:c>
      <x:c r="AM418" s="22" t="n">
        <x:f>MAX(0,MIN('Activities'!L418,210)-MAX('Activities'!K418,204))</x:f>
        <x:v>0</x:v>
      </x:c>
      <x:c r="AN418" s="22" t="n">
        <x:f>MAX(0,MIN('Activities'!L418,216)-MAX('Activities'!K418,210))</x:f>
        <x:v>0</x:v>
      </x:c>
      <x:c r="AO418" s="22" t="n">
        <x:f>MAX(0,MIN('Activities'!L418,222)-MAX('Activities'!K418,216))</x:f>
        <x:v>0</x:v>
      </x:c>
      <x:c r="AP418" s="22" t="n">
        <x:f>MAX(0,MIN('Activities'!L418,228)-MAX('Activities'!K418,222))</x:f>
        <x:v>0</x:v>
      </x:c>
      <x:c r="AQ418" s="22" t="n">
        <x:f>MAX(0,MIN('Activities'!L418,234)-MAX('Activities'!K418,228))</x:f>
        <x:v>0</x:v>
      </x:c>
      <x:c r="AR418" s="22" t="n">
        <x:f>MAX(0,MIN('Activities'!L418,240)-MAX('Activities'!K418,234))</x:f>
        <x:v>0</x:v>
      </x:c>
      <x:c r="AS418" s="22" t="n">
        <x:f>MAX(0,MIN('Activities'!L418,246)-MAX('Activities'!K418,240))</x:f>
        <x:v>0</x:v>
      </x:c>
      <x:c r="AT418" s="22" t="n">
        <x:f>MAX(0,MIN('Activities'!L418,252)-MAX('Activities'!K418,246))</x:f>
        <x:v>0</x:v>
      </x:c>
      <x:c r="AU418" s="22" t="n">
        <x:f>MAX(0,MIN('Activities'!L418,258)-MAX('Activities'!K418,252))</x:f>
        <x:v>0</x:v>
      </x:c>
      <x:c r="AV418" s="22" t="n">
        <x:f>MAX(0,MIN('Activities'!L418,264)-MAX('Activities'!K418,258))</x:f>
        <x:v>0</x:v>
      </x:c>
      <x:c r="AW418" s="22" t="n">
        <x:f>MAX(0,MIN('Activities'!L418,270)-MAX('Activities'!K418,264))</x:f>
        <x:v>0</x:v>
      </x:c>
      <x:c r="AX418" s="22" t="n">
        <x:f>MAX(0,MIN('Activities'!L418,276)-MAX('Activities'!K418,270))</x:f>
        <x:v>0</x:v>
      </x:c>
      <x:c r="AY418" s="22" t="n">
        <x:f>MAX(0,MIN('Activities'!L418,282)-MAX('Activities'!K418,276))</x:f>
        <x:v>0</x:v>
      </x:c>
      <x:c r="AZ418" s="22" t="n">
        <x:f>MAX(0,MIN('Activities'!L418,288)-MAX('Activities'!K418,282))</x:f>
        <x:v>0</x:v>
      </x:c>
      <x:c r="BA418" s="22" t="n">
        <x:f>MAX(0,MIN('Activities'!L418,294)-MAX('Activities'!K418,288))</x:f>
        <x:v>0</x:v>
      </x:c>
      <x:c r="BB418" s="22" t="n">
        <x:f>MAX(0,MIN('Activities'!L418,300)-MAX('Activities'!K418,294))</x:f>
        <x:v>0</x:v>
      </x:c>
      <x:c r="BC418" s="22" t="n">
        <x:f>MAX(0,MIN('Activities'!L418,306)-MAX('Activities'!K418,300))</x:f>
        <x:v>0</x:v>
      </x:c>
      <x:c r="BD418" s="22" t="n">
        <x:f>MAX(0,MIN('Activities'!L418,312)-MAX('Activities'!K418,306))</x:f>
        <x:v>0</x:v>
      </x:c>
      <x:c r="BE418" s="22" t="n">
        <x:f>MAX(0,MIN('Activities'!L418,318)-MAX('Activities'!K418,312))</x:f>
        <x:v>0</x:v>
      </x:c>
      <x:c r="BF418" s="22" t="n">
        <x:f>MAX(0,MIN('Activities'!L418,324)-MAX('Activities'!K418,318))</x:f>
        <x:v>0</x:v>
      </x:c>
      <x:c r="BG418" s="22" t="n">
        <x:f>MAX(0,MIN('Activities'!L418,330)-MAX('Activities'!K418,324))</x:f>
        <x:v>0</x:v>
      </x:c>
      <x:c r="BH418" s="22" t="n">
        <x:f>MAX(0,MIN('Activities'!L418,336)-MAX('Activities'!K418,330))</x:f>
        <x:v>0</x:v>
      </x:c>
      <x:c r="BI418" s="22" t="n">
        <x:f>MAX(0,MIN('Activities'!L418,342)-MAX('Activities'!K418,336))</x:f>
        <x:v>0</x:v>
      </x:c>
      <x:c r="BJ418" s="22" t="n">
        <x:f>MAX(0,MIN('Activities'!L418,348)-MAX('Activities'!K418,342))</x:f>
        <x:v>0</x:v>
      </x:c>
      <x:c r="BK418" s="22" t="n">
        <x:f>MAX(0,MIN('Activities'!L418,354)-MAX('Activities'!K418,348))</x:f>
        <x:v>0</x:v>
      </x:c>
      <x:c r="BL418" s="22" t="n">
        <x:f>MAX(0,MIN('Activities'!L418,360)-MAX('Activities'!K418,354))</x:f>
        <x:v>0</x:v>
      </x:c>
      <x:c r="BM418" s="22" t="n">
        <x:f>MAX(0,MIN('Activities'!L418,366)-MAX('Activities'!K418,360))</x:f>
        <x:v>0</x:v>
      </x:c>
      <x:c r="BN418" s="22" t="n">
        <x:f>MAX(0,MIN('Activities'!L418,372)-MAX('Activities'!K418,366))</x:f>
        <x:v>0</x:v>
      </x:c>
      <x:c r="BO418" s="22" t="n">
        <x:f>MAX(0,MIN('Activities'!L418,378)-MAX('Activities'!K418,372))</x:f>
        <x:v>0</x:v>
      </x:c>
      <x:c r="BP418" s="22" t="n">
        <x:f>MAX(0,MIN('Activities'!L418,384)-MAX('Activities'!K418,378))</x:f>
        <x:v>0</x:v>
      </x:c>
      <x:c r="BQ418" s="22" t="n">
        <x:f>MAX(0,MIN('Activities'!L418,390)-MAX('Activities'!K418,384))</x:f>
        <x:v>0</x:v>
      </x:c>
      <x:c r="BR418" s="22" t="n">
        <x:f>MAX(0,MIN('Activities'!L418,396)-MAX('Activities'!K418,390))</x:f>
        <x:v>0</x:v>
      </x:c>
      <x:c r="BS418" s="22" t="n">
        <x:f>MAX(0,MIN('Activities'!L418,402)-MAX('Activities'!K418,396))</x:f>
        <x:v>0</x:v>
      </x:c>
      <x:c r="BT418" s="22" t="n">
        <x:f>MAX(0,MIN('Activities'!L418,408)-MAX('Activities'!K418,402))</x:f>
        <x:v>0</x:v>
      </x:c>
      <x:c r="BU418" s="22" t="n">
        <x:f>MAX(0,MIN('Activities'!L418,414)-MAX('Activities'!K418,408))</x:f>
        <x:v>0</x:v>
      </x:c>
      <x:c r="BV418" s="22" t="n">
        <x:f>MAX(0,MIN('Activities'!L418,420)-MAX('Activities'!K418,414))</x:f>
        <x:v>0</x:v>
      </x:c>
      <x:c r="BW418" s="22" t="n">
        <x:f>MAX(0,MIN('Activities'!L418,426)-MAX('Activities'!K418,420))</x:f>
        <x:v>0</x:v>
      </x:c>
      <x:c r="BX418" s="22" t="n">
        <x:f>MAX(0,MIN('Activities'!L418,432)-MAX('Activities'!K418,426))</x:f>
        <x:v>0</x:v>
      </x:c>
      <x:c r="BY418" s="22" t="n">
        <x:f>MAX(0,MIN('Activities'!L418,438)-MAX('Activities'!K418,432))</x:f>
        <x:v>0</x:v>
      </x:c>
      <x:c r="BZ418" s="22" t="n">
        <x:f>MAX(0,MIN('Activities'!L418,444)-MAX('Activities'!K418,438))</x:f>
        <x:v>0</x:v>
      </x:c>
      <x:c r="CA418" s="22" t="n">
        <x:f>MAX(0,MIN('Activities'!L418,450)-MAX('Activities'!K418,444))</x:f>
        <x:v>0</x:v>
      </x:c>
      <x:c r="CB418" s="22" t="n">
        <x:f>MAX(0,MIN('Activities'!L418,456)-MAX('Activities'!K418,450))</x:f>
        <x:v>0</x:v>
      </x:c>
      <x:c r="CC418" s="22" t="n">
        <x:f>MAX(0,MIN('Activities'!L418,462)-MAX('Activities'!K418,456))</x:f>
        <x:v>0</x:v>
      </x:c>
      <x:c r="CD418" s="22" t="n">
        <x:f>MAX(0,MIN('Activities'!L418,468)-MAX('Activities'!K418,462))</x:f>
        <x:v>0</x:v>
      </x:c>
      <x:c r="CE418" s="22" t="n">
        <x:f>MAX(0,MIN('Activities'!L418,474)-MAX('Activities'!K418,468))</x:f>
        <x:v>0</x:v>
      </x:c>
      <x:c r="CF418" s="22" t="n">
        <x:f>MAX(0,MIN('Activities'!L418,480)-MAX('Activities'!K418,474))</x:f>
        <x:v>0</x:v>
      </x:c>
      <x:c r="CG418" s="22" t="n">
        <x:f>MAX(0,MIN('Activities'!L418,486)-MAX('Activities'!K418,480))</x:f>
        <x:v>0</x:v>
      </x:c>
      <x:c r="CH418" s="22" t="n">
        <x:f>MAX(0,MIN('Activities'!L418,492)-MAX('Activities'!K418,486))</x:f>
        <x:v>0</x:v>
      </x:c>
      <x:c r="CI418" s="22" t="n">
        <x:f>MAX(0,MIN('Activities'!L418,498)-MAX('Activities'!K418,492))</x:f>
        <x:v>0</x:v>
      </x:c>
      <x:c r="CJ418" s="22" t="n">
        <x:f>MAX(0,MIN('Activities'!L418,504)-MAX('Activities'!K418,498))</x:f>
        <x:v>0</x:v>
      </x:c>
      <x:c r="CK418" s="22" t="n">
        <x:f>MAX(0,MIN('Activities'!L418,510)-MAX('Activities'!K418,504))</x:f>
        <x:v>0</x:v>
      </x:c>
      <x:c r="CL418" s="22" t="n">
        <x:f>MAX(0,MIN('Activities'!L418,516)-MAX('Activities'!K418,510))</x:f>
        <x:v>0</x:v>
      </x:c>
      <x:c r="CM418" s="22" t="n">
        <x:f>MAX(0,MIN('Activities'!L418,522)-MAX('Activities'!K418,516))</x:f>
        <x:v>0</x:v>
      </x:c>
      <x:c r="CN418" s="22" t="n">
        <x:f>MAX(0,MIN('Activities'!L418,528)-MAX('Activities'!K418,522))</x:f>
        <x:v>0</x:v>
      </x:c>
      <x:c r="CO418" s="22" t="n">
        <x:f>MAX(0,MIN('Activities'!L418,534)-MAX('Activities'!K418,528))</x:f>
        <x:v>0</x:v>
      </x:c>
      <x:c r="CP418" s="22" t="n">
        <x:f>MAX(0,MIN('Activities'!L418,540)-MAX('Activities'!K418,534))</x:f>
        <x:v>0</x:v>
      </x:c>
      <x:c r="CQ418" s="22" t="n">
        <x:f>MAX(0,MIN('Activities'!L418,546)-MAX('Activities'!K418,540))</x:f>
        <x:v>0</x:v>
      </x:c>
      <x:c r="CR418" s="22" t="n">
        <x:f>MAX(0,MIN('Activities'!L418,552)-MAX('Activities'!K418,546))</x:f>
        <x:v>0</x:v>
      </x:c>
      <x:c r="CS418" s="22" t="n">
        <x:f>MAX(0,MIN('Activities'!L418,558)-MAX('Activities'!K418,552))</x:f>
        <x:v>0</x:v>
      </x:c>
      <x:c r="CT418" s="22" t="n">
        <x:f>MAX(0,MIN('Activities'!L418,564)-MAX('Activities'!K418,558))</x:f>
        <x:v>0</x:v>
      </x:c>
      <x:c r="CU418" s="22" t="n">
        <x:f>MAX(0,MIN('Activities'!L418,570)-MAX('Activities'!K418,564))</x:f>
        <x:v>0</x:v>
      </x:c>
      <x:c r="CV418" s="22" t="n">
        <x:f>MAX(0,MIN('Activities'!L418,576)-MAX('Activities'!K418,570))</x:f>
        <x:v>0</x:v>
      </x:c>
      <x:c r="CW418" s="22" t="n">
        <x:f>MAX(0,MIN('Activities'!L418,582)-MAX('Activities'!K418,576))</x:f>
        <x:v>0</x:v>
      </x:c>
      <x:c r="CX418" s="22" t="n">
        <x:f>MAX(0,MIN('Activities'!L418,588)-MAX('Activities'!K418,582))</x:f>
        <x:v>0</x:v>
      </x:c>
      <x:c r="CY418" s="22" t="n">
        <x:f>MAX(0,MIN('Activities'!L418,594)-MAX('Activities'!K418,588))</x:f>
        <x:v>0</x:v>
      </x:c>
      <x:c r="CZ418" s="22" t="n">
        <x:f>MAX(0,MIN('Activities'!L418,600)-MAX('Activities'!K418,594))</x:f>
        <x:v>0</x:v>
      </x:c>
      <x:c r="DA418" s="22" t="n">
        <x:f>MAX(0,MIN('Activities'!L418,606)-MAX('Activities'!K418,600))</x:f>
        <x:v>0</x:v>
      </x:c>
      <x:c r="DB418" s="22" t="n">
        <x:f>MAX(0,MIN('Activities'!L418,612)-MAX('Activities'!K418,606))</x:f>
        <x:v>0</x:v>
      </x:c>
      <x:c r="DC418" s="22" t="n">
        <x:f>MAX(0,MIN('Activities'!L418,618)-MAX('Activities'!K418,612))</x:f>
        <x:v>0</x:v>
      </x:c>
      <x:c r="DD418" s="22" t="n">
        <x:f>MAX(0,MIN('Activities'!L418,624)-MAX('Activities'!K418,618))</x:f>
        <x:v>0</x:v>
      </x:c>
      <x:c r="DE418" s="22" t="n">
        <x:f>MAX(0,MIN('Activities'!L418,630)-MAX('Activities'!K418,624))</x:f>
        <x:v>0</x:v>
      </x:c>
      <x:c r="DF418" s="22" t="n">
        <x:f>MAX(0,MIN('Activities'!L418,636)-MAX('Activities'!K418,630))</x:f>
        <x:v>0</x:v>
      </x:c>
    </x:row>
    <x:row r="419" ht="23" customHeight="1">
      <x:c r="A419" s="1" t="str">
        <x:v>T4-L01-F</x:v>
      </x:c>
      <x:c r="B419" s="1" t="str">
        <x:v>T4</x:v>
      </x:c>
      <x:c r="C419" s="1" t="str">
        <x:v>Columns, core and deck formwork</x:v>
      </x:c>
      <x:c r="D419" s="1" t="str">
        <x:v>Formwork</x:v>
      </x:c>
      <x:c r="E419" s="23" t="n">
        <x:f>MAX(0,MIN('Activities'!L419,6)-MAX('Activities'!K419,0))</x:f>
        <x:v>0</x:v>
      </x:c>
      <x:c r="F419" s="23" t="n">
        <x:f>MAX(0,MIN('Activities'!L419,12)-MAX('Activities'!K419,6))</x:f>
        <x:v>0</x:v>
      </x:c>
      <x:c r="G419" s="23" t="n">
        <x:f>MAX(0,MIN('Activities'!L419,18)-MAX('Activities'!K419,12))</x:f>
        <x:v>0</x:v>
      </x:c>
      <x:c r="H419" s="23" t="n">
        <x:f>MAX(0,MIN('Activities'!L419,24)-MAX('Activities'!K419,18))</x:f>
        <x:v>0</x:v>
      </x:c>
      <x:c r="I419" s="23" t="n">
        <x:f>MAX(0,MIN('Activities'!L419,30)-MAX('Activities'!K419,24))</x:f>
        <x:v>0</x:v>
      </x:c>
      <x:c r="J419" s="23" t="n">
        <x:f>MAX(0,MIN('Activities'!L419,36)-MAX('Activities'!K419,30))</x:f>
        <x:v>0</x:v>
      </x:c>
      <x:c r="K419" s="23" t="n">
        <x:f>MAX(0,MIN('Activities'!L419,42)-MAX('Activities'!K419,36))</x:f>
        <x:v>0</x:v>
      </x:c>
      <x:c r="L419" s="23" t="n">
        <x:f>MAX(0,MIN('Activities'!L419,48)-MAX('Activities'!K419,42))</x:f>
        <x:v>0</x:v>
      </x:c>
      <x:c r="M419" s="23" t="n">
        <x:f>MAX(0,MIN('Activities'!L419,54)-MAX('Activities'!K419,48))</x:f>
        <x:v>0</x:v>
      </x:c>
      <x:c r="N419" s="23" t="n">
        <x:f>MAX(0,MIN('Activities'!L419,60)-MAX('Activities'!K419,54))</x:f>
        <x:v>0</x:v>
      </x:c>
      <x:c r="O419" s="23" t="n">
        <x:f>MAX(0,MIN('Activities'!L419,66)-MAX('Activities'!K419,60))</x:f>
        <x:v>0</x:v>
      </x:c>
      <x:c r="P419" s="23" t="n">
        <x:f>MAX(0,MIN('Activities'!L419,72)-MAX('Activities'!K419,66))</x:f>
        <x:v>0</x:v>
      </x:c>
      <x:c r="Q419" s="23" t="n">
        <x:f>MAX(0,MIN('Activities'!L419,78)-MAX('Activities'!K419,72))</x:f>
        <x:v>0</x:v>
      </x:c>
      <x:c r="R419" s="23" t="n">
        <x:f>MAX(0,MIN('Activities'!L419,84)-MAX('Activities'!K419,78))</x:f>
        <x:v>0</x:v>
      </x:c>
      <x:c r="S419" s="23" t="n">
        <x:f>MAX(0,MIN('Activities'!L419,90)-MAX('Activities'!K419,84))</x:f>
        <x:v>0</x:v>
      </x:c>
      <x:c r="T419" s="23" t="n">
        <x:f>MAX(0,MIN('Activities'!L419,96)-MAX('Activities'!K419,90))</x:f>
        <x:v>0</x:v>
      </x:c>
      <x:c r="U419" s="23" t="n">
        <x:f>MAX(0,MIN('Activities'!L419,102)-MAX('Activities'!K419,96))</x:f>
        <x:v>0</x:v>
      </x:c>
      <x:c r="V419" s="23" t="n">
        <x:f>MAX(0,MIN('Activities'!L419,108)-MAX('Activities'!K419,102))</x:f>
        <x:v>0</x:v>
      </x:c>
      <x:c r="W419" s="23" t="n">
        <x:f>MAX(0,MIN('Activities'!L419,114)-MAX('Activities'!K419,108))</x:f>
        <x:v>0</x:v>
      </x:c>
      <x:c r="X419" s="23" t="n">
        <x:f>MAX(0,MIN('Activities'!L419,120)-MAX('Activities'!K419,114))</x:f>
        <x:v>0</x:v>
      </x:c>
      <x:c r="Y419" s="23" t="n">
        <x:f>MAX(0,MIN('Activities'!L419,126)-MAX('Activities'!K419,120))</x:f>
        <x:v>0</x:v>
      </x:c>
      <x:c r="Z419" s="23" t="n">
        <x:f>MAX(0,MIN('Activities'!L419,132)-MAX('Activities'!K419,126))</x:f>
        <x:v>0</x:v>
      </x:c>
      <x:c r="AA419" s="23" t="n">
        <x:f>MAX(0,MIN('Activities'!L419,138)-MAX('Activities'!K419,132))</x:f>
        <x:v>0</x:v>
      </x:c>
      <x:c r="AB419" s="23" t="n">
        <x:f>MAX(0,MIN('Activities'!L419,144)-MAX('Activities'!K419,138))</x:f>
        <x:v>0</x:v>
      </x:c>
      <x:c r="AC419" s="23" t="n">
        <x:f>MAX(0,MIN('Activities'!L419,150)-MAX('Activities'!K419,144))</x:f>
        <x:v>0</x:v>
      </x:c>
      <x:c r="AD419" s="23" t="n">
        <x:f>MAX(0,MIN('Activities'!L419,156)-MAX('Activities'!K419,150))</x:f>
        <x:v>0</x:v>
      </x:c>
      <x:c r="AE419" s="23" t="n">
        <x:f>MAX(0,MIN('Activities'!L419,162)-MAX('Activities'!K419,156))</x:f>
        <x:v>0</x:v>
      </x:c>
      <x:c r="AF419" s="23" t="n">
        <x:f>MAX(0,MIN('Activities'!L419,168)-MAX('Activities'!K419,162))</x:f>
        <x:v>0</x:v>
      </x:c>
      <x:c r="AG419" s="23" t="n">
        <x:f>MAX(0,MIN('Activities'!L419,174)-MAX('Activities'!K419,168))</x:f>
        <x:v>0</x:v>
      </x:c>
      <x:c r="AH419" s="23" t="n">
        <x:f>MAX(0,MIN('Activities'!L419,180)-MAX('Activities'!K419,174))</x:f>
        <x:v>0</x:v>
      </x:c>
      <x:c r="AI419" s="23" t="n">
        <x:f>MAX(0,MIN('Activities'!L419,186)-MAX('Activities'!K419,180))</x:f>
        <x:v>0</x:v>
      </x:c>
      <x:c r="AJ419" s="23" t="n">
        <x:f>MAX(0,MIN('Activities'!L419,192)-MAX('Activities'!K419,186))</x:f>
        <x:v>4</x:v>
      </x:c>
      <x:c r="AK419" s="23" t="n">
        <x:f>MAX(0,MIN('Activities'!L419,198)-MAX('Activities'!K419,192))</x:f>
        <x:v>2</x:v>
      </x:c>
      <x:c r="AL419" s="23" t="n">
        <x:f>MAX(0,MIN('Activities'!L419,204)-MAX('Activities'!K419,198))</x:f>
        <x:v>0</x:v>
      </x:c>
      <x:c r="AM419" s="23" t="n">
        <x:f>MAX(0,MIN('Activities'!L419,210)-MAX('Activities'!K419,204))</x:f>
        <x:v>0</x:v>
      </x:c>
      <x:c r="AN419" s="23" t="n">
        <x:f>MAX(0,MIN('Activities'!L419,216)-MAX('Activities'!K419,210))</x:f>
        <x:v>0</x:v>
      </x:c>
      <x:c r="AO419" s="23" t="n">
        <x:f>MAX(0,MIN('Activities'!L419,222)-MAX('Activities'!K419,216))</x:f>
        <x:v>0</x:v>
      </x:c>
      <x:c r="AP419" s="23" t="n">
        <x:f>MAX(0,MIN('Activities'!L419,228)-MAX('Activities'!K419,222))</x:f>
        <x:v>0</x:v>
      </x:c>
      <x:c r="AQ419" s="23" t="n">
        <x:f>MAX(0,MIN('Activities'!L419,234)-MAX('Activities'!K419,228))</x:f>
        <x:v>0</x:v>
      </x:c>
      <x:c r="AR419" s="23" t="n">
        <x:f>MAX(0,MIN('Activities'!L419,240)-MAX('Activities'!K419,234))</x:f>
        <x:v>0</x:v>
      </x:c>
      <x:c r="AS419" s="23" t="n">
        <x:f>MAX(0,MIN('Activities'!L419,246)-MAX('Activities'!K419,240))</x:f>
        <x:v>0</x:v>
      </x:c>
      <x:c r="AT419" s="23" t="n">
        <x:f>MAX(0,MIN('Activities'!L419,252)-MAX('Activities'!K419,246))</x:f>
        <x:v>0</x:v>
      </x:c>
      <x:c r="AU419" s="23" t="n">
        <x:f>MAX(0,MIN('Activities'!L419,258)-MAX('Activities'!K419,252))</x:f>
        <x:v>0</x:v>
      </x:c>
      <x:c r="AV419" s="23" t="n">
        <x:f>MAX(0,MIN('Activities'!L419,264)-MAX('Activities'!K419,258))</x:f>
        <x:v>0</x:v>
      </x:c>
      <x:c r="AW419" s="23" t="n">
        <x:f>MAX(0,MIN('Activities'!L419,270)-MAX('Activities'!K419,264))</x:f>
        <x:v>0</x:v>
      </x:c>
      <x:c r="AX419" s="23" t="n">
        <x:f>MAX(0,MIN('Activities'!L419,276)-MAX('Activities'!K419,270))</x:f>
        <x:v>0</x:v>
      </x:c>
      <x:c r="AY419" s="23" t="n">
        <x:f>MAX(0,MIN('Activities'!L419,282)-MAX('Activities'!K419,276))</x:f>
        <x:v>0</x:v>
      </x:c>
      <x:c r="AZ419" s="23" t="n">
        <x:f>MAX(0,MIN('Activities'!L419,288)-MAX('Activities'!K419,282))</x:f>
        <x:v>0</x:v>
      </x:c>
      <x:c r="BA419" s="23" t="n">
        <x:f>MAX(0,MIN('Activities'!L419,294)-MAX('Activities'!K419,288))</x:f>
        <x:v>0</x:v>
      </x:c>
      <x:c r="BB419" s="23" t="n">
        <x:f>MAX(0,MIN('Activities'!L419,300)-MAX('Activities'!K419,294))</x:f>
        <x:v>0</x:v>
      </x:c>
      <x:c r="BC419" s="23" t="n">
        <x:f>MAX(0,MIN('Activities'!L419,306)-MAX('Activities'!K419,300))</x:f>
        <x:v>0</x:v>
      </x:c>
      <x:c r="BD419" s="23" t="n">
        <x:f>MAX(0,MIN('Activities'!L419,312)-MAX('Activities'!K419,306))</x:f>
        <x:v>0</x:v>
      </x:c>
      <x:c r="BE419" s="23" t="n">
        <x:f>MAX(0,MIN('Activities'!L419,318)-MAX('Activities'!K419,312))</x:f>
        <x:v>0</x:v>
      </x:c>
      <x:c r="BF419" s="23" t="n">
        <x:f>MAX(0,MIN('Activities'!L419,324)-MAX('Activities'!K419,318))</x:f>
        <x:v>0</x:v>
      </x:c>
      <x:c r="BG419" s="23" t="n">
        <x:f>MAX(0,MIN('Activities'!L419,330)-MAX('Activities'!K419,324))</x:f>
        <x:v>0</x:v>
      </x:c>
      <x:c r="BH419" s="23" t="n">
        <x:f>MAX(0,MIN('Activities'!L419,336)-MAX('Activities'!K419,330))</x:f>
        <x:v>0</x:v>
      </x:c>
      <x:c r="BI419" s="23" t="n">
        <x:f>MAX(0,MIN('Activities'!L419,342)-MAX('Activities'!K419,336))</x:f>
        <x:v>0</x:v>
      </x:c>
      <x:c r="BJ419" s="23" t="n">
        <x:f>MAX(0,MIN('Activities'!L419,348)-MAX('Activities'!K419,342))</x:f>
        <x:v>0</x:v>
      </x:c>
      <x:c r="BK419" s="23" t="n">
        <x:f>MAX(0,MIN('Activities'!L419,354)-MAX('Activities'!K419,348))</x:f>
        <x:v>0</x:v>
      </x:c>
      <x:c r="BL419" s="23" t="n">
        <x:f>MAX(0,MIN('Activities'!L419,360)-MAX('Activities'!K419,354))</x:f>
        <x:v>0</x:v>
      </x:c>
      <x:c r="BM419" s="23" t="n">
        <x:f>MAX(0,MIN('Activities'!L419,366)-MAX('Activities'!K419,360))</x:f>
        <x:v>0</x:v>
      </x:c>
      <x:c r="BN419" s="23" t="n">
        <x:f>MAX(0,MIN('Activities'!L419,372)-MAX('Activities'!K419,366))</x:f>
        <x:v>0</x:v>
      </x:c>
      <x:c r="BO419" s="23" t="n">
        <x:f>MAX(0,MIN('Activities'!L419,378)-MAX('Activities'!K419,372))</x:f>
        <x:v>0</x:v>
      </x:c>
      <x:c r="BP419" s="23" t="n">
        <x:f>MAX(0,MIN('Activities'!L419,384)-MAX('Activities'!K419,378))</x:f>
        <x:v>0</x:v>
      </x:c>
      <x:c r="BQ419" s="23" t="n">
        <x:f>MAX(0,MIN('Activities'!L419,390)-MAX('Activities'!K419,384))</x:f>
        <x:v>0</x:v>
      </x:c>
      <x:c r="BR419" s="23" t="n">
        <x:f>MAX(0,MIN('Activities'!L419,396)-MAX('Activities'!K419,390))</x:f>
        <x:v>0</x:v>
      </x:c>
      <x:c r="BS419" s="23" t="n">
        <x:f>MAX(0,MIN('Activities'!L419,402)-MAX('Activities'!K419,396))</x:f>
        <x:v>0</x:v>
      </x:c>
      <x:c r="BT419" s="23" t="n">
        <x:f>MAX(0,MIN('Activities'!L419,408)-MAX('Activities'!K419,402))</x:f>
        <x:v>0</x:v>
      </x:c>
      <x:c r="BU419" s="23" t="n">
        <x:f>MAX(0,MIN('Activities'!L419,414)-MAX('Activities'!K419,408))</x:f>
        <x:v>0</x:v>
      </x:c>
      <x:c r="BV419" s="23" t="n">
        <x:f>MAX(0,MIN('Activities'!L419,420)-MAX('Activities'!K419,414))</x:f>
        <x:v>0</x:v>
      </x:c>
      <x:c r="BW419" s="23" t="n">
        <x:f>MAX(0,MIN('Activities'!L419,426)-MAX('Activities'!K419,420))</x:f>
        <x:v>0</x:v>
      </x:c>
      <x:c r="BX419" s="23" t="n">
        <x:f>MAX(0,MIN('Activities'!L419,432)-MAX('Activities'!K419,426))</x:f>
        <x:v>0</x:v>
      </x:c>
      <x:c r="BY419" s="23" t="n">
        <x:f>MAX(0,MIN('Activities'!L419,438)-MAX('Activities'!K419,432))</x:f>
        <x:v>0</x:v>
      </x:c>
      <x:c r="BZ419" s="23" t="n">
        <x:f>MAX(0,MIN('Activities'!L419,444)-MAX('Activities'!K419,438))</x:f>
        <x:v>0</x:v>
      </x:c>
      <x:c r="CA419" s="23" t="n">
        <x:f>MAX(0,MIN('Activities'!L419,450)-MAX('Activities'!K419,444))</x:f>
        <x:v>0</x:v>
      </x:c>
      <x:c r="CB419" s="23" t="n">
        <x:f>MAX(0,MIN('Activities'!L419,456)-MAX('Activities'!K419,450))</x:f>
        <x:v>0</x:v>
      </x:c>
      <x:c r="CC419" s="23" t="n">
        <x:f>MAX(0,MIN('Activities'!L419,462)-MAX('Activities'!K419,456))</x:f>
        <x:v>0</x:v>
      </x:c>
      <x:c r="CD419" s="23" t="n">
        <x:f>MAX(0,MIN('Activities'!L419,468)-MAX('Activities'!K419,462))</x:f>
        <x:v>0</x:v>
      </x:c>
      <x:c r="CE419" s="23" t="n">
        <x:f>MAX(0,MIN('Activities'!L419,474)-MAX('Activities'!K419,468))</x:f>
        <x:v>0</x:v>
      </x:c>
      <x:c r="CF419" s="23" t="n">
        <x:f>MAX(0,MIN('Activities'!L419,480)-MAX('Activities'!K419,474))</x:f>
        <x:v>0</x:v>
      </x:c>
      <x:c r="CG419" s="23" t="n">
        <x:f>MAX(0,MIN('Activities'!L419,486)-MAX('Activities'!K419,480))</x:f>
        <x:v>0</x:v>
      </x:c>
      <x:c r="CH419" s="23" t="n">
        <x:f>MAX(0,MIN('Activities'!L419,492)-MAX('Activities'!K419,486))</x:f>
        <x:v>0</x:v>
      </x:c>
      <x:c r="CI419" s="23" t="n">
        <x:f>MAX(0,MIN('Activities'!L419,498)-MAX('Activities'!K419,492))</x:f>
        <x:v>0</x:v>
      </x:c>
      <x:c r="CJ419" s="23" t="n">
        <x:f>MAX(0,MIN('Activities'!L419,504)-MAX('Activities'!K419,498))</x:f>
        <x:v>0</x:v>
      </x:c>
      <x:c r="CK419" s="23" t="n">
        <x:f>MAX(0,MIN('Activities'!L419,510)-MAX('Activities'!K419,504))</x:f>
        <x:v>0</x:v>
      </x:c>
      <x:c r="CL419" s="23" t="n">
        <x:f>MAX(0,MIN('Activities'!L419,516)-MAX('Activities'!K419,510))</x:f>
        <x:v>0</x:v>
      </x:c>
      <x:c r="CM419" s="23" t="n">
        <x:f>MAX(0,MIN('Activities'!L419,522)-MAX('Activities'!K419,516))</x:f>
        <x:v>0</x:v>
      </x:c>
      <x:c r="CN419" s="23" t="n">
        <x:f>MAX(0,MIN('Activities'!L419,528)-MAX('Activities'!K419,522))</x:f>
        <x:v>0</x:v>
      </x:c>
      <x:c r="CO419" s="23" t="n">
        <x:f>MAX(0,MIN('Activities'!L419,534)-MAX('Activities'!K419,528))</x:f>
        <x:v>0</x:v>
      </x:c>
      <x:c r="CP419" s="23" t="n">
        <x:f>MAX(0,MIN('Activities'!L419,540)-MAX('Activities'!K419,534))</x:f>
        <x:v>0</x:v>
      </x:c>
      <x:c r="CQ419" s="23" t="n">
        <x:f>MAX(0,MIN('Activities'!L419,546)-MAX('Activities'!K419,540))</x:f>
        <x:v>0</x:v>
      </x:c>
      <x:c r="CR419" s="23" t="n">
        <x:f>MAX(0,MIN('Activities'!L419,552)-MAX('Activities'!K419,546))</x:f>
        <x:v>0</x:v>
      </x:c>
      <x:c r="CS419" s="23" t="n">
        <x:f>MAX(0,MIN('Activities'!L419,558)-MAX('Activities'!K419,552))</x:f>
        <x:v>0</x:v>
      </x:c>
      <x:c r="CT419" s="23" t="n">
        <x:f>MAX(0,MIN('Activities'!L419,564)-MAX('Activities'!K419,558))</x:f>
        <x:v>0</x:v>
      </x:c>
      <x:c r="CU419" s="23" t="n">
        <x:f>MAX(0,MIN('Activities'!L419,570)-MAX('Activities'!K419,564))</x:f>
        <x:v>0</x:v>
      </x:c>
      <x:c r="CV419" s="23" t="n">
        <x:f>MAX(0,MIN('Activities'!L419,576)-MAX('Activities'!K419,570))</x:f>
        <x:v>0</x:v>
      </x:c>
      <x:c r="CW419" s="23" t="n">
        <x:f>MAX(0,MIN('Activities'!L419,582)-MAX('Activities'!K419,576))</x:f>
        <x:v>0</x:v>
      </x:c>
      <x:c r="CX419" s="23" t="n">
        <x:f>MAX(0,MIN('Activities'!L419,588)-MAX('Activities'!K419,582))</x:f>
        <x:v>0</x:v>
      </x:c>
      <x:c r="CY419" s="23" t="n">
        <x:f>MAX(0,MIN('Activities'!L419,594)-MAX('Activities'!K419,588))</x:f>
        <x:v>0</x:v>
      </x:c>
      <x:c r="CZ419" s="23" t="n">
        <x:f>MAX(0,MIN('Activities'!L419,600)-MAX('Activities'!K419,594))</x:f>
        <x:v>0</x:v>
      </x:c>
      <x:c r="DA419" s="23" t="n">
        <x:f>MAX(0,MIN('Activities'!L419,606)-MAX('Activities'!K419,600))</x:f>
        <x:v>0</x:v>
      </x:c>
      <x:c r="DB419" s="23" t="n">
        <x:f>MAX(0,MIN('Activities'!L419,612)-MAX('Activities'!K419,606))</x:f>
        <x:v>0</x:v>
      </x:c>
      <x:c r="DC419" s="23" t="n">
        <x:f>MAX(0,MIN('Activities'!L419,618)-MAX('Activities'!K419,612))</x:f>
        <x:v>0</x:v>
      </x:c>
      <x:c r="DD419" s="23" t="n">
        <x:f>MAX(0,MIN('Activities'!L419,624)-MAX('Activities'!K419,618))</x:f>
        <x:v>0</x:v>
      </x:c>
      <x:c r="DE419" s="23" t="n">
        <x:f>MAX(0,MIN('Activities'!L419,630)-MAX('Activities'!K419,624))</x:f>
        <x:v>0</x:v>
      </x:c>
      <x:c r="DF419" s="23" t="n">
        <x:f>MAX(0,MIN('Activities'!L419,636)-MAX('Activities'!K419,630))</x:f>
        <x:v>0</x:v>
      </x:c>
    </x:row>
    <x:row r="420" ht="23" customHeight="1">
      <x:c r="A420" s="6" t="str">
        <x:v>T4-L01-R</x:v>
      </x:c>
      <x:c r="B420" s="6" t="str">
        <x:v>T4</x:v>
      </x:c>
      <x:c r="C420" s="6" t="str">
        <x:v>Column, wall, beam and slab reinforcement</x:v>
      </x:c>
      <x:c r="D420" s="6" t="str">
        <x:v>Rebar</x:v>
      </x:c>
      <x:c r="E420" s="22" t="n">
        <x:f>MAX(0,MIN('Activities'!L420,6)-MAX('Activities'!K420,0))</x:f>
        <x:v>0</x:v>
      </x:c>
      <x:c r="F420" s="22" t="n">
        <x:f>MAX(0,MIN('Activities'!L420,12)-MAX('Activities'!K420,6))</x:f>
        <x:v>0</x:v>
      </x:c>
      <x:c r="G420" s="22" t="n">
        <x:f>MAX(0,MIN('Activities'!L420,18)-MAX('Activities'!K420,12))</x:f>
        <x:v>0</x:v>
      </x:c>
      <x:c r="H420" s="22" t="n">
        <x:f>MAX(0,MIN('Activities'!L420,24)-MAX('Activities'!K420,18))</x:f>
        <x:v>0</x:v>
      </x:c>
      <x:c r="I420" s="22" t="n">
        <x:f>MAX(0,MIN('Activities'!L420,30)-MAX('Activities'!K420,24))</x:f>
        <x:v>0</x:v>
      </x:c>
      <x:c r="J420" s="22" t="n">
        <x:f>MAX(0,MIN('Activities'!L420,36)-MAX('Activities'!K420,30))</x:f>
        <x:v>0</x:v>
      </x:c>
      <x:c r="K420" s="22" t="n">
        <x:f>MAX(0,MIN('Activities'!L420,42)-MAX('Activities'!K420,36))</x:f>
        <x:v>0</x:v>
      </x:c>
      <x:c r="L420" s="22" t="n">
        <x:f>MAX(0,MIN('Activities'!L420,48)-MAX('Activities'!K420,42))</x:f>
        <x:v>0</x:v>
      </x:c>
      <x:c r="M420" s="22" t="n">
        <x:f>MAX(0,MIN('Activities'!L420,54)-MAX('Activities'!K420,48))</x:f>
        <x:v>0</x:v>
      </x:c>
      <x:c r="N420" s="22" t="n">
        <x:f>MAX(0,MIN('Activities'!L420,60)-MAX('Activities'!K420,54))</x:f>
        <x:v>0</x:v>
      </x:c>
      <x:c r="O420" s="22" t="n">
        <x:f>MAX(0,MIN('Activities'!L420,66)-MAX('Activities'!K420,60))</x:f>
        <x:v>0</x:v>
      </x:c>
      <x:c r="P420" s="22" t="n">
        <x:f>MAX(0,MIN('Activities'!L420,72)-MAX('Activities'!K420,66))</x:f>
        <x:v>0</x:v>
      </x:c>
      <x:c r="Q420" s="22" t="n">
        <x:f>MAX(0,MIN('Activities'!L420,78)-MAX('Activities'!K420,72))</x:f>
        <x:v>0</x:v>
      </x:c>
      <x:c r="R420" s="22" t="n">
        <x:f>MAX(0,MIN('Activities'!L420,84)-MAX('Activities'!K420,78))</x:f>
        <x:v>0</x:v>
      </x:c>
      <x:c r="S420" s="22" t="n">
        <x:f>MAX(0,MIN('Activities'!L420,90)-MAX('Activities'!K420,84))</x:f>
        <x:v>0</x:v>
      </x:c>
      <x:c r="T420" s="22" t="n">
        <x:f>MAX(0,MIN('Activities'!L420,96)-MAX('Activities'!K420,90))</x:f>
        <x:v>0</x:v>
      </x:c>
      <x:c r="U420" s="22" t="n">
        <x:f>MAX(0,MIN('Activities'!L420,102)-MAX('Activities'!K420,96))</x:f>
        <x:v>0</x:v>
      </x:c>
      <x:c r="V420" s="22" t="n">
        <x:f>MAX(0,MIN('Activities'!L420,108)-MAX('Activities'!K420,102))</x:f>
        <x:v>0</x:v>
      </x:c>
      <x:c r="W420" s="22" t="n">
        <x:f>MAX(0,MIN('Activities'!L420,114)-MAX('Activities'!K420,108))</x:f>
        <x:v>0</x:v>
      </x:c>
      <x:c r="X420" s="22" t="n">
        <x:f>MAX(0,MIN('Activities'!L420,120)-MAX('Activities'!K420,114))</x:f>
        <x:v>0</x:v>
      </x:c>
      <x:c r="Y420" s="22" t="n">
        <x:f>MAX(0,MIN('Activities'!L420,126)-MAX('Activities'!K420,120))</x:f>
        <x:v>0</x:v>
      </x:c>
      <x:c r="Z420" s="22" t="n">
        <x:f>MAX(0,MIN('Activities'!L420,132)-MAX('Activities'!K420,126))</x:f>
        <x:v>0</x:v>
      </x:c>
      <x:c r="AA420" s="22" t="n">
        <x:f>MAX(0,MIN('Activities'!L420,138)-MAX('Activities'!K420,132))</x:f>
        <x:v>0</x:v>
      </x:c>
      <x:c r="AB420" s="22" t="n">
        <x:f>MAX(0,MIN('Activities'!L420,144)-MAX('Activities'!K420,138))</x:f>
        <x:v>0</x:v>
      </x:c>
      <x:c r="AC420" s="22" t="n">
        <x:f>MAX(0,MIN('Activities'!L420,150)-MAX('Activities'!K420,144))</x:f>
        <x:v>0</x:v>
      </x:c>
      <x:c r="AD420" s="22" t="n">
        <x:f>MAX(0,MIN('Activities'!L420,156)-MAX('Activities'!K420,150))</x:f>
        <x:v>0</x:v>
      </x:c>
      <x:c r="AE420" s="22" t="n">
        <x:f>MAX(0,MIN('Activities'!L420,162)-MAX('Activities'!K420,156))</x:f>
        <x:v>0</x:v>
      </x:c>
      <x:c r="AF420" s="22" t="n">
        <x:f>MAX(0,MIN('Activities'!L420,168)-MAX('Activities'!K420,162))</x:f>
        <x:v>0</x:v>
      </x:c>
      <x:c r="AG420" s="22" t="n">
        <x:f>MAX(0,MIN('Activities'!L420,174)-MAX('Activities'!K420,168))</x:f>
        <x:v>0</x:v>
      </x:c>
      <x:c r="AH420" s="22" t="n">
        <x:f>MAX(0,MIN('Activities'!L420,180)-MAX('Activities'!K420,174))</x:f>
        <x:v>0</x:v>
      </x:c>
      <x:c r="AI420" s="22" t="n">
        <x:f>MAX(0,MIN('Activities'!L420,186)-MAX('Activities'!K420,180))</x:f>
        <x:v>0</x:v>
      </x:c>
      <x:c r="AJ420" s="22" t="n">
        <x:f>MAX(0,MIN('Activities'!L420,192)-MAX('Activities'!K420,186))</x:f>
        <x:v>0</x:v>
      </x:c>
      <x:c r="AK420" s="22" t="n">
        <x:f>MAX(0,MIN('Activities'!L420,198)-MAX('Activities'!K420,192))</x:f>
        <x:v>4</x:v>
      </x:c>
      <x:c r="AL420" s="22" t="n">
        <x:f>MAX(0,MIN('Activities'!L420,204)-MAX('Activities'!K420,198))</x:f>
        <x:v>1</x:v>
      </x:c>
      <x:c r="AM420" s="22" t="n">
        <x:f>MAX(0,MIN('Activities'!L420,210)-MAX('Activities'!K420,204))</x:f>
        <x:v>0</x:v>
      </x:c>
      <x:c r="AN420" s="22" t="n">
        <x:f>MAX(0,MIN('Activities'!L420,216)-MAX('Activities'!K420,210))</x:f>
        <x:v>0</x:v>
      </x:c>
      <x:c r="AO420" s="22" t="n">
        <x:f>MAX(0,MIN('Activities'!L420,222)-MAX('Activities'!K420,216))</x:f>
        <x:v>0</x:v>
      </x:c>
      <x:c r="AP420" s="22" t="n">
        <x:f>MAX(0,MIN('Activities'!L420,228)-MAX('Activities'!K420,222))</x:f>
        <x:v>0</x:v>
      </x:c>
      <x:c r="AQ420" s="22" t="n">
        <x:f>MAX(0,MIN('Activities'!L420,234)-MAX('Activities'!K420,228))</x:f>
        <x:v>0</x:v>
      </x:c>
      <x:c r="AR420" s="22" t="n">
        <x:f>MAX(0,MIN('Activities'!L420,240)-MAX('Activities'!K420,234))</x:f>
        <x:v>0</x:v>
      </x:c>
      <x:c r="AS420" s="22" t="n">
        <x:f>MAX(0,MIN('Activities'!L420,246)-MAX('Activities'!K420,240))</x:f>
        <x:v>0</x:v>
      </x:c>
      <x:c r="AT420" s="22" t="n">
        <x:f>MAX(0,MIN('Activities'!L420,252)-MAX('Activities'!K420,246))</x:f>
        <x:v>0</x:v>
      </x:c>
      <x:c r="AU420" s="22" t="n">
        <x:f>MAX(0,MIN('Activities'!L420,258)-MAX('Activities'!K420,252))</x:f>
        <x:v>0</x:v>
      </x:c>
      <x:c r="AV420" s="22" t="n">
        <x:f>MAX(0,MIN('Activities'!L420,264)-MAX('Activities'!K420,258))</x:f>
        <x:v>0</x:v>
      </x:c>
      <x:c r="AW420" s="22" t="n">
        <x:f>MAX(0,MIN('Activities'!L420,270)-MAX('Activities'!K420,264))</x:f>
        <x:v>0</x:v>
      </x:c>
      <x:c r="AX420" s="22" t="n">
        <x:f>MAX(0,MIN('Activities'!L420,276)-MAX('Activities'!K420,270))</x:f>
        <x:v>0</x:v>
      </x:c>
      <x:c r="AY420" s="22" t="n">
        <x:f>MAX(0,MIN('Activities'!L420,282)-MAX('Activities'!K420,276))</x:f>
        <x:v>0</x:v>
      </x:c>
      <x:c r="AZ420" s="22" t="n">
        <x:f>MAX(0,MIN('Activities'!L420,288)-MAX('Activities'!K420,282))</x:f>
        <x:v>0</x:v>
      </x:c>
      <x:c r="BA420" s="22" t="n">
        <x:f>MAX(0,MIN('Activities'!L420,294)-MAX('Activities'!K420,288))</x:f>
        <x:v>0</x:v>
      </x:c>
      <x:c r="BB420" s="22" t="n">
        <x:f>MAX(0,MIN('Activities'!L420,300)-MAX('Activities'!K420,294))</x:f>
        <x:v>0</x:v>
      </x:c>
      <x:c r="BC420" s="22" t="n">
        <x:f>MAX(0,MIN('Activities'!L420,306)-MAX('Activities'!K420,300))</x:f>
        <x:v>0</x:v>
      </x:c>
      <x:c r="BD420" s="22" t="n">
        <x:f>MAX(0,MIN('Activities'!L420,312)-MAX('Activities'!K420,306))</x:f>
        <x:v>0</x:v>
      </x:c>
      <x:c r="BE420" s="22" t="n">
        <x:f>MAX(0,MIN('Activities'!L420,318)-MAX('Activities'!K420,312))</x:f>
        <x:v>0</x:v>
      </x:c>
      <x:c r="BF420" s="22" t="n">
        <x:f>MAX(0,MIN('Activities'!L420,324)-MAX('Activities'!K420,318))</x:f>
        <x:v>0</x:v>
      </x:c>
      <x:c r="BG420" s="22" t="n">
        <x:f>MAX(0,MIN('Activities'!L420,330)-MAX('Activities'!K420,324))</x:f>
        <x:v>0</x:v>
      </x:c>
      <x:c r="BH420" s="22" t="n">
        <x:f>MAX(0,MIN('Activities'!L420,336)-MAX('Activities'!K420,330))</x:f>
        <x:v>0</x:v>
      </x:c>
      <x:c r="BI420" s="22" t="n">
        <x:f>MAX(0,MIN('Activities'!L420,342)-MAX('Activities'!K420,336))</x:f>
        <x:v>0</x:v>
      </x:c>
      <x:c r="BJ420" s="22" t="n">
        <x:f>MAX(0,MIN('Activities'!L420,348)-MAX('Activities'!K420,342))</x:f>
        <x:v>0</x:v>
      </x:c>
      <x:c r="BK420" s="22" t="n">
        <x:f>MAX(0,MIN('Activities'!L420,354)-MAX('Activities'!K420,348))</x:f>
        <x:v>0</x:v>
      </x:c>
      <x:c r="BL420" s="22" t="n">
        <x:f>MAX(0,MIN('Activities'!L420,360)-MAX('Activities'!K420,354))</x:f>
        <x:v>0</x:v>
      </x:c>
      <x:c r="BM420" s="22" t="n">
        <x:f>MAX(0,MIN('Activities'!L420,366)-MAX('Activities'!K420,360))</x:f>
        <x:v>0</x:v>
      </x:c>
      <x:c r="BN420" s="22" t="n">
        <x:f>MAX(0,MIN('Activities'!L420,372)-MAX('Activities'!K420,366))</x:f>
        <x:v>0</x:v>
      </x:c>
      <x:c r="BO420" s="22" t="n">
        <x:f>MAX(0,MIN('Activities'!L420,378)-MAX('Activities'!K420,372))</x:f>
        <x:v>0</x:v>
      </x:c>
      <x:c r="BP420" s="22" t="n">
        <x:f>MAX(0,MIN('Activities'!L420,384)-MAX('Activities'!K420,378))</x:f>
        <x:v>0</x:v>
      </x:c>
      <x:c r="BQ420" s="22" t="n">
        <x:f>MAX(0,MIN('Activities'!L420,390)-MAX('Activities'!K420,384))</x:f>
        <x:v>0</x:v>
      </x:c>
      <x:c r="BR420" s="22" t="n">
        <x:f>MAX(0,MIN('Activities'!L420,396)-MAX('Activities'!K420,390))</x:f>
        <x:v>0</x:v>
      </x:c>
      <x:c r="BS420" s="22" t="n">
        <x:f>MAX(0,MIN('Activities'!L420,402)-MAX('Activities'!K420,396))</x:f>
        <x:v>0</x:v>
      </x:c>
      <x:c r="BT420" s="22" t="n">
        <x:f>MAX(0,MIN('Activities'!L420,408)-MAX('Activities'!K420,402))</x:f>
        <x:v>0</x:v>
      </x:c>
      <x:c r="BU420" s="22" t="n">
        <x:f>MAX(0,MIN('Activities'!L420,414)-MAX('Activities'!K420,408))</x:f>
        <x:v>0</x:v>
      </x:c>
      <x:c r="BV420" s="22" t="n">
        <x:f>MAX(0,MIN('Activities'!L420,420)-MAX('Activities'!K420,414))</x:f>
        <x:v>0</x:v>
      </x:c>
      <x:c r="BW420" s="22" t="n">
        <x:f>MAX(0,MIN('Activities'!L420,426)-MAX('Activities'!K420,420))</x:f>
        <x:v>0</x:v>
      </x:c>
      <x:c r="BX420" s="22" t="n">
        <x:f>MAX(0,MIN('Activities'!L420,432)-MAX('Activities'!K420,426))</x:f>
        <x:v>0</x:v>
      </x:c>
      <x:c r="BY420" s="22" t="n">
        <x:f>MAX(0,MIN('Activities'!L420,438)-MAX('Activities'!K420,432))</x:f>
        <x:v>0</x:v>
      </x:c>
      <x:c r="BZ420" s="22" t="n">
        <x:f>MAX(0,MIN('Activities'!L420,444)-MAX('Activities'!K420,438))</x:f>
        <x:v>0</x:v>
      </x:c>
      <x:c r="CA420" s="22" t="n">
        <x:f>MAX(0,MIN('Activities'!L420,450)-MAX('Activities'!K420,444))</x:f>
        <x:v>0</x:v>
      </x:c>
      <x:c r="CB420" s="22" t="n">
        <x:f>MAX(0,MIN('Activities'!L420,456)-MAX('Activities'!K420,450))</x:f>
        <x:v>0</x:v>
      </x:c>
      <x:c r="CC420" s="22" t="n">
        <x:f>MAX(0,MIN('Activities'!L420,462)-MAX('Activities'!K420,456))</x:f>
        <x:v>0</x:v>
      </x:c>
      <x:c r="CD420" s="22" t="n">
        <x:f>MAX(0,MIN('Activities'!L420,468)-MAX('Activities'!K420,462))</x:f>
        <x:v>0</x:v>
      </x:c>
      <x:c r="CE420" s="22" t="n">
        <x:f>MAX(0,MIN('Activities'!L420,474)-MAX('Activities'!K420,468))</x:f>
        <x:v>0</x:v>
      </x:c>
      <x:c r="CF420" s="22" t="n">
        <x:f>MAX(0,MIN('Activities'!L420,480)-MAX('Activities'!K420,474))</x:f>
        <x:v>0</x:v>
      </x:c>
      <x:c r="CG420" s="22" t="n">
        <x:f>MAX(0,MIN('Activities'!L420,486)-MAX('Activities'!K420,480))</x:f>
        <x:v>0</x:v>
      </x:c>
      <x:c r="CH420" s="22" t="n">
        <x:f>MAX(0,MIN('Activities'!L420,492)-MAX('Activities'!K420,486))</x:f>
        <x:v>0</x:v>
      </x:c>
      <x:c r="CI420" s="22" t="n">
        <x:f>MAX(0,MIN('Activities'!L420,498)-MAX('Activities'!K420,492))</x:f>
        <x:v>0</x:v>
      </x:c>
      <x:c r="CJ420" s="22" t="n">
        <x:f>MAX(0,MIN('Activities'!L420,504)-MAX('Activities'!K420,498))</x:f>
        <x:v>0</x:v>
      </x:c>
      <x:c r="CK420" s="22" t="n">
        <x:f>MAX(0,MIN('Activities'!L420,510)-MAX('Activities'!K420,504))</x:f>
        <x:v>0</x:v>
      </x:c>
      <x:c r="CL420" s="22" t="n">
        <x:f>MAX(0,MIN('Activities'!L420,516)-MAX('Activities'!K420,510))</x:f>
        <x:v>0</x:v>
      </x:c>
      <x:c r="CM420" s="22" t="n">
        <x:f>MAX(0,MIN('Activities'!L420,522)-MAX('Activities'!K420,516))</x:f>
        <x:v>0</x:v>
      </x:c>
      <x:c r="CN420" s="22" t="n">
        <x:f>MAX(0,MIN('Activities'!L420,528)-MAX('Activities'!K420,522))</x:f>
        <x:v>0</x:v>
      </x:c>
      <x:c r="CO420" s="22" t="n">
        <x:f>MAX(0,MIN('Activities'!L420,534)-MAX('Activities'!K420,528))</x:f>
        <x:v>0</x:v>
      </x:c>
      <x:c r="CP420" s="22" t="n">
        <x:f>MAX(0,MIN('Activities'!L420,540)-MAX('Activities'!K420,534))</x:f>
        <x:v>0</x:v>
      </x:c>
      <x:c r="CQ420" s="22" t="n">
        <x:f>MAX(0,MIN('Activities'!L420,546)-MAX('Activities'!K420,540))</x:f>
        <x:v>0</x:v>
      </x:c>
      <x:c r="CR420" s="22" t="n">
        <x:f>MAX(0,MIN('Activities'!L420,552)-MAX('Activities'!K420,546))</x:f>
        <x:v>0</x:v>
      </x:c>
      <x:c r="CS420" s="22" t="n">
        <x:f>MAX(0,MIN('Activities'!L420,558)-MAX('Activities'!K420,552))</x:f>
        <x:v>0</x:v>
      </x:c>
      <x:c r="CT420" s="22" t="n">
        <x:f>MAX(0,MIN('Activities'!L420,564)-MAX('Activities'!K420,558))</x:f>
        <x:v>0</x:v>
      </x:c>
      <x:c r="CU420" s="22" t="n">
        <x:f>MAX(0,MIN('Activities'!L420,570)-MAX('Activities'!K420,564))</x:f>
        <x:v>0</x:v>
      </x:c>
      <x:c r="CV420" s="22" t="n">
        <x:f>MAX(0,MIN('Activities'!L420,576)-MAX('Activities'!K420,570))</x:f>
        <x:v>0</x:v>
      </x:c>
      <x:c r="CW420" s="22" t="n">
        <x:f>MAX(0,MIN('Activities'!L420,582)-MAX('Activities'!K420,576))</x:f>
        <x:v>0</x:v>
      </x:c>
      <x:c r="CX420" s="22" t="n">
        <x:f>MAX(0,MIN('Activities'!L420,588)-MAX('Activities'!K420,582))</x:f>
        <x:v>0</x:v>
      </x:c>
      <x:c r="CY420" s="22" t="n">
        <x:f>MAX(0,MIN('Activities'!L420,594)-MAX('Activities'!K420,588))</x:f>
        <x:v>0</x:v>
      </x:c>
      <x:c r="CZ420" s="22" t="n">
        <x:f>MAX(0,MIN('Activities'!L420,600)-MAX('Activities'!K420,594))</x:f>
        <x:v>0</x:v>
      </x:c>
      <x:c r="DA420" s="22" t="n">
        <x:f>MAX(0,MIN('Activities'!L420,606)-MAX('Activities'!K420,600))</x:f>
        <x:v>0</x:v>
      </x:c>
      <x:c r="DB420" s="22" t="n">
        <x:f>MAX(0,MIN('Activities'!L420,612)-MAX('Activities'!K420,606))</x:f>
        <x:v>0</x:v>
      </x:c>
      <x:c r="DC420" s="22" t="n">
        <x:f>MAX(0,MIN('Activities'!L420,618)-MAX('Activities'!K420,612))</x:f>
        <x:v>0</x:v>
      </x:c>
      <x:c r="DD420" s="22" t="n">
        <x:f>MAX(0,MIN('Activities'!L420,624)-MAX('Activities'!K420,618))</x:f>
        <x:v>0</x:v>
      </x:c>
      <x:c r="DE420" s="22" t="n">
        <x:f>MAX(0,MIN('Activities'!L420,630)-MAX('Activities'!K420,624))</x:f>
        <x:v>0</x:v>
      </x:c>
      <x:c r="DF420" s="22" t="n">
        <x:f>MAX(0,MIN('Activities'!L420,636)-MAX('Activities'!K420,630))</x:f>
        <x:v>0</x:v>
      </x:c>
    </x:row>
    <x:row r="421" ht="23" customHeight="1">
      <x:c r="A421" s="1" t="str">
        <x:v>T4-L01-C</x:v>
      </x:c>
      <x:c r="B421" s="1" t="str">
        <x:v>T4</x:v>
      </x:c>
      <x:c r="C421" s="1" t="str">
        <x:v>Concrete placement and finishing</x:v>
      </x:c>
      <x:c r="D421" s="1" t="str">
        <x:v>Concrete</x:v>
      </x:c>
      <x:c r="E421" s="23" t="n">
        <x:f>MAX(0,MIN('Activities'!L421,6)-MAX('Activities'!K421,0))</x:f>
        <x:v>0</x:v>
      </x:c>
      <x:c r="F421" s="23" t="n">
        <x:f>MAX(0,MIN('Activities'!L421,12)-MAX('Activities'!K421,6))</x:f>
        <x:v>0</x:v>
      </x:c>
      <x:c r="G421" s="23" t="n">
        <x:f>MAX(0,MIN('Activities'!L421,18)-MAX('Activities'!K421,12))</x:f>
        <x:v>0</x:v>
      </x:c>
      <x:c r="H421" s="23" t="n">
        <x:f>MAX(0,MIN('Activities'!L421,24)-MAX('Activities'!K421,18))</x:f>
        <x:v>0</x:v>
      </x:c>
      <x:c r="I421" s="23" t="n">
        <x:f>MAX(0,MIN('Activities'!L421,30)-MAX('Activities'!K421,24))</x:f>
        <x:v>0</x:v>
      </x:c>
      <x:c r="J421" s="23" t="n">
        <x:f>MAX(0,MIN('Activities'!L421,36)-MAX('Activities'!K421,30))</x:f>
        <x:v>0</x:v>
      </x:c>
      <x:c r="K421" s="23" t="n">
        <x:f>MAX(0,MIN('Activities'!L421,42)-MAX('Activities'!K421,36))</x:f>
        <x:v>0</x:v>
      </x:c>
      <x:c r="L421" s="23" t="n">
        <x:f>MAX(0,MIN('Activities'!L421,48)-MAX('Activities'!K421,42))</x:f>
        <x:v>0</x:v>
      </x:c>
      <x:c r="M421" s="23" t="n">
        <x:f>MAX(0,MIN('Activities'!L421,54)-MAX('Activities'!K421,48))</x:f>
        <x:v>0</x:v>
      </x:c>
      <x:c r="N421" s="23" t="n">
        <x:f>MAX(0,MIN('Activities'!L421,60)-MAX('Activities'!K421,54))</x:f>
        <x:v>0</x:v>
      </x:c>
      <x:c r="O421" s="23" t="n">
        <x:f>MAX(0,MIN('Activities'!L421,66)-MAX('Activities'!K421,60))</x:f>
        <x:v>0</x:v>
      </x:c>
      <x:c r="P421" s="23" t="n">
        <x:f>MAX(0,MIN('Activities'!L421,72)-MAX('Activities'!K421,66))</x:f>
        <x:v>0</x:v>
      </x:c>
      <x:c r="Q421" s="23" t="n">
        <x:f>MAX(0,MIN('Activities'!L421,78)-MAX('Activities'!K421,72))</x:f>
        <x:v>0</x:v>
      </x:c>
      <x:c r="R421" s="23" t="n">
        <x:f>MAX(0,MIN('Activities'!L421,84)-MAX('Activities'!K421,78))</x:f>
        <x:v>0</x:v>
      </x:c>
      <x:c r="S421" s="23" t="n">
        <x:f>MAX(0,MIN('Activities'!L421,90)-MAX('Activities'!K421,84))</x:f>
        <x:v>0</x:v>
      </x:c>
      <x:c r="T421" s="23" t="n">
        <x:f>MAX(0,MIN('Activities'!L421,96)-MAX('Activities'!K421,90))</x:f>
        <x:v>0</x:v>
      </x:c>
      <x:c r="U421" s="23" t="n">
        <x:f>MAX(0,MIN('Activities'!L421,102)-MAX('Activities'!K421,96))</x:f>
        <x:v>0</x:v>
      </x:c>
      <x:c r="V421" s="23" t="n">
        <x:f>MAX(0,MIN('Activities'!L421,108)-MAX('Activities'!K421,102))</x:f>
        <x:v>0</x:v>
      </x:c>
      <x:c r="W421" s="23" t="n">
        <x:f>MAX(0,MIN('Activities'!L421,114)-MAX('Activities'!K421,108))</x:f>
        <x:v>0</x:v>
      </x:c>
      <x:c r="X421" s="23" t="n">
        <x:f>MAX(0,MIN('Activities'!L421,120)-MAX('Activities'!K421,114))</x:f>
        <x:v>0</x:v>
      </x:c>
      <x:c r="Y421" s="23" t="n">
        <x:f>MAX(0,MIN('Activities'!L421,126)-MAX('Activities'!K421,120))</x:f>
        <x:v>0</x:v>
      </x:c>
      <x:c r="Z421" s="23" t="n">
        <x:f>MAX(0,MIN('Activities'!L421,132)-MAX('Activities'!K421,126))</x:f>
        <x:v>0</x:v>
      </x:c>
      <x:c r="AA421" s="23" t="n">
        <x:f>MAX(0,MIN('Activities'!L421,138)-MAX('Activities'!K421,132))</x:f>
        <x:v>0</x:v>
      </x:c>
      <x:c r="AB421" s="23" t="n">
        <x:f>MAX(0,MIN('Activities'!L421,144)-MAX('Activities'!K421,138))</x:f>
        <x:v>0</x:v>
      </x:c>
      <x:c r="AC421" s="23" t="n">
        <x:f>MAX(0,MIN('Activities'!L421,150)-MAX('Activities'!K421,144))</x:f>
        <x:v>0</x:v>
      </x:c>
      <x:c r="AD421" s="23" t="n">
        <x:f>MAX(0,MIN('Activities'!L421,156)-MAX('Activities'!K421,150))</x:f>
        <x:v>0</x:v>
      </x:c>
      <x:c r="AE421" s="23" t="n">
        <x:f>MAX(0,MIN('Activities'!L421,162)-MAX('Activities'!K421,156))</x:f>
        <x:v>0</x:v>
      </x:c>
      <x:c r="AF421" s="23" t="n">
        <x:f>MAX(0,MIN('Activities'!L421,168)-MAX('Activities'!K421,162))</x:f>
        <x:v>0</x:v>
      </x:c>
      <x:c r="AG421" s="23" t="n">
        <x:f>MAX(0,MIN('Activities'!L421,174)-MAX('Activities'!K421,168))</x:f>
        <x:v>0</x:v>
      </x:c>
      <x:c r="AH421" s="23" t="n">
        <x:f>MAX(0,MIN('Activities'!L421,180)-MAX('Activities'!K421,174))</x:f>
        <x:v>0</x:v>
      </x:c>
      <x:c r="AI421" s="23" t="n">
        <x:f>MAX(0,MIN('Activities'!L421,186)-MAX('Activities'!K421,180))</x:f>
        <x:v>0</x:v>
      </x:c>
      <x:c r="AJ421" s="23" t="n">
        <x:f>MAX(0,MIN('Activities'!L421,192)-MAX('Activities'!K421,186))</x:f>
        <x:v>0</x:v>
      </x:c>
      <x:c r="AK421" s="23" t="n">
        <x:f>MAX(0,MIN('Activities'!L421,198)-MAX('Activities'!K421,192))</x:f>
        <x:v>0</x:v>
      </x:c>
      <x:c r="AL421" s="23" t="n">
        <x:f>MAX(0,MIN('Activities'!L421,204)-MAX('Activities'!K421,198))</x:f>
        <x:v>2</x:v>
      </x:c>
      <x:c r="AM421" s="23" t="n">
        <x:f>MAX(0,MIN('Activities'!L421,210)-MAX('Activities'!K421,204))</x:f>
        <x:v>0</x:v>
      </x:c>
      <x:c r="AN421" s="23" t="n">
        <x:f>MAX(0,MIN('Activities'!L421,216)-MAX('Activities'!K421,210))</x:f>
        <x:v>0</x:v>
      </x:c>
      <x:c r="AO421" s="23" t="n">
        <x:f>MAX(0,MIN('Activities'!L421,222)-MAX('Activities'!K421,216))</x:f>
        <x:v>0</x:v>
      </x:c>
      <x:c r="AP421" s="23" t="n">
        <x:f>MAX(0,MIN('Activities'!L421,228)-MAX('Activities'!K421,222))</x:f>
        <x:v>0</x:v>
      </x:c>
      <x:c r="AQ421" s="23" t="n">
        <x:f>MAX(0,MIN('Activities'!L421,234)-MAX('Activities'!K421,228))</x:f>
        <x:v>0</x:v>
      </x:c>
      <x:c r="AR421" s="23" t="n">
        <x:f>MAX(0,MIN('Activities'!L421,240)-MAX('Activities'!K421,234))</x:f>
        <x:v>0</x:v>
      </x:c>
      <x:c r="AS421" s="23" t="n">
        <x:f>MAX(0,MIN('Activities'!L421,246)-MAX('Activities'!K421,240))</x:f>
        <x:v>0</x:v>
      </x:c>
      <x:c r="AT421" s="23" t="n">
        <x:f>MAX(0,MIN('Activities'!L421,252)-MAX('Activities'!K421,246))</x:f>
        <x:v>0</x:v>
      </x:c>
      <x:c r="AU421" s="23" t="n">
        <x:f>MAX(0,MIN('Activities'!L421,258)-MAX('Activities'!K421,252))</x:f>
        <x:v>0</x:v>
      </x:c>
      <x:c r="AV421" s="23" t="n">
        <x:f>MAX(0,MIN('Activities'!L421,264)-MAX('Activities'!K421,258))</x:f>
        <x:v>0</x:v>
      </x:c>
      <x:c r="AW421" s="23" t="n">
        <x:f>MAX(0,MIN('Activities'!L421,270)-MAX('Activities'!K421,264))</x:f>
        <x:v>0</x:v>
      </x:c>
      <x:c r="AX421" s="23" t="n">
        <x:f>MAX(0,MIN('Activities'!L421,276)-MAX('Activities'!K421,270))</x:f>
        <x:v>0</x:v>
      </x:c>
      <x:c r="AY421" s="23" t="n">
        <x:f>MAX(0,MIN('Activities'!L421,282)-MAX('Activities'!K421,276))</x:f>
        <x:v>0</x:v>
      </x:c>
      <x:c r="AZ421" s="23" t="n">
        <x:f>MAX(0,MIN('Activities'!L421,288)-MAX('Activities'!K421,282))</x:f>
        <x:v>0</x:v>
      </x:c>
      <x:c r="BA421" s="23" t="n">
        <x:f>MAX(0,MIN('Activities'!L421,294)-MAX('Activities'!K421,288))</x:f>
        <x:v>0</x:v>
      </x:c>
      <x:c r="BB421" s="23" t="n">
        <x:f>MAX(0,MIN('Activities'!L421,300)-MAX('Activities'!K421,294))</x:f>
        <x:v>0</x:v>
      </x:c>
      <x:c r="BC421" s="23" t="n">
        <x:f>MAX(0,MIN('Activities'!L421,306)-MAX('Activities'!K421,300))</x:f>
        <x:v>0</x:v>
      </x:c>
      <x:c r="BD421" s="23" t="n">
        <x:f>MAX(0,MIN('Activities'!L421,312)-MAX('Activities'!K421,306))</x:f>
        <x:v>0</x:v>
      </x:c>
      <x:c r="BE421" s="23" t="n">
        <x:f>MAX(0,MIN('Activities'!L421,318)-MAX('Activities'!K421,312))</x:f>
        <x:v>0</x:v>
      </x:c>
      <x:c r="BF421" s="23" t="n">
        <x:f>MAX(0,MIN('Activities'!L421,324)-MAX('Activities'!K421,318))</x:f>
        <x:v>0</x:v>
      </x:c>
      <x:c r="BG421" s="23" t="n">
        <x:f>MAX(0,MIN('Activities'!L421,330)-MAX('Activities'!K421,324))</x:f>
        <x:v>0</x:v>
      </x:c>
      <x:c r="BH421" s="23" t="n">
        <x:f>MAX(0,MIN('Activities'!L421,336)-MAX('Activities'!K421,330))</x:f>
        <x:v>0</x:v>
      </x:c>
      <x:c r="BI421" s="23" t="n">
        <x:f>MAX(0,MIN('Activities'!L421,342)-MAX('Activities'!K421,336))</x:f>
        <x:v>0</x:v>
      </x:c>
      <x:c r="BJ421" s="23" t="n">
        <x:f>MAX(0,MIN('Activities'!L421,348)-MAX('Activities'!K421,342))</x:f>
        <x:v>0</x:v>
      </x:c>
      <x:c r="BK421" s="23" t="n">
        <x:f>MAX(0,MIN('Activities'!L421,354)-MAX('Activities'!K421,348))</x:f>
        <x:v>0</x:v>
      </x:c>
      <x:c r="BL421" s="23" t="n">
        <x:f>MAX(0,MIN('Activities'!L421,360)-MAX('Activities'!K421,354))</x:f>
        <x:v>0</x:v>
      </x:c>
      <x:c r="BM421" s="23" t="n">
        <x:f>MAX(0,MIN('Activities'!L421,366)-MAX('Activities'!K421,360))</x:f>
        <x:v>0</x:v>
      </x:c>
      <x:c r="BN421" s="23" t="n">
        <x:f>MAX(0,MIN('Activities'!L421,372)-MAX('Activities'!K421,366))</x:f>
        <x:v>0</x:v>
      </x:c>
      <x:c r="BO421" s="23" t="n">
        <x:f>MAX(0,MIN('Activities'!L421,378)-MAX('Activities'!K421,372))</x:f>
        <x:v>0</x:v>
      </x:c>
      <x:c r="BP421" s="23" t="n">
        <x:f>MAX(0,MIN('Activities'!L421,384)-MAX('Activities'!K421,378))</x:f>
        <x:v>0</x:v>
      </x:c>
      <x:c r="BQ421" s="23" t="n">
        <x:f>MAX(0,MIN('Activities'!L421,390)-MAX('Activities'!K421,384))</x:f>
        <x:v>0</x:v>
      </x:c>
      <x:c r="BR421" s="23" t="n">
        <x:f>MAX(0,MIN('Activities'!L421,396)-MAX('Activities'!K421,390))</x:f>
        <x:v>0</x:v>
      </x:c>
      <x:c r="BS421" s="23" t="n">
        <x:f>MAX(0,MIN('Activities'!L421,402)-MAX('Activities'!K421,396))</x:f>
        <x:v>0</x:v>
      </x:c>
      <x:c r="BT421" s="23" t="n">
        <x:f>MAX(0,MIN('Activities'!L421,408)-MAX('Activities'!K421,402))</x:f>
        <x:v>0</x:v>
      </x:c>
      <x:c r="BU421" s="23" t="n">
        <x:f>MAX(0,MIN('Activities'!L421,414)-MAX('Activities'!K421,408))</x:f>
        <x:v>0</x:v>
      </x:c>
      <x:c r="BV421" s="23" t="n">
        <x:f>MAX(0,MIN('Activities'!L421,420)-MAX('Activities'!K421,414))</x:f>
        <x:v>0</x:v>
      </x:c>
      <x:c r="BW421" s="23" t="n">
        <x:f>MAX(0,MIN('Activities'!L421,426)-MAX('Activities'!K421,420))</x:f>
        <x:v>0</x:v>
      </x:c>
      <x:c r="BX421" s="23" t="n">
        <x:f>MAX(0,MIN('Activities'!L421,432)-MAX('Activities'!K421,426))</x:f>
        <x:v>0</x:v>
      </x:c>
      <x:c r="BY421" s="23" t="n">
        <x:f>MAX(0,MIN('Activities'!L421,438)-MAX('Activities'!K421,432))</x:f>
        <x:v>0</x:v>
      </x:c>
      <x:c r="BZ421" s="23" t="n">
        <x:f>MAX(0,MIN('Activities'!L421,444)-MAX('Activities'!K421,438))</x:f>
        <x:v>0</x:v>
      </x:c>
      <x:c r="CA421" s="23" t="n">
        <x:f>MAX(0,MIN('Activities'!L421,450)-MAX('Activities'!K421,444))</x:f>
        <x:v>0</x:v>
      </x:c>
      <x:c r="CB421" s="23" t="n">
        <x:f>MAX(0,MIN('Activities'!L421,456)-MAX('Activities'!K421,450))</x:f>
        <x:v>0</x:v>
      </x:c>
      <x:c r="CC421" s="23" t="n">
        <x:f>MAX(0,MIN('Activities'!L421,462)-MAX('Activities'!K421,456))</x:f>
        <x:v>0</x:v>
      </x:c>
      <x:c r="CD421" s="23" t="n">
        <x:f>MAX(0,MIN('Activities'!L421,468)-MAX('Activities'!K421,462))</x:f>
        <x:v>0</x:v>
      </x:c>
      <x:c r="CE421" s="23" t="n">
        <x:f>MAX(0,MIN('Activities'!L421,474)-MAX('Activities'!K421,468))</x:f>
        <x:v>0</x:v>
      </x:c>
      <x:c r="CF421" s="23" t="n">
        <x:f>MAX(0,MIN('Activities'!L421,480)-MAX('Activities'!K421,474))</x:f>
        <x:v>0</x:v>
      </x:c>
      <x:c r="CG421" s="23" t="n">
        <x:f>MAX(0,MIN('Activities'!L421,486)-MAX('Activities'!K421,480))</x:f>
        <x:v>0</x:v>
      </x:c>
      <x:c r="CH421" s="23" t="n">
        <x:f>MAX(0,MIN('Activities'!L421,492)-MAX('Activities'!K421,486))</x:f>
        <x:v>0</x:v>
      </x:c>
      <x:c r="CI421" s="23" t="n">
        <x:f>MAX(0,MIN('Activities'!L421,498)-MAX('Activities'!K421,492))</x:f>
        <x:v>0</x:v>
      </x:c>
      <x:c r="CJ421" s="23" t="n">
        <x:f>MAX(0,MIN('Activities'!L421,504)-MAX('Activities'!K421,498))</x:f>
        <x:v>0</x:v>
      </x:c>
      <x:c r="CK421" s="23" t="n">
        <x:f>MAX(0,MIN('Activities'!L421,510)-MAX('Activities'!K421,504))</x:f>
        <x:v>0</x:v>
      </x:c>
      <x:c r="CL421" s="23" t="n">
        <x:f>MAX(0,MIN('Activities'!L421,516)-MAX('Activities'!K421,510))</x:f>
        <x:v>0</x:v>
      </x:c>
      <x:c r="CM421" s="23" t="n">
        <x:f>MAX(0,MIN('Activities'!L421,522)-MAX('Activities'!K421,516))</x:f>
        <x:v>0</x:v>
      </x:c>
      <x:c r="CN421" s="23" t="n">
        <x:f>MAX(0,MIN('Activities'!L421,528)-MAX('Activities'!K421,522))</x:f>
        <x:v>0</x:v>
      </x:c>
      <x:c r="CO421" s="23" t="n">
        <x:f>MAX(0,MIN('Activities'!L421,534)-MAX('Activities'!K421,528))</x:f>
        <x:v>0</x:v>
      </x:c>
      <x:c r="CP421" s="23" t="n">
        <x:f>MAX(0,MIN('Activities'!L421,540)-MAX('Activities'!K421,534))</x:f>
        <x:v>0</x:v>
      </x:c>
      <x:c r="CQ421" s="23" t="n">
        <x:f>MAX(0,MIN('Activities'!L421,546)-MAX('Activities'!K421,540))</x:f>
        <x:v>0</x:v>
      </x:c>
      <x:c r="CR421" s="23" t="n">
        <x:f>MAX(0,MIN('Activities'!L421,552)-MAX('Activities'!K421,546))</x:f>
        <x:v>0</x:v>
      </x:c>
      <x:c r="CS421" s="23" t="n">
        <x:f>MAX(0,MIN('Activities'!L421,558)-MAX('Activities'!K421,552))</x:f>
        <x:v>0</x:v>
      </x:c>
      <x:c r="CT421" s="23" t="n">
        <x:f>MAX(0,MIN('Activities'!L421,564)-MAX('Activities'!K421,558))</x:f>
        <x:v>0</x:v>
      </x:c>
      <x:c r="CU421" s="23" t="n">
        <x:f>MAX(0,MIN('Activities'!L421,570)-MAX('Activities'!K421,564))</x:f>
        <x:v>0</x:v>
      </x:c>
      <x:c r="CV421" s="23" t="n">
        <x:f>MAX(0,MIN('Activities'!L421,576)-MAX('Activities'!K421,570))</x:f>
        <x:v>0</x:v>
      </x:c>
      <x:c r="CW421" s="23" t="n">
        <x:f>MAX(0,MIN('Activities'!L421,582)-MAX('Activities'!K421,576))</x:f>
        <x:v>0</x:v>
      </x:c>
      <x:c r="CX421" s="23" t="n">
        <x:f>MAX(0,MIN('Activities'!L421,588)-MAX('Activities'!K421,582))</x:f>
        <x:v>0</x:v>
      </x:c>
      <x:c r="CY421" s="23" t="n">
        <x:f>MAX(0,MIN('Activities'!L421,594)-MAX('Activities'!K421,588))</x:f>
        <x:v>0</x:v>
      </x:c>
      <x:c r="CZ421" s="23" t="n">
        <x:f>MAX(0,MIN('Activities'!L421,600)-MAX('Activities'!K421,594))</x:f>
        <x:v>0</x:v>
      </x:c>
      <x:c r="DA421" s="23" t="n">
        <x:f>MAX(0,MIN('Activities'!L421,606)-MAX('Activities'!K421,600))</x:f>
        <x:v>0</x:v>
      </x:c>
      <x:c r="DB421" s="23" t="n">
        <x:f>MAX(0,MIN('Activities'!L421,612)-MAX('Activities'!K421,606))</x:f>
        <x:v>0</x:v>
      </x:c>
      <x:c r="DC421" s="23" t="n">
        <x:f>MAX(0,MIN('Activities'!L421,618)-MAX('Activities'!K421,612))</x:f>
        <x:v>0</x:v>
      </x:c>
      <x:c r="DD421" s="23" t="n">
        <x:f>MAX(0,MIN('Activities'!L421,624)-MAX('Activities'!K421,618))</x:f>
        <x:v>0</x:v>
      </x:c>
      <x:c r="DE421" s="23" t="n">
        <x:f>MAX(0,MIN('Activities'!L421,630)-MAX('Activities'!K421,624))</x:f>
        <x:v>0</x:v>
      </x:c>
      <x:c r="DF421" s="23" t="n">
        <x:f>MAX(0,MIN('Activities'!L421,636)-MAX('Activities'!K421,630))</x:f>
        <x:v>0</x:v>
      </x:c>
    </x:row>
    <x:row r="422" ht="23" customHeight="1">
      <x:c r="A422" s="6" t="str">
        <x:v>T4-L01-H</x:v>
      </x:c>
      <x:c r="B422" s="6" t="str">
        <x:v>T4</x:v>
      </x:c>
      <x:c r="C422" s="6" t="str">
        <x:v>Curing and release hold point</x:v>
      </x:c>
      <x:c r="D422" s="6" t="str">
        <x:v>Site</x:v>
      </x:c>
      <x:c r="E422" s="22" t="n">
        <x:f>MAX(0,MIN('Activities'!L422,6)-MAX('Activities'!K422,0))</x:f>
        <x:v>0</x:v>
      </x:c>
      <x:c r="F422" s="22" t="n">
        <x:f>MAX(0,MIN('Activities'!L422,12)-MAX('Activities'!K422,6))</x:f>
        <x:v>0</x:v>
      </x:c>
      <x:c r="G422" s="22" t="n">
        <x:f>MAX(0,MIN('Activities'!L422,18)-MAX('Activities'!K422,12))</x:f>
        <x:v>0</x:v>
      </x:c>
      <x:c r="H422" s="22" t="n">
        <x:f>MAX(0,MIN('Activities'!L422,24)-MAX('Activities'!K422,18))</x:f>
        <x:v>0</x:v>
      </x:c>
      <x:c r="I422" s="22" t="n">
        <x:f>MAX(0,MIN('Activities'!L422,30)-MAX('Activities'!K422,24))</x:f>
        <x:v>0</x:v>
      </x:c>
      <x:c r="J422" s="22" t="n">
        <x:f>MAX(0,MIN('Activities'!L422,36)-MAX('Activities'!K422,30))</x:f>
        <x:v>0</x:v>
      </x:c>
      <x:c r="K422" s="22" t="n">
        <x:f>MAX(0,MIN('Activities'!L422,42)-MAX('Activities'!K422,36))</x:f>
        <x:v>0</x:v>
      </x:c>
      <x:c r="L422" s="22" t="n">
        <x:f>MAX(0,MIN('Activities'!L422,48)-MAX('Activities'!K422,42))</x:f>
        <x:v>0</x:v>
      </x:c>
      <x:c r="M422" s="22" t="n">
        <x:f>MAX(0,MIN('Activities'!L422,54)-MAX('Activities'!K422,48))</x:f>
        <x:v>0</x:v>
      </x:c>
      <x:c r="N422" s="22" t="n">
        <x:f>MAX(0,MIN('Activities'!L422,60)-MAX('Activities'!K422,54))</x:f>
        <x:v>0</x:v>
      </x:c>
      <x:c r="O422" s="22" t="n">
        <x:f>MAX(0,MIN('Activities'!L422,66)-MAX('Activities'!K422,60))</x:f>
        <x:v>0</x:v>
      </x:c>
      <x:c r="P422" s="22" t="n">
        <x:f>MAX(0,MIN('Activities'!L422,72)-MAX('Activities'!K422,66))</x:f>
        <x:v>0</x:v>
      </x:c>
      <x:c r="Q422" s="22" t="n">
        <x:f>MAX(0,MIN('Activities'!L422,78)-MAX('Activities'!K422,72))</x:f>
        <x:v>0</x:v>
      </x:c>
      <x:c r="R422" s="22" t="n">
        <x:f>MAX(0,MIN('Activities'!L422,84)-MAX('Activities'!K422,78))</x:f>
        <x:v>0</x:v>
      </x:c>
      <x:c r="S422" s="22" t="n">
        <x:f>MAX(0,MIN('Activities'!L422,90)-MAX('Activities'!K422,84))</x:f>
        <x:v>0</x:v>
      </x:c>
      <x:c r="T422" s="22" t="n">
        <x:f>MAX(0,MIN('Activities'!L422,96)-MAX('Activities'!K422,90))</x:f>
        <x:v>0</x:v>
      </x:c>
      <x:c r="U422" s="22" t="n">
        <x:f>MAX(0,MIN('Activities'!L422,102)-MAX('Activities'!K422,96))</x:f>
        <x:v>0</x:v>
      </x:c>
      <x:c r="V422" s="22" t="n">
        <x:f>MAX(0,MIN('Activities'!L422,108)-MAX('Activities'!K422,102))</x:f>
        <x:v>0</x:v>
      </x:c>
      <x:c r="W422" s="22" t="n">
        <x:f>MAX(0,MIN('Activities'!L422,114)-MAX('Activities'!K422,108))</x:f>
        <x:v>0</x:v>
      </x:c>
      <x:c r="X422" s="22" t="n">
        <x:f>MAX(0,MIN('Activities'!L422,120)-MAX('Activities'!K422,114))</x:f>
        <x:v>0</x:v>
      </x:c>
      <x:c r="Y422" s="22" t="n">
        <x:f>MAX(0,MIN('Activities'!L422,126)-MAX('Activities'!K422,120))</x:f>
        <x:v>0</x:v>
      </x:c>
      <x:c r="Z422" s="22" t="n">
        <x:f>MAX(0,MIN('Activities'!L422,132)-MAX('Activities'!K422,126))</x:f>
        <x:v>0</x:v>
      </x:c>
      <x:c r="AA422" s="22" t="n">
        <x:f>MAX(0,MIN('Activities'!L422,138)-MAX('Activities'!K422,132))</x:f>
        <x:v>0</x:v>
      </x:c>
      <x:c r="AB422" s="22" t="n">
        <x:f>MAX(0,MIN('Activities'!L422,144)-MAX('Activities'!K422,138))</x:f>
        <x:v>0</x:v>
      </x:c>
      <x:c r="AC422" s="22" t="n">
        <x:f>MAX(0,MIN('Activities'!L422,150)-MAX('Activities'!K422,144))</x:f>
        <x:v>0</x:v>
      </x:c>
      <x:c r="AD422" s="22" t="n">
        <x:f>MAX(0,MIN('Activities'!L422,156)-MAX('Activities'!K422,150))</x:f>
        <x:v>0</x:v>
      </x:c>
      <x:c r="AE422" s="22" t="n">
        <x:f>MAX(0,MIN('Activities'!L422,162)-MAX('Activities'!K422,156))</x:f>
        <x:v>0</x:v>
      </x:c>
      <x:c r="AF422" s="22" t="n">
        <x:f>MAX(0,MIN('Activities'!L422,168)-MAX('Activities'!K422,162))</x:f>
        <x:v>0</x:v>
      </x:c>
      <x:c r="AG422" s="22" t="n">
        <x:f>MAX(0,MIN('Activities'!L422,174)-MAX('Activities'!K422,168))</x:f>
        <x:v>0</x:v>
      </x:c>
      <x:c r="AH422" s="22" t="n">
        <x:f>MAX(0,MIN('Activities'!L422,180)-MAX('Activities'!K422,174))</x:f>
        <x:v>0</x:v>
      </x:c>
      <x:c r="AI422" s="22" t="n">
        <x:f>MAX(0,MIN('Activities'!L422,186)-MAX('Activities'!K422,180))</x:f>
        <x:v>0</x:v>
      </x:c>
      <x:c r="AJ422" s="22" t="n">
        <x:f>MAX(0,MIN('Activities'!L422,192)-MAX('Activities'!K422,186))</x:f>
        <x:v>0</x:v>
      </x:c>
      <x:c r="AK422" s="22" t="n">
        <x:f>MAX(0,MIN('Activities'!L422,198)-MAX('Activities'!K422,192))</x:f>
        <x:v>0</x:v>
      </x:c>
      <x:c r="AL422" s="22" t="n">
        <x:f>MAX(0,MIN('Activities'!L422,204)-MAX('Activities'!K422,198))</x:f>
        <x:v>3</x:v>
      </x:c>
      <x:c r="AM422" s="22" t="n">
        <x:f>MAX(0,MIN('Activities'!L422,210)-MAX('Activities'!K422,204))</x:f>
        <x:v>2</x:v>
      </x:c>
      <x:c r="AN422" s="22" t="n">
        <x:f>MAX(0,MIN('Activities'!L422,216)-MAX('Activities'!K422,210))</x:f>
        <x:v>0</x:v>
      </x:c>
      <x:c r="AO422" s="22" t="n">
        <x:f>MAX(0,MIN('Activities'!L422,222)-MAX('Activities'!K422,216))</x:f>
        <x:v>0</x:v>
      </x:c>
      <x:c r="AP422" s="22" t="n">
        <x:f>MAX(0,MIN('Activities'!L422,228)-MAX('Activities'!K422,222))</x:f>
        <x:v>0</x:v>
      </x:c>
      <x:c r="AQ422" s="22" t="n">
        <x:f>MAX(0,MIN('Activities'!L422,234)-MAX('Activities'!K422,228))</x:f>
        <x:v>0</x:v>
      </x:c>
      <x:c r="AR422" s="22" t="n">
        <x:f>MAX(0,MIN('Activities'!L422,240)-MAX('Activities'!K422,234))</x:f>
        <x:v>0</x:v>
      </x:c>
      <x:c r="AS422" s="22" t="n">
        <x:f>MAX(0,MIN('Activities'!L422,246)-MAX('Activities'!K422,240))</x:f>
        <x:v>0</x:v>
      </x:c>
      <x:c r="AT422" s="22" t="n">
        <x:f>MAX(0,MIN('Activities'!L422,252)-MAX('Activities'!K422,246))</x:f>
        <x:v>0</x:v>
      </x:c>
      <x:c r="AU422" s="22" t="n">
        <x:f>MAX(0,MIN('Activities'!L422,258)-MAX('Activities'!K422,252))</x:f>
        <x:v>0</x:v>
      </x:c>
      <x:c r="AV422" s="22" t="n">
        <x:f>MAX(0,MIN('Activities'!L422,264)-MAX('Activities'!K422,258))</x:f>
        <x:v>0</x:v>
      </x:c>
      <x:c r="AW422" s="22" t="n">
        <x:f>MAX(0,MIN('Activities'!L422,270)-MAX('Activities'!K422,264))</x:f>
        <x:v>0</x:v>
      </x:c>
      <x:c r="AX422" s="22" t="n">
        <x:f>MAX(0,MIN('Activities'!L422,276)-MAX('Activities'!K422,270))</x:f>
        <x:v>0</x:v>
      </x:c>
      <x:c r="AY422" s="22" t="n">
        <x:f>MAX(0,MIN('Activities'!L422,282)-MAX('Activities'!K422,276))</x:f>
        <x:v>0</x:v>
      </x:c>
      <x:c r="AZ422" s="22" t="n">
        <x:f>MAX(0,MIN('Activities'!L422,288)-MAX('Activities'!K422,282))</x:f>
        <x:v>0</x:v>
      </x:c>
      <x:c r="BA422" s="22" t="n">
        <x:f>MAX(0,MIN('Activities'!L422,294)-MAX('Activities'!K422,288))</x:f>
        <x:v>0</x:v>
      </x:c>
      <x:c r="BB422" s="22" t="n">
        <x:f>MAX(0,MIN('Activities'!L422,300)-MAX('Activities'!K422,294))</x:f>
        <x:v>0</x:v>
      </x:c>
      <x:c r="BC422" s="22" t="n">
        <x:f>MAX(0,MIN('Activities'!L422,306)-MAX('Activities'!K422,300))</x:f>
        <x:v>0</x:v>
      </x:c>
      <x:c r="BD422" s="22" t="n">
        <x:f>MAX(0,MIN('Activities'!L422,312)-MAX('Activities'!K422,306))</x:f>
        <x:v>0</x:v>
      </x:c>
      <x:c r="BE422" s="22" t="n">
        <x:f>MAX(0,MIN('Activities'!L422,318)-MAX('Activities'!K422,312))</x:f>
        <x:v>0</x:v>
      </x:c>
      <x:c r="BF422" s="22" t="n">
        <x:f>MAX(0,MIN('Activities'!L422,324)-MAX('Activities'!K422,318))</x:f>
        <x:v>0</x:v>
      </x:c>
      <x:c r="BG422" s="22" t="n">
        <x:f>MAX(0,MIN('Activities'!L422,330)-MAX('Activities'!K422,324))</x:f>
        <x:v>0</x:v>
      </x:c>
      <x:c r="BH422" s="22" t="n">
        <x:f>MAX(0,MIN('Activities'!L422,336)-MAX('Activities'!K422,330))</x:f>
        <x:v>0</x:v>
      </x:c>
      <x:c r="BI422" s="22" t="n">
        <x:f>MAX(0,MIN('Activities'!L422,342)-MAX('Activities'!K422,336))</x:f>
        <x:v>0</x:v>
      </x:c>
      <x:c r="BJ422" s="22" t="n">
        <x:f>MAX(0,MIN('Activities'!L422,348)-MAX('Activities'!K422,342))</x:f>
        <x:v>0</x:v>
      </x:c>
      <x:c r="BK422" s="22" t="n">
        <x:f>MAX(0,MIN('Activities'!L422,354)-MAX('Activities'!K422,348))</x:f>
        <x:v>0</x:v>
      </x:c>
      <x:c r="BL422" s="22" t="n">
        <x:f>MAX(0,MIN('Activities'!L422,360)-MAX('Activities'!K422,354))</x:f>
        <x:v>0</x:v>
      </x:c>
      <x:c r="BM422" s="22" t="n">
        <x:f>MAX(0,MIN('Activities'!L422,366)-MAX('Activities'!K422,360))</x:f>
        <x:v>0</x:v>
      </x:c>
      <x:c r="BN422" s="22" t="n">
        <x:f>MAX(0,MIN('Activities'!L422,372)-MAX('Activities'!K422,366))</x:f>
        <x:v>0</x:v>
      </x:c>
      <x:c r="BO422" s="22" t="n">
        <x:f>MAX(0,MIN('Activities'!L422,378)-MAX('Activities'!K422,372))</x:f>
        <x:v>0</x:v>
      </x:c>
      <x:c r="BP422" s="22" t="n">
        <x:f>MAX(0,MIN('Activities'!L422,384)-MAX('Activities'!K422,378))</x:f>
        <x:v>0</x:v>
      </x:c>
      <x:c r="BQ422" s="22" t="n">
        <x:f>MAX(0,MIN('Activities'!L422,390)-MAX('Activities'!K422,384))</x:f>
        <x:v>0</x:v>
      </x:c>
      <x:c r="BR422" s="22" t="n">
        <x:f>MAX(0,MIN('Activities'!L422,396)-MAX('Activities'!K422,390))</x:f>
        <x:v>0</x:v>
      </x:c>
      <x:c r="BS422" s="22" t="n">
        <x:f>MAX(0,MIN('Activities'!L422,402)-MAX('Activities'!K422,396))</x:f>
        <x:v>0</x:v>
      </x:c>
      <x:c r="BT422" s="22" t="n">
        <x:f>MAX(0,MIN('Activities'!L422,408)-MAX('Activities'!K422,402))</x:f>
        <x:v>0</x:v>
      </x:c>
      <x:c r="BU422" s="22" t="n">
        <x:f>MAX(0,MIN('Activities'!L422,414)-MAX('Activities'!K422,408))</x:f>
        <x:v>0</x:v>
      </x:c>
      <x:c r="BV422" s="22" t="n">
        <x:f>MAX(0,MIN('Activities'!L422,420)-MAX('Activities'!K422,414))</x:f>
        <x:v>0</x:v>
      </x:c>
      <x:c r="BW422" s="22" t="n">
        <x:f>MAX(0,MIN('Activities'!L422,426)-MAX('Activities'!K422,420))</x:f>
        <x:v>0</x:v>
      </x:c>
      <x:c r="BX422" s="22" t="n">
        <x:f>MAX(0,MIN('Activities'!L422,432)-MAX('Activities'!K422,426))</x:f>
        <x:v>0</x:v>
      </x:c>
      <x:c r="BY422" s="22" t="n">
        <x:f>MAX(0,MIN('Activities'!L422,438)-MAX('Activities'!K422,432))</x:f>
        <x:v>0</x:v>
      </x:c>
      <x:c r="BZ422" s="22" t="n">
        <x:f>MAX(0,MIN('Activities'!L422,444)-MAX('Activities'!K422,438))</x:f>
        <x:v>0</x:v>
      </x:c>
      <x:c r="CA422" s="22" t="n">
        <x:f>MAX(0,MIN('Activities'!L422,450)-MAX('Activities'!K422,444))</x:f>
        <x:v>0</x:v>
      </x:c>
      <x:c r="CB422" s="22" t="n">
        <x:f>MAX(0,MIN('Activities'!L422,456)-MAX('Activities'!K422,450))</x:f>
        <x:v>0</x:v>
      </x:c>
      <x:c r="CC422" s="22" t="n">
        <x:f>MAX(0,MIN('Activities'!L422,462)-MAX('Activities'!K422,456))</x:f>
        <x:v>0</x:v>
      </x:c>
      <x:c r="CD422" s="22" t="n">
        <x:f>MAX(0,MIN('Activities'!L422,468)-MAX('Activities'!K422,462))</x:f>
        <x:v>0</x:v>
      </x:c>
      <x:c r="CE422" s="22" t="n">
        <x:f>MAX(0,MIN('Activities'!L422,474)-MAX('Activities'!K422,468))</x:f>
        <x:v>0</x:v>
      </x:c>
      <x:c r="CF422" s="22" t="n">
        <x:f>MAX(0,MIN('Activities'!L422,480)-MAX('Activities'!K422,474))</x:f>
        <x:v>0</x:v>
      </x:c>
      <x:c r="CG422" s="22" t="n">
        <x:f>MAX(0,MIN('Activities'!L422,486)-MAX('Activities'!K422,480))</x:f>
        <x:v>0</x:v>
      </x:c>
      <x:c r="CH422" s="22" t="n">
        <x:f>MAX(0,MIN('Activities'!L422,492)-MAX('Activities'!K422,486))</x:f>
        <x:v>0</x:v>
      </x:c>
      <x:c r="CI422" s="22" t="n">
        <x:f>MAX(0,MIN('Activities'!L422,498)-MAX('Activities'!K422,492))</x:f>
        <x:v>0</x:v>
      </x:c>
      <x:c r="CJ422" s="22" t="n">
        <x:f>MAX(0,MIN('Activities'!L422,504)-MAX('Activities'!K422,498))</x:f>
        <x:v>0</x:v>
      </x:c>
      <x:c r="CK422" s="22" t="n">
        <x:f>MAX(0,MIN('Activities'!L422,510)-MAX('Activities'!K422,504))</x:f>
        <x:v>0</x:v>
      </x:c>
      <x:c r="CL422" s="22" t="n">
        <x:f>MAX(0,MIN('Activities'!L422,516)-MAX('Activities'!K422,510))</x:f>
        <x:v>0</x:v>
      </x:c>
      <x:c r="CM422" s="22" t="n">
        <x:f>MAX(0,MIN('Activities'!L422,522)-MAX('Activities'!K422,516))</x:f>
        <x:v>0</x:v>
      </x:c>
      <x:c r="CN422" s="22" t="n">
        <x:f>MAX(0,MIN('Activities'!L422,528)-MAX('Activities'!K422,522))</x:f>
        <x:v>0</x:v>
      </x:c>
      <x:c r="CO422" s="22" t="n">
        <x:f>MAX(0,MIN('Activities'!L422,534)-MAX('Activities'!K422,528))</x:f>
        <x:v>0</x:v>
      </x:c>
      <x:c r="CP422" s="22" t="n">
        <x:f>MAX(0,MIN('Activities'!L422,540)-MAX('Activities'!K422,534))</x:f>
        <x:v>0</x:v>
      </x:c>
      <x:c r="CQ422" s="22" t="n">
        <x:f>MAX(0,MIN('Activities'!L422,546)-MAX('Activities'!K422,540))</x:f>
        <x:v>0</x:v>
      </x:c>
      <x:c r="CR422" s="22" t="n">
        <x:f>MAX(0,MIN('Activities'!L422,552)-MAX('Activities'!K422,546))</x:f>
        <x:v>0</x:v>
      </x:c>
      <x:c r="CS422" s="22" t="n">
        <x:f>MAX(0,MIN('Activities'!L422,558)-MAX('Activities'!K422,552))</x:f>
        <x:v>0</x:v>
      </x:c>
      <x:c r="CT422" s="22" t="n">
        <x:f>MAX(0,MIN('Activities'!L422,564)-MAX('Activities'!K422,558))</x:f>
        <x:v>0</x:v>
      </x:c>
      <x:c r="CU422" s="22" t="n">
        <x:f>MAX(0,MIN('Activities'!L422,570)-MAX('Activities'!K422,564))</x:f>
        <x:v>0</x:v>
      </x:c>
      <x:c r="CV422" s="22" t="n">
        <x:f>MAX(0,MIN('Activities'!L422,576)-MAX('Activities'!K422,570))</x:f>
        <x:v>0</x:v>
      </x:c>
      <x:c r="CW422" s="22" t="n">
        <x:f>MAX(0,MIN('Activities'!L422,582)-MAX('Activities'!K422,576))</x:f>
        <x:v>0</x:v>
      </x:c>
      <x:c r="CX422" s="22" t="n">
        <x:f>MAX(0,MIN('Activities'!L422,588)-MAX('Activities'!K422,582))</x:f>
        <x:v>0</x:v>
      </x:c>
      <x:c r="CY422" s="22" t="n">
        <x:f>MAX(0,MIN('Activities'!L422,594)-MAX('Activities'!K422,588))</x:f>
        <x:v>0</x:v>
      </x:c>
      <x:c r="CZ422" s="22" t="n">
        <x:f>MAX(0,MIN('Activities'!L422,600)-MAX('Activities'!K422,594))</x:f>
        <x:v>0</x:v>
      </x:c>
      <x:c r="DA422" s="22" t="n">
        <x:f>MAX(0,MIN('Activities'!L422,606)-MAX('Activities'!K422,600))</x:f>
        <x:v>0</x:v>
      </x:c>
      <x:c r="DB422" s="22" t="n">
        <x:f>MAX(0,MIN('Activities'!L422,612)-MAX('Activities'!K422,606))</x:f>
        <x:v>0</x:v>
      </x:c>
      <x:c r="DC422" s="22" t="n">
        <x:f>MAX(0,MIN('Activities'!L422,618)-MAX('Activities'!K422,612))</x:f>
        <x:v>0</x:v>
      </x:c>
      <x:c r="DD422" s="22" t="n">
        <x:f>MAX(0,MIN('Activities'!L422,624)-MAX('Activities'!K422,618))</x:f>
        <x:v>0</x:v>
      </x:c>
      <x:c r="DE422" s="22" t="n">
        <x:f>MAX(0,MIN('Activities'!L422,630)-MAX('Activities'!K422,624))</x:f>
        <x:v>0</x:v>
      </x:c>
      <x:c r="DF422" s="22" t="n">
        <x:f>MAX(0,MIN('Activities'!L422,636)-MAX('Activities'!K422,630))</x:f>
        <x:v>0</x:v>
      </x:c>
    </x:row>
    <x:row r="423" ht="23" customHeight="1">
      <x:c r="A423" s="1" t="str">
        <x:v>T4-L02-F</x:v>
      </x:c>
      <x:c r="B423" s="1" t="str">
        <x:v>T4</x:v>
      </x:c>
      <x:c r="C423" s="1" t="str">
        <x:v>Columns, core and deck formwork</x:v>
      </x:c>
      <x:c r="D423" s="1" t="str">
        <x:v>Formwork</x:v>
      </x:c>
      <x:c r="E423" s="23" t="n">
        <x:f>MAX(0,MIN('Activities'!L423,6)-MAX('Activities'!K423,0))</x:f>
        <x:v>0</x:v>
      </x:c>
      <x:c r="F423" s="23" t="n">
        <x:f>MAX(0,MIN('Activities'!L423,12)-MAX('Activities'!K423,6))</x:f>
        <x:v>0</x:v>
      </x:c>
      <x:c r="G423" s="23" t="n">
        <x:f>MAX(0,MIN('Activities'!L423,18)-MAX('Activities'!K423,12))</x:f>
        <x:v>0</x:v>
      </x:c>
      <x:c r="H423" s="23" t="n">
        <x:f>MAX(0,MIN('Activities'!L423,24)-MAX('Activities'!K423,18))</x:f>
        <x:v>0</x:v>
      </x:c>
      <x:c r="I423" s="23" t="n">
        <x:f>MAX(0,MIN('Activities'!L423,30)-MAX('Activities'!K423,24))</x:f>
        <x:v>0</x:v>
      </x:c>
      <x:c r="J423" s="23" t="n">
        <x:f>MAX(0,MIN('Activities'!L423,36)-MAX('Activities'!K423,30))</x:f>
        <x:v>0</x:v>
      </x:c>
      <x:c r="K423" s="23" t="n">
        <x:f>MAX(0,MIN('Activities'!L423,42)-MAX('Activities'!K423,36))</x:f>
        <x:v>0</x:v>
      </x:c>
      <x:c r="L423" s="23" t="n">
        <x:f>MAX(0,MIN('Activities'!L423,48)-MAX('Activities'!K423,42))</x:f>
        <x:v>0</x:v>
      </x:c>
      <x:c r="M423" s="23" t="n">
        <x:f>MAX(0,MIN('Activities'!L423,54)-MAX('Activities'!K423,48))</x:f>
        <x:v>0</x:v>
      </x:c>
      <x:c r="N423" s="23" t="n">
        <x:f>MAX(0,MIN('Activities'!L423,60)-MAX('Activities'!K423,54))</x:f>
        <x:v>0</x:v>
      </x:c>
      <x:c r="O423" s="23" t="n">
        <x:f>MAX(0,MIN('Activities'!L423,66)-MAX('Activities'!K423,60))</x:f>
        <x:v>0</x:v>
      </x:c>
      <x:c r="P423" s="23" t="n">
        <x:f>MAX(0,MIN('Activities'!L423,72)-MAX('Activities'!K423,66))</x:f>
        <x:v>0</x:v>
      </x:c>
      <x:c r="Q423" s="23" t="n">
        <x:f>MAX(0,MIN('Activities'!L423,78)-MAX('Activities'!K423,72))</x:f>
        <x:v>0</x:v>
      </x:c>
      <x:c r="R423" s="23" t="n">
        <x:f>MAX(0,MIN('Activities'!L423,84)-MAX('Activities'!K423,78))</x:f>
        <x:v>0</x:v>
      </x:c>
      <x:c r="S423" s="23" t="n">
        <x:f>MAX(0,MIN('Activities'!L423,90)-MAX('Activities'!K423,84))</x:f>
        <x:v>0</x:v>
      </x:c>
      <x:c r="T423" s="23" t="n">
        <x:f>MAX(0,MIN('Activities'!L423,96)-MAX('Activities'!K423,90))</x:f>
        <x:v>0</x:v>
      </x:c>
      <x:c r="U423" s="23" t="n">
        <x:f>MAX(0,MIN('Activities'!L423,102)-MAX('Activities'!K423,96))</x:f>
        <x:v>0</x:v>
      </x:c>
      <x:c r="V423" s="23" t="n">
        <x:f>MAX(0,MIN('Activities'!L423,108)-MAX('Activities'!K423,102))</x:f>
        <x:v>0</x:v>
      </x:c>
      <x:c r="W423" s="23" t="n">
        <x:f>MAX(0,MIN('Activities'!L423,114)-MAX('Activities'!K423,108))</x:f>
        <x:v>0</x:v>
      </x:c>
      <x:c r="X423" s="23" t="n">
        <x:f>MAX(0,MIN('Activities'!L423,120)-MAX('Activities'!K423,114))</x:f>
        <x:v>0</x:v>
      </x:c>
      <x:c r="Y423" s="23" t="n">
        <x:f>MAX(0,MIN('Activities'!L423,126)-MAX('Activities'!K423,120))</x:f>
        <x:v>0</x:v>
      </x:c>
      <x:c r="Z423" s="23" t="n">
        <x:f>MAX(0,MIN('Activities'!L423,132)-MAX('Activities'!K423,126))</x:f>
        <x:v>0</x:v>
      </x:c>
      <x:c r="AA423" s="23" t="n">
        <x:f>MAX(0,MIN('Activities'!L423,138)-MAX('Activities'!K423,132))</x:f>
        <x:v>0</x:v>
      </x:c>
      <x:c r="AB423" s="23" t="n">
        <x:f>MAX(0,MIN('Activities'!L423,144)-MAX('Activities'!K423,138))</x:f>
        <x:v>0</x:v>
      </x:c>
      <x:c r="AC423" s="23" t="n">
        <x:f>MAX(0,MIN('Activities'!L423,150)-MAX('Activities'!K423,144))</x:f>
        <x:v>0</x:v>
      </x:c>
      <x:c r="AD423" s="23" t="n">
        <x:f>MAX(0,MIN('Activities'!L423,156)-MAX('Activities'!K423,150))</x:f>
        <x:v>0</x:v>
      </x:c>
      <x:c r="AE423" s="23" t="n">
        <x:f>MAX(0,MIN('Activities'!L423,162)-MAX('Activities'!K423,156))</x:f>
        <x:v>0</x:v>
      </x:c>
      <x:c r="AF423" s="23" t="n">
        <x:f>MAX(0,MIN('Activities'!L423,168)-MAX('Activities'!K423,162))</x:f>
        <x:v>0</x:v>
      </x:c>
      <x:c r="AG423" s="23" t="n">
        <x:f>MAX(0,MIN('Activities'!L423,174)-MAX('Activities'!K423,168))</x:f>
        <x:v>0</x:v>
      </x:c>
      <x:c r="AH423" s="23" t="n">
        <x:f>MAX(0,MIN('Activities'!L423,180)-MAX('Activities'!K423,174))</x:f>
        <x:v>0</x:v>
      </x:c>
      <x:c r="AI423" s="23" t="n">
        <x:f>MAX(0,MIN('Activities'!L423,186)-MAX('Activities'!K423,180))</x:f>
        <x:v>0</x:v>
      </x:c>
      <x:c r="AJ423" s="23" t="n">
        <x:f>MAX(0,MIN('Activities'!L423,192)-MAX('Activities'!K423,186))</x:f>
        <x:v>0</x:v>
      </x:c>
      <x:c r="AK423" s="23" t="n">
        <x:f>MAX(0,MIN('Activities'!L423,198)-MAX('Activities'!K423,192))</x:f>
        <x:v>0</x:v>
      </x:c>
      <x:c r="AL423" s="23" t="n">
        <x:f>MAX(0,MIN('Activities'!L423,204)-MAX('Activities'!K423,198))</x:f>
        <x:v>0</x:v>
      </x:c>
      <x:c r="AM423" s="23" t="n">
        <x:f>MAX(0,MIN('Activities'!L423,210)-MAX('Activities'!K423,204))</x:f>
        <x:v>4</x:v>
      </x:c>
      <x:c r="AN423" s="23" t="n">
        <x:f>MAX(0,MIN('Activities'!L423,216)-MAX('Activities'!K423,210))</x:f>
        <x:v>2</x:v>
      </x:c>
      <x:c r="AO423" s="23" t="n">
        <x:f>MAX(0,MIN('Activities'!L423,222)-MAX('Activities'!K423,216))</x:f>
        <x:v>0</x:v>
      </x:c>
      <x:c r="AP423" s="23" t="n">
        <x:f>MAX(0,MIN('Activities'!L423,228)-MAX('Activities'!K423,222))</x:f>
        <x:v>0</x:v>
      </x:c>
      <x:c r="AQ423" s="23" t="n">
        <x:f>MAX(0,MIN('Activities'!L423,234)-MAX('Activities'!K423,228))</x:f>
        <x:v>0</x:v>
      </x:c>
      <x:c r="AR423" s="23" t="n">
        <x:f>MAX(0,MIN('Activities'!L423,240)-MAX('Activities'!K423,234))</x:f>
        <x:v>0</x:v>
      </x:c>
      <x:c r="AS423" s="23" t="n">
        <x:f>MAX(0,MIN('Activities'!L423,246)-MAX('Activities'!K423,240))</x:f>
        <x:v>0</x:v>
      </x:c>
      <x:c r="AT423" s="23" t="n">
        <x:f>MAX(0,MIN('Activities'!L423,252)-MAX('Activities'!K423,246))</x:f>
        <x:v>0</x:v>
      </x:c>
      <x:c r="AU423" s="23" t="n">
        <x:f>MAX(0,MIN('Activities'!L423,258)-MAX('Activities'!K423,252))</x:f>
        <x:v>0</x:v>
      </x:c>
      <x:c r="AV423" s="23" t="n">
        <x:f>MAX(0,MIN('Activities'!L423,264)-MAX('Activities'!K423,258))</x:f>
        <x:v>0</x:v>
      </x:c>
      <x:c r="AW423" s="23" t="n">
        <x:f>MAX(0,MIN('Activities'!L423,270)-MAX('Activities'!K423,264))</x:f>
        <x:v>0</x:v>
      </x:c>
      <x:c r="AX423" s="23" t="n">
        <x:f>MAX(0,MIN('Activities'!L423,276)-MAX('Activities'!K423,270))</x:f>
        <x:v>0</x:v>
      </x:c>
      <x:c r="AY423" s="23" t="n">
        <x:f>MAX(0,MIN('Activities'!L423,282)-MAX('Activities'!K423,276))</x:f>
        <x:v>0</x:v>
      </x:c>
      <x:c r="AZ423" s="23" t="n">
        <x:f>MAX(0,MIN('Activities'!L423,288)-MAX('Activities'!K423,282))</x:f>
        <x:v>0</x:v>
      </x:c>
      <x:c r="BA423" s="23" t="n">
        <x:f>MAX(0,MIN('Activities'!L423,294)-MAX('Activities'!K423,288))</x:f>
        <x:v>0</x:v>
      </x:c>
      <x:c r="BB423" s="23" t="n">
        <x:f>MAX(0,MIN('Activities'!L423,300)-MAX('Activities'!K423,294))</x:f>
        <x:v>0</x:v>
      </x:c>
      <x:c r="BC423" s="23" t="n">
        <x:f>MAX(0,MIN('Activities'!L423,306)-MAX('Activities'!K423,300))</x:f>
        <x:v>0</x:v>
      </x:c>
      <x:c r="BD423" s="23" t="n">
        <x:f>MAX(0,MIN('Activities'!L423,312)-MAX('Activities'!K423,306))</x:f>
        <x:v>0</x:v>
      </x:c>
      <x:c r="BE423" s="23" t="n">
        <x:f>MAX(0,MIN('Activities'!L423,318)-MAX('Activities'!K423,312))</x:f>
        <x:v>0</x:v>
      </x:c>
      <x:c r="BF423" s="23" t="n">
        <x:f>MAX(0,MIN('Activities'!L423,324)-MAX('Activities'!K423,318))</x:f>
        <x:v>0</x:v>
      </x:c>
      <x:c r="BG423" s="23" t="n">
        <x:f>MAX(0,MIN('Activities'!L423,330)-MAX('Activities'!K423,324))</x:f>
        <x:v>0</x:v>
      </x:c>
      <x:c r="BH423" s="23" t="n">
        <x:f>MAX(0,MIN('Activities'!L423,336)-MAX('Activities'!K423,330))</x:f>
        <x:v>0</x:v>
      </x:c>
      <x:c r="BI423" s="23" t="n">
        <x:f>MAX(0,MIN('Activities'!L423,342)-MAX('Activities'!K423,336))</x:f>
        <x:v>0</x:v>
      </x:c>
      <x:c r="BJ423" s="23" t="n">
        <x:f>MAX(0,MIN('Activities'!L423,348)-MAX('Activities'!K423,342))</x:f>
        <x:v>0</x:v>
      </x:c>
      <x:c r="BK423" s="23" t="n">
        <x:f>MAX(0,MIN('Activities'!L423,354)-MAX('Activities'!K423,348))</x:f>
        <x:v>0</x:v>
      </x:c>
      <x:c r="BL423" s="23" t="n">
        <x:f>MAX(0,MIN('Activities'!L423,360)-MAX('Activities'!K423,354))</x:f>
        <x:v>0</x:v>
      </x:c>
      <x:c r="BM423" s="23" t="n">
        <x:f>MAX(0,MIN('Activities'!L423,366)-MAX('Activities'!K423,360))</x:f>
        <x:v>0</x:v>
      </x:c>
      <x:c r="BN423" s="23" t="n">
        <x:f>MAX(0,MIN('Activities'!L423,372)-MAX('Activities'!K423,366))</x:f>
        <x:v>0</x:v>
      </x:c>
      <x:c r="BO423" s="23" t="n">
        <x:f>MAX(0,MIN('Activities'!L423,378)-MAX('Activities'!K423,372))</x:f>
        <x:v>0</x:v>
      </x:c>
      <x:c r="BP423" s="23" t="n">
        <x:f>MAX(0,MIN('Activities'!L423,384)-MAX('Activities'!K423,378))</x:f>
        <x:v>0</x:v>
      </x:c>
      <x:c r="BQ423" s="23" t="n">
        <x:f>MAX(0,MIN('Activities'!L423,390)-MAX('Activities'!K423,384))</x:f>
        <x:v>0</x:v>
      </x:c>
      <x:c r="BR423" s="23" t="n">
        <x:f>MAX(0,MIN('Activities'!L423,396)-MAX('Activities'!K423,390))</x:f>
        <x:v>0</x:v>
      </x:c>
      <x:c r="BS423" s="23" t="n">
        <x:f>MAX(0,MIN('Activities'!L423,402)-MAX('Activities'!K423,396))</x:f>
        <x:v>0</x:v>
      </x:c>
      <x:c r="BT423" s="23" t="n">
        <x:f>MAX(0,MIN('Activities'!L423,408)-MAX('Activities'!K423,402))</x:f>
        <x:v>0</x:v>
      </x:c>
      <x:c r="BU423" s="23" t="n">
        <x:f>MAX(0,MIN('Activities'!L423,414)-MAX('Activities'!K423,408))</x:f>
        <x:v>0</x:v>
      </x:c>
      <x:c r="BV423" s="23" t="n">
        <x:f>MAX(0,MIN('Activities'!L423,420)-MAX('Activities'!K423,414))</x:f>
        <x:v>0</x:v>
      </x:c>
      <x:c r="BW423" s="23" t="n">
        <x:f>MAX(0,MIN('Activities'!L423,426)-MAX('Activities'!K423,420))</x:f>
        <x:v>0</x:v>
      </x:c>
      <x:c r="BX423" s="23" t="n">
        <x:f>MAX(0,MIN('Activities'!L423,432)-MAX('Activities'!K423,426))</x:f>
        <x:v>0</x:v>
      </x:c>
      <x:c r="BY423" s="23" t="n">
        <x:f>MAX(0,MIN('Activities'!L423,438)-MAX('Activities'!K423,432))</x:f>
        <x:v>0</x:v>
      </x:c>
      <x:c r="BZ423" s="23" t="n">
        <x:f>MAX(0,MIN('Activities'!L423,444)-MAX('Activities'!K423,438))</x:f>
        <x:v>0</x:v>
      </x:c>
      <x:c r="CA423" s="23" t="n">
        <x:f>MAX(0,MIN('Activities'!L423,450)-MAX('Activities'!K423,444))</x:f>
        <x:v>0</x:v>
      </x:c>
      <x:c r="CB423" s="23" t="n">
        <x:f>MAX(0,MIN('Activities'!L423,456)-MAX('Activities'!K423,450))</x:f>
        <x:v>0</x:v>
      </x:c>
      <x:c r="CC423" s="23" t="n">
        <x:f>MAX(0,MIN('Activities'!L423,462)-MAX('Activities'!K423,456))</x:f>
        <x:v>0</x:v>
      </x:c>
      <x:c r="CD423" s="23" t="n">
        <x:f>MAX(0,MIN('Activities'!L423,468)-MAX('Activities'!K423,462))</x:f>
        <x:v>0</x:v>
      </x:c>
      <x:c r="CE423" s="23" t="n">
        <x:f>MAX(0,MIN('Activities'!L423,474)-MAX('Activities'!K423,468))</x:f>
        <x:v>0</x:v>
      </x:c>
      <x:c r="CF423" s="23" t="n">
        <x:f>MAX(0,MIN('Activities'!L423,480)-MAX('Activities'!K423,474))</x:f>
        <x:v>0</x:v>
      </x:c>
      <x:c r="CG423" s="23" t="n">
        <x:f>MAX(0,MIN('Activities'!L423,486)-MAX('Activities'!K423,480))</x:f>
        <x:v>0</x:v>
      </x:c>
      <x:c r="CH423" s="23" t="n">
        <x:f>MAX(0,MIN('Activities'!L423,492)-MAX('Activities'!K423,486))</x:f>
        <x:v>0</x:v>
      </x:c>
      <x:c r="CI423" s="23" t="n">
        <x:f>MAX(0,MIN('Activities'!L423,498)-MAX('Activities'!K423,492))</x:f>
        <x:v>0</x:v>
      </x:c>
      <x:c r="CJ423" s="23" t="n">
        <x:f>MAX(0,MIN('Activities'!L423,504)-MAX('Activities'!K423,498))</x:f>
        <x:v>0</x:v>
      </x:c>
      <x:c r="CK423" s="23" t="n">
        <x:f>MAX(0,MIN('Activities'!L423,510)-MAX('Activities'!K423,504))</x:f>
        <x:v>0</x:v>
      </x:c>
      <x:c r="CL423" s="23" t="n">
        <x:f>MAX(0,MIN('Activities'!L423,516)-MAX('Activities'!K423,510))</x:f>
        <x:v>0</x:v>
      </x:c>
      <x:c r="CM423" s="23" t="n">
        <x:f>MAX(0,MIN('Activities'!L423,522)-MAX('Activities'!K423,516))</x:f>
        <x:v>0</x:v>
      </x:c>
      <x:c r="CN423" s="23" t="n">
        <x:f>MAX(0,MIN('Activities'!L423,528)-MAX('Activities'!K423,522))</x:f>
        <x:v>0</x:v>
      </x:c>
      <x:c r="CO423" s="23" t="n">
        <x:f>MAX(0,MIN('Activities'!L423,534)-MAX('Activities'!K423,528))</x:f>
        <x:v>0</x:v>
      </x:c>
      <x:c r="CP423" s="23" t="n">
        <x:f>MAX(0,MIN('Activities'!L423,540)-MAX('Activities'!K423,534))</x:f>
        <x:v>0</x:v>
      </x:c>
      <x:c r="CQ423" s="23" t="n">
        <x:f>MAX(0,MIN('Activities'!L423,546)-MAX('Activities'!K423,540))</x:f>
        <x:v>0</x:v>
      </x:c>
      <x:c r="CR423" s="23" t="n">
        <x:f>MAX(0,MIN('Activities'!L423,552)-MAX('Activities'!K423,546))</x:f>
        <x:v>0</x:v>
      </x:c>
      <x:c r="CS423" s="23" t="n">
        <x:f>MAX(0,MIN('Activities'!L423,558)-MAX('Activities'!K423,552))</x:f>
        <x:v>0</x:v>
      </x:c>
      <x:c r="CT423" s="23" t="n">
        <x:f>MAX(0,MIN('Activities'!L423,564)-MAX('Activities'!K423,558))</x:f>
        <x:v>0</x:v>
      </x:c>
      <x:c r="CU423" s="23" t="n">
        <x:f>MAX(0,MIN('Activities'!L423,570)-MAX('Activities'!K423,564))</x:f>
        <x:v>0</x:v>
      </x:c>
      <x:c r="CV423" s="23" t="n">
        <x:f>MAX(0,MIN('Activities'!L423,576)-MAX('Activities'!K423,570))</x:f>
        <x:v>0</x:v>
      </x:c>
      <x:c r="CW423" s="23" t="n">
        <x:f>MAX(0,MIN('Activities'!L423,582)-MAX('Activities'!K423,576))</x:f>
        <x:v>0</x:v>
      </x:c>
      <x:c r="CX423" s="23" t="n">
        <x:f>MAX(0,MIN('Activities'!L423,588)-MAX('Activities'!K423,582))</x:f>
        <x:v>0</x:v>
      </x:c>
      <x:c r="CY423" s="23" t="n">
        <x:f>MAX(0,MIN('Activities'!L423,594)-MAX('Activities'!K423,588))</x:f>
        <x:v>0</x:v>
      </x:c>
      <x:c r="CZ423" s="23" t="n">
        <x:f>MAX(0,MIN('Activities'!L423,600)-MAX('Activities'!K423,594))</x:f>
        <x:v>0</x:v>
      </x:c>
      <x:c r="DA423" s="23" t="n">
        <x:f>MAX(0,MIN('Activities'!L423,606)-MAX('Activities'!K423,600))</x:f>
        <x:v>0</x:v>
      </x:c>
      <x:c r="DB423" s="23" t="n">
        <x:f>MAX(0,MIN('Activities'!L423,612)-MAX('Activities'!K423,606))</x:f>
        <x:v>0</x:v>
      </x:c>
      <x:c r="DC423" s="23" t="n">
        <x:f>MAX(0,MIN('Activities'!L423,618)-MAX('Activities'!K423,612))</x:f>
        <x:v>0</x:v>
      </x:c>
      <x:c r="DD423" s="23" t="n">
        <x:f>MAX(0,MIN('Activities'!L423,624)-MAX('Activities'!K423,618))</x:f>
        <x:v>0</x:v>
      </x:c>
      <x:c r="DE423" s="23" t="n">
        <x:f>MAX(0,MIN('Activities'!L423,630)-MAX('Activities'!K423,624))</x:f>
        <x:v>0</x:v>
      </x:c>
      <x:c r="DF423" s="23" t="n">
        <x:f>MAX(0,MIN('Activities'!L423,636)-MAX('Activities'!K423,630))</x:f>
        <x:v>0</x:v>
      </x:c>
    </x:row>
    <x:row r="424" ht="23" customHeight="1">
      <x:c r="A424" s="6" t="str">
        <x:v>T4-L02-R</x:v>
      </x:c>
      <x:c r="B424" s="6" t="str">
        <x:v>T4</x:v>
      </x:c>
      <x:c r="C424" s="6" t="str">
        <x:v>Column, wall, beam and slab reinforcement</x:v>
      </x:c>
      <x:c r="D424" s="6" t="str">
        <x:v>Rebar</x:v>
      </x:c>
      <x:c r="E424" s="22" t="n">
        <x:f>MAX(0,MIN('Activities'!L424,6)-MAX('Activities'!K424,0))</x:f>
        <x:v>0</x:v>
      </x:c>
      <x:c r="F424" s="22" t="n">
        <x:f>MAX(0,MIN('Activities'!L424,12)-MAX('Activities'!K424,6))</x:f>
        <x:v>0</x:v>
      </x:c>
      <x:c r="G424" s="22" t="n">
        <x:f>MAX(0,MIN('Activities'!L424,18)-MAX('Activities'!K424,12))</x:f>
        <x:v>0</x:v>
      </x:c>
      <x:c r="H424" s="22" t="n">
        <x:f>MAX(0,MIN('Activities'!L424,24)-MAX('Activities'!K424,18))</x:f>
        <x:v>0</x:v>
      </x:c>
      <x:c r="I424" s="22" t="n">
        <x:f>MAX(0,MIN('Activities'!L424,30)-MAX('Activities'!K424,24))</x:f>
        <x:v>0</x:v>
      </x:c>
      <x:c r="J424" s="22" t="n">
        <x:f>MAX(0,MIN('Activities'!L424,36)-MAX('Activities'!K424,30))</x:f>
        <x:v>0</x:v>
      </x:c>
      <x:c r="K424" s="22" t="n">
        <x:f>MAX(0,MIN('Activities'!L424,42)-MAX('Activities'!K424,36))</x:f>
        <x:v>0</x:v>
      </x:c>
      <x:c r="L424" s="22" t="n">
        <x:f>MAX(0,MIN('Activities'!L424,48)-MAX('Activities'!K424,42))</x:f>
        <x:v>0</x:v>
      </x:c>
      <x:c r="M424" s="22" t="n">
        <x:f>MAX(0,MIN('Activities'!L424,54)-MAX('Activities'!K424,48))</x:f>
        <x:v>0</x:v>
      </x:c>
      <x:c r="N424" s="22" t="n">
        <x:f>MAX(0,MIN('Activities'!L424,60)-MAX('Activities'!K424,54))</x:f>
        <x:v>0</x:v>
      </x:c>
      <x:c r="O424" s="22" t="n">
        <x:f>MAX(0,MIN('Activities'!L424,66)-MAX('Activities'!K424,60))</x:f>
        <x:v>0</x:v>
      </x:c>
      <x:c r="P424" s="22" t="n">
        <x:f>MAX(0,MIN('Activities'!L424,72)-MAX('Activities'!K424,66))</x:f>
        <x:v>0</x:v>
      </x:c>
      <x:c r="Q424" s="22" t="n">
        <x:f>MAX(0,MIN('Activities'!L424,78)-MAX('Activities'!K424,72))</x:f>
        <x:v>0</x:v>
      </x:c>
      <x:c r="R424" s="22" t="n">
        <x:f>MAX(0,MIN('Activities'!L424,84)-MAX('Activities'!K424,78))</x:f>
        <x:v>0</x:v>
      </x:c>
      <x:c r="S424" s="22" t="n">
        <x:f>MAX(0,MIN('Activities'!L424,90)-MAX('Activities'!K424,84))</x:f>
        <x:v>0</x:v>
      </x:c>
      <x:c r="T424" s="22" t="n">
        <x:f>MAX(0,MIN('Activities'!L424,96)-MAX('Activities'!K424,90))</x:f>
        <x:v>0</x:v>
      </x:c>
      <x:c r="U424" s="22" t="n">
        <x:f>MAX(0,MIN('Activities'!L424,102)-MAX('Activities'!K424,96))</x:f>
        <x:v>0</x:v>
      </x:c>
      <x:c r="V424" s="22" t="n">
        <x:f>MAX(0,MIN('Activities'!L424,108)-MAX('Activities'!K424,102))</x:f>
        <x:v>0</x:v>
      </x:c>
      <x:c r="W424" s="22" t="n">
        <x:f>MAX(0,MIN('Activities'!L424,114)-MAX('Activities'!K424,108))</x:f>
        <x:v>0</x:v>
      </x:c>
      <x:c r="X424" s="22" t="n">
        <x:f>MAX(0,MIN('Activities'!L424,120)-MAX('Activities'!K424,114))</x:f>
        <x:v>0</x:v>
      </x:c>
      <x:c r="Y424" s="22" t="n">
        <x:f>MAX(0,MIN('Activities'!L424,126)-MAX('Activities'!K424,120))</x:f>
        <x:v>0</x:v>
      </x:c>
      <x:c r="Z424" s="22" t="n">
        <x:f>MAX(0,MIN('Activities'!L424,132)-MAX('Activities'!K424,126))</x:f>
        <x:v>0</x:v>
      </x:c>
      <x:c r="AA424" s="22" t="n">
        <x:f>MAX(0,MIN('Activities'!L424,138)-MAX('Activities'!K424,132))</x:f>
        <x:v>0</x:v>
      </x:c>
      <x:c r="AB424" s="22" t="n">
        <x:f>MAX(0,MIN('Activities'!L424,144)-MAX('Activities'!K424,138))</x:f>
        <x:v>0</x:v>
      </x:c>
      <x:c r="AC424" s="22" t="n">
        <x:f>MAX(0,MIN('Activities'!L424,150)-MAX('Activities'!K424,144))</x:f>
        <x:v>0</x:v>
      </x:c>
      <x:c r="AD424" s="22" t="n">
        <x:f>MAX(0,MIN('Activities'!L424,156)-MAX('Activities'!K424,150))</x:f>
        <x:v>0</x:v>
      </x:c>
      <x:c r="AE424" s="22" t="n">
        <x:f>MAX(0,MIN('Activities'!L424,162)-MAX('Activities'!K424,156))</x:f>
        <x:v>0</x:v>
      </x:c>
      <x:c r="AF424" s="22" t="n">
        <x:f>MAX(0,MIN('Activities'!L424,168)-MAX('Activities'!K424,162))</x:f>
        <x:v>0</x:v>
      </x:c>
      <x:c r="AG424" s="22" t="n">
        <x:f>MAX(0,MIN('Activities'!L424,174)-MAX('Activities'!K424,168))</x:f>
        <x:v>0</x:v>
      </x:c>
      <x:c r="AH424" s="22" t="n">
        <x:f>MAX(0,MIN('Activities'!L424,180)-MAX('Activities'!K424,174))</x:f>
        <x:v>0</x:v>
      </x:c>
      <x:c r="AI424" s="22" t="n">
        <x:f>MAX(0,MIN('Activities'!L424,186)-MAX('Activities'!K424,180))</x:f>
        <x:v>0</x:v>
      </x:c>
      <x:c r="AJ424" s="22" t="n">
        <x:f>MAX(0,MIN('Activities'!L424,192)-MAX('Activities'!K424,186))</x:f>
        <x:v>0</x:v>
      </x:c>
      <x:c r="AK424" s="22" t="n">
        <x:f>MAX(0,MIN('Activities'!L424,198)-MAX('Activities'!K424,192))</x:f>
        <x:v>0</x:v>
      </x:c>
      <x:c r="AL424" s="22" t="n">
        <x:f>MAX(0,MIN('Activities'!L424,204)-MAX('Activities'!K424,198))</x:f>
        <x:v>0</x:v>
      </x:c>
      <x:c r="AM424" s="22" t="n">
        <x:f>MAX(0,MIN('Activities'!L424,210)-MAX('Activities'!K424,204))</x:f>
        <x:v>0</x:v>
      </x:c>
      <x:c r="AN424" s="22" t="n">
        <x:f>MAX(0,MIN('Activities'!L424,216)-MAX('Activities'!K424,210))</x:f>
        <x:v>4</x:v>
      </x:c>
      <x:c r="AO424" s="22" t="n">
        <x:f>MAX(0,MIN('Activities'!L424,222)-MAX('Activities'!K424,216))</x:f>
        <x:v>1</x:v>
      </x:c>
      <x:c r="AP424" s="22" t="n">
        <x:f>MAX(0,MIN('Activities'!L424,228)-MAX('Activities'!K424,222))</x:f>
        <x:v>0</x:v>
      </x:c>
      <x:c r="AQ424" s="22" t="n">
        <x:f>MAX(0,MIN('Activities'!L424,234)-MAX('Activities'!K424,228))</x:f>
        <x:v>0</x:v>
      </x:c>
      <x:c r="AR424" s="22" t="n">
        <x:f>MAX(0,MIN('Activities'!L424,240)-MAX('Activities'!K424,234))</x:f>
        <x:v>0</x:v>
      </x:c>
      <x:c r="AS424" s="22" t="n">
        <x:f>MAX(0,MIN('Activities'!L424,246)-MAX('Activities'!K424,240))</x:f>
        <x:v>0</x:v>
      </x:c>
      <x:c r="AT424" s="22" t="n">
        <x:f>MAX(0,MIN('Activities'!L424,252)-MAX('Activities'!K424,246))</x:f>
        <x:v>0</x:v>
      </x:c>
      <x:c r="AU424" s="22" t="n">
        <x:f>MAX(0,MIN('Activities'!L424,258)-MAX('Activities'!K424,252))</x:f>
        <x:v>0</x:v>
      </x:c>
      <x:c r="AV424" s="22" t="n">
        <x:f>MAX(0,MIN('Activities'!L424,264)-MAX('Activities'!K424,258))</x:f>
        <x:v>0</x:v>
      </x:c>
      <x:c r="AW424" s="22" t="n">
        <x:f>MAX(0,MIN('Activities'!L424,270)-MAX('Activities'!K424,264))</x:f>
        <x:v>0</x:v>
      </x:c>
      <x:c r="AX424" s="22" t="n">
        <x:f>MAX(0,MIN('Activities'!L424,276)-MAX('Activities'!K424,270))</x:f>
        <x:v>0</x:v>
      </x:c>
      <x:c r="AY424" s="22" t="n">
        <x:f>MAX(0,MIN('Activities'!L424,282)-MAX('Activities'!K424,276))</x:f>
        <x:v>0</x:v>
      </x:c>
      <x:c r="AZ424" s="22" t="n">
        <x:f>MAX(0,MIN('Activities'!L424,288)-MAX('Activities'!K424,282))</x:f>
        <x:v>0</x:v>
      </x:c>
      <x:c r="BA424" s="22" t="n">
        <x:f>MAX(0,MIN('Activities'!L424,294)-MAX('Activities'!K424,288))</x:f>
        <x:v>0</x:v>
      </x:c>
      <x:c r="BB424" s="22" t="n">
        <x:f>MAX(0,MIN('Activities'!L424,300)-MAX('Activities'!K424,294))</x:f>
        <x:v>0</x:v>
      </x:c>
      <x:c r="BC424" s="22" t="n">
        <x:f>MAX(0,MIN('Activities'!L424,306)-MAX('Activities'!K424,300))</x:f>
        <x:v>0</x:v>
      </x:c>
      <x:c r="BD424" s="22" t="n">
        <x:f>MAX(0,MIN('Activities'!L424,312)-MAX('Activities'!K424,306))</x:f>
        <x:v>0</x:v>
      </x:c>
      <x:c r="BE424" s="22" t="n">
        <x:f>MAX(0,MIN('Activities'!L424,318)-MAX('Activities'!K424,312))</x:f>
        <x:v>0</x:v>
      </x:c>
      <x:c r="BF424" s="22" t="n">
        <x:f>MAX(0,MIN('Activities'!L424,324)-MAX('Activities'!K424,318))</x:f>
        <x:v>0</x:v>
      </x:c>
      <x:c r="BG424" s="22" t="n">
        <x:f>MAX(0,MIN('Activities'!L424,330)-MAX('Activities'!K424,324))</x:f>
        <x:v>0</x:v>
      </x:c>
      <x:c r="BH424" s="22" t="n">
        <x:f>MAX(0,MIN('Activities'!L424,336)-MAX('Activities'!K424,330))</x:f>
        <x:v>0</x:v>
      </x:c>
      <x:c r="BI424" s="22" t="n">
        <x:f>MAX(0,MIN('Activities'!L424,342)-MAX('Activities'!K424,336))</x:f>
        <x:v>0</x:v>
      </x:c>
      <x:c r="BJ424" s="22" t="n">
        <x:f>MAX(0,MIN('Activities'!L424,348)-MAX('Activities'!K424,342))</x:f>
        <x:v>0</x:v>
      </x:c>
      <x:c r="BK424" s="22" t="n">
        <x:f>MAX(0,MIN('Activities'!L424,354)-MAX('Activities'!K424,348))</x:f>
        <x:v>0</x:v>
      </x:c>
      <x:c r="BL424" s="22" t="n">
        <x:f>MAX(0,MIN('Activities'!L424,360)-MAX('Activities'!K424,354))</x:f>
        <x:v>0</x:v>
      </x:c>
      <x:c r="BM424" s="22" t="n">
        <x:f>MAX(0,MIN('Activities'!L424,366)-MAX('Activities'!K424,360))</x:f>
        <x:v>0</x:v>
      </x:c>
      <x:c r="BN424" s="22" t="n">
        <x:f>MAX(0,MIN('Activities'!L424,372)-MAX('Activities'!K424,366))</x:f>
        <x:v>0</x:v>
      </x:c>
      <x:c r="BO424" s="22" t="n">
        <x:f>MAX(0,MIN('Activities'!L424,378)-MAX('Activities'!K424,372))</x:f>
        <x:v>0</x:v>
      </x:c>
      <x:c r="BP424" s="22" t="n">
        <x:f>MAX(0,MIN('Activities'!L424,384)-MAX('Activities'!K424,378))</x:f>
        <x:v>0</x:v>
      </x:c>
      <x:c r="BQ424" s="22" t="n">
        <x:f>MAX(0,MIN('Activities'!L424,390)-MAX('Activities'!K424,384))</x:f>
        <x:v>0</x:v>
      </x:c>
      <x:c r="BR424" s="22" t="n">
        <x:f>MAX(0,MIN('Activities'!L424,396)-MAX('Activities'!K424,390))</x:f>
        <x:v>0</x:v>
      </x:c>
      <x:c r="BS424" s="22" t="n">
        <x:f>MAX(0,MIN('Activities'!L424,402)-MAX('Activities'!K424,396))</x:f>
        <x:v>0</x:v>
      </x:c>
      <x:c r="BT424" s="22" t="n">
        <x:f>MAX(0,MIN('Activities'!L424,408)-MAX('Activities'!K424,402))</x:f>
        <x:v>0</x:v>
      </x:c>
      <x:c r="BU424" s="22" t="n">
        <x:f>MAX(0,MIN('Activities'!L424,414)-MAX('Activities'!K424,408))</x:f>
        <x:v>0</x:v>
      </x:c>
      <x:c r="BV424" s="22" t="n">
        <x:f>MAX(0,MIN('Activities'!L424,420)-MAX('Activities'!K424,414))</x:f>
        <x:v>0</x:v>
      </x:c>
      <x:c r="BW424" s="22" t="n">
        <x:f>MAX(0,MIN('Activities'!L424,426)-MAX('Activities'!K424,420))</x:f>
        <x:v>0</x:v>
      </x:c>
      <x:c r="BX424" s="22" t="n">
        <x:f>MAX(0,MIN('Activities'!L424,432)-MAX('Activities'!K424,426))</x:f>
        <x:v>0</x:v>
      </x:c>
      <x:c r="BY424" s="22" t="n">
        <x:f>MAX(0,MIN('Activities'!L424,438)-MAX('Activities'!K424,432))</x:f>
        <x:v>0</x:v>
      </x:c>
      <x:c r="BZ424" s="22" t="n">
        <x:f>MAX(0,MIN('Activities'!L424,444)-MAX('Activities'!K424,438))</x:f>
        <x:v>0</x:v>
      </x:c>
      <x:c r="CA424" s="22" t="n">
        <x:f>MAX(0,MIN('Activities'!L424,450)-MAX('Activities'!K424,444))</x:f>
        <x:v>0</x:v>
      </x:c>
      <x:c r="CB424" s="22" t="n">
        <x:f>MAX(0,MIN('Activities'!L424,456)-MAX('Activities'!K424,450))</x:f>
        <x:v>0</x:v>
      </x:c>
      <x:c r="CC424" s="22" t="n">
        <x:f>MAX(0,MIN('Activities'!L424,462)-MAX('Activities'!K424,456))</x:f>
        <x:v>0</x:v>
      </x:c>
      <x:c r="CD424" s="22" t="n">
        <x:f>MAX(0,MIN('Activities'!L424,468)-MAX('Activities'!K424,462))</x:f>
        <x:v>0</x:v>
      </x:c>
      <x:c r="CE424" s="22" t="n">
        <x:f>MAX(0,MIN('Activities'!L424,474)-MAX('Activities'!K424,468))</x:f>
        <x:v>0</x:v>
      </x:c>
      <x:c r="CF424" s="22" t="n">
        <x:f>MAX(0,MIN('Activities'!L424,480)-MAX('Activities'!K424,474))</x:f>
        <x:v>0</x:v>
      </x:c>
      <x:c r="CG424" s="22" t="n">
        <x:f>MAX(0,MIN('Activities'!L424,486)-MAX('Activities'!K424,480))</x:f>
        <x:v>0</x:v>
      </x:c>
      <x:c r="CH424" s="22" t="n">
        <x:f>MAX(0,MIN('Activities'!L424,492)-MAX('Activities'!K424,486))</x:f>
        <x:v>0</x:v>
      </x:c>
      <x:c r="CI424" s="22" t="n">
        <x:f>MAX(0,MIN('Activities'!L424,498)-MAX('Activities'!K424,492))</x:f>
        <x:v>0</x:v>
      </x:c>
      <x:c r="CJ424" s="22" t="n">
        <x:f>MAX(0,MIN('Activities'!L424,504)-MAX('Activities'!K424,498))</x:f>
        <x:v>0</x:v>
      </x:c>
      <x:c r="CK424" s="22" t="n">
        <x:f>MAX(0,MIN('Activities'!L424,510)-MAX('Activities'!K424,504))</x:f>
        <x:v>0</x:v>
      </x:c>
      <x:c r="CL424" s="22" t="n">
        <x:f>MAX(0,MIN('Activities'!L424,516)-MAX('Activities'!K424,510))</x:f>
        <x:v>0</x:v>
      </x:c>
      <x:c r="CM424" s="22" t="n">
        <x:f>MAX(0,MIN('Activities'!L424,522)-MAX('Activities'!K424,516))</x:f>
        <x:v>0</x:v>
      </x:c>
      <x:c r="CN424" s="22" t="n">
        <x:f>MAX(0,MIN('Activities'!L424,528)-MAX('Activities'!K424,522))</x:f>
        <x:v>0</x:v>
      </x:c>
      <x:c r="CO424" s="22" t="n">
        <x:f>MAX(0,MIN('Activities'!L424,534)-MAX('Activities'!K424,528))</x:f>
        <x:v>0</x:v>
      </x:c>
      <x:c r="CP424" s="22" t="n">
        <x:f>MAX(0,MIN('Activities'!L424,540)-MAX('Activities'!K424,534))</x:f>
        <x:v>0</x:v>
      </x:c>
      <x:c r="CQ424" s="22" t="n">
        <x:f>MAX(0,MIN('Activities'!L424,546)-MAX('Activities'!K424,540))</x:f>
        <x:v>0</x:v>
      </x:c>
      <x:c r="CR424" s="22" t="n">
        <x:f>MAX(0,MIN('Activities'!L424,552)-MAX('Activities'!K424,546))</x:f>
        <x:v>0</x:v>
      </x:c>
      <x:c r="CS424" s="22" t="n">
        <x:f>MAX(0,MIN('Activities'!L424,558)-MAX('Activities'!K424,552))</x:f>
        <x:v>0</x:v>
      </x:c>
      <x:c r="CT424" s="22" t="n">
        <x:f>MAX(0,MIN('Activities'!L424,564)-MAX('Activities'!K424,558))</x:f>
        <x:v>0</x:v>
      </x:c>
      <x:c r="CU424" s="22" t="n">
        <x:f>MAX(0,MIN('Activities'!L424,570)-MAX('Activities'!K424,564))</x:f>
        <x:v>0</x:v>
      </x:c>
      <x:c r="CV424" s="22" t="n">
        <x:f>MAX(0,MIN('Activities'!L424,576)-MAX('Activities'!K424,570))</x:f>
        <x:v>0</x:v>
      </x:c>
      <x:c r="CW424" s="22" t="n">
        <x:f>MAX(0,MIN('Activities'!L424,582)-MAX('Activities'!K424,576))</x:f>
        <x:v>0</x:v>
      </x:c>
      <x:c r="CX424" s="22" t="n">
        <x:f>MAX(0,MIN('Activities'!L424,588)-MAX('Activities'!K424,582))</x:f>
        <x:v>0</x:v>
      </x:c>
      <x:c r="CY424" s="22" t="n">
        <x:f>MAX(0,MIN('Activities'!L424,594)-MAX('Activities'!K424,588))</x:f>
        <x:v>0</x:v>
      </x:c>
      <x:c r="CZ424" s="22" t="n">
        <x:f>MAX(0,MIN('Activities'!L424,600)-MAX('Activities'!K424,594))</x:f>
        <x:v>0</x:v>
      </x:c>
      <x:c r="DA424" s="22" t="n">
        <x:f>MAX(0,MIN('Activities'!L424,606)-MAX('Activities'!K424,600))</x:f>
        <x:v>0</x:v>
      </x:c>
      <x:c r="DB424" s="22" t="n">
        <x:f>MAX(0,MIN('Activities'!L424,612)-MAX('Activities'!K424,606))</x:f>
        <x:v>0</x:v>
      </x:c>
      <x:c r="DC424" s="22" t="n">
        <x:f>MAX(0,MIN('Activities'!L424,618)-MAX('Activities'!K424,612))</x:f>
        <x:v>0</x:v>
      </x:c>
      <x:c r="DD424" s="22" t="n">
        <x:f>MAX(0,MIN('Activities'!L424,624)-MAX('Activities'!K424,618))</x:f>
        <x:v>0</x:v>
      </x:c>
      <x:c r="DE424" s="22" t="n">
        <x:f>MAX(0,MIN('Activities'!L424,630)-MAX('Activities'!K424,624))</x:f>
        <x:v>0</x:v>
      </x:c>
      <x:c r="DF424" s="22" t="n">
        <x:f>MAX(0,MIN('Activities'!L424,636)-MAX('Activities'!K424,630))</x:f>
        <x:v>0</x:v>
      </x:c>
    </x:row>
    <x:row r="425" ht="23" customHeight="1">
      <x:c r="A425" s="1" t="str">
        <x:v>T4-L02-C</x:v>
      </x:c>
      <x:c r="B425" s="1" t="str">
        <x:v>T4</x:v>
      </x:c>
      <x:c r="C425" s="1" t="str">
        <x:v>Concrete placement and finishing</x:v>
      </x:c>
      <x:c r="D425" s="1" t="str">
        <x:v>Concrete</x:v>
      </x:c>
      <x:c r="E425" s="23" t="n">
        <x:f>MAX(0,MIN('Activities'!L425,6)-MAX('Activities'!K425,0))</x:f>
        <x:v>0</x:v>
      </x:c>
      <x:c r="F425" s="23" t="n">
        <x:f>MAX(0,MIN('Activities'!L425,12)-MAX('Activities'!K425,6))</x:f>
        <x:v>0</x:v>
      </x:c>
      <x:c r="G425" s="23" t="n">
        <x:f>MAX(0,MIN('Activities'!L425,18)-MAX('Activities'!K425,12))</x:f>
        <x:v>0</x:v>
      </x:c>
      <x:c r="H425" s="23" t="n">
        <x:f>MAX(0,MIN('Activities'!L425,24)-MAX('Activities'!K425,18))</x:f>
        <x:v>0</x:v>
      </x:c>
      <x:c r="I425" s="23" t="n">
        <x:f>MAX(0,MIN('Activities'!L425,30)-MAX('Activities'!K425,24))</x:f>
        <x:v>0</x:v>
      </x:c>
      <x:c r="J425" s="23" t="n">
        <x:f>MAX(0,MIN('Activities'!L425,36)-MAX('Activities'!K425,30))</x:f>
        <x:v>0</x:v>
      </x:c>
      <x:c r="K425" s="23" t="n">
        <x:f>MAX(0,MIN('Activities'!L425,42)-MAX('Activities'!K425,36))</x:f>
        <x:v>0</x:v>
      </x:c>
      <x:c r="L425" s="23" t="n">
        <x:f>MAX(0,MIN('Activities'!L425,48)-MAX('Activities'!K425,42))</x:f>
        <x:v>0</x:v>
      </x:c>
      <x:c r="M425" s="23" t="n">
        <x:f>MAX(0,MIN('Activities'!L425,54)-MAX('Activities'!K425,48))</x:f>
        <x:v>0</x:v>
      </x:c>
      <x:c r="N425" s="23" t="n">
        <x:f>MAX(0,MIN('Activities'!L425,60)-MAX('Activities'!K425,54))</x:f>
        <x:v>0</x:v>
      </x:c>
      <x:c r="O425" s="23" t="n">
        <x:f>MAX(0,MIN('Activities'!L425,66)-MAX('Activities'!K425,60))</x:f>
        <x:v>0</x:v>
      </x:c>
      <x:c r="P425" s="23" t="n">
        <x:f>MAX(0,MIN('Activities'!L425,72)-MAX('Activities'!K425,66))</x:f>
        <x:v>0</x:v>
      </x:c>
      <x:c r="Q425" s="23" t="n">
        <x:f>MAX(0,MIN('Activities'!L425,78)-MAX('Activities'!K425,72))</x:f>
        <x:v>0</x:v>
      </x:c>
      <x:c r="R425" s="23" t="n">
        <x:f>MAX(0,MIN('Activities'!L425,84)-MAX('Activities'!K425,78))</x:f>
        <x:v>0</x:v>
      </x:c>
      <x:c r="S425" s="23" t="n">
        <x:f>MAX(0,MIN('Activities'!L425,90)-MAX('Activities'!K425,84))</x:f>
        <x:v>0</x:v>
      </x:c>
      <x:c r="T425" s="23" t="n">
        <x:f>MAX(0,MIN('Activities'!L425,96)-MAX('Activities'!K425,90))</x:f>
        <x:v>0</x:v>
      </x:c>
      <x:c r="U425" s="23" t="n">
        <x:f>MAX(0,MIN('Activities'!L425,102)-MAX('Activities'!K425,96))</x:f>
        <x:v>0</x:v>
      </x:c>
      <x:c r="V425" s="23" t="n">
        <x:f>MAX(0,MIN('Activities'!L425,108)-MAX('Activities'!K425,102))</x:f>
        <x:v>0</x:v>
      </x:c>
      <x:c r="W425" s="23" t="n">
        <x:f>MAX(0,MIN('Activities'!L425,114)-MAX('Activities'!K425,108))</x:f>
        <x:v>0</x:v>
      </x:c>
      <x:c r="X425" s="23" t="n">
        <x:f>MAX(0,MIN('Activities'!L425,120)-MAX('Activities'!K425,114))</x:f>
        <x:v>0</x:v>
      </x:c>
      <x:c r="Y425" s="23" t="n">
        <x:f>MAX(0,MIN('Activities'!L425,126)-MAX('Activities'!K425,120))</x:f>
        <x:v>0</x:v>
      </x:c>
      <x:c r="Z425" s="23" t="n">
        <x:f>MAX(0,MIN('Activities'!L425,132)-MAX('Activities'!K425,126))</x:f>
        <x:v>0</x:v>
      </x:c>
      <x:c r="AA425" s="23" t="n">
        <x:f>MAX(0,MIN('Activities'!L425,138)-MAX('Activities'!K425,132))</x:f>
        <x:v>0</x:v>
      </x:c>
      <x:c r="AB425" s="23" t="n">
        <x:f>MAX(0,MIN('Activities'!L425,144)-MAX('Activities'!K425,138))</x:f>
        <x:v>0</x:v>
      </x:c>
      <x:c r="AC425" s="23" t="n">
        <x:f>MAX(0,MIN('Activities'!L425,150)-MAX('Activities'!K425,144))</x:f>
        <x:v>0</x:v>
      </x:c>
      <x:c r="AD425" s="23" t="n">
        <x:f>MAX(0,MIN('Activities'!L425,156)-MAX('Activities'!K425,150))</x:f>
        <x:v>0</x:v>
      </x:c>
      <x:c r="AE425" s="23" t="n">
        <x:f>MAX(0,MIN('Activities'!L425,162)-MAX('Activities'!K425,156))</x:f>
        <x:v>0</x:v>
      </x:c>
      <x:c r="AF425" s="23" t="n">
        <x:f>MAX(0,MIN('Activities'!L425,168)-MAX('Activities'!K425,162))</x:f>
        <x:v>0</x:v>
      </x:c>
      <x:c r="AG425" s="23" t="n">
        <x:f>MAX(0,MIN('Activities'!L425,174)-MAX('Activities'!K425,168))</x:f>
        <x:v>0</x:v>
      </x:c>
      <x:c r="AH425" s="23" t="n">
        <x:f>MAX(0,MIN('Activities'!L425,180)-MAX('Activities'!K425,174))</x:f>
        <x:v>0</x:v>
      </x:c>
      <x:c r="AI425" s="23" t="n">
        <x:f>MAX(0,MIN('Activities'!L425,186)-MAX('Activities'!K425,180))</x:f>
        <x:v>0</x:v>
      </x:c>
      <x:c r="AJ425" s="23" t="n">
        <x:f>MAX(0,MIN('Activities'!L425,192)-MAX('Activities'!K425,186))</x:f>
        <x:v>0</x:v>
      </x:c>
      <x:c r="AK425" s="23" t="n">
        <x:f>MAX(0,MIN('Activities'!L425,198)-MAX('Activities'!K425,192))</x:f>
        <x:v>0</x:v>
      </x:c>
      <x:c r="AL425" s="23" t="n">
        <x:f>MAX(0,MIN('Activities'!L425,204)-MAX('Activities'!K425,198))</x:f>
        <x:v>0</x:v>
      </x:c>
      <x:c r="AM425" s="23" t="n">
        <x:f>MAX(0,MIN('Activities'!L425,210)-MAX('Activities'!K425,204))</x:f>
        <x:v>0</x:v>
      </x:c>
      <x:c r="AN425" s="23" t="n">
        <x:f>MAX(0,MIN('Activities'!L425,216)-MAX('Activities'!K425,210))</x:f>
        <x:v>0</x:v>
      </x:c>
      <x:c r="AO425" s="23" t="n">
        <x:f>MAX(0,MIN('Activities'!L425,222)-MAX('Activities'!K425,216))</x:f>
        <x:v>2</x:v>
      </x:c>
      <x:c r="AP425" s="23" t="n">
        <x:f>MAX(0,MIN('Activities'!L425,228)-MAX('Activities'!K425,222))</x:f>
        <x:v>0</x:v>
      </x:c>
      <x:c r="AQ425" s="23" t="n">
        <x:f>MAX(0,MIN('Activities'!L425,234)-MAX('Activities'!K425,228))</x:f>
        <x:v>0</x:v>
      </x:c>
      <x:c r="AR425" s="23" t="n">
        <x:f>MAX(0,MIN('Activities'!L425,240)-MAX('Activities'!K425,234))</x:f>
        <x:v>0</x:v>
      </x:c>
      <x:c r="AS425" s="23" t="n">
        <x:f>MAX(0,MIN('Activities'!L425,246)-MAX('Activities'!K425,240))</x:f>
        <x:v>0</x:v>
      </x:c>
      <x:c r="AT425" s="23" t="n">
        <x:f>MAX(0,MIN('Activities'!L425,252)-MAX('Activities'!K425,246))</x:f>
        <x:v>0</x:v>
      </x:c>
      <x:c r="AU425" s="23" t="n">
        <x:f>MAX(0,MIN('Activities'!L425,258)-MAX('Activities'!K425,252))</x:f>
        <x:v>0</x:v>
      </x:c>
      <x:c r="AV425" s="23" t="n">
        <x:f>MAX(0,MIN('Activities'!L425,264)-MAX('Activities'!K425,258))</x:f>
        <x:v>0</x:v>
      </x:c>
      <x:c r="AW425" s="23" t="n">
        <x:f>MAX(0,MIN('Activities'!L425,270)-MAX('Activities'!K425,264))</x:f>
        <x:v>0</x:v>
      </x:c>
      <x:c r="AX425" s="23" t="n">
        <x:f>MAX(0,MIN('Activities'!L425,276)-MAX('Activities'!K425,270))</x:f>
        <x:v>0</x:v>
      </x:c>
      <x:c r="AY425" s="23" t="n">
        <x:f>MAX(0,MIN('Activities'!L425,282)-MAX('Activities'!K425,276))</x:f>
        <x:v>0</x:v>
      </x:c>
      <x:c r="AZ425" s="23" t="n">
        <x:f>MAX(0,MIN('Activities'!L425,288)-MAX('Activities'!K425,282))</x:f>
        <x:v>0</x:v>
      </x:c>
      <x:c r="BA425" s="23" t="n">
        <x:f>MAX(0,MIN('Activities'!L425,294)-MAX('Activities'!K425,288))</x:f>
        <x:v>0</x:v>
      </x:c>
      <x:c r="BB425" s="23" t="n">
        <x:f>MAX(0,MIN('Activities'!L425,300)-MAX('Activities'!K425,294))</x:f>
        <x:v>0</x:v>
      </x:c>
      <x:c r="BC425" s="23" t="n">
        <x:f>MAX(0,MIN('Activities'!L425,306)-MAX('Activities'!K425,300))</x:f>
        <x:v>0</x:v>
      </x:c>
      <x:c r="BD425" s="23" t="n">
        <x:f>MAX(0,MIN('Activities'!L425,312)-MAX('Activities'!K425,306))</x:f>
        <x:v>0</x:v>
      </x:c>
      <x:c r="BE425" s="23" t="n">
        <x:f>MAX(0,MIN('Activities'!L425,318)-MAX('Activities'!K425,312))</x:f>
        <x:v>0</x:v>
      </x:c>
      <x:c r="BF425" s="23" t="n">
        <x:f>MAX(0,MIN('Activities'!L425,324)-MAX('Activities'!K425,318))</x:f>
        <x:v>0</x:v>
      </x:c>
      <x:c r="BG425" s="23" t="n">
        <x:f>MAX(0,MIN('Activities'!L425,330)-MAX('Activities'!K425,324))</x:f>
        <x:v>0</x:v>
      </x:c>
      <x:c r="BH425" s="23" t="n">
        <x:f>MAX(0,MIN('Activities'!L425,336)-MAX('Activities'!K425,330))</x:f>
        <x:v>0</x:v>
      </x:c>
      <x:c r="BI425" s="23" t="n">
        <x:f>MAX(0,MIN('Activities'!L425,342)-MAX('Activities'!K425,336))</x:f>
        <x:v>0</x:v>
      </x:c>
      <x:c r="BJ425" s="23" t="n">
        <x:f>MAX(0,MIN('Activities'!L425,348)-MAX('Activities'!K425,342))</x:f>
        <x:v>0</x:v>
      </x:c>
      <x:c r="BK425" s="23" t="n">
        <x:f>MAX(0,MIN('Activities'!L425,354)-MAX('Activities'!K425,348))</x:f>
        <x:v>0</x:v>
      </x:c>
      <x:c r="BL425" s="23" t="n">
        <x:f>MAX(0,MIN('Activities'!L425,360)-MAX('Activities'!K425,354))</x:f>
        <x:v>0</x:v>
      </x:c>
      <x:c r="BM425" s="23" t="n">
        <x:f>MAX(0,MIN('Activities'!L425,366)-MAX('Activities'!K425,360))</x:f>
        <x:v>0</x:v>
      </x:c>
      <x:c r="BN425" s="23" t="n">
        <x:f>MAX(0,MIN('Activities'!L425,372)-MAX('Activities'!K425,366))</x:f>
        <x:v>0</x:v>
      </x:c>
      <x:c r="BO425" s="23" t="n">
        <x:f>MAX(0,MIN('Activities'!L425,378)-MAX('Activities'!K425,372))</x:f>
        <x:v>0</x:v>
      </x:c>
      <x:c r="BP425" s="23" t="n">
        <x:f>MAX(0,MIN('Activities'!L425,384)-MAX('Activities'!K425,378))</x:f>
        <x:v>0</x:v>
      </x:c>
      <x:c r="BQ425" s="23" t="n">
        <x:f>MAX(0,MIN('Activities'!L425,390)-MAX('Activities'!K425,384))</x:f>
        <x:v>0</x:v>
      </x:c>
      <x:c r="BR425" s="23" t="n">
        <x:f>MAX(0,MIN('Activities'!L425,396)-MAX('Activities'!K425,390))</x:f>
        <x:v>0</x:v>
      </x:c>
      <x:c r="BS425" s="23" t="n">
        <x:f>MAX(0,MIN('Activities'!L425,402)-MAX('Activities'!K425,396))</x:f>
        <x:v>0</x:v>
      </x:c>
      <x:c r="BT425" s="23" t="n">
        <x:f>MAX(0,MIN('Activities'!L425,408)-MAX('Activities'!K425,402))</x:f>
        <x:v>0</x:v>
      </x:c>
      <x:c r="BU425" s="23" t="n">
        <x:f>MAX(0,MIN('Activities'!L425,414)-MAX('Activities'!K425,408))</x:f>
        <x:v>0</x:v>
      </x:c>
      <x:c r="BV425" s="23" t="n">
        <x:f>MAX(0,MIN('Activities'!L425,420)-MAX('Activities'!K425,414))</x:f>
        <x:v>0</x:v>
      </x:c>
      <x:c r="BW425" s="23" t="n">
        <x:f>MAX(0,MIN('Activities'!L425,426)-MAX('Activities'!K425,420))</x:f>
        <x:v>0</x:v>
      </x:c>
      <x:c r="BX425" s="23" t="n">
        <x:f>MAX(0,MIN('Activities'!L425,432)-MAX('Activities'!K425,426))</x:f>
        <x:v>0</x:v>
      </x:c>
      <x:c r="BY425" s="23" t="n">
        <x:f>MAX(0,MIN('Activities'!L425,438)-MAX('Activities'!K425,432))</x:f>
        <x:v>0</x:v>
      </x:c>
      <x:c r="BZ425" s="23" t="n">
        <x:f>MAX(0,MIN('Activities'!L425,444)-MAX('Activities'!K425,438))</x:f>
        <x:v>0</x:v>
      </x:c>
      <x:c r="CA425" s="23" t="n">
        <x:f>MAX(0,MIN('Activities'!L425,450)-MAX('Activities'!K425,444))</x:f>
        <x:v>0</x:v>
      </x:c>
      <x:c r="CB425" s="23" t="n">
        <x:f>MAX(0,MIN('Activities'!L425,456)-MAX('Activities'!K425,450))</x:f>
        <x:v>0</x:v>
      </x:c>
      <x:c r="CC425" s="23" t="n">
        <x:f>MAX(0,MIN('Activities'!L425,462)-MAX('Activities'!K425,456))</x:f>
        <x:v>0</x:v>
      </x:c>
      <x:c r="CD425" s="23" t="n">
        <x:f>MAX(0,MIN('Activities'!L425,468)-MAX('Activities'!K425,462))</x:f>
        <x:v>0</x:v>
      </x:c>
      <x:c r="CE425" s="23" t="n">
        <x:f>MAX(0,MIN('Activities'!L425,474)-MAX('Activities'!K425,468))</x:f>
        <x:v>0</x:v>
      </x:c>
      <x:c r="CF425" s="23" t="n">
        <x:f>MAX(0,MIN('Activities'!L425,480)-MAX('Activities'!K425,474))</x:f>
        <x:v>0</x:v>
      </x:c>
      <x:c r="CG425" s="23" t="n">
        <x:f>MAX(0,MIN('Activities'!L425,486)-MAX('Activities'!K425,480))</x:f>
        <x:v>0</x:v>
      </x:c>
      <x:c r="CH425" s="23" t="n">
        <x:f>MAX(0,MIN('Activities'!L425,492)-MAX('Activities'!K425,486))</x:f>
        <x:v>0</x:v>
      </x:c>
      <x:c r="CI425" s="23" t="n">
        <x:f>MAX(0,MIN('Activities'!L425,498)-MAX('Activities'!K425,492))</x:f>
        <x:v>0</x:v>
      </x:c>
      <x:c r="CJ425" s="23" t="n">
        <x:f>MAX(0,MIN('Activities'!L425,504)-MAX('Activities'!K425,498))</x:f>
        <x:v>0</x:v>
      </x:c>
      <x:c r="CK425" s="23" t="n">
        <x:f>MAX(0,MIN('Activities'!L425,510)-MAX('Activities'!K425,504))</x:f>
        <x:v>0</x:v>
      </x:c>
      <x:c r="CL425" s="23" t="n">
        <x:f>MAX(0,MIN('Activities'!L425,516)-MAX('Activities'!K425,510))</x:f>
        <x:v>0</x:v>
      </x:c>
      <x:c r="CM425" s="23" t="n">
        <x:f>MAX(0,MIN('Activities'!L425,522)-MAX('Activities'!K425,516))</x:f>
        <x:v>0</x:v>
      </x:c>
      <x:c r="CN425" s="23" t="n">
        <x:f>MAX(0,MIN('Activities'!L425,528)-MAX('Activities'!K425,522))</x:f>
        <x:v>0</x:v>
      </x:c>
      <x:c r="CO425" s="23" t="n">
        <x:f>MAX(0,MIN('Activities'!L425,534)-MAX('Activities'!K425,528))</x:f>
        <x:v>0</x:v>
      </x:c>
      <x:c r="CP425" s="23" t="n">
        <x:f>MAX(0,MIN('Activities'!L425,540)-MAX('Activities'!K425,534))</x:f>
        <x:v>0</x:v>
      </x:c>
      <x:c r="CQ425" s="23" t="n">
        <x:f>MAX(0,MIN('Activities'!L425,546)-MAX('Activities'!K425,540))</x:f>
        <x:v>0</x:v>
      </x:c>
      <x:c r="CR425" s="23" t="n">
        <x:f>MAX(0,MIN('Activities'!L425,552)-MAX('Activities'!K425,546))</x:f>
        <x:v>0</x:v>
      </x:c>
      <x:c r="CS425" s="23" t="n">
        <x:f>MAX(0,MIN('Activities'!L425,558)-MAX('Activities'!K425,552))</x:f>
        <x:v>0</x:v>
      </x:c>
      <x:c r="CT425" s="23" t="n">
        <x:f>MAX(0,MIN('Activities'!L425,564)-MAX('Activities'!K425,558))</x:f>
        <x:v>0</x:v>
      </x:c>
      <x:c r="CU425" s="23" t="n">
        <x:f>MAX(0,MIN('Activities'!L425,570)-MAX('Activities'!K425,564))</x:f>
        <x:v>0</x:v>
      </x:c>
      <x:c r="CV425" s="23" t="n">
        <x:f>MAX(0,MIN('Activities'!L425,576)-MAX('Activities'!K425,570))</x:f>
        <x:v>0</x:v>
      </x:c>
      <x:c r="CW425" s="23" t="n">
        <x:f>MAX(0,MIN('Activities'!L425,582)-MAX('Activities'!K425,576))</x:f>
        <x:v>0</x:v>
      </x:c>
      <x:c r="CX425" s="23" t="n">
        <x:f>MAX(0,MIN('Activities'!L425,588)-MAX('Activities'!K425,582))</x:f>
        <x:v>0</x:v>
      </x:c>
      <x:c r="CY425" s="23" t="n">
        <x:f>MAX(0,MIN('Activities'!L425,594)-MAX('Activities'!K425,588))</x:f>
        <x:v>0</x:v>
      </x:c>
      <x:c r="CZ425" s="23" t="n">
        <x:f>MAX(0,MIN('Activities'!L425,600)-MAX('Activities'!K425,594))</x:f>
        <x:v>0</x:v>
      </x:c>
      <x:c r="DA425" s="23" t="n">
        <x:f>MAX(0,MIN('Activities'!L425,606)-MAX('Activities'!K425,600))</x:f>
        <x:v>0</x:v>
      </x:c>
      <x:c r="DB425" s="23" t="n">
        <x:f>MAX(0,MIN('Activities'!L425,612)-MAX('Activities'!K425,606))</x:f>
        <x:v>0</x:v>
      </x:c>
      <x:c r="DC425" s="23" t="n">
        <x:f>MAX(0,MIN('Activities'!L425,618)-MAX('Activities'!K425,612))</x:f>
        <x:v>0</x:v>
      </x:c>
      <x:c r="DD425" s="23" t="n">
        <x:f>MAX(0,MIN('Activities'!L425,624)-MAX('Activities'!K425,618))</x:f>
        <x:v>0</x:v>
      </x:c>
      <x:c r="DE425" s="23" t="n">
        <x:f>MAX(0,MIN('Activities'!L425,630)-MAX('Activities'!K425,624))</x:f>
        <x:v>0</x:v>
      </x:c>
      <x:c r="DF425" s="23" t="n">
        <x:f>MAX(0,MIN('Activities'!L425,636)-MAX('Activities'!K425,630))</x:f>
        <x:v>0</x:v>
      </x:c>
    </x:row>
    <x:row r="426" ht="23" customHeight="1">
      <x:c r="A426" s="6" t="str">
        <x:v>T4-L02-H</x:v>
      </x:c>
      <x:c r="B426" s="6" t="str">
        <x:v>T4</x:v>
      </x:c>
      <x:c r="C426" s="6" t="str">
        <x:v>Curing and release hold point</x:v>
      </x:c>
      <x:c r="D426" s="6" t="str">
        <x:v>Site</x:v>
      </x:c>
      <x:c r="E426" s="22" t="n">
        <x:f>MAX(0,MIN('Activities'!L426,6)-MAX('Activities'!K426,0))</x:f>
        <x:v>0</x:v>
      </x:c>
      <x:c r="F426" s="22" t="n">
        <x:f>MAX(0,MIN('Activities'!L426,12)-MAX('Activities'!K426,6))</x:f>
        <x:v>0</x:v>
      </x:c>
      <x:c r="G426" s="22" t="n">
        <x:f>MAX(0,MIN('Activities'!L426,18)-MAX('Activities'!K426,12))</x:f>
        <x:v>0</x:v>
      </x:c>
      <x:c r="H426" s="22" t="n">
        <x:f>MAX(0,MIN('Activities'!L426,24)-MAX('Activities'!K426,18))</x:f>
        <x:v>0</x:v>
      </x:c>
      <x:c r="I426" s="22" t="n">
        <x:f>MAX(0,MIN('Activities'!L426,30)-MAX('Activities'!K426,24))</x:f>
        <x:v>0</x:v>
      </x:c>
      <x:c r="J426" s="22" t="n">
        <x:f>MAX(0,MIN('Activities'!L426,36)-MAX('Activities'!K426,30))</x:f>
        <x:v>0</x:v>
      </x:c>
      <x:c r="K426" s="22" t="n">
        <x:f>MAX(0,MIN('Activities'!L426,42)-MAX('Activities'!K426,36))</x:f>
        <x:v>0</x:v>
      </x:c>
      <x:c r="L426" s="22" t="n">
        <x:f>MAX(0,MIN('Activities'!L426,48)-MAX('Activities'!K426,42))</x:f>
        <x:v>0</x:v>
      </x:c>
      <x:c r="M426" s="22" t="n">
        <x:f>MAX(0,MIN('Activities'!L426,54)-MAX('Activities'!K426,48))</x:f>
        <x:v>0</x:v>
      </x:c>
      <x:c r="N426" s="22" t="n">
        <x:f>MAX(0,MIN('Activities'!L426,60)-MAX('Activities'!K426,54))</x:f>
        <x:v>0</x:v>
      </x:c>
      <x:c r="O426" s="22" t="n">
        <x:f>MAX(0,MIN('Activities'!L426,66)-MAX('Activities'!K426,60))</x:f>
        <x:v>0</x:v>
      </x:c>
      <x:c r="P426" s="22" t="n">
        <x:f>MAX(0,MIN('Activities'!L426,72)-MAX('Activities'!K426,66))</x:f>
        <x:v>0</x:v>
      </x:c>
      <x:c r="Q426" s="22" t="n">
        <x:f>MAX(0,MIN('Activities'!L426,78)-MAX('Activities'!K426,72))</x:f>
        <x:v>0</x:v>
      </x:c>
      <x:c r="R426" s="22" t="n">
        <x:f>MAX(0,MIN('Activities'!L426,84)-MAX('Activities'!K426,78))</x:f>
        <x:v>0</x:v>
      </x:c>
      <x:c r="S426" s="22" t="n">
        <x:f>MAX(0,MIN('Activities'!L426,90)-MAX('Activities'!K426,84))</x:f>
        <x:v>0</x:v>
      </x:c>
      <x:c r="T426" s="22" t="n">
        <x:f>MAX(0,MIN('Activities'!L426,96)-MAX('Activities'!K426,90))</x:f>
        <x:v>0</x:v>
      </x:c>
      <x:c r="U426" s="22" t="n">
        <x:f>MAX(0,MIN('Activities'!L426,102)-MAX('Activities'!K426,96))</x:f>
        <x:v>0</x:v>
      </x:c>
      <x:c r="V426" s="22" t="n">
        <x:f>MAX(0,MIN('Activities'!L426,108)-MAX('Activities'!K426,102))</x:f>
        <x:v>0</x:v>
      </x:c>
      <x:c r="W426" s="22" t="n">
        <x:f>MAX(0,MIN('Activities'!L426,114)-MAX('Activities'!K426,108))</x:f>
        <x:v>0</x:v>
      </x:c>
      <x:c r="X426" s="22" t="n">
        <x:f>MAX(0,MIN('Activities'!L426,120)-MAX('Activities'!K426,114))</x:f>
        <x:v>0</x:v>
      </x:c>
      <x:c r="Y426" s="22" t="n">
        <x:f>MAX(0,MIN('Activities'!L426,126)-MAX('Activities'!K426,120))</x:f>
        <x:v>0</x:v>
      </x:c>
      <x:c r="Z426" s="22" t="n">
        <x:f>MAX(0,MIN('Activities'!L426,132)-MAX('Activities'!K426,126))</x:f>
        <x:v>0</x:v>
      </x:c>
      <x:c r="AA426" s="22" t="n">
        <x:f>MAX(0,MIN('Activities'!L426,138)-MAX('Activities'!K426,132))</x:f>
        <x:v>0</x:v>
      </x:c>
      <x:c r="AB426" s="22" t="n">
        <x:f>MAX(0,MIN('Activities'!L426,144)-MAX('Activities'!K426,138))</x:f>
        <x:v>0</x:v>
      </x:c>
      <x:c r="AC426" s="22" t="n">
        <x:f>MAX(0,MIN('Activities'!L426,150)-MAX('Activities'!K426,144))</x:f>
        <x:v>0</x:v>
      </x:c>
      <x:c r="AD426" s="22" t="n">
        <x:f>MAX(0,MIN('Activities'!L426,156)-MAX('Activities'!K426,150))</x:f>
        <x:v>0</x:v>
      </x:c>
      <x:c r="AE426" s="22" t="n">
        <x:f>MAX(0,MIN('Activities'!L426,162)-MAX('Activities'!K426,156))</x:f>
        <x:v>0</x:v>
      </x:c>
      <x:c r="AF426" s="22" t="n">
        <x:f>MAX(0,MIN('Activities'!L426,168)-MAX('Activities'!K426,162))</x:f>
        <x:v>0</x:v>
      </x:c>
      <x:c r="AG426" s="22" t="n">
        <x:f>MAX(0,MIN('Activities'!L426,174)-MAX('Activities'!K426,168))</x:f>
        <x:v>0</x:v>
      </x:c>
      <x:c r="AH426" s="22" t="n">
        <x:f>MAX(0,MIN('Activities'!L426,180)-MAX('Activities'!K426,174))</x:f>
        <x:v>0</x:v>
      </x:c>
      <x:c r="AI426" s="22" t="n">
        <x:f>MAX(0,MIN('Activities'!L426,186)-MAX('Activities'!K426,180))</x:f>
        <x:v>0</x:v>
      </x:c>
      <x:c r="AJ426" s="22" t="n">
        <x:f>MAX(0,MIN('Activities'!L426,192)-MAX('Activities'!K426,186))</x:f>
        <x:v>0</x:v>
      </x:c>
      <x:c r="AK426" s="22" t="n">
        <x:f>MAX(0,MIN('Activities'!L426,198)-MAX('Activities'!K426,192))</x:f>
        <x:v>0</x:v>
      </x:c>
      <x:c r="AL426" s="22" t="n">
        <x:f>MAX(0,MIN('Activities'!L426,204)-MAX('Activities'!K426,198))</x:f>
        <x:v>0</x:v>
      </x:c>
      <x:c r="AM426" s="22" t="n">
        <x:f>MAX(0,MIN('Activities'!L426,210)-MAX('Activities'!K426,204))</x:f>
        <x:v>0</x:v>
      </x:c>
      <x:c r="AN426" s="22" t="n">
        <x:f>MAX(0,MIN('Activities'!L426,216)-MAX('Activities'!K426,210))</x:f>
        <x:v>0</x:v>
      </x:c>
      <x:c r="AO426" s="22" t="n">
        <x:f>MAX(0,MIN('Activities'!L426,222)-MAX('Activities'!K426,216))</x:f>
        <x:v>3</x:v>
      </x:c>
      <x:c r="AP426" s="22" t="n">
        <x:f>MAX(0,MIN('Activities'!L426,228)-MAX('Activities'!K426,222))</x:f>
        <x:v>2</x:v>
      </x:c>
      <x:c r="AQ426" s="22" t="n">
        <x:f>MAX(0,MIN('Activities'!L426,234)-MAX('Activities'!K426,228))</x:f>
        <x:v>0</x:v>
      </x:c>
      <x:c r="AR426" s="22" t="n">
        <x:f>MAX(0,MIN('Activities'!L426,240)-MAX('Activities'!K426,234))</x:f>
        <x:v>0</x:v>
      </x:c>
      <x:c r="AS426" s="22" t="n">
        <x:f>MAX(0,MIN('Activities'!L426,246)-MAX('Activities'!K426,240))</x:f>
        <x:v>0</x:v>
      </x:c>
      <x:c r="AT426" s="22" t="n">
        <x:f>MAX(0,MIN('Activities'!L426,252)-MAX('Activities'!K426,246))</x:f>
        <x:v>0</x:v>
      </x:c>
      <x:c r="AU426" s="22" t="n">
        <x:f>MAX(0,MIN('Activities'!L426,258)-MAX('Activities'!K426,252))</x:f>
        <x:v>0</x:v>
      </x:c>
      <x:c r="AV426" s="22" t="n">
        <x:f>MAX(0,MIN('Activities'!L426,264)-MAX('Activities'!K426,258))</x:f>
        <x:v>0</x:v>
      </x:c>
      <x:c r="AW426" s="22" t="n">
        <x:f>MAX(0,MIN('Activities'!L426,270)-MAX('Activities'!K426,264))</x:f>
        <x:v>0</x:v>
      </x:c>
      <x:c r="AX426" s="22" t="n">
        <x:f>MAX(0,MIN('Activities'!L426,276)-MAX('Activities'!K426,270))</x:f>
        <x:v>0</x:v>
      </x:c>
      <x:c r="AY426" s="22" t="n">
        <x:f>MAX(0,MIN('Activities'!L426,282)-MAX('Activities'!K426,276))</x:f>
        <x:v>0</x:v>
      </x:c>
      <x:c r="AZ426" s="22" t="n">
        <x:f>MAX(0,MIN('Activities'!L426,288)-MAX('Activities'!K426,282))</x:f>
        <x:v>0</x:v>
      </x:c>
      <x:c r="BA426" s="22" t="n">
        <x:f>MAX(0,MIN('Activities'!L426,294)-MAX('Activities'!K426,288))</x:f>
        <x:v>0</x:v>
      </x:c>
      <x:c r="BB426" s="22" t="n">
        <x:f>MAX(0,MIN('Activities'!L426,300)-MAX('Activities'!K426,294))</x:f>
        <x:v>0</x:v>
      </x:c>
      <x:c r="BC426" s="22" t="n">
        <x:f>MAX(0,MIN('Activities'!L426,306)-MAX('Activities'!K426,300))</x:f>
        <x:v>0</x:v>
      </x:c>
      <x:c r="BD426" s="22" t="n">
        <x:f>MAX(0,MIN('Activities'!L426,312)-MAX('Activities'!K426,306))</x:f>
        <x:v>0</x:v>
      </x:c>
      <x:c r="BE426" s="22" t="n">
        <x:f>MAX(0,MIN('Activities'!L426,318)-MAX('Activities'!K426,312))</x:f>
        <x:v>0</x:v>
      </x:c>
      <x:c r="BF426" s="22" t="n">
        <x:f>MAX(0,MIN('Activities'!L426,324)-MAX('Activities'!K426,318))</x:f>
        <x:v>0</x:v>
      </x:c>
      <x:c r="BG426" s="22" t="n">
        <x:f>MAX(0,MIN('Activities'!L426,330)-MAX('Activities'!K426,324))</x:f>
        <x:v>0</x:v>
      </x:c>
      <x:c r="BH426" s="22" t="n">
        <x:f>MAX(0,MIN('Activities'!L426,336)-MAX('Activities'!K426,330))</x:f>
        <x:v>0</x:v>
      </x:c>
      <x:c r="BI426" s="22" t="n">
        <x:f>MAX(0,MIN('Activities'!L426,342)-MAX('Activities'!K426,336))</x:f>
        <x:v>0</x:v>
      </x:c>
      <x:c r="BJ426" s="22" t="n">
        <x:f>MAX(0,MIN('Activities'!L426,348)-MAX('Activities'!K426,342))</x:f>
        <x:v>0</x:v>
      </x:c>
      <x:c r="BK426" s="22" t="n">
        <x:f>MAX(0,MIN('Activities'!L426,354)-MAX('Activities'!K426,348))</x:f>
        <x:v>0</x:v>
      </x:c>
      <x:c r="BL426" s="22" t="n">
        <x:f>MAX(0,MIN('Activities'!L426,360)-MAX('Activities'!K426,354))</x:f>
        <x:v>0</x:v>
      </x:c>
      <x:c r="BM426" s="22" t="n">
        <x:f>MAX(0,MIN('Activities'!L426,366)-MAX('Activities'!K426,360))</x:f>
        <x:v>0</x:v>
      </x:c>
      <x:c r="BN426" s="22" t="n">
        <x:f>MAX(0,MIN('Activities'!L426,372)-MAX('Activities'!K426,366))</x:f>
        <x:v>0</x:v>
      </x:c>
      <x:c r="BO426" s="22" t="n">
        <x:f>MAX(0,MIN('Activities'!L426,378)-MAX('Activities'!K426,372))</x:f>
        <x:v>0</x:v>
      </x:c>
      <x:c r="BP426" s="22" t="n">
        <x:f>MAX(0,MIN('Activities'!L426,384)-MAX('Activities'!K426,378))</x:f>
        <x:v>0</x:v>
      </x:c>
      <x:c r="BQ426" s="22" t="n">
        <x:f>MAX(0,MIN('Activities'!L426,390)-MAX('Activities'!K426,384))</x:f>
        <x:v>0</x:v>
      </x:c>
      <x:c r="BR426" s="22" t="n">
        <x:f>MAX(0,MIN('Activities'!L426,396)-MAX('Activities'!K426,390))</x:f>
        <x:v>0</x:v>
      </x:c>
      <x:c r="BS426" s="22" t="n">
        <x:f>MAX(0,MIN('Activities'!L426,402)-MAX('Activities'!K426,396))</x:f>
        <x:v>0</x:v>
      </x:c>
      <x:c r="BT426" s="22" t="n">
        <x:f>MAX(0,MIN('Activities'!L426,408)-MAX('Activities'!K426,402))</x:f>
        <x:v>0</x:v>
      </x:c>
      <x:c r="BU426" s="22" t="n">
        <x:f>MAX(0,MIN('Activities'!L426,414)-MAX('Activities'!K426,408))</x:f>
        <x:v>0</x:v>
      </x:c>
      <x:c r="BV426" s="22" t="n">
        <x:f>MAX(0,MIN('Activities'!L426,420)-MAX('Activities'!K426,414))</x:f>
        <x:v>0</x:v>
      </x:c>
      <x:c r="BW426" s="22" t="n">
        <x:f>MAX(0,MIN('Activities'!L426,426)-MAX('Activities'!K426,420))</x:f>
        <x:v>0</x:v>
      </x:c>
      <x:c r="BX426" s="22" t="n">
        <x:f>MAX(0,MIN('Activities'!L426,432)-MAX('Activities'!K426,426))</x:f>
        <x:v>0</x:v>
      </x:c>
      <x:c r="BY426" s="22" t="n">
        <x:f>MAX(0,MIN('Activities'!L426,438)-MAX('Activities'!K426,432))</x:f>
        <x:v>0</x:v>
      </x:c>
      <x:c r="BZ426" s="22" t="n">
        <x:f>MAX(0,MIN('Activities'!L426,444)-MAX('Activities'!K426,438))</x:f>
        <x:v>0</x:v>
      </x:c>
      <x:c r="CA426" s="22" t="n">
        <x:f>MAX(0,MIN('Activities'!L426,450)-MAX('Activities'!K426,444))</x:f>
        <x:v>0</x:v>
      </x:c>
      <x:c r="CB426" s="22" t="n">
        <x:f>MAX(0,MIN('Activities'!L426,456)-MAX('Activities'!K426,450))</x:f>
        <x:v>0</x:v>
      </x:c>
      <x:c r="CC426" s="22" t="n">
        <x:f>MAX(0,MIN('Activities'!L426,462)-MAX('Activities'!K426,456))</x:f>
        <x:v>0</x:v>
      </x:c>
      <x:c r="CD426" s="22" t="n">
        <x:f>MAX(0,MIN('Activities'!L426,468)-MAX('Activities'!K426,462))</x:f>
        <x:v>0</x:v>
      </x:c>
      <x:c r="CE426" s="22" t="n">
        <x:f>MAX(0,MIN('Activities'!L426,474)-MAX('Activities'!K426,468))</x:f>
        <x:v>0</x:v>
      </x:c>
      <x:c r="CF426" s="22" t="n">
        <x:f>MAX(0,MIN('Activities'!L426,480)-MAX('Activities'!K426,474))</x:f>
        <x:v>0</x:v>
      </x:c>
      <x:c r="CG426" s="22" t="n">
        <x:f>MAX(0,MIN('Activities'!L426,486)-MAX('Activities'!K426,480))</x:f>
        <x:v>0</x:v>
      </x:c>
      <x:c r="CH426" s="22" t="n">
        <x:f>MAX(0,MIN('Activities'!L426,492)-MAX('Activities'!K426,486))</x:f>
        <x:v>0</x:v>
      </x:c>
      <x:c r="CI426" s="22" t="n">
        <x:f>MAX(0,MIN('Activities'!L426,498)-MAX('Activities'!K426,492))</x:f>
        <x:v>0</x:v>
      </x:c>
      <x:c r="CJ426" s="22" t="n">
        <x:f>MAX(0,MIN('Activities'!L426,504)-MAX('Activities'!K426,498))</x:f>
        <x:v>0</x:v>
      </x:c>
      <x:c r="CK426" s="22" t="n">
        <x:f>MAX(0,MIN('Activities'!L426,510)-MAX('Activities'!K426,504))</x:f>
        <x:v>0</x:v>
      </x:c>
      <x:c r="CL426" s="22" t="n">
        <x:f>MAX(0,MIN('Activities'!L426,516)-MAX('Activities'!K426,510))</x:f>
        <x:v>0</x:v>
      </x:c>
      <x:c r="CM426" s="22" t="n">
        <x:f>MAX(0,MIN('Activities'!L426,522)-MAX('Activities'!K426,516))</x:f>
        <x:v>0</x:v>
      </x:c>
      <x:c r="CN426" s="22" t="n">
        <x:f>MAX(0,MIN('Activities'!L426,528)-MAX('Activities'!K426,522))</x:f>
        <x:v>0</x:v>
      </x:c>
      <x:c r="CO426" s="22" t="n">
        <x:f>MAX(0,MIN('Activities'!L426,534)-MAX('Activities'!K426,528))</x:f>
        <x:v>0</x:v>
      </x:c>
      <x:c r="CP426" s="22" t="n">
        <x:f>MAX(0,MIN('Activities'!L426,540)-MAX('Activities'!K426,534))</x:f>
        <x:v>0</x:v>
      </x:c>
      <x:c r="CQ426" s="22" t="n">
        <x:f>MAX(0,MIN('Activities'!L426,546)-MAX('Activities'!K426,540))</x:f>
        <x:v>0</x:v>
      </x:c>
      <x:c r="CR426" s="22" t="n">
        <x:f>MAX(0,MIN('Activities'!L426,552)-MAX('Activities'!K426,546))</x:f>
        <x:v>0</x:v>
      </x:c>
      <x:c r="CS426" s="22" t="n">
        <x:f>MAX(0,MIN('Activities'!L426,558)-MAX('Activities'!K426,552))</x:f>
        <x:v>0</x:v>
      </x:c>
      <x:c r="CT426" s="22" t="n">
        <x:f>MAX(0,MIN('Activities'!L426,564)-MAX('Activities'!K426,558))</x:f>
        <x:v>0</x:v>
      </x:c>
      <x:c r="CU426" s="22" t="n">
        <x:f>MAX(0,MIN('Activities'!L426,570)-MAX('Activities'!K426,564))</x:f>
        <x:v>0</x:v>
      </x:c>
      <x:c r="CV426" s="22" t="n">
        <x:f>MAX(0,MIN('Activities'!L426,576)-MAX('Activities'!K426,570))</x:f>
        <x:v>0</x:v>
      </x:c>
      <x:c r="CW426" s="22" t="n">
        <x:f>MAX(0,MIN('Activities'!L426,582)-MAX('Activities'!K426,576))</x:f>
        <x:v>0</x:v>
      </x:c>
      <x:c r="CX426" s="22" t="n">
        <x:f>MAX(0,MIN('Activities'!L426,588)-MAX('Activities'!K426,582))</x:f>
        <x:v>0</x:v>
      </x:c>
      <x:c r="CY426" s="22" t="n">
        <x:f>MAX(0,MIN('Activities'!L426,594)-MAX('Activities'!K426,588))</x:f>
        <x:v>0</x:v>
      </x:c>
      <x:c r="CZ426" s="22" t="n">
        <x:f>MAX(0,MIN('Activities'!L426,600)-MAX('Activities'!K426,594))</x:f>
        <x:v>0</x:v>
      </x:c>
      <x:c r="DA426" s="22" t="n">
        <x:f>MAX(0,MIN('Activities'!L426,606)-MAX('Activities'!K426,600))</x:f>
        <x:v>0</x:v>
      </x:c>
      <x:c r="DB426" s="22" t="n">
        <x:f>MAX(0,MIN('Activities'!L426,612)-MAX('Activities'!K426,606))</x:f>
        <x:v>0</x:v>
      </x:c>
      <x:c r="DC426" s="22" t="n">
        <x:f>MAX(0,MIN('Activities'!L426,618)-MAX('Activities'!K426,612))</x:f>
        <x:v>0</x:v>
      </x:c>
      <x:c r="DD426" s="22" t="n">
        <x:f>MAX(0,MIN('Activities'!L426,624)-MAX('Activities'!K426,618))</x:f>
        <x:v>0</x:v>
      </x:c>
      <x:c r="DE426" s="22" t="n">
        <x:f>MAX(0,MIN('Activities'!L426,630)-MAX('Activities'!K426,624))</x:f>
        <x:v>0</x:v>
      </x:c>
      <x:c r="DF426" s="22" t="n">
        <x:f>MAX(0,MIN('Activities'!L426,636)-MAX('Activities'!K426,630))</x:f>
        <x:v>0</x:v>
      </x:c>
    </x:row>
    <x:row r="427" ht="23" customHeight="1">
      <x:c r="A427" s="1" t="str">
        <x:v>T4-L03-F</x:v>
      </x:c>
      <x:c r="B427" s="1" t="str">
        <x:v>T4</x:v>
      </x:c>
      <x:c r="C427" s="1" t="str">
        <x:v>Columns, core and deck formwork</x:v>
      </x:c>
      <x:c r="D427" s="1" t="str">
        <x:v>Formwork</x:v>
      </x:c>
      <x:c r="E427" s="23" t="n">
        <x:f>MAX(0,MIN('Activities'!L427,6)-MAX('Activities'!K427,0))</x:f>
        <x:v>0</x:v>
      </x:c>
      <x:c r="F427" s="23" t="n">
        <x:f>MAX(0,MIN('Activities'!L427,12)-MAX('Activities'!K427,6))</x:f>
        <x:v>0</x:v>
      </x:c>
      <x:c r="G427" s="23" t="n">
        <x:f>MAX(0,MIN('Activities'!L427,18)-MAX('Activities'!K427,12))</x:f>
        <x:v>0</x:v>
      </x:c>
      <x:c r="H427" s="23" t="n">
        <x:f>MAX(0,MIN('Activities'!L427,24)-MAX('Activities'!K427,18))</x:f>
        <x:v>0</x:v>
      </x:c>
      <x:c r="I427" s="23" t="n">
        <x:f>MAX(0,MIN('Activities'!L427,30)-MAX('Activities'!K427,24))</x:f>
        <x:v>0</x:v>
      </x:c>
      <x:c r="J427" s="23" t="n">
        <x:f>MAX(0,MIN('Activities'!L427,36)-MAX('Activities'!K427,30))</x:f>
        <x:v>0</x:v>
      </x:c>
      <x:c r="K427" s="23" t="n">
        <x:f>MAX(0,MIN('Activities'!L427,42)-MAX('Activities'!K427,36))</x:f>
        <x:v>0</x:v>
      </x:c>
      <x:c r="L427" s="23" t="n">
        <x:f>MAX(0,MIN('Activities'!L427,48)-MAX('Activities'!K427,42))</x:f>
        <x:v>0</x:v>
      </x:c>
      <x:c r="M427" s="23" t="n">
        <x:f>MAX(0,MIN('Activities'!L427,54)-MAX('Activities'!K427,48))</x:f>
        <x:v>0</x:v>
      </x:c>
      <x:c r="N427" s="23" t="n">
        <x:f>MAX(0,MIN('Activities'!L427,60)-MAX('Activities'!K427,54))</x:f>
        <x:v>0</x:v>
      </x:c>
      <x:c r="O427" s="23" t="n">
        <x:f>MAX(0,MIN('Activities'!L427,66)-MAX('Activities'!K427,60))</x:f>
        <x:v>0</x:v>
      </x:c>
      <x:c r="P427" s="23" t="n">
        <x:f>MAX(0,MIN('Activities'!L427,72)-MAX('Activities'!K427,66))</x:f>
        <x:v>0</x:v>
      </x:c>
      <x:c r="Q427" s="23" t="n">
        <x:f>MAX(0,MIN('Activities'!L427,78)-MAX('Activities'!K427,72))</x:f>
        <x:v>0</x:v>
      </x:c>
      <x:c r="R427" s="23" t="n">
        <x:f>MAX(0,MIN('Activities'!L427,84)-MAX('Activities'!K427,78))</x:f>
        <x:v>0</x:v>
      </x:c>
      <x:c r="S427" s="23" t="n">
        <x:f>MAX(0,MIN('Activities'!L427,90)-MAX('Activities'!K427,84))</x:f>
        <x:v>0</x:v>
      </x:c>
      <x:c r="T427" s="23" t="n">
        <x:f>MAX(0,MIN('Activities'!L427,96)-MAX('Activities'!K427,90))</x:f>
        <x:v>0</x:v>
      </x:c>
      <x:c r="U427" s="23" t="n">
        <x:f>MAX(0,MIN('Activities'!L427,102)-MAX('Activities'!K427,96))</x:f>
        <x:v>0</x:v>
      </x:c>
      <x:c r="V427" s="23" t="n">
        <x:f>MAX(0,MIN('Activities'!L427,108)-MAX('Activities'!K427,102))</x:f>
        <x:v>0</x:v>
      </x:c>
      <x:c r="W427" s="23" t="n">
        <x:f>MAX(0,MIN('Activities'!L427,114)-MAX('Activities'!K427,108))</x:f>
        <x:v>0</x:v>
      </x:c>
      <x:c r="X427" s="23" t="n">
        <x:f>MAX(0,MIN('Activities'!L427,120)-MAX('Activities'!K427,114))</x:f>
        <x:v>0</x:v>
      </x:c>
      <x:c r="Y427" s="23" t="n">
        <x:f>MAX(0,MIN('Activities'!L427,126)-MAX('Activities'!K427,120))</x:f>
        <x:v>0</x:v>
      </x:c>
      <x:c r="Z427" s="23" t="n">
        <x:f>MAX(0,MIN('Activities'!L427,132)-MAX('Activities'!K427,126))</x:f>
        <x:v>0</x:v>
      </x:c>
      <x:c r="AA427" s="23" t="n">
        <x:f>MAX(0,MIN('Activities'!L427,138)-MAX('Activities'!K427,132))</x:f>
        <x:v>0</x:v>
      </x:c>
      <x:c r="AB427" s="23" t="n">
        <x:f>MAX(0,MIN('Activities'!L427,144)-MAX('Activities'!K427,138))</x:f>
        <x:v>0</x:v>
      </x:c>
      <x:c r="AC427" s="23" t="n">
        <x:f>MAX(0,MIN('Activities'!L427,150)-MAX('Activities'!K427,144))</x:f>
        <x:v>0</x:v>
      </x:c>
      <x:c r="AD427" s="23" t="n">
        <x:f>MAX(0,MIN('Activities'!L427,156)-MAX('Activities'!K427,150))</x:f>
        <x:v>0</x:v>
      </x:c>
      <x:c r="AE427" s="23" t="n">
        <x:f>MAX(0,MIN('Activities'!L427,162)-MAX('Activities'!K427,156))</x:f>
        <x:v>0</x:v>
      </x:c>
      <x:c r="AF427" s="23" t="n">
        <x:f>MAX(0,MIN('Activities'!L427,168)-MAX('Activities'!K427,162))</x:f>
        <x:v>0</x:v>
      </x:c>
      <x:c r="AG427" s="23" t="n">
        <x:f>MAX(0,MIN('Activities'!L427,174)-MAX('Activities'!K427,168))</x:f>
        <x:v>0</x:v>
      </x:c>
      <x:c r="AH427" s="23" t="n">
        <x:f>MAX(0,MIN('Activities'!L427,180)-MAX('Activities'!K427,174))</x:f>
        <x:v>0</x:v>
      </x:c>
      <x:c r="AI427" s="23" t="n">
        <x:f>MAX(0,MIN('Activities'!L427,186)-MAX('Activities'!K427,180))</x:f>
        <x:v>0</x:v>
      </x:c>
      <x:c r="AJ427" s="23" t="n">
        <x:f>MAX(0,MIN('Activities'!L427,192)-MAX('Activities'!K427,186))</x:f>
        <x:v>0</x:v>
      </x:c>
      <x:c r="AK427" s="23" t="n">
        <x:f>MAX(0,MIN('Activities'!L427,198)-MAX('Activities'!K427,192))</x:f>
        <x:v>0</x:v>
      </x:c>
      <x:c r="AL427" s="23" t="n">
        <x:f>MAX(0,MIN('Activities'!L427,204)-MAX('Activities'!K427,198))</x:f>
        <x:v>0</x:v>
      </x:c>
      <x:c r="AM427" s="23" t="n">
        <x:f>MAX(0,MIN('Activities'!L427,210)-MAX('Activities'!K427,204))</x:f>
        <x:v>0</x:v>
      </x:c>
      <x:c r="AN427" s="23" t="n">
        <x:f>MAX(0,MIN('Activities'!L427,216)-MAX('Activities'!K427,210))</x:f>
        <x:v>0</x:v>
      </x:c>
      <x:c r="AO427" s="23" t="n">
        <x:f>MAX(0,MIN('Activities'!L427,222)-MAX('Activities'!K427,216))</x:f>
        <x:v>0</x:v>
      </x:c>
      <x:c r="AP427" s="23" t="n">
        <x:f>MAX(0,MIN('Activities'!L427,228)-MAX('Activities'!K427,222))</x:f>
        <x:v>4</x:v>
      </x:c>
      <x:c r="AQ427" s="23" t="n">
        <x:f>MAX(0,MIN('Activities'!L427,234)-MAX('Activities'!K427,228))</x:f>
        <x:v>2</x:v>
      </x:c>
      <x:c r="AR427" s="23" t="n">
        <x:f>MAX(0,MIN('Activities'!L427,240)-MAX('Activities'!K427,234))</x:f>
        <x:v>0</x:v>
      </x:c>
      <x:c r="AS427" s="23" t="n">
        <x:f>MAX(0,MIN('Activities'!L427,246)-MAX('Activities'!K427,240))</x:f>
        <x:v>0</x:v>
      </x:c>
      <x:c r="AT427" s="23" t="n">
        <x:f>MAX(0,MIN('Activities'!L427,252)-MAX('Activities'!K427,246))</x:f>
        <x:v>0</x:v>
      </x:c>
      <x:c r="AU427" s="23" t="n">
        <x:f>MAX(0,MIN('Activities'!L427,258)-MAX('Activities'!K427,252))</x:f>
        <x:v>0</x:v>
      </x:c>
      <x:c r="AV427" s="23" t="n">
        <x:f>MAX(0,MIN('Activities'!L427,264)-MAX('Activities'!K427,258))</x:f>
        <x:v>0</x:v>
      </x:c>
      <x:c r="AW427" s="23" t="n">
        <x:f>MAX(0,MIN('Activities'!L427,270)-MAX('Activities'!K427,264))</x:f>
        <x:v>0</x:v>
      </x:c>
      <x:c r="AX427" s="23" t="n">
        <x:f>MAX(0,MIN('Activities'!L427,276)-MAX('Activities'!K427,270))</x:f>
        <x:v>0</x:v>
      </x:c>
      <x:c r="AY427" s="23" t="n">
        <x:f>MAX(0,MIN('Activities'!L427,282)-MAX('Activities'!K427,276))</x:f>
        <x:v>0</x:v>
      </x:c>
      <x:c r="AZ427" s="23" t="n">
        <x:f>MAX(0,MIN('Activities'!L427,288)-MAX('Activities'!K427,282))</x:f>
        <x:v>0</x:v>
      </x:c>
      <x:c r="BA427" s="23" t="n">
        <x:f>MAX(0,MIN('Activities'!L427,294)-MAX('Activities'!K427,288))</x:f>
        <x:v>0</x:v>
      </x:c>
      <x:c r="BB427" s="23" t="n">
        <x:f>MAX(0,MIN('Activities'!L427,300)-MAX('Activities'!K427,294))</x:f>
        <x:v>0</x:v>
      </x:c>
      <x:c r="BC427" s="23" t="n">
        <x:f>MAX(0,MIN('Activities'!L427,306)-MAX('Activities'!K427,300))</x:f>
        <x:v>0</x:v>
      </x:c>
      <x:c r="BD427" s="23" t="n">
        <x:f>MAX(0,MIN('Activities'!L427,312)-MAX('Activities'!K427,306))</x:f>
        <x:v>0</x:v>
      </x:c>
      <x:c r="BE427" s="23" t="n">
        <x:f>MAX(0,MIN('Activities'!L427,318)-MAX('Activities'!K427,312))</x:f>
        <x:v>0</x:v>
      </x:c>
      <x:c r="BF427" s="23" t="n">
        <x:f>MAX(0,MIN('Activities'!L427,324)-MAX('Activities'!K427,318))</x:f>
        <x:v>0</x:v>
      </x:c>
      <x:c r="BG427" s="23" t="n">
        <x:f>MAX(0,MIN('Activities'!L427,330)-MAX('Activities'!K427,324))</x:f>
        <x:v>0</x:v>
      </x:c>
      <x:c r="BH427" s="23" t="n">
        <x:f>MAX(0,MIN('Activities'!L427,336)-MAX('Activities'!K427,330))</x:f>
        <x:v>0</x:v>
      </x:c>
      <x:c r="BI427" s="23" t="n">
        <x:f>MAX(0,MIN('Activities'!L427,342)-MAX('Activities'!K427,336))</x:f>
        <x:v>0</x:v>
      </x:c>
      <x:c r="BJ427" s="23" t="n">
        <x:f>MAX(0,MIN('Activities'!L427,348)-MAX('Activities'!K427,342))</x:f>
        <x:v>0</x:v>
      </x:c>
      <x:c r="BK427" s="23" t="n">
        <x:f>MAX(0,MIN('Activities'!L427,354)-MAX('Activities'!K427,348))</x:f>
        <x:v>0</x:v>
      </x:c>
      <x:c r="BL427" s="23" t="n">
        <x:f>MAX(0,MIN('Activities'!L427,360)-MAX('Activities'!K427,354))</x:f>
        <x:v>0</x:v>
      </x:c>
      <x:c r="BM427" s="23" t="n">
        <x:f>MAX(0,MIN('Activities'!L427,366)-MAX('Activities'!K427,360))</x:f>
        <x:v>0</x:v>
      </x:c>
      <x:c r="BN427" s="23" t="n">
        <x:f>MAX(0,MIN('Activities'!L427,372)-MAX('Activities'!K427,366))</x:f>
        <x:v>0</x:v>
      </x:c>
      <x:c r="BO427" s="23" t="n">
        <x:f>MAX(0,MIN('Activities'!L427,378)-MAX('Activities'!K427,372))</x:f>
        <x:v>0</x:v>
      </x:c>
      <x:c r="BP427" s="23" t="n">
        <x:f>MAX(0,MIN('Activities'!L427,384)-MAX('Activities'!K427,378))</x:f>
        <x:v>0</x:v>
      </x:c>
      <x:c r="BQ427" s="23" t="n">
        <x:f>MAX(0,MIN('Activities'!L427,390)-MAX('Activities'!K427,384))</x:f>
        <x:v>0</x:v>
      </x:c>
      <x:c r="BR427" s="23" t="n">
        <x:f>MAX(0,MIN('Activities'!L427,396)-MAX('Activities'!K427,390))</x:f>
        <x:v>0</x:v>
      </x:c>
      <x:c r="BS427" s="23" t="n">
        <x:f>MAX(0,MIN('Activities'!L427,402)-MAX('Activities'!K427,396))</x:f>
        <x:v>0</x:v>
      </x:c>
      <x:c r="BT427" s="23" t="n">
        <x:f>MAX(0,MIN('Activities'!L427,408)-MAX('Activities'!K427,402))</x:f>
        <x:v>0</x:v>
      </x:c>
      <x:c r="BU427" s="23" t="n">
        <x:f>MAX(0,MIN('Activities'!L427,414)-MAX('Activities'!K427,408))</x:f>
        <x:v>0</x:v>
      </x:c>
      <x:c r="BV427" s="23" t="n">
        <x:f>MAX(0,MIN('Activities'!L427,420)-MAX('Activities'!K427,414))</x:f>
        <x:v>0</x:v>
      </x:c>
      <x:c r="BW427" s="23" t="n">
        <x:f>MAX(0,MIN('Activities'!L427,426)-MAX('Activities'!K427,420))</x:f>
        <x:v>0</x:v>
      </x:c>
      <x:c r="BX427" s="23" t="n">
        <x:f>MAX(0,MIN('Activities'!L427,432)-MAX('Activities'!K427,426))</x:f>
        <x:v>0</x:v>
      </x:c>
      <x:c r="BY427" s="23" t="n">
        <x:f>MAX(0,MIN('Activities'!L427,438)-MAX('Activities'!K427,432))</x:f>
        <x:v>0</x:v>
      </x:c>
      <x:c r="BZ427" s="23" t="n">
        <x:f>MAX(0,MIN('Activities'!L427,444)-MAX('Activities'!K427,438))</x:f>
        <x:v>0</x:v>
      </x:c>
      <x:c r="CA427" s="23" t="n">
        <x:f>MAX(0,MIN('Activities'!L427,450)-MAX('Activities'!K427,444))</x:f>
        <x:v>0</x:v>
      </x:c>
      <x:c r="CB427" s="23" t="n">
        <x:f>MAX(0,MIN('Activities'!L427,456)-MAX('Activities'!K427,450))</x:f>
        <x:v>0</x:v>
      </x:c>
      <x:c r="CC427" s="23" t="n">
        <x:f>MAX(0,MIN('Activities'!L427,462)-MAX('Activities'!K427,456))</x:f>
        <x:v>0</x:v>
      </x:c>
      <x:c r="CD427" s="23" t="n">
        <x:f>MAX(0,MIN('Activities'!L427,468)-MAX('Activities'!K427,462))</x:f>
        <x:v>0</x:v>
      </x:c>
      <x:c r="CE427" s="23" t="n">
        <x:f>MAX(0,MIN('Activities'!L427,474)-MAX('Activities'!K427,468))</x:f>
        <x:v>0</x:v>
      </x:c>
      <x:c r="CF427" s="23" t="n">
        <x:f>MAX(0,MIN('Activities'!L427,480)-MAX('Activities'!K427,474))</x:f>
        <x:v>0</x:v>
      </x:c>
      <x:c r="CG427" s="23" t="n">
        <x:f>MAX(0,MIN('Activities'!L427,486)-MAX('Activities'!K427,480))</x:f>
        <x:v>0</x:v>
      </x:c>
      <x:c r="CH427" s="23" t="n">
        <x:f>MAX(0,MIN('Activities'!L427,492)-MAX('Activities'!K427,486))</x:f>
        <x:v>0</x:v>
      </x:c>
      <x:c r="CI427" s="23" t="n">
        <x:f>MAX(0,MIN('Activities'!L427,498)-MAX('Activities'!K427,492))</x:f>
        <x:v>0</x:v>
      </x:c>
      <x:c r="CJ427" s="23" t="n">
        <x:f>MAX(0,MIN('Activities'!L427,504)-MAX('Activities'!K427,498))</x:f>
        <x:v>0</x:v>
      </x:c>
      <x:c r="CK427" s="23" t="n">
        <x:f>MAX(0,MIN('Activities'!L427,510)-MAX('Activities'!K427,504))</x:f>
        <x:v>0</x:v>
      </x:c>
      <x:c r="CL427" s="23" t="n">
        <x:f>MAX(0,MIN('Activities'!L427,516)-MAX('Activities'!K427,510))</x:f>
        <x:v>0</x:v>
      </x:c>
      <x:c r="CM427" s="23" t="n">
        <x:f>MAX(0,MIN('Activities'!L427,522)-MAX('Activities'!K427,516))</x:f>
        <x:v>0</x:v>
      </x:c>
      <x:c r="CN427" s="23" t="n">
        <x:f>MAX(0,MIN('Activities'!L427,528)-MAX('Activities'!K427,522))</x:f>
        <x:v>0</x:v>
      </x:c>
      <x:c r="CO427" s="23" t="n">
        <x:f>MAX(0,MIN('Activities'!L427,534)-MAX('Activities'!K427,528))</x:f>
        <x:v>0</x:v>
      </x:c>
      <x:c r="CP427" s="23" t="n">
        <x:f>MAX(0,MIN('Activities'!L427,540)-MAX('Activities'!K427,534))</x:f>
        <x:v>0</x:v>
      </x:c>
      <x:c r="CQ427" s="23" t="n">
        <x:f>MAX(0,MIN('Activities'!L427,546)-MAX('Activities'!K427,540))</x:f>
        <x:v>0</x:v>
      </x:c>
      <x:c r="CR427" s="23" t="n">
        <x:f>MAX(0,MIN('Activities'!L427,552)-MAX('Activities'!K427,546))</x:f>
        <x:v>0</x:v>
      </x:c>
      <x:c r="CS427" s="23" t="n">
        <x:f>MAX(0,MIN('Activities'!L427,558)-MAX('Activities'!K427,552))</x:f>
        <x:v>0</x:v>
      </x:c>
      <x:c r="CT427" s="23" t="n">
        <x:f>MAX(0,MIN('Activities'!L427,564)-MAX('Activities'!K427,558))</x:f>
        <x:v>0</x:v>
      </x:c>
      <x:c r="CU427" s="23" t="n">
        <x:f>MAX(0,MIN('Activities'!L427,570)-MAX('Activities'!K427,564))</x:f>
        <x:v>0</x:v>
      </x:c>
      <x:c r="CV427" s="23" t="n">
        <x:f>MAX(0,MIN('Activities'!L427,576)-MAX('Activities'!K427,570))</x:f>
        <x:v>0</x:v>
      </x:c>
      <x:c r="CW427" s="23" t="n">
        <x:f>MAX(0,MIN('Activities'!L427,582)-MAX('Activities'!K427,576))</x:f>
        <x:v>0</x:v>
      </x:c>
      <x:c r="CX427" s="23" t="n">
        <x:f>MAX(0,MIN('Activities'!L427,588)-MAX('Activities'!K427,582))</x:f>
        <x:v>0</x:v>
      </x:c>
      <x:c r="CY427" s="23" t="n">
        <x:f>MAX(0,MIN('Activities'!L427,594)-MAX('Activities'!K427,588))</x:f>
        <x:v>0</x:v>
      </x:c>
      <x:c r="CZ427" s="23" t="n">
        <x:f>MAX(0,MIN('Activities'!L427,600)-MAX('Activities'!K427,594))</x:f>
        <x:v>0</x:v>
      </x:c>
      <x:c r="DA427" s="23" t="n">
        <x:f>MAX(0,MIN('Activities'!L427,606)-MAX('Activities'!K427,600))</x:f>
        <x:v>0</x:v>
      </x:c>
      <x:c r="DB427" s="23" t="n">
        <x:f>MAX(0,MIN('Activities'!L427,612)-MAX('Activities'!K427,606))</x:f>
        <x:v>0</x:v>
      </x:c>
      <x:c r="DC427" s="23" t="n">
        <x:f>MAX(0,MIN('Activities'!L427,618)-MAX('Activities'!K427,612))</x:f>
        <x:v>0</x:v>
      </x:c>
      <x:c r="DD427" s="23" t="n">
        <x:f>MAX(0,MIN('Activities'!L427,624)-MAX('Activities'!K427,618))</x:f>
        <x:v>0</x:v>
      </x:c>
      <x:c r="DE427" s="23" t="n">
        <x:f>MAX(0,MIN('Activities'!L427,630)-MAX('Activities'!K427,624))</x:f>
        <x:v>0</x:v>
      </x:c>
      <x:c r="DF427" s="23" t="n">
        <x:f>MAX(0,MIN('Activities'!L427,636)-MAX('Activities'!K427,630))</x:f>
        <x:v>0</x:v>
      </x:c>
    </x:row>
    <x:row r="428" ht="23" customHeight="1">
      <x:c r="A428" s="6" t="str">
        <x:v>T4-L03-R</x:v>
      </x:c>
      <x:c r="B428" s="6" t="str">
        <x:v>T4</x:v>
      </x:c>
      <x:c r="C428" s="6" t="str">
        <x:v>Column, wall, beam and slab reinforcement</x:v>
      </x:c>
      <x:c r="D428" s="6" t="str">
        <x:v>Rebar</x:v>
      </x:c>
      <x:c r="E428" s="22" t="n">
        <x:f>MAX(0,MIN('Activities'!L428,6)-MAX('Activities'!K428,0))</x:f>
        <x:v>0</x:v>
      </x:c>
      <x:c r="F428" s="22" t="n">
        <x:f>MAX(0,MIN('Activities'!L428,12)-MAX('Activities'!K428,6))</x:f>
        <x:v>0</x:v>
      </x:c>
      <x:c r="G428" s="22" t="n">
        <x:f>MAX(0,MIN('Activities'!L428,18)-MAX('Activities'!K428,12))</x:f>
        <x:v>0</x:v>
      </x:c>
      <x:c r="H428" s="22" t="n">
        <x:f>MAX(0,MIN('Activities'!L428,24)-MAX('Activities'!K428,18))</x:f>
        <x:v>0</x:v>
      </x:c>
      <x:c r="I428" s="22" t="n">
        <x:f>MAX(0,MIN('Activities'!L428,30)-MAX('Activities'!K428,24))</x:f>
        <x:v>0</x:v>
      </x:c>
      <x:c r="J428" s="22" t="n">
        <x:f>MAX(0,MIN('Activities'!L428,36)-MAX('Activities'!K428,30))</x:f>
        <x:v>0</x:v>
      </x:c>
      <x:c r="K428" s="22" t="n">
        <x:f>MAX(0,MIN('Activities'!L428,42)-MAX('Activities'!K428,36))</x:f>
        <x:v>0</x:v>
      </x:c>
      <x:c r="L428" s="22" t="n">
        <x:f>MAX(0,MIN('Activities'!L428,48)-MAX('Activities'!K428,42))</x:f>
        <x:v>0</x:v>
      </x:c>
      <x:c r="M428" s="22" t="n">
        <x:f>MAX(0,MIN('Activities'!L428,54)-MAX('Activities'!K428,48))</x:f>
        <x:v>0</x:v>
      </x:c>
      <x:c r="N428" s="22" t="n">
        <x:f>MAX(0,MIN('Activities'!L428,60)-MAX('Activities'!K428,54))</x:f>
        <x:v>0</x:v>
      </x:c>
      <x:c r="O428" s="22" t="n">
        <x:f>MAX(0,MIN('Activities'!L428,66)-MAX('Activities'!K428,60))</x:f>
        <x:v>0</x:v>
      </x:c>
      <x:c r="P428" s="22" t="n">
        <x:f>MAX(0,MIN('Activities'!L428,72)-MAX('Activities'!K428,66))</x:f>
        <x:v>0</x:v>
      </x:c>
      <x:c r="Q428" s="22" t="n">
        <x:f>MAX(0,MIN('Activities'!L428,78)-MAX('Activities'!K428,72))</x:f>
        <x:v>0</x:v>
      </x:c>
      <x:c r="R428" s="22" t="n">
        <x:f>MAX(0,MIN('Activities'!L428,84)-MAX('Activities'!K428,78))</x:f>
        <x:v>0</x:v>
      </x:c>
      <x:c r="S428" s="22" t="n">
        <x:f>MAX(0,MIN('Activities'!L428,90)-MAX('Activities'!K428,84))</x:f>
        <x:v>0</x:v>
      </x:c>
      <x:c r="T428" s="22" t="n">
        <x:f>MAX(0,MIN('Activities'!L428,96)-MAX('Activities'!K428,90))</x:f>
        <x:v>0</x:v>
      </x:c>
      <x:c r="U428" s="22" t="n">
        <x:f>MAX(0,MIN('Activities'!L428,102)-MAX('Activities'!K428,96))</x:f>
        <x:v>0</x:v>
      </x:c>
      <x:c r="V428" s="22" t="n">
        <x:f>MAX(0,MIN('Activities'!L428,108)-MAX('Activities'!K428,102))</x:f>
        <x:v>0</x:v>
      </x:c>
      <x:c r="W428" s="22" t="n">
        <x:f>MAX(0,MIN('Activities'!L428,114)-MAX('Activities'!K428,108))</x:f>
        <x:v>0</x:v>
      </x:c>
      <x:c r="X428" s="22" t="n">
        <x:f>MAX(0,MIN('Activities'!L428,120)-MAX('Activities'!K428,114))</x:f>
        <x:v>0</x:v>
      </x:c>
      <x:c r="Y428" s="22" t="n">
        <x:f>MAX(0,MIN('Activities'!L428,126)-MAX('Activities'!K428,120))</x:f>
        <x:v>0</x:v>
      </x:c>
      <x:c r="Z428" s="22" t="n">
        <x:f>MAX(0,MIN('Activities'!L428,132)-MAX('Activities'!K428,126))</x:f>
        <x:v>0</x:v>
      </x:c>
      <x:c r="AA428" s="22" t="n">
        <x:f>MAX(0,MIN('Activities'!L428,138)-MAX('Activities'!K428,132))</x:f>
        <x:v>0</x:v>
      </x:c>
      <x:c r="AB428" s="22" t="n">
        <x:f>MAX(0,MIN('Activities'!L428,144)-MAX('Activities'!K428,138))</x:f>
        <x:v>0</x:v>
      </x:c>
      <x:c r="AC428" s="22" t="n">
        <x:f>MAX(0,MIN('Activities'!L428,150)-MAX('Activities'!K428,144))</x:f>
        <x:v>0</x:v>
      </x:c>
      <x:c r="AD428" s="22" t="n">
        <x:f>MAX(0,MIN('Activities'!L428,156)-MAX('Activities'!K428,150))</x:f>
        <x:v>0</x:v>
      </x:c>
      <x:c r="AE428" s="22" t="n">
        <x:f>MAX(0,MIN('Activities'!L428,162)-MAX('Activities'!K428,156))</x:f>
        <x:v>0</x:v>
      </x:c>
      <x:c r="AF428" s="22" t="n">
        <x:f>MAX(0,MIN('Activities'!L428,168)-MAX('Activities'!K428,162))</x:f>
        <x:v>0</x:v>
      </x:c>
      <x:c r="AG428" s="22" t="n">
        <x:f>MAX(0,MIN('Activities'!L428,174)-MAX('Activities'!K428,168))</x:f>
        <x:v>0</x:v>
      </x:c>
      <x:c r="AH428" s="22" t="n">
        <x:f>MAX(0,MIN('Activities'!L428,180)-MAX('Activities'!K428,174))</x:f>
        <x:v>0</x:v>
      </x:c>
      <x:c r="AI428" s="22" t="n">
        <x:f>MAX(0,MIN('Activities'!L428,186)-MAX('Activities'!K428,180))</x:f>
        <x:v>0</x:v>
      </x:c>
      <x:c r="AJ428" s="22" t="n">
        <x:f>MAX(0,MIN('Activities'!L428,192)-MAX('Activities'!K428,186))</x:f>
        <x:v>0</x:v>
      </x:c>
      <x:c r="AK428" s="22" t="n">
        <x:f>MAX(0,MIN('Activities'!L428,198)-MAX('Activities'!K428,192))</x:f>
        <x:v>0</x:v>
      </x:c>
      <x:c r="AL428" s="22" t="n">
        <x:f>MAX(0,MIN('Activities'!L428,204)-MAX('Activities'!K428,198))</x:f>
        <x:v>0</x:v>
      </x:c>
      <x:c r="AM428" s="22" t="n">
        <x:f>MAX(0,MIN('Activities'!L428,210)-MAX('Activities'!K428,204))</x:f>
        <x:v>0</x:v>
      </x:c>
      <x:c r="AN428" s="22" t="n">
        <x:f>MAX(0,MIN('Activities'!L428,216)-MAX('Activities'!K428,210))</x:f>
        <x:v>0</x:v>
      </x:c>
      <x:c r="AO428" s="22" t="n">
        <x:f>MAX(0,MIN('Activities'!L428,222)-MAX('Activities'!K428,216))</x:f>
        <x:v>0</x:v>
      </x:c>
      <x:c r="AP428" s="22" t="n">
        <x:f>MAX(0,MIN('Activities'!L428,228)-MAX('Activities'!K428,222))</x:f>
        <x:v>0</x:v>
      </x:c>
      <x:c r="AQ428" s="22" t="n">
        <x:f>MAX(0,MIN('Activities'!L428,234)-MAX('Activities'!K428,228))</x:f>
        <x:v>4</x:v>
      </x:c>
      <x:c r="AR428" s="22" t="n">
        <x:f>MAX(0,MIN('Activities'!L428,240)-MAX('Activities'!K428,234))</x:f>
        <x:v>1</x:v>
      </x:c>
      <x:c r="AS428" s="22" t="n">
        <x:f>MAX(0,MIN('Activities'!L428,246)-MAX('Activities'!K428,240))</x:f>
        <x:v>0</x:v>
      </x:c>
      <x:c r="AT428" s="22" t="n">
        <x:f>MAX(0,MIN('Activities'!L428,252)-MAX('Activities'!K428,246))</x:f>
        <x:v>0</x:v>
      </x:c>
      <x:c r="AU428" s="22" t="n">
        <x:f>MAX(0,MIN('Activities'!L428,258)-MAX('Activities'!K428,252))</x:f>
        <x:v>0</x:v>
      </x:c>
      <x:c r="AV428" s="22" t="n">
        <x:f>MAX(0,MIN('Activities'!L428,264)-MAX('Activities'!K428,258))</x:f>
        <x:v>0</x:v>
      </x:c>
      <x:c r="AW428" s="22" t="n">
        <x:f>MAX(0,MIN('Activities'!L428,270)-MAX('Activities'!K428,264))</x:f>
        <x:v>0</x:v>
      </x:c>
      <x:c r="AX428" s="22" t="n">
        <x:f>MAX(0,MIN('Activities'!L428,276)-MAX('Activities'!K428,270))</x:f>
        <x:v>0</x:v>
      </x:c>
      <x:c r="AY428" s="22" t="n">
        <x:f>MAX(0,MIN('Activities'!L428,282)-MAX('Activities'!K428,276))</x:f>
        <x:v>0</x:v>
      </x:c>
      <x:c r="AZ428" s="22" t="n">
        <x:f>MAX(0,MIN('Activities'!L428,288)-MAX('Activities'!K428,282))</x:f>
        <x:v>0</x:v>
      </x:c>
      <x:c r="BA428" s="22" t="n">
        <x:f>MAX(0,MIN('Activities'!L428,294)-MAX('Activities'!K428,288))</x:f>
        <x:v>0</x:v>
      </x:c>
      <x:c r="BB428" s="22" t="n">
        <x:f>MAX(0,MIN('Activities'!L428,300)-MAX('Activities'!K428,294))</x:f>
        <x:v>0</x:v>
      </x:c>
      <x:c r="BC428" s="22" t="n">
        <x:f>MAX(0,MIN('Activities'!L428,306)-MAX('Activities'!K428,300))</x:f>
        <x:v>0</x:v>
      </x:c>
      <x:c r="BD428" s="22" t="n">
        <x:f>MAX(0,MIN('Activities'!L428,312)-MAX('Activities'!K428,306))</x:f>
        <x:v>0</x:v>
      </x:c>
      <x:c r="BE428" s="22" t="n">
        <x:f>MAX(0,MIN('Activities'!L428,318)-MAX('Activities'!K428,312))</x:f>
        <x:v>0</x:v>
      </x:c>
      <x:c r="BF428" s="22" t="n">
        <x:f>MAX(0,MIN('Activities'!L428,324)-MAX('Activities'!K428,318))</x:f>
        <x:v>0</x:v>
      </x:c>
      <x:c r="BG428" s="22" t="n">
        <x:f>MAX(0,MIN('Activities'!L428,330)-MAX('Activities'!K428,324))</x:f>
        <x:v>0</x:v>
      </x:c>
      <x:c r="BH428" s="22" t="n">
        <x:f>MAX(0,MIN('Activities'!L428,336)-MAX('Activities'!K428,330))</x:f>
        <x:v>0</x:v>
      </x:c>
      <x:c r="BI428" s="22" t="n">
        <x:f>MAX(0,MIN('Activities'!L428,342)-MAX('Activities'!K428,336))</x:f>
        <x:v>0</x:v>
      </x:c>
      <x:c r="BJ428" s="22" t="n">
        <x:f>MAX(0,MIN('Activities'!L428,348)-MAX('Activities'!K428,342))</x:f>
        <x:v>0</x:v>
      </x:c>
      <x:c r="BK428" s="22" t="n">
        <x:f>MAX(0,MIN('Activities'!L428,354)-MAX('Activities'!K428,348))</x:f>
        <x:v>0</x:v>
      </x:c>
      <x:c r="BL428" s="22" t="n">
        <x:f>MAX(0,MIN('Activities'!L428,360)-MAX('Activities'!K428,354))</x:f>
        <x:v>0</x:v>
      </x:c>
      <x:c r="BM428" s="22" t="n">
        <x:f>MAX(0,MIN('Activities'!L428,366)-MAX('Activities'!K428,360))</x:f>
        <x:v>0</x:v>
      </x:c>
      <x:c r="BN428" s="22" t="n">
        <x:f>MAX(0,MIN('Activities'!L428,372)-MAX('Activities'!K428,366))</x:f>
        <x:v>0</x:v>
      </x:c>
      <x:c r="BO428" s="22" t="n">
        <x:f>MAX(0,MIN('Activities'!L428,378)-MAX('Activities'!K428,372))</x:f>
        <x:v>0</x:v>
      </x:c>
      <x:c r="BP428" s="22" t="n">
        <x:f>MAX(0,MIN('Activities'!L428,384)-MAX('Activities'!K428,378))</x:f>
        <x:v>0</x:v>
      </x:c>
      <x:c r="BQ428" s="22" t="n">
        <x:f>MAX(0,MIN('Activities'!L428,390)-MAX('Activities'!K428,384))</x:f>
        <x:v>0</x:v>
      </x:c>
      <x:c r="BR428" s="22" t="n">
        <x:f>MAX(0,MIN('Activities'!L428,396)-MAX('Activities'!K428,390))</x:f>
        <x:v>0</x:v>
      </x:c>
      <x:c r="BS428" s="22" t="n">
        <x:f>MAX(0,MIN('Activities'!L428,402)-MAX('Activities'!K428,396))</x:f>
        <x:v>0</x:v>
      </x:c>
      <x:c r="BT428" s="22" t="n">
        <x:f>MAX(0,MIN('Activities'!L428,408)-MAX('Activities'!K428,402))</x:f>
        <x:v>0</x:v>
      </x:c>
      <x:c r="BU428" s="22" t="n">
        <x:f>MAX(0,MIN('Activities'!L428,414)-MAX('Activities'!K428,408))</x:f>
        <x:v>0</x:v>
      </x:c>
      <x:c r="BV428" s="22" t="n">
        <x:f>MAX(0,MIN('Activities'!L428,420)-MAX('Activities'!K428,414))</x:f>
        <x:v>0</x:v>
      </x:c>
      <x:c r="BW428" s="22" t="n">
        <x:f>MAX(0,MIN('Activities'!L428,426)-MAX('Activities'!K428,420))</x:f>
        <x:v>0</x:v>
      </x:c>
      <x:c r="BX428" s="22" t="n">
        <x:f>MAX(0,MIN('Activities'!L428,432)-MAX('Activities'!K428,426))</x:f>
        <x:v>0</x:v>
      </x:c>
      <x:c r="BY428" s="22" t="n">
        <x:f>MAX(0,MIN('Activities'!L428,438)-MAX('Activities'!K428,432))</x:f>
        <x:v>0</x:v>
      </x:c>
      <x:c r="BZ428" s="22" t="n">
        <x:f>MAX(0,MIN('Activities'!L428,444)-MAX('Activities'!K428,438))</x:f>
        <x:v>0</x:v>
      </x:c>
      <x:c r="CA428" s="22" t="n">
        <x:f>MAX(0,MIN('Activities'!L428,450)-MAX('Activities'!K428,444))</x:f>
        <x:v>0</x:v>
      </x:c>
      <x:c r="CB428" s="22" t="n">
        <x:f>MAX(0,MIN('Activities'!L428,456)-MAX('Activities'!K428,450))</x:f>
        <x:v>0</x:v>
      </x:c>
      <x:c r="CC428" s="22" t="n">
        <x:f>MAX(0,MIN('Activities'!L428,462)-MAX('Activities'!K428,456))</x:f>
        <x:v>0</x:v>
      </x:c>
      <x:c r="CD428" s="22" t="n">
        <x:f>MAX(0,MIN('Activities'!L428,468)-MAX('Activities'!K428,462))</x:f>
        <x:v>0</x:v>
      </x:c>
      <x:c r="CE428" s="22" t="n">
        <x:f>MAX(0,MIN('Activities'!L428,474)-MAX('Activities'!K428,468))</x:f>
        <x:v>0</x:v>
      </x:c>
      <x:c r="CF428" s="22" t="n">
        <x:f>MAX(0,MIN('Activities'!L428,480)-MAX('Activities'!K428,474))</x:f>
        <x:v>0</x:v>
      </x:c>
      <x:c r="CG428" s="22" t="n">
        <x:f>MAX(0,MIN('Activities'!L428,486)-MAX('Activities'!K428,480))</x:f>
        <x:v>0</x:v>
      </x:c>
      <x:c r="CH428" s="22" t="n">
        <x:f>MAX(0,MIN('Activities'!L428,492)-MAX('Activities'!K428,486))</x:f>
        <x:v>0</x:v>
      </x:c>
      <x:c r="CI428" s="22" t="n">
        <x:f>MAX(0,MIN('Activities'!L428,498)-MAX('Activities'!K428,492))</x:f>
        <x:v>0</x:v>
      </x:c>
      <x:c r="CJ428" s="22" t="n">
        <x:f>MAX(0,MIN('Activities'!L428,504)-MAX('Activities'!K428,498))</x:f>
        <x:v>0</x:v>
      </x:c>
      <x:c r="CK428" s="22" t="n">
        <x:f>MAX(0,MIN('Activities'!L428,510)-MAX('Activities'!K428,504))</x:f>
        <x:v>0</x:v>
      </x:c>
      <x:c r="CL428" s="22" t="n">
        <x:f>MAX(0,MIN('Activities'!L428,516)-MAX('Activities'!K428,510))</x:f>
        <x:v>0</x:v>
      </x:c>
      <x:c r="CM428" s="22" t="n">
        <x:f>MAX(0,MIN('Activities'!L428,522)-MAX('Activities'!K428,516))</x:f>
        <x:v>0</x:v>
      </x:c>
      <x:c r="CN428" s="22" t="n">
        <x:f>MAX(0,MIN('Activities'!L428,528)-MAX('Activities'!K428,522))</x:f>
        <x:v>0</x:v>
      </x:c>
      <x:c r="CO428" s="22" t="n">
        <x:f>MAX(0,MIN('Activities'!L428,534)-MAX('Activities'!K428,528))</x:f>
        <x:v>0</x:v>
      </x:c>
      <x:c r="CP428" s="22" t="n">
        <x:f>MAX(0,MIN('Activities'!L428,540)-MAX('Activities'!K428,534))</x:f>
        <x:v>0</x:v>
      </x:c>
      <x:c r="CQ428" s="22" t="n">
        <x:f>MAX(0,MIN('Activities'!L428,546)-MAX('Activities'!K428,540))</x:f>
        <x:v>0</x:v>
      </x:c>
      <x:c r="CR428" s="22" t="n">
        <x:f>MAX(0,MIN('Activities'!L428,552)-MAX('Activities'!K428,546))</x:f>
        <x:v>0</x:v>
      </x:c>
      <x:c r="CS428" s="22" t="n">
        <x:f>MAX(0,MIN('Activities'!L428,558)-MAX('Activities'!K428,552))</x:f>
        <x:v>0</x:v>
      </x:c>
      <x:c r="CT428" s="22" t="n">
        <x:f>MAX(0,MIN('Activities'!L428,564)-MAX('Activities'!K428,558))</x:f>
        <x:v>0</x:v>
      </x:c>
      <x:c r="CU428" s="22" t="n">
        <x:f>MAX(0,MIN('Activities'!L428,570)-MAX('Activities'!K428,564))</x:f>
        <x:v>0</x:v>
      </x:c>
      <x:c r="CV428" s="22" t="n">
        <x:f>MAX(0,MIN('Activities'!L428,576)-MAX('Activities'!K428,570))</x:f>
        <x:v>0</x:v>
      </x:c>
      <x:c r="CW428" s="22" t="n">
        <x:f>MAX(0,MIN('Activities'!L428,582)-MAX('Activities'!K428,576))</x:f>
        <x:v>0</x:v>
      </x:c>
      <x:c r="CX428" s="22" t="n">
        <x:f>MAX(0,MIN('Activities'!L428,588)-MAX('Activities'!K428,582))</x:f>
        <x:v>0</x:v>
      </x:c>
      <x:c r="CY428" s="22" t="n">
        <x:f>MAX(0,MIN('Activities'!L428,594)-MAX('Activities'!K428,588))</x:f>
        <x:v>0</x:v>
      </x:c>
      <x:c r="CZ428" s="22" t="n">
        <x:f>MAX(0,MIN('Activities'!L428,600)-MAX('Activities'!K428,594))</x:f>
        <x:v>0</x:v>
      </x:c>
      <x:c r="DA428" s="22" t="n">
        <x:f>MAX(0,MIN('Activities'!L428,606)-MAX('Activities'!K428,600))</x:f>
        <x:v>0</x:v>
      </x:c>
      <x:c r="DB428" s="22" t="n">
        <x:f>MAX(0,MIN('Activities'!L428,612)-MAX('Activities'!K428,606))</x:f>
        <x:v>0</x:v>
      </x:c>
      <x:c r="DC428" s="22" t="n">
        <x:f>MAX(0,MIN('Activities'!L428,618)-MAX('Activities'!K428,612))</x:f>
        <x:v>0</x:v>
      </x:c>
      <x:c r="DD428" s="22" t="n">
        <x:f>MAX(0,MIN('Activities'!L428,624)-MAX('Activities'!K428,618))</x:f>
        <x:v>0</x:v>
      </x:c>
      <x:c r="DE428" s="22" t="n">
        <x:f>MAX(0,MIN('Activities'!L428,630)-MAX('Activities'!K428,624))</x:f>
        <x:v>0</x:v>
      </x:c>
      <x:c r="DF428" s="22" t="n">
        <x:f>MAX(0,MIN('Activities'!L428,636)-MAX('Activities'!K428,630))</x:f>
        <x:v>0</x:v>
      </x:c>
    </x:row>
    <x:row r="429" ht="23" customHeight="1">
      <x:c r="A429" s="1" t="str">
        <x:v>T4-L03-C</x:v>
      </x:c>
      <x:c r="B429" s="1" t="str">
        <x:v>T4</x:v>
      </x:c>
      <x:c r="C429" s="1" t="str">
        <x:v>Concrete placement and finishing</x:v>
      </x:c>
      <x:c r="D429" s="1" t="str">
        <x:v>Concrete</x:v>
      </x:c>
      <x:c r="E429" s="23" t="n">
        <x:f>MAX(0,MIN('Activities'!L429,6)-MAX('Activities'!K429,0))</x:f>
        <x:v>0</x:v>
      </x:c>
      <x:c r="F429" s="23" t="n">
        <x:f>MAX(0,MIN('Activities'!L429,12)-MAX('Activities'!K429,6))</x:f>
        <x:v>0</x:v>
      </x:c>
      <x:c r="G429" s="23" t="n">
        <x:f>MAX(0,MIN('Activities'!L429,18)-MAX('Activities'!K429,12))</x:f>
        <x:v>0</x:v>
      </x:c>
      <x:c r="H429" s="23" t="n">
        <x:f>MAX(0,MIN('Activities'!L429,24)-MAX('Activities'!K429,18))</x:f>
        <x:v>0</x:v>
      </x:c>
      <x:c r="I429" s="23" t="n">
        <x:f>MAX(0,MIN('Activities'!L429,30)-MAX('Activities'!K429,24))</x:f>
        <x:v>0</x:v>
      </x:c>
      <x:c r="J429" s="23" t="n">
        <x:f>MAX(0,MIN('Activities'!L429,36)-MAX('Activities'!K429,30))</x:f>
        <x:v>0</x:v>
      </x:c>
      <x:c r="K429" s="23" t="n">
        <x:f>MAX(0,MIN('Activities'!L429,42)-MAX('Activities'!K429,36))</x:f>
        <x:v>0</x:v>
      </x:c>
      <x:c r="L429" s="23" t="n">
        <x:f>MAX(0,MIN('Activities'!L429,48)-MAX('Activities'!K429,42))</x:f>
        <x:v>0</x:v>
      </x:c>
      <x:c r="M429" s="23" t="n">
        <x:f>MAX(0,MIN('Activities'!L429,54)-MAX('Activities'!K429,48))</x:f>
        <x:v>0</x:v>
      </x:c>
      <x:c r="N429" s="23" t="n">
        <x:f>MAX(0,MIN('Activities'!L429,60)-MAX('Activities'!K429,54))</x:f>
        <x:v>0</x:v>
      </x:c>
      <x:c r="O429" s="23" t="n">
        <x:f>MAX(0,MIN('Activities'!L429,66)-MAX('Activities'!K429,60))</x:f>
        <x:v>0</x:v>
      </x:c>
      <x:c r="P429" s="23" t="n">
        <x:f>MAX(0,MIN('Activities'!L429,72)-MAX('Activities'!K429,66))</x:f>
        <x:v>0</x:v>
      </x:c>
      <x:c r="Q429" s="23" t="n">
        <x:f>MAX(0,MIN('Activities'!L429,78)-MAX('Activities'!K429,72))</x:f>
        <x:v>0</x:v>
      </x:c>
      <x:c r="R429" s="23" t="n">
        <x:f>MAX(0,MIN('Activities'!L429,84)-MAX('Activities'!K429,78))</x:f>
        <x:v>0</x:v>
      </x:c>
      <x:c r="S429" s="23" t="n">
        <x:f>MAX(0,MIN('Activities'!L429,90)-MAX('Activities'!K429,84))</x:f>
        <x:v>0</x:v>
      </x:c>
      <x:c r="T429" s="23" t="n">
        <x:f>MAX(0,MIN('Activities'!L429,96)-MAX('Activities'!K429,90))</x:f>
        <x:v>0</x:v>
      </x:c>
      <x:c r="U429" s="23" t="n">
        <x:f>MAX(0,MIN('Activities'!L429,102)-MAX('Activities'!K429,96))</x:f>
        <x:v>0</x:v>
      </x:c>
      <x:c r="V429" s="23" t="n">
        <x:f>MAX(0,MIN('Activities'!L429,108)-MAX('Activities'!K429,102))</x:f>
        <x:v>0</x:v>
      </x:c>
      <x:c r="W429" s="23" t="n">
        <x:f>MAX(0,MIN('Activities'!L429,114)-MAX('Activities'!K429,108))</x:f>
        <x:v>0</x:v>
      </x:c>
      <x:c r="X429" s="23" t="n">
        <x:f>MAX(0,MIN('Activities'!L429,120)-MAX('Activities'!K429,114))</x:f>
        <x:v>0</x:v>
      </x:c>
      <x:c r="Y429" s="23" t="n">
        <x:f>MAX(0,MIN('Activities'!L429,126)-MAX('Activities'!K429,120))</x:f>
        <x:v>0</x:v>
      </x:c>
      <x:c r="Z429" s="23" t="n">
        <x:f>MAX(0,MIN('Activities'!L429,132)-MAX('Activities'!K429,126))</x:f>
        <x:v>0</x:v>
      </x:c>
      <x:c r="AA429" s="23" t="n">
        <x:f>MAX(0,MIN('Activities'!L429,138)-MAX('Activities'!K429,132))</x:f>
        <x:v>0</x:v>
      </x:c>
      <x:c r="AB429" s="23" t="n">
        <x:f>MAX(0,MIN('Activities'!L429,144)-MAX('Activities'!K429,138))</x:f>
        <x:v>0</x:v>
      </x:c>
      <x:c r="AC429" s="23" t="n">
        <x:f>MAX(0,MIN('Activities'!L429,150)-MAX('Activities'!K429,144))</x:f>
        <x:v>0</x:v>
      </x:c>
      <x:c r="AD429" s="23" t="n">
        <x:f>MAX(0,MIN('Activities'!L429,156)-MAX('Activities'!K429,150))</x:f>
        <x:v>0</x:v>
      </x:c>
      <x:c r="AE429" s="23" t="n">
        <x:f>MAX(0,MIN('Activities'!L429,162)-MAX('Activities'!K429,156))</x:f>
        <x:v>0</x:v>
      </x:c>
      <x:c r="AF429" s="23" t="n">
        <x:f>MAX(0,MIN('Activities'!L429,168)-MAX('Activities'!K429,162))</x:f>
        <x:v>0</x:v>
      </x:c>
      <x:c r="AG429" s="23" t="n">
        <x:f>MAX(0,MIN('Activities'!L429,174)-MAX('Activities'!K429,168))</x:f>
        <x:v>0</x:v>
      </x:c>
      <x:c r="AH429" s="23" t="n">
        <x:f>MAX(0,MIN('Activities'!L429,180)-MAX('Activities'!K429,174))</x:f>
        <x:v>0</x:v>
      </x:c>
      <x:c r="AI429" s="23" t="n">
        <x:f>MAX(0,MIN('Activities'!L429,186)-MAX('Activities'!K429,180))</x:f>
        <x:v>0</x:v>
      </x:c>
      <x:c r="AJ429" s="23" t="n">
        <x:f>MAX(0,MIN('Activities'!L429,192)-MAX('Activities'!K429,186))</x:f>
        <x:v>0</x:v>
      </x:c>
      <x:c r="AK429" s="23" t="n">
        <x:f>MAX(0,MIN('Activities'!L429,198)-MAX('Activities'!K429,192))</x:f>
        <x:v>0</x:v>
      </x:c>
      <x:c r="AL429" s="23" t="n">
        <x:f>MAX(0,MIN('Activities'!L429,204)-MAX('Activities'!K429,198))</x:f>
        <x:v>0</x:v>
      </x:c>
      <x:c r="AM429" s="23" t="n">
        <x:f>MAX(0,MIN('Activities'!L429,210)-MAX('Activities'!K429,204))</x:f>
        <x:v>0</x:v>
      </x:c>
      <x:c r="AN429" s="23" t="n">
        <x:f>MAX(0,MIN('Activities'!L429,216)-MAX('Activities'!K429,210))</x:f>
        <x:v>0</x:v>
      </x:c>
      <x:c r="AO429" s="23" t="n">
        <x:f>MAX(0,MIN('Activities'!L429,222)-MAX('Activities'!K429,216))</x:f>
        <x:v>0</x:v>
      </x:c>
      <x:c r="AP429" s="23" t="n">
        <x:f>MAX(0,MIN('Activities'!L429,228)-MAX('Activities'!K429,222))</x:f>
        <x:v>0</x:v>
      </x:c>
      <x:c r="AQ429" s="23" t="n">
        <x:f>MAX(0,MIN('Activities'!L429,234)-MAX('Activities'!K429,228))</x:f>
        <x:v>0</x:v>
      </x:c>
      <x:c r="AR429" s="23" t="n">
        <x:f>MAX(0,MIN('Activities'!L429,240)-MAX('Activities'!K429,234))</x:f>
        <x:v>2</x:v>
      </x:c>
      <x:c r="AS429" s="23" t="n">
        <x:f>MAX(0,MIN('Activities'!L429,246)-MAX('Activities'!K429,240))</x:f>
        <x:v>0</x:v>
      </x:c>
      <x:c r="AT429" s="23" t="n">
        <x:f>MAX(0,MIN('Activities'!L429,252)-MAX('Activities'!K429,246))</x:f>
        <x:v>0</x:v>
      </x:c>
      <x:c r="AU429" s="23" t="n">
        <x:f>MAX(0,MIN('Activities'!L429,258)-MAX('Activities'!K429,252))</x:f>
        <x:v>0</x:v>
      </x:c>
      <x:c r="AV429" s="23" t="n">
        <x:f>MAX(0,MIN('Activities'!L429,264)-MAX('Activities'!K429,258))</x:f>
        <x:v>0</x:v>
      </x:c>
      <x:c r="AW429" s="23" t="n">
        <x:f>MAX(0,MIN('Activities'!L429,270)-MAX('Activities'!K429,264))</x:f>
        <x:v>0</x:v>
      </x:c>
      <x:c r="AX429" s="23" t="n">
        <x:f>MAX(0,MIN('Activities'!L429,276)-MAX('Activities'!K429,270))</x:f>
        <x:v>0</x:v>
      </x:c>
      <x:c r="AY429" s="23" t="n">
        <x:f>MAX(0,MIN('Activities'!L429,282)-MAX('Activities'!K429,276))</x:f>
        <x:v>0</x:v>
      </x:c>
      <x:c r="AZ429" s="23" t="n">
        <x:f>MAX(0,MIN('Activities'!L429,288)-MAX('Activities'!K429,282))</x:f>
        <x:v>0</x:v>
      </x:c>
      <x:c r="BA429" s="23" t="n">
        <x:f>MAX(0,MIN('Activities'!L429,294)-MAX('Activities'!K429,288))</x:f>
        <x:v>0</x:v>
      </x:c>
      <x:c r="BB429" s="23" t="n">
        <x:f>MAX(0,MIN('Activities'!L429,300)-MAX('Activities'!K429,294))</x:f>
        <x:v>0</x:v>
      </x:c>
      <x:c r="BC429" s="23" t="n">
        <x:f>MAX(0,MIN('Activities'!L429,306)-MAX('Activities'!K429,300))</x:f>
        <x:v>0</x:v>
      </x:c>
      <x:c r="BD429" s="23" t="n">
        <x:f>MAX(0,MIN('Activities'!L429,312)-MAX('Activities'!K429,306))</x:f>
        <x:v>0</x:v>
      </x:c>
      <x:c r="BE429" s="23" t="n">
        <x:f>MAX(0,MIN('Activities'!L429,318)-MAX('Activities'!K429,312))</x:f>
        <x:v>0</x:v>
      </x:c>
      <x:c r="BF429" s="23" t="n">
        <x:f>MAX(0,MIN('Activities'!L429,324)-MAX('Activities'!K429,318))</x:f>
        <x:v>0</x:v>
      </x:c>
      <x:c r="BG429" s="23" t="n">
        <x:f>MAX(0,MIN('Activities'!L429,330)-MAX('Activities'!K429,324))</x:f>
        <x:v>0</x:v>
      </x:c>
      <x:c r="BH429" s="23" t="n">
        <x:f>MAX(0,MIN('Activities'!L429,336)-MAX('Activities'!K429,330))</x:f>
        <x:v>0</x:v>
      </x:c>
      <x:c r="BI429" s="23" t="n">
        <x:f>MAX(0,MIN('Activities'!L429,342)-MAX('Activities'!K429,336))</x:f>
        <x:v>0</x:v>
      </x:c>
      <x:c r="BJ429" s="23" t="n">
        <x:f>MAX(0,MIN('Activities'!L429,348)-MAX('Activities'!K429,342))</x:f>
        <x:v>0</x:v>
      </x:c>
      <x:c r="BK429" s="23" t="n">
        <x:f>MAX(0,MIN('Activities'!L429,354)-MAX('Activities'!K429,348))</x:f>
        <x:v>0</x:v>
      </x:c>
      <x:c r="BL429" s="23" t="n">
        <x:f>MAX(0,MIN('Activities'!L429,360)-MAX('Activities'!K429,354))</x:f>
        <x:v>0</x:v>
      </x:c>
      <x:c r="BM429" s="23" t="n">
        <x:f>MAX(0,MIN('Activities'!L429,366)-MAX('Activities'!K429,360))</x:f>
        <x:v>0</x:v>
      </x:c>
      <x:c r="BN429" s="23" t="n">
        <x:f>MAX(0,MIN('Activities'!L429,372)-MAX('Activities'!K429,366))</x:f>
        <x:v>0</x:v>
      </x:c>
      <x:c r="BO429" s="23" t="n">
        <x:f>MAX(0,MIN('Activities'!L429,378)-MAX('Activities'!K429,372))</x:f>
        <x:v>0</x:v>
      </x:c>
      <x:c r="BP429" s="23" t="n">
        <x:f>MAX(0,MIN('Activities'!L429,384)-MAX('Activities'!K429,378))</x:f>
        <x:v>0</x:v>
      </x:c>
      <x:c r="BQ429" s="23" t="n">
        <x:f>MAX(0,MIN('Activities'!L429,390)-MAX('Activities'!K429,384))</x:f>
        <x:v>0</x:v>
      </x:c>
      <x:c r="BR429" s="23" t="n">
        <x:f>MAX(0,MIN('Activities'!L429,396)-MAX('Activities'!K429,390))</x:f>
        <x:v>0</x:v>
      </x:c>
      <x:c r="BS429" s="23" t="n">
        <x:f>MAX(0,MIN('Activities'!L429,402)-MAX('Activities'!K429,396))</x:f>
        <x:v>0</x:v>
      </x:c>
      <x:c r="BT429" s="23" t="n">
        <x:f>MAX(0,MIN('Activities'!L429,408)-MAX('Activities'!K429,402))</x:f>
        <x:v>0</x:v>
      </x:c>
      <x:c r="BU429" s="23" t="n">
        <x:f>MAX(0,MIN('Activities'!L429,414)-MAX('Activities'!K429,408))</x:f>
        <x:v>0</x:v>
      </x:c>
      <x:c r="BV429" s="23" t="n">
        <x:f>MAX(0,MIN('Activities'!L429,420)-MAX('Activities'!K429,414))</x:f>
        <x:v>0</x:v>
      </x:c>
      <x:c r="BW429" s="23" t="n">
        <x:f>MAX(0,MIN('Activities'!L429,426)-MAX('Activities'!K429,420))</x:f>
        <x:v>0</x:v>
      </x:c>
      <x:c r="BX429" s="23" t="n">
        <x:f>MAX(0,MIN('Activities'!L429,432)-MAX('Activities'!K429,426))</x:f>
        <x:v>0</x:v>
      </x:c>
      <x:c r="BY429" s="23" t="n">
        <x:f>MAX(0,MIN('Activities'!L429,438)-MAX('Activities'!K429,432))</x:f>
        <x:v>0</x:v>
      </x:c>
      <x:c r="BZ429" s="23" t="n">
        <x:f>MAX(0,MIN('Activities'!L429,444)-MAX('Activities'!K429,438))</x:f>
        <x:v>0</x:v>
      </x:c>
      <x:c r="CA429" s="23" t="n">
        <x:f>MAX(0,MIN('Activities'!L429,450)-MAX('Activities'!K429,444))</x:f>
        <x:v>0</x:v>
      </x:c>
      <x:c r="CB429" s="23" t="n">
        <x:f>MAX(0,MIN('Activities'!L429,456)-MAX('Activities'!K429,450))</x:f>
        <x:v>0</x:v>
      </x:c>
      <x:c r="CC429" s="23" t="n">
        <x:f>MAX(0,MIN('Activities'!L429,462)-MAX('Activities'!K429,456))</x:f>
        <x:v>0</x:v>
      </x:c>
      <x:c r="CD429" s="23" t="n">
        <x:f>MAX(0,MIN('Activities'!L429,468)-MAX('Activities'!K429,462))</x:f>
        <x:v>0</x:v>
      </x:c>
      <x:c r="CE429" s="23" t="n">
        <x:f>MAX(0,MIN('Activities'!L429,474)-MAX('Activities'!K429,468))</x:f>
        <x:v>0</x:v>
      </x:c>
      <x:c r="CF429" s="23" t="n">
        <x:f>MAX(0,MIN('Activities'!L429,480)-MAX('Activities'!K429,474))</x:f>
        <x:v>0</x:v>
      </x:c>
      <x:c r="CG429" s="23" t="n">
        <x:f>MAX(0,MIN('Activities'!L429,486)-MAX('Activities'!K429,480))</x:f>
        <x:v>0</x:v>
      </x:c>
      <x:c r="CH429" s="23" t="n">
        <x:f>MAX(0,MIN('Activities'!L429,492)-MAX('Activities'!K429,486))</x:f>
        <x:v>0</x:v>
      </x:c>
      <x:c r="CI429" s="23" t="n">
        <x:f>MAX(0,MIN('Activities'!L429,498)-MAX('Activities'!K429,492))</x:f>
        <x:v>0</x:v>
      </x:c>
      <x:c r="CJ429" s="23" t="n">
        <x:f>MAX(0,MIN('Activities'!L429,504)-MAX('Activities'!K429,498))</x:f>
        <x:v>0</x:v>
      </x:c>
      <x:c r="CK429" s="23" t="n">
        <x:f>MAX(0,MIN('Activities'!L429,510)-MAX('Activities'!K429,504))</x:f>
        <x:v>0</x:v>
      </x:c>
      <x:c r="CL429" s="23" t="n">
        <x:f>MAX(0,MIN('Activities'!L429,516)-MAX('Activities'!K429,510))</x:f>
        <x:v>0</x:v>
      </x:c>
      <x:c r="CM429" s="23" t="n">
        <x:f>MAX(0,MIN('Activities'!L429,522)-MAX('Activities'!K429,516))</x:f>
        <x:v>0</x:v>
      </x:c>
      <x:c r="CN429" s="23" t="n">
        <x:f>MAX(0,MIN('Activities'!L429,528)-MAX('Activities'!K429,522))</x:f>
        <x:v>0</x:v>
      </x:c>
      <x:c r="CO429" s="23" t="n">
        <x:f>MAX(0,MIN('Activities'!L429,534)-MAX('Activities'!K429,528))</x:f>
        <x:v>0</x:v>
      </x:c>
      <x:c r="CP429" s="23" t="n">
        <x:f>MAX(0,MIN('Activities'!L429,540)-MAX('Activities'!K429,534))</x:f>
        <x:v>0</x:v>
      </x:c>
      <x:c r="CQ429" s="23" t="n">
        <x:f>MAX(0,MIN('Activities'!L429,546)-MAX('Activities'!K429,540))</x:f>
        <x:v>0</x:v>
      </x:c>
      <x:c r="CR429" s="23" t="n">
        <x:f>MAX(0,MIN('Activities'!L429,552)-MAX('Activities'!K429,546))</x:f>
        <x:v>0</x:v>
      </x:c>
      <x:c r="CS429" s="23" t="n">
        <x:f>MAX(0,MIN('Activities'!L429,558)-MAX('Activities'!K429,552))</x:f>
        <x:v>0</x:v>
      </x:c>
      <x:c r="CT429" s="23" t="n">
        <x:f>MAX(0,MIN('Activities'!L429,564)-MAX('Activities'!K429,558))</x:f>
        <x:v>0</x:v>
      </x:c>
      <x:c r="CU429" s="23" t="n">
        <x:f>MAX(0,MIN('Activities'!L429,570)-MAX('Activities'!K429,564))</x:f>
        <x:v>0</x:v>
      </x:c>
      <x:c r="CV429" s="23" t="n">
        <x:f>MAX(0,MIN('Activities'!L429,576)-MAX('Activities'!K429,570))</x:f>
        <x:v>0</x:v>
      </x:c>
      <x:c r="CW429" s="23" t="n">
        <x:f>MAX(0,MIN('Activities'!L429,582)-MAX('Activities'!K429,576))</x:f>
        <x:v>0</x:v>
      </x:c>
      <x:c r="CX429" s="23" t="n">
        <x:f>MAX(0,MIN('Activities'!L429,588)-MAX('Activities'!K429,582))</x:f>
        <x:v>0</x:v>
      </x:c>
      <x:c r="CY429" s="23" t="n">
        <x:f>MAX(0,MIN('Activities'!L429,594)-MAX('Activities'!K429,588))</x:f>
        <x:v>0</x:v>
      </x:c>
      <x:c r="CZ429" s="23" t="n">
        <x:f>MAX(0,MIN('Activities'!L429,600)-MAX('Activities'!K429,594))</x:f>
        <x:v>0</x:v>
      </x:c>
      <x:c r="DA429" s="23" t="n">
        <x:f>MAX(0,MIN('Activities'!L429,606)-MAX('Activities'!K429,600))</x:f>
        <x:v>0</x:v>
      </x:c>
      <x:c r="DB429" s="23" t="n">
        <x:f>MAX(0,MIN('Activities'!L429,612)-MAX('Activities'!K429,606))</x:f>
        <x:v>0</x:v>
      </x:c>
      <x:c r="DC429" s="23" t="n">
        <x:f>MAX(0,MIN('Activities'!L429,618)-MAX('Activities'!K429,612))</x:f>
        <x:v>0</x:v>
      </x:c>
      <x:c r="DD429" s="23" t="n">
        <x:f>MAX(0,MIN('Activities'!L429,624)-MAX('Activities'!K429,618))</x:f>
        <x:v>0</x:v>
      </x:c>
      <x:c r="DE429" s="23" t="n">
        <x:f>MAX(0,MIN('Activities'!L429,630)-MAX('Activities'!K429,624))</x:f>
        <x:v>0</x:v>
      </x:c>
      <x:c r="DF429" s="23" t="n">
        <x:f>MAX(0,MIN('Activities'!L429,636)-MAX('Activities'!K429,630))</x:f>
        <x:v>0</x:v>
      </x:c>
    </x:row>
    <x:row r="430" ht="23" customHeight="1">
      <x:c r="A430" s="6" t="str">
        <x:v>T4-L03-H</x:v>
      </x:c>
      <x:c r="B430" s="6" t="str">
        <x:v>T4</x:v>
      </x:c>
      <x:c r="C430" s="6" t="str">
        <x:v>Curing and release hold point</x:v>
      </x:c>
      <x:c r="D430" s="6" t="str">
        <x:v>Site</x:v>
      </x:c>
      <x:c r="E430" s="22" t="n">
        <x:f>MAX(0,MIN('Activities'!L430,6)-MAX('Activities'!K430,0))</x:f>
        <x:v>0</x:v>
      </x:c>
      <x:c r="F430" s="22" t="n">
        <x:f>MAX(0,MIN('Activities'!L430,12)-MAX('Activities'!K430,6))</x:f>
        <x:v>0</x:v>
      </x:c>
      <x:c r="G430" s="22" t="n">
        <x:f>MAX(0,MIN('Activities'!L430,18)-MAX('Activities'!K430,12))</x:f>
        <x:v>0</x:v>
      </x:c>
      <x:c r="H430" s="22" t="n">
        <x:f>MAX(0,MIN('Activities'!L430,24)-MAX('Activities'!K430,18))</x:f>
        <x:v>0</x:v>
      </x:c>
      <x:c r="I430" s="22" t="n">
        <x:f>MAX(0,MIN('Activities'!L430,30)-MAX('Activities'!K430,24))</x:f>
        <x:v>0</x:v>
      </x:c>
      <x:c r="J430" s="22" t="n">
        <x:f>MAX(0,MIN('Activities'!L430,36)-MAX('Activities'!K430,30))</x:f>
        <x:v>0</x:v>
      </x:c>
      <x:c r="K430" s="22" t="n">
        <x:f>MAX(0,MIN('Activities'!L430,42)-MAX('Activities'!K430,36))</x:f>
        <x:v>0</x:v>
      </x:c>
      <x:c r="L430" s="22" t="n">
        <x:f>MAX(0,MIN('Activities'!L430,48)-MAX('Activities'!K430,42))</x:f>
        <x:v>0</x:v>
      </x:c>
      <x:c r="M430" s="22" t="n">
        <x:f>MAX(0,MIN('Activities'!L430,54)-MAX('Activities'!K430,48))</x:f>
        <x:v>0</x:v>
      </x:c>
      <x:c r="N430" s="22" t="n">
        <x:f>MAX(0,MIN('Activities'!L430,60)-MAX('Activities'!K430,54))</x:f>
        <x:v>0</x:v>
      </x:c>
      <x:c r="O430" s="22" t="n">
        <x:f>MAX(0,MIN('Activities'!L430,66)-MAX('Activities'!K430,60))</x:f>
        <x:v>0</x:v>
      </x:c>
      <x:c r="P430" s="22" t="n">
        <x:f>MAX(0,MIN('Activities'!L430,72)-MAX('Activities'!K430,66))</x:f>
        <x:v>0</x:v>
      </x:c>
      <x:c r="Q430" s="22" t="n">
        <x:f>MAX(0,MIN('Activities'!L430,78)-MAX('Activities'!K430,72))</x:f>
        <x:v>0</x:v>
      </x:c>
      <x:c r="R430" s="22" t="n">
        <x:f>MAX(0,MIN('Activities'!L430,84)-MAX('Activities'!K430,78))</x:f>
        <x:v>0</x:v>
      </x:c>
      <x:c r="S430" s="22" t="n">
        <x:f>MAX(0,MIN('Activities'!L430,90)-MAX('Activities'!K430,84))</x:f>
        <x:v>0</x:v>
      </x:c>
      <x:c r="T430" s="22" t="n">
        <x:f>MAX(0,MIN('Activities'!L430,96)-MAX('Activities'!K430,90))</x:f>
        <x:v>0</x:v>
      </x:c>
      <x:c r="U430" s="22" t="n">
        <x:f>MAX(0,MIN('Activities'!L430,102)-MAX('Activities'!K430,96))</x:f>
        <x:v>0</x:v>
      </x:c>
      <x:c r="V430" s="22" t="n">
        <x:f>MAX(0,MIN('Activities'!L430,108)-MAX('Activities'!K430,102))</x:f>
        <x:v>0</x:v>
      </x:c>
      <x:c r="W430" s="22" t="n">
        <x:f>MAX(0,MIN('Activities'!L430,114)-MAX('Activities'!K430,108))</x:f>
        <x:v>0</x:v>
      </x:c>
      <x:c r="X430" s="22" t="n">
        <x:f>MAX(0,MIN('Activities'!L430,120)-MAX('Activities'!K430,114))</x:f>
        <x:v>0</x:v>
      </x:c>
      <x:c r="Y430" s="22" t="n">
        <x:f>MAX(0,MIN('Activities'!L430,126)-MAX('Activities'!K430,120))</x:f>
        <x:v>0</x:v>
      </x:c>
      <x:c r="Z430" s="22" t="n">
        <x:f>MAX(0,MIN('Activities'!L430,132)-MAX('Activities'!K430,126))</x:f>
        <x:v>0</x:v>
      </x:c>
      <x:c r="AA430" s="22" t="n">
        <x:f>MAX(0,MIN('Activities'!L430,138)-MAX('Activities'!K430,132))</x:f>
        <x:v>0</x:v>
      </x:c>
      <x:c r="AB430" s="22" t="n">
        <x:f>MAX(0,MIN('Activities'!L430,144)-MAX('Activities'!K430,138))</x:f>
        <x:v>0</x:v>
      </x:c>
      <x:c r="AC430" s="22" t="n">
        <x:f>MAX(0,MIN('Activities'!L430,150)-MAX('Activities'!K430,144))</x:f>
        <x:v>0</x:v>
      </x:c>
      <x:c r="AD430" s="22" t="n">
        <x:f>MAX(0,MIN('Activities'!L430,156)-MAX('Activities'!K430,150))</x:f>
        <x:v>0</x:v>
      </x:c>
      <x:c r="AE430" s="22" t="n">
        <x:f>MAX(0,MIN('Activities'!L430,162)-MAX('Activities'!K430,156))</x:f>
        <x:v>0</x:v>
      </x:c>
      <x:c r="AF430" s="22" t="n">
        <x:f>MAX(0,MIN('Activities'!L430,168)-MAX('Activities'!K430,162))</x:f>
        <x:v>0</x:v>
      </x:c>
      <x:c r="AG430" s="22" t="n">
        <x:f>MAX(0,MIN('Activities'!L430,174)-MAX('Activities'!K430,168))</x:f>
        <x:v>0</x:v>
      </x:c>
      <x:c r="AH430" s="22" t="n">
        <x:f>MAX(0,MIN('Activities'!L430,180)-MAX('Activities'!K430,174))</x:f>
        <x:v>0</x:v>
      </x:c>
      <x:c r="AI430" s="22" t="n">
        <x:f>MAX(0,MIN('Activities'!L430,186)-MAX('Activities'!K430,180))</x:f>
        <x:v>0</x:v>
      </x:c>
      <x:c r="AJ430" s="22" t="n">
        <x:f>MAX(0,MIN('Activities'!L430,192)-MAX('Activities'!K430,186))</x:f>
        <x:v>0</x:v>
      </x:c>
      <x:c r="AK430" s="22" t="n">
        <x:f>MAX(0,MIN('Activities'!L430,198)-MAX('Activities'!K430,192))</x:f>
        <x:v>0</x:v>
      </x:c>
      <x:c r="AL430" s="22" t="n">
        <x:f>MAX(0,MIN('Activities'!L430,204)-MAX('Activities'!K430,198))</x:f>
        <x:v>0</x:v>
      </x:c>
      <x:c r="AM430" s="22" t="n">
        <x:f>MAX(0,MIN('Activities'!L430,210)-MAX('Activities'!K430,204))</x:f>
        <x:v>0</x:v>
      </x:c>
      <x:c r="AN430" s="22" t="n">
        <x:f>MAX(0,MIN('Activities'!L430,216)-MAX('Activities'!K430,210))</x:f>
        <x:v>0</x:v>
      </x:c>
      <x:c r="AO430" s="22" t="n">
        <x:f>MAX(0,MIN('Activities'!L430,222)-MAX('Activities'!K430,216))</x:f>
        <x:v>0</x:v>
      </x:c>
      <x:c r="AP430" s="22" t="n">
        <x:f>MAX(0,MIN('Activities'!L430,228)-MAX('Activities'!K430,222))</x:f>
        <x:v>0</x:v>
      </x:c>
      <x:c r="AQ430" s="22" t="n">
        <x:f>MAX(0,MIN('Activities'!L430,234)-MAX('Activities'!K430,228))</x:f>
        <x:v>0</x:v>
      </x:c>
      <x:c r="AR430" s="22" t="n">
        <x:f>MAX(0,MIN('Activities'!L430,240)-MAX('Activities'!K430,234))</x:f>
        <x:v>3</x:v>
      </x:c>
      <x:c r="AS430" s="22" t="n">
        <x:f>MAX(0,MIN('Activities'!L430,246)-MAX('Activities'!K430,240))</x:f>
        <x:v>2</x:v>
      </x:c>
      <x:c r="AT430" s="22" t="n">
        <x:f>MAX(0,MIN('Activities'!L430,252)-MAX('Activities'!K430,246))</x:f>
        <x:v>0</x:v>
      </x:c>
      <x:c r="AU430" s="22" t="n">
        <x:f>MAX(0,MIN('Activities'!L430,258)-MAX('Activities'!K430,252))</x:f>
        <x:v>0</x:v>
      </x:c>
      <x:c r="AV430" s="22" t="n">
        <x:f>MAX(0,MIN('Activities'!L430,264)-MAX('Activities'!K430,258))</x:f>
        <x:v>0</x:v>
      </x:c>
      <x:c r="AW430" s="22" t="n">
        <x:f>MAX(0,MIN('Activities'!L430,270)-MAX('Activities'!K430,264))</x:f>
        <x:v>0</x:v>
      </x:c>
      <x:c r="AX430" s="22" t="n">
        <x:f>MAX(0,MIN('Activities'!L430,276)-MAX('Activities'!K430,270))</x:f>
        <x:v>0</x:v>
      </x:c>
      <x:c r="AY430" s="22" t="n">
        <x:f>MAX(0,MIN('Activities'!L430,282)-MAX('Activities'!K430,276))</x:f>
        <x:v>0</x:v>
      </x:c>
      <x:c r="AZ430" s="22" t="n">
        <x:f>MAX(0,MIN('Activities'!L430,288)-MAX('Activities'!K430,282))</x:f>
        <x:v>0</x:v>
      </x:c>
      <x:c r="BA430" s="22" t="n">
        <x:f>MAX(0,MIN('Activities'!L430,294)-MAX('Activities'!K430,288))</x:f>
        <x:v>0</x:v>
      </x:c>
      <x:c r="BB430" s="22" t="n">
        <x:f>MAX(0,MIN('Activities'!L430,300)-MAX('Activities'!K430,294))</x:f>
        <x:v>0</x:v>
      </x:c>
      <x:c r="BC430" s="22" t="n">
        <x:f>MAX(0,MIN('Activities'!L430,306)-MAX('Activities'!K430,300))</x:f>
        <x:v>0</x:v>
      </x:c>
      <x:c r="BD430" s="22" t="n">
        <x:f>MAX(0,MIN('Activities'!L430,312)-MAX('Activities'!K430,306))</x:f>
        <x:v>0</x:v>
      </x:c>
      <x:c r="BE430" s="22" t="n">
        <x:f>MAX(0,MIN('Activities'!L430,318)-MAX('Activities'!K430,312))</x:f>
        <x:v>0</x:v>
      </x:c>
      <x:c r="BF430" s="22" t="n">
        <x:f>MAX(0,MIN('Activities'!L430,324)-MAX('Activities'!K430,318))</x:f>
        <x:v>0</x:v>
      </x:c>
      <x:c r="BG430" s="22" t="n">
        <x:f>MAX(0,MIN('Activities'!L430,330)-MAX('Activities'!K430,324))</x:f>
        <x:v>0</x:v>
      </x:c>
      <x:c r="BH430" s="22" t="n">
        <x:f>MAX(0,MIN('Activities'!L430,336)-MAX('Activities'!K430,330))</x:f>
        <x:v>0</x:v>
      </x:c>
      <x:c r="BI430" s="22" t="n">
        <x:f>MAX(0,MIN('Activities'!L430,342)-MAX('Activities'!K430,336))</x:f>
        <x:v>0</x:v>
      </x:c>
      <x:c r="BJ430" s="22" t="n">
        <x:f>MAX(0,MIN('Activities'!L430,348)-MAX('Activities'!K430,342))</x:f>
        <x:v>0</x:v>
      </x:c>
      <x:c r="BK430" s="22" t="n">
        <x:f>MAX(0,MIN('Activities'!L430,354)-MAX('Activities'!K430,348))</x:f>
        <x:v>0</x:v>
      </x:c>
      <x:c r="BL430" s="22" t="n">
        <x:f>MAX(0,MIN('Activities'!L430,360)-MAX('Activities'!K430,354))</x:f>
        <x:v>0</x:v>
      </x:c>
      <x:c r="BM430" s="22" t="n">
        <x:f>MAX(0,MIN('Activities'!L430,366)-MAX('Activities'!K430,360))</x:f>
        <x:v>0</x:v>
      </x:c>
      <x:c r="BN430" s="22" t="n">
        <x:f>MAX(0,MIN('Activities'!L430,372)-MAX('Activities'!K430,366))</x:f>
        <x:v>0</x:v>
      </x:c>
      <x:c r="BO430" s="22" t="n">
        <x:f>MAX(0,MIN('Activities'!L430,378)-MAX('Activities'!K430,372))</x:f>
        <x:v>0</x:v>
      </x:c>
      <x:c r="BP430" s="22" t="n">
        <x:f>MAX(0,MIN('Activities'!L430,384)-MAX('Activities'!K430,378))</x:f>
        <x:v>0</x:v>
      </x:c>
      <x:c r="BQ430" s="22" t="n">
        <x:f>MAX(0,MIN('Activities'!L430,390)-MAX('Activities'!K430,384))</x:f>
        <x:v>0</x:v>
      </x:c>
      <x:c r="BR430" s="22" t="n">
        <x:f>MAX(0,MIN('Activities'!L430,396)-MAX('Activities'!K430,390))</x:f>
        <x:v>0</x:v>
      </x:c>
      <x:c r="BS430" s="22" t="n">
        <x:f>MAX(0,MIN('Activities'!L430,402)-MAX('Activities'!K430,396))</x:f>
        <x:v>0</x:v>
      </x:c>
      <x:c r="BT430" s="22" t="n">
        <x:f>MAX(0,MIN('Activities'!L430,408)-MAX('Activities'!K430,402))</x:f>
        <x:v>0</x:v>
      </x:c>
      <x:c r="BU430" s="22" t="n">
        <x:f>MAX(0,MIN('Activities'!L430,414)-MAX('Activities'!K430,408))</x:f>
        <x:v>0</x:v>
      </x:c>
      <x:c r="BV430" s="22" t="n">
        <x:f>MAX(0,MIN('Activities'!L430,420)-MAX('Activities'!K430,414))</x:f>
        <x:v>0</x:v>
      </x:c>
      <x:c r="BW430" s="22" t="n">
        <x:f>MAX(0,MIN('Activities'!L430,426)-MAX('Activities'!K430,420))</x:f>
        <x:v>0</x:v>
      </x:c>
      <x:c r="BX430" s="22" t="n">
        <x:f>MAX(0,MIN('Activities'!L430,432)-MAX('Activities'!K430,426))</x:f>
        <x:v>0</x:v>
      </x:c>
      <x:c r="BY430" s="22" t="n">
        <x:f>MAX(0,MIN('Activities'!L430,438)-MAX('Activities'!K430,432))</x:f>
        <x:v>0</x:v>
      </x:c>
      <x:c r="BZ430" s="22" t="n">
        <x:f>MAX(0,MIN('Activities'!L430,444)-MAX('Activities'!K430,438))</x:f>
        <x:v>0</x:v>
      </x:c>
      <x:c r="CA430" s="22" t="n">
        <x:f>MAX(0,MIN('Activities'!L430,450)-MAX('Activities'!K430,444))</x:f>
        <x:v>0</x:v>
      </x:c>
      <x:c r="CB430" s="22" t="n">
        <x:f>MAX(0,MIN('Activities'!L430,456)-MAX('Activities'!K430,450))</x:f>
        <x:v>0</x:v>
      </x:c>
      <x:c r="CC430" s="22" t="n">
        <x:f>MAX(0,MIN('Activities'!L430,462)-MAX('Activities'!K430,456))</x:f>
        <x:v>0</x:v>
      </x:c>
      <x:c r="CD430" s="22" t="n">
        <x:f>MAX(0,MIN('Activities'!L430,468)-MAX('Activities'!K430,462))</x:f>
        <x:v>0</x:v>
      </x:c>
      <x:c r="CE430" s="22" t="n">
        <x:f>MAX(0,MIN('Activities'!L430,474)-MAX('Activities'!K430,468))</x:f>
        <x:v>0</x:v>
      </x:c>
      <x:c r="CF430" s="22" t="n">
        <x:f>MAX(0,MIN('Activities'!L430,480)-MAX('Activities'!K430,474))</x:f>
        <x:v>0</x:v>
      </x:c>
      <x:c r="CG430" s="22" t="n">
        <x:f>MAX(0,MIN('Activities'!L430,486)-MAX('Activities'!K430,480))</x:f>
        <x:v>0</x:v>
      </x:c>
      <x:c r="CH430" s="22" t="n">
        <x:f>MAX(0,MIN('Activities'!L430,492)-MAX('Activities'!K430,486))</x:f>
        <x:v>0</x:v>
      </x:c>
      <x:c r="CI430" s="22" t="n">
        <x:f>MAX(0,MIN('Activities'!L430,498)-MAX('Activities'!K430,492))</x:f>
        <x:v>0</x:v>
      </x:c>
      <x:c r="CJ430" s="22" t="n">
        <x:f>MAX(0,MIN('Activities'!L430,504)-MAX('Activities'!K430,498))</x:f>
        <x:v>0</x:v>
      </x:c>
      <x:c r="CK430" s="22" t="n">
        <x:f>MAX(0,MIN('Activities'!L430,510)-MAX('Activities'!K430,504))</x:f>
        <x:v>0</x:v>
      </x:c>
      <x:c r="CL430" s="22" t="n">
        <x:f>MAX(0,MIN('Activities'!L430,516)-MAX('Activities'!K430,510))</x:f>
        <x:v>0</x:v>
      </x:c>
      <x:c r="CM430" s="22" t="n">
        <x:f>MAX(0,MIN('Activities'!L430,522)-MAX('Activities'!K430,516))</x:f>
        <x:v>0</x:v>
      </x:c>
      <x:c r="CN430" s="22" t="n">
        <x:f>MAX(0,MIN('Activities'!L430,528)-MAX('Activities'!K430,522))</x:f>
        <x:v>0</x:v>
      </x:c>
      <x:c r="CO430" s="22" t="n">
        <x:f>MAX(0,MIN('Activities'!L430,534)-MAX('Activities'!K430,528))</x:f>
        <x:v>0</x:v>
      </x:c>
      <x:c r="CP430" s="22" t="n">
        <x:f>MAX(0,MIN('Activities'!L430,540)-MAX('Activities'!K430,534))</x:f>
        <x:v>0</x:v>
      </x:c>
      <x:c r="CQ430" s="22" t="n">
        <x:f>MAX(0,MIN('Activities'!L430,546)-MAX('Activities'!K430,540))</x:f>
        <x:v>0</x:v>
      </x:c>
      <x:c r="CR430" s="22" t="n">
        <x:f>MAX(0,MIN('Activities'!L430,552)-MAX('Activities'!K430,546))</x:f>
        <x:v>0</x:v>
      </x:c>
      <x:c r="CS430" s="22" t="n">
        <x:f>MAX(0,MIN('Activities'!L430,558)-MAX('Activities'!K430,552))</x:f>
        <x:v>0</x:v>
      </x:c>
      <x:c r="CT430" s="22" t="n">
        <x:f>MAX(0,MIN('Activities'!L430,564)-MAX('Activities'!K430,558))</x:f>
        <x:v>0</x:v>
      </x:c>
      <x:c r="CU430" s="22" t="n">
        <x:f>MAX(0,MIN('Activities'!L430,570)-MAX('Activities'!K430,564))</x:f>
        <x:v>0</x:v>
      </x:c>
      <x:c r="CV430" s="22" t="n">
        <x:f>MAX(0,MIN('Activities'!L430,576)-MAX('Activities'!K430,570))</x:f>
        <x:v>0</x:v>
      </x:c>
      <x:c r="CW430" s="22" t="n">
        <x:f>MAX(0,MIN('Activities'!L430,582)-MAX('Activities'!K430,576))</x:f>
        <x:v>0</x:v>
      </x:c>
      <x:c r="CX430" s="22" t="n">
        <x:f>MAX(0,MIN('Activities'!L430,588)-MAX('Activities'!K430,582))</x:f>
        <x:v>0</x:v>
      </x:c>
      <x:c r="CY430" s="22" t="n">
        <x:f>MAX(0,MIN('Activities'!L430,594)-MAX('Activities'!K430,588))</x:f>
        <x:v>0</x:v>
      </x:c>
      <x:c r="CZ430" s="22" t="n">
        <x:f>MAX(0,MIN('Activities'!L430,600)-MAX('Activities'!K430,594))</x:f>
        <x:v>0</x:v>
      </x:c>
      <x:c r="DA430" s="22" t="n">
        <x:f>MAX(0,MIN('Activities'!L430,606)-MAX('Activities'!K430,600))</x:f>
        <x:v>0</x:v>
      </x:c>
      <x:c r="DB430" s="22" t="n">
        <x:f>MAX(0,MIN('Activities'!L430,612)-MAX('Activities'!K430,606))</x:f>
        <x:v>0</x:v>
      </x:c>
      <x:c r="DC430" s="22" t="n">
        <x:f>MAX(0,MIN('Activities'!L430,618)-MAX('Activities'!K430,612))</x:f>
        <x:v>0</x:v>
      </x:c>
      <x:c r="DD430" s="22" t="n">
        <x:f>MAX(0,MIN('Activities'!L430,624)-MAX('Activities'!K430,618))</x:f>
        <x:v>0</x:v>
      </x:c>
      <x:c r="DE430" s="22" t="n">
        <x:f>MAX(0,MIN('Activities'!L430,630)-MAX('Activities'!K430,624))</x:f>
        <x:v>0</x:v>
      </x:c>
      <x:c r="DF430" s="22" t="n">
        <x:f>MAX(0,MIN('Activities'!L430,636)-MAX('Activities'!K430,630))</x:f>
        <x:v>0</x:v>
      </x:c>
    </x:row>
    <x:row r="431" ht="23" customHeight="1">
      <x:c r="A431" s="1" t="str">
        <x:v>T4-L04-F</x:v>
      </x:c>
      <x:c r="B431" s="1" t="str">
        <x:v>T4</x:v>
      </x:c>
      <x:c r="C431" s="1" t="str">
        <x:v>Columns, core and deck formwork</x:v>
      </x:c>
      <x:c r="D431" s="1" t="str">
        <x:v>Formwork</x:v>
      </x:c>
      <x:c r="E431" s="23" t="n">
        <x:f>MAX(0,MIN('Activities'!L431,6)-MAX('Activities'!K431,0))</x:f>
        <x:v>0</x:v>
      </x:c>
      <x:c r="F431" s="23" t="n">
        <x:f>MAX(0,MIN('Activities'!L431,12)-MAX('Activities'!K431,6))</x:f>
        <x:v>0</x:v>
      </x:c>
      <x:c r="G431" s="23" t="n">
        <x:f>MAX(0,MIN('Activities'!L431,18)-MAX('Activities'!K431,12))</x:f>
        <x:v>0</x:v>
      </x:c>
      <x:c r="H431" s="23" t="n">
        <x:f>MAX(0,MIN('Activities'!L431,24)-MAX('Activities'!K431,18))</x:f>
        <x:v>0</x:v>
      </x:c>
      <x:c r="I431" s="23" t="n">
        <x:f>MAX(0,MIN('Activities'!L431,30)-MAX('Activities'!K431,24))</x:f>
        <x:v>0</x:v>
      </x:c>
      <x:c r="J431" s="23" t="n">
        <x:f>MAX(0,MIN('Activities'!L431,36)-MAX('Activities'!K431,30))</x:f>
        <x:v>0</x:v>
      </x:c>
      <x:c r="K431" s="23" t="n">
        <x:f>MAX(0,MIN('Activities'!L431,42)-MAX('Activities'!K431,36))</x:f>
        <x:v>0</x:v>
      </x:c>
      <x:c r="L431" s="23" t="n">
        <x:f>MAX(0,MIN('Activities'!L431,48)-MAX('Activities'!K431,42))</x:f>
        <x:v>0</x:v>
      </x:c>
      <x:c r="M431" s="23" t="n">
        <x:f>MAX(0,MIN('Activities'!L431,54)-MAX('Activities'!K431,48))</x:f>
        <x:v>0</x:v>
      </x:c>
      <x:c r="N431" s="23" t="n">
        <x:f>MAX(0,MIN('Activities'!L431,60)-MAX('Activities'!K431,54))</x:f>
        <x:v>0</x:v>
      </x:c>
      <x:c r="O431" s="23" t="n">
        <x:f>MAX(0,MIN('Activities'!L431,66)-MAX('Activities'!K431,60))</x:f>
        <x:v>0</x:v>
      </x:c>
      <x:c r="P431" s="23" t="n">
        <x:f>MAX(0,MIN('Activities'!L431,72)-MAX('Activities'!K431,66))</x:f>
        <x:v>0</x:v>
      </x:c>
      <x:c r="Q431" s="23" t="n">
        <x:f>MAX(0,MIN('Activities'!L431,78)-MAX('Activities'!K431,72))</x:f>
        <x:v>0</x:v>
      </x:c>
      <x:c r="R431" s="23" t="n">
        <x:f>MAX(0,MIN('Activities'!L431,84)-MAX('Activities'!K431,78))</x:f>
        <x:v>0</x:v>
      </x:c>
      <x:c r="S431" s="23" t="n">
        <x:f>MAX(0,MIN('Activities'!L431,90)-MAX('Activities'!K431,84))</x:f>
        <x:v>0</x:v>
      </x:c>
      <x:c r="T431" s="23" t="n">
        <x:f>MAX(0,MIN('Activities'!L431,96)-MAX('Activities'!K431,90))</x:f>
        <x:v>0</x:v>
      </x:c>
      <x:c r="U431" s="23" t="n">
        <x:f>MAX(0,MIN('Activities'!L431,102)-MAX('Activities'!K431,96))</x:f>
        <x:v>0</x:v>
      </x:c>
      <x:c r="V431" s="23" t="n">
        <x:f>MAX(0,MIN('Activities'!L431,108)-MAX('Activities'!K431,102))</x:f>
        <x:v>0</x:v>
      </x:c>
      <x:c r="W431" s="23" t="n">
        <x:f>MAX(0,MIN('Activities'!L431,114)-MAX('Activities'!K431,108))</x:f>
        <x:v>0</x:v>
      </x:c>
      <x:c r="X431" s="23" t="n">
        <x:f>MAX(0,MIN('Activities'!L431,120)-MAX('Activities'!K431,114))</x:f>
        <x:v>0</x:v>
      </x:c>
      <x:c r="Y431" s="23" t="n">
        <x:f>MAX(0,MIN('Activities'!L431,126)-MAX('Activities'!K431,120))</x:f>
        <x:v>0</x:v>
      </x:c>
      <x:c r="Z431" s="23" t="n">
        <x:f>MAX(0,MIN('Activities'!L431,132)-MAX('Activities'!K431,126))</x:f>
        <x:v>0</x:v>
      </x:c>
      <x:c r="AA431" s="23" t="n">
        <x:f>MAX(0,MIN('Activities'!L431,138)-MAX('Activities'!K431,132))</x:f>
        <x:v>0</x:v>
      </x:c>
      <x:c r="AB431" s="23" t="n">
        <x:f>MAX(0,MIN('Activities'!L431,144)-MAX('Activities'!K431,138))</x:f>
        <x:v>0</x:v>
      </x:c>
      <x:c r="AC431" s="23" t="n">
        <x:f>MAX(0,MIN('Activities'!L431,150)-MAX('Activities'!K431,144))</x:f>
        <x:v>0</x:v>
      </x:c>
      <x:c r="AD431" s="23" t="n">
        <x:f>MAX(0,MIN('Activities'!L431,156)-MAX('Activities'!K431,150))</x:f>
        <x:v>0</x:v>
      </x:c>
      <x:c r="AE431" s="23" t="n">
        <x:f>MAX(0,MIN('Activities'!L431,162)-MAX('Activities'!K431,156))</x:f>
        <x:v>0</x:v>
      </x:c>
      <x:c r="AF431" s="23" t="n">
        <x:f>MAX(0,MIN('Activities'!L431,168)-MAX('Activities'!K431,162))</x:f>
        <x:v>0</x:v>
      </x:c>
      <x:c r="AG431" s="23" t="n">
        <x:f>MAX(0,MIN('Activities'!L431,174)-MAX('Activities'!K431,168))</x:f>
        <x:v>0</x:v>
      </x:c>
      <x:c r="AH431" s="23" t="n">
        <x:f>MAX(0,MIN('Activities'!L431,180)-MAX('Activities'!K431,174))</x:f>
        <x:v>0</x:v>
      </x:c>
      <x:c r="AI431" s="23" t="n">
        <x:f>MAX(0,MIN('Activities'!L431,186)-MAX('Activities'!K431,180))</x:f>
        <x:v>0</x:v>
      </x:c>
      <x:c r="AJ431" s="23" t="n">
        <x:f>MAX(0,MIN('Activities'!L431,192)-MAX('Activities'!K431,186))</x:f>
        <x:v>0</x:v>
      </x:c>
      <x:c r="AK431" s="23" t="n">
        <x:f>MAX(0,MIN('Activities'!L431,198)-MAX('Activities'!K431,192))</x:f>
        <x:v>0</x:v>
      </x:c>
      <x:c r="AL431" s="23" t="n">
        <x:f>MAX(0,MIN('Activities'!L431,204)-MAX('Activities'!K431,198))</x:f>
        <x:v>0</x:v>
      </x:c>
      <x:c r="AM431" s="23" t="n">
        <x:f>MAX(0,MIN('Activities'!L431,210)-MAX('Activities'!K431,204))</x:f>
        <x:v>0</x:v>
      </x:c>
      <x:c r="AN431" s="23" t="n">
        <x:f>MAX(0,MIN('Activities'!L431,216)-MAX('Activities'!K431,210))</x:f>
        <x:v>0</x:v>
      </x:c>
      <x:c r="AO431" s="23" t="n">
        <x:f>MAX(0,MIN('Activities'!L431,222)-MAX('Activities'!K431,216))</x:f>
        <x:v>0</x:v>
      </x:c>
      <x:c r="AP431" s="23" t="n">
        <x:f>MAX(0,MIN('Activities'!L431,228)-MAX('Activities'!K431,222))</x:f>
        <x:v>0</x:v>
      </x:c>
      <x:c r="AQ431" s="23" t="n">
        <x:f>MAX(0,MIN('Activities'!L431,234)-MAX('Activities'!K431,228))</x:f>
        <x:v>0</x:v>
      </x:c>
      <x:c r="AR431" s="23" t="n">
        <x:f>MAX(0,MIN('Activities'!L431,240)-MAX('Activities'!K431,234))</x:f>
        <x:v>0</x:v>
      </x:c>
      <x:c r="AS431" s="23" t="n">
        <x:f>MAX(0,MIN('Activities'!L431,246)-MAX('Activities'!K431,240))</x:f>
        <x:v>4</x:v>
      </x:c>
      <x:c r="AT431" s="23" t="n">
        <x:f>MAX(0,MIN('Activities'!L431,252)-MAX('Activities'!K431,246))</x:f>
        <x:v>2</x:v>
      </x:c>
      <x:c r="AU431" s="23" t="n">
        <x:f>MAX(0,MIN('Activities'!L431,258)-MAX('Activities'!K431,252))</x:f>
        <x:v>0</x:v>
      </x:c>
      <x:c r="AV431" s="23" t="n">
        <x:f>MAX(0,MIN('Activities'!L431,264)-MAX('Activities'!K431,258))</x:f>
        <x:v>0</x:v>
      </x:c>
      <x:c r="AW431" s="23" t="n">
        <x:f>MAX(0,MIN('Activities'!L431,270)-MAX('Activities'!K431,264))</x:f>
        <x:v>0</x:v>
      </x:c>
      <x:c r="AX431" s="23" t="n">
        <x:f>MAX(0,MIN('Activities'!L431,276)-MAX('Activities'!K431,270))</x:f>
        <x:v>0</x:v>
      </x:c>
      <x:c r="AY431" s="23" t="n">
        <x:f>MAX(0,MIN('Activities'!L431,282)-MAX('Activities'!K431,276))</x:f>
        <x:v>0</x:v>
      </x:c>
      <x:c r="AZ431" s="23" t="n">
        <x:f>MAX(0,MIN('Activities'!L431,288)-MAX('Activities'!K431,282))</x:f>
        <x:v>0</x:v>
      </x:c>
      <x:c r="BA431" s="23" t="n">
        <x:f>MAX(0,MIN('Activities'!L431,294)-MAX('Activities'!K431,288))</x:f>
        <x:v>0</x:v>
      </x:c>
      <x:c r="BB431" s="23" t="n">
        <x:f>MAX(0,MIN('Activities'!L431,300)-MAX('Activities'!K431,294))</x:f>
        <x:v>0</x:v>
      </x:c>
      <x:c r="BC431" s="23" t="n">
        <x:f>MAX(0,MIN('Activities'!L431,306)-MAX('Activities'!K431,300))</x:f>
        <x:v>0</x:v>
      </x:c>
      <x:c r="BD431" s="23" t="n">
        <x:f>MAX(0,MIN('Activities'!L431,312)-MAX('Activities'!K431,306))</x:f>
        <x:v>0</x:v>
      </x:c>
      <x:c r="BE431" s="23" t="n">
        <x:f>MAX(0,MIN('Activities'!L431,318)-MAX('Activities'!K431,312))</x:f>
        <x:v>0</x:v>
      </x:c>
      <x:c r="BF431" s="23" t="n">
        <x:f>MAX(0,MIN('Activities'!L431,324)-MAX('Activities'!K431,318))</x:f>
        <x:v>0</x:v>
      </x:c>
      <x:c r="BG431" s="23" t="n">
        <x:f>MAX(0,MIN('Activities'!L431,330)-MAX('Activities'!K431,324))</x:f>
        <x:v>0</x:v>
      </x:c>
      <x:c r="BH431" s="23" t="n">
        <x:f>MAX(0,MIN('Activities'!L431,336)-MAX('Activities'!K431,330))</x:f>
        <x:v>0</x:v>
      </x:c>
      <x:c r="BI431" s="23" t="n">
        <x:f>MAX(0,MIN('Activities'!L431,342)-MAX('Activities'!K431,336))</x:f>
        <x:v>0</x:v>
      </x:c>
      <x:c r="BJ431" s="23" t="n">
        <x:f>MAX(0,MIN('Activities'!L431,348)-MAX('Activities'!K431,342))</x:f>
        <x:v>0</x:v>
      </x:c>
      <x:c r="BK431" s="23" t="n">
        <x:f>MAX(0,MIN('Activities'!L431,354)-MAX('Activities'!K431,348))</x:f>
        <x:v>0</x:v>
      </x:c>
      <x:c r="BL431" s="23" t="n">
        <x:f>MAX(0,MIN('Activities'!L431,360)-MAX('Activities'!K431,354))</x:f>
        <x:v>0</x:v>
      </x:c>
      <x:c r="BM431" s="23" t="n">
        <x:f>MAX(0,MIN('Activities'!L431,366)-MAX('Activities'!K431,360))</x:f>
        <x:v>0</x:v>
      </x:c>
      <x:c r="BN431" s="23" t="n">
        <x:f>MAX(0,MIN('Activities'!L431,372)-MAX('Activities'!K431,366))</x:f>
        <x:v>0</x:v>
      </x:c>
      <x:c r="BO431" s="23" t="n">
        <x:f>MAX(0,MIN('Activities'!L431,378)-MAX('Activities'!K431,372))</x:f>
        <x:v>0</x:v>
      </x:c>
      <x:c r="BP431" s="23" t="n">
        <x:f>MAX(0,MIN('Activities'!L431,384)-MAX('Activities'!K431,378))</x:f>
        <x:v>0</x:v>
      </x:c>
      <x:c r="BQ431" s="23" t="n">
        <x:f>MAX(0,MIN('Activities'!L431,390)-MAX('Activities'!K431,384))</x:f>
        <x:v>0</x:v>
      </x:c>
      <x:c r="BR431" s="23" t="n">
        <x:f>MAX(0,MIN('Activities'!L431,396)-MAX('Activities'!K431,390))</x:f>
        <x:v>0</x:v>
      </x:c>
      <x:c r="BS431" s="23" t="n">
        <x:f>MAX(0,MIN('Activities'!L431,402)-MAX('Activities'!K431,396))</x:f>
        <x:v>0</x:v>
      </x:c>
      <x:c r="BT431" s="23" t="n">
        <x:f>MAX(0,MIN('Activities'!L431,408)-MAX('Activities'!K431,402))</x:f>
        <x:v>0</x:v>
      </x:c>
      <x:c r="BU431" s="23" t="n">
        <x:f>MAX(0,MIN('Activities'!L431,414)-MAX('Activities'!K431,408))</x:f>
        <x:v>0</x:v>
      </x:c>
      <x:c r="BV431" s="23" t="n">
        <x:f>MAX(0,MIN('Activities'!L431,420)-MAX('Activities'!K431,414))</x:f>
        <x:v>0</x:v>
      </x:c>
      <x:c r="BW431" s="23" t="n">
        <x:f>MAX(0,MIN('Activities'!L431,426)-MAX('Activities'!K431,420))</x:f>
        <x:v>0</x:v>
      </x:c>
      <x:c r="BX431" s="23" t="n">
        <x:f>MAX(0,MIN('Activities'!L431,432)-MAX('Activities'!K431,426))</x:f>
        <x:v>0</x:v>
      </x:c>
      <x:c r="BY431" s="23" t="n">
        <x:f>MAX(0,MIN('Activities'!L431,438)-MAX('Activities'!K431,432))</x:f>
        <x:v>0</x:v>
      </x:c>
      <x:c r="BZ431" s="23" t="n">
        <x:f>MAX(0,MIN('Activities'!L431,444)-MAX('Activities'!K431,438))</x:f>
        <x:v>0</x:v>
      </x:c>
      <x:c r="CA431" s="23" t="n">
        <x:f>MAX(0,MIN('Activities'!L431,450)-MAX('Activities'!K431,444))</x:f>
        <x:v>0</x:v>
      </x:c>
      <x:c r="CB431" s="23" t="n">
        <x:f>MAX(0,MIN('Activities'!L431,456)-MAX('Activities'!K431,450))</x:f>
        <x:v>0</x:v>
      </x:c>
      <x:c r="CC431" s="23" t="n">
        <x:f>MAX(0,MIN('Activities'!L431,462)-MAX('Activities'!K431,456))</x:f>
        <x:v>0</x:v>
      </x:c>
      <x:c r="CD431" s="23" t="n">
        <x:f>MAX(0,MIN('Activities'!L431,468)-MAX('Activities'!K431,462))</x:f>
        <x:v>0</x:v>
      </x:c>
      <x:c r="CE431" s="23" t="n">
        <x:f>MAX(0,MIN('Activities'!L431,474)-MAX('Activities'!K431,468))</x:f>
        <x:v>0</x:v>
      </x:c>
      <x:c r="CF431" s="23" t="n">
        <x:f>MAX(0,MIN('Activities'!L431,480)-MAX('Activities'!K431,474))</x:f>
        <x:v>0</x:v>
      </x:c>
      <x:c r="CG431" s="23" t="n">
        <x:f>MAX(0,MIN('Activities'!L431,486)-MAX('Activities'!K431,480))</x:f>
        <x:v>0</x:v>
      </x:c>
      <x:c r="CH431" s="23" t="n">
        <x:f>MAX(0,MIN('Activities'!L431,492)-MAX('Activities'!K431,486))</x:f>
        <x:v>0</x:v>
      </x:c>
      <x:c r="CI431" s="23" t="n">
        <x:f>MAX(0,MIN('Activities'!L431,498)-MAX('Activities'!K431,492))</x:f>
        <x:v>0</x:v>
      </x:c>
      <x:c r="CJ431" s="23" t="n">
        <x:f>MAX(0,MIN('Activities'!L431,504)-MAX('Activities'!K431,498))</x:f>
        <x:v>0</x:v>
      </x:c>
      <x:c r="CK431" s="23" t="n">
        <x:f>MAX(0,MIN('Activities'!L431,510)-MAX('Activities'!K431,504))</x:f>
        <x:v>0</x:v>
      </x:c>
      <x:c r="CL431" s="23" t="n">
        <x:f>MAX(0,MIN('Activities'!L431,516)-MAX('Activities'!K431,510))</x:f>
        <x:v>0</x:v>
      </x:c>
      <x:c r="CM431" s="23" t="n">
        <x:f>MAX(0,MIN('Activities'!L431,522)-MAX('Activities'!K431,516))</x:f>
        <x:v>0</x:v>
      </x:c>
      <x:c r="CN431" s="23" t="n">
        <x:f>MAX(0,MIN('Activities'!L431,528)-MAX('Activities'!K431,522))</x:f>
        <x:v>0</x:v>
      </x:c>
      <x:c r="CO431" s="23" t="n">
        <x:f>MAX(0,MIN('Activities'!L431,534)-MAX('Activities'!K431,528))</x:f>
        <x:v>0</x:v>
      </x:c>
      <x:c r="CP431" s="23" t="n">
        <x:f>MAX(0,MIN('Activities'!L431,540)-MAX('Activities'!K431,534))</x:f>
        <x:v>0</x:v>
      </x:c>
      <x:c r="CQ431" s="23" t="n">
        <x:f>MAX(0,MIN('Activities'!L431,546)-MAX('Activities'!K431,540))</x:f>
        <x:v>0</x:v>
      </x:c>
      <x:c r="CR431" s="23" t="n">
        <x:f>MAX(0,MIN('Activities'!L431,552)-MAX('Activities'!K431,546))</x:f>
        <x:v>0</x:v>
      </x:c>
      <x:c r="CS431" s="23" t="n">
        <x:f>MAX(0,MIN('Activities'!L431,558)-MAX('Activities'!K431,552))</x:f>
        <x:v>0</x:v>
      </x:c>
      <x:c r="CT431" s="23" t="n">
        <x:f>MAX(0,MIN('Activities'!L431,564)-MAX('Activities'!K431,558))</x:f>
        <x:v>0</x:v>
      </x:c>
      <x:c r="CU431" s="23" t="n">
        <x:f>MAX(0,MIN('Activities'!L431,570)-MAX('Activities'!K431,564))</x:f>
        <x:v>0</x:v>
      </x:c>
      <x:c r="CV431" s="23" t="n">
        <x:f>MAX(0,MIN('Activities'!L431,576)-MAX('Activities'!K431,570))</x:f>
        <x:v>0</x:v>
      </x:c>
      <x:c r="CW431" s="23" t="n">
        <x:f>MAX(0,MIN('Activities'!L431,582)-MAX('Activities'!K431,576))</x:f>
        <x:v>0</x:v>
      </x:c>
      <x:c r="CX431" s="23" t="n">
        <x:f>MAX(0,MIN('Activities'!L431,588)-MAX('Activities'!K431,582))</x:f>
        <x:v>0</x:v>
      </x:c>
      <x:c r="CY431" s="23" t="n">
        <x:f>MAX(0,MIN('Activities'!L431,594)-MAX('Activities'!K431,588))</x:f>
        <x:v>0</x:v>
      </x:c>
      <x:c r="CZ431" s="23" t="n">
        <x:f>MAX(0,MIN('Activities'!L431,600)-MAX('Activities'!K431,594))</x:f>
        <x:v>0</x:v>
      </x:c>
      <x:c r="DA431" s="23" t="n">
        <x:f>MAX(0,MIN('Activities'!L431,606)-MAX('Activities'!K431,600))</x:f>
        <x:v>0</x:v>
      </x:c>
      <x:c r="DB431" s="23" t="n">
        <x:f>MAX(0,MIN('Activities'!L431,612)-MAX('Activities'!K431,606))</x:f>
        <x:v>0</x:v>
      </x:c>
      <x:c r="DC431" s="23" t="n">
        <x:f>MAX(0,MIN('Activities'!L431,618)-MAX('Activities'!K431,612))</x:f>
        <x:v>0</x:v>
      </x:c>
      <x:c r="DD431" s="23" t="n">
        <x:f>MAX(0,MIN('Activities'!L431,624)-MAX('Activities'!K431,618))</x:f>
        <x:v>0</x:v>
      </x:c>
      <x:c r="DE431" s="23" t="n">
        <x:f>MAX(0,MIN('Activities'!L431,630)-MAX('Activities'!K431,624))</x:f>
        <x:v>0</x:v>
      </x:c>
      <x:c r="DF431" s="23" t="n">
        <x:f>MAX(0,MIN('Activities'!L431,636)-MAX('Activities'!K431,630))</x:f>
        <x:v>0</x:v>
      </x:c>
    </x:row>
    <x:row r="432" ht="23" customHeight="1">
      <x:c r="A432" s="6" t="str">
        <x:v>T4-L04-R</x:v>
      </x:c>
      <x:c r="B432" s="6" t="str">
        <x:v>T4</x:v>
      </x:c>
      <x:c r="C432" s="6" t="str">
        <x:v>Column, wall, beam and slab reinforcement</x:v>
      </x:c>
      <x:c r="D432" s="6" t="str">
        <x:v>Rebar</x:v>
      </x:c>
      <x:c r="E432" s="22" t="n">
        <x:f>MAX(0,MIN('Activities'!L432,6)-MAX('Activities'!K432,0))</x:f>
        <x:v>0</x:v>
      </x:c>
      <x:c r="F432" s="22" t="n">
        <x:f>MAX(0,MIN('Activities'!L432,12)-MAX('Activities'!K432,6))</x:f>
        <x:v>0</x:v>
      </x:c>
      <x:c r="G432" s="22" t="n">
        <x:f>MAX(0,MIN('Activities'!L432,18)-MAX('Activities'!K432,12))</x:f>
        <x:v>0</x:v>
      </x:c>
      <x:c r="H432" s="22" t="n">
        <x:f>MAX(0,MIN('Activities'!L432,24)-MAX('Activities'!K432,18))</x:f>
        <x:v>0</x:v>
      </x:c>
      <x:c r="I432" s="22" t="n">
        <x:f>MAX(0,MIN('Activities'!L432,30)-MAX('Activities'!K432,24))</x:f>
        <x:v>0</x:v>
      </x:c>
      <x:c r="J432" s="22" t="n">
        <x:f>MAX(0,MIN('Activities'!L432,36)-MAX('Activities'!K432,30))</x:f>
        <x:v>0</x:v>
      </x:c>
      <x:c r="K432" s="22" t="n">
        <x:f>MAX(0,MIN('Activities'!L432,42)-MAX('Activities'!K432,36))</x:f>
        <x:v>0</x:v>
      </x:c>
      <x:c r="L432" s="22" t="n">
        <x:f>MAX(0,MIN('Activities'!L432,48)-MAX('Activities'!K432,42))</x:f>
        <x:v>0</x:v>
      </x:c>
      <x:c r="M432" s="22" t="n">
        <x:f>MAX(0,MIN('Activities'!L432,54)-MAX('Activities'!K432,48))</x:f>
        <x:v>0</x:v>
      </x:c>
      <x:c r="N432" s="22" t="n">
        <x:f>MAX(0,MIN('Activities'!L432,60)-MAX('Activities'!K432,54))</x:f>
        <x:v>0</x:v>
      </x:c>
      <x:c r="O432" s="22" t="n">
        <x:f>MAX(0,MIN('Activities'!L432,66)-MAX('Activities'!K432,60))</x:f>
        <x:v>0</x:v>
      </x:c>
      <x:c r="P432" s="22" t="n">
        <x:f>MAX(0,MIN('Activities'!L432,72)-MAX('Activities'!K432,66))</x:f>
        <x:v>0</x:v>
      </x:c>
      <x:c r="Q432" s="22" t="n">
        <x:f>MAX(0,MIN('Activities'!L432,78)-MAX('Activities'!K432,72))</x:f>
        <x:v>0</x:v>
      </x:c>
      <x:c r="R432" s="22" t="n">
        <x:f>MAX(0,MIN('Activities'!L432,84)-MAX('Activities'!K432,78))</x:f>
        <x:v>0</x:v>
      </x:c>
      <x:c r="S432" s="22" t="n">
        <x:f>MAX(0,MIN('Activities'!L432,90)-MAX('Activities'!K432,84))</x:f>
        <x:v>0</x:v>
      </x:c>
      <x:c r="T432" s="22" t="n">
        <x:f>MAX(0,MIN('Activities'!L432,96)-MAX('Activities'!K432,90))</x:f>
        <x:v>0</x:v>
      </x:c>
      <x:c r="U432" s="22" t="n">
        <x:f>MAX(0,MIN('Activities'!L432,102)-MAX('Activities'!K432,96))</x:f>
        <x:v>0</x:v>
      </x:c>
      <x:c r="V432" s="22" t="n">
        <x:f>MAX(0,MIN('Activities'!L432,108)-MAX('Activities'!K432,102))</x:f>
        <x:v>0</x:v>
      </x:c>
      <x:c r="W432" s="22" t="n">
        <x:f>MAX(0,MIN('Activities'!L432,114)-MAX('Activities'!K432,108))</x:f>
        <x:v>0</x:v>
      </x:c>
      <x:c r="X432" s="22" t="n">
        <x:f>MAX(0,MIN('Activities'!L432,120)-MAX('Activities'!K432,114))</x:f>
        <x:v>0</x:v>
      </x:c>
      <x:c r="Y432" s="22" t="n">
        <x:f>MAX(0,MIN('Activities'!L432,126)-MAX('Activities'!K432,120))</x:f>
        <x:v>0</x:v>
      </x:c>
      <x:c r="Z432" s="22" t="n">
        <x:f>MAX(0,MIN('Activities'!L432,132)-MAX('Activities'!K432,126))</x:f>
        <x:v>0</x:v>
      </x:c>
      <x:c r="AA432" s="22" t="n">
        <x:f>MAX(0,MIN('Activities'!L432,138)-MAX('Activities'!K432,132))</x:f>
        <x:v>0</x:v>
      </x:c>
      <x:c r="AB432" s="22" t="n">
        <x:f>MAX(0,MIN('Activities'!L432,144)-MAX('Activities'!K432,138))</x:f>
        <x:v>0</x:v>
      </x:c>
      <x:c r="AC432" s="22" t="n">
        <x:f>MAX(0,MIN('Activities'!L432,150)-MAX('Activities'!K432,144))</x:f>
        <x:v>0</x:v>
      </x:c>
      <x:c r="AD432" s="22" t="n">
        <x:f>MAX(0,MIN('Activities'!L432,156)-MAX('Activities'!K432,150))</x:f>
        <x:v>0</x:v>
      </x:c>
      <x:c r="AE432" s="22" t="n">
        <x:f>MAX(0,MIN('Activities'!L432,162)-MAX('Activities'!K432,156))</x:f>
        <x:v>0</x:v>
      </x:c>
      <x:c r="AF432" s="22" t="n">
        <x:f>MAX(0,MIN('Activities'!L432,168)-MAX('Activities'!K432,162))</x:f>
        <x:v>0</x:v>
      </x:c>
      <x:c r="AG432" s="22" t="n">
        <x:f>MAX(0,MIN('Activities'!L432,174)-MAX('Activities'!K432,168))</x:f>
        <x:v>0</x:v>
      </x:c>
      <x:c r="AH432" s="22" t="n">
        <x:f>MAX(0,MIN('Activities'!L432,180)-MAX('Activities'!K432,174))</x:f>
        <x:v>0</x:v>
      </x:c>
      <x:c r="AI432" s="22" t="n">
        <x:f>MAX(0,MIN('Activities'!L432,186)-MAX('Activities'!K432,180))</x:f>
        <x:v>0</x:v>
      </x:c>
      <x:c r="AJ432" s="22" t="n">
        <x:f>MAX(0,MIN('Activities'!L432,192)-MAX('Activities'!K432,186))</x:f>
        <x:v>0</x:v>
      </x:c>
      <x:c r="AK432" s="22" t="n">
        <x:f>MAX(0,MIN('Activities'!L432,198)-MAX('Activities'!K432,192))</x:f>
        <x:v>0</x:v>
      </x:c>
      <x:c r="AL432" s="22" t="n">
        <x:f>MAX(0,MIN('Activities'!L432,204)-MAX('Activities'!K432,198))</x:f>
        <x:v>0</x:v>
      </x:c>
      <x:c r="AM432" s="22" t="n">
        <x:f>MAX(0,MIN('Activities'!L432,210)-MAX('Activities'!K432,204))</x:f>
        <x:v>0</x:v>
      </x:c>
      <x:c r="AN432" s="22" t="n">
        <x:f>MAX(0,MIN('Activities'!L432,216)-MAX('Activities'!K432,210))</x:f>
        <x:v>0</x:v>
      </x:c>
      <x:c r="AO432" s="22" t="n">
        <x:f>MAX(0,MIN('Activities'!L432,222)-MAX('Activities'!K432,216))</x:f>
        <x:v>0</x:v>
      </x:c>
      <x:c r="AP432" s="22" t="n">
        <x:f>MAX(0,MIN('Activities'!L432,228)-MAX('Activities'!K432,222))</x:f>
        <x:v>0</x:v>
      </x:c>
      <x:c r="AQ432" s="22" t="n">
        <x:f>MAX(0,MIN('Activities'!L432,234)-MAX('Activities'!K432,228))</x:f>
        <x:v>0</x:v>
      </x:c>
      <x:c r="AR432" s="22" t="n">
        <x:f>MAX(0,MIN('Activities'!L432,240)-MAX('Activities'!K432,234))</x:f>
        <x:v>0</x:v>
      </x:c>
      <x:c r="AS432" s="22" t="n">
        <x:f>MAX(0,MIN('Activities'!L432,246)-MAX('Activities'!K432,240))</x:f>
        <x:v>0</x:v>
      </x:c>
      <x:c r="AT432" s="22" t="n">
        <x:f>MAX(0,MIN('Activities'!L432,252)-MAX('Activities'!K432,246))</x:f>
        <x:v>4</x:v>
      </x:c>
      <x:c r="AU432" s="22" t="n">
        <x:f>MAX(0,MIN('Activities'!L432,258)-MAX('Activities'!K432,252))</x:f>
        <x:v>1</x:v>
      </x:c>
      <x:c r="AV432" s="22" t="n">
        <x:f>MAX(0,MIN('Activities'!L432,264)-MAX('Activities'!K432,258))</x:f>
        <x:v>0</x:v>
      </x:c>
      <x:c r="AW432" s="22" t="n">
        <x:f>MAX(0,MIN('Activities'!L432,270)-MAX('Activities'!K432,264))</x:f>
        <x:v>0</x:v>
      </x:c>
      <x:c r="AX432" s="22" t="n">
        <x:f>MAX(0,MIN('Activities'!L432,276)-MAX('Activities'!K432,270))</x:f>
        <x:v>0</x:v>
      </x:c>
      <x:c r="AY432" s="22" t="n">
        <x:f>MAX(0,MIN('Activities'!L432,282)-MAX('Activities'!K432,276))</x:f>
        <x:v>0</x:v>
      </x:c>
      <x:c r="AZ432" s="22" t="n">
        <x:f>MAX(0,MIN('Activities'!L432,288)-MAX('Activities'!K432,282))</x:f>
        <x:v>0</x:v>
      </x:c>
      <x:c r="BA432" s="22" t="n">
        <x:f>MAX(0,MIN('Activities'!L432,294)-MAX('Activities'!K432,288))</x:f>
        <x:v>0</x:v>
      </x:c>
      <x:c r="BB432" s="22" t="n">
        <x:f>MAX(0,MIN('Activities'!L432,300)-MAX('Activities'!K432,294))</x:f>
        <x:v>0</x:v>
      </x:c>
      <x:c r="BC432" s="22" t="n">
        <x:f>MAX(0,MIN('Activities'!L432,306)-MAX('Activities'!K432,300))</x:f>
        <x:v>0</x:v>
      </x:c>
      <x:c r="BD432" s="22" t="n">
        <x:f>MAX(0,MIN('Activities'!L432,312)-MAX('Activities'!K432,306))</x:f>
        <x:v>0</x:v>
      </x:c>
      <x:c r="BE432" s="22" t="n">
        <x:f>MAX(0,MIN('Activities'!L432,318)-MAX('Activities'!K432,312))</x:f>
        <x:v>0</x:v>
      </x:c>
      <x:c r="BF432" s="22" t="n">
        <x:f>MAX(0,MIN('Activities'!L432,324)-MAX('Activities'!K432,318))</x:f>
        <x:v>0</x:v>
      </x:c>
      <x:c r="BG432" s="22" t="n">
        <x:f>MAX(0,MIN('Activities'!L432,330)-MAX('Activities'!K432,324))</x:f>
        <x:v>0</x:v>
      </x:c>
      <x:c r="BH432" s="22" t="n">
        <x:f>MAX(0,MIN('Activities'!L432,336)-MAX('Activities'!K432,330))</x:f>
        <x:v>0</x:v>
      </x:c>
      <x:c r="BI432" s="22" t="n">
        <x:f>MAX(0,MIN('Activities'!L432,342)-MAX('Activities'!K432,336))</x:f>
        <x:v>0</x:v>
      </x:c>
      <x:c r="BJ432" s="22" t="n">
        <x:f>MAX(0,MIN('Activities'!L432,348)-MAX('Activities'!K432,342))</x:f>
        <x:v>0</x:v>
      </x:c>
      <x:c r="BK432" s="22" t="n">
        <x:f>MAX(0,MIN('Activities'!L432,354)-MAX('Activities'!K432,348))</x:f>
        <x:v>0</x:v>
      </x:c>
      <x:c r="BL432" s="22" t="n">
        <x:f>MAX(0,MIN('Activities'!L432,360)-MAX('Activities'!K432,354))</x:f>
        <x:v>0</x:v>
      </x:c>
      <x:c r="BM432" s="22" t="n">
        <x:f>MAX(0,MIN('Activities'!L432,366)-MAX('Activities'!K432,360))</x:f>
        <x:v>0</x:v>
      </x:c>
      <x:c r="BN432" s="22" t="n">
        <x:f>MAX(0,MIN('Activities'!L432,372)-MAX('Activities'!K432,366))</x:f>
        <x:v>0</x:v>
      </x:c>
      <x:c r="BO432" s="22" t="n">
        <x:f>MAX(0,MIN('Activities'!L432,378)-MAX('Activities'!K432,372))</x:f>
        <x:v>0</x:v>
      </x:c>
      <x:c r="BP432" s="22" t="n">
        <x:f>MAX(0,MIN('Activities'!L432,384)-MAX('Activities'!K432,378))</x:f>
        <x:v>0</x:v>
      </x:c>
      <x:c r="BQ432" s="22" t="n">
        <x:f>MAX(0,MIN('Activities'!L432,390)-MAX('Activities'!K432,384))</x:f>
        <x:v>0</x:v>
      </x:c>
      <x:c r="BR432" s="22" t="n">
        <x:f>MAX(0,MIN('Activities'!L432,396)-MAX('Activities'!K432,390))</x:f>
        <x:v>0</x:v>
      </x:c>
      <x:c r="BS432" s="22" t="n">
        <x:f>MAX(0,MIN('Activities'!L432,402)-MAX('Activities'!K432,396))</x:f>
        <x:v>0</x:v>
      </x:c>
      <x:c r="BT432" s="22" t="n">
        <x:f>MAX(0,MIN('Activities'!L432,408)-MAX('Activities'!K432,402))</x:f>
        <x:v>0</x:v>
      </x:c>
      <x:c r="BU432" s="22" t="n">
        <x:f>MAX(0,MIN('Activities'!L432,414)-MAX('Activities'!K432,408))</x:f>
        <x:v>0</x:v>
      </x:c>
      <x:c r="BV432" s="22" t="n">
        <x:f>MAX(0,MIN('Activities'!L432,420)-MAX('Activities'!K432,414))</x:f>
        <x:v>0</x:v>
      </x:c>
      <x:c r="BW432" s="22" t="n">
        <x:f>MAX(0,MIN('Activities'!L432,426)-MAX('Activities'!K432,420))</x:f>
        <x:v>0</x:v>
      </x:c>
      <x:c r="BX432" s="22" t="n">
        <x:f>MAX(0,MIN('Activities'!L432,432)-MAX('Activities'!K432,426))</x:f>
        <x:v>0</x:v>
      </x:c>
      <x:c r="BY432" s="22" t="n">
        <x:f>MAX(0,MIN('Activities'!L432,438)-MAX('Activities'!K432,432))</x:f>
        <x:v>0</x:v>
      </x:c>
      <x:c r="BZ432" s="22" t="n">
        <x:f>MAX(0,MIN('Activities'!L432,444)-MAX('Activities'!K432,438))</x:f>
        <x:v>0</x:v>
      </x:c>
      <x:c r="CA432" s="22" t="n">
        <x:f>MAX(0,MIN('Activities'!L432,450)-MAX('Activities'!K432,444))</x:f>
        <x:v>0</x:v>
      </x:c>
      <x:c r="CB432" s="22" t="n">
        <x:f>MAX(0,MIN('Activities'!L432,456)-MAX('Activities'!K432,450))</x:f>
        <x:v>0</x:v>
      </x:c>
      <x:c r="CC432" s="22" t="n">
        <x:f>MAX(0,MIN('Activities'!L432,462)-MAX('Activities'!K432,456))</x:f>
        <x:v>0</x:v>
      </x:c>
      <x:c r="CD432" s="22" t="n">
        <x:f>MAX(0,MIN('Activities'!L432,468)-MAX('Activities'!K432,462))</x:f>
        <x:v>0</x:v>
      </x:c>
      <x:c r="CE432" s="22" t="n">
        <x:f>MAX(0,MIN('Activities'!L432,474)-MAX('Activities'!K432,468))</x:f>
        <x:v>0</x:v>
      </x:c>
      <x:c r="CF432" s="22" t="n">
        <x:f>MAX(0,MIN('Activities'!L432,480)-MAX('Activities'!K432,474))</x:f>
        <x:v>0</x:v>
      </x:c>
      <x:c r="CG432" s="22" t="n">
        <x:f>MAX(0,MIN('Activities'!L432,486)-MAX('Activities'!K432,480))</x:f>
        <x:v>0</x:v>
      </x:c>
      <x:c r="CH432" s="22" t="n">
        <x:f>MAX(0,MIN('Activities'!L432,492)-MAX('Activities'!K432,486))</x:f>
        <x:v>0</x:v>
      </x:c>
      <x:c r="CI432" s="22" t="n">
        <x:f>MAX(0,MIN('Activities'!L432,498)-MAX('Activities'!K432,492))</x:f>
        <x:v>0</x:v>
      </x:c>
      <x:c r="CJ432" s="22" t="n">
        <x:f>MAX(0,MIN('Activities'!L432,504)-MAX('Activities'!K432,498))</x:f>
        <x:v>0</x:v>
      </x:c>
      <x:c r="CK432" s="22" t="n">
        <x:f>MAX(0,MIN('Activities'!L432,510)-MAX('Activities'!K432,504))</x:f>
        <x:v>0</x:v>
      </x:c>
      <x:c r="CL432" s="22" t="n">
        <x:f>MAX(0,MIN('Activities'!L432,516)-MAX('Activities'!K432,510))</x:f>
        <x:v>0</x:v>
      </x:c>
      <x:c r="CM432" s="22" t="n">
        <x:f>MAX(0,MIN('Activities'!L432,522)-MAX('Activities'!K432,516))</x:f>
        <x:v>0</x:v>
      </x:c>
      <x:c r="CN432" s="22" t="n">
        <x:f>MAX(0,MIN('Activities'!L432,528)-MAX('Activities'!K432,522))</x:f>
        <x:v>0</x:v>
      </x:c>
      <x:c r="CO432" s="22" t="n">
        <x:f>MAX(0,MIN('Activities'!L432,534)-MAX('Activities'!K432,528))</x:f>
        <x:v>0</x:v>
      </x:c>
      <x:c r="CP432" s="22" t="n">
        <x:f>MAX(0,MIN('Activities'!L432,540)-MAX('Activities'!K432,534))</x:f>
        <x:v>0</x:v>
      </x:c>
      <x:c r="CQ432" s="22" t="n">
        <x:f>MAX(0,MIN('Activities'!L432,546)-MAX('Activities'!K432,540))</x:f>
        <x:v>0</x:v>
      </x:c>
      <x:c r="CR432" s="22" t="n">
        <x:f>MAX(0,MIN('Activities'!L432,552)-MAX('Activities'!K432,546))</x:f>
        <x:v>0</x:v>
      </x:c>
      <x:c r="CS432" s="22" t="n">
        <x:f>MAX(0,MIN('Activities'!L432,558)-MAX('Activities'!K432,552))</x:f>
        <x:v>0</x:v>
      </x:c>
      <x:c r="CT432" s="22" t="n">
        <x:f>MAX(0,MIN('Activities'!L432,564)-MAX('Activities'!K432,558))</x:f>
        <x:v>0</x:v>
      </x:c>
      <x:c r="CU432" s="22" t="n">
        <x:f>MAX(0,MIN('Activities'!L432,570)-MAX('Activities'!K432,564))</x:f>
        <x:v>0</x:v>
      </x:c>
      <x:c r="CV432" s="22" t="n">
        <x:f>MAX(0,MIN('Activities'!L432,576)-MAX('Activities'!K432,570))</x:f>
        <x:v>0</x:v>
      </x:c>
      <x:c r="CW432" s="22" t="n">
        <x:f>MAX(0,MIN('Activities'!L432,582)-MAX('Activities'!K432,576))</x:f>
        <x:v>0</x:v>
      </x:c>
      <x:c r="CX432" s="22" t="n">
        <x:f>MAX(0,MIN('Activities'!L432,588)-MAX('Activities'!K432,582))</x:f>
        <x:v>0</x:v>
      </x:c>
      <x:c r="CY432" s="22" t="n">
        <x:f>MAX(0,MIN('Activities'!L432,594)-MAX('Activities'!K432,588))</x:f>
        <x:v>0</x:v>
      </x:c>
      <x:c r="CZ432" s="22" t="n">
        <x:f>MAX(0,MIN('Activities'!L432,600)-MAX('Activities'!K432,594))</x:f>
        <x:v>0</x:v>
      </x:c>
      <x:c r="DA432" s="22" t="n">
        <x:f>MAX(0,MIN('Activities'!L432,606)-MAX('Activities'!K432,600))</x:f>
        <x:v>0</x:v>
      </x:c>
      <x:c r="DB432" s="22" t="n">
        <x:f>MAX(0,MIN('Activities'!L432,612)-MAX('Activities'!K432,606))</x:f>
        <x:v>0</x:v>
      </x:c>
      <x:c r="DC432" s="22" t="n">
        <x:f>MAX(0,MIN('Activities'!L432,618)-MAX('Activities'!K432,612))</x:f>
        <x:v>0</x:v>
      </x:c>
      <x:c r="DD432" s="22" t="n">
        <x:f>MAX(0,MIN('Activities'!L432,624)-MAX('Activities'!K432,618))</x:f>
        <x:v>0</x:v>
      </x:c>
      <x:c r="DE432" s="22" t="n">
        <x:f>MAX(0,MIN('Activities'!L432,630)-MAX('Activities'!K432,624))</x:f>
        <x:v>0</x:v>
      </x:c>
      <x:c r="DF432" s="22" t="n">
        <x:f>MAX(0,MIN('Activities'!L432,636)-MAX('Activities'!K432,630))</x:f>
        <x:v>0</x:v>
      </x:c>
    </x:row>
    <x:row r="433" ht="23" customHeight="1">
      <x:c r="A433" s="1" t="str">
        <x:v>T4-L04-C</x:v>
      </x:c>
      <x:c r="B433" s="1" t="str">
        <x:v>T4</x:v>
      </x:c>
      <x:c r="C433" s="1" t="str">
        <x:v>Concrete placement and finishing</x:v>
      </x:c>
      <x:c r="D433" s="1" t="str">
        <x:v>Concrete</x:v>
      </x:c>
      <x:c r="E433" s="23" t="n">
        <x:f>MAX(0,MIN('Activities'!L433,6)-MAX('Activities'!K433,0))</x:f>
        <x:v>0</x:v>
      </x:c>
      <x:c r="F433" s="23" t="n">
        <x:f>MAX(0,MIN('Activities'!L433,12)-MAX('Activities'!K433,6))</x:f>
        <x:v>0</x:v>
      </x:c>
      <x:c r="G433" s="23" t="n">
        <x:f>MAX(0,MIN('Activities'!L433,18)-MAX('Activities'!K433,12))</x:f>
        <x:v>0</x:v>
      </x:c>
      <x:c r="H433" s="23" t="n">
        <x:f>MAX(0,MIN('Activities'!L433,24)-MAX('Activities'!K433,18))</x:f>
        <x:v>0</x:v>
      </x:c>
      <x:c r="I433" s="23" t="n">
        <x:f>MAX(0,MIN('Activities'!L433,30)-MAX('Activities'!K433,24))</x:f>
        <x:v>0</x:v>
      </x:c>
      <x:c r="J433" s="23" t="n">
        <x:f>MAX(0,MIN('Activities'!L433,36)-MAX('Activities'!K433,30))</x:f>
        <x:v>0</x:v>
      </x:c>
      <x:c r="K433" s="23" t="n">
        <x:f>MAX(0,MIN('Activities'!L433,42)-MAX('Activities'!K433,36))</x:f>
        <x:v>0</x:v>
      </x:c>
      <x:c r="L433" s="23" t="n">
        <x:f>MAX(0,MIN('Activities'!L433,48)-MAX('Activities'!K433,42))</x:f>
        <x:v>0</x:v>
      </x:c>
      <x:c r="M433" s="23" t="n">
        <x:f>MAX(0,MIN('Activities'!L433,54)-MAX('Activities'!K433,48))</x:f>
        <x:v>0</x:v>
      </x:c>
      <x:c r="N433" s="23" t="n">
        <x:f>MAX(0,MIN('Activities'!L433,60)-MAX('Activities'!K433,54))</x:f>
        <x:v>0</x:v>
      </x:c>
      <x:c r="O433" s="23" t="n">
        <x:f>MAX(0,MIN('Activities'!L433,66)-MAX('Activities'!K433,60))</x:f>
        <x:v>0</x:v>
      </x:c>
      <x:c r="P433" s="23" t="n">
        <x:f>MAX(0,MIN('Activities'!L433,72)-MAX('Activities'!K433,66))</x:f>
        <x:v>0</x:v>
      </x:c>
      <x:c r="Q433" s="23" t="n">
        <x:f>MAX(0,MIN('Activities'!L433,78)-MAX('Activities'!K433,72))</x:f>
        <x:v>0</x:v>
      </x:c>
      <x:c r="R433" s="23" t="n">
        <x:f>MAX(0,MIN('Activities'!L433,84)-MAX('Activities'!K433,78))</x:f>
        <x:v>0</x:v>
      </x:c>
      <x:c r="S433" s="23" t="n">
        <x:f>MAX(0,MIN('Activities'!L433,90)-MAX('Activities'!K433,84))</x:f>
        <x:v>0</x:v>
      </x:c>
      <x:c r="T433" s="23" t="n">
        <x:f>MAX(0,MIN('Activities'!L433,96)-MAX('Activities'!K433,90))</x:f>
        <x:v>0</x:v>
      </x:c>
      <x:c r="U433" s="23" t="n">
        <x:f>MAX(0,MIN('Activities'!L433,102)-MAX('Activities'!K433,96))</x:f>
        <x:v>0</x:v>
      </x:c>
      <x:c r="V433" s="23" t="n">
        <x:f>MAX(0,MIN('Activities'!L433,108)-MAX('Activities'!K433,102))</x:f>
        <x:v>0</x:v>
      </x:c>
      <x:c r="W433" s="23" t="n">
        <x:f>MAX(0,MIN('Activities'!L433,114)-MAX('Activities'!K433,108))</x:f>
        <x:v>0</x:v>
      </x:c>
      <x:c r="X433" s="23" t="n">
        <x:f>MAX(0,MIN('Activities'!L433,120)-MAX('Activities'!K433,114))</x:f>
        <x:v>0</x:v>
      </x:c>
      <x:c r="Y433" s="23" t="n">
        <x:f>MAX(0,MIN('Activities'!L433,126)-MAX('Activities'!K433,120))</x:f>
        <x:v>0</x:v>
      </x:c>
      <x:c r="Z433" s="23" t="n">
        <x:f>MAX(0,MIN('Activities'!L433,132)-MAX('Activities'!K433,126))</x:f>
        <x:v>0</x:v>
      </x:c>
      <x:c r="AA433" s="23" t="n">
        <x:f>MAX(0,MIN('Activities'!L433,138)-MAX('Activities'!K433,132))</x:f>
        <x:v>0</x:v>
      </x:c>
      <x:c r="AB433" s="23" t="n">
        <x:f>MAX(0,MIN('Activities'!L433,144)-MAX('Activities'!K433,138))</x:f>
        <x:v>0</x:v>
      </x:c>
      <x:c r="AC433" s="23" t="n">
        <x:f>MAX(0,MIN('Activities'!L433,150)-MAX('Activities'!K433,144))</x:f>
        <x:v>0</x:v>
      </x:c>
      <x:c r="AD433" s="23" t="n">
        <x:f>MAX(0,MIN('Activities'!L433,156)-MAX('Activities'!K433,150))</x:f>
        <x:v>0</x:v>
      </x:c>
      <x:c r="AE433" s="23" t="n">
        <x:f>MAX(0,MIN('Activities'!L433,162)-MAX('Activities'!K433,156))</x:f>
        <x:v>0</x:v>
      </x:c>
      <x:c r="AF433" s="23" t="n">
        <x:f>MAX(0,MIN('Activities'!L433,168)-MAX('Activities'!K433,162))</x:f>
        <x:v>0</x:v>
      </x:c>
      <x:c r="AG433" s="23" t="n">
        <x:f>MAX(0,MIN('Activities'!L433,174)-MAX('Activities'!K433,168))</x:f>
        <x:v>0</x:v>
      </x:c>
      <x:c r="AH433" s="23" t="n">
        <x:f>MAX(0,MIN('Activities'!L433,180)-MAX('Activities'!K433,174))</x:f>
        <x:v>0</x:v>
      </x:c>
      <x:c r="AI433" s="23" t="n">
        <x:f>MAX(0,MIN('Activities'!L433,186)-MAX('Activities'!K433,180))</x:f>
        <x:v>0</x:v>
      </x:c>
      <x:c r="AJ433" s="23" t="n">
        <x:f>MAX(0,MIN('Activities'!L433,192)-MAX('Activities'!K433,186))</x:f>
        <x:v>0</x:v>
      </x:c>
      <x:c r="AK433" s="23" t="n">
        <x:f>MAX(0,MIN('Activities'!L433,198)-MAX('Activities'!K433,192))</x:f>
        <x:v>0</x:v>
      </x:c>
      <x:c r="AL433" s="23" t="n">
        <x:f>MAX(0,MIN('Activities'!L433,204)-MAX('Activities'!K433,198))</x:f>
        <x:v>0</x:v>
      </x:c>
      <x:c r="AM433" s="23" t="n">
        <x:f>MAX(0,MIN('Activities'!L433,210)-MAX('Activities'!K433,204))</x:f>
        <x:v>0</x:v>
      </x:c>
      <x:c r="AN433" s="23" t="n">
        <x:f>MAX(0,MIN('Activities'!L433,216)-MAX('Activities'!K433,210))</x:f>
        <x:v>0</x:v>
      </x:c>
      <x:c r="AO433" s="23" t="n">
        <x:f>MAX(0,MIN('Activities'!L433,222)-MAX('Activities'!K433,216))</x:f>
        <x:v>0</x:v>
      </x:c>
      <x:c r="AP433" s="23" t="n">
        <x:f>MAX(0,MIN('Activities'!L433,228)-MAX('Activities'!K433,222))</x:f>
        <x:v>0</x:v>
      </x:c>
      <x:c r="AQ433" s="23" t="n">
        <x:f>MAX(0,MIN('Activities'!L433,234)-MAX('Activities'!K433,228))</x:f>
        <x:v>0</x:v>
      </x:c>
      <x:c r="AR433" s="23" t="n">
        <x:f>MAX(0,MIN('Activities'!L433,240)-MAX('Activities'!K433,234))</x:f>
        <x:v>0</x:v>
      </x:c>
      <x:c r="AS433" s="23" t="n">
        <x:f>MAX(0,MIN('Activities'!L433,246)-MAX('Activities'!K433,240))</x:f>
        <x:v>0</x:v>
      </x:c>
      <x:c r="AT433" s="23" t="n">
        <x:f>MAX(0,MIN('Activities'!L433,252)-MAX('Activities'!K433,246))</x:f>
        <x:v>0</x:v>
      </x:c>
      <x:c r="AU433" s="23" t="n">
        <x:f>MAX(0,MIN('Activities'!L433,258)-MAX('Activities'!K433,252))</x:f>
        <x:v>2</x:v>
      </x:c>
      <x:c r="AV433" s="23" t="n">
        <x:f>MAX(0,MIN('Activities'!L433,264)-MAX('Activities'!K433,258))</x:f>
        <x:v>0</x:v>
      </x:c>
      <x:c r="AW433" s="23" t="n">
        <x:f>MAX(0,MIN('Activities'!L433,270)-MAX('Activities'!K433,264))</x:f>
        <x:v>0</x:v>
      </x:c>
      <x:c r="AX433" s="23" t="n">
        <x:f>MAX(0,MIN('Activities'!L433,276)-MAX('Activities'!K433,270))</x:f>
        <x:v>0</x:v>
      </x:c>
      <x:c r="AY433" s="23" t="n">
        <x:f>MAX(0,MIN('Activities'!L433,282)-MAX('Activities'!K433,276))</x:f>
        <x:v>0</x:v>
      </x:c>
      <x:c r="AZ433" s="23" t="n">
        <x:f>MAX(0,MIN('Activities'!L433,288)-MAX('Activities'!K433,282))</x:f>
        <x:v>0</x:v>
      </x:c>
      <x:c r="BA433" s="23" t="n">
        <x:f>MAX(0,MIN('Activities'!L433,294)-MAX('Activities'!K433,288))</x:f>
        <x:v>0</x:v>
      </x:c>
      <x:c r="BB433" s="23" t="n">
        <x:f>MAX(0,MIN('Activities'!L433,300)-MAX('Activities'!K433,294))</x:f>
        <x:v>0</x:v>
      </x:c>
      <x:c r="BC433" s="23" t="n">
        <x:f>MAX(0,MIN('Activities'!L433,306)-MAX('Activities'!K433,300))</x:f>
        <x:v>0</x:v>
      </x:c>
      <x:c r="BD433" s="23" t="n">
        <x:f>MAX(0,MIN('Activities'!L433,312)-MAX('Activities'!K433,306))</x:f>
        <x:v>0</x:v>
      </x:c>
      <x:c r="BE433" s="23" t="n">
        <x:f>MAX(0,MIN('Activities'!L433,318)-MAX('Activities'!K433,312))</x:f>
        <x:v>0</x:v>
      </x:c>
      <x:c r="BF433" s="23" t="n">
        <x:f>MAX(0,MIN('Activities'!L433,324)-MAX('Activities'!K433,318))</x:f>
        <x:v>0</x:v>
      </x:c>
      <x:c r="BG433" s="23" t="n">
        <x:f>MAX(0,MIN('Activities'!L433,330)-MAX('Activities'!K433,324))</x:f>
        <x:v>0</x:v>
      </x:c>
      <x:c r="BH433" s="23" t="n">
        <x:f>MAX(0,MIN('Activities'!L433,336)-MAX('Activities'!K433,330))</x:f>
        <x:v>0</x:v>
      </x:c>
      <x:c r="BI433" s="23" t="n">
        <x:f>MAX(0,MIN('Activities'!L433,342)-MAX('Activities'!K433,336))</x:f>
        <x:v>0</x:v>
      </x:c>
      <x:c r="BJ433" s="23" t="n">
        <x:f>MAX(0,MIN('Activities'!L433,348)-MAX('Activities'!K433,342))</x:f>
        <x:v>0</x:v>
      </x:c>
      <x:c r="BK433" s="23" t="n">
        <x:f>MAX(0,MIN('Activities'!L433,354)-MAX('Activities'!K433,348))</x:f>
        <x:v>0</x:v>
      </x:c>
      <x:c r="BL433" s="23" t="n">
        <x:f>MAX(0,MIN('Activities'!L433,360)-MAX('Activities'!K433,354))</x:f>
        <x:v>0</x:v>
      </x:c>
      <x:c r="BM433" s="23" t="n">
        <x:f>MAX(0,MIN('Activities'!L433,366)-MAX('Activities'!K433,360))</x:f>
        <x:v>0</x:v>
      </x:c>
      <x:c r="BN433" s="23" t="n">
        <x:f>MAX(0,MIN('Activities'!L433,372)-MAX('Activities'!K433,366))</x:f>
        <x:v>0</x:v>
      </x:c>
      <x:c r="BO433" s="23" t="n">
        <x:f>MAX(0,MIN('Activities'!L433,378)-MAX('Activities'!K433,372))</x:f>
        <x:v>0</x:v>
      </x:c>
      <x:c r="BP433" s="23" t="n">
        <x:f>MAX(0,MIN('Activities'!L433,384)-MAX('Activities'!K433,378))</x:f>
        <x:v>0</x:v>
      </x:c>
      <x:c r="BQ433" s="23" t="n">
        <x:f>MAX(0,MIN('Activities'!L433,390)-MAX('Activities'!K433,384))</x:f>
        <x:v>0</x:v>
      </x:c>
      <x:c r="BR433" s="23" t="n">
        <x:f>MAX(0,MIN('Activities'!L433,396)-MAX('Activities'!K433,390))</x:f>
        <x:v>0</x:v>
      </x:c>
      <x:c r="BS433" s="23" t="n">
        <x:f>MAX(0,MIN('Activities'!L433,402)-MAX('Activities'!K433,396))</x:f>
        <x:v>0</x:v>
      </x:c>
      <x:c r="BT433" s="23" t="n">
        <x:f>MAX(0,MIN('Activities'!L433,408)-MAX('Activities'!K433,402))</x:f>
        <x:v>0</x:v>
      </x:c>
      <x:c r="BU433" s="23" t="n">
        <x:f>MAX(0,MIN('Activities'!L433,414)-MAX('Activities'!K433,408))</x:f>
        <x:v>0</x:v>
      </x:c>
      <x:c r="BV433" s="23" t="n">
        <x:f>MAX(0,MIN('Activities'!L433,420)-MAX('Activities'!K433,414))</x:f>
        <x:v>0</x:v>
      </x:c>
      <x:c r="BW433" s="23" t="n">
        <x:f>MAX(0,MIN('Activities'!L433,426)-MAX('Activities'!K433,420))</x:f>
        <x:v>0</x:v>
      </x:c>
      <x:c r="BX433" s="23" t="n">
        <x:f>MAX(0,MIN('Activities'!L433,432)-MAX('Activities'!K433,426))</x:f>
        <x:v>0</x:v>
      </x:c>
      <x:c r="BY433" s="23" t="n">
        <x:f>MAX(0,MIN('Activities'!L433,438)-MAX('Activities'!K433,432))</x:f>
        <x:v>0</x:v>
      </x:c>
      <x:c r="BZ433" s="23" t="n">
        <x:f>MAX(0,MIN('Activities'!L433,444)-MAX('Activities'!K433,438))</x:f>
        <x:v>0</x:v>
      </x:c>
      <x:c r="CA433" s="23" t="n">
        <x:f>MAX(0,MIN('Activities'!L433,450)-MAX('Activities'!K433,444))</x:f>
        <x:v>0</x:v>
      </x:c>
      <x:c r="CB433" s="23" t="n">
        <x:f>MAX(0,MIN('Activities'!L433,456)-MAX('Activities'!K433,450))</x:f>
        <x:v>0</x:v>
      </x:c>
      <x:c r="CC433" s="23" t="n">
        <x:f>MAX(0,MIN('Activities'!L433,462)-MAX('Activities'!K433,456))</x:f>
        <x:v>0</x:v>
      </x:c>
      <x:c r="CD433" s="23" t="n">
        <x:f>MAX(0,MIN('Activities'!L433,468)-MAX('Activities'!K433,462))</x:f>
        <x:v>0</x:v>
      </x:c>
      <x:c r="CE433" s="23" t="n">
        <x:f>MAX(0,MIN('Activities'!L433,474)-MAX('Activities'!K433,468))</x:f>
        <x:v>0</x:v>
      </x:c>
      <x:c r="CF433" s="23" t="n">
        <x:f>MAX(0,MIN('Activities'!L433,480)-MAX('Activities'!K433,474))</x:f>
        <x:v>0</x:v>
      </x:c>
      <x:c r="CG433" s="23" t="n">
        <x:f>MAX(0,MIN('Activities'!L433,486)-MAX('Activities'!K433,480))</x:f>
        <x:v>0</x:v>
      </x:c>
      <x:c r="CH433" s="23" t="n">
        <x:f>MAX(0,MIN('Activities'!L433,492)-MAX('Activities'!K433,486))</x:f>
        <x:v>0</x:v>
      </x:c>
      <x:c r="CI433" s="23" t="n">
        <x:f>MAX(0,MIN('Activities'!L433,498)-MAX('Activities'!K433,492))</x:f>
        <x:v>0</x:v>
      </x:c>
      <x:c r="CJ433" s="23" t="n">
        <x:f>MAX(0,MIN('Activities'!L433,504)-MAX('Activities'!K433,498))</x:f>
        <x:v>0</x:v>
      </x:c>
      <x:c r="CK433" s="23" t="n">
        <x:f>MAX(0,MIN('Activities'!L433,510)-MAX('Activities'!K433,504))</x:f>
        <x:v>0</x:v>
      </x:c>
      <x:c r="CL433" s="23" t="n">
        <x:f>MAX(0,MIN('Activities'!L433,516)-MAX('Activities'!K433,510))</x:f>
        <x:v>0</x:v>
      </x:c>
      <x:c r="CM433" s="23" t="n">
        <x:f>MAX(0,MIN('Activities'!L433,522)-MAX('Activities'!K433,516))</x:f>
        <x:v>0</x:v>
      </x:c>
      <x:c r="CN433" s="23" t="n">
        <x:f>MAX(0,MIN('Activities'!L433,528)-MAX('Activities'!K433,522))</x:f>
        <x:v>0</x:v>
      </x:c>
      <x:c r="CO433" s="23" t="n">
        <x:f>MAX(0,MIN('Activities'!L433,534)-MAX('Activities'!K433,528))</x:f>
        <x:v>0</x:v>
      </x:c>
      <x:c r="CP433" s="23" t="n">
        <x:f>MAX(0,MIN('Activities'!L433,540)-MAX('Activities'!K433,534))</x:f>
        <x:v>0</x:v>
      </x:c>
      <x:c r="CQ433" s="23" t="n">
        <x:f>MAX(0,MIN('Activities'!L433,546)-MAX('Activities'!K433,540))</x:f>
        <x:v>0</x:v>
      </x:c>
      <x:c r="CR433" s="23" t="n">
        <x:f>MAX(0,MIN('Activities'!L433,552)-MAX('Activities'!K433,546))</x:f>
        <x:v>0</x:v>
      </x:c>
      <x:c r="CS433" s="23" t="n">
        <x:f>MAX(0,MIN('Activities'!L433,558)-MAX('Activities'!K433,552))</x:f>
        <x:v>0</x:v>
      </x:c>
      <x:c r="CT433" s="23" t="n">
        <x:f>MAX(0,MIN('Activities'!L433,564)-MAX('Activities'!K433,558))</x:f>
        <x:v>0</x:v>
      </x:c>
      <x:c r="CU433" s="23" t="n">
        <x:f>MAX(0,MIN('Activities'!L433,570)-MAX('Activities'!K433,564))</x:f>
        <x:v>0</x:v>
      </x:c>
      <x:c r="CV433" s="23" t="n">
        <x:f>MAX(0,MIN('Activities'!L433,576)-MAX('Activities'!K433,570))</x:f>
        <x:v>0</x:v>
      </x:c>
      <x:c r="CW433" s="23" t="n">
        <x:f>MAX(0,MIN('Activities'!L433,582)-MAX('Activities'!K433,576))</x:f>
        <x:v>0</x:v>
      </x:c>
      <x:c r="CX433" s="23" t="n">
        <x:f>MAX(0,MIN('Activities'!L433,588)-MAX('Activities'!K433,582))</x:f>
        <x:v>0</x:v>
      </x:c>
      <x:c r="CY433" s="23" t="n">
        <x:f>MAX(0,MIN('Activities'!L433,594)-MAX('Activities'!K433,588))</x:f>
        <x:v>0</x:v>
      </x:c>
      <x:c r="CZ433" s="23" t="n">
        <x:f>MAX(0,MIN('Activities'!L433,600)-MAX('Activities'!K433,594))</x:f>
        <x:v>0</x:v>
      </x:c>
      <x:c r="DA433" s="23" t="n">
        <x:f>MAX(0,MIN('Activities'!L433,606)-MAX('Activities'!K433,600))</x:f>
        <x:v>0</x:v>
      </x:c>
      <x:c r="DB433" s="23" t="n">
        <x:f>MAX(0,MIN('Activities'!L433,612)-MAX('Activities'!K433,606))</x:f>
        <x:v>0</x:v>
      </x:c>
      <x:c r="DC433" s="23" t="n">
        <x:f>MAX(0,MIN('Activities'!L433,618)-MAX('Activities'!K433,612))</x:f>
        <x:v>0</x:v>
      </x:c>
      <x:c r="DD433" s="23" t="n">
        <x:f>MAX(0,MIN('Activities'!L433,624)-MAX('Activities'!K433,618))</x:f>
        <x:v>0</x:v>
      </x:c>
      <x:c r="DE433" s="23" t="n">
        <x:f>MAX(0,MIN('Activities'!L433,630)-MAX('Activities'!K433,624))</x:f>
        <x:v>0</x:v>
      </x:c>
      <x:c r="DF433" s="23" t="n">
        <x:f>MAX(0,MIN('Activities'!L433,636)-MAX('Activities'!K433,630))</x:f>
        <x:v>0</x:v>
      </x:c>
    </x:row>
    <x:row r="434" ht="23" customHeight="1">
      <x:c r="A434" s="6" t="str">
        <x:v>T4-L04-H</x:v>
      </x:c>
      <x:c r="B434" s="6" t="str">
        <x:v>T4</x:v>
      </x:c>
      <x:c r="C434" s="6" t="str">
        <x:v>Curing and release hold point</x:v>
      </x:c>
      <x:c r="D434" s="6" t="str">
        <x:v>Site</x:v>
      </x:c>
      <x:c r="E434" s="22" t="n">
        <x:f>MAX(0,MIN('Activities'!L434,6)-MAX('Activities'!K434,0))</x:f>
        <x:v>0</x:v>
      </x:c>
      <x:c r="F434" s="22" t="n">
        <x:f>MAX(0,MIN('Activities'!L434,12)-MAX('Activities'!K434,6))</x:f>
        <x:v>0</x:v>
      </x:c>
      <x:c r="G434" s="22" t="n">
        <x:f>MAX(0,MIN('Activities'!L434,18)-MAX('Activities'!K434,12))</x:f>
        <x:v>0</x:v>
      </x:c>
      <x:c r="H434" s="22" t="n">
        <x:f>MAX(0,MIN('Activities'!L434,24)-MAX('Activities'!K434,18))</x:f>
        <x:v>0</x:v>
      </x:c>
      <x:c r="I434" s="22" t="n">
        <x:f>MAX(0,MIN('Activities'!L434,30)-MAX('Activities'!K434,24))</x:f>
        <x:v>0</x:v>
      </x:c>
      <x:c r="J434" s="22" t="n">
        <x:f>MAX(0,MIN('Activities'!L434,36)-MAX('Activities'!K434,30))</x:f>
        <x:v>0</x:v>
      </x:c>
      <x:c r="K434" s="22" t="n">
        <x:f>MAX(0,MIN('Activities'!L434,42)-MAX('Activities'!K434,36))</x:f>
        <x:v>0</x:v>
      </x:c>
      <x:c r="L434" s="22" t="n">
        <x:f>MAX(0,MIN('Activities'!L434,48)-MAX('Activities'!K434,42))</x:f>
        <x:v>0</x:v>
      </x:c>
      <x:c r="M434" s="22" t="n">
        <x:f>MAX(0,MIN('Activities'!L434,54)-MAX('Activities'!K434,48))</x:f>
        <x:v>0</x:v>
      </x:c>
      <x:c r="N434" s="22" t="n">
        <x:f>MAX(0,MIN('Activities'!L434,60)-MAX('Activities'!K434,54))</x:f>
        <x:v>0</x:v>
      </x:c>
      <x:c r="O434" s="22" t="n">
        <x:f>MAX(0,MIN('Activities'!L434,66)-MAX('Activities'!K434,60))</x:f>
        <x:v>0</x:v>
      </x:c>
      <x:c r="P434" s="22" t="n">
        <x:f>MAX(0,MIN('Activities'!L434,72)-MAX('Activities'!K434,66))</x:f>
        <x:v>0</x:v>
      </x:c>
      <x:c r="Q434" s="22" t="n">
        <x:f>MAX(0,MIN('Activities'!L434,78)-MAX('Activities'!K434,72))</x:f>
        <x:v>0</x:v>
      </x:c>
      <x:c r="R434" s="22" t="n">
        <x:f>MAX(0,MIN('Activities'!L434,84)-MAX('Activities'!K434,78))</x:f>
        <x:v>0</x:v>
      </x:c>
      <x:c r="S434" s="22" t="n">
        <x:f>MAX(0,MIN('Activities'!L434,90)-MAX('Activities'!K434,84))</x:f>
        <x:v>0</x:v>
      </x:c>
      <x:c r="T434" s="22" t="n">
        <x:f>MAX(0,MIN('Activities'!L434,96)-MAX('Activities'!K434,90))</x:f>
        <x:v>0</x:v>
      </x:c>
      <x:c r="U434" s="22" t="n">
        <x:f>MAX(0,MIN('Activities'!L434,102)-MAX('Activities'!K434,96))</x:f>
        <x:v>0</x:v>
      </x:c>
      <x:c r="V434" s="22" t="n">
        <x:f>MAX(0,MIN('Activities'!L434,108)-MAX('Activities'!K434,102))</x:f>
        <x:v>0</x:v>
      </x:c>
      <x:c r="W434" s="22" t="n">
        <x:f>MAX(0,MIN('Activities'!L434,114)-MAX('Activities'!K434,108))</x:f>
        <x:v>0</x:v>
      </x:c>
      <x:c r="X434" s="22" t="n">
        <x:f>MAX(0,MIN('Activities'!L434,120)-MAX('Activities'!K434,114))</x:f>
        <x:v>0</x:v>
      </x:c>
      <x:c r="Y434" s="22" t="n">
        <x:f>MAX(0,MIN('Activities'!L434,126)-MAX('Activities'!K434,120))</x:f>
        <x:v>0</x:v>
      </x:c>
      <x:c r="Z434" s="22" t="n">
        <x:f>MAX(0,MIN('Activities'!L434,132)-MAX('Activities'!K434,126))</x:f>
        <x:v>0</x:v>
      </x:c>
      <x:c r="AA434" s="22" t="n">
        <x:f>MAX(0,MIN('Activities'!L434,138)-MAX('Activities'!K434,132))</x:f>
        <x:v>0</x:v>
      </x:c>
      <x:c r="AB434" s="22" t="n">
        <x:f>MAX(0,MIN('Activities'!L434,144)-MAX('Activities'!K434,138))</x:f>
        <x:v>0</x:v>
      </x:c>
      <x:c r="AC434" s="22" t="n">
        <x:f>MAX(0,MIN('Activities'!L434,150)-MAX('Activities'!K434,144))</x:f>
        <x:v>0</x:v>
      </x:c>
      <x:c r="AD434" s="22" t="n">
        <x:f>MAX(0,MIN('Activities'!L434,156)-MAX('Activities'!K434,150))</x:f>
        <x:v>0</x:v>
      </x:c>
      <x:c r="AE434" s="22" t="n">
        <x:f>MAX(0,MIN('Activities'!L434,162)-MAX('Activities'!K434,156))</x:f>
        <x:v>0</x:v>
      </x:c>
      <x:c r="AF434" s="22" t="n">
        <x:f>MAX(0,MIN('Activities'!L434,168)-MAX('Activities'!K434,162))</x:f>
        <x:v>0</x:v>
      </x:c>
      <x:c r="AG434" s="22" t="n">
        <x:f>MAX(0,MIN('Activities'!L434,174)-MAX('Activities'!K434,168))</x:f>
        <x:v>0</x:v>
      </x:c>
      <x:c r="AH434" s="22" t="n">
        <x:f>MAX(0,MIN('Activities'!L434,180)-MAX('Activities'!K434,174))</x:f>
        <x:v>0</x:v>
      </x:c>
      <x:c r="AI434" s="22" t="n">
        <x:f>MAX(0,MIN('Activities'!L434,186)-MAX('Activities'!K434,180))</x:f>
        <x:v>0</x:v>
      </x:c>
      <x:c r="AJ434" s="22" t="n">
        <x:f>MAX(0,MIN('Activities'!L434,192)-MAX('Activities'!K434,186))</x:f>
        <x:v>0</x:v>
      </x:c>
      <x:c r="AK434" s="22" t="n">
        <x:f>MAX(0,MIN('Activities'!L434,198)-MAX('Activities'!K434,192))</x:f>
        <x:v>0</x:v>
      </x:c>
      <x:c r="AL434" s="22" t="n">
        <x:f>MAX(0,MIN('Activities'!L434,204)-MAX('Activities'!K434,198))</x:f>
        <x:v>0</x:v>
      </x:c>
      <x:c r="AM434" s="22" t="n">
        <x:f>MAX(0,MIN('Activities'!L434,210)-MAX('Activities'!K434,204))</x:f>
        <x:v>0</x:v>
      </x:c>
      <x:c r="AN434" s="22" t="n">
        <x:f>MAX(0,MIN('Activities'!L434,216)-MAX('Activities'!K434,210))</x:f>
        <x:v>0</x:v>
      </x:c>
      <x:c r="AO434" s="22" t="n">
        <x:f>MAX(0,MIN('Activities'!L434,222)-MAX('Activities'!K434,216))</x:f>
        <x:v>0</x:v>
      </x:c>
      <x:c r="AP434" s="22" t="n">
        <x:f>MAX(0,MIN('Activities'!L434,228)-MAX('Activities'!K434,222))</x:f>
        <x:v>0</x:v>
      </x:c>
      <x:c r="AQ434" s="22" t="n">
        <x:f>MAX(0,MIN('Activities'!L434,234)-MAX('Activities'!K434,228))</x:f>
        <x:v>0</x:v>
      </x:c>
      <x:c r="AR434" s="22" t="n">
        <x:f>MAX(0,MIN('Activities'!L434,240)-MAX('Activities'!K434,234))</x:f>
        <x:v>0</x:v>
      </x:c>
      <x:c r="AS434" s="22" t="n">
        <x:f>MAX(0,MIN('Activities'!L434,246)-MAX('Activities'!K434,240))</x:f>
        <x:v>0</x:v>
      </x:c>
      <x:c r="AT434" s="22" t="n">
        <x:f>MAX(0,MIN('Activities'!L434,252)-MAX('Activities'!K434,246))</x:f>
        <x:v>0</x:v>
      </x:c>
      <x:c r="AU434" s="22" t="n">
        <x:f>MAX(0,MIN('Activities'!L434,258)-MAX('Activities'!K434,252))</x:f>
        <x:v>3</x:v>
      </x:c>
      <x:c r="AV434" s="22" t="n">
        <x:f>MAX(0,MIN('Activities'!L434,264)-MAX('Activities'!K434,258))</x:f>
        <x:v>2</x:v>
      </x:c>
      <x:c r="AW434" s="22" t="n">
        <x:f>MAX(0,MIN('Activities'!L434,270)-MAX('Activities'!K434,264))</x:f>
        <x:v>0</x:v>
      </x:c>
      <x:c r="AX434" s="22" t="n">
        <x:f>MAX(0,MIN('Activities'!L434,276)-MAX('Activities'!K434,270))</x:f>
        <x:v>0</x:v>
      </x:c>
      <x:c r="AY434" s="22" t="n">
        <x:f>MAX(0,MIN('Activities'!L434,282)-MAX('Activities'!K434,276))</x:f>
        <x:v>0</x:v>
      </x:c>
      <x:c r="AZ434" s="22" t="n">
        <x:f>MAX(0,MIN('Activities'!L434,288)-MAX('Activities'!K434,282))</x:f>
        <x:v>0</x:v>
      </x:c>
      <x:c r="BA434" s="22" t="n">
        <x:f>MAX(0,MIN('Activities'!L434,294)-MAX('Activities'!K434,288))</x:f>
        <x:v>0</x:v>
      </x:c>
      <x:c r="BB434" s="22" t="n">
        <x:f>MAX(0,MIN('Activities'!L434,300)-MAX('Activities'!K434,294))</x:f>
        <x:v>0</x:v>
      </x:c>
      <x:c r="BC434" s="22" t="n">
        <x:f>MAX(0,MIN('Activities'!L434,306)-MAX('Activities'!K434,300))</x:f>
        <x:v>0</x:v>
      </x:c>
      <x:c r="BD434" s="22" t="n">
        <x:f>MAX(0,MIN('Activities'!L434,312)-MAX('Activities'!K434,306))</x:f>
        <x:v>0</x:v>
      </x:c>
      <x:c r="BE434" s="22" t="n">
        <x:f>MAX(0,MIN('Activities'!L434,318)-MAX('Activities'!K434,312))</x:f>
        <x:v>0</x:v>
      </x:c>
      <x:c r="BF434" s="22" t="n">
        <x:f>MAX(0,MIN('Activities'!L434,324)-MAX('Activities'!K434,318))</x:f>
        <x:v>0</x:v>
      </x:c>
      <x:c r="BG434" s="22" t="n">
        <x:f>MAX(0,MIN('Activities'!L434,330)-MAX('Activities'!K434,324))</x:f>
        <x:v>0</x:v>
      </x:c>
      <x:c r="BH434" s="22" t="n">
        <x:f>MAX(0,MIN('Activities'!L434,336)-MAX('Activities'!K434,330))</x:f>
        <x:v>0</x:v>
      </x:c>
      <x:c r="BI434" s="22" t="n">
        <x:f>MAX(0,MIN('Activities'!L434,342)-MAX('Activities'!K434,336))</x:f>
        <x:v>0</x:v>
      </x:c>
      <x:c r="BJ434" s="22" t="n">
        <x:f>MAX(0,MIN('Activities'!L434,348)-MAX('Activities'!K434,342))</x:f>
        <x:v>0</x:v>
      </x:c>
      <x:c r="BK434" s="22" t="n">
        <x:f>MAX(0,MIN('Activities'!L434,354)-MAX('Activities'!K434,348))</x:f>
        <x:v>0</x:v>
      </x:c>
      <x:c r="BL434" s="22" t="n">
        <x:f>MAX(0,MIN('Activities'!L434,360)-MAX('Activities'!K434,354))</x:f>
        <x:v>0</x:v>
      </x:c>
      <x:c r="BM434" s="22" t="n">
        <x:f>MAX(0,MIN('Activities'!L434,366)-MAX('Activities'!K434,360))</x:f>
        <x:v>0</x:v>
      </x:c>
      <x:c r="BN434" s="22" t="n">
        <x:f>MAX(0,MIN('Activities'!L434,372)-MAX('Activities'!K434,366))</x:f>
        <x:v>0</x:v>
      </x:c>
      <x:c r="BO434" s="22" t="n">
        <x:f>MAX(0,MIN('Activities'!L434,378)-MAX('Activities'!K434,372))</x:f>
        <x:v>0</x:v>
      </x:c>
      <x:c r="BP434" s="22" t="n">
        <x:f>MAX(0,MIN('Activities'!L434,384)-MAX('Activities'!K434,378))</x:f>
        <x:v>0</x:v>
      </x:c>
      <x:c r="BQ434" s="22" t="n">
        <x:f>MAX(0,MIN('Activities'!L434,390)-MAX('Activities'!K434,384))</x:f>
        <x:v>0</x:v>
      </x:c>
      <x:c r="BR434" s="22" t="n">
        <x:f>MAX(0,MIN('Activities'!L434,396)-MAX('Activities'!K434,390))</x:f>
        <x:v>0</x:v>
      </x:c>
      <x:c r="BS434" s="22" t="n">
        <x:f>MAX(0,MIN('Activities'!L434,402)-MAX('Activities'!K434,396))</x:f>
        <x:v>0</x:v>
      </x:c>
      <x:c r="BT434" s="22" t="n">
        <x:f>MAX(0,MIN('Activities'!L434,408)-MAX('Activities'!K434,402))</x:f>
        <x:v>0</x:v>
      </x:c>
      <x:c r="BU434" s="22" t="n">
        <x:f>MAX(0,MIN('Activities'!L434,414)-MAX('Activities'!K434,408))</x:f>
        <x:v>0</x:v>
      </x:c>
      <x:c r="BV434" s="22" t="n">
        <x:f>MAX(0,MIN('Activities'!L434,420)-MAX('Activities'!K434,414))</x:f>
        <x:v>0</x:v>
      </x:c>
      <x:c r="BW434" s="22" t="n">
        <x:f>MAX(0,MIN('Activities'!L434,426)-MAX('Activities'!K434,420))</x:f>
        <x:v>0</x:v>
      </x:c>
      <x:c r="BX434" s="22" t="n">
        <x:f>MAX(0,MIN('Activities'!L434,432)-MAX('Activities'!K434,426))</x:f>
        <x:v>0</x:v>
      </x:c>
      <x:c r="BY434" s="22" t="n">
        <x:f>MAX(0,MIN('Activities'!L434,438)-MAX('Activities'!K434,432))</x:f>
        <x:v>0</x:v>
      </x:c>
      <x:c r="BZ434" s="22" t="n">
        <x:f>MAX(0,MIN('Activities'!L434,444)-MAX('Activities'!K434,438))</x:f>
        <x:v>0</x:v>
      </x:c>
      <x:c r="CA434" s="22" t="n">
        <x:f>MAX(0,MIN('Activities'!L434,450)-MAX('Activities'!K434,444))</x:f>
        <x:v>0</x:v>
      </x:c>
      <x:c r="CB434" s="22" t="n">
        <x:f>MAX(0,MIN('Activities'!L434,456)-MAX('Activities'!K434,450))</x:f>
        <x:v>0</x:v>
      </x:c>
      <x:c r="CC434" s="22" t="n">
        <x:f>MAX(0,MIN('Activities'!L434,462)-MAX('Activities'!K434,456))</x:f>
        <x:v>0</x:v>
      </x:c>
      <x:c r="CD434" s="22" t="n">
        <x:f>MAX(0,MIN('Activities'!L434,468)-MAX('Activities'!K434,462))</x:f>
        <x:v>0</x:v>
      </x:c>
      <x:c r="CE434" s="22" t="n">
        <x:f>MAX(0,MIN('Activities'!L434,474)-MAX('Activities'!K434,468))</x:f>
        <x:v>0</x:v>
      </x:c>
      <x:c r="CF434" s="22" t="n">
        <x:f>MAX(0,MIN('Activities'!L434,480)-MAX('Activities'!K434,474))</x:f>
        <x:v>0</x:v>
      </x:c>
      <x:c r="CG434" s="22" t="n">
        <x:f>MAX(0,MIN('Activities'!L434,486)-MAX('Activities'!K434,480))</x:f>
        <x:v>0</x:v>
      </x:c>
      <x:c r="CH434" s="22" t="n">
        <x:f>MAX(0,MIN('Activities'!L434,492)-MAX('Activities'!K434,486))</x:f>
        <x:v>0</x:v>
      </x:c>
      <x:c r="CI434" s="22" t="n">
        <x:f>MAX(0,MIN('Activities'!L434,498)-MAX('Activities'!K434,492))</x:f>
        <x:v>0</x:v>
      </x:c>
      <x:c r="CJ434" s="22" t="n">
        <x:f>MAX(0,MIN('Activities'!L434,504)-MAX('Activities'!K434,498))</x:f>
        <x:v>0</x:v>
      </x:c>
      <x:c r="CK434" s="22" t="n">
        <x:f>MAX(0,MIN('Activities'!L434,510)-MAX('Activities'!K434,504))</x:f>
        <x:v>0</x:v>
      </x:c>
      <x:c r="CL434" s="22" t="n">
        <x:f>MAX(0,MIN('Activities'!L434,516)-MAX('Activities'!K434,510))</x:f>
        <x:v>0</x:v>
      </x:c>
      <x:c r="CM434" s="22" t="n">
        <x:f>MAX(0,MIN('Activities'!L434,522)-MAX('Activities'!K434,516))</x:f>
        <x:v>0</x:v>
      </x:c>
      <x:c r="CN434" s="22" t="n">
        <x:f>MAX(0,MIN('Activities'!L434,528)-MAX('Activities'!K434,522))</x:f>
        <x:v>0</x:v>
      </x:c>
      <x:c r="CO434" s="22" t="n">
        <x:f>MAX(0,MIN('Activities'!L434,534)-MAX('Activities'!K434,528))</x:f>
        <x:v>0</x:v>
      </x:c>
      <x:c r="CP434" s="22" t="n">
        <x:f>MAX(0,MIN('Activities'!L434,540)-MAX('Activities'!K434,534))</x:f>
        <x:v>0</x:v>
      </x:c>
      <x:c r="CQ434" s="22" t="n">
        <x:f>MAX(0,MIN('Activities'!L434,546)-MAX('Activities'!K434,540))</x:f>
        <x:v>0</x:v>
      </x:c>
      <x:c r="CR434" s="22" t="n">
        <x:f>MAX(0,MIN('Activities'!L434,552)-MAX('Activities'!K434,546))</x:f>
        <x:v>0</x:v>
      </x:c>
      <x:c r="CS434" s="22" t="n">
        <x:f>MAX(0,MIN('Activities'!L434,558)-MAX('Activities'!K434,552))</x:f>
        <x:v>0</x:v>
      </x:c>
      <x:c r="CT434" s="22" t="n">
        <x:f>MAX(0,MIN('Activities'!L434,564)-MAX('Activities'!K434,558))</x:f>
        <x:v>0</x:v>
      </x:c>
      <x:c r="CU434" s="22" t="n">
        <x:f>MAX(0,MIN('Activities'!L434,570)-MAX('Activities'!K434,564))</x:f>
        <x:v>0</x:v>
      </x:c>
      <x:c r="CV434" s="22" t="n">
        <x:f>MAX(0,MIN('Activities'!L434,576)-MAX('Activities'!K434,570))</x:f>
        <x:v>0</x:v>
      </x:c>
      <x:c r="CW434" s="22" t="n">
        <x:f>MAX(0,MIN('Activities'!L434,582)-MAX('Activities'!K434,576))</x:f>
        <x:v>0</x:v>
      </x:c>
      <x:c r="CX434" s="22" t="n">
        <x:f>MAX(0,MIN('Activities'!L434,588)-MAX('Activities'!K434,582))</x:f>
        <x:v>0</x:v>
      </x:c>
      <x:c r="CY434" s="22" t="n">
        <x:f>MAX(0,MIN('Activities'!L434,594)-MAX('Activities'!K434,588))</x:f>
        <x:v>0</x:v>
      </x:c>
      <x:c r="CZ434" s="22" t="n">
        <x:f>MAX(0,MIN('Activities'!L434,600)-MAX('Activities'!K434,594))</x:f>
        <x:v>0</x:v>
      </x:c>
      <x:c r="DA434" s="22" t="n">
        <x:f>MAX(0,MIN('Activities'!L434,606)-MAX('Activities'!K434,600))</x:f>
        <x:v>0</x:v>
      </x:c>
      <x:c r="DB434" s="22" t="n">
        <x:f>MAX(0,MIN('Activities'!L434,612)-MAX('Activities'!K434,606))</x:f>
        <x:v>0</x:v>
      </x:c>
      <x:c r="DC434" s="22" t="n">
        <x:f>MAX(0,MIN('Activities'!L434,618)-MAX('Activities'!K434,612))</x:f>
        <x:v>0</x:v>
      </x:c>
      <x:c r="DD434" s="22" t="n">
        <x:f>MAX(0,MIN('Activities'!L434,624)-MAX('Activities'!K434,618))</x:f>
        <x:v>0</x:v>
      </x:c>
      <x:c r="DE434" s="22" t="n">
        <x:f>MAX(0,MIN('Activities'!L434,630)-MAX('Activities'!K434,624))</x:f>
        <x:v>0</x:v>
      </x:c>
      <x:c r="DF434" s="22" t="n">
        <x:f>MAX(0,MIN('Activities'!L434,636)-MAX('Activities'!K434,630))</x:f>
        <x:v>0</x:v>
      </x:c>
    </x:row>
    <x:row r="435" ht="23" customHeight="1">
      <x:c r="A435" s="1" t="str">
        <x:v>T4-L05-F</x:v>
      </x:c>
      <x:c r="B435" s="1" t="str">
        <x:v>T4</x:v>
      </x:c>
      <x:c r="C435" s="1" t="str">
        <x:v>Columns, core and deck formwork</x:v>
      </x:c>
      <x:c r="D435" s="1" t="str">
        <x:v>Formwork</x:v>
      </x:c>
      <x:c r="E435" s="23" t="n">
        <x:f>MAX(0,MIN('Activities'!L435,6)-MAX('Activities'!K435,0))</x:f>
        <x:v>0</x:v>
      </x:c>
      <x:c r="F435" s="23" t="n">
        <x:f>MAX(0,MIN('Activities'!L435,12)-MAX('Activities'!K435,6))</x:f>
        <x:v>0</x:v>
      </x:c>
      <x:c r="G435" s="23" t="n">
        <x:f>MAX(0,MIN('Activities'!L435,18)-MAX('Activities'!K435,12))</x:f>
        <x:v>0</x:v>
      </x:c>
      <x:c r="H435" s="23" t="n">
        <x:f>MAX(0,MIN('Activities'!L435,24)-MAX('Activities'!K435,18))</x:f>
        <x:v>0</x:v>
      </x:c>
      <x:c r="I435" s="23" t="n">
        <x:f>MAX(0,MIN('Activities'!L435,30)-MAX('Activities'!K435,24))</x:f>
        <x:v>0</x:v>
      </x:c>
      <x:c r="J435" s="23" t="n">
        <x:f>MAX(0,MIN('Activities'!L435,36)-MAX('Activities'!K435,30))</x:f>
        <x:v>0</x:v>
      </x:c>
      <x:c r="K435" s="23" t="n">
        <x:f>MAX(0,MIN('Activities'!L435,42)-MAX('Activities'!K435,36))</x:f>
        <x:v>0</x:v>
      </x:c>
      <x:c r="L435" s="23" t="n">
        <x:f>MAX(0,MIN('Activities'!L435,48)-MAX('Activities'!K435,42))</x:f>
        <x:v>0</x:v>
      </x:c>
      <x:c r="M435" s="23" t="n">
        <x:f>MAX(0,MIN('Activities'!L435,54)-MAX('Activities'!K435,48))</x:f>
        <x:v>0</x:v>
      </x:c>
      <x:c r="N435" s="23" t="n">
        <x:f>MAX(0,MIN('Activities'!L435,60)-MAX('Activities'!K435,54))</x:f>
        <x:v>0</x:v>
      </x:c>
      <x:c r="O435" s="23" t="n">
        <x:f>MAX(0,MIN('Activities'!L435,66)-MAX('Activities'!K435,60))</x:f>
        <x:v>0</x:v>
      </x:c>
      <x:c r="P435" s="23" t="n">
        <x:f>MAX(0,MIN('Activities'!L435,72)-MAX('Activities'!K435,66))</x:f>
        <x:v>0</x:v>
      </x:c>
      <x:c r="Q435" s="23" t="n">
        <x:f>MAX(0,MIN('Activities'!L435,78)-MAX('Activities'!K435,72))</x:f>
        <x:v>0</x:v>
      </x:c>
      <x:c r="R435" s="23" t="n">
        <x:f>MAX(0,MIN('Activities'!L435,84)-MAX('Activities'!K435,78))</x:f>
        <x:v>0</x:v>
      </x:c>
      <x:c r="S435" s="23" t="n">
        <x:f>MAX(0,MIN('Activities'!L435,90)-MAX('Activities'!K435,84))</x:f>
        <x:v>0</x:v>
      </x:c>
      <x:c r="T435" s="23" t="n">
        <x:f>MAX(0,MIN('Activities'!L435,96)-MAX('Activities'!K435,90))</x:f>
        <x:v>0</x:v>
      </x:c>
      <x:c r="U435" s="23" t="n">
        <x:f>MAX(0,MIN('Activities'!L435,102)-MAX('Activities'!K435,96))</x:f>
        <x:v>0</x:v>
      </x:c>
      <x:c r="V435" s="23" t="n">
        <x:f>MAX(0,MIN('Activities'!L435,108)-MAX('Activities'!K435,102))</x:f>
        <x:v>0</x:v>
      </x:c>
      <x:c r="W435" s="23" t="n">
        <x:f>MAX(0,MIN('Activities'!L435,114)-MAX('Activities'!K435,108))</x:f>
        <x:v>0</x:v>
      </x:c>
      <x:c r="X435" s="23" t="n">
        <x:f>MAX(0,MIN('Activities'!L435,120)-MAX('Activities'!K435,114))</x:f>
        <x:v>0</x:v>
      </x:c>
      <x:c r="Y435" s="23" t="n">
        <x:f>MAX(0,MIN('Activities'!L435,126)-MAX('Activities'!K435,120))</x:f>
        <x:v>0</x:v>
      </x:c>
      <x:c r="Z435" s="23" t="n">
        <x:f>MAX(0,MIN('Activities'!L435,132)-MAX('Activities'!K435,126))</x:f>
        <x:v>0</x:v>
      </x:c>
      <x:c r="AA435" s="23" t="n">
        <x:f>MAX(0,MIN('Activities'!L435,138)-MAX('Activities'!K435,132))</x:f>
        <x:v>0</x:v>
      </x:c>
      <x:c r="AB435" s="23" t="n">
        <x:f>MAX(0,MIN('Activities'!L435,144)-MAX('Activities'!K435,138))</x:f>
        <x:v>0</x:v>
      </x:c>
      <x:c r="AC435" s="23" t="n">
        <x:f>MAX(0,MIN('Activities'!L435,150)-MAX('Activities'!K435,144))</x:f>
        <x:v>0</x:v>
      </x:c>
      <x:c r="AD435" s="23" t="n">
        <x:f>MAX(0,MIN('Activities'!L435,156)-MAX('Activities'!K435,150))</x:f>
        <x:v>0</x:v>
      </x:c>
      <x:c r="AE435" s="23" t="n">
        <x:f>MAX(0,MIN('Activities'!L435,162)-MAX('Activities'!K435,156))</x:f>
        <x:v>0</x:v>
      </x:c>
      <x:c r="AF435" s="23" t="n">
        <x:f>MAX(0,MIN('Activities'!L435,168)-MAX('Activities'!K435,162))</x:f>
        <x:v>0</x:v>
      </x:c>
      <x:c r="AG435" s="23" t="n">
        <x:f>MAX(0,MIN('Activities'!L435,174)-MAX('Activities'!K435,168))</x:f>
        <x:v>0</x:v>
      </x:c>
      <x:c r="AH435" s="23" t="n">
        <x:f>MAX(0,MIN('Activities'!L435,180)-MAX('Activities'!K435,174))</x:f>
        <x:v>0</x:v>
      </x:c>
      <x:c r="AI435" s="23" t="n">
        <x:f>MAX(0,MIN('Activities'!L435,186)-MAX('Activities'!K435,180))</x:f>
        <x:v>0</x:v>
      </x:c>
      <x:c r="AJ435" s="23" t="n">
        <x:f>MAX(0,MIN('Activities'!L435,192)-MAX('Activities'!K435,186))</x:f>
        <x:v>0</x:v>
      </x:c>
      <x:c r="AK435" s="23" t="n">
        <x:f>MAX(0,MIN('Activities'!L435,198)-MAX('Activities'!K435,192))</x:f>
        <x:v>0</x:v>
      </x:c>
      <x:c r="AL435" s="23" t="n">
        <x:f>MAX(0,MIN('Activities'!L435,204)-MAX('Activities'!K435,198))</x:f>
        <x:v>0</x:v>
      </x:c>
      <x:c r="AM435" s="23" t="n">
        <x:f>MAX(0,MIN('Activities'!L435,210)-MAX('Activities'!K435,204))</x:f>
        <x:v>0</x:v>
      </x:c>
      <x:c r="AN435" s="23" t="n">
        <x:f>MAX(0,MIN('Activities'!L435,216)-MAX('Activities'!K435,210))</x:f>
        <x:v>0</x:v>
      </x:c>
      <x:c r="AO435" s="23" t="n">
        <x:f>MAX(0,MIN('Activities'!L435,222)-MAX('Activities'!K435,216))</x:f>
        <x:v>0</x:v>
      </x:c>
      <x:c r="AP435" s="23" t="n">
        <x:f>MAX(0,MIN('Activities'!L435,228)-MAX('Activities'!K435,222))</x:f>
        <x:v>0</x:v>
      </x:c>
      <x:c r="AQ435" s="23" t="n">
        <x:f>MAX(0,MIN('Activities'!L435,234)-MAX('Activities'!K435,228))</x:f>
        <x:v>0</x:v>
      </x:c>
      <x:c r="AR435" s="23" t="n">
        <x:f>MAX(0,MIN('Activities'!L435,240)-MAX('Activities'!K435,234))</x:f>
        <x:v>0</x:v>
      </x:c>
      <x:c r="AS435" s="23" t="n">
        <x:f>MAX(0,MIN('Activities'!L435,246)-MAX('Activities'!K435,240))</x:f>
        <x:v>0</x:v>
      </x:c>
      <x:c r="AT435" s="23" t="n">
        <x:f>MAX(0,MIN('Activities'!L435,252)-MAX('Activities'!K435,246))</x:f>
        <x:v>0</x:v>
      </x:c>
      <x:c r="AU435" s="23" t="n">
        <x:f>MAX(0,MIN('Activities'!L435,258)-MAX('Activities'!K435,252))</x:f>
        <x:v>0</x:v>
      </x:c>
      <x:c r="AV435" s="23" t="n">
        <x:f>MAX(0,MIN('Activities'!L435,264)-MAX('Activities'!K435,258))</x:f>
        <x:v>4</x:v>
      </x:c>
      <x:c r="AW435" s="23" t="n">
        <x:f>MAX(0,MIN('Activities'!L435,270)-MAX('Activities'!K435,264))</x:f>
        <x:v>2</x:v>
      </x:c>
      <x:c r="AX435" s="23" t="n">
        <x:f>MAX(0,MIN('Activities'!L435,276)-MAX('Activities'!K435,270))</x:f>
        <x:v>0</x:v>
      </x:c>
      <x:c r="AY435" s="23" t="n">
        <x:f>MAX(0,MIN('Activities'!L435,282)-MAX('Activities'!K435,276))</x:f>
        <x:v>0</x:v>
      </x:c>
      <x:c r="AZ435" s="23" t="n">
        <x:f>MAX(0,MIN('Activities'!L435,288)-MAX('Activities'!K435,282))</x:f>
        <x:v>0</x:v>
      </x:c>
      <x:c r="BA435" s="23" t="n">
        <x:f>MAX(0,MIN('Activities'!L435,294)-MAX('Activities'!K435,288))</x:f>
        <x:v>0</x:v>
      </x:c>
      <x:c r="BB435" s="23" t="n">
        <x:f>MAX(0,MIN('Activities'!L435,300)-MAX('Activities'!K435,294))</x:f>
        <x:v>0</x:v>
      </x:c>
      <x:c r="BC435" s="23" t="n">
        <x:f>MAX(0,MIN('Activities'!L435,306)-MAX('Activities'!K435,300))</x:f>
        <x:v>0</x:v>
      </x:c>
      <x:c r="BD435" s="23" t="n">
        <x:f>MAX(0,MIN('Activities'!L435,312)-MAX('Activities'!K435,306))</x:f>
        <x:v>0</x:v>
      </x:c>
      <x:c r="BE435" s="23" t="n">
        <x:f>MAX(0,MIN('Activities'!L435,318)-MAX('Activities'!K435,312))</x:f>
        <x:v>0</x:v>
      </x:c>
      <x:c r="BF435" s="23" t="n">
        <x:f>MAX(0,MIN('Activities'!L435,324)-MAX('Activities'!K435,318))</x:f>
        <x:v>0</x:v>
      </x:c>
      <x:c r="BG435" s="23" t="n">
        <x:f>MAX(0,MIN('Activities'!L435,330)-MAX('Activities'!K435,324))</x:f>
        <x:v>0</x:v>
      </x:c>
      <x:c r="BH435" s="23" t="n">
        <x:f>MAX(0,MIN('Activities'!L435,336)-MAX('Activities'!K435,330))</x:f>
        <x:v>0</x:v>
      </x:c>
      <x:c r="BI435" s="23" t="n">
        <x:f>MAX(0,MIN('Activities'!L435,342)-MAX('Activities'!K435,336))</x:f>
        <x:v>0</x:v>
      </x:c>
      <x:c r="BJ435" s="23" t="n">
        <x:f>MAX(0,MIN('Activities'!L435,348)-MAX('Activities'!K435,342))</x:f>
        <x:v>0</x:v>
      </x:c>
      <x:c r="BK435" s="23" t="n">
        <x:f>MAX(0,MIN('Activities'!L435,354)-MAX('Activities'!K435,348))</x:f>
        <x:v>0</x:v>
      </x:c>
      <x:c r="BL435" s="23" t="n">
        <x:f>MAX(0,MIN('Activities'!L435,360)-MAX('Activities'!K435,354))</x:f>
        <x:v>0</x:v>
      </x:c>
      <x:c r="BM435" s="23" t="n">
        <x:f>MAX(0,MIN('Activities'!L435,366)-MAX('Activities'!K435,360))</x:f>
        <x:v>0</x:v>
      </x:c>
      <x:c r="BN435" s="23" t="n">
        <x:f>MAX(0,MIN('Activities'!L435,372)-MAX('Activities'!K435,366))</x:f>
        <x:v>0</x:v>
      </x:c>
      <x:c r="BO435" s="23" t="n">
        <x:f>MAX(0,MIN('Activities'!L435,378)-MAX('Activities'!K435,372))</x:f>
        <x:v>0</x:v>
      </x:c>
      <x:c r="BP435" s="23" t="n">
        <x:f>MAX(0,MIN('Activities'!L435,384)-MAX('Activities'!K435,378))</x:f>
        <x:v>0</x:v>
      </x:c>
      <x:c r="BQ435" s="23" t="n">
        <x:f>MAX(0,MIN('Activities'!L435,390)-MAX('Activities'!K435,384))</x:f>
        <x:v>0</x:v>
      </x:c>
      <x:c r="BR435" s="23" t="n">
        <x:f>MAX(0,MIN('Activities'!L435,396)-MAX('Activities'!K435,390))</x:f>
        <x:v>0</x:v>
      </x:c>
      <x:c r="BS435" s="23" t="n">
        <x:f>MAX(0,MIN('Activities'!L435,402)-MAX('Activities'!K435,396))</x:f>
        <x:v>0</x:v>
      </x:c>
      <x:c r="BT435" s="23" t="n">
        <x:f>MAX(0,MIN('Activities'!L435,408)-MAX('Activities'!K435,402))</x:f>
        <x:v>0</x:v>
      </x:c>
      <x:c r="BU435" s="23" t="n">
        <x:f>MAX(0,MIN('Activities'!L435,414)-MAX('Activities'!K435,408))</x:f>
        <x:v>0</x:v>
      </x:c>
      <x:c r="BV435" s="23" t="n">
        <x:f>MAX(0,MIN('Activities'!L435,420)-MAX('Activities'!K435,414))</x:f>
        <x:v>0</x:v>
      </x:c>
      <x:c r="BW435" s="23" t="n">
        <x:f>MAX(0,MIN('Activities'!L435,426)-MAX('Activities'!K435,420))</x:f>
        <x:v>0</x:v>
      </x:c>
      <x:c r="BX435" s="23" t="n">
        <x:f>MAX(0,MIN('Activities'!L435,432)-MAX('Activities'!K435,426))</x:f>
        <x:v>0</x:v>
      </x:c>
      <x:c r="BY435" s="23" t="n">
        <x:f>MAX(0,MIN('Activities'!L435,438)-MAX('Activities'!K435,432))</x:f>
        <x:v>0</x:v>
      </x:c>
      <x:c r="BZ435" s="23" t="n">
        <x:f>MAX(0,MIN('Activities'!L435,444)-MAX('Activities'!K435,438))</x:f>
        <x:v>0</x:v>
      </x:c>
      <x:c r="CA435" s="23" t="n">
        <x:f>MAX(0,MIN('Activities'!L435,450)-MAX('Activities'!K435,444))</x:f>
        <x:v>0</x:v>
      </x:c>
      <x:c r="CB435" s="23" t="n">
        <x:f>MAX(0,MIN('Activities'!L435,456)-MAX('Activities'!K435,450))</x:f>
        <x:v>0</x:v>
      </x:c>
      <x:c r="CC435" s="23" t="n">
        <x:f>MAX(0,MIN('Activities'!L435,462)-MAX('Activities'!K435,456))</x:f>
        <x:v>0</x:v>
      </x:c>
      <x:c r="CD435" s="23" t="n">
        <x:f>MAX(0,MIN('Activities'!L435,468)-MAX('Activities'!K435,462))</x:f>
        <x:v>0</x:v>
      </x:c>
      <x:c r="CE435" s="23" t="n">
        <x:f>MAX(0,MIN('Activities'!L435,474)-MAX('Activities'!K435,468))</x:f>
        <x:v>0</x:v>
      </x:c>
      <x:c r="CF435" s="23" t="n">
        <x:f>MAX(0,MIN('Activities'!L435,480)-MAX('Activities'!K435,474))</x:f>
        <x:v>0</x:v>
      </x:c>
      <x:c r="CG435" s="23" t="n">
        <x:f>MAX(0,MIN('Activities'!L435,486)-MAX('Activities'!K435,480))</x:f>
        <x:v>0</x:v>
      </x:c>
      <x:c r="CH435" s="23" t="n">
        <x:f>MAX(0,MIN('Activities'!L435,492)-MAX('Activities'!K435,486))</x:f>
        <x:v>0</x:v>
      </x:c>
      <x:c r="CI435" s="23" t="n">
        <x:f>MAX(0,MIN('Activities'!L435,498)-MAX('Activities'!K435,492))</x:f>
        <x:v>0</x:v>
      </x:c>
      <x:c r="CJ435" s="23" t="n">
        <x:f>MAX(0,MIN('Activities'!L435,504)-MAX('Activities'!K435,498))</x:f>
        <x:v>0</x:v>
      </x:c>
      <x:c r="CK435" s="23" t="n">
        <x:f>MAX(0,MIN('Activities'!L435,510)-MAX('Activities'!K435,504))</x:f>
        <x:v>0</x:v>
      </x:c>
      <x:c r="CL435" s="23" t="n">
        <x:f>MAX(0,MIN('Activities'!L435,516)-MAX('Activities'!K435,510))</x:f>
        <x:v>0</x:v>
      </x:c>
      <x:c r="CM435" s="23" t="n">
        <x:f>MAX(0,MIN('Activities'!L435,522)-MAX('Activities'!K435,516))</x:f>
        <x:v>0</x:v>
      </x:c>
      <x:c r="CN435" s="23" t="n">
        <x:f>MAX(0,MIN('Activities'!L435,528)-MAX('Activities'!K435,522))</x:f>
        <x:v>0</x:v>
      </x:c>
      <x:c r="CO435" s="23" t="n">
        <x:f>MAX(0,MIN('Activities'!L435,534)-MAX('Activities'!K435,528))</x:f>
        <x:v>0</x:v>
      </x:c>
      <x:c r="CP435" s="23" t="n">
        <x:f>MAX(0,MIN('Activities'!L435,540)-MAX('Activities'!K435,534))</x:f>
        <x:v>0</x:v>
      </x:c>
      <x:c r="CQ435" s="23" t="n">
        <x:f>MAX(0,MIN('Activities'!L435,546)-MAX('Activities'!K435,540))</x:f>
        <x:v>0</x:v>
      </x:c>
      <x:c r="CR435" s="23" t="n">
        <x:f>MAX(0,MIN('Activities'!L435,552)-MAX('Activities'!K435,546))</x:f>
        <x:v>0</x:v>
      </x:c>
      <x:c r="CS435" s="23" t="n">
        <x:f>MAX(0,MIN('Activities'!L435,558)-MAX('Activities'!K435,552))</x:f>
        <x:v>0</x:v>
      </x:c>
      <x:c r="CT435" s="23" t="n">
        <x:f>MAX(0,MIN('Activities'!L435,564)-MAX('Activities'!K435,558))</x:f>
        <x:v>0</x:v>
      </x:c>
      <x:c r="CU435" s="23" t="n">
        <x:f>MAX(0,MIN('Activities'!L435,570)-MAX('Activities'!K435,564))</x:f>
        <x:v>0</x:v>
      </x:c>
      <x:c r="CV435" s="23" t="n">
        <x:f>MAX(0,MIN('Activities'!L435,576)-MAX('Activities'!K435,570))</x:f>
        <x:v>0</x:v>
      </x:c>
      <x:c r="CW435" s="23" t="n">
        <x:f>MAX(0,MIN('Activities'!L435,582)-MAX('Activities'!K435,576))</x:f>
        <x:v>0</x:v>
      </x:c>
      <x:c r="CX435" s="23" t="n">
        <x:f>MAX(0,MIN('Activities'!L435,588)-MAX('Activities'!K435,582))</x:f>
        <x:v>0</x:v>
      </x:c>
      <x:c r="CY435" s="23" t="n">
        <x:f>MAX(0,MIN('Activities'!L435,594)-MAX('Activities'!K435,588))</x:f>
        <x:v>0</x:v>
      </x:c>
      <x:c r="CZ435" s="23" t="n">
        <x:f>MAX(0,MIN('Activities'!L435,600)-MAX('Activities'!K435,594))</x:f>
        <x:v>0</x:v>
      </x:c>
      <x:c r="DA435" s="23" t="n">
        <x:f>MAX(0,MIN('Activities'!L435,606)-MAX('Activities'!K435,600))</x:f>
        <x:v>0</x:v>
      </x:c>
      <x:c r="DB435" s="23" t="n">
        <x:f>MAX(0,MIN('Activities'!L435,612)-MAX('Activities'!K435,606))</x:f>
        <x:v>0</x:v>
      </x:c>
      <x:c r="DC435" s="23" t="n">
        <x:f>MAX(0,MIN('Activities'!L435,618)-MAX('Activities'!K435,612))</x:f>
        <x:v>0</x:v>
      </x:c>
      <x:c r="DD435" s="23" t="n">
        <x:f>MAX(0,MIN('Activities'!L435,624)-MAX('Activities'!K435,618))</x:f>
        <x:v>0</x:v>
      </x:c>
      <x:c r="DE435" s="23" t="n">
        <x:f>MAX(0,MIN('Activities'!L435,630)-MAX('Activities'!K435,624))</x:f>
        <x:v>0</x:v>
      </x:c>
      <x:c r="DF435" s="23" t="n">
        <x:f>MAX(0,MIN('Activities'!L435,636)-MAX('Activities'!K435,630))</x:f>
        <x:v>0</x:v>
      </x:c>
    </x:row>
    <x:row r="436" ht="23" customHeight="1">
      <x:c r="A436" s="6" t="str">
        <x:v>T4-L05-R</x:v>
      </x:c>
      <x:c r="B436" s="6" t="str">
        <x:v>T4</x:v>
      </x:c>
      <x:c r="C436" s="6" t="str">
        <x:v>Column, wall, beam and slab reinforcement</x:v>
      </x:c>
      <x:c r="D436" s="6" t="str">
        <x:v>Rebar</x:v>
      </x:c>
      <x:c r="E436" s="22" t="n">
        <x:f>MAX(0,MIN('Activities'!L436,6)-MAX('Activities'!K436,0))</x:f>
        <x:v>0</x:v>
      </x:c>
      <x:c r="F436" s="22" t="n">
        <x:f>MAX(0,MIN('Activities'!L436,12)-MAX('Activities'!K436,6))</x:f>
        <x:v>0</x:v>
      </x:c>
      <x:c r="G436" s="22" t="n">
        <x:f>MAX(0,MIN('Activities'!L436,18)-MAX('Activities'!K436,12))</x:f>
        <x:v>0</x:v>
      </x:c>
      <x:c r="H436" s="22" t="n">
        <x:f>MAX(0,MIN('Activities'!L436,24)-MAX('Activities'!K436,18))</x:f>
        <x:v>0</x:v>
      </x:c>
      <x:c r="I436" s="22" t="n">
        <x:f>MAX(0,MIN('Activities'!L436,30)-MAX('Activities'!K436,24))</x:f>
        <x:v>0</x:v>
      </x:c>
      <x:c r="J436" s="22" t="n">
        <x:f>MAX(0,MIN('Activities'!L436,36)-MAX('Activities'!K436,30))</x:f>
        <x:v>0</x:v>
      </x:c>
      <x:c r="K436" s="22" t="n">
        <x:f>MAX(0,MIN('Activities'!L436,42)-MAX('Activities'!K436,36))</x:f>
        <x:v>0</x:v>
      </x:c>
      <x:c r="L436" s="22" t="n">
        <x:f>MAX(0,MIN('Activities'!L436,48)-MAX('Activities'!K436,42))</x:f>
        <x:v>0</x:v>
      </x:c>
      <x:c r="M436" s="22" t="n">
        <x:f>MAX(0,MIN('Activities'!L436,54)-MAX('Activities'!K436,48))</x:f>
        <x:v>0</x:v>
      </x:c>
      <x:c r="N436" s="22" t="n">
        <x:f>MAX(0,MIN('Activities'!L436,60)-MAX('Activities'!K436,54))</x:f>
        <x:v>0</x:v>
      </x:c>
      <x:c r="O436" s="22" t="n">
        <x:f>MAX(0,MIN('Activities'!L436,66)-MAX('Activities'!K436,60))</x:f>
        <x:v>0</x:v>
      </x:c>
      <x:c r="P436" s="22" t="n">
        <x:f>MAX(0,MIN('Activities'!L436,72)-MAX('Activities'!K436,66))</x:f>
        <x:v>0</x:v>
      </x:c>
      <x:c r="Q436" s="22" t="n">
        <x:f>MAX(0,MIN('Activities'!L436,78)-MAX('Activities'!K436,72))</x:f>
        <x:v>0</x:v>
      </x:c>
      <x:c r="R436" s="22" t="n">
        <x:f>MAX(0,MIN('Activities'!L436,84)-MAX('Activities'!K436,78))</x:f>
        <x:v>0</x:v>
      </x:c>
      <x:c r="S436" s="22" t="n">
        <x:f>MAX(0,MIN('Activities'!L436,90)-MAX('Activities'!K436,84))</x:f>
        <x:v>0</x:v>
      </x:c>
      <x:c r="T436" s="22" t="n">
        <x:f>MAX(0,MIN('Activities'!L436,96)-MAX('Activities'!K436,90))</x:f>
        <x:v>0</x:v>
      </x:c>
      <x:c r="U436" s="22" t="n">
        <x:f>MAX(0,MIN('Activities'!L436,102)-MAX('Activities'!K436,96))</x:f>
        <x:v>0</x:v>
      </x:c>
      <x:c r="V436" s="22" t="n">
        <x:f>MAX(0,MIN('Activities'!L436,108)-MAX('Activities'!K436,102))</x:f>
        <x:v>0</x:v>
      </x:c>
      <x:c r="W436" s="22" t="n">
        <x:f>MAX(0,MIN('Activities'!L436,114)-MAX('Activities'!K436,108))</x:f>
        <x:v>0</x:v>
      </x:c>
      <x:c r="X436" s="22" t="n">
        <x:f>MAX(0,MIN('Activities'!L436,120)-MAX('Activities'!K436,114))</x:f>
        <x:v>0</x:v>
      </x:c>
      <x:c r="Y436" s="22" t="n">
        <x:f>MAX(0,MIN('Activities'!L436,126)-MAX('Activities'!K436,120))</x:f>
        <x:v>0</x:v>
      </x:c>
      <x:c r="Z436" s="22" t="n">
        <x:f>MAX(0,MIN('Activities'!L436,132)-MAX('Activities'!K436,126))</x:f>
        <x:v>0</x:v>
      </x:c>
      <x:c r="AA436" s="22" t="n">
        <x:f>MAX(0,MIN('Activities'!L436,138)-MAX('Activities'!K436,132))</x:f>
        <x:v>0</x:v>
      </x:c>
      <x:c r="AB436" s="22" t="n">
        <x:f>MAX(0,MIN('Activities'!L436,144)-MAX('Activities'!K436,138))</x:f>
        <x:v>0</x:v>
      </x:c>
      <x:c r="AC436" s="22" t="n">
        <x:f>MAX(0,MIN('Activities'!L436,150)-MAX('Activities'!K436,144))</x:f>
        <x:v>0</x:v>
      </x:c>
      <x:c r="AD436" s="22" t="n">
        <x:f>MAX(0,MIN('Activities'!L436,156)-MAX('Activities'!K436,150))</x:f>
        <x:v>0</x:v>
      </x:c>
      <x:c r="AE436" s="22" t="n">
        <x:f>MAX(0,MIN('Activities'!L436,162)-MAX('Activities'!K436,156))</x:f>
        <x:v>0</x:v>
      </x:c>
      <x:c r="AF436" s="22" t="n">
        <x:f>MAX(0,MIN('Activities'!L436,168)-MAX('Activities'!K436,162))</x:f>
        <x:v>0</x:v>
      </x:c>
      <x:c r="AG436" s="22" t="n">
        <x:f>MAX(0,MIN('Activities'!L436,174)-MAX('Activities'!K436,168))</x:f>
        <x:v>0</x:v>
      </x:c>
      <x:c r="AH436" s="22" t="n">
        <x:f>MAX(0,MIN('Activities'!L436,180)-MAX('Activities'!K436,174))</x:f>
        <x:v>0</x:v>
      </x:c>
      <x:c r="AI436" s="22" t="n">
        <x:f>MAX(0,MIN('Activities'!L436,186)-MAX('Activities'!K436,180))</x:f>
        <x:v>0</x:v>
      </x:c>
      <x:c r="AJ436" s="22" t="n">
        <x:f>MAX(0,MIN('Activities'!L436,192)-MAX('Activities'!K436,186))</x:f>
        <x:v>0</x:v>
      </x:c>
      <x:c r="AK436" s="22" t="n">
        <x:f>MAX(0,MIN('Activities'!L436,198)-MAX('Activities'!K436,192))</x:f>
        <x:v>0</x:v>
      </x:c>
      <x:c r="AL436" s="22" t="n">
        <x:f>MAX(0,MIN('Activities'!L436,204)-MAX('Activities'!K436,198))</x:f>
        <x:v>0</x:v>
      </x:c>
      <x:c r="AM436" s="22" t="n">
        <x:f>MAX(0,MIN('Activities'!L436,210)-MAX('Activities'!K436,204))</x:f>
        <x:v>0</x:v>
      </x:c>
      <x:c r="AN436" s="22" t="n">
        <x:f>MAX(0,MIN('Activities'!L436,216)-MAX('Activities'!K436,210))</x:f>
        <x:v>0</x:v>
      </x:c>
      <x:c r="AO436" s="22" t="n">
        <x:f>MAX(0,MIN('Activities'!L436,222)-MAX('Activities'!K436,216))</x:f>
        <x:v>0</x:v>
      </x:c>
      <x:c r="AP436" s="22" t="n">
        <x:f>MAX(0,MIN('Activities'!L436,228)-MAX('Activities'!K436,222))</x:f>
        <x:v>0</x:v>
      </x:c>
      <x:c r="AQ436" s="22" t="n">
        <x:f>MAX(0,MIN('Activities'!L436,234)-MAX('Activities'!K436,228))</x:f>
        <x:v>0</x:v>
      </x:c>
      <x:c r="AR436" s="22" t="n">
        <x:f>MAX(0,MIN('Activities'!L436,240)-MAX('Activities'!K436,234))</x:f>
        <x:v>0</x:v>
      </x:c>
      <x:c r="AS436" s="22" t="n">
        <x:f>MAX(0,MIN('Activities'!L436,246)-MAX('Activities'!K436,240))</x:f>
        <x:v>0</x:v>
      </x:c>
      <x:c r="AT436" s="22" t="n">
        <x:f>MAX(0,MIN('Activities'!L436,252)-MAX('Activities'!K436,246))</x:f>
        <x:v>0</x:v>
      </x:c>
      <x:c r="AU436" s="22" t="n">
        <x:f>MAX(0,MIN('Activities'!L436,258)-MAX('Activities'!K436,252))</x:f>
        <x:v>0</x:v>
      </x:c>
      <x:c r="AV436" s="22" t="n">
        <x:f>MAX(0,MIN('Activities'!L436,264)-MAX('Activities'!K436,258))</x:f>
        <x:v>0</x:v>
      </x:c>
      <x:c r="AW436" s="22" t="n">
        <x:f>MAX(0,MIN('Activities'!L436,270)-MAX('Activities'!K436,264))</x:f>
        <x:v>4</x:v>
      </x:c>
      <x:c r="AX436" s="22" t="n">
        <x:f>MAX(0,MIN('Activities'!L436,276)-MAX('Activities'!K436,270))</x:f>
        <x:v>1</x:v>
      </x:c>
      <x:c r="AY436" s="22" t="n">
        <x:f>MAX(0,MIN('Activities'!L436,282)-MAX('Activities'!K436,276))</x:f>
        <x:v>0</x:v>
      </x:c>
      <x:c r="AZ436" s="22" t="n">
        <x:f>MAX(0,MIN('Activities'!L436,288)-MAX('Activities'!K436,282))</x:f>
        <x:v>0</x:v>
      </x:c>
      <x:c r="BA436" s="22" t="n">
        <x:f>MAX(0,MIN('Activities'!L436,294)-MAX('Activities'!K436,288))</x:f>
        <x:v>0</x:v>
      </x:c>
      <x:c r="BB436" s="22" t="n">
        <x:f>MAX(0,MIN('Activities'!L436,300)-MAX('Activities'!K436,294))</x:f>
        <x:v>0</x:v>
      </x:c>
      <x:c r="BC436" s="22" t="n">
        <x:f>MAX(0,MIN('Activities'!L436,306)-MAX('Activities'!K436,300))</x:f>
        <x:v>0</x:v>
      </x:c>
      <x:c r="BD436" s="22" t="n">
        <x:f>MAX(0,MIN('Activities'!L436,312)-MAX('Activities'!K436,306))</x:f>
        <x:v>0</x:v>
      </x:c>
      <x:c r="BE436" s="22" t="n">
        <x:f>MAX(0,MIN('Activities'!L436,318)-MAX('Activities'!K436,312))</x:f>
        <x:v>0</x:v>
      </x:c>
      <x:c r="BF436" s="22" t="n">
        <x:f>MAX(0,MIN('Activities'!L436,324)-MAX('Activities'!K436,318))</x:f>
        <x:v>0</x:v>
      </x:c>
      <x:c r="BG436" s="22" t="n">
        <x:f>MAX(0,MIN('Activities'!L436,330)-MAX('Activities'!K436,324))</x:f>
        <x:v>0</x:v>
      </x:c>
      <x:c r="BH436" s="22" t="n">
        <x:f>MAX(0,MIN('Activities'!L436,336)-MAX('Activities'!K436,330))</x:f>
        <x:v>0</x:v>
      </x:c>
      <x:c r="BI436" s="22" t="n">
        <x:f>MAX(0,MIN('Activities'!L436,342)-MAX('Activities'!K436,336))</x:f>
        <x:v>0</x:v>
      </x:c>
      <x:c r="BJ436" s="22" t="n">
        <x:f>MAX(0,MIN('Activities'!L436,348)-MAX('Activities'!K436,342))</x:f>
        <x:v>0</x:v>
      </x:c>
      <x:c r="BK436" s="22" t="n">
        <x:f>MAX(0,MIN('Activities'!L436,354)-MAX('Activities'!K436,348))</x:f>
        <x:v>0</x:v>
      </x:c>
      <x:c r="BL436" s="22" t="n">
        <x:f>MAX(0,MIN('Activities'!L436,360)-MAX('Activities'!K436,354))</x:f>
        <x:v>0</x:v>
      </x:c>
      <x:c r="BM436" s="22" t="n">
        <x:f>MAX(0,MIN('Activities'!L436,366)-MAX('Activities'!K436,360))</x:f>
        <x:v>0</x:v>
      </x:c>
      <x:c r="BN436" s="22" t="n">
        <x:f>MAX(0,MIN('Activities'!L436,372)-MAX('Activities'!K436,366))</x:f>
        <x:v>0</x:v>
      </x:c>
      <x:c r="BO436" s="22" t="n">
        <x:f>MAX(0,MIN('Activities'!L436,378)-MAX('Activities'!K436,372))</x:f>
        <x:v>0</x:v>
      </x:c>
      <x:c r="BP436" s="22" t="n">
        <x:f>MAX(0,MIN('Activities'!L436,384)-MAX('Activities'!K436,378))</x:f>
        <x:v>0</x:v>
      </x:c>
      <x:c r="BQ436" s="22" t="n">
        <x:f>MAX(0,MIN('Activities'!L436,390)-MAX('Activities'!K436,384))</x:f>
        <x:v>0</x:v>
      </x:c>
      <x:c r="BR436" s="22" t="n">
        <x:f>MAX(0,MIN('Activities'!L436,396)-MAX('Activities'!K436,390))</x:f>
        <x:v>0</x:v>
      </x:c>
      <x:c r="BS436" s="22" t="n">
        <x:f>MAX(0,MIN('Activities'!L436,402)-MAX('Activities'!K436,396))</x:f>
        <x:v>0</x:v>
      </x:c>
      <x:c r="BT436" s="22" t="n">
        <x:f>MAX(0,MIN('Activities'!L436,408)-MAX('Activities'!K436,402))</x:f>
        <x:v>0</x:v>
      </x:c>
      <x:c r="BU436" s="22" t="n">
        <x:f>MAX(0,MIN('Activities'!L436,414)-MAX('Activities'!K436,408))</x:f>
        <x:v>0</x:v>
      </x:c>
      <x:c r="BV436" s="22" t="n">
        <x:f>MAX(0,MIN('Activities'!L436,420)-MAX('Activities'!K436,414))</x:f>
        <x:v>0</x:v>
      </x:c>
      <x:c r="BW436" s="22" t="n">
        <x:f>MAX(0,MIN('Activities'!L436,426)-MAX('Activities'!K436,420))</x:f>
        <x:v>0</x:v>
      </x:c>
      <x:c r="BX436" s="22" t="n">
        <x:f>MAX(0,MIN('Activities'!L436,432)-MAX('Activities'!K436,426))</x:f>
        <x:v>0</x:v>
      </x:c>
      <x:c r="BY436" s="22" t="n">
        <x:f>MAX(0,MIN('Activities'!L436,438)-MAX('Activities'!K436,432))</x:f>
        <x:v>0</x:v>
      </x:c>
      <x:c r="BZ436" s="22" t="n">
        <x:f>MAX(0,MIN('Activities'!L436,444)-MAX('Activities'!K436,438))</x:f>
        <x:v>0</x:v>
      </x:c>
      <x:c r="CA436" s="22" t="n">
        <x:f>MAX(0,MIN('Activities'!L436,450)-MAX('Activities'!K436,444))</x:f>
        <x:v>0</x:v>
      </x:c>
      <x:c r="CB436" s="22" t="n">
        <x:f>MAX(0,MIN('Activities'!L436,456)-MAX('Activities'!K436,450))</x:f>
        <x:v>0</x:v>
      </x:c>
      <x:c r="CC436" s="22" t="n">
        <x:f>MAX(0,MIN('Activities'!L436,462)-MAX('Activities'!K436,456))</x:f>
        <x:v>0</x:v>
      </x:c>
      <x:c r="CD436" s="22" t="n">
        <x:f>MAX(0,MIN('Activities'!L436,468)-MAX('Activities'!K436,462))</x:f>
        <x:v>0</x:v>
      </x:c>
      <x:c r="CE436" s="22" t="n">
        <x:f>MAX(0,MIN('Activities'!L436,474)-MAX('Activities'!K436,468))</x:f>
        <x:v>0</x:v>
      </x:c>
      <x:c r="CF436" s="22" t="n">
        <x:f>MAX(0,MIN('Activities'!L436,480)-MAX('Activities'!K436,474))</x:f>
        <x:v>0</x:v>
      </x:c>
      <x:c r="CG436" s="22" t="n">
        <x:f>MAX(0,MIN('Activities'!L436,486)-MAX('Activities'!K436,480))</x:f>
        <x:v>0</x:v>
      </x:c>
      <x:c r="CH436" s="22" t="n">
        <x:f>MAX(0,MIN('Activities'!L436,492)-MAX('Activities'!K436,486))</x:f>
        <x:v>0</x:v>
      </x:c>
      <x:c r="CI436" s="22" t="n">
        <x:f>MAX(0,MIN('Activities'!L436,498)-MAX('Activities'!K436,492))</x:f>
        <x:v>0</x:v>
      </x:c>
      <x:c r="CJ436" s="22" t="n">
        <x:f>MAX(0,MIN('Activities'!L436,504)-MAX('Activities'!K436,498))</x:f>
        <x:v>0</x:v>
      </x:c>
      <x:c r="CK436" s="22" t="n">
        <x:f>MAX(0,MIN('Activities'!L436,510)-MAX('Activities'!K436,504))</x:f>
        <x:v>0</x:v>
      </x:c>
      <x:c r="CL436" s="22" t="n">
        <x:f>MAX(0,MIN('Activities'!L436,516)-MAX('Activities'!K436,510))</x:f>
        <x:v>0</x:v>
      </x:c>
      <x:c r="CM436" s="22" t="n">
        <x:f>MAX(0,MIN('Activities'!L436,522)-MAX('Activities'!K436,516))</x:f>
        <x:v>0</x:v>
      </x:c>
      <x:c r="CN436" s="22" t="n">
        <x:f>MAX(0,MIN('Activities'!L436,528)-MAX('Activities'!K436,522))</x:f>
        <x:v>0</x:v>
      </x:c>
      <x:c r="CO436" s="22" t="n">
        <x:f>MAX(0,MIN('Activities'!L436,534)-MAX('Activities'!K436,528))</x:f>
        <x:v>0</x:v>
      </x:c>
      <x:c r="CP436" s="22" t="n">
        <x:f>MAX(0,MIN('Activities'!L436,540)-MAX('Activities'!K436,534))</x:f>
        <x:v>0</x:v>
      </x:c>
      <x:c r="CQ436" s="22" t="n">
        <x:f>MAX(0,MIN('Activities'!L436,546)-MAX('Activities'!K436,540))</x:f>
        <x:v>0</x:v>
      </x:c>
      <x:c r="CR436" s="22" t="n">
        <x:f>MAX(0,MIN('Activities'!L436,552)-MAX('Activities'!K436,546))</x:f>
        <x:v>0</x:v>
      </x:c>
      <x:c r="CS436" s="22" t="n">
        <x:f>MAX(0,MIN('Activities'!L436,558)-MAX('Activities'!K436,552))</x:f>
        <x:v>0</x:v>
      </x:c>
      <x:c r="CT436" s="22" t="n">
        <x:f>MAX(0,MIN('Activities'!L436,564)-MAX('Activities'!K436,558))</x:f>
        <x:v>0</x:v>
      </x:c>
      <x:c r="CU436" s="22" t="n">
        <x:f>MAX(0,MIN('Activities'!L436,570)-MAX('Activities'!K436,564))</x:f>
        <x:v>0</x:v>
      </x:c>
      <x:c r="CV436" s="22" t="n">
        <x:f>MAX(0,MIN('Activities'!L436,576)-MAX('Activities'!K436,570))</x:f>
        <x:v>0</x:v>
      </x:c>
      <x:c r="CW436" s="22" t="n">
        <x:f>MAX(0,MIN('Activities'!L436,582)-MAX('Activities'!K436,576))</x:f>
        <x:v>0</x:v>
      </x:c>
      <x:c r="CX436" s="22" t="n">
        <x:f>MAX(0,MIN('Activities'!L436,588)-MAX('Activities'!K436,582))</x:f>
        <x:v>0</x:v>
      </x:c>
      <x:c r="CY436" s="22" t="n">
        <x:f>MAX(0,MIN('Activities'!L436,594)-MAX('Activities'!K436,588))</x:f>
        <x:v>0</x:v>
      </x:c>
      <x:c r="CZ436" s="22" t="n">
        <x:f>MAX(0,MIN('Activities'!L436,600)-MAX('Activities'!K436,594))</x:f>
        <x:v>0</x:v>
      </x:c>
      <x:c r="DA436" s="22" t="n">
        <x:f>MAX(0,MIN('Activities'!L436,606)-MAX('Activities'!K436,600))</x:f>
        <x:v>0</x:v>
      </x:c>
      <x:c r="DB436" s="22" t="n">
        <x:f>MAX(0,MIN('Activities'!L436,612)-MAX('Activities'!K436,606))</x:f>
        <x:v>0</x:v>
      </x:c>
      <x:c r="DC436" s="22" t="n">
        <x:f>MAX(0,MIN('Activities'!L436,618)-MAX('Activities'!K436,612))</x:f>
        <x:v>0</x:v>
      </x:c>
      <x:c r="DD436" s="22" t="n">
        <x:f>MAX(0,MIN('Activities'!L436,624)-MAX('Activities'!K436,618))</x:f>
        <x:v>0</x:v>
      </x:c>
      <x:c r="DE436" s="22" t="n">
        <x:f>MAX(0,MIN('Activities'!L436,630)-MAX('Activities'!K436,624))</x:f>
        <x:v>0</x:v>
      </x:c>
      <x:c r="DF436" s="22" t="n">
        <x:f>MAX(0,MIN('Activities'!L436,636)-MAX('Activities'!K436,630))</x:f>
        <x:v>0</x:v>
      </x:c>
    </x:row>
    <x:row r="437" ht="23" customHeight="1">
      <x:c r="A437" s="1" t="str">
        <x:v>T4-L05-C</x:v>
      </x:c>
      <x:c r="B437" s="1" t="str">
        <x:v>T4</x:v>
      </x:c>
      <x:c r="C437" s="1" t="str">
        <x:v>Concrete placement and finishing</x:v>
      </x:c>
      <x:c r="D437" s="1" t="str">
        <x:v>Concrete</x:v>
      </x:c>
      <x:c r="E437" s="23" t="n">
        <x:f>MAX(0,MIN('Activities'!L437,6)-MAX('Activities'!K437,0))</x:f>
        <x:v>0</x:v>
      </x:c>
      <x:c r="F437" s="23" t="n">
        <x:f>MAX(0,MIN('Activities'!L437,12)-MAX('Activities'!K437,6))</x:f>
        <x:v>0</x:v>
      </x:c>
      <x:c r="G437" s="23" t="n">
        <x:f>MAX(0,MIN('Activities'!L437,18)-MAX('Activities'!K437,12))</x:f>
        <x:v>0</x:v>
      </x:c>
      <x:c r="H437" s="23" t="n">
        <x:f>MAX(0,MIN('Activities'!L437,24)-MAX('Activities'!K437,18))</x:f>
        <x:v>0</x:v>
      </x:c>
      <x:c r="I437" s="23" t="n">
        <x:f>MAX(0,MIN('Activities'!L437,30)-MAX('Activities'!K437,24))</x:f>
        <x:v>0</x:v>
      </x:c>
      <x:c r="J437" s="23" t="n">
        <x:f>MAX(0,MIN('Activities'!L437,36)-MAX('Activities'!K437,30))</x:f>
        <x:v>0</x:v>
      </x:c>
      <x:c r="K437" s="23" t="n">
        <x:f>MAX(0,MIN('Activities'!L437,42)-MAX('Activities'!K437,36))</x:f>
        <x:v>0</x:v>
      </x:c>
      <x:c r="L437" s="23" t="n">
        <x:f>MAX(0,MIN('Activities'!L437,48)-MAX('Activities'!K437,42))</x:f>
        <x:v>0</x:v>
      </x:c>
      <x:c r="M437" s="23" t="n">
        <x:f>MAX(0,MIN('Activities'!L437,54)-MAX('Activities'!K437,48))</x:f>
        <x:v>0</x:v>
      </x:c>
      <x:c r="N437" s="23" t="n">
        <x:f>MAX(0,MIN('Activities'!L437,60)-MAX('Activities'!K437,54))</x:f>
        <x:v>0</x:v>
      </x:c>
      <x:c r="O437" s="23" t="n">
        <x:f>MAX(0,MIN('Activities'!L437,66)-MAX('Activities'!K437,60))</x:f>
        <x:v>0</x:v>
      </x:c>
      <x:c r="P437" s="23" t="n">
        <x:f>MAX(0,MIN('Activities'!L437,72)-MAX('Activities'!K437,66))</x:f>
        <x:v>0</x:v>
      </x:c>
      <x:c r="Q437" s="23" t="n">
        <x:f>MAX(0,MIN('Activities'!L437,78)-MAX('Activities'!K437,72))</x:f>
        <x:v>0</x:v>
      </x:c>
      <x:c r="R437" s="23" t="n">
        <x:f>MAX(0,MIN('Activities'!L437,84)-MAX('Activities'!K437,78))</x:f>
        <x:v>0</x:v>
      </x:c>
      <x:c r="S437" s="23" t="n">
        <x:f>MAX(0,MIN('Activities'!L437,90)-MAX('Activities'!K437,84))</x:f>
        <x:v>0</x:v>
      </x:c>
      <x:c r="T437" s="23" t="n">
        <x:f>MAX(0,MIN('Activities'!L437,96)-MAX('Activities'!K437,90))</x:f>
        <x:v>0</x:v>
      </x:c>
      <x:c r="U437" s="23" t="n">
        <x:f>MAX(0,MIN('Activities'!L437,102)-MAX('Activities'!K437,96))</x:f>
        <x:v>0</x:v>
      </x:c>
      <x:c r="V437" s="23" t="n">
        <x:f>MAX(0,MIN('Activities'!L437,108)-MAX('Activities'!K437,102))</x:f>
        <x:v>0</x:v>
      </x:c>
      <x:c r="W437" s="23" t="n">
        <x:f>MAX(0,MIN('Activities'!L437,114)-MAX('Activities'!K437,108))</x:f>
        <x:v>0</x:v>
      </x:c>
      <x:c r="X437" s="23" t="n">
        <x:f>MAX(0,MIN('Activities'!L437,120)-MAX('Activities'!K437,114))</x:f>
        <x:v>0</x:v>
      </x:c>
      <x:c r="Y437" s="23" t="n">
        <x:f>MAX(0,MIN('Activities'!L437,126)-MAX('Activities'!K437,120))</x:f>
        <x:v>0</x:v>
      </x:c>
      <x:c r="Z437" s="23" t="n">
        <x:f>MAX(0,MIN('Activities'!L437,132)-MAX('Activities'!K437,126))</x:f>
        <x:v>0</x:v>
      </x:c>
      <x:c r="AA437" s="23" t="n">
        <x:f>MAX(0,MIN('Activities'!L437,138)-MAX('Activities'!K437,132))</x:f>
        <x:v>0</x:v>
      </x:c>
      <x:c r="AB437" s="23" t="n">
        <x:f>MAX(0,MIN('Activities'!L437,144)-MAX('Activities'!K437,138))</x:f>
        <x:v>0</x:v>
      </x:c>
      <x:c r="AC437" s="23" t="n">
        <x:f>MAX(0,MIN('Activities'!L437,150)-MAX('Activities'!K437,144))</x:f>
        <x:v>0</x:v>
      </x:c>
      <x:c r="AD437" s="23" t="n">
        <x:f>MAX(0,MIN('Activities'!L437,156)-MAX('Activities'!K437,150))</x:f>
        <x:v>0</x:v>
      </x:c>
      <x:c r="AE437" s="23" t="n">
        <x:f>MAX(0,MIN('Activities'!L437,162)-MAX('Activities'!K437,156))</x:f>
        <x:v>0</x:v>
      </x:c>
      <x:c r="AF437" s="23" t="n">
        <x:f>MAX(0,MIN('Activities'!L437,168)-MAX('Activities'!K437,162))</x:f>
        <x:v>0</x:v>
      </x:c>
      <x:c r="AG437" s="23" t="n">
        <x:f>MAX(0,MIN('Activities'!L437,174)-MAX('Activities'!K437,168))</x:f>
        <x:v>0</x:v>
      </x:c>
      <x:c r="AH437" s="23" t="n">
        <x:f>MAX(0,MIN('Activities'!L437,180)-MAX('Activities'!K437,174))</x:f>
        <x:v>0</x:v>
      </x:c>
      <x:c r="AI437" s="23" t="n">
        <x:f>MAX(0,MIN('Activities'!L437,186)-MAX('Activities'!K437,180))</x:f>
        <x:v>0</x:v>
      </x:c>
      <x:c r="AJ437" s="23" t="n">
        <x:f>MAX(0,MIN('Activities'!L437,192)-MAX('Activities'!K437,186))</x:f>
        <x:v>0</x:v>
      </x:c>
      <x:c r="AK437" s="23" t="n">
        <x:f>MAX(0,MIN('Activities'!L437,198)-MAX('Activities'!K437,192))</x:f>
        <x:v>0</x:v>
      </x:c>
      <x:c r="AL437" s="23" t="n">
        <x:f>MAX(0,MIN('Activities'!L437,204)-MAX('Activities'!K437,198))</x:f>
        <x:v>0</x:v>
      </x:c>
      <x:c r="AM437" s="23" t="n">
        <x:f>MAX(0,MIN('Activities'!L437,210)-MAX('Activities'!K437,204))</x:f>
        <x:v>0</x:v>
      </x:c>
      <x:c r="AN437" s="23" t="n">
        <x:f>MAX(0,MIN('Activities'!L437,216)-MAX('Activities'!K437,210))</x:f>
        <x:v>0</x:v>
      </x:c>
      <x:c r="AO437" s="23" t="n">
        <x:f>MAX(0,MIN('Activities'!L437,222)-MAX('Activities'!K437,216))</x:f>
        <x:v>0</x:v>
      </x:c>
      <x:c r="AP437" s="23" t="n">
        <x:f>MAX(0,MIN('Activities'!L437,228)-MAX('Activities'!K437,222))</x:f>
        <x:v>0</x:v>
      </x:c>
      <x:c r="AQ437" s="23" t="n">
        <x:f>MAX(0,MIN('Activities'!L437,234)-MAX('Activities'!K437,228))</x:f>
        <x:v>0</x:v>
      </x:c>
      <x:c r="AR437" s="23" t="n">
        <x:f>MAX(0,MIN('Activities'!L437,240)-MAX('Activities'!K437,234))</x:f>
        <x:v>0</x:v>
      </x:c>
      <x:c r="AS437" s="23" t="n">
        <x:f>MAX(0,MIN('Activities'!L437,246)-MAX('Activities'!K437,240))</x:f>
        <x:v>0</x:v>
      </x:c>
      <x:c r="AT437" s="23" t="n">
        <x:f>MAX(0,MIN('Activities'!L437,252)-MAX('Activities'!K437,246))</x:f>
        <x:v>0</x:v>
      </x:c>
      <x:c r="AU437" s="23" t="n">
        <x:f>MAX(0,MIN('Activities'!L437,258)-MAX('Activities'!K437,252))</x:f>
        <x:v>0</x:v>
      </x:c>
      <x:c r="AV437" s="23" t="n">
        <x:f>MAX(0,MIN('Activities'!L437,264)-MAX('Activities'!K437,258))</x:f>
        <x:v>0</x:v>
      </x:c>
      <x:c r="AW437" s="23" t="n">
        <x:f>MAX(0,MIN('Activities'!L437,270)-MAX('Activities'!K437,264))</x:f>
        <x:v>0</x:v>
      </x:c>
      <x:c r="AX437" s="23" t="n">
        <x:f>MAX(0,MIN('Activities'!L437,276)-MAX('Activities'!K437,270))</x:f>
        <x:v>2</x:v>
      </x:c>
      <x:c r="AY437" s="23" t="n">
        <x:f>MAX(0,MIN('Activities'!L437,282)-MAX('Activities'!K437,276))</x:f>
        <x:v>0</x:v>
      </x:c>
      <x:c r="AZ437" s="23" t="n">
        <x:f>MAX(0,MIN('Activities'!L437,288)-MAX('Activities'!K437,282))</x:f>
        <x:v>0</x:v>
      </x:c>
      <x:c r="BA437" s="23" t="n">
        <x:f>MAX(0,MIN('Activities'!L437,294)-MAX('Activities'!K437,288))</x:f>
        <x:v>0</x:v>
      </x:c>
      <x:c r="BB437" s="23" t="n">
        <x:f>MAX(0,MIN('Activities'!L437,300)-MAX('Activities'!K437,294))</x:f>
        <x:v>0</x:v>
      </x:c>
      <x:c r="BC437" s="23" t="n">
        <x:f>MAX(0,MIN('Activities'!L437,306)-MAX('Activities'!K437,300))</x:f>
        <x:v>0</x:v>
      </x:c>
      <x:c r="BD437" s="23" t="n">
        <x:f>MAX(0,MIN('Activities'!L437,312)-MAX('Activities'!K437,306))</x:f>
        <x:v>0</x:v>
      </x:c>
      <x:c r="BE437" s="23" t="n">
        <x:f>MAX(0,MIN('Activities'!L437,318)-MAX('Activities'!K437,312))</x:f>
        <x:v>0</x:v>
      </x:c>
      <x:c r="BF437" s="23" t="n">
        <x:f>MAX(0,MIN('Activities'!L437,324)-MAX('Activities'!K437,318))</x:f>
        <x:v>0</x:v>
      </x:c>
      <x:c r="BG437" s="23" t="n">
        <x:f>MAX(0,MIN('Activities'!L437,330)-MAX('Activities'!K437,324))</x:f>
        <x:v>0</x:v>
      </x:c>
      <x:c r="BH437" s="23" t="n">
        <x:f>MAX(0,MIN('Activities'!L437,336)-MAX('Activities'!K437,330))</x:f>
        <x:v>0</x:v>
      </x:c>
      <x:c r="BI437" s="23" t="n">
        <x:f>MAX(0,MIN('Activities'!L437,342)-MAX('Activities'!K437,336))</x:f>
        <x:v>0</x:v>
      </x:c>
      <x:c r="BJ437" s="23" t="n">
        <x:f>MAX(0,MIN('Activities'!L437,348)-MAX('Activities'!K437,342))</x:f>
        <x:v>0</x:v>
      </x:c>
      <x:c r="BK437" s="23" t="n">
        <x:f>MAX(0,MIN('Activities'!L437,354)-MAX('Activities'!K437,348))</x:f>
        <x:v>0</x:v>
      </x:c>
      <x:c r="BL437" s="23" t="n">
        <x:f>MAX(0,MIN('Activities'!L437,360)-MAX('Activities'!K437,354))</x:f>
        <x:v>0</x:v>
      </x:c>
      <x:c r="BM437" s="23" t="n">
        <x:f>MAX(0,MIN('Activities'!L437,366)-MAX('Activities'!K437,360))</x:f>
        <x:v>0</x:v>
      </x:c>
      <x:c r="BN437" s="23" t="n">
        <x:f>MAX(0,MIN('Activities'!L437,372)-MAX('Activities'!K437,366))</x:f>
        <x:v>0</x:v>
      </x:c>
      <x:c r="BO437" s="23" t="n">
        <x:f>MAX(0,MIN('Activities'!L437,378)-MAX('Activities'!K437,372))</x:f>
        <x:v>0</x:v>
      </x:c>
      <x:c r="BP437" s="23" t="n">
        <x:f>MAX(0,MIN('Activities'!L437,384)-MAX('Activities'!K437,378))</x:f>
        <x:v>0</x:v>
      </x:c>
      <x:c r="BQ437" s="23" t="n">
        <x:f>MAX(0,MIN('Activities'!L437,390)-MAX('Activities'!K437,384))</x:f>
        <x:v>0</x:v>
      </x:c>
      <x:c r="BR437" s="23" t="n">
        <x:f>MAX(0,MIN('Activities'!L437,396)-MAX('Activities'!K437,390))</x:f>
        <x:v>0</x:v>
      </x:c>
      <x:c r="BS437" s="23" t="n">
        <x:f>MAX(0,MIN('Activities'!L437,402)-MAX('Activities'!K437,396))</x:f>
        <x:v>0</x:v>
      </x:c>
      <x:c r="BT437" s="23" t="n">
        <x:f>MAX(0,MIN('Activities'!L437,408)-MAX('Activities'!K437,402))</x:f>
        <x:v>0</x:v>
      </x:c>
      <x:c r="BU437" s="23" t="n">
        <x:f>MAX(0,MIN('Activities'!L437,414)-MAX('Activities'!K437,408))</x:f>
        <x:v>0</x:v>
      </x:c>
      <x:c r="BV437" s="23" t="n">
        <x:f>MAX(0,MIN('Activities'!L437,420)-MAX('Activities'!K437,414))</x:f>
        <x:v>0</x:v>
      </x:c>
      <x:c r="BW437" s="23" t="n">
        <x:f>MAX(0,MIN('Activities'!L437,426)-MAX('Activities'!K437,420))</x:f>
        <x:v>0</x:v>
      </x:c>
      <x:c r="BX437" s="23" t="n">
        <x:f>MAX(0,MIN('Activities'!L437,432)-MAX('Activities'!K437,426))</x:f>
        <x:v>0</x:v>
      </x:c>
      <x:c r="BY437" s="23" t="n">
        <x:f>MAX(0,MIN('Activities'!L437,438)-MAX('Activities'!K437,432))</x:f>
        <x:v>0</x:v>
      </x:c>
      <x:c r="BZ437" s="23" t="n">
        <x:f>MAX(0,MIN('Activities'!L437,444)-MAX('Activities'!K437,438))</x:f>
        <x:v>0</x:v>
      </x:c>
      <x:c r="CA437" s="23" t="n">
        <x:f>MAX(0,MIN('Activities'!L437,450)-MAX('Activities'!K437,444))</x:f>
        <x:v>0</x:v>
      </x:c>
      <x:c r="CB437" s="23" t="n">
        <x:f>MAX(0,MIN('Activities'!L437,456)-MAX('Activities'!K437,450))</x:f>
        <x:v>0</x:v>
      </x:c>
      <x:c r="CC437" s="23" t="n">
        <x:f>MAX(0,MIN('Activities'!L437,462)-MAX('Activities'!K437,456))</x:f>
        <x:v>0</x:v>
      </x:c>
      <x:c r="CD437" s="23" t="n">
        <x:f>MAX(0,MIN('Activities'!L437,468)-MAX('Activities'!K437,462))</x:f>
        <x:v>0</x:v>
      </x:c>
      <x:c r="CE437" s="23" t="n">
        <x:f>MAX(0,MIN('Activities'!L437,474)-MAX('Activities'!K437,468))</x:f>
        <x:v>0</x:v>
      </x:c>
      <x:c r="CF437" s="23" t="n">
        <x:f>MAX(0,MIN('Activities'!L437,480)-MAX('Activities'!K437,474))</x:f>
        <x:v>0</x:v>
      </x:c>
      <x:c r="CG437" s="23" t="n">
        <x:f>MAX(0,MIN('Activities'!L437,486)-MAX('Activities'!K437,480))</x:f>
        <x:v>0</x:v>
      </x:c>
      <x:c r="CH437" s="23" t="n">
        <x:f>MAX(0,MIN('Activities'!L437,492)-MAX('Activities'!K437,486))</x:f>
        <x:v>0</x:v>
      </x:c>
      <x:c r="CI437" s="23" t="n">
        <x:f>MAX(0,MIN('Activities'!L437,498)-MAX('Activities'!K437,492))</x:f>
        <x:v>0</x:v>
      </x:c>
      <x:c r="CJ437" s="23" t="n">
        <x:f>MAX(0,MIN('Activities'!L437,504)-MAX('Activities'!K437,498))</x:f>
        <x:v>0</x:v>
      </x:c>
      <x:c r="CK437" s="23" t="n">
        <x:f>MAX(0,MIN('Activities'!L437,510)-MAX('Activities'!K437,504))</x:f>
        <x:v>0</x:v>
      </x:c>
      <x:c r="CL437" s="23" t="n">
        <x:f>MAX(0,MIN('Activities'!L437,516)-MAX('Activities'!K437,510))</x:f>
        <x:v>0</x:v>
      </x:c>
      <x:c r="CM437" s="23" t="n">
        <x:f>MAX(0,MIN('Activities'!L437,522)-MAX('Activities'!K437,516))</x:f>
        <x:v>0</x:v>
      </x:c>
      <x:c r="CN437" s="23" t="n">
        <x:f>MAX(0,MIN('Activities'!L437,528)-MAX('Activities'!K437,522))</x:f>
        <x:v>0</x:v>
      </x:c>
      <x:c r="CO437" s="23" t="n">
        <x:f>MAX(0,MIN('Activities'!L437,534)-MAX('Activities'!K437,528))</x:f>
        <x:v>0</x:v>
      </x:c>
      <x:c r="CP437" s="23" t="n">
        <x:f>MAX(0,MIN('Activities'!L437,540)-MAX('Activities'!K437,534))</x:f>
        <x:v>0</x:v>
      </x:c>
      <x:c r="CQ437" s="23" t="n">
        <x:f>MAX(0,MIN('Activities'!L437,546)-MAX('Activities'!K437,540))</x:f>
        <x:v>0</x:v>
      </x:c>
      <x:c r="CR437" s="23" t="n">
        <x:f>MAX(0,MIN('Activities'!L437,552)-MAX('Activities'!K437,546))</x:f>
        <x:v>0</x:v>
      </x:c>
      <x:c r="CS437" s="23" t="n">
        <x:f>MAX(0,MIN('Activities'!L437,558)-MAX('Activities'!K437,552))</x:f>
        <x:v>0</x:v>
      </x:c>
      <x:c r="CT437" s="23" t="n">
        <x:f>MAX(0,MIN('Activities'!L437,564)-MAX('Activities'!K437,558))</x:f>
        <x:v>0</x:v>
      </x:c>
      <x:c r="CU437" s="23" t="n">
        <x:f>MAX(0,MIN('Activities'!L437,570)-MAX('Activities'!K437,564))</x:f>
        <x:v>0</x:v>
      </x:c>
      <x:c r="CV437" s="23" t="n">
        <x:f>MAX(0,MIN('Activities'!L437,576)-MAX('Activities'!K437,570))</x:f>
        <x:v>0</x:v>
      </x:c>
      <x:c r="CW437" s="23" t="n">
        <x:f>MAX(0,MIN('Activities'!L437,582)-MAX('Activities'!K437,576))</x:f>
        <x:v>0</x:v>
      </x:c>
      <x:c r="CX437" s="23" t="n">
        <x:f>MAX(0,MIN('Activities'!L437,588)-MAX('Activities'!K437,582))</x:f>
        <x:v>0</x:v>
      </x:c>
      <x:c r="CY437" s="23" t="n">
        <x:f>MAX(0,MIN('Activities'!L437,594)-MAX('Activities'!K437,588))</x:f>
        <x:v>0</x:v>
      </x:c>
      <x:c r="CZ437" s="23" t="n">
        <x:f>MAX(0,MIN('Activities'!L437,600)-MAX('Activities'!K437,594))</x:f>
        <x:v>0</x:v>
      </x:c>
      <x:c r="DA437" s="23" t="n">
        <x:f>MAX(0,MIN('Activities'!L437,606)-MAX('Activities'!K437,600))</x:f>
        <x:v>0</x:v>
      </x:c>
      <x:c r="DB437" s="23" t="n">
        <x:f>MAX(0,MIN('Activities'!L437,612)-MAX('Activities'!K437,606))</x:f>
        <x:v>0</x:v>
      </x:c>
      <x:c r="DC437" s="23" t="n">
        <x:f>MAX(0,MIN('Activities'!L437,618)-MAX('Activities'!K437,612))</x:f>
        <x:v>0</x:v>
      </x:c>
      <x:c r="DD437" s="23" t="n">
        <x:f>MAX(0,MIN('Activities'!L437,624)-MAX('Activities'!K437,618))</x:f>
        <x:v>0</x:v>
      </x:c>
      <x:c r="DE437" s="23" t="n">
        <x:f>MAX(0,MIN('Activities'!L437,630)-MAX('Activities'!K437,624))</x:f>
        <x:v>0</x:v>
      </x:c>
      <x:c r="DF437" s="23" t="n">
        <x:f>MAX(0,MIN('Activities'!L437,636)-MAX('Activities'!K437,630))</x:f>
        <x:v>0</x:v>
      </x:c>
    </x:row>
    <x:row r="438" ht="23" customHeight="1">
      <x:c r="A438" s="6" t="str">
        <x:v>T4-L05-H</x:v>
      </x:c>
      <x:c r="B438" s="6" t="str">
        <x:v>T4</x:v>
      </x:c>
      <x:c r="C438" s="6" t="str">
        <x:v>Curing and release hold point</x:v>
      </x:c>
      <x:c r="D438" s="6" t="str">
        <x:v>Site</x:v>
      </x:c>
      <x:c r="E438" s="22" t="n">
        <x:f>MAX(0,MIN('Activities'!L438,6)-MAX('Activities'!K438,0))</x:f>
        <x:v>0</x:v>
      </x:c>
      <x:c r="F438" s="22" t="n">
        <x:f>MAX(0,MIN('Activities'!L438,12)-MAX('Activities'!K438,6))</x:f>
        <x:v>0</x:v>
      </x:c>
      <x:c r="G438" s="22" t="n">
        <x:f>MAX(0,MIN('Activities'!L438,18)-MAX('Activities'!K438,12))</x:f>
        <x:v>0</x:v>
      </x:c>
      <x:c r="H438" s="22" t="n">
        <x:f>MAX(0,MIN('Activities'!L438,24)-MAX('Activities'!K438,18))</x:f>
        <x:v>0</x:v>
      </x:c>
      <x:c r="I438" s="22" t="n">
        <x:f>MAX(0,MIN('Activities'!L438,30)-MAX('Activities'!K438,24))</x:f>
        <x:v>0</x:v>
      </x:c>
      <x:c r="J438" s="22" t="n">
        <x:f>MAX(0,MIN('Activities'!L438,36)-MAX('Activities'!K438,30))</x:f>
        <x:v>0</x:v>
      </x:c>
      <x:c r="K438" s="22" t="n">
        <x:f>MAX(0,MIN('Activities'!L438,42)-MAX('Activities'!K438,36))</x:f>
        <x:v>0</x:v>
      </x:c>
      <x:c r="L438" s="22" t="n">
        <x:f>MAX(0,MIN('Activities'!L438,48)-MAX('Activities'!K438,42))</x:f>
        <x:v>0</x:v>
      </x:c>
      <x:c r="M438" s="22" t="n">
        <x:f>MAX(0,MIN('Activities'!L438,54)-MAX('Activities'!K438,48))</x:f>
        <x:v>0</x:v>
      </x:c>
      <x:c r="N438" s="22" t="n">
        <x:f>MAX(0,MIN('Activities'!L438,60)-MAX('Activities'!K438,54))</x:f>
        <x:v>0</x:v>
      </x:c>
      <x:c r="O438" s="22" t="n">
        <x:f>MAX(0,MIN('Activities'!L438,66)-MAX('Activities'!K438,60))</x:f>
        <x:v>0</x:v>
      </x:c>
      <x:c r="P438" s="22" t="n">
        <x:f>MAX(0,MIN('Activities'!L438,72)-MAX('Activities'!K438,66))</x:f>
        <x:v>0</x:v>
      </x:c>
      <x:c r="Q438" s="22" t="n">
        <x:f>MAX(0,MIN('Activities'!L438,78)-MAX('Activities'!K438,72))</x:f>
        <x:v>0</x:v>
      </x:c>
      <x:c r="R438" s="22" t="n">
        <x:f>MAX(0,MIN('Activities'!L438,84)-MAX('Activities'!K438,78))</x:f>
        <x:v>0</x:v>
      </x:c>
      <x:c r="S438" s="22" t="n">
        <x:f>MAX(0,MIN('Activities'!L438,90)-MAX('Activities'!K438,84))</x:f>
        <x:v>0</x:v>
      </x:c>
      <x:c r="T438" s="22" t="n">
        <x:f>MAX(0,MIN('Activities'!L438,96)-MAX('Activities'!K438,90))</x:f>
        <x:v>0</x:v>
      </x:c>
      <x:c r="U438" s="22" t="n">
        <x:f>MAX(0,MIN('Activities'!L438,102)-MAX('Activities'!K438,96))</x:f>
        <x:v>0</x:v>
      </x:c>
      <x:c r="V438" s="22" t="n">
        <x:f>MAX(0,MIN('Activities'!L438,108)-MAX('Activities'!K438,102))</x:f>
        <x:v>0</x:v>
      </x:c>
      <x:c r="W438" s="22" t="n">
        <x:f>MAX(0,MIN('Activities'!L438,114)-MAX('Activities'!K438,108))</x:f>
        <x:v>0</x:v>
      </x:c>
      <x:c r="X438" s="22" t="n">
        <x:f>MAX(0,MIN('Activities'!L438,120)-MAX('Activities'!K438,114))</x:f>
        <x:v>0</x:v>
      </x:c>
      <x:c r="Y438" s="22" t="n">
        <x:f>MAX(0,MIN('Activities'!L438,126)-MAX('Activities'!K438,120))</x:f>
        <x:v>0</x:v>
      </x:c>
      <x:c r="Z438" s="22" t="n">
        <x:f>MAX(0,MIN('Activities'!L438,132)-MAX('Activities'!K438,126))</x:f>
        <x:v>0</x:v>
      </x:c>
      <x:c r="AA438" s="22" t="n">
        <x:f>MAX(0,MIN('Activities'!L438,138)-MAX('Activities'!K438,132))</x:f>
        <x:v>0</x:v>
      </x:c>
      <x:c r="AB438" s="22" t="n">
        <x:f>MAX(0,MIN('Activities'!L438,144)-MAX('Activities'!K438,138))</x:f>
        <x:v>0</x:v>
      </x:c>
      <x:c r="AC438" s="22" t="n">
        <x:f>MAX(0,MIN('Activities'!L438,150)-MAX('Activities'!K438,144))</x:f>
        <x:v>0</x:v>
      </x:c>
      <x:c r="AD438" s="22" t="n">
        <x:f>MAX(0,MIN('Activities'!L438,156)-MAX('Activities'!K438,150))</x:f>
        <x:v>0</x:v>
      </x:c>
      <x:c r="AE438" s="22" t="n">
        <x:f>MAX(0,MIN('Activities'!L438,162)-MAX('Activities'!K438,156))</x:f>
        <x:v>0</x:v>
      </x:c>
      <x:c r="AF438" s="22" t="n">
        <x:f>MAX(0,MIN('Activities'!L438,168)-MAX('Activities'!K438,162))</x:f>
        <x:v>0</x:v>
      </x:c>
      <x:c r="AG438" s="22" t="n">
        <x:f>MAX(0,MIN('Activities'!L438,174)-MAX('Activities'!K438,168))</x:f>
        <x:v>0</x:v>
      </x:c>
      <x:c r="AH438" s="22" t="n">
        <x:f>MAX(0,MIN('Activities'!L438,180)-MAX('Activities'!K438,174))</x:f>
        <x:v>0</x:v>
      </x:c>
      <x:c r="AI438" s="22" t="n">
        <x:f>MAX(0,MIN('Activities'!L438,186)-MAX('Activities'!K438,180))</x:f>
        <x:v>0</x:v>
      </x:c>
      <x:c r="AJ438" s="22" t="n">
        <x:f>MAX(0,MIN('Activities'!L438,192)-MAX('Activities'!K438,186))</x:f>
        <x:v>0</x:v>
      </x:c>
      <x:c r="AK438" s="22" t="n">
        <x:f>MAX(0,MIN('Activities'!L438,198)-MAX('Activities'!K438,192))</x:f>
        <x:v>0</x:v>
      </x:c>
      <x:c r="AL438" s="22" t="n">
        <x:f>MAX(0,MIN('Activities'!L438,204)-MAX('Activities'!K438,198))</x:f>
        <x:v>0</x:v>
      </x:c>
      <x:c r="AM438" s="22" t="n">
        <x:f>MAX(0,MIN('Activities'!L438,210)-MAX('Activities'!K438,204))</x:f>
        <x:v>0</x:v>
      </x:c>
      <x:c r="AN438" s="22" t="n">
        <x:f>MAX(0,MIN('Activities'!L438,216)-MAX('Activities'!K438,210))</x:f>
        <x:v>0</x:v>
      </x:c>
      <x:c r="AO438" s="22" t="n">
        <x:f>MAX(0,MIN('Activities'!L438,222)-MAX('Activities'!K438,216))</x:f>
        <x:v>0</x:v>
      </x:c>
      <x:c r="AP438" s="22" t="n">
        <x:f>MAX(0,MIN('Activities'!L438,228)-MAX('Activities'!K438,222))</x:f>
        <x:v>0</x:v>
      </x:c>
      <x:c r="AQ438" s="22" t="n">
        <x:f>MAX(0,MIN('Activities'!L438,234)-MAX('Activities'!K438,228))</x:f>
        <x:v>0</x:v>
      </x:c>
      <x:c r="AR438" s="22" t="n">
        <x:f>MAX(0,MIN('Activities'!L438,240)-MAX('Activities'!K438,234))</x:f>
        <x:v>0</x:v>
      </x:c>
      <x:c r="AS438" s="22" t="n">
        <x:f>MAX(0,MIN('Activities'!L438,246)-MAX('Activities'!K438,240))</x:f>
        <x:v>0</x:v>
      </x:c>
      <x:c r="AT438" s="22" t="n">
        <x:f>MAX(0,MIN('Activities'!L438,252)-MAX('Activities'!K438,246))</x:f>
        <x:v>0</x:v>
      </x:c>
      <x:c r="AU438" s="22" t="n">
        <x:f>MAX(0,MIN('Activities'!L438,258)-MAX('Activities'!K438,252))</x:f>
        <x:v>0</x:v>
      </x:c>
      <x:c r="AV438" s="22" t="n">
        <x:f>MAX(0,MIN('Activities'!L438,264)-MAX('Activities'!K438,258))</x:f>
        <x:v>0</x:v>
      </x:c>
      <x:c r="AW438" s="22" t="n">
        <x:f>MAX(0,MIN('Activities'!L438,270)-MAX('Activities'!K438,264))</x:f>
        <x:v>0</x:v>
      </x:c>
      <x:c r="AX438" s="22" t="n">
        <x:f>MAX(0,MIN('Activities'!L438,276)-MAX('Activities'!K438,270))</x:f>
        <x:v>3</x:v>
      </x:c>
      <x:c r="AY438" s="22" t="n">
        <x:f>MAX(0,MIN('Activities'!L438,282)-MAX('Activities'!K438,276))</x:f>
        <x:v>2</x:v>
      </x:c>
      <x:c r="AZ438" s="22" t="n">
        <x:f>MAX(0,MIN('Activities'!L438,288)-MAX('Activities'!K438,282))</x:f>
        <x:v>0</x:v>
      </x:c>
      <x:c r="BA438" s="22" t="n">
        <x:f>MAX(0,MIN('Activities'!L438,294)-MAX('Activities'!K438,288))</x:f>
        <x:v>0</x:v>
      </x:c>
      <x:c r="BB438" s="22" t="n">
        <x:f>MAX(0,MIN('Activities'!L438,300)-MAX('Activities'!K438,294))</x:f>
        <x:v>0</x:v>
      </x:c>
      <x:c r="BC438" s="22" t="n">
        <x:f>MAX(0,MIN('Activities'!L438,306)-MAX('Activities'!K438,300))</x:f>
        <x:v>0</x:v>
      </x:c>
      <x:c r="BD438" s="22" t="n">
        <x:f>MAX(0,MIN('Activities'!L438,312)-MAX('Activities'!K438,306))</x:f>
        <x:v>0</x:v>
      </x:c>
      <x:c r="BE438" s="22" t="n">
        <x:f>MAX(0,MIN('Activities'!L438,318)-MAX('Activities'!K438,312))</x:f>
        <x:v>0</x:v>
      </x:c>
      <x:c r="BF438" s="22" t="n">
        <x:f>MAX(0,MIN('Activities'!L438,324)-MAX('Activities'!K438,318))</x:f>
        <x:v>0</x:v>
      </x:c>
      <x:c r="BG438" s="22" t="n">
        <x:f>MAX(0,MIN('Activities'!L438,330)-MAX('Activities'!K438,324))</x:f>
        <x:v>0</x:v>
      </x:c>
      <x:c r="BH438" s="22" t="n">
        <x:f>MAX(0,MIN('Activities'!L438,336)-MAX('Activities'!K438,330))</x:f>
        <x:v>0</x:v>
      </x:c>
      <x:c r="BI438" s="22" t="n">
        <x:f>MAX(0,MIN('Activities'!L438,342)-MAX('Activities'!K438,336))</x:f>
        <x:v>0</x:v>
      </x:c>
      <x:c r="BJ438" s="22" t="n">
        <x:f>MAX(0,MIN('Activities'!L438,348)-MAX('Activities'!K438,342))</x:f>
        <x:v>0</x:v>
      </x:c>
      <x:c r="BK438" s="22" t="n">
        <x:f>MAX(0,MIN('Activities'!L438,354)-MAX('Activities'!K438,348))</x:f>
        <x:v>0</x:v>
      </x:c>
      <x:c r="BL438" s="22" t="n">
        <x:f>MAX(0,MIN('Activities'!L438,360)-MAX('Activities'!K438,354))</x:f>
        <x:v>0</x:v>
      </x:c>
      <x:c r="BM438" s="22" t="n">
        <x:f>MAX(0,MIN('Activities'!L438,366)-MAX('Activities'!K438,360))</x:f>
        <x:v>0</x:v>
      </x:c>
      <x:c r="BN438" s="22" t="n">
        <x:f>MAX(0,MIN('Activities'!L438,372)-MAX('Activities'!K438,366))</x:f>
        <x:v>0</x:v>
      </x:c>
      <x:c r="BO438" s="22" t="n">
        <x:f>MAX(0,MIN('Activities'!L438,378)-MAX('Activities'!K438,372))</x:f>
        <x:v>0</x:v>
      </x:c>
      <x:c r="BP438" s="22" t="n">
        <x:f>MAX(0,MIN('Activities'!L438,384)-MAX('Activities'!K438,378))</x:f>
        <x:v>0</x:v>
      </x:c>
      <x:c r="BQ438" s="22" t="n">
        <x:f>MAX(0,MIN('Activities'!L438,390)-MAX('Activities'!K438,384))</x:f>
        <x:v>0</x:v>
      </x:c>
      <x:c r="BR438" s="22" t="n">
        <x:f>MAX(0,MIN('Activities'!L438,396)-MAX('Activities'!K438,390))</x:f>
        <x:v>0</x:v>
      </x:c>
      <x:c r="BS438" s="22" t="n">
        <x:f>MAX(0,MIN('Activities'!L438,402)-MAX('Activities'!K438,396))</x:f>
        <x:v>0</x:v>
      </x:c>
      <x:c r="BT438" s="22" t="n">
        <x:f>MAX(0,MIN('Activities'!L438,408)-MAX('Activities'!K438,402))</x:f>
        <x:v>0</x:v>
      </x:c>
      <x:c r="BU438" s="22" t="n">
        <x:f>MAX(0,MIN('Activities'!L438,414)-MAX('Activities'!K438,408))</x:f>
        <x:v>0</x:v>
      </x:c>
      <x:c r="BV438" s="22" t="n">
        <x:f>MAX(0,MIN('Activities'!L438,420)-MAX('Activities'!K438,414))</x:f>
        <x:v>0</x:v>
      </x:c>
      <x:c r="BW438" s="22" t="n">
        <x:f>MAX(0,MIN('Activities'!L438,426)-MAX('Activities'!K438,420))</x:f>
        <x:v>0</x:v>
      </x:c>
      <x:c r="BX438" s="22" t="n">
        <x:f>MAX(0,MIN('Activities'!L438,432)-MAX('Activities'!K438,426))</x:f>
        <x:v>0</x:v>
      </x:c>
      <x:c r="BY438" s="22" t="n">
        <x:f>MAX(0,MIN('Activities'!L438,438)-MAX('Activities'!K438,432))</x:f>
        <x:v>0</x:v>
      </x:c>
      <x:c r="BZ438" s="22" t="n">
        <x:f>MAX(0,MIN('Activities'!L438,444)-MAX('Activities'!K438,438))</x:f>
        <x:v>0</x:v>
      </x:c>
      <x:c r="CA438" s="22" t="n">
        <x:f>MAX(0,MIN('Activities'!L438,450)-MAX('Activities'!K438,444))</x:f>
        <x:v>0</x:v>
      </x:c>
      <x:c r="CB438" s="22" t="n">
        <x:f>MAX(0,MIN('Activities'!L438,456)-MAX('Activities'!K438,450))</x:f>
        <x:v>0</x:v>
      </x:c>
      <x:c r="CC438" s="22" t="n">
        <x:f>MAX(0,MIN('Activities'!L438,462)-MAX('Activities'!K438,456))</x:f>
        <x:v>0</x:v>
      </x:c>
      <x:c r="CD438" s="22" t="n">
        <x:f>MAX(0,MIN('Activities'!L438,468)-MAX('Activities'!K438,462))</x:f>
        <x:v>0</x:v>
      </x:c>
      <x:c r="CE438" s="22" t="n">
        <x:f>MAX(0,MIN('Activities'!L438,474)-MAX('Activities'!K438,468))</x:f>
        <x:v>0</x:v>
      </x:c>
      <x:c r="CF438" s="22" t="n">
        <x:f>MAX(0,MIN('Activities'!L438,480)-MAX('Activities'!K438,474))</x:f>
        <x:v>0</x:v>
      </x:c>
      <x:c r="CG438" s="22" t="n">
        <x:f>MAX(0,MIN('Activities'!L438,486)-MAX('Activities'!K438,480))</x:f>
        <x:v>0</x:v>
      </x:c>
      <x:c r="CH438" s="22" t="n">
        <x:f>MAX(0,MIN('Activities'!L438,492)-MAX('Activities'!K438,486))</x:f>
        <x:v>0</x:v>
      </x:c>
      <x:c r="CI438" s="22" t="n">
        <x:f>MAX(0,MIN('Activities'!L438,498)-MAX('Activities'!K438,492))</x:f>
        <x:v>0</x:v>
      </x:c>
      <x:c r="CJ438" s="22" t="n">
        <x:f>MAX(0,MIN('Activities'!L438,504)-MAX('Activities'!K438,498))</x:f>
        <x:v>0</x:v>
      </x:c>
      <x:c r="CK438" s="22" t="n">
        <x:f>MAX(0,MIN('Activities'!L438,510)-MAX('Activities'!K438,504))</x:f>
        <x:v>0</x:v>
      </x:c>
      <x:c r="CL438" s="22" t="n">
        <x:f>MAX(0,MIN('Activities'!L438,516)-MAX('Activities'!K438,510))</x:f>
        <x:v>0</x:v>
      </x:c>
      <x:c r="CM438" s="22" t="n">
        <x:f>MAX(0,MIN('Activities'!L438,522)-MAX('Activities'!K438,516))</x:f>
        <x:v>0</x:v>
      </x:c>
      <x:c r="CN438" s="22" t="n">
        <x:f>MAX(0,MIN('Activities'!L438,528)-MAX('Activities'!K438,522))</x:f>
        <x:v>0</x:v>
      </x:c>
      <x:c r="CO438" s="22" t="n">
        <x:f>MAX(0,MIN('Activities'!L438,534)-MAX('Activities'!K438,528))</x:f>
        <x:v>0</x:v>
      </x:c>
      <x:c r="CP438" s="22" t="n">
        <x:f>MAX(0,MIN('Activities'!L438,540)-MAX('Activities'!K438,534))</x:f>
        <x:v>0</x:v>
      </x:c>
      <x:c r="CQ438" s="22" t="n">
        <x:f>MAX(0,MIN('Activities'!L438,546)-MAX('Activities'!K438,540))</x:f>
        <x:v>0</x:v>
      </x:c>
      <x:c r="CR438" s="22" t="n">
        <x:f>MAX(0,MIN('Activities'!L438,552)-MAX('Activities'!K438,546))</x:f>
        <x:v>0</x:v>
      </x:c>
      <x:c r="CS438" s="22" t="n">
        <x:f>MAX(0,MIN('Activities'!L438,558)-MAX('Activities'!K438,552))</x:f>
        <x:v>0</x:v>
      </x:c>
      <x:c r="CT438" s="22" t="n">
        <x:f>MAX(0,MIN('Activities'!L438,564)-MAX('Activities'!K438,558))</x:f>
        <x:v>0</x:v>
      </x:c>
      <x:c r="CU438" s="22" t="n">
        <x:f>MAX(0,MIN('Activities'!L438,570)-MAX('Activities'!K438,564))</x:f>
        <x:v>0</x:v>
      </x:c>
      <x:c r="CV438" s="22" t="n">
        <x:f>MAX(0,MIN('Activities'!L438,576)-MAX('Activities'!K438,570))</x:f>
        <x:v>0</x:v>
      </x:c>
      <x:c r="CW438" s="22" t="n">
        <x:f>MAX(0,MIN('Activities'!L438,582)-MAX('Activities'!K438,576))</x:f>
        <x:v>0</x:v>
      </x:c>
      <x:c r="CX438" s="22" t="n">
        <x:f>MAX(0,MIN('Activities'!L438,588)-MAX('Activities'!K438,582))</x:f>
        <x:v>0</x:v>
      </x:c>
      <x:c r="CY438" s="22" t="n">
        <x:f>MAX(0,MIN('Activities'!L438,594)-MAX('Activities'!K438,588))</x:f>
        <x:v>0</x:v>
      </x:c>
      <x:c r="CZ438" s="22" t="n">
        <x:f>MAX(0,MIN('Activities'!L438,600)-MAX('Activities'!K438,594))</x:f>
        <x:v>0</x:v>
      </x:c>
      <x:c r="DA438" s="22" t="n">
        <x:f>MAX(0,MIN('Activities'!L438,606)-MAX('Activities'!K438,600))</x:f>
        <x:v>0</x:v>
      </x:c>
      <x:c r="DB438" s="22" t="n">
        <x:f>MAX(0,MIN('Activities'!L438,612)-MAX('Activities'!K438,606))</x:f>
        <x:v>0</x:v>
      </x:c>
      <x:c r="DC438" s="22" t="n">
        <x:f>MAX(0,MIN('Activities'!L438,618)-MAX('Activities'!K438,612))</x:f>
        <x:v>0</x:v>
      </x:c>
      <x:c r="DD438" s="22" t="n">
        <x:f>MAX(0,MIN('Activities'!L438,624)-MAX('Activities'!K438,618))</x:f>
        <x:v>0</x:v>
      </x:c>
      <x:c r="DE438" s="22" t="n">
        <x:f>MAX(0,MIN('Activities'!L438,630)-MAX('Activities'!K438,624))</x:f>
        <x:v>0</x:v>
      </x:c>
      <x:c r="DF438" s="22" t="n">
        <x:f>MAX(0,MIN('Activities'!L438,636)-MAX('Activities'!K438,630))</x:f>
        <x:v>0</x:v>
      </x:c>
    </x:row>
    <x:row r="439" ht="23" customHeight="1">
      <x:c r="A439" s="1" t="str">
        <x:v>T4-L06-F</x:v>
      </x:c>
      <x:c r="B439" s="1" t="str">
        <x:v>T4</x:v>
      </x:c>
      <x:c r="C439" s="1" t="str">
        <x:v>Columns, core and deck formwork</x:v>
      </x:c>
      <x:c r="D439" s="1" t="str">
        <x:v>Formwork</x:v>
      </x:c>
      <x:c r="E439" s="23" t="n">
        <x:f>MAX(0,MIN('Activities'!L439,6)-MAX('Activities'!K439,0))</x:f>
        <x:v>0</x:v>
      </x:c>
      <x:c r="F439" s="23" t="n">
        <x:f>MAX(0,MIN('Activities'!L439,12)-MAX('Activities'!K439,6))</x:f>
        <x:v>0</x:v>
      </x:c>
      <x:c r="G439" s="23" t="n">
        <x:f>MAX(0,MIN('Activities'!L439,18)-MAX('Activities'!K439,12))</x:f>
        <x:v>0</x:v>
      </x:c>
      <x:c r="H439" s="23" t="n">
        <x:f>MAX(0,MIN('Activities'!L439,24)-MAX('Activities'!K439,18))</x:f>
        <x:v>0</x:v>
      </x:c>
      <x:c r="I439" s="23" t="n">
        <x:f>MAX(0,MIN('Activities'!L439,30)-MAX('Activities'!K439,24))</x:f>
        <x:v>0</x:v>
      </x:c>
      <x:c r="J439" s="23" t="n">
        <x:f>MAX(0,MIN('Activities'!L439,36)-MAX('Activities'!K439,30))</x:f>
        <x:v>0</x:v>
      </x:c>
      <x:c r="K439" s="23" t="n">
        <x:f>MAX(0,MIN('Activities'!L439,42)-MAX('Activities'!K439,36))</x:f>
        <x:v>0</x:v>
      </x:c>
      <x:c r="L439" s="23" t="n">
        <x:f>MAX(0,MIN('Activities'!L439,48)-MAX('Activities'!K439,42))</x:f>
        <x:v>0</x:v>
      </x:c>
      <x:c r="M439" s="23" t="n">
        <x:f>MAX(0,MIN('Activities'!L439,54)-MAX('Activities'!K439,48))</x:f>
        <x:v>0</x:v>
      </x:c>
      <x:c r="N439" s="23" t="n">
        <x:f>MAX(0,MIN('Activities'!L439,60)-MAX('Activities'!K439,54))</x:f>
        <x:v>0</x:v>
      </x:c>
      <x:c r="O439" s="23" t="n">
        <x:f>MAX(0,MIN('Activities'!L439,66)-MAX('Activities'!K439,60))</x:f>
        <x:v>0</x:v>
      </x:c>
      <x:c r="P439" s="23" t="n">
        <x:f>MAX(0,MIN('Activities'!L439,72)-MAX('Activities'!K439,66))</x:f>
        <x:v>0</x:v>
      </x:c>
      <x:c r="Q439" s="23" t="n">
        <x:f>MAX(0,MIN('Activities'!L439,78)-MAX('Activities'!K439,72))</x:f>
        <x:v>0</x:v>
      </x:c>
      <x:c r="R439" s="23" t="n">
        <x:f>MAX(0,MIN('Activities'!L439,84)-MAX('Activities'!K439,78))</x:f>
        <x:v>0</x:v>
      </x:c>
      <x:c r="S439" s="23" t="n">
        <x:f>MAX(0,MIN('Activities'!L439,90)-MAX('Activities'!K439,84))</x:f>
        <x:v>0</x:v>
      </x:c>
      <x:c r="T439" s="23" t="n">
        <x:f>MAX(0,MIN('Activities'!L439,96)-MAX('Activities'!K439,90))</x:f>
        <x:v>0</x:v>
      </x:c>
      <x:c r="U439" s="23" t="n">
        <x:f>MAX(0,MIN('Activities'!L439,102)-MAX('Activities'!K439,96))</x:f>
        <x:v>0</x:v>
      </x:c>
      <x:c r="V439" s="23" t="n">
        <x:f>MAX(0,MIN('Activities'!L439,108)-MAX('Activities'!K439,102))</x:f>
        <x:v>0</x:v>
      </x:c>
      <x:c r="W439" s="23" t="n">
        <x:f>MAX(0,MIN('Activities'!L439,114)-MAX('Activities'!K439,108))</x:f>
        <x:v>0</x:v>
      </x:c>
      <x:c r="X439" s="23" t="n">
        <x:f>MAX(0,MIN('Activities'!L439,120)-MAX('Activities'!K439,114))</x:f>
        <x:v>0</x:v>
      </x:c>
      <x:c r="Y439" s="23" t="n">
        <x:f>MAX(0,MIN('Activities'!L439,126)-MAX('Activities'!K439,120))</x:f>
        <x:v>0</x:v>
      </x:c>
      <x:c r="Z439" s="23" t="n">
        <x:f>MAX(0,MIN('Activities'!L439,132)-MAX('Activities'!K439,126))</x:f>
        <x:v>0</x:v>
      </x:c>
      <x:c r="AA439" s="23" t="n">
        <x:f>MAX(0,MIN('Activities'!L439,138)-MAX('Activities'!K439,132))</x:f>
        <x:v>0</x:v>
      </x:c>
      <x:c r="AB439" s="23" t="n">
        <x:f>MAX(0,MIN('Activities'!L439,144)-MAX('Activities'!K439,138))</x:f>
        <x:v>0</x:v>
      </x:c>
      <x:c r="AC439" s="23" t="n">
        <x:f>MAX(0,MIN('Activities'!L439,150)-MAX('Activities'!K439,144))</x:f>
        <x:v>0</x:v>
      </x:c>
      <x:c r="AD439" s="23" t="n">
        <x:f>MAX(0,MIN('Activities'!L439,156)-MAX('Activities'!K439,150))</x:f>
        <x:v>0</x:v>
      </x:c>
      <x:c r="AE439" s="23" t="n">
        <x:f>MAX(0,MIN('Activities'!L439,162)-MAX('Activities'!K439,156))</x:f>
        <x:v>0</x:v>
      </x:c>
      <x:c r="AF439" s="23" t="n">
        <x:f>MAX(0,MIN('Activities'!L439,168)-MAX('Activities'!K439,162))</x:f>
        <x:v>0</x:v>
      </x:c>
      <x:c r="AG439" s="23" t="n">
        <x:f>MAX(0,MIN('Activities'!L439,174)-MAX('Activities'!K439,168))</x:f>
        <x:v>0</x:v>
      </x:c>
      <x:c r="AH439" s="23" t="n">
        <x:f>MAX(0,MIN('Activities'!L439,180)-MAX('Activities'!K439,174))</x:f>
        <x:v>0</x:v>
      </x:c>
      <x:c r="AI439" s="23" t="n">
        <x:f>MAX(0,MIN('Activities'!L439,186)-MAX('Activities'!K439,180))</x:f>
        <x:v>0</x:v>
      </x:c>
      <x:c r="AJ439" s="23" t="n">
        <x:f>MAX(0,MIN('Activities'!L439,192)-MAX('Activities'!K439,186))</x:f>
        <x:v>0</x:v>
      </x:c>
      <x:c r="AK439" s="23" t="n">
        <x:f>MAX(0,MIN('Activities'!L439,198)-MAX('Activities'!K439,192))</x:f>
        <x:v>0</x:v>
      </x:c>
      <x:c r="AL439" s="23" t="n">
        <x:f>MAX(0,MIN('Activities'!L439,204)-MAX('Activities'!K439,198))</x:f>
        <x:v>0</x:v>
      </x:c>
      <x:c r="AM439" s="23" t="n">
        <x:f>MAX(0,MIN('Activities'!L439,210)-MAX('Activities'!K439,204))</x:f>
        <x:v>0</x:v>
      </x:c>
      <x:c r="AN439" s="23" t="n">
        <x:f>MAX(0,MIN('Activities'!L439,216)-MAX('Activities'!K439,210))</x:f>
        <x:v>0</x:v>
      </x:c>
      <x:c r="AO439" s="23" t="n">
        <x:f>MAX(0,MIN('Activities'!L439,222)-MAX('Activities'!K439,216))</x:f>
        <x:v>0</x:v>
      </x:c>
      <x:c r="AP439" s="23" t="n">
        <x:f>MAX(0,MIN('Activities'!L439,228)-MAX('Activities'!K439,222))</x:f>
        <x:v>0</x:v>
      </x:c>
      <x:c r="AQ439" s="23" t="n">
        <x:f>MAX(0,MIN('Activities'!L439,234)-MAX('Activities'!K439,228))</x:f>
        <x:v>0</x:v>
      </x:c>
      <x:c r="AR439" s="23" t="n">
        <x:f>MAX(0,MIN('Activities'!L439,240)-MAX('Activities'!K439,234))</x:f>
        <x:v>0</x:v>
      </x:c>
      <x:c r="AS439" s="23" t="n">
        <x:f>MAX(0,MIN('Activities'!L439,246)-MAX('Activities'!K439,240))</x:f>
        <x:v>0</x:v>
      </x:c>
      <x:c r="AT439" s="23" t="n">
        <x:f>MAX(0,MIN('Activities'!L439,252)-MAX('Activities'!K439,246))</x:f>
        <x:v>0</x:v>
      </x:c>
      <x:c r="AU439" s="23" t="n">
        <x:f>MAX(0,MIN('Activities'!L439,258)-MAX('Activities'!K439,252))</x:f>
        <x:v>0</x:v>
      </x:c>
      <x:c r="AV439" s="23" t="n">
        <x:f>MAX(0,MIN('Activities'!L439,264)-MAX('Activities'!K439,258))</x:f>
        <x:v>0</x:v>
      </x:c>
      <x:c r="AW439" s="23" t="n">
        <x:f>MAX(0,MIN('Activities'!L439,270)-MAX('Activities'!K439,264))</x:f>
        <x:v>0</x:v>
      </x:c>
      <x:c r="AX439" s="23" t="n">
        <x:f>MAX(0,MIN('Activities'!L439,276)-MAX('Activities'!K439,270))</x:f>
        <x:v>0</x:v>
      </x:c>
      <x:c r="AY439" s="23" t="n">
        <x:f>MAX(0,MIN('Activities'!L439,282)-MAX('Activities'!K439,276))</x:f>
        <x:v>4</x:v>
      </x:c>
      <x:c r="AZ439" s="23" t="n">
        <x:f>MAX(0,MIN('Activities'!L439,288)-MAX('Activities'!K439,282))</x:f>
        <x:v>2</x:v>
      </x:c>
      <x:c r="BA439" s="23" t="n">
        <x:f>MAX(0,MIN('Activities'!L439,294)-MAX('Activities'!K439,288))</x:f>
        <x:v>0</x:v>
      </x:c>
      <x:c r="BB439" s="23" t="n">
        <x:f>MAX(0,MIN('Activities'!L439,300)-MAX('Activities'!K439,294))</x:f>
        <x:v>0</x:v>
      </x:c>
      <x:c r="BC439" s="23" t="n">
        <x:f>MAX(0,MIN('Activities'!L439,306)-MAX('Activities'!K439,300))</x:f>
        <x:v>0</x:v>
      </x:c>
      <x:c r="BD439" s="23" t="n">
        <x:f>MAX(0,MIN('Activities'!L439,312)-MAX('Activities'!K439,306))</x:f>
        <x:v>0</x:v>
      </x:c>
      <x:c r="BE439" s="23" t="n">
        <x:f>MAX(0,MIN('Activities'!L439,318)-MAX('Activities'!K439,312))</x:f>
        <x:v>0</x:v>
      </x:c>
      <x:c r="BF439" s="23" t="n">
        <x:f>MAX(0,MIN('Activities'!L439,324)-MAX('Activities'!K439,318))</x:f>
        <x:v>0</x:v>
      </x:c>
      <x:c r="BG439" s="23" t="n">
        <x:f>MAX(0,MIN('Activities'!L439,330)-MAX('Activities'!K439,324))</x:f>
        <x:v>0</x:v>
      </x:c>
      <x:c r="BH439" s="23" t="n">
        <x:f>MAX(0,MIN('Activities'!L439,336)-MAX('Activities'!K439,330))</x:f>
        <x:v>0</x:v>
      </x:c>
      <x:c r="BI439" s="23" t="n">
        <x:f>MAX(0,MIN('Activities'!L439,342)-MAX('Activities'!K439,336))</x:f>
        <x:v>0</x:v>
      </x:c>
      <x:c r="BJ439" s="23" t="n">
        <x:f>MAX(0,MIN('Activities'!L439,348)-MAX('Activities'!K439,342))</x:f>
        <x:v>0</x:v>
      </x:c>
      <x:c r="BK439" s="23" t="n">
        <x:f>MAX(0,MIN('Activities'!L439,354)-MAX('Activities'!K439,348))</x:f>
        <x:v>0</x:v>
      </x:c>
      <x:c r="BL439" s="23" t="n">
        <x:f>MAX(0,MIN('Activities'!L439,360)-MAX('Activities'!K439,354))</x:f>
        <x:v>0</x:v>
      </x:c>
      <x:c r="BM439" s="23" t="n">
        <x:f>MAX(0,MIN('Activities'!L439,366)-MAX('Activities'!K439,360))</x:f>
        <x:v>0</x:v>
      </x:c>
      <x:c r="BN439" s="23" t="n">
        <x:f>MAX(0,MIN('Activities'!L439,372)-MAX('Activities'!K439,366))</x:f>
        <x:v>0</x:v>
      </x:c>
      <x:c r="BO439" s="23" t="n">
        <x:f>MAX(0,MIN('Activities'!L439,378)-MAX('Activities'!K439,372))</x:f>
        <x:v>0</x:v>
      </x:c>
      <x:c r="BP439" s="23" t="n">
        <x:f>MAX(0,MIN('Activities'!L439,384)-MAX('Activities'!K439,378))</x:f>
        <x:v>0</x:v>
      </x:c>
      <x:c r="BQ439" s="23" t="n">
        <x:f>MAX(0,MIN('Activities'!L439,390)-MAX('Activities'!K439,384))</x:f>
        <x:v>0</x:v>
      </x:c>
      <x:c r="BR439" s="23" t="n">
        <x:f>MAX(0,MIN('Activities'!L439,396)-MAX('Activities'!K439,390))</x:f>
        <x:v>0</x:v>
      </x:c>
      <x:c r="BS439" s="23" t="n">
        <x:f>MAX(0,MIN('Activities'!L439,402)-MAX('Activities'!K439,396))</x:f>
        <x:v>0</x:v>
      </x:c>
      <x:c r="BT439" s="23" t="n">
        <x:f>MAX(0,MIN('Activities'!L439,408)-MAX('Activities'!K439,402))</x:f>
        <x:v>0</x:v>
      </x:c>
      <x:c r="BU439" s="23" t="n">
        <x:f>MAX(0,MIN('Activities'!L439,414)-MAX('Activities'!K439,408))</x:f>
        <x:v>0</x:v>
      </x:c>
      <x:c r="BV439" s="23" t="n">
        <x:f>MAX(0,MIN('Activities'!L439,420)-MAX('Activities'!K439,414))</x:f>
        <x:v>0</x:v>
      </x:c>
      <x:c r="BW439" s="23" t="n">
        <x:f>MAX(0,MIN('Activities'!L439,426)-MAX('Activities'!K439,420))</x:f>
        <x:v>0</x:v>
      </x:c>
      <x:c r="BX439" s="23" t="n">
        <x:f>MAX(0,MIN('Activities'!L439,432)-MAX('Activities'!K439,426))</x:f>
        <x:v>0</x:v>
      </x:c>
      <x:c r="BY439" s="23" t="n">
        <x:f>MAX(0,MIN('Activities'!L439,438)-MAX('Activities'!K439,432))</x:f>
        <x:v>0</x:v>
      </x:c>
      <x:c r="BZ439" s="23" t="n">
        <x:f>MAX(0,MIN('Activities'!L439,444)-MAX('Activities'!K439,438))</x:f>
        <x:v>0</x:v>
      </x:c>
      <x:c r="CA439" s="23" t="n">
        <x:f>MAX(0,MIN('Activities'!L439,450)-MAX('Activities'!K439,444))</x:f>
        <x:v>0</x:v>
      </x:c>
      <x:c r="CB439" s="23" t="n">
        <x:f>MAX(0,MIN('Activities'!L439,456)-MAX('Activities'!K439,450))</x:f>
        <x:v>0</x:v>
      </x:c>
      <x:c r="CC439" s="23" t="n">
        <x:f>MAX(0,MIN('Activities'!L439,462)-MAX('Activities'!K439,456))</x:f>
        <x:v>0</x:v>
      </x:c>
      <x:c r="CD439" s="23" t="n">
        <x:f>MAX(0,MIN('Activities'!L439,468)-MAX('Activities'!K439,462))</x:f>
        <x:v>0</x:v>
      </x:c>
      <x:c r="CE439" s="23" t="n">
        <x:f>MAX(0,MIN('Activities'!L439,474)-MAX('Activities'!K439,468))</x:f>
        <x:v>0</x:v>
      </x:c>
      <x:c r="CF439" s="23" t="n">
        <x:f>MAX(0,MIN('Activities'!L439,480)-MAX('Activities'!K439,474))</x:f>
        <x:v>0</x:v>
      </x:c>
      <x:c r="CG439" s="23" t="n">
        <x:f>MAX(0,MIN('Activities'!L439,486)-MAX('Activities'!K439,480))</x:f>
        <x:v>0</x:v>
      </x:c>
      <x:c r="CH439" s="23" t="n">
        <x:f>MAX(0,MIN('Activities'!L439,492)-MAX('Activities'!K439,486))</x:f>
        <x:v>0</x:v>
      </x:c>
      <x:c r="CI439" s="23" t="n">
        <x:f>MAX(0,MIN('Activities'!L439,498)-MAX('Activities'!K439,492))</x:f>
        <x:v>0</x:v>
      </x:c>
      <x:c r="CJ439" s="23" t="n">
        <x:f>MAX(0,MIN('Activities'!L439,504)-MAX('Activities'!K439,498))</x:f>
        <x:v>0</x:v>
      </x:c>
      <x:c r="CK439" s="23" t="n">
        <x:f>MAX(0,MIN('Activities'!L439,510)-MAX('Activities'!K439,504))</x:f>
        <x:v>0</x:v>
      </x:c>
      <x:c r="CL439" s="23" t="n">
        <x:f>MAX(0,MIN('Activities'!L439,516)-MAX('Activities'!K439,510))</x:f>
        <x:v>0</x:v>
      </x:c>
      <x:c r="CM439" s="23" t="n">
        <x:f>MAX(0,MIN('Activities'!L439,522)-MAX('Activities'!K439,516))</x:f>
        <x:v>0</x:v>
      </x:c>
      <x:c r="CN439" s="23" t="n">
        <x:f>MAX(0,MIN('Activities'!L439,528)-MAX('Activities'!K439,522))</x:f>
        <x:v>0</x:v>
      </x:c>
      <x:c r="CO439" s="23" t="n">
        <x:f>MAX(0,MIN('Activities'!L439,534)-MAX('Activities'!K439,528))</x:f>
        <x:v>0</x:v>
      </x:c>
      <x:c r="CP439" s="23" t="n">
        <x:f>MAX(0,MIN('Activities'!L439,540)-MAX('Activities'!K439,534))</x:f>
        <x:v>0</x:v>
      </x:c>
      <x:c r="CQ439" s="23" t="n">
        <x:f>MAX(0,MIN('Activities'!L439,546)-MAX('Activities'!K439,540))</x:f>
        <x:v>0</x:v>
      </x:c>
      <x:c r="CR439" s="23" t="n">
        <x:f>MAX(0,MIN('Activities'!L439,552)-MAX('Activities'!K439,546))</x:f>
        <x:v>0</x:v>
      </x:c>
      <x:c r="CS439" s="23" t="n">
        <x:f>MAX(0,MIN('Activities'!L439,558)-MAX('Activities'!K439,552))</x:f>
        <x:v>0</x:v>
      </x:c>
      <x:c r="CT439" s="23" t="n">
        <x:f>MAX(0,MIN('Activities'!L439,564)-MAX('Activities'!K439,558))</x:f>
        <x:v>0</x:v>
      </x:c>
      <x:c r="CU439" s="23" t="n">
        <x:f>MAX(0,MIN('Activities'!L439,570)-MAX('Activities'!K439,564))</x:f>
        <x:v>0</x:v>
      </x:c>
      <x:c r="CV439" s="23" t="n">
        <x:f>MAX(0,MIN('Activities'!L439,576)-MAX('Activities'!K439,570))</x:f>
        <x:v>0</x:v>
      </x:c>
      <x:c r="CW439" s="23" t="n">
        <x:f>MAX(0,MIN('Activities'!L439,582)-MAX('Activities'!K439,576))</x:f>
        <x:v>0</x:v>
      </x:c>
      <x:c r="CX439" s="23" t="n">
        <x:f>MAX(0,MIN('Activities'!L439,588)-MAX('Activities'!K439,582))</x:f>
        <x:v>0</x:v>
      </x:c>
      <x:c r="CY439" s="23" t="n">
        <x:f>MAX(0,MIN('Activities'!L439,594)-MAX('Activities'!K439,588))</x:f>
        <x:v>0</x:v>
      </x:c>
      <x:c r="CZ439" s="23" t="n">
        <x:f>MAX(0,MIN('Activities'!L439,600)-MAX('Activities'!K439,594))</x:f>
        <x:v>0</x:v>
      </x:c>
      <x:c r="DA439" s="23" t="n">
        <x:f>MAX(0,MIN('Activities'!L439,606)-MAX('Activities'!K439,600))</x:f>
        <x:v>0</x:v>
      </x:c>
      <x:c r="DB439" s="23" t="n">
        <x:f>MAX(0,MIN('Activities'!L439,612)-MAX('Activities'!K439,606))</x:f>
        <x:v>0</x:v>
      </x:c>
      <x:c r="DC439" s="23" t="n">
        <x:f>MAX(0,MIN('Activities'!L439,618)-MAX('Activities'!K439,612))</x:f>
        <x:v>0</x:v>
      </x:c>
      <x:c r="DD439" s="23" t="n">
        <x:f>MAX(0,MIN('Activities'!L439,624)-MAX('Activities'!K439,618))</x:f>
        <x:v>0</x:v>
      </x:c>
      <x:c r="DE439" s="23" t="n">
        <x:f>MAX(0,MIN('Activities'!L439,630)-MAX('Activities'!K439,624))</x:f>
        <x:v>0</x:v>
      </x:c>
      <x:c r="DF439" s="23" t="n">
        <x:f>MAX(0,MIN('Activities'!L439,636)-MAX('Activities'!K439,630))</x:f>
        <x:v>0</x:v>
      </x:c>
    </x:row>
    <x:row r="440" ht="23" customHeight="1">
      <x:c r="A440" s="6" t="str">
        <x:v>T4-L06-R</x:v>
      </x:c>
      <x:c r="B440" s="6" t="str">
        <x:v>T4</x:v>
      </x:c>
      <x:c r="C440" s="6" t="str">
        <x:v>Column, wall, beam and slab reinforcement</x:v>
      </x:c>
      <x:c r="D440" s="6" t="str">
        <x:v>Rebar</x:v>
      </x:c>
      <x:c r="E440" s="22" t="n">
        <x:f>MAX(0,MIN('Activities'!L440,6)-MAX('Activities'!K440,0))</x:f>
        <x:v>0</x:v>
      </x:c>
      <x:c r="F440" s="22" t="n">
        <x:f>MAX(0,MIN('Activities'!L440,12)-MAX('Activities'!K440,6))</x:f>
        <x:v>0</x:v>
      </x:c>
      <x:c r="G440" s="22" t="n">
        <x:f>MAX(0,MIN('Activities'!L440,18)-MAX('Activities'!K440,12))</x:f>
        <x:v>0</x:v>
      </x:c>
      <x:c r="H440" s="22" t="n">
        <x:f>MAX(0,MIN('Activities'!L440,24)-MAX('Activities'!K440,18))</x:f>
        <x:v>0</x:v>
      </x:c>
      <x:c r="I440" s="22" t="n">
        <x:f>MAX(0,MIN('Activities'!L440,30)-MAX('Activities'!K440,24))</x:f>
        <x:v>0</x:v>
      </x:c>
      <x:c r="J440" s="22" t="n">
        <x:f>MAX(0,MIN('Activities'!L440,36)-MAX('Activities'!K440,30))</x:f>
        <x:v>0</x:v>
      </x:c>
      <x:c r="K440" s="22" t="n">
        <x:f>MAX(0,MIN('Activities'!L440,42)-MAX('Activities'!K440,36))</x:f>
        <x:v>0</x:v>
      </x:c>
      <x:c r="L440" s="22" t="n">
        <x:f>MAX(0,MIN('Activities'!L440,48)-MAX('Activities'!K440,42))</x:f>
        <x:v>0</x:v>
      </x:c>
      <x:c r="M440" s="22" t="n">
        <x:f>MAX(0,MIN('Activities'!L440,54)-MAX('Activities'!K440,48))</x:f>
        <x:v>0</x:v>
      </x:c>
      <x:c r="N440" s="22" t="n">
        <x:f>MAX(0,MIN('Activities'!L440,60)-MAX('Activities'!K440,54))</x:f>
        <x:v>0</x:v>
      </x:c>
      <x:c r="O440" s="22" t="n">
        <x:f>MAX(0,MIN('Activities'!L440,66)-MAX('Activities'!K440,60))</x:f>
        <x:v>0</x:v>
      </x:c>
      <x:c r="P440" s="22" t="n">
        <x:f>MAX(0,MIN('Activities'!L440,72)-MAX('Activities'!K440,66))</x:f>
        <x:v>0</x:v>
      </x:c>
      <x:c r="Q440" s="22" t="n">
        <x:f>MAX(0,MIN('Activities'!L440,78)-MAX('Activities'!K440,72))</x:f>
        <x:v>0</x:v>
      </x:c>
      <x:c r="R440" s="22" t="n">
        <x:f>MAX(0,MIN('Activities'!L440,84)-MAX('Activities'!K440,78))</x:f>
        <x:v>0</x:v>
      </x:c>
      <x:c r="S440" s="22" t="n">
        <x:f>MAX(0,MIN('Activities'!L440,90)-MAX('Activities'!K440,84))</x:f>
        <x:v>0</x:v>
      </x:c>
      <x:c r="T440" s="22" t="n">
        <x:f>MAX(0,MIN('Activities'!L440,96)-MAX('Activities'!K440,90))</x:f>
        <x:v>0</x:v>
      </x:c>
      <x:c r="U440" s="22" t="n">
        <x:f>MAX(0,MIN('Activities'!L440,102)-MAX('Activities'!K440,96))</x:f>
        <x:v>0</x:v>
      </x:c>
      <x:c r="V440" s="22" t="n">
        <x:f>MAX(0,MIN('Activities'!L440,108)-MAX('Activities'!K440,102))</x:f>
        <x:v>0</x:v>
      </x:c>
      <x:c r="W440" s="22" t="n">
        <x:f>MAX(0,MIN('Activities'!L440,114)-MAX('Activities'!K440,108))</x:f>
        <x:v>0</x:v>
      </x:c>
      <x:c r="X440" s="22" t="n">
        <x:f>MAX(0,MIN('Activities'!L440,120)-MAX('Activities'!K440,114))</x:f>
        <x:v>0</x:v>
      </x:c>
      <x:c r="Y440" s="22" t="n">
        <x:f>MAX(0,MIN('Activities'!L440,126)-MAX('Activities'!K440,120))</x:f>
        <x:v>0</x:v>
      </x:c>
      <x:c r="Z440" s="22" t="n">
        <x:f>MAX(0,MIN('Activities'!L440,132)-MAX('Activities'!K440,126))</x:f>
        <x:v>0</x:v>
      </x:c>
      <x:c r="AA440" s="22" t="n">
        <x:f>MAX(0,MIN('Activities'!L440,138)-MAX('Activities'!K440,132))</x:f>
        <x:v>0</x:v>
      </x:c>
      <x:c r="AB440" s="22" t="n">
        <x:f>MAX(0,MIN('Activities'!L440,144)-MAX('Activities'!K440,138))</x:f>
        <x:v>0</x:v>
      </x:c>
      <x:c r="AC440" s="22" t="n">
        <x:f>MAX(0,MIN('Activities'!L440,150)-MAX('Activities'!K440,144))</x:f>
        <x:v>0</x:v>
      </x:c>
      <x:c r="AD440" s="22" t="n">
        <x:f>MAX(0,MIN('Activities'!L440,156)-MAX('Activities'!K440,150))</x:f>
        <x:v>0</x:v>
      </x:c>
      <x:c r="AE440" s="22" t="n">
        <x:f>MAX(0,MIN('Activities'!L440,162)-MAX('Activities'!K440,156))</x:f>
        <x:v>0</x:v>
      </x:c>
      <x:c r="AF440" s="22" t="n">
        <x:f>MAX(0,MIN('Activities'!L440,168)-MAX('Activities'!K440,162))</x:f>
        <x:v>0</x:v>
      </x:c>
      <x:c r="AG440" s="22" t="n">
        <x:f>MAX(0,MIN('Activities'!L440,174)-MAX('Activities'!K440,168))</x:f>
        <x:v>0</x:v>
      </x:c>
      <x:c r="AH440" s="22" t="n">
        <x:f>MAX(0,MIN('Activities'!L440,180)-MAX('Activities'!K440,174))</x:f>
        <x:v>0</x:v>
      </x:c>
      <x:c r="AI440" s="22" t="n">
        <x:f>MAX(0,MIN('Activities'!L440,186)-MAX('Activities'!K440,180))</x:f>
        <x:v>0</x:v>
      </x:c>
      <x:c r="AJ440" s="22" t="n">
        <x:f>MAX(0,MIN('Activities'!L440,192)-MAX('Activities'!K440,186))</x:f>
        <x:v>0</x:v>
      </x:c>
      <x:c r="AK440" s="22" t="n">
        <x:f>MAX(0,MIN('Activities'!L440,198)-MAX('Activities'!K440,192))</x:f>
        <x:v>0</x:v>
      </x:c>
      <x:c r="AL440" s="22" t="n">
        <x:f>MAX(0,MIN('Activities'!L440,204)-MAX('Activities'!K440,198))</x:f>
        <x:v>0</x:v>
      </x:c>
      <x:c r="AM440" s="22" t="n">
        <x:f>MAX(0,MIN('Activities'!L440,210)-MAX('Activities'!K440,204))</x:f>
        <x:v>0</x:v>
      </x:c>
      <x:c r="AN440" s="22" t="n">
        <x:f>MAX(0,MIN('Activities'!L440,216)-MAX('Activities'!K440,210))</x:f>
        <x:v>0</x:v>
      </x:c>
      <x:c r="AO440" s="22" t="n">
        <x:f>MAX(0,MIN('Activities'!L440,222)-MAX('Activities'!K440,216))</x:f>
        <x:v>0</x:v>
      </x:c>
      <x:c r="AP440" s="22" t="n">
        <x:f>MAX(0,MIN('Activities'!L440,228)-MAX('Activities'!K440,222))</x:f>
        <x:v>0</x:v>
      </x:c>
      <x:c r="AQ440" s="22" t="n">
        <x:f>MAX(0,MIN('Activities'!L440,234)-MAX('Activities'!K440,228))</x:f>
        <x:v>0</x:v>
      </x:c>
      <x:c r="AR440" s="22" t="n">
        <x:f>MAX(0,MIN('Activities'!L440,240)-MAX('Activities'!K440,234))</x:f>
        <x:v>0</x:v>
      </x:c>
      <x:c r="AS440" s="22" t="n">
        <x:f>MAX(0,MIN('Activities'!L440,246)-MAX('Activities'!K440,240))</x:f>
        <x:v>0</x:v>
      </x:c>
      <x:c r="AT440" s="22" t="n">
        <x:f>MAX(0,MIN('Activities'!L440,252)-MAX('Activities'!K440,246))</x:f>
        <x:v>0</x:v>
      </x:c>
      <x:c r="AU440" s="22" t="n">
        <x:f>MAX(0,MIN('Activities'!L440,258)-MAX('Activities'!K440,252))</x:f>
        <x:v>0</x:v>
      </x:c>
      <x:c r="AV440" s="22" t="n">
        <x:f>MAX(0,MIN('Activities'!L440,264)-MAX('Activities'!K440,258))</x:f>
        <x:v>0</x:v>
      </x:c>
      <x:c r="AW440" s="22" t="n">
        <x:f>MAX(0,MIN('Activities'!L440,270)-MAX('Activities'!K440,264))</x:f>
        <x:v>0</x:v>
      </x:c>
      <x:c r="AX440" s="22" t="n">
        <x:f>MAX(0,MIN('Activities'!L440,276)-MAX('Activities'!K440,270))</x:f>
        <x:v>0</x:v>
      </x:c>
      <x:c r="AY440" s="22" t="n">
        <x:f>MAX(0,MIN('Activities'!L440,282)-MAX('Activities'!K440,276))</x:f>
        <x:v>0</x:v>
      </x:c>
      <x:c r="AZ440" s="22" t="n">
        <x:f>MAX(0,MIN('Activities'!L440,288)-MAX('Activities'!K440,282))</x:f>
        <x:v>4</x:v>
      </x:c>
      <x:c r="BA440" s="22" t="n">
        <x:f>MAX(0,MIN('Activities'!L440,294)-MAX('Activities'!K440,288))</x:f>
        <x:v>1</x:v>
      </x:c>
      <x:c r="BB440" s="22" t="n">
        <x:f>MAX(0,MIN('Activities'!L440,300)-MAX('Activities'!K440,294))</x:f>
        <x:v>0</x:v>
      </x:c>
      <x:c r="BC440" s="22" t="n">
        <x:f>MAX(0,MIN('Activities'!L440,306)-MAX('Activities'!K440,300))</x:f>
        <x:v>0</x:v>
      </x:c>
      <x:c r="BD440" s="22" t="n">
        <x:f>MAX(0,MIN('Activities'!L440,312)-MAX('Activities'!K440,306))</x:f>
        <x:v>0</x:v>
      </x:c>
      <x:c r="BE440" s="22" t="n">
        <x:f>MAX(0,MIN('Activities'!L440,318)-MAX('Activities'!K440,312))</x:f>
        <x:v>0</x:v>
      </x:c>
      <x:c r="BF440" s="22" t="n">
        <x:f>MAX(0,MIN('Activities'!L440,324)-MAX('Activities'!K440,318))</x:f>
        <x:v>0</x:v>
      </x:c>
      <x:c r="BG440" s="22" t="n">
        <x:f>MAX(0,MIN('Activities'!L440,330)-MAX('Activities'!K440,324))</x:f>
        <x:v>0</x:v>
      </x:c>
      <x:c r="BH440" s="22" t="n">
        <x:f>MAX(0,MIN('Activities'!L440,336)-MAX('Activities'!K440,330))</x:f>
        <x:v>0</x:v>
      </x:c>
      <x:c r="BI440" s="22" t="n">
        <x:f>MAX(0,MIN('Activities'!L440,342)-MAX('Activities'!K440,336))</x:f>
        <x:v>0</x:v>
      </x:c>
      <x:c r="BJ440" s="22" t="n">
        <x:f>MAX(0,MIN('Activities'!L440,348)-MAX('Activities'!K440,342))</x:f>
        <x:v>0</x:v>
      </x:c>
      <x:c r="BK440" s="22" t="n">
        <x:f>MAX(0,MIN('Activities'!L440,354)-MAX('Activities'!K440,348))</x:f>
        <x:v>0</x:v>
      </x:c>
      <x:c r="BL440" s="22" t="n">
        <x:f>MAX(0,MIN('Activities'!L440,360)-MAX('Activities'!K440,354))</x:f>
        <x:v>0</x:v>
      </x:c>
      <x:c r="BM440" s="22" t="n">
        <x:f>MAX(0,MIN('Activities'!L440,366)-MAX('Activities'!K440,360))</x:f>
        <x:v>0</x:v>
      </x:c>
      <x:c r="BN440" s="22" t="n">
        <x:f>MAX(0,MIN('Activities'!L440,372)-MAX('Activities'!K440,366))</x:f>
        <x:v>0</x:v>
      </x:c>
      <x:c r="BO440" s="22" t="n">
        <x:f>MAX(0,MIN('Activities'!L440,378)-MAX('Activities'!K440,372))</x:f>
        <x:v>0</x:v>
      </x:c>
      <x:c r="BP440" s="22" t="n">
        <x:f>MAX(0,MIN('Activities'!L440,384)-MAX('Activities'!K440,378))</x:f>
        <x:v>0</x:v>
      </x:c>
      <x:c r="BQ440" s="22" t="n">
        <x:f>MAX(0,MIN('Activities'!L440,390)-MAX('Activities'!K440,384))</x:f>
        <x:v>0</x:v>
      </x:c>
      <x:c r="BR440" s="22" t="n">
        <x:f>MAX(0,MIN('Activities'!L440,396)-MAX('Activities'!K440,390))</x:f>
        <x:v>0</x:v>
      </x:c>
      <x:c r="BS440" s="22" t="n">
        <x:f>MAX(0,MIN('Activities'!L440,402)-MAX('Activities'!K440,396))</x:f>
        <x:v>0</x:v>
      </x:c>
      <x:c r="BT440" s="22" t="n">
        <x:f>MAX(0,MIN('Activities'!L440,408)-MAX('Activities'!K440,402))</x:f>
        <x:v>0</x:v>
      </x:c>
      <x:c r="BU440" s="22" t="n">
        <x:f>MAX(0,MIN('Activities'!L440,414)-MAX('Activities'!K440,408))</x:f>
        <x:v>0</x:v>
      </x:c>
      <x:c r="BV440" s="22" t="n">
        <x:f>MAX(0,MIN('Activities'!L440,420)-MAX('Activities'!K440,414))</x:f>
        <x:v>0</x:v>
      </x:c>
      <x:c r="BW440" s="22" t="n">
        <x:f>MAX(0,MIN('Activities'!L440,426)-MAX('Activities'!K440,420))</x:f>
        <x:v>0</x:v>
      </x:c>
      <x:c r="BX440" s="22" t="n">
        <x:f>MAX(0,MIN('Activities'!L440,432)-MAX('Activities'!K440,426))</x:f>
        <x:v>0</x:v>
      </x:c>
      <x:c r="BY440" s="22" t="n">
        <x:f>MAX(0,MIN('Activities'!L440,438)-MAX('Activities'!K440,432))</x:f>
        <x:v>0</x:v>
      </x:c>
      <x:c r="BZ440" s="22" t="n">
        <x:f>MAX(0,MIN('Activities'!L440,444)-MAX('Activities'!K440,438))</x:f>
        <x:v>0</x:v>
      </x:c>
      <x:c r="CA440" s="22" t="n">
        <x:f>MAX(0,MIN('Activities'!L440,450)-MAX('Activities'!K440,444))</x:f>
        <x:v>0</x:v>
      </x:c>
      <x:c r="CB440" s="22" t="n">
        <x:f>MAX(0,MIN('Activities'!L440,456)-MAX('Activities'!K440,450))</x:f>
        <x:v>0</x:v>
      </x:c>
      <x:c r="CC440" s="22" t="n">
        <x:f>MAX(0,MIN('Activities'!L440,462)-MAX('Activities'!K440,456))</x:f>
        <x:v>0</x:v>
      </x:c>
      <x:c r="CD440" s="22" t="n">
        <x:f>MAX(0,MIN('Activities'!L440,468)-MAX('Activities'!K440,462))</x:f>
        <x:v>0</x:v>
      </x:c>
      <x:c r="CE440" s="22" t="n">
        <x:f>MAX(0,MIN('Activities'!L440,474)-MAX('Activities'!K440,468))</x:f>
        <x:v>0</x:v>
      </x:c>
      <x:c r="CF440" s="22" t="n">
        <x:f>MAX(0,MIN('Activities'!L440,480)-MAX('Activities'!K440,474))</x:f>
        <x:v>0</x:v>
      </x:c>
      <x:c r="CG440" s="22" t="n">
        <x:f>MAX(0,MIN('Activities'!L440,486)-MAX('Activities'!K440,480))</x:f>
        <x:v>0</x:v>
      </x:c>
      <x:c r="CH440" s="22" t="n">
        <x:f>MAX(0,MIN('Activities'!L440,492)-MAX('Activities'!K440,486))</x:f>
        <x:v>0</x:v>
      </x:c>
      <x:c r="CI440" s="22" t="n">
        <x:f>MAX(0,MIN('Activities'!L440,498)-MAX('Activities'!K440,492))</x:f>
        <x:v>0</x:v>
      </x:c>
      <x:c r="CJ440" s="22" t="n">
        <x:f>MAX(0,MIN('Activities'!L440,504)-MAX('Activities'!K440,498))</x:f>
        <x:v>0</x:v>
      </x:c>
      <x:c r="CK440" s="22" t="n">
        <x:f>MAX(0,MIN('Activities'!L440,510)-MAX('Activities'!K440,504))</x:f>
        <x:v>0</x:v>
      </x:c>
      <x:c r="CL440" s="22" t="n">
        <x:f>MAX(0,MIN('Activities'!L440,516)-MAX('Activities'!K440,510))</x:f>
        <x:v>0</x:v>
      </x:c>
      <x:c r="CM440" s="22" t="n">
        <x:f>MAX(0,MIN('Activities'!L440,522)-MAX('Activities'!K440,516))</x:f>
        <x:v>0</x:v>
      </x:c>
      <x:c r="CN440" s="22" t="n">
        <x:f>MAX(0,MIN('Activities'!L440,528)-MAX('Activities'!K440,522))</x:f>
        <x:v>0</x:v>
      </x:c>
      <x:c r="CO440" s="22" t="n">
        <x:f>MAX(0,MIN('Activities'!L440,534)-MAX('Activities'!K440,528))</x:f>
        <x:v>0</x:v>
      </x:c>
      <x:c r="CP440" s="22" t="n">
        <x:f>MAX(0,MIN('Activities'!L440,540)-MAX('Activities'!K440,534))</x:f>
        <x:v>0</x:v>
      </x:c>
      <x:c r="CQ440" s="22" t="n">
        <x:f>MAX(0,MIN('Activities'!L440,546)-MAX('Activities'!K440,540))</x:f>
        <x:v>0</x:v>
      </x:c>
      <x:c r="CR440" s="22" t="n">
        <x:f>MAX(0,MIN('Activities'!L440,552)-MAX('Activities'!K440,546))</x:f>
        <x:v>0</x:v>
      </x:c>
      <x:c r="CS440" s="22" t="n">
        <x:f>MAX(0,MIN('Activities'!L440,558)-MAX('Activities'!K440,552))</x:f>
        <x:v>0</x:v>
      </x:c>
      <x:c r="CT440" s="22" t="n">
        <x:f>MAX(0,MIN('Activities'!L440,564)-MAX('Activities'!K440,558))</x:f>
        <x:v>0</x:v>
      </x:c>
      <x:c r="CU440" s="22" t="n">
        <x:f>MAX(0,MIN('Activities'!L440,570)-MAX('Activities'!K440,564))</x:f>
        <x:v>0</x:v>
      </x:c>
      <x:c r="CV440" s="22" t="n">
        <x:f>MAX(0,MIN('Activities'!L440,576)-MAX('Activities'!K440,570))</x:f>
        <x:v>0</x:v>
      </x:c>
      <x:c r="CW440" s="22" t="n">
        <x:f>MAX(0,MIN('Activities'!L440,582)-MAX('Activities'!K440,576))</x:f>
        <x:v>0</x:v>
      </x:c>
      <x:c r="CX440" s="22" t="n">
        <x:f>MAX(0,MIN('Activities'!L440,588)-MAX('Activities'!K440,582))</x:f>
        <x:v>0</x:v>
      </x:c>
      <x:c r="CY440" s="22" t="n">
        <x:f>MAX(0,MIN('Activities'!L440,594)-MAX('Activities'!K440,588))</x:f>
        <x:v>0</x:v>
      </x:c>
      <x:c r="CZ440" s="22" t="n">
        <x:f>MAX(0,MIN('Activities'!L440,600)-MAX('Activities'!K440,594))</x:f>
        <x:v>0</x:v>
      </x:c>
      <x:c r="DA440" s="22" t="n">
        <x:f>MAX(0,MIN('Activities'!L440,606)-MAX('Activities'!K440,600))</x:f>
        <x:v>0</x:v>
      </x:c>
      <x:c r="DB440" s="22" t="n">
        <x:f>MAX(0,MIN('Activities'!L440,612)-MAX('Activities'!K440,606))</x:f>
        <x:v>0</x:v>
      </x:c>
      <x:c r="DC440" s="22" t="n">
        <x:f>MAX(0,MIN('Activities'!L440,618)-MAX('Activities'!K440,612))</x:f>
        <x:v>0</x:v>
      </x:c>
      <x:c r="DD440" s="22" t="n">
        <x:f>MAX(0,MIN('Activities'!L440,624)-MAX('Activities'!K440,618))</x:f>
        <x:v>0</x:v>
      </x:c>
      <x:c r="DE440" s="22" t="n">
        <x:f>MAX(0,MIN('Activities'!L440,630)-MAX('Activities'!K440,624))</x:f>
        <x:v>0</x:v>
      </x:c>
      <x:c r="DF440" s="22" t="n">
        <x:f>MAX(0,MIN('Activities'!L440,636)-MAX('Activities'!K440,630))</x:f>
        <x:v>0</x:v>
      </x:c>
    </x:row>
    <x:row r="441" ht="23" customHeight="1">
      <x:c r="A441" s="1" t="str">
        <x:v>T4-L06-C</x:v>
      </x:c>
      <x:c r="B441" s="1" t="str">
        <x:v>T4</x:v>
      </x:c>
      <x:c r="C441" s="1" t="str">
        <x:v>Concrete placement and finishing</x:v>
      </x:c>
      <x:c r="D441" s="1" t="str">
        <x:v>Concrete</x:v>
      </x:c>
      <x:c r="E441" s="23" t="n">
        <x:f>MAX(0,MIN('Activities'!L441,6)-MAX('Activities'!K441,0))</x:f>
        <x:v>0</x:v>
      </x:c>
      <x:c r="F441" s="23" t="n">
        <x:f>MAX(0,MIN('Activities'!L441,12)-MAX('Activities'!K441,6))</x:f>
        <x:v>0</x:v>
      </x:c>
      <x:c r="G441" s="23" t="n">
        <x:f>MAX(0,MIN('Activities'!L441,18)-MAX('Activities'!K441,12))</x:f>
        <x:v>0</x:v>
      </x:c>
      <x:c r="H441" s="23" t="n">
        <x:f>MAX(0,MIN('Activities'!L441,24)-MAX('Activities'!K441,18))</x:f>
        <x:v>0</x:v>
      </x:c>
      <x:c r="I441" s="23" t="n">
        <x:f>MAX(0,MIN('Activities'!L441,30)-MAX('Activities'!K441,24))</x:f>
        <x:v>0</x:v>
      </x:c>
      <x:c r="J441" s="23" t="n">
        <x:f>MAX(0,MIN('Activities'!L441,36)-MAX('Activities'!K441,30))</x:f>
        <x:v>0</x:v>
      </x:c>
      <x:c r="K441" s="23" t="n">
        <x:f>MAX(0,MIN('Activities'!L441,42)-MAX('Activities'!K441,36))</x:f>
        <x:v>0</x:v>
      </x:c>
      <x:c r="L441" s="23" t="n">
        <x:f>MAX(0,MIN('Activities'!L441,48)-MAX('Activities'!K441,42))</x:f>
        <x:v>0</x:v>
      </x:c>
      <x:c r="M441" s="23" t="n">
        <x:f>MAX(0,MIN('Activities'!L441,54)-MAX('Activities'!K441,48))</x:f>
        <x:v>0</x:v>
      </x:c>
      <x:c r="N441" s="23" t="n">
        <x:f>MAX(0,MIN('Activities'!L441,60)-MAX('Activities'!K441,54))</x:f>
        <x:v>0</x:v>
      </x:c>
      <x:c r="O441" s="23" t="n">
        <x:f>MAX(0,MIN('Activities'!L441,66)-MAX('Activities'!K441,60))</x:f>
        <x:v>0</x:v>
      </x:c>
      <x:c r="P441" s="23" t="n">
        <x:f>MAX(0,MIN('Activities'!L441,72)-MAX('Activities'!K441,66))</x:f>
        <x:v>0</x:v>
      </x:c>
      <x:c r="Q441" s="23" t="n">
        <x:f>MAX(0,MIN('Activities'!L441,78)-MAX('Activities'!K441,72))</x:f>
        <x:v>0</x:v>
      </x:c>
      <x:c r="R441" s="23" t="n">
        <x:f>MAX(0,MIN('Activities'!L441,84)-MAX('Activities'!K441,78))</x:f>
        <x:v>0</x:v>
      </x:c>
      <x:c r="S441" s="23" t="n">
        <x:f>MAX(0,MIN('Activities'!L441,90)-MAX('Activities'!K441,84))</x:f>
        <x:v>0</x:v>
      </x:c>
      <x:c r="T441" s="23" t="n">
        <x:f>MAX(0,MIN('Activities'!L441,96)-MAX('Activities'!K441,90))</x:f>
        <x:v>0</x:v>
      </x:c>
      <x:c r="U441" s="23" t="n">
        <x:f>MAX(0,MIN('Activities'!L441,102)-MAX('Activities'!K441,96))</x:f>
        <x:v>0</x:v>
      </x:c>
      <x:c r="V441" s="23" t="n">
        <x:f>MAX(0,MIN('Activities'!L441,108)-MAX('Activities'!K441,102))</x:f>
        <x:v>0</x:v>
      </x:c>
      <x:c r="W441" s="23" t="n">
        <x:f>MAX(0,MIN('Activities'!L441,114)-MAX('Activities'!K441,108))</x:f>
        <x:v>0</x:v>
      </x:c>
      <x:c r="X441" s="23" t="n">
        <x:f>MAX(0,MIN('Activities'!L441,120)-MAX('Activities'!K441,114))</x:f>
        <x:v>0</x:v>
      </x:c>
      <x:c r="Y441" s="23" t="n">
        <x:f>MAX(0,MIN('Activities'!L441,126)-MAX('Activities'!K441,120))</x:f>
        <x:v>0</x:v>
      </x:c>
      <x:c r="Z441" s="23" t="n">
        <x:f>MAX(0,MIN('Activities'!L441,132)-MAX('Activities'!K441,126))</x:f>
        <x:v>0</x:v>
      </x:c>
      <x:c r="AA441" s="23" t="n">
        <x:f>MAX(0,MIN('Activities'!L441,138)-MAX('Activities'!K441,132))</x:f>
        <x:v>0</x:v>
      </x:c>
      <x:c r="AB441" s="23" t="n">
        <x:f>MAX(0,MIN('Activities'!L441,144)-MAX('Activities'!K441,138))</x:f>
        <x:v>0</x:v>
      </x:c>
      <x:c r="AC441" s="23" t="n">
        <x:f>MAX(0,MIN('Activities'!L441,150)-MAX('Activities'!K441,144))</x:f>
        <x:v>0</x:v>
      </x:c>
      <x:c r="AD441" s="23" t="n">
        <x:f>MAX(0,MIN('Activities'!L441,156)-MAX('Activities'!K441,150))</x:f>
        <x:v>0</x:v>
      </x:c>
      <x:c r="AE441" s="23" t="n">
        <x:f>MAX(0,MIN('Activities'!L441,162)-MAX('Activities'!K441,156))</x:f>
        <x:v>0</x:v>
      </x:c>
      <x:c r="AF441" s="23" t="n">
        <x:f>MAX(0,MIN('Activities'!L441,168)-MAX('Activities'!K441,162))</x:f>
        <x:v>0</x:v>
      </x:c>
      <x:c r="AG441" s="23" t="n">
        <x:f>MAX(0,MIN('Activities'!L441,174)-MAX('Activities'!K441,168))</x:f>
        <x:v>0</x:v>
      </x:c>
      <x:c r="AH441" s="23" t="n">
        <x:f>MAX(0,MIN('Activities'!L441,180)-MAX('Activities'!K441,174))</x:f>
        <x:v>0</x:v>
      </x:c>
      <x:c r="AI441" s="23" t="n">
        <x:f>MAX(0,MIN('Activities'!L441,186)-MAX('Activities'!K441,180))</x:f>
        <x:v>0</x:v>
      </x:c>
      <x:c r="AJ441" s="23" t="n">
        <x:f>MAX(0,MIN('Activities'!L441,192)-MAX('Activities'!K441,186))</x:f>
        <x:v>0</x:v>
      </x:c>
      <x:c r="AK441" s="23" t="n">
        <x:f>MAX(0,MIN('Activities'!L441,198)-MAX('Activities'!K441,192))</x:f>
        <x:v>0</x:v>
      </x:c>
      <x:c r="AL441" s="23" t="n">
        <x:f>MAX(0,MIN('Activities'!L441,204)-MAX('Activities'!K441,198))</x:f>
        <x:v>0</x:v>
      </x:c>
      <x:c r="AM441" s="23" t="n">
        <x:f>MAX(0,MIN('Activities'!L441,210)-MAX('Activities'!K441,204))</x:f>
        <x:v>0</x:v>
      </x:c>
      <x:c r="AN441" s="23" t="n">
        <x:f>MAX(0,MIN('Activities'!L441,216)-MAX('Activities'!K441,210))</x:f>
        <x:v>0</x:v>
      </x:c>
      <x:c r="AO441" s="23" t="n">
        <x:f>MAX(0,MIN('Activities'!L441,222)-MAX('Activities'!K441,216))</x:f>
        <x:v>0</x:v>
      </x:c>
      <x:c r="AP441" s="23" t="n">
        <x:f>MAX(0,MIN('Activities'!L441,228)-MAX('Activities'!K441,222))</x:f>
        <x:v>0</x:v>
      </x:c>
      <x:c r="AQ441" s="23" t="n">
        <x:f>MAX(0,MIN('Activities'!L441,234)-MAX('Activities'!K441,228))</x:f>
        <x:v>0</x:v>
      </x:c>
      <x:c r="AR441" s="23" t="n">
        <x:f>MAX(0,MIN('Activities'!L441,240)-MAX('Activities'!K441,234))</x:f>
        <x:v>0</x:v>
      </x:c>
      <x:c r="AS441" s="23" t="n">
        <x:f>MAX(0,MIN('Activities'!L441,246)-MAX('Activities'!K441,240))</x:f>
        <x:v>0</x:v>
      </x:c>
      <x:c r="AT441" s="23" t="n">
        <x:f>MAX(0,MIN('Activities'!L441,252)-MAX('Activities'!K441,246))</x:f>
        <x:v>0</x:v>
      </x:c>
      <x:c r="AU441" s="23" t="n">
        <x:f>MAX(0,MIN('Activities'!L441,258)-MAX('Activities'!K441,252))</x:f>
        <x:v>0</x:v>
      </x:c>
      <x:c r="AV441" s="23" t="n">
        <x:f>MAX(0,MIN('Activities'!L441,264)-MAX('Activities'!K441,258))</x:f>
        <x:v>0</x:v>
      </x:c>
      <x:c r="AW441" s="23" t="n">
        <x:f>MAX(0,MIN('Activities'!L441,270)-MAX('Activities'!K441,264))</x:f>
        <x:v>0</x:v>
      </x:c>
      <x:c r="AX441" s="23" t="n">
        <x:f>MAX(0,MIN('Activities'!L441,276)-MAX('Activities'!K441,270))</x:f>
        <x:v>0</x:v>
      </x:c>
      <x:c r="AY441" s="23" t="n">
        <x:f>MAX(0,MIN('Activities'!L441,282)-MAX('Activities'!K441,276))</x:f>
        <x:v>0</x:v>
      </x:c>
      <x:c r="AZ441" s="23" t="n">
        <x:f>MAX(0,MIN('Activities'!L441,288)-MAX('Activities'!K441,282))</x:f>
        <x:v>0</x:v>
      </x:c>
      <x:c r="BA441" s="23" t="n">
        <x:f>MAX(0,MIN('Activities'!L441,294)-MAX('Activities'!K441,288))</x:f>
        <x:v>2</x:v>
      </x:c>
      <x:c r="BB441" s="23" t="n">
        <x:f>MAX(0,MIN('Activities'!L441,300)-MAX('Activities'!K441,294))</x:f>
        <x:v>0</x:v>
      </x:c>
      <x:c r="BC441" s="23" t="n">
        <x:f>MAX(0,MIN('Activities'!L441,306)-MAX('Activities'!K441,300))</x:f>
        <x:v>0</x:v>
      </x:c>
      <x:c r="BD441" s="23" t="n">
        <x:f>MAX(0,MIN('Activities'!L441,312)-MAX('Activities'!K441,306))</x:f>
        <x:v>0</x:v>
      </x:c>
      <x:c r="BE441" s="23" t="n">
        <x:f>MAX(0,MIN('Activities'!L441,318)-MAX('Activities'!K441,312))</x:f>
        <x:v>0</x:v>
      </x:c>
      <x:c r="BF441" s="23" t="n">
        <x:f>MAX(0,MIN('Activities'!L441,324)-MAX('Activities'!K441,318))</x:f>
        <x:v>0</x:v>
      </x:c>
      <x:c r="BG441" s="23" t="n">
        <x:f>MAX(0,MIN('Activities'!L441,330)-MAX('Activities'!K441,324))</x:f>
        <x:v>0</x:v>
      </x:c>
      <x:c r="BH441" s="23" t="n">
        <x:f>MAX(0,MIN('Activities'!L441,336)-MAX('Activities'!K441,330))</x:f>
        <x:v>0</x:v>
      </x:c>
      <x:c r="BI441" s="23" t="n">
        <x:f>MAX(0,MIN('Activities'!L441,342)-MAX('Activities'!K441,336))</x:f>
        <x:v>0</x:v>
      </x:c>
      <x:c r="BJ441" s="23" t="n">
        <x:f>MAX(0,MIN('Activities'!L441,348)-MAX('Activities'!K441,342))</x:f>
        <x:v>0</x:v>
      </x:c>
      <x:c r="BK441" s="23" t="n">
        <x:f>MAX(0,MIN('Activities'!L441,354)-MAX('Activities'!K441,348))</x:f>
        <x:v>0</x:v>
      </x:c>
      <x:c r="BL441" s="23" t="n">
        <x:f>MAX(0,MIN('Activities'!L441,360)-MAX('Activities'!K441,354))</x:f>
        <x:v>0</x:v>
      </x:c>
      <x:c r="BM441" s="23" t="n">
        <x:f>MAX(0,MIN('Activities'!L441,366)-MAX('Activities'!K441,360))</x:f>
        <x:v>0</x:v>
      </x:c>
      <x:c r="BN441" s="23" t="n">
        <x:f>MAX(0,MIN('Activities'!L441,372)-MAX('Activities'!K441,366))</x:f>
        <x:v>0</x:v>
      </x:c>
      <x:c r="BO441" s="23" t="n">
        <x:f>MAX(0,MIN('Activities'!L441,378)-MAX('Activities'!K441,372))</x:f>
        <x:v>0</x:v>
      </x:c>
      <x:c r="BP441" s="23" t="n">
        <x:f>MAX(0,MIN('Activities'!L441,384)-MAX('Activities'!K441,378))</x:f>
        <x:v>0</x:v>
      </x:c>
      <x:c r="BQ441" s="23" t="n">
        <x:f>MAX(0,MIN('Activities'!L441,390)-MAX('Activities'!K441,384))</x:f>
        <x:v>0</x:v>
      </x:c>
      <x:c r="BR441" s="23" t="n">
        <x:f>MAX(0,MIN('Activities'!L441,396)-MAX('Activities'!K441,390))</x:f>
        <x:v>0</x:v>
      </x:c>
      <x:c r="BS441" s="23" t="n">
        <x:f>MAX(0,MIN('Activities'!L441,402)-MAX('Activities'!K441,396))</x:f>
        <x:v>0</x:v>
      </x:c>
      <x:c r="BT441" s="23" t="n">
        <x:f>MAX(0,MIN('Activities'!L441,408)-MAX('Activities'!K441,402))</x:f>
        <x:v>0</x:v>
      </x:c>
      <x:c r="BU441" s="23" t="n">
        <x:f>MAX(0,MIN('Activities'!L441,414)-MAX('Activities'!K441,408))</x:f>
        <x:v>0</x:v>
      </x:c>
      <x:c r="BV441" s="23" t="n">
        <x:f>MAX(0,MIN('Activities'!L441,420)-MAX('Activities'!K441,414))</x:f>
        <x:v>0</x:v>
      </x:c>
      <x:c r="BW441" s="23" t="n">
        <x:f>MAX(0,MIN('Activities'!L441,426)-MAX('Activities'!K441,420))</x:f>
        <x:v>0</x:v>
      </x:c>
      <x:c r="BX441" s="23" t="n">
        <x:f>MAX(0,MIN('Activities'!L441,432)-MAX('Activities'!K441,426))</x:f>
        <x:v>0</x:v>
      </x:c>
      <x:c r="BY441" s="23" t="n">
        <x:f>MAX(0,MIN('Activities'!L441,438)-MAX('Activities'!K441,432))</x:f>
        <x:v>0</x:v>
      </x:c>
      <x:c r="BZ441" s="23" t="n">
        <x:f>MAX(0,MIN('Activities'!L441,444)-MAX('Activities'!K441,438))</x:f>
        <x:v>0</x:v>
      </x:c>
      <x:c r="CA441" s="23" t="n">
        <x:f>MAX(0,MIN('Activities'!L441,450)-MAX('Activities'!K441,444))</x:f>
        <x:v>0</x:v>
      </x:c>
      <x:c r="CB441" s="23" t="n">
        <x:f>MAX(0,MIN('Activities'!L441,456)-MAX('Activities'!K441,450))</x:f>
        <x:v>0</x:v>
      </x:c>
      <x:c r="CC441" s="23" t="n">
        <x:f>MAX(0,MIN('Activities'!L441,462)-MAX('Activities'!K441,456))</x:f>
        <x:v>0</x:v>
      </x:c>
      <x:c r="CD441" s="23" t="n">
        <x:f>MAX(0,MIN('Activities'!L441,468)-MAX('Activities'!K441,462))</x:f>
        <x:v>0</x:v>
      </x:c>
      <x:c r="CE441" s="23" t="n">
        <x:f>MAX(0,MIN('Activities'!L441,474)-MAX('Activities'!K441,468))</x:f>
        <x:v>0</x:v>
      </x:c>
      <x:c r="CF441" s="23" t="n">
        <x:f>MAX(0,MIN('Activities'!L441,480)-MAX('Activities'!K441,474))</x:f>
        <x:v>0</x:v>
      </x:c>
      <x:c r="CG441" s="23" t="n">
        <x:f>MAX(0,MIN('Activities'!L441,486)-MAX('Activities'!K441,480))</x:f>
        <x:v>0</x:v>
      </x:c>
      <x:c r="CH441" s="23" t="n">
        <x:f>MAX(0,MIN('Activities'!L441,492)-MAX('Activities'!K441,486))</x:f>
        <x:v>0</x:v>
      </x:c>
      <x:c r="CI441" s="23" t="n">
        <x:f>MAX(0,MIN('Activities'!L441,498)-MAX('Activities'!K441,492))</x:f>
        <x:v>0</x:v>
      </x:c>
      <x:c r="CJ441" s="23" t="n">
        <x:f>MAX(0,MIN('Activities'!L441,504)-MAX('Activities'!K441,498))</x:f>
        <x:v>0</x:v>
      </x:c>
      <x:c r="CK441" s="23" t="n">
        <x:f>MAX(0,MIN('Activities'!L441,510)-MAX('Activities'!K441,504))</x:f>
        <x:v>0</x:v>
      </x:c>
      <x:c r="CL441" s="23" t="n">
        <x:f>MAX(0,MIN('Activities'!L441,516)-MAX('Activities'!K441,510))</x:f>
        <x:v>0</x:v>
      </x:c>
      <x:c r="CM441" s="23" t="n">
        <x:f>MAX(0,MIN('Activities'!L441,522)-MAX('Activities'!K441,516))</x:f>
        <x:v>0</x:v>
      </x:c>
      <x:c r="CN441" s="23" t="n">
        <x:f>MAX(0,MIN('Activities'!L441,528)-MAX('Activities'!K441,522))</x:f>
        <x:v>0</x:v>
      </x:c>
      <x:c r="CO441" s="23" t="n">
        <x:f>MAX(0,MIN('Activities'!L441,534)-MAX('Activities'!K441,528))</x:f>
        <x:v>0</x:v>
      </x:c>
      <x:c r="CP441" s="23" t="n">
        <x:f>MAX(0,MIN('Activities'!L441,540)-MAX('Activities'!K441,534))</x:f>
        <x:v>0</x:v>
      </x:c>
      <x:c r="CQ441" s="23" t="n">
        <x:f>MAX(0,MIN('Activities'!L441,546)-MAX('Activities'!K441,540))</x:f>
        <x:v>0</x:v>
      </x:c>
      <x:c r="CR441" s="23" t="n">
        <x:f>MAX(0,MIN('Activities'!L441,552)-MAX('Activities'!K441,546))</x:f>
        <x:v>0</x:v>
      </x:c>
      <x:c r="CS441" s="23" t="n">
        <x:f>MAX(0,MIN('Activities'!L441,558)-MAX('Activities'!K441,552))</x:f>
        <x:v>0</x:v>
      </x:c>
      <x:c r="CT441" s="23" t="n">
        <x:f>MAX(0,MIN('Activities'!L441,564)-MAX('Activities'!K441,558))</x:f>
        <x:v>0</x:v>
      </x:c>
      <x:c r="CU441" s="23" t="n">
        <x:f>MAX(0,MIN('Activities'!L441,570)-MAX('Activities'!K441,564))</x:f>
        <x:v>0</x:v>
      </x:c>
      <x:c r="CV441" s="23" t="n">
        <x:f>MAX(0,MIN('Activities'!L441,576)-MAX('Activities'!K441,570))</x:f>
        <x:v>0</x:v>
      </x:c>
      <x:c r="CW441" s="23" t="n">
        <x:f>MAX(0,MIN('Activities'!L441,582)-MAX('Activities'!K441,576))</x:f>
        <x:v>0</x:v>
      </x:c>
      <x:c r="CX441" s="23" t="n">
        <x:f>MAX(0,MIN('Activities'!L441,588)-MAX('Activities'!K441,582))</x:f>
        <x:v>0</x:v>
      </x:c>
      <x:c r="CY441" s="23" t="n">
        <x:f>MAX(0,MIN('Activities'!L441,594)-MAX('Activities'!K441,588))</x:f>
        <x:v>0</x:v>
      </x:c>
      <x:c r="CZ441" s="23" t="n">
        <x:f>MAX(0,MIN('Activities'!L441,600)-MAX('Activities'!K441,594))</x:f>
        <x:v>0</x:v>
      </x:c>
      <x:c r="DA441" s="23" t="n">
        <x:f>MAX(0,MIN('Activities'!L441,606)-MAX('Activities'!K441,600))</x:f>
        <x:v>0</x:v>
      </x:c>
      <x:c r="DB441" s="23" t="n">
        <x:f>MAX(0,MIN('Activities'!L441,612)-MAX('Activities'!K441,606))</x:f>
        <x:v>0</x:v>
      </x:c>
      <x:c r="DC441" s="23" t="n">
        <x:f>MAX(0,MIN('Activities'!L441,618)-MAX('Activities'!K441,612))</x:f>
        <x:v>0</x:v>
      </x:c>
      <x:c r="DD441" s="23" t="n">
        <x:f>MAX(0,MIN('Activities'!L441,624)-MAX('Activities'!K441,618))</x:f>
        <x:v>0</x:v>
      </x:c>
      <x:c r="DE441" s="23" t="n">
        <x:f>MAX(0,MIN('Activities'!L441,630)-MAX('Activities'!K441,624))</x:f>
        <x:v>0</x:v>
      </x:c>
      <x:c r="DF441" s="23" t="n">
        <x:f>MAX(0,MIN('Activities'!L441,636)-MAX('Activities'!K441,630))</x:f>
        <x:v>0</x:v>
      </x:c>
    </x:row>
    <x:row r="442" ht="23" customHeight="1">
      <x:c r="A442" s="6" t="str">
        <x:v>T4-L06-H</x:v>
      </x:c>
      <x:c r="B442" s="6" t="str">
        <x:v>T4</x:v>
      </x:c>
      <x:c r="C442" s="6" t="str">
        <x:v>Curing and release hold point</x:v>
      </x:c>
      <x:c r="D442" s="6" t="str">
        <x:v>Site</x:v>
      </x:c>
      <x:c r="E442" s="22" t="n">
        <x:f>MAX(0,MIN('Activities'!L442,6)-MAX('Activities'!K442,0))</x:f>
        <x:v>0</x:v>
      </x:c>
      <x:c r="F442" s="22" t="n">
        <x:f>MAX(0,MIN('Activities'!L442,12)-MAX('Activities'!K442,6))</x:f>
        <x:v>0</x:v>
      </x:c>
      <x:c r="G442" s="22" t="n">
        <x:f>MAX(0,MIN('Activities'!L442,18)-MAX('Activities'!K442,12))</x:f>
        <x:v>0</x:v>
      </x:c>
      <x:c r="H442" s="22" t="n">
        <x:f>MAX(0,MIN('Activities'!L442,24)-MAX('Activities'!K442,18))</x:f>
        <x:v>0</x:v>
      </x:c>
      <x:c r="I442" s="22" t="n">
        <x:f>MAX(0,MIN('Activities'!L442,30)-MAX('Activities'!K442,24))</x:f>
        <x:v>0</x:v>
      </x:c>
      <x:c r="J442" s="22" t="n">
        <x:f>MAX(0,MIN('Activities'!L442,36)-MAX('Activities'!K442,30))</x:f>
        <x:v>0</x:v>
      </x:c>
      <x:c r="K442" s="22" t="n">
        <x:f>MAX(0,MIN('Activities'!L442,42)-MAX('Activities'!K442,36))</x:f>
        <x:v>0</x:v>
      </x:c>
      <x:c r="L442" s="22" t="n">
        <x:f>MAX(0,MIN('Activities'!L442,48)-MAX('Activities'!K442,42))</x:f>
        <x:v>0</x:v>
      </x:c>
      <x:c r="M442" s="22" t="n">
        <x:f>MAX(0,MIN('Activities'!L442,54)-MAX('Activities'!K442,48))</x:f>
        <x:v>0</x:v>
      </x:c>
      <x:c r="N442" s="22" t="n">
        <x:f>MAX(0,MIN('Activities'!L442,60)-MAX('Activities'!K442,54))</x:f>
        <x:v>0</x:v>
      </x:c>
      <x:c r="O442" s="22" t="n">
        <x:f>MAX(0,MIN('Activities'!L442,66)-MAX('Activities'!K442,60))</x:f>
        <x:v>0</x:v>
      </x:c>
      <x:c r="P442" s="22" t="n">
        <x:f>MAX(0,MIN('Activities'!L442,72)-MAX('Activities'!K442,66))</x:f>
        <x:v>0</x:v>
      </x:c>
      <x:c r="Q442" s="22" t="n">
        <x:f>MAX(0,MIN('Activities'!L442,78)-MAX('Activities'!K442,72))</x:f>
        <x:v>0</x:v>
      </x:c>
      <x:c r="R442" s="22" t="n">
        <x:f>MAX(0,MIN('Activities'!L442,84)-MAX('Activities'!K442,78))</x:f>
        <x:v>0</x:v>
      </x:c>
      <x:c r="S442" s="22" t="n">
        <x:f>MAX(0,MIN('Activities'!L442,90)-MAX('Activities'!K442,84))</x:f>
        <x:v>0</x:v>
      </x:c>
      <x:c r="T442" s="22" t="n">
        <x:f>MAX(0,MIN('Activities'!L442,96)-MAX('Activities'!K442,90))</x:f>
        <x:v>0</x:v>
      </x:c>
      <x:c r="U442" s="22" t="n">
        <x:f>MAX(0,MIN('Activities'!L442,102)-MAX('Activities'!K442,96))</x:f>
        <x:v>0</x:v>
      </x:c>
      <x:c r="V442" s="22" t="n">
        <x:f>MAX(0,MIN('Activities'!L442,108)-MAX('Activities'!K442,102))</x:f>
        <x:v>0</x:v>
      </x:c>
      <x:c r="W442" s="22" t="n">
        <x:f>MAX(0,MIN('Activities'!L442,114)-MAX('Activities'!K442,108))</x:f>
        <x:v>0</x:v>
      </x:c>
      <x:c r="X442" s="22" t="n">
        <x:f>MAX(0,MIN('Activities'!L442,120)-MAX('Activities'!K442,114))</x:f>
        <x:v>0</x:v>
      </x:c>
      <x:c r="Y442" s="22" t="n">
        <x:f>MAX(0,MIN('Activities'!L442,126)-MAX('Activities'!K442,120))</x:f>
        <x:v>0</x:v>
      </x:c>
      <x:c r="Z442" s="22" t="n">
        <x:f>MAX(0,MIN('Activities'!L442,132)-MAX('Activities'!K442,126))</x:f>
        <x:v>0</x:v>
      </x:c>
      <x:c r="AA442" s="22" t="n">
        <x:f>MAX(0,MIN('Activities'!L442,138)-MAX('Activities'!K442,132))</x:f>
        <x:v>0</x:v>
      </x:c>
      <x:c r="AB442" s="22" t="n">
        <x:f>MAX(0,MIN('Activities'!L442,144)-MAX('Activities'!K442,138))</x:f>
        <x:v>0</x:v>
      </x:c>
      <x:c r="AC442" s="22" t="n">
        <x:f>MAX(0,MIN('Activities'!L442,150)-MAX('Activities'!K442,144))</x:f>
        <x:v>0</x:v>
      </x:c>
      <x:c r="AD442" s="22" t="n">
        <x:f>MAX(0,MIN('Activities'!L442,156)-MAX('Activities'!K442,150))</x:f>
        <x:v>0</x:v>
      </x:c>
      <x:c r="AE442" s="22" t="n">
        <x:f>MAX(0,MIN('Activities'!L442,162)-MAX('Activities'!K442,156))</x:f>
        <x:v>0</x:v>
      </x:c>
      <x:c r="AF442" s="22" t="n">
        <x:f>MAX(0,MIN('Activities'!L442,168)-MAX('Activities'!K442,162))</x:f>
        <x:v>0</x:v>
      </x:c>
      <x:c r="AG442" s="22" t="n">
        <x:f>MAX(0,MIN('Activities'!L442,174)-MAX('Activities'!K442,168))</x:f>
        <x:v>0</x:v>
      </x:c>
      <x:c r="AH442" s="22" t="n">
        <x:f>MAX(0,MIN('Activities'!L442,180)-MAX('Activities'!K442,174))</x:f>
        <x:v>0</x:v>
      </x:c>
      <x:c r="AI442" s="22" t="n">
        <x:f>MAX(0,MIN('Activities'!L442,186)-MAX('Activities'!K442,180))</x:f>
        <x:v>0</x:v>
      </x:c>
      <x:c r="AJ442" s="22" t="n">
        <x:f>MAX(0,MIN('Activities'!L442,192)-MAX('Activities'!K442,186))</x:f>
        <x:v>0</x:v>
      </x:c>
      <x:c r="AK442" s="22" t="n">
        <x:f>MAX(0,MIN('Activities'!L442,198)-MAX('Activities'!K442,192))</x:f>
        <x:v>0</x:v>
      </x:c>
      <x:c r="AL442" s="22" t="n">
        <x:f>MAX(0,MIN('Activities'!L442,204)-MAX('Activities'!K442,198))</x:f>
        <x:v>0</x:v>
      </x:c>
      <x:c r="AM442" s="22" t="n">
        <x:f>MAX(0,MIN('Activities'!L442,210)-MAX('Activities'!K442,204))</x:f>
        <x:v>0</x:v>
      </x:c>
      <x:c r="AN442" s="22" t="n">
        <x:f>MAX(0,MIN('Activities'!L442,216)-MAX('Activities'!K442,210))</x:f>
        <x:v>0</x:v>
      </x:c>
      <x:c r="AO442" s="22" t="n">
        <x:f>MAX(0,MIN('Activities'!L442,222)-MAX('Activities'!K442,216))</x:f>
        <x:v>0</x:v>
      </x:c>
      <x:c r="AP442" s="22" t="n">
        <x:f>MAX(0,MIN('Activities'!L442,228)-MAX('Activities'!K442,222))</x:f>
        <x:v>0</x:v>
      </x:c>
      <x:c r="AQ442" s="22" t="n">
        <x:f>MAX(0,MIN('Activities'!L442,234)-MAX('Activities'!K442,228))</x:f>
        <x:v>0</x:v>
      </x:c>
      <x:c r="AR442" s="22" t="n">
        <x:f>MAX(0,MIN('Activities'!L442,240)-MAX('Activities'!K442,234))</x:f>
        <x:v>0</x:v>
      </x:c>
      <x:c r="AS442" s="22" t="n">
        <x:f>MAX(0,MIN('Activities'!L442,246)-MAX('Activities'!K442,240))</x:f>
        <x:v>0</x:v>
      </x:c>
      <x:c r="AT442" s="22" t="n">
        <x:f>MAX(0,MIN('Activities'!L442,252)-MAX('Activities'!K442,246))</x:f>
        <x:v>0</x:v>
      </x:c>
      <x:c r="AU442" s="22" t="n">
        <x:f>MAX(0,MIN('Activities'!L442,258)-MAX('Activities'!K442,252))</x:f>
        <x:v>0</x:v>
      </x:c>
      <x:c r="AV442" s="22" t="n">
        <x:f>MAX(0,MIN('Activities'!L442,264)-MAX('Activities'!K442,258))</x:f>
        <x:v>0</x:v>
      </x:c>
      <x:c r="AW442" s="22" t="n">
        <x:f>MAX(0,MIN('Activities'!L442,270)-MAX('Activities'!K442,264))</x:f>
        <x:v>0</x:v>
      </x:c>
      <x:c r="AX442" s="22" t="n">
        <x:f>MAX(0,MIN('Activities'!L442,276)-MAX('Activities'!K442,270))</x:f>
        <x:v>0</x:v>
      </x:c>
      <x:c r="AY442" s="22" t="n">
        <x:f>MAX(0,MIN('Activities'!L442,282)-MAX('Activities'!K442,276))</x:f>
        <x:v>0</x:v>
      </x:c>
      <x:c r="AZ442" s="22" t="n">
        <x:f>MAX(0,MIN('Activities'!L442,288)-MAX('Activities'!K442,282))</x:f>
        <x:v>0</x:v>
      </x:c>
      <x:c r="BA442" s="22" t="n">
        <x:f>MAX(0,MIN('Activities'!L442,294)-MAX('Activities'!K442,288))</x:f>
        <x:v>3</x:v>
      </x:c>
      <x:c r="BB442" s="22" t="n">
        <x:f>MAX(0,MIN('Activities'!L442,300)-MAX('Activities'!K442,294))</x:f>
        <x:v>2</x:v>
      </x:c>
      <x:c r="BC442" s="22" t="n">
        <x:f>MAX(0,MIN('Activities'!L442,306)-MAX('Activities'!K442,300))</x:f>
        <x:v>0</x:v>
      </x:c>
      <x:c r="BD442" s="22" t="n">
        <x:f>MAX(0,MIN('Activities'!L442,312)-MAX('Activities'!K442,306))</x:f>
        <x:v>0</x:v>
      </x:c>
      <x:c r="BE442" s="22" t="n">
        <x:f>MAX(0,MIN('Activities'!L442,318)-MAX('Activities'!K442,312))</x:f>
        <x:v>0</x:v>
      </x:c>
      <x:c r="BF442" s="22" t="n">
        <x:f>MAX(0,MIN('Activities'!L442,324)-MAX('Activities'!K442,318))</x:f>
        <x:v>0</x:v>
      </x:c>
      <x:c r="BG442" s="22" t="n">
        <x:f>MAX(0,MIN('Activities'!L442,330)-MAX('Activities'!K442,324))</x:f>
        <x:v>0</x:v>
      </x:c>
      <x:c r="BH442" s="22" t="n">
        <x:f>MAX(0,MIN('Activities'!L442,336)-MAX('Activities'!K442,330))</x:f>
        <x:v>0</x:v>
      </x:c>
      <x:c r="BI442" s="22" t="n">
        <x:f>MAX(0,MIN('Activities'!L442,342)-MAX('Activities'!K442,336))</x:f>
        <x:v>0</x:v>
      </x:c>
      <x:c r="BJ442" s="22" t="n">
        <x:f>MAX(0,MIN('Activities'!L442,348)-MAX('Activities'!K442,342))</x:f>
        <x:v>0</x:v>
      </x:c>
      <x:c r="BK442" s="22" t="n">
        <x:f>MAX(0,MIN('Activities'!L442,354)-MAX('Activities'!K442,348))</x:f>
        <x:v>0</x:v>
      </x:c>
      <x:c r="BL442" s="22" t="n">
        <x:f>MAX(0,MIN('Activities'!L442,360)-MAX('Activities'!K442,354))</x:f>
        <x:v>0</x:v>
      </x:c>
      <x:c r="BM442" s="22" t="n">
        <x:f>MAX(0,MIN('Activities'!L442,366)-MAX('Activities'!K442,360))</x:f>
        <x:v>0</x:v>
      </x:c>
      <x:c r="BN442" s="22" t="n">
        <x:f>MAX(0,MIN('Activities'!L442,372)-MAX('Activities'!K442,366))</x:f>
        <x:v>0</x:v>
      </x:c>
      <x:c r="BO442" s="22" t="n">
        <x:f>MAX(0,MIN('Activities'!L442,378)-MAX('Activities'!K442,372))</x:f>
        <x:v>0</x:v>
      </x:c>
      <x:c r="BP442" s="22" t="n">
        <x:f>MAX(0,MIN('Activities'!L442,384)-MAX('Activities'!K442,378))</x:f>
        <x:v>0</x:v>
      </x:c>
      <x:c r="BQ442" s="22" t="n">
        <x:f>MAX(0,MIN('Activities'!L442,390)-MAX('Activities'!K442,384))</x:f>
        <x:v>0</x:v>
      </x:c>
      <x:c r="BR442" s="22" t="n">
        <x:f>MAX(0,MIN('Activities'!L442,396)-MAX('Activities'!K442,390))</x:f>
        <x:v>0</x:v>
      </x:c>
      <x:c r="BS442" s="22" t="n">
        <x:f>MAX(0,MIN('Activities'!L442,402)-MAX('Activities'!K442,396))</x:f>
        <x:v>0</x:v>
      </x:c>
      <x:c r="BT442" s="22" t="n">
        <x:f>MAX(0,MIN('Activities'!L442,408)-MAX('Activities'!K442,402))</x:f>
        <x:v>0</x:v>
      </x:c>
      <x:c r="BU442" s="22" t="n">
        <x:f>MAX(0,MIN('Activities'!L442,414)-MAX('Activities'!K442,408))</x:f>
        <x:v>0</x:v>
      </x:c>
      <x:c r="BV442" s="22" t="n">
        <x:f>MAX(0,MIN('Activities'!L442,420)-MAX('Activities'!K442,414))</x:f>
        <x:v>0</x:v>
      </x:c>
      <x:c r="BW442" s="22" t="n">
        <x:f>MAX(0,MIN('Activities'!L442,426)-MAX('Activities'!K442,420))</x:f>
        <x:v>0</x:v>
      </x:c>
      <x:c r="BX442" s="22" t="n">
        <x:f>MAX(0,MIN('Activities'!L442,432)-MAX('Activities'!K442,426))</x:f>
        <x:v>0</x:v>
      </x:c>
      <x:c r="BY442" s="22" t="n">
        <x:f>MAX(0,MIN('Activities'!L442,438)-MAX('Activities'!K442,432))</x:f>
        <x:v>0</x:v>
      </x:c>
      <x:c r="BZ442" s="22" t="n">
        <x:f>MAX(0,MIN('Activities'!L442,444)-MAX('Activities'!K442,438))</x:f>
        <x:v>0</x:v>
      </x:c>
      <x:c r="CA442" s="22" t="n">
        <x:f>MAX(0,MIN('Activities'!L442,450)-MAX('Activities'!K442,444))</x:f>
        <x:v>0</x:v>
      </x:c>
      <x:c r="CB442" s="22" t="n">
        <x:f>MAX(0,MIN('Activities'!L442,456)-MAX('Activities'!K442,450))</x:f>
        <x:v>0</x:v>
      </x:c>
      <x:c r="CC442" s="22" t="n">
        <x:f>MAX(0,MIN('Activities'!L442,462)-MAX('Activities'!K442,456))</x:f>
        <x:v>0</x:v>
      </x:c>
      <x:c r="CD442" s="22" t="n">
        <x:f>MAX(0,MIN('Activities'!L442,468)-MAX('Activities'!K442,462))</x:f>
        <x:v>0</x:v>
      </x:c>
      <x:c r="CE442" s="22" t="n">
        <x:f>MAX(0,MIN('Activities'!L442,474)-MAX('Activities'!K442,468))</x:f>
        <x:v>0</x:v>
      </x:c>
      <x:c r="CF442" s="22" t="n">
        <x:f>MAX(0,MIN('Activities'!L442,480)-MAX('Activities'!K442,474))</x:f>
        <x:v>0</x:v>
      </x:c>
      <x:c r="CG442" s="22" t="n">
        <x:f>MAX(0,MIN('Activities'!L442,486)-MAX('Activities'!K442,480))</x:f>
        <x:v>0</x:v>
      </x:c>
      <x:c r="CH442" s="22" t="n">
        <x:f>MAX(0,MIN('Activities'!L442,492)-MAX('Activities'!K442,486))</x:f>
        <x:v>0</x:v>
      </x:c>
      <x:c r="CI442" s="22" t="n">
        <x:f>MAX(0,MIN('Activities'!L442,498)-MAX('Activities'!K442,492))</x:f>
        <x:v>0</x:v>
      </x:c>
      <x:c r="CJ442" s="22" t="n">
        <x:f>MAX(0,MIN('Activities'!L442,504)-MAX('Activities'!K442,498))</x:f>
        <x:v>0</x:v>
      </x:c>
      <x:c r="CK442" s="22" t="n">
        <x:f>MAX(0,MIN('Activities'!L442,510)-MAX('Activities'!K442,504))</x:f>
        <x:v>0</x:v>
      </x:c>
      <x:c r="CL442" s="22" t="n">
        <x:f>MAX(0,MIN('Activities'!L442,516)-MAX('Activities'!K442,510))</x:f>
        <x:v>0</x:v>
      </x:c>
      <x:c r="CM442" s="22" t="n">
        <x:f>MAX(0,MIN('Activities'!L442,522)-MAX('Activities'!K442,516))</x:f>
        <x:v>0</x:v>
      </x:c>
      <x:c r="CN442" s="22" t="n">
        <x:f>MAX(0,MIN('Activities'!L442,528)-MAX('Activities'!K442,522))</x:f>
        <x:v>0</x:v>
      </x:c>
      <x:c r="CO442" s="22" t="n">
        <x:f>MAX(0,MIN('Activities'!L442,534)-MAX('Activities'!K442,528))</x:f>
        <x:v>0</x:v>
      </x:c>
      <x:c r="CP442" s="22" t="n">
        <x:f>MAX(0,MIN('Activities'!L442,540)-MAX('Activities'!K442,534))</x:f>
        <x:v>0</x:v>
      </x:c>
      <x:c r="CQ442" s="22" t="n">
        <x:f>MAX(0,MIN('Activities'!L442,546)-MAX('Activities'!K442,540))</x:f>
        <x:v>0</x:v>
      </x:c>
      <x:c r="CR442" s="22" t="n">
        <x:f>MAX(0,MIN('Activities'!L442,552)-MAX('Activities'!K442,546))</x:f>
        <x:v>0</x:v>
      </x:c>
      <x:c r="CS442" s="22" t="n">
        <x:f>MAX(0,MIN('Activities'!L442,558)-MAX('Activities'!K442,552))</x:f>
        <x:v>0</x:v>
      </x:c>
      <x:c r="CT442" s="22" t="n">
        <x:f>MAX(0,MIN('Activities'!L442,564)-MAX('Activities'!K442,558))</x:f>
        <x:v>0</x:v>
      </x:c>
      <x:c r="CU442" s="22" t="n">
        <x:f>MAX(0,MIN('Activities'!L442,570)-MAX('Activities'!K442,564))</x:f>
        <x:v>0</x:v>
      </x:c>
      <x:c r="CV442" s="22" t="n">
        <x:f>MAX(0,MIN('Activities'!L442,576)-MAX('Activities'!K442,570))</x:f>
        <x:v>0</x:v>
      </x:c>
      <x:c r="CW442" s="22" t="n">
        <x:f>MAX(0,MIN('Activities'!L442,582)-MAX('Activities'!K442,576))</x:f>
        <x:v>0</x:v>
      </x:c>
      <x:c r="CX442" s="22" t="n">
        <x:f>MAX(0,MIN('Activities'!L442,588)-MAX('Activities'!K442,582))</x:f>
        <x:v>0</x:v>
      </x:c>
      <x:c r="CY442" s="22" t="n">
        <x:f>MAX(0,MIN('Activities'!L442,594)-MAX('Activities'!K442,588))</x:f>
        <x:v>0</x:v>
      </x:c>
      <x:c r="CZ442" s="22" t="n">
        <x:f>MAX(0,MIN('Activities'!L442,600)-MAX('Activities'!K442,594))</x:f>
        <x:v>0</x:v>
      </x:c>
      <x:c r="DA442" s="22" t="n">
        <x:f>MAX(0,MIN('Activities'!L442,606)-MAX('Activities'!K442,600))</x:f>
        <x:v>0</x:v>
      </x:c>
      <x:c r="DB442" s="22" t="n">
        <x:f>MAX(0,MIN('Activities'!L442,612)-MAX('Activities'!K442,606))</x:f>
        <x:v>0</x:v>
      </x:c>
      <x:c r="DC442" s="22" t="n">
        <x:f>MAX(0,MIN('Activities'!L442,618)-MAX('Activities'!K442,612))</x:f>
        <x:v>0</x:v>
      </x:c>
      <x:c r="DD442" s="22" t="n">
        <x:f>MAX(0,MIN('Activities'!L442,624)-MAX('Activities'!K442,618))</x:f>
        <x:v>0</x:v>
      </x:c>
      <x:c r="DE442" s="22" t="n">
        <x:f>MAX(0,MIN('Activities'!L442,630)-MAX('Activities'!K442,624))</x:f>
        <x:v>0</x:v>
      </x:c>
      <x:c r="DF442" s="22" t="n">
        <x:f>MAX(0,MIN('Activities'!L442,636)-MAX('Activities'!K442,630))</x:f>
        <x:v>0</x:v>
      </x:c>
    </x:row>
    <x:row r="443" ht="23" customHeight="1">
      <x:c r="A443" s="1" t="str">
        <x:v>T4-L07-F</x:v>
      </x:c>
      <x:c r="B443" s="1" t="str">
        <x:v>T4</x:v>
      </x:c>
      <x:c r="C443" s="1" t="str">
        <x:v>Columns, core and deck formwork</x:v>
      </x:c>
      <x:c r="D443" s="1" t="str">
        <x:v>Formwork</x:v>
      </x:c>
      <x:c r="E443" s="23" t="n">
        <x:f>MAX(0,MIN('Activities'!L443,6)-MAX('Activities'!K443,0))</x:f>
        <x:v>0</x:v>
      </x:c>
      <x:c r="F443" s="23" t="n">
        <x:f>MAX(0,MIN('Activities'!L443,12)-MAX('Activities'!K443,6))</x:f>
        <x:v>0</x:v>
      </x:c>
      <x:c r="G443" s="23" t="n">
        <x:f>MAX(0,MIN('Activities'!L443,18)-MAX('Activities'!K443,12))</x:f>
        <x:v>0</x:v>
      </x:c>
      <x:c r="H443" s="23" t="n">
        <x:f>MAX(0,MIN('Activities'!L443,24)-MAX('Activities'!K443,18))</x:f>
        <x:v>0</x:v>
      </x:c>
      <x:c r="I443" s="23" t="n">
        <x:f>MAX(0,MIN('Activities'!L443,30)-MAX('Activities'!K443,24))</x:f>
        <x:v>0</x:v>
      </x:c>
      <x:c r="J443" s="23" t="n">
        <x:f>MAX(0,MIN('Activities'!L443,36)-MAX('Activities'!K443,30))</x:f>
        <x:v>0</x:v>
      </x:c>
      <x:c r="K443" s="23" t="n">
        <x:f>MAX(0,MIN('Activities'!L443,42)-MAX('Activities'!K443,36))</x:f>
        <x:v>0</x:v>
      </x:c>
      <x:c r="L443" s="23" t="n">
        <x:f>MAX(0,MIN('Activities'!L443,48)-MAX('Activities'!K443,42))</x:f>
        <x:v>0</x:v>
      </x:c>
      <x:c r="M443" s="23" t="n">
        <x:f>MAX(0,MIN('Activities'!L443,54)-MAX('Activities'!K443,48))</x:f>
        <x:v>0</x:v>
      </x:c>
      <x:c r="N443" s="23" t="n">
        <x:f>MAX(0,MIN('Activities'!L443,60)-MAX('Activities'!K443,54))</x:f>
        <x:v>0</x:v>
      </x:c>
      <x:c r="O443" s="23" t="n">
        <x:f>MAX(0,MIN('Activities'!L443,66)-MAX('Activities'!K443,60))</x:f>
        <x:v>0</x:v>
      </x:c>
      <x:c r="P443" s="23" t="n">
        <x:f>MAX(0,MIN('Activities'!L443,72)-MAX('Activities'!K443,66))</x:f>
        <x:v>0</x:v>
      </x:c>
      <x:c r="Q443" s="23" t="n">
        <x:f>MAX(0,MIN('Activities'!L443,78)-MAX('Activities'!K443,72))</x:f>
        <x:v>0</x:v>
      </x:c>
      <x:c r="R443" s="23" t="n">
        <x:f>MAX(0,MIN('Activities'!L443,84)-MAX('Activities'!K443,78))</x:f>
        <x:v>0</x:v>
      </x:c>
      <x:c r="S443" s="23" t="n">
        <x:f>MAX(0,MIN('Activities'!L443,90)-MAX('Activities'!K443,84))</x:f>
        <x:v>0</x:v>
      </x:c>
      <x:c r="T443" s="23" t="n">
        <x:f>MAX(0,MIN('Activities'!L443,96)-MAX('Activities'!K443,90))</x:f>
        <x:v>0</x:v>
      </x:c>
      <x:c r="U443" s="23" t="n">
        <x:f>MAX(0,MIN('Activities'!L443,102)-MAX('Activities'!K443,96))</x:f>
        <x:v>0</x:v>
      </x:c>
      <x:c r="V443" s="23" t="n">
        <x:f>MAX(0,MIN('Activities'!L443,108)-MAX('Activities'!K443,102))</x:f>
        <x:v>0</x:v>
      </x:c>
      <x:c r="W443" s="23" t="n">
        <x:f>MAX(0,MIN('Activities'!L443,114)-MAX('Activities'!K443,108))</x:f>
        <x:v>0</x:v>
      </x:c>
      <x:c r="X443" s="23" t="n">
        <x:f>MAX(0,MIN('Activities'!L443,120)-MAX('Activities'!K443,114))</x:f>
        <x:v>0</x:v>
      </x:c>
      <x:c r="Y443" s="23" t="n">
        <x:f>MAX(0,MIN('Activities'!L443,126)-MAX('Activities'!K443,120))</x:f>
        <x:v>0</x:v>
      </x:c>
      <x:c r="Z443" s="23" t="n">
        <x:f>MAX(0,MIN('Activities'!L443,132)-MAX('Activities'!K443,126))</x:f>
        <x:v>0</x:v>
      </x:c>
      <x:c r="AA443" s="23" t="n">
        <x:f>MAX(0,MIN('Activities'!L443,138)-MAX('Activities'!K443,132))</x:f>
        <x:v>0</x:v>
      </x:c>
      <x:c r="AB443" s="23" t="n">
        <x:f>MAX(0,MIN('Activities'!L443,144)-MAX('Activities'!K443,138))</x:f>
        <x:v>0</x:v>
      </x:c>
      <x:c r="AC443" s="23" t="n">
        <x:f>MAX(0,MIN('Activities'!L443,150)-MAX('Activities'!K443,144))</x:f>
        <x:v>0</x:v>
      </x:c>
      <x:c r="AD443" s="23" t="n">
        <x:f>MAX(0,MIN('Activities'!L443,156)-MAX('Activities'!K443,150))</x:f>
        <x:v>0</x:v>
      </x:c>
      <x:c r="AE443" s="23" t="n">
        <x:f>MAX(0,MIN('Activities'!L443,162)-MAX('Activities'!K443,156))</x:f>
        <x:v>0</x:v>
      </x:c>
      <x:c r="AF443" s="23" t="n">
        <x:f>MAX(0,MIN('Activities'!L443,168)-MAX('Activities'!K443,162))</x:f>
        <x:v>0</x:v>
      </x:c>
      <x:c r="AG443" s="23" t="n">
        <x:f>MAX(0,MIN('Activities'!L443,174)-MAX('Activities'!K443,168))</x:f>
        <x:v>0</x:v>
      </x:c>
      <x:c r="AH443" s="23" t="n">
        <x:f>MAX(0,MIN('Activities'!L443,180)-MAX('Activities'!K443,174))</x:f>
        <x:v>0</x:v>
      </x:c>
      <x:c r="AI443" s="23" t="n">
        <x:f>MAX(0,MIN('Activities'!L443,186)-MAX('Activities'!K443,180))</x:f>
        <x:v>0</x:v>
      </x:c>
      <x:c r="AJ443" s="23" t="n">
        <x:f>MAX(0,MIN('Activities'!L443,192)-MAX('Activities'!K443,186))</x:f>
        <x:v>0</x:v>
      </x:c>
      <x:c r="AK443" s="23" t="n">
        <x:f>MAX(0,MIN('Activities'!L443,198)-MAX('Activities'!K443,192))</x:f>
        <x:v>0</x:v>
      </x:c>
      <x:c r="AL443" s="23" t="n">
        <x:f>MAX(0,MIN('Activities'!L443,204)-MAX('Activities'!K443,198))</x:f>
        <x:v>0</x:v>
      </x:c>
      <x:c r="AM443" s="23" t="n">
        <x:f>MAX(0,MIN('Activities'!L443,210)-MAX('Activities'!K443,204))</x:f>
        <x:v>0</x:v>
      </x:c>
      <x:c r="AN443" s="23" t="n">
        <x:f>MAX(0,MIN('Activities'!L443,216)-MAX('Activities'!K443,210))</x:f>
        <x:v>0</x:v>
      </x:c>
      <x:c r="AO443" s="23" t="n">
        <x:f>MAX(0,MIN('Activities'!L443,222)-MAX('Activities'!K443,216))</x:f>
        <x:v>0</x:v>
      </x:c>
      <x:c r="AP443" s="23" t="n">
        <x:f>MAX(0,MIN('Activities'!L443,228)-MAX('Activities'!K443,222))</x:f>
        <x:v>0</x:v>
      </x:c>
      <x:c r="AQ443" s="23" t="n">
        <x:f>MAX(0,MIN('Activities'!L443,234)-MAX('Activities'!K443,228))</x:f>
        <x:v>0</x:v>
      </x:c>
      <x:c r="AR443" s="23" t="n">
        <x:f>MAX(0,MIN('Activities'!L443,240)-MAX('Activities'!K443,234))</x:f>
        <x:v>0</x:v>
      </x:c>
      <x:c r="AS443" s="23" t="n">
        <x:f>MAX(0,MIN('Activities'!L443,246)-MAX('Activities'!K443,240))</x:f>
        <x:v>0</x:v>
      </x:c>
      <x:c r="AT443" s="23" t="n">
        <x:f>MAX(0,MIN('Activities'!L443,252)-MAX('Activities'!K443,246))</x:f>
        <x:v>0</x:v>
      </x:c>
      <x:c r="AU443" s="23" t="n">
        <x:f>MAX(0,MIN('Activities'!L443,258)-MAX('Activities'!K443,252))</x:f>
        <x:v>0</x:v>
      </x:c>
      <x:c r="AV443" s="23" t="n">
        <x:f>MAX(0,MIN('Activities'!L443,264)-MAX('Activities'!K443,258))</x:f>
        <x:v>0</x:v>
      </x:c>
      <x:c r="AW443" s="23" t="n">
        <x:f>MAX(0,MIN('Activities'!L443,270)-MAX('Activities'!K443,264))</x:f>
        <x:v>0</x:v>
      </x:c>
      <x:c r="AX443" s="23" t="n">
        <x:f>MAX(0,MIN('Activities'!L443,276)-MAX('Activities'!K443,270))</x:f>
        <x:v>0</x:v>
      </x:c>
      <x:c r="AY443" s="23" t="n">
        <x:f>MAX(0,MIN('Activities'!L443,282)-MAX('Activities'!K443,276))</x:f>
        <x:v>0</x:v>
      </x:c>
      <x:c r="AZ443" s="23" t="n">
        <x:f>MAX(0,MIN('Activities'!L443,288)-MAX('Activities'!K443,282))</x:f>
        <x:v>0</x:v>
      </x:c>
      <x:c r="BA443" s="23" t="n">
        <x:f>MAX(0,MIN('Activities'!L443,294)-MAX('Activities'!K443,288))</x:f>
        <x:v>0</x:v>
      </x:c>
      <x:c r="BB443" s="23" t="n">
        <x:f>MAX(0,MIN('Activities'!L443,300)-MAX('Activities'!K443,294))</x:f>
        <x:v>4</x:v>
      </x:c>
      <x:c r="BC443" s="23" t="n">
        <x:f>MAX(0,MIN('Activities'!L443,306)-MAX('Activities'!K443,300))</x:f>
        <x:v>2</x:v>
      </x:c>
      <x:c r="BD443" s="23" t="n">
        <x:f>MAX(0,MIN('Activities'!L443,312)-MAX('Activities'!K443,306))</x:f>
        <x:v>0</x:v>
      </x:c>
      <x:c r="BE443" s="23" t="n">
        <x:f>MAX(0,MIN('Activities'!L443,318)-MAX('Activities'!K443,312))</x:f>
        <x:v>0</x:v>
      </x:c>
      <x:c r="BF443" s="23" t="n">
        <x:f>MAX(0,MIN('Activities'!L443,324)-MAX('Activities'!K443,318))</x:f>
        <x:v>0</x:v>
      </x:c>
      <x:c r="BG443" s="23" t="n">
        <x:f>MAX(0,MIN('Activities'!L443,330)-MAX('Activities'!K443,324))</x:f>
        <x:v>0</x:v>
      </x:c>
      <x:c r="BH443" s="23" t="n">
        <x:f>MAX(0,MIN('Activities'!L443,336)-MAX('Activities'!K443,330))</x:f>
        <x:v>0</x:v>
      </x:c>
      <x:c r="BI443" s="23" t="n">
        <x:f>MAX(0,MIN('Activities'!L443,342)-MAX('Activities'!K443,336))</x:f>
        <x:v>0</x:v>
      </x:c>
      <x:c r="BJ443" s="23" t="n">
        <x:f>MAX(0,MIN('Activities'!L443,348)-MAX('Activities'!K443,342))</x:f>
        <x:v>0</x:v>
      </x:c>
      <x:c r="BK443" s="23" t="n">
        <x:f>MAX(0,MIN('Activities'!L443,354)-MAX('Activities'!K443,348))</x:f>
        <x:v>0</x:v>
      </x:c>
      <x:c r="BL443" s="23" t="n">
        <x:f>MAX(0,MIN('Activities'!L443,360)-MAX('Activities'!K443,354))</x:f>
        <x:v>0</x:v>
      </x:c>
      <x:c r="BM443" s="23" t="n">
        <x:f>MAX(0,MIN('Activities'!L443,366)-MAX('Activities'!K443,360))</x:f>
        <x:v>0</x:v>
      </x:c>
      <x:c r="BN443" s="23" t="n">
        <x:f>MAX(0,MIN('Activities'!L443,372)-MAX('Activities'!K443,366))</x:f>
        <x:v>0</x:v>
      </x:c>
      <x:c r="BO443" s="23" t="n">
        <x:f>MAX(0,MIN('Activities'!L443,378)-MAX('Activities'!K443,372))</x:f>
        <x:v>0</x:v>
      </x:c>
      <x:c r="BP443" s="23" t="n">
        <x:f>MAX(0,MIN('Activities'!L443,384)-MAX('Activities'!K443,378))</x:f>
        <x:v>0</x:v>
      </x:c>
      <x:c r="BQ443" s="23" t="n">
        <x:f>MAX(0,MIN('Activities'!L443,390)-MAX('Activities'!K443,384))</x:f>
        <x:v>0</x:v>
      </x:c>
      <x:c r="BR443" s="23" t="n">
        <x:f>MAX(0,MIN('Activities'!L443,396)-MAX('Activities'!K443,390))</x:f>
        <x:v>0</x:v>
      </x:c>
      <x:c r="BS443" s="23" t="n">
        <x:f>MAX(0,MIN('Activities'!L443,402)-MAX('Activities'!K443,396))</x:f>
        <x:v>0</x:v>
      </x:c>
      <x:c r="BT443" s="23" t="n">
        <x:f>MAX(0,MIN('Activities'!L443,408)-MAX('Activities'!K443,402))</x:f>
        <x:v>0</x:v>
      </x:c>
      <x:c r="BU443" s="23" t="n">
        <x:f>MAX(0,MIN('Activities'!L443,414)-MAX('Activities'!K443,408))</x:f>
        <x:v>0</x:v>
      </x:c>
      <x:c r="BV443" s="23" t="n">
        <x:f>MAX(0,MIN('Activities'!L443,420)-MAX('Activities'!K443,414))</x:f>
        <x:v>0</x:v>
      </x:c>
      <x:c r="BW443" s="23" t="n">
        <x:f>MAX(0,MIN('Activities'!L443,426)-MAX('Activities'!K443,420))</x:f>
        <x:v>0</x:v>
      </x:c>
      <x:c r="BX443" s="23" t="n">
        <x:f>MAX(0,MIN('Activities'!L443,432)-MAX('Activities'!K443,426))</x:f>
        <x:v>0</x:v>
      </x:c>
      <x:c r="BY443" s="23" t="n">
        <x:f>MAX(0,MIN('Activities'!L443,438)-MAX('Activities'!K443,432))</x:f>
        <x:v>0</x:v>
      </x:c>
      <x:c r="BZ443" s="23" t="n">
        <x:f>MAX(0,MIN('Activities'!L443,444)-MAX('Activities'!K443,438))</x:f>
        <x:v>0</x:v>
      </x:c>
      <x:c r="CA443" s="23" t="n">
        <x:f>MAX(0,MIN('Activities'!L443,450)-MAX('Activities'!K443,444))</x:f>
        <x:v>0</x:v>
      </x:c>
      <x:c r="CB443" s="23" t="n">
        <x:f>MAX(0,MIN('Activities'!L443,456)-MAX('Activities'!K443,450))</x:f>
        <x:v>0</x:v>
      </x:c>
      <x:c r="CC443" s="23" t="n">
        <x:f>MAX(0,MIN('Activities'!L443,462)-MAX('Activities'!K443,456))</x:f>
        <x:v>0</x:v>
      </x:c>
      <x:c r="CD443" s="23" t="n">
        <x:f>MAX(0,MIN('Activities'!L443,468)-MAX('Activities'!K443,462))</x:f>
        <x:v>0</x:v>
      </x:c>
      <x:c r="CE443" s="23" t="n">
        <x:f>MAX(0,MIN('Activities'!L443,474)-MAX('Activities'!K443,468))</x:f>
        <x:v>0</x:v>
      </x:c>
      <x:c r="CF443" s="23" t="n">
        <x:f>MAX(0,MIN('Activities'!L443,480)-MAX('Activities'!K443,474))</x:f>
        <x:v>0</x:v>
      </x:c>
      <x:c r="CG443" s="23" t="n">
        <x:f>MAX(0,MIN('Activities'!L443,486)-MAX('Activities'!K443,480))</x:f>
        <x:v>0</x:v>
      </x:c>
      <x:c r="CH443" s="23" t="n">
        <x:f>MAX(0,MIN('Activities'!L443,492)-MAX('Activities'!K443,486))</x:f>
        <x:v>0</x:v>
      </x:c>
      <x:c r="CI443" s="23" t="n">
        <x:f>MAX(0,MIN('Activities'!L443,498)-MAX('Activities'!K443,492))</x:f>
        <x:v>0</x:v>
      </x:c>
      <x:c r="CJ443" s="23" t="n">
        <x:f>MAX(0,MIN('Activities'!L443,504)-MAX('Activities'!K443,498))</x:f>
        <x:v>0</x:v>
      </x:c>
      <x:c r="CK443" s="23" t="n">
        <x:f>MAX(0,MIN('Activities'!L443,510)-MAX('Activities'!K443,504))</x:f>
        <x:v>0</x:v>
      </x:c>
      <x:c r="CL443" s="23" t="n">
        <x:f>MAX(0,MIN('Activities'!L443,516)-MAX('Activities'!K443,510))</x:f>
        <x:v>0</x:v>
      </x:c>
      <x:c r="CM443" s="23" t="n">
        <x:f>MAX(0,MIN('Activities'!L443,522)-MAX('Activities'!K443,516))</x:f>
        <x:v>0</x:v>
      </x:c>
      <x:c r="CN443" s="23" t="n">
        <x:f>MAX(0,MIN('Activities'!L443,528)-MAX('Activities'!K443,522))</x:f>
        <x:v>0</x:v>
      </x:c>
      <x:c r="CO443" s="23" t="n">
        <x:f>MAX(0,MIN('Activities'!L443,534)-MAX('Activities'!K443,528))</x:f>
        <x:v>0</x:v>
      </x:c>
      <x:c r="CP443" s="23" t="n">
        <x:f>MAX(0,MIN('Activities'!L443,540)-MAX('Activities'!K443,534))</x:f>
        <x:v>0</x:v>
      </x:c>
      <x:c r="CQ443" s="23" t="n">
        <x:f>MAX(0,MIN('Activities'!L443,546)-MAX('Activities'!K443,540))</x:f>
        <x:v>0</x:v>
      </x:c>
      <x:c r="CR443" s="23" t="n">
        <x:f>MAX(0,MIN('Activities'!L443,552)-MAX('Activities'!K443,546))</x:f>
        <x:v>0</x:v>
      </x:c>
      <x:c r="CS443" s="23" t="n">
        <x:f>MAX(0,MIN('Activities'!L443,558)-MAX('Activities'!K443,552))</x:f>
        <x:v>0</x:v>
      </x:c>
      <x:c r="CT443" s="23" t="n">
        <x:f>MAX(0,MIN('Activities'!L443,564)-MAX('Activities'!K443,558))</x:f>
        <x:v>0</x:v>
      </x:c>
      <x:c r="CU443" s="23" t="n">
        <x:f>MAX(0,MIN('Activities'!L443,570)-MAX('Activities'!K443,564))</x:f>
        <x:v>0</x:v>
      </x:c>
      <x:c r="CV443" s="23" t="n">
        <x:f>MAX(0,MIN('Activities'!L443,576)-MAX('Activities'!K443,570))</x:f>
        <x:v>0</x:v>
      </x:c>
      <x:c r="CW443" s="23" t="n">
        <x:f>MAX(0,MIN('Activities'!L443,582)-MAX('Activities'!K443,576))</x:f>
        <x:v>0</x:v>
      </x:c>
      <x:c r="CX443" s="23" t="n">
        <x:f>MAX(0,MIN('Activities'!L443,588)-MAX('Activities'!K443,582))</x:f>
        <x:v>0</x:v>
      </x:c>
      <x:c r="CY443" s="23" t="n">
        <x:f>MAX(0,MIN('Activities'!L443,594)-MAX('Activities'!K443,588))</x:f>
        <x:v>0</x:v>
      </x:c>
      <x:c r="CZ443" s="23" t="n">
        <x:f>MAX(0,MIN('Activities'!L443,600)-MAX('Activities'!K443,594))</x:f>
        <x:v>0</x:v>
      </x:c>
      <x:c r="DA443" s="23" t="n">
        <x:f>MAX(0,MIN('Activities'!L443,606)-MAX('Activities'!K443,600))</x:f>
        <x:v>0</x:v>
      </x:c>
      <x:c r="DB443" s="23" t="n">
        <x:f>MAX(0,MIN('Activities'!L443,612)-MAX('Activities'!K443,606))</x:f>
        <x:v>0</x:v>
      </x:c>
      <x:c r="DC443" s="23" t="n">
        <x:f>MAX(0,MIN('Activities'!L443,618)-MAX('Activities'!K443,612))</x:f>
        <x:v>0</x:v>
      </x:c>
      <x:c r="DD443" s="23" t="n">
        <x:f>MAX(0,MIN('Activities'!L443,624)-MAX('Activities'!K443,618))</x:f>
        <x:v>0</x:v>
      </x:c>
      <x:c r="DE443" s="23" t="n">
        <x:f>MAX(0,MIN('Activities'!L443,630)-MAX('Activities'!K443,624))</x:f>
        <x:v>0</x:v>
      </x:c>
      <x:c r="DF443" s="23" t="n">
        <x:f>MAX(0,MIN('Activities'!L443,636)-MAX('Activities'!K443,630))</x:f>
        <x:v>0</x:v>
      </x:c>
    </x:row>
    <x:row r="444" ht="23" customHeight="1">
      <x:c r="A444" s="6" t="str">
        <x:v>T4-L07-R</x:v>
      </x:c>
      <x:c r="B444" s="6" t="str">
        <x:v>T4</x:v>
      </x:c>
      <x:c r="C444" s="6" t="str">
        <x:v>Column, wall, beam and slab reinforcement</x:v>
      </x:c>
      <x:c r="D444" s="6" t="str">
        <x:v>Rebar</x:v>
      </x:c>
      <x:c r="E444" s="22" t="n">
        <x:f>MAX(0,MIN('Activities'!L444,6)-MAX('Activities'!K444,0))</x:f>
        <x:v>0</x:v>
      </x:c>
      <x:c r="F444" s="22" t="n">
        <x:f>MAX(0,MIN('Activities'!L444,12)-MAX('Activities'!K444,6))</x:f>
        <x:v>0</x:v>
      </x:c>
      <x:c r="G444" s="22" t="n">
        <x:f>MAX(0,MIN('Activities'!L444,18)-MAX('Activities'!K444,12))</x:f>
        <x:v>0</x:v>
      </x:c>
      <x:c r="H444" s="22" t="n">
        <x:f>MAX(0,MIN('Activities'!L444,24)-MAX('Activities'!K444,18))</x:f>
        <x:v>0</x:v>
      </x:c>
      <x:c r="I444" s="22" t="n">
        <x:f>MAX(0,MIN('Activities'!L444,30)-MAX('Activities'!K444,24))</x:f>
        <x:v>0</x:v>
      </x:c>
      <x:c r="J444" s="22" t="n">
        <x:f>MAX(0,MIN('Activities'!L444,36)-MAX('Activities'!K444,30))</x:f>
        <x:v>0</x:v>
      </x:c>
      <x:c r="K444" s="22" t="n">
        <x:f>MAX(0,MIN('Activities'!L444,42)-MAX('Activities'!K444,36))</x:f>
        <x:v>0</x:v>
      </x:c>
      <x:c r="L444" s="22" t="n">
        <x:f>MAX(0,MIN('Activities'!L444,48)-MAX('Activities'!K444,42))</x:f>
        <x:v>0</x:v>
      </x:c>
      <x:c r="M444" s="22" t="n">
        <x:f>MAX(0,MIN('Activities'!L444,54)-MAX('Activities'!K444,48))</x:f>
        <x:v>0</x:v>
      </x:c>
      <x:c r="N444" s="22" t="n">
        <x:f>MAX(0,MIN('Activities'!L444,60)-MAX('Activities'!K444,54))</x:f>
        <x:v>0</x:v>
      </x:c>
      <x:c r="O444" s="22" t="n">
        <x:f>MAX(0,MIN('Activities'!L444,66)-MAX('Activities'!K444,60))</x:f>
        <x:v>0</x:v>
      </x:c>
      <x:c r="P444" s="22" t="n">
        <x:f>MAX(0,MIN('Activities'!L444,72)-MAX('Activities'!K444,66))</x:f>
        <x:v>0</x:v>
      </x:c>
      <x:c r="Q444" s="22" t="n">
        <x:f>MAX(0,MIN('Activities'!L444,78)-MAX('Activities'!K444,72))</x:f>
        <x:v>0</x:v>
      </x:c>
      <x:c r="R444" s="22" t="n">
        <x:f>MAX(0,MIN('Activities'!L444,84)-MAX('Activities'!K444,78))</x:f>
        <x:v>0</x:v>
      </x:c>
      <x:c r="S444" s="22" t="n">
        <x:f>MAX(0,MIN('Activities'!L444,90)-MAX('Activities'!K444,84))</x:f>
        <x:v>0</x:v>
      </x:c>
      <x:c r="T444" s="22" t="n">
        <x:f>MAX(0,MIN('Activities'!L444,96)-MAX('Activities'!K444,90))</x:f>
        <x:v>0</x:v>
      </x:c>
      <x:c r="U444" s="22" t="n">
        <x:f>MAX(0,MIN('Activities'!L444,102)-MAX('Activities'!K444,96))</x:f>
        <x:v>0</x:v>
      </x:c>
      <x:c r="V444" s="22" t="n">
        <x:f>MAX(0,MIN('Activities'!L444,108)-MAX('Activities'!K444,102))</x:f>
        <x:v>0</x:v>
      </x:c>
      <x:c r="W444" s="22" t="n">
        <x:f>MAX(0,MIN('Activities'!L444,114)-MAX('Activities'!K444,108))</x:f>
        <x:v>0</x:v>
      </x:c>
      <x:c r="X444" s="22" t="n">
        <x:f>MAX(0,MIN('Activities'!L444,120)-MAX('Activities'!K444,114))</x:f>
        <x:v>0</x:v>
      </x:c>
      <x:c r="Y444" s="22" t="n">
        <x:f>MAX(0,MIN('Activities'!L444,126)-MAX('Activities'!K444,120))</x:f>
        <x:v>0</x:v>
      </x:c>
      <x:c r="Z444" s="22" t="n">
        <x:f>MAX(0,MIN('Activities'!L444,132)-MAX('Activities'!K444,126))</x:f>
        <x:v>0</x:v>
      </x:c>
      <x:c r="AA444" s="22" t="n">
        <x:f>MAX(0,MIN('Activities'!L444,138)-MAX('Activities'!K444,132))</x:f>
        <x:v>0</x:v>
      </x:c>
      <x:c r="AB444" s="22" t="n">
        <x:f>MAX(0,MIN('Activities'!L444,144)-MAX('Activities'!K444,138))</x:f>
        <x:v>0</x:v>
      </x:c>
      <x:c r="AC444" s="22" t="n">
        <x:f>MAX(0,MIN('Activities'!L444,150)-MAX('Activities'!K444,144))</x:f>
        <x:v>0</x:v>
      </x:c>
      <x:c r="AD444" s="22" t="n">
        <x:f>MAX(0,MIN('Activities'!L444,156)-MAX('Activities'!K444,150))</x:f>
        <x:v>0</x:v>
      </x:c>
      <x:c r="AE444" s="22" t="n">
        <x:f>MAX(0,MIN('Activities'!L444,162)-MAX('Activities'!K444,156))</x:f>
        <x:v>0</x:v>
      </x:c>
      <x:c r="AF444" s="22" t="n">
        <x:f>MAX(0,MIN('Activities'!L444,168)-MAX('Activities'!K444,162))</x:f>
        <x:v>0</x:v>
      </x:c>
      <x:c r="AG444" s="22" t="n">
        <x:f>MAX(0,MIN('Activities'!L444,174)-MAX('Activities'!K444,168))</x:f>
        <x:v>0</x:v>
      </x:c>
      <x:c r="AH444" s="22" t="n">
        <x:f>MAX(0,MIN('Activities'!L444,180)-MAX('Activities'!K444,174))</x:f>
        <x:v>0</x:v>
      </x:c>
      <x:c r="AI444" s="22" t="n">
        <x:f>MAX(0,MIN('Activities'!L444,186)-MAX('Activities'!K444,180))</x:f>
        <x:v>0</x:v>
      </x:c>
      <x:c r="AJ444" s="22" t="n">
        <x:f>MAX(0,MIN('Activities'!L444,192)-MAX('Activities'!K444,186))</x:f>
        <x:v>0</x:v>
      </x:c>
      <x:c r="AK444" s="22" t="n">
        <x:f>MAX(0,MIN('Activities'!L444,198)-MAX('Activities'!K444,192))</x:f>
        <x:v>0</x:v>
      </x:c>
      <x:c r="AL444" s="22" t="n">
        <x:f>MAX(0,MIN('Activities'!L444,204)-MAX('Activities'!K444,198))</x:f>
        <x:v>0</x:v>
      </x:c>
      <x:c r="AM444" s="22" t="n">
        <x:f>MAX(0,MIN('Activities'!L444,210)-MAX('Activities'!K444,204))</x:f>
        <x:v>0</x:v>
      </x:c>
      <x:c r="AN444" s="22" t="n">
        <x:f>MAX(0,MIN('Activities'!L444,216)-MAX('Activities'!K444,210))</x:f>
        <x:v>0</x:v>
      </x:c>
      <x:c r="AO444" s="22" t="n">
        <x:f>MAX(0,MIN('Activities'!L444,222)-MAX('Activities'!K444,216))</x:f>
        <x:v>0</x:v>
      </x:c>
      <x:c r="AP444" s="22" t="n">
        <x:f>MAX(0,MIN('Activities'!L444,228)-MAX('Activities'!K444,222))</x:f>
        <x:v>0</x:v>
      </x:c>
      <x:c r="AQ444" s="22" t="n">
        <x:f>MAX(0,MIN('Activities'!L444,234)-MAX('Activities'!K444,228))</x:f>
        <x:v>0</x:v>
      </x:c>
      <x:c r="AR444" s="22" t="n">
        <x:f>MAX(0,MIN('Activities'!L444,240)-MAX('Activities'!K444,234))</x:f>
        <x:v>0</x:v>
      </x:c>
      <x:c r="AS444" s="22" t="n">
        <x:f>MAX(0,MIN('Activities'!L444,246)-MAX('Activities'!K444,240))</x:f>
        <x:v>0</x:v>
      </x:c>
      <x:c r="AT444" s="22" t="n">
        <x:f>MAX(0,MIN('Activities'!L444,252)-MAX('Activities'!K444,246))</x:f>
        <x:v>0</x:v>
      </x:c>
      <x:c r="AU444" s="22" t="n">
        <x:f>MAX(0,MIN('Activities'!L444,258)-MAX('Activities'!K444,252))</x:f>
        <x:v>0</x:v>
      </x:c>
      <x:c r="AV444" s="22" t="n">
        <x:f>MAX(0,MIN('Activities'!L444,264)-MAX('Activities'!K444,258))</x:f>
        <x:v>0</x:v>
      </x:c>
      <x:c r="AW444" s="22" t="n">
        <x:f>MAX(0,MIN('Activities'!L444,270)-MAX('Activities'!K444,264))</x:f>
        <x:v>0</x:v>
      </x:c>
      <x:c r="AX444" s="22" t="n">
        <x:f>MAX(0,MIN('Activities'!L444,276)-MAX('Activities'!K444,270))</x:f>
        <x:v>0</x:v>
      </x:c>
      <x:c r="AY444" s="22" t="n">
        <x:f>MAX(0,MIN('Activities'!L444,282)-MAX('Activities'!K444,276))</x:f>
        <x:v>0</x:v>
      </x:c>
      <x:c r="AZ444" s="22" t="n">
        <x:f>MAX(0,MIN('Activities'!L444,288)-MAX('Activities'!K444,282))</x:f>
        <x:v>0</x:v>
      </x:c>
      <x:c r="BA444" s="22" t="n">
        <x:f>MAX(0,MIN('Activities'!L444,294)-MAX('Activities'!K444,288))</x:f>
        <x:v>0</x:v>
      </x:c>
      <x:c r="BB444" s="22" t="n">
        <x:f>MAX(0,MIN('Activities'!L444,300)-MAX('Activities'!K444,294))</x:f>
        <x:v>0</x:v>
      </x:c>
      <x:c r="BC444" s="22" t="n">
        <x:f>MAX(0,MIN('Activities'!L444,306)-MAX('Activities'!K444,300))</x:f>
        <x:v>4</x:v>
      </x:c>
      <x:c r="BD444" s="22" t="n">
        <x:f>MAX(0,MIN('Activities'!L444,312)-MAX('Activities'!K444,306))</x:f>
        <x:v>1</x:v>
      </x:c>
      <x:c r="BE444" s="22" t="n">
        <x:f>MAX(0,MIN('Activities'!L444,318)-MAX('Activities'!K444,312))</x:f>
        <x:v>0</x:v>
      </x:c>
      <x:c r="BF444" s="22" t="n">
        <x:f>MAX(0,MIN('Activities'!L444,324)-MAX('Activities'!K444,318))</x:f>
        <x:v>0</x:v>
      </x:c>
      <x:c r="BG444" s="22" t="n">
        <x:f>MAX(0,MIN('Activities'!L444,330)-MAX('Activities'!K444,324))</x:f>
        <x:v>0</x:v>
      </x:c>
      <x:c r="BH444" s="22" t="n">
        <x:f>MAX(0,MIN('Activities'!L444,336)-MAX('Activities'!K444,330))</x:f>
        <x:v>0</x:v>
      </x:c>
      <x:c r="BI444" s="22" t="n">
        <x:f>MAX(0,MIN('Activities'!L444,342)-MAX('Activities'!K444,336))</x:f>
        <x:v>0</x:v>
      </x:c>
      <x:c r="BJ444" s="22" t="n">
        <x:f>MAX(0,MIN('Activities'!L444,348)-MAX('Activities'!K444,342))</x:f>
        <x:v>0</x:v>
      </x:c>
      <x:c r="BK444" s="22" t="n">
        <x:f>MAX(0,MIN('Activities'!L444,354)-MAX('Activities'!K444,348))</x:f>
        <x:v>0</x:v>
      </x:c>
      <x:c r="BL444" s="22" t="n">
        <x:f>MAX(0,MIN('Activities'!L444,360)-MAX('Activities'!K444,354))</x:f>
        <x:v>0</x:v>
      </x:c>
      <x:c r="BM444" s="22" t="n">
        <x:f>MAX(0,MIN('Activities'!L444,366)-MAX('Activities'!K444,360))</x:f>
        <x:v>0</x:v>
      </x:c>
      <x:c r="BN444" s="22" t="n">
        <x:f>MAX(0,MIN('Activities'!L444,372)-MAX('Activities'!K444,366))</x:f>
        <x:v>0</x:v>
      </x:c>
      <x:c r="BO444" s="22" t="n">
        <x:f>MAX(0,MIN('Activities'!L444,378)-MAX('Activities'!K444,372))</x:f>
        <x:v>0</x:v>
      </x:c>
      <x:c r="BP444" s="22" t="n">
        <x:f>MAX(0,MIN('Activities'!L444,384)-MAX('Activities'!K444,378))</x:f>
        <x:v>0</x:v>
      </x:c>
      <x:c r="BQ444" s="22" t="n">
        <x:f>MAX(0,MIN('Activities'!L444,390)-MAX('Activities'!K444,384))</x:f>
        <x:v>0</x:v>
      </x:c>
      <x:c r="BR444" s="22" t="n">
        <x:f>MAX(0,MIN('Activities'!L444,396)-MAX('Activities'!K444,390))</x:f>
        <x:v>0</x:v>
      </x:c>
      <x:c r="BS444" s="22" t="n">
        <x:f>MAX(0,MIN('Activities'!L444,402)-MAX('Activities'!K444,396))</x:f>
        <x:v>0</x:v>
      </x:c>
      <x:c r="BT444" s="22" t="n">
        <x:f>MAX(0,MIN('Activities'!L444,408)-MAX('Activities'!K444,402))</x:f>
        <x:v>0</x:v>
      </x:c>
      <x:c r="BU444" s="22" t="n">
        <x:f>MAX(0,MIN('Activities'!L444,414)-MAX('Activities'!K444,408))</x:f>
        <x:v>0</x:v>
      </x:c>
      <x:c r="BV444" s="22" t="n">
        <x:f>MAX(0,MIN('Activities'!L444,420)-MAX('Activities'!K444,414))</x:f>
        <x:v>0</x:v>
      </x:c>
      <x:c r="BW444" s="22" t="n">
        <x:f>MAX(0,MIN('Activities'!L444,426)-MAX('Activities'!K444,420))</x:f>
        <x:v>0</x:v>
      </x:c>
      <x:c r="BX444" s="22" t="n">
        <x:f>MAX(0,MIN('Activities'!L444,432)-MAX('Activities'!K444,426))</x:f>
        <x:v>0</x:v>
      </x:c>
      <x:c r="BY444" s="22" t="n">
        <x:f>MAX(0,MIN('Activities'!L444,438)-MAX('Activities'!K444,432))</x:f>
        <x:v>0</x:v>
      </x:c>
      <x:c r="BZ444" s="22" t="n">
        <x:f>MAX(0,MIN('Activities'!L444,444)-MAX('Activities'!K444,438))</x:f>
        <x:v>0</x:v>
      </x:c>
      <x:c r="CA444" s="22" t="n">
        <x:f>MAX(0,MIN('Activities'!L444,450)-MAX('Activities'!K444,444))</x:f>
        <x:v>0</x:v>
      </x:c>
      <x:c r="CB444" s="22" t="n">
        <x:f>MAX(0,MIN('Activities'!L444,456)-MAX('Activities'!K444,450))</x:f>
        <x:v>0</x:v>
      </x:c>
      <x:c r="CC444" s="22" t="n">
        <x:f>MAX(0,MIN('Activities'!L444,462)-MAX('Activities'!K444,456))</x:f>
        <x:v>0</x:v>
      </x:c>
      <x:c r="CD444" s="22" t="n">
        <x:f>MAX(0,MIN('Activities'!L444,468)-MAX('Activities'!K444,462))</x:f>
        <x:v>0</x:v>
      </x:c>
      <x:c r="CE444" s="22" t="n">
        <x:f>MAX(0,MIN('Activities'!L444,474)-MAX('Activities'!K444,468))</x:f>
        <x:v>0</x:v>
      </x:c>
      <x:c r="CF444" s="22" t="n">
        <x:f>MAX(0,MIN('Activities'!L444,480)-MAX('Activities'!K444,474))</x:f>
        <x:v>0</x:v>
      </x:c>
      <x:c r="CG444" s="22" t="n">
        <x:f>MAX(0,MIN('Activities'!L444,486)-MAX('Activities'!K444,480))</x:f>
        <x:v>0</x:v>
      </x:c>
      <x:c r="CH444" s="22" t="n">
        <x:f>MAX(0,MIN('Activities'!L444,492)-MAX('Activities'!K444,486))</x:f>
        <x:v>0</x:v>
      </x:c>
      <x:c r="CI444" s="22" t="n">
        <x:f>MAX(0,MIN('Activities'!L444,498)-MAX('Activities'!K444,492))</x:f>
        <x:v>0</x:v>
      </x:c>
      <x:c r="CJ444" s="22" t="n">
        <x:f>MAX(0,MIN('Activities'!L444,504)-MAX('Activities'!K444,498))</x:f>
        <x:v>0</x:v>
      </x:c>
      <x:c r="CK444" s="22" t="n">
        <x:f>MAX(0,MIN('Activities'!L444,510)-MAX('Activities'!K444,504))</x:f>
        <x:v>0</x:v>
      </x:c>
      <x:c r="CL444" s="22" t="n">
        <x:f>MAX(0,MIN('Activities'!L444,516)-MAX('Activities'!K444,510))</x:f>
        <x:v>0</x:v>
      </x:c>
      <x:c r="CM444" s="22" t="n">
        <x:f>MAX(0,MIN('Activities'!L444,522)-MAX('Activities'!K444,516))</x:f>
        <x:v>0</x:v>
      </x:c>
      <x:c r="CN444" s="22" t="n">
        <x:f>MAX(0,MIN('Activities'!L444,528)-MAX('Activities'!K444,522))</x:f>
        <x:v>0</x:v>
      </x:c>
      <x:c r="CO444" s="22" t="n">
        <x:f>MAX(0,MIN('Activities'!L444,534)-MAX('Activities'!K444,528))</x:f>
        <x:v>0</x:v>
      </x:c>
      <x:c r="CP444" s="22" t="n">
        <x:f>MAX(0,MIN('Activities'!L444,540)-MAX('Activities'!K444,534))</x:f>
        <x:v>0</x:v>
      </x:c>
      <x:c r="CQ444" s="22" t="n">
        <x:f>MAX(0,MIN('Activities'!L444,546)-MAX('Activities'!K444,540))</x:f>
        <x:v>0</x:v>
      </x:c>
      <x:c r="CR444" s="22" t="n">
        <x:f>MAX(0,MIN('Activities'!L444,552)-MAX('Activities'!K444,546))</x:f>
        <x:v>0</x:v>
      </x:c>
      <x:c r="CS444" s="22" t="n">
        <x:f>MAX(0,MIN('Activities'!L444,558)-MAX('Activities'!K444,552))</x:f>
        <x:v>0</x:v>
      </x:c>
      <x:c r="CT444" s="22" t="n">
        <x:f>MAX(0,MIN('Activities'!L444,564)-MAX('Activities'!K444,558))</x:f>
        <x:v>0</x:v>
      </x:c>
      <x:c r="CU444" s="22" t="n">
        <x:f>MAX(0,MIN('Activities'!L444,570)-MAX('Activities'!K444,564))</x:f>
        <x:v>0</x:v>
      </x:c>
      <x:c r="CV444" s="22" t="n">
        <x:f>MAX(0,MIN('Activities'!L444,576)-MAX('Activities'!K444,570))</x:f>
        <x:v>0</x:v>
      </x:c>
      <x:c r="CW444" s="22" t="n">
        <x:f>MAX(0,MIN('Activities'!L444,582)-MAX('Activities'!K444,576))</x:f>
        <x:v>0</x:v>
      </x:c>
      <x:c r="CX444" s="22" t="n">
        <x:f>MAX(0,MIN('Activities'!L444,588)-MAX('Activities'!K444,582))</x:f>
        <x:v>0</x:v>
      </x:c>
      <x:c r="CY444" s="22" t="n">
        <x:f>MAX(0,MIN('Activities'!L444,594)-MAX('Activities'!K444,588))</x:f>
        <x:v>0</x:v>
      </x:c>
      <x:c r="CZ444" s="22" t="n">
        <x:f>MAX(0,MIN('Activities'!L444,600)-MAX('Activities'!K444,594))</x:f>
        <x:v>0</x:v>
      </x:c>
      <x:c r="DA444" s="22" t="n">
        <x:f>MAX(0,MIN('Activities'!L444,606)-MAX('Activities'!K444,600))</x:f>
        <x:v>0</x:v>
      </x:c>
      <x:c r="DB444" s="22" t="n">
        <x:f>MAX(0,MIN('Activities'!L444,612)-MAX('Activities'!K444,606))</x:f>
        <x:v>0</x:v>
      </x:c>
      <x:c r="DC444" s="22" t="n">
        <x:f>MAX(0,MIN('Activities'!L444,618)-MAX('Activities'!K444,612))</x:f>
        <x:v>0</x:v>
      </x:c>
      <x:c r="DD444" s="22" t="n">
        <x:f>MAX(0,MIN('Activities'!L444,624)-MAX('Activities'!K444,618))</x:f>
        <x:v>0</x:v>
      </x:c>
      <x:c r="DE444" s="22" t="n">
        <x:f>MAX(0,MIN('Activities'!L444,630)-MAX('Activities'!K444,624))</x:f>
        <x:v>0</x:v>
      </x:c>
      <x:c r="DF444" s="22" t="n">
        <x:f>MAX(0,MIN('Activities'!L444,636)-MAX('Activities'!K444,630))</x:f>
        <x:v>0</x:v>
      </x:c>
    </x:row>
    <x:row r="445" ht="23" customHeight="1">
      <x:c r="A445" s="1" t="str">
        <x:v>T4-L07-C</x:v>
      </x:c>
      <x:c r="B445" s="1" t="str">
        <x:v>T4</x:v>
      </x:c>
      <x:c r="C445" s="1" t="str">
        <x:v>Concrete placement and finishing</x:v>
      </x:c>
      <x:c r="D445" s="1" t="str">
        <x:v>Concrete</x:v>
      </x:c>
      <x:c r="E445" s="23" t="n">
        <x:f>MAX(0,MIN('Activities'!L445,6)-MAX('Activities'!K445,0))</x:f>
        <x:v>0</x:v>
      </x:c>
      <x:c r="F445" s="23" t="n">
        <x:f>MAX(0,MIN('Activities'!L445,12)-MAX('Activities'!K445,6))</x:f>
        <x:v>0</x:v>
      </x:c>
      <x:c r="G445" s="23" t="n">
        <x:f>MAX(0,MIN('Activities'!L445,18)-MAX('Activities'!K445,12))</x:f>
        <x:v>0</x:v>
      </x:c>
      <x:c r="H445" s="23" t="n">
        <x:f>MAX(0,MIN('Activities'!L445,24)-MAX('Activities'!K445,18))</x:f>
        <x:v>0</x:v>
      </x:c>
      <x:c r="I445" s="23" t="n">
        <x:f>MAX(0,MIN('Activities'!L445,30)-MAX('Activities'!K445,24))</x:f>
        <x:v>0</x:v>
      </x:c>
      <x:c r="J445" s="23" t="n">
        <x:f>MAX(0,MIN('Activities'!L445,36)-MAX('Activities'!K445,30))</x:f>
        <x:v>0</x:v>
      </x:c>
      <x:c r="K445" s="23" t="n">
        <x:f>MAX(0,MIN('Activities'!L445,42)-MAX('Activities'!K445,36))</x:f>
        <x:v>0</x:v>
      </x:c>
      <x:c r="L445" s="23" t="n">
        <x:f>MAX(0,MIN('Activities'!L445,48)-MAX('Activities'!K445,42))</x:f>
        <x:v>0</x:v>
      </x:c>
      <x:c r="M445" s="23" t="n">
        <x:f>MAX(0,MIN('Activities'!L445,54)-MAX('Activities'!K445,48))</x:f>
        <x:v>0</x:v>
      </x:c>
      <x:c r="N445" s="23" t="n">
        <x:f>MAX(0,MIN('Activities'!L445,60)-MAX('Activities'!K445,54))</x:f>
        <x:v>0</x:v>
      </x:c>
      <x:c r="O445" s="23" t="n">
        <x:f>MAX(0,MIN('Activities'!L445,66)-MAX('Activities'!K445,60))</x:f>
        <x:v>0</x:v>
      </x:c>
      <x:c r="P445" s="23" t="n">
        <x:f>MAX(0,MIN('Activities'!L445,72)-MAX('Activities'!K445,66))</x:f>
        <x:v>0</x:v>
      </x:c>
      <x:c r="Q445" s="23" t="n">
        <x:f>MAX(0,MIN('Activities'!L445,78)-MAX('Activities'!K445,72))</x:f>
        <x:v>0</x:v>
      </x:c>
      <x:c r="R445" s="23" t="n">
        <x:f>MAX(0,MIN('Activities'!L445,84)-MAX('Activities'!K445,78))</x:f>
        <x:v>0</x:v>
      </x:c>
      <x:c r="S445" s="23" t="n">
        <x:f>MAX(0,MIN('Activities'!L445,90)-MAX('Activities'!K445,84))</x:f>
        <x:v>0</x:v>
      </x:c>
      <x:c r="T445" s="23" t="n">
        <x:f>MAX(0,MIN('Activities'!L445,96)-MAX('Activities'!K445,90))</x:f>
        <x:v>0</x:v>
      </x:c>
      <x:c r="U445" s="23" t="n">
        <x:f>MAX(0,MIN('Activities'!L445,102)-MAX('Activities'!K445,96))</x:f>
        <x:v>0</x:v>
      </x:c>
      <x:c r="V445" s="23" t="n">
        <x:f>MAX(0,MIN('Activities'!L445,108)-MAX('Activities'!K445,102))</x:f>
        <x:v>0</x:v>
      </x:c>
      <x:c r="W445" s="23" t="n">
        <x:f>MAX(0,MIN('Activities'!L445,114)-MAX('Activities'!K445,108))</x:f>
        <x:v>0</x:v>
      </x:c>
      <x:c r="X445" s="23" t="n">
        <x:f>MAX(0,MIN('Activities'!L445,120)-MAX('Activities'!K445,114))</x:f>
        <x:v>0</x:v>
      </x:c>
      <x:c r="Y445" s="23" t="n">
        <x:f>MAX(0,MIN('Activities'!L445,126)-MAX('Activities'!K445,120))</x:f>
        <x:v>0</x:v>
      </x:c>
      <x:c r="Z445" s="23" t="n">
        <x:f>MAX(0,MIN('Activities'!L445,132)-MAX('Activities'!K445,126))</x:f>
        <x:v>0</x:v>
      </x:c>
      <x:c r="AA445" s="23" t="n">
        <x:f>MAX(0,MIN('Activities'!L445,138)-MAX('Activities'!K445,132))</x:f>
        <x:v>0</x:v>
      </x:c>
      <x:c r="AB445" s="23" t="n">
        <x:f>MAX(0,MIN('Activities'!L445,144)-MAX('Activities'!K445,138))</x:f>
        <x:v>0</x:v>
      </x:c>
      <x:c r="AC445" s="23" t="n">
        <x:f>MAX(0,MIN('Activities'!L445,150)-MAX('Activities'!K445,144))</x:f>
        <x:v>0</x:v>
      </x:c>
      <x:c r="AD445" s="23" t="n">
        <x:f>MAX(0,MIN('Activities'!L445,156)-MAX('Activities'!K445,150))</x:f>
        <x:v>0</x:v>
      </x:c>
      <x:c r="AE445" s="23" t="n">
        <x:f>MAX(0,MIN('Activities'!L445,162)-MAX('Activities'!K445,156))</x:f>
        <x:v>0</x:v>
      </x:c>
      <x:c r="AF445" s="23" t="n">
        <x:f>MAX(0,MIN('Activities'!L445,168)-MAX('Activities'!K445,162))</x:f>
        <x:v>0</x:v>
      </x:c>
      <x:c r="AG445" s="23" t="n">
        <x:f>MAX(0,MIN('Activities'!L445,174)-MAX('Activities'!K445,168))</x:f>
        <x:v>0</x:v>
      </x:c>
      <x:c r="AH445" s="23" t="n">
        <x:f>MAX(0,MIN('Activities'!L445,180)-MAX('Activities'!K445,174))</x:f>
        <x:v>0</x:v>
      </x:c>
      <x:c r="AI445" s="23" t="n">
        <x:f>MAX(0,MIN('Activities'!L445,186)-MAX('Activities'!K445,180))</x:f>
        <x:v>0</x:v>
      </x:c>
      <x:c r="AJ445" s="23" t="n">
        <x:f>MAX(0,MIN('Activities'!L445,192)-MAX('Activities'!K445,186))</x:f>
        <x:v>0</x:v>
      </x:c>
      <x:c r="AK445" s="23" t="n">
        <x:f>MAX(0,MIN('Activities'!L445,198)-MAX('Activities'!K445,192))</x:f>
        <x:v>0</x:v>
      </x:c>
      <x:c r="AL445" s="23" t="n">
        <x:f>MAX(0,MIN('Activities'!L445,204)-MAX('Activities'!K445,198))</x:f>
        <x:v>0</x:v>
      </x:c>
      <x:c r="AM445" s="23" t="n">
        <x:f>MAX(0,MIN('Activities'!L445,210)-MAX('Activities'!K445,204))</x:f>
        <x:v>0</x:v>
      </x:c>
      <x:c r="AN445" s="23" t="n">
        <x:f>MAX(0,MIN('Activities'!L445,216)-MAX('Activities'!K445,210))</x:f>
        <x:v>0</x:v>
      </x:c>
      <x:c r="AO445" s="23" t="n">
        <x:f>MAX(0,MIN('Activities'!L445,222)-MAX('Activities'!K445,216))</x:f>
        <x:v>0</x:v>
      </x:c>
      <x:c r="AP445" s="23" t="n">
        <x:f>MAX(0,MIN('Activities'!L445,228)-MAX('Activities'!K445,222))</x:f>
        <x:v>0</x:v>
      </x:c>
      <x:c r="AQ445" s="23" t="n">
        <x:f>MAX(0,MIN('Activities'!L445,234)-MAX('Activities'!K445,228))</x:f>
        <x:v>0</x:v>
      </x:c>
      <x:c r="AR445" s="23" t="n">
        <x:f>MAX(0,MIN('Activities'!L445,240)-MAX('Activities'!K445,234))</x:f>
        <x:v>0</x:v>
      </x:c>
      <x:c r="AS445" s="23" t="n">
        <x:f>MAX(0,MIN('Activities'!L445,246)-MAX('Activities'!K445,240))</x:f>
        <x:v>0</x:v>
      </x:c>
      <x:c r="AT445" s="23" t="n">
        <x:f>MAX(0,MIN('Activities'!L445,252)-MAX('Activities'!K445,246))</x:f>
        <x:v>0</x:v>
      </x:c>
      <x:c r="AU445" s="23" t="n">
        <x:f>MAX(0,MIN('Activities'!L445,258)-MAX('Activities'!K445,252))</x:f>
        <x:v>0</x:v>
      </x:c>
      <x:c r="AV445" s="23" t="n">
        <x:f>MAX(0,MIN('Activities'!L445,264)-MAX('Activities'!K445,258))</x:f>
        <x:v>0</x:v>
      </x:c>
      <x:c r="AW445" s="23" t="n">
        <x:f>MAX(0,MIN('Activities'!L445,270)-MAX('Activities'!K445,264))</x:f>
        <x:v>0</x:v>
      </x:c>
      <x:c r="AX445" s="23" t="n">
        <x:f>MAX(0,MIN('Activities'!L445,276)-MAX('Activities'!K445,270))</x:f>
        <x:v>0</x:v>
      </x:c>
      <x:c r="AY445" s="23" t="n">
        <x:f>MAX(0,MIN('Activities'!L445,282)-MAX('Activities'!K445,276))</x:f>
        <x:v>0</x:v>
      </x:c>
      <x:c r="AZ445" s="23" t="n">
        <x:f>MAX(0,MIN('Activities'!L445,288)-MAX('Activities'!K445,282))</x:f>
        <x:v>0</x:v>
      </x:c>
      <x:c r="BA445" s="23" t="n">
        <x:f>MAX(0,MIN('Activities'!L445,294)-MAX('Activities'!K445,288))</x:f>
        <x:v>0</x:v>
      </x:c>
      <x:c r="BB445" s="23" t="n">
        <x:f>MAX(0,MIN('Activities'!L445,300)-MAX('Activities'!K445,294))</x:f>
        <x:v>0</x:v>
      </x:c>
      <x:c r="BC445" s="23" t="n">
        <x:f>MAX(0,MIN('Activities'!L445,306)-MAX('Activities'!K445,300))</x:f>
        <x:v>0</x:v>
      </x:c>
      <x:c r="BD445" s="23" t="n">
        <x:f>MAX(0,MIN('Activities'!L445,312)-MAX('Activities'!K445,306))</x:f>
        <x:v>2</x:v>
      </x:c>
      <x:c r="BE445" s="23" t="n">
        <x:f>MAX(0,MIN('Activities'!L445,318)-MAX('Activities'!K445,312))</x:f>
        <x:v>0</x:v>
      </x:c>
      <x:c r="BF445" s="23" t="n">
        <x:f>MAX(0,MIN('Activities'!L445,324)-MAX('Activities'!K445,318))</x:f>
        <x:v>0</x:v>
      </x:c>
      <x:c r="BG445" s="23" t="n">
        <x:f>MAX(0,MIN('Activities'!L445,330)-MAX('Activities'!K445,324))</x:f>
        <x:v>0</x:v>
      </x:c>
      <x:c r="BH445" s="23" t="n">
        <x:f>MAX(0,MIN('Activities'!L445,336)-MAX('Activities'!K445,330))</x:f>
        <x:v>0</x:v>
      </x:c>
      <x:c r="BI445" s="23" t="n">
        <x:f>MAX(0,MIN('Activities'!L445,342)-MAX('Activities'!K445,336))</x:f>
        <x:v>0</x:v>
      </x:c>
      <x:c r="BJ445" s="23" t="n">
        <x:f>MAX(0,MIN('Activities'!L445,348)-MAX('Activities'!K445,342))</x:f>
        <x:v>0</x:v>
      </x:c>
      <x:c r="BK445" s="23" t="n">
        <x:f>MAX(0,MIN('Activities'!L445,354)-MAX('Activities'!K445,348))</x:f>
        <x:v>0</x:v>
      </x:c>
      <x:c r="BL445" s="23" t="n">
        <x:f>MAX(0,MIN('Activities'!L445,360)-MAX('Activities'!K445,354))</x:f>
        <x:v>0</x:v>
      </x:c>
      <x:c r="BM445" s="23" t="n">
        <x:f>MAX(0,MIN('Activities'!L445,366)-MAX('Activities'!K445,360))</x:f>
        <x:v>0</x:v>
      </x:c>
      <x:c r="BN445" s="23" t="n">
        <x:f>MAX(0,MIN('Activities'!L445,372)-MAX('Activities'!K445,366))</x:f>
        <x:v>0</x:v>
      </x:c>
      <x:c r="BO445" s="23" t="n">
        <x:f>MAX(0,MIN('Activities'!L445,378)-MAX('Activities'!K445,372))</x:f>
        <x:v>0</x:v>
      </x:c>
      <x:c r="BP445" s="23" t="n">
        <x:f>MAX(0,MIN('Activities'!L445,384)-MAX('Activities'!K445,378))</x:f>
        <x:v>0</x:v>
      </x:c>
      <x:c r="BQ445" s="23" t="n">
        <x:f>MAX(0,MIN('Activities'!L445,390)-MAX('Activities'!K445,384))</x:f>
        <x:v>0</x:v>
      </x:c>
      <x:c r="BR445" s="23" t="n">
        <x:f>MAX(0,MIN('Activities'!L445,396)-MAX('Activities'!K445,390))</x:f>
        <x:v>0</x:v>
      </x:c>
      <x:c r="BS445" s="23" t="n">
        <x:f>MAX(0,MIN('Activities'!L445,402)-MAX('Activities'!K445,396))</x:f>
        <x:v>0</x:v>
      </x:c>
      <x:c r="BT445" s="23" t="n">
        <x:f>MAX(0,MIN('Activities'!L445,408)-MAX('Activities'!K445,402))</x:f>
        <x:v>0</x:v>
      </x:c>
      <x:c r="BU445" s="23" t="n">
        <x:f>MAX(0,MIN('Activities'!L445,414)-MAX('Activities'!K445,408))</x:f>
        <x:v>0</x:v>
      </x:c>
      <x:c r="BV445" s="23" t="n">
        <x:f>MAX(0,MIN('Activities'!L445,420)-MAX('Activities'!K445,414))</x:f>
        <x:v>0</x:v>
      </x:c>
      <x:c r="BW445" s="23" t="n">
        <x:f>MAX(0,MIN('Activities'!L445,426)-MAX('Activities'!K445,420))</x:f>
        <x:v>0</x:v>
      </x:c>
      <x:c r="BX445" s="23" t="n">
        <x:f>MAX(0,MIN('Activities'!L445,432)-MAX('Activities'!K445,426))</x:f>
        <x:v>0</x:v>
      </x:c>
      <x:c r="BY445" s="23" t="n">
        <x:f>MAX(0,MIN('Activities'!L445,438)-MAX('Activities'!K445,432))</x:f>
        <x:v>0</x:v>
      </x:c>
      <x:c r="BZ445" s="23" t="n">
        <x:f>MAX(0,MIN('Activities'!L445,444)-MAX('Activities'!K445,438))</x:f>
        <x:v>0</x:v>
      </x:c>
      <x:c r="CA445" s="23" t="n">
        <x:f>MAX(0,MIN('Activities'!L445,450)-MAX('Activities'!K445,444))</x:f>
        <x:v>0</x:v>
      </x:c>
      <x:c r="CB445" s="23" t="n">
        <x:f>MAX(0,MIN('Activities'!L445,456)-MAX('Activities'!K445,450))</x:f>
        <x:v>0</x:v>
      </x:c>
      <x:c r="CC445" s="23" t="n">
        <x:f>MAX(0,MIN('Activities'!L445,462)-MAX('Activities'!K445,456))</x:f>
        <x:v>0</x:v>
      </x:c>
      <x:c r="CD445" s="23" t="n">
        <x:f>MAX(0,MIN('Activities'!L445,468)-MAX('Activities'!K445,462))</x:f>
        <x:v>0</x:v>
      </x:c>
      <x:c r="CE445" s="23" t="n">
        <x:f>MAX(0,MIN('Activities'!L445,474)-MAX('Activities'!K445,468))</x:f>
        <x:v>0</x:v>
      </x:c>
      <x:c r="CF445" s="23" t="n">
        <x:f>MAX(0,MIN('Activities'!L445,480)-MAX('Activities'!K445,474))</x:f>
        <x:v>0</x:v>
      </x:c>
      <x:c r="CG445" s="23" t="n">
        <x:f>MAX(0,MIN('Activities'!L445,486)-MAX('Activities'!K445,480))</x:f>
        <x:v>0</x:v>
      </x:c>
      <x:c r="CH445" s="23" t="n">
        <x:f>MAX(0,MIN('Activities'!L445,492)-MAX('Activities'!K445,486))</x:f>
        <x:v>0</x:v>
      </x:c>
      <x:c r="CI445" s="23" t="n">
        <x:f>MAX(0,MIN('Activities'!L445,498)-MAX('Activities'!K445,492))</x:f>
        <x:v>0</x:v>
      </x:c>
      <x:c r="CJ445" s="23" t="n">
        <x:f>MAX(0,MIN('Activities'!L445,504)-MAX('Activities'!K445,498))</x:f>
        <x:v>0</x:v>
      </x:c>
      <x:c r="CK445" s="23" t="n">
        <x:f>MAX(0,MIN('Activities'!L445,510)-MAX('Activities'!K445,504))</x:f>
        <x:v>0</x:v>
      </x:c>
      <x:c r="CL445" s="23" t="n">
        <x:f>MAX(0,MIN('Activities'!L445,516)-MAX('Activities'!K445,510))</x:f>
        <x:v>0</x:v>
      </x:c>
      <x:c r="CM445" s="23" t="n">
        <x:f>MAX(0,MIN('Activities'!L445,522)-MAX('Activities'!K445,516))</x:f>
        <x:v>0</x:v>
      </x:c>
      <x:c r="CN445" s="23" t="n">
        <x:f>MAX(0,MIN('Activities'!L445,528)-MAX('Activities'!K445,522))</x:f>
        <x:v>0</x:v>
      </x:c>
      <x:c r="CO445" s="23" t="n">
        <x:f>MAX(0,MIN('Activities'!L445,534)-MAX('Activities'!K445,528))</x:f>
        <x:v>0</x:v>
      </x:c>
      <x:c r="CP445" s="23" t="n">
        <x:f>MAX(0,MIN('Activities'!L445,540)-MAX('Activities'!K445,534))</x:f>
        <x:v>0</x:v>
      </x:c>
      <x:c r="CQ445" s="23" t="n">
        <x:f>MAX(0,MIN('Activities'!L445,546)-MAX('Activities'!K445,540))</x:f>
        <x:v>0</x:v>
      </x:c>
      <x:c r="CR445" s="23" t="n">
        <x:f>MAX(0,MIN('Activities'!L445,552)-MAX('Activities'!K445,546))</x:f>
        <x:v>0</x:v>
      </x:c>
      <x:c r="CS445" s="23" t="n">
        <x:f>MAX(0,MIN('Activities'!L445,558)-MAX('Activities'!K445,552))</x:f>
        <x:v>0</x:v>
      </x:c>
      <x:c r="CT445" s="23" t="n">
        <x:f>MAX(0,MIN('Activities'!L445,564)-MAX('Activities'!K445,558))</x:f>
        <x:v>0</x:v>
      </x:c>
      <x:c r="CU445" s="23" t="n">
        <x:f>MAX(0,MIN('Activities'!L445,570)-MAX('Activities'!K445,564))</x:f>
        <x:v>0</x:v>
      </x:c>
      <x:c r="CV445" s="23" t="n">
        <x:f>MAX(0,MIN('Activities'!L445,576)-MAX('Activities'!K445,570))</x:f>
        <x:v>0</x:v>
      </x:c>
      <x:c r="CW445" s="23" t="n">
        <x:f>MAX(0,MIN('Activities'!L445,582)-MAX('Activities'!K445,576))</x:f>
        <x:v>0</x:v>
      </x:c>
      <x:c r="CX445" s="23" t="n">
        <x:f>MAX(0,MIN('Activities'!L445,588)-MAX('Activities'!K445,582))</x:f>
        <x:v>0</x:v>
      </x:c>
      <x:c r="CY445" s="23" t="n">
        <x:f>MAX(0,MIN('Activities'!L445,594)-MAX('Activities'!K445,588))</x:f>
        <x:v>0</x:v>
      </x:c>
      <x:c r="CZ445" s="23" t="n">
        <x:f>MAX(0,MIN('Activities'!L445,600)-MAX('Activities'!K445,594))</x:f>
        <x:v>0</x:v>
      </x:c>
      <x:c r="DA445" s="23" t="n">
        <x:f>MAX(0,MIN('Activities'!L445,606)-MAX('Activities'!K445,600))</x:f>
        <x:v>0</x:v>
      </x:c>
      <x:c r="DB445" s="23" t="n">
        <x:f>MAX(0,MIN('Activities'!L445,612)-MAX('Activities'!K445,606))</x:f>
        <x:v>0</x:v>
      </x:c>
      <x:c r="DC445" s="23" t="n">
        <x:f>MAX(0,MIN('Activities'!L445,618)-MAX('Activities'!K445,612))</x:f>
        <x:v>0</x:v>
      </x:c>
      <x:c r="DD445" s="23" t="n">
        <x:f>MAX(0,MIN('Activities'!L445,624)-MAX('Activities'!K445,618))</x:f>
        <x:v>0</x:v>
      </x:c>
      <x:c r="DE445" s="23" t="n">
        <x:f>MAX(0,MIN('Activities'!L445,630)-MAX('Activities'!K445,624))</x:f>
        <x:v>0</x:v>
      </x:c>
      <x:c r="DF445" s="23" t="n">
        <x:f>MAX(0,MIN('Activities'!L445,636)-MAX('Activities'!K445,630))</x:f>
        <x:v>0</x:v>
      </x:c>
    </x:row>
    <x:row r="446" ht="23" customHeight="1">
      <x:c r="A446" s="6" t="str">
        <x:v>T4-L07-H</x:v>
      </x:c>
      <x:c r="B446" s="6" t="str">
        <x:v>T4</x:v>
      </x:c>
      <x:c r="C446" s="6" t="str">
        <x:v>Curing and release hold point</x:v>
      </x:c>
      <x:c r="D446" s="6" t="str">
        <x:v>Site</x:v>
      </x:c>
      <x:c r="E446" s="22" t="n">
        <x:f>MAX(0,MIN('Activities'!L446,6)-MAX('Activities'!K446,0))</x:f>
        <x:v>0</x:v>
      </x:c>
      <x:c r="F446" s="22" t="n">
        <x:f>MAX(0,MIN('Activities'!L446,12)-MAX('Activities'!K446,6))</x:f>
        <x:v>0</x:v>
      </x:c>
      <x:c r="G446" s="22" t="n">
        <x:f>MAX(0,MIN('Activities'!L446,18)-MAX('Activities'!K446,12))</x:f>
        <x:v>0</x:v>
      </x:c>
      <x:c r="H446" s="22" t="n">
        <x:f>MAX(0,MIN('Activities'!L446,24)-MAX('Activities'!K446,18))</x:f>
        <x:v>0</x:v>
      </x:c>
      <x:c r="I446" s="22" t="n">
        <x:f>MAX(0,MIN('Activities'!L446,30)-MAX('Activities'!K446,24))</x:f>
        <x:v>0</x:v>
      </x:c>
      <x:c r="J446" s="22" t="n">
        <x:f>MAX(0,MIN('Activities'!L446,36)-MAX('Activities'!K446,30))</x:f>
        <x:v>0</x:v>
      </x:c>
      <x:c r="K446" s="22" t="n">
        <x:f>MAX(0,MIN('Activities'!L446,42)-MAX('Activities'!K446,36))</x:f>
        <x:v>0</x:v>
      </x:c>
      <x:c r="L446" s="22" t="n">
        <x:f>MAX(0,MIN('Activities'!L446,48)-MAX('Activities'!K446,42))</x:f>
        <x:v>0</x:v>
      </x:c>
      <x:c r="M446" s="22" t="n">
        <x:f>MAX(0,MIN('Activities'!L446,54)-MAX('Activities'!K446,48))</x:f>
        <x:v>0</x:v>
      </x:c>
      <x:c r="N446" s="22" t="n">
        <x:f>MAX(0,MIN('Activities'!L446,60)-MAX('Activities'!K446,54))</x:f>
        <x:v>0</x:v>
      </x:c>
      <x:c r="O446" s="22" t="n">
        <x:f>MAX(0,MIN('Activities'!L446,66)-MAX('Activities'!K446,60))</x:f>
        <x:v>0</x:v>
      </x:c>
      <x:c r="P446" s="22" t="n">
        <x:f>MAX(0,MIN('Activities'!L446,72)-MAX('Activities'!K446,66))</x:f>
        <x:v>0</x:v>
      </x:c>
      <x:c r="Q446" s="22" t="n">
        <x:f>MAX(0,MIN('Activities'!L446,78)-MAX('Activities'!K446,72))</x:f>
        <x:v>0</x:v>
      </x:c>
      <x:c r="R446" s="22" t="n">
        <x:f>MAX(0,MIN('Activities'!L446,84)-MAX('Activities'!K446,78))</x:f>
        <x:v>0</x:v>
      </x:c>
      <x:c r="S446" s="22" t="n">
        <x:f>MAX(0,MIN('Activities'!L446,90)-MAX('Activities'!K446,84))</x:f>
        <x:v>0</x:v>
      </x:c>
      <x:c r="T446" s="22" t="n">
        <x:f>MAX(0,MIN('Activities'!L446,96)-MAX('Activities'!K446,90))</x:f>
        <x:v>0</x:v>
      </x:c>
      <x:c r="U446" s="22" t="n">
        <x:f>MAX(0,MIN('Activities'!L446,102)-MAX('Activities'!K446,96))</x:f>
        <x:v>0</x:v>
      </x:c>
      <x:c r="V446" s="22" t="n">
        <x:f>MAX(0,MIN('Activities'!L446,108)-MAX('Activities'!K446,102))</x:f>
        <x:v>0</x:v>
      </x:c>
      <x:c r="W446" s="22" t="n">
        <x:f>MAX(0,MIN('Activities'!L446,114)-MAX('Activities'!K446,108))</x:f>
        <x:v>0</x:v>
      </x:c>
      <x:c r="X446" s="22" t="n">
        <x:f>MAX(0,MIN('Activities'!L446,120)-MAX('Activities'!K446,114))</x:f>
        <x:v>0</x:v>
      </x:c>
      <x:c r="Y446" s="22" t="n">
        <x:f>MAX(0,MIN('Activities'!L446,126)-MAX('Activities'!K446,120))</x:f>
        <x:v>0</x:v>
      </x:c>
      <x:c r="Z446" s="22" t="n">
        <x:f>MAX(0,MIN('Activities'!L446,132)-MAX('Activities'!K446,126))</x:f>
        <x:v>0</x:v>
      </x:c>
      <x:c r="AA446" s="22" t="n">
        <x:f>MAX(0,MIN('Activities'!L446,138)-MAX('Activities'!K446,132))</x:f>
        <x:v>0</x:v>
      </x:c>
      <x:c r="AB446" s="22" t="n">
        <x:f>MAX(0,MIN('Activities'!L446,144)-MAX('Activities'!K446,138))</x:f>
        <x:v>0</x:v>
      </x:c>
      <x:c r="AC446" s="22" t="n">
        <x:f>MAX(0,MIN('Activities'!L446,150)-MAX('Activities'!K446,144))</x:f>
        <x:v>0</x:v>
      </x:c>
      <x:c r="AD446" s="22" t="n">
        <x:f>MAX(0,MIN('Activities'!L446,156)-MAX('Activities'!K446,150))</x:f>
        <x:v>0</x:v>
      </x:c>
      <x:c r="AE446" s="22" t="n">
        <x:f>MAX(0,MIN('Activities'!L446,162)-MAX('Activities'!K446,156))</x:f>
        <x:v>0</x:v>
      </x:c>
      <x:c r="AF446" s="22" t="n">
        <x:f>MAX(0,MIN('Activities'!L446,168)-MAX('Activities'!K446,162))</x:f>
        <x:v>0</x:v>
      </x:c>
      <x:c r="AG446" s="22" t="n">
        <x:f>MAX(0,MIN('Activities'!L446,174)-MAX('Activities'!K446,168))</x:f>
        <x:v>0</x:v>
      </x:c>
      <x:c r="AH446" s="22" t="n">
        <x:f>MAX(0,MIN('Activities'!L446,180)-MAX('Activities'!K446,174))</x:f>
        <x:v>0</x:v>
      </x:c>
      <x:c r="AI446" s="22" t="n">
        <x:f>MAX(0,MIN('Activities'!L446,186)-MAX('Activities'!K446,180))</x:f>
        <x:v>0</x:v>
      </x:c>
      <x:c r="AJ446" s="22" t="n">
        <x:f>MAX(0,MIN('Activities'!L446,192)-MAX('Activities'!K446,186))</x:f>
        <x:v>0</x:v>
      </x:c>
      <x:c r="AK446" s="22" t="n">
        <x:f>MAX(0,MIN('Activities'!L446,198)-MAX('Activities'!K446,192))</x:f>
        <x:v>0</x:v>
      </x:c>
      <x:c r="AL446" s="22" t="n">
        <x:f>MAX(0,MIN('Activities'!L446,204)-MAX('Activities'!K446,198))</x:f>
        <x:v>0</x:v>
      </x:c>
      <x:c r="AM446" s="22" t="n">
        <x:f>MAX(0,MIN('Activities'!L446,210)-MAX('Activities'!K446,204))</x:f>
        <x:v>0</x:v>
      </x:c>
      <x:c r="AN446" s="22" t="n">
        <x:f>MAX(0,MIN('Activities'!L446,216)-MAX('Activities'!K446,210))</x:f>
        <x:v>0</x:v>
      </x:c>
      <x:c r="AO446" s="22" t="n">
        <x:f>MAX(0,MIN('Activities'!L446,222)-MAX('Activities'!K446,216))</x:f>
        <x:v>0</x:v>
      </x:c>
      <x:c r="AP446" s="22" t="n">
        <x:f>MAX(0,MIN('Activities'!L446,228)-MAX('Activities'!K446,222))</x:f>
        <x:v>0</x:v>
      </x:c>
      <x:c r="AQ446" s="22" t="n">
        <x:f>MAX(0,MIN('Activities'!L446,234)-MAX('Activities'!K446,228))</x:f>
        <x:v>0</x:v>
      </x:c>
      <x:c r="AR446" s="22" t="n">
        <x:f>MAX(0,MIN('Activities'!L446,240)-MAX('Activities'!K446,234))</x:f>
        <x:v>0</x:v>
      </x:c>
      <x:c r="AS446" s="22" t="n">
        <x:f>MAX(0,MIN('Activities'!L446,246)-MAX('Activities'!K446,240))</x:f>
        <x:v>0</x:v>
      </x:c>
      <x:c r="AT446" s="22" t="n">
        <x:f>MAX(0,MIN('Activities'!L446,252)-MAX('Activities'!K446,246))</x:f>
        <x:v>0</x:v>
      </x:c>
      <x:c r="AU446" s="22" t="n">
        <x:f>MAX(0,MIN('Activities'!L446,258)-MAX('Activities'!K446,252))</x:f>
        <x:v>0</x:v>
      </x:c>
      <x:c r="AV446" s="22" t="n">
        <x:f>MAX(0,MIN('Activities'!L446,264)-MAX('Activities'!K446,258))</x:f>
        <x:v>0</x:v>
      </x:c>
      <x:c r="AW446" s="22" t="n">
        <x:f>MAX(0,MIN('Activities'!L446,270)-MAX('Activities'!K446,264))</x:f>
        <x:v>0</x:v>
      </x:c>
      <x:c r="AX446" s="22" t="n">
        <x:f>MAX(0,MIN('Activities'!L446,276)-MAX('Activities'!K446,270))</x:f>
        <x:v>0</x:v>
      </x:c>
      <x:c r="AY446" s="22" t="n">
        <x:f>MAX(0,MIN('Activities'!L446,282)-MAX('Activities'!K446,276))</x:f>
        <x:v>0</x:v>
      </x:c>
      <x:c r="AZ446" s="22" t="n">
        <x:f>MAX(0,MIN('Activities'!L446,288)-MAX('Activities'!K446,282))</x:f>
        <x:v>0</x:v>
      </x:c>
      <x:c r="BA446" s="22" t="n">
        <x:f>MAX(0,MIN('Activities'!L446,294)-MAX('Activities'!K446,288))</x:f>
        <x:v>0</x:v>
      </x:c>
      <x:c r="BB446" s="22" t="n">
        <x:f>MAX(0,MIN('Activities'!L446,300)-MAX('Activities'!K446,294))</x:f>
        <x:v>0</x:v>
      </x:c>
      <x:c r="BC446" s="22" t="n">
        <x:f>MAX(0,MIN('Activities'!L446,306)-MAX('Activities'!K446,300))</x:f>
        <x:v>0</x:v>
      </x:c>
      <x:c r="BD446" s="22" t="n">
        <x:f>MAX(0,MIN('Activities'!L446,312)-MAX('Activities'!K446,306))</x:f>
        <x:v>3</x:v>
      </x:c>
      <x:c r="BE446" s="22" t="n">
        <x:f>MAX(0,MIN('Activities'!L446,318)-MAX('Activities'!K446,312))</x:f>
        <x:v>2</x:v>
      </x:c>
      <x:c r="BF446" s="22" t="n">
        <x:f>MAX(0,MIN('Activities'!L446,324)-MAX('Activities'!K446,318))</x:f>
        <x:v>0</x:v>
      </x:c>
      <x:c r="BG446" s="22" t="n">
        <x:f>MAX(0,MIN('Activities'!L446,330)-MAX('Activities'!K446,324))</x:f>
        <x:v>0</x:v>
      </x:c>
      <x:c r="BH446" s="22" t="n">
        <x:f>MAX(0,MIN('Activities'!L446,336)-MAX('Activities'!K446,330))</x:f>
        <x:v>0</x:v>
      </x:c>
      <x:c r="BI446" s="22" t="n">
        <x:f>MAX(0,MIN('Activities'!L446,342)-MAX('Activities'!K446,336))</x:f>
        <x:v>0</x:v>
      </x:c>
      <x:c r="BJ446" s="22" t="n">
        <x:f>MAX(0,MIN('Activities'!L446,348)-MAX('Activities'!K446,342))</x:f>
        <x:v>0</x:v>
      </x:c>
      <x:c r="BK446" s="22" t="n">
        <x:f>MAX(0,MIN('Activities'!L446,354)-MAX('Activities'!K446,348))</x:f>
        <x:v>0</x:v>
      </x:c>
      <x:c r="BL446" s="22" t="n">
        <x:f>MAX(0,MIN('Activities'!L446,360)-MAX('Activities'!K446,354))</x:f>
        <x:v>0</x:v>
      </x:c>
      <x:c r="BM446" s="22" t="n">
        <x:f>MAX(0,MIN('Activities'!L446,366)-MAX('Activities'!K446,360))</x:f>
        <x:v>0</x:v>
      </x:c>
      <x:c r="BN446" s="22" t="n">
        <x:f>MAX(0,MIN('Activities'!L446,372)-MAX('Activities'!K446,366))</x:f>
        <x:v>0</x:v>
      </x:c>
      <x:c r="BO446" s="22" t="n">
        <x:f>MAX(0,MIN('Activities'!L446,378)-MAX('Activities'!K446,372))</x:f>
        <x:v>0</x:v>
      </x:c>
      <x:c r="BP446" s="22" t="n">
        <x:f>MAX(0,MIN('Activities'!L446,384)-MAX('Activities'!K446,378))</x:f>
        <x:v>0</x:v>
      </x:c>
      <x:c r="BQ446" s="22" t="n">
        <x:f>MAX(0,MIN('Activities'!L446,390)-MAX('Activities'!K446,384))</x:f>
        <x:v>0</x:v>
      </x:c>
      <x:c r="BR446" s="22" t="n">
        <x:f>MAX(0,MIN('Activities'!L446,396)-MAX('Activities'!K446,390))</x:f>
        <x:v>0</x:v>
      </x:c>
      <x:c r="BS446" s="22" t="n">
        <x:f>MAX(0,MIN('Activities'!L446,402)-MAX('Activities'!K446,396))</x:f>
        <x:v>0</x:v>
      </x:c>
      <x:c r="BT446" s="22" t="n">
        <x:f>MAX(0,MIN('Activities'!L446,408)-MAX('Activities'!K446,402))</x:f>
        <x:v>0</x:v>
      </x:c>
      <x:c r="BU446" s="22" t="n">
        <x:f>MAX(0,MIN('Activities'!L446,414)-MAX('Activities'!K446,408))</x:f>
        <x:v>0</x:v>
      </x:c>
      <x:c r="BV446" s="22" t="n">
        <x:f>MAX(0,MIN('Activities'!L446,420)-MAX('Activities'!K446,414))</x:f>
        <x:v>0</x:v>
      </x:c>
      <x:c r="BW446" s="22" t="n">
        <x:f>MAX(0,MIN('Activities'!L446,426)-MAX('Activities'!K446,420))</x:f>
        <x:v>0</x:v>
      </x:c>
      <x:c r="BX446" s="22" t="n">
        <x:f>MAX(0,MIN('Activities'!L446,432)-MAX('Activities'!K446,426))</x:f>
        <x:v>0</x:v>
      </x:c>
      <x:c r="BY446" s="22" t="n">
        <x:f>MAX(0,MIN('Activities'!L446,438)-MAX('Activities'!K446,432))</x:f>
        <x:v>0</x:v>
      </x:c>
      <x:c r="BZ446" s="22" t="n">
        <x:f>MAX(0,MIN('Activities'!L446,444)-MAX('Activities'!K446,438))</x:f>
        <x:v>0</x:v>
      </x:c>
      <x:c r="CA446" s="22" t="n">
        <x:f>MAX(0,MIN('Activities'!L446,450)-MAX('Activities'!K446,444))</x:f>
        <x:v>0</x:v>
      </x:c>
      <x:c r="CB446" s="22" t="n">
        <x:f>MAX(0,MIN('Activities'!L446,456)-MAX('Activities'!K446,450))</x:f>
        <x:v>0</x:v>
      </x:c>
      <x:c r="CC446" s="22" t="n">
        <x:f>MAX(0,MIN('Activities'!L446,462)-MAX('Activities'!K446,456))</x:f>
        <x:v>0</x:v>
      </x:c>
      <x:c r="CD446" s="22" t="n">
        <x:f>MAX(0,MIN('Activities'!L446,468)-MAX('Activities'!K446,462))</x:f>
        <x:v>0</x:v>
      </x:c>
      <x:c r="CE446" s="22" t="n">
        <x:f>MAX(0,MIN('Activities'!L446,474)-MAX('Activities'!K446,468))</x:f>
        <x:v>0</x:v>
      </x:c>
      <x:c r="CF446" s="22" t="n">
        <x:f>MAX(0,MIN('Activities'!L446,480)-MAX('Activities'!K446,474))</x:f>
        <x:v>0</x:v>
      </x:c>
      <x:c r="CG446" s="22" t="n">
        <x:f>MAX(0,MIN('Activities'!L446,486)-MAX('Activities'!K446,480))</x:f>
        <x:v>0</x:v>
      </x:c>
      <x:c r="CH446" s="22" t="n">
        <x:f>MAX(0,MIN('Activities'!L446,492)-MAX('Activities'!K446,486))</x:f>
        <x:v>0</x:v>
      </x:c>
      <x:c r="CI446" s="22" t="n">
        <x:f>MAX(0,MIN('Activities'!L446,498)-MAX('Activities'!K446,492))</x:f>
        <x:v>0</x:v>
      </x:c>
      <x:c r="CJ446" s="22" t="n">
        <x:f>MAX(0,MIN('Activities'!L446,504)-MAX('Activities'!K446,498))</x:f>
        <x:v>0</x:v>
      </x:c>
      <x:c r="CK446" s="22" t="n">
        <x:f>MAX(0,MIN('Activities'!L446,510)-MAX('Activities'!K446,504))</x:f>
        <x:v>0</x:v>
      </x:c>
      <x:c r="CL446" s="22" t="n">
        <x:f>MAX(0,MIN('Activities'!L446,516)-MAX('Activities'!K446,510))</x:f>
        <x:v>0</x:v>
      </x:c>
      <x:c r="CM446" s="22" t="n">
        <x:f>MAX(0,MIN('Activities'!L446,522)-MAX('Activities'!K446,516))</x:f>
        <x:v>0</x:v>
      </x:c>
      <x:c r="CN446" s="22" t="n">
        <x:f>MAX(0,MIN('Activities'!L446,528)-MAX('Activities'!K446,522))</x:f>
        <x:v>0</x:v>
      </x:c>
      <x:c r="CO446" s="22" t="n">
        <x:f>MAX(0,MIN('Activities'!L446,534)-MAX('Activities'!K446,528))</x:f>
        <x:v>0</x:v>
      </x:c>
      <x:c r="CP446" s="22" t="n">
        <x:f>MAX(0,MIN('Activities'!L446,540)-MAX('Activities'!K446,534))</x:f>
        <x:v>0</x:v>
      </x:c>
      <x:c r="CQ446" s="22" t="n">
        <x:f>MAX(0,MIN('Activities'!L446,546)-MAX('Activities'!K446,540))</x:f>
        <x:v>0</x:v>
      </x:c>
      <x:c r="CR446" s="22" t="n">
        <x:f>MAX(0,MIN('Activities'!L446,552)-MAX('Activities'!K446,546))</x:f>
        <x:v>0</x:v>
      </x:c>
      <x:c r="CS446" s="22" t="n">
        <x:f>MAX(0,MIN('Activities'!L446,558)-MAX('Activities'!K446,552))</x:f>
        <x:v>0</x:v>
      </x:c>
      <x:c r="CT446" s="22" t="n">
        <x:f>MAX(0,MIN('Activities'!L446,564)-MAX('Activities'!K446,558))</x:f>
        <x:v>0</x:v>
      </x:c>
      <x:c r="CU446" s="22" t="n">
        <x:f>MAX(0,MIN('Activities'!L446,570)-MAX('Activities'!K446,564))</x:f>
        <x:v>0</x:v>
      </x:c>
      <x:c r="CV446" s="22" t="n">
        <x:f>MAX(0,MIN('Activities'!L446,576)-MAX('Activities'!K446,570))</x:f>
        <x:v>0</x:v>
      </x:c>
      <x:c r="CW446" s="22" t="n">
        <x:f>MAX(0,MIN('Activities'!L446,582)-MAX('Activities'!K446,576))</x:f>
        <x:v>0</x:v>
      </x:c>
      <x:c r="CX446" s="22" t="n">
        <x:f>MAX(0,MIN('Activities'!L446,588)-MAX('Activities'!K446,582))</x:f>
        <x:v>0</x:v>
      </x:c>
      <x:c r="CY446" s="22" t="n">
        <x:f>MAX(0,MIN('Activities'!L446,594)-MAX('Activities'!K446,588))</x:f>
        <x:v>0</x:v>
      </x:c>
      <x:c r="CZ446" s="22" t="n">
        <x:f>MAX(0,MIN('Activities'!L446,600)-MAX('Activities'!K446,594))</x:f>
        <x:v>0</x:v>
      </x:c>
      <x:c r="DA446" s="22" t="n">
        <x:f>MAX(0,MIN('Activities'!L446,606)-MAX('Activities'!K446,600))</x:f>
        <x:v>0</x:v>
      </x:c>
      <x:c r="DB446" s="22" t="n">
        <x:f>MAX(0,MIN('Activities'!L446,612)-MAX('Activities'!K446,606))</x:f>
        <x:v>0</x:v>
      </x:c>
      <x:c r="DC446" s="22" t="n">
        <x:f>MAX(0,MIN('Activities'!L446,618)-MAX('Activities'!K446,612))</x:f>
        <x:v>0</x:v>
      </x:c>
      <x:c r="DD446" s="22" t="n">
        <x:f>MAX(0,MIN('Activities'!L446,624)-MAX('Activities'!K446,618))</x:f>
        <x:v>0</x:v>
      </x:c>
      <x:c r="DE446" s="22" t="n">
        <x:f>MAX(0,MIN('Activities'!L446,630)-MAX('Activities'!K446,624))</x:f>
        <x:v>0</x:v>
      </x:c>
      <x:c r="DF446" s="22" t="n">
        <x:f>MAX(0,MIN('Activities'!L446,636)-MAX('Activities'!K446,630))</x:f>
        <x:v>0</x:v>
      </x:c>
    </x:row>
    <x:row r="447" ht="23" customHeight="1">
      <x:c r="A447" s="1" t="str">
        <x:v>T4-L08-F</x:v>
      </x:c>
      <x:c r="B447" s="1" t="str">
        <x:v>T4</x:v>
      </x:c>
      <x:c r="C447" s="1" t="str">
        <x:v>Columns, core and deck formwork</x:v>
      </x:c>
      <x:c r="D447" s="1" t="str">
        <x:v>Formwork</x:v>
      </x:c>
      <x:c r="E447" s="23" t="n">
        <x:f>MAX(0,MIN('Activities'!L447,6)-MAX('Activities'!K447,0))</x:f>
        <x:v>0</x:v>
      </x:c>
      <x:c r="F447" s="23" t="n">
        <x:f>MAX(0,MIN('Activities'!L447,12)-MAX('Activities'!K447,6))</x:f>
        <x:v>0</x:v>
      </x:c>
      <x:c r="G447" s="23" t="n">
        <x:f>MAX(0,MIN('Activities'!L447,18)-MAX('Activities'!K447,12))</x:f>
        <x:v>0</x:v>
      </x:c>
      <x:c r="H447" s="23" t="n">
        <x:f>MAX(0,MIN('Activities'!L447,24)-MAX('Activities'!K447,18))</x:f>
        <x:v>0</x:v>
      </x:c>
      <x:c r="I447" s="23" t="n">
        <x:f>MAX(0,MIN('Activities'!L447,30)-MAX('Activities'!K447,24))</x:f>
        <x:v>0</x:v>
      </x:c>
      <x:c r="J447" s="23" t="n">
        <x:f>MAX(0,MIN('Activities'!L447,36)-MAX('Activities'!K447,30))</x:f>
        <x:v>0</x:v>
      </x:c>
      <x:c r="K447" s="23" t="n">
        <x:f>MAX(0,MIN('Activities'!L447,42)-MAX('Activities'!K447,36))</x:f>
        <x:v>0</x:v>
      </x:c>
      <x:c r="L447" s="23" t="n">
        <x:f>MAX(0,MIN('Activities'!L447,48)-MAX('Activities'!K447,42))</x:f>
        <x:v>0</x:v>
      </x:c>
      <x:c r="M447" s="23" t="n">
        <x:f>MAX(0,MIN('Activities'!L447,54)-MAX('Activities'!K447,48))</x:f>
        <x:v>0</x:v>
      </x:c>
      <x:c r="N447" s="23" t="n">
        <x:f>MAX(0,MIN('Activities'!L447,60)-MAX('Activities'!K447,54))</x:f>
        <x:v>0</x:v>
      </x:c>
      <x:c r="O447" s="23" t="n">
        <x:f>MAX(0,MIN('Activities'!L447,66)-MAX('Activities'!K447,60))</x:f>
        <x:v>0</x:v>
      </x:c>
      <x:c r="P447" s="23" t="n">
        <x:f>MAX(0,MIN('Activities'!L447,72)-MAX('Activities'!K447,66))</x:f>
        <x:v>0</x:v>
      </x:c>
      <x:c r="Q447" s="23" t="n">
        <x:f>MAX(0,MIN('Activities'!L447,78)-MAX('Activities'!K447,72))</x:f>
        <x:v>0</x:v>
      </x:c>
      <x:c r="R447" s="23" t="n">
        <x:f>MAX(0,MIN('Activities'!L447,84)-MAX('Activities'!K447,78))</x:f>
        <x:v>0</x:v>
      </x:c>
      <x:c r="S447" s="23" t="n">
        <x:f>MAX(0,MIN('Activities'!L447,90)-MAX('Activities'!K447,84))</x:f>
        <x:v>0</x:v>
      </x:c>
      <x:c r="T447" s="23" t="n">
        <x:f>MAX(0,MIN('Activities'!L447,96)-MAX('Activities'!K447,90))</x:f>
        <x:v>0</x:v>
      </x:c>
      <x:c r="U447" s="23" t="n">
        <x:f>MAX(0,MIN('Activities'!L447,102)-MAX('Activities'!K447,96))</x:f>
        <x:v>0</x:v>
      </x:c>
      <x:c r="V447" s="23" t="n">
        <x:f>MAX(0,MIN('Activities'!L447,108)-MAX('Activities'!K447,102))</x:f>
        <x:v>0</x:v>
      </x:c>
      <x:c r="W447" s="23" t="n">
        <x:f>MAX(0,MIN('Activities'!L447,114)-MAX('Activities'!K447,108))</x:f>
        <x:v>0</x:v>
      </x:c>
      <x:c r="X447" s="23" t="n">
        <x:f>MAX(0,MIN('Activities'!L447,120)-MAX('Activities'!K447,114))</x:f>
        <x:v>0</x:v>
      </x:c>
      <x:c r="Y447" s="23" t="n">
        <x:f>MAX(0,MIN('Activities'!L447,126)-MAX('Activities'!K447,120))</x:f>
        <x:v>0</x:v>
      </x:c>
      <x:c r="Z447" s="23" t="n">
        <x:f>MAX(0,MIN('Activities'!L447,132)-MAX('Activities'!K447,126))</x:f>
        <x:v>0</x:v>
      </x:c>
      <x:c r="AA447" s="23" t="n">
        <x:f>MAX(0,MIN('Activities'!L447,138)-MAX('Activities'!K447,132))</x:f>
        <x:v>0</x:v>
      </x:c>
      <x:c r="AB447" s="23" t="n">
        <x:f>MAX(0,MIN('Activities'!L447,144)-MAX('Activities'!K447,138))</x:f>
        <x:v>0</x:v>
      </x:c>
      <x:c r="AC447" s="23" t="n">
        <x:f>MAX(0,MIN('Activities'!L447,150)-MAX('Activities'!K447,144))</x:f>
        <x:v>0</x:v>
      </x:c>
      <x:c r="AD447" s="23" t="n">
        <x:f>MAX(0,MIN('Activities'!L447,156)-MAX('Activities'!K447,150))</x:f>
        <x:v>0</x:v>
      </x:c>
      <x:c r="AE447" s="23" t="n">
        <x:f>MAX(0,MIN('Activities'!L447,162)-MAX('Activities'!K447,156))</x:f>
        <x:v>0</x:v>
      </x:c>
      <x:c r="AF447" s="23" t="n">
        <x:f>MAX(0,MIN('Activities'!L447,168)-MAX('Activities'!K447,162))</x:f>
        <x:v>0</x:v>
      </x:c>
      <x:c r="AG447" s="23" t="n">
        <x:f>MAX(0,MIN('Activities'!L447,174)-MAX('Activities'!K447,168))</x:f>
        <x:v>0</x:v>
      </x:c>
      <x:c r="AH447" s="23" t="n">
        <x:f>MAX(0,MIN('Activities'!L447,180)-MAX('Activities'!K447,174))</x:f>
        <x:v>0</x:v>
      </x:c>
      <x:c r="AI447" s="23" t="n">
        <x:f>MAX(0,MIN('Activities'!L447,186)-MAX('Activities'!K447,180))</x:f>
        <x:v>0</x:v>
      </x:c>
      <x:c r="AJ447" s="23" t="n">
        <x:f>MAX(0,MIN('Activities'!L447,192)-MAX('Activities'!K447,186))</x:f>
        <x:v>0</x:v>
      </x:c>
      <x:c r="AK447" s="23" t="n">
        <x:f>MAX(0,MIN('Activities'!L447,198)-MAX('Activities'!K447,192))</x:f>
        <x:v>0</x:v>
      </x:c>
      <x:c r="AL447" s="23" t="n">
        <x:f>MAX(0,MIN('Activities'!L447,204)-MAX('Activities'!K447,198))</x:f>
        <x:v>0</x:v>
      </x:c>
      <x:c r="AM447" s="23" t="n">
        <x:f>MAX(0,MIN('Activities'!L447,210)-MAX('Activities'!K447,204))</x:f>
        <x:v>0</x:v>
      </x:c>
      <x:c r="AN447" s="23" t="n">
        <x:f>MAX(0,MIN('Activities'!L447,216)-MAX('Activities'!K447,210))</x:f>
        <x:v>0</x:v>
      </x:c>
      <x:c r="AO447" s="23" t="n">
        <x:f>MAX(0,MIN('Activities'!L447,222)-MAX('Activities'!K447,216))</x:f>
        <x:v>0</x:v>
      </x:c>
      <x:c r="AP447" s="23" t="n">
        <x:f>MAX(0,MIN('Activities'!L447,228)-MAX('Activities'!K447,222))</x:f>
        <x:v>0</x:v>
      </x:c>
      <x:c r="AQ447" s="23" t="n">
        <x:f>MAX(0,MIN('Activities'!L447,234)-MAX('Activities'!K447,228))</x:f>
        <x:v>0</x:v>
      </x:c>
      <x:c r="AR447" s="23" t="n">
        <x:f>MAX(0,MIN('Activities'!L447,240)-MAX('Activities'!K447,234))</x:f>
        <x:v>0</x:v>
      </x:c>
      <x:c r="AS447" s="23" t="n">
        <x:f>MAX(0,MIN('Activities'!L447,246)-MAX('Activities'!K447,240))</x:f>
        <x:v>0</x:v>
      </x:c>
      <x:c r="AT447" s="23" t="n">
        <x:f>MAX(0,MIN('Activities'!L447,252)-MAX('Activities'!K447,246))</x:f>
        <x:v>0</x:v>
      </x:c>
      <x:c r="AU447" s="23" t="n">
        <x:f>MAX(0,MIN('Activities'!L447,258)-MAX('Activities'!K447,252))</x:f>
        <x:v>0</x:v>
      </x:c>
      <x:c r="AV447" s="23" t="n">
        <x:f>MAX(0,MIN('Activities'!L447,264)-MAX('Activities'!K447,258))</x:f>
        <x:v>0</x:v>
      </x:c>
      <x:c r="AW447" s="23" t="n">
        <x:f>MAX(0,MIN('Activities'!L447,270)-MAX('Activities'!K447,264))</x:f>
        <x:v>0</x:v>
      </x:c>
      <x:c r="AX447" s="23" t="n">
        <x:f>MAX(0,MIN('Activities'!L447,276)-MAX('Activities'!K447,270))</x:f>
        <x:v>0</x:v>
      </x:c>
      <x:c r="AY447" s="23" t="n">
        <x:f>MAX(0,MIN('Activities'!L447,282)-MAX('Activities'!K447,276))</x:f>
        <x:v>0</x:v>
      </x:c>
      <x:c r="AZ447" s="23" t="n">
        <x:f>MAX(0,MIN('Activities'!L447,288)-MAX('Activities'!K447,282))</x:f>
        <x:v>0</x:v>
      </x:c>
      <x:c r="BA447" s="23" t="n">
        <x:f>MAX(0,MIN('Activities'!L447,294)-MAX('Activities'!K447,288))</x:f>
        <x:v>0</x:v>
      </x:c>
      <x:c r="BB447" s="23" t="n">
        <x:f>MAX(0,MIN('Activities'!L447,300)-MAX('Activities'!K447,294))</x:f>
        <x:v>0</x:v>
      </x:c>
      <x:c r="BC447" s="23" t="n">
        <x:f>MAX(0,MIN('Activities'!L447,306)-MAX('Activities'!K447,300))</x:f>
        <x:v>0</x:v>
      </x:c>
      <x:c r="BD447" s="23" t="n">
        <x:f>MAX(0,MIN('Activities'!L447,312)-MAX('Activities'!K447,306))</x:f>
        <x:v>0</x:v>
      </x:c>
      <x:c r="BE447" s="23" t="n">
        <x:f>MAX(0,MIN('Activities'!L447,318)-MAX('Activities'!K447,312))</x:f>
        <x:v>4</x:v>
      </x:c>
      <x:c r="BF447" s="23" t="n">
        <x:f>MAX(0,MIN('Activities'!L447,324)-MAX('Activities'!K447,318))</x:f>
        <x:v>2</x:v>
      </x:c>
      <x:c r="BG447" s="23" t="n">
        <x:f>MAX(0,MIN('Activities'!L447,330)-MAX('Activities'!K447,324))</x:f>
        <x:v>0</x:v>
      </x:c>
      <x:c r="BH447" s="23" t="n">
        <x:f>MAX(0,MIN('Activities'!L447,336)-MAX('Activities'!K447,330))</x:f>
        <x:v>0</x:v>
      </x:c>
      <x:c r="BI447" s="23" t="n">
        <x:f>MAX(0,MIN('Activities'!L447,342)-MAX('Activities'!K447,336))</x:f>
        <x:v>0</x:v>
      </x:c>
      <x:c r="BJ447" s="23" t="n">
        <x:f>MAX(0,MIN('Activities'!L447,348)-MAX('Activities'!K447,342))</x:f>
        <x:v>0</x:v>
      </x:c>
      <x:c r="BK447" s="23" t="n">
        <x:f>MAX(0,MIN('Activities'!L447,354)-MAX('Activities'!K447,348))</x:f>
        <x:v>0</x:v>
      </x:c>
      <x:c r="BL447" s="23" t="n">
        <x:f>MAX(0,MIN('Activities'!L447,360)-MAX('Activities'!K447,354))</x:f>
        <x:v>0</x:v>
      </x:c>
      <x:c r="BM447" s="23" t="n">
        <x:f>MAX(0,MIN('Activities'!L447,366)-MAX('Activities'!K447,360))</x:f>
        <x:v>0</x:v>
      </x:c>
      <x:c r="BN447" s="23" t="n">
        <x:f>MAX(0,MIN('Activities'!L447,372)-MAX('Activities'!K447,366))</x:f>
        <x:v>0</x:v>
      </x:c>
      <x:c r="BO447" s="23" t="n">
        <x:f>MAX(0,MIN('Activities'!L447,378)-MAX('Activities'!K447,372))</x:f>
        <x:v>0</x:v>
      </x:c>
      <x:c r="BP447" s="23" t="n">
        <x:f>MAX(0,MIN('Activities'!L447,384)-MAX('Activities'!K447,378))</x:f>
        <x:v>0</x:v>
      </x:c>
      <x:c r="BQ447" s="23" t="n">
        <x:f>MAX(0,MIN('Activities'!L447,390)-MAX('Activities'!K447,384))</x:f>
        <x:v>0</x:v>
      </x:c>
      <x:c r="BR447" s="23" t="n">
        <x:f>MAX(0,MIN('Activities'!L447,396)-MAX('Activities'!K447,390))</x:f>
        <x:v>0</x:v>
      </x:c>
      <x:c r="BS447" s="23" t="n">
        <x:f>MAX(0,MIN('Activities'!L447,402)-MAX('Activities'!K447,396))</x:f>
        <x:v>0</x:v>
      </x:c>
      <x:c r="BT447" s="23" t="n">
        <x:f>MAX(0,MIN('Activities'!L447,408)-MAX('Activities'!K447,402))</x:f>
        <x:v>0</x:v>
      </x:c>
      <x:c r="BU447" s="23" t="n">
        <x:f>MAX(0,MIN('Activities'!L447,414)-MAX('Activities'!K447,408))</x:f>
        <x:v>0</x:v>
      </x:c>
      <x:c r="BV447" s="23" t="n">
        <x:f>MAX(0,MIN('Activities'!L447,420)-MAX('Activities'!K447,414))</x:f>
        <x:v>0</x:v>
      </x:c>
      <x:c r="BW447" s="23" t="n">
        <x:f>MAX(0,MIN('Activities'!L447,426)-MAX('Activities'!K447,420))</x:f>
        <x:v>0</x:v>
      </x:c>
      <x:c r="BX447" s="23" t="n">
        <x:f>MAX(0,MIN('Activities'!L447,432)-MAX('Activities'!K447,426))</x:f>
        <x:v>0</x:v>
      </x:c>
      <x:c r="BY447" s="23" t="n">
        <x:f>MAX(0,MIN('Activities'!L447,438)-MAX('Activities'!K447,432))</x:f>
        <x:v>0</x:v>
      </x:c>
      <x:c r="BZ447" s="23" t="n">
        <x:f>MAX(0,MIN('Activities'!L447,444)-MAX('Activities'!K447,438))</x:f>
        <x:v>0</x:v>
      </x:c>
      <x:c r="CA447" s="23" t="n">
        <x:f>MAX(0,MIN('Activities'!L447,450)-MAX('Activities'!K447,444))</x:f>
        <x:v>0</x:v>
      </x:c>
      <x:c r="CB447" s="23" t="n">
        <x:f>MAX(0,MIN('Activities'!L447,456)-MAX('Activities'!K447,450))</x:f>
        <x:v>0</x:v>
      </x:c>
      <x:c r="CC447" s="23" t="n">
        <x:f>MAX(0,MIN('Activities'!L447,462)-MAX('Activities'!K447,456))</x:f>
        <x:v>0</x:v>
      </x:c>
      <x:c r="CD447" s="23" t="n">
        <x:f>MAX(0,MIN('Activities'!L447,468)-MAX('Activities'!K447,462))</x:f>
        <x:v>0</x:v>
      </x:c>
      <x:c r="CE447" s="23" t="n">
        <x:f>MAX(0,MIN('Activities'!L447,474)-MAX('Activities'!K447,468))</x:f>
        <x:v>0</x:v>
      </x:c>
      <x:c r="CF447" s="23" t="n">
        <x:f>MAX(0,MIN('Activities'!L447,480)-MAX('Activities'!K447,474))</x:f>
        <x:v>0</x:v>
      </x:c>
      <x:c r="CG447" s="23" t="n">
        <x:f>MAX(0,MIN('Activities'!L447,486)-MAX('Activities'!K447,480))</x:f>
        <x:v>0</x:v>
      </x:c>
      <x:c r="CH447" s="23" t="n">
        <x:f>MAX(0,MIN('Activities'!L447,492)-MAX('Activities'!K447,486))</x:f>
        <x:v>0</x:v>
      </x:c>
      <x:c r="CI447" s="23" t="n">
        <x:f>MAX(0,MIN('Activities'!L447,498)-MAX('Activities'!K447,492))</x:f>
        <x:v>0</x:v>
      </x:c>
      <x:c r="CJ447" s="23" t="n">
        <x:f>MAX(0,MIN('Activities'!L447,504)-MAX('Activities'!K447,498))</x:f>
        <x:v>0</x:v>
      </x:c>
      <x:c r="CK447" s="23" t="n">
        <x:f>MAX(0,MIN('Activities'!L447,510)-MAX('Activities'!K447,504))</x:f>
        <x:v>0</x:v>
      </x:c>
      <x:c r="CL447" s="23" t="n">
        <x:f>MAX(0,MIN('Activities'!L447,516)-MAX('Activities'!K447,510))</x:f>
        <x:v>0</x:v>
      </x:c>
      <x:c r="CM447" s="23" t="n">
        <x:f>MAX(0,MIN('Activities'!L447,522)-MAX('Activities'!K447,516))</x:f>
        <x:v>0</x:v>
      </x:c>
      <x:c r="CN447" s="23" t="n">
        <x:f>MAX(0,MIN('Activities'!L447,528)-MAX('Activities'!K447,522))</x:f>
        <x:v>0</x:v>
      </x:c>
      <x:c r="CO447" s="23" t="n">
        <x:f>MAX(0,MIN('Activities'!L447,534)-MAX('Activities'!K447,528))</x:f>
        <x:v>0</x:v>
      </x:c>
      <x:c r="CP447" s="23" t="n">
        <x:f>MAX(0,MIN('Activities'!L447,540)-MAX('Activities'!K447,534))</x:f>
        <x:v>0</x:v>
      </x:c>
      <x:c r="CQ447" s="23" t="n">
        <x:f>MAX(0,MIN('Activities'!L447,546)-MAX('Activities'!K447,540))</x:f>
        <x:v>0</x:v>
      </x:c>
      <x:c r="CR447" s="23" t="n">
        <x:f>MAX(0,MIN('Activities'!L447,552)-MAX('Activities'!K447,546))</x:f>
        <x:v>0</x:v>
      </x:c>
      <x:c r="CS447" s="23" t="n">
        <x:f>MAX(0,MIN('Activities'!L447,558)-MAX('Activities'!K447,552))</x:f>
        <x:v>0</x:v>
      </x:c>
      <x:c r="CT447" s="23" t="n">
        <x:f>MAX(0,MIN('Activities'!L447,564)-MAX('Activities'!K447,558))</x:f>
        <x:v>0</x:v>
      </x:c>
      <x:c r="CU447" s="23" t="n">
        <x:f>MAX(0,MIN('Activities'!L447,570)-MAX('Activities'!K447,564))</x:f>
        <x:v>0</x:v>
      </x:c>
      <x:c r="CV447" s="23" t="n">
        <x:f>MAX(0,MIN('Activities'!L447,576)-MAX('Activities'!K447,570))</x:f>
        <x:v>0</x:v>
      </x:c>
      <x:c r="CW447" s="23" t="n">
        <x:f>MAX(0,MIN('Activities'!L447,582)-MAX('Activities'!K447,576))</x:f>
        <x:v>0</x:v>
      </x:c>
      <x:c r="CX447" s="23" t="n">
        <x:f>MAX(0,MIN('Activities'!L447,588)-MAX('Activities'!K447,582))</x:f>
        <x:v>0</x:v>
      </x:c>
      <x:c r="CY447" s="23" t="n">
        <x:f>MAX(0,MIN('Activities'!L447,594)-MAX('Activities'!K447,588))</x:f>
        <x:v>0</x:v>
      </x:c>
      <x:c r="CZ447" s="23" t="n">
        <x:f>MAX(0,MIN('Activities'!L447,600)-MAX('Activities'!K447,594))</x:f>
        <x:v>0</x:v>
      </x:c>
      <x:c r="DA447" s="23" t="n">
        <x:f>MAX(0,MIN('Activities'!L447,606)-MAX('Activities'!K447,600))</x:f>
        <x:v>0</x:v>
      </x:c>
      <x:c r="DB447" s="23" t="n">
        <x:f>MAX(0,MIN('Activities'!L447,612)-MAX('Activities'!K447,606))</x:f>
        <x:v>0</x:v>
      </x:c>
      <x:c r="DC447" s="23" t="n">
        <x:f>MAX(0,MIN('Activities'!L447,618)-MAX('Activities'!K447,612))</x:f>
        <x:v>0</x:v>
      </x:c>
      <x:c r="DD447" s="23" t="n">
        <x:f>MAX(0,MIN('Activities'!L447,624)-MAX('Activities'!K447,618))</x:f>
        <x:v>0</x:v>
      </x:c>
      <x:c r="DE447" s="23" t="n">
        <x:f>MAX(0,MIN('Activities'!L447,630)-MAX('Activities'!K447,624))</x:f>
        <x:v>0</x:v>
      </x:c>
      <x:c r="DF447" s="23" t="n">
        <x:f>MAX(0,MIN('Activities'!L447,636)-MAX('Activities'!K447,630))</x:f>
        <x:v>0</x:v>
      </x:c>
    </x:row>
    <x:row r="448" ht="23" customHeight="1">
      <x:c r="A448" s="6" t="str">
        <x:v>T4-L08-R</x:v>
      </x:c>
      <x:c r="B448" s="6" t="str">
        <x:v>T4</x:v>
      </x:c>
      <x:c r="C448" s="6" t="str">
        <x:v>Column, wall, beam and slab reinforcement</x:v>
      </x:c>
      <x:c r="D448" s="6" t="str">
        <x:v>Rebar</x:v>
      </x:c>
      <x:c r="E448" s="22" t="n">
        <x:f>MAX(0,MIN('Activities'!L448,6)-MAX('Activities'!K448,0))</x:f>
        <x:v>0</x:v>
      </x:c>
      <x:c r="F448" s="22" t="n">
        <x:f>MAX(0,MIN('Activities'!L448,12)-MAX('Activities'!K448,6))</x:f>
        <x:v>0</x:v>
      </x:c>
      <x:c r="G448" s="22" t="n">
        <x:f>MAX(0,MIN('Activities'!L448,18)-MAX('Activities'!K448,12))</x:f>
        <x:v>0</x:v>
      </x:c>
      <x:c r="H448" s="22" t="n">
        <x:f>MAX(0,MIN('Activities'!L448,24)-MAX('Activities'!K448,18))</x:f>
        <x:v>0</x:v>
      </x:c>
      <x:c r="I448" s="22" t="n">
        <x:f>MAX(0,MIN('Activities'!L448,30)-MAX('Activities'!K448,24))</x:f>
        <x:v>0</x:v>
      </x:c>
      <x:c r="J448" s="22" t="n">
        <x:f>MAX(0,MIN('Activities'!L448,36)-MAX('Activities'!K448,30))</x:f>
        <x:v>0</x:v>
      </x:c>
      <x:c r="K448" s="22" t="n">
        <x:f>MAX(0,MIN('Activities'!L448,42)-MAX('Activities'!K448,36))</x:f>
        <x:v>0</x:v>
      </x:c>
      <x:c r="L448" s="22" t="n">
        <x:f>MAX(0,MIN('Activities'!L448,48)-MAX('Activities'!K448,42))</x:f>
        <x:v>0</x:v>
      </x:c>
      <x:c r="M448" s="22" t="n">
        <x:f>MAX(0,MIN('Activities'!L448,54)-MAX('Activities'!K448,48))</x:f>
        <x:v>0</x:v>
      </x:c>
      <x:c r="N448" s="22" t="n">
        <x:f>MAX(0,MIN('Activities'!L448,60)-MAX('Activities'!K448,54))</x:f>
        <x:v>0</x:v>
      </x:c>
      <x:c r="O448" s="22" t="n">
        <x:f>MAX(0,MIN('Activities'!L448,66)-MAX('Activities'!K448,60))</x:f>
        <x:v>0</x:v>
      </x:c>
      <x:c r="P448" s="22" t="n">
        <x:f>MAX(0,MIN('Activities'!L448,72)-MAX('Activities'!K448,66))</x:f>
        <x:v>0</x:v>
      </x:c>
      <x:c r="Q448" s="22" t="n">
        <x:f>MAX(0,MIN('Activities'!L448,78)-MAX('Activities'!K448,72))</x:f>
        <x:v>0</x:v>
      </x:c>
      <x:c r="R448" s="22" t="n">
        <x:f>MAX(0,MIN('Activities'!L448,84)-MAX('Activities'!K448,78))</x:f>
        <x:v>0</x:v>
      </x:c>
      <x:c r="S448" s="22" t="n">
        <x:f>MAX(0,MIN('Activities'!L448,90)-MAX('Activities'!K448,84))</x:f>
        <x:v>0</x:v>
      </x:c>
      <x:c r="T448" s="22" t="n">
        <x:f>MAX(0,MIN('Activities'!L448,96)-MAX('Activities'!K448,90))</x:f>
        <x:v>0</x:v>
      </x:c>
      <x:c r="U448" s="22" t="n">
        <x:f>MAX(0,MIN('Activities'!L448,102)-MAX('Activities'!K448,96))</x:f>
        <x:v>0</x:v>
      </x:c>
      <x:c r="V448" s="22" t="n">
        <x:f>MAX(0,MIN('Activities'!L448,108)-MAX('Activities'!K448,102))</x:f>
        <x:v>0</x:v>
      </x:c>
      <x:c r="W448" s="22" t="n">
        <x:f>MAX(0,MIN('Activities'!L448,114)-MAX('Activities'!K448,108))</x:f>
        <x:v>0</x:v>
      </x:c>
      <x:c r="X448" s="22" t="n">
        <x:f>MAX(0,MIN('Activities'!L448,120)-MAX('Activities'!K448,114))</x:f>
        <x:v>0</x:v>
      </x:c>
      <x:c r="Y448" s="22" t="n">
        <x:f>MAX(0,MIN('Activities'!L448,126)-MAX('Activities'!K448,120))</x:f>
        <x:v>0</x:v>
      </x:c>
      <x:c r="Z448" s="22" t="n">
        <x:f>MAX(0,MIN('Activities'!L448,132)-MAX('Activities'!K448,126))</x:f>
        <x:v>0</x:v>
      </x:c>
      <x:c r="AA448" s="22" t="n">
        <x:f>MAX(0,MIN('Activities'!L448,138)-MAX('Activities'!K448,132))</x:f>
        <x:v>0</x:v>
      </x:c>
      <x:c r="AB448" s="22" t="n">
        <x:f>MAX(0,MIN('Activities'!L448,144)-MAX('Activities'!K448,138))</x:f>
        <x:v>0</x:v>
      </x:c>
      <x:c r="AC448" s="22" t="n">
        <x:f>MAX(0,MIN('Activities'!L448,150)-MAX('Activities'!K448,144))</x:f>
        <x:v>0</x:v>
      </x:c>
      <x:c r="AD448" s="22" t="n">
        <x:f>MAX(0,MIN('Activities'!L448,156)-MAX('Activities'!K448,150))</x:f>
        <x:v>0</x:v>
      </x:c>
      <x:c r="AE448" s="22" t="n">
        <x:f>MAX(0,MIN('Activities'!L448,162)-MAX('Activities'!K448,156))</x:f>
        <x:v>0</x:v>
      </x:c>
      <x:c r="AF448" s="22" t="n">
        <x:f>MAX(0,MIN('Activities'!L448,168)-MAX('Activities'!K448,162))</x:f>
        <x:v>0</x:v>
      </x:c>
      <x:c r="AG448" s="22" t="n">
        <x:f>MAX(0,MIN('Activities'!L448,174)-MAX('Activities'!K448,168))</x:f>
        <x:v>0</x:v>
      </x:c>
      <x:c r="AH448" s="22" t="n">
        <x:f>MAX(0,MIN('Activities'!L448,180)-MAX('Activities'!K448,174))</x:f>
        <x:v>0</x:v>
      </x:c>
      <x:c r="AI448" s="22" t="n">
        <x:f>MAX(0,MIN('Activities'!L448,186)-MAX('Activities'!K448,180))</x:f>
        <x:v>0</x:v>
      </x:c>
      <x:c r="AJ448" s="22" t="n">
        <x:f>MAX(0,MIN('Activities'!L448,192)-MAX('Activities'!K448,186))</x:f>
        <x:v>0</x:v>
      </x:c>
      <x:c r="AK448" s="22" t="n">
        <x:f>MAX(0,MIN('Activities'!L448,198)-MAX('Activities'!K448,192))</x:f>
        <x:v>0</x:v>
      </x:c>
      <x:c r="AL448" s="22" t="n">
        <x:f>MAX(0,MIN('Activities'!L448,204)-MAX('Activities'!K448,198))</x:f>
        <x:v>0</x:v>
      </x:c>
      <x:c r="AM448" s="22" t="n">
        <x:f>MAX(0,MIN('Activities'!L448,210)-MAX('Activities'!K448,204))</x:f>
        <x:v>0</x:v>
      </x:c>
      <x:c r="AN448" s="22" t="n">
        <x:f>MAX(0,MIN('Activities'!L448,216)-MAX('Activities'!K448,210))</x:f>
        <x:v>0</x:v>
      </x:c>
      <x:c r="AO448" s="22" t="n">
        <x:f>MAX(0,MIN('Activities'!L448,222)-MAX('Activities'!K448,216))</x:f>
        <x:v>0</x:v>
      </x:c>
      <x:c r="AP448" s="22" t="n">
        <x:f>MAX(0,MIN('Activities'!L448,228)-MAX('Activities'!K448,222))</x:f>
        <x:v>0</x:v>
      </x:c>
      <x:c r="AQ448" s="22" t="n">
        <x:f>MAX(0,MIN('Activities'!L448,234)-MAX('Activities'!K448,228))</x:f>
        <x:v>0</x:v>
      </x:c>
      <x:c r="AR448" s="22" t="n">
        <x:f>MAX(0,MIN('Activities'!L448,240)-MAX('Activities'!K448,234))</x:f>
        <x:v>0</x:v>
      </x:c>
      <x:c r="AS448" s="22" t="n">
        <x:f>MAX(0,MIN('Activities'!L448,246)-MAX('Activities'!K448,240))</x:f>
        <x:v>0</x:v>
      </x:c>
      <x:c r="AT448" s="22" t="n">
        <x:f>MAX(0,MIN('Activities'!L448,252)-MAX('Activities'!K448,246))</x:f>
        <x:v>0</x:v>
      </x:c>
      <x:c r="AU448" s="22" t="n">
        <x:f>MAX(0,MIN('Activities'!L448,258)-MAX('Activities'!K448,252))</x:f>
        <x:v>0</x:v>
      </x:c>
      <x:c r="AV448" s="22" t="n">
        <x:f>MAX(0,MIN('Activities'!L448,264)-MAX('Activities'!K448,258))</x:f>
        <x:v>0</x:v>
      </x:c>
      <x:c r="AW448" s="22" t="n">
        <x:f>MAX(0,MIN('Activities'!L448,270)-MAX('Activities'!K448,264))</x:f>
        <x:v>0</x:v>
      </x:c>
      <x:c r="AX448" s="22" t="n">
        <x:f>MAX(0,MIN('Activities'!L448,276)-MAX('Activities'!K448,270))</x:f>
        <x:v>0</x:v>
      </x:c>
      <x:c r="AY448" s="22" t="n">
        <x:f>MAX(0,MIN('Activities'!L448,282)-MAX('Activities'!K448,276))</x:f>
        <x:v>0</x:v>
      </x:c>
      <x:c r="AZ448" s="22" t="n">
        <x:f>MAX(0,MIN('Activities'!L448,288)-MAX('Activities'!K448,282))</x:f>
        <x:v>0</x:v>
      </x:c>
      <x:c r="BA448" s="22" t="n">
        <x:f>MAX(0,MIN('Activities'!L448,294)-MAX('Activities'!K448,288))</x:f>
        <x:v>0</x:v>
      </x:c>
      <x:c r="BB448" s="22" t="n">
        <x:f>MAX(0,MIN('Activities'!L448,300)-MAX('Activities'!K448,294))</x:f>
        <x:v>0</x:v>
      </x:c>
      <x:c r="BC448" s="22" t="n">
        <x:f>MAX(0,MIN('Activities'!L448,306)-MAX('Activities'!K448,300))</x:f>
        <x:v>0</x:v>
      </x:c>
      <x:c r="BD448" s="22" t="n">
        <x:f>MAX(0,MIN('Activities'!L448,312)-MAX('Activities'!K448,306))</x:f>
        <x:v>0</x:v>
      </x:c>
      <x:c r="BE448" s="22" t="n">
        <x:f>MAX(0,MIN('Activities'!L448,318)-MAX('Activities'!K448,312))</x:f>
        <x:v>0</x:v>
      </x:c>
      <x:c r="BF448" s="22" t="n">
        <x:f>MAX(0,MIN('Activities'!L448,324)-MAX('Activities'!K448,318))</x:f>
        <x:v>4</x:v>
      </x:c>
      <x:c r="BG448" s="22" t="n">
        <x:f>MAX(0,MIN('Activities'!L448,330)-MAX('Activities'!K448,324))</x:f>
        <x:v>1</x:v>
      </x:c>
      <x:c r="BH448" s="22" t="n">
        <x:f>MAX(0,MIN('Activities'!L448,336)-MAX('Activities'!K448,330))</x:f>
        <x:v>0</x:v>
      </x:c>
      <x:c r="BI448" s="22" t="n">
        <x:f>MAX(0,MIN('Activities'!L448,342)-MAX('Activities'!K448,336))</x:f>
        <x:v>0</x:v>
      </x:c>
      <x:c r="BJ448" s="22" t="n">
        <x:f>MAX(0,MIN('Activities'!L448,348)-MAX('Activities'!K448,342))</x:f>
        <x:v>0</x:v>
      </x:c>
      <x:c r="BK448" s="22" t="n">
        <x:f>MAX(0,MIN('Activities'!L448,354)-MAX('Activities'!K448,348))</x:f>
        <x:v>0</x:v>
      </x:c>
      <x:c r="BL448" s="22" t="n">
        <x:f>MAX(0,MIN('Activities'!L448,360)-MAX('Activities'!K448,354))</x:f>
        <x:v>0</x:v>
      </x:c>
      <x:c r="BM448" s="22" t="n">
        <x:f>MAX(0,MIN('Activities'!L448,366)-MAX('Activities'!K448,360))</x:f>
        <x:v>0</x:v>
      </x:c>
      <x:c r="BN448" s="22" t="n">
        <x:f>MAX(0,MIN('Activities'!L448,372)-MAX('Activities'!K448,366))</x:f>
        <x:v>0</x:v>
      </x:c>
      <x:c r="BO448" s="22" t="n">
        <x:f>MAX(0,MIN('Activities'!L448,378)-MAX('Activities'!K448,372))</x:f>
        <x:v>0</x:v>
      </x:c>
      <x:c r="BP448" s="22" t="n">
        <x:f>MAX(0,MIN('Activities'!L448,384)-MAX('Activities'!K448,378))</x:f>
        <x:v>0</x:v>
      </x:c>
      <x:c r="BQ448" s="22" t="n">
        <x:f>MAX(0,MIN('Activities'!L448,390)-MAX('Activities'!K448,384))</x:f>
        <x:v>0</x:v>
      </x:c>
      <x:c r="BR448" s="22" t="n">
        <x:f>MAX(0,MIN('Activities'!L448,396)-MAX('Activities'!K448,390))</x:f>
        <x:v>0</x:v>
      </x:c>
      <x:c r="BS448" s="22" t="n">
        <x:f>MAX(0,MIN('Activities'!L448,402)-MAX('Activities'!K448,396))</x:f>
        <x:v>0</x:v>
      </x:c>
      <x:c r="BT448" s="22" t="n">
        <x:f>MAX(0,MIN('Activities'!L448,408)-MAX('Activities'!K448,402))</x:f>
        <x:v>0</x:v>
      </x:c>
      <x:c r="BU448" s="22" t="n">
        <x:f>MAX(0,MIN('Activities'!L448,414)-MAX('Activities'!K448,408))</x:f>
        <x:v>0</x:v>
      </x:c>
      <x:c r="BV448" s="22" t="n">
        <x:f>MAX(0,MIN('Activities'!L448,420)-MAX('Activities'!K448,414))</x:f>
        <x:v>0</x:v>
      </x:c>
      <x:c r="BW448" s="22" t="n">
        <x:f>MAX(0,MIN('Activities'!L448,426)-MAX('Activities'!K448,420))</x:f>
        <x:v>0</x:v>
      </x:c>
      <x:c r="BX448" s="22" t="n">
        <x:f>MAX(0,MIN('Activities'!L448,432)-MAX('Activities'!K448,426))</x:f>
        <x:v>0</x:v>
      </x:c>
      <x:c r="BY448" s="22" t="n">
        <x:f>MAX(0,MIN('Activities'!L448,438)-MAX('Activities'!K448,432))</x:f>
        <x:v>0</x:v>
      </x:c>
      <x:c r="BZ448" s="22" t="n">
        <x:f>MAX(0,MIN('Activities'!L448,444)-MAX('Activities'!K448,438))</x:f>
        <x:v>0</x:v>
      </x:c>
      <x:c r="CA448" s="22" t="n">
        <x:f>MAX(0,MIN('Activities'!L448,450)-MAX('Activities'!K448,444))</x:f>
        <x:v>0</x:v>
      </x:c>
      <x:c r="CB448" s="22" t="n">
        <x:f>MAX(0,MIN('Activities'!L448,456)-MAX('Activities'!K448,450))</x:f>
        <x:v>0</x:v>
      </x:c>
      <x:c r="CC448" s="22" t="n">
        <x:f>MAX(0,MIN('Activities'!L448,462)-MAX('Activities'!K448,456))</x:f>
        <x:v>0</x:v>
      </x:c>
      <x:c r="CD448" s="22" t="n">
        <x:f>MAX(0,MIN('Activities'!L448,468)-MAX('Activities'!K448,462))</x:f>
        <x:v>0</x:v>
      </x:c>
      <x:c r="CE448" s="22" t="n">
        <x:f>MAX(0,MIN('Activities'!L448,474)-MAX('Activities'!K448,468))</x:f>
        <x:v>0</x:v>
      </x:c>
      <x:c r="CF448" s="22" t="n">
        <x:f>MAX(0,MIN('Activities'!L448,480)-MAX('Activities'!K448,474))</x:f>
        <x:v>0</x:v>
      </x:c>
      <x:c r="CG448" s="22" t="n">
        <x:f>MAX(0,MIN('Activities'!L448,486)-MAX('Activities'!K448,480))</x:f>
        <x:v>0</x:v>
      </x:c>
      <x:c r="CH448" s="22" t="n">
        <x:f>MAX(0,MIN('Activities'!L448,492)-MAX('Activities'!K448,486))</x:f>
        <x:v>0</x:v>
      </x:c>
      <x:c r="CI448" s="22" t="n">
        <x:f>MAX(0,MIN('Activities'!L448,498)-MAX('Activities'!K448,492))</x:f>
        <x:v>0</x:v>
      </x:c>
      <x:c r="CJ448" s="22" t="n">
        <x:f>MAX(0,MIN('Activities'!L448,504)-MAX('Activities'!K448,498))</x:f>
        <x:v>0</x:v>
      </x:c>
      <x:c r="CK448" s="22" t="n">
        <x:f>MAX(0,MIN('Activities'!L448,510)-MAX('Activities'!K448,504))</x:f>
        <x:v>0</x:v>
      </x:c>
      <x:c r="CL448" s="22" t="n">
        <x:f>MAX(0,MIN('Activities'!L448,516)-MAX('Activities'!K448,510))</x:f>
        <x:v>0</x:v>
      </x:c>
      <x:c r="CM448" s="22" t="n">
        <x:f>MAX(0,MIN('Activities'!L448,522)-MAX('Activities'!K448,516))</x:f>
        <x:v>0</x:v>
      </x:c>
      <x:c r="CN448" s="22" t="n">
        <x:f>MAX(0,MIN('Activities'!L448,528)-MAX('Activities'!K448,522))</x:f>
        <x:v>0</x:v>
      </x:c>
      <x:c r="CO448" s="22" t="n">
        <x:f>MAX(0,MIN('Activities'!L448,534)-MAX('Activities'!K448,528))</x:f>
        <x:v>0</x:v>
      </x:c>
      <x:c r="CP448" s="22" t="n">
        <x:f>MAX(0,MIN('Activities'!L448,540)-MAX('Activities'!K448,534))</x:f>
        <x:v>0</x:v>
      </x:c>
      <x:c r="CQ448" s="22" t="n">
        <x:f>MAX(0,MIN('Activities'!L448,546)-MAX('Activities'!K448,540))</x:f>
        <x:v>0</x:v>
      </x:c>
      <x:c r="CR448" s="22" t="n">
        <x:f>MAX(0,MIN('Activities'!L448,552)-MAX('Activities'!K448,546))</x:f>
        <x:v>0</x:v>
      </x:c>
      <x:c r="CS448" s="22" t="n">
        <x:f>MAX(0,MIN('Activities'!L448,558)-MAX('Activities'!K448,552))</x:f>
        <x:v>0</x:v>
      </x:c>
      <x:c r="CT448" s="22" t="n">
        <x:f>MAX(0,MIN('Activities'!L448,564)-MAX('Activities'!K448,558))</x:f>
        <x:v>0</x:v>
      </x:c>
      <x:c r="CU448" s="22" t="n">
        <x:f>MAX(0,MIN('Activities'!L448,570)-MAX('Activities'!K448,564))</x:f>
        <x:v>0</x:v>
      </x:c>
      <x:c r="CV448" s="22" t="n">
        <x:f>MAX(0,MIN('Activities'!L448,576)-MAX('Activities'!K448,570))</x:f>
        <x:v>0</x:v>
      </x:c>
      <x:c r="CW448" s="22" t="n">
        <x:f>MAX(0,MIN('Activities'!L448,582)-MAX('Activities'!K448,576))</x:f>
        <x:v>0</x:v>
      </x:c>
      <x:c r="CX448" s="22" t="n">
        <x:f>MAX(0,MIN('Activities'!L448,588)-MAX('Activities'!K448,582))</x:f>
        <x:v>0</x:v>
      </x:c>
      <x:c r="CY448" s="22" t="n">
        <x:f>MAX(0,MIN('Activities'!L448,594)-MAX('Activities'!K448,588))</x:f>
        <x:v>0</x:v>
      </x:c>
      <x:c r="CZ448" s="22" t="n">
        <x:f>MAX(0,MIN('Activities'!L448,600)-MAX('Activities'!K448,594))</x:f>
        <x:v>0</x:v>
      </x:c>
      <x:c r="DA448" s="22" t="n">
        <x:f>MAX(0,MIN('Activities'!L448,606)-MAX('Activities'!K448,600))</x:f>
        <x:v>0</x:v>
      </x:c>
      <x:c r="DB448" s="22" t="n">
        <x:f>MAX(0,MIN('Activities'!L448,612)-MAX('Activities'!K448,606))</x:f>
        <x:v>0</x:v>
      </x:c>
      <x:c r="DC448" s="22" t="n">
        <x:f>MAX(0,MIN('Activities'!L448,618)-MAX('Activities'!K448,612))</x:f>
        <x:v>0</x:v>
      </x:c>
      <x:c r="DD448" s="22" t="n">
        <x:f>MAX(0,MIN('Activities'!L448,624)-MAX('Activities'!K448,618))</x:f>
        <x:v>0</x:v>
      </x:c>
      <x:c r="DE448" s="22" t="n">
        <x:f>MAX(0,MIN('Activities'!L448,630)-MAX('Activities'!K448,624))</x:f>
        <x:v>0</x:v>
      </x:c>
      <x:c r="DF448" s="22" t="n">
        <x:f>MAX(0,MIN('Activities'!L448,636)-MAX('Activities'!K448,630))</x:f>
        <x:v>0</x:v>
      </x:c>
    </x:row>
    <x:row r="449" ht="23" customHeight="1">
      <x:c r="A449" s="1" t="str">
        <x:v>T4-L08-C</x:v>
      </x:c>
      <x:c r="B449" s="1" t="str">
        <x:v>T4</x:v>
      </x:c>
      <x:c r="C449" s="1" t="str">
        <x:v>Concrete placement and finishing</x:v>
      </x:c>
      <x:c r="D449" s="1" t="str">
        <x:v>Concrete</x:v>
      </x:c>
      <x:c r="E449" s="23" t="n">
        <x:f>MAX(0,MIN('Activities'!L449,6)-MAX('Activities'!K449,0))</x:f>
        <x:v>0</x:v>
      </x:c>
      <x:c r="F449" s="23" t="n">
        <x:f>MAX(0,MIN('Activities'!L449,12)-MAX('Activities'!K449,6))</x:f>
        <x:v>0</x:v>
      </x:c>
      <x:c r="G449" s="23" t="n">
        <x:f>MAX(0,MIN('Activities'!L449,18)-MAX('Activities'!K449,12))</x:f>
        <x:v>0</x:v>
      </x:c>
      <x:c r="H449" s="23" t="n">
        <x:f>MAX(0,MIN('Activities'!L449,24)-MAX('Activities'!K449,18))</x:f>
        <x:v>0</x:v>
      </x:c>
      <x:c r="I449" s="23" t="n">
        <x:f>MAX(0,MIN('Activities'!L449,30)-MAX('Activities'!K449,24))</x:f>
        <x:v>0</x:v>
      </x:c>
      <x:c r="J449" s="23" t="n">
        <x:f>MAX(0,MIN('Activities'!L449,36)-MAX('Activities'!K449,30))</x:f>
        <x:v>0</x:v>
      </x:c>
      <x:c r="K449" s="23" t="n">
        <x:f>MAX(0,MIN('Activities'!L449,42)-MAX('Activities'!K449,36))</x:f>
        <x:v>0</x:v>
      </x:c>
      <x:c r="L449" s="23" t="n">
        <x:f>MAX(0,MIN('Activities'!L449,48)-MAX('Activities'!K449,42))</x:f>
        <x:v>0</x:v>
      </x:c>
      <x:c r="M449" s="23" t="n">
        <x:f>MAX(0,MIN('Activities'!L449,54)-MAX('Activities'!K449,48))</x:f>
        <x:v>0</x:v>
      </x:c>
      <x:c r="N449" s="23" t="n">
        <x:f>MAX(0,MIN('Activities'!L449,60)-MAX('Activities'!K449,54))</x:f>
        <x:v>0</x:v>
      </x:c>
      <x:c r="O449" s="23" t="n">
        <x:f>MAX(0,MIN('Activities'!L449,66)-MAX('Activities'!K449,60))</x:f>
        <x:v>0</x:v>
      </x:c>
      <x:c r="P449" s="23" t="n">
        <x:f>MAX(0,MIN('Activities'!L449,72)-MAX('Activities'!K449,66))</x:f>
        <x:v>0</x:v>
      </x:c>
      <x:c r="Q449" s="23" t="n">
        <x:f>MAX(0,MIN('Activities'!L449,78)-MAX('Activities'!K449,72))</x:f>
        <x:v>0</x:v>
      </x:c>
      <x:c r="R449" s="23" t="n">
        <x:f>MAX(0,MIN('Activities'!L449,84)-MAX('Activities'!K449,78))</x:f>
        <x:v>0</x:v>
      </x:c>
      <x:c r="S449" s="23" t="n">
        <x:f>MAX(0,MIN('Activities'!L449,90)-MAX('Activities'!K449,84))</x:f>
        <x:v>0</x:v>
      </x:c>
      <x:c r="T449" s="23" t="n">
        <x:f>MAX(0,MIN('Activities'!L449,96)-MAX('Activities'!K449,90))</x:f>
        <x:v>0</x:v>
      </x:c>
      <x:c r="U449" s="23" t="n">
        <x:f>MAX(0,MIN('Activities'!L449,102)-MAX('Activities'!K449,96))</x:f>
        <x:v>0</x:v>
      </x:c>
      <x:c r="V449" s="23" t="n">
        <x:f>MAX(0,MIN('Activities'!L449,108)-MAX('Activities'!K449,102))</x:f>
        <x:v>0</x:v>
      </x:c>
      <x:c r="W449" s="23" t="n">
        <x:f>MAX(0,MIN('Activities'!L449,114)-MAX('Activities'!K449,108))</x:f>
        <x:v>0</x:v>
      </x:c>
      <x:c r="X449" s="23" t="n">
        <x:f>MAX(0,MIN('Activities'!L449,120)-MAX('Activities'!K449,114))</x:f>
        <x:v>0</x:v>
      </x:c>
      <x:c r="Y449" s="23" t="n">
        <x:f>MAX(0,MIN('Activities'!L449,126)-MAX('Activities'!K449,120))</x:f>
        <x:v>0</x:v>
      </x:c>
      <x:c r="Z449" s="23" t="n">
        <x:f>MAX(0,MIN('Activities'!L449,132)-MAX('Activities'!K449,126))</x:f>
        <x:v>0</x:v>
      </x:c>
      <x:c r="AA449" s="23" t="n">
        <x:f>MAX(0,MIN('Activities'!L449,138)-MAX('Activities'!K449,132))</x:f>
        <x:v>0</x:v>
      </x:c>
      <x:c r="AB449" s="23" t="n">
        <x:f>MAX(0,MIN('Activities'!L449,144)-MAX('Activities'!K449,138))</x:f>
        <x:v>0</x:v>
      </x:c>
      <x:c r="AC449" s="23" t="n">
        <x:f>MAX(0,MIN('Activities'!L449,150)-MAX('Activities'!K449,144))</x:f>
        <x:v>0</x:v>
      </x:c>
      <x:c r="AD449" s="23" t="n">
        <x:f>MAX(0,MIN('Activities'!L449,156)-MAX('Activities'!K449,150))</x:f>
        <x:v>0</x:v>
      </x:c>
      <x:c r="AE449" s="23" t="n">
        <x:f>MAX(0,MIN('Activities'!L449,162)-MAX('Activities'!K449,156))</x:f>
        <x:v>0</x:v>
      </x:c>
      <x:c r="AF449" s="23" t="n">
        <x:f>MAX(0,MIN('Activities'!L449,168)-MAX('Activities'!K449,162))</x:f>
        <x:v>0</x:v>
      </x:c>
      <x:c r="AG449" s="23" t="n">
        <x:f>MAX(0,MIN('Activities'!L449,174)-MAX('Activities'!K449,168))</x:f>
        <x:v>0</x:v>
      </x:c>
      <x:c r="AH449" s="23" t="n">
        <x:f>MAX(0,MIN('Activities'!L449,180)-MAX('Activities'!K449,174))</x:f>
        <x:v>0</x:v>
      </x:c>
      <x:c r="AI449" s="23" t="n">
        <x:f>MAX(0,MIN('Activities'!L449,186)-MAX('Activities'!K449,180))</x:f>
        <x:v>0</x:v>
      </x:c>
      <x:c r="AJ449" s="23" t="n">
        <x:f>MAX(0,MIN('Activities'!L449,192)-MAX('Activities'!K449,186))</x:f>
        <x:v>0</x:v>
      </x:c>
      <x:c r="AK449" s="23" t="n">
        <x:f>MAX(0,MIN('Activities'!L449,198)-MAX('Activities'!K449,192))</x:f>
        <x:v>0</x:v>
      </x:c>
      <x:c r="AL449" s="23" t="n">
        <x:f>MAX(0,MIN('Activities'!L449,204)-MAX('Activities'!K449,198))</x:f>
        <x:v>0</x:v>
      </x:c>
      <x:c r="AM449" s="23" t="n">
        <x:f>MAX(0,MIN('Activities'!L449,210)-MAX('Activities'!K449,204))</x:f>
        <x:v>0</x:v>
      </x:c>
      <x:c r="AN449" s="23" t="n">
        <x:f>MAX(0,MIN('Activities'!L449,216)-MAX('Activities'!K449,210))</x:f>
        <x:v>0</x:v>
      </x:c>
      <x:c r="AO449" s="23" t="n">
        <x:f>MAX(0,MIN('Activities'!L449,222)-MAX('Activities'!K449,216))</x:f>
        <x:v>0</x:v>
      </x:c>
      <x:c r="AP449" s="23" t="n">
        <x:f>MAX(0,MIN('Activities'!L449,228)-MAX('Activities'!K449,222))</x:f>
        <x:v>0</x:v>
      </x:c>
      <x:c r="AQ449" s="23" t="n">
        <x:f>MAX(0,MIN('Activities'!L449,234)-MAX('Activities'!K449,228))</x:f>
        <x:v>0</x:v>
      </x:c>
      <x:c r="AR449" s="23" t="n">
        <x:f>MAX(0,MIN('Activities'!L449,240)-MAX('Activities'!K449,234))</x:f>
        <x:v>0</x:v>
      </x:c>
      <x:c r="AS449" s="23" t="n">
        <x:f>MAX(0,MIN('Activities'!L449,246)-MAX('Activities'!K449,240))</x:f>
        <x:v>0</x:v>
      </x:c>
      <x:c r="AT449" s="23" t="n">
        <x:f>MAX(0,MIN('Activities'!L449,252)-MAX('Activities'!K449,246))</x:f>
        <x:v>0</x:v>
      </x:c>
      <x:c r="AU449" s="23" t="n">
        <x:f>MAX(0,MIN('Activities'!L449,258)-MAX('Activities'!K449,252))</x:f>
        <x:v>0</x:v>
      </x:c>
      <x:c r="AV449" s="23" t="n">
        <x:f>MAX(0,MIN('Activities'!L449,264)-MAX('Activities'!K449,258))</x:f>
        <x:v>0</x:v>
      </x:c>
      <x:c r="AW449" s="23" t="n">
        <x:f>MAX(0,MIN('Activities'!L449,270)-MAX('Activities'!K449,264))</x:f>
        <x:v>0</x:v>
      </x:c>
      <x:c r="AX449" s="23" t="n">
        <x:f>MAX(0,MIN('Activities'!L449,276)-MAX('Activities'!K449,270))</x:f>
        <x:v>0</x:v>
      </x:c>
      <x:c r="AY449" s="23" t="n">
        <x:f>MAX(0,MIN('Activities'!L449,282)-MAX('Activities'!K449,276))</x:f>
        <x:v>0</x:v>
      </x:c>
      <x:c r="AZ449" s="23" t="n">
        <x:f>MAX(0,MIN('Activities'!L449,288)-MAX('Activities'!K449,282))</x:f>
        <x:v>0</x:v>
      </x:c>
      <x:c r="BA449" s="23" t="n">
        <x:f>MAX(0,MIN('Activities'!L449,294)-MAX('Activities'!K449,288))</x:f>
        <x:v>0</x:v>
      </x:c>
      <x:c r="BB449" s="23" t="n">
        <x:f>MAX(0,MIN('Activities'!L449,300)-MAX('Activities'!K449,294))</x:f>
        <x:v>0</x:v>
      </x:c>
      <x:c r="BC449" s="23" t="n">
        <x:f>MAX(0,MIN('Activities'!L449,306)-MAX('Activities'!K449,300))</x:f>
        <x:v>0</x:v>
      </x:c>
      <x:c r="BD449" s="23" t="n">
        <x:f>MAX(0,MIN('Activities'!L449,312)-MAX('Activities'!K449,306))</x:f>
        <x:v>0</x:v>
      </x:c>
      <x:c r="BE449" s="23" t="n">
        <x:f>MAX(0,MIN('Activities'!L449,318)-MAX('Activities'!K449,312))</x:f>
        <x:v>0</x:v>
      </x:c>
      <x:c r="BF449" s="23" t="n">
        <x:f>MAX(0,MIN('Activities'!L449,324)-MAX('Activities'!K449,318))</x:f>
        <x:v>0</x:v>
      </x:c>
      <x:c r="BG449" s="23" t="n">
        <x:f>MAX(0,MIN('Activities'!L449,330)-MAX('Activities'!K449,324))</x:f>
        <x:v>2</x:v>
      </x:c>
      <x:c r="BH449" s="23" t="n">
        <x:f>MAX(0,MIN('Activities'!L449,336)-MAX('Activities'!K449,330))</x:f>
        <x:v>0</x:v>
      </x:c>
      <x:c r="BI449" s="23" t="n">
        <x:f>MAX(0,MIN('Activities'!L449,342)-MAX('Activities'!K449,336))</x:f>
        <x:v>0</x:v>
      </x:c>
      <x:c r="BJ449" s="23" t="n">
        <x:f>MAX(0,MIN('Activities'!L449,348)-MAX('Activities'!K449,342))</x:f>
        <x:v>0</x:v>
      </x:c>
      <x:c r="BK449" s="23" t="n">
        <x:f>MAX(0,MIN('Activities'!L449,354)-MAX('Activities'!K449,348))</x:f>
        <x:v>0</x:v>
      </x:c>
      <x:c r="BL449" s="23" t="n">
        <x:f>MAX(0,MIN('Activities'!L449,360)-MAX('Activities'!K449,354))</x:f>
        <x:v>0</x:v>
      </x:c>
      <x:c r="BM449" s="23" t="n">
        <x:f>MAX(0,MIN('Activities'!L449,366)-MAX('Activities'!K449,360))</x:f>
        <x:v>0</x:v>
      </x:c>
      <x:c r="BN449" s="23" t="n">
        <x:f>MAX(0,MIN('Activities'!L449,372)-MAX('Activities'!K449,366))</x:f>
        <x:v>0</x:v>
      </x:c>
      <x:c r="BO449" s="23" t="n">
        <x:f>MAX(0,MIN('Activities'!L449,378)-MAX('Activities'!K449,372))</x:f>
        <x:v>0</x:v>
      </x:c>
      <x:c r="BP449" s="23" t="n">
        <x:f>MAX(0,MIN('Activities'!L449,384)-MAX('Activities'!K449,378))</x:f>
        <x:v>0</x:v>
      </x:c>
      <x:c r="BQ449" s="23" t="n">
        <x:f>MAX(0,MIN('Activities'!L449,390)-MAX('Activities'!K449,384))</x:f>
        <x:v>0</x:v>
      </x:c>
      <x:c r="BR449" s="23" t="n">
        <x:f>MAX(0,MIN('Activities'!L449,396)-MAX('Activities'!K449,390))</x:f>
        <x:v>0</x:v>
      </x:c>
      <x:c r="BS449" s="23" t="n">
        <x:f>MAX(0,MIN('Activities'!L449,402)-MAX('Activities'!K449,396))</x:f>
        <x:v>0</x:v>
      </x:c>
      <x:c r="BT449" s="23" t="n">
        <x:f>MAX(0,MIN('Activities'!L449,408)-MAX('Activities'!K449,402))</x:f>
        <x:v>0</x:v>
      </x:c>
      <x:c r="BU449" s="23" t="n">
        <x:f>MAX(0,MIN('Activities'!L449,414)-MAX('Activities'!K449,408))</x:f>
        <x:v>0</x:v>
      </x:c>
      <x:c r="BV449" s="23" t="n">
        <x:f>MAX(0,MIN('Activities'!L449,420)-MAX('Activities'!K449,414))</x:f>
        <x:v>0</x:v>
      </x:c>
      <x:c r="BW449" s="23" t="n">
        <x:f>MAX(0,MIN('Activities'!L449,426)-MAX('Activities'!K449,420))</x:f>
        <x:v>0</x:v>
      </x:c>
      <x:c r="BX449" s="23" t="n">
        <x:f>MAX(0,MIN('Activities'!L449,432)-MAX('Activities'!K449,426))</x:f>
        <x:v>0</x:v>
      </x:c>
      <x:c r="BY449" s="23" t="n">
        <x:f>MAX(0,MIN('Activities'!L449,438)-MAX('Activities'!K449,432))</x:f>
        <x:v>0</x:v>
      </x:c>
      <x:c r="BZ449" s="23" t="n">
        <x:f>MAX(0,MIN('Activities'!L449,444)-MAX('Activities'!K449,438))</x:f>
        <x:v>0</x:v>
      </x:c>
      <x:c r="CA449" s="23" t="n">
        <x:f>MAX(0,MIN('Activities'!L449,450)-MAX('Activities'!K449,444))</x:f>
        <x:v>0</x:v>
      </x:c>
      <x:c r="CB449" s="23" t="n">
        <x:f>MAX(0,MIN('Activities'!L449,456)-MAX('Activities'!K449,450))</x:f>
        <x:v>0</x:v>
      </x:c>
      <x:c r="CC449" s="23" t="n">
        <x:f>MAX(0,MIN('Activities'!L449,462)-MAX('Activities'!K449,456))</x:f>
        <x:v>0</x:v>
      </x:c>
      <x:c r="CD449" s="23" t="n">
        <x:f>MAX(0,MIN('Activities'!L449,468)-MAX('Activities'!K449,462))</x:f>
        <x:v>0</x:v>
      </x:c>
      <x:c r="CE449" s="23" t="n">
        <x:f>MAX(0,MIN('Activities'!L449,474)-MAX('Activities'!K449,468))</x:f>
        <x:v>0</x:v>
      </x:c>
      <x:c r="CF449" s="23" t="n">
        <x:f>MAX(0,MIN('Activities'!L449,480)-MAX('Activities'!K449,474))</x:f>
        <x:v>0</x:v>
      </x:c>
      <x:c r="CG449" s="23" t="n">
        <x:f>MAX(0,MIN('Activities'!L449,486)-MAX('Activities'!K449,480))</x:f>
        <x:v>0</x:v>
      </x:c>
      <x:c r="CH449" s="23" t="n">
        <x:f>MAX(0,MIN('Activities'!L449,492)-MAX('Activities'!K449,486))</x:f>
        <x:v>0</x:v>
      </x:c>
      <x:c r="CI449" s="23" t="n">
        <x:f>MAX(0,MIN('Activities'!L449,498)-MAX('Activities'!K449,492))</x:f>
        <x:v>0</x:v>
      </x:c>
      <x:c r="CJ449" s="23" t="n">
        <x:f>MAX(0,MIN('Activities'!L449,504)-MAX('Activities'!K449,498))</x:f>
        <x:v>0</x:v>
      </x:c>
      <x:c r="CK449" s="23" t="n">
        <x:f>MAX(0,MIN('Activities'!L449,510)-MAX('Activities'!K449,504))</x:f>
        <x:v>0</x:v>
      </x:c>
      <x:c r="CL449" s="23" t="n">
        <x:f>MAX(0,MIN('Activities'!L449,516)-MAX('Activities'!K449,510))</x:f>
        <x:v>0</x:v>
      </x:c>
      <x:c r="CM449" s="23" t="n">
        <x:f>MAX(0,MIN('Activities'!L449,522)-MAX('Activities'!K449,516))</x:f>
        <x:v>0</x:v>
      </x:c>
      <x:c r="CN449" s="23" t="n">
        <x:f>MAX(0,MIN('Activities'!L449,528)-MAX('Activities'!K449,522))</x:f>
        <x:v>0</x:v>
      </x:c>
      <x:c r="CO449" s="23" t="n">
        <x:f>MAX(0,MIN('Activities'!L449,534)-MAX('Activities'!K449,528))</x:f>
        <x:v>0</x:v>
      </x:c>
      <x:c r="CP449" s="23" t="n">
        <x:f>MAX(0,MIN('Activities'!L449,540)-MAX('Activities'!K449,534))</x:f>
        <x:v>0</x:v>
      </x:c>
      <x:c r="CQ449" s="23" t="n">
        <x:f>MAX(0,MIN('Activities'!L449,546)-MAX('Activities'!K449,540))</x:f>
        <x:v>0</x:v>
      </x:c>
      <x:c r="CR449" s="23" t="n">
        <x:f>MAX(0,MIN('Activities'!L449,552)-MAX('Activities'!K449,546))</x:f>
        <x:v>0</x:v>
      </x:c>
      <x:c r="CS449" s="23" t="n">
        <x:f>MAX(0,MIN('Activities'!L449,558)-MAX('Activities'!K449,552))</x:f>
        <x:v>0</x:v>
      </x:c>
      <x:c r="CT449" s="23" t="n">
        <x:f>MAX(0,MIN('Activities'!L449,564)-MAX('Activities'!K449,558))</x:f>
        <x:v>0</x:v>
      </x:c>
      <x:c r="CU449" s="23" t="n">
        <x:f>MAX(0,MIN('Activities'!L449,570)-MAX('Activities'!K449,564))</x:f>
        <x:v>0</x:v>
      </x:c>
      <x:c r="CV449" s="23" t="n">
        <x:f>MAX(0,MIN('Activities'!L449,576)-MAX('Activities'!K449,570))</x:f>
        <x:v>0</x:v>
      </x:c>
      <x:c r="CW449" s="23" t="n">
        <x:f>MAX(0,MIN('Activities'!L449,582)-MAX('Activities'!K449,576))</x:f>
        <x:v>0</x:v>
      </x:c>
      <x:c r="CX449" s="23" t="n">
        <x:f>MAX(0,MIN('Activities'!L449,588)-MAX('Activities'!K449,582))</x:f>
        <x:v>0</x:v>
      </x:c>
      <x:c r="CY449" s="23" t="n">
        <x:f>MAX(0,MIN('Activities'!L449,594)-MAX('Activities'!K449,588))</x:f>
        <x:v>0</x:v>
      </x:c>
      <x:c r="CZ449" s="23" t="n">
        <x:f>MAX(0,MIN('Activities'!L449,600)-MAX('Activities'!K449,594))</x:f>
        <x:v>0</x:v>
      </x:c>
      <x:c r="DA449" s="23" t="n">
        <x:f>MAX(0,MIN('Activities'!L449,606)-MAX('Activities'!K449,600))</x:f>
        <x:v>0</x:v>
      </x:c>
      <x:c r="DB449" s="23" t="n">
        <x:f>MAX(0,MIN('Activities'!L449,612)-MAX('Activities'!K449,606))</x:f>
        <x:v>0</x:v>
      </x:c>
      <x:c r="DC449" s="23" t="n">
        <x:f>MAX(0,MIN('Activities'!L449,618)-MAX('Activities'!K449,612))</x:f>
        <x:v>0</x:v>
      </x:c>
      <x:c r="DD449" s="23" t="n">
        <x:f>MAX(0,MIN('Activities'!L449,624)-MAX('Activities'!K449,618))</x:f>
        <x:v>0</x:v>
      </x:c>
      <x:c r="DE449" s="23" t="n">
        <x:f>MAX(0,MIN('Activities'!L449,630)-MAX('Activities'!K449,624))</x:f>
        <x:v>0</x:v>
      </x:c>
      <x:c r="DF449" s="23" t="n">
        <x:f>MAX(0,MIN('Activities'!L449,636)-MAX('Activities'!K449,630))</x:f>
        <x:v>0</x:v>
      </x:c>
    </x:row>
    <x:row r="450" ht="23" customHeight="1">
      <x:c r="A450" s="6" t="str">
        <x:v>T4-L08-H</x:v>
      </x:c>
      <x:c r="B450" s="6" t="str">
        <x:v>T4</x:v>
      </x:c>
      <x:c r="C450" s="6" t="str">
        <x:v>Curing and release hold point</x:v>
      </x:c>
      <x:c r="D450" s="6" t="str">
        <x:v>Site</x:v>
      </x:c>
      <x:c r="E450" s="22" t="n">
        <x:f>MAX(0,MIN('Activities'!L450,6)-MAX('Activities'!K450,0))</x:f>
        <x:v>0</x:v>
      </x:c>
      <x:c r="F450" s="22" t="n">
        <x:f>MAX(0,MIN('Activities'!L450,12)-MAX('Activities'!K450,6))</x:f>
        <x:v>0</x:v>
      </x:c>
      <x:c r="G450" s="22" t="n">
        <x:f>MAX(0,MIN('Activities'!L450,18)-MAX('Activities'!K450,12))</x:f>
        <x:v>0</x:v>
      </x:c>
      <x:c r="H450" s="22" t="n">
        <x:f>MAX(0,MIN('Activities'!L450,24)-MAX('Activities'!K450,18))</x:f>
        <x:v>0</x:v>
      </x:c>
      <x:c r="I450" s="22" t="n">
        <x:f>MAX(0,MIN('Activities'!L450,30)-MAX('Activities'!K450,24))</x:f>
        <x:v>0</x:v>
      </x:c>
      <x:c r="J450" s="22" t="n">
        <x:f>MAX(0,MIN('Activities'!L450,36)-MAX('Activities'!K450,30))</x:f>
        <x:v>0</x:v>
      </x:c>
      <x:c r="K450" s="22" t="n">
        <x:f>MAX(0,MIN('Activities'!L450,42)-MAX('Activities'!K450,36))</x:f>
        <x:v>0</x:v>
      </x:c>
      <x:c r="L450" s="22" t="n">
        <x:f>MAX(0,MIN('Activities'!L450,48)-MAX('Activities'!K450,42))</x:f>
        <x:v>0</x:v>
      </x:c>
      <x:c r="M450" s="22" t="n">
        <x:f>MAX(0,MIN('Activities'!L450,54)-MAX('Activities'!K450,48))</x:f>
        <x:v>0</x:v>
      </x:c>
      <x:c r="N450" s="22" t="n">
        <x:f>MAX(0,MIN('Activities'!L450,60)-MAX('Activities'!K450,54))</x:f>
        <x:v>0</x:v>
      </x:c>
      <x:c r="O450" s="22" t="n">
        <x:f>MAX(0,MIN('Activities'!L450,66)-MAX('Activities'!K450,60))</x:f>
        <x:v>0</x:v>
      </x:c>
      <x:c r="P450" s="22" t="n">
        <x:f>MAX(0,MIN('Activities'!L450,72)-MAX('Activities'!K450,66))</x:f>
        <x:v>0</x:v>
      </x:c>
      <x:c r="Q450" s="22" t="n">
        <x:f>MAX(0,MIN('Activities'!L450,78)-MAX('Activities'!K450,72))</x:f>
        <x:v>0</x:v>
      </x:c>
      <x:c r="R450" s="22" t="n">
        <x:f>MAX(0,MIN('Activities'!L450,84)-MAX('Activities'!K450,78))</x:f>
        <x:v>0</x:v>
      </x:c>
      <x:c r="S450" s="22" t="n">
        <x:f>MAX(0,MIN('Activities'!L450,90)-MAX('Activities'!K450,84))</x:f>
        <x:v>0</x:v>
      </x:c>
      <x:c r="T450" s="22" t="n">
        <x:f>MAX(0,MIN('Activities'!L450,96)-MAX('Activities'!K450,90))</x:f>
        <x:v>0</x:v>
      </x:c>
      <x:c r="U450" s="22" t="n">
        <x:f>MAX(0,MIN('Activities'!L450,102)-MAX('Activities'!K450,96))</x:f>
        <x:v>0</x:v>
      </x:c>
      <x:c r="V450" s="22" t="n">
        <x:f>MAX(0,MIN('Activities'!L450,108)-MAX('Activities'!K450,102))</x:f>
        <x:v>0</x:v>
      </x:c>
      <x:c r="W450" s="22" t="n">
        <x:f>MAX(0,MIN('Activities'!L450,114)-MAX('Activities'!K450,108))</x:f>
        <x:v>0</x:v>
      </x:c>
      <x:c r="X450" s="22" t="n">
        <x:f>MAX(0,MIN('Activities'!L450,120)-MAX('Activities'!K450,114))</x:f>
        <x:v>0</x:v>
      </x:c>
      <x:c r="Y450" s="22" t="n">
        <x:f>MAX(0,MIN('Activities'!L450,126)-MAX('Activities'!K450,120))</x:f>
        <x:v>0</x:v>
      </x:c>
      <x:c r="Z450" s="22" t="n">
        <x:f>MAX(0,MIN('Activities'!L450,132)-MAX('Activities'!K450,126))</x:f>
        <x:v>0</x:v>
      </x:c>
      <x:c r="AA450" s="22" t="n">
        <x:f>MAX(0,MIN('Activities'!L450,138)-MAX('Activities'!K450,132))</x:f>
        <x:v>0</x:v>
      </x:c>
      <x:c r="AB450" s="22" t="n">
        <x:f>MAX(0,MIN('Activities'!L450,144)-MAX('Activities'!K450,138))</x:f>
        <x:v>0</x:v>
      </x:c>
      <x:c r="AC450" s="22" t="n">
        <x:f>MAX(0,MIN('Activities'!L450,150)-MAX('Activities'!K450,144))</x:f>
        <x:v>0</x:v>
      </x:c>
      <x:c r="AD450" s="22" t="n">
        <x:f>MAX(0,MIN('Activities'!L450,156)-MAX('Activities'!K450,150))</x:f>
        <x:v>0</x:v>
      </x:c>
      <x:c r="AE450" s="22" t="n">
        <x:f>MAX(0,MIN('Activities'!L450,162)-MAX('Activities'!K450,156))</x:f>
        <x:v>0</x:v>
      </x:c>
      <x:c r="AF450" s="22" t="n">
        <x:f>MAX(0,MIN('Activities'!L450,168)-MAX('Activities'!K450,162))</x:f>
        <x:v>0</x:v>
      </x:c>
      <x:c r="AG450" s="22" t="n">
        <x:f>MAX(0,MIN('Activities'!L450,174)-MAX('Activities'!K450,168))</x:f>
        <x:v>0</x:v>
      </x:c>
      <x:c r="AH450" s="22" t="n">
        <x:f>MAX(0,MIN('Activities'!L450,180)-MAX('Activities'!K450,174))</x:f>
        <x:v>0</x:v>
      </x:c>
      <x:c r="AI450" s="22" t="n">
        <x:f>MAX(0,MIN('Activities'!L450,186)-MAX('Activities'!K450,180))</x:f>
        <x:v>0</x:v>
      </x:c>
      <x:c r="AJ450" s="22" t="n">
        <x:f>MAX(0,MIN('Activities'!L450,192)-MAX('Activities'!K450,186))</x:f>
        <x:v>0</x:v>
      </x:c>
      <x:c r="AK450" s="22" t="n">
        <x:f>MAX(0,MIN('Activities'!L450,198)-MAX('Activities'!K450,192))</x:f>
        <x:v>0</x:v>
      </x:c>
      <x:c r="AL450" s="22" t="n">
        <x:f>MAX(0,MIN('Activities'!L450,204)-MAX('Activities'!K450,198))</x:f>
        <x:v>0</x:v>
      </x:c>
      <x:c r="AM450" s="22" t="n">
        <x:f>MAX(0,MIN('Activities'!L450,210)-MAX('Activities'!K450,204))</x:f>
        <x:v>0</x:v>
      </x:c>
      <x:c r="AN450" s="22" t="n">
        <x:f>MAX(0,MIN('Activities'!L450,216)-MAX('Activities'!K450,210))</x:f>
        <x:v>0</x:v>
      </x:c>
      <x:c r="AO450" s="22" t="n">
        <x:f>MAX(0,MIN('Activities'!L450,222)-MAX('Activities'!K450,216))</x:f>
        <x:v>0</x:v>
      </x:c>
      <x:c r="AP450" s="22" t="n">
        <x:f>MAX(0,MIN('Activities'!L450,228)-MAX('Activities'!K450,222))</x:f>
        <x:v>0</x:v>
      </x:c>
      <x:c r="AQ450" s="22" t="n">
        <x:f>MAX(0,MIN('Activities'!L450,234)-MAX('Activities'!K450,228))</x:f>
        <x:v>0</x:v>
      </x:c>
      <x:c r="AR450" s="22" t="n">
        <x:f>MAX(0,MIN('Activities'!L450,240)-MAX('Activities'!K450,234))</x:f>
        <x:v>0</x:v>
      </x:c>
      <x:c r="AS450" s="22" t="n">
        <x:f>MAX(0,MIN('Activities'!L450,246)-MAX('Activities'!K450,240))</x:f>
        <x:v>0</x:v>
      </x:c>
      <x:c r="AT450" s="22" t="n">
        <x:f>MAX(0,MIN('Activities'!L450,252)-MAX('Activities'!K450,246))</x:f>
        <x:v>0</x:v>
      </x:c>
      <x:c r="AU450" s="22" t="n">
        <x:f>MAX(0,MIN('Activities'!L450,258)-MAX('Activities'!K450,252))</x:f>
        <x:v>0</x:v>
      </x:c>
      <x:c r="AV450" s="22" t="n">
        <x:f>MAX(0,MIN('Activities'!L450,264)-MAX('Activities'!K450,258))</x:f>
        <x:v>0</x:v>
      </x:c>
      <x:c r="AW450" s="22" t="n">
        <x:f>MAX(0,MIN('Activities'!L450,270)-MAX('Activities'!K450,264))</x:f>
        <x:v>0</x:v>
      </x:c>
      <x:c r="AX450" s="22" t="n">
        <x:f>MAX(0,MIN('Activities'!L450,276)-MAX('Activities'!K450,270))</x:f>
        <x:v>0</x:v>
      </x:c>
      <x:c r="AY450" s="22" t="n">
        <x:f>MAX(0,MIN('Activities'!L450,282)-MAX('Activities'!K450,276))</x:f>
        <x:v>0</x:v>
      </x:c>
      <x:c r="AZ450" s="22" t="n">
        <x:f>MAX(0,MIN('Activities'!L450,288)-MAX('Activities'!K450,282))</x:f>
        <x:v>0</x:v>
      </x:c>
      <x:c r="BA450" s="22" t="n">
        <x:f>MAX(0,MIN('Activities'!L450,294)-MAX('Activities'!K450,288))</x:f>
        <x:v>0</x:v>
      </x:c>
      <x:c r="BB450" s="22" t="n">
        <x:f>MAX(0,MIN('Activities'!L450,300)-MAX('Activities'!K450,294))</x:f>
        <x:v>0</x:v>
      </x:c>
      <x:c r="BC450" s="22" t="n">
        <x:f>MAX(0,MIN('Activities'!L450,306)-MAX('Activities'!K450,300))</x:f>
        <x:v>0</x:v>
      </x:c>
      <x:c r="BD450" s="22" t="n">
        <x:f>MAX(0,MIN('Activities'!L450,312)-MAX('Activities'!K450,306))</x:f>
        <x:v>0</x:v>
      </x:c>
      <x:c r="BE450" s="22" t="n">
        <x:f>MAX(0,MIN('Activities'!L450,318)-MAX('Activities'!K450,312))</x:f>
        <x:v>0</x:v>
      </x:c>
      <x:c r="BF450" s="22" t="n">
        <x:f>MAX(0,MIN('Activities'!L450,324)-MAX('Activities'!K450,318))</x:f>
        <x:v>0</x:v>
      </x:c>
      <x:c r="BG450" s="22" t="n">
        <x:f>MAX(0,MIN('Activities'!L450,330)-MAX('Activities'!K450,324))</x:f>
        <x:v>3</x:v>
      </x:c>
      <x:c r="BH450" s="22" t="n">
        <x:f>MAX(0,MIN('Activities'!L450,336)-MAX('Activities'!K450,330))</x:f>
        <x:v>2</x:v>
      </x:c>
      <x:c r="BI450" s="22" t="n">
        <x:f>MAX(0,MIN('Activities'!L450,342)-MAX('Activities'!K450,336))</x:f>
        <x:v>0</x:v>
      </x:c>
      <x:c r="BJ450" s="22" t="n">
        <x:f>MAX(0,MIN('Activities'!L450,348)-MAX('Activities'!K450,342))</x:f>
        <x:v>0</x:v>
      </x:c>
      <x:c r="BK450" s="22" t="n">
        <x:f>MAX(0,MIN('Activities'!L450,354)-MAX('Activities'!K450,348))</x:f>
        <x:v>0</x:v>
      </x:c>
      <x:c r="BL450" s="22" t="n">
        <x:f>MAX(0,MIN('Activities'!L450,360)-MAX('Activities'!K450,354))</x:f>
        <x:v>0</x:v>
      </x:c>
      <x:c r="BM450" s="22" t="n">
        <x:f>MAX(0,MIN('Activities'!L450,366)-MAX('Activities'!K450,360))</x:f>
        <x:v>0</x:v>
      </x:c>
      <x:c r="BN450" s="22" t="n">
        <x:f>MAX(0,MIN('Activities'!L450,372)-MAX('Activities'!K450,366))</x:f>
        <x:v>0</x:v>
      </x:c>
      <x:c r="BO450" s="22" t="n">
        <x:f>MAX(0,MIN('Activities'!L450,378)-MAX('Activities'!K450,372))</x:f>
        <x:v>0</x:v>
      </x:c>
      <x:c r="BP450" s="22" t="n">
        <x:f>MAX(0,MIN('Activities'!L450,384)-MAX('Activities'!K450,378))</x:f>
        <x:v>0</x:v>
      </x:c>
      <x:c r="BQ450" s="22" t="n">
        <x:f>MAX(0,MIN('Activities'!L450,390)-MAX('Activities'!K450,384))</x:f>
        <x:v>0</x:v>
      </x:c>
      <x:c r="BR450" s="22" t="n">
        <x:f>MAX(0,MIN('Activities'!L450,396)-MAX('Activities'!K450,390))</x:f>
        <x:v>0</x:v>
      </x:c>
      <x:c r="BS450" s="22" t="n">
        <x:f>MAX(0,MIN('Activities'!L450,402)-MAX('Activities'!K450,396))</x:f>
        <x:v>0</x:v>
      </x:c>
      <x:c r="BT450" s="22" t="n">
        <x:f>MAX(0,MIN('Activities'!L450,408)-MAX('Activities'!K450,402))</x:f>
        <x:v>0</x:v>
      </x:c>
      <x:c r="BU450" s="22" t="n">
        <x:f>MAX(0,MIN('Activities'!L450,414)-MAX('Activities'!K450,408))</x:f>
        <x:v>0</x:v>
      </x:c>
      <x:c r="BV450" s="22" t="n">
        <x:f>MAX(0,MIN('Activities'!L450,420)-MAX('Activities'!K450,414))</x:f>
        <x:v>0</x:v>
      </x:c>
      <x:c r="BW450" s="22" t="n">
        <x:f>MAX(0,MIN('Activities'!L450,426)-MAX('Activities'!K450,420))</x:f>
        <x:v>0</x:v>
      </x:c>
      <x:c r="BX450" s="22" t="n">
        <x:f>MAX(0,MIN('Activities'!L450,432)-MAX('Activities'!K450,426))</x:f>
        <x:v>0</x:v>
      </x:c>
      <x:c r="BY450" s="22" t="n">
        <x:f>MAX(0,MIN('Activities'!L450,438)-MAX('Activities'!K450,432))</x:f>
        <x:v>0</x:v>
      </x:c>
      <x:c r="BZ450" s="22" t="n">
        <x:f>MAX(0,MIN('Activities'!L450,444)-MAX('Activities'!K450,438))</x:f>
        <x:v>0</x:v>
      </x:c>
      <x:c r="CA450" s="22" t="n">
        <x:f>MAX(0,MIN('Activities'!L450,450)-MAX('Activities'!K450,444))</x:f>
        <x:v>0</x:v>
      </x:c>
      <x:c r="CB450" s="22" t="n">
        <x:f>MAX(0,MIN('Activities'!L450,456)-MAX('Activities'!K450,450))</x:f>
        <x:v>0</x:v>
      </x:c>
      <x:c r="CC450" s="22" t="n">
        <x:f>MAX(0,MIN('Activities'!L450,462)-MAX('Activities'!K450,456))</x:f>
        <x:v>0</x:v>
      </x:c>
      <x:c r="CD450" s="22" t="n">
        <x:f>MAX(0,MIN('Activities'!L450,468)-MAX('Activities'!K450,462))</x:f>
        <x:v>0</x:v>
      </x:c>
      <x:c r="CE450" s="22" t="n">
        <x:f>MAX(0,MIN('Activities'!L450,474)-MAX('Activities'!K450,468))</x:f>
        <x:v>0</x:v>
      </x:c>
      <x:c r="CF450" s="22" t="n">
        <x:f>MAX(0,MIN('Activities'!L450,480)-MAX('Activities'!K450,474))</x:f>
        <x:v>0</x:v>
      </x:c>
      <x:c r="CG450" s="22" t="n">
        <x:f>MAX(0,MIN('Activities'!L450,486)-MAX('Activities'!K450,480))</x:f>
        <x:v>0</x:v>
      </x:c>
      <x:c r="CH450" s="22" t="n">
        <x:f>MAX(0,MIN('Activities'!L450,492)-MAX('Activities'!K450,486))</x:f>
        <x:v>0</x:v>
      </x:c>
      <x:c r="CI450" s="22" t="n">
        <x:f>MAX(0,MIN('Activities'!L450,498)-MAX('Activities'!K450,492))</x:f>
        <x:v>0</x:v>
      </x:c>
      <x:c r="CJ450" s="22" t="n">
        <x:f>MAX(0,MIN('Activities'!L450,504)-MAX('Activities'!K450,498))</x:f>
        <x:v>0</x:v>
      </x:c>
      <x:c r="CK450" s="22" t="n">
        <x:f>MAX(0,MIN('Activities'!L450,510)-MAX('Activities'!K450,504))</x:f>
        <x:v>0</x:v>
      </x:c>
      <x:c r="CL450" s="22" t="n">
        <x:f>MAX(0,MIN('Activities'!L450,516)-MAX('Activities'!K450,510))</x:f>
        <x:v>0</x:v>
      </x:c>
      <x:c r="CM450" s="22" t="n">
        <x:f>MAX(0,MIN('Activities'!L450,522)-MAX('Activities'!K450,516))</x:f>
        <x:v>0</x:v>
      </x:c>
      <x:c r="CN450" s="22" t="n">
        <x:f>MAX(0,MIN('Activities'!L450,528)-MAX('Activities'!K450,522))</x:f>
        <x:v>0</x:v>
      </x:c>
      <x:c r="CO450" s="22" t="n">
        <x:f>MAX(0,MIN('Activities'!L450,534)-MAX('Activities'!K450,528))</x:f>
        <x:v>0</x:v>
      </x:c>
      <x:c r="CP450" s="22" t="n">
        <x:f>MAX(0,MIN('Activities'!L450,540)-MAX('Activities'!K450,534))</x:f>
        <x:v>0</x:v>
      </x:c>
      <x:c r="CQ450" s="22" t="n">
        <x:f>MAX(0,MIN('Activities'!L450,546)-MAX('Activities'!K450,540))</x:f>
        <x:v>0</x:v>
      </x:c>
      <x:c r="CR450" s="22" t="n">
        <x:f>MAX(0,MIN('Activities'!L450,552)-MAX('Activities'!K450,546))</x:f>
        <x:v>0</x:v>
      </x:c>
      <x:c r="CS450" s="22" t="n">
        <x:f>MAX(0,MIN('Activities'!L450,558)-MAX('Activities'!K450,552))</x:f>
        <x:v>0</x:v>
      </x:c>
      <x:c r="CT450" s="22" t="n">
        <x:f>MAX(0,MIN('Activities'!L450,564)-MAX('Activities'!K450,558))</x:f>
        <x:v>0</x:v>
      </x:c>
      <x:c r="CU450" s="22" t="n">
        <x:f>MAX(0,MIN('Activities'!L450,570)-MAX('Activities'!K450,564))</x:f>
        <x:v>0</x:v>
      </x:c>
      <x:c r="CV450" s="22" t="n">
        <x:f>MAX(0,MIN('Activities'!L450,576)-MAX('Activities'!K450,570))</x:f>
        <x:v>0</x:v>
      </x:c>
      <x:c r="CW450" s="22" t="n">
        <x:f>MAX(0,MIN('Activities'!L450,582)-MAX('Activities'!K450,576))</x:f>
        <x:v>0</x:v>
      </x:c>
      <x:c r="CX450" s="22" t="n">
        <x:f>MAX(0,MIN('Activities'!L450,588)-MAX('Activities'!K450,582))</x:f>
        <x:v>0</x:v>
      </x:c>
      <x:c r="CY450" s="22" t="n">
        <x:f>MAX(0,MIN('Activities'!L450,594)-MAX('Activities'!K450,588))</x:f>
        <x:v>0</x:v>
      </x:c>
      <x:c r="CZ450" s="22" t="n">
        <x:f>MAX(0,MIN('Activities'!L450,600)-MAX('Activities'!K450,594))</x:f>
        <x:v>0</x:v>
      </x:c>
      <x:c r="DA450" s="22" t="n">
        <x:f>MAX(0,MIN('Activities'!L450,606)-MAX('Activities'!K450,600))</x:f>
        <x:v>0</x:v>
      </x:c>
      <x:c r="DB450" s="22" t="n">
        <x:f>MAX(0,MIN('Activities'!L450,612)-MAX('Activities'!K450,606))</x:f>
        <x:v>0</x:v>
      </x:c>
      <x:c r="DC450" s="22" t="n">
        <x:f>MAX(0,MIN('Activities'!L450,618)-MAX('Activities'!K450,612))</x:f>
        <x:v>0</x:v>
      </x:c>
      <x:c r="DD450" s="22" t="n">
        <x:f>MAX(0,MIN('Activities'!L450,624)-MAX('Activities'!K450,618))</x:f>
        <x:v>0</x:v>
      </x:c>
      <x:c r="DE450" s="22" t="n">
        <x:f>MAX(0,MIN('Activities'!L450,630)-MAX('Activities'!K450,624))</x:f>
        <x:v>0</x:v>
      </x:c>
      <x:c r="DF450" s="22" t="n">
        <x:f>MAX(0,MIN('Activities'!L450,636)-MAX('Activities'!K450,630))</x:f>
        <x:v>0</x:v>
      </x:c>
    </x:row>
    <x:row r="451" ht="23" customHeight="1">
      <x:c r="A451" s="1" t="str">
        <x:v>T4-L09-F</x:v>
      </x:c>
      <x:c r="B451" s="1" t="str">
        <x:v>T4</x:v>
      </x:c>
      <x:c r="C451" s="1" t="str">
        <x:v>Columns, core and deck formwork</x:v>
      </x:c>
      <x:c r="D451" s="1" t="str">
        <x:v>Formwork</x:v>
      </x:c>
      <x:c r="E451" s="23" t="n">
        <x:f>MAX(0,MIN('Activities'!L451,6)-MAX('Activities'!K451,0))</x:f>
        <x:v>0</x:v>
      </x:c>
      <x:c r="F451" s="23" t="n">
        <x:f>MAX(0,MIN('Activities'!L451,12)-MAX('Activities'!K451,6))</x:f>
        <x:v>0</x:v>
      </x:c>
      <x:c r="G451" s="23" t="n">
        <x:f>MAX(0,MIN('Activities'!L451,18)-MAX('Activities'!K451,12))</x:f>
        <x:v>0</x:v>
      </x:c>
      <x:c r="H451" s="23" t="n">
        <x:f>MAX(0,MIN('Activities'!L451,24)-MAX('Activities'!K451,18))</x:f>
        <x:v>0</x:v>
      </x:c>
      <x:c r="I451" s="23" t="n">
        <x:f>MAX(0,MIN('Activities'!L451,30)-MAX('Activities'!K451,24))</x:f>
        <x:v>0</x:v>
      </x:c>
      <x:c r="J451" s="23" t="n">
        <x:f>MAX(0,MIN('Activities'!L451,36)-MAX('Activities'!K451,30))</x:f>
        <x:v>0</x:v>
      </x:c>
      <x:c r="K451" s="23" t="n">
        <x:f>MAX(0,MIN('Activities'!L451,42)-MAX('Activities'!K451,36))</x:f>
        <x:v>0</x:v>
      </x:c>
      <x:c r="L451" s="23" t="n">
        <x:f>MAX(0,MIN('Activities'!L451,48)-MAX('Activities'!K451,42))</x:f>
        <x:v>0</x:v>
      </x:c>
      <x:c r="M451" s="23" t="n">
        <x:f>MAX(0,MIN('Activities'!L451,54)-MAX('Activities'!K451,48))</x:f>
        <x:v>0</x:v>
      </x:c>
      <x:c r="N451" s="23" t="n">
        <x:f>MAX(0,MIN('Activities'!L451,60)-MAX('Activities'!K451,54))</x:f>
        <x:v>0</x:v>
      </x:c>
      <x:c r="O451" s="23" t="n">
        <x:f>MAX(0,MIN('Activities'!L451,66)-MAX('Activities'!K451,60))</x:f>
        <x:v>0</x:v>
      </x:c>
      <x:c r="P451" s="23" t="n">
        <x:f>MAX(0,MIN('Activities'!L451,72)-MAX('Activities'!K451,66))</x:f>
        <x:v>0</x:v>
      </x:c>
      <x:c r="Q451" s="23" t="n">
        <x:f>MAX(0,MIN('Activities'!L451,78)-MAX('Activities'!K451,72))</x:f>
        <x:v>0</x:v>
      </x:c>
      <x:c r="R451" s="23" t="n">
        <x:f>MAX(0,MIN('Activities'!L451,84)-MAX('Activities'!K451,78))</x:f>
        <x:v>0</x:v>
      </x:c>
      <x:c r="S451" s="23" t="n">
        <x:f>MAX(0,MIN('Activities'!L451,90)-MAX('Activities'!K451,84))</x:f>
        <x:v>0</x:v>
      </x:c>
      <x:c r="T451" s="23" t="n">
        <x:f>MAX(0,MIN('Activities'!L451,96)-MAX('Activities'!K451,90))</x:f>
        <x:v>0</x:v>
      </x:c>
      <x:c r="U451" s="23" t="n">
        <x:f>MAX(0,MIN('Activities'!L451,102)-MAX('Activities'!K451,96))</x:f>
        <x:v>0</x:v>
      </x:c>
      <x:c r="V451" s="23" t="n">
        <x:f>MAX(0,MIN('Activities'!L451,108)-MAX('Activities'!K451,102))</x:f>
        <x:v>0</x:v>
      </x:c>
      <x:c r="W451" s="23" t="n">
        <x:f>MAX(0,MIN('Activities'!L451,114)-MAX('Activities'!K451,108))</x:f>
        <x:v>0</x:v>
      </x:c>
      <x:c r="X451" s="23" t="n">
        <x:f>MAX(0,MIN('Activities'!L451,120)-MAX('Activities'!K451,114))</x:f>
        <x:v>0</x:v>
      </x:c>
      <x:c r="Y451" s="23" t="n">
        <x:f>MAX(0,MIN('Activities'!L451,126)-MAX('Activities'!K451,120))</x:f>
        <x:v>0</x:v>
      </x:c>
      <x:c r="Z451" s="23" t="n">
        <x:f>MAX(0,MIN('Activities'!L451,132)-MAX('Activities'!K451,126))</x:f>
        <x:v>0</x:v>
      </x:c>
      <x:c r="AA451" s="23" t="n">
        <x:f>MAX(0,MIN('Activities'!L451,138)-MAX('Activities'!K451,132))</x:f>
        <x:v>0</x:v>
      </x:c>
      <x:c r="AB451" s="23" t="n">
        <x:f>MAX(0,MIN('Activities'!L451,144)-MAX('Activities'!K451,138))</x:f>
        <x:v>0</x:v>
      </x:c>
      <x:c r="AC451" s="23" t="n">
        <x:f>MAX(0,MIN('Activities'!L451,150)-MAX('Activities'!K451,144))</x:f>
        <x:v>0</x:v>
      </x:c>
      <x:c r="AD451" s="23" t="n">
        <x:f>MAX(0,MIN('Activities'!L451,156)-MAX('Activities'!K451,150))</x:f>
        <x:v>0</x:v>
      </x:c>
      <x:c r="AE451" s="23" t="n">
        <x:f>MAX(0,MIN('Activities'!L451,162)-MAX('Activities'!K451,156))</x:f>
        <x:v>0</x:v>
      </x:c>
      <x:c r="AF451" s="23" t="n">
        <x:f>MAX(0,MIN('Activities'!L451,168)-MAX('Activities'!K451,162))</x:f>
        <x:v>0</x:v>
      </x:c>
      <x:c r="AG451" s="23" t="n">
        <x:f>MAX(0,MIN('Activities'!L451,174)-MAX('Activities'!K451,168))</x:f>
        <x:v>0</x:v>
      </x:c>
      <x:c r="AH451" s="23" t="n">
        <x:f>MAX(0,MIN('Activities'!L451,180)-MAX('Activities'!K451,174))</x:f>
        <x:v>0</x:v>
      </x:c>
      <x:c r="AI451" s="23" t="n">
        <x:f>MAX(0,MIN('Activities'!L451,186)-MAX('Activities'!K451,180))</x:f>
        <x:v>0</x:v>
      </x:c>
      <x:c r="AJ451" s="23" t="n">
        <x:f>MAX(0,MIN('Activities'!L451,192)-MAX('Activities'!K451,186))</x:f>
        <x:v>0</x:v>
      </x:c>
      <x:c r="AK451" s="23" t="n">
        <x:f>MAX(0,MIN('Activities'!L451,198)-MAX('Activities'!K451,192))</x:f>
        <x:v>0</x:v>
      </x:c>
      <x:c r="AL451" s="23" t="n">
        <x:f>MAX(0,MIN('Activities'!L451,204)-MAX('Activities'!K451,198))</x:f>
        <x:v>0</x:v>
      </x:c>
      <x:c r="AM451" s="23" t="n">
        <x:f>MAX(0,MIN('Activities'!L451,210)-MAX('Activities'!K451,204))</x:f>
        <x:v>0</x:v>
      </x:c>
      <x:c r="AN451" s="23" t="n">
        <x:f>MAX(0,MIN('Activities'!L451,216)-MAX('Activities'!K451,210))</x:f>
        <x:v>0</x:v>
      </x:c>
      <x:c r="AO451" s="23" t="n">
        <x:f>MAX(0,MIN('Activities'!L451,222)-MAX('Activities'!K451,216))</x:f>
        <x:v>0</x:v>
      </x:c>
      <x:c r="AP451" s="23" t="n">
        <x:f>MAX(0,MIN('Activities'!L451,228)-MAX('Activities'!K451,222))</x:f>
        <x:v>0</x:v>
      </x:c>
      <x:c r="AQ451" s="23" t="n">
        <x:f>MAX(0,MIN('Activities'!L451,234)-MAX('Activities'!K451,228))</x:f>
        <x:v>0</x:v>
      </x:c>
      <x:c r="AR451" s="23" t="n">
        <x:f>MAX(0,MIN('Activities'!L451,240)-MAX('Activities'!K451,234))</x:f>
        <x:v>0</x:v>
      </x:c>
      <x:c r="AS451" s="23" t="n">
        <x:f>MAX(0,MIN('Activities'!L451,246)-MAX('Activities'!K451,240))</x:f>
        <x:v>0</x:v>
      </x:c>
      <x:c r="AT451" s="23" t="n">
        <x:f>MAX(0,MIN('Activities'!L451,252)-MAX('Activities'!K451,246))</x:f>
        <x:v>0</x:v>
      </x:c>
      <x:c r="AU451" s="23" t="n">
        <x:f>MAX(0,MIN('Activities'!L451,258)-MAX('Activities'!K451,252))</x:f>
        <x:v>0</x:v>
      </x:c>
      <x:c r="AV451" s="23" t="n">
        <x:f>MAX(0,MIN('Activities'!L451,264)-MAX('Activities'!K451,258))</x:f>
        <x:v>0</x:v>
      </x:c>
      <x:c r="AW451" s="23" t="n">
        <x:f>MAX(0,MIN('Activities'!L451,270)-MAX('Activities'!K451,264))</x:f>
        <x:v>0</x:v>
      </x:c>
      <x:c r="AX451" s="23" t="n">
        <x:f>MAX(0,MIN('Activities'!L451,276)-MAX('Activities'!K451,270))</x:f>
        <x:v>0</x:v>
      </x:c>
      <x:c r="AY451" s="23" t="n">
        <x:f>MAX(0,MIN('Activities'!L451,282)-MAX('Activities'!K451,276))</x:f>
        <x:v>0</x:v>
      </x:c>
      <x:c r="AZ451" s="23" t="n">
        <x:f>MAX(0,MIN('Activities'!L451,288)-MAX('Activities'!K451,282))</x:f>
        <x:v>0</x:v>
      </x:c>
      <x:c r="BA451" s="23" t="n">
        <x:f>MAX(0,MIN('Activities'!L451,294)-MAX('Activities'!K451,288))</x:f>
        <x:v>0</x:v>
      </x:c>
      <x:c r="BB451" s="23" t="n">
        <x:f>MAX(0,MIN('Activities'!L451,300)-MAX('Activities'!K451,294))</x:f>
        <x:v>0</x:v>
      </x:c>
      <x:c r="BC451" s="23" t="n">
        <x:f>MAX(0,MIN('Activities'!L451,306)-MAX('Activities'!K451,300))</x:f>
        <x:v>0</x:v>
      </x:c>
      <x:c r="BD451" s="23" t="n">
        <x:f>MAX(0,MIN('Activities'!L451,312)-MAX('Activities'!K451,306))</x:f>
        <x:v>0</x:v>
      </x:c>
      <x:c r="BE451" s="23" t="n">
        <x:f>MAX(0,MIN('Activities'!L451,318)-MAX('Activities'!K451,312))</x:f>
        <x:v>0</x:v>
      </x:c>
      <x:c r="BF451" s="23" t="n">
        <x:f>MAX(0,MIN('Activities'!L451,324)-MAX('Activities'!K451,318))</x:f>
        <x:v>0</x:v>
      </x:c>
      <x:c r="BG451" s="23" t="n">
        <x:f>MAX(0,MIN('Activities'!L451,330)-MAX('Activities'!K451,324))</x:f>
        <x:v>0</x:v>
      </x:c>
      <x:c r="BH451" s="23" t="n">
        <x:f>MAX(0,MIN('Activities'!L451,336)-MAX('Activities'!K451,330))</x:f>
        <x:v>4</x:v>
      </x:c>
      <x:c r="BI451" s="23" t="n">
        <x:f>MAX(0,MIN('Activities'!L451,342)-MAX('Activities'!K451,336))</x:f>
        <x:v>2</x:v>
      </x:c>
      <x:c r="BJ451" s="23" t="n">
        <x:f>MAX(0,MIN('Activities'!L451,348)-MAX('Activities'!K451,342))</x:f>
        <x:v>0</x:v>
      </x:c>
      <x:c r="BK451" s="23" t="n">
        <x:f>MAX(0,MIN('Activities'!L451,354)-MAX('Activities'!K451,348))</x:f>
        <x:v>0</x:v>
      </x:c>
      <x:c r="BL451" s="23" t="n">
        <x:f>MAX(0,MIN('Activities'!L451,360)-MAX('Activities'!K451,354))</x:f>
        <x:v>0</x:v>
      </x:c>
      <x:c r="BM451" s="23" t="n">
        <x:f>MAX(0,MIN('Activities'!L451,366)-MAX('Activities'!K451,360))</x:f>
        <x:v>0</x:v>
      </x:c>
      <x:c r="BN451" s="23" t="n">
        <x:f>MAX(0,MIN('Activities'!L451,372)-MAX('Activities'!K451,366))</x:f>
        <x:v>0</x:v>
      </x:c>
      <x:c r="BO451" s="23" t="n">
        <x:f>MAX(0,MIN('Activities'!L451,378)-MAX('Activities'!K451,372))</x:f>
        <x:v>0</x:v>
      </x:c>
      <x:c r="BP451" s="23" t="n">
        <x:f>MAX(0,MIN('Activities'!L451,384)-MAX('Activities'!K451,378))</x:f>
        <x:v>0</x:v>
      </x:c>
      <x:c r="BQ451" s="23" t="n">
        <x:f>MAX(0,MIN('Activities'!L451,390)-MAX('Activities'!K451,384))</x:f>
        <x:v>0</x:v>
      </x:c>
      <x:c r="BR451" s="23" t="n">
        <x:f>MAX(0,MIN('Activities'!L451,396)-MAX('Activities'!K451,390))</x:f>
        <x:v>0</x:v>
      </x:c>
      <x:c r="BS451" s="23" t="n">
        <x:f>MAX(0,MIN('Activities'!L451,402)-MAX('Activities'!K451,396))</x:f>
        <x:v>0</x:v>
      </x:c>
      <x:c r="BT451" s="23" t="n">
        <x:f>MAX(0,MIN('Activities'!L451,408)-MAX('Activities'!K451,402))</x:f>
        <x:v>0</x:v>
      </x:c>
      <x:c r="BU451" s="23" t="n">
        <x:f>MAX(0,MIN('Activities'!L451,414)-MAX('Activities'!K451,408))</x:f>
        <x:v>0</x:v>
      </x:c>
      <x:c r="BV451" s="23" t="n">
        <x:f>MAX(0,MIN('Activities'!L451,420)-MAX('Activities'!K451,414))</x:f>
        <x:v>0</x:v>
      </x:c>
      <x:c r="BW451" s="23" t="n">
        <x:f>MAX(0,MIN('Activities'!L451,426)-MAX('Activities'!K451,420))</x:f>
        <x:v>0</x:v>
      </x:c>
      <x:c r="BX451" s="23" t="n">
        <x:f>MAX(0,MIN('Activities'!L451,432)-MAX('Activities'!K451,426))</x:f>
        <x:v>0</x:v>
      </x:c>
      <x:c r="BY451" s="23" t="n">
        <x:f>MAX(0,MIN('Activities'!L451,438)-MAX('Activities'!K451,432))</x:f>
        <x:v>0</x:v>
      </x:c>
      <x:c r="BZ451" s="23" t="n">
        <x:f>MAX(0,MIN('Activities'!L451,444)-MAX('Activities'!K451,438))</x:f>
        <x:v>0</x:v>
      </x:c>
      <x:c r="CA451" s="23" t="n">
        <x:f>MAX(0,MIN('Activities'!L451,450)-MAX('Activities'!K451,444))</x:f>
        <x:v>0</x:v>
      </x:c>
      <x:c r="CB451" s="23" t="n">
        <x:f>MAX(0,MIN('Activities'!L451,456)-MAX('Activities'!K451,450))</x:f>
        <x:v>0</x:v>
      </x:c>
      <x:c r="CC451" s="23" t="n">
        <x:f>MAX(0,MIN('Activities'!L451,462)-MAX('Activities'!K451,456))</x:f>
        <x:v>0</x:v>
      </x:c>
      <x:c r="CD451" s="23" t="n">
        <x:f>MAX(0,MIN('Activities'!L451,468)-MAX('Activities'!K451,462))</x:f>
        <x:v>0</x:v>
      </x:c>
      <x:c r="CE451" s="23" t="n">
        <x:f>MAX(0,MIN('Activities'!L451,474)-MAX('Activities'!K451,468))</x:f>
        <x:v>0</x:v>
      </x:c>
      <x:c r="CF451" s="23" t="n">
        <x:f>MAX(0,MIN('Activities'!L451,480)-MAX('Activities'!K451,474))</x:f>
        <x:v>0</x:v>
      </x:c>
      <x:c r="CG451" s="23" t="n">
        <x:f>MAX(0,MIN('Activities'!L451,486)-MAX('Activities'!K451,480))</x:f>
        <x:v>0</x:v>
      </x:c>
      <x:c r="CH451" s="23" t="n">
        <x:f>MAX(0,MIN('Activities'!L451,492)-MAX('Activities'!K451,486))</x:f>
        <x:v>0</x:v>
      </x:c>
      <x:c r="CI451" s="23" t="n">
        <x:f>MAX(0,MIN('Activities'!L451,498)-MAX('Activities'!K451,492))</x:f>
        <x:v>0</x:v>
      </x:c>
      <x:c r="CJ451" s="23" t="n">
        <x:f>MAX(0,MIN('Activities'!L451,504)-MAX('Activities'!K451,498))</x:f>
        <x:v>0</x:v>
      </x:c>
      <x:c r="CK451" s="23" t="n">
        <x:f>MAX(0,MIN('Activities'!L451,510)-MAX('Activities'!K451,504))</x:f>
        <x:v>0</x:v>
      </x:c>
      <x:c r="CL451" s="23" t="n">
        <x:f>MAX(0,MIN('Activities'!L451,516)-MAX('Activities'!K451,510))</x:f>
        <x:v>0</x:v>
      </x:c>
      <x:c r="CM451" s="23" t="n">
        <x:f>MAX(0,MIN('Activities'!L451,522)-MAX('Activities'!K451,516))</x:f>
        <x:v>0</x:v>
      </x:c>
      <x:c r="CN451" s="23" t="n">
        <x:f>MAX(0,MIN('Activities'!L451,528)-MAX('Activities'!K451,522))</x:f>
        <x:v>0</x:v>
      </x:c>
      <x:c r="CO451" s="23" t="n">
        <x:f>MAX(0,MIN('Activities'!L451,534)-MAX('Activities'!K451,528))</x:f>
        <x:v>0</x:v>
      </x:c>
      <x:c r="CP451" s="23" t="n">
        <x:f>MAX(0,MIN('Activities'!L451,540)-MAX('Activities'!K451,534))</x:f>
        <x:v>0</x:v>
      </x:c>
      <x:c r="CQ451" s="23" t="n">
        <x:f>MAX(0,MIN('Activities'!L451,546)-MAX('Activities'!K451,540))</x:f>
        <x:v>0</x:v>
      </x:c>
      <x:c r="CR451" s="23" t="n">
        <x:f>MAX(0,MIN('Activities'!L451,552)-MAX('Activities'!K451,546))</x:f>
        <x:v>0</x:v>
      </x:c>
      <x:c r="CS451" s="23" t="n">
        <x:f>MAX(0,MIN('Activities'!L451,558)-MAX('Activities'!K451,552))</x:f>
        <x:v>0</x:v>
      </x:c>
      <x:c r="CT451" s="23" t="n">
        <x:f>MAX(0,MIN('Activities'!L451,564)-MAX('Activities'!K451,558))</x:f>
        <x:v>0</x:v>
      </x:c>
      <x:c r="CU451" s="23" t="n">
        <x:f>MAX(0,MIN('Activities'!L451,570)-MAX('Activities'!K451,564))</x:f>
        <x:v>0</x:v>
      </x:c>
      <x:c r="CV451" s="23" t="n">
        <x:f>MAX(0,MIN('Activities'!L451,576)-MAX('Activities'!K451,570))</x:f>
        <x:v>0</x:v>
      </x:c>
      <x:c r="CW451" s="23" t="n">
        <x:f>MAX(0,MIN('Activities'!L451,582)-MAX('Activities'!K451,576))</x:f>
        <x:v>0</x:v>
      </x:c>
      <x:c r="CX451" s="23" t="n">
        <x:f>MAX(0,MIN('Activities'!L451,588)-MAX('Activities'!K451,582))</x:f>
        <x:v>0</x:v>
      </x:c>
      <x:c r="CY451" s="23" t="n">
        <x:f>MAX(0,MIN('Activities'!L451,594)-MAX('Activities'!K451,588))</x:f>
        <x:v>0</x:v>
      </x:c>
      <x:c r="CZ451" s="23" t="n">
        <x:f>MAX(0,MIN('Activities'!L451,600)-MAX('Activities'!K451,594))</x:f>
        <x:v>0</x:v>
      </x:c>
      <x:c r="DA451" s="23" t="n">
        <x:f>MAX(0,MIN('Activities'!L451,606)-MAX('Activities'!K451,600))</x:f>
        <x:v>0</x:v>
      </x:c>
      <x:c r="DB451" s="23" t="n">
        <x:f>MAX(0,MIN('Activities'!L451,612)-MAX('Activities'!K451,606))</x:f>
        <x:v>0</x:v>
      </x:c>
      <x:c r="DC451" s="23" t="n">
        <x:f>MAX(0,MIN('Activities'!L451,618)-MAX('Activities'!K451,612))</x:f>
        <x:v>0</x:v>
      </x:c>
      <x:c r="DD451" s="23" t="n">
        <x:f>MAX(0,MIN('Activities'!L451,624)-MAX('Activities'!K451,618))</x:f>
        <x:v>0</x:v>
      </x:c>
      <x:c r="DE451" s="23" t="n">
        <x:f>MAX(0,MIN('Activities'!L451,630)-MAX('Activities'!K451,624))</x:f>
        <x:v>0</x:v>
      </x:c>
      <x:c r="DF451" s="23" t="n">
        <x:f>MAX(0,MIN('Activities'!L451,636)-MAX('Activities'!K451,630))</x:f>
        <x:v>0</x:v>
      </x:c>
    </x:row>
    <x:row r="452" ht="23" customHeight="1">
      <x:c r="A452" s="6" t="str">
        <x:v>T4-L09-R</x:v>
      </x:c>
      <x:c r="B452" s="6" t="str">
        <x:v>T4</x:v>
      </x:c>
      <x:c r="C452" s="6" t="str">
        <x:v>Column, wall, beam and slab reinforcement</x:v>
      </x:c>
      <x:c r="D452" s="6" t="str">
        <x:v>Rebar</x:v>
      </x:c>
      <x:c r="E452" s="22" t="n">
        <x:f>MAX(0,MIN('Activities'!L452,6)-MAX('Activities'!K452,0))</x:f>
        <x:v>0</x:v>
      </x:c>
      <x:c r="F452" s="22" t="n">
        <x:f>MAX(0,MIN('Activities'!L452,12)-MAX('Activities'!K452,6))</x:f>
        <x:v>0</x:v>
      </x:c>
      <x:c r="G452" s="22" t="n">
        <x:f>MAX(0,MIN('Activities'!L452,18)-MAX('Activities'!K452,12))</x:f>
        <x:v>0</x:v>
      </x:c>
      <x:c r="H452" s="22" t="n">
        <x:f>MAX(0,MIN('Activities'!L452,24)-MAX('Activities'!K452,18))</x:f>
        <x:v>0</x:v>
      </x:c>
      <x:c r="I452" s="22" t="n">
        <x:f>MAX(0,MIN('Activities'!L452,30)-MAX('Activities'!K452,24))</x:f>
        <x:v>0</x:v>
      </x:c>
      <x:c r="J452" s="22" t="n">
        <x:f>MAX(0,MIN('Activities'!L452,36)-MAX('Activities'!K452,30))</x:f>
        <x:v>0</x:v>
      </x:c>
      <x:c r="K452" s="22" t="n">
        <x:f>MAX(0,MIN('Activities'!L452,42)-MAX('Activities'!K452,36))</x:f>
        <x:v>0</x:v>
      </x:c>
      <x:c r="L452" s="22" t="n">
        <x:f>MAX(0,MIN('Activities'!L452,48)-MAX('Activities'!K452,42))</x:f>
        <x:v>0</x:v>
      </x:c>
      <x:c r="M452" s="22" t="n">
        <x:f>MAX(0,MIN('Activities'!L452,54)-MAX('Activities'!K452,48))</x:f>
        <x:v>0</x:v>
      </x:c>
      <x:c r="N452" s="22" t="n">
        <x:f>MAX(0,MIN('Activities'!L452,60)-MAX('Activities'!K452,54))</x:f>
        <x:v>0</x:v>
      </x:c>
      <x:c r="O452" s="22" t="n">
        <x:f>MAX(0,MIN('Activities'!L452,66)-MAX('Activities'!K452,60))</x:f>
        <x:v>0</x:v>
      </x:c>
      <x:c r="P452" s="22" t="n">
        <x:f>MAX(0,MIN('Activities'!L452,72)-MAX('Activities'!K452,66))</x:f>
        <x:v>0</x:v>
      </x:c>
      <x:c r="Q452" s="22" t="n">
        <x:f>MAX(0,MIN('Activities'!L452,78)-MAX('Activities'!K452,72))</x:f>
        <x:v>0</x:v>
      </x:c>
      <x:c r="R452" s="22" t="n">
        <x:f>MAX(0,MIN('Activities'!L452,84)-MAX('Activities'!K452,78))</x:f>
        <x:v>0</x:v>
      </x:c>
      <x:c r="S452" s="22" t="n">
        <x:f>MAX(0,MIN('Activities'!L452,90)-MAX('Activities'!K452,84))</x:f>
        <x:v>0</x:v>
      </x:c>
      <x:c r="T452" s="22" t="n">
        <x:f>MAX(0,MIN('Activities'!L452,96)-MAX('Activities'!K452,90))</x:f>
        <x:v>0</x:v>
      </x:c>
      <x:c r="U452" s="22" t="n">
        <x:f>MAX(0,MIN('Activities'!L452,102)-MAX('Activities'!K452,96))</x:f>
        <x:v>0</x:v>
      </x:c>
      <x:c r="V452" s="22" t="n">
        <x:f>MAX(0,MIN('Activities'!L452,108)-MAX('Activities'!K452,102))</x:f>
        <x:v>0</x:v>
      </x:c>
      <x:c r="W452" s="22" t="n">
        <x:f>MAX(0,MIN('Activities'!L452,114)-MAX('Activities'!K452,108))</x:f>
        <x:v>0</x:v>
      </x:c>
      <x:c r="X452" s="22" t="n">
        <x:f>MAX(0,MIN('Activities'!L452,120)-MAX('Activities'!K452,114))</x:f>
        <x:v>0</x:v>
      </x:c>
      <x:c r="Y452" s="22" t="n">
        <x:f>MAX(0,MIN('Activities'!L452,126)-MAX('Activities'!K452,120))</x:f>
        <x:v>0</x:v>
      </x:c>
      <x:c r="Z452" s="22" t="n">
        <x:f>MAX(0,MIN('Activities'!L452,132)-MAX('Activities'!K452,126))</x:f>
        <x:v>0</x:v>
      </x:c>
      <x:c r="AA452" s="22" t="n">
        <x:f>MAX(0,MIN('Activities'!L452,138)-MAX('Activities'!K452,132))</x:f>
        <x:v>0</x:v>
      </x:c>
      <x:c r="AB452" s="22" t="n">
        <x:f>MAX(0,MIN('Activities'!L452,144)-MAX('Activities'!K452,138))</x:f>
        <x:v>0</x:v>
      </x:c>
      <x:c r="AC452" s="22" t="n">
        <x:f>MAX(0,MIN('Activities'!L452,150)-MAX('Activities'!K452,144))</x:f>
        <x:v>0</x:v>
      </x:c>
      <x:c r="AD452" s="22" t="n">
        <x:f>MAX(0,MIN('Activities'!L452,156)-MAX('Activities'!K452,150))</x:f>
        <x:v>0</x:v>
      </x:c>
      <x:c r="AE452" s="22" t="n">
        <x:f>MAX(0,MIN('Activities'!L452,162)-MAX('Activities'!K452,156))</x:f>
        <x:v>0</x:v>
      </x:c>
      <x:c r="AF452" s="22" t="n">
        <x:f>MAX(0,MIN('Activities'!L452,168)-MAX('Activities'!K452,162))</x:f>
        <x:v>0</x:v>
      </x:c>
      <x:c r="AG452" s="22" t="n">
        <x:f>MAX(0,MIN('Activities'!L452,174)-MAX('Activities'!K452,168))</x:f>
        <x:v>0</x:v>
      </x:c>
      <x:c r="AH452" s="22" t="n">
        <x:f>MAX(0,MIN('Activities'!L452,180)-MAX('Activities'!K452,174))</x:f>
        <x:v>0</x:v>
      </x:c>
      <x:c r="AI452" s="22" t="n">
        <x:f>MAX(0,MIN('Activities'!L452,186)-MAX('Activities'!K452,180))</x:f>
        <x:v>0</x:v>
      </x:c>
      <x:c r="AJ452" s="22" t="n">
        <x:f>MAX(0,MIN('Activities'!L452,192)-MAX('Activities'!K452,186))</x:f>
        <x:v>0</x:v>
      </x:c>
      <x:c r="AK452" s="22" t="n">
        <x:f>MAX(0,MIN('Activities'!L452,198)-MAX('Activities'!K452,192))</x:f>
        <x:v>0</x:v>
      </x:c>
      <x:c r="AL452" s="22" t="n">
        <x:f>MAX(0,MIN('Activities'!L452,204)-MAX('Activities'!K452,198))</x:f>
        <x:v>0</x:v>
      </x:c>
      <x:c r="AM452" s="22" t="n">
        <x:f>MAX(0,MIN('Activities'!L452,210)-MAX('Activities'!K452,204))</x:f>
        <x:v>0</x:v>
      </x:c>
      <x:c r="AN452" s="22" t="n">
        <x:f>MAX(0,MIN('Activities'!L452,216)-MAX('Activities'!K452,210))</x:f>
        <x:v>0</x:v>
      </x:c>
      <x:c r="AO452" s="22" t="n">
        <x:f>MAX(0,MIN('Activities'!L452,222)-MAX('Activities'!K452,216))</x:f>
        <x:v>0</x:v>
      </x:c>
      <x:c r="AP452" s="22" t="n">
        <x:f>MAX(0,MIN('Activities'!L452,228)-MAX('Activities'!K452,222))</x:f>
        <x:v>0</x:v>
      </x:c>
      <x:c r="AQ452" s="22" t="n">
        <x:f>MAX(0,MIN('Activities'!L452,234)-MAX('Activities'!K452,228))</x:f>
        <x:v>0</x:v>
      </x:c>
      <x:c r="AR452" s="22" t="n">
        <x:f>MAX(0,MIN('Activities'!L452,240)-MAX('Activities'!K452,234))</x:f>
        <x:v>0</x:v>
      </x:c>
      <x:c r="AS452" s="22" t="n">
        <x:f>MAX(0,MIN('Activities'!L452,246)-MAX('Activities'!K452,240))</x:f>
        <x:v>0</x:v>
      </x:c>
      <x:c r="AT452" s="22" t="n">
        <x:f>MAX(0,MIN('Activities'!L452,252)-MAX('Activities'!K452,246))</x:f>
        <x:v>0</x:v>
      </x:c>
      <x:c r="AU452" s="22" t="n">
        <x:f>MAX(0,MIN('Activities'!L452,258)-MAX('Activities'!K452,252))</x:f>
        <x:v>0</x:v>
      </x:c>
      <x:c r="AV452" s="22" t="n">
        <x:f>MAX(0,MIN('Activities'!L452,264)-MAX('Activities'!K452,258))</x:f>
        <x:v>0</x:v>
      </x:c>
      <x:c r="AW452" s="22" t="n">
        <x:f>MAX(0,MIN('Activities'!L452,270)-MAX('Activities'!K452,264))</x:f>
        <x:v>0</x:v>
      </x:c>
      <x:c r="AX452" s="22" t="n">
        <x:f>MAX(0,MIN('Activities'!L452,276)-MAX('Activities'!K452,270))</x:f>
        <x:v>0</x:v>
      </x:c>
      <x:c r="AY452" s="22" t="n">
        <x:f>MAX(0,MIN('Activities'!L452,282)-MAX('Activities'!K452,276))</x:f>
        <x:v>0</x:v>
      </x:c>
      <x:c r="AZ452" s="22" t="n">
        <x:f>MAX(0,MIN('Activities'!L452,288)-MAX('Activities'!K452,282))</x:f>
        <x:v>0</x:v>
      </x:c>
      <x:c r="BA452" s="22" t="n">
        <x:f>MAX(0,MIN('Activities'!L452,294)-MAX('Activities'!K452,288))</x:f>
        <x:v>0</x:v>
      </x:c>
      <x:c r="BB452" s="22" t="n">
        <x:f>MAX(0,MIN('Activities'!L452,300)-MAX('Activities'!K452,294))</x:f>
        <x:v>0</x:v>
      </x:c>
      <x:c r="BC452" s="22" t="n">
        <x:f>MAX(0,MIN('Activities'!L452,306)-MAX('Activities'!K452,300))</x:f>
        <x:v>0</x:v>
      </x:c>
      <x:c r="BD452" s="22" t="n">
        <x:f>MAX(0,MIN('Activities'!L452,312)-MAX('Activities'!K452,306))</x:f>
        <x:v>0</x:v>
      </x:c>
      <x:c r="BE452" s="22" t="n">
        <x:f>MAX(0,MIN('Activities'!L452,318)-MAX('Activities'!K452,312))</x:f>
        <x:v>0</x:v>
      </x:c>
      <x:c r="BF452" s="22" t="n">
        <x:f>MAX(0,MIN('Activities'!L452,324)-MAX('Activities'!K452,318))</x:f>
        <x:v>0</x:v>
      </x:c>
      <x:c r="BG452" s="22" t="n">
        <x:f>MAX(0,MIN('Activities'!L452,330)-MAX('Activities'!K452,324))</x:f>
        <x:v>0</x:v>
      </x:c>
      <x:c r="BH452" s="22" t="n">
        <x:f>MAX(0,MIN('Activities'!L452,336)-MAX('Activities'!K452,330))</x:f>
        <x:v>0</x:v>
      </x:c>
      <x:c r="BI452" s="22" t="n">
        <x:f>MAX(0,MIN('Activities'!L452,342)-MAX('Activities'!K452,336))</x:f>
        <x:v>4</x:v>
      </x:c>
      <x:c r="BJ452" s="22" t="n">
        <x:f>MAX(0,MIN('Activities'!L452,348)-MAX('Activities'!K452,342))</x:f>
        <x:v>1</x:v>
      </x:c>
      <x:c r="BK452" s="22" t="n">
        <x:f>MAX(0,MIN('Activities'!L452,354)-MAX('Activities'!K452,348))</x:f>
        <x:v>0</x:v>
      </x:c>
      <x:c r="BL452" s="22" t="n">
        <x:f>MAX(0,MIN('Activities'!L452,360)-MAX('Activities'!K452,354))</x:f>
        <x:v>0</x:v>
      </x:c>
      <x:c r="BM452" s="22" t="n">
        <x:f>MAX(0,MIN('Activities'!L452,366)-MAX('Activities'!K452,360))</x:f>
        <x:v>0</x:v>
      </x:c>
      <x:c r="BN452" s="22" t="n">
        <x:f>MAX(0,MIN('Activities'!L452,372)-MAX('Activities'!K452,366))</x:f>
        <x:v>0</x:v>
      </x:c>
      <x:c r="BO452" s="22" t="n">
        <x:f>MAX(0,MIN('Activities'!L452,378)-MAX('Activities'!K452,372))</x:f>
        <x:v>0</x:v>
      </x:c>
      <x:c r="BP452" s="22" t="n">
        <x:f>MAX(0,MIN('Activities'!L452,384)-MAX('Activities'!K452,378))</x:f>
        <x:v>0</x:v>
      </x:c>
      <x:c r="BQ452" s="22" t="n">
        <x:f>MAX(0,MIN('Activities'!L452,390)-MAX('Activities'!K452,384))</x:f>
        <x:v>0</x:v>
      </x:c>
      <x:c r="BR452" s="22" t="n">
        <x:f>MAX(0,MIN('Activities'!L452,396)-MAX('Activities'!K452,390))</x:f>
        <x:v>0</x:v>
      </x:c>
      <x:c r="BS452" s="22" t="n">
        <x:f>MAX(0,MIN('Activities'!L452,402)-MAX('Activities'!K452,396))</x:f>
        <x:v>0</x:v>
      </x:c>
      <x:c r="BT452" s="22" t="n">
        <x:f>MAX(0,MIN('Activities'!L452,408)-MAX('Activities'!K452,402))</x:f>
        <x:v>0</x:v>
      </x:c>
      <x:c r="BU452" s="22" t="n">
        <x:f>MAX(0,MIN('Activities'!L452,414)-MAX('Activities'!K452,408))</x:f>
        <x:v>0</x:v>
      </x:c>
      <x:c r="BV452" s="22" t="n">
        <x:f>MAX(0,MIN('Activities'!L452,420)-MAX('Activities'!K452,414))</x:f>
        <x:v>0</x:v>
      </x:c>
      <x:c r="BW452" s="22" t="n">
        <x:f>MAX(0,MIN('Activities'!L452,426)-MAX('Activities'!K452,420))</x:f>
        <x:v>0</x:v>
      </x:c>
      <x:c r="BX452" s="22" t="n">
        <x:f>MAX(0,MIN('Activities'!L452,432)-MAX('Activities'!K452,426))</x:f>
        <x:v>0</x:v>
      </x:c>
      <x:c r="BY452" s="22" t="n">
        <x:f>MAX(0,MIN('Activities'!L452,438)-MAX('Activities'!K452,432))</x:f>
        <x:v>0</x:v>
      </x:c>
      <x:c r="BZ452" s="22" t="n">
        <x:f>MAX(0,MIN('Activities'!L452,444)-MAX('Activities'!K452,438))</x:f>
        <x:v>0</x:v>
      </x:c>
      <x:c r="CA452" s="22" t="n">
        <x:f>MAX(0,MIN('Activities'!L452,450)-MAX('Activities'!K452,444))</x:f>
        <x:v>0</x:v>
      </x:c>
      <x:c r="CB452" s="22" t="n">
        <x:f>MAX(0,MIN('Activities'!L452,456)-MAX('Activities'!K452,450))</x:f>
        <x:v>0</x:v>
      </x:c>
      <x:c r="CC452" s="22" t="n">
        <x:f>MAX(0,MIN('Activities'!L452,462)-MAX('Activities'!K452,456))</x:f>
        <x:v>0</x:v>
      </x:c>
      <x:c r="CD452" s="22" t="n">
        <x:f>MAX(0,MIN('Activities'!L452,468)-MAX('Activities'!K452,462))</x:f>
        <x:v>0</x:v>
      </x:c>
      <x:c r="CE452" s="22" t="n">
        <x:f>MAX(0,MIN('Activities'!L452,474)-MAX('Activities'!K452,468))</x:f>
        <x:v>0</x:v>
      </x:c>
      <x:c r="CF452" s="22" t="n">
        <x:f>MAX(0,MIN('Activities'!L452,480)-MAX('Activities'!K452,474))</x:f>
        <x:v>0</x:v>
      </x:c>
      <x:c r="CG452" s="22" t="n">
        <x:f>MAX(0,MIN('Activities'!L452,486)-MAX('Activities'!K452,480))</x:f>
        <x:v>0</x:v>
      </x:c>
      <x:c r="CH452" s="22" t="n">
        <x:f>MAX(0,MIN('Activities'!L452,492)-MAX('Activities'!K452,486))</x:f>
        <x:v>0</x:v>
      </x:c>
      <x:c r="CI452" s="22" t="n">
        <x:f>MAX(0,MIN('Activities'!L452,498)-MAX('Activities'!K452,492))</x:f>
        <x:v>0</x:v>
      </x:c>
      <x:c r="CJ452" s="22" t="n">
        <x:f>MAX(0,MIN('Activities'!L452,504)-MAX('Activities'!K452,498))</x:f>
        <x:v>0</x:v>
      </x:c>
      <x:c r="CK452" s="22" t="n">
        <x:f>MAX(0,MIN('Activities'!L452,510)-MAX('Activities'!K452,504))</x:f>
        <x:v>0</x:v>
      </x:c>
      <x:c r="CL452" s="22" t="n">
        <x:f>MAX(0,MIN('Activities'!L452,516)-MAX('Activities'!K452,510))</x:f>
        <x:v>0</x:v>
      </x:c>
      <x:c r="CM452" s="22" t="n">
        <x:f>MAX(0,MIN('Activities'!L452,522)-MAX('Activities'!K452,516))</x:f>
        <x:v>0</x:v>
      </x:c>
      <x:c r="CN452" s="22" t="n">
        <x:f>MAX(0,MIN('Activities'!L452,528)-MAX('Activities'!K452,522))</x:f>
        <x:v>0</x:v>
      </x:c>
      <x:c r="CO452" s="22" t="n">
        <x:f>MAX(0,MIN('Activities'!L452,534)-MAX('Activities'!K452,528))</x:f>
        <x:v>0</x:v>
      </x:c>
      <x:c r="CP452" s="22" t="n">
        <x:f>MAX(0,MIN('Activities'!L452,540)-MAX('Activities'!K452,534))</x:f>
        <x:v>0</x:v>
      </x:c>
      <x:c r="CQ452" s="22" t="n">
        <x:f>MAX(0,MIN('Activities'!L452,546)-MAX('Activities'!K452,540))</x:f>
        <x:v>0</x:v>
      </x:c>
      <x:c r="CR452" s="22" t="n">
        <x:f>MAX(0,MIN('Activities'!L452,552)-MAX('Activities'!K452,546))</x:f>
        <x:v>0</x:v>
      </x:c>
      <x:c r="CS452" s="22" t="n">
        <x:f>MAX(0,MIN('Activities'!L452,558)-MAX('Activities'!K452,552))</x:f>
        <x:v>0</x:v>
      </x:c>
      <x:c r="CT452" s="22" t="n">
        <x:f>MAX(0,MIN('Activities'!L452,564)-MAX('Activities'!K452,558))</x:f>
        <x:v>0</x:v>
      </x:c>
      <x:c r="CU452" s="22" t="n">
        <x:f>MAX(0,MIN('Activities'!L452,570)-MAX('Activities'!K452,564))</x:f>
        <x:v>0</x:v>
      </x:c>
      <x:c r="CV452" s="22" t="n">
        <x:f>MAX(0,MIN('Activities'!L452,576)-MAX('Activities'!K452,570))</x:f>
        <x:v>0</x:v>
      </x:c>
      <x:c r="CW452" s="22" t="n">
        <x:f>MAX(0,MIN('Activities'!L452,582)-MAX('Activities'!K452,576))</x:f>
        <x:v>0</x:v>
      </x:c>
      <x:c r="CX452" s="22" t="n">
        <x:f>MAX(0,MIN('Activities'!L452,588)-MAX('Activities'!K452,582))</x:f>
        <x:v>0</x:v>
      </x:c>
      <x:c r="CY452" s="22" t="n">
        <x:f>MAX(0,MIN('Activities'!L452,594)-MAX('Activities'!K452,588))</x:f>
        <x:v>0</x:v>
      </x:c>
      <x:c r="CZ452" s="22" t="n">
        <x:f>MAX(0,MIN('Activities'!L452,600)-MAX('Activities'!K452,594))</x:f>
        <x:v>0</x:v>
      </x:c>
      <x:c r="DA452" s="22" t="n">
        <x:f>MAX(0,MIN('Activities'!L452,606)-MAX('Activities'!K452,600))</x:f>
        <x:v>0</x:v>
      </x:c>
      <x:c r="DB452" s="22" t="n">
        <x:f>MAX(0,MIN('Activities'!L452,612)-MAX('Activities'!K452,606))</x:f>
        <x:v>0</x:v>
      </x:c>
      <x:c r="DC452" s="22" t="n">
        <x:f>MAX(0,MIN('Activities'!L452,618)-MAX('Activities'!K452,612))</x:f>
        <x:v>0</x:v>
      </x:c>
      <x:c r="DD452" s="22" t="n">
        <x:f>MAX(0,MIN('Activities'!L452,624)-MAX('Activities'!K452,618))</x:f>
        <x:v>0</x:v>
      </x:c>
      <x:c r="DE452" s="22" t="n">
        <x:f>MAX(0,MIN('Activities'!L452,630)-MAX('Activities'!K452,624))</x:f>
        <x:v>0</x:v>
      </x:c>
      <x:c r="DF452" s="22" t="n">
        <x:f>MAX(0,MIN('Activities'!L452,636)-MAX('Activities'!K452,630))</x:f>
        <x:v>0</x:v>
      </x:c>
    </x:row>
    <x:row r="453" ht="23" customHeight="1">
      <x:c r="A453" s="1" t="str">
        <x:v>T4-L09-C</x:v>
      </x:c>
      <x:c r="B453" s="1" t="str">
        <x:v>T4</x:v>
      </x:c>
      <x:c r="C453" s="1" t="str">
        <x:v>Concrete placement and finishing</x:v>
      </x:c>
      <x:c r="D453" s="1" t="str">
        <x:v>Concrete</x:v>
      </x:c>
      <x:c r="E453" s="23" t="n">
        <x:f>MAX(0,MIN('Activities'!L453,6)-MAX('Activities'!K453,0))</x:f>
        <x:v>0</x:v>
      </x:c>
      <x:c r="F453" s="23" t="n">
        <x:f>MAX(0,MIN('Activities'!L453,12)-MAX('Activities'!K453,6))</x:f>
        <x:v>0</x:v>
      </x:c>
      <x:c r="G453" s="23" t="n">
        <x:f>MAX(0,MIN('Activities'!L453,18)-MAX('Activities'!K453,12))</x:f>
        <x:v>0</x:v>
      </x:c>
      <x:c r="H453" s="23" t="n">
        <x:f>MAX(0,MIN('Activities'!L453,24)-MAX('Activities'!K453,18))</x:f>
        <x:v>0</x:v>
      </x:c>
      <x:c r="I453" s="23" t="n">
        <x:f>MAX(0,MIN('Activities'!L453,30)-MAX('Activities'!K453,24))</x:f>
        <x:v>0</x:v>
      </x:c>
      <x:c r="J453" s="23" t="n">
        <x:f>MAX(0,MIN('Activities'!L453,36)-MAX('Activities'!K453,30))</x:f>
        <x:v>0</x:v>
      </x:c>
      <x:c r="K453" s="23" t="n">
        <x:f>MAX(0,MIN('Activities'!L453,42)-MAX('Activities'!K453,36))</x:f>
        <x:v>0</x:v>
      </x:c>
      <x:c r="L453" s="23" t="n">
        <x:f>MAX(0,MIN('Activities'!L453,48)-MAX('Activities'!K453,42))</x:f>
        <x:v>0</x:v>
      </x:c>
      <x:c r="M453" s="23" t="n">
        <x:f>MAX(0,MIN('Activities'!L453,54)-MAX('Activities'!K453,48))</x:f>
        <x:v>0</x:v>
      </x:c>
      <x:c r="N453" s="23" t="n">
        <x:f>MAX(0,MIN('Activities'!L453,60)-MAX('Activities'!K453,54))</x:f>
        <x:v>0</x:v>
      </x:c>
      <x:c r="O453" s="23" t="n">
        <x:f>MAX(0,MIN('Activities'!L453,66)-MAX('Activities'!K453,60))</x:f>
        <x:v>0</x:v>
      </x:c>
      <x:c r="P453" s="23" t="n">
        <x:f>MAX(0,MIN('Activities'!L453,72)-MAX('Activities'!K453,66))</x:f>
        <x:v>0</x:v>
      </x:c>
      <x:c r="Q453" s="23" t="n">
        <x:f>MAX(0,MIN('Activities'!L453,78)-MAX('Activities'!K453,72))</x:f>
        <x:v>0</x:v>
      </x:c>
      <x:c r="R453" s="23" t="n">
        <x:f>MAX(0,MIN('Activities'!L453,84)-MAX('Activities'!K453,78))</x:f>
        <x:v>0</x:v>
      </x:c>
      <x:c r="S453" s="23" t="n">
        <x:f>MAX(0,MIN('Activities'!L453,90)-MAX('Activities'!K453,84))</x:f>
        <x:v>0</x:v>
      </x:c>
      <x:c r="T453" s="23" t="n">
        <x:f>MAX(0,MIN('Activities'!L453,96)-MAX('Activities'!K453,90))</x:f>
        <x:v>0</x:v>
      </x:c>
      <x:c r="U453" s="23" t="n">
        <x:f>MAX(0,MIN('Activities'!L453,102)-MAX('Activities'!K453,96))</x:f>
        <x:v>0</x:v>
      </x:c>
      <x:c r="V453" s="23" t="n">
        <x:f>MAX(0,MIN('Activities'!L453,108)-MAX('Activities'!K453,102))</x:f>
        <x:v>0</x:v>
      </x:c>
      <x:c r="W453" s="23" t="n">
        <x:f>MAX(0,MIN('Activities'!L453,114)-MAX('Activities'!K453,108))</x:f>
        <x:v>0</x:v>
      </x:c>
      <x:c r="X453" s="23" t="n">
        <x:f>MAX(0,MIN('Activities'!L453,120)-MAX('Activities'!K453,114))</x:f>
        <x:v>0</x:v>
      </x:c>
      <x:c r="Y453" s="23" t="n">
        <x:f>MAX(0,MIN('Activities'!L453,126)-MAX('Activities'!K453,120))</x:f>
        <x:v>0</x:v>
      </x:c>
      <x:c r="Z453" s="23" t="n">
        <x:f>MAX(0,MIN('Activities'!L453,132)-MAX('Activities'!K453,126))</x:f>
        <x:v>0</x:v>
      </x:c>
      <x:c r="AA453" s="23" t="n">
        <x:f>MAX(0,MIN('Activities'!L453,138)-MAX('Activities'!K453,132))</x:f>
        <x:v>0</x:v>
      </x:c>
      <x:c r="AB453" s="23" t="n">
        <x:f>MAX(0,MIN('Activities'!L453,144)-MAX('Activities'!K453,138))</x:f>
        <x:v>0</x:v>
      </x:c>
      <x:c r="AC453" s="23" t="n">
        <x:f>MAX(0,MIN('Activities'!L453,150)-MAX('Activities'!K453,144))</x:f>
        <x:v>0</x:v>
      </x:c>
      <x:c r="AD453" s="23" t="n">
        <x:f>MAX(0,MIN('Activities'!L453,156)-MAX('Activities'!K453,150))</x:f>
        <x:v>0</x:v>
      </x:c>
      <x:c r="AE453" s="23" t="n">
        <x:f>MAX(0,MIN('Activities'!L453,162)-MAX('Activities'!K453,156))</x:f>
        <x:v>0</x:v>
      </x:c>
      <x:c r="AF453" s="23" t="n">
        <x:f>MAX(0,MIN('Activities'!L453,168)-MAX('Activities'!K453,162))</x:f>
        <x:v>0</x:v>
      </x:c>
      <x:c r="AG453" s="23" t="n">
        <x:f>MAX(0,MIN('Activities'!L453,174)-MAX('Activities'!K453,168))</x:f>
        <x:v>0</x:v>
      </x:c>
      <x:c r="AH453" s="23" t="n">
        <x:f>MAX(0,MIN('Activities'!L453,180)-MAX('Activities'!K453,174))</x:f>
        <x:v>0</x:v>
      </x:c>
      <x:c r="AI453" s="23" t="n">
        <x:f>MAX(0,MIN('Activities'!L453,186)-MAX('Activities'!K453,180))</x:f>
        <x:v>0</x:v>
      </x:c>
      <x:c r="AJ453" s="23" t="n">
        <x:f>MAX(0,MIN('Activities'!L453,192)-MAX('Activities'!K453,186))</x:f>
        <x:v>0</x:v>
      </x:c>
      <x:c r="AK453" s="23" t="n">
        <x:f>MAX(0,MIN('Activities'!L453,198)-MAX('Activities'!K453,192))</x:f>
        <x:v>0</x:v>
      </x:c>
      <x:c r="AL453" s="23" t="n">
        <x:f>MAX(0,MIN('Activities'!L453,204)-MAX('Activities'!K453,198))</x:f>
        <x:v>0</x:v>
      </x:c>
      <x:c r="AM453" s="23" t="n">
        <x:f>MAX(0,MIN('Activities'!L453,210)-MAX('Activities'!K453,204))</x:f>
        <x:v>0</x:v>
      </x:c>
      <x:c r="AN453" s="23" t="n">
        <x:f>MAX(0,MIN('Activities'!L453,216)-MAX('Activities'!K453,210))</x:f>
        <x:v>0</x:v>
      </x:c>
      <x:c r="AO453" s="23" t="n">
        <x:f>MAX(0,MIN('Activities'!L453,222)-MAX('Activities'!K453,216))</x:f>
        <x:v>0</x:v>
      </x:c>
      <x:c r="AP453" s="23" t="n">
        <x:f>MAX(0,MIN('Activities'!L453,228)-MAX('Activities'!K453,222))</x:f>
        <x:v>0</x:v>
      </x:c>
      <x:c r="AQ453" s="23" t="n">
        <x:f>MAX(0,MIN('Activities'!L453,234)-MAX('Activities'!K453,228))</x:f>
        <x:v>0</x:v>
      </x:c>
      <x:c r="AR453" s="23" t="n">
        <x:f>MAX(0,MIN('Activities'!L453,240)-MAX('Activities'!K453,234))</x:f>
        <x:v>0</x:v>
      </x:c>
      <x:c r="AS453" s="23" t="n">
        <x:f>MAX(0,MIN('Activities'!L453,246)-MAX('Activities'!K453,240))</x:f>
        <x:v>0</x:v>
      </x:c>
      <x:c r="AT453" s="23" t="n">
        <x:f>MAX(0,MIN('Activities'!L453,252)-MAX('Activities'!K453,246))</x:f>
        <x:v>0</x:v>
      </x:c>
      <x:c r="AU453" s="23" t="n">
        <x:f>MAX(0,MIN('Activities'!L453,258)-MAX('Activities'!K453,252))</x:f>
        <x:v>0</x:v>
      </x:c>
      <x:c r="AV453" s="23" t="n">
        <x:f>MAX(0,MIN('Activities'!L453,264)-MAX('Activities'!K453,258))</x:f>
        <x:v>0</x:v>
      </x:c>
      <x:c r="AW453" s="23" t="n">
        <x:f>MAX(0,MIN('Activities'!L453,270)-MAX('Activities'!K453,264))</x:f>
        <x:v>0</x:v>
      </x:c>
      <x:c r="AX453" s="23" t="n">
        <x:f>MAX(0,MIN('Activities'!L453,276)-MAX('Activities'!K453,270))</x:f>
        <x:v>0</x:v>
      </x:c>
      <x:c r="AY453" s="23" t="n">
        <x:f>MAX(0,MIN('Activities'!L453,282)-MAX('Activities'!K453,276))</x:f>
        <x:v>0</x:v>
      </x:c>
      <x:c r="AZ453" s="23" t="n">
        <x:f>MAX(0,MIN('Activities'!L453,288)-MAX('Activities'!K453,282))</x:f>
        <x:v>0</x:v>
      </x:c>
      <x:c r="BA453" s="23" t="n">
        <x:f>MAX(0,MIN('Activities'!L453,294)-MAX('Activities'!K453,288))</x:f>
        <x:v>0</x:v>
      </x:c>
      <x:c r="BB453" s="23" t="n">
        <x:f>MAX(0,MIN('Activities'!L453,300)-MAX('Activities'!K453,294))</x:f>
        <x:v>0</x:v>
      </x:c>
      <x:c r="BC453" s="23" t="n">
        <x:f>MAX(0,MIN('Activities'!L453,306)-MAX('Activities'!K453,300))</x:f>
        <x:v>0</x:v>
      </x:c>
      <x:c r="BD453" s="23" t="n">
        <x:f>MAX(0,MIN('Activities'!L453,312)-MAX('Activities'!K453,306))</x:f>
        <x:v>0</x:v>
      </x:c>
      <x:c r="BE453" s="23" t="n">
        <x:f>MAX(0,MIN('Activities'!L453,318)-MAX('Activities'!K453,312))</x:f>
        <x:v>0</x:v>
      </x:c>
      <x:c r="BF453" s="23" t="n">
        <x:f>MAX(0,MIN('Activities'!L453,324)-MAX('Activities'!K453,318))</x:f>
        <x:v>0</x:v>
      </x:c>
      <x:c r="BG453" s="23" t="n">
        <x:f>MAX(0,MIN('Activities'!L453,330)-MAX('Activities'!K453,324))</x:f>
        <x:v>0</x:v>
      </x:c>
      <x:c r="BH453" s="23" t="n">
        <x:f>MAX(0,MIN('Activities'!L453,336)-MAX('Activities'!K453,330))</x:f>
        <x:v>0</x:v>
      </x:c>
      <x:c r="BI453" s="23" t="n">
        <x:f>MAX(0,MIN('Activities'!L453,342)-MAX('Activities'!K453,336))</x:f>
        <x:v>0</x:v>
      </x:c>
      <x:c r="BJ453" s="23" t="n">
        <x:f>MAX(0,MIN('Activities'!L453,348)-MAX('Activities'!K453,342))</x:f>
        <x:v>2</x:v>
      </x:c>
      <x:c r="BK453" s="23" t="n">
        <x:f>MAX(0,MIN('Activities'!L453,354)-MAX('Activities'!K453,348))</x:f>
        <x:v>0</x:v>
      </x:c>
      <x:c r="BL453" s="23" t="n">
        <x:f>MAX(0,MIN('Activities'!L453,360)-MAX('Activities'!K453,354))</x:f>
        <x:v>0</x:v>
      </x:c>
      <x:c r="BM453" s="23" t="n">
        <x:f>MAX(0,MIN('Activities'!L453,366)-MAX('Activities'!K453,360))</x:f>
        <x:v>0</x:v>
      </x:c>
      <x:c r="BN453" s="23" t="n">
        <x:f>MAX(0,MIN('Activities'!L453,372)-MAX('Activities'!K453,366))</x:f>
        <x:v>0</x:v>
      </x:c>
      <x:c r="BO453" s="23" t="n">
        <x:f>MAX(0,MIN('Activities'!L453,378)-MAX('Activities'!K453,372))</x:f>
        <x:v>0</x:v>
      </x:c>
      <x:c r="BP453" s="23" t="n">
        <x:f>MAX(0,MIN('Activities'!L453,384)-MAX('Activities'!K453,378))</x:f>
        <x:v>0</x:v>
      </x:c>
      <x:c r="BQ453" s="23" t="n">
        <x:f>MAX(0,MIN('Activities'!L453,390)-MAX('Activities'!K453,384))</x:f>
        <x:v>0</x:v>
      </x:c>
      <x:c r="BR453" s="23" t="n">
        <x:f>MAX(0,MIN('Activities'!L453,396)-MAX('Activities'!K453,390))</x:f>
        <x:v>0</x:v>
      </x:c>
      <x:c r="BS453" s="23" t="n">
        <x:f>MAX(0,MIN('Activities'!L453,402)-MAX('Activities'!K453,396))</x:f>
        <x:v>0</x:v>
      </x:c>
      <x:c r="BT453" s="23" t="n">
        <x:f>MAX(0,MIN('Activities'!L453,408)-MAX('Activities'!K453,402))</x:f>
        <x:v>0</x:v>
      </x:c>
      <x:c r="BU453" s="23" t="n">
        <x:f>MAX(0,MIN('Activities'!L453,414)-MAX('Activities'!K453,408))</x:f>
        <x:v>0</x:v>
      </x:c>
      <x:c r="BV453" s="23" t="n">
        <x:f>MAX(0,MIN('Activities'!L453,420)-MAX('Activities'!K453,414))</x:f>
        <x:v>0</x:v>
      </x:c>
      <x:c r="BW453" s="23" t="n">
        <x:f>MAX(0,MIN('Activities'!L453,426)-MAX('Activities'!K453,420))</x:f>
        <x:v>0</x:v>
      </x:c>
      <x:c r="BX453" s="23" t="n">
        <x:f>MAX(0,MIN('Activities'!L453,432)-MAX('Activities'!K453,426))</x:f>
        <x:v>0</x:v>
      </x:c>
      <x:c r="BY453" s="23" t="n">
        <x:f>MAX(0,MIN('Activities'!L453,438)-MAX('Activities'!K453,432))</x:f>
        <x:v>0</x:v>
      </x:c>
      <x:c r="BZ453" s="23" t="n">
        <x:f>MAX(0,MIN('Activities'!L453,444)-MAX('Activities'!K453,438))</x:f>
        <x:v>0</x:v>
      </x:c>
      <x:c r="CA453" s="23" t="n">
        <x:f>MAX(0,MIN('Activities'!L453,450)-MAX('Activities'!K453,444))</x:f>
        <x:v>0</x:v>
      </x:c>
      <x:c r="CB453" s="23" t="n">
        <x:f>MAX(0,MIN('Activities'!L453,456)-MAX('Activities'!K453,450))</x:f>
        <x:v>0</x:v>
      </x:c>
      <x:c r="CC453" s="23" t="n">
        <x:f>MAX(0,MIN('Activities'!L453,462)-MAX('Activities'!K453,456))</x:f>
        <x:v>0</x:v>
      </x:c>
      <x:c r="CD453" s="23" t="n">
        <x:f>MAX(0,MIN('Activities'!L453,468)-MAX('Activities'!K453,462))</x:f>
        <x:v>0</x:v>
      </x:c>
      <x:c r="CE453" s="23" t="n">
        <x:f>MAX(0,MIN('Activities'!L453,474)-MAX('Activities'!K453,468))</x:f>
        <x:v>0</x:v>
      </x:c>
      <x:c r="CF453" s="23" t="n">
        <x:f>MAX(0,MIN('Activities'!L453,480)-MAX('Activities'!K453,474))</x:f>
        <x:v>0</x:v>
      </x:c>
      <x:c r="CG453" s="23" t="n">
        <x:f>MAX(0,MIN('Activities'!L453,486)-MAX('Activities'!K453,480))</x:f>
        <x:v>0</x:v>
      </x:c>
      <x:c r="CH453" s="23" t="n">
        <x:f>MAX(0,MIN('Activities'!L453,492)-MAX('Activities'!K453,486))</x:f>
        <x:v>0</x:v>
      </x:c>
      <x:c r="CI453" s="23" t="n">
        <x:f>MAX(0,MIN('Activities'!L453,498)-MAX('Activities'!K453,492))</x:f>
        <x:v>0</x:v>
      </x:c>
      <x:c r="CJ453" s="23" t="n">
        <x:f>MAX(0,MIN('Activities'!L453,504)-MAX('Activities'!K453,498))</x:f>
        <x:v>0</x:v>
      </x:c>
      <x:c r="CK453" s="23" t="n">
        <x:f>MAX(0,MIN('Activities'!L453,510)-MAX('Activities'!K453,504))</x:f>
        <x:v>0</x:v>
      </x:c>
      <x:c r="CL453" s="23" t="n">
        <x:f>MAX(0,MIN('Activities'!L453,516)-MAX('Activities'!K453,510))</x:f>
        <x:v>0</x:v>
      </x:c>
      <x:c r="CM453" s="23" t="n">
        <x:f>MAX(0,MIN('Activities'!L453,522)-MAX('Activities'!K453,516))</x:f>
        <x:v>0</x:v>
      </x:c>
      <x:c r="CN453" s="23" t="n">
        <x:f>MAX(0,MIN('Activities'!L453,528)-MAX('Activities'!K453,522))</x:f>
        <x:v>0</x:v>
      </x:c>
      <x:c r="CO453" s="23" t="n">
        <x:f>MAX(0,MIN('Activities'!L453,534)-MAX('Activities'!K453,528))</x:f>
        <x:v>0</x:v>
      </x:c>
      <x:c r="CP453" s="23" t="n">
        <x:f>MAX(0,MIN('Activities'!L453,540)-MAX('Activities'!K453,534))</x:f>
        <x:v>0</x:v>
      </x:c>
      <x:c r="CQ453" s="23" t="n">
        <x:f>MAX(0,MIN('Activities'!L453,546)-MAX('Activities'!K453,540))</x:f>
        <x:v>0</x:v>
      </x:c>
      <x:c r="CR453" s="23" t="n">
        <x:f>MAX(0,MIN('Activities'!L453,552)-MAX('Activities'!K453,546))</x:f>
        <x:v>0</x:v>
      </x:c>
      <x:c r="CS453" s="23" t="n">
        <x:f>MAX(0,MIN('Activities'!L453,558)-MAX('Activities'!K453,552))</x:f>
        <x:v>0</x:v>
      </x:c>
      <x:c r="CT453" s="23" t="n">
        <x:f>MAX(0,MIN('Activities'!L453,564)-MAX('Activities'!K453,558))</x:f>
        <x:v>0</x:v>
      </x:c>
      <x:c r="CU453" s="23" t="n">
        <x:f>MAX(0,MIN('Activities'!L453,570)-MAX('Activities'!K453,564))</x:f>
        <x:v>0</x:v>
      </x:c>
      <x:c r="CV453" s="23" t="n">
        <x:f>MAX(0,MIN('Activities'!L453,576)-MAX('Activities'!K453,570))</x:f>
        <x:v>0</x:v>
      </x:c>
      <x:c r="CW453" s="23" t="n">
        <x:f>MAX(0,MIN('Activities'!L453,582)-MAX('Activities'!K453,576))</x:f>
        <x:v>0</x:v>
      </x:c>
      <x:c r="CX453" s="23" t="n">
        <x:f>MAX(0,MIN('Activities'!L453,588)-MAX('Activities'!K453,582))</x:f>
        <x:v>0</x:v>
      </x:c>
      <x:c r="CY453" s="23" t="n">
        <x:f>MAX(0,MIN('Activities'!L453,594)-MAX('Activities'!K453,588))</x:f>
        <x:v>0</x:v>
      </x:c>
      <x:c r="CZ453" s="23" t="n">
        <x:f>MAX(0,MIN('Activities'!L453,600)-MAX('Activities'!K453,594))</x:f>
        <x:v>0</x:v>
      </x:c>
      <x:c r="DA453" s="23" t="n">
        <x:f>MAX(0,MIN('Activities'!L453,606)-MAX('Activities'!K453,600))</x:f>
        <x:v>0</x:v>
      </x:c>
      <x:c r="DB453" s="23" t="n">
        <x:f>MAX(0,MIN('Activities'!L453,612)-MAX('Activities'!K453,606))</x:f>
        <x:v>0</x:v>
      </x:c>
      <x:c r="DC453" s="23" t="n">
        <x:f>MAX(0,MIN('Activities'!L453,618)-MAX('Activities'!K453,612))</x:f>
        <x:v>0</x:v>
      </x:c>
      <x:c r="DD453" s="23" t="n">
        <x:f>MAX(0,MIN('Activities'!L453,624)-MAX('Activities'!K453,618))</x:f>
        <x:v>0</x:v>
      </x:c>
      <x:c r="DE453" s="23" t="n">
        <x:f>MAX(0,MIN('Activities'!L453,630)-MAX('Activities'!K453,624))</x:f>
        <x:v>0</x:v>
      </x:c>
      <x:c r="DF453" s="23" t="n">
        <x:f>MAX(0,MIN('Activities'!L453,636)-MAX('Activities'!K453,630))</x:f>
        <x:v>0</x:v>
      </x:c>
    </x:row>
    <x:row r="454" ht="23" customHeight="1">
      <x:c r="A454" s="6" t="str">
        <x:v>T4-L09-H</x:v>
      </x:c>
      <x:c r="B454" s="6" t="str">
        <x:v>T4</x:v>
      </x:c>
      <x:c r="C454" s="6" t="str">
        <x:v>Curing and release hold point</x:v>
      </x:c>
      <x:c r="D454" s="6" t="str">
        <x:v>Site</x:v>
      </x:c>
      <x:c r="E454" s="22" t="n">
        <x:f>MAX(0,MIN('Activities'!L454,6)-MAX('Activities'!K454,0))</x:f>
        <x:v>0</x:v>
      </x:c>
      <x:c r="F454" s="22" t="n">
        <x:f>MAX(0,MIN('Activities'!L454,12)-MAX('Activities'!K454,6))</x:f>
        <x:v>0</x:v>
      </x:c>
      <x:c r="G454" s="22" t="n">
        <x:f>MAX(0,MIN('Activities'!L454,18)-MAX('Activities'!K454,12))</x:f>
        <x:v>0</x:v>
      </x:c>
      <x:c r="H454" s="22" t="n">
        <x:f>MAX(0,MIN('Activities'!L454,24)-MAX('Activities'!K454,18))</x:f>
        <x:v>0</x:v>
      </x:c>
      <x:c r="I454" s="22" t="n">
        <x:f>MAX(0,MIN('Activities'!L454,30)-MAX('Activities'!K454,24))</x:f>
        <x:v>0</x:v>
      </x:c>
      <x:c r="J454" s="22" t="n">
        <x:f>MAX(0,MIN('Activities'!L454,36)-MAX('Activities'!K454,30))</x:f>
        <x:v>0</x:v>
      </x:c>
      <x:c r="K454" s="22" t="n">
        <x:f>MAX(0,MIN('Activities'!L454,42)-MAX('Activities'!K454,36))</x:f>
        <x:v>0</x:v>
      </x:c>
      <x:c r="L454" s="22" t="n">
        <x:f>MAX(0,MIN('Activities'!L454,48)-MAX('Activities'!K454,42))</x:f>
        <x:v>0</x:v>
      </x:c>
      <x:c r="M454" s="22" t="n">
        <x:f>MAX(0,MIN('Activities'!L454,54)-MAX('Activities'!K454,48))</x:f>
        <x:v>0</x:v>
      </x:c>
      <x:c r="N454" s="22" t="n">
        <x:f>MAX(0,MIN('Activities'!L454,60)-MAX('Activities'!K454,54))</x:f>
        <x:v>0</x:v>
      </x:c>
      <x:c r="O454" s="22" t="n">
        <x:f>MAX(0,MIN('Activities'!L454,66)-MAX('Activities'!K454,60))</x:f>
        <x:v>0</x:v>
      </x:c>
      <x:c r="P454" s="22" t="n">
        <x:f>MAX(0,MIN('Activities'!L454,72)-MAX('Activities'!K454,66))</x:f>
        <x:v>0</x:v>
      </x:c>
      <x:c r="Q454" s="22" t="n">
        <x:f>MAX(0,MIN('Activities'!L454,78)-MAX('Activities'!K454,72))</x:f>
        <x:v>0</x:v>
      </x:c>
      <x:c r="R454" s="22" t="n">
        <x:f>MAX(0,MIN('Activities'!L454,84)-MAX('Activities'!K454,78))</x:f>
        <x:v>0</x:v>
      </x:c>
      <x:c r="S454" s="22" t="n">
        <x:f>MAX(0,MIN('Activities'!L454,90)-MAX('Activities'!K454,84))</x:f>
        <x:v>0</x:v>
      </x:c>
      <x:c r="T454" s="22" t="n">
        <x:f>MAX(0,MIN('Activities'!L454,96)-MAX('Activities'!K454,90))</x:f>
        <x:v>0</x:v>
      </x:c>
      <x:c r="U454" s="22" t="n">
        <x:f>MAX(0,MIN('Activities'!L454,102)-MAX('Activities'!K454,96))</x:f>
        <x:v>0</x:v>
      </x:c>
      <x:c r="V454" s="22" t="n">
        <x:f>MAX(0,MIN('Activities'!L454,108)-MAX('Activities'!K454,102))</x:f>
        <x:v>0</x:v>
      </x:c>
      <x:c r="W454" s="22" t="n">
        <x:f>MAX(0,MIN('Activities'!L454,114)-MAX('Activities'!K454,108))</x:f>
        <x:v>0</x:v>
      </x:c>
      <x:c r="X454" s="22" t="n">
        <x:f>MAX(0,MIN('Activities'!L454,120)-MAX('Activities'!K454,114))</x:f>
        <x:v>0</x:v>
      </x:c>
      <x:c r="Y454" s="22" t="n">
        <x:f>MAX(0,MIN('Activities'!L454,126)-MAX('Activities'!K454,120))</x:f>
        <x:v>0</x:v>
      </x:c>
      <x:c r="Z454" s="22" t="n">
        <x:f>MAX(0,MIN('Activities'!L454,132)-MAX('Activities'!K454,126))</x:f>
        <x:v>0</x:v>
      </x:c>
      <x:c r="AA454" s="22" t="n">
        <x:f>MAX(0,MIN('Activities'!L454,138)-MAX('Activities'!K454,132))</x:f>
        <x:v>0</x:v>
      </x:c>
      <x:c r="AB454" s="22" t="n">
        <x:f>MAX(0,MIN('Activities'!L454,144)-MAX('Activities'!K454,138))</x:f>
        <x:v>0</x:v>
      </x:c>
      <x:c r="AC454" s="22" t="n">
        <x:f>MAX(0,MIN('Activities'!L454,150)-MAX('Activities'!K454,144))</x:f>
        <x:v>0</x:v>
      </x:c>
      <x:c r="AD454" s="22" t="n">
        <x:f>MAX(0,MIN('Activities'!L454,156)-MAX('Activities'!K454,150))</x:f>
        <x:v>0</x:v>
      </x:c>
      <x:c r="AE454" s="22" t="n">
        <x:f>MAX(0,MIN('Activities'!L454,162)-MAX('Activities'!K454,156))</x:f>
        <x:v>0</x:v>
      </x:c>
      <x:c r="AF454" s="22" t="n">
        <x:f>MAX(0,MIN('Activities'!L454,168)-MAX('Activities'!K454,162))</x:f>
        <x:v>0</x:v>
      </x:c>
      <x:c r="AG454" s="22" t="n">
        <x:f>MAX(0,MIN('Activities'!L454,174)-MAX('Activities'!K454,168))</x:f>
        <x:v>0</x:v>
      </x:c>
      <x:c r="AH454" s="22" t="n">
        <x:f>MAX(0,MIN('Activities'!L454,180)-MAX('Activities'!K454,174))</x:f>
        <x:v>0</x:v>
      </x:c>
      <x:c r="AI454" s="22" t="n">
        <x:f>MAX(0,MIN('Activities'!L454,186)-MAX('Activities'!K454,180))</x:f>
        <x:v>0</x:v>
      </x:c>
      <x:c r="AJ454" s="22" t="n">
        <x:f>MAX(0,MIN('Activities'!L454,192)-MAX('Activities'!K454,186))</x:f>
        <x:v>0</x:v>
      </x:c>
      <x:c r="AK454" s="22" t="n">
        <x:f>MAX(0,MIN('Activities'!L454,198)-MAX('Activities'!K454,192))</x:f>
        <x:v>0</x:v>
      </x:c>
      <x:c r="AL454" s="22" t="n">
        <x:f>MAX(0,MIN('Activities'!L454,204)-MAX('Activities'!K454,198))</x:f>
        <x:v>0</x:v>
      </x:c>
      <x:c r="AM454" s="22" t="n">
        <x:f>MAX(0,MIN('Activities'!L454,210)-MAX('Activities'!K454,204))</x:f>
        <x:v>0</x:v>
      </x:c>
      <x:c r="AN454" s="22" t="n">
        <x:f>MAX(0,MIN('Activities'!L454,216)-MAX('Activities'!K454,210))</x:f>
        <x:v>0</x:v>
      </x:c>
      <x:c r="AO454" s="22" t="n">
        <x:f>MAX(0,MIN('Activities'!L454,222)-MAX('Activities'!K454,216))</x:f>
        <x:v>0</x:v>
      </x:c>
      <x:c r="AP454" s="22" t="n">
        <x:f>MAX(0,MIN('Activities'!L454,228)-MAX('Activities'!K454,222))</x:f>
        <x:v>0</x:v>
      </x:c>
      <x:c r="AQ454" s="22" t="n">
        <x:f>MAX(0,MIN('Activities'!L454,234)-MAX('Activities'!K454,228))</x:f>
        <x:v>0</x:v>
      </x:c>
      <x:c r="AR454" s="22" t="n">
        <x:f>MAX(0,MIN('Activities'!L454,240)-MAX('Activities'!K454,234))</x:f>
        <x:v>0</x:v>
      </x:c>
      <x:c r="AS454" s="22" t="n">
        <x:f>MAX(0,MIN('Activities'!L454,246)-MAX('Activities'!K454,240))</x:f>
        <x:v>0</x:v>
      </x:c>
      <x:c r="AT454" s="22" t="n">
        <x:f>MAX(0,MIN('Activities'!L454,252)-MAX('Activities'!K454,246))</x:f>
        <x:v>0</x:v>
      </x:c>
      <x:c r="AU454" s="22" t="n">
        <x:f>MAX(0,MIN('Activities'!L454,258)-MAX('Activities'!K454,252))</x:f>
        <x:v>0</x:v>
      </x:c>
      <x:c r="AV454" s="22" t="n">
        <x:f>MAX(0,MIN('Activities'!L454,264)-MAX('Activities'!K454,258))</x:f>
        <x:v>0</x:v>
      </x:c>
      <x:c r="AW454" s="22" t="n">
        <x:f>MAX(0,MIN('Activities'!L454,270)-MAX('Activities'!K454,264))</x:f>
        <x:v>0</x:v>
      </x:c>
      <x:c r="AX454" s="22" t="n">
        <x:f>MAX(0,MIN('Activities'!L454,276)-MAX('Activities'!K454,270))</x:f>
        <x:v>0</x:v>
      </x:c>
      <x:c r="AY454" s="22" t="n">
        <x:f>MAX(0,MIN('Activities'!L454,282)-MAX('Activities'!K454,276))</x:f>
        <x:v>0</x:v>
      </x:c>
      <x:c r="AZ454" s="22" t="n">
        <x:f>MAX(0,MIN('Activities'!L454,288)-MAX('Activities'!K454,282))</x:f>
        <x:v>0</x:v>
      </x:c>
      <x:c r="BA454" s="22" t="n">
        <x:f>MAX(0,MIN('Activities'!L454,294)-MAX('Activities'!K454,288))</x:f>
        <x:v>0</x:v>
      </x:c>
      <x:c r="BB454" s="22" t="n">
        <x:f>MAX(0,MIN('Activities'!L454,300)-MAX('Activities'!K454,294))</x:f>
        <x:v>0</x:v>
      </x:c>
      <x:c r="BC454" s="22" t="n">
        <x:f>MAX(0,MIN('Activities'!L454,306)-MAX('Activities'!K454,300))</x:f>
        <x:v>0</x:v>
      </x:c>
      <x:c r="BD454" s="22" t="n">
        <x:f>MAX(0,MIN('Activities'!L454,312)-MAX('Activities'!K454,306))</x:f>
        <x:v>0</x:v>
      </x:c>
      <x:c r="BE454" s="22" t="n">
        <x:f>MAX(0,MIN('Activities'!L454,318)-MAX('Activities'!K454,312))</x:f>
        <x:v>0</x:v>
      </x:c>
      <x:c r="BF454" s="22" t="n">
        <x:f>MAX(0,MIN('Activities'!L454,324)-MAX('Activities'!K454,318))</x:f>
        <x:v>0</x:v>
      </x:c>
      <x:c r="BG454" s="22" t="n">
        <x:f>MAX(0,MIN('Activities'!L454,330)-MAX('Activities'!K454,324))</x:f>
        <x:v>0</x:v>
      </x:c>
      <x:c r="BH454" s="22" t="n">
        <x:f>MAX(0,MIN('Activities'!L454,336)-MAX('Activities'!K454,330))</x:f>
        <x:v>0</x:v>
      </x:c>
      <x:c r="BI454" s="22" t="n">
        <x:f>MAX(0,MIN('Activities'!L454,342)-MAX('Activities'!K454,336))</x:f>
        <x:v>0</x:v>
      </x:c>
      <x:c r="BJ454" s="22" t="n">
        <x:f>MAX(0,MIN('Activities'!L454,348)-MAX('Activities'!K454,342))</x:f>
        <x:v>3</x:v>
      </x:c>
      <x:c r="BK454" s="22" t="n">
        <x:f>MAX(0,MIN('Activities'!L454,354)-MAX('Activities'!K454,348))</x:f>
        <x:v>2</x:v>
      </x:c>
      <x:c r="BL454" s="22" t="n">
        <x:f>MAX(0,MIN('Activities'!L454,360)-MAX('Activities'!K454,354))</x:f>
        <x:v>0</x:v>
      </x:c>
      <x:c r="BM454" s="22" t="n">
        <x:f>MAX(0,MIN('Activities'!L454,366)-MAX('Activities'!K454,360))</x:f>
        <x:v>0</x:v>
      </x:c>
      <x:c r="BN454" s="22" t="n">
        <x:f>MAX(0,MIN('Activities'!L454,372)-MAX('Activities'!K454,366))</x:f>
        <x:v>0</x:v>
      </x:c>
      <x:c r="BO454" s="22" t="n">
        <x:f>MAX(0,MIN('Activities'!L454,378)-MAX('Activities'!K454,372))</x:f>
        <x:v>0</x:v>
      </x:c>
      <x:c r="BP454" s="22" t="n">
        <x:f>MAX(0,MIN('Activities'!L454,384)-MAX('Activities'!K454,378))</x:f>
        <x:v>0</x:v>
      </x:c>
      <x:c r="BQ454" s="22" t="n">
        <x:f>MAX(0,MIN('Activities'!L454,390)-MAX('Activities'!K454,384))</x:f>
        <x:v>0</x:v>
      </x:c>
      <x:c r="BR454" s="22" t="n">
        <x:f>MAX(0,MIN('Activities'!L454,396)-MAX('Activities'!K454,390))</x:f>
        <x:v>0</x:v>
      </x:c>
      <x:c r="BS454" s="22" t="n">
        <x:f>MAX(0,MIN('Activities'!L454,402)-MAX('Activities'!K454,396))</x:f>
        <x:v>0</x:v>
      </x:c>
      <x:c r="BT454" s="22" t="n">
        <x:f>MAX(0,MIN('Activities'!L454,408)-MAX('Activities'!K454,402))</x:f>
        <x:v>0</x:v>
      </x:c>
      <x:c r="BU454" s="22" t="n">
        <x:f>MAX(0,MIN('Activities'!L454,414)-MAX('Activities'!K454,408))</x:f>
        <x:v>0</x:v>
      </x:c>
      <x:c r="BV454" s="22" t="n">
        <x:f>MAX(0,MIN('Activities'!L454,420)-MAX('Activities'!K454,414))</x:f>
        <x:v>0</x:v>
      </x:c>
      <x:c r="BW454" s="22" t="n">
        <x:f>MAX(0,MIN('Activities'!L454,426)-MAX('Activities'!K454,420))</x:f>
        <x:v>0</x:v>
      </x:c>
      <x:c r="BX454" s="22" t="n">
        <x:f>MAX(0,MIN('Activities'!L454,432)-MAX('Activities'!K454,426))</x:f>
        <x:v>0</x:v>
      </x:c>
      <x:c r="BY454" s="22" t="n">
        <x:f>MAX(0,MIN('Activities'!L454,438)-MAX('Activities'!K454,432))</x:f>
        <x:v>0</x:v>
      </x:c>
      <x:c r="BZ454" s="22" t="n">
        <x:f>MAX(0,MIN('Activities'!L454,444)-MAX('Activities'!K454,438))</x:f>
        <x:v>0</x:v>
      </x:c>
      <x:c r="CA454" s="22" t="n">
        <x:f>MAX(0,MIN('Activities'!L454,450)-MAX('Activities'!K454,444))</x:f>
        <x:v>0</x:v>
      </x:c>
      <x:c r="CB454" s="22" t="n">
        <x:f>MAX(0,MIN('Activities'!L454,456)-MAX('Activities'!K454,450))</x:f>
        <x:v>0</x:v>
      </x:c>
      <x:c r="CC454" s="22" t="n">
        <x:f>MAX(0,MIN('Activities'!L454,462)-MAX('Activities'!K454,456))</x:f>
        <x:v>0</x:v>
      </x:c>
      <x:c r="CD454" s="22" t="n">
        <x:f>MAX(0,MIN('Activities'!L454,468)-MAX('Activities'!K454,462))</x:f>
        <x:v>0</x:v>
      </x:c>
      <x:c r="CE454" s="22" t="n">
        <x:f>MAX(0,MIN('Activities'!L454,474)-MAX('Activities'!K454,468))</x:f>
        <x:v>0</x:v>
      </x:c>
      <x:c r="CF454" s="22" t="n">
        <x:f>MAX(0,MIN('Activities'!L454,480)-MAX('Activities'!K454,474))</x:f>
        <x:v>0</x:v>
      </x:c>
      <x:c r="CG454" s="22" t="n">
        <x:f>MAX(0,MIN('Activities'!L454,486)-MAX('Activities'!K454,480))</x:f>
        <x:v>0</x:v>
      </x:c>
      <x:c r="CH454" s="22" t="n">
        <x:f>MAX(0,MIN('Activities'!L454,492)-MAX('Activities'!K454,486))</x:f>
        <x:v>0</x:v>
      </x:c>
      <x:c r="CI454" s="22" t="n">
        <x:f>MAX(0,MIN('Activities'!L454,498)-MAX('Activities'!K454,492))</x:f>
        <x:v>0</x:v>
      </x:c>
      <x:c r="CJ454" s="22" t="n">
        <x:f>MAX(0,MIN('Activities'!L454,504)-MAX('Activities'!K454,498))</x:f>
        <x:v>0</x:v>
      </x:c>
      <x:c r="CK454" s="22" t="n">
        <x:f>MAX(0,MIN('Activities'!L454,510)-MAX('Activities'!K454,504))</x:f>
        <x:v>0</x:v>
      </x:c>
      <x:c r="CL454" s="22" t="n">
        <x:f>MAX(0,MIN('Activities'!L454,516)-MAX('Activities'!K454,510))</x:f>
        <x:v>0</x:v>
      </x:c>
      <x:c r="CM454" s="22" t="n">
        <x:f>MAX(0,MIN('Activities'!L454,522)-MAX('Activities'!K454,516))</x:f>
        <x:v>0</x:v>
      </x:c>
      <x:c r="CN454" s="22" t="n">
        <x:f>MAX(0,MIN('Activities'!L454,528)-MAX('Activities'!K454,522))</x:f>
        <x:v>0</x:v>
      </x:c>
      <x:c r="CO454" s="22" t="n">
        <x:f>MAX(0,MIN('Activities'!L454,534)-MAX('Activities'!K454,528))</x:f>
        <x:v>0</x:v>
      </x:c>
      <x:c r="CP454" s="22" t="n">
        <x:f>MAX(0,MIN('Activities'!L454,540)-MAX('Activities'!K454,534))</x:f>
        <x:v>0</x:v>
      </x:c>
      <x:c r="CQ454" s="22" t="n">
        <x:f>MAX(0,MIN('Activities'!L454,546)-MAX('Activities'!K454,540))</x:f>
        <x:v>0</x:v>
      </x:c>
      <x:c r="CR454" s="22" t="n">
        <x:f>MAX(0,MIN('Activities'!L454,552)-MAX('Activities'!K454,546))</x:f>
        <x:v>0</x:v>
      </x:c>
      <x:c r="CS454" s="22" t="n">
        <x:f>MAX(0,MIN('Activities'!L454,558)-MAX('Activities'!K454,552))</x:f>
        <x:v>0</x:v>
      </x:c>
      <x:c r="CT454" s="22" t="n">
        <x:f>MAX(0,MIN('Activities'!L454,564)-MAX('Activities'!K454,558))</x:f>
        <x:v>0</x:v>
      </x:c>
      <x:c r="CU454" s="22" t="n">
        <x:f>MAX(0,MIN('Activities'!L454,570)-MAX('Activities'!K454,564))</x:f>
        <x:v>0</x:v>
      </x:c>
      <x:c r="CV454" s="22" t="n">
        <x:f>MAX(0,MIN('Activities'!L454,576)-MAX('Activities'!K454,570))</x:f>
        <x:v>0</x:v>
      </x:c>
      <x:c r="CW454" s="22" t="n">
        <x:f>MAX(0,MIN('Activities'!L454,582)-MAX('Activities'!K454,576))</x:f>
        <x:v>0</x:v>
      </x:c>
      <x:c r="CX454" s="22" t="n">
        <x:f>MAX(0,MIN('Activities'!L454,588)-MAX('Activities'!K454,582))</x:f>
        <x:v>0</x:v>
      </x:c>
      <x:c r="CY454" s="22" t="n">
        <x:f>MAX(0,MIN('Activities'!L454,594)-MAX('Activities'!K454,588))</x:f>
        <x:v>0</x:v>
      </x:c>
      <x:c r="CZ454" s="22" t="n">
        <x:f>MAX(0,MIN('Activities'!L454,600)-MAX('Activities'!K454,594))</x:f>
        <x:v>0</x:v>
      </x:c>
      <x:c r="DA454" s="22" t="n">
        <x:f>MAX(0,MIN('Activities'!L454,606)-MAX('Activities'!K454,600))</x:f>
        <x:v>0</x:v>
      </x:c>
      <x:c r="DB454" s="22" t="n">
        <x:f>MAX(0,MIN('Activities'!L454,612)-MAX('Activities'!K454,606))</x:f>
        <x:v>0</x:v>
      </x:c>
      <x:c r="DC454" s="22" t="n">
        <x:f>MAX(0,MIN('Activities'!L454,618)-MAX('Activities'!K454,612))</x:f>
        <x:v>0</x:v>
      </x:c>
      <x:c r="DD454" s="22" t="n">
        <x:f>MAX(0,MIN('Activities'!L454,624)-MAX('Activities'!K454,618))</x:f>
        <x:v>0</x:v>
      </x:c>
      <x:c r="DE454" s="22" t="n">
        <x:f>MAX(0,MIN('Activities'!L454,630)-MAX('Activities'!K454,624))</x:f>
        <x:v>0</x:v>
      </x:c>
      <x:c r="DF454" s="22" t="n">
        <x:f>MAX(0,MIN('Activities'!L454,636)-MAX('Activities'!K454,630))</x:f>
        <x:v>0</x:v>
      </x:c>
    </x:row>
    <x:row r="455" ht="23" customHeight="1">
      <x:c r="A455" s="1" t="str">
        <x:v>T4-L10-F</x:v>
      </x:c>
      <x:c r="B455" s="1" t="str">
        <x:v>T4</x:v>
      </x:c>
      <x:c r="C455" s="1" t="str">
        <x:v>Columns, core and deck formwork</x:v>
      </x:c>
      <x:c r="D455" s="1" t="str">
        <x:v>Formwork</x:v>
      </x:c>
      <x:c r="E455" s="23" t="n">
        <x:f>MAX(0,MIN('Activities'!L455,6)-MAX('Activities'!K455,0))</x:f>
        <x:v>0</x:v>
      </x:c>
      <x:c r="F455" s="23" t="n">
        <x:f>MAX(0,MIN('Activities'!L455,12)-MAX('Activities'!K455,6))</x:f>
        <x:v>0</x:v>
      </x:c>
      <x:c r="G455" s="23" t="n">
        <x:f>MAX(0,MIN('Activities'!L455,18)-MAX('Activities'!K455,12))</x:f>
        <x:v>0</x:v>
      </x:c>
      <x:c r="H455" s="23" t="n">
        <x:f>MAX(0,MIN('Activities'!L455,24)-MAX('Activities'!K455,18))</x:f>
        <x:v>0</x:v>
      </x:c>
      <x:c r="I455" s="23" t="n">
        <x:f>MAX(0,MIN('Activities'!L455,30)-MAX('Activities'!K455,24))</x:f>
        <x:v>0</x:v>
      </x:c>
      <x:c r="J455" s="23" t="n">
        <x:f>MAX(0,MIN('Activities'!L455,36)-MAX('Activities'!K455,30))</x:f>
        <x:v>0</x:v>
      </x:c>
      <x:c r="K455" s="23" t="n">
        <x:f>MAX(0,MIN('Activities'!L455,42)-MAX('Activities'!K455,36))</x:f>
        <x:v>0</x:v>
      </x:c>
      <x:c r="L455" s="23" t="n">
        <x:f>MAX(0,MIN('Activities'!L455,48)-MAX('Activities'!K455,42))</x:f>
        <x:v>0</x:v>
      </x:c>
      <x:c r="M455" s="23" t="n">
        <x:f>MAX(0,MIN('Activities'!L455,54)-MAX('Activities'!K455,48))</x:f>
        <x:v>0</x:v>
      </x:c>
      <x:c r="N455" s="23" t="n">
        <x:f>MAX(0,MIN('Activities'!L455,60)-MAX('Activities'!K455,54))</x:f>
        <x:v>0</x:v>
      </x:c>
      <x:c r="O455" s="23" t="n">
        <x:f>MAX(0,MIN('Activities'!L455,66)-MAX('Activities'!K455,60))</x:f>
        <x:v>0</x:v>
      </x:c>
      <x:c r="P455" s="23" t="n">
        <x:f>MAX(0,MIN('Activities'!L455,72)-MAX('Activities'!K455,66))</x:f>
        <x:v>0</x:v>
      </x:c>
      <x:c r="Q455" s="23" t="n">
        <x:f>MAX(0,MIN('Activities'!L455,78)-MAX('Activities'!K455,72))</x:f>
        <x:v>0</x:v>
      </x:c>
      <x:c r="R455" s="23" t="n">
        <x:f>MAX(0,MIN('Activities'!L455,84)-MAX('Activities'!K455,78))</x:f>
        <x:v>0</x:v>
      </x:c>
      <x:c r="S455" s="23" t="n">
        <x:f>MAX(0,MIN('Activities'!L455,90)-MAX('Activities'!K455,84))</x:f>
        <x:v>0</x:v>
      </x:c>
      <x:c r="T455" s="23" t="n">
        <x:f>MAX(0,MIN('Activities'!L455,96)-MAX('Activities'!K455,90))</x:f>
        <x:v>0</x:v>
      </x:c>
      <x:c r="U455" s="23" t="n">
        <x:f>MAX(0,MIN('Activities'!L455,102)-MAX('Activities'!K455,96))</x:f>
        <x:v>0</x:v>
      </x:c>
      <x:c r="V455" s="23" t="n">
        <x:f>MAX(0,MIN('Activities'!L455,108)-MAX('Activities'!K455,102))</x:f>
        <x:v>0</x:v>
      </x:c>
      <x:c r="W455" s="23" t="n">
        <x:f>MAX(0,MIN('Activities'!L455,114)-MAX('Activities'!K455,108))</x:f>
        <x:v>0</x:v>
      </x:c>
      <x:c r="X455" s="23" t="n">
        <x:f>MAX(0,MIN('Activities'!L455,120)-MAX('Activities'!K455,114))</x:f>
        <x:v>0</x:v>
      </x:c>
      <x:c r="Y455" s="23" t="n">
        <x:f>MAX(0,MIN('Activities'!L455,126)-MAX('Activities'!K455,120))</x:f>
        <x:v>0</x:v>
      </x:c>
      <x:c r="Z455" s="23" t="n">
        <x:f>MAX(0,MIN('Activities'!L455,132)-MAX('Activities'!K455,126))</x:f>
        <x:v>0</x:v>
      </x:c>
      <x:c r="AA455" s="23" t="n">
        <x:f>MAX(0,MIN('Activities'!L455,138)-MAX('Activities'!K455,132))</x:f>
        <x:v>0</x:v>
      </x:c>
      <x:c r="AB455" s="23" t="n">
        <x:f>MAX(0,MIN('Activities'!L455,144)-MAX('Activities'!K455,138))</x:f>
        <x:v>0</x:v>
      </x:c>
      <x:c r="AC455" s="23" t="n">
        <x:f>MAX(0,MIN('Activities'!L455,150)-MAX('Activities'!K455,144))</x:f>
        <x:v>0</x:v>
      </x:c>
      <x:c r="AD455" s="23" t="n">
        <x:f>MAX(0,MIN('Activities'!L455,156)-MAX('Activities'!K455,150))</x:f>
        <x:v>0</x:v>
      </x:c>
      <x:c r="AE455" s="23" t="n">
        <x:f>MAX(0,MIN('Activities'!L455,162)-MAX('Activities'!K455,156))</x:f>
        <x:v>0</x:v>
      </x:c>
      <x:c r="AF455" s="23" t="n">
        <x:f>MAX(0,MIN('Activities'!L455,168)-MAX('Activities'!K455,162))</x:f>
        <x:v>0</x:v>
      </x:c>
      <x:c r="AG455" s="23" t="n">
        <x:f>MAX(0,MIN('Activities'!L455,174)-MAX('Activities'!K455,168))</x:f>
        <x:v>0</x:v>
      </x:c>
      <x:c r="AH455" s="23" t="n">
        <x:f>MAX(0,MIN('Activities'!L455,180)-MAX('Activities'!K455,174))</x:f>
        <x:v>0</x:v>
      </x:c>
      <x:c r="AI455" s="23" t="n">
        <x:f>MAX(0,MIN('Activities'!L455,186)-MAX('Activities'!K455,180))</x:f>
        <x:v>0</x:v>
      </x:c>
      <x:c r="AJ455" s="23" t="n">
        <x:f>MAX(0,MIN('Activities'!L455,192)-MAX('Activities'!K455,186))</x:f>
        <x:v>0</x:v>
      </x:c>
      <x:c r="AK455" s="23" t="n">
        <x:f>MAX(0,MIN('Activities'!L455,198)-MAX('Activities'!K455,192))</x:f>
        <x:v>0</x:v>
      </x:c>
      <x:c r="AL455" s="23" t="n">
        <x:f>MAX(0,MIN('Activities'!L455,204)-MAX('Activities'!K455,198))</x:f>
        <x:v>0</x:v>
      </x:c>
      <x:c r="AM455" s="23" t="n">
        <x:f>MAX(0,MIN('Activities'!L455,210)-MAX('Activities'!K455,204))</x:f>
        <x:v>0</x:v>
      </x:c>
      <x:c r="AN455" s="23" t="n">
        <x:f>MAX(0,MIN('Activities'!L455,216)-MAX('Activities'!K455,210))</x:f>
        <x:v>0</x:v>
      </x:c>
      <x:c r="AO455" s="23" t="n">
        <x:f>MAX(0,MIN('Activities'!L455,222)-MAX('Activities'!K455,216))</x:f>
        <x:v>0</x:v>
      </x:c>
      <x:c r="AP455" s="23" t="n">
        <x:f>MAX(0,MIN('Activities'!L455,228)-MAX('Activities'!K455,222))</x:f>
        <x:v>0</x:v>
      </x:c>
      <x:c r="AQ455" s="23" t="n">
        <x:f>MAX(0,MIN('Activities'!L455,234)-MAX('Activities'!K455,228))</x:f>
        <x:v>0</x:v>
      </x:c>
      <x:c r="AR455" s="23" t="n">
        <x:f>MAX(0,MIN('Activities'!L455,240)-MAX('Activities'!K455,234))</x:f>
        <x:v>0</x:v>
      </x:c>
      <x:c r="AS455" s="23" t="n">
        <x:f>MAX(0,MIN('Activities'!L455,246)-MAX('Activities'!K455,240))</x:f>
        <x:v>0</x:v>
      </x:c>
      <x:c r="AT455" s="23" t="n">
        <x:f>MAX(0,MIN('Activities'!L455,252)-MAX('Activities'!K455,246))</x:f>
        <x:v>0</x:v>
      </x:c>
      <x:c r="AU455" s="23" t="n">
        <x:f>MAX(0,MIN('Activities'!L455,258)-MAX('Activities'!K455,252))</x:f>
        <x:v>0</x:v>
      </x:c>
      <x:c r="AV455" s="23" t="n">
        <x:f>MAX(0,MIN('Activities'!L455,264)-MAX('Activities'!K455,258))</x:f>
        <x:v>0</x:v>
      </x:c>
      <x:c r="AW455" s="23" t="n">
        <x:f>MAX(0,MIN('Activities'!L455,270)-MAX('Activities'!K455,264))</x:f>
        <x:v>0</x:v>
      </x:c>
      <x:c r="AX455" s="23" t="n">
        <x:f>MAX(0,MIN('Activities'!L455,276)-MAX('Activities'!K455,270))</x:f>
        <x:v>0</x:v>
      </x:c>
      <x:c r="AY455" s="23" t="n">
        <x:f>MAX(0,MIN('Activities'!L455,282)-MAX('Activities'!K455,276))</x:f>
        <x:v>0</x:v>
      </x:c>
      <x:c r="AZ455" s="23" t="n">
        <x:f>MAX(0,MIN('Activities'!L455,288)-MAX('Activities'!K455,282))</x:f>
        <x:v>0</x:v>
      </x:c>
      <x:c r="BA455" s="23" t="n">
        <x:f>MAX(0,MIN('Activities'!L455,294)-MAX('Activities'!K455,288))</x:f>
        <x:v>0</x:v>
      </x:c>
      <x:c r="BB455" s="23" t="n">
        <x:f>MAX(0,MIN('Activities'!L455,300)-MAX('Activities'!K455,294))</x:f>
        <x:v>0</x:v>
      </x:c>
      <x:c r="BC455" s="23" t="n">
        <x:f>MAX(0,MIN('Activities'!L455,306)-MAX('Activities'!K455,300))</x:f>
        <x:v>0</x:v>
      </x:c>
      <x:c r="BD455" s="23" t="n">
        <x:f>MAX(0,MIN('Activities'!L455,312)-MAX('Activities'!K455,306))</x:f>
        <x:v>0</x:v>
      </x:c>
      <x:c r="BE455" s="23" t="n">
        <x:f>MAX(0,MIN('Activities'!L455,318)-MAX('Activities'!K455,312))</x:f>
        <x:v>0</x:v>
      </x:c>
      <x:c r="BF455" s="23" t="n">
        <x:f>MAX(0,MIN('Activities'!L455,324)-MAX('Activities'!K455,318))</x:f>
        <x:v>0</x:v>
      </x:c>
      <x:c r="BG455" s="23" t="n">
        <x:f>MAX(0,MIN('Activities'!L455,330)-MAX('Activities'!K455,324))</x:f>
        <x:v>0</x:v>
      </x:c>
      <x:c r="BH455" s="23" t="n">
        <x:f>MAX(0,MIN('Activities'!L455,336)-MAX('Activities'!K455,330))</x:f>
        <x:v>0</x:v>
      </x:c>
      <x:c r="BI455" s="23" t="n">
        <x:f>MAX(0,MIN('Activities'!L455,342)-MAX('Activities'!K455,336))</x:f>
        <x:v>0</x:v>
      </x:c>
      <x:c r="BJ455" s="23" t="n">
        <x:f>MAX(0,MIN('Activities'!L455,348)-MAX('Activities'!K455,342))</x:f>
        <x:v>0</x:v>
      </x:c>
      <x:c r="BK455" s="23" t="n">
        <x:f>MAX(0,MIN('Activities'!L455,354)-MAX('Activities'!K455,348))</x:f>
        <x:v>4</x:v>
      </x:c>
      <x:c r="BL455" s="23" t="n">
        <x:f>MAX(0,MIN('Activities'!L455,360)-MAX('Activities'!K455,354))</x:f>
        <x:v>2</x:v>
      </x:c>
      <x:c r="BM455" s="23" t="n">
        <x:f>MAX(0,MIN('Activities'!L455,366)-MAX('Activities'!K455,360))</x:f>
        <x:v>0</x:v>
      </x:c>
      <x:c r="BN455" s="23" t="n">
        <x:f>MAX(0,MIN('Activities'!L455,372)-MAX('Activities'!K455,366))</x:f>
        <x:v>0</x:v>
      </x:c>
      <x:c r="BO455" s="23" t="n">
        <x:f>MAX(0,MIN('Activities'!L455,378)-MAX('Activities'!K455,372))</x:f>
        <x:v>0</x:v>
      </x:c>
      <x:c r="BP455" s="23" t="n">
        <x:f>MAX(0,MIN('Activities'!L455,384)-MAX('Activities'!K455,378))</x:f>
        <x:v>0</x:v>
      </x:c>
      <x:c r="BQ455" s="23" t="n">
        <x:f>MAX(0,MIN('Activities'!L455,390)-MAX('Activities'!K455,384))</x:f>
        <x:v>0</x:v>
      </x:c>
      <x:c r="BR455" s="23" t="n">
        <x:f>MAX(0,MIN('Activities'!L455,396)-MAX('Activities'!K455,390))</x:f>
        <x:v>0</x:v>
      </x:c>
      <x:c r="BS455" s="23" t="n">
        <x:f>MAX(0,MIN('Activities'!L455,402)-MAX('Activities'!K455,396))</x:f>
        <x:v>0</x:v>
      </x:c>
      <x:c r="BT455" s="23" t="n">
        <x:f>MAX(0,MIN('Activities'!L455,408)-MAX('Activities'!K455,402))</x:f>
        <x:v>0</x:v>
      </x:c>
      <x:c r="BU455" s="23" t="n">
        <x:f>MAX(0,MIN('Activities'!L455,414)-MAX('Activities'!K455,408))</x:f>
        <x:v>0</x:v>
      </x:c>
      <x:c r="BV455" s="23" t="n">
        <x:f>MAX(0,MIN('Activities'!L455,420)-MAX('Activities'!K455,414))</x:f>
        <x:v>0</x:v>
      </x:c>
      <x:c r="BW455" s="23" t="n">
        <x:f>MAX(0,MIN('Activities'!L455,426)-MAX('Activities'!K455,420))</x:f>
        <x:v>0</x:v>
      </x:c>
      <x:c r="BX455" s="23" t="n">
        <x:f>MAX(0,MIN('Activities'!L455,432)-MAX('Activities'!K455,426))</x:f>
        <x:v>0</x:v>
      </x:c>
      <x:c r="BY455" s="23" t="n">
        <x:f>MAX(0,MIN('Activities'!L455,438)-MAX('Activities'!K455,432))</x:f>
        <x:v>0</x:v>
      </x:c>
      <x:c r="BZ455" s="23" t="n">
        <x:f>MAX(0,MIN('Activities'!L455,444)-MAX('Activities'!K455,438))</x:f>
        <x:v>0</x:v>
      </x:c>
      <x:c r="CA455" s="23" t="n">
        <x:f>MAX(0,MIN('Activities'!L455,450)-MAX('Activities'!K455,444))</x:f>
        <x:v>0</x:v>
      </x:c>
      <x:c r="CB455" s="23" t="n">
        <x:f>MAX(0,MIN('Activities'!L455,456)-MAX('Activities'!K455,450))</x:f>
        <x:v>0</x:v>
      </x:c>
      <x:c r="CC455" s="23" t="n">
        <x:f>MAX(0,MIN('Activities'!L455,462)-MAX('Activities'!K455,456))</x:f>
        <x:v>0</x:v>
      </x:c>
      <x:c r="CD455" s="23" t="n">
        <x:f>MAX(0,MIN('Activities'!L455,468)-MAX('Activities'!K455,462))</x:f>
        <x:v>0</x:v>
      </x:c>
      <x:c r="CE455" s="23" t="n">
        <x:f>MAX(0,MIN('Activities'!L455,474)-MAX('Activities'!K455,468))</x:f>
        <x:v>0</x:v>
      </x:c>
      <x:c r="CF455" s="23" t="n">
        <x:f>MAX(0,MIN('Activities'!L455,480)-MAX('Activities'!K455,474))</x:f>
        <x:v>0</x:v>
      </x:c>
      <x:c r="CG455" s="23" t="n">
        <x:f>MAX(0,MIN('Activities'!L455,486)-MAX('Activities'!K455,480))</x:f>
        <x:v>0</x:v>
      </x:c>
      <x:c r="CH455" s="23" t="n">
        <x:f>MAX(0,MIN('Activities'!L455,492)-MAX('Activities'!K455,486))</x:f>
        <x:v>0</x:v>
      </x:c>
      <x:c r="CI455" s="23" t="n">
        <x:f>MAX(0,MIN('Activities'!L455,498)-MAX('Activities'!K455,492))</x:f>
        <x:v>0</x:v>
      </x:c>
      <x:c r="CJ455" s="23" t="n">
        <x:f>MAX(0,MIN('Activities'!L455,504)-MAX('Activities'!K455,498))</x:f>
        <x:v>0</x:v>
      </x:c>
      <x:c r="CK455" s="23" t="n">
        <x:f>MAX(0,MIN('Activities'!L455,510)-MAX('Activities'!K455,504))</x:f>
        <x:v>0</x:v>
      </x:c>
      <x:c r="CL455" s="23" t="n">
        <x:f>MAX(0,MIN('Activities'!L455,516)-MAX('Activities'!K455,510))</x:f>
        <x:v>0</x:v>
      </x:c>
      <x:c r="CM455" s="23" t="n">
        <x:f>MAX(0,MIN('Activities'!L455,522)-MAX('Activities'!K455,516))</x:f>
        <x:v>0</x:v>
      </x:c>
      <x:c r="CN455" s="23" t="n">
        <x:f>MAX(0,MIN('Activities'!L455,528)-MAX('Activities'!K455,522))</x:f>
        <x:v>0</x:v>
      </x:c>
      <x:c r="CO455" s="23" t="n">
        <x:f>MAX(0,MIN('Activities'!L455,534)-MAX('Activities'!K455,528))</x:f>
        <x:v>0</x:v>
      </x:c>
      <x:c r="CP455" s="23" t="n">
        <x:f>MAX(0,MIN('Activities'!L455,540)-MAX('Activities'!K455,534))</x:f>
        <x:v>0</x:v>
      </x:c>
      <x:c r="CQ455" s="23" t="n">
        <x:f>MAX(0,MIN('Activities'!L455,546)-MAX('Activities'!K455,540))</x:f>
        <x:v>0</x:v>
      </x:c>
      <x:c r="CR455" s="23" t="n">
        <x:f>MAX(0,MIN('Activities'!L455,552)-MAX('Activities'!K455,546))</x:f>
        <x:v>0</x:v>
      </x:c>
      <x:c r="CS455" s="23" t="n">
        <x:f>MAX(0,MIN('Activities'!L455,558)-MAX('Activities'!K455,552))</x:f>
        <x:v>0</x:v>
      </x:c>
      <x:c r="CT455" s="23" t="n">
        <x:f>MAX(0,MIN('Activities'!L455,564)-MAX('Activities'!K455,558))</x:f>
        <x:v>0</x:v>
      </x:c>
      <x:c r="CU455" s="23" t="n">
        <x:f>MAX(0,MIN('Activities'!L455,570)-MAX('Activities'!K455,564))</x:f>
        <x:v>0</x:v>
      </x:c>
      <x:c r="CV455" s="23" t="n">
        <x:f>MAX(0,MIN('Activities'!L455,576)-MAX('Activities'!K455,570))</x:f>
        <x:v>0</x:v>
      </x:c>
      <x:c r="CW455" s="23" t="n">
        <x:f>MAX(0,MIN('Activities'!L455,582)-MAX('Activities'!K455,576))</x:f>
        <x:v>0</x:v>
      </x:c>
      <x:c r="CX455" s="23" t="n">
        <x:f>MAX(0,MIN('Activities'!L455,588)-MAX('Activities'!K455,582))</x:f>
        <x:v>0</x:v>
      </x:c>
      <x:c r="CY455" s="23" t="n">
        <x:f>MAX(0,MIN('Activities'!L455,594)-MAX('Activities'!K455,588))</x:f>
        <x:v>0</x:v>
      </x:c>
      <x:c r="CZ455" s="23" t="n">
        <x:f>MAX(0,MIN('Activities'!L455,600)-MAX('Activities'!K455,594))</x:f>
        <x:v>0</x:v>
      </x:c>
      <x:c r="DA455" s="23" t="n">
        <x:f>MAX(0,MIN('Activities'!L455,606)-MAX('Activities'!K455,600))</x:f>
        <x:v>0</x:v>
      </x:c>
      <x:c r="DB455" s="23" t="n">
        <x:f>MAX(0,MIN('Activities'!L455,612)-MAX('Activities'!K455,606))</x:f>
        <x:v>0</x:v>
      </x:c>
      <x:c r="DC455" s="23" t="n">
        <x:f>MAX(0,MIN('Activities'!L455,618)-MAX('Activities'!K455,612))</x:f>
        <x:v>0</x:v>
      </x:c>
      <x:c r="DD455" s="23" t="n">
        <x:f>MAX(0,MIN('Activities'!L455,624)-MAX('Activities'!K455,618))</x:f>
        <x:v>0</x:v>
      </x:c>
      <x:c r="DE455" s="23" t="n">
        <x:f>MAX(0,MIN('Activities'!L455,630)-MAX('Activities'!K455,624))</x:f>
        <x:v>0</x:v>
      </x:c>
      <x:c r="DF455" s="23" t="n">
        <x:f>MAX(0,MIN('Activities'!L455,636)-MAX('Activities'!K455,630))</x:f>
        <x:v>0</x:v>
      </x:c>
    </x:row>
    <x:row r="456" ht="23" customHeight="1">
      <x:c r="A456" s="6" t="str">
        <x:v>T4-L10-R</x:v>
      </x:c>
      <x:c r="B456" s="6" t="str">
        <x:v>T4</x:v>
      </x:c>
      <x:c r="C456" s="6" t="str">
        <x:v>Column, wall, beam and slab reinforcement</x:v>
      </x:c>
      <x:c r="D456" s="6" t="str">
        <x:v>Rebar</x:v>
      </x:c>
      <x:c r="E456" s="22" t="n">
        <x:f>MAX(0,MIN('Activities'!L456,6)-MAX('Activities'!K456,0))</x:f>
        <x:v>0</x:v>
      </x:c>
      <x:c r="F456" s="22" t="n">
        <x:f>MAX(0,MIN('Activities'!L456,12)-MAX('Activities'!K456,6))</x:f>
        <x:v>0</x:v>
      </x:c>
      <x:c r="G456" s="22" t="n">
        <x:f>MAX(0,MIN('Activities'!L456,18)-MAX('Activities'!K456,12))</x:f>
        <x:v>0</x:v>
      </x:c>
      <x:c r="H456" s="22" t="n">
        <x:f>MAX(0,MIN('Activities'!L456,24)-MAX('Activities'!K456,18))</x:f>
        <x:v>0</x:v>
      </x:c>
      <x:c r="I456" s="22" t="n">
        <x:f>MAX(0,MIN('Activities'!L456,30)-MAX('Activities'!K456,24))</x:f>
        <x:v>0</x:v>
      </x:c>
      <x:c r="J456" s="22" t="n">
        <x:f>MAX(0,MIN('Activities'!L456,36)-MAX('Activities'!K456,30))</x:f>
        <x:v>0</x:v>
      </x:c>
      <x:c r="K456" s="22" t="n">
        <x:f>MAX(0,MIN('Activities'!L456,42)-MAX('Activities'!K456,36))</x:f>
        <x:v>0</x:v>
      </x:c>
      <x:c r="L456" s="22" t="n">
        <x:f>MAX(0,MIN('Activities'!L456,48)-MAX('Activities'!K456,42))</x:f>
        <x:v>0</x:v>
      </x:c>
      <x:c r="M456" s="22" t="n">
        <x:f>MAX(0,MIN('Activities'!L456,54)-MAX('Activities'!K456,48))</x:f>
        <x:v>0</x:v>
      </x:c>
      <x:c r="N456" s="22" t="n">
        <x:f>MAX(0,MIN('Activities'!L456,60)-MAX('Activities'!K456,54))</x:f>
        <x:v>0</x:v>
      </x:c>
      <x:c r="O456" s="22" t="n">
        <x:f>MAX(0,MIN('Activities'!L456,66)-MAX('Activities'!K456,60))</x:f>
        <x:v>0</x:v>
      </x:c>
      <x:c r="P456" s="22" t="n">
        <x:f>MAX(0,MIN('Activities'!L456,72)-MAX('Activities'!K456,66))</x:f>
        <x:v>0</x:v>
      </x:c>
      <x:c r="Q456" s="22" t="n">
        <x:f>MAX(0,MIN('Activities'!L456,78)-MAX('Activities'!K456,72))</x:f>
        <x:v>0</x:v>
      </x:c>
      <x:c r="R456" s="22" t="n">
        <x:f>MAX(0,MIN('Activities'!L456,84)-MAX('Activities'!K456,78))</x:f>
        <x:v>0</x:v>
      </x:c>
      <x:c r="S456" s="22" t="n">
        <x:f>MAX(0,MIN('Activities'!L456,90)-MAX('Activities'!K456,84))</x:f>
        <x:v>0</x:v>
      </x:c>
      <x:c r="T456" s="22" t="n">
        <x:f>MAX(0,MIN('Activities'!L456,96)-MAX('Activities'!K456,90))</x:f>
        <x:v>0</x:v>
      </x:c>
      <x:c r="U456" s="22" t="n">
        <x:f>MAX(0,MIN('Activities'!L456,102)-MAX('Activities'!K456,96))</x:f>
        <x:v>0</x:v>
      </x:c>
      <x:c r="V456" s="22" t="n">
        <x:f>MAX(0,MIN('Activities'!L456,108)-MAX('Activities'!K456,102))</x:f>
        <x:v>0</x:v>
      </x:c>
      <x:c r="W456" s="22" t="n">
        <x:f>MAX(0,MIN('Activities'!L456,114)-MAX('Activities'!K456,108))</x:f>
        <x:v>0</x:v>
      </x:c>
      <x:c r="X456" s="22" t="n">
        <x:f>MAX(0,MIN('Activities'!L456,120)-MAX('Activities'!K456,114))</x:f>
        <x:v>0</x:v>
      </x:c>
      <x:c r="Y456" s="22" t="n">
        <x:f>MAX(0,MIN('Activities'!L456,126)-MAX('Activities'!K456,120))</x:f>
        <x:v>0</x:v>
      </x:c>
      <x:c r="Z456" s="22" t="n">
        <x:f>MAX(0,MIN('Activities'!L456,132)-MAX('Activities'!K456,126))</x:f>
        <x:v>0</x:v>
      </x:c>
      <x:c r="AA456" s="22" t="n">
        <x:f>MAX(0,MIN('Activities'!L456,138)-MAX('Activities'!K456,132))</x:f>
        <x:v>0</x:v>
      </x:c>
      <x:c r="AB456" s="22" t="n">
        <x:f>MAX(0,MIN('Activities'!L456,144)-MAX('Activities'!K456,138))</x:f>
        <x:v>0</x:v>
      </x:c>
      <x:c r="AC456" s="22" t="n">
        <x:f>MAX(0,MIN('Activities'!L456,150)-MAX('Activities'!K456,144))</x:f>
        <x:v>0</x:v>
      </x:c>
      <x:c r="AD456" s="22" t="n">
        <x:f>MAX(0,MIN('Activities'!L456,156)-MAX('Activities'!K456,150))</x:f>
        <x:v>0</x:v>
      </x:c>
      <x:c r="AE456" s="22" t="n">
        <x:f>MAX(0,MIN('Activities'!L456,162)-MAX('Activities'!K456,156))</x:f>
        <x:v>0</x:v>
      </x:c>
      <x:c r="AF456" s="22" t="n">
        <x:f>MAX(0,MIN('Activities'!L456,168)-MAX('Activities'!K456,162))</x:f>
        <x:v>0</x:v>
      </x:c>
      <x:c r="AG456" s="22" t="n">
        <x:f>MAX(0,MIN('Activities'!L456,174)-MAX('Activities'!K456,168))</x:f>
        <x:v>0</x:v>
      </x:c>
      <x:c r="AH456" s="22" t="n">
        <x:f>MAX(0,MIN('Activities'!L456,180)-MAX('Activities'!K456,174))</x:f>
        <x:v>0</x:v>
      </x:c>
      <x:c r="AI456" s="22" t="n">
        <x:f>MAX(0,MIN('Activities'!L456,186)-MAX('Activities'!K456,180))</x:f>
        <x:v>0</x:v>
      </x:c>
      <x:c r="AJ456" s="22" t="n">
        <x:f>MAX(0,MIN('Activities'!L456,192)-MAX('Activities'!K456,186))</x:f>
        <x:v>0</x:v>
      </x:c>
      <x:c r="AK456" s="22" t="n">
        <x:f>MAX(0,MIN('Activities'!L456,198)-MAX('Activities'!K456,192))</x:f>
        <x:v>0</x:v>
      </x:c>
      <x:c r="AL456" s="22" t="n">
        <x:f>MAX(0,MIN('Activities'!L456,204)-MAX('Activities'!K456,198))</x:f>
        <x:v>0</x:v>
      </x:c>
      <x:c r="AM456" s="22" t="n">
        <x:f>MAX(0,MIN('Activities'!L456,210)-MAX('Activities'!K456,204))</x:f>
        <x:v>0</x:v>
      </x:c>
      <x:c r="AN456" s="22" t="n">
        <x:f>MAX(0,MIN('Activities'!L456,216)-MAX('Activities'!K456,210))</x:f>
        <x:v>0</x:v>
      </x:c>
      <x:c r="AO456" s="22" t="n">
        <x:f>MAX(0,MIN('Activities'!L456,222)-MAX('Activities'!K456,216))</x:f>
        <x:v>0</x:v>
      </x:c>
      <x:c r="AP456" s="22" t="n">
        <x:f>MAX(0,MIN('Activities'!L456,228)-MAX('Activities'!K456,222))</x:f>
        <x:v>0</x:v>
      </x:c>
      <x:c r="AQ456" s="22" t="n">
        <x:f>MAX(0,MIN('Activities'!L456,234)-MAX('Activities'!K456,228))</x:f>
        <x:v>0</x:v>
      </x:c>
      <x:c r="AR456" s="22" t="n">
        <x:f>MAX(0,MIN('Activities'!L456,240)-MAX('Activities'!K456,234))</x:f>
        <x:v>0</x:v>
      </x:c>
      <x:c r="AS456" s="22" t="n">
        <x:f>MAX(0,MIN('Activities'!L456,246)-MAX('Activities'!K456,240))</x:f>
        <x:v>0</x:v>
      </x:c>
      <x:c r="AT456" s="22" t="n">
        <x:f>MAX(0,MIN('Activities'!L456,252)-MAX('Activities'!K456,246))</x:f>
        <x:v>0</x:v>
      </x:c>
      <x:c r="AU456" s="22" t="n">
        <x:f>MAX(0,MIN('Activities'!L456,258)-MAX('Activities'!K456,252))</x:f>
        <x:v>0</x:v>
      </x:c>
      <x:c r="AV456" s="22" t="n">
        <x:f>MAX(0,MIN('Activities'!L456,264)-MAX('Activities'!K456,258))</x:f>
        <x:v>0</x:v>
      </x:c>
      <x:c r="AW456" s="22" t="n">
        <x:f>MAX(0,MIN('Activities'!L456,270)-MAX('Activities'!K456,264))</x:f>
        <x:v>0</x:v>
      </x:c>
      <x:c r="AX456" s="22" t="n">
        <x:f>MAX(0,MIN('Activities'!L456,276)-MAX('Activities'!K456,270))</x:f>
        <x:v>0</x:v>
      </x:c>
      <x:c r="AY456" s="22" t="n">
        <x:f>MAX(0,MIN('Activities'!L456,282)-MAX('Activities'!K456,276))</x:f>
        <x:v>0</x:v>
      </x:c>
      <x:c r="AZ456" s="22" t="n">
        <x:f>MAX(0,MIN('Activities'!L456,288)-MAX('Activities'!K456,282))</x:f>
        <x:v>0</x:v>
      </x:c>
      <x:c r="BA456" s="22" t="n">
        <x:f>MAX(0,MIN('Activities'!L456,294)-MAX('Activities'!K456,288))</x:f>
        <x:v>0</x:v>
      </x:c>
      <x:c r="BB456" s="22" t="n">
        <x:f>MAX(0,MIN('Activities'!L456,300)-MAX('Activities'!K456,294))</x:f>
        <x:v>0</x:v>
      </x:c>
      <x:c r="BC456" s="22" t="n">
        <x:f>MAX(0,MIN('Activities'!L456,306)-MAX('Activities'!K456,300))</x:f>
        <x:v>0</x:v>
      </x:c>
      <x:c r="BD456" s="22" t="n">
        <x:f>MAX(0,MIN('Activities'!L456,312)-MAX('Activities'!K456,306))</x:f>
        <x:v>0</x:v>
      </x:c>
      <x:c r="BE456" s="22" t="n">
        <x:f>MAX(0,MIN('Activities'!L456,318)-MAX('Activities'!K456,312))</x:f>
        <x:v>0</x:v>
      </x:c>
      <x:c r="BF456" s="22" t="n">
        <x:f>MAX(0,MIN('Activities'!L456,324)-MAX('Activities'!K456,318))</x:f>
        <x:v>0</x:v>
      </x:c>
      <x:c r="BG456" s="22" t="n">
        <x:f>MAX(0,MIN('Activities'!L456,330)-MAX('Activities'!K456,324))</x:f>
        <x:v>0</x:v>
      </x:c>
      <x:c r="BH456" s="22" t="n">
        <x:f>MAX(0,MIN('Activities'!L456,336)-MAX('Activities'!K456,330))</x:f>
        <x:v>0</x:v>
      </x:c>
      <x:c r="BI456" s="22" t="n">
        <x:f>MAX(0,MIN('Activities'!L456,342)-MAX('Activities'!K456,336))</x:f>
        <x:v>0</x:v>
      </x:c>
      <x:c r="BJ456" s="22" t="n">
        <x:f>MAX(0,MIN('Activities'!L456,348)-MAX('Activities'!K456,342))</x:f>
        <x:v>0</x:v>
      </x:c>
      <x:c r="BK456" s="22" t="n">
        <x:f>MAX(0,MIN('Activities'!L456,354)-MAX('Activities'!K456,348))</x:f>
        <x:v>0</x:v>
      </x:c>
      <x:c r="BL456" s="22" t="n">
        <x:f>MAX(0,MIN('Activities'!L456,360)-MAX('Activities'!K456,354))</x:f>
        <x:v>4</x:v>
      </x:c>
      <x:c r="BM456" s="22" t="n">
        <x:f>MAX(0,MIN('Activities'!L456,366)-MAX('Activities'!K456,360))</x:f>
        <x:v>1</x:v>
      </x:c>
      <x:c r="BN456" s="22" t="n">
        <x:f>MAX(0,MIN('Activities'!L456,372)-MAX('Activities'!K456,366))</x:f>
        <x:v>0</x:v>
      </x:c>
      <x:c r="BO456" s="22" t="n">
        <x:f>MAX(0,MIN('Activities'!L456,378)-MAX('Activities'!K456,372))</x:f>
        <x:v>0</x:v>
      </x:c>
      <x:c r="BP456" s="22" t="n">
        <x:f>MAX(0,MIN('Activities'!L456,384)-MAX('Activities'!K456,378))</x:f>
        <x:v>0</x:v>
      </x:c>
      <x:c r="BQ456" s="22" t="n">
        <x:f>MAX(0,MIN('Activities'!L456,390)-MAX('Activities'!K456,384))</x:f>
        <x:v>0</x:v>
      </x:c>
      <x:c r="BR456" s="22" t="n">
        <x:f>MAX(0,MIN('Activities'!L456,396)-MAX('Activities'!K456,390))</x:f>
        <x:v>0</x:v>
      </x:c>
      <x:c r="BS456" s="22" t="n">
        <x:f>MAX(0,MIN('Activities'!L456,402)-MAX('Activities'!K456,396))</x:f>
        <x:v>0</x:v>
      </x:c>
      <x:c r="BT456" s="22" t="n">
        <x:f>MAX(0,MIN('Activities'!L456,408)-MAX('Activities'!K456,402))</x:f>
        <x:v>0</x:v>
      </x:c>
      <x:c r="BU456" s="22" t="n">
        <x:f>MAX(0,MIN('Activities'!L456,414)-MAX('Activities'!K456,408))</x:f>
        <x:v>0</x:v>
      </x:c>
      <x:c r="BV456" s="22" t="n">
        <x:f>MAX(0,MIN('Activities'!L456,420)-MAX('Activities'!K456,414))</x:f>
        <x:v>0</x:v>
      </x:c>
      <x:c r="BW456" s="22" t="n">
        <x:f>MAX(0,MIN('Activities'!L456,426)-MAX('Activities'!K456,420))</x:f>
        <x:v>0</x:v>
      </x:c>
      <x:c r="BX456" s="22" t="n">
        <x:f>MAX(0,MIN('Activities'!L456,432)-MAX('Activities'!K456,426))</x:f>
        <x:v>0</x:v>
      </x:c>
      <x:c r="BY456" s="22" t="n">
        <x:f>MAX(0,MIN('Activities'!L456,438)-MAX('Activities'!K456,432))</x:f>
        <x:v>0</x:v>
      </x:c>
      <x:c r="BZ456" s="22" t="n">
        <x:f>MAX(0,MIN('Activities'!L456,444)-MAX('Activities'!K456,438))</x:f>
        <x:v>0</x:v>
      </x:c>
      <x:c r="CA456" s="22" t="n">
        <x:f>MAX(0,MIN('Activities'!L456,450)-MAX('Activities'!K456,444))</x:f>
        <x:v>0</x:v>
      </x:c>
      <x:c r="CB456" s="22" t="n">
        <x:f>MAX(0,MIN('Activities'!L456,456)-MAX('Activities'!K456,450))</x:f>
        <x:v>0</x:v>
      </x:c>
      <x:c r="CC456" s="22" t="n">
        <x:f>MAX(0,MIN('Activities'!L456,462)-MAX('Activities'!K456,456))</x:f>
        <x:v>0</x:v>
      </x:c>
      <x:c r="CD456" s="22" t="n">
        <x:f>MAX(0,MIN('Activities'!L456,468)-MAX('Activities'!K456,462))</x:f>
        <x:v>0</x:v>
      </x:c>
      <x:c r="CE456" s="22" t="n">
        <x:f>MAX(0,MIN('Activities'!L456,474)-MAX('Activities'!K456,468))</x:f>
        <x:v>0</x:v>
      </x:c>
      <x:c r="CF456" s="22" t="n">
        <x:f>MAX(0,MIN('Activities'!L456,480)-MAX('Activities'!K456,474))</x:f>
        <x:v>0</x:v>
      </x:c>
      <x:c r="CG456" s="22" t="n">
        <x:f>MAX(0,MIN('Activities'!L456,486)-MAX('Activities'!K456,480))</x:f>
        <x:v>0</x:v>
      </x:c>
      <x:c r="CH456" s="22" t="n">
        <x:f>MAX(0,MIN('Activities'!L456,492)-MAX('Activities'!K456,486))</x:f>
        <x:v>0</x:v>
      </x:c>
      <x:c r="CI456" s="22" t="n">
        <x:f>MAX(0,MIN('Activities'!L456,498)-MAX('Activities'!K456,492))</x:f>
        <x:v>0</x:v>
      </x:c>
      <x:c r="CJ456" s="22" t="n">
        <x:f>MAX(0,MIN('Activities'!L456,504)-MAX('Activities'!K456,498))</x:f>
        <x:v>0</x:v>
      </x:c>
      <x:c r="CK456" s="22" t="n">
        <x:f>MAX(0,MIN('Activities'!L456,510)-MAX('Activities'!K456,504))</x:f>
        <x:v>0</x:v>
      </x:c>
      <x:c r="CL456" s="22" t="n">
        <x:f>MAX(0,MIN('Activities'!L456,516)-MAX('Activities'!K456,510))</x:f>
        <x:v>0</x:v>
      </x:c>
      <x:c r="CM456" s="22" t="n">
        <x:f>MAX(0,MIN('Activities'!L456,522)-MAX('Activities'!K456,516))</x:f>
        <x:v>0</x:v>
      </x:c>
      <x:c r="CN456" s="22" t="n">
        <x:f>MAX(0,MIN('Activities'!L456,528)-MAX('Activities'!K456,522))</x:f>
        <x:v>0</x:v>
      </x:c>
      <x:c r="CO456" s="22" t="n">
        <x:f>MAX(0,MIN('Activities'!L456,534)-MAX('Activities'!K456,528))</x:f>
        <x:v>0</x:v>
      </x:c>
      <x:c r="CP456" s="22" t="n">
        <x:f>MAX(0,MIN('Activities'!L456,540)-MAX('Activities'!K456,534))</x:f>
        <x:v>0</x:v>
      </x:c>
      <x:c r="CQ456" s="22" t="n">
        <x:f>MAX(0,MIN('Activities'!L456,546)-MAX('Activities'!K456,540))</x:f>
        <x:v>0</x:v>
      </x:c>
      <x:c r="CR456" s="22" t="n">
        <x:f>MAX(0,MIN('Activities'!L456,552)-MAX('Activities'!K456,546))</x:f>
        <x:v>0</x:v>
      </x:c>
      <x:c r="CS456" s="22" t="n">
        <x:f>MAX(0,MIN('Activities'!L456,558)-MAX('Activities'!K456,552))</x:f>
        <x:v>0</x:v>
      </x:c>
      <x:c r="CT456" s="22" t="n">
        <x:f>MAX(0,MIN('Activities'!L456,564)-MAX('Activities'!K456,558))</x:f>
        <x:v>0</x:v>
      </x:c>
      <x:c r="CU456" s="22" t="n">
        <x:f>MAX(0,MIN('Activities'!L456,570)-MAX('Activities'!K456,564))</x:f>
        <x:v>0</x:v>
      </x:c>
      <x:c r="CV456" s="22" t="n">
        <x:f>MAX(0,MIN('Activities'!L456,576)-MAX('Activities'!K456,570))</x:f>
        <x:v>0</x:v>
      </x:c>
      <x:c r="CW456" s="22" t="n">
        <x:f>MAX(0,MIN('Activities'!L456,582)-MAX('Activities'!K456,576))</x:f>
        <x:v>0</x:v>
      </x:c>
      <x:c r="CX456" s="22" t="n">
        <x:f>MAX(0,MIN('Activities'!L456,588)-MAX('Activities'!K456,582))</x:f>
        <x:v>0</x:v>
      </x:c>
      <x:c r="CY456" s="22" t="n">
        <x:f>MAX(0,MIN('Activities'!L456,594)-MAX('Activities'!K456,588))</x:f>
        <x:v>0</x:v>
      </x:c>
      <x:c r="CZ456" s="22" t="n">
        <x:f>MAX(0,MIN('Activities'!L456,600)-MAX('Activities'!K456,594))</x:f>
        <x:v>0</x:v>
      </x:c>
      <x:c r="DA456" s="22" t="n">
        <x:f>MAX(0,MIN('Activities'!L456,606)-MAX('Activities'!K456,600))</x:f>
        <x:v>0</x:v>
      </x:c>
      <x:c r="DB456" s="22" t="n">
        <x:f>MAX(0,MIN('Activities'!L456,612)-MAX('Activities'!K456,606))</x:f>
        <x:v>0</x:v>
      </x:c>
      <x:c r="DC456" s="22" t="n">
        <x:f>MAX(0,MIN('Activities'!L456,618)-MAX('Activities'!K456,612))</x:f>
        <x:v>0</x:v>
      </x:c>
      <x:c r="DD456" s="22" t="n">
        <x:f>MAX(0,MIN('Activities'!L456,624)-MAX('Activities'!K456,618))</x:f>
        <x:v>0</x:v>
      </x:c>
      <x:c r="DE456" s="22" t="n">
        <x:f>MAX(0,MIN('Activities'!L456,630)-MAX('Activities'!K456,624))</x:f>
        <x:v>0</x:v>
      </x:c>
      <x:c r="DF456" s="22" t="n">
        <x:f>MAX(0,MIN('Activities'!L456,636)-MAX('Activities'!K456,630))</x:f>
        <x:v>0</x:v>
      </x:c>
    </x:row>
    <x:row r="457" ht="23" customHeight="1">
      <x:c r="A457" s="1" t="str">
        <x:v>T4-L10-C</x:v>
      </x:c>
      <x:c r="B457" s="1" t="str">
        <x:v>T4</x:v>
      </x:c>
      <x:c r="C457" s="1" t="str">
        <x:v>Concrete placement and finishing</x:v>
      </x:c>
      <x:c r="D457" s="1" t="str">
        <x:v>Concrete</x:v>
      </x:c>
      <x:c r="E457" s="23" t="n">
        <x:f>MAX(0,MIN('Activities'!L457,6)-MAX('Activities'!K457,0))</x:f>
        <x:v>0</x:v>
      </x:c>
      <x:c r="F457" s="23" t="n">
        <x:f>MAX(0,MIN('Activities'!L457,12)-MAX('Activities'!K457,6))</x:f>
        <x:v>0</x:v>
      </x:c>
      <x:c r="G457" s="23" t="n">
        <x:f>MAX(0,MIN('Activities'!L457,18)-MAX('Activities'!K457,12))</x:f>
        <x:v>0</x:v>
      </x:c>
      <x:c r="H457" s="23" t="n">
        <x:f>MAX(0,MIN('Activities'!L457,24)-MAX('Activities'!K457,18))</x:f>
        <x:v>0</x:v>
      </x:c>
      <x:c r="I457" s="23" t="n">
        <x:f>MAX(0,MIN('Activities'!L457,30)-MAX('Activities'!K457,24))</x:f>
        <x:v>0</x:v>
      </x:c>
      <x:c r="J457" s="23" t="n">
        <x:f>MAX(0,MIN('Activities'!L457,36)-MAX('Activities'!K457,30))</x:f>
        <x:v>0</x:v>
      </x:c>
      <x:c r="K457" s="23" t="n">
        <x:f>MAX(0,MIN('Activities'!L457,42)-MAX('Activities'!K457,36))</x:f>
        <x:v>0</x:v>
      </x:c>
      <x:c r="L457" s="23" t="n">
        <x:f>MAX(0,MIN('Activities'!L457,48)-MAX('Activities'!K457,42))</x:f>
        <x:v>0</x:v>
      </x:c>
      <x:c r="M457" s="23" t="n">
        <x:f>MAX(0,MIN('Activities'!L457,54)-MAX('Activities'!K457,48))</x:f>
        <x:v>0</x:v>
      </x:c>
      <x:c r="N457" s="23" t="n">
        <x:f>MAX(0,MIN('Activities'!L457,60)-MAX('Activities'!K457,54))</x:f>
        <x:v>0</x:v>
      </x:c>
      <x:c r="O457" s="23" t="n">
        <x:f>MAX(0,MIN('Activities'!L457,66)-MAX('Activities'!K457,60))</x:f>
        <x:v>0</x:v>
      </x:c>
      <x:c r="P457" s="23" t="n">
        <x:f>MAX(0,MIN('Activities'!L457,72)-MAX('Activities'!K457,66))</x:f>
        <x:v>0</x:v>
      </x:c>
      <x:c r="Q457" s="23" t="n">
        <x:f>MAX(0,MIN('Activities'!L457,78)-MAX('Activities'!K457,72))</x:f>
        <x:v>0</x:v>
      </x:c>
      <x:c r="R457" s="23" t="n">
        <x:f>MAX(0,MIN('Activities'!L457,84)-MAX('Activities'!K457,78))</x:f>
        <x:v>0</x:v>
      </x:c>
      <x:c r="S457" s="23" t="n">
        <x:f>MAX(0,MIN('Activities'!L457,90)-MAX('Activities'!K457,84))</x:f>
        <x:v>0</x:v>
      </x:c>
      <x:c r="T457" s="23" t="n">
        <x:f>MAX(0,MIN('Activities'!L457,96)-MAX('Activities'!K457,90))</x:f>
        <x:v>0</x:v>
      </x:c>
      <x:c r="U457" s="23" t="n">
        <x:f>MAX(0,MIN('Activities'!L457,102)-MAX('Activities'!K457,96))</x:f>
        <x:v>0</x:v>
      </x:c>
      <x:c r="V457" s="23" t="n">
        <x:f>MAX(0,MIN('Activities'!L457,108)-MAX('Activities'!K457,102))</x:f>
        <x:v>0</x:v>
      </x:c>
      <x:c r="W457" s="23" t="n">
        <x:f>MAX(0,MIN('Activities'!L457,114)-MAX('Activities'!K457,108))</x:f>
        <x:v>0</x:v>
      </x:c>
      <x:c r="X457" s="23" t="n">
        <x:f>MAX(0,MIN('Activities'!L457,120)-MAX('Activities'!K457,114))</x:f>
        <x:v>0</x:v>
      </x:c>
      <x:c r="Y457" s="23" t="n">
        <x:f>MAX(0,MIN('Activities'!L457,126)-MAX('Activities'!K457,120))</x:f>
        <x:v>0</x:v>
      </x:c>
      <x:c r="Z457" s="23" t="n">
        <x:f>MAX(0,MIN('Activities'!L457,132)-MAX('Activities'!K457,126))</x:f>
        <x:v>0</x:v>
      </x:c>
      <x:c r="AA457" s="23" t="n">
        <x:f>MAX(0,MIN('Activities'!L457,138)-MAX('Activities'!K457,132))</x:f>
        <x:v>0</x:v>
      </x:c>
      <x:c r="AB457" s="23" t="n">
        <x:f>MAX(0,MIN('Activities'!L457,144)-MAX('Activities'!K457,138))</x:f>
        <x:v>0</x:v>
      </x:c>
      <x:c r="AC457" s="23" t="n">
        <x:f>MAX(0,MIN('Activities'!L457,150)-MAX('Activities'!K457,144))</x:f>
        <x:v>0</x:v>
      </x:c>
      <x:c r="AD457" s="23" t="n">
        <x:f>MAX(0,MIN('Activities'!L457,156)-MAX('Activities'!K457,150))</x:f>
        <x:v>0</x:v>
      </x:c>
      <x:c r="AE457" s="23" t="n">
        <x:f>MAX(0,MIN('Activities'!L457,162)-MAX('Activities'!K457,156))</x:f>
        <x:v>0</x:v>
      </x:c>
      <x:c r="AF457" s="23" t="n">
        <x:f>MAX(0,MIN('Activities'!L457,168)-MAX('Activities'!K457,162))</x:f>
        <x:v>0</x:v>
      </x:c>
      <x:c r="AG457" s="23" t="n">
        <x:f>MAX(0,MIN('Activities'!L457,174)-MAX('Activities'!K457,168))</x:f>
        <x:v>0</x:v>
      </x:c>
      <x:c r="AH457" s="23" t="n">
        <x:f>MAX(0,MIN('Activities'!L457,180)-MAX('Activities'!K457,174))</x:f>
        <x:v>0</x:v>
      </x:c>
      <x:c r="AI457" s="23" t="n">
        <x:f>MAX(0,MIN('Activities'!L457,186)-MAX('Activities'!K457,180))</x:f>
        <x:v>0</x:v>
      </x:c>
      <x:c r="AJ457" s="23" t="n">
        <x:f>MAX(0,MIN('Activities'!L457,192)-MAX('Activities'!K457,186))</x:f>
        <x:v>0</x:v>
      </x:c>
      <x:c r="AK457" s="23" t="n">
        <x:f>MAX(0,MIN('Activities'!L457,198)-MAX('Activities'!K457,192))</x:f>
        <x:v>0</x:v>
      </x:c>
      <x:c r="AL457" s="23" t="n">
        <x:f>MAX(0,MIN('Activities'!L457,204)-MAX('Activities'!K457,198))</x:f>
        <x:v>0</x:v>
      </x:c>
      <x:c r="AM457" s="23" t="n">
        <x:f>MAX(0,MIN('Activities'!L457,210)-MAX('Activities'!K457,204))</x:f>
        <x:v>0</x:v>
      </x:c>
      <x:c r="AN457" s="23" t="n">
        <x:f>MAX(0,MIN('Activities'!L457,216)-MAX('Activities'!K457,210))</x:f>
        <x:v>0</x:v>
      </x:c>
      <x:c r="AO457" s="23" t="n">
        <x:f>MAX(0,MIN('Activities'!L457,222)-MAX('Activities'!K457,216))</x:f>
        <x:v>0</x:v>
      </x:c>
      <x:c r="AP457" s="23" t="n">
        <x:f>MAX(0,MIN('Activities'!L457,228)-MAX('Activities'!K457,222))</x:f>
        <x:v>0</x:v>
      </x:c>
      <x:c r="AQ457" s="23" t="n">
        <x:f>MAX(0,MIN('Activities'!L457,234)-MAX('Activities'!K457,228))</x:f>
        <x:v>0</x:v>
      </x:c>
      <x:c r="AR457" s="23" t="n">
        <x:f>MAX(0,MIN('Activities'!L457,240)-MAX('Activities'!K457,234))</x:f>
        <x:v>0</x:v>
      </x:c>
      <x:c r="AS457" s="23" t="n">
        <x:f>MAX(0,MIN('Activities'!L457,246)-MAX('Activities'!K457,240))</x:f>
        <x:v>0</x:v>
      </x:c>
      <x:c r="AT457" s="23" t="n">
        <x:f>MAX(0,MIN('Activities'!L457,252)-MAX('Activities'!K457,246))</x:f>
        <x:v>0</x:v>
      </x:c>
      <x:c r="AU457" s="23" t="n">
        <x:f>MAX(0,MIN('Activities'!L457,258)-MAX('Activities'!K457,252))</x:f>
        <x:v>0</x:v>
      </x:c>
      <x:c r="AV457" s="23" t="n">
        <x:f>MAX(0,MIN('Activities'!L457,264)-MAX('Activities'!K457,258))</x:f>
        <x:v>0</x:v>
      </x:c>
      <x:c r="AW457" s="23" t="n">
        <x:f>MAX(0,MIN('Activities'!L457,270)-MAX('Activities'!K457,264))</x:f>
        <x:v>0</x:v>
      </x:c>
      <x:c r="AX457" s="23" t="n">
        <x:f>MAX(0,MIN('Activities'!L457,276)-MAX('Activities'!K457,270))</x:f>
        <x:v>0</x:v>
      </x:c>
      <x:c r="AY457" s="23" t="n">
        <x:f>MAX(0,MIN('Activities'!L457,282)-MAX('Activities'!K457,276))</x:f>
        <x:v>0</x:v>
      </x:c>
      <x:c r="AZ457" s="23" t="n">
        <x:f>MAX(0,MIN('Activities'!L457,288)-MAX('Activities'!K457,282))</x:f>
        <x:v>0</x:v>
      </x:c>
      <x:c r="BA457" s="23" t="n">
        <x:f>MAX(0,MIN('Activities'!L457,294)-MAX('Activities'!K457,288))</x:f>
        <x:v>0</x:v>
      </x:c>
      <x:c r="BB457" s="23" t="n">
        <x:f>MAX(0,MIN('Activities'!L457,300)-MAX('Activities'!K457,294))</x:f>
        <x:v>0</x:v>
      </x:c>
      <x:c r="BC457" s="23" t="n">
        <x:f>MAX(0,MIN('Activities'!L457,306)-MAX('Activities'!K457,300))</x:f>
        <x:v>0</x:v>
      </x:c>
      <x:c r="BD457" s="23" t="n">
        <x:f>MAX(0,MIN('Activities'!L457,312)-MAX('Activities'!K457,306))</x:f>
        <x:v>0</x:v>
      </x:c>
      <x:c r="BE457" s="23" t="n">
        <x:f>MAX(0,MIN('Activities'!L457,318)-MAX('Activities'!K457,312))</x:f>
        <x:v>0</x:v>
      </x:c>
      <x:c r="BF457" s="23" t="n">
        <x:f>MAX(0,MIN('Activities'!L457,324)-MAX('Activities'!K457,318))</x:f>
        <x:v>0</x:v>
      </x:c>
      <x:c r="BG457" s="23" t="n">
        <x:f>MAX(0,MIN('Activities'!L457,330)-MAX('Activities'!K457,324))</x:f>
        <x:v>0</x:v>
      </x:c>
      <x:c r="BH457" s="23" t="n">
        <x:f>MAX(0,MIN('Activities'!L457,336)-MAX('Activities'!K457,330))</x:f>
        <x:v>0</x:v>
      </x:c>
      <x:c r="BI457" s="23" t="n">
        <x:f>MAX(0,MIN('Activities'!L457,342)-MAX('Activities'!K457,336))</x:f>
        <x:v>0</x:v>
      </x:c>
      <x:c r="BJ457" s="23" t="n">
        <x:f>MAX(0,MIN('Activities'!L457,348)-MAX('Activities'!K457,342))</x:f>
        <x:v>0</x:v>
      </x:c>
      <x:c r="BK457" s="23" t="n">
        <x:f>MAX(0,MIN('Activities'!L457,354)-MAX('Activities'!K457,348))</x:f>
        <x:v>0</x:v>
      </x:c>
      <x:c r="BL457" s="23" t="n">
        <x:f>MAX(0,MIN('Activities'!L457,360)-MAX('Activities'!K457,354))</x:f>
        <x:v>0</x:v>
      </x:c>
      <x:c r="BM457" s="23" t="n">
        <x:f>MAX(0,MIN('Activities'!L457,366)-MAX('Activities'!K457,360))</x:f>
        <x:v>2</x:v>
      </x:c>
      <x:c r="BN457" s="23" t="n">
        <x:f>MAX(0,MIN('Activities'!L457,372)-MAX('Activities'!K457,366))</x:f>
        <x:v>0</x:v>
      </x:c>
      <x:c r="BO457" s="23" t="n">
        <x:f>MAX(0,MIN('Activities'!L457,378)-MAX('Activities'!K457,372))</x:f>
        <x:v>0</x:v>
      </x:c>
      <x:c r="BP457" s="23" t="n">
        <x:f>MAX(0,MIN('Activities'!L457,384)-MAX('Activities'!K457,378))</x:f>
        <x:v>0</x:v>
      </x:c>
      <x:c r="BQ457" s="23" t="n">
        <x:f>MAX(0,MIN('Activities'!L457,390)-MAX('Activities'!K457,384))</x:f>
        <x:v>0</x:v>
      </x:c>
      <x:c r="BR457" s="23" t="n">
        <x:f>MAX(0,MIN('Activities'!L457,396)-MAX('Activities'!K457,390))</x:f>
        <x:v>0</x:v>
      </x:c>
      <x:c r="BS457" s="23" t="n">
        <x:f>MAX(0,MIN('Activities'!L457,402)-MAX('Activities'!K457,396))</x:f>
        <x:v>0</x:v>
      </x:c>
      <x:c r="BT457" s="23" t="n">
        <x:f>MAX(0,MIN('Activities'!L457,408)-MAX('Activities'!K457,402))</x:f>
        <x:v>0</x:v>
      </x:c>
      <x:c r="BU457" s="23" t="n">
        <x:f>MAX(0,MIN('Activities'!L457,414)-MAX('Activities'!K457,408))</x:f>
        <x:v>0</x:v>
      </x:c>
      <x:c r="BV457" s="23" t="n">
        <x:f>MAX(0,MIN('Activities'!L457,420)-MAX('Activities'!K457,414))</x:f>
        <x:v>0</x:v>
      </x:c>
      <x:c r="BW457" s="23" t="n">
        <x:f>MAX(0,MIN('Activities'!L457,426)-MAX('Activities'!K457,420))</x:f>
        <x:v>0</x:v>
      </x:c>
      <x:c r="BX457" s="23" t="n">
        <x:f>MAX(0,MIN('Activities'!L457,432)-MAX('Activities'!K457,426))</x:f>
        <x:v>0</x:v>
      </x:c>
      <x:c r="BY457" s="23" t="n">
        <x:f>MAX(0,MIN('Activities'!L457,438)-MAX('Activities'!K457,432))</x:f>
        <x:v>0</x:v>
      </x:c>
      <x:c r="BZ457" s="23" t="n">
        <x:f>MAX(0,MIN('Activities'!L457,444)-MAX('Activities'!K457,438))</x:f>
        <x:v>0</x:v>
      </x:c>
      <x:c r="CA457" s="23" t="n">
        <x:f>MAX(0,MIN('Activities'!L457,450)-MAX('Activities'!K457,444))</x:f>
        <x:v>0</x:v>
      </x:c>
      <x:c r="CB457" s="23" t="n">
        <x:f>MAX(0,MIN('Activities'!L457,456)-MAX('Activities'!K457,450))</x:f>
        <x:v>0</x:v>
      </x:c>
      <x:c r="CC457" s="23" t="n">
        <x:f>MAX(0,MIN('Activities'!L457,462)-MAX('Activities'!K457,456))</x:f>
        <x:v>0</x:v>
      </x:c>
      <x:c r="CD457" s="23" t="n">
        <x:f>MAX(0,MIN('Activities'!L457,468)-MAX('Activities'!K457,462))</x:f>
        <x:v>0</x:v>
      </x:c>
      <x:c r="CE457" s="23" t="n">
        <x:f>MAX(0,MIN('Activities'!L457,474)-MAX('Activities'!K457,468))</x:f>
        <x:v>0</x:v>
      </x:c>
      <x:c r="CF457" s="23" t="n">
        <x:f>MAX(0,MIN('Activities'!L457,480)-MAX('Activities'!K457,474))</x:f>
        <x:v>0</x:v>
      </x:c>
      <x:c r="CG457" s="23" t="n">
        <x:f>MAX(0,MIN('Activities'!L457,486)-MAX('Activities'!K457,480))</x:f>
        <x:v>0</x:v>
      </x:c>
      <x:c r="CH457" s="23" t="n">
        <x:f>MAX(0,MIN('Activities'!L457,492)-MAX('Activities'!K457,486))</x:f>
        <x:v>0</x:v>
      </x:c>
      <x:c r="CI457" s="23" t="n">
        <x:f>MAX(0,MIN('Activities'!L457,498)-MAX('Activities'!K457,492))</x:f>
        <x:v>0</x:v>
      </x:c>
      <x:c r="CJ457" s="23" t="n">
        <x:f>MAX(0,MIN('Activities'!L457,504)-MAX('Activities'!K457,498))</x:f>
        <x:v>0</x:v>
      </x:c>
      <x:c r="CK457" s="23" t="n">
        <x:f>MAX(0,MIN('Activities'!L457,510)-MAX('Activities'!K457,504))</x:f>
        <x:v>0</x:v>
      </x:c>
      <x:c r="CL457" s="23" t="n">
        <x:f>MAX(0,MIN('Activities'!L457,516)-MAX('Activities'!K457,510))</x:f>
        <x:v>0</x:v>
      </x:c>
      <x:c r="CM457" s="23" t="n">
        <x:f>MAX(0,MIN('Activities'!L457,522)-MAX('Activities'!K457,516))</x:f>
        <x:v>0</x:v>
      </x:c>
      <x:c r="CN457" s="23" t="n">
        <x:f>MAX(0,MIN('Activities'!L457,528)-MAX('Activities'!K457,522))</x:f>
        <x:v>0</x:v>
      </x:c>
      <x:c r="CO457" s="23" t="n">
        <x:f>MAX(0,MIN('Activities'!L457,534)-MAX('Activities'!K457,528))</x:f>
        <x:v>0</x:v>
      </x:c>
      <x:c r="CP457" s="23" t="n">
        <x:f>MAX(0,MIN('Activities'!L457,540)-MAX('Activities'!K457,534))</x:f>
        <x:v>0</x:v>
      </x:c>
      <x:c r="CQ457" s="23" t="n">
        <x:f>MAX(0,MIN('Activities'!L457,546)-MAX('Activities'!K457,540))</x:f>
        <x:v>0</x:v>
      </x:c>
      <x:c r="CR457" s="23" t="n">
        <x:f>MAX(0,MIN('Activities'!L457,552)-MAX('Activities'!K457,546))</x:f>
        <x:v>0</x:v>
      </x:c>
      <x:c r="CS457" s="23" t="n">
        <x:f>MAX(0,MIN('Activities'!L457,558)-MAX('Activities'!K457,552))</x:f>
        <x:v>0</x:v>
      </x:c>
      <x:c r="CT457" s="23" t="n">
        <x:f>MAX(0,MIN('Activities'!L457,564)-MAX('Activities'!K457,558))</x:f>
        <x:v>0</x:v>
      </x:c>
      <x:c r="CU457" s="23" t="n">
        <x:f>MAX(0,MIN('Activities'!L457,570)-MAX('Activities'!K457,564))</x:f>
        <x:v>0</x:v>
      </x:c>
      <x:c r="CV457" s="23" t="n">
        <x:f>MAX(0,MIN('Activities'!L457,576)-MAX('Activities'!K457,570))</x:f>
        <x:v>0</x:v>
      </x:c>
      <x:c r="CW457" s="23" t="n">
        <x:f>MAX(0,MIN('Activities'!L457,582)-MAX('Activities'!K457,576))</x:f>
        <x:v>0</x:v>
      </x:c>
      <x:c r="CX457" s="23" t="n">
        <x:f>MAX(0,MIN('Activities'!L457,588)-MAX('Activities'!K457,582))</x:f>
        <x:v>0</x:v>
      </x:c>
      <x:c r="CY457" s="23" t="n">
        <x:f>MAX(0,MIN('Activities'!L457,594)-MAX('Activities'!K457,588))</x:f>
        <x:v>0</x:v>
      </x:c>
      <x:c r="CZ457" s="23" t="n">
        <x:f>MAX(0,MIN('Activities'!L457,600)-MAX('Activities'!K457,594))</x:f>
        <x:v>0</x:v>
      </x:c>
      <x:c r="DA457" s="23" t="n">
        <x:f>MAX(0,MIN('Activities'!L457,606)-MAX('Activities'!K457,600))</x:f>
        <x:v>0</x:v>
      </x:c>
      <x:c r="DB457" s="23" t="n">
        <x:f>MAX(0,MIN('Activities'!L457,612)-MAX('Activities'!K457,606))</x:f>
        <x:v>0</x:v>
      </x:c>
      <x:c r="DC457" s="23" t="n">
        <x:f>MAX(0,MIN('Activities'!L457,618)-MAX('Activities'!K457,612))</x:f>
        <x:v>0</x:v>
      </x:c>
      <x:c r="DD457" s="23" t="n">
        <x:f>MAX(0,MIN('Activities'!L457,624)-MAX('Activities'!K457,618))</x:f>
        <x:v>0</x:v>
      </x:c>
      <x:c r="DE457" s="23" t="n">
        <x:f>MAX(0,MIN('Activities'!L457,630)-MAX('Activities'!K457,624))</x:f>
        <x:v>0</x:v>
      </x:c>
      <x:c r="DF457" s="23" t="n">
        <x:f>MAX(0,MIN('Activities'!L457,636)-MAX('Activities'!K457,630))</x:f>
        <x:v>0</x:v>
      </x:c>
    </x:row>
    <x:row r="458" ht="23" customHeight="1">
      <x:c r="A458" s="6" t="str">
        <x:v>T4-L10-H</x:v>
      </x:c>
      <x:c r="B458" s="6" t="str">
        <x:v>T4</x:v>
      </x:c>
      <x:c r="C458" s="6" t="str">
        <x:v>Curing and release hold point</x:v>
      </x:c>
      <x:c r="D458" s="6" t="str">
        <x:v>Site</x:v>
      </x:c>
      <x:c r="E458" s="22" t="n">
        <x:f>MAX(0,MIN('Activities'!L458,6)-MAX('Activities'!K458,0))</x:f>
        <x:v>0</x:v>
      </x:c>
      <x:c r="F458" s="22" t="n">
        <x:f>MAX(0,MIN('Activities'!L458,12)-MAX('Activities'!K458,6))</x:f>
        <x:v>0</x:v>
      </x:c>
      <x:c r="G458" s="22" t="n">
        <x:f>MAX(0,MIN('Activities'!L458,18)-MAX('Activities'!K458,12))</x:f>
        <x:v>0</x:v>
      </x:c>
      <x:c r="H458" s="22" t="n">
        <x:f>MAX(0,MIN('Activities'!L458,24)-MAX('Activities'!K458,18))</x:f>
        <x:v>0</x:v>
      </x:c>
      <x:c r="I458" s="22" t="n">
        <x:f>MAX(0,MIN('Activities'!L458,30)-MAX('Activities'!K458,24))</x:f>
        <x:v>0</x:v>
      </x:c>
      <x:c r="J458" s="22" t="n">
        <x:f>MAX(0,MIN('Activities'!L458,36)-MAX('Activities'!K458,30))</x:f>
        <x:v>0</x:v>
      </x:c>
      <x:c r="K458" s="22" t="n">
        <x:f>MAX(0,MIN('Activities'!L458,42)-MAX('Activities'!K458,36))</x:f>
        <x:v>0</x:v>
      </x:c>
      <x:c r="L458" s="22" t="n">
        <x:f>MAX(0,MIN('Activities'!L458,48)-MAX('Activities'!K458,42))</x:f>
        <x:v>0</x:v>
      </x:c>
      <x:c r="M458" s="22" t="n">
        <x:f>MAX(0,MIN('Activities'!L458,54)-MAX('Activities'!K458,48))</x:f>
        <x:v>0</x:v>
      </x:c>
      <x:c r="N458" s="22" t="n">
        <x:f>MAX(0,MIN('Activities'!L458,60)-MAX('Activities'!K458,54))</x:f>
        <x:v>0</x:v>
      </x:c>
      <x:c r="O458" s="22" t="n">
        <x:f>MAX(0,MIN('Activities'!L458,66)-MAX('Activities'!K458,60))</x:f>
        <x:v>0</x:v>
      </x:c>
      <x:c r="P458" s="22" t="n">
        <x:f>MAX(0,MIN('Activities'!L458,72)-MAX('Activities'!K458,66))</x:f>
        <x:v>0</x:v>
      </x:c>
      <x:c r="Q458" s="22" t="n">
        <x:f>MAX(0,MIN('Activities'!L458,78)-MAX('Activities'!K458,72))</x:f>
        <x:v>0</x:v>
      </x:c>
      <x:c r="R458" s="22" t="n">
        <x:f>MAX(0,MIN('Activities'!L458,84)-MAX('Activities'!K458,78))</x:f>
        <x:v>0</x:v>
      </x:c>
      <x:c r="S458" s="22" t="n">
        <x:f>MAX(0,MIN('Activities'!L458,90)-MAX('Activities'!K458,84))</x:f>
        <x:v>0</x:v>
      </x:c>
      <x:c r="T458" s="22" t="n">
        <x:f>MAX(0,MIN('Activities'!L458,96)-MAX('Activities'!K458,90))</x:f>
        <x:v>0</x:v>
      </x:c>
      <x:c r="U458" s="22" t="n">
        <x:f>MAX(0,MIN('Activities'!L458,102)-MAX('Activities'!K458,96))</x:f>
        <x:v>0</x:v>
      </x:c>
      <x:c r="V458" s="22" t="n">
        <x:f>MAX(0,MIN('Activities'!L458,108)-MAX('Activities'!K458,102))</x:f>
        <x:v>0</x:v>
      </x:c>
      <x:c r="W458" s="22" t="n">
        <x:f>MAX(0,MIN('Activities'!L458,114)-MAX('Activities'!K458,108))</x:f>
        <x:v>0</x:v>
      </x:c>
      <x:c r="X458" s="22" t="n">
        <x:f>MAX(0,MIN('Activities'!L458,120)-MAX('Activities'!K458,114))</x:f>
        <x:v>0</x:v>
      </x:c>
      <x:c r="Y458" s="22" t="n">
        <x:f>MAX(0,MIN('Activities'!L458,126)-MAX('Activities'!K458,120))</x:f>
        <x:v>0</x:v>
      </x:c>
      <x:c r="Z458" s="22" t="n">
        <x:f>MAX(0,MIN('Activities'!L458,132)-MAX('Activities'!K458,126))</x:f>
        <x:v>0</x:v>
      </x:c>
      <x:c r="AA458" s="22" t="n">
        <x:f>MAX(0,MIN('Activities'!L458,138)-MAX('Activities'!K458,132))</x:f>
        <x:v>0</x:v>
      </x:c>
      <x:c r="AB458" s="22" t="n">
        <x:f>MAX(0,MIN('Activities'!L458,144)-MAX('Activities'!K458,138))</x:f>
        <x:v>0</x:v>
      </x:c>
      <x:c r="AC458" s="22" t="n">
        <x:f>MAX(0,MIN('Activities'!L458,150)-MAX('Activities'!K458,144))</x:f>
        <x:v>0</x:v>
      </x:c>
      <x:c r="AD458" s="22" t="n">
        <x:f>MAX(0,MIN('Activities'!L458,156)-MAX('Activities'!K458,150))</x:f>
        <x:v>0</x:v>
      </x:c>
      <x:c r="AE458" s="22" t="n">
        <x:f>MAX(0,MIN('Activities'!L458,162)-MAX('Activities'!K458,156))</x:f>
        <x:v>0</x:v>
      </x:c>
      <x:c r="AF458" s="22" t="n">
        <x:f>MAX(0,MIN('Activities'!L458,168)-MAX('Activities'!K458,162))</x:f>
        <x:v>0</x:v>
      </x:c>
      <x:c r="AG458" s="22" t="n">
        <x:f>MAX(0,MIN('Activities'!L458,174)-MAX('Activities'!K458,168))</x:f>
        <x:v>0</x:v>
      </x:c>
      <x:c r="AH458" s="22" t="n">
        <x:f>MAX(0,MIN('Activities'!L458,180)-MAX('Activities'!K458,174))</x:f>
        <x:v>0</x:v>
      </x:c>
      <x:c r="AI458" s="22" t="n">
        <x:f>MAX(0,MIN('Activities'!L458,186)-MAX('Activities'!K458,180))</x:f>
        <x:v>0</x:v>
      </x:c>
      <x:c r="AJ458" s="22" t="n">
        <x:f>MAX(0,MIN('Activities'!L458,192)-MAX('Activities'!K458,186))</x:f>
        <x:v>0</x:v>
      </x:c>
      <x:c r="AK458" s="22" t="n">
        <x:f>MAX(0,MIN('Activities'!L458,198)-MAX('Activities'!K458,192))</x:f>
        <x:v>0</x:v>
      </x:c>
      <x:c r="AL458" s="22" t="n">
        <x:f>MAX(0,MIN('Activities'!L458,204)-MAX('Activities'!K458,198))</x:f>
        <x:v>0</x:v>
      </x:c>
      <x:c r="AM458" s="22" t="n">
        <x:f>MAX(0,MIN('Activities'!L458,210)-MAX('Activities'!K458,204))</x:f>
        <x:v>0</x:v>
      </x:c>
      <x:c r="AN458" s="22" t="n">
        <x:f>MAX(0,MIN('Activities'!L458,216)-MAX('Activities'!K458,210))</x:f>
        <x:v>0</x:v>
      </x:c>
      <x:c r="AO458" s="22" t="n">
        <x:f>MAX(0,MIN('Activities'!L458,222)-MAX('Activities'!K458,216))</x:f>
        <x:v>0</x:v>
      </x:c>
      <x:c r="AP458" s="22" t="n">
        <x:f>MAX(0,MIN('Activities'!L458,228)-MAX('Activities'!K458,222))</x:f>
        <x:v>0</x:v>
      </x:c>
      <x:c r="AQ458" s="22" t="n">
        <x:f>MAX(0,MIN('Activities'!L458,234)-MAX('Activities'!K458,228))</x:f>
        <x:v>0</x:v>
      </x:c>
      <x:c r="AR458" s="22" t="n">
        <x:f>MAX(0,MIN('Activities'!L458,240)-MAX('Activities'!K458,234))</x:f>
        <x:v>0</x:v>
      </x:c>
      <x:c r="AS458" s="22" t="n">
        <x:f>MAX(0,MIN('Activities'!L458,246)-MAX('Activities'!K458,240))</x:f>
        <x:v>0</x:v>
      </x:c>
      <x:c r="AT458" s="22" t="n">
        <x:f>MAX(0,MIN('Activities'!L458,252)-MAX('Activities'!K458,246))</x:f>
        <x:v>0</x:v>
      </x:c>
      <x:c r="AU458" s="22" t="n">
        <x:f>MAX(0,MIN('Activities'!L458,258)-MAX('Activities'!K458,252))</x:f>
        <x:v>0</x:v>
      </x:c>
      <x:c r="AV458" s="22" t="n">
        <x:f>MAX(0,MIN('Activities'!L458,264)-MAX('Activities'!K458,258))</x:f>
        <x:v>0</x:v>
      </x:c>
      <x:c r="AW458" s="22" t="n">
        <x:f>MAX(0,MIN('Activities'!L458,270)-MAX('Activities'!K458,264))</x:f>
        <x:v>0</x:v>
      </x:c>
      <x:c r="AX458" s="22" t="n">
        <x:f>MAX(0,MIN('Activities'!L458,276)-MAX('Activities'!K458,270))</x:f>
        <x:v>0</x:v>
      </x:c>
      <x:c r="AY458" s="22" t="n">
        <x:f>MAX(0,MIN('Activities'!L458,282)-MAX('Activities'!K458,276))</x:f>
        <x:v>0</x:v>
      </x:c>
      <x:c r="AZ458" s="22" t="n">
        <x:f>MAX(0,MIN('Activities'!L458,288)-MAX('Activities'!K458,282))</x:f>
        <x:v>0</x:v>
      </x:c>
      <x:c r="BA458" s="22" t="n">
        <x:f>MAX(0,MIN('Activities'!L458,294)-MAX('Activities'!K458,288))</x:f>
        <x:v>0</x:v>
      </x:c>
      <x:c r="BB458" s="22" t="n">
        <x:f>MAX(0,MIN('Activities'!L458,300)-MAX('Activities'!K458,294))</x:f>
        <x:v>0</x:v>
      </x:c>
      <x:c r="BC458" s="22" t="n">
        <x:f>MAX(0,MIN('Activities'!L458,306)-MAX('Activities'!K458,300))</x:f>
        <x:v>0</x:v>
      </x:c>
      <x:c r="BD458" s="22" t="n">
        <x:f>MAX(0,MIN('Activities'!L458,312)-MAX('Activities'!K458,306))</x:f>
        <x:v>0</x:v>
      </x:c>
      <x:c r="BE458" s="22" t="n">
        <x:f>MAX(0,MIN('Activities'!L458,318)-MAX('Activities'!K458,312))</x:f>
        <x:v>0</x:v>
      </x:c>
      <x:c r="BF458" s="22" t="n">
        <x:f>MAX(0,MIN('Activities'!L458,324)-MAX('Activities'!K458,318))</x:f>
        <x:v>0</x:v>
      </x:c>
      <x:c r="BG458" s="22" t="n">
        <x:f>MAX(0,MIN('Activities'!L458,330)-MAX('Activities'!K458,324))</x:f>
        <x:v>0</x:v>
      </x:c>
      <x:c r="BH458" s="22" t="n">
        <x:f>MAX(0,MIN('Activities'!L458,336)-MAX('Activities'!K458,330))</x:f>
        <x:v>0</x:v>
      </x:c>
      <x:c r="BI458" s="22" t="n">
        <x:f>MAX(0,MIN('Activities'!L458,342)-MAX('Activities'!K458,336))</x:f>
        <x:v>0</x:v>
      </x:c>
      <x:c r="BJ458" s="22" t="n">
        <x:f>MAX(0,MIN('Activities'!L458,348)-MAX('Activities'!K458,342))</x:f>
        <x:v>0</x:v>
      </x:c>
      <x:c r="BK458" s="22" t="n">
        <x:f>MAX(0,MIN('Activities'!L458,354)-MAX('Activities'!K458,348))</x:f>
        <x:v>0</x:v>
      </x:c>
      <x:c r="BL458" s="22" t="n">
        <x:f>MAX(0,MIN('Activities'!L458,360)-MAX('Activities'!K458,354))</x:f>
        <x:v>0</x:v>
      </x:c>
      <x:c r="BM458" s="22" t="n">
        <x:f>MAX(0,MIN('Activities'!L458,366)-MAX('Activities'!K458,360))</x:f>
        <x:v>3</x:v>
      </x:c>
      <x:c r="BN458" s="22" t="n">
        <x:f>MAX(0,MIN('Activities'!L458,372)-MAX('Activities'!K458,366))</x:f>
        <x:v>2</x:v>
      </x:c>
      <x:c r="BO458" s="22" t="n">
        <x:f>MAX(0,MIN('Activities'!L458,378)-MAX('Activities'!K458,372))</x:f>
        <x:v>0</x:v>
      </x:c>
      <x:c r="BP458" s="22" t="n">
        <x:f>MAX(0,MIN('Activities'!L458,384)-MAX('Activities'!K458,378))</x:f>
        <x:v>0</x:v>
      </x:c>
      <x:c r="BQ458" s="22" t="n">
        <x:f>MAX(0,MIN('Activities'!L458,390)-MAX('Activities'!K458,384))</x:f>
        <x:v>0</x:v>
      </x:c>
      <x:c r="BR458" s="22" t="n">
        <x:f>MAX(0,MIN('Activities'!L458,396)-MAX('Activities'!K458,390))</x:f>
        <x:v>0</x:v>
      </x:c>
      <x:c r="BS458" s="22" t="n">
        <x:f>MAX(0,MIN('Activities'!L458,402)-MAX('Activities'!K458,396))</x:f>
        <x:v>0</x:v>
      </x:c>
      <x:c r="BT458" s="22" t="n">
        <x:f>MAX(0,MIN('Activities'!L458,408)-MAX('Activities'!K458,402))</x:f>
        <x:v>0</x:v>
      </x:c>
      <x:c r="BU458" s="22" t="n">
        <x:f>MAX(0,MIN('Activities'!L458,414)-MAX('Activities'!K458,408))</x:f>
        <x:v>0</x:v>
      </x:c>
      <x:c r="BV458" s="22" t="n">
        <x:f>MAX(0,MIN('Activities'!L458,420)-MAX('Activities'!K458,414))</x:f>
        <x:v>0</x:v>
      </x:c>
      <x:c r="BW458" s="22" t="n">
        <x:f>MAX(0,MIN('Activities'!L458,426)-MAX('Activities'!K458,420))</x:f>
        <x:v>0</x:v>
      </x:c>
      <x:c r="BX458" s="22" t="n">
        <x:f>MAX(0,MIN('Activities'!L458,432)-MAX('Activities'!K458,426))</x:f>
        <x:v>0</x:v>
      </x:c>
      <x:c r="BY458" s="22" t="n">
        <x:f>MAX(0,MIN('Activities'!L458,438)-MAX('Activities'!K458,432))</x:f>
        <x:v>0</x:v>
      </x:c>
      <x:c r="BZ458" s="22" t="n">
        <x:f>MAX(0,MIN('Activities'!L458,444)-MAX('Activities'!K458,438))</x:f>
        <x:v>0</x:v>
      </x:c>
      <x:c r="CA458" s="22" t="n">
        <x:f>MAX(0,MIN('Activities'!L458,450)-MAX('Activities'!K458,444))</x:f>
        <x:v>0</x:v>
      </x:c>
      <x:c r="CB458" s="22" t="n">
        <x:f>MAX(0,MIN('Activities'!L458,456)-MAX('Activities'!K458,450))</x:f>
        <x:v>0</x:v>
      </x:c>
      <x:c r="CC458" s="22" t="n">
        <x:f>MAX(0,MIN('Activities'!L458,462)-MAX('Activities'!K458,456))</x:f>
        <x:v>0</x:v>
      </x:c>
      <x:c r="CD458" s="22" t="n">
        <x:f>MAX(0,MIN('Activities'!L458,468)-MAX('Activities'!K458,462))</x:f>
        <x:v>0</x:v>
      </x:c>
      <x:c r="CE458" s="22" t="n">
        <x:f>MAX(0,MIN('Activities'!L458,474)-MAX('Activities'!K458,468))</x:f>
        <x:v>0</x:v>
      </x:c>
      <x:c r="CF458" s="22" t="n">
        <x:f>MAX(0,MIN('Activities'!L458,480)-MAX('Activities'!K458,474))</x:f>
        <x:v>0</x:v>
      </x:c>
      <x:c r="CG458" s="22" t="n">
        <x:f>MAX(0,MIN('Activities'!L458,486)-MAX('Activities'!K458,480))</x:f>
        <x:v>0</x:v>
      </x:c>
      <x:c r="CH458" s="22" t="n">
        <x:f>MAX(0,MIN('Activities'!L458,492)-MAX('Activities'!K458,486))</x:f>
        <x:v>0</x:v>
      </x:c>
      <x:c r="CI458" s="22" t="n">
        <x:f>MAX(0,MIN('Activities'!L458,498)-MAX('Activities'!K458,492))</x:f>
        <x:v>0</x:v>
      </x:c>
      <x:c r="CJ458" s="22" t="n">
        <x:f>MAX(0,MIN('Activities'!L458,504)-MAX('Activities'!K458,498))</x:f>
        <x:v>0</x:v>
      </x:c>
      <x:c r="CK458" s="22" t="n">
        <x:f>MAX(0,MIN('Activities'!L458,510)-MAX('Activities'!K458,504))</x:f>
        <x:v>0</x:v>
      </x:c>
      <x:c r="CL458" s="22" t="n">
        <x:f>MAX(0,MIN('Activities'!L458,516)-MAX('Activities'!K458,510))</x:f>
        <x:v>0</x:v>
      </x:c>
      <x:c r="CM458" s="22" t="n">
        <x:f>MAX(0,MIN('Activities'!L458,522)-MAX('Activities'!K458,516))</x:f>
        <x:v>0</x:v>
      </x:c>
      <x:c r="CN458" s="22" t="n">
        <x:f>MAX(0,MIN('Activities'!L458,528)-MAX('Activities'!K458,522))</x:f>
        <x:v>0</x:v>
      </x:c>
      <x:c r="CO458" s="22" t="n">
        <x:f>MAX(0,MIN('Activities'!L458,534)-MAX('Activities'!K458,528))</x:f>
        <x:v>0</x:v>
      </x:c>
      <x:c r="CP458" s="22" t="n">
        <x:f>MAX(0,MIN('Activities'!L458,540)-MAX('Activities'!K458,534))</x:f>
        <x:v>0</x:v>
      </x:c>
      <x:c r="CQ458" s="22" t="n">
        <x:f>MAX(0,MIN('Activities'!L458,546)-MAX('Activities'!K458,540))</x:f>
        <x:v>0</x:v>
      </x:c>
      <x:c r="CR458" s="22" t="n">
        <x:f>MAX(0,MIN('Activities'!L458,552)-MAX('Activities'!K458,546))</x:f>
        <x:v>0</x:v>
      </x:c>
      <x:c r="CS458" s="22" t="n">
        <x:f>MAX(0,MIN('Activities'!L458,558)-MAX('Activities'!K458,552))</x:f>
        <x:v>0</x:v>
      </x:c>
      <x:c r="CT458" s="22" t="n">
        <x:f>MAX(0,MIN('Activities'!L458,564)-MAX('Activities'!K458,558))</x:f>
        <x:v>0</x:v>
      </x:c>
      <x:c r="CU458" s="22" t="n">
        <x:f>MAX(0,MIN('Activities'!L458,570)-MAX('Activities'!K458,564))</x:f>
        <x:v>0</x:v>
      </x:c>
      <x:c r="CV458" s="22" t="n">
        <x:f>MAX(0,MIN('Activities'!L458,576)-MAX('Activities'!K458,570))</x:f>
        <x:v>0</x:v>
      </x:c>
      <x:c r="CW458" s="22" t="n">
        <x:f>MAX(0,MIN('Activities'!L458,582)-MAX('Activities'!K458,576))</x:f>
        <x:v>0</x:v>
      </x:c>
      <x:c r="CX458" s="22" t="n">
        <x:f>MAX(0,MIN('Activities'!L458,588)-MAX('Activities'!K458,582))</x:f>
        <x:v>0</x:v>
      </x:c>
      <x:c r="CY458" s="22" t="n">
        <x:f>MAX(0,MIN('Activities'!L458,594)-MAX('Activities'!K458,588))</x:f>
        <x:v>0</x:v>
      </x:c>
      <x:c r="CZ458" s="22" t="n">
        <x:f>MAX(0,MIN('Activities'!L458,600)-MAX('Activities'!K458,594))</x:f>
        <x:v>0</x:v>
      </x:c>
      <x:c r="DA458" s="22" t="n">
        <x:f>MAX(0,MIN('Activities'!L458,606)-MAX('Activities'!K458,600))</x:f>
        <x:v>0</x:v>
      </x:c>
      <x:c r="DB458" s="22" t="n">
        <x:f>MAX(0,MIN('Activities'!L458,612)-MAX('Activities'!K458,606))</x:f>
        <x:v>0</x:v>
      </x:c>
      <x:c r="DC458" s="22" t="n">
        <x:f>MAX(0,MIN('Activities'!L458,618)-MAX('Activities'!K458,612))</x:f>
        <x:v>0</x:v>
      </x:c>
      <x:c r="DD458" s="22" t="n">
        <x:f>MAX(0,MIN('Activities'!L458,624)-MAX('Activities'!K458,618))</x:f>
        <x:v>0</x:v>
      </x:c>
      <x:c r="DE458" s="22" t="n">
        <x:f>MAX(0,MIN('Activities'!L458,630)-MAX('Activities'!K458,624))</x:f>
        <x:v>0</x:v>
      </x:c>
      <x:c r="DF458" s="22" t="n">
        <x:f>MAX(0,MIN('Activities'!L458,636)-MAX('Activities'!K458,630))</x:f>
        <x:v>0</x:v>
      </x:c>
    </x:row>
    <x:row r="459" ht="23" customHeight="1">
      <x:c r="A459" s="1" t="str">
        <x:v>T4-L11-F</x:v>
      </x:c>
      <x:c r="B459" s="1" t="str">
        <x:v>T4</x:v>
      </x:c>
      <x:c r="C459" s="1" t="str">
        <x:v>Columns, core and deck formwork</x:v>
      </x:c>
      <x:c r="D459" s="1" t="str">
        <x:v>Formwork</x:v>
      </x:c>
      <x:c r="E459" s="23" t="n">
        <x:f>MAX(0,MIN('Activities'!L459,6)-MAX('Activities'!K459,0))</x:f>
        <x:v>0</x:v>
      </x:c>
      <x:c r="F459" s="23" t="n">
        <x:f>MAX(0,MIN('Activities'!L459,12)-MAX('Activities'!K459,6))</x:f>
        <x:v>0</x:v>
      </x:c>
      <x:c r="G459" s="23" t="n">
        <x:f>MAX(0,MIN('Activities'!L459,18)-MAX('Activities'!K459,12))</x:f>
        <x:v>0</x:v>
      </x:c>
      <x:c r="H459" s="23" t="n">
        <x:f>MAX(0,MIN('Activities'!L459,24)-MAX('Activities'!K459,18))</x:f>
        <x:v>0</x:v>
      </x:c>
      <x:c r="I459" s="23" t="n">
        <x:f>MAX(0,MIN('Activities'!L459,30)-MAX('Activities'!K459,24))</x:f>
        <x:v>0</x:v>
      </x:c>
      <x:c r="J459" s="23" t="n">
        <x:f>MAX(0,MIN('Activities'!L459,36)-MAX('Activities'!K459,30))</x:f>
        <x:v>0</x:v>
      </x:c>
      <x:c r="K459" s="23" t="n">
        <x:f>MAX(0,MIN('Activities'!L459,42)-MAX('Activities'!K459,36))</x:f>
        <x:v>0</x:v>
      </x:c>
      <x:c r="L459" s="23" t="n">
        <x:f>MAX(0,MIN('Activities'!L459,48)-MAX('Activities'!K459,42))</x:f>
        <x:v>0</x:v>
      </x:c>
      <x:c r="M459" s="23" t="n">
        <x:f>MAX(0,MIN('Activities'!L459,54)-MAX('Activities'!K459,48))</x:f>
        <x:v>0</x:v>
      </x:c>
      <x:c r="N459" s="23" t="n">
        <x:f>MAX(0,MIN('Activities'!L459,60)-MAX('Activities'!K459,54))</x:f>
        <x:v>0</x:v>
      </x:c>
      <x:c r="O459" s="23" t="n">
        <x:f>MAX(0,MIN('Activities'!L459,66)-MAX('Activities'!K459,60))</x:f>
        <x:v>0</x:v>
      </x:c>
      <x:c r="P459" s="23" t="n">
        <x:f>MAX(0,MIN('Activities'!L459,72)-MAX('Activities'!K459,66))</x:f>
        <x:v>0</x:v>
      </x:c>
      <x:c r="Q459" s="23" t="n">
        <x:f>MAX(0,MIN('Activities'!L459,78)-MAX('Activities'!K459,72))</x:f>
        <x:v>0</x:v>
      </x:c>
      <x:c r="R459" s="23" t="n">
        <x:f>MAX(0,MIN('Activities'!L459,84)-MAX('Activities'!K459,78))</x:f>
        <x:v>0</x:v>
      </x:c>
      <x:c r="S459" s="23" t="n">
        <x:f>MAX(0,MIN('Activities'!L459,90)-MAX('Activities'!K459,84))</x:f>
        <x:v>0</x:v>
      </x:c>
      <x:c r="T459" s="23" t="n">
        <x:f>MAX(0,MIN('Activities'!L459,96)-MAX('Activities'!K459,90))</x:f>
        <x:v>0</x:v>
      </x:c>
      <x:c r="U459" s="23" t="n">
        <x:f>MAX(0,MIN('Activities'!L459,102)-MAX('Activities'!K459,96))</x:f>
        <x:v>0</x:v>
      </x:c>
      <x:c r="V459" s="23" t="n">
        <x:f>MAX(0,MIN('Activities'!L459,108)-MAX('Activities'!K459,102))</x:f>
        <x:v>0</x:v>
      </x:c>
      <x:c r="W459" s="23" t="n">
        <x:f>MAX(0,MIN('Activities'!L459,114)-MAX('Activities'!K459,108))</x:f>
        <x:v>0</x:v>
      </x:c>
      <x:c r="X459" s="23" t="n">
        <x:f>MAX(0,MIN('Activities'!L459,120)-MAX('Activities'!K459,114))</x:f>
        <x:v>0</x:v>
      </x:c>
      <x:c r="Y459" s="23" t="n">
        <x:f>MAX(0,MIN('Activities'!L459,126)-MAX('Activities'!K459,120))</x:f>
        <x:v>0</x:v>
      </x:c>
      <x:c r="Z459" s="23" t="n">
        <x:f>MAX(0,MIN('Activities'!L459,132)-MAX('Activities'!K459,126))</x:f>
        <x:v>0</x:v>
      </x:c>
      <x:c r="AA459" s="23" t="n">
        <x:f>MAX(0,MIN('Activities'!L459,138)-MAX('Activities'!K459,132))</x:f>
        <x:v>0</x:v>
      </x:c>
      <x:c r="AB459" s="23" t="n">
        <x:f>MAX(0,MIN('Activities'!L459,144)-MAX('Activities'!K459,138))</x:f>
        <x:v>0</x:v>
      </x:c>
      <x:c r="AC459" s="23" t="n">
        <x:f>MAX(0,MIN('Activities'!L459,150)-MAX('Activities'!K459,144))</x:f>
        <x:v>0</x:v>
      </x:c>
      <x:c r="AD459" s="23" t="n">
        <x:f>MAX(0,MIN('Activities'!L459,156)-MAX('Activities'!K459,150))</x:f>
        <x:v>0</x:v>
      </x:c>
      <x:c r="AE459" s="23" t="n">
        <x:f>MAX(0,MIN('Activities'!L459,162)-MAX('Activities'!K459,156))</x:f>
        <x:v>0</x:v>
      </x:c>
      <x:c r="AF459" s="23" t="n">
        <x:f>MAX(0,MIN('Activities'!L459,168)-MAX('Activities'!K459,162))</x:f>
        <x:v>0</x:v>
      </x:c>
      <x:c r="AG459" s="23" t="n">
        <x:f>MAX(0,MIN('Activities'!L459,174)-MAX('Activities'!K459,168))</x:f>
        <x:v>0</x:v>
      </x:c>
      <x:c r="AH459" s="23" t="n">
        <x:f>MAX(0,MIN('Activities'!L459,180)-MAX('Activities'!K459,174))</x:f>
        <x:v>0</x:v>
      </x:c>
      <x:c r="AI459" s="23" t="n">
        <x:f>MAX(0,MIN('Activities'!L459,186)-MAX('Activities'!K459,180))</x:f>
        <x:v>0</x:v>
      </x:c>
      <x:c r="AJ459" s="23" t="n">
        <x:f>MAX(0,MIN('Activities'!L459,192)-MAX('Activities'!K459,186))</x:f>
        <x:v>0</x:v>
      </x:c>
      <x:c r="AK459" s="23" t="n">
        <x:f>MAX(0,MIN('Activities'!L459,198)-MAX('Activities'!K459,192))</x:f>
        <x:v>0</x:v>
      </x:c>
      <x:c r="AL459" s="23" t="n">
        <x:f>MAX(0,MIN('Activities'!L459,204)-MAX('Activities'!K459,198))</x:f>
        <x:v>0</x:v>
      </x:c>
      <x:c r="AM459" s="23" t="n">
        <x:f>MAX(0,MIN('Activities'!L459,210)-MAX('Activities'!K459,204))</x:f>
        <x:v>0</x:v>
      </x:c>
      <x:c r="AN459" s="23" t="n">
        <x:f>MAX(0,MIN('Activities'!L459,216)-MAX('Activities'!K459,210))</x:f>
        <x:v>0</x:v>
      </x:c>
      <x:c r="AO459" s="23" t="n">
        <x:f>MAX(0,MIN('Activities'!L459,222)-MAX('Activities'!K459,216))</x:f>
        <x:v>0</x:v>
      </x:c>
      <x:c r="AP459" s="23" t="n">
        <x:f>MAX(0,MIN('Activities'!L459,228)-MAX('Activities'!K459,222))</x:f>
        <x:v>0</x:v>
      </x:c>
      <x:c r="AQ459" s="23" t="n">
        <x:f>MAX(0,MIN('Activities'!L459,234)-MAX('Activities'!K459,228))</x:f>
        <x:v>0</x:v>
      </x:c>
      <x:c r="AR459" s="23" t="n">
        <x:f>MAX(0,MIN('Activities'!L459,240)-MAX('Activities'!K459,234))</x:f>
        <x:v>0</x:v>
      </x:c>
      <x:c r="AS459" s="23" t="n">
        <x:f>MAX(0,MIN('Activities'!L459,246)-MAX('Activities'!K459,240))</x:f>
        <x:v>0</x:v>
      </x:c>
      <x:c r="AT459" s="23" t="n">
        <x:f>MAX(0,MIN('Activities'!L459,252)-MAX('Activities'!K459,246))</x:f>
        <x:v>0</x:v>
      </x:c>
      <x:c r="AU459" s="23" t="n">
        <x:f>MAX(0,MIN('Activities'!L459,258)-MAX('Activities'!K459,252))</x:f>
        <x:v>0</x:v>
      </x:c>
      <x:c r="AV459" s="23" t="n">
        <x:f>MAX(0,MIN('Activities'!L459,264)-MAX('Activities'!K459,258))</x:f>
        <x:v>0</x:v>
      </x:c>
      <x:c r="AW459" s="23" t="n">
        <x:f>MAX(0,MIN('Activities'!L459,270)-MAX('Activities'!K459,264))</x:f>
        <x:v>0</x:v>
      </x:c>
      <x:c r="AX459" s="23" t="n">
        <x:f>MAX(0,MIN('Activities'!L459,276)-MAX('Activities'!K459,270))</x:f>
        <x:v>0</x:v>
      </x:c>
      <x:c r="AY459" s="23" t="n">
        <x:f>MAX(0,MIN('Activities'!L459,282)-MAX('Activities'!K459,276))</x:f>
        <x:v>0</x:v>
      </x:c>
      <x:c r="AZ459" s="23" t="n">
        <x:f>MAX(0,MIN('Activities'!L459,288)-MAX('Activities'!K459,282))</x:f>
        <x:v>0</x:v>
      </x:c>
      <x:c r="BA459" s="23" t="n">
        <x:f>MAX(0,MIN('Activities'!L459,294)-MAX('Activities'!K459,288))</x:f>
        <x:v>0</x:v>
      </x:c>
      <x:c r="BB459" s="23" t="n">
        <x:f>MAX(0,MIN('Activities'!L459,300)-MAX('Activities'!K459,294))</x:f>
        <x:v>0</x:v>
      </x:c>
      <x:c r="BC459" s="23" t="n">
        <x:f>MAX(0,MIN('Activities'!L459,306)-MAX('Activities'!K459,300))</x:f>
        <x:v>0</x:v>
      </x:c>
      <x:c r="BD459" s="23" t="n">
        <x:f>MAX(0,MIN('Activities'!L459,312)-MAX('Activities'!K459,306))</x:f>
        <x:v>0</x:v>
      </x:c>
      <x:c r="BE459" s="23" t="n">
        <x:f>MAX(0,MIN('Activities'!L459,318)-MAX('Activities'!K459,312))</x:f>
        <x:v>0</x:v>
      </x:c>
      <x:c r="BF459" s="23" t="n">
        <x:f>MAX(0,MIN('Activities'!L459,324)-MAX('Activities'!K459,318))</x:f>
        <x:v>0</x:v>
      </x:c>
      <x:c r="BG459" s="23" t="n">
        <x:f>MAX(0,MIN('Activities'!L459,330)-MAX('Activities'!K459,324))</x:f>
        <x:v>0</x:v>
      </x:c>
      <x:c r="BH459" s="23" t="n">
        <x:f>MAX(0,MIN('Activities'!L459,336)-MAX('Activities'!K459,330))</x:f>
        <x:v>0</x:v>
      </x:c>
      <x:c r="BI459" s="23" t="n">
        <x:f>MAX(0,MIN('Activities'!L459,342)-MAX('Activities'!K459,336))</x:f>
        <x:v>0</x:v>
      </x:c>
      <x:c r="BJ459" s="23" t="n">
        <x:f>MAX(0,MIN('Activities'!L459,348)-MAX('Activities'!K459,342))</x:f>
        <x:v>0</x:v>
      </x:c>
      <x:c r="BK459" s="23" t="n">
        <x:f>MAX(0,MIN('Activities'!L459,354)-MAX('Activities'!K459,348))</x:f>
        <x:v>0</x:v>
      </x:c>
      <x:c r="BL459" s="23" t="n">
        <x:f>MAX(0,MIN('Activities'!L459,360)-MAX('Activities'!K459,354))</x:f>
        <x:v>0</x:v>
      </x:c>
      <x:c r="BM459" s="23" t="n">
        <x:f>MAX(0,MIN('Activities'!L459,366)-MAX('Activities'!K459,360))</x:f>
        <x:v>0</x:v>
      </x:c>
      <x:c r="BN459" s="23" t="n">
        <x:f>MAX(0,MIN('Activities'!L459,372)-MAX('Activities'!K459,366))</x:f>
        <x:v>4</x:v>
      </x:c>
      <x:c r="BO459" s="23" t="n">
        <x:f>MAX(0,MIN('Activities'!L459,378)-MAX('Activities'!K459,372))</x:f>
        <x:v>2</x:v>
      </x:c>
      <x:c r="BP459" s="23" t="n">
        <x:f>MAX(0,MIN('Activities'!L459,384)-MAX('Activities'!K459,378))</x:f>
        <x:v>0</x:v>
      </x:c>
      <x:c r="BQ459" s="23" t="n">
        <x:f>MAX(0,MIN('Activities'!L459,390)-MAX('Activities'!K459,384))</x:f>
        <x:v>0</x:v>
      </x:c>
      <x:c r="BR459" s="23" t="n">
        <x:f>MAX(0,MIN('Activities'!L459,396)-MAX('Activities'!K459,390))</x:f>
        <x:v>0</x:v>
      </x:c>
      <x:c r="BS459" s="23" t="n">
        <x:f>MAX(0,MIN('Activities'!L459,402)-MAX('Activities'!K459,396))</x:f>
        <x:v>0</x:v>
      </x:c>
      <x:c r="BT459" s="23" t="n">
        <x:f>MAX(0,MIN('Activities'!L459,408)-MAX('Activities'!K459,402))</x:f>
        <x:v>0</x:v>
      </x:c>
      <x:c r="BU459" s="23" t="n">
        <x:f>MAX(0,MIN('Activities'!L459,414)-MAX('Activities'!K459,408))</x:f>
        <x:v>0</x:v>
      </x:c>
      <x:c r="BV459" s="23" t="n">
        <x:f>MAX(0,MIN('Activities'!L459,420)-MAX('Activities'!K459,414))</x:f>
        <x:v>0</x:v>
      </x:c>
      <x:c r="BW459" s="23" t="n">
        <x:f>MAX(0,MIN('Activities'!L459,426)-MAX('Activities'!K459,420))</x:f>
        <x:v>0</x:v>
      </x:c>
      <x:c r="BX459" s="23" t="n">
        <x:f>MAX(0,MIN('Activities'!L459,432)-MAX('Activities'!K459,426))</x:f>
        <x:v>0</x:v>
      </x:c>
      <x:c r="BY459" s="23" t="n">
        <x:f>MAX(0,MIN('Activities'!L459,438)-MAX('Activities'!K459,432))</x:f>
        <x:v>0</x:v>
      </x:c>
      <x:c r="BZ459" s="23" t="n">
        <x:f>MAX(0,MIN('Activities'!L459,444)-MAX('Activities'!K459,438))</x:f>
        <x:v>0</x:v>
      </x:c>
      <x:c r="CA459" s="23" t="n">
        <x:f>MAX(0,MIN('Activities'!L459,450)-MAX('Activities'!K459,444))</x:f>
        <x:v>0</x:v>
      </x:c>
      <x:c r="CB459" s="23" t="n">
        <x:f>MAX(0,MIN('Activities'!L459,456)-MAX('Activities'!K459,450))</x:f>
        <x:v>0</x:v>
      </x:c>
      <x:c r="CC459" s="23" t="n">
        <x:f>MAX(0,MIN('Activities'!L459,462)-MAX('Activities'!K459,456))</x:f>
        <x:v>0</x:v>
      </x:c>
      <x:c r="CD459" s="23" t="n">
        <x:f>MAX(0,MIN('Activities'!L459,468)-MAX('Activities'!K459,462))</x:f>
        <x:v>0</x:v>
      </x:c>
      <x:c r="CE459" s="23" t="n">
        <x:f>MAX(0,MIN('Activities'!L459,474)-MAX('Activities'!K459,468))</x:f>
        <x:v>0</x:v>
      </x:c>
      <x:c r="CF459" s="23" t="n">
        <x:f>MAX(0,MIN('Activities'!L459,480)-MAX('Activities'!K459,474))</x:f>
        <x:v>0</x:v>
      </x:c>
      <x:c r="CG459" s="23" t="n">
        <x:f>MAX(0,MIN('Activities'!L459,486)-MAX('Activities'!K459,480))</x:f>
        <x:v>0</x:v>
      </x:c>
      <x:c r="CH459" s="23" t="n">
        <x:f>MAX(0,MIN('Activities'!L459,492)-MAX('Activities'!K459,486))</x:f>
        <x:v>0</x:v>
      </x:c>
      <x:c r="CI459" s="23" t="n">
        <x:f>MAX(0,MIN('Activities'!L459,498)-MAX('Activities'!K459,492))</x:f>
        <x:v>0</x:v>
      </x:c>
      <x:c r="CJ459" s="23" t="n">
        <x:f>MAX(0,MIN('Activities'!L459,504)-MAX('Activities'!K459,498))</x:f>
        <x:v>0</x:v>
      </x:c>
      <x:c r="CK459" s="23" t="n">
        <x:f>MAX(0,MIN('Activities'!L459,510)-MAX('Activities'!K459,504))</x:f>
        <x:v>0</x:v>
      </x:c>
      <x:c r="CL459" s="23" t="n">
        <x:f>MAX(0,MIN('Activities'!L459,516)-MAX('Activities'!K459,510))</x:f>
        <x:v>0</x:v>
      </x:c>
      <x:c r="CM459" s="23" t="n">
        <x:f>MAX(0,MIN('Activities'!L459,522)-MAX('Activities'!K459,516))</x:f>
        <x:v>0</x:v>
      </x:c>
      <x:c r="CN459" s="23" t="n">
        <x:f>MAX(0,MIN('Activities'!L459,528)-MAX('Activities'!K459,522))</x:f>
        <x:v>0</x:v>
      </x:c>
      <x:c r="CO459" s="23" t="n">
        <x:f>MAX(0,MIN('Activities'!L459,534)-MAX('Activities'!K459,528))</x:f>
        <x:v>0</x:v>
      </x:c>
      <x:c r="CP459" s="23" t="n">
        <x:f>MAX(0,MIN('Activities'!L459,540)-MAX('Activities'!K459,534))</x:f>
        <x:v>0</x:v>
      </x:c>
      <x:c r="CQ459" s="23" t="n">
        <x:f>MAX(0,MIN('Activities'!L459,546)-MAX('Activities'!K459,540))</x:f>
        <x:v>0</x:v>
      </x:c>
      <x:c r="CR459" s="23" t="n">
        <x:f>MAX(0,MIN('Activities'!L459,552)-MAX('Activities'!K459,546))</x:f>
        <x:v>0</x:v>
      </x:c>
      <x:c r="CS459" s="23" t="n">
        <x:f>MAX(0,MIN('Activities'!L459,558)-MAX('Activities'!K459,552))</x:f>
        <x:v>0</x:v>
      </x:c>
      <x:c r="CT459" s="23" t="n">
        <x:f>MAX(0,MIN('Activities'!L459,564)-MAX('Activities'!K459,558))</x:f>
        <x:v>0</x:v>
      </x:c>
      <x:c r="CU459" s="23" t="n">
        <x:f>MAX(0,MIN('Activities'!L459,570)-MAX('Activities'!K459,564))</x:f>
        <x:v>0</x:v>
      </x:c>
      <x:c r="CV459" s="23" t="n">
        <x:f>MAX(0,MIN('Activities'!L459,576)-MAX('Activities'!K459,570))</x:f>
        <x:v>0</x:v>
      </x:c>
      <x:c r="CW459" s="23" t="n">
        <x:f>MAX(0,MIN('Activities'!L459,582)-MAX('Activities'!K459,576))</x:f>
        <x:v>0</x:v>
      </x:c>
      <x:c r="CX459" s="23" t="n">
        <x:f>MAX(0,MIN('Activities'!L459,588)-MAX('Activities'!K459,582))</x:f>
        <x:v>0</x:v>
      </x:c>
      <x:c r="CY459" s="23" t="n">
        <x:f>MAX(0,MIN('Activities'!L459,594)-MAX('Activities'!K459,588))</x:f>
        <x:v>0</x:v>
      </x:c>
      <x:c r="CZ459" s="23" t="n">
        <x:f>MAX(0,MIN('Activities'!L459,600)-MAX('Activities'!K459,594))</x:f>
        <x:v>0</x:v>
      </x:c>
      <x:c r="DA459" s="23" t="n">
        <x:f>MAX(0,MIN('Activities'!L459,606)-MAX('Activities'!K459,600))</x:f>
        <x:v>0</x:v>
      </x:c>
      <x:c r="DB459" s="23" t="n">
        <x:f>MAX(0,MIN('Activities'!L459,612)-MAX('Activities'!K459,606))</x:f>
        <x:v>0</x:v>
      </x:c>
      <x:c r="DC459" s="23" t="n">
        <x:f>MAX(0,MIN('Activities'!L459,618)-MAX('Activities'!K459,612))</x:f>
        <x:v>0</x:v>
      </x:c>
      <x:c r="DD459" s="23" t="n">
        <x:f>MAX(0,MIN('Activities'!L459,624)-MAX('Activities'!K459,618))</x:f>
        <x:v>0</x:v>
      </x:c>
      <x:c r="DE459" s="23" t="n">
        <x:f>MAX(0,MIN('Activities'!L459,630)-MAX('Activities'!K459,624))</x:f>
        <x:v>0</x:v>
      </x:c>
      <x:c r="DF459" s="23" t="n">
        <x:f>MAX(0,MIN('Activities'!L459,636)-MAX('Activities'!K459,630))</x:f>
        <x:v>0</x:v>
      </x:c>
    </x:row>
    <x:row r="460" ht="23" customHeight="1">
      <x:c r="A460" s="6" t="str">
        <x:v>T4-L11-R</x:v>
      </x:c>
      <x:c r="B460" s="6" t="str">
        <x:v>T4</x:v>
      </x:c>
      <x:c r="C460" s="6" t="str">
        <x:v>Column, wall, beam and slab reinforcement</x:v>
      </x:c>
      <x:c r="D460" s="6" t="str">
        <x:v>Rebar</x:v>
      </x:c>
      <x:c r="E460" s="22" t="n">
        <x:f>MAX(0,MIN('Activities'!L460,6)-MAX('Activities'!K460,0))</x:f>
        <x:v>0</x:v>
      </x:c>
      <x:c r="F460" s="22" t="n">
        <x:f>MAX(0,MIN('Activities'!L460,12)-MAX('Activities'!K460,6))</x:f>
        <x:v>0</x:v>
      </x:c>
      <x:c r="G460" s="22" t="n">
        <x:f>MAX(0,MIN('Activities'!L460,18)-MAX('Activities'!K460,12))</x:f>
        <x:v>0</x:v>
      </x:c>
      <x:c r="H460" s="22" t="n">
        <x:f>MAX(0,MIN('Activities'!L460,24)-MAX('Activities'!K460,18))</x:f>
        <x:v>0</x:v>
      </x:c>
      <x:c r="I460" s="22" t="n">
        <x:f>MAX(0,MIN('Activities'!L460,30)-MAX('Activities'!K460,24))</x:f>
        <x:v>0</x:v>
      </x:c>
      <x:c r="J460" s="22" t="n">
        <x:f>MAX(0,MIN('Activities'!L460,36)-MAX('Activities'!K460,30))</x:f>
        <x:v>0</x:v>
      </x:c>
      <x:c r="K460" s="22" t="n">
        <x:f>MAX(0,MIN('Activities'!L460,42)-MAX('Activities'!K460,36))</x:f>
        <x:v>0</x:v>
      </x:c>
      <x:c r="L460" s="22" t="n">
        <x:f>MAX(0,MIN('Activities'!L460,48)-MAX('Activities'!K460,42))</x:f>
        <x:v>0</x:v>
      </x:c>
      <x:c r="M460" s="22" t="n">
        <x:f>MAX(0,MIN('Activities'!L460,54)-MAX('Activities'!K460,48))</x:f>
        <x:v>0</x:v>
      </x:c>
      <x:c r="N460" s="22" t="n">
        <x:f>MAX(0,MIN('Activities'!L460,60)-MAX('Activities'!K460,54))</x:f>
        <x:v>0</x:v>
      </x:c>
      <x:c r="O460" s="22" t="n">
        <x:f>MAX(0,MIN('Activities'!L460,66)-MAX('Activities'!K460,60))</x:f>
        <x:v>0</x:v>
      </x:c>
      <x:c r="P460" s="22" t="n">
        <x:f>MAX(0,MIN('Activities'!L460,72)-MAX('Activities'!K460,66))</x:f>
        <x:v>0</x:v>
      </x:c>
      <x:c r="Q460" s="22" t="n">
        <x:f>MAX(0,MIN('Activities'!L460,78)-MAX('Activities'!K460,72))</x:f>
        <x:v>0</x:v>
      </x:c>
      <x:c r="R460" s="22" t="n">
        <x:f>MAX(0,MIN('Activities'!L460,84)-MAX('Activities'!K460,78))</x:f>
        <x:v>0</x:v>
      </x:c>
      <x:c r="S460" s="22" t="n">
        <x:f>MAX(0,MIN('Activities'!L460,90)-MAX('Activities'!K460,84))</x:f>
        <x:v>0</x:v>
      </x:c>
      <x:c r="T460" s="22" t="n">
        <x:f>MAX(0,MIN('Activities'!L460,96)-MAX('Activities'!K460,90))</x:f>
        <x:v>0</x:v>
      </x:c>
      <x:c r="U460" s="22" t="n">
        <x:f>MAX(0,MIN('Activities'!L460,102)-MAX('Activities'!K460,96))</x:f>
        <x:v>0</x:v>
      </x:c>
      <x:c r="V460" s="22" t="n">
        <x:f>MAX(0,MIN('Activities'!L460,108)-MAX('Activities'!K460,102))</x:f>
        <x:v>0</x:v>
      </x:c>
      <x:c r="W460" s="22" t="n">
        <x:f>MAX(0,MIN('Activities'!L460,114)-MAX('Activities'!K460,108))</x:f>
        <x:v>0</x:v>
      </x:c>
      <x:c r="X460" s="22" t="n">
        <x:f>MAX(0,MIN('Activities'!L460,120)-MAX('Activities'!K460,114))</x:f>
        <x:v>0</x:v>
      </x:c>
      <x:c r="Y460" s="22" t="n">
        <x:f>MAX(0,MIN('Activities'!L460,126)-MAX('Activities'!K460,120))</x:f>
        <x:v>0</x:v>
      </x:c>
      <x:c r="Z460" s="22" t="n">
        <x:f>MAX(0,MIN('Activities'!L460,132)-MAX('Activities'!K460,126))</x:f>
        <x:v>0</x:v>
      </x:c>
      <x:c r="AA460" s="22" t="n">
        <x:f>MAX(0,MIN('Activities'!L460,138)-MAX('Activities'!K460,132))</x:f>
        <x:v>0</x:v>
      </x:c>
      <x:c r="AB460" s="22" t="n">
        <x:f>MAX(0,MIN('Activities'!L460,144)-MAX('Activities'!K460,138))</x:f>
        <x:v>0</x:v>
      </x:c>
      <x:c r="AC460" s="22" t="n">
        <x:f>MAX(0,MIN('Activities'!L460,150)-MAX('Activities'!K460,144))</x:f>
        <x:v>0</x:v>
      </x:c>
      <x:c r="AD460" s="22" t="n">
        <x:f>MAX(0,MIN('Activities'!L460,156)-MAX('Activities'!K460,150))</x:f>
        <x:v>0</x:v>
      </x:c>
      <x:c r="AE460" s="22" t="n">
        <x:f>MAX(0,MIN('Activities'!L460,162)-MAX('Activities'!K460,156))</x:f>
        <x:v>0</x:v>
      </x:c>
      <x:c r="AF460" s="22" t="n">
        <x:f>MAX(0,MIN('Activities'!L460,168)-MAX('Activities'!K460,162))</x:f>
        <x:v>0</x:v>
      </x:c>
      <x:c r="AG460" s="22" t="n">
        <x:f>MAX(0,MIN('Activities'!L460,174)-MAX('Activities'!K460,168))</x:f>
        <x:v>0</x:v>
      </x:c>
      <x:c r="AH460" s="22" t="n">
        <x:f>MAX(0,MIN('Activities'!L460,180)-MAX('Activities'!K460,174))</x:f>
        <x:v>0</x:v>
      </x:c>
      <x:c r="AI460" s="22" t="n">
        <x:f>MAX(0,MIN('Activities'!L460,186)-MAX('Activities'!K460,180))</x:f>
        <x:v>0</x:v>
      </x:c>
      <x:c r="AJ460" s="22" t="n">
        <x:f>MAX(0,MIN('Activities'!L460,192)-MAX('Activities'!K460,186))</x:f>
        <x:v>0</x:v>
      </x:c>
      <x:c r="AK460" s="22" t="n">
        <x:f>MAX(0,MIN('Activities'!L460,198)-MAX('Activities'!K460,192))</x:f>
        <x:v>0</x:v>
      </x:c>
      <x:c r="AL460" s="22" t="n">
        <x:f>MAX(0,MIN('Activities'!L460,204)-MAX('Activities'!K460,198))</x:f>
        <x:v>0</x:v>
      </x:c>
      <x:c r="AM460" s="22" t="n">
        <x:f>MAX(0,MIN('Activities'!L460,210)-MAX('Activities'!K460,204))</x:f>
        <x:v>0</x:v>
      </x:c>
      <x:c r="AN460" s="22" t="n">
        <x:f>MAX(0,MIN('Activities'!L460,216)-MAX('Activities'!K460,210))</x:f>
        <x:v>0</x:v>
      </x:c>
      <x:c r="AO460" s="22" t="n">
        <x:f>MAX(0,MIN('Activities'!L460,222)-MAX('Activities'!K460,216))</x:f>
        <x:v>0</x:v>
      </x:c>
      <x:c r="AP460" s="22" t="n">
        <x:f>MAX(0,MIN('Activities'!L460,228)-MAX('Activities'!K460,222))</x:f>
        <x:v>0</x:v>
      </x:c>
      <x:c r="AQ460" s="22" t="n">
        <x:f>MAX(0,MIN('Activities'!L460,234)-MAX('Activities'!K460,228))</x:f>
        <x:v>0</x:v>
      </x:c>
      <x:c r="AR460" s="22" t="n">
        <x:f>MAX(0,MIN('Activities'!L460,240)-MAX('Activities'!K460,234))</x:f>
        <x:v>0</x:v>
      </x:c>
      <x:c r="AS460" s="22" t="n">
        <x:f>MAX(0,MIN('Activities'!L460,246)-MAX('Activities'!K460,240))</x:f>
        <x:v>0</x:v>
      </x:c>
      <x:c r="AT460" s="22" t="n">
        <x:f>MAX(0,MIN('Activities'!L460,252)-MAX('Activities'!K460,246))</x:f>
        <x:v>0</x:v>
      </x:c>
      <x:c r="AU460" s="22" t="n">
        <x:f>MAX(0,MIN('Activities'!L460,258)-MAX('Activities'!K460,252))</x:f>
        <x:v>0</x:v>
      </x:c>
      <x:c r="AV460" s="22" t="n">
        <x:f>MAX(0,MIN('Activities'!L460,264)-MAX('Activities'!K460,258))</x:f>
        <x:v>0</x:v>
      </x:c>
      <x:c r="AW460" s="22" t="n">
        <x:f>MAX(0,MIN('Activities'!L460,270)-MAX('Activities'!K460,264))</x:f>
        <x:v>0</x:v>
      </x:c>
      <x:c r="AX460" s="22" t="n">
        <x:f>MAX(0,MIN('Activities'!L460,276)-MAX('Activities'!K460,270))</x:f>
        <x:v>0</x:v>
      </x:c>
      <x:c r="AY460" s="22" t="n">
        <x:f>MAX(0,MIN('Activities'!L460,282)-MAX('Activities'!K460,276))</x:f>
        <x:v>0</x:v>
      </x:c>
      <x:c r="AZ460" s="22" t="n">
        <x:f>MAX(0,MIN('Activities'!L460,288)-MAX('Activities'!K460,282))</x:f>
        <x:v>0</x:v>
      </x:c>
      <x:c r="BA460" s="22" t="n">
        <x:f>MAX(0,MIN('Activities'!L460,294)-MAX('Activities'!K460,288))</x:f>
        <x:v>0</x:v>
      </x:c>
      <x:c r="BB460" s="22" t="n">
        <x:f>MAX(0,MIN('Activities'!L460,300)-MAX('Activities'!K460,294))</x:f>
        <x:v>0</x:v>
      </x:c>
      <x:c r="BC460" s="22" t="n">
        <x:f>MAX(0,MIN('Activities'!L460,306)-MAX('Activities'!K460,300))</x:f>
        <x:v>0</x:v>
      </x:c>
      <x:c r="BD460" s="22" t="n">
        <x:f>MAX(0,MIN('Activities'!L460,312)-MAX('Activities'!K460,306))</x:f>
        <x:v>0</x:v>
      </x:c>
      <x:c r="BE460" s="22" t="n">
        <x:f>MAX(0,MIN('Activities'!L460,318)-MAX('Activities'!K460,312))</x:f>
        <x:v>0</x:v>
      </x:c>
      <x:c r="BF460" s="22" t="n">
        <x:f>MAX(0,MIN('Activities'!L460,324)-MAX('Activities'!K460,318))</x:f>
        <x:v>0</x:v>
      </x:c>
      <x:c r="BG460" s="22" t="n">
        <x:f>MAX(0,MIN('Activities'!L460,330)-MAX('Activities'!K460,324))</x:f>
        <x:v>0</x:v>
      </x:c>
      <x:c r="BH460" s="22" t="n">
        <x:f>MAX(0,MIN('Activities'!L460,336)-MAX('Activities'!K460,330))</x:f>
        <x:v>0</x:v>
      </x:c>
      <x:c r="BI460" s="22" t="n">
        <x:f>MAX(0,MIN('Activities'!L460,342)-MAX('Activities'!K460,336))</x:f>
        <x:v>0</x:v>
      </x:c>
      <x:c r="BJ460" s="22" t="n">
        <x:f>MAX(0,MIN('Activities'!L460,348)-MAX('Activities'!K460,342))</x:f>
        <x:v>0</x:v>
      </x:c>
      <x:c r="BK460" s="22" t="n">
        <x:f>MAX(0,MIN('Activities'!L460,354)-MAX('Activities'!K460,348))</x:f>
        <x:v>0</x:v>
      </x:c>
      <x:c r="BL460" s="22" t="n">
        <x:f>MAX(0,MIN('Activities'!L460,360)-MAX('Activities'!K460,354))</x:f>
        <x:v>0</x:v>
      </x:c>
      <x:c r="BM460" s="22" t="n">
        <x:f>MAX(0,MIN('Activities'!L460,366)-MAX('Activities'!K460,360))</x:f>
        <x:v>0</x:v>
      </x:c>
      <x:c r="BN460" s="22" t="n">
        <x:f>MAX(0,MIN('Activities'!L460,372)-MAX('Activities'!K460,366))</x:f>
        <x:v>0</x:v>
      </x:c>
      <x:c r="BO460" s="22" t="n">
        <x:f>MAX(0,MIN('Activities'!L460,378)-MAX('Activities'!K460,372))</x:f>
        <x:v>4</x:v>
      </x:c>
      <x:c r="BP460" s="22" t="n">
        <x:f>MAX(0,MIN('Activities'!L460,384)-MAX('Activities'!K460,378))</x:f>
        <x:v>1</x:v>
      </x:c>
      <x:c r="BQ460" s="22" t="n">
        <x:f>MAX(0,MIN('Activities'!L460,390)-MAX('Activities'!K460,384))</x:f>
        <x:v>0</x:v>
      </x:c>
      <x:c r="BR460" s="22" t="n">
        <x:f>MAX(0,MIN('Activities'!L460,396)-MAX('Activities'!K460,390))</x:f>
        <x:v>0</x:v>
      </x:c>
      <x:c r="BS460" s="22" t="n">
        <x:f>MAX(0,MIN('Activities'!L460,402)-MAX('Activities'!K460,396))</x:f>
        <x:v>0</x:v>
      </x:c>
      <x:c r="BT460" s="22" t="n">
        <x:f>MAX(0,MIN('Activities'!L460,408)-MAX('Activities'!K460,402))</x:f>
        <x:v>0</x:v>
      </x:c>
      <x:c r="BU460" s="22" t="n">
        <x:f>MAX(0,MIN('Activities'!L460,414)-MAX('Activities'!K460,408))</x:f>
        <x:v>0</x:v>
      </x:c>
      <x:c r="BV460" s="22" t="n">
        <x:f>MAX(0,MIN('Activities'!L460,420)-MAX('Activities'!K460,414))</x:f>
        <x:v>0</x:v>
      </x:c>
      <x:c r="BW460" s="22" t="n">
        <x:f>MAX(0,MIN('Activities'!L460,426)-MAX('Activities'!K460,420))</x:f>
        <x:v>0</x:v>
      </x:c>
      <x:c r="BX460" s="22" t="n">
        <x:f>MAX(0,MIN('Activities'!L460,432)-MAX('Activities'!K460,426))</x:f>
        <x:v>0</x:v>
      </x:c>
      <x:c r="BY460" s="22" t="n">
        <x:f>MAX(0,MIN('Activities'!L460,438)-MAX('Activities'!K460,432))</x:f>
        <x:v>0</x:v>
      </x:c>
      <x:c r="BZ460" s="22" t="n">
        <x:f>MAX(0,MIN('Activities'!L460,444)-MAX('Activities'!K460,438))</x:f>
        <x:v>0</x:v>
      </x:c>
      <x:c r="CA460" s="22" t="n">
        <x:f>MAX(0,MIN('Activities'!L460,450)-MAX('Activities'!K460,444))</x:f>
        <x:v>0</x:v>
      </x:c>
      <x:c r="CB460" s="22" t="n">
        <x:f>MAX(0,MIN('Activities'!L460,456)-MAX('Activities'!K460,450))</x:f>
        <x:v>0</x:v>
      </x:c>
      <x:c r="CC460" s="22" t="n">
        <x:f>MAX(0,MIN('Activities'!L460,462)-MAX('Activities'!K460,456))</x:f>
        <x:v>0</x:v>
      </x:c>
      <x:c r="CD460" s="22" t="n">
        <x:f>MAX(0,MIN('Activities'!L460,468)-MAX('Activities'!K460,462))</x:f>
        <x:v>0</x:v>
      </x:c>
      <x:c r="CE460" s="22" t="n">
        <x:f>MAX(0,MIN('Activities'!L460,474)-MAX('Activities'!K460,468))</x:f>
        <x:v>0</x:v>
      </x:c>
      <x:c r="CF460" s="22" t="n">
        <x:f>MAX(0,MIN('Activities'!L460,480)-MAX('Activities'!K460,474))</x:f>
        <x:v>0</x:v>
      </x:c>
      <x:c r="CG460" s="22" t="n">
        <x:f>MAX(0,MIN('Activities'!L460,486)-MAX('Activities'!K460,480))</x:f>
        <x:v>0</x:v>
      </x:c>
      <x:c r="CH460" s="22" t="n">
        <x:f>MAX(0,MIN('Activities'!L460,492)-MAX('Activities'!K460,486))</x:f>
        <x:v>0</x:v>
      </x:c>
      <x:c r="CI460" s="22" t="n">
        <x:f>MAX(0,MIN('Activities'!L460,498)-MAX('Activities'!K460,492))</x:f>
        <x:v>0</x:v>
      </x:c>
      <x:c r="CJ460" s="22" t="n">
        <x:f>MAX(0,MIN('Activities'!L460,504)-MAX('Activities'!K460,498))</x:f>
        <x:v>0</x:v>
      </x:c>
      <x:c r="CK460" s="22" t="n">
        <x:f>MAX(0,MIN('Activities'!L460,510)-MAX('Activities'!K460,504))</x:f>
        <x:v>0</x:v>
      </x:c>
      <x:c r="CL460" s="22" t="n">
        <x:f>MAX(0,MIN('Activities'!L460,516)-MAX('Activities'!K460,510))</x:f>
        <x:v>0</x:v>
      </x:c>
      <x:c r="CM460" s="22" t="n">
        <x:f>MAX(0,MIN('Activities'!L460,522)-MAX('Activities'!K460,516))</x:f>
        <x:v>0</x:v>
      </x:c>
      <x:c r="CN460" s="22" t="n">
        <x:f>MAX(0,MIN('Activities'!L460,528)-MAX('Activities'!K460,522))</x:f>
        <x:v>0</x:v>
      </x:c>
      <x:c r="CO460" s="22" t="n">
        <x:f>MAX(0,MIN('Activities'!L460,534)-MAX('Activities'!K460,528))</x:f>
        <x:v>0</x:v>
      </x:c>
      <x:c r="CP460" s="22" t="n">
        <x:f>MAX(0,MIN('Activities'!L460,540)-MAX('Activities'!K460,534))</x:f>
        <x:v>0</x:v>
      </x:c>
      <x:c r="CQ460" s="22" t="n">
        <x:f>MAX(0,MIN('Activities'!L460,546)-MAX('Activities'!K460,540))</x:f>
        <x:v>0</x:v>
      </x:c>
      <x:c r="CR460" s="22" t="n">
        <x:f>MAX(0,MIN('Activities'!L460,552)-MAX('Activities'!K460,546))</x:f>
        <x:v>0</x:v>
      </x:c>
      <x:c r="CS460" s="22" t="n">
        <x:f>MAX(0,MIN('Activities'!L460,558)-MAX('Activities'!K460,552))</x:f>
        <x:v>0</x:v>
      </x:c>
      <x:c r="CT460" s="22" t="n">
        <x:f>MAX(0,MIN('Activities'!L460,564)-MAX('Activities'!K460,558))</x:f>
        <x:v>0</x:v>
      </x:c>
      <x:c r="CU460" s="22" t="n">
        <x:f>MAX(0,MIN('Activities'!L460,570)-MAX('Activities'!K460,564))</x:f>
        <x:v>0</x:v>
      </x:c>
      <x:c r="CV460" s="22" t="n">
        <x:f>MAX(0,MIN('Activities'!L460,576)-MAX('Activities'!K460,570))</x:f>
        <x:v>0</x:v>
      </x:c>
      <x:c r="CW460" s="22" t="n">
        <x:f>MAX(0,MIN('Activities'!L460,582)-MAX('Activities'!K460,576))</x:f>
        <x:v>0</x:v>
      </x:c>
      <x:c r="CX460" s="22" t="n">
        <x:f>MAX(0,MIN('Activities'!L460,588)-MAX('Activities'!K460,582))</x:f>
        <x:v>0</x:v>
      </x:c>
      <x:c r="CY460" s="22" t="n">
        <x:f>MAX(0,MIN('Activities'!L460,594)-MAX('Activities'!K460,588))</x:f>
        <x:v>0</x:v>
      </x:c>
      <x:c r="CZ460" s="22" t="n">
        <x:f>MAX(0,MIN('Activities'!L460,600)-MAX('Activities'!K460,594))</x:f>
        <x:v>0</x:v>
      </x:c>
      <x:c r="DA460" s="22" t="n">
        <x:f>MAX(0,MIN('Activities'!L460,606)-MAX('Activities'!K460,600))</x:f>
        <x:v>0</x:v>
      </x:c>
      <x:c r="DB460" s="22" t="n">
        <x:f>MAX(0,MIN('Activities'!L460,612)-MAX('Activities'!K460,606))</x:f>
        <x:v>0</x:v>
      </x:c>
      <x:c r="DC460" s="22" t="n">
        <x:f>MAX(0,MIN('Activities'!L460,618)-MAX('Activities'!K460,612))</x:f>
        <x:v>0</x:v>
      </x:c>
      <x:c r="DD460" s="22" t="n">
        <x:f>MAX(0,MIN('Activities'!L460,624)-MAX('Activities'!K460,618))</x:f>
        <x:v>0</x:v>
      </x:c>
      <x:c r="DE460" s="22" t="n">
        <x:f>MAX(0,MIN('Activities'!L460,630)-MAX('Activities'!K460,624))</x:f>
        <x:v>0</x:v>
      </x:c>
      <x:c r="DF460" s="22" t="n">
        <x:f>MAX(0,MIN('Activities'!L460,636)-MAX('Activities'!K460,630))</x:f>
        <x:v>0</x:v>
      </x:c>
    </x:row>
    <x:row r="461" ht="23" customHeight="1">
      <x:c r="A461" s="1" t="str">
        <x:v>T4-L11-C</x:v>
      </x:c>
      <x:c r="B461" s="1" t="str">
        <x:v>T4</x:v>
      </x:c>
      <x:c r="C461" s="1" t="str">
        <x:v>Concrete placement and finishing</x:v>
      </x:c>
      <x:c r="D461" s="1" t="str">
        <x:v>Concrete</x:v>
      </x:c>
      <x:c r="E461" s="23" t="n">
        <x:f>MAX(0,MIN('Activities'!L461,6)-MAX('Activities'!K461,0))</x:f>
        <x:v>0</x:v>
      </x:c>
      <x:c r="F461" s="23" t="n">
        <x:f>MAX(0,MIN('Activities'!L461,12)-MAX('Activities'!K461,6))</x:f>
        <x:v>0</x:v>
      </x:c>
      <x:c r="G461" s="23" t="n">
        <x:f>MAX(0,MIN('Activities'!L461,18)-MAX('Activities'!K461,12))</x:f>
        <x:v>0</x:v>
      </x:c>
      <x:c r="H461" s="23" t="n">
        <x:f>MAX(0,MIN('Activities'!L461,24)-MAX('Activities'!K461,18))</x:f>
        <x:v>0</x:v>
      </x:c>
      <x:c r="I461" s="23" t="n">
        <x:f>MAX(0,MIN('Activities'!L461,30)-MAX('Activities'!K461,24))</x:f>
        <x:v>0</x:v>
      </x:c>
      <x:c r="J461" s="23" t="n">
        <x:f>MAX(0,MIN('Activities'!L461,36)-MAX('Activities'!K461,30))</x:f>
        <x:v>0</x:v>
      </x:c>
      <x:c r="K461" s="23" t="n">
        <x:f>MAX(0,MIN('Activities'!L461,42)-MAX('Activities'!K461,36))</x:f>
        <x:v>0</x:v>
      </x:c>
      <x:c r="L461" s="23" t="n">
        <x:f>MAX(0,MIN('Activities'!L461,48)-MAX('Activities'!K461,42))</x:f>
        <x:v>0</x:v>
      </x:c>
      <x:c r="M461" s="23" t="n">
        <x:f>MAX(0,MIN('Activities'!L461,54)-MAX('Activities'!K461,48))</x:f>
        <x:v>0</x:v>
      </x:c>
      <x:c r="N461" s="23" t="n">
        <x:f>MAX(0,MIN('Activities'!L461,60)-MAX('Activities'!K461,54))</x:f>
        <x:v>0</x:v>
      </x:c>
      <x:c r="O461" s="23" t="n">
        <x:f>MAX(0,MIN('Activities'!L461,66)-MAX('Activities'!K461,60))</x:f>
        <x:v>0</x:v>
      </x:c>
      <x:c r="P461" s="23" t="n">
        <x:f>MAX(0,MIN('Activities'!L461,72)-MAX('Activities'!K461,66))</x:f>
        <x:v>0</x:v>
      </x:c>
      <x:c r="Q461" s="23" t="n">
        <x:f>MAX(0,MIN('Activities'!L461,78)-MAX('Activities'!K461,72))</x:f>
        <x:v>0</x:v>
      </x:c>
      <x:c r="R461" s="23" t="n">
        <x:f>MAX(0,MIN('Activities'!L461,84)-MAX('Activities'!K461,78))</x:f>
        <x:v>0</x:v>
      </x:c>
      <x:c r="S461" s="23" t="n">
        <x:f>MAX(0,MIN('Activities'!L461,90)-MAX('Activities'!K461,84))</x:f>
        <x:v>0</x:v>
      </x:c>
      <x:c r="T461" s="23" t="n">
        <x:f>MAX(0,MIN('Activities'!L461,96)-MAX('Activities'!K461,90))</x:f>
        <x:v>0</x:v>
      </x:c>
      <x:c r="U461" s="23" t="n">
        <x:f>MAX(0,MIN('Activities'!L461,102)-MAX('Activities'!K461,96))</x:f>
        <x:v>0</x:v>
      </x:c>
      <x:c r="V461" s="23" t="n">
        <x:f>MAX(0,MIN('Activities'!L461,108)-MAX('Activities'!K461,102))</x:f>
        <x:v>0</x:v>
      </x:c>
      <x:c r="W461" s="23" t="n">
        <x:f>MAX(0,MIN('Activities'!L461,114)-MAX('Activities'!K461,108))</x:f>
        <x:v>0</x:v>
      </x:c>
      <x:c r="X461" s="23" t="n">
        <x:f>MAX(0,MIN('Activities'!L461,120)-MAX('Activities'!K461,114))</x:f>
        <x:v>0</x:v>
      </x:c>
      <x:c r="Y461" s="23" t="n">
        <x:f>MAX(0,MIN('Activities'!L461,126)-MAX('Activities'!K461,120))</x:f>
        <x:v>0</x:v>
      </x:c>
      <x:c r="Z461" s="23" t="n">
        <x:f>MAX(0,MIN('Activities'!L461,132)-MAX('Activities'!K461,126))</x:f>
        <x:v>0</x:v>
      </x:c>
      <x:c r="AA461" s="23" t="n">
        <x:f>MAX(0,MIN('Activities'!L461,138)-MAX('Activities'!K461,132))</x:f>
        <x:v>0</x:v>
      </x:c>
      <x:c r="AB461" s="23" t="n">
        <x:f>MAX(0,MIN('Activities'!L461,144)-MAX('Activities'!K461,138))</x:f>
        <x:v>0</x:v>
      </x:c>
      <x:c r="AC461" s="23" t="n">
        <x:f>MAX(0,MIN('Activities'!L461,150)-MAX('Activities'!K461,144))</x:f>
        <x:v>0</x:v>
      </x:c>
      <x:c r="AD461" s="23" t="n">
        <x:f>MAX(0,MIN('Activities'!L461,156)-MAX('Activities'!K461,150))</x:f>
        <x:v>0</x:v>
      </x:c>
      <x:c r="AE461" s="23" t="n">
        <x:f>MAX(0,MIN('Activities'!L461,162)-MAX('Activities'!K461,156))</x:f>
        <x:v>0</x:v>
      </x:c>
      <x:c r="AF461" s="23" t="n">
        <x:f>MAX(0,MIN('Activities'!L461,168)-MAX('Activities'!K461,162))</x:f>
        <x:v>0</x:v>
      </x:c>
      <x:c r="AG461" s="23" t="n">
        <x:f>MAX(0,MIN('Activities'!L461,174)-MAX('Activities'!K461,168))</x:f>
        <x:v>0</x:v>
      </x:c>
      <x:c r="AH461" s="23" t="n">
        <x:f>MAX(0,MIN('Activities'!L461,180)-MAX('Activities'!K461,174))</x:f>
        <x:v>0</x:v>
      </x:c>
      <x:c r="AI461" s="23" t="n">
        <x:f>MAX(0,MIN('Activities'!L461,186)-MAX('Activities'!K461,180))</x:f>
        <x:v>0</x:v>
      </x:c>
      <x:c r="AJ461" s="23" t="n">
        <x:f>MAX(0,MIN('Activities'!L461,192)-MAX('Activities'!K461,186))</x:f>
        <x:v>0</x:v>
      </x:c>
      <x:c r="AK461" s="23" t="n">
        <x:f>MAX(0,MIN('Activities'!L461,198)-MAX('Activities'!K461,192))</x:f>
        <x:v>0</x:v>
      </x:c>
      <x:c r="AL461" s="23" t="n">
        <x:f>MAX(0,MIN('Activities'!L461,204)-MAX('Activities'!K461,198))</x:f>
        <x:v>0</x:v>
      </x:c>
      <x:c r="AM461" s="23" t="n">
        <x:f>MAX(0,MIN('Activities'!L461,210)-MAX('Activities'!K461,204))</x:f>
        <x:v>0</x:v>
      </x:c>
      <x:c r="AN461" s="23" t="n">
        <x:f>MAX(0,MIN('Activities'!L461,216)-MAX('Activities'!K461,210))</x:f>
        <x:v>0</x:v>
      </x:c>
      <x:c r="AO461" s="23" t="n">
        <x:f>MAX(0,MIN('Activities'!L461,222)-MAX('Activities'!K461,216))</x:f>
        <x:v>0</x:v>
      </x:c>
      <x:c r="AP461" s="23" t="n">
        <x:f>MAX(0,MIN('Activities'!L461,228)-MAX('Activities'!K461,222))</x:f>
        <x:v>0</x:v>
      </x:c>
      <x:c r="AQ461" s="23" t="n">
        <x:f>MAX(0,MIN('Activities'!L461,234)-MAX('Activities'!K461,228))</x:f>
        <x:v>0</x:v>
      </x:c>
      <x:c r="AR461" s="23" t="n">
        <x:f>MAX(0,MIN('Activities'!L461,240)-MAX('Activities'!K461,234))</x:f>
        <x:v>0</x:v>
      </x:c>
      <x:c r="AS461" s="23" t="n">
        <x:f>MAX(0,MIN('Activities'!L461,246)-MAX('Activities'!K461,240))</x:f>
        <x:v>0</x:v>
      </x:c>
      <x:c r="AT461" s="23" t="n">
        <x:f>MAX(0,MIN('Activities'!L461,252)-MAX('Activities'!K461,246))</x:f>
        <x:v>0</x:v>
      </x:c>
      <x:c r="AU461" s="23" t="n">
        <x:f>MAX(0,MIN('Activities'!L461,258)-MAX('Activities'!K461,252))</x:f>
        <x:v>0</x:v>
      </x:c>
      <x:c r="AV461" s="23" t="n">
        <x:f>MAX(0,MIN('Activities'!L461,264)-MAX('Activities'!K461,258))</x:f>
        <x:v>0</x:v>
      </x:c>
      <x:c r="AW461" s="23" t="n">
        <x:f>MAX(0,MIN('Activities'!L461,270)-MAX('Activities'!K461,264))</x:f>
        <x:v>0</x:v>
      </x:c>
      <x:c r="AX461" s="23" t="n">
        <x:f>MAX(0,MIN('Activities'!L461,276)-MAX('Activities'!K461,270))</x:f>
        <x:v>0</x:v>
      </x:c>
      <x:c r="AY461" s="23" t="n">
        <x:f>MAX(0,MIN('Activities'!L461,282)-MAX('Activities'!K461,276))</x:f>
        <x:v>0</x:v>
      </x:c>
      <x:c r="AZ461" s="23" t="n">
        <x:f>MAX(0,MIN('Activities'!L461,288)-MAX('Activities'!K461,282))</x:f>
        <x:v>0</x:v>
      </x:c>
      <x:c r="BA461" s="23" t="n">
        <x:f>MAX(0,MIN('Activities'!L461,294)-MAX('Activities'!K461,288))</x:f>
        <x:v>0</x:v>
      </x:c>
      <x:c r="BB461" s="23" t="n">
        <x:f>MAX(0,MIN('Activities'!L461,300)-MAX('Activities'!K461,294))</x:f>
        <x:v>0</x:v>
      </x:c>
      <x:c r="BC461" s="23" t="n">
        <x:f>MAX(0,MIN('Activities'!L461,306)-MAX('Activities'!K461,300))</x:f>
        <x:v>0</x:v>
      </x:c>
      <x:c r="BD461" s="23" t="n">
        <x:f>MAX(0,MIN('Activities'!L461,312)-MAX('Activities'!K461,306))</x:f>
        <x:v>0</x:v>
      </x:c>
      <x:c r="BE461" s="23" t="n">
        <x:f>MAX(0,MIN('Activities'!L461,318)-MAX('Activities'!K461,312))</x:f>
        <x:v>0</x:v>
      </x:c>
      <x:c r="BF461" s="23" t="n">
        <x:f>MAX(0,MIN('Activities'!L461,324)-MAX('Activities'!K461,318))</x:f>
        <x:v>0</x:v>
      </x:c>
      <x:c r="BG461" s="23" t="n">
        <x:f>MAX(0,MIN('Activities'!L461,330)-MAX('Activities'!K461,324))</x:f>
        <x:v>0</x:v>
      </x:c>
      <x:c r="BH461" s="23" t="n">
        <x:f>MAX(0,MIN('Activities'!L461,336)-MAX('Activities'!K461,330))</x:f>
        <x:v>0</x:v>
      </x:c>
      <x:c r="BI461" s="23" t="n">
        <x:f>MAX(0,MIN('Activities'!L461,342)-MAX('Activities'!K461,336))</x:f>
        <x:v>0</x:v>
      </x:c>
      <x:c r="BJ461" s="23" t="n">
        <x:f>MAX(0,MIN('Activities'!L461,348)-MAX('Activities'!K461,342))</x:f>
        <x:v>0</x:v>
      </x:c>
      <x:c r="BK461" s="23" t="n">
        <x:f>MAX(0,MIN('Activities'!L461,354)-MAX('Activities'!K461,348))</x:f>
        <x:v>0</x:v>
      </x:c>
      <x:c r="BL461" s="23" t="n">
        <x:f>MAX(0,MIN('Activities'!L461,360)-MAX('Activities'!K461,354))</x:f>
        <x:v>0</x:v>
      </x:c>
      <x:c r="BM461" s="23" t="n">
        <x:f>MAX(0,MIN('Activities'!L461,366)-MAX('Activities'!K461,360))</x:f>
        <x:v>0</x:v>
      </x:c>
      <x:c r="BN461" s="23" t="n">
        <x:f>MAX(0,MIN('Activities'!L461,372)-MAX('Activities'!K461,366))</x:f>
        <x:v>0</x:v>
      </x:c>
      <x:c r="BO461" s="23" t="n">
        <x:f>MAX(0,MIN('Activities'!L461,378)-MAX('Activities'!K461,372))</x:f>
        <x:v>0</x:v>
      </x:c>
      <x:c r="BP461" s="23" t="n">
        <x:f>MAX(0,MIN('Activities'!L461,384)-MAX('Activities'!K461,378))</x:f>
        <x:v>2</x:v>
      </x:c>
      <x:c r="BQ461" s="23" t="n">
        <x:f>MAX(0,MIN('Activities'!L461,390)-MAX('Activities'!K461,384))</x:f>
        <x:v>0</x:v>
      </x:c>
      <x:c r="BR461" s="23" t="n">
        <x:f>MAX(0,MIN('Activities'!L461,396)-MAX('Activities'!K461,390))</x:f>
        <x:v>0</x:v>
      </x:c>
      <x:c r="BS461" s="23" t="n">
        <x:f>MAX(0,MIN('Activities'!L461,402)-MAX('Activities'!K461,396))</x:f>
        <x:v>0</x:v>
      </x:c>
      <x:c r="BT461" s="23" t="n">
        <x:f>MAX(0,MIN('Activities'!L461,408)-MAX('Activities'!K461,402))</x:f>
        <x:v>0</x:v>
      </x:c>
      <x:c r="BU461" s="23" t="n">
        <x:f>MAX(0,MIN('Activities'!L461,414)-MAX('Activities'!K461,408))</x:f>
        <x:v>0</x:v>
      </x:c>
      <x:c r="BV461" s="23" t="n">
        <x:f>MAX(0,MIN('Activities'!L461,420)-MAX('Activities'!K461,414))</x:f>
        <x:v>0</x:v>
      </x:c>
      <x:c r="BW461" s="23" t="n">
        <x:f>MAX(0,MIN('Activities'!L461,426)-MAX('Activities'!K461,420))</x:f>
        <x:v>0</x:v>
      </x:c>
      <x:c r="BX461" s="23" t="n">
        <x:f>MAX(0,MIN('Activities'!L461,432)-MAX('Activities'!K461,426))</x:f>
        <x:v>0</x:v>
      </x:c>
      <x:c r="BY461" s="23" t="n">
        <x:f>MAX(0,MIN('Activities'!L461,438)-MAX('Activities'!K461,432))</x:f>
        <x:v>0</x:v>
      </x:c>
      <x:c r="BZ461" s="23" t="n">
        <x:f>MAX(0,MIN('Activities'!L461,444)-MAX('Activities'!K461,438))</x:f>
        <x:v>0</x:v>
      </x:c>
      <x:c r="CA461" s="23" t="n">
        <x:f>MAX(0,MIN('Activities'!L461,450)-MAX('Activities'!K461,444))</x:f>
        <x:v>0</x:v>
      </x:c>
      <x:c r="CB461" s="23" t="n">
        <x:f>MAX(0,MIN('Activities'!L461,456)-MAX('Activities'!K461,450))</x:f>
        <x:v>0</x:v>
      </x:c>
      <x:c r="CC461" s="23" t="n">
        <x:f>MAX(0,MIN('Activities'!L461,462)-MAX('Activities'!K461,456))</x:f>
        <x:v>0</x:v>
      </x:c>
      <x:c r="CD461" s="23" t="n">
        <x:f>MAX(0,MIN('Activities'!L461,468)-MAX('Activities'!K461,462))</x:f>
        <x:v>0</x:v>
      </x:c>
      <x:c r="CE461" s="23" t="n">
        <x:f>MAX(0,MIN('Activities'!L461,474)-MAX('Activities'!K461,468))</x:f>
        <x:v>0</x:v>
      </x:c>
      <x:c r="CF461" s="23" t="n">
        <x:f>MAX(0,MIN('Activities'!L461,480)-MAX('Activities'!K461,474))</x:f>
        <x:v>0</x:v>
      </x:c>
      <x:c r="CG461" s="23" t="n">
        <x:f>MAX(0,MIN('Activities'!L461,486)-MAX('Activities'!K461,480))</x:f>
        <x:v>0</x:v>
      </x:c>
      <x:c r="CH461" s="23" t="n">
        <x:f>MAX(0,MIN('Activities'!L461,492)-MAX('Activities'!K461,486))</x:f>
        <x:v>0</x:v>
      </x:c>
      <x:c r="CI461" s="23" t="n">
        <x:f>MAX(0,MIN('Activities'!L461,498)-MAX('Activities'!K461,492))</x:f>
        <x:v>0</x:v>
      </x:c>
      <x:c r="CJ461" s="23" t="n">
        <x:f>MAX(0,MIN('Activities'!L461,504)-MAX('Activities'!K461,498))</x:f>
        <x:v>0</x:v>
      </x:c>
      <x:c r="CK461" s="23" t="n">
        <x:f>MAX(0,MIN('Activities'!L461,510)-MAX('Activities'!K461,504))</x:f>
        <x:v>0</x:v>
      </x:c>
      <x:c r="CL461" s="23" t="n">
        <x:f>MAX(0,MIN('Activities'!L461,516)-MAX('Activities'!K461,510))</x:f>
        <x:v>0</x:v>
      </x:c>
      <x:c r="CM461" s="23" t="n">
        <x:f>MAX(0,MIN('Activities'!L461,522)-MAX('Activities'!K461,516))</x:f>
        <x:v>0</x:v>
      </x:c>
      <x:c r="CN461" s="23" t="n">
        <x:f>MAX(0,MIN('Activities'!L461,528)-MAX('Activities'!K461,522))</x:f>
        <x:v>0</x:v>
      </x:c>
      <x:c r="CO461" s="23" t="n">
        <x:f>MAX(0,MIN('Activities'!L461,534)-MAX('Activities'!K461,528))</x:f>
        <x:v>0</x:v>
      </x:c>
      <x:c r="CP461" s="23" t="n">
        <x:f>MAX(0,MIN('Activities'!L461,540)-MAX('Activities'!K461,534))</x:f>
        <x:v>0</x:v>
      </x:c>
      <x:c r="CQ461" s="23" t="n">
        <x:f>MAX(0,MIN('Activities'!L461,546)-MAX('Activities'!K461,540))</x:f>
        <x:v>0</x:v>
      </x:c>
      <x:c r="CR461" s="23" t="n">
        <x:f>MAX(0,MIN('Activities'!L461,552)-MAX('Activities'!K461,546))</x:f>
        <x:v>0</x:v>
      </x:c>
      <x:c r="CS461" s="23" t="n">
        <x:f>MAX(0,MIN('Activities'!L461,558)-MAX('Activities'!K461,552))</x:f>
        <x:v>0</x:v>
      </x:c>
      <x:c r="CT461" s="23" t="n">
        <x:f>MAX(0,MIN('Activities'!L461,564)-MAX('Activities'!K461,558))</x:f>
        <x:v>0</x:v>
      </x:c>
      <x:c r="CU461" s="23" t="n">
        <x:f>MAX(0,MIN('Activities'!L461,570)-MAX('Activities'!K461,564))</x:f>
        <x:v>0</x:v>
      </x:c>
      <x:c r="CV461" s="23" t="n">
        <x:f>MAX(0,MIN('Activities'!L461,576)-MAX('Activities'!K461,570))</x:f>
        <x:v>0</x:v>
      </x:c>
      <x:c r="CW461" s="23" t="n">
        <x:f>MAX(0,MIN('Activities'!L461,582)-MAX('Activities'!K461,576))</x:f>
        <x:v>0</x:v>
      </x:c>
      <x:c r="CX461" s="23" t="n">
        <x:f>MAX(0,MIN('Activities'!L461,588)-MAX('Activities'!K461,582))</x:f>
        <x:v>0</x:v>
      </x:c>
      <x:c r="CY461" s="23" t="n">
        <x:f>MAX(0,MIN('Activities'!L461,594)-MAX('Activities'!K461,588))</x:f>
        <x:v>0</x:v>
      </x:c>
      <x:c r="CZ461" s="23" t="n">
        <x:f>MAX(0,MIN('Activities'!L461,600)-MAX('Activities'!K461,594))</x:f>
        <x:v>0</x:v>
      </x:c>
      <x:c r="DA461" s="23" t="n">
        <x:f>MAX(0,MIN('Activities'!L461,606)-MAX('Activities'!K461,600))</x:f>
        <x:v>0</x:v>
      </x:c>
      <x:c r="DB461" s="23" t="n">
        <x:f>MAX(0,MIN('Activities'!L461,612)-MAX('Activities'!K461,606))</x:f>
        <x:v>0</x:v>
      </x:c>
      <x:c r="DC461" s="23" t="n">
        <x:f>MAX(0,MIN('Activities'!L461,618)-MAX('Activities'!K461,612))</x:f>
        <x:v>0</x:v>
      </x:c>
      <x:c r="DD461" s="23" t="n">
        <x:f>MAX(0,MIN('Activities'!L461,624)-MAX('Activities'!K461,618))</x:f>
        <x:v>0</x:v>
      </x:c>
      <x:c r="DE461" s="23" t="n">
        <x:f>MAX(0,MIN('Activities'!L461,630)-MAX('Activities'!K461,624))</x:f>
        <x:v>0</x:v>
      </x:c>
      <x:c r="DF461" s="23" t="n">
        <x:f>MAX(0,MIN('Activities'!L461,636)-MAX('Activities'!K461,630))</x:f>
        <x:v>0</x:v>
      </x:c>
    </x:row>
    <x:row r="462" ht="23" customHeight="1">
      <x:c r="A462" s="6" t="str">
        <x:v>T4-L11-H</x:v>
      </x:c>
      <x:c r="B462" s="6" t="str">
        <x:v>T4</x:v>
      </x:c>
      <x:c r="C462" s="6" t="str">
        <x:v>Curing and release hold point</x:v>
      </x:c>
      <x:c r="D462" s="6" t="str">
        <x:v>Site</x:v>
      </x:c>
      <x:c r="E462" s="22" t="n">
        <x:f>MAX(0,MIN('Activities'!L462,6)-MAX('Activities'!K462,0))</x:f>
        <x:v>0</x:v>
      </x:c>
      <x:c r="F462" s="22" t="n">
        <x:f>MAX(0,MIN('Activities'!L462,12)-MAX('Activities'!K462,6))</x:f>
        <x:v>0</x:v>
      </x:c>
      <x:c r="G462" s="22" t="n">
        <x:f>MAX(0,MIN('Activities'!L462,18)-MAX('Activities'!K462,12))</x:f>
        <x:v>0</x:v>
      </x:c>
      <x:c r="H462" s="22" t="n">
        <x:f>MAX(0,MIN('Activities'!L462,24)-MAX('Activities'!K462,18))</x:f>
        <x:v>0</x:v>
      </x:c>
      <x:c r="I462" s="22" t="n">
        <x:f>MAX(0,MIN('Activities'!L462,30)-MAX('Activities'!K462,24))</x:f>
        <x:v>0</x:v>
      </x:c>
      <x:c r="J462" s="22" t="n">
        <x:f>MAX(0,MIN('Activities'!L462,36)-MAX('Activities'!K462,30))</x:f>
        <x:v>0</x:v>
      </x:c>
      <x:c r="K462" s="22" t="n">
        <x:f>MAX(0,MIN('Activities'!L462,42)-MAX('Activities'!K462,36))</x:f>
        <x:v>0</x:v>
      </x:c>
      <x:c r="L462" s="22" t="n">
        <x:f>MAX(0,MIN('Activities'!L462,48)-MAX('Activities'!K462,42))</x:f>
        <x:v>0</x:v>
      </x:c>
      <x:c r="M462" s="22" t="n">
        <x:f>MAX(0,MIN('Activities'!L462,54)-MAX('Activities'!K462,48))</x:f>
        <x:v>0</x:v>
      </x:c>
      <x:c r="N462" s="22" t="n">
        <x:f>MAX(0,MIN('Activities'!L462,60)-MAX('Activities'!K462,54))</x:f>
        <x:v>0</x:v>
      </x:c>
      <x:c r="O462" s="22" t="n">
        <x:f>MAX(0,MIN('Activities'!L462,66)-MAX('Activities'!K462,60))</x:f>
        <x:v>0</x:v>
      </x:c>
      <x:c r="P462" s="22" t="n">
        <x:f>MAX(0,MIN('Activities'!L462,72)-MAX('Activities'!K462,66))</x:f>
        <x:v>0</x:v>
      </x:c>
      <x:c r="Q462" s="22" t="n">
        <x:f>MAX(0,MIN('Activities'!L462,78)-MAX('Activities'!K462,72))</x:f>
        <x:v>0</x:v>
      </x:c>
      <x:c r="R462" s="22" t="n">
        <x:f>MAX(0,MIN('Activities'!L462,84)-MAX('Activities'!K462,78))</x:f>
        <x:v>0</x:v>
      </x:c>
      <x:c r="S462" s="22" t="n">
        <x:f>MAX(0,MIN('Activities'!L462,90)-MAX('Activities'!K462,84))</x:f>
        <x:v>0</x:v>
      </x:c>
      <x:c r="T462" s="22" t="n">
        <x:f>MAX(0,MIN('Activities'!L462,96)-MAX('Activities'!K462,90))</x:f>
        <x:v>0</x:v>
      </x:c>
      <x:c r="U462" s="22" t="n">
        <x:f>MAX(0,MIN('Activities'!L462,102)-MAX('Activities'!K462,96))</x:f>
        <x:v>0</x:v>
      </x:c>
      <x:c r="V462" s="22" t="n">
        <x:f>MAX(0,MIN('Activities'!L462,108)-MAX('Activities'!K462,102))</x:f>
        <x:v>0</x:v>
      </x:c>
      <x:c r="W462" s="22" t="n">
        <x:f>MAX(0,MIN('Activities'!L462,114)-MAX('Activities'!K462,108))</x:f>
        <x:v>0</x:v>
      </x:c>
      <x:c r="X462" s="22" t="n">
        <x:f>MAX(0,MIN('Activities'!L462,120)-MAX('Activities'!K462,114))</x:f>
        <x:v>0</x:v>
      </x:c>
      <x:c r="Y462" s="22" t="n">
        <x:f>MAX(0,MIN('Activities'!L462,126)-MAX('Activities'!K462,120))</x:f>
        <x:v>0</x:v>
      </x:c>
      <x:c r="Z462" s="22" t="n">
        <x:f>MAX(0,MIN('Activities'!L462,132)-MAX('Activities'!K462,126))</x:f>
        <x:v>0</x:v>
      </x:c>
      <x:c r="AA462" s="22" t="n">
        <x:f>MAX(0,MIN('Activities'!L462,138)-MAX('Activities'!K462,132))</x:f>
        <x:v>0</x:v>
      </x:c>
      <x:c r="AB462" s="22" t="n">
        <x:f>MAX(0,MIN('Activities'!L462,144)-MAX('Activities'!K462,138))</x:f>
        <x:v>0</x:v>
      </x:c>
      <x:c r="AC462" s="22" t="n">
        <x:f>MAX(0,MIN('Activities'!L462,150)-MAX('Activities'!K462,144))</x:f>
        <x:v>0</x:v>
      </x:c>
      <x:c r="AD462" s="22" t="n">
        <x:f>MAX(0,MIN('Activities'!L462,156)-MAX('Activities'!K462,150))</x:f>
        <x:v>0</x:v>
      </x:c>
      <x:c r="AE462" s="22" t="n">
        <x:f>MAX(0,MIN('Activities'!L462,162)-MAX('Activities'!K462,156))</x:f>
        <x:v>0</x:v>
      </x:c>
      <x:c r="AF462" s="22" t="n">
        <x:f>MAX(0,MIN('Activities'!L462,168)-MAX('Activities'!K462,162))</x:f>
        <x:v>0</x:v>
      </x:c>
      <x:c r="AG462" s="22" t="n">
        <x:f>MAX(0,MIN('Activities'!L462,174)-MAX('Activities'!K462,168))</x:f>
        <x:v>0</x:v>
      </x:c>
      <x:c r="AH462" s="22" t="n">
        <x:f>MAX(0,MIN('Activities'!L462,180)-MAX('Activities'!K462,174))</x:f>
        <x:v>0</x:v>
      </x:c>
      <x:c r="AI462" s="22" t="n">
        <x:f>MAX(0,MIN('Activities'!L462,186)-MAX('Activities'!K462,180))</x:f>
        <x:v>0</x:v>
      </x:c>
      <x:c r="AJ462" s="22" t="n">
        <x:f>MAX(0,MIN('Activities'!L462,192)-MAX('Activities'!K462,186))</x:f>
        <x:v>0</x:v>
      </x:c>
      <x:c r="AK462" s="22" t="n">
        <x:f>MAX(0,MIN('Activities'!L462,198)-MAX('Activities'!K462,192))</x:f>
        <x:v>0</x:v>
      </x:c>
      <x:c r="AL462" s="22" t="n">
        <x:f>MAX(0,MIN('Activities'!L462,204)-MAX('Activities'!K462,198))</x:f>
        <x:v>0</x:v>
      </x:c>
      <x:c r="AM462" s="22" t="n">
        <x:f>MAX(0,MIN('Activities'!L462,210)-MAX('Activities'!K462,204))</x:f>
        <x:v>0</x:v>
      </x:c>
      <x:c r="AN462" s="22" t="n">
        <x:f>MAX(0,MIN('Activities'!L462,216)-MAX('Activities'!K462,210))</x:f>
        <x:v>0</x:v>
      </x:c>
      <x:c r="AO462" s="22" t="n">
        <x:f>MAX(0,MIN('Activities'!L462,222)-MAX('Activities'!K462,216))</x:f>
        <x:v>0</x:v>
      </x:c>
      <x:c r="AP462" s="22" t="n">
        <x:f>MAX(0,MIN('Activities'!L462,228)-MAX('Activities'!K462,222))</x:f>
        <x:v>0</x:v>
      </x:c>
      <x:c r="AQ462" s="22" t="n">
        <x:f>MAX(0,MIN('Activities'!L462,234)-MAX('Activities'!K462,228))</x:f>
        <x:v>0</x:v>
      </x:c>
      <x:c r="AR462" s="22" t="n">
        <x:f>MAX(0,MIN('Activities'!L462,240)-MAX('Activities'!K462,234))</x:f>
        <x:v>0</x:v>
      </x:c>
      <x:c r="AS462" s="22" t="n">
        <x:f>MAX(0,MIN('Activities'!L462,246)-MAX('Activities'!K462,240))</x:f>
        <x:v>0</x:v>
      </x:c>
      <x:c r="AT462" s="22" t="n">
        <x:f>MAX(0,MIN('Activities'!L462,252)-MAX('Activities'!K462,246))</x:f>
        <x:v>0</x:v>
      </x:c>
      <x:c r="AU462" s="22" t="n">
        <x:f>MAX(0,MIN('Activities'!L462,258)-MAX('Activities'!K462,252))</x:f>
        <x:v>0</x:v>
      </x:c>
      <x:c r="AV462" s="22" t="n">
        <x:f>MAX(0,MIN('Activities'!L462,264)-MAX('Activities'!K462,258))</x:f>
        <x:v>0</x:v>
      </x:c>
      <x:c r="AW462" s="22" t="n">
        <x:f>MAX(0,MIN('Activities'!L462,270)-MAX('Activities'!K462,264))</x:f>
        <x:v>0</x:v>
      </x:c>
      <x:c r="AX462" s="22" t="n">
        <x:f>MAX(0,MIN('Activities'!L462,276)-MAX('Activities'!K462,270))</x:f>
        <x:v>0</x:v>
      </x:c>
      <x:c r="AY462" s="22" t="n">
        <x:f>MAX(0,MIN('Activities'!L462,282)-MAX('Activities'!K462,276))</x:f>
        <x:v>0</x:v>
      </x:c>
      <x:c r="AZ462" s="22" t="n">
        <x:f>MAX(0,MIN('Activities'!L462,288)-MAX('Activities'!K462,282))</x:f>
        <x:v>0</x:v>
      </x:c>
      <x:c r="BA462" s="22" t="n">
        <x:f>MAX(0,MIN('Activities'!L462,294)-MAX('Activities'!K462,288))</x:f>
        <x:v>0</x:v>
      </x:c>
      <x:c r="BB462" s="22" t="n">
        <x:f>MAX(0,MIN('Activities'!L462,300)-MAX('Activities'!K462,294))</x:f>
        <x:v>0</x:v>
      </x:c>
      <x:c r="BC462" s="22" t="n">
        <x:f>MAX(0,MIN('Activities'!L462,306)-MAX('Activities'!K462,300))</x:f>
        <x:v>0</x:v>
      </x:c>
      <x:c r="BD462" s="22" t="n">
        <x:f>MAX(0,MIN('Activities'!L462,312)-MAX('Activities'!K462,306))</x:f>
        <x:v>0</x:v>
      </x:c>
      <x:c r="BE462" s="22" t="n">
        <x:f>MAX(0,MIN('Activities'!L462,318)-MAX('Activities'!K462,312))</x:f>
        <x:v>0</x:v>
      </x:c>
      <x:c r="BF462" s="22" t="n">
        <x:f>MAX(0,MIN('Activities'!L462,324)-MAX('Activities'!K462,318))</x:f>
        <x:v>0</x:v>
      </x:c>
      <x:c r="BG462" s="22" t="n">
        <x:f>MAX(0,MIN('Activities'!L462,330)-MAX('Activities'!K462,324))</x:f>
        <x:v>0</x:v>
      </x:c>
      <x:c r="BH462" s="22" t="n">
        <x:f>MAX(0,MIN('Activities'!L462,336)-MAX('Activities'!K462,330))</x:f>
        <x:v>0</x:v>
      </x:c>
      <x:c r="BI462" s="22" t="n">
        <x:f>MAX(0,MIN('Activities'!L462,342)-MAX('Activities'!K462,336))</x:f>
        <x:v>0</x:v>
      </x:c>
      <x:c r="BJ462" s="22" t="n">
        <x:f>MAX(0,MIN('Activities'!L462,348)-MAX('Activities'!K462,342))</x:f>
        <x:v>0</x:v>
      </x:c>
      <x:c r="BK462" s="22" t="n">
        <x:f>MAX(0,MIN('Activities'!L462,354)-MAX('Activities'!K462,348))</x:f>
        <x:v>0</x:v>
      </x:c>
      <x:c r="BL462" s="22" t="n">
        <x:f>MAX(0,MIN('Activities'!L462,360)-MAX('Activities'!K462,354))</x:f>
        <x:v>0</x:v>
      </x:c>
      <x:c r="BM462" s="22" t="n">
        <x:f>MAX(0,MIN('Activities'!L462,366)-MAX('Activities'!K462,360))</x:f>
        <x:v>0</x:v>
      </x:c>
      <x:c r="BN462" s="22" t="n">
        <x:f>MAX(0,MIN('Activities'!L462,372)-MAX('Activities'!K462,366))</x:f>
        <x:v>0</x:v>
      </x:c>
      <x:c r="BO462" s="22" t="n">
        <x:f>MAX(0,MIN('Activities'!L462,378)-MAX('Activities'!K462,372))</x:f>
        <x:v>0</x:v>
      </x:c>
      <x:c r="BP462" s="22" t="n">
        <x:f>MAX(0,MIN('Activities'!L462,384)-MAX('Activities'!K462,378))</x:f>
        <x:v>3</x:v>
      </x:c>
      <x:c r="BQ462" s="22" t="n">
        <x:f>MAX(0,MIN('Activities'!L462,390)-MAX('Activities'!K462,384))</x:f>
        <x:v>2</x:v>
      </x:c>
      <x:c r="BR462" s="22" t="n">
        <x:f>MAX(0,MIN('Activities'!L462,396)-MAX('Activities'!K462,390))</x:f>
        <x:v>0</x:v>
      </x:c>
      <x:c r="BS462" s="22" t="n">
        <x:f>MAX(0,MIN('Activities'!L462,402)-MAX('Activities'!K462,396))</x:f>
        <x:v>0</x:v>
      </x:c>
      <x:c r="BT462" s="22" t="n">
        <x:f>MAX(0,MIN('Activities'!L462,408)-MAX('Activities'!K462,402))</x:f>
        <x:v>0</x:v>
      </x:c>
      <x:c r="BU462" s="22" t="n">
        <x:f>MAX(0,MIN('Activities'!L462,414)-MAX('Activities'!K462,408))</x:f>
        <x:v>0</x:v>
      </x:c>
      <x:c r="BV462" s="22" t="n">
        <x:f>MAX(0,MIN('Activities'!L462,420)-MAX('Activities'!K462,414))</x:f>
        <x:v>0</x:v>
      </x:c>
      <x:c r="BW462" s="22" t="n">
        <x:f>MAX(0,MIN('Activities'!L462,426)-MAX('Activities'!K462,420))</x:f>
        <x:v>0</x:v>
      </x:c>
      <x:c r="BX462" s="22" t="n">
        <x:f>MAX(0,MIN('Activities'!L462,432)-MAX('Activities'!K462,426))</x:f>
        <x:v>0</x:v>
      </x:c>
      <x:c r="BY462" s="22" t="n">
        <x:f>MAX(0,MIN('Activities'!L462,438)-MAX('Activities'!K462,432))</x:f>
        <x:v>0</x:v>
      </x:c>
      <x:c r="BZ462" s="22" t="n">
        <x:f>MAX(0,MIN('Activities'!L462,444)-MAX('Activities'!K462,438))</x:f>
        <x:v>0</x:v>
      </x:c>
      <x:c r="CA462" s="22" t="n">
        <x:f>MAX(0,MIN('Activities'!L462,450)-MAX('Activities'!K462,444))</x:f>
        <x:v>0</x:v>
      </x:c>
      <x:c r="CB462" s="22" t="n">
        <x:f>MAX(0,MIN('Activities'!L462,456)-MAX('Activities'!K462,450))</x:f>
        <x:v>0</x:v>
      </x:c>
      <x:c r="CC462" s="22" t="n">
        <x:f>MAX(0,MIN('Activities'!L462,462)-MAX('Activities'!K462,456))</x:f>
        <x:v>0</x:v>
      </x:c>
      <x:c r="CD462" s="22" t="n">
        <x:f>MAX(0,MIN('Activities'!L462,468)-MAX('Activities'!K462,462))</x:f>
        <x:v>0</x:v>
      </x:c>
      <x:c r="CE462" s="22" t="n">
        <x:f>MAX(0,MIN('Activities'!L462,474)-MAX('Activities'!K462,468))</x:f>
        <x:v>0</x:v>
      </x:c>
      <x:c r="CF462" s="22" t="n">
        <x:f>MAX(0,MIN('Activities'!L462,480)-MAX('Activities'!K462,474))</x:f>
        <x:v>0</x:v>
      </x:c>
      <x:c r="CG462" s="22" t="n">
        <x:f>MAX(0,MIN('Activities'!L462,486)-MAX('Activities'!K462,480))</x:f>
        <x:v>0</x:v>
      </x:c>
      <x:c r="CH462" s="22" t="n">
        <x:f>MAX(0,MIN('Activities'!L462,492)-MAX('Activities'!K462,486))</x:f>
        <x:v>0</x:v>
      </x:c>
      <x:c r="CI462" s="22" t="n">
        <x:f>MAX(0,MIN('Activities'!L462,498)-MAX('Activities'!K462,492))</x:f>
        <x:v>0</x:v>
      </x:c>
      <x:c r="CJ462" s="22" t="n">
        <x:f>MAX(0,MIN('Activities'!L462,504)-MAX('Activities'!K462,498))</x:f>
        <x:v>0</x:v>
      </x:c>
      <x:c r="CK462" s="22" t="n">
        <x:f>MAX(0,MIN('Activities'!L462,510)-MAX('Activities'!K462,504))</x:f>
        <x:v>0</x:v>
      </x:c>
      <x:c r="CL462" s="22" t="n">
        <x:f>MAX(0,MIN('Activities'!L462,516)-MAX('Activities'!K462,510))</x:f>
        <x:v>0</x:v>
      </x:c>
      <x:c r="CM462" s="22" t="n">
        <x:f>MAX(0,MIN('Activities'!L462,522)-MAX('Activities'!K462,516))</x:f>
        <x:v>0</x:v>
      </x:c>
      <x:c r="CN462" s="22" t="n">
        <x:f>MAX(0,MIN('Activities'!L462,528)-MAX('Activities'!K462,522))</x:f>
        <x:v>0</x:v>
      </x:c>
      <x:c r="CO462" s="22" t="n">
        <x:f>MAX(0,MIN('Activities'!L462,534)-MAX('Activities'!K462,528))</x:f>
        <x:v>0</x:v>
      </x:c>
      <x:c r="CP462" s="22" t="n">
        <x:f>MAX(0,MIN('Activities'!L462,540)-MAX('Activities'!K462,534))</x:f>
        <x:v>0</x:v>
      </x:c>
      <x:c r="CQ462" s="22" t="n">
        <x:f>MAX(0,MIN('Activities'!L462,546)-MAX('Activities'!K462,540))</x:f>
        <x:v>0</x:v>
      </x:c>
      <x:c r="CR462" s="22" t="n">
        <x:f>MAX(0,MIN('Activities'!L462,552)-MAX('Activities'!K462,546))</x:f>
        <x:v>0</x:v>
      </x:c>
      <x:c r="CS462" s="22" t="n">
        <x:f>MAX(0,MIN('Activities'!L462,558)-MAX('Activities'!K462,552))</x:f>
        <x:v>0</x:v>
      </x:c>
      <x:c r="CT462" s="22" t="n">
        <x:f>MAX(0,MIN('Activities'!L462,564)-MAX('Activities'!K462,558))</x:f>
        <x:v>0</x:v>
      </x:c>
      <x:c r="CU462" s="22" t="n">
        <x:f>MAX(0,MIN('Activities'!L462,570)-MAX('Activities'!K462,564))</x:f>
        <x:v>0</x:v>
      </x:c>
      <x:c r="CV462" s="22" t="n">
        <x:f>MAX(0,MIN('Activities'!L462,576)-MAX('Activities'!K462,570))</x:f>
        <x:v>0</x:v>
      </x:c>
      <x:c r="CW462" s="22" t="n">
        <x:f>MAX(0,MIN('Activities'!L462,582)-MAX('Activities'!K462,576))</x:f>
        <x:v>0</x:v>
      </x:c>
      <x:c r="CX462" s="22" t="n">
        <x:f>MAX(0,MIN('Activities'!L462,588)-MAX('Activities'!K462,582))</x:f>
        <x:v>0</x:v>
      </x:c>
      <x:c r="CY462" s="22" t="n">
        <x:f>MAX(0,MIN('Activities'!L462,594)-MAX('Activities'!K462,588))</x:f>
        <x:v>0</x:v>
      </x:c>
      <x:c r="CZ462" s="22" t="n">
        <x:f>MAX(0,MIN('Activities'!L462,600)-MAX('Activities'!K462,594))</x:f>
        <x:v>0</x:v>
      </x:c>
      <x:c r="DA462" s="22" t="n">
        <x:f>MAX(0,MIN('Activities'!L462,606)-MAX('Activities'!K462,600))</x:f>
        <x:v>0</x:v>
      </x:c>
      <x:c r="DB462" s="22" t="n">
        <x:f>MAX(0,MIN('Activities'!L462,612)-MAX('Activities'!K462,606))</x:f>
        <x:v>0</x:v>
      </x:c>
      <x:c r="DC462" s="22" t="n">
        <x:f>MAX(0,MIN('Activities'!L462,618)-MAX('Activities'!K462,612))</x:f>
        <x:v>0</x:v>
      </x:c>
      <x:c r="DD462" s="22" t="n">
        <x:f>MAX(0,MIN('Activities'!L462,624)-MAX('Activities'!K462,618))</x:f>
        <x:v>0</x:v>
      </x:c>
      <x:c r="DE462" s="22" t="n">
        <x:f>MAX(0,MIN('Activities'!L462,630)-MAX('Activities'!K462,624))</x:f>
        <x:v>0</x:v>
      </x:c>
      <x:c r="DF462" s="22" t="n">
        <x:f>MAX(0,MIN('Activities'!L462,636)-MAX('Activities'!K462,630))</x:f>
        <x:v>0</x:v>
      </x:c>
    </x:row>
    <x:row r="463" ht="23" customHeight="1">
      <x:c r="A463" s="1" t="str">
        <x:v>T4-L12-F</x:v>
      </x:c>
      <x:c r="B463" s="1" t="str">
        <x:v>T4</x:v>
      </x:c>
      <x:c r="C463" s="1" t="str">
        <x:v>Columns, core and deck formwork</x:v>
      </x:c>
      <x:c r="D463" s="1" t="str">
        <x:v>Formwork</x:v>
      </x:c>
      <x:c r="E463" s="23" t="n">
        <x:f>MAX(0,MIN('Activities'!L463,6)-MAX('Activities'!K463,0))</x:f>
        <x:v>0</x:v>
      </x:c>
      <x:c r="F463" s="23" t="n">
        <x:f>MAX(0,MIN('Activities'!L463,12)-MAX('Activities'!K463,6))</x:f>
        <x:v>0</x:v>
      </x:c>
      <x:c r="G463" s="23" t="n">
        <x:f>MAX(0,MIN('Activities'!L463,18)-MAX('Activities'!K463,12))</x:f>
        <x:v>0</x:v>
      </x:c>
      <x:c r="H463" s="23" t="n">
        <x:f>MAX(0,MIN('Activities'!L463,24)-MAX('Activities'!K463,18))</x:f>
        <x:v>0</x:v>
      </x:c>
      <x:c r="I463" s="23" t="n">
        <x:f>MAX(0,MIN('Activities'!L463,30)-MAX('Activities'!K463,24))</x:f>
        <x:v>0</x:v>
      </x:c>
      <x:c r="J463" s="23" t="n">
        <x:f>MAX(0,MIN('Activities'!L463,36)-MAX('Activities'!K463,30))</x:f>
        <x:v>0</x:v>
      </x:c>
      <x:c r="K463" s="23" t="n">
        <x:f>MAX(0,MIN('Activities'!L463,42)-MAX('Activities'!K463,36))</x:f>
        <x:v>0</x:v>
      </x:c>
      <x:c r="L463" s="23" t="n">
        <x:f>MAX(0,MIN('Activities'!L463,48)-MAX('Activities'!K463,42))</x:f>
        <x:v>0</x:v>
      </x:c>
      <x:c r="M463" s="23" t="n">
        <x:f>MAX(0,MIN('Activities'!L463,54)-MAX('Activities'!K463,48))</x:f>
        <x:v>0</x:v>
      </x:c>
      <x:c r="N463" s="23" t="n">
        <x:f>MAX(0,MIN('Activities'!L463,60)-MAX('Activities'!K463,54))</x:f>
        <x:v>0</x:v>
      </x:c>
      <x:c r="O463" s="23" t="n">
        <x:f>MAX(0,MIN('Activities'!L463,66)-MAX('Activities'!K463,60))</x:f>
        <x:v>0</x:v>
      </x:c>
      <x:c r="P463" s="23" t="n">
        <x:f>MAX(0,MIN('Activities'!L463,72)-MAX('Activities'!K463,66))</x:f>
        <x:v>0</x:v>
      </x:c>
      <x:c r="Q463" s="23" t="n">
        <x:f>MAX(0,MIN('Activities'!L463,78)-MAX('Activities'!K463,72))</x:f>
        <x:v>0</x:v>
      </x:c>
      <x:c r="R463" s="23" t="n">
        <x:f>MAX(0,MIN('Activities'!L463,84)-MAX('Activities'!K463,78))</x:f>
        <x:v>0</x:v>
      </x:c>
      <x:c r="S463" s="23" t="n">
        <x:f>MAX(0,MIN('Activities'!L463,90)-MAX('Activities'!K463,84))</x:f>
        <x:v>0</x:v>
      </x:c>
      <x:c r="T463" s="23" t="n">
        <x:f>MAX(0,MIN('Activities'!L463,96)-MAX('Activities'!K463,90))</x:f>
        <x:v>0</x:v>
      </x:c>
      <x:c r="U463" s="23" t="n">
        <x:f>MAX(0,MIN('Activities'!L463,102)-MAX('Activities'!K463,96))</x:f>
        <x:v>0</x:v>
      </x:c>
      <x:c r="V463" s="23" t="n">
        <x:f>MAX(0,MIN('Activities'!L463,108)-MAX('Activities'!K463,102))</x:f>
        <x:v>0</x:v>
      </x:c>
      <x:c r="W463" s="23" t="n">
        <x:f>MAX(0,MIN('Activities'!L463,114)-MAX('Activities'!K463,108))</x:f>
        <x:v>0</x:v>
      </x:c>
      <x:c r="X463" s="23" t="n">
        <x:f>MAX(0,MIN('Activities'!L463,120)-MAX('Activities'!K463,114))</x:f>
        <x:v>0</x:v>
      </x:c>
      <x:c r="Y463" s="23" t="n">
        <x:f>MAX(0,MIN('Activities'!L463,126)-MAX('Activities'!K463,120))</x:f>
        <x:v>0</x:v>
      </x:c>
      <x:c r="Z463" s="23" t="n">
        <x:f>MAX(0,MIN('Activities'!L463,132)-MAX('Activities'!K463,126))</x:f>
        <x:v>0</x:v>
      </x:c>
      <x:c r="AA463" s="23" t="n">
        <x:f>MAX(0,MIN('Activities'!L463,138)-MAX('Activities'!K463,132))</x:f>
        <x:v>0</x:v>
      </x:c>
      <x:c r="AB463" s="23" t="n">
        <x:f>MAX(0,MIN('Activities'!L463,144)-MAX('Activities'!K463,138))</x:f>
        <x:v>0</x:v>
      </x:c>
      <x:c r="AC463" s="23" t="n">
        <x:f>MAX(0,MIN('Activities'!L463,150)-MAX('Activities'!K463,144))</x:f>
        <x:v>0</x:v>
      </x:c>
      <x:c r="AD463" s="23" t="n">
        <x:f>MAX(0,MIN('Activities'!L463,156)-MAX('Activities'!K463,150))</x:f>
        <x:v>0</x:v>
      </x:c>
      <x:c r="AE463" s="23" t="n">
        <x:f>MAX(0,MIN('Activities'!L463,162)-MAX('Activities'!K463,156))</x:f>
        <x:v>0</x:v>
      </x:c>
      <x:c r="AF463" s="23" t="n">
        <x:f>MAX(0,MIN('Activities'!L463,168)-MAX('Activities'!K463,162))</x:f>
        <x:v>0</x:v>
      </x:c>
      <x:c r="AG463" s="23" t="n">
        <x:f>MAX(0,MIN('Activities'!L463,174)-MAX('Activities'!K463,168))</x:f>
        <x:v>0</x:v>
      </x:c>
      <x:c r="AH463" s="23" t="n">
        <x:f>MAX(0,MIN('Activities'!L463,180)-MAX('Activities'!K463,174))</x:f>
        <x:v>0</x:v>
      </x:c>
      <x:c r="AI463" s="23" t="n">
        <x:f>MAX(0,MIN('Activities'!L463,186)-MAX('Activities'!K463,180))</x:f>
        <x:v>0</x:v>
      </x:c>
      <x:c r="AJ463" s="23" t="n">
        <x:f>MAX(0,MIN('Activities'!L463,192)-MAX('Activities'!K463,186))</x:f>
        <x:v>0</x:v>
      </x:c>
      <x:c r="AK463" s="23" t="n">
        <x:f>MAX(0,MIN('Activities'!L463,198)-MAX('Activities'!K463,192))</x:f>
        <x:v>0</x:v>
      </x:c>
      <x:c r="AL463" s="23" t="n">
        <x:f>MAX(0,MIN('Activities'!L463,204)-MAX('Activities'!K463,198))</x:f>
        <x:v>0</x:v>
      </x:c>
      <x:c r="AM463" s="23" t="n">
        <x:f>MAX(0,MIN('Activities'!L463,210)-MAX('Activities'!K463,204))</x:f>
        <x:v>0</x:v>
      </x:c>
      <x:c r="AN463" s="23" t="n">
        <x:f>MAX(0,MIN('Activities'!L463,216)-MAX('Activities'!K463,210))</x:f>
        <x:v>0</x:v>
      </x:c>
      <x:c r="AO463" s="23" t="n">
        <x:f>MAX(0,MIN('Activities'!L463,222)-MAX('Activities'!K463,216))</x:f>
        <x:v>0</x:v>
      </x:c>
      <x:c r="AP463" s="23" t="n">
        <x:f>MAX(0,MIN('Activities'!L463,228)-MAX('Activities'!K463,222))</x:f>
        <x:v>0</x:v>
      </x:c>
      <x:c r="AQ463" s="23" t="n">
        <x:f>MAX(0,MIN('Activities'!L463,234)-MAX('Activities'!K463,228))</x:f>
        <x:v>0</x:v>
      </x:c>
      <x:c r="AR463" s="23" t="n">
        <x:f>MAX(0,MIN('Activities'!L463,240)-MAX('Activities'!K463,234))</x:f>
        <x:v>0</x:v>
      </x:c>
      <x:c r="AS463" s="23" t="n">
        <x:f>MAX(0,MIN('Activities'!L463,246)-MAX('Activities'!K463,240))</x:f>
        <x:v>0</x:v>
      </x:c>
      <x:c r="AT463" s="23" t="n">
        <x:f>MAX(0,MIN('Activities'!L463,252)-MAX('Activities'!K463,246))</x:f>
        <x:v>0</x:v>
      </x:c>
      <x:c r="AU463" s="23" t="n">
        <x:f>MAX(0,MIN('Activities'!L463,258)-MAX('Activities'!K463,252))</x:f>
        <x:v>0</x:v>
      </x:c>
      <x:c r="AV463" s="23" t="n">
        <x:f>MAX(0,MIN('Activities'!L463,264)-MAX('Activities'!K463,258))</x:f>
        <x:v>0</x:v>
      </x:c>
      <x:c r="AW463" s="23" t="n">
        <x:f>MAX(0,MIN('Activities'!L463,270)-MAX('Activities'!K463,264))</x:f>
        <x:v>0</x:v>
      </x:c>
      <x:c r="AX463" s="23" t="n">
        <x:f>MAX(0,MIN('Activities'!L463,276)-MAX('Activities'!K463,270))</x:f>
        <x:v>0</x:v>
      </x:c>
      <x:c r="AY463" s="23" t="n">
        <x:f>MAX(0,MIN('Activities'!L463,282)-MAX('Activities'!K463,276))</x:f>
        <x:v>0</x:v>
      </x:c>
      <x:c r="AZ463" s="23" t="n">
        <x:f>MAX(0,MIN('Activities'!L463,288)-MAX('Activities'!K463,282))</x:f>
        <x:v>0</x:v>
      </x:c>
      <x:c r="BA463" s="23" t="n">
        <x:f>MAX(0,MIN('Activities'!L463,294)-MAX('Activities'!K463,288))</x:f>
        <x:v>0</x:v>
      </x:c>
      <x:c r="BB463" s="23" t="n">
        <x:f>MAX(0,MIN('Activities'!L463,300)-MAX('Activities'!K463,294))</x:f>
        <x:v>0</x:v>
      </x:c>
      <x:c r="BC463" s="23" t="n">
        <x:f>MAX(0,MIN('Activities'!L463,306)-MAX('Activities'!K463,300))</x:f>
        <x:v>0</x:v>
      </x:c>
      <x:c r="BD463" s="23" t="n">
        <x:f>MAX(0,MIN('Activities'!L463,312)-MAX('Activities'!K463,306))</x:f>
        <x:v>0</x:v>
      </x:c>
      <x:c r="BE463" s="23" t="n">
        <x:f>MAX(0,MIN('Activities'!L463,318)-MAX('Activities'!K463,312))</x:f>
        <x:v>0</x:v>
      </x:c>
      <x:c r="BF463" s="23" t="n">
        <x:f>MAX(0,MIN('Activities'!L463,324)-MAX('Activities'!K463,318))</x:f>
        <x:v>0</x:v>
      </x:c>
      <x:c r="BG463" s="23" t="n">
        <x:f>MAX(0,MIN('Activities'!L463,330)-MAX('Activities'!K463,324))</x:f>
        <x:v>0</x:v>
      </x:c>
      <x:c r="BH463" s="23" t="n">
        <x:f>MAX(0,MIN('Activities'!L463,336)-MAX('Activities'!K463,330))</x:f>
        <x:v>0</x:v>
      </x:c>
      <x:c r="BI463" s="23" t="n">
        <x:f>MAX(0,MIN('Activities'!L463,342)-MAX('Activities'!K463,336))</x:f>
        <x:v>0</x:v>
      </x:c>
      <x:c r="BJ463" s="23" t="n">
        <x:f>MAX(0,MIN('Activities'!L463,348)-MAX('Activities'!K463,342))</x:f>
        <x:v>0</x:v>
      </x:c>
      <x:c r="BK463" s="23" t="n">
        <x:f>MAX(0,MIN('Activities'!L463,354)-MAX('Activities'!K463,348))</x:f>
        <x:v>0</x:v>
      </x:c>
      <x:c r="BL463" s="23" t="n">
        <x:f>MAX(0,MIN('Activities'!L463,360)-MAX('Activities'!K463,354))</x:f>
        <x:v>0</x:v>
      </x:c>
      <x:c r="BM463" s="23" t="n">
        <x:f>MAX(0,MIN('Activities'!L463,366)-MAX('Activities'!K463,360))</x:f>
        <x:v>0</x:v>
      </x:c>
      <x:c r="BN463" s="23" t="n">
        <x:f>MAX(0,MIN('Activities'!L463,372)-MAX('Activities'!K463,366))</x:f>
        <x:v>0</x:v>
      </x:c>
      <x:c r="BO463" s="23" t="n">
        <x:f>MAX(0,MIN('Activities'!L463,378)-MAX('Activities'!K463,372))</x:f>
        <x:v>0</x:v>
      </x:c>
      <x:c r="BP463" s="23" t="n">
        <x:f>MAX(0,MIN('Activities'!L463,384)-MAX('Activities'!K463,378))</x:f>
        <x:v>0</x:v>
      </x:c>
      <x:c r="BQ463" s="23" t="n">
        <x:f>MAX(0,MIN('Activities'!L463,390)-MAX('Activities'!K463,384))</x:f>
        <x:v>4</x:v>
      </x:c>
      <x:c r="BR463" s="23" t="n">
        <x:f>MAX(0,MIN('Activities'!L463,396)-MAX('Activities'!K463,390))</x:f>
        <x:v>2</x:v>
      </x:c>
      <x:c r="BS463" s="23" t="n">
        <x:f>MAX(0,MIN('Activities'!L463,402)-MAX('Activities'!K463,396))</x:f>
        <x:v>0</x:v>
      </x:c>
      <x:c r="BT463" s="23" t="n">
        <x:f>MAX(0,MIN('Activities'!L463,408)-MAX('Activities'!K463,402))</x:f>
        <x:v>0</x:v>
      </x:c>
      <x:c r="BU463" s="23" t="n">
        <x:f>MAX(0,MIN('Activities'!L463,414)-MAX('Activities'!K463,408))</x:f>
        <x:v>0</x:v>
      </x:c>
      <x:c r="BV463" s="23" t="n">
        <x:f>MAX(0,MIN('Activities'!L463,420)-MAX('Activities'!K463,414))</x:f>
        <x:v>0</x:v>
      </x:c>
      <x:c r="BW463" s="23" t="n">
        <x:f>MAX(0,MIN('Activities'!L463,426)-MAX('Activities'!K463,420))</x:f>
        <x:v>0</x:v>
      </x:c>
      <x:c r="BX463" s="23" t="n">
        <x:f>MAX(0,MIN('Activities'!L463,432)-MAX('Activities'!K463,426))</x:f>
        <x:v>0</x:v>
      </x:c>
      <x:c r="BY463" s="23" t="n">
        <x:f>MAX(0,MIN('Activities'!L463,438)-MAX('Activities'!K463,432))</x:f>
        <x:v>0</x:v>
      </x:c>
      <x:c r="BZ463" s="23" t="n">
        <x:f>MAX(0,MIN('Activities'!L463,444)-MAX('Activities'!K463,438))</x:f>
        <x:v>0</x:v>
      </x:c>
      <x:c r="CA463" s="23" t="n">
        <x:f>MAX(0,MIN('Activities'!L463,450)-MAX('Activities'!K463,444))</x:f>
        <x:v>0</x:v>
      </x:c>
      <x:c r="CB463" s="23" t="n">
        <x:f>MAX(0,MIN('Activities'!L463,456)-MAX('Activities'!K463,450))</x:f>
        <x:v>0</x:v>
      </x:c>
      <x:c r="CC463" s="23" t="n">
        <x:f>MAX(0,MIN('Activities'!L463,462)-MAX('Activities'!K463,456))</x:f>
        <x:v>0</x:v>
      </x:c>
      <x:c r="CD463" s="23" t="n">
        <x:f>MAX(0,MIN('Activities'!L463,468)-MAX('Activities'!K463,462))</x:f>
        <x:v>0</x:v>
      </x:c>
      <x:c r="CE463" s="23" t="n">
        <x:f>MAX(0,MIN('Activities'!L463,474)-MAX('Activities'!K463,468))</x:f>
        <x:v>0</x:v>
      </x:c>
      <x:c r="CF463" s="23" t="n">
        <x:f>MAX(0,MIN('Activities'!L463,480)-MAX('Activities'!K463,474))</x:f>
        <x:v>0</x:v>
      </x:c>
      <x:c r="CG463" s="23" t="n">
        <x:f>MAX(0,MIN('Activities'!L463,486)-MAX('Activities'!K463,480))</x:f>
        <x:v>0</x:v>
      </x:c>
      <x:c r="CH463" s="23" t="n">
        <x:f>MAX(0,MIN('Activities'!L463,492)-MAX('Activities'!K463,486))</x:f>
        <x:v>0</x:v>
      </x:c>
      <x:c r="CI463" s="23" t="n">
        <x:f>MAX(0,MIN('Activities'!L463,498)-MAX('Activities'!K463,492))</x:f>
        <x:v>0</x:v>
      </x:c>
      <x:c r="CJ463" s="23" t="n">
        <x:f>MAX(0,MIN('Activities'!L463,504)-MAX('Activities'!K463,498))</x:f>
        <x:v>0</x:v>
      </x:c>
      <x:c r="CK463" s="23" t="n">
        <x:f>MAX(0,MIN('Activities'!L463,510)-MAX('Activities'!K463,504))</x:f>
        <x:v>0</x:v>
      </x:c>
      <x:c r="CL463" s="23" t="n">
        <x:f>MAX(0,MIN('Activities'!L463,516)-MAX('Activities'!K463,510))</x:f>
        <x:v>0</x:v>
      </x:c>
      <x:c r="CM463" s="23" t="n">
        <x:f>MAX(0,MIN('Activities'!L463,522)-MAX('Activities'!K463,516))</x:f>
        <x:v>0</x:v>
      </x:c>
      <x:c r="CN463" s="23" t="n">
        <x:f>MAX(0,MIN('Activities'!L463,528)-MAX('Activities'!K463,522))</x:f>
        <x:v>0</x:v>
      </x:c>
      <x:c r="CO463" s="23" t="n">
        <x:f>MAX(0,MIN('Activities'!L463,534)-MAX('Activities'!K463,528))</x:f>
        <x:v>0</x:v>
      </x:c>
      <x:c r="CP463" s="23" t="n">
        <x:f>MAX(0,MIN('Activities'!L463,540)-MAX('Activities'!K463,534))</x:f>
        <x:v>0</x:v>
      </x:c>
      <x:c r="CQ463" s="23" t="n">
        <x:f>MAX(0,MIN('Activities'!L463,546)-MAX('Activities'!K463,540))</x:f>
        <x:v>0</x:v>
      </x:c>
      <x:c r="CR463" s="23" t="n">
        <x:f>MAX(0,MIN('Activities'!L463,552)-MAX('Activities'!K463,546))</x:f>
        <x:v>0</x:v>
      </x:c>
      <x:c r="CS463" s="23" t="n">
        <x:f>MAX(0,MIN('Activities'!L463,558)-MAX('Activities'!K463,552))</x:f>
        <x:v>0</x:v>
      </x:c>
      <x:c r="CT463" s="23" t="n">
        <x:f>MAX(0,MIN('Activities'!L463,564)-MAX('Activities'!K463,558))</x:f>
        <x:v>0</x:v>
      </x:c>
      <x:c r="CU463" s="23" t="n">
        <x:f>MAX(0,MIN('Activities'!L463,570)-MAX('Activities'!K463,564))</x:f>
        <x:v>0</x:v>
      </x:c>
      <x:c r="CV463" s="23" t="n">
        <x:f>MAX(0,MIN('Activities'!L463,576)-MAX('Activities'!K463,570))</x:f>
        <x:v>0</x:v>
      </x:c>
      <x:c r="CW463" s="23" t="n">
        <x:f>MAX(0,MIN('Activities'!L463,582)-MAX('Activities'!K463,576))</x:f>
        <x:v>0</x:v>
      </x:c>
      <x:c r="CX463" s="23" t="n">
        <x:f>MAX(0,MIN('Activities'!L463,588)-MAX('Activities'!K463,582))</x:f>
        <x:v>0</x:v>
      </x:c>
      <x:c r="CY463" s="23" t="n">
        <x:f>MAX(0,MIN('Activities'!L463,594)-MAX('Activities'!K463,588))</x:f>
        <x:v>0</x:v>
      </x:c>
      <x:c r="CZ463" s="23" t="n">
        <x:f>MAX(0,MIN('Activities'!L463,600)-MAX('Activities'!K463,594))</x:f>
        <x:v>0</x:v>
      </x:c>
      <x:c r="DA463" s="23" t="n">
        <x:f>MAX(0,MIN('Activities'!L463,606)-MAX('Activities'!K463,600))</x:f>
        <x:v>0</x:v>
      </x:c>
      <x:c r="DB463" s="23" t="n">
        <x:f>MAX(0,MIN('Activities'!L463,612)-MAX('Activities'!K463,606))</x:f>
        <x:v>0</x:v>
      </x:c>
      <x:c r="DC463" s="23" t="n">
        <x:f>MAX(0,MIN('Activities'!L463,618)-MAX('Activities'!K463,612))</x:f>
        <x:v>0</x:v>
      </x:c>
      <x:c r="DD463" s="23" t="n">
        <x:f>MAX(0,MIN('Activities'!L463,624)-MAX('Activities'!K463,618))</x:f>
        <x:v>0</x:v>
      </x:c>
      <x:c r="DE463" s="23" t="n">
        <x:f>MAX(0,MIN('Activities'!L463,630)-MAX('Activities'!K463,624))</x:f>
        <x:v>0</x:v>
      </x:c>
      <x:c r="DF463" s="23" t="n">
        <x:f>MAX(0,MIN('Activities'!L463,636)-MAX('Activities'!K463,630))</x:f>
        <x:v>0</x:v>
      </x:c>
    </x:row>
    <x:row r="464" ht="23" customHeight="1">
      <x:c r="A464" s="6" t="str">
        <x:v>T4-L12-R</x:v>
      </x:c>
      <x:c r="B464" s="6" t="str">
        <x:v>T4</x:v>
      </x:c>
      <x:c r="C464" s="6" t="str">
        <x:v>Column, wall, beam and slab reinforcement</x:v>
      </x:c>
      <x:c r="D464" s="6" t="str">
        <x:v>Rebar</x:v>
      </x:c>
      <x:c r="E464" s="22" t="n">
        <x:f>MAX(0,MIN('Activities'!L464,6)-MAX('Activities'!K464,0))</x:f>
        <x:v>0</x:v>
      </x:c>
      <x:c r="F464" s="22" t="n">
        <x:f>MAX(0,MIN('Activities'!L464,12)-MAX('Activities'!K464,6))</x:f>
        <x:v>0</x:v>
      </x:c>
      <x:c r="G464" s="22" t="n">
        <x:f>MAX(0,MIN('Activities'!L464,18)-MAX('Activities'!K464,12))</x:f>
        <x:v>0</x:v>
      </x:c>
      <x:c r="H464" s="22" t="n">
        <x:f>MAX(0,MIN('Activities'!L464,24)-MAX('Activities'!K464,18))</x:f>
        <x:v>0</x:v>
      </x:c>
      <x:c r="I464" s="22" t="n">
        <x:f>MAX(0,MIN('Activities'!L464,30)-MAX('Activities'!K464,24))</x:f>
        <x:v>0</x:v>
      </x:c>
      <x:c r="J464" s="22" t="n">
        <x:f>MAX(0,MIN('Activities'!L464,36)-MAX('Activities'!K464,30))</x:f>
        <x:v>0</x:v>
      </x:c>
      <x:c r="K464" s="22" t="n">
        <x:f>MAX(0,MIN('Activities'!L464,42)-MAX('Activities'!K464,36))</x:f>
        <x:v>0</x:v>
      </x:c>
      <x:c r="L464" s="22" t="n">
        <x:f>MAX(0,MIN('Activities'!L464,48)-MAX('Activities'!K464,42))</x:f>
        <x:v>0</x:v>
      </x:c>
      <x:c r="M464" s="22" t="n">
        <x:f>MAX(0,MIN('Activities'!L464,54)-MAX('Activities'!K464,48))</x:f>
        <x:v>0</x:v>
      </x:c>
      <x:c r="N464" s="22" t="n">
        <x:f>MAX(0,MIN('Activities'!L464,60)-MAX('Activities'!K464,54))</x:f>
        <x:v>0</x:v>
      </x:c>
      <x:c r="O464" s="22" t="n">
        <x:f>MAX(0,MIN('Activities'!L464,66)-MAX('Activities'!K464,60))</x:f>
        <x:v>0</x:v>
      </x:c>
      <x:c r="P464" s="22" t="n">
        <x:f>MAX(0,MIN('Activities'!L464,72)-MAX('Activities'!K464,66))</x:f>
        <x:v>0</x:v>
      </x:c>
      <x:c r="Q464" s="22" t="n">
        <x:f>MAX(0,MIN('Activities'!L464,78)-MAX('Activities'!K464,72))</x:f>
        <x:v>0</x:v>
      </x:c>
      <x:c r="R464" s="22" t="n">
        <x:f>MAX(0,MIN('Activities'!L464,84)-MAX('Activities'!K464,78))</x:f>
        <x:v>0</x:v>
      </x:c>
      <x:c r="S464" s="22" t="n">
        <x:f>MAX(0,MIN('Activities'!L464,90)-MAX('Activities'!K464,84))</x:f>
        <x:v>0</x:v>
      </x:c>
      <x:c r="T464" s="22" t="n">
        <x:f>MAX(0,MIN('Activities'!L464,96)-MAX('Activities'!K464,90))</x:f>
        <x:v>0</x:v>
      </x:c>
      <x:c r="U464" s="22" t="n">
        <x:f>MAX(0,MIN('Activities'!L464,102)-MAX('Activities'!K464,96))</x:f>
        <x:v>0</x:v>
      </x:c>
      <x:c r="V464" s="22" t="n">
        <x:f>MAX(0,MIN('Activities'!L464,108)-MAX('Activities'!K464,102))</x:f>
        <x:v>0</x:v>
      </x:c>
      <x:c r="W464" s="22" t="n">
        <x:f>MAX(0,MIN('Activities'!L464,114)-MAX('Activities'!K464,108))</x:f>
        <x:v>0</x:v>
      </x:c>
      <x:c r="X464" s="22" t="n">
        <x:f>MAX(0,MIN('Activities'!L464,120)-MAX('Activities'!K464,114))</x:f>
        <x:v>0</x:v>
      </x:c>
      <x:c r="Y464" s="22" t="n">
        <x:f>MAX(0,MIN('Activities'!L464,126)-MAX('Activities'!K464,120))</x:f>
        <x:v>0</x:v>
      </x:c>
      <x:c r="Z464" s="22" t="n">
        <x:f>MAX(0,MIN('Activities'!L464,132)-MAX('Activities'!K464,126))</x:f>
        <x:v>0</x:v>
      </x:c>
      <x:c r="AA464" s="22" t="n">
        <x:f>MAX(0,MIN('Activities'!L464,138)-MAX('Activities'!K464,132))</x:f>
        <x:v>0</x:v>
      </x:c>
      <x:c r="AB464" s="22" t="n">
        <x:f>MAX(0,MIN('Activities'!L464,144)-MAX('Activities'!K464,138))</x:f>
        <x:v>0</x:v>
      </x:c>
      <x:c r="AC464" s="22" t="n">
        <x:f>MAX(0,MIN('Activities'!L464,150)-MAX('Activities'!K464,144))</x:f>
        <x:v>0</x:v>
      </x:c>
      <x:c r="AD464" s="22" t="n">
        <x:f>MAX(0,MIN('Activities'!L464,156)-MAX('Activities'!K464,150))</x:f>
        <x:v>0</x:v>
      </x:c>
      <x:c r="AE464" s="22" t="n">
        <x:f>MAX(0,MIN('Activities'!L464,162)-MAX('Activities'!K464,156))</x:f>
        <x:v>0</x:v>
      </x:c>
      <x:c r="AF464" s="22" t="n">
        <x:f>MAX(0,MIN('Activities'!L464,168)-MAX('Activities'!K464,162))</x:f>
        <x:v>0</x:v>
      </x:c>
      <x:c r="AG464" s="22" t="n">
        <x:f>MAX(0,MIN('Activities'!L464,174)-MAX('Activities'!K464,168))</x:f>
        <x:v>0</x:v>
      </x:c>
      <x:c r="AH464" s="22" t="n">
        <x:f>MAX(0,MIN('Activities'!L464,180)-MAX('Activities'!K464,174))</x:f>
        <x:v>0</x:v>
      </x:c>
      <x:c r="AI464" s="22" t="n">
        <x:f>MAX(0,MIN('Activities'!L464,186)-MAX('Activities'!K464,180))</x:f>
        <x:v>0</x:v>
      </x:c>
      <x:c r="AJ464" s="22" t="n">
        <x:f>MAX(0,MIN('Activities'!L464,192)-MAX('Activities'!K464,186))</x:f>
        <x:v>0</x:v>
      </x:c>
      <x:c r="AK464" s="22" t="n">
        <x:f>MAX(0,MIN('Activities'!L464,198)-MAX('Activities'!K464,192))</x:f>
        <x:v>0</x:v>
      </x:c>
      <x:c r="AL464" s="22" t="n">
        <x:f>MAX(0,MIN('Activities'!L464,204)-MAX('Activities'!K464,198))</x:f>
        <x:v>0</x:v>
      </x:c>
      <x:c r="AM464" s="22" t="n">
        <x:f>MAX(0,MIN('Activities'!L464,210)-MAX('Activities'!K464,204))</x:f>
        <x:v>0</x:v>
      </x:c>
      <x:c r="AN464" s="22" t="n">
        <x:f>MAX(0,MIN('Activities'!L464,216)-MAX('Activities'!K464,210))</x:f>
        <x:v>0</x:v>
      </x:c>
      <x:c r="AO464" s="22" t="n">
        <x:f>MAX(0,MIN('Activities'!L464,222)-MAX('Activities'!K464,216))</x:f>
        <x:v>0</x:v>
      </x:c>
      <x:c r="AP464" s="22" t="n">
        <x:f>MAX(0,MIN('Activities'!L464,228)-MAX('Activities'!K464,222))</x:f>
        <x:v>0</x:v>
      </x:c>
      <x:c r="AQ464" s="22" t="n">
        <x:f>MAX(0,MIN('Activities'!L464,234)-MAX('Activities'!K464,228))</x:f>
        <x:v>0</x:v>
      </x:c>
      <x:c r="AR464" s="22" t="n">
        <x:f>MAX(0,MIN('Activities'!L464,240)-MAX('Activities'!K464,234))</x:f>
        <x:v>0</x:v>
      </x:c>
      <x:c r="AS464" s="22" t="n">
        <x:f>MAX(0,MIN('Activities'!L464,246)-MAX('Activities'!K464,240))</x:f>
        <x:v>0</x:v>
      </x:c>
      <x:c r="AT464" s="22" t="n">
        <x:f>MAX(0,MIN('Activities'!L464,252)-MAX('Activities'!K464,246))</x:f>
        <x:v>0</x:v>
      </x:c>
      <x:c r="AU464" s="22" t="n">
        <x:f>MAX(0,MIN('Activities'!L464,258)-MAX('Activities'!K464,252))</x:f>
        <x:v>0</x:v>
      </x:c>
      <x:c r="AV464" s="22" t="n">
        <x:f>MAX(0,MIN('Activities'!L464,264)-MAX('Activities'!K464,258))</x:f>
        <x:v>0</x:v>
      </x:c>
      <x:c r="AW464" s="22" t="n">
        <x:f>MAX(0,MIN('Activities'!L464,270)-MAX('Activities'!K464,264))</x:f>
        <x:v>0</x:v>
      </x:c>
      <x:c r="AX464" s="22" t="n">
        <x:f>MAX(0,MIN('Activities'!L464,276)-MAX('Activities'!K464,270))</x:f>
        <x:v>0</x:v>
      </x:c>
      <x:c r="AY464" s="22" t="n">
        <x:f>MAX(0,MIN('Activities'!L464,282)-MAX('Activities'!K464,276))</x:f>
        <x:v>0</x:v>
      </x:c>
      <x:c r="AZ464" s="22" t="n">
        <x:f>MAX(0,MIN('Activities'!L464,288)-MAX('Activities'!K464,282))</x:f>
        <x:v>0</x:v>
      </x:c>
      <x:c r="BA464" s="22" t="n">
        <x:f>MAX(0,MIN('Activities'!L464,294)-MAX('Activities'!K464,288))</x:f>
        <x:v>0</x:v>
      </x:c>
      <x:c r="BB464" s="22" t="n">
        <x:f>MAX(0,MIN('Activities'!L464,300)-MAX('Activities'!K464,294))</x:f>
        <x:v>0</x:v>
      </x:c>
      <x:c r="BC464" s="22" t="n">
        <x:f>MAX(0,MIN('Activities'!L464,306)-MAX('Activities'!K464,300))</x:f>
        <x:v>0</x:v>
      </x:c>
      <x:c r="BD464" s="22" t="n">
        <x:f>MAX(0,MIN('Activities'!L464,312)-MAX('Activities'!K464,306))</x:f>
        <x:v>0</x:v>
      </x:c>
      <x:c r="BE464" s="22" t="n">
        <x:f>MAX(0,MIN('Activities'!L464,318)-MAX('Activities'!K464,312))</x:f>
        <x:v>0</x:v>
      </x:c>
      <x:c r="BF464" s="22" t="n">
        <x:f>MAX(0,MIN('Activities'!L464,324)-MAX('Activities'!K464,318))</x:f>
        <x:v>0</x:v>
      </x:c>
      <x:c r="BG464" s="22" t="n">
        <x:f>MAX(0,MIN('Activities'!L464,330)-MAX('Activities'!K464,324))</x:f>
        <x:v>0</x:v>
      </x:c>
      <x:c r="BH464" s="22" t="n">
        <x:f>MAX(0,MIN('Activities'!L464,336)-MAX('Activities'!K464,330))</x:f>
        <x:v>0</x:v>
      </x:c>
      <x:c r="BI464" s="22" t="n">
        <x:f>MAX(0,MIN('Activities'!L464,342)-MAX('Activities'!K464,336))</x:f>
        <x:v>0</x:v>
      </x:c>
      <x:c r="BJ464" s="22" t="n">
        <x:f>MAX(0,MIN('Activities'!L464,348)-MAX('Activities'!K464,342))</x:f>
        <x:v>0</x:v>
      </x:c>
      <x:c r="BK464" s="22" t="n">
        <x:f>MAX(0,MIN('Activities'!L464,354)-MAX('Activities'!K464,348))</x:f>
        <x:v>0</x:v>
      </x:c>
      <x:c r="BL464" s="22" t="n">
        <x:f>MAX(0,MIN('Activities'!L464,360)-MAX('Activities'!K464,354))</x:f>
        <x:v>0</x:v>
      </x:c>
      <x:c r="BM464" s="22" t="n">
        <x:f>MAX(0,MIN('Activities'!L464,366)-MAX('Activities'!K464,360))</x:f>
        <x:v>0</x:v>
      </x:c>
      <x:c r="BN464" s="22" t="n">
        <x:f>MAX(0,MIN('Activities'!L464,372)-MAX('Activities'!K464,366))</x:f>
        <x:v>0</x:v>
      </x:c>
      <x:c r="BO464" s="22" t="n">
        <x:f>MAX(0,MIN('Activities'!L464,378)-MAX('Activities'!K464,372))</x:f>
        <x:v>0</x:v>
      </x:c>
      <x:c r="BP464" s="22" t="n">
        <x:f>MAX(0,MIN('Activities'!L464,384)-MAX('Activities'!K464,378))</x:f>
        <x:v>0</x:v>
      </x:c>
      <x:c r="BQ464" s="22" t="n">
        <x:f>MAX(0,MIN('Activities'!L464,390)-MAX('Activities'!K464,384))</x:f>
        <x:v>0</x:v>
      </x:c>
      <x:c r="BR464" s="22" t="n">
        <x:f>MAX(0,MIN('Activities'!L464,396)-MAX('Activities'!K464,390))</x:f>
        <x:v>4</x:v>
      </x:c>
      <x:c r="BS464" s="22" t="n">
        <x:f>MAX(0,MIN('Activities'!L464,402)-MAX('Activities'!K464,396))</x:f>
        <x:v>1</x:v>
      </x:c>
      <x:c r="BT464" s="22" t="n">
        <x:f>MAX(0,MIN('Activities'!L464,408)-MAX('Activities'!K464,402))</x:f>
        <x:v>0</x:v>
      </x:c>
      <x:c r="BU464" s="22" t="n">
        <x:f>MAX(0,MIN('Activities'!L464,414)-MAX('Activities'!K464,408))</x:f>
        <x:v>0</x:v>
      </x:c>
      <x:c r="BV464" s="22" t="n">
        <x:f>MAX(0,MIN('Activities'!L464,420)-MAX('Activities'!K464,414))</x:f>
        <x:v>0</x:v>
      </x:c>
      <x:c r="BW464" s="22" t="n">
        <x:f>MAX(0,MIN('Activities'!L464,426)-MAX('Activities'!K464,420))</x:f>
        <x:v>0</x:v>
      </x:c>
      <x:c r="BX464" s="22" t="n">
        <x:f>MAX(0,MIN('Activities'!L464,432)-MAX('Activities'!K464,426))</x:f>
        <x:v>0</x:v>
      </x:c>
      <x:c r="BY464" s="22" t="n">
        <x:f>MAX(0,MIN('Activities'!L464,438)-MAX('Activities'!K464,432))</x:f>
        <x:v>0</x:v>
      </x:c>
      <x:c r="BZ464" s="22" t="n">
        <x:f>MAX(0,MIN('Activities'!L464,444)-MAX('Activities'!K464,438))</x:f>
        <x:v>0</x:v>
      </x:c>
      <x:c r="CA464" s="22" t="n">
        <x:f>MAX(0,MIN('Activities'!L464,450)-MAX('Activities'!K464,444))</x:f>
        <x:v>0</x:v>
      </x:c>
      <x:c r="CB464" s="22" t="n">
        <x:f>MAX(0,MIN('Activities'!L464,456)-MAX('Activities'!K464,450))</x:f>
        <x:v>0</x:v>
      </x:c>
      <x:c r="CC464" s="22" t="n">
        <x:f>MAX(0,MIN('Activities'!L464,462)-MAX('Activities'!K464,456))</x:f>
        <x:v>0</x:v>
      </x:c>
      <x:c r="CD464" s="22" t="n">
        <x:f>MAX(0,MIN('Activities'!L464,468)-MAX('Activities'!K464,462))</x:f>
        <x:v>0</x:v>
      </x:c>
      <x:c r="CE464" s="22" t="n">
        <x:f>MAX(0,MIN('Activities'!L464,474)-MAX('Activities'!K464,468))</x:f>
        <x:v>0</x:v>
      </x:c>
      <x:c r="CF464" s="22" t="n">
        <x:f>MAX(0,MIN('Activities'!L464,480)-MAX('Activities'!K464,474))</x:f>
        <x:v>0</x:v>
      </x:c>
      <x:c r="CG464" s="22" t="n">
        <x:f>MAX(0,MIN('Activities'!L464,486)-MAX('Activities'!K464,480))</x:f>
        <x:v>0</x:v>
      </x:c>
      <x:c r="CH464" s="22" t="n">
        <x:f>MAX(0,MIN('Activities'!L464,492)-MAX('Activities'!K464,486))</x:f>
        <x:v>0</x:v>
      </x:c>
      <x:c r="CI464" s="22" t="n">
        <x:f>MAX(0,MIN('Activities'!L464,498)-MAX('Activities'!K464,492))</x:f>
        <x:v>0</x:v>
      </x:c>
      <x:c r="CJ464" s="22" t="n">
        <x:f>MAX(0,MIN('Activities'!L464,504)-MAX('Activities'!K464,498))</x:f>
        <x:v>0</x:v>
      </x:c>
      <x:c r="CK464" s="22" t="n">
        <x:f>MAX(0,MIN('Activities'!L464,510)-MAX('Activities'!K464,504))</x:f>
        <x:v>0</x:v>
      </x:c>
      <x:c r="CL464" s="22" t="n">
        <x:f>MAX(0,MIN('Activities'!L464,516)-MAX('Activities'!K464,510))</x:f>
        <x:v>0</x:v>
      </x:c>
      <x:c r="CM464" s="22" t="n">
        <x:f>MAX(0,MIN('Activities'!L464,522)-MAX('Activities'!K464,516))</x:f>
        <x:v>0</x:v>
      </x:c>
      <x:c r="CN464" s="22" t="n">
        <x:f>MAX(0,MIN('Activities'!L464,528)-MAX('Activities'!K464,522))</x:f>
        <x:v>0</x:v>
      </x:c>
      <x:c r="CO464" s="22" t="n">
        <x:f>MAX(0,MIN('Activities'!L464,534)-MAX('Activities'!K464,528))</x:f>
        <x:v>0</x:v>
      </x:c>
      <x:c r="CP464" s="22" t="n">
        <x:f>MAX(0,MIN('Activities'!L464,540)-MAX('Activities'!K464,534))</x:f>
        <x:v>0</x:v>
      </x:c>
      <x:c r="CQ464" s="22" t="n">
        <x:f>MAX(0,MIN('Activities'!L464,546)-MAX('Activities'!K464,540))</x:f>
        <x:v>0</x:v>
      </x:c>
      <x:c r="CR464" s="22" t="n">
        <x:f>MAX(0,MIN('Activities'!L464,552)-MAX('Activities'!K464,546))</x:f>
        <x:v>0</x:v>
      </x:c>
      <x:c r="CS464" s="22" t="n">
        <x:f>MAX(0,MIN('Activities'!L464,558)-MAX('Activities'!K464,552))</x:f>
        <x:v>0</x:v>
      </x:c>
      <x:c r="CT464" s="22" t="n">
        <x:f>MAX(0,MIN('Activities'!L464,564)-MAX('Activities'!K464,558))</x:f>
        <x:v>0</x:v>
      </x:c>
      <x:c r="CU464" s="22" t="n">
        <x:f>MAX(0,MIN('Activities'!L464,570)-MAX('Activities'!K464,564))</x:f>
        <x:v>0</x:v>
      </x:c>
      <x:c r="CV464" s="22" t="n">
        <x:f>MAX(0,MIN('Activities'!L464,576)-MAX('Activities'!K464,570))</x:f>
        <x:v>0</x:v>
      </x:c>
      <x:c r="CW464" s="22" t="n">
        <x:f>MAX(0,MIN('Activities'!L464,582)-MAX('Activities'!K464,576))</x:f>
        <x:v>0</x:v>
      </x:c>
      <x:c r="CX464" s="22" t="n">
        <x:f>MAX(0,MIN('Activities'!L464,588)-MAX('Activities'!K464,582))</x:f>
        <x:v>0</x:v>
      </x:c>
      <x:c r="CY464" s="22" t="n">
        <x:f>MAX(0,MIN('Activities'!L464,594)-MAX('Activities'!K464,588))</x:f>
        <x:v>0</x:v>
      </x:c>
      <x:c r="CZ464" s="22" t="n">
        <x:f>MAX(0,MIN('Activities'!L464,600)-MAX('Activities'!K464,594))</x:f>
        <x:v>0</x:v>
      </x:c>
      <x:c r="DA464" s="22" t="n">
        <x:f>MAX(0,MIN('Activities'!L464,606)-MAX('Activities'!K464,600))</x:f>
        <x:v>0</x:v>
      </x:c>
      <x:c r="DB464" s="22" t="n">
        <x:f>MAX(0,MIN('Activities'!L464,612)-MAX('Activities'!K464,606))</x:f>
        <x:v>0</x:v>
      </x:c>
      <x:c r="DC464" s="22" t="n">
        <x:f>MAX(0,MIN('Activities'!L464,618)-MAX('Activities'!K464,612))</x:f>
        <x:v>0</x:v>
      </x:c>
      <x:c r="DD464" s="22" t="n">
        <x:f>MAX(0,MIN('Activities'!L464,624)-MAX('Activities'!K464,618))</x:f>
        <x:v>0</x:v>
      </x:c>
      <x:c r="DE464" s="22" t="n">
        <x:f>MAX(0,MIN('Activities'!L464,630)-MAX('Activities'!K464,624))</x:f>
        <x:v>0</x:v>
      </x:c>
      <x:c r="DF464" s="22" t="n">
        <x:f>MAX(0,MIN('Activities'!L464,636)-MAX('Activities'!K464,630))</x:f>
        <x:v>0</x:v>
      </x:c>
    </x:row>
    <x:row r="465" ht="23" customHeight="1">
      <x:c r="A465" s="1" t="str">
        <x:v>T4-L12-C</x:v>
      </x:c>
      <x:c r="B465" s="1" t="str">
        <x:v>T4</x:v>
      </x:c>
      <x:c r="C465" s="1" t="str">
        <x:v>Concrete placement and finishing</x:v>
      </x:c>
      <x:c r="D465" s="1" t="str">
        <x:v>Concrete</x:v>
      </x:c>
      <x:c r="E465" s="23" t="n">
        <x:f>MAX(0,MIN('Activities'!L465,6)-MAX('Activities'!K465,0))</x:f>
        <x:v>0</x:v>
      </x:c>
      <x:c r="F465" s="23" t="n">
        <x:f>MAX(0,MIN('Activities'!L465,12)-MAX('Activities'!K465,6))</x:f>
        <x:v>0</x:v>
      </x:c>
      <x:c r="G465" s="23" t="n">
        <x:f>MAX(0,MIN('Activities'!L465,18)-MAX('Activities'!K465,12))</x:f>
        <x:v>0</x:v>
      </x:c>
      <x:c r="H465" s="23" t="n">
        <x:f>MAX(0,MIN('Activities'!L465,24)-MAX('Activities'!K465,18))</x:f>
        <x:v>0</x:v>
      </x:c>
      <x:c r="I465" s="23" t="n">
        <x:f>MAX(0,MIN('Activities'!L465,30)-MAX('Activities'!K465,24))</x:f>
        <x:v>0</x:v>
      </x:c>
      <x:c r="J465" s="23" t="n">
        <x:f>MAX(0,MIN('Activities'!L465,36)-MAX('Activities'!K465,30))</x:f>
        <x:v>0</x:v>
      </x:c>
      <x:c r="K465" s="23" t="n">
        <x:f>MAX(0,MIN('Activities'!L465,42)-MAX('Activities'!K465,36))</x:f>
        <x:v>0</x:v>
      </x:c>
      <x:c r="L465" s="23" t="n">
        <x:f>MAX(0,MIN('Activities'!L465,48)-MAX('Activities'!K465,42))</x:f>
        <x:v>0</x:v>
      </x:c>
      <x:c r="M465" s="23" t="n">
        <x:f>MAX(0,MIN('Activities'!L465,54)-MAX('Activities'!K465,48))</x:f>
        <x:v>0</x:v>
      </x:c>
      <x:c r="N465" s="23" t="n">
        <x:f>MAX(0,MIN('Activities'!L465,60)-MAX('Activities'!K465,54))</x:f>
        <x:v>0</x:v>
      </x:c>
      <x:c r="O465" s="23" t="n">
        <x:f>MAX(0,MIN('Activities'!L465,66)-MAX('Activities'!K465,60))</x:f>
        <x:v>0</x:v>
      </x:c>
      <x:c r="P465" s="23" t="n">
        <x:f>MAX(0,MIN('Activities'!L465,72)-MAX('Activities'!K465,66))</x:f>
        <x:v>0</x:v>
      </x:c>
      <x:c r="Q465" s="23" t="n">
        <x:f>MAX(0,MIN('Activities'!L465,78)-MAX('Activities'!K465,72))</x:f>
        <x:v>0</x:v>
      </x:c>
      <x:c r="R465" s="23" t="n">
        <x:f>MAX(0,MIN('Activities'!L465,84)-MAX('Activities'!K465,78))</x:f>
        <x:v>0</x:v>
      </x:c>
      <x:c r="S465" s="23" t="n">
        <x:f>MAX(0,MIN('Activities'!L465,90)-MAX('Activities'!K465,84))</x:f>
        <x:v>0</x:v>
      </x:c>
      <x:c r="T465" s="23" t="n">
        <x:f>MAX(0,MIN('Activities'!L465,96)-MAX('Activities'!K465,90))</x:f>
        <x:v>0</x:v>
      </x:c>
      <x:c r="U465" s="23" t="n">
        <x:f>MAX(0,MIN('Activities'!L465,102)-MAX('Activities'!K465,96))</x:f>
        <x:v>0</x:v>
      </x:c>
      <x:c r="V465" s="23" t="n">
        <x:f>MAX(0,MIN('Activities'!L465,108)-MAX('Activities'!K465,102))</x:f>
        <x:v>0</x:v>
      </x:c>
      <x:c r="W465" s="23" t="n">
        <x:f>MAX(0,MIN('Activities'!L465,114)-MAX('Activities'!K465,108))</x:f>
        <x:v>0</x:v>
      </x:c>
      <x:c r="X465" s="23" t="n">
        <x:f>MAX(0,MIN('Activities'!L465,120)-MAX('Activities'!K465,114))</x:f>
        <x:v>0</x:v>
      </x:c>
      <x:c r="Y465" s="23" t="n">
        <x:f>MAX(0,MIN('Activities'!L465,126)-MAX('Activities'!K465,120))</x:f>
        <x:v>0</x:v>
      </x:c>
      <x:c r="Z465" s="23" t="n">
        <x:f>MAX(0,MIN('Activities'!L465,132)-MAX('Activities'!K465,126))</x:f>
        <x:v>0</x:v>
      </x:c>
      <x:c r="AA465" s="23" t="n">
        <x:f>MAX(0,MIN('Activities'!L465,138)-MAX('Activities'!K465,132))</x:f>
        <x:v>0</x:v>
      </x:c>
      <x:c r="AB465" s="23" t="n">
        <x:f>MAX(0,MIN('Activities'!L465,144)-MAX('Activities'!K465,138))</x:f>
        <x:v>0</x:v>
      </x:c>
      <x:c r="AC465" s="23" t="n">
        <x:f>MAX(0,MIN('Activities'!L465,150)-MAX('Activities'!K465,144))</x:f>
        <x:v>0</x:v>
      </x:c>
      <x:c r="AD465" s="23" t="n">
        <x:f>MAX(0,MIN('Activities'!L465,156)-MAX('Activities'!K465,150))</x:f>
        <x:v>0</x:v>
      </x:c>
      <x:c r="AE465" s="23" t="n">
        <x:f>MAX(0,MIN('Activities'!L465,162)-MAX('Activities'!K465,156))</x:f>
        <x:v>0</x:v>
      </x:c>
      <x:c r="AF465" s="23" t="n">
        <x:f>MAX(0,MIN('Activities'!L465,168)-MAX('Activities'!K465,162))</x:f>
        <x:v>0</x:v>
      </x:c>
      <x:c r="AG465" s="23" t="n">
        <x:f>MAX(0,MIN('Activities'!L465,174)-MAX('Activities'!K465,168))</x:f>
        <x:v>0</x:v>
      </x:c>
      <x:c r="AH465" s="23" t="n">
        <x:f>MAX(0,MIN('Activities'!L465,180)-MAX('Activities'!K465,174))</x:f>
        <x:v>0</x:v>
      </x:c>
      <x:c r="AI465" s="23" t="n">
        <x:f>MAX(0,MIN('Activities'!L465,186)-MAX('Activities'!K465,180))</x:f>
        <x:v>0</x:v>
      </x:c>
      <x:c r="AJ465" s="23" t="n">
        <x:f>MAX(0,MIN('Activities'!L465,192)-MAX('Activities'!K465,186))</x:f>
        <x:v>0</x:v>
      </x:c>
      <x:c r="AK465" s="23" t="n">
        <x:f>MAX(0,MIN('Activities'!L465,198)-MAX('Activities'!K465,192))</x:f>
        <x:v>0</x:v>
      </x:c>
      <x:c r="AL465" s="23" t="n">
        <x:f>MAX(0,MIN('Activities'!L465,204)-MAX('Activities'!K465,198))</x:f>
        <x:v>0</x:v>
      </x:c>
      <x:c r="AM465" s="23" t="n">
        <x:f>MAX(0,MIN('Activities'!L465,210)-MAX('Activities'!K465,204))</x:f>
        <x:v>0</x:v>
      </x:c>
      <x:c r="AN465" s="23" t="n">
        <x:f>MAX(0,MIN('Activities'!L465,216)-MAX('Activities'!K465,210))</x:f>
        <x:v>0</x:v>
      </x:c>
      <x:c r="AO465" s="23" t="n">
        <x:f>MAX(0,MIN('Activities'!L465,222)-MAX('Activities'!K465,216))</x:f>
        <x:v>0</x:v>
      </x:c>
      <x:c r="AP465" s="23" t="n">
        <x:f>MAX(0,MIN('Activities'!L465,228)-MAX('Activities'!K465,222))</x:f>
        <x:v>0</x:v>
      </x:c>
      <x:c r="AQ465" s="23" t="n">
        <x:f>MAX(0,MIN('Activities'!L465,234)-MAX('Activities'!K465,228))</x:f>
        <x:v>0</x:v>
      </x:c>
      <x:c r="AR465" s="23" t="n">
        <x:f>MAX(0,MIN('Activities'!L465,240)-MAX('Activities'!K465,234))</x:f>
        <x:v>0</x:v>
      </x:c>
      <x:c r="AS465" s="23" t="n">
        <x:f>MAX(0,MIN('Activities'!L465,246)-MAX('Activities'!K465,240))</x:f>
        <x:v>0</x:v>
      </x:c>
      <x:c r="AT465" s="23" t="n">
        <x:f>MAX(0,MIN('Activities'!L465,252)-MAX('Activities'!K465,246))</x:f>
        <x:v>0</x:v>
      </x:c>
      <x:c r="AU465" s="23" t="n">
        <x:f>MAX(0,MIN('Activities'!L465,258)-MAX('Activities'!K465,252))</x:f>
        <x:v>0</x:v>
      </x:c>
      <x:c r="AV465" s="23" t="n">
        <x:f>MAX(0,MIN('Activities'!L465,264)-MAX('Activities'!K465,258))</x:f>
        <x:v>0</x:v>
      </x:c>
      <x:c r="AW465" s="23" t="n">
        <x:f>MAX(0,MIN('Activities'!L465,270)-MAX('Activities'!K465,264))</x:f>
        <x:v>0</x:v>
      </x:c>
      <x:c r="AX465" s="23" t="n">
        <x:f>MAX(0,MIN('Activities'!L465,276)-MAX('Activities'!K465,270))</x:f>
        <x:v>0</x:v>
      </x:c>
      <x:c r="AY465" s="23" t="n">
        <x:f>MAX(0,MIN('Activities'!L465,282)-MAX('Activities'!K465,276))</x:f>
        <x:v>0</x:v>
      </x:c>
      <x:c r="AZ465" s="23" t="n">
        <x:f>MAX(0,MIN('Activities'!L465,288)-MAX('Activities'!K465,282))</x:f>
        <x:v>0</x:v>
      </x:c>
      <x:c r="BA465" s="23" t="n">
        <x:f>MAX(0,MIN('Activities'!L465,294)-MAX('Activities'!K465,288))</x:f>
        <x:v>0</x:v>
      </x:c>
      <x:c r="BB465" s="23" t="n">
        <x:f>MAX(0,MIN('Activities'!L465,300)-MAX('Activities'!K465,294))</x:f>
        <x:v>0</x:v>
      </x:c>
      <x:c r="BC465" s="23" t="n">
        <x:f>MAX(0,MIN('Activities'!L465,306)-MAX('Activities'!K465,300))</x:f>
        <x:v>0</x:v>
      </x:c>
      <x:c r="BD465" s="23" t="n">
        <x:f>MAX(0,MIN('Activities'!L465,312)-MAX('Activities'!K465,306))</x:f>
        <x:v>0</x:v>
      </x:c>
      <x:c r="BE465" s="23" t="n">
        <x:f>MAX(0,MIN('Activities'!L465,318)-MAX('Activities'!K465,312))</x:f>
        <x:v>0</x:v>
      </x:c>
      <x:c r="BF465" s="23" t="n">
        <x:f>MAX(0,MIN('Activities'!L465,324)-MAX('Activities'!K465,318))</x:f>
        <x:v>0</x:v>
      </x:c>
      <x:c r="BG465" s="23" t="n">
        <x:f>MAX(0,MIN('Activities'!L465,330)-MAX('Activities'!K465,324))</x:f>
        <x:v>0</x:v>
      </x:c>
      <x:c r="BH465" s="23" t="n">
        <x:f>MAX(0,MIN('Activities'!L465,336)-MAX('Activities'!K465,330))</x:f>
        <x:v>0</x:v>
      </x:c>
      <x:c r="BI465" s="23" t="n">
        <x:f>MAX(0,MIN('Activities'!L465,342)-MAX('Activities'!K465,336))</x:f>
        <x:v>0</x:v>
      </x:c>
      <x:c r="BJ465" s="23" t="n">
        <x:f>MAX(0,MIN('Activities'!L465,348)-MAX('Activities'!K465,342))</x:f>
        <x:v>0</x:v>
      </x:c>
      <x:c r="BK465" s="23" t="n">
        <x:f>MAX(0,MIN('Activities'!L465,354)-MAX('Activities'!K465,348))</x:f>
        <x:v>0</x:v>
      </x:c>
      <x:c r="BL465" s="23" t="n">
        <x:f>MAX(0,MIN('Activities'!L465,360)-MAX('Activities'!K465,354))</x:f>
        <x:v>0</x:v>
      </x:c>
      <x:c r="BM465" s="23" t="n">
        <x:f>MAX(0,MIN('Activities'!L465,366)-MAX('Activities'!K465,360))</x:f>
        <x:v>0</x:v>
      </x:c>
      <x:c r="BN465" s="23" t="n">
        <x:f>MAX(0,MIN('Activities'!L465,372)-MAX('Activities'!K465,366))</x:f>
        <x:v>0</x:v>
      </x:c>
      <x:c r="BO465" s="23" t="n">
        <x:f>MAX(0,MIN('Activities'!L465,378)-MAX('Activities'!K465,372))</x:f>
        <x:v>0</x:v>
      </x:c>
      <x:c r="BP465" s="23" t="n">
        <x:f>MAX(0,MIN('Activities'!L465,384)-MAX('Activities'!K465,378))</x:f>
        <x:v>0</x:v>
      </x:c>
      <x:c r="BQ465" s="23" t="n">
        <x:f>MAX(0,MIN('Activities'!L465,390)-MAX('Activities'!K465,384))</x:f>
        <x:v>0</x:v>
      </x:c>
      <x:c r="BR465" s="23" t="n">
        <x:f>MAX(0,MIN('Activities'!L465,396)-MAX('Activities'!K465,390))</x:f>
        <x:v>0</x:v>
      </x:c>
      <x:c r="BS465" s="23" t="n">
        <x:f>MAX(0,MIN('Activities'!L465,402)-MAX('Activities'!K465,396))</x:f>
        <x:v>2</x:v>
      </x:c>
      <x:c r="BT465" s="23" t="n">
        <x:f>MAX(0,MIN('Activities'!L465,408)-MAX('Activities'!K465,402))</x:f>
        <x:v>0</x:v>
      </x:c>
      <x:c r="BU465" s="23" t="n">
        <x:f>MAX(0,MIN('Activities'!L465,414)-MAX('Activities'!K465,408))</x:f>
        <x:v>0</x:v>
      </x:c>
      <x:c r="BV465" s="23" t="n">
        <x:f>MAX(0,MIN('Activities'!L465,420)-MAX('Activities'!K465,414))</x:f>
        <x:v>0</x:v>
      </x:c>
      <x:c r="BW465" s="23" t="n">
        <x:f>MAX(0,MIN('Activities'!L465,426)-MAX('Activities'!K465,420))</x:f>
        <x:v>0</x:v>
      </x:c>
      <x:c r="BX465" s="23" t="n">
        <x:f>MAX(0,MIN('Activities'!L465,432)-MAX('Activities'!K465,426))</x:f>
        <x:v>0</x:v>
      </x:c>
      <x:c r="BY465" s="23" t="n">
        <x:f>MAX(0,MIN('Activities'!L465,438)-MAX('Activities'!K465,432))</x:f>
        <x:v>0</x:v>
      </x:c>
      <x:c r="BZ465" s="23" t="n">
        <x:f>MAX(0,MIN('Activities'!L465,444)-MAX('Activities'!K465,438))</x:f>
        <x:v>0</x:v>
      </x:c>
      <x:c r="CA465" s="23" t="n">
        <x:f>MAX(0,MIN('Activities'!L465,450)-MAX('Activities'!K465,444))</x:f>
        <x:v>0</x:v>
      </x:c>
      <x:c r="CB465" s="23" t="n">
        <x:f>MAX(0,MIN('Activities'!L465,456)-MAX('Activities'!K465,450))</x:f>
        <x:v>0</x:v>
      </x:c>
      <x:c r="CC465" s="23" t="n">
        <x:f>MAX(0,MIN('Activities'!L465,462)-MAX('Activities'!K465,456))</x:f>
        <x:v>0</x:v>
      </x:c>
      <x:c r="CD465" s="23" t="n">
        <x:f>MAX(0,MIN('Activities'!L465,468)-MAX('Activities'!K465,462))</x:f>
        <x:v>0</x:v>
      </x:c>
      <x:c r="CE465" s="23" t="n">
        <x:f>MAX(0,MIN('Activities'!L465,474)-MAX('Activities'!K465,468))</x:f>
        <x:v>0</x:v>
      </x:c>
      <x:c r="CF465" s="23" t="n">
        <x:f>MAX(0,MIN('Activities'!L465,480)-MAX('Activities'!K465,474))</x:f>
        <x:v>0</x:v>
      </x:c>
      <x:c r="CG465" s="23" t="n">
        <x:f>MAX(0,MIN('Activities'!L465,486)-MAX('Activities'!K465,480))</x:f>
        <x:v>0</x:v>
      </x:c>
      <x:c r="CH465" s="23" t="n">
        <x:f>MAX(0,MIN('Activities'!L465,492)-MAX('Activities'!K465,486))</x:f>
        <x:v>0</x:v>
      </x:c>
      <x:c r="CI465" s="23" t="n">
        <x:f>MAX(0,MIN('Activities'!L465,498)-MAX('Activities'!K465,492))</x:f>
        <x:v>0</x:v>
      </x:c>
      <x:c r="CJ465" s="23" t="n">
        <x:f>MAX(0,MIN('Activities'!L465,504)-MAX('Activities'!K465,498))</x:f>
        <x:v>0</x:v>
      </x:c>
      <x:c r="CK465" s="23" t="n">
        <x:f>MAX(0,MIN('Activities'!L465,510)-MAX('Activities'!K465,504))</x:f>
        <x:v>0</x:v>
      </x:c>
      <x:c r="CL465" s="23" t="n">
        <x:f>MAX(0,MIN('Activities'!L465,516)-MAX('Activities'!K465,510))</x:f>
        <x:v>0</x:v>
      </x:c>
      <x:c r="CM465" s="23" t="n">
        <x:f>MAX(0,MIN('Activities'!L465,522)-MAX('Activities'!K465,516))</x:f>
        <x:v>0</x:v>
      </x:c>
      <x:c r="CN465" s="23" t="n">
        <x:f>MAX(0,MIN('Activities'!L465,528)-MAX('Activities'!K465,522))</x:f>
        <x:v>0</x:v>
      </x:c>
      <x:c r="CO465" s="23" t="n">
        <x:f>MAX(0,MIN('Activities'!L465,534)-MAX('Activities'!K465,528))</x:f>
        <x:v>0</x:v>
      </x:c>
      <x:c r="CP465" s="23" t="n">
        <x:f>MAX(0,MIN('Activities'!L465,540)-MAX('Activities'!K465,534))</x:f>
        <x:v>0</x:v>
      </x:c>
      <x:c r="CQ465" s="23" t="n">
        <x:f>MAX(0,MIN('Activities'!L465,546)-MAX('Activities'!K465,540))</x:f>
        <x:v>0</x:v>
      </x:c>
      <x:c r="CR465" s="23" t="n">
        <x:f>MAX(0,MIN('Activities'!L465,552)-MAX('Activities'!K465,546))</x:f>
        <x:v>0</x:v>
      </x:c>
      <x:c r="CS465" s="23" t="n">
        <x:f>MAX(0,MIN('Activities'!L465,558)-MAX('Activities'!K465,552))</x:f>
        <x:v>0</x:v>
      </x:c>
      <x:c r="CT465" s="23" t="n">
        <x:f>MAX(0,MIN('Activities'!L465,564)-MAX('Activities'!K465,558))</x:f>
        <x:v>0</x:v>
      </x:c>
      <x:c r="CU465" s="23" t="n">
        <x:f>MAX(0,MIN('Activities'!L465,570)-MAX('Activities'!K465,564))</x:f>
        <x:v>0</x:v>
      </x:c>
      <x:c r="CV465" s="23" t="n">
        <x:f>MAX(0,MIN('Activities'!L465,576)-MAX('Activities'!K465,570))</x:f>
        <x:v>0</x:v>
      </x:c>
      <x:c r="CW465" s="23" t="n">
        <x:f>MAX(0,MIN('Activities'!L465,582)-MAX('Activities'!K465,576))</x:f>
        <x:v>0</x:v>
      </x:c>
      <x:c r="CX465" s="23" t="n">
        <x:f>MAX(0,MIN('Activities'!L465,588)-MAX('Activities'!K465,582))</x:f>
        <x:v>0</x:v>
      </x:c>
      <x:c r="CY465" s="23" t="n">
        <x:f>MAX(0,MIN('Activities'!L465,594)-MAX('Activities'!K465,588))</x:f>
        <x:v>0</x:v>
      </x:c>
      <x:c r="CZ465" s="23" t="n">
        <x:f>MAX(0,MIN('Activities'!L465,600)-MAX('Activities'!K465,594))</x:f>
        <x:v>0</x:v>
      </x:c>
      <x:c r="DA465" s="23" t="n">
        <x:f>MAX(0,MIN('Activities'!L465,606)-MAX('Activities'!K465,600))</x:f>
        <x:v>0</x:v>
      </x:c>
      <x:c r="DB465" s="23" t="n">
        <x:f>MAX(0,MIN('Activities'!L465,612)-MAX('Activities'!K465,606))</x:f>
        <x:v>0</x:v>
      </x:c>
      <x:c r="DC465" s="23" t="n">
        <x:f>MAX(0,MIN('Activities'!L465,618)-MAX('Activities'!K465,612))</x:f>
        <x:v>0</x:v>
      </x:c>
      <x:c r="DD465" s="23" t="n">
        <x:f>MAX(0,MIN('Activities'!L465,624)-MAX('Activities'!K465,618))</x:f>
        <x:v>0</x:v>
      </x:c>
      <x:c r="DE465" s="23" t="n">
        <x:f>MAX(0,MIN('Activities'!L465,630)-MAX('Activities'!K465,624))</x:f>
        <x:v>0</x:v>
      </x:c>
      <x:c r="DF465" s="23" t="n">
        <x:f>MAX(0,MIN('Activities'!L465,636)-MAX('Activities'!K465,630))</x:f>
        <x:v>0</x:v>
      </x:c>
    </x:row>
    <x:row r="466" ht="23" customHeight="1">
      <x:c r="A466" s="6" t="str">
        <x:v>T4-L12-H</x:v>
      </x:c>
      <x:c r="B466" s="6" t="str">
        <x:v>T4</x:v>
      </x:c>
      <x:c r="C466" s="6" t="str">
        <x:v>Curing and release hold point</x:v>
      </x:c>
      <x:c r="D466" s="6" t="str">
        <x:v>Site</x:v>
      </x:c>
      <x:c r="E466" s="22" t="n">
        <x:f>MAX(0,MIN('Activities'!L466,6)-MAX('Activities'!K466,0))</x:f>
        <x:v>0</x:v>
      </x:c>
      <x:c r="F466" s="22" t="n">
        <x:f>MAX(0,MIN('Activities'!L466,12)-MAX('Activities'!K466,6))</x:f>
        <x:v>0</x:v>
      </x:c>
      <x:c r="G466" s="22" t="n">
        <x:f>MAX(0,MIN('Activities'!L466,18)-MAX('Activities'!K466,12))</x:f>
        <x:v>0</x:v>
      </x:c>
      <x:c r="H466" s="22" t="n">
        <x:f>MAX(0,MIN('Activities'!L466,24)-MAX('Activities'!K466,18))</x:f>
        <x:v>0</x:v>
      </x:c>
      <x:c r="I466" s="22" t="n">
        <x:f>MAX(0,MIN('Activities'!L466,30)-MAX('Activities'!K466,24))</x:f>
        <x:v>0</x:v>
      </x:c>
      <x:c r="J466" s="22" t="n">
        <x:f>MAX(0,MIN('Activities'!L466,36)-MAX('Activities'!K466,30))</x:f>
        <x:v>0</x:v>
      </x:c>
      <x:c r="K466" s="22" t="n">
        <x:f>MAX(0,MIN('Activities'!L466,42)-MAX('Activities'!K466,36))</x:f>
        <x:v>0</x:v>
      </x:c>
      <x:c r="L466" s="22" t="n">
        <x:f>MAX(0,MIN('Activities'!L466,48)-MAX('Activities'!K466,42))</x:f>
        <x:v>0</x:v>
      </x:c>
      <x:c r="M466" s="22" t="n">
        <x:f>MAX(0,MIN('Activities'!L466,54)-MAX('Activities'!K466,48))</x:f>
        <x:v>0</x:v>
      </x:c>
      <x:c r="N466" s="22" t="n">
        <x:f>MAX(0,MIN('Activities'!L466,60)-MAX('Activities'!K466,54))</x:f>
        <x:v>0</x:v>
      </x:c>
      <x:c r="O466" s="22" t="n">
        <x:f>MAX(0,MIN('Activities'!L466,66)-MAX('Activities'!K466,60))</x:f>
        <x:v>0</x:v>
      </x:c>
      <x:c r="P466" s="22" t="n">
        <x:f>MAX(0,MIN('Activities'!L466,72)-MAX('Activities'!K466,66))</x:f>
        <x:v>0</x:v>
      </x:c>
      <x:c r="Q466" s="22" t="n">
        <x:f>MAX(0,MIN('Activities'!L466,78)-MAX('Activities'!K466,72))</x:f>
        <x:v>0</x:v>
      </x:c>
      <x:c r="R466" s="22" t="n">
        <x:f>MAX(0,MIN('Activities'!L466,84)-MAX('Activities'!K466,78))</x:f>
        <x:v>0</x:v>
      </x:c>
      <x:c r="S466" s="22" t="n">
        <x:f>MAX(0,MIN('Activities'!L466,90)-MAX('Activities'!K466,84))</x:f>
        <x:v>0</x:v>
      </x:c>
      <x:c r="T466" s="22" t="n">
        <x:f>MAX(0,MIN('Activities'!L466,96)-MAX('Activities'!K466,90))</x:f>
        <x:v>0</x:v>
      </x:c>
      <x:c r="U466" s="22" t="n">
        <x:f>MAX(0,MIN('Activities'!L466,102)-MAX('Activities'!K466,96))</x:f>
        <x:v>0</x:v>
      </x:c>
      <x:c r="V466" s="22" t="n">
        <x:f>MAX(0,MIN('Activities'!L466,108)-MAX('Activities'!K466,102))</x:f>
        <x:v>0</x:v>
      </x:c>
      <x:c r="W466" s="22" t="n">
        <x:f>MAX(0,MIN('Activities'!L466,114)-MAX('Activities'!K466,108))</x:f>
        <x:v>0</x:v>
      </x:c>
      <x:c r="X466" s="22" t="n">
        <x:f>MAX(0,MIN('Activities'!L466,120)-MAX('Activities'!K466,114))</x:f>
        <x:v>0</x:v>
      </x:c>
      <x:c r="Y466" s="22" t="n">
        <x:f>MAX(0,MIN('Activities'!L466,126)-MAX('Activities'!K466,120))</x:f>
        <x:v>0</x:v>
      </x:c>
      <x:c r="Z466" s="22" t="n">
        <x:f>MAX(0,MIN('Activities'!L466,132)-MAX('Activities'!K466,126))</x:f>
        <x:v>0</x:v>
      </x:c>
      <x:c r="AA466" s="22" t="n">
        <x:f>MAX(0,MIN('Activities'!L466,138)-MAX('Activities'!K466,132))</x:f>
        <x:v>0</x:v>
      </x:c>
      <x:c r="AB466" s="22" t="n">
        <x:f>MAX(0,MIN('Activities'!L466,144)-MAX('Activities'!K466,138))</x:f>
        <x:v>0</x:v>
      </x:c>
      <x:c r="AC466" s="22" t="n">
        <x:f>MAX(0,MIN('Activities'!L466,150)-MAX('Activities'!K466,144))</x:f>
        <x:v>0</x:v>
      </x:c>
      <x:c r="AD466" s="22" t="n">
        <x:f>MAX(0,MIN('Activities'!L466,156)-MAX('Activities'!K466,150))</x:f>
        <x:v>0</x:v>
      </x:c>
      <x:c r="AE466" s="22" t="n">
        <x:f>MAX(0,MIN('Activities'!L466,162)-MAX('Activities'!K466,156))</x:f>
        <x:v>0</x:v>
      </x:c>
      <x:c r="AF466" s="22" t="n">
        <x:f>MAX(0,MIN('Activities'!L466,168)-MAX('Activities'!K466,162))</x:f>
        <x:v>0</x:v>
      </x:c>
      <x:c r="AG466" s="22" t="n">
        <x:f>MAX(0,MIN('Activities'!L466,174)-MAX('Activities'!K466,168))</x:f>
        <x:v>0</x:v>
      </x:c>
      <x:c r="AH466" s="22" t="n">
        <x:f>MAX(0,MIN('Activities'!L466,180)-MAX('Activities'!K466,174))</x:f>
        <x:v>0</x:v>
      </x:c>
      <x:c r="AI466" s="22" t="n">
        <x:f>MAX(0,MIN('Activities'!L466,186)-MAX('Activities'!K466,180))</x:f>
        <x:v>0</x:v>
      </x:c>
      <x:c r="AJ466" s="22" t="n">
        <x:f>MAX(0,MIN('Activities'!L466,192)-MAX('Activities'!K466,186))</x:f>
        <x:v>0</x:v>
      </x:c>
      <x:c r="AK466" s="22" t="n">
        <x:f>MAX(0,MIN('Activities'!L466,198)-MAX('Activities'!K466,192))</x:f>
        <x:v>0</x:v>
      </x:c>
      <x:c r="AL466" s="22" t="n">
        <x:f>MAX(0,MIN('Activities'!L466,204)-MAX('Activities'!K466,198))</x:f>
        <x:v>0</x:v>
      </x:c>
      <x:c r="AM466" s="22" t="n">
        <x:f>MAX(0,MIN('Activities'!L466,210)-MAX('Activities'!K466,204))</x:f>
        <x:v>0</x:v>
      </x:c>
      <x:c r="AN466" s="22" t="n">
        <x:f>MAX(0,MIN('Activities'!L466,216)-MAX('Activities'!K466,210))</x:f>
        <x:v>0</x:v>
      </x:c>
      <x:c r="AO466" s="22" t="n">
        <x:f>MAX(0,MIN('Activities'!L466,222)-MAX('Activities'!K466,216))</x:f>
        <x:v>0</x:v>
      </x:c>
      <x:c r="AP466" s="22" t="n">
        <x:f>MAX(0,MIN('Activities'!L466,228)-MAX('Activities'!K466,222))</x:f>
        <x:v>0</x:v>
      </x:c>
      <x:c r="AQ466" s="22" t="n">
        <x:f>MAX(0,MIN('Activities'!L466,234)-MAX('Activities'!K466,228))</x:f>
        <x:v>0</x:v>
      </x:c>
      <x:c r="AR466" s="22" t="n">
        <x:f>MAX(0,MIN('Activities'!L466,240)-MAX('Activities'!K466,234))</x:f>
        <x:v>0</x:v>
      </x:c>
      <x:c r="AS466" s="22" t="n">
        <x:f>MAX(0,MIN('Activities'!L466,246)-MAX('Activities'!K466,240))</x:f>
        <x:v>0</x:v>
      </x:c>
      <x:c r="AT466" s="22" t="n">
        <x:f>MAX(0,MIN('Activities'!L466,252)-MAX('Activities'!K466,246))</x:f>
        <x:v>0</x:v>
      </x:c>
      <x:c r="AU466" s="22" t="n">
        <x:f>MAX(0,MIN('Activities'!L466,258)-MAX('Activities'!K466,252))</x:f>
        <x:v>0</x:v>
      </x:c>
      <x:c r="AV466" s="22" t="n">
        <x:f>MAX(0,MIN('Activities'!L466,264)-MAX('Activities'!K466,258))</x:f>
        <x:v>0</x:v>
      </x:c>
      <x:c r="AW466" s="22" t="n">
        <x:f>MAX(0,MIN('Activities'!L466,270)-MAX('Activities'!K466,264))</x:f>
        <x:v>0</x:v>
      </x:c>
      <x:c r="AX466" s="22" t="n">
        <x:f>MAX(0,MIN('Activities'!L466,276)-MAX('Activities'!K466,270))</x:f>
        <x:v>0</x:v>
      </x:c>
      <x:c r="AY466" s="22" t="n">
        <x:f>MAX(0,MIN('Activities'!L466,282)-MAX('Activities'!K466,276))</x:f>
        <x:v>0</x:v>
      </x:c>
      <x:c r="AZ466" s="22" t="n">
        <x:f>MAX(0,MIN('Activities'!L466,288)-MAX('Activities'!K466,282))</x:f>
        <x:v>0</x:v>
      </x:c>
      <x:c r="BA466" s="22" t="n">
        <x:f>MAX(0,MIN('Activities'!L466,294)-MAX('Activities'!K466,288))</x:f>
        <x:v>0</x:v>
      </x:c>
      <x:c r="BB466" s="22" t="n">
        <x:f>MAX(0,MIN('Activities'!L466,300)-MAX('Activities'!K466,294))</x:f>
        <x:v>0</x:v>
      </x:c>
      <x:c r="BC466" s="22" t="n">
        <x:f>MAX(0,MIN('Activities'!L466,306)-MAX('Activities'!K466,300))</x:f>
        <x:v>0</x:v>
      </x:c>
      <x:c r="BD466" s="22" t="n">
        <x:f>MAX(0,MIN('Activities'!L466,312)-MAX('Activities'!K466,306))</x:f>
        <x:v>0</x:v>
      </x:c>
      <x:c r="BE466" s="22" t="n">
        <x:f>MAX(0,MIN('Activities'!L466,318)-MAX('Activities'!K466,312))</x:f>
        <x:v>0</x:v>
      </x:c>
      <x:c r="BF466" s="22" t="n">
        <x:f>MAX(0,MIN('Activities'!L466,324)-MAX('Activities'!K466,318))</x:f>
        <x:v>0</x:v>
      </x:c>
      <x:c r="BG466" s="22" t="n">
        <x:f>MAX(0,MIN('Activities'!L466,330)-MAX('Activities'!K466,324))</x:f>
        <x:v>0</x:v>
      </x:c>
      <x:c r="BH466" s="22" t="n">
        <x:f>MAX(0,MIN('Activities'!L466,336)-MAX('Activities'!K466,330))</x:f>
        <x:v>0</x:v>
      </x:c>
      <x:c r="BI466" s="22" t="n">
        <x:f>MAX(0,MIN('Activities'!L466,342)-MAX('Activities'!K466,336))</x:f>
        <x:v>0</x:v>
      </x:c>
      <x:c r="BJ466" s="22" t="n">
        <x:f>MAX(0,MIN('Activities'!L466,348)-MAX('Activities'!K466,342))</x:f>
        <x:v>0</x:v>
      </x:c>
      <x:c r="BK466" s="22" t="n">
        <x:f>MAX(0,MIN('Activities'!L466,354)-MAX('Activities'!K466,348))</x:f>
        <x:v>0</x:v>
      </x:c>
      <x:c r="BL466" s="22" t="n">
        <x:f>MAX(0,MIN('Activities'!L466,360)-MAX('Activities'!K466,354))</x:f>
        <x:v>0</x:v>
      </x:c>
      <x:c r="BM466" s="22" t="n">
        <x:f>MAX(0,MIN('Activities'!L466,366)-MAX('Activities'!K466,360))</x:f>
        <x:v>0</x:v>
      </x:c>
      <x:c r="BN466" s="22" t="n">
        <x:f>MAX(0,MIN('Activities'!L466,372)-MAX('Activities'!K466,366))</x:f>
        <x:v>0</x:v>
      </x:c>
      <x:c r="BO466" s="22" t="n">
        <x:f>MAX(0,MIN('Activities'!L466,378)-MAX('Activities'!K466,372))</x:f>
        <x:v>0</x:v>
      </x:c>
      <x:c r="BP466" s="22" t="n">
        <x:f>MAX(0,MIN('Activities'!L466,384)-MAX('Activities'!K466,378))</x:f>
        <x:v>0</x:v>
      </x:c>
      <x:c r="BQ466" s="22" t="n">
        <x:f>MAX(0,MIN('Activities'!L466,390)-MAX('Activities'!K466,384))</x:f>
        <x:v>0</x:v>
      </x:c>
      <x:c r="BR466" s="22" t="n">
        <x:f>MAX(0,MIN('Activities'!L466,396)-MAX('Activities'!K466,390))</x:f>
        <x:v>0</x:v>
      </x:c>
      <x:c r="BS466" s="22" t="n">
        <x:f>MAX(0,MIN('Activities'!L466,402)-MAX('Activities'!K466,396))</x:f>
        <x:v>3</x:v>
      </x:c>
      <x:c r="BT466" s="22" t="n">
        <x:f>MAX(0,MIN('Activities'!L466,408)-MAX('Activities'!K466,402))</x:f>
        <x:v>2</x:v>
      </x:c>
      <x:c r="BU466" s="22" t="n">
        <x:f>MAX(0,MIN('Activities'!L466,414)-MAX('Activities'!K466,408))</x:f>
        <x:v>0</x:v>
      </x:c>
      <x:c r="BV466" s="22" t="n">
        <x:f>MAX(0,MIN('Activities'!L466,420)-MAX('Activities'!K466,414))</x:f>
        <x:v>0</x:v>
      </x:c>
      <x:c r="BW466" s="22" t="n">
        <x:f>MAX(0,MIN('Activities'!L466,426)-MAX('Activities'!K466,420))</x:f>
        <x:v>0</x:v>
      </x:c>
      <x:c r="BX466" s="22" t="n">
        <x:f>MAX(0,MIN('Activities'!L466,432)-MAX('Activities'!K466,426))</x:f>
        <x:v>0</x:v>
      </x:c>
      <x:c r="BY466" s="22" t="n">
        <x:f>MAX(0,MIN('Activities'!L466,438)-MAX('Activities'!K466,432))</x:f>
        <x:v>0</x:v>
      </x:c>
      <x:c r="BZ466" s="22" t="n">
        <x:f>MAX(0,MIN('Activities'!L466,444)-MAX('Activities'!K466,438))</x:f>
        <x:v>0</x:v>
      </x:c>
      <x:c r="CA466" s="22" t="n">
        <x:f>MAX(0,MIN('Activities'!L466,450)-MAX('Activities'!K466,444))</x:f>
        <x:v>0</x:v>
      </x:c>
      <x:c r="CB466" s="22" t="n">
        <x:f>MAX(0,MIN('Activities'!L466,456)-MAX('Activities'!K466,450))</x:f>
        <x:v>0</x:v>
      </x:c>
      <x:c r="CC466" s="22" t="n">
        <x:f>MAX(0,MIN('Activities'!L466,462)-MAX('Activities'!K466,456))</x:f>
        <x:v>0</x:v>
      </x:c>
      <x:c r="CD466" s="22" t="n">
        <x:f>MAX(0,MIN('Activities'!L466,468)-MAX('Activities'!K466,462))</x:f>
        <x:v>0</x:v>
      </x:c>
      <x:c r="CE466" s="22" t="n">
        <x:f>MAX(0,MIN('Activities'!L466,474)-MAX('Activities'!K466,468))</x:f>
        <x:v>0</x:v>
      </x:c>
      <x:c r="CF466" s="22" t="n">
        <x:f>MAX(0,MIN('Activities'!L466,480)-MAX('Activities'!K466,474))</x:f>
        <x:v>0</x:v>
      </x:c>
      <x:c r="CG466" s="22" t="n">
        <x:f>MAX(0,MIN('Activities'!L466,486)-MAX('Activities'!K466,480))</x:f>
        <x:v>0</x:v>
      </x:c>
      <x:c r="CH466" s="22" t="n">
        <x:f>MAX(0,MIN('Activities'!L466,492)-MAX('Activities'!K466,486))</x:f>
        <x:v>0</x:v>
      </x:c>
      <x:c r="CI466" s="22" t="n">
        <x:f>MAX(0,MIN('Activities'!L466,498)-MAX('Activities'!K466,492))</x:f>
        <x:v>0</x:v>
      </x:c>
      <x:c r="CJ466" s="22" t="n">
        <x:f>MAX(0,MIN('Activities'!L466,504)-MAX('Activities'!K466,498))</x:f>
        <x:v>0</x:v>
      </x:c>
      <x:c r="CK466" s="22" t="n">
        <x:f>MAX(0,MIN('Activities'!L466,510)-MAX('Activities'!K466,504))</x:f>
        <x:v>0</x:v>
      </x:c>
      <x:c r="CL466" s="22" t="n">
        <x:f>MAX(0,MIN('Activities'!L466,516)-MAX('Activities'!K466,510))</x:f>
        <x:v>0</x:v>
      </x:c>
      <x:c r="CM466" s="22" t="n">
        <x:f>MAX(0,MIN('Activities'!L466,522)-MAX('Activities'!K466,516))</x:f>
        <x:v>0</x:v>
      </x:c>
      <x:c r="CN466" s="22" t="n">
        <x:f>MAX(0,MIN('Activities'!L466,528)-MAX('Activities'!K466,522))</x:f>
        <x:v>0</x:v>
      </x:c>
      <x:c r="CO466" s="22" t="n">
        <x:f>MAX(0,MIN('Activities'!L466,534)-MAX('Activities'!K466,528))</x:f>
        <x:v>0</x:v>
      </x:c>
      <x:c r="CP466" s="22" t="n">
        <x:f>MAX(0,MIN('Activities'!L466,540)-MAX('Activities'!K466,534))</x:f>
        <x:v>0</x:v>
      </x:c>
      <x:c r="CQ466" s="22" t="n">
        <x:f>MAX(0,MIN('Activities'!L466,546)-MAX('Activities'!K466,540))</x:f>
        <x:v>0</x:v>
      </x:c>
      <x:c r="CR466" s="22" t="n">
        <x:f>MAX(0,MIN('Activities'!L466,552)-MAX('Activities'!K466,546))</x:f>
        <x:v>0</x:v>
      </x:c>
      <x:c r="CS466" s="22" t="n">
        <x:f>MAX(0,MIN('Activities'!L466,558)-MAX('Activities'!K466,552))</x:f>
        <x:v>0</x:v>
      </x:c>
      <x:c r="CT466" s="22" t="n">
        <x:f>MAX(0,MIN('Activities'!L466,564)-MAX('Activities'!K466,558))</x:f>
        <x:v>0</x:v>
      </x:c>
      <x:c r="CU466" s="22" t="n">
        <x:f>MAX(0,MIN('Activities'!L466,570)-MAX('Activities'!K466,564))</x:f>
        <x:v>0</x:v>
      </x:c>
      <x:c r="CV466" s="22" t="n">
        <x:f>MAX(0,MIN('Activities'!L466,576)-MAX('Activities'!K466,570))</x:f>
        <x:v>0</x:v>
      </x:c>
      <x:c r="CW466" s="22" t="n">
        <x:f>MAX(0,MIN('Activities'!L466,582)-MAX('Activities'!K466,576))</x:f>
        <x:v>0</x:v>
      </x:c>
      <x:c r="CX466" s="22" t="n">
        <x:f>MAX(0,MIN('Activities'!L466,588)-MAX('Activities'!K466,582))</x:f>
        <x:v>0</x:v>
      </x:c>
      <x:c r="CY466" s="22" t="n">
        <x:f>MAX(0,MIN('Activities'!L466,594)-MAX('Activities'!K466,588))</x:f>
        <x:v>0</x:v>
      </x:c>
      <x:c r="CZ466" s="22" t="n">
        <x:f>MAX(0,MIN('Activities'!L466,600)-MAX('Activities'!K466,594))</x:f>
        <x:v>0</x:v>
      </x:c>
      <x:c r="DA466" s="22" t="n">
        <x:f>MAX(0,MIN('Activities'!L466,606)-MAX('Activities'!K466,600))</x:f>
        <x:v>0</x:v>
      </x:c>
      <x:c r="DB466" s="22" t="n">
        <x:f>MAX(0,MIN('Activities'!L466,612)-MAX('Activities'!K466,606))</x:f>
        <x:v>0</x:v>
      </x:c>
      <x:c r="DC466" s="22" t="n">
        <x:f>MAX(0,MIN('Activities'!L466,618)-MAX('Activities'!K466,612))</x:f>
        <x:v>0</x:v>
      </x:c>
      <x:c r="DD466" s="22" t="n">
        <x:f>MAX(0,MIN('Activities'!L466,624)-MAX('Activities'!K466,618))</x:f>
        <x:v>0</x:v>
      </x:c>
      <x:c r="DE466" s="22" t="n">
        <x:f>MAX(0,MIN('Activities'!L466,630)-MAX('Activities'!K466,624))</x:f>
        <x:v>0</x:v>
      </x:c>
      <x:c r="DF466" s="22" t="n">
        <x:f>MAX(0,MIN('Activities'!L466,636)-MAX('Activities'!K466,630))</x:f>
        <x:v>0</x:v>
      </x:c>
    </x:row>
    <x:row r="467" ht="23" customHeight="1">
      <x:c r="A467" s="1" t="str">
        <x:v>T4-RF</x:v>
      </x:c>
      <x:c r="B467" s="1" t="str">
        <x:v>T4</x:v>
      </x:c>
      <x:c r="C467" s="1" t="str">
        <x:v>Roof membrane and weatherproofing</x:v>
      </x:c>
      <x:c r="D467" s="1" t="str">
        <x:v>Envelope</x:v>
      </x:c>
      <x:c r="E467" s="23" t="n">
        <x:f>MAX(0,MIN('Activities'!L467,6)-MAX('Activities'!K467,0))</x:f>
        <x:v>0</x:v>
      </x:c>
      <x:c r="F467" s="23" t="n">
        <x:f>MAX(0,MIN('Activities'!L467,12)-MAX('Activities'!K467,6))</x:f>
        <x:v>0</x:v>
      </x:c>
      <x:c r="G467" s="23" t="n">
        <x:f>MAX(0,MIN('Activities'!L467,18)-MAX('Activities'!K467,12))</x:f>
        <x:v>0</x:v>
      </x:c>
      <x:c r="H467" s="23" t="n">
        <x:f>MAX(0,MIN('Activities'!L467,24)-MAX('Activities'!K467,18))</x:f>
        <x:v>0</x:v>
      </x:c>
      <x:c r="I467" s="23" t="n">
        <x:f>MAX(0,MIN('Activities'!L467,30)-MAX('Activities'!K467,24))</x:f>
        <x:v>0</x:v>
      </x:c>
      <x:c r="J467" s="23" t="n">
        <x:f>MAX(0,MIN('Activities'!L467,36)-MAX('Activities'!K467,30))</x:f>
        <x:v>0</x:v>
      </x:c>
      <x:c r="K467" s="23" t="n">
        <x:f>MAX(0,MIN('Activities'!L467,42)-MAX('Activities'!K467,36))</x:f>
        <x:v>0</x:v>
      </x:c>
      <x:c r="L467" s="23" t="n">
        <x:f>MAX(0,MIN('Activities'!L467,48)-MAX('Activities'!K467,42))</x:f>
        <x:v>0</x:v>
      </x:c>
      <x:c r="M467" s="23" t="n">
        <x:f>MAX(0,MIN('Activities'!L467,54)-MAX('Activities'!K467,48))</x:f>
        <x:v>0</x:v>
      </x:c>
      <x:c r="N467" s="23" t="n">
        <x:f>MAX(0,MIN('Activities'!L467,60)-MAX('Activities'!K467,54))</x:f>
        <x:v>0</x:v>
      </x:c>
      <x:c r="O467" s="23" t="n">
        <x:f>MAX(0,MIN('Activities'!L467,66)-MAX('Activities'!K467,60))</x:f>
        <x:v>0</x:v>
      </x:c>
      <x:c r="P467" s="23" t="n">
        <x:f>MAX(0,MIN('Activities'!L467,72)-MAX('Activities'!K467,66))</x:f>
        <x:v>0</x:v>
      </x:c>
      <x:c r="Q467" s="23" t="n">
        <x:f>MAX(0,MIN('Activities'!L467,78)-MAX('Activities'!K467,72))</x:f>
        <x:v>0</x:v>
      </x:c>
      <x:c r="R467" s="23" t="n">
        <x:f>MAX(0,MIN('Activities'!L467,84)-MAX('Activities'!K467,78))</x:f>
        <x:v>0</x:v>
      </x:c>
      <x:c r="S467" s="23" t="n">
        <x:f>MAX(0,MIN('Activities'!L467,90)-MAX('Activities'!K467,84))</x:f>
        <x:v>0</x:v>
      </x:c>
      <x:c r="T467" s="23" t="n">
        <x:f>MAX(0,MIN('Activities'!L467,96)-MAX('Activities'!K467,90))</x:f>
        <x:v>0</x:v>
      </x:c>
      <x:c r="U467" s="23" t="n">
        <x:f>MAX(0,MIN('Activities'!L467,102)-MAX('Activities'!K467,96))</x:f>
        <x:v>0</x:v>
      </x:c>
      <x:c r="V467" s="23" t="n">
        <x:f>MAX(0,MIN('Activities'!L467,108)-MAX('Activities'!K467,102))</x:f>
        <x:v>0</x:v>
      </x:c>
      <x:c r="W467" s="23" t="n">
        <x:f>MAX(0,MIN('Activities'!L467,114)-MAX('Activities'!K467,108))</x:f>
        <x:v>0</x:v>
      </x:c>
      <x:c r="X467" s="23" t="n">
        <x:f>MAX(0,MIN('Activities'!L467,120)-MAX('Activities'!K467,114))</x:f>
        <x:v>0</x:v>
      </x:c>
      <x:c r="Y467" s="23" t="n">
        <x:f>MAX(0,MIN('Activities'!L467,126)-MAX('Activities'!K467,120))</x:f>
        <x:v>0</x:v>
      </x:c>
      <x:c r="Z467" s="23" t="n">
        <x:f>MAX(0,MIN('Activities'!L467,132)-MAX('Activities'!K467,126))</x:f>
        <x:v>0</x:v>
      </x:c>
      <x:c r="AA467" s="23" t="n">
        <x:f>MAX(0,MIN('Activities'!L467,138)-MAX('Activities'!K467,132))</x:f>
        <x:v>0</x:v>
      </x:c>
      <x:c r="AB467" s="23" t="n">
        <x:f>MAX(0,MIN('Activities'!L467,144)-MAX('Activities'!K467,138))</x:f>
        <x:v>0</x:v>
      </x:c>
      <x:c r="AC467" s="23" t="n">
        <x:f>MAX(0,MIN('Activities'!L467,150)-MAX('Activities'!K467,144))</x:f>
        <x:v>0</x:v>
      </x:c>
      <x:c r="AD467" s="23" t="n">
        <x:f>MAX(0,MIN('Activities'!L467,156)-MAX('Activities'!K467,150))</x:f>
        <x:v>0</x:v>
      </x:c>
      <x:c r="AE467" s="23" t="n">
        <x:f>MAX(0,MIN('Activities'!L467,162)-MAX('Activities'!K467,156))</x:f>
        <x:v>0</x:v>
      </x:c>
      <x:c r="AF467" s="23" t="n">
        <x:f>MAX(0,MIN('Activities'!L467,168)-MAX('Activities'!K467,162))</x:f>
        <x:v>0</x:v>
      </x:c>
      <x:c r="AG467" s="23" t="n">
        <x:f>MAX(0,MIN('Activities'!L467,174)-MAX('Activities'!K467,168))</x:f>
        <x:v>0</x:v>
      </x:c>
      <x:c r="AH467" s="23" t="n">
        <x:f>MAX(0,MIN('Activities'!L467,180)-MAX('Activities'!K467,174))</x:f>
        <x:v>0</x:v>
      </x:c>
      <x:c r="AI467" s="23" t="n">
        <x:f>MAX(0,MIN('Activities'!L467,186)-MAX('Activities'!K467,180))</x:f>
        <x:v>0</x:v>
      </x:c>
      <x:c r="AJ467" s="23" t="n">
        <x:f>MAX(0,MIN('Activities'!L467,192)-MAX('Activities'!K467,186))</x:f>
        <x:v>0</x:v>
      </x:c>
      <x:c r="AK467" s="23" t="n">
        <x:f>MAX(0,MIN('Activities'!L467,198)-MAX('Activities'!K467,192))</x:f>
        <x:v>0</x:v>
      </x:c>
      <x:c r="AL467" s="23" t="n">
        <x:f>MAX(0,MIN('Activities'!L467,204)-MAX('Activities'!K467,198))</x:f>
        <x:v>0</x:v>
      </x:c>
      <x:c r="AM467" s="23" t="n">
        <x:f>MAX(0,MIN('Activities'!L467,210)-MAX('Activities'!K467,204))</x:f>
        <x:v>0</x:v>
      </x:c>
      <x:c r="AN467" s="23" t="n">
        <x:f>MAX(0,MIN('Activities'!L467,216)-MAX('Activities'!K467,210))</x:f>
        <x:v>0</x:v>
      </x:c>
      <x:c r="AO467" s="23" t="n">
        <x:f>MAX(0,MIN('Activities'!L467,222)-MAX('Activities'!K467,216))</x:f>
        <x:v>0</x:v>
      </x:c>
      <x:c r="AP467" s="23" t="n">
        <x:f>MAX(0,MIN('Activities'!L467,228)-MAX('Activities'!K467,222))</x:f>
        <x:v>0</x:v>
      </x:c>
      <x:c r="AQ467" s="23" t="n">
        <x:f>MAX(0,MIN('Activities'!L467,234)-MAX('Activities'!K467,228))</x:f>
        <x:v>0</x:v>
      </x:c>
      <x:c r="AR467" s="23" t="n">
        <x:f>MAX(0,MIN('Activities'!L467,240)-MAX('Activities'!K467,234))</x:f>
        <x:v>0</x:v>
      </x:c>
      <x:c r="AS467" s="23" t="n">
        <x:f>MAX(0,MIN('Activities'!L467,246)-MAX('Activities'!K467,240))</x:f>
        <x:v>0</x:v>
      </x:c>
      <x:c r="AT467" s="23" t="n">
        <x:f>MAX(0,MIN('Activities'!L467,252)-MAX('Activities'!K467,246))</x:f>
        <x:v>0</x:v>
      </x:c>
      <x:c r="AU467" s="23" t="n">
        <x:f>MAX(0,MIN('Activities'!L467,258)-MAX('Activities'!K467,252))</x:f>
        <x:v>0</x:v>
      </x:c>
      <x:c r="AV467" s="23" t="n">
        <x:f>MAX(0,MIN('Activities'!L467,264)-MAX('Activities'!K467,258))</x:f>
        <x:v>0</x:v>
      </x:c>
      <x:c r="AW467" s="23" t="n">
        <x:f>MAX(0,MIN('Activities'!L467,270)-MAX('Activities'!K467,264))</x:f>
        <x:v>0</x:v>
      </x:c>
      <x:c r="AX467" s="23" t="n">
        <x:f>MAX(0,MIN('Activities'!L467,276)-MAX('Activities'!K467,270))</x:f>
        <x:v>0</x:v>
      </x:c>
      <x:c r="AY467" s="23" t="n">
        <x:f>MAX(0,MIN('Activities'!L467,282)-MAX('Activities'!K467,276))</x:f>
        <x:v>0</x:v>
      </x:c>
      <x:c r="AZ467" s="23" t="n">
        <x:f>MAX(0,MIN('Activities'!L467,288)-MAX('Activities'!K467,282))</x:f>
        <x:v>0</x:v>
      </x:c>
      <x:c r="BA467" s="23" t="n">
        <x:f>MAX(0,MIN('Activities'!L467,294)-MAX('Activities'!K467,288))</x:f>
        <x:v>0</x:v>
      </x:c>
      <x:c r="BB467" s="23" t="n">
        <x:f>MAX(0,MIN('Activities'!L467,300)-MAX('Activities'!K467,294))</x:f>
        <x:v>0</x:v>
      </x:c>
      <x:c r="BC467" s="23" t="n">
        <x:f>MAX(0,MIN('Activities'!L467,306)-MAX('Activities'!K467,300))</x:f>
        <x:v>0</x:v>
      </x:c>
      <x:c r="BD467" s="23" t="n">
        <x:f>MAX(0,MIN('Activities'!L467,312)-MAX('Activities'!K467,306))</x:f>
        <x:v>0</x:v>
      </x:c>
      <x:c r="BE467" s="23" t="n">
        <x:f>MAX(0,MIN('Activities'!L467,318)-MAX('Activities'!K467,312))</x:f>
        <x:v>0</x:v>
      </x:c>
      <x:c r="BF467" s="23" t="n">
        <x:f>MAX(0,MIN('Activities'!L467,324)-MAX('Activities'!K467,318))</x:f>
        <x:v>0</x:v>
      </x:c>
      <x:c r="BG467" s="23" t="n">
        <x:f>MAX(0,MIN('Activities'!L467,330)-MAX('Activities'!K467,324))</x:f>
        <x:v>0</x:v>
      </x:c>
      <x:c r="BH467" s="23" t="n">
        <x:f>MAX(0,MIN('Activities'!L467,336)-MAX('Activities'!K467,330))</x:f>
        <x:v>0</x:v>
      </x:c>
      <x:c r="BI467" s="23" t="n">
        <x:f>MAX(0,MIN('Activities'!L467,342)-MAX('Activities'!K467,336))</x:f>
        <x:v>0</x:v>
      </x:c>
      <x:c r="BJ467" s="23" t="n">
        <x:f>MAX(0,MIN('Activities'!L467,348)-MAX('Activities'!K467,342))</x:f>
        <x:v>0</x:v>
      </x:c>
      <x:c r="BK467" s="23" t="n">
        <x:f>MAX(0,MIN('Activities'!L467,354)-MAX('Activities'!K467,348))</x:f>
        <x:v>0</x:v>
      </x:c>
      <x:c r="BL467" s="23" t="n">
        <x:f>MAX(0,MIN('Activities'!L467,360)-MAX('Activities'!K467,354))</x:f>
        <x:v>0</x:v>
      </x:c>
      <x:c r="BM467" s="23" t="n">
        <x:f>MAX(0,MIN('Activities'!L467,366)-MAX('Activities'!K467,360))</x:f>
        <x:v>0</x:v>
      </x:c>
      <x:c r="BN467" s="23" t="n">
        <x:f>MAX(0,MIN('Activities'!L467,372)-MAX('Activities'!K467,366))</x:f>
        <x:v>0</x:v>
      </x:c>
      <x:c r="BO467" s="23" t="n">
        <x:f>MAX(0,MIN('Activities'!L467,378)-MAX('Activities'!K467,372))</x:f>
        <x:v>0</x:v>
      </x:c>
      <x:c r="BP467" s="23" t="n">
        <x:f>MAX(0,MIN('Activities'!L467,384)-MAX('Activities'!K467,378))</x:f>
        <x:v>0</x:v>
      </x:c>
      <x:c r="BQ467" s="23" t="n">
        <x:f>MAX(0,MIN('Activities'!L467,390)-MAX('Activities'!K467,384))</x:f>
        <x:v>0</x:v>
      </x:c>
      <x:c r="BR467" s="23" t="n">
        <x:f>MAX(0,MIN('Activities'!L467,396)-MAX('Activities'!K467,390))</x:f>
        <x:v>0</x:v>
      </x:c>
      <x:c r="BS467" s="23" t="n">
        <x:f>MAX(0,MIN('Activities'!L467,402)-MAX('Activities'!K467,396))</x:f>
        <x:v>0</x:v>
      </x:c>
      <x:c r="BT467" s="23" t="n">
        <x:f>MAX(0,MIN('Activities'!L467,408)-MAX('Activities'!K467,402))</x:f>
        <x:v>0</x:v>
      </x:c>
      <x:c r="BU467" s="23" t="n">
        <x:f>MAX(0,MIN('Activities'!L467,414)-MAX('Activities'!K467,408))</x:f>
        <x:v>5</x:v>
      </x:c>
      <x:c r="BV467" s="23" t="n">
        <x:f>MAX(0,MIN('Activities'!L467,420)-MAX('Activities'!K467,414))</x:f>
        <x:v>6</x:v>
      </x:c>
      <x:c r="BW467" s="23" t="n">
        <x:f>MAX(0,MIN('Activities'!L467,426)-MAX('Activities'!K467,420))</x:f>
        <x:v>3</x:v>
      </x:c>
      <x:c r="BX467" s="23" t="n">
        <x:f>MAX(0,MIN('Activities'!L467,432)-MAX('Activities'!K467,426))</x:f>
        <x:v>0</x:v>
      </x:c>
      <x:c r="BY467" s="23" t="n">
        <x:f>MAX(0,MIN('Activities'!L467,438)-MAX('Activities'!K467,432))</x:f>
        <x:v>0</x:v>
      </x:c>
      <x:c r="BZ467" s="23" t="n">
        <x:f>MAX(0,MIN('Activities'!L467,444)-MAX('Activities'!K467,438))</x:f>
        <x:v>0</x:v>
      </x:c>
      <x:c r="CA467" s="23" t="n">
        <x:f>MAX(0,MIN('Activities'!L467,450)-MAX('Activities'!K467,444))</x:f>
        <x:v>0</x:v>
      </x:c>
      <x:c r="CB467" s="23" t="n">
        <x:f>MAX(0,MIN('Activities'!L467,456)-MAX('Activities'!K467,450))</x:f>
        <x:v>0</x:v>
      </x:c>
      <x:c r="CC467" s="23" t="n">
        <x:f>MAX(0,MIN('Activities'!L467,462)-MAX('Activities'!K467,456))</x:f>
        <x:v>0</x:v>
      </x:c>
      <x:c r="CD467" s="23" t="n">
        <x:f>MAX(0,MIN('Activities'!L467,468)-MAX('Activities'!K467,462))</x:f>
        <x:v>0</x:v>
      </x:c>
      <x:c r="CE467" s="23" t="n">
        <x:f>MAX(0,MIN('Activities'!L467,474)-MAX('Activities'!K467,468))</x:f>
        <x:v>0</x:v>
      </x:c>
      <x:c r="CF467" s="23" t="n">
        <x:f>MAX(0,MIN('Activities'!L467,480)-MAX('Activities'!K467,474))</x:f>
        <x:v>0</x:v>
      </x:c>
      <x:c r="CG467" s="23" t="n">
        <x:f>MAX(0,MIN('Activities'!L467,486)-MAX('Activities'!K467,480))</x:f>
        <x:v>0</x:v>
      </x:c>
      <x:c r="CH467" s="23" t="n">
        <x:f>MAX(0,MIN('Activities'!L467,492)-MAX('Activities'!K467,486))</x:f>
        <x:v>0</x:v>
      </x:c>
      <x:c r="CI467" s="23" t="n">
        <x:f>MAX(0,MIN('Activities'!L467,498)-MAX('Activities'!K467,492))</x:f>
        <x:v>0</x:v>
      </x:c>
      <x:c r="CJ467" s="23" t="n">
        <x:f>MAX(0,MIN('Activities'!L467,504)-MAX('Activities'!K467,498))</x:f>
        <x:v>0</x:v>
      </x:c>
      <x:c r="CK467" s="23" t="n">
        <x:f>MAX(0,MIN('Activities'!L467,510)-MAX('Activities'!K467,504))</x:f>
        <x:v>0</x:v>
      </x:c>
      <x:c r="CL467" s="23" t="n">
        <x:f>MAX(0,MIN('Activities'!L467,516)-MAX('Activities'!K467,510))</x:f>
        <x:v>0</x:v>
      </x:c>
      <x:c r="CM467" s="23" t="n">
        <x:f>MAX(0,MIN('Activities'!L467,522)-MAX('Activities'!K467,516))</x:f>
        <x:v>0</x:v>
      </x:c>
      <x:c r="CN467" s="23" t="n">
        <x:f>MAX(0,MIN('Activities'!L467,528)-MAX('Activities'!K467,522))</x:f>
        <x:v>0</x:v>
      </x:c>
      <x:c r="CO467" s="23" t="n">
        <x:f>MAX(0,MIN('Activities'!L467,534)-MAX('Activities'!K467,528))</x:f>
        <x:v>0</x:v>
      </x:c>
      <x:c r="CP467" s="23" t="n">
        <x:f>MAX(0,MIN('Activities'!L467,540)-MAX('Activities'!K467,534))</x:f>
        <x:v>0</x:v>
      </x:c>
      <x:c r="CQ467" s="23" t="n">
        <x:f>MAX(0,MIN('Activities'!L467,546)-MAX('Activities'!K467,540))</x:f>
        <x:v>0</x:v>
      </x:c>
      <x:c r="CR467" s="23" t="n">
        <x:f>MAX(0,MIN('Activities'!L467,552)-MAX('Activities'!K467,546))</x:f>
        <x:v>0</x:v>
      </x:c>
      <x:c r="CS467" s="23" t="n">
        <x:f>MAX(0,MIN('Activities'!L467,558)-MAX('Activities'!K467,552))</x:f>
        <x:v>0</x:v>
      </x:c>
      <x:c r="CT467" s="23" t="n">
        <x:f>MAX(0,MIN('Activities'!L467,564)-MAX('Activities'!K467,558))</x:f>
        <x:v>0</x:v>
      </x:c>
      <x:c r="CU467" s="23" t="n">
        <x:f>MAX(0,MIN('Activities'!L467,570)-MAX('Activities'!K467,564))</x:f>
        <x:v>0</x:v>
      </x:c>
      <x:c r="CV467" s="23" t="n">
        <x:f>MAX(0,MIN('Activities'!L467,576)-MAX('Activities'!K467,570))</x:f>
        <x:v>0</x:v>
      </x:c>
      <x:c r="CW467" s="23" t="n">
        <x:f>MAX(0,MIN('Activities'!L467,582)-MAX('Activities'!K467,576))</x:f>
        <x:v>0</x:v>
      </x:c>
      <x:c r="CX467" s="23" t="n">
        <x:f>MAX(0,MIN('Activities'!L467,588)-MAX('Activities'!K467,582))</x:f>
        <x:v>0</x:v>
      </x:c>
      <x:c r="CY467" s="23" t="n">
        <x:f>MAX(0,MIN('Activities'!L467,594)-MAX('Activities'!K467,588))</x:f>
        <x:v>0</x:v>
      </x:c>
      <x:c r="CZ467" s="23" t="n">
        <x:f>MAX(0,MIN('Activities'!L467,600)-MAX('Activities'!K467,594))</x:f>
        <x:v>0</x:v>
      </x:c>
      <x:c r="DA467" s="23" t="n">
        <x:f>MAX(0,MIN('Activities'!L467,606)-MAX('Activities'!K467,600))</x:f>
        <x:v>0</x:v>
      </x:c>
      <x:c r="DB467" s="23" t="n">
        <x:f>MAX(0,MIN('Activities'!L467,612)-MAX('Activities'!K467,606))</x:f>
        <x:v>0</x:v>
      </x:c>
      <x:c r="DC467" s="23" t="n">
        <x:f>MAX(0,MIN('Activities'!L467,618)-MAX('Activities'!K467,612))</x:f>
        <x:v>0</x:v>
      </x:c>
      <x:c r="DD467" s="23" t="n">
        <x:f>MAX(0,MIN('Activities'!L467,624)-MAX('Activities'!K467,618))</x:f>
        <x:v>0</x:v>
      </x:c>
      <x:c r="DE467" s="23" t="n">
        <x:f>MAX(0,MIN('Activities'!L467,630)-MAX('Activities'!K467,624))</x:f>
        <x:v>0</x:v>
      </x:c>
      <x:c r="DF467" s="23" t="n">
        <x:f>MAX(0,MIN('Activities'!L467,636)-MAX('Activities'!K467,630))</x:f>
        <x:v>0</x:v>
      </x:c>
    </x:row>
    <x:row r="468" ht="23" customHeight="1">
      <x:c r="A468" s="6" t="str">
        <x:v>T4-FA</x:v>
      </x:c>
      <x:c r="B468" s="6" t="str">
        <x:v>T4</x:v>
      </x:c>
      <x:c r="C468" s="6" t="str">
        <x:v>Insulated facade installation</x:v>
      </x:c>
      <x:c r="D468" s="6" t="str">
        <x:v>Envelope</x:v>
      </x:c>
      <x:c r="E468" s="22" t="n">
        <x:f>MAX(0,MIN('Activities'!L468,6)-MAX('Activities'!K468,0))</x:f>
        <x:v>0</x:v>
      </x:c>
      <x:c r="F468" s="22" t="n">
        <x:f>MAX(0,MIN('Activities'!L468,12)-MAX('Activities'!K468,6))</x:f>
        <x:v>0</x:v>
      </x:c>
      <x:c r="G468" s="22" t="n">
        <x:f>MAX(0,MIN('Activities'!L468,18)-MAX('Activities'!K468,12))</x:f>
        <x:v>0</x:v>
      </x:c>
      <x:c r="H468" s="22" t="n">
        <x:f>MAX(0,MIN('Activities'!L468,24)-MAX('Activities'!K468,18))</x:f>
        <x:v>0</x:v>
      </x:c>
      <x:c r="I468" s="22" t="n">
        <x:f>MAX(0,MIN('Activities'!L468,30)-MAX('Activities'!K468,24))</x:f>
        <x:v>0</x:v>
      </x:c>
      <x:c r="J468" s="22" t="n">
        <x:f>MAX(0,MIN('Activities'!L468,36)-MAX('Activities'!K468,30))</x:f>
        <x:v>0</x:v>
      </x:c>
      <x:c r="K468" s="22" t="n">
        <x:f>MAX(0,MIN('Activities'!L468,42)-MAX('Activities'!K468,36))</x:f>
        <x:v>0</x:v>
      </x:c>
      <x:c r="L468" s="22" t="n">
        <x:f>MAX(0,MIN('Activities'!L468,48)-MAX('Activities'!K468,42))</x:f>
        <x:v>0</x:v>
      </x:c>
      <x:c r="M468" s="22" t="n">
        <x:f>MAX(0,MIN('Activities'!L468,54)-MAX('Activities'!K468,48))</x:f>
        <x:v>0</x:v>
      </x:c>
      <x:c r="N468" s="22" t="n">
        <x:f>MAX(0,MIN('Activities'!L468,60)-MAX('Activities'!K468,54))</x:f>
        <x:v>0</x:v>
      </x:c>
      <x:c r="O468" s="22" t="n">
        <x:f>MAX(0,MIN('Activities'!L468,66)-MAX('Activities'!K468,60))</x:f>
        <x:v>0</x:v>
      </x:c>
      <x:c r="P468" s="22" t="n">
        <x:f>MAX(0,MIN('Activities'!L468,72)-MAX('Activities'!K468,66))</x:f>
        <x:v>0</x:v>
      </x:c>
      <x:c r="Q468" s="22" t="n">
        <x:f>MAX(0,MIN('Activities'!L468,78)-MAX('Activities'!K468,72))</x:f>
        <x:v>0</x:v>
      </x:c>
      <x:c r="R468" s="22" t="n">
        <x:f>MAX(0,MIN('Activities'!L468,84)-MAX('Activities'!K468,78))</x:f>
        <x:v>0</x:v>
      </x:c>
      <x:c r="S468" s="22" t="n">
        <x:f>MAX(0,MIN('Activities'!L468,90)-MAX('Activities'!K468,84))</x:f>
        <x:v>0</x:v>
      </x:c>
      <x:c r="T468" s="22" t="n">
        <x:f>MAX(0,MIN('Activities'!L468,96)-MAX('Activities'!K468,90))</x:f>
        <x:v>0</x:v>
      </x:c>
      <x:c r="U468" s="22" t="n">
        <x:f>MAX(0,MIN('Activities'!L468,102)-MAX('Activities'!K468,96))</x:f>
        <x:v>0</x:v>
      </x:c>
      <x:c r="V468" s="22" t="n">
        <x:f>MAX(0,MIN('Activities'!L468,108)-MAX('Activities'!K468,102))</x:f>
        <x:v>0</x:v>
      </x:c>
      <x:c r="W468" s="22" t="n">
        <x:f>MAX(0,MIN('Activities'!L468,114)-MAX('Activities'!K468,108))</x:f>
        <x:v>0</x:v>
      </x:c>
      <x:c r="X468" s="22" t="n">
        <x:f>MAX(0,MIN('Activities'!L468,120)-MAX('Activities'!K468,114))</x:f>
        <x:v>0</x:v>
      </x:c>
      <x:c r="Y468" s="22" t="n">
        <x:f>MAX(0,MIN('Activities'!L468,126)-MAX('Activities'!K468,120))</x:f>
        <x:v>0</x:v>
      </x:c>
      <x:c r="Z468" s="22" t="n">
        <x:f>MAX(0,MIN('Activities'!L468,132)-MAX('Activities'!K468,126))</x:f>
        <x:v>0</x:v>
      </x:c>
      <x:c r="AA468" s="22" t="n">
        <x:f>MAX(0,MIN('Activities'!L468,138)-MAX('Activities'!K468,132))</x:f>
        <x:v>0</x:v>
      </x:c>
      <x:c r="AB468" s="22" t="n">
        <x:f>MAX(0,MIN('Activities'!L468,144)-MAX('Activities'!K468,138))</x:f>
        <x:v>0</x:v>
      </x:c>
      <x:c r="AC468" s="22" t="n">
        <x:f>MAX(0,MIN('Activities'!L468,150)-MAX('Activities'!K468,144))</x:f>
        <x:v>0</x:v>
      </x:c>
      <x:c r="AD468" s="22" t="n">
        <x:f>MAX(0,MIN('Activities'!L468,156)-MAX('Activities'!K468,150))</x:f>
        <x:v>0</x:v>
      </x:c>
      <x:c r="AE468" s="22" t="n">
        <x:f>MAX(0,MIN('Activities'!L468,162)-MAX('Activities'!K468,156))</x:f>
        <x:v>0</x:v>
      </x:c>
      <x:c r="AF468" s="22" t="n">
        <x:f>MAX(0,MIN('Activities'!L468,168)-MAX('Activities'!K468,162))</x:f>
        <x:v>0</x:v>
      </x:c>
      <x:c r="AG468" s="22" t="n">
        <x:f>MAX(0,MIN('Activities'!L468,174)-MAX('Activities'!K468,168))</x:f>
        <x:v>0</x:v>
      </x:c>
      <x:c r="AH468" s="22" t="n">
        <x:f>MAX(0,MIN('Activities'!L468,180)-MAX('Activities'!K468,174))</x:f>
        <x:v>0</x:v>
      </x:c>
      <x:c r="AI468" s="22" t="n">
        <x:f>MAX(0,MIN('Activities'!L468,186)-MAX('Activities'!K468,180))</x:f>
        <x:v>0</x:v>
      </x:c>
      <x:c r="AJ468" s="22" t="n">
        <x:f>MAX(0,MIN('Activities'!L468,192)-MAX('Activities'!K468,186))</x:f>
        <x:v>0</x:v>
      </x:c>
      <x:c r="AK468" s="22" t="n">
        <x:f>MAX(0,MIN('Activities'!L468,198)-MAX('Activities'!K468,192))</x:f>
        <x:v>0</x:v>
      </x:c>
      <x:c r="AL468" s="22" t="n">
        <x:f>MAX(0,MIN('Activities'!L468,204)-MAX('Activities'!K468,198))</x:f>
        <x:v>0</x:v>
      </x:c>
      <x:c r="AM468" s="22" t="n">
        <x:f>MAX(0,MIN('Activities'!L468,210)-MAX('Activities'!K468,204))</x:f>
        <x:v>0</x:v>
      </x:c>
      <x:c r="AN468" s="22" t="n">
        <x:f>MAX(0,MIN('Activities'!L468,216)-MAX('Activities'!K468,210))</x:f>
        <x:v>0</x:v>
      </x:c>
      <x:c r="AO468" s="22" t="n">
        <x:f>MAX(0,MIN('Activities'!L468,222)-MAX('Activities'!K468,216))</x:f>
        <x:v>0</x:v>
      </x:c>
      <x:c r="AP468" s="22" t="n">
        <x:f>MAX(0,MIN('Activities'!L468,228)-MAX('Activities'!K468,222))</x:f>
        <x:v>0</x:v>
      </x:c>
      <x:c r="AQ468" s="22" t="n">
        <x:f>MAX(0,MIN('Activities'!L468,234)-MAX('Activities'!K468,228))</x:f>
        <x:v>0</x:v>
      </x:c>
      <x:c r="AR468" s="22" t="n">
        <x:f>MAX(0,MIN('Activities'!L468,240)-MAX('Activities'!K468,234))</x:f>
        <x:v>0</x:v>
      </x:c>
      <x:c r="AS468" s="22" t="n">
        <x:f>MAX(0,MIN('Activities'!L468,246)-MAX('Activities'!K468,240))</x:f>
        <x:v>0</x:v>
      </x:c>
      <x:c r="AT468" s="22" t="n">
        <x:f>MAX(0,MIN('Activities'!L468,252)-MAX('Activities'!K468,246))</x:f>
        <x:v>0</x:v>
      </x:c>
      <x:c r="AU468" s="22" t="n">
        <x:f>MAX(0,MIN('Activities'!L468,258)-MAX('Activities'!K468,252))</x:f>
        <x:v>0</x:v>
      </x:c>
      <x:c r="AV468" s="22" t="n">
        <x:f>MAX(0,MIN('Activities'!L468,264)-MAX('Activities'!K468,258))</x:f>
        <x:v>0</x:v>
      </x:c>
      <x:c r="AW468" s="22" t="n">
        <x:f>MAX(0,MIN('Activities'!L468,270)-MAX('Activities'!K468,264))</x:f>
        <x:v>0</x:v>
      </x:c>
      <x:c r="AX468" s="22" t="n">
        <x:f>MAX(0,MIN('Activities'!L468,276)-MAX('Activities'!K468,270))</x:f>
        <x:v>0</x:v>
      </x:c>
      <x:c r="AY468" s="22" t="n">
        <x:f>MAX(0,MIN('Activities'!L468,282)-MAX('Activities'!K468,276))</x:f>
        <x:v>0</x:v>
      </x:c>
      <x:c r="AZ468" s="22" t="n">
        <x:f>MAX(0,MIN('Activities'!L468,288)-MAX('Activities'!K468,282))</x:f>
        <x:v>0</x:v>
      </x:c>
      <x:c r="BA468" s="22" t="n">
        <x:f>MAX(0,MIN('Activities'!L468,294)-MAX('Activities'!K468,288))</x:f>
        <x:v>0</x:v>
      </x:c>
      <x:c r="BB468" s="22" t="n">
        <x:f>MAX(0,MIN('Activities'!L468,300)-MAX('Activities'!K468,294))</x:f>
        <x:v>0</x:v>
      </x:c>
      <x:c r="BC468" s="22" t="n">
        <x:f>MAX(0,MIN('Activities'!L468,306)-MAX('Activities'!K468,300))</x:f>
        <x:v>0</x:v>
      </x:c>
      <x:c r="BD468" s="22" t="n">
        <x:f>MAX(0,MIN('Activities'!L468,312)-MAX('Activities'!K468,306))</x:f>
        <x:v>0</x:v>
      </x:c>
      <x:c r="BE468" s="22" t="n">
        <x:f>MAX(0,MIN('Activities'!L468,318)-MAX('Activities'!K468,312))</x:f>
        <x:v>0</x:v>
      </x:c>
      <x:c r="BF468" s="22" t="n">
        <x:f>MAX(0,MIN('Activities'!L468,324)-MAX('Activities'!K468,318))</x:f>
        <x:v>0</x:v>
      </x:c>
      <x:c r="BG468" s="22" t="n">
        <x:f>MAX(0,MIN('Activities'!L468,330)-MAX('Activities'!K468,324))</x:f>
        <x:v>0</x:v>
      </x:c>
      <x:c r="BH468" s="22" t="n">
        <x:f>MAX(0,MIN('Activities'!L468,336)-MAX('Activities'!K468,330))</x:f>
        <x:v>0</x:v>
      </x:c>
      <x:c r="BI468" s="22" t="n">
        <x:f>MAX(0,MIN('Activities'!L468,342)-MAX('Activities'!K468,336))</x:f>
        <x:v>0</x:v>
      </x:c>
      <x:c r="BJ468" s="22" t="n">
        <x:f>MAX(0,MIN('Activities'!L468,348)-MAX('Activities'!K468,342))</x:f>
        <x:v>6</x:v>
      </x:c>
      <x:c r="BK468" s="22" t="n">
        <x:f>MAX(0,MIN('Activities'!L468,354)-MAX('Activities'!K468,348))</x:f>
        <x:v>6</x:v>
      </x:c>
      <x:c r="BL468" s="22" t="n">
        <x:f>MAX(0,MIN('Activities'!L468,360)-MAX('Activities'!K468,354))</x:f>
        <x:v>6</x:v>
      </x:c>
      <x:c r="BM468" s="22" t="n">
        <x:f>MAX(0,MIN('Activities'!L468,366)-MAX('Activities'!K468,360))</x:f>
        <x:v>4</x:v>
      </x:c>
      <x:c r="BN468" s="22" t="n">
        <x:f>MAX(0,MIN('Activities'!L468,372)-MAX('Activities'!K468,366))</x:f>
        <x:v>0</x:v>
      </x:c>
      <x:c r="BO468" s="22" t="n">
        <x:f>MAX(0,MIN('Activities'!L468,378)-MAX('Activities'!K468,372))</x:f>
        <x:v>0</x:v>
      </x:c>
      <x:c r="BP468" s="22" t="n">
        <x:f>MAX(0,MIN('Activities'!L468,384)-MAX('Activities'!K468,378))</x:f>
        <x:v>0</x:v>
      </x:c>
      <x:c r="BQ468" s="22" t="n">
        <x:f>MAX(0,MIN('Activities'!L468,390)-MAX('Activities'!K468,384))</x:f>
        <x:v>0</x:v>
      </x:c>
      <x:c r="BR468" s="22" t="n">
        <x:f>MAX(0,MIN('Activities'!L468,396)-MAX('Activities'!K468,390))</x:f>
        <x:v>0</x:v>
      </x:c>
      <x:c r="BS468" s="22" t="n">
        <x:f>MAX(0,MIN('Activities'!L468,402)-MAX('Activities'!K468,396))</x:f>
        <x:v>0</x:v>
      </x:c>
      <x:c r="BT468" s="22" t="n">
        <x:f>MAX(0,MIN('Activities'!L468,408)-MAX('Activities'!K468,402))</x:f>
        <x:v>0</x:v>
      </x:c>
      <x:c r="BU468" s="22" t="n">
        <x:f>MAX(0,MIN('Activities'!L468,414)-MAX('Activities'!K468,408))</x:f>
        <x:v>0</x:v>
      </x:c>
      <x:c r="BV468" s="22" t="n">
        <x:f>MAX(0,MIN('Activities'!L468,420)-MAX('Activities'!K468,414))</x:f>
        <x:v>0</x:v>
      </x:c>
      <x:c r="BW468" s="22" t="n">
        <x:f>MAX(0,MIN('Activities'!L468,426)-MAX('Activities'!K468,420))</x:f>
        <x:v>0</x:v>
      </x:c>
      <x:c r="BX468" s="22" t="n">
        <x:f>MAX(0,MIN('Activities'!L468,432)-MAX('Activities'!K468,426))</x:f>
        <x:v>0</x:v>
      </x:c>
      <x:c r="BY468" s="22" t="n">
        <x:f>MAX(0,MIN('Activities'!L468,438)-MAX('Activities'!K468,432))</x:f>
        <x:v>0</x:v>
      </x:c>
      <x:c r="BZ468" s="22" t="n">
        <x:f>MAX(0,MIN('Activities'!L468,444)-MAX('Activities'!K468,438))</x:f>
        <x:v>0</x:v>
      </x:c>
      <x:c r="CA468" s="22" t="n">
        <x:f>MAX(0,MIN('Activities'!L468,450)-MAX('Activities'!K468,444))</x:f>
        <x:v>0</x:v>
      </x:c>
      <x:c r="CB468" s="22" t="n">
        <x:f>MAX(0,MIN('Activities'!L468,456)-MAX('Activities'!K468,450))</x:f>
        <x:v>0</x:v>
      </x:c>
      <x:c r="CC468" s="22" t="n">
        <x:f>MAX(0,MIN('Activities'!L468,462)-MAX('Activities'!K468,456))</x:f>
        <x:v>0</x:v>
      </x:c>
      <x:c r="CD468" s="22" t="n">
        <x:f>MAX(0,MIN('Activities'!L468,468)-MAX('Activities'!K468,462))</x:f>
        <x:v>0</x:v>
      </x:c>
      <x:c r="CE468" s="22" t="n">
        <x:f>MAX(0,MIN('Activities'!L468,474)-MAX('Activities'!K468,468))</x:f>
        <x:v>0</x:v>
      </x:c>
      <x:c r="CF468" s="22" t="n">
        <x:f>MAX(0,MIN('Activities'!L468,480)-MAX('Activities'!K468,474))</x:f>
        <x:v>0</x:v>
      </x:c>
      <x:c r="CG468" s="22" t="n">
        <x:f>MAX(0,MIN('Activities'!L468,486)-MAX('Activities'!K468,480))</x:f>
        <x:v>0</x:v>
      </x:c>
      <x:c r="CH468" s="22" t="n">
        <x:f>MAX(0,MIN('Activities'!L468,492)-MAX('Activities'!K468,486))</x:f>
        <x:v>0</x:v>
      </x:c>
      <x:c r="CI468" s="22" t="n">
        <x:f>MAX(0,MIN('Activities'!L468,498)-MAX('Activities'!K468,492))</x:f>
        <x:v>0</x:v>
      </x:c>
      <x:c r="CJ468" s="22" t="n">
        <x:f>MAX(0,MIN('Activities'!L468,504)-MAX('Activities'!K468,498))</x:f>
        <x:v>0</x:v>
      </x:c>
      <x:c r="CK468" s="22" t="n">
        <x:f>MAX(0,MIN('Activities'!L468,510)-MAX('Activities'!K468,504))</x:f>
        <x:v>0</x:v>
      </x:c>
      <x:c r="CL468" s="22" t="n">
        <x:f>MAX(0,MIN('Activities'!L468,516)-MAX('Activities'!K468,510))</x:f>
        <x:v>0</x:v>
      </x:c>
      <x:c r="CM468" s="22" t="n">
        <x:f>MAX(0,MIN('Activities'!L468,522)-MAX('Activities'!K468,516))</x:f>
        <x:v>0</x:v>
      </x:c>
      <x:c r="CN468" s="22" t="n">
        <x:f>MAX(0,MIN('Activities'!L468,528)-MAX('Activities'!K468,522))</x:f>
        <x:v>0</x:v>
      </x:c>
      <x:c r="CO468" s="22" t="n">
        <x:f>MAX(0,MIN('Activities'!L468,534)-MAX('Activities'!K468,528))</x:f>
        <x:v>0</x:v>
      </x:c>
      <x:c r="CP468" s="22" t="n">
        <x:f>MAX(0,MIN('Activities'!L468,540)-MAX('Activities'!K468,534))</x:f>
        <x:v>0</x:v>
      </x:c>
      <x:c r="CQ468" s="22" t="n">
        <x:f>MAX(0,MIN('Activities'!L468,546)-MAX('Activities'!K468,540))</x:f>
        <x:v>0</x:v>
      </x:c>
      <x:c r="CR468" s="22" t="n">
        <x:f>MAX(0,MIN('Activities'!L468,552)-MAX('Activities'!K468,546))</x:f>
        <x:v>0</x:v>
      </x:c>
      <x:c r="CS468" s="22" t="n">
        <x:f>MAX(0,MIN('Activities'!L468,558)-MAX('Activities'!K468,552))</x:f>
        <x:v>0</x:v>
      </x:c>
      <x:c r="CT468" s="22" t="n">
        <x:f>MAX(0,MIN('Activities'!L468,564)-MAX('Activities'!K468,558))</x:f>
        <x:v>0</x:v>
      </x:c>
      <x:c r="CU468" s="22" t="n">
        <x:f>MAX(0,MIN('Activities'!L468,570)-MAX('Activities'!K468,564))</x:f>
        <x:v>0</x:v>
      </x:c>
      <x:c r="CV468" s="22" t="n">
        <x:f>MAX(0,MIN('Activities'!L468,576)-MAX('Activities'!K468,570))</x:f>
        <x:v>0</x:v>
      </x:c>
      <x:c r="CW468" s="22" t="n">
        <x:f>MAX(0,MIN('Activities'!L468,582)-MAX('Activities'!K468,576))</x:f>
        <x:v>0</x:v>
      </x:c>
      <x:c r="CX468" s="22" t="n">
        <x:f>MAX(0,MIN('Activities'!L468,588)-MAX('Activities'!K468,582))</x:f>
        <x:v>0</x:v>
      </x:c>
      <x:c r="CY468" s="22" t="n">
        <x:f>MAX(0,MIN('Activities'!L468,594)-MAX('Activities'!K468,588))</x:f>
        <x:v>0</x:v>
      </x:c>
      <x:c r="CZ468" s="22" t="n">
        <x:f>MAX(0,MIN('Activities'!L468,600)-MAX('Activities'!K468,594))</x:f>
        <x:v>0</x:v>
      </x:c>
      <x:c r="DA468" s="22" t="n">
        <x:f>MAX(0,MIN('Activities'!L468,606)-MAX('Activities'!K468,600))</x:f>
        <x:v>0</x:v>
      </x:c>
      <x:c r="DB468" s="22" t="n">
        <x:f>MAX(0,MIN('Activities'!L468,612)-MAX('Activities'!K468,606))</x:f>
        <x:v>0</x:v>
      </x:c>
      <x:c r="DC468" s="22" t="n">
        <x:f>MAX(0,MIN('Activities'!L468,618)-MAX('Activities'!K468,612))</x:f>
        <x:v>0</x:v>
      </x:c>
      <x:c r="DD468" s="22" t="n">
        <x:f>MAX(0,MIN('Activities'!L468,624)-MAX('Activities'!K468,618))</x:f>
        <x:v>0</x:v>
      </x:c>
      <x:c r="DE468" s="22" t="n">
        <x:f>MAX(0,MIN('Activities'!L468,630)-MAX('Activities'!K468,624))</x:f>
        <x:v>0</x:v>
      </x:c>
      <x:c r="DF468" s="22" t="n">
        <x:f>MAX(0,MIN('Activities'!L468,636)-MAX('Activities'!K468,630))</x:f>
        <x:v>0</x:v>
      </x:c>
    </x:row>
    <x:row r="469" ht="23" customHeight="1">
      <x:c r="A469" s="1" t="str">
        <x:v>T4-GL</x:v>
      </x:c>
      <x:c r="B469" s="1" t="str">
        <x:v>T4</x:v>
      </x:c>
      <x:c r="C469" s="1" t="str">
        <x:v>Glazing and frame installation</x:v>
      </x:c>
      <x:c r="D469" s="1" t="str">
        <x:v>Envelope</x:v>
      </x:c>
      <x:c r="E469" s="23" t="n">
        <x:f>MAX(0,MIN('Activities'!L469,6)-MAX('Activities'!K469,0))</x:f>
        <x:v>0</x:v>
      </x:c>
      <x:c r="F469" s="23" t="n">
        <x:f>MAX(0,MIN('Activities'!L469,12)-MAX('Activities'!K469,6))</x:f>
        <x:v>0</x:v>
      </x:c>
      <x:c r="G469" s="23" t="n">
        <x:f>MAX(0,MIN('Activities'!L469,18)-MAX('Activities'!K469,12))</x:f>
        <x:v>0</x:v>
      </x:c>
      <x:c r="H469" s="23" t="n">
        <x:f>MAX(0,MIN('Activities'!L469,24)-MAX('Activities'!K469,18))</x:f>
        <x:v>0</x:v>
      </x:c>
      <x:c r="I469" s="23" t="n">
        <x:f>MAX(0,MIN('Activities'!L469,30)-MAX('Activities'!K469,24))</x:f>
        <x:v>0</x:v>
      </x:c>
      <x:c r="J469" s="23" t="n">
        <x:f>MAX(0,MIN('Activities'!L469,36)-MAX('Activities'!K469,30))</x:f>
        <x:v>0</x:v>
      </x:c>
      <x:c r="K469" s="23" t="n">
        <x:f>MAX(0,MIN('Activities'!L469,42)-MAX('Activities'!K469,36))</x:f>
        <x:v>0</x:v>
      </x:c>
      <x:c r="L469" s="23" t="n">
        <x:f>MAX(0,MIN('Activities'!L469,48)-MAX('Activities'!K469,42))</x:f>
        <x:v>0</x:v>
      </x:c>
      <x:c r="M469" s="23" t="n">
        <x:f>MAX(0,MIN('Activities'!L469,54)-MAX('Activities'!K469,48))</x:f>
        <x:v>0</x:v>
      </x:c>
      <x:c r="N469" s="23" t="n">
        <x:f>MAX(0,MIN('Activities'!L469,60)-MAX('Activities'!K469,54))</x:f>
        <x:v>0</x:v>
      </x:c>
      <x:c r="O469" s="23" t="n">
        <x:f>MAX(0,MIN('Activities'!L469,66)-MAX('Activities'!K469,60))</x:f>
        <x:v>0</x:v>
      </x:c>
      <x:c r="P469" s="23" t="n">
        <x:f>MAX(0,MIN('Activities'!L469,72)-MAX('Activities'!K469,66))</x:f>
        <x:v>0</x:v>
      </x:c>
      <x:c r="Q469" s="23" t="n">
        <x:f>MAX(0,MIN('Activities'!L469,78)-MAX('Activities'!K469,72))</x:f>
        <x:v>0</x:v>
      </x:c>
      <x:c r="R469" s="23" t="n">
        <x:f>MAX(0,MIN('Activities'!L469,84)-MAX('Activities'!K469,78))</x:f>
        <x:v>0</x:v>
      </x:c>
      <x:c r="S469" s="23" t="n">
        <x:f>MAX(0,MIN('Activities'!L469,90)-MAX('Activities'!K469,84))</x:f>
        <x:v>0</x:v>
      </x:c>
      <x:c r="T469" s="23" t="n">
        <x:f>MAX(0,MIN('Activities'!L469,96)-MAX('Activities'!K469,90))</x:f>
        <x:v>0</x:v>
      </x:c>
      <x:c r="U469" s="23" t="n">
        <x:f>MAX(0,MIN('Activities'!L469,102)-MAX('Activities'!K469,96))</x:f>
        <x:v>0</x:v>
      </x:c>
      <x:c r="V469" s="23" t="n">
        <x:f>MAX(0,MIN('Activities'!L469,108)-MAX('Activities'!K469,102))</x:f>
        <x:v>0</x:v>
      </x:c>
      <x:c r="W469" s="23" t="n">
        <x:f>MAX(0,MIN('Activities'!L469,114)-MAX('Activities'!K469,108))</x:f>
        <x:v>0</x:v>
      </x:c>
      <x:c r="X469" s="23" t="n">
        <x:f>MAX(0,MIN('Activities'!L469,120)-MAX('Activities'!K469,114))</x:f>
        <x:v>0</x:v>
      </x:c>
      <x:c r="Y469" s="23" t="n">
        <x:f>MAX(0,MIN('Activities'!L469,126)-MAX('Activities'!K469,120))</x:f>
        <x:v>0</x:v>
      </x:c>
      <x:c r="Z469" s="23" t="n">
        <x:f>MAX(0,MIN('Activities'!L469,132)-MAX('Activities'!K469,126))</x:f>
        <x:v>0</x:v>
      </x:c>
      <x:c r="AA469" s="23" t="n">
        <x:f>MAX(0,MIN('Activities'!L469,138)-MAX('Activities'!K469,132))</x:f>
        <x:v>0</x:v>
      </x:c>
      <x:c r="AB469" s="23" t="n">
        <x:f>MAX(0,MIN('Activities'!L469,144)-MAX('Activities'!K469,138))</x:f>
        <x:v>0</x:v>
      </x:c>
      <x:c r="AC469" s="23" t="n">
        <x:f>MAX(0,MIN('Activities'!L469,150)-MAX('Activities'!K469,144))</x:f>
        <x:v>0</x:v>
      </x:c>
      <x:c r="AD469" s="23" t="n">
        <x:f>MAX(0,MIN('Activities'!L469,156)-MAX('Activities'!K469,150))</x:f>
        <x:v>0</x:v>
      </x:c>
      <x:c r="AE469" s="23" t="n">
        <x:f>MAX(0,MIN('Activities'!L469,162)-MAX('Activities'!K469,156))</x:f>
        <x:v>0</x:v>
      </x:c>
      <x:c r="AF469" s="23" t="n">
        <x:f>MAX(0,MIN('Activities'!L469,168)-MAX('Activities'!K469,162))</x:f>
        <x:v>0</x:v>
      </x:c>
      <x:c r="AG469" s="23" t="n">
        <x:f>MAX(0,MIN('Activities'!L469,174)-MAX('Activities'!K469,168))</x:f>
        <x:v>0</x:v>
      </x:c>
      <x:c r="AH469" s="23" t="n">
        <x:f>MAX(0,MIN('Activities'!L469,180)-MAX('Activities'!K469,174))</x:f>
        <x:v>0</x:v>
      </x:c>
      <x:c r="AI469" s="23" t="n">
        <x:f>MAX(0,MIN('Activities'!L469,186)-MAX('Activities'!K469,180))</x:f>
        <x:v>0</x:v>
      </x:c>
      <x:c r="AJ469" s="23" t="n">
        <x:f>MAX(0,MIN('Activities'!L469,192)-MAX('Activities'!K469,186))</x:f>
        <x:v>0</x:v>
      </x:c>
      <x:c r="AK469" s="23" t="n">
        <x:f>MAX(0,MIN('Activities'!L469,198)-MAX('Activities'!K469,192))</x:f>
        <x:v>0</x:v>
      </x:c>
      <x:c r="AL469" s="23" t="n">
        <x:f>MAX(0,MIN('Activities'!L469,204)-MAX('Activities'!K469,198))</x:f>
        <x:v>0</x:v>
      </x:c>
      <x:c r="AM469" s="23" t="n">
        <x:f>MAX(0,MIN('Activities'!L469,210)-MAX('Activities'!K469,204))</x:f>
        <x:v>0</x:v>
      </x:c>
      <x:c r="AN469" s="23" t="n">
        <x:f>MAX(0,MIN('Activities'!L469,216)-MAX('Activities'!K469,210))</x:f>
        <x:v>0</x:v>
      </x:c>
      <x:c r="AO469" s="23" t="n">
        <x:f>MAX(0,MIN('Activities'!L469,222)-MAX('Activities'!K469,216))</x:f>
        <x:v>0</x:v>
      </x:c>
      <x:c r="AP469" s="23" t="n">
        <x:f>MAX(0,MIN('Activities'!L469,228)-MAX('Activities'!K469,222))</x:f>
        <x:v>0</x:v>
      </x:c>
      <x:c r="AQ469" s="23" t="n">
        <x:f>MAX(0,MIN('Activities'!L469,234)-MAX('Activities'!K469,228))</x:f>
        <x:v>0</x:v>
      </x:c>
      <x:c r="AR469" s="23" t="n">
        <x:f>MAX(0,MIN('Activities'!L469,240)-MAX('Activities'!K469,234))</x:f>
        <x:v>0</x:v>
      </x:c>
      <x:c r="AS469" s="23" t="n">
        <x:f>MAX(0,MIN('Activities'!L469,246)-MAX('Activities'!K469,240))</x:f>
        <x:v>0</x:v>
      </x:c>
      <x:c r="AT469" s="23" t="n">
        <x:f>MAX(0,MIN('Activities'!L469,252)-MAX('Activities'!K469,246))</x:f>
        <x:v>0</x:v>
      </x:c>
      <x:c r="AU469" s="23" t="n">
        <x:f>MAX(0,MIN('Activities'!L469,258)-MAX('Activities'!K469,252))</x:f>
        <x:v>0</x:v>
      </x:c>
      <x:c r="AV469" s="23" t="n">
        <x:f>MAX(0,MIN('Activities'!L469,264)-MAX('Activities'!K469,258))</x:f>
        <x:v>0</x:v>
      </x:c>
      <x:c r="AW469" s="23" t="n">
        <x:f>MAX(0,MIN('Activities'!L469,270)-MAX('Activities'!K469,264))</x:f>
        <x:v>0</x:v>
      </x:c>
      <x:c r="AX469" s="23" t="n">
        <x:f>MAX(0,MIN('Activities'!L469,276)-MAX('Activities'!K469,270))</x:f>
        <x:v>0</x:v>
      </x:c>
      <x:c r="AY469" s="23" t="n">
        <x:f>MAX(0,MIN('Activities'!L469,282)-MAX('Activities'!K469,276))</x:f>
        <x:v>0</x:v>
      </x:c>
      <x:c r="AZ469" s="23" t="n">
        <x:f>MAX(0,MIN('Activities'!L469,288)-MAX('Activities'!K469,282))</x:f>
        <x:v>0</x:v>
      </x:c>
      <x:c r="BA469" s="23" t="n">
        <x:f>MAX(0,MIN('Activities'!L469,294)-MAX('Activities'!K469,288))</x:f>
        <x:v>0</x:v>
      </x:c>
      <x:c r="BB469" s="23" t="n">
        <x:f>MAX(0,MIN('Activities'!L469,300)-MAX('Activities'!K469,294))</x:f>
        <x:v>0</x:v>
      </x:c>
      <x:c r="BC469" s="23" t="n">
        <x:f>MAX(0,MIN('Activities'!L469,306)-MAX('Activities'!K469,300))</x:f>
        <x:v>0</x:v>
      </x:c>
      <x:c r="BD469" s="23" t="n">
        <x:f>MAX(0,MIN('Activities'!L469,312)-MAX('Activities'!K469,306))</x:f>
        <x:v>0</x:v>
      </x:c>
      <x:c r="BE469" s="23" t="n">
        <x:f>MAX(0,MIN('Activities'!L469,318)-MAX('Activities'!K469,312))</x:f>
        <x:v>0</x:v>
      </x:c>
      <x:c r="BF469" s="23" t="n">
        <x:f>MAX(0,MIN('Activities'!L469,324)-MAX('Activities'!K469,318))</x:f>
        <x:v>0</x:v>
      </x:c>
      <x:c r="BG469" s="23" t="n">
        <x:f>MAX(0,MIN('Activities'!L469,330)-MAX('Activities'!K469,324))</x:f>
        <x:v>0</x:v>
      </x:c>
      <x:c r="BH469" s="23" t="n">
        <x:f>MAX(0,MIN('Activities'!L469,336)-MAX('Activities'!K469,330))</x:f>
        <x:v>0</x:v>
      </x:c>
      <x:c r="BI469" s="23" t="n">
        <x:f>MAX(0,MIN('Activities'!L469,342)-MAX('Activities'!K469,336))</x:f>
        <x:v>0</x:v>
      </x:c>
      <x:c r="BJ469" s="23" t="n">
        <x:f>MAX(0,MIN('Activities'!L469,348)-MAX('Activities'!K469,342))</x:f>
        <x:v>0</x:v>
      </x:c>
      <x:c r="BK469" s="23" t="n">
        <x:f>MAX(0,MIN('Activities'!L469,354)-MAX('Activities'!K469,348))</x:f>
        <x:v>0</x:v>
      </x:c>
      <x:c r="BL469" s="23" t="n">
        <x:f>MAX(0,MIN('Activities'!L469,360)-MAX('Activities'!K469,354))</x:f>
        <x:v>0</x:v>
      </x:c>
      <x:c r="BM469" s="23" t="n">
        <x:f>MAX(0,MIN('Activities'!L469,366)-MAX('Activities'!K469,360))</x:f>
        <x:v>0</x:v>
      </x:c>
      <x:c r="BN469" s="23" t="n">
        <x:f>MAX(0,MIN('Activities'!L469,372)-MAX('Activities'!K469,366))</x:f>
        <x:v>0</x:v>
      </x:c>
      <x:c r="BO469" s="23" t="n">
        <x:f>MAX(0,MIN('Activities'!L469,378)-MAX('Activities'!K469,372))</x:f>
        <x:v>0</x:v>
      </x:c>
      <x:c r="BP469" s="23" t="n">
        <x:f>MAX(0,MIN('Activities'!L469,384)-MAX('Activities'!K469,378))</x:f>
        <x:v>0</x:v>
      </x:c>
      <x:c r="BQ469" s="23" t="n">
        <x:f>MAX(0,MIN('Activities'!L469,390)-MAX('Activities'!K469,384))</x:f>
        <x:v>0</x:v>
      </x:c>
      <x:c r="BR469" s="23" t="n">
        <x:f>MAX(0,MIN('Activities'!L469,396)-MAX('Activities'!K469,390))</x:f>
        <x:v>0</x:v>
      </x:c>
      <x:c r="BS469" s="23" t="n">
        <x:f>MAX(0,MIN('Activities'!L469,402)-MAX('Activities'!K469,396))</x:f>
        <x:v>0</x:v>
      </x:c>
      <x:c r="BT469" s="23" t="n">
        <x:f>MAX(0,MIN('Activities'!L469,408)-MAX('Activities'!K469,402))</x:f>
        <x:v>0</x:v>
      </x:c>
      <x:c r="BU469" s="23" t="n">
        <x:f>MAX(0,MIN('Activities'!L469,414)-MAX('Activities'!K469,408))</x:f>
        <x:v>0</x:v>
      </x:c>
      <x:c r="BV469" s="23" t="n">
        <x:f>MAX(0,MIN('Activities'!L469,420)-MAX('Activities'!K469,414))</x:f>
        <x:v>0</x:v>
      </x:c>
      <x:c r="BW469" s="23" t="n">
        <x:f>MAX(0,MIN('Activities'!L469,426)-MAX('Activities'!K469,420))</x:f>
        <x:v>3</x:v>
      </x:c>
      <x:c r="BX469" s="23" t="n">
        <x:f>MAX(0,MIN('Activities'!L469,432)-MAX('Activities'!K469,426))</x:f>
        <x:v>6</x:v>
      </x:c>
      <x:c r="BY469" s="23" t="n">
        <x:f>MAX(0,MIN('Activities'!L469,438)-MAX('Activities'!K469,432))</x:f>
        <x:v>5</x:v>
      </x:c>
      <x:c r="BZ469" s="23" t="n">
        <x:f>MAX(0,MIN('Activities'!L469,444)-MAX('Activities'!K469,438))</x:f>
        <x:v>0</x:v>
      </x:c>
      <x:c r="CA469" s="23" t="n">
        <x:f>MAX(0,MIN('Activities'!L469,450)-MAX('Activities'!K469,444))</x:f>
        <x:v>0</x:v>
      </x:c>
      <x:c r="CB469" s="23" t="n">
        <x:f>MAX(0,MIN('Activities'!L469,456)-MAX('Activities'!K469,450))</x:f>
        <x:v>0</x:v>
      </x:c>
      <x:c r="CC469" s="23" t="n">
        <x:f>MAX(0,MIN('Activities'!L469,462)-MAX('Activities'!K469,456))</x:f>
        <x:v>0</x:v>
      </x:c>
      <x:c r="CD469" s="23" t="n">
        <x:f>MAX(0,MIN('Activities'!L469,468)-MAX('Activities'!K469,462))</x:f>
        <x:v>0</x:v>
      </x:c>
      <x:c r="CE469" s="23" t="n">
        <x:f>MAX(0,MIN('Activities'!L469,474)-MAX('Activities'!K469,468))</x:f>
        <x:v>0</x:v>
      </x:c>
      <x:c r="CF469" s="23" t="n">
        <x:f>MAX(0,MIN('Activities'!L469,480)-MAX('Activities'!K469,474))</x:f>
        <x:v>0</x:v>
      </x:c>
      <x:c r="CG469" s="23" t="n">
        <x:f>MAX(0,MIN('Activities'!L469,486)-MAX('Activities'!K469,480))</x:f>
        <x:v>0</x:v>
      </x:c>
      <x:c r="CH469" s="23" t="n">
        <x:f>MAX(0,MIN('Activities'!L469,492)-MAX('Activities'!K469,486))</x:f>
        <x:v>0</x:v>
      </x:c>
      <x:c r="CI469" s="23" t="n">
        <x:f>MAX(0,MIN('Activities'!L469,498)-MAX('Activities'!K469,492))</x:f>
        <x:v>0</x:v>
      </x:c>
      <x:c r="CJ469" s="23" t="n">
        <x:f>MAX(0,MIN('Activities'!L469,504)-MAX('Activities'!K469,498))</x:f>
        <x:v>0</x:v>
      </x:c>
      <x:c r="CK469" s="23" t="n">
        <x:f>MAX(0,MIN('Activities'!L469,510)-MAX('Activities'!K469,504))</x:f>
        <x:v>0</x:v>
      </x:c>
      <x:c r="CL469" s="23" t="n">
        <x:f>MAX(0,MIN('Activities'!L469,516)-MAX('Activities'!K469,510))</x:f>
        <x:v>0</x:v>
      </x:c>
      <x:c r="CM469" s="23" t="n">
        <x:f>MAX(0,MIN('Activities'!L469,522)-MAX('Activities'!K469,516))</x:f>
        <x:v>0</x:v>
      </x:c>
      <x:c r="CN469" s="23" t="n">
        <x:f>MAX(0,MIN('Activities'!L469,528)-MAX('Activities'!K469,522))</x:f>
        <x:v>0</x:v>
      </x:c>
      <x:c r="CO469" s="23" t="n">
        <x:f>MAX(0,MIN('Activities'!L469,534)-MAX('Activities'!K469,528))</x:f>
        <x:v>0</x:v>
      </x:c>
      <x:c r="CP469" s="23" t="n">
        <x:f>MAX(0,MIN('Activities'!L469,540)-MAX('Activities'!K469,534))</x:f>
        <x:v>0</x:v>
      </x:c>
      <x:c r="CQ469" s="23" t="n">
        <x:f>MAX(0,MIN('Activities'!L469,546)-MAX('Activities'!K469,540))</x:f>
        <x:v>0</x:v>
      </x:c>
      <x:c r="CR469" s="23" t="n">
        <x:f>MAX(0,MIN('Activities'!L469,552)-MAX('Activities'!K469,546))</x:f>
        <x:v>0</x:v>
      </x:c>
      <x:c r="CS469" s="23" t="n">
        <x:f>MAX(0,MIN('Activities'!L469,558)-MAX('Activities'!K469,552))</x:f>
        <x:v>0</x:v>
      </x:c>
      <x:c r="CT469" s="23" t="n">
        <x:f>MAX(0,MIN('Activities'!L469,564)-MAX('Activities'!K469,558))</x:f>
        <x:v>0</x:v>
      </x:c>
      <x:c r="CU469" s="23" t="n">
        <x:f>MAX(0,MIN('Activities'!L469,570)-MAX('Activities'!K469,564))</x:f>
        <x:v>0</x:v>
      </x:c>
      <x:c r="CV469" s="23" t="n">
        <x:f>MAX(0,MIN('Activities'!L469,576)-MAX('Activities'!K469,570))</x:f>
        <x:v>0</x:v>
      </x:c>
      <x:c r="CW469" s="23" t="n">
        <x:f>MAX(0,MIN('Activities'!L469,582)-MAX('Activities'!K469,576))</x:f>
        <x:v>0</x:v>
      </x:c>
      <x:c r="CX469" s="23" t="n">
        <x:f>MAX(0,MIN('Activities'!L469,588)-MAX('Activities'!K469,582))</x:f>
        <x:v>0</x:v>
      </x:c>
      <x:c r="CY469" s="23" t="n">
        <x:f>MAX(0,MIN('Activities'!L469,594)-MAX('Activities'!K469,588))</x:f>
        <x:v>0</x:v>
      </x:c>
      <x:c r="CZ469" s="23" t="n">
        <x:f>MAX(0,MIN('Activities'!L469,600)-MAX('Activities'!K469,594))</x:f>
        <x:v>0</x:v>
      </x:c>
      <x:c r="DA469" s="23" t="n">
        <x:f>MAX(0,MIN('Activities'!L469,606)-MAX('Activities'!K469,600))</x:f>
        <x:v>0</x:v>
      </x:c>
      <x:c r="DB469" s="23" t="n">
        <x:f>MAX(0,MIN('Activities'!L469,612)-MAX('Activities'!K469,606))</x:f>
        <x:v>0</x:v>
      </x:c>
      <x:c r="DC469" s="23" t="n">
        <x:f>MAX(0,MIN('Activities'!L469,618)-MAX('Activities'!K469,612))</x:f>
        <x:v>0</x:v>
      </x:c>
      <x:c r="DD469" s="23" t="n">
        <x:f>MAX(0,MIN('Activities'!L469,624)-MAX('Activities'!K469,618))</x:f>
        <x:v>0</x:v>
      </x:c>
      <x:c r="DE469" s="23" t="n">
        <x:f>MAX(0,MIN('Activities'!L469,630)-MAX('Activities'!K469,624))</x:f>
        <x:v>0</x:v>
      </x:c>
      <x:c r="DF469" s="23" t="n">
        <x:f>MAX(0,MIN('Activities'!L469,636)-MAX('Activities'!K469,630))</x:f>
        <x:v>0</x:v>
      </x:c>
    </x:row>
    <x:row r="470" ht="23" customHeight="1">
      <x:c r="A470" s="6" t="str">
        <x:v>T4-L00-M</x:v>
      </x:c>
      <x:c r="B470" s="6" t="str">
        <x:v>T4</x:v>
      </x:c>
      <x:c r="C470" s="6" t="str">
        <x:v>Partition masonry</x:v>
      </x:c>
      <x:c r="D470" s="6" t="str">
        <x:v>Masonry</x:v>
      </x:c>
      <x:c r="E470" s="22" t="n">
        <x:f>MAX(0,MIN('Activities'!L470,6)-MAX('Activities'!K470,0))</x:f>
        <x:v>0</x:v>
      </x:c>
      <x:c r="F470" s="22" t="n">
        <x:f>MAX(0,MIN('Activities'!L470,12)-MAX('Activities'!K470,6))</x:f>
        <x:v>0</x:v>
      </x:c>
      <x:c r="G470" s="22" t="n">
        <x:f>MAX(0,MIN('Activities'!L470,18)-MAX('Activities'!K470,12))</x:f>
        <x:v>0</x:v>
      </x:c>
      <x:c r="H470" s="22" t="n">
        <x:f>MAX(0,MIN('Activities'!L470,24)-MAX('Activities'!K470,18))</x:f>
        <x:v>0</x:v>
      </x:c>
      <x:c r="I470" s="22" t="n">
        <x:f>MAX(0,MIN('Activities'!L470,30)-MAX('Activities'!K470,24))</x:f>
        <x:v>0</x:v>
      </x:c>
      <x:c r="J470" s="22" t="n">
        <x:f>MAX(0,MIN('Activities'!L470,36)-MAX('Activities'!K470,30))</x:f>
        <x:v>0</x:v>
      </x:c>
      <x:c r="K470" s="22" t="n">
        <x:f>MAX(0,MIN('Activities'!L470,42)-MAX('Activities'!K470,36))</x:f>
        <x:v>0</x:v>
      </x:c>
      <x:c r="L470" s="22" t="n">
        <x:f>MAX(0,MIN('Activities'!L470,48)-MAX('Activities'!K470,42))</x:f>
        <x:v>0</x:v>
      </x:c>
      <x:c r="M470" s="22" t="n">
        <x:f>MAX(0,MIN('Activities'!L470,54)-MAX('Activities'!K470,48))</x:f>
        <x:v>0</x:v>
      </x:c>
      <x:c r="N470" s="22" t="n">
        <x:f>MAX(0,MIN('Activities'!L470,60)-MAX('Activities'!K470,54))</x:f>
        <x:v>0</x:v>
      </x:c>
      <x:c r="O470" s="22" t="n">
        <x:f>MAX(0,MIN('Activities'!L470,66)-MAX('Activities'!K470,60))</x:f>
        <x:v>0</x:v>
      </x:c>
      <x:c r="P470" s="22" t="n">
        <x:f>MAX(0,MIN('Activities'!L470,72)-MAX('Activities'!K470,66))</x:f>
        <x:v>0</x:v>
      </x:c>
      <x:c r="Q470" s="22" t="n">
        <x:f>MAX(0,MIN('Activities'!L470,78)-MAX('Activities'!K470,72))</x:f>
        <x:v>0</x:v>
      </x:c>
      <x:c r="R470" s="22" t="n">
        <x:f>MAX(0,MIN('Activities'!L470,84)-MAX('Activities'!K470,78))</x:f>
        <x:v>0</x:v>
      </x:c>
      <x:c r="S470" s="22" t="n">
        <x:f>MAX(0,MIN('Activities'!L470,90)-MAX('Activities'!K470,84))</x:f>
        <x:v>0</x:v>
      </x:c>
      <x:c r="T470" s="22" t="n">
        <x:f>MAX(0,MIN('Activities'!L470,96)-MAX('Activities'!K470,90))</x:f>
        <x:v>0</x:v>
      </x:c>
      <x:c r="U470" s="22" t="n">
        <x:f>MAX(0,MIN('Activities'!L470,102)-MAX('Activities'!K470,96))</x:f>
        <x:v>0</x:v>
      </x:c>
      <x:c r="V470" s="22" t="n">
        <x:f>MAX(0,MIN('Activities'!L470,108)-MAX('Activities'!K470,102))</x:f>
        <x:v>0</x:v>
      </x:c>
      <x:c r="W470" s="22" t="n">
        <x:f>MAX(0,MIN('Activities'!L470,114)-MAX('Activities'!K470,108))</x:f>
        <x:v>0</x:v>
      </x:c>
      <x:c r="X470" s="22" t="n">
        <x:f>MAX(0,MIN('Activities'!L470,120)-MAX('Activities'!K470,114))</x:f>
        <x:v>0</x:v>
      </x:c>
      <x:c r="Y470" s="22" t="n">
        <x:f>MAX(0,MIN('Activities'!L470,126)-MAX('Activities'!K470,120))</x:f>
        <x:v>0</x:v>
      </x:c>
      <x:c r="Z470" s="22" t="n">
        <x:f>MAX(0,MIN('Activities'!L470,132)-MAX('Activities'!K470,126))</x:f>
        <x:v>0</x:v>
      </x:c>
      <x:c r="AA470" s="22" t="n">
        <x:f>MAX(0,MIN('Activities'!L470,138)-MAX('Activities'!K470,132))</x:f>
        <x:v>0</x:v>
      </x:c>
      <x:c r="AB470" s="22" t="n">
        <x:f>MAX(0,MIN('Activities'!L470,144)-MAX('Activities'!K470,138))</x:f>
        <x:v>0</x:v>
      </x:c>
      <x:c r="AC470" s="22" t="n">
        <x:f>MAX(0,MIN('Activities'!L470,150)-MAX('Activities'!K470,144))</x:f>
        <x:v>0</x:v>
      </x:c>
      <x:c r="AD470" s="22" t="n">
        <x:f>MAX(0,MIN('Activities'!L470,156)-MAX('Activities'!K470,150))</x:f>
        <x:v>0</x:v>
      </x:c>
      <x:c r="AE470" s="22" t="n">
        <x:f>MAX(0,MIN('Activities'!L470,162)-MAX('Activities'!K470,156))</x:f>
        <x:v>0</x:v>
      </x:c>
      <x:c r="AF470" s="22" t="n">
        <x:f>MAX(0,MIN('Activities'!L470,168)-MAX('Activities'!K470,162))</x:f>
        <x:v>0</x:v>
      </x:c>
      <x:c r="AG470" s="22" t="n">
        <x:f>MAX(0,MIN('Activities'!L470,174)-MAX('Activities'!K470,168))</x:f>
        <x:v>0</x:v>
      </x:c>
      <x:c r="AH470" s="22" t="n">
        <x:f>MAX(0,MIN('Activities'!L470,180)-MAX('Activities'!K470,174))</x:f>
        <x:v>0</x:v>
      </x:c>
      <x:c r="AI470" s="22" t="n">
        <x:f>MAX(0,MIN('Activities'!L470,186)-MAX('Activities'!K470,180))</x:f>
        <x:v>0</x:v>
      </x:c>
      <x:c r="AJ470" s="22" t="n">
        <x:f>MAX(0,MIN('Activities'!L470,192)-MAX('Activities'!K470,186))</x:f>
        <x:v>0</x:v>
      </x:c>
      <x:c r="AK470" s="22" t="n">
        <x:f>MAX(0,MIN('Activities'!L470,198)-MAX('Activities'!K470,192))</x:f>
        <x:v>0</x:v>
      </x:c>
      <x:c r="AL470" s="22" t="n">
        <x:f>MAX(0,MIN('Activities'!L470,204)-MAX('Activities'!K470,198))</x:f>
        <x:v>0</x:v>
      </x:c>
      <x:c r="AM470" s="22" t="n">
        <x:f>MAX(0,MIN('Activities'!L470,210)-MAX('Activities'!K470,204))</x:f>
        <x:v>0</x:v>
      </x:c>
      <x:c r="AN470" s="22" t="n">
        <x:f>MAX(0,MIN('Activities'!L470,216)-MAX('Activities'!K470,210))</x:f>
        <x:v>0</x:v>
      </x:c>
      <x:c r="AO470" s="22" t="n">
        <x:f>MAX(0,MIN('Activities'!L470,222)-MAX('Activities'!K470,216))</x:f>
        <x:v>0</x:v>
      </x:c>
      <x:c r="AP470" s="22" t="n">
        <x:f>MAX(0,MIN('Activities'!L470,228)-MAX('Activities'!K470,222))</x:f>
        <x:v>0</x:v>
      </x:c>
      <x:c r="AQ470" s="22" t="n">
        <x:f>MAX(0,MIN('Activities'!L470,234)-MAX('Activities'!K470,228))</x:f>
        <x:v>0</x:v>
      </x:c>
      <x:c r="AR470" s="22" t="n">
        <x:f>MAX(0,MIN('Activities'!L470,240)-MAX('Activities'!K470,234))</x:f>
        <x:v>0</x:v>
      </x:c>
      <x:c r="AS470" s="22" t="n">
        <x:f>MAX(0,MIN('Activities'!L470,246)-MAX('Activities'!K470,240))</x:f>
        <x:v>0</x:v>
      </x:c>
      <x:c r="AT470" s="22" t="n">
        <x:f>MAX(0,MIN('Activities'!L470,252)-MAX('Activities'!K470,246))</x:f>
        <x:v>5</x:v>
      </x:c>
      <x:c r="AU470" s="22" t="n">
        <x:f>MAX(0,MIN('Activities'!L470,258)-MAX('Activities'!K470,252))</x:f>
        <x:v>0</x:v>
      </x:c>
      <x:c r="AV470" s="22" t="n">
        <x:f>MAX(0,MIN('Activities'!L470,264)-MAX('Activities'!K470,258))</x:f>
        <x:v>0</x:v>
      </x:c>
      <x:c r="AW470" s="22" t="n">
        <x:f>MAX(0,MIN('Activities'!L470,270)-MAX('Activities'!K470,264))</x:f>
        <x:v>0</x:v>
      </x:c>
      <x:c r="AX470" s="22" t="n">
        <x:f>MAX(0,MIN('Activities'!L470,276)-MAX('Activities'!K470,270))</x:f>
        <x:v>0</x:v>
      </x:c>
      <x:c r="AY470" s="22" t="n">
        <x:f>MAX(0,MIN('Activities'!L470,282)-MAX('Activities'!K470,276))</x:f>
        <x:v>0</x:v>
      </x:c>
      <x:c r="AZ470" s="22" t="n">
        <x:f>MAX(0,MIN('Activities'!L470,288)-MAX('Activities'!K470,282))</x:f>
        <x:v>0</x:v>
      </x:c>
      <x:c r="BA470" s="22" t="n">
        <x:f>MAX(0,MIN('Activities'!L470,294)-MAX('Activities'!K470,288))</x:f>
        <x:v>0</x:v>
      </x:c>
      <x:c r="BB470" s="22" t="n">
        <x:f>MAX(0,MIN('Activities'!L470,300)-MAX('Activities'!K470,294))</x:f>
        <x:v>0</x:v>
      </x:c>
      <x:c r="BC470" s="22" t="n">
        <x:f>MAX(0,MIN('Activities'!L470,306)-MAX('Activities'!K470,300))</x:f>
        <x:v>0</x:v>
      </x:c>
      <x:c r="BD470" s="22" t="n">
        <x:f>MAX(0,MIN('Activities'!L470,312)-MAX('Activities'!K470,306))</x:f>
        <x:v>0</x:v>
      </x:c>
      <x:c r="BE470" s="22" t="n">
        <x:f>MAX(0,MIN('Activities'!L470,318)-MAX('Activities'!K470,312))</x:f>
        <x:v>0</x:v>
      </x:c>
      <x:c r="BF470" s="22" t="n">
        <x:f>MAX(0,MIN('Activities'!L470,324)-MAX('Activities'!K470,318))</x:f>
        <x:v>0</x:v>
      </x:c>
      <x:c r="BG470" s="22" t="n">
        <x:f>MAX(0,MIN('Activities'!L470,330)-MAX('Activities'!K470,324))</x:f>
        <x:v>0</x:v>
      </x:c>
      <x:c r="BH470" s="22" t="n">
        <x:f>MAX(0,MIN('Activities'!L470,336)-MAX('Activities'!K470,330))</x:f>
        <x:v>0</x:v>
      </x:c>
      <x:c r="BI470" s="22" t="n">
        <x:f>MAX(0,MIN('Activities'!L470,342)-MAX('Activities'!K470,336))</x:f>
        <x:v>0</x:v>
      </x:c>
      <x:c r="BJ470" s="22" t="n">
        <x:f>MAX(0,MIN('Activities'!L470,348)-MAX('Activities'!K470,342))</x:f>
        <x:v>0</x:v>
      </x:c>
      <x:c r="BK470" s="22" t="n">
        <x:f>MAX(0,MIN('Activities'!L470,354)-MAX('Activities'!K470,348))</x:f>
        <x:v>0</x:v>
      </x:c>
      <x:c r="BL470" s="22" t="n">
        <x:f>MAX(0,MIN('Activities'!L470,360)-MAX('Activities'!K470,354))</x:f>
        <x:v>0</x:v>
      </x:c>
      <x:c r="BM470" s="22" t="n">
        <x:f>MAX(0,MIN('Activities'!L470,366)-MAX('Activities'!K470,360))</x:f>
        <x:v>0</x:v>
      </x:c>
      <x:c r="BN470" s="22" t="n">
        <x:f>MAX(0,MIN('Activities'!L470,372)-MAX('Activities'!K470,366))</x:f>
        <x:v>0</x:v>
      </x:c>
      <x:c r="BO470" s="22" t="n">
        <x:f>MAX(0,MIN('Activities'!L470,378)-MAX('Activities'!K470,372))</x:f>
        <x:v>0</x:v>
      </x:c>
      <x:c r="BP470" s="22" t="n">
        <x:f>MAX(0,MIN('Activities'!L470,384)-MAX('Activities'!K470,378))</x:f>
        <x:v>0</x:v>
      </x:c>
      <x:c r="BQ470" s="22" t="n">
        <x:f>MAX(0,MIN('Activities'!L470,390)-MAX('Activities'!K470,384))</x:f>
        <x:v>0</x:v>
      </x:c>
      <x:c r="BR470" s="22" t="n">
        <x:f>MAX(0,MIN('Activities'!L470,396)-MAX('Activities'!K470,390))</x:f>
        <x:v>0</x:v>
      </x:c>
      <x:c r="BS470" s="22" t="n">
        <x:f>MAX(0,MIN('Activities'!L470,402)-MAX('Activities'!K470,396))</x:f>
        <x:v>0</x:v>
      </x:c>
      <x:c r="BT470" s="22" t="n">
        <x:f>MAX(0,MIN('Activities'!L470,408)-MAX('Activities'!K470,402))</x:f>
        <x:v>0</x:v>
      </x:c>
      <x:c r="BU470" s="22" t="n">
        <x:f>MAX(0,MIN('Activities'!L470,414)-MAX('Activities'!K470,408))</x:f>
        <x:v>0</x:v>
      </x:c>
      <x:c r="BV470" s="22" t="n">
        <x:f>MAX(0,MIN('Activities'!L470,420)-MAX('Activities'!K470,414))</x:f>
        <x:v>0</x:v>
      </x:c>
      <x:c r="BW470" s="22" t="n">
        <x:f>MAX(0,MIN('Activities'!L470,426)-MAX('Activities'!K470,420))</x:f>
        <x:v>0</x:v>
      </x:c>
      <x:c r="BX470" s="22" t="n">
        <x:f>MAX(0,MIN('Activities'!L470,432)-MAX('Activities'!K470,426))</x:f>
        <x:v>0</x:v>
      </x:c>
      <x:c r="BY470" s="22" t="n">
        <x:f>MAX(0,MIN('Activities'!L470,438)-MAX('Activities'!K470,432))</x:f>
        <x:v>0</x:v>
      </x:c>
      <x:c r="BZ470" s="22" t="n">
        <x:f>MAX(0,MIN('Activities'!L470,444)-MAX('Activities'!K470,438))</x:f>
        <x:v>0</x:v>
      </x:c>
      <x:c r="CA470" s="22" t="n">
        <x:f>MAX(0,MIN('Activities'!L470,450)-MAX('Activities'!K470,444))</x:f>
        <x:v>0</x:v>
      </x:c>
      <x:c r="CB470" s="22" t="n">
        <x:f>MAX(0,MIN('Activities'!L470,456)-MAX('Activities'!K470,450))</x:f>
        <x:v>0</x:v>
      </x:c>
      <x:c r="CC470" s="22" t="n">
        <x:f>MAX(0,MIN('Activities'!L470,462)-MAX('Activities'!K470,456))</x:f>
        <x:v>0</x:v>
      </x:c>
      <x:c r="CD470" s="22" t="n">
        <x:f>MAX(0,MIN('Activities'!L470,468)-MAX('Activities'!K470,462))</x:f>
        <x:v>0</x:v>
      </x:c>
      <x:c r="CE470" s="22" t="n">
        <x:f>MAX(0,MIN('Activities'!L470,474)-MAX('Activities'!K470,468))</x:f>
        <x:v>0</x:v>
      </x:c>
      <x:c r="CF470" s="22" t="n">
        <x:f>MAX(0,MIN('Activities'!L470,480)-MAX('Activities'!K470,474))</x:f>
        <x:v>0</x:v>
      </x:c>
      <x:c r="CG470" s="22" t="n">
        <x:f>MAX(0,MIN('Activities'!L470,486)-MAX('Activities'!K470,480))</x:f>
        <x:v>0</x:v>
      </x:c>
      <x:c r="CH470" s="22" t="n">
        <x:f>MAX(0,MIN('Activities'!L470,492)-MAX('Activities'!K470,486))</x:f>
        <x:v>0</x:v>
      </x:c>
      <x:c r="CI470" s="22" t="n">
        <x:f>MAX(0,MIN('Activities'!L470,498)-MAX('Activities'!K470,492))</x:f>
        <x:v>0</x:v>
      </x:c>
      <x:c r="CJ470" s="22" t="n">
        <x:f>MAX(0,MIN('Activities'!L470,504)-MAX('Activities'!K470,498))</x:f>
        <x:v>0</x:v>
      </x:c>
      <x:c r="CK470" s="22" t="n">
        <x:f>MAX(0,MIN('Activities'!L470,510)-MAX('Activities'!K470,504))</x:f>
        <x:v>0</x:v>
      </x:c>
      <x:c r="CL470" s="22" t="n">
        <x:f>MAX(0,MIN('Activities'!L470,516)-MAX('Activities'!K470,510))</x:f>
        <x:v>0</x:v>
      </x:c>
      <x:c r="CM470" s="22" t="n">
        <x:f>MAX(0,MIN('Activities'!L470,522)-MAX('Activities'!K470,516))</x:f>
        <x:v>0</x:v>
      </x:c>
      <x:c r="CN470" s="22" t="n">
        <x:f>MAX(0,MIN('Activities'!L470,528)-MAX('Activities'!K470,522))</x:f>
        <x:v>0</x:v>
      </x:c>
      <x:c r="CO470" s="22" t="n">
        <x:f>MAX(0,MIN('Activities'!L470,534)-MAX('Activities'!K470,528))</x:f>
        <x:v>0</x:v>
      </x:c>
      <x:c r="CP470" s="22" t="n">
        <x:f>MAX(0,MIN('Activities'!L470,540)-MAX('Activities'!K470,534))</x:f>
        <x:v>0</x:v>
      </x:c>
      <x:c r="CQ470" s="22" t="n">
        <x:f>MAX(0,MIN('Activities'!L470,546)-MAX('Activities'!K470,540))</x:f>
        <x:v>0</x:v>
      </x:c>
      <x:c r="CR470" s="22" t="n">
        <x:f>MAX(0,MIN('Activities'!L470,552)-MAX('Activities'!K470,546))</x:f>
        <x:v>0</x:v>
      </x:c>
      <x:c r="CS470" s="22" t="n">
        <x:f>MAX(0,MIN('Activities'!L470,558)-MAX('Activities'!K470,552))</x:f>
        <x:v>0</x:v>
      </x:c>
      <x:c r="CT470" s="22" t="n">
        <x:f>MAX(0,MIN('Activities'!L470,564)-MAX('Activities'!K470,558))</x:f>
        <x:v>0</x:v>
      </x:c>
      <x:c r="CU470" s="22" t="n">
        <x:f>MAX(0,MIN('Activities'!L470,570)-MAX('Activities'!K470,564))</x:f>
        <x:v>0</x:v>
      </x:c>
      <x:c r="CV470" s="22" t="n">
        <x:f>MAX(0,MIN('Activities'!L470,576)-MAX('Activities'!K470,570))</x:f>
        <x:v>0</x:v>
      </x:c>
      <x:c r="CW470" s="22" t="n">
        <x:f>MAX(0,MIN('Activities'!L470,582)-MAX('Activities'!K470,576))</x:f>
        <x:v>0</x:v>
      </x:c>
      <x:c r="CX470" s="22" t="n">
        <x:f>MAX(0,MIN('Activities'!L470,588)-MAX('Activities'!K470,582))</x:f>
        <x:v>0</x:v>
      </x:c>
      <x:c r="CY470" s="22" t="n">
        <x:f>MAX(0,MIN('Activities'!L470,594)-MAX('Activities'!K470,588))</x:f>
        <x:v>0</x:v>
      </x:c>
      <x:c r="CZ470" s="22" t="n">
        <x:f>MAX(0,MIN('Activities'!L470,600)-MAX('Activities'!K470,594))</x:f>
        <x:v>0</x:v>
      </x:c>
      <x:c r="DA470" s="22" t="n">
        <x:f>MAX(0,MIN('Activities'!L470,606)-MAX('Activities'!K470,600))</x:f>
        <x:v>0</x:v>
      </x:c>
      <x:c r="DB470" s="22" t="n">
        <x:f>MAX(0,MIN('Activities'!L470,612)-MAX('Activities'!K470,606))</x:f>
        <x:v>0</x:v>
      </x:c>
      <x:c r="DC470" s="22" t="n">
        <x:f>MAX(0,MIN('Activities'!L470,618)-MAX('Activities'!K470,612))</x:f>
        <x:v>0</x:v>
      </x:c>
      <x:c r="DD470" s="22" t="n">
        <x:f>MAX(0,MIN('Activities'!L470,624)-MAX('Activities'!K470,618))</x:f>
        <x:v>0</x:v>
      </x:c>
      <x:c r="DE470" s="22" t="n">
        <x:f>MAX(0,MIN('Activities'!L470,630)-MAX('Activities'!K470,624))</x:f>
        <x:v>0</x:v>
      </x:c>
      <x:c r="DF470" s="22" t="n">
        <x:f>MAX(0,MIN('Activities'!L470,636)-MAX('Activities'!K470,630))</x:f>
        <x:v>0</x:v>
      </x:c>
    </x:row>
    <x:row r="471" ht="23" customHeight="1">
      <x:c r="A471" s="1" t="str">
        <x:v>T4-L00-P</x:v>
      </x:c>
      <x:c r="B471" s="1" t="str">
        <x:v>T4</x:v>
      </x:c>
      <x:c r="C471" s="1" t="str">
        <x:v>Internal plaster</x:v>
      </x:c>
      <x:c r="D471" s="1" t="str">
        <x:v>Finishes</x:v>
      </x:c>
      <x:c r="E471" s="23" t="n">
        <x:f>MAX(0,MIN('Activities'!L471,6)-MAX('Activities'!K471,0))</x:f>
        <x:v>0</x:v>
      </x:c>
      <x:c r="F471" s="23" t="n">
        <x:f>MAX(0,MIN('Activities'!L471,12)-MAX('Activities'!K471,6))</x:f>
        <x:v>0</x:v>
      </x:c>
      <x:c r="G471" s="23" t="n">
        <x:f>MAX(0,MIN('Activities'!L471,18)-MAX('Activities'!K471,12))</x:f>
        <x:v>0</x:v>
      </x:c>
      <x:c r="H471" s="23" t="n">
        <x:f>MAX(0,MIN('Activities'!L471,24)-MAX('Activities'!K471,18))</x:f>
        <x:v>0</x:v>
      </x:c>
      <x:c r="I471" s="23" t="n">
        <x:f>MAX(0,MIN('Activities'!L471,30)-MAX('Activities'!K471,24))</x:f>
        <x:v>0</x:v>
      </x:c>
      <x:c r="J471" s="23" t="n">
        <x:f>MAX(0,MIN('Activities'!L471,36)-MAX('Activities'!K471,30))</x:f>
        <x:v>0</x:v>
      </x:c>
      <x:c r="K471" s="23" t="n">
        <x:f>MAX(0,MIN('Activities'!L471,42)-MAX('Activities'!K471,36))</x:f>
        <x:v>0</x:v>
      </x:c>
      <x:c r="L471" s="23" t="n">
        <x:f>MAX(0,MIN('Activities'!L471,48)-MAX('Activities'!K471,42))</x:f>
        <x:v>0</x:v>
      </x:c>
      <x:c r="M471" s="23" t="n">
        <x:f>MAX(0,MIN('Activities'!L471,54)-MAX('Activities'!K471,48))</x:f>
        <x:v>0</x:v>
      </x:c>
      <x:c r="N471" s="23" t="n">
        <x:f>MAX(0,MIN('Activities'!L471,60)-MAX('Activities'!K471,54))</x:f>
        <x:v>0</x:v>
      </x:c>
      <x:c r="O471" s="23" t="n">
        <x:f>MAX(0,MIN('Activities'!L471,66)-MAX('Activities'!K471,60))</x:f>
        <x:v>0</x:v>
      </x:c>
      <x:c r="P471" s="23" t="n">
        <x:f>MAX(0,MIN('Activities'!L471,72)-MAX('Activities'!K471,66))</x:f>
        <x:v>0</x:v>
      </x:c>
      <x:c r="Q471" s="23" t="n">
        <x:f>MAX(0,MIN('Activities'!L471,78)-MAX('Activities'!K471,72))</x:f>
        <x:v>0</x:v>
      </x:c>
      <x:c r="R471" s="23" t="n">
        <x:f>MAX(0,MIN('Activities'!L471,84)-MAX('Activities'!K471,78))</x:f>
        <x:v>0</x:v>
      </x:c>
      <x:c r="S471" s="23" t="n">
        <x:f>MAX(0,MIN('Activities'!L471,90)-MAX('Activities'!K471,84))</x:f>
        <x:v>0</x:v>
      </x:c>
      <x:c r="T471" s="23" t="n">
        <x:f>MAX(0,MIN('Activities'!L471,96)-MAX('Activities'!K471,90))</x:f>
        <x:v>0</x:v>
      </x:c>
      <x:c r="U471" s="23" t="n">
        <x:f>MAX(0,MIN('Activities'!L471,102)-MAX('Activities'!K471,96))</x:f>
        <x:v>0</x:v>
      </x:c>
      <x:c r="V471" s="23" t="n">
        <x:f>MAX(0,MIN('Activities'!L471,108)-MAX('Activities'!K471,102))</x:f>
        <x:v>0</x:v>
      </x:c>
      <x:c r="W471" s="23" t="n">
        <x:f>MAX(0,MIN('Activities'!L471,114)-MAX('Activities'!K471,108))</x:f>
        <x:v>0</x:v>
      </x:c>
      <x:c r="X471" s="23" t="n">
        <x:f>MAX(0,MIN('Activities'!L471,120)-MAX('Activities'!K471,114))</x:f>
        <x:v>0</x:v>
      </x:c>
      <x:c r="Y471" s="23" t="n">
        <x:f>MAX(0,MIN('Activities'!L471,126)-MAX('Activities'!K471,120))</x:f>
        <x:v>0</x:v>
      </x:c>
      <x:c r="Z471" s="23" t="n">
        <x:f>MAX(0,MIN('Activities'!L471,132)-MAX('Activities'!K471,126))</x:f>
        <x:v>0</x:v>
      </x:c>
      <x:c r="AA471" s="23" t="n">
        <x:f>MAX(0,MIN('Activities'!L471,138)-MAX('Activities'!K471,132))</x:f>
        <x:v>0</x:v>
      </x:c>
      <x:c r="AB471" s="23" t="n">
        <x:f>MAX(0,MIN('Activities'!L471,144)-MAX('Activities'!K471,138))</x:f>
        <x:v>0</x:v>
      </x:c>
      <x:c r="AC471" s="23" t="n">
        <x:f>MAX(0,MIN('Activities'!L471,150)-MAX('Activities'!K471,144))</x:f>
        <x:v>0</x:v>
      </x:c>
      <x:c r="AD471" s="23" t="n">
        <x:f>MAX(0,MIN('Activities'!L471,156)-MAX('Activities'!K471,150))</x:f>
        <x:v>0</x:v>
      </x:c>
      <x:c r="AE471" s="23" t="n">
        <x:f>MAX(0,MIN('Activities'!L471,162)-MAX('Activities'!K471,156))</x:f>
        <x:v>0</x:v>
      </x:c>
      <x:c r="AF471" s="23" t="n">
        <x:f>MAX(0,MIN('Activities'!L471,168)-MAX('Activities'!K471,162))</x:f>
        <x:v>0</x:v>
      </x:c>
      <x:c r="AG471" s="23" t="n">
        <x:f>MAX(0,MIN('Activities'!L471,174)-MAX('Activities'!K471,168))</x:f>
        <x:v>0</x:v>
      </x:c>
      <x:c r="AH471" s="23" t="n">
        <x:f>MAX(0,MIN('Activities'!L471,180)-MAX('Activities'!K471,174))</x:f>
        <x:v>0</x:v>
      </x:c>
      <x:c r="AI471" s="23" t="n">
        <x:f>MAX(0,MIN('Activities'!L471,186)-MAX('Activities'!K471,180))</x:f>
        <x:v>0</x:v>
      </x:c>
      <x:c r="AJ471" s="23" t="n">
        <x:f>MAX(0,MIN('Activities'!L471,192)-MAX('Activities'!K471,186))</x:f>
        <x:v>0</x:v>
      </x:c>
      <x:c r="AK471" s="23" t="n">
        <x:f>MAX(0,MIN('Activities'!L471,198)-MAX('Activities'!K471,192))</x:f>
        <x:v>0</x:v>
      </x:c>
      <x:c r="AL471" s="23" t="n">
        <x:f>MAX(0,MIN('Activities'!L471,204)-MAX('Activities'!K471,198))</x:f>
        <x:v>0</x:v>
      </x:c>
      <x:c r="AM471" s="23" t="n">
        <x:f>MAX(0,MIN('Activities'!L471,210)-MAX('Activities'!K471,204))</x:f>
        <x:v>0</x:v>
      </x:c>
      <x:c r="AN471" s="23" t="n">
        <x:f>MAX(0,MIN('Activities'!L471,216)-MAX('Activities'!K471,210))</x:f>
        <x:v>0</x:v>
      </x:c>
      <x:c r="AO471" s="23" t="n">
        <x:f>MAX(0,MIN('Activities'!L471,222)-MAX('Activities'!K471,216))</x:f>
        <x:v>0</x:v>
      </x:c>
      <x:c r="AP471" s="23" t="n">
        <x:f>MAX(0,MIN('Activities'!L471,228)-MAX('Activities'!K471,222))</x:f>
        <x:v>0</x:v>
      </x:c>
      <x:c r="AQ471" s="23" t="n">
        <x:f>MAX(0,MIN('Activities'!L471,234)-MAX('Activities'!K471,228))</x:f>
        <x:v>0</x:v>
      </x:c>
      <x:c r="AR471" s="23" t="n">
        <x:f>MAX(0,MIN('Activities'!L471,240)-MAX('Activities'!K471,234))</x:f>
        <x:v>0</x:v>
      </x:c>
      <x:c r="AS471" s="23" t="n">
        <x:f>MAX(0,MIN('Activities'!L471,246)-MAX('Activities'!K471,240))</x:f>
        <x:v>0</x:v>
      </x:c>
      <x:c r="AT471" s="23" t="n">
        <x:f>MAX(0,MIN('Activities'!L471,252)-MAX('Activities'!K471,246))</x:f>
        <x:v>0</x:v>
      </x:c>
      <x:c r="AU471" s="23" t="n">
        <x:f>MAX(0,MIN('Activities'!L471,258)-MAX('Activities'!K471,252))</x:f>
        <x:v>3</x:v>
      </x:c>
      <x:c r="AV471" s="23" t="n">
        <x:f>MAX(0,MIN('Activities'!L471,264)-MAX('Activities'!K471,258))</x:f>
        <x:v>3</x:v>
      </x:c>
      <x:c r="AW471" s="23" t="n">
        <x:f>MAX(0,MIN('Activities'!L471,270)-MAX('Activities'!K471,264))</x:f>
        <x:v>0</x:v>
      </x:c>
      <x:c r="AX471" s="23" t="n">
        <x:f>MAX(0,MIN('Activities'!L471,276)-MAX('Activities'!K471,270))</x:f>
        <x:v>0</x:v>
      </x:c>
      <x:c r="AY471" s="23" t="n">
        <x:f>MAX(0,MIN('Activities'!L471,282)-MAX('Activities'!K471,276))</x:f>
        <x:v>0</x:v>
      </x:c>
      <x:c r="AZ471" s="23" t="n">
        <x:f>MAX(0,MIN('Activities'!L471,288)-MAX('Activities'!K471,282))</x:f>
        <x:v>0</x:v>
      </x:c>
      <x:c r="BA471" s="23" t="n">
        <x:f>MAX(0,MIN('Activities'!L471,294)-MAX('Activities'!K471,288))</x:f>
        <x:v>0</x:v>
      </x:c>
      <x:c r="BB471" s="23" t="n">
        <x:f>MAX(0,MIN('Activities'!L471,300)-MAX('Activities'!K471,294))</x:f>
        <x:v>0</x:v>
      </x:c>
      <x:c r="BC471" s="23" t="n">
        <x:f>MAX(0,MIN('Activities'!L471,306)-MAX('Activities'!K471,300))</x:f>
        <x:v>0</x:v>
      </x:c>
      <x:c r="BD471" s="23" t="n">
        <x:f>MAX(0,MIN('Activities'!L471,312)-MAX('Activities'!K471,306))</x:f>
        <x:v>0</x:v>
      </x:c>
      <x:c r="BE471" s="23" t="n">
        <x:f>MAX(0,MIN('Activities'!L471,318)-MAX('Activities'!K471,312))</x:f>
        <x:v>0</x:v>
      </x:c>
      <x:c r="BF471" s="23" t="n">
        <x:f>MAX(0,MIN('Activities'!L471,324)-MAX('Activities'!K471,318))</x:f>
        <x:v>0</x:v>
      </x:c>
      <x:c r="BG471" s="23" t="n">
        <x:f>MAX(0,MIN('Activities'!L471,330)-MAX('Activities'!K471,324))</x:f>
        <x:v>0</x:v>
      </x:c>
      <x:c r="BH471" s="23" t="n">
        <x:f>MAX(0,MIN('Activities'!L471,336)-MAX('Activities'!K471,330))</x:f>
        <x:v>0</x:v>
      </x:c>
      <x:c r="BI471" s="23" t="n">
        <x:f>MAX(0,MIN('Activities'!L471,342)-MAX('Activities'!K471,336))</x:f>
        <x:v>0</x:v>
      </x:c>
      <x:c r="BJ471" s="23" t="n">
        <x:f>MAX(0,MIN('Activities'!L471,348)-MAX('Activities'!K471,342))</x:f>
        <x:v>0</x:v>
      </x:c>
      <x:c r="BK471" s="23" t="n">
        <x:f>MAX(0,MIN('Activities'!L471,354)-MAX('Activities'!K471,348))</x:f>
        <x:v>0</x:v>
      </x:c>
      <x:c r="BL471" s="23" t="n">
        <x:f>MAX(0,MIN('Activities'!L471,360)-MAX('Activities'!K471,354))</x:f>
        <x:v>0</x:v>
      </x:c>
      <x:c r="BM471" s="23" t="n">
        <x:f>MAX(0,MIN('Activities'!L471,366)-MAX('Activities'!K471,360))</x:f>
        <x:v>0</x:v>
      </x:c>
      <x:c r="BN471" s="23" t="n">
        <x:f>MAX(0,MIN('Activities'!L471,372)-MAX('Activities'!K471,366))</x:f>
        <x:v>0</x:v>
      </x:c>
      <x:c r="BO471" s="23" t="n">
        <x:f>MAX(0,MIN('Activities'!L471,378)-MAX('Activities'!K471,372))</x:f>
        <x:v>0</x:v>
      </x:c>
      <x:c r="BP471" s="23" t="n">
        <x:f>MAX(0,MIN('Activities'!L471,384)-MAX('Activities'!K471,378))</x:f>
        <x:v>0</x:v>
      </x:c>
      <x:c r="BQ471" s="23" t="n">
        <x:f>MAX(0,MIN('Activities'!L471,390)-MAX('Activities'!K471,384))</x:f>
        <x:v>0</x:v>
      </x:c>
      <x:c r="BR471" s="23" t="n">
        <x:f>MAX(0,MIN('Activities'!L471,396)-MAX('Activities'!K471,390))</x:f>
        <x:v>0</x:v>
      </x:c>
      <x:c r="BS471" s="23" t="n">
        <x:f>MAX(0,MIN('Activities'!L471,402)-MAX('Activities'!K471,396))</x:f>
        <x:v>0</x:v>
      </x:c>
      <x:c r="BT471" s="23" t="n">
        <x:f>MAX(0,MIN('Activities'!L471,408)-MAX('Activities'!K471,402))</x:f>
        <x:v>0</x:v>
      </x:c>
      <x:c r="BU471" s="23" t="n">
        <x:f>MAX(0,MIN('Activities'!L471,414)-MAX('Activities'!K471,408))</x:f>
        <x:v>0</x:v>
      </x:c>
      <x:c r="BV471" s="23" t="n">
        <x:f>MAX(0,MIN('Activities'!L471,420)-MAX('Activities'!K471,414))</x:f>
        <x:v>0</x:v>
      </x:c>
      <x:c r="BW471" s="23" t="n">
        <x:f>MAX(0,MIN('Activities'!L471,426)-MAX('Activities'!K471,420))</x:f>
        <x:v>0</x:v>
      </x:c>
      <x:c r="BX471" s="23" t="n">
        <x:f>MAX(0,MIN('Activities'!L471,432)-MAX('Activities'!K471,426))</x:f>
        <x:v>0</x:v>
      </x:c>
      <x:c r="BY471" s="23" t="n">
        <x:f>MAX(0,MIN('Activities'!L471,438)-MAX('Activities'!K471,432))</x:f>
        <x:v>0</x:v>
      </x:c>
      <x:c r="BZ471" s="23" t="n">
        <x:f>MAX(0,MIN('Activities'!L471,444)-MAX('Activities'!K471,438))</x:f>
        <x:v>0</x:v>
      </x:c>
      <x:c r="CA471" s="23" t="n">
        <x:f>MAX(0,MIN('Activities'!L471,450)-MAX('Activities'!K471,444))</x:f>
        <x:v>0</x:v>
      </x:c>
      <x:c r="CB471" s="23" t="n">
        <x:f>MAX(0,MIN('Activities'!L471,456)-MAX('Activities'!K471,450))</x:f>
        <x:v>0</x:v>
      </x:c>
      <x:c r="CC471" s="23" t="n">
        <x:f>MAX(0,MIN('Activities'!L471,462)-MAX('Activities'!K471,456))</x:f>
        <x:v>0</x:v>
      </x:c>
      <x:c r="CD471" s="23" t="n">
        <x:f>MAX(0,MIN('Activities'!L471,468)-MAX('Activities'!K471,462))</x:f>
        <x:v>0</x:v>
      </x:c>
      <x:c r="CE471" s="23" t="n">
        <x:f>MAX(0,MIN('Activities'!L471,474)-MAX('Activities'!K471,468))</x:f>
        <x:v>0</x:v>
      </x:c>
      <x:c r="CF471" s="23" t="n">
        <x:f>MAX(0,MIN('Activities'!L471,480)-MAX('Activities'!K471,474))</x:f>
        <x:v>0</x:v>
      </x:c>
      <x:c r="CG471" s="23" t="n">
        <x:f>MAX(0,MIN('Activities'!L471,486)-MAX('Activities'!K471,480))</x:f>
        <x:v>0</x:v>
      </x:c>
      <x:c r="CH471" s="23" t="n">
        <x:f>MAX(0,MIN('Activities'!L471,492)-MAX('Activities'!K471,486))</x:f>
        <x:v>0</x:v>
      </x:c>
      <x:c r="CI471" s="23" t="n">
        <x:f>MAX(0,MIN('Activities'!L471,498)-MAX('Activities'!K471,492))</x:f>
        <x:v>0</x:v>
      </x:c>
      <x:c r="CJ471" s="23" t="n">
        <x:f>MAX(0,MIN('Activities'!L471,504)-MAX('Activities'!K471,498))</x:f>
        <x:v>0</x:v>
      </x:c>
      <x:c r="CK471" s="23" t="n">
        <x:f>MAX(0,MIN('Activities'!L471,510)-MAX('Activities'!K471,504))</x:f>
        <x:v>0</x:v>
      </x:c>
      <x:c r="CL471" s="23" t="n">
        <x:f>MAX(0,MIN('Activities'!L471,516)-MAX('Activities'!K471,510))</x:f>
        <x:v>0</x:v>
      </x:c>
      <x:c r="CM471" s="23" t="n">
        <x:f>MAX(0,MIN('Activities'!L471,522)-MAX('Activities'!K471,516))</x:f>
        <x:v>0</x:v>
      </x:c>
      <x:c r="CN471" s="23" t="n">
        <x:f>MAX(0,MIN('Activities'!L471,528)-MAX('Activities'!K471,522))</x:f>
        <x:v>0</x:v>
      </x:c>
      <x:c r="CO471" s="23" t="n">
        <x:f>MAX(0,MIN('Activities'!L471,534)-MAX('Activities'!K471,528))</x:f>
        <x:v>0</x:v>
      </x:c>
      <x:c r="CP471" s="23" t="n">
        <x:f>MAX(0,MIN('Activities'!L471,540)-MAX('Activities'!K471,534))</x:f>
        <x:v>0</x:v>
      </x:c>
      <x:c r="CQ471" s="23" t="n">
        <x:f>MAX(0,MIN('Activities'!L471,546)-MAX('Activities'!K471,540))</x:f>
        <x:v>0</x:v>
      </x:c>
      <x:c r="CR471" s="23" t="n">
        <x:f>MAX(0,MIN('Activities'!L471,552)-MAX('Activities'!K471,546))</x:f>
        <x:v>0</x:v>
      </x:c>
      <x:c r="CS471" s="23" t="n">
        <x:f>MAX(0,MIN('Activities'!L471,558)-MAX('Activities'!K471,552))</x:f>
        <x:v>0</x:v>
      </x:c>
      <x:c r="CT471" s="23" t="n">
        <x:f>MAX(0,MIN('Activities'!L471,564)-MAX('Activities'!K471,558))</x:f>
        <x:v>0</x:v>
      </x:c>
      <x:c r="CU471" s="23" t="n">
        <x:f>MAX(0,MIN('Activities'!L471,570)-MAX('Activities'!K471,564))</x:f>
        <x:v>0</x:v>
      </x:c>
      <x:c r="CV471" s="23" t="n">
        <x:f>MAX(0,MIN('Activities'!L471,576)-MAX('Activities'!K471,570))</x:f>
        <x:v>0</x:v>
      </x:c>
      <x:c r="CW471" s="23" t="n">
        <x:f>MAX(0,MIN('Activities'!L471,582)-MAX('Activities'!K471,576))</x:f>
        <x:v>0</x:v>
      </x:c>
      <x:c r="CX471" s="23" t="n">
        <x:f>MAX(0,MIN('Activities'!L471,588)-MAX('Activities'!K471,582))</x:f>
        <x:v>0</x:v>
      </x:c>
      <x:c r="CY471" s="23" t="n">
        <x:f>MAX(0,MIN('Activities'!L471,594)-MAX('Activities'!K471,588))</x:f>
        <x:v>0</x:v>
      </x:c>
      <x:c r="CZ471" s="23" t="n">
        <x:f>MAX(0,MIN('Activities'!L471,600)-MAX('Activities'!K471,594))</x:f>
        <x:v>0</x:v>
      </x:c>
      <x:c r="DA471" s="23" t="n">
        <x:f>MAX(0,MIN('Activities'!L471,606)-MAX('Activities'!K471,600))</x:f>
        <x:v>0</x:v>
      </x:c>
      <x:c r="DB471" s="23" t="n">
        <x:f>MAX(0,MIN('Activities'!L471,612)-MAX('Activities'!K471,606))</x:f>
        <x:v>0</x:v>
      </x:c>
      <x:c r="DC471" s="23" t="n">
        <x:f>MAX(0,MIN('Activities'!L471,618)-MAX('Activities'!K471,612))</x:f>
        <x:v>0</x:v>
      </x:c>
      <x:c r="DD471" s="23" t="n">
        <x:f>MAX(0,MIN('Activities'!L471,624)-MAX('Activities'!K471,618))</x:f>
        <x:v>0</x:v>
      </x:c>
      <x:c r="DE471" s="23" t="n">
        <x:f>MAX(0,MIN('Activities'!L471,630)-MAX('Activities'!K471,624))</x:f>
        <x:v>0</x:v>
      </x:c>
      <x:c r="DF471" s="23" t="n">
        <x:f>MAX(0,MIN('Activities'!L471,636)-MAX('Activities'!K471,630))</x:f>
        <x:v>0</x:v>
      </x:c>
    </x:row>
    <x:row r="472" ht="23" customHeight="1">
      <x:c r="A472" s="6" t="str">
        <x:v>T4-L00-S</x:v>
      </x:c>
      <x:c r="B472" s="6" t="str">
        <x:v>T4</x:v>
      </x:c>
      <x:c r="C472" s="6" t="str">
        <x:v>Screed and substrate preparation</x:v>
      </x:c>
      <x:c r="D472" s="6" t="str">
        <x:v>Finishes</x:v>
      </x:c>
      <x:c r="E472" s="22" t="n">
        <x:f>MAX(0,MIN('Activities'!L472,6)-MAX('Activities'!K472,0))</x:f>
        <x:v>0</x:v>
      </x:c>
      <x:c r="F472" s="22" t="n">
        <x:f>MAX(0,MIN('Activities'!L472,12)-MAX('Activities'!K472,6))</x:f>
        <x:v>0</x:v>
      </x:c>
      <x:c r="G472" s="22" t="n">
        <x:f>MAX(0,MIN('Activities'!L472,18)-MAX('Activities'!K472,12))</x:f>
        <x:v>0</x:v>
      </x:c>
      <x:c r="H472" s="22" t="n">
        <x:f>MAX(0,MIN('Activities'!L472,24)-MAX('Activities'!K472,18))</x:f>
        <x:v>0</x:v>
      </x:c>
      <x:c r="I472" s="22" t="n">
        <x:f>MAX(0,MIN('Activities'!L472,30)-MAX('Activities'!K472,24))</x:f>
        <x:v>0</x:v>
      </x:c>
      <x:c r="J472" s="22" t="n">
        <x:f>MAX(0,MIN('Activities'!L472,36)-MAX('Activities'!K472,30))</x:f>
        <x:v>0</x:v>
      </x:c>
      <x:c r="K472" s="22" t="n">
        <x:f>MAX(0,MIN('Activities'!L472,42)-MAX('Activities'!K472,36))</x:f>
        <x:v>0</x:v>
      </x:c>
      <x:c r="L472" s="22" t="n">
        <x:f>MAX(0,MIN('Activities'!L472,48)-MAX('Activities'!K472,42))</x:f>
        <x:v>0</x:v>
      </x:c>
      <x:c r="M472" s="22" t="n">
        <x:f>MAX(0,MIN('Activities'!L472,54)-MAX('Activities'!K472,48))</x:f>
        <x:v>0</x:v>
      </x:c>
      <x:c r="N472" s="22" t="n">
        <x:f>MAX(0,MIN('Activities'!L472,60)-MAX('Activities'!K472,54))</x:f>
        <x:v>0</x:v>
      </x:c>
      <x:c r="O472" s="22" t="n">
        <x:f>MAX(0,MIN('Activities'!L472,66)-MAX('Activities'!K472,60))</x:f>
        <x:v>0</x:v>
      </x:c>
      <x:c r="P472" s="22" t="n">
        <x:f>MAX(0,MIN('Activities'!L472,72)-MAX('Activities'!K472,66))</x:f>
        <x:v>0</x:v>
      </x:c>
      <x:c r="Q472" s="22" t="n">
        <x:f>MAX(0,MIN('Activities'!L472,78)-MAX('Activities'!K472,72))</x:f>
        <x:v>0</x:v>
      </x:c>
      <x:c r="R472" s="22" t="n">
        <x:f>MAX(0,MIN('Activities'!L472,84)-MAX('Activities'!K472,78))</x:f>
        <x:v>0</x:v>
      </x:c>
      <x:c r="S472" s="22" t="n">
        <x:f>MAX(0,MIN('Activities'!L472,90)-MAX('Activities'!K472,84))</x:f>
        <x:v>0</x:v>
      </x:c>
      <x:c r="T472" s="22" t="n">
        <x:f>MAX(0,MIN('Activities'!L472,96)-MAX('Activities'!K472,90))</x:f>
        <x:v>0</x:v>
      </x:c>
      <x:c r="U472" s="22" t="n">
        <x:f>MAX(0,MIN('Activities'!L472,102)-MAX('Activities'!K472,96))</x:f>
        <x:v>0</x:v>
      </x:c>
      <x:c r="V472" s="22" t="n">
        <x:f>MAX(0,MIN('Activities'!L472,108)-MAX('Activities'!K472,102))</x:f>
        <x:v>0</x:v>
      </x:c>
      <x:c r="W472" s="22" t="n">
        <x:f>MAX(0,MIN('Activities'!L472,114)-MAX('Activities'!K472,108))</x:f>
        <x:v>0</x:v>
      </x:c>
      <x:c r="X472" s="22" t="n">
        <x:f>MAX(0,MIN('Activities'!L472,120)-MAX('Activities'!K472,114))</x:f>
        <x:v>0</x:v>
      </x:c>
      <x:c r="Y472" s="22" t="n">
        <x:f>MAX(0,MIN('Activities'!L472,126)-MAX('Activities'!K472,120))</x:f>
        <x:v>0</x:v>
      </x:c>
      <x:c r="Z472" s="22" t="n">
        <x:f>MAX(0,MIN('Activities'!L472,132)-MAX('Activities'!K472,126))</x:f>
        <x:v>0</x:v>
      </x:c>
      <x:c r="AA472" s="22" t="n">
        <x:f>MAX(0,MIN('Activities'!L472,138)-MAX('Activities'!K472,132))</x:f>
        <x:v>0</x:v>
      </x:c>
      <x:c r="AB472" s="22" t="n">
        <x:f>MAX(0,MIN('Activities'!L472,144)-MAX('Activities'!K472,138))</x:f>
        <x:v>0</x:v>
      </x:c>
      <x:c r="AC472" s="22" t="n">
        <x:f>MAX(0,MIN('Activities'!L472,150)-MAX('Activities'!K472,144))</x:f>
        <x:v>0</x:v>
      </x:c>
      <x:c r="AD472" s="22" t="n">
        <x:f>MAX(0,MIN('Activities'!L472,156)-MAX('Activities'!K472,150))</x:f>
        <x:v>0</x:v>
      </x:c>
      <x:c r="AE472" s="22" t="n">
        <x:f>MAX(0,MIN('Activities'!L472,162)-MAX('Activities'!K472,156))</x:f>
        <x:v>0</x:v>
      </x:c>
      <x:c r="AF472" s="22" t="n">
        <x:f>MAX(0,MIN('Activities'!L472,168)-MAX('Activities'!K472,162))</x:f>
        <x:v>0</x:v>
      </x:c>
      <x:c r="AG472" s="22" t="n">
        <x:f>MAX(0,MIN('Activities'!L472,174)-MAX('Activities'!K472,168))</x:f>
        <x:v>0</x:v>
      </x:c>
      <x:c r="AH472" s="22" t="n">
        <x:f>MAX(0,MIN('Activities'!L472,180)-MAX('Activities'!K472,174))</x:f>
        <x:v>0</x:v>
      </x:c>
      <x:c r="AI472" s="22" t="n">
        <x:f>MAX(0,MIN('Activities'!L472,186)-MAX('Activities'!K472,180))</x:f>
        <x:v>0</x:v>
      </x:c>
      <x:c r="AJ472" s="22" t="n">
        <x:f>MAX(0,MIN('Activities'!L472,192)-MAX('Activities'!K472,186))</x:f>
        <x:v>0</x:v>
      </x:c>
      <x:c r="AK472" s="22" t="n">
        <x:f>MAX(0,MIN('Activities'!L472,198)-MAX('Activities'!K472,192))</x:f>
        <x:v>0</x:v>
      </x:c>
      <x:c r="AL472" s="22" t="n">
        <x:f>MAX(0,MIN('Activities'!L472,204)-MAX('Activities'!K472,198))</x:f>
        <x:v>0</x:v>
      </x:c>
      <x:c r="AM472" s="22" t="n">
        <x:f>MAX(0,MIN('Activities'!L472,210)-MAX('Activities'!K472,204))</x:f>
        <x:v>0</x:v>
      </x:c>
      <x:c r="AN472" s="22" t="n">
        <x:f>MAX(0,MIN('Activities'!L472,216)-MAX('Activities'!K472,210))</x:f>
        <x:v>0</x:v>
      </x:c>
      <x:c r="AO472" s="22" t="n">
        <x:f>MAX(0,MIN('Activities'!L472,222)-MAX('Activities'!K472,216))</x:f>
        <x:v>0</x:v>
      </x:c>
      <x:c r="AP472" s="22" t="n">
        <x:f>MAX(0,MIN('Activities'!L472,228)-MAX('Activities'!K472,222))</x:f>
        <x:v>0</x:v>
      </x:c>
      <x:c r="AQ472" s="22" t="n">
        <x:f>MAX(0,MIN('Activities'!L472,234)-MAX('Activities'!K472,228))</x:f>
        <x:v>0</x:v>
      </x:c>
      <x:c r="AR472" s="22" t="n">
        <x:f>MAX(0,MIN('Activities'!L472,240)-MAX('Activities'!K472,234))</x:f>
        <x:v>0</x:v>
      </x:c>
      <x:c r="AS472" s="22" t="n">
        <x:f>MAX(0,MIN('Activities'!L472,246)-MAX('Activities'!K472,240))</x:f>
        <x:v>0</x:v>
      </x:c>
      <x:c r="AT472" s="22" t="n">
        <x:f>MAX(0,MIN('Activities'!L472,252)-MAX('Activities'!K472,246))</x:f>
        <x:v>0</x:v>
      </x:c>
      <x:c r="AU472" s="22" t="n">
        <x:f>MAX(0,MIN('Activities'!L472,258)-MAX('Activities'!K472,252))</x:f>
        <x:v>0</x:v>
      </x:c>
      <x:c r="AV472" s="22" t="n">
        <x:f>MAX(0,MIN('Activities'!L472,264)-MAX('Activities'!K472,258))</x:f>
        <x:v>1</x:v>
      </x:c>
      <x:c r="AW472" s="22" t="n">
        <x:f>MAX(0,MIN('Activities'!L472,270)-MAX('Activities'!K472,264))</x:f>
        <x:v>2</x:v>
      </x:c>
      <x:c r="AX472" s="22" t="n">
        <x:f>MAX(0,MIN('Activities'!L472,276)-MAX('Activities'!K472,270))</x:f>
        <x:v>0</x:v>
      </x:c>
      <x:c r="AY472" s="22" t="n">
        <x:f>MAX(0,MIN('Activities'!L472,282)-MAX('Activities'!K472,276))</x:f>
        <x:v>0</x:v>
      </x:c>
      <x:c r="AZ472" s="22" t="n">
        <x:f>MAX(0,MIN('Activities'!L472,288)-MAX('Activities'!K472,282))</x:f>
        <x:v>0</x:v>
      </x:c>
      <x:c r="BA472" s="22" t="n">
        <x:f>MAX(0,MIN('Activities'!L472,294)-MAX('Activities'!K472,288))</x:f>
        <x:v>0</x:v>
      </x:c>
      <x:c r="BB472" s="22" t="n">
        <x:f>MAX(0,MIN('Activities'!L472,300)-MAX('Activities'!K472,294))</x:f>
        <x:v>0</x:v>
      </x:c>
      <x:c r="BC472" s="22" t="n">
        <x:f>MAX(0,MIN('Activities'!L472,306)-MAX('Activities'!K472,300))</x:f>
        <x:v>0</x:v>
      </x:c>
      <x:c r="BD472" s="22" t="n">
        <x:f>MAX(0,MIN('Activities'!L472,312)-MAX('Activities'!K472,306))</x:f>
        <x:v>0</x:v>
      </x:c>
      <x:c r="BE472" s="22" t="n">
        <x:f>MAX(0,MIN('Activities'!L472,318)-MAX('Activities'!K472,312))</x:f>
        <x:v>0</x:v>
      </x:c>
      <x:c r="BF472" s="22" t="n">
        <x:f>MAX(0,MIN('Activities'!L472,324)-MAX('Activities'!K472,318))</x:f>
        <x:v>0</x:v>
      </x:c>
      <x:c r="BG472" s="22" t="n">
        <x:f>MAX(0,MIN('Activities'!L472,330)-MAX('Activities'!K472,324))</x:f>
        <x:v>0</x:v>
      </x:c>
      <x:c r="BH472" s="22" t="n">
        <x:f>MAX(0,MIN('Activities'!L472,336)-MAX('Activities'!K472,330))</x:f>
        <x:v>0</x:v>
      </x:c>
      <x:c r="BI472" s="22" t="n">
        <x:f>MAX(0,MIN('Activities'!L472,342)-MAX('Activities'!K472,336))</x:f>
        <x:v>0</x:v>
      </x:c>
      <x:c r="BJ472" s="22" t="n">
        <x:f>MAX(0,MIN('Activities'!L472,348)-MAX('Activities'!K472,342))</x:f>
        <x:v>0</x:v>
      </x:c>
      <x:c r="BK472" s="22" t="n">
        <x:f>MAX(0,MIN('Activities'!L472,354)-MAX('Activities'!K472,348))</x:f>
        <x:v>0</x:v>
      </x:c>
      <x:c r="BL472" s="22" t="n">
        <x:f>MAX(0,MIN('Activities'!L472,360)-MAX('Activities'!K472,354))</x:f>
        <x:v>0</x:v>
      </x:c>
      <x:c r="BM472" s="22" t="n">
        <x:f>MAX(0,MIN('Activities'!L472,366)-MAX('Activities'!K472,360))</x:f>
        <x:v>0</x:v>
      </x:c>
      <x:c r="BN472" s="22" t="n">
        <x:f>MAX(0,MIN('Activities'!L472,372)-MAX('Activities'!K472,366))</x:f>
        <x:v>0</x:v>
      </x:c>
      <x:c r="BO472" s="22" t="n">
        <x:f>MAX(0,MIN('Activities'!L472,378)-MAX('Activities'!K472,372))</x:f>
        <x:v>0</x:v>
      </x:c>
      <x:c r="BP472" s="22" t="n">
        <x:f>MAX(0,MIN('Activities'!L472,384)-MAX('Activities'!K472,378))</x:f>
        <x:v>0</x:v>
      </x:c>
      <x:c r="BQ472" s="22" t="n">
        <x:f>MAX(0,MIN('Activities'!L472,390)-MAX('Activities'!K472,384))</x:f>
        <x:v>0</x:v>
      </x:c>
      <x:c r="BR472" s="22" t="n">
        <x:f>MAX(0,MIN('Activities'!L472,396)-MAX('Activities'!K472,390))</x:f>
        <x:v>0</x:v>
      </x:c>
      <x:c r="BS472" s="22" t="n">
        <x:f>MAX(0,MIN('Activities'!L472,402)-MAX('Activities'!K472,396))</x:f>
        <x:v>0</x:v>
      </x:c>
      <x:c r="BT472" s="22" t="n">
        <x:f>MAX(0,MIN('Activities'!L472,408)-MAX('Activities'!K472,402))</x:f>
        <x:v>0</x:v>
      </x:c>
      <x:c r="BU472" s="22" t="n">
        <x:f>MAX(0,MIN('Activities'!L472,414)-MAX('Activities'!K472,408))</x:f>
        <x:v>0</x:v>
      </x:c>
      <x:c r="BV472" s="22" t="n">
        <x:f>MAX(0,MIN('Activities'!L472,420)-MAX('Activities'!K472,414))</x:f>
        <x:v>0</x:v>
      </x:c>
      <x:c r="BW472" s="22" t="n">
        <x:f>MAX(0,MIN('Activities'!L472,426)-MAX('Activities'!K472,420))</x:f>
        <x:v>0</x:v>
      </x:c>
      <x:c r="BX472" s="22" t="n">
        <x:f>MAX(0,MIN('Activities'!L472,432)-MAX('Activities'!K472,426))</x:f>
        <x:v>0</x:v>
      </x:c>
      <x:c r="BY472" s="22" t="n">
        <x:f>MAX(0,MIN('Activities'!L472,438)-MAX('Activities'!K472,432))</x:f>
        <x:v>0</x:v>
      </x:c>
      <x:c r="BZ472" s="22" t="n">
        <x:f>MAX(0,MIN('Activities'!L472,444)-MAX('Activities'!K472,438))</x:f>
        <x:v>0</x:v>
      </x:c>
      <x:c r="CA472" s="22" t="n">
        <x:f>MAX(0,MIN('Activities'!L472,450)-MAX('Activities'!K472,444))</x:f>
        <x:v>0</x:v>
      </x:c>
      <x:c r="CB472" s="22" t="n">
        <x:f>MAX(0,MIN('Activities'!L472,456)-MAX('Activities'!K472,450))</x:f>
        <x:v>0</x:v>
      </x:c>
      <x:c r="CC472" s="22" t="n">
        <x:f>MAX(0,MIN('Activities'!L472,462)-MAX('Activities'!K472,456))</x:f>
        <x:v>0</x:v>
      </x:c>
      <x:c r="CD472" s="22" t="n">
        <x:f>MAX(0,MIN('Activities'!L472,468)-MAX('Activities'!K472,462))</x:f>
        <x:v>0</x:v>
      </x:c>
      <x:c r="CE472" s="22" t="n">
        <x:f>MAX(0,MIN('Activities'!L472,474)-MAX('Activities'!K472,468))</x:f>
        <x:v>0</x:v>
      </x:c>
      <x:c r="CF472" s="22" t="n">
        <x:f>MAX(0,MIN('Activities'!L472,480)-MAX('Activities'!K472,474))</x:f>
        <x:v>0</x:v>
      </x:c>
      <x:c r="CG472" s="22" t="n">
        <x:f>MAX(0,MIN('Activities'!L472,486)-MAX('Activities'!K472,480))</x:f>
        <x:v>0</x:v>
      </x:c>
      <x:c r="CH472" s="22" t="n">
        <x:f>MAX(0,MIN('Activities'!L472,492)-MAX('Activities'!K472,486))</x:f>
        <x:v>0</x:v>
      </x:c>
      <x:c r="CI472" s="22" t="n">
        <x:f>MAX(0,MIN('Activities'!L472,498)-MAX('Activities'!K472,492))</x:f>
        <x:v>0</x:v>
      </x:c>
      <x:c r="CJ472" s="22" t="n">
        <x:f>MAX(0,MIN('Activities'!L472,504)-MAX('Activities'!K472,498))</x:f>
        <x:v>0</x:v>
      </x:c>
      <x:c r="CK472" s="22" t="n">
        <x:f>MAX(0,MIN('Activities'!L472,510)-MAX('Activities'!K472,504))</x:f>
        <x:v>0</x:v>
      </x:c>
      <x:c r="CL472" s="22" t="n">
        <x:f>MAX(0,MIN('Activities'!L472,516)-MAX('Activities'!K472,510))</x:f>
        <x:v>0</x:v>
      </x:c>
      <x:c r="CM472" s="22" t="n">
        <x:f>MAX(0,MIN('Activities'!L472,522)-MAX('Activities'!K472,516))</x:f>
        <x:v>0</x:v>
      </x:c>
      <x:c r="CN472" s="22" t="n">
        <x:f>MAX(0,MIN('Activities'!L472,528)-MAX('Activities'!K472,522))</x:f>
        <x:v>0</x:v>
      </x:c>
      <x:c r="CO472" s="22" t="n">
        <x:f>MAX(0,MIN('Activities'!L472,534)-MAX('Activities'!K472,528))</x:f>
        <x:v>0</x:v>
      </x:c>
      <x:c r="CP472" s="22" t="n">
        <x:f>MAX(0,MIN('Activities'!L472,540)-MAX('Activities'!K472,534))</x:f>
        <x:v>0</x:v>
      </x:c>
      <x:c r="CQ472" s="22" t="n">
        <x:f>MAX(0,MIN('Activities'!L472,546)-MAX('Activities'!K472,540))</x:f>
        <x:v>0</x:v>
      </x:c>
      <x:c r="CR472" s="22" t="n">
        <x:f>MAX(0,MIN('Activities'!L472,552)-MAX('Activities'!K472,546))</x:f>
        <x:v>0</x:v>
      </x:c>
      <x:c r="CS472" s="22" t="n">
        <x:f>MAX(0,MIN('Activities'!L472,558)-MAX('Activities'!K472,552))</x:f>
        <x:v>0</x:v>
      </x:c>
      <x:c r="CT472" s="22" t="n">
        <x:f>MAX(0,MIN('Activities'!L472,564)-MAX('Activities'!K472,558))</x:f>
        <x:v>0</x:v>
      </x:c>
      <x:c r="CU472" s="22" t="n">
        <x:f>MAX(0,MIN('Activities'!L472,570)-MAX('Activities'!K472,564))</x:f>
        <x:v>0</x:v>
      </x:c>
      <x:c r="CV472" s="22" t="n">
        <x:f>MAX(0,MIN('Activities'!L472,576)-MAX('Activities'!K472,570))</x:f>
        <x:v>0</x:v>
      </x:c>
      <x:c r="CW472" s="22" t="n">
        <x:f>MAX(0,MIN('Activities'!L472,582)-MAX('Activities'!K472,576))</x:f>
        <x:v>0</x:v>
      </x:c>
      <x:c r="CX472" s="22" t="n">
        <x:f>MAX(0,MIN('Activities'!L472,588)-MAX('Activities'!K472,582))</x:f>
        <x:v>0</x:v>
      </x:c>
      <x:c r="CY472" s="22" t="n">
        <x:f>MAX(0,MIN('Activities'!L472,594)-MAX('Activities'!K472,588))</x:f>
        <x:v>0</x:v>
      </x:c>
      <x:c r="CZ472" s="22" t="n">
        <x:f>MAX(0,MIN('Activities'!L472,600)-MAX('Activities'!K472,594))</x:f>
        <x:v>0</x:v>
      </x:c>
      <x:c r="DA472" s="22" t="n">
        <x:f>MAX(0,MIN('Activities'!L472,606)-MAX('Activities'!K472,600))</x:f>
        <x:v>0</x:v>
      </x:c>
      <x:c r="DB472" s="22" t="n">
        <x:f>MAX(0,MIN('Activities'!L472,612)-MAX('Activities'!K472,606))</x:f>
        <x:v>0</x:v>
      </x:c>
      <x:c r="DC472" s="22" t="n">
        <x:f>MAX(0,MIN('Activities'!L472,618)-MAX('Activities'!K472,612))</x:f>
        <x:v>0</x:v>
      </x:c>
      <x:c r="DD472" s="22" t="n">
        <x:f>MAX(0,MIN('Activities'!L472,624)-MAX('Activities'!K472,618))</x:f>
        <x:v>0</x:v>
      </x:c>
      <x:c r="DE472" s="22" t="n">
        <x:f>MAX(0,MIN('Activities'!L472,630)-MAX('Activities'!K472,624))</x:f>
        <x:v>0</x:v>
      </x:c>
      <x:c r="DF472" s="22" t="n">
        <x:f>MAX(0,MIN('Activities'!L472,636)-MAX('Activities'!K472,630))</x:f>
        <x:v>0</x:v>
      </x:c>
    </x:row>
    <x:row r="473" ht="23" customHeight="1">
      <x:c r="A473" s="1" t="str">
        <x:v>T4-L00-T</x:v>
      </x:c>
      <x:c r="B473" s="1" t="str">
        <x:v>T4</x:v>
      </x:c>
      <x:c r="C473" s="1" t="str">
        <x:v>Floor finishes and skirtings</x:v>
      </x:c>
      <x:c r="D473" s="1" t="str">
        <x:v>Finishes</x:v>
      </x:c>
      <x:c r="E473" s="23" t="n">
        <x:f>MAX(0,MIN('Activities'!L473,6)-MAX('Activities'!K473,0))</x:f>
        <x:v>0</x:v>
      </x:c>
      <x:c r="F473" s="23" t="n">
        <x:f>MAX(0,MIN('Activities'!L473,12)-MAX('Activities'!K473,6))</x:f>
        <x:v>0</x:v>
      </x:c>
      <x:c r="G473" s="23" t="n">
        <x:f>MAX(0,MIN('Activities'!L473,18)-MAX('Activities'!K473,12))</x:f>
        <x:v>0</x:v>
      </x:c>
      <x:c r="H473" s="23" t="n">
        <x:f>MAX(0,MIN('Activities'!L473,24)-MAX('Activities'!K473,18))</x:f>
        <x:v>0</x:v>
      </x:c>
      <x:c r="I473" s="23" t="n">
        <x:f>MAX(0,MIN('Activities'!L473,30)-MAX('Activities'!K473,24))</x:f>
        <x:v>0</x:v>
      </x:c>
      <x:c r="J473" s="23" t="n">
        <x:f>MAX(0,MIN('Activities'!L473,36)-MAX('Activities'!K473,30))</x:f>
        <x:v>0</x:v>
      </x:c>
      <x:c r="K473" s="23" t="n">
        <x:f>MAX(0,MIN('Activities'!L473,42)-MAX('Activities'!K473,36))</x:f>
        <x:v>0</x:v>
      </x:c>
      <x:c r="L473" s="23" t="n">
        <x:f>MAX(0,MIN('Activities'!L473,48)-MAX('Activities'!K473,42))</x:f>
        <x:v>0</x:v>
      </x:c>
      <x:c r="M473" s="23" t="n">
        <x:f>MAX(0,MIN('Activities'!L473,54)-MAX('Activities'!K473,48))</x:f>
        <x:v>0</x:v>
      </x:c>
      <x:c r="N473" s="23" t="n">
        <x:f>MAX(0,MIN('Activities'!L473,60)-MAX('Activities'!K473,54))</x:f>
        <x:v>0</x:v>
      </x:c>
      <x:c r="O473" s="23" t="n">
        <x:f>MAX(0,MIN('Activities'!L473,66)-MAX('Activities'!K473,60))</x:f>
        <x:v>0</x:v>
      </x:c>
      <x:c r="P473" s="23" t="n">
        <x:f>MAX(0,MIN('Activities'!L473,72)-MAX('Activities'!K473,66))</x:f>
        <x:v>0</x:v>
      </x:c>
      <x:c r="Q473" s="23" t="n">
        <x:f>MAX(0,MIN('Activities'!L473,78)-MAX('Activities'!K473,72))</x:f>
        <x:v>0</x:v>
      </x:c>
      <x:c r="R473" s="23" t="n">
        <x:f>MAX(0,MIN('Activities'!L473,84)-MAX('Activities'!K473,78))</x:f>
        <x:v>0</x:v>
      </x:c>
      <x:c r="S473" s="23" t="n">
        <x:f>MAX(0,MIN('Activities'!L473,90)-MAX('Activities'!K473,84))</x:f>
        <x:v>0</x:v>
      </x:c>
      <x:c r="T473" s="23" t="n">
        <x:f>MAX(0,MIN('Activities'!L473,96)-MAX('Activities'!K473,90))</x:f>
        <x:v>0</x:v>
      </x:c>
      <x:c r="U473" s="23" t="n">
        <x:f>MAX(0,MIN('Activities'!L473,102)-MAX('Activities'!K473,96))</x:f>
        <x:v>0</x:v>
      </x:c>
      <x:c r="V473" s="23" t="n">
        <x:f>MAX(0,MIN('Activities'!L473,108)-MAX('Activities'!K473,102))</x:f>
        <x:v>0</x:v>
      </x:c>
      <x:c r="W473" s="23" t="n">
        <x:f>MAX(0,MIN('Activities'!L473,114)-MAX('Activities'!K473,108))</x:f>
        <x:v>0</x:v>
      </x:c>
      <x:c r="X473" s="23" t="n">
        <x:f>MAX(0,MIN('Activities'!L473,120)-MAX('Activities'!K473,114))</x:f>
        <x:v>0</x:v>
      </x:c>
      <x:c r="Y473" s="23" t="n">
        <x:f>MAX(0,MIN('Activities'!L473,126)-MAX('Activities'!K473,120))</x:f>
        <x:v>0</x:v>
      </x:c>
      <x:c r="Z473" s="23" t="n">
        <x:f>MAX(0,MIN('Activities'!L473,132)-MAX('Activities'!K473,126))</x:f>
        <x:v>0</x:v>
      </x:c>
      <x:c r="AA473" s="23" t="n">
        <x:f>MAX(0,MIN('Activities'!L473,138)-MAX('Activities'!K473,132))</x:f>
        <x:v>0</x:v>
      </x:c>
      <x:c r="AB473" s="23" t="n">
        <x:f>MAX(0,MIN('Activities'!L473,144)-MAX('Activities'!K473,138))</x:f>
        <x:v>0</x:v>
      </x:c>
      <x:c r="AC473" s="23" t="n">
        <x:f>MAX(0,MIN('Activities'!L473,150)-MAX('Activities'!K473,144))</x:f>
        <x:v>0</x:v>
      </x:c>
      <x:c r="AD473" s="23" t="n">
        <x:f>MAX(0,MIN('Activities'!L473,156)-MAX('Activities'!K473,150))</x:f>
        <x:v>0</x:v>
      </x:c>
      <x:c r="AE473" s="23" t="n">
        <x:f>MAX(0,MIN('Activities'!L473,162)-MAX('Activities'!K473,156))</x:f>
        <x:v>0</x:v>
      </x:c>
      <x:c r="AF473" s="23" t="n">
        <x:f>MAX(0,MIN('Activities'!L473,168)-MAX('Activities'!K473,162))</x:f>
        <x:v>0</x:v>
      </x:c>
      <x:c r="AG473" s="23" t="n">
        <x:f>MAX(0,MIN('Activities'!L473,174)-MAX('Activities'!K473,168))</x:f>
        <x:v>0</x:v>
      </x:c>
      <x:c r="AH473" s="23" t="n">
        <x:f>MAX(0,MIN('Activities'!L473,180)-MAX('Activities'!K473,174))</x:f>
        <x:v>0</x:v>
      </x:c>
      <x:c r="AI473" s="23" t="n">
        <x:f>MAX(0,MIN('Activities'!L473,186)-MAX('Activities'!K473,180))</x:f>
        <x:v>0</x:v>
      </x:c>
      <x:c r="AJ473" s="23" t="n">
        <x:f>MAX(0,MIN('Activities'!L473,192)-MAX('Activities'!K473,186))</x:f>
        <x:v>0</x:v>
      </x:c>
      <x:c r="AK473" s="23" t="n">
        <x:f>MAX(0,MIN('Activities'!L473,198)-MAX('Activities'!K473,192))</x:f>
        <x:v>0</x:v>
      </x:c>
      <x:c r="AL473" s="23" t="n">
        <x:f>MAX(0,MIN('Activities'!L473,204)-MAX('Activities'!K473,198))</x:f>
        <x:v>0</x:v>
      </x:c>
      <x:c r="AM473" s="23" t="n">
        <x:f>MAX(0,MIN('Activities'!L473,210)-MAX('Activities'!K473,204))</x:f>
        <x:v>0</x:v>
      </x:c>
      <x:c r="AN473" s="23" t="n">
        <x:f>MAX(0,MIN('Activities'!L473,216)-MAX('Activities'!K473,210))</x:f>
        <x:v>0</x:v>
      </x:c>
      <x:c r="AO473" s="23" t="n">
        <x:f>MAX(0,MIN('Activities'!L473,222)-MAX('Activities'!K473,216))</x:f>
        <x:v>0</x:v>
      </x:c>
      <x:c r="AP473" s="23" t="n">
        <x:f>MAX(0,MIN('Activities'!L473,228)-MAX('Activities'!K473,222))</x:f>
        <x:v>0</x:v>
      </x:c>
      <x:c r="AQ473" s="23" t="n">
        <x:f>MAX(0,MIN('Activities'!L473,234)-MAX('Activities'!K473,228))</x:f>
        <x:v>0</x:v>
      </x:c>
      <x:c r="AR473" s="23" t="n">
        <x:f>MAX(0,MIN('Activities'!L473,240)-MAX('Activities'!K473,234))</x:f>
        <x:v>0</x:v>
      </x:c>
      <x:c r="AS473" s="23" t="n">
        <x:f>MAX(0,MIN('Activities'!L473,246)-MAX('Activities'!K473,240))</x:f>
        <x:v>0</x:v>
      </x:c>
      <x:c r="AT473" s="23" t="n">
        <x:f>MAX(0,MIN('Activities'!L473,252)-MAX('Activities'!K473,246))</x:f>
        <x:v>0</x:v>
      </x:c>
      <x:c r="AU473" s="23" t="n">
        <x:f>MAX(0,MIN('Activities'!L473,258)-MAX('Activities'!K473,252))</x:f>
        <x:v>0</x:v>
      </x:c>
      <x:c r="AV473" s="23" t="n">
        <x:f>MAX(0,MIN('Activities'!L473,264)-MAX('Activities'!K473,258))</x:f>
        <x:v>0</x:v>
      </x:c>
      <x:c r="AW473" s="23" t="n">
        <x:f>MAX(0,MIN('Activities'!L473,270)-MAX('Activities'!K473,264))</x:f>
        <x:v>0</x:v>
      </x:c>
      <x:c r="AX473" s="23" t="n">
        <x:f>MAX(0,MIN('Activities'!L473,276)-MAX('Activities'!K473,270))</x:f>
        <x:v>0</x:v>
      </x:c>
      <x:c r="AY473" s="23" t="n">
        <x:f>MAX(0,MIN('Activities'!L473,282)-MAX('Activities'!K473,276))</x:f>
        <x:v>0</x:v>
      </x:c>
      <x:c r="AZ473" s="23" t="n">
        <x:f>MAX(0,MIN('Activities'!L473,288)-MAX('Activities'!K473,282))</x:f>
        <x:v>0</x:v>
      </x:c>
      <x:c r="BA473" s="23" t="n">
        <x:f>MAX(0,MIN('Activities'!L473,294)-MAX('Activities'!K473,288))</x:f>
        <x:v>0</x:v>
      </x:c>
      <x:c r="BB473" s="23" t="n">
        <x:f>MAX(0,MIN('Activities'!L473,300)-MAX('Activities'!K473,294))</x:f>
        <x:v>0</x:v>
      </x:c>
      <x:c r="BC473" s="23" t="n">
        <x:f>MAX(0,MIN('Activities'!L473,306)-MAX('Activities'!K473,300))</x:f>
        <x:v>0</x:v>
      </x:c>
      <x:c r="BD473" s="23" t="n">
        <x:f>MAX(0,MIN('Activities'!L473,312)-MAX('Activities'!K473,306))</x:f>
        <x:v>0</x:v>
      </x:c>
      <x:c r="BE473" s="23" t="n">
        <x:f>MAX(0,MIN('Activities'!L473,318)-MAX('Activities'!K473,312))</x:f>
        <x:v>0</x:v>
      </x:c>
      <x:c r="BF473" s="23" t="n">
        <x:f>MAX(0,MIN('Activities'!L473,324)-MAX('Activities'!K473,318))</x:f>
        <x:v>0</x:v>
      </x:c>
      <x:c r="BG473" s="23" t="n">
        <x:f>MAX(0,MIN('Activities'!L473,330)-MAX('Activities'!K473,324))</x:f>
        <x:v>0</x:v>
      </x:c>
      <x:c r="BH473" s="23" t="n">
        <x:f>MAX(0,MIN('Activities'!L473,336)-MAX('Activities'!K473,330))</x:f>
        <x:v>0</x:v>
      </x:c>
      <x:c r="BI473" s="23" t="n">
        <x:f>MAX(0,MIN('Activities'!L473,342)-MAX('Activities'!K473,336))</x:f>
        <x:v>0</x:v>
      </x:c>
      <x:c r="BJ473" s="23" t="n">
        <x:f>MAX(0,MIN('Activities'!L473,348)-MAX('Activities'!K473,342))</x:f>
        <x:v>0</x:v>
      </x:c>
      <x:c r="BK473" s="23" t="n">
        <x:f>MAX(0,MIN('Activities'!L473,354)-MAX('Activities'!K473,348))</x:f>
        <x:v>0</x:v>
      </x:c>
      <x:c r="BL473" s="23" t="n">
        <x:f>MAX(0,MIN('Activities'!L473,360)-MAX('Activities'!K473,354))</x:f>
        <x:v>0</x:v>
      </x:c>
      <x:c r="BM473" s="23" t="n">
        <x:f>MAX(0,MIN('Activities'!L473,366)-MAX('Activities'!K473,360))</x:f>
        <x:v>0</x:v>
      </x:c>
      <x:c r="BN473" s="23" t="n">
        <x:f>MAX(0,MIN('Activities'!L473,372)-MAX('Activities'!K473,366))</x:f>
        <x:v>0</x:v>
      </x:c>
      <x:c r="BO473" s="23" t="n">
        <x:f>MAX(0,MIN('Activities'!L473,378)-MAX('Activities'!K473,372))</x:f>
        <x:v>0</x:v>
      </x:c>
      <x:c r="BP473" s="23" t="n">
        <x:f>MAX(0,MIN('Activities'!L473,384)-MAX('Activities'!K473,378))</x:f>
        <x:v>0</x:v>
      </x:c>
      <x:c r="BQ473" s="23" t="n">
        <x:f>MAX(0,MIN('Activities'!L473,390)-MAX('Activities'!K473,384))</x:f>
        <x:v>0</x:v>
      </x:c>
      <x:c r="BR473" s="23" t="n">
        <x:f>MAX(0,MIN('Activities'!L473,396)-MAX('Activities'!K473,390))</x:f>
        <x:v>0</x:v>
      </x:c>
      <x:c r="BS473" s="23" t="n">
        <x:f>MAX(0,MIN('Activities'!L473,402)-MAX('Activities'!K473,396))</x:f>
        <x:v>0</x:v>
      </x:c>
      <x:c r="BT473" s="23" t="n">
        <x:f>MAX(0,MIN('Activities'!L473,408)-MAX('Activities'!K473,402))</x:f>
        <x:v>0</x:v>
      </x:c>
      <x:c r="BU473" s="23" t="n">
        <x:f>MAX(0,MIN('Activities'!L473,414)-MAX('Activities'!K473,408))</x:f>
        <x:v>0</x:v>
      </x:c>
      <x:c r="BV473" s="23" t="n">
        <x:f>MAX(0,MIN('Activities'!L473,420)-MAX('Activities'!K473,414))</x:f>
        <x:v>0</x:v>
      </x:c>
      <x:c r="BW473" s="23" t="n">
        <x:f>MAX(0,MIN('Activities'!L473,426)-MAX('Activities'!K473,420))</x:f>
        <x:v>0</x:v>
      </x:c>
      <x:c r="BX473" s="23" t="n">
        <x:f>MAX(0,MIN('Activities'!L473,432)-MAX('Activities'!K473,426))</x:f>
        <x:v>0</x:v>
      </x:c>
      <x:c r="BY473" s="23" t="n">
        <x:f>MAX(0,MIN('Activities'!L473,438)-MAX('Activities'!K473,432))</x:f>
        <x:v>1</x:v>
      </x:c>
      <x:c r="BZ473" s="23" t="n">
        <x:f>MAX(0,MIN('Activities'!L473,444)-MAX('Activities'!K473,438))</x:f>
        <x:v>5</x:v>
      </x:c>
      <x:c r="CA473" s="23" t="n">
        <x:f>MAX(0,MIN('Activities'!L473,450)-MAX('Activities'!K473,444))</x:f>
        <x:v>0</x:v>
      </x:c>
      <x:c r="CB473" s="23" t="n">
        <x:f>MAX(0,MIN('Activities'!L473,456)-MAX('Activities'!K473,450))</x:f>
        <x:v>0</x:v>
      </x:c>
      <x:c r="CC473" s="23" t="n">
        <x:f>MAX(0,MIN('Activities'!L473,462)-MAX('Activities'!K473,456))</x:f>
        <x:v>0</x:v>
      </x:c>
      <x:c r="CD473" s="23" t="n">
        <x:f>MAX(0,MIN('Activities'!L473,468)-MAX('Activities'!K473,462))</x:f>
        <x:v>0</x:v>
      </x:c>
      <x:c r="CE473" s="23" t="n">
        <x:f>MAX(0,MIN('Activities'!L473,474)-MAX('Activities'!K473,468))</x:f>
        <x:v>0</x:v>
      </x:c>
      <x:c r="CF473" s="23" t="n">
        <x:f>MAX(0,MIN('Activities'!L473,480)-MAX('Activities'!K473,474))</x:f>
        <x:v>0</x:v>
      </x:c>
      <x:c r="CG473" s="23" t="n">
        <x:f>MAX(0,MIN('Activities'!L473,486)-MAX('Activities'!K473,480))</x:f>
        <x:v>0</x:v>
      </x:c>
      <x:c r="CH473" s="23" t="n">
        <x:f>MAX(0,MIN('Activities'!L473,492)-MAX('Activities'!K473,486))</x:f>
        <x:v>0</x:v>
      </x:c>
      <x:c r="CI473" s="23" t="n">
        <x:f>MAX(0,MIN('Activities'!L473,498)-MAX('Activities'!K473,492))</x:f>
        <x:v>0</x:v>
      </x:c>
      <x:c r="CJ473" s="23" t="n">
        <x:f>MAX(0,MIN('Activities'!L473,504)-MAX('Activities'!K473,498))</x:f>
        <x:v>0</x:v>
      </x:c>
      <x:c r="CK473" s="23" t="n">
        <x:f>MAX(0,MIN('Activities'!L473,510)-MAX('Activities'!K473,504))</x:f>
        <x:v>0</x:v>
      </x:c>
      <x:c r="CL473" s="23" t="n">
        <x:f>MAX(0,MIN('Activities'!L473,516)-MAX('Activities'!K473,510))</x:f>
        <x:v>0</x:v>
      </x:c>
      <x:c r="CM473" s="23" t="n">
        <x:f>MAX(0,MIN('Activities'!L473,522)-MAX('Activities'!K473,516))</x:f>
        <x:v>0</x:v>
      </x:c>
      <x:c r="CN473" s="23" t="n">
        <x:f>MAX(0,MIN('Activities'!L473,528)-MAX('Activities'!K473,522))</x:f>
        <x:v>0</x:v>
      </x:c>
      <x:c r="CO473" s="23" t="n">
        <x:f>MAX(0,MIN('Activities'!L473,534)-MAX('Activities'!K473,528))</x:f>
        <x:v>0</x:v>
      </x:c>
      <x:c r="CP473" s="23" t="n">
        <x:f>MAX(0,MIN('Activities'!L473,540)-MAX('Activities'!K473,534))</x:f>
        <x:v>0</x:v>
      </x:c>
      <x:c r="CQ473" s="23" t="n">
        <x:f>MAX(0,MIN('Activities'!L473,546)-MAX('Activities'!K473,540))</x:f>
        <x:v>0</x:v>
      </x:c>
      <x:c r="CR473" s="23" t="n">
        <x:f>MAX(0,MIN('Activities'!L473,552)-MAX('Activities'!K473,546))</x:f>
        <x:v>0</x:v>
      </x:c>
      <x:c r="CS473" s="23" t="n">
        <x:f>MAX(0,MIN('Activities'!L473,558)-MAX('Activities'!K473,552))</x:f>
        <x:v>0</x:v>
      </x:c>
      <x:c r="CT473" s="23" t="n">
        <x:f>MAX(0,MIN('Activities'!L473,564)-MAX('Activities'!K473,558))</x:f>
        <x:v>0</x:v>
      </x:c>
      <x:c r="CU473" s="23" t="n">
        <x:f>MAX(0,MIN('Activities'!L473,570)-MAX('Activities'!K473,564))</x:f>
        <x:v>0</x:v>
      </x:c>
      <x:c r="CV473" s="23" t="n">
        <x:f>MAX(0,MIN('Activities'!L473,576)-MAX('Activities'!K473,570))</x:f>
        <x:v>0</x:v>
      </x:c>
      <x:c r="CW473" s="23" t="n">
        <x:f>MAX(0,MIN('Activities'!L473,582)-MAX('Activities'!K473,576))</x:f>
        <x:v>0</x:v>
      </x:c>
      <x:c r="CX473" s="23" t="n">
        <x:f>MAX(0,MIN('Activities'!L473,588)-MAX('Activities'!K473,582))</x:f>
        <x:v>0</x:v>
      </x:c>
      <x:c r="CY473" s="23" t="n">
        <x:f>MAX(0,MIN('Activities'!L473,594)-MAX('Activities'!K473,588))</x:f>
        <x:v>0</x:v>
      </x:c>
      <x:c r="CZ473" s="23" t="n">
        <x:f>MAX(0,MIN('Activities'!L473,600)-MAX('Activities'!K473,594))</x:f>
        <x:v>0</x:v>
      </x:c>
      <x:c r="DA473" s="23" t="n">
        <x:f>MAX(0,MIN('Activities'!L473,606)-MAX('Activities'!K473,600))</x:f>
        <x:v>0</x:v>
      </x:c>
      <x:c r="DB473" s="23" t="n">
        <x:f>MAX(0,MIN('Activities'!L473,612)-MAX('Activities'!K473,606))</x:f>
        <x:v>0</x:v>
      </x:c>
      <x:c r="DC473" s="23" t="n">
        <x:f>MAX(0,MIN('Activities'!L473,618)-MAX('Activities'!K473,612))</x:f>
        <x:v>0</x:v>
      </x:c>
      <x:c r="DD473" s="23" t="n">
        <x:f>MAX(0,MIN('Activities'!L473,624)-MAX('Activities'!K473,618))</x:f>
        <x:v>0</x:v>
      </x:c>
      <x:c r="DE473" s="23" t="n">
        <x:f>MAX(0,MIN('Activities'!L473,630)-MAX('Activities'!K473,624))</x:f>
        <x:v>0</x:v>
      </x:c>
      <x:c r="DF473" s="23" t="n">
        <x:f>MAX(0,MIN('Activities'!L473,636)-MAX('Activities'!K473,630))</x:f>
        <x:v>0</x:v>
      </x:c>
    </x:row>
    <x:row r="474" ht="23" customHeight="1">
      <x:c r="A474" s="6" t="str">
        <x:v>T4-L00-A</x:v>
      </x:c>
      <x:c r="B474" s="6" t="str">
        <x:v>T4</x:v>
      </x:c>
      <x:c r="C474" s="6" t="str">
        <x:v>Paint and final decorations</x:v>
      </x:c>
      <x:c r="D474" s="6" t="str">
        <x:v>Finishes</x:v>
      </x:c>
      <x:c r="E474" s="22" t="n">
        <x:f>MAX(0,MIN('Activities'!L474,6)-MAX('Activities'!K474,0))</x:f>
        <x:v>0</x:v>
      </x:c>
      <x:c r="F474" s="22" t="n">
        <x:f>MAX(0,MIN('Activities'!L474,12)-MAX('Activities'!K474,6))</x:f>
        <x:v>0</x:v>
      </x:c>
      <x:c r="G474" s="22" t="n">
        <x:f>MAX(0,MIN('Activities'!L474,18)-MAX('Activities'!K474,12))</x:f>
        <x:v>0</x:v>
      </x:c>
      <x:c r="H474" s="22" t="n">
        <x:f>MAX(0,MIN('Activities'!L474,24)-MAX('Activities'!K474,18))</x:f>
        <x:v>0</x:v>
      </x:c>
      <x:c r="I474" s="22" t="n">
        <x:f>MAX(0,MIN('Activities'!L474,30)-MAX('Activities'!K474,24))</x:f>
        <x:v>0</x:v>
      </x:c>
      <x:c r="J474" s="22" t="n">
        <x:f>MAX(0,MIN('Activities'!L474,36)-MAX('Activities'!K474,30))</x:f>
        <x:v>0</x:v>
      </x:c>
      <x:c r="K474" s="22" t="n">
        <x:f>MAX(0,MIN('Activities'!L474,42)-MAX('Activities'!K474,36))</x:f>
        <x:v>0</x:v>
      </x:c>
      <x:c r="L474" s="22" t="n">
        <x:f>MAX(0,MIN('Activities'!L474,48)-MAX('Activities'!K474,42))</x:f>
        <x:v>0</x:v>
      </x:c>
      <x:c r="M474" s="22" t="n">
        <x:f>MAX(0,MIN('Activities'!L474,54)-MAX('Activities'!K474,48))</x:f>
        <x:v>0</x:v>
      </x:c>
      <x:c r="N474" s="22" t="n">
        <x:f>MAX(0,MIN('Activities'!L474,60)-MAX('Activities'!K474,54))</x:f>
        <x:v>0</x:v>
      </x:c>
      <x:c r="O474" s="22" t="n">
        <x:f>MAX(0,MIN('Activities'!L474,66)-MAX('Activities'!K474,60))</x:f>
        <x:v>0</x:v>
      </x:c>
      <x:c r="P474" s="22" t="n">
        <x:f>MAX(0,MIN('Activities'!L474,72)-MAX('Activities'!K474,66))</x:f>
        <x:v>0</x:v>
      </x:c>
      <x:c r="Q474" s="22" t="n">
        <x:f>MAX(0,MIN('Activities'!L474,78)-MAX('Activities'!K474,72))</x:f>
        <x:v>0</x:v>
      </x:c>
      <x:c r="R474" s="22" t="n">
        <x:f>MAX(0,MIN('Activities'!L474,84)-MAX('Activities'!K474,78))</x:f>
        <x:v>0</x:v>
      </x:c>
      <x:c r="S474" s="22" t="n">
        <x:f>MAX(0,MIN('Activities'!L474,90)-MAX('Activities'!K474,84))</x:f>
        <x:v>0</x:v>
      </x:c>
      <x:c r="T474" s="22" t="n">
        <x:f>MAX(0,MIN('Activities'!L474,96)-MAX('Activities'!K474,90))</x:f>
        <x:v>0</x:v>
      </x:c>
      <x:c r="U474" s="22" t="n">
        <x:f>MAX(0,MIN('Activities'!L474,102)-MAX('Activities'!K474,96))</x:f>
        <x:v>0</x:v>
      </x:c>
      <x:c r="V474" s="22" t="n">
        <x:f>MAX(0,MIN('Activities'!L474,108)-MAX('Activities'!K474,102))</x:f>
        <x:v>0</x:v>
      </x:c>
      <x:c r="W474" s="22" t="n">
        <x:f>MAX(0,MIN('Activities'!L474,114)-MAX('Activities'!K474,108))</x:f>
        <x:v>0</x:v>
      </x:c>
      <x:c r="X474" s="22" t="n">
        <x:f>MAX(0,MIN('Activities'!L474,120)-MAX('Activities'!K474,114))</x:f>
        <x:v>0</x:v>
      </x:c>
      <x:c r="Y474" s="22" t="n">
        <x:f>MAX(0,MIN('Activities'!L474,126)-MAX('Activities'!K474,120))</x:f>
        <x:v>0</x:v>
      </x:c>
      <x:c r="Z474" s="22" t="n">
        <x:f>MAX(0,MIN('Activities'!L474,132)-MAX('Activities'!K474,126))</x:f>
        <x:v>0</x:v>
      </x:c>
      <x:c r="AA474" s="22" t="n">
        <x:f>MAX(0,MIN('Activities'!L474,138)-MAX('Activities'!K474,132))</x:f>
        <x:v>0</x:v>
      </x:c>
      <x:c r="AB474" s="22" t="n">
        <x:f>MAX(0,MIN('Activities'!L474,144)-MAX('Activities'!K474,138))</x:f>
        <x:v>0</x:v>
      </x:c>
      <x:c r="AC474" s="22" t="n">
        <x:f>MAX(0,MIN('Activities'!L474,150)-MAX('Activities'!K474,144))</x:f>
        <x:v>0</x:v>
      </x:c>
      <x:c r="AD474" s="22" t="n">
        <x:f>MAX(0,MIN('Activities'!L474,156)-MAX('Activities'!K474,150))</x:f>
        <x:v>0</x:v>
      </x:c>
      <x:c r="AE474" s="22" t="n">
        <x:f>MAX(0,MIN('Activities'!L474,162)-MAX('Activities'!K474,156))</x:f>
        <x:v>0</x:v>
      </x:c>
      <x:c r="AF474" s="22" t="n">
        <x:f>MAX(0,MIN('Activities'!L474,168)-MAX('Activities'!K474,162))</x:f>
        <x:v>0</x:v>
      </x:c>
      <x:c r="AG474" s="22" t="n">
        <x:f>MAX(0,MIN('Activities'!L474,174)-MAX('Activities'!K474,168))</x:f>
        <x:v>0</x:v>
      </x:c>
      <x:c r="AH474" s="22" t="n">
        <x:f>MAX(0,MIN('Activities'!L474,180)-MAX('Activities'!K474,174))</x:f>
        <x:v>0</x:v>
      </x:c>
      <x:c r="AI474" s="22" t="n">
        <x:f>MAX(0,MIN('Activities'!L474,186)-MAX('Activities'!K474,180))</x:f>
        <x:v>0</x:v>
      </x:c>
      <x:c r="AJ474" s="22" t="n">
        <x:f>MAX(0,MIN('Activities'!L474,192)-MAX('Activities'!K474,186))</x:f>
        <x:v>0</x:v>
      </x:c>
      <x:c r="AK474" s="22" t="n">
        <x:f>MAX(0,MIN('Activities'!L474,198)-MAX('Activities'!K474,192))</x:f>
        <x:v>0</x:v>
      </x:c>
      <x:c r="AL474" s="22" t="n">
        <x:f>MAX(0,MIN('Activities'!L474,204)-MAX('Activities'!K474,198))</x:f>
        <x:v>0</x:v>
      </x:c>
      <x:c r="AM474" s="22" t="n">
        <x:f>MAX(0,MIN('Activities'!L474,210)-MAX('Activities'!K474,204))</x:f>
        <x:v>0</x:v>
      </x:c>
      <x:c r="AN474" s="22" t="n">
        <x:f>MAX(0,MIN('Activities'!L474,216)-MAX('Activities'!K474,210))</x:f>
        <x:v>0</x:v>
      </x:c>
      <x:c r="AO474" s="22" t="n">
        <x:f>MAX(0,MIN('Activities'!L474,222)-MAX('Activities'!K474,216))</x:f>
        <x:v>0</x:v>
      </x:c>
      <x:c r="AP474" s="22" t="n">
        <x:f>MAX(0,MIN('Activities'!L474,228)-MAX('Activities'!K474,222))</x:f>
        <x:v>0</x:v>
      </x:c>
      <x:c r="AQ474" s="22" t="n">
        <x:f>MAX(0,MIN('Activities'!L474,234)-MAX('Activities'!K474,228))</x:f>
        <x:v>0</x:v>
      </x:c>
      <x:c r="AR474" s="22" t="n">
        <x:f>MAX(0,MIN('Activities'!L474,240)-MAX('Activities'!K474,234))</x:f>
        <x:v>0</x:v>
      </x:c>
      <x:c r="AS474" s="22" t="n">
        <x:f>MAX(0,MIN('Activities'!L474,246)-MAX('Activities'!K474,240))</x:f>
        <x:v>0</x:v>
      </x:c>
      <x:c r="AT474" s="22" t="n">
        <x:f>MAX(0,MIN('Activities'!L474,252)-MAX('Activities'!K474,246))</x:f>
        <x:v>0</x:v>
      </x:c>
      <x:c r="AU474" s="22" t="n">
        <x:f>MAX(0,MIN('Activities'!L474,258)-MAX('Activities'!K474,252))</x:f>
        <x:v>0</x:v>
      </x:c>
      <x:c r="AV474" s="22" t="n">
        <x:f>MAX(0,MIN('Activities'!L474,264)-MAX('Activities'!K474,258))</x:f>
        <x:v>0</x:v>
      </x:c>
      <x:c r="AW474" s="22" t="n">
        <x:f>MAX(0,MIN('Activities'!L474,270)-MAX('Activities'!K474,264))</x:f>
        <x:v>0</x:v>
      </x:c>
      <x:c r="AX474" s="22" t="n">
        <x:f>MAX(0,MIN('Activities'!L474,276)-MAX('Activities'!K474,270))</x:f>
        <x:v>0</x:v>
      </x:c>
      <x:c r="AY474" s="22" t="n">
        <x:f>MAX(0,MIN('Activities'!L474,282)-MAX('Activities'!K474,276))</x:f>
        <x:v>0</x:v>
      </x:c>
      <x:c r="AZ474" s="22" t="n">
        <x:f>MAX(0,MIN('Activities'!L474,288)-MAX('Activities'!K474,282))</x:f>
        <x:v>0</x:v>
      </x:c>
      <x:c r="BA474" s="22" t="n">
        <x:f>MAX(0,MIN('Activities'!L474,294)-MAX('Activities'!K474,288))</x:f>
        <x:v>0</x:v>
      </x:c>
      <x:c r="BB474" s="22" t="n">
        <x:f>MAX(0,MIN('Activities'!L474,300)-MAX('Activities'!K474,294))</x:f>
        <x:v>0</x:v>
      </x:c>
      <x:c r="BC474" s="22" t="n">
        <x:f>MAX(0,MIN('Activities'!L474,306)-MAX('Activities'!K474,300))</x:f>
        <x:v>0</x:v>
      </x:c>
      <x:c r="BD474" s="22" t="n">
        <x:f>MAX(0,MIN('Activities'!L474,312)-MAX('Activities'!K474,306))</x:f>
        <x:v>0</x:v>
      </x:c>
      <x:c r="BE474" s="22" t="n">
        <x:f>MAX(0,MIN('Activities'!L474,318)-MAX('Activities'!K474,312))</x:f>
        <x:v>0</x:v>
      </x:c>
      <x:c r="BF474" s="22" t="n">
        <x:f>MAX(0,MIN('Activities'!L474,324)-MAX('Activities'!K474,318))</x:f>
        <x:v>0</x:v>
      </x:c>
      <x:c r="BG474" s="22" t="n">
        <x:f>MAX(0,MIN('Activities'!L474,330)-MAX('Activities'!K474,324))</x:f>
        <x:v>0</x:v>
      </x:c>
      <x:c r="BH474" s="22" t="n">
        <x:f>MAX(0,MIN('Activities'!L474,336)-MAX('Activities'!K474,330))</x:f>
        <x:v>0</x:v>
      </x:c>
      <x:c r="BI474" s="22" t="n">
        <x:f>MAX(0,MIN('Activities'!L474,342)-MAX('Activities'!K474,336))</x:f>
        <x:v>0</x:v>
      </x:c>
      <x:c r="BJ474" s="22" t="n">
        <x:f>MAX(0,MIN('Activities'!L474,348)-MAX('Activities'!K474,342))</x:f>
        <x:v>0</x:v>
      </x:c>
      <x:c r="BK474" s="22" t="n">
        <x:f>MAX(0,MIN('Activities'!L474,354)-MAX('Activities'!K474,348))</x:f>
        <x:v>0</x:v>
      </x:c>
      <x:c r="BL474" s="22" t="n">
        <x:f>MAX(0,MIN('Activities'!L474,360)-MAX('Activities'!K474,354))</x:f>
        <x:v>0</x:v>
      </x:c>
      <x:c r="BM474" s="22" t="n">
        <x:f>MAX(0,MIN('Activities'!L474,366)-MAX('Activities'!K474,360))</x:f>
        <x:v>0</x:v>
      </x:c>
      <x:c r="BN474" s="22" t="n">
        <x:f>MAX(0,MIN('Activities'!L474,372)-MAX('Activities'!K474,366))</x:f>
        <x:v>0</x:v>
      </x:c>
      <x:c r="BO474" s="22" t="n">
        <x:f>MAX(0,MIN('Activities'!L474,378)-MAX('Activities'!K474,372))</x:f>
        <x:v>0</x:v>
      </x:c>
      <x:c r="BP474" s="22" t="n">
        <x:f>MAX(0,MIN('Activities'!L474,384)-MAX('Activities'!K474,378))</x:f>
        <x:v>0</x:v>
      </x:c>
      <x:c r="BQ474" s="22" t="n">
        <x:f>MAX(0,MIN('Activities'!L474,390)-MAX('Activities'!K474,384))</x:f>
        <x:v>0</x:v>
      </x:c>
      <x:c r="BR474" s="22" t="n">
        <x:f>MAX(0,MIN('Activities'!L474,396)-MAX('Activities'!K474,390))</x:f>
        <x:v>0</x:v>
      </x:c>
      <x:c r="BS474" s="22" t="n">
        <x:f>MAX(0,MIN('Activities'!L474,402)-MAX('Activities'!K474,396))</x:f>
        <x:v>0</x:v>
      </x:c>
      <x:c r="BT474" s="22" t="n">
        <x:f>MAX(0,MIN('Activities'!L474,408)-MAX('Activities'!K474,402))</x:f>
        <x:v>0</x:v>
      </x:c>
      <x:c r="BU474" s="22" t="n">
        <x:f>MAX(0,MIN('Activities'!L474,414)-MAX('Activities'!K474,408))</x:f>
        <x:v>0</x:v>
      </x:c>
      <x:c r="BV474" s="22" t="n">
        <x:f>MAX(0,MIN('Activities'!L474,420)-MAX('Activities'!K474,414))</x:f>
        <x:v>0</x:v>
      </x:c>
      <x:c r="BW474" s="22" t="n">
        <x:f>MAX(0,MIN('Activities'!L474,426)-MAX('Activities'!K474,420))</x:f>
        <x:v>0</x:v>
      </x:c>
      <x:c r="BX474" s="22" t="n">
        <x:f>MAX(0,MIN('Activities'!L474,432)-MAX('Activities'!K474,426))</x:f>
        <x:v>0</x:v>
      </x:c>
      <x:c r="BY474" s="22" t="n">
        <x:f>MAX(0,MIN('Activities'!L474,438)-MAX('Activities'!K474,432))</x:f>
        <x:v>0</x:v>
      </x:c>
      <x:c r="BZ474" s="22" t="n">
        <x:f>MAX(0,MIN('Activities'!L474,444)-MAX('Activities'!K474,438))</x:f>
        <x:v>0</x:v>
      </x:c>
      <x:c r="CA474" s="22" t="n">
        <x:f>MAX(0,MIN('Activities'!L474,450)-MAX('Activities'!K474,444))</x:f>
        <x:v>5</x:v>
      </x:c>
      <x:c r="CB474" s="22" t="n">
        <x:f>MAX(0,MIN('Activities'!L474,456)-MAX('Activities'!K474,450))</x:f>
        <x:v>0</x:v>
      </x:c>
      <x:c r="CC474" s="22" t="n">
        <x:f>MAX(0,MIN('Activities'!L474,462)-MAX('Activities'!K474,456))</x:f>
        <x:v>0</x:v>
      </x:c>
      <x:c r="CD474" s="22" t="n">
        <x:f>MAX(0,MIN('Activities'!L474,468)-MAX('Activities'!K474,462))</x:f>
        <x:v>0</x:v>
      </x:c>
      <x:c r="CE474" s="22" t="n">
        <x:f>MAX(0,MIN('Activities'!L474,474)-MAX('Activities'!K474,468))</x:f>
        <x:v>0</x:v>
      </x:c>
      <x:c r="CF474" s="22" t="n">
        <x:f>MAX(0,MIN('Activities'!L474,480)-MAX('Activities'!K474,474))</x:f>
        <x:v>0</x:v>
      </x:c>
      <x:c r="CG474" s="22" t="n">
        <x:f>MAX(0,MIN('Activities'!L474,486)-MAX('Activities'!K474,480))</x:f>
        <x:v>0</x:v>
      </x:c>
      <x:c r="CH474" s="22" t="n">
        <x:f>MAX(0,MIN('Activities'!L474,492)-MAX('Activities'!K474,486))</x:f>
        <x:v>0</x:v>
      </x:c>
      <x:c r="CI474" s="22" t="n">
        <x:f>MAX(0,MIN('Activities'!L474,498)-MAX('Activities'!K474,492))</x:f>
        <x:v>0</x:v>
      </x:c>
      <x:c r="CJ474" s="22" t="n">
        <x:f>MAX(0,MIN('Activities'!L474,504)-MAX('Activities'!K474,498))</x:f>
        <x:v>0</x:v>
      </x:c>
      <x:c r="CK474" s="22" t="n">
        <x:f>MAX(0,MIN('Activities'!L474,510)-MAX('Activities'!K474,504))</x:f>
        <x:v>0</x:v>
      </x:c>
      <x:c r="CL474" s="22" t="n">
        <x:f>MAX(0,MIN('Activities'!L474,516)-MAX('Activities'!K474,510))</x:f>
        <x:v>0</x:v>
      </x:c>
      <x:c r="CM474" s="22" t="n">
        <x:f>MAX(0,MIN('Activities'!L474,522)-MAX('Activities'!K474,516))</x:f>
        <x:v>0</x:v>
      </x:c>
      <x:c r="CN474" s="22" t="n">
        <x:f>MAX(0,MIN('Activities'!L474,528)-MAX('Activities'!K474,522))</x:f>
        <x:v>0</x:v>
      </x:c>
      <x:c r="CO474" s="22" t="n">
        <x:f>MAX(0,MIN('Activities'!L474,534)-MAX('Activities'!K474,528))</x:f>
        <x:v>0</x:v>
      </x:c>
      <x:c r="CP474" s="22" t="n">
        <x:f>MAX(0,MIN('Activities'!L474,540)-MAX('Activities'!K474,534))</x:f>
        <x:v>0</x:v>
      </x:c>
      <x:c r="CQ474" s="22" t="n">
        <x:f>MAX(0,MIN('Activities'!L474,546)-MAX('Activities'!K474,540))</x:f>
        <x:v>0</x:v>
      </x:c>
      <x:c r="CR474" s="22" t="n">
        <x:f>MAX(0,MIN('Activities'!L474,552)-MAX('Activities'!K474,546))</x:f>
        <x:v>0</x:v>
      </x:c>
      <x:c r="CS474" s="22" t="n">
        <x:f>MAX(0,MIN('Activities'!L474,558)-MAX('Activities'!K474,552))</x:f>
        <x:v>0</x:v>
      </x:c>
      <x:c r="CT474" s="22" t="n">
        <x:f>MAX(0,MIN('Activities'!L474,564)-MAX('Activities'!K474,558))</x:f>
        <x:v>0</x:v>
      </x:c>
      <x:c r="CU474" s="22" t="n">
        <x:f>MAX(0,MIN('Activities'!L474,570)-MAX('Activities'!K474,564))</x:f>
        <x:v>0</x:v>
      </x:c>
      <x:c r="CV474" s="22" t="n">
        <x:f>MAX(0,MIN('Activities'!L474,576)-MAX('Activities'!K474,570))</x:f>
        <x:v>0</x:v>
      </x:c>
      <x:c r="CW474" s="22" t="n">
        <x:f>MAX(0,MIN('Activities'!L474,582)-MAX('Activities'!K474,576))</x:f>
        <x:v>0</x:v>
      </x:c>
      <x:c r="CX474" s="22" t="n">
        <x:f>MAX(0,MIN('Activities'!L474,588)-MAX('Activities'!K474,582))</x:f>
        <x:v>0</x:v>
      </x:c>
      <x:c r="CY474" s="22" t="n">
        <x:f>MAX(0,MIN('Activities'!L474,594)-MAX('Activities'!K474,588))</x:f>
        <x:v>0</x:v>
      </x:c>
      <x:c r="CZ474" s="22" t="n">
        <x:f>MAX(0,MIN('Activities'!L474,600)-MAX('Activities'!K474,594))</x:f>
        <x:v>0</x:v>
      </x:c>
      <x:c r="DA474" s="22" t="n">
        <x:f>MAX(0,MIN('Activities'!L474,606)-MAX('Activities'!K474,600))</x:f>
        <x:v>0</x:v>
      </x:c>
      <x:c r="DB474" s="22" t="n">
        <x:f>MAX(0,MIN('Activities'!L474,612)-MAX('Activities'!K474,606))</x:f>
        <x:v>0</x:v>
      </x:c>
      <x:c r="DC474" s="22" t="n">
        <x:f>MAX(0,MIN('Activities'!L474,618)-MAX('Activities'!K474,612))</x:f>
        <x:v>0</x:v>
      </x:c>
      <x:c r="DD474" s="22" t="n">
        <x:f>MAX(0,MIN('Activities'!L474,624)-MAX('Activities'!K474,618))</x:f>
        <x:v>0</x:v>
      </x:c>
      <x:c r="DE474" s="22" t="n">
        <x:f>MAX(0,MIN('Activities'!L474,630)-MAX('Activities'!K474,624))</x:f>
        <x:v>0</x:v>
      </x:c>
      <x:c r="DF474" s="22" t="n">
        <x:f>MAX(0,MIN('Activities'!L474,636)-MAX('Activities'!K474,630))</x:f>
        <x:v>0</x:v>
      </x:c>
    </x:row>
    <x:row r="475" ht="23" customHeight="1">
      <x:c r="A475" s="1" t="str">
        <x:v>T4-L00-D</x:v>
      </x:c>
      <x:c r="B475" s="1" t="str">
        <x:v>T4</x:v>
      </x:c>
      <x:c r="C475" s="1" t="str">
        <x:v>Door sets and ironmongery</x:v>
      </x:c>
      <x:c r="D475" s="1" t="str">
        <x:v>Finishes</x:v>
      </x:c>
      <x:c r="E475" s="23" t="n">
        <x:f>MAX(0,MIN('Activities'!L475,6)-MAX('Activities'!K475,0))</x:f>
        <x:v>0</x:v>
      </x:c>
      <x:c r="F475" s="23" t="n">
        <x:f>MAX(0,MIN('Activities'!L475,12)-MAX('Activities'!K475,6))</x:f>
        <x:v>0</x:v>
      </x:c>
      <x:c r="G475" s="23" t="n">
        <x:f>MAX(0,MIN('Activities'!L475,18)-MAX('Activities'!K475,12))</x:f>
        <x:v>0</x:v>
      </x:c>
      <x:c r="H475" s="23" t="n">
        <x:f>MAX(0,MIN('Activities'!L475,24)-MAX('Activities'!K475,18))</x:f>
        <x:v>0</x:v>
      </x:c>
      <x:c r="I475" s="23" t="n">
        <x:f>MAX(0,MIN('Activities'!L475,30)-MAX('Activities'!K475,24))</x:f>
        <x:v>0</x:v>
      </x:c>
      <x:c r="J475" s="23" t="n">
        <x:f>MAX(0,MIN('Activities'!L475,36)-MAX('Activities'!K475,30))</x:f>
        <x:v>0</x:v>
      </x:c>
      <x:c r="K475" s="23" t="n">
        <x:f>MAX(0,MIN('Activities'!L475,42)-MAX('Activities'!K475,36))</x:f>
        <x:v>0</x:v>
      </x:c>
      <x:c r="L475" s="23" t="n">
        <x:f>MAX(0,MIN('Activities'!L475,48)-MAX('Activities'!K475,42))</x:f>
        <x:v>0</x:v>
      </x:c>
      <x:c r="M475" s="23" t="n">
        <x:f>MAX(0,MIN('Activities'!L475,54)-MAX('Activities'!K475,48))</x:f>
        <x:v>0</x:v>
      </x:c>
      <x:c r="N475" s="23" t="n">
        <x:f>MAX(0,MIN('Activities'!L475,60)-MAX('Activities'!K475,54))</x:f>
        <x:v>0</x:v>
      </x:c>
      <x:c r="O475" s="23" t="n">
        <x:f>MAX(0,MIN('Activities'!L475,66)-MAX('Activities'!K475,60))</x:f>
        <x:v>0</x:v>
      </x:c>
      <x:c r="P475" s="23" t="n">
        <x:f>MAX(0,MIN('Activities'!L475,72)-MAX('Activities'!K475,66))</x:f>
        <x:v>0</x:v>
      </x:c>
      <x:c r="Q475" s="23" t="n">
        <x:f>MAX(0,MIN('Activities'!L475,78)-MAX('Activities'!K475,72))</x:f>
        <x:v>0</x:v>
      </x:c>
      <x:c r="R475" s="23" t="n">
        <x:f>MAX(0,MIN('Activities'!L475,84)-MAX('Activities'!K475,78))</x:f>
        <x:v>0</x:v>
      </x:c>
      <x:c r="S475" s="23" t="n">
        <x:f>MAX(0,MIN('Activities'!L475,90)-MAX('Activities'!K475,84))</x:f>
        <x:v>0</x:v>
      </x:c>
      <x:c r="T475" s="23" t="n">
        <x:f>MAX(0,MIN('Activities'!L475,96)-MAX('Activities'!K475,90))</x:f>
        <x:v>0</x:v>
      </x:c>
      <x:c r="U475" s="23" t="n">
        <x:f>MAX(0,MIN('Activities'!L475,102)-MAX('Activities'!K475,96))</x:f>
        <x:v>0</x:v>
      </x:c>
      <x:c r="V475" s="23" t="n">
        <x:f>MAX(0,MIN('Activities'!L475,108)-MAX('Activities'!K475,102))</x:f>
        <x:v>0</x:v>
      </x:c>
      <x:c r="W475" s="23" t="n">
        <x:f>MAX(0,MIN('Activities'!L475,114)-MAX('Activities'!K475,108))</x:f>
        <x:v>0</x:v>
      </x:c>
      <x:c r="X475" s="23" t="n">
        <x:f>MAX(0,MIN('Activities'!L475,120)-MAX('Activities'!K475,114))</x:f>
        <x:v>0</x:v>
      </x:c>
      <x:c r="Y475" s="23" t="n">
        <x:f>MAX(0,MIN('Activities'!L475,126)-MAX('Activities'!K475,120))</x:f>
        <x:v>0</x:v>
      </x:c>
      <x:c r="Z475" s="23" t="n">
        <x:f>MAX(0,MIN('Activities'!L475,132)-MAX('Activities'!K475,126))</x:f>
        <x:v>0</x:v>
      </x:c>
      <x:c r="AA475" s="23" t="n">
        <x:f>MAX(0,MIN('Activities'!L475,138)-MAX('Activities'!K475,132))</x:f>
        <x:v>0</x:v>
      </x:c>
      <x:c r="AB475" s="23" t="n">
        <x:f>MAX(0,MIN('Activities'!L475,144)-MAX('Activities'!K475,138))</x:f>
        <x:v>0</x:v>
      </x:c>
      <x:c r="AC475" s="23" t="n">
        <x:f>MAX(0,MIN('Activities'!L475,150)-MAX('Activities'!K475,144))</x:f>
        <x:v>0</x:v>
      </x:c>
      <x:c r="AD475" s="23" t="n">
        <x:f>MAX(0,MIN('Activities'!L475,156)-MAX('Activities'!K475,150))</x:f>
        <x:v>0</x:v>
      </x:c>
      <x:c r="AE475" s="23" t="n">
        <x:f>MAX(0,MIN('Activities'!L475,162)-MAX('Activities'!K475,156))</x:f>
        <x:v>0</x:v>
      </x:c>
      <x:c r="AF475" s="23" t="n">
        <x:f>MAX(0,MIN('Activities'!L475,168)-MAX('Activities'!K475,162))</x:f>
        <x:v>0</x:v>
      </x:c>
      <x:c r="AG475" s="23" t="n">
        <x:f>MAX(0,MIN('Activities'!L475,174)-MAX('Activities'!K475,168))</x:f>
        <x:v>0</x:v>
      </x:c>
      <x:c r="AH475" s="23" t="n">
        <x:f>MAX(0,MIN('Activities'!L475,180)-MAX('Activities'!K475,174))</x:f>
        <x:v>0</x:v>
      </x:c>
      <x:c r="AI475" s="23" t="n">
        <x:f>MAX(0,MIN('Activities'!L475,186)-MAX('Activities'!K475,180))</x:f>
        <x:v>0</x:v>
      </x:c>
      <x:c r="AJ475" s="23" t="n">
        <x:f>MAX(0,MIN('Activities'!L475,192)-MAX('Activities'!K475,186))</x:f>
        <x:v>0</x:v>
      </x:c>
      <x:c r="AK475" s="23" t="n">
        <x:f>MAX(0,MIN('Activities'!L475,198)-MAX('Activities'!K475,192))</x:f>
        <x:v>0</x:v>
      </x:c>
      <x:c r="AL475" s="23" t="n">
        <x:f>MAX(0,MIN('Activities'!L475,204)-MAX('Activities'!K475,198))</x:f>
        <x:v>0</x:v>
      </x:c>
      <x:c r="AM475" s="23" t="n">
        <x:f>MAX(0,MIN('Activities'!L475,210)-MAX('Activities'!K475,204))</x:f>
        <x:v>0</x:v>
      </x:c>
      <x:c r="AN475" s="23" t="n">
        <x:f>MAX(0,MIN('Activities'!L475,216)-MAX('Activities'!K475,210))</x:f>
        <x:v>0</x:v>
      </x:c>
      <x:c r="AO475" s="23" t="n">
        <x:f>MAX(0,MIN('Activities'!L475,222)-MAX('Activities'!K475,216))</x:f>
        <x:v>0</x:v>
      </x:c>
      <x:c r="AP475" s="23" t="n">
        <x:f>MAX(0,MIN('Activities'!L475,228)-MAX('Activities'!K475,222))</x:f>
        <x:v>0</x:v>
      </x:c>
      <x:c r="AQ475" s="23" t="n">
        <x:f>MAX(0,MIN('Activities'!L475,234)-MAX('Activities'!K475,228))</x:f>
        <x:v>0</x:v>
      </x:c>
      <x:c r="AR475" s="23" t="n">
        <x:f>MAX(0,MIN('Activities'!L475,240)-MAX('Activities'!K475,234))</x:f>
        <x:v>0</x:v>
      </x:c>
      <x:c r="AS475" s="23" t="n">
        <x:f>MAX(0,MIN('Activities'!L475,246)-MAX('Activities'!K475,240))</x:f>
        <x:v>0</x:v>
      </x:c>
      <x:c r="AT475" s="23" t="n">
        <x:f>MAX(0,MIN('Activities'!L475,252)-MAX('Activities'!K475,246))</x:f>
        <x:v>0</x:v>
      </x:c>
      <x:c r="AU475" s="23" t="n">
        <x:f>MAX(0,MIN('Activities'!L475,258)-MAX('Activities'!K475,252))</x:f>
        <x:v>0</x:v>
      </x:c>
      <x:c r="AV475" s="23" t="n">
        <x:f>MAX(0,MIN('Activities'!L475,264)-MAX('Activities'!K475,258))</x:f>
        <x:v>0</x:v>
      </x:c>
      <x:c r="AW475" s="23" t="n">
        <x:f>MAX(0,MIN('Activities'!L475,270)-MAX('Activities'!K475,264))</x:f>
        <x:v>0</x:v>
      </x:c>
      <x:c r="AX475" s="23" t="n">
        <x:f>MAX(0,MIN('Activities'!L475,276)-MAX('Activities'!K475,270))</x:f>
        <x:v>0</x:v>
      </x:c>
      <x:c r="AY475" s="23" t="n">
        <x:f>MAX(0,MIN('Activities'!L475,282)-MAX('Activities'!K475,276))</x:f>
        <x:v>0</x:v>
      </x:c>
      <x:c r="AZ475" s="23" t="n">
        <x:f>MAX(0,MIN('Activities'!L475,288)-MAX('Activities'!K475,282))</x:f>
        <x:v>0</x:v>
      </x:c>
      <x:c r="BA475" s="23" t="n">
        <x:f>MAX(0,MIN('Activities'!L475,294)-MAX('Activities'!K475,288))</x:f>
        <x:v>0</x:v>
      </x:c>
      <x:c r="BB475" s="23" t="n">
        <x:f>MAX(0,MIN('Activities'!L475,300)-MAX('Activities'!K475,294))</x:f>
        <x:v>0</x:v>
      </x:c>
      <x:c r="BC475" s="23" t="n">
        <x:f>MAX(0,MIN('Activities'!L475,306)-MAX('Activities'!K475,300))</x:f>
        <x:v>0</x:v>
      </x:c>
      <x:c r="BD475" s="23" t="n">
        <x:f>MAX(0,MIN('Activities'!L475,312)-MAX('Activities'!K475,306))</x:f>
        <x:v>0</x:v>
      </x:c>
      <x:c r="BE475" s="23" t="n">
        <x:f>MAX(0,MIN('Activities'!L475,318)-MAX('Activities'!K475,312))</x:f>
        <x:v>0</x:v>
      </x:c>
      <x:c r="BF475" s="23" t="n">
        <x:f>MAX(0,MIN('Activities'!L475,324)-MAX('Activities'!K475,318))</x:f>
        <x:v>0</x:v>
      </x:c>
      <x:c r="BG475" s="23" t="n">
        <x:f>MAX(0,MIN('Activities'!L475,330)-MAX('Activities'!K475,324))</x:f>
        <x:v>0</x:v>
      </x:c>
      <x:c r="BH475" s="23" t="n">
        <x:f>MAX(0,MIN('Activities'!L475,336)-MAX('Activities'!K475,330))</x:f>
        <x:v>0</x:v>
      </x:c>
      <x:c r="BI475" s="23" t="n">
        <x:f>MAX(0,MIN('Activities'!L475,342)-MAX('Activities'!K475,336))</x:f>
        <x:v>0</x:v>
      </x:c>
      <x:c r="BJ475" s="23" t="n">
        <x:f>MAX(0,MIN('Activities'!L475,348)-MAX('Activities'!K475,342))</x:f>
        <x:v>0</x:v>
      </x:c>
      <x:c r="BK475" s="23" t="n">
        <x:f>MAX(0,MIN('Activities'!L475,354)-MAX('Activities'!K475,348))</x:f>
        <x:v>0</x:v>
      </x:c>
      <x:c r="BL475" s="23" t="n">
        <x:f>MAX(0,MIN('Activities'!L475,360)-MAX('Activities'!K475,354))</x:f>
        <x:v>0</x:v>
      </x:c>
      <x:c r="BM475" s="23" t="n">
        <x:f>MAX(0,MIN('Activities'!L475,366)-MAX('Activities'!K475,360))</x:f>
        <x:v>0</x:v>
      </x:c>
      <x:c r="BN475" s="23" t="n">
        <x:f>MAX(0,MIN('Activities'!L475,372)-MAX('Activities'!K475,366))</x:f>
        <x:v>0</x:v>
      </x:c>
      <x:c r="BO475" s="23" t="n">
        <x:f>MAX(0,MIN('Activities'!L475,378)-MAX('Activities'!K475,372))</x:f>
        <x:v>0</x:v>
      </x:c>
      <x:c r="BP475" s="23" t="n">
        <x:f>MAX(0,MIN('Activities'!L475,384)-MAX('Activities'!K475,378))</x:f>
        <x:v>0</x:v>
      </x:c>
      <x:c r="BQ475" s="23" t="n">
        <x:f>MAX(0,MIN('Activities'!L475,390)-MAX('Activities'!K475,384))</x:f>
        <x:v>0</x:v>
      </x:c>
      <x:c r="BR475" s="23" t="n">
        <x:f>MAX(0,MIN('Activities'!L475,396)-MAX('Activities'!K475,390))</x:f>
        <x:v>0</x:v>
      </x:c>
      <x:c r="BS475" s="23" t="n">
        <x:f>MAX(0,MIN('Activities'!L475,402)-MAX('Activities'!K475,396))</x:f>
        <x:v>0</x:v>
      </x:c>
      <x:c r="BT475" s="23" t="n">
        <x:f>MAX(0,MIN('Activities'!L475,408)-MAX('Activities'!K475,402))</x:f>
        <x:v>0</x:v>
      </x:c>
      <x:c r="BU475" s="23" t="n">
        <x:f>MAX(0,MIN('Activities'!L475,414)-MAX('Activities'!K475,408))</x:f>
        <x:v>0</x:v>
      </x:c>
      <x:c r="BV475" s="23" t="n">
        <x:f>MAX(0,MIN('Activities'!L475,420)-MAX('Activities'!K475,414))</x:f>
        <x:v>0</x:v>
      </x:c>
      <x:c r="BW475" s="23" t="n">
        <x:f>MAX(0,MIN('Activities'!L475,426)-MAX('Activities'!K475,420))</x:f>
        <x:v>0</x:v>
      </x:c>
      <x:c r="BX475" s="23" t="n">
        <x:f>MAX(0,MIN('Activities'!L475,432)-MAX('Activities'!K475,426))</x:f>
        <x:v>0</x:v>
      </x:c>
      <x:c r="BY475" s="23" t="n">
        <x:f>MAX(0,MIN('Activities'!L475,438)-MAX('Activities'!K475,432))</x:f>
        <x:v>0</x:v>
      </x:c>
      <x:c r="BZ475" s="23" t="n">
        <x:f>MAX(0,MIN('Activities'!L475,444)-MAX('Activities'!K475,438))</x:f>
        <x:v>0</x:v>
      </x:c>
      <x:c r="CA475" s="23" t="n">
        <x:f>MAX(0,MIN('Activities'!L475,450)-MAX('Activities'!K475,444))</x:f>
        <x:v>0</x:v>
      </x:c>
      <x:c r="CB475" s="23" t="n">
        <x:f>MAX(0,MIN('Activities'!L475,456)-MAX('Activities'!K475,450))</x:f>
        <x:v>3</x:v>
      </x:c>
      <x:c r="CC475" s="23" t="n">
        <x:f>MAX(0,MIN('Activities'!L475,462)-MAX('Activities'!K475,456))</x:f>
        <x:v>0</x:v>
      </x:c>
      <x:c r="CD475" s="23" t="n">
        <x:f>MAX(0,MIN('Activities'!L475,468)-MAX('Activities'!K475,462))</x:f>
        <x:v>0</x:v>
      </x:c>
      <x:c r="CE475" s="23" t="n">
        <x:f>MAX(0,MIN('Activities'!L475,474)-MAX('Activities'!K475,468))</x:f>
        <x:v>0</x:v>
      </x:c>
      <x:c r="CF475" s="23" t="n">
        <x:f>MAX(0,MIN('Activities'!L475,480)-MAX('Activities'!K475,474))</x:f>
        <x:v>0</x:v>
      </x:c>
      <x:c r="CG475" s="23" t="n">
        <x:f>MAX(0,MIN('Activities'!L475,486)-MAX('Activities'!K475,480))</x:f>
        <x:v>0</x:v>
      </x:c>
      <x:c r="CH475" s="23" t="n">
        <x:f>MAX(0,MIN('Activities'!L475,492)-MAX('Activities'!K475,486))</x:f>
        <x:v>0</x:v>
      </x:c>
      <x:c r="CI475" s="23" t="n">
        <x:f>MAX(0,MIN('Activities'!L475,498)-MAX('Activities'!K475,492))</x:f>
        <x:v>0</x:v>
      </x:c>
      <x:c r="CJ475" s="23" t="n">
        <x:f>MAX(0,MIN('Activities'!L475,504)-MAX('Activities'!K475,498))</x:f>
        <x:v>0</x:v>
      </x:c>
      <x:c r="CK475" s="23" t="n">
        <x:f>MAX(0,MIN('Activities'!L475,510)-MAX('Activities'!K475,504))</x:f>
        <x:v>0</x:v>
      </x:c>
      <x:c r="CL475" s="23" t="n">
        <x:f>MAX(0,MIN('Activities'!L475,516)-MAX('Activities'!K475,510))</x:f>
        <x:v>0</x:v>
      </x:c>
      <x:c r="CM475" s="23" t="n">
        <x:f>MAX(0,MIN('Activities'!L475,522)-MAX('Activities'!K475,516))</x:f>
        <x:v>0</x:v>
      </x:c>
      <x:c r="CN475" s="23" t="n">
        <x:f>MAX(0,MIN('Activities'!L475,528)-MAX('Activities'!K475,522))</x:f>
        <x:v>0</x:v>
      </x:c>
      <x:c r="CO475" s="23" t="n">
        <x:f>MAX(0,MIN('Activities'!L475,534)-MAX('Activities'!K475,528))</x:f>
        <x:v>0</x:v>
      </x:c>
      <x:c r="CP475" s="23" t="n">
        <x:f>MAX(0,MIN('Activities'!L475,540)-MAX('Activities'!K475,534))</x:f>
        <x:v>0</x:v>
      </x:c>
      <x:c r="CQ475" s="23" t="n">
        <x:f>MAX(0,MIN('Activities'!L475,546)-MAX('Activities'!K475,540))</x:f>
        <x:v>0</x:v>
      </x:c>
      <x:c r="CR475" s="23" t="n">
        <x:f>MAX(0,MIN('Activities'!L475,552)-MAX('Activities'!K475,546))</x:f>
        <x:v>0</x:v>
      </x:c>
      <x:c r="CS475" s="23" t="n">
        <x:f>MAX(0,MIN('Activities'!L475,558)-MAX('Activities'!K475,552))</x:f>
        <x:v>0</x:v>
      </x:c>
      <x:c r="CT475" s="23" t="n">
        <x:f>MAX(0,MIN('Activities'!L475,564)-MAX('Activities'!K475,558))</x:f>
        <x:v>0</x:v>
      </x:c>
      <x:c r="CU475" s="23" t="n">
        <x:f>MAX(0,MIN('Activities'!L475,570)-MAX('Activities'!K475,564))</x:f>
        <x:v>0</x:v>
      </x:c>
      <x:c r="CV475" s="23" t="n">
        <x:f>MAX(0,MIN('Activities'!L475,576)-MAX('Activities'!K475,570))</x:f>
        <x:v>0</x:v>
      </x:c>
      <x:c r="CW475" s="23" t="n">
        <x:f>MAX(0,MIN('Activities'!L475,582)-MAX('Activities'!K475,576))</x:f>
        <x:v>0</x:v>
      </x:c>
      <x:c r="CX475" s="23" t="n">
        <x:f>MAX(0,MIN('Activities'!L475,588)-MAX('Activities'!K475,582))</x:f>
        <x:v>0</x:v>
      </x:c>
      <x:c r="CY475" s="23" t="n">
        <x:f>MAX(0,MIN('Activities'!L475,594)-MAX('Activities'!K475,588))</x:f>
        <x:v>0</x:v>
      </x:c>
      <x:c r="CZ475" s="23" t="n">
        <x:f>MAX(0,MIN('Activities'!L475,600)-MAX('Activities'!K475,594))</x:f>
        <x:v>0</x:v>
      </x:c>
      <x:c r="DA475" s="23" t="n">
        <x:f>MAX(0,MIN('Activities'!L475,606)-MAX('Activities'!K475,600))</x:f>
        <x:v>0</x:v>
      </x:c>
      <x:c r="DB475" s="23" t="n">
        <x:f>MAX(0,MIN('Activities'!L475,612)-MAX('Activities'!K475,606))</x:f>
        <x:v>0</x:v>
      </x:c>
      <x:c r="DC475" s="23" t="n">
        <x:f>MAX(0,MIN('Activities'!L475,618)-MAX('Activities'!K475,612))</x:f>
        <x:v>0</x:v>
      </x:c>
      <x:c r="DD475" s="23" t="n">
        <x:f>MAX(0,MIN('Activities'!L475,624)-MAX('Activities'!K475,618))</x:f>
        <x:v>0</x:v>
      </x:c>
      <x:c r="DE475" s="23" t="n">
        <x:f>MAX(0,MIN('Activities'!L475,630)-MAX('Activities'!K475,624))</x:f>
        <x:v>0</x:v>
      </x:c>
      <x:c r="DF475" s="23" t="n">
        <x:f>MAX(0,MIN('Activities'!L475,636)-MAX('Activities'!K475,630))</x:f>
        <x:v>0</x:v>
      </x:c>
    </x:row>
    <x:row r="476" ht="23" customHeight="1">
      <x:c r="A476" s="6" t="str">
        <x:v>T4-L01-M</x:v>
      </x:c>
      <x:c r="B476" s="6" t="str">
        <x:v>T4</x:v>
      </x:c>
      <x:c r="C476" s="6" t="str">
        <x:v>Partition masonry</x:v>
      </x:c>
      <x:c r="D476" s="6" t="str">
        <x:v>Masonry</x:v>
      </x:c>
      <x:c r="E476" s="22" t="n">
        <x:f>MAX(0,MIN('Activities'!L476,6)-MAX('Activities'!K476,0))</x:f>
        <x:v>0</x:v>
      </x:c>
      <x:c r="F476" s="22" t="n">
        <x:f>MAX(0,MIN('Activities'!L476,12)-MAX('Activities'!K476,6))</x:f>
        <x:v>0</x:v>
      </x:c>
      <x:c r="G476" s="22" t="n">
        <x:f>MAX(0,MIN('Activities'!L476,18)-MAX('Activities'!K476,12))</x:f>
        <x:v>0</x:v>
      </x:c>
      <x:c r="H476" s="22" t="n">
        <x:f>MAX(0,MIN('Activities'!L476,24)-MAX('Activities'!K476,18))</x:f>
        <x:v>0</x:v>
      </x:c>
      <x:c r="I476" s="22" t="n">
        <x:f>MAX(0,MIN('Activities'!L476,30)-MAX('Activities'!K476,24))</x:f>
        <x:v>0</x:v>
      </x:c>
      <x:c r="J476" s="22" t="n">
        <x:f>MAX(0,MIN('Activities'!L476,36)-MAX('Activities'!K476,30))</x:f>
        <x:v>0</x:v>
      </x:c>
      <x:c r="K476" s="22" t="n">
        <x:f>MAX(0,MIN('Activities'!L476,42)-MAX('Activities'!K476,36))</x:f>
        <x:v>0</x:v>
      </x:c>
      <x:c r="L476" s="22" t="n">
        <x:f>MAX(0,MIN('Activities'!L476,48)-MAX('Activities'!K476,42))</x:f>
        <x:v>0</x:v>
      </x:c>
      <x:c r="M476" s="22" t="n">
        <x:f>MAX(0,MIN('Activities'!L476,54)-MAX('Activities'!K476,48))</x:f>
        <x:v>0</x:v>
      </x:c>
      <x:c r="N476" s="22" t="n">
        <x:f>MAX(0,MIN('Activities'!L476,60)-MAX('Activities'!K476,54))</x:f>
        <x:v>0</x:v>
      </x:c>
      <x:c r="O476" s="22" t="n">
        <x:f>MAX(0,MIN('Activities'!L476,66)-MAX('Activities'!K476,60))</x:f>
        <x:v>0</x:v>
      </x:c>
      <x:c r="P476" s="22" t="n">
        <x:f>MAX(0,MIN('Activities'!L476,72)-MAX('Activities'!K476,66))</x:f>
        <x:v>0</x:v>
      </x:c>
      <x:c r="Q476" s="22" t="n">
        <x:f>MAX(0,MIN('Activities'!L476,78)-MAX('Activities'!K476,72))</x:f>
        <x:v>0</x:v>
      </x:c>
      <x:c r="R476" s="22" t="n">
        <x:f>MAX(0,MIN('Activities'!L476,84)-MAX('Activities'!K476,78))</x:f>
        <x:v>0</x:v>
      </x:c>
      <x:c r="S476" s="22" t="n">
        <x:f>MAX(0,MIN('Activities'!L476,90)-MAX('Activities'!K476,84))</x:f>
        <x:v>0</x:v>
      </x:c>
      <x:c r="T476" s="22" t="n">
        <x:f>MAX(0,MIN('Activities'!L476,96)-MAX('Activities'!K476,90))</x:f>
        <x:v>0</x:v>
      </x:c>
      <x:c r="U476" s="22" t="n">
        <x:f>MAX(0,MIN('Activities'!L476,102)-MAX('Activities'!K476,96))</x:f>
        <x:v>0</x:v>
      </x:c>
      <x:c r="V476" s="22" t="n">
        <x:f>MAX(0,MIN('Activities'!L476,108)-MAX('Activities'!K476,102))</x:f>
        <x:v>0</x:v>
      </x:c>
      <x:c r="W476" s="22" t="n">
        <x:f>MAX(0,MIN('Activities'!L476,114)-MAX('Activities'!K476,108))</x:f>
        <x:v>0</x:v>
      </x:c>
      <x:c r="X476" s="22" t="n">
        <x:f>MAX(0,MIN('Activities'!L476,120)-MAX('Activities'!K476,114))</x:f>
        <x:v>0</x:v>
      </x:c>
      <x:c r="Y476" s="22" t="n">
        <x:f>MAX(0,MIN('Activities'!L476,126)-MAX('Activities'!K476,120))</x:f>
        <x:v>0</x:v>
      </x:c>
      <x:c r="Z476" s="22" t="n">
        <x:f>MAX(0,MIN('Activities'!L476,132)-MAX('Activities'!K476,126))</x:f>
        <x:v>0</x:v>
      </x:c>
      <x:c r="AA476" s="22" t="n">
        <x:f>MAX(0,MIN('Activities'!L476,138)-MAX('Activities'!K476,132))</x:f>
        <x:v>0</x:v>
      </x:c>
      <x:c r="AB476" s="22" t="n">
        <x:f>MAX(0,MIN('Activities'!L476,144)-MAX('Activities'!K476,138))</x:f>
        <x:v>0</x:v>
      </x:c>
      <x:c r="AC476" s="22" t="n">
        <x:f>MAX(0,MIN('Activities'!L476,150)-MAX('Activities'!K476,144))</x:f>
        <x:v>0</x:v>
      </x:c>
      <x:c r="AD476" s="22" t="n">
        <x:f>MAX(0,MIN('Activities'!L476,156)-MAX('Activities'!K476,150))</x:f>
        <x:v>0</x:v>
      </x:c>
      <x:c r="AE476" s="22" t="n">
        <x:f>MAX(0,MIN('Activities'!L476,162)-MAX('Activities'!K476,156))</x:f>
        <x:v>0</x:v>
      </x:c>
      <x:c r="AF476" s="22" t="n">
        <x:f>MAX(0,MIN('Activities'!L476,168)-MAX('Activities'!K476,162))</x:f>
        <x:v>0</x:v>
      </x:c>
      <x:c r="AG476" s="22" t="n">
        <x:f>MAX(0,MIN('Activities'!L476,174)-MAX('Activities'!K476,168))</x:f>
        <x:v>0</x:v>
      </x:c>
      <x:c r="AH476" s="22" t="n">
        <x:f>MAX(0,MIN('Activities'!L476,180)-MAX('Activities'!K476,174))</x:f>
        <x:v>0</x:v>
      </x:c>
      <x:c r="AI476" s="22" t="n">
        <x:f>MAX(0,MIN('Activities'!L476,186)-MAX('Activities'!K476,180))</x:f>
        <x:v>0</x:v>
      </x:c>
      <x:c r="AJ476" s="22" t="n">
        <x:f>MAX(0,MIN('Activities'!L476,192)-MAX('Activities'!K476,186))</x:f>
        <x:v>0</x:v>
      </x:c>
      <x:c r="AK476" s="22" t="n">
        <x:f>MAX(0,MIN('Activities'!L476,198)-MAX('Activities'!K476,192))</x:f>
        <x:v>0</x:v>
      </x:c>
      <x:c r="AL476" s="22" t="n">
        <x:f>MAX(0,MIN('Activities'!L476,204)-MAX('Activities'!K476,198))</x:f>
        <x:v>0</x:v>
      </x:c>
      <x:c r="AM476" s="22" t="n">
        <x:f>MAX(0,MIN('Activities'!L476,210)-MAX('Activities'!K476,204))</x:f>
        <x:v>0</x:v>
      </x:c>
      <x:c r="AN476" s="22" t="n">
        <x:f>MAX(0,MIN('Activities'!L476,216)-MAX('Activities'!K476,210))</x:f>
        <x:v>0</x:v>
      </x:c>
      <x:c r="AO476" s="22" t="n">
        <x:f>MAX(0,MIN('Activities'!L476,222)-MAX('Activities'!K476,216))</x:f>
        <x:v>0</x:v>
      </x:c>
      <x:c r="AP476" s="22" t="n">
        <x:f>MAX(0,MIN('Activities'!L476,228)-MAX('Activities'!K476,222))</x:f>
        <x:v>0</x:v>
      </x:c>
      <x:c r="AQ476" s="22" t="n">
        <x:f>MAX(0,MIN('Activities'!L476,234)-MAX('Activities'!K476,228))</x:f>
        <x:v>0</x:v>
      </x:c>
      <x:c r="AR476" s="22" t="n">
        <x:f>MAX(0,MIN('Activities'!L476,240)-MAX('Activities'!K476,234))</x:f>
        <x:v>0</x:v>
      </x:c>
      <x:c r="AS476" s="22" t="n">
        <x:f>MAX(0,MIN('Activities'!L476,246)-MAX('Activities'!K476,240))</x:f>
        <x:v>0</x:v>
      </x:c>
      <x:c r="AT476" s="22" t="n">
        <x:f>MAX(0,MIN('Activities'!L476,252)-MAX('Activities'!K476,246))</x:f>
        <x:v>0</x:v>
      </x:c>
      <x:c r="AU476" s="22" t="n">
        <x:f>MAX(0,MIN('Activities'!L476,258)-MAX('Activities'!K476,252))</x:f>
        <x:v>0</x:v>
      </x:c>
      <x:c r="AV476" s="22" t="n">
        <x:f>MAX(0,MIN('Activities'!L476,264)-MAX('Activities'!K476,258))</x:f>
        <x:v>0</x:v>
      </x:c>
      <x:c r="AW476" s="22" t="n">
        <x:f>MAX(0,MIN('Activities'!L476,270)-MAX('Activities'!K476,264))</x:f>
        <x:v>5</x:v>
      </x:c>
      <x:c r="AX476" s="22" t="n">
        <x:f>MAX(0,MIN('Activities'!L476,276)-MAX('Activities'!K476,270))</x:f>
        <x:v>0</x:v>
      </x:c>
      <x:c r="AY476" s="22" t="n">
        <x:f>MAX(0,MIN('Activities'!L476,282)-MAX('Activities'!K476,276))</x:f>
        <x:v>0</x:v>
      </x:c>
      <x:c r="AZ476" s="22" t="n">
        <x:f>MAX(0,MIN('Activities'!L476,288)-MAX('Activities'!K476,282))</x:f>
        <x:v>0</x:v>
      </x:c>
      <x:c r="BA476" s="22" t="n">
        <x:f>MAX(0,MIN('Activities'!L476,294)-MAX('Activities'!K476,288))</x:f>
        <x:v>0</x:v>
      </x:c>
      <x:c r="BB476" s="22" t="n">
        <x:f>MAX(0,MIN('Activities'!L476,300)-MAX('Activities'!K476,294))</x:f>
        <x:v>0</x:v>
      </x:c>
      <x:c r="BC476" s="22" t="n">
        <x:f>MAX(0,MIN('Activities'!L476,306)-MAX('Activities'!K476,300))</x:f>
        <x:v>0</x:v>
      </x:c>
      <x:c r="BD476" s="22" t="n">
        <x:f>MAX(0,MIN('Activities'!L476,312)-MAX('Activities'!K476,306))</x:f>
        <x:v>0</x:v>
      </x:c>
      <x:c r="BE476" s="22" t="n">
        <x:f>MAX(0,MIN('Activities'!L476,318)-MAX('Activities'!K476,312))</x:f>
        <x:v>0</x:v>
      </x:c>
      <x:c r="BF476" s="22" t="n">
        <x:f>MAX(0,MIN('Activities'!L476,324)-MAX('Activities'!K476,318))</x:f>
        <x:v>0</x:v>
      </x:c>
      <x:c r="BG476" s="22" t="n">
        <x:f>MAX(0,MIN('Activities'!L476,330)-MAX('Activities'!K476,324))</x:f>
        <x:v>0</x:v>
      </x:c>
      <x:c r="BH476" s="22" t="n">
        <x:f>MAX(0,MIN('Activities'!L476,336)-MAX('Activities'!K476,330))</x:f>
        <x:v>0</x:v>
      </x:c>
      <x:c r="BI476" s="22" t="n">
        <x:f>MAX(0,MIN('Activities'!L476,342)-MAX('Activities'!K476,336))</x:f>
        <x:v>0</x:v>
      </x:c>
      <x:c r="BJ476" s="22" t="n">
        <x:f>MAX(0,MIN('Activities'!L476,348)-MAX('Activities'!K476,342))</x:f>
        <x:v>0</x:v>
      </x:c>
      <x:c r="BK476" s="22" t="n">
        <x:f>MAX(0,MIN('Activities'!L476,354)-MAX('Activities'!K476,348))</x:f>
        <x:v>0</x:v>
      </x:c>
      <x:c r="BL476" s="22" t="n">
        <x:f>MAX(0,MIN('Activities'!L476,360)-MAX('Activities'!K476,354))</x:f>
        <x:v>0</x:v>
      </x:c>
      <x:c r="BM476" s="22" t="n">
        <x:f>MAX(0,MIN('Activities'!L476,366)-MAX('Activities'!K476,360))</x:f>
        <x:v>0</x:v>
      </x:c>
      <x:c r="BN476" s="22" t="n">
        <x:f>MAX(0,MIN('Activities'!L476,372)-MAX('Activities'!K476,366))</x:f>
        <x:v>0</x:v>
      </x:c>
      <x:c r="BO476" s="22" t="n">
        <x:f>MAX(0,MIN('Activities'!L476,378)-MAX('Activities'!K476,372))</x:f>
        <x:v>0</x:v>
      </x:c>
      <x:c r="BP476" s="22" t="n">
        <x:f>MAX(0,MIN('Activities'!L476,384)-MAX('Activities'!K476,378))</x:f>
        <x:v>0</x:v>
      </x:c>
      <x:c r="BQ476" s="22" t="n">
        <x:f>MAX(0,MIN('Activities'!L476,390)-MAX('Activities'!K476,384))</x:f>
        <x:v>0</x:v>
      </x:c>
      <x:c r="BR476" s="22" t="n">
        <x:f>MAX(0,MIN('Activities'!L476,396)-MAX('Activities'!K476,390))</x:f>
        <x:v>0</x:v>
      </x:c>
      <x:c r="BS476" s="22" t="n">
        <x:f>MAX(0,MIN('Activities'!L476,402)-MAX('Activities'!K476,396))</x:f>
        <x:v>0</x:v>
      </x:c>
      <x:c r="BT476" s="22" t="n">
        <x:f>MAX(0,MIN('Activities'!L476,408)-MAX('Activities'!K476,402))</x:f>
        <x:v>0</x:v>
      </x:c>
      <x:c r="BU476" s="22" t="n">
        <x:f>MAX(0,MIN('Activities'!L476,414)-MAX('Activities'!K476,408))</x:f>
        <x:v>0</x:v>
      </x:c>
      <x:c r="BV476" s="22" t="n">
        <x:f>MAX(0,MIN('Activities'!L476,420)-MAX('Activities'!K476,414))</x:f>
        <x:v>0</x:v>
      </x:c>
      <x:c r="BW476" s="22" t="n">
        <x:f>MAX(0,MIN('Activities'!L476,426)-MAX('Activities'!K476,420))</x:f>
        <x:v>0</x:v>
      </x:c>
      <x:c r="BX476" s="22" t="n">
        <x:f>MAX(0,MIN('Activities'!L476,432)-MAX('Activities'!K476,426))</x:f>
        <x:v>0</x:v>
      </x:c>
      <x:c r="BY476" s="22" t="n">
        <x:f>MAX(0,MIN('Activities'!L476,438)-MAX('Activities'!K476,432))</x:f>
        <x:v>0</x:v>
      </x:c>
      <x:c r="BZ476" s="22" t="n">
        <x:f>MAX(0,MIN('Activities'!L476,444)-MAX('Activities'!K476,438))</x:f>
        <x:v>0</x:v>
      </x:c>
      <x:c r="CA476" s="22" t="n">
        <x:f>MAX(0,MIN('Activities'!L476,450)-MAX('Activities'!K476,444))</x:f>
        <x:v>0</x:v>
      </x:c>
      <x:c r="CB476" s="22" t="n">
        <x:f>MAX(0,MIN('Activities'!L476,456)-MAX('Activities'!K476,450))</x:f>
        <x:v>0</x:v>
      </x:c>
      <x:c r="CC476" s="22" t="n">
        <x:f>MAX(0,MIN('Activities'!L476,462)-MAX('Activities'!K476,456))</x:f>
        <x:v>0</x:v>
      </x:c>
      <x:c r="CD476" s="22" t="n">
        <x:f>MAX(0,MIN('Activities'!L476,468)-MAX('Activities'!K476,462))</x:f>
        <x:v>0</x:v>
      </x:c>
      <x:c r="CE476" s="22" t="n">
        <x:f>MAX(0,MIN('Activities'!L476,474)-MAX('Activities'!K476,468))</x:f>
        <x:v>0</x:v>
      </x:c>
      <x:c r="CF476" s="22" t="n">
        <x:f>MAX(0,MIN('Activities'!L476,480)-MAX('Activities'!K476,474))</x:f>
        <x:v>0</x:v>
      </x:c>
      <x:c r="CG476" s="22" t="n">
        <x:f>MAX(0,MIN('Activities'!L476,486)-MAX('Activities'!K476,480))</x:f>
        <x:v>0</x:v>
      </x:c>
      <x:c r="CH476" s="22" t="n">
        <x:f>MAX(0,MIN('Activities'!L476,492)-MAX('Activities'!K476,486))</x:f>
        <x:v>0</x:v>
      </x:c>
      <x:c r="CI476" s="22" t="n">
        <x:f>MAX(0,MIN('Activities'!L476,498)-MAX('Activities'!K476,492))</x:f>
        <x:v>0</x:v>
      </x:c>
      <x:c r="CJ476" s="22" t="n">
        <x:f>MAX(0,MIN('Activities'!L476,504)-MAX('Activities'!K476,498))</x:f>
        <x:v>0</x:v>
      </x:c>
      <x:c r="CK476" s="22" t="n">
        <x:f>MAX(0,MIN('Activities'!L476,510)-MAX('Activities'!K476,504))</x:f>
        <x:v>0</x:v>
      </x:c>
      <x:c r="CL476" s="22" t="n">
        <x:f>MAX(0,MIN('Activities'!L476,516)-MAX('Activities'!K476,510))</x:f>
        <x:v>0</x:v>
      </x:c>
      <x:c r="CM476" s="22" t="n">
        <x:f>MAX(0,MIN('Activities'!L476,522)-MAX('Activities'!K476,516))</x:f>
        <x:v>0</x:v>
      </x:c>
      <x:c r="CN476" s="22" t="n">
        <x:f>MAX(0,MIN('Activities'!L476,528)-MAX('Activities'!K476,522))</x:f>
        <x:v>0</x:v>
      </x:c>
      <x:c r="CO476" s="22" t="n">
        <x:f>MAX(0,MIN('Activities'!L476,534)-MAX('Activities'!K476,528))</x:f>
        <x:v>0</x:v>
      </x:c>
      <x:c r="CP476" s="22" t="n">
        <x:f>MAX(0,MIN('Activities'!L476,540)-MAX('Activities'!K476,534))</x:f>
        <x:v>0</x:v>
      </x:c>
      <x:c r="CQ476" s="22" t="n">
        <x:f>MAX(0,MIN('Activities'!L476,546)-MAX('Activities'!K476,540))</x:f>
        <x:v>0</x:v>
      </x:c>
      <x:c r="CR476" s="22" t="n">
        <x:f>MAX(0,MIN('Activities'!L476,552)-MAX('Activities'!K476,546))</x:f>
        <x:v>0</x:v>
      </x:c>
      <x:c r="CS476" s="22" t="n">
        <x:f>MAX(0,MIN('Activities'!L476,558)-MAX('Activities'!K476,552))</x:f>
        <x:v>0</x:v>
      </x:c>
      <x:c r="CT476" s="22" t="n">
        <x:f>MAX(0,MIN('Activities'!L476,564)-MAX('Activities'!K476,558))</x:f>
        <x:v>0</x:v>
      </x:c>
      <x:c r="CU476" s="22" t="n">
        <x:f>MAX(0,MIN('Activities'!L476,570)-MAX('Activities'!K476,564))</x:f>
        <x:v>0</x:v>
      </x:c>
      <x:c r="CV476" s="22" t="n">
        <x:f>MAX(0,MIN('Activities'!L476,576)-MAX('Activities'!K476,570))</x:f>
        <x:v>0</x:v>
      </x:c>
      <x:c r="CW476" s="22" t="n">
        <x:f>MAX(0,MIN('Activities'!L476,582)-MAX('Activities'!K476,576))</x:f>
        <x:v>0</x:v>
      </x:c>
      <x:c r="CX476" s="22" t="n">
        <x:f>MAX(0,MIN('Activities'!L476,588)-MAX('Activities'!K476,582))</x:f>
        <x:v>0</x:v>
      </x:c>
      <x:c r="CY476" s="22" t="n">
        <x:f>MAX(0,MIN('Activities'!L476,594)-MAX('Activities'!K476,588))</x:f>
        <x:v>0</x:v>
      </x:c>
      <x:c r="CZ476" s="22" t="n">
        <x:f>MAX(0,MIN('Activities'!L476,600)-MAX('Activities'!K476,594))</x:f>
        <x:v>0</x:v>
      </x:c>
      <x:c r="DA476" s="22" t="n">
        <x:f>MAX(0,MIN('Activities'!L476,606)-MAX('Activities'!K476,600))</x:f>
        <x:v>0</x:v>
      </x:c>
      <x:c r="DB476" s="22" t="n">
        <x:f>MAX(0,MIN('Activities'!L476,612)-MAX('Activities'!K476,606))</x:f>
        <x:v>0</x:v>
      </x:c>
      <x:c r="DC476" s="22" t="n">
        <x:f>MAX(0,MIN('Activities'!L476,618)-MAX('Activities'!K476,612))</x:f>
        <x:v>0</x:v>
      </x:c>
      <x:c r="DD476" s="22" t="n">
        <x:f>MAX(0,MIN('Activities'!L476,624)-MAX('Activities'!K476,618))</x:f>
        <x:v>0</x:v>
      </x:c>
      <x:c r="DE476" s="22" t="n">
        <x:f>MAX(0,MIN('Activities'!L476,630)-MAX('Activities'!K476,624))</x:f>
        <x:v>0</x:v>
      </x:c>
      <x:c r="DF476" s="22" t="n">
        <x:f>MAX(0,MIN('Activities'!L476,636)-MAX('Activities'!K476,630))</x:f>
        <x:v>0</x:v>
      </x:c>
    </x:row>
    <x:row r="477" ht="23" customHeight="1">
      <x:c r="A477" s="1" t="str">
        <x:v>T4-L01-P</x:v>
      </x:c>
      <x:c r="B477" s="1" t="str">
        <x:v>T4</x:v>
      </x:c>
      <x:c r="C477" s="1" t="str">
        <x:v>Internal plaster</x:v>
      </x:c>
      <x:c r="D477" s="1" t="str">
        <x:v>Finishes</x:v>
      </x:c>
      <x:c r="E477" s="23" t="n">
        <x:f>MAX(0,MIN('Activities'!L477,6)-MAX('Activities'!K477,0))</x:f>
        <x:v>0</x:v>
      </x:c>
      <x:c r="F477" s="23" t="n">
        <x:f>MAX(0,MIN('Activities'!L477,12)-MAX('Activities'!K477,6))</x:f>
        <x:v>0</x:v>
      </x:c>
      <x:c r="G477" s="23" t="n">
        <x:f>MAX(0,MIN('Activities'!L477,18)-MAX('Activities'!K477,12))</x:f>
        <x:v>0</x:v>
      </x:c>
      <x:c r="H477" s="23" t="n">
        <x:f>MAX(0,MIN('Activities'!L477,24)-MAX('Activities'!K477,18))</x:f>
        <x:v>0</x:v>
      </x:c>
      <x:c r="I477" s="23" t="n">
        <x:f>MAX(0,MIN('Activities'!L477,30)-MAX('Activities'!K477,24))</x:f>
        <x:v>0</x:v>
      </x:c>
      <x:c r="J477" s="23" t="n">
        <x:f>MAX(0,MIN('Activities'!L477,36)-MAX('Activities'!K477,30))</x:f>
        <x:v>0</x:v>
      </x:c>
      <x:c r="K477" s="23" t="n">
        <x:f>MAX(0,MIN('Activities'!L477,42)-MAX('Activities'!K477,36))</x:f>
        <x:v>0</x:v>
      </x:c>
      <x:c r="L477" s="23" t="n">
        <x:f>MAX(0,MIN('Activities'!L477,48)-MAX('Activities'!K477,42))</x:f>
        <x:v>0</x:v>
      </x:c>
      <x:c r="M477" s="23" t="n">
        <x:f>MAX(0,MIN('Activities'!L477,54)-MAX('Activities'!K477,48))</x:f>
        <x:v>0</x:v>
      </x:c>
      <x:c r="N477" s="23" t="n">
        <x:f>MAX(0,MIN('Activities'!L477,60)-MAX('Activities'!K477,54))</x:f>
        <x:v>0</x:v>
      </x:c>
      <x:c r="O477" s="23" t="n">
        <x:f>MAX(0,MIN('Activities'!L477,66)-MAX('Activities'!K477,60))</x:f>
        <x:v>0</x:v>
      </x:c>
      <x:c r="P477" s="23" t="n">
        <x:f>MAX(0,MIN('Activities'!L477,72)-MAX('Activities'!K477,66))</x:f>
        <x:v>0</x:v>
      </x:c>
      <x:c r="Q477" s="23" t="n">
        <x:f>MAX(0,MIN('Activities'!L477,78)-MAX('Activities'!K477,72))</x:f>
        <x:v>0</x:v>
      </x:c>
      <x:c r="R477" s="23" t="n">
        <x:f>MAX(0,MIN('Activities'!L477,84)-MAX('Activities'!K477,78))</x:f>
        <x:v>0</x:v>
      </x:c>
      <x:c r="S477" s="23" t="n">
        <x:f>MAX(0,MIN('Activities'!L477,90)-MAX('Activities'!K477,84))</x:f>
        <x:v>0</x:v>
      </x:c>
      <x:c r="T477" s="23" t="n">
        <x:f>MAX(0,MIN('Activities'!L477,96)-MAX('Activities'!K477,90))</x:f>
        <x:v>0</x:v>
      </x:c>
      <x:c r="U477" s="23" t="n">
        <x:f>MAX(0,MIN('Activities'!L477,102)-MAX('Activities'!K477,96))</x:f>
        <x:v>0</x:v>
      </x:c>
      <x:c r="V477" s="23" t="n">
        <x:f>MAX(0,MIN('Activities'!L477,108)-MAX('Activities'!K477,102))</x:f>
        <x:v>0</x:v>
      </x:c>
      <x:c r="W477" s="23" t="n">
        <x:f>MAX(0,MIN('Activities'!L477,114)-MAX('Activities'!K477,108))</x:f>
        <x:v>0</x:v>
      </x:c>
      <x:c r="X477" s="23" t="n">
        <x:f>MAX(0,MIN('Activities'!L477,120)-MAX('Activities'!K477,114))</x:f>
        <x:v>0</x:v>
      </x:c>
      <x:c r="Y477" s="23" t="n">
        <x:f>MAX(0,MIN('Activities'!L477,126)-MAX('Activities'!K477,120))</x:f>
        <x:v>0</x:v>
      </x:c>
      <x:c r="Z477" s="23" t="n">
        <x:f>MAX(0,MIN('Activities'!L477,132)-MAX('Activities'!K477,126))</x:f>
        <x:v>0</x:v>
      </x:c>
      <x:c r="AA477" s="23" t="n">
        <x:f>MAX(0,MIN('Activities'!L477,138)-MAX('Activities'!K477,132))</x:f>
        <x:v>0</x:v>
      </x:c>
      <x:c r="AB477" s="23" t="n">
        <x:f>MAX(0,MIN('Activities'!L477,144)-MAX('Activities'!K477,138))</x:f>
        <x:v>0</x:v>
      </x:c>
      <x:c r="AC477" s="23" t="n">
        <x:f>MAX(0,MIN('Activities'!L477,150)-MAX('Activities'!K477,144))</x:f>
        <x:v>0</x:v>
      </x:c>
      <x:c r="AD477" s="23" t="n">
        <x:f>MAX(0,MIN('Activities'!L477,156)-MAX('Activities'!K477,150))</x:f>
        <x:v>0</x:v>
      </x:c>
      <x:c r="AE477" s="23" t="n">
        <x:f>MAX(0,MIN('Activities'!L477,162)-MAX('Activities'!K477,156))</x:f>
        <x:v>0</x:v>
      </x:c>
      <x:c r="AF477" s="23" t="n">
        <x:f>MAX(0,MIN('Activities'!L477,168)-MAX('Activities'!K477,162))</x:f>
        <x:v>0</x:v>
      </x:c>
      <x:c r="AG477" s="23" t="n">
        <x:f>MAX(0,MIN('Activities'!L477,174)-MAX('Activities'!K477,168))</x:f>
        <x:v>0</x:v>
      </x:c>
      <x:c r="AH477" s="23" t="n">
        <x:f>MAX(0,MIN('Activities'!L477,180)-MAX('Activities'!K477,174))</x:f>
        <x:v>0</x:v>
      </x:c>
      <x:c r="AI477" s="23" t="n">
        <x:f>MAX(0,MIN('Activities'!L477,186)-MAX('Activities'!K477,180))</x:f>
        <x:v>0</x:v>
      </x:c>
      <x:c r="AJ477" s="23" t="n">
        <x:f>MAX(0,MIN('Activities'!L477,192)-MAX('Activities'!K477,186))</x:f>
        <x:v>0</x:v>
      </x:c>
      <x:c r="AK477" s="23" t="n">
        <x:f>MAX(0,MIN('Activities'!L477,198)-MAX('Activities'!K477,192))</x:f>
        <x:v>0</x:v>
      </x:c>
      <x:c r="AL477" s="23" t="n">
        <x:f>MAX(0,MIN('Activities'!L477,204)-MAX('Activities'!K477,198))</x:f>
        <x:v>0</x:v>
      </x:c>
      <x:c r="AM477" s="23" t="n">
        <x:f>MAX(0,MIN('Activities'!L477,210)-MAX('Activities'!K477,204))</x:f>
        <x:v>0</x:v>
      </x:c>
      <x:c r="AN477" s="23" t="n">
        <x:f>MAX(0,MIN('Activities'!L477,216)-MAX('Activities'!K477,210))</x:f>
        <x:v>0</x:v>
      </x:c>
      <x:c r="AO477" s="23" t="n">
        <x:f>MAX(0,MIN('Activities'!L477,222)-MAX('Activities'!K477,216))</x:f>
        <x:v>0</x:v>
      </x:c>
      <x:c r="AP477" s="23" t="n">
        <x:f>MAX(0,MIN('Activities'!L477,228)-MAX('Activities'!K477,222))</x:f>
        <x:v>0</x:v>
      </x:c>
      <x:c r="AQ477" s="23" t="n">
        <x:f>MAX(0,MIN('Activities'!L477,234)-MAX('Activities'!K477,228))</x:f>
        <x:v>0</x:v>
      </x:c>
      <x:c r="AR477" s="23" t="n">
        <x:f>MAX(0,MIN('Activities'!L477,240)-MAX('Activities'!K477,234))</x:f>
        <x:v>0</x:v>
      </x:c>
      <x:c r="AS477" s="23" t="n">
        <x:f>MAX(0,MIN('Activities'!L477,246)-MAX('Activities'!K477,240))</x:f>
        <x:v>0</x:v>
      </x:c>
      <x:c r="AT477" s="23" t="n">
        <x:f>MAX(0,MIN('Activities'!L477,252)-MAX('Activities'!K477,246))</x:f>
        <x:v>0</x:v>
      </x:c>
      <x:c r="AU477" s="23" t="n">
        <x:f>MAX(0,MIN('Activities'!L477,258)-MAX('Activities'!K477,252))</x:f>
        <x:v>0</x:v>
      </x:c>
      <x:c r="AV477" s="23" t="n">
        <x:f>MAX(0,MIN('Activities'!L477,264)-MAX('Activities'!K477,258))</x:f>
        <x:v>0</x:v>
      </x:c>
      <x:c r="AW477" s="23" t="n">
        <x:f>MAX(0,MIN('Activities'!L477,270)-MAX('Activities'!K477,264))</x:f>
        <x:v>0</x:v>
      </x:c>
      <x:c r="AX477" s="23" t="n">
        <x:f>MAX(0,MIN('Activities'!L477,276)-MAX('Activities'!K477,270))</x:f>
        <x:v>3</x:v>
      </x:c>
      <x:c r="AY477" s="23" t="n">
        <x:f>MAX(0,MIN('Activities'!L477,282)-MAX('Activities'!K477,276))</x:f>
        <x:v>3</x:v>
      </x:c>
      <x:c r="AZ477" s="23" t="n">
        <x:f>MAX(0,MIN('Activities'!L477,288)-MAX('Activities'!K477,282))</x:f>
        <x:v>0</x:v>
      </x:c>
      <x:c r="BA477" s="23" t="n">
        <x:f>MAX(0,MIN('Activities'!L477,294)-MAX('Activities'!K477,288))</x:f>
        <x:v>0</x:v>
      </x:c>
      <x:c r="BB477" s="23" t="n">
        <x:f>MAX(0,MIN('Activities'!L477,300)-MAX('Activities'!K477,294))</x:f>
        <x:v>0</x:v>
      </x:c>
      <x:c r="BC477" s="23" t="n">
        <x:f>MAX(0,MIN('Activities'!L477,306)-MAX('Activities'!K477,300))</x:f>
        <x:v>0</x:v>
      </x:c>
      <x:c r="BD477" s="23" t="n">
        <x:f>MAX(0,MIN('Activities'!L477,312)-MAX('Activities'!K477,306))</x:f>
        <x:v>0</x:v>
      </x:c>
      <x:c r="BE477" s="23" t="n">
        <x:f>MAX(0,MIN('Activities'!L477,318)-MAX('Activities'!K477,312))</x:f>
        <x:v>0</x:v>
      </x:c>
      <x:c r="BF477" s="23" t="n">
        <x:f>MAX(0,MIN('Activities'!L477,324)-MAX('Activities'!K477,318))</x:f>
        <x:v>0</x:v>
      </x:c>
      <x:c r="BG477" s="23" t="n">
        <x:f>MAX(0,MIN('Activities'!L477,330)-MAX('Activities'!K477,324))</x:f>
        <x:v>0</x:v>
      </x:c>
      <x:c r="BH477" s="23" t="n">
        <x:f>MAX(0,MIN('Activities'!L477,336)-MAX('Activities'!K477,330))</x:f>
        <x:v>0</x:v>
      </x:c>
      <x:c r="BI477" s="23" t="n">
        <x:f>MAX(0,MIN('Activities'!L477,342)-MAX('Activities'!K477,336))</x:f>
        <x:v>0</x:v>
      </x:c>
      <x:c r="BJ477" s="23" t="n">
        <x:f>MAX(0,MIN('Activities'!L477,348)-MAX('Activities'!K477,342))</x:f>
        <x:v>0</x:v>
      </x:c>
      <x:c r="BK477" s="23" t="n">
        <x:f>MAX(0,MIN('Activities'!L477,354)-MAX('Activities'!K477,348))</x:f>
        <x:v>0</x:v>
      </x:c>
      <x:c r="BL477" s="23" t="n">
        <x:f>MAX(0,MIN('Activities'!L477,360)-MAX('Activities'!K477,354))</x:f>
        <x:v>0</x:v>
      </x:c>
      <x:c r="BM477" s="23" t="n">
        <x:f>MAX(0,MIN('Activities'!L477,366)-MAX('Activities'!K477,360))</x:f>
        <x:v>0</x:v>
      </x:c>
      <x:c r="BN477" s="23" t="n">
        <x:f>MAX(0,MIN('Activities'!L477,372)-MAX('Activities'!K477,366))</x:f>
        <x:v>0</x:v>
      </x:c>
      <x:c r="BO477" s="23" t="n">
        <x:f>MAX(0,MIN('Activities'!L477,378)-MAX('Activities'!K477,372))</x:f>
        <x:v>0</x:v>
      </x:c>
      <x:c r="BP477" s="23" t="n">
        <x:f>MAX(0,MIN('Activities'!L477,384)-MAX('Activities'!K477,378))</x:f>
        <x:v>0</x:v>
      </x:c>
      <x:c r="BQ477" s="23" t="n">
        <x:f>MAX(0,MIN('Activities'!L477,390)-MAX('Activities'!K477,384))</x:f>
        <x:v>0</x:v>
      </x:c>
      <x:c r="BR477" s="23" t="n">
        <x:f>MAX(0,MIN('Activities'!L477,396)-MAX('Activities'!K477,390))</x:f>
        <x:v>0</x:v>
      </x:c>
      <x:c r="BS477" s="23" t="n">
        <x:f>MAX(0,MIN('Activities'!L477,402)-MAX('Activities'!K477,396))</x:f>
        <x:v>0</x:v>
      </x:c>
      <x:c r="BT477" s="23" t="n">
        <x:f>MAX(0,MIN('Activities'!L477,408)-MAX('Activities'!K477,402))</x:f>
        <x:v>0</x:v>
      </x:c>
      <x:c r="BU477" s="23" t="n">
        <x:f>MAX(0,MIN('Activities'!L477,414)-MAX('Activities'!K477,408))</x:f>
        <x:v>0</x:v>
      </x:c>
      <x:c r="BV477" s="23" t="n">
        <x:f>MAX(0,MIN('Activities'!L477,420)-MAX('Activities'!K477,414))</x:f>
        <x:v>0</x:v>
      </x:c>
      <x:c r="BW477" s="23" t="n">
        <x:f>MAX(0,MIN('Activities'!L477,426)-MAX('Activities'!K477,420))</x:f>
        <x:v>0</x:v>
      </x:c>
      <x:c r="BX477" s="23" t="n">
        <x:f>MAX(0,MIN('Activities'!L477,432)-MAX('Activities'!K477,426))</x:f>
        <x:v>0</x:v>
      </x:c>
      <x:c r="BY477" s="23" t="n">
        <x:f>MAX(0,MIN('Activities'!L477,438)-MAX('Activities'!K477,432))</x:f>
        <x:v>0</x:v>
      </x:c>
      <x:c r="BZ477" s="23" t="n">
        <x:f>MAX(0,MIN('Activities'!L477,444)-MAX('Activities'!K477,438))</x:f>
        <x:v>0</x:v>
      </x:c>
      <x:c r="CA477" s="23" t="n">
        <x:f>MAX(0,MIN('Activities'!L477,450)-MAX('Activities'!K477,444))</x:f>
        <x:v>0</x:v>
      </x:c>
      <x:c r="CB477" s="23" t="n">
        <x:f>MAX(0,MIN('Activities'!L477,456)-MAX('Activities'!K477,450))</x:f>
        <x:v>0</x:v>
      </x:c>
      <x:c r="CC477" s="23" t="n">
        <x:f>MAX(0,MIN('Activities'!L477,462)-MAX('Activities'!K477,456))</x:f>
        <x:v>0</x:v>
      </x:c>
      <x:c r="CD477" s="23" t="n">
        <x:f>MAX(0,MIN('Activities'!L477,468)-MAX('Activities'!K477,462))</x:f>
        <x:v>0</x:v>
      </x:c>
      <x:c r="CE477" s="23" t="n">
        <x:f>MAX(0,MIN('Activities'!L477,474)-MAX('Activities'!K477,468))</x:f>
        <x:v>0</x:v>
      </x:c>
      <x:c r="CF477" s="23" t="n">
        <x:f>MAX(0,MIN('Activities'!L477,480)-MAX('Activities'!K477,474))</x:f>
        <x:v>0</x:v>
      </x:c>
      <x:c r="CG477" s="23" t="n">
        <x:f>MAX(0,MIN('Activities'!L477,486)-MAX('Activities'!K477,480))</x:f>
        <x:v>0</x:v>
      </x:c>
      <x:c r="CH477" s="23" t="n">
        <x:f>MAX(0,MIN('Activities'!L477,492)-MAX('Activities'!K477,486))</x:f>
        <x:v>0</x:v>
      </x:c>
      <x:c r="CI477" s="23" t="n">
        <x:f>MAX(0,MIN('Activities'!L477,498)-MAX('Activities'!K477,492))</x:f>
        <x:v>0</x:v>
      </x:c>
      <x:c r="CJ477" s="23" t="n">
        <x:f>MAX(0,MIN('Activities'!L477,504)-MAX('Activities'!K477,498))</x:f>
        <x:v>0</x:v>
      </x:c>
      <x:c r="CK477" s="23" t="n">
        <x:f>MAX(0,MIN('Activities'!L477,510)-MAX('Activities'!K477,504))</x:f>
        <x:v>0</x:v>
      </x:c>
      <x:c r="CL477" s="23" t="n">
        <x:f>MAX(0,MIN('Activities'!L477,516)-MAX('Activities'!K477,510))</x:f>
        <x:v>0</x:v>
      </x:c>
      <x:c r="CM477" s="23" t="n">
        <x:f>MAX(0,MIN('Activities'!L477,522)-MAX('Activities'!K477,516))</x:f>
        <x:v>0</x:v>
      </x:c>
      <x:c r="CN477" s="23" t="n">
        <x:f>MAX(0,MIN('Activities'!L477,528)-MAX('Activities'!K477,522))</x:f>
        <x:v>0</x:v>
      </x:c>
      <x:c r="CO477" s="23" t="n">
        <x:f>MAX(0,MIN('Activities'!L477,534)-MAX('Activities'!K477,528))</x:f>
        <x:v>0</x:v>
      </x:c>
      <x:c r="CP477" s="23" t="n">
        <x:f>MAX(0,MIN('Activities'!L477,540)-MAX('Activities'!K477,534))</x:f>
        <x:v>0</x:v>
      </x:c>
      <x:c r="CQ477" s="23" t="n">
        <x:f>MAX(0,MIN('Activities'!L477,546)-MAX('Activities'!K477,540))</x:f>
        <x:v>0</x:v>
      </x:c>
      <x:c r="CR477" s="23" t="n">
        <x:f>MAX(0,MIN('Activities'!L477,552)-MAX('Activities'!K477,546))</x:f>
        <x:v>0</x:v>
      </x:c>
      <x:c r="CS477" s="23" t="n">
        <x:f>MAX(0,MIN('Activities'!L477,558)-MAX('Activities'!K477,552))</x:f>
        <x:v>0</x:v>
      </x:c>
      <x:c r="CT477" s="23" t="n">
        <x:f>MAX(0,MIN('Activities'!L477,564)-MAX('Activities'!K477,558))</x:f>
        <x:v>0</x:v>
      </x:c>
      <x:c r="CU477" s="23" t="n">
        <x:f>MAX(0,MIN('Activities'!L477,570)-MAX('Activities'!K477,564))</x:f>
        <x:v>0</x:v>
      </x:c>
      <x:c r="CV477" s="23" t="n">
        <x:f>MAX(0,MIN('Activities'!L477,576)-MAX('Activities'!K477,570))</x:f>
        <x:v>0</x:v>
      </x:c>
      <x:c r="CW477" s="23" t="n">
        <x:f>MAX(0,MIN('Activities'!L477,582)-MAX('Activities'!K477,576))</x:f>
        <x:v>0</x:v>
      </x:c>
      <x:c r="CX477" s="23" t="n">
        <x:f>MAX(0,MIN('Activities'!L477,588)-MAX('Activities'!K477,582))</x:f>
        <x:v>0</x:v>
      </x:c>
      <x:c r="CY477" s="23" t="n">
        <x:f>MAX(0,MIN('Activities'!L477,594)-MAX('Activities'!K477,588))</x:f>
        <x:v>0</x:v>
      </x:c>
      <x:c r="CZ477" s="23" t="n">
        <x:f>MAX(0,MIN('Activities'!L477,600)-MAX('Activities'!K477,594))</x:f>
        <x:v>0</x:v>
      </x:c>
      <x:c r="DA477" s="23" t="n">
        <x:f>MAX(0,MIN('Activities'!L477,606)-MAX('Activities'!K477,600))</x:f>
        <x:v>0</x:v>
      </x:c>
      <x:c r="DB477" s="23" t="n">
        <x:f>MAX(0,MIN('Activities'!L477,612)-MAX('Activities'!K477,606))</x:f>
        <x:v>0</x:v>
      </x:c>
      <x:c r="DC477" s="23" t="n">
        <x:f>MAX(0,MIN('Activities'!L477,618)-MAX('Activities'!K477,612))</x:f>
        <x:v>0</x:v>
      </x:c>
      <x:c r="DD477" s="23" t="n">
        <x:f>MAX(0,MIN('Activities'!L477,624)-MAX('Activities'!K477,618))</x:f>
        <x:v>0</x:v>
      </x:c>
      <x:c r="DE477" s="23" t="n">
        <x:f>MAX(0,MIN('Activities'!L477,630)-MAX('Activities'!K477,624))</x:f>
        <x:v>0</x:v>
      </x:c>
      <x:c r="DF477" s="23" t="n">
        <x:f>MAX(0,MIN('Activities'!L477,636)-MAX('Activities'!K477,630))</x:f>
        <x:v>0</x:v>
      </x:c>
    </x:row>
    <x:row r="478" ht="23" customHeight="1">
      <x:c r="A478" s="6" t="str">
        <x:v>T4-L01-S</x:v>
      </x:c>
      <x:c r="B478" s="6" t="str">
        <x:v>T4</x:v>
      </x:c>
      <x:c r="C478" s="6" t="str">
        <x:v>Screed and substrate preparation</x:v>
      </x:c>
      <x:c r="D478" s="6" t="str">
        <x:v>Finishes</x:v>
      </x:c>
      <x:c r="E478" s="22" t="n">
        <x:f>MAX(0,MIN('Activities'!L478,6)-MAX('Activities'!K478,0))</x:f>
        <x:v>0</x:v>
      </x:c>
      <x:c r="F478" s="22" t="n">
        <x:f>MAX(0,MIN('Activities'!L478,12)-MAX('Activities'!K478,6))</x:f>
        <x:v>0</x:v>
      </x:c>
      <x:c r="G478" s="22" t="n">
        <x:f>MAX(0,MIN('Activities'!L478,18)-MAX('Activities'!K478,12))</x:f>
        <x:v>0</x:v>
      </x:c>
      <x:c r="H478" s="22" t="n">
        <x:f>MAX(0,MIN('Activities'!L478,24)-MAX('Activities'!K478,18))</x:f>
        <x:v>0</x:v>
      </x:c>
      <x:c r="I478" s="22" t="n">
        <x:f>MAX(0,MIN('Activities'!L478,30)-MAX('Activities'!K478,24))</x:f>
        <x:v>0</x:v>
      </x:c>
      <x:c r="J478" s="22" t="n">
        <x:f>MAX(0,MIN('Activities'!L478,36)-MAX('Activities'!K478,30))</x:f>
        <x:v>0</x:v>
      </x:c>
      <x:c r="K478" s="22" t="n">
        <x:f>MAX(0,MIN('Activities'!L478,42)-MAX('Activities'!K478,36))</x:f>
        <x:v>0</x:v>
      </x:c>
      <x:c r="L478" s="22" t="n">
        <x:f>MAX(0,MIN('Activities'!L478,48)-MAX('Activities'!K478,42))</x:f>
        <x:v>0</x:v>
      </x:c>
      <x:c r="M478" s="22" t="n">
        <x:f>MAX(0,MIN('Activities'!L478,54)-MAX('Activities'!K478,48))</x:f>
        <x:v>0</x:v>
      </x:c>
      <x:c r="N478" s="22" t="n">
        <x:f>MAX(0,MIN('Activities'!L478,60)-MAX('Activities'!K478,54))</x:f>
        <x:v>0</x:v>
      </x:c>
      <x:c r="O478" s="22" t="n">
        <x:f>MAX(0,MIN('Activities'!L478,66)-MAX('Activities'!K478,60))</x:f>
        <x:v>0</x:v>
      </x:c>
      <x:c r="P478" s="22" t="n">
        <x:f>MAX(0,MIN('Activities'!L478,72)-MAX('Activities'!K478,66))</x:f>
        <x:v>0</x:v>
      </x:c>
      <x:c r="Q478" s="22" t="n">
        <x:f>MAX(0,MIN('Activities'!L478,78)-MAX('Activities'!K478,72))</x:f>
        <x:v>0</x:v>
      </x:c>
      <x:c r="R478" s="22" t="n">
        <x:f>MAX(0,MIN('Activities'!L478,84)-MAX('Activities'!K478,78))</x:f>
        <x:v>0</x:v>
      </x:c>
      <x:c r="S478" s="22" t="n">
        <x:f>MAX(0,MIN('Activities'!L478,90)-MAX('Activities'!K478,84))</x:f>
        <x:v>0</x:v>
      </x:c>
      <x:c r="T478" s="22" t="n">
        <x:f>MAX(0,MIN('Activities'!L478,96)-MAX('Activities'!K478,90))</x:f>
        <x:v>0</x:v>
      </x:c>
      <x:c r="U478" s="22" t="n">
        <x:f>MAX(0,MIN('Activities'!L478,102)-MAX('Activities'!K478,96))</x:f>
        <x:v>0</x:v>
      </x:c>
      <x:c r="V478" s="22" t="n">
        <x:f>MAX(0,MIN('Activities'!L478,108)-MAX('Activities'!K478,102))</x:f>
        <x:v>0</x:v>
      </x:c>
      <x:c r="W478" s="22" t="n">
        <x:f>MAX(0,MIN('Activities'!L478,114)-MAX('Activities'!K478,108))</x:f>
        <x:v>0</x:v>
      </x:c>
      <x:c r="X478" s="22" t="n">
        <x:f>MAX(0,MIN('Activities'!L478,120)-MAX('Activities'!K478,114))</x:f>
        <x:v>0</x:v>
      </x:c>
      <x:c r="Y478" s="22" t="n">
        <x:f>MAX(0,MIN('Activities'!L478,126)-MAX('Activities'!K478,120))</x:f>
        <x:v>0</x:v>
      </x:c>
      <x:c r="Z478" s="22" t="n">
        <x:f>MAX(0,MIN('Activities'!L478,132)-MAX('Activities'!K478,126))</x:f>
        <x:v>0</x:v>
      </x:c>
      <x:c r="AA478" s="22" t="n">
        <x:f>MAX(0,MIN('Activities'!L478,138)-MAX('Activities'!K478,132))</x:f>
        <x:v>0</x:v>
      </x:c>
      <x:c r="AB478" s="22" t="n">
        <x:f>MAX(0,MIN('Activities'!L478,144)-MAX('Activities'!K478,138))</x:f>
        <x:v>0</x:v>
      </x:c>
      <x:c r="AC478" s="22" t="n">
        <x:f>MAX(0,MIN('Activities'!L478,150)-MAX('Activities'!K478,144))</x:f>
        <x:v>0</x:v>
      </x:c>
      <x:c r="AD478" s="22" t="n">
        <x:f>MAX(0,MIN('Activities'!L478,156)-MAX('Activities'!K478,150))</x:f>
        <x:v>0</x:v>
      </x:c>
      <x:c r="AE478" s="22" t="n">
        <x:f>MAX(0,MIN('Activities'!L478,162)-MAX('Activities'!K478,156))</x:f>
        <x:v>0</x:v>
      </x:c>
      <x:c r="AF478" s="22" t="n">
        <x:f>MAX(0,MIN('Activities'!L478,168)-MAX('Activities'!K478,162))</x:f>
        <x:v>0</x:v>
      </x:c>
      <x:c r="AG478" s="22" t="n">
        <x:f>MAX(0,MIN('Activities'!L478,174)-MAX('Activities'!K478,168))</x:f>
        <x:v>0</x:v>
      </x:c>
      <x:c r="AH478" s="22" t="n">
        <x:f>MAX(0,MIN('Activities'!L478,180)-MAX('Activities'!K478,174))</x:f>
        <x:v>0</x:v>
      </x:c>
      <x:c r="AI478" s="22" t="n">
        <x:f>MAX(0,MIN('Activities'!L478,186)-MAX('Activities'!K478,180))</x:f>
        <x:v>0</x:v>
      </x:c>
      <x:c r="AJ478" s="22" t="n">
        <x:f>MAX(0,MIN('Activities'!L478,192)-MAX('Activities'!K478,186))</x:f>
        <x:v>0</x:v>
      </x:c>
      <x:c r="AK478" s="22" t="n">
        <x:f>MAX(0,MIN('Activities'!L478,198)-MAX('Activities'!K478,192))</x:f>
        <x:v>0</x:v>
      </x:c>
      <x:c r="AL478" s="22" t="n">
        <x:f>MAX(0,MIN('Activities'!L478,204)-MAX('Activities'!K478,198))</x:f>
        <x:v>0</x:v>
      </x:c>
      <x:c r="AM478" s="22" t="n">
        <x:f>MAX(0,MIN('Activities'!L478,210)-MAX('Activities'!K478,204))</x:f>
        <x:v>0</x:v>
      </x:c>
      <x:c r="AN478" s="22" t="n">
        <x:f>MAX(0,MIN('Activities'!L478,216)-MAX('Activities'!K478,210))</x:f>
        <x:v>0</x:v>
      </x:c>
      <x:c r="AO478" s="22" t="n">
        <x:f>MAX(0,MIN('Activities'!L478,222)-MAX('Activities'!K478,216))</x:f>
        <x:v>0</x:v>
      </x:c>
      <x:c r="AP478" s="22" t="n">
        <x:f>MAX(0,MIN('Activities'!L478,228)-MAX('Activities'!K478,222))</x:f>
        <x:v>0</x:v>
      </x:c>
      <x:c r="AQ478" s="22" t="n">
        <x:f>MAX(0,MIN('Activities'!L478,234)-MAX('Activities'!K478,228))</x:f>
        <x:v>0</x:v>
      </x:c>
      <x:c r="AR478" s="22" t="n">
        <x:f>MAX(0,MIN('Activities'!L478,240)-MAX('Activities'!K478,234))</x:f>
        <x:v>0</x:v>
      </x:c>
      <x:c r="AS478" s="22" t="n">
        <x:f>MAX(0,MIN('Activities'!L478,246)-MAX('Activities'!K478,240))</x:f>
        <x:v>0</x:v>
      </x:c>
      <x:c r="AT478" s="22" t="n">
        <x:f>MAX(0,MIN('Activities'!L478,252)-MAX('Activities'!K478,246))</x:f>
        <x:v>0</x:v>
      </x:c>
      <x:c r="AU478" s="22" t="n">
        <x:f>MAX(0,MIN('Activities'!L478,258)-MAX('Activities'!K478,252))</x:f>
        <x:v>0</x:v>
      </x:c>
      <x:c r="AV478" s="22" t="n">
        <x:f>MAX(0,MIN('Activities'!L478,264)-MAX('Activities'!K478,258))</x:f>
        <x:v>0</x:v>
      </x:c>
      <x:c r="AW478" s="22" t="n">
        <x:f>MAX(0,MIN('Activities'!L478,270)-MAX('Activities'!K478,264))</x:f>
        <x:v>0</x:v>
      </x:c>
      <x:c r="AX478" s="22" t="n">
        <x:f>MAX(0,MIN('Activities'!L478,276)-MAX('Activities'!K478,270))</x:f>
        <x:v>0</x:v>
      </x:c>
      <x:c r="AY478" s="22" t="n">
        <x:f>MAX(0,MIN('Activities'!L478,282)-MAX('Activities'!K478,276))</x:f>
        <x:v>1</x:v>
      </x:c>
      <x:c r="AZ478" s="22" t="n">
        <x:f>MAX(0,MIN('Activities'!L478,288)-MAX('Activities'!K478,282))</x:f>
        <x:v>2</x:v>
      </x:c>
      <x:c r="BA478" s="22" t="n">
        <x:f>MAX(0,MIN('Activities'!L478,294)-MAX('Activities'!K478,288))</x:f>
        <x:v>0</x:v>
      </x:c>
      <x:c r="BB478" s="22" t="n">
        <x:f>MAX(0,MIN('Activities'!L478,300)-MAX('Activities'!K478,294))</x:f>
        <x:v>0</x:v>
      </x:c>
      <x:c r="BC478" s="22" t="n">
        <x:f>MAX(0,MIN('Activities'!L478,306)-MAX('Activities'!K478,300))</x:f>
        <x:v>0</x:v>
      </x:c>
      <x:c r="BD478" s="22" t="n">
        <x:f>MAX(0,MIN('Activities'!L478,312)-MAX('Activities'!K478,306))</x:f>
        <x:v>0</x:v>
      </x:c>
      <x:c r="BE478" s="22" t="n">
        <x:f>MAX(0,MIN('Activities'!L478,318)-MAX('Activities'!K478,312))</x:f>
        <x:v>0</x:v>
      </x:c>
      <x:c r="BF478" s="22" t="n">
        <x:f>MAX(0,MIN('Activities'!L478,324)-MAX('Activities'!K478,318))</x:f>
        <x:v>0</x:v>
      </x:c>
      <x:c r="BG478" s="22" t="n">
        <x:f>MAX(0,MIN('Activities'!L478,330)-MAX('Activities'!K478,324))</x:f>
        <x:v>0</x:v>
      </x:c>
      <x:c r="BH478" s="22" t="n">
        <x:f>MAX(0,MIN('Activities'!L478,336)-MAX('Activities'!K478,330))</x:f>
        <x:v>0</x:v>
      </x:c>
      <x:c r="BI478" s="22" t="n">
        <x:f>MAX(0,MIN('Activities'!L478,342)-MAX('Activities'!K478,336))</x:f>
        <x:v>0</x:v>
      </x:c>
      <x:c r="BJ478" s="22" t="n">
        <x:f>MAX(0,MIN('Activities'!L478,348)-MAX('Activities'!K478,342))</x:f>
        <x:v>0</x:v>
      </x:c>
      <x:c r="BK478" s="22" t="n">
        <x:f>MAX(0,MIN('Activities'!L478,354)-MAX('Activities'!K478,348))</x:f>
        <x:v>0</x:v>
      </x:c>
      <x:c r="BL478" s="22" t="n">
        <x:f>MAX(0,MIN('Activities'!L478,360)-MAX('Activities'!K478,354))</x:f>
        <x:v>0</x:v>
      </x:c>
      <x:c r="BM478" s="22" t="n">
        <x:f>MAX(0,MIN('Activities'!L478,366)-MAX('Activities'!K478,360))</x:f>
        <x:v>0</x:v>
      </x:c>
      <x:c r="BN478" s="22" t="n">
        <x:f>MAX(0,MIN('Activities'!L478,372)-MAX('Activities'!K478,366))</x:f>
        <x:v>0</x:v>
      </x:c>
      <x:c r="BO478" s="22" t="n">
        <x:f>MAX(0,MIN('Activities'!L478,378)-MAX('Activities'!K478,372))</x:f>
        <x:v>0</x:v>
      </x:c>
      <x:c r="BP478" s="22" t="n">
        <x:f>MAX(0,MIN('Activities'!L478,384)-MAX('Activities'!K478,378))</x:f>
        <x:v>0</x:v>
      </x:c>
      <x:c r="BQ478" s="22" t="n">
        <x:f>MAX(0,MIN('Activities'!L478,390)-MAX('Activities'!K478,384))</x:f>
        <x:v>0</x:v>
      </x:c>
      <x:c r="BR478" s="22" t="n">
        <x:f>MAX(0,MIN('Activities'!L478,396)-MAX('Activities'!K478,390))</x:f>
        <x:v>0</x:v>
      </x:c>
      <x:c r="BS478" s="22" t="n">
        <x:f>MAX(0,MIN('Activities'!L478,402)-MAX('Activities'!K478,396))</x:f>
        <x:v>0</x:v>
      </x:c>
      <x:c r="BT478" s="22" t="n">
        <x:f>MAX(0,MIN('Activities'!L478,408)-MAX('Activities'!K478,402))</x:f>
        <x:v>0</x:v>
      </x:c>
      <x:c r="BU478" s="22" t="n">
        <x:f>MAX(0,MIN('Activities'!L478,414)-MAX('Activities'!K478,408))</x:f>
        <x:v>0</x:v>
      </x:c>
      <x:c r="BV478" s="22" t="n">
        <x:f>MAX(0,MIN('Activities'!L478,420)-MAX('Activities'!K478,414))</x:f>
        <x:v>0</x:v>
      </x:c>
      <x:c r="BW478" s="22" t="n">
        <x:f>MAX(0,MIN('Activities'!L478,426)-MAX('Activities'!K478,420))</x:f>
        <x:v>0</x:v>
      </x:c>
      <x:c r="BX478" s="22" t="n">
        <x:f>MAX(0,MIN('Activities'!L478,432)-MAX('Activities'!K478,426))</x:f>
        <x:v>0</x:v>
      </x:c>
      <x:c r="BY478" s="22" t="n">
        <x:f>MAX(0,MIN('Activities'!L478,438)-MAX('Activities'!K478,432))</x:f>
        <x:v>0</x:v>
      </x:c>
      <x:c r="BZ478" s="22" t="n">
        <x:f>MAX(0,MIN('Activities'!L478,444)-MAX('Activities'!K478,438))</x:f>
        <x:v>0</x:v>
      </x:c>
      <x:c r="CA478" s="22" t="n">
        <x:f>MAX(0,MIN('Activities'!L478,450)-MAX('Activities'!K478,444))</x:f>
        <x:v>0</x:v>
      </x:c>
      <x:c r="CB478" s="22" t="n">
        <x:f>MAX(0,MIN('Activities'!L478,456)-MAX('Activities'!K478,450))</x:f>
        <x:v>0</x:v>
      </x:c>
      <x:c r="CC478" s="22" t="n">
        <x:f>MAX(0,MIN('Activities'!L478,462)-MAX('Activities'!K478,456))</x:f>
        <x:v>0</x:v>
      </x:c>
      <x:c r="CD478" s="22" t="n">
        <x:f>MAX(0,MIN('Activities'!L478,468)-MAX('Activities'!K478,462))</x:f>
        <x:v>0</x:v>
      </x:c>
      <x:c r="CE478" s="22" t="n">
        <x:f>MAX(0,MIN('Activities'!L478,474)-MAX('Activities'!K478,468))</x:f>
        <x:v>0</x:v>
      </x:c>
      <x:c r="CF478" s="22" t="n">
        <x:f>MAX(0,MIN('Activities'!L478,480)-MAX('Activities'!K478,474))</x:f>
        <x:v>0</x:v>
      </x:c>
      <x:c r="CG478" s="22" t="n">
        <x:f>MAX(0,MIN('Activities'!L478,486)-MAX('Activities'!K478,480))</x:f>
        <x:v>0</x:v>
      </x:c>
      <x:c r="CH478" s="22" t="n">
        <x:f>MAX(0,MIN('Activities'!L478,492)-MAX('Activities'!K478,486))</x:f>
        <x:v>0</x:v>
      </x:c>
      <x:c r="CI478" s="22" t="n">
        <x:f>MAX(0,MIN('Activities'!L478,498)-MAX('Activities'!K478,492))</x:f>
        <x:v>0</x:v>
      </x:c>
      <x:c r="CJ478" s="22" t="n">
        <x:f>MAX(0,MIN('Activities'!L478,504)-MAX('Activities'!K478,498))</x:f>
        <x:v>0</x:v>
      </x:c>
      <x:c r="CK478" s="22" t="n">
        <x:f>MAX(0,MIN('Activities'!L478,510)-MAX('Activities'!K478,504))</x:f>
        <x:v>0</x:v>
      </x:c>
      <x:c r="CL478" s="22" t="n">
        <x:f>MAX(0,MIN('Activities'!L478,516)-MAX('Activities'!K478,510))</x:f>
        <x:v>0</x:v>
      </x:c>
      <x:c r="CM478" s="22" t="n">
        <x:f>MAX(0,MIN('Activities'!L478,522)-MAX('Activities'!K478,516))</x:f>
        <x:v>0</x:v>
      </x:c>
      <x:c r="CN478" s="22" t="n">
        <x:f>MAX(0,MIN('Activities'!L478,528)-MAX('Activities'!K478,522))</x:f>
        <x:v>0</x:v>
      </x:c>
      <x:c r="CO478" s="22" t="n">
        <x:f>MAX(0,MIN('Activities'!L478,534)-MAX('Activities'!K478,528))</x:f>
        <x:v>0</x:v>
      </x:c>
      <x:c r="CP478" s="22" t="n">
        <x:f>MAX(0,MIN('Activities'!L478,540)-MAX('Activities'!K478,534))</x:f>
        <x:v>0</x:v>
      </x:c>
      <x:c r="CQ478" s="22" t="n">
        <x:f>MAX(0,MIN('Activities'!L478,546)-MAX('Activities'!K478,540))</x:f>
        <x:v>0</x:v>
      </x:c>
      <x:c r="CR478" s="22" t="n">
        <x:f>MAX(0,MIN('Activities'!L478,552)-MAX('Activities'!K478,546))</x:f>
        <x:v>0</x:v>
      </x:c>
      <x:c r="CS478" s="22" t="n">
        <x:f>MAX(0,MIN('Activities'!L478,558)-MAX('Activities'!K478,552))</x:f>
        <x:v>0</x:v>
      </x:c>
      <x:c r="CT478" s="22" t="n">
        <x:f>MAX(0,MIN('Activities'!L478,564)-MAX('Activities'!K478,558))</x:f>
        <x:v>0</x:v>
      </x:c>
      <x:c r="CU478" s="22" t="n">
        <x:f>MAX(0,MIN('Activities'!L478,570)-MAX('Activities'!K478,564))</x:f>
        <x:v>0</x:v>
      </x:c>
      <x:c r="CV478" s="22" t="n">
        <x:f>MAX(0,MIN('Activities'!L478,576)-MAX('Activities'!K478,570))</x:f>
        <x:v>0</x:v>
      </x:c>
      <x:c r="CW478" s="22" t="n">
        <x:f>MAX(0,MIN('Activities'!L478,582)-MAX('Activities'!K478,576))</x:f>
        <x:v>0</x:v>
      </x:c>
      <x:c r="CX478" s="22" t="n">
        <x:f>MAX(0,MIN('Activities'!L478,588)-MAX('Activities'!K478,582))</x:f>
        <x:v>0</x:v>
      </x:c>
      <x:c r="CY478" s="22" t="n">
        <x:f>MAX(0,MIN('Activities'!L478,594)-MAX('Activities'!K478,588))</x:f>
        <x:v>0</x:v>
      </x:c>
      <x:c r="CZ478" s="22" t="n">
        <x:f>MAX(0,MIN('Activities'!L478,600)-MAX('Activities'!K478,594))</x:f>
        <x:v>0</x:v>
      </x:c>
      <x:c r="DA478" s="22" t="n">
        <x:f>MAX(0,MIN('Activities'!L478,606)-MAX('Activities'!K478,600))</x:f>
        <x:v>0</x:v>
      </x:c>
      <x:c r="DB478" s="22" t="n">
        <x:f>MAX(0,MIN('Activities'!L478,612)-MAX('Activities'!K478,606))</x:f>
        <x:v>0</x:v>
      </x:c>
      <x:c r="DC478" s="22" t="n">
        <x:f>MAX(0,MIN('Activities'!L478,618)-MAX('Activities'!K478,612))</x:f>
        <x:v>0</x:v>
      </x:c>
      <x:c r="DD478" s="22" t="n">
        <x:f>MAX(0,MIN('Activities'!L478,624)-MAX('Activities'!K478,618))</x:f>
        <x:v>0</x:v>
      </x:c>
      <x:c r="DE478" s="22" t="n">
        <x:f>MAX(0,MIN('Activities'!L478,630)-MAX('Activities'!K478,624))</x:f>
        <x:v>0</x:v>
      </x:c>
      <x:c r="DF478" s="22" t="n">
        <x:f>MAX(0,MIN('Activities'!L478,636)-MAX('Activities'!K478,630))</x:f>
        <x:v>0</x:v>
      </x:c>
    </x:row>
    <x:row r="479" ht="23" customHeight="1">
      <x:c r="A479" s="1" t="str">
        <x:v>T4-L01-T</x:v>
      </x:c>
      <x:c r="B479" s="1" t="str">
        <x:v>T4</x:v>
      </x:c>
      <x:c r="C479" s="1" t="str">
        <x:v>Floor finishes and skirtings</x:v>
      </x:c>
      <x:c r="D479" s="1" t="str">
        <x:v>Finishes</x:v>
      </x:c>
      <x:c r="E479" s="23" t="n">
        <x:f>MAX(0,MIN('Activities'!L479,6)-MAX('Activities'!K479,0))</x:f>
        <x:v>0</x:v>
      </x:c>
      <x:c r="F479" s="23" t="n">
        <x:f>MAX(0,MIN('Activities'!L479,12)-MAX('Activities'!K479,6))</x:f>
        <x:v>0</x:v>
      </x:c>
      <x:c r="G479" s="23" t="n">
        <x:f>MAX(0,MIN('Activities'!L479,18)-MAX('Activities'!K479,12))</x:f>
        <x:v>0</x:v>
      </x:c>
      <x:c r="H479" s="23" t="n">
        <x:f>MAX(0,MIN('Activities'!L479,24)-MAX('Activities'!K479,18))</x:f>
        <x:v>0</x:v>
      </x:c>
      <x:c r="I479" s="23" t="n">
        <x:f>MAX(0,MIN('Activities'!L479,30)-MAX('Activities'!K479,24))</x:f>
        <x:v>0</x:v>
      </x:c>
      <x:c r="J479" s="23" t="n">
        <x:f>MAX(0,MIN('Activities'!L479,36)-MAX('Activities'!K479,30))</x:f>
        <x:v>0</x:v>
      </x:c>
      <x:c r="K479" s="23" t="n">
        <x:f>MAX(0,MIN('Activities'!L479,42)-MAX('Activities'!K479,36))</x:f>
        <x:v>0</x:v>
      </x:c>
      <x:c r="L479" s="23" t="n">
        <x:f>MAX(0,MIN('Activities'!L479,48)-MAX('Activities'!K479,42))</x:f>
        <x:v>0</x:v>
      </x:c>
      <x:c r="M479" s="23" t="n">
        <x:f>MAX(0,MIN('Activities'!L479,54)-MAX('Activities'!K479,48))</x:f>
        <x:v>0</x:v>
      </x:c>
      <x:c r="N479" s="23" t="n">
        <x:f>MAX(0,MIN('Activities'!L479,60)-MAX('Activities'!K479,54))</x:f>
        <x:v>0</x:v>
      </x:c>
      <x:c r="O479" s="23" t="n">
        <x:f>MAX(0,MIN('Activities'!L479,66)-MAX('Activities'!K479,60))</x:f>
        <x:v>0</x:v>
      </x:c>
      <x:c r="P479" s="23" t="n">
        <x:f>MAX(0,MIN('Activities'!L479,72)-MAX('Activities'!K479,66))</x:f>
        <x:v>0</x:v>
      </x:c>
      <x:c r="Q479" s="23" t="n">
        <x:f>MAX(0,MIN('Activities'!L479,78)-MAX('Activities'!K479,72))</x:f>
        <x:v>0</x:v>
      </x:c>
      <x:c r="R479" s="23" t="n">
        <x:f>MAX(0,MIN('Activities'!L479,84)-MAX('Activities'!K479,78))</x:f>
        <x:v>0</x:v>
      </x:c>
      <x:c r="S479" s="23" t="n">
        <x:f>MAX(0,MIN('Activities'!L479,90)-MAX('Activities'!K479,84))</x:f>
        <x:v>0</x:v>
      </x:c>
      <x:c r="T479" s="23" t="n">
        <x:f>MAX(0,MIN('Activities'!L479,96)-MAX('Activities'!K479,90))</x:f>
        <x:v>0</x:v>
      </x:c>
      <x:c r="U479" s="23" t="n">
        <x:f>MAX(0,MIN('Activities'!L479,102)-MAX('Activities'!K479,96))</x:f>
        <x:v>0</x:v>
      </x:c>
      <x:c r="V479" s="23" t="n">
        <x:f>MAX(0,MIN('Activities'!L479,108)-MAX('Activities'!K479,102))</x:f>
        <x:v>0</x:v>
      </x:c>
      <x:c r="W479" s="23" t="n">
        <x:f>MAX(0,MIN('Activities'!L479,114)-MAX('Activities'!K479,108))</x:f>
        <x:v>0</x:v>
      </x:c>
      <x:c r="X479" s="23" t="n">
        <x:f>MAX(0,MIN('Activities'!L479,120)-MAX('Activities'!K479,114))</x:f>
        <x:v>0</x:v>
      </x:c>
      <x:c r="Y479" s="23" t="n">
        <x:f>MAX(0,MIN('Activities'!L479,126)-MAX('Activities'!K479,120))</x:f>
        <x:v>0</x:v>
      </x:c>
      <x:c r="Z479" s="23" t="n">
        <x:f>MAX(0,MIN('Activities'!L479,132)-MAX('Activities'!K479,126))</x:f>
        <x:v>0</x:v>
      </x:c>
      <x:c r="AA479" s="23" t="n">
        <x:f>MAX(0,MIN('Activities'!L479,138)-MAX('Activities'!K479,132))</x:f>
        <x:v>0</x:v>
      </x:c>
      <x:c r="AB479" s="23" t="n">
        <x:f>MAX(0,MIN('Activities'!L479,144)-MAX('Activities'!K479,138))</x:f>
        <x:v>0</x:v>
      </x:c>
      <x:c r="AC479" s="23" t="n">
        <x:f>MAX(0,MIN('Activities'!L479,150)-MAX('Activities'!K479,144))</x:f>
        <x:v>0</x:v>
      </x:c>
      <x:c r="AD479" s="23" t="n">
        <x:f>MAX(0,MIN('Activities'!L479,156)-MAX('Activities'!K479,150))</x:f>
        <x:v>0</x:v>
      </x:c>
      <x:c r="AE479" s="23" t="n">
        <x:f>MAX(0,MIN('Activities'!L479,162)-MAX('Activities'!K479,156))</x:f>
        <x:v>0</x:v>
      </x:c>
      <x:c r="AF479" s="23" t="n">
        <x:f>MAX(0,MIN('Activities'!L479,168)-MAX('Activities'!K479,162))</x:f>
        <x:v>0</x:v>
      </x:c>
      <x:c r="AG479" s="23" t="n">
        <x:f>MAX(0,MIN('Activities'!L479,174)-MAX('Activities'!K479,168))</x:f>
        <x:v>0</x:v>
      </x:c>
      <x:c r="AH479" s="23" t="n">
        <x:f>MAX(0,MIN('Activities'!L479,180)-MAX('Activities'!K479,174))</x:f>
        <x:v>0</x:v>
      </x:c>
      <x:c r="AI479" s="23" t="n">
        <x:f>MAX(0,MIN('Activities'!L479,186)-MAX('Activities'!K479,180))</x:f>
        <x:v>0</x:v>
      </x:c>
      <x:c r="AJ479" s="23" t="n">
        <x:f>MAX(0,MIN('Activities'!L479,192)-MAX('Activities'!K479,186))</x:f>
        <x:v>0</x:v>
      </x:c>
      <x:c r="AK479" s="23" t="n">
        <x:f>MAX(0,MIN('Activities'!L479,198)-MAX('Activities'!K479,192))</x:f>
        <x:v>0</x:v>
      </x:c>
      <x:c r="AL479" s="23" t="n">
        <x:f>MAX(0,MIN('Activities'!L479,204)-MAX('Activities'!K479,198))</x:f>
        <x:v>0</x:v>
      </x:c>
      <x:c r="AM479" s="23" t="n">
        <x:f>MAX(0,MIN('Activities'!L479,210)-MAX('Activities'!K479,204))</x:f>
        <x:v>0</x:v>
      </x:c>
      <x:c r="AN479" s="23" t="n">
        <x:f>MAX(0,MIN('Activities'!L479,216)-MAX('Activities'!K479,210))</x:f>
        <x:v>0</x:v>
      </x:c>
      <x:c r="AO479" s="23" t="n">
        <x:f>MAX(0,MIN('Activities'!L479,222)-MAX('Activities'!K479,216))</x:f>
        <x:v>0</x:v>
      </x:c>
      <x:c r="AP479" s="23" t="n">
        <x:f>MAX(0,MIN('Activities'!L479,228)-MAX('Activities'!K479,222))</x:f>
        <x:v>0</x:v>
      </x:c>
      <x:c r="AQ479" s="23" t="n">
        <x:f>MAX(0,MIN('Activities'!L479,234)-MAX('Activities'!K479,228))</x:f>
        <x:v>0</x:v>
      </x:c>
      <x:c r="AR479" s="23" t="n">
        <x:f>MAX(0,MIN('Activities'!L479,240)-MAX('Activities'!K479,234))</x:f>
        <x:v>0</x:v>
      </x:c>
      <x:c r="AS479" s="23" t="n">
        <x:f>MAX(0,MIN('Activities'!L479,246)-MAX('Activities'!K479,240))</x:f>
        <x:v>0</x:v>
      </x:c>
      <x:c r="AT479" s="23" t="n">
        <x:f>MAX(0,MIN('Activities'!L479,252)-MAX('Activities'!K479,246))</x:f>
        <x:v>0</x:v>
      </x:c>
      <x:c r="AU479" s="23" t="n">
        <x:f>MAX(0,MIN('Activities'!L479,258)-MAX('Activities'!K479,252))</x:f>
        <x:v>0</x:v>
      </x:c>
      <x:c r="AV479" s="23" t="n">
        <x:f>MAX(0,MIN('Activities'!L479,264)-MAX('Activities'!K479,258))</x:f>
        <x:v>0</x:v>
      </x:c>
      <x:c r="AW479" s="23" t="n">
        <x:f>MAX(0,MIN('Activities'!L479,270)-MAX('Activities'!K479,264))</x:f>
        <x:v>0</x:v>
      </x:c>
      <x:c r="AX479" s="23" t="n">
        <x:f>MAX(0,MIN('Activities'!L479,276)-MAX('Activities'!K479,270))</x:f>
        <x:v>0</x:v>
      </x:c>
      <x:c r="AY479" s="23" t="n">
        <x:f>MAX(0,MIN('Activities'!L479,282)-MAX('Activities'!K479,276))</x:f>
        <x:v>0</x:v>
      </x:c>
      <x:c r="AZ479" s="23" t="n">
        <x:f>MAX(0,MIN('Activities'!L479,288)-MAX('Activities'!K479,282))</x:f>
        <x:v>0</x:v>
      </x:c>
      <x:c r="BA479" s="23" t="n">
        <x:f>MAX(0,MIN('Activities'!L479,294)-MAX('Activities'!K479,288))</x:f>
        <x:v>0</x:v>
      </x:c>
      <x:c r="BB479" s="23" t="n">
        <x:f>MAX(0,MIN('Activities'!L479,300)-MAX('Activities'!K479,294))</x:f>
        <x:v>0</x:v>
      </x:c>
      <x:c r="BC479" s="23" t="n">
        <x:f>MAX(0,MIN('Activities'!L479,306)-MAX('Activities'!K479,300))</x:f>
        <x:v>0</x:v>
      </x:c>
      <x:c r="BD479" s="23" t="n">
        <x:f>MAX(0,MIN('Activities'!L479,312)-MAX('Activities'!K479,306))</x:f>
        <x:v>0</x:v>
      </x:c>
      <x:c r="BE479" s="23" t="n">
        <x:f>MAX(0,MIN('Activities'!L479,318)-MAX('Activities'!K479,312))</x:f>
        <x:v>0</x:v>
      </x:c>
      <x:c r="BF479" s="23" t="n">
        <x:f>MAX(0,MIN('Activities'!L479,324)-MAX('Activities'!K479,318))</x:f>
        <x:v>0</x:v>
      </x:c>
      <x:c r="BG479" s="23" t="n">
        <x:f>MAX(0,MIN('Activities'!L479,330)-MAX('Activities'!K479,324))</x:f>
        <x:v>0</x:v>
      </x:c>
      <x:c r="BH479" s="23" t="n">
        <x:f>MAX(0,MIN('Activities'!L479,336)-MAX('Activities'!K479,330))</x:f>
        <x:v>0</x:v>
      </x:c>
      <x:c r="BI479" s="23" t="n">
        <x:f>MAX(0,MIN('Activities'!L479,342)-MAX('Activities'!K479,336))</x:f>
        <x:v>0</x:v>
      </x:c>
      <x:c r="BJ479" s="23" t="n">
        <x:f>MAX(0,MIN('Activities'!L479,348)-MAX('Activities'!K479,342))</x:f>
        <x:v>0</x:v>
      </x:c>
      <x:c r="BK479" s="23" t="n">
        <x:f>MAX(0,MIN('Activities'!L479,354)-MAX('Activities'!K479,348))</x:f>
        <x:v>0</x:v>
      </x:c>
      <x:c r="BL479" s="23" t="n">
        <x:f>MAX(0,MIN('Activities'!L479,360)-MAX('Activities'!K479,354))</x:f>
        <x:v>0</x:v>
      </x:c>
      <x:c r="BM479" s="23" t="n">
        <x:f>MAX(0,MIN('Activities'!L479,366)-MAX('Activities'!K479,360))</x:f>
        <x:v>0</x:v>
      </x:c>
      <x:c r="BN479" s="23" t="n">
        <x:f>MAX(0,MIN('Activities'!L479,372)-MAX('Activities'!K479,366))</x:f>
        <x:v>0</x:v>
      </x:c>
      <x:c r="BO479" s="23" t="n">
        <x:f>MAX(0,MIN('Activities'!L479,378)-MAX('Activities'!K479,372))</x:f>
        <x:v>0</x:v>
      </x:c>
      <x:c r="BP479" s="23" t="n">
        <x:f>MAX(0,MIN('Activities'!L479,384)-MAX('Activities'!K479,378))</x:f>
        <x:v>0</x:v>
      </x:c>
      <x:c r="BQ479" s="23" t="n">
        <x:f>MAX(0,MIN('Activities'!L479,390)-MAX('Activities'!K479,384))</x:f>
        <x:v>0</x:v>
      </x:c>
      <x:c r="BR479" s="23" t="n">
        <x:f>MAX(0,MIN('Activities'!L479,396)-MAX('Activities'!K479,390))</x:f>
        <x:v>0</x:v>
      </x:c>
      <x:c r="BS479" s="23" t="n">
        <x:f>MAX(0,MIN('Activities'!L479,402)-MAX('Activities'!K479,396))</x:f>
        <x:v>0</x:v>
      </x:c>
      <x:c r="BT479" s="23" t="n">
        <x:f>MAX(0,MIN('Activities'!L479,408)-MAX('Activities'!K479,402))</x:f>
        <x:v>0</x:v>
      </x:c>
      <x:c r="BU479" s="23" t="n">
        <x:f>MAX(0,MIN('Activities'!L479,414)-MAX('Activities'!K479,408))</x:f>
        <x:v>0</x:v>
      </x:c>
      <x:c r="BV479" s="23" t="n">
        <x:f>MAX(0,MIN('Activities'!L479,420)-MAX('Activities'!K479,414))</x:f>
        <x:v>0</x:v>
      </x:c>
      <x:c r="BW479" s="23" t="n">
        <x:f>MAX(0,MIN('Activities'!L479,426)-MAX('Activities'!K479,420))</x:f>
        <x:v>0</x:v>
      </x:c>
      <x:c r="BX479" s="23" t="n">
        <x:f>MAX(0,MIN('Activities'!L479,432)-MAX('Activities'!K479,426))</x:f>
        <x:v>0</x:v>
      </x:c>
      <x:c r="BY479" s="23" t="n">
        <x:f>MAX(0,MIN('Activities'!L479,438)-MAX('Activities'!K479,432))</x:f>
        <x:v>1</x:v>
      </x:c>
      <x:c r="BZ479" s="23" t="n">
        <x:f>MAX(0,MIN('Activities'!L479,444)-MAX('Activities'!K479,438))</x:f>
        <x:v>5</x:v>
      </x:c>
      <x:c r="CA479" s="23" t="n">
        <x:f>MAX(0,MIN('Activities'!L479,450)-MAX('Activities'!K479,444))</x:f>
        <x:v>0</x:v>
      </x:c>
      <x:c r="CB479" s="23" t="n">
        <x:f>MAX(0,MIN('Activities'!L479,456)-MAX('Activities'!K479,450))</x:f>
        <x:v>0</x:v>
      </x:c>
      <x:c r="CC479" s="23" t="n">
        <x:f>MAX(0,MIN('Activities'!L479,462)-MAX('Activities'!K479,456))</x:f>
        <x:v>0</x:v>
      </x:c>
      <x:c r="CD479" s="23" t="n">
        <x:f>MAX(0,MIN('Activities'!L479,468)-MAX('Activities'!K479,462))</x:f>
        <x:v>0</x:v>
      </x:c>
      <x:c r="CE479" s="23" t="n">
        <x:f>MAX(0,MIN('Activities'!L479,474)-MAX('Activities'!K479,468))</x:f>
        <x:v>0</x:v>
      </x:c>
      <x:c r="CF479" s="23" t="n">
        <x:f>MAX(0,MIN('Activities'!L479,480)-MAX('Activities'!K479,474))</x:f>
        <x:v>0</x:v>
      </x:c>
      <x:c r="CG479" s="23" t="n">
        <x:f>MAX(0,MIN('Activities'!L479,486)-MAX('Activities'!K479,480))</x:f>
        <x:v>0</x:v>
      </x:c>
      <x:c r="CH479" s="23" t="n">
        <x:f>MAX(0,MIN('Activities'!L479,492)-MAX('Activities'!K479,486))</x:f>
        <x:v>0</x:v>
      </x:c>
      <x:c r="CI479" s="23" t="n">
        <x:f>MAX(0,MIN('Activities'!L479,498)-MAX('Activities'!K479,492))</x:f>
        <x:v>0</x:v>
      </x:c>
      <x:c r="CJ479" s="23" t="n">
        <x:f>MAX(0,MIN('Activities'!L479,504)-MAX('Activities'!K479,498))</x:f>
        <x:v>0</x:v>
      </x:c>
      <x:c r="CK479" s="23" t="n">
        <x:f>MAX(0,MIN('Activities'!L479,510)-MAX('Activities'!K479,504))</x:f>
        <x:v>0</x:v>
      </x:c>
      <x:c r="CL479" s="23" t="n">
        <x:f>MAX(0,MIN('Activities'!L479,516)-MAX('Activities'!K479,510))</x:f>
        <x:v>0</x:v>
      </x:c>
      <x:c r="CM479" s="23" t="n">
        <x:f>MAX(0,MIN('Activities'!L479,522)-MAX('Activities'!K479,516))</x:f>
        <x:v>0</x:v>
      </x:c>
      <x:c r="CN479" s="23" t="n">
        <x:f>MAX(0,MIN('Activities'!L479,528)-MAX('Activities'!K479,522))</x:f>
        <x:v>0</x:v>
      </x:c>
      <x:c r="CO479" s="23" t="n">
        <x:f>MAX(0,MIN('Activities'!L479,534)-MAX('Activities'!K479,528))</x:f>
        <x:v>0</x:v>
      </x:c>
      <x:c r="CP479" s="23" t="n">
        <x:f>MAX(0,MIN('Activities'!L479,540)-MAX('Activities'!K479,534))</x:f>
        <x:v>0</x:v>
      </x:c>
      <x:c r="CQ479" s="23" t="n">
        <x:f>MAX(0,MIN('Activities'!L479,546)-MAX('Activities'!K479,540))</x:f>
        <x:v>0</x:v>
      </x:c>
      <x:c r="CR479" s="23" t="n">
        <x:f>MAX(0,MIN('Activities'!L479,552)-MAX('Activities'!K479,546))</x:f>
        <x:v>0</x:v>
      </x:c>
      <x:c r="CS479" s="23" t="n">
        <x:f>MAX(0,MIN('Activities'!L479,558)-MAX('Activities'!K479,552))</x:f>
        <x:v>0</x:v>
      </x:c>
      <x:c r="CT479" s="23" t="n">
        <x:f>MAX(0,MIN('Activities'!L479,564)-MAX('Activities'!K479,558))</x:f>
        <x:v>0</x:v>
      </x:c>
      <x:c r="CU479" s="23" t="n">
        <x:f>MAX(0,MIN('Activities'!L479,570)-MAX('Activities'!K479,564))</x:f>
        <x:v>0</x:v>
      </x:c>
      <x:c r="CV479" s="23" t="n">
        <x:f>MAX(0,MIN('Activities'!L479,576)-MAX('Activities'!K479,570))</x:f>
        <x:v>0</x:v>
      </x:c>
      <x:c r="CW479" s="23" t="n">
        <x:f>MAX(0,MIN('Activities'!L479,582)-MAX('Activities'!K479,576))</x:f>
        <x:v>0</x:v>
      </x:c>
      <x:c r="CX479" s="23" t="n">
        <x:f>MAX(0,MIN('Activities'!L479,588)-MAX('Activities'!K479,582))</x:f>
        <x:v>0</x:v>
      </x:c>
      <x:c r="CY479" s="23" t="n">
        <x:f>MAX(0,MIN('Activities'!L479,594)-MAX('Activities'!K479,588))</x:f>
        <x:v>0</x:v>
      </x:c>
      <x:c r="CZ479" s="23" t="n">
        <x:f>MAX(0,MIN('Activities'!L479,600)-MAX('Activities'!K479,594))</x:f>
        <x:v>0</x:v>
      </x:c>
      <x:c r="DA479" s="23" t="n">
        <x:f>MAX(0,MIN('Activities'!L479,606)-MAX('Activities'!K479,600))</x:f>
        <x:v>0</x:v>
      </x:c>
      <x:c r="DB479" s="23" t="n">
        <x:f>MAX(0,MIN('Activities'!L479,612)-MAX('Activities'!K479,606))</x:f>
        <x:v>0</x:v>
      </x:c>
      <x:c r="DC479" s="23" t="n">
        <x:f>MAX(0,MIN('Activities'!L479,618)-MAX('Activities'!K479,612))</x:f>
        <x:v>0</x:v>
      </x:c>
      <x:c r="DD479" s="23" t="n">
        <x:f>MAX(0,MIN('Activities'!L479,624)-MAX('Activities'!K479,618))</x:f>
        <x:v>0</x:v>
      </x:c>
      <x:c r="DE479" s="23" t="n">
        <x:f>MAX(0,MIN('Activities'!L479,630)-MAX('Activities'!K479,624))</x:f>
        <x:v>0</x:v>
      </x:c>
      <x:c r="DF479" s="23" t="n">
        <x:f>MAX(0,MIN('Activities'!L479,636)-MAX('Activities'!K479,630))</x:f>
        <x:v>0</x:v>
      </x:c>
    </x:row>
    <x:row r="480" ht="23" customHeight="1">
      <x:c r="A480" s="6" t="str">
        <x:v>T4-L01-A</x:v>
      </x:c>
      <x:c r="B480" s="6" t="str">
        <x:v>T4</x:v>
      </x:c>
      <x:c r="C480" s="6" t="str">
        <x:v>Paint and final decorations</x:v>
      </x:c>
      <x:c r="D480" s="6" t="str">
        <x:v>Finishes</x:v>
      </x:c>
      <x:c r="E480" s="22" t="n">
        <x:f>MAX(0,MIN('Activities'!L480,6)-MAX('Activities'!K480,0))</x:f>
        <x:v>0</x:v>
      </x:c>
      <x:c r="F480" s="22" t="n">
        <x:f>MAX(0,MIN('Activities'!L480,12)-MAX('Activities'!K480,6))</x:f>
        <x:v>0</x:v>
      </x:c>
      <x:c r="G480" s="22" t="n">
        <x:f>MAX(0,MIN('Activities'!L480,18)-MAX('Activities'!K480,12))</x:f>
        <x:v>0</x:v>
      </x:c>
      <x:c r="H480" s="22" t="n">
        <x:f>MAX(0,MIN('Activities'!L480,24)-MAX('Activities'!K480,18))</x:f>
        <x:v>0</x:v>
      </x:c>
      <x:c r="I480" s="22" t="n">
        <x:f>MAX(0,MIN('Activities'!L480,30)-MAX('Activities'!K480,24))</x:f>
        <x:v>0</x:v>
      </x:c>
      <x:c r="J480" s="22" t="n">
        <x:f>MAX(0,MIN('Activities'!L480,36)-MAX('Activities'!K480,30))</x:f>
        <x:v>0</x:v>
      </x:c>
      <x:c r="K480" s="22" t="n">
        <x:f>MAX(0,MIN('Activities'!L480,42)-MAX('Activities'!K480,36))</x:f>
        <x:v>0</x:v>
      </x:c>
      <x:c r="L480" s="22" t="n">
        <x:f>MAX(0,MIN('Activities'!L480,48)-MAX('Activities'!K480,42))</x:f>
        <x:v>0</x:v>
      </x:c>
      <x:c r="M480" s="22" t="n">
        <x:f>MAX(0,MIN('Activities'!L480,54)-MAX('Activities'!K480,48))</x:f>
        <x:v>0</x:v>
      </x:c>
      <x:c r="N480" s="22" t="n">
        <x:f>MAX(0,MIN('Activities'!L480,60)-MAX('Activities'!K480,54))</x:f>
        <x:v>0</x:v>
      </x:c>
      <x:c r="O480" s="22" t="n">
        <x:f>MAX(0,MIN('Activities'!L480,66)-MAX('Activities'!K480,60))</x:f>
        <x:v>0</x:v>
      </x:c>
      <x:c r="P480" s="22" t="n">
        <x:f>MAX(0,MIN('Activities'!L480,72)-MAX('Activities'!K480,66))</x:f>
        <x:v>0</x:v>
      </x:c>
      <x:c r="Q480" s="22" t="n">
        <x:f>MAX(0,MIN('Activities'!L480,78)-MAX('Activities'!K480,72))</x:f>
        <x:v>0</x:v>
      </x:c>
      <x:c r="R480" s="22" t="n">
        <x:f>MAX(0,MIN('Activities'!L480,84)-MAX('Activities'!K480,78))</x:f>
        <x:v>0</x:v>
      </x:c>
      <x:c r="S480" s="22" t="n">
        <x:f>MAX(0,MIN('Activities'!L480,90)-MAX('Activities'!K480,84))</x:f>
        <x:v>0</x:v>
      </x:c>
      <x:c r="T480" s="22" t="n">
        <x:f>MAX(0,MIN('Activities'!L480,96)-MAX('Activities'!K480,90))</x:f>
        <x:v>0</x:v>
      </x:c>
      <x:c r="U480" s="22" t="n">
        <x:f>MAX(0,MIN('Activities'!L480,102)-MAX('Activities'!K480,96))</x:f>
        <x:v>0</x:v>
      </x:c>
      <x:c r="V480" s="22" t="n">
        <x:f>MAX(0,MIN('Activities'!L480,108)-MAX('Activities'!K480,102))</x:f>
        <x:v>0</x:v>
      </x:c>
      <x:c r="W480" s="22" t="n">
        <x:f>MAX(0,MIN('Activities'!L480,114)-MAX('Activities'!K480,108))</x:f>
        <x:v>0</x:v>
      </x:c>
      <x:c r="X480" s="22" t="n">
        <x:f>MAX(0,MIN('Activities'!L480,120)-MAX('Activities'!K480,114))</x:f>
        <x:v>0</x:v>
      </x:c>
      <x:c r="Y480" s="22" t="n">
        <x:f>MAX(0,MIN('Activities'!L480,126)-MAX('Activities'!K480,120))</x:f>
        <x:v>0</x:v>
      </x:c>
      <x:c r="Z480" s="22" t="n">
        <x:f>MAX(0,MIN('Activities'!L480,132)-MAX('Activities'!K480,126))</x:f>
        <x:v>0</x:v>
      </x:c>
      <x:c r="AA480" s="22" t="n">
        <x:f>MAX(0,MIN('Activities'!L480,138)-MAX('Activities'!K480,132))</x:f>
        <x:v>0</x:v>
      </x:c>
      <x:c r="AB480" s="22" t="n">
        <x:f>MAX(0,MIN('Activities'!L480,144)-MAX('Activities'!K480,138))</x:f>
        <x:v>0</x:v>
      </x:c>
      <x:c r="AC480" s="22" t="n">
        <x:f>MAX(0,MIN('Activities'!L480,150)-MAX('Activities'!K480,144))</x:f>
        <x:v>0</x:v>
      </x:c>
      <x:c r="AD480" s="22" t="n">
        <x:f>MAX(0,MIN('Activities'!L480,156)-MAX('Activities'!K480,150))</x:f>
        <x:v>0</x:v>
      </x:c>
      <x:c r="AE480" s="22" t="n">
        <x:f>MAX(0,MIN('Activities'!L480,162)-MAX('Activities'!K480,156))</x:f>
        <x:v>0</x:v>
      </x:c>
      <x:c r="AF480" s="22" t="n">
        <x:f>MAX(0,MIN('Activities'!L480,168)-MAX('Activities'!K480,162))</x:f>
        <x:v>0</x:v>
      </x:c>
      <x:c r="AG480" s="22" t="n">
        <x:f>MAX(0,MIN('Activities'!L480,174)-MAX('Activities'!K480,168))</x:f>
        <x:v>0</x:v>
      </x:c>
      <x:c r="AH480" s="22" t="n">
        <x:f>MAX(0,MIN('Activities'!L480,180)-MAX('Activities'!K480,174))</x:f>
        <x:v>0</x:v>
      </x:c>
      <x:c r="AI480" s="22" t="n">
        <x:f>MAX(0,MIN('Activities'!L480,186)-MAX('Activities'!K480,180))</x:f>
        <x:v>0</x:v>
      </x:c>
      <x:c r="AJ480" s="22" t="n">
        <x:f>MAX(0,MIN('Activities'!L480,192)-MAX('Activities'!K480,186))</x:f>
        <x:v>0</x:v>
      </x:c>
      <x:c r="AK480" s="22" t="n">
        <x:f>MAX(0,MIN('Activities'!L480,198)-MAX('Activities'!K480,192))</x:f>
        <x:v>0</x:v>
      </x:c>
      <x:c r="AL480" s="22" t="n">
        <x:f>MAX(0,MIN('Activities'!L480,204)-MAX('Activities'!K480,198))</x:f>
        <x:v>0</x:v>
      </x:c>
      <x:c r="AM480" s="22" t="n">
        <x:f>MAX(0,MIN('Activities'!L480,210)-MAX('Activities'!K480,204))</x:f>
        <x:v>0</x:v>
      </x:c>
      <x:c r="AN480" s="22" t="n">
        <x:f>MAX(0,MIN('Activities'!L480,216)-MAX('Activities'!K480,210))</x:f>
        <x:v>0</x:v>
      </x:c>
      <x:c r="AO480" s="22" t="n">
        <x:f>MAX(0,MIN('Activities'!L480,222)-MAX('Activities'!K480,216))</x:f>
        <x:v>0</x:v>
      </x:c>
      <x:c r="AP480" s="22" t="n">
        <x:f>MAX(0,MIN('Activities'!L480,228)-MAX('Activities'!K480,222))</x:f>
        <x:v>0</x:v>
      </x:c>
      <x:c r="AQ480" s="22" t="n">
        <x:f>MAX(0,MIN('Activities'!L480,234)-MAX('Activities'!K480,228))</x:f>
        <x:v>0</x:v>
      </x:c>
      <x:c r="AR480" s="22" t="n">
        <x:f>MAX(0,MIN('Activities'!L480,240)-MAX('Activities'!K480,234))</x:f>
        <x:v>0</x:v>
      </x:c>
      <x:c r="AS480" s="22" t="n">
        <x:f>MAX(0,MIN('Activities'!L480,246)-MAX('Activities'!K480,240))</x:f>
        <x:v>0</x:v>
      </x:c>
      <x:c r="AT480" s="22" t="n">
        <x:f>MAX(0,MIN('Activities'!L480,252)-MAX('Activities'!K480,246))</x:f>
        <x:v>0</x:v>
      </x:c>
      <x:c r="AU480" s="22" t="n">
        <x:f>MAX(0,MIN('Activities'!L480,258)-MAX('Activities'!K480,252))</x:f>
        <x:v>0</x:v>
      </x:c>
      <x:c r="AV480" s="22" t="n">
        <x:f>MAX(0,MIN('Activities'!L480,264)-MAX('Activities'!K480,258))</x:f>
        <x:v>0</x:v>
      </x:c>
      <x:c r="AW480" s="22" t="n">
        <x:f>MAX(0,MIN('Activities'!L480,270)-MAX('Activities'!K480,264))</x:f>
        <x:v>0</x:v>
      </x:c>
      <x:c r="AX480" s="22" t="n">
        <x:f>MAX(0,MIN('Activities'!L480,276)-MAX('Activities'!K480,270))</x:f>
        <x:v>0</x:v>
      </x:c>
      <x:c r="AY480" s="22" t="n">
        <x:f>MAX(0,MIN('Activities'!L480,282)-MAX('Activities'!K480,276))</x:f>
        <x:v>0</x:v>
      </x:c>
      <x:c r="AZ480" s="22" t="n">
        <x:f>MAX(0,MIN('Activities'!L480,288)-MAX('Activities'!K480,282))</x:f>
        <x:v>0</x:v>
      </x:c>
      <x:c r="BA480" s="22" t="n">
        <x:f>MAX(0,MIN('Activities'!L480,294)-MAX('Activities'!K480,288))</x:f>
        <x:v>0</x:v>
      </x:c>
      <x:c r="BB480" s="22" t="n">
        <x:f>MAX(0,MIN('Activities'!L480,300)-MAX('Activities'!K480,294))</x:f>
        <x:v>0</x:v>
      </x:c>
      <x:c r="BC480" s="22" t="n">
        <x:f>MAX(0,MIN('Activities'!L480,306)-MAX('Activities'!K480,300))</x:f>
        <x:v>0</x:v>
      </x:c>
      <x:c r="BD480" s="22" t="n">
        <x:f>MAX(0,MIN('Activities'!L480,312)-MAX('Activities'!K480,306))</x:f>
        <x:v>0</x:v>
      </x:c>
      <x:c r="BE480" s="22" t="n">
        <x:f>MAX(0,MIN('Activities'!L480,318)-MAX('Activities'!K480,312))</x:f>
        <x:v>0</x:v>
      </x:c>
      <x:c r="BF480" s="22" t="n">
        <x:f>MAX(0,MIN('Activities'!L480,324)-MAX('Activities'!K480,318))</x:f>
        <x:v>0</x:v>
      </x:c>
      <x:c r="BG480" s="22" t="n">
        <x:f>MAX(0,MIN('Activities'!L480,330)-MAX('Activities'!K480,324))</x:f>
        <x:v>0</x:v>
      </x:c>
      <x:c r="BH480" s="22" t="n">
        <x:f>MAX(0,MIN('Activities'!L480,336)-MAX('Activities'!K480,330))</x:f>
        <x:v>0</x:v>
      </x:c>
      <x:c r="BI480" s="22" t="n">
        <x:f>MAX(0,MIN('Activities'!L480,342)-MAX('Activities'!K480,336))</x:f>
        <x:v>0</x:v>
      </x:c>
      <x:c r="BJ480" s="22" t="n">
        <x:f>MAX(0,MIN('Activities'!L480,348)-MAX('Activities'!K480,342))</x:f>
        <x:v>0</x:v>
      </x:c>
      <x:c r="BK480" s="22" t="n">
        <x:f>MAX(0,MIN('Activities'!L480,354)-MAX('Activities'!K480,348))</x:f>
        <x:v>0</x:v>
      </x:c>
      <x:c r="BL480" s="22" t="n">
        <x:f>MAX(0,MIN('Activities'!L480,360)-MAX('Activities'!K480,354))</x:f>
        <x:v>0</x:v>
      </x:c>
      <x:c r="BM480" s="22" t="n">
        <x:f>MAX(0,MIN('Activities'!L480,366)-MAX('Activities'!K480,360))</x:f>
        <x:v>0</x:v>
      </x:c>
      <x:c r="BN480" s="22" t="n">
        <x:f>MAX(0,MIN('Activities'!L480,372)-MAX('Activities'!K480,366))</x:f>
        <x:v>0</x:v>
      </x:c>
      <x:c r="BO480" s="22" t="n">
        <x:f>MAX(0,MIN('Activities'!L480,378)-MAX('Activities'!K480,372))</x:f>
        <x:v>0</x:v>
      </x:c>
      <x:c r="BP480" s="22" t="n">
        <x:f>MAX(0,MIN('Activities'!L480,384)-MAX('Activities'!K480,378))</x:f>
        <x:v>0</x:v>
      </x:c>
      <x:c r="BQ480" s="22" t="n">
        <x:f>MAX(0,MIN('Activities'!L480,390)-MAX('Activities'!K480,384))</x:f>
        <x:v>0</x:v>
      </x:c>
      <x:c r="BR480" s="22" t="n">
        <x:f>MAX(0,MIN('Activities'!L480,396)-MAX('Activities'!K480,390))</x:f>
        <x:v>0</x:v>
      </x:c>
      <x:c r="BS480" s="22" t="n">
        <x:f>MAX(0,MIN('Activities'!L480,402)-MAX('Activities'!K480,396))</x:f>
        <x:v>0</x:v>
      </x:c>
      <x:c r="BT480" s="22" t="n">
        <x:f>MAX(0,MIN('Activities'!L480,408)-MAX('Activities'!K480,402))</x:f>
        <x:v>0</x:v>
      </x:c>
      <x:c r="BU480" s="22" t="n">
        <x:f>MAX(0,MIN('Activities'!L480,414)-MAX('Activities'!K480,408))</x:f>
        <x:v>0</x:v>
      </x:c>
      <x:c r="BV480" s="22" t="n">
        <x:f>MAX(0,MIN('Activities'!L480,420)-MAX('Activities'!K480,414))</x:f>
        <x:v>0</x:v>
      </x:c>
      <x:c r="BW480" s="22" t="n">
        <x:f>MAX(0,MIN('Activities'!L480,426)-MAX('Activities'!K480,420))</x:f>
        <x:v>0</x:v>
      </x:c>
      <x:c r="BX480" s="22" t="n">
        <x:f>MAX(0,MIN('Activities'!L480,432)-MAX('Activities'!K480,426))</x:f>
        <x:v>0</x:v>
      </x:c>
      <x:c r="BY480" s="22" t="n">
        <x:f>MAX(0,MIN('Activities'!L480,438)-MAX('Activities'!K480,432))</x:f>
        <x:v>0</x:v>
      </x:c>
      <x:c r="BZ480" s="22" t="n">
        <x:f>MAX(0,MIN('Activities'!L480,444)-MAX('Activities'!K480,438))</x:f>
        <x:v>0</x:v>
      </x:c>
      <x:c r="CA480" s="22" t="n">
        <x:f>MAX(0,MIN('Activities'!L480,450)-MAX('Activities'!K480,444))</x:f>
        <x:v>5</x:v>
      </x:c>
      <x:c r="CB480" s="22" t="n">
        <x:f>MAX(0,MIN('Activities'!L480,456)-MAX('Activities'!K480,450))</x:f>
        <x:v>0</x:v>
      </x:c>
      <x:c r="CC480" s="22" t="n">
        <x:f>MAX(0,MIN('Activities'!L480,462)-MAX('Activities'!K480,456))</x:f>
        <x:v>0</x:v>
      </x:c>
      <x:c r="CD480" s="22" t="n">
        <x:f>MAX(0,MIN('Activities'!L480,468)-MAX('Activities'!K480,462))</x:f>
        <x:v>0</x:v>
      </x:c>
      <x:c r="CE480" s="22" t="n">
        <x:f>MAX(0,MIN('Activities'!L480,474)-MAX('Activities'!K480,468))</x:f>
        <x:v>0</x:v>
      </x:c>
      <x:c r="CF480" s="22" t="n">
        <x:f>MAX(0,MIN('Activities'!L480,480)-MAX('Activities'!K480,474))</x:f>
        <x:v>0</x:v>
      </x:c>
      <x:c r="CG480" s="22" t="n">
        <x:f>MAX(0,MIN('Activities'!L480,486)-MAX('Activities'!K480,480))</x:f>
        <x:v>0</x:v>
      </x:c>
      <x:c r="CH480" s="22" t="n">
        <x:f>MAX(0,MIN('Activities'!L480,492)-MAX('Activities'!K480,486))</x:f>
        <x:v>0</x:v>
      </x:c>
      <x:c r="CI480" s="22" t="n">
        <x:f>MAX(0,MIN('Activities'!L480,498)-MAX('Activities'!K480,492))</x:f>
        <x:v>0</x:v>
      </x:c>
      <x:c r="CJ480" s="22" t="n">
        <x:f>MAX(0,MIN('Activities'!L480,504)-MAX('Activities'!K480,498))</x:f>
        <x:v>0</x:v>
      </x:c>
      <x:c r="CK480" s="22" t="n">
        <x:f>MAX(0,MIN('Activities'!L480,510)-MAX('Activities'!K480,504))</x:f>
        <x:v>0</x:v>
      </x:c>
      <x:c r="CL480" s="22" t="n">
        <x:f>MAX(0,MIN('Activities'!L480,516)-MAX('Activities'!K480,510))</x:f>
        <x:v>0</x:v>
      </x:c>
      <x:c r="CM480" s="22" t="n">
        <x:f>MAX(0,MIN('Activities'!L480,522)-MAX('Activities'!K480,516))</x:f>
        <x:v>0</x:v>
      </x:c>
      <x:c r="CN480" s="22" t="n">
        <x:f>MAX(0,MIN('Activities'!L480,528)-MAX('Activities'!K480,522))</x:f>
        <x:v>0</x:v>
      </x:c>
      <x:c r="CO480" s="22" t="n">
        <x:f>MAX(0,MIN('Activities'!L480,534)-MAX('Activities'!K480,528))</x:f>
        <x:v>0</x:v>
      </x:c>
      <x:c r="CP480" s="22" t="n">
        <x:f>MAX(0,MIN('Activities'!L480,540)-MAX('Activities'!K480,534))</x:f>
        <x:v>0</x:v>
      </x:c>
      <x:c r="CQ480" s="22" t="n">
        <x:f>MAX(0,MIN('Activities'!L480,546)-MAX('Activities'!K480,540))</x:f>
        <x:v>0</x:v>
      </x:c>
      <x:c r="CR480" s="22" t="n">
        <x:f>MAX(0,MIN('Activities'!L480,552)-MAX('Activities'!K480,546))</x:f>
        <x:v>0</x:v>
      </x:c>
      <x:c r="CS480" s="22" t="n">
        <x:f>MAX(0,MIN('Activities'!L480,558)-MAX('Activities'!K480,552))</x:f>
        <x:v>0</x:v>
      </x:c>
      <x:c r="CT480" s="22" t="n">
        <x:f>MAX(0,MIN('Activities'!L480,564)-MAX('Activities'!K480,558))</x:f>
        <x:v>0</x:v>
      </x:c>
      <x:c r="CU480" s="22" t="n">
        <x:f>MAX(0,MIN('Activities'!L480,570)-MAX('Activities'!K480,564))</x:f>
        <x:v>0</x:v>
      </x:c>
      <x:c r="CV480" s="22" t="n">
        <x:f>MAX(0,MIN('Activities'!L480,576)-MAX('Activities'!K480,570))</x:f>
        <x:v>0</x:v>
      </x:c>
      <x:c r="CW480" s="22" t="n">
        <x:f>MAX(0,MIN('Activities'!L480,582)-MAX('Activities'!K480,576))</x:f>
        <x:v>0</x:v>
      </x:c>
      <x:c r="CX480" s="22" t="n">
        <x:f>MAX(0,MIN('Activities'!L480,588)-MAX('Activities'!K480,582))</x:f>
        <x:v>0</x:v>
      </x:c>
      <x:c r="CY480" s="22" t="n">
        <x:f>MAX(0,MIN('Activities'!L480,594)-MAX('Activities'!K480,588))</x:f>
        <x:v>0</x:v>
      </x:c>
      <x:c r="CZ480" s="22" t="n">
        <x:f>MAX(0,MIN('Activities'!L480,600)-MAX('Activities'!K480,594))</x:f>
        <x:v>0</x:v>
      </x:c>
      <x:c r="DA480" s="22" t="n">
        <x:f>MAX(0,MIN('Activities'!L480,606)-MAX('Activities'!K480,600))</x:f>
        <x:v>0</x:v>
      </x:c>
      <x:c r="DB480" s="22" t="n">
        <x:f>MAX(0,MIN('Activities'!L480,612)-MAX('Activities'!K480,606))</x:f>
        <x:v>0</x:v>
      </x:c>
      <x:c r="DC480" s="22" t="n">
        <x:f>MAX(0,MIN('Activities'!L480,618)-MAX('Activities'!K480,612))</x:f>
        <x:v>0</x:v>
      </x:c>
      <x:c r="DD480" s="22" t="n">
        <x:f>MAX(0,MIN('Activities'!L480,624)-MAX('Activities'!K480,618))</x:f>
        <x:v>0</x:v>
      </x:c>
      <x:c r="DE480" s="22" t="n">
        <x:f>MAX(0,MIN('Activities'!L480,630)-MAX('Activities'!K480,624))</x:f>
        <x:v>0</x:v>
      </x:c>
      <x:c r="DF480" s="22" t="n">
        <x:f>MAX(0,MIN('Activities'!L480,636)-MAX('Activities'!K480,630))</x:f>
        <x:v>0</x:v>
      </x:c>
    </x:row>
    <x:row r="481" ht="23" customHeight="1">
      <x:c r="A481" s="1" t="str">
        <x:v>T4-L01-D</x:v>
      </x:c>
      <x:c r="B481" s="1" t="str">
        <x:v>T4</x:v>
      </x:c>
      <x:c r="C481" s="1" t="str">
        <x:v>Door sets and ironmongery</x:v>
      </x:c>
      <x:c r="D481" s="1" t="str">
        <x:v>Finishes</x:v>
      </x:c>
      <x:c r="E481" s="23" t="n">
        <x:f>MAX(0,MIN('Activities'!L481,6)-MAX('Activities'!K481,0))</x:f>
        <x:v>0</x:v>
      </x:c>
      <x:c r="F481" s="23" t="n">
        <x:f>MAX(0,MIN('Activities'!L481,12)-MAX('Activities'!K481,6))</x:f>
        <x:v>0</x:v>
      </x:c>
      <x:c r="G481" s="23" t="n">
        <x:f>MAX(0,MIN('Activities'!L481,18)-MAX('Activities'!K481,12))</x:f>
        <x:v>0</x:v>
      </x:c>
      <x:c r="H481" s="23" t="n">
        <x:f>MAX(0,MIN('Activities'!L481,24)-MAX('Activities'!K481,18))</x:f>
        <x:v>0</x:v>
      </x:c>
      <x:c r="I481" s="23" t="n">
        <x:f>MAX(0,MIN('Activities'!L481,30)-MAX('Activities'!K481,24))</x:f>
        <x:v>0</x:v>
      </x:c>
      <x:c r="J481" s="23" t="n">
        <x:f>MAX(0,MIN('Activities'!L481,36)-MAX('Activities'!K481,30))</x:f>
        <x:v>0</x:v>
      </x:c>
      <x:c r="K481" s="23" t="n">
        <x:f>MAX(0,MIN('Activities'!L481,42)-MAX('Activities'!K481,36))</x:f>
        <x:v>0</x:v>
      </x:c>
      <x:c r="L481" s="23" t="n">
        <x:f>MAX(0,MIN('Activities'!L481,48)-MAX('Activities'!K481,42))</x:f>
        <x:v>0</x:v>
      </x:c>
      <x:c r="M481" s="23" t="n">
        <x:f>MAX(0,MIN('Activities'!L481,54)-MAX('Activities'!K481,48))</x:f>
        <x:v>0</x:v>
      </x:c>
      <x:c r="N481" s="23" t="n">
        <x:f>MAX(0,MIN('Activities'!L481,60)-MAX('Activities'!K481,54))</x:f>
        <x:v>0</x:v>
      </x:c>
      <x:c r="O481" s="23" t="n">
        <x:f>MAX(0,MIN('Activities'!L481,66)-MAX('Activities'!K481,60))</x:f>
        <x:v>0</x:v>
      </x:c>
      <x:c r="P481" s="23" t="n">
        <x:f>MAX(0,MIN('Activities'!L481,72)-MAX('Activities'!K481,66))</x:f>
        <x:v>0</x:v>
      </x:c>
      <x:c r="Q481" s="23" t="n">
        <x:f>MAX(0,MIN('Activities'!L481,78)-MAX('Activities'!K481,72))</x:f>
        <x:v>0</x:v>
      </x:c>
      <x:c r="R481" s="23" t="n">
        <x:f>MAX(0,MIN('Activities'!L481,84)-MAX('Activities'!K481,78))</x:f>
        <x:v>0</x:v>
      </x:c>
      <x:c r="S481" s="23" t="n">
        <x:f>MAX(0,MIN('Activities'!L481,90)-MAX('Activities'!K481,84))</x:f>
        <x:v>0</x:v>
      </x:c>
      <x:c r="T481" s="23" t="n">
        <x:f>MAX(0,MIN('Activities'!L481,96)-MAX('Activities'!K481,90))</x:f>
        <x:v>0</x:v>
      </x:c>
      <x:c r="U481" s="23" t="n">
        <x:f>MAX(0,MIN('Activities'!L481,102)-MAX('Activities'!K481,96))</x:f>
        <x:v>0</x:v>
      </x:c>
      <x:c r="V481" s="23" t="n">
        <x:f>MAX(0,MIN('Activities'!L481,108)-MAX('Activities'!K481,102))</x:f>
        <x:v>0</x:v>
      </x:c>
      <x:c r="W481" s="23" t="n">
        <x:f>MAX(0,MIN('Activities'!L481,114)-MAX('Activities'!K481,108))</x:f>
        <x:v>0</x:v>
      </x:c>
      <x:c r="X481" s="23" t="n">
        <x:f>MAX(0,MIN('Activities'!L481,120)-MAX('Activities'!K481,114))</x:f>
        <x:v>0</x:v>
      </x:c>
      <x:c r="Y481" s="23" t="n">
        <x:f>MAX(0,MIN('Activities'!L481,126)-MAX('Activities'!K481,120))</x:f>
        <x:v>0</x:v>
      </x:c>
      <x:c r="Z481" s="23" t="n">
        <x:f>MAX(0,MIN('Activities'!L481,132)-MAX('Activities'!K481,126))</x:f>
        <x:v>0</x:v>
      </x:c>
      <x:c r="AA481" s="23" t="n">
        <x:f>MAX(0,MIN('Activities'!L481,138)-MAX('Activities'!K481,132))</x:f>
        <x:v>0</x:v>
      </x:c>
      <x:c r="AB481" s="23" t="n">
        <x:f>MAX(0,MIN('Activities'!L481,144)-MAX('Activities'!K481,138))</x:f>
        <x:v>0</x:v>
      </x:c>
      <x:c r="AC481" s="23" t="n">
        <x:f>MAX(0,MIN('Activities'!L481,150)-MAX('Activities'!K481,144))</x:f>
        <x:v>0</x:v>
      </x:c>
      <x:c r="AD481" s="23" t="n">
        <x:f>MAX(0,MIN('Activities'!L481,156)-MAX('Activities'!K481,150))</x:f>
        <x:v>0</x:v>
      </x:c>
      <x:c r="AE481" s="23" t="n">
        <x:f>MAX(0,MIN('Activities'!L481,162)-MAX('Activities'!K481,156))</x:f>
        <x:v>0</x:v>
      </x:c>
      <x:c r="AF481" s="23" t="n">
        <x:f>MAX(0,MIN('Activities'!L481,168)-MAX('Activities'!K481,162))</x:f>
        <x:v>0</x:v>
      </x:c>
      <x:c r="AG481" s="23" t="n">
        <x:f>MAX(0,MIN('Activities'!L481,174)-MAX('Activities'!K481,168))</x:f>
        <x:v>0</x:v>
      </x:c>
      <x:c r="AH481" s="23" t="n">
        <x:f>MAX(0,MIN('Activities'!L481,180)-MAX('Activities'!K481,174))</x:f>
        <x:v>0</x:v>
      </x:c>
      <x:c r="AI481" s="23" t="n">
        <x:f>MAX(0,MIN('Activities'!L481,186)-MAX('Activities'!K481,180))</x:f>
        <x:v>0</x:v>
      </x:c>
      <x:c r="AJ481" s="23" t="n">
        <x:f>MAX(0,MIN('Activities'!L481,192)-MAX('Activities'!K481,186))</x:f>
        <x:v>0</x:v>
      </x:c>
      <x:c r="AK481" s="23" t="n">
        <x:f>MAX(0,MIN('Activities'!L481,198)-MAX('Activities'!K481,192))</x:f>
        <x:v>0</x:v>
      </x:c>
      <x:c r="AL481" s="23" t="n">
        <x:f>MAX(0,MIN('Activities'!L481,204)-MAX('Activities'!K481,198))</x:f>
        <x:v>0</x:v>
      </x:c>
      <x:c r="AM481" s="23" t="n">
        <x:f>MAX(0,MIN('Activities'!L481,210)-MAX('Activities'!K481,204))</x:f>
        <x:v>0</x:v>
      </x:c>
      <x:c r="AN481" s="23" t="n">
        <x:f>MAX(0,MIN('Activities'!L481,216)-MAX('Activities'!K481,210))</x:f>
        <x:v>0</x:v>
      </x:c>
      <x:c r="AO481" s="23" t="n">
        <x:f>MAX(0,MIN('Activities'!L481,222)-MAX('Activities'!K481,216))</x:f>
        <x:v>0</x:v>
      </x:c>
      <x:c r="AP481" s="23" t="n">
        <x:f>MAX(0,MIN('Activities'!L481,228)-MAX('Activities'!K481,222))</x:f>
        <x:v>0</x:v>
      </x:c>
      <x:c r="AQ481" s="23" t="n">
        <x:f>MAX(0,MIN('Activities'!L481,234)-MAX('Activities'!K481,228))</x:f>
        <x:v>0</x:v>
      </x:c>
      <x:c r="AR481" s="23" t="n">
        <x:f>MAX(0,MIN('Activities'!L481,240)-MAX('Activities'!K481,234))</x:f>
        <x:v>0</x:v>
      </x:c>
      <x:c r="AS481" s="23" t="n">
        <x:f>MAX(0,MIN('Activities'!L481,246)-MAX('Activities'!K481,240))</x:f>
        <x:v>0</x:v>
      </x:c>
      <x:c r="AT481" s="23" t="n">
        <x:f>MAX(0,MIN('Activities'!L481,252)-MAX('Activities'!K481,246))</x:f>
        <x:v>0</x:v>
      </x:c>
      <x:c r="AU481" s="23" t="n">
        <x:f>MAX(0,MIN('Activities'!L481,258)-MAX('Activities'!K481,252))</x:f>
        <x:v>0</x:v>
      </x:c>
      <x:c r="AV481" s="23" t="n">
        <x:f>MAX(0,MIN('Activities'!L481,264)-MAX('Activities'!K481,258))</x:f>
        <x:v>0</x:v>
      </x:c>
      <x:c r="AW481" s="23" t="n">
        <x:f>MAX(0,MIN('Activities'!L481,270)-MAX('Activities'!K481,264))</x:f>
        <x:v>0</x:v>
      </x:c>
      <x:c r="AX481" s="23" t="n">
        <x:f>MAX(0,MIN('Activities'!L481,276)-MAX('Activities'!K481,270))</x:f>
        <x:v>0</x:v>
      </x:c>
      <x:c r="AY481" s="23" t="n">
        <x:f>MAX(0,MIN('Activities'!L481,282)-MAX('Activities'!K481,276))</x:f>
        <x:v>0</x:v>
      </x:c>
      <x:c r="AZ481" s="23" t="n">
        <x:f>MAX(0,MIN('Activities'!L481,288)-MAX('Activities'!K481,282))</x:f>
        <x:v>0</x:v>
      </x:c>
      <x:c r="BA481" s="23" t="n">
        <x:f>MAX(0,MIN('Activities'!L481,294)-MAX('Activities'!K481,288))</x:f>
        <x:v>0</x:v>
      </x:c>
      <x:c r="BB481" s="23" t="n">
        <x:f>MAX(0,MIN('Activities'!L481,300)-MAX('Activities'!K481,294))</x:f>
        <x:v>0</x:v>
      </x:c>
      <x:c r="BC481" s="23" t="n">
        <x:f>MAX(0,MIN('Activities'!L481,306)-MAX('Activities'!K481,300))</x:f>
        <x:v>0</x:v>
      </x:c>
      <x:c r="BD481" s="23" t="n">
        <x:f>MAX(0,MIN('Activities'!L481,312)-MAX('Activities'!K481,306))</x:f>
        <x:v>0</x:v>
      </x:c>
      <x:c r="BE481" s="23" t="n">
        <x:f>MAX(0,MIN('Activities'!L481,318)-MAX('Activities'!K481,312))</x:f>
        <x:v>0</x:v>
      </x:c>
      <x:c r="BF481" s="23" t="n">
        <x:f>MAX(0,MIN('Activities'!L481,324)-MAX('Activities'!K481,318))</x:f>
        <x:v>0</x:v>
      </x:c>
      <x:c r="BG481" s="23" t="n">
        <x:f>MAX(0,MIN('Activities'!L481,330)-MAX('Activities'!K481,324))</x:f>
        <x:v>0</x:v>
      </x:c>
      <x:c r="BH481" s="23" t="n">
        <x:f>MAX(0,MIN('Activities'!L481,336)-MAX('Activities'!K481,330))</x:f>
        <x:v>0</x:v>
      </x:c>
      <x:c r="BI481" s="23" t="n">
        <x:f>MAX(0,MIN('Activities'!L481,342)-MAX('Activities'!K481,336))</x:f>
        <x:v>0</x:v>
      </x:c>
      <x:c r="BJ481" s="23" t="n">
        <x:f>MAX(0,MIN('Activities'!L481,348)-MAX('Activities'!K481,342))</x:f>
        <x:v>0</x:v>
      </x:c>
      <x:c r="BK481" s="23" t="n">
        <x:f>MAX(0,MIN('Activities'!L481,354)-MAX('Activities'!K481,348))</x:f>
        <x:v>0</x:v>
      </x:c>
      <x:c r="BL481" s="23" t="n">
        <x:f>MAX(0,MIN('Activities'!L481,360)-MAX('Activities'!K481,354))</x:f>
        <x:v>0</x:v>
      </x:c>
      <x:c r="BM481" s="23" t="n">
        <x:f>MAX(0,MIN('Activities'!L481,366)-MAX('Activities'!K481,360))</x:f>
        <x:v>0</x:v>
      </x:c>
      <x:c r="BN481" s="23" t="n">
        <x:f>MAX(0,MIN('Activities'!L481,372)-MAX('Activities'!K481,366))</x:f>
        <x:v>0</x:v>
      </x:c>
      <x:c r="BO481" s="23" t="n">
        <x:f>MAX(0,MIN('Activities'!L481,378)-MAX('Activities'!K481,372))</x:f>
        <x:v>0</x:v>
      </x:c>
      <x:c r="BP481" s="23" t="n">
        <x:f>MAX(0,MIN('Activities'!L481,384)-MAX('Activities'!K481,378))</x:f>
        <x:v>0</x:v>
      </x:c>
      <x:c r="BQ481" s="23" t="n">
        <x:f>MAX(0,MIN('Activities'!L481,390)-MAX('Activities'!K481,384))</x:f>
        <x:v>0</x:v>
      </x:c>
      <x:c r="BR481" s="23" t="n">
        <x:f>MAX(0,MIN('Activities'!L481,396)-MAX('Activities'!K481,390))</x:f>
        <x:v>0</x:v>
      </x:c>
      <x:c r="BS481" s="23" t="n">
        <x:f>MAX(0,MIN('Activities'!L481,402)-MAX('Activities'!K481,396))</x:f>
        <x:v>0</x:v>
      </x:c>
      <x:c r="BT481" s="23" t="n">
        <x:f>MAX(0,MIN('Activities'!L481,408)-MAX('Activities'!K481,402))</x:f>
        <x:v>0</x:v>
      </x:c>
      <x:c r="BU481" s="23" t="n">
        <x:f>MAX(0,MIN('Activities'!L481,414)-MAX('Activities'!K481,408))</x:f>
        <x:v>0</x:v>
      </x:c>
      <x:c r="BV481" s="23" t="n">
        <x:f>MAX(0,MIN('Activities'!L481,420)-MAX('Activities'!K481,414))</x:f>
        <x:v>0</x:v>
      </x:c>
      <x:c r="BW481" s="23" t="n">
        <x:f>MAX(0,MIN('Activities'!L481,426)-MAX('Activities'!K481,420))</x:f>
        <x:v>0</x:v>
      </x:c>
      <x:c r="BX481" s="23" t="n">
        <x:f>MAX(0,MIN('Activities'!L481,432)-MAX('Activities'!K481,426))</x:f>
        <x:v>0</x:v>
      </x:c>
      <x:c r="BY481" s="23" t="n">
        <x:f>MAX(0,MIN('Activities'!L481,438)-MAX('Activities'!K481,432))</x:f>
        <x:v>0</x:v>
      </x:c>
      <x:c r="BZ481" s="23" t="n">
        <x:f>MAX(0,MIN('Activities'!L481,444)-MAX('Activities'!K481,438))</x:f>
        <x:v>0</x:v>
      </x:c>
      <x:c r="CA481" s="23" t="n">
        <x:f>MAX(0,MIN('Activities'!L481,450)-MAX('Activities'!K481,444))</x:f>
        <x:v>0</x:v>
      </x:c>
      <x:c r="CB481" s="23" t="n">
        <x:f>MAX(0,MIN('Activities'!L481,456)-MAX('Activities'!K481,450))</x:f>
        <x:v>3</x:v>
      </x:c>
      <x:c r="CC481" s="23" t="n">
        <x:f>MAX(0,MIN('Activities'!L481,462)-MAX('Activities'!K481,456))</x:f>
        <x:v>0</x:v>
      </x:c>
      <x:c r="CD481" s="23" t="n">
        <x:f>MAX(0,MIN('Activities'!L481,468)-MAX('Activities'!K481,462))</x:f>
        <x:v>0</x:v>
      </x:c>
      <x:c r="CE481" s="23" t="n">
        <x:f>MAX(0,MIN('Activities'!L481,474)-MAX('Activities'!K481,468))</x:f>
        <x:v>0</x:v>
      </x:c>
      <x:c r="CF481" s="23" t="n">
        <x:f>MAX(0,MIN('Activities'!L481,480)-MAX('Activities'!K481,474))</x:f>
        <x:v>0</x:v>
      </x:c>
      <x:c r="CG481" s="23" t="n">
        <x:f>MAX(0,MIN('Activities'!L481,486)-MAX('Activities'!K481,480))</x:f>
        <x:v>0</x:v>
      </x:c>
      <x:c r="CH481" s="23" t="n">
        <x:f>MAX(0,MIN('Activities'!L481,492)-MAX('Activities'!K481,486))</x:f>
        <x:v>0</x:v>
      </x:c>
      <x:c r="CI481" s="23" t="n">
        <x:f>MAX(0,MIN('Activities'!L481,498)-MAX('Activities'!K481,492))</x:f>
        <x:v>0</x:v>
      </x:c>
      <x:c r="CJ481" s="23" t="n">
        <x:f>MAX(0,MIN('Activities'!L481,504)-MAX('Activities'!K481,498))</x:f>
        <x:v>0</x:v>
      </x:c>
      <x:c r="CK481" s="23" t="n">
        <x:f>MAX(0,MIN('Activities'!L481,510)-MAX('Activities'!K481,504))</x:f>
        <x:v>0</x:v>
      </x:c>
      <x:c r="CL481" s="23" t="n">
        <x:f>MAX(0,MIN('Activities'!L481,516)-MAX('Activities'!K481,510))</x:f>
        <x:v>0</x:v>
      </x:c>
      <x:c r="CM481" s="23" t="n">
        <x:f>MAX(0,MIN('Activities'!L481,522)-MAX('Activities'!K481,516))</x:f>
        <x:v>0</x:v>
      </x:c>
      <x:c r="CN481" s="23" t="n">
        <x:f>MAX(0,MIN('Activities'!L481,528)-MAX('Activities'!K481,522))</x:f>
        <x:v>0</x:v>
      </x:c>
      <x:c r="CO481" s="23" t="n">
        <x:f>MAX(0,MIN('Activities'!L481,534)-MAX('Activities'!K481,528))</x:f>
        <x:v>0</x:v>
      </x:c>
      <x:c r="CP481" s="23" t="n">
        <x:f>MAX(0,MIN('Activities'!L481,540)-MAX('Activities'!K481,534))</x:f>
        <x:v>0</x:v>
      </x:c>
      <x:c r="CQ481" s="23" t="n">
        <x:f>MAX(0,MIN('Activities'!L481,546)-MAX('Activities'!K481,540))</x:f>
        <x:v>0</x:v>
      </x:c>
      <x:c r="CR481" s="23" t="n">
        <x:f>MAX(0,MIN('Activities'!L481,552)-MAX('Activities'!K481,546))</x:f>
        <x:v>0</x:v>
      </x:c>
      <x:c r="CS481" s="23" t="n">
        <x:f>MAX(0,MIN('Activities'!L481,558)-MAX('Activities'!K481,552))</x:f>
        <x:v>0</x:v>
      </x:c>
      <x:c r="CT481" s="23" t="n">
        <x:f>MAX(0,MIN('Activities'!L481,564)-MAX('Activities'!K481,558))</x:f>
        <x:v>0</x:v>
      </x:c>
      <x:c r="CU481" s="23" t="n">
        <x:f>MAX(0,MIN('Activities'!L481,570)-MAX('Activities'!K481,564))</x:f>
        <x:v>0</x:v>
      </x:c>
      <x:c r="CV481" s="23" t="n">
        <x:f>MAX(0,MIN('Activities'!L481,576)-MAX('Activities'!K481,570))</x:f>
        <x:v>0</x:v>
      </x:c>
      <x:c r="CW481" s="23" t="n">
        <x:f>MAX(0,MIN('Activities'!L481,582)-MAX('Activities'!K481,576))</x:f>
        <x:v>0</x:v>
      </x:c>
      <x:c r="CX481" s="23" t="n">
        <x:f>MAX(0,MIN('Activities'!L481,588)-MAX('Activities'!K481,582))</x:f>
        <x:v>0</x:v>
      </x:c>
      <x:c r="CY481" s="23" t="n">
        <x:f>MAX(0,MIN('Activities'!L481,594)-MAX('Activities'!K481,588))</x:f>
        <x:v>0</x:v>
      </x:c>
      <x:c r="CZ481" s="23" t="n">
        <x:f>MAX(0,MIN('Activities'!L481,600)-MAX('Activities'!K481,594))</x:f>
        <x:v>0</x:v>
      </x:c>
      <x:c r="DA481" s="23" t="n">
        <x:f>MAX(0,MIN('Activities'!L481,606)-MAX('Activities'!K481,600))</x:f>
        <x:v>0</x:v>
      </x:c>
      <x:c r="DB481" s="23" t="n">
        <x:f>MAX(0,MIN('Activities'!L481,612)-MAX('Activities'!K481,606))</x:f>
        <x:v>0</x:v>
      </x:c>
      <x:c r="DC481" s="23" t="n">
        <x:f>MAX(0,MIN('Activities'!L481,618)-MAX('Activities'!K481,612))</x:f>
        <x:v>0</x:v>
      </x:c>
      <x:c r="DD481" s="23" t="n">
        <x:f>MAX(0,MIN('Activities'!L481,624)-MAX('Activities'!K481,618))</x:f>
        <x:v>0</x:v>
      </x:c>
      <x:c r="DE481" s="23" t="n">
        <x:f>MAX(0,MIN('Activities'!L481,630)-MAX('Activities'!K481,624))</x:f>
        <x:v>0</x:v>
      </x:c>
      <x:c r="DF481" s="23" t="n">
        <x:f>MAX(0,MIN('Activities'!L481,636)-MAX('Activities'!K481,630))</x:f>
        <x:v>0</x:v>
      </x:c>
    </x:row>
    <x:row r="482" ht="23" customHeight="1">
      <x:c r="A482" s="6" t="str">
        <x:v>T4-L02-M</x:v>
      </x:c>
      <x:c r="B482" s="6" t="str">
        <x:v>T4</x:v>
      </x:c>
      <x:c r="C482" s="6" t="str">
        <x:v>Partition masonry</x:v>
      </x:c>
      <x:c r="D482" s="6" t="str">
        <x:v>Masonry</x:v>
      </x:c>
      <x:c r="E482" s="22" t="n">
        <x:f>MAX(0,MIN('Activities'!L482,6)-MAX('Activities'!K482,0))</x:f>
        <x:v>0</x:v>
      </x:c>
      <x:c r="F482" s="22" t="n">
        <x:f>MAX(0,MIN('Activities'!L482,12)-MAX('Activities'!K482,6))</x:f>
        <x:v>0</x:v>
      </x:c>
      <x:c r="G482" s="22" t="n">
        <x:f>MAX(0,MIN('Activities'!L482,18)-MAX('Activities'!K482,12))</x:f>
        <x:v>0</x:v>
      </x:c>
      <x:c r="H482" s="22" t="n">
        <x:f>MAX(0,MIN('Activities'!L482,24)-MAX('Activities'!K482,18))</x:f>
        <x:v>0</x:v>
      </x:c>
      <x:c r="I482" s="22" t="n">
        <x:f>MAX(0,MIN('Activities'!L482,30)-MAX('Activities'!K482,24))</x:f>
        <x:v>0</x:v>
      </x:c>
      <x:c r="J482" s="22" t="n">
        <x:f>MAX(0,MIN('Activities'!L482,36)-MAX('Activities'!K482,30))</x:f>
        <x:v>0</x:v>
      </x:c>
      <x:c r="K482" s="22" t="n">
        <x:f>MAX(0,MIN('Activities'!L482,42)-MAX('Activities'!K482,36))</x:f>
        <x:v>0</x:v>
      </x:c>
      <x:c r="L482" s="22" t="n">
        <x:f>MAX(0,MIN('Activities'!L482,48)-MAX('Activities'!K482,42))</x:f>
        <x:v>0</x:v>
      </x:c>
      <x:c r="M482" s="22" t="n">
        <x:f>MAX(0,MIN('Activities'!L482,54)-MAX('Activities'!K482,48))</x:f>
        <x:v>0</x:v>
      </x:c>
      <x:c r="N482" s="22" t="n">
        <x:f>MAX(0,MIN('Activities'!L482,60)-MAX('Activities'!K482,54))</x:f>
        <x:v>0</x:v>
      </x:c>
      <x:c r="O482" s="22" t="n">
        <x:f>MAX(0,MIN('Activities'!L482,66)-MAX('Activities'!K482,60))</x:f>
        <x:v>0</x:v>
      </x:c>
      <x:c r="P482" s="22" t="n">
        <x:f>MAX(0,MIN('Activities'!L482,72)-MAX('Activities'!K482,66))</x:f>
        <x:v>0</x:v>
      </x:c>
      <x:c r="Q482" s="22" t="n">
        <x:f>MAX(0,MIN('Activities'!L482,78)-MAX('Activities'!K482,72))</x:f>
        <x:v>0</x:v>
      </x:c>
      <x:c r="R482" s="22" t="n">
        <x:f>MAX(0,MIN('Activities'!L482,84)-MAX('Activities'!K482,78))</x:f>
        <x:v>0</x:v>
      </x:c>
      <x:c r="S482" s="22" t="n">
        <x:f>MAX(0,MIN('Activities'!L482,90)-MAX('Activities'!K482,84))</x:f>
        <x:v>0</x:v>
      </x:c>
      <x:c r="T482" s="22" t="n">
        <x:f>MAX(0,MIN('Activities'!L482,96)-MAX('Activities'!K482,90))</x:f>
        <x:v>0</x:v>
      </x:c>
      <x:c r="U482" s="22" t="n">
        <x:f>MAX(0,MIN('Activities'!L482,102)-MAX('Activities'!K482,96))</x:f>
        <x:v>0</x:v>
      </x:c>
      <x:c r="V482" s="22" t="n">
        <x:f>MAX(0,MIN('Activities'!L482,108)-MAX('Activities'!K482,102))</x:f>
        <x:v>0</x:v>
      </x:c>
      <x:c r="W482" s="22" t="n">
        <x:f>MAX(0,MIN('Activities'!L482,114)-MAX('Activities'!K482,108))</x:f>
        <x:v>0</x:v>
      </x:c>
      <x:c r="X482" s="22" t="n">
        <x:f>MAX(0,MIN('Activities'!L482,120)-MAX('Activities'!K482,114))</x:f>
        <x:v>0</x:v>
      </x:c>
      <x:c r="Y482" s="22" t="n">
        <x:f>MAX(0,MIN('Activities'!L482,126)-MAX('Activities'!K482,120))</x:f>
        <x:v>0</x:v>
      </x:c>
      <x:c r="Z482" s="22" t="n">
        <x:f>MAX(0,MIN('Activities'!L482,132)-MAX('Activities'!K482,126))</x:f>
        <x:v>0</x:v>
      </x:c>
      <x:c r="AA482" s="22" t="n">
        <x:f>MAX(0,MIN('Activities'!L482,138)-MAX('Activities'!K482,132))</x:f>
        <x:v>0</x:v>
      </x:c>
      <x:c r="AB482" s="22" t="n">
        <x:f>MAX(0,MIN('Activities'!L482,144)-MAX('Activities'!K482,138))</x:f>
        <x:v>0</x:v>
      </x:c>
      <x:c r="AC482" s="22" t="n">
        <x:f>MAX(0,MIN('Activities'!L482,150)-MAX('Activities'!K482,144))</x:f>
        <x:v>0</x:v>
      </x:c>
      <x:c r="AD482" s="22" t="n">
        <x:f>MAX(0,MIN('Activities'!L482,156)-MAX('Activities'!K482,150))</x:f>
        <x:v>0</x:v>
      </x:c>
      <x:c r="AE482" s="22" t="n">
        <x:f>MAX(0,MIN('Activities'!L482,162)-MAX('Activities'!K482,156))</x:f>
        <x:v>0</x:v>
      </x:c>
      <x:c r="AF482" s="22" t="n">
        <x:f>MAX(0,MIN('Activities'!L482,168)-MAX('Activities'!K482,162))</x:f>
        <x:v>0</x:v>
      </x:c>
      <x:c r="AG482" s="22" t="n">
        <x:f>MAX(0,MIN('Activities'!L482,174)-MAX('Activities'!K482,168))</x:f>
        <x:v>0</x:v>
      </x:c>
      <x:c r="AH482" s="22" t="n">
        <x:f>MAX(0,MIN('Activities'!L482,180)-MAX('Activities'!K482,174))</x:f>
        <x:v>0</x:v>
      </x:c>
      <x:c r="AI482" s="22" t="n">
        <x:f>MAX(0,MIN('Activities'!L482,186)-MAX('Activities'!K482,180))</x:f>
        <x:v>0</x:v>
      </x:c>
      <x:c r="AJ482" s="22" t="n">
        <x:f>MAX(0,MIN('Activities'!L482,192)-MAX('Activities'!K482,186))</x:f>
        <x:v>0</x:v>
      </x:c>
      <x:c r="AK482" s="22" t="n">
        <x:f>MAX(0,MIN('Activities'!L482,198)-MAX('Activities'!K482,192))</x:f>
        <x:v>0</x:v>
      </x:c>
      <x:c r="AL482" s="22" t="n">
        <x:f>MAX(0,MIN('Activities'!L482,204)-MAX('Activities'!K482,198))</x:f>
        <x:v>0</x:v>
      </x:c>
      <x:c r="AM482" s="22" t="n">
        <x:f>MAX(0,MIN('Activities'!L482,210)-MAX('Activities'!K482,204))</x:f>
        <x:v>0</x:v>
      </x:c>
      <x:c r="AN482" s="22" t="n">
        <x:f>MAX(0,MIN('Activities'!L482,216)-MAX('Activities'!K482,210))</x:f>
        <x:v>0</x:v>
      </x:c>
      <x:c r="AO482" s="22" t="n">
        <x:f>MAX(0,MIN('Activities'!L482,222)-MAX('Activities'!K482,216))</x:f>
        <x:v>0</x:v>
      </x:c>
      <x:c r="AP482" s="22" t="n">
        <x:f>MAX(0,MIN('Activities'!L482,228)-MAX('Activities'!K482,222))</x:f>
        <x:v>0</x:v>
      </x:c>
      <x:c r="AQ482" s="22" t="n">
        <x:f>MAX(0,MIN('Activities'!L482,234)-MAX('Activities'!K482,228))</x:f>
        <x:v>0</x:v>
      </x:c>
      <x:c r="AR482" s="22" t="n">
        <x:f>MAX(0,MIN('Activities'!L482,240)-MAX('Activities'!K482,234))</x:f>
        <x:v>0</x:v>
      </x:c>
      <x:c r="AS482" s="22" t="n">
        <x:f>MAX(0,MIN('Activities'!L482,246)-MAX('Activities'!K482,240))</x:f>
        <x:v>0</x:v>
      </x:c>
      <x:c r="AT482" s="22" t="n">
        <x:f>MAX(0,MIN('Activities'!L482,252)-MAX('Activities'!K482,246))</x:f>
        <x:v>0</x:v>
      </x:c>
      <x:c r="AU482" s="22" t="n">
        <x:f>MAX(0,MIN('Activities'!L482,258)-MAX('Activities'!K482,252))</x:f>
        <x:v>0</x:v>
      </x:c>
      <x:c r="AV482" s="22" t="n">
        <x:f>MAX(0,MIN('Activities'!L482,264)-MAX('Activities'!K482,258))</x:f>
        <x:v>0</x:v>
      </x:c>
      <x:c r="AW482" s="22" t="n">
        <x:f>MAX(0,MIN('Activities'!L482,270)-MAX('Activities'!K482,264))</x:f>
        <x:v>0</x:v>
      </x:c>
      <x:c r="AX482" s="22" t="n">
        <x:f>MAX(0,MIN('Activities'!L482,276)-MAX('Activities'!K482,270))</x:f>
        <x:v>0</x:v>
      </x:c>
      <x:c r="AY482" s="22" t="n">
        <x:f>MAX(0,MIN('Activities'!L482,282)-MAX('Activities'!K482,276))</x:f>
        <x:v>0</x:v>
      </x:c>
      <x:c r="AZ482" s="22" t="n">
        <x:f>MAX(0,MIN('Activities'!L482,288)-MAX('Activities'!K482,282))</x:f>
        <x:v>5</x:v>
      </x:c>
      <x:c r="BA482" s="22" t="n">
        <x:f>MAX(0,MIN('Activities'!L482,294)-MAX('Activities'!K482,288))</x:f>
        <x:v>0</x:v>
      </x:c>
      <x:c r="BB482" s="22" t="n">
        <x:f>MAX(0,MIN('Activities'!L482,300)-MAX('Activities'!K482,294))</x:f>
        <x:v>0</x:v>
      </x:c>
      <x:c r="BC482" s="22" t="n">
        <x:f>MAX(0,MIN('Activities'!L482,306)-MAX('Activities'!K482,300))</x:f>
        <x:v>0</x:v>
      </x:c>
      <x:c r="BD482" s="22" t="n">
        <x:f>MAX(0,MIN('Activities'!L482,312)-MAX('Activities'!K482,306))</x:f>
        <x:v>0</x:v>
      </x:c>
      <x:c r="BE482" s="22" t="n">
        <x:f>MAX(0,MIN('Activities'!L482,318)-MAX('Activities'!K482,312))</x:f>
        <x:v>0</x:v>
      </x:c>
      <x:c r="BF482" s="22" t="n">
        <x:f>MAX(0,MIN('Activities'!L482,324)-MAX('Activities'!K482,318))</x:f>
        <x:v>0</x:v>
      </x:c>
      <x:c r="BG482" s="22" t="n">
        <x:f>MAX(0,MIN('Activities'!L482,330)-MAX('Activities'!K482,324))</x:f>
        <x:v>0</x:v>
      </x:c>
      <x:c r="BH482" s="22" t="n">
        <x:f>MAX(0,MIN('Activities'!L482,336)-MAX('Activities'!K482,330))</x:f>
        <x:v>0</x:v>
      </x:c>
      <x:c r="BI482" s="22" t="n">
        <x:f>MAX(0,MIN('Activities'!L482,342)-MAX('Activities'!K482,336))</x:f>
        <x:v>0</x:v>
      </x:c>
      <x:c r="BJ482" s="22" t="n">
        <x:f>MAX(0,MIN('Activities'!L482,348)-MAX('Activities'!K482,342))</x:f>
        <x:v>0</x:v>
      </x:c>
      <x:c r="BK482" s="22" t="n">
        <x:f>MAX(0,MIN('Activities'!L482,354)-MAX('Activities'!K482,348))</x:f>
        <x:v>0</x:v>
      </x:c>
      <x:c r="BL482" s="22" t="n">
        <x:f>MAX(0,MIN('Activities'!L482,360)-MAX('Activities'!K482,354))</x:f>
        <x:v>0</x:v>
      </x:c>
      <x:c r="BM482" s="22" t="n">
        <x:f>MAX(0,MIN('Activities'!L482,366)-MAX('Activities'!K482,360))</x:f>
        <x:v>0</x:v>
      </x:c>
      <x:c r="BN482" s="22" t="n">
        <x:f>MAX(0,MIN('Activities'!L482,372)-MAX('Activities'!K482,366))</x:f>
        <x:v>0</x:v>
      </x:c>
      <x:c r="BO482" s="22" t="n">
        <x:f>MAX(0,MIN('Activities'!L482,378)-MAX('Activities'!K482,372))</x:f>
        <x:v>0</x:v>
      </x:c>
      <x:c r="BP482" s="22" t="n">
        <x:f>MAX(0,MIN('Activities'!L482,384)-MAX('Activities'!K482,378))</x:f>
        <x:v>0</x:v>
      </x:c>
      <x:c r="BQ482" s="22" t="n">
        <x:f>MAX(0,MIN('Activities'!L482,390)-MAX('Activities'!K482,384))</x:f>
        <x:v>0</x:v>
      </x:c>
      <x:c r="BR482" s="22" t="n">
        <x:f>MAX(0,MIN('Activities'!L482,396)-MAX('Activities'!K482,390))</x:f>
        <x:v>0</x:v>
      </x:c>
      <x:c r="BS482" s="22" t="n">
        <x:f>MAX(0,MIN('Activities'!L482,402)-MAX('Activities'!K482,396))</x:f>
        <x:v>0</x:v>
      </x:c>
      <x:c r="BT482" s="22" t="n">
        <x:f>MAX(0,MIN('Activities'!L482,408)-MAX('Activities'!K482,402))</x:f>
        <x:v>0</x:v>
      </x:c>
      <x:c r="BU482" s="22" t="n">
        <x:f>MAX(0,MIN('Activities'!L482,414)-MAX('Activities'!K482,408))</x:f>
        <x:v>0</x:v>
      </x:c>
      <x:c r="BV482" s="22" t="n">
        <x:f>MAX(0,MIN('Activities'!L482,420)-MAX('Activities'!K482,414))</x:f>
        <x:v>0</x:v>
      </x:c>
      <x:c r="BW482" s="22" t="n">
        <x:f>MAX(0,MIN('Activities'!L482,426)-MAX('Activities'!K482,420))</x:f>
        <x:v>0</x:v>
      </x:c>
      <x:c r="BX482" s="22" t="n">
        <x:f>MAX(0,MIN('Activities'!L482,432)-MAX('Activities'!K482,426))</x:f>
        <x:v>0</x:v>
      </x:c>
      <x:c r="BY482" s="22" t="n">
        <x:f>MAX(0,MIN('Activities'!L482,438)-MAX('Activities'!K482,432))</x:f>
        <x:v>0</x:v>
      </x:c>
      <x:c r="BZ482" s="22" t="n">
        <x:f>MAX(0,MIN('Activities'!L482,444)-MAX('Activities'!K482,438))</x:f>
        <x:v>0</x:v>
      </x:c>
      <x:c r="CA482" s="22" t="n">
        <x:f>MAX(0,MIN('Activities'!L482,450)-MAX('Activities'!K482,444))</x:f>
        <x:v>0</x:v>
      </x:c>
      <x:c r="CB482" s="22" t="n">
        <x:f>MAX(0,MIN('Activities'!L482,456)-MAX('Activities'!K482,450))</x:f>
        <x:v>0</x:v>
      </x:c>
      <x:c r="CC482" s="22" t="n">
        <x:f>MAX(0,MIN('Activities'!L482,462)-MAX('Activities'!K482,456))</x:f>
        <x:v>0</x:v>
      </x:c>
      <x:c r="CD482" s="22" t="n">
        <x:f>MAX(0,MIN('Activities'!L482,468)-MAX('Activities'!K482,462))</x:f>
        <x:v>0</x:v>
      </x:c>
      <x:c r="CE482" s="22" t="n">
        <x:f>MAX(0,MIN('Activities'!L482,474)-MAX('Activities'!K482,468))</x:f>
        <x:v>0</x:v>
      </x:c>
      <x:c r="CF482" s="22" t="n">
        <x:f>MAX(0,MIN('Activities'!L482,480)-MAX('Activities'!K482,474))</x:f>
        <x:v>0</x:v>
      </x:c>
      <x:c r="CG482" s="22" t="n">
        <x:f>MAX(0,MIN('Activities'!L482,486)-MAX('Activities'!K482,480))</x:f>
        <x:v>0</x:v>
      </x:c>
      <x:c r="CH482" s="22" t="n">
        <x:f>MAX(0,MIN('Activities'!L482,492)-MAX('Activities'!K482,486))</x:f>
        <x:v>0</x:v>
      </x:c>
      <x:c r="CI482" s="22" t="n">
        <x:f>MAX(0,MIN('Activities'!L482,498)-MAX('Activities'!K482,492))</x:f>
        <x:v>0</x:v>
      </x:c>
      <x:c r="CJ482" s="22" t="n">
        <x:f>MAX(0,MIN('Activities'!L482,504)-MAX('Activities'!K482,498))</x:f>
        <x:v>0</x:v>
      </x:c>
      <x:c r="CK482" s="22" t="n">
        <x:f>MAX(0,MIN('Activities'!L482,510)-MAX('Activities'!K482,504))</x:f>
        <x:v>0</x:v>
      </x:c>
      <x:c r="CL482" s="22" t="n">
        <x:f>MAX(0,MIN('Activities'!L482,516)-MAX('Activities'!K482,510))</x:f>
        <x:v>0</x:v>
      </x:c>
      <x:c r="CM482" s="22" t="n">
        <x:f>MAX(0,MIN('Activities'!L482,522)-MAX('Activities'!K482,516))</x:f>
        <x:v>0</x:v>
      </x:c>
      <x:c r="CN482" s="22" t="n">
        <x:f>MAX(0,MIN('Activities'!L482,528)-MAX('Activities'!K482,522))</x:f>
        <x:v>0</x:v>
      </x:c>
      <x:c r="CO482" s="22" t="n">
        <x:f>MAX(0,MIN('Activities'!L482,534)-MAX('Activities'!K482,528))</x:f>
        <x:v>0</x:v>
      </x:c>
      <x:c r="CP482" s="22" t="n">
        <x:f>MAX(0,MIN('Activities'!L482,540)-MAX('Activities'!K482,534))</x:f>
        <x:v>0</x:v>
      </x:c>
      <x:c r="CQ482" s="22" t="n">
        <x:f>MAX(0,MIN('Activities'!L482,546)-MAX('Activities'!K482,540))</x:f>
        <x:v>0</x:v>
      </x:c>
      <x:c r="CR482" s="22" t="n">
        <x:f>MAX(0,MIN('Activities'!L482,552)-MAX('Activities'!K482,546))</x:f>
        <x:v>0</x:v>
      </x:c>
      <x:c r="CS482" s="22" t="n">
        <x:f>MAX(0,MIN('Activities'!L482,558)-MAX('Activities'!K482,552))</x:f>
        <x:v>0</x:v>
      </x:c>
      <x:c r="CT482" s="22" t="n">
        <x:f>MAX(0,MIN('Activities'!L482,564)-MAX('Activities'!K482,558))</x:f>
        <x:v>0</x:v>
      </x:c>
      <x:c r="CU482" s="22" t="n">
        <x:f>MAX(0,MIN('Activities'!L482,570)-MAX('Activities'!K482,564))</x:f>
        <x:v>0</x:v>
      </x:c>
      <x:c r="CV482" s="22" t="n">
        <x:f>MAX(0,MIN('Activities'!L482,576)-MAX('Activities'!K482,570))</x:f>
        <x:v>0</x:v>
      </x:c>
      <x:c r="CW482" s="22" t="n">
        <x:f>MAX(0,MIN('Activities'!L482,582)-MAX('Activities'!K482,576))</x:f>
        <x:v>0</x:v>
      </x:c>
      <x:c r="CX482" s="22" t="n">
        <x:f>MAX(0,MIN('Activities'!L482,588)-MAX('Activities'!K482,582))</x:f>
        <x:v>0</x:v>
      </x:c>
      <x:c r="CY482" s="22" t="n">
        <x:f>MAX(0,MIN('Activities'!L482,594)-MAX('Activities'!K482,588))</x:f>
        <x:v>0</x:v>
      </x:c>
      <x:c r="CZ482" s="22" t="n">
        <x:f>MAX(0,MIN('Activities'!L482,600)-MAX('Activities'!K482,594))</x:f>
        <x:v>0</x:v>
      </x:c>
      <x:c r="DA482" s="22" t="n">
        <x:f>MAX(0,MIN('Activities'!L482,606)-MAX('Activities'!K482,600))</x:f>
        <x:v>0</x:v>
      </x:c>
      <x:c r="DB482" s="22" t="n">
        <x:f>MAX(0,MIN('Activities'!L482,612)-MAX('Activities'!K482,606))</x:f>
        <x:v>0</x:v>
      </x:c>
      <x:c r="DC482" s="22" t="n">
        <x:f>MAX(0,MIN('Activities'!L482,618)-MAX('Activities'!K482,612))</x:f>
        <x:v>0</x:v>
      </x:c>
      <x:c r="DD482" s="22" t="n">
        <x:f>MAX(0,MIN('Activities'!L482,624)-MAX('Activities'!K482,618))</x:f>
        <x:v>0</x:v>
      </x:c>
      <x:c r="DE482" s="22" t="n">
        <x:f>MAX(0,MIN('Activities'!L482,630)-MAX('Activities'!K482,624))</x:f>
        <x:v>0</x:v>
      </x:c>
      <x:c r="DF482" s="22" t="n">
        <x:f>MAX(0,MIN('Activities'!L482,636)-MAX('Activities'!K482,630))</x:f>
        <x:v>0</x:v>
      </x:c>
    </x:row>
    <x:row r="483" ht="23" customHeight="1">
      <x:c r="A483" s="1" t="str">
        <x:v>T4-L02-P</x:v>
      </x:c>
      <x:c r="B483" s="1" t="str">
        <x:v>T4</x:v>
      </x:c>
      <x:c r="C483" s="1" t="str">
        <x:v>Internal plaster</x:v>
      </x:c>
      <x:c r="D483" s="1" t="str">
        <x:v>Finishes</x:v>
      </x:c>
      <x:c r="E483" s="23" t="n">
        <x:f>MAX(0,MIN('Activities'!L483,6)-MAX('Activities'!K483,0))</x:f>
        <x:v>0</x:v>
      </x:c>
      <x:c r="F483" s="23" t="n">
        <x:f>MAX(0,MIN('Activities'!L483,12)-MAX('Activities'!K483,6))</x:f>
        <x:v>0</x:v>
      </x:c>
      <x:c r="G483" s="23" t="n">
        <x:f>MAX(0,MIN('Activities'!L483,18)-MAX('Activities'!K483,12))</x:f>
        <x:v>0</x:v>
      </x:c>
      <x:c r="H483" s="23" t="n">
        <x:f>MAX(0,MIN('Activities'!L483,24)-MAX('Activities'!K483,18))</x:f>
        <x:v>0</x:v>
      </x:c>
      <x:c r="I483" s="23" t="n">
        <x:f>MAX(0,MIN('Activities'!L483,30)-MAX('Activities'!K483,24))</x:f>
        <x:v>0</x:v>
      </x:c>
      <x:c r="J483" s="23" t="n">
        <x:f>MAX(0,MIN('Activities'!L483,36)-MAX('Activities'!K483,30))</x:f>
        <x:v>0</x:v>
      </x:c>
      <x:c r="K483" s="23" t="n">
        <x:f>MAX(0,MIN('Activities'!L483,42)-MAX('Activities'!K483,36))</x:f>
        <x:v>0</x:v>
      </x:c>
      <x:c r="L483" s="23" t="n">
        <x:f>MAX(0,MIN('Activities'!L483,48)-MAX('Activities'!K483,42))</x:f>
        <x:v>0</x:v>
      </x:c>
      <x:c r="M483" s="23" t="n">
        <x:f>MAX(0,MIN('Activities'!L483,54)-MAX('Activities'!K483,48))</x:f>
        <x:v>0</x:v>
      </x:c>
      <x:c r="N483" s="23" t="n">
        <x:f>MAX(0,MIN('Activities'!L483,60)-MAX('Activities'!K483,54))</x:f>
        <x:v>0</x:v>
      </x:c>
      <x:c r="O483" s="23" t="n">
        <x:f>MAX(0,MIN('Activities'!L483,66)-MAX('Activities'!K483,60))</x:f>
        <x:v>0</x:v>
      </x:c>
      <x:c r="P483" s="23" t="n">
        <x:f>MAX(0,MIN('Activities'!L483,72)-MAX('Activities'!K483,66))</x:f>
        <x:v>0</x:v>
      </x:c>
      <x:c r="Q483" s="23" t="n">
        <x:f>MAX(0,MIN('Activities'!L483,78)-MAX('Activities'!K483,72))</x:f>
        <x:v>0</x:v>
      </x:c>
      <x:c r="R483" s="23" t="n">
        <x:f>MAX(0,MIN('Activities'!L483,84)-MAX('Activities'!K483,78))</x:f>
        <x:v>0</x:v>
      </x:c>
      <x:c r="S483" s="23" t="n">
        <x:f>MAX(0,MIN('Activities'!L483,90)-MAX('Activities'!K483,84))</x:f>
        <x:v>0</x:v>
      </x:c>
      <x:c r="T483" s="23" t="n">
        <x:f>MAX(0,MIN('Activities'!L483,96)-MAX('Activities'!K483,90))</x:f>
        <x:v>0</x:v>
      </x:c>
      <x:c r="U483" s="23" t="n">
        <x:f>MAX(0,MIN('Activities'!L483,102)-MAX('Activities'!K483,96))</x:f>
        <x:v>0</x:v>
      </x:c>
      <x:c r="V483" s="23" t="n">
        <x:f>MAX(0,MIN('Activities'!L483,108)-MAX('Activities'!K483,102))</x:f>
        <x:v>0</x:v>
      </x:c>
      <x:c r="W483" s="23" t="n">
        <x:f>MAX(0,MIN('Activities'!L483,114)-MAX('Activities'!K483,108))</x:f>
        <x:v>0</x:v>
      </x:c>
      <x:c r="X483" s="23" t="n">
        <x:f>MAX(0,MIN('Activities'!L483,120)-MAX('Activities'!K483,114))</x:f>
        <x:v>0</x:v>
      </x:c>
      <x:c r="Y483" s="23" t="n">
        <x:f>MAX(0,MIN('Activities'!L483,126)-MAX('Activities'!K483,120))</x:f>
        <x:v>0</x:v>
      </x:c>
      <x:c r="Z483" s="23" t="n">
        <x:f>MAX(0,MIN('Activities'!L483,132)-MAX('Activities'!K483,126))</x:f>
        <x:v>0</x:v>
      </x:c>
      <x:c r="AA483" s="23" t="n">
        <x:f>MAX(0,MIN('Activities'!L483,138)-MAX('Activities'!K483,132))</x:f>
        <x:v>0</x:v>
      </x:c>
      <x:c r="AB483" s="23" t="n">
        <x:f>MAX(0,MIN('Activities'!L483,144)-MAX('Activities'!K483,138))</x:f>
        <x:v>0</x:v>
      </x:c>
      <x:c r="AC483" s="23" t="n">
        <x:f>MAX(0,MIN('Activities'!L483,150)-MAX('Activities'!K483,144))</x:f>
        <x:v>0</x:v>
      </x:c>
      <x:c r="AD483" s="23" t="n">
        <x:f>MAX(0,MIN('Activities'!L483,156)-MAX('Activities'!K483,150))</x:f>
        <x:v>0</x:v>
      </x:c>
      <x:c r="AE483" s="23" t="n">
        <x:f>MAX(0,MIN('Activities'!L483,162)-MAX('Activities'!K483,156))</x:f>
        <x:v>0</x:v>
      </x:c>
      <x:c r="AF483" s="23" t="n">
        <x:f>MAX(0,MIN('Activities'!L483,168)-MAX('Activities'!K483,162))</x:f>
        <x:v>0</x:v>
      </x:c>
      <x:c r="AG483" s="23" t="n">
        <x:f>MAX(0,MIN('Activities'!L483,174)-MAX('Activities'!K483,168))</x:f>
        <x:v>0</x:v>
      </x:c>
      <x:c r="AH483" s="23" t="n">
        <x:f>MAX(0,MIN('Activities'!L483,180)-MAX('Activities'!K483,174))</x:f>
        <x:v>0</x:v>
      </x:c>
      <x:c r="AI483" s="23" t="n">
        <x:f>MAX(0,MIN('Activities'!L483,186)-MAX('Activities'!K483,180))</x:f>
        <x:v>0</x:v>
      </x:c>
      <x:c r="AJ483" s="23" t="n">
        <x:f>MAX(0,MIN('Activities'!L483,192)-MAX('Activities'!K483,186))</x:f>
        <x:v>0</x:v>
      </x:c>
      <x:c r="AK483" s="23" t="n">
        <x:f>MAX(0,MIN('Activities'!L483,198)-MAX('Activities'!K483,192))</x:f>
        <x:v>0</x:v>
      </x:c>
      <x:c r="AL483" s="23" t="n">
        <x:f>MAX(0,MIN('Activities'!L483,204)-MAX('Activities'!K483,198))</x:f>
        <x:v>0</x:v>
      </x:c>
      <x:c r="AM483" s="23" t="n">
        <x:f>MAX(0,MIN('Activities'!L483,210)-MAX('Activities'!K483,204))</x:f>
        <x:v>0</x:v>
      </x:c>
      <x:c r="AN483" s="23" t="n">
        <x:f>MAX(0,MIN('Activities'!L483,216)-MAX('Activities'!K483,210))</x:f>
        <x:v>0</x:v>
      </x:c>
      <x:c r="AO483" s="23" t="n">
        <x:f>MAX(0,MIN('Activities'!L483,222)-MAX('Activities'!K483,216))</x:f>
        <x:v>0</x:v>
      </x:c>
      <x:c r="AP483" s="23" t="n">
        <x:f>MAX(0,MIN('Activities'!L483,228)-MAX('Activities'!K483,222))</x:f>
        <x:v>0</x:v>
      </x:c>
      <x:c r="AQ483" s="23" t="n">
        <x:f>MAX(0,MIN('Activities'!L483,234)-MAX('Activities'!K483,228))</x:f>
        <x:v>0</x:v>
      </x:c>
      <x:c r="AR483" s="23" t="n">
        <x:f>MAX(0,MIN('Activities'!L483,240)-MAX('Activities'!K483,234))</x:f>
        <x:v>0</x:v>
      </x:c>
      <x:c r="AS483" s="23" t="n">
        <x:f>MAX(0,MIN('Activities'!L483,246)-MAX('Activities'!K483,240))</x:f>
        <x:v>0</x:v>
      </x:c>
      <x:c r="AT483" s="23" t="n">
        <x:f>MAX(0,MIN('Activities'!L483,252)-MAX('Activities'!K483,246))</x:f>
        <x:v>0</x:v>
      </x:c>
      <x:c r="AU483" s="23" t="n">
        <x:f>MAX(0,MIN('Activities'!L483,258)-MAX('Activities'!K483,252))</x:f>
        <x:v>0</x:v>
      </x:c>
      <x:c r="AV483" s="23" t="n">
        <x:f>MAX(0,MIN('Activities'!L483,264)-MAX('Activities'!K483,258))</x:f>
        <x:v>0</x:v>
      </x:c>
      <x:c r="AW483" s="23" t="n">
        <x:f>MAX(0,MIN('Activities'!L483,270)-MAX('Activities'!K483,264))</x:f>
        <x:v>0</x:v>
      </x:c>
      <x:c r="AX483" s="23" t="n">
        <x:f>MAX(0,MIN('Activities'!L483,276)-MAX('Activities'!K483,270))</x:f>
        <x:v>0</x:v>
      </x:c>
      <x:c r="AY483" s="23" t="n">
        <x:f>MAX(0,MIN('Activities'!L483,282)-MAX('Activities'!K483,276))</x:f>
        <x:v>0</x:v>
      </x:c>
      <x:c r="AZ483" s="23" t="n">
        <x:f>MAX(0,MIN('Activities'!L483,288)-MAX('Activities'!K483,282))</x:f>
        <x:v>0</x:v>
      </x:c>
      <x:c r="BA483" s="23" t="n">
        <x:f>MAX(0,MIN('Activities'!L483,294)-MAX('Activities'!K483,288))</x:f>
        <x:v>3</x:v>
      </x:c>
      <x:c r="BB483" s="23" t="n">
        <x:f>MAX(0,MIN('Activities'!L483,300)-MAX('Activities'!K483,294))</x:f>
        <x:v>3</x:v>
      </x:c>
      <x:c r="BC483" s="23" t="n">
        <x:f>MAX(0,MIN('Activities'!L483,306)-MAX('Activities'!K483,300))</x:f>
        <x:v>0</x:v>
      </x:c>
      <x:c r="BD483" s="23" t="n">
        <x:f>MAX(0,MIN('Activities'!L483,312)-MAX('Activities'!K483,306))</x:f>
        <x:v>0</x:v>
      </x:c>
      <x:c r="BE483" s="23" t="n">
        <x:f>MAX(0,MIN('Activities'!L483,318)-MAX('Activities'!K483,312))</x:f>
        <x:v>0</x:v>
      </x:c>
      <x:c r="BF483" s="23" t="n">
        <x:f>MAX(0,MIN('Activities'!L483,324)-MAX('Activities'!K483,318))</x:f>
        <x:v>0</x:v>
      </x:c>
      <x:c r="BG483" s="23" t="n">
        <x:f>MAX(0,MIN('Activities'!L483,330)-MAX('Activities'!K483,324))</x:f>
        <x:v>0</x:v>
      </x:c>
      <x:c r="BH483" s="23" t="n">
        <x:f>MAX(0,MIN('Activities'!L483,336)-MAX('Activities'!K483,330))</x:f>
        <x:v>0</x:v>
      </x:c>
      <x:c r="BI483" s="23" t="n">
        <x:f>MAX(0,MIN('Activities'!L483,342)-MAX('Activities'!K483,336))</x:f>
        <x:v>0</x:v>
      </x:c>
      <x:c r="BJ483" s="23" t="n">
        <x:f>MAX(0,MIN('Activities'!L483,348)-MAX('Activities'!K483,342))</x:f>
        <x:v>0</x:v>
      </x:c>
      <x:c r="BK483" s="23" t="n">
        <x:f>MAX(0,MIN('Activities'!L483,354)-MAX('Activities'!K483,348))</x:f>
        <x:v>0</x:v>
      </x:c>
      <x:c r="BL483" s="23" t="n">
        <x:f>MAX(0,MIN('Activities'!L483,360)-MAX('Activities'!K483,354))</x:f>
        <x:v>0</x:v>
      </x:c>
      <x:c r="BM483" s="23" t="n">
        <x:f>MAX(0,MIN('Activities'!L483,366)-MAX('Activities'!K483,360))</x:f>
        <x:v>0</x:v>
      </x:c>
      <x:c r="BN483" s="23" t="n">
        <x:f>MAX(0,MIN('Activities'!L483,372)-MAX('Activities'!K483,366))</x:f>
        <x:v>0</x:v>
      </x:c>
      <x:c r="BO483" s="23" t="n">
        <x:f>MAX(0,MIN('Activities'!L483,378)-MAX('Activities'!K483,372))</x:f>
        <x:v>0</x:v>
      </x:c>
      <x:c r="BP483" s="23" t="n">
        <x:f>MAX(0,MIN('Activities'!L483,384)-MAX('Activities'!K483,378))</x:f>
        <x:v>0</x:v>
      </x:c>
      <x:c r="BQ483" s="23" t="n">
        <x:f>MAX(0,MIN('Activities'!L483,390)-MAX('Activities'!K483,384))</x:f>
        <x:v>0</x:v>
      </x:c>
      <x:c r="BR483" s="23" t="n">
        <x:f>MAX(0,MIN('Activities'!L483,396)-MAX('Activities'!K483,390))</x:f>
        <x:v>0</x:v>
      </x:c>
      <x:c r="BS483" s="23" t="n">
        <x:f>MAX(0,MIN('Activities'!L483,402)-MAX('Activities'!K483,396))</x:f>
        <x:v>0</x:v>
      </x:c>
      <x:c r="BT483" s="23" t="n">
        <x:f>MAX(0,MIN('Activities'!L483,408)-MAX('Activities'!K483,402))</x:f>
        <x:v>0</x:v>
      </x:c>
      <x:c r="BU483" s="23" t="n">
        <x:f>MAX(0,MIN('Activities'!L483,414)-MAX('Activities'!K483,408))</x:f>
        <x:v>0</x:v>
      </x:c>
      <x:c r="BV483" s="23" t="n">
        <x:f>MAX(0,MIN('Activities'!L483,420)-MAX('Activities'!K483,414))</x:f>
        <x:v>0</x:v>
      </x:c>
      <x:c r="BW483" s="23" t="n">
        <x:f>MAX(0,MIN('Activities'!L483,426)-MAX('Activities'!K483,420))</x:f>
        <x:v>0</x:v>
      </x:c>
      <x:c r="BX483" s="23" t="n">
        <x:f>MAX(0,MIN('Activities'!L483,432)-MAX('Activities'!K483,426))</x:f>
        <x:v>0</x:v>
      </x:c>
      <x:c r="BY483" s="23" t="n">
        <x:f>MAX(0,MIN('Activities'!L483,438)-MAX('Activities'!K483,432))</x:f>
        <x:v>0</x:v>
      </x:c>
      <x:c r="BZ483" s="23" t="n">
        <x:f>MAX(0,MIN('Activities'!L483,444)-MAX('Activities'!K483,438))</x:f>
        <x:v>0</x:v>
      </x:c>
      <x:c r="CA483" s="23" t="n">
        <x:f>MAX(0,MIN('Activities'!L483,450)-MAX('Activities'!K483,444))</x:f>
        <x:v>0</x:v>
      </x:c>
      <x:c r="CB483" s="23" t="n">
        <x:f>MAX(0,MIN('Activities'!L483,456)-MAX('Activities'!K483,450))</x:f>
        <x:v>0</x:v>
      </x:c>
      <x:c r="CC483" s="23" t="n">
        <x:f>MAX(0,MIN('Activities'!L483,462)-MAX('Activities'!K483,456))</x:f>
        <x:v>0</x:v>
      </x:c>
      <x:c r="CD483" s="23" t="n">
        <x:f>MAX(0,MIN('Activities'!L483,468)-MAX('Activities'!K483,462))</x:f>
        <x:v>0</x:v>
      </x:c>
      <x:c r="CE483" s="23" t="n">
        <x:f>MAX(0,MIN('Activities'!L483,474)-MAX('Activities'!K483,468))</x:f>
        <x:v>0</x:v>
      </x:c>
      <x:c r="CF483" s="23" t="n">
        <x:f>MAX(0,MIN('Activities'!L483,480)-MAX('Activities'!K483,474))</x:f>
        <x:v>0</x:v>
      </x:c>
      <x:c r="CG483" s="23" t="n">
        <x:f>MAX(0,MIN('Activities'!L483,486)-MAX('Activities'!K483,480))</x:f>
        <x:v>0</x:v>
      </x:c>
      <x:c r="CH483" s="23" t="n">
        <x:f>MAX(0,MIN('Activities'!L483,492)-MAX('Activities'!K483,486))</x:f>
        <x:v>0</x:v>
      </x:c>
      <x:c r="CI483" s="23" t="n">
        <x:f>MAX(0,MIN('Activities'!L483,498)-MAX('Activities'!K483,492))</x:f>
        <x:v>0</x:v>
      </x:c>
      <x:c r="CJ483" s="23" t="n">
        <x:f>MAX(0,MIN('Activities'!L483,504)-MAX('Activities'!K483,498))</x:f>
        <x:v>0</x:v>
      </x:c>
      <x:c r="CK483" s="23" t="n">
        <x:f>MAX(0,MIN('Activities'!L483,510)-MAX('Activities'!K483,504))</x:f>
        <x:v>0</x:v>
      </x:c>
      <x:c r="CL483" s="23" t="n">
        <x:f>MAX(0,MIN('Activities'!L483,516)-MAX('Activities'!K483,510))</x:f>
        <x:v>0</x:v>
      </x:c>
      <x:c r="CM483" s="23" t="n">
        <x:f>MAX(0,MIN('Activities'!L483,522)-MAX('Activities'!K483,516))</x:f>
        <x:v>0</x:v>
      </x:c>
      <x:c r="CN483" s="23" t="n">
        <x:f>MAX(0,MIN('Activities'!L483,528)-MAX('Activities'!K483,522))</x:f>
        <x:v>0</x:v>
      </x:c>
      <x:c r="CO483" s="23" t="n">
        <x:f>MAX(0,MIN('Activities'!L483,534)-MAX('Activities'!K483,528))</x:f>
        <x:v>0</x:v>
      </x:c>
      <x:c r="CP483" s="23" t="n">
        <x:f>MAX(0,MIN('Activities'!L483,540)-MAX('Activities'!K483,534))</x:f>
        <x:v>0</x:v>
      </x:c>
      <x:c r="CQ483" s="23" t="n">
        <x:f>MAX(0,MIN('Activities'!L483,546)-MAX('Activities'!K483,540))</x:f>
        <x:v>0</x:v>
      </x:c>
      <x:c r="CR483" s="23" t="n">
        <x:f>MAX(0,MIN('Activities'!L483,552)-MAX('Activities'!K483,546))</x:f>
        <x:v>0</x:v>
      </x:c>
      <x:c r="CS483" s="23" t="n">
        <x:f>MAX(0,MIN('Activities'!L483,558)-MAX('Activities'!K483,552))</x:f>
        <x:v>0</x:v>
      </x:c>
      <x:c r="CT483" s="23" t="n">
        <x:f>MAX(0,MIN('Activities'!L483,564)-MAX('Activities'!K483,558))</x:f>
        <x:v>0</x:v>
      </x:c>
      <x:c r="CU483" s="23" t="n">
        <x:f>MAX(0,MIN('Activities'!L483,570)-MAX('Activities'!K483,564))</x:f>
        <x:v>0</x:v>
      </x:c>
      <x:c r="CV483" s="23" t="n">
        <x:f>MAX(0,MIN('Activities'!L483,576)-MAX('Activities'!K483,570))</x:f>
        <x:v>0</x:v>
      </x:c>
      <x:c r="CW483" s="23" t="n">
        <x:f>MAX(0,MIN('Activities'!L483,582)-MAX('Activities'!K483,576))</x:f>
        <x:v>0</x:v>
      </x:c>
      <x:c r="CX483" s="23" t="n">
        <x:f>MAX(0,MIN('Activities'!L483,588)-MAX('Activities'!K483,582))</x:f>
        <x:v>0</x:v>
      </x:c>
      <x:c r="CY483" s="23" t="n">
        <x:f>MAX(0,MIN('Activities'!L483,594)-MAX('Activities'!K483,588))</x:f>
        <x:v>0</x:v>
      </x:c>
      <x:c r="CZ483" s="23" t="n">
        <x:f>MAX(0,MIN('Activities'!L483,600)-MAX('Activities'!K483,594))</x:f>
        <x:v>0</x:v>
      </x:c>
      <x:c r="DA483" s="23" t="n">
        <x:f>MAX(0,MIN('Activities'!L483,606)-MAX('Activities'!K483,600))</x:f>
        <x:v>0</x:v>
      </x:c>
      <x:c r="DB483" s="23" t="n">
        <x:f>MAX(0,MIN('Activities'!L483,612)-MAX('Activities'!K483,606))</x:f>
        <x:v>0</x:v>
      </x:c>
      <x:c r="DC483" s="23" t="n">
        <x:f>MAX(0,MIN('Activities'!L483,618)-MAX('Activities'!K483,612))</x:f>
        <x:v>0</x:v>
      </x:c>
      <x:c r="DD483" s="23" t="n">
        <x:f>MAX(0,MIN('Activities'!L483,624)-MAX('Activities'!K483,618))</x:f>
        <x:v>0</x:v>
      </x:c>
      <x:c r="DE483" s="23" t="n">
        <x:f>MAX(0,MIN('Activities'!L483,630)-MAX('Activities'!K483,624))</x:f>
        <x:v>0</x:v>
      </x:c>
      <x:c r="DF483" s="23" t="n">
        <x:f>MAX(0,MIN('Activities'!L483,636)-MAX('Activities'!K483,630))</x:f>
        <x:v>0</x:v>
      </x:c>
    </x:row>
    <x:row r="484" ht="23" customHeight="1">
      <x:c r="A484" s="6" t="str">
        <x:v>T4-L02-S</x:v>
      </x:c>
      <x:c r="B484" s="6" t="str">
        <x:v>T4</x:v>
      </x:c>
      <x:c r="C484" s="6" t="str">
        <x:v>Screed and substrate preparation</x:v>
      </x:c>
      <x:c r="D484" s="6" t="str">
        <x:v>Finishes</x:v>
      </x:c>
      <x:c r="E484" s="22" t="n">
        <x:f>MAX(0,MIN('Activities'!L484,6)-MAX('Activities'!K484,0))</x:f>
        <x:v>0</x:v>
      </x:c>
      <x:c r="F484" s="22" t="n">
        <x:f>MAX(0,MIN('Activities'!L484,12)-MAX('Activities'!K484,6))</x:f>
        <x:v>0</x:v>
      </x:c>
      <x:c r="G484" s="22" t="n">
        <x:f>MAX(0,MIN('Activities'!L484,18)-MAX('Activities'!K484,12))</x:f>
        <x:v>0</x:v>
      </x:c>
      <x:c r="H484" s="22" t="n">
        <x:f>MAX(0,MIN('Activities'!L484,24)-MAX('Activities'!K484,18))</x:f>
        <x:v>0</x:v>
      </x:c>
      <x:c r="I484" s="22" t="n">
        <x:f>MAX(0,MIN('Activities'!L484,30)-MAX('Activities'!K484,24))</x:f>
        <x:v>0</x:v>
      </x:c>
      <x:c r="J484" s="22" t="n">
        <x:f>MAX(0,MIN('Activities'!L484,36)-MAX('Activities'!K484,30))</x:f>
        <x:v>0</x:v>
      </x:c>
      <x:c r="K484" s="22" t="n">
        <x:f>MAX(0,MIN('Activities'!L484,42)-MAX('Activities'!K484,36))</x:f>
        <x:v>0</x:v>
      </x:c>
      <x:c r="L484" s="22" t="n">
        <x:f>MAX(0,MIN('Activities'!L484,48)-MAX('Activities'!K484,42))</x:f>
        <x:v>0</x:v>
      </x:c>
      <x:c r="M484" s="22" t="n">
        <x:f>MAX(0,MIN('Activities'!L484,54)-MAX('Activities'!K484,48))</x:f>
        <x:v>0</x:v>
      </x:c>
      <x:c r="N484" s="22" t="n">
        <x:f>MAX(0,MIN('Activities'!L484,60)-MAX('Activities'!K484,54))</x:f>
        <x:v>0</x:v>
      </x:c>
      <x:c r="O484" s="22" t="n">
        <x:f>MAX(0,MIN('Activities'!L484,66)-MAX('Activities'!K484,60))</x:f>
        <x:v>0</x:v>
      </x:c>
      <x:c r="P484" s="22" t="n">
        <x:f>MAX(0,MIN('Activities'!L484,72)-MAX('Activities'!K484,66))</x:f>
        <x:v>0</x:v>
      </x:c>
      <x:c r="Q484" s="22" t="n">
        <x:f>MAX(0,MIN('Activities'!L484,78)-MAX('Activities'!K484,72))</x:f>
        <x:v>0</x:v>
      </x:c>
      <x:c r="R484" s="22" t="n">
        <x:f>MAX(0,MIN('Activities'!L484,84)-MAX('Activities'!K484,78))</x:f>
        <x:v>0</x:v>
      </x:c>
      <x:c r="S484" s="22" t="n">
        <x:f>MAX(0,MIN('Activities'!L484,90)-MAX('Activities'!K484,84))</x:f>
        <x:v>0</x:v>
      </x:c>
      <x:c r="T484" s="22" t="n">
        <x:f>MAX(0,MIN('Activities'!L484,96)-MAX('Activities'!K484,90))</x:f>
        <x:v>0</x:v>
      </x:c>
      <x:c r="U484" s="22" t="n">
        <x:f>MAX(0,MIN('Activities'!L484,102)-MAX('Activities'!K484,96))</x:f>
        <x:v>0</x:v>
      </x:c>
      <x:c r="V484" s="22" t="n">
        <x:f>MAX(0,MIN('Activities'!L484,108)-MAX('Activities'!K484,102))</x:f>
        <x:v>0</x:v>
      </x:c>
      <x:c r="W484" s="22" t="n">
        <x:f>MAX(0,MIN('Activities'!L484,114)-MAX('Activities'!K484,108))</x:f>
        <x:v>0</x:v>
      </x:c>
      <x:c r="X484" s="22" t="n">
        <x:f>MAX(0,MIN('Activities'!L484,120)-MAX('Activities'!K484,114))</x:f>
        <x:v>0</x:v>
      </x:c>
      <x:c r="Y484" s="22" t="n">
        <x:f>MAX(0,MIN('Activities'!L484,126)-MAX('Activities'!K484,120))</x:f>
        <x:v>0</x:v>
      </x:c>
      <x:c r="Z484" s="22" t="n">
        <x:f>MAX(0,MIN('Activities'!L484,132)-MAX('Activities'!K484,126))</x:f>
        <x:v>0</x:v>
      </x:c>
      <x:c r="AA484" s="22" t="n">
        <x:f>MAX(0,MIN('Activities'!L484,138)-MAX('Activities'!K484,132))</x:f>
        <x:v>0</x:v>
      </x:c>
      <x:c r="AB484" s="22" t="n">
        <x:f>MAX(0,MIN('Activities'!L484,144)-MAX('Activities'!K484,138))</x:f>
        <x:v>0</x:v>
      </x:c>
      <x:c r="AC484" s="22" t="n">
        <x:f>MAX(0,MIN('Activities'!L484,150)-MAX('Activities'!K484,144))</x:f>
        <x:v>0</x:v>
      </x:c>
      <x:c r="AD484" s="22" t="n">
        <x:f>MAX(0,MIN('Activities'!L484,156)-MAX('Activities'!K484,150))</x:f>
        <x:v>0</x:v>
      </x:c>
      <x:c r="AE484" s="22" t="n">
        <x:f>MAX(0,MIN('Activities'!L484,162)-MAX('Activities'!K484,156))</x:f>
        <x:v>0</x:v>
      </x:c>
      <x:c r="AF484" s="22" t="n">
        <x:f>MAX(0,MIN('Activities'!L484,168)-MAX('Activities'!K484,162))</x:f>
        <x:v>0</x:v>
      </x:c>
      <x:c r="AG484" s="22" t="n">
        <x:f>MAX(0,MIN('Activities'!L484,174)-MAX('Activities'!K484,168))</x:f>
        <x:v>0</x:v>
      </x:c>
      <x:c r="AH484" s="22" t="n">
        <x:f>MAX(0,MIN('Activities'!L484,180)-MAX('Activities'!K484,174))</x:f>
        <x:v>0</x:v>
      </x:c>
      <x:c r="AI484" s="22" t="n">
        <x:f>MAX(0,MIN('Activities'!L484,186)-MAX('Activities'!K484,180))</x:f>
        <x:v>0</x:v>
      </x:c>
      <x:c r="AJ484" s="22" t="n">
        <x:f>MAX(0,MIN('Activities'!L484,192)-MAX('Activities'!K484,186))</x:f>
        <x:v>0</x:v>
      </x:c>
      <x:c r="AK484" s="22" t="n">
        <x:f>MAX(0,MIN('Activities'!L484,198)-MAX('Activities'!K484,192))</x:f>
        <x:v>0</x:v>
      </x:c>
      <x:c r="AL484" s="22" t="n">
        <x:f>MAX(0,MIN('Activities'!L484,204)-MAX('Activities'!K484,198))</x:f>
        <x:v>0</x:v>
      </x:c>
      <x:c r="AM484" s="22" t="n">
        <x:f>MAX(0,MIN('Activities'!L484,210)-MAX('Activities'!K484,204))</x:f>
        <x:v>0</x:v>
      </x:c>
      <x:c r="AN484" s="22" t="n">
        <x:f>MAX(0,MIN('Activities'!L484,216)-MAX('Activities'!K484,210))</x:f>
        <x:v>0</x:v>
      </x:c>
      <x:c r="AO484" s="22" t="n">
        <x:f>MAX(0,MIN('Activities'!L484,222)-MAX('Activities'!K484,216))</x:f>
        <x:v>0</x:v>
      </x:c>
      <x:c r="AP484" s="22" t="n">
        <x:f>MAX(0,MIN('Activities'!L484,228)-MAX('Activities'!K484,222))</x:f>
        <x:v>0</x:v>
      </x:c>
      <x:c r="AQ484" s="22" t="n">
        <x:f>MAX(0,MIN('Activities'!L484,234)-MAX('Activities'!K484,228))</x:f>
        <x:v>0</x:v>
      </x:c>
      <x:c r="AR484" s="22" t="n">
        <x:f>MAX(0,MIN('Activities'!L484,240)-MAX('Activities'!K484,234))</x:f>
        <x:v>0</x:v>
      </x:c>
      <x:c r="AS484" s="22" t="n">
        <x:f>MAX(0,MIN('Activities'!L484,246)-MAX('Activities'!K484,240))</x:f>
        <x:v>0</x:v>
      </x:c>
      <x:c r="AT484" s="22" t="n">
        <x:f>MAX(0,MIN('Activities'!L484,252)-MAX('Activities'!K484,246))</x:f>
        <x:v>0</x:v>
      </x:c>
      <x:c r="AU484" s="22" t="n">
        <x:f>MAX(0,MIN('Activities'!L484,258)-MAX('Activities'!K484,252))</x:f>
        <x:v>0</x:v>
      </x:c>
      <x:c r="AV484" s="22" t="n">
        <x:f>MAX(0,MIN('Activities'!L484,264)-MAX('Activities'!K484,258))</x:f>
        <x:v>0</x:v>
      </x:c>
      <x:c r="AW484" s="22" t="n">
        <x:f>MAX(0,MIN('Activities'!L484,270)-MAX('Activities'!K484,264))</x:f>
        <x:v>0</x:v>
      </x:c>
      <x:c r="AX484" s="22" t="n">
        <x:f>MAX(0,MIN('Activities'!L484,276)-MAX('Activities'!K484,270))</x:f>
        <x:v>0</x:v>
      </x:c>
      <x:c r="AY484" s="22" t="n">
        <x:f>MAX(0,MIN('Activities'!L484,282)-MAX('Activities'!K484,276))</x:f>
        <x:v>0</x:v>
      </x:c>
      <x:c r="AZ484" s="22" t="n">
        <x:f>MAX(0,MIN('Activities'!L484,288)-MAX('Activities'!K484,282))</x:f>
        <x:v>0</x:v>
      </x:c>
      <x:c r="BA484" s="22" t="n">
        <x:f>MAX(0,MIN('Activities'!L484,294)-MAX('Activities'!K484,288))</x:f>
        <x:v>0</x:v>
      </x:c>
      <x:c r="BB484" s="22" t="n">
        <x:f>MAX(0,MIN('Activities'!L484,300)-MAX('Activities'!K484,294))</x:f>
        <x:v>1</x:v>
      </x:c>
      <x:c r="BC484" s="22" t="n">
        <x:f>MAX(0,MIN('Activities'!L484,306)-MAX('Activities'!K484,300))</x:f>
        <x:v>2</x:v>
      </x:c>
      <x:c r="BD484" s="22" t="n">
        <x:f>MAX(0,MIN('Activities'!L484,312)-MAX('Activities'!K484,306))</x:f>
        <x:v>0</x:v>
      </x:c>
      <x:c r="BE484" s="22" t="n">
        <x:f>MAX(0,MIN('Activities'!L484,318)-MAX('Activities'!K484,312))</x:f>
        <x:v>0</x:v>
      </x:c>
      <x:c r="BF484" s="22" t="n">
        <x:f>MAX(0,MIN('Activities'!L484,324)-MAX('Activities'!K484,318))</x:f>
        <x:v>0</x:v>
      </x:c>
      <x:c r="BG484" s="22" t="n">
        <x:f>MAX(0,MIN('Activities'!L484,330)-MAX('Activities'!K484,324))</x:f>
        <x:v>0</x:v>
      </x:c>
      <x:c r="BH484" s="22" t="n">
        <x:f>MAX(0,MIN('Activities'!L484,336)-MAX('Activities'!K484,330))</x:f>
        <x:v>0</x:v>
      </x:c>
      <x:c r="BI484" s="22" t="n">
        <x:f>MAX(0,MIN('Activities'!L484,342)-MAX('Activities'!K484,336))</x:f>
        <x:v>0</x:v>
      </x:c>
      <x:c r="BJ484" s="22" t="n">
        <x:f>MAX(0,MIN('Activities'!L484,348)-MAX('Activities'!K484,342))</x:f>
        <x:v>0</x:v>
      </x:c>
      <x:c r="BK484" s="22" t="n">
        <x:f>MAX(0,MIN('Activities'!L484,354)-MAX('Activities'!K484,348))</x:f>
        <x:v>0</x:v>
      </x:c>
      <x:c r="BL484" s="22" t="n">
        <x:f>MAX(0,MIN('Activities'!L484,360)-MAX('Activities'!K484,354))</x:f>
        <x:v>0</x:v>
      </x:c>
      <x:c r="BM484" s="22" t="n">
        <x:f>MAX(0,MIN('Activities'!L484,366)-MAX('Activities'!K484,360))</x:f>
        <x:v>0</x:v>
      </x:c>
      <x:c r="BN484" s="22" t="n">
        <x:f>MAX(0,MIN('Activities'!L484,372)-MAX('Activities'!K484,366))</x:f>
        <x:v>0</x:v>
      </x:c>
      <x:c r="BO484" s="22" t="n">
        <x:f>MAX(0,MIN('Activities'!L484,378)-MAX('Activities'!K484,372))</x:f>
        <x:v>0</x:v>
      </x:c>
      <x:c r="BP484" s="22" t="n">
        <x:f>MAX(0,MIN('Activities'!L484,384)-MAX('Activities'!K484,378))</x:f>
        <x:v>0</x:v>
      </x:c>
      <x:c r="BQ484" s="22" t="n">
        <x:f>MAX(0,MIN('Activities'!L484,390)-MAX('Activities'!K484,384))</x:f>
        <x:v>0</x:v>
      </x:c>
      <x:c r="BR484" s="22" t="n">
        <x:f>MAX(0,MIN('Activities'!L484,396)-MAX('Activities'!K484,390))</x:f>
        <x:v>0</x:v>
      </x:c>
      <x:c r="BS484" s="22" t="n">
        <x:f>MAX(0,MIN('Activities'!L484,402)-MAX('Activities'!K484,396))</x:f>
        <x:v>0</x:v>
      </x:c>
      <x:c r="BT484" s="22" t="n">
        <x:f>MAX(0,MIN('Activities'!L484,408)-MAX('Activities'!K484,402))</x:f>
        <x:v>0</x:v>
      </x:c>
      <x:c r="BU484" s="22" t="n">
        <x:f>MAX(0,MIN('Activities'!L484,414)-MAX('Activities'!K484,408))</x:f>
        <x:v>0</x:v>
      </x:c>
      <x:c r="BV484" s="22" t="n">
        <x:f>MAX(0,MIN('Activities'!L484,420)-MAX('Activities'!K484,414))</x:f>
        <x:v>0</x:v>
      </x:c>
      <x:c r="BW484" s="22" t="n">
        <x:f>MAX(0,MIN('Activities'!L484,426)-MAX('Activities'!K484,420))</x:f>
        <x:v>0</x:v>
      </x:c>
      <x:c r="BX484" s="22" t="n">
        <x:f>MAX(0,MIN('Activities'!L484,432)-MAX('Activities'!K484,426))</x:f>
        <x:v>0</x:v>
      </x:c>
      <x:c r="BY484" s="22" t="n">
        <x:f>MAX(0,MIN('Activities'!L484,438)-MAX('Activities'!K484,432))</x:f>
        <x:v>0</x:v>
      </x:c>
      <x:c r="BZ484" s="22" t="n">
        <x:f>MAX(0,MIN('Activities'!L484,444)-MAX('Activities'!K484,438))</x:f>
        <x:v>0</x:v>
      </x:c>
      <x:c r="CA484" s="22" t="n">
        <x:f>MAX(0,MIN('Activities'!L484,450)-MAX('Activities'!K484,444))</x:f>
        <x:v>0</x:v>
      </x:c>
      <x:c r="CB484" s="22" t="n">
        <x:f>MAX(0,MIN('Activities'!L484,456)-MAX('Activities'!K484,450))</x:f>
        <x:v>0</x:v>
      </x:c>
      <x:c r="CC484" s="22" t="n">
        <x:f>MAX(0,MIN('Activities'!L484,462)-MAX('Activities'!K484,456))</x:f>
        <x:v>0</x:v>
      </x:c>
      <x:c r="CD484" s="22" t="n">
        <x:f>MAX(0,MIN('Activities'!L484,468)-MAX('Activities'!K484,462))</x:f>
        <x:v>0</x:v>
      </x:c>
      <x:c r="CE484" s="22" t="n">
        <x:f>MAX(0,MIN('Activities'!L484,474)-MAX('Activities'!K484,468))</x:f>
        <x:v>0</x:v>
      </x:c>
      <x:c r="CF484" s="22" t="n">
        <x:f>MAX(0,MIN('Activities'!L484,480)-MAX('Activities'!K484,474))</x:f>
        <x:v>0</x:v>
      </x:c>
      <x:c r="CG484" s="22" t="n">
        <x:f>MAX(0,MIN('Activities'!L484,486)-MAX('Activities'!K484,480))</x:f>
        <x:v>0</x:v>
      </x:c>
      <x:c r="CH484" s="22" t="n">
        <x:f>MAX(0,MIN('Activities'!L484,492)-MAX('Activities'!K484,486))</x:f>
        <x:v>0</x:v>
      </x:c>
      <x:c r="CI484" s="22" t="n">
        <x:f>MAX(0,MIN('Activities'!L484,498)-MAX('Activities'!K484,492))</x:f>
        <x:v>0</x:v>
      </x:c>
      <x:c r="CJ484" s="22" t="n">
        <x:f>MAX(0,MIN('Activities'!L484,504)-MAX('Activities'!K484,498))</x:f>
        <x:v>0</x:v>
      </x:c>
      <x:c r="CK484" s="22" t="n">
        <x:f>MAX(0,MIN('Activities'!L484,510)-MAX('Activities'!K484,504))</x:f>
        <x:v>0</x:v>
      </x:c>
      <x:c r="CL484" s="22" t="n">
        <x:f>MAX(0,MIN('Activities'!L484,516)-MAX('Activities'!K484,510))</x:f>
        <x:v>0</x:v>
      </x:c>
      <x:c r="CM484" s="22" t="n">
        <x:f>MAX(0,MIN('Activities'!L484,522)-MAX('Activities'!K484,516))</x:f>
        <x:v>0</x:v>
      </x:c>
      <x:c r="CN484" s="22" t="n">
        <x:f>MAX(0,MIN('Activities'!L484,528)-MAX('Activities'!K484,522))</x:f>
        <x:v>0</x:v>
      </x:c>
      <x:c r="CO484" s="22" t="n">
        <x:f>MAX(0,MIN('Activities'!L484,534)-MAX('Activities'!K484,528))</x:f>
        <x:v>0</x:v>
      </x:c>
      <x:c r="CP484" s="22" t="n">
        <x:f>MAX(0,MIN('Activities'!L484,540)-MAX('Activities'!K484,534))</x:f>
        <x:v>0</x:v>
      </x:c>
      <x:c r="CQ484" s="22" t="n">
        <x:f>MAX(0,MIN('Activities'!L484,546)-MAX('Activities'!K484,540))</x:f>
        <x:v>0</x:v>
      </x:c>
      <x:c r="CR484" s="22" t="n">
        <x:f>MAX(0,MIN('Activities'!L484,552)-MAX('Activities'!K484,546))</x:f>
        <x:v>0</x:v>
      </x:c>
      <x:c r="CS484" s="22" t="n">
        <x:f>MAX(0,MIN('Activities'!L484,558)-MAX('Activities'!K484,552))</x:f>
        <x:v>0</x:v>
      </x:c>
      <x:c r="CT484" s="22" t="n">
        <x:f>MAX(0,MIN('Activities'!L484,564)-MAX('Activities'!K484,558))</x:f>
        <x:v>0</x:v>
      </x:c>
      <x:c r="CU484" s="22" t="n">
        <x:f>MAX(0,MIN('Activities'!L484,570)-MAX('Activities'!K484,564))</x:f>
        <x:v>0</x:v>
      </x:c>
      <x:c r="CV484" s="22" t="n">
        <x:f>MAX(0,MIN('Activities'!L484,576)-MAX('Activities'!K484,570))</x:f>
        <x:v>0</x:v>
      </x:c>
      <x:c r="CW484" s="22" t="n">
        <x:f>MAX(0,MIN('Activities'!L484,582)-MAX('Activities'!K484,576))</x:f>
        <x:v>0</x:v>
      </x:c>
      <x:c r="CX484" s="22" t="n">
        <x:f>MAX(0,MIN('Activities'!L484,588)-MAX('Activities'!K484,582))</x:f>
        <x:v>0</x:v>
      </x:c>
      <x:c r="CY484" s="22" t="n">
        <x:f>MAX(0,MIN('Activities'!L484,594)-MAX('Activities'!K484,588))</x:f>
        <x:v>0</x:v>
      </x:c>
      <x:c r="CZ484" s="22" t="n">
        <x:f>MAX(0,MIN('Activities'!L484,600)-MAX('Activities'!K484,594))</x:f>
        <x:v>0</x:v>
      </x:c>
      <x:c r="DA484" s="22" t="n">
        <x:f>MAX(0,MIN('Activities'!L484,606)-MAX('Activities'!K484,600))</x:f>
        <x:v>0</x:v>
      </x:c>
      <x:c r="DB484" s="22" t="n">
        <x:f>MAX(0,MIN('Activities'!L484,612)-MAX('Activities'!K484,606))</x:f>
        <x:v>0</x:v>
      </x:c>
      <x:c r="DC484" s="22" t="n">
        <x:f>MAX(0,MIN('Activities'!L484,618)-MAX('Activities'!K484,612))</x:f>
        <x:v>0</x:v>
      </x:c>
      <x:c r="DD484" s="22" t="n">
        <x:f>MAX(0,MIN('Activities'!L484,624)-MAX('Activities'!K484,618))</x:f>
        <x:v>0</x:v>
      </x:c>
      <x:c r="DE484" s="22" t="n">
        <x:f>MAX(0,MIN('Activities'!L484,630)-MAX('Activities'!K484,624))</x:f>
        <x:v>0</x:v>
      </x:c>
      <x:c r="DF484" s="22" t="n">
        <x:f>MAX(0,MIN('Activities'!L484,636)-MAX('Activities'!K484,630))</x:f>
        <x:v>0</x:v>
      </x:c>
    </x:row>
    <x:row r="485" ht="23" customHeight="1">
      <x:c r="A485" s="1" t="str">
        <x:v>T4-L02-T</x:v>
      </x:c>
      <x:c r="B485" s="1" t="str">
        <x:v>T4</x:v>
      </x:c>
      <x:c r="C485" s="1" t="str">
        <x:v>Floor finishes and skirtings</x:v>
      </x:c>
      <x:c r="D485" s="1" t="str">
        <x:v>Finishes</x:v>
      </x:c>
      <x:c r="E485" s="23" t="n">
        <x:f>MAX(0,MIN('Activities'!L485,6)-MAX('Activities'!K485,0))</x:f>
        <x:v>0</x:v>
      </x:c>
      <x:c r="F485" s="23" t="n">
        <x:f>MAX(0,MIN('Activities'!L485,12)-MAX('Activities'!K485,6))</x:f>
        <x:v>0</x:v>
      </x:c>
      <x:c r="G485" s="23" t="n">
        <x:f>MAX(0,MIN('Activities'!L485,18)-MAX('Activities'!K485,12))</x:f>
        <x:v>0</x:v>
      </x:c>
      <x:c r="H485" s="23" t="n">
        <x:f>MAX(0,MIN('Activities'!L485,24)-MAX('Activities'!K485,18))</x:f>
        <x:v>0</x:v>
      </x:c>
      <x:c r="I485" s="23" t="n">
        <x:f>MAX(0,MIN('Activities'!L485,30)-MAX('Activities'!K485,24))</x:f>
        <x:v>0</x:v>
      </x:c>
      <x:c r="J485" s="23" t="n">
        <x:f>MAX(0,MIN('Activities'!L485,36)-MAX('Activities'!K485,30))</x:f>
        <x:v>0</x:v>
      </x:c>
      <x:c r="K485" s="23" t="n">
        <x:f>MAX(0,MIN('Activities'!L485,42)-MAX('Activities'!K485,36))</x:f>
        <x:v>0</x:v>
      </x:c>
      <x:c r="L485" s="23" t="n">
        <x:f>MAX(0,MIN('Activities'!L485,48)-MAX('Activities'!K485,42))</x:f>
        <x:v>0</x:v>
      </x:c>
      <x:c r="M485" s="23" t="n">
        <x:f>MAX(0,MIN('Activities'!L485,54)-MAX('Activities'!K485,48))</x:f>
        <x:v>0</x:v>
      </x:c>
      <x:c r="N485" s="23" t="n">
        <x:f>MAX(0,MIN('Activities'!L485,60)-MAX('Activities'!K485,54))</x:f>
        <x:v>0</x:v>
      </x:c>
      <x:c r="O485" s="23" t="n">
        <x:f>MAX(0,MIN('Activities'!L485,66)-MAX('Activities'!K485,60))</x:f>
        <x:v>0</x:v>
      </x:c>
      <x:c r="P485" s="23" t="n">
        <x:f>MAX(0,MIN('Activities'!L485,72)-MAX('Activities'!K485,66))</x:f>
        <x:v>0</x:v>
      </x:c>
      <x:c r="Q485" s="23" t="n">
        <x:f>MAX(0,MIN('Activities'!L485,78)-MAX('Activities'!K485,72))</x:f>
        <x:v>0</x:v>
      </x:c>
      <x:c r="R485" s="23" t="n">
        <x:f>MAX(0,MIN('Activities'!L485,84)-MAX('Activities'!K485,78))</x:f>
        <x:v>0</x:v>
      </x:c>
      <x:c r="S485" s="23" t="n">
        <x:f>MAX(0,MIN('Activities'!L485,90)-MAX('Activities'!K485,84))</x:f>
        <x:v>0</x:v>
      </x:c>
      <x:c r="T485" s="23" t="n">
        <x:f>MAX(0,MIN('Activities'!L485,96)-MAX('Activities'!K485,90))</x:f>
        <x:v>0</x:v>
      </x:c>
      <x:c r="U485" s="23" t="n">
        <x:f>MAX(0,MIN('Activities'!L485,102)-MAX('Activities'!K485,96))</x:f>
        <x:v>0</x:v>
      </x:c>
      <x:c r="V485" s="23" t="n">
        <x:f>MAX(0,MIN('Activities'!L485,108)-MAX('Activities'!K485,102))</x:f>
        <x:v>0</x:v>
      </x:c>
      <x:c r="W485" s="23" t="n">
        <x:f>MAX(0,MIN('Activities'!L485,114)-MAX('Activities'!K485,108))</x:f>
        <x:v>0</x:v>
      </x:c>
      <x:c r="X485" s="23" t="n">
        <x:f>MAX(0,MIN('Activities'!L485,120)-MAX('Activities'!K485,114))</x:f>
        <x:v>0</x:v>
      </x:c>
      <x:c r="Y485" s="23" t="n">
        <x:f>MAX(0,MIN('Activities'!L485,126)-MAX('Activities'!K485,120))</x:f>
        <x:v>0</x:v>
      </x:c>
      <x:c r="Z485" s="23" t="n">
        <x:f>MAX(0,MIN('Activities'!L485,132)-MAX('Activities'!K485,126))</x:f>
        <x:v>0</x:v>
      </x:c>
      <x:c r="AA485" s="23" t="n">
        <x:f>MAX(0,MIN('Activities'!L485,138)-MAX('Activities'!K485,132))</x:f>
        <x:v>0</x:v>
      </x:c>
      <x:c r="AB485" s="23" t="n">
        <x:f>MAX(0,MIN('Activities'!L485,144)-MAX('Activities'!K485,138))</x:f>
        <x:v>0</x:v>
      </x:c>
      <x:c r="AC485" s="23" t="n">
        <x:f>MAX(0,MIN('Activities'!L485,150)-MAX('Activities'!K485,144))</x:f>
        <x:v>0</x:v>
      </x:c>
      <x:c r="AD485" s="23" t="n">
        <x:f>MAX(0,MIN('Activities'!L485,156)-MAX('Activities'!K485,150))</x:f>
        <x:v>0</x:v>
      </x:c>
      <x:c r="AE485" s="23" t="n">
        <x:f>MAX(0,MIN('Activities'!L485,162)-MAX('Activities'!K485,156))</x:f>
        <x:v>0</x:v>
      </x:c>
      <x:c r="AF485" s="23" t="n">
        <x:f>MAX(0,MIN('Activities'!L485,168)-MAX('Activities'!K485,162))</x:f>
        <x:v>0</x:v>
      </x:c>
      <x:c r="AG485" s="23" t="n">
        <x:f>MAX(0,MIN('Activities'!L485,174)-MAX('Activities'!K485,168))</x:f>
        <x:v>0</x:v>
      </x:c>
      <x:c r="AH485" s="23" t="n">
        <x:f>MAX(0,MIN('Activities'!L485,180)-MAX('Activities'!K485,174))</x:f>
        <x:v>0</x:v>
      </x:c>
      <x:c r="AI485" s="23" t="n">
        <x:f>MAX(0,MIN('Activities'!L485,186)-MAX('Activities'!K485,180))</x:f>
        <x:v>0</x:v>
      </x:c>
      <x:c r="AJ485" s="23" t="n">
        <x:f>MAX(0,MIN('Activities'!L485,192)-MAX('Activities'!K485,186))</x:f>
        <x:v>0</x:v>
      </x:c>
      <x:c r="AK485" s="23" t="n">
        <x:f>MAX(0,MIN('Activities'!L485,198)-MAX('Activities'!K485,192))</x:f>
        <x:v>0</x:v>
      </x:c>
      <x:c r="AL485" s="23" t="n">
        <x:f>MAX(0,MIN('Activities'!L485,204)-MAX('Activities'!K485,198))</x:f>
        <x:v>0</x:v>
      </x:c>
      <x:c r="AM485" s="23" t="n">
        <x:f>MAX(0,MIN('Activities'!L485,210)-MAX('Activities'!K485,204))</x:f>
        <x:v>0</x:v>
      </x:c>
      <x:c r="AN485" s="23" t="n">
        <x:f>MAX(0,MIN('Activities'!L485,216)-MAX('Activities'!K485,210))</x:f>
        <x:v>0</x:v>
      </x:c>
      <x:c r="AO485" s="23" t="n">
        <x:f>MAX(0,MIN('Activities'!L485,222)-MAX('Activities'!K485,216))</x:f>
        <x:v>0</x:v>
      </x:c>
      <x:c r="AP485" s="23" t="n">
        <x:f>MAX(0,MIN('Activities'!L485,228)-MAX('Activities'!K485,222))</x:f>
        <x:v>0</x:v>
      </x:c>
      <x:c r="AQ485" s="23" t="n">
        <x:f>MAX(0,MIN('Activities'!L485,234)-MAX('Activities'!K485,228))</x:f>
        <x:v>0</x:v>
      </x:c>
      <x:c r="AR485" s="23" t="n">
        <x:f>MAX(0,MIN('Activities'!L485,240)-MAX('Activities'!K485,234))</x:f>
        <x:v>0</x:v>
      </x:c>
      <x:c r="AS485" s="23" t="n">
        <x:f>MAX(0,MIN('Activities'!L485,246)-MAX('Activities'!K485,240))</x:f>
        <x:v>0</x:v>
      </x:c>
      <x:c r="AT485" s="23" t="n">
        <x:f>MAX(0,MIN('Activities'!L485,252)-MAX('Activities'!K485,246))</x:f>
        <x:v>0</x:v>
      </x:c>
      <x:c r="AU485" s="23" t="n">
        <x:f>MAX(0,MIN('Activities'!L485,258)-MAX('Activities'!K485,252))</x:f>
        <x:v>0</x:v>
      </x:c>
      <x:c r="AV485" s="23" t="n">
        <x:f>MAX(0,MIN('Activities'!L485,264)-MAX('Activities'!K485,258))</x:f>
        <x:v>0</x:v>
      </x:c>
      <x:c r="AW485" s="23" t="n">
        <x:f>MAX(0,MIN('Activities'!L485,270)-MAX('Activities'!K485,264))</x:f>
        <x:v>0</x:v>
      </x:c>
      <x:c r="AX485" s="23" t="n">
        <x:f>MAX(0,MIN('Activities'!L485,276)-MAX('Activities'!K485,270))</x:f>
        <x:v>0</x:v>
      </x:c>
      <x:c r="AY485" s="23" t="n">
        <x:f>MAX(0,MIN('Activities'!L485,282)-MAX('Activities'!K485,276))</x:f>
        <x:v>0</x:v>
      </x:c>
      <x:c r="AZ485" s="23" t="n">
        <x:f>MAX(0,MIN('Activities'!L485,288)-MAX('Activities'!K485,282))</x:f>
        <x:v>0</x:v>
      </x:c>
      <x:c r="BA485" s="23" t="n">
        <x:f>MAX(0,MIN('Activities'!L485,294)-MAX('Activities'!K485,288))</x:f>
        <x:v>0</x:v>
      </x:c>
      <x:c r="BB485" s="23" t="n">
        <x:f>MAX(0,MIN('Activities'!L485,300)-MAX('Activities'!K485,294))</x:f>
        <x:v>0</x:v>
      </x:c>
      <x:c r="BC485" s="23" t="n">
        <x:f>MAX(0,MIN('Activities'!L485,306)-MAX('Activities'!K485,300))</x:f>
        <x:v>0</x:v>
      </x:c>
      <x:c r="BD485" s="23" t="n">
        <x:f>MAX(0,MIN('Activities'!L485,312)-MAX('Activities'!K485,306))</x:f>
        <x:v>0</x:v>
      </x:c>
      <x:c r="BE485" s="23" t="n">
        <x:f>MAX(0,MIN('Activities'!L485,318)-MAX('Activities'!K485,312))</x:f>
        <x:v>0</x:v>
      </x:c>
      <x:c r="BF485" s="23" t="n">
        <x:f>MAX(0,MIN('Activities'!L485,324)-MAX('Activities'!K485,318))</x:f>
        <x:v>0</x:v>
      </x:c>
      <x:c r="BG485" s="23" t="n">
        <x:f>MAX(0,MIN('Activities'!L485,330)-MAX('Activities'!K485,324))</x:f>
        <x:v>0</x:v>
      </x:c>
      <x:c r="BH485" s="23" t="n">
        <x:f>MAX(0,MIN('Activities'!L485,336)-MAX('Activities'!K485,330))</x:f>
        <x:v>0</x:v>
      </x:c>
      <x:c r="BI485" s="23" t="n">
        <x:f>MAX(0,MIN('Activities'!L485,342)-MAX('Activities'!K485,336))</x:f>
        <x:v>0</x:v>
      </x:c>
      <x:c r="BJ485" s="23" t="n">
        <x:f>MAX(0,MIN('Activities'!L485,348)-MAX('Activities'!K485,342))</x:f>
        <x:v>0</x:v>
      </x:c>
      <x:c r="BK485" s="23" t="n">
        <x:f>MAX(0,MIN('Activities'!L485,354)-MAX('Activities'!K485,348))</x:f>
        <x:v>0</x:v>
      </x:c>
      <x:c r="BL485" s="23" t="n">
        <x:f>MAX(0,MIN('Activities'!L485,360)-MAX('Activities'!K485,354))</x:f>
        <x:v>0</x:v>
      </x:c>
      <x:c r="BM485" s="23" t="n">
        <x:f>MAX(0,MIN('Activities'!L485,366)-MAX('Activities'!K485,360))</x:f>
        <x:v>0</x:v>
      </x:c>
      <x:c r="BN485" s="23" t="n">
        <x:f>MAX(0,MIN('Activities'!L485,372)-MAX('Activities'!K485,366))</x:f>
        <x:v>0</x:v>
      </x:c>
      <x:c r="BO485" s="23" t="n">
        <x:f>MAX(0,MIN('Activities'!L485,378)-MAX('Activities'!K485,372))</x:f>
        <x:v>0</x:v>
      </x:c>
      <x:c r="BP485" s="23" t="n">
        <x:f>MAX(0,MIN('Activities'!L485,384)-MAX('Activities'!K485,378))</x:f>
        <x:v>0</x:v>
      </x:c>
      <x:c r="BQ485" s="23" t="n">
        <x:f>MAX(0,MIN('Activities'!L485,390)-MAX('Activities'!K485,384))</x:f>
        <x:v>0</x:v>
      </x:c>
      <x:c r="BR485" s="23" t="n">
        <x:f>MAX(0,MIN('Activities'!L485,396)-MAX('Activities'!K485,390))</x:f>
        <x:v>0</x:v>
      </x:c>
      <x:c r="BS485" s="23" t="n">
        <x:f>MAX(0,MIN('Activities'!L485,402)-MAX('Activities'!K485,396))</x:f>
        <x:v>0</x:v>
      </x:c>
      <x:c r="BT485" s="23" t="n">
        <x:f>MAX(0,MIN('Activities'!L485,408)-MAX('Activities'!K485,402))</x:f>
        <x:v>0</x:v>
      </x:c>
      <x:c r="BU485" s="23" t="n">
        <x:f>MAX(0,MIN('Activities'!L485,414)-MAX('Activities'!K485,408))</x:f>
        <x:v>0</x:v>
      </x:c>
      <x:c r="BV485" s="23" t="n">
        <x:f>MAX(0,MIN('Activities'!L485,420)-MAX('Activities'!K485,414))</x:f>
        <x:v>0</x:v>
      </x:c>
      <x:c r="BW485" s="23" t="n">
        <x:f>MAX(0,MIN('Activities'!L485,426)-MAX('Activities'!K485,420))</x:f>
        <x:v>0</x:v>
      </x:c>
      <x:c r="BX485" s="23" t="n">
        <x:f>MAX(0,MIN('Activities'!L485,432)-MAX('Activities'!K485,426))</x:f>
        <x:v>0</x:v>
      </x:c>
      <x:c r="BY485" s="23" t="n">
        <x:f>MAX(0,MIN('Activities'!L485,438)-MAX('Activities'!K485,432))</x:f>
        <x:v>1</x:v>
      </x:c>
      <x:c r="BZ485" s="23" t="n">
        <x:f>MAX(0,MIN('Activities'!L485,444)-MAX('Activities'!K485,438))</x:f>
        <x:v>5</x:v>
      </x:c>
      <x:c r="CA485" s="23" t="n">
        <x:f>MAX(0,MIN('Activities'!L485,450)-MAX('Activities'!K485,444))</x:f>
        <x:v>0</x:v>
      </x:c>
      <x:c r="CB485" s="23" t="n">
        <x:f>MAX(0,MIN('Activities'!L485,456)-MAX('Activities'!K485,450))</x:f>
        <x:v>0</x:v>
      </x:c>
      <x:c r="CC485" s="23" t="n">
        <x:f>MAX(0,MIN('Activities'!L485,462)-MAX('Activities'!K485,456))</x:f>
        <x:v>0</x:v>
      </x:c>
      <x:c r="CD485" s="23" t="n">
        <x:f>MAX(0,MIN('Activities'!L485,468)-MAX('Activities'!K485,462))</x:f>
        <x:v>0</x:v>
      </x:c>
      <x:c r="CE485" s="23" t="n">
        <x:f>MAX(0,MIN('Activities'!L485,474)-MAX('Activities'!K485,468))</x:f>
        <x:v>0</x:v>
      </x:c>
      <x:c r="CF485" s="23" t="n">
        <x:f>MAX(0,MIN('Activities'!L485,480)-MAX('Activities'!K485,474))</x:f>
        <x:v>0</x:v>
      </x:c>
      <x:c r="CG485" s="23" t="n">
        <x:f>MAX(0,MIN('Activities'!L485,486)-MAX('Activities'!K485,480))</x:f>
        <x:v>0</x:v>
      </x:c>
      <x:c r="CH485" s="23" t="n">
        <x:f>MAX(0,MIN('Activities'!L485,492)-MAX('Activities'!K485,486))</x:f>
        <x:v>0</x:v>
      </x:c>
      <x:c r="CI485" s="23" t="n">
        <x:f>MAX(0,MIN('Activities'!L485,498)-MAX('Activities'!K485,492))</x:f>
        <x:v>0</x:v>
      </x:c>
      <x:c r="CJ485" s="23" t="n">
        <x:f>MAX(0,MIN('Activities'!L485,504)-MAX('Activities'!K485,498))</x:f>
        <x:v>0</x:v>
      </x:c>
      <x:c r="CK485" s="23" t="n">
        <x:f>MAX(0,MIN('Activities'!L485,510)-MAX('Activities'!K485,504))</x:f>
        <x:v>0</x:v>
      </x:c>
      <x:c r="CL485" s="23" t="n">
        <x:f>MAX(0,MIN('Activities'!L485,516)-MAX('Activities'!K485,510))</x:f>
        <x:v>0</x:v>
      </x:c>
      <x:c r="CM485" s="23" t="n">
        <x:f>MAX(0,MIN('Activities'!L485,522)-MAX('Activities'!K485,516))</x:f>
        <x:v>0</x:v>
      </x:c>
      <x:c r="CN485" s="23" t="n">
        <x:f>MAX(0,MIN('Activities'!L485,528)-MAX('Activities'!K485,522))</x:f>
        <x:v>0</x:v>
      </x:c>
      <x:c r="CO485" s="23" t="n">
        <x:f>MAX(0,MIN('Activities'!L485,534)-MAX('Activities'!K485,528))</x:f>
        <x:v>0</x:v>
      </x:c>
      <x:c r="CP485" s="23" t="n">
        <x:f>MAX(0,MIN('Activities'!L485,540)-MAX('Activities'!K485,534))</x:f>
        <x:v>0</x:v>
      </x:c>
      <x:c r="CQ485" s="23" t="n">
        <x:f>MAX(0,MIN('Activities'!L485,546)-MAX('Activities'!K485,540))</x:f>
        <x:v>0</x:v>
      </x:c>
      <x:c r="CR485" s="23" t="n">
        <x:f>MAX(0,MIN('Activities'!L485,552)-MAX('Activities'!K485,546))</x:f>
        <x:v>0</x:v>
      </x:c>
      <x:c r="CS485" s="23" t="n">
        <x:f>MAX(0,MIN('Activities'!L485,558)-MAX('Activities'!K485,552))</x:f>
        <x:v>0</x:v>
      </x:c>
      <x:c r="CT485" s="23" t="n">
        <x:f>MAX(0,MIN('Activities'!L485,564)-MAX('Activities'!K485,558))</x:f>
        <x:v>0</x:v>
      </x:c>
      <x:c r="CU485" s="23" t="n">
        <x:f>MAX(0,MIN('Activities'!L485,570)-MAX('Activities'!K485,564))</x:f>
        <x:v>0</x:v>
      </x:c>
      <x:c r="CV485" s="23" t="n">
        <x:f>MAX(0,MIN('Activities'!L485,576)-MAX('Activities'!K485,570))</x:f>
        <x:v>0</x:v>
      </x:c>
      <x:c r="CW485" s="23" t="n">
        <x:f>MAX(0,MIN('Activities'!L485,582)-MAX('Activities'!K485,576))</x:f>
        <x:v>0</x:v>
      </x:c>
      <x:c r="CX485" s="23" t="n">
        <x:f>MAX(0,MIN('Activities'!L485,588)-MAX('Activities'!K485,582))</x:f>
        <x:v>0</x:v>
      </x:c>
      <x:c r="CY485" s="23" t="n">
        <x:f>MAX(0,MIN('Activities'!L485,594)-MAX('Activities'!K485,588))</x:f>
        <x:v>0</x:v>
      </x:c>
      <x:c r="CZ485" s="23" t="n">
        <x:f>MAX(0,MIN('Activities'!L485,600)-MAX('Activities'!K485,594))</x:f>
        <x:v>0</x:v>
      </x:c>
      <x:c r="DA485" s="23" t="n">
        <x:f>MAX(0,MIN('Activities'!L485,606)-MAX('Activities'!K485,600))</x:f>
        <x:v>0</x:v>
      </x:c>
      <x:c r="DB485" s="23" t="n">
        <x:f>MAX(0,MIN('Activities'!L485,612)-MAX('Activities'!K485,606))</x:f>
        <x:v>0</x:v>
      </x:c>
      <x:c r="DC485" s="23" t="n">
        <x:f>MAX(0,MIN('Activities'!L485,618)-MAX('Activities'!K485,612))</x:f>
        <x:v>0</x:v>
      </x:c>
      <x:c r="DD485" s="23" t="n">
        <x:f>MAX(0,MIN('Activities'!L485,624)-MAX('Activities'!K485,618))</x:f>
        <x:v>0</x:v>
      </x:c>
      <x:c r="DE485" s="23" t="n">
        <x:f>MAX(0,MIN('Activities'!L485,630)-MAX('Activities'!K485,624))</x:f>
        <x:v>0</x:v>
      </x:c>
      <x:c r="DF485" s="23" t="n">
        <x:f>MAX(0,MIN('Activities'!L485,636)-MAX('Activities'!K485,630))</x:f>
        <x:v>0</x:v>
      </x:c>
    </x:row>
    <x:row r="486" ht="23" customHeight="1">
      <x:c r="A486" s="6" t="str">
        <x:v>T4-L02-A</x:v>
      </x:c>
      <x:c r="B486" s="6" t="str">
        <x:v>T4</x:v>
      </x:c>
      <x:c r="C486" s="6" t="str">
        <x:v>Paint and final decorations</x:v>
      </x:c>
      <x:c r="D486" s="6" t="str">
        <x:v>Finishes</x:v>
      </x:c>
      <x:c r="E486" s="22" t="n">
        <x:f>MAX(0,MIN('Activities'!L486,6)-MAX('Activities'!K486,0))</x:f>
        <x:v>0</x:v>
      </x:c>
      <x:c r="F486" s="22" t="n">
        <x:f>MAX(0,MIN('Activities'!L486,12)-MAX('Activities'!K486,6))</x:f>
        <x:v>0</x:v>
      </x:c>
      <x:c r="G486" s="22" t="n">
        <x:f>MAX(0,MIN('Activities'!L486,18)-MAX('Activities'!K486,12))</x:f>
        <x:v>0</x:v>
      </x:c>
      <x:c r="H486" s="22" t="n">
        <x:f>MAX(0,MIN('Activities'!L486,24)-MAX('Activities'!K486,18))</x:f>
        <x:v>0</x:v>
      </x:c>
      <x:c r="I486" s="22" t="n">
        <x:f>MAX(0,MIN('Activities'!L486,30)-MAX('Activities'!K486,24))</x:f>
        <x:v>0</x:v>
      </x:c>
      <x:c r="J486" s="22" t="n">
        <x:f>MAX(0,MIN('Activities'!L486,36)-MAX('Activities'!K486,30))</x:f>
        <x:v>0</x:v>
      </x:c>
      <x:c r="K486" s="22" t="n">
        <x:f>MAX(0,MIN('Activities'!L486,42)-MAX('Activities'!K486,36))</x:f>
        <x:v>0</x:v>
      </x:c>
      <x:c r="L486" s="22" t="n">
        <x:f>MAX(0,MIN('Activities'!L486,48)-MAX('Activities'!K486,42))</x:f>
        <x:v>0</x:v>
      </x:c>
      <x:c r="M486" s="22" t="n">
        <x:f>MAX(0,MIN('Activities'!L486,54)-MAX('Activities'!K486,48))</x:f>
        <x:v>0</x:v>
      </x:c>
      <x:c r="N486" s="22" t="n">
        <x:f>MAX(0,MIN('Activities'!L486,60)-MAX('Activities'!K486,54))</x:f>
        <x:v>0</x:v>
      </x:c>
      <x:c r="O486" s="22" t="n">
        <x:f>MAX(0,MIN('Activities'!L486,66)-MAX('Activities'!K486,60))</x:f>
        <x:v>0</x:v>
      </x:c>
      <x:c r="P486" s="22" t="n">
        <x:f>MAX(0,MIN('Activities'!L486,72)-MAX('Activities'!K486,66))</x:f>
        <x:v>0</x:v>
      </x:c>
      <x:c r="Q486" s="22" t="n">
        <x:f>MAX(0,MIN('Activities'!L486,78)-MAX('Activities'!K486,72))</x:f>
        <x:v>0</x:v>
      </x:c>
      <x:c r="R486" s="22" t="n">
        <x:f>MAX(0,MIN('Activities'!L486,84)-MAX('Activities'!K486,78))</x:f>
        <x:v>0</x:v>
      </x:c>
      <x:c r="S486" s="22" t="n">
        <x:f>MAX(0,MIN('Activities'!L486,90)-MAX('Activities'!K486,84))</x:f>
        <x:v>0</x:v>
      </x:c>
      <x:c r="T486" s="22" t="n">
        <x:f>MAX(0,MIN('Activities'!L486,96)-MAX('Activities'!K486,90))</x:f>
        <x:v>0</x:v>
      </x:c>
      <x:c r="U486" s="22" t="n">
        <x:f>MAX(0,MIN('Activities'!L486,102)-MAX('Activities'!K486,96))</x:f>
        <x:v>0</x:v>
      </x:c>
      <x:c r="V486" s="22" t="n">
        <x:f>MAX(0,MIN('Activities'!L486,108)-MAX('Activities'!K486,102))</x:f>
        <x:v>0</x:v>
      </x:c>
      <x:c r="W486" s="22" t="n">
        <x:f>MAX(0,MIN('Activities'!L486,114)-MAX('Activities'!K486,108))</x:f>
        <x:v>0</x:v>
      </x:c>
      <x:c r="X486" s="22" t="n">
        <x:f>MAX(0,MIN('Activities'!L486,120)-MAX('Activities'!K486,114))</x:f>
        <x:v>0</x:v>
      </x:c>
      <x:c r="Y486" s="22" t="n">
        <x:f>MAX(0,MIN('Activities'!L486,126)-MAX('Activities'!K486,120))</x:f>
        <x:v>0</x:v>
      </x:c>
      <x:c r="Z486" s="22" t="n">
        <x:f>MAX(0,MIN('Activities'!L486,132)-MAX('Activities'!K486,126))</x:f>
        <x:v>0</x:v>
      </x:c>
      <x:c r="AA486" s="22" t="n">
        <x:f>MAX(0,MIN('Activities'!L486,138)-MAX('Activities'!K486,132))</x:f>
        <x:v>0</x:v>
      </x:c>
      <x:c r="AB486" s="22" t="n">
        <x:f>MAX(0,MIN('Activities'!L486,144)-MAX('Activities'!K486,138))</x:f>
        <x:v>0</x:v>
      </x:c>
      <x:c r="AC486" s="22" t="n">
        <x:f>MAX(0,MIN('Activities'!L486,150)-MAX('Activities'!K486,144))</x:f>
        <x:v>0</x:v>
      </x:c>
      <x:c r="AD486" s="22" t="n">
        <x:f>MAX(0,MIN('Activities'!L486,156)-MAX('Activities'!K486,150))</x:f>
        <x:v>0</x:v>
      </x:c>
      <x:c r="AE486" s="22" t="n">
        <x:f>MAX(0,MIN('Activities'!L486,162)-MAX('Activities'!K486,156))</x:f>
        <x:v>0</x:v>
      </x:c>
      <x:c r="AF486" s="22" t="n">
        <x:f>MAX(0,MIN('Activities'!L486,168)-MAX('Activities'!K486,162))</x:f>
        <x:v>0</x:v>
      </x:c>
      <x:c r="AG486" s="22" t="n">
        <x:f>MAX(0,MIN('Activities'!L486,174)-MAX('Activities'!K486,168))</x:f>
        <x:v>0</x:v>
      </x:c>
      <x:c r="AH486" s="22" t="n">
        <x:f>MAX(0,MIN('Activities'!L486,180)-MAX('Activities'!K486,174))</x:f>
        <x:v>0</x:v>
      </x:c>
      <x:c r="AI486" s="22" t="n">
        <x:f>MAX(0,MIN('Activities'!L486,186)-MAX('Activities'!K486,180))</x:f>
        <x:v>0</x:v>
      </x:c>
      <x:c r="AJ486" s="22" t="n">
        <x:f>MAX(0,MIN('Activities'!L486,192)-MAX('Activities'!K486,186))</x:f>
        <x:v>0</x:v>
      </x:c>
      <x:c r="AK486" s="22" t="n">
        <x:f>MAX(0,MIN('Activities'!L486,198)-MAX('Activities'!K486,192))</x:f>
        <x:v>0</x:v>
      </x:c>
      <x:c r="AL486" s="22" t="n">
        <x:f>MAX(0,MIN('Activities'!L486,204)-MAX('Activities'!K486,198))</x:f>
        <x:v>0</x:v>
      </x:c>
      <x:c r="AM486" s="22" t="n">
        <x:f>MAX(0,MIN('Activities'!L486,210)-MAX('Activities'!K486,204))</x:f>
        <x:v>0</x:v>
      </x:c>
      <x:c r="AN486" s="22" t="n">
        <x:f>MAX(0,MIN('Activities'!L486,216)-MAX('Activities'!K486,210))</x:f>
        <x:v>0</x:v>
      </x:c>
      <x:c r="AO486" s="22" t="n">
        <x:f>MAX(0,MIN('Activities'!L486,222)-MAX('Activities'!K486,216))</x:f>
        <x:v>0</x:v>
      </x:c>
      <x:c r="AP486" s="22" t="n">
        <x:f>MAX(0,MIN('Activities'!L486,228)-MAX('Activities'!K486,222))</x:f>
        <x:v>0</x:v>
      </x:c>
      <x:c r="AQ486" s="22" t="n">
        <x:f>MAX(0,MIN('Activities'!L486,234)-MAX('Activities'!K486,228))</x:f>
        <x:v>0</x:v>
      </x:c>
      <x:c r="AR486" s="22" t="n">
        <x:f>MAX(0,MIN('Activities'!L486,240)-MAX('Activities'!K486,234))</x:f>
        <x:v>0</x:v>
      </x:c>
      <x:c r="AS486" s="22" t="n">
        <x:f>MAX(0,MIN('Activities'!L486,246)-MAX('Activities'!K486,240))</x:f>
        <x:v>0</x:v>
      </x:c>
      <x:c r="AT486" s="22" t="n">
        <x:f>MAX(0,MIN('Activities'!L486,252)-MAX('Activities'!K486,246))</x:f>
        <x:v>0</x:v>
      </x:c>
      <x:c r="AU486" s="22" t="n">
        <x:f>MAX(0,MIN('Activities'!L486,258)-MAX('Activities'!K486,252))</x:f>
        <x:v>0</x:v>
      </x:c>
      <x:c r="AV486" s="22" t="n">
        <x:f>MAX(0,MIN('Activities'!L486,264)-MAX('Activities'!K486,258))</x:f>
        <x:v>0</x:v>
      </x:c>
      <x:c r="AW486" s="22" t="n">
        <x:f>MAX(0,MIN('Activities'!L486,270)-MAX('Activities'!K486,264))</x:f>
        <x:v>0</x:v>
      </x:c>
      <x:c r="AX486" s="22" t="n">
        <x:f>MAX(0,MIN('Activities'!L486,276)-MAX('Activities'!K486,270))</x:f>
        <x:v>0</x:v>
      </x:c>
      <x:c r="AY486" s="22" t="n">
        <x:f>MAX(0,MIN('Activities'!L486,282)-MAX('Activities'!K486,276))</x:f>
        <x:v>0</x:v>
      </x:c>
      <x:c r="AZ486" s="22" t="n">
        <x:f>MAX(0,MIN('Activities'!L486,288)-MAX('Activities'!K486,282))</x:f>
        <x:v>0</x:v>
      </x:c>
      <x:c r="BA486" s="22" t="n">
        <x:f>MAX(0,MIN('Activities'!L486,294)-MAX('Activities'!K486,288))</x:f>
        <x:v>0</x:v>
      </x:c>
      <x:c r="BB486" s="22" t="n">
        <x:f>MAX(0,MIN('Activities'!L486,300)-MAX('Activities'!K486,294))</x:f>
        <x:v>0</x:v>
      </x:c>
      <x:c r="BC486" s="22" t="n">
        <x:f>MAX(0,MIN('Activities'!L486,306)-MAX('Activities'!K486,300))</x:f>
        <x:v>0</x:v>
      </x:c>
      <x:c r="BD486" s="22" t="n">
        <x:f>MAX(0,MIN('Activities'!L486,312)-MAX('Activities'!K486,306))</x:f>
        <x:v>0</x:v>
      </x:c>
      <x:c r="BE486" s="22" t="n">
        <x:f>MAX(0,MIN('Activities'!L486,318)-MAX('Activities'!K486,312))</x:f>
        <x:v>0</x:v>
      </x:c>
      <x:c r="BF486" s="22" t="n">
        <x:f>MAX(0,MIN('Activities'!L486,324)-MAX('Activities'!K486,318))</x:f>
        <x:v>0</x:v>
      </x:c>
      <x:c r="BG486" s="22" t="n">
        <x:f>MAX(0,MIN('Activities'!L486,330)-MAX('Activities'!K486,324))</x:f>
        <x:v>0</x:v>
      </x:c>
      <x:c r="BH486" s="22" t="n">
        <x:f>MAX(0,MIN('Activities'!L486,336)-MAX('Activities'!K486,330))</x:f>
        <x:v>0</x:v>
      </x:c>
      <x:c r="BI486" s="22" t="n">
        <x:f>MAX(0,MIN('Activities'!L486,342)-MAX('Activities'!K486,336))</x:f>
        <x:v>0</x:v>
      </x:c>
      <x:c r="BJ486" s="22" t="n">
        <x:f>MAX(0,MIN('Activities'!L486,348)-MAX('Activities'!K486,342))</x:f>
        <x:v>0</x:v>
      </x:c>
      <x:c r="BK486" s="22" t="n">
        <x:f>MAX(0,MIN('Activities'!L486,354)-MAX('Activities'!K486,348))</x:f>
        <x:v>0</x:v>
      </x:c>
      <x:c r="BL486" s="22" t="n">
        <x:f>MAX(0,MIN('Activities'!L486,360)-MAX('Activities'!K486,354))</x:f>
        <x:v>0</x:v>
      </x:c>
      <x:c r="BM486" s="22" t="n">
        <x:f>MAX(0,MIN('Activities'!L486,366)-MAX('Activities'!K486,360))</x:f>
        <x:v>0</x:v>
      </x:c>
      <x:c r="BN486" s="22" t="n">
        <x:f>MAX(0,MIN('Activities'!L486,372)-MAX('Activities'!K486,366))</x:f>
        <x:v>0</x:v>
      </x:c>
      <x:c r="BO486" s="22" t="n">
        <x:f>MAX(0,MIN('Activities'!L486,378)-MAX('Activities'!K486,372))</x:f>
        <x:v>0</x:v>
      </x:c>
      <x:c r="BP486" s="22" t="n">
        <x:f>MAX(0,MIN('Activities'!L486,384)-MAX('Activities'!K486,378))</x:f>
        <x:v>0</x:v>
      </x:c>
      <x:c r="BQ486" s="22" t="n">
        <x:f>MAX(0,MIN('Activities'!L486,390)-MAX('Activities'!K486,384))</x:f>
        <x:v>0</x:v>
      </x:c>
      <x:c r="BR486" s="22" t="n">
        <x:f>MAX(0,MIN('Activities'!L486,396)-MAX('Activities'!K486,390))</x:f>
        <x:v>0</x:v>
      </x:c>
      <x:c r="BS486" s="22" t="n">
        <x:f>MAX(0,MIN('Activities'!L486,402)-MAX('Activities'!K486,396))</x:f>
        <x:v>0</x:v>
      </x:c>
      <x:c r="BT486" s="22" t="n">
        <x:f>MAX(0,MIN('Activities'!L486,408)-MAX('Activities'!K486,402))</x:f>
        <x:v>0</x:v>
      </x:c>
      <x:c r="BU486" s="22" t="n">
        <x:f>MAX(0,MIN('Activities'!L486,414)-MAX('Activities'!K486,408))</x:f>
        <x:v>0</x:v>
      </x:c>
      <x:c r="BV486" s="22" t="n">
        <x:f>MAX(0,MIN('Activities'!L486,420)-MAX('Activities'!K486,414))</x:f>
        <x:v>0</x:v>
      </x:c>
      <x:c r="BW486" s="22" t="n">
        <x:f>MAX(0,MIN('Activities'!L486,426)-MAX('Activities'!K486,420))</x:f>
        <x:v>0</x:v>
      </x:c>
      <x:c r="BX486" s="22" t="n">
        <x:f>MAX(0,MIN('Activities'!L486,432)-MAX('Activities'!K486,426))</x:f>
        <x:v>0</x:v>
      </x:c>
      <x:c r="BY486" s="22" t="n">
        <x:f>MAX(0,MIN('Activities'!L486,438)-MAX('Activities'!K486,432))</x:f>
        <x:v>0</x:v>
      </x:c>
      <x:c r="BZ486" s="22" t="n">
        <x:f>MAX(0,MIN('Activities'!L486,444)-MAX('Activities'!K486,438))</x:f>
        <x:v>0</x:v>
      </x:c>
      <x:c r="CA486" s="22" t="n">
        <x:f>MAX(0,MIN('Activities'!L486,450)-MAX('Activities'!K486,444))</x:f>
        <x:v>5</x:v>
      </x:c>
      <x:c r="CB486" s="22" t="n">
        <x:f>MAX(0,MIN('Activities'!L486,456)-MAX('Activities'!K486,450))</x:f>
        <x:v>0</x:v>
      </x:c>
      <x:c r="CC486" s="22" t="n">
        <x:f>MAX(0,MIN('Activities'!L486,462)-MAX('Activities'!K486,456))</x:f>
        <x:v>0</x:v>
      </x:c>
      <x:c r="CD486" s="22" t="n">
        <x:f>MAX(0,MIN('Activities'!L486,468)-MAX('Activities'!K486,462))</x:f>
        <x:v>0</x:v>
      </x:c>
      <x:c r="CE486" s="22" t="n">
        <x:f>MAX(0,MIN('Activities'!L486,474)-MAX('Activities'!K486,468))</x:f>
        <x:v>0</x:v>
      </x:c>
      <x:c r="CF486" s="22" t="n">
        <x:f>MAX(0,MIN('Activities'!L486,480)-MAX('Activities'!K486,474))</x:f>
        <x:v>0</x:v>
      </x:c>
      <x:c r="CG486" s="22" t="n">
        <x:f>MAX(0,MIN('Activities'!L486,486)-MAX('Activities'!K486,480))</x:f>
        <x:v>0</x:v>
      </x:c>
      <x:c r="CH486" s="22" t="n">
        <x:f>MAX(0,MIN('Activities'!L486,492)-MAX('Activities'!K486,486))</x:f>
        <x:v>0</x:v>
      </x:c>
      <x:c r="CI486" s="22" t="n">
        <x:f>MAX(0,MIN('Activities'!L486,498)-MAX('Activities'!K486,492))</x:f>
        <x:v>0</x:v>
      </x:c>
      <x:c r="CJ486" s="22" t="n">
        <x:f>MAX(0,MIN('Activities'!L486,504)-MAX('Activities'!K486,498))</x:f>
        <x:v>0</x:v>
      </x:c>
      <x:c r="CK486" s="22" t="n">
        <x:f>MAX(0,MIN('Activities'!L486,510)-MAX('Activities'!K486,504))</x:f>
        <x:v>0</x:v>
      </x:c>
      <x:c r="CL486" s="22" t="n">
        <x:f>MAX(0,MIN('Activities'!L486,516)-MAX('Activities'!K486,510))</x:f>
        <x:v>0</x:v>
      </x:c>
      <x:c r="CM486" s="22" t="n">
        <x:f>MAX(0,MIN('Activities'!L486,522)-MAX('Activities'!K486,516))</x:f>
        <x:v>0</x:v>
      </x:c>
      <x:c r="CN486" s="22" t="n">
        <x:f>MAX(0,MIN('Activities'!L486,528)-MAX('Activities'!K486,522))</x:f>
        <x:v>0</x:v>
      </x:c>
      <x:c r="CO486" s="22" t="n">
        <x:f>MAX(0,MIN('Activities'!L486,534)-MAX('Activities'!K486,528))</x:f>
        <x:v>0</x:v>
      </x:c>
      <x:c r="CP486" s="22" t="n">
        <x:f>MAX(0,MIN('Activities'!L486,540)-MAX('Activities'!K486,534))</x:f>
        <x:v>0</x:v>
      </x:c>
      <x:c r="CQ486" s="22" t="n">
        <x:f>MAX(0,MIN('Activities'!L486,546)-MAX('Activities'!K486,540))</x:f>
        <x:v>0</x:v>
      </x:c>
      <x:c r="CR486" s="22" t="n">
        <x:f>MAX(0,MIN('Activities'!L486,552)-MAX('Activities'!K486,546))</x:f>
        <x:v>0</x:v>
      </x:c>
      <x:c r="CS486" s="22" t="n">
        <x:f>MAX(0,MIN('Activities'!L486,558)-MAX('Activities'!K486,552))</x:f>
        <x:v>0</x:v>
      </x:c>
      <x:c r="CT486" s="22" t="n">
        <x:f>MAX(0,MIN('Activities'!L486,564)-MAX('Activities'!K486,558))</x:f>
        <x:v>0</x:v>
      </x:c>
      <x:c r="CU486" s="22" t="n">
        <x:f>MAX(0,MIN('Activities'!L486,570)-MAX('Activities'!K486,564))</x:f>
        <x:v>0</x:v>
      </x:c>
      <x:c r="CV486" s="22" t="n">
        <x:f>MAX(0,MIN('Activities'!L486,576)-MAX('Activities'!K486,570))</x:f>
        <x:v>0</x:v>
      </x:c>
      <x:c r="CW486" s="22" t="n">
        <x:f>MAX(0,MIN('Activities'!L486,582)-MAX('Activities'!K486,576))</x:f>
        <x:v>0</x:v>
      </x:c>
      <x:c r="CX486" s="22" t="n">
        <x:f>MAX(0,MIN('Activities'!L486,588)-MAX('Activities'!K486,582))</x:f>
        <x:v>0</x:v>
      </x:c>
      <x:c r="CY486" s="22" t="n">
        <x:f>MAX(0,MIN('Activities'!L486,594)-MAX('Activities'!K486,588))</x:f>
        <x:v>0</x:v>
      </x:c>
      <x:c r="CZ486" s="22" t="n">
        <x:f>MAX(0,MIN('Activities'!L486,600)-MAX('Activities'!K486,594))</x:f>
        <x:v>0</x:v>
      </x:c>
      <x:c r="DA486" s="22" t="n">
        <x:f>MAX(0,MIN('Activities'!L486,606)-MAX('Activities'!K486,600))</x:f>
        <x:v>0</x:v>
      </x:c>
      <x:c r="DB486" s="22" t="n">
        <x:f>MAX(0,MIN('Activities'!L486,612)-MAX('Activities'!K486,606))</x:f>
        <x:v>0</x:v>
      </x:c>
      <x:c r="DC486" s="22" t="n">
        <x:f>MAX(0,MIN('Activities'!L486,618)-MAX('Activities'!K486,612))</x:f>
        <x:v>0</x:v>
      </x:c>
      <x:c r="DD486" s="22" t="n">
        <x:f>MAX(0,MIN('Activities'!L486,624)-MAX('Activities'!K486,618))</x:f>
        <x:v>0</x:v>
      </x:c>
      <x:c r="DE486" s="22" t="n">
        <x:f>MAX(0,MIN('Activities'!L486,630)-MAX('Activities'!K486,624))</x:f>
        <x:v>0</x:v>
      </x:c>
      <x:c r="DF486" s="22" t="n">
        <x:f>MAX(0,MIN('Activities'!L486,636)-MAX('Activities'!K486,630))</x:f>
        <x:v>0</x:v>
      </x:c>
    </x:row>
    <x:row r="487" ht="23" customHeight="1">
      <x:c r="A487" s="1" t="str">
        <x:v>T4-L02-D</x:v>
      </x:c>
      <x:c r="B487" s="1" t="str">
        <x:v>T4</x:v>
      </x:c>
      <x:c r="C487" s="1" t="str">
        <x:v>Door sets and ironmongery</x:v>
      </x:c>
      <x:c r="D487" s="1" t="str">
        <x:v>Finishes</x:v>
      </x:c>
      <x:c r="E487" s="23" t="n">
        <x:f>MAX(0,MIN('Activities'!L487,6)-MAX('Activities'!K487,0))</x:f>
        <x:v>0</x:v>
      </x:c>
      <x:c r="F487" s="23" t="n">
        <x:f>MAX(0,MIN('Activities'!L487,12)-MAX('Activities'!K487,6))</x:f>
        <x:v>0</x:v>
      </x:c>
      <x:c r="G487" s="23" t="n">
        <x:f>MAX(0,MIN('Activities'!L487,18)-MAX('Activities'!K487,12))</x:f>
        <x:v>0</x:v>
      </x:c>
      <x:c r="H487" s="23" t="n">
        <x:f>MAX(0,MIN('Activities'!L487,24)-MAX('Activities'!K487,18))</x:f>
        <x:v>0</x:v>
      </x:c>
      <x:c r="I487" s="23" t="n">
        <x:f>MAX(0,MIN('Activities'!L487,30)-MAX('Activities'!K487,24))</x:f>
        <x:v>0</x:v>
      </x:c>
      <x:c r="J487" s="23" t="n">
        <x:f>MAX(0,MIN('Activities'!L487,36)-MAX('Activities'!K487,30))</x:f>
        <x:v>0</x:v>
      </x:c>
      <x:c r="K487" s="23" t="n">
        <x:f>MAX(0,MIN('Activities'!L487,42)-MAX('Activities'!K487,36))</x:f>
        <x:v>0</x:v>
      </x:c>
      <x:c r="L487" s="23" t="n">
        <x:f>MAX(0,MIN('Activities'!L487,48)-MAX('Activities'!K487,42))</x:f>
        <x:v>0</x:v>
      </x:c>
      <x:c r="M487" s="23" t="n">
        <x:f>MAX(0,MIN('Activities'!L487,54)-MAX('Activities'!K487,48))</x:f>
        <x:v>0</x:v>
      </x:c>
      <x:c r="N487" s="23" t="n">
        <x:f>MAX(0,MIN('Activities'!L487,60)-MAX('Activities'!K487,54))</x:f>
        <x:v>0</x:v>
      </x:c>
      <x:c r="O487" s="23" t="n">
        <x:f>MAX(0,MIN('Activities'!L487,66)-MAX('Activities'!K487,60))</x:f>
        <x:v>0</x:v>
      </x:c>
      <x:c r="P487" s="23" t="n">
        <x:f>MAX(0,MIN('Activities'!L487,72)-MAX('Activities'!K487,66))</x:f>
        <x:v>0</x:v>
      </x:c>
      <x:c r="Q487" s="23" t="n">
        <x:f>MAX(0,MIN('Activities'!L487,78)-MAX('Activities'!K487,72))</x:f>
        <x:v>0</x:v>
      </x:c>
      <x:c r="R487" s="23" t="n">
        <x:f>MAX(0,MIN('Activities'!L487,84)-MAX('Activities'!K487,78))</x:f>
        <x:v>0</x:v>
      </x:c>
      <x:c r="S487" s="23" t="n">
        <x:f>MAX(0,MIN('Activities'!L487,90)-MAX('Activities'!K487,84))</x:f>
        <x:v>0</x:v>
      </x:c>
      <x:c r="T487" s="23" t="n">
        <x:f>MAX(0,MIN('Activities'!L487,96)-MAX('Activities'!K487,90))</x:f>
        <x:v>0</x:v>
      </x:c>
      <x:c r="U487" s="23" t="n">
        <x:f>MAX(0,MIN('Activities'!L487,102)-MAX('Activities'!K487,96))</x:f>
        <x:v>0</x:v>
      </x:c>
      <x:c r="V487" s="23" t="n">
        <x:f>MAX(0,MIN('Activities'!L487,108)-MAX('Activities'!K487,102))</x:f>
        <x:v>0</x:v>
      </x:c>
      <x:c r="W487" s="23" t="n">
        <x:f>MAX(0,MIN('Activities'!L487,114)-MAX('Activities'!K487,108))</x:f>
        <x:v>0</x:v>
      </x:c>
      <x:c r="X487" s="23" t="n">
        <x:f>MAX(0,MIN('Activities'!L487,120)-MAX('Activities'!K487,114))</x:f>
        <x:v>0</x:v>
      </x:c>
      <x:c r="Y487" s="23" t="n">
        <x:f>MAX(0,MIN('Activities'!L487,126)-MAX('Activities'!K487,120))</x:f>
        <x:v>0</x:v>
      </x:c>
      <x:c r="Z487" s="23" t="n">
        <x:f>MAX(0,MIN('Activities'!L487,132)-MAX('Activities'!K487,126))</x:f>
        <x:v>0</x:v>
      </x:c>
      <x:c r="AA487" s="23" t="n">
        <x:f>MAX(0,MIN('Activities'!L487,138)-MAX('Activities'!K487,132))</x:f>
        <x:v>0</x:v>
      </x:c>
      <x:c r="AB487" s="23" t="n">
        <x:f>MAX(0,MIN('Activities'!L487,144)-MAX('Activities'!K487,138))</x:f>
        <x:v>0</x:v>
      </x:c>
      <x:c r="AC487" s="23" t="n">
        <x:f>MAX(0,MIN('Activities'!L487,150)-MAX('Activities'!K487,144))</x:f>
        <x:v>0</x:v>
      </x:c>
      <x:c r="AD487" s="23" t="n">
        <x:f>MAX(0,MIN('Activities'!L487,156)-MAX('Activities'!K487,150))</x:f>
        <x:v>0</x:v>
      </x:c>
      <x:c r="AE487" s="23" t="n">
        <x:f>MAX(0,MIN('Activities'!L487,162)-MAX('Activities'!K487,156))</x:f>
        <x:v>0</x:v>
      </x:c>
      <x:c r="AF487" s="23" t="n">
        <x:f>MAX(0,MIN('Activities'!L487,168)-MAX('Activities'!K487,162))</x:f>
        <x:v>0</x:v>
      </x:c>
      <x:c r="AG487" s="23" t="n">
        <x:f>MAX(0,MIN('Activities'!L487,174)-MAX('Activities'!K487,168))</x:f>
        <x:v>0</x:v>
      </x:c>
      <x:c r="AH487" s="23" t="n">
        <x:f>MAX(0,MIN('Activities'!L487,180)-MAX('Activities'!K487,174))</x:f>
        <x:v>0</x:v>
      </x:c>
      <x:c r="AI487" s="23" t="n">
        <x:f>MAX(0,MIN('Activities'!L487,186)-MAX('Activities'!K487,180))</x:f>
        <x:v>0</x:v>
      </x:c>
      <x:c r="AJ487" s="23" t="n">
        <x:f>MAX(0,MIN('Activities'!L487,192)-MAX('Activities'!K487,186))</x:f>
        <x:v>0</x:v>
      </x:c>
      <x:c r="AK487" s="23" t="n">
        <x:f>MAX(0,MIN('Activities'!L487,198)-MAX('Activities'!K487,192))</x:f>
        <x:v>0</x:v>
      </x:c>
      <x:c r="AL487" s="23" t="n">
        <x:f>MAX(0,MIN('Activities'!L487,204)-MAX('Activities'!K487,198))</x:f>
        <x:v>0</x:v>
      </x:c>
      <x:c r="AM487" s="23" t="n">
        <x:f>MAX(0,MIN('Activities'!L487,210)-MAX('Activities'!K487,204))</x:f>
        <x:v>0</x:v>
      </x:c>
      <x:c r="AN487" s="23" t="n">
        <x:f>MAX(0,MIN('Activities'!L487,216)-MAX('Activities'!K487,210))</x:f>
        <x:v>0</x:v>
      </x:c>
      <x:c r="AO487" s="23" t="n">
        <x:f>MAX(0,MIN('Activities'!L487,222)-MAX('Activities'!K487,216))</x:f>
        <x:v>0</x:v>
      </x:c>
      <x:c r="AP487" s="23" t="n">
        <x:f>MAX(0,MIN('Activities'!L487,228)-MAX('Activities'!K487,222))</x:f>
        <x:v>0</x:v>
      </x:c>
      <x:c r="AQ487" s="23" t="n">
        <x:f>MAX(0,MIN('Activities'!L487,234)-MAX('Activities'!K487,228))</x:f>
        <x:v>0</x:v>
      </x:c>
      <x:c r="AR487" s="23" t="n">
        <x:f>MAX(0,MIN('Activities'!L487,240)-MAX('Activities'!K487,234))</x:f>
        <x:v>0</x:v>
      </x:c>
      <x:c r="AS487" s="23" t="n">
        <x:f>MAX(0,MIN('Activities'!L487,246)-MAX('Activities'!K487,240))</x:f>
        <x:v>0</x:v>
      </x:c>
      <x:c r="AT487" s="23" t="n">
        <x:f>MAX(0,MIN('Activities'!L487,252)-MAX('Activities'!K487,246))</x:f>
        <x:v>0</x:v>
      </x:c>
      <x:c r="AU487" s="23" t="n">
        <x:f>MAX(0,MIN('Activities'!L487,258)-MAX('Activities'!K487,252))</x:f>
        <x:v>0</x:v>
      </x:c>
      <x:c r="AV487" s="23" t="n">
        <x:f>MAX(0,MIN('Activities'!L487,264)-MAX('Activities'!K487,258))</x:f>
        <x:v>0</x:v>
      </x:c>
      <x:c r="AW487" s="23" t="n">
        <x:f>MAX(0,MIN('Activities'!L487,270)-MAX('Activities'!K487,264))</x:f>
        <x:v>0</x:v>
      </x:c>
      <x:c r="AX487" s="23" t="n">
        <x:f>MAX(0,MIN('Activities'!L487,276)-MAX('Activities'!K487,270))</x:f>
        <x:v>0</x:v>
      </x:c>
      <x:c r="AY487" s="23" t="n">
        <x:f>MAX(0,MIN('Activities'!L487,282)-MAX('Activities'!K487,276))</x:f>
        <x:v>0</x:v>
      </x:c>
      <x:c r="AZ487" s="23" t="n">
        <x:f>MAX(0,MIN('Activities'!L487,288)-MAX('Activities'!K487,282))</x:f>
        <x:v>0</x:v>
      </x:c>
      <x:c r="BA487" s="23" t="n">
        <x:f>MAX(0,MIN('Activities'!L487,294)-MAX('Activities'!K487,288))</x:f>
        <x:v>0</x:v>
      </x:c>
      <x:c r="BB487" s="23" t="n">
        <x:f>MAX(0,MIN('Activities'!L487,300)-MAX('Activities'!K487,294))</x:f>
        <x:v>0</x:v>
      </x:c>
      <x:c r="BC487" s="23" t="n">
        <x:f>MAX(0,MIN('Activities'!L487,306)-MAX('Activities'!K487,300))</x:f>
        <x:v>0</x:v>
      </x:c>
      <x:c r="BD487" s="23" t="n">
        <x:f>MAX(0,MIN('Activities'!L487,312)-MAX('Activities'!K487,306))</x:f>
        <x:v>0</x:v>
      </x:c>
      <x:c r="BE487" s="23" t="n">
        <x:f>MAX(0,MIN('Activities'!L487,318)-MAX('Activities'!K487,312))</x:f>
        <x:v>0</x:v>
      </x:c>
      <x:c r="BF487" s="23" t="n">
        <x:f>MAX(0,MIN('Activities'!L487,324)-MAX('Activities'!K487,318))</x:f>
        <x:v>0</x:v>
      </x:c>
      <x:c r="BG487" s="23" t="n">
        <x:f>MAX(0,MIN('Activities'!L487,330)-MAX('Activities'!K487,324))</x:f>
        <x:v>0</x:v>
      </x:c>
      <x:c r="BH487" s="23" t="n">
        <x:f>MAX(0,MIN('Activities'!L487,336)-MAX('Activities'!K487,330))</x:f>
        <x:v>0</x:v>
      </x:c>
      <x:c r="BI487" s="23" t="n">
        <x:f>MAX(0,MIN('Activities'!L487,342)-MAX('Activities'!K487,336))</x:f>
        <x:v>0</x:v>
      </x:c>
      <x:c r="BJ487" s="23" t="n">
        <x:f>MAX(0,MIN('Activities'!L487,348)-MAX('Activities'!K487,342))</x:f>
        <x:v>0</x:v>
      </x:c>
      <x:c r="BK487" s="23" t="n">
        <x:f>MAX(0,MIN('Activities'!L487,354)-MAX('Activities'!K487,348))</x:f>
        <x:v>0</x:v>
      </x:c>
      <x:c r="BL487" s="23" t="n">
        <x:f>MAX(0,MIN('Activities'!L487,360)-MAX('Activities'!K487,354))</x:f>
        <x:v>0</x:v>
      </x:c>
      <x:c r="BM487" s="23" t="n">
        <x:f>MAX(0,MIN('Activities'!L487,366)-MAX('Activities'!K487,360))</x:f>
        <x:v>0</x:v>
      </x:c>
      <x:c r="BN487" s="23" t="n">
        <x:f>MAX(0,MIN('Activities'!L487,372)-MAX('Activities'!K487,366))</x:f>
        <x:v>0</x:v>
      </x:c>
      <x:c r="BO487" s="23" t="n">
        <x:f>MAX(0,MIN('Activities'!L487,378)-MAX('Activities'!K487,372))</x:f>
        <x:v>0</x:v>
      </x:c>
      <x:c r="BP487" s="23" t="n">
        <x:f>MAX(0,MIN('Activities'!L487,384)-MAX('Activities'!K487,378))</x:f>
        <x:v>0</x:v>
      </x:c>
      <x:c r="BQ487" s="23" t="n">
        <x:f>MAX(0,MIN('Activities'!L487,390)-MAX('Activities'!K487,384))</x:f>
        <x:v>0</x:v>
      </x:c>
      <x:c r="BR487" s="23" t="n">
        <x:f>MAX(0,MIN('Activities'!L487,396)-MAX('Activities'!K487,390))</x:f>
        <x:v>0</x:v>
      </x:c>
      <x:c r="BS487" s="23" t="n">
        <x:f>MAX(0,MIN('Activities'!L487,402)-MAX('Activities'!K487,396))</x:f>
        <x:v>0</x:v>
      </x:c>
      <x:c r="BT487" s="23" t="n">
        <x:f>MAX(0,MIN('Activities'!L487,408)-MAX('Activities'!K487,402))</x:f>
        <x:v>0</x:v>
      </x:c>
      <x:c r="BU487" s="23" t="n">
        <x:f>MAX(0,MIN('Activities'!L487,414)-MAX('Activities'!K487,408))</x:f>
        <x:v>0</x:v>
      </x:c>
      <x:c r="BV487" s="23" t="n">
        <x:f>MAX(0,MIN('Activities'!L487,420)-MAX('Activities'!K487,414))</x:f>
        <x:v>0</x:v>
      </x:c>
      <x:c r="BW487" s="23" t="n">
        <x:f>MAX(0,MIN('Activities'!L487,426)-MAX('Activities'!K487,420))</x:f>
        <x:v>0</x:v>
      </x:c>
      <x:c r="BX487" s="23" t="n">
        <x:f>MAX(0,MIN('Activities'!L487,432)-MAX('Activities'!K487,426))</x:f>
        <x:v>0</x:v>
      </x:c>
      <x:c r="BY487" s="23" t="n">
        <x:f>MAX(0,MIN('Activities'!L487,438)-MAX('Activities'!K487,432))</x:f>
        <x:v>0</x:v>
      </x:c>
      <x:c r="BZ487" s="23" t="n">
        <x:f>MAX(0,MIN('Activities'!L487,444)-MAX('Activities'!K487,438))</x:f>
        <x:v>0</x:v>
      </x:c>
      <x:c r="CA487" s="23" t="n">
        <x:f>MAX(0,MIN('Activities'!L487,450)-MAX('Activities'!K487,444))</x:f>
        <x:v>0</x:v>
      </x:c>
      <x:c r="CB487" s="23" t="n">
        <x:f>MAX(0,MIN('Activities'!L487,456)-MAX('Activities'!K487,450))</x:f>
        <x:v>3</x:v>
      </x:c>
      <x:c r="CC487" s="23" t="n">
        <x:f>MAX(0,MIN('Activities'!L487,462)-MAX('Activities'!K487,456))</x:f>
        <x:v>0</x:v>
      </x:c>
      <x:c r="CD487" s="23" t="n">
        <x:f>MAX(0,MIN('Activities'!L487,468)-MAX('Activities'!K487,462))</x:f>
        <x:v>0</x:v>
      </x:c>
      <x:c r="CE487" s="23" t="n">
        <x:f>MAX(0,MIN('Activities'!L487,474)-MAX('Activities'!K487,468))</x:f>
        <x:v>0</x:v>
      </x:c>
      <x:c r="CF487" s="23" t="n">
        <x:f>MAX(0,MIN('Activities'!L487,480)-MAX('Activities'!K487,474))</x:f>
        <x:v>0</x:v>
      </x:c>
      <x:c r="CG487" s="23" t="n">
        <x:f>MAX(0,MIN('Activities'!L487,486)-MAX('Activities'!K487,480))</x:f>
        <x:v>0</x:v>
      </x:c>
      <x:c r="CH487" s="23" t="n">
        <x:f>MAX(0,MIN('Activities'!L487,492)-MAX('Activities'!K487,486))</x:f>
        <x:v>0</x:v>
      </x:c>
      <x:c r="CI487" s="23" t="n">
        <x:f>MAX(0,MIN('Activities'!L487,498)-MAX('Activities'!K487,492))</x:f>
        <x:v>0</x:v>
      </x:c>
      <x:c r="CJ487" s="23" t="n">
        <x:f>MAX(0,MIN('Activities'!L487,504)-MAX('Activities'!K487,498))</x:f>
        <x:v>0</x:v>
      </x:c>
      <x:c r="CK487" s="23" t="n">
        <x:f>MAX(0,MIN('Activities'!L487,510)-MAX('Activities'!K487,504))</x:f>
        <x:v>0</x:v>
      </x:c>
      <x:c r="CL487" s="23" t="n">
        <x:f>MAX(0,MIN('Activities'!L487,516)-MAX('Activities'!K487,510))</x:f>
        <x:v>0</x:v>
      </x:c>
      <x:c r="CM487" s="23" t="n">
        <x:f>MAX(0,MIN('Activities'!L487,522)-MAX('Activities'!K487,516))</x:f>
        <x:v>0</x:v>
      </x:c>
      <x:c r="CN487" s="23" t="n">
        <x:f>MAX(0,MIN('Activities'!L487,528)-MAX('Activities'!K487,522))</x:f>
        <x:v>0</x:v>
      </x:c>
      <x:c r="CO487" s="23" t="n">
        <x:f>MAX(0,MIN('Activities'!L487,534)-MAX('Activities'!K487,528))</x:f>
        <x:v>0</x:v>
      </x:c>
      <x:c r="CP487" s="23" t="n">
        <x:f>MAX(0,MIN('Activities'!L487,540)-MAX('Activities'!K487,534))</x:f>
        <x:v>0</x:v>
      </x:c>
      <x:c r="CQ487" s="23" t="n">
        <x:f>MAX(0,MIN('Activities'!L487,546)-MAX('Activities'!K487,540))</x:f>
        <x:v>0</x:v>
      </x:c>
      <x:c r="CR487" s="23" t="n">
        <x:f>MAX(0,MIN('Activities'!L487,552)-MAX('Activities'!K487,546))</x:f>
        <x:v>0</x:v>
      </x:c>
      <x:c r="CS487" s="23" t="n">
        <x:f>MAX(0,MIN('Activities'!L487,558)-MAX('Activities'!K487,552))</x:f>
        <x:v>0</x:v>
      </x:c>
      <x:c r="CT487" s="23" t="n">
        <x:f>MAX(0,MIN('Activities'!L487,564)-MAX('Activities'!K487,558))</x:f>
        <x:v>0</x:v>
      </x:c>
      <x:c r="CU487" s="23" t="n">
        <x:f>MAX(0,MIN('Activities'!L487,570)-MAX('Activities'!K487,564))</x:f>
        <x:v>0</x:v>
      </x:c>
      <x:c r="CV487" s="23" t="n">
        <x:f>MAX(0,MIN('Activities'!L487,576)-MAX('Activities'!K487,570))</x:f>
        <x:v>0</x:v>
      </x:c>
      <x:c r="CW487" s="23" t="n">
        <x:f>MAX(0,MIN('Activities'!L487,582)-MAX('Activities'!K487,576))</x:f>
        <x:v>0</x:v>
      </x:c>
      <x:c r="CX487" s="23" t="n">
        <x:f>MAX(0,MIN('Activities'!L487,588)-MAX('Activities'!K487,582))</x:f>
        <x:v>0</x:v>
      </x:c>
      <x:c r="CY487" s="23" t="n">
        <x:f>MAX(0,MIN('Activities'!L487,594)-MAX('Activities'!K487,588))</x:f>
        <x:v>0</x:v>
      </x:c>
      <x:c r="CZ487" s="23" t="n">
        <x:f>MAX(0,MIN('Activities'!L487,600)-MAX('Activities'!K487,594))</x:f>
        <x:v>0</x:v>
      </x:c>
      <x:c r="DA487" s="23" t="n">
        <x:f>MAX(0,MIN('Activities'!L487,606)-MAX('Activities'!K487,600))</x:f>
        <x:v>0</x:v>
      </x:c>
      <x:c r="DB487" s="23" t="n">
        <x:f>MAX(0,MIN('Activities'!L487,612)-MAX('Activities'!K487,606))</x:f>
        <x:v>0</x:v>
      </x:c>
      <x:c r="DC487" s="23" t="n">
        <x:f>MAX(0,MIN('Activities'!L487,618)-MAX('Activities'!K487,612))</x:f>
        <x:v>0</x:v>
      </x:c>
      <x:c r="DD487" s="23" t="n">
        <x:f>MAX(0,MIN('Activities'!L487,624)-MAX('Activities'!K487,618))</x:f>
        <x:v>0</x:v>
      </x:c>
      <x:c r="DE487" s="23" t="n">
        <x:f>MAX(0,MIN('Activities'!L487,630)-MAX('Activities'!K487,624))</x:f>
        <x:v>0</x:v>
      </x:c>
      <x:c r="DF487" s="23" t="n">
        <x:f>MAX(0,MIN('Activities'!L487,636)-MAX('Activities'!K487,630))</x:f>
        <x:v>0</x:v>
      </x:c>
    </x:row>
    <x:row r="488" ht="23" customHeight="1">
      <x:c r="A488" s="6" t="str">
        <x:v>T4-L03-M</x:v>
      </x:c>
      <x:c r="B488" s="6" t="str">
        <x:v>T4</x:v>
      </x:c>
      <x:c r="C488" s="6" t="str">
        <x:v>Partition masonry</x:v>
      </x:c>
      <x:c r="D488" s="6" t="str">
        <x:v>Masonry</x:v>
      </x:c>
      <x:c r="E488" s="22" t="n">
        <x:f>MAX(0,MIN('Activities'!L488,6)-MAX('Activities'!K488,0))</x:f>
        <x:v>0</x:v>
      </x:c>
      <x:c r="F488" s="22" t="n">
        <x:f>MAX(0,MIN('Activities'!L488,12)-MAX('Activities'!K488,6))</x:f>
        <x:v>0</x:v>
      </x:c>
      <x:c r="G488" s="22" t="n">
        <x:f>MAX(0,MIN('Activities'!L488,18)-MAX('Activities'!K488,12))</x:f>
        <x:v>0</x:v>
      </x:c>
      <x:c r="H488" s="22" t="n">
        <x:f>MAX(0,MIN('Activities'!L488,24)-MAX('Activities'!K488,18))</x:f>
        <x:v>0</x:v>
      </x:c>
      <x:c r="I488" s="22" t="n">
        <x:f>MAX(0,MIN('Activities'!L488,30)-MAX('Activities'!K488,24))</x:f>
        <x:v>0</x:v>
      </x:c>
      <x:c r="J488" s="22" t="n">
        <x:f>MAX(0,MIN('Activities'!L488,36)-MAX('Activities'!K488,30))</x:f>
        <x:v>0</x:v>
      </x:c>
      <x:c r="K488" s="22" t="n">
        <x:f>MAX(0,MIN('Activities'!L488,42)-MAX('Activities'!K488,36))</x:f>
        <x:v>0</x:v>
      </x:c>
      <x:c r="L488" s="22" t="n">
        <x:f>MAX(0,MIN('Activities'!L488,48)-MAX('Activities'!K488,42))</x:f>
        <x:v>0</x:v>
      </x:c>
      <x:c r="M488" s="22" t="n">
        <x:f>MAX(0,MIN('Activities'!L488,54)-MAX('Activities'!K488,48))</x:f>
        <x:v>0</x:v>
      </x:c>
      <x:c r="N488" s="22" t="n">
        <x:f>MAX(0,MIN('Activities'!L488,60)-MAX('Activities'!K488,54))</x:f>
        <x:v>0</x:v>
      </x:c>
      <x:c r="O488" s="22" t="n">
        <x:f>MAX(0,MIN('Activities'!L488,66)-MAX('Activities'!K488,60))</x:f>
        <x:v>0</x:v>
      </x:c>
      <x:c r="P488" s="22" t="n">
        <x:f>MAX(0,MIN('Activities'!L488,72)-MAX('Activities'!K488,66))</x:f>
        <x:v>0</x:v>
      </x:c>
      <x:c r="Q488" s="22" t="n">
        <x:f>MAX(0,MIN('Activities'!L488,78)-MAX('Activities'!K488,72))</x:f>
        <x:v>0</x:v>
      </x:c>
      <x:c r="R488" s="22" t="n">
        <x:f>MAX(0,MIN('Activities'!L488,84)-MAX('Activities'!K488,78))</x:f>
        <x:v>0</x:v>
      </x:c>
      <x:c r="S488" s="22" t="n">
        <x:f>MAX(0,MIN('Activities'!L488,90)-MAX('Activities'!K488,84))</x:f>
        <x:v>0</x:v>
      </x:c>
      <x:c r="T488" s="22" t="n">
        <x:f>MAX(0,MIN('Activities'!L488,96)-MAX('Activities'!K488,90))</x:f>
        <x:v>0</x:v>
      </x:c>
      <x:c r="U488" s="22" t="n">
        <x:f>MAX(0,MIN('Activities'!L488,102)-MAX('Activities'!K488,96))</x:f>
        <x:v>0</x:v>
      </x:c>
      <x:c r="V488" s="22" t="n">
        <x:f>MAX(0,MIN('Activities'!L488,108)-MAX('Activities'!K488,102))</x:f>
        <x:v>0</x:v>
      </x:c>
      <x:c r="W488" s="22" t="n">
        <x:f>MAX(0,MIN('Activities'!L488,114)-MAX('Activities'!K488,108))</x:f>
        <x:v>0</x:v>
      </x:c>
      <x:c r="X488" s="22" t="n">
        <x:f>MAX(0,MIN('Activities'!L488,120)-MAX('Activities'!K488,114))</x:f>
        <x:v>0</x:v>
      </x:c>
      <x:c r="Y488" s="22" t="n">
        <x:f>MAX(0,MIN('Activities'!L488,126)-MAX('Activities'!K488,120))</x:f>
        <x:v>0</x:v>
      </x:c>
      <x:c r="Z488" s="22" t="n">
        <x:f>MAX(0,MIN('Activities'!L488,132)-MAX('Activities'!K488,126))</x:f>
        <x:v>0</x:v>
      </x:c>
      <x:c r="AA488" s="22" t="n">
        <x:f>MAX(0,MIN('Activities'!L488,138)-MAX('Activities'!K488,132))</x:f>
        <x:v>0</x:v>
      </x:c>
      <x:c r="AB488" s="22" t="n">
        <x:f>MAX(0,MIN('Activities'!L488,144)-MAX('Activities'!K488,138))</x:f>
        <x:v>0</x:v>
      </x:c>
      <x:c r="AC488" s="22" t="n">
        <x:f>MAX(0,MIN('Activities'!L488,150)-MAX('Activities'!K488,144))</x:f>
        <x:v>0</x:v>
      </x:c>
      <x:c r="AD488" s="22" t="n">
        <x:f>MAX(0,MIN('Activities'!L488,156)-MAX('Activities'!K488,150))</x:f>
        <x:v>0</x:v>
      </x:c>
      <x:c r="AE488" s="22" t="n">
        <x:f>MAX(0,MIN('Activities'!L488,162)-MAX('Activities'!K488,156))</x:f>
        <x:v>0</x:v>
      </x:c>
      <x:c r="AF488" s="22" t="n">
        <x:f>MAX(0,MIN('Activities'!L488,168)-MAX('Activities'!K488,162))</x:f>
        <x:v>0</x:v>
      </x:c>
      <x:c r="AG488" s="22" t="n">
        <x:f>MAX(0,MIN('Activities'!L488,174)-MAX('Activities'!K488,168))</x:f>
        <x:v>0</x:v>
      </x:c>
      <x:c r="AH488" s="22" t="n">
        <x:f>MAX(0,MIN('Activities'!L488,180)-MAX('Activities'!K488,174))</x:f>
        <x:v>0</x:v>
      </x:c>
      <x:c r="AI488" s="22" t="n">
        <x:f>MAX(0,MIN('Activities'!L488,186)-MAX('Activities'!K488,180))</x:f>
        <x:v>0</x:v>
      </x:c>
      <x:c r="AJ488" s="22" t="n">
        <x:f>MAX(0,MIN('Activities'!L488,192)-MAX('Activities'!K488,186))</x:f>
        <x:v>0</x:v>
      </x:c>
      <x:c r="AK488" s="22" t="n">
        <x:f>MAX(0,MIN('Activities'!L488,198)-MAX('Activities'!K488,192))</x:f>
        <x:v>0</x:v>
      </x:c>
      <x:c r="AL488" s="22" t="n">
        <x:f>MAX(0,MIN('Activities'!L488,204)-MAX('Activities'!K488,198))</x:f>
        <x:v>0</x:v>
      </x:c>
      <x:c r="AM488" s="22" t="n">
        <x:f>MAX(0,MIN('Activities'!L488,210)-MAX('Activities'!K488,204))</x:f>
        <x:v>0</x:v>
      </x:c>
      <x:c r="AN488" s="22" t="n">
        <x:f>MAX(0,MIN('Activities'!L488,216)-MAX('Activities'!K488,210))</x:f>
        <x:v>0</x:v>
      </x:c>
      <x:c r="AO488" s="22" t="n">
        <x:f>MAX(0,MIN('Activities'!L488,222)-MAX('Activities'!K488,216))</x:f>
        <x:v>0</x:v>
      </x:c>
      <x:c r="AP488" s="22" t="n">
        <x:f>MAX(0,MIN('Activities'!L488,228)-MAX('Activities'!K488,222))</x:f>
        <x:v>0</x:v>
      </x:c>
      <x:c r="AQ488" s="22" t="n">
        <x:f>MAX(0,MIN('Activities'!L488,234)-MAX('Activities'!K488,228))</x:f>
        <x:v>0</x:v>
      </x:c>
      <x:c r="AR488" s="22" t="n">
        <x:f>MAX(0,MIN('Activities'!L488,240)-MAX('Activities'!K488,234))</x:f>
        <x:v>0</x:v>
      </x:c>
      <x:c r="AS488" s="22" t="n">
        <x:f>MAX(0,MIN('Activities'!L488,246)-MAX('Activities'!K488,240))</x:f>
        <x:v>0</x:v>
      </x:c>
      <x:c r="AT488" s="22" t="n">
        <x:f>MAX(0,MIN('Activities'!L488,252)-MAX('Activities'!K488,246))</x:f>
        <x:v>0</x:v>
      </x:c>
      <x:c r="AU488" s="22" t="n">
        <x:f>MAX(0,MIN('Activities'!L488,258)-MAX('Activities'!K488,252))</x:f>
        <x:v>0</x:v>
      </x:c>
      <x:c r="AV488" s="22" t="n">
        <x:f>MAX(0,MIN('Activities'!L488,264)-MAX('Activities'!K488,258))</x:f>
        <x:v>0</x:v>
      </x:c>
      <x:c r="AW488" s="22" t="n">
        <x:f>MAX(0,MIN('Activities'!L488,270)-MAX('Activities'!K488,264))</x:f>
        <x:v>0</x:v>
      </x:c>
      <x:c r="AX488" s="22" t="n">
        <x:f>MAX(0,MIN('Activities'!L488,276)-MAX('Activities'!K488,270))</x:f>
        <x:v>0</x:v>
      </x:c>
      <x:c r="AY488" s="22" t="n">
        <x:f>MAX(0,MIN('Activities'!L488,282)-MAX('Activities'!K488,276))</x:f>
        <x:v>0</x:v>
      </x:c>
      <x:c r="AZ488" s="22" t="n">
        <x:f>MAX(0,MIN('Activities'!L488,288)-MAX('Activities'!K488,282))</x:f>
        <x:v>0</x:v>
      </x:c>
      <x:c r="BA488" s="22" t="n">
        <x:f>MAX(0,MIN('Activities'!L488,294)-MAX('Activities'!K488,288))</x:f>
        <x:v>0</x:v>
      </x:c>
      <x:c r="BB488" s="22" t="n">
        <x:f>MAX(0,MIN('Activities'!L488,300)-MAX('Activities'!K488,294))</x:f>
        <x:v>0</x:v>
      </x:c>
      <x:c r="BC488" s="22" t="n">
        <x:f>MAX(0,MIN('Activities'!L488,306)-MAX('Activities'!K488,300))</x:f>
        <x:v>5</x:v>
      </x:c>
      <x:c r="BD488" s="22" t="n">
        <x:f>MAX(0,MIN('Activities'!L488,312)-MAX('Activities'!K488,306))</x:f>
        <x:v>0</x:v>
      </x:c>
      <x:c r="BE488" s="22" t="n">
        <x:f>MAX(0,MIN('Activities'!L488,318)-MAX('Activities'!K488,312))</x:f>
        <x:v>0</x:v>
      </x:c>
      <x:c r="BF488" s="22" t="n">
        <x:f>MAX(0,MIN('Activities'!L488,324)-MAX('Activities'!K488,318))</x:f>
        <x:v>0</x:v>
      </x:c>
      <x:c r="BG488" s="22" t="n">
        <x:f>MAX(0,MIN('Activities'!L488,330)-MAX('Activities'!K488,324))</x:f>
        <x:v>0</x:v>
      </x:c>
      <x:c r="BH488" s="22" t="n">
        <x:f>MAX(0,MIN('Activities'!L488,336)-MAX('Activities'!K488,330))</x:f>
        <x:v>0</x:v>
      </x:c>
      <x:c r="BI488" s="22" t="n">
        <x:f>MAX(0,MIN('Activities'!L488,342)-MAX('Activities'!K488,336))</x:f>
        <x:v>0</x:v>
      </x:c>
      <x:c r="BJ488" s="22" t="n">
        <x:f>MAX(0,MIN('Activities'!L488,348)-MAX('Activities'!K488,342))</x:f>
        <x:v>0</x:v>
      </x:c>
      <x:c r="BK488" s="22" t="n">
        <x:f>MAX(0,MIN('Activities'!L488,354)-MAX('Activities'!K488,348))</x:f>
        <x:v>0</x:v>
      </x:c>
      <x:c r="BL488" s="22" t="n">
        <x:f>MAX(0,MIN('Activities'!L488,360)-MAX('Activities'!K488,354))</x:f>
        <x:v>0</x:v>
      </x:c>
      <x:c r="BM488" s="22" t="n">
        <x:f>MAX(0,MIN('Activities'!L488,366)-MAX('Activities'!K488,360))</x:f>
        <x:v>0</x:v>
      </x:c>
      <x:c r="BN488" s="22" t="n">
        <x:f>MAX(0,MIN('Activities'!L488,372)-MAX('Activities'!K488,366))</x:f>
        <x:v>0</x:v>
      </x:c>
      <x:c r="BO488" s="22" t="n">
        <x:f>MAX(0,MIN('Activities'!L488,378)-MAX('Activities'!K488,372))</x:f>
        <x:v>0</x:v>
      </x:c>
      <x:c r="BP488" s="22" t="n">
        <x:f>MAX(0,MIN('Activities'!L488,384)-MAX('Activities'!K488,378))</x:f>
        <x:v>0</x:v>
      </x:c>
      <x:c r="BQ488" s="22" t="n">
        <x:f>MAX(0,MIN('Activities'!L488,390)-MAX('Activities'!K488,384))</x:f>
        <x:v>0</x:v>
      </x:c>
      <x:c r="BR488" s="22" t="n">
        <x:f>MAX(0,MIN('Activities'!L488,396)-MAX('Activities'!K488,390))</x:f>
        <x:v>0</x:v>
      </x:c>
      <x:c r="BS488" s="22" t="n">
        <x:f>MAX(0,MIN('Activities'!L488,402)-MAX('Activities'!K488,396))</x:f>
        <x:v>0</x:v>
      </x:c>
      <x:c r="BT488" s="22" t="n">
        <x:f>MAX(0,MIN('Activities'!L488,408)-MAX('Activities'!K488,402))</x:f>
        <x:v>0</x:v>
      </x:c>
      <x:c r="BU488" s="22" t="n">
        <x:f>MAX(0,MIN('Activities'!L488,414)-MAX('Activities'!K488,408))</x:f>
        <x:v>0</x:v>
      </x:c>
      <x:c r="BV488" s="22" t="n">
        <x:f>MAX(0,MIN('Activities'!L488,420)-MAX('Activities'!K488,414))</x:f>
        <x:v>0</x:v>
      </x:c>
      <x:c r="BW488" s="22" t="n">
        <x:f>MAX(0,MIN('Activities'!L488,426)-MAX('Activities'!K488,420))</x:f>
        <x:v>0</x:v>
      </x:c>
      <x:c r="BX488" s="22" t="n">
        <x:f>MAX(0,MIN('Activities'!L488,432)-MAX('Activities'!K488,426))</x:f>
        <x:v>0</x:v>
      </x:c>
      <x:c r="BY488" s="22" t="n">
        <x:f>MAX(0,MIN('Activities'!L488,438)-MAX('Activities'!K488,432))</x:f>
        <x:v>0</x:v>
      </x:c>
      <x:c r="BZ488" s="22" t="n">
        <x:f>MAX(0,MIN('Activities'!L488,444)-MAX('Activities'!K488,438))</x:f>
        <x:v>0</x:v>
      </x:c>
      <x:c r="CA488" s="22" t="n">
        <x:f>MAX(0,MIN('Activities'!L488,450)-MAX('Activities'!K488,444))</x:f>
        <x:v>0</x:v>
      </x:c>
      <x:c r="CB488" s="22" t="n">
        <x:f>MAX(0,MIN('Activities'!L488,456)-MAX('Activities'!K488,450))</x:f>
        <x:v>0</x:v>
      </x:c>
      <x:c r="CC488" s="22" t="n">
        <x:f>MAX(0,MIN('Activities'!L488,462)-MAX('Activities'!K488,456))</x:f>
        <x:v>0</x:v>
      </x:c>
      <x:c r="CD488" s="22" t="n">
        <x:f>MAX(0,MIN('Activities'!L488,468)-MAX('Activities'!K488,462))</x:f>
        <x:v>0</x:v>
      </x:c>
      <x:c r="CE488" s="22" t="n">
        <x:f>MAX(0,MIN('Activities'!L488,474)-MAX('Activities'!K488,468))</x:f>
        <x:v>0</x:v>
      </x:c>
      <x:c r="CF488" s="22" t="n">
        <x:f>MAX(0,MIN('Activities'!L488,480)-MAX('Activities'!K488,474))</x:f>
        <x:v>0</x:v>
      </x:c>
      <x:c r="CG488" s="22" t="n">
        <x:f>MAX(0,MIN('Activities'!L488,486)-MAX('Activities'!K488,480))</x:f>
        <x:v>0</x:v>
      </x:c>
      <x:c r="CH488" s="22" t="n">
        <x:f>MAX(0,MIN('Activities'!L488,492)-MAX('Activities'!K488,486))</x:f>
        <x:v>0</x:v>
      </x:c>
      <x:c r="CI488" s="22" t="n">
        <x:f>MAX(0,MIN('Activities'!L488,498)-MAX('Activities'!K488,492))</x:f>
        <x:v>0</x:v>
      </x:c>
      <x:c r="CJ488" s="22" t="n">
        <x:f>MAX(0,MIN('Activities'!L488,504)-MAX('Activities'!K488,498))</x:f>
        <x:v>0</x:v>
      </x:c>
      <x:c r="CK488" s="22" t="n">
        <x:f>MAX(0,MIN('Activities'!L488,510)-MAX('Activities'!K488,504))</x:f>
        <x:v>0</x:v>
      </x:c>
      <x:c r="CL488" s="22" t="n">
        <x:f>MAX(0,MIN('Activities'!L488,516)-MAX('Activities'!K488,510))</x:f>
        <x:v>0</x:v>
      </x:c>
      <x:c r="CM488" s="22" t="n">
        <x:f>MAX(0,MIN('Activities'!L488,522)-MAX('Activities'!K488,516))</x:f>
        <x:v>0</x:v>
      </x:c>
      <x:c r="CN488" s="22" t="n">
        <x:f>MAX(0,MIN('Activities'!L488,528)-MAX('Activities'!K488,522))</x:f>
        <x:v>0</x:v>
      </x:c>
      <x:c r="CO488" s="22" t="n">
        <x:f>MAX(0,MIN('Activities'!L488,534)-MAX('Activities'!K488,528))</x:f>
        <x:v>0</x:v>
      </x:c>
      <x:c r="CP488" s="22" t="n">
        <x:f>MAX(0,MIN('Activities'!L488,540)-MAX('Activities'!K488,534))</x:f>
        <x:v>0</x:v>
      </x:c>
      <x:c r="CQ488" s="22" t="n">
        <x:f>MAX(0,MIN('Activities'!L488,546)-MAX('Activities'!K488,540))</x:f>
        <x:v>0</x:v>
      </x:c>
      <x:c r="CR488" s="22" t="n">
        <x:f>MAX(0,MIN('Activities'!L488,552)-MAX('Activities'!K488,546))</x:f>
        <x:v>0</x:v>
      </x:c>
      <x:c r="CS488" s="22" t="n">
        <x:f>MAX(0,MIN('Activities'!L488,558)-MAX('Activities'!K488,552))</x:f>
        <x:v>0</x:v>
      </x:c>
      <x:c r="CT488" s="22" t="n">
        <x:f>MAX(0,MIN('Activities'!L488,564)-MAX('Activities'!K488,558))</x:f>
        <x:v>0</x:v>
      </x:c>
      <x:c r="CU488" s="22" t="n">
        <x:f>MAX(0,MIN('Activities'!L488,570)-MAX('Activities'!K488,564))</x:f>
        <x:v>0</x:v>
      </x:c>
      <x:c r="CV488" s="22" t="n">
        <x:f>MAX(0,MIN('Activities'!L488,576)-MAX('Activities'!K488,570))</x:f>
        <x:v>0</x:v>
      </x:c>
      <x:c r="CW488" s="22" t="n">
        <x:f>MAX(0,MIN('Activities'!L488,582)-MAX('Activities'!K488,576))</x:f>
        <x:v>0</x:v>
      </x:c>
      <x:c r="CX488" s="22" t="n">
        <x:f>MAX(0,MIN('Activities'!L488,588)-MAX('Activities'!K488,582))</x:f>
        <x:v>0</x:v>
      </x:c>
      <x:c r="CY488" s="22" t="n">
        <x:f>MAX(0,MIN('Activities'!L488,594)-MAX('Activities'!K488,588))</x:f>
        <x:v>0</x:v>
      </x:c>
      <x:c r="CZ488" s="22" t="n">
        <x:f>MAX(0,MIN('Activities'!L488,600)-MAX('Activities'!K488,594))</x:f>
        <x:v>0</x:v>
      </x:c>
      <x:c r="DA488" s="22" t="n">
        <x:f>MAX(0,MIN('Activities'!L488,606)-MAX('Activities'!K488,600))</x:f>
        <x:v>0</x:v>
      </x:c>
      <x:c r="DB488" s="22" t="n">
        <x:f>MAX(0,MIN('Activities'!L488,612)-MAX('Activities'!K488,606))</x:f>
        <x:v>0</x:v>
      </x:c>
      <x:c r="DC488" s="22" t="n">
        <x:f>MAX(0,MIN('Activities'!L488,618)-MAX('Activities'!K488,612))</x:f>
        <x:v>0</x:v>
      </x:c>
      <x:c r="DD488" s="22" t="n">
        <x:f>MAX(0,MIN('Activities'!L488,624)-MAX('Activities'!K488,618))</x:f>
        <x:v>0</x:v>
      </x:c>
      <x:c r="DE488" s="22" t="n">
        <x:f>MAX(0,MIN('Activities'!L488,630)-MAX('Activities'!K488,624))</x:f>
        <x:v>0</x:v>
      </x:c>
      <x:c r="DF488" s="22" t="n">
        <x:f>MAX(0,MIN('Activities'!L488,636)-MAX('Activities'!K488,630))</x:f>
        <x:v>0</x:v>
      </x:c>
    </x:row>
    <x:row r="489" ht="23" customHeight="1">
      <x:c r="A489" s="1" t="str">
        <x:v>T4-L03-P</x:v>
      </x:c>
      <x:c r="B489" s="1" t="str">
        <x:v>T4</x:v>
      </x:c>
      <x:c r="C489" s="1" t="str">
        <x:v>Internal plaster</x:v>
      </x:c>
      <x:c r="D489" s="1" t="str">
        <x:v>Finishes</x:v>
      </x:c>
      <x:c r="E489" s="23" t="n">
        <x:f>MAX(0,MIN('Activities'!L489,6)-MAX('Activities'!K489,0))</x:f>
        <x:v>0</x:v>
      </x:c>
      <x:c r="F489" s="23" t="n">
        <x:f>MAX(0,MIN('Activities'!L489,12)-MAX('Activities'!K489,6))</x:f>
        <x:v>0</x:v>
      </x:c>
      <x:c r="G489" s="23" t="n">
        <x:f>MAX(0,MIN('Activities'!L489,18)-MAX('Activities'!K489,12))</x:f>
        <x:v>0</x:v>
      </x:c>
      <x:c r="H489" s="23" t="n">
        <x:f>MAX(0,MIN('Activities'!L489,24)-MAX('Activities'!K489,18))</x:f>
        <x:v>0</x:v>
      </x:c>
      <x:c r="I489" s="23" t="n">
        <x:f>MAX(0,MIN('Activities'!L489,30)-MAX('Activities'!K489,24))</x:f>
        <x:v>0</x:v>
      </x:c>
      <x:c r="J489" s="23" t="n">
        <x:f>MAX(0,MIN('Activities'!L489,36)-MAX('Activities'!K489,30))</x:f>
        <x:v>0</x:v>
      </x:c>
      <x:c r="K489" s="23" t="n">
        <x:f>MAX(0,MIN('Activities'!L489,42)-MAX('Activities'!K489,36))</x:f>
        <x:v>0</x:v>
      </x:c>
      <x:c r="L489" s="23" t="n">
        <x:f>MAX(0,MIN('Activities'!L489,48)-MAX('Activities'!K489,42))</x:f>
        <x:v>0</x:v>
      </x:c>
      <x:c r="M489" s="23" t="n">
        <x:f>MAX(0,MIN('Activities'!L489,54)-MAX('Activities'!K489,48))</x:f>
        <x:v>0</x:v>
      </x:c>
      <x:c r="N489" s="23" t="n">
        <x:f>MAX(0,MIN('Activities'!L489,60)-MAX('Activities'!K489,54))</x:f>
        <x:v>0</x:v>
      </x:c>
      <x:c r="O489" s="23" t="n">
        <x:f>MAX(0,MIN('Activities'!L489,66)-MAX('Activities'!K489,60))</x:f>
        <x:v>0</x:v>
      </x:c>
      <x:c r="P489" s="23" t="n">
        <x:f>MAX(0,MIN('Activities'!L489,72)-MAX('Activities'!K489,66))</x:f>
        <x:v>0</x:v>
      </x:c>
      <x:c r="Q489" s="23" t="n">
        <x:f>MAX(0,MIN('Activities'!L489,78)-MAX('Activities'!K489,72))</x:f>
        <x:v>0</x:v>
      </x:c>
      <x:c r="R489" s="23" t="n">
        <x:f>MAX(0,MIN('Activities'!L489,84)-MAX('Activities'!K489,78))</x:f>
        <x:v>0</x:v>
      </x:c>
      <x:c r="S489" s="23" t="n">
        <x:f>MAX(0,MIN('Activities'!L489,90)-MAX('Activities'!K489,84))</x:f>
        <x:v>0</x:v>
      </x:c>
      <x:c r="T489" s="23" t="n">
        <x:f>MAX(0,MIN('Activities'!L489,96)-MAX('Activities'!K489,90))</x:f>
        <x:v>0</x:v>
      </x:c>
      <x:c r="U489" s="23" t="n">
        <x:f>MAX(0,MIN('Activities'!L489,102)-MAX('Activities'!K489,96))</x:f>
        <x:v>0</x:v>
      </x:c>
      <x:c r="V489" s="23" t="n">
        <x:f>MAX(0,MIN('Activities'!L489,108)-MAX('Activities'!K489,102))</x:f>
        <x:v>0</x:v>
      </x:c>
      <x:c r="W489" s="23" t="n">
        <x:f>MAX(0,MIN('Activities'!L489,114)-MAX('Activities'!K489,108))</x:f>
        <x:v>0</x:v>
      </x:c>
      <x:c r="X489" s="23" t="n">
        <x:f>MAX(0,MIN('Activities'!L489,120)-MAX('Activities'!K489,114))</x:f>
        <x:v>0</x:v>
      </x:c>
      <x:c r="Y489" s="23" t="n">
        <x:f>MAX(0,MIN('Activities'!L489,126)-MAX('Activities'!K489,120))</x:f>
        <x:v>0</x:v>
      </x:c>
      <x:c r="Z489" s="23" t="n">
        <x:f>MAX(0,MIN('Activities'!L489,132)-MAX('Activities'!K489,126))</x:f>
        <x:v>0</x:v>
      </x:c>
      <x:c r="AA489" s="23" t="n">
        <x:f>MAX(0,MIN('Activities'!L489,138)-MAX('Activities'!K489,132))</x:f>
        <x:v>0</x:v>
      </x:c>
      <x:c r="AB489" s="23" t="n">
        <x:f>MAX(0,MIN('Activities'!L489,144)-MAX('Activities'!K489,138))</x:f>
        <x:v>0</x:v>
      </x:c>
      <x:c r="AC489" s="23" t="n">
        <x:f>MAX(0,MIN('Activities'!L489,150)-MAX('Activities'!K489,144))</x:f>
        <x:v>0</x:v>
      </x:c>
      <x:c r="AD489" s="23" t="n">
        <x:f>MAX(0,MIN('Activities'!L489,156)-MAX('Activities'!K489,150))</x:f>
        <x:v>0</x:v>
      </x:c>
      <x:c r="AE489" s="23" t="n">
        <x:f>MAX(0,MIN('Activities'!L489,162)-MAX('Activities'!K489,156))</x:f>
        <x:v>0</x:v>
      </x:c>
      <x:c r="AF489" s="23" t="n">
        <x:f>MAX(0,MIN('Activities'!L489,168)-MAX('Activities'!K489,162))</x:f>
        <x:v>0</x:v>
      </x:c>
      <x:c r="AG489" s="23" t="n">
        <x:f>MAX(0,MIN('Activities'!L489,174)-MAX('Activities'!K489,168))</x:f>
        <x:v>0</x:v>
      </x:c>
      <x:c r="AH489" s="23" t="n">
        <x:f>MAX(0,MIN('Activities'!L489,180)-MAX('Activities'!K489,174))</x:f>
        <x:v>0</x:v>
      </x:c>
      <x:c r="AI489" s="23" t="n">
        <x:f>MAX(0,MIN('Activities'!L489,186)-MAX('Activities'!K489,180))</x:f>
        <x:v>0</x:v>
      </x:c>
      <x:c r="AJ489" s="23" t="n">
        <x:f>MAX(0,MIN('Activities'!L489,192)-MAX('Activities'!K489,186))</x:f>
        <x:v>0</x:v>
      </x:c>
      <x:c r="AK489" s="23" t="n">
        <x:f>MAX(0,MIN('Activities'!L489,198)-MAX('Activities'!K489,192))</x:f>
        <x:v>0</x:v>
      </x:c>
      <x:c r="AL489" s="23" t="n">
        <x:f>MAX(0,MIN('Activities'!L489,204)-MAX('Activities'!K489,198))</x:f>
        <x:v>0</x:v>
      </x:c>
      <x:c r="AM489" s="23" t="n">
        <x:f>MAX(0,MIN('Activities'!L489,210)-MAX('Activities'!K489,204))</x:f>
        <x:v>0</x:v>
      </x:c>
      <x:c r="AN489" s="23" t="n">
        <x:f>MAX(0,MIN('Activities'!L489,216)-MAX('Activities'!K489,210))</x:f>
        <x:v>0</x:v>
      </x:c>
      <x:c r="AO489" s="23" t="n">
        <x:f>MAX(0,MIN('Activities'!L489,222)-MAX('Activities'!K489,216))</x:f>
        <x:v>0</x:v>
      </x:c>
      <x:c r="AP489" s="23" t="n">
        <x:f>MAX(0,MIN('Activities'!L489,228)-MAX('Activities'!K489,222))</x:f>
        <x:v>0</x:v>
      </x:c>
      <x:c r="AQ489" s="23" t="n">
        <x:f>MAX(0,MIN('Activities'!L489,234)-MAX('Activities'!K489,228))</x:f>
        <x:v>0</x:v>
      </x:c>
      <x:c r="AR489" s="23" t="n">
        <x:f>MAX(0,MIN('Activities'!L489,240)-MAX('Activities'!K489,234))</x:f>
        <x:v>0</x:v>
      </x:c>
      <x:c r="AS489" s="23" t="n">
        <x:f>MAX(0,MIN('Activities'!L489,246)-MAX('Activities'!K489,240))</x:f>
        <x:v>0</x:v>
      </x:c>
      <x:c r="AT489" s="23" t="n">
        <x:f>MAX(0,MIN('Activities'!L489,252)-MAX('Activities'!K489,246))</x:f>
        <x:v>0</x:v>
      </x:c>
      <x:c r="AU489" s="23" t="n">
        <x:f>MAX(0,MIN('Activities'!L489,258)-MAX('Activities'!K489,252))</x:f>
        <x:v>0</x:v>
      </x:c>
      <x:c r="AV489" s="23" t="n">
        <x:f>MAX(0,MIN('Activities'!L489,264)-MAX('Activities'!K489,258))</x:f>
        <x:v>0</x:v>
      </x:c>
      <x:c r="AW489" s="23" t="n">
        <x:f>MAX(0,MIN('Activities'!L489,270)-MAX('Activities'!K489,264))</x:f>
        <x:v>0</x:v>
      </x:c>
      <x:c r="AX489" s="23" t="n">
        <x:f>MAX(0,MIN('Activities'!L489,276)-MAX('Activities'!K489,270))</x:f>
        <x:v>0</x:v>
      </x:c>
      <x:c r="AY489" s="23" t="n">
        <x:f>MAX(0,MIN('Activities'!L489,282)-MAX('Activities'!K489,276))</x:f>
        <x:v>0</x:v>
      </x:c>
      <x:c r="AZ489" s="23" t="n">
        <x:f>MAX(0,MIN('Activities'!L489,288)-MAX('Activities'!K489,282))</x:f>
        <x:v>0</x:v>
      </x:c>
      <x:c r="BA489" s="23" t="n">
        <x:f>MAX(0,MIN('Activities'!L489,294)-MAX('Activities'!K489,288))</x:f>
        <x:v>0</x:v>
      </x:c>
      <x:c r="BB489" s="23" t="n">
        <x:f>MAX(0,MIN('Activities'!L489,300)-MAX('Activities'!K489,294))</x:f>
        <x:v>0</x:v>
      </x:c>
      <x:c r="BC489" s="23" t="n">
        <x:f>MAX(0,MIN('Activities'!L489,306)-MAX('Activities'!K489,300))</x:f>
        <x:v>0</x:v>
      </x:c>
      <x:c r="BD489" s="23" t="n">
        <x:f>MAX(0,MIN('Activities'!L489,312)-MAX('Activities'!K489,306))</x:f>
        <x:v>3</x:v>
      </x:c>
      <x:c r="BE489" s="23" t="n">
        <x:f>MAX(0,MIN('Activities'!L489,318)-MAX('Activities'!K489,312))</x:f>
        <x:v>3</x:v>
      </x:c>
      <x:c r="BF489" s="23" t="n">
        <x:f>MAX(0,MIN('Activities'!L489,324)-MAX('Activities'!K489,318))</x:f>
        <x:v>0</x:v>
      </x:c>
      <x:c r="BG489" s="23" t="n">
        <x:f>MAX(0,MIN('Activities'!L489,330)-MAX('Activities'!K489,324))</x:f>
        <x:v>0</x:v>
      </x:c>
      <x:c r="BH489" s="23" t="n">
        <x:f>MAX(0,MIN('Activities'!L489,336)-MAX('Activities'!K489,330))</x:f>
        <x:v>0</x:v>
      </x:c>
      <x:c r="BI489" s="23" t="n">
        <x:f>MAX(0,MIN('Activities'!L489,342)-MAX('Activities'!K489,336))</x:f>
        <x:v>0</x:v>
      </x:c>
      <x:c r="BJ489" s="23" t="n">
        <x:f>MAX(0,MIN('Activities'!L489,348)-MAX('Activities'!K489,342))</x:f>
        <x:v>0</x:v>
      </x:c>
      <x:c r="BK489" s="23" t="n">
        <x:f>MAX(0,MIN('Activities'!L489,354)-MAX('Activities'!K489,348))</x:f>
        <x:v>0</x:v>
      </x:c>
      <x:c r="BL489" s="23" t="n">
        <x:f>MAX(0,MIN('Activities'!L489,360)-MAX('Activities'!K489,354))</x:f>
        <x:v>0</x:v>
      </x:c>
      <x:c r="BM489" s="23" t="n">
        <x:f>MAX(0,MIN('Activities'!L489,366)-MAX('Activities'!K489,360))</x:f>
        <x:v>0</x:v>
      </x:c>
      <x:c r="BN489" s="23" t="n">
        <x:f>MAX(0,MIN('Activities'!L489,372)-MAX('Activities'!K489,366))</x:f>
        <x:v>0</x:v>
      </x:c>
      <x:c r="BO489" s="23" t="n">
        <x:f>MAX(0,MIN('Activities'!L489,378)-MAX('Activities'!K489,372))</x:f>
        <x:v>0</x:v>
      </x:c>
      <x:c r="BP489" s="23" t="n">
        <x:f>MAX(0,MIN('Activities'!L489,384)-MAX('Activities'!K489,378))</x:f>
        <x:v>0</x:v>
      </x:c>
      <x:c r="BQ489" s="23" t="n">
        <x:f>MAX(0,MIN('Activities'!L489,390)-MAX('Activities'!K489,384))</x:f>
        <x:v>0</x:v>
      </x:c>
      <x:c r="BR489" s="23" t="n">
        <x:f>MAX(0,MIN('Activities'!L489,396)-MAX('Activities'!K489,390))</x:f>
        <x:v>0</x:v>
      </x:c>
      <x:c r="BS489" s="23" t="n">
        <x:f>MAX(0,MIN('Activities'!L489,402)-MAX('Activities'!K489,396))</x:f>
        <x:v>0</x:v>
      </x:c>
      <x:c r="BT489" s="23" t="n">
        <x:f>MAX(0,MIN('Activities'!L489,408)-MAX('Activities'!K489,402))</x:f>
        <x:v>0</x:v>
      </x:c>
      <x:c r="BU489" s="23" t="n">
        <x:f>MAX(0,MIN('Activities'!L489,414)-MAX('Activities'!K489,408))</x:f>
        <x:v>0</x:v>
      </x:c>
      <x:c r="BV489" s="23" t="n">
        <x:f>MAX(0,MIN('Activities'!L489,420)-MAX('Activities'!K489,414))</x:f>
        <x:v>0</x:v>
      </x:c>
      <x:c r="BW489" s="23" t="n">
        <x:f>MAX(0,MIN('Activities'!L489,426)-MAX('Activities'!K489,420))</x:f>
        <x:v>0</x:v>
      </x:c>
      <x:c r="BX489" s="23" t="n">
        <x:f>MAX(0,MIN('Activities'!L489,432)-MAX('Activities'!K489,426))</x:f>
        <x:v>0</x:v>
      </x:c>
      <x:c r="BY489" s="23" t="n">
        <x:f>MAX(0,MIN('Activities'!L489,438)-MAX('Activities'!K489,432))</x:f>
        <x:v>0</x:v>
      </x:c>
      <x:c r="BZ489" s="23" t="n">
        <x:f>MAX(0,MIN('Activities'!L489,444)-MAX('Activities'!K489,438))</x:f>
        <x:v>0</x:v>
      </x:c>
      <x:c r="CA489" s="23" t="n">
        <x:f>MAX(0,MIN('Activities'!L489,450)-MAX('Activities'!K489,444))</x:f>
        <x:v>0</x:v>
      </x:c>
      <x:c r="CB489" s="23" t="n">
        <x:f>MAX(0,MIN('Activities'!L489,456)-MAX('Activities'!K489,450))</x:f>
        <x:v>0</x:v>
      </x:c>
      <x:c r="CC489" s="23" t="n">
        <x:f>MAX(0,MIN('Activities'!L489,462)-MAX('Activities'!K489,456))</x:f>
        <x:v>0</x:v>
      </x:c>
      <x:c r="CD489" s="23" t="n">
        <x:f>MAX(0,MIN('Activities'!L489,468)-MAX('Activities'!K489,462))</x:f>
        <x:v>0</x:v>
      </x:c>
      <x:c r="CE489" s="23" t="n">
        <x:f>MAX(0,MIN('Activities'!L489,474)-MAX('Activities'!K489,468))</x:f>
        <x:v>0</x:v>
      </x:c>
      <x:c r="CF489" s="23" t="n">
        <x:f>MAX(0,MIN('Activities'!L489,480)-MAX('Activities'!K489,474))</x:f>
        <x:v>0</x:v>
      </x:c>
      <x:c r="CG489" s="23" t="n">
        <x:f>MAX(0,MIN('Activities'!L489,486)-MAX('Activities'!K489,480))</x:f>
        <x:v>0</x:v>
      </x:c>
      <x:c r="CH489" s="23" t="n">
        <x:f>MAX(0,MIN('Activities'!L489,492)-MAX('Activities'!K489,486))</x:f>
        <x:v>0</x:v>
      </x:c>
      <x:c r="CI489" s="23" t="n">
        <x:f>MAX(0,MIN('Activities'!L489,498)-MAX('Activities'!K489,492))</x:f>
        <x:v>0</x:v>
      </x:c>
      <x:c r="CJ489" s="23" t="n">
        <x:f>MAX(0,MIN('Activities'!L489,504)-MAX('Activities'!K489,498))</x:f>
        <x:v>0</x:v>
      </x:c>
      <x:c r="CK489" s="23" t="n">
        <x:f>MAX(0,MIN('Activities'!L489,510)-MAX('Activities'!K489,504))</x:f>
        <x:v>0</x:v>
      </x:c>
      <x:c r="CL489" s="23" t="n">
        <x:f>MAX(0,MIN('Activities'!L489,516)-MAX('Activities'!K489,510))</x:f>
        <x:v>0</x:v>
      </x:c>
      <x:c r="CM489" s="23" t="n">
        <x:f>MAX(0,MIN('Activities'!L489,522)-MAX('Activities'!K489,516))</x:f>
        <x:v>0</x:v>
      </x:c>
      <x:c r="CN489" s="23" t="n">
        <x:f>MAX(0,MIN('Activities'!L489,528)-MAX('Activities'!K489,522))</x:f>
        <x:v>0</x:v>
      </x:c>
      <x:c r="CO489" s="23" t="n">
        <x:f>MAX(0,MIN('Activities'!L489,534)-MAX('Activities'!K489,528))</x:f>
        <x:v>0</x:v>
      </x:c>
      <x:c r="CP489" s="23" t="n">
        <x:f>MAX(0,MIN('Activities'!L489,540)-MAX('Activities'!K489,534))</x:f>
        <x:v>0</x:v>
      </x:c>
      <x:c r="CQ489" s="23" t="n">
        <x:f>MAX(0,MIN('Activities'!L489,546)-MAX('Activities'!K489,540))</x:f>
        <x:v>0</x:v>
      </x:c>
      <x:c r="CR489" s="23" t="n">
        <x:f>MAX(0,MIN('Activities'!L489,552)-MAX('Activities'!K489,546))</x:f>
        <x:v>0</x:v>
      </x:c>
      <x:c r="CS489" s="23" t="n">
        <x:f>MAX(0,MIN('Activities'!L489,558)-MAX('Activities'!K489,552))</x:f>
        <x:v>0</x:v>
      </x:c>
      <x:c r="CT489" s="23" t="n">
        <x:f>MAX(0,MIN('Activities'!L489,564)-MAX('Activities'!K489,558))</x:f>
        <x:v>0</x:v>
      </x:c>
      <x:c r="CU489" s="23" t="n">
        <x:f>MAX(0,MIN('Activities'!L489,570)-MAX('Activities'!K489,564))</x:f>
        <x:v>0</x:v>
      </x:c>
      <x:c r="CV489" s="23" t="n">
        <x:f>MAX(0,MIN('Activities'!L489,576)-MAX('Activities'!K489,570))</x:f>
        <x:v>0</x:v>
      </x:c>
      <x:c r="CW489" s="23" t="n">
        <x:f>MAX(0,MIN('Activities'!L489,582)-MAX('Activities'!K489,576))</x:f>
        <x:v>0</x:v>
      </x:c>
      <x:c r="CX489" s="23" t="n">
        <x:f>MAX(0,MIN('Activities'!L489,588)-MAX('Activities'!K489,582))</x:f>
        <x:v>0</x:v>
      </x:c>
      <x:c r="CY489" s="23" t="n">
        <x:f>MAX(0,MIN('Activities'!L489,594)-MAX('Activities'!K489,588))</x:f>
        <x:v>0</x:v>
      </x:c>
      <x:c r="CZ489" s="23" t="n">
        <x:f>MAX(0,MIN('Activities'!L489,600)-MAX('Activities'!K489,594))</x:f>
        <x:v>0</x:v>
      </x:c>
      <x:c r="DA489" s="23" t="n">
        <x:f>MAX(0,MIN('Activities'!L489,606)-MAX('Activities'!K489,600))</x:f>
        <x:v>0</x:v>
      </x:c>
      <x:c r="DB489" s="23" t="n">
        <x:f>MAX(0,MIN('Activities'!L489,612)-MAX('Activities'!K489,606))</x:f>
        <x:v>0</x:v>
      </x:c>
      <x:c r="DC489" s="23" t="n">
        <x:f>MAX(0,MIN('Activities'!L489,618)-MAX('Activities'!K489,612))</x:f>
        <x:v>0</x:v>
      </x:c>
      <x:c r="DD489" s="23" t="n">
        <x:f>MAX(0,MIN('Activities'!L489,624)-MAX('Activities'!K489,618))</x:f>
        <x:v>0</x:v>
      </x:c>
      <x:c r="DE489" s="23" t="n">
        <x:f>MAX(0,MIN('Activities'!L489,630)-MAX('Activities'!K489,624))</x:f>
        <x:v>0</x:v>
      </x:c>
      <x:c r="DF489" s="23" t="n">
        <x:f>MAX(0,MIN('Activities'!L489,636)-MAX('Activities'!K489,630))</x:f>
        <x:v>0</x:v>
      </x:c>
    </x:row>
    <x:row r="490" ht="23" customHeight="1">
      <x:c r="A490" s="6" t="str">
        <x:v>T4-L03-S</x:v>
      </x:c>
      <x:c r="B490" s="6" t="str">
        <x:v>T4</x:v>
      </x:c>
      <x:c r="C490" s="6" t="str">
        <x:v>Screed and substrate preparation</x:v>
      </x:c>
      <x:c r="D490" s="6" t="str">
        <x:v>Finishes</x:v>
      </x:c>
      <x:c r="E490" s="22" t="n">
        <x:f>MAX(0,MIN('Activities'!L490,6)-MAX('Activities'!K490,0))</x:f>
        <x:v>0</x:v>
      </x:c>
      <x:c r="F490" s="22" t="n">
        <x:f>MAX(0,MIN('Activities'!L490,12)-MAX('Activities'!K490,6))</x:f>
        <x:v>0</x:v>
      </x:c>
      <x:c r="G490" s="22" t="n">
        <x:f>MAX(0,MIN('Activities'!L490,18)-MAX('Activities'!K490,12))</x:f>
        <x:v>0</x:v>
      </x:c>
      <x:c r="H490" s="22" t="n">
        <x:f>MAX(0,MIN('Activities'!L490,24)-MAX('Activities'!K490,18))</x:f>
        <x:v>0</x:v>
      </x:c>
      <x:c r="I490" s="22" t="n">
        <x:f>MAX(0,MIN('Activities'!L490,30)-MAX('Activities'!K490,24))</x:f>
        <x:v>0</x:v>
      </x:c>
      <x:c r="J490" s="22" t="n">
        <x:f>MAX(0,MIN('Activities'!L490,36)-MAX('Activities'!K490,30))</x:f>
        <x:v>0</x:v>
      </x:c>
      <x:c r="K490" s="22" t="n">
        <x:f>MAX(0,MIN('Activities'!L490,42)-MAX('Activities'!K490,36))</x:f>
        <x:v>0</x:v>
      </x:c>
      <x:c r="L490" s="22" t="n">
        <x:f>MAX(0,MIN('Activities'!L490,48)-MAX('Activities'!K490,42))</x:f>
        <x:v>0</x:v>
      </x:c>
      <x:c r="M490" s="22" t="n">
        <x:f>MAX(0,MIN('Activities'!L490,54)-MAX('Activities'!K490,48))</x:f>
        <x:v>0</x:v>
      </x:c>
      <x:c r="N490" s="22" t="n">
        <x:f>MAX(0,MIN('Activities'!L490,60)-MAX('Activities'!K490,54))</x:f>
        <x:v>0</x:v>
      </x:c>
      <x:c r="O490" s="22" t="n">
        <x:f>MAX(0,MIN('Activities'!L490,66)-MAX('Activities'!K490,60))</x:f>
        <x:v>0</x:v>
      </x:c>
      <x:c r="P490" s="22" t="n">
        <x:f>MAX(0,MIN('Activities'!L490,72)-MAX('Activities'!K490,66))</x:f>
        <x:v>0</x:v>
      </x:c>
      <x:c r="Q490" s="22" t="n">
        <x:f>MAX(0,MIN('Activities'!L490,78)-MAX('Activities'!K490,72))</x:f>
        <x:v>0</x:v>
      </x:c>
      <x:c r="R490" s="22" t="n">
        <x:f>MAX(0,MIN('Activities'!L490,84)-MAX('Activities'!K490,78))</x:f>
        <x:v>0</x:v>
      </x:c>
      <x:c r="S490" s="22" t="n">
        <x:f>MAX(0,MIN('Activities'!L490,90)-MAX('Activities'!K490,84))</x:f>
        <x:v>0</x:v>
      </x:c>
      <x:c r="T490" s="22" t="n">
        <x:f>MAX(0,MIN('Activities'!L490,96)-MAX('Activities'!K490,90))</x:f>
        <x:v>0</x:v>
      </x:c>
      <x:c r="U490" s="22" t="n">
        <x:f>MAX(0,MIN('Activities'!L490,102)-MAX('Activities'!K490,96))</x:f>
        <x:v>0</x:v>
      </x:c>
      <x:c r="V490" s="22" t="n">
        <x:f>MAX(0,MIN('Activities'!L490,108)-MAX('Activities'!K490,102))</x:f>
        <x:v>0</x:v>
      </x:c>
      <x:c r="W490" s="22" t="n">
        <x:f>MAX(0,MIN('Activities'!L490,114)-MAX('Activities'!K490,108))</x:f>
        <x:v>0</x:v>
      </x:c>
      <x:c r="X490" s="22" t="n">
        <x:f>MAX(0,MIN('Activities'!L490,120)-MAX('Activities'!K490,114))</x:f>
        <x:v>0</x:v>
      </x:c>
      <x:c r="Y490" s="22" t="n">
        <x:f>MAX(0,MIN('Activities'!L490,126)-MAX('Activities'!K490,120))</x:f>
        <x:v>0</x:v>
      </x:c>
      <x:c r="Z490" s="22" t="n">
        <x:f>MAX(0,MIN('Activities'!L490,132)-MAX('Activities'!K490,126))</x:f>
        <x:v>0</x:v>
      </x:c>
      <x:c r="AA490" s="22" t="n">
        <x:f>MAX(0,MIN('Activities'!L490,138)-MAX('Activities'!K490,132))</x:f>
        <x:v>0</x:v>
      </x:c>
      <x:c r="AB490" s="22" t="n">
        <x:f>MAX(0,MIN('Activities'!L490,144)-MAX('Activities'!K490,138))</x:f>
        <x:v>0</x:v>
      </x:c>
      <x:c r="AC490" s="22" t="n">
        <x:f>MAX(0,MIN('Activities'!L490,150)-MAX('Activities'!K490,144))</x:f>
        <x:v>0</x:v>
      </x:c>
      <x:c r="AD490" s="22" t="n">
        <x:f>MAX(0,MIN('Activities'!L490,156)-MAX('Activities'!K490,150))</x:f>
        <x:v>0</x:v>
      </x:c>
      <x:c r="AE490" s="22" t="n">
        <x:f>MAX(0,MIN('Activities'!L490,162)-MAX('Activities'!K490,156))</x:f>
        <x:v>0</x:v>
      </x:c>
      <x:c r="AF490" s="22" t="n">
        <x:f>MAX(0,MIN('Activities'!L490,168)-MAX('Activities'!K490,162))</x:f>
        <x:v>0</x:v>
      </x:c>
      <x:c r="AG490" s="22" t="n">
        <x:f>MAX(0,MIN('Activities'!L490,174)-MAX('Activities'!K490,168))</x:f>
        <x:v>0</x:v>
      </x:c>
      <x:c r="AH490" s="22" t="n">
        <x:f>MAX(0,MIN('Activities'!L490,180)-MAX('Activities'!K490,174))</x:f>
        <x:v>0</x:v>
      </x:c>
      <x:c r="AI490" s="22" t="n">
        <x:f>MAX(0,MIN('Activities'!L490,186)-MAX('Activities'!K490,180))</x:f>
        <x:v>0</x:v>
      </x:c>
      <x:c r="AJ490" s="22" t="n">
        <x:f>MAX(0,MIN('Activities'!L490,192)-MAX('Activities'!K490,186))</x:f>
        <x:v>0</x:v>
      </x:c>
      <x:c r="AK490" s="22" t="n">
        <x:f>MAX(0,MIN('Activities'!L490,198)-MAX('Activities'!K490,192))</x:f>
        <x:v>0</x:v>
      </x:c>
      <x:c r="AL490" s="22" t="n">
        <x:f>MAX(0,MIN('Activities'!L490,204)-MAX('Activities'!K490,198))</x:f>
        <x:v>0</x:v>
      </x:c>
      <x:c r="AM490" s="22" t="n">
        <x:f>MAX(0,MIN('Activities'!L490,210)-MAX('Activities'!K490,204))</x:f>
        <x:v>0</x:v>
      </x:c>
      <x:c r="AN490" s="22" t="n">
        <x:f>MAX(0,MIN('Activities'!L490,216)-MAX('Activities'!K490,210))</x:f>
        <x:v>0</x:v>
      </x:c>
      <x:c r="AO490" s="22" t="n">
        <x:f>MAX(0,MIN('Activities'!L490,222)-MAX('Activities'!K490,216))</x:f>
        <x:v>0</x:v>
      </x:c>
      <x:c r="AP490" s="22" t="n">
        <x:f>MAX(0,MIN('Activities'!L490,228)-MAX('Activities'!K490,222))</x:f>
        <x:v>0</x:v>
      </x:c>
      <x:c r="AQ490" s="22" t="n">
        <x:f>MAX(0,MIN('Activities'!L490,234)-MAX('Activities'!K490,228))</x:f>
        <x:v>0</x:v>
      </x:c>
      <x:c r="AR490" s="22" t="n">
        <x:f>MAX(0,MIN('Activities'!L490,240)-MAX('Activities'!K490,234))</x:f>
        <x:v>0</x:v>
      </x:c>
      <x:c r="AS490" s="22" t="n">
        <x:f>MAX(0,MIN('Activities'!L490,246)-MAX('Activities'!K490,240))</x:f>
        <x:v>0</x:v>
      </x:c>
      <x:c r="AT490" s="22" t="n">
        <x:f>MAX(0,MIN('Activities'!L490,252)-MAX('Activities'!K490,246))</x:f>
        <x:v>0</x:v>
      </x:c>
      <x:c r="AU490" s="22" t="n">
        <x:f>MAX(0,MIN('Activities'!L490,258)-MAX('Activities'!K490,252))</x:f>
        <x:v>0</x:v>
      </x:c>
      <x:c r="AV490" s="22" t="n">
        <x:f>MAX(0,MIN('Activities'!L490,264)-MAX('Activities'!K490,258))</x:f>
        <x:v>0</x:v>
      </x:c>
      <x:c r="AW490" s="22" t="n">
        <x:f>MAX(0,MIN('Activities'!L490,270)-MAX('Activities'!K490,264))</x:f>
        <x:v>0</x:v>
      </x:c>
      <x:c r="AX490" s="22" t="n">
        <x:f>MAX(0,MIN('Activities'!L490,276)-MAX('Activities'!K490,270))</x:f>
        <x:v>0</x:v>
      </x:c>
      <x:c r="AY490" s="22" t="n">
        <x:f>MAX(0,MIN('Activities'!L490,282)-MAX('Activities'!K490,276))</x:f>
        <x:v>0</x:v>
      </x:c>
      <x:c r="AZ490" s="22" t="n">
        <x:f>MAX(0,MIN('Activities'!L490,288)-MAX('Activities'!K490,282))</x:f>
        <x:v>0</x:v>
      </x:c>
      <x:c r="BA490" s="22" t="n">
        <x:f>MAX(0,MIN('Activities'!L490,294)-MAX('Activities'!K490,288))</x:f>
        <x:v>0</x:v>
      </x:c>
      <x:c r="BB490" s="22" t="n">
        <x:f>MAX(0,MIN('Activities'!L490,300)-MAX('Activities'!K490,294))</x:f>
        <x:v>0</x:v>
      </x:c>
      <x:c r="BC490" s="22" t="n">
        <x:f>MAX(0,MIN('Activities'!L490,306)-MAX('Activities'!K490,300))</x:f>
        <x:v>0</x:v>
      </x:c>
      <x:c r="BD490" s="22" t="n">
        <x:f>MAX(0,MIN('Activities'!L490,312)-MAX('Activities'!K490,306))</x:f>
        <x:v>0</x:v>
      </x:c>
      <x:c r="BE490" s="22" t="n">
        <x:f>MAX(0,MIN('Activities'!L490,318)-MAX('Activities'!K490,312))</x:f>
        <x:v>1</x:v>
      </x:c>
      <x:c r="BF490" s="22" t="n">
        <x:f>MAX(0,MIN('Activities'!L490,324)-MAX('Activities'!K490,318))</x:f>
        <x:v>2</x:v>
      </x:c>
      <x:c r="BG490" s="22" t="n">
        <x:f>MAX(0,MIN('Activities'!L490,330)-MAX('Activities'!K490,324))</x:f>
        <x:v>0</x:v>
      </x:c>
      <x:c r="BH490" s="22" t="n">
        <x:f>MAX(0,MIN('Activities'!L490,336)-MAX('Activities'!K490,330))</x:f>
        <x:v>0</x:v>
      </x:c>
      <x:c r="BI490" s="22" t="n">
        <x:f>MAX(0,MIN('Activities'!L490,342)-MAX('Activities'!K490,336))</x:f>
        <x:v>0</x:v>
      </x:c>
      <x:c r="BJ490" s="22" t="n">
        <x:f>MAX(0,MIN('Activities'!L490,348)-MAX('Activities'!K490,342))</x:f>
        <x:v>0</x:v>
      </x:c>
      <x:c r="BK490" s="22" t="n">
        <x:f>MAX(0,MIN('Activities'!L490,354)-MAX('Activities'!K490,348))</x:f>
        <x:v>0</x:v>
      </x:c>
      <x:c r="BL490" s="22" t="n">
        <x:f>MAX(0,MIN('Activities'!L490,360)-MAX('Activities'!K490,354))</x:f>
        <x:v>0</x:v>
      </x:c>
      <x:c r="BM490" s="22" t="n">
        <x:f>MAX(0,MIN('Activities'!L490,366)-MAX('Activities'!K490,360))</x:f>
        <x:v>0</x:v>
      </x:c>
      <x:c r="BN490" s="22" t="n">
        <x:f>MAX(0,MIN('Activities'!L490,372)-MAX('Activities'!K490,366))</x:f>
        <x:v>0</x:v>
      </x:c>
      <x:c r="BO490" s="22" t="n">
        <x:f>MAX(0,MIN('Activities'!L490,378)-MAX('Activities'!K490,372))</x:f>
        <x:v>0</x:v>
      </x:c>
      <x:c r="BP490" s="22" t="n">
        <x:f>MAX(0,MIN('Activities'!L490,384)-MAX('Activities'!K490,378))</x:f>
        <x:v>0</x:v>
      </x:c>
      <x:c r="BQ490" s="22" t="n">
        <x:f>MAX(0,MIN('Activities'!L490,390)-MAX('Activities'!K490,384))</x:f>
        <x:v>0</x:v>
      </x:c>
      <x:c r="BR490" s="22" t="n">
        <x:f>MAX(0,MIN('Activities'!L490,396)-MAX('Activities'!K490,390))</x:f>
        <x:v>0</x:v>
      </x:c>
      <x:c r="BS490" s="22" t="n">
        <x:f>MAX(0,MIN('Activities'!L490,402)-MAX('Activities'!K490,396))</x:f>
        <x:v>0</x:v>
      </x:c>
      <x:c r="BT490" s="22" t="n">
        <x:f>MAX(0,MIN('Activities'!L490,408)-MAX('Activities'!K490,402))</x:f>
        <x:v>0</x:v>
      </x:c>
      <x:c r="BU490" s="22" t="n">
        <x:f>MAX(0,MIN('Activities'!L490,414)-MAX('Activities'!K490,408))</x:f>
        <x:v>0</x:v>
      </x:c>
      <x:c r="BV490" s="22" t="n">
        <x:f>MAX(0,MIN('Activities'!L490,420)-MAX('Activities'!K490,414))</x:f>
        <x:v>0</x:v>
      </x:c>
      <x:c r="BW490" s="22" t="n">
        <x:f>MAX(0,MIN('Activities'!L490,426)-MAX('Activities'!K490,420))</x:f>
        <x:v>0</x:v>
      </x:c>
      <x:c r="BX490" s="22" t="n">
        <x:f>MAX(0,MIN('Activities'!L490,432)-MAX('Activities'!K490,426))</x:f>
        <x:v>0</x:v>
      </x:c>
      <x:c r="BY490" s="22" t="n">
        <x:f>MAX(0,MIN('Activities'!L490,438)-MAX('Activities'!K490,432))</x:f>
        <x:v>0</x:v>
      </x:c>
      <x:c r="BZ490" s="22" t="n">
        <x:f>MAX(0,MIN('Activities'!L490,444)-MAX('Activities'!K490,438))</x:f>
        <x:v>0</x:v>
      </x:c>
      <x:c r="CA490" s="22" t="n">
        <x:f>MAX(0,MIN('Activities'!L490,450)-MAX('Activities'!K490,444))</x:f>
        <x:v>0</x:v>
      </x:c>
      <x:c r="CB490" s="22" t="n">
        <x:f>MAX(0,MIN('Activities'!L490,456)-MAX('Activities'!K490,450))</x:f>
        <x:v>0</x:v>
      </x:c>
      <x:c r="CC490" s="22" t="n">
        <x:f>MAX(0,MIN('Activities'!L490,462)-MAX('Activities'!K490,456))</x:f>
        <x:v>0</x:v>
      </x:c>
      <x:c r="CD490" s="22" t="n">
        <x:f>MAX(0,MIN('Activities'!L490,468)-MAX('Activities'!K490,462))</x:f>
        <x:v>0</x:v>
      </x:c>
      <x:c r="CE490" s="22" t="n">
        <x:f>MAX(0,MIN('Activities'!L490,474)-MAX('Activities'!K490,468))</x:f>
        <x:v>0</x:v>
      </x:c>
      <x:c r="CF490" s="22" t="n">
        <x:f>MAX(0,MIN('Activities'!L490,480)-MAX('Activities'!K490,474))</x:f>
        <x:v>0</x:v>
      </x:c>
      <x:c r="CG490" s="22" t="n">
        <x:f>MAX(0,MIN('Activities'!L490,486)-MAX('Activities'!K490,480))</x:f>
        <x:v>0</x:v>
      </x:c>
      <x:c r="CH490" s="22" t="n">
        <x:f>MAX(0,MIN('Activities'!L490,492)-MAX('Activities'!K490,486))</x:f>
        <x:v>0</x:v>
      </x:c>
      <x:c r="CI490" s="22" t="n">
        <x:f>MAX(0,MIN('Activities'!L490,498)-MAX('Activities'!K490,492))</x:f>
        <x:v>0</x:v>
      </x:c>
      <x:c r="CJ490" s="22" t="n">
        <x:f>MAX(0,MIN('Activities'!L490,504)-MAX('Activities'!K490,498))</x:f>
        <x:v>0</x:v>
      </x:c>
      <x:c r="CK490" s="22" t="n">
        <x:f>MAX(0,MIN('Activities'!L490,510)-MAX('Activities'!K490,504))</x:f>
        <x:v>0</x:v>
      </x:c>
      <x:c r="CL490" s="22" t="n">
        <x:f>MAX(0,MIN('Activities'!L490,516)-MAX('Activities'!K490,510))</x:f>
        <x:v>0</x:v>
      </x:c>
      <x:c r="CM490" s="22" t="n">
        <x:f>MAX(0,MIN('Activities'!L490,522)-MAX('Activities'!K490,516))</x:f>
        <x:v>0</x:v>
      </x:c>
      <x:c r="CN490" s="22" t="n">
        <x:f>MAX(0,MIN('Activities'!L490,528)-MAX('Activities'!K490,522))</x:f>
        <x:v>0</x:v>
      </x:c>
      <x:c r="CO490" s="22" t="n">
        <x:f>MAX(0,MIN('Activities'!L490,534)-MAX('Activities'!K490,528))</x:f>
        <x:v>0</x:v>
      </x:c>
      <x:c r="CP490" s="22" t="n">
        <x:f>MAX(0,MIN('Activities'!L490,540)-MAX('Activities'!K490,534))</x:f>
        <x:v>0</x:v>
      </x:c>
      <x:c r="CQ490" s="22" t="n">
        <x:f>MAX(0,MIN('Activities'!L490,546)-MAX('Activities'!K490,540))</x:f>
        <x:v>0</x:v>
      </x:c>
      <x:c r="CR490" s="22" t="n">
        <x:f>MAX(0,MIN('Activities'!L490,552)-MAX('Activities'!K490,546))</x:f>
        <x:v>0</x:v>
      </x:c>
      <x:c r="CS490" s="22" t="n">
        <x:f>MAX(0,MIN('Activities'!L490,558)-MAX('Activities'!K490,552))</x:f>
        <x:v>0</x:v>
      </x:c>
      <x:c r="CT490" s="22" t="n">
        <x:f>MAX(0,MIN('Activities'!L490,564)-MAX('Activities'!K490,558))</x:f>
        <x:v>0</x:v>
      </x:c>
      <x:c r="CU490" s="22" t="n">
        <x:f>MAX(0,MIN('Activities'!L490,570)-MAX('Activities'!K490,564))</x:f>
        <x:v>0</x:v>
      </x:c>
      <x:c r="CV490" s="22" t="n">
        <x:f>MAX(0,MIN('Activities'!L490,576)-MAX('Activities'!K490,570))</x:f>
        <x:v>0</x:v>
      </x:c>
      <x:c r="CW490" s="22" t="n">
        <x:f>MAX(0,MIN('Activities'!L490,582)-MAX('Activities'!K490,576))</x:f>
        <x:v>0</x:v>
      </x:c>
      <x:c r="CX490" s="22" t="n">
        <x:f>MAX(0,MIN('Activities'!L490,588)-MAX('Activities'!K490,582))</x:f>
        <x:v>0</x:v>
      </x:c>
      <x:c r="CY490" s="22" t="n">
        <x:f>MAX(0,MIN('Activities'!L490,594)-MAX('Activities'!K490,588))</x:f>
        <x:v>0</x:v>
      </x:c>
      <x:c r="CZ490" s="22" t="n">
        <x:f>MAX(0,MIN('Activities'!L490,600)-MAX('Activities'!K490,594))</x:f>
        <x:v>0</x:v>
      </x:c>
      <x:c r="DA490" s="22" t="n">
        <x:f>MAX(0,MIN('Activities'!L490,606)-MAX('Activities'!K490,600))</x:f>
        <x:v>0</x:v>
      </x:c>
      <x:c r="DB490" s="22" t="n">
        <x:f>MAX(0,MIN('Activities'!L490,612)-MAX('Activities'!K490,606))</x:f>
        <x:v>0</x:v>
      </x:c>
      <x:c r="DC490" s="22" t="n">
        <x:f>MAX(0,MIN('Activities'!L490,618)-MAX('Activities'!K490,612))</x:f>
        <x:v>0</x:v>
      </x:c>
      <x:c r="DD490" s="22" t="n">
        <x:f>MAX(0,MIN('Activities'!L490,624)-MAX('Activities'!K490,618))</x:f>
        <x:v>0</x:v>
      </x:c>
      <x:c r="DE490" s="22" t="n">
        <x:f>MAX(0,MIN('Activities'!L490,630)-MAX('Activities'!K490,624))</x:f>
        <x:v>0</x:v>
      </x:c>
      <x:c r="DF490" s="22" t="n">
        <x:f>MAX(0,MIN('Activities'!L490,636)-MAX('Activities'!K490,630))</x:f>
        <x:v>0</x:v>
      </x:c>
    </x:row>
    <x:row r="491" ht="23" customHeight="1">
      <x:c r="A491" s="1" t="str">
        <x:v>T4-L03-T</x:v>
      </x:c>
      <x:c r="B491" s="1" t="str">
        <x:v>T4</x:v>
      </x:c>
      <x:c r="C491" s="1" t="str">
        <x:v>Floor finishes and skirtings</x:v>
      </x:c>
      <x:c r="D491" s="1" t="str">
        <x:v>Finishes</x:v>
      </x:c>
      <x:c r="E491" s="23" t="n">
        <x:f>MAX(0,MIN('Activities'!L491,6)-MAX('Activities'!K491,0))</x:f>
        <x:v>0</x:v>
      </x:c>
      <x:c r="F491" s="23" t="n">
        <x:f>MAX(0,MIN('Activities'!L491,12)-MAX('Activities'!K491,6))</x:f>
        <x:v>0</x:v>
      </x:c>
      <x:c r="G491" s="23" t="n">
        <x:f>MAX(0,MIN('Activities'!L491,18)-MAX('Activities'!K491,12))</x:f>
        <x:v>0</x:v>
      </x:c>
      <x:c r="H491" s="23" t="n">
        <x:f>MAX(0,MIN('Activities'!L491,24)-MAX('Activities'!K491,18))</x:f>
        <x:v>0</x:v>
      </x:c>
      <x:c r="I491" s="23" t="n">
        <x:f>MAX(0,MIN('Activities'!L491,30)-MAX('Activities'!K491,24))</x:f>
        <x:v>0</x:v>
      </x:c>
      <x:c r="J491" s="23" t="n">
        <x:f>MAX(0,MIN('Activities'!L491,36)-MAX('Activities'!K491,30))</x:f>
        <x:v>0</x:v>
      </x:c>
      <x:c r="K491" s="23" t="n">
        <x:f>MAX(0,MIN('Activities'!L491,42)-MAX('Activities'!K491,36))</x:f>
        <x:v>0</x:v>
      </x:c>
      <x:c r="L491" s="23" t="n">
        <x:f>MAX(0,MIN('Activities'!L491,48)-MAX('Activities'!K491,42))</x:f>
        <x:v>0</x:v>
      </x:c>
      <x:c r="M491" s="23" t="n">
        <x:f>MAX(0,MIN('Activities'!L491,54)-MAX('Activities'!K491,48))</x:f>
        <x:v>0</x:v>
      </x:c>
      <x:c r="N491" s="23" t="n">
        <x:f>MAX(0,MIN('Activities'!L491,60)-MAX('Activities'!K491,54))</x:f>
        <x:v>0</x:v>
      </x:c>
      <x:c r="O491" s="23" t="n">
        <x:f>MAX(0,MIN('Activities'!L491,66)-MAX('Activities'!K491,60))</x:f>
        <x:v>0</x:v>
      </x:c>
      <x:c r="P491" s="23" t="n">
        <x:f>MAX(0,MIN('Activities'!L491,72)-MAX('Activities'!K491,66))</x:f>
        <x:v>0</x:v>
      </x:c>
      <x:c r="Q491" s="23" t="n">
        <x:f>MAX(0,MIN('Activities'!L491,78)-MAX('Activities'!K491,72))</x:f>
        <x:v>0</x:v>
      </x:c>
      <x:c r="R491" s="23" t="n">
        <x:f>MAX(0,MIN('Activities'!L491,84)-MAX('Activities'!K491,78))</x:f>
        <x:v>0</x:v>
      </x:c>
      <x:c r="S491" s="23" t="n">
        <x:f>MAX(0,MIN('Activities'!L491,90)-MAX('Activities'!K491,84))</x:f>
        <x:v>0</x:v>
      </x:c>
      <x:c r="T491" s="23" t="n">
        <x:f>MAX(0,MIN('Activities'!L491,96)-MAX('Activities'!K491,90))</x:f>
        <x:v>0</x:v>
      </x:c>
      <x:c r="U491" s="23" t="n">
        <x:f>MAX(0,MIN('Activities'!L491,102)-MAX('Activities'!K491,96))</x:f>
        <x:v>0</x:v>
      </x:c>
      <x:c r="V491" s="23" t="n">
        <x:f>MAX(0,MIN('Activities'!L491,108)-MAX('Activities'!K491,102))</x:f>
        <x:v>0</x:v>
      </x:c>
      <x:c r="W491" s="23" t="n">
        <x:f>MAX(0,MIN('Activities'!L491,114)-MAX('Activities'!K491,108))</x:f>
        <x:v>0</x:v>
      </x:c>
      <x:c r="X491" s="23" t="n">
        <x:f>MAX(0,MIN('Activities'!L491,120)-MAX('Activities'!K491,114))</x:f>
        <x:v>0</x:v>
      </x:c>
      <x:c r="Y491" s="23" t="n">
        <x:f>MAX(0,MIN('Activities'!L491,126)-MAX('Activities'!K491,120))</x:f>
        <x:v>0</x:v>
      </x:c>
      <x:c r="Z491" s="23" t="n">
        <x:f>MAX(0,MIN('Activities'!L491,132)-MAX('Activities'!K491,126))</x:f>
        <x:v>0</x:v>
      </x:c>
      <x:c r="AA491" s="23" t="n">
        <x:f>MAX(0,MIN('Activities'!L491,138)-MAX('Activities'!K491,132))</x:f>
        <x:v>0</x:v>
      </x:c>
      <x:c r="AB491" s="23" t="n">
        <x:f>MAX(0,MIN('Activities'!L491,144)-MAX('Activities'!K491,138))</x:f>
        <x:v>0</x:v>
      </x:c>
      <x:c r="AC491" s="23" t="n">
        <x:f>MAX(0,MIN('Activities'!L491,150)-MAX('Activities'!K491,144))</x:f>
        <x:v>0</x:v>
      </x:c>
      <x:c r="AD491" s="23" t="n">
        <x:f>MAX(0,MIN('Activities'!L491,156)-MAX('Activities'!K491,150))</x:f>
        <x:v>0</x:v>
      </x:c>
      <x:c r="AE491" s="23" t="n">
        <x:f>MAX(0,MIN('Activities'!L491,162)-MAX('Activities'!K491,156))</x:f>
        <x:v>0</x:v>
      </x:c>
      <x:c r="AF491" s="23" t="n">
        <x:f>MAX(0,MIN('Activities'!L491,168)-MAX('Activities'!K491,162))</x:f>
        <x:v>0</x:v>
      </x:c>
      <x:c r="AG491" s="23" t="n">
        <x:f>MAX(0,MIN('Activities'!L491,174)-MAX('Activities'!K491,168))</x:f>
        <x:v>0</x:v>
      </x:c>
      <x:c r="AH491" s="23" t="n">
        <x:f>MAX(0,MIN('Activities'!L491,180)-MAX('Activities'!K491,174))</x:f>
        <x:v>0</x:v>
      </x:c>
      <x:c r="AI491" s="23" t="n">
        <x:f>MAX(0,MIN('Activities'!L491,186)-MAX('Activities'!K491,180))</x:f>
        <x:v>0</x:v>
      </x:c>
      <x:c r="AJ491" s="23" t="n">
        <x:f>MAX(0,MIN('Activities'!L491,192)-MAX('Activities'!K491,186))</x:f>
        <x:v>0</x:v>
      </x:c>
      <x:c r="AK491" s="23" t="n">
        <x:f>MAX(0,MIN('Activities'!L491,198)-MAX('Activities'!K491,192))</x:f>
        <x:v>0</x:v>
      </x:c>
      <x:c r="AL491" s="23" t="n">
        <x:f>MAX(0,MIN('Activities'!L491,204)-MAX('Activities'!K491,198))</x:f>
        <x:v>0</x:v>
      </x:c>
      <x:c r="AM491" s="23" t="n">
        <x:f>MAX(0,MIN('Activities'!L491,210)-MAX('Activities'!K491,204))</x:f>
        <x:v>0</x:v>
      </x:c>
      <x:c r="AN491" s="23" t="n">
        <x:f>MAX(0,MIN('Activities'!L491,216)-MAX('Activities'!K491,210))</x:f>
        <x:v>0</x:v>
      </x:c>
      <x:c r="AO491" s="23" t="n">
        <x:f>MAX(0,MIN('Activities'!L491,222)-MAX('Activities'!K491,216))</x:f>
        <x:v>0</x:v>
      </x:c>
      <x:c r="AP491" s="23" t="n">
        <x:f>MAX(0,MIN('Activities'!L491,228)-MAX('Activities'!K491,222))</x:f>
        <x:v>0</x:v>
      </x:c>
      <x:c r="AQ491" s="23" t="n">
        <x:f>MAX(0,MIN('Activities'!L491,234)-MAX('Activities'!K491,228))</x:f>
        <x:v>0</x:v>
      </x:c>
      <x:c r="AR491" s="23" t="n">
        <x:f>MAX(0,MIN('Activities'!L491,240)-MAX('Activities'!K491,234))</x:f>
        <x:v>0</x:v>
      </x:c>
      <x:c r="AS491" s="23" t="n">
        <x:f>MAX(0,MIN('Activities'!L491,246)-MAX('Activities'!K491,240))</x:f>
        <x:v>0</x:v>
      </x:c>
      <x:c r="AT491" s="23" t="n">
        <x:f>MAX(0,MIN('Activities'!L491,252)-MAX('Activities'!K491,246))</x:f>
        <x:v>0</x:v>
      </x:c>
      <x:c r="AU491" s="23" t="n">
        <x:f>MAX(0,MIN('Activities'!L491,258)-MAX('Activities'!K491,252))</x:f>
        <x:v>0</x:v>
      </x:c>
      <x:c r="AV491" s="23" t="n">
        <x:f>MAX(0,MIN('Activities'!L491,264)-MAX('Activities'!K491,258))</x:f>
        <x:v>0</x:v>
      </x:c>
      <x:c r="AW491" s="23" t="n">
        <x:f>MAX(0,MIN('Activities'!L491,270)-MAX('Activities'!K491,264))</x:f>
        <x:v>0</x:v>
      </x:c>
      <x:c r="AX491" s="23" t="n">
        <x:f>MAX(0,MIN('Activities'!L491,276)-MAX('Activities'!K491,270))</x:f>
        <x:v>0</x:v>
      </x:c>
      <x:c r="AY491" s="23" t="n">
        <x:f>MAX(0,MIN('Activities'!L491,282)-MAX('Activities'!K491,276))</x:f>
        <x:v>0</x:v>
      </x:c>
      <x:c r="AZ491" s="23" t="n">
        <x:f>MAX(0,MIN('Activities'!L491,288)-MAX('Activities'!K491,282))</x:f>
        <x:v>0</x:v>
      </x:c>
      <x:c r="BA491" s="23" t="n">
        <x:f>MAX(0,MIN('Activities'!L491,294)-MAX('Activities'!K491,288))</x:f>
        <x:v>0</x:v>
      </x:c>
      <x:c r="BB491" s="23" t="n">
        <x:f>MAX(0,MIN('Activities'!L491,300)-MAX('Activities'!K491,294))</x:f>
        <x:v>0</x:v>
      </x:c>
      <x:c r="BC491" s="23" t="n">
        <x:f>MAX(0,MIN('Activities'!L491,306)-MAX('Activities'!K491,300))</x:f>
        <x:v>0</x:v>
      </x:c>
      <x:c r="BD491" s="23" t="n">
        <x:f>MAX(0,MIN('Activities'!L491,312)-MAX('Activities'!K491,306))</x:f>
        <x:v>0</x:v>
      </x:c>
      <x:c r="BE491" s="23" t="n">
        <x:f>MAX(0,MIN('Activities'!L491,318)-MAX('Activities'!K491,312))</x:f>
        <x:v>0</x:v>
      </x:c>
      <x:c r="BF491" s="23" t="n">
        <x:f>MAX(0,MIN('Activities'!L491,324)-MAX('Activities'!K491,318))</x:f>
        <x:v>0</x:v>
      </x:c>
      <x:c r="BG491" s="23" t="n">
        <x:f>MAX(0,MIN('Activities'!L491,330)-MAX('Activities'!K491,324))</x:f>
        <x:v>0</x:v>
      </x:c>
      <x:c r="BH491" s="23" t="n">
        <x:f>MAX(0,MIN('Activities'!L491,336)-MAX('Activities'!K491,330))</x:f>
        <x:v>0</x:v>
      </x:c>
      <x:c r="BI491" s="23" t="n">
        <x:f>MAX(0,MIN('Activities'!L491,342)-MAX('Activities'!K491,336))</x:f>
        <x:v>0</x:v>
      </x:c>
      <x:c r="BJ491" s="23" t="n">
        <x:f>MAX(0,MIN('Activities'!L491,348)-MAX('Activities'!K491,342))</x:f>
        <x:v>0</x:v>
      </x:c>
      <x:c r="BK491" s="23" t="n">
        <x:f>MAX(0,MIN('Activities'!L491,354)-MAX('Activities'!K491,348))</x:f>
        <x:v>0</x:v>
      </x:c>
      <x:c r="BL491" s="23" t="n">
        <x:f>MAX(0,MIN('Activities'!L491,360)-MAX('Activities'!K491,354))</x:f>
        <x:v>0</x:v>
      </x:c>
      <x:c r="BM491" s="23" t="n">
        <x:f>MAX(0,MIN('Activities'!L491,366)-MAX('Activities'!K491,360))</x:f>
        <x:v>0</x:v>
      </x:c>
      <x:c r="BN491" s="23" t="n">
        <x:f>MAX(0,MIN('Activities'!L491,372)-MAX('Activities'!K491,366))</x:f>
        <x:v>0</x:v>
      </x:c>
      <x:c r="BO491" s="23" t="n">
        <x:f>MAX(0,MIN('Activities'!L491,378)-MAX('Activities'!K491,372))</x:f>
        <x:v>0</x:v>
      </x:c>
      <x:c r="BP491" s="23" t="n">
        <x:f>MAX(0,MIN('Activities'!L491,384)-MAX('Activities'!K491,378))</x:f>
        <x:v>0</x:v>
      </x:c>
      <x:c r="BQ491" s="23" t="n">
        <x:f>MAX(0,MIN('Activities'!L491,390)-MAX('Activities'!K491,384))</x:f>
        <x:v>0</x:v>
      </x:c>
      <x:c r="BR491" s="23" t="n">
        <x:f>MAX(0,MIN('Activities'!L491,396)-MAX('Activities'!K491,390))</x:f>
        <x:v>0</x:v>
      </x:c>
      <x:c r="BS491" s="23" t="n">
        <x:f>MAX(0,MIN('Activities'!L491,402)-MAX('Activities'!K491,396))</x:f>
        <x:v>0</x:v>
      </x:c>
      <x:c r="BT491" s="23" t="n">
        <x:f>MAX(0,MIN('Activities'!L491,408)-MAX('Activities'!K491,402))</x:f>
        <x:v>0</x:v>
      </x:c>
      <x:c r="BU491" s="23" t="n">
        <x:f>MAX(0,MIN('Activities'!L491,414)-MAX('Activities'!K491,408))</x:f>
        <x:v>0</x:v>
      </x:c>
      <x:c r="BV491" s="23" t="n">
        <x:f>MAX(0,MIN('Activities'!L491,420)-MAX('Activities'!K491,414))</x:f>
        <x:v>0</x:v>
      </x:c>
      <x:c r="BW491" s="23" t="n">
        <x:f>MAX(0,MIN('Activities'!L491,426)-MAX('Activities'!K491,420))</x:f>
        <x:v>0</x:v>
      </x:c>
      <x:c r="BX491" s="23" t="n">
        <x:f>MAX(0,MIN('Activities'!L491,432)-MAX('Activities'!K491,426))</x:f>
        <x:v>0</x:v>
      </x:c>
      <x:c r="BY491" s="23" t="n">
        <x:f>MAX(0,MIN('Activities'!L491,438)-MAX('Activities'!K491,432))</x:f>
        <x:v>1</x:v>
      </x:c>
      <x:c r="BZ491" s="23" t="n">
        <x:f>MAX(0,MIN('Activities'!L491,444)-MAX('Activities'!K491,438))</x:f>
        <x:v>5</x:v>
      </x:c>
      <x:c r="CA491" s="23" t="n">
        <x:f>MAX(0,MIN('Activities'!L491,450)-MAX('Activities'!K491,444))</x:f>
        <x:v>0</x:v>
      </x:c>
      <x:c r="CB491" s="23" t="n">
        <x:f>MAX(0,MIN('Activities'!L491,456)-MAX('Activities'!K491,450))</x:f>
        <x:v>0</x:v>
      </x:c>
      <x:c r="CC491" s="23" t="n">
        <x:f>MAX(0,MIN('Activities'!L491,462)-MAX('Activities'!K491,456))</x:f>
        <x:v>0</x:v>
      </x:c>
      <x:c r="CD491" s="23" t="n">
        <x:f>MAX(0,MIN('Activities'!L491,468)-MAX('Activities'!K491,462))</x:f>
        <x:v>0</x:v>
      </x:c>
      <x:c r="CE491" s="23" t="n">
        <x:f>MAX(0,MIN('Activities'!L491,474)-MAX('Activities'!K491,468))</x:f>
        <x:v>0</x:v>
      </x:c>
      <x:c r="CF491" s="23" t="n">
        <x:f>MAX(0,MIN('Activities'!L491,480)-MAX('Activities'!K491,474))</x:f>
        <x:v>0</x:v>
      </x:c>
      <x:c r="CG491" s="23" t="n">
        <x:f>MAX(0,MIN('Activities'!L491,486)-MAX('Activities'!K491,480))</x:f>
        <x:v>0</x:v>
      </x:c>
      <x:c r="CH491" s="23" t="n">
        <x:f>MAX(0,MIN('Activities'!L491,492)-MAX('Activities'!K491,486))</x:f>
        <x:v>0</x:v>
      </x:c>
      <x:c r="CI491" s="23" t="n">
        <x:f>MAX(0,MIN('Activities'!L491,498)-MAX('Activities'!K491,492))</x:f>
        <x:v>0</x:v>
      </x:c>
      <x:c r="CJ491" s="23" t="n">
        <x:f>MAX(0,MIN('Activities'!L491,504)-MAX('Activities'!K491,498))</x:f>
        <x:v>0</x:v>
      </x:c>
      <x:c r="CK491" s="23" t="n">
        <x:f>MAX(0,MIN('Activities'!L491,510)-MAX('Activities'!K491,504))</x:f>
        <x:v>0</x:v>
      </x:c>
      <x:c r="CL491" s="23" t="n">
        <x:f>MAX(0,MIN('Activities'!L491,516)-MAX('Activities'!K491,510))</x:f>
        <x:v>0</x:v>
      </x:c>
      <x:c r="CM491" s="23" t="n">
        <x:f>MAX(0,MIN('Activities'!L491,522)-MAX('Activities'!K491,516))</x:f>
        <x:v>0</x:v>
      </x:c>
      <x:c r="CN491" s="23" t="n">
        <x:f>MAX(0,MIN('Activities'!L491,528)-MAX('Activities'!K491,522))</x:f>
        <x:v>0</x:v>
      </x:c>
      <x:c r="CO491" s="23" t="n">
        <x:f>MAX(0,MIN('Activities'!L491,534)-MAX('Activities'!K491,528))</x:f>
        <x:v>0</x:v>
      </x:c>
      <x:c r="CP491" s="23" t="n">
        <x:f>MAX(0,MIN('Activities'!L491,540)-MAX('Activities'!K491,534))</x:f>
        <x:v>0</x:v>
      </x:c>
      <x:c r="CQ491" s="23" t="n">
        <x:f>MAX(0,MIN('Activities'!L491,546)-MAX('Activities'!K491,540))</x:f>
        <x:v>0</x:v>
      </x:c>
      <x:c r="CR491" s="23" t="n">
        <x:f>MAX(0,MIN('Activities'!L491,552)-MAX('Activities'!K491,546))</x:f>
        <x:v>0</x:v>
      </x:c>
      <x:c r="CS491" s="23" t="n">
        <x:f>MAX(0,MIN('Activities'!L491,558)-MAX('Activities'!K491,552))</x:f>
        <x:v>0</x:v>
      </x:c>
      <x:c r="CT491" s="23" t="n">
        <x:f>MAX(0,MIN('Activities'!L491,564)-MAX('Activities'!K491,558))</x:f>
        <x:v>0</x:v>
      </x:c>
      <x:c r="CU491" s="23" t="n">
        <x:f>MAX(0,MIN('Activities'!L491,570)-MAX('Activities'!K491,564))</x:f>
        <x:v>0</x:v>
      </x:c>
      <x:c r="CV491" s="23" t="n">
        <x:f>MAX(0,MIN('Activities'!L491,576)-MAX('Activities'!K491,570))</x:f>
        <x:v>0</x:v>
      </x:c>
      <x:c r="CW491" s="23" t="n">
        <x:f>MAX(0,MIN('Activities'!L491,582)-MAX('Activities'!K491,576))</x:f>
        <x:v>0</x:v>
      </x:c>
      <x:c r="CX491" s="23" t="n">
        <x:f>MAX(0,MIN('Activities'!L491,588)-MAX('Activities'!K491,582))</x:f>
        <x:v>0</x:v>
      </x:c>
      <x:c r="CY491" s="23" t="n">
        <x:f>MAX(0,MIN('Activities'!L491,594)-MAX('Activities'!K491,588))</x:f>
        <x:v>0</x:v>
      </x:c>
      <x:c r="CZ491" s="23" t="n">
        <x:f>MAX(0,MIN('Activities'!L491,600)-MAX('Activities'!K491,594))</x:f>
        <x:v>0</x:v>
      </x:c>
      <x:c r="DA491" s="23" t="n">
        <x:f>MAX(0,MIN('Activities'!L491,606)-MAX('Activities'!K491,600))</x:f>
        <x:v>0</x:v>
      </x:c>
      <x:c r="DB491" s="23" t="n">
        <x:f>MAX(0,MIN('Activities'!L491,612)-MAX('Activities'!K491,606))</x:f>
        <x:v>0</x:v>
      </x:c>
      <x:c r="DC491" s="23" t="n">
        <x:f>MAX(0,MIN('Activities'!L491,618)-MAX('Activities'!K491,612))</x:f>
        <x:v>0</x:v>
      </x:c>
      <x:c r="DD491" s="23" t="n">
        <x:f>MAX(0,MIN('Activities'!L491,624)-MAX('Activities'!K491,618))</x:f>
        <x:v>0</x:v>
      </x:c>
      <x:c r="DE491" s="23" t="n">
        <x:f>MAX(0,MIN('Activities'!L491,630)-MAX('Activities'!K491,624))</x:f>
        <x:v>0</x:v>
      </x:c>
      <x:c r="DF491" s="23" t="n">
        <x:f>MAX(0,MIN('Activities'!L491,636)-MAX('Activities'!K491,630))</x:f>
        <x:v>0</x:v>
      </x:c>
    </x:row>
    <x:row r="492" ht="23" customHeight="1">
      <x:c r="A492" s="6" t="str">
        <x:v>T4-L03-A</x:v>
      </x:c>
      <x:c r="B492" s="6" t="str">
        <x:v>T4</x:v>
      </x:c>
      <x:c r="C492" s="6" t="str">
        <x:v>Paint and final decorations</x:v>
      </x:c>
      <x:c r="D492" s="6" t="str">
        <x:v>Finishes</x:v>
      </x:c>
      <x:c r="E492" s="22" t="n">
        <x:f>MAX(0,MIN('Activities'!L492,6)-MAX('Activities'!K492,0))</x:f>
        <x:v>0</x:v>
      </x:c>
      <x:c r="F492" s="22" t="n">
        <x:f>MAX(0,MIN('Activities'!L492,12)-MAX('Activities'!K492,6))</x:f>
        <x:v>0</x:v>
      </x:c>
      <x:c r="G492" s="22" t="n">
        <x:f>MAX(0,MIN('Activities'!L492,18)-MAX('Activities'!K492,12))</x:f>
        <x:v>0</x:v>
      </x:c>
      <x:c r="H492" s="22" t="n">
        <x:f>MAX(0,MIN('Activities'!L492,24)-MAX('Activities'!K492,18))</x:f>
        <x:v>0</x:v>
      </x:c>
      <x:c r="I492" s="22" t="n">
        <x:f>MAX(0,MIN('Activities'!L492,30)-MAX('Activities'!K492,24))</x:f>
        <x:v>0</x:v>
      </x:c>
      <x:c r="J492" s="22" t="n">
        <x:f>MAX(0,MIN('Activities'!L492,36)-MAX('Activities'!K492,30))</x:f>
        <x:v>0</x:v>
      </x:c>
      <x:c r="K492" s="22" t="n">
        <x:f>MAX(0,MIN('Activities'!L492,42)-MAX('Activities'!K492,36))</x:f>
        <x:v>0</x:v>
      </x:c>
      <x:c r="L492" s="22" t="n">
        <x:f>MAX(0,MIN('Activities'!L492,48)-MAX('Activities'!K492,42))</x:f>
        <x:v>0</x:v>
      </x:c>
      <x:c r="M492" s="22" t="n">
        <x:f>MAX(0,MIN('Activities'!L492,54)-MAX('Activities'!K492,48))</x:f>
        <x:v>0</x:v>
      </x:c>
      <x:c r="N492" s="22" t="n">
        <x:f>MAX(0,MIN('Activities'!L492,60)-MAX('Activities'!K492,54))</x:f>
        <x:v>0</x:v>
      </x:c>
      <x:c r="O492" s="22" t="n">
        <x:f>MAX(0,MIN('Activities'!L492,66)-MAX('Activities'!K492,60))</x:f>
        <x:v>0</x:v>
      </x:c>
      <x:c r="P492" s="22" t="n">
        <x:f>MAX(0,MIN('Activities'!L492,72)-MAX('Activities'!K492,66))</x:f>
        <x:v>0</x:v>
      </x:c>
      <x:c r="Q492" s="22" t="n">
        <x:f>MAX(0,MIN('Activities'!L492,78)-MAX('Activities'!K492,72))</x:f>
        <x:v>0</x:v>
      </x:c>
      <x:c r="R492" s="22" t="n">
        <x:f>MAX(0,MIN('Activities'!L492,84)-MAX('Activities'!K492,78))</x:f>
        <x:v>0</x:v>
      </x:c>
      <x:c r="S492" s="22" t="n">
        <x:f>MAX(0,MIN('Activities'!L492,90)-MAX('Activities'!K492,84))</x:f>
        <x:v>0</x:v>
      </x:c>
      <x:c r="T492" s="22" t="n">
        <x:f>MAX(0,MIN('Activities'!L492,96)-MAX('Activities'!K492,90))</x:f>
        <x:v>0</x:v>
      </x:c>
      <x:c r="U492" s="22" t="n">
        <x:f>MAX(0,MIN('Activities'!L492,102)-MAX('Activities'!K492,96))</x:f>
        <x:v>0</x:v>
      </x:c>
      <x:c r="V492" s="22" t="n">
        <x:f>MAX(0,MIN('Activities'!L492,108)-MAX('Activities'!K492,102))</x:f>
        <x:v>0</x:v>
      </x:c>
      <x:c r="W492" s="22" t="n">
        <x:f>MAX(0,MIN('Activities'!L492,114)-MAX('Activities'!K492,108))</x:f>
        <x:v>0</x:v>
      </x:c>
      <x:c r="X492" s="22" t="n">
        <x:f>MAX(0,MIN('Activities'!L492,120)-MAX('Activities'!K492,114))</x:f>
        <x:v>0</x:v>
      </x:c>
      <x:c r="Y492" s="22" t="n">
        <x:f>MAX(0,MIN('Activities'!L492,126)-MAX('Activities'!K492,120))</x:f>
        <x:v>0</x:v>
      </x:c>
      <x:c r="Z492" s="22" t="n">
        <x:f>MAX(0,MIN('Activities'!L492,132)-MAX('Activities'!K492,126))</x:f>
        <x:v>0</x:v>
      </x:c>
      <x:c r="AA492" s="22" t="n">
        <x:f>MAX(0,MIN('Activities'!L492,138)-MAX('Activities'!K492,132))</x:f>
        <x:v>0</x:v>
      </x:c>
      <x:c r="AB492" s="22" t="n">
        <x:f>MAX(0,MIN('Activities'!L492,144)-MAX('Activities'!K492,138))</x:f>
        <x:v>0</x:v>
      </x:c>
      <x:c r="AC492" s="22" t="n">
        <x:f>MAX(0,MIN('Activities'!L492,150)-MAX('Activities'!K492,144))</x:f>
        <x:v>0</x:v>
      </x:c>
      <x:c r="AD492" s="22" t="n">
        <x:f>MAX(0,MIN('Activities'!L492,156)-MAX('Activities'!K492,150))</x:f>
        <x:v>0</x:v>
      </x:c>
      <x:c r="AE492" s="22" t="n">
        <x:f>MAX(0,MIN('Activities'!L492,162)-MAX('Activities'!K492,156))</x:f>
        <x:v>0</x:v>
      </x:c>
      <x:c r="AF492" s="22" t="n">
        <x:f>MAX(0,MIN('Activities'!L492,168)-MAX('Activities'!K492,162))</x:f>
        <x:v>0</x:v>
      </x:c>
      <x:c r="AG492" s="22" t="n">
        <x:f>MAX(0,MIN('Activities'!L492,174)-MAX('Activities'!K492,168))</x:f>
        <x:v>0</x:v>
      </x:c>
      <x:c r="AH492" s="22" t="n">
        <x:f>MAX(0,MIN('Activities'!L492,180)-MAX('Activities'!K492,174))</x:f>
        <x:v>0</x:v>
      </x:c>
      <x:c r="AI492" s="22" t="n">
        <x:f>MAX(0,MIN('Activities'!L492,186)-MAX('Activities'!K492,180))</x:f>
        <x:v>0</x:v>
      </x:c>
      <x:c r="AJ492" s="22" t="n">
        <x:f>MAX(0,MIN('Activities'!L492,192)-MAX('Activities'!K492,186))</x:f>
        <x:v>0</x:v>
      </x:c>
      <x:c r="AK492" s="22" t="n">
        <x:f>MAX(0,MIN('Activities'!L492,198)-MAX('Activities'!K492,192))</x:f>
        <x:v>0</x:v>
      </x:c>
      <x:c r="AL492" s="22" t="n">
        <x:f>MAX(0,MIN('Activities'!L492,204)-MAX('Activities'!K492,198))</x:f>
        <x:v>0</x:v>
      </x:c>
      <x:c r="AM492" s="22" t="n">
        <x:f>MAX(0,MIN('Activities'!L492,210)-MAX('Activities'!K492,204))</x:f>
        <x:v>0</x:v>
      </x:c>
      <x:c r="AN492" s="22" t="n">
        <x:f>MAX(0,MIN('Activities'!L492,216)-MAX('Activities'!K492,210))</x:f>
        <x:v>0</x:v>
      </x:c>
      <x:c r="AO492" s="22" t="n">
        <x:f>MAX(0,MIN('Activities'!L492,222)-MAX('Activities'!K492,216))</x:f>
        <x:v>0</x:v>
      </x:c>
      <x:c r="AP492" s="22" t="n">
        <x:f>MAX(0,MIN('Activities'!L492,228)-MAX('Activities'!K492,222))</x:f>
        <x:v>0</x:v>
      </x:c>
      <x:c r="AQ492" s="22" t="n">
        <x:f>MAX(0,MIN('Activities'!L492,234)-MAX('Activities'!K492,228))</x:f>
        <x:v>0</x:v>
      </x:c>
      <x:c r="AR492" s="22" t="n">
        <x:f>MAX(0,MIN('Activities'!L492,240)-MAX('Activities'!K492,234))</x:f>
        <x:v>0</x:v>
      </x:c>
      <x:c r="AS492" s="22" t="n">
        <x:f>MAX(0,MIN('Activities'!L492,246)-MAX('Activities'!K492,240))</x:f>
        <x:v>0</x:v>
      </x:c>
      <x:c r="AT492" s="22" t="n">
        <x:f>MAX(0,MIN('Activities'!L492,252)-MAX('Activities'!K492,246))</x:f>
        <x:v>0</x:v>
      </x:c>
      <x:c r="AU492" s="22" t="n">
        <x:f>MAX(0,MIN('Activities'!L492,258)-MAX('Activities'!K492,252))</x:f>
        <x:v>0</x:v>
      </x:c>
      <x:c r="AV492" s="22" t="n">
        <x:f>MAX(0,MIN('Activities'!L492,264)-MAX('Activities'!K492,258))</x:f>
        <x:v>0</x:v>
      </x:c>
      <x:c r="AW492" s="22" t="n">
        <x:f>MAX(0,MIN('Activities'!L492,270)-MAX('Activities'!K492,264))</x:f>
        <x:v>0</x:v>
      </x:c>
      <x:c r="AX492" s="22" t="n">
        <x:f>MAX(0,MIN('Activities'!L492,276)-MAX('Activities'!K492,270))</x:f>
        <x:v>0</x:v>
      </x:c>
      <x:c r="AY492" s="22" t="n">
        <x:f>MAX(0,MIN('Activities'!L492,282)-MAX('Activities'!K492,276))</x:f>
        <x:v>0</x:v>
      </x:c>
      <x:c r="AZ492" s="22" t="n">
        <x:f>MAX(0,MIN('Activities'!L492,288)-MAX('Activities'!K492,282))</x:f>
        <x:v>0</x:v>
      </x:c>
      <x:c r="BA492" s="22" t="n">
        <x:f>MAX(0,MIN('Activities'!L492,294)-MAX('Activities'!K492,288))</x:f>
        <x:v>0</x:v>
      </x:c>
      <x:c r="BB492" s="22" t="n">
        <x:f>MAX(0,MIN('Activities'!L492,300)-MAX('Activities'!K492,294))</x:f>
        <x:v>0</x:v>
      </x:c>
      <x:c r="BC492" s="22" t="n">
        <x:f>MAX(0,MIN('Activities'!L492,306)-MAX('Activities'!K492,300))</x:f>
        <x:v>0</x:v>
      </x:c>
      <x:c r="BD492" s="22" t="n">
        <x:f>MAX(0,MIN('Activities'!L492,312)-MAX('Activities'!K492,306))</x:f>
        <x:v>0</x:v>
      </x:c>
      <x:c r="BE492" s="22" t="n">
        <x:f>MAX(0,MIN('Activities'!L492,318)-MAX('Activities'!K492,312))</x:f>
        <x:v>0</x:v>
      </x:c>
      <x:c r="BF492" s="22" t="n">
        <x:f>MAX(0,MIN('Activities'!L492,324)-MAX('Activities'!K492,318))</x:f>
        <x:v>0</x:v>
      </x:c>
      <x:c r="BG492" s="22" t="n">
        <x:f>MAX(0,MIN('Activities'!L492,330)-MAX('Activities'!K492,324))</x:f>
        <x:v>0</x:v>
      </x:c>
      <x:c r="BH492" s="22" t="n">
        <x:f>MAX(0,MIN('Activities'!L492,336)-MAX('Activities'!K492,330))</x:f>
        <x:v>0</x:v>
      </x:c>
      <x:c r="BI492" s="22" t="n">
        <x:f>MAX(0,MIN('Activities'!L492,342)-MAX('Activities'!K492,336))</x:f>
        <x:v>0</x:v>
      </x:c>
      <x:c r="BJ492" s="22" t="n">
        <x:f>MAX(0,MIN('Activities'!L492,348)-MAX('Activities'!K492,342))</x:f>
        <x:v>0</x:v>
      </x:c>
      <x:c r="BK492" s="22" t="n">
        <x:f>MAX(0,MIN('Activities'!L492,354)-MAX('Activities'!K492,348))</x:f>
        <x:v>0</x:v>
      </x:c>
      <x:c r="BL492" s="22" t="n">
        <x:f>MAX(0,MIN('Activities'!L492,360)-MAX('Activities'!K492,354))</x:f>
        <x:v>0</x:v>
      </x:c>
      <x:c r="BM492" s="22" t="n">
        <x:f>MAX(0,MIN('Activities'!L492,366)-MAX('Activities'!K492,360))</x:f>
        <x:v>0</x:v>
      </x:c>
      <x:c r="BN492" s="22" t="n">
        <x:f>MAX(0,MIN('Activities'!L492,372)-MAX('Activities'!K492,366))</x:f>
        <x:v>0</x:v>
      </x:c>
      <x:c r="BO492" s="22" t="n">
        <x:f>MAX(0,MIN('Activities'!L492,378)-MAX('Activities'!K492,372))</x:f>
        <x:v>0</x:v>
      </x:c>
      <x:c r="BP492" s="22" t="n">
        <x:f>MAX(0,MIN('Activities'!L492,384)-MAX('Activities'!K492,378))</x:f>
        <x:v>0</x:v>
      </x:c>
      <x:c r="BQ492" s="22" t="n">
        <x:f>MAX(0,MIN('Activities'!L492,390)-MAX('Activities'!K492,384))</x:f>
        <x:v>0</x:v>
      </x:c>
      <x:c r="BR492" s="22" t="n">
        <x:f>MAX(0,MIN('Activities'!L492,396)-MAX('Activities'!K492,390))</x:f>
        <x:v>0</x:v>
      </x:c>
      <x:c r="BS492" s="22" t="n">
        <x:f>MAX(0,MIN('Activities'!L492,402)-MAX('Activities'!K492,396))</x:f>
        <x:v>0</x:v>
      </x:c>
      <x:c r="BT492" s="22" t="n">
        <x:f>MAX(0,MIN('Activities'!L492,408)-MAX('Activities'!K492,402))</x:f>
        <x:v>0</x:v>
      </x:c>
      <x:c r="BU492" s="22" t="n">
        <x:f>MAX(0,MIN('Activities'!L492,414)-MAX('Activities'!K492,408))</x:f>
        <x:v>0</x:v>
      </x:c>
      <x:c r="BV492" s="22" t="n">
        <x:f>MAX(0,MIN('Activities'!L492,420)-MAX('Activities'!K492,414))</x:f>
        <x:v>0</x:v>
      </x:c>
      <x:c r="BW492" s="22" t="n">
        <x:f>MAX(0,MIN('Activities'!L492,426)-MAX('Activities'!K492,420))</x:f>
        <x:v>0</x:v>
      </x:c>
      <x:c r="BX492" s="22" t="n">
        <x:f>MAX(0,MIN('Activities'!L492,432)-MAX('Activities'!K492,426))</x:f>
        <x:v>0</x:v>
      </x:c>
      <x:c r="BY492" s="22" t="n">
        <x:f>MAX(0,MIN('Activities'!L492,438)-MAX('Activities'!K492,432))</x:f>
        <x:v>0</x:v>
      </x:c>
      <x:c r="BZ492" s="22" t="n">
        <x:f>MAX(0,MIN('Activities'!L492,444)-MAX('Activities'!K492,438))</x:f>
        <x:v>0</x:v>
      </x:c>
      <x:c r="CA492" s="22" t="n">
        <x:f>MAX(0,MIN('Activities'!L492,450)-MAX('Activities'!K492,444))</x:f>
        <x:v>5</x:v>
      </x:c>
      <x:c r="CB492" s="22" t="n">
        <x:f>MAX(0,MIN('Activities'!L492,456)-MAX('Activities'!K492,450))</x:f>
        <x:v>0</x:v>
      </x:c>
      <x:c r="CC492" s="22" t="n">
        <x:f>MAX(0,MIN('Activities'!L492,462)-MAX('Activities'!K492,456))</x:f>
        <x:v>0</x:v>
      </x:c>
      <x:c r="CD492" s="22" t="n">
        <x:f>MAX(0,MIN('Activities'!L492,468)-MAX('Activities'!K492,462))</x:f>
        <x:v>0</x:v>
      </x:c>
      <x:c r="CE492" s="22" t="n">
        <x:f>MAX(0,MIN('Activities'!L492,474)-MAX('Activities'!K492,468))</x:f>
        <x:v>0</x:v>
      </x:c>
      <x:c r="CF492" s="22" t="n">
        <x:f>MAX(0,MIN('Activities'!L492,480)-MAX('Activities'!K492,474))</x:f>
        <x:v>0</x:v>
      </x:c>
      <x:c r="CG492" s="22" t="n">
        <x:f>MAX(0,MIN('Activities'!L492,486)-MAX('Activities'!K492,480))</x:f>
        <x:v>0</x:v>
      </x:c>
      <x:c r="CH492" s="22" t="n">
        <x:f>MAX(0,MIN('Activities'!L492,492)-MAX('Activities'!K492,486))</x:f>
        <x:v>0</x:v>
      </x:c>
      <x:c r="CI492" s="22" t="n">
        <x:f>MAX(0,MIN('Activities'!L492,498)-MAX('Activities'!K492,492))</x:f>
        <x:v>0</x:v>
      </x:c>
      <x:c r="CJ492" s="22" t="n">
        <x:f>MAX(0,MIN('Activities'!L492,504)-MAX('Activities'!K492,498))</x:f>
        <x:v>0</x:v>
      </x:c>
      <x:c r="CK492" s="22" t="n">
        <x:f>MAX(0,MIN('Activities'!L492,510)-MAX('Activities'!K492,504))</x:f>
        <x:v>0</x:v>
      </x:c>
      <x:c r="CL492" s="22" t="n">
        <x:f>MAX(0,MIN('Activities'!L492,516)-MAX('Activities'!K492,510))</x:f>
        <x:v>0</x:v>
      </x:c>
      <x:c r="CM492" s="22" t="n">
        <x:f>MAX(0,MIN('Activities'!L492,522)-MAX('Activities'!K492,516))</x:f>
        <x:v>0</x:v>
      </x:c>
      <x:c r="CN492" s="22" t="n">
        <x:f>MAX(0,MIN('Activities'!L492,528)-MAX('Activities'!K492,522))</x:f>
        <x:v>0</x:v>
      </x:c>
      <x:c r="CO492" s="22" t="n">
        <x:f>MAX(0,MIN('Activities'!L492,534)-MAX('Activities'!K492,528))</x:f>
        <x:v>0</x:v>
      </x:c>
      <x:c r="CP492" s="22" t="n">
        <x:f>MAX(0,MIN('Activities'!L492,540)-MAX('Activities'!K492,534))</x:f>
        <x:v>0</x:v>
      </x:c>
      <x:c r="CQ492" s="22" t="n">
        <x:f>MAX(0,MIN('Activities'!L492,546)-MAX('Activities'!K492,540))</x:f>
        <x:v>0</x:v>
      </x:c>
      <x:c r="CR492" s="22" t="n">
        <x:f>MAX(0,MIN('Activities'!L492,552)-MAX('Activities'!K492,546))</x:f>
        <x:v>0</x:v>
      </x:c>
      <x:c r="CS492" s="22" t="n">
        <x:f>MAX(0,MIN('Activities'!L492,558)-MAX('Activities'!K492,552))</x:f>
        <x:v>0</x:v>
      </x:c>
      <x:c r="CT492" s="22" t="n">
        <x:f>MAX(0,MIN('Activities'!L492,564)-MAX('Activities'!K492,558))</x:f>
        <x:v>0</x:v>
      </x:c>
      <x:c r="CU492" s="22" t="n">
        <x:f>MAX(0,MIN('Activities'!L492,570)-MAX('Activities'!K492,564))</x:f>
        <x:v>0</x:v>
      </x:c>
      <x:c r="CV492" s="22" t="n">
        <x:f>MAX(0,MIN('Activities'!L492,576)-MAX('Activities'!K492,570))</x:f>
        <x:v>0</x:v>
      </x:c>
      <x:c r="CW492" s="22" t="n">
        <x:f>MAX(0,MIN('Activities'!L492,582)-MAX('Activities'!K492,576))</x:f>
        <x:v>0</x:v>
      </x:c>
      <x:c r="CX492" s="22" t="n">
        <x:f>MAX(0,MIN('Activities'!L492,588)-MAX('Activities'!K492,582))</x:f>
        <x:v>0</x:v>
      </x:c>
      <x:c r="CY492" s="22" t="n">
        <x:f>MAX(0,MIN('Activities'!L492,594)-MAX('Activities'!K492,588))</x:f>
        <x:v>0</x:v>
      </x:c>
      <x:c r="CZ492" s="22" t="n">
        <x:f>MAX(0,MIN('Activities'!L492,600)-MAX('Activities'!K492,594))</x:f>
        <x:v>0</x:v>
      </x:c>
      <x:c r="DA492" s="22" t="n">
        <x:f>MAX(0,MIN('Activities'!L492,606)-MAX('Activities'!K492,600))</x:f>
        <x:v>0</x:v>
      </x:c>
      <x:c r="DB492" s="22" t="n">
        <x:f>MAX(0,MIN('Activities'!L492,612)-MAX('Activities'!K492,606))</x:f>
        <x:v>0</x:v>
      </x:c>
      <x:c r="DC492" s="22" t="n">
        <x:f>MAX(0,MIN('Activities'!L492,618)-MAX('Activities'!K492,612))</x:f>
        <x:v>0</x:v>
      </x:c>
      <x:c r="DD492" s="22" t="n">
        <x:f>MAX(0,MIN('Activities'!L492,624)-MAX('Activities'!K492,618))</x:f>
        <x:v>0</x:v>
      </x:c>
      <x:c r="DE492" s="22" t="n">
        <x:f>MAX(0,MIN('Activities'!L492,630)-MAX('Activities'!K492,624))</x:f>
        <x:v>0</x:v>
      </x:c>
      <x:c r="DF492" s="22" t="n">
        <x:f>MAX(0,MIN('Activities'!L492,636)-MAX('Activities'!K492,630))</x:f>
        <x:v>0</x:v>
      </x:c>
    </x:row>
    <x:row r="493" ht="23" customHeight="1">
      <x:c r="A493" s="1" t="str">
        <x:v>T4-L03-D</x:v>
      </x:c>
      <x:c r="B493" s="1" t="str">
        <x:v>T4</x:v>
      </x:c>
      <x:c r="C493" s="1" t="str">
        <x:v>Door sets and ironmongery</x:v>
      </x:c>
      <x:c r="D493" s="1" t="str">
        <x:v>Finishes</x:v>
      </x:c>
      <x:c r="E493" s="23" t="n">
        <x:f>MAX(0,MIN('Activities'!L493,6)-MAX('Activities'!K493,0))</x:f>
        <x:v>0</x:v>
      </x:c>
      <x:c r="F493" s="23" t="n">
        <x:f>MAX(0,MIN('Activities'!L493,12)-MAX('Activities'!K493,6))</x:f>
        <x:v>0</x:v>
      </x:c>
      <x:c r="G493" s="23" t="n">
        <x:f>MAX(0,MIN('Activities'!L493,18)-MAX('Activities'!K493,12))</x:f>
        <x:v>0</x:v>
      </x:c>
      <x:c r="H493" s="23" t="n">
        <x:f>MAX(0,MIN('Activities'!L493,24)-MAX('Activities'!K493,18))</x:f>
        <x:v>0</x:v>
      </x:c>
      <x:c r="I493" s="23" t="n">
        <x:f>MAX(0,MIN('Activities'!L493,30)-MAX('Activities'!K493,24))</x:f>
        <x:v>0</x:v>
      </x:c>
      <x:c r="J493" s="23" t="n">
        <x:f>MAX(0,MIN('Activities'!L493,36)-MAX('Activities'!K493,30))</x:f>
        <x:v>0</x:v>
      </x:c>
      <x:c r="K493" s="23" t="n">
        <x:f>MAX(0,MIN('Activities'!L493,42)-MAX('Activities'!K493,36))</x:f>
        <x:v>0</x:v>
      </x:c>
      <x:c r="L493" s="23" t="n">
        <x:f>MAX(0,MIN('Activities'!L493,48)-MAX('Activities'!K493,42))</x:f>
        <x:v>0</x:v>
      </x:c>
      <x:c r="M493" s="23" t="n">
        <x:f>MAX(0,MIN('Activities'!L493,54)-MAX('Activities'!K493,48))</x:f>
        <x:v>0</x:v>
      </x:c>
      <x:c r="N493" s="23" t="n">
        <x:f>MAX(0,MIN('Activities'!L493,60)-MAX('Activities'!K493,54))</x:f>
        <x:v>0</x:v>
      </x:c>
      <x:c r="O493" s="23" t="n">
        <x:f>MAX(0,MIN('Activities'!L493,66)-MAX('Activities'!K493,60))</x:f>
        <x:v>0</x:v>
      </x:c>
      <x:c r="P493" s="23" t="n">
        <x:f>MAX(0,MIN('Activities'!L493,72)-MAX('Activities'!K493,66))</x:f>
        <x:v>0</x:v>
      </x:c>
      <x:c r="Q493" s="23" t="n">
        <x:f>MAX(0,MIN('Activities'!L493,78)-MAX('Activities'!K493,72))</x:f>
        <x:v>0</x:v>
      </x:c>
      <x:c r="R493" s="23" t="n">
        <x:f>MAX(0,MIN('Activities'!L493,84)-MAX('Activities'!K493,78))</x:f>
        <x:v>0</x:v>
      </x:c>
      <x:c r="S493" s="23" t="n">
        <x:f>MAX(0,MIN('Activities'!L493,90)-MAX('Activities'!K493,84))</x:f>
        <x:v>0</x:v>
      </x:c>
      <x:c r="T493" s="23" t="n">
        <x:f>MAX(0,MIN('Activities'!L493,96)-MAX('Activities'!K493,90))</x:f>
        <x:v>0</x:v>
      </x:c>
      <x:c r="U493" s="23" t="n">
        <x:f>MAX(0,MIN('Activities'!L493,102)-MAX('Activities'!K493,96))</x:f>
        <x:v>0</x:v>
      </x:c>
      <x:c r="V493" s="23" t="n">
        <x:f>MAX(0,MIN('Activities'!L493,108)-MAX('Activities'!K493,102))</x:f>
        <x:v>0</x:v>
      </x:c>
      <x:c r="W493" s="23" t="n">
        <x:f>MAX(0,MIN('Activities'!L493,114)-MAX('Activities'!K493,108))</x:f>
        <x:v>0</x:v>
      </x:c>
      <x:c r="X493" s="23" t="n">
        <x:f>MAX(0,MIN('Activities'!L493,120)-MAX('Activities'!K493,114))</x:f>
        <x:v>0</x:v>
      </x:c>
      <x:c r="Y493" s="23" t="n">
        <x:f>MAX(0,MIN('Activities'!L493,126)-MAX('Activities'!K493,120))</x:f>
        <x:v>0</x:v>
      </x:c>
      <x:c r="Z493" s="23" t="n">
        <x:f>MAX(0,MIN('Activities'!L493,132)-MAX('Activities'!K493,126))</x:f>
        <x:v>0</x:v>
      </x:c>
      <x:c r="AA493" s="23" t="n">
        <x:f>MAX(0,MIN('Activities'!L493,138)-MAX('Activities'!K493,132))</x:f>
        <x:v>0</x:v>
      </x:c>
      <x:c r="AB493" s="23" t="n">
        <x:f>MAX(0,MIN('Activities'!L493,144)-MAX('Activities'!K493,138))</x:f>
        <x:v>0</x:v>
      </x:c>
      <x:c r="AC493" s="23" t="n">
        <x:f>MAX(0,MIN('Activities'!L493,150)-MAX('Activities'!K493,144))</x:f>
        <x:v>0</x:v>
      </x:c>
      <x:c r="AD493" s="23" t="n">
        <x:f>MAX(0,MIN('Activities'!L493,156)-MAX('Activities'!K493,150))</x:f>
        <x:v>0</x:v>
      </x:c>
      <x:c r="AE493" s="23" t="n">
        <x:f>MAX(0,MIN('Activities'!L493,162)-MAX('Activities'!K493,156))</x:f>
        <x:v>0</x:v>
      </x:c>
      <x:c r="AF493" s="23" t="n">
        <x:f>MAX(0,MIN('Activities'!L493,168)-MAX('Activities'!K493,162))</x:f>
        <x:v>0</x:v>
      </x:c>
      <x:c r="AG493" s="23" t="n">
        <x:f>MAX(0,MIN('Activities'!L493,174)-MAX('Activities'!K493,168))</x:f>
        <x:v>0</x:v>
      </x:c>
      <x:c r="AH493" s="23" t="n">
        <x:f>MAX(0,MIN('Activities'!L493,180)-MAX('Activities'!K493,174))</x:f>
        <x:v>0</x:v>
      </x:c>
      <x:c r="AI493" s="23" t="n">
        <x:f>MAX(0,MIN('Activities'!L493,186)-MAX('Activities'!K493,180))</x:f>
        <x:v>0</x:v>
      </x:c>
      <x:c r="AJ493" s="23" t="n">
        <x:f>MAX(0,MIN('Activities'!L493,192)-MAX('Activities'!K493,186))</x:f>
        <x:v>0</x:v>
      </x:c>
      <x:c r="AK493" s="23" t="n">
        <x:f>MAX(0,MIN('Activities'!L493,198)-MAX('Activities'!K493,192))</x:f>
        <x:v>0</x:v>
      </x:c>
      <x:c r="AL493" s="23" t="n">
        <x:f>MAX(0,MIN('Activities'!L493,204)-MAX('Activities'!K493,198))</x:f>
        <x:v>0</x:v>
      </x:c>
      <x:c r="AM493" s="23" t="n">
        <x:f>MAX(0,MIN('Activities'!L493,210)-MAX('Activities'!K493,204))</x:f>
        <x:v>0</x:v>
      </x:c>
      <x:c r="AN493" s="23" t="n">
        <x:f>MAX(0,MIN('Activities'!L493,216)-MAX('Activities'!K493,210))</x:f>
        <x:v>0</x:v>
      </x:c>
      <x:c r="AO493" s="23" t="n">
        <x:f>MAX(0,MIN('Activities'!L493,222)-MAX('Activities'!K493,216))</x:f>
        <x:v>0</x:v>
      </x:c>
      <x:c r="AP493" s="23" t="n">
        <x:f>MAX(0,MIN('Activities'!L493,228)-MAX('Activities'!K493,222))</x:f>
        <x:v>0</x:v>
      </x:c>
      <x:c r="AQ493" s="23" t="n">
        <x:f>MAX(0,MIN('Activities'!L493,234)-MAX('Activities'!K493,228))</x:f>
        <x:v>0</x:v>
      </x:c>
      <x:c r="AR493" s="23" t="n">
        <x:f>MAX(0,MIN('Activities'!L493,240)-MAX('Activities'!K493,234))</x:f>
        <x:v>0</x:v>
      </x:c>
      <x:c r="AS493" s="23" t="n">
        <x:f>MAX(0,MIN('Activities'!L493,246)-MAX('Activities'!K493,240))</x:f>
        <x:v>0</x:v>
      </x:c>
      <x:c r="AT493" s="23" t="n">
        <x:f>MAX(0,MIN('Activities'!L493,252)-MAX('Activities'!K493,246))</x:f>
        <x:v>0</x:v>
      </x:c>
      <x:c r="AU493" s="23" t="n">
        <x:f>MAX(0,MIN('Activities'!L493,258)-MAX('Activities'!K493,252))</x:f>
        <x:v>0</x:v>
      </x:c>
      <x:c r="AV493" s="23" t="n">
        <x:f>MAX(0,MIN('Activities'!L493,264)-MAX('Activities'!K493,258))</x:f>
        <x:v>0</x:v>
      </x:c>
      <x:c r="AW493" s="23" t="n">
        <x:f>MAX(0,MIN('Activities'!L493,270)-MAX('Activities'!K493,264))</x:f>
        <x:v>0</x:v>
      </x:c>
      <x:c r="AX493" s="23" t="n">
        <x:f>MAX(0,MIN('Activities'!L493,276)-MAX('Activities'!K493,270))</x:f>
        <x:v>0</x:v>
      </x:c>
      <x:c r="AY493" s="23" t="n">
        <x:f>MAX(0,MIN('Activities'!L493,282)-MAX('Activities'!K493,276))</x:f>
        <x:v>0</x:v>
      </x:c>
      <x:c r="AZ493" s="23" t="n">
        <x:f>MAX(0,MIN('Activities'!L493,288)-MAX('Activities'!K493,282))</x:f>
        <x:v>0</x:v>
      </x:c>
      <x:c r="BA493" s="23" t="n">
        <x:f>MAX(0,MIN('Activities'!L493,294)-MAX('Activities'!K493,288))</x:f>
        <x:v>0</x:v>
      </x:c>
      <x:c r="BB493" s="23" t="n">
        <x:f>MAX(0,MIN('Activities'!L493,300)-MAX('Activities'!K493,294))</x:f>
        <x:v>0</x:v>
      </x:c>
      <x:c r="BC493" s="23" t="n">
        <x:f>MAX(0,MIN('Activities'!L493,306)-MAX('Activities'!K493,300))</x:f>
        <x:v>0</x:v>
      </x:c>
      <x:c r="BD493" s="23" t="n">
        <x:f>MAX(0,MIN('Activities'!L493,312)-MAX('Activities'!K493,306))</x:f>
        <x:v>0</x:v>
      </x:c>
      <x:c r="BE493" s="23" t="n">
        <x:f>MAX(0,MIN('Activities'!L493,318)-MAX('Activities'!K493,312))</x:f>
        <x:v>0</x:v>
      </x:c>
      <x:c r="BF493" s="23" t="n">
        <x:f>MAX(0,MIN('Activities'!L493,324)-MAX('Activities'!K493,318))</x:f>
        <x:v>0</x:v>
      </x:c>
      <x:c r="BG493" s="23" t="n">
        <x:f>MAX(0,MIN('Activities'!L493,330)-MAX('Activities'!K493,324))</x:f>
        <x:v>0</x:v>
      </x:c>
      <x:c r="BH493" s="23" t="n">
        <x:f>MAX(0,MIN('Activities'!L493,336)-MAX('Activities'!K493,330))</x:f>
        <x:v>0</x:v>
      </x:c>
      <x:c r="BI493" s="23" t="n">
        <x:f>MAX(0,MIN('Activities'!L493,342)-MAX('Activities'!K493,336))</x:f>
        <x:v>0</x:v>
      </x:c>
      <x:c r="BJ493" s="23" t="n">
        <x:f>MAX(0,MIN('Activities'!L493,348)-MAX('Activities'!K493,342))</x:f>
        <x:v>0</x:v>
      </x:c>
      <x:c r="BK493" s="23" t="n">
        <x:f>MAX(0,MIN('Activities'!L493,354)-MAX('Activities'!K493,348))</x:f>
        <x:v>0</x:v>
      </x:c>
      <x:c r="BL493" s="23" t="n">
        <x:f>MAX(0,MIN('Activities'!L493,360)-MAX('Activities'!K493,354))</x:f>
        <x:v>0</x:v>
      </x:c>
      <x:c r="BM493" s="23" t="n">
        <x:f>MAX(0,MIN('Activities'!L493,366)-MAX('Activities'!K493,360))</x:f>
        <x:v>0</x:v>
      </x:c>
      <x:c r="BN493" s="23" t="n">
        <x:f>MAX(0,MIN('Activities'!L493,372)-MAX('Activities'!K493,366))</x:f>
        <x:v>0</x:v>
      </x:c>
      <x:c r="BO493" s="23" t="n">
        <x:f>MAX(0,MIN('Activities'!L493,378)-MAX('Activities'!K493,372))</x:f>
        <x:v>0</x:v>
      </x:c>
      <x:c r="BP493" s="23" t="n">
        <x:f>MAX(0,MIN('Activities'!L493,384)-MAX('Activities'!K493,378))</x:f>
        <x:v>0</x:v>
      </x:c>
      <x:c r="BQ493" s="23" t="n">
        <x:f>MAX(0,MIN('Activities'!L493,390)-MAX('Activities'!K493,384))</x:f>
        <x:v>0</x:v>
      </x:c>
      <x:c r="BR493" s="23" t="n">
        <x:f>MAX(0,MIN('Activities'!L493,396)-MAX('Activities'!K493,390))</x:f>
        <x:v>0</x:v>
      </x:c>
      <x:c r="BS493" s="23" t="n">
        <x:f>MAX(0,MIN('Activities'!L493,402)-MAX('Activities'!K493,396))</x:f>
        <x:v>0</x:v>
      </x:c>
      <x:c r="BT493" s="23" t="n">
        <x:f>MAX(0,MIN('Activities'!L493,408)-MAX('Activities'!K493,402))</x:f>
        <x:v>0</x:v>
      </x:c>
      <x:c r="BU493" s="23" t="n">
        <x:f>MAX(0,MIN('Activities'!L493,414)-MAX('Activities'!K493,408))</x:f>
        <x:v>0</x:v>
      </x:c>
      <x:c r="BV493" s="23" t="n">
        <x:f>MAX(0,MIN('Activities'!L493,420)-MAX('Activities'!K493,414))</x:f>
        <x:v>0</x:v>
      </x:c>
      <x:c r="BW493" s="23" t="n">
        <x:f>MAX(0,MIN('Activities'!L493,426)-MAX('Activities'!K493,420))</x:f>
        <x:v>0</x:v>
      </x:c>
      <x:c r="BX493" s="23" t="n">
        <x:f>MAX(0,MIN('Activities'!L493,432)-MAX('Activities'!K493,426))</x:f>
        <x:v>0</x:v>
      </x:c>
      <x:c r="BY493" s="23" t="n">
        <x:f>MAX(0,MIN('Activities'!L493,438)-MAX('Activities'!K493,432))</x:f>
        <x:v>0</x:v>
      </x:c>
      <x:c r="BZ493" s="23" t="n">
        <x:f>MAX(0,MIN('Activities'!L493,444)-MAX('Activities'!K493,438))</x:f>
        <x:v>0</x:v>
      </x:c>
      <x:c r="CA493" s="23" t="n">
        <x:f>MAX(0,MIN('Activities'!L493,450)-MAX('Activities'!K493,444))</x:f>
        <x:v>0</x:v>
      </x:c>
      <x:c r="CB493" s="23" t="n">
        <x:f>MAX(0,MIN('Activities'!L493,456)-MAX('Activities'!K493,450))</x:f>
        <x:v>3</x:v>
      </x:c>
      <x:c r="CC493" s="23" t="n">
        <x:f>MAX(0,MIN('Activities'!L493,462)-MAX('Activities'!K493,456))</x:f>
        <x:v>0</x:v>
      </x:c>
      <x:c r="CD493" s="23" t="n">
        <x:f>MAX(0,MIN('Activities'!L493,468)-MAX('Activities'!K493,462))</x:f>
        <x:v>0</x:v>
      </x:c>
      <x:c r="CE493" s="23" t="n">
        <x:f>MAX(0,MIN('Activities'!L493,474)-MAX('Activities'!K493,468))</x:f>
        <x:v>0</x:v>
      </x:c>
      <x:c r="CF493" s="23" t="n">
        <x:f>MAX(0,MIN('Activities'!L493,480)-MAX('Activities'!K493,474))</x:f>
        <x:v>0</x:v>
      </x:c>
      <x:c r="CG493" s="23" t="n">
        <x:f>MAX(0,MIN('Activities'!L493,486)-MAX('Activities'!K493,480))</x:f>
        <x:v>0</x:v>
      </x:c>
      <x:c r="CH493" s="23" t="n">
        <x:f>MAX(0,MIN('Activities'!L493,492)-MAX('Activities'!K493,486))</x:f>
        <x:v>0</x:v>
      </x:c>
      <x:c r="CI493" s="23" t="n">
        <x:f>MAX(0,MIN('Activities'!L493,498)-MAX('Activities'!K493,492))</x:f>
        <x:v>0</x:v>
      </x:c>
      <x:c r="CJ493" s="23" t="n">
        <x:f>MAX(0,MIN('Activities'!L493,504)-MAX('Activities'!K493,498))</x:f>
        <x:v>0</x:v>
      </x:c>
      <x:c r="CK493" s="23" t="n">
        <x:f>MAX(0,MIN('Activities'!L493,510)-MAX('Activities'!K493,504))</x:f>
        <x:v>0</x:v>
      </x:c>
      <x:c r="CL493" s="23" t="n">
        <x:f>MAX(0,MIN('Activities'!L493,516)-MAX('Activities'!K493,510))</x:f>
        <x:v>0</x:v>
      </x:c>
      <x:c r="CM493" s="23" t="n">
        <x:f>MAX(0,MIN('Activities'!L493,522)-MAX('Activities'!K493,516))</x:f>
        <x:v>0</x:v>
      </x:c>
      <x:c r="CN493" s="23" t="n">
        <x:f>MAX(0,MIN('Activities'!L493,528)-MAX('Activities'!K493,522))</x:f>
        <x:v>0</x:v>
      </x:c>
      <x:c r="CO493" s="23" t="n">
        <x:f>MAX(0,MIN('Activities'!L493,534)-MAX('Activities'!K493,528))</x:f>
        <x:v>0</x:v>
      </x:c>
      <x:c r="CP493" s="23" t="n">
        <x:f>MAX(0,MIN('Activities'!L493,540)-MAX('Activities'!K493,534))</x:f>
        <x:v>0</x:v>
      </x:c>
      <x:c r="CQ493" s="23" t="n">
        <x:f>MAX(0,MIN('Activities'!L493,546)-MAX('Activities'!K493,540))</x:f>
        <x:v>0</x:v>
      </x:c>
      <x:c r="CR493" s="23" t="n">
        <x:f>MAX(0,MIN('Activities'!L493,552)-MAX('Activities'!K493,546))</x:f>
        <x:v>0</x:v>
      </x:c>
      <x:c r="CS493" s="23" t="n">
        <x:f>MAX(0,MIN('Activities'!L493,558)-MAX('Activities'!K493,552))</x:f>
        <x:v>0</x:v>
      </x:c>
      <x:c r="CT493" s="23" t="n">
        <x:f>MAX(0,MIN('Activities'!L493,564)-MAX('Activities'!K493,558))</x:f>
        <x:v>0</x:v>
      </x:c>
      <x:c r="CU493" s="23" t="n">
        <x:f>MAX(0,MIN('Activities'!L493,570)-MAX('Activities'!K493,564))</x:f>
        <x:v>0</x:v>
      </x:c>
      <x:c r="CV493" s="23" t="n">
        <x:f>MAX(0,MIN('Activities'!L493,576)-MAX('Activities'!K493,570))</x:f>
        <x:v>0</x:v>
      </x:c>
      <x:c r="CW493" s="23" t="n">
        <x:f>MAX(0,MIN('Activities'!L493,582)-MAX('Activities'!K493,576))</x:f>
        <x:v>0</x:v>
      </x:c>
      <x:c r="CX493" s="23" t="n">
        <x:f>MAX(0,MIN('Activities'!L493,588)-MAX('Activities'!K493,582))</x:f>
        <x:v>0</x:v>
      </x:c>
      <x:c r="CY493" s="23" t="n">
        <x:f>MAX(0,MIN('Activities'!L493,594)-MAX('Activities'!K493,588))</x:f>
        <x:v>0</x:v>
      </x:c>
      <x:c r="CZ493" s="23" t="n">
        <x:f>MAX(0,MIN('Activities'!L493,600)-MAX('Activities'!K493,594))</x:f>
        <x:v>0</x:v>
      </x:c>
      <x:c r="DA493" s="23" t="n">
        <x:f>MAX(0,MIN('Activities'!L493,606)-MAX('Activities'!K493,600))</x:f>
        <x:v>0</x:v>
      </x:c>
      <x:c r="DB493" s="23" t="n">
        <x:f>MAX(0,MIN('Activities'!L493,612)-MAX('Activities'!K493,606))</x:f>
        <x:v>0</x:v>
      </x:c>
      <x:c r="DC493" s="23" t="n">
        <x:f>MAX(0,MIN('Activities'!L493,618)-MAX('Activities'!K493,612))</x:f>
        <x:v>0</x:v>
      </x:c>
      <x:c r="DD493" s="23" t="n">
        <x:f>MAX(0,MIN('Activities'!L493,624)-MAX('Activities'!K493,618))</x:f>
        <x:v>0</x:v>
      </x:c>
      <x:c r="DE493" s="23" t="n">
        <x:f>MAX(0,MIN('Activities'!L493,630)-MAX('Activities'!K493,624))</x:f>
        <x:v>0</x:v>
      </x:c>
      <x:c r="DF493" s="23" t="n">
        <x:f>MAX(0,MIN('Activities'!L493,636)-MAX('Activities'!K493,630))</x:f>
        <x:v>0</x:v>
      </x:c>
    </x:row>
    <x:row r="494" ht="23" customHeight="1">
      <x:c r="A494" s="6" t="str">
        <x:v>T4-L04-M</x:v>
      </x:c>
      <x:c r="B494" s="6" t="str">
        <x:v>T4</x:v>
      </x:c>
      <x:c r="C494" s="6" t="str">
        <x:v>Partition masonry</x:v>
      </x:c>
      <x:c r="D494" s="6" t="str">
        <x:v>Masonry</x:v>
      </x:c>
      <x:c r="E494" s="22" t="n">
        <x:f>MAX(0,MIN('Activities'!L494,6)-MAX('Activities'!K494,0))</x:f>
        <x:v>0</x:v>
      </x:c>
      <x:c r="F494" s="22" t="n">
        <x:f>MAX(0,MIN('Activities'!L494,12)-MAX('Activities'!K494,6))</x:f>
        <x:v>0</x:v>
      </x:c>
      <x:c r="G494" s="22" t="n">
        <x:f>MAX(0,MIN('Activities'!L494,18)-MAX('Activities'!K494,12))</x:f>
        <x:v>0</x:v>
      </x:c>
      <x:c r="H494" s="22" t="n">
        <x:f>MAX(0,MIN('Activities'!L494,24)-MAX('Activities'!K494,18))</x:f>
        <x:v>0</x:v>
      </x:c>
      <x:c r="I494" s="22" t="n">
        <x:f>MAX(0,MIN('Activities'!L494,30)-MAX('Activities'!K494,24))</x:f>
        <x:v>0</x:v>
      </x:c>
      <x:c r="J494" s="22" t="n">
        <x:f>MAX(0,MIN('Activities'!L494,36)-MAX('Activities'!K494,30))</x:f>
        <x:v>0</x:v>
      </x:c>
      <x:c r="K494" s="22" t="n">
        <x:f>MAX(0,MIN('Activities'!L494,42)-MAX('Activities'!K494,36))</x:f>
        <x:v>0</x:v>
      </x:c>
      <x:c r="L494" s="22" t="n">
        <x:f>MAX(0,MIN('Activities'!L494,48)-MAX('Activities'!K494,42))</x:f>
        <x:v>0</x:v>
      </x:c>
      <x:c r="M494" s="22" t="n">
        <x:f>MAX(0,MIN('Activities'!L494,54)-MAX('Activities'!K494,48))</x:f>
        <x:v>0</x:v>
      </x:c>
      <x:c r="N494" s="22" t="n">
        <x:f>MAX(0,MIN('Activities'!L494,60)-MAX('Activities'!K494,54))</x:f>
        <x:v>0</x:v>
      </x:c>
      <x:c r="O494" s="22" t="n">
        <x:f>MAX(0,MIN('Activities'!L494,66)-MAX('Activities'!K494,60))</x:f>
        <x:v>0</x:v>
      </x:c>
      <x:c r="P494" s="22" t="n">
        <x:f>MAX(0,MIN('Activities'!L494,72)-MAX('Activities'!K494,66))</x:f>
        <x:v>0</x:v>
      </x:c>
      <x:c r="Q494" s="22" t="n">
        <x:f>MAX(0,MIN('Activities'!L494,78)-MAX('Activities'!K494,72))</x:f>
        <x:v>0</x:v>
      </x:c>
      <x:c r="R494" s="22" t="n">
        <x:f>MAX(0,MIN('Activities'!L494,84)-MAX('Activities'!K494,78))</x:f>
        <x:v>0</x:v>
      </x:c>
      <x:c r="S494" s="22" t="n">
        <x:f>MAX(0,MIN('Activities'!L494,90)-MAX('Activities'!K494,84))</x:f>
        <x:v>0</x:v>
      </x:c>
      <x:c r="T494" s="22" t="n">
        <x:f>MAX(0,MIN('Activities'!L494,96)-MAX('Activities'!K494,90))</x:f>
        <x:v>0</x:v>
      </x:c>
      <x:c r="U494" s="22" t="n">
        <x:f>MAX(0,MIN('Activities'!L494,102)-MAX('Activities'!K494,96))</x:f>
        <x:v>0</x:v>
      </x:c>
      <x:c r="V494" s="22" t="n">
        <x:f>MAX(0,MIN('Activities'!L494,108)-MAX('Activities'!K494,102))</x:f>
        <x:v>0</x:v>
      </x:c>
      <x:c r="W494" s="22" t="n">
        <x:f>MAX(0,MIN('Activities'!L494,114)-MAX('Activities'!K494,108))</x:f>
        <x:v>0</x:v>
      </x:c>
      <x:c r="X494" s="22" t="n">
        <x:f>MAX(0,MIN('Activities'!L494,120)-MAX('Activities'!K494,114))</x:f>
        <x:v>0</x:v>
      </x:c>
      <x:c r="Y494" s="22" t="n">
        <x:f>MAX(0,MIN('Activities'!L494,126)-MAX('Activities'!K494,120))</x:f>
        <x:v>0</x:v>
      </x:c>
      <x:c r="Z494" s="22" t="n">
        <x:f>MAX(0,MIN('Activities'!L494,132)-MAX('Activities'!K494,126))</x:f>
        <x:v>0</x:v>
      </x:c>
      <x:c r="AA494" s="22" t="n">
        <x:f>MAX(0,MIN('Activities'!L494,138)-MAX('Activities'!K494,132))</x:f>
        <x:v>0</x:v>
      </x:c>
      <x:c r="AB494" s="22" t="n">
        <x:f>MAX(0,MIN('Activities'!L494,144)-MAX('Activities'!K494,138))</x:f>
        <x:v>0</x:v>
      </x:c>
      <x:c r="AC494" s="22" t="n">
        <x:f>MAX(0,MIN('Activities'!L494,150)-MAX('Activities'!K494,144))</x:f>
        <x:v>0</x:v>
      </x:c>
      <x:c r="AD494" s="22" t="n">
        <x:f>MAX(0,MIN('Activities'!L494,156)-MAX('Activities'!K494,150))</x:f>
        <x:v>0</x:v>
      </x:c>
      <x:c r="AE494" s="22" t="n">
        <x:f>MAX(0,MIN('Activities'!L494,162)-MAX('Activities'!K494,156))</x:f>
        <x:v>0</x:v>
      </x:c>
      <x:c r="AF494" s="22" t="n">
        <x:f>MAX(0,MIN('Activities'!L494,168)-MAX('Activities'!K494,162))</x:f>
        <x:v>0</x:v>
      </x:c>
      <x:c r="AG494" s="22" t="n">
        <x:f>MAX(0,MIN('Activities'!L494,174)-MAX('Activities'!K494,168))</x:f>
        <x:v>0</x:v>
      </x:c>
      <x:c r="AH494" s="22" t="n">
        <x:f>MAX(0,MIN('Activities'!L494,180)-MAX('Activities'!K494,174))</x:f>
        <x:v>0</x:v>
      </x:c>
      <x:c r="AI494" s="22" t="n">
        <x:f>MAX(0,MIN('Activities'!L494,186)-MAX('Activities'!K494,180))</x:f>
        <x:v>0</x:v>
      </x:c>
      <x:c r="AJ494" s="22" t="n">
        <x:f>MAX(0,MIN('Activities'!L494,192)-MAX('Activities'!K494,186))</x:f>
        <x:v>0</x:v>
      </x:c>
      <x:c r="AK494" s="22" t="n">
        <x:f>MAX(0,MIN('Activities'!L494,198)-MAX('Activities'!K494,192))</x:f>
        <x:v>0</x:v>
      </x:c>
      <x:c r="AL494" s="22" t="n">
        <x:f>MAX(0,MIN('Activities'!L494,204)-MAX('Activities'!K494,198))</x:f>
        <x:v>0</x:v>
      </x:c>
      <x:c r="AM494" s="22" t="n">
        <x:f>MAX(0,MIN('Activities'!L494,210)-MAX('Activities'!K494,204))</x:f>
        <x:v>0</x:v>
      </x:c>
      <x:c r="AN494" s="22" t="n">
        <x:f>MAX(0,MIN('Activities'!L494,216)-MAX('Activities'!K494,210))</x:f>
        <x:v>0</x:v>
      </x:c>
      <x:c r="AO494" s="22" t="n">
        <x:f>MAX(0,MIN('Activities'!L494,222)-MAX('Activities'!K494,216))</x:f>
        <x:v>0</x:v>
      </x:c>
      <x:c r="AP494" s="22" t="n">
        <x:f>MAX(0,MIN('Activities'!L494,228)-MAX('Activities'!K494,222))</x:f>
        <x:v>0</x:v>
      </x:c>
      <x:c r="AQ494" s="22" t="n">
        <x:f>MAX(0,MIN('Activities'!L494,234)-MAX('Activities'!K494,228))</x:f>
        <x:v>0</x:v>
      </x:c>
      <x:c r="AR494" s="22" t="n">
        <x:f>MAX(0,MIN('Activities'!L494,240)-MAX('Activities'!K494,234))</x:f>
        <x:v>0</x:v>
      </x:c>
      <x:c r="AS494" s="22" t="n">
        <x:f>MAX(0,MIN('Activities'!L494,246)-MAX('Activities'!K494,240))</x:f>
        <x:v>0</x:v>
      </x:c>
      <x:c r="AT494" s="22" t="n">
        <x:f>MAX(0,MIN('Activities'!L494,252)-MAX('Activities'!K494,246))</x:f>
        <x:v>0</x:v>
      </x:c>
      <x:c r="AU494" s="22" t="n">
        <x:f>MAX(0,MIN('Activities'!L494,258)-MAX('Activities'!K494,252))</x:f>
        <x:v>0</x:v>
      </x:c>
      <x:c r="AV494" s="22" t="n">
        <x:f>MAX(0,MIN('Activities'!L494,264)-MAX('Activities'!K494,258))</x:f>
        <x:v>0</x:v>
      </x:c>
      <x:c r="AW494" s="22" t="n">
        <x:f>MAX(0,MIN('Activities'!L494,270)-MAX('Activities'!K494,264))</x:f>
        <x:v>0</x:v>
      </x:c>
      <x:c r="AX494" s="22" t="n">
        <x:f>MAX(0,MIN('Activities'!L494,276)-MAX('Activities'!K494,270))</x:f>
        <x:v>0</x:v>
      </x:c>
      <x:c r="AY494" s="22" t="n">
        <x:f>MAX(0,MIN('Activities'!L494,282)-MAX('Activities'!K494,276))</x:f>
        <x:v>0</x:v>
      </x:c>
      <x:c r="AZ494" s="22" t="n">
        <x:f>MAX(0,MIN('Activities'!L494,288)-MAX('Activities'!K494,282))</x:f>
        <x:v>0</x:v>
      </x:c>
      <x:c r="BA494" s="22" t="n">
        <x:f>MAX(0,MIN('Activities'!L494,294)-MAX('Activities'!K494,288))</x:f>
        <x:v>0</x:v>
      </x:c>
      <x:c r="BB494" s="22" t="n">
        <x:f>MAX(0,MIN('Activities'!L494,300)-MAX('Activities'!K494,294))</x:f>
        <x:v>0</x:v>
      </x:c>
      <x:c r="BC494" s="22" t="n">
        <x:f>MAX(0,MIN('Activities'!L494,306)-MAX('Activities'!K494,300))</x:f>
        <x:v>0</x:v>
      </x:c>
      <x:c r="BD494" s="22" t="n">
        <x:f>MAX(0,MIN('Activities'!L494,312)-MAX('Activities'!K494,306))</x:f>
        <x:v>0</x:v>
      </x:c>
      <x:c r="BE494" s="22" t="n">
        <x:f>MAX(0,MIN('Activities'!L494,318)-MAX('Activities'!K494,312))</x:f>
        <x:v>0</x:v>
      </x:c>
      <x:c r="BF494" s="22" t="n">
        <x:f>MAX(0,MIN('Activities'!L494,324)-MAX('Activities'!K494,318))</x:f>
        <x:v>5</x:v>
      </x:c>
      <x:c r="BG494" s="22" t="n">
        <x:f>MAX(0,MIN('Activities'!L494,330)-MAX('Activities'!K494,324))</x:f>
        <x:v>0</x:v>
      </x:c>
      <x:c r="BH494" s="22" t="n">
        <x:f>MAX(0,MIN('Activities'!L494,336)-MAX('Activities'!K494,330))</x:f>
        <x:v>0</x:v>
      </x:c>
      <x:c r="BI494" s="22" t="n">
        <x:f>MAX(0,MIN('Activities'!L494,342)-MAX('Activities'!K494,336))</x:f>
        <x:v>0</x:v>
      </x:c>
      <x:c r="BJ494" s="22" t="n">
        <x:f>MAX(0,MIN('Activities'!L494,348)-MAX('Activities'!K494,342))</x:f>
        <x:v>0</x:v>
      </x:c>
      <x:c r="BK494" s="22" t="n">
        <x:f>MAX(0,MIN('Activities'!L494,354)-MAX('Activities'!K494,348))</x:f>
        <x:v>0</x:v>
      </x:c>
      <x:c r="BL494" s="22" t="n">
        <x:f>MAX(0,MIN('Activities'!L494,360)-MAX('Activities'!K494,354))</x:f>
        <x:v>0</x:v>
      </x:c>
      <x:c r="BM494" s="22" t="n">
        <x:f>MAX(0,MIN('Activities'!L494,366)-MAX('Activities'!K494,360))</x:f>
        <x:v>0</x:v>
      </x:c>
      <x:c r="BN494" s="22" t="n">
        <x:f>MAX(0,MIN('Activities'!L494,372)-MAX('Activities'!K494,366))</x:f>
        <x:v>0</x:v>
      </x:c>
      <x:c r="BO494" s="22" t="n">
        <x:f>MAX(0,MIN('Activities'!L494,378)-MAX('Activities'!K494,372))</x:f>
        <x:v>0</x:v>
      </x:c>
      <x:c r="BP494" s="22" t="n">
        <x:f>MAX(0,MIN('Activities'!L494,384)-MAX('Activities'!K494,378))</x:f>
        <x:v>0</x:v>
      </x:c>
      <x:c r="BQ494" s="22" t="n">
        <x:f>MAX(0,MIN('Activities'!L494,390)-MAX('Activities'!K494,384))</x:f>
        <x:v>0</x:v>
      </x:c>
      <x:c r="BR494" s="22" t="n">
        <x:f>MAX(0,MIN('Activities'!L494,396)-MAX('Activities'!K494,390))</x:f>
        <x:v>0</x:v>
      </x:c>
      <x:c r="BS494" s="22" t="n">
        <x:f>MAX(0,MIN('Activities'!L494,402)-MAX('Activities'!K494,396))</x:f>
        <x:v>0</x:v>
      </x:c>
      <x:c r="BT494" s="22" t="n">
        <x:f>MAX(0,MIN('Activities'!L494,408)-MAX('Activities'!K494,402))</x:f>
        <x:v>0</x:v>
      </x:c>
      <x:c r="BU494" s="22" t="n">
        <x:f>MAX(0,MIN('Activities'!L494,414)-MAX('Activities'!K494,408))</x:f>
        <x:v>0</x:v>
      </x:c>
      <x:c r="BV494" s="22" t="n">
        <x:f>MAX(0,MIN('Activities'!L494,420)-MAX('Activities'!K494,414))</x:f>
        <x:v>0</x:v>
      </x:c>
      <x:c r="BW494" s="22" t="n">
        <x:f>MAX(0,MIN('Activities'!L494,426)-MAX('Activities'!K494,420))</x:f>
        <x:v>0</x:v>
      </x:c>
      <x:c r="BX494" s="22" t="n">
        <x:f>MAX(0,MIN('Activities'!L494,432)-MAX('Activities'!K494,426))</x:f>
        <x:v>0</x:v>
      </x:c>
      <x:c r="BY494" s="22" t="n">
        <x:f>MAX(0,MIN('Activities'!L494,438)-MAX('Activities'!K494,432))</x:f>
        <x:v>0</x:v>
      </x:c>
      <x:c r="BZ494" s="22" t="n">
        <x:f>MAX(0,MIN('Activities'!L494,444)-MAX('Activities'!K494,438))</x:f>
        <x:v>0</x:v>
      </x:c>
      <x:c r="CA494" s="22" t="n">
        <x:f>MAX(0,MIN('Activities'!L494,450)-MAX('Activities'!K494,444))</x:f>
        <x:v>0</x:v>
      </x:c>
      <x:c r="CB494" s="22" t="n">
        <x:f>MAX(0,MIN('Activities'!L494,456)-MAX('Activities'!K494,450))</x:f>
        <x:v>0</x:v>
      </x:c>
      <x:c r="CC494" s="22" t="n">
        <x:f>MAX(0,MIN('Activities'!L494,462)-MAX('Activities'!K494,456))</x:f>
        <x:v>0</x:v>
      </x:c>
      <x:c r="CD494" s="22" t="n">
        <x:f>MAX(0,MIN('Activities'!L494,468)-MAX('Activities'!K494,462))</x:f>
        <x:v>0</x:v>
      </x:c>
      <x:c r="CE494" s="22" t="n">
        <x:f>MAX(0,MIN('Activities'!L494,474)-MAX('Activities'!K494,468))</x:f>
        <x:v>0</x:v>
      </x:c>
      <x:c r="CF494" s="22" t="n">
        <x:f>MAX(0,MIN('Activities'!L494,480)-MAX('Activities'!K494,474))</x:f>
        <x:v>0</x:v>
      </x:c>
      <x:c r="CG494" s="22" t="n">
        <x:f>MAX(0,MIN('Activities'!L494,486)-MAX('Activities'!K494,480))</x:f>
        <x:v>0</x:v>
      </x:c>
      <x:c r="CH494" s="22" t="n">
        <x:f>MAX(0,MIN('Activities'!L494,492)-MAX('Activities'!K494,486))</x:f>
        <x:v>0</x:v>
      </x:c>
      <x:c r="CI494" s="22" t="n">
        <x:f>MAX(0,MIN('Activities'!L494,498)-MAX('Activities'!K494,492))</x:f>
        <x:v>0</x:v>
      </x:c>
      <x:c r="CJ494" s="22" t="n">
        <x:f>MAX(0,MIN('Activities'!L494,504)-MAX('Activities'!K494,498))</x:f>
        <x:v>0</x:v>
      </x:c>
      <x:c r="CK494" s="22" t="n">
        <x:f>MAX(0,MIN('Activities'!L494,510)-MAX('Activities'!K494,504))</x:f>
        <x:v>0</x:v>
      </x:c>
      <x:c r="CL494" s="22" t="n">
        <x:f>MAX(0,MIN('Activities'!L494,516)-MAX('Activities'!K494,510))</x:f>
        <x:v>0</x:v>
      </x:c>
      <x:c r="CM494" s="22" t="n">
        <x:f>MAX(0,MIN('Activities'!L494,522)-MAX('Activities'!K494,516))</x:f>
        <x:v>0</x:v>
      </x:c>
      <x:c r="CN494" s="22" t="n">
        <x:f>MAX(0,MIN('Activities'!L494,528)-MAX('Activities'!K494,522))</x:f>
        <x:v>0</x:v>
      </x:c>
      <x:c r="CO494" s="22" t="n">
        <x:f>MAX(0,MIN('Activities'!L494,534)-MAX('Activities'!K494,528))</x:f>
        <x:v>0</x:v>
      </x:c>
      <x:c r="CP494" s="22" t="n">
        <x:f>MAX(0,MIN('Activities'!L494,540)-MAX('Activities'!K494,534))</x:f>
        <x:v>0</x:v>
      </x:c>
      <x:c r="CQ494" s="22" t="n">
        <x:f>MAX(0,MIN('Activities'!L494,546)-MAX('Activities'!K494,540))</x:f>
        <x:v>0</x:v>
      </x:c>
      <x:c r="CR494" s="22" t="n">
        <x:f>MAX(0,MIN('Activities'!L494,552)-MAX('Activities'!K494,546))</x:f>
        <x:v>0</x:v>
      </x:c>
      <x:c r="CS494" s="22" t="n">
        <x:f>MAX(0,MIN('Activities'!L494,558)-MAX('Activities'!K494,552))</x:f>
        <x:v>0</x:v>
      </x:c>
      <x:c r="CT494" s="22" t="n">
        <x:f>MAX(0,MIN('Activities'!L494,564)-MAX('Activities'!K494,558))</x:f>
        <x:v>0</x:v>
      </x:c>
      <x:c r="CU494" s="22" t="n">
        <x:f>MAX(0,MIN('Activities'!L494,570)-MAX('Activities'!K494,564))</x:f>
        <x:v>0</x:v>
      </x:c>
      <x:c r="CV494" s="22" t="n">
        <x:f>MAX(0,MIN('Activities'!L494,576)-MAX('Activities'!K494,570))</x:f>
        <x:v>0</x:v>
      </x:c>
      <x:c r="CW494" s="22" t="n">
        <x:f>MAX(0,MIN('Activities'!L494,582)-MAX('Activities'!K494,576))</x:f>
        <x:v>0</x:v>
      </x:c>
      <x:c r="CX494" s="22" t="n">
        <x:f>MAX(0,MIN('Activities'!L494,588)-MAX('Activities'!K494,582))</x:f>
        <x:v>0</x:v>
      </x:c>
      <x:c r="CY494" s="22" t="n">
        <x:f>MAX(0,MIN('Activities'!L494,594)-MAX('Activities'!K494,588))</x:f>
        <x:v>0</x:v>
      </x:c>
      <x:c r="CZ494" s="22" t="n">
        <x:f>MAX(0,MIN('Activities'!L494,600)-MAX('Activities'!K494,594))</x:f>
        <x:v>0</x:v>
      </x:c>
      <x:c r="DA494" s="22" t="n">
        <x:f>MAX(0,MIN('Activities'!L494,606)-MAX('Activities'!K494,600))</x:f>
        <x:v>0</x:v>
      </x:c>
      <x:c r="DB494" s="22" t="n">
        <x:f>MAX(0,MIN('Activities'!L494,612)-MAX('Activities'!K494,606))</x:f>
        <x:v>0</x:v>
      </x:c>
      <x:c r="DC494" s="22" t="n">
        <x:f>MAX(0,MIN('Activities'!L494,618)-MAX('Activities'!K494,612))</x:f>
        <x:v>0</x:v>
      </x:c>
      <x:c r="DD494" s="22" t="n">
        <x:f>MAX(0,MIN('Activities'!L494,624)-MAX('Activities'!K494,618))</x:f>
        <x:v>0</x:v>
      </x:c>
      <x:c r="DE494" s="22" t="n">
        <x:f>MAX(0,MIN('Activities'!L494,630)-MAX('Activities'!K494,624))</x:f>
        <x:v>0</x:v>
      </x:c>
      <x:c r="DF494" s="22" t="n">
        <x:f>MAX(0,MIN('Activities'!L494,636)-MAX('Activities'!K494,630))</x:f>
        <x:v>0</x:v>
      </x:c>
    </x:row>
    <x:row r="495" ht="23" customHeight="1">
      <x:c r="A495" s="1" t="str">
        <x:v>T4-L04-P</x:v>
      </x:c>
      <x:c r="B495" s="1" t="str">
        <x:v>T4</x:v>
      </x:c>
      <x:c r="C495" s="1" t="str">
        <x:v>Internal plaster</x:v>
      </x:c>
      <x:c r="D495" s="1" t="str">
        <x:v>Finishes</x:v>
      </x:c>
      <x:c r="E495" s="23" t="n">
        <x:f>MAX(0,MIN('Activities'!L495,6)-MAX('Activities'!K495,0))</x:f>
        <x:v>0</x:v>
      </x:c>
      <x:c r="F495" s="23" t="n">
        <x:f>MAX(0,MIN('Activities'!L495,12)-MAX('Activities'!K495,6))</x:f>
        <x:v>0</x:v>
      </x:c>
      <x:c r="G495" s="23" t="n">
        <x:f>MAX(0,MIN('Activities'!L495,18)-MAX('Activities'!K495,12))</x:f>
        <x:v>0</x:v>
      </x:c>
      <x:c r="H495" s="23" t="n">
        <x:f>MAX(0,MIN('Activities'!L495,24)-MAX('Activities'!K495,18))</x:f>
        <x:v>0</x:v>
      </x:c>
      <x:c r="I495" s="23" t="n">
        <x:f>MAX(0,MIN('Activities'!L495,30)-MAX('Activities'!K495,24))</x:f>
        <x:v>0</x:v>
      </x:c>
      <x:c r="J495" s="23" t="n">
        <x:f>MAX(0,MIN('Activities'!L495,36)-MAX('Activities'!K495,30))</x:f>
        <x:v>0</x:v>
      </x:c>
      <x:c r="K495" s="23" t="n">
        <x:f>MAX(0,MIN('Activities'!L495,42)-MAX('Activities'!K495,36))</x:f>
        <x:v>0</x:v>
      </x:c>
      <x:c r="L495" s="23" t="n">
        <x:f>MAX(0,MIN('Activities'!L495,48)-MAX('Activities'!K495,42))</x:f>
        <x:v>0</x:v>
      </x:c>
      <x:c r="M495" s="23" t="n">
        <x:f>MAX(0,MIN('Activities'!L495,54)-MAX('Activities'!K495,48))</x:f>
        <x:v>0</x:v>
      </x:c>
      <x:c r="N495" s="23" t="n">
        <x:f>MAX(0,MIN('Activities'!L495,60)-MAX('Activities'!K495,54))</x:f>
        <x:v>0</x:v>
      </x:c>
      <x:c r="O495" s="23" t="n">
        <x:f>MAX(0,MIN('Activities'!L495,66)-MAX('Activities'!K495,60))</x:f>
        <x:v>0</x:v>
      </x:c>
      <x:c r="P495" s="23" t="n">
        <x:f>MAX(0,MIN('Activities'!L495,72)-MAX('Activities'!K495,66))</x:f>
        <x:v>0</x:v>
      </x:c>
      <x:c r="Q495" s="23" t="n">
        <x:f>MAX(0,MIN('Activities'!L495,78)-MAX('Activities'!K495,72))</x:f>
        <x:v>0</x:v>
      </x:c>
      <x:c r="R495" s="23" t="n">
        <x:f>MAX(0,MIN('Activities'!L495,84)-MAX('Activities'!K495,78))</x:f>
        <x:v>0</x:v>
      </x:c>
      <x:c r="S495" s="23" t="n">
        <x:f>MAX(0,MIN('Activities'!L495,90)-MAX('Activities'!K495,84))</x:f>
        <x:v>0</x:v>
      </x:c>
      <x:c r="T495" s="23" t="n">
        <x:f>MAX(0,MIN('Activities'!L495,96)-MAX('Activities'!K495,90))</x:f>
        <x:v>0</x:v>
      </x:c>
      <x:c r="U495" s="23" t="n">
        <x:f>MAX(0,MIN('Activities'!L495,102)-MAX('Activities'!K495,96))</x:f>
        <x:v>0</x:v>
      </x:c>
      <x:c r="V495" s="23" t="n">
        <x:f>MAX(0,MIN('Activities'!L495,108)-MAX('Activities'!K495,102))</x:f>
        <x:v>0</x:v>
      </x:c>
      <x:c r="W495" s="23" t="n">
        <x:f>MAX(0,MIN('Activities'!L495,114)-MAX('Activities'!K495,108))</x:f>
        <x:v>0</x:v>
      </x:c>
      <x:c r="X495" s="23" t="n">
        <x:f>MAX(0,MIN('Activities'!L495,120)-MAX('Activities'!K495,114))</x:f>
        <x:v>0</x:v>
      </x:c>
      <x:c r="Y495" s="23" t="n">
        <x:f>MAX(0,MIN('Activities'!L495,126)-MAX('Activities'!K495,120))</x:f>
        <x:v>0</x:v>
      </x:c>
      <x:c r="Z495" s="23" t="n">
        <x:f>MAX(0,MIN('Activities'!L495,132)-MAX('Activities'!K495,126))</x:f>
        <x:v>0</x:v>
      </x:c>
      <x:c r="AA495" s="23" t="n">
        <x:f>MAX(0,MIN('Activities'!L495,138)-MAX('Activities'!K495,132))</x:f>
        <x:v>0</x:v>
      </x:c>
      <x:c r="AB495" s="23" t="n">
        <x:f>MAX(0,MIN('Activities'!L495,144)-MAX('Activities'!K495,138))</x:f>
        <x:v>0</x:v>
      </x:c>
      <x:c r="AC495" s="23" t="n">
        <x:f>MAX(0,MIN('Activities'!L495,150)-MAX('Activities'!K495,144))</x:f>
        <x:v>0</x:v>
      </x:c>
      <x:c r="AD495" s="23" t="n">
        <x:f>MAX(0,MIN('Activities'!L495,156)-MAX('Activities'!K495,150))</x:f>
        <x:v>0</x:v>
      </x:c>
      <x:c r="AE495" s="23" t="n">
        <x:f>MAX(0,MIN('Activities'!L495,162)-MAX('Activities'!K495,156))</x:f>
        <x:v>0</x:v>
      </x:c>
      <x:c r="AF495" s="23" t="n">
        <x:f>MAX(0,MIN('Activities'!L495,168)-MAX('Activities'!K495,162))</x:f>
        <x:v>0</x:v>
      </x:c>
      <x:c r="AG495" s="23" t="n">
        <x:f>MAX(0,MIN('Activities'!L495,174)-MAX('Activities'!K495,168))</x:f>
        <x:v>0</x:v>
      </x:c>
      <x:c r="AH495" s="23" t="n">
        <x:f>MAX(0,MIN('Activities'!L495,180)-MAX('Activities'!K495,174))</x:f>
        <x:v>0</x:v>
      </x:c>
      <x:c r="AI495" s="23" t="n">
        <x:f>MAX(0,MIN('Activities'!L495,186)-MAX('Activities'!K495,180))</x:f>
        <x:v>0</x:v>
      </x:c>
      <x:c r="AJ495" s="23" t="n">
        <x:f>MAX(0,MIN('Activities'!L495,192)-MAX('Activities'!K495,186))</x:f>
        <x:v>0</x:v>
      </x:c>
      <x:c r="AK495" s="23" t="n">
        <x:f>MAX(0,MIN('Activities'!L495,198)-MAX('Activities'!K495,192))</x:f>
        <x:v>0</x:v>
      </x:c>
      <x:c r="AL495" s="23" t="n">
        <x:f>MAX(0,MIN('Activities'!L495,204)-MAX('Activities'!K495,198))</x:f>
        <x:v>0</x:v>
      </x:c>
      <x:c r="AM495" s="23" t="n">
        <x:f>MAX(0,MIN('Activities'!L495,210)-MAX('Activities'!K495,204))</x:f>
        <x:v>0</x:v>
      </x:c>
      <x:c r="AN495" s="23" t="n">
        <x:f>MAX(0,MIN('Activities'!L495,216)-MAX('Activities'!K495,210))</x:f>
        <x:v>0</x:v>
      </x:c>
      <x:c r="AO495" s="23" t="n">
        <x:f>MAX(0,MIN('Activities'!L495,222)-MAX('Activities'!K495,216))</x:f>
        <x:v>0</x:v>
      </x:c>
      <x:c r="AP495" s="23" t="n">
        <x:f>MAX(0,MIN('Activities'!L495,228)-MAX('Activities'!K495,222))</x:f>
        <x:v>0</x:v>
      </x:c>
      <x:c r="AQ495" s="23" t="n">
        <x:f>MAX(0,MIN('Activities'!L495,234)-MAX('Activities'!K495,228))</x:f>
        <x:v>0</x:v>
      </x:c>
      <x:c r="AR495" s="23" t="n">
        <x:f>MAX(0,MIN('Activities'!L495,240)-MAX('Activities'!K495,234))</x:f>
        <x:v>0</x:v>
      </x:c>
      <x:c r="AS495" s="23" t="n">
        <x:f>MAX(0,MIN('Activities'!L495,246)-MAX('Activities'!K495,240))</x:f>
        <x:v>0</x:v>
      </x:c>
      <x:c r="AT495" s="23" t="n">
        <x:f>MAX(0,MIN('Activities'!L495,252)-MAX('Activities'!K495,246))</x:f>
        <x:v>0</x:v>
      </x:c>
      <x:c r="AU495" s="23" t="n">
        <x:f>MAX(0,MIN('Activities'!L495,258)-MAX('Activities'!K495,252))</x:f>
        <x:v>0</x:v>
      </x:c>
      <x:c r="AV495" s="23" t="n">
        <x:f>MAX(0,MIN('Activities'!L495,264)-MAX('Activities'!K495,258))</x:f>
        <x:v>0</x:v>
      </x:c>
      <x:c r="AW495" s="23" t="n">
        <x:f>MAX(0,MIN('Activities'!L495,270)-MAX('Activities'!K495,264))</x:f>
        <x:v>0</x:v>
      </x:c>
      <x:c r="AX495" s="23" t="n">
        <x:f>MAX(0,MIN('Activities'!L495,276)-MAX('Activities'!K495,270))</x:f>
        <x:v>0</x:v>
      </x:c>
      <x:c r="AY495" s="23" t="n">
        <x:f>MAX(0,MIN('Activities'!L495,282)-MAX('Activities'!K495,276))</x:f>
        <x:v>0</x:v>
      </x:c>
      <x:c r="AZ495" s="23" t="n">
        <x:f>MAX(0,MIN('Activities'!L495,288)-MAX('Activities'!K495,282))</x:f>
        <x:v>0</x:v>
      </x:c>
      <x:c r="BA495" s="23" t="n">
        <x:f>MAX(0,MIN('Activities'!L495,294)-MAX('Activities'!K495,288))</x:f>
        <x:v>0</x:v>
      </x:c>
      <x:c r="BB495" s="23" t="n">
        <x:f>MAX(0,MIN('Activities'!L495,300)-MAX('Activities'!K495,294))</x:f>
        <x:v>0</x:v>
      </x:c>
      <x:c r="BC495" s="23" t="n">
        <x:f>MAX(0,MIN('Activities'!L495,306)-MAX('Activities'!K495,300))</x:f>
        <x:v>0</x:v>
      </x:c>
      <x:c r="BD495" s="23" t="n">
        <x:f>MAX(0,MIN('Activities'!L495,312)-MAX('Activities'!K495,306))</x:f>
        <x:v>0</x:v>
      </x:c>
      <x:c r="BE495" s="23" t="n">
        <x:f>MAX(0,MIN('Activities'!L495,318)-MAX('Activities'!K495,312))</x:f>
        <x:v>0</x:v>
      </x:c>
      <x:c r="BF495" s="23" t="n">
        <x:f>MAX(0,MIN('Activities'!L495,324)-MAX('Activities'!K495,318))</x:f>
        <x:v>0</x:v>
      </x:c>
      <x:c r="BG495" s="23" t="n">
        <x:f>MAX(0,MIN('Activities'!L495,330)-MAX('Activities'!K495,324))</x:f>
        <x:v>3</x:v>
      </x:c>
      <x:c r="BH495" s="23" t="n">
        <x:f>MAX(0,MIN('Activities'!L495,336)-MAX('Activities'!K495,330))</x:f>
        <x:v>3</x:v>
      </x:c>
      <x:c r="BI495" s="23" t="n">
        <x:f>MAX(0,MIN('Activities'!L495,342)-MAX('Activities'!K495,336))</x:f>
        <x:v>0</x:v>
      </x:c>
      <x:c r="BJ495" s="23" t="n">
        <x:f>MAX(0,MIN('Activities'!L495,348)-MAX('Activities'!K495,342))</x:f>
        <x:v>0</x:v>
      </x:c>
      <x:c r="BK495" s="23" t="n">
        <x:f>MAX(0,MIN('Activities'!L495,354)-MAX('Activities'!K495,348))</x:f>
        <x:v>0</x:v>
      </x:c>
      <x:c r="BL495" s="23" t="n">
        <x:f>MAX(0,MIN('Activities'!L495,360)-MAX('Activities'!K495,354))</x:f>
        <x:v>0</x:v>
      </x:c>
      <x:c r="BM495" s="23" t="n">
        <x:f>MAX(0,MIN('Activities'!L495,366)-MAX('Activities'!K495,360))</x:f>
        <x:v>0</x:v>
      </x:c>
      <x:c r="BN495" s="23" t="n">
        <x:f>MAX(0,MIN('Activities'!L495,372)-MAX('Activities'!K495,366))</x:f>
        <x:v>0</x:v>
      </x:c>
      <x:c r="BO495" s="23" t="n">
        <x:f>MAX(0,MIN('Activities'!L495,378)-MAX('Activities'!K495,372))</x:f>
        <x:v>0</x:v>
      </x:c>
      <x:c r="BP495" s="23" t="n">
        <x:f>MAX(0,MIN('Activities'!L495,384)-MAX('Activities'!K495,378))</x:f>
        <x:v>0</x:v>
      </x:c>
      <x:c r="BQ495" s="23" t="n">
        <x:f>MAX(0,MIN('Activities'!L495,390)-MAX('Activities'!K495,384))</x:f>
        <x:v>0</x:v>
      </x:c>
      <x:c r="BR495" s="23" t="n">
        <x:f>MAX(0,MIN('Activities'!L495,396)-MAX('Activities'!K495,390))</x:f>
        <x:v>0</x:v>
      </x:c>
      <x:c r="BS495" s="23" t="n">
        <x:f>MAX(0,MIN('Activities'!L495,402)-MAX('Activities'!K495,396))</x:f>
        <x:v>0</x:v>
      </x:c>
      <x:c r="BT495" s="23" t="n">
        <x:f>MAX(0,MIN('Activities'!L495,408)-MAX('Activities'!K495,402))</x:f>
        <x:v>0</x:v>
      </x:c>
      <x:c r="BU495" s="23" t="n">
        <x:f>MAX(0,MIN('Activities'!L495,414)-MAX('Activities'!K495,408))</x:f>
        <x:v>0</x:v>
      </x:c>
      <x:c r="BV495" s="23" t="n">
        <x:f>MAX(0,MIN('Activities'!L495,420)-MAX('Activities'!K495,414))</x:f>
        <x:v>0</x:v>
      </x:c>
      <x:c r="BW495" s="23" t="n">
        <x:f>MAX(0,MIN('Activities'!L495,426)-MAX('Activities'!K495,420))</x:f>
        <x:v>0</x:v>
      </x:c>
      <x:c r="BX495" s="23" t="n">
        <x:f>MAX(0,MIN('Activities'!L495,432)-MAX('Activities'!K495,426))</x:f>
        <x:v>0</x:v>
      </x:c>
      <x:c r="BY495" s="23" t="n">
        <x:f>MAX(0,MIN('Activities'!L495,438)-MAX('Activities'!K495,432))</x:f>
        <x:v>0</x:v>
      </x:c>
      <x:c r="BZ495" s="23" t="n">
        <x:f>MAX(0,MIN('Activities'!L495,444)-MAX('Activities'!K495,438))</x:f>
        <x:v>0</x:v>
      </x:c>
      <x:c r="CA495" s="23" t="n">
        <x:f>MAX(0,MIN('Activities'!L495,450)-MAX('Activities'!K495,444))</x:f>
        <x:v>0</x:v>
      </x:c>
      <x:c r="CB495" s="23" t="n">
        <x:f>MAX(0,MIN('Activities'!L495,456)-MAX('Activities'!K495,450))</x:f>
        <x:v>0</x:v>
      </x:c>
      <x:c r="CC495" s="23" t="n">
        <x:f>MAX(0,MIN('Activities'!L495,462)-MAX('Activities'!K495,456))</x:f>
        <x:v>0</x:v>
      </x:c>
      <x:c r="CD495" s="23" t="n">
        <x:f>MAX(0,MIN('Activities'!L495,468)-MAX('Activities'!K495,462))</x:f>
        <x:v>0</x:v>
      </x:c>
      <x:c r="CE495" s="23" t="n">
        <x:f>MAX(0,MIN('Activities'!L495,474)-MAX('Activities'!K495,468))</x:f>
        <x:v>0</x:v>
      </x:c>
      <x:c r="CF495" s="23" t="n">
        <x:f>MAX(0,MIN('Activities'!L495,480)-MAX('Activities'!K495,474))</x:f>
        <x:v>0</x:v>
      </x:c>
      <x:c r="CG495" s="23" t="n">
        <x:f>MAX(0,MIN('Activities'!L495,486)-MAX('Activities'!K495,480))</x:f>
        <x:v>0</x:v>
      </x:c>
      <x:c r="CH495" s="23" t="n">
        <x:f>MAX(0,MIN('Activities'!L495,492)-MAX('Activities'!K495,486))</x:f>
        <x:v>0</x:v>
      </x:c>
      <x:c r="CI495" s="23" t="n">
        <x:f>MAX(0,MIN('Activities'!L495,498)-MAX('Activities'!K495,492))</x:f>
        <x:v>0</x:v>
      </x:c>
      <x:c r="CJ495" s="23" t="n">
        <x:f>MAX(0,MIN('Activities'!L495,504)-MAX('Activities'!K495,498))</x:f>
        <x:v>0</x:v>
      </x:c>
      <x:c r="CK495" s="23" t="n">
        <x:f>MAX(0,MIN('Activities'!L495,510)-MAX('Activities'!K495,504))</x:f>
        <x:v>0</x:v>
      </x:c>
      <x:c r="CL495" s="23" t="n">
        <x:f>MAX(0,MIN('Activities'!L495,516)-MAX('Activities'!K495,510))</x:f>
        <x:v>0</x:v>
      </x:c>
      <x:c r="CM495" s="23" t="n">
        <x:f>MAX(0,MIN('Activities'!L495,522)-MAX('Activities'!K495,516))</x:f>
        <x:v>0</x:v>
      </x:c>
      <x:c r="CN495" s="23" t="n">
        <x:f>MAX(0,MIN('Activities'!L495,528)-MAX('Activities'!K495,522))</x:f>
        <x:v>0</x:v>
      </x:c>
      <x:c r="CO495" s="23" t="n">
        <x:f>MAX(0,MIN('Activities'!L495,534)-MAX('Activities'!K495,528))</x:f>
        <x:v>0</x:v>
      </x:c>
      <x:c r="CP495" s="23" t="n">
        <x:f>MAX(0,MIN('Activities'!L495,540)-MAX('Activities'!K495,534))</x:f>
        <x:v>0</x:v>
      </x:c>
      <x:c r="CQ495" s="23" t="n">
        <x:f>MAX(0,MIN('Activities'!L495,546)-MAX('Activities'!K495,540))</x:f>
        <x:v>0</x:v>
      </x:c>
      <x:c r="CR495" s="23" t="n">
        <x:f>MAX(0,MIN('Activities'!L495,552)-MAX('Activities'!K495,546))</x:f>
        <x:v>0</x:v>
      </x:c>
      <x:c r="CS495" s="23" t="n">
        <x:f>MAX(0,MIN('Activities'!L495,558)-MAX('Activities'!K495,552))</x:f>
        <x:v>0</x:v>
      </x:c>
      <x:c r="CT495" s="23" t="n">
        <x:f>MAX(0,MIN('Activities'!L495,564)-MAX('Activities'!K495,558))</x:f>
        <x:v>0</x:v>
      </x:c>
      <x:c r="CU495" s="23" t="n">
        <x:f>MAX(0,MIN('Activities'!L495,570)-MAX('Activities'!K495,564))</x:f>
        <x:v>0</x:v>
      </x:c>
      <x:c r="CV495" s="23" t="n">
        <x:f>MAX(0,MIN('Activities'!L495,576)-MAX('Activities'!K495,570))</x:f>
        <x:v>0</x:v>
      </x:c>
      <x:c r="CW495" s="23" t="n">
        <x:f>MAX(0,MIN('Activities'!L495,582)-MAX('Activities'!K495,576))</x:f>
        <x:v>0</x:v>
      </x:c>
      <x:c r="CX495" s="23" t="n">
        <x:f>MAX(0,MIN('Activities'!L495,588)-MAX('Activities'!K495,582))</x:f>
        <x:v>0</x:v>
      </x:c>
      <x:c r="CY495" s="23" t="n">
        <x:f>MAX(0,MIN('Activities'!L495,594)-MAX('Activities'!K495,588))</x:f>
        <x:v>0</x:v>
      </x:c>
      <x:c r="CZ495" s="23" t="n">
        <x:f>MAX(0,MIN('Activities'!L495,600)-MAX('Activities'!K495,594))</x:f>
        <x:v>0</x:v>
      </x:c>
      <x:c r="DA495" s="23" t="n">
        <x:f>MAX(0,MIN('Activities'!L495,606)-MAX('Activities'!K495,600))</x:f>
        <x:v>0</x:v>
      </x:c>
      <x:c r="DB495" s="23" t="n">
        <x:f>MAX(0,MIN('Activities'!L495,612)-MAX('Activities'!K495,606))</x:f>
        <x:v>0</x:v>
      </x:c>
      <x:c r="DC495" s="23" t="n">
        <x:f>MAX(0,MIN('Activities'!L495,618)-MAX('Activities'!K495,612))</x:f>
        <x:v>0</x:v>
      </x:c>
      <x:c r="DD495" s="23" t="n">
        <x:f>MAX(0,MIN('Activities'!L495,624)-MAX('Activities'!K495,618))</x:f>
        <x:v>0</x:v>
      </x:c>
      <x:c r="DE495" s="23" t="n">
        <x:f>MAX(0,MIN('Activities'!L495,630)-MAX('Activities'!K495,624))</x:f>
        <x:v>0</x:v>
      </x:c>
      <x:c r="DF495" s="23" t="n">
        <x:f>MAX(0,MIN('Activities'!L495,636)-MAX('Activities'!K495,630))</x:f>
        <x:v>0</x:v>
      </x:c>
    </x:row>
    <x:row r="496" ht="23" customHeight="1">
      <x:c r="A496" s="6" t="str">
        <x:v>T4-L04-S</x:v>
      </x:c>
      <x:c r="B496" s="6" t="str">
        <x:v>T4</x:v>
      </x:c>
      <x:c r="C496" s="6" t="str">
        <x:v>Screed and substrate preparation</x:v>
      </x:c>
      <x:c r="D496" s="6" t="str">
        <x:v>Finishes</x:v>
      </x:c>
      <x:c r="E496" s="22" t="n">
        <x:f>MAX(0,MIN('Activities'!L496,6)-MAX('Activities'!K496,0))</x:f>
        <x:v>0</x:v>
      </x:c>
      <x:c r="F496" s="22" t="n">
        <x:f>MAX(0,MIN('Activities'!L496,12)-MAX('Activities'!K496,6))</x:f>
        <x:v>0</x:v>
      </x:c>
      <x:c r="G496" s="22" t="n">
        <x:f>MAX(0,MIN('Activities'!L496,18)-MAX('Activities'!K496,12))</x:f>
        <x:v>0</x:v>
      </x:c>
      <x:c r="H496" s="22" t="n">
        <x:f>MAX(0,MIN('Activities'!L496,24)-MAX('Activities'!K496,18))</x:f>
        <x:v>0</x:v>
      </x:c>
      <x:c r="I496" s="22" t="n">
        <x:f>MAX(0,MIN('Activities'!L496,30)-MAX('Activities'!K496,24))</x:f>
        <x:v>0</x:v>
      </x:c>
      <x:c r="J496" s="22" t="n">
        <x:f>MAX(0,MIN('Activities'!L496,36)-MAX('Activities'!K496,30))</x:f>
        <x:v>0</x:v>
      </x:c>
      <x:c r="K496" s="22" t="n">
        <x:f>MAX(0,MIN('Activities'!L496,42)-MAX('Activities'!K496,36))</x:f>
        <x:v>0</x:v>
      </x:c>
      <x:c r="L496" s="22" t="n">
        <x:f>MAX(0,MIN('Activities'!L496,48)-MAX('Activities'!K496,42))</x:f>
        <x:v>0</x:v>
      </x:c>
      <x:c r="M496" s="22" t="n">
        <x:f>MAX(0,MIN('Activities'!L496,54)-MAX('Activities'!K496,48))</x:f>
        <x:v>0</x:v>
      </x:c>
      <x:c r="N496" s="22" t="n">
        <x:f>MAX(0,MIN('Activities'!L496,60)-MAX('Activities'!K496,54))</x:f>
        <x:v>0</x:v>
      </x:c>
      <x:c r="O496" s="22" t="n">
        <x:f>MAX(0,MIN('Activities'!L496,66)-MAX('Activities'!K496,60))</x:f>
        <x:v>0</x:v>
      </x:c>
      <x:c r="P496" s="22" t="n">
        <x:f>MAX(0,MIN('Activities'!L496,72)-MAX('Activities'!K496,66))</x:f>
        <x:v>0</x:v>
      </x:c>
      <x:c r="Q496" s="22" t="n">
        <x:f>MAX(0,MIN('Activities'!L496,78)-MAX('Activities'!K496,72))</x:f>
        <x:v>0</x:v>
      </x:c>
      <x:c r="R496" s="22" t="n">
        <x:f>MAX(0,MIN('Activities'!L496,84)-MAX('Activities'!K496,78))</x:f>
        <x:v>0</x:v>
      </x:c>
      <x:c r="S496" s="22" t="n">
        <x:f>MAX(0,MIN('Activities'!L496,90)-MAX('Activities'!K496,84))</x:f>
        <x:v>0</x:v>
      </x:c>
      <x:c r="T496" s="22" t="n">
        <x:f>MAX(0,MIN('Activities'!L496,96)-MAX('Activities'!K496,90))</x:f>
        <x:v>0</x:v>
      </x:c>
      <x:c r="U496" s="22" t="n">
        <x:f>MAX(0,MIN('Activities'!L496,102)-MAX('Activities'!K496,96))</x:f>
        <x:v>0</x:v>
      </x:c>
      <x:c r="V496" s="22" t="n">
        <x:f>MAX(0,MIN('Activities'!L496,108)-MAX('Activities'!K496,102))</x:f>
        <x:v>0</x:v>
      </x:c>
      <x:c r="W496" s="22" t="n">
        <x:f>MAX(0,MIN('Activities'!L496,114)-MAX('Activities'!K496,108))</x:f>
        <x:v>0</x:v>
      </x:c>
      <x:c r="X496" s="22" t="n">
        <x:f>MAX(0,MIN('Activities'!L496,120)-MAX('Activities'!K496,114))</x:f>
        <x:v>0</x:v>
      </x:c>
      <x:c r="Y496" s="22" t="n">
        <x:f>MAX(0,MIN('Activities'!L496,126)-MAX('Activities'!K496,120))</x:f>
        <x:v>0</x:v>
      </x:c>
      <x:c r="Z496" s="22" t="n">
        <x:f>MAX(0,MIN('Activities'!L496,132)-MAX('Activities'!K496,126))</x:f>
        <x:v>0</x:v>
      </x:c>
      <x:c r="AA496" s="22" t="n">
        <x:f>MAX(0,MIN('Activities'!L496,138)-MAX('Activities'!K496,132))</x:f>
        <x:v>0</x:v>
      </x:c>
      <x:c r="AB496" s="22" t="n">
        <x:f>MAX(0,MIN('Activities'!L496,144)-MAX('Activities'!K496,138))</x:f>
        <x:v>0</x:v>
      </x:c>
      <x:c r="AC496" s="22" t="n">
        <x:f>MAX(0,MIN('Activities'!L496,150)-MAX('Activities'!K496,144))</x:f>
        <x:v>0</x:v>
      </x:c>
      <x:c r="AD496" s="22" t="n">
        <x:f>MAX(0,MIN('Activities'!L496,156)-MAX('Activities'!K496,150))</x:f>
        <x:v>0</x:v>
      </x:c>
      <x:c r="AE496" s="22" t="n">
        <x:f>MAX(0,MIN('Activities'!L496,162)-MAX('Activities'!K496,156))</x:f>
        <x:v>0</x:v>
      </x:c>
      <x:c r="AF496" s="22" t="n">
        <x:f>MAX(0,MIN('Activities'!L496,168)-MAX('Activities'!K496,162))</x:f>
        <x:v>0</x:v>
      </x:c>
      <x:c r="AG496" s="22" t="n">
        <x:f>MAX(0,MIN('Activities'!L496,174)-MAX('Activities'!K496,168))</x:f>
        <x:v>0</x:v>
      </x:c>
      <x:c r="AH496" s="22" t="n">
        <x:f>MAX(0,MIN('Activities'!L496,180)-MAX('Activities'!K496,174))</x:f>
        <x:v>0</x:v>
      </x:c>
      <x:c r="AI496" s="22" t="n">
        <x:f>MAX(0,MIN('Activities'!L496,186)-MAX('Activities'!K496,180))</x:f>
        <x:v>0</x:v>
      </x:c>
      <x:c r="AJ496" s="22" t="n">
        <x:f>MAX(0,MIN('Activities'!L496,192)-MAX('Activities'!K496,186))</x:f>
        <x:v>0</x:v>
      </x:c>
      <x:c r="AK496" s="22" t="n">
        <x:f>MAX(0,MIN('Activities'!L496,198)-MAX('Activities'!K496,192))</x:f>
        <x:v>0</x:v>
      </x:c>
      <x:c r="AL496" s="22" t="n">
        <x:f>MAX(0,MIN('Activities'!L496,204)-MAX('Activities'!K496,198))</x:f>
        <x:v>0</x:v>
      </x:c>
      <x:c r="AM496" s="22" t="n">
        <x:f>MAX(0,MIN('Activities'!L496,210)-MAX('Activities'!K496,204))</x:f>
        <x:v>0</x:v>
      </x:c>
      <x:c r="AN496" s="22" t="n">
        <x:f>MAX(0,MIN('Activities'!L496,216)-MAX('Activities'!K496,210))</x:f>
        <x:v>0</x:v>
      </x:c>
      <x:c r="AO496" s="22" t="n">
        <x:f>MAX(0,MIN('Activities'!L496,222)-MAX('Activities'!K496,216))</x:f>
        <x:v>0</x:v>
      </x:c>
      <x:c r="AP496" s="22" t="n">
        <x:f>MAX(0,MIN('Activities'!L496,228)-MAX('Activities'!K496,222))</x:f>
        <x:v>0</x:v>
      </x:c>
      <x:c r="AQ496" s="22" t="n">
        <x:f>MAX(0,MIN('Activities'!L496,234)-MAX('Activities'!K496,228))</x:f>
        <x:v>0</x:v>
      </x:c>
      <x:c r="AR496" s="22" t="n">
        <x:f>MAX(0,MIN('Activities'!L496,240)-MAX('Activities'!K496,234))</x:f>
        <x:v>0</x:v>
      </x:c>
      <x:c r="AS496" s="22" t="n">
        <x:f>MAX(0,MIN('Activities'!L496,246)-MAX('Activities'!K496,240))</x:f>
        <x:v>0</x:v>
      </x:c>
      <x:c r="AT496" s="22" t="n">
        <x:f>MAX(0,MIN('Activities'!L496,252)-MAX('Activities'!K496,246))</x:f>
        <x:v>0</x:v>
      </x:c>
      <x:c r="AU496" s="22" t="n">
        <x:f>MAX(0,MIN('Activities'!L496,258)-MAX('Activities'!K496,252))</x:f>
        <x:v>0</x:v>
      </x:c>
      <x:c r="AV496" s="22" t="n">
        <x:f>MAX(0,MIN('Activities'!L496,264)-MAX('Activities'!K496,258))</x:f>
        <x:v>0</x:v>
      </x:c>
      <x:c r="AW496" s="22" t="n">
        <x:f>MAX(0,MIN('Activities'!L496,270)-MAX('Activities'!K496,264))</x:f>
        <x:v>0</x:v>
      </x:c>
      <x:c r="AX496" s="22" t="n">
        <x:f>MAX(0,MIN('Activities'!L496,276)-MAX('Activities'!K496,270))</x:f>
        <x:v>0</x:v>
      </x:c>
      <x:c r="AY496" s="22" t="n">
        <x:f>MAX(0,MIN('Activities'!L496,282)-MAX('Activities'!K496,276))</x:f>
        <x:v>0</x:v>
      </x:c>
      <x:c r="AZ496" s="22" t="n">
        <x:f>MAX(0,MIN('Activities'!L496,288)-MAX('Activities'!K496,282))</x:f>
        <x:v>0</x:v>
      </x:c>
      <x:c r="BA496" s="22" t="n">
        <x:f>MAX(0,MIN('Activities'!L496,294)-MAX('Activities'!K496,288))</x:f>
        <x:v>0</x:v>
      </x:c>
      <x:c r="BB496" s="22" t="n">
        <x:f>MAX(0,MIN('Activities'!L496,300)-MAX('Activities'!K496,294))</x:f>
        <x:v>0</x:v>
      </x:c>
      <x:c r="BC496" s="22" t="n">
        <x:f>MAX(0,MIN('Activities'!L496,306)-MAX('Activities'!K496,300))</x:f>
        <x:v>0</x:v>
      </x:c>
      <x:c r="BD496" s="22" t="n">
        <x:f>MAX(0,MIN('Activities'!L496,312)-MAX('Activities'!K496,306))</x:f>
        <x:v>0</x:v>
      </x:c>
      <x:c r="BE496" s="22" t="n">
        <x:f>MAX(0,MIN('Activities'!L496,318)-MAX('Activities'!K496,312))</x:f>
        <x:v>0</x:v>
      </x:c>
      <x:c r="BF496" s="22" t="n">
        <x:f>MAX(0,MIN('Activities'!L496,324)-MAX('Activities'!K496,318))</x:f>
        <x:v>0</x:v>
      </x:c>
      <x:c r="BG496" s="22" t="n">
        <x:f>MAX(0,MIN('Activities'!L496,330)-MAX('Activities'!K496,324))</x:f>
        <x:v>0</x:v>
      </x:c>
      <x:c r="BH496" s="22" t="n">
        <x:f>MAX(0,MIN('Activities'!L496,336)-MAX('Activities'!K496,330))</x:f>
        <x:v>1</x:v>
      </x:c>
      <x:c r="BI496" s="22" t="n">
        <x:f>MAX(0,MIN('Activities'!L496,342)-MAX('Activities'!K496,336))</x:f>
        <x:v>2</x:v>
      </x:c>
      <x:c r="BJ496" s="22" t="n">
        <x:f>MAX(0,MIN('Activities'!L496,348)-MAX('Activities'!K496,342))</x:f>
        <x:v>0</x:v>
      </x:c>
      <x:c r="BK496" s="22" t="n">
        <x:f>MAX(0,MIN('Activities'!L496,354)-MAX('Activities'!K496,348))</x:f>
        <x:v>0</x:v>
      </x:c>
      <x:c r="BL496" s="22" t="n">
        <x:f>MAX(0,MIN('Activities'!L496,360)-MAX('Activities'!K496,354))</x:f>
        <x:v>0</x:v>
      </x:c>
      <x:c r="BM496" s="22" t="n">
        <x:f>MAX(0,MIN('Activities'!L496,366)-MAX('Activities'!K496,360))</x:f>
        <x:v>0</x:v>
      </x:c>
      <x:c r="BN496" s="22" t="n">
        <x:f>MAX(0,MIN('Activities'!L496,372)-MAX('Activities'!K496,366))</x:f>
        <x:v>0</x:v>
      </x:c>
      <x:c r="BO496" s="22" t="n">
        <x:f>MAX(0,MIN('Activities'!L496,378)-MAX('Activities'!K496,372))</x:f>
        <x:v>0</x:v>
      </x:c>
      <x:c r="BP496" s="22" t="n">
        <x:f>MAX(0,MIN('Activities'!L496,384)-MAX('Activities'!K496,378))</x:f>
        <x:v>0</x:v>
      </x:c>
      <x:c r="BQ496" s="22" t="n">
        <x:f>MAX(0,MIN('Activities'!L496,390)-MAX('Activities'!K496,384))</x:f>
        <x:v>0</x:v>
      </x:c>
      <x:c r="BR496" s="22" t="n">
        <x:f>MAX(0,MIN('Activities'!L496,396)-MAX('Activities'!K496,390))</x:f>
        <x:v>0</x:v>
      </x:c>
      <x:c r="BS496" s="22" t="n">
        <x:f>MAX(0,MIN('Activities'!L496,402)-MAX('Activities'!K496,396))</x:f>
        <x:v>0</x:v>
      </x:c>
      <x:c r="BT496" s="22" t="n">
        <x:f>MAX(0,MIN('Activities'!L496,408)-MAX('Activities'!K496,402))</x:f>
        <x:v>0</x:v>
      </x:c>
      <x:c r="BU496" s="22" t="n">
        <x:f>MAX(0,MIN('Activities'!L496,414)-MAX('Activities'!K496,408))</x:f>
        <x:v>0</x:v>
      </x:c>
      <x:c r="BV496" s="22" t="n">
        <x:f>MAX(0,MIN('Activities'!L496,420)-MAX('Activities'!K496,414))</x:f>
        <x:v>0</x:v>
      </x:c>
      <x:c r="BW496" s="22" t="n">
        <x:f>MAX(0,MIN('Activities'!L496,426)-MAX('Activities'!K496,420))</x:f>
        <x:v>0</x:v>
      </x:c>
      <x:c r="BX496" s="22" t="n">
        <x:f>MAX(0,MIN('Activities'!L496,432)-MAX('Activities'!K496,426))</x:f>
        <x:v>0</x:v>
      </x:c>
      <x:c r="BY496" s="22" t="n">
        <x:f>MAX(0,MIN('Activities'!L496,438)-MAX('Activities'!K496,432))</x:f>
        <x:v>0</x:v>
      </x:c>
      <x:c r="BZ496" s="22" t="n">
        <x:f>MAX(0,MIN('Activities'!L496,444)-MAX('Activities'!K496,438))</x:f>
        <x:v>0</x:v>
      </x:c>
      <x:c r="CA496" s="22" t="n">
        <x:f>MAX(0,MIN('Activities'!L496,450)-MAX('Activities'!K496,444))</x:f>
        <x:v>0</x:v>
      </x:c>
      <x:c r="CB496" s="22" t="n">
        <x:f>MAX(0,MIN('Activities'!L496,456)-MAX('Activities'!K496,450))</x:f>
        <x:v>0</x:v>
      </x:c>
      <x:c r="CC496" s="22" t="n">
        <x:f>MAX(0,MIN('Activities'!L496,462)-MAX('Activities'!K496,456))</x:f>
        <x:v>0</x:v>
      </x:c>
      <x:c r="CD496" s="22" t="n">
        <x:f>MAX(0,MIN('Activities'!L496,468)-MAX('Activities'!K496,462))</x:f>
        <x:v>0</x:v>
      </x:c>
      <x:c r="CE496" s="22" t="n">
        <x:f>MAX(0,MIN('Activities'!L496,474)-MAX('Activities'!K496,468))</x:f>
        <x:v>0</x:v>
      </x:c>
      <x:c r="CF496" s="22" t="n">
        <x:f>MAX(0,MIN('Activities'!L496,480)-MAX('Activities'!K496,474))</x:f>
        <x:v>0</x:v>
      </x:c>
      <x:c r="CG496" s="22" t="n">
        <x:f>MAX(0,MIN('Activities'!L496,486)-MAX('Activities'!K496,480))</x:f>
        <x:v>0</x:v>
      </x:c>
      <x:c r="CH496" s="22" t="n">
        <x:f>MAX(0,MIN('Activities'!L496,492)-MAX('Activities'!K496,486))</x:f>
        <x:v>0</x:v>
      </x:c>
      <x:c r="CI496" s="22" t="n">
        <x:f>MAX(0,MIN('Activities'!L496,498)-MAX('Activities'!K496,492))</x:f>
        <x:v>0</x:v>
      </x:c>
      <x:c r="CJ496" s="22" t="n">
        <x:f>MAX(0,MIN('Activities'!L496,504)-MAX('Activities'!K496,498))</x:f>
        <x:v>0</x:v>
      </x:c>
      <x:c r="CK496" s="22" t="n">
        <x:f>MAX(0,MIN('Activities'!L496,510)-MAX('Activities'!K496,504))</x:f>
        <x:v>0</x:v>
      </x:c>
      <x:c r="CL496" s="22" t="n">
        <x:f>MAX(0,MIN('Activities'!L496,516)-MAX('Activities'!K496,510))</x:f>
        <x:v>0</x:v>
      </x:c>
      <x:c r="CM496" s="22" t="n">
        <x:f>MAX(0,MIN('Activities'!L496,522)-MAX('Activities'!K496,516))</x:f>
        <x:v>0</x:v>
      </x:c>
      <x:c r="CN496" s="22" t="n">
        <x:f>MAX(0,MIN('Activities'!L496,528)-MAX('Activities'!K496,522))</x:f>
        <x:v>0</x:v>
      </x:c>
      <x:c r="CO496" s="22" t="n">
        <x:f>MAX(0,MIN('Activities'!L496,534)-MAX('Activities'!K496,528))</x:f>
        <x:v>0</x:v>
      </x:c>
      <x:c r="CP496" s="22" t="n">
        <x:f>MAX(0,MIN('Activities'!L496,540)-MAX('Activities'!K496,534))</x:f>
        <x:v>0</x:v>
      </x:c>
      <x:c r="CQ496" s="22" t="n">
        <x:f>MAX(0,MIN('Activities'!L496,546)-MAX('Activities'!K496,540))</x:f>
        <x:v>0</x:v>
      </x:c>
      <x:c r="CR496" s="22" t="n">
        <x:f>MAX(0,MIN('Activities'!L496,552)-MAX('Activities'!K496,546))</x:f>
        <x:v>0</x:v>
      </x:c>
      <x:c r="CS496" s="22" t="n">
        <x:f>MAX(0,MIN('Activities'!L496,558)-MAX('Activities'!K496,552))</x:f>
        <x:v>0</x:v>
      </x:c>
      <x:c r="CT496" s="22" t="n">
        <x:f>MAX(0,MIN('Activities'!L496,564)-MAX('Activities'!K496,558))</x:f>
        <x:v>0</x:v>
      </x:c>
      <x:c r="CU496" s="22" t="n">
        <x:f>MAX(0,MIN('Activities'!L496,570)-MAX('Activities'!K496,564))</x:f>
        <x:v>0</x:v>
      </x:c>
      <x:c r="CV496" s="22" t="n">
        <x:f>MAX(0,MIN('Activities'!L496,576)-MAX('Activities'!K496,570))</x:f>
        <x:v>0</x:v>
      </x:c>
      <x:c r="CW496" s="22" t="n">
        <x:f>MAX(0,MIN('Activities'!L496,582)-MAX('Activities'!K496,576))</x:f>
        <x:v>0</x:v>
      </x:c>
      <x:c r="CX496" s="22" t="n">
        <x:f>MAX(0,MIN('Activities'!L496,588)-MAX('Activities'!K496,582))</x:f>
        <x:v>0</x:v>
      </x:c>
      <x:c r="CY496" s="22" t="n">
        <x:f>MAX(0,MIN('Activities'!L496,594)-MAX('Activities'!K496,588))</x:f>
        <x:v>0</x:v>
      </x:c>
      <x:c r="CZ496" s="22" t="n">
        <x:f>MAX(0,MIN('Activities'!L496,600)-MAX('Activities'!K496,594))</x:f>
        <x:v>0</x:v>
      </x:c>
      <x:c r="DA496" s="22" t="n">
        <x:f>MAX(0,MIN('Activities'!L496,606)-MAX('Activities'!K496,600))</x:f>
        <x:v>0</x:v>
      </x:c>
      <x:c r="DB496" s="22" t="n">
        <x:f>MAX(0,MIN('Activities'!L496,612)-MAX('Activities'!K496,606))</x:f>
        <x:v>0</x:v>
      </x:c>
      <x:c r="DC496" s="22" t="n">
        <x:f>MAX(0,MIN('Activities'!L496,618)-MAX('Activities'!K496,612))</x:f>
        <x:v>0</x:v>
      </x:c>
      <x:c r="DD496" s="22" t="n">
        <x:f>MAX(0,MIN('Activities'!L496,624)-MAX('Activities'!K496,618))</x:f>
        <x:v>0</x:v>
      </x:c>
      <x:c r="DE496" s="22" t="n">
        <x:f>MAX(0,MIN('Activities'!L496,630)-MAX('Activities'!K496,624))</x:f>
        <x:v>0</x:v>
      </x:c>
      <x:c r="DF496" s="22" t="n">
        <x:f>MAX(0,MIN('Activities'!L496,636)-MAX('Activities'!K496,630))</x:f>
        <x:v>0</x:v>
      </x:c>
    </x:row>
    <x:row r="497" ht="23" customHeight="1">
      <x:c r="A497" s="1" t="str">
        <x:v>T4-L04-T</x:v>
      </x:c>
      <x:c r="B497" s="1" t="str">
        <x:v>T4</x:v>
      </x:c>
      <x:c r="C497" s="1" t="str">
        <x:v>Floor finishes and skirtings</x:v>
      </x:c>
      <x:c r="D497" s="1" t="str">
        <x:v>Finishes</x:v>
      </x:c>
      <x:c r="E497" s="23" t="n">
        <x:f>MAX(0,MIN('Activities'!L497,6)-MAX('Activities'!K497,0))</x:f>
        <x:v>0</x:v>
      </x:c>
      <x:c r="F497" s="23" t="n">
        <x:f>MAX(0,MIN('Activities'!L497,12)-MAX('Activities'!K497,6))</x:f>
        <x:v>0</x:v>
      </x:c>
      <x:c r="G497" s="23" t="n">
        <x:f>MAX(0,MIN('Activities'!L497,18)-MAX('Activities'!K497,12))</x:f>
        <x:v>0</x:v>
      </x:c>
      <x:c r="H497" s="23" t="n">
        <x:f>MAX(0,MIN('Activities'!L497,24)-MAX('Activities'!K497,18))</x:f>
        <x:v>0</x:v>
      </x:c>
      <x:c r="I497" s="23" t="n">
        <x:f>MAX(0,MIN('Activities'!L497,30)-MAX('Activities'!K497,24))</x:f>
        <x:v>0</x:v>
      </x:c>
      <x:c r="J497" s="23" t="n">
        <x:f>MAX(0,MIN('Activities'!L497,36)-MAX('Activities'!K497,30))</x:f>
        <x:v>0</x:v>
      </x:c>
      <x:c r="K497" s="23" t="n">
        <x:f>MAX(0,MIN('Activities'!L497,42)-MAX('Activities'!K497,36))</x:f>
        <x:v>0</x:v>
      </x:c>
      <x:c r="L497" s="23" t="n">
        <x:f>MAX(0,MIN('Activities'!L497,48)-MAX('Activities'!K497,42))</x:f>
        <x:v>0</x:v>
      </x:c>
      <x:c r="M497" s="23" t="n">
        <x:f>MAX(0,MIN('Activities'!L497,54)-MAX('Activities'!K497,48))</x:f>
        <x:v>0</x:v>
      </x:c>
      <x:c r="N497" s="23" t="n">
        <x:f>MAX(0,MIN('Activities'!L497,60)-MAX('Activities'!K497,54))</x:f>
        <x:v>0</x:v>
      </x:c>
      <x:c r="O497" s="23" t="n">
        <x:f>MAX(0,MIN('Activities'!L497,66)-MAX('Activities'!K497,60))</x:f>
        <x:v>0</x:v>
      </x:c>
      <x:c r="P497" s="23" t="n">
        <x:f>MAX(0,MIN('Activities'!L497,72)-MAX('Activities'!K497,66))</x:f>
        <x:v>0</x:v>
      </x:c>
      <x:c r="Q497" s="23" t="n">
        <x:f>MAX(0,MIN('Activities'!L497,78)-MAX('Activities'!K497,72))</x:f>
        <x:v>0</x:v>
      </x:c>
      <x:c r="R497" s="23" t="n">
        <x:f>MAX(0,MIN('Activities'!L497,84)-MAX('Activities'!K497,78))</x:f>
        <x:v>0</x:v>
      </x:c>
      <x:c r="S497" s="23" t="n">
        <x:f>MAX(0,MIN('Activities'!L497,90)-MAX('Activities'!K497,84))</x:f>
        <x:v>0</x:v>
      </x:c>
      <x:c r="T497" s="23" t="n">
        <x:f>MAX(0,MIN('Activities'!L497,96)-MAX('Activities'!K497,90))</x:f>
        <x:v>0</x:v>
      </x:c>
      <x:c r="U497" s="23" t="n">
        <x:f>MAX(0,MIN('Activities'!L497,102)-MAX('Activities'!K497,96))</x:f>
        <x:v>0</x:v>
      </x:c>
      <x:c r="V497" s="23" t="n">
        <x:f>MAX(0,MIN('Activities'!L497,108)-MAX('Activities'!K497,102))</x:f>
        <x:v>0</x:v>
      </x:c>
      <x:c r="W497" s="23" t="n">
        <x:f>MAX(0,MIN('Activities'!L497,114)-MAX('Activities'!K497,108))</x:f>
        <x:v>0</x:v>
      </x:c>
      <x:c r="X497" s="23" t="n">
        <x:f>MAX(0,MIN('Activities'!L497,120)-MAX('Activities'!K497,114))</x:f>
        <x:v>0</x:v>
      </x:c>
      <x:c r="Y497" s="23" t="n">
        <x:f>MAX(0,MIN('Activities'!L497,126)-MAX('Activities'!K497,120))</x:f>
        <x:v>0</x:v>
      </x:c>
      <x:c r="Z497" s="23" t="n">
        <x:f>MAX(0,MIN('Activities'!L497,132)-MAX('Activities'!K497,126))</x:f>
        <x:v>0</x:v>
      </x:c>
      <x:c r="AA497" s="23" t="n">
        <x:f>MAX(0,MIN('Activities'!L497,138)-MAX('Activities'!K497,132))</x:f>
        <x:v>0</x:v>
      </x:c>
      <x:c r="AB497" s="23" t="n">
        <x:f>MAX(0,MIN('Activities'!L497,144)-MAX('Activities'!K497,138))</x:f>
        <x:v>0</x:v>
      </x:c>
      <x:c r="AC497" s="23" t="n">
        <x:f>MAX(0,MIN('Activities'!L497,150)-MAX('Activities'!K497,144))</x:f>
        <x:v>0</x:v>
      </x:c>
      <x:c r="AD497" s="23" t="n">
        <x:f>MAX(0,MIN('Activities'!L497,156)-MAX('Activities'!K497,150))</x:f>
        <x:v>0</x:v>
      </x:c>
      <x:c r="AE497" s="23" t="n">
        <x:f>MAX(0,MIN('Activities'!L497,162)-MAX('Activities'!K497,156))</x:f>
        <x:v>0</x:v>
      </x:c>
      <x:c r="AF497" s="23" t="n">
        <x:f>MAX(0,MIN('Activities'!L497,168)-MAX('Activities'!K497,162))</x:f>
        <x:v>0</x:v>
      </x:c>
      <x:c r="AG497" s="23" t="n">
        <x:f>MAX(0,MIN('Activities'!L497,174)-MAX('Activities'!K497,168))</x:f>
        <x:v>0</x:v>
      </x:c>
      <x:c r="AH497" s="23" t="n">
        <x:f>MAX(0,MIN('Activities'!L497,180)-MAX('Activities'!K497,174))</x:f>
        <x:v>0</x:v>
      </x:c>
      <x:c r="AI497" s="23" t="n">
        <x:f>MAX(0,MIN('Activities'!L497,186)-MAX('Activities'!K497,180))</x:f>
        <x:v>0</x:v>
      </x:c>
      <x:c r="AJ497" s="23" t="n">
        <x:f>MAX(0,MIN('Activities'!L497,192)-MAX('Activities'!K497,186))</x:f>
        <x:v>0</x:v>
      </x:c>
      <x:c r="AK497" s="23" t="n">
        <x:f>MAX(0,MIN('Activities'!L497,198)-MAX('Activities'!K497,192))</x:f>
        <x:v>0</x:v>
      </x:c>
      <x:c r="AL497" s="23" t="n">
        <x:f>MAX(0,MIN('Activities'!L497,204)-MAX('Activities'!K497,198))</x:f>
        <x:v>0</x:v>
      </x:c>
      <x:c r="AM497" s="23" t="n">
        <x:f>MAX(0,MIN('Activities'!L497,210)-MAX('Activities'!K497,204))</x:f>
        <x:v>0</x:v>
      </x:c>
      <x:c r="AN497" s="23" t="n">
        <x:f>MAX(0,MIN('Activities'!L497,216)-MAX('Activities'!K497,210))</x:f>
        <x:v>0</x:v>
      </x:c>
      <x:c r="AO497" s="23" t="n">
        <x:f>MAX(0,MIN('Activities'!L497,222)-MAX('Activities'!K497,216))</x:f>
        <x:v>0</x:v>
      </x:c>
      <x:c r="AP497" s="23" t="n">
        <x:f>MAX(0,MIN('Activities'!L497,228)-MAX('Activities'!K497,222))</x:f>
        <x:v>0</x:v>
      </x:c>
      <x:c r="AQ497" s="23" t="n">
        <x:f>MAX(0,MIN('Activities'!L497,234)-MAX('Activities'!K497,228))</x:f>
        <x:v>0</x:v>
      </x:c>
      <x:c r="AR497" s="23" t="n">
        <x:f>MAX(0,MIN('Activities'!L497,240)-MAX('Activities'!K497,234))</x:f>
        <x:v>0</x:v>
      </x:c>
      <x:c r="AS497" s="23" t="n">
        <x:f>MAX(0,MIN('Activities'!L497,246)-MAX('Activities'!K497,240))</x:f>
        <x:v>0</x:v>
      </x:c>
      <x:c r="AT497" s="23" t="n">
        <x:f>MAX(0,MIN('Activities'!L497,252)-MAX('Activities'!K497,246))</x:f>
        <x:v>0</x:v>
      </x:c>
      <x:c r="AU497" s="23" t="n">
        <x:f>MAX(0,MIN('Activities'!L497,258)-MAX('Activities'!K497,252))</x:f>
        <x:v>0</x:v>
      </x:c>
      <x:c r="AV497" s="23" t="n">
        <x:f>MAX(0,MIN('Activities'!L497,264)-MAX('Activities'!K497,258))</x:f>
        <x:v>0</x:v>
      </x:c>
      <x:c r="AW497" s="23" t="n">
        <x:f>MAX(0,MIN('Activities'!L497,270)-MAX('Activities'!K497,264))</x:f>
        <x:v>0</x:v>
      </x:c>
      <x:c r="AX497" s="23" t="n">
        <x:f>MAX(0,MIN('Activities'!L497,276)-MAX('Activities'!K497,270))</x:f>
        <x:v>0</x:v>
      </x:c>
      <x:c r="AY497" s="23" t="n">
        <x:f>MAX(0,MIN('Activities'!L497,282)-MAX('Activities'!K497,276))</x:f>
        <x:v>0</x:v>
      </x:c>
      <x:c r="AZ497" s="23" t="n">
        <x:f>MAX(0,MIN('Activities'!L497,288)-MAX('Activities'!K497,282))</x:f>
        <x:v>0</x:v>
      </x:c>
      <x:c r="BA497" s="23" t="n">
        <x:f>MAX(0,MIN('Activities'!L497,294)-MAX('Activities'!K497,288))</x:f>
        <x:v>0</x:v>
      </x:c>
      <x:c r="BB497" s="23" t="n">
        <x:f>MAX(0,MIN('Activities'!L497,300)-MAX('Activities'!K497,294))</x:f>
        <x:v>0</x:v>
      </x:c>
      <x:c r="BC497" s="23" t="n">
        <x:f>MAX(0,MIN('Activities'!L497,306)-MAX('Activities'!K497,300))</x:f>
        <x:v>0</x:v>
      </x:c>
      <x:c r="BD497" s="23" t="n">
        <x:f>MAX(0,MIN('Activities'!L497,312)-MAX('Activities'!K497,306))</x:f>
        <x:v>0</x:v>
      </x:c>
      <x:c r="BE497" s="23" t="n">
        <x:f>MAX(0,MIN('Activities'!L497,318)-MAX('Activities'!K497,312))</x:f>
        <x:v>0</x:v>
      </x:c>
      <x:c r="BF497" s="23" t="n">
        <x:f>MAX(0,MIN('Activities'!L497,324)-MAX('Activities'!K497,318))</x:f>
        <x:v>0</x:v>
      </x:c>
      <x:c r="BG497" s="23" t="n">
        <x:f>MAX(0,MIN('Activities'!L497,330)-MAX('Activities'!K497,324))</x:f>
        <x:v>0</x:v>
      </x:c>
      <x:c r="BH497" s="23" t="n">
        <x:f>MAX(0,MIN('Activities'!L497,336)-MAX('Activities'!K497,330))</x:f>
        <x:v>0</x:v>
      </x:c>
      <x:c r="BI497" s="23" t="n">
        <x:f>MAX(0,MIN('Activities'!L497,342)-MAX('Activities'!K497,336))</x:f>
        <x:v>0</x:v>
      </x:c>
      <x:c r="BJ497" s="23" t="n">
        <x:f>MAX(0,MIN('Activities'!L497,348)-MAX('Activities'!K497,342))</x:f>
        <x:v>0</x:v>
      </x:c>
      <x:c r="BK497" s="23" t="n">
        <x:f>MAX(0,MIN('Activities'!L497,354)-MAX('Activities'!K497,348))</x:f>
        <x:v>0</x:v>
      </x:c>
      <x:c r="BL497" s="23" t="n">
        <x:f>MAX(0,MIN('Activities'!L497,360)-MAX('Activities'!K497,354))</x:f>
        <x:v>0</x:v>
      </x:c>
      <x:c r="BM497" s="23" t="n">
        <x:f>MAX(0,MIN('Activities'!L497,366)-MAX('Activities'!K497,360))</x:f>
        <x:v>0</x:v>
      </x:c>
      <x:c r="BN497" s="23" t="n">
        <x:f>MAX(0,MIN('Activities'!L497,372)-MAX('Activities'!K497,366))</x:f>
        <x:v>0</x:v>
      </x:c>
      <x:c r="BO497" s="23" t="n">
        <x:f>MAX(0,MIN('Activities'!L497,378)-MAX('Activities'!K497,372))</x:f>
        <x:v>0</x:v>
      </x:c>
      <x:c r="BP497" s="23" t="n">
        <x:f>MAX(0,MIN('Activities'!L497,384)-MAX('Activities'!K497,378))</x:f>
        <x:v>0</x:v>
      </x:c>
      <x:c r="BQ497" s="23" t="n">
        <x:f>MAX(0,MIN('Activities'!L497,390)-MAX('Activities'!K497,384))</x:f>
        <x:v>0</x:v>
      </x:c>
      <x:c r="BR497" s="23" t="n">
        <x:f>MAX(0,MIN('Activities'!L497,396)-MAX('Activities'!K497,390))</x:f>
        <x:v>0</x:v>
      </x:c>
      <x:c r="BS497" s="23" t="n">
        <x:f>MAX(0,MIN('Activities'!L497,402)-MAX('Activities'!K497,396))</x:f>
        <x:v>0</x:v>
      </x:c>
      <x:c r="BT497" s="23" t="n">
        <x:f>MAX(0,MIN('Activities'!L497,408)-MAX('Activities'!K497,402))</x:f>
        <x:v>0</x:v>
      </x:c>
      <x:c r="BU497" s="23" t="n">
        <x:f>MAX(0,MIN('Activities'!L497,414)-MAX('Activities'!K497,408))</x:f>
        <x:v>0</x:v>
      </x:c>
      <x:c r="BV497" s="23" t="n">
        <x:f>MAX(0,MIN('Activities'!L497,420)-MAX('Activities'!K497,414))</x:f>
        <x:v>0</x:v>
      </x:c>
      <x:c r="BW497" s="23" t="n">
        <x:f>MAX(0,MIN('Activities'!L497,426)-MAX('Activities'!K497,420))</x:f>
        <x:v>0</x:v>
      </x:c>
      <x:c r="BX497" s="23" t="n">
        <x:f>MAX(0,MIN('Activities'!L497,432)-MAX('Activities'!K497,426))</x:f>
        <x:v>0</x:v>
      </x:c>
      <x:c r="BY497" s="23" t="n">
        <x:f>MAX(0,MIN('Activities'!L497,438)-MAX('Activities'!K497,432))</x:f>
        <x:v>1</x:v>
      </x:c>
      <x:c r="BZ497" s="23" t="n">
        <x:f>MAX(0,MIN('Activities'!L497,444)-MAX('Activities'!K497,438))</x:f>
        <x:v>5</x:v>
      </x:c>
      <x:c r="CA497" s="23" t="n">
        <x:f>MAX(0,MIN('Activities'!L497,450)-MAX('Activities'!K497,444))</x:f>
        <x:v>0</x:v>
      </x:c>
      <x:c r="CB497" s="23" t="n">
        <x:f>MAX(0,MIN('Activities'!L497,456)-MAX('Activities'!K497,450))</x:f>
        <x:v>0</x:v>
      </x:c>
      <x:c r="CC497" s="23" t="n">
        <x:f>MAX(0,MIN('Activities'!L497,462)-MAX('Activities'!K497,456))</x:f>
        <x:v>0</x:v>
      </x:c>
      <x:c r="CD497" s="23" t="n">
        <x:f>MAX(0,MIN('Activities'!L497,468)-MAX('Activities'!K497,462))</x:f>
        <x:v>0</x:v>
      </x:c>
      <x:c r="CE497" s="23" t="n">
        <x:f>MAX(0,MIN('Activities'!L497,474)-MAX('Activities'!K497,468))</x:f>
        <x:v>0</x:v>
      </x:c>
      <x:c r="CF497" s="23" t="n">
        <x:f>MAX(0,MIN('Activities'!L497,480)-MAX('Activities'!K497,474))</x:f>
        <x:v>0</x:v>
      </x:c>
      <x:c r="CG497" s="23" t="n">
        <x:f>MAX(0,MIN('Activities'!L497,486)-MAX('Activities'!K497,480))</x:f>
        <x:v>0</x:v>
      </x:c>
      <x:c r="CH497" s="23" t="n">
        <x:f>MAX(0,MIN('Activities'!L497,492)-MAX('Activities'!K497,486))</x:f>
        <x:v>0</x:v>
      </x:c>
      <x:c r="CI497" s="23" t="n">
        <x:f>MAX(0,MIN('Activities'!L497,498)-MAX('Activities'!K497,492))</x:f>
        <x:v>0</x:v>
      </x:c>
      <x:c r="CJ497" s="23" t="n">
        <x:f>MAX(0,MIN('Activities'!L497,504)-MAX('Activities'!K497,498))</x:f>
        <x:v>0</x:v>
      </x:c>
      <x:c r="CK497" s="23" t="n">
        <x:f>MAX(0,MIN('Activities'!L497,510)-MAX('Activities'!K497,504))</x:f>
        <x:v>0</x:v>
      </x:c>
      <x:c r="CL497" s="23" t="n">
        <x:f>MAX(0,MIN('Activities'!L497,516)-MAX('Activities'!K497,510))</x:f>
        <x:v>0</x:v>
      </x:c>
      <x:c r="CM497" s="23" t="n">
        <x:f>MAX(0,MIN('Activities'!L497,522)-MAX('Activities'!K497,516))</x:f>
        <x:v>0</x:v>
      </x:c>
      <x:c r="CN497" s="23" t="n">
        <x:f>MAX(0,MIN('Activities'!L497,528)-MAX('Activities'!K497,522))</x:f>
        <x:v>0</x:v>
      </x:c>
      <x:c r="CO497" s="23" t="n">
        <x:f>MAX(0,MIN('Activities'!L497,534)-MAX('Activities'!K497,528))</x:f>
        <x:v>0</x:v>
      </x:c>
      <x:c r="CP497" s="23" t="n">
        <x:f>MAX(0,MIN('Activities'!L497,540)-MAX('Activities'!K497,534))</x:f>
        <x:v>0</x:v>
      </x:c>
      <x:c r="CQ497" s="23" t="n">
        <x:f>MAX(0,MIN('Activities'!L497,546)-MAX('Activities'!K497,540))</x:f>
        <x:v>0</x:v>
      </x:c>
      <x:c r="CR497" s="23" t="n">
        <x:f>MAX(0,MIN('Activities'!L497,552)-MAX('Activities'!K497,546))</x:f>
        <x:v>0</x:v>
      </x:c>
      <x:c r="CS497" s="23" t="n">
        <x:f>MAX(0,MIN('Activities'!L497,558)-MAX('Activities'!K497,552))</x:f>
        <x:v>0</x:v>
      </x:c>
      <x:c r="CT497" s="23" t="n">
        <x:f>MAX(0,MIN('Activities'!L497,564)-MAX('Activities'!K497,558))</x:f>
        <x:v>0</x:v>
      </x:c>
      <x:c r="CU497" s="23" t="n">
        <x:f>MAX(0,MIN('Activities'!L497,570)-MAX('Activities'!K497,564))</x:f>
        <x:v>0</x:v>
      </x:c>
      <x:c r="CV497" s="23" t="n">
        <x:f>MAX(0,MIN('Activities'!L497,576)-MAX('Activities'!K497,570))</x:f>
        <x:v>0</x:v>
      </x:c>
      <x:c r="CW497" s="23" t="n">
        <x:f>MAX(0,MIN('Activities'!L497,582)-MAX('Activities'!K497,576))</x:f>
        <x:v>0</x:v>
      </x:c>
      <x:c r="CX497" s="23" t="n">
        <x:f>MAX(0,MIN('Activities'!L497,588)-MAX('Activities'!K497,582))</x:f>
        <x:v>0</x:v>
      </x:c>
      <x:c r="CY497" s="23" t="n">
        <x:f>MAX(0,MIN('Activities'!L497,594)-MAX('Activities'!K497,588))</x:f>
        <x:v>0</x:v>
      </x:c>
      <x:c r="CZ497" s="23" t="n">
        <x:f>MAX(0,MIN('Activities'!L497,600)-MAX('Activities'!K497,594))</x:f>
        <x:v>0</x:v>
      </x:c>
      <x:c r="DA497" s="23" t="n">
        <x:f>MAX(0,MIN('Activities'!L497,606)-MAX('Activities'!K497,600))</x:f>
        <x:v>0</x:v>
      </x:c>
      <x:c r="DB497" s="23" t="n">
        <x:f>MAX(0,MIN('Activities'!L497,612)-MAX('Activities'!K497,606))</x:f>
        <x:v>0</x:v>
      </x:c>
      <x:c r="DC497" s="23" t="n">
        <x:f>MAX(0,MIN('Activities'!L497,618)-MAX('Activities'!K497,612))</x:f>
        <x:v>0</x:v>
      </x:c>
      <x:c r="DD497" s="23" t="n">
        <x:f>MAX(0,MIN('Activities'!L497,624)-MAX('Activities'!K497,618))</x:f>
        <x:v>0</x:v>
      </x:c>
      <x:c r="DE497" s="23" t="n">
        <x:f>MAX(0,MIN('Activities'!L497,630)-MAX('Activities'!K497,624))</x:f>
        <x:v>0</x:v>
      </x:c>
      <x:c r="DF497" s="23" t="n">
        <x:f>MAX(0,MIN('Activities'!L497,636)-MAX('Activities'!K497,630))</x:f>
        <x:v>0</x:v>
      </x:c>
    </x:row>
    <x:row r="498" ht="23" customHeight="1">
      <x:c r="A498" s="6" t="str">
        <x:v>T4-L04-A</x:v>
      </x:c>
      <x:c r="B498" s="6" t="str">
        <x:v>T4</x:v>
      </x:c>
      <x:c r="C498" s="6" t="str">
        <x:v>Paint and final decorations</x:v>
      </x:c>
      <x:c r="D498" s="6" t="str">
        <x:v>Finishes</x:v>
      </x:c>
      <x:c r="E498" s="22" t="n">
        <x:f>MAX(0,MIN('Activities'!L498,6)-MAX('Activities'!K498,0))</x:f>
        <x:v>0</x:v>
      </x:c>
      <x:c r="F498" s="22" t="n">
        <x:f>MAX(0,MIN('Activities'!L498,12)-MAX('Activities'!K498,6))</x:f>
        <x:v>0</x:v>
      </x:c>
      <x:c r="G498" s="22" t="n">
        <x:f>MAX(0,MIN('Activities'!L498,18)-MAX('Activities'!K498,12))</x:f>
        <x:v>0</x:v>
      </x:c>
      <x:c r="H498" s="22" t="n">
        <x:f>MAX(0,MIN('Activities'!L498,24)-MAX('Activities'!K498,18))</x:f>
        <x:v>0</x:v>
      </x:c>
      <x:c r="I498" s="22" t="n">
        <x:f>MAX(0,MIN('Activities'!L498,30)-MAX('Activities'!K498,24))</x:f>
        <x:v>0</x:v>
      </x:c>
      <x:c r="J498" s="22" t="n">
        <x:f>MAX(0,MIN('Activities'!L498,36)-MAX('Activities'!K498,30))</x:f>
        <x:v>0</x:v>
      </x:c>
      <x:c r="K498" s="22" t="n">
        <x:f>MAX(0,MIN('Activities'!L498,42)-MAX('Activities'!K498,36))</x:f>
        <x:v>0</x:v>
      </x:c>
      <x:c r="L498" s="22" t="n">
        <x:f>MAX(0,MIN('Activities'!L498,48)-MAX('Activities'!K498,42))</x:f>
        <x:v>0</x:v>
      </x:c>
      <x:c r="M498" s="22" t="n">
        <x:f>MAX(0,MIN('Activities'!L498,54)-MAX('Activities'!K498,48))</x:f>
        <x:v>0</x:v>
      </x:c>
      <x:c r="N498" s="22" t="n">
        <x:f>MAX(0,MIN('Activities'!L498,60)-MAX('Activities'!K498,54))</x:f>
        <x:v>0</x:v>
      </x:c>
      <x:c r="O498" s="22" t="n">
        <x:f>MAX(0,MIN('Activities'!L498,66)-MAX('Activities'!K498,60))</x:f>
        <x:v>0</x:v>
      </x:c>
      <x:c r="P498" s="22" t="n">
        <x:f>MAX(0,MIN('Activities'!L498,72)-MAX('Activities'!K498,66))</x:f>
        <x:v>0</x:v>
      </x:c>
      <x:c r="Q498" s="22" t="n">
        <x:f>MAX(0,MIN('Activities'!L498,78)-MAX('Activities'!K498,72))</x:f>
        <x:v>0</x:v>
      </x:c>
      <x:c r="R498" s="22" t="n">
        <x:f>MAX(0,MIN('Activities'!L498,84)-MAX('Activities'!K498,78))</x:f>
        <x:v>0</x:v>
      </x:c>
      <x:c r="S498" s="22" t="n">
        <x:f>MAX(0,MIN('Activities'!L498,90)-MAX('Activities'!K498,84))</x:f>
        <x:v>0</x:v>
      </x:c>
      <x:c r="T498" s="22" t="n">
        <x:f>MAX(0,MIN('Activities'!L498,96)-MAX('Activities'!K498,90))</x:f>
        <x:v>0</x:v>
      </x:c>
      <x:c r="U498" s="22" t="n">
        <x:f>MAX(0,MIN('Activities'!L498,102)-MAX('Activities'!K498,96))</x:f>
        <x:v>0</x:v>
      </x:c>
      <x:c r="V498" s="22" t="n">
        <x:f>MAX(0,MIN('Activities'!L498,108)-MAX('Activities'!K498,102))</x:f>
        <x:v>0</x:v>
      </x:c>
      <x:c r="W498" s="22" t="n">
        <x:f>MAX(0,MIN('Activities'!L498,114)-MAX('Activities'!K498,108))</x:f>
        <x:v>0</x:v>
      </x:c>
      <x:c r="X498" s="22" t="n">
        <x:f>MAX(0,MIN('Activities'!L498,120)-MAX('Activities'!K498,114))</x:f>
        <x:v>0</x:v>
      </x:c>
      <x:c r="Y498" s="22" t="n">
        <x:f>MAX(0,MIN('Activities'!L498,126)-MAX('Activities'!K498,120))</x:f>
        <x:v>0</x:v>
      </x:c>
      <x:c r="Z498" s="22" t="n">
        <x:f>MAX(0,MIN('Activities'!L498,132)-MAX('Activities'!K498,126))</x:f>
        <x:v>0</x:v>
      </x:c>
      <x:c r="AA498" s="22" t="n">
        <x:f>MAX(0,MIN('Activities'!L498,138)-MAX('Activities'!K498,132))</x:f>
        <x:v>0</x:v>
      </x:c>
      <x:c r="AB498" s="22" t="n">
        <x:f>MAX(0,MIN('Activities'!L498,144)-MAX('Activities'!K498,138))</x:f>
        <x:v>0</x:v>
      </x:c>
      <x:c r="AC498" s="22" t="n">
        <x:f>MAX(0,MIN('Activities'!L498,150)-MAX('Activities'!K498,144))</x:f>
        <x:v>0</x:v>
      </x:c>
      <x:c r="AD498" s="22" t="n">
        <x:f>MAX(0,MIN('Activities'!L498,156)-MAX('Activities'!K498,150))</x:f>
        <x:v>0</x:v>
      </x:c>
      <x:c r="AE498" s="22" t="n">
        <x:f>MAX(0,MIN('Activities'!L498,162)-MAX('Activities'!K498,156))</x:f>
        <x:v>0</x:v>
      </x:c>
      <x:c r="AF498" s="22" t="n">
        <x:f>MAX(0,MIN('Activities'!L498,168)-MAX('Activities'!K498,162))</x:f>
        <x:v>0</x:v>
      </x:c>
      <x:c r="AG498" s="22" t="n">
        <x:f>MAX(0,MIN('Activities'!L498,174)-MAX('Activities'!K498,168))</x:f>
        <x:v>0</x:v>
      </x:c>
      <x:c r="AH498" s="22" t="n">
        <x:f>MAX(0,MIN('Activities'!L498,180)-MAX('Activities'!K498,174))</x:f>
        <x:v>0</x:v>
      </x:c>
      <x:c r="AI498" s="22" t="n">
        <x:f>MAX(0,MIN('Activities'!L498,186)-MAX('Activities'!K498,180))</x:f>
        <x:v>0</x:v>
      </x:c>
      <x:c r="AJ498" s="22" t="n">
        <x:f>MAX(0,MIN('Activities'!L498,192)-MAX('Activities'!K498,186))</x:f>
        <x:v>0</x:v>
      </x:c>
      <x:c r="AK498" s="22" t="n">
        <x:f>MAX(0,MIN('Activities'!L498,198)-MAX('Activities'!K498,192))</x:f>
        <x:v>0</x:v>
      </x:c>
      <x:c r="AL498" s="22" t="n">
        <x:f>MAX(0,MIN('Activities'!L498,204)-MAX('Activities'!K498,198))</x:f>
        <x:v>0</x:v>
      </x:c>
      <x:c r="AM498" s="22" t="n">
        <x:f>MAX(0,MIN('Activities'!L498,210)-MAX('Activities'!K498,204))</x:f>
        <x:v>0</x:v>
      </x:c>
      <x:c r="AN498" s="22" t="n">
        <x:f>MAX(0,MIN('Activities'!L498,216)-MAX('Activities'!K498,210))</x:f>
        <x:v>0</x:v>
      </x:c>
      <x:c r="AO498" s="22" t="n">
        <x:f>MAX(0,MIN('Activities'!L498,222)-MAX('Activities'!K498,216))</x:f>
        <x:v>0</x:v>
      </x:c>
      <x:c r="AP498" s="22" t="n">
        <x:f>MAX(0,MIN('Activities'!L498,228)-MAX('Activities'!K498,222))</x:f>
        <x:v>0</x:v>
      </x:c>
      <x:c r="AQ498" s="22" t="n">
        <x:f>MAX(0,MIN('Activities'!L498,234)-MAX('Activities'!K498,228))</x:f>
        <x:v>0</x:v>
      </x:c>
      <x:c r="AR498" s="22" t="n">
        <x:f>MAX(0,MIN('Activities'!L498,240)-MAX('Activities'!K498,234))</x:f>
        <x:v>0</x:v>
      </x:c>
      <x:c r="AS498" s="22" t="n">
        <x:f>MAX(0,MIN('Activities'!L498,246)-MAX('Activities'!K498,240))</x:f>
        <x:v>0</x:v>
      </x:c>
      <x:c r="AT498" s="22" t="n">
        <x:f>MAX(0,MIN('Activities'!L498,252)-MAX('Activities'!K498,246))</x:f>
        <x:v>0</x:v>
      </x:c>
      <x:c r="AU498" s="22" t="n">
        <x:f>MAX(0,MIN('Activities'!L498,258)-MAX('Activities'!K498,252))</x:f>
        <x:v>0</x:v>
      </x:c>
      <x:c r="AV498" s="22" t="n">
        <x:f>MAX(0,MIN('Activities'!L498,264)-MAX('Activities'!K498,258))</x:f>
        <x:v>0</x:v>
      </x:c>
      <x:c r="AW498" s="22" t="n">
        <x:f>MAX(0,MIN('Activities'!L498,270)-MAX('Activities'!K498,264))</x:f>
        <x:v>0</x:v>
      </x:c>
      <x:c r="AX498" s="22" t="n">
        <x:f>MAX(0,MIN('Activities'!L498,276)-MAX('Activities'!K498,270))</x:f>
        <x:v>0</x:v>
      </x:c>
      <x:c r="AY498" s="22" t="n">
        <x:f>MAX(0,MIN('Activities'!L498,282)-MAX('Activities'!K498,276))</x:f>
        <x:v>0</x:v>
      </x:c>
      <x:c r="AZ498" s="22" t="n">
        <x:f>MAX(0,MIN('Activities'!L498,288)-MAX('Activities'!K498,282))</x:f>
        <x:v>0</x:v>
      </x:c>
      <x:c r="BA498" s="22" t="n">
        <x:f>MAX(0,MIN('Activities'!L498,294)-MAX('Activities'!K498,288))</x:f>
        <x:v>0</x:v>
      </x:c>
      <x:c r="BB498" s="22" t="n">
        <x:f>MAX(0,MIN('Activities'!L498,300)-MAX('Activities'!K498,294))</x:f>
        <x:v>0</x:v>
      </x:c>
      <x:c r="BC498" s="22" t="n">
        <x:f>MAX(0,MIN('Activities'!L498,306)-MAX('Activities'!K498,300))</x:f>
        <x:v>0</x:v>
      </x:c>
      <x:c r="BD498" s="22" t="n">
        <x:f>MAX(0,MIN('Activities'!L498,312)-MAX('Activities'!K498,306))</x:f>
        <x:v>0</x:v>
      </x:c>
      <x:c r="BE498" s="22" t="n">
        <x:f>MAX(0,MIN('Activities'!L498,318)-MAX('Activities'!K498,312))</x:f>
        <x:v>0</x:v>
      </x:c>
      <x:c r="BF498" s="22" t="n">
        <x:f>MAX(0,MIN('Activities'!L498,324)-MAX('Activities'!K498,318))</x:f>
        <x:v>0</x:v>
      </x:c>
      <x:c r="BG498" s="22" t="n">
        <x:f>MAX(0,MIN('Activities'!L498,330)-MAX('Activities'!K498,324))</x:f>
        <x:v>0</x:v>
      </x:c>
      <x:c r="BH498" s="22" t="n">
        <x:f>MAX(0,MIN('Activities'!L498,336)-MAX('Activities'!K498,330))</x:f>
        <x:v>0</x:v>
      </x:c>
      <x:c r="BI498" s="22" t="n">
        <x:f>MAX(0,MIN('Activities'!L498,342)-MAX('Activities'!K498,336))</x:f>
        <x:v>0</x:v>
      </x:c>
      <x:c r="BJ498" s="22" t="n">
        <x:f>MAX(0,MIN('Activities'!L498,348)-MAX('Activities'!K498,342))</x:f>
        <x:v>0</x:v>
      </x:c>
      <x:c r="BK498" s="22" t="n">
        <x:f>MAX(0,MIN('Activities'!L498,354)-MAX('Activities'!K498,348))</x:f>
        <x:v>0</x:v>
      </x:c>
      <x:c r="BL498" s="22" t="n">
        <x:f>MAX(0,MIN('Activities'!L498,360)-MAX('Activities'!K498,354))</x:f>
        <x:v>0</x:v>
      </x:c>
      <x:c r="BM498" s="22" t="n">
        <x:f>MAX(0,MIN('Activities'!L498,366)-MAX('Activities'!K498,360))</x:f>
        <x:v>0</x:v>
      </x:c>
      <x:c r="BN498" s="22" t="n">
        <x:f>MAX(0,MIN('Activities'!L498,372)-MAX('Activities'!K498,366))</x:f>
        <x:v>0</x:v>
      </x:c>
      <x:c r="BO498" s="22" t="n">
        <x:f>MAX(0,MIN('Activities'!L498,378)-MAX('Activities'!K498,372))</x:f>
        <x:v>0</x:v>
      </x:c>
      <x:c r="BP498" s="22" t="n">
        <x:f>MAX(0,MIN('Activities'!L498,384)-MAX('Activities'!K498,378))</x:f>
        <x:v>0</x:v>
      </x:c>
      <x:c r="BQ498" s="22" t="n">
        <x:f>MAX(0,MIN('Activities'!L498,390)-MAX('Activities'!K498,384))</x:f>
        <x:v>0</x:v>
      </x:c>
      <x:c r="BR498" s="22" t="n">
        <x:f>MAX(0,MIN('Activities'!L498,396)-MAX('Activities'!K498,390))</x:f>
        <x:v>0</x:v>
      </x:c>
      <x:c r="BS498" s="22" t="n">
        <x:f>MAX(0,MIN('Activities'!L498,402)-MAX('Activities'!K498,396))</x:f>
        <x:v>0</x:v>
      </x:c>
      <x:c r="BT498" s="22" t="n">
        <x:f>MAX(0,MIN('Activities'!L498,408)-MAX('Activities'!K498,402))</x:f>
        <x:v>0</x:v>
      </x:c>
      <x:c r="BU498" s="22" t="n">
        <x:f>MAX(0,MIN('Activities'!L498,414)-MAX('Activities'!K498,408))</x:f>
        <x:v>0</x:v>
      </x:c>
      <x:c r="BV498" s="22" t="n">
        <x:f>MAX(0,MIN('Activities'!L498,420)-MAX('Activities'!K498,414))</x:f>
        <x:v>0</x:v>
      </x:c>
      <x:c r="BW498" s="22" t="n">
        <x:f>MAX(0,MIN('Activities'!L498,426)-MAX('Activities'!K498,420))</x:f>
        <x:v>0</x:v>
      </x:c>
      <x:c r="BX498" s="22" t="n">
        <x:f>MAX(0,MIN('Activities'!L498,432)-MAX('Activities'!K498,426))</x:f>
        <x:v>0</x:v>
      </x:c>
      <x:c r="BY498" s="22" t="n">
        <x:f>MAX(0,MIN('Activities'!L498,438)-MAX('Activities'!K498,432))</x:f>
        <x:v>0</x:v>
      </x:c>
      <x:c r="BZ498" s="22" t="n">
        <x:f>MAX(0,MIN('Activities'!L498,444)-MAX('Activities'!K498,438))</x:f>
        <x:v>0</x:v>
      </x:c>
      <x:c r="CA498" s="22" t="n">
        <x:f>MAX(0,MIN('Activities'!L498,450)-MAX('Activities'!K498,444))</x:f>
        <x:v>5</x:v>
      </x:c>
      <x:c r="CB498" s="22" t="n">
        <x:f>MAX(0,MIN('Activities'!L498,456)-MAX('Activities'!K498,450))</x:f>
        <x:v>0</x:v>
      </x:c>
      <x:c r="CC498" s="22" t="n">
        <x:f>MAX(0,MIN('Activities'!L498,462)-MAX('Activities'!K498,456))</x:f>
        <x:v>0</x:v>
      </x:c>
      <x:c r="CD498" s="22" t="n">
        <x:f>MAX(0,MIN('Activities'!L498,468)-MAX('Activities'!K498,462))</x:f>
        <x:v>0</x:v>
      </x:c>
      <x:c r="CE498" s="22" t="n">
        <x:f>MAX(0,MIN('Activities'!L498,474)-MAX('Activities'!K498,468))</x:f>
        <x:v>0</x:v>
      </x:c>
      <x:c r="CF498" s="22" t="n">
        <x:f>MAX(0,MIN('Activities'!L498,480)-MAX('Activities'!K498,474))</x:f>
        <x:v>0</x:v>
      </x:c>
      <x:c r="CG498" s="22" t="n">
        <x:f>MAX(0,MIN('Activities'!L498,486)-MAX('Activities'!K498,480))</x:f>
        <x:v>0</x:v>
      </x:c>
      <x:c r="CH498" s="22" t="n">
        <x:f>MAX(0,MIN('Activities'!L498,492)-MAX('Activities'!K498,486))</x:f>
        <x:v>0</x:v>
      </x:c>
      <x:c r="CI498" s="22" t="n">
        <x:f>MAX(0,MIN('Activities'!L498,498)-MAX('Activities'!K498,492))</x:f>
        <x:v>0</x:v>
      </x:c>
      <x:c r="CJ498" s="22" t="n">
        <x:f>MAX(0,MIN('Activities'!L498,504)-MAX('Activities'!K498,498))</x:f>
        <x:v>0</x:v>
      </x:c>
      <x:c r="CK498" s="22" t="n">
        <x:f>MAX(0,MIN('Activities'!L498,510)-MAX('Activities'!K498,504))</x:f>
        <x:v>0</x:v>
      </x:c>
      <x:c r="CL498" s="22" t="n">
        <x:f>MAX(0,MIN('Activities'!L498,516)-MAX('Activities'!K498,510))</x:f>
        <x:v>0</x:v>
      </x:c>
      <x:c r="CM498" s="22" t="n">
        <x:f>MAX(0,MIN('Activities'!L498,522)-MAX('Activities'!K498,516))</x:f>
        <x:v>0</x:v>
      </x:c>
      <x:c r="CN498" s="22" t="n">
        <x:f>MAX(0,MIN('Activities'!L498,528)-MAX('Activities'!K498,522))</x:f>
        <x:v>0</x:v>
      </x:c>
      <x:c r="CO498" s="22" t="n">
        <x:f>MAX(0,MIN('Activities'!L498,534)-MAX('Activities'!K498,528))</x:f>
        <x:v>0</x:v>
      </x:c>
      <x:c r="CP498" s="22" t="n">
        <x:f>MAX(0,MIN('Activities'!L498,540)-MAX('Activities'!K498,534))</x:f>
        <x:v>0</x:v>
      </x:c>
      <x:c r="CQ498" s="22" t="n">
        <x:f>MAX(0,MIN('Activities'!L498,546)-MAX('Activities'!K498,540))</x:f>
        <x:v>0</x:v>
      </x:c>
      <x:c r="CR498" s="22" t="n">
        <x:f>MAX(0,MIN('Activities'!L498,552)-MAX('Activities'!K498,546))</x:f>
        <x:v>0</x:v>
      </x:c>
      <x:c r="CS498" s="22" t="n">
        <x:f>MAX(0,MIN('Activities'!L498,558)-MAX('Activities'!K498,552))</x:f>
        <x:v>0</x:v>
      </x:c>
      <x:c r="CT498" s="22" t="n">
        <x:f>MAX(0,MIN('Activities'!L498,564)-MAX('Activities'!K498,558))</x:f>
        <x:v>0</x:v>
      </x:c>
      <x:c r="CU498" s="22" t="n">
        <x:f>MAX(0,MIN('Activities'!L498,570)-MAX('Activities'!K498,564))</x:f>
        <x:v>0</x:v>
      </x:c>
      <x:c r="CV498" s="22" t="n">
        <x:f>MAX(0,MIN('Activities'!L498,576)-MAX('Activities'!K498,570))</x:f>
        <x:v>0</x:v>
      </x:c>
      <x:c r="CW498" s="22" t="n">
        <x:f>MAX(0,MIN('Activities'!L498,582)-MAX('Activities'!K498,576))</x:f>
        <x:v>0</x:v>
      </x:c>
      <x:c r="CX498" s="22" t="n">
        <x:f>MAX(0,MIN('Activities'!L498,588)-MAX('Activities'!K498,582))</x:f>
        <x:v>0</x:v>
      </x:c>
      <x:c r="CY498" s="22" t="n">
        <x:f>MAX(0,MIN('Activities'!L498,594)-MAX('Activities'!K498,588))</x:f>
        <x:v>0</x:v>
      </x:c>
      <x:c r="CZ498" s="22" t="n">
        <x:f>MAX(0,MIN('Activities'!L498,600)-MAX('Activities'!K498,594))</x:f>
        <x:v>0</x:v>
      </x:c>
      <x:c r="DA498" s="22" t="n">
        <x:f>MAX(0,MIN('Activities'!L498,606)-MAX('Activities'!K498,600))</x:f>
        <x:v>0</x:v>
      </x:c>
      <x:c r="DB498" s="22" t="n">
        <x:f>MAX(0,MIN('Activities'!L498,612)-MAX('Activities'!K498,606))</x:f>
        <x:v>0</x:v>
      </x:c>
      <x:c r="DC498" s="22" t="n">
        <x:f>MAX(0,MIN('Activities'!L498,618)-MAX('Activities'!K498,612))</x:f>
        <x:v>0</x:v>
      </x:c>
      <x:c r="DD498" s="22" t="n">
        <x:f>MAX(0,MIN('Activities'!L498,624)-MAX('Activities'!K498,618))</x:f>
        <x:v>0</x:v>
      </x:c>
      <x:c r="DE498" s="22" t="n">
        <x:f>MAX(0,MIN('Activities'!L498,630)-MAX('Activities'!K498,624))</x:f>
        <x:v>0</x:v>
      </x:c>
      <x:c r="DF498" s="22" t="n">
        <x:f>MAX(0,MIN('Activities'!L498,636)-MAX('Activities'!K498,630))</x:f>
        <x:v>0</x:v>
      </x:c>
    </x:row>
    <x:row r="499" ht="23" customHeight="1">
      <x:c r="A499" s="1" t="str">
        <x:v>T4-L04-D</x:v>
      </x:c>
      <x:c r="B499" s="1" t="str">
        <x:v>T4</x:v>
      </x:c>
      <x:c r="C499" s="1" t="str">
        <x:v>Door sets and ironmongery</x:v>
      </x:c>
      <x:c r="D499" s="1" t="str">
        <x:v>Finishes</x:v>
      </x:c>
      <x:c r="E499" s="23" t="n">
        <x:f>MAX(0,MIN('Activities'!L499,6)-MAX('Activities'!K499,0))</x:f>
        <x:v>0</x:v>
      </x:c>
      <x:c r="F499" s="23" t="n">
        <x:f>MAX(0,MIN('Activities'!L499,12)-MAX('Activities'!K499,6))</x:f>
        <x:v>0</x:v>
      </x:c>
      <x:c r="G499" s="23" t="n">
        <x:f>MAX(0,MIN('Activities'!L499,18)-MAX('Activities'!K499,12))</x:f>
        <x:v>0</x:v>
      </x:c>
      <x:c r="H499" s="23" t="n">
        <x:f>MAX(0,MIN('Activities'!L499,24)-MAX('Activities'!K499,18))</x:f>
        <x:v>0</x:v>
      </x:c>
      <x:c r="I499" s="23" t="n">
        <x:f>MAX(0,MIN('Activities'!L499,30)-MAX('Activities'!K499,24))</x:f>
        <x:v>0</x:v>
      </x:c>
      <x:c r="J499" s="23" t="n">
        <x:f>MAX(0,MIN('Activities'!L499,36)-MAX('Activities'!K499,30))</x:f>
        <x:v>0</x:v>
      </x:c>
      <x:c r="K499" s="23" t="n">
        <x:f>MAX(0,MIN('Activities'!L499,42)-MAX('Activities'!K499,36))</x:f>
        <x:v>0</x:v>
      </x:c>
      <x:c r="L499" s="23" t="n">
        <x:f>MAX(0,MIN('Activities'!L499,48)-MAX('Activities'!K499,42))</x:f>
        <x:v>0</x:v>
      </x:c>
      <x:c r="M499" s="23" t="n">
        <x:f>MAX(0,MIN('Activities'!L499,54)-MAX('Activities'!K499,48))</x:f>
        <x:v>0</x:v>
      </x:c>
      <x:c r="N499" s="23" t="n">
        <x:f>MAX(0,MIN('Activities'!L499,60)-MAX('Activities'!K499,54))</x:f>
        <x:v>0</x:v>
      </x:c>
      <x:c r="O499" s="23" t="n">
        <x:f>MAX(0,MIN('Activities'!L499,66)-MAX('Activities'!K499,60))</x:f>
        <x:v>0</x:v>
      </x:c>
      <x:c r="P499" s="23" t="n">
        <x:f>MAX(0,MIN('Activities'!L499,72)-MAX('Activities'!K499,66))</x:f>
        <x:v>0</x:v>
      </x:c>
      <x:c r="Q499" s="23" t="n">
        <x:f>MAX(0,MIN('Activities'!L499,78)-MAX('Activities'!K499,72))</x:f>
        <x:v>0</x:v>
      </x:c>
      <x:c r="R499" s="23" t="n">
        <x:f>MAX(0,MIN('Activities'!L499,84)-MAX('Activities'!K499,78))</x:f>
        <x:v>0</x:v>
      </x:c>
      <x:c r="S499" s="23" t="n">
        <x:f>MAX(0,MIN('Activities'!L499,90)-MAX('Activities'!K499,84))</x:f>
        <x:v>0</x:v>
      </x:c>
      <x:c r="T499" s="23" t="n">
        <x:f>MAX(0,MIN('Activities'!L499,96)-MAX('Activities'!K499,90))</x:f>
        <x:v>0</x:v>
      </x:c>
      <x:c r="U499" s="23" t="n">
        <x:f>MAX(0,MIN('Activities'!L499,102)-MAX('Activities'!K499,96))</x:f>
        <x:v>0</x:v>
      </x:c>
      <x:c r="V499" s="23" t="n">
        <x:f>MAX(0,MIN('Activities'!L499,108)-MAX('Activities'!K499,102))</x:f>
        <x:v>0</x:v>
      </x:c>
      <x:c r="W499" s="23" t="n">
        <x:f>MAX(0,MIN('Activities'!L499,114)-MAX('Activities'!K499,108))</x:f>
        <x:v>0</x:v>
      </x:c>
      <x:c r="X499" s="23" t="n">
        <x:f>MAX(0,MIN('Activities'!L499,120)-MAX('Activities'!K499,114))</x:f>
        <x:v>0</x:v>
      </x:c>
      <x:c r="Y499" s="23" t="n">
        <x:f>MAX(0,MIN('Activities'!L499,126)-MAX('Activities'!K499,120))</x:f>
        <x:v>0</x:v>
      </x:c>
      <x:c r="Z499" s="23" t="n">
        <x:f>MAX(0,MIN('Activities'!L499,132)-MAX('Activities'!K499,126))</x:f>
        <x:v>0</x:v>
      </x:c>
      <x:c r="AA499" s="23" t="n">
        <x:f>MAX(0,MIN('Activities'!L499,138)-MAX('Activities'!K499,132))</x:f>
        <x:v>0</x:v>
      </x:c>
      <x:c r="AB499" s="23" t="n">
        <x:f>MAX(0,MIN('Activities'!L499,144)-MAX('Activities'!K499,138))</x:f>
        <x:v>0</x:v>
      </x:c>
      <x:c r="AC499" s="23" t="n">
        <x:f>MAX(0,MIN('Activities'!L499,150)-MAX('Activities'!K499,144))</x:f>
        <x:v>0</x:v>
      </x:c>
      <x:c r="AD499" s="23" t="n">
        <x:f>MAX(0,MIN('Activities'!L499,156)-MAX('Activities'!K499,150))</x:f>
        <x:v>0</x:v>
      </x:c>
      <x:c r="AE499" s="23" t="n">
        <x:f>MAX(0,MIN('Activities'!L499,162)-MAX('Activities'!K499,156))</x:f>
        <x:v>0</x:v>
      </x:c>
      <x:c r="AF499" s="23" t="n">
        <x:f>MAX(0,MIN('Activities'!L499,168)-MAX('Activities'!K499,162))</x:f>
        <x:v>0</x:v>
      </x:c>
      <x:c r="AG499" s="23" t="n">
        <x:f>MAX(0,MIN('Activities'!L499,174)-MAX('Activities'!K499,168))</x:f>
        <x:v>0</x:v>
      </x:c>
      <x:c r="AH499" s="23" t="n">
        <x:f>MAX(0,MIN('Activities'!L499,180)-MAX('Activities'!K499,174))</x:f>
        <x:v>0</x:v>
      </x:c>
      <x:c r="AI499" s="23" t="n">
        <x:f>MAX(0,MIN('Activities'!L499,186)-MAX('Activities'!K499,180))</x:f>
        <x:v>0</x:v>
      </x:c>
      <x:c r="AJ499" s="23" t="n">
        <x:f>MAX(0,MIN('Activities'!L499,192)-MAX('Activities'!K499,186))</x:f>
        <x:v>0</x:v>
      </x:c>
      <x:c r="AK499" s="23" t="n">
        <x:f>MAX(0,MIN('Activities'!L499,198)-MAX('Activities'!K499,192))</x:f>
        <x:v>0</x:v>
      </x:c>
      <x:c r="AL499" s="23" t="n">
        <x:f>MAX(0,MIN('Activities'!L499,204)-MAX('Activities'!K499,198))</x:f>
        <x:v>0</x:v>
      </x:c>
      <x:c r="AM499" s="23" t="n">
        <x:f>MAX(0,MIN('Activities'!L499,210)-MAX('Activities'!K499,204))</x:f>
        <x:v>0</x:v>
      </x:c>
      <x:c r="AN499" s="23" t="n">
        <x:f>MAX(0,MIN('Activities'!L499,216)-MAX('Activities'!K499,210))</x:f>
        <x:v>0</x:v>
      </x:c>
      <x:c r="AO499" s="23" t="n">
        <x:f>MAX(0,MIN('Activities'!L499,222)-MAX('Activities'!K499,216))</x:f>
        <x:v>0</x:v>
      </x:c>
      <x:c r="AP499" s="23" t="n">
        <x:f>MAX(0,MIN('Activities'!L499,228)-MAX('Activities'!K499,222))</x:f>
        <x:v>0</x:v>
      </x:c>
      <x:c r="AQ499" s="23" t="n">
        <x:f>MAX(0,MIN('Activities'!L499,234)-MAX('Activities'!K499,228))</x:f>
        <x:v>0</x:v>
      </x:c>
      <x:c r="AR499" s="23" t="n">
        <x:f>MAX(0,MIN('Activities'!L499,240)-MAX('Activities'!K499,234))</x:f>
        <x:v>0</x:v>
      </x:c>
      <x:c r="AS499" s="23" t="n">
        <x:f>MAX(0,MIN('Activities'!L499,246)-MAX('Activities'!K499,240))</x:f>
        <x:v>0</x:v>
      </x:c>
      <x:c r="AT499" s="23" t="n">
        <x:f>MAX(0,MIN('Activities'!L499,252)-MAX('Activities'!K499,246))</x:f>
        <x:v>0</x:v>
      </x:c>
      <x:c r="AU499" s="23" t="n">
        <x:f>MAX(0,MIN('Activities'!L499,258)-MAX('Activities'!K499,252))</x:f>
        <x:v>0</x:v>
      </x:c>
      <x:c r="AV499" s="23" t="n">
        <x:f>MAX(0,MIN('Activities'!L499,264)-MAX('Activities'!K499,258))</x:f>
        <x:v>0</x:v>
      </x:c>
      <x:c r="AW499" s="23" t="n">
        <x:f>MAX(0,MIN('Activities'!L499,270)-MAX('Activities'!K499,264))</x:f>
        <x:v>0</x:v>
      </x:c>
      <x:c r="AX499" s="23" t="n">
        <x:f>MAX(0,MIN('Activities'!L499,276)-MAX('Activities'!K499,270))</x:f>
        <x:v>0</x:v>
      </x:c>
      <x:c r="AY499" s="23" t="n">
        <x:f>MAX(0,MIN('Activities'!L499,282)-MAX('Activities'!K499,276))</x:f>
        <x:v>0</x:v>
      </x:c>
      <x:c r="AZ499" s="23" t="n">
        <x:f>MAX(0,MIN('Activities'!L499,288)-MAX('Activities'!K499,282))</x:f>
        <x:v>0</x:v>
      </x:c>
      <x:c r="BA499" s="23" t="n">
        <x:f>MAX(0,MIN('Activities'!L499,294)-MAX('Activities'!K499,288))</x:f>
        <x:v>0</x:v>
      </x:c>
      <x:c r="BB499" s="23" t="n">
        <x:f>MAX(0,MIN('Activities'!L499,300)-MAX('Activities'!K499,294))</x:f>
        <x:v>0</x:v>
      </x:c>
      <x:c r="BC499" s="23" t="n">
        <x:f>MAX(0,MIN('Activities'!L499,306)-MAX('Activities'!K499,300))</x:f>
        <x:v>0</x:v>
      </x:c>
      <x:c r="BD499" s="23" t="n">
        <x:f>MAX(0,MIN('Activities'!L499,312)-MAX('Activities'!K499,306))</x:f>
        <x:v>0</x:v>
      </x:c>
      <x:c r="BE499" s="23" t="n">
        <x:f>MAX(0,MIN('Activities'!L499,318)-MAX('Activities'!K499,312))</x:f>
        <x:v>0</x:v>
      </x:c>
      <x:c r="BF499" s="23" t="n">
        <x:f>MAX(0,MIN('Activities'!L499,324)-MAX('Activities'!K499,318))</x:f>
        <x:v>0</x:v>
      </x:c>
      <x:c r="BG499" s="23" t="n">
        <x:f>MAX(0,MIN('Activities'!L499,330)-MAX('Activities'!K499,324))</x:f>
        <x:v>0</x:v>
      </x:c>
      <x:c r="BH499" s="23" t="n">
        <x:f>MAX(0,MIN('Activities'!L499,336)-MAX('Activities'!K499,330))</x:f>
        <x:v>0</x:v>
      </x:c>
      <x:c r="BI499" s="23" t="n">
        <x:f>MAX(0,MIN('Activities'!L499,342)-MAX('Activities'!K499,336))</x:f>
        <x:v>0</x:v>
      </x:c>
      <x:c r="BJ499" s="23" t="n">
        <x:f>MAX(0,MIN('Activities'!L499,348)-MAX('Activities'!K499,342))</x:f>
        <x:v>0</x:v>
      </x:c>
      <x:c r="BK499" s="23" t="n">
        <x:f>MAX(0,MIN('Activities'!L499,354)-MAX('Activities'!K499,348))</x:f>
        <x:v>0</x:v>
      </x:c>
      <x:c r="BL499" s="23" t="n">
        <x:f>MAX(0,MIN('Activities'!L499,360)-MAX('Activities'!K499,354))</x:f>
        <x:v>0</x:v>
      </x:c>
      <x:c r="BM499" s="23" t="n">
        <x:f>MAX(0,MIN('Activities'!L499,366)-MAX('Activities'!K499,360))</x:f>
        <x:v>0</x:v>
      </x:c>
      <x:c r="BN499" s="23" t="n">
        <x:f>MAX(0,MIN('Activities'!L499,372)-MAX('Activities'!K499,366))</x:f>
        <x:v>0</x:v>
      </x:c>
      <x:c r="BO499" s="23" t="n">
        <x:f>MAX(0,MIN('Activities'!L499,378)-MAX('Activities'!K499,372))</x:f>
        <x:v>0</x:v>
      </x:c>
      <x:c r="BP499" s="23" t="n">
        <x:f>MAX(0,MIN('Activities'!L499,384)-MAX('Activities'!K499,378))</x:f>
        <x:v>0</x:v>
      </x:c>
      <x:c r="BQ499" s="23" t="n">
        <x:f>MAX(0,MIN('Activities'!L499,390)-MAX('Activities'!K499,384))</x:f>
        <x:v>0</x:v>
      </x:c>
      <x:c r="BR499" s="23" t="n">
        <x:f>MAX(0,MIN('Activities'!L499,396)-MAX('Activities'!K499,390))</x:f>
        <x:v>0</x:v>
      </x:c>
      <x:c r="BS499" s="23" t="n">
        <x:f>MAX(0,MIN('Activities'!L499,402)-MAX('Activities'!K499,396))</x:f>
        <x:v>0</x:v>
      </x:c>
      <x:c r="BT499" s="23" t="n">
        <x:f>MAX(0,MIN('Activities'!L499,408)-MAX('Activities'!K499,402))</x:f>
        <x:v>0</x:v>
      </x:c>
      <x:c r="BU499" s="23" t="n">
        <x:f>MAX(0,MIN('Activities'!L499,414)-MAX('Activities'!K499,408))</x:f>
        <x:v>0</x:v>
      </x:c>
      <x:c r="BV499" s="23" t="n">
        <x:f>MAX(0,MIN('Activities'!L499,420)-MAX('Activities'!K499,414))</x:f>
        <x:v>0</x:v>
      </x:c>
      <x:c r="BW499" s="23" t="n">
        <x:f>MAX(0,MIN('Activities'!L499,426)-MAX('Activities'!K499,420))</x:f>
        <x:v>0</x:v>
      </x:c>
      <x:c r="BX499" s="23" t="n">
        <x:f>MAX(0,MIN('Activities'!L499,432)-MAX('Activities'!K499,426))</x:f>
        <x:v>0</x:v>
      </x:c>
      <x:c r="BY499" s="23" t="n">
        <x:f>MAX(0,MIN('Activities'!L499,438)-MAX('Activities'!K499,432))</x:f>
        <x:v>0</x:v>
      </x:c>
      <x:c r="BZ499" s="23" t="n">
        <x:f>MAX(0,MIN('Activities'!L499,444)-MAX('Activities'!K499,438))</x:f>
        <x:v>0</x:v>
      </x:c>
      <x:c r="CA499" s="23" t="n">
        <x:f>MAX(0,MIN('Activities'!L499,450)-MAX('Activities'!K499,444))</x:f>
        <x:v>0</x:v>
      </x:c>
      <x:c r="CB499" s="23" t="n">
        <x:f>MAX(0,MIN('Activities'!L499,456)-MAX('Activities'!K499,450))</x:f>
        <x:v>3</x:v>
      </x:c>
      <x:c r="CC499" s="23" t="n">
        <x:f>MAX(0,MIN('Activities'!L499,462)-MAX('Activities'!K499,456))</x:f>
        <x:v>0</x:v>
      </x:c>
      <x:c r="CD499" s="23" t="n">
        <x:f>MAX(0,MIN('Activities'!L499,468)-MAX('Activities'!K499,462))</x:f>
        <x:v>0</x:v>
      </x:c>
      <x:c r="CE499" s="23" t="n">
        <x:f>MAX(0,MIN('Activities'!L499,474)-MAX('Activities'!K499,468))</x:f>
        <x:v>0</x:v>
      </x:c>
      <x:c r="CF499" s="23" t="n">
        <x:f>MAX(0,MIN('Activities'!L499,480)-MAX('Activities'!K499,474))</x:f>
        <x:v>0</x:v>
      </x:c>
      <x:c r="CG499" s="23" t="n">
        <x:f>MAX(0,MIN('Activities'!L499,486)-MAX('Activities'!K499,480))</x:f>
        <x:v>0</x:v>
      </x:c>
      <x:c r="CH499" s="23" t="n">
        <x:f>MAX(0,MIN('Activities'!L499,492)-MAX('Activities'!K499,486))</x:f>
        <x:v>0</x:v>
      </x:c>
      <x:c r="CI499" s="23" t="n">
        <x:f>MAX(0,MIN('Activities'!L499,498)-MAX('Activities'!K499,492))</x:f>
        <x:v>0</x:v>
      </x:c>
      <x:c r="CJ499" s="23" t="n">
        <x:f>MAX(0,MIN('Activities'!L499,504)-MAX('Activities'!K499,498))</x:f>
        <x:v>0</x:v>
      </x:c>
      <x:c r="CK499" s="23" t="n">
        <x:f>MAX(0,MIN('Activities'!L499,510)-MAX('Activities'!K499,504))</x:f>
        <x:v>0</x:v>
      </x:c>
      <x:c r="CL499" s="23" t="n">
        <x:f>MAX(0,MIN('Activities'!L499,516)-MAX('Activities'!K499,510))</x:f>
        <x:v>0</x:v>
      </x:c>
      <x:c r="CM499" s="23" t="n">
        <x:f>MAX(0,MIN('Activities'!L499,522)-MAX('Activities'!K499,516))</x:f>
        <x:v>0</x:v>
      </x:c>
      <x:c r="CN499" s="23" t="n">
        <x:f>MAX(0,MIN('Activities'!L499,528)-MAX('Activities'!K499,522))</x:f>
        <x:v>0</x:v>
      </x:c>
      <x:c r="CO499" s="23" t="n">
        <x:f>MAX(0,MIN('Activities'!L499,534)-MAX('Activities'!K499,528))</x:f>
        <x:v>0</x:v>
      </x:c>
      <x:c r="CP499" s="23" t="n">
        <x:f>MAX(0,MIN('Activities'!L499,540)-MAX('Activities'!K499,534))</x:f>
        <x:v>0</x:v>
      </x:c>
      <x:c r="CQ499" s="23" t="n">
        <x:f>MAX(0,MIN('Activities'!L499,546)-MAX('Activities'!K499,540))</x:f>
        <x:v>0</x:v>
      </x:c>
      <x:c r="CR499" s="23" t="n">
        <x:f>MAX(0,MIN('Activities'!L499,552)-MAX('Activities'!K499,546))</x:f>
        <x:v>0</x:v>
      </x:c>
      <x:c r="CS499" s="23" t="n">
        <x:f>MAX(0,MIN('Activities'!L499,558)-MAX('Activities'!K499,552))</x:f>
        <x:v>0</x:v>
      </x:c>
      <x:c r="CT499" s="23" t="n">
        <x:f>MAX(0,MIN('Activities'!L499,564)-MAX('Activities'!K499,558))</x:f>
        <x:v>0</x:v>
      </x:c>
      <x:c r="CU499" s="23" t="n">
        <x:f>MAX(0,MIN('Activities'!L499,570)-MAX('Activities'!K499,564))</x:f>
        <x:v>0</x:v>
      </x:c>
      <x:c r="CV499" s="23" t="n">
        <x:f>MAX(0,MIN('Activities'!L499,576)-MAX('Activities'!K499,570))</x:f>
        <x:v>0</x:v>
      </x:c>
      <x:c r="CW499" s="23" t="n">
        <x:f>MAX(0,MIN('Activities'!L499,582)-MAX('Activities'!K499,576))</x:f>
        <x:v>0</x:v>
      </x:c>
      <x:c r="CX499" s="23" t="n">
        <x:f>MAX(0,MIN('Activities'!L499,588)-MAX('Activities'!K499,582))</x:f>
        <x:v>0</x:v>
      </x:c>
      <x:c r="CY499" s="23" t="n">
        <x:f>MAX(0,MIN('Activities'!L499,594)-MAX('Activities'!K499,588))</x:f>
        <x:v>0</x:v>
      </x:c>
      <x:c r="CZ499" s="23" t="n">
        <x:f>MAX(0,MIN('Activities'!L499,600)-MAX('Activities'!K499,594))</x:f>
        <x:v>0</x:v>
      </x:c>
      <x:c r="DA499" s="23" t="n">
        <x:f>MAX(0,MIN('Activities'!L499,606)-MAX('Activities'!K499,600))</x:f>
        <x:v>0</x:v>
      </x:c>
      <x:c r="DB499" s="23" t="n">
        <x:f>MAX(0,MIN('Activities'!L499,612)-MAX('Activities'!K499,606))</x:f>
        <x:v>0</x:v>
      </x:c>
      <x:c r="DC499" s="23" t="n">
        <x:f>MAX(0,MIN('Activities'!L499,618)-MAX('Activities'!K499,612))</x:f>
        <x:v>0</x:v>
      </x:c>
      <x:c r="DD499" s="23" t="n">
        <x:f>MAX(0,MIN('Activities'!L499,624)-MAX('Activities'!K499,618))</x:f>
        <x:v>0</x:v>
      </x:c>
      <x:c r="DE499" s="23" t="n">
        <x:f>MAX(0,MIN('Activities'!L499,630)-MAX('Activities'!K499,624))</x:f>
        <x:v>0</x:v>
      </x:c>
      <x:c r="DF499" s="23" t="n">
        <x:f>MAX(0,MIN('Activities'!L499,636)-MAX('Activities'!K499,630))</x:f>
        <x:v>0</x:v>
      </x:c>
    </x:row>
    <x:row r="500" ht="23" customHeight="1">
      <x:c r="A500" s="6" t="str">
        <x:v>T4-L05-M</x:v>
      </x:c>
      <x:c r="B500" s="6" t="str">
        <x:v>T4</x:v>
      </x:c>
      <x:c r="C500" s="6" t="str">
        <x:v>Partition masonry</x:v>
      </x:c>
      <x:c r="D500" s="6" t="str">
        <x:v>Masonry</x:v>
      </x:c>
      <x:c r="E500" s="22" t="n">
        <x:f>MAX(0,MIN('Activities'!L500,6)-MAX('Activities'!K500,0))</x:f>
        <x:v>0</x:v>
      </x:c>
      <x:c r="F500" s="22" t="n">
        <x:f>MAX(0,MIN('Activities'!L500,12)-MAX('Activities'!K500,6))</x:f>
        <x:v>0</x:v>
      </x:c>
      <x:c r="G500" s="22" t="n">
        <x:f>MAX(0,MIN('Activities'!L500,18)-MAX('Activities'!K500,12))</x:f>
        <x:v>0</x:v>
      </x:c>
      <x:c r="H500" s="22" t="n">
        <x:f>MAX(0,MIN('Activities'!L500,24)-MAX('Activities'!K500,18))</x:f>
        <x:v>0</x:v>
      </x:c>
      <x:c r="I500" s="22" t="n">
        <x:f>MAX(0,MIN('Activities'!L500,30)-MAX('Activities'!K500,24))</x:f>
        <x:v>0</x:v>
      </x:c>
      <x:c r="J500" s="22" t="n">
        <x:f>MAX(0,MIN('Activities'!L500,36)-MAX('Activities'!K500,30))</x:f>
        <x:v>0</x:v>
      </x:c>
      <x:c r="K500" s="22" t="n">
        <x:f>MAX(0,MIN('Activities'!L500,42)-MAX('Activities'!K500,36))</x:f>
        <x:v>0</x:v>
      </x:c>
      <x:c r="L500" s="22" t="n">
        <x:f>MAX(0,MIN('Activities'!L500,48)-MAX('Activities'!K500,42))</x:f>
        <x:v>0</x:v>
      </x:c>
      <x:c r="M500" s="22" t="n">
        <x:f>MAX(0,MIN('Activities'!L500,54)-MAX('Activities'!K500,48))</x:f>
        <x:v>0</x:v>
      </x:c>
      <x:c r="N500" s="22" t="n">
        <x:f>MAX(0,MIN('Activities'!L500,60)-MAX('Activities'!K500,54))</x:f>
        <x:v>0</x:v>
      </x:c>
      <x:c r="O500" s="22" t="n">
        <x:f>MAX(0,MIN('Activities'!L500,66)-MAX('Activities'!K500,60))</x:f>
        <x:v>0</x:v>
      </x:c>
      <x:c r="P500" s="22" t="n">
        <x:f>MAX(0,MIN('Activities'!L500,72)-MAX('Activities'!K500,66))</x:f>
        <x:v>0</x:v>
      </x:c>
      <x:c r="Q500" s="22" t="n">
        <x:f>MAX(0,MIN('Activities'!L500,78)-MAX('Activities'!K500,72))</x:f>
        <x:v>0</x:v>
      </x:c>
      <x:c r="R500" s="22" t="n">
        <x:f>MAX(0,MIN('Activities'!L500,84)-MAX('Activities'!K500,78))</x:f>
        <x:v>0</x:v>
      </x:c>
      <x:c r="S500" s="22" t="n">
        <x:f>MAX(0,MIN('Activities'!L500,90)-MAX('Activities'!K500,84))</x:f>
        <x:v>0</x:v>
      </x:c>
      <x:c r="T500" s="22" t="n">
        <x:f>MAX(0,MIN('Activities'!L500,96)-MAX('Activities'!K500,90))</x:f>
        <x:v>0</x:v>
      </x:c>
      <x:c r="U500" s="22" t="n">
        <x:f>MAX(0,MIN('Activities'!L500,102)-MAX('Activities'!K500,96))</x:f>
        <x:v>0</x:v>
      </x:c>
      <x:c r="V500" s="22" t="n">
        <x:f>MAX(0,MIN('Activities'!L500,108)-MAX('Activities'!K500,102))</x:f>
        <x:v>0</x:v>
      </x:c>
      <x:c r="W500" s="22" t="n">
        <x:f>MAX(0,MIN('Activities'!L500,114)-MAX('Activities'!K500,108))</x:f>
        <x:v>0</x:v>
      </x:c>
      <x:c r="X500" s="22" t="n">
        <x:f>MAX(0,MIN('Activities'!L500,120)-MAX('Activities'!K500,114))</x:f>
        <x:v>0</x:v>
      </x:c>
      <x:c r="Y500" s="22" t="n">
        <x:f>MAX(0,MIN('Activities'!L500,126)-MAX('Activities'!K500,120))</x:f>
        <x:v>0</x:v>
      </x:c>
      <x:c r="Z500" s="22" t="n">
        <x:f>MAX(0,MIN('Activities'!L500,132)-MAX('Activities'!K500,126))</x:f>
        <x:v>0</x:v>
      </x:c>
      <x:c r="AA500" s="22" t="n">
        <x:f>MAX(0,MIN('Activities'!L500,138)-MAX('Activities'!K500,132))</x:f>
        <x:v>0</x:v>
      </x:c>
      <x:c r="AB500" s="22" t="n">
        <x:f>MAX(0,MIN('Activities'!L500,144)-MAX('Activities'!K500,138))</x:f>
        <x:v>0</x:v>
      </x:c>
      <x:c r="AC500" s="22" t="n">
        <x:f>MAX(0,MIN('Activities'!L500,150)-MAX('Activities'!K500,144))</x:f>
        <x:v>0</x:v>
      </x:c>
      <x:c r="AD500" s="22" t="n">
        <x:f>MAX(0,MIN('Activities'!L500,156)-MAX('Activities'!K500,150))</x:f>
        <x:v>0</x:v>
      </x:c>
      <x:c r="AE500" s="22" t="n">
        <x:f>MAX(0,MIN('Activities'!L500,162)-MAX('Activities'!K500,156))</x:f>
        <x:v>0</x:v>
      </x:c>
      <x:c r="AF500" s="22" t="n">
        <x:f>MAX(0,MIN('Activities'!L500,168)-MAX('Activities'!K500,162))</x:f>
        <x:v>0</x:v>
      </x:c>
      <x:c r="AG500" s="22" t="n">
        <x:f>MAX(0,MIN('Activities'!L500,174)-MAX('Activities'!K500,168))</x:f>
        <x:v>0</x:v>
      </x:c>
      <x:c r="AH500" s="22" t="n">
        <x:f>MAX(0,MIN('Activities'!L500,180)-MAX('Activities'!K500,174))</x:f>
        <x:v>0</x:v>
      </x:c>
      <x:c r="AI500" s="22" t="n">
        <x:f>MAX(0,MIN('Activities'!L500,186)-MAX('Activities'!K500,180))</x:f>
        <x:v>0</x:v>
      </x:c>
      <x:c r="AJ500" s="22" t="n">
        <x:f>MAX(0,MIN('Activities'!L500,192)-MAX('Activities'!K500,186))</x:f>
        <x:v>0</x:v>
      </x:c>
      <x:c r="AK500" s="22" t="n">
        <x:f>MAX(0,MIN('Activities'!L500,198)-MAX('Activities'!K500,192))</x:f>
        <x:v>0</x:v>
      </x:c>
      <x:c r="AL500" s="22" t="n">
        <x:f>MAX(0,MIN('Activities'!L500,204)-MAX('Activities'!K500,198))</x:f>
        <x:v>0</x:v>
      </x:c>
      <x:c r="AM500" s="22" t="n">
        <x:f>MAX(0,MIN('Activities'!L500,210)-MAX('Activities'!K500,204))</x:f>
        <x:v>0</x:v>
      </x:c>
      <x:c r="AN500" s="22" t="n">
        <x:f>MAX(0,MIN('Activities'!L500,216)-MAX('Activities'!K500,210))</x:f>
        <x:v>0</x:v>
      </x:c>
      <x:c r="AO500" s="22" t="n">
        <x:f>MAX(0,MIN('Activities'!L500,222)-MAX('Activities'!K500,216))</x:f>
        <x:v>0</x:v>
      </x:c>
      <x:c r="AP500" s="22" t="n">
        <x:f>MAX(0,MIN('Activities'!L500,228)-MAX('Activities'!K500,222))</x:f>
        <x:v>0</x:v>
      </x:c>
      <x:c r="AQ500" s="22" t="n">
        <x:f>MAX(0,MIN('Activities'!L500,234)-MAX('Activities'!K500,228))</x:f>
        <x:v>0</x:v>
      </x:c>
      <x:c r="AR500" s="22" t="n">
        <x:f>MAX(0,MIN('Activities'!L500,240)-MAX('Activities'!K500,234))</x:f>
        <x:v>0</x:v>
      </x:c>
      <x:c r="AS500" s="22" t="n">
        <x:f>MAX(0,MIN('Activities'!L500,246)-MAX('Activities'!K500,240))</x:f>
        <x:v>0</x:v>
      </x:c>
      <x:c r="AT500" s="22" t="n">
        <x:f>MAX(0,MIN('Activities'!L500,252)-MAX('Activities'!K500,246))</x:f>
        <x:v>0</x:v>
      </x:c>
      <x:c r="AU500" s="22" t="n">
        <x:f>MAX(0,MIN('Activities'!L500,258)-MAX('Activities'!K500,252))</x:f>
        <x:v>0</x:v>
      </x:c>
      <x:c r="AV500" s="22" t="n">
        <x:f>MAX(0,MIN('Activities'!L500,264)-MAX('Activities'!K500,258))</x:f>
        <x:v>0</x:v>
      </x:c>
      <x:c r="AW500" s="22" t="n">
        <x:f>MAX(0,MIN('Activities'!L500,270)-MAX('Activities'!K500,264))</x:f>
        <x:v>0</x:v>
      </x:c>
      <x:c r="AX500" s="22" t="n">
        <x:f>MAX(0,MIN('Activities'!L500,276)-MAX('Activities'!K500,270))</x:f>
        <x:v>0</x:v>
      </x:c>
      <x:c r="AY500" s="22" t="n">
        <x:f>MAX(0,MIN('Activities'!L500,282)-MAX('Activities'!K500,276))</x:f>
        <x:v>0</x:v>
      </x:c>
      <x:c r="AZ500" s="22" t="n">
        <x:f>MAX(0,MIN('Activities'!L500,288)-MAX('Activities'!K500,282))</x:f>
        <x:v>0</x:v>
      </x:c>
      <x:c r="BA500" s="22" t="n">
        <x:f>MAX(0,MIN('Activities'!L500,294)-MAX('Activities'!K500,288))</x:f>
        <x:v>0</x:v>
      </x:c>
      <x:c r="BB500" s="22" t="n">
        <x:f>MAX(0,MIN('Activities'!L500,300)-MAX('Activities'!K500,294))</x:f>
        <x:v>0</x:v>
      </x:c>
      <x:c r="BC500" s="22" t="n">
        <x:f>MAX(0,MIN('Activities'!L500,306)-MAX('Activities'!K500,300))</x:f>
        <x:v>0</x:v>
      </x:c>
      <x:c r="BD500" s="22" t="n">
        <x:f>MAX(0,MIN('Activities'!L500,312)-MAX('Activities'!K500,306))</x:f>
        <x:v>0</x:v>
      </x:c>
      <x:c r="BE500" s="22" t="n">
        <x:f>MAX(0,MIN('Activities'!L500,318)-MAX('Activities'!K500,312))</x:f>
        <x:v>0</x:v>
      </x:c>
      <x:c r="BF500" s="22" t="n">
        <x:f>MAX(0,MIN('Activities'!L500,324)-MAX('Activities'!K500,318))</x:f>
        <x:v>0</x:v>
      </x:c>
      <x:c r="BG500" s="22" t="n">
        <x:f>MAX(0,MIN('Activities'!L500,330)-MAX('Activities'!K500,324))</x:f>
        <x:v>0</x:v>
      </x:c>
      <x:c r="BH500" s="22" t="n">
        <x:f>MAX(0,MIN('Activities'!L500,336)-MAX('Activities'!K500,330))</x:f>
        <x:v>0</x:v>
      </x:c>
      <x:c r="BI500" s="22" t="n">
        <x:f>MAX(0,MIN('Activities'!L500,342)-MAX('Activities'!K500,336))</x:f>
        <x:v>5</x:v>
      </x:c>
      <x:c r="BJ500" s="22" t="n">
        <x:f>MAX(0,MIN('Activities'!L500,348)-MAX('Activities'!K500,342))</x:f>
        <x:v>0</x:v>
      </x:c>
      <x:c r="BK500" s="22" t="n">
        <x:f>MAX(0,MIN('Activities'!L500,354)-MAX('Activities'!K500,348))</x:f>
        <x:v>0</x:v>
      </x:c>
      <x:c r="BL500" s="22" t="n">
        <x:f>MAX(0,MIN('Activities'!L500,360)-MAX('Activities'!K500,354))</x:f>
        <x:v>0</x:v>
      </x:c>
      <x:c r="BM500" s="22" t="n">
        <x:f>MAX(0,MIN('Activities'!L500,366)-MAX('Activities'!K500,360))</x:f>
        <x:v>0</x:v>
      </x:c>
      <x:c r="BN500" s="22" t="n">
        <x:f>MAX(0,MIN('Activities'!L500,372)-MAX('Activities'!K500,366))</x:f>
        <x:v>0</x:v>
      </x:c>
      <x:c r="BO500" s="22" t="n">
        <x:f>MAX(0,MIN('Activities'!L500,378)-MAX('Activities'!K500,372))</x:f>
        <x:v>0</x:v>
      </x:c>
      <x:c r="BP500" s="22" t="n">
        <x:f>MAX(0,MIN('Activities'!L500,384)-MAX('Activities'!K500,378))</x:f>
        <x:v>0</x:v>
      </x:c>
      <x:c r="BQ500" s="22" t="n">
        <x:f>MAX(0,MIN('Activities'!L500,390)-MAX('Activities'!K500,384))</x:f>
        <x:v>0</x:v>
      </x:c>
      <x:c r="BR500" s="22" t="n">
        <x:f>MAX(0,MIN('Activities'!L500,396)-MAX('Activities'!K500,390))</x:f>
        <x:v>0</x:v>
      </x:c>
      <x:c r="BS500" s="22" t="n">
        <x:f>MAX(0,MIN('Activities'!L500,402)-MAX('Activities'!K500,396))</x:f>
        <x:v>0</x:v>
      </x:c>
      <x:c r="BT500" s="22" t="n">
        <x:f>MAX(0,MIN('Activities'!L500,408)-MAX('Activities'!K500,402))</x:f>
        <x:v>0</x:v>
      </x:c>
      <x:c r="BU500" s="22" t="n">
        <x:f>MAX(0,MIN('Activities'!L500,414)-MAX('Activities'!K500,408))</x:f>
        <x:v>0</x:v>
      </x:c>
      <x:c r="BV500" s="22" t="n">
        <x:f>MAX(0,MIN('Activities'!L500,420)-MAX('Activities'!K500,414))</x:f>
        <x:v>0</x:v>
      </x:c>
      <x:c r="BW500" s="22" t="n">
        <x:f>MAX(0,MIN('Activities'!L500,426)-MAX('Activities'!K500,420))</x:f>
        <x:v>0</x:v>
      </x:c>
      <x:c r="BX500" s="22" t="n">
        <x:f>MAX(0,MIN('Activities'!L500,432)-MAX('Activities'!K500,426))</x:f>
        <x:v>0</x:v>
      </x:c>
      <x:c r="BY500" s="22" t="n">
        <x:f>MAX(0,MIN('Activities'!L500,438)-MAX('Activities'!K500,432))</x:f>
        <x:v>0</x:v>
      </x:c>
      <x:c r="BZ500" s="22" t="n">
        <x:f>MAX(0,MIN('Activities'!L500,444)-MAX('Activities'!K500,438))</x:f>
        <x:v>0</x:v>
      </x:c>
      <x:c r="CA500" s="22" t="n">
        <x:f>MAX(0,MIN('Activities'!L500,450)-MAX('Activities'!K500,444))</x:f>
        <x:v>0</x:v>
      </x:c>
      <x:c r="CB500" s="22" t="n">
        <x:f>MAX(0,MIN('Activities'!L500,456)-MAX('Activities'!K500,450))</x:f>
        <x:v>0</x:v>
      </x:c>
      <x:c r="CC500" s="22" t="n">
        <x:f>MAX(0,MIN('Activities'!L500,462)-MAX('Activities'!K500,456))</x:f>
        <x:v>0</x:v>
      </x:c>
      <x:c r="CD500" s="22" t="n">
        <x:f>MAX(0,MIN('Activities'!L500,468)-MAX('Activities'!K500,462))</x:f>
        <x:v>0</x:v>
      </x:c>
      <x:c r="CE500" s="22" t="n">
        <x:f>MAX(0,MIN('Activities'!L500,474)-MAX('Activities'!K500,468))</x:f>
        <x:v>0</x:v>
      </x:c>
      <x:c r="CF500" s="22" t="n">
        <x:f>MAX(0,MIN('Activities'!L500,480)-MAX('Activities'!K500,474))</x:f>
        <x:v>0</x:v>
      </x:c>
      <x:c r="CG500" s="22" t="n">
        <x:f>MAX(0,MIN('Activities'!L500,486)-MAX('Activities'!K500,480))</x:f>
        <x:v>0</x:v>
      </x:c>
      <x:c r="CH500" s="22" t="n">
        <x:f>MAX(0,MIN('Activities'!L500,492)-MAX('Activities'!K500,486))</x:f>
        <x:v>0</x:v>
      </x:c>
      <x:c r="CI500" s="22" t="n">
        <x:f>MAX(0,MIN('Activities'!L500,498)-MAX('Activities'!K500,492))</x:f>
        <x:v>0</x:v>
      </x:c>
      <x:c r="CJ500" s="22" t="n">
        <x:f>MAX(0,MIN('Activities'!L500,504)-MAX('Activities'!K500,498))</x:f>
        <x:v>0</x:v>
      </x:c>
      <x:c r="CK500" s="22" t="n">
        <x:f>MAX(0,MIN('Activities'!L500,510)-MAX('Activities'!K500,504))</x:f>
        <x:v>0</x:v>
      </x:c>
      <x:c r="CL500" s="22" t="n">
        <x:f>MAX(0,MIN('Activities'!L500,516)-MAX('Activities'!K500,510))</x:f>
        <x:v>0</x:v>
      </x:c>
      <x:c r="CM500" s="22" t="n">
        <x:f>MAX(0,MIN('Activities'!L500,522)-MAX('Activities'!K500,516))</x:f>
        <x:v>0</x:v>
      </x:c>
      <x:c r="CN500" s="22" t="n">
        <x:f>MAX(0,MIN('Activities'!L500,528)-MAX('Activities'!K500,522))</x:f>
        <x:v>0</x:v>
      </x:c>
      <x:c r="CO500" s="22" t="n">
        <x:f>MAX(0,MIN('Activities'!L500,534)-MAX('Activities'!K500,528))</x:f>
        <x:v>0</x:v>
      </x:c>
      <x:c r="CP500" s="22" t="n">
        <x:f>MAX(0,MIN('Activities'!L500,540)-MAX('Activities'!K500,534))</x:f>
        <x:v>0</x:v>
      </x:c>
      <x:c r="CQ500" s="22" t="n">
        <x:f>MAX(0,MIN('Activities'!L500,546)-MAX('Activities'!K500,540))</x:f>
        <x:v>0</x:v>
      </x:c>
      <x:c r="CR500" s="22" t="n">
        <x:f>MAX(0,MIN('Activities'!L500,552)-MAX('Activities'!K500,546))</x:f>
        <x:v>0</x:v>
      </x:c>
      <x:c r="CS500" s="22" t="n">
        <x:f>MAX(0,MIN('Activities'!L500,558)-MAX('Activities'!K500,552))</x:f>
        <x:v>0</x:v>
      </x:c>
      <x:c r="CT500" s="22" t="n">
        <x:f>MAX(0,MIN('Activities'!L500,564)-MAX('Activities'!K500,558))</x:f>
        <x:v>0</x:v>
      </x:c>
      <x:c r="CU500" s="22" t="n">
        <x:f>MAX(0,MIN('Activities'!L500,570)-MAX('Activities'!K500,564))</x:f>
        <x:v>0</x:v>
      </x:c>
      <x:c r="CV500" s="22" t="n">
        <x:f>MAX(0,MIN('Activities'!L500,576)-MAX('Activities'!K500,570))</x:f>
        <x:v>0</x:v>
      </x:c>
      <x:c r="CW500" s="22" t="n">
        <x:f>MAX(0,MIN('Activities'!L500,582)-MAX('Activities'!K500,576))</x:f>
        <x:v>0</x:v>
      </x:c>
      <x:c r="CX500" s="22" t="n">
        <x:f>MAX(0,MIN('Activities'!L500,588)-MAX('Activities'!K500,582))</x:f>
        <x:v>0</x:v>
      </x:c>
      <x:c r="CY500" s="22" t="n">
        <x:f>MAX(0,MIN('Activities'!L500,594)-MAX('Activities'!K500,588))</x:f>
        <x:v>0</x:v>
      </x:c>
      <x:c r="CZ500" s="22" t="n">
        <x:f>MAX(0,MIN('Activities'!L500,600)-MAX('Activities'!K500,594))</x:f>
        <x:v>0</x:v>
      </x:c>
      <x:c r="DA500" s="22" t="n">
        <x:f>MAX(0,MIN('Activities'!L500,606)-MAX('Activities'!K500,600))</x:f>
        <x:v>0</x:v>
      </x:c>
      <x:c r="DB500" s="22" t="n">
        <x:f>MAX(0,MIN('Activities'!L500,612)-MAX('Activities'!K500,606))</x:f>
        <x:v>0</x:v>
      </x:c>
      <x:c r="DC500" s="22" t="n">
        <x:f>MAX(0,MIN('Activities'!L500,618)-MAX('Activities'!K500,612))</x:f>
        <x:v>0</x:v>
      </x:c>
      <x:c r="DD500" s="22" t="n">
        <x:f>MAX(0,MIN('Activities'!L500,624)-MAX('Activities'!K500,618))</x:f>
        <x:v>0</x:v>
      </x:c>
      <x:c r="DE500" s="22" t="n">
        <x:f>MAX(0,MIN('Activities'!L500,630)-MAX('Activities'!K500,624))</x:f>
        <x:v>0</x:v>
      </x:c>
      <x:c r="DF500" s="22" t="n">
        <x:f>MAX(0,MIN('Activities'!L500,636)-MAX('Activities'!K500,630))</x:f>
        <x:v>0</x:v>
      </x:c>
    </x:row>
    <x:row r="501" ht="23" customHeight="1">
      <x:c r="A501" s="1" t="str">
        <x:v>T4-L05-P</x:v>
      </x:c>
      <x:c r="B501" s="1" t="str">
        <x:v>T4</x:v>
      </x:c>
      <x:c r="C501" s="1" t="str">
        <x:v>Internal plaster</x:v>
      </x:c>
      <x:c r="D501" s="1" t="str">
        <x:v>Finishes</x:v>
      </x:c>
      <x:c r="E501" s="23" t="n">
        <x:f>MAX(0,MIN('Activities'!L501,6)-MAX('Activities'!K501,0))</x:f>
        <x:v>0</x:v>
      </x:c>
      <x:c r="F501" s="23" t="n">
        <x:f>MAX(0,MIN('Activities'!L501,12)-MAX('Activities'!K501,6))</x:f>
        <x:v>0</x:v>
      </x:c>
      <x:c r="G501" s="23" t="n">
        <x:f>MAX(0,MIN('Activities'!L501,18)-MAX('Activities'!K501,12))</x:f>
        <x:v>0</x:v>
      </x:c>
      <x:c r="H501" s="23" t="n">
        <x:f>MAX(0,MIN('Activities'!L501,24)-MAX('Activities'!K501,18))</x:f>
        <x:v>0</x:v>
      </x:c>
      <x:c r="I501" s="23" t="n">
        <x:f>MAX(0,MIN('Activities'!L501,30)-MAX('Activities'!K501,24))</x:f>
        <x:v>0</x:v>
      </x:c>
      <x:c r="J501" s="23" t="n">
        <x:f>MAX(0,MIN('Activities'!L501,36)-MAX('Activities'!K501,30))</x:f>
        <x:v>0</x:v>
      </x:c>
      <x:c r="K501" s="23" t="n">
        <x:f>MAX(0,MIN('Activities'!L501,42)-MAX('Activities'!K501,36))</x:f>
        <x:v>0</x:v>
      </x:c>
      <x:c r="L501" s="23" t="n">
        <x:f>MAX(0,MIN('Activities'!L501,48)-MAX('Activities'!K501,42))</x:f>
        <x:v>0</x:v>
      </x:c>
      <x:c r="M501" s="23" t="n">
        <x:f>MAX(0,MIN('Activities'!L501,54)-MAX('Activities'!K501,48))</x:f>
        <x:v>0</x:v>
      </x:c>
      <x:c r="N501" s="23" t="n">
        <x:f>MAX(0,MIN('Activities'!L501,60)-MAX('Activities'!K501,54))</x:f>
        <x:v>0</x:v>
      </x:c>
      <x:c r="O501" s="23" t="n">
        <x:f>MAX(0,MIN('Activities'!L501,66)-MAX('Activities'!K501,60))</x:f>
        <x:v>0</x:v>
      </x:c>
      <x:c r="P501" s="23" t="n">
        <x:f>MAX(0,MIN('Activities'!L501,72)-MAX('Activities'!K501,66))</x:f>
        <x:v>0</x:v>
      </x:c>
      <x:c r="Q501" s="23" t="n">
        <x:f>MAX(0,MIN('Activities'!L501,78)-MAX('Activities'!K501,72))</x:f>
        <x:v>0</x:v>
      </x:c>
      <x:c r="R501" s="23" t="n">
        <x:f>MAX(0,MIN('Activities'!L501,84)-MAX('Activities'!K501,78))</x:f>
        <x:v>0</x:v>
      </x:c>
      <x:c r="S501" s="23" t="n">
        <x:f>MAX(0,MIN('Activities'!L501,90)-MAX('Activities'!K501,84))</x:f>
        <x:v>0</x:v>
      </x:c>
      <x:c r="T501" s="23" t="n">
        <x:f>MAX(0,MIN('Activities'!L501,96)-MAX('Activities'!K501,90))</x:f>
        <x:v>0</x:v>
      </x:c>
      <x:c r="U501" s="23" t="n">
        <x:f>MAX(0,MIN('Activities'!L501,102)-MAX('Activities'!K501,96))</x:f>
        <x:v>0</x:v>
      </x:c>
      <x:c r="V501" s="23" t="n">
        <x:f>MAX(0,MIN('Activities'!L501,108)-MAX('Activities'!K501,102))</x:f>
        <x:v>0</x:v>
      </x:c>
      <x:c r="W501" s="23" t="n">
        <x:f>MAX(0,MIN('Activities'!L501,114)-MAX('Activities'!K501,108))</x:f>
        <x:v>0</x:v>
      </x:c>
      <x:c r="X501" s="23" t="n">
        <x:f>MAX(0,MIN('Activities'!L501,120)-MAX('Activities'!K501,114))</x:f>
        <x:v>0</x:v>
      </x:c>
      <x:c r="Y501" s="23" t="n">
        <x:f>MAX(0,MIN('Activities'!L501,126)-MAX('Activities'!K501,120))</x:f>
        <x:v>0</x:v>
      </x:c>
      <x:c r="Z501" s="23" t="n">
        <x:f>MAX(0,MIN('Activities'!L501,132)-MAX('Activities'!K501,126))</x:f>
        <x:v>0</x:v>
      </x:c>
      <x:c r="AA501" s="23" t="n">
        <x:f>MAX(0,MIN('Activities'!L501,138)-MAX('Activities'!K501,132))</x:f>
        <x:v>0</x:v>
      </x:c>
      <x:c r="AB501" s="23" t="n">
        <x:f>MAX(0,MIN('Activities'!L501,144)-MAX('Activities'!K501,138))</x:f>
        <x:v>0</x:v>
      </x:c>
      <x:c r="AC501" s="23" t="n">
        <x:f>MAX(0,MIN('Activities'!L501,150)-MAX('Activities'!K501,144))</x:f>
        <x:v>0</x:v>
      </x:c>
      <x:c r="AD501" s="23" t="n">
        <x:f>MAX(0,MIN('Activities'!L501,156)-MAX('Activities'!K501,150))</x:f>
        <x:v>0</x:v>
      </x:c>
      <x:c r="AE501" s="23" t="n">
        <x:f>MAX(0,MIN('Activities'!L501,162)-MAX('Activities'!K501,156))</x:f>
        <x:v>0</x:v>
      </x:c>
      <x:c r="AF501" s="23" t="n">
        <x:f>MAX(0,MIN('Activities'!L501,168)-MAX('Activities'!K501,162))</x:f>
        <x:v>0</x:v>
      </x:c>
      <x:c r="AG501" s="23" t="n">
        <x:f>MAX(0,MIN('Activities'!L501,174)-MAX('Activities'!K501,168))</x:f>
        <x:v>0</x:v>
      </x:c>
      <x:c r="AH501" s="23" t="n">
        <x:f>MAX(0,MIN('Activities'!L501,180)-MAX('Activities'!K501,174))</x:f>
        <x:v>0</x:v>
      </x:c>
      <x:c r="AI501" s="23" t="n">
        <x:f>MAX(0,MIN('Activities'!L501,186)-MAX('Activities'!K501,180))</x:f>
        <x:v>0</x:v>
      </x:c>
      <x:c r="AJ501" s="23" t="n">
        <x:f>MAX(0,MIN('Activities'!L501,192)-MAX('Activities'!K501,186))</x:f>
        <x:v>0</x:v>
      </x:c>
      <x:c r="AK501" s="23" t="n">
        <x:f>MAX(0,MIN('Activities'!L501,198)-MAX('Activities'!K501,192))</x:f>
        <x:v>0</x:v>
      </x:c>
      <x:c r="AL501" s="23" t="n">
        <x:f>MAX(0,MIN('Activities'!L501,204)-MAX('Activities'!K501,198))</x:f>
        <x:v>0</x:v>
      </x:c>
      <x:c r="AM501" s="23" t="n">
        <x:f>MAX(0,MIN('Activities'!L501,210)-MAX('Activities'!K501,204))</x:f>
        <x:v>0</x:v>
      </x:c>
      <x:c r="AN501" s="23" t="n">
        <x:f>MAX(0,MIN('Activities'!L501,216)-MAX('Activities'!K501,210))</x:f>
        <x:v>0</x:v>
      </x:c>
      <x:c r="AO501" s="23" t="n">
        <x:f>MAX(0,MIN('Activities'!L501,222)-MAX('Activities'!K501,216))</x:f>
        <x:v>0</x:v>
      </x:c>
      <x:c r="AP501" s="23" t="n">
        <x:f>MAX(0,MIN('Activities'!L501,228)-MAX('Activities'!K501,222))</x:f>
        <x:v>0</x:v>
      </x:c>
      <x:c r="AQ501" s="23" t="n">
        <x:f>MAX(0,MIN('Activities'!L501,234)-MAX('Activities'!K501,228))</x:f>
        <x:v>0</x:v>
      </x:c>
      <x:c r="AR501" s="23" t="n">
        <x:f>MAX(0,MIN('Activities'!L501,240)-MAX('Activities'!K501,234))</x:f>
        <x:v>0</x:v>
      </x:c>
      <x:c r="AS501" s="23" t="n">
        <x:f>MAX(0,MIN('Activities'!L501,246)-MAX('Activities'!K501,240))</x:f>
        <x:v>0</x:v>
      </x:c>
      <x:c r="AT501" s="23" t="n">
        <x:f>MAX(0,MIN('Activities'!L501,252)-MAX('Activities'!K501,246))</x:f>
        <x:v>0</x:v>
      </x:c>
      <x:c r="AU501" s="23" t="n">
        <x:f>MAX(0,MIN('Activities'!L501,258)-MAX('Activities'!K501,252))</x:f>
        <x:v>0</x:v>
      </x:c>
      <x:c r="AV501" s="23" t="n">
        <x:f>MAX(0,MIN('Activities'!L501,264)-MAX('Activities'!K501,258))</x:f>
        <x:v>0</x:v>
      </x:c>
      <x:c r="AW501" s="23" t="n">
        <x:f>MAX(0,MIN('Activities'!L501,270)-MAX('Activities'!K501,264))</x:f>
        <x:v>0</x:v>
      </x:c>
      <x:c r="AX501" s="23" t="n">
        <x:f>MAX(0,MIN('Activities'!L501,276)-MAX('Activities'!K501,270))</x:f>
        <x:v>0</x:v>
      </x:c>
      <x:c r="AY501" s="23" t="n">
        <x:f>MAX(0,MIN('Activities'!L501,282)-MAX('Activities'!K501,276))</x:f>
        <x:v>0</x:v>
      </x:c>
      <x:c r="AZ501" s="23" t="n">
        <x:f>MAX(0,MIN('Activities'!L501,288)-MAX('Activities'!K501,282))</x:f>
        <x:v>0</x:v>
      </x:c>
      <x:c r="BA501" s="23" t="n">
        <x:f>MAX(0,MIN('Activities'!L501,294)-MAX('Activities'!K501,288))</x:f>
        <x:v>0</x:v>
      </x:c>
      <x:c r="BB501" s="23" t="n">
        <x:f>MAX(0,MIN('Activities'!L501,300)-MAX('Activities'!K501,294))</x:f>
        <x:v>0</x:v>
      </x:c>
      <x:c r="BC501" s="23" t="n">
        <x:f>MAX(0,MIN('Activities'!L501,306)-MAX('Activities'!K501,300))</x:f>
        <x:v>0</x:v>
      </x:c>
      <x:c r="BD501" s="23" t="n">
        <x:f>MAX(0,MIN('Activities'!L501,312)-MAX('Activities'!K501,306))</x:f>
        <x:v>0</x:v>
      </x:c>
      <x:c r="BE501" s="23" t="n">
        <x:f>MAX(0,MIN('Activities'!L501,318)-MAX('Activities'!K501,312))</x:f>
        <x:v>0</x:v>
      </x:c>
      <x:c r="BF501" s="23" t="n">
        <x:f>MAX(0,MIN('Activities'!L501,324)-MAX('Activities'!K501,318))</x:f>
        <x:v>0</x:v>
      </x:c>
      <x:c r="BG501" s="23" t="n">
        <x:f>MAX(0,MIN('Activities'!L501,330)-MAX('Activities'!K501,324))</x:f>
        <x:v>0</x:v>
      </x:c>
      <x:c r="BH501" s="23" t="n">
        <x:f>MAX(0,MIN('Activities'!L501,336)-MAX('Activities'!K501,330))</x:f>
        <x:v>0</x:v>
      </x:c>
      <x:c r="BI501" s="23" t="n">
        <x:f>MAX(0,MIN('Activities'!L501,342)-MAX('Activities'!K501,336))</x:f>
        <x:v>0</x:v>
      </x:c>
      <x:c r="BJ501" s="23" t="n">
        <x:f>MAX(0,MIN('Activities'!L501,348)-MAX('Activities'!K501,342))</x:f>
        <x:v>3</x:v>
      </x:c>
      <x:c r="BK501" s="23" t="n">
        <x:f>MAX(0,MIN('Activities'!L501,354)-MAX('Activities'!K501,348))</x:f>
        <x:v>3</x:v>
      </x:c>
      <x:c r="BL501" s="23" t="n">
        <x:f>MAX(0,MIN('Activities'!L501,360)-MAX('Activities'!K501,354))</x:f>
        <x:v>0</x:v>
      </x:c>
      <x:c r="BM501" s="23" t="n">
        <x:f>MAX(0,MIN('Activities'!L501,366)-MAX('Activities'!K501,360))</x:f>
        <x:v>0</x:v>
      </x:c>
      <x:c r="BN501" s="23" t="n">
        <x:f>MAX(0,MIN('Activities'!L501,372)-MAX('Activities'!K501,366))</x:f>
        <x:v>0</x:v>
      </x:c>
      <x:c r="BO501" s="23" t="n">
        <x:f>MAX(0,MIN('Activities'!L501,378)-MAX('Activities'!K501,372))</x:f>
        <x:v>0</x:v>
      </x:c>
      <x:c r="BP501" s="23" t="n">
        <x:f>MAX(0,MIN('Activities'!L501,384)-MAX('Activities'!K501,378))</x:f>
        <x:v>0</x:v>
      </x:c>
      <x:c r="BQ501" s="23" t="n">
        <x:f>MAX(0,MIN('Activities'!L501,390)-MAX('Activities'!K501,384))</x:f>
        <x:v>0</x:v>
      </x:c>
      <x:c r="BR501" s="23" t="n">
        <x:f>MAX(0,MIN('Activities'!L501,396)-MAX('Activities'!K501,390))</x:f>
        <x:v>0</x:v>
      </x:c>
      <x:c r="BS501" s="23" t="n">
        <x:f>MAX(0,MIN('Activities'!L501,402)-MAX('Activities'!K501,396))</x:f>
        <x:v>0</x:v>
      </x:c>
      <x:c r="BT501" s="23" t="n">
        <x:f>MAX(0,MIN('Activities'!L501,408)-MAX('Activities'!K501,402))</x:f>
        <x:v>0</x:v>
      </x:c>
      <x:c r="BU501" s="23" t="n">
        <x:f>MAX(0,MIN('Activities'!L501,414)-MAX('Activities'!K501,408))</x:f>
        <x:v>0</x:v>
      </x:c>
      <x:c r="BV501" s="23" t="n">
        <x:f>MAX(0,MIN('Activities'!L501,420)-MAX('Activities'!K501,414))</x:f>
        <x:v>0</x:v>
      </x:c>
      <x:c r="BW501" s="23" t="n">
        <x:f>MAX(0,MIN('Activities'!L501,426)-MAX('Activities'!K501,420))</x:f>
        <x:v>0</x:v>
      </x:c>
      <x:c r="BX501" s="23" t="n">
        <x:f>MAX(0,MIN('Activities'!L501,432)-MAX('Activities'!K501,426))</x:f>
        <x:v>0</x:v>
      </x:c>
      <x:c r="BY501" s="23" t="n">
        <x:f>MAX(0,MIN('Activities'!L501,438)-MAX('Activities'!K501,432))</x:f>
        <x:v>0</x:v>
      </x:c>
      <x:c r="BZ501" s="23" t="n">
        <x:f>MAX(0,MIN('Activities'!L501,444)-MAX('Activities'!K501,438))</x:f>
        <x:v>0</x:v>
      </x:c>
      <x:c r="CA501" s="23" t="n">
        <x:f>MAX(0,MIN('Activities'!L501,450)-MAX('Activities'!K501,444))</x:f>
        <x:v>0</x:v>
      </x:c>
      <x:c r="CB501" s="23" t="n">
        <x:f>MAX(0,MIN('Activities'!L501,456)-MAX('Activities'!K501,450))</x:f>
        <x:v>0</x:v>
      </x:c>
      <x:c r="CC501" s="23" t="n">
        <x:f>MAX(0,MIN('Activities'!L501,462)-MAX('Activities'!K501,456))</x:f>
        <x:v>0</x:v>
      </x:c>
      <x:c r="CD501" s="23" t="n">
        <x:f>MAX(0,MIN('Activities'!L501,468)-MAX('Activities'!K501,462))</x:f>
        <x:v>0</x:v>
      </x:c>
      <x:c r="CE501" s="23" t="n">
        <x:f>MAX(0,MIN('Activities'!L501,474)-MAX('Activities'!K501,468))</x:f>
        <x:v>0</x:v>
      </x:c>
      <x:c r="CF501" s="23" t="n">
        <x:f>MAX(0,MIN('Activities'!L501,480)-MAX('Activities'!K501,474))</x:f>
        <x:v>0</x:v>
      </x:c>
      <x:c r="CG501" s="23" t="n">
        <x:f>MAX(0,MIN('Activities'!L501,486)-MAX('Activities'!K501,480))</x:f>
        <x:v>0</x:v>
      </x:c>
      <x:c r="CH501" s="23" t="n">
        <x:f>MAX(0,MIN('Activities'!L501,492)-MAX('Activities'!K501,486))</x:f>
        <x:v>0</x:v>
      </x:c>
      <x:c r="CI501" s="23" t="n">
        <x:f>MAX(0,MIN('Activities'!L501,498)-MAX('Activities'!K501,492))</x:f>
        <x:v>0</x:v>
      </x:c>
      <x:c r="CJ501" s="23" t="n">
        <x:f>MAX(0,MIN('Activities'!L501,504)-MAX('Activities'!K501,498))</x:f>
        <x:v>0</x:v>
      </x:c>
      <x:c r="CK501" s="23" t="n">
        <x:f>MAX(0,MIN('Activities'!L501,510)-MAX('Activities'!K501,504))</x:f>
        <x:v>0</x:v>
      </x:c>
      <x:c r="CL501" s="23" t="n">
        <x:f>MAX(0,MIN('Activities'!L501,516)-MAX('Activities'!K501,510))</x:f>
        <x:v>0</x:v>
      </x:c>
      <x:c r="CM501" s="23" t="n">
        <x:f>MAX(0,MIN('Activities'!L501,522)-MAX('Activities'!K501,516))</x:f>
        <x:v>0</x:v>
      </x:c>
      <x:c r="CN501" s="23" t="n">
        <x:f>MAX(0,MIN('Activities'!L501,528)-MAX('Activities'!K501,522))</x:f>
        <x:v>0</x:v>
      </x:c>
      <x:c r="CO501" s="23" t="n">
        <x:f>MAX(0,MIN('Activities'!L501,534)-MAX('Activities'!K501,528))</x:f>
        <x:v>0</x:v>
      </x:c>
      <x:c r="CP501" s="23" t="n">
        <x:f>MAX(0,MIN('Activities'!L501,540)-MAX('Activities'!K501,534))</x:f>
        <x:v>0</x:v>
      </x:c>
      <x:c r="CQ501" s="23" t="n">
        <x:f>MAX(0,MIN('Activities'!L501,546)-MAX('Activities'!K501,540))</x:f>
        <x:v>0</x:v>
      </x:c>
      <x:c r="CR501" s="23" t="n">
        <x:f>MAX(0,MIN('Activities'!L501,552)-MAX('Activities'!K501,546))</x:f>
        <x:v>0</x:v>
      </x:c>
      <x:c r="CS501" s="23" t="n">
        <x:f>MAX(0,MIN('Activities'!L501,558)-MAX('Activities'!K501,552))</x:f>
        <x:v>0</x:v>
      </x:c>
      <x:c r="CT501" s="23" t="n">
        <x:f>MAX(0,MIN('Activities'!L501,564)-MAX('Activities'!K501,558))</x:f>
        <x:v>0</x:v>
      </x:c>
      <x:c r="CU501" s="23" t="n">
        <x:f>MAX(0,MIN('Activities'!L501,570)-MAX('Activities'!K501,564))</x:f>
        <x:v>0</x:v>
      </x:c>
      <x:c r="CV501" s="23" t="n">
        <x:f>MAX(0,MIN('Activities'!L501,576)-MAX('Activities'!K501,570))</x:f>
        <x:v>0</x:v>
      </x:c>
      <x:c r="CW501" s="23" t="n">
        <x:f>MAX(0,MIN('Activities'!L501,582)-MAX('Activities'!K501,576))</x:f>
        <x:v>0</x:v>
      </x:c>
      <x:c r="CX501" s="23" t="n">
        <x:f>MAX(0,MIN('Activities'!L501,588)-MAX('Activities'!K501,582))</x:f>
        <x:v>0</x:v>
      </x:c>
      <x:c r="CY501" s="23" t="n">
        <x:f>MAX(0,MIN('Activities'!L501,594)-MAX('Activities'!K501,588))</x:f>
        <x:v>0</x:v>
      </x:c>
      <x:c r="CZ501" s="23" t="n">
        <x:f>MAX(0,MIN('Activities'!L501,600)-MAX('Activities'!K501,594))</x:f>
        <x:v>0</x:v>
      </x:c>
      <x:c r="DA501" s="23" t="n">
        <x:f>MAX(0,MIN('Activities'!L501,606)-MAX('Activities'!K501,600))</x:f>
        <x:v>0</x:v>
      </x:c>
      <x:c r="DB501" s="23" t="n">
        <x:f>MAX(0,MIN('Activities'!L501,612)-MAX('Activities'!K501,606))</x:f>
        <x:v>0</x:v>
      </x:c>
      <x:c r="DC501" s="23" t="n">
        <x:f>MAX(0,MIN('Activities'!L501,618)-MAX('Activities'!K501,612))</x:f>
        <x:v>0</x:v>
      </x:c>
      <x:c r="DD501" s="23" t="n">
        <x:f>MAX(0,MIN('Activities'!L501,624)-MAX('Activities'!K501,618))</x:f>
        <x:v>0</x:v>
      </x:c>
      <x:c r="DE501" s="23" t="n">
        <x:f>MAX(0,MIN('Activities'!L501,630)-MAX('Activities'!K501,624))</x:f>
        <x:v>0</x:v>
      </x:c>
      <x:c r="DF501" s="23" t="n">
        <x:f>MAX(0,MIN('Activities'!L501,636)-MAX('Activities'!K501,630))</x:f>
        <x:v>0</x:v>
      </x:c>
    </x:row>
    <x:row r="502" ht="23" customHeight="1">
      <x:c r="A502" s="6" t="str">
        <x:v>T4-L05-S</x:v>
      </x:c>
      <x:c r="B502" s="6" t="str">
        <x:v>T4</x:v>
      </x:c>
      <x:c r="C502" s="6" t="str">
        <x:v>Screed and substrate preparation</x:v>
      </x:c>
      <x:c r="D502" s="6" t="str">
        <x:v>Finishes</x:v>
      </x:c>
      <x:c r="E502" s="22" t="n">
        <x:f>MAX(0,MIN('Activities'!L502,6)-MAX('Activities'!K502,0))</x:f>
        <x:v>0</x:v>
      </x:c>
      <x:c r="F502" s="22" t="n">
        <x:f>MAX(0,MIN('Activities'!L502,12)-MAX('Activities'!K502,6))</x:f>
        <x:v>0</x:v>
      </x:c>
      <x:c r="G502" s="22" t="n">
        <x:f>MAX(0,MIN('Activities'!L502,18)-MAX('Activities'!K502,12))</x:f>
        <x:v>0</x:v>
      </x:c>
      <x:c r="H502" s="22" t="n">
        <x:f>MAX(0,MIN('Activities'!L502,24)-MAX('Activities'!K502,18))</x:f>
        <x:v>0</x:v>
      </x:c>
      <x:c r="I502" s="22" t="n">
        <x:f>MAX(0,MIN('Activities'!L502,30)-MAX('Activities'!K502,24))</x:f>
        <x:v>0</x:v>
      </x:c>
      <x:c r="J502" s="22" t="n">
        <x:f>MAX(0,MIN('Activities'!L502,36)-MAX('Activities'!K502,30))</x:f>
        <x:v>0</x:v>
      </x:c>
      <x:c r="K502" s="22" t="n">
        <x:f>MAX(0,MIN('Activities'!L502,42)-MAX('Activities'!K502,36))</x:f>
        <x:v>0</x:v>
      </x:c>
      <x:c r="L502" s="22" t="n">
        <x:f>MAX(0,MIN('Activities'!L502,48)-MAX('Activities'!K502,42))</x:f>
        <x:v>0</x:v>
      </x:c>
      <x:c r="M502" s="22" t="n">
        <x:f>MAX(0,MIN('Activities'!L502,54)-MAX('Activities'!K502,48))</x:f>
        <x:v>0</x:v>
      </x:c>
      <x:c r="N502" s="22" t="n">
        <x:f>MAX(0,MIN('Activities'!L502,60)-MAX('Activities'!K502,54))</x:f>
        <x:v>0</x:v>
      </x:c>
      <x:c r="O502" s="22" t="n">
        <x:f>MAX(0,MIN('Activities'!L502,66)-MAX('Activities'!K502,60))</x:f>
        <x:v>0</x:v>
      </x:c>
      <x:c r="P502" s="22" t="n">
        <x:f>MAX(0,MIN('Activities'!L502,72)-MAX('Activities'!K502,66))</x:f>
        <x:v>0</x:v>
      </x:c>
      <x:c r="Q502" s="22" t="n">
        <x:f>MAX(0,MIN('Activities'!L502,78)-MAX('Activities'!K502,72))</x:f>
        <x:v>0</x:v>
      </x:c>
      <x:c r="R502" s="22" t="n">
        <x:f>MAX(0,MIN('Activities'!L502,84)-MAX('Activities'!K502,78))</x:f>
        <x:v>0</x:v>
      </x:c>
      <x:c r="S502" s="22" t="n">
        <x:f>MAX(0,MIN('Activities'!L502,90)-MAX('Activities'!K502,84))</x:f>
        <x:v>0</x:v>
      </x:c>
      <x:c r="T502" s="22" t="n">
        <x:f>MAX(0,MIN('Activities'!L502,96)-MAX('Activities'!K502,90))</x:f>
        <x:v>0</x:v>
      </x:c>
      <x:c r="U502" s="22" t="n">
        <x:f>MAX(0,MIN('Activities'!L502,102)-MAX('Activities'!K502,96))</x:f>
        <x:v>0</x:v>
      </x:c>
      <x:c r="V502" s="22" t="n">
        <x:f>MAX(0,MIN('Activities'!L502,108)-MAX('Activities'!K502,102))</x:f>
        <x:v>0</x:v>
      </x:c>
      <x:c r="W502" s="22" t="n">
        <x:f>MAX(0,MIN('Activities'!L502,114)-MAX('Activities'!K502,108))</x:f>
        <x:v>0</x:v>
      </x:c>
      <x:c r="X502" s="22" t="n">
        <x:f>MAX(0,MIN('Activities'!L502,120)-MAX('Activities'!K502,114))</x:f>
        <x:v>0</x:v>
      </x:c>
      <x:c r="Y502" s="22" t="n">
        <x:f>MAX(0,MIN('Activities'!L502,126)-MAX('Activities'!K502,120))</x:f>
        <x:v>0</x:v>
      </x:c>
      <x:c r="Z502" s="22" t="n">
        <x:f>MAX(0,MIN('Activities'!L502,132)-MAX('Activities'!K502,126))</x:f>
        <x:v>0</x:v>
      </x:c>
      <x:c r="AA502" s="22" t="n">
        <x:f>MAX(0,MIN('Activities'!L502,138)-MAX('Activities'!K502,132))</x:f>
        <x:v>0</x:v>
      </x:c>
      <x:c r="AB502" s="22" t="n">
        <x:f>MAX(0,MIN('Activities'!L502,144)-MAX('Activities'!K502,138))</x:f>
        <x:v>0</x:v>
      </x:c>
      <x:c r="AC502" s="22" t="n">
        <x:f>MAX(0,MIN('Activities'!L502,150)-MAX('Activities'!K502,144))</x:f>
        <x:v>0</x:v>
      </x:c>
      <x:c r="AD502" s="22" t="n">
        <x:f>MAX(0,MIN('Activities'!L502,156)-MAX('Activities'!K502,150))</x:f>
        <x:v>0</x:v>
      </x:c>
      <x:c r="AE502" s="22" t="n">
        <x:f>MAX(0,MIN('Activities'!L502,162)-MAX('Activities'!K502,156))</x:f>
        <x:v>0</x:v>
      </x:c>
      <x:c r="AF502" s="22" t="n">
        <x:f>MAX(0,MIN('Activities'!L502,168)-MAX('Activities'!K502,162))</x:f>
        <x:v>0</x:v>
      </x:c>
      <x:c r="AG502" s="22" t="n">
        <x:f>MAX(0,MIN('Activities'!L502,174)-MAX('Activities'!K502,168))</x:f>
        <x:v>0</x:v>
      </x:c>
      <x:c r="AH502" s="22" t="n">
        <x:f>MAX(0,MIN('Activities'!L502,180)-MAX('Activities'!K502,174))</x:f>
        <x:v>0</x:v>
      </x:c>
      <x:c r="AI502" s="22" t="n">
        <x:f>MAX(0,MIN('Activities'!L502,186)-MAX('Activities'!K502,180))</x:f>
        <x:v>0</x:v>
      </x:c>
      <x:c r="AJ502" s="22" t="n">
        <x:f>MAX(0,MIN('Activities'!L502,192)-MAX('Activities'!K502,186))</x:f>
        <x:v>0</x:v>
      </x:c>
      <x:c r="AK502" s="22" t="n">
        <x:f>MAX(0,MIN('Activities'!L502,198)-MAX('Activities'!K502,192))</x:f>
        <x:v>0</x:v>
      </x:c>
      <x:c r="AL502" s="22" t="n">
        <x:f>MAX(0,MIN('Activities'!L502,204)-MAX('Activities'!K502,198))</x:f>
        <x:v>0</x:v>
      </x:c>
      <x:c r="AM502" s="22" t="n">
        <x:f>MAX(0,MIN('Activities'!L502,210)-MAX('Activities'!K502,204))</x:f>
        <x:v>0</x:v>
      </x:c>
      <x:c r="AN502" s="22" t="n">
        <x:f>MAX(0,MIN('Activities'!L502,216)-MAX('Activities'!K502,210))</x:f>
        <x:v>0</x:v>
      </x:c>
      <x:c r="AO502" s="22" t="n">
        <x:f>MAX(0,MIN('Activities'!L502,222)-MAX('Activities'!K502,216))</x:f>
        <x:v>0</x:v>
      </x:c>
      <x:c r="AP502" s="22" t="n">
        <x:f>MAX(0,MIN('Activities'!L502,228)-MAX('Activities'!K502,222))</x:f>
        <x:v>0</x:v>
      </x:c>
      <x:c r="AQ502" s="22" t="n">
        <x:f>MAX(0,MIN('Activities'!L502,234)-MAX('Activities'!K502,228))</x:f>
        <x:v>0</x:v>
      </x:c>
      <x:c r="AR502" s="22" t="n">
        <x:f>MAX(0,MIN('Activities'!L502,240)-MAX('Activities'!K502,234))</x:f>
        <x:v>0</x:v>
      </x:c>
      <x:c r="AS502" s="22" t="n">
        <x:f>MAX(0,MIN('Activities'!L502,246)-MAX('Activities'!K502,240))</x:f>
        <x:v>0</x:v>
      </x:c>
      <x:c r="AT502" s="22" t="n">
        <x:f>MAX(0,MIN('Activities'!L502,252)-MAX('Activities'!K502,246))</x:f>
        <x:v>0</x:v>
      </x:c>
      <x:c r="AU502" s="22" t="n">
        <x:f>MAX(0,MIN('Activities'!L502,258)-MAX('Activities'!K502,252))</x:f>
        <x:v>0</x:v>
      </x:c>
      <x:c r="AV502" s="22" t="n">
        <x:f>MAX(0,MIN('Activities'!L502,264)-MAX('Activities'!K502,258))</x:f>
        <x:v>0</x:v>
      </x:c>
      <x:c r="AW502" s="22" t="n">
        <x:f>MAX(0,MIN('Activities'!L502,270)-MAX('Activities'!K502,264))</x:f>
        <x:v>0</x:v>
      </x:c>
      <x:c r="AX502" s="22" t="n">
        <x:f>MAX(0,MIN('Activities'!L502,276)-MAX('Activities'!K502,270))</x:f>
        <x:v>0</x:v>
      </x:c>
      <x:c r="AY502" s="22" t="n">
        <x:f>MAX(0,MIN('Activities'!L502,282)-MAX('Activities'!K502,276))</x:f>
        <x:v>0</x:v>
      </x:c>
      <x:c r="AZ502" s="22" t="n">
        <x:f>MAX(0,MIN('Activities'!L502,288)-MAX('Activities'!K502,282))</x:f>
        <x:v>0</x:v>
      </x:c>
      <x:c r="BA502" s="22" t="n">
        <x:f>MAX(0,MIN('Activities'!L502,294)-MAX('Activities'!K502,288))</x:f>
        <x:v>0</x:v>
      </x:c>
      <x:c r="BB502" s="22" t="n">
        <x:f>MAX(0,MIN('Activities'!L502,300)-MAX('Activities'!K502,294))</x:f>
        <x:v>0</x:v>
      </x:c>
      <x:c r="BC502" s="22" t="n">
        <x:f>MAX(0,MIN('Activities'!L502,306)-MAX('Activities'!K502,300))</x:f>
        <x:v>0</x:v>
      </x:c>
      <x:c r="BD502" s="22" t="n">
        <x:f>MAX(0,MIN('Activities'!L502,312)-MAX('Activities'!K502,306))</x:f>
        <x:v>0</x:v>
      </x:c>
      <x:c r="BE502" s="22" t="n">
        <x:f>MAX(0,MIN('Activities'!L502,318)-MAX('Activities'!K502,312))</x:f>
        <x:v>0</x:v>
      </x:c>
      <x:c r="BF502" s="22" t="n">
        <x:f>MAX(0,MIN('Activities'!L502,324)-MAX('Activities'!K502,318))</x:f>
        <x:v>0</x:v>
      </x:c>
      <x:c r="BG502" s="22" t="n">
        <x:f>MAX(0,MIN('Activities'!L502,330)-MAX('Activities'!K502,324))</x:f>
        <x:v>0</x:v>
      </x:c>
      <x:c r="BH502" s="22" t="n">
        <x:f>MAX(0,MIN('Activities'!L502,336)-MAX('Activities'!K502,330))</x:f>
        <x:v>0</x:v>
      </x:c>
      <x:c r="BI502" s="22" t="n">
        <x:f>MAX(0,MIN('Activities'!L502,342)-MAX('Activities'!K502,336))</x:f>
        <x:v>0</x:v>
      </x:c>
      <x:c r="BJ502" s="22" t="n">
        <x:f>MAX(0,MIN('Activities'!L502,348)-MAX('Activities'!K502,342))</x:f>
        <x:v>0</x:v>
      </x:c>
      <x:c r="BK502" s="22" t="n">
        <x:f>MAX(0,MIN('Activities'!L502,354)-MAX('Activities'!K502,348))</x:f>
        <x:v>1</x:v>
      </x:c>
      <x:c r="BL502" s="22" t="n">
        <x:f>MAX(0,MIN('Activities'!L502,360)-MAX('Activities'!K502,354))</x:f>
        <x:v>2</x:v>
      </x:c>
      <x:c r="BM502" s="22" t="n">
        <x:f>MAX(0,MIN('Activities'!L502,366)-MAX('Activities'!K502,360))</x:f>
        <x:v>0</x:v>
      </x:c>
      <x:c r="BN502" s="22" t="n">
        <x:f>MAX(0,MIN('Activities'!L502,372)-MAX('Activities'!K502,366))</x:f>
        <x:v>0</x:v>
      </x:c>
      <x:c r="BO502" s="22" t="n">
        <x:f>MAX(0,MIN('Activities'!L502,378)-MAX('Activities'!K502,372))</x:f>
        <x:v>0</x:v>
      </x:c>
      <x:c r="BP502" s="22" t="n">
        <x:f>MAX(0,MIN('Activities'!L502,384)-MAX('Activities'!K502,378))</x:f>
        <x:v>0</x:v>
      </x:c>
      <x:c r="BQ502" s="22" t="n">
        <x:f>MAX(0,MIN('Activities'!L502,390)-MAX('Activities'!K502,384))</x:f>
        <x:v>0</x:v>
      </x:c>
      <x:c r="BR502" s="22" t="n">
        <x:f>MAX(0,MIN('Activities'!L502,396)-MAX('Activities'!K502,390))</x:f>
        <x:v>0</x:v>
      </x:c>
      <x:c r="BS502" s="22" t="n">
        <x:f>MAX(0,MIN('Activities'!L502,402)-MAX('Activities'!K502,396))</x:f>
        <x:v>0</x:v>
      </x:c>
      <x:c r="BT502" s="22" t="n">
        <x:f>MAX(0,MIN('Activities'!L502,408)-MAX('Activities'!K502,402))</x:f>
        <x:v>0</x:v>
      </x:c>
      <x:c r="BU502" s="22" t="n">
        <x:f>MAX(0,MIN('Activities'!L502,414)-MAX('Activities'!K502,408))</x:f>
        <x:v>0</x:v>
      </x:c>
      <x:c r="BV502" s="22" t="n">
        <x:f>MAX(0,MIN('Activities'!L502,420)-MAX('Activities'!K502,414))</x:f>
        <x:v>0</x:v>
      </x:c>
      <x:c r="BW502" s="22" t="n">
        <x:f>MAX(0,MIN('Activities'!L502,426)-MAX('Activities'!K502,420))</x:f>
        <x:v>0</x:v>
      </x:c>
      <x:c r="BX502" s="22" t="n">
        <x:f>MAX(0,MIN('Activities'!L502,432)-MAX('Activities'!K502,426))</x:f>
        <x:v>0</x:v>
      </x:c>
      <x:c r="BY502" s="22" t="n">
        <x:f>MAX(0,MIN('Activities'!L502,438)-MAX('Activities'!K502,432))</x:f>
        <x:v>0</x:v>
      </x:c>
      <x:c r="BZ502" s="22" t="n">
        <x:f>MAX(0,MIN('Activities'!L502,444)-MAX('Activities'!K502,438))</x:f>
        <x:v>0</x:v>
      </x:c>
      <x:c r="CA502" s="22" t="n">
        <x:f>MAX(0,MIN('Activities'!L502,450)-MAX('Activities'!K502,444))</x:f>
        <x:v>0</x:v>
      </x:c>
      <x:c r="CB502" s="22" t="n">
        <x:f>MAX(0,MIN('Activities'!L502,456)-MAX('Activities'!K502,450))</x:f>
        <x:v>0</x:v>
      </x:c>
      <x:c r="CC502" s="22" t="n">
        <x:f>MAX(0,MIN('Activities'!L502,462)-MAX('Activities'!K502,456))</x:f>
        <x:v>0</x:v>
      </x:c>
      <x:c r="CD502" s="22" t="n">
        <x:f>MAX(0,MIN('Activities'!L502,468)-MAX('Activities'!K502,462))</x:f>
        <x:v>0</x:v>
      </x:c>
      <x:c r="CE502" s="22" t="n">
        <x:f>MAX(0,MIN('Activities'!L502,474)-MAX('Activities'!K502,468))</x:f>
        <x:v>0</x:v>
      </x:c>
      <x:c r="CF502" s="22" t="n">
        <x:f>MAX(0,MIN('Activities'!L502,480)-MAX('Activities'!K502,474))</x:f>
        <x:v>0</x:v>
      </x:c>
      <x:c r="CG502" s="22" t="n">
        <x:f>MAX(0,MIN('Activities'!L502,486)-MAX('Activities'!K502,480))</x:f>
        <x:v>0</x:v>
      </x:c>
      <x:c r="CH502" s="22" t="n">
        <x:f>MAX(0,MIN('Activities'!L502,492)-MAX('Activities'!K502,486))</x:f>
        <x:v>0</x:v>
      </x:c>
      <x:c r="CI502" s="22" t="n">
        <x:f>MAX(0,MIN('Activities'!L502,498)-MAX('Activities'!K502,492))</x:f>
        <x:v>0</x:v>
      </x:c>
      <x:c r="CJ502" s="22" t="n">
        <x:f>MAX(0,MIN('Activities'!L502,504)-MAX('Activities'!K502,498))</x:f>
        <x:v>0</x:v>
      </x:c>
      <x:c r="CK502" s="22" t="n">
        <x:f>MAX(0,MIN('Activities'!L502,510)-MAX('Activities'!K502,504))</x:f>
        <x:v>0</x:v>
      </x:c>
      <x:c r="CL502" s="22" t="n">
        <x:f>MAX(0,MIN('Activities'!L502,516)-MAX('Activities'!K502,510))</x:f>
        <x:v>0</x:v>
      </x:c>
      <x:c r="CM502" s="22" t="n">
        <x:f>MAX(0,MIN('Activities'!L502,522)-MAX('Activities'!K502,516))</x:f>
        <x:v>0</x:v>
      </x:c>
      <x:c r="CN502" s="22" t="n">
        <x:f>MAX(0,MIN('Activities'!L502,528)-MAX('Activities'!K502,522))</x:f>
        <x:v>0</x:v>
      </x:c>
      <x:c r="CO502" s="22" t="n">
        <x:f>MAX(0,MIN('Activities'!L502,534)-MAX('Activities'!K502,528))</x:f>
        <x:v>0</x:v>
      </x:c>
      <x:c r="CP502" s="22" t="n">
        <x:f>MAX(0,MIN('Activities'!L502,540)-MAX('Activities'!K502,534))</x:f>
        <x:v>0</x:v>
      </x:c>
      <x:c r="CQ502" s="22" t="n">
        <x:f>MAX(0,MIN('Activities'!L502,546)-MAX('Activities'!K502,540))</x:f>
        <x:v>0</x:v>
      </x:c>
      <x:c r="CR502" s="22" t="n">
        <x:f>MAX(0,MIN('Activities'!L502,552)-MAX('Activities'!K502,546))</x:f>
        <x:v>0</x:v>
      </x:c>
      <x:c r="CS502" s="22" t="n">
        <x:f>MAX(0,MIN('Activities'!L502,558)-MAX('Activities'!K502,552))</x:f>
        <x:v>0</x:v>
      </x:c>
      <x:c r="CT502" s="22" t="n">
        <x:f>MAX(0,MIN('Activities'!L502,564)-MAX('Activities'!K502,558))</x:f>
        <x:v>0</x:v>
      </x:c>
      <x:c r="CU502" s="22" t="n">
        <x:f>MAX(0,MIN('Activities'!L502,570)-MAX('Activities'!K502,564))</x:f>
        <x:v>0</x:v>
      </x:c>
      <x:c r="CV502" s="22" t="n">
        <x:f>MAX(0,MIN('Activities'!L502,576)-MAX('Activities'!K502,570))</x:f>
        <x:v>0</x:v>
      </x:c>
      <x:c r="CW502" s="22" t="n">
        <x:f>MAX(0,MIN('Activities'!L502,582)-MAX('Activities'!K502,576))</x:f>
        <x:v>0</x:v>
      </x:c>
      <x:c r="CX502" s="22" t="n">
        <x:f>MAX(0,MIN('Activities'!L502,588)-MAX('Activities'!K502,582))</x:f>
        <x:v>0</x:v>
      </x:c>
      <x:c r="CY502" s="22" t="n">
        <x:f>MAX(0,MIN('Activities'!L502,594)-MAX('Activities'!K502,588))</x:f>
        <x:v>0</x:v>
      </x:c>
      <x:c r="CZ502" s="22" t="n">
        <x:f>MAX(0,MIN('Activities'!L502,600)-MAX('Activities'!K502,594))</x:f>
        <x:v>0</x:v>
      </x:c>
      <x:c r="DA502" s="22" t="n">
        <x:f>MAX(0,MIN('Activities'!L502,606)-MAX('Activities'!K502,600))</x:f>
        <x:v>0</x:v>
      </x:c>
      <x:c r="DB502" s="22" t="n">
        <x:f>MAX(0,MIN('Activities'!L502,612)-MAX('Activities'!K502,606))</x:f>
        <x:v>0</x:v>
      </x:c>
      <x:c r="DC502" s="22" t="n">
        <x:f>MAX(0,MIN('Activities'!L502,618)-MAX('Activities'!K502,612))</x:f>
        <x:v>0</x:v>
      </x:c>
      <x:c r="DD502" s="22" t="n">
        <x:f>MAX(0,MIN('Activities'!L502,624)-MAX('Activities'!K502,618))</x:f>
        <x:v>0</x:v>
      </x:c>
      <x:c r="DE502" s="22" t="n">
        <x:f>MAX(0,MIN('Activities'!L502,630)-MAX('Activities'!K502,624))</x:f>
        <x:v>0</x:v>
      </x:c>
      <x:c r="DF502" s="22" t="n">
        <x:f>MAX(0,MIN('Activities'!L502,636)-MAX('Activities'!K502,630))</x:f>
        <x:v>0</x:v>
      </x:c>
    </x:row>
    <x:row r="503" ht="23" customHeight="1">
      <x:c r="A503" s="1" t="str">
        <x:v>T4-L05-T</x:v>
      </x:c>
      <x:c r="B503" s="1" t="str">
        <x:v>T4</x:v>
      </x:c>
      <x:c r="C503" s="1" t="str">
        <x:v>Floor finishes and skirtings</x:v>
      </x:c>
      <x:c r="D503" s="1" t="str">
        <x:v>Finishes</x:v>
      </x:c>
      <x:c r="E503" s="23" t="n">
        <x:f>MAX(0,MIN('Activities'!L503,6)-MAX('Activities'!K503,0))</x:f>
        <x:v>0</x:v>
      </x:c>
      <x:c r="F503" s="23" t="n">
        <x:f>MAX(0,MIN('Activities'!L503,12)-MAX('Activities'!K503,6))</x:f>
        <x:v>0</x:v>
      </x:c>
      <x:c r="G503" s="23" t="n">
        <x:f>MAX(0,MIN('Activities'!L503,18)-MAX('Activities'!K503,12))</x:f>
        <x:v>0</x:v>
      </x:c>
      <x:c r="H503" s="23" t="n">
        <x:f>MAX(0,MIN('Activities'!L503,24)-MAX('Activities'!K503,18))</x:f>
        <x:v>0</x:v>
      </x:c>
      <x:c r="I503" s="23" t="n">
        <x:f>MAX(0,MIN('Activities'!L503,30)-MAX('Activities'!K503,24))</x:f>
        <x:v>0</x:v>
      </x:c>
      <x:c r="J503" s="23" t="n">
        <x:f>MAX(0,MIN('Activities'!L503,36)-MAX('Activities'!K503,30))</x:f>
        <x:v>0</x:v>
      </x:c>
      <x:c r="K503" s="23" t="n">
        <x:f>MAX(0,MIN('Activities'!L503,42)-MAX('Activities'!K503,36))</x:f>
        <x:v>0</x:v>
      </x:c>
      <x:c r="L503" s="23" t="n">
        <x:f>MAX(0,MIN('Activities'!L503,48)-MAX('Activities'!K503,42))</x:f>
        <x:v>0</x:v>
      </x:c>
      <x:c r="M503" s="23" t="n">
        <x:f>MAX(0,MIN('Activities'!L503,54)-MAX('Activities'!K503,48))</x:f>
        <x:v>0</x:v>
      </x:c>
      <x:c r="N503" s="23" t="n">
        <x:f>MAX(0,MIN('Activities'!L503,60)-MAX('Activities'!K503,54))</x:f>
        <x:v>0</x:v>
      </x:c>
      <x:c r="O503" s="23" t="n">
        <x:f>MAX(0,MIN('Activities'!L503,66)-MAX('Activities'!K503,60))</x:f>
        <x:v>0</x:v>
      </x:c>
      <x:c r="P503" s="23" t="n">
        <x:f>MAX(0,MIN('Activities'!L503,72)-MAX('Activities'!K503,66))</x:f>
        <x:v>0</x:v>
      </x:c>
      <x:c r="Q503" s="23" t="n">
        <x:f>MAX(0,MIN('Activities'!L503,78)-MAX('Activities'!K503,72))</x:f>
        <x:v>0</x:v>
      </x:c>
      <x:c r="R503" s="23" t="n">
        <x:f>MAX(0,MIN('Activities'!L503,84)-MAX('Activities'!K503,78))</x:f>
        <x:v>0</x:v>
      </x:c>
      <x:c r="S503" s="23" t="n">
        <x:f>MAX(0,MIN('Activities'!L503,90)-MAX('Activities'!K503,84))</x:f>
        <x:v>0</x:v>
      </x:c>
      <x:c r="T503" s="23" t="n">
        <x:f>MAX(0,MIN('Activities'!L503,96)-MAX('Activities'!K503,90))</x:f>
        <x:v>0</x:v>
      </x:c>
      <x:c r="U503" s="23" t="n">
        <x:f>MAX(0,MIN('Activities'!L503,102)-MAX('Activities'!K503,96))</x:f>
        <x:v>0</x:v>
      </x:c>
      <x:c r="V503" s="23" t="n">
        <x:f>MAX(0,MIN('Activities'!L503,108)-MAX('Activities'!K503,102))</x:f>
        <x:v>0</x:v>
      </x:c>
      <x:c r="W503" s="23" t="n">
        <x:f>MAX(0,MIN('Activities'!L503,114)-MAX('Activities'!K503,108))</x:f>
        <x:v>0</x:v>
      </x:c>
      <x:c r="X503" s="23" t="n">
        <x:f>MAX(0,MIN('Activities'!L503,120)-MAX('Activities'!K503,114))</x:f>
        <x:v>0</x:v>
      </x:c>
      <x:c r="Y503" s="23" t="n">
        <x:f>MAX(0,MIN('Activities'!L503,126)-MAX('Activities'!K503,120))</x:f>
        <x:v>0</x:v>
      </x:c>
      <x:c r="Z503" s="23" t="n">
        <x:f>MAX(0,MIN('Activities'!L503,132)-MAX('Activities'!K503,126))</x:f>
        <x:v>0</x:v>
      </x:c>
      <x:c r="AA503" s="23" t="n">
        <x:f>MAX(0,MIN('Activities'!L503,138)-MAX('Activities'!K503,132))</x:f>
        <x:v>0</x:v>
      </x:c>
      <x:c r="AB503" s="23" t="n">
        <x:f>MAX(0,MIN('Activities'!L503,144)-MAX('Activities'!K503,138))</x:f>
        <x:v>0</x:v>
      </x:c>
      <x:c r="AC503" s="23" t="n">
        <x:f>MAX(0,MIN('Activities'!L503,150)-MAX('Activities'!K503,144))</x:f>
        <x:v>0</x:v>
      </x:c>
      <x:c r="AD503" s="23" t="n">
        <x:f>MAX(0,MIN('Activities'!L503,156)-MAX('Activities'!K503,150))</x:f>
        <x:v>0</x:v>
      </x:c>
      <x:c r="AE503" s="23" t="n">
        <x:f>MAX(0,MIN('Activities'!L503,162)-MAX('Activities'!K503,156))</x:f>
        <x:v>0</x:v>
      </x:c>
      <x:c r="AF503" s="23" t="n">
        <x:f>MAX(0,MIN('Activities'!L503,168)-MAX('Activities'!K503,162))</x:f>
        <x:v>0</x:v>
      </x:c>
      <x:c r="AG503" s="23" t="n">
        <x:f>MAX(0,MIN('Activities'!L503,174)-MAX('Activities'!K503,168))</x:f>
        <x:v>0</x:v>
      </x:c>
      <x:c r="AH503" s="23" t="n">
        <x:f>MAX(0,MIN('Activities'!L503,180)-MAX('Activities'!K503,174))</x:f>
        <x:v>0</x:v>
      </x:c>
      <x:c r="AI503" s="23" t="n">
        <x:f>MAX(0,MIN('Activities'!L503,186)-MAX('Activities'!K503,180))</x:f>
        <x:v>0</x:v>
      </x:c>
      <x:c r="AJ503" s="23" t="n">
        <x:f>MAX(0,MIN('Activities'!L503,192)-MAX('Activities'!K503,186))</x:f>
        <x:v>0</x:v>
      </x:c>
      <x:c r="AK503" s="23" t="n">
        <x:f>MAX(0,MIN('Activities'!L503,198)-MAX('Activities'!K503,192))</x:f>
        <x:v>0</x:v>
      </x:c>
      <x:c r="AL503" s="23" t="n">
        <x:f>MAX(0,MIN('Activities'!L503,204)-MAX('Activities'!K503,198))</x:f>
        <x:v>0</x:v>
      </x:c>
      <x:c r="AM503" s="23" t="n">
        <x:f>MAX(0,MIN('Activities'!L503,210)-MAX('Activities'!K503,204))</x:f>
        <x:v>0</x:v>
      </x:c>
      <x:c r="AN503" s="23" t="n">
        <x:f>MAX(0,MIN('Activities'!L503,216)-MAX('Activities'!K503,210))</x:f>
        <x:v>0</x:v>
      </x:c>
      <x:c r="AO503" s="23" t="n">
        <x:f>MAX(0,MIN('Activities'!L503,222)-MAX('Activities'!K503,216))</x:f>
        <x:v>0</x:v>
      </x:c>
      <x:c r="AP503" s="23" t="n">
        <x:f>MAX(0,MIN('Activities'!L503,228)-MAX('Activities'!K503,222))</x:f>
        <x:v>0</x:v>
      </x:c>
      <x:c r="AQ503" s="23" t="n">
        <x:f>MAX(0,MIN('Activities'!L503,234)-MAX('Activities'!K503,228))</x:f>
        <x:v>0</x:v>
      </x:c>
      <x:c r="AR503" s="23" t="n">
        <x:f>MAX(0,MIN('Activities'!L503,240)-MAX('Activities'!K503,234))</x:f>
        <x:v>0</x:v>
      </x:c>
      <x:c r="AS503" s="23" t="n">
        <x:f>MAX(0,MIN('Activities'!L503,246)-MAX('Activities'!K503,240))</x:f>
        <x:v>0</x:v>
      </x:c>
      <x:c r="AT503" s="23" t="n">
        <x:f>MAX(0,MIN('Activities'!L503,252)-MAX('Activities'!K503,246))</x:f>
        <x:v>0</x:v>
      </x:c>
      <x:c r="AU503" s="23" t="n">
        <x:f>MAX(0,MIN('Activities'!L503,258)-MAX('Activities'!K503,252))</x:f>
        <x:v>0</x:v>
      </x:c>
      <x:c r="AV503" s="23" t="n">
        <x:f>MAX(0,MIN('Activities'!L503,264)-MAX('Activities'!K503,258))</x:f>
        <x:v>0</x:v>
      </x:c>
      <x:c r="AW503" s="23" t="n">
        <x:f>MAX(0,MIN('Activities'!L503,270)-MAX('Activities'!K503,264))</x:f>
        <x:v>0</x:v>
      </x:c>
      <x:c r="AX503" s="23" t="n">
        <x:f>MAX(0,MIN('Activities'!L503,276)-MAX('Activities'!K503,270))</x:f>
        <x:v>0</x:v>
      </x:c>
      <x:c r="AY503" s="23" t="n">
        <x:f>MAX(0,MIN('Activities'!L503,282)-MAX('Activities'!K503,276))</x:f>
        <x:v>0</x:v>
      </x:c>
      <x:c r="AZ503" s="23" t="n">
        <x:f>MAX(0,MIN('Activities'!L503,288)-MAX('Activities'!K503,282))</x:f>
        <x:v>0</x:v>
      </x:c>
      <x:c r="BA503" s="23" t="n">
        <x:f>MAX(0,MIN('Activities'!L503,294)-MAX('Activities'!K503,288))</x:f>
        <x:v>0</x:v>
      </x:c>
      <x:c r="BB503" s="23" t="n">
        <x:f>MAX(0,MIN('Activities'!L503,300)-MAX('Activities'!K503,294))</x:f>
        <x:v>0</x:v>
      </x:c>
      <x:c r="BC503" s="23" t="n">
        <x:f>MAX(0,MIN('Activities'!L503,306)-MAX('Activities'!K503,300))</x:f>
        <x:v>0</x:v>
      </x:c>
      <x:c r="BD503" s="23" t="n">
        <x:f>MAX(0,MIN('Activities'!L503,312)-MAX('Activities'!K503,306))</x:f>
        <x:v>0</x:v>
      </x:c>
      <x:c r="BE503" s="23" t="n">
        <x:f>MAX(0,MIN('Activities'!L503,318)-MAX('Activities'!K503,312))</x:f>
        <x:v>0</x:v>
      </x:c>
      <x:c r="BF503" s="23" t="n">
        <x:f>MAX(0,MIN('Activities'!L503,324)-MAX('Activities'!K503,318))</x:f>
        <x:v>0</x:v>
      </x:c>
      <x:c r="BG503" s="23" t="n">
        <x:f>MAX(0,MIN('Activities'!L503,330)-MAX('Activities'!K503,324))</x:f>
        <x:v>0</x:v>
      </x:c>
      <x:c r="BH503" s="23" t="n">
        <x:f>MAX(0,MIN('Activities'!L503,336)-MAX('Activities'!K503,330))</x:f>
        <x:v>0</x:v>
      </x:c>
      <x:c r="BI503" s="23" t="n">
        <x:f>MAX(0,MIN('Activities'!L503,342)-MAX('Activities'!K503,336))</x:f>
        <x:v>0</x:v>
      </x:c>
      <x:c r="BJ503" s="23" t="n">
        <x:f>MAX(0,MIN('Activities'!L503,348)-MAX('Activities'!K503,342))</x:f>
        <x:v>0</x:v>
      </x:c>
      <x:c r="BK503" s="23" t="n">
        <x:f>MAX(0,MIN('Activities'!L503,354)-MAX('Activities'!K503,348))</x:f>
        <x:v>0</x:v>
      </x:c>
      <x:c r="BL503" s="23" t="n">
        <x:f>MAX(0,MIN('Activities'!L503,360)-MAX('Activities'!K503,354))</x:f>
        <x:v>0</x:v>
      </x:c>
      <x:c r="BM503" s="23" t="n">
        <x:f>MAX(0,MIN('Activities'!L503,366)-MAX('Activities'!K503,360))</x:f>
        <x:v>0</x:v>
      </x:c>
      <x:c r="BN503" s="23" t="n">
        <x:f>MAX(0,MIN('Activities'!L503,372)-MAX('Activities'!K503,366))</x:f>
        <x:v>0</x:v>
      </x:c>
      <x:c r="BO503" s="23" t="n">
        <x:f>MAX(0,MIN('Activities'!L503,378)-MAX('Activities'!K503,372))</x:f>
        <x:v>0</x:v>
      </x:c>
      <x:c r="BP503" s="23" t="n">
        <x:f>MAX(0,MIN('Activities'!L503,384)-MAX('Activities'!K503,378))</x:f>
        <x:v>0</x:v>
      </x:c>
      <x:c r="BQ503" s="23" t="n">
        <x:f>MAX(0,MIN('Activities'!L503,390)-MAX('Activities'!K503,384))</x:f>
        <x:v>0</x:v>
      </x:c>
      <x:c r="BR503" s="23" t="n">
        <x:f>MAX(0,MIN('Activities'!L503,396)-MAX('Activities'!K503,390))</x:f>
        <x:v>0</x:v>
      </x:c>
      <x:c r="BS503" s="23" t="n">
        <x:f>MAX(0,MIN('Activities'!L503,402)-MAX('Activities'!K503,396))</x:f>
        <x:v>0</x:v>
      </x:c>
      <x:c r="BT503" s="23" t="n">
        <x:f>MAX(0,MIN('Activities'!L503,408)-MAX('Activities'!K503,402))</x:f>
        <x:v>0</x:v>
      </x:c>
      <x:c r="BU503" s="23" t="n">
        <x:f>MAX(0,MIN('Activities'!L503,414)-MAX('Activities'!K503,408))</x:f>
        <x:v>0</x:v>
      </x:c>
      <x:c r="BV503" s="23" t="n">
        <x:f>MAX(0,MIN('Activities'!L503,420)-MAX('Activities'!K503,414))</x:f>
        <x:v>0</x:v>
      </x:c>
      <x:c r="BW503" s="23" t="n">
        <x:f>MAX(0,MIN('Activities'!L503,426)-MAX('Activities'!K503,420))</x:f>
        <x:v>0</x:v>
      </x:c>
      <x:c r="BX503" s="23" t="n">
        <x:f>MAX(0,MIN('Activities'!L503,432)-MAX('Activities'!K503,426))</x:f>
        <x:v>0</x:v>
      </x:c>
      <x:c r="BY503" s="23" t="n">
        <x:f>MAX(0,MIN('Activities'!L503,438)-MAX('Activities'!K503,432))</x:f>
        <x:v>1</x:v>
      </x:c>
      <x:c r="BZ503" s="23" t="n">
        <x:f>MAX(0,MIN('Activities'!L503,444)-MAX('Activities'!K503,438))</x:f>
        <x:v>5</x:v>
      </x:c>
      <x:c r="CA503" s="23" t="n">
        <x:f>MAX(0,MIN('Activities'!L503,450)-MAX('Activities'!K503,444))</x:f>
        <x:v>0</x:v>
      </x:c>
      <x:c r="CB503" s="23" t="n">
        <x:f>MAX(0,MIN('Activities'!L503,456)-MAX('Activities'!K503,450))</x:f>
        <x:v>0</x:v>
      </x:c>
      <x:c r="CC503" s="23" t="n">
        <x:f>MAX(0,MIN('Activities'!L503,462)-MAX('Activities'!K503,456))</x:f>
        <x:v>0</x:v>
      </x:c>
      <x:c r="CD503" s="23" t="n">
        <x:f>MAX(0,MIN('Activities'!L503,468)-MAX('Activities'!K503,462))</x:f>
        <x:v>0</x:v>
      </x:c>
      <x:c r="CE503" s="23" t="n">
        <x:f>MAX(0,MIN('Activities'!L503,474)-MAX('Activities'!K503,468))</x:f>
        <x:v>0</x:v>
      </x:c>
      <x:c r="CF503" s="23" t="n">
        <x:f>MAX(0,MIN('Activities'!L503,480)-MAX('Activities'!K503,474))</x:f>
        <x:v>0</x:v>
      </x:c>
      <x:c r="CG503" s="23" t="n">
        <x:f>MAX(0,MIN('Activities'!L503,486)-MAX('Activities'!K503,480))</x:f>
        <x:v>0</x:v>
      </x:c>
      <x:c r="CH503" s="23" t="n">
        <x:f>MAX(0,MIN('Activities'!L503,492)-MAX('Activities'!K503,486))</x:f>
        <x:v>0</x:v>
      </x:c>
      <x:c r="CI503" s="23" t="n">
        <x:f>MAX(0,MIN('Activities'!L503,498)-MAX('Activities'!K503,492))</x:f>
        <x:v>0</x:v>
      </x:c>
      <x:c r="CJ503" s="23" t="n">
        <x:f>MAX(0,MIN('Activities'!L503,504)-MAX('Activities'!K503,498))</x:f>
        <x:v>0</x:v>
      </x:c>
      <x:c r="CK503" s="23" t="n">
        <x:f>MAX(0,MIN('Activities'!L503,510)-MAX('Activities'!K503,504))</x:f>
        <x:v>0</x:v>
      </x:c>
      <x:c r="CL503" s="23" t="n">
        <x:f>MAX(0,MIN('Activities'!L503,516)-MAX('Activities'!K503,510))</x:f>
        <x:v>0</x:v>
      </x:c>
      <x:c r="CM503" s="23" t="n">
        <x:f>MAX(0,MIN('Activities'!L503,522)-MAX('Activities'!K503,516))</x:f>
        <x:v>0</x:v>
      </x:c>
      <x:c r="CN503" s="23" t="n">
        <x:f>MAX(0,MIN('Activities'!L503,528)-MAX('Activities'!K503,522))</x:f>
        <x:v>0</x:v>
      </x:c>
      <x:c r="CO503" s="23" t="n">
        <x:f>MAX(0,MIN('Activities'!L503,534)-MAX('Activities'!K503,528))</x:f>
        <x:v>0</x:v>
      </x:c>
      <x:c r="CP503" s="23" t="n">
        <x:f>MAX(0,MIN('Activities'!L503,540)-MAX('Activities'!K503,534))</x:f>
        <x:v>0</x:v>
      </x:c>
      <x:c r="CQ503" s="23" t="n">
        <x:f>MAX(0,MIN('Activities'!L503,546)-MAX('Activities'!K503,540))</x:f>
        <x:v>0</x:v>
      </x:c>
      <x:c r="CR503" s="23" t="n">
        <x:f>MAX(0,MIN('Activities'!L503,552)-MAX('Activities'!K503,546))</x:f>
        <x:v>0</x:v>
      </x:c>
      <x:c r="CS503" s="23" t="n">
        <x:f>MAX(0,MIN('Activities'!L503,558)-MAX('Activities'!K503,552))</x:f>
        <x:v>0</x:v>
      </x:c>
      <x:c r="CT503" s="23" t="n">
        <x:f>MAX(0,MIN('Activities'!L503,564)-MAX('Activities'!K503,558))</x:f>
        <x:v>0</x:v>
      </x:c>
      <x:c r="CU503" s="23" t="n">
        <x:f>MAX(0,MIN('Activities'!L503,570)-MAX('Activities'!K503,564))</x:f>
        <x:v>0</x:v>
      </x:c>
      <x:c r="CV503" s="23" t="n">
        <x:f>MAX(0,MIN('Activities'!L503,576)-MAX('Activities'!K503,570))</x:f>
        <x:v>0</x:v>
      </x:c>
      <x:c r="CW503" s="23" t="n">
        <x:f>MAX(0,MIN('Activities'!L503,582)-MAX('Activities'!K503,576))</x:f>
        <x:v>0</x:v>
      </x:c>
      <x:c r="CX503" s="23" t="n">
        <x:f>MAX(0,MIN('Activities'!L503,588)-MAX('Activities'!K503,582))</x:f>
        <x:v>0</x:v>
      </x:c>
      <x:c r="CY503" s="23" t="n">
        <x:f>MAX(0,MIN('Activities'!L503,594)-MAX('Activities'!K503,588))</x:f>
        <x:v>0</x:v>
      </x:c>
      <x:c r="CZ503" s="23" t="n">
        <x:f>MAX(0,MIN('Activities'!L503,600)-MAX('Activities'!K503,594))</x:f>
        <x:v>0</x:v>
      </x:c>
      <x:c r="DA503" s="23" t="n">
        <x:f>MAX(0,MIN('Activities'!L503,606)-MAX('Activities'!K503,600))</x:f>
        <x:v>0</x:v>
      </x:c>
      <x:c r="DB503" s="23" t="n">
        <x:f>MAX(0,MIN('Activities'!L503,612)-MAX('Activities'!K503,606))</x:f>
        <x:v>0</x:v>
      </x:c>
      <x:c r="DC503" s="23" t="n">
        <x:f>MAX(0,MIN('Activities'!L503,618)-MAX('Activities'!K503,612))</x:f>
        <x:v>0</x:v>
      </x:c>
      <x:c r="DD503" s="23" t="n">
        <x:f>MAX(0,MIN('Activities'!L503,624)-MAX('Activities'!K503,618))</x:f>
        <x:v>0</x:v>
      </x:c>
      <x:c r="DE503" s="23" t="n">
        <x:f>MAX(0,MIN('Activities'!L503,630)-MAX('Activities'!K503,624))</x:f>
        <x:v>0</x:v>
      </x:c>
      <x:c r="DF503" s="23" t="n">
        <x:f>MAX(0,MIN('Activities'!L503,636)-MAX('Activities'!K503,630))</x:f>
        <x:v>0</x:v>
      </x:c>
    </x:row>
    <x:row r="504" ht="23" customHeight="1">
      <x:c r="A504" s="6" t="str">
        <x:v>T4-L05-A</x:v>
      </x:c>
      <x:c r="B504" s="6" t="str">
        <x:v>T4</x:v>
      </x:c>
      <x:c r="C504" s="6" t="str">
        <x:v>Paint and final decorations</x:v>
      </x:c>
      <x:c r="D504" s="6" t="str">
        <x:v>Finishes</x:v>
      </x:c>
      <x:c r="E504" s="22" t="n">
        <x:f>MAX(0,MIN('Activities'!L504,6)-MAX('Activities'!K504,0))</x:f>
        <x:v>0</x:v>
      </x:c>
      <x:c r="F504" s="22" t="n">
        <x:f>MAX(0,MIN('Activities'!L504,12)-MAX('Activities'!K504,6))</x:f>
        <x:v>0</x:v>
      </x:c>
      <x:c r="G504" s="22" t="n">
        <x:f>MAX(0,MIN('Activities'!L504,18)-MAX('Activities'!K504,12))</x:f>
        <x:v>0</x:v>
      </x:c>
      <x:c r="H504" s="22" t="n">
        <x:f>MAX(0,MIN('Activities'!L504,24)-MAX('Activities'!K504,18))</x:f>
        <x:v>0</x:v>
      </x:c>
      <x:c r="I504" s="22" t="n">
        <x:f>MAX(0,MIN('Activities'!L504,30)-MAX('Activities'!K504,24))</x:f>
        <x:v>0</x:v>
      </x:c>
      <x:c r="J504" s="22" t="n">
        <x:f>MAX(0,MIN('Activities'!L504,36)-MAX('Activities'!K504,30))</x:f>
        <x:v>0</x:v>
      </x:c>
      <x:c r="K504" s="22" t="n">
        <x:f>MAX(0,MIN('Activities'!L504,42)-MAX('Activities'!K504,36))</x:f>
        <x:v>0</x:v>
      </x:c>
      <x:c r="L504" s="22" t="n">
        <x:f>MAX(0,MIN('Activities'!L504,48)-MAX('Activities'!K504,42))</x:f>
        <x:v>0</x:v>
      </x:c>
      <x:c r="M504" s="22" t="n">
        <x:f>MAX(0,MIN('Activities'!L504,54)-MAX('Activities'!K504,48))</x:f>
        <x:v>0</x:v>
      </x:c>
      <x:c r="N504" s="22" t="n">
        <x:f>MAX(0,MIN('Activities'!L504,60)-MAX('Activities'!K504,54))</x:f>
        <x:v>0</x:v>
      </x:c>
      <x:c r="O504" s="22" t="n">
        <x:f>MAX(0,MIN('Activities'!L504,66)-MAX('Activities'!K504,60))</x:f>
        <x:v>0</x:v>
      </x:c>
      <x:c r="P504" s="22" t="n">
        <x:f>MAX(0,MIN('Activities'!L504,72)-MAX('Activities'!K504,66))</x:f>
        <x:v>0</x:v>
      </x:c>
      <x:c r="Q504" s="22" t="n">
        <x:f>MAX(0,MIN('Activities'!L504,78)-MAX('Activities'!K504,72))</x:f>
        <x:v>0</x:v>
      </x:c>
      <x:c r="R504" s="22" t="n">
        <x:f>MAX(0,MIN('Activities'!L504,84)-MAX('Activities'!K504,78))</x:f>
        <x:v>0</x:v>
      </x:c>
      <x:c r="S504" s="22" t="n">
        <x:f>MAX(0,MIN('Activities'!L504,90)-MAX('Activities'!K504,84))</x:f>
        <x:v>0</x:v>
      </x:c>
      <x:c r="T504" s="22" t="n">
        <x:f>MAX(0,MIN('Activities'!L504,96)-MAX('Activities'!K504,90))</x:f>
        <x:v>0</x:v>
      </x:c>
      <x:c r="U504" s="22" t="n">
        <x:f>MAX(0,MIN('Activities'!L504,102)-MAX('Activities'!K504,96))</x:f>
        <x:v>0</x:v>
      </x:c>
      <x:c r="V504" s="22" t="n">
        <x:f>MAX(0,MIN('Activities'!L504,108)-MAX('Activities'!K504,102))</x:f>
        <x:v>0</x:v>
      </x:c>
      <x:c r="W504" s="22" t="n">
        <x:f>MAX(0,MIN('Activities'!L504,114)-MAX('Activities'!K504,108))</x:f>
        <x:v>0</x:v>
      </x:c>
      <x:c r="X504" s="22" t="n">
        <x:f>MAX(0,MIN('Activities'!L504,120)-MAX('Activities'!K504,114))</x:f>
        <x:v>0</x:v>
      </x:c>
      <x:c r="Y504" s="22" t="n">
        <x:f>MAX(0,MIN('Activities'!L504,126)-MAX('Activities'!K504,120))</x:f>
        <x:v>0</x:v>
      </x:c>
      <x:c r="Z504" s="22" t="n">
        <x:f>MAX(0,MIN('Activities'!L504,132)-MAX('Activities'!K504,126))</x:f>
        <x:v>0</x:v>
      </x:c>
      <x:c r="AA504" s="22" t="n">
        <x:f>MAX(0,MIN('Activities'!L504,138)-MAX('Activities'!K504,132))</x:f>
        <x:v>0</x:v>
      </x:c>
      <x:c r="AB504" s="22" t="n">
        <x:f>MAX(0,MIN('Activities'!L504,144)-MAX('Activities'!K504,138))</x:f>
        <x:v>0</x:v>
      </x:c>
      <x:c r="AC504" s="22" t="n">
        <x:f>MAX(0,MIN('Activities'!L504,150)-MAX('Activities'!K504,144))</x:f>
        <x:v>0</x:v>
      </x:c>
      <x:c r="AD504" s="22" t="n">
        <x:f>MAX(0,MIN('Activities'!L504,156)-MAX('Activities'!K504,150))</x:f>
        <x:v>0</x:v>
      </x:c>
      <x:c r="AE504" s="22" t="n">
        <x:f>MAX(0,MIN('Activities'!L504,162)-MAX('Activities'!K504,156))</x:f>
        <x:v>0</x:v>
      </x:c>
      <x:c r="AF504" s="22" t="n">
        <x:f>MAX(0,MIN('Activities'!L504,168)-MAX('Activities'!K504,162))</x:f>
        <x:v>0</x:v>
      </x:c>
      <x:c r="AG504" s="22" t="n">
        <x:f>MAX(0,MIN('Activities'!L504,174)-MAX('Activities'!K504,168))</x:f>
        <x:v>0</x:v>
      </x:c>
      <x:c r="AH504" s="22" t="n">
        <x:f>MAX(0,MIN('Activities'!L504,180)-MAX('Activities'!K504,174))</x:f>
        <x:v>0</x:v>
      </x:c>
      <x:c r="AI504" s="22" t="n">
        <x:f>MAX(0,MIN('Activities'!L504,186)-MAX('Activities'!K504,180))</x:f>
        <x:v>0</x:v>
      </x:c>
      <x:c r="AJ504" s="22" t="n">
        <x:f>MAX(0,MIN('Activities'!L504,192)-MAX('Activities'!K504,186))</x:f>
        <x:v>0</x:v>
      </x:c>
      <x:c r="AK504" s="22" t="n">
        <x:f>MAX(0,MIN('Activities'!L504,198)-MAX('Activities'!K504,192))</x:f>
        <x:v>0</x:v>
      </x:c>
      <x:c r="AL504" s="22" t="n">
        <x:f>MAX(0,MIN('Activities'!L504,204)-MAX('Activities'!K504,198))</x:f>
        <x:v>0</x:v>
      </x:c>
      <x:c r="AM504" s="22" t="n">
        <x:f>MAX(0,MIN('Activities'!L504,210)-MAX('Activities'!K504,204))</x:f>
        <x:v>0</x:v>
      </x:c>
      <x:c r="AN504" s="22" t="n">
        <x:f>MAX(0,MIN('Activities'!L504,216)-MAX('Activities'!K504,210))</x:f>
        <x:v>0</x:v>
      </x:c>
      <x:c r="AO504" s="22" t="n">
        <x:f>MAX(0,MIN('Activities'!L504,222)-MAX('Activities'!K504,216))</x:f>
        <x:v>0</x:v>
      </x:c>
      <x:c r="AP504" s="22" t="n">
        <x:f>MAX(0,MIN('Activities'!L504,228)-MAX('Activities'!K504,222))</x:f>
        <x:v>0</x:v>
      </x:c>
      <x:c r="AQ504" s="22" t="n">
        <x:f>MAX(0,MIN('Activities'!L504,234)-MAX('Activities'!K504,228))</x:f>
        <x:v>0</x:v>
      </x:c>
      <x:c r="AR504" s="22" t="n">
        <x:f>MAX(0,MIN('Activities'!L504,240)-MAX('Activities'!K504,234))</x:f>
        <x:v>0</x:v>
      </x:c>
      <x:c r="AS504" s="22" t="n">
        <x:f>MAX(0,MIN('Activities'!L504,246)-MAX('Activities'!K504,240))</x:f>
        <x:v>0</x:v>
      </x:c>
      <x:c r="AT504" s="22" t="n">
        <x:f>MAX(0,MIN('Activities'!L504,252)-MAX('Activities'!K504,246))</x:f>
        <x:v>0</x:v>
      </x:c>
      <x:c r="AU504" s="22" t="n">
        <x:f>MAX(0,MIN('Activities'!L504,258)-MAX('Activities'!K504,252))</x:f>
        <x:v>0</x:v>
      </x:c>
      <x:c r="AV504" s="22" t="n">
        <x:f>MAX(0,MIN('Activities'!L504,264)-MAX('Activities'!K504,258))</x:f>
        <x:v>0</x:v>
      </x:c>
      <x:c r="AW504" s="22" t="n">
        <x:f>MAX(0,MIN('Activities'!L504,270)-MAX('Activities'!K504,264))</x:f>
        <x:v>0</x:v>
      </x:c>
      <x:c r="AX504" s="22" t="n">
        <x:f>MAX(0,MIN('Activities'!L504,276)-MAX('Activities'!K504,270))</x:f>
        <x:v>0</x:v>
      </x:c>
      <x:c r="AY504" s="22" t="n">
        <x:f>MAX(0,MIN('Activities'!L504,282)-MAX('Activities'!K504,276))</x:f>
        <x:v>0</x:v>
      </x:c>
      <x:c r="AZ504" s="22" t="n">
        <x:f>MAX(0,MIN('Activities'!L504,288)-MAX('Activities'!K504,282))</x:f>
        <x:v>0</x:v>
      </x:c>
      <x:c r="BA504" s="22" t="n">
        <x:f>MAX(0,MIN('Activities'!L504,294)-MAX('Activities'!K504,288))</x:f>
        <x:v>0</x:v>
      </x:c>
      <x:c r="BB504" s="22" t="n">
        <x:f>MAX(0,MIN('Activities'!L504,300)-MAX('Activities'!K504,294))</x:f>
        <x:v>0</x:v>
      </x:c>
      <x:c r="BC504" s="22" t="n">
        <x:f>MAX(0,MIN('Activities'!L504,306)-MAX('Activities'!K504,300))</x:f>
        <x:v>0</x:v>
      </x:c>
      <x:c r="BD504" s="22" t="n">
        <x:f>MAX(0,MIN('Activities'!L504,312)-MAX('Activities'!K504,306))</x:f>
        <x:v>0</x:v>
      </x:c>
      <x:c r="BE504" s="22" t="n">
        <x:f>MAX(0,MIN('Activities'!L504,318)-MAX('Activities'!K504,312))</x:f>
        <x:v>0</x:v>
      </x:c>
      <x:c r="BF504" s="22" t="n">
        <x:f>MAX(0,MIN('Activities'!L504,324)-MAX('Activities'!K504,318))</x:f>
        <x:v>0</x:v>
      </x:c>
      <x:c r="BG504" s="22" t="n">
        <x:f>MAX(0,MIN('Activities'!L504,330)-MAX('Activities'!K504,324))</x:f>
        <x:v>0</x:v>
      </x:c>
      <x:c r="BH504" s="22" t="n">
        <x:f>MAX(0,MIN('Activities'!L504,336)-MAX('Activities'!K504,330))</x:f>
        <x:v>0</x:v>
      </x:c>
      <x:c r="BI504" s="22" t="n">
        <x:f>MAX(0,MIN('Activities'!L504,342)-MAX('Activities'!K504,336))</x:f>
        <x:v>0</x:v>
      </x:c>
      <x:c r="BJ504" s="22" t="n">
        <x:f>MAX(0,MIN('Activities'!L504,348)-MAX('Activities'!K504,342))</x:f>
        <x:v>0</x:v>
      </x:c>
      <x:c r="BK504" s="22" t="n">
        <x:f>MAX(0,MIN('Activities'!L504,354)-MAX('Activities'!K504,348))</x:f>
        <x:v>0</x:v>
      </x:c>
      <x:c r="BL504" s="22" t="n">
        <x:f>MAX(0,MIN('Activities'!L504,360)-MAX('Activities'!K504,354))</x:f>
        <x:v>0</x:v>
      </x:c>
      <x:c r="BM504" s="22" t="n">
        <x:f>MAX(0,MIN('Activities'!L504,366)-MAX('Activities'!K504,360))</x:f>
        <x:v>0</x:v>
      </x:c>
      <x:c r="BN504" s="22" t="n">
        <x:f>MAX(0,MIN('Activities'!L504,372)-MAX('Activities'!K504,366))</x:f>
        <x:v>0</x:v>
      </x:c>
      <x:c r="BO504" s="22" t="n">
        <x:f>MAX(0,MIN('Activities'!L504,378)-MAX('Activities'!K504,372))</x:f>
        <x:v>0</x:v>
      </x:c>
      <x:c r="BP504" s="22" t="n">
        <x:f>MAX(0,MIN('Activities'!L504,384)-MAX('Activities'!K504,378))</x:f>
        <x:v>0</x:v>
      </x:c>
      <x:c r="BQ504" s="22" t="n">
        <x:f>MAX(0,MIN('Activities'!L504,390)-MAX('Activities'!K504,384))</x:f>
        <x:v>0</x:v>
      </x:c>
      <x:c r="BR504" s="22" t="n">
        <x:f>MAX(0,MIN('Activities'!L504,396)-MAX('Activities'!K504,390))</x:f>
        <x:v>0</x:v>
      </x:c>
      <x:c r="BS504" s="22" t="n">
        <x:f>MAX(0,MIN('Activities'!L504,402)-MAX('Activities'!K504,396))</x:f>
        <x:v>0</x:v>
      </x:c>
      <x:c r="BT504" s="22" t="n">
        <x:f>MAX(0,MIN('Activities'!L504,408)-MAX('Activities'!K504,402))</x:f>
        <x:v>0</x:v>
      </x:c>
      <x:c r="BU504" s="22" t="n">
        <x:f>MAX(0,MIN('Activities'!L504,414)-MAX('Activities'!K504,408))</x:f>
        <x:v>0</x:v>
      </x:c>
      <x:c r="BV504" s="22" t="n">
        <x:f>MAX(0,MIN('Activities'!L504,420)-MAX('Activities'!K504,414))</x:f>
        <x:v>0</x:v>
      </x:c>
      <x:c r="BW504" s="22" t="n">
        <x:f>MAX(0,MIN('Activities'!L504,426)-MAX('Activities'!K504,420))</x:f>
        <x:v>0</x:v>
      </x:c>
      <x:c r="BX504" s="22" t="n">
        <x:f>MAX(0,MIN('Activities'!L504,432)-MAX('Activities'!K504,426))</x:f>
        <x:v>0</x:v>
      </x:c>
      <x:c r="BY504" s="22" t="n">
        <x:f>MAX(0,MIN('Activities'!L504,438)-MAX('Activities'!K504,432))</x:f>
        <x:v>0</x:v>
      </x:c>
      <x:c r="BZ504" s="22" t="n">
        <x:f>MAX(0,MIN('Activities'!L504,444)-MAX('Activities'!K504,438))</x:f>
        <x:v>0</x:v>
      </x:c>
      <x:c r="CA504" s="22" t="n">
        <x:f>MAX(0,MIN('Activities'!L504,450)-MAX('Activities'!K504,444))</x:f>
        <x:v>5</x:v>
      </x:c>
      <x:c r="CB504" s="22" t="n">
        <x:f>MAX(0,MIN('Activities'!L504,456)-MAX('Activities'!K504,450))</x:f>
        <x:v>0</x:v>
      </x:c>
      <x:c r="CC504" s="22" t="n">
        <x:f>MAX(0,MIN('Activities'!L504,462)-MAX('Activities'!K504,456))</x:f>
        <x:v>0</x:v>
      </x:c>
      <x:c r="CD504" s="22" t="n">
        <x:f>MAX(0,MIN('Activities'!L504,468)-MAX('Activities'!K504,462))</x:f>
        <x:v>0</x:v>
      </x:c>
      <x:c r="CE504" s="22" t="n">
        <x:f>MAX(0,MIN('Activities'!L504,474)-MAX('Activities'!K504,468))</x:f>
        <x:v>0</x:v>
      </x:c>
      <x:c r="CF504" s="22" t="n">
        <x:f>MAX(0,MIN('Activities'!L504,480)-MAX('Activities'!K504,474))</x:f>
        <x:v>0</x:v>
      </x:c>
      <x:c r="CG504" s="22" t="n">
        <x:f>MAX(0,MIN('Activities'!L504,486)-MAX('Activities'!K504,480))</x:f>
        <x:v>0</x:v>
      </x:c>
      <x:c r="CH504" s="22" t="n">
        <x:f>MAX(0,MIN('Activities'!L504,492)-MAX('Activities'!K504,486))</x:f>
        <x:v>0</x:v>
      </x:c>
      <x:c r="CI504" s="22" t="n">
        <x:f>MAX(0,MIN('Activities'!L504,498)-MAX('Activities'!K504,492))</x:f>
        <x:v>0</x:v>
      </x:c>
      <x:c r="CJ504" s="22" t="n">
        <x:f>MAX(0,MIN('Activities'!L504,504)-MAX('Activities'!K504,498))</x:f>
        <x:v>0</x:v>
      </x:c>
      <x:c r="CK504" s="22" t="n">
        <x:f>MAX(0,MIN('Activities'!L504,510)-MAX('Activities'!K504,504))</x:f>
        <x:v>0</x:v>
      </x:c>
      <x:c r="CL504" s="22" t="n">
        <x:f>MAX(0,MIN('Activities'!L504,516)-MAX('Activities'!K504,510))</x:f>
        <x:v>0</x:v>
      </x:c>
      <x:c r="CM504" s="22" t="n">
        <x:f>MAX(0,MIN('Activities'!L504,522)-MAX('Activities'!K504,516))</x:f>
        <x:v>0</x:v>
      </x:c>
      <x:c r="CN504" s="22" t="n">
        <x:f>MAX(0,MIN('Activities'!L504,528)-MAX('Activities'!K504,522))</x:f>
        <x:v>0</x:v>
      </x:c>
      <x:c r="CO504" s="22" t="n">
        <x:f>MAX(0,MIN('Activities'!L504,534)-MAX('Activities'!K504,528))</x:f>
        <x:v>0</x:v>
      </x:c>
      <x:c r="CP504" s="22" t="n">
        <x:f>MAX(0,MIN('Activities'!L504,540)-MAX('Activities'!K504,534))</x:f>
        <x:v>0</x:v>
      </x:c>
      <x:c r="CQ504" s="22" t="n">
        <x:f>MAX(0,MIN('Activities'!L504,546)-MAX('Activities'!K504,540))</x:f>
        <x:v>0</x:v>
      </x:c>
      <x:c r="CR504" s="22" t="n">
        <x:f>MAX(0,MIN('Activities'!L504,552)-MAX('Activities'!K504,546))</x:f>
        <x:v>0</x:v>
      </x:c>
      <x:c r="CS504" s="22" t="n">
        <x:f>MAX(0,MIN('Activities'!L504,558)-MAX('Activities'!K504,552))</x:f>
        <x:v>0</x:v>
      </x:c>
      <x:c r="CT504" s="22" t="n">
        <x:f>MAX(0,MIN('Activities'!L504,564)-MAX('Activities'!K504,558))</x:f>
        <x:v>0</x:v>
      </x:c>
      <x:c r="CU504" s="22" t="n">
        <x:f>MAX(0,MIN('Activities'!L504,570)-MAX('Activities'!K504,564))</x:f>
        <x:v>0</x:v>
      </x:c>
      <x:c r="CV504" s="22" t="n">
        <x:f>MAX(0,MIN('Activities'!L504,576)-MAX('Activities'!K504,570))</x:f>
        <x:v>0</x:v>
      </x:c>
      <x:c r="CW504" s="22" t="n">
        <x:f>MAX(0,MIN('Activities'!L504,582)-MAX('Activities'!K504,576))</x:f>
        <x:v>0</x:v>
      </x:c>
      <x:c r="CX504" s="22" t="n">
        <x:f>MAX(0,MIN('Activities'!L504,588)-MAX('Activities'!K504,582))</x:f>
        <x:v>0</x:v>
      </x:c>
      <x:c r="CY504" s="22" t="n">
        <x:f>MAX(0,MIN('Activities'!L504,594)-MAX('Activities'!K504,588))</x:f>
        <x:v>0</x:v>
      </x:c>
      <x:c r="CZ504" s="22" t="n">
        <x:f>MAX(0,MIN('Activities'!L504,600)-MAX('Activities'!K504,594))</x:f>
        <x:v>0</x:v>
      </x:c>
      <x:c r="DA504" s="22" t="n">
        <x:f>MAX(0,MIN('Activities'!L504,606)-MAX('Activities'!K504,600))</x:f>
        <x:v>0</x:v>
      </x:c>
      <x:c r="DB504" s="22" t="n">
        <x:f>MAX(0,MIN('Activities'!L504,612)-MAX('Activities'!K504,606))</x:f>
        <x:v>0</x:v>
      </x:c>
      <x:c r="DC504" s="22" t="n">
        <x:f>MAX(0,MIN('Activities'!L504,618)-MAX('Activities'!K504,612))</x:f>
        <x:v>0</x:v>
      </x:c>
      <x:c r="DD504" s="22" t="n">
        <x:f>MAX(0,MIN('Activities'!L504,624)-MAX('Activities'!K504,618))</x:f>
        <x:v>0</x:v>
      </x:c>
      <x:c r="DE504" s="22" t="n">
        <x:f>MAX(0,MIN('Activities'!L504,630)-MAX('Activities'!K504,624))</x:f>
        <x:v>0</x:v>
      </x:c>
      <x:c r="DF504" s="22" t="n">
        <x:f>MAX(0,MIN('Activities'!L504,636)-MAX('Activities'!K504,630))</x:f>
        <x:v>0</x:v>
      </x:c>
    </x:row>
    <x:row r="505" ht="23" customHeight="1">
      <x:c r="A505" s="1" t="str">
        <x:v>T4-L05-D</x:v>
      </x:c>
      <x:c r="B505" s="1" t="str">
        <x:v>T4</x:v>
      </x:c>
      <x:c r="C505" s="1" t="str">
        <x:v>Door sets and ironmongery</x:v>
      </x:c>
      <x:c r="D505" s="1" t="str">
        <x:v>Finishes</x:v>
      </x:c>
      <x:c r="E505" s="23" t="n">
        <x:f>MAX(0,MIN('Activities'!L505,6)-MAX('Activities'!K505,0))</x:f>
        <x:v>0</x:v>
      </x:c>
      <x:c r="F505" s="23" t="n">
        <x:f>MAX(0,MIN('Activities'!L505,12)-MAX('Activities'!K505,6))</x:f>
        <x:v>0</x:v>
      </x:c>
      <x:c r="G505" s="23" t="n">
        <x:f>MAX(0,MIN('Activities'!L505,18)-MAX('Activities'!K505,12))</x:f>
        <x:v>0</x:v>
      </x:c>
      <x:c r="H505" s="23" t="n">
        <x:f>MAX(0,MIN('Activities'!L505,24)-MAX('Activities'!K505,18))</x:f>
        <x:v>0</x:v>
      </x:c>
      <x:c r="I505" s="23" t="n">
        <x:f>MAX(0,MIN('Activities'!L505,30)-MAX('Activities'!K505,24))</x:f>
        <x:v>0</x:v>
      </x:c>
      <x:c r="J505" s="23" t="n">
        <x:f>MAX(0,MIN('Activities'!L505,36)-MAX('Activities'!K505,30))</x:f>
        <x:v>0</x:v>
      </x:c>
      <x:c r="K505" s="23" t="n">
        <x:f>MAX(0,MIN('Activities'!L505,42)-MAX('Activities'!K505,36))</x:f>
        <x:v>0</x:v>
      </x:c>
      <x:c r="L505" s="23" t="n">
        <x:f>MAX(0,MIN('Activities'!L505,48)-MAX('Activities'!K505,42))</x:f>
        <x:v>0</x:v>
      </x:c>
      <x:c r="M505" s="23" t="n">
        <x:f>MAX(0,MIN('Activities'!L505,54)-MAX('Activities'!K505,48))</x:f>
        <x:v>0</x:v>
      </x:c>
      <x:c r="N505" s="23" t="n">
        <x:f>MAX(0,MIN('Activities'!L505,60)-MAX('Activities'!K505,54))</x:f>
        <x:v>0</x:v>
      </x:c>
      <x:c r="O505" s="23" t="n">
        <x:f>MAX(0,MIN('Activities'!L505,66)-MAX('Activities'!K505,60))</x:f>
        <x:v>0</x:v>
      </x:c>
      <x:c r="P505" s="23" t="n">
        <x:f>MAX(0,MIN('Activities'!L505,72)-MAX('Activities'!K505,66))</x:f>
        <x:v>0</x:v>
      </x:c>
      <x:c r="Q505" s="23" t="n">
        <x:f>MAX(0,MIN('Activities'!L505,78)-MAX('Activities'!K505,72))</x:f>
        <x:v>0</x:v>
      </x:c>
      <x:c r="R505" s="23" t="n">
        <x:f>MAX(0,MIN('Activities'!L505,84)-MAX('Activities'!K505,78))</x:f>
        <x:v>0</x:v>
      </x:c>
      <x:c r="S505" s="23" t="n">
        <x:f>MAX(0,MIN('Activities'!L505,90)-MAX('Activities'!K505,84))</x:f>
        <x:v>0</x:v>
      </x:c>
      <x:c r="T505" s="23" t="n">
        <x:f>MAX(0,MIN('Activities'!L505,96)-MAX('Activities'!K505,90))</x:f>
        <x:v>0</x:v>
      </x:c>
      <x:c r="U505" s="23" t="n">
        <x:f>MAX(0,MIN('Activities'!L505,102)-MAX('Activities'!K505,96))</x:f>
        <x:v>0</x:v>
      </x:c>
      <x:c r="V505" s="23" t="n">
        <x:f>MAX(0,MIN('Activities'!L505,108)-MAX('Activities'!K505,102))</x:f>
        <x:v>0</x:v>
      </x:c>
      <x:c r="W505" s="23" t="n">
        <x:f>MAX(0,MIN('Activities'!L505,114)-MAX('Activities'!K505,108))</x:f>
        <x:v>0</x:v>
      </x:c>
      <x:c r="X505" s="23" t="n">
        <x:f>MAX(0,MIN('Activities'!L505,120)-MAX('Activities'!K505,114))</x:f>
        <x:v>0</x:v>
      </x:c>
      <x:c r="Y505" s="23" t="n">
        <x:f>MAX(0,MIN('Activities'!L505,126)-MAX('Activities'!K505,120))</x:f>
        <x:v>0</x:v>
      </x:c>
      <x:c r="Z505" s="23" t="n">
        <x:f>MAX(0,MIN('Activities'!L505,132)-MAX('Activities'!K505,126))</x:f>
        <x:v>0</x:v>
      </x:c>
      <x:c r="AA505" s="23" t="n">
        <x:f>MAX(0,MIN('Activities'!L505,138)-MAX('Activities'!K505,132))</x:f>
        <x:v>0</x:v>
      </x:c>
      <x:c r="AB505" s="23" t="n">
        <x:f>MAX(0,MIN('Activities'!L505,144)-MAX('Activities'!K505,138))</x:f>
        <x:v>0</x:v>
      </x:c>
      <x:c r="AC505" s="23" t="n">
        <x:f>MAX(0,MIN('Activities'!L505,150)-MAX('Activities'!K505,144))</x:f>
        <x:v>0</x:v>
      </x:c>
      <x:c r="AD505" s="23" t="n">
        <x:f>MAX(0,MIN('Activities'!L505,156)-MAX('Activities'!K505,150))</x:f>
        <x:v>0</x:v>
      </x:c>
      <x:c r="AE505" s="23" t="n">
        <x:f>MAX(0,MIN('Activities'!L505,162)-MAX('Activities'!K505,156))</x:f>
        <x:v>0</x:v>
      </x:c>
      <x:c r="AF505" s="23" t="n">
        <x:f>MAX(0,MIN('Activities'!L505,168)-MAX('Activities'!K505,162))</x:f>
        <x:v>0</x:v>
      </x:c>
      <x:c r="AG505" s="23" t="n">
        <x:f>MAX(0,MIN('Activities'!L505,174)-MAX('Activities'!K505,168))</x:f>
        <x:v>0</x:v>
      </x:c>
      <x:c r="AH505" s="23" t="n">
        <x:f>MAX(0,MIN('Activities'!L505,180)-MAX('Activities'!K505,174))</x:f>
        <x:v>0</x:v>
      </x:c>
      <x:c r="AI505" s="23" t="n">
        <x:f>MAX(0,MIN('Activities'!L505,186)-MAX('Activities'!K505,180))</x:f>
        <x:v>0</x:v>
      </x:c>
      <x:c r="AJ505" s="23" t="n">
        <x:f>MAX(0,MIN('Activities'!L505,192)-MAX('Activities'!K505,186))</x:f>
        <x:v>0</x:v>
      </x:c>
      <x:c r="AK505" s="23" t="n">
        <x:f>MAX(0,MIN('Activities'!L505,198)-MAX('Activities'!K505,192))</x:f>
        <x:v>0</x:v>
      </x:c>
      <x:c r="AL505" s="23" t="n">
        <x:f>MAX(0,MIN('Activities'!L505,204)-MAX('Activities'!K505,198))</x:f>
        <x:v>0</x:v>
      </x:c>
      <x:c r="AM505" s="23" t="n">
        <x:f>MAX(0,MIN('Activities'!L505,210)-MAX('Activities'!K505,204))</x:f>
        <x:v>0</x:v>
      </x:c>
      <x:c r="AN505" s="23" t="n">
        <x:f>MAX(0,MIN('Activities'!L505,216)-MAX('Activities'!K505,210))</x:f>
        <x:v>0</x:v>
      </x:c>
      <x:c r="AO505" s="23" t="n">
        <x:f>MAX(0,MIN('Activities'!L505,222)-MAX('Activities'!K505,216))</x:f>
        <x:v>0</x:v>
      </x:c>
      <x:c r="AP505" s="23" t="n">
        <x:f>MAX(0,MIN('Activities'!L505,228)-MAX('Activities'!K505,222))</x:f>
        <x:v>0</x:v>
      </x:c>
      <x:c r="AQ505" s="23" t="n">
        <x:f>MAX(0,MIN('Activities'!L505,234)-MAX('Activities'!K505,228))</x:f>
        <x:v>0</x:v>
      </x:c>
      <x:c r="AR505" s="23" t="n">
        <x:f>MAX(0,MIN('Activities'!L505,240)-MAX('Activities'!K505,234))</x:f>
        <x:v>0</x:v>
      </x:c>
      <x:c r="AS505" s="23" t="n">
        <x:f>MAX(0,MIN('Activities'!L505,246)-MAX('Activities'!K505,240))</x:f>
        <x:v>0</x:v>
      </x:c>
      <x:c r="AT505" s="23" t="n">
        <x:f>MAX(0,MIN('Activities'!L505,252)-MAX('Activities'!K505,246))</x:f>
        <x:v>0</x:v>
      </x:c>
      <x:c r="AU505" s="23" t="n">
        <x:f>MAX(0,MIN('Activities'!L505,258)-MAX('Activities'!K505,252))</x:f>
        <x:v>0</x:v>
      </x:c>
      <x:c r="AV505" s="23" t="n">
        <x:f>MAX(0,MIN('Activities'!L505,264)-MAX('Activities'!K505,258))</x:f>
        <x:v>0</x:v>
      </x:c>
      <x:c r="AW505" s="23" t="n">
        <x:f>MAX(0,MIN('Activities'!L505,270)-MAX('Activities'!K505,264))</x:f>
        <x:v>0</x:v>
      </x:c>
      <x:c r="AX505" s="23" t="n">
        <x:f>MAX(0,MIN('Activities'!L505,276)-MAX('Activities'!K505,270))</x:f>
        <x:v>0</x:v>
      </x:c>
      <x:c r="AY505" s="23" t="n">
        <x:f>MAX(0,MIN('Activities'!L505,282)-MAX('Activities'!K505,276))</x:f>
        <x:v>0</x:v>
      </x:c>
      <x:c r="AZ505" s="23" t="n">
        <x:f>MAX(0,MIN('Activities'!L505,288)-MAX('Activities'!K505,282))</x:f>
        <x:v>0</x:v>
      </x:c>
      <x:c r="BA505" s="23" t="n">
        <x:f>MAX(0,MIN('Activities'!L505,294)-MAX('Activities'!K505,288))</x:f>
        <x:v>0</x:v>
      </x:c>
      <x:c r="BB505" s="23" t="n">
        <x:f>MAX(0,MIN('Activities'!L505,300)-MAX('Activities'!K505,294))</x:f>
        <x:v>0</x:v>
      </x:c>
      <x:c r="BC505" s="23" t="n">
        <x:f>MAX(0,MIN('Activities'!L505,306)-MAX('Activities'!K505,300))</x:f>
        <x:v>0</x:v>
      </x:c>
      <x:c r="BD505" s="23" t="n">
        <x:f>MAX(0,MIN('Activities'!L505,312)-MAX('Activities'!K505,306))</x:f>
        <x:v>0</x:v>
      </x:c>
      <x:c r="BE505" s="23" t="n">
        <x:f>MAX(0,MIN('Activities'!L505,318)-MAX('Activities'!K505,312))</x:f>
        <x:v>0</x:v>
      </x:c>
      <x:c r="BF505" s="23" t="n">
        <x:f>MAX(0,MIN('Activities'!L505,324)-MAX('Activities'!K505,318))</x:f>
        <x:v>0</x:v>
      </x:c>
      <x:c r="BG505" s="23" t="n">
        <x:f>MAX(0,MIN('Activities'!L505,330)-MAX('Activities'!K505,324))</x:f>
        <x:v>0</x:v>
      </x:c>
      <x:c r="BH505" s="23" t="n">
        <x:f>MAX(0,MIN('Activities'!L505,336)-MAX('Activities'!K505,330))</x:f>
        <x:v>0</x:v>
      </x:c>
      <x:c r="BI505" s="23" t="n">
        <x:f>MAX(0,MIN('Activities'!L505,342)-MAX('Activities'!K505,336))</x:f>
        <x:v>0</x:v>
      </x:c>
      <x:c r="BJ505" s="23" t="n">
        <x:f>MAX(0,MIN('Activities'!L505,348)-MAX('Activities'!K505,342))</x:f>
        <x:v>0</x:v>
      </x:c>
      <x:c r="BK505" s="23" t="n">
        <x:f>MAX(0,MIN('Activities'!L505,354)-MAX('Activities'!K505,348))</x:f>
        <x:v>0</x:v>
      </x:c>
      <x:c r="BL505" s="23" t="n">
        <x:f>MAX(0,MIN('Activities'!L505,360)-MAX('Activities'!K505,354))</x:f>
        <x:v>0</x:v>
      </x:c>
      <x:c r="BM505" s="23" t="n">
        <x:f>MAX(0,MIN('Activities'!L505,366)-MAX('Activities'!K505,360))</x:f>
        <x:v>0</x:v>
      </x:c>
      <x:c r="BN505" s="23" t="n">
        <x:f>MAX(0,MIN('Activities'!L505,372)-MAX('Activities'!K505,366))</x:f>
        <x:v>0</x:v>
      </x:c>
      <x:c r="BO505" s="23" t="n">
        <x:f>MAX(0,MIN('Activities'!L505,378)-MAX('Activities'!K505,372))</x:f>
        <x:v>0</x:v>
      </x:c>
      <x:c r="BP505" s="23" t="n">
        <x:f>MAX(0,MIN('Activities'!L505,384)-MAX('Activities'!K505,378))</x:f>
        <x:v>0</x:v>
      </x:c>
      <x:c r="BQ505" s="23" t="n">
        <x:f>MAX(0,MIN('Activities'!L505,390)-MAX('Activities'!K505,384))</x:f>
        <x:v>0</x:v>
      </x:c>
      <x:c r="BR505" s="23" t="n">
        <x:f>MAX(0,MIN('Activities'!L505,396)-MAX('Activities'!K505,390))</x:f>
        <x:v>0</x:v>
      </x:c>
      <x:c r="BS505" s="23" t="n">
        <x:f>MAX(0,MIN('Activities'!L505,402)-MAX('Activities'!K505,396))</x:f>
        <x:v>0</x:v>
      </x:c>
      <x:c r="BT505" s="23" t="n">
        <x:f>MAX(0,MIN('Activities'!L505,408)-MAX('Activities'!K505,402))</x:f>
        <x:v>0</x:v>
      </x:c>
      <x:c r="BU505" s="23" t="n">
        <x:f>MAX(0,MIN('Activities'!L505,414)-MAX('Activities'!K505,408))</x:f>
        <x:v>0</x:v>
      </x:c>
      <x:c r="BV505" s="23" t="n">
        <x:f>MAX(0,MIN('Activities'!L505,420)-MAX('Activities'!K505,414))</x:f>
        <x:v>0</x:v>
      </x:c>
      <x:c r="BW505" s="23" t="n">
        <x:f>MAX(0,MIN('Activities'!L505,426)-MAX('Activities'!K505,420))</x:f>
        <x:v>0</x:v>
      </x:c>
      <x:c r="BX505" s="23" t="n">
        <x:f>MAX(0,MIN('Activities'!L505,432)-MAX('Activities'!K505,426))</x:f>
        <x:v>0</x:v>
      </x:c>
      <x:c r="BY505" s="23" t="n">
        <x:f>MAX(0,MIN('Activities'!L505,438)-MAX('Activities'!K505,432))</x:f>
        <x:v>0</x:v>
      </x:c>
      <x:c r="BZ505" s="23" t="n">
        <x:f>MAX(0,MIN('Activities'!L505,444)-MAX('Activities'!K505,438))</x:f>
        <x:v>0</x:v>
      </x:c>
      <x:c r="CA505" s="23" t="n">
        <x:f>MAX(0,MIN('Activities'!L505,450)-MAX('Activities'!K505,444))</x:f>
        <x:v>0</x:v>
      </x:c>
      <x:c r="CB505" s="23" t="n">
        <x:f>MAX(0,MIN('Activities'!L505,456)-MAX('Activities'!K505,450))</x:f>
        <x:v>3</x:v>
      </x:c>
      <x:c r="CC505" s="23" t="n">
        <x:f>MAX(0,MIN('Activities'!L505,462)-MAX('Activities'!K505,456))</x:f>
        <x:v>0</x:v>
      </x:c>
      <x:c r="CD505" s="23" t="n">
        <x:f>MAX(0,MIN('Activities'!L505,468)-MAX('Activities'!K505,462))</x:f>
        <x:v>0</x:v>
      </x:c>
      <x:c r="CE505" s="23" t="n">
        <x:f>MAX(0,MIN('Activities'!L505,474)-MAX('Activities'!K505,468))</x:f>
        <x:v>0</x:v>
      </x:c>
      <x:c r="CF505" s="23" t="n">
        <x:f>MAX(0,MIN('Activities'!L505,480)-MAX('Activities'!K505,474))</x:f>
        <x:v>0</x:v>
      </x:c>
      <x:c r="CG505" s="23" t="n">
        <x:f>MAX(0,MIN('Activities'!L505,486)-MAX('Activities'!K505,480))</x:f>
        <x:v>0</x:v>
      </x:c>
      <x:c r="CH505" s="23" t="n">
        <x:f>MAX(0,MIN('Activities'!L505,492)-MAX('Activities'!K505,486))</x:f>
        <x:v>0</x:v>
      </x:c>
      <x:c r="CI505" s="23" t="n">
        <x:f>MAX(0,MIN('Activities'!L505,498)-MAX('Activities'!K505,492))</x:f>
        <x:v>0</x:v>
      </x:c>
      <x:c r="CJ505" s="23" t="n">
        <x:f>MAX(0,MIN('Activities'!L505,504)-MAX('Activities'!K505,498))</x:f>
        <x:v>0</x:v>
      </x:c>
      <x:c r="CK505" s="23" t="n">
        <x:f>MAX(0,MIN('Activities'!L505,510)-MAX('Activities'!K505,504))</x:f>
        <x:v>0</x:v>
      </x:c>
      <x:c r="CL505" s="23" t="n">
        <x:f>MAX(0,MIN('Activities'!L505,516)-MAX('Activities'!K505,510))</x:f>
        <x:v>0</x:v>
      </x:c>
      <x:c r="CM505" s="23" t="n">
        <x:f>MAX(0,MIN('Activities'!L505,522)-MAX('Activities'!K505,516))</x:f>
        <x:v>0</x:v>
      </x:c>
      <x:c r="CN505" s="23" t="n">
        <x:f>MAX(0,MIN('Activities'!L505,528)-MAX('Activities'!K505,522))</x:f>
        <x:v>0</x:v>
      </x:c>
      <x:c r="CO505" s="23" t="n">
        <x:f>MAX(0,MIN('Activities'!L505,534)-MAX('Activities'!K505,528))</x:f>
        <x:v>0</x:v>
      </x:c>
      <x:c r="CP505" s="23" t="n">
        <x:f>MAX(0,MIN('Activities'!L505,540)-MAX('Activities'!K505,534))</x:f>
        <x:v>0</x:v>
      </x:c>
      <x:c r="CQ505" s="23" t="n">
        <x:f>MAX(0,MIN('Activities'!L505,546)-MAX('Activities'!K505,540))</x:f>
        <x:v>0</x:v>
      </x:c>
      <x:c r="CR505" s="23" t="n">
        <x:f>MAX(0,MIN('Activities'!L505,552)-MAX('Activities'!K505,546))</x:f>
        <x:v>0</x:v>
      </x:c>
      <x:c r="CS505" s="23" t="n">
        <x:f>MAX(0,MIN('Activities'!L505,558)-MAX('Activities'!K505,552))</x:f>
        <x:v>0</x:v>
      </x:c>
      <x:c r="CT505" s="23" t="n">
        <x:f>MAX(0,MIN('Activities'!L505,564)-MAX('Activities'!K505,558))</x:f>
        <x:v>0</x:v>
      </x:c>
      <x:c r="CU505" s="23" t="n">
        <x:f>MAX(0,MIN('Activities'!L505,570)-MAX('Activities'!K505,564))</x:f>
        <x:v>0</x:v>
      </x:c>
      <x:c r="CV505" s="23" t="n">
        <x:f>MAX(0,MIN('Activities'!L505,576)-MAX('Activities'!K505,570))</x:f>
        <x:v>0</x:v>
      </x:c>
      <x:c r="CW505" s="23" t="n">
        <x:f>MAX(0,MIN('Activities'!L505,582)-MAX('Activities'!K505,576))</x:f>
        <x:v>0</x:v>
      </x:c>
      <x:c r="CX505" s="23" t="n">
        <x:f>MAX(0,MIN('Activities'!L505,588)-MAX('Activities'!K505,582))</x:f>
        <x:v>0</x:v>
      </x:c>
      <x:c r="CY505" s="23" t="n">
        <x:f>MAX(0,MIN('Activities'!L505,594)-MAX('Activities'!K505,588))</x:f>
        <x:v>0</x:v>
      </x:c>
      <x:c r="CZ505" s="23" t="n">
        <x:f>MAX(0,MIN('Activities'!L505,600)-MAX('Activities'!K505,594))</x:f>
        <x:v>0</x:v>
      </x:c>
      <x:c r="DA505" s="23" t="n">
        <x:f>MAX(0,MIN('Activities'!L505,606)-MAX('Activities'!K505,600))</x:f>
        <x:v>0</x:v>
      </x:c>
      <x:c r="DB505" s="23" t="n">
        <x:f>MAX(0,MIN('Activities'!L505,612)-MAX('Activities'!K505,606))</x:f>
        <x:v>0</x:v>
      </x:c>
      <x:c r="DC505" s="23" t="n">
        <x:f>MAX(0,MIN('Activities'!L505,618)-MAX('Activities'!K505,612))</x:f>
        <x:v>0</x:v>
      </x:c>
      <x:c r="DD505" s="23" t="n">
        <x:f>MAX(0,MIN('Activities'!L505,624)-MAX('Activities'!K505,618))</x:f>
        <x:v>0</x:v>
      </x:c>
      <x:c r="DE505" s="23" t="n">
        <x:f>MAX(0,MIN('Activities'!L505,630)-MAX('Activities'!K505,624))</x:f>
        <x:v>0</x:v>
      </x:c>
      <x:c r="DF505" s="23" t="n">
        <x:f>MAX(0,MIN('Activities'!L505,636)-MAX('Activities'!K505,630))</x:f>
        <x:v>0</x:v>
      </x:c>
    </x:row>
    <x:row r="506" ht="23" customHeight="1">
      <x:c r="A506" s="6" t="str">
        <x:v>T4-L06-M</x:v>
      </x:c>
      <x:c r="B506" s="6" t="str">
        <x:v>T4</x:v>
      </x:c>
      <x:c r="C506" s="6" t="str">
        <x:v>Partition masonry</x:v>
      </x:c>
      <x:c r="D506" s="6" t="str">
        <x:v>Masonry</x:v>
      </x:c>
      <x:c r="E506" s="22" t="n">
        <x:f>MAX(0,MIN('Activities'!L506,6)-MAX('Activities'!K506,0))</x:f>
        <x:v>0</x:v>
      </x:c>
      <x:c r="F506" s="22" t="n">
        <x:f>MAX(0,MIN('Activities'!L506,12)-MAX('Activities'!K506,6))</x:f>
        <x:v>0</x:v>
      </x:c>
      <x:c r="G506" s="22" t="n">
        <x:f>MAX(0,MIN('Activities'!L506,18)-MAX('Activities'!K506,12))</x:f>
        <x:v>0</x:v>
      </x:c>
      <x:c r="H506" s="22" t="n">
        <x:f>MAX(0,MIN('Activities'!L506,24)-MAX('Activities'!K506,18))</x:f>
        <x:v>0</x:v>
      </x:c>
      <x:c r="I506" s="22" t="n">
        <x:f>MAX(0,MIN('Activities'!L506,30)-MAX('Activities'!K506,24))</x:f>
        <x:v>0</x:v>
      </x:c>
      <x:c r="J506" s="22" t="n">
        <x:f>MAX(0,MIN('Activities'!L506,36)-MAX('Activities'!K506,30))</x:f>
        <x:v>0</x:v>
      </x:c>
      <x:c r="K506" s="22" t="n">
        <x:f>MAX(0,MIN('Activities'!L506,42)-MAX('Activities'!K506,36))</x:f>
        <x:v>0</x:v>
      </x:c>
      <x:c r="L506" s="22" t="n">
        <x:f>MAX(0,MIN('Activities'!L506,48)-MAX('Activities'!K506,42))</x:f>
        <x:v>0</x:v>
      </x:c>
      <x:c r="M506" s="22" t="n">
        <x:f>MAX(0,MIN('Activities'!L506,54)-MAX('Activities'!K506,48))</x:f>
        <x:v>0</x:v>
      </x:c>
      <x:c r="N506" s="22" t="n">
        <x:f>MAX(0,MIN('Activities'!L506,60)-MAX('Activities'!K506,54))</x:f>
        <x:v>0</x:v>
      </x:c>
      <x:c r="O506" s="22" t="n">
        <x:f>MAX(0,MIN('Activities'!L506,66)-MAX('Activities'!K506,60))</x:f>
        <x:v>0</x:v>
      </x:c>
      <x:c r="P506" s="22" t="n">
        <x:f>MAX(0,MIN('Activities'!L506,72)-MAX('Activities'!K506,66))</x:f>
        <x:v>0</x:v>
      </x:c>
      <x:c r="Q506" s="22" t="n">
        <x:f>MAX(0,MIN('Activities'!L506,78)-MAX('Activities'!K506,72))</x:f>
        <x:v>0</x:v>
      </x:c>
      <x:c r="R506" s="22" t="n">
        <x:f>MAX(0,MIN('Activities'!L506,84)-MAX('Activities'!K506,78))</x:f>
        <x:v>0</x:v>
      </x:c>
      <x:c r="S506" s="22" t="n">
        <x:f>MAX(0,MIN('Activities'!L506,90)-MAX('Activities'!K506,84))</x:f>
        <x:v>0</x:v>
      </x:c>
      <x:c r="T506" s="22" t="n">
        <x:f>MAX(0,MIN('Activities'!L506,96)-MAX('Activities'!K506,90))</x:f>
        <x:v>0</x:v>
      </x:c>
      <x:c r="U506" s="22" t="n">
        <x:f>MAX(0,MIN('Activities'!L506,102)-MAX('Activities'!K506,96))</x:f>
        <x:v>0</x:v>
      </x:c>
      <x:c r="V506" s="22" t="n">
        <x:f>MAX(0,MIN('Activities'!L506,108)-MAX('Activities'!K506,102))</x:f>
        <x:v>0</x:v>
      </x:c>
      <x:c r="W506" s="22" t="n">
        <x:f>MAX(0,MIN('Activities'!L506,114)-MAX('Activities'!K506,108))</x:f>
        <x:v>0</x:v>
      </x:c>
      <x:c r="X506" s="22" t="n">
        <x:f>MAX(0,MIN('Activities'!L506,120)-MAX('Activities'!K506,114))</x:f>
        <x:v>0</x:v>
      </x:c>
      <x:c r="Y506" s="22" t="n">
        <x:f>MAX(0,MIN('Activities'!L506,126)-MAX('Activities'!K506,120))</x:f>
        <x:v>0</x:v>
      </x:c>
      <x:c r="Z506" s="22" t="n">
        <x:f>MAX(0,MIN('Activities'!L506,132)-MAX('Activities'!K506,126))</x:f>
        <x:v>0</x:v>
      </x:c>
      <x:c r="AA506" s="22" t="n">
        <x:f>MAX(0,MIN('Activities'!L506,138)-MAX('Activities'!K506,132))</x:f>
        <x:v>0</x:v>
      </x:c>
      <x:c r="AB506" s="22" t="n">
        <x:f>MAX(0,MIN('Activities'!L506,144)-MAX('Activities'!K506,138))</x:f>
        <x:v>0</x:v>
      </x:c>
      <x:c r="AC506" s="22" t="n">
        <x:f>MAX(0,MIN('Activities'!L506,150)-MAX('Activities'!K506,144))</x:f>
        <x:v>0</x:v>
      </x:c>
      <x:c r="AD506" s="22" t="n">
        <x:f>MAX(0,MIN('Activities'!L506,156)-MAX('Activities'!K506,150))</x:f>
        <x:v>0</x:v>
      </x:c>
      <x:c r="AE506" s="22" t="n">
        <x:f>MAX(0,MIN('Activities'!L506,162)-MAX('Activities'!K506,156))</x:f>
        <x:v>0</x:v>
      </x:c>
      <x:c r="AF506" s="22" t="n">
        <x:f>MAX(0,MIN('Activities'!L506,168)-MAX('Activities'!K506,162))</x:f>
        <x:v>0</x:v>
      </x:c>
      <x:c r="AG506" s="22" t="n">
        <x:f>MAX(0,MIN('Activities'!L506,174)-MAX('Activities'!K506,168))</x:f>
        <x:v>0</x:v>
      </x:c>
      <x:c r="AH506" s="22" t="n">
        <x:f>MAX(0,MIN('Activities'!L506,180)-MAX('Activities'!K506,174))</x:f>
        <x:v>0</x:v>
      </x:c>
      <x:c r="AI506" s="22" t="n">
        <x:f>MAX(0,MIN('Activities'!L506,186)-MAX('Activities'!K506,180))</x:f>
        <x:v>0</x:v>
      </x:c>
      <x:c r="AJ506" s="22" t="n">
        <x:f>MAX(0,MIN('Activities'!L506,192)-MAX('Activities'!K506,186))</x:f>
        <x:v>0</x:v>
      </x:c>
      <x:c r="AK506" s="22" t="n">
        <x:f>MAX(0,MIN('Activities'!L506,198)-MAX('Activities'!K506,192))</x:f>
        <x:v>0</x:v>
      </x:c>
      <x:c r="AL506" s="22" t="n">
        <x:f>MAX(0,MIN('Activities'!L506,204)-MAX('Activities'!K506,198))</x:f>
        <x:v>0</x:v>
      </x:c>
      <x:c r="AM506" s="22" t="n">
        <x:f>MAX(0,MIN('Activities'!L506,210)-MAX('Activities'!K506,204))</x:f>
        <x:v>0</x:v>
      </x:c>
      <x:c r="AN506" s="22" t="n">
        <x:f>MAX(0,MIN('Activities'!L506,216)-MAX('Activities'!K506,210))</x:f>
        <x:v>0</x:v>
      </x:c>
      <x:c r="AO506" s="22" t="n">
        <x:f>MAX(0,MIN('Activities'!L506,222)-MAX('Activities'!K506,216))</x:f>
        <x:v>0</x:v>
      </x:c>
      <x:c r="AP506" s="22" t="n">
        <x:f>MAX(0,MIN('Activities'!L506,228)-MAX('Activities'!K506,222))</x:f>
        <x:v>0</x:v>
      </x:c>
      <x:c r="AQ506" s="22" t="n">
        <x:f>MAX(0,MIN('Activities'!L506,234)-MAX('Activities'!K506,228))</x:f>
        <x:v>0</x:v>
      </x:c>
      <x:c r="AR506" s="22" t="n">
        <x:f>MAX(0,MIN('Activities'!L506,240)-MAX('Activities'!K506,234))</x:f>
        <x:v>0</x:v>
      </x:c>
      <x:c r="AS506" s="22" t="n">
        <x:f>MAX(0,MIN('Activities'!L506,246)-MAX('Activities'!K506,240))</x:f>
        <x:v>0</x:v>
      </x:c>
      <x:c r="AT506" s="22" t="n">
        <x:f>MAX(0,MIN('Activities'!L506,252)-MAX('Activities'!K506,246))</x:f>
        <x:v>0</x:v>
      </x:c>
      <x:c r="AU506" s="22" t="n">
        <x:f>MAX(0,MIN('Activities'!L506,258)-MAX('Activities'!K506,252))</x:f>
        <x:v>0</x:v>
      </x:c>
      <x:c r="AV506" s="22" t="n">
        <x:f>MAX(0,MIN('Activities'!L506,264)-MAX('Activities'!K506,258))</x:f>
        <x:v>0</x:v>
      </x:c>
      <x:c r="AW506" s="22" t="n">
        <x:f>MAX(0,MIN('Activities'!L506,270)-MAX('Activities'!K506,264))</x:f>
        <x:v>0</x:v>
      </x:c>
      <x:c r="AX506" s="22" t="n">
        <x:f>MAX(0,MIN('Activities'!L506,276)-MAX('Activities'!K506,270))</x:f>
        <x:v>0</x:v>
      </x:c>
      <x:c r="AY506" s="22" t="n">
        <x:f>MAX(0,MIN('Activities'!L506,282)-MAX('Activities'!K506,276))</x:f>
        <x:v>0</x:v>
      </x:c>
      <x:c r="AZ506" s="22" t="n">
        <x:f>MAX(0,MIN('Activities'!L506,288)-MAX('Activities'!K506,282))</x:f>
        <x:v>0</x:v>
      </x:c>
      <x:c r="BA506" s="22" t="n">
        <x:f>MAX(0,MIN('Activities'!L506,294)-MAX('Activities'!K506,288))</x:f>
        <x:v>0</x:v>
      </x:c>
      <x:c r="BB506" s="22" t="n">
        <x:f>MAX(0,MIN('Activities'!L506,300)-MAX('Activities'!K506,294))</x:f>
        <x:v>0</x:v>
      </x:c>
      <x:c r="BC506" s="22" t="n">
        <x:f>MAX(0,MIN('Activities'!L506,306)-MAX('Activities'!K506,300))</x:f>
        <x:v>0</x:v>
      </x:c>
      <x:c r="BD506" s="22" t="n">
        <x:f>MAX(0,MIN('Activities'!L506,312)-MAX('Activities'!K506,306))</x:f>
        <x:v>0</x:v>
      </x:c>
      <x:c r="BE506" s="22" t="n">
        <x:f>MAX(0,MIN('Activities'!L506,318)-MAX('Activities'!K506,312))</x:f>
        <x:v>0</x:v>
      </x:c>
      <x:c r="BF506" s="22" t="n">
        <x:f>MAX(0,MIN('Activities'!L506,324)-MAX('Activities'!K506,318))</x:f>
        <x:v>0</x:v>
      </x:c>
      <x:c r="BG506" s="22" t="n">
        <x:f>MAX(0,MIN('Activities'!L506,330)-MAX('Activities'!K506,324))</x:f>
        <x:v>0</x:v>
      </x:c>
      <x:c r="BH506" s="22" t="n">
        <x:f>MAX(0,MIN('Activities'!L506,336)-MAX('Activities'!K506,330))</x:f>
        <x:v>0</x:v>
      </x:c>
      <x:c r="BI506" s="22" t="n">
        <x:f>MAX(0,MIN('Activities'!L506,342)-MAX('Activities'!K506,336))</x:f>
        <x:v>0</x:v>
      </x:c>
      <x:c r="BJ506" s="22" t="n">
        <x:f>MAX(0,MIN('Activities'!L506,348)-MAX('Activities'!K506,342))</x:f>
        <x:v>0</x:v>
      </x:c>
      <x:c r="BK506" s="22" t="n">
        <x:f>MAX(0,MIN('Activities'!L506,354)-MAX('Activities'!K506,348))</x:f>
        <x:v>0</x:v>
      </x:c>
      <x:c r="BL506" s="22" t="n">
        <x:f>MAX(0,MIN('Activities'!L506,360)-MAX('Activities'!K506,354))</x:f>
        <x:v>5</x:v>
      </x:c>
      <x:c r="BM506" s="22" t="n">
        <x:f>MAX(0,MIN('Activities'!L506,366)-MAX('Activities'!K506,360))</x:f>
        <x:v>0</x:v>
      </x:c>
      <x:c r="BN506" s="22" t="n">
        <x:f>MAX(0,MIN('Activities'!L506,372)-MAX('Activities'!K506,366))</x:f>
        <x:v>0</x:v>
      </x:c>
      <x:c r="BO506" s="22" t="n">
        <x:f>MAX(0,MIN('Activities'!L506,378)-MAX('Activities'!K506,372))</x:f>
        <x:v>0</x:v>
      </x:c>
      <x:c r="BP506" s="22" t="n">
        <x:f>MAX(0,MIN('Activities'!L506,384)-MAX('Activities'!K506,378))</x:f>
        <x:v>0</x:v>
      </x:c>
      <x:c r="BQ506" s="22" t="n">
        <x:f>MAX(0,MIN('Activities'!L506,390)-MAX('Activities'!K506,384))</x:f>
        <x:v>0</x:v>
      </x:c>
      <x:c r="BR506" s="22" t="n">
        <x:f>MAX(0,MIN('Activities'!L506,396)-MAX('Activities'!K506,390))</x:f>
        <x:v>0</x:v>
      </x:c>
      <x:c r="BS506" s="22" t="n">
        <x:f>MAX(0,MIN('Activities'!L506,402)-MAX('Activities'!K506,396))</x:f>
        <x:v>0</x:v>
      </x:c>
      <x:c r="BT506" s="22" t="n">
        <x:f>MAX(0,MIN('Activities'!L506,408)-MAX('Activities'!K506,402))</x:f>
        <x:v>0</x:v>
      </x:c>
      <x:c r="BU506" s="22" t="n">
        <x:f>MAX(0,MIN('Activities'!L506,414)-MAX('Activities'!K506,408))</x:f>
        <x:v>0</x:v>
      </x:c>
      <x:c r="BV506" s="22" t="n">
        <x:f>MAX(0,MIN('Activities'!L506,420)-MAX('Activities'!K506,414))</x:f>
        <x:v>0</x:v>
      </x:c>
      <x:c r="BW506" s="22" t="n">
        <x:f>MAX(0,MIN('Activities'!L506,426)-MAX('Activities'!K506,420))</x:f>
        <x:v>0</x:v>
      </x:c>
      <x:c r="BX506" s="22" t="n">
        <x:f>MAX(0,MIN('Activities'!L506,432)-MAX('Activities'!K506,426))</x:f>
        <x:v>0</x:v>
      </x:c>
      <x:c r="BY506" s="22" t="n">
        <x:f>MAX(0,MIN('Activities'!L506,438)-MAX('Activities'!K506,432))</x:f>
        <x:v>0</x:v>
      </x:c>
      <x:c r="BZ506" s="22" t="n">
        <x:f>MAX(0,MIN('Activities'!L506,444)-MAX('Activities'!K506,438))</x:f>
        <x:v>0</x:v>
      </x:c>
      <x:c r="CA506" s="22" t="n">
        <x:f>MAX(0,MIN('Activities'!L506,450)-MAX('Activities'!K506,444))</x:f>
        <x:v>0</x:v>
      </x:c>
      <x:c r="CB506" s="22" t="n">
        <x:f>MAX(0,MIN('Activities'!L506,456)-MAX('Activities'!K506,450))</x:f>
        <x:v>0</x:v>
      </x:c>
      <x:c r="CC506" s="22" t="n">
        <x:f>MAX(0,MIN('Activities'!L506,462)-MAX('Activities'!K506,456))</x:f>
        <x:v>0</x:v>
      </x:c>
      <x:c r="CD506" s="22" t="n">
        <x:f>MAX(0,MIN('Activities'!L506,468)-MAX('Activities'!K506,462))</x:f>
        <x:v>0</x:v>
      </x:c>
      <x:c r="CE506" s="22" t="n">
        <x:f>MAX(0,MIN('Activities'!L506,474)-MAX('Activities'!K506,468))</x:f>
        <x:v>0</x:v>
      </x:c>
      <x:c r="CF506" s="22" t="n">
        <x:f>MAX(0,MIN('Activities'!L506,480)-MAX('Activities'!K506,474))</x:f>
        <x:v>0</x:v>
      </x:c>
      <x:c r="CG506" s="22" t="n">
        <x:f>MAX(0,MIN('Activities'!L506,486)-MAX('Activities'!K506,480))</x:f>
        <x:v>0</x:v>
      </x:c>
      <x:c r="CH506" s="22" t="n">
        <x:f>MAX(0,MIN('Activities'!L506,492)-MAX('Activities'!K506,486))</x:f>
        <x:v>0</x:v>
      </x:c>
      <x:c r="CI506" s="22" t="n">
        <x:f>MAX(0,MIN('Activities'!L506,498)-MAX('Activities'!K506,492))</x:f>
        <x:v>0</x:v>
      </x:c>
      <x:c r="CJ506" s="22" t="n">
        <x:f>MAX(0,MIN('Activities'!L506,504)-MAX('Activities'!K506,498))</x:f>
        <x:v>0</x:v>
      </x:c>
      <x:c r="CK506" s="22" t="n">
        <x:f>MAX(0,MIN('Activities'!L506,510)-MAX('Activities'!K506,504))</x:f>
        <x:v>0</x:v>
      </x:c>
      <x:c r="CL506" s="22" t="n">
        <x:f>MAX(0,MIN('Activities'!L506,516)-MAX('Activities'!K506,510))</x:f>
        <x:v>0</x:v>
      </x:c>
      <x:c r="CM506" s="22" t="n">
        <x:f>MAX(0,MIN('Activities'!L506,522)-MAX('Activities'!K506,516))</x:f>
        <x:v>0</x:v>
      </x:c>
      <x:c r="CN506" s="22" t="n">
        <x:f>MAX(0,MIN('Activities'!L506,528)-MAX('Activities'!K506,522))</x:f>
        <x:v>0</x:v>
      </x:c>
      <x:c r="CO506" s="22" t="n">
        <x:f>MAX(0,MIN('Activities'!L506,534)-MAX('Activities'!K506,528))</x:f>
        <x:v>0</x:v>
      </x:c>
      <x:c r="CP506" s="22" t="n">
        <x:f>MAX(0,MIN('Activities'!L506,540)-MAX('Activities'!K506,534))</x:f>
        <x:v>0</x:v>
      </x:c>
      <x:c r="CQ506" s="22" t="n">
        <x:f>MAX(0,MIN('Activities'!L506,546)-MAX('Activities'!K506,540))</x:f>
        <x:v>0</x:v>
      </x:c>
      <x:c r="CR506" s="22" t="n">
        <x:f>MAX(0,MIN('Activities'!L506,552)-MAX('Activities'!K506,546))</x:f>
        <x:v>0</x:v>
      </x:c>
      <x:c r="CS506" s="22" t="n">
        <x:f>MAX(0,MIN('Activities'!L506,558)-MAX('Activities'!K506,552))</x:f>
        <x:v>0</x:v>
      </x:c>
      <x:c r="CT506" s="22" t="n">
        <x:f>MAX(0,MIN('Activities'!L506,564)-MAX('Activities'!K506,558))</x:f>
        <x:v>0</x:v>
      </x:c>
      <x:c r="CU506" s="22" t="n">
        <x:f>MAX(0,MIN('Activities'!L506,570)-MAX('Activities'!K506,564))</x:f>
        <x:v>0</x:v>
      </x:c>
      <x:c r="CV506" s="22" t="n">
        <x:f>MAX(0,MIN('Activities'!L506,576)-MAX('Activities'!K506,570))</x:f>
        <x:v>0</x:v>
      </x:c>
      <x:c r="CW506" s="22" t="n">
        <x:f>MAX(0,MIN('Activities'!L506,582)-MAX('Activities'!K506,576))</x:f>
        <x:v>0</x:v>
      </x:c>
      <x:c r="CX506" s="22" t="n">
        <x:f>MAX(0,MIN('Activities'!L506,588)-MAX('Activities'!K506,582))</x:f>
        <x:v>0</x:v>
      </x:c>
      <x:c r="CY506" s="22" t="n">
        <x:f>MAX(0,MIN('Activities'!L506,594)-MAX('Activities'!K506,588))</x:f>
        <x:v>0</x:v>
      </x:c>
      <x:c r="CZ506" s="22" t="n">
        <x:f>MAX(0,MIN('Activities'!L506,600)-MAX('Activities'!K506,594))</x:f>
        <x:v>0</x:v>
      </x:c>
      <x:c r="DA506" s="22" t="n">
        <x:f>MAX(0,MIN('Activities'!L506,606)-MAX('Activities'!K506,600))</x:f>
        <x:v>0</x:v>
      </x:c>
      <x:c r="DB506" s="22" t="n">
        <x:f>MAX(0,MIN('Activities'!L506,612)-MAX('Activities'!K506,606))</x:f>
        <x:v>0</x:v>
      </x:c>
      <x:c r="DC506" s="22" t="n">
        <x:f>MAX(0,MIN('Activities'!L506,618)-MAX('Activities'!K506,612))</x:f>
        <x:v>0</x:v>
      </x:c>
      <x:c r="DD506" s="22" t="n">
        <x:f>MAX(0,MIN('Activities'!L506,624)-MAX('Activities'!K506,618))</x:f>
        <x:v>0</x:v>
      </x:c>
      <x:c r="DE506" s="22" t="n">
        <x:f>MAX(0,MIN('Activities'!L506,630)-MAX('Activities'!K506,624))</x:f>
        <x:v>0</x:v>
      </x:c>
      <x:c r="DF506" s="22" t="n">
        <x:f>MAX(0,MIN('Activities'!L506,636)-MAX('Activities'!K506,630))</x:f>
        <x:v>0</x:v>
      </x:c>
    </x:row>
    <x:row r="507" ht="23" customHeight="1">
      <x:c r="A507" s="1" t="str">
        <x:v>T4-L06-P</x:v>
      </x:c>
      <x:c r="B507" s="1" t="str">
        <x:v>T4</x:v>
      </x:c>
      <x:c r="C507" s="1" t="str">
        <x:v>Internal plaster</x:v>
      </x:c>
      <x:c r="D507" s="1" t="str">
        <x:v>Finishes</x:v>
      </x:c>
      <x:c r="E507" s="23" t="n">
        <x:f>MAX(0,MIN('Activities'!L507,6)-MAX('Activities'!K507,0))</x:f>
        <x:v>0</x:v>
      </x:c>
      <x:c r="F507" s="23" t="n">
        <x:f>MAX(0,MIN('Activities'!L507,12)-MAX('Activities'!K507,6))</x:f>
        <x:v>0</x:v>
      </x:c>
      <x:c r="G507" s="23" t="n">
        <x:f>MAX(0,MIN('Activities'!L507,18)-MAX('Activities'!K507,12))</x:f>
        <x:v>0</x:v>
      </x:c>
      <x:c r="H507" s="23" t="n">
        <x:f>MAX(0,MIN('Activities'!L507,24)-MAX('Activities'!K507,18))</x:f>
        <x:v>0</x:v>
      </x:c>
      <x:c r="I507" s="23" t="n">
        <x:f>MAX(0,MIN('Activities'!L507,30)-MAX('Activities'!K507,24))</x:f>
        <x:v>0</x:v>
      </x:c>
      <x:c r="J507" s="23" t="n">
        <x:f>MAX(0,MIN('Activities'!L507,36)-MAX('Activities'!K507,30))</x:f>
        <x:v>0</x:v>
      </x:c>
      <x:c r="K507" s="23" t="n">
        <x:f>MAX(0,MIN('Activities'!L507,42)-MAX('Activities'!K507,36))</x:f>
        <x:v>0</x:v>
      </x:c>
      <x:c r="L507" s="23" t="n">
        <x:f>MAX(0,MIN('Activities'!L507,48)-MAX('Activities'!K507,42))</x:f>
        <x:v>0</x:v>
      </x:c>
      <x:c r="M507" s="23" t="n">
        <x:f>MAX(0,MIN('Activities'!L507,54)-MAX('Activities'!K507,48))</x:f>
        <x:v>0</x:v>
      </x:c>
      <x:c r="N507" s="23" t="n">
        <x:f>MAX(0,MIN('Activities'!L507,60)-MAX('Activities'!K507,54))</x:f>
        <x:v>0</x:v>
      </x:c>
      <x:c r="O507" s="23" t="n">
        <x:f>MAX(0,MIN('Activities'!L507,66)-MAX('Activities'!K507,60))</x:f>
        <x:v>0</x:v>
      </x:c>
      <x:c r="P507" s="23" t="n">
        <x:f>MAX(0,MIN('Activities'!L507,72)-MAX('Activities'!K507,66))</x:f>
        <x:v>0</x:v>
      </x:c>
      <x:c r="Q507" s="23" t="n">
        <x:f>MAX(0,MIN('Activities'!L507,78)-MAX('Activities'!K507,72))</x:f>
        <x:v>0</x:v>
      </x:c>
      <x:c r="R507" s="23" t="n">
        <x:f>MAX(0,MIN('Activities'!L507,84)-MAX('Activities'!K507,78))</x:f>
        <x:v>0</x:v>
      </x:c>
      <x:c r="S507" s="23" t="n">
        <x:f>MAX(0,MIN('Activities'!L507,90)-MAX('Activities'!K507,84))</x:f>
        <x:v>0</x:v>
      </x:c>
      <x:c r="T507" s="23" t="n">
        <x:f>MAX(0,MIN('Activities'!L507,96)-MAX('Activities'!K507,90))</x:f>
        <x:v>0</x:v>
      </x:c>
      <x:c r="U507" s="23" t="n">
        <x:f>MAX(0,MIN('Activities'!L507,102)-MAX('Activities'!K507,96))</x:f>
        <x:v>0</x:v>
      </x:c>
      <x:c r="V507" s="23" t="n">
        <x:f>MAX(0,MIN('Activities'!L507,108)-MAX('Activities'!K507,102))</x:f>
        <x:v>0</x:v>
      </x:c>
      <x:c r="W507" s="23" t="n">
        <x:f>MAX(0,MIN('Activities'!L507,114)-MAX('Activities'!K507,108))</x:f>
        <x:v>0</x:v>
      </x:c>
      <x:c r="X507" s="23" t="n">
        <x:f>MAX(0,MIN('Activities'!L507,120)-MAX('Activities'!K507,114))</x:f>
        <x:v>0</x:v>
      </x:c>
      <x:c r="Y507" s="23" t="n">
        <x:f>MAX(0,MIN('Activities'!L507,126)-MAX('Activities'!K507,120))</x:f>
        <x:v>0</x:v>
      </x:c>
      <x:c r="Z507" s="23" t="n">
        <x:f>MAX(0,MIN('Activities'!L507,132)-MAX('Activities'!K507,126))</x:f>
        <x:v>0</x:v>
      </x:c>
      <x:c r="AA507" s="23" t="n">
        <x:f>MAX(0,MIN('Activities'!L507,138)-MAX('Activities'!K507,132))</x:f>
        <x:v>0</x:v>
      </x:c>
      <x:c r="AB507" s="23" t="n">
        <x:f>MAX(0,MIN('Activities'!L507,144)-MAX('Activities'!K507,138))</x:f>
        <x:v>0</x:v>
      </x:c>
      <x:c r="AC507" s="23" t="n">
        <x:f>MAX(0,MIN('Activities'!L507,150)-MAX('Activities'!K507,144))</x:f>
        <x:v>0</x:v>
      </x:c>
      <x:c r="AD507" s="23" t="n">
        <x:f>MAX(0,MIN('Activities'!L507,156)-MAX('Activities'!K507,150))</x:f>
        <x:v>0</x:v>
      </x:c>
      <x:c r="AE507" s="23" t="n">
        <x:f>MAX(0,MIN('Activities'!L507,162)-MAX('Activities'!K507,156))</x:f>
        <x:v>0</x:v>
      </x:c>
      <x:c r="AF507" s="23" t="n">
        <x:f>MAX(0,MIN('Activities'!L507,168)-MAX('Activities'!K507,162))</x:f>
        <x:v>0</x:v>
      </x:c>
      <x:c r="AG507" s="23" t="n">
        <x:f>MAX(0,MIN('Activities'!L507,174)-MAX('Activities'!K507,168))</x:f>
        <x:v>0</x:v>
      </x:c>
      <x:c r="AH507" s="23" t="n">
        <x:f>MAX(0,MIN('Activities'!L507,180)-MAX('Activities'!K507,174))</x:f>
        <x:v>0</x:v>
      </x:c>
      <x:c r="AI507" s="23" t="n">
        <x:f>MAX(0,MIN('Activities'!L507,186)-MAX('Activities'!K507,180))</x:f>
        <x:v>0</x:v>
      </x:c>
      <x:c r="AJ507" s="23" t="n">
        <x:f>MAX(0,MIN('Activities'!L507,192)-MAX('Activities'!K507,186))</x:f>
        <x:v>0</x:v>
      </x:c>
      <x:c r="AK507" s="23" t="n">
        <x:f>MAX(0,MIN('Activities'!L507,198)-MAX('Activities'!K507,192))</x:f>
        <x:v>0</x:v>
      </x:c>
      <x:c r="AL507" s="23" t="n">
        <x:f>MAX(0,MIN('Activities'!L507,204)-MAX('Activities'!K507,198))</x:f>
        <x:v>0</x:v>
      </x:c>
      <x:c r="AM507" s="23" t="n">
        <x:f>MAX(0,MIN('Activities'!L507,210)-MAX('Activities'!K507,204))</x:f>
        <x:v>0</x:v>
      </x:c>
      <x:c r="AN507" s="23" t="n">
        <x:f>MAX(0,MIN('Activities'!L507,216)-MAX('Activities'!K507,210))</x:f>
        <x:v>0</x:v>
      </x:c>
      <x:c r="AO507" s="23" t="n">
        <x:f>MAX(0,MIN('Activities'!L507,222)-MAX('Activities'!K507,216))</x:f>
        <x:v>0</x:v>
      </x:c>
      <x:c r="AP507" s="23" t="n">
        <x:f>MAX(0,MIN('Activities'!L507,228)-MAX('Activities'!K507,222))</x:f>
        <x:v>0</x:v>
      </x:c>
      <x:c r="AQ507" s="23" t="n">
        <x:f>MAX(0,MIN('Activities'!L507,234)-MAX('Activities'!K507,228))</x:f>
        <x:v>0</x:v>
      </x:c>
      <x:c r="AR507" s="23" t="n">
        <x:f>MAX(0,MIN('Activities'!L507,240)-MAX('Activities'!K507,234))</x:f>
        <x:v>0</x:v>
      </x:c>
      <x:c r="AS507" s="23" t="n">
        <x:f>MAX(0,MIN('Activities'!L507,246)-MAX('Activities'!K507,240))</x:f>
        <x:v>0</x:v>
      </x:c>
      <x:c r="AT507" s="23" t="n">
        <x:f>MAX(0,MIN('Activities'!L507,252)-MAX('Activities'!K507,246))</x:f>
        <x:v>0</x:v>
      </x:c>
      <x:c r="AU507" s="23" t="n">
        <x:f>MAX(0,MIN('Activities'!L507,258)-MAX('Activities'!K507,252))</x:f>
        <x:v>0</x:v>
      </x:c>
      <x:c r="AV507" s="23" t="n">
        <x:f>MAX(0,MIN('Activities'!L507,264)-MAX('Activities'!K507,258))</x:f>
        <x:v>0</x:v>
      </x:c>
      <x:c r="AW507" s="23" t="n">
        <x:f>MAX(0,MIN('Activities'!L507,270)-MAX('Activities'!K507,264))</x:f>
        <x:v>0</x:v>
      </x:c>
      <x:c r="AX507" s="23" t="n">
        <x:f>MAX(0,MIN('Activities'!L507,276)-MAX('Activities'!K507,270))</x:f>
        <x:v>0</x:v>
      </x:c>
      <x:c r="AY507" s="23" t="n">
        <x:f>MAX(0,MIN('Activities'!L507,282)-MAX('Activities'!K507,276))</x:f>
        <x:v>0</x:v>
      </x:c>
      <x:c r="AZ507" s="23" t="n">
        <x:f>MAX(0,MIN('Activities'!L507,288)-MAX('Activities'!K507,282))</x:f>
        <x:v>0</x:v>
      </x:c>
      <x:c r="BA507" s="23" t="n">
        <x:f>MAX(0,MIN('Activities'!L507,294)-MAX('Activities'!K507,288))</x:f>
        <x:v>0</x:v>
      </x:c>
      <x:c r="BB507" s="23" t="n">
        <x:f>MAX(0,MIN('Activities'!L507,300)-MAX('Activities'!K507,294))</x:f>
        <x:v>0</x:v>
      </x:c>
      <x:c r="BC507" s="23" t="n">
        <x:f>MAX(0,MIN('Activities'!L507,306)-MAX('Activities'!K507,300))</x:f>
        <x:v>0</x:v>
      </x:c>
      <x:c r="BD507" s="23" t="n">
        <x:f>MAX(0,MIN('Activities'!L507,312)-MAX('Activities'!K507,306))</x:f>
        <x:v>0</x:v>
      </x:c>
      <x:c r="BE507" s="23" t="n">
        <x:f>MAX(0,MIN('Activities'!L507,318)-MAX('Activities'!K507,312))</x:f>
        <x:v>0</x:v>
      </x:c>
      <x:c r="BF507" s="23" t="n">
        <x:f>MAX(0,MIN('Activities'!L507,324)-MAX('Activities'!K507,318))</x:f>
        <x:v>0</x:v>
      </x:c>
      <x:c r="BG507" s="23" t="n">
        <x:f>MAX(0,MIN('Activities'!L507,330)-MAX('Activities'!K507,324))</x:f>
        <x:v>0</x:v>
      </x:c>
      <x:c r="BH507" s="23" t="n">
        <x:f>MAX(0,MIN('Activities'!L507,336)-MAX('Activities'!K507,330))</x:f>
        <x:v>0</x:v>
      </x:c>
      <x:c r="BI507" s="23" t="n">
        <x:f>MAX(0,MIN('Activities'!L507,342)-MAX('Activities'!K507,336))</x:f>
        <x:v>0</x:v>
      </x:c>
      <x:c r="BJ507" s="23" t="n">
        <x:f>MAX(0,MIN('Activities'!L507,348)-MAX('Activities'!K507,342))</x:f>
        <x:v>0</x:v>
      </x:c>
      <x:c r="BK507" s="23" t="n">
        <x:f>MAX(0,MIN('Activities'!L507,354)-MAX('Activities'!K507,348))</x:f>
        <x:v>0</x:v>
      </x:c>
      <x:c r="BL507" s="23" t="n">
        <x:f>MAX(0,MIN('Activities'!L507,360)-MAX('Activities'!K507,354))</x:f>
        <x:v>0</x:v>
      </x:c>
      <x:c r="BM507" s="23" t="n">
        <x:f>MAX(0,MIN('Activities'!L507,366)-MAX('Activities'!K507,360))</x:f>
        <x:v>3</x:v>
      </x:c>
      <x:c r="BN507" s="23" t="n">
        <x:f>MAX(0,MIN('Activities'!L507,372)-MAX('Activities'!K507,366))</x:f>
        <x:v>3</x:v>
      </x:c>
      <x:c r="BO507" s="23" t="n">
        <x:f>MAX(0,MIN('Activities'!L507,378)-MAX('Activities'!K507,372))</x:f>
        <x:v>0</x:v>
      </x:c>
      <x:c r="BP507" s="23" t="n">
        <x:f>MAX(0,MIN('Activities'!L507,384)-MAX('Activities'!K507,378))</x:f>
        <x:v>0</x:v>
      </x:c>
      <x:c r="BQ507" s="23" t="n">
        <x:f>MAX(0,MIN('Activities'!L507,390)-MAX('Activities'!K507,384))</x:f>
        <x:v>0</x:v>
      </x:c>
      <x:c r="BR507" s="23" t="n">
        <x:f>MAX(0,MIN('Activities'!L507,396)-MAX('Activities'!K507,390))</x:f>
        <x:v>0</x:v>
      </x:c>
      <x:c r="BS507" s="23" t="n">
        <x:f>MAX(0,MIN('Activities'!L507,402)-MAX('Activities'!K507,396))</x:f>
        <x:v>0</x:v>
      </x:c>
      <x:c r="BT507" s="23" t="n">
        <x:f>MAX(0,MIN('Activities'!L507,408)-MAX('Activities'!K507,402))</x:f>
        <x:v>0</x:v>
      </x:c>
      <x:c r="BU507" s="23" t="n">
        <x:f>MAX(0,MIN('Activities'!L507,414)-MAX('Activities'!K507,408))</x:f>
        <x:v>0</x:v>
      </x:c>
      <x:c r="BV507" s="23" t="n">
        <x:f>MAX(0,MIN('Activities'!L507,420)-MAX('Activities'!K507,414))</x:f>
        <x:v>0</x:v>
      </x:c>
      <x:c r="BW507" s="23" t="n">
        <x:f>MAX(0,MIN('Activities'!L507,426)-MAX('Activities'!K507,420))</x:f>
        <x:v>0</x:v>
      </x:c>
      <x:c r="BX507" s="23" t="n">
        <x:f>MAX(0,MIN('Activities'!L507,432)-MAX('Activities'!K507,426))</x:f>
        <x:v>0</x:v>
      </x:c>
      <x:c r="BY507" s="23" t="n">
        <x:f>MAX(0,MIN('Activities'!L507,438)-MAX('Activities'!K507,432))</x:f>
        <x:v>0</x:v>
      </x:c>
      <x:c r="BZ507" s="23" t="n">
        <x:f>MAX(0,MIN('Activities'!L507,444)-MAX('Activities'!K507,438))</x:f>
        <x:v>0</x:v>
      </x:c>
      <x:c r="CA507" s="23" t="n">
        <x:f>MAX(0,MIN('Activities'!L507,450)-MAX('Activities'!K507,444))</x:f>
        <x:v>0</x:v>
      </x:c>
      <x:c r="CB507" s="23" t="n">
        <x:f>MAX(0,MIN('Activities'!L507,456)-MAX('Activities'!K507,450))</x:f>
        <x:v>0</x:v>
      </x:c>
      <x:c r="CC507" s="23" t="n">
        <x:f>MAX(0,MIN('Activities'!L507,462)-MAX('Activities'!K507,456))</x:f>
        <x:v>0</x:v>
      </x:c>
      <x:c r="CD507" s="23" t="n">
        <x:f>MAX(0,MIN('Activities'!L507,468)-MAX('Activities'!K507,462))</x:f>
        <x:v>0</x:v>
      </x:c>
      <x:c r="CE507" s="23" t="n">
        <x:f>MAX(0,MIN('Activities'!L507,474)-MAX('Activities'!K507,468))</x:f>
        <x:v>0</x:v>
      </x:c>
      <x:c r="CF507" s="23" t="n">
        <x:f>MAX(0,MIN('Activities'!L507,480)-MAX('Activities'!K507,474))</x:f>
        <x:v>0</x:v>
      </x:c>
      <x:c r="CG507" s="23" t="n">
        <x:f>MAX(0,MIN('Activities'!L507,486)-MAX('Activities'!K507,480))</x:f>
        <x:v>0</x:v>
      </x:c>
      <x:c r="CH507" s="23" t="n">
        <x:f>MAX(0,MIN('Activities'!L507,492)-MAX('Activities'!K507,486))</x:f>
        <x:v>0</x:v>
      </x:c>
      <x:c r="CI507" s="23" t="n">
        <x:f>MAX(0,MIN('Activities'!L507,498)-MAX('Activities'!K507,492))</x:f>
        <x:v>0</x:v>
      </x:c>
      <x:c r="CJ507" s="23" t="n">
        <x:f>MAX(0,MIN('Activities'!L507,504)-MAX('Activities'!K507,498))</x:f>
        <x:v>0</x:v>
      </x:c>
      <x:c r="CK507" s="23" t="n">
        <x:f>MAX(0,MIN('Activities'!L507,510)-MAX('Activities'!K507,504))</x:f>
        <x:v>0</x:v>
      </x:c>
      <x:c r="CL507" s="23" t="n">
        <x:f>MAX(0,MIN('Activities'!L507,516)-MAX('Activities'!K507,510))</x:f>
        <x:v>0</x:v>
      </x:c>
      <x:c r="CM507" s="23" t="n">
        <x:f>MAX(0,MIN('Activities'!L507,522)-MAX('Activities'!K507,516))</x:f>
        <x:v>0</x:v>
      </x:c>
      <x:c r="CN507" s="23" t="n">
        <x:f>MAX(0,MIN('Activities'!L507,528)-MAX('Activities'!K507,522))</x:f>
        <x:v>0</x:v>
      </x:c>
      <x:c r="CO507" s="23" t="n">
        <x:f>MAX(0,MIN('Activities'!L507,534)-MAX('Activities'!K507,528))</x:f>
        <x:v>0</x:v>
      </x:c>
      <x:c r="CP507" s="23" t="n">
        <x:f>MAX(0,MIN('Activities'!L507,540)-MAX('Activities'!K507,534))</x:f>
        <x:v>0</x:v>
      </x:c>
      <x:c r="CQ507" s="23" t="n">
        <x:f>MAX(0,MIN('Activities'!L507,546)-MAX('Activities'!K507,540))</x:f>
        <x:v>0</x:v>
      </x:c>
      <x:c r="CR507" s="23" t="n">
        <x:f>MAX(0,MIN('Activities'!L507,552)-MAX('Activities'!K507,546))</x:f>
        <x:v>0</x:v>
      </x:c>
      <x:c r="CS507" s="23" t="n">
        <x:f>MAX(0,MIN('Activities'!L507,558)-MAX('Activities'!K507,552))</x:f>
        <x:v>0</x:v>
      </x:c>
      <x:c r="CT507" s="23" t="n">
        <x:f>MAX(0,MIN('Activities'!L507,564)-MAX('Activities'!K507,558))</x:f>
        <x:v>0</x:v>
      </x:c>
      <x:c r="CU507" s="23" t="n">
        <x:f>MAX(0,MIN('Activities'!L507,570)-MAX('Activities'!K507,564))</x:f>
        <x:v>0</x:v>
      </x:c>
      <x:c r="CV507" s="23" t="n">
        <x:f>MAX(0,MIN('Activities'!L507,576)-MAX('Activities'!K507,570))</x:f>
        <x:v>0</x:v>
      </x:c>
      <x:c r="CW507" s="23" t="n">
        <x:f>MAX(0,MIN('Activities'!L507,582)-MAX('Activities'!K507,576))</x:f>
        <x:v>0</x:v>
      </x:c>
      <x:c r="CX507" s="23" t="n">
        <x:f>MAX(0,MIN('Activities'!L507,588)-MAX('Activities'!K507,582))</x:f>
        <x:v>0</x:v>
      </x:c>
      <x:c r="CY507" s="23" t="n">
        <x:f>MAX(0,MIN('Activities'!L507,594)-MAX('Activities'!K507,588))</x:f>
        <x:v>0</x:v>
      </x:c>
      <x:c r="CZ507" s="23" t="n">
        <x:f>MAX(0,MIN('Activities'!L507,600)-MAX('Activities'!K507,594))</x:f>
        <x:v>0</x:v>
      </x:c>
      <x:c r="DA507" s="23" t="n">
        <x:f>MAX(0,MIN('Activities'!L507,606)-MAX('Activities'!K507,600))</x:f>
        <x:v>0</x:v>
      </x:c>
      <x:c r="DB507" s="23" t="n">
        <x:f>MAX(0,MIN('Activities'!L507,612)-MAX('Activities'!K507,606))</x:f>
        <x:v>0</x:v>
      </x:c>
      <x:c r="DC507" s="23" t="n">
        <x:f>MAX(0,MIN('Activities'!L507,618)-MAX('Activities'!K507,612))</x:f>
        <x:v>0</x:v>
      </x:c>
      <x:c r="DD507" s="23" t="n">
        <x:f>MAX(0,MIN('Activities'!L507,624)-MAX('Activities'!K507,618))</x:f>
        <x:v>0</x:v>
      </x:c>
      <x:c r="DE507" s="23" t="n">
        <x:f>MAX(0,MIN('Activities'!L507,630)-MAX('Activities'!K507,624))</x:f>
        <x:v>0</x:v>
      </x:c>
      <x:c r="DF507" s="23" t="n">
        <x:f>MAX(0,MIN('Activities'!L507,636)-MAX('Activities'!K507,630))</x:f>
        <x:v>0</x:v>
      </x:c>
    </x:row>
    <x:row r="508" ht="23" customHeight="1">
      <x:c r="A508" s="6" t="str">
        <x:v>T4-L06-S</x:v>
      </x:c>
      <x:c r="B508" s="6" t="str">
        <x:v>T4</x:v>
      </x:c>
      <x:c r="C508" s="6" t="str">
        <x:v>Screed and substrate preparation</x:v>
      </x:c>
      <x:c r="D508" s="6" t="str">
        <x:v>Finishes</x:v>
      </x:c>
      <x:c r="E508" s="22" t="n">
        <x:f>MAX(0,MIN('Activities'!L508,6)-MAX('Activities'!K508,0))</x:f>
        <x:v>0</x:v>
      </x:c>
      <x:c r="F508" s="22" t="n">
        <x:f>MAX(0,MIN('Activities'!L508,12)-MAX('Activities'!K508,6))</x:f>
        <x:v>0</x:v>
      </x:c>
      <x:c r="G508" s="22" t="n">
        <x:f>MAX(0,MIN('Activities'!L508,18)-MAX('Activities'!K508,12))</x:f>
        <x:v>0</x:v>
      </x:c>
      <x:c r="H508" s="22" t="n">
        <x:f>MAX(0,MIN('Activities'!L508,24)-MAX('Activities'!K508,18))</x:f>
        <x:v>0</x:v>
      </x:c>
      <x:c r="I508" s="22" t="n">
        <x:f>MAX(0,MIN('Activities'!L508,30)-MAX('Activities'!K508,24))</x:f>
        <x:v>0</x:v>
      </x:c>
      <x:c r="J508" s="22" t="n">
        <x:f>MAX(0,MIN('Activities'!L508,36)-MAX('Activities'!K508,30))</x:f>
        <x:v>0</x:v>
      </x:c>
      <x:c r="K508" s="22" t="n">
        <x:f>MAX(0,MIN('Activities'!L508,42)-MAX('Activities'!K508,36))</x:f>
        <x:v>0</x:v>
      </x:c>
      <x:c r="L508" s="22" t="n">
        <x:f>MAX(0,MIN('Activities'!L508,48)-MAX('Activities'!K508,42))</x:f>
        <x:v>0</x:v>
      </x:c>
      <x:c r="M508" s="22" t="n">
        <x:f>MAX(0,MIN('Activities'!L508,54)-MAX('Activities'!K508,48))</x:f>
        <x:v>0</x:v>
      </x:c>
      <x:c r="N508" s="22" t="n">
        <x:f>MAX(0,MIN('Activities'!L508,60)-MAX('Activities'!K508,54))</x:f>
        <x:v>0</x:v>
      </x:c>
      <x:c r="O508" s="22" t="n">
        <x:f>MAX(0,MIN('Activities'!L508,66)-MAX('Activities'!K508,60))</x:f>
        <x:v>0</x:v>
      </x:c>
      <x:c r="P508" s="22" t="n">
        <x:f>MAX(0,MIN('Activities'!L508,72)-MAX('Activities'!K508,66))</x:f>
        <x:v>0</x:v>
      </x:c>
      <x:c r="Q508" s="22" t="n">
        <x:f>MAX(0,MIN('Activities'!L508,78)-MAX('Activities'!K508,72))</x:f>
        <x:v>0</x:v>
      </x:c>
      <x:c r="R508" s="22" t="n">
        <x:f>MAX(0,MIN('Activities'!L508,84)-MAX('Activities'!K508,78))</x:f>
        <x:v>0</x:v>
      </x:c>
      <x:c r="S508" s="22" t="n">
        <x:f>MAX(0,MIN('Activities'!L508,90)-MAX('Activities'!K508,84))</x:f>
        <x:v>0</x:v>
      </x:c>
      <x:c r="T508" s="22" t="n">
        <x:f>MAX(0,MIN('Activities'!L508,96)-MAX('Activities'!K508,90))</x:f>
        <x:v>0</x:v>
      </x:c>
      <x:c r="U508" s="22" t="n">
        <x:f>MAX(0,MIN('Activities'!L508,102)-MAX('Activities'!K508,96))</x:f>
        <x:v>0</x:v>
      </x:c>
      <x:c r="V508" s="22" t="n">
        <x:f>MAX(0,MIN('Activities'!L508,108)-MAX('Activities'!K508,102))</x:f>
        <x:v>0</x:v>
      </x:c>
      <x:c r="W508" s="22" t="n">
        <x:f>MAX(0,MIN('Activities'!L508,114)-MAX('Activities'!K508,108))</x:f>
        <x:v>0</x:v>
      </x:c>
      <x:c r="X508" s="22" t="n">
        <x:f>MAX(0,MIN('Activities'!L508,120)-MAX('Activities'!K508,114))</x:f>
        <x:v>0</x:v>
      </x:c>
      <x:c r="Y508" s="22" t="n">
        <x:f>MAX(0,MIN('Activities'!L508,126)-MAX('Activities'!K508,120))</x:f>
        <x:v>0</x:v>
      </x:c>
      <x:c r="Z508" s="22" t="n">
        <x:f>MAX(0,MIN('Activities'!L508,132)-MAX('Activities'!K508,126))</x:f>
        <x:v>0</x:v>
      </x:c>
      <x:c r="AA508" s="22" t="n">
        <x:f>MAX(0,MIN('Activities'!L508,138)-MAX('Activities'!K508,132))</x:f>
        <x:v>0</x:v>
      </x:c>
      <x:c r="AB508" s="22" t="n">
        <x:f>MAX(0,MIN('Activities'!L508,144)-MAX('Activities'!K508,138))</x:f>
        <x:v>0</x:v>
      </x:c>
      <x:c r="AC508" s="22" t="n">
        <x:f>MAX(0,MIN('Activities'!L508,150)-MAX('Activities'!K508,144))</x:f>
        <x:v>0</x:v>
      </x:c>
      <x:c r="AD508" s="22" t="n">
        <x:f>MAX(0,MIN('Activities'!L508,156)-MAX('Activities'!K508,150))</x:f>
        <x:v>0</x:v>
      </x:c>
      <x:c r="AE508" s="22" t="n">
        <x:f>MAX(0,MIN('Activities'!L508,162)-MAX('Activities'!K508,156))</x:f>
        <x:v>0</x:v>
      </x:c>
      <x:c r="AF508" s="22" t="n">
        <x:f>MAX(0,MIN('Activities'!L508,168)-MAX('Activities'!K508,162))</x:f>
        <x:v>0</x:v>
      </x:c>
      <x:c r="AG508" s="22" t="n">
        <x:f>MAX(0,MIN('Activities'!L508,174)-MAX('Activities'!K508,168))</x:f>
        <x:v>0</x:v>
      </x:c>
      <x:c r="AH508" s="22" t="n">
        <x:f>MAX(0,MIN('Activities'!L508,180)-MAX('Activities'!K508,174))</x:f>
        <x:v>0</x:v>
      </x:c>
      <x:c r="AI508" s="22" t="n">
        <x:f>MAX(0,MIN('Activities'!L508,186)-MAX('Activities'!K508,180))</x:f>
        <x:v>0</x:v>
      </x:c>
      <x:c r="AJ508" s="22" t="n">
        <x:f>MAX(0,MIN('Activities'!L508,192)-MAX('Activities'!K508,186))</x:f>
        <x:v>0</x:v>
      </x:c>
      <x:c r="AK508" s="22" t="n">
        <x:f>MAX(0,MIN('Activities'!L508,198)-MAX('Activities'!K508,192))</x:f>
        <x:v>0</x:v>
      </x:c>
      <x:c r="AL508" s="22" t="n">
        <x:f>MAX(0,MIN('Activities'!L508,204)-MAX('Activities'!K508,198))</x:f>
        <x:v>0</x:v>
      </x:c>
      <x:c r="AM508" s="22" t="n">
        <x:f>MAX(0,MIN('Activities'!L508,210)-MAX('Activities'!K508,204))</x:f>
        <x:v>0</x:v>
      </x:c>
      <x:c r="AN508" s="22" t="n">
        <x:f>MAX(0,MIN('Activities'!L508,216)-MAX('Activities'!K508,210))</x:f>
        <x:v>0</x:v>
      </x:c>
      <x:c r="AO508" s="22" t="n">
        <x:f>MAX(0,MIN('Activities'!L508,222)-MAX('Activities'!K508,216))</x:f>
        <x:v>0</x:v>
      </x:c>
      <x:c r="AP508" s="22" t="n">
        <x:f>MAX(0,MIN('Activities'!L508,228)-MAX('Activities'!K508,222))</x:f>
        <x:v>0</x:v>
      </x:c>
      <x:c r="AQ508" s="22" t="n">
        <x:f>MAX(0,MIN('Activities'!L508,234)-MAX('Activities'!K508,228))</x:f>
        <x:v>0</x:v>
      </x:c>
      <x:c r="AR508" s="22" t="n">
        <x:f>MAX(0,MIN('Activities'!L508,240)-MAX('Activities'!K508,234))</x:f>
        <x:v>0</x:v>
      </x:c>
      <x:c r="AS508" s="22" t="n">
        <x:f>MAX(0,MIN('Activities'!L508,246)-MAX('Activities'!K508,240))</x:f>
        <x:v>0</x:v>
      </x:c>
      <x:c r="AT508" s="22" t="n">
        <x:f>MAX(0,MIN('Activities'!L508,252)-MAX('Activities'!K508,246))</x:f>
        <x:v>0</x:v>
      </x:c>
      <x:c r="AU508" s="22" t="n">
        <x:f>MAX(0,MIN('Activities'!L508,258)-MAX('Activities'!K508,252))</x:f>
        <x:v>0</x:v>
      </x:c>
      <x:c r="AV508" s="22" t="n">
        <x:f>MAX(0,MIN('Activities'!L508,264)-MAX('Activities'!K508,258))</x:f>
        <x:v>0</x:v>
      </x:c>
      <x:c r="AW508" s="22" t="n">
        <x:f>MAX(0,MIN('Activities'!L508,270)-MAX('Activities'!K508,264))</x:f>
        <x:v>0</x:v>
      </x:c>
      <x:c r="AX508" s="22" t="n">
        <x:f>MAX(0,MIN('Activities'!L508,276)-MAX('Activities'!K508,270))</x:f>
        <x:v>0</x:v>
      </x:c>
      <x:c r="AY508" s="22" t="n">
        <x:f>MAX(0,MIN('Activities'!L508,282)-MAX('Activities'!K508,276))</x:f>
        <x:v>0</x:v>
      </x:c>
      <x:c r="AZ508" s="22" t="n">
        <x:f>MAX(0,MIN('Activities'!L508,288)-MAX('Activities'!K508,282))</x:f>
        <x:v>0</x:v>
      </x:c>
      <x:c r="BA508" s="22" t="n">
        <x:f>MAX(0,MIN('Activities'!L508,294)-MAX('Activities'!K508,288))</x:f>
        <x:v>0</x:v>
      </x:c>
      <x:c r="BB508" s="22" t="n">
        <x:f>MAX(0,MIN('Activities'!L508,300)-MAX('Activities'!K508,294))</x:f>
        <x:v>0</x:v>
      </x:c>
      <x:c r="BC508" s="22" t="n">
        <x:f>MAX(0,MIN('Activities'!L508,306)-MAX('Activities'!K508,300))</x:f>
        <x:v>0</x:v>
      </x:c>
      <x:c r="BD508" s="22" t="n">
        <x:f>MAX(0,MIN('Activities'!L508,312)-MAX('Activities'!K508,306))</x:f>
        <x:v>0</x:v>
      </x:c>
      <x:c r="BE508" s="22" t="n">
        <x:f>MAX(0,MIN('Activities'!L508,318)-MAX('Activities'!K508,312))</x:f>
        <x:v>0</x:v>
      </x:c>
      <x:c r="BF508" s="22" t="n">
        <x:f>MAX(0,MIN('Activities'!L508,324)-MAX('Activities'!K508,318))</x:f>
        <x:v>0</x:v>
      </x:c>
      <x:c r="BG508" s="22" t="n">
        <x:f>MAX(0,MIN('Activities'!L508,330)-MAX('Activities'!K508,324))</x:f>
        <x:v>0</x:v>
      </x:c>
      <x:c r="BH508" s="22" t="n">
        <x:f>MAX(0,MIN('Activities'!L508,336)-MAX('Activities'!K508,330))</x:f>
        <x:v>0</x:v>
      </x:c>
      <x:c r="BI508" s="22" t="n">
        <x:f>MAX(0,MIN('Activities'!L508,342)-MAX('Activities'!K508,336))</x:f>
        <x:v>0</x:v>
      </x:c>
      <x:c r="BJ508" s="22" t="n">
        <x:f>MAX(0,MIN('Activities'!L508,348)-MAX('Activities'!K508,342))</x:f>
        <x:v>0</x:v>
      </x:c>
      <x:c r="BK508" s="22" t="n">
        <x:f>MAX(0,MIN('Activities'!L508,354)-MAX('Activities'!K508,348))</x:f>
        <x:v>0</x:v>
      </x:c>
      <x:c r="BL508" s="22" t="n">
        <x:f>MAX(0,MIN('Activities'!L508,360)-MAX('Activities'!K508,354))</x:f>
        <x:v>0</x:v>
      </x:c>
      <x:c r="BM508" s="22" t="n">
        <x:f>MAX(0,MIN('Activities'!L508,366)-MAX('Activities'!K508,360))</x:f>
        <x:v>0</x:v>
      </x:c>
      <x:c r="BN508" s="22" t="n">
        <x:f>MAX(0,MIN('Activities'!L508,372)-MAX('Activities'!K508,366))</x:f>
        <x:v>1</x:v>
      </x:c>
      <x:c r="BO508" s="22" t="n">
        <x:f>MAX(0,MIN('Activities'!L508,378)-MAX('Activities'!K508,372))</x:f>
        <x:v>2</x:v>
      </x:c>
      <x:c r="BP508" s="22" t="n">
        <x:f>MAX(0,MIN('Activities'!L508,384)-MAX('Activities'!K508,378))</x:f>
        <x:v>0</x:v>
      </x:c>
      <x:c r="BQ508" s="22" t="n">
        <x:f>MAX(0,MIN('Activities'!L508,390)-MAX('Activities'!K508,384))</x:f>
        <x:v>0</x:v>
      </x:c>
      <x:c r="BR508" s="22" t="n">
        <x:f>MAX(0,MIN('Activities'!L508,396)-MAX('Activities'!K508,390))</x:f>
        <x:v>0</x:v>
      </x:c>
      <x:c r="BS508" s="22" t="n">
        <x:f>MAX(0,MIN('Activities'!L508,402)-MAX('Activities'!K508,396))</x:f>
        <x:v>0</x:v>
      </x:c>
      <x:c r="BT508" s="22" t="n">
        <x:f>MAX(0,MIN('Activities'!L508,408)-MAX('Activities'!K508,402))</x:f>
        <x:v>0</x:v>
      </x:c>
      <x:c r="BU508" s="22" t="n">
        <x:f>MAX(0,MIN('Activities'!L508,414)-MAX('Activities'!K508,408))</x:f>
        <x:v>0</x:v>
      </x:c>
      <x:c r="BV508" s="22" t="n">
        <x:f>MAX(0,MIN('Activities'!L508,420)-MAX('Activities'!K508,414))</x:f>
        <x:v>0</x:v>
      </x:c>
      <x:c r="BW508" s="22" t="n">
        <x:f>MAX(0,MIN('Activities'!L508,426)-MAX('Activities'!K508,420))</x:f>
        <x:v>0</x:v>
      </x:c>
      <x:c r="BX508" s="22" t="n">
        <x:f>MAX(0,MIN('Activities'!L508,432)-MAX('Activities'!K508,426))</x:f>
        <x:v>0</x:v>
      </x:c>
      <x:c r="BY508" s="22" t="n">
        <x:f>MAX(0,MIN('Activities'!L508,438)-MAX('Activities'!K508,432))</x:f>
        <x:v>0</x:v>
      </x:c>
      <x:c r="BZ508" s="22" t="n">
        <x:f>MAX(0,MIN('Activities'!L508,444)-MAX('Activities'!K508,438))</x:f>
        <x:v>0</x:v>
      </x:c>
      <x:c r="CA508" s="22" t="n">
        <x:f>MAX(0,MIN('Activities'!L508,450)-MAX('Activities'!K508,444))</x:f>
        <x:v>0</x:v>
      </x:c>
      <x:c r="CB508" s="22" t="n">
        <x:f>MAX(0,MIN('Activities'!L508,456)-MAX('Activities'!K508,450))</x:f>
        <x:v>0</x:v>
      </x:c>
      <x:c r="CC508" s="22" t="n">
        <x:f>MAX(0,MIN('Activities'!L508,462)-MAX('Activities'!K508,456))</x:f>
        <x:v>0</x:v>
      </x:c>
      <x:c r="CD508" s="22" t="n">
        <x:f>MAX(0,MIN('Activities'!L508,468)-MAX('Activities'!K508,462))</x:f>
        <x:v>0</x:v>
      </x:c>
      <x:c r="CE508" s="22" t="n">
        <x:f>MAX(0,MIN('Activities'!L508,474)-MAX('Activities'!K508,468))</x:f>
        <x:v>0</x:v>
      </x:c>
      <x:c r="CF508" s="22" t="n">
        <x:f>MAX(0,MIN('Activities'!L508,480)-MAX('Activities'!K508,474))</x:f>
        <x:v>0</x:v>
      </x:c>
      <x:c r="CG508" s="22" t="n">
        <x:f>MAX(0,MIN('Activities'!L508,486)-MAX('Activities'!K508,480))</x:f>
        <x:v>0</x:v>
      </x:c>
      <x:c r="CH508" s="22" t="n">
        <x:f>MAX(0,MIN('Activities'!L508,492)-MAX('Activities'!K508,486))</x:f>
        <x:v>0</x:v>
      </x:c>
      <x:c r="CI508" s="22" t="n">
        <x:f>MAX(0,MIN('Activities'!L508,498)-MAX('Activities'!K508,492))</x:f>
        <x:v>0</x:v>
      </x:c>
      <x:c r="CJ508" s="22" t="n">
        <x:f>MAX(0,MIN('Activities'!L508,504)-MAX('Activities'!K508,498))</x:f>
        <x:v>0</x:v>
      </x:c>
      <x:c r="CK508" s="22" t="n">
        <x:f>MAX(0,MIN('Activities'!L508,510)-MAX('Activities'!K508,504))</x:f>
        <x:v>0</x:v>
      </x:c>
      <x:c r="CL508" s="22" t="n">
        <x:f>MAX(0,MIN('Activities'!L508,516)-MAX('Activities'!K508,510))</x:f>
        <x:v>0</x:v>
      </x:c>
      <x:c r="CM508" s="22" t="n">
        <x:f>MAX(0,MIN('Activities'!L508,522)-MAX('Activities'!K508,516))</x:f>
        <x:v>0</x:v>
      </x:c>
      <x:c r="CN508" s="22" t="n">
        <x:f>MAX(0,MIN('Activities'!L508,528)-MAX('Activities'!K508,522))</x:f>
        <x:v>0</x:v>
      </x:c>
      <x:c r="CO508" s="22" t="n">
        <x:f>MAX(0,MIN('Activities'!L508,534)-MAX('Activities'!K508,528))</x:f>
        <x:v>0</x:v>
      </x:c>
      <x:c r="CP508" s="22" t="n">
        <x:f>MAX(0,MIN('Activities'!L508,540)-MAX('Activities'!K508,534))</x:f>
        <x:v>0</x:v>
      </x:c>
      <x:c r="CQ508" s="22" t="n">
        <x:f>MAX(0,MIN('Activities'!L508,546)-MAX('Activities'!K508,540))</x:f>
        <x:v>0</x:v>
      </x:c>
      <x:c r="CR508" s="22" t="n">
        <x:f>MAX(0,MIN('Activities'!L508,552)-MAX('Activities'!K508,546))</x:f>
        <x:v>0</x:v>
      </x:c>
      <x:c r="CS508" s="22" t="n">
        <x:f>MAX(0,MIN('Activities'!L508,558)-MAX('Activities'!K508,552))</x:f>
        <x:v>0</x:v>
      </x:c>
      <x:c r="CT508" s="22" t="n">
        <x:f>MAX(0,MIN('Activities'!L508,564)-MAX('Activities'!K508,558))</x:f>
        <x:v>0</x:v>
      </x:c>
      <x:c r="CU508" s="22" t="n">
        <x:f>MAX(0,MIN('Activities'!L508,570)-MAX('Activities'!K508,564))</x:f>
        <x:v>0</x:v>
      </x:c>
      <x:c r="CV508" s="22" t="n">
        <x:f>MAX(0,MIN('Activities'!L508,576)-MAX('Activities'!K508,570))</x:f>
        <x:v>0</x:v>
      </x:c>
      <x:c r="CW508" s="22" t="n">
        <x:f>MAX(0,MIN('Activities'!L508,582)-MAX('Activities'!K508,576))</x:f>
        <x:v>0</x:v>
      </x:c>
      <x:c r="CX508" s="22" t="n">
        <x:f>MAX(0,MIN('Activities'!L508,588)-MAX('Activities'!K508,582))</x:f>
        <x:v>0</x:v>
      </x:c>
      <x:c r="CY508" s="22" t="n">
        <x:f>MAX(0,MIN('Activities'!L508,594)-MAX('Activities'!K508,588))</x:f>
        <x:v>0</x:v>
      </x:c>
      <x:c r="CZ508" s="22" t="n">
        <x:f>MAX(0,MIN('Activities'!L508,600)-MAX('Activities'!K508,594))</x:f>
        <x:v>0</x:v>
      </x:c>
      <x:c r="DA508" s="22" t="n">
        <x:f>MAX(0,MIN('Activities'!L508,606)-MAX('Activities'!K508,600))</x:f>
        <x:v>0</x:v>
      </x:c>
      <x:c r="DB508" s="22" t="n">
        <x:f>MAX(0,MIN('Activities'!L508,612)-MAX('Activities'!K508,606))</x:f>
        <x:v>0</x:v>
      </x:c>
      <x:c r="DC508" s="22" t="n">
        <x:f>MAX(0,MIN('Activities'!L508,618)-MAX('Activities'!K508,612))</x:f>
        <x:v>0</x:v>
      </x:c>
      <x:c r="DD508" s="22" t="n">
        <x:f>MAX(0,MIN('Activities'!L508,624)-MAX('Activities'!K508,618))</x:f>
        <x:v>0</x:v>
      </x:c>
      <x:c r="DE508" s="22" t="n">
        <x:f>MAX(0,MIN('Activities'!L508,630)-MAX('Activities'!K508,624))</x:f>
        <x:v>0</x:v>
      </x:c>
      <x:c r="DF508" s="22" t="n">
        <x:f>MAX(0,MIN('Activities'!L508,636)-MAX('Activities'!K508,630))</x:f>
        <x:v>0</x:v>
      </x:c>
    </x:row>
    <x:row r="509" ht="23" customHeight="1">
      <x:c r="A509" s="1" t="str">
        <x:v>T4-L06-T</x:v>
      </x:c>
      <x:c r="B509" s="1" t="str">
        <x:v>T4</x:v>
      </x:c>
      <x:c r="C509" s="1" t="str">
        <x:v>Floor finishes and skirtings</x:v>
      </x:c>
      <x:c r="D509" s="1" t="str">
        <x:v>Finishes</x:v>
      </x:c>
      <x:c r="E509" s="23" t="n">
        <x:f>MAX(0,MIN('Activities'!L509,6)-MAX('Activities'!K509,0))</x:f>
        <x:v>0</x:v>
      </x:c>
      <x:c r="F509" s="23" t="n">
        <x:f>MAX(0,MIN('Activities'!L509,12)-MAX('Activities'!K509,6))</x:f>
        <x:v>0</x:v>
      </x:c>
      <x:c r="G509" s="23" t="n">
        <x:f>MAX(0,MIN('Activities'!L509,18)-MAX('Activities'!K509,12))</x:f>
        <x:v>0</x:v>
      </x:c>
      <x:c r="H509" s="23" t="n">
        <x:f>MAX(0,MIN('Activities'!L509,24)-MAX('Activities'!K509,18))</x:f>
        <x:v>0</x:v>
      </x:c>
      <x:c r="I509" s="23" t="n">
        <x:f>MAX(0,MIN('Activities'!L509,30)-MAX('Activities'!K509,24))</x:f>
        <x:v>0</x:v>
      </x:c>
      <x:c r="J509" s="23" t="n">
        <x:f>MAX(0,MIN('Activities'!L509,36)-MAX('Activities'!K509,30))</x:f>
        <x:v>0</x:v>
      </x:c>
      <x:c r="K509" s="23" t="n">
        <x:f>MAX(0,MIN('Activities'!L509,42)-MAX('Activities'!K509,36))</x:f>
        <x:v>0</x:v>
      </x:c>
      <x:c r="L509" s="23" t="n">
        <x:f>MAX(0,MIN('Activities'!L509,48)-MAX('Activities'!K509,42))</x:f>
        <x:v>0</x:v>
      </x:c>
      <x:c r="M509" s="23" t="n">
        <x:f>MAX(0,MIN('Activities'!L509,54)-MAX('Activities'!K509,48))</x:f>
        <x:v>0</x:v>
      </x:c>
      <x:c r="N509" s="23" t="n">
        <x:f>MAX(0,MIN('Activities'!L509,60)-MAX('Activities'!K509,54))</x:f>
        <x:v>0</x:v>
      </x:c>
      <x:c r="O509" s="23" t="n">
        <x:f>MAX(0,MIN('Activities'!L509,66)-MAX('Activities'!K509,60))</x:f>
        <x:v>0</x:v>
      </x:c>
      <x:c r="P509" s="23" t="n">
        <x:f>MAX(0,MIN('Activities'!L509,72)-MAX('Activities'!K509,66))</x:f>
        <x:v>0</x:v>
      </x:c>
      <x:c r="Q509" s="23" t="n">
        <x:f>MAX(0,MIN('Activities'!L509,78)-MAX('Activities'!K509,72))</x:f>
        <x:v>0</x:v>
      </x:c>
      <x:c r="R509" s="23" t="n">
        <x:f>MAX(0,MIN('Activities'!L509,84)-MAX('Activities'!K509,78))</x:f>
        <x:v>0</x:v>
      </x:c>
      <x:c r="S509" s="23" t="n">
        <x:f>MAX(0,MIN('Activities'!L509,90)-MAX('Activities'!K509,84))</x:f>
        <x:v>0</x:v>
      </x:c>
      <x:c r="T509" s="23" t="n">
        <x:f>MAX(0,MIN('Activities'!L509,96)-MAX('Activities'!K509,90))</x:f>
        <x:v>0</x:v>
      </x:c>
      <x:c r="U509" s="23" t="n">
        <x:f>MAX(0,MIN('Activities'!L509,102)-MAX('Activities'!K509,96))</x:f>
        <x:v>0</x:v>
      </x:c>
      <x:c r="V509" s="23" t="n">
        <x:f>MAX(0,MIN('Activities'!L509,108)-MAX('Activities'!K509,102))</x:f>
        <x:v>0</x:v>
      </x:c>
      <x:c r="W509" s="23" t="n">
        <x:f>MAX(0,MIN('Activities'!L509,114)-MAX('Activities'!K509,108))</x:f>
        <x:v>0</x:v>
      </x:c>
      <x:c r="X509" s="23" t="n">
        <x:f>MAX(0,MIN('Activities'!L509,120)-MAX('Activities'!K509,114))</x:f>
        <x:v>0</x:v>
      </x:c>
      <x:c r="Y509" s="23" t="n">
        <x:f>MAX(0,MIN('Activities'!L509,126)-MAX('Activities'!K509,120))</x:f>
        <x:v>0</x:v>
      </x:c>
      <x:c r="Z509" s="23" t="n">
        <x:f>MAX(0,MIN('Activities'!L509,132)-MAX('Activities'!K509,126))</x:f>
        <x:v>0</x:v>
      </x:c>
      <x:c r="AA509" s="23" t="n">
        <x:f>MAX(0,MIN('Activities'!L509,138)-MAX('Activities'!K509,132))</x:f>
        <x:v>0</x:v>
      </x:c>
      <x:c r="AB509" s="23" t="n">
        <x:f>MAX(0,MIN('Activities'!L509,144)-MAX('Activities'!K509,138))</x:f>
        <x:v>0</x:v>
      </x:c>
      <x:c r="AC509" s="23" t="n">
        <x:f>MAX(0,MIN('Activities'!L509,150)-MAX('Activities'!K509,144))</x:f>
        <x:v>0</x:v>
      </x:c>
      <x:c r="AD509" s="23" t="n">
        <x:f>MAX(0,MIN('Activities'!L509,156)-MAX('Activities'!K509,150))</x:f>
        <x:v>0</x:v>
      </x:c>
      <x:c r="AE509" s="23" t="n">
        <x:f>MAX(0,MIN('Activities'!L509,162)-MAX('Activities'!K509,156))</x:f>
        <x:v>0</x:v>
      </x:c>
      <x:c r="AF509" s="23" t="n">
        <x:f>MAX(0,MIN('Activities'!L509,168)-MAX('Activities'!K509,162))</x:f>
        <x:v>0</x:v>
      </x:c>
      <x:c r="AG509" s="23" t="n">
        <x:f>MAX(0,MIN('Activities'!L509,174)-MAX('Activities'!K509,168))</x:f>
        <x:v>0</x:v>
      </x:c>
      <x:c r="AH509" s="23" t="n">
        <x:f>MAX(0,MIN('Activities'!L509,180)-MAX('Activities'!K509,174))</x:f>
        <x:v>0</x:v>
      </x:c>
      <x:c r="AI509" s="23" t="n">
        <x:f>MAX(0,MIN('Activities'!L509,186)-MAX('Activities'!K509,180))</x:f>
        <x:v>0</x:v>
      </x:c>
      <x:c r="AJ509" s="23" t="n">
        <x:f>MAX(0,MIN('Activities'!L509,192)-MAX('Activities'!K509,186))</x:f>
        <x:v>0</x:v>
      </x:c>
      <x:c r="AK509" s="23" t="n">
        <x:f>MAX(0,MIN('Activities'!L509,198)-MAX('Activities'!K509,192))</x:f>
        <x:v>0</x:v>
      </x:c>
      <x:c r="AL509" s="23" t="n">
        <x:f>MAX(0,MIN('Activities'!L509,204)-MAX('Activities'!K509,198))</x:f>
        <x:v>0</x:v>
      </x:c>
      <x:c r="AM509" s="23" t="n">
        <x:f>MAX(0,MIN('Activities'!L509,210)-MAX('Activities'!K509,204))</x:f>
        <x:v>0</x:v>
      </x:c>
      <x:c r="AN509" s="23" t="n">
        <x:f>MAX(0,MIN('Activities'!L509,216)-MAX('Activities'!K509,210))</x:f>
        <x:v>0</x:v>
      </x:c>
      <x:c r="AO509" s="23" t="n">
        <x:f>MAX(0,MIN('Activities'!L509,222)-MAX('Activities'!K509,216))</x:f>
        <x:v>0</x:v>
      </x:c>
      <x:c r="AP509" s="23" t="n">
        <x:f>MAX(0,MIN('Activities'!L509,228)-MAX('Activities'!K509,222))</x:f>
        <x:v>0</x:v>
      </x:c>
      <x:c r="AQ509" s="23" t="n">
        <x:f>MAX(0,MIN('Activities'!L509,234)-MAX('Activities'!K509,228))</x:f>
        <x:v>0</x:v>
      </x:c>
      <x:c r="AR509" s="23" t="n">
        <x:f>MAX(0,MIN('Activities'!L509,240)-MAX('Activities'!K509,234))</x:f>
        <x:v>0</x:v>
      </x:c>
      <x:c r="AS509" s="23" t="n">
        <x:f>MAX(0,MIN('Activities'!L509,246)-MAX('Activities'!K509,240))</x:f>
        <x:v>0</x:v>
      </x:c>
      <x:c r="AT509" s="23" t="n">
        <x:f>MAX(0,MIN('Activities'!L509,252)-MAX('Activities'!K509,246))</x:f>
        <x:v>0</x:v>
      </x:c>
      <x:c r="AU509" s="23" t="n">
        <x:f>MAX(0,MIN('Activities'!L509,258)-MAX('Activities'!K509,252))</x:f>
        <x:v>0</x:v>
      </x:c>
      <x:c r="AV509" s="23" t="n">
        <x:f>MAX(0,MIN('Activities'!L509,264)-MAX('Activities'!K509,258))</x:f>
        <x:v>0</x:v>
      </x:c>
      <x:c r="AW509" s="23" t="n">
        <x:f>MAX(0,MIN('Activities'!L509,270)-MAX('Activities'!K509,264))</x:f>
        <x:v>0</x:v>
      </x:c>
      <x:c r="AX509" s="23" t="n">
        <x:f>MAX(0,MIN('Activities'!L509,276)-MAX('Activities'!K509,270))</x:f>
        <x:v>0</x:v>
      </x:c>
      <x:c r="AY509" s="23" t="n">
        <x:f>MAX(0,MIN('Activities'!L509,282)-MAX('Activities'!K509,276))</x:f>
        <x:v>0</x:v>
      </x:c>
      <x:c r="AZ509" s="23" t="n">
        <x:f>MAX(0,MIN('Activities'!L509,288)-MAX('Activities'!K509,282))</x:f>
        <x:v>0</x:v>
      </x:c>
      <x:c r="BA509" s="23" t="n">
        <x:f>MAX(0,MIN('Activities'!L509,294)-MAX('Activities'!K509,288))</x:f>
        <x:v>0</x:v>
      </x:c>
      <x:c r="BB509" s="23" t="n">
        <x:f>MAX(0,MIN('Activities'!L509,300)-MAX('Activities'!K509,294))</x:f>
        <x:v>0</x:v>
      </x:c>
      <x:c r="BC509" s="23" t="n">
        <x:f>MAX(0,MIN('Activities'!L509,306)-MAX('Activities'!K509,300))</x:f>
        <x:v>0</x:v>
      </x:c>
      <x:c r="BD509" s="23" t="n">
        <x:f>MAX(0,MIN('Activities'!L509,312)-MAX('Activities'!K509,306))</x:f>
        <x:v>0</x:v>
      </x:c>
      <x:c r="BE509" s="23" t="n">
        <x:f>MAX(0,MIN('Activities'!L509,318)-MAX('Activities'!K509,312))</x:f>
        <x:v>0</x:v>
      </x:c>
      <x:c r="BF509" s="23" t="n">
        <x:f>MAX(0,MIN('Activities'!L509,324)-MAX('Activities'!K509,318))</x:f>
        <x:v>0</x:v>
      </x:c>
      <x:c r="BG509" s="23" t="n">
        <x:f>MAX(0,MIN('Activities'!L509,330)-MAX('Activities'!K509,324))</x:f>
        <x:v>0</x:v>
      </x:c>
      <x:c r="BH509" s="23" t="n">
        <x:f>MAX(0,MIN('Activities'!L509,336)-MAX('Activities'!K509,330))</x:f>
        <x:v>0</x:v>
      </x:c>
      <x:c r="BI509" s="23" t="n">
        <x:f>MAX(0,MIN('Activities'!L509,342)-MAX('Activities'!K509,336))</x:f>
        <x:v>0</x:v>
      </x:c>
      <x:c r="BJ509" s="23" t="n">
        <x:f>MAX(0,MIN('Activities'!L509,348)-MAX('Activities'!K509,342))</x:f>
        <x:v>0</x:v>
      </x:c>
      <x:c r="BK509" s="23" t="n">
        <x:f>MAX(0,MIN('Activities'!L509,354)-MAX('Activities'!K509,348))</x:f>
        <x:v>0</x:v>
      </x:c>
      <x:c r="BL509" s="23" t="n">
        <x:f>MAX(0,MIN('Activities'!L509,360)-MAX('Activities'!K509,354))</x:f>
        <x:v>0</x:v>
      </x:c>
      <x:c r="BM509" s="23" t="n">
        <x:f>MAX(0,MIN('Activities'!L509,366)-MAX('Activities'!K509,360))</x:f>
        <x:v>0</x:v>
      </x:c>
      <x:c r="BN509" s="23" t="n">
        <x:f>MAX(0,MIN('Activities'!L509,372)-MAX('Activities'!K509,366))</x:f>
        <x:v>0</x:v>
      </x:c>
      <x:c r="BO509" s="23" t="n">
        <x:f>MAX(0,MIN('Activities'!L509,378)-MAX('Activities'!K509,372))</x:f>
        <x:v>0</x:v>
      </x:c>
      <x:c r="BP509" s="23" t="n">
        <x:f>MAX(0,MIN('Activities'!L509,384)-MAX('Activities'!K509,378))</x:f>
        <x:v>0</x:v>
      </x:c>
      <x:c r="BQ509" s="23" t="n">
        <x:f>MAX(0,MIN('Activities'!L509,390)-MAX('Activities'!K509,384))</x:f>
        <x:v>0</x:v>
      </x:c>
      <x:c r="BR509" s="23" t="n">
        <x:f>MAX(0,MIN('Activities'!L509,396)-MAX('Activities'!K509,390))</x:f>
        <x:v>0</x:v>
      </x:c>
      <x:c r="BS509" s="23" t="n">
        <x:f>MAX(0,MIN('Activities'!L509,402)-MAX('Activities'!K509,396))</x:f>
        <x:v>0</x:v>
      </x:c>
      <x:c r="BT509" s="23" t="n">
        <x:f>MAX(0,MIN('Activities'!L509,408)-MAX('Activities'!K509,402))</x:f>
        <x:v>0</x:v>
      </x:c>
      <x:c r="BU509" s="23" t="n">
        <x:f>MAX(0,MIN('Activities'!L509,414)-MAX('Activities'!K509,408))</x:f>
        <x:v>0</x:v>
      </x:c>
      <x:c r="BV509" s="23" t="n">
        <x:f>MAX(0,MIN('Activities'!L509,420)-MAX('Activities'!K509,414))</x:f>
        <x:v>0</x:v>
      </x:c>
      <x:c r="BW509" s="23" t="n">
        <x:f>MAX(0,MIN('Activities'!L509,426)-MAX('Activities'!K509,420))</x:f>
        <x:v>0</x:v>
      </x:c>
      <x:c r="BX509" s="23" t="n">
        <x:f>MAX(0,MIN('Activities'!L509,432)-MAX('Activities'!K509,426))</x:f>
        <x:v>0</x:v>
      </x:c>
      <x:c r="BY509" s="23" t="n">
        <x:f>MAX(0,MIN('Activities'!L509,438)-MAX('Activities'!K509,432))</x:f>
        <x:v>1</x:v>
      </x:c>
      <x:c r="BZ509" s="23" t="n">
        <x:f>MAX(0,MIN('Activities'!L509,444)-MAX('Activities'!K509,438))</x:f>
        <x:v>5</x:v>
      </x:c>
      <x:c r="CA509" s="23" t="n">
        <x:f>MAX(0,MIN('Activities'!L509,450)-MAX('Activities'!K509,444))</x:f>
        <x:v>0</x:v>
      </x:c>
      <x:c r="CB509" s="23" t="n">
        <x:f>MAX(0,MIN('Activities'!L509,456)-MAX('Activities'!K509,450))</x:f>
        <x:v>0</x:v>
      </x:c>
      <x:c r="CC509" s="23" t="n">
        <x:f>MAX(0,MIN('Activities'!L509,462)-MAX('Activities'!K509,456))</x:f>
        <x:v>0</x:v>
      </x:c>
      <x:c r="CD509" s="23" t="n">
        <x:f>MAX(0,MIN('Activities'!L509,468)-MAX('Activities'!K509,462))</x:f>
        <x:v>0</x:v>
      </x:c>
      <x:c r="CE509" s="23" t="n">
        <x:f>MAX(0,MIN('Activities'!L509,474)-MAX('Activities'!K509,468))</x:f>
        <x:v>0</x:v>
      </x:c>
      <x:c r="CF509" s="23" t="n">
        <x:f>MAX(0,MIN('Activities'!L509,480)-MAX('Activities'!K509,474))</x:f>
        <x:v>0</x:v>
      </x:c>
      <x:c r="CG509" s="23" t="n">
        <x:f>MAX(0,MIN('Activities'!L509,486)-MAX('Activities'!K509,480))</x:f>
        <x:v>0</x:v>
      </x:c>
      <x:c r="CH509" s="23" t="n">
        <x:f>MAX(0,MIN('Activities'!L509,492)-MAX('Activities'!K509,486))</x:f>
        <x:v>0</x:v>
      </x:c>
      <x:c r="CI509" s="23" t="n">
        <x:f>MAX(0,MIN('Activities'!L509,498)-MAX('Activities'!K509,492))</x:f>
        <x:v>0</x:v>
      </x:c>
      <x:c r="CJ509" s="23" t="n">
        <x:f>MAX(0,MIN('Activities'!L509,504)-MAX('Activities'!K509,498))</x:f>
        <x:v>0</x:v>
      </x:c>
      <x:c r="CK509" s="23" t="n">
        <x:f>MAX(0,MIN('Activities'!L509,510)-MAX('Activities'!K509,504))</x:f>
        <x:v>0</x:v>
      </x:c>
      <x:c r="CL509" s="23" t="n">
        <x:f>MAX(0,MIN('Activities'!L509,516)-MAX('Activities'!K509,510))</x:f>
        <x:v>0</x:v>
      </x:c>
      <x:c r="CM509" s="23" t="n">
        <x:f>MAX(0,MIN('Activities'!L509,522)-MAX('Activities'!K509,516))</x:f>
        <x:v>0</x:v>
      </x:c>
      <x:c r="CN509" s="23" t="n">
        <x:f>MAX(0,MIN('Activities'!L509,528)-MAX('Activities'!K509,522))</x:f>
        <x:v>0</x:v>
      </x:c>
      <x:c r="CO509" s="23" t="n">
        <x:f>MAX(0,MIN('Activities'!L509,534)-MAX('Activities'!K509,528))</x:f>
        <x:v>0</x:v>
      </x:c>
      <x:c r="CP509" s="23" t="n">
        <x:f>MAX(0,MIN('Activities'!L509,540)-MAX('Activities'!K509,534))</x:f>
        <x:v>0</x:v>
      </x:c>
      <x:c r="CQ509" s="23" t="n">
        <x:f>MAX(0,MIN('Activities'!L509,546)-MAX('Activities'!K509,540))</x:f>
        <x:v>0</x:v>
      </x:c>
      <x:c r="CR509" s="23" t="n">
        <x:f>MAX(0,MIN('Activities'!L509,552)-MAX('Activities'!K509,546))</x:f>
        <x:v>0</x:v>
      </x:c>
      <x:c r="CS509" s="23" t="n">
        <x:f>MAX(0,MIN('Activities'!L509,558)-MAX('Activities'!K509,552))</x:f>
        <x:v>0</x:v>
      </x:c>
      <x:c r="CT509" s="23" t="n">
        <x:f>MAX(0,MIN('Activities'!L509,564)-MAX('Activities'!K509,558))</x:f>
        <x:v>0</x:v>
      </x:c>
      <x:c r="CU509" s="23" t="n">
        <x:f>MAX(0,MIN('Activities'!L509,570)-MAX('Activities'!K509,564))</x:f>
        <x:v>0</x:v>
      </x:c>
      <x:c r="CV509" s="23" t="n">
        <x:f>MAX(0,MIN('Activities'!L509,576)-MAX('Activities'!K509,570))</x:f>
        <x:v>0</x:v>
      </x:c>
      <x:c r="CW509" s="23" t="n">
        <x:f>MAX(0,MIN('Activities'!L509,582)-MAX('Activities'!K509,576))</x:f>
        <x:v>0</x:v>
      </x:c>
      <x:c r="CX509" s="23" t="n">
        <x:f>MAX(0,MIN('Activities'!L509,588)-MAX('Activities'!K509,582))</x:f>
        <x:v>0</x:v>
      </x:c>
      <x:c r="CY509" s="23" t="n">
        <x:f>MAX(0,MIN('Activities'!L509,594)-MAX('Activities'!K509,588))</x:f>
        <x:v>0</x:v>
      </x:c>
      <x:c r="CZ509" s="23" t="n">
        <x:f>MAX(0,MIN('Activities'!L509,600)-MAX('Activities'!K509,594))</x:f>
        <x:v>0</x:v>
      </x:c>
      <x:c r="DA509" s="23" t="n">
        <x:f>MAX(0,MIN('Activities'!L509,606)-MAX('Activities'!K509,600))</x:f>
        <x:v>0</x:v>
      </x:c>
      <x:c r="DB509" s="23" t="n">
        <x:f>MAX(0,MIN('Activities'!L509,612)-MAX('Activities'!K509,606))</x:f>
        <x:v>0</x:v>
      </x:c>
      <x:c r="DC509" s="23" t="n">
        <x:f>MAX(0,MIN('Activities'!L509,618)-MAX('Activities'!K509,612))</x:f>
        <x:v>0</x:v>
      </x:c>
      <x:c r="DD509" s="23" t="n">
        <x:f>MAX(0,MIN('Activities'!L509,624)-MAX('Activities'!K509,618))</x:f>
        <x:v>0</x:v>
      </x:c>
      <x:c r="DE509" s="23" t="n">
        <x:f>MAX(0,MIN('Activities'!L509,630)-MAX('Activities'!K509,624))</x:f>
        <x:v>0</x:v>
      </x:c>
      <x:c r="DF509" s="23" t="n">
        <x:f>MAX(0,MIN('Activities'!L509,636)-MAX('Activities'!K509,630))</x:f>
        <x:v>0</x:v>
      </x:c>
    </x:row>
    <x:row r="510" ht="23" customHeight="1">
      <x:c r="A510" s="6" t="str">
        <x:v>T4-L06-A</x:v>
      </x:c>
      <x:c r="B510" s="6" t="str">
        <x:v>T4</x:v>
      </x:c>
      <x:c r="C510" s="6" t="str">
        <x:v>Paint and final decorations</x:v>
      </x:c>
      <x:c r="D510" s="6" t="str">
        <x:v>Finishes</x:v>
      </x:c>
      <x:c r="E510" s="22" t="n">
        <x:f>MAX(0,MIN('Activities'!L510,6)-MAX('Activities'!K510,0))</x:f>
        <x:v>0</x:v>
      </x:c>
      <x:c r="F510" s="22" t="n">
        <x:f>MAX(0,MIN('Activities'!L510,12)-MAX('Activities'!K510,6))</x:f>
        <x:v>0</x:v>
      </x:c>
      <x:c r="G510" s="22" t="n">
        <x:f>MAX(0,MIN('Activities'!L510,18)-MAX('Activities'!K510,12))</x:f>
        <x:v>0</x:v>
      </x:c>
      <x:c r="H510" s="22" t="n">
        <x:f>MAX(0,MIN('Activities'!L510,24)-MAX('Activities'!K510,18))</x:f>
        <x:v>0</x:v>
      </x:c>
      <x:c r="I510" s="22" t="n">
        <x:f>MAX(0,MIN('Activities'!L510,30)-MAX('Activities'!K510,24))</x:f>
        <x:v>0</x:v>
      </x:c>
      <x:c r="J510" s="22" t="n">
        <x:f>MAX(0,MIN('Activities'!L510,36)-MAX('Activities'!K510,30))</x:f>
        <x:v>0</x:v>
      </x:c>
      <x:c r="K510" s="22" t="n">
        <x:f>MAX(0,MIN('Activities'!L510,42)-MAX('Activities'!K510,36))</x:f>
        <x:v>0</x:v>
      </x:c>
      <x:c r="L510" s="22" t="n">
        <x:f>MAX(0,MIN('Activities'!L510,48)-MAX('Activities'!K510,42))</x:f>
        <x:v>0</x:v>
      </x:c>
      <x:c r="M510" s="22" t="n">
        <x:f>MAX(0,MIN('Activities'!L510,54)-MAX('Activities'!K510,48))</x:f>
        <x:v>0</x:v>
      </x:c>
      <x:c r="N510" s="22" t="n">
        <x:f>MAX(0,MIN('Activities'!L510,60)-MAX('Activities'!K510,54))</x:f>
        <x:v>0</x:v>
      </x:c>
      <x:c r="O510" s="22" t="n">
        <x:f>MAX(0,MIN('Activities'!L510,66)-MAX('Activities'!K510,60))</x:f>
        <x:v>0</x:v>
      </x:c>
      <x:c r="P510" s="22" t="n">
        <x:f>MAX(0,MIN('Activities'!L510,72)-MAX('Activities'!K510,66))</x:f>
        <x:v>0</x:v>
      </x:c>
      <x:c r="Q510" s="22" t="n">
        <x:f>MAX(0,MIN('Activities'!L510,78)-MAX('Activities'!K510,72))</x:f>
        <x:v>0</x:v>
      </x:c>
      <x:c r="R510" s="22" t="n">
        <x:f>MAX(0,MIN('Activities'!L510,84)-MAX('Activities'!K510,78))</x:f>
        <x:v>0</x:v>
      </x:c>
      <x:c r="S510" s="22" t="n">
        <x:f>MAX(0,MIN('Activities'!L510,90)-MAX('Activities'!K510,84))</x:f>
        <x:v>0</x:v>
      </x:c>
      <x:c r="T510" s="22" t="n">
        <x:f>MAX(0,MIN('Activities'!L510,96)-MAX('Activities'!K510,90))</x:f>
        <x:v>0</x:v>
      </x:c>
      <x:c r="U510" s="22" t="n">
        <x:f>MAX(0,MIN('Activities'!L510,102)-MAX('Activities'!K510,96))</x:f>
        <x:v>0</x:v>
      </x:c>
      <x:c r="V510" s="22" t="n">
        <x:f>MAX(0,MIN('Activities'!L510,108)-MAX('Activities'!K510,102))</x:f>
        <x:v>0</x:v>
      </x:c>
      <x:c r="W510" s="22" t="n">
        <x:f>MAX(0,MIN('Activities'!L510,114)-MAX('Activities'!K510,108))</x:f>
        <x:v>0</x:v>
      </x:c>
      <x:c r="X510" s="22" t="n">
        <x:f>MAX(0,MIN('Activities'!L510,120)-MAX('Activities'!K510,114))</x:f>
        <x:v>0</x:v>
      </x:c>
      <x:c r="Y510" s="22" t="n">
        <x:f>MAX(0,MIN('Activities'!L510,126)-MAX('Activities'!K510,120))</x:f>
        <x:v>0</x:v>
      </x:c>
      <x:c r="Z510" s="22" t="n">
        <x:f>MAX(0,MIN('Activities'!L510,132)-MAX('Activities'!K510,126))</x:f>
        <x:v>0</x:v>
      </x:c>
      <x:c r="AA510" s="22" t="n">
        <x:f>MAX(0,MIN('Activities'!L510,138)-MAX('Activities'!K510,132))</x:f>
        <x:v>0</x:v>
      </x:c>
      <x:c r="AB510" s="22" t="n">
        <x:f>MAX(0,MIN('Activities'!L510,144)-MAX('Activities'!K510,138))</x:f>
        <x:v>0</x:v>
      </x:c>
      <x:c r="AC510" s="22" t="n">
        <x:f>MAX(0,MIN('Activities'!L510,150)-MAX('Activities'!K510,144))</x:f>
        <x:v>0</x:v>
      </x:c>
      <x:c r="AD510" s="22" t="n">
        <x:f>MAX(0,MIN('Activities'!L510,156)-MAX('Activities'!K510,150))</x:f>
        <x:v>0</x:v>
      </x:c>
      <x:c r="AE510" s="22" t="n">
        <x:f>MAX(0,MIN('Activities'!L510,162)-MAX('Activities'!K510,156))</x:f>
        <x:v>0</x:v>
      </x:c>
      <x:c r="AF510" s="22" t="n">
        <x:f>MAX(0,MIN('Activities'!L510,168)-MAX('Activities'!K510,162))</x:f>
        <x:v>0</x:v>
      </x:c>
      <x:c r="AG510" s="22" t="n">
        <x:f>MAX(0,MIN('Activities'!L510,174)-MAX('Activities'!K510,168))</x:f>
        <x:v>0</x:v>
      </x:c>
      <x:c r="AH510" s="22" t="n">
        <x:f>MAX(0,MIN('Activities'!L510,180)-MAX('Activities'!K510,174))</x:f>
        <x:v>0</x:v>
      </x:c>
      <x:c r="AI510" s="22" t="n">
        <x:f>MAX(0,MIN('Activities'!L510,186)-MAX('Activities'!K510,180))</x:f>
        <x:v>0</x:v>
      </x:c>
      <x:c r="AJ510" s="22" t="n">
        <x:f>MAX(0,MIN('Activities'!L510,192)-MAX('Activities'!K510,186))</x:f>
        <x:v>0</x:v>
      </x:c>
      <x:c r="AK510" s="22" t="n">
        <x:f>MAX(0,MIN('Activities'!L510,198)-MAX('Activities'!K510,192))</x:f>
        <x:v>0</x:v>
      </x:c>
      <x:c r="AL510" s="22" t="n">
        <x:f>MAX(0,MIN('Activities'!L510,204)-MAX('Activities'!K510,198))</x:f>
        <x:v>0</x:v>
      </x:c>
      <x:c r="AM510" s="22" t="n">
        <x:f>MAX(0,MIN('Activities'!L510,210)-MAX('Activities'!K510,204))</x:f>
        <x:v>0</x:v>
      </x:c>
      <x:c r="AN510" s="22" t="n">
        <x:f>MAX(0,MIN('Activities'!L510,216)-MAX('Activities'!K510,210))</x:f>
        <x:v>0</x:v>
      </x:c>
      <x:c r="AO510" s="22" t="n">
        <x:f>MAX(0,MIN('Activities'!L510,222)-MAX('Activities'!K510,216))</x:f>
        <x:v>0</x:v>
      </x:c>
      <x:c r="AP510" s="22" t="n">
        <x:f>MAX(0,MIN('Activities'!L510,228)-MAX('Activities'!K510,222))</x:f>
        <x:v>0</x:v>
      </x:c>
      <x:c r="AQ510" s="22" t="n">
        <x:f>MAX(0,MIN('Activities'!L510,234)-MAX('Activities'!K510,228))</x:f>
        <x:v>0</x:v>
      </x:c>
      <x:c r="AR510" s="22" t="n">
        <x:f>MAX(0,MIN('Activities'!L510,240)-MAX('Activities'!K510,234))</x:f>
        <x:v>0</x:v>
      </x:c>
      <x:c r="AS510" s="22" t="n">
        <x:f>MAX(0,MIN('Activities'!L510,246)-MAX('Activities'!K510,240))</x:f>
        <x:v>0</x:v>
      </x:c>
      <x:c r="AT510" s="22" t="n">
        <x:f>MAX(0,MIN('Activities'!L510,252)-MAX('Activities'!K510,246))</x:f>
        <x:v>0</x:v>
      </x:c>
      <x:c r="AU510" s="22" t="n">
        <x:f>MAX(0,MIN('Activities'!L510,258)-MAX('Activities'!K510,252))</x:f>
        <x:v>0</x:v>
      </x:c>
      <x:c r="AV510" s="22" t="n">
        <x:f>MAX(0,MIN('Activities'!L510,264)-MAX('Activities'!K510,258))</x:f>
        <x:v>0</x:v>
      </x:c>
      <x:c r="AW510" s="22" t="n">
        <x:f>MAX(0,MIN('Activities'!L510,270)-MAX('Activities'!K510,264))</x:f>
        <x:v>0</x:v>
      </x:c>
      <x:c r="AX510" s="22" t="n">
        <x:f>MAX(0,MIN('Activities'!L510,276)-MAX('Activities'!K510,270))</x:f>
        <x:v>0</x:v>
      </x:c>
      <x:c r="AY510" s="22" t="n">
        <x:f>MAX(0,MIN('Activities'!L510,282)-MAX('Activities'!K510,276))</x:f>
        <x:v>0</x:v>
      </x:c>
      <x:c r="AZ510" s="22" t="n">
        <x:f>MAX(0,MIN('Activities'!L510,288)-MAX('Activities'!K510,282))</x:f>
        <x:v>0</x:v>
      </x:c>
      <x:c r="BA510" s="22" t="n">
        <x:f>MAX(0,MIN('Activities'!L510,294)-MAX('Activities'!K510,288))</x:f>
        <x:v>0</x:v>
      </x:c>
      <x:c r="BB510" s="22" t="n">
        <x:f>MAX(0,MIN('Activities'!L510,300)-MAX('Activities'!K510,294))</x:f>
        <x:v>0</x:v>
      </x:c>
      <x:c r="BC510" s="22" t="n">
        <x:f>MAX(0,MIN('Activities'!L510,306)-MAX('Activities'!K510,300))</x:f>
        <x:v>0</x:v>
      </x:c>
      <x:c r="BD510" s="22" t="n">
        <x:f>MAX(0,MIN('Activities'!L510,312)-MAX('Activities'!K510,306))</x:f>
        <x:v>0</x:v>
      </x:c>
      <x:c r="BE510" s="22" t="n">
        <x:f>MAX(0,MIN('Activities'!L510,318)-MAX('Activities'!K510,312))</x:f>
        <x:v>0</x:v>
      </x:c>
      <x:c r="BF510" s="22" t="n">
        <x:f>MAX(0,MIN('Activities'!L510,324)-MAX('Activities'!K510,318))</x:f>
        <x:v>0</x:v>
      </x:c>
      <x:c r="BG510" s="22" t="n">
        <x:f>MAX(0,MIN('Activities'!L510,330)-MAX('Activities'!K510,324))</x:f>
        <x:v>0</x:v>
      </x:c>
      <x:c r="BH510" s="22" t="n">
        <x:f>MAX(0,MIN('Activities'!L510,336)-MAX('Activities'!K510,330))</x:f>
        <x:v>0</x:v>
      </x:c>
      <x:c r="BI510" s="22" t="n">
        <x:f>MAX(0,MIN('Activities'!L510,342)-MAX('Activities'!K510,336))</x:f>
        <x:v>0</x:v>
      </x:c>
      <x:c r="BJ510" s="22" t="n">
        <x:f>MAX(0,MIN('Activities'!L510,348)-MAX('Activities'!K510,342))</x:f>
        <x:v>0</x:v>
      </x:c>
      <x:c r="BK510" s="22" t="n">
        <x:f>MAX(0,MIN('Activities'!L510,354)-MAX('Activities'!K510,348))</x:f>
        <x:v>0</x:v>
      </x:c>
      <x:c r="BL510" s="22" t="n">
        <x:f>MAX(0,MIN('Activities'!L510,360)-MAX('Activities'!K510,354))</x:f>
        <x:v>0</x:v>
      </x:c>
      <x:c r="BM510" s="22" t="n">
        <x:f>MAX(0,MIN('Activities'!L510,366)-MAX('Activities'!K510,360))</x:f>
        <x:v>0</x:v>
      </x:c>
      <x:c r="BN510" s="22" t="n">
        <x:f>MAX(0,MIN('Activities'!L510,372)-MAX('Activities'!K510,366))</x:f>
        <x:v>0</x:v>
      </x:c>
      <x:c r="BO510" s="22" t="n">
        <x:f>MAX(0,MIN('Activities'!L510,378)-MAX('Activities'!K510,372))</x:f>
        <x:v>0</x:v>
      </x:c>
      <x:c r="BP510" s="22" t="n">
        <x:f>MAX(0,MIN('Activities'!L510,384)-MAX('Activities'!K510,378))</x:f>
        <x:v>0</x:v>
      </x:c>
      <x:c r="BQ510" s="22" t="n">
        <x:f>MAX(0,MIN('Activities'!L510,390)-MAX('Activities'!K510,384))</x:f>
        <x:v>0</x:v>
      </x:c>
      <x:c r="BR510" s="22" t="n">
        <x:f>MAX(0,MIN('Activities'!L510,396)-MAX('Activities'!K510,390))</x:f>
        <x:v>0</x:v>
      </x:c>
      <x:c r="BS510" s="22" t="n">
        <x:f>MAX(0,MIN('Activities'!L510,402)-MAX('Activities'!K510,396))</x:f>
        <x:v>0</x:v>
      </x:c>
      <x:c r="BT510" s="22" t="n">
        <x:f>MAX(0,MIN('Activities'!L510,408)-MAX('Activities'!K510,402))</x:f>
        <x:v>0</x:v>
      </x:c>
      <x:c r="BU510" s="22" t="n">
        <x:f>MAX(0,MIN('Activities'!L510,414)-MAX('Activities'!K510,408))</x:f>
        <x:v>0</x:v>
      </x:c>
      <x:c r="BV510" s="22" t="n">
        <x:f>MAX(0,MIN('Activities'!L510,420)-MAX('Activities'!K510,414))</x:f>
        <x:v>0</x:v>
      </x:c>
      <x:c r="BW510" s="22" t="n">
        <x:f>MAX(0,MIN('Activities'!L510,426)-MAX('Activities'!K510,420))</x:f>
        <x:v>0</x:v>
      </x:c>
      <x:c r="BX510" s="22" t="n">
        <x:f>MAX(0,MIN('Activities'!L510,432)-MAX('Activities'!K510,426))</x:f>
        <x:v>0</x:v>
      </x:c>
      <x:c r="BY510" s="22" t="n">
        <x:f>MAX(0,MIN('Activities'!L510,438)-MAX('Activities'!K510,432))</x:f>
        <x:v>0</x:v>
      </x:c>
      <x:c r="BZ510" s="22" t="n">
        <x:f>MAX(0,MIN('Activities'!L510,444)-MAX('Activities'!K510,438))</x:f>
        <x:v>0</x:v>
      </x:c>
      <x:c r="CA510" s="22" t="n">
        <x:f>MAX(0,MIN('Activities'!L510,450)-MAX('Activities'!K510,444))</x:f>
        <x:v>5</x:v>
      </x:c>
      <x:c r="CB510" s="22" t="n">
        <x:f>MAX(0,MIN('Activities'!L510,456)-MAX('Activities'!K510,450))</x:f>
        <x:v>0</x:v>
      </x:c>
      <x:c r="CC510" s="22" t="n">
        <x:f>MAX(0,MIN('Activities'!L510,462)-MAX('Activities'!K510,456))</x:f>
        <x:v>0</x:v>
      </x:c>
      <x:c r="CD510" s="22" t="n">
        <x:f>MAX(0,MIN('Activities'!L510,468)-MAX('Activities'!K510,462))</x:f>
        <x:v>0</x:v>
      </x:c>
      <x:c r="CE510" s="22" t="n">
        <x:f>MAX(0,MIN('Activities'!L510,474)-MAX('Activities'!K510,468))</x:f>
        <x:v>0</x:v>
      </x:c>
      <x:c r="CF510" s="22" t="n">
        <x:f>MAX(0,MIN('Activities'!L510,480)-MAX('Activities'!K510,474))</x:f>
        <x:v>0</x:v>
      </x:c>
      <x:c r="CG510" s="22" t="n">
        <x:f>MAX(0,MIN('Activities'!L510,486)-MAX('Activities'!K510,480))</x:f>
        <x:v>0</x:v>
      </x:c>
      <x:c r="CH510" s="22" t="n">
        <x:f>MAX(0,MIN('Activities'!L510,492)-MAX('Activities'!K510,486))</x:f>
        <x:v>0</x:v>
      </x:c>
      <x:c r="CI510" s="22" t="n">
        <x:f>MAX(0,MIN('Activities'!L510,498)-MAX('Activities'!K510,492))</x:f>
        <x:v>0</x:v>
      </x:c>
      <x:c r="CJ510" s="22" t="n">
        <x:f>MAX(0,MIN('Activities'!L510,504)-MAX('Activities'!K510,498))</x:f>
        <x:v>0</x:v>
      </x:c>
      <x:c r="CK510" s="22" t="n">
        <x:f>MAX(0,MIN('Activities'!L510,510)-MAX('Activities'!K510,504))</x:f>
        <x:v>0</x:v>
      </x:c>
      <x:c r="CL510" s="22" t="n">
        <x:f>MAX(0,MIN('Activities'!L510,516)-MAX('Activities'!K510,510))</x:f>
        <x:v>0</x:v>
      </x:c>
      <x:c r="CM510" s="22" t="n">
        <x:f>MAX(0,MIN('Activities'!L510,522)-MAX('Activities'!K510,516))</x:f>
        <x:v>0</x:v>
      </x:c>
      <x:c r="CN510" s="22" t="n">
        <x:f>MAX(0,MIN('Activities'!L510,528)-MAX('Activities'!K510,522))</x:f>
        <x:v>0</x:v>
      </x:c>
      <x:c r="CO510" s="22" t="n">
        <x:f>MAX(0,MIN('Activities'!L510,534)-MAX('Activities'!K510,528))</x:f>
        <x:v>0</x:v>
      </x:c>
      <x:c r="CP510" s="22" t="n">
        <x:f>MAX(0,MIN('Activities'!L510,540)-MAX('Activities'!K510,534))</x:f>
        <x:v>0</x:v>
      </x:c>
      <x:c r="CQ510" s="22" t="n">
        <x:f>MAX(0,MIN('Activities'!L510,546)-MAX('Activities'!K510,540))</x:f>
        <x:v>0</x:v>
      </x:c>
      <x:c r="CR510" s="22" t="n">
        <x:f>MAX(0,MIN('Activities'!L510,552)-MAX('Activities'!K510,546))</x:f>
        <x:v>0</x:v>
      </x:c>
      <x:c r="CS510" s="22" t="n">
        <x:f>MAX(0,MIN('Activities'!L510,558)-MAX('Activities'!K510,552))</x:f>
        <x:v>0</x:v>
      </x:c>
      <x:c r="CT510" s="22" t="n">
        <x:f>MAX(0,MIN('Activities'!L510,564)-MAX('Activities'!K510,558))</x:f>
        <x:v>0</x:v>
      </x:c>
      <x:c r="CU510" s="22" t="n">
        <x:f>MAX(0,MIN('Activities'!L510,570)-MAX('Activities'!K510,564))</x:f>
        <x:v>0</x:v>
      </x:c>
      <x:c r="CV510" s="22" t="n">
        <x:f>MAX(0,MIN('Activities'!L510,576)-MAX('Activities'!K510,570))</x:f>
        <x:v>0</x:v>
      </x:c>
      <x:c r="CW510" s="22" t="n">
        <x:f>MAX(0,MIN('Activities'!L510,582)-MAX('Activities'!K510,576))</x:f>
        <x:v>0</x:v>
      </x:c>
      <x:c r="CX510" s="22" t="n">
        <x:f>MAX(0,MIN('Activities'!L510,588)-MAX('Activities'!K510,582))</x:f>
        <x:v>0</x:v>
      </x:c>
      <x:c r="CY510" s="22" t="n">
        <x:f>MAX(0,MIN('Activities'!L510,594)-MAX('Activities'!K510,588))</x:f>
        <x:v>0</x:v>
      </x:c>
      <x:c r="CZ510" s="22" t="n">
        <x:f>MAX(0,MIN('Activities'!L510,600)-MAX('Activities'!K510,594))</x:f>
        <x:v>0</x:v>
      </x:c>
      <x:c r="DA510" s="22" t="n">
        <x:f>MAX(0,MIN('Activities'!L510,606)-MAX('Activities'!K510,600))</x:f>
        <x:v>0</x:v>
      </x:c>
      <x:c r="DB510" s="22" t="n">
        <x:f>MAX(0,MIN('Activities'!L510,612)-MAX('Activities'!K510,606))</x:f>
        <x:v>0</x:v>
      </x:c>
      <x:c r="DC510" s="22" t="n">
        <x:f>MAX(0,MIN('Activities'!L510,618)-MAX('Activities'!K510,612))</x:f>
        <x:v>0</x:v>
      </x:c>
      <x:c r="DD510" s="22" t="n">
        <x:f>MAX(0,MIN('Activities'!L510,624)-MAX('Activities'!K510,618))</x:f>
        <x:v>0</x:v>
      </x:c>
      <x:c r="DE510" s="22" t="n">
        <x:f>MAX(0,MIN('Activities'!L510,630)-MAX('Activities'!K510,624))</x:f>
        <x:v>0</x:v>
      </x:c>
      <x:c r="DF510" s="22" t="n">
        <x:f>MAX(0,MIN('Activities'!L510,636)-MAX('Activities'!K510,630))</x:f>
        <x:v>0</x:v>
      </x:c>
    </x:row>
    <x:row r="511" ht="23" customHeight="1">
      <x:c r="A511" s="1" t="str">
        <x:v>T4-L06-D</x:v>
      </x:c>
      <x:c r="B511" s="1" t="str">
        <x:v>T4</x:v>
      </x:c>
      <x:c r="C511" s="1" t="str">
        <x:v>Door sets and ironmongery</x:v>
      </x:c>
      <x:c r="D511" s="1" t="str">
        <x:v>Finishes</x:v>
      </x:c>
      <x:c r="E511" s="23" t="n">
        <x:f>MAX(0,MIN('Activities'!L511,6)-MAX('Activities'!K511,0))</x:f>
        <x:v>0</x:v>
      </x:c>
      <x:c r="F511" s="23" t="n">
        <x:f>MAX(0,MIN('Activities'!L511,12)-MAX('Activities'!K511,6))</x:f>
        <x:v>0</x:v>
      </x:c>
      <x:c r="G511" s="23" t="n">
        <x:f>MAX(0,MIN('Activities'!L511,18)-MAX('Activities'!K511,12))</x:f>
        <x:v>0</x:v>
      </x:c>
      <x:c r="H511" s="23" t="n">
        <x:f>MAX(0,MIN('Activities'!L511,24)-MAX('Activities'!K511,18))</x:f>
        <x:v>0</x:v>
      </x:c>
      <x:c r="I511" s="23" t="n">
        <x:f>MAX(0,MIN('Activities'!L511,30)-MAX('Activities'!K511,24))</x:f>
        <x:v>0</x:v>
      </x:c>
      <x:c r="J511" s="23" t="n">
        <x:f>MAX(0,MIN('Activities'!L511,36)-MAX('Activities'!K511,30))</x:f>
        <x:v>0</x:v>
      </x:c>
      <x:c r="K511" s="23" t="n">
        <x:f>MAX(0,MIN('Activities'!L511,42)-MAX('Activities'!K511,36))</x:f>
        <x:v>0</x:v>
      </x:c>
      <x:c r="L511" s="23" t="n">
        <x:f>MAX(0,MIN('Activities'!L511,48)-MAX('Activities'!K511,42))</x:f>
        <x:v>0</x:v>
      </x:c>
      <x:c r="M511" s="23" t="n">
        <x:f>MAX(0,MIN('Activities'!L511,54)-MAX('Activities'!K511,48))</x:f>
        <x:v>0</x:v>
      </x:c>
      <x:c r="N511" s="23" t="n">
        <x:f>MAX(0,MIN('Activities'!L511,60)-MAX('Activities'!K511,54))</x:f>
        <x:v>0</x:v>
      </x:c>
      <x:c r="O511" s="23" t="n">
        <x:f>MAX(0,MIN('Activities'!L511,66)-MAX('Activities'!K511,60))</x:f>
        <x:v>0</x:v>
      </x:c>
      <x:c r="P511" s="23" t="n">
        <x:f>MAX(0,MIN('Activities'!L511,72)-MAX('Activities'!K511,66))</x:f>
        <x:v>0</x:v>
      </x:c>
      <x:c r="Q511" s="23" t="n">
        <x:f>MAX(0,MIN('Activities'!L511,78)-MAX('Activities'!K511,72))</x:f>
        <x:v>0</x:v>
      </x:c>
      <x:c r="R511" s="23" t="n">
        <x:f>MAX(0,MIN('Activities'!L511,84)-MAX('Activities'!K511,78))</x:f>
        <x:v>0</x:v>
      </x:c>
      <x:c r="S511" s="23" t="n">
        <x:f>MAX(0,MIN('Activities'!L511,90)-MAX('Activities'!K511,84))</x:f>
        <x:v>0</x:v>
      </x:c>
      <x:c r="T511" s="23" t="n">
        <x:f>MAX(0,MIN('Activities'!L511,96)-MAX('Activities'!K511,90))</x:f>
        <x:v>0</x:v>
      </x:c>
      <x:c r="U511" s="23" t="n">
        <x:f>MAX(0,MIN('Activities'!L511,102)-MAX('Activities'!K511,96))</x:f>
        <x:v>0</x:v>
      </x:c>
      <x:c r="V511" s="23" t="n">
        <x:f>MAX(0,MIN('Activities'!L511,108)-MAX('Activities'!K511,102))</x:f>
        <x:v>0</x:v>
      </x:c>
      <x:c r="W511" s="23" t="n">
        <x:f>MAX(0,MIN('Activities'!L511,114)-MAX('Activities'!K511,108))</x:f>
        <x:v>0</x:v>
      </x:c>
      <x:c r="X511" s="23" t="n">
        <x:f>MAX(0,MIN('Activities'!L511,120)-MAX('Activities'!K511,114))</x:f>
        <x:v>0</x:v>
      </x:c>
      <x:c r="Y511" s="23" t="n">
        <x:f>MAX(0,MIN('Activities'!L511,126)-MAX('Activities'!K511,120))</x:f>
        <x:v>0</x:v>
      </x:c>
      <x:c r="Z511" s="23" t="n">
        <x:f>MAX(0,MIN('Activities'!L511,132)-MAX('Activities'!K511,126))</x:f>
        <x:v>0</x:v>
      </x:c>
      <x:c r="AA511" s="23" t="n">
        <x:f>MAX(0,MIN('Activities'!L511,138)-MAX('Activities'!K511,132))</x:f>
        <x:v>0</x:v>
      </x:c>
      <x:c r="AB511" s="23" t="n">
        <x:f>MAX(0,MIN('Activities'!L511,144)-MAX('Activities'!K511,138))</x:f>
        <x:v>0</x:v>
      </x:c>
      <x:c r="AC511" s="23" t="n">
        <x:f>MAX(0,MIN('Activities'!L511,150)-MAX('Activities'!K511,144))</x:f>
        <x:v>0</x:v>
      </x:c>
      <x:c r="AD511" s="23" t="n">
        <x:f>MAX(0,MIN('Activities'!L511,156)-MAX('Activities'!K511,150))</x:f>
        <x:v>0</x:v>
      </x:c>
      <x:c r="AE511" s="23" t="n">
        <x:f>MAX(0,MIN('Activities'!L511,162)-MAX('Activities'!K511,156))</x:f>
        <x:v>0</x:v>
      </x:c>
      <x:c r="AF511" s="23" t="n">
        <x:f>MAX(0,MIN('Activities'!L511,168)-MAX('Activities'!K511,162))</x:f>
        <x:v>0</x:v>
      </x:c>
      <x:c r="AG511" s="23" t="n">
        <x:f>MAX(0,MIN('Activities'!L511,174)-MAX('Activities'!K511,168))</x:f>
        <x:v>0</x:v>
      </x:c>
      <x:c r="AH511" s="23" t="n">
        <x:f>MAX(0,MIN('Activities'!L511,180)-MAX('Activities'!K511,174))</x:f>
        <x:v>0</x:v>
      </x:c>
      <x:c r="AI511" s="23" t="n">
        <x:f>MAX(0,MIN('Activities'!L511,186)-MAX('Activities'!K511,180))</x:f>
        <x:v>0</x:v>
      </x:c>
      <x:c r="AJ511" s="23" t="n">
        <x:f>MAX(0,MIN('Activities'!L511,192)-MAX('Activities'!K511,186))</x:f>
        <x:v>0</x:v>
      </x:c>
      <x:c r="AK511" s="23" t="n">
        <x:f>MAX(0,MIN('Activities'!L511,198)-MAX('Activities'!K511,192))</x:f>
        <x:v>0</x:v>
      </x:c>
      <x:c r="AL511" s="23" t="n">
        <x:f>MAX(0,MIN('Activities'!L511,204)-MAX('Activities'!K511,198))</x:f>
        <x:v>0</x:v>
      </x:c>
      <x:c r="AM511" s="23" t="n">
        <x:f>MAX(0,MIN('Activities'!L511,210)-MAX('Activities'!K511,204))</x:f>
        <x:v>0</x:v>
      </x:c>
      <x:c r="AN511" s="23" t="n">
        <x:f>MAX(0,MIN('Activities'!L511,216)-MAX('Activities'!K511,210))</x:f>
        <x:v>0</x:v>
      </x:c>
      <x:c r="AO511" s="23" t="n">
        <x:f>MAX(0,MIN('Activities'!L511,222)-MAX('Activities'!K511,216))</x:f>
        <x:v>0</x:v>
      </x:c>
      <x:c r="AP511" s="23" t="n">
        <x:f>MAX(0,MIN('Activities'!L511,228)-MAX('Activities'!K511,222))</x:f>
        <x:v>0</x:v>
      </x:c>
      <x:c r="AQ511" s="23" t="n">
        <x:f>MAX(0,MIN('Activities'!L511,234)-MAX('Activities'!K511,228))</x:f>
        <x:v>0</x:v>
      </x:c>
      <x:c r="AR511" s="23" t="n">
        <x:f>MAX(0,MIN('Activities'!L511,240)-MAX('Activities'!K511,234))</x:f>
        <x:v>0</x:v>
      </x:c>
      <x:c r="AS511" s="23" t="n">
        <x:f>MAX(0,MIN('Activities'!L511,246)-MAX('Activities'!K511,240))</x:f>
        <x:v>0</x:v>
      </x:c>
      <x:c r="AT511" s="23" t="n">
        <x:f>MAX(0,MIN('Activities'!L511,252)-MAX('Activities'!K511,246))</x:f>
        <x:v>0</x:v>
      </x:c>
      <x:c r="AU511" s="23" t="n">
        <x:f>MAX(0,MIN('Activities'!L511,258)-MAX('Activities'!K511,252))</x:f>
        <x:v>0</x:v>
      </x:c>
      <x:c r="AV511" s="23" t="n">
        <x:f>MAX(0,MIN('Activities'!L511,264)-MAX('Activities'!K511,258))</x:f>
        <x:v>0</x:v>
      </x:c>
      <x:c r="AW511" s="23" t="n">
        <x:f>MAX(0,MIN('Activities'!L511,270)-MAX('Activities'!K511,264))</x:f>
        <x:v>0</x:v>
      </x:c>
      <x:c r="AX511" s="23" t="n">
        <x:f>MAX(0,MIN('Activities'!L511,276)-MAX('Activities'!K511,270))</x:f>
        <x:v>0</x:v>
      </x:c>
      <x:c r="AY511" s="23" t="n">
        <x:f>MAX(0,MIN('Activities'!L511,282)-MAX('Activities'!K511,276))</x:f>
        <x:v>0</x:v>
      </x:c>
      <x:c r="AZ511" s="23" t="n">
        <x:f>MAX(0,MIN('Activities'!L511,288)-MAX('Activities'!K511,282))</x:f>
        <x:v>0</x:v>
      </x:c>
      <x:c r="BA511" s="23" t="n">
        <x:f>MAX(0,MIN('Activities'!L511,294)-MAX('Activities'!K511,288))</x:f>
        <x:v>0</x:v>
      </x:c>
      <x:c r="BB511" s="23" t="n">
        <x:f>MAX(0,MIN('Activities'!L511,300)-MAX('Activities'!K511,294))</x:f>
        <x:v>0</x:v>
      </x:c>
      <x:c r="BC511" s="23" t="n">
        <x:f>MAX(0,MIN('Activities'!L511,306)-MAX('Activities'!K511,300))</x:f>
        <x:v>0</x:v>
      </x:c>
      <x:c r="BD511" s="23" t="n">
        <x:f>MAX(0,MIN('Activities'!L511,312)-MAX('Activities'!K511,306))</x:f>
        <x:v>0</x:v>
      </x:c>
      <x:c r="BE511" s="23" t="n">
        <x:f>MAX(0,MIN('Activities'!L511,318)-MAX('Activities'!K511,312))</x:f>
        <x:v>0</x:v>
      </x:c>
      <x:c r="BF511" s="23" t="n">
        <x:f>MAX(0,MIN('Activities'!L511,324)-MAX('Activities'!K511,318))</x:f>
        <x:v>0</x:v>
      </x:c>
      <x:c r="BG511" s="23" t="n">
        <x:f>MAX(0,MIN('Activities'!L511,330)-MAX('Activities'!K511,324))</x:f>
        <x:v>0</x:v>
      </x:c>
      <x:c r="BH511" s="23" t="n">
        <x:f>MAX(0,MIN('Activities'!L511,336)-MAX('Activities'!K511,330))</x:f>
        <x:v>0</x:v>
      </x:c>
      <x:c r="BI511" s="23" t="n">
        <x:f>MAX(0,MIN('Activities'!L511,342)-MAX('Activities'!K511,336))</x:f>
        <x:v>0</x:v>
      </x:c>
      <x:c r="BJ511" s="23" t="n">
        <x:f>MAX(0,MIN('Activities'!L511,348)-MAX('Activities'!K511,342))</x:f>
        <x:v>0</x:v>
      </x:c>
      <x:c r="BK511" s="23" t="n">
        <x:f>MAX(0,MIN('Activities'!L511,354)-MAX('Activities'!K511,348))</x:f>
        <x:v>0</x:v>
      </x:c>
      <x:c r="BL511" s="23" t="n">
        <x:f>MAX(0,MIN('Activities'!L511,360)-MAX('Activities'!K511,354))</x:f>
        <x:v>0</x:v>
      </x:c>
      <x:c r="BM511" s="23" t="n">
        <x:f>MAX(0,MIN('Activities'!L511,366)-MAX('Activities'!K511,360))</x:f>
        <x:v>0</x:v>
      </x:c>
      <x:c r="BN511" s="23" t="n">
        <x:f>MAX(0,MIN('Activities'!L511,372)-MAX('Activities'!K511,366))</x:f>
        <x:v>0</x:v>
      </x:c>
      <x:c r="BO511" s="23" t="n">
        <x:f>MAX(0,MIN('Activities'!L511,378)-MAX('Activities'!K511,372))</x:f>
        <x:v>0</x:v>
      </x:c>
      <x:c r="BP511" s="23" t="n">
        <x:f>MAX(0,MIN('Activities'!L511,384)-MAX('Activities'!K511,378))</x:f>
        <x:v>0</x:v>
      </x:c>
      <x:c r="BQ511" s="23" t="n">
        <x:f>MAX(0,MIN('Activities'!L511,390)-MAX('Activities'!K511,384))</x:f>
        <x:v>0</x:v>
      </x:c>
      <x:c r="BR511" s="23" t="n">
        <x:f>MAX(0,MIN('Activities'!L511,396)-MAX('Activities'!K511,390))</x:f>
        <x:v>0</x:v>
      </x:c>
      <x:c r="BS511" s="23" t="n">
        <x:f>MAX(0,MIN('Activities'!L511,402)-MAX('Activities'!K511,396))</x:f>
        <x:v>0</x:v>
      </x:c>
      <x:c r="BT511" s="23" t="n">
        <x:f>MAX(0,MIN('Activities'!L511,408)-MAX('Activities'!K511,402))</x:f>
        <x:v>0</x:v>
      </x:c>
      <x:c r="BU511" s="23" t="n">
        <x:f>MAX(0,MIN('Activities'!L511,414)-MAX('Activities'!K511,408))</x:f>
        <x:v>0</x:v>
      </x:c>
      <x:c r="BV511" s="23" t="n">
        <x:f>MAX(0,MIN('Activities'!L511,420)-MAX('Activities'!K511,414))</x:f>
        <x:v>0</x:v>
      </x:c>
      <x:c r="BW511" s="23" t="n">
        <x:f>MAX(0,MIN('Activities'!L511,426)-MAX('Activities'!K511,420))</x:f>
        <x:v>0</x:v>
      </x:c>
      <x:c r="BX511" s="23" t="n">
        <x:f>MAX(0,MIN('Activities'!L511,432)-MAX('Activities'!K511,426))</x:f>
        <x:v>0</x:v>
      </x:c>
      <x:c r="BY511" s="23" t="n">
        <x:f>MAX(0,MIN('Activities'!L511,438)-MAX('Activities'!K511,432))</x:f>
        <x:v>0</x:v>
      </x:c>
      <x:c r="BZ511" s="23" t="n">
        <x:f>MAX(0,MIN('Activities'!L511,444)-MAX('Activities'!K511,438))</x:f>
        <x:v>0</x:v>
      </x:c>
      <x:c r="CA511" s="23" t="n">
        <x:f>MAX(0,MIN('Activities'!L511,450)-MAX('Activities'!K511,444))</x:f>
        <x:v>0</x:v>
      </x:c>
      <x:c r="CB511" s="23" t="n">
        <x:f>MAX(0,MIN('Activities'!L511,456)-MAX('Activities'!K511,450))</x:f>
        <x:v>3</x:v>
      </x:c>
      <x:c r="CC511" s="23" t="n">
        <x:f>MAX(0,MIN('Activities'!L511,462)-MAX('Activities'!K511,456))</x:f>
        <x:v>0</x:v>
      </x:c>
      <x:c r="CD511" s="23" t="n">
        <x:f>MAX(0,MIN('Activities'!L511,468)-MAX('Activities'!K511,462))</x:f>
        <x:v>0</x:v>
      </x:c>
      <x:c r="CE511" s="23" t="n">
        <x:f>MAX(0,MIN('Activities'!L511,474)-MAX('Activities'!K511,468))</x:f>
        <x:v>0</x:v>
      </x:c>
      <x:c r="CF511" s="23" t="n">
        <x:f>MAX(0,MIN('Activities'!L511,480)-MAX('Activities'!K511,474))</x:f>
        <x:v>0</x:v>
      </x:c>
      <x:c r="CG511" s="23" t="n">
        <x:f>MAX(0,MIN('Activities'!L511,486)-MAX('Activities'!K511,480))</x:f>
        <x:v>0</x:v>
      </x:c>
      <x:c r="CH511" s="23" t="n">
        <x:f>MAX(0,MIN('Activities'!L511,492)-MAX('Activities'!K511,486))</x:f>
        <x:v>0</x:v>
      </x:c>
      <x:c r="CI511" s="23" t="n">
        <x:f>MAX(0,MIN('Activities'!L511,498)-MAX('Activities'!K511,492))</x:f>
        <x:v>0</x:v>
      </x:c>
      <x:c r="CJ511" s="23" t="n">
        <x:f>MAX(0,MIN('Activities'!L511,504)-MAX('Activities'!K511,498))</x:f>
        <x:v>0</x:v>
      </x:c>
      <x:c r="CK511" s="23" t="n">
        <x:f>MAX(0,MIN('Activities'!L511,510)-MAX('Activities'!K511,504))</x:f>
        <x:v>0</x:v>
      </x:c>
      <x:c r="CL511" s="23" t="n">
        <x:f>MAX(0,MIN('Activities'!L511,516)-MAX('Activities'!K511,510))</x:f>
        <x:v>0</x:v>
      </x:c>
      <x:c r="CM511" s="23" t="n">
        <x:f>MAX(0,MIN('Activities'!L511,522)-MAX('Activities'!K511,516))</x:f>
        <x:v>0</x:v>
      </x:c>
      <x:c r="CN511" s="23" t="n">
        <x:f>MAX(0,MIN('Activities'!L511,528)-MAX('Activities'!K511,522))</x:f>
        <x:v>0</x:v>
      </x:c>
      <x:c r="CO511" s="23" t="n">
        <x:f>MAX(0,MIN('Activities'!L511,534)-MAX('Activities'!K511,528))</x:f>
        <x:v>0</x:v>
      </x:c>
      <x:c r="CP511" s="23" t="n">
        <x:f>MAX(0,MIN('Activities'!L511,540)-MAX('Activities'!K511,534))</x:f>
        <x:v>0</x:v>
      </x:c>
      <x:c r="CQ511" s="23" t="n">
        <x:f>MAX(0,MIN('Activities'!L511,546)-MAX('Activities'!K511,540))</x:f>
        <x:v>0</x:v>
      </x:c>
      <x:c r="CR511" s="23" t="n">
        <x:f>MAX(0,MIN('Activities'!L511,552)-MAX('Activities'!K511,546))</x:f>
        <x:v>0</x:v>
      </x:c>
      <x:c r="CS511" s="23" t="n">
        <x:f>MAX(0,MIN('Activities'!L511,558)-MAX('Activities'!K511,552))</x:f>
        <x:v>0</x:v>
      </x:c>
      <x:c r="CT511" s="23" t="n">
        <x:f>MAX(0,MIN('Activities'!L511,564)-MAX('Activities'!K511,558))</x:f>
        <x:v>0</x:v>
      </x:c>
      <x:c r="CU511" s="23" t="n">
        <x:f>MAX(0,MIN('Activities'!L511,570)-MAX('Activities'!K511,564))</x:f>
        <x:v>0</x:v>
      </x:c>
      <x:c r="CV511" s="23" t="n">
        <x:f>MAX(0,MIN('Activities'!L511,576)-MAX('Activities'!K511,570))</x:f>
        <x:v>0</x:v>
      </x:c>
      <x:c r="CW511" s="23" t="n">
        <x:f>MAX(0,MIN('Activities'!L511,582)-MAX('Activities'!K511,576))</x:f>
        <x:v>0</x:v>
      </x:c>
      <x:c r="CX511" s="23" t="n">
        <x:f>MAX(0,MIN('Activities'!L511,588)-MAX('Activities'!K511,582))</x:f>
        <x:v>0</x:v>
      </x:c>
      <x:c r="CY511" s="23" t="n">
        <x:f>MAX(0,MIN('Activities'!L511,594)-MAX('Activities'!K511,588))</x:f>
        <x:v>0</x:v>
      </x:c>
      <x:c r="CZ511" s="23" t="n">
        <x:f>MAX(0,MIN('Activities'!L511,600)-MAX('Activities'!K511,594))</x:f>
        <x:v>0</x:v>
      </x:c>
      <x:c r="DA511" s="23" t="n">
        <x:f>MAX(0,MIN('Activities'!L511,606)-MAX('Activities'!K511,600))</x:f>
        <x:v>0</x:v>
      </x:c>
      <x:c r="DB511" s="23" t="n">
        <x:f>MAX(0,MIN('Activities'!L511,612)-MAX('Activities'!K511,606))</x:f>
        <x:v>0</x:v>
      </x:c>
      <x:c r="DC511" s="23" t="n">
        <x:f>MAX(0,MIN('Activities'!L511,618)-MAX('Activities'!K511,612))</x:f>
        <x:v>0</x:v>
      </x:c>
      <x:c r="DD511" s="23" t="n">
        <x:f>MAX(0,MIN('Activities'!L511,624)-MAX('Activities'!K511,618))</x:f>
        <x:v>0</x:v>
      </x:c>
      <x:c r="DE511" s="23" t="n">
        <x:f>MAX(0,MIN('Activities'!L511,630)-MAX('Activities'!K511,624))</x:f>
        <x:v>0</x:v>
      </x:c>
      <x:c r="DF511" s="23" t="n">
        <x:f>MAX(0,MIN('Activities'!L511,636)-MAX('Activities'!K511,630))</x:f>
        <x:v>0</x:v>
      </x:c>
    </x:row>
    <x:row r="512" ht="23" customHeight="1">
      <x:c r="A512" s="6" t="str">
        <x:v>T4-L07-M</x:v>
      </x:c>
      <x:c r="B512" s="6" t="str">
        <x:v>T4</x:v>
      </x:c>
      <x:c r="C512" s="6" t="str">
        <x:v>Partition masonry</x:v>
      </x:c>
      <x:c r="D512" s="6" t="str">
        <x:v>Masonry</x:v>
      </x:c>
      <x:c r="E512" s="22" t="n">
        <x:f>MAX(0,MIN('Activities'!L512,6)-MAX('Activities'!K512,0))</x:f>
        <x:v>0</x:v>
      </x:c>
      <x:c r="F512" s="22" t="n">
        <x:f>MAX(0,MIN('Activities'!L512,12)-MAX('Activities'!K512,6))</x:f>
        <x:v>0</x:v>
      </x:c>
      <x:c r="G512" s="22" t="n">
        <x:f>MAX(0,MIN('Activities'!L512,18)-MAX('Activities'!K512,12))</x:f>
        <x:v>0</x:v>
      </x:c>
      <x:c r="H512" s="22" t="n">
        <x:f>MAX(0,MIN('Activities'!L512,24)-MAX('Activities'!K512,18))</x:f>
        <x:v>0</x:v>
      </x:c>
      <x:c r="I512" s="22" t="n">
        <x:f>MAX(0,MIN('Activities'!L512,30)-MAX('Activities'!K512,24))</x:f>
        <x:v>0</x:v>
      </x:c>
      <x:c r="J512" s="22" t="n">
        <x:f>MAX(0,MIN('Activities'!L512,36)-MAX('Activities'!K512,30))</x:f>
        <x:v>0</x:v>
      </x:c>
      <x:c r="K512" s="22" t="n">
        <x:f>MAX(0,MIN('Activities'!L512,42)-MAX('Activities'!K512,36))</x:f>
        <x:v>0</x:v>
      </x:c>
      <x:c r="L512" s="22" t="n">
        <x:f>MAX(0,MIN('Activities'!L512,48)-MAX('Activities'!K512,42))</x:f>
        <x:v>0</x:v>
      </x:c>
      <x:c r="M512" s="22" t="n">
        <x:f>MAX(0,MIN('Activities'!L512,54)-MAX('Activities'!K512,48))</x:f>
        <x:v>0</x:v>
      </x:c>
      <x:c r="N512" s="22" t="n">
        <x:f>MAX(0,MIN('Activities'!L512,60)-MAX('Activities'!K512,54))</x:f>
        <x:v>0</x:v>
      </x:c>
      <x:c r="O512" s="22" t="n">
        <x:f>MAX(0,MIN('Activities'!L512,66)-MAX('Activities'!K512,60))</x:f>
        <x:v>0</x:v>
      </x:c>
      <x:c r="P512" s="22" t="n">
        <x:f>MAX(0,MIN('Activities'!L512,72)-MAX('Activities'!K512,66))</x:f>
        <x:v>0</x:v>
      </x:c>
      <x:c r="Q512" s="22" t="n">
        <x:f>MAX(0,MIN('Activities'!L512,78)-MAX('Activities'!K512,72))</x:f>
        <x:v>0</x:v>
      </x:c>
      <x:c r="R512" s="22" t="n">
        <x:f>MAX(0,MIN('Activities'!L512,84)-MAX('Activities'!K512,78))</x:f>
        <x:v>0</x:v>
      </x:c>
      <x:c r="S512" s="22" t="n">
        <x:f>MAX(0,MIN('Activities'!L512,90)-MAX('Activities'!K512,84))</x:f>
        <x:v>0</x:v>
      </x:c>
      <x:c r="T512" s="22" t="n">
        <x:f>MAX(0,MIN('Activities'!L512,96)-MAX('Activities'!K512,90))</x:f>
        <x:v>0</x:v>
      </x:c>
      <x:c r="U512" s="22" t="n">
        <x:f>MAX(0,MIN('Activities'!L512,102)-MAX('Activities'!K512,96))</x:f>
        <x:v>0</x:v>
      </x:c>
      <x:c r="V512" s="22" t="n">
        <x:f>MAX(0,MIN('Activities'!L512,108)-MAX('Activities'!K512,102))</x:f>
        <x:v>0</x:v>
      </x:c>
      <x:c r="W512" s="22" t="n">
        <x:f>MAX(0,MIN('Activities'!L512,114)-MAX('Activities'!K512,108))</x:f>
        <x:v>0</x:v>
      </x:c>
      <x:c r="X512" s="22" t="n">
        <x:f>MAX(0,MIN('Activities'!L512,120)-MAX('Activities'!K512,114))</x:f>
        <x:v>0</x:v>
      </x:c>
      <x:c r="Y512" s="22" t="n">
        <x:f>MAX(0,MIN('Activities'!L512,126)-MAX('Activities'!K512,120))</x:f>
        <x:v>0</x:v>
      </x:c>
      <x:c r="Z512" s="22" t="n">
        <x:f>MAX(0,MIN('Activities'!L512,132)-MAX('Activities'!K512,126))</x:f>
        <x:v>0</x:v>
      </x:c>
      <x:c r="AA512" s="22" t="n">
        <x:f>MAX(0,MIN('Activities'!L512,138)-MAX('Activities'!K512,132))</x:f>
        <x:v>0</x:v>
      </x:c>
      <x:c r="AB512" s="22" t="n">
        <x:f>MAX(0,MIN('Activities'!L512,144)-MAX('Activities'!K512,138))</x:f>
        <x:v>0</x:v>
      </x:c>
      <x:c r="AC512" s="22" t="n">
        <x:f>MAX(0,MIN('Activities'!L512,150)-MAX('Activities'!K512,144))</x:f>
        <x:v>0</x:v>
      </x:c>
      <x:c r="AD512" s="22" t="n">
        <x:f>MAX(0,MIN('Activities'!L512,156)-MAX('Activities'!K512,150))</x:f>
        <x:v>0</x:v>
      </x:c>
      <x:c r="AE512" s="22" t="n">
        <x:f>MAX(0,MIN('Activities'!L512,162)-MAX('Activities'!K512,156))</x:f>
        <x:v>0</x:v>
      </x:c>
      <x:c r="AF512" s="22" t="n">
        <x:f>MAX(0,MIN('Activities'!L512,168)-MAX('Activities'!K512,162))</x:f>
        <x:v>0</x:v>
      </x:c>
      <x:c r="AG512" s="22" t="n">
        <x:f>MAX(0,MIN('Activities'!L512,174)-MAX('Activities'!K512,168))</x:f>
        <x:v>0</x:v>
      </x:c>
      <x:c r="AH512" s="22" t="n">
        <x:f>MAX(0,MIN('Activities'!L512,180)-MAX('Activities'!K512,174))</x:f>
        <x:v>0</x:v>
      </x:c>
      <x:c r="AI512" s="22" t="n">
        <x:f>MAX(0,MIN('Activities'!L512,186)-MAX('Activities'!K512,180))</x:f>
        <x:v>0</x:v>
      </x:c>
      <x:c r="AJ512" s="22" t="n">
        <x:f>MAX(0,MIN('Activities'!L512,192)-MAX('Activities'!K512,186))</x:f>
        <x:v>0</x:v>
      </x:c>
      <x:c r="AK512" s="22" t="n">
        <x:f>MAX(0,MIN('Activities'!L512,198)-MAX('Activities'!K512,192))</x:f>
        <x:v>0</x:v>
      </x:c>
      <x:c r="AL512" s="22" t="n">
        <x:f>MAX(0,MIN('Activities'!L512,204)-MAX('Activities'!K512,198))</x:f>
        <x:v>0</x:v>
      </x:c>
      <x:c r="AM512" s="22" t="n">
        <x:f>MAX(0,MIN('Activities'!L512,210)-MAX('Activities'!K512,204))</x:f>
        <x:v>0</x:v>
      </x:c>
      <x:c r="AN512" s="22" t="n">
        <x:f>MAX(0,MIN('Activities'!L512,216)-MAX('Activities'!K512,210))</x:f>
        <x:v>0</x:v>
      </x:c>
      <x:c r="AO512" s="22" t="n">
        <x:f>MAX(0,MIN('Activities'!L512,222)-MAX('Activities'!K512,216))</x:f>
        <x:v>0</x:v>
      </x:c>
      <x:c r="AP512" s="22" t="n">
        <x:f>MAX(0,MIN('Activities'!L512,228)-MAX('Activities'!K512,222))</x:f>
        <x:v>0</x:v>
      </x:c>
      <x:c r="AQ512" s="22" t="n">
        <x:f>MAX(0,MIN('Activities'!L512,234)-MAX('Activities'!K512,228))</x:f>
        <x:v>0</x:v>
      </x:c>
      <x:c r="AR512" s="22" t="n">
        <x:f>MAX(0,MIN('Activities'!L512,240)-MAX('Activities'!K512,234))</x:f>
        <x:v>0</x:v>
      </x:c>
      <x:c r="AS512" s="22" t="n">
        <x:f>MAX(0,MIN('Activities'!L512,246)-MAX('Activities'!K512,240))</x:f>
        <x:v>0</x:v>
      </x:c>
      <x:c r="AT512" s="22" t="n">
        <x:f>MAX(0,MIN('Activities'!L512,252)-MAX('Activities'!K512,246))</x:f>
        <x:v>0</x:v>
      </x:c>
      <x:c r="AU512" s="22" t="n">
        <x:f>MAX(0,MIN('Activities'!L512,258)-MAX('Activities'!K512,252))</x:f>
        <x:v>0</x:v>
      </x:c>
      <x:c r="AV512" s="22" t="n">
        <x:f>MAX(0,MIN('Activities'!L512,264)-MAX('Activities'!K512,258))</x:f>
        <x:v>0</x:v>
      </x:c>
      <x:c r="AW512" s="22" t="n">
        <x:f>MAX(0,MIN('Activities'!L512,270)-MAX('Activities'!K512,264))</x:f>
        <x:v>0</x:v>
      </x:c>
      <x:c r="AX512" s="22" t="n">
        <x:f>MAX(0,MIN('Activities'!L512,276)-MAX('Activities'!K512,270))</x:f>
        <x:v>0</x:v>
      </x:c>
      <x:c r="AY512" s="22" t="n">
        <x:f>MAX(0,MIN('Activities'!L512,282)-MAX('Activities'!K512,276))</x:f>
        <x:v>0</x:v>
      </x:c>
      <x:c r="AZ512" s="22" t="n">
        <x:f>MAX(0,MIN('Activities'!L512,288)-MAX('Activities'!K512,282))</x:f>
        <x:v>0</x:v>
      </x:c>
      <x:c r="BA512" s="22" t="n">
        <x:f>MAX(0,MIN('Activities'!L512,294)-MAX('Activities'!K512,288))</x:f>
        <x:v>0</x:v>
      </x:c>
      <x:c r="BB512" s="22" t="n">
        <x:f>MAX(0,MIN('Activities'!L512,300)-MAX('Activities'!K512,294))</x:f>
        <x:v>0</x:v>
      </x:c>
      <x:c r="BC512" s="22" t="n">
        <x:f>MAX(0,MIN('Activities'!L512,306)-MAX('Activities'!K512,300))</x:f>
        <x:v>0</x:v>
      </x:c>
      <x:c r="BD512" s="22" t="n">
        <x:f>MAX(0,MIN('Activities'!L512,312)-MAX('Activities'!K512,306))</x:f>
        <x:v>0</x:v>
      </x:c>
      <x:c r="BE512" s="22" t="n">
        <x:f>MAX(0,MIN('Activities'!L512,318)-MAX('Activities'!K512,312))</x:f>
        <x:v>0</x:v>
      </x:c>
      <x:c r="BF512" s="22" t="n">
        <x:f>MAX(0,MIN('Activities'!L512,324)-MAX('Activities'!K512,318))</x:f>
        <x:v>0</x:v>
      </x:c>
      <x:c r="BG512" s="22" t="n">
        <x:f>MAX(0,MIN('Activities'!L512,330)-MAX('Activities'!K512,324))</x:f>
        <x:v>0</x:v>
      </x:c>
      <x:c r="BH512" s="22" t="n">
        <x:f>MAX(0,MIN('Activities'!L512,336)-MAX('Activities'!K512,330))</x:f>
        <x:v>0</x:v>
      </x:c>
      <x:c r="BI512" s="22" t="n">
        <x:f>MAX(0,MIN('Activities'!L512,342)-MAX('Activities'!K512,336))</x:f>
        <x:v>0</x:v>
      </x:c>
      <x:c r="BJ512" s="22" t="n">
        <x:f>MAX(0,MIN('Activities'!L512,348)-MAX('Activities'!K512,342))</x:f>
        <x:v>0</x:v>
      </x:c>
      <x:c r="BK512" s="22" t="n">
        <x:f>MAX(0,MIN('Activities'!L512,354)-MAX('Activities'!K512,348))</x:f>
        <x:v>0</x:v>
      </x:c>
      <x:c r="BL512" s="22" t="n">
        <x:f>MAX(0,MIN('Activities'!L512,360)-MAX('Activities'!K512,354))</x:f>
        <x:v>0</x:v>
      </x:c>
      <x:c r="BM512" s="22" t="n">
        <x:f>MAX(0,MIN('Activities'!L512,366)-MAX('Activities'!K512,360))</x:f>
        <x:v>0</x:v>
      </x:c>
      <x:c r="BN512" s="22" t="n">
        <x:f>MAX(0,MIN('Activities'!L512,372)-MAX('Activities'!K512,366))</x:f>
        <x:v>0</x:v>
      </x:c>
      <x:c r="BO512" s="22" t="n">
        <x:f>MAX(0,MIN('Activities'!L512,378)-MAX('Activities'!K512,372))</x:f>
        <x:v>5</x:v>
      </x:c>
      <x:c r="BP512" s="22" t="n">
        <x:f>MAX(0,MIN('Activities'!L512,384)-MAX('Activities'!K512,378))</x:f>
        <x:v>0</x:v>
      </x:c>
      <x:c r="BQ512" s="22" t="n">
        <x:f>MAX(0,MIN('Activities'!L512,390)-MAX('Activities'!K512,384))</x:f>
        <x:v>0</x:v>
      </x:c>
      <x:c r="BR512" s="22" t="n">
        <x:f>MAX(0,MIN('Activities'!L512,396)-MAX('Activities'!K512,390))</x:f>
        <x:v>0</x:v>
      </x:c>
      <x:c r="BS512" s="22" t="n">
        <x:f>MAX(0,MIN('Activities'!L512,402)-MAX('Activities'!K512,396))</x:f>
        <x:v>0</x:v>
      </x:c>
      <x:c r="BT512" s="22" t="n">
        <x:f>MAX(0,MIN('Activities'!L512,408)-MAX('Activities'!K512,402))</x:f>
        <x:v>0</x:v>
      </x:c>
      <x:c r="BU512" s="22" t="n">
        <x:f>MAX(0,MIN('Activities'!L512,414)-MAX('Activities'!K512,408))</x:f>
        <x:v>0</x:v>
      </x:c>
      <x:c r="BV512" s="22" t="n">
        <x:f>MAX(0,MIN('Activities'!L512,420)-MAX('Activities'!K512,414))</x:f>
        <x:v>0</x:v>
      </x:c>
      <x:c r="BW512" s="22" t="n">
        <x:f>MAX(0,MIN('Activities'!L512,426)-MAX('Activities'!K512,420))</x:f>
        <x:v>0</x:v>
      </x:c>
      <x:c r="BX512" s="22" t="n">
        <x:f>MAX(0,MIN('Activities'!L512,432)-MAX('Activities'!K512,426))</x:f>
        <x:v>0</x:v>
      </x:c>
      <x:c r="BY512" s="22" t="n">
        <x:f>MAX(0,MIN('Activities'!L512,438)-MAX('Activities'!K512,432))</x:f>
        <x:v>0</x:v>
      </x:c>
      <x:c r="BZ512" s="22" t="n">
        <x:f>MAX(0,MIN('Activities'!L512,444)-MAX('Activities'!K512,438))</x:f>
        <x:v>0</x:v>
      </x:c>
      <x:c r="CA512" s="22" t="n">
        <x:f>MAX(0,MIN('Activities'!L512,450)-MAX('Activities'!K512,444))</x:f>
        <x:v>0</x:v>
      </x:c>
      <x:c r="CB512" s="22" t="n">
        <x:f>MAX(0,MIN('Activities'!L512,456)-MAX('Activities'!K512,450))</x:f>
        <x:v>0</x:v>
      </x:c>
      <x:c r="CC512" s="22" t="n">
        <x:f>MAX(0,MIN('Activities'!L512,462)-MAX('Activities'!K512,456))</x:f>
        <x:v>0</x:v>
      </x:c>
      <x:c r="CD512" s="22" t="n">
        <x:f>MAX(0,MIN('Activities'!L512,468)-MAX('Activities'!K512,462))</x:f>
        <x:v>0</x:v>
      </x:c>
      <x:c r="CE512" s="22" t="n">
        <x:f>MAX(0,MIN('Activities'!L512,474)-MAX('Activities'!K512,468))</x:f>
        <x:v>0</x:v>
      </x:c>
      <x:c r="CF512" s="22" t="n">
        <x:f>MAX(0,MIN('Activities'!L512,480)-MAX('Activities'!K512,474))</x:f>
        <x:v>0</x:v>
      </x:c>
      <x:c r="CG512" s="22" t="n">
        <x:f>MAX(0,MIN('Activities'!L512,486)-MAX('Activities'!K512,480))</x:f>
        <x:v>0</x:v>
      </x:c>
      <x:c r="CH512" s="22" t="n">
        <x:f>MAX(0,MIN('Activities'!L512,492)-MAX('Activities'!K512,486))</x:f>
        <x:v>0</x:v>
      </x:c>
      <x:c r="CI512" s="22" t="n">
        <x:f>MAX(0,MIN('Activities'!L512,498)-MAX('Activities'!K512,492))</x:f>
        <x:v>0</x:v>
      </x:c>
      <x:c r="CJ512" s="22" t="n">
        <x:f>MAX(0,MIN('Activities'!L512,504)-MAX('Activities'!K512,498))</x:f>
        <x:v>0</x:v>
      </x:c>
      <x:c r="CK512" s="22" t="n">
        <x:f>MAX(0,MIN('Activities'!L512,510)-MAX('Activities'!K512,504))</x:f>
        <x:v>0</x:v>
      </x:c>
      <x:c r="CL512" s="22" t="n">
        <x:f>MAX(0,MIN('Activities'!L512,516)-MAX('Activities'!K512,510))</x:f>
        <x:v>0</x:v>
      </x:c>
      <x:c r="CM512" s="22" t="n">
        <x:f>MAX(0,MIN('Activities'!L512,522)-MAX('Activities'!K512,516))</x:f>
        <x:v>0</x:v>
      </x:c>
      <x:c r="CN512" s="22" t="n">
        <x:f>MAX(0,MIN('Activities'!L512,528)-MAX('Activities'!K512,522))</x:f>
        <x:v>0</x:v>
      </x:c>
      <x:c r="CO512" s="22" t="n">
        <x:f>MAX(0,MIN('Activities'!L512,534)-MAX('Activities'!K512,528))</x:f>
        <x:v>0</x:v>
      </x:c>
      <x:c r="CP512" s="22" t="n">
        <x:f>MAX(0,MIN('Activities'!L512,540)-MAX('Activities'!K512,534))</x:f>
        <x:v>0</x:v>
      </x:c>
      <x:c r="CQ512" s="22" t="n">
        <x:f>MAX(0,MIN('Activities'!L512,546)-MAX('Activities'!K512,540))</x:f>
        <x:v>0</x:v>
      </x:c>
      <x:c r="CR512" s="22" t="n">
        <x:f>MAX(0,MIN('Activities'!L512,552)-MAX('Activities'!K512,546))</x:f>
        <x:v>0</x:v>
      </x:c>
      <x:c r="CS512" s="22" t="n">
        <x:f>MAX(0,MIN('Activities'!L512,558)-MAX('Activities'!K512,552))</x:f>
        <x:v>0</x:v>
      </x:c>
      <x:c r="CT512" s="22" t="n">
        <x:f>MAX(0,MIN('Activities'!L512,564)-MAX('Activities'!K512,558))</x:f>
        <x:v>0</x:v>
      </x:c>
      <x:c r="CU512" s="22" t="n">
        <x:f>MAX(0,MIN('Activities'!L512,570)-MAX('Activities'!K512,564))</x:f>
        <x:v>0</x:v>
      </x:c>
      <x:c r="CV512" s="22" t="n">
        <x:f>MAX(0,MIN('Activities'!L512,576)-MAX('Activities'!K512,570))</x:f>
        <x:v>0</x:v>
      </x:c>
      <x:c r="CW512" s="22" t="n">
        <x:f>MAX(0,MIN('Activities'!L512,582)-MAX('Activities'!K512,576))</x:f>
        <x:v>0</x:v>
      </x:c>
      <x:c r="CX512" s="22" t="n">
        <x:f>MAX(0,MIN('Activities'!L512,588)-MAX('Activities'!K512,582))</x:f>
        <x:v>0</x:v>
      </x:c>
      <x:c r="CY512" s="22" t="n">
        <x:f>MAX(0,MIN('Activities'!L512,594)-MAX('Activities'!K512,588))</x:f>
        <x:v>0</x:v>
      </x:c>
      <x:c r="CZ512" s="22" t="n">
        <x:f>MAX(0,MIN('Activities'!L512,600)-MAX('Activities'!K512,594))</x:f>
        <x:v>0</x:v>
      </x:c>
      <x:c r="DA512" s="22" t="n">
        <x:f>MAX(0,MIN('Activities'!L512,606)-MAX('Activities'!K512,600))</x:f>
        <x:v>0</x:v>
      </x:c>
      <x:c r="DB512" s="22" t="n">
        <x:f>MAX(0,MIN('Activities'!L512,612)-MAX('Activities'!K512,606))</x:f>
        <x:v>0</x:v>
      </x:c>
      <x:c r="DC512" s="22" t="n">
        <x:f>MAX(0,MIN('Activities'!L512,618)-MAX('Activities'!K512,612))</x:f>
        <x:v>0</x:v>
      </x:c>
      <x:c r="DD512" s="22" t="n">
        <x:f>MAX(0,MIN('Activities'!L512,624)-MAX('Activities'!K512,618))</x:f>
        <x:v>0</x:v>
      </x:c>
      <x:c r="DE512" s="22" t="n">
        <x:f>MAX(0,MIN('Activities'!L512,630)-MAX('Activities'!K512,624))</x:f>
        <x:v>0</x:v>
      </x:c>
      <x:c r="DF512" s="22" t="n">
        <x:f>MAX(0,MIN('Activities'!L512,636)-MAX('Activities'!K512,630))</x:f>
        <x:v>0</x:v>
      </x:c>
    </x:row>
    <x:row r="513" ht="23" customHeight="1">
      <x:c r="A513" s="1" t="str">
        <x:v>T4-L07-P</x:v>
      </x:c>
      <x:c r="B513" s="1" t="str">
        <x:v>T4</x:v>
      </x:c>
      <x:c r="C513" s="1" t="str">
        <x:v>Internal plaster</x:v>
      </x:c>
      <x:c r="D513" s="1" t="str">
        <x:v>Finishes</x:v>
      </x:c>
      <x:c r="E513" s="23" t="n">
        <x:f>MAX(0,MIN('Activities'!L513,6)-MAX('Activities'!K513,0))</x:f>
        <x:v>0</x:v>
      </x:c>
      <x:c r="F513" s="23" t="n">
        <x:f>MAX(0,MIN('Activities'!L513,12)-MAX('Activities'!K513,6))</x:f>
        <x:v>0</x:v>
      </x:c>
      <x:c r="G513" s="23" t="n">
        <x:f>MAX(0,MIN('Activities'!L513,18)-MAX('Activities'!K513,12))</x:f>
        <x:v>0</x:v>
      </x:c>
      <x:c r="H513" s="23" t="n">
        <x:f>MAX(0,MIN('Activities'!L513,24)-MAX('Activities'!K513,18))</x:f>
        <x:v>0</x:v>
      </x:c>
      <x:c r="I513" s="23" t="n">
        <x:f>MAX(0,MIN('Activities'!L513,30)-MAX('Activities'!K513,24))</x:f>
        <x:v>0</x:v>
      </x:c>
      <x:c r="J513" s="23" t="n">
        <x:f>MAX(0,MIN('Activities'!L513,36)-MAX('Activities'!K513,30))</x:f>
        <x:v>0</x:v>
      </x:c>
      <x:c r="K513" s="23" t="n">
        <x:f>MAX(0,MIN('Activities'!L513,42)-MAX('Activities'!K513,36))</x:f>
        <x:v>0</x:v>
      </x:c>
      <x:c r="L513" s="23" t="n">
        <x:f>MAX(0,MIN('Activities'!L513,48)-MAX('Activities'!K513,42))</x:f>
        <x:v>0</x:v>
      </x:c>
      <x:c r="M513" s="23" t="n">
        <x:f>MAX(0,MIN('Activities'!L513,54)-MAX('Activities'!K513,48))</x:f>
        <x:v>0</x:v>
      </x:c>
      <x:c r="N513" s="23" t="n">
        <x:f>MAX(0,MIN('Activities'!L513,60)-MAX('Activities'!K513,54))</x:f>
        <x:v>0</x:v>
      </x:c>
      <x:c r="O513" s="23" t="n">
        <x:f>MAX(0,MIN('Activities'!L513,66)-MAX('Activities'!K513,60))</x:f>
        <x:v>0</x:v>
      </x:c>
      <x:c r="P513" s="23" t="n">
        <x:f>MAX(0,MIN('Activities'!L513,72)-MAX('Activities'!K513,66))</x:f>
        <x:v>0</x:v>
      </x:c>
      <x:c r="Q513" s="23" t="n">
        <x:f>MAX(0,MIN('Activities'!L513,78)-MAX('Activities'!K513,72))</x:f>
        <x:v>0</x:v>
      </x:c>
      <x:c r="R513" s="23" t="n">
        <x:f>MAX(0,MIN('Activities'!L513,84)-MAX('Activities'!K513,78))</x:f>
        <x:v>0</x:v>
      </x:c>
      <x:c r="S513" s="23" t="n">
        <x:f>MAX(0,MIN('Activities'!L513,90)-MAX('Activities'!K513,84))</x:f>
        <x:v>0</x:v>
      </x:c>
      <x:c r="T513" s="23" t="n">
        <x:f>MAX(0,MIN('Activities'!L513,96)-MAX('Activities'!K513,90))</x:f>
        <x:v>0</x:v>
      </x:c>
      <x:c r="U513" s="23" t="n">
        <x:f>MAX(0,MIN('Activities'!L513,102)-MAX('Activities'!K513,96))</x:f>
        <x:v>0</x:v>
      </x:c>
      <x:c r="V513" s="23" t="n">
        <x:f>MAX(0,MIN('Activities'!L513,108)-MAX('Activities'!K513,102))</x:f>
        <x:v>0</x:v>
      </x:c>
      <x:c r="W513" s="23" t="n">
        <x:f>MAX(0,MIN('Activities'!L513,114)-MAX('Activities'!K513,108))</x:f>
        <x:v>0</x:v>
      </x:c>
      <x:c r="X513" s="23" t="n">
        <x:f>MAX(0,MIN('Activities'!L513,120)-MAX('Activities'!K513,114))</x:f>
        <x:v>0</x:v>
      </x:c>
      <x:c r="Y513" s="23" t="n">
        <x:f>MAX(0,MIN('Activities'!L513,126)-MAX('Activities'!K513,120))</x:f>
        <x:v>0</x:v>
      </x:c>
      <x:c r="Z513" s="23" t="n">
        <x:f>MAX(0,MIN('Activities'!L513,132)-MAX('Activities'!K513,126))</x:f>
        <x:v>0</x:v>
      </x:c>
      <x:c r="AA513" s="23" t="n">
        <x:f>MAX(0,MIN('Activities'!L513,138)-MAX('Activities'!K513,132))</x:f>
        <x:v>0</x:v>
      </x:c>
      <x:c r="AB513" s="23" t="n">
        <x:f>MAX(0,MIN('Activities'!L513,144)-MAX('Activities'!K513,138))</x:f>
        <x:v>0</x:v>
      </x:c>
      <x:c r="AC513" s="23" t="n">
        <x:f>MAX(0,MIN('Activities'!L513,150)-MAX('Activities'!K513,144))</x:f>
        <x:v>0</x:v>
      </x:c>
      <x:c r="AD513" s="23" t="n">
        <x:f>MAX(0,MIN('Activities'!L513,156)-MAX('Activities'!K513,150))</x:f>
        <x:v>0</x:v>
      </x:c>
      <x:c r="AE513" s="23" t="n">
        <x:f>MAX(0,MIN('Activities'!L513,162)-MAX('Activities'!K513,156))</x:f>
        <x:v>0</x:v>
      </x:c>
      <x:c r="AF513" s="23" t="n">
        <x:f>MAX(0,MIN('Activities'!L513,168)-MAX('Activities'!K513,162))</x:f>
        <x:v>0</x:v>
      </x:c>
      <x:c r="AG513" s="23" t="n">
        <x:f>MAX(0,MIN('Activities'!L513,174)-MAX('Activities'!K513,168))</x:f>
        <x:v>0</x:v>
      </x:c>
      <x:c r="AH513" s="23" t="n">
        <x:f>MAX(0,MIN('Activities'!L513,180)-MAX('Activities'!K513,174))</x:f>
        <x:v>0</x:v>
      </x:c>
      <x:c r="AI513" s="23" t="n">
        <x:f>MAX(0,MIN('Activities'!L513,186)-MAX('Activities'!K513,180))</x:f>
        <x:v>0</x:v>
      </x:c>
      <x:c r="AJ513" s="23" t="n">
        <x:f>MAX(0,MIN('Activities'!L513,192)-MAX('Activities'!K513,186))</x:f>
        <x:v>0</x:v>
      </x:c>
      <x:c r="AK513" s="23" t="n">
        <x:f>MAX(0,MIN('Activities'!L513,198)-MAX('Activities'!K513,192))</x:f>
        <x:v>0</x:v>
      </x:c>
      <x:c r="AL513" s="23" t="n">
        <x:f>MAX(0,MIN('Activities'!L513,204)-MAX('Activities'!K513,198))</x:f>
        <x:v>0</x:v>
      </x:c>
      <x:c r="AM513" s="23" t="n">
        <x:f>MAX(0,MIN('Activities'!L513,210)-MAX('Activities'!K513,204))</x:f>
        <x:v>0</x:v>
      </x:c>
      <x:c r="AN513" s="23" t="n">
        <x:f>MAX(0,MIN('Activities'!L513,216)-MAX('Activities'!K513,210))</x:f>
        <x:v>0</x:v>
      </x:c>
      <x:c r="AO513" s="23" t="n">
        <x:f>MAX(0,MIN('Activities'!L513,222)-MAX('Activities'!K513,216))</x:f>
        <x:v>0</x:v>
      </x:c>
      <x:c r="AP513" s="23" t="n">
        <x:f>MAX(0,MIN('Activities'!L513,228)-MAX('Activities'!K513,222))</x:f>
        <x:v>0</x:v>
      </x:c>
      <x:c r="AQ513" s="23" t="n">
        <x:f>MAX(0,MIN('Activities'!L513,234)-MAX('Activities'!K513,228))</x:f>
        <x:v>0</x:v>
      </x:c>
      <x:c r="AR513" s="23" t="n">
        <x:f>MAX(0,MIN('Activities'!L513,240)-MAX('Activities'!K513,234))</x:f>
        <x:v>0</x:v>
      </x:c>
      <x:c r="AS513" s="23" t="n">
        <x:f>MAX(0,MIN('Activities'!L513,246)-MAX('Activities'!K513,240))</x:f>
        <x:v>0</x:v>
      </x:c>
      <x:c r="AT513" s="23" t="n">
        <x:f>MAX(0,MIN('Activities'!L513,252)-MAX('Activities'!K513,246))</x:f>
        <x:v>0</x:v>
      </x:c>
      <x:c r="AU513" s="23" t="n">
        <x:f>MAX(0,MIN('Activities'!L513,258)-MAX('Activities'!K513,252))</x:f>
        <x:v>0</x:v>
      </x:c>
      <x:c r="AV513" s="23" t="n">
        <x:f>MAX(0,MIN('Activities'!L513,264)-MAX('Activities'!K513,258))</x:f>
        <x:v>0</x:v>
      </x:c>
      <x:c r="AW513" s="23" t="n">
        <x:f>MAX(0,MIN('Activities'!L513,270)-MAX('Activities'!K513,264))</x:f>
        <x:v>0</x:v>
      </x:c>
      <x:c r="AX513" s="23" t="n">
        <x:f>MAX(0,MIN('Activities'!L513,276)-MAX('Activities'!K513,270))</x:f>
        <x:v>0</x:v>
      </x:c>
      <x:c r="AY513" s="23" t="n">
        <x:f>MAX(0,MIN('Activities'!L513,282)-MAX('Activities'!K513,276))</x:f>
        <x:v>0</x:v>
      </x:c>
      <x:c r="AZ513" s="23" t="n">
        <x:f>MAX(0,MIN('Activities'!L513,288)-MAX('Activities'!K513,282))</x:f>
        <x:v>0</x:v>
      </x:c>
      <x:c r="BA513" s="23" t="n">
        <x:f>MAX(0,MIN('Activities'!L513,294)-MAX('Activities'!K513,288))</x:f>
        <x:v>0</x:v>
      </x:c>
      <x:c r="BB513" s="23" t="n">
        <x:f>MAX(0,MIN('Activities'!L513,300)-MAX('Activities'!K513,294))</x:f>
        <x:v>0</x:v>
      </x:c>
      <x:c r="BC513" s="23" t="n">
        <x:f>MAX(0,MIN('Activities'!L513,306)-MAX('Activities'!K513,300))</x:f>
        <x:v>0</x:v>
      </x:c>
      <x:c r="BD513" s="23" t="n">
        <x:f>MAX(0,MIN('Activities'!L513,312)-MAX('Activities'!K513,306))</x:f>
        <x:v>0</x:v>
      </x:c>
      <x:c r="BE513" s="23" t="n">
        <x:f>MAX(0,MIN('Activities'!L513,318)-MAX('Activities'!K513,312))</x:f>
        <x:v>0</x:v>
      </x:c>
      <x:c r="BF513" s="23" t="n">
        <x:f>MAX(0,MIN('Activities'!L513,324)-MAX('Activities'!K513,318))</x:f>
        <x:v>0</x:v>
      </x:c>
      <x:c r="BG513" s="23" t="n">
        <x:f>MAX(0,MIN('Activities'!L513,330)-MAX('Activities'!K513,324))</x:f>
        <x:v>0</x:v>
      </x:c>
      <x:c r="BH513" s="23" t="n">
        <x:f>MAX(0,MIN('Activities'!L513,336)-MAX('Activities'!K513,330))</x:f>
        <x:v>0</x:v>
      </x:c>
      <x:c r="BI513" s="23" t="n">
        <x:f>MAX(0,MIN('Activities'!L513,342)-MAX('Activities'!K513,336))</x:f>
        <x:v>0</x:v>
      </x:c>
      <x:c r="BJ513" s="23" t="n">
        <x:f>MAX(0,MIN('Activities'!L513,348)-MAX('Activities'!K513,342))</x:f>
        <x:v>0</x:v>
      </x:c>
      <x:c r="BK513" s="23" t="n">
        <x:f>MAX(0,MIN('Activities'!L513,354)-MAX('Activities'!K513,348))</x:f>
        <x:v>0</x:v>
      </x:c>
      <x:c r="BL513" s="23" t="n">
        <x:f>MAX(0,MIN('Activities'!L513,360)-MAX('Activities'!K513,354))</x:f>
        <x:v>0</x:v>
      </x:c>
      <x:c r="BM513" s="23" t="n">
        <x:f>MAX(0,MIN('Activities'!L513,366)-MAX('Activities'!K513,360))</x:f>
        <x:v>0</x:v>
      </x:c>
      <x:c r="BN513" s="23" t="n">
        <x:f>MAX(0,MIN('Activities'!L513,372)-MAX('Activities'!K513,366))</x:f>
        <x:v>0</x:v>
      </x:c>
      <x:c r="BO513" s="23" t="n">
        <x:f>MAX(0,MIN('Activities'!L513,378)-MAX('Activities'!K513,372))</x:f>
        <x:v>0</x:v>
      </x:c>
      <x:c r="BP513" s="23" t="n">
        <x:f>MAX(0,MIN('Activities'!L513,384)-MAX('Activities'!K513,378))</x:f>
        <x:v>3</x:v>
      </x:c>
      <x:c r="BQ513" s="23" t="n">
        <x:f>MAX(0,MIN('Activities'!L513,390)-MAX('Activities'!K513,384))</x:f>
        <x:v>3</x:v>
      </x:c>
      <x:c r="BR513" s="23" t="n">
        <x:f>MAX(0,MIN('Activities'!L513,396)-MAX('Activities'!K513,390))</x:f>
        <x:v>0</x:v>
      </x:c>
      <x:c r="BS513" s="23" t="n">
        <x:f>MAX(0,MIN('Activities'!L513,402)-MAX('Activities'!K513,396))</x:f>
        <x:v>0</x:v>
      </x:c>
      <x:c r="BT513" s="23" t="n">
        <x:f>MAX(0,MIN('Activities'!L513,408)-MAX('Activities'!K513,402))</x:f>
        <x:v>0</x:v>
      </x:c>
      <x:c r="BU513" s="23" t="n">
        <x:f>MAX(0,MIN('Activities'!L513,414)-MAX('Activities'!K513,408))</x:f>
        <x:v>0</x:v>
      </x:c>
      <x:c r="BV513" s="23" t="n">
        <x:f>MAX(0,MIN('Activities'!L513,420)-MAX('Activities'!K513,414))</x:f>
        <x:v>0</x:v>
      </x:c>
      <x:c r="BW513" s="23" t="n">
        <x:f>MAX(0,MIN('Activities'!L513,426)-MAX('Activities'!K513,420))</x:f>
        <x:v>0</x:v>
      </x:c>
      <x:c r="BX513" s="23" t="n">
        <x:f>MAX(0,MIN('Activities'!L513,432)-MAX('Activities'!K513,426))</x:f>
        <x:v>0</x:v>
      </x:c>
      <x:c r="BY513" s="23" t="n">
        <x:f>MAX(0,MIN('Activities'!L513,438)-MAX('Activities'!K513,432))</x:f>
        <x:v>0</x:v>
      </x:c>
      <x:c r="BZ513" s="23" t="n">
        <x:f>MAX(0,MIN('Activities'!L513,444)-MAX('Activities'!K513,438))</x:f>
        <x:v>0</x:v>
      </x:c>
      <x:c r="CA513" s="23" t="n">
        <x:f>MAX(0,MIN('Activities'!L513,450)-MAX('Activities'!K513,444))</x:f>
        <x:v>0</x:v>
      </x:c>
      <x:c r="CB513" s="23" t="n">
        <x:f>MAX(0,MIN('Activities'!L513,456)-MAX('Activities'!K513,450))</x:f>
        <x:v>0</x:v>
      </x:c>
      <x:c r="CC513" s="23" t="n">
        <x:f>MAX(0,MIN('Activities'!L513,462)-MAX('Activities'!K513,456))</x:f>
        <x:v>0</x:v>
      </x:c>
      <x:c r="CD513" s="23" t="n">
        <x:f>MAX(0,MIN('Activities'!L513,468)-MAX('Activities'!K513,462))</x:f>
        <x:v>0</x:v>
      </x:c>
      <x:c r="CE513" s="23" t="n">
        <x:f>MAX(0,MIN('Activities'!L513,474)-MAX('Activities'!K513,468))</x:f>
        <x:v>0</x:v>
      </x:c>
      <x:c r="CF513" s="23" t="n">
        <x:f>MAX(0,MIN('Activities'!L513,480)-MAX('Activities'!K513,474))</x:f>
        <x:v>0</x:v>
      </x:c>
      <x:c r="CG513" s="23" t="n">
        <x:f>MAX(0,MIN('Activities'!L513,486)-MAX('Activities'!K513,480))</x:f>
        <x:v>0</x:v>
      </x:c>
      <x:c r="CH513" s="23" t="n">
        <x:f>MAX(0,MIN('Activities'!L513,492)-MAX('Activities'!K513,486))</x:f>
        <x:v>0</x:v>
      </x:c>
      <x:c r="CI513" s="23" t="n">
        <x:f>MAX(0,MIN('Activities'!L513,498)-MAX('Activities'!K513,492))</x:f>
        <x:v>0</x:v>
      </x:c>
      <x:c r="CJ513" s="23" t="n">
        <x:f>MAX(0,MIN('Activities'!L513,504)-MAX('Activities'!K513,498))</x:f>
        <x:v>0</x:v>
      </x:c>
      <x:c r="CK513" s="23" t="n">
        <x:f>MAX(0,MIN('Activities'!L513,510)-MAX('Activities'!K513,504))</x:f>
        <x:v>0</x:v>
      </x:c>
      <x:c r="CL513" s="23" t="n">
        <x:f>MAX(0,MIN('Activities'!L513,516)-MAX('Activities'!K513,510))</x:f>
        <x:v>0</x:v>
      </x:c>
      <x:c r="CM513" s="23" t="n">
        <x:f>MAX(0,MIN('Activities'!L513,522)-MAX('Activities'!K513,516))</x:f>
        <x:v>0</x:v>
      </x:c>
      <x:c r="CN513" s="23" t="n">
        <x:f>MAX(0,MIN('Activities'!L513,528)-MAX('Activities'!K513,522))</x:f>
        <x:v>0</x:v>
      </x:c>
      <x:c r="CO513" s="23" t="n">
        <x:f>MAX(0,MIN('Activities'!L513,534)-MAX('Activities'!K513,528))</x:f>
        <x:v>0</x:v>
      </x:c>
      <x:c r="CP513" s="23" t="n">
        <x:f>MAX(0,MIN('Activities'!L513,540)-MAX('Activities'!K513,534))</x:f>
        <x:v>0</x:v>
      </x:c>
      <x:c r="CQ513" s="23" t="n">
        <x:f>MAX(0,MIN('Activities'!L513,546)-MAX('Activities'!K513,540))</x:f>
        <x:v>0</x:v>
      </x:c>
      <x:c r="CR513" s="23" t="n">
        <x:f>MAX(0,MIN('Activities'!L513,552)-MAX('Activities'!K513,546))</x:f>
        <x:v>0</x:v>
      </x:c>
      <x:c r="CS513" s="23" t="n">
        <x:f>MAX(0,MIN('Activities'!L513,558)-MAX('Activities'!K513,552))</x:f>
        <x:v>0</x:v>
      </x:c>
      <x:c r="CT513" s="23" t="n">
        <x:f>MAX(0,MIN('Activities'!L513,564)-MAX('Activities'!K513,558))</x:f>
        <x:v>0</x:v>
      </x:c>
      <x:c r="CU513" s="23" t="n">
        <x:f>MAX(0,MIN('Activities'!L513,570)-MAX('Activities'!K513,564))</x:f>
        <x:v>0</x:v>
      </x:c>
      <x:c r="CV513" s="23" t="n">
        <x:f>MAX(0,MIN('Activities'!L513,576)-MAX('Activities'!K513,570))</x:f>
        <x:v>0</x:v>
      </x:c>
      <x:c r="CW513" s="23" t="n">
        <x:f>MAX(0,MIN('Activities'!L513,582)-MAX('Activities'!K513,576))</x:f>
        <x:v>0</x:v>
      </x:c>
      <x:c r="CX513" s="23" t="n">
        <x:f>MAX(0,MIN('Activities'!L513,588)-MAX('Activities'!K513,582))</x:f>
        <x:v>0</x:v>
      </x:c>
      <x:c r="CY513" s="23" t="n">
        <x:f>MAX(0,MIN('Activities'!L513,594)-MAX('Activities'!K513,588))</x:f>
        <x:v>0</x:v>
      </x:c>
      <x:c r="CZ513" s="23" t="n">
        <x:f>MAX(0,MIN('Activities'!L513,600)-MAX('Activities'!K513,594))</x:f>
        <x:v>0</x:v>
      </x:c>
      <x:c r="DA513" s="23" t="n">
        <x:f>MAX(0,MIN('Activities'!L513,606)-MAX('Activities'!K513,600))</x:f>
        <x:v>0</x:v>
      </x:c>
      <x:c r="DB513" s="23" t="n">
        <x:f>MAX(0,MIN('Activities'!L513,612)-MAX('Activities'!K513,606))</x:f>
        <x:v>0</x:v>
      </x:c>
      <x:c r="DC513" s="23" t="n">
        <x:f>MAX(0,MIN('Activities'!L513,618)-MAX('Activities'!K513,612))</x:f>
        <x:v>0</x:v>
      </x:c>
      <x:c r="DD513" s="23" t="n">
        <x:f>MAX(0,MIN('Activities'!L513,624)-MAX('Activities'!K513,618))</x:f>
        <x:v>0</x:v>
      </x:c>
      <x:c r="DE513" s="23" t="n">
        <x:f>MAX(0,MIN('Activities'!L513,630)-MAX('Activities'!K513,624))</x:f>
        <x:v>0</x:v>
      </x:c>
      <x:c r="DF513" s="23" t="n">
        <x:f>MAX(0,MIN('Activities'!L513,636)-MAX('Activities'!K513,630))</x:f>
        <x:v>0</x:v>
      </x:c>
    </x:row>
    <x:row r="514" ht="23" customHeight="1">
      <x:c r="A514" s="6" t="str">
        <x:v>T4-L07-S</x:v>
      </x:c>
      <x:c r="B514" s="6" t="str">
        <x:v>T4</x:v>
      </x:c>
      <x:c r="C514" s="6" t="str">
        <x:v>Screed and substrate preparation</x:v>
      </x:c>
      <x:c r="D514" s="6" t="str">
        <x:v>Finishes</x:v>
      </x:c>
      <x:c r="E514" s="22" t="n">
        <x:f>MAX(0,MIN('Activities'!L514,6)-MAX('Activities'!K514,0))</x:f>
        <x:v>0</x:v>
      </x:c>
      <x:c r="F514" s="22" t="n">
        <x:f>MAX(0,MIN('Activities'!L514,12)-MAX('Activities'!K514,6))</x:f>
        <x:v>0</x:v>
      </x:c>
      <x:c r="G514" s="22" t="n">
        <x:f>MAX(0,MIN('Activities'!L514,18)-MAX('Activities'!K514,12))</x:f>
        <x:v>0</x:v>
      </x:c>
      <x:c r="H514" s="22" t="n">
        <x:f>MAX(0,MIN('Activities'!L514,24)-MAX('Activities'!K514,18))</x:f>
        <x:v>0</x:v>
      </x:c>
      <x:c r="I514" s="22" t="n">
        <x:f>MAX(0,MIN('Activities'!L514,30)-MAX('Activities'!K514,24))</x:f>
        <x:v>0</x:v>
      </x:c>
      <x:c r="J514" s="22" t="n">
        <x:f>MAX(0,MIN('Activities'!L514,36)-MAX('Activities'!K514,30))</x:f>
        <x:v>0</x:v>
      </x:c>
      <x:c r="K514" s="22" t="n">
        <x:f>MAX(0,MIN('Activities'!L514,42)-MAX('Activities'!K514,36))</x:f>
        <x:v>0</x:v>
      </x:c>
      <x:c r="L514" s="22" t="n">
        <x:f>MAX(0,MIN('Activities'!L514,48)-MAX('Activities'!K514,42))</x:f>
        <x:v>0</x:v>
      </x:c>
      <x:c r="M514" s="22" t="n">
        <x:f>MAX(0,MIN('Activities'!L514,54)-MAX('Activities'!K514,48))</x:f>
        <x:v>0</x:v>
      </x:c>
      <x:c r="N514" s="22" t="n">
        <x:f>MAX(0,MIN('Activities'!L514,60)-MAX('Activities'!K514,54))</x:f>
        <x:v>0</x:v>
      </x:c>
      <x:c r="O514" s="22" t="n">
        <x:f>MAX(0,MIN('Activities'!L514,66)-MAX('Activities'!K514,60))</x:f>
        <x:v>0</x:v>
      </x:c>
      <x:c r="P514" s="22" t="n">
        <x:f>MAX(0,MIN('Activities'!L514,72)-MAX('Activities'!K514,66))</x:f>
        <x:v>0</x:v>
      </x:c>
      <x:c r="Q514" s="22" t="n">
        <x:f>MAX(0,MIN('Activities'!L514,78)-MAX('Activities'!K514,72))</x:f>
        <x:v>0</x:v>
      </x:c>
      <x:c r="R514" s="22" t="n">
        <x:f>MAX(0,MIN('Activities'!L514,84)-MAX('Activities'!K514,78))</x:f>
        <x:v>0</x:v>
      </x:c>
      <x:c r="S514" s="22" t="n">
        <x:f>MAX(0,MIN('Activities'!L514,90)-MAX('Activities'!K514,84))</x:f>
        <x:v>0</x:v>
      </x:c>
      <x:c r="T514" s="22" t="n">
        <x:f>MAX(0,MIN('Activities'!L514,96)-MAX('Activities'!K514,90))</x:f>
        <x:v>0</x:v>
      </x:c>
      <x:c r="U514" s="22" t="n">
        <x:f>MAX(0,MIN('Activities'!L514,102)-MAX('Activities'!K514,96))</x:f>
        <x:v>0</x:v>
      </x:c>
      <x:c r="V514" s="22" t="n">
        <x:f>MAX(0,MIN('Activities'!L514,108)-MAX('Activities'!K514,102))</x:f>
        <x:v>0</x:v>
      </x:c>
      <x:c r="W514" s="22" t="n">
        <x:f>MAX(0,MIN('Activities'!L514,114)-MAX('Activities'!K514,108))</x:f>
        <x:v>0</x:v>
      </x:c>
      <x:c r="X514" s="22" t="n">
        <x:f>MAX(0,MIN('Activities'!L514,120)-MAX('Activities'!K514,114))</x:f>
        <x:v>0</x:v>
      </x:c>
      <x:c r="Y514" s="22" t="n">
        <x:f>MAX(0,MIN('Activities'!L514,126)-MAX('Activities'!K514,120))</x:f>
        <x:v>0</x:v>
      </x:c>
      <x:c r="Z514" s="22" t="n">
        <x:f>MAX(0,MIN('Activities'!L514,132)-MAX('Activities'!K514,126))</x:f>
        <x:v>0</x:v>
      </x:c>
      <x:c r="AA514" s="22" t="n">
        <x:f>MAX(0,MIN('Activities'!L514,138)-MAX('Activities'!K514,132))</x:f>
        <x:v>0</x:v>
      </x:c>
      <x:c r="AB514" s="22" t="n">
        <x:f>MAX(0,MIN('Activities'!L514,144)-MAX('Activities'!K514,138))</x:f>
        <x:v>0</x:v>
      </x:c>
      <x:c r="AC514" s="22" t="n">
        <x:f>MAX(0,MIN('Activities'!L514,150)-MAX('Activities'!K514,144))</x:f>
        <x:v>0</x:v>
      </x:c>
      <x:c r="AD514" s="22" t="n">
        <x:f>MAX(0,MIN('Activities'!L514,156)-MAX('Activities'!K514,150))</x:f>
        <x:v>0</x:v>
      </x:c>
      <x:c r="AE514" s="22" t="n">
        <x:f>MAX(0,MIN('Activities'!L514,162)-MAX('Activities'!K514,156))</x:f>
        <x:v>0</x:v>
      </x:c>
      <x:c r="AF514" s="22" t="n">
        <x:f>MAX(0,MIN('Activities'!L514,168)-MAX('Activities'!K514,162))</x:f>
        <x:v>0</x:v>
      </x:c>
      <x:c r="AG514" s="22" t="n">
        <x:f>MAX(0,MIN('Activities'!L514,174)-MAX('Activities'!K514,168))</x:f>
        <x:v>0</x:v>
      </x:c>
      <x:c r="AH514" s="22" t="n">
        <x:f>MAX(0,MIN('Activities'!L514,180)-MAX('Activities'!K514,174))</x:f>
        <x:v>0</x:v>
      </x:c>
      <x:c r="AI514" s="22" t="n">
        <x:f>MAX(0,MIN('Activities'!L514,186)-MAX('Activities'!K514,180))</x:f>
        <x:v>0</x:v>
      </x:c>
      <x:c r="AJ514" s="22" t="n">
        <x:f>MAX(0,MIN('Activities'!L514,192)-MAX('Activities'!K514,186))</x:f>
        <x:v>0</x:v>
      </x:c>
      <x:c r="AK514" s="22" t="n">
        <x:f>MAX(0,MIN('Activities'!L514,198)-MAX('Activities'!K514,192))</x:f>
        <x:v>0</x:v>
      </x:c>
      <x:c r="AL514" s="22" t="n">
        <x:f>MAX(0,MIN('Activities'!L514,204)-MAX('Activities'!K514,198))</x:f>
        <x:v>0</x:v>
      </x:c>
      <x:c r="AM514" s="22" t="n">
        <x:f>MAX(0,MIN('Activities'!L514,210)-MAX('Activities'!K514,204))</x:f>
        <x:v>0</x:v>
      </x:c>
      <x:c r="AN514" s="22" t="n">
        <x:f>MAX(0,MIN('Activities'!L514,216)-MAX('Activities'!K514,210))</x:f>
        <x:v>0</x:v>
      </x:c>
      <x:c r="AO514" s="22" t="n">
        <x:f>MAX(0,MIN('Activities'!L514,222)-MAX('Activities'!K514,216))</x:f>
        <x:v>0</x:v>
      </x:c>
      <x:c r="AP514" s="22" t="n">
        <x:f>MAX(0,MIN('Activities'!L514,228)-MAX('Activities'!K514,222))</x:f>
        <x:v>0</x:v>
      </x:c>
      <x:c r="AQ514" s="22" t="n">
        <x:f>MAX(0,MIN('Activities'!L514,234)-MAX('Activities'!K514,228))</x:f>
        <x:v>0</x:v>
      </x:c>
      <x:c r="AR514" s="22" t="n">
        <x:f>MAX(0,MIN('Activities'!L514,240)-MAX('Activities'!K514,234))</x:f>
        <x:v>0</x:v>
      </x:c>
      <x:c r="AS514" s="22" t="n">
        <x:f>MAX(0,MIN('Activities'!L514,246)-MAX('Activities'!K514,240))</x:f>
        <x:v>0</x:v>
      </x:c>
      <x:c r="AT514" s="22" t="n">
        <x:f>MAX(0,MIN('Activities'!L514,252)-MAX('Activities'!K514,246))</x:f>
        <x:v>0</x:v>
      </x:c>
      <x:c r="AU514" s="22" t="n">
        <x:f>MAX(0,MIN('Activities'!L514,258)-MAX('Activities'!K514,252))</x:f>
        <x:v>0</x:v>
      </x:c>
      <x:c r="AV514" s="22" t="n">
        <x:f>MAX(0,MIN('Activities'!L514,264)-MAX('Activities'!K514,258))</x:f>
        <x:v>0</x:v>
      </x:c>
      <x:c r="AW514" s="22" t="n">
        <x:f>MAX(0,MIN('Activities'!L514,270)-MAX('Activities'!K514,264))</x:f>
        <x:v>0</x:v>
      </x:c>
      <x:c r="AX514" s="22" t="n">
        <x:f>MAX(0,MIN('Activities'!L514,276)-MAX('Activities'!K514,270))</x:f>
        <x:v>0</x:v>
      </x:c>
      <x:c r="AY514" s="22" t="n">
        <x:f>MAX(0,MIN('Activities'!L514,282)-MAX('Activities'!K514,276))</x:f>
        <x:v>0</x:v>
      </x:c>
      <x:c r="AZ514" s="22" t="n">
        <x:f>MAX(0,MIN('Activities'!L514,288)-MAX('Activities'!K514,282))</x:f>
        <x:v>0</x:v>
      </x:c>
      <x:c r="BA514" s="22" t="n">
        <x:f>MAX(0,MIN('Activities'!L514,294)-MAX('Activities'!K514,288))</x:f>
        <x:v>0</x:v>
      </x:c>
      <x:c r="BB514" s="22" t="n">
        <x:f>MAX(0,MIN('Activities'!L514,300)-MAX('Activities'!K514,294))</x:f>
        <x:v>0</x:v>
      </x:c>
      <x:c r="BC514" s="22" t="n">
        <x:f>MAX(0,MIN('Activities'!L514,306)-MAX('Activities'!K514,300))</x:f>
        <x:v>0</x:v>
      </x:c>
      <x:c r="BD514" s="22" t="n">
        <x:f>MAX(0,MIN('Activities'!L514,312)-MAX('Activities'!K514,306))</x:f>
        <x:v>0</x:v>
      </x:c>
      <x:c r="BE514" s="22" t="n">
        <x:f>MAX(0,MIN('Activities'!L514,318)-MAX('Activities'!K514,312))</x:f>
        <x:v>0</x:v>
      </x:c>
      <x:c r="BF514" s="22" t="n">
        <x:f>MAX(0,MIN('Activities'!L514,324)-MAX('Activities'!K514,318))</x:f>
        <x:v>0</x:v>
      </x:c>
      <x:c r="BG514" s="22" t="n">
        <x:f>MAX(0,MIN('Activities'!L514,330)-MAX('Activities'!K514,324))</x:f>
        <x:v>0</x:v>
      </x:c>
      <x:c r="BH514" s="22" t="n">
        <x:f>MAX(0,MIN('Activities'!L514,336)-MAX('Activities'!K514,330))</x:f>
        <x:v>0</x:v>
      </x:c>
      <x:c r="BI514" s="22" t="n">
        <x:f>MAX(0,MIN('Activities'!L514,342)-MAX('Activities'!K514,336))</x:f>
        <x:v>0</x:v>
      </x:c>
      <x:c r="BJ514" s="22" t="n">
        <x:f>MAX(0,MIN('Activities'!L514,348)-MAX('Activities'!K514,342))</x:f>
        <x:v>0</x:v>
      </x:c>
      <x:c r="BK514" s="22" t="n">
        <x:f>MAX(0,MIN('Activities'!L514,354)-MAX('Activities'!K514,348))</x:f>
        <x:v>0</x:v>
      </x:c>
      <x:c r="BL514" s="22" t="n">
        <x:f>MAX(0,MIN('Activities'!L514,360)-MAX('Activities'!K514,354))</x:f>
        <x:v>0</x:v>
      </x:c>
      <x:c r="BM514" s="22" t="n">
        <x:f>MAX(0,MIN('Activities'!L514,366)-MAX('Activities'!K514,360))</x:f>
        <x:v>0</x:v>
      </x:c>
      <x:c r="BN514" s="22" t="n">
        <x:f>MAX(0,MIN('Activities'!L514,372)-MAX('Activities'!K514,366))</x:f>
        <x:v>0</x:v>
      </x:c>
      <x:c r="BO514" s="22" t="n">
        <x:f>MAX(0,MIN('Activities'!L514,378)-MAX('Activities'!K514,372))</x:f>
        <x:v>0</x:v>
      </x:c>
      <x:c r="BP514" s="22" t="n">
        <x:f>MAX(0,MIN('Activities'!L514,384)-MAX('Activities'!K514,378))</x:f>
        <x:v>0</x:v>
      </x:c>
      <x:c r="BQ514" s="22" t="n">
        <x:f>MAX(0,MIN('Activities'!L514,390)-MAX('Activities'!K514,384))</x:f>
        <x:v>1</x:v>
      </x:c>
      <x:c r="BR514" s="22" t="n">
        <x:f>MAX(0,MIN('Activities'!L514,396)-MAX('Activities'!K514,390))</x:f>
        <x:v>2</x:v>
      </x:c>
      <x:c r="BS514" s="22" t="n">
        <x:f>MAX(0,MIN('Activities'!L514,402)-MAX('Activities'!K514,396))</x:f>
        <x:v>0</x:v>
      </x:c>
      <x:c r="BT514" s="22" t="n">
        <x:f>MAX(0,MIN('Activities'!L514,408)-MAX('Activities'!K514,402))</x:f>
        <x:v>0</x:v>
      </x:c>
      <x:c r="BU514" s="22" t="n">
        <x:f>MAX(0,MIN('Activities'!L514,414)-MAX('Activities'!K514,408))</x:f>
        <x:v>0</x:v>
      </x:c>
      <x:c r="BV514" s="22" t="n">
        <x:f>MAX(0,MIN('Activities'!L514,420)-MAX('Activities'!K514,414))</x:f>
        <x:v>0</x:v>
      </x:c>
      <x:c r="BW514" s="22" t="n">
        <x:f>MAX(0,MIN('Activities'!L514,426)-MAX('Activities'!K514,420))</x:f>
        <x:v>0</x:v>
      </x:c>
      <x:c r="BX514" s="22" t="n">
        <x:f>MAX(0,MIN('Activities'!L514,432)-MAX('Activities'!K514,426))</x:f>
        <x:v>0</x:v>
      </x:c>
      <x:c r="BY514" s="22" t="n">
        <x:f>MAX(0,MIN('Activities'!L514,438)-MAX('Activities'!K514,432))</x:f>
        <x:v>0</x:v>
      </x:c>
      <x:c r="BZ514" s="22" t="n">
        <x:f>MAX(0,MIN('Activities'!L514,444)-MAX('Activities'!K514,438))</x:f>
        <x:v>0</x:v>
      </x:c>
      <x:c r="CA514" s="22" t="n">
        <x:f>MAX(0,MIN('Activities'!L514,450)-MAX('Activities'!K514,444))</x:f>
        <x:v>0</x:v>
      </x:c>
      <x:c r="CB514" s="22" t="n">
        <x:f>MAX(0,MIN('Activities'!L514,456)-MAX('Activities'!K514,450))</x:f>
        <x:v>0</x:v>
      </x:c>
      <x:c r="CC514" s="22" t="n">
        <x:f>MAX(0,MIN('Activities'!L514,462)-MAX('Activities'!K514,456))</x:f>
        <x:v>0</x:v>
      </x:c>
      <x:c r="CD514" s="22" t="n">
        <x:f>MAX(0,MIN('Activities'!L514,468)-MAX('Activities'!K514,462))</x:f>
        <x:v>0</x:v>
      </x:c>
      <x:c r="CE514" s="22" t="n">
        <x:f>MAX(0,MIN('Activities'!L514,474)-MAX('Activities'!K514,468))</x:f>
        <x:v>0</x:v>
      </x:c>
      <x:c r="CF514" s="22" t="n">
        <x:f>MAX(0,MIN('Activities'!L514,480)-MAX('Activities'!K514,474))</x:f>
        <x:v>0</x:v>
      </x:c>
      <x:c r="CG514" s="22" t="n">
        <x:f>MAX(0,MIN('Activities'!L514,486)-MAX('Activities'!K514,480))</x:f>
        <x:v>0</x:v>
      </x:c>
      <x:c r="CH514" s="22" t="n">
        <x:f>MAX(0,MIN('Activities'!L514,492)-MAX('Activities'!K514,486))</x:f>
        <x:v>0</x:v>
      </x:c>
      <x:c r="CI514" s="22" t="n">
        <x:f>MAX(0,MIN('Activities'!L514,498)-MAX('Activities'!K514,492))</x:f>
        <x:v>0</x:v>
      </x:c>
      <x:c r="CJ514" s="22" t="n">
        <x:f>MAX(0,MIN('Activities'!L514,504)-MAX('Activities'!K514,498))</x:f>
        <x:v>0</x:v>
      </x:c>
      <x:c r="CK514" s="22" t="n">
        <x:f>MAX(0,MIN('Activities'!L514,510)-MAX('Activities'!K514,504))</x:f>
        <x:v>0</x:v>
      </x:c>
      <x:c r="CL514" s="22" t="n">
        <x:f>MAX(0,MIN('Activities'!L514,516)-MAX('Activities'!K514,510))</x:f>
        <x:v>0</x:v>
      </x:c>
      <x:c r="CM514" s="22" t="n">
        <x:f>MAX(0,MIN('Activities'!L514,522)-MAX('Activities'!K514,516))</x:f>
        <x:v>0</x:v>
      </x:c>
      <x:c r="CN514" s="22" t="n">
        <x:f>MAX(0,MIN('Activities'!L514,528)-MAX('Activities'!K514,522))</x:f>
        <x:v>0</x:v>
      </x:c>
      <x:c r="CO514" s="22" t="n">
        <x:f>MAX(0,MIN('Activities'!L514,534)-MAX('Activities'!K514,528))</x:f>
        <x:v>0</x:v>
      </x:c>
      <x:c r="CP514" s="22" t="n">
        <x:f>MAX(0,MIN('Activities'!L514,540)-MAX('Activities'!K514,534))</x:f>
        <x:v>0</x:v>
      </x:c>
      <x:c r="CQ514" s="22" t="n">
        <x:f>MAX(0,MIN('Activities'!L514,546)-MAX('Activities'!K514,540))</x:f>
        <x:v>0</x:v>
      </x:c>
      <x:c r="CR514" s="22" t="n">
        <x:f>MAX(0,MIN('Activities'!L514,552)-MAX('Activities'!K514,546))</x:f>
        <x:v>0</x:v>
      </x:c>
      <x:c r="CS514" s="22" t="n">
        <x:f>MAX(0,MIN('Activities'!L514,558)-MAX('Activities'!K514,552))</x:f>
        <x:v>0</x:v>
      </x:c>
      <x:c r="CT514" s="22" t="n">
        <x:f>MAX(0,MIN('Activities'!L514,564)-MAX('Activities'!K514,558))</x:f>
        <x:v>0</x:v>
      </x:c>
      <x:c r="CU514" s="22" t="n">
        <x:f>MAX(0,MIN('Activities'!L514,570)-MAX('Activities'!K514,564))</x:f>
        <x:v>0</x:v>
      </x:c>
      <x:c r="CV514" s="22" t="n">
        <x:f>MAX(0,MIN('Activities'!L514,576)-MAX('Activities'!K514,570))</x:f>
        <x:v>0</x:v>
      </x:c>
      <x:c r="CW514" s="22" t="n">
        <x:f>MAX(0,MIN('Activities'!L514,582)-MAX('Activities'!K514,576))</x:f>
        <x:v>0</x:v>
      </x:c>
      <x:c r="CX514" s="22" t="n">
        <x:f>MAX(0,MIN('Activities'!L514,588)-MAX('Activities'!K514,582))</x:f>
        <x:v>0</x:v>
      </x:c>
      <x:c r="CY514" s="22" t="n">
        <x:f>MAX(0,MIN('Activities'!L514,594)-MAX('Activities'!K514,588))</x:f>
        <x:v>0</x:v>
      </x:c>
      <x:c r="CZ514" s="22" t="n">
        <x:f>MAX(0,MIN('Activities'!L514,600)-MAX('Activities'!K514,594))</x:f>
        <x:v>0</x:v>
      </x:c>
      <x:c r="DA514" s="22" t="n">
        <x:f>MAX(0,MIN('Activities'!L514,606)-MAX('Activities'!K514,600))</x:f>
        <x:v>0</x:v>
      </x:c>
      <x:c r="DB514" s="22" t="n">
        <x:f>MAX(0,MIN('Activities'!L514,612)-MAX('Activities'!K514,606))</x:f>
        <x:v>0</x:v>
      </x:c>
      <x:c r="DC514" s="22" t="n">
        <x:f>MAX(0,MIN('Activities'!L514,618)-MAX('Activities'!K514,612))</x:f>
        <x:v>0</x:v>
      </x:c>
      <x:c r="DD514" s="22" t="n">
        <x:f>MAX(0,MIN('Activities'!L514,624)-MAX('Activities'!K514,618))</x:f>
        <x:v>0</x:v>
      </x:c>
      <x:c r="DE514" s="22" t="n">
        <x:f>MAX(0,MIN('Activities'!L514,630)-MAX('Activities'!K514,624))</x:f>
        <x:v>0</x:v>
      </x:c>
      <x:c r="DF514" s="22" t="n">
        <x:f>MAX(0,MIN('Activities'!L514,636)-MAX('Activities'!K514,630))</x:f>
        <x:v>0</x:v>
      </x:c>
    </x:row>
    <x:row r="515" ht="23" customHeight="1">
      <x:c r="A515" s="1" t="str">
        <x:v>T4-L07-T</x:v>
      </x:c>
      <x:c r="B515" s="1" t="str">
        <x:v>T4</x:v>
      </x:c>
      <x:c r="C515" s="1" t="str">
        <x:v>Floor finishes and skirtings</x:v>
      </x:c>
      <x:c r="D515" s="1" t="str">
        <x:v>Finishes</x:v>
      </x:c>
      <x:c r="E515" s="23" t="n">
        <x:f>MAX(0,MIN('Activities'!L515,6)-MAX('Activities'!K515,0))</x:f>
        <x:v>0</x:v>
      </x:c>
      <x:c r="F515" s="23" t="n">
        <x:f>MAX(0,MIN('Activities'!L515,12)-MAX('Activities'!K515,6))</x:f>
        <x:v>0</x:v>
      </x:c>
      <x:c r="G515" s="23" t="n">
        <x:f>MAX(0,MIN('Activities'!L515,18)-MAX('Activities'!K515,12))</x:f>
        <x:v>0</x:v>
      </x:c>
      <x:c r="H515" s="23" t="n">
        <x:f>MAX(0,MIN('Activities'!L515,24)-MAX('Activities'!K515,18))</x:f>
        <x:v>0</x:v>
      </x:c>
      <x:c r="I515" s="23" t="n">
        <x:f>MAX(0,MIN('Activities'!L515,30)-MAX('Activities'!K515,24))</x:f>
        <x:v>0</x:v>
      </x:c>
      <x:c r="J515" s="23" t="n">
        <x:f>MAX(0,MIN('Activities'!L515,36)-MAX('Activities'!K515,30))</x:f>
        <x:v>0</x:v>
      </x:c>
      <x:c r="K515" s="23" t="n">
        <x:f>MAX(0,MIN('Activities'!L515,42)-MAX('Activities'!K515,36))</x:f>
        <x:v>0</x:v>
      </x:c>
      <x:c r="L515" s="23" t="n">
        <x:f>MAX(0,MIN('Activities'!L515,48)-MAX('Activities'!K515,42))</x:f>
        <x:v>0</x:v>
      </x:c>
      <x:c r="M515" s="23" t="n">
        <x:f>MAX(0,MIN('Activities'!L515,54)-MAX('Activities'!K515,48))</x:f>
        <x:v>0</x:v>
      </x:c>
      <x:c r="N515" s="23" t="n">
        <x:f>MAX(0,MIN('Activities'!L515,60)-MAX('Activities'!K515,54))</x:f>
        <x:v>0</x:v>
      </x:c>
      <x:c r="O515" s="23" t="n">
        <x:f>MAX(0,MIN('Activities'!L515,66)-MAX('Activities'!K515,60))</x:f>
        <x:v>0</x:v>
      </x:c>
      <x:c r="P515" s="23" t="n">
        <x:f>MAX(0,MIN('Activities'!L515,72)-MAX('Activities'!K515,66))</x:f>
        <x:v>0</x:v>
      </x:c>
      <x:c r="Q515" s="23" t="n">
        <x:f>MAX(0,MIN('Activities'!L515,78)-MAX('Activities'!K515,72))</x:f>
        <x:v>0</x:v>
      </x:c>
      <x:c r="R515" s="23" t="n">
        <x:f>MAX(0,MIN('Activities'!L515,84)-MAX('Activities'!K515,78))</x:f>
        <x:v>0</x:v>
      </x:c>
      <x:c r="S515" s="23" t="n">
        <x:f>MAX(0,MIN('Activities'!L515,90)-MAX('Activities'!K515,84))</x:f>
        <x:v>0</x:v>
      </x:c>
      <x:c r="T515" s="23" t="n">
        <x:f>MAX(0,MIN('Activities'!L515,96)-MAX('Activities'!K515,90))</x:f>
        <x:v>0</x:v>
      </x:c>
      <x:c r="U515" s="23" t="n">
        <x:f>MAX(0,MIN('Activities'!L515,102)-MAX('Activities'!K515,96))</x:f>
        <x:v>0</x:v>
      </x:c>
      <x:c r="V515" s="23" t="n">
        <x:f>MAX(0,MIN('Activities'!L515,108)-MAX('Activities'!K515,102))</x:f>
        <x:v>0</x:v>
      </x:c>
      <x:c r="W515" s="23" t="n">
        <x:f>MAX(0,MIN('Activities'!L515,114)-MAX('Activities'!K515,108))</x:f>
        <x:v>0</x:v>
      </x:c>
      <x:c r="X515" s="23" t="n">
        <x:f>MAX(0,MIN('Activities'!L515,120)-MAX('Activities'!K515,114))</x:f>
        <x:v>0</x:v>
      </x:c>
      <x:c r="Y515" s="23" t="n">
        <x:f>MAX(0,MIN('Activities'!L515,126)-MAX('Activities'!K515,120))</x:f>
        <x:v>0</x:v>
      </x:c>
      <x:c r="Z515" s="23" t="n">
        <x:f>MAX(0,MIN('Activities'!L515,132)-MAX('Activities'!K515,126))</x:f>
        <x:v>0</x:v>
      </x:c>
      <x:c r="AA515" s="23" t="n">
        <x:f>MAX(0,MIN('Activities'!L515,138)-MAX('Activities'!K515,132))</x:f>
        <x:v>0</x:v>
      </x:c>
      <x:c r="AB515" s="23" t="n">
        <x:f>MAX(0,MIN('Activities'!L515,144)-MAX('Activities'!K515,138))</x:f>
        <x:v>0</x:v>
      </x:c>
      <x:c r="AC515" s="23" t="n">
        <x:f>MAX(0,MIN('Activities'!L515,150)-MAX('Activities'!K515,144))</x:f>
        <x:v>0</x:v>
      </x:c>
      <x:c r="AD515" s="23" t="n">
        <x:f>MAX(0,MIN('Activities'!L515,156)-MAX('Activities'!K515,150))</x:f>
        <x:v>0</x:v>
      </x:c>
      <x:c r="AE515" s="23" t="n">
        <x:f>MAX(0,MIN('Activities'!L515,162)-MAX('Activities'!K515,156))</x:f>
        <x:v>0</x:v>
      </x:c>
      <x:c r="AF515" s="23" t="n">
        <x:f>MAX(0,MIN('Activities'!L515,168)-MAX('Activities'!K515,162))</x:f>
        <x:v>0</x:v>
      </x:c>
      <x:c r="AG515" s="23" t="n">
        <x:f>MAX(0,MIN('Activities'!L515,174)-MAX('Activities'!K515,168))</x:f>
        <x:v>0</x:v>
      </x:c>
      <x:c r="AH515" s="23" t="n">
        <x:f>MAX(0,MIN('Activities'!L515,180)-MAX('Activities'!K515,174))</x:f>
        <x:v>0</x:v>
      </x:c>
      <x:c r="AI515" s="23" t="n">
        <x:f>MAX(0,MIN('Activities'!L515,186)-MAX('Activities'!K515,180))</x:f>
        <x:v>0</x:v>
      </x:c>
      <x:c r="AJ515" s="23" t="n">
        <x:f>MAX(0,MIN('Activities'!L515,192)-MAX('Activities'!K515,186))</x:f>
        <x:v>0</x:v>
      </x:c>
      <x:c r="AK515" s="23" t="n">
        <x:f>MAX(0,MIN('Activities'!L515,198)-MAX('Activities'!K515,192))</x:f>
        <x:v>0</x:v>
      </x:c>
      <x:c r="AL515" s="23" t="n">
        <x:f>MAX(0,MIN('Activities'!L515,204)-MAX('Activities'!K515,198))</x:f>
        <x:v>0</x:v>
      </x:c>
      <x:c r="AM515" s="23" t="n">
        <x:f>MAX(0,MIN('Activities'!L515,210)-MAX('Activities'!K515,204))</x:f>
        <x:v>0</x:v>
      </x:c>
      <x:c r="AN515" s="23" t="n">
        <x:f>MAX(0,MIN('Activities'!L515,216)-MAX('Activities'!K515,210))</x:f>
        <x:v>0</x:v>
      </x:c>
      <x:c r="AO515" s="23" t="n">
        <x:f>MAX(0,MIN('Activities'!L515,222)-MAX('Activities'!K515,216))</x:f>
        <x:v>0</x:v>
      </x:c>
      <x:c r="AP515" s="23" t="n">
        <x:f>MAX(0,MIN('Activities'!L515,228)-MAX('Activities'!K515,222))</x:f>
        <x:v>0</x:v>
      </x:c>
      <x:c r="AQ515" s="23" t="n">
        <x:f>MAX(0,MIN('Activities'!L515,234)-MAX('Activities'!K515,228))</x:f>
        <x:v>0</x:v>
      </x:c>
      <x:c r="AR515" s="23" t="n">
        <x:f>MAX(0,MIN('Activities'!L515,240)-MAX('Activities'!K515,234))</x:f>
        <x:v>0</x:v>
      </x:c>
      <x:c r="AS515" s="23" t="n">
        <x:f>MAX(0,MIN('Activities'!L515,246)-MAX('Activities'!K515,240))</x:f>
        <x:v>0</x:v>
      </x:c>
      <x:c r="AT515" s="23" t="n">
        <x:f>MAX(0,MIN('Activities'!L515,252)-MAX('Activities'!K515,246))</x:f>
        <x:v>0</x:v>
      </x:c>
      <x:c r="AU515" s="23" t="n">
        <x:f>MAX(0,MIN('Activities'!L515,258)-MAX('Activities'!K515,252))</x:f>
        <x:v>0</x:v>
      </x:c>
      <x:c r="AV515" s="23" t="n">
        <x:f>MAX(0,MIN('Activities'!L515,264)-MAX('Activities'!K515,258))</x:f>
        <x:v>0</x:v>
      </x:c>
      <x:c r="AW515" s="23" t="n">
        <x:f>MAX(0,MIN('Activities'!L515,270)-MAX('Activities'!K515,264))</x:f>
        <x:v>0</x:v>
      </x:c>
      <x:c r="AX515" s="23" t="n">
        <x:f>MAX(0,MIN('Activities'!L515,276)-MAX('Activities'!K515,270))</x:f>
        <x:v>0</x:v>
      </x:c>
      <x:c r="AY515" s="23" t="n">
        <x:f>MAX(0,MIN('Activities'!L515,282)-MAX('Activities'!K515,276))</x:f>
        <x:v>0</x:v>
      </x:c>
      <x:c r="AZ515" s="23" t="n">
        <x:f>MAX(0,MIN('Activities'!L515,288)-MAX('Activities'!K515,282))</x:f>
        <x:v>0</x:v>
      </x:c>
      <x:c r="BA515" s="23" t="n">
        <x:f>MAX(0,MIN('Activities'!L515,294)-MAX('Activities'!K515,288))</x:f>
        <x:v>0</x:v>
      </x:c>
      <x:c r="BB515" s="23" t="n">
        <x:f>MAX(0,MIN('Activities'!L515,300)-MAX('Activities'!K515,294))</x:f>
        <x:v>0</x:v>
      </x:c>
      <x:c r="BC515" s="23" t="n">
        <x:f>MAX(0,MIN('Activities'!L515,306)-MAX('Activities'!K515,300))</x:f>
        <x:v>0</x:v>
      </x:c>
      <x:c r="BD515" s="23" t="n">
        <x:f>MAX(0,MIN('Activities'!L515,312)-MAX('Activities'!K515,306))</x:f>
        <x:v>0</x:v>
      </x:c>
      <x:c r="BE515" s="23" t="n">
        <x:f>MAX(0,MIN('Activities'!L515,318)-MAX('Activities'!K515,312))</x:f>
        <x:v>0</x:v>
      </x:c>
      <x:c r="BF515" s="23" t="n">
        <x:f>MAX(0,MIN('Activities'!L515,324)-MAX('Activities'!K515,318))</x:f>
        <x:v>0</x:v>
      </x:c>
      <x:c r="BG515" s="23" t="n">
        <x:f>MAX(0,MIN('Activities'!L515,330)-MAX('Activities'!K515,324))</x:f>
        <x:v>0</x:v>
      </x:c>
      <x:c r="BH515" s="23" t="n">
        <x:f>MAX(0,MIN('Activities'!L515,336)-MAX('Activities'!K515,330))</x:f>
        <x:v>0</x:v>
      </x:c>
      <x:c r="BI515" s="23" t="n">
        <x:f>MAX(0,MIN('Activities'!L515,342)-MAX('Activities'!K515,336))</x:f>
        <x:v>0</x:v>
      </x:c>
      <x:c r="BJ515" s="23" t="n">
        <x:f>MAX(0,MIN('Activities'!L515,348)-MAX('Activities'!K515,342))</x:f>
        <x:v>0</x:v>
      </x:c>
      <x:c r="BK515" s="23" t="n">
        <x:f>MAX(0,MIN('Activities'!L515,354)-MAX('Activities'!K515,348))</x:f>
        <x:v>0</x:v>
      </x:c>
      <x:c r="BL515" s="23" t="n">
        <x:f>MAX(0,MIN('Activities'!L515,360)-MAX('Activities'!K515,354))</x:f>
        <x:v>0</x:v>
      </x:c>
      <x:c r="BM515" s="23" t="n">
        <x:f>MAX(0,MIN('Activities'!L515,366)-MAX('Activities'!K515,360))</x:f>
        <x:v>0</x:v>
      </x:c>
      <x:c r="BN515" s="23" t="n">
        <x:f>MAX(0,MIN('Activities'!L515,372)-MAX('Activities'!K515,366))</x:f>
        <x:v>0</x:v>
      </x:c>
      <x:c r="BO515" s="23" t="n">
        <x:f>MAX(0,MIN('Activities'!L515,378)-MAX('Activities'!K515,372))</x:f>
        <x:v>0</x:v>
      </x:c>
      <x:c r="BP515" s="23" t="n">
        <x:f>MAX(0,MIN('Activities'!L515,384)-MAX('Activities'!K515,378))</x:f>
        <x:v>0</x:v>
      </x:c>
      <x:c r="BQ515" s="23" t="n">
        <x:f>MAX(0,MIN('Activities'!L515,390)-MAX('Activities'!K515,384))</x:f>
        <x:v>0</x:v>
      </x:c>
      <x:c r="BR515" s="23" t="n">
        <x:f>MAX(0,MIN('Activities'!L515,396)-MAX('Activities'!K515,390))</x:f>
        <x:v>0</x:v>
      </x:c>
      <x:c r="BS515" s="23" t="n">
        <x:f>MAX(0,MIN('Activities'!L515,402)-MAX('Activities'!K515,396))</x:f>
        <x:v>0</x:v>
      </x:c>
      <x:c r="BT515" s="23" t="n">
        <x:f>MAX(0,MIN('Activities'!L515,408)-MAX('Activities'!K515,402))</x:f>
        <x:v>0</x:v>
      </x:c>
      <x:c r="BU515" s="23" t="n">
        <x:f>MAX(0,MIN('Activities'!L515,414)-MAX('Activities'!K515,408))</x:f>
        <x:v>0</x:v>
      </x:c>
      <x:c r="BV515" s="23" t="n">
        <x:f>MAX(0,MIN('Activities'!L515,420)-MAX('Activities'!K515,414))</x:f>
        <x:v>0</x:v>
      </x:c>
      <x:c r="BW515" s="23" t="n">
        <x:f>MAX(0,MIN('Activities'!L515,426)-MAX('Activities'!K515,420))</x:f>
        <x:v>0</x:v>
      </x:c>
      <x:c r="BX515" s="23" t="n">
        <x:f>MAX(0,MIN('Activities'!L515,432)-MAX('Activities'!K515,426))</x:f>
        <x:v>0</x:v>
      </x:c>
      <x:c r="BY515" s="23" t="n">
        <x:f>MAX(0,MIN('Activities'!L515,438)-MAX('Activities'!K515,432))</x:f>
        <x:v>1</x:v>
      </x:c>
      <x:c r="BZ515" s="23" t="n">
        <x:f>MAX(0,MIN('Activities'!L515,444)-MAX('Activities'!K515,438))</x:f>
        <x:v>5</x:v>
      </x:c>
      <x:c r="CA515" s="23" t="n">
        <x:f>MAX(0,MIN('Activities'!L515,450)-MAX('Activities'!K515,444))</x:f>
        <x:v>0</x:v>
      </x:c>
      <x:c r="CB515" s="23" t="n">
        <x:f>MAX(0,MIN('Activities'!L515,456)-MAX('Activities'!K515,450))</x:f>
        <x:v>0</x:v>
      </x:c>
      <x:c r="CC515" s="23" t="n">
        <x:f>MAX(0,MIN('Activities'!L515,462)-MAX('Activities'!K515,456))</x:f>
        <x:v>0</x:v>
      </x:c>
      <x:c r="CD515" s="23" t="n">
        <x:f>MAX(0,MIN('Activities'!L515,468)-MAX('Activities'!K515,462))</x:f>
        <x:v>0</x:v>
      </x:c>
      <x:c r="CE515" s="23" t="n">
        <x:f>MAX(0,MIN('Activities'!L515,474)-MAX('Activities'!K515,468))</x:f>
        <x:v>0</x:v>
      </x:c>
      <x:c r="CF515" s="23" t="n">
        <x:f>MAX(0,MIN('Activities'!L515,480)-MAX('Activities'!K515,474))</x:f>
        <x:v>0</x:v>
      </x:c>
      <x:c r="CG515" s="23" t="n">
        <x:f>MAX(0,MIN('Activities'!L515,486)-MAX('Activities'!K515,480))</x:f>
        <x:v>0</x:v>
      </x:c>
      <x:c r="CH515" s="23" t="n">
        <x:f>MAX(0,MIN('Activities'!L515,492)-MAX('Activities'!K515,486))</x:f>
        <x:v>0</x:v>
      </x:c>
      <x:c r="CI515" s="23" t="n">
        <x:f>MAX(0,MIN('Activities'!L515,498)-MAX('Activities'!K515,492))</x:f>
        <x:v>0</x:v>
      </x:c>
      <x:c r="CJ515" s="23" t="n">
        <x:f>MAX(0,MIN('Activities'!L515,504)-MAX('Activities'!K515,498))</x:f>
        <x:v>0</x:v>
      </x:c>
      <x:c r="CK515" s="23" t="n">
        <x:f>MAX(0,MIN('Activities'!L515,510)-MAX('Activities'!K515,504))</x:f>
        <x:v>0</x:v>
      </x:c>
      <x:c r="CL515" s="23" t="n">
        <x:f>MAX(0,MIN('Activities'!L515,516)-MAX('Activities'!K515,510))</x:f>
        <x:v>0</x:v>
      </x:c>
      <x:c r="CM515" s="23" t="n">
        <x:f>MAX(0,MIN('Activities'!L515,522)-MAX('Activities'!K515,516))</x:f>
        <x:v>0</x:v>
      </x:c>
      <x:c r="CN515" s="23" t="n">
        <x:f>MAX(0,MIN('Activities'!L515,528)-MAX('Activities'!K515,522))</x:f>
        <x:v>0</x:v>
      </x:c>
      <x:c r="CO515" s="23" t="n">
        <x:f>MAX(0,MIN('Activities'!L515,534)-MAX('Activities'!K515,528))</x:f>
        <x:v>0</x:v>
      </x:c>
      <x:c r="CP515" s="23" t="n">
        <x:f>MAX(0,MIN('Activities'!L515,540)-MAX('Activities'!K515,534))</x:f>
        <x:v>0</x:v>
      </x:c>
      <x:c r="CQ515" s="23" t="n">
        <x:f>MAX(0,MIN('Activities'!L515,546)-MAX('Activities'!K515,540))</x:f>
        <x:v>0</x:v>
      </x:c>
      <x:c r="CR515" s="23" t="n">
        <x:f>MAX(0,MIN('Activities'!L515,552)-MAX('Activities'!K515,546))</x:f>
        <x:v>0</x:v>
      </x:c>
      <x:c r="CS515" s="23" t="n">
        <x:f>MAX(0,MIN('Activities'!L515,558)-MAX('Activities'!K515,552))</x:f>
        <x:v>0</x:v>
      </x:c>
      <x:c r="CT515" s="23" t="n">
        <x:f>MAX(0,MIN('Activities'!L515,564)-MAX('Activities'!K515,558))</x:f>
        <x:v>0</x:v>
      </x:c>
      <x:c r="CU515" s="23" t="n">
        <x:f>MAX(0,MIN('Activities'!L515,570)-MAX('Activities'!K515,564))</x:f>
        <x:v>0</x:v>
      </x:c>
      <x:c r="CV515" s="23" t="n">
        <x:f>MAX(0,MIN('Activities'!L515,576)-MAX('Activities'!K515,570))</x:f>
        <x:v>0</x:v>
      </x:c>
      <x:c r="CW515" s="23" t="n">
        <x:f>MAX(0,MIN('Activities'!L515,582)-MAX('Activities'!K515,576))</x:f>
        <x:v>0</x:v>
      </x:c>
      <x:c r="CX515" s="23" t="n">
        <x:f>MAX(0,MIN('Activities'!L515,588)-MAX('Activities'!K515,582))</x:f>
        <x:v>0</x:v>
      </x:c>
      <x:c r="CY515" s="23" t="n">
        <x:f>MAX(0,MIN('Activities'!L515,594)-MAX('Activities'!K515,588))</x:f>
        <x:v>0</x:v>
      </x:c>
      <x:c r="CZ515" s="23" t="n">
        <x:f>MAX(0,MIN('Activities'!L515,600)-MAX('Activities'!K515,594))</x:f>
        <x:v>0</x:v>
      </x:c>
      <x:c r="DA515" s="23" t="n">
        <x:f>MAX(0,MIN('Activities'!L515,606)-MAX('Activities'!K515,600))</x:f>
        <x:v>0</x:v>
      </x:c>
      <x:c r="DB515" s="23" t="n">
        <x:f>MAX(0,MIN('Activities'!L515,612)-MAX('Activities'!K515,606))</x:f>
        <x:v>0</x:v>
      </x:c>
      <x:c r="DC515" s="23" t="n">
        <x:f>MAX(0,MIN('Activities'!L515,618)-MAX('Activities'!K515,612))</x:f>
        <x:v>0</x:v>
      </x:c>
      <x:c r="DD515" s="23" t="n">
        <x:f>MAX(0,MIN('Activities'!L515,624)-MAX('Activities'!K515,618))</x:f>
        <x:v>0</x:v>
      </x:c>
      <x:c r="DE515" s="23" t="n">
        <x:f>MAX(0,MIN('Activities'!L515,630)-MAX('Activities'!K515,624))</x:f>
        <x:v>0</x:v>
      </x:c>
      <x:c r="DF515" s="23" t="n">
        <x:f>MAX(0,MIN('Activities'!L515,636)-MAX('Activities'!K515,630))</x:f>
        <x:v>0</x:v>
      </x:c>
    </x:row>
    <x:row r="516" ht="23" customHeight="1">
      <x:c r="A516" s="6" t="str">
        <x:v>T4-L07-A</x:v>
      </x:c>
      <x:c r="B516" s="6" t="str">
        <x:v>T4</x:v>
      </x:c>
      <x:c r="C516" s="6" t="str">
        <x:v>Paint and final decorations</x:v>
      </x:c>
      <x:c r="D516" s="6" t="str">
        <x:v>Finishes</x:v>
      </x:c>
      <x:c r="E516" s="22" t="n">
        <x:f>MAX(0,MIN('Activities'!L516,6)-MAX('Activities'!K516,0))</x:f>
        <x:v>0</x:v>
      </x:c>
      <x:c r="F516" s="22" t="n">
        <x:f>MAX(0,MIN('Activities'!L516,12)-MAX('Activities'!K516,6))</x:f>
        <x:v>0</x:v>
      </x:c>
      <x:c r="G516" s="22" t="n">
        <x:f>MAX(0,MIN('Activities'!L516,18)-MAX('Activities'!K516,12))</x:f>
        <x:v>0</x:v>
      </x:c>
      <x:c r="H516" s="22" t="n">
        <x:f>MAX(0,MIN('Activities'!L516,24)-MAX('Activities'!K516,18))</x:f>
        <x:v>0</x:v>
      </x:c>
      <x:c r="I516" s="22" t="n">
        <x:f>MAX(0,MIN('Activities'!L516,30)-MAX('Activities'!K516,24))</x:f>
        <x:v>0</x:v>
      </x:c>
      <x:c r="J516" s="22" t="n">
        <x:f>MAX(0,MIN('Activities'!L516,36)-MAX('Activities'!K516,30))</x:f>
        <x:v>0</x:v>
      </x:c>
      <x:c r="K516" s="22" t="n">
        <x:f>MAX(0,MIN('Activities'!L516,42)-MAX('Activities'!K516,36))</x:f>
        <x:v>0</x:v>
      </x:c>
      <x:c r="L516" s="22" t="n">
        <x:f>MAX(0,MIN('Activities'!L516,48)-MAX('Activities'!K516,42))</x:f>
        <x:v>0</x:v>
      </x:c>
      <x:c r="M516" s="22" t="n">
        <x:f>MAX(0,MIN('Activities'!L516,54)-MAX('Activities'!K516,48))</x:f>
        <x:v>0</x:v>
      </x:c>
      <x:c r="N516" s="22" t="n">
        <x:f>MAX(0,MIN('Activities'!L516,60)-MAX('Activities'!K516,54))</x:f>
        <x:v>0</x:v>
      </x:c>
      <x:c r="O516" s="22" t="n">
        <x:f>MAX(0,MIN('Activities'!L516,66)-MAX('Activities'!K516,60))</x:f>
        <x:v>0</x:v>
      </x:c>
      <x:c r="P516" s="22" t="n">
        <x:f>MAX(0,MIN('Activities'!L516,72)-MAX('Activities'!K516,66))</x:f>
        <x:v>0</x:v>
      </x:c>
      <x:c r="Q516" s="22" t="n">
        <x:f>MAX(0,MIN('Activities'!L516,78)-MAX('Activities'!K516,72))</x:f>
        <x:v>0</x:v>
      </x:c>
      <x:c r="R516" s="22" t="n">
        <x:f>MAX(0,MIN('Activities'!L516,84)-MAX('Activities'!K516,78))</x:f>
        <x:v>0</x:v>
      </x:c>
      <x:c r="S516" s="22" t="n">
        <x:f>MAX(0,MIN('Activities'!L516,90)-MAX('Activities'!K516,84))</x:f>
        <x:v>0</x:v>
      </x:c>
      <x:c r="T516" s="22" t="n">
        <x:f>MAX(0,MIN('Activities'!L516,96)-MAX('Activities'!K516,90))</x:f>
        <x:v>0</x:v>
      </x:c>
      <x:c r="U516" s="22" t="n">
        <x:f>MAX(0,MIN('Activities'!L516,102)-MAX('Activities'!K516,96))</x:f>
        <x:v>0</x:v>
      </x:c>
      <x:c r="V516" s="22" t="n">
        <x:f>MAX(0,MIN('Activities'!L516,108)-MAX('Activities'!K516,102))</x:f>
        <x:v>0</x:v>
      </x:c>
      <x:c r="W516" s="22" t="n">
        <x:f>MAX(0,MIN('Activities'!L516,114)-MAX('Activities'!K516,108))</x:f>
        <x:v>0</x:v>
      </x:c>
      <x:c r="X516" s="22" t="n">
        <x:f>MAX(0,MIN('Activities'!L516,120)-MAX('Activities'!K516,114))</x:f>
        <x:v>0</x:v>
      </x:c>
      <x:c r="Y516" s="22" t="n">
        <x:f>MAX(0,MIN('Activities'!L516,126)-MAX('Activities'!K516,120))</x:f>
        <x:v>0</x:v>
      </x:c>
      <x:c r="Z516" s="22" t="n">
        <x:f>MAX(0,MIN('Activities'!L516,132)-MAX('Activities'!K516,126))</x:f>
        <x:v>0</x:v>
      </x:c>
      <x:c r="AA516" s="22" t="n">
        <x:f>MAX(0,MIN('Activities'!L516,138)-MAX('Activities'!K516,132))</x:f>
        <x:v>0</x:v>
      </x:c>
      <x:c r="AB516" s="22" t="n">
        <x:f>MAX(0,MIN('Activities'!L516,144)-MAX('Activities'!K516,138))</x:f>
        <x:v>0</x:v>
      </x:c>
      <x:c r="AC516" s="22" t="n">
        <x:f>MAX(0,MIN('Activities'!L516,150)-MAX('Activities'!K516,144))</x:f>
        <x:v>0</x:v>
      </x:c>
      <x:c r="AD516" s="22" t="n">
        <x:f>MAX(0,MIN('Activities'!L516,156)-MAX('Activities'!K516,150))</x:f>
        <x:v>0</x:v>
      </x:c>
      <x:c r="AE516" s="22" t="n">
        <x:f>MAX(0,MIN('Activities'!L516,162)-MAX('Activities'!K516,156))</x:f>
        <x:v>0</x:v>
      </x:c>
      <x:c r="AF516" s="22" t="n">
        <x:f>MAX(0,MIN('Activities'!L516,168)-MAX('Activities'!K516,162))</x:f>
        <x:v>0</x:v>
      </x:c>
      <x:c r="AG516" s="22" t="n">
        <x:f>MAX(0,MIN('Activities'!L516,174)-MAX('Activities'!K516,168))</x:f>
        <x:v>0</x:v>
      </x:c>
      <x:c r="AH516" s="22" t="n">
        <x:f>MAX(0,MIN('Activities'!L516,180)-MAX('Activities'!K516,174))</x:f>
        <x:v>0</x:v>
      </x:c>
      <x:c r="AI516" s="22" t="n">
        <x:f>MAX(0,MIN('Activities'!L516,186)-MAX('Activities'!K516,180))</x:f>
        <x:v>0</x:v>
      </x:c>
      <x:c r="AJ516" s="22" t="n">
        <x:f>MAX(0,MIN('Activities'!L516,192)-MAX('Activities'!K516,186))</x:f>
        <x:v>0</x:v>
      </x:c>
      <x:c r="AK516" s="22" t="n">
        <x:f>MAX(0,MIN('Activities'!L516,198)-MAX('Activities'!K516,192))</x:f>
        <x:v>0</x:v>
      </x:c>
      <x:c r="AL516" s="22" t="n">
        <x:f>MAX(0,MIN('Activities'!L516,204)-MAX('Activities'!K516,198))</x:f>
        <x:v>0</x:v>
      </x:c>
      <x:c r="AM516" s="22" t="n">
        <x:f>MAX(0,MIN('Activities'!L516,210)-MAX('Activities'!K516,204))</x:f>
        <x:v>0</x:v>
      </x:c>
      <x:c r="AN516" s="22" t="n">
        <x:f>MAX(0,MIN('Activities'!L516,216)-MAX('Activities'!K516,210))</x:f>
        <x:v>0</x:v>
      </x:c>
      <x:c r="AO516" s="22" t="n">
        <x:f>MAX(0,MIN('Activities'!L516,222)-MAX('Activities'!K516,216))</x:f>
        <x:v>0</x:v>
      </x:c>
      <x:c r="AP516" s="22" t="n">
        <x:f>MAX(0,MIN('Activities'!L516,228)-MAX('Activities'!K516,222))</x:f>
        <x:v>0</x:v>
      </x:c>
      <x:c r="AQ516" s="22" t="n">
        <x:f>MAX(0,MIN('Activities'!L516,234)-MAX('Activities'!K516,228))</x:f>
        <x:v>0</x:v>
      </x:c>
      <x:c r="AR516" s="22" t="n">
        <x:f>MAX(0,MIN('Activities'!L516,240)-MAX('Activities'!K516,234))</x:f>
        <x:v>0</x:v>
      </x:c>
      <x:c r="AS516" s="22" t="n">
        <x:f>MAX(0,MIN('Activities'!L516,246)-MAX('Activities'!K516,240))</x:f>
        <x:v>0</x:v>
      </x:c>
      <x:c r="AT516" s="22" t="n">
        <x:f>MAX(0,MIN('Activities'!L516,252)-MAX('Activities'!K516,246))</x:f>
        <x:v>0</x:v>
      </x:c>
      <x:c r="AU516" s="22" t="n">
        <x:f>MAX(0,MIN('Activities'!L516,258)-MAX('Activities'!K516,252))</x:f>
        <x:v>0</x:v>
      </x:c>
      <x:c r="AV516" s="22" t="n">
        <x:f>MAX(0,MIN('Activities'!L516,264)-MAX('Activities'!K516,258))</x:f>
        <x:v>0</x:v>
      </x:c>
      <x:c r="AW516" s="22" t="n">
        <x:f>MAX(0,MIN('Activities'!L516,270)-MAX('Activities'!K516,264))</x:f>
        <x:v>0</x:v>
      </x:c>
      <x:c r="AX516" s="22" t="n">
        <x:f>MAX(0,MIN('Activities'!L516,276)-MAX('Activities'!K516,270))</x:f>
        <x:v>0</x:v>
      </x:c>
      <x:c r="AY516" s="22" t="n">
        <x:f>MAX(0,MIN('Activities'!L516,282)-MAX('Activities'!K516,276))</x:f>
        <x:v>0</x:v>
      </x:c>
      <x:c r="AZ516" s="22" t="n">
        <x:f>MAX(0,MIN('Activities'!L516,288)-MAX('Activities'!K516,282))</x:f>
        <x:v>0</x:v>
      </x:c>
      <x:c r="BA516" s="22" t="n">
        <x:f>MAX(0,MIN('Activities'!L516,294)-MAX('Activities'!K516,288))</x:f>
        <x:v>0</x:v>
      </x:c>
      <x:c r="BB516" s="22" t="n">
        <x:f>MAX(0,MIN('Activities'!L516,300)-MAX('Activities'!K516,294))</x:f>
        <x:v>0</x:v>
      </x:c>
      <x:c r="BC516" s="22" t="n">
        <x:f>MAX(0,MIN('Activities'!L516,306)-MAX('Activities'!K516,300))</x:f>
        <x:v>0</x:v>
      </x:c>
      <x:c r="BD516" s="22" t="n">
        <x:f>MAX(0,MIN('Activities'!L516,312)-MAX('Activities'!K516,306))</x:f>
        <x:v>0</x:v>
      </x:c>
      <x:c r="BE516" s="22" t="n">
        <x:f>MAX(0,MIN('Activities'!L516,318)-MAX('Activities'!K516,312))</x:f>
        <x:v>0</x:v>
      </x:c>
      <x:c r="BF516" s="22" t="n">
        <x:f>MAX(0,MIN('Activities'!L516,324)-MAX('Activities'!K516,318))</x:f>
        <x:v>0</x:v>
      </x:c>
      <x:c r="BG516" s="22" t="n">
        <x:f>MAX(0,MIN('Activities'!L516,330)-MAX('Activities'!K516,324))</x:f>
        <x:v>0</x:v>
      </x:c>
      <x:c r="BH516" s="22" t="n">
        <x:f>MAX(0,MIN('Activities'!L516,336)-MAX('Activities'!K516,330))</x:f>
        <x:v>0</x:v>
      </x:c>
      <x:c r="BI516" s="22" t="n">
        <x:f>MAX(0,MIN('Activities'!L516,342)-MAX('Activities'!K516,336))</x:f>
        <x:v>0</x:v>
      </x:c>
      <x:c r="BJ516" s="22" t="n">
        <x:f>MAX(0,MIN('Activities'!L516,348)-MAX('Activities'!K516,342))</x:f>
        <x:v>0</x:v>
      </x:c>
      <x:c r="BK516" s="22" t="n">
        <x:f>MAX(0,MIN('Activities'!L516,354)-MAX('Activities'!K516,348))</x:f>
        <x:v>0</x:v>
      </x:c>
      <x:c r="BL516" s="22" t="n">
        <x:f>MAX(0,MIN('Activities'!L516,360)-MAX('Activities'!K516,354))</x:f>
        <x:v>0</x:v>
      </x:c>
      <x:c r="BM516" s="22" t="n">
        <x:f>MAX(0,MIN('Activities'!L516,366)-MAX('Activities'!K516,360))</x:f>
        <x:v>0</x:v>
      </x:c>
      <x:c r="BN516" s="22" t="n">
        <x:f>MAX(0,MIN('Activities'!L516,372)-MAX('Activities'!K516,366))</x:f>
        <x:v>0</x:v>
      </x:c>
      <x:c r="BO516" s="22" t="n">
        <x:f>MAX(0,MIN('Activities'!L516,378)-MAX('Activities'!K516,372))</x:f>
        <x:v>0</x:v>
      </x:c>
      <x:c r="BP516" s="22" t="n">
        <x:f>MAX(0,MIN('Activities'!L516,384)-MAX('Activities'!K516,378))</x:f>
        <x:v>0</x:v>
      </x:c>
      <x:c r="BQ516" s="22" t="n">
        <x:f>MAX(0,MIN('Activities'!L516,390)-MAX('Activities'!K516,384))</x:f>
        <x:v>0</x:v>
      </x:c>
      <x:c r="BR516" s="22" t="n">
        <x:f>MAX(0,MIN('Activities'!L516,396)-MAX('Activities'!K516,390))</x:f>
        <x:v>0</x:v>
      </x:c>
      <x:c r="BS516" s="22" t="n">
        <x:f>MAX(0,MIN('Activities'!L516,402)-MAX('Activities'!K516,396))</x:f>
        <x:v>0</x:v>
      </x:c>
      <x:c r="BT516" s="22" t="n">
        <x:f>MAX(0,MIN('Activities'!L516,408)-MAX('Activities'!K516,402))</x:f>
        <x:v>0</x:v>
      </x:c>
      <x:c r="BU516" s="22" t="n">
        <x:f>MAX(0,MIN('Activities'!L516,414)-MAX('Activities'!K516,408))</x:f>
        <x:v>0</x:v>
      </x:c>
      <x:c r="BV516" s="22" t="n">
        <x:f>MAX(0,MIN('Activities'!L516,420)-MAX('Activities'!K516,414))</x:f>
        <x:v>0</x:v>
      </x:c>
      <x:c r="BW516" s="22" t="n">
        <x:f>MAX(0,MIN('Activities'!L516,426)-MAX('Activities'!K516,420))</x:f>
        <x:v>0</x:v>
      </x:c>
      <x:c r="BX516" s="22" t="n">
        <x:f>MAX(0,MIN('Activities'!L516,432)-MAX('Activities'!K516,426))</x:f>
        <x:v>0</x:v>
      </x:c>
      <x:c r="BY516" s="22" t="n">
        <x:f>MAX(0,MIN('Activities'!L516,438)-MAX('Activities'!K516,432))</x:f>
        <x:v>0</x:v>
      </x:c>
      <x:c r="BZ516" s="22" t="n">
        <x:f>MAX(0,MIN('Activities'!L516,444)-MAX('Activities'!K516,438))</x:f>
        <x:v>0</x:v>
      </x:c>
      <x:c r="CA516" s="22" t="n">
        <x:f>MAX(0,MIN('Activities'!L516,450)-MAX('Activities'!K516,444))</x:f>
        <x:v>5</x:v>
      </x:c>
      <x:c r="CB516" s="22" t="n">
        <x:f>MAX(0,MIN('Activities'!L516,456)-MAX('Activities'!K516,450))</x:f>
        <x:v>0</x:v>
      </x:c>
      <x:c r="CC516" s="22" t="n">
        <x:f>MAX(0,MIN('Activities'!L516,462)-MAX('Activities'!K516,456))</x:f>
        <x:v>0</x:v>
      </x:c>
      <x:c r="CD516" s="22" t="n">
        <x:f>MAX(0,MIN('Activities'!L516,468)-MAX('Activities'!K516,462))</x:f>
        <x:v>0</x:v>
      </x:c>
      <x:c r="CE516" s="22" t="n">
        <x:f>MAX(0,MIN('Activities'!L516,474)-MAX('Activities'!K516,468))</x:f>
        <x:v>0</x:v>
      </x:c>
      <x:c r="CF516" s="22" t="n">
        <x:f>MAX(0,MIN('Activities'!L516,480)-MAX('Activities'!K516,474))</x:f>
        <x:v>0</x:v>
      </x:c>
      <x:c r="CG516" s="22" t="n">
        <x:f>MAX(0,MIN('Activities'!L516,486)-MAX('Activities'!K516,480))</x:f>
        <x:v>0</x:v>
      </x:c>
      <x:c r="CH516" s="22" t="n">
        <x:f>MAX(0,MIN('Activities'!L516,492)-MAX('Activities'!K516,486))</x:f>
        <x:v>0</x:v>
      </x:c>
      <x:c r="CI516" s="22" t="n">
        <x:f>MAX(0,MIN('Activities'!L516,498)-MAX('Activities'!K516,492))</x:f>
        <x:v>0</x:v>
      </x:c>
      <x:c r="CJ516" s="22" t="n">
        <x:f>MAX(0,MIN('Activities'!L516,504)-MAX('Activities'!K516,498))</x:f>
        <x:v>0</x:v>
      </x:c>
      <x:c r="CK516" s="22" t="n">
        <x:f>MAX(0,MIN('Activities'!L516,510)-MAX('Activities'!K516,504))</x:f>
        <x:v>0</x:v>
      </x:c>
      <x:c r="CL516" s="22" t="n">
        <x:f>MAX(0,MIN('Activities'!L516,516)-MAX('Activities'!K516,510))</x:f>
        <x:v>0</x:v>
      </x:c>
      <x:c r="CM516" s="22" t="n">
        <x:f>MAX(0,MIN('Activities'!L516,522)-MAX('Activities'!K516,516))</x:f>
        <x:v>0</x:v>
      </x:c>
      <x:c r="CN516" s="22" t="n">
        <x:f>MAX(0,MIN('Activities'!L516,528)-MAX('Activities'!K516,522))</x:f>
        <x:v>0</x:v>
      </x:c>
      <x:c r="CO516" s="22" t="n">
        <x:f>MAX(0,MIN('Activities'!L516,534)-MAX('Activities'!K516,528))</x:f>
        <x:v>0</x:v>
      </x:c>
      <x:c r="CP516" s="22" t="n">
        <x:f>MAX(0,MIN('Activities'!L516,540)-MAX('Activities'!K516,534))</x:f>
        <x:v>0</x:v>
      </x:c>
      <x:c r="CQ516" s="22" t="n">
        <x:f>MAX(0,MIN('Activities'!L516,546)-MAX('Activities'!K516,540))</x:f>
        <x:v>0</x:v>
      </x:c>
      <x:c r="CR516" s="22" t="n">
        <x:f>MAX(0,MIN('Activities'!L516,552)-MAX('Activities'!K516,546))</x:f>
        <x:v>0</x:v>
      </x:c>
      <x:c r="CS516" s="22" t="n">
        <x:f>MAX(0,MIN('Activities'!L516,558)-MAX('Activities'!K516,552))</x:f>
        <x:v>0</x:v>
      </x:c>
      <x:c r="CT516" s="22" t="n">
        <x:f>MAX(0,MIN('Activities'!L516,564)-MAX('Activities'!K516,558))</x:f>
        <x:v>0</x:v>
      </x:c>
      <x:c r="CU516" s="22" t="n">
        <x:f>MAX(0,MIN('Activities'!L516,570)-MAX('Activities'!K516,564))</x:f>
        <x:v>0</x:v>
      </x:c>
      <x:c r="CV516" s="22" t="n">
        <x:f>MAX(0,MIN('Activities'!L516,576)-MAX('Activities'!K516,570))</x:f>
        <x:v>0</x:v>
      </x:c>
      <x:c r="CW516" s="22" t="n">
        <x:f>MAX(0,MIN('Activities'!L516,582)-MAX('Activities'!K516,576))</x:f>
        <x:v>0</x:v>
      </x:c>
      <x:c r="CX516" s="22" t="n">
        <x:f>MAX(0,MIN('Activities'!L516,588)-MAX('Activities'!K516,582))</x:f>
        <x:v>0</x:v>
      </x:c>
      <x:c r="CY516" s="22" t="n">
        <x:f>MAX(0,MIN('Activities'!L516,594)-MAX('Activities'!K516,588))</x:f>
        <x:v>0</x:v>
      </x:c>
      <x:c r="CZ516" s="22" t="n">
        <x:f>MAX(0,MIN('Activities'!L516,600)-MAX('Activities'!K516,594))</x:f>
        <x:v>0</x:v>
      </x:c>
      <x:c r="DA516" s="22" t="n">
        <x:f>MAX(0,MIN('Activities'!L516,606)-MAX('Activities'!K516,600))</x:f>
        <x:v>0</x:v>
      </x:c>
      <x:c r="DB516" s="22" t="n">
        <x:f>MAX(0,MIN('Activities'!L516,612)-MAX('Activities'!K516,606))</x:f>
        <x:v>0</x:v>
      </x:c>
      <x:c r="DC516" s="22" t="n">
        <x:f>MAX(0,MIN('Activities'!L516,618)-MAX('Activities'!K516,612))</x:f>
        <x:v>0</x:v>
      </x:c>
      <x:c r="DD516" s="22" t="n">
        <x:f>MAX(0,MIN('Activities'!L516,624)-MAX('Activities'!K516,618))</x:f>
        <x:v>0</x:v>
      </x:c>
      <x:c r="DE516" s="22" t="n">
        <x:f>MAX(0,MIN('Activities'!L516,630)-MAX('Activities'!K516,624))</x:f>
        <x:v>0</x:v>
      </x:c>
      <x:c r="DF516" s="22" t="n">
        <x:f>MAX(0,MIN('Activities'!L516,636)-MAX('Activities'!K516,630))</x:f>
        <x:v>0</x:v>
      </x:c>
    </x:row>
    <x:row r="517" ht="23" customHeight="1">
      <x:c r="A517" s="1" t="str">
        <x:v>T4-L07-D</x:v>
      </x:c>
      <x:c r="B517" s="1" t="str">
        <x:v>T4</x:v>
      </x:c>
      <x:c r="C517" s="1" t="str">
        <x:v>Door sets and ironmongery</x:v>
      </x:c>
      <x:c r="D517" s="1" t="str">
        <x:v>Finishes</x:v>
      </x:c>
      <x:c r="E517" s="23" t="n">
        <x:f>MAX(0,MIN('Activities'!L517,6)-MAX('Activities'!K517,0))</x:f>
        <x:v>0</x:v>
      </x:c>
      <x:c r="F517" s="23" t="n">
        <x:f>MAX(0,MIN('Activities'!L517,12)-MAX('Activities'!K517,6))</x:f>
        <x:v>0</x:v>
      </x:c>
      <x:c r="G517" s="23" t="n">
        <x:f>MAX(0,MIN('Activities'!L517,18)-MAX('Activities'!K517,12))</x:f>
        <x:v>0</x:v>
      </x:c>
      <x:c r="H517" s="23" t="n">
        <x:f>MAX(0,MIN('Activities'!L517,24)-MAX('Activities'!K517,18))</x:f>
        <x:v>0</x:v>
      </x:c>
      <x:c r="I517" s="23" t="n">
        <x:f>MAX(0,MIN('Activities'!L517,30)-MAX('Activities'!K517,24))</x:f>
        <x:v>0</x:v>
      </x:c>
      <x:c r="J517" s="23" t="n">
        <x:f>MAX(0,MIN('Activities'!L517,36)-MAX('Activities'!K517,30))</x:f>
        <x:v>0</x:v>
      </x:c>
      <x:c r="K517" s="23" t="n">
        <x:f>MAX(0,MIN('Activities'!L517,42)-MAX('Activities'!K517,36))</x:f>
        <x:v>0</x:v>
      </x:c>
      <x:c r="L517" s="23" t="n">
        <x:f>MAX(0,MIN('Activities'!L517,48)-MAX('Activities'!K517,42))</x:f>
        <x:v>0</x:v>
      </x:c>
      <x:c r="M517" s="23" t="n">
        <x:f>MAX(0,MIN('Activities'!L517,54)-MAX('Activities'!K517,48))</x:f>
        <x:v>0</x:v>
      </x:c>
      <x:c r="N517" s="23" t="n">
        <x:f>MAX(0,MIN('Activities'!L517,60)-MAX('Activities'!K517,54))</x:f>
        <x:v>0</x:v>
      </x:c>
      <x:c r="O517" s="23" t="n">
        <x:f>MAX(0,MIN('Activities'!L517,66)-MAX('Activities'!K517,60))</x:f>
        <x:v>0</x:v>
      </x:c>
      <x:c r="P517" s="23" t="n">
        <x:f>MAX(0,MIN('Activities'!L517,72)-MAX('Activities'!K517,66))</x:f>
        <x:v>0</x:v>
      </x:c>
      <x:c r="Q517" s="23" t="n">
        <x:f>MAX(0,MIN('Activities'!L517,78)-MAX('Activities'!K517,72))</x:f>
        <x:v>0</x:v>
      </x:c>
      <x:c r="R517" s="23" t="n">
        <x:f>MAX(0,MIN('Activities'!L517,84)-MAX('Activities'!K517,78))</x:f>
        <x:v>0</x:v>
      </x:c>
      <x:c r="S517" s="23" t="n">
        <x:f>MAX(0,MIN('Activities'!L517,90)-MAX('Activities'!K517,84))</x:f>
        <x:v>0</x:v>
      </x:c>
      <x:c r="T517" s="23" t="n">
        <x:f>MAX(0,MIN('Activities'!L517,96)-MAX('Activities'!K517,90))</x:f>
        <x:v>0</x:v>
      </x:c>
      <x:c r="U517" s="23" t="n">
        <x:f>MAX(0,MIN('Activities'!L517,102)-MAX('Activities'!K517,96))</x:f>
        <x:v>0</x:v>
      </x:c>
      <x:c r="V517" s="23" t="n">
        <x:f>MAX(0,MIN('Activities'!L517,108)-MAX('Activities'!K517,102))</x:f>
        <x:v>0</x:v>
      </x:c>
      <x:c r="W517" s="23" t="n">
        <x:f>MAX(0,MIN('Activities'!L517,114)-MAX('Activities'!K517,108))</x:f>
        <x:v>0</x:v>
      </x:c>
      <x:c r="X517" s="23" t="n">
        <x:f>MAX(0,MIN('Activities'!L517,120)-MAX('Activities'!K517,114))</x:f>
        <x:v>0</x:v>
      </x:c>
      <x:c r="Y517" s="23" t="n">
        <x:f>MAX(0,MIN('Activities'!L517,126)-MAX('Activities'!K517,120))</x:f>
        <x:v>0</x:v>
      </x:c>
      <x:c r="Z517" s="23" t="n">
        <x:f>MAX(0,MIN('Activities'!L517,132)-MAX('Activities'!K517,126))</x:f>
        <x:v>0</x:v>
      </x:c>
      <x:c r="AA517" s="23" t="n">
        <x:f>MAX(0,MIN('Activities'!L517,138)-MAX('Activities'!K517,132))</x:f>
        <x:v>0</x:v>
      </x:c>
      <x:c r="AB517" s="23" t="n">
        <x:f>MAX(0,MIN('Activities'!L517,144)-MAX('Activities'!K517,138))</x:f>
        <x:v>0</x:v>
      </x:c>
      <x:c r="AC517" s="23" t="n">
        <x:f>MAX(0,MIN('Activities'!L517,150)-MAX('Activities'!K517,144))</x:f>
        <x:v>0</x:v>
      </x:c>
      <x:c r="AD517" s="23" t="n">
        <x:f>MAX(0,MIN('Activities'!L517,156)-MAX('Activities'!K517,150))</x:f>
        <x:v>0</x:v>
      </x:c>
      <x:c r="AE517" s="23" t="n">
        <x:f>MAX(0,MIN('Activities'!L517,162)-MAX('Activities'!K517,156))</x:f>
        <x:v>0</x:v>
      </x:c>
      <x:c r="AF517" s="23" t="n">
        <x:f>MAX(0,MIN('Activities'!L517,168)-MAX('Activities'!K517,162))</x:f>
        <x:v>0</x:v>
      </x:c>
      <x:c r="AG517" s="23" t="n">
        <x:f>MAX(0,MIN('Activities'!L517,174)-MAX('Activities'!K517,168))</x:f>
        <x:v>0</x:v>
      </x:c>
      <x:c r="AH517" s="23" t="n">
        <x:f>MAX(0,MIN('Activities'!L517,180)-MAX('Activities'!K517,174))</x:f>
        <x:v>0</x:v>
      </x:c>
      <x:c r="AI517" s="23" t="n">
        <x:f>MAX(0,MIN('Activities'!L517,186)-MAX('Activities'!K517,180))</x:f>
        <x:v>0</x:v>
      </x:c>
      <x:c r="AJ517" s="23" t="n">
        <x:f>MAX(0,MIN('Activities'!L517,192)-MAX('Activities'!K517,186))</x:f>
        <x:v>0</x:v>
      </x:c>
      <x:c r="AK517" s="23" t="n">
        <x:f>MAX(0,MIN('Activities'!L517,198)-MAX('Activities'!K517,192))</x:f>
        <x:v>0</x:v>
      </x:c>
      <x:c r="AL517" s="23" t="n">
        <x:f>MAX(0,MIN('Activities'!L517,204)-MAX('Activities'!K517,198))</x:f>
        <x:v>0</x:v>
      </x:c>
      <x:c r="AM517" s="23" t="n">
        <x:f>MAX(0,MIN('Activities'!L517,210)-MAX('Activities'!K517,204))</x:f>
        <x:v>0</x:v>
      </x:c>
      <x:c r="AN517" s="23" t="n">
        <x:f>MAX(0,MIN('Activities'!L517,216)-MAX('Activities'!K517,210))</x:f>
        <x:v>0</x:v>
      </x:c>
      <x:c r="AO517" s="23" t="n">
        <x:f>MAX(0,MIN('Activities'!L517,222)-MAX('Activities'!K517,216))</x:f>
        <x:v>0</x:v>
      </x:c>
      <x:c r="AP517" s="23" t="n">
        <x:f>MAX(0,MIN('Activities'!L517,228)-MAX('Activities'!K517,222))</x:f>
        <x:v>0</x:v>
      </x:c>
      <x:c r="AQ517" s="23" t="n">
        <x:f>MAX(0,MIN('Activities'!L517,234)-MAX('Activities'!K517,228))</x:f>
        <x:v>0</x:v>
      </x:c>
      <x:c r="AR517" s="23" t="n">
        <x:f>MAX(0,MIN('Activities'!L517,240)-MAX('Activities'!K517,234))</x:f>
        <x:v>0</x:v>
      </x:c>
      <x:c r="AS517" s="23" t="n">
        <x:f>MAX(0,MIN('Activities'!L517,246)-MAX('Activities'!K517,240))</x:f>
        <x:v>0</x:v>
      </x:c>
      <x:c r="AT517" s="23" t="n">
        <x:f>MAX(0,MIN('Activities'!L517,252)-MAX('Activities'!K517,246))</x:f>
        <x:v>0</x:v>
      </x:c>
      <x:c r="AU517" s="23" t="n">
        <x:f>MAX(0,MIN('Activities'!L517,258)-MAX('Activities'!K517,252))</x:f>
        <x:v>0</x:v>
      </x:c>
      <x:c r="AV517" s="23" t="n">
        <x:f>MAX(0,MIN('Activities'!L517,264)-MAX('Activities'!K517,258))</x:f>
        <x:v>0</x:v>
      </x:c>
      <x:c r="AW517" s="23" t="n">
        <x:f>MAX(0,MIN('Activities'!L517,270)-MAX('Activities'!K517,264))</x:f>
        <x:v>0</x:v>
      </x:c>
      <x:c r="AX517" s="23" t="n">
        <x:f>MAX(0,MIN('Activities'!L517,276)-MAX('Activities'!K517,270))</x:f>
        <x:v>0</x:v>
      </x:c>
      <x:c r="AY517" s="23" t="n">
        <x:f>MAX(0,MIN('Activities'!L517,282)-MAX('Activities'!K517,276))</x:f>
        <x:v>0</x:v>
      </x:c>
      <x:c r="AZ517" s="23" t="n">
        <x:f>MAX(0,MIN('Activities'!L517,288)-MAX('Activities'!K517,282))</x:f>
        <x:v>0</x:v>
      </x:c>
      <x:c r="BA517" s="23" t="n">
        <x:f>MAX(0,MIN('Activities'!L517,294)-MAX('Activities'!K517,288))</x:f>
        <x:v>0</x:v>
      </x:c>
      <x:c r="BB517" s="23" t="n">
        <x:f>MAX(0,MIN('Activities'!L517,300)-MAX('Activities'!K517,294))</x:f>
        <x:v>0</x:v>
      </x:c>
      <x:c r="BC517" s="23" t="n">
        <x:f>MAX(0,MIN('Activities'!L517,306)-MAX('Activities'!K517,300))</x:f>
        <x:v>0</x:v>
      </x:c>
      <x:c r="BD517" s="23" t="n">
        <x:f>MAX(0,MIN('Activities'!L517,312)-MAX('Activities'!K517,306))</x:f>
        <x:v>0</x:v>
      </x:c>
      <x:c r="BE517" s="23" t="n">
        <x:f>MAX(0,MIN('Activities'!L517,318)-MAX('Activities'!K517,312))</x:f>
        <x:v>0</x:v>
      </x:c>
      <x:c r="BF517" s="23" t="n">
        <x:f>MAX(0,MIN('Activities'!L517,324)-MAX('Activities'!K517,318))</x:f>
        <x:v>0</x:v>
      </x:c>
      <x:c r="BG517" s="23" t="n">
        <x:f>MAX(0,MIN('Activities'!L517,330)-MAX('Activities'!K517,324))</x:f>
        <x:v>0</x:v>
      </x:c>
      <x:c r="BH517" s="23" t="n">
        <x:f>MAX(0,MIN('Activities'!L517,336)-MAX('Activities'!K517,330))</x:f>
        <x:v>0</x:v>
      </x:c>
      <x:c r="BI517" s="23" t="n">
        <x:f>MAX(0,MIN('Activities'!L517,342)-MAX('Activities'!K517,336))</x:f>
        <x:v>0</x:v>
      </x:c>
      <x:c r="BJ517" s="23" t="n">
        <x:f>MAX(0,MIN('Activities'!L517,348)-MAX('Activities'!K517,342))</x:f>
        <x:v>0</x:v>
      </x:c>
      <x:c r="BK517" s="23" t="n">
        <x:f>MAX(0,MIN('Activities'!L517,354)-MAX('Activities'!K517,348))</x:f>
        <x:v>0</x:v>
      </x:c>
      <x:c r="BL517" s="23" t="n">
        <x:f>MAX(0,MIN('Activities'!L517,360)-MAX('Activities'!K517,354))</x:f>
        <x:v>0</x:v>
      </x:c>
      <x:c r="BM517" s="23" t="n">
        <x:f>MAX(0,MIN('Activities'!L517,366)-MAX('Activities'!K517,360))</x:f>
        <x:v>0</x:v>
      </x:c>
      <x:c r="BN517" s="23" t="n">
        <x:f>MAX(0,MIN('Activities'!L517,372)-MAX('Activities'!K517,366))</x:f>
        <x:v>0</x:v>
      </x:c>
      <x:c r="BO517" s="23" t="n">
        <x:f>MAX(0,MIN('Activities'!L517,378)-MAX('Activities'!K517,372))</x:f>
        <x:v>0</x:v>
      </x:c>
      <x:c r="BP517" s="23" t="n">
        <x:f>MAX(0,MIN('Activities'!L517,384)-MAX('Activities'!K517,378))</x:f>
        <x:v>0</x:v>
      </x:c>
      <x:c r="BQ517" s="23" t="n">
        <x:f>MAX(0,MIN('Activities'!L517,390)-MAX('Activities'!K517,384))</x:f>
        <x:v>0</x:v>
      </x:c>
      <x:c r="BR517" s="23" t="n">
        <x:f>MAX(0,MIN('Activities'!L517,396)-MAX('Activities'!K517,390))</x:f>
        <x:v>0</x:v>
      </x:c>
      <x:c r="BS517" s="23" t="n">
        <x:f>MAX(0,MIN('Activities'!L517,402)-MAX('Activities'!K517,396))</x:f>
        <x:v>0</x:v>
      </x:c>
      <x:c r="BT517" s="23" t="n">
        <x:f>MAX(0,MIN('Activities'!L517,408)-MAX('Activities'!K517,402))</x:f>
        <x:v>0</x:v>
      </x:c>
      <x:c r="BU517" s="23" t="n">
        <x:f>MAX(0,MIN('Activities'!L517,414)-MAX('Activities'!K517,408))</x:f>
        <x:v>0</x:v>
      </x:c>
      <x:c r="BV517" s="23" t="n">
        <x:f>MAX(0,MIN('Activities'!L517,420)-MAX('Activities'!K517,414))</x:f>
        <x:v>0</x:v>
      </x:c>
      <x:c r="BW517" s="23" t="n">
        <x:f>MAX(0,MIN('Activities'!L517,426)-MAX('Activities'!K517,420))</x:f>
        <x:v>0</x:v>
      </x:c>
      <x:c r="BX517" s="23" t="n">
        <x:f>MAX(0,MIN('Activities'!L517,432)-MAX('Activities'!K517,426))</x:f>
        <x:v>0</x:v>
      </x:c>
      <x:c r="BY517" s="23" t="n">
        <x:f>MAX(0,MIN('Activities'!L517,438)-MAX('Activities'!K517,432))</x:f>
        <x:v>0</x:v>
      </x:c>
      <x:c r="BZ517" s="23" t="n">
        <x:f>MAX(0,MIN('Activities'!L517,444)-MAX('Activities'!K517,438))</x:f>
        <x:v>0</x:v>
      </x:c>
      <x:c r="CA517" s="23" t="n">
        <x:f>MAX(0,MIN('Activities'!L517,450)-MAX('Activities'!K517,444))</x:f>
        <x:v>0</x:v>
      </x:c>
      <x:c r="CB517" s="23" t="n">
        <x:f>MAX(0,MIN('Activities'!L517,456)-MAX('Activities'!K517,450))</x:f>
        <x:v>3</x:v>
      </x:c>
      <x:c r="CC517" s="23" t="n">
        <x:f>MAX(0,MIN('Activities'!L517,462)-MAX('Activities'!K517,456))</x:f>
        <x:v>0</x:v>
      </x:c>
      <x:c r="CD517" s="23" t="n">
        <x:f>MAX(0,MIN('Activities'!L517,468)-MAX('Activities'!K517,462))</x:f>
        <x:v>0</x:v>
      </x:c>
      <x:c r="CE517" s="23" t="n">
        <x:f>MAX(0,MIN('Activities'!L517,474)-MAX('Activities'!K517,468))</x:f>
        <x:v>0</x:v>
      </x:c>
      <x:c r="CF517" s="23" t="n">
        <x:f>MAX(0,MIN('Activities'!L517,480)-MAX('Activities'!K517,474))</x:f>
        <x:v>0</x:v>
      </x:c>
      <x:c r="CG517" s="23" t="n">
        <x:f>MAX(0,MIN('Activities'!L517,486)-MAX('Activities'!K517,480))</x:f>
        <x:v>0</x:v>
      </x:c>
      <x:c r="CH517" s="23" t="n">
        <x:f>MAX(0,MIN('Activities'!L517,492)-MAX('Activities'!K517,486))</x:f>
        <x:v>0</x:v>
      </x:c>
      <x:c r="CI517" s="23" t="n">
        <x:f>MAX(0,MIN('Activities'!L517,498)-MAX('Activities'!K517,492))</x:f>
        <x:v>0</x:v>
      </x:c>
      <x:c r="CJ517" s="23" t="n">
        <x:f>MAX(0,MIN('Activities'!L517,504)-MAX('Activities'!K517,498))</x:f>
        <x:v>0</x:v>
      </x:c>
      <x:c r="CK517" s="23" t="n">
        <x:f>MAX(0,MIN('Activities'!L517,510)-MAX('Activities'!K517,504))</x:f>
        <x:v>0</x:v>
      </x:c>
      <x:c r="CL517" s="23" t="n">
        <x:f>MAX(0,MIN('Activities'!L517,516)-MAX('Activities'!K517,510))</x:f>
        <x:v>0</x:v>
      </x:c>
      <x:c r="CM517" s="23" t="n">
        <x:f>MAX(0,MIN('Activities'!L517,522)-MAX('Activities'!K517,516))</x:f>
        <x:v>0</x:v>
      </x:c>
      <x:c r="CN517" s="23" t="n">
        <x:f>MAX(0,MIN('Activities'!L517,528)-MAX('Activities'!K517,522))</x:f>
        <x:v>0</x:v>
      </x:c>
      <x:c r="CO517" s="23" t="n">
        <x:f>MAX(0,MIN('Activities'!L517,534)-MAX('Activities'!K517,528))</x:f>
        <x:v>0</x:v>
      </x:c>
      <x:c r="CP517" s="23" t="n">
        <x:f>MAX(0,MIN('Activities'!L517,540)-MAX('Activities'!K517,534))</x:f>
        <x:v>0</x:v>
      </x:c>
      <x:c r="CQ517" s="23" t="n">
        <x:f>MAX(0,MIN('Activities'!L517,546)-MAX('Activities'!K517,540))</x:f>
        <x:v>0</x:v>
      </x:c>
      <x:c r="CR517" s="23" t="n">
        <x:f>MAX(0,MIN('Activities'!L517,552)-MAX('Activities'!K517,546))</x:f>
        <x:v>0</x:v>
      </x:c>
      <x:c r="CS517" s="23" t="n">
        <x:f>MAX(0,MIN('Activities'!L517,558)-MAX('Activities'!K517,552))</x:f>
        <x:v>0</x:v>
      </x:c>
      <x:c r="CT517" s="23" t="n">
        <x:f>MAX(0,MIN('Activities'!L517,564)-MAX('Activities'!K517,558))</x:f>
        <x:v>0</x:v>
      </x:c>
      <x:c r="CU517" s="23" t="n">
        <x:f>MAX(0,MIN('Activities'!L517,570)-MAX('Activities'!K517,564))</x:f>
        <x:v>0</x:v>
      </x:c>
      <x:c r="CV517" s="23" t="n">
        <x:f>MAX(0,MIN('Activities'!L517,576)-MAX('Activities'!K517,570))</x:f>
        <x:v>0</x:v>
      </x:c>
      <x:c r="CW517" s="23" t="n">
        <x:f>MAX(0,MIN('Activities'!L517,582)-MAX('Activities'!K517,576))</x:f>
        <x:v>0</x:v>
      </x:c>
      <x:c r="CX517" s="23" t="n">
        <x:f>MAX(0,MIN('Activities'!L517,588)-MAX('Activities'!K517,582))</x:f>
        <x:v>0</x:v>
      </x:c>
      <x:c r="CY517" s="23" t="n">
        <x:f>MAX(0,MIN('Activities'!L517,594)-MAX('Activities'!K517,588))</x:f>
        <x:v>0</x:v>
      </x:c>
      <x:c r="CZ517" s="23" t="n">
        <x:f>MAX(0,MIN('Activities'!L517,600)-MAX('Activities'!K517,594))</x:f>
        <x:v>0</x:v>
      </x:c>
      <x:c r="DA517" s="23" t="n">
        <x:f>MAX(0,MIN('Activities'!L517,606)-MAX('Activities'!K517,600))</x:f>
        <x:v>0</x:v>
      </x:c>
      <x:c r="DB517" s="23" t="n">
        <x:f>MAX(0,MIN('Activities'!L517,612)-MAX('Activities'!K517,606))</x:f>
        <x:v>0</x:v>
      </x:c>
      <x:c r="DC517" s="23" t="n">
        <x:f>MAX(0,MIN('Activities'!L517,618)-MAX('Activities'!K517,612))</x:f>
        <x:v>0</x:v>
      </x:c>
      <x:c r="DD517" s="23" t="n">
        <x:f>MAX(0,MIN('Activities'!L517,624)-MAX('Activities'!K517,618))</x:f>
        <x:v>0</x:v>
      </x:c>
      <x:c r="DE517" s="23" t="n">
        <x:f>MAX(0,MIN('Activities'!L517,630)-MAX('Activities'!K517,624))</x:f>
        <x:v>0</x:v>
      </x:c>
      <x:c r="DF517" s="23" t="n">
        <x:f>MAX(0,MIN('Activities'!L517,636)-MAX('Activities'!K517,630))</x:f>
        <x:v>0</x:v>
      </x:c>
    </x:row>
    <x:row r="518" ht="23" customHeight="1">
      <x:c r="A518" s="6" t="str">
        <x:v>T4-L08-M</x:v>
      </x:c>
      <x:c r="B518" s="6" t="str">
        <x:v>T4</x:v>
      </x:c>
      <x:c r="C518" s="6" t="str">
        <x:v>Partition masonry</x:v>
      </x:c>
      <x:c r="D518" s="6" t="str">
        <x:v>Masonry</x:v>
      </x:c>
      <x:c r="E518" s="22" t="n">
        <x:f>MAX(0,MIN('Activities'!L518,6)-MAX('Activities'!K518,0))</x:f>
        <x:v>0</x:v>
      </x:c>
      <x:c r="F518" s="22" t="n">
        <x:f>MAX(0,MIN('Activities'!L518,12)-MAX('Activities'!K518,6))</x:f>
        <x:v>0</x:v>
      </x:c>
      <x:c r="G518" s="22" t="n">
        <x:f>MAX(0,MIN('Activities'!L518,18)-MAX('Activities'!K518,12))</x:f>
        <x:v>0</x:v>
      </x:c>
      <x:c r="H518" s="22" t="n">
        <x:f>MAX(0,MIN('Activities'!L518,24)-MAX('Activities'!K518,18))</x:f>
        <x:v>0</x:v>
      </x:c>
      <x:c r="I518" s="22" t="n">
        <x:f>MAX(0,MIN('Activities'!L518,30)-MAX('Activities'!K518,24))</x:f>
        <x:v>0</x:v>
      </x:c>
      <x:c r="J518" s="22" t="n">
        <x:f>MAX(0,MIN('Activities'!L518,36)-MAX('Activities'!K518,30))</x:f>
        <x:v>0</x:v>
      </x:c>
      <x:c r="K518" s="22" t="n">
        <x:f>MAX(0,MIN('Activities'!L518,42)-MAX('Activities'!K518,36))</x:f>
        <x:v>0</x:v>
      </x:c>
      <x:c r="L518" s="22" t="n">
        <x:f>MAX(0,MIN('Activities'!L518,48)-MAX('Activities'!K518,42))</x:f>
        <x:v>0</x:v>
      </x:c>
      <x:c r="M518" s="22" t="n">
        <x:f>MAX(0,MIN('Activities'!L518,54)-MAX('Activities'!K518,48))</x:f>
        <x:v>0</x:v>
      </x:c>
      <x:c r="N518" s="22" t="n">
        <x:f>MAX(0,MIN('Activities'!L518,60)-MAX('Activities'!K518,54))</x:f>
        <x:v>0</x:v>
      </x:c>
      <x:c r="O518" s="22" t="n">
        <x:f>MAX(0,MIN('Activities'!L518,66)-MAX('Activities'!K518,60))</x:f>
        <x:v>0</x:v>
      </x:c>
      <x:c r="P518" s="22" t="n">
        <x:f>MAX(0,MIN('Activities'!L518,72)-MAX('Activities'!K518,66))</x:f>
        <x:v>0</x:v>
      </x:c>
      <x:c r="Q518" s="22" t="n">
        <x:f>MAX(0,MIN('Activities'!L518,78)-MAX('Activities'!K518,72))</x:f>
        <x:v>0</x:v>
      </x:c>
      <x:c r="R518" s="22" t="n">
        <x:f>MAX(0,MIN('Activities'!L518,84)-MAX('Activities'!K518,78))</x:f>
        <x:v>0</x:v>
      </x:c>
      <x:c r="S518" s="22" t="n">
        <x:f>MAX(0,MIN('Activities'!L518,90)-MAX('Activities'!K518,84))</x:f>
        <x:v>0</x:v>
      </x:c>
      <x:c r="T518" s="22" t="n">
        <x:f>MAX(0,MIN('Activities'!L518,96)-MAX('Activities'!K518,90))</x:f>
        <x:v>0</x:v>
      </x:c>
      <x:c r="U518" s="22" t="n">
        <x:f>MAX(0,MIN('Activities'!L518,102)-MAX('Activities'!K518,96))</x:f>
        <x:v>0</x:v>
      </x:c>
      <x:c r="V518" s="22" t="n">
        <x:f>MAX(0,MIN('Activities'!L518,108)-MAX('Activities'!K518,102))</x:f>
        <x:v>0</x:v>
      </x:c>
      <x:c r="W518" s="22" t="n">
        <x:f>MAX(0,MIN('Activities'!L518,114)-MAX('Activities'!K518,108))</x:f>
        <x:v>0</x:v>
      </x:c>
      <x:c r="X518" s="22" t="n">
        <x:f>MAX(0,MIN('Activities'!L518,120)-MAX('Activities'!K518,114))</x:f>
        <x:v>0</x:v>
      </x:c>
      <x:c r="Y518" s="22" t="n">
        <x:f>MAX(0,MIN('Activities'!L518,126)-MAX('Activities'!K518,120))</x:f>
        <x:v>0</x:v>
      </x:c>
      <x:c r="Z518" s="22" t="n">
        <x:f>MAX(0,MIN('Activities'!L518,132)-MAX('Activities'!K518,126))</x:f>
        <x:v>0</x:v>
      </x:c>
      <x:c r="AA518" s="22" t="n">
        <x:f>MAX(0,MIN('Activities'!L518,138)-MAX('Activities'!K518,132))</x:f>
        <x:v>0</x:v>
      </x:c>
      <x:c r="AB518" s="22" t="n">
        <x:f>MAX(0,MIN('Activities'!L518,144)-MAX('Activities'!K518,138))</x:f>
        <x:v>0</x:v>
      </x:c>
      <x:c r="AC518" s="22" t="n">
        <x:f>MAX(0,MIN('Activities'!L518,150)-MAX('Activities'!K518,144))</x:f>
        <x:v>0</x:v>
      </x:c>
      <x:c r="AD518" s="22" t="n">
        <x:f>MAX(0,MIN('Activities'!L518,156)-MAX('Activities'!K518,150))</x:f>
        <x:v>0</x:v>
      </x:c>
      <x:c r="AE518" s="22" t="n">
        <x:f>MAX(0,MIN('Activities'!L518,162)-MAX('Activities'!K518,156))</x:f>
        <x:v>0</x:v>
      </x:c>
      <x:c r="AF518" s="22" t="n">
        <x:f>MAX(0,MIN('Activities'!L518,168)-MAX('Activities'!K518,162))</x:f>
        <x:v>0</x:v>
      </x:c>
      <x:c r="AG518" s="22" t="n">
        <x:f>MAX(0,MIN('Activities'!L518,174)-MAX('Activities'!K518,168))</x:f>
        <x:v>0</x:v>
      </x:c>
      <x:c r="AH518" s="22" t="n">
        <x:f>MAX(0,MIN('Activities'!L518,180)-MAX('Activities'!K518,174))</x:f>
        <x:v>0</x:v>
      </x:c>
      <x:c r="AI518" s="22" t="n">
        <x:f>MAX(0,MIN('Activities'!L518,186)-MAX('Activities'!K518,180))</x:f>
        <x:v>0</x:v>
      </x:c>
      <x:c r="AJ518" s="22" t="n">
        <x:f>MAX(0,MIN('Activities'!L518,192)-MAX('Activities'!K518,186))</x:f>
        <x:v>0</x:v>
      </x:c>
      <x:c r="AK518" s="22" t="n">
        <x:f>MAX(0,MIN('Activities'!L518,198)-MAX('Activities'!K518,192))</x:f>
        <x:v>0</x:v>
      </x:c>
      <x:c r="AL518" s="22" t="n">
        <x:f>MAX(0,MIN('Activities'!L518,204)-MAX('Activities'!K518,198))</x:f>
        <x:v>0</x:v>
      </x:c>
      <x:c r="AM518" s="22" t="n">
        <x:f>MAX(0,MIN('Activities'!L518,210)-MAX('Activities'!K518,204))</x:f>
        <x:v>0</x:v>
      </x:c>
      <x:c r="AN518" s="22" t="n">
        <x:f>MAX(0,MIN('Activities'!L518,216)-MAX('Activities'!K518,210))</x:f>
        <x:v>0</x:v>
      </x:c>
      <x:c r="AO518" s="22" t="n">
        <x:f>MAX(0,MIN('Activities'!L518,222)-MAX('Activities'!K518,216))</x:f>
        <x:v>0</x:v>
      </x:c>
      <x:c r="AP518" s="22" t="n">
        <x:f>MAX(0,MIN('Activities'!L518,228)-MAX('Activities'!K518,222))</x:f>
        <x:v>0</x:v>
      </x:c>
      <x:c r="AQ518" s="22" t="n">
        <x:f>MAX(0,MIN('Activities'!L518,234)-MAX('Activities'!K518,228))</x:f>
        <x:v>0</x:v>
      </x:c>
      <x:c r="AR518" s="22" t="n">
        <x:f>MAX(0,MIN('Activities'!L518,240)-MAX('Activities'!K518,234))</x:f>
        <x:v>0</x:v>
      </x:c>
      <x:c r="AS518" s="22" t="n">
        <x:f>MAX(0,MIN('Activities'!L518,246)-MAX('Activities'!K518,240))</x:f>
        <x:v>0</x:v>
      </x:c>
      <x:c r="AT518" s="22" t="n">
        <x:f>MAX(0,MIN('Activities'!L518,252)-MAX('Activities'!K518,246))</x:f>
        <x:v>0</x:v>
      </x:c>
      <x:c r="AU518" s="22" t="n">
        <x:f>MAX(0,MIN('Activities'!L518,258)-MAX('Activities'!K518,252))</x:f>
        <x:v>0</x:v>
      </x:c>
      <x:c r="AV518" s="22" t="n">
        <x:f>MAX(0,MIN('Activities'!L518,264)-MAX('Activities'!K518,258))</x:f>
        <x:v>0</x:v>
      </x:c>
      <x:c r="AW518" s="22" t="n">
        <x:f>MAX(0,MIN('Activities'!L518,270)-MAX('Activities'!K518,264))</x:f>
        <x:v>0</x:v>
      </x:c>
      <x:c r="AX518" s="22" t="n">
        <x:f>MAX(0,MIN('Activities'!L518,276)-MAX('Activities'!K518,270))</x:f>
        <x:v>0</x:v>
      </x:c>
      <x:c r="AY518" s="22" t="n">
        <x:f>MAX(0,MIN('Activities'!L518,282)-MAX('Activities'!K518,276))</x:f>
        <x:v>0</x:v>
      </x:c>
      <x:c r="AZ518" s="22" t="n">
        <x:f>MAX(0,MIN('Activities'!L518,288)-MAX('Activities'!K518,282))</x:f>
        <x:v>0</x:v>
      </x:c>
      <x:c r="BA518" s="22" t="n">
        <x:f>MAX(0,MIN('Activities'!L518,294)-MAX('Activities'!K518,288))</x:f>
        <x:v>0</x:v>
      </x:c>
      <x:c r="BB518" s="22" t="n">
        <x:f>MAX(0,MIN('Activities'!L518,300)-MAX('Activities'!K518,294))</x:f>
        <x:v>0</x:v>
      </x:c>
      <x:c r="BC518" s="22" t="n">
        <x:f>MAX(0,MIN('Activities'!L518,306)-MAX('Activities'!K518,300))</x:f>
        <x:v>0</x:v>
      </x:c>
      <x:c r="BD518" s="22" t="n">
        <x:f>MAX(0,MIN('Activities'!L518,312)-MAX('Activities'!K518,306))</x:f>
        <x:v>0</x:v>
      </x:c>
      <x:c r="BE518" s="22" t="n">
        <x:f>MAX(0,MIN('Activities'!L518,318)-MAX('Activities'!K518,312))</x:f>
        <x:v>0</x:v>
      </x:c>
      <x:c r="BF518" s="22" t="n">
        <x:f>MAX(0,MIN('Activities'!L518,324)-MAX('Activities'!K518,318))</x:f>
        <x:v>0</x:v>
      </x:c>
      <x:c r="BG518" s="22" t="n">
        <x:f>MAX(0,MIN('Activities'!L518,330)-MAX('Activities'!K518,324))</x:f>
        <x:v>0</x:v>
      </x:c>
      <x:c r="BH518" s="22" t="n">
        <x:f>MAX(0,MIN('Activities'!L518,336)-MAX('Activities'!K518,330))</x:f>
        <x:v>0</x:v>
      </x:c>
      <x:c r="BI518" s="22" t="n">
        <x:f>MAX(0,MIN('Activities'!L518,342)-MAX('Activities'!K518,336))</x:f>
        <x:v>0</x:v>
      </x:c>
      <x:c r="BJ518" s="22" t="n">
        <x:f>MAX(0,MIN('Activities'!L518,348)-MAX('Activities'!K518,342))</x:f>
        <x:v>0</x:v>
      </x:c>
      <x:c r="BK518" s="22" t="n">
        <x:f>MAX(0,MIN('Activities'!L518,354)-MAX('Activities'!K518,348))</x:f>
        <x:v>0</x:v>
      </x:c>
      <x:c r="BL518" s="22" t="n">
        <x:f>MAX(0,MIN('Activities'!L518,360)-MAX('Activities'!K518,354))</x:f>
        <x:v>0</x:v>
      </x:c>
      <x:c r="BM518" s="22" t="n">
        <x:f>MAX(0,MIN('Activities'!L518,366)-MAX('Activities'!K518,360))</x:f>
        <x:v>0</x:v>
      </x:c>
      <x:c r="BN518" s="22" t="n">
        <x:f>MAX(0,MIN('Activities'!L518,372)-MAX('Activities'!K518,366))</x:f>
        <x:v>0</x:v>
      </x:c>
      <x:c r="BO518" s="22" t="n">
        <x:f>MAX(0,MIN('Activities'!L518,378)-MAX('Activities'!K518,372))</x:f>
        <x:v>0</x:v>
      </x:c>
      <x:c r="BP518" s="22" t="n">
        <x:f>MAX(0,MIN('Activities'!L518,384)-MAX('Activities'!K518,378))</x:f>
        <x:v>0</x:v>
      </x:c>
      <x:c r="BQ518" s="22" t="n">
        <x:f>MAX(0,MIN('Activities'!L518,390)-MAX('Activities'!K518,384))</x:f>
        <x:v>0</x:v>
      </x:c>
      <x:c r="BR518" s="22" t="n">
        <x:f>MAX(0,MIN('Activities'!L518,396)-MAX('Activities'!K518,390))</x:f>
        <x:v>5</x:v>
      </x:c>
      <x:c r="BS518" s="22" t="n">
        <x:f>MAX(0,MIN('Activities'!L518,402)-MAX('Activities'!K518,396))</x:f>
        <x:v>0</x:v>
      </x:c>
      <x:c r="BT518" s="22" t="n">
        <x:f>MAX(0,MIN('Activities'!L518,408)-MAX('Activities'!K518,402))</x:f>
        <x:v>0</x:v>
      </x:c>
      <x:c r="BU518" s="22" t="n">
        <x:f>MAX(0,MIN('Activities'!L518,414)-MAX('Activities'!K518,408))</x:f>
        <x:v>0</x:v>
      </x:c>
      <x:c r="BV518" s="22" t="n">
        <x:f>MAX(0,MIN('Activities'!L518,420)-MAX('Activities'!K518,414))</x:f>
        <x:v>0</x:v>
      </x:c>
      <x:c r="BW518" s="22" t="n">
        <x:f>MAX(0,MIN('Activities'!L518,426)-MAX('Activities'!K518,420))</x:f>
        <x:v>0</x:v>
      </x:c>
      <x:c r="BX518" s="22" t="n">
        <x:f>MAX(0,MIN('Activities'!L518,432)-MAX('Activities'!K518,426))</x:f>
        <x:v>0</x:v>
      </x:c>
      <x:c r="BY518" s="22" t="n">
        <x:f>MAX(0,MIN('Activities'!L518,438)-MAX('Activities'!K518,432))</x:f>
        <x:v>0</x:v>
      </x:c>
      <x:c r="BZ518" s="22" t="n">
        <x:f>MAX(0,MIN('Activities'!L518,444)-MAX('Activities'!K518,438))</x:f>
        <x:v>0</x:v>
      </x:c>
      <x:c r="CA518" s="22" t="n">
        <x:f>MAX(0,MIN('Activities'!L518,450)-MAX('Activities'!K518,444))</x:f>
        <x:v>0</x:v>
      </x:c>
      <x:c r="CB518" s="22" t="n">
        <x:f>MAX(0,MIN('Activities'!L518,456)-MAX('Activities'!K518,450))</x:f>
        <x:v>0</x:v>
      </x:c>
      <x:c r="CC518" s="22" t="n">
        <x:f>MAX(0,MIN('Activities'!L518,462)-MAX('Activities'!K518,456))</x:f>
        <x:v>0</x:v>
      </x:c>
      <x:c r="CD518" s="22" t="n">
        <x:f>MAX(0,MIN('Activities'!L518,468)-MAX('Activities'!K518,462))</x:f>
        <x:v>0</x:v>
      </x:c>
      <x:c r="CE518" s="22" t="n">
        <x:f>MAX(0,MIN('Activities'!L518,474)-MAX('Activities'!K518,468))</x:f>
        <x:v>0</x:v>
      </x:c>
      <x:c r="CF518" s="22" t="n">
        <x:f>MAX(0,MIN('Activities'!L518,480)-MAX('Activities'!K518,474))</x:f>
        <x:v>0</x:v>
      </x:c>
      <x:c r="CG518" s="22" t="n">
        <x:f>MAX(0,MIN('Activities'!L518,486)-MAX('Activities'!K518,480))</x:f>
        <x:v>0</x:v>
      </x:c>
      <x:c r="CH518" s="22" t="n">
        <x:f>MAX(0,MIN('Activities'!L518,492)-MAX('Activities'!K518,486))</x:f>
        <x:v>0</x:v>
      </x:c>
      <x:c r="CI518" s="22" t="n">
        <x:f>MAX(0,MIN('Activities'!L518,498)-MAX('Activities'!K518,492))</x:f>
        <x:v>0</x:v>
      </x:c>
      <x:c r="CJ518" s="22" t="n">
        <x:f>MAX(0,MIN('Activities'!L518,504)-MAX('Activities'!K518,498))</x:f>
        <x:v>0</x:v>
      </x:c>
      <x:c r="CK518" s="22" t="n">
        <x:f>MAX(0,MIN('Activities'!L518,510)-MAX('Activities'!K518,504))</x:f>
        <x:v>0</x:v>
      </x:c>
      <x:c r="CL518" s="22" t="n">
        <x:f>MAX(0,MIN('Activities'!L518,516)-MAX('Activities'!K518,510))</x:f>
        <x:v>0</x:v>
      </x:c>
      <x:c r="CM518" s="22" t="n">
        <x:f>MAX(0,MIN('Activities'!L518,522)-MAX('Activities'!K518,516))</x:f>
        <x:v>0</x:v>
      </x:c>
      <x:c r="CN518" s="22" t="n">
        <x:f>MAX(0,MIN('Activities'!L518,528)-MAX('Activities'!K518,522))</x:f>
        <x:v>0</x:v>
      </x:c>
      <x:c r="CO518" s="22" t="n">
        <x:f>MAX(0,MIN('Activities'!L518,534)-MAX('Activities'!K518,528))</x:f>
        <x:v>0</x:v>
      </x:c>
      <x:c r="CP518" s="22" t="n">
        <x:f>MAX(0,MIN('Activities'!L518,540)-MAX('Activities'!K518,534))</x:f>
        <x:v>0</x:v>
      </x:c>
      <x:c r="CQ518" s="22" t="n">
        <x:f>MAX(0,MIN('Activities'!L518,546)-MAX('Activities'!K518,540))</x:f>
        <x:v>0</x:v>
      </x:c>
      <x:c r="CR518" s="22" t="n">
        <x:f>MAX(0,MIN('Activities'!L518,552)-MAX('Activities'!K518,546))</x:f>
        <x:v>0</x:v>
      </x:c>
      <x:c r="CS518" s="22" t="n">
        <x:f>MAX(0,MIN('Activities'!L518,558)-MAX('Activities'!K518,552))</x:f>
        <x:v>0</x:v>
      </x:c>
      <x:c r="CT518" s="22" t="n">
        <x:f>MAX(0,MIN('Activities'!L518,564)-MAX('Activities'!K518,558))</x:f>
        <x:v>0</x:v>
      </x:c>
      <x:c r="CU518" s="22" t="n">
        <x:f>MAX(0,MIN('Activities'!L518,570)-MAX('Activities'!K518,564))</x:f>
        <x:v>0</x:v>
      </x:c>
      <x:c r="CV518" s="22" t="n">
        <x:f>MAX(0,MIN('Activities'!L518,576)-MAX('Activities'!K518,570))</x:f>
        <x:v>0</x:v>
      </x:c>
      <x:c r="CW518" s="22" t="n">
        <x:f>MAX(0,MIN('Activities'!L518,582)-MAX('Activities'!K518,576))</x:f>
        <x:v>0</x:v>
      </x:c>
      <x:c r="CX518" s="22" t="n">
        <x:f>MAX(0,MIN('Activities'!L518,588)-MAX('Activities'!K518,582))</x:f>
        <x:v>0</x:v>
      </x:c>
      <x:c r="CY518" s="22" t="n">
        <x:f>MAX(0,MIN('Activities'!L518,594)-MAX('Activities'!K518,588))</x:f>
        <x:v>0</x:v>
      </x:c>
      <x:c r="CZ518" s="22" t="n">
        <x:f>MAX(0,MIN('Activities'!L518,600)-MAX('Activities'!K518,594))</x:f>
        <x:v>0</x:v>
      </x:c>
      <x:c r="DA518" s="22" t="n">
        <x:f>MAX(0,MIN('Activities'!L518,606)-MAX('Activities'!K518,600))</x:f>
        <x:v>0</x:v>
      </x:c>
      <x:c r="DB518" s="22" t="n">
        <x:f>MAX(0,MIN('Activities'!L518,612)-MAX('Activities'!K518,606))</x:f>
        <x:v>0</x:v>
      </x:c>
      <x:c r="DC518" s="22" t="n">
        <x:f>MAX(0,MIN('Activities'!L518,618)-MAX('Activities'!K518,612))</x:f>
        <x:v>0</x:v>
      </x:c>
      <x:c r="DD518" s="22" t="n">
        <x:f>MAX(0,MIN('Activities'!L518,624)-MAX('Activities'!K518,618))</x:f>
        <x:v>0</x:v>
      </x:c>
      <x:c r="DE518" s="22" t="n">
        <x:f>MAX(0,MIN('Activities'!L518,630)-MAX('Activities'!K518,624))</x:f>
        <x:v>0</x:v>
      </x:c>
      <x:c r="DF518" s="22" t="n">
        <x:f>MAX(0,MIN('Activities'!L518,636)-MAX('Activities'!K518,630))</x:f>
        <x:v>0</x:v>
      </x:c>
    </x:row>
    <x:row r="519" ht="23" customHeight="1">
      <x:c r="A519" s="1" t="str">
        <x:v>T4-L08-P</x:v>
      </x:c>
      <x:c r="B519" s="1" t="str">
        <x:v>T4</x:v>
      </x:c>
      <x:c r="C519" s="1" t="str">
        <x:v>Internal plaster</x:v>
      </x:c>
      <x:c r="D519" s="1" t="str">
        <x:v>Finishes</x:v>
      </x:c>
      <x:c r="E519" s="23" t="n">
        <x:f>MAX(0,MIN('Activities'!L519,6)-MAX('Activities'!K519,0))</x:f>
        <x:v>0</x:v>
      </x:c>
      <x:c r="F519" s="23" t="n">
        <x:f>MAX(0,MIN('Activities'!L519,12)-MAX('Activities'!K519,6))</x:f>
        <x:v>0</x:v>
      </x:c>
      <x:c r="G519" s="23" t="n">
        <x:f>MAX(0,MIN('Activities'!L519,18)-MAX('Activities'!K519,12))</x:f>
        <x:v>0</x:v>
      </x:c>
      <x:c r="H519" s="23" t="n">
        <x:f>MAX(0,MIN('Activities'!L519,24)-MAX('Activities'!K519,18))</x:f>
        <x:v>0</x:v>
      </x:c>
      <x:c r="I519" s="23" t="n">
        <x:f>MAX(0,MIN('Activities'!L519,30)-MAX('Activities'!K519,24))</x:f>
        <x:v>0</x:v>
      </x:c>
      <x:c r="J519" s="23" t="n">
        <x:f>MAX(0,MIN('Activities'!L519,36)-MAX('Activities'!K519,30))</x:f>
        <x:v>0</x:v>
      </x:c>
      <x:c r="K519" s="23" t="n">
        <x:f>MAX(0,MIN('Activities'!L519,42)-MAX('Activities'!K519,36))</x:f>
        <x:v>0</x:v>
      </x:c>
      <x:c r="L519" s="23" t="n">
        <x:f>MAX(0,MIN('Activities'!L519,48)-MAX('Activities'!K519,42))</x:f>
        <x:v>0</x:v>
      </x:c>
      <x:c r="M519" s="23" t="n">
        <x:f>MAX(0,MIN('Activities'!L519,54)-MAX('Activities'!K519,48))</x:f>
        <x:v>0</x:v>
      </x:c>
      <x:c r="N519" s="23" t="n">
        <x:f>MAX(0,MIN('Activities'!L519,60)-MAX('Activities'!K519,54))</x:f>
        <x:v>0</x:v>
      </x:c>
      <x:c r="O519" s="23" t="n">
        <x:f>MAX(0,MIN('Activities'!L519,66)-MAX('Activities'!K519,60))</x:f>
        <x:v>0</x:v>
      </x:c>
      <x:c r="P519" s="23" t="n">
        <x:f>MAX(0,MIN('Activities'!L519,72)-MAX('Activities'!K519,66))</x:f>
        <x:v>0</x:v>
      </x:c>
      <x:c r="Q519" s="23" t="n">
        <x:f>MAX(0,MIN('Activities'!L519,78)-MAX('Activities'!K519,72))</x:f>
        <x:v>0</x:v>
      </x:c>
      <x:c r="R519" s="23" t="n">
        <x:f>MAX(0,MIN('Activities'!L519,84)-MAX('Activities'!K519,78))</x:f>
        <x:v>0</x:v>
      </x:c>
      <x:c r="S519" s="23" t="n">
        <x:f>MAX(0,MIN('Activities'!L519,90)-MAX('Activities'!K519,84))</x:f>
        <x:v>0</x:v>
      </x:c>
      <x:c r="T519" s="23" t="n">
        <x:f>MAX(0,MIN('Activities'!L519,96)-MAX('Activities'!K519,90))</x:f>
        <x:v>0</x:v>
      </x:c>
      <x:c r="U519" s="23" t="n">
        <x:f>MAX(0,MIN('Activities'!L519,102)-MAX('Activities'!K519,96))</x:f>
        <x:v>0</x:v>
      </x:c>
      <x:c r="V519" s="23" t="n">
        <x:f>MAX(0,MIN('Activities'!L519,108)-MAX('Activities'!K519,102))</x:f>
        <x:v>0</x:v>
      </x:c>
      <x:c r="W519" s="23" t="n">
        <x:f>MAX(0,MIN('Activities'!L519,114)-MAX('Activities'!K519,108))</x:f>
        <x:v>0</x:v>
      </x:c>
      <x:c r="X519" s="23" t="n">
        <x:f>MAX(0,MIN('Activities'!L519,120)-MAX('Activities'!K519,114))</x:f>
        <x:v>0</x:v>
      </x:c>
      <x:c r="Y519" s="23" t="n">
        <x:f>MAX(0,MIN('Activities'!L519,126)-MAX('Activities'!K519,120))</x:f>
        <x:v>0</x:v>
      </x:c>
      <x:c r="Z519" s="23" t="n">
        <x:f>MAX(0,MIN('Activities'!L519,132)-MAX('Activities'!K519,126))</x:f>
        <x:v>0</x:v>
      </x:c>
      <x:c r="AA519" s="23" t="n">
        <x:f>MAX(0,MIN('Activities'!L519,138)-MAX('Activities'!K519,132))</x:f>
        <x:v>0</x:v>
      </x:c>
      <x:c r="AB519" s="23" t="n">
        <x:f>MAX(0,MIN('Activities'!L519,144)-MAX('Activities'!K519,138))</x:f>
        <x:v>0</x:v>
      </x:c>
      <x:c r="AC519" s="23" t="n">
        <x:f>MAX(0,MIN('Activities'!L519,150)-MAX('Activities'!K519,144))</x:f>
        <x:v>0</x:v>
      </x:c>
      <x:c r="AD519" s="23" t="n">
        <x:f>MAX(0,MIN('Activities'!L519,156)-MAX('Activities'!K519,150))</x:f>
        <x:v>0</x:v>
      </x:c>
      <x:c r="AE519" s="23" t="n">
        <x:f>MAX(0,MIN('Activities'!L519,162)-MAX('Activities'!K519,156))</x:f>
        <x:v>0</x:v>
      </x:c>
      <x:c r="AF519" s="23" t="n">
        <x:f>MAX(0,MIN('Activities'!L519,168)-MAX('Activities'!K519,162))</x:f>
        <x:v>0</x:v>
      </x:c>
      <x:c r="AG519" s="23" t="n">
        <x:f>MAX(0,MIN('Activities'!L519,174)-MAX('Activities'!K519,168))</x:f>
        <x:v>0</x:v>
      </x:c>
      <x:c r="AH519" s="23" t="n">
        <x:f>MAX(0,MIN('Activities'!L519,180)-MAX('Activities'!K519,174))</x:f>
        <x:v>0</x:v>
      </x:c>
      <x:c r="AI519" s="23" t="n">
        <x:f>MAX(0,MIN('Activities'!L519,186)-MAX('Activities'!K519,180))</x:f>
        <x:v>0</x:v>
      </x:c>
      <x:c r="AJ519" s="23" t="n">
        <x:f>MAX(0,MIN('Activities'!L519,192)-MAX('Activities'!K519,186))</x:f>
        <x:v>0</x:v>
      </x:c>
      <x:c r="AK519" s="23" t="n">
        <x:f>MAX(0,MIN('Activities'!L519,198)-MAX('Activities'!K519,192))</x:f>
        <x:v>0</x:v>
      </x:c>
      <x:c r="AL519" s="23" t="n">
        <x:f>MAX(0,MIN('Activities'!L519,204)-MAX('Activities'!K519,198))</x:f>
        <x:v>0</x:v>
      </x:c>
      <x:c r="AM519" s="23" t="n">
        <x:f>MAX(0,MIN('Activities'!L519,210)-MAX('Activities'!K519,204))</x:f>
        <x:v>0</x:v>
      </x:c>
      <x:c r="AN519" s="23" t="n">
        <x:f>MAX(0,MIN('Activities'!L519,216)-MAX('Activities'!K519,210))</x:f>
        <x:v>0</x:v>
      </x:c>
      <x:c r="AO519" s="23" t="n">
        <x:f>MAX(0,MIN('Activities'!L519,222)-MAX('Activities'!K519,216))</x:f>
        <x:v>0</x:v>
      </x:c>
      <x:c r="AP519" s="23" t="n">
        <x:f>MAX(0,MIN('Activities'!L519,228)-MAX('Activities'!K519,222))</x:f>
        <x:v>0</x:v>
      </x:c>
      <x:c r="AQ519" s="23" t="n">
        <x:f>MAX(0,MIN('Activities'!L519,234)-MAX('Activities'!K519,228))</x:f>
        <x:v>0</x:v>
      </x:c>
      <x:c r="AR519" s="23" t="n">
        <x:f>MAX(0,MIN('Activities'!L519,240)-MAX('Activities'!K519,234))</x:f>
        <x:v>0</x:v>
      </x:c>
      <x:c r="AS519" s="23" t="n">
        <x:f>MAX(0,MIN('Activities'!L519,246)-MAX('Activities'!K519,240))</x:f>
        <x:v>0</x:v>
      </x:c>
      <x:c r="AT519" s="23" t="n">
        <x:f>MAX(0,MIN('Activities'!L519,252)-MAX('Activities'!K519,246))</x:f>
        <x:v>0</x:v>
      </x:c>
      <x:c r="AU519" s="23" t="n">
        <x:f>MAX(0,MIN('Activities'!L519,258)-MAX('Activities'!K519,252))</x:f>
        <x:v>0</x:v>
      </x:c>
      <x:c r="AV519" s="23" t="n">
        <x:f>MAX(0,MIN('Activities'!L519,264)-MAX('Activities'!K519,258))</x:f>
        <x:v>0</x:v>
      </x:c>
      <x:c r="AW519" s="23" t="n">
        <x:f>MAX(0,MIN('Activities'!L519,270)-MAX('Activities'!K519,264))</x:f>
        <x:v>0</x:v>
      </x:c>
      <x:c r="AX519" s="23" t="n">
        <x:f>MAX(0,MIN('Activities'!L519,276)-MAX('Activities'!K519,270))</x:f>
        <x:v>0</x:v>
      </x:c>
      <x:c r="AY519" s="23" t="n">
        <x:f>MAX(0,MIN('Activities'!L519,282)-MAX('Activities'!K519,276))</x:f>
        <x:v>0</x:v>
      </x:c>
      <x:c r="AZ519" s="23" t="n">
        <x:f>MAX(0,MIN('Activities'!L519,288)-MAX('Activities'!K519,282))</x:f>
        <x:v>0</x:v>
      </x:c>
      <x:c r="BA519" s="23" t="n">
        <x:f>MAX(0,MIN('Activities'!L519,294)-MAX('Activities'!K519,288))</x:f>
        <x:v>0</x:v>
      </x:c>
      <x:c r="BB519" s="23" t="n">
        <x:f>MAX(0,MIN('Activities'!L519,300)-MAX('Activities'!K519,294))</x:f>
        <x:v>0</x:v>
      </x:c>
      <x:c r="BC519" s="23" t="n">
        <x:f>MAX(0,MIN('Activities'!L519,306)-MAX('Activities'!K519,300))</x:f>
        <x:v>0</x:v>
      </x:c>
      <x:c r="BD519" s="23" t="n">
        <x:f>MAX(0,MIN('Activities'!L519,312)-MAX('Activities'!K519,306))</x:f>
        <x:v>0</x:v>
      </x:c>
      <x:c r="BE519" s="23" t="n">
        <x:f>MAX(0,MIN('Activities'!L519,318)-MAX('Activities'!K519,312))</x:f>
        <x:v>0</x:v>
      </x:c>
      <x:c r="BF519" s="23" t="n">
        <x:f>MAX(0,MIN('Activities'!L519,324)-MAX('Activities'!K519,318))</x:f>
        <x:v>0</x:v>
      </x:c>
      <x:c r="BG519" s="23" t="n">
        <x:f>MAX(0,MIN('Activities'!L519,330)-MAX('Activities'!K519,324))</x:f>
        <x:v>0</x:v>
      </x:c>
      <x:c r="BH519" s="23" t="n">
        <x:f>MAX(0,MIN('Activities'!L519,336)-MAX('Activities'!K519,330))</x:f>
        <x:v>0</x:v>
      </x:c>
      <x:c r="BI519" s="23" t="n">
        <x:f>MAX(0,MIN('Activities'!L519,342)-MAX('Activities'!K519,336))</x:f>
        <x:v>0</x:v>
      </x:c>
      <x:c r="BJ519" s="23" t="n">
        <x:f>MAX(0,MIN('Activities'!L519,348)-MAX('Activities'!K519,342))</x:f>
        <x:v>0</x:v>
      </x:c>
      <x:c r="BK519" s="23" t="n">
        <x:f>MAX(0,MIN('Activities'!L519,354)-MAX('Activities'!K519,348))</x:f>
        <x:v>0</x:v>
      </x:c>
      <x:c r="BL519" s="23" t="n">
        <x:f>MAX(0,MIN('Activities'!L519,360)-MAX('Activities'!K519,354))</x:f>
        <x:v>0</x:v>
      </x:c>
      <x:c r="BM519" s="23" t="n">
        <x:f>MAX(0,MIN('Activities'!L519,366)-MAX('Activities'!K519,360))</x:f>
        <x:v>0</x:v>
      </x:c>
      <x:c r="BN519" s="23" t="n">
        <x:f>MAX(0,MIN('Activities'!L519,372)-MAX('Activities'!K519,366))</x:f>
        <x:v>0</x:v>
      </x:c>
      <x:c r="BO519" s="23" t="n">
        <x:f>MAX(0,MIN('Activities'!L519,378)-MAX('Activities'!K519,372))</x:f>
        <x:v>0</x:v>
      </x:c>
      <x:c r="BP519" s="23" t="n">
        <x:f>MAX(0,MIN('Activities'!L519,384)-MAX('Activities'!K519,378))</x:f>
        <x:v>0</x:v>
      </x:c>
      <x:c r="BQ519" s="23" t="n">
        <x:f>MAX(0,MIN('Activities'!L519,390)-MAX('Activities'!K519,384))</x:f>
        <x:v>0</x:v>
      </x:c>
      <x:c r="BR519" s="23" t="n">
        <x:f>MAX(0,MIN('Activities'!L519,396)-MAX('Activities'!K519,390))</x:f>
        <x:v>0</x:v>
      </x:c>
      <x:c r="BS519" s="23" t="n">
        <x:f>MAX(0,MIN('Activities'!L519,402)-MAX('Activities'!K519,396))</x:f>
        <x:v>3</x:v>
      </x:c>
      <x:c r="BT519" s="23" t="n">
        <x:f>MAX(0,MIN('Activities'!L519,408)-MAX('Activities'!K519,402))</x:f>
        <x:v>3</x:v>
      </x:c>
      <x:c r="BU519" s="23" t="n">
        <x:f>MAX(0,MIN('Activities'!L519,414)-MAX('Activities'!K519,408))</x:f>
        <x:v>0</x:v>
      </x:c>
      <x:c r="BV519" s="23" t="n">
        <x:f>MAX(0,MIN('Activities'!L519,420)-MAX('Activities'!K519,414))</x:f>
        <x:v>0</x:v>
      </x:c>
      <x:c r="BW519" s="23" t="n">
        <x:f>MAX(0,MIN('Activities'!L519,426)-MAX('Activities'!K519,420))</x:f>
        <x:v>0</x:v>
      </x:c>
      <x:c r="BX519" s="23" t="n">
        <x:f>MAX(0,MIN('Activities'!L519,432)-MAX('Activities'!K519,426))</x:f>
        <x:v>0</x:v>
      </x:c>
      <x:c r="BY519" s="23" t="n">
        <x:f>MAX(0,MIN('Activities'!L519,438)-MAX('Activities'!K519,432))</x:f>
        <x:v>0</x:v>
      </x:c>
      <x:c r="BZ519" s="23" t="n">
        <x:f>MAX(0,MIN('Activities'!L519,444)-MAX('Activities'!K519,438))</x:f>
        <x:v>0</x:v>
      </x:c>
      <x:c r="CA519" s="23" t="n">
        <x:f>MAX(0,MIN('Activities'!L519,450)-MAX('Activities'!K519,444))</x:f>
        <x:v>0</x:v>
      </x:c>
      <x:c r="CB519" s="23" t="n">
        <x:f>MAX(0,MIN('Activities'!L519,456)-MAX('Activities'!K519,450))</x:f>
        <x:v>0</x:v>
      </x:c>
      <x:c r="CC519" s="23" t="n">
        <x:f>MAX(0,MIN('Activities'!L519,462)-MAX('Activities'!K519,456))</x:f>
        <x:v>0</x:v>
      </x:c>
      <x:c r="CD519" s="23" t="n">
        <x:f>MAX(0,MIN('Activities'!L519,468)-MAX('Activities'!K519,462))</x:f>
        <x:v>0</x:v>
      </x:c>
      <x:c r="CE519" s="23" t="n">
        <x:f>MAX(0,MIN('Activities'!L519,474)-MAX('Activities'!K519,468))</x:f>
        <x:v>0</x:v>
      </x:c>
      <x:c r="CF519" s="23" t="n">
        <x:f>MAX(0,MIN('Activities'!L519,480)-MAX('Activities'!K519,474))</x:f>
        <x:v>0</x:v>
      </x:c>
      <x:c r="CG519" s="23" t="n">
        <x:f>MAX(0,MIN('Activities'!L519,486)-MAX('Activities'!K519,480))</x:f>
        <x:v>0</x:v>
      </x:c>
      <x:c r="CH519" s="23" t="n">
        <x:f>MAX(0,MIN('Activities'!L519,492)-MAX('Activities'!K519,486))</x:f>
        <x:v>0</x:v>
      </x:c>
      <x:c r="CI519" s="23" t="n">
        <x:f>MAX(0,MIN('Activities'!L519,498)-MAX('Activities'!K519,492))</x:f>
        <x:v>0</x:v>
      </x:c>
      <x:c r="CJ519" s="23" t="n">
        <x:f>MAX(0,MIN('Activities'!L519,504)-MAX('Activities'!K519,498))</x:f>
        <x:v>0</x:v>
      </x:c>
      <x:c r="CK519" s="23" t="n">
        <x:f>MAX(0,MIN('Activities'!L519,510)-MAX('Activities'!K519,504))</x:f>
        <x:v>0</x:v>
      </x:c>
      <x:c r="CL519" s="23" t="n">
        <x:f>MAX(0,MIN('Activities'!L519,516)-MAX('Activities'!K519,510))</x:f>
        <x:v>0</x:v>
      </x:c>
      <x:c r="CM519" s="23" t="n">
        <x:f>MAX(0,MIN('Activities'!L519,522)-MAX('Activities'!K519,516))</x:f>
        <x:v>0</x:v>
      </x:c>
      <x:c r="CN519" s="23" t="n">
        <x:f>MAX(0,MIN('Activities'!L519,528)-MAX('Activities'!K519,522))</x:f>
        <x:v>0</x:v>
      </x:c>
      <x:c r="CO519" s="23" t="n">
        <x:f>MAX(0,MIN('Activities'!L519,534)-MAX('Activities'!K519,528))</x:f>
        <x:v>0</x:v>
      </x:c>
      <x:c r="CP519" s="23" t="n">
        <x:f>MAX(0,MIN('Activities'!L519,540)-MAX('Activities'!K519,534))</x:f>
        <x:v>0</x:v>
      </x:c>
      <x:c r="CQ519" s="23" t="n">
        <x:f>MAX(0,MIN('Activities'!L519,546)-MAX('Activities'!K519,540))</x:f>
        <x:v>0</x:v>
      </x:c>
      <x:c r="CR519" s="23" t="n">
        <x:f>MAX(0,MIN('Activities'!L519,552)-MAX('Activities'!K519,546))</x:f>
        <x:v>0</x:v>
      </x:c>
      <x:c r="CS519" s="23" t="n">
        <x:f>MAX(0,MIN('Activities'!L519,558)-MAX('Activities'!K519,552))</x:f>
        <x:v>0</x:v>
      </x:c>
      <x:c r="CT519" s="23" t="n">
        <x:f>MAX(0,MIN('Activities'!L519,564)-MAX('Activities'!K519,558))</x:f>
        <x:v>0</x:v>
      </x:c>
      <x:c r="CU519" s="23" t="n">
        <x:f>MAX(0,MIN('Activities'!L519,570)-MAX('Activities'!K519,564))</x:f>
        <x:v>0</x:v>
      </x:c>
      <x:c r="CV519" s="23" t="n">
        <x:f>MAX(0,MIN('Activities'!L519,576)-MAX('Activities'!K519,570))</x:f>
        <x:v>0</x:v>
      </x:c>
      <x:c r="CW519" s="23" t="n">
        <x:f>MAX(0,MIN('Activities'!L519,582)-MAX('Activities'!K519,576))</x:f>
        <x:v>0</x:v>
      </x:c>
      <x:c r="CX519" s="23" t="n">
        <x:f>MAX(0,MIN('Activities'!L519,588)-MAX('Activities'!K519,582))</x:f>
        <x:v>0</x:v>
      </x:c>
      <x:c r="CY519" s="23" t="n">
        <x:f>MAX(0,MIN('Activities'!L519,594)-MAX('Activities'!K519,588))</x:f>
        <x:v>0</x:v>
      </x:c>
      <x:c r="CZ519" s="23" t="n">
        <x:f>MAX(0,MIN('Activities'!L519,600)-MAX('Activities'!K519,594))</x:f>
        <x:v>0</x:v>
      </x:c>
      <x:c r="DA519" s="23" t="n">
        <x:f>MAX(0,MIN('Activities'!L519,606)-MAX('Activities'!K519,600))</x:f>
        <x:v>0</x:v>
      </x:c>
      <x:c r="DB519" s="23" t="n">
        <x:f>MAX(0,MIN('Activities'!L519,612)-MAX('Activities'!K519,606))</x:f>
        <x:v>0</x:v>
      </x:c>
      <x:c r="DC519" s="23" t="n">
        <x:f>MAX(0,MIN('Activities'!L519,618)-MAX('Activities'!K519,612))</x:f>
        <x:v>0</x:v>
      </x:c>
      <x:c r="DD519" s="23" t="n">
        <x:f>MAX(0,MIN('Activities'!L519,624)-MAX('Activities'!K519,618))</x:f>
        <x:v>0</x:v>
      </x:c>
      <x:c r="DE519" s="23" t="n">
        <x:f>MAX(0,MIN('Activities'!L519,630)-MAX('Activities'!K519,624))</x:f>
        <x:v>0</x:v>
      </x:c>
      <x:c r="DF519" s="23" t="n">
        <x:f>MAX(0,MIN('Activities'!L519,636)-MAX('Activities'!K519,630))</x:f>
        <x:v>0</x:v>
      </x:c>
    </x:row>
    <x:row r="520" ht="23" customHeight="1">
      <x:c r="A520" s="6" t="str">
        <x:v>T4-L08-S</x:v>
      </x:c>
      <x:c r="B520" s="6" t="str">
        <x:v>T4</x:v>
      </x:c>
      <x:c r="C520" s="6" t="str">
        <x:v>Screed and substrate preparation</x:v>
      </x:c>
      <x:c r="D520" s="6" t="str">
        <x:v>Finishes</x:v>
      </x:c>
      <x:c r="E520" s="22" t="n">
        <x:f>MAX(0,MIN('Activities'!L520,6)-MAX('Activities'!K520,0))</x:f>
        <x:v>0</x:v>
      </x:c>
      <x:c r="F520" s="22" t="n">
        <x:f>MAX(0,MIN('Activities'!L520,12)-MAX('Activities'!K520,6))</x:f>
        <x:v>0</x:v>
      </x:c>
      <x:c r="G520" s="22" t="n">
        <x:f>MAX(0,MIN('Activities'!L520,18)-MAX('Activities'!K520,12))</x:f>
        <x:v>0</x:v>
      </x:c>
      <x:c r="H520" s="22" t="n">
        <x:f>MAX(0,MIN('Activities'!L520,24)-MAX('Activities'!K520,18))</x:f>
        <x:v>0</x:v>
      </x:c>
      <x:c r="I520" s="22" t="n">
        <x:f>MAX(0,MIN('Activities'!L520,30)-MAX('Activities'!K520,24))</x:f>
        <x:v>0</x:v>
      </x:c>
      <x:c r="J520" s="22" t="n">
        <x:f>MAX(0,MIN('Activities'!L520,36)-MAX('Activities'!K520,30))</x:f>
        <x:v>0</x:v>
      </x:c>
      <x:c r="K520" s="22" t="n">
        <x:f>MAX(0,MIN('Activities'!L520,42)-MAX('Activities'!K520,36))</x:f>
        <x:v>0</x:v>
      </x:c>
      <x:c r="L520" s="22" t="n">
        <x:f>MAX(0,MIN('Activities'!L520,48)-MAX('Activities'!K520,42))</x:f>
        <x:v>0</x:v>
      </x:c>
      <x:c r="M520" s="22" t="n">
        <x:f>MAX(0,MIN('Activities'!L520,54)-MAX('Activities'!K520,48))</x:f>
        <x:v>0</x:v>
      </x:c>
      <x:c r="N520" s="22" t="n">
        <x:f>MAX(0,MIN('Activities'!L520,60)-MAX('Activities'!K520,54))</x:f>
        <x:v>0</x:v>
      </x:c>
      <x:c r="O520" s="22" t="n">
        <x:f>MAX(0,MIN('Activities'!L520,66)-MAX('Activities'!K520,60))</x:f>
        <x:v>0</x:v>
      </x:c>
      <x:c r="P520" s="22" t="n">
        <x:f>MAX(0,MIN('Activities'!L520,72)-MAX('Activities'!K520,66))</x:f>
        <x:v>0</x:v>
      </x:c>
      <x:c r="Q520" s="22" t="n">
        <x:f>MAX(0,MIN('Activities'!L520,78)-MAX('Activities'!K520,72))</x:f>
        <x:v>0</x:v>
      </x:c>
      <x:c r="R520" s="22" t="n">
        <x:f>MAX(0,MIN('Activities'!L520,84)-MAX('Activities'!K520,78))</x:f>
        <x:v>0</x:v>
      </x:c>
      <x:c r="S520" s="22" t="n">
        <x:f>MAX(0,MIN('Activities'!L520,90)-MAX('Activities'!K520,84))</x:f>
        <x:v>0</x:v>
      </x:c>
      <x:c r="T520" s="22" t="n">
        <x:f>MAX(0,MIN('Activities'!L520,96)-MAX('Activities'!K520,90))</x:f>
        <x:v>0</x:v>
      </x:c>
      <x:c r="U520" s="22" t="n">
        <x:f>MAX(0,MIN('Activities'!L520,102)-MAX('Activities'!K520,96))</x:f>
        <x:v>0</x:v>
      </x:c>
      <x:c r="V520" s="22" t="n">
        <x:f>MAX(0,MIN('Activities'!L520,108)-MAX('Activities'!K520,102))</x:f>
        <x:v>0</x:v>
      </x:c>
      <x:c r="W520" s="22" t="n">
        <x:f>MAX(0,MIN('Activities'!L520,114)-MAX('Activities'!K520,108))</x:f>
        <x:v>0</x:v>
      </x:c>
      <x:c r="X520" s="22" t="n">
        <x:f>MAX(0,MIN('Activities'!L520,120)-MAX('Activities'!K520,114))</x:f>
        <x:v>0</x:v>
      </x:c>
      <x:c r="Y520" s="22" t="n">
        <x:f>MAX(0,MIN('Activities'!L520,126)-MAX('Activities'!K520,120))</x:f>
        <x:v>0</x:v>
      </x:c>
      <x:c r="Z520" s="22" t="n">
        <x:f>MAX(0,MIN('Activities'!L520,132)-MAX('Activities'!K520,126))</x:f>
        <x:v>0</x:v>
      </x:c>
      <x:c r="AA520" s="22" t="n">
        <x:f>MAX(0,MIN('Activities'!L520,138)-MAX('Activities'!K520,132))</x:f>
        <x:v>0</x:v>
      </x:c>
      <x:c r="AB520" s="22" t="n">
        <x:f>MAX(0,MIN('Activities'!L520,144)-MAX('Activities'!K520,138))</x:f>
        <x:v>0</x:v>
      </x:c>
      <x:c r="AC520" s="22" t="n">
        <x:f>MAX(0,MIN('Activities'!L520,150)-MAX('Activities'!K520,144))</x:f>
        <x:v>0</x:v>
      </x:c>
      <x:c r="AD520" s="22" t="n">
        <x:f>MAX(0,MIN('Activities'!L520,156)-MAX('Activities'!K520,150))</x:f>
        <x:v>0</x:v>
      </x:c>
      <x:c r="AE520" s="22" t="n">
        <x:f>MAX(0,MIN('Activities'!L520,162)-MAX('Activities'!K520,156))</x:f>
        <x:v>0</x:v>
      </x:c>
      <x:c r="AF520" s="22" t="n">
        <x:f>MAX(0,MIN('Activities'!L520,168)-MAX('Activities'!K520,162))</x:f>
        <x:v>0</x:v>
      </x:c>
      <x:c r="AG520" s="22" t="n">
        <x:f>MAX(0,MIN('Activities'!L520,174)-MAX('Activities'!K520,168))</x:f>
        <x:v>0</x:v>
      </x:c>
      <x:c r="AH520" s="22" t="n">
        <x:f>MAX(0,MIN('Activities'!L520,180)-MAX('Activities'!K520,174))</x:f>
        <x:v>0</x:v>
      </x:c>
      <x:c r="AI520" s="22" t="n">
        <x:f>MAX(0,MIN('Activities'!L520,186)-MAX('Activities'!K520,180))</x:f>
        <x:v>0</x:v>
      </x:c>
      <x:c r="AJ520" s="22" t="n">
        <x:f>MAX(0,MIN('Activities'!L520,192)-MAX('Activities'!K520,186))</x:f>
        <x:v>0</x:v>
      </x:c>
      <x:c r="AK520" s="22" t="n">
        <x:f>MAX(0,MIN('Activities'!L520,198)-MAX('Activities'!K520,192))</x:f>
        <x:v>0</x:v>
      </x:c>
      <x:c r="AL520" s="22" t="n">
        <x:f>MAX(0,MIN('Activities'!L520,204)-MAX('Activities'!K520,198))</x:f>
        <x:v>0</x:v>
      </x:c>
      <x:c r="AM520" s="22" t="n">
        <x:f>MAX(0,MIN('Activities'!L520,210)-MAX('Activities'!K520,204))</x:f>
        <x:v>0</x:v>
      </x:c>
      <x:c r="AN520" s="22" t="n">
        <x:f>MAX(0,MIN('Activities'!L520,216)-MAX('Activities'!K520,210))</x:f>
        <x:v>0</x:v>
      </x:c>
      <x:c r="AO520" s="22" t="n">
        <x:f>MAX(0,MIN('Activities'!L520,222)-MAX('Activities'!K520,216))</x:f>
        <x:v>0</x:v>
      </x:c>
      <x:c r="AP520" s="22" t="n">
        <x:f>MAX(0,MIN('Activities'!L520,228)-MAX('Activities'!K520,222))</x:f>
        <x:v>0</x:v>
      </x:c>
      <x:c r="AQ520" s="22" t="n">
        <x:f>MAX(0,MIN('Activities'!L520,234)-MAX('Activities'!K520,228))</x:f>
        <x:v>0</x:v>
      </x:c>
      <x:c r="AR520" s="22" t="n">
        <x:f>MAX(0,MIN('Activities'!L520,240)-MAX('Activities'!K520,234))</x:f>
        <x:v>0</x:v>
      </x:c>
      <x:c r="AS520" s="22" t="n">
        <x:f>MAX(0,MIN('Activities'!L520,246)-MAX('Activities'!K520,240))</x:f>
        <x:v>0</x:v>
      </x:c>
      <x:c r="AT520" s="22" t="n">
        <x:f>MAX(0,MIN('Activities'!L520,252)-MAX('Activities'!K520,246))</x:f>
        <x:v>0</x:v>
      </x:c>
      <x:c r="AU520" s="22" t="n">
        <x:f>MAX(0,MIN('Activities'!L520,258)-MAX('Activities'!K520,252))</x:f>
        <x:v>0</x:v>
      </x:c>
      <x:c r="AV520" s="22" t="n">
        <x:f>MAX(0,MIN('Activities'!L520,264)-MAX('Activities'!K520,258))</x:f>
        <x:v>0</x:v>
      </x:c>
      <x:c r="AW520" s="22" t="n">
        <x:f>MAX(0,MIN('Activities'!L520,270)-MAX('Activities'!K520,264))</x:f>
        <x:v>0</x:v>
      </x:c>
      <x:c r="AX520" s="22" t="n">
        <x:f>MAX(0,MIN('Activities'!L520,276)-MAX('Activities'!K520,270))</x:f>
        <x:v>0</x:v>
      </x:c>
      <x:c r="AY520" s="22" t="n">
        <x:f>MAX(0,MIN('Activities'!L520,282)-MAX('Activities'!K520,276))</x:f>
        <x:v>0</x:v>
      </x:c>
      <x:c r="AZ520" s="22" t="n">
        <x:f>MAX(0,MIN('Activities'!L520,288)-MAX('Activities'!K520,282))</x:f>
        <x:v>0</x:v>
      </x:c>
      <x:c r="BA520" s="22" t="n">
        <x:f>MAX(0,MIN('Activities'!L520,294)-MAX('Activities'!K520,288))</x:f>
        <x:v>0</x:v>
      </x:c>
      <x:c r="BB520" s="22" t="n">
        <x:f>MAX(0,MIN('Activities'!L520,300)-MAX('Activities'!K520,294))</x:f>
        <x:v>0</x:v>
      </x:c>
      <x:c r="BC520" s="22" t="n">
        <x:f>MAX(0,MIN('Activities'!L520,306)-MAX('Activities'!K520,300))</x:f>
        <x:v>0</x:v>
      </x:c>
      <x:c r="BD520" s="22" t="n">
        <x:f>MAX(0,MIN('Activities'!L520,312)-MAX('Activities'!K520,306))</x:f>
        <x:v>0</x:v>
      </x:c>
      <x:c r="BE520" s="22" t="n">
        <x:f>MAX(0,MIN('Activities'!L520,318)-MAX('Activities'!K520,312))</x:f>
        <x:v>0</x:v>
      </x:c>
      <x:c r="BF520" s="22" t="n">
        <x:f>MAX(0,MIN('Activities'!L520,324)-MAX('Activities'!K520,318))</x:f>
        <x:v>0</x:v>
      </x:c>
      <x:c r="BG520" s="22" t="n">
        <x:f>MAX(0,MIN('Activities'!L520,330)-MAX('Activities'!K520,324))</x:f>
        <x:v>0</x:v>
      </x:c>
      <x:c r="BH520" s="22" t="n">
        <x:f>MAX(0,MIN('Activities'!L520,336)-MAX('Activities'!K520,330))</x:f>
        <x:v>0</x:v>
      </x:c>
      <x:c r="BI520" s="22" t="n">
        <x:f>MAX(0,MIN('Activities'!L520,342)-MAX('Activities'!K520,336))</x:f>
        <x:v>0</x:v>
      </x:c>
      <x:c r="BJ520" s="22" t="n">
        <x:f>MAX(0,MIN('Activities'!L520,348)-MAX('Activities'!K520,342))</x:f>
        <x:v>0</x:v>
      </x:c>
      <x:c r="BK520" s="22" t="n">
        <x:f>MAX(0,MIN('Activities'!L520,354)-MAX('Activities'!K520,348))</x:f>
        <x:v>0</x:v>
      </x:c>
      <x:c r="BL520" s="22" t="n">
        <x:f>MAX(0,MIN('Activities'!L520,360)-MAX('Activities'!K520,354))</x:f>
        <x:v>0</x:v>
      </x:c>
      <x:c r="BM520" s="22" t="n">
        <x:f>MAX(0,MIN('Activities'!L520,366)-MAX('Activities'!K520,360))</x:f>
        <x:v>0</x:v>
      </x:c>
      <x:c r="BN520" s="22" t="n">
        <x:f>MAX(0,MIN('Activities'!L520,372)-MAX('Activities'!K520,366))</x:f>
        <x:v>0</x:v>
      </x:c>
      <x:c r="BO520" s="22" t="n">
        <x:f>MAX(0,MIN('Activities'!L520,378)-MAX('Activities'!K520,372))</x:f>
        <x:v>0</x:v>
      </x:c>
      <x:c r="BP520" s="22" t="n">
        <x:f>MAX(0,MIN('Activities'!L520,384)-MAX('Activities'!K520,378))</x:f>
        <x:v>0</x:v>
      </x:c>
      <x:c r="BQ520" s="22" t="n">
        <x:f>MAX(0,MIN('Activities'!L520,390)-MAX('Activities'!K520,384))</x:f>
        <x:v>0</x:v>
      </x:c>
      <x:c r="BR520" s="22" t="n">
        <x:f>MAX(0,MIN('Activities'!L520,396)-MAX('Activities'!K520,390))</x:f>
        <x:v>0</x:v>
      </x:c>
      <x:c r="BS520" s="22" t="n">
        <x:f>MAX(0,MIN('Activities'!L520,402)-MAX('Activities'!K520,396))</x:f>
        <x:v>0</x:v>
      </x:c>
      <x:c r="BT520" s="22" t="n">
        <x:f>MAX(0,MIN('Activities'!L520,408)-MAX('Activities'!K520,402))</x:f>
        <x:v>1</x:v>
      </x:c>
      <x:c r="BU520" s="22" t="n">
        <x:f>MAX(0,MIN('Activities'!L520,414)-MAX('Activities'!K520,408))</x:f>
        <x:v>2</x:v>
      </x:c>
      <x:c r="BV520" s="22" t="n">
        <x:f>MAX(0,MIN('Activities'!L520,420)-MAX('Activities'!K520,414))</x:f>
        <x:v>0</x:v>
      </x:c>
      <x:c r="BW520" s="22" t="n">
        <x:f>MAX(0,MIN('Activities'!L520,426)-MAX('Activities'!K520,420))</x:f>
        <x:v>0</x:v>
      </x:c>
      <x:c r="BX520" s="22" t="n">
        <x:f>MAX(0,MIN('Activities'!L520,432)-MAX('Activities'!K520,426))</x:f>
        <x:v>0</x:v>
      </x:c>
      <x:c r="BY520" s="22" t="n">
        <x:f>MAX(0,MIN('Activities'!L520,438)-MAX('Activities'!K520,432))</x:f>
        <x:v>0</x:v>
      </x:c>
      <x:c r="BZ520" s="22" t="n">
        <x:f>MAX(0,MIN('Activities'!L520,444)-MAX('Activities'!K520,438))</x:f>
        <x:v>0</x:v>
      </x:c>
      <x:c r="CA520" s="22" t="n">
        <x:f>MAX(0,MIN('Activities'!L520,450)-MAX('Activities'!K520,444))</x:f>
        <x:v>0</x:v>
      </x:c>
      <x:c r="CB520" s="22" t="n">
        <x:f>MAX(0,MIN('Activities'!L520,456)-MAX('Activities'!K520,450))</x:f>
        <x:v>0</x:v>
      </x:c>
      <x:c r="CC520" s="22" t="n">
        <x:f>MAX(0,MIN('Activities'!L520,462)-MAX('Activities'!K520,456))</x:f>
        <x:v>0</x:v>
      </x:c>
      <x:c r="CD520" s="22" t="n">
        <x:f>MAX(0,MIN('Activities'!L520,468)-MAX('Activities'!K520,462))</x:f>
        <x:v>0</x:v>
      </x:c>
      <x:c r="CE520" s="22" t="n">
        <x:f>MAX(0,MIN('Activities'!L520,474)-MAX('Activities'!K520,468))</x:f>
        <x:v>0</x:v>
      </x:c>
      <x:c r="CF520" s="22" t="n">
        <x:f>MAX(0,MIN('Activities'!L520,480)-MAX('Activities'!K520,474))</x:f>
        <x:v>0</x:v>
      </x:c>
      <x:c r="CG520" s="22" t="n">
        <x:f>MAX(0,MIN('Activities'!L520,486)-MAX('Activities'!K520,480))</x:f>
        <x:v>0</x:v>
      </x:c>
      <x:c r="CH520" s="22" t="n">
        <x:f>MAX(0,MIN('Activities'!L520,492)-MAX('Activities'!K520,486))</x:f>
        <x:v>0</x:v>
      </x:c>
      <x:c r="CI520" s="22" t="n">
        <x:f>MAX(0,MIN('Activities'!L520,498)-MAX('Activities'!K520,492))</x:f>
        <x:v>0</x:v>
      </x:c>
      <x:c r="CJ520" s="22" t="n">
        <x:f>MAX(0,MIN('Activities'!L520,504)-MAX('Activities'!K520,498))</x:f>
        <x:v>0</x:v>
      </x:c>
      <x:c r="CK520" s="22" t="n">
        <x:f>MAX(0,MIN('Activities'!L520,510)-MAX('Activities'!K520,504))</x:f>
        <x:v>0</x:v>
      </x:c>
      <x:c r="CL520" s="22" t="n">
        <x:f>MAX(0,MIN('Activities'!L520,516)-MAX('Activities'!K520,510))</x:f>
        <x:v>0</x:v>
      </x:c>
      <x:c r="CM520" s="22" t="n">
        <x:f>MAX(0,MIN('Activities'!L520,522)-MAX('Activities'!K520,516))</x:f>
        <x:v>0</x:v>
      </x:c>
      <x:c r="CN520" s="22" t="n">
        <x:f>MAX(0,MIN('Activities'!L520,528)-MAX('Activities'!K520,522))</x:f>
        <x:v>0</x:v>
      </x:c>
      <x:c r="CO520" s="22" t="n">
        <x:f>MAX(0,MIN('Activities'!L520,534)-MAX('Activities'!K520,528))</x:f>
        <x:v>0</x:v>
      </x:c>
      <x:c r="CP520" s="22" t="n">
        <x:f>MAX(0,MIN('Activities'!L520,540)-MAX('Activities'!K520,534))</x:f>
        <x:v>0</x:v>
      </x:c>
      <x:c r="CQ520" s="22" t="n">
        <x:f>MAX(0,MIN('Activities'!L520,546)-MAX('Activities'!K520,540))</x:f>
        <x:v>0</x:v>
      </x:c>
      <x:c r="CR520" s="22" t="n">
        <x:f>MAX(0,MIN('Activities'!L520,552)-MAX('Activities'!K520,546))</x:f>
        <x:v>0</x:v>
      </x:c>
      <x:c r="CS520" s="22" t="n">
        <x:f>MAX(0,MIN('Activities'!L520,558)-MAX('Activities'!K520,552))</x:f>
        <x:v>0</x:v>
      </x:c>
      <x:c r="CT520" s="22" t="n">
        <x:f>MAX(0,MIN('Activities'!L520,564)-MAX('Activities'!K520,558))</x:f>
        <x:v>0</x:v>
      </x:c>
      <x:c r="CU520" s="22" t="n">
        <x:f>MAX(0,MIN('Activities'!L520,570)-MAX('Activities'!K520,564))</x:f>
        <x:v>0</x:v>
      </x:c>
      <x:c r="CV520" s="22" t="n">
        <x:f>MAX(0,MIN('Activities'!L520,576)-MAX('Activities'!K520,570))</x:f>
        <x:v>0</x:v>
      </x:c>
      <x:c r="CW520" s="22" t="n">
        <x:f>MAX(0,MIN('Activities'!L520,582)-MAX('Activities'!K520,576))</x:f>
        <x:v>0</x:v>
      </x:c>
      <x:c r="CX520" s="22" t="n">
        <x:f>MAX(0,MIN('Activities'!L520,588)-MAX('Activities'!K520,582))</x:f>
        <x:v>0</x:v>
      </x:c>
      <x:c r="CY520" s="22" t="n">
        <x:f>MAX(0,MIN('Activities'!L520,594)-MAX('Activities'!K520,588))</x:f>
        <x:v>0</x:v>
      </x:c>
      <x:c r="CZ520" s="22" t="n">
        <x:f>MAX(0,MIN('Activities'!L520,600)-MAX('Activities'!K520,594))</x:f>
        <x:v>0</x:v>
      </x:c>
      <x:c r="DA520" s="22" t="n">
        <x:f>MAX(0,MIN('Activities'!L520,606)-MAX('Activities'!K520,600))</x:f>
        <x:v>0</x:v>
      </x:c>
      <x:c r="DB520" s="22" t="n">
        <x:f>MAX(0,MIN('Activities'!L520,612)-MAX('Activities'!K520,606))</x:f>
        <x:v>0</x:v>
      </x:c>
      <x:c r="DC520" s="22" t="n">
        <x:f>MAX(0,MIN('Activities'!L520,618)-MAX('Activities'!K520,612))</x:f>
        <x:v>0</x:v>
      </x:c>
      <x:c r="DD520" s="22" t="n">
        <x:f>MAX(0,MIN('Activities'!L520,624)-MAX('Activities'!K520,618))</x:f>
        <x:v>0</x:v>
      </x:c>
      <x:c r="DE520" s="22" t="n">
        <x:f>MAX(0,MIN('Activities'!L520,630)-MAX('Activities'!K520,624))</x:f>
        <x:v>0</x:v>
      </x:c>
      <x:c r="DF520" s="22" t="n">
        <x:f>MAX(0,MIN('Activities'!L520,636)-MAX('Activities'!K520,630))</x:f>
        <x:v>0</x:v>
      </x:c>
    </x:row>
    <x:row r="521" ht="23" customHeight="1">
      <x:c r="A521" s="1" t="str">
        <x:v>T4-L08-T</x:v>
      </x:c>
      <x:c r="B521" s="1" t="str">
        <x:v>T4</x:v>
      </x:c>
      <x:c r="C521" s="1" t="str">
        <x:v>Floor finishes and skirtings</x:v>
      </x:c>
      <x:c r="D521" s="1" t="str">
        <x:v>Finishes</x:v>
      </x:c>
      <x:c r="E521" s="23" t="n">
        <x:f>MAX(0,MIN('Activities'!L521,6)-MAX('Activities'!K521,0))</x:f>
        <x:v>0</x:v>
      </x:c>
      <x:c r="F521" s="23" t="n">
        <x:f>MAX(0,MIN('Activities'!L521,12)-MAX('Activities'!K521,6))</x:f>
        <x:v>0</x:v>
      </x:c>
      <x:c r="G521" s="23" t="n">
        <x:f>MAX(0,MIN('Activities'!L521,18)-MAX('Activities'!K521,12))</x:f>
        <x:v>0</x:v>
      </x:c>
      <x:c r="H521" s="23" t="n">
        <x:f>MAX(0,MIN('Activities'!L521,24)-MAX('Activities'!K521,18))</x:f>
        <x:v>0</x:v>
      </x:c>
      <x:c r="I521" s="23" t="n">
        <x:f>MAX(0,MIN('Activities'!L521,30)-MAX('Activities'!K521,24))</x:f>
        <x:v>0</x:v>
      </x:c>
      <x:c r="J521" s="23" t="n">
        <x:f>MAX(0,MIN('Activities'!L521,36)-MAX('Activities'!K521,30))</x:f>
        <x:v>0</x:v>
      </x:c>
      <x:c r="K521" s="23" t="n">
        <x:f>MAX(0,MIN('Activities'!L521,42)-MAX('Activities'!K521,36))</x:f>
        <x:v>0</x:v>
      </x:c>
      <x:c r="L521" s="23" t="n">
        <x:f>MAX(0,MIN('Activities'!L521,48)-MAX('Activities'!K521,42))</x:f>
        <x:v>0</x:v>
      </x:c>
      <x:c r="M521" s="23" t="n">
        <x:f>MAX(0,MIN('Activities'!L521,54)-MAX('Activities'!K521,48))</x:f>
        <x:v>0</x:v>
      </x:c>
      <x:c r="N521" s="23" t="n">
        <x:f>MAX(0,MIN('Activities'!L521,60)-MAX('Activities'!K521,54))</x:f>
        <x:v>0</x:v>
      </x:c>
      <x:c r="O521" s="23" t="n">
        <x:f>MAX(0,MIN('Activities'!L521,66)-MAX('Activities'!K521,60))</x:f>
        <x:v>0</x:v>
      </x:c>
      <x:c r="P521" s="23" t="n">
        <x:f>MAX(0,MIN('Activities'!L521,72)-MAX('Activities'!K521,66))</x:f>
        <x:v>0</x:v>
      </x:c>
      <x:c r="Q521" s="23" t="n">
        <x:f>MAX(0,MIN('Activities'!L521,78)-MAX('Activities'!K521,72))</x:f>
        <x:v>0</x:v>
      </x:c>
      <x:c r="R521" s="23" t="n">
        <x:f>MAX(0,MIN('Activities'!L521,84)-MAX('Activities'!K521,78))</x:f>
        <x:v>0</x:v>
      </x:c>
      <x:c r="S521" s="23" t="n">
        <x:f>MAX(0,MIN('Activities'!L521,90)-MAX('Activities'!K521,84))</x:f>
        <x:v>0</x:v>
      </x:c>
      <x:c r="T521" s="23" t="n">
        <x:f>MAX(0,MIN('Activities'!L521,96)-MAX('Activities'!K521,90))</x:f>
        <x:v>0</x:v>
      </x:c>
      <x:c r="U521" s="23" t="n">
        <x:f>MAX(0,MIN('Activities'!L521,102)-MAX('Activities'!K521,96))</x:f>
        <x:v>0</x:v>
      </x:c>
      <x:c r="V521" s="23" t="n">
        <x:f>MAX(0,MIN('Activities'!L521,108)-MAX('Activities'!K521,102))</x:f>
        <x:v>0</x:v>
      </x:c>
      <x:c r="W521" s="23" t="n">
        <x:f>MAX(0,MIN('Activities'!L521,114)-MAX('Activities'!K521,108))</x:f>
        <x:v>0</x:v>
      </x:c>
      <x:c r="X521" s="23" t="n">
        <x:f>MAX(0,MIN('Activities'!L521,120)-MAX('Activities'!K521,114))</x:f>
        <x:v>0</x:v>
      </x:c>
      <x:c r="Y521" s="23" t="n">
        <x:f>MAX(0,MIN('Activities'!L521,126)-MAX('Activities'!K521,120))</x:f>
        <x:v>0</x:v>
      </x:c>
      <x:c r="Z521" s="23" t="n">
        <x:f>MAX(0,MIN('Activities'!L521,132)-MAX('Activities'!K521,126))</x:f>
        <x:v>0</x:v>
      </x:c>
      <x:c r="AA521" s="23" t="n">
        <x:f>MAX(0,MIN('Activities'!L521,138)-MAX('Activities'!K521,132))</x:f>
        <x:v>0</x:v>
      </x:c>
      <x:c r="AB521" s="23" t="n">
        <x:f>MAX(0,MIN('Activities'!L521,144)-MAX('Activities'!K521,138))</x:f>
        <x:v>0</x:v>
      </x:c>
      <x:c r="AC521" s="23" t="n">
        <x:f>MAX(0,MIN('Activities'!L521,150)-MAX('Activities'!K521,144))</x:f>
        <x:v>0</x:v>
      </x:c>
      <x:c r="AD521" s="23" t="n">
        <x:f>MAX(0,MIN('Activities'!L521,156)-MAX('Activities'!K521,150))</x:f>
        <x:v>0</x:v>
      </x:c>
      <x:c r="AE521" s="23" t="n">
        <x:f>MAX(0,MIN('Activities'!L521,162)-MAX('Activities'!K521,156))</x:f>
        <x:v>0</x:v>
      </x:c>
      <x:c r="AF521" s="23" t="n">
        <x:f>MAX(0,MIN('Activities'!L521,168)-MAX('Activities'!K521,162))</x:f>
        <x:v>0</x:v>
      </x:c>
      <x:c r="AG521" s="23" t="n">
        <x:f>MAX(0,MIN('Activities'!L521,174)-MAX('Activities'!K521,168))</x:f>
        <x:v>0</x:v>
      </x:c>
      <x:c r="AH521" s="23" t="n">
        <x:f>MAX(0,MIN('Activities'!L521,180)-MAX('Activities'!K521,174))</x:f>
        <x:v>0</x:v>
      </x:c>
      <x:c r="AI521" s="23" t="n">
        <x:f>MAX(0,MIN('Activities'!L521,186)-MAX('Activities'!K521,180))</x:f>
        <x:v>0</x:v>
      </x:c>
      <x:c r="AJ521" s="23" t="n">
        <x:f>MAX(0,MIN('Activities'!L521,192)-MAX('Activities'!K521,186))</x:f>
        <x:v>0</x:v>
      </x:c>
      <x:c r="AK521" s="23" t="n">
        <x:f>MAX(0,MIN('Activities'!L521,198)-MAX('Activities'!K521,192))</x:f>
        <x:v>0</x:v>
      </x:c>
      <x:c r="AL521" s="23" t="n">
        <x:f>MAX(0,MIN('Activities'!L521,204)-MAX('Activities'!K521,198))</x:f>
        <x:v>0</x:v>
      </x:c>
      <x:c r="AM521" s="23" t="n">
        <x:f>MAX(0,MIN('Activities'!L521,210)-MAX('Activities'!K521,204))</x:f>
        <x:v>0</x:v>
      </x:c>
      <x:c r="AN521" s="23" t="n">
        <x:f>MAX(0,MIN('Activities'!L521,216)-MAX('Activities'!K521,210))</x:f>
        <x:v>0</x:v>
      </x:c>
      <x:c r="AO521" s="23" t="n">
        <x:f>MAX(0,MIN('Activities'!L521,222)-MAX('Activities'!K521,216))</x:f>
        <x:v>0</x:v>
      </x:c>
      <x:c r="AP521" s="23" t="n">
        <x:f>MAX(0,MIN('Activities'!L521,228)-MAX('Activities'!K521,222))</x:f>
        <x:v>0</x:v>
      </x:c>
      <x:c r="AQ521" s="23" t="n">
        <x:f>MAX(0,MIN('Activities'!L521,234)-MAX('Activities'!K521,228))</x:f>
        <x:v>0</x:v>
      </x:c>
      <x:c r="AR521" s="23" t="n">
        <x:f>MAX(0,MIN('Activities'!L521,240)-MAX('Activities'!K521,234))</x:f>
        <x:v>0</x:v>
      </x:c>
      <x:c r="AS521" s="23" t="n">
        <x:f>MAX(0,MIN('Activities'!L521,246)-MAX('Activities'!K521,240))</x:f>
        <x:v>0</x:v>
      </x:c>
      <x:c r="AT521" s="23" t="n">
        <x:f>MAX(0,MIN('Activities'!L521,252)-MAX('Activities'!K521,246))</x:f>
        <x:v>0</x:v>
      </x:c>
      <x:c r="AU521" s="23" t="n">
        <x:f>MAX(0,MIN('Activities'!L521,258)-MAX('Activities'!K521,252))</x:f>
        <x:v>0</x:v>
      </x:c>
      <x:c r="AV521" s="23" t="n">
        <x:f>MAX(0,MIN('Activities'!L521,264)-MAX('Activities'!K521,258))</x:f>
        <x:v>0</x:v>
      </x:c>
      <x:c r="AW521" s="23" t="n">
        <x:f>MAX(0,MIN('Activities'!L521,270)-MAX('Activities'!K521,264))</x:f>
        <x:v>0</x:v>
      </x:c>
      <x:c r="AX521" s="23" t="n">
        <x:f>MAX(0,MIN('Activities'!L521,276)-MAX('Activities'!K521,270))</x:f>
        <x:v>0</x:v>
      </x:c>
      <x:c r="AY521" s="23" t="n">
        <x:f>MAX(0,MIN('Activities'!L521,282)-MAX('Activities'!K521,276))</x:f>
        <x:v>0</x:v>
      </x:c>
      <x:c r="AZ521" s="23" t="n">
        <x:f>MAX(0,MIN('Activities'!L521,288)-MAX('Activities'!K521,282))</x:f>
        <x:v>0</x:v>
      </x:c>
      <x:c r="BA521" s="23" t="n">
        <x:f>MAX(0,MIN('Activities'!L521,294)-MAX('Activities'!K521,288))</x:f>
        <x:v>0</x:v>
      </x:c>
      <x:c r="BB521" s="23" t="n">
        <x:f>MAX(0,MIN('Activities'!L521,300)-MAX('Activities'!K521,294))</x:f>
        <x:v>0</x:v>
      </x:c>
      <x:c r="BC521" s="23" t="n">
        <x:f>MAX(0,MIN('Activities'!L521,306)-MAX('Activities'!K521,300))</x:f>
        <x:v>0</x:v>
      </x:c>
      <x:c r="BD521" s="23" t="n">
        <x:f>MAX(0,MIN('Activities'!L521,312)-MAX('Activities'!K521,306))</x:f>
        <x:v>0</x:v>
      </x:c>
      <x:c r="BE521" s="23" t="n">
        <x:f>MAX(0,MIN('Activities'!L521,318)-MAX('Activities'!K521,312))</x:f>
        <x:v>0</x:v>
      </x:c>
      <x:c r="BF521" s="23" t="n">
        <x:f>MAX(0,MIN('Activities'!L521,324)-MAX('Activities'!K521,318))</x:f>
        <x:v>0</x:v>
      </x:c>
      <x:c r="BG521" s="23" t="n">
        <x:f>MAX(0,MIN('Activities'!L521,330)-MAX('Activities'!K521,324))</x:f>
        <x:v>0</x:v>
      </x:c>
      <x:c r="BH521" s="23" t="n">
        <x:f>MAX(0,MIN('Activities'!L521,336)-MAX('Activities'!K521,330))</x:f>
        <x:v>0</x:v>
      </x:c>
      <x:c r="BI521" s="23" t="n">
        <x:f>MAX(0,MIN('Activities'!L521,342)-MAX('Activities'!K521,336))</x:f>
        <x:v>0</x:v>
      </x:c>
      <x:c r="BJ521" s="23" t="n">
        <x:f>MAX(0,MIN('Activities'!L521,348)-MAX('Activities'!K521,342))</x:f>
        <x:v>0</x:v>
      </x:c>
      <x:c r="BK521" s="23" t="n">
        <x:f>MAX(0,MIN('Activities'!L521,354)-MAX('Activities'!K521,348))</x:f>
        <x:v>0</x:v>
      </x:c>
      <x:c r="BL521" s="23" t="n">
        <x:f>MAX(0,MIN('Activities'!L521,360)-MAX('Activities'!K521,354))</x:f>
        <x:v>0</x:v>
      </x:c>
      <x:c r="BM521" s="23" t="n">
        <x:f>MAX(0,MIN('Activities'!L521,366)-MAX('Activities'!K521,360))</x:f>
        <x:v>0</x:v>
      </x:c>
      <x:c r="BN521" s="23" t="n">
        <x:f>MAX(0,MIN('Activities'!L521,372)-MAX('Activities'!K521,366))</x:f>
        <x:v>0</x:v>
      </x:c>
      <x:c r="BO521" s="23" t="n">
        <x:f>MAX(0,MIN('Activities'!L521,378)-MAX('Activities'!K521,372))</x:f>
        <x:v>0</x:v>
      </x:c>
      <x:c r="BP521" s="23" t="n">
        <x:f>MAX(0,MIN('Activities'!L521,384)-MAX('Activities'!K521,378))</x:f>
        <x:v>0</x:v>
      </x:c>
      <x:c r="BQ521" s="23" t="n">
        <x:f>MAX(0,MIN('Activities'!L521,390)-MAX('Activities'!K521,384))</x:f>
        <x:v>0</x:v>
      </x:c>
      <x:c r="BR521" s="23" t="n">
        <x:f>MAX(0,MIN('Activities'!L521,396)-MAX('Activities'!K521,390))</x:f>
        <x:v>0</x:v>
      </x:c>
      <x:c r="BS521" s="23" t="n">
        <x:f>MAX(0,MIN('Activities'!L521,402)-MAX('Activities'!K521,396))</x:f>
        <x:v>0</x:v>
      </x:c>
      <x:c r="BT521" s="23" t="n">
        <x:f>MAX(0,MIN('Activities'!L521,408)-MAX('Activities'!K521,402))</x:f>
        <x:v>0</x:v>
      </x:c>
      <x:c r="BU521" s="23" t="n">
        <x:f>MAX(0,MIN('Activities'!L521,414)-MAX('Activities'!K521,408))</x:f>
        <x:v>0</x:v>
      </x:c>
      <x:c r="BV521" s="23" t="n">
        <x:f>MAX(0,MIN('Activities'!L521,420)-MAX('Activities'!K521,414))</x:f>
        <x:v>0</x:v>
      </x:c>
      <x:c r="BW521" s="23" t="n">
        <x:f>MAX(0,MIN('Activities'!L521,426)-MAX('Activities'!K521,420))</x:f>
        <x:v>0</x:v>
      </x:c>
      <x:c r="BX521" s="23" t="n">
        <x:f>MAX(0,MIN('Activities'!L521,432)-MAX('Activities'!K521,426))</x:f>
        <x:v>0</x:v>
      </x:c>
      <x:c r="BY521" s="23" t="n">
        <x:f>MAX(0,MIN('Activities'!L521,438)-MAX('Activities'!K521,432))</x:f>
        <x:v>1</x:v>
      </x:c>
      <x:c r="BZ521" s="23" t="n">
        <x:f>MAX(0,MIN('Activities'!L521,444)-MAX('Activities'!K521,438))</x:f>
        <x:v>5</x:v>
      </x:c>
      <x:c r="CA521" s="23" t="n">
        <x:f>MAX(0,MIN('Activities'!L521,450)-MAX('Activities'!K521,444))</x:f>
        <x:v>0</x:v>
      </x:c>
      <x:c r="CB521" s="23" t="n">
        <x:f>MAX(0,MIN('Activities'!L521,456)-MAX('Activities'!K521,450))</x:f>
        <x:v>0</x:v>
      </x:c>
      <x:c r="CC521" s="23" t="n">
        <x:f>MAX(0,MIN('Activities'!L521,462)-MAX('Activities'!K521,456))</x:f>
        <x:v>0</x:v>
      </x:c>
      <x:c r="CD521" s="23" t="n">
        <x:f>MAX(0,MIN('Activities'!L521,468)-MAX('Activities'!K521,462))</x:f>
        <x:v>0</x:v>
      </x:c>
      <x:c r="CE521" s="23" t="n">
        <x:f>MAX(0,MIN('Activities'!L521,474)-MAX('Activities'!K521,468))</x:f>
        <x:v>0</x:v>
      </x:c>
      <x:c r="CF521" s="23" t="n">
        <x:f>MAX(0,MIN('Activities'!L521,480)-MAX('Activities'!K521,474))</x:f>
        <x:v>0</x:v>
      </x:c>
      <x:c r="CG521" s="23" t="n">
        <x:f>MAX(0,MIN('Activities'!L521,486)-MAX('Activities'!K521,480))</x:f>
        <x:v>0</x:v>
      </x:c>
      <x:c r="CH521" s="23" t="n">
        <x:f>MAX(0,MIN('Activities'!L521,492)-MAX('Activities'!K521,486))</x:f>
        <x:v>0</x:v>
      </x:c>
      <x:c r="CI521" s="23" t="n">
        <x:f>MAX(0,MIN('Activities'!L521,498)-MAX('Activities'!K521,492))</x:f>
        <x:v>0</x:v>
      </x:c>
      <x:c r="CJ521" s="23" t="n">
        <x:f>MAX(0,MIN('Activities'!L521,504)-MAX('Activities'!K521,498))</x:f>
        <x:v>0</x:v>
      </x:c>
      <x:c r="CK521" s="23" t="n">
        <x:f>MAX(0,MIN('Activities'!L521,510)-MAX('Activities'!K521,504))</x:f>
        <x:v>0</x:v>
      </x:c>
      <x:c r="CL521" s="23" t="n">
        <x:f>MAX(0,MIN('Activities'!L521,516)-MAX('Activities'!K521,510))</x:f>
        <x:v>0</x:v>
      </x:c>
      <x:c r="CM521" s="23" t="n">
        <x:f>MAX(0,MIN('Activities'!L521,522)-MAX('Activities'!K521,516))</x:f>
        <x:v>0</x:v>
      </x:c>
      <x:c r="CN521" s="23" t="n">
        <x:f>MAX(0,MIN('Activities'!L521,528)-MAX('Activities'!K521,522))</x:f>
        <x:v>0</x:v>
      </x:c>
      <x:c r="CO521" s="23" t="n">
        <x:f>MAX(0,MIN('Activities'!L521,534)-MAX('Activities'!K521,528))</x:f>
        <x:v>0</x:v>
      </x:c>
      <x:c r="CP521" s="23" t="n">
        <x:f>MAX(0,MIN('Activities'!L521,540)-MAX('Activities'!K521,534))</x:f>
        <x:v>0</x:v>
      </x:c>
      <x:c r="CQ521" s="23" t="n">
        <x:f>MAX(0,MIN('Activities'!L521,546)-MAX('Activities'!K521,540))</x:f>
        <x:v>0</x:v>
      </x:c>
      <x:c r="CR521" s="23" t="n">
        <x:f>MAX(0,MIN('Activities'!L521,552)-MAX('Activities'!K521,546))</x:f>
        <x:v>0</x:v>
      </x:c>
      <x:c r="CS521" s="23" t="n">
        <x:f>MAX(0,MIN('Activities'!L521,558)-MAX('Activities'!K521,552))</x:f>
        <x:v>0</x:v>
      </x:c>
      <x:c r="CT521" s="23" t="n">
        <x:f>MAX(0,MIN('Activities'!L521,564)-MAX('Activities'!K521,558))</x:f>
        <x:v>0</x:v>
      </x:c>
      <x:c r="CU521" s="23" t="n">
        <x:f>MAX(0,MIN('Activities'!L521,570)-MAX('Activities'!K521,564))</x:f>
        <x:v>0</x:v>
      </x:c>
      <x:c r="CV521" s="23" t="n">
        <x:f>MAX(0,MIN('Activities'!L521,576)-MAX('Activities'!K521,570))</x:f>
        <x:v>0</x:v>
      </x:c>
      <x:c r="CW521" s="23" t="n">
        <x:f>MAX(0,MIN('Activities'!L521,582)-MAX('Activities'!K521,576))</x:f>
        <x:v>0</x:v>
      </x:c>
      <x:c r="CX521" s="23" t="n">
        <x:f>MAX(0,MIN('Activities'!L521,588)-MAX('Activities'!K521,582))</x:f>
        <x:v>0</x:v>
      </x:c>
      <x:c r="CY521" s="23" t="n">
        <x:f>MAX(0,MIN('Activities'!L521,594)-MAX('Activities'!K521,588))</x:f>
        <x:v>0</x:v>
      </x:c>
      <x:c r="CZ521" s="23" t="n">
        <x:f>MAX(0,MIN('Activities'!L521,600)-MAX('Activities'!K521,594))</x:f>
        <x:v>0</x:v>
      </x:c>
      <x:c r="DA521" s="23" t="n">
        <x:f>MAX(0,MIN('Activities'!L521,606)-MAX('Activities'!K521,600))</x:f>
        <x:v>0</x:v>
      </x:c>
      <x:c r="DB521" s="23" t="n">
        <x:f>MAX(0,MIN('Activities'!L521,612)-MAX('Activities'!K521,606))</x:f>
        <x:v>0</x:v>
      </x:c>
      <x:c r="DC521" s="23" t="n">
        <x:f>MAX(0,MIN('Activities'!L521,618)-MAX('Activities'!K521,612))</x:f>
        <x:v>0</x:v>
      </x:c>
      <x:c r="DD521" s="23" t="n">
        <x:f>MAX(0,MIN('Activities'!L521,624)-MAX('Activities'!K521,618))</x:f>
        <x:v>0</x:v>
      </x:c>
      <x:c r="DE521" s="23" t="n">
        <x:f>MAX(0,MIN('Activities'!L521,630)-MAX('Activities'!K521,624))</x:f>
        <x:v>0</x:v>
      </x:c>
      <x:c r="DF521" s="23" t="n">
        <x:f>MAX(0,MIN('Activities'!L521,636)-MAX('Activities'!K521,630))</x:f>
        <x:v>0</x:v>
      </x:c>
    </x:row>
    <x:row r="522" ht="23" customHeight="1">
      <x:c r="A522" s="6" t="str">
        <x:v>T4-L08-A</x:v>
      </x:c>
      <x:c r="B522" s="6" t="str">
        <x:v>T4</x:v>
      </x:c>
      <x:c r="C522" s="6" t="str">
        <x:v>Paint and final decorations</x:v>
      </x:c>
      <x:c r="D522" s="6" t="str">
        <x:v>Finishes</x:v>
      </x:c>
      <x:c r="E522" s="22" t="n">
        <x:f>MAX(0,MIN('Activities'!L522,6)-MAX('Activities'!K522,0))</x:f>
        <x:v>0</x:v>
      </x:c>
      <x:c r="F522" s="22" t="n">
        <x:f>MAX(0,MIN('Activities'!L522,12)-MAX('Activities'!K522,6))</x:f>
        <x:v>0</x:v>
      </x:c>
      <x:c r="G522" s="22" t="n">
        <x:f>MAX(0,MIN('Activities'!L522,18)-MAX('Activities'!K522,12))</x:f>
        <x:v>0</x:v>
      </x:c>
      <x:c r="H522" s="22" t="n">
        <x:f>MAX(0,MIN('Activities'!L522,24)-MAX('Activities'!K522,18))</x:f>
        <x:v>0</x:v>
      </x:c>
      <x:c r="I522" s="22" t="n">
        <x:f>MAX(0,MIN('Activities'!L522,30)-MAX('Activities'!K522,24))</x:f>
        <x:v>0</x:v>
      </x:c>
      <x:c r="J522" s="22" t="n">
        <x:f>MAX(0,MIN('Activities'!L522,36)-MAX('Activities'!K522,30))</x:f>
        <x:v>0</x:v>
      </x:c>
      <x:c r="K522" s="22" t="n">
        <x:f>MAX(0,MIN('Activities'!L522,42)-MAX('Activities'!K522,36))</x:f>
        <x:v>0</x:v>
      </x:c>
      <x:c r="L522" s="22" t="n">
        <x:f>MAX(0,MIN('Activities'!L522,48)-MAX('Activities'!K522,42))</x:f>
        <x:v>0</x:v>
      </x:c>
      <x:c r="M522" s="22" t="n">
        <x:f>MAX(0,MIN('Activities'!L522,54)-MAX('Activities'!K522,48))</x:f>
        <x:v>0</x:v>
      </x:c>
      <x:c r="N522" s="22" t="n">
        <x:f>MAX(0,MIN('Activities'!L522,60)-MAX('Activities'!K522,54))</x:f>
        <x:v>0</x:v>
      </x:c>
      <x:c r="O522" s="22" t="n">
        <x:f>MAX(0,MIN('Activities'!L522,66)-MAX('Activities'!K522,60))</x:f>
        <x:v>0</x:v>
      </x:c>
      <x:c r="P522" s="22" t="n">
        <x:f>MAX(0,MIN('Activities'!L522,72)-MAX('Activities'!K522,66))</x:f>
        <x:v>0</x:v>
      </x:c>
      <x:c r="Q522" s="22" t="n">
        <x:f>MAX(0,MIN('Activities'!L522,78)-MAX('Activities'!K522,72))</x:f>
        <x:v>0</x:v>
      </x:c>
      <x:c r="R522" s="22" t="n">
        <x:f>MAX(0,MIN('Activities'!L522,84)-MAX('Activities'!K522,78))</x:f>
        <x:v>0</x:v>
      </x:c>
      <x:c r="S522" s="22" t="n">
        <x:f>MAX(0,MIN('Activities'!L522,90)-MAX('Activities'!K522,84))</x:f>
        <x:v>0</x:v>
      </x:c>
      <x:c r="T522" s="22" t="n">
        <x:f>MAX(0,MIN('Activities'!L522,96)-MAX('Activities'!K522,90))</x:f>
        <x:v>0</x:v>
      </x:c>
      <x:c r="U522" s="22" t="n">
        <x:f>MAX(0,MIN('Activities'!L522,102)-MAX('Activities'!K522,96))</x:f>
        <x:v>0</x:v>
      </x:c>
      <x:c r="V522" s="22" t="n">
        <x:f>MAX(0,MIN('Activities'!L522,108)-MAX('Activities'!K522,102))</x:f>
        <x:v>0</x:v>
      </x:c>
      <x:c r="W522" s="22" t="n">
        <x:f>MAX(0,MIN('Activities'!L522,114)-MAX('Activities'!K522,108))</x:f>
        <x:v>0</x:v>
      </x:c>
      <x:c r="X522" s="22" t="n">
        <x:f>MAX(0,MIN('Activities'!L522,120)-MAX('Activities'!K522,114))</x:f>
        <x:v>0</x:v>
      </x:c>
      <x:c r="Y522" s="22" t="n">
        <x:f>MAX(0,MIN('Activities'!L522,126)-MAX('Activities'!K522,120))</x:f>
        <x:v>0</x:v>
      </x:c>
      <x:c r="Z522" s="22" t="n">
        <x:f>MAX(0,MIN('Activities'!L522,132)-MAX('Activities'!K522,126))</x:f>
        <x:v>0</x:v>
      </x:c>
      <x:c r="AA522" s="22" t="n">
        <x:f>MAX(0,MIN('Activities'!L522,138)-MAX('Activities'!K522,132))</x:f>
        <x:v>0</x:v>
      </x:c>
      <x:c r="AB522" s="22" t="n">
        <x:f>MAX(0,MIN('Activities'!L522,144)-MAX('Activities'!K522,138))</x:f>
        <x:v>0</x:v>
      </x:c>
      <x:c r="AC522" s="22" t="n">
        <x:f>MAX(0,MIN('Activities'!L522,150)-MAX('Activities'!K522,144))</x:f>
        <x:v>0</x:v>
      </x:c>
      <x:c r="AD522" s="22" t="n">
        <x:f>MAX(0,MIN('Activities'!L522,156)-MAX('Activities'!K522,150))</x:f>
        <x:v>0</x:v>
      </x:c>
      <x:c r="AE522" s="22" t="n">
        <x:f>MAX(0,MIN('Activities'!L522,162)-MAX('Activities'!K522,156))</x:f>
        <x:v>0</x:v>
      </x:c>
      <x:c r="AF522" s="22" t="n">
        <x:f>MAX(0,MIN('Activities'!L522,168)-MAX('Activities'!K522,162))</x:f>
        <x:v>0</x:v>
      </x:c>
      <x:c r="AG522" s="22" t="n">
        <x:f>MAX(0,MIN('Activities'!L522,174)-MAX('Activities'!K522,168))</x:f>
        <x:v>0</x:v>
      </x:c>
      <x:c r="AH522" s="22" t="n">
        <x:f>MAX(0,MIN('Activities'!L522,180)-MAX('Activities'!K522,174))</x:f>
        <x:v>0</x:v>
      </x:c>
      <x:c r="AI522" s="22" t="n">
        <x:f>MAX(0,MIN('Activities'!L522,186)-MAX('Activities'!K522,180))</x:f>
        <x:v>0</x:v>
      </x:c>
      <x:c r="AJ522" s="22" t="n">
        <x:f>MAX(0,MIN('Activities'!L522,192)-MAX('Activities'!K522,186))</x:f>
        <x:v>0</x:v>
      </x:c>
      <x:c r="AK522" s="22" t="n">
        <x:f>MAX(0,MIN('Activities'!L522,198)-MAX('Activities'!K522,192))</x:f>
        <x:v>0</x:v>
      </x:c>
      <x:c r="AL522" s="22" t="n">
        <x:f>MAX(0,MIN('Activities'!L522,204)-MAX('Activities'!K522,198))</x:f>
        <x:v>0</x:v>
      </x:c>
      <x:c r="AM522" s="22" t="n">
        <x:f>MAX(0,MIN('Activities'!L522,210)-MAX('Activities'!K522,204))</x:f>
        <x:v>0</x:v>
      </x:c>
      <x:c r="AN522" s="22" t="n">
        <x:f>MAX(0,MIN('Activities'!L522,216)-MAX('Activities'!K522,210))</x:f>
        <x:v>0</x:v>
      </x:c>
      <x:c r="AO522" s="22" t="n">
        <x:f>MAX(0,MIN('Activities'!L522,222)-MAX('Activities'!K522,216))</x:f>
        <x:v>0</x:v>
      </x:c>
      <x:c r="AP522" s="22" t="n">
        <x:f>MAX(0,MIN('Activities'!L522,228)-MAX('Activities'!K522,222))</x:f>
        <x:v>0</x:v>
      </x:c>
      <x:c r="AQ522" s="22" t="n">
        <x:f>MAX(0,MIN('Activities'!L522,234)-MAX('Activities'!K522,228))</x:f>
        <x:v>0</x:v>
      </x:c>
      <x:c r="AR522" s="22" t="n">
        <x:f>MAX(0,MIN('Activities'!L522,240)-MAX('Activities'!K522,234))</x:f>
        <x:v>0</x:v>
      </x:c>
      <x:c r="AS522" s="22" t="n">
        <x:f>MAX(0,MIN('Activities'!L522,246)-MAX('Activities'!K522,240))</x:f>
        <x:v>0</x:v>
      </x:c>
      <x:c r="AT522" s="22" t="n">
        <x:f>MAX(0,MIN('Activities'!L522,252)-MAX('Activities'!K522,246))</x:f>
        <x:v>0</x:v>
      </x:c>
      <x:c r="AU522" s="22" t="n">
        <x:f>MAX(0,MIN('Activities'!L522,258)-MAX('Activities'!K522,252))</x:f>
        <x:v>0</x:v>
      </x:c>
      <x:c r="AV522" s="22" t="n">
        <x:f>MAX(0,MIN('Activities'!L522,264)-MAX('Activities'!K522,258))</x:f>
        <x:v>0</x:v>
      </x:c>
      <x:c r="AW522" s="22" t="n">
        <x:f>MAX(0,MIN('Activities'!L522,270)-MAX('Activities'!K522,264))</x:f>
        <x:v>0</x:v>
      </x:c>
      <x:c r="AX522" s="22" t="n">
        <x:f>MAX(0,MIN('Activities'!L522,276)-MAX('Activities'!K522,270))</x:f>
        <x:v>0</x:v>
      </x:c>
      <x:c r="AY522" s="22" t="n">
        <x:f>MAX(0,MIN('Activities'!L522,282)-MAX('Activities'!K522,276))</x:f>
        <x:v>0</x:v>
      </x:c>
      <x:c r="AZ522" s="22" t="n">
        <x:f>MAX(0,MIN('Activities'!L522,288)-MAX('Activities'!K522,282))</x:f>
        <x:v>0</x:v>
      </x:c>
      <x:c r="BA522" s="22" t="n">
        <x:f>MAX(0,MIN('Activities'!L522,294)-MAX('Activities'!K522,288))</x:f>
        <x:v>0</x:v>
      </x:c>
      <x:c r="BB522" s="22" t="n">
        <x:f>MAX(0,MIN('Activities'!L522,300)-MAX('Activities'!K522,294))</x:f>
        <x:v>0</x:v>
      </x:c>
      <x:c r="BC522" s="22" t="n">
        <x:f>MAX(0,MIN('Activities'!L522,306)-MAX('Activities'!K522,300))</x:f>
        <x:v>0</x:v>
      </x:c>
      <x:c r="BD522" s="22" t="n">
        <x:f>MAX(0,MIN('Activities'!L522,312)-MAX('Activities'!K522,306))</x:f>
        <x:v>0</x:v>
      </x:c>
      <x:c r="BE522" s="22" t="n">
        <x:f>MAX(0,MIN('Activities'!L522,318)-MAX('Activities'!K522,312))</x:f>
        <x:v>0</x:v>
      </x:c>
      <x:c r="BF522" s="22" t="n">
        <x:f>MAX(0,MIN('Activities'!L522,324)-MAX('Activities'!K522,318))</x:f>
        <x:v>0</x:v>
      </x:c>
      <x:c r="BG522" s="22" t="n">
        <x:f>MAX(0,MIN('Activities'!L522,330)-MAX('Activities'!K522,324))</x:f>
        <x:v>0</x:v>
      </x:c>
      <x:c r="BH522" s="22" t="n">
        <x:f>MAX(0,MIN('Activities'!L522,336)-MAX('Activities'!K522,330))</x:f>
        <x:v>0</x:v>
      </x:c>
      <x:c r="BI522" s="22" t="n">
        <x:f>MAX(0,MIN('Activities'!L522,342)-MAX('Activities'!K522,336))</x:f>
        <x:v>0</x:v>
      </x:c>
      <x:c r="BJ522" s="22" t="n">
        <x:f>MAX(0,MIN('Activities'!L522,348)-MAX('Activities'!K522,342))</x:f>
        <x:v>0</x:v>
      </x:c>
      <x:c r="BK522" s="22" t="n">
        <x:f>MAX(0,MIN('Activities'!L522,354)-MAX('Activities'!K522,348))</x:f>
        <x:v>0</x:v>
      </x:c>
      <x:c r="BL522" s="22" t="n">
        <x:f>MAX(0,MIN('Activities'!L522,360)-MAX('Activities'!K522,354))</x:f>
        <x:v>0</x:v>
      </x:c>
      <x:c r="BM522" s="22" t="n">
        <x:f>MAX(0,MIN('Activities'!L522,366)-MAX('Activities'!K522,360))</x:f>
        <x:v>0</x:v>
      </x:c>
      <x:c r="BN522" s="22" t="n">
        <x:f>MAX(0,MIN('Activities'!L522,372)-MAX('Activities'!K522,366))</x:f>
        <x:v>0</x:v>
      </x:c>
      <x:c r="BO522" s="22" t="n">
        <x:f>MAX(0,MIN('Activities'!L522,378)-MAX('Activities'!K522,372))</x:f>
        <x:v>0</x:v>
      </x:c>
      <x:c r="BP522" s="22" t="n">
        <x:f>MAX(0,MIN('Activities'!L522,384)-MAX('Activities'!K522,378))</x:f>
        <x:v>0</x:v>
      </x:c>
      <x:c r="BQ522" s="22" t="n">
        <x:f>MAX(0,MIN('Activities'!L522,390)-MAX('Activities'!K522,384))</x:f>
        <x:v>0</x:v>
      </x:c>
      <x:c r="BR522" s="22" t="n">
        <x:f>MAX(0,MIN('Activities'!L522,396)-MAX('Activities'!K522,390))</x:f>
        <x:v>0</x:v>
      </x:c>
      <x:c r="BS522" s="22" t="n">
        <x:f>MAX(0,MIN('Activities'!L522,402)-MAX('Activities'!K522,396))</x:f>
        <x:v>0</x:v>
      </x:c>
      <x:c r="BT522" s="22" t="n">
        <x:f>MAX(0,MIN('Activities'!L522,408)-MAX('Activities'!K522,402))</x:f>
        <x:v>0</x:v>
      </x:c>
      <x:c r="BU522" s="22" t="n">
        <x:f>MAX(0,MIN('Activities'!L522,414)-MAX('Activities'!K522,408))</x:f>
        <x:v>0</x:v>
      </x:c>
      <x:c r="BV522" s="22" t="n">
        <x:f>MAX(0,MIN('Activities'!L522,420)-MAX('Activities'!K522,414))</x:f>
        <x:v>0</x:v>
      </x:c>
      <x:c r="BW522" s="22" t="n">
        <x:f>MAX(0,MIN('Activities'!L522,426)-MAX('Activities'!K522,420))</x:f>
        <x:v>0</x:v>
      </x:c>
      <x:c r="BX522" s="22" t="n">
        <x:f>MAX(0,MIN('Activities'!L522,432)-MAX('Activities'!K522,426))</x:f>
        <x:v>0</x:v>
      </x:c>
      <x:c r="BY522" s="22" t="n">
        <x:f>MAX(0,MIN('Activities'!L522,438)-MAX('Activities'!K522,432))</x:f>
        <x:v>0</x:v>
      </x:c>
      <x:c r="BZ522" s="22" t="n">
        <x:f>MAX(0,MIN('Activities'!L522,444)-MAX('Activities'!K522,438))</x:f>
        <x:v>0</x:v>
      </x:c>
      <x:c r="CA522" s="22" t="n">
        <x:f>MAX(0,MIN('Activities'!L522,450)-MAX('Activities'!K522,444))</x:f>
        <x:v>5</x:v>
      </x:c>
      <x:c r="CB522" s="22" t="n">
        <x:f>MAX(0,MIN('Activities'!L522,456)-MAX('Activities'!K522,450))</x:f>
        <x:v>0</x:v>
      </x:c>
      <x:c r="CC522" s="22" t="n">
        <x:f>MAX(0,MIN('Activities'!L522,462)-MAX('Activities'!K522,456))</x:f>
        <x:v>0</x:v>
      </x:c>
      <x:c r="CD522" s="22" t="n">
        <x:f>MAX(0,MIN('Activities'!L522,468)-MAX('Activities'!K522,462))</x:f>
        <x:v>0</x:v>
      </x:c>
      <x:c r="CE522" s="22" t="n">
        <x:f>MAX(0,MIN('Activities'!L522,474)-MAX('Activities'!K522,468))</x:f>
        <x:v>0</x:v>
      </x:c>
      <x:c r="CF522" s="22" t="n">
        <x:f>MAX(0,MIN('Activities'!L522,480)-MAX('Activities'!K522,474))</x:f>
        <x:v>0</x:v>
      </x:c>
      <x:c r="CG522" s="22" t="n">
        <x:f>MAX(0,MIN('Activities'!L522,486)-MAX('Activities'!K522,480))</x:f>
        <x:v>0</x:v>
      </x:c>
      <x:c r="CH522" s="22" t="n">
        <x:f>MAX(0,MIN('Activities'!L522,492)-MAX('Activities'!K522,486))</x:f>
        <x:v>0</x:v>
      </x:c>
      <x:c r="CI522" s="22" t="n">
        <x:f>MAX(0,MIN('Activities'!L522,498)-MAX('Activities'!K522,492))</x:f>
        <x:v>0</x:v>
      </x:c>
      <x:c r="CJ522" s="22" t="n">
        <x:f>MAX(0,MIN('Activities'!L522,504)-MAX('Activities'!K522,498))</x:f>
        <x:v>0</x:v>
      </x:c>
      <x:c r="CK522" s="22" t="n">
        <x:f>MAX(0,MIN('Activities'!L522,510)-MAX('Activities'!K522,504))</x:f>
        <x:v>0</x:v>
      </x:c>
      <x:c r="CL522" s="22" t="n">
        <x:f>MAX(0,MIN('Activities'!L522,516)-MAX('Activities'!K522,510))</x:f>
        <x:v>0</x:v>
      </x:c>
      <x:c r="CM522" s="22" t="n">
        <x:f>MAX(0,MIN('Activities'!L522,522)-MAX('Activities'!K522,516))</x:f>
        <x:v>0</x:v>
      </x:c>
      <x:c r="CN522" s="22" t="n">
        <x:f>MAX(0,MIN('Activities'!L522,528)-MAX('Activities'!K522,522))</x:f>
        <x:v>0</x:v>
      </x:c>
      <x:c r="CO522" s="22" t="n">
        <x:f>MAX(0,MIN('Activities'!L522,534)-MAX('Activities'!K522,528))</x:f>
        <x:v>0</x:v>
      </x:c>
      <x:c r="CP522" s="22" t="n">
        <x:f>MAX(0,MIN('Activities'!L522,540)-MAX('Activities'!K522,534))</x:f>
        <x:v>0</x:v>
      </x:c>
      <x:c r="CQ522" s="22" t="n">
        <x:f>MAX(0,MIN('Activities'!L522,546)-MAX('Activities'!K522,540))</x:f>
        <x:v>0</x:v>
      </x:c>
      <x:c r="CR522" s="22" t="n">
        <x:f>MAX(0,MIN('Activities'!L522,552)-MAX('Activities'!K522,546))</x:f>
        <x:v>0</x:v>
      </x:c>
      <x:c r="CS522" s="22" t="n">
        <x:f>MAX(0,MIN('Activities'!L522,558)-MAX('Activities'!K522,552))</x:f>
        <x:v>0</x:v>
      </x:c>
      <x:c r="CT522" s="22" t="n">
        <x:f>MAX(0,MIN('Activities'!L522,564)-MAX('Activities'!K522,558))</x:f>
        <x:v>0</x:v>
      </x:c>
      <x:c r="CU522" s="22" t="n">
        <x:f>MAX(0,MIN('Activities'!L522,570)-MAX('Activities'!K522,564))</x:f>
        <x:v>0</x:v>
      </x:c>
      <x:c r="CV522" s="22" t="n">
        <x:f>MAX(0,MIN('Activities'!L522,576)-MAX('Activities'!K522,570))</x:f>
        <x:v>0</x:v>
      </x:c>
      <x:c r="CW522" s="22" t="n">
        <x:f>MAX(0,MIN('Activities'!L522,582)-MAX('Activities'!K522,576))</x:f>
        <x:v>0</x:v>
      </x:c>
      <x:c r="CX522" s="22" t="n">
        <x:f>MAX(0,MIN('Activities'!L522,588)-MAX('Activities'!K522,582))</x:f>
        <x:v>0</x:v>
      </x:c>
      <x:c r="CY522" s="22" t="n">
        <x:f>MAX(0,MIN('Activities'!L522,594)-MAX('Activities'!K522,588))</x:f>
        <x:v>0</x:v>
      </x:c>
      <x:c r="CZ522" s="22" t="n">
        <x:f>MAX(0,MIN('Activities'!L522,600)-MAX('Activities'!K522,594))</x:f>
        <x:v>0</x:v>
      </x:c>
      <x:c r="DA522" s="22" t="n">
        <x:f>MAX(0,MIN('Activities'!L522,606)-MAX('Activities'!K522,600))</x:f>
        <x:v>0</x:v>
      </x:c>
      <x:c r="DB522" s="22" t="n">
        <x:f>MAX(0,MIN('Activities'!L522,612)-MAX('Activities'!K522,606))</x:f>
        <x:v>0</x:v>
      </x:c>
      <x:c r="DC522" s="22" t="n">
        <x:f>MAX(0,MIN('Activities'!L522,618)-MAX('Activities'!K522,612))</x:f>
        <x:v>0</x:v>
      </x:c>
      <x:c r="DD522" s="22" t="n">
        <x:f>MAX(0,MIN('Activities'!L522,624)-MAX('Activities'!K522,618))</x:f>
        <x:v>0</x:v>
      </x:c>
      <x:c r="DE522" s="22" t="n">
        <x:f>MAX(0,MIN('Activities'!L522,630)-MAX('Activities'!K522,624))</x:f>
        <x:v>0</x:v>
      </x:c>
      <x:c r="DF522" s="22" t="n">
        <x:f>MAX(0,MIN('Activities'!L522,636)-MAX('Activities'!K522,630))</x:f>
        <x:v>0</x:v>
      </x:c>
    </x:row>
    <x:row r="523" ht="23" customHeight="1">
      <x:c r="A523" s="1" t="str">
        <x:v>T4-L08-D</x:v>
      </x:c>
      <x:c r="B523" s="1" t="str">
        <x:v>T4</x:v>
      </x:c>
      <x:c r="C523" s="1" t="str">
        <x:v>Door sets and ironmongery</x:v>
      </x:c>
      <x:c r="D523" s="1" t="str">
        <x:v>Finishes</x:v>
      </x:c>
      <x:c r="E523" s="23" t="n">
        <x:f>MAX(0,MIN('Activities'!L523,6)-MAX('Activities'!K523,0))</x:f>
        <x:v>0</x:v>
      </x:c>
      <x:c r="F523" s="23" t="n">
        <x:f>MAX(0,MIN('Activities'!L523,12)-MAX('Activities'!K523,6))</x:f>
        <x:v>0</x:v>
      </x:c>
      <x:c r="G523" s="23" t="n">
        <x:f>MAX(0,MIN('Activities'!L523,18)-MAX('Activities'!K523,12))</x:f>
        <x:v>0</x:v>
      </x:c>
      <x:c r="H523" s="23" t="n">
        <x:f>MAX(0,MIN('Activities'!L523,24)-MAX('Activities'!K523,18))</x:f>
        <x:v>0</x:v>
      </x:c>
      <x:c r="I523" s="23" t="n">
        <x:f>MAX(0,MIN('Activities'!L523,30)-MAX('Activities'!K523,24))</x:f>
        <x:v>0</x:v>
      </x:c>
      <x:c r="J523" s="23" t="n">
        <x:f>MAX(0,MIN('Activities'!L523,36)-MAX('Activities'!K523,30))</x:f>
        <x:v>0</x:v>
      </x:c>
      <x:c r="K523" s="23" t="n">
        <x:f>MAX(0,MIN('Activities'!L523,42)-MAX('Activities'!K523,36))</x:f>
        <x:v>0</x:v>
      </x:c>
      <x:c r="L523" s="23" t="n">
        <x:f>MAX(0,MIN('Activities'!L523,48)-MAX('Activities'!K523,42))</x:f>
        <x:v>0</x:v>
      </x:c>
      <x:c r="M523" s="23" t="n">
        <x:f>MAX(0,MIN('Activities'!L523,54)-MAX('Activities'!K523,48))</x:f>
        <x:v>0</x:v>
      </x:c>
      <x:c r="N523" s="23" t="n">
        <x:f>MAX(0,MIN('Activities'!L523,60)-MAX('Activities'!K523,54))</x:f>
        <x:v>0</x:v>
      </x:c>
      <x:c r="O523" s="23" t="n">
        <x:f>MAX(0,MIN('Activities'!L523,66)-MAX('Activities'!K523,60))</x:f>
        <x:v>0</x:v>
      </x:c>
      <x:c r="P523" s="23" t="n">
        <x:f>MAX(0,MIN('Activities'!L523,72)-MAX('Activities'!K523,66))</x:f>
        <x:v>0</x:v>
      </x:c>
      <x:c r="Q523" s="23" t="n">
        <x:f>MAX(0,MIN('Activities'!L523,78)-MAX('Activities'!K523,72))</x:f>
        <x:v>0</x:v>
      </x:c>
      <x:c r="R523" s="23" t="n">
        <x:f>MAX(0,MIN('Activities'!L523,84)-MAX('Activities'!K523,78))</x:f>
        <x:v>0</x:v>
      </x:c>
      <x:c r="S523" s="23" t="n">
        <x:f>MAX(0,MIN('Activities'!L523,90)-MAX('Activities'!K523,84))</x:f>
        <x:v>0</x:v>
      </x:c>
      <x:c r="T523" s="23" t="n">
        <x:f>MAX(0,MIN('Activities'!L523,96)-MAX('Activities'!K523,90))</x:f>
        <x:v>0</x:v>
      </x:c>
      <x:c r="U523" s="23" t="n">
        <x:f>MAX(0,MIN('Activities'!L523,102)-MAX('Activities'!K523,96))</x:f>
        <x:v>0</x:v>
      </x:c>
      <x:c r="V523" s="23" t="n">
        <x:f>MAX(0,MIN('Activities'!L523,108)-MAX('Activities'!K523,102))</x:f>
        <x:v>0</x:v>
      </x:c>
      <x:c r="W523" s="23" t="n">
        <x:f>MAX(0,MIN('Activities'!L523,114)-MAX('Activities'!K523,108))</x:f>
        <x:v>0</x:v>
      </x:c>
      <x:c r="X523" s="23" t="n">
        <x:f>MAX(0,MIN('Activities'!L523,120)-MAX('Activities'!K523,114))</x:f>
        <x:v>0</x:v>
      </x:c>
      <x:c r="Y523" s="23" t="n">
        <x:f>MAX(0,MIN('Activities'!L523,126)-MAX('Activities'!K523,120))</x:f>
        <x:v>0</x:v>
      </x:c>
      <x:c r="Z523" s="23" t="n">
        <x:f>MAX(0,MIN('Activities'!L523,132)-MAX('Activities'!K523,126))</x:f>
        <x:v>0</x:v>
      </x:c>
      <x:c r="AA523" s="23" t="n">
        <x:f>MAX(0,MIN('Activities'!L523,138)-MAX('Activities'!K523,132))</x:f>
        <x:v>0</x:v>
      </x:c>
      <x:c r="AB523" s="23" t="n">
        <x:f>MAX(0,MIN('Activities'!L523,144)-MAX('Activities'!K523,138))</x:f>
        <x:v>0</x:v>
      </x:c>
      <x:c r="AC523" s="23" t="n">
        <x:f>MAX(0,MIN('Activities'!L523,150)-MAX('Activities'!K523,144))</x:f>
        <x:v>0</x:v>
      </x:c>
      <x:c r="AD523" s="23" t="n">
        <x:f>MAX(0,MIN('Activities'!L523,156)-MAX('Activities'!K523,150))</x:f>
        <x:v>0</x:v>
      </x:c>
      <x:c r="AE523" s="23" t="n">
        <x:f>MAX(0,MIN('Activities'!L523,162)-MAX('Activities'!K523,156))</x:f>
        <x:v>0</x:v>
      </x:c>
      <x:c r="AF523" s="23" t="n">
        <x:f>MAX(0,MIN('Activities'!L523,168)-MAX('Activities'!K523,162))</x:f>
        <x:v>0</x:v>
      </x:c>
      <x:c r="AG523" s="23" t="n">
        <x:f>MAX(0,MIN('Activities'!L523,174)-MAX('Activities'!K523,168))</x:f>
        <x:v>0</x:v>
      </x:c>
      <x:c r="AH523" s="23" t="n">
        <x:f>MAX(0,MIN('Activities'!L523,180)-MAX('Activities'!K523,174))</x:f>
        <x:v>0</x:v>
      </x:c>
      <x:c r="AI523" s="23" t="n">
        <x:f>MAX(0,MIN('Activities'!L523,186)-MAX('Activities'!K523,180))</x:f>
        <x:v>0</x:v>
      </x:c>
      <x:c r="AJ523" s="23" t="n">
        <x:f>MAX(0,MIN('Activities'!L523,192)-MAX('Activities'!K523,186))</x:f>
        <x:v>0</x:v>
      </x:c>
      <x:c r="AK523" s="23" t="n">
        <x:f>MAX(0,MIN('Activities'!L523,198)-MAX('Activities'!K523,192))</x:f>
        <x:v>0</x:v>
      </x:c>
      <x:c r="AL523" s="23" t="n">
        <x:f>MAX(0,MIN('Activities'!L523,204)-MAX('Activities'!K523,198))</x:f>
        <x:v>0</x:v>
      </x:c>
      <x:c r="AM523" s="23" t="n">
        <x:f>MAX(0,MIN('Activities'!L523,210)-MAX('Activities'!K523,204))</x:f>
        <x:v>0</x:v>
      </x:c>
      <x:c r="AN523" s="23" t="n">
        <x:f>MAX(0,MIN('Activities'!L523,216)-MAX('Activities'!K523,210))</x:f>
        <x:v>0</x:v>
      </x:c>
      <x:c r="AO523" s="23" t="n">
        <x:f>MAX(0,MIN('Activities'!L523,222)-MAX('Activities'!K523,216))</x:f>
        <x:v>0</x:v>
      </x:c>
      <x:c r="AP523" s="23" t="n">
        <x:f>MAX(0,MIN('Activities'!L523,228)-MAX('Activities'!K523,222))</x:f>
        <x:v>0</x:v>
      </x:c>
      <x:c r="AQ523" s="23" t="n">
        <x:f>MAX(0,MIN('Activities'!L523,234)-MAX('Activities'!K523,228))</x:f>
        <x:v>0</x:v>
      </x:c>
      <x:c r="AR523" s="23" t="n">
        <x:f>MAX(0,MIN('Activities'!L523,240)-MAX('Activities'!K523,234))</x:f>
        <x:v>0</x:v>
      </x:c>
      <x:c r="AS523" s="23" t="n">
        <x:f>MAX(0,MIN('Activities'!L523,246)-MAX('Activities'!K523,240))</x:f>
        <x:v>0</x:v>
      </x:c>
      <x:c r="AT523" s="23" t="n">
        <x:f>MAX(0,MIN('Activities'!L523,252)-MAX('Activities'!K523,246))</x:f>
        <x:v>0</x:v>
      </x:c>
      <x:c r="AU523" s="23" t="n">
        <x:f>MAX(0,MIN('Activities'!L523,258)-MAX('Activities'!K523,252))</x:f>
        <x:v>0</x:v>
      </x:c>
      <x:c r="AV523" s="23" t="n">
        <x:f>MAX(0,MIN('Activities'!L523,264)-MAX('Activities'!K523,258))</x:f>
        <x:v>0</x:v>
      </x:c>
      <x:c r="AW523" s="23" t="n">
        <x:f>MAX(0,MIN('Activities'!L523,270)-MAX('Activities'!K523,264))</x:f>
        <x:v>0</x:v>
      </x:c>
      <x:c r="AX523" s="23" t="n">
        <x:f>MAX(0,MIN('Activities'!L523,276)-MAX('Activities'!K523,270))</x:f>
        <x:v>0</x:v>
      </x:c>
      <x:c r="AY523" s="23" t="n">
        <x:f>MAX(0,MIN('Activities'!L523,282)-MAX('Activities'!K523,276))</x:f>
        <x:v>0</x:v>
      </x:c>
      <x:c r="AZ523" s="23" t="n">
        <x:f>MAX(0,MIN('Activities'!L523,288)-MAX('Activities'!K523,282))</x:f>
        <x:v>0</x:v>
      </x:c>
      <x:c r="BA523" s="23" t="n">
        <x:f>MAX(0,MIN('Activities'!L523,294)-MAX('Activities'!K523,288))</x:f>
        <x:v>0</x:v>
      </x:c>
      <x:c r="BB523" s="23" t="n">
        <x:f>MAX(0,MIN('Activities'!L523,300)-MAX('Activities'!K523,294))</x:f>
        <x:v>0</x:v>
      </x:c>
      <x:c r="BC523" s="23" t="n">
        <x:f>MAX(0,MIN('Activities'!L523,306)-MAX('Activities'!K523,300))</x:f>
        <x:v>0</x:v>
      </x:c>
      <x:c r="BD523" s="23" t="n">
        <x:f>MAX(0,MIN('Activities'!L523,312)-MAX('Activities'!K523,306))</x:f>
        <x:v>0</x:v>
      </x:c>
      <x:c r="BE523" s="23" t="n">
        <x:f>MAX(0,MIN('Activities'!L523,318)-MAX('Activities'!K523,312))</x:f>
        <x:v>0</x:v>
      </x:c>
      <x:c r="BF523" s="23" t="n">
        <x:f>MAX(0,MIN('Activities'!L523,324)-MAX('Activities'!K523,318))</x:f>
        <x:v>0</x:v>
      </x:c>
      <x:c r="BG523" s="23" t="n">
        <x:f>MAX(0,MIN('Activities'!L523,330)-MAX('Activities'!K523,324))</x:f>
        <x:v>0</x:v>
      </x:c>
      <x:c r="BH523" s="23" t="n">
        <x:f>MAX(0,MIN('Activities'!L523,336)-MAX('Activities'!K523,330))</x:f>
        <x:v>0</x:v>
      </x:c>
      <x:c r="BI523" s="23" t="n">
        <x:f>MAX(0,MIN('Activities'!L523,342)-MAX('Activities'!K523,336))</x:f>
        <x:v>0</x:v>
      </x:c>
      <x:c r="BJ523" s="23" t="n">
        <x:f>MAX(0,MIN('Activities'!L523,348)-MAX('Activities'!K523,342))</x:f>
        <x:v>0</x:v>
      </x:c>
      <x:c r="BK523" s="23" t="n">
        <x:f>MAX(0,MIN('Activities'!L523,354)-MAX('Activities'!K523,348))</x:f>
        <x:v>0</x:v>
      </x:c>
      <x:c r="BL523" s="23" t="n">
        <x:f>MAX(0,MIN('Activities'!L523,360)-MAX('Activities'!K523,354))</x:f>
        <x:v>0</x:v>
      </x:c>
      <x:c r="BM523" s="23" t="n">
        <x:f>MAX(0,MIN('Activities'!L523,366)-MAX('Activities'!K523,360))</x:f>
        <x:v>0</x:v>
      </x:c>
      <x:c r="BN523" s="23" t="n">
        <x:f>MAX(0,MIN('Activities'!L523,372)-MAX('Activities'!K523,366))</x:f>
        <x:v>0</x:v>
      </x:c>
      <x:c r="BO523" s="23" t="n">
        <x:f>MAX(0,MIN('Activities'!L523,378)-MAX('Activities'!K523,372))</x:f>
        <x:v>0</x:v>
      </x:c>
      <x:c r="BP523" s="23" t="n">
        <x:f>MAX(0,MIN('Activities'!L523,384)-MAX('Activities'!K523,378))</x:f>
        <x:v>0</x:v>
      </x:c>
      <x:c r="BQ523" s="23" t="n">
        <x:f>MAX(0,MIN('Activities'!L523,390)-MAX('Activities'!K523,384))</x:f>
        <x:v>0</x:v>
      </x:c>
      <x:c r="BR523" s="23" t="n">
        <x:f>MAX(0,MIN('Activities'!L523,396)-MAX('Activities'!K523,390))</x:f>
        <x:v>0</x:v>
      </x:c>
      <x:c r="BS523" s="23" t="n">
        <x:f>MAX(0,MIN('Activities'!L523,402)-MAX('Activities'!K523,396))</x:f>
        <x:v>0</x:v>
      </x:c>
      <x:c r="BT523" s="23" t="n">
        <x:f>MAX(0,MIN('Activities'!L523,408)-MAX('Activities'!K523,402))</x:f>
        <x:v>0</x:v>
      </x:c>
      <x:c r="BU523" s="23" t="n">
        <x:f>MAX(0,MIN('Activities'!L523,414)-MAX('Activities'!K523,408))</x:f>
        <x:v>0</x:v>
      </x:c>
      <x:c r="BV523" s="23" t="n">
        <x:f>MAX(0,MIN('Activities'!L523,420)-MAX('Activities'!K523,414))</x:f>
        <x:v>0</x:v>
      </x:c>
      <x:c r="BW523" s="23" t="n">
        <x:f>MAX(0,MIN('Activities'!L523,426)-MAX('Activities'!K523,420))</x:f>
        <x:v>0</x:v>
      </x:c>
      <x:c r="BX523" s="23" t="n">
        <x:f>MAX(0,MIN('Activities'!L523,432)-MAX('Activities'!K523,426))</x:f>
        <x:v>0</x:v>
      </x:c>
      <x:c r="BY523" s="23" t="n">
        <x:f>MAX(0,MIN('Activities'!L523,438)-MAX('Activities'!K523,432))</x:f>
        <x:v>0</x:v>
      </x:c>
      <x:c r="BZ523" s="23" t="n">
        <x:f>MAX(0,MIN('Activities'!L523,444)-MAX('Activities'!K523,438))</x:f>
        <x:v>0</x:v>
      </x:c>
      <x:c r="CA523" s="23" t="n">
        <x:f>MAX(0,MIN('Activities'!L523,450)-MAX('Activities'!K523,444))</x:f>
        <x:v>0</x:v>
      </x:c>
      <x:c r="CB523" s="23" t="n">
        <x:f>MAX(0,MIN('Activities'!L523,456)-MAX('Activities'!K523,450))</x:f>
        <x:v>3</x:v>
      </x:c>
      <x:c r="CC523" s="23" t="n">
        <x:f>MAX(0,MIN('Activities'!L523,462)-MAX('Activities'!K523,456))</x:f>
        <x:v>0</x:v>
      </x:c>
      <x:c r="CD523" s="23" t="n">
        <x:f>MAX(0,MIN('Activities'!L523,468)-MAX('Activities'!K523,462))</x:f>
        <x:v>0</x:v>
      </x:c>
      <x:c r="CE523" s="23" t="n">
        <x:f>MAX(0,MIN('Activities'!L523,474)-MAX('Activities'!K523,468))</x:f>
        <x:v>0</x:v>
      </x:c>
      <x:c r="CF523" s="23" t="n">
        <x:f>MAX(0,MIN('Activities'!L523,480)-MAX('Activities'!K523,474))</x:f>
        <x:v>0</x:v>
      </x:c>
      <x:c r="CG523" s="23" t="n">
        <x:f>MAX(0,MIN('Activities'!L523,486)-MAX('Activities'!K523,480))</x:f>
        <x:v>0</x:v>
      </x:c>
      <x:c r="CH523" s="23" t="n">
        <x:f>MAX(0,MIN('Activities'!L523,492)-MAX('Activities'!K523,486))</x:f>
        <x:v>0</x:v>
      </x:c>
      <x:c r="CI523" s="23" t="n">
        <x:f>MAX(0,MIN('Activities'!L523,498)-MAX('Activities'!K523,492))</x:f>
        <x:v>0</x:v>
      </x:c>
      <x:c r="CJ523" s="23" t="n">
        <x:f>MAX(0,MIN('Activities'!L523,504)-MAX('Activities'!K523,498))</x:f>
        <x:v>0</x:v>
      </x:c>
      <x:c r="CK523" s="23" t="n">
        <x:f>MAX(0,MIN('Activities'!L523,510)-MAX('Activities'!K523,504))</x:f>
        <x:v>0</x:v>
      </x:c>
      <x:c r="CL523" s="23" t="n">
        <x:f>MAX(0,MIN('Activities'!L523,516)-MAX('Activities'!K523,510))</x:f>
        <x:v>0</x:v>
      </x:c>
      <x:c r="CM523" s="23" t="n">
        <x:f>MAX(0,MIN('Activities'!L523,522)-MAX('Activities'!K523,516))</x:f>
        <x:v>0</x:v>
      </x:c>
      <x:c r="CN523" s="23" t="n">
        <x:f>MAX(0,MIN('Activities'!L523,528)-MAX('Activities'!K523,522))</x:f>
        <x:v>0</x:v>
      </x:c>
      <x:c r="CO523" s="23" t="n">
        <x:f>MAX(0,MIN('Activities'!L523,534)-MAX('Activities'!K523,528))</x:f>
        <x:v>0</x:v>
      </x:c>
      <x:c r="CP523" s="23" t="n">
        <x:f>MAX(0,MIN('Activities'!L523,540)-MAX('Activities'!K523,534))</x:f>
        <x:v>0</x:v>
      </x:c>
      <x:c r="CQ523" s="23" t="n">
        <x:f>MAX(0,MIN('Activities'!L523,546)-MAX('Activities'!K523,540))</x:f>
        <x:v>0</x:v>
      </x:c>
      <x:c r="CR523" s="23" t="n">
        <x:f>MAX(0,MIN('Activities'!L523,552)-MAX('Activities'!K523,546))</x:f>
        <x:v>0</x:v>
      </x:c>
      <x:c r="CS523" s="23" t="n">
        <x:f>MAX(0,MIN('Activities'!L523,558)-MAX('Activities'!K523,552))</x:f>
        <x:v>0</x:v>
      </x:c>
      <x:c r="CT523" s="23" t="n">
        <x:f>MAX(0,MIN('Activities'!L523,564)-MAX('Activities'!K523,558))</x:f>
        <x:v>0</x:v>
      </x:c>
      <x:c r="CU523" s="23" t="n">
        <x:f>MAX(0,MIN('Activities'!L523,570)-MAX('Activities'!K523,564))</x:f>
        <x:v>0</x:v>
      </x:c>
      <x:c r="CV523" s="23" t="n">
        <x:f>MAX(0,MIN('Activities'!L523,576)-MAX('Activities'!K523,570))</x:f>
        <x:v>0</x:v>
      </x:c>
      <x:c r="CW523" s="23" t="n">
        <x:f>MAX(0,MIN('Activities'!L523,582)-MAX('Activities'!K523,576))</x:f>
        <x:v>0</x:v>
      </x:c>
      <x:c r="CX523" s="23" t="n">
        <x:f>MAX(0,MIN('Activities'!L523,588)-MAX('Activities'!K523,582))</x:f>
        <x:v>0</x:v>
      </x:c>
      <x:c r="CY523" s="23" t="n">
        <x:f>MAX(0,MIN('Activities'!L523,594)-MAX('Activities'!K523,588))</x:f>
        <x:v>0</x:v>
      </x:c>
      <x:c r="CZ523" s="23" t="n">
        <x:f>MAX(0,MIN('Activities'!L523,600)-MAX('Activities'!K523,594))</x:f>
        <x:v>0</x:v>
      </x:c>
      <x:c r="DA523" s="23" t="n">
        <x:f>MAX(0,MIN('Activities'!L523,606)-MAX('Activities'!K523,600))</x:f>
        <x:v>0</x:v>
      </x:c>
      <x:c r="DB523" s="23" t="n">
        <x:f>MAX(0,MIN('Activities'!L523,612)-MAX('Activities'!K523,606))</x:f>
        <x:v>0</x:v>
      </x:c>
      <x:c r="DC523" s="23" t="n">
        <x:f>MAX(0,MIN('Activities'!L523,618)-MAX('Activities'!K523,612))</x:f>
        <x:v>0</x:v>
      </x:c>
      <x:c r="DD523" s="23" t="n">
        <x:f>MAX(0,MIN('Activities'!L523,624)-MAX('Activities'!K523,618))</x:f>
        <x:v>0</x:v>
      </x:c>
      <x:c r="DE523" s="23" t="n">
        <x:f>MAX(0,MIN('Activities'!L523,630)-MAX('Activities'!K523,624))</x:f>
        <x:v>0</x:v>
      </x:c>
      <x:c r="DF523" s="23" t="n">
        <x:f>MAX(0,MIN('Activities'!L523,636)-MAX('Activities'!K523,630))</x:f>
        <x:v>0</x:v>
      </x:c>
    </x:row>
    <x:row r="524" ht="23" customHeight="1">
      <x:c r="A524" s="6" t="str">
        <x:v>T4-L09-M</x:v>
      </x:c>
      <x:c r="B524" s="6" t="str">
        <x:v>T4</x:v>
      </x:c>
      <x:c r="C524" s="6" t="str">
        <x:v>Partition masonry</x:v>
      </x:c>
      <x:c r="D524" s="6" t="str">
        <x:v>Masonry</x:v>
      </x:c>
      <x:c r="E524" s="22" t="n">
        <x:f>MAX(0,MIN('Activities'!L524,6)-MAX('Activities'!K524,0))</x:f>
        <x:v>0</x:v>
      </x:c>
      <x:c r="F524" s="22" t="n">
        <x:f>MAX(0,MIN('Activities'!L524,12)-MAX('Activities'!K524,6))</x:f>
        <x:v>0</x:v>
      </x:c>
      <x:c r="G524" s="22" t="n">
        <x:f>MAX(0,MIN('Activities'!L524,18)-MAX('Activities'!K524,12))</x:f>
        <x:v>0</x:v>
      </x:c>
      <x:c r="H524" s="22" t="n">
        <x:f>MAX(0,MIN('Activities'!L524,24)-MAX('Activities'!K524,18))</x:f>
        <x:v>0</x:v>
      </x:c>
      <x:c r="I524" s="22" t="n">
        <x:f>MAX(0,MIN('Activities'!L524,30)-MAX('Activities'!K524,24))</x:f>
        <x:v>0</x:v>
      </x:c>
      <x:c r="J524" s="22" t="n">
        <x:f>MAX(0,MIN('Activities'!L524,36)-MAX('Activities'!K524,30))</x:f>
        <x:v>0</x:v>
      </x:c>
      <x:c r="K524" s="22" t="n">
        <x:f>MAX(0,MIN('Activities'!L524,42)-MAX('Activities'!K524,36))</x:f>
        <x:v>0</x:v>
      </x:c>
      <x:c r="L524" s="22" t="n">
        <x:f>MAX(0,MIN('Activities'!L524,48)-MAX('Activities'!K524,42))</x:f>
        <x:v>0</x:v>
      </x:c>
      <x:c r="M524" s="22" t="n">
        <x:f>MAX(0,MIN('Activities'!L524,54)-MAX('Activities'!K524,48))</x:f>
        <x:v>0</x:v>
      </x:c>
      <x:c r="N524" s="22" t="n">
        <x:f>MAX(0,MIN('Activities'!L524,60)-MAX('Activities'!K524,54))</x:f>
        <x:v>0</x:v>
      </x:c>
      <x:c r="O524" s="22" t="n">
        <x:f>MAX(0,MIN('Activities'!L524,66)-MAX('Activities'!K524,60))</x:f>
        <x:v>0</x:v>
      </x:c>
      <x:c r="P524" s="22" t="n">
        <x:f>MAX(0,MIN('Activities'!L524,72)-MAX('Activities'!K524,66))</x:f>
        <x:v>0</x:v>
      </x:c>
      <x:c r="Q524" s="22" t="n">
        <x:f>MAX(0,MIN('Activities'!L524,78)-MAX('Activities'!K524,72))</x:f>
        <x:v>0</x:v>
      </x:c>
      <x:c r="R524" s="22" t="n">
        <x:f>MAX(0,MIN('Activities'!L524,84)-MAX('Activities'!K524,78))</x:f>
        <x:v>0</x:v>
      </x:c>
      <x:c r="S524" s="22" t="n">
        <x:f>MAX(0,MIN('Activities'!L524,90)-MAX('Activities'!K524,84))</x:f>
        <x:v>0</x:v>
      </x:c>
      <x:c r="T524" s="22" t="n">
        <x:f>MAX(0,MIN('Activities'!L524,96)-MAX('Activities'!K524,90))</x:f>
        <x:v>0</x:v>
      </x:c>
      <x:c r="U524" s="22" t="n">
        <x:f>MAX(0,MIN('Activities'!L524,102)-MAX('Activities'!K524,96))</x:f>
        <x:v>0</x:v>
      </x:c>
      <x:c r="V524" s="22" t="n">
        <x:f>MAX(0,MIN('Activities'!L524,108)-MAX('Activities'!K524,102))</x:f>
        <x:v>0</x:v>
      </x:c>
      <x:c r="W524" s="22" t="n">
        <x:f>MAX(0,MIN('Activities'!L524,114)-MAX('Activities'!K524,108))</x:f>
        <x:v>0</x:v>
      </x:c>
      <x:c r="X524" s="22" t="n">
        <x:f>MAX(0,MIN('Activities'!L524,120)-MAX('Activities'!K524,114))</x:f>
        <x:v>0</x:v>
      </x:c>
      <x:c r="Y524" s="22" t="n">
        <x:f>MAX(0,MIN('Activities'!L524,126)-MAX('Activities'!K524,120))</x:f>
        <x:v>0</x:v>
      </x:c>
      <x:c r="Z524" s="22" t="n">
        <x:f>MAX(0,MIN('Activities'!L524,132)-MAX('Activities'!K524,126))</x:f>
        <x:v>0</x:v>
      </x:c>
      <x:c r="AA524" s="22" t="n">
        <x:f>MAX(0,MIN('Activities'!L524,138)-MAX('Activities'!K524,132))</x:f>
        <x:v>0</x:v>
      </x:c>
      <x:c r="AB524" s="22" t="n">
        <x:f>MAX(0,MIN('Activities'!L524,144)-MAX('Activities'!K524,138))</x:f>
        <x:v>0</x:v>
      </x:c>
      <x:c r="AC524" s="22" t="n">
        <x:f>MAX(0,MIN('Activities'!L524,150)-MAX('Activities'!K524,144))</x:f>
        <x:v>0</x:v>
      </x:c>
      <x:c r="AD524" s="22" t="n">
        <x:f>MAX(0,MIN('Activities'!L524,156)-MAX('Activities'!K524,150))</x:f>
        <x:v>0</x:v>
      </x:c>
      <x:c r="AE524" s="22" t="n">
        <x:f>MAX(0,MIN('Activities'!L524,162)-MAX('Activities'!K524,156))</x:f>
        <x:v>0</x:v>
      </x:c>
      <x:c r="AF524" s="22" t="n">
        <x:f>MAX(0,MIN('Activities'!L524,168)-MAX('Activities'!K524,162))</x:f>
        <x:v>0</x:v>
      </x:c>
      <x:c r="AG524" s="22" t="n">
        <x:f>MAX(0,MIN('Activities'!L524,174)-MAX('Activities'!K524,168))</x:f>
        <x:v>0</x:v>
      </x:c>
      <x:c r="AH524" s="22" t="n">
        <x:f>MAX(0,MIN('Activities'!L524,180)-MAX('Activities'!K524,174))</x:f>
        <x:v>0</x:v>
      </x:c>
      <x:c r="AI524" s="22" t="n">
        <x:f>MAX(0,MIN('Activities'!L524,186)-MAX('Activities'!K524,180))</x:f>
        <x:v>0</x:v>
      </x:c>
      <x:c r="AJ524" s="22" t="n">
        <x:f>MAX(0,MIN('Activities'!L524,192)-MAX('Activities'!K524,186))</x:f>
        <x:v>0</x:v>
      </x:c>
      <x:c r="AK524" s="22" t="n">
        <x:f>MAX(0,MIN('Activities'!L524,198)-MAX('Activities'!K524,192))</x:f>
        <x:v>0</x:v>
      </x:c>
      <x:c r="AL524" s="22" t="n">
        <x:f>MAX(0,MIN('Activities'!L524,204)-MAX('Activities'!K524,198))</x:f>
        <x:v>0</x:v>
      </x:c>
      <x:c r="AM524" s="22" t="n">
        <x:f>MAX(0,MIN('Activities'!L524,210)-MAX('Activities'!K524,204))</x:f>
        <x:v>0</x:v>
      </x:c>
      <x:c r="AN524" s="22" t="n">
        <x:f>MAX(0,MIN('Activities'!L524,216)-MAX('Activities'!K524,210))</x:f>
        <x:v>0</x:v>
      </x:c>
      <x:c r="AO524" s="22" t="n">
        <x:f>MAX(0,MIN('Activities'!L524,222)-MAX('Activities'!K524,216))</x:f>
        <x:v>0</x:v>
      </x:c>
      <x:c r="AP524" s="22" t="n">
        <x:f>MAX(0,MIN('Activities'!L524,228)-MAX('Activities'!K524,222))</x:f>
        <x:v>0</x:v>
      </x:c>
      <x:c r="AQ524" s="22" t="n">
        <x:f>MAX(0,MIN('Activities'!L524,234)-MAX('Activities'!K524,228))</x:f>
        <x:v>0</x:v>
      </x:c>
      <x:c r="AR524" s="22" t="n">
        <x:f>MAX(0,MIN('Activities'!L524,240)-MAX('Activities'!K524,234))</x:f>
        <x:v>0</x:v>
      </x:c>
      <x:c r="AS524" s="22" t="n">
        <x:f>MAX(0,MIN('Activities'!L524,246)-MAX('Activities'!K524,240))</x:f>
        <x:v>0</x:v>
      </x:c>
      <x:c r="AT524" s="22" t="n">
        <x:f>MAX(0,MIN('Activities'!L524,252)-MAX('Activities'!K524,246))</x:f>
        <x:v>0</x:v>
      </x:c>
      <x:c r="AU524" s="22" t="n">
        <x:f>MAX(0,MIN('Activities'!L524,258)-MAX('Activities'!K524,252))</x:f>
        <x:v>0</x:v>
      </x:c>
      <x:c r="AV524" s="22" t="n">
        <x:f>MAX(0,MIN('Activities'!L524,264)-MAX('Activities'!K524,258))</x:f>
        <x:v>0</x:v>
      </x:c>
      <x:c r="AW524" s="22" t="n">
        <x:f>MAX(0,MIN('Activities'!L524,270)-MAX('Activities'!K524,264))</x:f>
        <x:v>0</x:v>
      </x:c>
      <x:c r="AX524" s="22" t="n">
        <x:f>MAX(0,MIN('Activities'!L524,276)-MAX('Activities'!K524,270))</x:f>
        <x:v>0</x:v>
      </x:c>
      <x:c r="AY524" s="22" t="n">
        <x:f>MAX(0,MIN('Activities'!L524,282)-MAX('Activities'!K524,276))</x:f>
        <x:v>0</x:v>
      </x:c>
      <x:c r="AZ524" s="22" t="n">
        <x:f>MAX(0,MIN('Activities'!L524,288)-MAX('Activities'!K524,282))</x:f>
        <x:v>0</x:v>
      </x:c>
      <x:c r="BA524" s="22" t="n">
        <x:f>MAX(0,MIN('Activities'!L524,294)-MAX('Activities'!K524,288))</x:f>
        <x:v>0</x:v>
      </x:c>
      <x:c r="BB524" s="22" t="n">
        <x:f>MAX(0,MIN('Activities'!L524,300)-MAX('Activities'!K524,294))</x:f>
        <x:v>0</x:v>
      </x:c>
      <x:c r="BC524" s="22" t="n">
        <x:f>MAX(0,MIN('Activities'!L524,306)-MAX('Activities'!K524,300))</x:f>
        <x:v>0</x:v>
      </x:c>
      <x:c r="BD524" s="22" t="n">
        <x:f>MAX(0,MIN('Activities'!L524,312)-MAX('Activities'!K524,306))</x:f>
        <x:v>0</x:v>
      </x:c>
      <x:c r="BE524" s="22" t="n">
        <x:f>MAX(0,MIN('Activities'!L524,318)-MAX('Activities'!K524,312))</x:f>
        <x:v>0</x:v>
      </x:c>
      <x:c r="BF524" s="22" t="n">
        <x:f>MAX(0,MIN('Activities'!L524,324)-MAX('Activities'!K524,318))</x:f>
        <x:v>0</x:v>
      </x:c>
      <x:c r="BG524" s="22" t="n">
        <x:f>MAX(0,MIN('Activities'!L524,330)-MAX('Activities'!K524,324))</x:f>
        <x:v>0</x:v>
      </x:c>
      <x:c r="BH524" s="22" t="n">
        <x:f>MAX(0,MIN('Activities'!L524,336)-MAX('Activities'!K524,330))</x:f>
        <x:v>0</x:v>
      </x:c>
      <x:c r="BI524" s="22" t="n">
        <x:f>MAX(0,MIN('Activities'!L524,342)-MAX('Activities'!K524,336))</x:f>
        <x:v>0</x:v>
      </x:c>
      <x:c r="BJ524" s="22" t="n">
        <x:f>MAX(0,MIN('Activities'!L524,348)-MAX('Activities'!K524,342))</x:f>
        <x:v>0</x:v>
      </x:c>
      <x:c r="BK524" s="22" t="n">
        <x:f>MAX(0,MIN('Activities'!L524,354)-MAX('Activities'!K524,348))</x:f>
        <x:v>0</x:v>
      </x:c>
      <x:c r="BL524" s="22" t="n">
        <x:f>MAX(0,MIN('Activities'!L524,360)-MAX('Activities'!K524,354))</x:f>
        <x:v>0</x:v>
      </x:c>
      <x:c r="BM524" s="22" t="n">
        <x:f>MAX(0,MIN('Activities'!L524,366)-MAX('Activities'!K524,360))</x:f>
        <x:v>0</x:v>
      </x:c>
      <x:c r="BN524" s="22" t="n">
        <x:f>MAX(0,MIN('Activities'!L524,372)-MAX('Activities'!K524,366))</x:f>
        <x:v>0</x:v>
      </x:c>
      <x:c r="BO524" s="22" t="n">
        <x:f>MAX(0,MIN('Activities'!L524,378)-MAX('Activities'!K524,372))</x:f>
        <x:v>0</x:v>
      </x:c>
      <x:c r="BP524" s="22" t="n">
        <x:f>MAX(0,MIN('Activities'!L524,384)-MAX('Activities'!K524,378))</x:f>
        <x:v>0</x:v>
      </x:c>
      <x:c r="BQ524" s="22" t="n">
        <x:f>MAX(0,MIN('Activities'!L524,390)-MAX('Activities'!K524,384))</x:f>
        <x:v>0</x:v>
      </x:c>
      <x:c r="BR524" s="22" t="n">
        <x:f>MAX(0,MIN('Activities'!L524,396)-MAX('Activities'!K524,390))</x:f>
        <x:v>0</x:v>
      </x:c>
      <x:c r="BS524" s="22" t="n">
        <x:f>MAX(0,MIN('Activities'!L524,402)-MAX('Activities'!K524,396))</x:f>
        <x:v>0</x:v>
      </x:c>
      <x:c r="BT524" s="22" t="n">
        <x:f>MAX(0,MIN('Activities'!L524,408)-MAX('Activities'!K524,402))</x:f>
        <x:v>0</x:v>
      </x:c>
      <x:c r="BU524" s="22" t="n">
        <x:f>MAX(0,MIN('Activities'!L524,414)-MAX('Activities'!K524,408))</x:f>
        <x:v>5</x:v>
      </x:c>
      <x:c r="BV524" s="22" t="n">
        <x:f>MAX(0,MIN('Activities'!L524,420)-MAX('Activities'!K524,414))</x:f>
        <x:v>0</x:v>
      </x:c>
      <x:c r="BW524" s="22" t="n">
        <x:f>MAX(0,MIN('Activities'!L524,426)-MAX('Activities'!K524,420))</x:f>
        <x:v>0</x:v>
      </x:c>
      <x:c r="BX524" s="22" t="n">
        <x:f>MAX(0,MIN('Activities'!L524,432)-MAX('Activities'!K524,426))</x:f>
        <x:v>0</x:v>
      </x:c>
      <x:c r="BY524" s="22" t="n">
        <x:f>MAX(0,MIN('Activities'!L524,438)-MAX('Activities'!K524,432))</x:f>
        <x:v>0</x:v>
      </x:c>
      <x:c r="BZ524" s="22" t="n">
        <x:f>MAX(0,MIN('Activities'!L524,444)-MAX('Activities'!K524,438))</x:f>
        <x:v>0</x:v>
      </x:c>
      <x:c r="CA524" s="22" t="n">
        <x:f>MAX(0,MIN('Activities'!L524,450)-MAX('Activities'!K524,444))</x:f>
        <x:v>0</x:v>
      </x:c>
      <x:c r="CB524" s="22" t="n">
        <x:f>MAX(0,MIN('Activities'!L524,456)-MAX('Activities'!K524,450))</x:f>
        <x:v>0</x:v>
      </x:c>
      <x:c r="CC524" s="22" t="n">
        <x:f>MAX(0,MIN('Activities'!L524,462)-MAX('Activities'!K524,456))</x:f>
        <x:v>0</x:v>
      </x:c>
      <x:c r="CD524" s="22" t="n">
        <x:f>MAX(0,MIN('Activities'!L524,468)-MAX('Activities'!K524,462))</x:f>
        <x:v>0</x:v>
      </x:c>
      <x:c r="CE524" s="22" t="n">
        <x:f>MAX(0,MIN('Activities'!L524,474)-MAX('Activities'!K524,468))</x:f>
        <x:v>0</x:v>
      </x:c>
      <x:c r="CF524" s="22" t="n">
        <x:f>MAX(0,MIN('Activities'!L524,480)-MAX('Activities'!K524,474))</x:f>
        <x:v>0</x:v>
      </x:c>
      <x:c r="CG524" s="22" t="n">
        <x:f>MAX(0,MIN('Activities'!L524,486)-MAX('Activities'!K524,480))</x:f>
        <x:v>0</x:v>
      </x:c>
      <x:c r="CH524" s="22" t="n">
        <x:f>MAX(0,MIN('Activities'!L524,492)-MAX('Activities'!K524,486))</x:f>
        <x:v>0</x:v>
      </x:c>
      <x:c r="CI524" s="22" t="n">
        <x:f>MAX(0,MIN('Activities'!L524,498)-MAX('Activities'!K524,492))</x:f>
        <x:v>0</x:v>
      </x:c>
      <x:c r="CJ524" s="22" t="n">
        <x:f>MAX(0,MIN('Activities'!L524,504)-MAX('Activities'!K524,498))</x:f>
        <x:v>0</x:v>
      </x:c>
      <x:c r="CK524" s="22" t="n">
        <x:f>MAX(0,MIN('Activities'!L524,510)-MAX('Activities'!K524,504))</x:f>
        <x:v>0</x:v>
      </x:c>
      <x:c r="CL524" s="22" t="n">
        <x:f>MAX(0,MIN('Activities'!L524,516)-MAX('Activities'!K524,510))</x:f>
        <x:v>0</x:v>
      </x:c>
      <x:c r="CM524" s="22" t="n">
        <x:f>MAX(0,MIN('Activities'!L524,522)-MAX('Activities'!K524,516))</x:f>
        <x:v>0</x:v>
      </x:c>
      <x:c r="CN524" s="22" t="n">
        <x:f>MAX(0,MIN('Activities'!L524,528)-MAX('Activities'!K524,522))</x:f>
        <x:v>0</x:v>
      </x:c>
      <x:c r="CO524" s="22" t="n">
        <x:f>MAX(0,MIN('Activities'!L524,534)-MAX('Activities'!K524,528))</x:f>
        <x:v>0</x:v>
      </x:c>
      <x:c r="CP524" s="22" t="n">
        <x:f>MAX(0,MIN('Activities'!L524,540)-MAX('Activities'!K524,534))</x:f>
        <x:v>0</x:v>
      </x:c>
      <x:c r="CQ524" s="22" t="n">
        <x:f>MAX(0,MIN('Activities'!L524,546)-MAX('Activities'!K524,540))</x:f>
        <x:v>0</x:v>
      </x:c>
      <x:c r="CR524" s="22" t="n">
        <x:f>MAX(0,MIN('Activities'!L524,552)-MAX('Activities'!K524,546))</x:f>
        <x:v>0</x:v>
      </x:c>
      <x:c r="CS524" s="22" t="n">
        <x:f>MAX(0,MIN('Activities'!L524,558)-MAX('Activities'!K524,552))</x:f>
        <x:v>0</x:v>
      </x:c>
      <x:c r="CT524" s="22" t="n">
        <x:f>MAX(0,MIN('Activities'!L524,564)-MAX('Activities'!K524,558))</x:f>
        <x:v>0</x:v>
      </x:c>
      <x:c r="CU524" s="22" t="n">
        <x:f>MAX(0,MIN('Activities'!L524,570)-MAX('Activities'!K524,564))</x:f>
        <x:v>0</x:v>
      </x:c>
      <x:c r="CV524" s="22" t="n">
        <x:f>MAX(0,MIN('Activities'!L524,576)-MAX('Activities'!K524,570))</x:f>
        <x:v>0</x:v>
      </x:c>
      <x:c r="CW524" s="22" t="n">
        <x:f>MAX(0,MIN('Activities'!L524,582)-MAX('Activities'!K524,576))</x:f>
        <x:v>0</x:v>
      </x:c>
      <x:c r="CX524" s="22" t="n">
        <x:f>MAX(0,MIN('Activities'!L524,588)-MAX('Activities'!K524,582))</x:f>
        <x:v>0</x:v>
      </x:c>
      <x:c r="CY524" s="22" t="n">
        <x:f>MAX(0,MIN('Activities'!L524,594)-MAX('Activities'!K524,588))</x:f>
        <x:v>0</x:v>
      </x:c>
      <x:c r="CZ524" s="22" t="n">
        <x:f>MAX(0,MIN('Activities'!L524,600)-MAX('Activities'!K524,594))</x:f>
        <x:v>0</x:v>
      </x:c>
      <x:c r="DA524" s="22" t="n">
        <x:f>MAX(0,MIN('Activities'!L524,606)-MAX('Activities'!K524,600))</x:f>
        <x:v>0</x:v>
      </x:c>
      <x:c r="DB524" s="22" t="n">
        <x:f>MAX(0,MIN('Activities'!L524,612)-MAX('Activities'!K524,606))</x:f>
        <x:v>0</x:v>
      </x:c>
      <x:c r="DC524" s="22" t="n">
        <x:f>MAX(0,MIN('Activities'!L524,618)-MAX('Activities'!K524,612))</x:f>
        <x:v>0</x:v>
      </x:c>
      <x:c r="DD524" s="22" t="n">
        <x:f>MAX(0,MIN('Activities'!L524,624)-MAX('Activities'!K524,618))</x:f>
        <x:v>0</x:v>
      </x:c>
      <x:c r="DE524" s="22" t="n">
        <x:f>MAX(0,MIN('Activities'!L524,630)-MAX('Activities'!K524,624))</x:f>
        <x:v>0</x:v>
      </x:c>
      <x:c r="DF524" s="22" t="n">
        <x:f>MAX(0,MIN('Activities'!L524,636)-MAX('Activities'!K524,630))</x:f>
        <x:v>0</x:v>
      </x:c>
    </x:row>
    <x:row r="525" ht="23" customHeight="1">
      <x:c r="A525" s="1" t="str">
        <x:v>T4-L09-P</x:v>
      </x:c>
      <x:c r="B525" s="1" t="str">
        <x:v>T4</x:v>
      </x:c>
      <x:c r="C525" s="1" t="str">
        <x:v>Internal plaster</x:v>
      </x:c>
      <x:c r="D525" s="1" t="str">
        <x:v>Finishes</x:v>
      </x:c>
      <x:c r="E525" s="23" t="n">
        <x:f>MAX(0,MIN('Activities'!L525,6)-MAX('Activities'!K525,0))</x:f>
        <x:v>0</x:v>
      </x:c>
      <x:c r="F525" s="23" t="n">
        <x:f>MAX(0,MIN('Activities'!L525,12)-MAX('Activities'!K525,6))</x:f>
        <x:v>0</x:v>
      </x:c>
      <x:c r="G525" s="23" t="n">
        <x:f>MAX(0,MIN('Activities'!L525,18)-MAX('Activities'!K525,12))</x:f>
        <x:v>0</x:v>
      </x:c>
      <x:c r="H525" s="23" t="n">
        <x:f>MAX(0,MIN('Activities'!L525,24)-MAX('Activities'!K525,18))</x:f>
        <x:v>0</x:v>
      </x:c>
      <x:c r="I525" s="23" t="n">
        <x:f>MAX(0,MIN('Activities'!L525,30)-MAX('Activities'!K525,24))</x:f>
        <x:v>0</x:v>
      </x:c>
      <x:c r="J525" s="23" t="n">
        <x:f>MAX(0,MIN('Activities'!L525,36)-MAX('Activities'!K525,30))</x:f>
        <x:v>0</x:v>
      </x:c>
      <x:c r="K525" s="23" t="n">
        <x:f>MAX(0,MIN('Activities'!L525,42)-MAX('Activities'!K525,36))</x:f>
        <x:v>0</x:v>
      </x:c>
      <x:c r="L525" s="23" t="n">
        <x:f>MAX(0,MIN('Activities'!L525,48)-MAX('Activities'!K525,42))</x:f>
        <x:v>0</x:v>
      </x:c>
      <x:c r="M525" s="23" t="n">
        <x:f>MAX(0,MIN('Activities'!L525,54)-MAX('Activities'!K525,48))</x:f>
        <x:v>0</x:v>
      </x:c>
      <x:c r="N525" s="23" t="n">
        <x:f>MAX(0,MIN('Activities'!L525,60)-MAX('Activities'!K525,54))</x:f>
        <x:v>0</x:v>
      </x:c>
      <x:c r="O525" s="23" t="n">
        <x:f>MAX(0,MIN('Activities'!L525,66)-MAX('Activities'!K525,60))</x:f>
        <x:v>0</x:v>
      </x:c>
      <x:c r="P525" s="23" t="n">
        <x:f>MAX(0,MIN('Activities'!L525,72)-MAX('Activities'!K525,66))</x:f>
        <x:v>0</x:v>
      </x:c>
      <x:c r="Q525" s="23" t="n">
        <x:f>MAX(0,MIN('Activities'!L525,78)-MAX('Activities'!K525,72))</x:f>
        <x:v>0</x:v>
      </x:c>
      <x:c r="R525" s="23" t="n">
        <x:f>MAX(0,MIN('Activities'!L525,84)-MAX('Activities'!K525,78))</x:f>
        <x:v>0</x:v>
      </x:c>
      <x:c r="S525" s="23" t="n">
        <x:f>MAX(0,MIN('Activities'!L525,90)-MAX('Activities'!K525,84))</x:f>
        <x:v>0</x:v>
      </x:c>
      <x:c r="T525" s="23" t="n">
        <x:f>MAX(0,MIN('Activities'!L525,96)-MAX('Activities'!K525,90))</x:f>
        <x:v>0</x:v>
      </x:c>
      <x:c r="U525" s="23" t="n">
        <x:f>MAX(0,MIN('Activities'!L525,102)-MAX('Activities'!K525,96))</x:f>
        <x:v>0</x:v>
      </x:c>
      <x:c r="V525" s="23" t="n">
        <x:f>MAX(0,MIN('Activities'!L525,108)-MAX('Activities'!K525,102))</x:f>
        <x:v>0</x:v>
      </x:c>
      <x:c r="W525" s="23" t="n">
        <x:f>MAX(0,MIN('Activities'!L525,114)-MAX('Activities'!K525,108))</x:f>
        <x:v>0</x:v>
      </x:c>
      <x:c r="X525" s="23" t="n">
        <x:f>MAX(0,MIN('Activities'!L525,120)-MAX('Activities'!K525,114))</x:f>
        <x:v>0</x:v>
      </x:c>
      <x:c r="Y525" s="23" t="n">
        <x:f>MAX(0,MIN('Activities'!L525,126)-MAX('Activities'!K525,120))</x:f>
        <x:v>0</x:v>
      </x:c>
      <x:c r="Z525" s="23" t="n">
        <x:f>MAX(0,MIN('Activities'!L525,132)-MAX('Activities'!K525,126))</x:f>
        <x:v>0</x:v>
      </x:c>
      <x:c r="AA525" s="23" t="n">
        <x:f>MAX(0,MIN('Activities'!L525,138)-MAX('Activities'!K525,132))</x:f>
        <x:v>0</x:v>
      </x:c>
      <x:c r="AB525" s="23" t="n">
        <x:f>MAX(0,MIN('Activities'!L525,144)-MAX('Activities'!K525,138))</x:f>
        <x:v>0</x:v>
      </x:c>
      <x:c r="AC525" s="23" t="n">
        <x:f>MAX(0,MIN('Activities'!L525,150)-MAX('Activities'!K525,144))</x:f>
        <x:v>0</x:v>
      </x:c>
      <x:c r="AD525" s="23" t="n">
        <x:f>MAX(0,MIN('Activities'!L525,156)-MAX('Activities'!K525,150))</x:f>
        <x:v>0</x:v>
      </x:c>
      <x:c r="AE525" s="23" t="n">
        <x:f>MAX(0,MIN('Activities'!L525,162)-MAX('Activities'!K525,156))</x:f>
        <x:v>0</x:v>
      </x:c>
      <x:c r="AF525" s="23" t="n">
        <x:f>MAX(0,MIN('Activities'!L525,168)-MAX('Activities'!K525,162))</x:f>
        <x:v>0</x:v>
      </x:c>
      <x:c r="AG525" s="23" t="n">
        <x:f>MAX(0,MIN('Activities'!L525,174)-MAX('Activities'!K525,168))</x:f>
        <x:v>0</x:v>
      </x:c>
      <x:c r="AH525" s="23" t="n">
        <x:f>MAX(0,MIN('Activities'!L525,180)-MAX('Activities'!K525,174))</x:f>
        <x:v>0</x:v>
      </x:c>
      <x:c r="AI525" s="23" t="n">
        <x:f>MAX(0,MIN('Activities'!L525,186)-MAX('Activities'!K525,180))</x:f>
        <x:v>0</x:v>
      </x:c>
      <x:c r="AJ525" s="23" t="n">
        <x:f>MAX(0,MIN('Activities'!L525,192)-MAX('Activities'!K525,186))</x:f>
        <x:v>0</x:v>
      </x:c>
      <x:c r="AK525" s="23" t="n">
        <x:f>MAX(0,MIN('Activities'!L525,198)-MAX('Activities'!K525,192))</x:f>
        <x:v>0</x:v>
      </x:c>
      <x:c r="AL525" s="23" t="n">
        <x:f>MAX(0,MIN('Activities'!L525,204)-MAX('Activities'!K525,198))</x:f>
        <x:v>0</x:v>
      </x:c>
      <x:c r="AM525" s="23" t="n">
        <x:f>MAX(0,MIN('Activities'!L525,210)-MAX('Activities'!K525,204))</x:f>
        <x:v>0</x:v>
      </x:c>
      <x:c r="AN525" s="23" t="n">
        <x:f>MAX(0,MIN('Activities'!L525,216)-MAX('Activities'!K525,210))</x:f>
        <x:v>0</x:v>
      </x:c>
      <x:c r="AO525" s="23" t="n">
        <x:f>MAX(0,MIN('Activities'!L525,222)-MAX('Activities'!K525,216))</x:f>
        <x:v>0</x:v>
      </x:c>
      <x:c r="AP525" s="23" t="n">
        <x:f>MAX(0,MIN('Activities'!L525,228)-MAX('Activities'!K525,222))</x:f>
        <x:v>0</x:v>
      </x:c>
      <x:c r="AQ525" s="23" t="n">
        <x:f>MAX(0,MIN('Activities'!L525,234)-MAX('Activities'!K525,228))</x:f>
        <x:v>0</x:v>
      </x:c>
      <x:c r="AR525" s="23" t="n">
        <x:f>MAX(0,MIN('Activities'!L525,240)-MAX('Activities'!K525,234))</x:f>
        <x:v>0</x:v>
      </x:c>
      <x:c r="AS525" s="23" t="n">
        <x:f>MAX(0,MIN('Activities'!L525,246)-MAX('Activities'!K525,240))</x:f>
        <x:v>0</x:v>
      </x:c>
      <x:c r="AT525" s="23" t="n">
        <x:f>MAX(0,MIN('Activities'!L525,252)-MAX('Activities'!K525,246))</x:f>
        <x:v>0</x:v>
      </x:c>
      <x:c r="AU525" s="23" t="n">
        <x:f>MAX(0,MIN('Activities'!L525,258)-MAX('Activities'!K525,252))</x:f>
        <x:v>0</x:v>
      </x:c>
      <x:c r="AV525" s="23" t="n">
        <x:f>MAX(0,MIN('Activities'!L525,264)-MAX('Activities'!K525,258))</x:f>
        <x:v>0</x:v>
      </x:c>
      <x:c r="AW525" s="23" t="n">
        <x:f>MAX(0,MIN('Activities'!L525,270)-MAX('Activities'!K525,264))</x:f>
        <x:v>0</x:v>
      </x:c>
      <x:c r="AX525" s="23" t="n">
        <x:f>MAX(0,MIN('Activities'!L525,276)-MAX('Activities'!K525,270))</x:f>
        <x:v>0</x:v>
      </x:c>
      <x:c r="AY525" s="23" t="n">
        <x:f>MAX(0,MIN('Activities'!L525,282)-MAX('Activities'!K525,276))</x:f>
        <x:v>0</x:v>
      </x:c>
      <x:c r="AZ525" s="23" t="n">
        <x:f>MAX(0,MIN('Activities'!L525,288)-MAX('Activities'!K525,282))</x:f>
        <x:v>0</x:v>
      </x:c>
      <x:c r="BA525" s="23" t="n">
        <x:f>MAX(0,MIN('Activities'!L525,294)-MAX('Activities'!K525,288))</x:f>
        <x:v>0</x:v>
      </x:c>
      <x:c r="BB525" s="23" t="n">
        <x:f>MAX(0,MIN('Activities'!L525,300)-MAX('Activities'!K525,294))</x:f>
        <x:v>0</x:v>
      </x:c>
      <x:c r="BC525" s="23" t="n">
        <x:f>MAX(0,MIN('Activities'!L525,306)-MAX('Activities'!K525,300))</x:f>
        <x:v>0</x:v>
      </x:c>
      <x:c r="BD525" s="23" t="n">
        <x:f>MAX(0,MIN('Activities'!L525,312)-MAX('Activities'!K525,306))</x:f>
        <x:v>0</x:v>
      </x:c>
      <x:c r="BE525" s="23" t="n">
        <x:f>MAX(0,MIN('Activities'!L525,318)-MAX('Activities'!K525,312))</x:f>
        <x:v>0</x:v>
      </x:c>
      <x:c r="BF525" s="23" t="n">
        <x:f>MAX(0,MIN('Activities'!L525,324)-MAX('Activities'!K525,318))</x:f>
        <x:v>0</x:v>
      </x:c>
      <x:c r="BG525" s="23" t="n">
        <x:f>MAX(0,MIN('Activities'!L525,330)-MAX('Activities'!K525,324))</x:f>
        <x:v>0</x:v>
      </x:c>
      <x:c r="BH525" s="23" t="n">
        <x:f>MAX(0,MIN('Activities'!L525,336)-MAX('Activities'!K525,330))</x:f>
        <x:v>0</x:v>
      </x:c>
      <x:c r="BI525" s="23" t="n">
        <x:f>MAX(0,MIN('Activities'!L525,342)-MAX('Activities'!K525,336))</x:f>
        <x:v>0</x:v>
      </x:c>
      <x:c r="BJ525" s="23" t="n">
        <x:f>MAX(0,MIN('Activities'!L525,348)-MAX('Activities'!K525,342))</x:f>
        <x:v>0</x:v>
      </x:c>
      <x:c r="BK525" s="23" t="n">
        <x:f>MAX(0,MIN('Activities'!L525,354)-MAX('Activities'!K525,348))</x:f>
        <x:v>0</x:v>
      </x:c>
      <x:c r="BL525" s="23" t="n">
        <x:f>MAX(0,MIN('Activities'!L525,360)-MAX('Activities'!K525,354))</x:f>
        <x:v>0</x:v>
      </x:c>
      <x:c r="BM525" s="23" t="n">
        <x:f>MAX(0,MIN('Activities'!L525,366)-MAX('Activities'!K525,360))</x:f>
        <x:v>0</x:v>
      </x:c>
      <x:c r="BN525" s="23" t="n">
        <x:f>MAX(0,MIN('Activities'!L525,372)-MAX('Activities'!K525,366))</x:f>
        <x:v>0</x:v>
      </x:c>
      <x:c r="BO525" s="23" t="n">
        <x:f>MAX(0,MIN('Activities'!L525,378)-MAX('Activities'!K525,372))</x:f>
        <x:v>0</x:v>
      </x:c>
      <x:c r="BP525" s="23" t="n">
        <x:f>MAX(0,MIN('Activities'!L525,384)-MAX('Activities'!K525,378))</x:f>
        <x:v>0</x:v>
      </x:c>
      <x:c r="BQ525" s="23" t="n">
        <x:f>MAX(0,MIN('Activities'!L525,390)-MAX('Activities'!K525,384))</x:f>
        <x:v>0</x:v>
      </x:c>
      <x:c r="BR525" s="23" t="n">
        <x:f>MAX(0,MIN('Activities'!L525,396)-MAX('Activities'!K525,390))</x:f>
        <x:v>0</x:v>
      </x:c>
      <x:c r="BS525" s="23" t="n">
        <x:f>MAX(0,MIN('Activities'!L525,402)-MAX('Activities'!K525,396))</x:f>
        <x:v>0</x:v>
      </x:c>
      <x:c r="BT525" s="23" t="n">
        <x:f>MAX(0,MIN('Activities'!L525,408)-MAX('Activities'!K525,402))</x:f>
        <x:v>0</x:v>
      </x:c>
      <x:c r="BU525" s="23" t="n">
        <x:f>MAX(0,MIN('Activities'!L525,414)-MAX('Activities'!K525,408))</x:f>
        <x:v>0</x:v>
      </x:c>
      <x:c r="BV525" s="23" t="n">
        <x:f>MAX(0,MIN('Activities'!L525,420)-MAX('Activities'!K525,414))</x:f>
        <x:v>3</x:v>
      </x:c>
      <x:c r="BW525" s="23" t="n">
        <x:f>MAX(0,MIN('Activities'!L525,426)-MAX('Activities'!K525,420))</x:f>
        <x:v>3</x:v>
      </x:c>
      <x:c r="BX525" s="23" t="n">
        <x:f>MAX(0,MIN('Activities'!L525,432)-MAX('Activities'!K525,426))</x:f>
        <x:v>0</x:v>
      </x:c>
      <x:c r="BY525" s="23" t="n">
        <x:f>MAX(0,MIN('Activities'!L525,438)-MAX('Activities'!K525,432))</x:f>
        <x:v>0</x:v>
      </x:c>
      <x:c r="BZ525" s="23" t="n">
        <x:f>MAX(0,MIN('Activities'!L525,444)-MAX('Activities'!K525,438))</x:f>
        <x:v>0</x:v>
      </x:c>
      <x:c r="CA525" s="23" t="n">
        <x:f>MAX(0,MIN('Activities'!L525,450)-MAX('Activities'!K525,444))</x:f>
        <x:v>0</x:v>
      </x:c>
      <x:c r="CB525" s="23" t="n">
        <x:f>MAX(0,MIN('Activities'!L525,456)-MAX('Activities'!K525,450))</x:f>
        <x:v>0</x:v>
      </x:c>
      <x:c r="CC525" s="23" t="n">
        <x:f>MAX(0,MIN('Activities'!L525,462)-MAX('Activities'!K525,456))</x:f>
        <x:v>0</x:v>
      </x:c>
      <x:c r="CD525" s="23" t="n">
        <x:f>MAX(0,MIN('Activities'!L525,468)-MAX('Activities'!K525,462))</x:f>
        <x:v>0</x:v>
      </x:c>
      <x:c r="CE525" s="23" t="n">
        <x:f>MAX(0,MIN('Activities'!L525,474)-MAX('Activities'!K525,468))</x:f>
        <x:v>0</x:v>
      </x:c>
      <x:c r="CF525" s="23" t="n">
        <x:f>MAX(0,MIN('Activities'!L525,480)-MAX('Activities'!K525,474))</x:f>
        <x:v>0</x:v>
      </x:c>
      <x:c r="CG525" s="23" t="n">
        <x:f>MAX(0,MIN('Activities'!L525,486)-MAX('Activities'!K525,480))</x:f>
        <x:v>0</x:v>
      </x:c>
      <x:c r="CH525" s="23" t="n">
        <x:f>MAX(0,MIN('Activities'!L525,492)-MAX('Activities'!K525,486))</x:f>
        <x:v>0</x:v>
      </x:c>
      <x:c r="CI525" s="23" t="n">
        <x:f>MAX(0,MIN('Activities'!L525,498)-MAX('Activities'!K525,492))</x:f>
        <x:v>0</x:v>
      </x:c>
      <x:c r="CJ525" s="23" t="n">
        <x:f>MAX(0,MIN('Activities'!L525,504)-MAX('Activities'!K525,498))</x:f>
        <x:v>0</x:v>
      </x:c>
      <x:c r="CK525" s="23" t="n">
        <x:f>MAX(0,MIN('Activities'!L525,510)-MAX('Activities'!K525,504))</x:f>
        <x:v>0</x:v>
      </x:c>
      <x:c r="CL525" s="23" t="n">
        <x:f>MAX(0,MIN('Activities'!L525,516)-MAX('Activities'!K525,510))</x:f>
        <x:v>0</x:v>
      </x:c>
      <x:c r="CM525" s="23" t="n">
        <x:f>MAX(0,MIN('Activities'!L525,522)-MAX('Activities'!K525,516))</x:f>
        <x:v>0</x:v>
      </x:c>
      <x:c r="CN525" s="23" t="n">
        <x:f>MAX(0,MIN('Activities'!L525,528)-MAX('Activities'!K525,522))</x:f>
        <x:v>0</x:v>
      </x:c>
      <x:c r="CO525" s="23" t="n">
        <x:f>MAX(0,MIN('Activities'!L525,534)-MAX('Activities'!K525,528))</x:f>
        <x:v>0</x:v>
      </x:c>
      <x:c r="CP525" s="23" t="n">
        <x:f>MAX(0,MIN('Activities'!L525,540)-MAX('Activities'!K525,534))</x:f>
        <x:v>0</x:v>
      </x:c>
      <x:c r="CQ525" s="23" t="n">
        <x:f>MAX(0,MIN('Activities'!L525,546)-MAX('Activities'!K525,540))</x:f>
        <x:v>0</x:v>
      </x:c>
      <x:c r="CR525" s="23" t="n">
        <x:f>MAX(0,MIN('Activities'!L525,552)-MAX('Activities'!K525,546))</x:f>
        <x:v>0</x:v>
      </x:c>
      <x:c r="CS525" s="23" t="n">
        <x:f>MAX(0,MIN('Activities'!L525,558)-MAX('Activities'!K525,552))</x:f>
        <x:v>0</x:v>
      </x:c>
      <x:c r="CT525" s="23" t="n">
        <x:f>MAX(0,MIN('Activities'!L525,564)-MAX('Activities'!K525,558))</x:f>
        <x:v>0</x:v>
      </x:c>
      <x:c r="CU525" s="23" t="n">
        <x:f>MAX(0,MIN('Activities'!L525,570)-MAX('Activities'!K525,564))</x:f>
        <x:v>0</x:v>
      </x:c>
      <x:c r="CV525" s="23" t="n">
        <x:f>MAX(0,MIN('Activities'!L525,576)-MAX('Activities'!K525,570))</x:f>
        <x:v>0</x:v>
      </x:c>
      <x:c r="CW525" s="23" t="n">
        <x:f>MAX(0,MIN('Activities'!L525,582)-MAX('Activities'!K525,576))</x:f>
        <x:v>0</x:v>
      </x:c>
      <x:c r="CX525" s="23" t="n">
        <x:f>MAX(0,MIN('Activities'!L525,588)-MAX('Activities'!K525,582))</x:f>
        <x:v>0</x:v>
      </x:c>
      <x:c r="CY525" s="23" t="n">
        <x:f>MAX(0,MIN('Activities'!L525,594)-MAX('Activities'!K525,588))</x:f>
        <x:v>0</x:v>
      </x:c>
      <x:c r="CZ525" s="23" t="n">
        <x:f>MAX(0,MIN('Activities'!L525,600)-MAX('Activities'!K525,594))</x:f>
        <x:v>0</x:v>
      </x:c>
      <x:c r="DA525" s="23" t="n">
        <x:f>MAX(0,MIN('Activities'!L525,606)-MAX('Activities'!K525,600))</x:f>
        <x:v>0</x:v>
      </x:c>
      <x:c r="DB525" s="23" t="n">
        <x:f>MAX(0,MIN('Activities'!L525,612)-MAX('Activities'!K525,606))</x:f>
        <x:v>0</x:v>
      </x:c>
      <x:c r="DC525" s="23" t="n">
        <x:f>MAX(0,MIN('Activities'!L525,618)-MAX('Activities'!K525,612))</x:f>
        <x:v>0</x:v>
      </x:c>
      <x:c r="DD525" s="23" t="n">
        <x:f>MAX(0,MIN('Activities'!L525,624)-MAX('Activities'!K525,618))</x:f>
        <x:v>0</x:v>
      </x:c>
      <x:c r="DE525" s="23" t="n">
        <x:f>MAX(0,MIN('Activities'!L525,630)-MAX('Activities'!K525,624))</x:f>
        <x:v>0</x:v>
      </x:c>
      <x:c r="DF525" s="23" t="n">
        <x:f>MAX(0,MIN('Activities'!L525,636)-MAX('Activities'!K525,630))</x:f>
        <x:v>0</x:v>
      </x:c>
    </x:row>
    <x:row r="526" ht="23" customHeight="1">
      <x:c r="A526" s="6" t="str">
        <x:v>T4-L09-S</x:v>
      </x:c>
      <x:c r="B526" s="6" t="str">
        <x:v>T4</x:v>
      </x:c>
      <x:c r="C526" s="6" t="str">
        <x:v>Screed and substrate preparation</x:v>
      </x:c>
      <x:c r="D526" s="6" t="str">
        <x:v>Finishes</x:v>
      </x:c>
      <x:c r="E526" s="22" t="n">
        <x:f>MAX(0,MIN('Activities'!L526,6)-MAX('Activities'!K526,0))</x:f>
        <x:v>0</x:v>
      </x:c>
      <x:c r="F526" s="22" t="n">
        <x:f>MAX(0,MIN('Activities'!L526,12)-MAX('Activities'!K526,6))</x:f>
        <x:v>0</x:v>
      </x:c>
      <x:c r="G526" s="22" t="n">
        <x:f>MAX(0,MIN('Activities'!L526,18)-MAX('Activities'!K526,12))</x:f>
        <x:v>0</x:v>
      </x:c>
      <x:c r="H526" s="22" t="n">
        <x:f>MAX(0,MIN('Activities'!L526,24)-MAX('Activities'!K526,18))</x:f>
        <x:v>0</x:v>
      </x:c>
      <x:c r="I526" s="22" t="n">
        <x:f>MAX(0,MIN('Activities'!L526,30)-MAX('Activities'!K526,24))</x:f>
        <x:v>0</x:v>
      </x:c>
      <x:c r="J526" s="22" t="n">
        <x:f>MAX(0,MIN('Activities'!L526,36)-MAX('Activities'!K526,30))</x:f>
        <x:v>0</x:v>
      </x:c>
      <x:c r="K526" s="22" t="n">
        <x:f>MAX(0,MIN('Activities'!L526,42)-MAX('Activities'!K526,36))</x:f>
        <x:v>0</x:v>
      </x:c>
      <x:c r="L526" s="22" t="n">
        <x:f>MAX(0,MIN('Activities'!L526,48)-MAX('Activities'!K526,42))</x:f>
        <x:v>0</x:v>
      </x:c>
      <x:c r="M526" s="22" t="n">
        <x:f>MAX(0,MIN('Activities'!L526,54)-MAX('Activities'!K526,48))</x:f>
        <x:v>0</x:v>
      </x:c>
      <x:c r="N526" s="22" t="n">
        <x:f>MAX(0,MIN('Activities'!L526,60)-MAX('Activities'!K526,54))</x:f>
        <x:v>0</x:v>
      </x:c>
      <x:c r="O526" s="22" t="n">
        <x:f>MAX(0,MIN('Activities'!L526,66)-MAX('Activities'!K526,60))</x:f>
        <x:v>0</x:v>
      </x:c>
      <x:c r="P526" s="22" t="n">
        <x:f>MAX(0,MIN('Activities'!L526,72)-MAX('Activities'!K526,66))</x:f>
        <x:v>0</x:v>
      </x:c>
      <x:c r="Q526" s="22" t="n">
        <x:f>MAX(0,MIN('Activities'!L526,78)-MAX('Activities'!K526,72))</x:f>
        <x:v>0</x:v>
      </x:c>
      <x:c r="R526" s="22" t="n">
        <x:f>MAX(0,MIN('Activities'!L526,84)-MAX('Activities'!K526,78))</x:f>
        <x:v>0</x:v>
      </x:c>
      <x:c r="S526" s="22" t="n">
        <x:f>MAX(0,MIN('Activities'!L526,90)-MAX('Activities'!K526,84))</x:f>
        <x:v>0</x:v>
      </x:c>
      <x:c r="T526" s="22" t="n">
        <x:f>MAX(0,MIN('Activities'!L526,96)-MAX('Activities'!K526,90))</x:f>
        <x:v>0</x:v>
      </x:c>
      <x:c r="U526" s="22" t="n">
        <x:f>MAX(0,MIN('Activities'!L526,102)-MAX('Activities'!K526,96))</x:f>
        <x:v>0</x:v>
      </x:c>
      <x:c r="V526" s="22" t="n">
        <x:f>MAX(0,MIN('Activities'!L526,108)-MAX('Activities'!K526,102))</x:f>
        <x:v>0</x:v>
      </x:c>
      <x:c r="W526" s="22" t="n">
        <x:f>MAX(0,MIN('Activities'!L526,114)-MAX('Activities'!K526,108))</x:f>
        <x:v>0</x:v>
      </x:c>
      <x:c r="X526" s="22" t="n">
        <x:f>MAX(0,MIN('Activities'!L526,120)-MAX('Activities'!K526,114))</x:f>
        <x:v>0</x:v>
      </x:c>
      <x:c r="Y526" s="22" t="n">
        <x:f>MAX(0,MIN('Activities'!L526,126)-MAX('Activities'!K526,120))</x:f>
        <x:v>0</x:v>
      </x:c>
      <x:c r="Z526" s="22" t="n">
        <x:f>MAX(0,MIN('Activities'!L526,132)-MAX('Activities'!K526,126))</x:f>
        <x:v>0</x:v>
      </x:c>
      <x:c r="AA526" s="22" t="n">
        <x:f>MAX(0,MIN('Activities'!L526,138)-MAX('Activities'!K526,132))</x:f>
        <x:v>0</x:v>
      </x:c>
      <x:c r="AB526" s="22" t="n">
        <x:f>MAX(0,MIN('Activities'!L526,144)-MAX('Activities'!K526,138))</x:f>
        <x:v>0</x:v>
      </x:c>
      <x:c r="AC526" s="22" t="n">
        <x:f>MAX(0,MIN('Activities'!L526,150)-MAX('Activities'!K526,144))</x:f>
        <x:v>0</x:v>
      </x:c>
      <x:c r="AD526" s="22" t="n">
        <x:f>MAX(0,MIN('Activities'!L526,156)-MAX('Activities'!K526,150))</x:f>
        <x:v>0</x:v>
      </x:c>
      <x:c r="AE526" s="22" t="n">
        <x:f>MAX(0,MIN('Activities'!L526,162)-MAX('Activities'!K526,156))</x:f>
        <x:v>0</x:v>
      </x:c>
      <x:c r="AF526" s="22" t="n">
        <x:f>MAX(0,MIN('Activities'!L526,168)-MAX('Activities'!K526,162))</x:f>
        <x:v>0</x:v>
      </x:c>
      <x:c r="AG526" s="22" t="n">
        <x:f>MAX(0,MIN('Activities'!L526,174)-MAX('Activities'!K526,168))</x:f>
        <x:v>0</x:v>
      </x:c>
      <x:c r="AH526" s="22" t="n">
        <x:f>MAX(0,MIN('Activities'!L526,180)-MAX('Activities'!K526,174))</x:f>
        <x:v>0</x:v>
      </x:c>
      <x:c r="AI526" s="22" t="n">
        <x:f>MAX(0,MIN('Activities'!L526,186)-MAX('Activities'!K526,180))</x:f>
        <x:v>0</x:v>
      </x:c>
      <x:c r="AJ526" s="22" t="n">
        <x:f>MAX(0,MIN('Activities'!L526,192)-MAX('Activities'!K526,186))</x:f>
        <x:v>0</x:v>
      </x:c>
      <x:c r="AK526" s="22" t="n">
        <x:f>MAX(0,MIN('Activities'!L526,198)-MAX('Activities'!K526,192))</x:f>
        <x:v>0</x:v>
      </x:c>
      <x:c r="AL526" s="22" t="n">
        <x:f>MAX(0,MIN('Activities'!L526,204)-MAX('Activities'!K526,198))</x:f>
        <x:v>0</x:v>
      </x:c>
      <x:c r="AM526" s="22" t="n">
        <x:f>MAX(0,MIN('Activities'!L526,210)-MAX('Activities'!K526,204))</x:f>
        <x:v>0</x:v>
      </x:c>
      <x:c r="AN526" s="22" t="n">
        <x:f>MAX(0,MIN('Activities'!L526,216)-MAX('Activities'!K526,210))</x:f>
        <x:v>0</x:v>
      </x:c>
      <x:c r="AO526" s="22" t="n">
        <x:f>MAX(0,MIN('Activities'!L526,222)-MAX('Activities'!K526,216))</x:f>
        <x:v>0</x:v>
      </x:c>
      <x:c r="AP526" s="22" t="n">
        <x:f>MAX(0,MIN('Activities'!L526,228)-MAX('Activities'!K526,222))</x:f>
        <x:v>0</x:v>
      </x:c>
      <x:c r="AQ526" s="22" t="n">
        <x:f>MAX(0,MIN('Activities'!L526,234)-MAX('Activities'!K526,228))</x:f>
        <x:v>0</x:v>
      </x:c>
      <x:c r="AR526" s="22" t="n">
        <x:f>MAX(0,MIN('Activities'!L526,240)-MAX('Activities'!K526,234))</x:f>
        <x:v>0</x:v>
      </x:c>
      <x:c r="AS526" s="22" t="n">
        <x:f>MAX(0,MIN('Activities'!L526,246)-MAX('Activities'!K526,240))</x:f>
        <x:v>0</x:v>
      </x:c>
      <x:c r="AT526" s="22" t="n">
        <x:f>MAX(0,MIN('Activities'!L526,252)-MAX('Activities'!K526,246))</x:f>
        <x:v>0</x:v>
      </x:c>
      <x:c r="AU526" s="22" t="n">
        <x:f>MAX(0,MIN('Activities'!L526,258)-MAX('Activities'!K526,252))</x:f>
        <x:v>0</x:v>
      </x:c>
      <x:c r="AV526" s="22" t="n">
        <x:f>MAX(0,MIN('Activities'!L526,264)-MAX('Activities'!K526,258))</x:f>
        <x:v>0</x:v>
      </x:c>
      <x:c r="AW526" s="22" t="n">
        <x:f>MAX(0,MIN('Activities'!L526,270)-MAX('Activities'!K526,264))</x:f>
        <x:v>0</x:v>
      </x:c>
      <x:c r="AX526" s="22" t="n">
        <x:f>MAX(0,MIN('Activities'!L526,276)-MAX('Activities'!K526,270))</x:f>
        <x:v>0</x:v>
      </x:c>
      <x:c r="AY526" s="22" t="n">
        <x:f>MAX(0,MIN('Activities'!L526,282)-MAX('Activities'!K526,276))</x:f>
        <x:v>0</x:v>
      </x:c>
      <x:c r="AZ526" s="22" t="n">
        <x:f>MAX(0,MIN('Activities'!L526,288)-MAX('Activities'!K526,282))</x:f>
        <x:v>0</x:v>
      </x:c>
      <x:c r="BA526" s="22" t="n">
        <x:f>MAX(0,MIN('Activities'!L526,294)-MAX('Activities'!K526,288))</x:f>
        <x:v>0</x:v>
      </x:c>
      <x:c r="BB526" s="22" t="n">
        <x:f>MAX(0,MIN('Activities'!L526,300)-MAX('Activities'!K526,294))</x:f>
        <x:v>0</x:v>
      </x:c>
      <x:c r="BC526" s="22" t="n">
        <x:f>MAX(0,MIN('Activities'!L526,306)-MAX('Activities'!K526,300))</x:f>
        <x:v>0</x:v>
      </x:c>
      <x:c r="BD526" s="22" t="n">
        <x:f>MAX(0,MIN('Activities'!L526,312)-MAX('Activities'!K526,306))</x:f>
        <x:v>0</x:v>
      </x:c>
      <x:c r="BE526" s="22" t="n">
        <x:f>MAX(0,MIN('Activities'!L526,318)-MAX('Activities'!K526,312))</x:f>
        <x:v>0</x:v>
      </x:c>
      <x:c r="BF526" s="22" t="n">
        <x:f>MAX(0,MIN('Activities'!L526,324)-MAX('Activities'!K526,318))</x:f>
        <x:v>0</x:v>
      </x:c>
      <x:c r="BG526" s="22" t="n">
        <x:f>MAX(0,MIN('Activities'!L526,330)-MAX('Activities'!K526,324))</x:f>
        <x:v>0</x:v>
      </x:c>
      <x:c r="BH526" s="22" t="n">
        <x:f>MAX(0,MIN('Activities'!L526,336)-MAX('Activities'!K526,330))</x:f>
        <x:v>0</x:v>
      </x:c>
      <x:c r="BI526" s="22" t="n">
        <x:f>MAX(0,MIN('Activities'!L526,342)-MAX('Activities'!K526,336))</x:f>
        <x:v>0</x:v>
      </x:c>
      <x:c r="BJ526" s="22" t="n">
        <x:f>MAX(0,MIN('Activities'!L526,348)-MAX('Activities'!K526,342))</x:f>
        <x:v>0</x:v>
      </x:c>
      <x:c r="BK526" s="22" t="n">
        <x:f>MAX(0,MIN('Activities'!L526,354)-MAX('Activities'!K526,348))</x:f>
        <x:v>0</x:v>
      </x:c>
      <x:c r="BL526" s="22" t="n">
        <x:f>MAX(0,MIN('Activities'!L526,360)-MAX('Activities'!K526,354))</x:f>
        <x:v>0</x:v>
      </x:c>
      <x:c r="BM526" s="22" t="n">
        <x:f>MAX(0,MIN('Activities'!L526,366)-MAX('Activities'!K526,360))</x:f>
        <x:v>0</x:v>
      </x:c>
      <x:c r="BN526" s="22" t="n">
        <x:f>MAX(0,MIN('Activities'!L526,372)-MAX('Activities'!K526,366))</x:f>
        <x:v>0</x:v>
      </x:c>
      <x:c r="BO526" s="22" t="n">
        <x:f>MAX(0,MIN('Activities'!L526,378)-MAX('Activities'!K526,372))</x:f>
        <x:v>0</x:v>
      </x:c>
      <x:c r="BP526" s="22" t="n">
        <x:f>MAX(0,MIN('Activities'!L526,384)-MAX('Activities'!K526,378))</x:f>
        <x:v>0</x:v>
      </x:c>
      <x:c r="BQ526" s="22" t="n">
        <x:f>MAX(0,MIN('Activities'!L526,390)-MAX('Activities'!K526,384))</x:f>
        <x:v>0</x:v>
      </x:c>
      <x:c r="BR526" s="22" t="n">
        <x:f>MAX(0,MIN('Activities'!L526,396)-MAX('Activities'!K526,390))</x:f>
        <x:v>0</x:v>
      </x:c>
      <x:c r="BS526" s="22" t="n">
        <x:f>MAX(0,MIN('Activities'!L526,402)-MAX('Activities'!K526,396))</x:f>
        <x:v>0</x:v>
      </x:c>
      <x:c r="BT526" s="22" t="n">
        <x:f>MAX(0,MIN('Activities'!L526,408)-MAX('Activities'!K526,402))</x:f>
        <x:v>0</x:v>
      </x:c>
      <x:c r="BU526" s="22" t="n">
        <x:f>MAX(0,MIN('Activities'!L526,414)-MAX('Activities'!K526,408))</x:f>
        <x:v>0</x:v>
      </x:c>
      <x:c r="BV526" s="22" t="n">
        <x:f>MAX(0,MIN('Activities'!L526,420)-MAX('Activities'!K526,414))</x:f>
        <x:v>0</x:v>
      </x:c>
      <x:c r="BW526" s="22" t="n">
        <x:f>MAX(0,MIN('Activities'!L526,426)-MAX('Activities'!K526,420))</x:f>
        <x:v>1</x:v>
      </x:c>
      <x:c r="BX526" s="22" t="n">
        <x:f>MAX(0,MIN('Activities'!L526,432)-MAX('Activities'!K526,426))</x:f>
        <x:v>2</x:v>
      </x:c>
      <x:c r="BY526" s="22" t="n">
        <x:f>MAX(0,MIN('Activities'!L526,438)-MAX('Activities'!K526,432))</x:f>
        <x:v>0</x:v>
      </x:c>
      <x:c r="BZ526" s="22" t="n">
        <x:f>MAX(0,MIN('Activities'!L526,444)-MAX('Activities'!K526,438))</x:f>
        <x:v>0</x:v>
      </x:c>
      <x:c r="CA526" s="22" t="n">
        <x:f>MAX(0,MIN('Activities'!L526,450)-MAX('Activities'!K526,444))</x:f>
        <x:v>0</x:v>
      </x:c>
      <x:c r="CB526" s="22" t="n">
        <x:f>MAX(0,MIN('Activities'!L526,456)-MAX('Activities'!K526,450))</x:f>
        <x:v>0</x:v>
      </x:c>
      <x:c r="CC526" s="22" t="n">
        <x:f>MAX(0,MIN('Activities'!L526,462)-MAX('Activities'!K526,456))</x:f>
        <x:v>0</x:v>
      </x:c>
      <x:c r="CD526" s="22" t="n">
        <x:f>MAX(0,MIN('Activities'!L526,468)-MAX('Activities'!K526,462))</x:f>
        <x:v>0</x:v>
      </x:c>
      <x:c r="CE526" s="22" t="n">
        <x:f>MAX(0,MIN('Activities'!L526,474)-MAX('Activities'!K526,468))</x:f>
        <x:v>0</x:v>
      </x:c>
      <x:c r="CF526" s="22" t="n">
        <x:f>MAX(0,MIN('Activities'!L526,480)-MAX('Activities'!K526,474))</x:f>
        <x:v>0</x:v>
      </x:c>
      <x:c r="CG526" s="22" t="n">
        <x:f>MAX(0,MIN('Activities'!L526,486)-MAX('Activities'!K526,480))</x:f>
        <x:v>0</x:v>
      </x:c>
      <x:c r="CH526" s="22" t="n">
        <x:f>MAX(0,MIN('Activities'!L526,492)-MAX('Activities'!K526,486))</x:f>
        <x:v>0</x:v>
      </x:c>
      <x:c r="CI526" s="22" t="n">
        <x:f>MAX(0,MIN('Activities'!L526,498)-MAX('Activities'!K526,492))</x:f>
        <x:v>0</x:v>
      </x:c>
      <x:c r="CJ526" s="22" t="n">
        <x:f>MAX(0,MIN('Activities'!L526,504)-MAX('Activities'!K526,498))</x:f>
        <x:v>0</x:v>
      </x:c>
      <x:c r="CK526" s="22" t="n">
        <x:f>MAX(0,MIN('Activities'!L526,510)-MAX('Activities'!K526,504))</x:f>
        <x:v>0</x:v>
      </x:c>
      <x:c r="CL526" s="22" t="n">
        <x:f>MAX(0,MIN('Activities'!L526,516)-MAX('Activities'!K526,510))</x:f>
        <x:v>0</x:v>
      </x:c>
      <x:c r="CM526" s="22" t="n">
        <x:f>MAX(0,MIN('Activities'!L526,522)-MAX('Activities'!K526,516))</x:f>
        <x:v>0</x:v>
      </x:c>
      <x:c r="CN526" s="22" t="n">
        <x:f>MAX(0,MIN('Activities'!L526,528)-MAX('Activities'!K526,522))</x:f>
        <x:v>0</x:v>
      </x:c>
      <x:c r="CO526" s="22" t="n">
        <x:f>MAX(0,MIN('Activities'!L526,534)-MAX('Activities'!K526,528))</x:f>
        <x:v>0</x:v>
      </x:c>
      <x:c r="CP526" s="22" t="n">
        <x:f>MAX(0,MIN('Activities'!L526,540)-MAX('Activities'!K526,534))</x:f>
        <x:v>0</x:v>
      </x:c>
      <x:c r="CQ526" s="22" t="n">
        <x:f>MAX(0,MIN('Activities'!L526,546)-MAX('Activities'!K526,540))</x:f>
        <x:v>0</x:v>
      </x:c>
      <x:c r="CR526" s="22" t="n">
        <x:f>MAX(0,MIN('Activities'!L526,552)-MAX('Activities'!K526,546))</x:f>
        <x:v>0</x:v>
      </x:c>
      <x:c r="CS526" s="22" t="n">
        <x:f>MAX(0,MIN('Activities'!L526,558)-MAX('Activities'!K526,552))</x:f>
        <x:v>0</x:v>
      </x:c>
      <x:c r="CT526" s="22" t="n">
        <x:f>MAX(0,MIN('Activities'!L526,564)-MAX('Activities'!K526,558))</x:f>
        <x:v>0</x:v>
      </x:c>
      <x:c r="CU526" s="22" t="n">
        <x:f>MAX(0,MIN('Activities'!L526,570)-MAX('Activities'!K526,564))</x:f>
        <x:v>0</x:v>
      </x:c>
      <x:c r="CV526" s="22" t="n">
        <x:f>MAX(0,MIN('Activities'!L526,576)-MAX('Activities'!K526,570))</x:f>
        <x:v>0</x:v>
      </x:c>
      <x:c r="CW526" s="22" t="n">
        <x:f>MAX(0,MIN('Activities'!L526,582)-MAX('Activities'!K526,576))</x:f>
        <x:v>0</x:v>
      </x:c>
      <x:c r="CX526" s="22" t="n">
        <x:f>MAX(0,MIN('Activities'!L526,588)-MAX('Activities'!K526,582))</x:f>
        <x:v>0</x:v>
      </x:c>
      <x:c r="CY526" s="22" t="n">
        <x:f>MAX(0,MIN('Activities'!L526,594)-MAX('Activities'!K526,588))</x:f>
        <x:v>0</x:v>
      </x:c>
      <x:c r="CZ526" s="22" t="n">
        <x:f>MAX(0,MIN('Activities'!L526,600)-MAX('Activities'!K526,594))</x:f>
        <x:v>0</x:v>
      </x:c>
      <x:c r="DA526" s="22" t="n">
        <x:f>MAX(0,MIN('Activities'!L526,606)-MAX('Activities'!K526,600))</x:f>
        <x:v>0</x:v>
      </x:c>
      <x:c r="DB526" s="22" t="n">
        <x:f>MAX(0,MIN('Activities'!L526,612)-MAX('Activities'!K526,606))</x:f>
        <x:v>0</x:v>
      </x:c>
      <x:c r="DC526" s="22" t="n">
        <x:f>MAX(0,MIN('Activities'!L526,618)-MAX('Activities'!K526,612))</x:f>
        <x:v>0</x:v>
      </x:c>
      <x:c r="DD526" s="22" t="n">
        <x:f>MAX(0,MIN('Activities'!L526,624)-MAX('Activities'!K526,618))</x:f>
        <x:v>0</x:v>
      </x:c>
      <x:c r="DE526" s="22" t="n">
        <x:f>MAX(0,MIN('Activities'!L526,630)-MAX('Activities'!K526,624))</x:f>
        <x:v>0</x:v>
      </x:c>
      <x:c r="DF526" s="22" t="n">
        <x:f>MAX(0,MIN('Activities'!L526,636)-MAX('Activities'!K526,630))</x:f>
        <x:v>0</x:v>
      </x:c>
    </x:row>
    <x:row r="527" ht="23" customHeight="1">
      <x:c r="A527" s="1" t="str">
        <x:v>T4-L09-T</x:v>
      </x:c>
      <x:c r="B527" s="1" t="str">
        <x:v>T4</x:v>
      </x:c>
      <x:c r="C527" s="1" t="str">
        <x:v>Floor finishes and skirtings</x:v>
      </x:c>
      <x:c r="D527" s="1" t="str">
        <x:v>Finishes</x:v>
      </x:c>
      <x:c r="E527" s="23" t="n">
        <x:f>MAX(0,MIN('Activities'!L527,6)-MAX('Activities'!K527,0))</x:f>
        <x:v>0</x:v>
      </x:c>
      <x:c r="F527" s="23" t="n">
        <x:f>MAX(0,MIN('Activities'!L527,12)-MAX('Activities'!K527,6))</x:f>
        <x:v>0</x:v>
      </x:c>
      <x:c r="G527" s="23" t="n">
        <x:f>MAX(0,MIN('Activities'!L527,18)-MAX('Activities'!K527,12))</x:f>
        <x:v>0</x:v>
      </x:c>
      <x:c r="H527" s="23" t="n">
        <x:f>MAX(0,MIN('Activities'!L527,24)-MAX('Activities'!K527,18))</x:f>
        <x:v>0</x:v>
      </x:c>
      <x:c r="I527" s="23" t="n">
        <x:f>MAX(0,MIN('Activities'!L527,30)-MAX('Activities'!K527,24))</x:f>
        <x:v>0</x:v>
      </x:c>
      <x:c r="J527" s="23" t="n">
        <x:f>MAX(0,MIN('Activities'!L527,36)-MAX('Activities'!K527,30))</x:f>
        <x:v>0</x:v>
      </x:c>
      <x:c r="K527" s="23" t="n">
        <x:f>MAX(0,MIN('Activities'!L527,42)-MAX('Activities'!K527,36))</x:f>
        <x:v>0</x:v>
      </x:c>
      <x:c r="L527" s="23" t="n">
        <x:f>MAX(0,MIN('Activities'!L527,48)-MAX('Activities'!K527,42))</x:f>
        <x:v>0</x:v>
      </x:c>
      <x:c r="M527" s="23" t="n">
        <x:f>MAX(0,MIN('Activities'!L527,54)-MAX('Activities'!K527,48))</x:f>
        <x:v>0</x:v>
      </x:c>
      <x:c r="N527" s="23" t="n">
        <x:f>MAX(0,MIN('Activities'!L527,60)-MAX('Activities'!K527,54))</x:f>
        <x:v>0</x:v>
      </x:c>
      <x:c r="O527" s="23" t="n">
        <x:f>MAX(0,MIN('Activities'!L527,66)-MAX('Activities'!K527,60))</x:f>
        <x:v>0</x:v>
      </x:c>
      <x:c r="P527" s="23" t="n">
        <x:f>MAX(0,MIN('Activities'!L527,72)-MAX('Activities'!K527,66))</x:f>
        <x:v>0</x:v>
      </x:c>
      <x:c r="Q527" s="23" t="n">
        <x:f>MAX(0,MIN('Activities'!L527,78)-MAX('Activities'!K527,72))</x:f>
        <x:v>0</x:v>
      </x:c>
      <x:c r="R527" s="23" t="n">
        <x:f>MAX(0,MIN('Activities'!L527,84)-MAX('Activities'!K527,78))</x:f>
        <x:v>0</x:v>
      </x:c>
      <x:c r="S527" s="23" t="n">
        <x:f>MAX(0,MIN('Activities'!L527,90)-MAX('Activities'!K527,84))</x:f>
        <x:v>0</x:v>
      </x:c>
      <x:c r="T527" s="23" t="n">
        <x:f>MAX(0,MIN('Activities'!L527,96)-MAX('Activities'!K527,90))</x:f>
        <x:v>0</x:v>
      </x:c>
      <x:c r="U527" s="23" t="n">
        <x:f>MAX(0,MIN('Activities'!L527,102)-MAX('Activities'!K527,96))</x:f>
        <x:v>0</x:v>
      </x:c>
      <x:c r="V527" s="23" t="n">
        <x:f>MAX(0,MIN('Activities'!L527,108)-MAX('Activities'!K527,102))</x:f>
        <x:v>0</x:v>
      </x:c>
      <x:c r="W527" s="23" t="n">
        <x:f>MAX(0,MIN('Activities'!L527,114)-MAX('Activities'!K527,108))</x:f>
        <x:v>0</x:v>
      </x:c>
      <x:c r="X527" s="23" t="n">
        <x:f>MAX(0,MIN('Activities'!L527,120)-MAX('Activities'!K527,114))</x:f>
        <x:v>0</x:v>
      </x:c>
      <x:c r="Y527" s="23" t="n">
        <x:f>MAX(0,MIN('Activities'!L527,126)-MAX('Activities'!K527,120))</x:f>
        <x:v>0</x:v>
      </x:c>
      <x:c r="Z527" s="23" t="n">
        <x:f>MAX(0,MIN('Activities'!L527,132)-MAX('Activities'!K527,126))</x:f>
        <x:v>0</x:v>
      </x:c>
      <x:c r="AA527" s="23" t="n">
        <x:f>MAX(0,MIN('Activities'!L527,138)-MAX('Activities'!K527,132))</x:f>
        <x:v>0</x:v>
      </x:c>
      <x:c r="AB527" s="23" t="n">
        <x:f>MAX(0,MIN('Activities'!L527,144)-MAX('Activities'!K527,138))</x:f>
        <x:v>0</x:v>
      </x:c>
      <x:c r="AC527" s="23" t="n">
        <x:f>MAX(0,MIN('Activities'!L527,150)-MAX('Activities'!K527,144))</x:f>
        <x:v>0</x:v>
      </x:c>
      <x:c r="AD527" s="23" t="n">
        <x:f>MAX(0,MIN('Activities'!L527,156)-MAX('Activities'!K527,150))</x:f>
        <x:v>0</x:v>
      </x:c>
      <x:c r="AE527" s="23" t="n">
        <x:f>MAX(0,MIN('Activities'!L527,162)-MAX('Activities'!K527,156))</x:f>
        <x:v>0</x:v>
      </x:c>
      <x:c r="AF527" s="23" t="n">
        <x:f>MAX(0,MIN('Activities'!L527,168)-MAX('Activities'!K527,162))</x:f>
        <x:v>0</x:v>
      </x:c>
      <x:c r="AG527" s="23" t="n">
        <x:f>MAX(0,MIN('Activities'!L527,174)-MAX('Activities'!K527,168))</x:f>
        <x:v>0</x:v>
      </x:c>
      <x:c r="AH527" s="23" t="n">
        <x:f>MAX(0,MIN('Activities'!L527,180)-MAX('Activities'!K527,174))</x:f>
        <x:v>0</x:v>
      </x:c>
      <x:c r="AI527" s="23" t="n">
        <x:f>MAX(0,MIN('Activities'!L527,186)-MAX('Activities'!K527,180))</x:f>
        <x:v>0</x:v>
      </x:c>
      <x:c r="AJ527" s="23" t="n">
        <x:f>MAX(0,MIN('Activities'!L527,192)-MAX('Activities'!K527,186))</x:f>
        <x:v>0</x:v>
      </x:c>
      <x:c r="AK527" s="23" t="n">
        <x:f>MAX(0,MIN('Activities'!L527,198)-MAX('Activities'!K527,192))</x:f>
        <x:v>0</x:v>
      </x:c>
      <x:c r="AL527" s="23" t="n">
        <x:f>MAX(0,MIN('Activities'!L527,204)-MAX('Activities'!K527,198))</x:f>
        <x:v>0</x:v>
      </x:c>
      <x:c r="AM527" s="23" t="n">
        <x:f>MAX(0,MIN('Activities'!L527,210)-MAX('Activities'!K527,204))</x:f>
        <x:v>0</x:v>
      </x:c>
      <x:c r="AN527" s="23" t="n">
        <x:f>MAX(0,MIN('Activities'!L527,216)-MAX('Activities'!K527,210))</x:f>
        <x:v>0</x:v>
      </x:c>
      <x:c r="AO527" s="23" t="n">
        <x:f>MAX(0,MIN('Activities'!L527,222)-MAX('Activities'!K527,216))</x:f>
        <x:v>0</x:v>
      </x:c>
      <x:c r="AP527" s="23" t="n">
        <x:f>MAX(0,MIN('Activities'!L527,228)-MAX('Activities'!K527,222))</x:f>
        <x:v>0</x:v>
      </x:c>
      <x:c r="AQ527" s="23" t="n">
        <x:f>MAX(0,MIN('Activities'!L527,234)-MAX('Activities'!K527,228))</x:f>
        <x:v>0</x:v>
      </x:c>
      <x:c r="AR527" s="23" t="n">
        <x:f>MAX(0,MIN('Activities'!L527,240)-MAX('Activities'!K527,234))</x:f>
        <x:v>0</x:v>
      </x:c>
      <x:c r="AS527" s="23" t="n">
        <x:f>MAX(0,MIN('Activities'!L527,246)-MAX('Activities'!K527,240))</x:f>
        <x:v>0</x:v>
      </x:c>
      <x:c r="AT527" s="23" t="n">
        <x:f>MAX(0,MIN('Activities'!L527,252)-MAX('Activities'!K527,246))</x:f>
        <x:v>0</x:v>
      </x:c>
      <x:c r="AU527" s="23" t="n">
        <x:f>MAX(0,MIN('Activities'!L527,258)-MAX('Activities'!K527,252))</x:f>
        <x:v>0</x:v>
      </x:c>
      <x:c r="AV527" s="23" t="n">
        <x:f>MAX(0,MIN('Activities'!L527,264)-MAX('Activities'!K527,258))</x:f>
        <x:v>0</x:v>
      </x:c>
      <x:c r="AW527" s="23" t="n">
        <x:f>MAX(0,MIN('Activities'!L527,270)-MAX('Activities'!K527,264))</x:f>
        <x:v>0</x:v>
      </x:c>
      <x:c r="AX527" s="23" t="n">
        <x:f>MAX(0,MIN('Activities'!L527,276)-MAX('Activities'!K527,270))</x:f>
        <x:v>0</x:v>
      </x:c>
      <x:c r="AY527" s="23" t="n">
        <x:f>MAX(0,MIN('Activities'!L527,282)-MAX('Activities'!K527,276))</x:f>
        <x:v>0</x:v>
      </x:c>
      <x:c r="AZ527" s="23" t="n">
        <x:f>MAX(0,MIN('Activities'!L527,288)-MAX('Activities'!K527,282))</x:f>
        <x:v>0</x:v>
      </x:c>
      <x:c r="BA527" s="23" t="n">
        <x:f>MAX(0,MIN('Activities'!L527,294)-MAX('Activities'!K527,288))</x:f>
        <x:v>0</x:v>
      </x:c>
      <x:c r="BB527" s="23" t="n">
        <x:f>MAX(0,MIN('Activities'!L527,300)-MAX('Activities'!K527,294))</x:f>
        <x:v>0</x:v>
      </x:c>
      <x:c r="BC527" s="23" t="n">
        <x:f>MAX(0,MIN('Activities'!L527,306)-MAX('Activities'!K527,300))</x:f>
        <x:v>0</x:v>
      </x:c>
      <x:c r="BD527" s="23" t="n">
        <x:f>MAX(0,MIN('Activities'!L527,312)-MAX('Activities'!K527,306))</x:f>
        <x:v>0</x:v>
      </x:c>
      <x:c r="BE527" s="23" t="n">
        <x:f>MAX(0,MIN('Activities'!L527,318)-MAX('Activities'!K527,312))</x:f>
        <x:v>0</x:v>
      </x:c>
      <x:c r="BF527" s="23" t="n">
        <x:f>MAX(0,MIN('Activities'!L527,324)-MAX('Activities'!K527,318))</x:f>
        <x:v>0</x:v>
      </x:c>
      <x:c r="BG527" s="23" t="n">
        <x:f>MAX(0,MIN('Activities'!L527,330)-MAX('Activities'!K527,324))</x:f>
        <x:v>0</x:v>
      </x:c>
      <x:c r="BH527" s="23" t="n">
        <x:f>MAX(0,MIN('Activities'!L527,336)-MAX('Activities'!K527,330))</x:f>
        <x:v>0</x:v>
      </x:c>
      <x:c r="BI527" s="23" t="n">
        <x:f>MAX(0,MIN('Activities'!L527,342)-MAX('Activities'!K527,336))</x:f>
        <x:v>0</x:v>
      </x:c>
      <x:c r="BJ527" s="23" t="n">
        <x:f>MAX(0,MIN('Activities'!L527,348)-MAX('Activities'!K527,342))</x:f>
        <x:v>0</x:v>
      </x:c>
      <x:c r="BK527" s="23" t="n">
        <x:f>MAX(0,MIN('Activities'!L527,354)-MAX('Activities'!K527,348))</x:f>
        <x:v>0</x:v>
      </x:c>
      <x:c r="BL527" s="23" t="n">
        <x:f>MAX(0,MIN('Activities'!L527,360)-MAX('Activities'!K527,354))</x:f>
        <x:v>0</x:v>
      </x:c>
      <x:c r="BM527" s="23" t="n">
        <x:f>MAX(0,MIN('Activities'!L527,366)-MAX('Activities'!K527,360))</x:f>
        <x:v>0</x:v>
      </x:c>
      <x:c r="BN527" s="23" t="n">
        <x:f>MAX(0,MIN('Activities'!L527,372)-MAX('Activities'!K527,366))</x:f>
        <x:v>0</x:v>
      </x:c>
      <x:c r="BO527" s="23" t="n">
        <x:f>MAX(0,MIN('Activities'!L527,378)-MAX('Activities'!K527,372))</x:f>
        <x:v>0</x:v>
      </x:c>
      <x:c r="BP527" s="23" t="n">
        <x:f>MAX(0,MIN('Activities'!L527,384)-MAX('Activities'!K527,378))</x:f>
        <x:v>0</x:v>
      </x:c>
      <x:c r="BQ527" s="23" t="n">
        <x:f>MAX(0,MIN('Activities'!L527,390)-MAX('Activities'!K527,384))</x:f>
        <x:v>0</x:v>
      </x:c>
      <x:c r="BR527" s="23" t="n">
        <x:f>MAX(0,MIN('Activities'!L527,396)-MAX('Activities'!K527,390))</x:f>
        <x:v>0</x:v>
      </x:c>
      <x:c r="BS527" s="23" t="n">
        <x:f>MAX(0,MIN('Activities'!L527,402)-MAX('Activities'!K527,396))</x:f>
        <x:v>0</x:v>
      </x:c>
      <x:c r="BT527" s="23" t="n">
        <x:f>MAX(0,MIN('Activities'!L527,408)-MAX('Activities'!K527,402))</x:f>
        <x:v>0</x:v>
      </x:c>
      <x:c r="BU527" s="23" t="n">
        <x:f>MAX(0,MIN('Activities'!L527,414)-MAX('Activities'!K527,408))</x:f>
        <x:v>0</x:v>
      </x:c>
      <x:c r="BV527" s="23" t="n">
        <x:f>MAX(0,MIN('Activities'!L527,420)-MAX('Activities'!K527,414))</x:f>
        <x:v>0</x:v>
      </x:c>
      <x:c r="BW527" s="23" t="n">
        <x:f>MAX(0,MIN('Activities'!L527,426)-MAX('Activities'!K527,420))</x:f>
        <x:v>0</x:v>
      </x:c>
      <x:c r="BX527" s="23" t="n">
        <x:f>MAX(0,MIN('Activities'!L527,432)-MAX('Activities'!K527,426))</x:f>
        <x:v>0</x:v>
      </x:c>
      <x:c r="BY527" s="23" t="n">
        <x:f>MAX(0,MIN('Activities'!L527,438)-MAX('Activities'!K527,432))</x:f>
        <x:v>0</x:v>
      </x:c>
      <x:c r="BZ527" s="23" t="n">
        <x:f>MAX(0,MIN('Activities'!L527,444)-MAX('Activities'!K527,438))</x:f>
        <x:v>2</x:v>
      </x:c>
      <x:c r="CA527" s="23" t="n">
        <x:f>MAX(0,MIN('Activities'!L527,450)-MAX('Activities'!K527,444))</x:f>
        <x:v>4</x:v>
      </x:c>
      <x:c r="CB527" s="23" t="n">
        <x:f>MAX(0,MIN('Activities'!L527,456)-MAX('Activities'!K527,450))</x:f>
        <x:v>0</x:v>
      </x:c>
      <x:c r="CC527" s="23" t="n">
        <x:f>MAX(0,MIN('Activities'!L527,462)-MAX('Activities'!K527,456))</x:f>
        <x:v>0</x:v>
      </x:c>
      <x:c r="CD527" s="23" t="n">
        <x:f>MAX(0,MIN('Activities'!L527,468)-MAX('Activities'!K527,462))</x:f>
        <x:v>0</x:v>
      </x:c>
      <x:c r="CE527" s="23" t="n">
        <x:f>MAX(0,MIN('Activities'!L527,474)-MAX('Activities'!K527,468))</x:f>
        <x:v>0</x:v>
      </x:c>
      <x:c r="CF527" s="23" t="n">
        <x:f>MAX(0,MIN('Activities'!L527,480)-MAX('Activities'!K527,474))</x:f>
        <x:v>0</x:v>
      </x:c>
      <x:c r="CG527" s="23" t="n">
        <x:f>MAX(0,MIN('Activities'!L527,486)-MAX('Activities'!K527,480))</x:f>
        <x:v>0</x:v>
      </x:c>
      <x:c r="CH527" s="23" t="n">
        <x:f>MAX(0,MIN('Activities'!L527,492)-MAX('Activities'!K527,486))</x:f>
        <x:v>0</x:v>
      </x:c>
      <x:c r="CI527" s="23" t="n">
        <x:f>MAX(0,MIN('Activities'!L527,498)-MAX('Activities'!K527,492))</x:f>
        <x:v>0</x:v>
      </x:c>
      <x:c r="CJ527" s="23" t="n">
        <x:f>MAX(0,MIN('Activities'!L527,504)-MAX('Activities'!K527,498))</x:f>
        <x:v>0</x:v>
      </x:c>
      <x:c r="CK527" s="23" t="n">
        <x:f>MAX(0,MIN('Activities'!L527,510)-MAX('Activities'!K527,504))</x:f>
        <x:v>0</x:v>
      </x:c>
      <x:c r="CL527" s="23" t="n">
        <x:f>MAX(0,MIN('Activities'!L527,516)-MAX('Activities'!K527,510))</x:f>
        <x:v>0</x:v>
      </x:c>
      <x:c r="CM527" s="23" t="n">
        <x:f>MAX(0,MIN('Activities'!L527,522)-MAX('Activities'!K527,516))</x:f>
        <x:v>0</x:v>
      </x:c>
      <x:c r="CN527" s="23" t="n">
        <x:f>MAX(0,MIN('Activities'!L527,528)-MAX('Activities'!K527,522))</x:f>
        <x:v>0</x:v>
      </x:c>
      <x:c r="CO527" s="23" t="n">
        <x:f>MAX(0,MIN('Activities'!L527,534)-MAX('Activities'!K527,528))</x:f>
        <x:v>0</x:v>
      </x:c>
      <x:c r="CP527" s="23" t="n">
        <x:f>MAX(0,MIN('Activities'!L527,540)-MAX('Activities'!K527,534))</x:f>
        <x:v>0</x:v>
      </x:c>
      <x:c r="CQ527" s="23" t="n">
        <x:f>MAX(0,MIN('Activities'!L527,546)-MAX('Activities'!K527,540))</x:f>
        <x:v>0</x:v>
      </x:c>
      <x:c r="CR527" s="23" t="n">
        <x:f>MAX(0,MIN('Activities'!L527,552)-MAX('Activities'!K527,546))</x:f>
        <x:v>0</x:v>
      </x:c>
      <x:c r="CS527" s="23" t="n">
        <x:f>MAX(0,MIN('Activities'!L527,558)-MAX('Activities'!K527,552))</x:f>
        <x:v>0</x:v>
      </x:c>
      <x:c r="CT527" s="23" t="n">
        <x:f>MAX(0,MIN('Activities'!L527,564)-MAX('Activities'!K527,558))</x:f>
        <x:v>0</x:v>
      </x:c>
      <x:c r="CU527" s="23" t="n">
        <x:f>MAX(0,MIN('Activities'!L527,570)-MAX('Activities'!K527,564))</x:f>
        <x:v>0</x:v>
      </x:c>
      <x:c r="CV527" s="23" t="n">
        <x:f>MAX(0,MIN('Activities'!L527,576)-MAX('Activities'!K527,570))</x:f>
        <x:v>0</x:v>
      </x:c>
      <x:c r="CW527" s="23" t="n">
        <x:f>MAX(0,MIN('Activities'!L527,582)-MAX('Activities'!K527,576))</x:f>
        <x:v>0</x:v>
      </x:c>
      <x:c r="CX527" s="23" t="n">
        <x:f>MAX(0,MIN('Activities'!L527,588)-MAX('Activities'!K527,582))</x:f>
        <x:v>0</x:v>
      </x:c>
      <x:c r="CY527" s="23" t="n">
        <x:f>MAX(0,MIN('Activities'!L527,594)-MAX('Activities'!K527,588))</x:f>
        <x:v>0</x:v>
      </x:c>
      <x:c r="CZ527" s="23" t="n">
        <x:f>MAX(0,MIN('Activities'!L527,600)-MAX('Activities'!K527,594))</x:f>
        <x:v>0</x:v>
      </x:c>
      <x:c r="DA527" s="23" t="n">
        <x:f>MAX(0,MIN('Activities'!L527,606)-MAX('Activities'!K527,600))</x:f>
        <x:v>0</x:v>
      </x:c>
      <x:c r="DB527" s="23" t="n">
        <x:f>MAX(0,MIN('Activities'!L527,612)-MAX('Activities'!K527,606))</x:f>
        <x:v>0</x:v>
      </x:c>
      <x:c r="DC527" s="23" t="n">
        <x:f>MAX(0,MIN('Activities'!L527,618)-MAX('Activities'!K527,612))</x:f>
        <x:v>0</x:v>
      </x:c>
      <x:c r="DD527" s="23" t="n">
        <x:f>MAX(0,MIN('Activities'!L527,624)-MAX('Activities'!K527,618))</x:f>
        <x:v>0</x:v>
      </x:c>
      <x:c r="DE527" s="23" t="n">
        <x:f>MAX(0,MIN('Activities'!L527,630)-MAX('Activities'!K527,624))</x:f>
        <x:v>0</x:v>
      </x:c>
      <x:c r="DF527" s="23" t="n">
        <x:f>MAX(0,MIN('Activities'!L527,636)-MAX('Activities'!K527,630))</x:f>
        <x:v>0</x:v>
      </x:c>
    </x:row>
    <x:row r="528" ht="23" customHeight="1">
      <x:c r="A528" s="6" t="str">
        <x:v>T4-L09-A</x:v>
      </x:c>
      <x:c r="B528" s="6" t="str">
        <x:v>T4</x:v>
      </x:c>
      <x:c r="C528" s="6" t="str">
        <x:v>Paint and final decorations</x:v>
      </x:c>
      <x:c r="D528" s="6" t="str">
        <x:v>Finishes</x:v>
      </x:c>
      <x:c r="E528" s="22" t="n">
        <x:f>MAX(0,MIN('Activities'!L528,6)-MAX('Activities'!K528,0))</x:f>
        <x:v>0</x:v>
      </x:c>
      <x:c r="F528" s="22" t="n">
        <x:f>MAX(0,MIN('Activities'!L528,12)-MAX('Activities'!K528,6))</x:f>
        <x:v>0</x:v>
      </x:c>
      <x:c r="G528" s="22" t="n">
        <x:f>MAX(0,MIN('Activities'!L528,18)-MAX('Activities'!K528,12))</x:f>
        <x:v>0</x:v>
      </x:c>
      <x:c r="H528" s="22" t="n">
        <x:f>MAX(0,MIN('Activities'!L528,24)-MAX('Activities'!K528,18))</x:f>
        <x:v>0</x:v>
      </x:c>
      <x:c r="I528" s="22" t="n">
        <x:f>MAX(0,MIN('Activities'!L528,30)-MAX('Activities'!K528,24))</x:f>
        <x:v>0</x:v>
      </x:c>
      <x:c r="J528" s="22" t="n">
        <x:f>MAX(0,MIN('Activities'!L528,36)-MAX('Activities'!K528,30))</x:f>
        <x:v>0</x:v>
      </x:c>
      <x:c r="K528" s="22" t="n">
        <x:f>MAX(0,MIN('Activities'!L528,42)-MAX('Activities'!K528,36))</x:f>
        <x:v>0</x:v>
      </x:c>
      <x:c r="L528" s="22" t="n">
        <x:f>MAX(0,MIN('Activities'!L528,48)-MAX('Activities'!K528,42))</x:f>
        <x:v>0</x:v>
      </x:c>
      <x:c r="M528" s="22" t="n">
        <x:f>MAX(0,MIN('Activities'!L528,54)-MAX('Activities'!K528,48))</x:f>
        <x:v>0</x:v>
      </x:c>
      <x:c r="N528" s="22" t="n">
        <x:f>MAX(0,MIN('Activities'!L528,60)-MAX('Activities'!K528,54))</x:f>
        <x:v>0</x:v>
      </x:c>
      <x:c r="O528" s="22" t="n">
        <x:f>MAX(0,MIN('Activities'!L528,66)-MAX('Activities'!K528,60))</x:f>
        <x:v>0</x:v>
      </x:c>
      <x:c r="P528" s="22" t="n">
        <x:f>MAX(0,MIN('Activities'!L528,72)-MAX('Activities'!K528,66))</x:f>
        <x:v>0</x:v>
      </x:c>
      <x:c r="Q528" s="22" t="n">
        <x:f>MAX(0,MIN('Activities'!L528,78)-MAX('Activities'!K528,72))</x:f>
        <x:v>0</x:v>
      </x:c>
      <x:c r="R528" s="22" t="n">
        <x:f>MAX(0,MIN('Activities'!L528,84)-MAX('Activities'!K528,78))</x:f>
        <x:v>0</x:v>
      </x:c>
      <x:c r="S528" s="22" t="n">
        <x:f>MAX(0,MIN('Activities'!L528,90)-MAX('Activities'!K528,84))</x:f>
        <x:v>0</x:v>
      </x:c>
      <x:c r="T528" s="22" t="n">
        <x:f>MAX(0,MIN('Activities'!L528,96)-MAX('Activities'!K528,90))</x:f>
        <x:v>0</x:v>
      </x:c>
      <x:c r="U528" s="22" t="n">
        <x:f>MAX(0,MIN('Activities'!L528,102)-MAX('Activities'!K528,96))</x:f>
        <x:v>0</x:v>
      </x:c>
      <x:c r="V528" s="22" t="n">
        <x:f>MAX(0,MIN('Activities'!L528,108)-MAX('Activities'!K528,102))</x:f>
        <x:v>0</x:v>
      </x:c>
      <x:c r="W528" s="22" t="n">
        <x:f>MAX(0,MIN('Activities'!L528,114)-MAX('Activities'!K528,108))</x:f>
        <x:v>0</x:v>
      </x:c>
      <x:c r="X528" s="22" t="n">
        <x:f>MAX(0,MIN('Activities'!L528,120)-MAX('Activities'!K528,114))</x:f>
        <x:v>0</x:v>
      </x:c>
      <x:c r="Y528" s="22" t="n">
        <x:f>MAX(0,MIN('Activities'!L528,126)-MAX('Activities'!K528,120))</x:f>
        <x:v>0</x:v>
      </x:c>
      <x:c r="Z528" s="22" t="n">
        <x:f>MAX(0,MIN('Activities'!L528,132)-MAX('Activities'!K528,126))</x:f>
        <x:v>0</x:v>
      </x:c>
      <x:c r="AA528" s="22" t="n">
        <x:f>MAX(0,MIN('Activities'!L528,138)-MAX('Activities'!K528,132))</x:f>
        <x:v>0</x:v>
      </x:c>
      <x:c r="AB528" s="22" t="n">
        <x:f>MAX(0,MIN('Activities'!L528,144)-MAX('Activities'!K528,138))</x:f>
        <x:v>0</x:v>
      </x:c>
      <x:c r="AC528" s="22" t="n">
        <x:f>MAX(0,MIN('Activities'!L528,150)-MAX('Activities'!K528,144))</x:f>
        <x:v>0</x:v>
      </x:c>
      <x:c r="AD528" s="22" t="n">
        <x:f>MAX(0,MIN('Activities'!L528,156)-MAX('Activities'!K528,150))</x:f>
        <x:v>0</x:v>
      </x:c>
      <x:c r="AE528" s="22" t="n">
        <x:f>MAX(0,MIN('Activities'!L528,162)-MAX('Activities'!K528,156))</x:f>
        <x:v>0</x:v>
      </x:c>
      <x:c r="AF528" s="22" t="n">
        <x:f>MAX(0,MIN('Activities'!L528,168)-MAX('Activities'!K528,162))</x:f>
        <x:v>0</x:v>
      </x:c>
      <x:c r="AG528" s="22" t="n">
        <x:f>MAX(0,MIN('Activities'!L528,174)-MAX('Activities'!K528,168))</x:f>
        <x:v>0</x:v>
      </x:c>
      <x:c r="AH528" s="22" t="n">
        <x:f>MAX(0,MIN('Activities'!L528,180)-MAX('Activities'!K528,174))</x:f>
        <x:v>0</x:v>
      </x:c>
      <x:c r="AI528" s="22" t="n">
        <x:f>MAX(0,MIN('Activities'!L528,186)-MAX('Activities'!K528,180))</x:f>
        <x:v>0</x:v>
      </x:c>
      <x:c r="AJ528" s="22" t="n">
        <x:f>MAX(0,MIN('Activities'!L528,192)-MAX('Activities'!K528,186))</x:f>
        <x:v>0</x:v>
      </x:c>
      <x:c r="AK528" s="22" t="n">
        <x:f>MAX(0,MIN('Activities'!L528,198)-MAX('Activities'!K528,192))</x:f>
        <x:v>0</x:v>
      </x:c>
      <x:c r="AL528" s="22" t="n">
        <x:f>MAX(0,MIN('Activities'!L528,204)-MAX('Activities'!K528,198))</x:f>
        <x:v>0</x:v>
      </x:c>
      <x:c r="AM528" s="22" t="n">
        <x:f>MAX(0,MIN('Activities'!L528,210)-MAX('Activities'!K528,204))</x:f>
        <x:v>0</x:v>
      </x:c>
      <x:c r="AN528" s="22" t="n">
        <x:f>MAX(0,MIN('Activities'!L528,216)-MAX('Activities'!K528,210))</x:f>
        <x:v>0</x:v>
      </x:c>
      <x:c r="AO528" s="22" t="n">
        <x:f>MAX(0,MIN('Activities'!L528,222)-MAX('Activities'!K528,216))</x:f>
        <x:v>0</x:v>
      </x:c>
      <x:c r="AP528" s="22" t="n">
        <x:f>MAX(0,MIN('Activities'!L528,228)-MAX('Activities'!K528,222))</x:f>
        <x:v>0</x:v>
      </x:c>
      <x:c r="AQ528" s="22" t="n">
        <x:f>MAX(0,MIN('Activities'!L528,234)-MAX('Activities'!K528,228))</x:f>
        <x:v>0</x:v>
      </x:c>
      <x:c r="AR528" s="22" t="n">
        <x:f>MAX(0,MIN('Activities'!L528,240)-MAX('Activities'!K528,234))</x:f>
        <x:v>0</x:v>
      </x:c>
      <x:c r="AS528" s="22" t="n">
        <x:f>MAX(0,MIN('Activities'!L528,246)-MAX('Activities'!K528,240))</x:f>
        <x:v>0</x:v>
      </x:c>
      <x:c r="AT528" s="22" t="n">
        <x:f>MAX(0,MIN('Activities'!L528,252)-MAX('Activities'!K528,246))</x:f>
        <x:v>0</x:v>
      </x:c>
      <x:c r="AU528" s="22" t="n">
        <x:f>MAX(0,MIN('Activities'!L528,258)-MAX('Activities'!K528,252))</x:f>
        <x:v>0</x:v>
      </x:c>
      <x:c r="AV528" s="22" t="n">
        <x:f>MAX(0,MIN('Activities'!L528,264)-MAX('Activities'!K528,258))</x:f>
        <x:v>0</x:v>
      </x:c>
      <x:c r="AW528" s="22" t="n">
        <x:f>MAX(0,MIN('Activities'!L528,270)-MAX('Activities'!K528,264))</x:f>
        <x:v>0</x:v>
      </x:c>
      <x:c r="AX528" s="22" t="n">
        <x:f>MAX(0,MIN('Activities'!L528,276)-MAX('Activities'!K528,270))</x:f>
        <x:v>0</x:v>
      </x:c>
      <x:c r="AY528" s="22" t="n">
        <x:f>MAX(0,MIN('Activities'!L528,282)-MAX('Activities'!K528,276))</x:f>
        <x:v>0</x:v>
      </x:c>
      <x:c r="AZ528" s="22" t="n">
        <x:f>MAX(0,MIN('Activities'!L528,288)-MAX('Activities'!K528,282))</x:f>
        <x:v>0</x:v>
      </x:c>
      <x:c r="BA528" s="22" t="n">
        <x:f>MAX(0,MIN('Activities'!L528,294)-MAX('Activities'!K528,288))</x:f>
        <x:v>0</x:v>
      </x:c>
      <x:c r="BB528" s="22" t="n">
        <x:f>MAX(0,MIN('Activities'!L528,300)-MAX('Activities'!K528,294))</x:f>
        <x:v>0</x:v>
      </x:c>
      <x:c r="BC528" s="22" t="n">
        <x:f>MAX(0,MIN('Activities'!L528,306)-MAX('Activities'!K528,300))</x:f>
        <x:v>0</x:v>
      </x:c>
      <x:c r="BD528" s="22" t="n">
        <x:f>MAX(0,MIN('Activities'!L528,312)-MAX('Activities'!K528,306))</x:f>
        <x:v>0</x:v>
      </x:c>
      <x:c r="BE528" s="22" t="n">
        <x:f>MAX(0,MIN('Activities'!L528,318)-MAX('Activities'!K528,312))</x:f>
        <x:v>0</x:v>
      </x:c>
      <x:c r="BF528" s="22" t="n">
        <x:f>MAX(0,MIN('Activities'!L528,324)-MAX('Activities'!K528,318))</x:f>
        <x:v>0</x:v>
      </x:c>
      <x:c r="BG528" s="22" t="n">
        <x:f>MAX(0,MIN('Activities'!L528,330)-MAX('Activities'!K528,324))</x:f>
        <x:v>0</x:v>
      </x:c>
      <x:c r="BH528" s="22" t="n">
        <x:f>MAX(0,MIN('Activities'!L528,336)-MAX('Activities'!K528,330))</x:f>
        <x:v>0</x:v>
      </x:c>
      <x:c r="BI528" s="22" t="n">
        <x:f>MAX(0,MIN('Activities'!L528,342)-MAX('Activities'!K528,336))</x:f>
        <x:v>0</x:v>
      </x:c>
      <x:c r="BJ528" s="22" t="n">
        <x:f>MAX(0,MIN('Activities'!L528,348)-MAX('Activities'!K528,342))</x:f>
        <x:v>0</x:v>
      </x:c>
      <x:c r="BK528" s="22" t="n">
        <x:f>MAX(0,MIN('Activities'!L528,354)-MAX('Activities'!K528,348))</x:f>
        <x:v>0</x:v>
      </x:c>
      <x:c r="BL528" s="22" t="n">
        <x:f>MAX(0,MIN('Activities'!L528,360)-MAX('Activities'!K528,354))</x:f>
        <x:v>0</x:v>
      </x:c>
      <x:c r="BM528" s="22" t="n">
        <x:f>MAX(0,MIN('Activities'!L528,366)-MAX('Activities'!K528,360))</x:f>
        <x:v>0</x:v>
      </x:c>
      <x:c r="BN528" s="22" t="n">
        <x:f>MAX(0,MIN('Activities'!L528,372)-MAX('Activities'!K528,366))</x:f>
        <x:v>0</x:v>
      </x:c>
      <x:c r="BO528" s="22" t="n">
        <x:f>MAX(0,MIN('Activities'!L528,378)-MAX('Activities'!K528,372))</x:f>
        <x:v>0</x:v>
      </x:c>
      <x:c r="BP528" s="22" t="n">
        <x:f>MAX(0,MIN('Activities'!L528,384)-MAX('Activities'!K528,378))</x:f>
        <x:v>0</x:v>
      </x:c>
      <x:c r="BQ528" s="22" t="n">
        <x:f>MAX(0,MIN('Activities'!L528,390)-MAX('Activities'!K528,384))</x:f>
        <x:v>0</x:v>
      </x:c>
      <x:c r="BR528" s="22" t="n">
        <x:f>MAX(0,MIN('Activities'!L528,396)-MAX('Activities'!K528,390))</x:f>
        <x:v>0</x:v>
      </x:c>
      <x:c r="BS528" s="22" t="n">
        <x:f>MAX(0,MIN('Activities'!L528,402)-MAX('Activities'!K528,396))</x:f>
        <x:v>0</x:v>
      </x:c>
      <x:c r="BT528" s="22" t="n">
        <x:f>MAX(0,MIN('Activities'!L528,408)-MAX('Activities'!K528,402))</x:f>
        <x:v>0</x:v>
      </x:c>
      <x:c r="BU528" s="22" t="n">
        <x:f>MAX(0,MIN('Activities'!L528,414)-MAX('Activities'!K528,408))</x:f>
        <x:v>0</x:v>
      </x:c>
      <x:c r="BV528" s="22" t="n">
        <x:f>MAX(0,MIN('Activities'!L528,420)-MAX('Activities'!K528,414))</x:f>
        <x:v>0</x:v>
      </x:c>
      <x:c r="BW528" s="22" t="n">
        <x:f>MAX(0,MIN('Activities'!L528,426)-MAX('Activities'!K528,420))</x:f>
        <x:v>0</x:v>
      </x:c>
      <x:c r="BX528" s="22" t="n">
        <x:f>MAX(0,MIN('Activities'!L528,432)-MAX('Activities'!K528,426))</x:f>
        <x:v>0</x:v>
      </x:c>
      <x:c r="BY528" s="22" t="n">
        <x:f>MAX(0,MIN('Activities'!L528,438)-MAX('Activities'!K528,432))</x:f>
        <x:v>0</x:v>
      </x:c>
      <x:c r="BZ528" s="22" t="n">
        <x:f>MAX(0,MIN('Activities'!L528,444)-MAX('Activities'!K528,438))</x:f>
        <x:v>0</x:v>
      </x:c>
      <x:c r="CA528" s="22" t="n">
        <x:f>MAX(0,MIN('Activities'!L528,450)-MAX('Activities'!K528,444))</x:f>
        <x:v>0</x:v>
      </x:c>
      <x:c r="CB528" s="22" t="n">
        <x:f>MAX(0,MIN('Activities'!L528,456)-MAX('Activities'!K528,450))</x:f>
        <x:v>5</x:v>
      </x:c>
      <x:c r="CC528" s="22" t="n">
        <x:f>MAX(0,MIN('Activities'!L528,462)-MAX('Activities'!K528,456))</x:f>
        <x:v>0</x:v>
      </x:c>
      <x:c r="CD528" s="22" t="n">
        <x:f>MAX(0,MIN('Activities'!L528,468)-MAX('Activities'!K528,462))</x:f>
        <x:v>0</x:v>
      </x:c>
      <x:c r="CE528" s="22" t="n">
        <x:f>MAX(0,MIN('Activities'!L528,474)-MAX('Activities'!K528,468))</x:f>
        <x:v>0</x:v>
      </x:c>
      <x:c r="CF528" s="22" t="n">
        <x:f>MAX(0,MIN('Activities'!L528,480)-MAX('Activities'!K528,474))</x:f>
        <x:v>0</x:v>
      </x:c>
      <x:c r="CG528" s="22" t="n">
        <x:f>MAX(0,MIN('Activities'!L528,486)-MAX('Activities'!K528,480))</x:f>
        <x:v>0</x:v>
      </x:c>
      <x:c r="CH528" s="22" t="n">
        <x:f>MAX(0,MIN('Activities'!L528,492)-MAX('Activities'!K528,486))</x:f>
        <x:v>0</x:v>
      </x:c>
      <x:c r="CI528" s="22" t="n">
        <x:f>MAX(0,MIN('Activities'!L528,498)-MAX('Activities'!K528,492))</x:f>
        <x:v>0</x:v>
      </x:c>
      <x:c r="CJ528" s="22" t="n">
        <x:f>MAX(0,MIN('Activities'!L528,504)-MAX('Activities'!K528,498))</x:f>
        <x:v>0</x:v>
      </x:c>
      <x:c r="CK528" s="22" t="n">
        <x:f>MAX(0,MIN('Activities'!L528,510)-MAX('Activities'!K528,504))</x:f>
        <x:v>0</x:v>
      </x:c>
      <x:c r="CL528" s="22" t="n">
        <x:f>MAX(0,MIN('Activities'!L528,516)-MAX('Activities'!K528,510))</x:f>
        <x:v>0</x:v>
      </x:c>
      <x:c r="CM528" s="22" t="n">
        <x:f>MAX(0,MIN('Activities'!L528,522)-MAX('Activities'!K528,516))</x:f>
        <x:v>0</x:v>
      </x:c>
      <x:c r="CN528" s="22" t="n">
        <x:f>MAX(0,MIN('Activities'!L528,528)-MAX('Activities'!K528,522))</x:f>
        <x:v>0</x:v>
      </x:c>
      <x:c r="CO528" s="22" t="n">
        <x:f>MAX(0,MIN('Activities'!L528,534)-MAX('Activities'!K528,528))</x:f>
        <x:v>0</x:v>
      </x:c>
      <x:c r="CP528" s="22" t="n">
        <x:f>MAX(0,MIN('Activities'!L528,540)-MAX('Activities'!K528,534))</x:f>
        <x:v>0</x:v>
      </x:c>
      <x:c r="CQ528" s="22" t="n">
        <x:f>MAX(0,MIN('Activities'!L528,546)-MAX('Activities'!K528,540))</x:f>
        <x:v>0</x:v>
      </x:c>
      <x:c r="CR528" s="22" t="n">
        <x:f>MAX(0,MIN('Activities'!L528,552)-MAX('Activities'!K528,546))</x:f>
        <x:v>0</x:v>
      </x:c>
      <x:c r="CS528" s="22" t="n">
        <x:f>MAX(0,MIN('Activities'!L528,558)-MAX('Activities'!K528,552))</x:f>
        <x:v>0</x:v>
      </x:c>
      <x:c r="CT528" s="22" t="n">
        <x:f>MAX(0,MIN('Activities'!L528,564)-MAX('Activities'!K528,558))</x:f>
        <x:v>0</x:v>
      </x:c>
      <x:c r="CU528" s="22" t="n">
        <x:f>MAX(0,MIN('Activities'!L528,570)-MAX('Activities'!K528,564))</x:f>
        <x:v>0</x:v>
      </x:c>
      <x:c r="CV528" s="22" t="n">
        <x:f>MAX(0,MIN('Activities'!L528,576)-MAX('Activities'!K528,570))</x:f>
        <x:v>0</x:v>
      </x:c>
      <x:c r="CW528" s="22" t="n">
        <x:f>MAX(0,MIN('Activities'!L528,582)-MAX('Activities'!K528,576))</x:f>
        <x:v>0</x:v>
      </x:c>
      <x:c r="CX528" s="22" t="n">
        <x:f>MAX(0,MIN('Activities'!L528,588)-MAX('Activities'!K528,582))</x:f>
        <x:v>0</x:v>
      </x:c>
      <x:c r="CY528" s="22" t="n">
        <x:f>MAX(0,MIN('Activities'!L528,594)-MAX('Activities'!K528,588))</x:f>
        <x:v>0</x:v>
      </x:c>
      <x:c r="CZ528" s="22" t="n">
        <x:f>MAX(0,MIN('Activities'!L528,600)-MAX('Activities'!K528,594))</x:f>
        <x:v>0</x:v>
      </x:c>
      <x:c r="DA528" s="22" t="n">
        <x:f>MAX(0,MIN('Activities'!L528,606)-MAX('Activities'!K528,600))</x:f>
        <x:v>0</x:v>
      </x:c>
      <x:c r="DB528" s="22" t="n">
        <x:f>MAX(0,MIN('Activities'!L528,612)-MAX('Activities'!K528,606))</x:f>
        <x:v>0</x:v>
      </x:c>
      <x:c r="DC528" s="22" t="n">
        <x:f>MAX(0,MIN('Activities'!L528,618)-MAX('Activities'!K528,612))</x:f>
        <x:v>0</x:v>
      </x:c>
      <x:c r="DD528" s="22" t="n">
        <x:f>MAX(0,MIN('Activities'!L528,624)-MAX('Activities'!K528,618))</x:f>
        <x:v>0</x:v>
      </x:c>
      <x:c r="DE528" s="22" t="n">
        <x:f>MAX(0,MIN('Activities'!L528,630)-MAX('Activities'!K528,624))</x:f>
        <x:v>0</x:v>
      </x:c>
      <x:c r="DF528" s="22" t="n">
        <x:f>MAX(0,MIN('Activities'!L528,636)-MAX('Activities'!K528,630))</x:f>
        <x:v>0</x:v>
      </x:c>
    </x:row>
    <x:row r="529" ht="23" customHeight="1">
      <x:c r="A529" s="1" t="str">
        <x:v>T4-L09-D</x:v>
      </x:c>
      <x:c r="B529" s="1" t="str">
        <x:v>T4</x:v>
      </x:c>
      <x:c r="C529" s="1" t="str">
        <x:v>Door sets and ironmongery</x:v>
      </x:c>
      <x:c r="D529" s="1" t="str">
        <x:v>Finishes</x:v>
      </x:c>
      <x:c r="E529" s="23" t="n">
        <x:f>MAX(0,MIN('Activities'!L529,6)-MAX('Activities'!K529,0))</x:f>
        <x:v>0</x:v>
      </x:c>
      <x:c r="F529" s="23" t="n">
        <x:f>MAX(0,MIN('Activities'!L529,12)-MAX('Activities'!K529,6))</x:f>
        <x:v>0</x:v>
      </x:c>
      <x:c r="G529" s="23" t="n">
        <x:f>MAX(0,MIN('Activities'!L529,18)-MAX('Activities'!K529,12))</x:f>
        <x:v>0</x:v>
      </x:c>
      <x:c r="H529" s="23" t="n">
        <x:f>MAX(0,MIN('Activities'!L529,24)-MAX('Activities'!K529,18))</x:f>
        <x:v>0</x:v>
      </x:c>
      <x:c r="I529" s="23" t="n">
        <x:f>MAX(0,MIN('Activities'!L529,30)-MAX('Activities'!K529,24))</x:f>
        <x:v>0</x:v>
      </x:c>
      <x:c r="J529" s="23" t="n">
        <x:f>MAX(0,MIN('Activities'!L529,36)-MAX('Activities'!K529,30))</x:f>
        <x:v>0</x:v>
      </x:c>
      <x:c r="K529" s="23" t="n">
        <x:f>MAX(0,MIN('Activities'!L529,42)-MAX('Activities'!K529,36))</x:f>
        <x:v>0</x:v>
      </x:c>
      <x:c r="L529" s="23" t="n">
        <x:f>MAX(0,MIN('Activities'!L529,48)-MAX('Activities'!K529,42))</x:f>
        <x:v>0</x:v>
      </x:c>
      <x:c r="M529" s="23" t="n">
        <x:f>MAX(0,MIN('Activities'!L529,54)-MAX('Activities'!K529,48))</x:f>
        <x:v>0</x:v>
      </x:c>
      <x:c r="N529" s="23" t="n">
        <x:f>MAX(0,MIN('Activities'!L529,60)-MAX('Activities'!K529,54))</x:f>
        <x:v>0</x:v>
      </x:c>
      <x:c r="O529" s="23" t="n">
        <x:f>MAX(0,MIN('Activities'!L529,66)-MAX('Activities'!K529,60))</x:f>
        <x:v>0</x:v>
      </x:c>
      <x:c r="P529" s="23" t="n">
        <x:f>MAX(0,MIN('Activities'!L529,72)-MAX('Activities'!K529,66))</x:f>
        <x:v>0</x:v>
      </x:c>
      <x:c r="Q529" s="23" t="n">
        <x:f>MAX(0,MIN('Activities'!L529,78)-MAX('Activities'!K529,72))</x:f>
        <x:v>0</x:v>
      </x:c>
      <x:c r="R529" s="23" t="n">
        <x:f>MAX(0,MIN('Activities'!L529,84)-MAX('Activities'!K529,78))</x:f>
        <x:v>0</x:v>
      </x:c>
      <x:c r="S529" s="23" t="n">
        <x:f>MAX(0,MIN('Activities'!L529,90)-MAX('Activities'!K529,84))</x:f>
        <x:v>0</x:v>
      </x:c>
      <x:c r="T529" s="23" t="n">
        <x:f>MAX(0,MIN('Activities'!L529,96)-MAX('Activities'!K529,90))</x:f>
        <x:v>0</x:v>
      </x:c>
      <x:c r="U529" s="23" t="n">
        <x:f>MAX(0,MIN('Activities'!L529,102)-MAX('Activities'!K529,96))</x:f>
        <x:v>0</x:v>
      </x:c>
      <x:c r="V529" s="23" t="n">
        <x:f>MAX(0,MIN('Activities'!L529,108)-MAX('Activities'!K529,102))</x:f>
        <x:v>0</x:v>
      </x:c>
      <x:c r="W529" s="23" t="n">
        <x:f>MAX(0,MIN('Activities'!L529,114)-MAX('Activities'!K529,108))</x:f>
        <x:v>0</x:v>
      </x:c>
      <x:c r="X529" s="23" t="n">
        <x:f>MAX(0,MIN('Activities'!L529,120)-MAX('Activities'!K529,114))</x:f>
        <x:v>0</x:v>
      </x:c>
      <x:c r="Y529" s="23" t="n">
        <x:f>MAX(0,MIN('Activities'!L529,126)-MAX('Activities'!K529,120))</x:f>
        <x:v>0</x:v>
      </x:c>
      <x:c r="Z529" s="23" t="n">
        <x:f>MAX(0,MIN('Activities'!L529,132)-MAX('Activities'!K529,126))</x:f>
        <x:v>0</x:v>
      </x:c>
      <x:c r="AA529" s="23" t="n">
        <x:f>MAX(0,MIN('Activities'!L529,138)-MAX('Activities'!K529,132))</x:f>
        <x:v>0</x:v>
      </x:c>
      <x:c r="AB529" s="23" t="n">
        <x:f>MAX(0,MIN('Activities'!L529,144)-MAX('Activities'!K529,138))</x:f>
        <x:v>0</x:v>
      </x:c>
      <x:c r="AC529" s="23" t="n">
        <x:f>MAX(0,MIN('Activities'!L529,150)-MAX('Activities'!K529,144))</x:f>
        <x:v>0</x:v>
      </x:c>
      <x:c r="AD529" s="23" t="n">
        <x:f>MAX(0,MIN('Activities'!L529,156)-MAX('Activities'!K529,150))</x:f>
        <x:v>0</x:v>
      </x:c>
      <x:c r="AE529" s="23" t="n">
        <x:f>MAX(0,MIN('Activities'!L529,162)-MAX('Activities'!K529,156))</x:f>
        <x:v>0</x:v>
      </x:c>
      <x:c r="AF529" s="23" t="n">
        <x:f>MAX(0,MIN('Activities'!L529,168)-MAX('Activities'!K529,162))</x:f>
        <x:v>0</x:v>
      </x:c>
      <x:c r="AG529" s="23" t="n">
        <x:f>MAX(0,MIN('Activities'!L529,174)-MAX('Activities'!K529,168))</x:f>
        <x:v>0</x:v>
      </x:c>
      <x:c r="AH529" s="23" t="n">
        <x:f>MAX(0,MIN('Activities'!L529,180)-MAX('Activities'!K529,174))</x:f>
        <x:v>0</x:v>
      </x:c>
      <x:c r="AI529" s="23" t="n">
        <x:f>MAX(0,MIN('Activities'!L529,186)-MAX('Activities'!K529,180))</x:f>
        <x:v>0</x:v>
      </x:c>
      <x:c r="AJ529" s="23" t="n">
        <x:f>MAX(0,MIN('Activities'!L529,192)-MAX('Activities'!K529,186))</x:f>
        <x:v>0</x:v>
      </x:c>
      <x:c r="AK529" s="23" t="n">
        <x:f>MAX(0,MIN('Activities'!L529,198)-MAX('Activities'!K529,192))</x:f>
        <x:v>0</x:v>
      </x:c>
      <x:c r="AL529" s="23" t="n">
        <x:f>MAX(0,MIN('Activities'!L529,204)-MAX('Activities'!K529,198))</x:f>
        <x:v>0</x:v>
      </x:c>
      <x:c r="AM529" s="23" t="n">
        <x:f>MAX(0,MIN('Activities'!L529,210)-MAX('Activities'!K529,204))</x:f>
        <x:v>0</x:v>
      </x:c>
      <x:c r="AN529" s="23" t="n">
        <x:f>MAX(0,MIN('Activities'!L529,216)-MAX('Activities'!K529,210))</x:f>
        <x:v>0</x:v>
      </x:c>
      <x:c r="AO529" s="23" t="n">
        <x:f>MAX(0,MIN('Activities'!L529,222)-MAX('Activities'!K529,216))</x:f>
        <x:v>0</x:v>
      </x:c>
      <x:c r="AP529" s="23" t="n">
        <x:f>MAX(0,MIN('Activities'!L529,228)-MAX('Activities'!K529,222))</x:f>
        <x:v>0</x:v>
      </x:c>
      <x:c r="AQ529" s="23" t="n">
        <x:f>MAX(0,MIN('Activities'!L529,234)-MAX('Activities'!K529,228))</x:f>
        <x:v>0</x:v>
      </x:c>
      <x:c r="AR529" s="23" t="n">
        <x:f>MAX(0,MIN('Activities'!L529,240)-MAX('Activities'!K529,234))</x:f>
        <x:v>0</x:v>
      </x:c>
      <x:c r="AS529" s="23" t="n">
        <x:f>MAX(0,MIN('Activities'!L529,246)-MAX('Activities'!K529,240))</x:f>
        <x:v>0</x:v>
      </x:c>
      <x:c r="AT529" s="23" t="n">
        <x:f>MAX(0,MIN('Activities'!L529,252)-MAX('Activities'!K529,246))</x:f>
        <x:v>0</x:v>
      </x:c>
      <x:c r="AU529" s="23" t="n">
        <x:f>MAX(0,MIN('Activities'!L529,258)-MAX('Activities'!K529,252))</x:f>
        <x:v>0</x:v>
      </x:c>
      <x:c r="AV529" s="23" t="n">
        <x:f>MAX(0,MIN('Activities'!L529,264)-MAX('Activities'!K529,258))</x:f>
        <x:v>0</x:v>
      </x:c>
      <x:c r="AW529" s="23" t="n">
        <x:f>MAX(0,MIN('Activities'!L529,270)-MAX('Activities'!K529,264))</x:f>
        <x:v>0</x:v>
      </x:c>
      <x:c r="AX529" s="23" t="n">
        <x:f>MAX(0,MIN('Activities'!L529,276)-MAX('Activities'!K529,270))</x:f>
        <x:v>0</x:v>
      </x:c>
      <x:c r="AY529" s="23" t="n">
        <x:f>MAX(0,MIN('Activities'!L529,282)-MAX('Activities'!K529,276))</x:f>
        <x:v>0</x:v>
      </x:c>
      <x:c r="AZ529" s="23" t="n">
        <x:f>MAX(0,MIN('Activities'!L529,288)-MAX('Activities'!K529,282))</x:f>
        <x:v>0</x:v>
      </x:c>
      <x:c r="BA529" s="23" t="n">
        <x:f>MAX(0,MIN('Activities'!L529,294)-MAX('Activities'!K529,288))</x:f>
        <x:v>0</x:v>
      </x:c>
      <x:c r="BB529" s="23" t="n">
        <x:f>MAX(0,MIN('Activities'!L529,300)-MAX('Activities'!K529,294))</x:f>
        <x:v>0</x:v>
      </x:c>
      <x:c r="BC529" s="23" t="n">
        <x:f>MAX(0,MIN('Activities'!L529,306)-MAX('Activities'!K529,300))</x:f>
        <x:v>0</x:v>
      </x:c>
      <x:c r="BD529" s="23" t="n">
        <x:f>MAX(0,MIN('Activities'!L529,312)-MAX('Activities'!K529,306))</x:f>
        <x:v>0</x:v>
      </x:c>
      <x:c r="BE529" s="23" t="n">
        <x:f>MAX(0,MIN('Activities'!L529,318)-MAX('Activities'!K529,312))</x:f>
        <x:v>0</x:v>
      </x:c>
      <x:c r="BF529" s="23" t="n">
        <x:f>MAX(0,MIN('Activities'!L529,324)-MAX('Activities'!K529,318))</x:f>
        <x:v>0</x:v>
      </x:c>
      <x:c r="BG529" s="23" t="n">
        <x:f>MAX(0,MIN('Activities'!L529,330)-MAX('Activities'!K529,324))</x:f>
        <x:v>0</x:v>
      </x:c>
      <x:c r="BH529" s="23" t="n">
        <x:f>MAX(0,MIN('Activities'!L529,336)-MAX('Activities'!K529,330))</x:f>
        <x:v>0</x:v>
      </x:c>
      <x:c r="BI529" s="23" t="n">
        <x:f>MAX(0,MIN('Activities'!L529,342)-MAX('Activities'!K529,336))</x:f>
        <x:v>0</x:v>
      </x:c>
      <x:c r="BJ529" s="23" t="n">
        <x:f>MAX(0,MIN('Activities'!L529,348)-MAX('Activities'!K529,342))</x:f>
        <x:v>0</x:v>
      </x:c>
      <x:c r="BK529" s="23" t="n">
        <x:f>MAX(0,MIN('Activities'!L529,354)-MAX('Activities'!K529,348))</x:f>
        <x:v>0</x:v>
      </x:c>
      <x:c r="BL529" s="23" t="n">
        <x:f>MAX(0,MIN('Activities'!L529,360)-MAX('Activities'!K529,354))</x:f>
        <x:v>0</x:v>
      </x:c>
      <x:c r="BM529" s="23" t="n">
        <x:f>MAX(0,MIN('Activities'!L529,366)-MAX('Activities'!K529,360))</x:f>
        <x:v>0</x:v>
      </x:c>
      <x:c r="BN529" s="23" t="n">
        <x:f>MAX(0,MIN('Activities'!L529,372)-MAX('Activities'!K529,366))</x:f>
        <x:v>0</x:v>
      </x:c>
      <x:c r="BO529" s="23" t="n">
        <x:f>MAX(0,MIN('Activities'!L529,378)-MAX('Activities'!K529,372))</x:f>
        <x:v>0</x:v>
      </x:c>
      <x:c r="BP529" s="23" t="n">
        <x:f>MAX(0,MIN('Activities'!L529,384)-MAX('Activities'!K529,378))</x:f>
        <x:v>0</x:v>
      </x:c>
      <x:c r="BQ529" s="23" t="n">
        <x:f>MAX(0,MIN('Activities'!L529,390)-MAX('Activities'!K529,384))</x:f>
        <x:v>0</x:v>
      </x:c>
      <x:c r="BR529" s="23" t="n">
        <x:f>MAX(0,MIN('Activities'!L529,396)-MAX('Activities'!K529,390))</x:f>
        <x:v>0</x:v>
      </x:c>
      <x:c r="BS529" s="23" t="n">
        <x:f>MAX(0,MIN('Activities'!L529,402)-MAX('Activities'!K529,396))</x:f>
        <x:v>0</x:v>
      </x:c>
      <x:c r="BT529" s="23" t="n">
        <x:f>MAX(0,MIN('Activities'!L529,408)-MAX('Activities'!K529,402))</x:f>
        <x:v>0</x:v>
      </x:c>
      <x:c r="BU529" s="23" t="n">
        <x:f>MAX(0,MIN('Activities'!L529,414)-MAX('Activities'!K529,408))</x:f>
        <x:v>0</x:v>
      </x:c>
      <x:c r="BV529" s="23" t="n">
        <x:f>MAX(0,MIN('Activities'!L529,420)-MAX('Activities'!K529,414))</x:f>
        <x:v>0</x:v>
      </x:c>
      <x:c r="BW529" s="23" t="n">
        <x:f>MAX(0,MIN('Activities'!L529,426)-MAX('Activities'!K529,420))</x:f>
        <x:v>0</x:v>
      </x:c>
      <x:c r="BX529" s="23" t="n">
        <x:f>MAX(0,MIN('Activities'!L529,432)-MAX('Activities'!K529,426))</x:f>
        <x:v>0</x:v>
      </x:c>
      <x:c r="BY529" s="23" t="n">
        <x:f>MAX(0,MIN('Activities'!L529,438)-MAX('Activities'!K529,432))</x:f>
        <x:v>0</x:v>
      </x:c>
      <x:c r="BZ529" s="23" t="n">
        <x:f>MAX(0,MIN('Activities'!L529,444)-MAX('Activities'!K529,438))</x:f>
        <x:v>0</x:v>
      </x:c>
      <x:c r="CA529" s="23" t="n">
        <x:f>MAX(0,MIN('Activities'!L529,450)-MAX('Activities'!K529,444))</x:f>
        <x:v>0</x:v>
      </x:c>
      <x:c r="CB529" s="23" t="n">
        <x:f>MAX(0,MIN('Activities'!L529,456)-MAX('Activities'!K529,450))</x:f>
        <x:v>1</x:v>
      </x:c>
      <x:c r="CC529" s="23" t="n">
        <x:f>MAX(0,MIN('Activities'!L529,462)-MAX('Activities'!K529,456))</x:f>
        <x:v>2</x:v>
      </x:c>
      <x:c r="CD529" s="23" t="n">
        <x:f>MAX(0,MIN('Activities'!L529,468)-MAX('Activities'!K529,462))</x:f>
        <x:v>0</x:v>
      </x:c>
      <x:c r="CE529" s="23" t="n">
        <x:f>MAX(0,MIN('Activities'!L529,474)-MAX('Activities'!K529,468))</x:f>
        <x:v>0</x:v>
      </x:c>
      <x:c r="CF529" s="23" t="n">
        <x:f>MAX(0,MIN('Activities'!L529,480)-MAX('Activities'!K529,474))</x:f>
        <x:v>0</x:v>
      </x:c>
      <x:c r="CG529" s="23" t="n">
        <x:f>MAX(0,MIN('Activities'!L529,486)-MAX('Activities'!K529,480))</x:f>
        <x:v>0</x:v>
      </x:c>
      <x:c r="CH529" s="23" t="n">
        <x:f>MAX(0,MIN('Activities'!L529,492)-MAX('Activities'!K529,486))</x:f>
        <x:v>0</x:v>
      </x:c>
      <x:c r="CI529" s="23" t="n">
        <x:f>MAX(0,MIN('Activities'!L529,498)-MAX('Activities'!K529,492))</x:f>
        <x:v>0</x:v>
      </x:c>
      <x:c r="CJ529" s="23" t="n">
        <x:f>MAX(0,MIN('Activities'!L529,504)-MAX('Activities'!K529,498))</x:f>
        <x:v>0</x:v>
      </x:c>
      <x:c r="CK529" s="23" t="n">
        <x:f>MAX(0,MIN('Activities'!L529,510)-MAX('Activities'!K529,504))</x:f>
        <x:v>0</x:v>
      </x:c>
      <x:c r="CL529" s="23" t="n">
        <x:f>MAX(0,MIN('Activities'!L529,516)-MAX('Activities'!K529,510))</x:f>
        <x:v>0</x:v>
      </x:c>
      <x:c r="CM529" s="23" t="n">
        <x:f>MAX(0,MIN('Activities'!L529,522)-MAX('Activities'!K529,516))</x:f>
        <x:v>0</x:v>
      </x:c>
      <x:c r="CN529" s="23" t="n">
        <x:f>MAX(0,MIN('Activities'!L529,528)-MAX('Activities'!K529,522))</x:f>
        <x:v>0</x:v>
      </x:c>
      <x:c r="CO529" s="23" t="n">
        <x:f>MAX(0,MIN('Activities'!L529,534)-MAX('Activities'!K529,528))</x:f>
        <x:v>0</x:v>
      </x:c>
      <x:c r="CP529" s="23" t="n">
        <x:f>MAX(0,MIN('Activities'!L529,540)-MAX('Activities'!K529,534))</x:f>
        <x:v>0</x:v>
      </x:c>
      <x:c r="CQ529" s="23" t="n">
        <x:f>MAX(0,MIN('Activities'!L529,546)-MAX('Activities'!K529,540))</x:f>
        <x:v>0</x:v>
      </x:c>
      <x:c r="CR529" s="23" t="n">
        <x:f>MAX(0,MIN('Activities'!L529,552)-MAX('Activities'!K529,546))</x:f>
        <x:v>0</x:v>
      </x:c>
      <x:c r="CS529" s="23" t="n">
        <x:f>MAX(0,MIN('Activities'!L529,558)-MAX('Activities'!K529,552))</x:f>
        <x:v>0</x:v>
      </x:c>
      <x:c r="CT529" s="23" t="n">
        <x:f>MAX(0,MIN('Activities'!L529,564)-MAX('Activities'!K529,558))</x:f>
        <x:v>0</x:v>
      </x:c>
      <x:c r="CU529" s="23" t="n">
        <x:f>MAX(0,MIN('Activities'!L529,570)-MAX('Activities'!K529,564))</x:f>
        <x:v>0</x:v>
      </x:c>
      <x:c r="CV529" s="23" t="n">
        <x:f>MAX(0,MIN('Activities'!L529,576)-MAX('Activities'!K529,570))</x:f>
        <x:v>0</x:v>
      </x:c>
      <x:c r="CW529" s="23" t="n">
        <x:f>MAX(0,MIN('Activities'!L529,582)-MAX('Activities'!K529,576))</x:f>
        <x:v>0</x:v>
      </x:c>
      <x:c r="CX529" s="23" t="n">
        <x:f>MAX(0,MIN('Activities'!L529,588)-MAX('Activities'!K529,582))</x:f>
        <x:v>0</x:v>
      </x:c>
      <x:c r="CY529" s="23" t="n">
        <x:f>MAX(0,MIN('Activities'!L529,594)-MAX('Activities'!K529,588))</x:f>
        <x:v>0</x:v>
      </x:c>
      <x:c r="CZ529" s="23" t="n">
        <x:f>MAX(0,MIN('Activities'!L529,600)-MAX('Activities'!K529,594))</x:f>
        <x:v>0</x:v>
      </x:c>
      <x:c r="DA529" s="23" t="n">
        <x:f>MAX(0,MIN('Activities'!L529,606)-MAX('Activities'!K529,600))</x:f>
        <x:v>0</x:v>
      </x:c>
      <x:c r="DB529" s="23" t="n">
        <x:f>MAX(0,MIN('Activities'!L529,612)-MAX('Activities'!K529,606))</x:f>
        <x:v>0</x:v>
      </x:c>
      <x:c r="DC529" s="23" t="n">
        <x:f>MAX(0,MIN('Activities'!L529,618)-MAX('Activities'!K529,612))</x:f>
        <x:v>0</x:v>
      </x:c>
      <x:c r="DD529" s="23" t="n">
        <x:f>MAX(0,MIN('Activities'!L529,624)-MAX('Activities'!K529,618))</x:f>
        <x:v>0</x:v>
      </x:c>
      <x:c r="DE529" s="23" t="n">
        <x:f>MAX(0,MIN('Activities'!L529,630)-MAX('Activities'!K529,624))</x:f>
        <x:v>0</x:v>
      </x:c>
      <x:c r="DF529" s="23" t="n">
        <x:f>MAX(0,MIN('Activities'!L529,636)-MAX('Activities'!K529,630))</x:f>
        <x:v>0</x:v>
      </x:c>
    </x:row>
    <x:row r="530" ht="23" customHeight="1">
      <x:c r="A530" s="6" t="str">
        <x:v>T4-L10-M</x:v>
      </x:c>
      <x:c r="B530" s="6" t="str">
        <x:v>T4</x:v>
      </x:c>
      <x:c r="C530" s="6" t="str">
        <x:v>Partition masonry</x:v>
      </x:c>
      <x:c r="D530" s="6" t="str">
        <x:v>Masonry</x:v>
      </x:c>
      <x:c r="E530" s="22" t="n">
        <x:f>MAX(0,MIN('Activities'!L530,6)-MAX('Activities'!K530,0))</x:f>
        <x:v>0</x:v>
      </x:c>
      <x:c r="F530" s="22" t="n">
        <x:f>MAX(0,MIN('Activities'!L530,12)-MAX('Activities'!K530,6))</x:f>
        <x:v>0</x:v>
      </x:c>
      <x:c r="G530" s="22" t="n">
        <x:f>MAX(0,MIN('Activities'!L530,18)-MAX('Activities'!K530,12))</x:f>
        <x:v>0</x:v>
      </x:c>
      <x:c r="H530" s="22" t="n">
        <x:f>MAX(0,MIN('Activities'!L530,24)-MAX('Activities'!K530,18))</x:f>
        <x:v>0</x:v>
      </x:c>
      <x:c r="I530" s="22" t="n">
        <x:f>MAX(0,MIN('Activities'!L530,30)-MAX('Activities'!K530,24))</x:f>
        <x:v>0</x:v>
      </x:c>
      <x:c r="J530" s="22" t="n">
        <x:f>MAX(0,MIN('Activities'!L530,36)-MAX('Activities'!K530,30))</x:f>
        <x:v>0</x:v>
      </x:c>
      <x:c r="K530" s="22" t="n">
        <x:f>MAX(0,MIN('Activities'!L530,42)-MAX('Activities'!K530,36))</x:f>
        <x:v>0</x:v>
      </x:c>
      <x:c r="L530" s="22" t="n">
        <x:f>MAX(0,MIN('Activities'!L530,48)-MAX('Activities'!K530,42))</x:f>
        <x:v>0</x:v>
      </x:c>
      <x:c r="M530" s="22" t="n">
        <x:f>MAX(0,MIN('Activities'!L530,54)-MAX('Activities'!K530,48))</x:f>
        <x:v>0</x:v>
      </x:c>
      <x:c r="N530" s="22" t="n">
        <x:f>MAX(0,MIN('Activities'!L530,60)-MAX('Activities'!K530,54))</x:f>
        <x:v>0</x:v>
      </x:c>
      <x:c r="O530" s="22" t="n">
        <x:f>MAX(0,MIN('Activities'!L530,66)-MAX('Activities'!K530,60))</x:f>
        <x:v>0</x:v>
      </x:c>
      <x:c r="P530" s="22" t="n">
        <x:f>MAX(0,MIN('Activities'!L530,72)-MAX('Activities'!K530,66))</x:f>
        <x:v>0</x:v>
      </x:c>
      <x:c r="Q530" s="22" t="n">
        <x:f>MAX(0,MIN('Activities'!L530,78)-MAX('Activities'!K530,72))</x:f>
        <x:v>0</x:v>
      </x:c>
      <x:c r="R530" s="22" t="n">
        <x:f>MAX(0,MIN('Activities'!L530,84)-MAX('Activities'!K530,78))</x:f>
        <x:v>0</x:v>
      </x:c>
      <x:c r="S530" s="22" t="n">
        <x:f>MAX(0,MIN('Activities'!L530,90)-MAX('Activities'!K530,84))</x:f>
        <x:v>0</x:v>
      </x:c>
      <x:c r="T530" s="22" t="n">
        <x:f>MAX(0,MIN('Activities'!L530,96)-MAX('Activities'!K530,90))</x:f>
        <x:v>0</x:v>
      </x:c>
      <x:c r="U530" s="22" t="n">
        <x:f>MAX(0,MIN('Activities'!L530,102)-MAX('Activities'!K530,96))</x:f>
        <x:v>0</x:v>
      </x:c>
      <x:c r="V530" s="22" t="n">
        <x:f>MAX(0,MIN('Activities'!L530,108)-MAX('Activities'!K530,102))</x:f>
        <x:v>0</x:v>
      </x:c>
      <x:c r="W530" s="22" t="n">
        <x:f>MAX(0,MIN('Activities'!L530,114)-MAX('Activities'!K530,108))</x:f>
        <x:v>0</x:v>
      </x:c>
      <x:c r="X530" s="22" t="n">
        <x:f>MAX(0,MIN('Activities'!L530,120)-MAX('Activities'!K530,114))</x:f>
        <x:v>0</x:v>
      </x:c>
      <x:c r="Y530" s="22" t="n">
        <x:f>MAX(0,MIN('Activities'!L530,126)-MAX('Activities'!K530,120))</x:f>
        <x:v>0</x:v>
      </x:c>
      <x:c r="Z530" s="22" t="n">
        <x:f>MAX(0,MIN('Activities'!L530,132)-MAX('Activities'!K530,126))</x:f>
        <x:v>0</x:v>
      </x:c>
      <x:c r="AA530" s="22" t="n">
        <x:f>MAX(0,MIN('Activities'!L530,138)-MAX('Activities'!K530,132))</x:f>
        <x:v>0</x:v>
      </x:c>
      <x:c r="AB530" s="22" t="n">
        <x:f>MAX(0,MIN('Activities'!L530,144)-MAX('Activities'!K530,138))</x:f>
        <x:v>0</x:v>
      </x:c>
      <x:c r="AC530" s="22" t="n">
        <x:f>MAX(0,MIN('Activities'!L530,150)-MAX('Activities'!K530,144))</x:f>
        <x:v>0</x:v>
      </x:c>
      <x:c r="AD530" s="22" t="n">
        <x:f>MAX(0,MIN('Activities'!L530,156)-MAX('Activities'!K530,150))</x:f>
        <x:v>0</x:v>
      </x:c>
      <x:c r="AE530" s="22" t="n">
        <x:f>MAX(0,MIN('Activities'!L530,162)-MAX('Activities'!K530,156))</x:f>
        <x:v>0</x:v>
      </x:c>
      <x:c r="AF530" s="22" t="n">
        <x:f>MAX(0,MIN('Activities'!L530,168)-MAX('Activities'!K530,162))</x:f>
        <x:v>0</x:v>
      </x:c>
      <x:c r="AG530" s="22" t="n">
        <x:f>MAX(0,MIN('Activities'!L530,174)-MAX('Activities'!K530,168))</x:f>
        <x:v>0</x:v>
      </x:c>
      <x:c r="AH530" s="22" t="n">
        <x:f>MAX(0,MIN('Activities'!L530,180)-MAX('Activities'!K530,174))</x:f>
        <x:v>0</x:v>
      </x:c>
      <x:c r="AI530" s="22" t="n">
        <x:f>MAX(0,MIN('Activities'!L530,186)-MAX('Activities'!K530,180))</x:f>
        <x:v>0</x:v>
      </x:c>
      <x:c r="AJ530" s="22" t="n">
        <x:f>MAX(0,MIN('Activities'!L530,192)-MAX('Activities'!K530,186))</x:f>
        <x:v>0</x:v>
      </x:c>
      <x:c r="AK530" s="22" t="n">
        <x:f>MAX(0,MIN('Activities'!L530,198)-MAX('Activities'!K530,192))</x:f>
        <x:v>0</x:v>
      </x:c>
      <x:c r="AL530" s="22" t="n">
        <x:f>MAX(0,MIN('Activities'!L530,204)-MAX('Activities'!K530,198))</x:f>
        <x:v>0</x:v>
      </x:c>
      <x:c r="AM530" s="22" t="n">
        <x:f>MAX(0,MIN('Activities'!L530,210)-MAX('Activities'!K530,204))</x:f>
        <x:v>0</x:v>
      </x:c>
      <x:c r="AN530" s="22" t="n">
        <x:f>MAX(0,MIN('Activities'!L530,216)-MAX('Activities'!K530,210))</x:f>
        <x:v>0</x:v>
      </x:c>
      <x:c r="AO530" s="22" t="n">
        <x:f>MAX(0,MIN('Activities'!L530,222)-MAX('Activities'!K530,216))</x:f>
        <x:v>0</x:v>
      </x:c>
      <x:c r="AP530" s="22" t="n">
        <x:f>MAX(0,MIN('Activities'!L530,228)-MAX('Activities'!K530,222))</x:f>
        <x:v>0</x:v>
      </x:c>
      <x:c r="AQ530" s="22" t="n">
        <x:f>MAX(0,MIN('Activities'!L530,234)-MAX('Activities'!K530,228))</x:f>
        <x:v>0</x:v>
      </x:c>
      <x:c r="AR530" s="22" t="n">
        <x:f>MAX(0,MIN('Activities'!L530,240)-MAX('Activities'!K530,234))</x:f>
        <x:v>0</x:v>
      </x:c>
      <x:c r="AS530" s="22" t="n">
        <x:f>MAX(0,MIN('Activities'!L530,246)-MAX('Activities'!K530,240))</x:f>
        <x:v>0</x:v>
      </x:c>
      <x:c r="AT530" s="22" t="n">
        <x:f>MAX(0,MIN('Activities'!L530,252)-MAX('Activities'!K530,246))</x:f>
        <x:v>0</x:v>
      </x:c>
      <x:c r="AU530" s="22" t="n">
        <x:f>MAX(0,MIN('Activities'!L530,258)-MAX('Activities'!K530,252))</x:f>
        <x:v>0</x:v>
      </x:c>
      <x:c r="AV530" s="22" t="n">
        <x:f>MAX(0,MIN('Activities'!L530,264)-MAX('Activities'!K530,258))</x:f>
        <x:v>0</x:v>
      </x:c>
      <x:c r="AW530" s="22" t="n">
        <x:f>MAX(0,MIN('Activities'!L530,270)-MAX('Activities'!K530,264))</x:f>
        <x:v>0</x:v>
      </x:c>
      <x:c r="AX530" s="22" t="n">
        <x:f>MAX(0,MIN('Activities'!L530,276)-MAX('Activities'!K530,270))</x:f>
        <x:v>0</x:v>
      </x:c>
      <x:c r="AY530" s="22" t="n">
        <x:f>MAX(0,MIN('Activities'!L530,282)-MAX('Activities'!K530,276))</x:f>
        <x:v>0</x:v>
      </x:c>
      <x:c r="AZ530" s="22" t="n">
        <x:f>MAX(0,MIN('Activities'!L530,288)-MAX('Activities'!K530,282))</x:f>
        <x:v>0</x:v>
      </x:c>
      <x:c r="BA530" s="22" t="n">
        <x:f>MAX(0,MIN('Activities'!L530,294)-MAX('Activities'!K530,288))</x:f>
        <x:v>0</x:v>
      </x:c>
      <x:c r="BB530" s="22" t="n">
        <x:f>MAX(0,MIN('Activities'!L530,300)-MAX('Activities'!K530,294))</x:f>
        <x:v>0</x:v>
      </x:c>
      <x:c r="BC530" s="22" t="n">
        <x:f>MAX(0,MIN('Activities'!L530,306)-MAX('Activities'!K530,300))</x:f>
        <x:v>0</x:v>
      </x:c>
      <x:c r="BD530" s="22" t="n">
        <x:f>MAX(0,MIN('Activities'!L530,312)-MAX('Activities'!K530,306))</x:f>
        <x:v>0</x:v>
      </x:c>
      <x:c r="BE530" s="22" t="n">
        <x:f>MAX(0,MIN('Activities'!L530,318)-MAX('Activities'!K530,312))</x:f>
        <x:v>0</x:v>
      </x:c>
      <x:c r="BF530" s="22" t="n">
        <x:f>MAX(0,MIN('Activities'!L530,324)-MAX('Activities'!K530,318))</x:f>
        <x:v>0</x:v>
      </x:c>
      <x:c r="BG530" s="22" t="n">
        <x:f>MAX(0,MIN('Activities'!L530,330)-MAX('Activities'!K530,324))</x:f>
        <x:v>0</x:v>
      </x:c>
      <x:c r="BH530" s="22" t="n">
        <x:f>MAX(0,MIN('Activities'!L530,336)-MAX('Activities'!K530,330))</x:f>
        <x:v>0</x:v>
      </x:c>
      <x:c r="BI530" s="22" t="n">
        <x:f>MAX(0,MIN('Activities'!L530,342)-MAX('Activities'!K530,336))</x:f>
        <x:v>0</x:v>
      </x:c>
      <x:c r="BJ530" s="22" t="n">
        <x:f>MAX(0,MIN('Activities'!L530,348)-MAX('Activities'!K530,342))</x:f>
        <x:v>0</x:v>
      </x:c>
      <x:c r="BK530" s="22" t="n">
        <x:f>MAX(0,MIN('Activities'!L530,354)-MAX('Activities'!K530,348))</x:f>
        <x:v>0</x:v>
      </x:c>
      <x:c r="BL530" s="22" t="n">
        <x:f>MAX(0,MIN('Activities'!L530,360)-MAX('Activities'!K530,354))</x:f>
        <x:v>0</x:v>
      </x:c>
      <x:c r="BM530" s="22" t="n">
        <x:f>MAX(0,MIN('Activities'!L530,366)-MAX('Activities'!K530,360))</x:f>
        <x:v>0</x:v>
      </x:c>
      <x:c r="BN530" s="22" t="n">
        <x:f>MAX(0,MIN('Activities'!L530,372)-MAX('Activities'!K530,366))</x:f>
        <x:v>0</x:v>
      </x:c>
      <x:c r="BO530" s="22" t="n">
        <x:f>MAX(0,MIN('Activities'!L530,378)-MAX('Activities'!K530,372))</x:f>
        <x:v>0</x:v>
      </x:c>
      <x:c r="BP530" s="22" t="n">
        <x:f>MAX(0,MIN('Activities'!L530,384)-MAX('Activities'!K530,378))</x:f>
        <x:v>0</x:v>
      </x:c>
      <x:c r="BQ530" s="22" t="n">
        <x:f>MAX(0,MIN('Activities'!L530,390)-MAX('Activities'!K530,384))</x:f>
        <x:v>0</x:v>
      </x:c>
      <x:c r="BR530" s="22" t="n">
        <x:f>MAX(0,MIN('Activities'!L530,396)-MAX('Activities'!K530,390))</x:f>
        <x:v>0</x:v>
      </x:c>
      <x:c r="BS530" s="22" t="n">
        <x:f>MAX(0,MIN('Activities'!L530,402)-MAX('Activities'!K530,396))</x:f>
        <x:v>0</x:v>
      </x:c>
      <x:c r="BT530" s="22" t="n">
        <x:f>MAX(0,MIN('Activities'!L530,408)-MAX('Activities'!K530,402))</x:f>
        <x:v>0</x:v>
      </x:c>
      <x:c r="BU530" s="22" t="n">
        <x:f>MAX(0,MIN('Activities'!L530,414)-MAX('Activities'!K530,408))</x:f>
        <x:v>5</x:v>
      </x:c>
      <x:c r="BV530" s="22" t="n">
        <x:f>MAX(0,MIN('Activities'!L530,420)-MAX('Activities'!K530,414))</x:f>
        <x:v>0</x:v>
      </x:c>
      <x:c r="BW530" s="22" t="n">
        <x:f>MAX(0,MIN('Activities'!L530,426)-MAX('Activities'!K530,420))</x:f>
        <x:v>0</x:v>
      </x:c>
      <x:c r="BX530" s="22" t="n">
        <x:f>MAX(0,MIN('Activities'!L530,432)-MAX('Activities'!K530,426))</x:f>
        <x:v>0</x:v>
      </x:c>
      <x:c r="BY530" s="22" t="n">
        <x:f>MAX(0,MIN('Activities'!L530,438)-MAX('Activities'!K530,432))</x:f>
        <x:v>0</x:v>
      </x:c>
      <x:c r="BZ530" s="22" t="n">
        <x:f>MAX(0,MIN('Activities'!L530,444)-MAX('Activities'!K530,438))</x:f>
        <x:v>0</x:v>
      </x:c>
      <x:c r="CA530" s="22" t="n">
        <x:f>MAX(0,MIN('Activities'!L530,450)-MAX('Activities'!K530,444))</x:f>
        <x:v>0</x:v>
      </x:c>
      <x:c r="CB530" s="22" t="n">
        <x:f>MAX(0,MIN('Activities'!L530,456)-MAX('Activities'!K530,450))</x:f>
        <x:v>0</x:v>
      </x:c>
      <x:c r="CC530" s="22" t="n">
        <x:f>MAX(0,MIN('Activities'!L530,462)-MAX('Activities'!K530,456))</x:f>
        <x:v>0</x:v>
      </x:c>
      <x:c r="CD530" s="22" t="n">
        <x:f>MAX(0,MIN('Activities'!L530,468)-MAX('Activities'!K530,462))</x:f>
        <x:v>0</x:v>
      </x:c>
      <x:c r="CE530" s="22" t="n">
        <x:f>MAX(0,MIN('Activities'!L530,474)-MAX('Activities'!K530,468))</x:f>
        <x:v>0</x:v>
      </x:c>
      <x:c r="CF530" s="22" t="n">
        <x:f>MAX(0,MIN('Activities'!L530,480)-MAX('Activities'!K530,474))</x:f>
        <x:v>0</x:v>
      </x:c>
      <x:c r="CG530" s="22" t="n">
        <x:f>MAX(0,MIN('Activities'!L530,486)-MAX('Activities'!K530,480))</x:f>
        <x:v>0</x:v>
      </x:c>
      <x:c r="CH530" s="22" t="n">
        <x:f>MAX(0,MIN('Activities'!L530,492)-MAX('Activities'!K530,486))</x:f>
        <x:v>0</x:v>
      </x:c>
      <x:c r="CI530" s="22" t="n">
        <x:f>MAX(0,MIN('Activities'!L530,498)-MAX('Activities'!K530,492))</x:f>
        <x:v>0</x:v>
      </x:c>
      <x:c r="CJ530" s="22" t="n">
        <x:f>MAX(0,MIN('Activities'!L530,504)-MAX('Activities'!K530,498))</x:f>
        <x:v>0</x:v>
      </x:c>
      <x:c r="CK530" s="22" t="n">
        <x:f>MAX(0,MIN('Activities'!L530,510)-MAX('Activities'!K530,504))</x:f>
        <x:v>0</x:v>
      </x:c>
      <x:c r="CL530" s="22" t="n">
        <x:f>MAX(0,MIN('Activities'!L530,516)-MAX('Activities'!K530,510))</x:f>
        <x:v>0</x:v>
      </x:c>
      <x:c r="CM530" s="22" t="n">
        <x:f>MAX(0,MIN('Activities'!L530,522)-MAX('Activities'!K530,516))</x:f>
        <x:v>0</x:v>
      </x:c>
      <x:c r="CN530" s="22" t="n">
        <x:f>MAX(0,MIN('Activities'!L530,528)-MAX('Activities'!K530,522))</x:f>
        <x:v>0</x:v>
      </x:c>
      <x:c r="CO530" s="22" t="n">
        <x:f>MAX(0,MIN('Activities'!L530,534)-MAX('Activities'!K530,528))</x:f>
        <x:v>0</x:v>
      </x:c>
      <x:c r="CP530" s="22" t="n">
        <x:f>MAX(0,MIN('Activities'!L530,540)-MAX('Activities'!K530,534))</x:f>
        <x:v>0</x:v>
      </x:c>
      <x:c r="CQ530" s="22" t="n">
        <x:f>MAX(0,MIN('Activities'!L530,546)-MAX('Activities'!K530,540))</x:f>
        <x:v>0</x:v>
      </x:c>
      <x:c r="CR530" s="22" t="n">
        <x:f>MAX(0,MIN('Activities'!L530,552)-MAX('Activities'!K530,546))</x:f>
        <x:v>0</x:v>
      </x:c>
      <x:c r="CS530" s="22" t="n">
        <x:f>MAX(0,MIN('Activities'!L530,558)-MAX('Activities'!K530,552))</x:f>
        <x:v>0</x:v>
      </x:c>
      <x:c r="CT530" s="22" t="n">
        <x:f>MAX(0,MIN('Activities'!L530,564)-MAX('Activities'!K530,558))</x:f>
        <x:v>0</x:v>
      </x:c>
      <x:c r="CU530" s="22" t="n">
        <x:f>MAX(0,MIN('Activities'!L530,570)-MAX('Activities'!K530,564))</x:f>
        <x:v>0</x:v>
      </x:c>
      <x:c r="CV530" s="22" t="n">
        <x:f>MAX(0,MIN('Activities'!L530,576)-MAX('Activities'!K530,570))</x:f>
        <x:v>0</x:v>
      </x:c>
      <x:c r="CW530" s="22" t="n">
        <x:f>MAX(0,MIN('Activities'!L530,582)-MAX('Activities'!K530,576))</x:f>
        <x:v>0</x:v>
      </x:c>
      <x:c r="CX530" s="22" t="n">
        <x:f>MAX(0,MIN('Activities'!L530,588)-MAX('Activities'!K530,582))</x:f>
        <x:v>0</x:v>
      </x:c>
      <x:c r="CY530" s="22" t="n">
        <x:f>MAX(0,MIN('Activities'!L530,594)-MAX('Activities'!K530,588))</x:f>
        <x:v>0</x:v>
      </x:c>
      <x:c r="CZ530" s="22" t="n">
        <x:f>MAX(0,MIN('Activities'!L530,600)-MAX('Activities'!K530,594))</x:f>
        <x:v>0</x:v>
      </x:c>
      <x:c r="DA530" s="22" t="n">
        <x:f>MAX(0,MIN('Activities'!L530,606)-MAX('Activities'!K530,600))</x:f>
        <x:v>0</x:v>
      </x:c>
      <x:c r="DB530" s="22" t="n">
        <x:f>MAX(0,MIN('Activities'!L530,612)-MAX('Activities'!K530,606))</x:f>
        <x:v>0</x:v>
      </x:c>
      <x:c r="DC530" s="22" t="n">
        <x:f>MAX(0,MIN('Activities'!L530,618)-MAX('Activities'!K530,612))</x:f>
        <x:v>0</x:v>
      </x:c>
      <x:c r="DD530" s="22" t="n">
        <x:f>MAX(0,MIN('Activities'!L530,624)-MAX('Activities'!K530,618))</x:f>
        <x:v>0</x:v>
      </x:c>
      <x:c r="DE530" s="22" t="n">
        <x:f>MAX(0,MIN('Activities'!L530,630)-MAX('Activities'!K530,624))</x:f>
        <x:v>0</x:v>
      </x:c>
      <x:c r="DF530" s="22" t="n">
        <x:f>MAX(0,MIN('Activities'!L530,636)-MAX('Activities'!K530,630))</x:f>
        <x:v>0</x:v>
      </x:c>
    </x:row>
    <x:row r="531" ht="23" customHeight="1">
      <x:c r="A531" s="1" t="str">
        <x:v>T4-L10-P</x:v>
      </x:c>
      <x:c r="B531" s="1" t="str">
        <x:v>T4</x:v>
      </x:c>
      <x:c r="C531" s="1" t="str">
        <x:v>Internal plaster</x:v>
      </x:c>
      <x:c r="D531" s="1" t="str">
        <x:v>Finishes</x:v>
      </x:c>
      <x:c r="E531" s="23" t="n">
        <x:f>MAX(0,MIN('Activities'!L531,6)-MAX('Activities'!K531,0))</x:f>
        <x:v>0</x:v>
      </x:c>
      <x:c r="F531" s="23" t="n">
        <x:f>MAX(0,MIN('Activities'!L531,12)-MAX('Activities'!K531,6))</x:f>
        <x:v>0</x:v>
      </x:c>
      <x:c r="G531" s="23" t="n">
        <x:f>MAX(0,MIN('Activities'!L531,18)-MAX('Activities'!K531,12))</x:f>
        <x:v>0</x:v>
      </x:c>
      <x:c r="H531" s="23" t="n">
        <x:f>MAX(0,MIN('Activities'!L531,24)-MAX('Activities'!K531,18))</x:f>
        <x:v>0</x:v>
      </x:c>
      <x:c r="I531" s="23" t="n">
        <x:f>MAX(0,MIN('Activities'!L531,30)-MAX('Activities'!K531,24))</x:f>
        <x:v>0</x:v>
      </x:c>
      <x:c r="J531" s="23" t="n">
        <x:f>MAX(0,MIN('Activities'!L531,36)-MAX('Activities'!K531,30))</x:f>
        <x:v>0</x:v>
      </x:c>
      <x:c r="K531" s="23" t="n">
        <x:f>MAX(0,MIN('Activities'!L531,42)-MAX('Activities'!K531,36))</x:f>
        <x:v>0</x:v>
      </x:c>
      <x:c r="L531" s="23" t="n">
        <x:f>MAX(0,MIN('Activities'!L531,48)-MAX('Activities'!K531,42))</x:f>
        <x:v>0</x:v>
      </x:c>
      <x:c r="M531" s="23" t="n">
        <x:f>MAX(0,MIN('Activities'!L531,54)-MAX('Activities'!K531,48))</x:f>
        <x:v>0</x:v>
      </x:c>
      <x:c r="N531" s="23" t="n">
        <x:f>MAX(0,MIN('Activities'!L531,60)-MAX('Activities'!K531,54))</x:f>
        <x:v>0</x:v>
      </x:c>
      <x:c r="O531" s="23" t="n">
        <x:f>MAX(0,MIN('Activities'!L531,66)-MAX('Activities'!K531,60))</x:f>
        <x:v>0</x:v>
      </x:c>
      <x:c r="P531" s="23" t="n">
        <x:f>MAX(0,MIN('Activities'!L531,72)-MAX('Activities'!K531,66))</x:f>
        <x:v>0</x:v>
      </x:c>
      <x:c r="Q531" s="23" t="n">
        <x:f>MAX(0,MIN('Activities'!L531,78)-MAX('Activities'!K531,72))</x:f>
        <x:v>0</x:v>
      </x:c>
      <x:c r="R531" s="23" t="n">
        <x:f>MAX(0,MIN('Activities'!L531,84)-MAX('Activities'!K531,78))</x:f>
        <x:v>0</x:v>
      </x:c>
      <x:c r="S531" s="23" t="n">
        <x:f>MAX(0,MIN('Activities'!L531,90)-MAX('Activities'!K531,84))</x:f>
        <x:v>0</x:v>
      </x:c>
      <x:c r="T531" s="23" t="n">
        <x:f>MAX(0,MIN('Activities'!L531,96)-MAX('Activities'!K531,90))</x:f>
        <x:v>0</x:v>
      </x:c>
      <x:c r="U531" s="23" t="n">
        <x:f>MAX(0,MIN('Activities'!L531,102)-MAX('Activities'!K531,96))</x:f>
        <x:v>0</x:v>
      </x:c>
      <x:c r="V531" s="23" t="n">
        <x:f>MAX(0,MIN('Activities'!L531,108)-MAX('Activities'!K531,102))</x:f>
        <x:v>0</x:v>
      </x:c>
      <x:c r="W531" s="23" t="n">
        <x:f>MAX(0,MIN('Activities'!L531,114)-MAX('Activities'!K531,108))</x:f>
        <x:v>0</x:v>
      </x:c>
      <x:c r="X531" s="23" t="n">
        <x:f>MAX(0,MIN('Activities'!L531,120)-MAX('Activities'!K531,114))</x:f>
        <x:v>0</x:v>
      </x:c>
      <x:c r="Y531" s="23" t="n">
        <x:f>MAX(0,MIN('Activities'!L531,126)-MAX('Activities'!K531,120))</x:f>
        <x:v>0</x:v>
      </x:c>
      <x:c r="Z531" s="23" t="n">
        <x:f>MAX(0,MIN('Activities'!L531,132)-MAX('Activities'!K531,126))</x:f>
        <x:v>0</x:v>
      </x:c>
      <x:c r="AA531" s="23" t="n">
        <x:f>MAX(0,MIN('Activities'!L531,138)-MAX('Activities'!K531,132))</x:f>
        <x:v>0</x:v>
      </x:c>
      <x:c r="AB531" s="23" t="n">
        <x:f>MAX(0,MIN('Activities'!L531,144)-MAX('Activities'!K531,138))</x:f>
        <x:v>0</x:v>
      </x:c>
      <x:c r="AC531" s="23" t="n">
        <x:f>MAX(0,MIN('Activities'!L531,150)-MAX('Activities'!K531,144))</x:f>
        <x:v>0</x:v>
      </x:c>
      <x:c r="AD531" s="23" t="n">
        <x:f>MAX(0,MIN('Activities'!L531,156)-MAX('Activities'!K531,150))</x:f>
        <x:v>0</x:v>
      </x:c>
      <x:c r="AE531" s="23" t="n">
        <x:f>MAX(0,MIN('Activities'!L531,162)-MAX('Activities'!K531,156))</x:f>
        <x:v>0</x:v>
      </x:c>
      <x:c r="AF531" s="23" t="n">
        <x:f>MAX(0,MIN('Activities'!L531,168)-MAX('Activities'!K531,162))</x:f>
        <x:v>0</x:v>
      </x:c>
      <x:c r="AG531" s="23" t="n">
        <x:f>MAX(0,MIN('Activities'!L531,174)-MAX('Activities'!K531,168))</x:f>
        <x:v>0</x:v>
      </x:c>
      <x:c r="AH531" s="23" t="n">
        <x:f>MAX(0,MIN('Activities'!L531,180)-MAX('Activities'!K531,174))</x:f>
        <x:v>0</x:v>
      </x:c>
      <x:c r="AI531" s="23" t="n">
        <x:f>MAX(0,MIN('Activities'!L531,186)-MAX('Activities'!K531,180))</x:f>
        <x:v>0</x:v>
      </x:c>
      <x:c r="AJ531" s="23" t="n">
        <x:f>MAX(0,MIN('Activities'!L531,192)-MAX('Activities'!K531,186))</x:f>
        <x:v>0</x:v>
      </x:c>
      <x:c r="AK531" s="23" t="n">
        <x:f>MAX(0,MIN('Activities'!L531,198)-MAX('Activities'!K531,192))</x:f>
        <x:v>0</x:v>
      </x:c>
      <x:c r="AL531" s="23" t="n">
        <x:f>MAX(0,MIN('Activities'!L531,204)-MAX('Activities'!K531,198))</x:f>
        <x:v>0</x:v>
      </x:c>
      <x:c r="AM531" s="23" t="n">
        <x:f>MAX(0,MIN('Activities'!L531,210)-MAX('Activities'!K531,204))</x:f>
        <x:v>0</x:v>
      </x:c>
      <x:c r="AN531" s="23" t="n">
        <x:f>MAX(0,MIN('Activities'!L531,216)-MAX('Activities'!K531,210))</x:f>
        <x:v>0</x:v>
      </x:c>
      <x:c r="AO531" s="23" t="n">
        <x:f>MAX(0,MIN('Activities'!L531,222)-MAX('Activities'!K531,216))</x:f>
        <x:v>0</x:v>
      </x:c>
      <x:c r="AP531" s="23" t="n">
        <x:f>MAX(0,MIN('Activities'!L531,228)-MAX('Activities'!K531,222))</x:f>
        <x:v>0</x:v>
      </x:c>
      <x:c r="AQ531" s="23" t="n">
        <x:f>MAX(0,MIN('Activities'!L531,234)-MAX('Activities'!K531,228))</x:f>
        <x:v>0</x:v>
      </x:c>
      <x:c r="AR531" s="23" t="n">
        <x:f>MAX(0,MIN('Activities'!L531,240)-MAX('Activities'!K531,234))</x:f>
        <x:v>0</x:v>
      </x:c>
      <x:c r="AS531" s="23" t="n">
        <x:f>MAX(0,MIN('Activities'!L531,246)-MAX('Activities'!K531,240))</x:f>
        <x:v>0</x:v>
      </x:c>
      <x:c r="AT531" s="23" t="n">
        <x:f>MAX(0,MIN('Activities'!L531,252)-MAX('Activities'!K531,246))</x:f>
        <x:v>0</x:v>
      </x:c>
      <x:c r="AU531" s="23" t="n">
        <x:f>MAX(0,MIN('Activities'!L531,258)-MAX('Activities'!K531,252))</x:f>
        <x:v>0</x:v>
      </x:c>
      <x:c r="AV531" s="23" t="n">
        <x:f>MAX(0,MIN('Activities'!L531,264)-MAX('Activities'!K531,258))</x:f>
        <x:v>0</x:v>
      </x:c>
      <x:c r="AW531" s="23" t="n">
        <x:f>MAX(0,MIN('Activities'!L531,270)-MAX('Activities'!K531,264))</x:f>
        <x:v>0</x:v>
      </x:c>
      <x:c r="AX531" s="23" t="n">
        <x:f>MAX(0,MIN('Activities'!L531,276)-MAX('Activities'!K531,270))</x:f>
        <x:v>0</x:v>
      </x:c>
      <x:c r="AY531" s="23" t="n">
        <x:f>MAX(0,MIN('Activities'!L531,282)-MAX('Activities'!K531,276))</x:f>
        <x:v>0</x:v>
      </x:c>
      <x:c r="AZ531" s="23" t="n">
        <x:f>MAX(0,MIN('Activities'!L531,288)-MAX('Activities'!K531,282))</x:f>
        <x:v>0</x:v>
      </x:c>
      <x:c r="BA531" s="23" t="n">
        <x:f>MAX(0,MIN('Activities'!L531,294)-MAX('Activities'!K531,288))</x:f>
        <x:v>0</x:v>
      </x:c>
      <x:c r="BB531" s="23" t="n">
        <x:f>MAX(0,MIN('Activities'!L531,300)-MAX('Activities'!K531,294))</x:f>
        <x:v>0</x:v>
      </x:c>
      <x:c r="BC531" s="23" t="n">
        <x:f>MAX(0,MIN('Activities'!L531,306)-MAX('Activities'!K531,300))</x:f>
        <x:v>0</x:v>
      </x:c>
      <x:c r="BD531" s="23" t="n">
        <x:f>MAX(0,MIN('Activities'!L531,312)-MAX('Activities'!K531,306))</x:f>
        <x:v>0</x:v>
      </x:c>
      <x:c r="BE531" s="23" t="n">
        <x:f>MAX(0,MIN('Activities'!L531,318)-MAX('Activities'!K531,312))</x:f>
        <x:v>0</x:v>
      </x:c>
      <x:c r="BF531" s="23" t="n">
        <x:f>MAX(0,MIN('Activities'!L531,324)-MAX('Activities'!K531,318))</x:f>
        <x:v>0</x:v>
      </x:c>
      <x:c r="BG531" s="23" t="n">
        <x:f>MAX(0,MIN('Activities'!L531,330)-MAX('Activities'!K531,324))</x:f>
        <x:v>0</x:v>
      </x:c>
      <x:c r="BH531" s="23" t="n">
        <x:f>MAX(0,MIN('Activities'!L531,336)-MAX('Activities'!K531,330))</x:f>
        <x:v>0</x:v>
      </x:c>
      <x:c r="BI531" s="23" t="n">
        <x:f>MAX(0,MIN('Activities'!L531,342)-MAX('Activities'!K531,336))</x:f>
        <x:v>0</x:v>
      </x:c>
      <x:c r="BJ531" s="23" t="n">
        <x:f>MAX(0,MIN('Activities'!L531,348)-MAX('Activities'!K531,342))</x:f>
        <x:v>0</x:v>
      </x:c>
      <x:c r="BK531" s="23" t="n">
        <x:f>MAX(0,MIN('Activities'!L531,354)-MAX('Activities'!K531,348))</x:f>
        <x:v>0</x:v>
      </x:c>
      <x:c r="BL531" s="23" t="n">
        <x:f>MAX(0,MIN('Activities'!L531,360)-MAX('Activities'!K531,354))</x:f>
        <x:v>0</x:v>
      </x:c>
      <x:c r="BM531" s="23" t="n">
        <x:f>MAX(0,MIN('Activities'!L531,366)-MAX('Activities'!K531,360))</x:f>
        <x:v>0</x:v>
      </x:c>
      <x:c r="BN531" s="23" t="n">
        <x:f>MAX(0,MIN('Activities'!L531,372)-MAX('Activities'!K531,366))</x:f>
        <x:v>0</x:v>
      </x:c>
      <x:c r="BO531" s="23" t="n">
        <x:f>MAX(0,MIN('Activities'!L531,378)-MAX('Activities'!K531,372))</x:f>
        <x:v>0</x:v>
      </x:c>
      <x:c r="BP531" s="23" t="n">
        <x:f>MAX(0,MIN('Activities'!L531,384)-MAX('Activities'!K531,378))</x:f>
        <x:v>0</x:v>
      </x:c>
      <x:c r="BQ531" s="23" t="n">
        <x:f>MAX(0,MIN('Activities'!L531,390)-MAX('Activities'!K531,384))</x:f>
        <x:v>0</x:v>
      </x:c>
      <x:c r="BR531" s="23" t="n">
        <x:f>MAX(0,MIN('Activities'!L531,396)-MAX('Activities'!K531,390))</x:f>
        <x:v>0</x:v>
      </x:c>
      <x:c r="BS531" s="23" t="n">
        <x:f>MAX(0,MIN('Activities'!L531,402)-MAX('Activities'!K531,396))</x:f>
        <x:v>0</x:v>
      </x:c>
      <x:c r="BT531" s="23" t="n">
        <x:f>MAX(0,MIN('Activities'!L531,408)-MAX('Activities'!K531,402))</x:f>
        <x:v>0</x:v>
      </x:c>
      <x:c r="BU531" s="23" t="n">
        <x:f>MAX(0,MIN('Activities'!L531,414)-MAX('Activities'!K531,408))</x:f>
        <x:v>0</x:v>
      </x:c>
      <x:c r="BV531" s="23" t="n">
        <x:f>MAX(0,MIN('Activities'!L531,420)-MAX('Activities'!K531,414))</x:f>
        <x:v>3</x:v>
      </x:c>
      <x:c r="BW531" s="23" t="n">
        <x:f>MAX(0,MIN('Activities'!L531,426)-MAX('Activities'!K531,420))</x:f>
        <x:v>3</x:v>
      </x:c>
      <x:c r="BX531" s="23" t="n">
        <x:f>MAX(0,MIN('Activities'!L531,432)-MAX('Activities'!K531,426))</x:f>
        <x:v>0</x:v>
      </x:c>
      <x:c r="BY531" s="23" t="n">
        <x:f>MAX(0,MIN('Activities'!L531,438)-MAX('Activities'!K531,432))</x:f>
        <x:v>0</x:v>
      </x:c>
      <x:c r="BZ531" s="23" t="n">
        <x:f>MAX(0,MIN('Activities'!L531,444)-MAX('Activities'!K531,438))</x:f>
        <x:v>0</x:v>
      </x:c>
      <x:c r="CA531" s="23" t="n">
        <x:f>MAX(0,MIN('Activities'!L531,450)-MAX('Activities'!K531,444))</x:f>
        <x:v>0</x:v>
      </x:c>
      <x:c r="CB531" s="23" t="n">
        <x:f>MAX(0,MIN('Activities'!L531,456)-MAX('Activities'!K531,450))</x:f>
        <x:v>0</x:v>
      </x:c>
      <x:c r="CC531" s="23" t="n">
        <x:f>MAX(0,MIN('Activities'!L531,462)-MAX('Activities'!K531,456))</x:f>
        <x:v>0</x:v>
      </x:c>
      <x:c r="CD531" s="23" t="n">
        <x:f>MAX(0,MIN('Activities'!L531,468)-MAX('Activities'!K531,462))</x:f>
        <x:v>0</x:v>
      </x:c>
      <x:c r="CE531" s="23" t="n">
        <x:f>MAX(0,MIN('Activities'!L531,474)-MAX('Activities'!K531,468))</x:f>
        <x:v>0</x:v>
      </x:c>
      <x:c r="CF531" s="23" t="n">
        <x:f>MAX(0,MIN('Activities'!L531,480)-MAX('Activities'!K531,474))</x:f>
        <x:v>0</x:v>
      </x:c>
      <x:c r="CG531" s="23" t="n">
        <x:f>MAX(0,MIN('Activities'!L531,486)-MAX('Activities'!K531,480))</x:f>
        <x:v>0</x:v>
      </x:c>
      <x:c r="CH531" s="23" t="n">
        <x:f>MAX(0,MIN('Activities'!L531,492)-MAX('Activities'!K531,486))</x:f>
        <x:v>0</x:v>
      </x:c>
      <x:c r="CI531" s="23" t="n">
        <x:f>MAX(0,MIN('Activities'!L531,498)-MAX('Activities'!K531,492))</x:f>
        <x:v>0</x:v>
      </x:c>
      <x:c r="CJ531" s="23" t="n">
        <x:f>MAX(0,MIN('Activities'!L531,504)-MAX('Activities'!K531,498))</x:f>
        <x:v>0</x:v>
      </x:c>
      <x:c r="CK531" s="23" t="n">
        <x:f>MAX(0,MIN('Activities'!L531,510)-MAX('Activities'!K531,504))</x:f>
        <x:v>0</x:v>
      </x:c>
      <x:c r="CL531" s="23" t="n">
        <x:f>MAX(0,MIN('Activities'!L531,516)-MAX('Activities'!K531,510))</x:f>
        <x:v>0</x:v>
      </x:c>
      <x:c r="CM531" s="23" t="n">
        <x:f>MAX(0,MIN('Activities'!L531,522)-MAX('Activities'!K531,516))</x:f>
        <x:v>0</x:v>
      </x:c>
      <x:c r="CN531" s="23" t="n">
        <x:f>MAX(0,MIN('Activities'!L531,528)-MAX('Activities'!K531,522))</x:f>
        <x:v>0</x:v>
      </x:c>
      <x:c r="CO531" s="23" t="n">
        <x:f>MAX(0,MIN('Activities'!L531,534)-MAX('Activities'!K531,528))</x:f>
        <x:v>0</x:v>
      </x:c>
      <x:c r="CP531" s="23" t="n">
        <x:f>MAX(0,MIN('Activities'!L531,540)-MAX('Activities'!K531,534))</x:f>
        <x:v>0</x:v>
      </x:c>
      <x:c r="CQ531" s="23" t="n">
        <x:f>MAX(0,MIN('Activities'!L531,546)-MAX('Activities'!K531,540))</x:f>
        <x:v>0</x:v>
      </x:c>
      <x:c r="CR531" s="23" t="n">
        <x:f>MAX(0,MIN('Activities'!L531,552)-MAX('Activities'!K531,546))</x:f>
        <x:v>0</x:v>
      </x:c>
      <x:c r="CS531" s="23" t="n">
        <x:f>MAX(0,MIN('Activities'!L531,558)-MAX('Activities'!K531,552))</x:f>
        <x:v>0</x:v>
      </x:c>
      <x:c r="CT531" s="23" t="n">
        <x:f>MAX(0,MIN('Activities'!L531,564)-MAX('Activities'!K531,558))</x:f>
        <x:v>0</x:v>
      </x:c>
      <x:c r="CU531" s="23" t="n">
        <x:f>MAX(0,MIN('Activities'!L531,570)-MAX('Activities'!K531,564))</x:f>
        <x:v>0</x:v>
      </x:c>
      <x:c r="CV531" s="23" t="n">
        <x:f>MAX(0,MIN('Activities'!L531,576)-MAX('Activities'!K531,570))</x:f>
        <x:v>0</x:v>
      </x:c>
      <x:c r="CW531" s="23" t="n">
        <x:f>MAX(0,MIN('Activities'!L531,582)-MAX('Activities'!K531,576))</x:f>
        <x:v>0</x:v>
      </x:c>
      <x:c r="CX531" s="23" t="n">
        <x:f>MAX(0,MIN('Activities'!L531,588)-MAX('Activities'!K531,582))</x:f>
        <x:v>0</x:v>
      </x:c>
      <x:c r="CY531" s="23" t="n">
        <x:f>MAX(0,MIN('Activities'!L531,594)-MAX('Activities'!K531,588))</x:f>
        <x:v>0</x:v>
      </x:c>
      <x:c r="CZ531" s="23" t="n">
        <x:f>MAX(0,MIN('Activities'!L531,600)-MAX('Activities'!K531,594))</x:f>
        <x:v>0</x:v>
      </x:c>
      <x:c r="DA531" s="23" t="n">
        <x:f>MAX(0,MIN('Activities'!L531,606)-MAX('Activities'!K531,600))</x:f>
        <x:v>0</x:v>
      </x:c>
      <x:c r="DB531" s="23" t="n">
        <x:f>MAX(0,MIN('Activities'!L531,612)-MAX('Activities'!K531,606))</x:f>
        <x:v>0</x:v>
      </x:c>
      <x:c r="DC531" s="23" t="n">
        <x:f>MAX(0,MIN('Activities'!L531,618)-MAX('Activities'!K531,612))</x:f>
        <x:v>0</x:v>
      </x:c>
      <x:c r="DD531" s="23" t="n">
        <x:f>MAX(0,MIN('Activities'!L531,624)-MAX('Activities'!K531,618))</x:f>
        <x:v>0</x:v>
      </x:c>
      <x:c r="DE531" s="23" t="n">
        <x:f>MAX(0,MIN('Activities'!L531,630)-MAX('Activities'!K531,624))</x:f>
        <x:v>0</x:v>
      </x:c>
      <x:c r="DF531" s="23" t="n">
        <x:f>MAX(0,MIN('Activities'!L531,636)-MAX('Activities'!K531,630))</x:f>
        <x:v>0</x:v>
      </x:c>
    </x:row>
    <x:row r="532" ht="23" customHeight="1">
      <x:c r="A532" s="6" t="str">
        <x:v>T4-L10-S</x:v>
      </x:c>
      <x:c r="B532" s="6" t="str">
        <x:v>T4</x:v>
      </x:c>
      <x:c r="C532" s="6" t="str">
        <x:v>Screed and substrate preparation</x:v>
      </x:c>
      <x:c r="D532" s="6" t="str">
        <x:v>Finishes</x:v>
      </x:c>
      <x:c r="E532" s="22" t="n">
        <x:f>MAX(0,MIN('Activities'!L532,6)-MAX('Activities'!K532,0))</x:f>
        <x:v>0</x:v>
      </x:c>
      <x:c r="F532" s="22" t="n">
        <x:f>MAX(0,MIN('Activities'!L532,12)-MAX('Activities'!K532,6))</x:f>
        <x:v>0</x:v>
      </x:c>
      <x:c r="G532" s="22" t="n">
        <x:f>MAX(0,MIN('Activities'!L532,18)-MAX('Activities'!K532,12))</x:f>
        <x:v>0</x:v>
      </x:c>
      <x:c r="H532" s="22" t="n">
        <x:f>MAX(0,MIN('Activities'!L532,24)-MAX('Activities'!K532,18))</x:f>
        <x:v>0</x:v>
      </x:c>
      <x:c r="I532" s="22" t="n">
        <x:f>MAX(0,MIN('Activities'!L532,30)-MAX('Activities'!K532,24))</x:f>
        <x:v>0</x:v>
      </x:c>
      <x:c r="J532" s="22" t="n">
        <x:f>MAX(0,MIN('Activities'!L532,36)-MAX('Activities'!K532,30))</x:f>
        <x:v>0</x:v>
      </x:c>
      <x:c r="K532" s="22" t="n">
        <x:f>MAX(0,MIN('Activities'!L532,42)-MAX('Activities'!K532,36))</x:f>
        <x:v>0</x:v>
      </x:c>
      <x:c r="L532" s="22" t="n">
        <x:f>MAX(0,MIN('Activities'!L532,48)-MAX('Activities'!K532,42))</x:f>
        <x:v>0</x:v>
      </x:c>
      <x:c r="M532" s="22" t="n">
        <x:f>MAX(0,MIN('Activities'!L532,54)-MAX('Activities'!K532,48))</x:f>
        <x:v>0</x:v>
      </x:c>
      <x:c r="N532" s="22" t="n">
        <x:f>MAX(0,MIN('Activities'!L532,60)-MAX('Activities'!K532,54))</x:f>
        <x:v>0</x:v>
      </x:c>
      <x:c r="O532" s="22" t="n">
        <x:f>MAX(0,MIN('Activities'!L532,66)-MAX('Activities'!K532,60))</x:f>
        <x:v>0</x:v>
      </x:c>
      <x:c r="P532" s="22" t="n">
        <x:f>MAX(0,MIN('Activities'!L532,72)-MAX('Activities'!K532,66))</x:f>
        <x:v>0</x:v>
      </x:c>
      <x:c r="Q532" s="22" t="n">
        <x:f>MAX(0,MIN('Activities'!L532,78)-MAX('Activities'!K532,72))</x:f>
        <x:v>0</x:v>
      </x:c>
      <x:c r="R532" s="22" t="n">
        <x:f>MAX(0,MIN('Activities'!L532,84)-MAX('Activities'!K532,78))</x:f>
        <x:v>0</x:v>
      </x:c>
      <x:c r="S532" s="22" t="n">
        <x:f>MAX(0,MIN('Activities'!L532,90)-MAX('Activities'!K532,84))</x:f>
        <x:v>0</x:v>
      </x:c>
      <x:c r="T532" s="22" t="n">
        <x:f>MAX(0,MIN('Activities'!L532,96)-MAX('Activities'!K532,90))</x:f>
        <x:v>0</x:v>
      </x:c>
      <x:c r="U532" s="22" t="n">
        <x:f>MAX(0,MIN('Activities'!L532,102)-MAX('Activities'!K532,96))</x:f>
        <x:v>0</x:v>
      </x:c>
      <x:c r="V532" s="22" t="n">
        <x:f>MAX(0,MIN('Activities'!L532,108)-MAX('Activities'!K532,102))</x:f>
        <x:v>0</x:v>
      </x:c>
      <x:c r="W532" s="22" t="n">
        <x:f>MAX(0,MIN('Activities'!L532,114)-MAX('Activities'!K532,108))</x:f>
        <x:v>0</x:v>
      </x:c>
      <x:c r="X532" s="22" t="n">
        <x:f>MAX(0,MIN('Activities'!L532,120)-MAX('Activities'!K532,114))</x:f>
        <x:v>0</x:v>
      </x:c>
      <x:c r="Y532" s="22" t="n">
        <x:f>MAX(0,MIN('Activities'!L532,126)-MAX('Activities'!K532,120))</x:f>
        <x:v>0</x:v>
      </x:c>
      <x:c r="Z532" s="22" t="n">
        <x:f>MAX(0,MIN('Activities'!L532,132)-MAX('Activities'!K532,126))</x:f>
        <x:v>0</x:v>
      </x:c>
      <x:c r="AA532" s="22" t="n">
        <x:f>MAX(0,MIN('Activities'!L532,138)-MAX('Activities'!K532,132))</x:f>
        <x:v>0</x:v>
      </x:c>
      <x:c r="AB532" s="22" t="n">
        <x:f>MAX(0,MIN('Activities'!L532,144)-MAX('Activities'!K532,138))</x:f>
        <x:v>0</x:v>
      </x:c>
      <x:c r="AC532" s="22" t="n">
        <x:f>MAX(0,MIN('Activities'!L532,150)-MAX('Activities'!K532,144))</x:f>
        <x:v>0</x:v>
      </x:c>
      <x:c r="AD532" s="22" t="n">
        <x:f>MAX(0,MIN('Activities'!L532,156)-MAX('Activities'!K532,150))</x:f>
        <x:v>0</x:v>
      </x:c>
      <x:c r="AE532" s="22" t="n">
        <x:f>MAX(0,MIN('Activities'!L532,162)-MAX('Activities'!K532,156))</x:f>
        <x:v>0</x:v>
      </x:c>
      <x:c r="AF532" s="22" t="n">
        <x:f>MAX(0,MIN('Activities'!L532,168)-MAX('Activities'!K532,162))</x:f>
        <x:v>0</x:v>
      </x:c>
      <x:c r="AG532" s="22" t="n">
        <x:f>MAX(0,MIN('Activities'!L532,174)-MAX('Activities'!K532,168))</x:f>
        <x:v>0</x:v>
      </x:c>
      <x:c r="AH532" s="22" t="n">
        <x:f>MAX(0,MIN('Activities'!L532,180)-MAX('Activities'!K532,174))</x:f>
        <x:v>0</x:v>
      </x:c>
      <x:c r="AI532" s="22" t="n">
        <x:f>MAX(0,MIN('Activities'!L532,186)-MAX('Activities'!K532,180))</x:f>
        <x:v>0</x:v>
      </x:c>
      <x:c r="AJ532" s="22" t="n">
        <x:f>MAX(0,MIN('Activities'!L532,192)-MAX('Activities'!K532,186))</x:f>
        <x:v>0</x:v>
      </x:c>
      <x:c r="AK532" s="22" t="n">
        <x:f>MAX(0,MIN('Activities'!L532,198)-MAX('Activities'!K532,192))</x:f>
        <x:v>0</x:v>
      </x:c>
      <x:c r="AL532" s="22" t="n">
        <x:f>MAX(0,MIN('Activities'!L532,204)-MAX('Activities'!K532,198))</x:f>
        <x:v>0</x:v>
      </x:c>
      <x:c r="AM532" s="22" t="n">
        <x:f>MAX(0,MIN('Activities'!L532,210)-MAX('Activities'!K532,204))</x:f>
        <x:v>0</x:v>
      </x:c>
      <x:c r="AN532" s="22" t="n">
        <x:f>MAX(0,MIN('Activities'!L532,216)-MAX('Activities'!K532,210))</x:f>
        <x:v>0</x:v>
      </x:c>
      <x:c r="AO532" s="22" t="n">
        <x:f>MAX(0,MIN('Activities'!L532,222)-MAX('Activities'!K532,216))</x:f>
        <x:v>0</x:v>
      </x:c>
      <x:c r="AP532" s="22" t="n">
        <x:f>MAX(0,MIN('Activities'!L532,228)-MAX('Activities'!K532,222))</x:f>
        <x:v>0</x:v>
      </x:c>
      <x:c r="AQ532" s="22" t="n">
        <x:f>MAX(0,MIN('Activities'!L532,234)-MAX('Activities'!K532,228))</x:f>
        <x:v>0</x:v>
      </x:c>
      <x:c r="AR532" s="22" t="n">
        <x:f>MAX(0,MIN('Activities'!L532,240)-MAX('Activities'!K532,234))</x:f>
        <x:v>0</x:v>
      </x:c>
      <x:c r="AS532" s="22" t="n">
        <x:f>MAX(0,MIN('Activities'!L532,246)-MAX('Activities'!K532,240))</x:f>
        <x:v>0</x:v>
      </x:c>
      <x:c r="AT532" s="22" t="n">
        <x:f>MAX(0,MIN('Activities'!L532,252)-MAX('Activities'!K532,246))</x:f>
        <x:v>0</x:v>
      </x:c>
      <x:c r="AU532" s="22" t="n">
        <x:f>MAX(0,MIN('Activities'!L532,258)-MAX('Activities'!K532,252))</x:f>
        <x:v>0</x:v>
      </x:c>
      <x:c r="AV532" s="22" t="n">
        <x:f>MAX(0,MIN('Activities'!L532,264)-MAX('Activities'!K532,258))</x:f>
        <x:v>0</x:v>
      </x:c>
      <x:c r="AW532" s="22" t="n">
        <x:f>MAX(0,MIN('Activities'!L532,270)-MAX('Activities'!K532,264))</x:f>
        <x:v>0</x:v>
      </x:c>
      <x:c r="AX532" s="22" t="n">
        <x:f>MAX(0,MIN('Activities'!L532,276)-MAX('Activities'!K532,270))</x:f>
        <x:v>0</x:v>
      </x:c>
      <x:c r="AY532" s="22" t="n">
        <x:f>MAX(0,MIN('Activities'!L532,282)-MAX('Activities'!K532,276))</x:f>
        <x:v>0</x:v>
      </x:c>
      <x:c r="AZ532" s="22" t="n">
        <x:f>MAX(0,MIN('Activities'!L532,288)-MAX('Activities'!K532,282))</x:f>
        <x:v>0</x:v>
      </x:c>
      <x:c r="BA532" s="22" t="n">
        <x:f>MAX(0,MIN('Activities'!L532,294)-MAX('Activities'!K532,288))</x:f>
        <x:v>0</x:v>
      </x:c>
      <x:c r="BB532" s="22" t="n">
        <x:f>MAX(0,MIN('Activities'!L532,300)-MAX('Activities'!K532,294))</x:f>
        <x:v>0</x:v>
      </x:c>
      <x:c r="BC532" s="22" t="n">
        <x:f>MAX(0,MIN('Activities'!L532,306)-MAX('Activities'!K532,300))</x:f>
        <x:v>0</x:v>
      </x:c>
      <x:c r="BD532" s="22" t="n">
        <x:f>MAX(0,MIN('Activities'!L532,312)-MAX('Activities'!K532,306))</x:f>
        <x:v>0</x:v>
      </x:c>
      <x:c r="BE532" s="22" t="n">
        <x:f>MAX(0,MIN('Activities'!L532,318)-MAX('Activities'!K532,312))</x:f>
        <x:v>0</x:v>
      </x:c>
      <x:c r="BF532" s="22" t="n">
        <x:f>MAX(0,MIN('Activities'!L532,324)-MAX('Activities'!K532,318))</x:f>
        <x:v>0</x:v>
      </x:c>
      <x:c r="BG532" s="22" t="n">
        <x:f>MAX(0,MIN('Activities'!L532,330)-MAX('Activities'!K532,324))</x:f>
        <x:v>0</x:v>
      </x:c>
      <x:c r="BH532" s="22" t="n">
        <x:f>MAX(0,MIN('Activities'!L532,336)-MAX('Activities'!K532,330))</x:f>
        <x:v>0</x:v>
      </x:c>
      <x:c r="BI532" s="22" t="n">
        <x:f>MAX(0,MIN('Activities'!L532,342)-MAX('Activities'!K532,336))</x:f>
        <x:v>0</x:v>
      </x:c>
      <x:c r="BJ532" s="22" t="n">
        <x:f>MAX(0,MIN('Activities'!L532,348)-MAX('Activities'!K532,342))</x:f>
        <x:v>0</x:v>
      </x:c>
      <x:c r="BK532" s="22" t="n">
        <x:f>MAX(0,MIN('Activities'!L532,354)-MAX('Activities'!K532,348))</x:f>
        <x:v>0</x:v>
      </x:c>
      <x:c r="BL532" s="22" t="n">
        <x:f>MAX(0,MIN('Activities'!L532,360)-MAX('Activities'!K532,354))</x:f>
        <x:v>0</x:v>
      </x:c>
      <x:c r="BM532" s="22" t="n">
        <x:f>MAX(0,MIN('Activities'!L532,366)-MAX('Activities'!K532,360))</x:f>
        <x:v>0</x:v>
      </x:c>
      <x:c r="BN532" s="22" t="n">
        <x:f>MAX(0,MIN('Activities'!L532,372)-MAX('Activities'!K532,366))</x:f>
        <x:v>0</x:v>
      </x:c>
      <x:c r="BO532" s="22" t="n">
        <x:f>MAX(0,MIN('Activities'!L532,378)-MAX('Activities'!K532,372))</x:f>
        <x:v>0</x:v>
      </x:c>
      <x:c r="BP532" s="22" t="n">
        <x:f>MAX(0,MIN('Activities'!L532,384)-MAX('Activities'!K532,378))</x:f>
        <x:v>0</x:v>
      </x:c>
      <x:c r="BQ532" s="22" t="n">
        <x:f>MAX(0,MIN('Activities'!L532,390)-MAX('Activities'!K532,384))</x:f>
        <x:v>0</x:v>
      </x:c>
      <x:c r="BR532" s="22" t="n">
        <x:f>MAX(0,MIN('Activities'!L532,396)-MAX('Activities'!K532,390))</x:f>
        <x:v>0</x:v>
      </x:c>
      <x:c r="BS532" s="22" t="n">
        <x:f>MAX(0,MIN('Activities'!L532,402)-MAX('Activities'!K532,396))</x:f>
        <x:v>0</x:v>
      </x:c>
      <x:c r="BT532" s="22" t="n">
        <x:f>MAX(0,MIN('Activities'!L532,408)-MAX('Activities'!K532,402))</x:f>
        <x:v>0</x:v>
      </x:c>
      <x:c r="BU532" s="22" t="n">
        <x:f>MAX(0,MIN('Activities'!L532,414)-MAX('Activities'!K532,408))</x:f>
        <x:v>0</x:v>
      </x:c>
      <x:c r="BV532" s="22" t="n">
        <x:f>MAX(0,MIN('Activities'!L532,420)-MAX('Activities'!K532,414))</x:f>
        <x:v>0</x:v>
      </x:c>
      <x:c r="BW532" s="22" t="n">
        <x:f>MAX(0,MIN('Activities'!L532,426)-MAX('Activities'!K532,420))</x:f>
        <x:v>1</x:v>
      </x:c>
      <x:c r="BX532" s="22" t="n">
        <x:f>MAX(0,MIN('Activities'!L532,432)-MAX('Activities'!K532,426))</x:f>
        <x:v>2</x:v>
      </x:c>
      <x:c r="BY532" s="22" t="n">
        <x:f>MAX(0,MIN('Activities'!L532,438)-MAX('Activities'!K532,432))</x:f>
        <x:v>0</x:v>
      </x:c>
      <x:c r="BZ532" s="22" t="n">
        <x:f>MAX(0,MIN('Activities'!L532,444)-MAX('Activities'!K532,438))</x:f>
        <x:v>0</x:v>
      </x:c>
      <x:c r="CA532" s="22" t="n">
        <x:f>MAX(0,MIN('Activities'!L532,450)-MAX('Activities'!K532,444))</x:f>
        <x:v>0</x:v>
      </x:c>
      <x:c r="CB532" s="22" t="n">
        <x:f>MAX(0,MIN('Activities'!L532,456)-MAX('Activities'!K532,450))</x:f>
        <x:v>0</x:v>
      </x:c>
      <x:c r="CC532" s="22" t="n">
        <x:f>MAX(0,MIN('Activities'!L532,462)-MAX('Activities'!K532,456))</x:f>
        <x:v>0</x:v>
      </x:c>
      <x:c r="CD532" s="22" t="n">
        <x:f>MAX(0,MIN('Activities'!L532,468)-MAX('Activities'!K532,462))</x:f>
        <x:v>0</x:v>
      </x:c>
      <x:c r="CE532" s="22" t="n">
        <x:f>MAX(0,MIN('Activities'!L532,474)-MAX('Activities'!K532,468))</x:f>
        <x:v>0</x:v>
      </x:c>
      <x:c r="CF532" s="22" t="n">
        <x:f>MAX(0,MIN('Activities'!L532,480)-MAX('Activities'!K532,474))</x:f>
        <x:v>0</x:v>
      </x:c>
      <x:c r="CG532" s="22" t="n">
        <x:f>MAX(0,MIN('Activities'!L532,486)-MAX('Activities'!K532,480))</x:f>
        <x:v>0</x:v>
      </x:c>
      <x:c r="CH532" s="22" t="n">
        <x:f>MAX(0,MIN('Activities'!L532,492)-MAX('Activities'!K532,486))</x:f>
        <x:v>0</x:v>
      </x:c>
      <x:c r="CI532" s="22" t="n">
        <x:f>MAX(0,MIN('Activities'!L532,498)-MAX('Activities'!K532,492))</x:f>
        <x:v>0</x:v>
      </x:c>
      <x:c r="CJ532" s="22" t="n">
        <x:f>MAX(0,MIN('Activities'!L532,504)-MAX('Activities'!K532,498))</x:f>
        <x:v>0</x:v>
      </x:c>
      <x:c r="CK532" s="22" t="n">
        <x:f>MAX(0,MIN('Activities'!L532,510)-MAX('Activities'!K532,504))</x:f>
        <x:v>0</x:v>
      </x:c>
      <x:c r="CL532" s="22" t="n">
        <x:f>MAX(0,MIN('Activities'!L532,516)-MAX('Activities'!K532,510))</x:f>
        <x:v>0</x:v>
      </x:c>
      <x:c r="CM532" s="22" t="n">
        <x:f>MAX(0,MIN('Activities'!L532,522)-MAX('Activities'!K532,516))</x:f>
        <x:v>0</x:v>
      </x:c>
      <x:c r="CN532" s="22" t="n">
        <x:f>MAX(0,MIN('Activities'!L532,528)-MAX('Activities'!K532,522))</x:f>
        <x:v>0</x:v>
      </x:c>
      <x:c r="CO532" s="22" t="n">
        <x:f>MAX(0,MIN('Activities'!L532,534)-MAX('Activities'!K532,528))</x:f>
        <x:v>0</x:v>
      </x:c>
      <x:c r="CP532" s="22" t="n">
        <x:f>MAX(0,MIN('Activities'!L532,540)-MAX('Activities'!K532,534))</x:f>
        <x:v>0</x:v>
      </x:c>
      <x:c r="CQ532" s="22" t="n">
        <x:f>MAX(0,MIN('Activities'!L532,546)-MAX('Activities'!K532,540))</x:f>
        <x:v>0</x:v>
      </x:c>
      <x:c r="CR532" s="22" t="n">
        <x:f>MAX(0,MIN('Activities'!L532,552)-MAX('Activities'!K532,546))</x:f>
        <x:v>0</x:v>
      </x:c>
      <x:c r="CS532" s="22" t="n">
        <x:f>MAX(0,MIN('Activities'!L532,558)-MAX('Activities'!K532,552))</x:f>
        <x:v>0</x:v>
      </x:c>
      <x:c r="CT532" s="22" t="n">
        <x:f>MAX(0,MIN('Activities'!L532,564)-MAX('Activities'!K532,558))</x:f>
        <x:v>0</x:v>
      </x:c>
      <x:c r="CU532" s="22" t="n">
        <x:f>MAX(0,MIN('Activities'!L532,570)-MAX('Activities'!K532,564))</x:f>
        <x:v>0</x:v>
      </x:c>
      <x:c r="CV532" s="22" t="n">
        <x:f>MAX(0,MIN('Activities'!L532,576)-MAX('Activities'!K532,570))</x:f>
        <x:v>0</x:v>
      </x:c>
      <x:c r="CW532" s="22" t="n">
        <x:f>MAX(0,MIN('Activities'!L532,582)-MAX('Activities'!K532,576))</x:f>
        <x:v>0</x:v>
      </x:c>
      <x:c r="CX532" s="22" t="n">
        <x:f>MAX(0,MIN('Activities'!L532,588)-MAX('Activities'!K532,582))</x:f>
        <x:v>0</x:v>
      </x:c>
      <x:c r="CY532" s="22" t="n">
        <x:f>MAX(0,MIN('Activities'!L532,594)-MAX('Activities'!K532,588))</x:f>
        <x:v>0</x:v>
      </x:c>
      <x:c r="CZ532" s="22" t="n">
        <x:f>MAX(0,MIN('Activities'!L532,600)-MAX('Activities'!K532,594))</x:f>
        <x:v>0</x:v>
      </x:c>
      <x:c r="DA532" s="22" t="n">
        <x:f>MAX(0,MIN('Activities'!L532,606)-MAX('Activities'!K532,600))</x:f>
        <x:v>0</x:v>
      </x:c>
      <x:c r="DB532" s="22" t="n">
        <x:f>MAX(0,MIN('Activities'!L532,612)-MAX('Activities'!K532,606))</x:f>
        <x:v>0</x:v>
      </x:c>
      <x:c r="DC532" s="22" t="n">
        <x:f>MAX(0,MIN('Activities'!L532,618)-MAX('Activities'!K532,612))</x:f>
        <x:v>0</x:v>
      </x:c>
      <x:c r="DD532" s="22" t="n">
        <x:f>MAX(0,MIN('Activities'!L532,624)-MAX('Activities'!K532,618))</x:f>
        <x:v>0</x:v>
      </x:c>
      <x:c r="DE532" s="22" t="n">
        <x:f>MAX(0,MIN('Activities'!L532,630)-MAX('Activities'!K532,624))</x:f>
        <x:v>0</x:v>
      </x:c>
      <x:c r="DF532" s="22" t="n">
        <x:f>MAX(0,MIN('Activities'!L532,636)-MAX('Activities'!K532,630))</x:f>
        <x:v>0</x:v>
      </x:c>
    </x:row>
    <x:row r="533" ht="23" customHeight="1">
      <x:c r="A533" s="1" t="str">
        <x:v>T4-L10-T</x:v>
      </x:c>
      <x:c r="B533" s="1" t="str">
        <x:v>T4</x:v>
      </x:c>
      <x:c r="C533" s="1" t="str">
        <x:v>Floor finishes and skirtings</x:v>
      </x:c>
      <x:c r="D533" s="1" t="str">
        <x:v>Finishes</x:v>
      </x:c>
      <x:c r="E533" s="23" t="n">
        <x:f>MAX(0,MIN('Activities'!L533,6)-MAX('Activities'!K533,0))</x:f>
        <x:v>0</x:v>
      </x:c>
      <x:c r="F533" s="23" t="n">
        <x:f>MAX(0,MIN('Activities'!L533,12)-MAX('Activities'!K533,6))</x:f>
        <x:v>0</x:v>
      </x:c>
      <x:c r="G533" s="23" t="n">
        <x:f>MAX(0,MIN('Activities'!L533,18)-MAX('Activities'!K533,12))</x:f>
        <x:v>0</x:v>
      </x:c>
      <x:c r="H533" s="23" t="n">
        <x:f>MAX(0,MIN('Activities'!L533,24)-MAX('Activities'!K533,18))</x:f>
        <x:v>0</x:v>
      </x:c>
      <x:c r="I533" s="23" t="n">
        <x:f>MAX(0,MIN('Activities'!L533,30)-MAX('Activities'!K533,24))</x:f>
        <x:v>0</x:v>
      </x:c>
      <x:c r="J533" s="23" t="n">
        <x:f>MAX(0,MIN('Activities'!L533,36)-MAX('Activities'!K533,30))</x:f>
        <x:v>0</x:v>
      </x:c>
      <x:c r="K533" s="23" t="n">
        <x:f>MAX(0,MIN('Activities'!L533,42)-MAX('Activities'!K533,36))</x:f>
        <x:v>0</x:v>
      </x:c>
      <x:c r="L533" s="23" t="n">
        <x:f>MAX(0,MIN('Activities'!L533,48)-MAX('Activities'!K533,42))</x:f>
        <x:v>0</x:v>
      </x:c>
      <x:c r="M533" s="23" t="n">
        <x:f>MAX(0,MIN('Activities'!L533,54)-MAX('Activities'!K533,48))</x:f>
        <x:v>0</x:v>
      </x:c>
      <x:c r="N533" s="23" t="n">
        <x:f>MAX(0,MIN('Activities'!L533,60)-MAX('Activities'!K533,54))</x:f>
        <x:v>0</x:v>
      </x:c>
      <x:c r="O533" s="23" t="n">
        <x:f>MAX(0,MIN('Activities'!L533,66)-MAX('Activities'!K533,60))</x:f>
        <x:v>0</x:v>
      </x:c>
      <x:c r="P533" s="23" t="n">
        <x:f>MAX(0,MIN('Activities'!L533,72)-MAX('Activities'!K533,66))</x:f>
        <x:v>0</x:v>
      </x:c>
      <x:c r="Q533" s="23" t="n">
        <x:f>MAX(0,MIN('Activities'!L533,78)-MAX('Activities'!K533,72))</x:f>
        <x:v>0</x:v>
      </x:c>
      <x:c r="R533" s="23" t="n">
        <x:f>MAX(0,MIN('Activities'!L533,84)-MAX('Activities'!K533,78))</x:f>
        <x:v>0</x:v>
      </x:c>
      <x:c r="S533" s="23" t="n">
        <x:f>MAX(0,MIN('Activities'!L533,90)-MAX('Activities'!K533,84))</x:f>
        <x:v>0</x:v>
      </x:c>
      <x:c r="T533" s="23" t="n">
        <x:f>MAX(0,MIN('Activities'!L533,96)-MAX('Activities'!K533,90))</x:f>
        <x:v>0</x:v>
      </x:c>
      <x:c r="U533" s="23" t="n">
        <x:f>MAX(0,MIN('Activities'!L533,102)-MAX('Activities'!K533,96))</x:f>
        <x:v>0</x:v>
      </x:c>
      <x:c r="V533" s="23" t="n">
        <x:f>MAX(0,MIN('Activities'!L533,108)-MAX('Activities'!K533,102))</x:f>
        <x:v>0</x:v>
      </x:c>
      <x:c r="W533" s="23" t="n">
        <x:f>MAX(0,MIN('Activities'!L533,114)-MAX('Activities'!K533,108))</x:f>
        <x:v>0</x:v>
      </x:c>
      <x:c r="X533" s="23" t="n">
        <x:f>MAX(0,MIN('Activities'!L533,120)-MAX('Activities'!K533,114))</x:f>
        <x:v>0</x:v>
      </x:c>
      <x:c r="Y533" s="23" t="n">
        <x:f>MAX(0,MIN('Activities'!L533,126)-MAX('Activities'!K533,120))</x:f>
        <x:v>0</x:v>
      </x:c>
      <x:c r="Z533" s="23" t="n">
        <x:f>MAX(0,MIN('Activities'!L533,132)-MAX('Activities'!K533,126))</x:f>
        <x:v>0</x:v>
      </x:c>
      <x:c r="AA533" s="23" t="n">
        <x:f>MAX(0,MIN('Activities'!L533,138)-MAX('Activities'!K533,132))</x:f>
        <x:v>0</x:v>
      </x:c>
      <x:c r="AB533" s="23" t="n">
        <x:f>MAX(0,MIN('Activities'!L533,144)-MAX('Activities'!K533,138))</x:f>
        <x:v>0</x:v>
      </x:c>
      <x:c r="AC533" s="23" t="n">
        <x:f>MAX(0,MIN('Activities'!L533,150)-MAX('Activities'!K533,144))</x:f>
        <x:v>0</x:v>
      </x:c>
      <x:c r="AD533" s="23" t="n">
        <x:f>MAX(0,MIN('Activities'!L533,156)-MAX('Activities'!K533,150))</x:f>
        <x:v>0</x:v>
      </x:c>
      <x:c r="AE533" s="23" t="n">
        <x:f>MAX(0,MIN('Activities'!L533,162)-MAX('Activities'!K533,156))</x:f>
        <x:v>0</x:v>
      </x:c>
      <x:c r="AF533" s="23" t="n">
        <x:f>MAX(0,MIN('Activities'!L533,168)-MAX('Activities'!K533,162))</x:f>
        <x:v>0</x:v>
      </x:c>
      <x:c r="AG533" s="23" t="n">
        <x:f>MAX(0,MIN('Activities'!L533,174)-MAX('Activities'!K533,168))</x:f>
        <x:v>0</x:v>
      </x:c>
      <x:c r="AH533" s="23" t="n">
        <x:f>MAX(0,MIN('Activities'!L533,180)-MAX('Activities'!K533,174))</x:f>
        <x:v>0</x:v>
      </x:c>
      <x:c r="AI533" s="23" t="n">
        <x:f>MAX(0,MIN('Activities'!L533,186)-MAX('Activities'!K533,180))</x:f>
        <x:v>0</x:v>
      </x:c>
      <x:c r="AJ533" s="23" t="n">
        <x:f>MAX(0,MIN('Activities'!L533,192)-MAX('Activities'!K533,186))</x:f>
        <x:v>0</x:v>
      </x:c>
      <x:c r="AK533" s="23" t="n">
        <x:f>MAX(0,MIN('Activities'!L533,198)-MAX('Activities'!K533,192))</x:f>
        <x:v>0</x:v>
      </x:c>
      <x:c r="AL533" s="23" t="n">
        <x:f>MAX(0,MIN('Activities'!L533,204)-MAX('Activities'!K533,198))</x:f>
        <x:v>0</x:v>
      </x:c>
      <x:c r="AM533" s="23" t="n">
        <x:f>MAX(0,MIN('Activities'!L533,210)-MAX('Activities'!K533,204))</x:f>
        <x:v>0</x:v>
      </x:c>
      <x:c r="AN533" s="23" t="n">
        <x:f>MAX(0,MIN('Activities'!L533,216)-MAX('Activities'!K533,210))</x:f>
        <x:v>0</x:v>
      </x:c>
      <x:c r="AO533" s="23" t="n">
        <x:f>MAX(0,MIN('Activities'!L533,222)-MAX('Activities'!K533,216))</x:f>
        <x:v>0</x:v>
      </x:c>
      <x:c r="AP533" s="23" t="n">
        <x:f>MAX(0,MIN('Activities'!L533,228)-MAX('Activities'!K533,222))</x:f>
        <x:v>0</x:v>
      </x:c>
      <x:c r="AQ533" s="23" t="n">
        <x:f>MAX(0,MIN('Activities'!L533,234)-MAX('Activities'!K533,228))</x:f>
        <x:v>0</x:v>
      </x:c>
      <x:c r="AR533" s="23" t="n">
        <x:f>MAX(0,MIN('Activities'!L533,240)-MAX('Activities'!K533,234))</x:f>
        <x:v>0</x:v>
      </x:c>
      <x:c r="AS533" s="23" t="n">
        <x:f>MAX(0,MIN('Activities'!L533,246)-MAX('Activities'!K533,240))</x:f>
        <x:v>0</x:v>
      </x:c>
      <x:c r="AT533" s="23" t="n">
        <x:f>MAX(0,MIN('Activities'!L533,252)-MAX('Activities'!K533,246))</x:f>
        <x:v>0</x:v>
      </x:c>
      <x:c r="AU533" s="23" t="n">
        <x:f>MAX(0,MIN('Activities'!L533,258)-MAX('Activities'!K533,252))</x:f>
        <x:v>0</x:v>
      </x:c>
      <x:c r="AV533" s="23" t="n">
        <x:f>MAX(0,MIN('Activities'!L533,264)-MAX('Activities'!K533,258))</x:f>
        <x:v>0</x:v>
      </x:c>
      <x:c r="AW533" s="23" t="n">
        <x:f>MAX(0,MIN('Activities'!L533,270)-MAX('Activities'!K533,264))</x:f>
        <x:v>0</x:v>
      </x:c>
      <x:c r="AX533" s="23" t="n">
        <x:f>MAX(0,MIN('Activities'!L533,276)-MAX('Activities'!K533,270))</x:f>
        <x:v>0</x:v>
      </x:c>
      <x:c r="AY533" s="23" t="n">
        <x:f>MAX(0,MIN('Activities'!L533,282)-MAX('Activities'!K533,276))</x:f>
        <x:v>0</x:v>
      </x:c>
      <x:c r="AZ533" s="23" t="n">
        <x:f>MAX(0,MIN('Activities'!L533,288)-MAX('Activities'!K533,282))</x:f>
        <x:v>0</x:v>
      </x:c>
      <x:c r="BA533" s="23" t="n">
        <x:f>MAX(0,MIN('Activities'!L533,294)-MAX('Activities'!K533,288))</x:f>
        <x:v>0</x:v>
      </x:c>
      <x:c r="BB533" s="23" t="n">
        <x:f>MAX(0,MIN('Activities'!L533,300)-MAX('Activities'!K533,294))</x:f>
        <x:v>0</x:v>
      </x:c>
      <x:c r="BC533" s="23" t="n">
        <x:f>MAX(0,MIN('Activities'!L533,306)-MAX('Activities'!K533,300))</x:f>
        <x:v>0</x:v>
      </x:c>
      <x:c r="BD533" s="23" t="n">
        <x:f>MAX(0,MIN('Activities'!L533,312)-MAX('Activities'!K533,306))</x:f>
        <x:v>0</x:v>
      </x:c>
      <x:c r="BE533" s="23" t="n">
        <x:f>MAX(0,MIN('Activities'!L533,318)-MAX('Activities'!K533,312))</x:f>
        <x:v>0</x:v>
      </x:c>
      <x:c r="BF533" s="23" t="n">
        <x:f>MAX(0,MIN('Activities'!L533,324)-MAX('Activities'!K533,318))</x:f>
        <x:v>0</x:v>
      </x:c>
      <x:c r="BG533" s="23" t="n">
        <x:f>MAX(0,MIN('Activities'!L533,330)-MAX('Activities'!K533,324))</x:f>
        <x:v>0</x:v>
      </x:c>
      <x:c r="BH533" s="23" t="n">
        <x:f>MAX(0,MIN('Activities'!L533,336)-MAX('Activities'!K533,330))</x:f>
        <x:v>0</x:v>
      </x:c>
      <x:c r="BI533" s="23" t="n">
        <x:f>MAX(0,MIN('Activities'!L533,342)-MAX('Activities'!K533,336))</x:f>
        <x:v>0</x:v>
      </x:c>
      <x:c r="BJ533" s="23" t="n">
        <x:f>MAX(0,MIN('Activities'!L533,348)-MAX('Activities'!K533,342))</x:f>
        <x:v>0</x:v>
      </x:c>
      <x:c r="BK533" s="23" t="n">
        <x:f>MAX(0,MIN('Activities'!L533,354)-MAX('Activities'!K533,348))</x:f>
        <x:v>0</x:v>
      </x:c>
      <x:c r="BL533" s="23" t="n">
        <x:f>MAX(0,MIN('Activities'!L533,360)-MAX('Activities'!K533,354))</x:f>
        <x:v>0</x:v>
      </x:c>
      <x:c r="BM533" s="23" t="n">
        <x:f>MAX(0,MIN('Activities'!L533,366)-MAX('Activities'!K533,360))</x:f>
        <x:v>0</x:v>
      </x:c>
      <x:c r="BN533" s="23" t="n">
        <x:f>MAX(0,MIN('Activities'!L533,372)-MAX('Activities'!K533,366))</x:f>
        <x:v>0</x:v>
      </x:c>
      <x:c r="BO533" s="23" t="n">
        <x:f>MAX(0,MIN('Activities'!L533,378)-MAX('Activities'!K533,372))</x:f>
        <x:v>0</x:v>
      </x:c>
      <x:c r="BP533" s="23" t="n">
        <x:f>MAX(0,MIN('Activities'!L533,384)-MAX('Activities'!K533,378))</x:f>
        <x:v>0</x:v>
      </x:c>
      <x:c r="BQ533" s="23" t="n">
        <x:f>MAX(0,MIN('Activities'!L533,390)-MAX('Activities'!K533,384))</x:f>
        <x:v>0</x:v>
      </x:c>
      <x:c r="BR533" s="23" t="n">
        <x:f>MAX(0,MIN('Activities'!L533,396)-MAX('Activities'!K533,390))</x:f>
        <x:v>0</x:v>
      </x:c>
      <x:c r="BS533" s="23" t="n">
        <x:f>MAX(0,MIN('Activities'!L533,402)-MAX('Activities'!K533,396))</x:f>
        <x:v>0</x:v>
      </x:c>
      <x:c r="BT533" s="23" t="n">
        <x:f>MAX(0,MIN('Activities'!L533,408)-MAX('Activities'!K533,402))</x:f>
        <x:v>0</x:v>
      </x:c>
      <x:c r="BU533" s="23" t="n">
        <x:f>MAX(0,MIN('Activities'!L533,414)-MAX('Activities'!K533,408))</x:f>
        <x:v>0</x:v>
      </x:c>
      <x:c r="BV533" s="23" t="n">
        <x:f>MAX(0,MIN('Activities'!L533,420)-MAX('Activities'!K533,414))</x:f>
        <x:v>0</x:v>
      </x:c>
      <x:c r="BW533" s="23" t="n">
        <x:f>MAX(0,MIN('Activities'!L533,426)-MAX('Activities'!K533,420))</x:f>
        <x:v>0</x:v>
      </x:c>
      <x:c r="BX533" s="23" t="n">
        <x:f>MAX(0,MIN('Activities'!L533,432)-MAX('Activities'!K533,426))</x:f>
        <x:v>0</x:v>
      </x:c>
      <x:c r="BY533" s="23" t="n">
        <x:f>MAX(0,MIN('Activities'!L533,438)-MAX('Activities'!K533,432))</x:f>
        <x:v>0</x:v>
      </x:c>
      <x:c r="BZ533" s="23" t="n">
        <x:f>MAX(0,MIN('Activities'!L533,444)-MAX('Activities'!K533,438))</x:f>
        <x:v>2</x:v>
      </x:c>
      <x:c r="CA533" s="23" t="n">
        <x:f>MAX(0,MIN('Activities'!L533,450)-MAX('Activities'!K533,444))</x:f>
        <x:v>4</x:v>
      </x:c>
      <x:c r="CB533" s="23" t="n">
        <x:f>MAX(0,MIN('Activities'!L533,456)-MAX('Activities'!K533,450))</x:f>
        <x:v>0</x:v>
      </x:c>
      <x:c r="CC533" s="23" t="n">
        <x:f>MAX(0,MIN('Activities'!L533,462)-MAX('Activities'!K533,456))</x:f>
        <x:v>0</x:v>
      </x:c>
      <x:c r="CD533" s="23" t="n">
        <x:f>MAX(0,MIN('Activities'!L533,468)-MAX('Activities'!K533,462))</x:f>
        <x:v>0</x:v>
      </x:c>
      <x:c r="CE533" s="23" t="n">
        <x:f>MAX(0,MIN('Activities'!L533,474)-MAX('Activities'!K533,468))</x:f>
        <x:v>0</x:v>
      </x:c>
      <x:c r="CF533" s="23" t="n">
        <x:f>MAX(0,MIN('Activities'!L533,480)-MAX('Activities'!K533,474))</x:f>
        <x:v>0</x:v>
      </x:c>
      <x:c r="CG533" s="23" t="n">
        <x:f>MAX(0,MIN('Activities'!L533,486)-MAX('Activities'!K533,480))</x:f>
        <x:v>0</x:v>
      </x:c>
      <x:c r="CH533" s="23" t="n">
        <x:f>MAX(0,MIN('Activities'!L533,492)-MAX('Activities'!K533,486))</x:f>
        <x:v>0</x:v>
      </x:c>
      <x:c r="CI533" s="23" t="n">
        <x:f>MAX(0,MIN('Activities'!L533,498)-MAX('Activities'!K533,492))</x:f>
        <x:v>0</x:v>
      </x:c>
      <x:c r="CJ533" s="23" t="n">
        <x:f>MAX(0,MIN('Activities'!L533,504)-MAX('Activities'!K533,498))</x:f>
        <x:v>0</x:v>
      </x:c>
      <x:c r="CK533" s="23" t="n">
        <x:f>MAX(0,MIN('Activities'!L533,510)-MAX('Activities'!K533,504))</x:f>
        <x:v>0</x:v>
      </x:c>
      <x:c r="CL533" s="23" t="n">
        <x:f>MAX(0,MIN('Activities'!L533,516)-MAX('Activities'!K533,510))</x:f>
        <x:v>0</x:v>
      </x:c>
      <x:c r="CM533" s="23" t="n">
        <x:f>MAX(0,MIN('Activities'!L533,522)-MAX('Activities'!K533,516))</x:f>
        <x:v>0</x:v>
      </x:c>
      <x:c r="CN533" s="23" t="n">
        <x:f>MAX(0,MIN('Activities'!L533,528)-MAX('Activities'!K533,522))</x:f>
        <x:v>0</x:v>
      </x:c>
      <x:c r="CO533" s="23" t="n">
        <x:f>MAX(0,MIN('Activities'!L533,534)-MAX('Activities'!K533,528))</x:f>
        <x:v>0</x:v>
      </x:c>
      <x:c r="CP533" s="23" t="n">
        <x:f>MAX(0,MIN('Activities'!L533,540)-MAX('Activities'!K533,534))</x:f>
        <x:v>0</x:v>
      </x:c>
      <x:c r="CQ533" s="23" t="n">
        <x:f>MAX(0,MIN('Activities'!L533,546)-MAX('Activities'!K533,540))</x:f>
        <x:v>0</x:v>
      </x:c>
      <x:c r="CR533" s="23" t="n">
        <x:f>MAX(0,MIN('Activities'!L533,552)-MAX('Activities'!K533,546))</x:f>
        <x:v>0</x:v>
      </x:c>
      <x:c r="CS533" s="23" t="n">
        <x:f>MAX(0,MIN('Activities'!L533,558)-MAX('Activities'!K533,552))</x:f>
        <x:v>0</x:v>
      </x:c>
      <x:c r="CT533" s="23" t="n">
        <x:f>MAX(0,MIN('Activities'!L533,564)-MAX('Activities'!K533,558))</x:f>
        <x:v>0</x:v>
      </x:c>
      <x:c r="CU533" s="23" t="n">
        <x:f>MAX(0,MIN('Activities'!L533,570)-MAX('Activities'!K533,564))</x:f>
        <x:v>0</x:v>
      </x:c>
      <x:c r="CV533" s="23" t="n">
        <x:f>MAX(0,MIN('Activities'!L533,576)-MAX('Activities'!K533,570))</x:f>
        <x:v>0</x:v>
      </x:c>
      <x:c r="CW533" s="23" t="n">
        <x:f>MAX(0,MIN('Activities'!L533,582)-MAX('Activities'!K533,576))</x:f>
        <x:v>0</x:v>
      </x:c>
      <x:c r="CX533" s="23" t="n">
        <x:f>MAX(0,MIN('Activities'!L533,588)-MAX('Activities'!K533,582))</x:f>
        <x:v>0</x:v>
      </x:c>
      <x:c r="CY533" s="23" t="n">
        <x:f>MAX(0,MIN('Activities'!L533,594)-MAX('Activities'!K533,588))</x:f>
        <x:v>0</x:v>
      </x:c>
      <x:c r="CZ533" s="23" t="n">
        <x:f>MAX(0,MIN('Activities'!L533,600)-MAX('Activities'!K533,594))</x:f>
        <x:v>0</x:v>
      </x:c>
      <x:c r="DA533" s="23" t="n">
        <x:f>MAX(0,MIN('Activities'!L533,606)-MAX('Activities'!K533,600))</x:f>
        <x:v>0</x:v>
      </x:c>
      <x:c r="DB533" s="23" t="n">
        <x:f>MAX(0,MIN('Activities'!L533,612)-MAX('Activities'!K533,606))</x:f>
        <x:v>0</x:v>
      </x:c>
      <x:c r="DC533" s="23" t="n">
        <x:f>MAX(0,MIN('Activities'!L533,618)-MAX('Activities'!K533,612))</x:f>
        <x:v>0</x:v>
      </x:c>
      <x:c r="DD533" s="23" t="n">
        <x:f>MAX(0,MIN('Activities'!L533,624)-MAX('Activities'!K533,618))</x:f>
        <x:v>0</x:v>
      </x:c>
      <x:c r="DE533" s="23" t="n">
        <x:f>MAX(0,MIN('Activities'!L533,630)-MAX('Activities'!K533,624))</x:f>
        <x:v>0</x:v>
      </x:c>
      <x:c r="DF533" s="23" t="n">
        <x:f>MAX(0,MIN('Activities'!L533,636)-MAX('Activities'!K533,630))</x:f>
        <x:v>0</x:v>
      </x:c>
    </x:row>
    <x:row r="534" ht="23" customHeight="1">
      <x:c r="A534" s="6" t="str">
        <x:v>T4-L10-A</x:v>
      </x:c>
      <x:c r="B534" s="6" t="str">
        <x:v>T4</x:v>
      </x:c>
      <x:c r="C534" s="6" t="str">
        <x:v>Paint and final decorations</x:v>
      </x:c>
      <x:c r="D534" s="6" t="str">
        <x:v>Finishes</x:v>
      </x:c>
      <x:c r="E534" s="22" t="n">
        <x:f>MAX(0,MIN('Activities'!L534,6)-MAX('Activities'!K534,0))</x:f>
        <x:v>0</x:v>
      </x:c>
      <x:c r="F534" s="22" t="n">
        <x:f>MAX(0,MIN('Activities'!L534,12)-MAX('Activities'!K534,6))</x:f>
        <x:v>0</x:v>
      </x:c>
      <x:c r="G534" s="22" t="n">
        <x:f>MAX(0,MIN('Activities'!L534,18)-MAX('Activities'!K534,12))</x:f>
        <x:v>0</x:v>
      </x:c>
      <x:c r="H534" s="22" t="n">
        <x:f>MAX(0,MIN('Activities'!L534,24)-MAX('Activities'!K534,18))</x:f>
        <x:v>0</x:v>
      </x:c>
      <x:c r="I534" s="22" t="n">
        <x:f>MAX(0,MIN('Activities'!L534,30)-MAX('Activities'!K534,24))</x:f>
        <x:v>0</x:v>
      </x:c>
      <x:c r="J534" s="22" t="n">
        <x:f>MAX(0,MIN('Activities'!L534,36)-MAX('Activities'!K534,30))</x:f>
        <x:v>0</x:v>
      </x:c>
      <x:c r="K534" s="22" t="n">
        <x:f>MAX(0,MIN('Activities'!L534,42)-MAX('Activities'!K534,36))</x:f>
        <x:v>0</x:v>
      </x:c>
      <x:c r="L534" s="22" t="n">
        <x:f>MAX(0,MIN('Activities'!L534,48)-MAX('Activities'!K534,42))</x:f>
        <x:v>0</x:v>
      </x:c>
      <x:c r="M534" s="22" t="n">
        <x:f>MAX(0,MIN('Activities'!L534,54)-MAX('Activities'!K534,48))</x:f>
        <x:v>0</x:v>
      </x:c>
      <x:c r="N534" s="22" t="n">
        <x:f>MAX(0,MIN('Activities'!L534,60)-MAX('Activities'!K534,54))</x:f>
        <x:v>0</x:v>
      </x:c>
      <x:c r="O534" s="22" t="n">
        <x:f>MAX(0,MIN('Activities'!L534,66)-MAX('Activities'!K534,60))</x:f>
        <x:v>0</x:v>
      </x:c>
      <x:c r="P534" s="22" t="n">
        <x:f>MAX(0,MIN('Activities'!L534,72)-MAX('Activities'!K534,66))</x:f>
        <x:v>0</x:v>
      </x:c>
      <x:c r="Q534" s="22" t="n">
        <x:f>MAX(0,MIN('Activities'!L534,78)-MAX('Activities'!K534,72))</x:f>
        <x:v>0</x:v>
      </x:c>
      <x:c r="R534" s="22" t="n">
        <x:f>MAX(0,MIN('Activities'!L534,84)-MAX('Activities'!K534,78))</x:f>
        <x:v>0</x:v>
      </x:c>
      <x:c r="S534" s="22" t="n">
        <x:f>MAX(0,MIN('Activities'!L534,90)-MAX('Activities'!K534,84))</x:f>
        <x:v>0</x:v>
      </x:c>
      <x:c r="T534" s="22" t="n">
        <x:f>MAX(0,MIN('Activities'!L534,96)-MAX('Activities'!K534,90))</x:f>
        <x:v>0</x:v>
      </x:c>
      <x:c r="U534" s="22" t="n">
        <x:f>MAX(0,MIN('Activities'!L534,102)-MAX('Activities'!K534,96))</x:f>
        <x:v>0</x:v>
      </x:c>
      <x:c r="V534" s="22" t="n">
        <x:f>MAX(0,MIN('Activities'!L534,108)-MAX('Activities'!K534,102))</x:f>
        <x:v>0</x:v>
      </x:c>
      <x:c r="W534" s="22" t="n">
        <x:f>MAX(0,MIN('Activities'!L534,114)-MAX('Activities'!K534,108))</x:f>
        <x:v>0</x:v>
      </x:c>
      <x:c r="X534" s="22" t="n">
        <x:f>MAX(0,MIN('Activities'!L534,120)-MAX('Activities'!K534,114))</x:f>
        <x:v>0</x:v>
      </x:c>
      <x:c r="Y534" s="22" t="n">
        <x:f>MAX(0,MIN('Activities'!L534,126)-MAX('Activities'!K534,120))</x:f>
        <x:v>0</x:v>
      </x:c>
      <x:c r="Z534" s="22" t="n">
        <x:f>MAX(0,MIN('Activities'!L534,132)-MAX('Activities'!K534,126))</x:f>
        <x:v>0</x:v>
      </x:c>
      <x:c r="AA534" s="22" t="n">
        <x:f>MAX(0,MIN('Activities'!L534,138)-MAX('Activities'!K534,132))</x:f>
        <x:v>0</x:v>
      </x:c>
      <x:c r="AB534" s="22" t="n">
        <x:f>MAX(0,MIN('Activities'!L534,144)-MAX('Activities'!K534,138))</x:f>
        <x:v>0</x:v>
      </x:c>
      <x:c r="AC534" s="22" t="n">
        <x:f>MAX(0,MIN('Activities'!L534,150)-MAX('Activities'!K534,144))</x:f>
        <x:v>0</x:v>
      </x:c>
      <x:c r="AD534" s="22" t="n">
        <x:f>MAX(0,MIN('Activities'!L534,156)-MAX('Activities'!K534,150))</x:f>
        <x:v>0</x:v>
      </x:c>
      <x:c r="AE534" s="22" t="n">
        <x:f>MAX(0,MIN('Activities'!L534,162)-MAX('Activities'!K534,156))</x:f>
        <x:v>0</x:v>
      </x:c>
      <x:c r="AF534" s="22" t="n">
        <x:f>MAX(0,MIN('Activities'!L534,168)-MAX('Activities'!K534,162))</x:f>
        <x:v>0</x:v>
      </x:c>
      <x:c r="AG534" s="22" t="n">
        <x:f>MAX(0,MIN('Activities'!L534,174)-MAX('Activities'!K534,168))</x:f>
        <x:v>0</x:v>
      </x:c>
      <x:c r="AH534" s="22" t="n">
        <x:f>MAX(0,MIN('Activities'!L534,180)-MAX('Activities'!K534,174))</x:f>
        <x:v>0</x:v>
      </x:c>
      <x:c r="AI534" s="22" t="n">
        <x:f>MAX(0,MIN('Activities'!L534,186)-MAX('Activities'!K534,180))</x:f>
        <x:v>0</x:v>
      </x:c>
      <x:c r="AJ534" s="22" t="n">
        <x:f>MAX(0,MIN('Activities'!L534,192)-MAX('Activities'!K534,186))</x:f>
        <x:v>0</x:v>
      </x:c>
      <x:c r="AK534" s="22" t="n">
        <x:f>MAX(0,MIN('Activities'!L534,198)-MAX('Activities'!K534,192))</x:f>
        <x:v>0</x:v>
      </x:c>
      <x:c r="AL534" s="22" t="n">
        <x:f>MAX(0,MIN('Activities'!L534,204)-MAX('Activities'!K534,198))</x:f>
        <x:v>0</x:v>
      </x:c>
      <x:c r="AM534" s="22" t="n">
        <x:f>MAX(0,MIN('Activities'!L534,210)-MAX('Activities'!K534,204))</x:f>
        <x:v>0</x:v>
      </x:c>
      <x:c r="AN534" s="22" t="n">
        <x:f>MAX(0,MIN('Activities'!L534,216)-MAX('Activities'!K534,210))</x:f>
        <x:v>0</x:v>
      </x:c>
      <x:c r="AO534" s="22" t="n">
        <x:f>MAX(0,MIN('Activities'!L534,222)-MAX('Activities'!K534,216))</x:f>
        <x:v>0</x:v>
      </x:c>
      <x:c r="AP534" s="22" t="n">
        <x:f>MAX(0,MIN('Activities'!L534,228)-MAX('Activities'!K534,222))</x:f>
        <x:v>0</x:v>
      </x:c>
      <x:c r="AQ534" s="22" t="n">
        <x:f>MAX(0,MIN('Activities'!L534,234)-MAX('Activities'!K534,228))</x:f>
        <x:v>0</x:v>
      </x:c>
      <x:c r="AR534" s="22" t="n">
        <x:f>MAX(0,MIN('Activities'!L534,240)-MAX('Activities'!K534,234))</x:f>
        <x:v>0</x:v>
      </x:c>
      <x:c r="AS534" s="22" t="n">
        <x:f>MAX(0,MIN('Activities'!L534,246)-MAX('Activities'!K534,240))</x:f>
        <x:v>0</x:v>
      </x:c>
      <x:c r="AT534" s="22" t="n">
        <x:f>MAX(0,MIN('Activities'!L534,252)-MAX('Activities'!K534,246))</x:f>
        <x:v>0</x:v>
      </x:c>
      <x:c r="AU534" s="22" t="n">
        <x:f>MAX(0,MIN('Activities'!L534,258)-MAX('Activities'!K534,252))</x:f>
        <x:v>0</x:v>
      </x:c>
      <x:c r="AV534" s="22" t="n">
        <x:f>MAX(0,MIN('Activities'!L534,264)-MAX('Activities'!K534,258))</x:f>
        <x:v>0</x:v>
      </x:c>
      <x:c r="AW534" s="22" t="n">
        <x:f>MAX(0,MIN('Activities'!L534,270)-MAX('Activities'!K534,264))</x:f>
        <x:v>0</x:v>
      </x:c>
      <x:c r="AX534" s="22" t="n">
        <x:f>MAX(0,MIN('Activities'!L534,276)-MAX('Activities'!K534,270))</x:f>
        <x:v>0</x:v>
      </x:c>
      <x:c r="AY534" s="22" t="n">
        <x:f>MAX(0,MIN('Activities'!L534,282)-MAX('Activities'!K534,276))</x:f>
        <x:v>0</x:v>
      </x:c>
      <x:c r="AZ534" s="22" t="n">
        <x:f>MAX(0,MIN('Activities'!L534,288)-MAX('Activities'!K534,282))</x:f>
        <x:v>0</x:v>
      </x:c>
      <x:c r="BA534" s="22" t="n">
        <x:f>MAX(0,MIN('Activities'!L534,294)-MAX('Activities'!K534,288))</x:f>
        <x:v>0</x:v>
      </x:c>
      <x:c r="BB534" s="22" t="n">
        <x:f>MAX(0,MIN('Activities'!L534,300)-MAX('Activities'!K534,294))</x:f>
        <x:v>0</x:v>
      </x:c>
      <x:c r="BC534" s="22" t="n">
        <x:f>MAX(0,MIN('Activities'!L534,306)-MAX('Activities'!K534,300))</x:f>
        <x:v>0</x:v>
      </x:c>
      <x:c r="BD534" s="22" t="n">
        <x:f>MAX(0,MIN('Activities'!L534,312)-MAX('Activities'!K534,306))</x:f>
        <x:v>0</x:v>
      </x:c>
      <x:c r="BE534" s="22" t="n">
        <x:f>MAX(0,MIN('Activities'!L534,318)-MAX('Activities'!K534,312))</x:f>
        <x:v>0</x:v>
      </x:c>
      <x:c r="BF534" s="22" t="n">
        <x:f>MAX(0,MIN('Activities'!L534,324)-MAX('Activities'!K534,318))</x:f>
        <x:v>0</x:v>
      </x:c>
      <x:c r="BG534" s="22" t="n">
        <x:f>MAX(0,MIN('Activities'!L534,330)-MAX('Activities'!K534,324))</x:f>
        <x:v>0</x:v>
      </x:c>
      <x:c r="BH534" s="22" t="n">
        <x:f>MAX(0,MIN('Activities'!L534,336)-MAX('Activities'!K534,330))</x:f>
        <x:v>0</x:v>
      </x:c>
      <x:c r="BI534" s="22" t="n">
        <x:f>MAX(0,MIN('Activities'!L534,342)-MAX('Activities'!K534,336))</x:f>
        <x:v>0</x:v>
      </x:c>
      <x:c r="BJ534" s="22" t="n">
        <x:f>MAX(0,MIN('Activities'!L534,348)-MAX('Activities'!K534,342))</x:f>
        <x:v>0</x:v>
      </x:c>
      <x:c r="BK534" s="22" t="n">
        <x:f>MAX(0,MIN('Activities'!L534,354)-MAX('Activities'!K534,348))</x:f>
        <x:v>0</x:v>
      </x:c>
      <x:c r="BL534" s="22" t="n">
        <x:f>MAX(0,MIN('Activities'!L534,360)-MAX('Activities'!K534,354))</x:f>
        <x:v>0</x:v>
      </x:c>
      <x:c r="BM534" s="22" t="n">
        <x:f>MAX(0,MIN('Activities'!L534,366)-MAX('Activities'!K534,360))</x:f>
        <x:v>0</x:v>
      </x:c>
      <x:c r="BN534" s="22" t="n">
        <x:f>MAX(0,MIN('Activities'!L534,372)-MAX('Activities'!K534,366))</x:f>
        <x:v>0</x:v>
      </x:c>
      <x:c r="BO534" s="22" t="n">
        <x:f>MAX(0,MIN('Activities'!L534,378)-MAX('Activities'!K534,372))</x:f>
        <x:v>0</x:v>
      </x:c>
      <x:c r="BP534" s="22" t="n">
        <x:f>MAX(0,MIN('Activities'!L534,384)-MAX('Activities'!K534,378))</x:f>
        <x:v>0</x:v>
      </x:c>
      <x:c r="BQ534" s="22" t="n">
        <x:f>MAX(0,MIN('Activities'!L534,390)-MAX('Activities'!K534,384))</x:f>
        <x:v>0</x:v>
      </x:c>
      <x:c r="BR534" s="22" t="n">
        <x:f>MAX(0,MIN('Activities'!L534,396)-MAX('Activities'!K534,390))</x:f>
        <x:v>0</x:v>
      </x:c>
      <x:c r="BS534" s="22" t="n">
        <x:f>MAX(0,MIN('Activities'!L534,402)-MAX('Activities'!K534,396))</x:f>
        <x:v>0</x:v>
      </x:c>
      <x:c r="BT534" s="22" t="n">
        <x:f>MAX(0,MIN('Activities'!L534,408)-MAX('Activities'!K534,402))</x:f>
        <x:v>0</x:v>
      </x:c>
      <x:c r="BU534" s="22" t="n">
        <x:f>MAX(0,MIN('Activities'!L534,414)-MAX('Activities'!K534,408))</x:f>
        <x:v>0</x:v>
      </x:c>
      <x:c r="BV534" s="22" t="n">
        <x:f>MAX(0,MIN('Activities'!L534,420)-MAX('Activities'!K534,414))</x:f>
        <x:v>0</x:v>
      </x:c>
      <x:c r="BW534" s="22" t="n">
        <x:f>MAX(0,MIN('Activities'!L534,426)-MAX('Activities'!K534,420))</x:f>
        <x:v>0</x:v>
      </x:c>
      <x:c r="BX534" s="22" t="n">
        <x:f>MAX(0,MIN('Activities'!L534,432)-MAX('Activities'!K534,426))</x:f>
        <x:v>0</x:v>
      </x:c>
      <x:c r="BY534" s="22" t="n">
        <x:f>MAX(0,MIN('Activities'!L534,438)-MAX('Activities'!K534,432))</x:f>
        <x:v>0</x:v>
      </x:c>
      <x:c r="BZ534" s="22" t="n">
        <x:f>MAX(0,MIN('Activities'!L534,444)-MAX('Activities'!K534,438))</x:f>
        <x:v>0</x:v>
      </x:c>
      <x:c r="CA534" s="22" t="n">
        <x:f>MAX(0,MIN('Activities'!L534,450)-MAX('Activities'!K534,444))</x:f>
        <x:v>0</x:v>
      </x:c>
      <x:c r="CB534" s="22" t="n">
        <x:f>MAX(0,MIN('Activities'!L534,456)-MAX('Activities'!K534,450))</x:f>
        <x:v>5</x:v>
      </x:c>
      <x:c r="CC534" s="22" t="n">
        <x:f>MAX(0,MIN('Activities'!L534,462)-MAX('Activities'!K534,456))</x:f>
        <x:v>0</x:v>
      </x:c>
      <x:c r="CD534" s="22" t="n">
        <x:f>MAX(0,MIN('Activities'!L534,468)-MAX('Activities'!K534,462))</x:f>
        <x:v>0</x:v>
      </x:c>
      <x:c r="CE534" s="22" t="n">
        <x:f>MAX(0,MIN('Activities'!L534,474)-MAX('Activities'!K534,468))</x:f>
        <x:v>0</x:v>
      </x:c>
      <x:c r="CF534" s="22" t="n">
        <x:f>MAX(0,MIN('Activities'!L534,480)-MAX('Activities'!K534,474))</x:f>
        <x:v>0</x:v>
      </x:c>
      <x:c r="CG534" s="22" t="n">
        <x:f>MAX(0,MIN('Activities'!L534,486)-MAX('Activities'!K534,480))</x:f>
        <x:v>0</x:v>
      </x:c>
      <x:c r="CH534" s="22" t="n">
        <x:f>MAX(0,MIN('Activities'!L534,492)-MAX('Activities'!K534,486))</x:f>
        <x:v>0</x:v>
      </x:c>
      <x:c r="CI534" s="22" t="n">
        <x:f>MAX(0,MIN('Activities'!L534,498)-MAX('Activities'!K534,492))</x:f>
        <x:v>0</x:v>
      </x:c>
      <x:c r="CJ534" s="22" t="n">
        <x:f>MAX(0,MIN('Activities'!L534,504)-MAX('Activities'!K534,498))</x:f>
        <x:v>0</x:v>
      </x:c>
      <x:c r="CK534" s="22" t="n">
        <x:f>MAX(0,MIN('Activities'!L534,510)-MAX('Activities'!K534,504))</x:f>
        <x:v>0</x:v>
      </x:c>
      <x:c r="CL534" s="22" t="n">
        <x:f>MAX(0,MIN('Activities'!L534,516)-MAX('Activities'!K534,510))</x:f>
        <x:v>0</x:v>
      </x:c>
      <x:c r="CM534" s="22" t="n">
        <x:f>MAX(0,MIN('Activities'!L534,522)-MAX('Activities'!K534,516))</x:f>
        <x:v>0</x:v>
      </x:c>
      <x:c r="CN534" s="22" t="n">
        <x:f>MAX(0,MIN('Activities'!L534,528)-MAX('Activities'!K534,522))</x:f>
        <x:v>0</x:v>
      </x:c>
      <x:c r="CO534" s="22" t="n">
        <x:f>MAX(0,MIN('Activities'!L534,534)-MAX('Activities'!K534,528))</x:f>
        <x:v>0</x:v>
      </x:c>
      <x:c r="CP534" s="22" t="n">
        <x:f>MAX(0,MIN('Activities'!L534,540)-MAX('Activities'!K534,534))</x:f>
        <x:v>0</x:v>
      </x:c>
      <x:c r="CQ534" s="22" t="n">
        <x:f>MAX(0,MIN('Activities'!L534,546)-MAX('Activities'!K534,540))</x:f>
        <x:v>0</x:v>
      </x:c>
      <x:c r="CR534" s="22" t="n">
        <x:f>MAX(0,MIN('Activities'!L534,552)-MAX('Activities'!K534,546))</x:f>
        <x:v>0</x:v>
      </x:c>
      <x:c r="CS534" s="22" t="n">
        <x:f>MAX(0,MIN('Activities'!L534,558)-MAX('Activities'!K534,552))</x:f>
        <x:v>0</x:v>
      </x:c>
      <x:c r="CT534" s="22" t="n">
        <x:f>MAX(0,MIN('Activities'!L534,564)-MAX('Activities'!K534,558))</x:f>
        <x:v>0</x:v>
      </x:c>
      <x:c r="CU534" s="22" t="n">
        <x:f>MAX(0,MIN('Activities'!L534,570)-MAX('Activities'!K534,564))</x:f>
        <x:v>0</x:v>
      </x:c>
      <x:c r="CV534" s="22" t="n">
        <x:f>MAX(0,MIN('Activities'!L534,576)-MAX('Activities'!K534,570))</x:f>
        <x:v>0</x:v>
      </x:c>
      <x:c r="CW534" s="22" t="n">
        <x:f>MAX(0,MIN('Activities'!L534,582)-MAX('Activities'!K534,576))</x:f>
        <x:v>0</x:v>
      </x:c>
      <x:c r="CX534" s="22" t="n">
        <x:f>MAX(0,MIN('Activities'!L534,588)-MAX('Activities'!K534,582))</x:f>
        <x:v>0</x:v>
      </x:c>
      <x:c r="CY534" s="22" t="n">
        <x:f>MAX(0,MIN('Activities'!L534,594)-MAX('Activities'!K534,588))</x:f>
        <x:v>0</x:v>
      </x:c>
      <x:c r="CZ534" s="22" t="n">
        <x:f>MAX(0,MIN('Activities'!L534,600)-MAX('Activities'!K534,594))</x:f>
        <x:v>0</x:v>
      </x:c>
      <x:c r="DA534" s="22" t="n">
        <x:f>MAX(0,MIN('Activities'!L534,606)-MAX('Activities'!K534,600))</x:f>
        <x:v>0</x:v>
      </x:c>
      <x:c r="DB534" s="22" t="n">
        <x:f>MAX(0,MIN('Activities'!L534,612)-MAX('Activities'!K534,606))</x:f>
        <x:v>0</x:v>
      </x:c>
      <x:c r="DC534" s="22" t="n">
        <x:f>MAX(0,MIN('Activities'!L534,618)-MAX('Activities'!K534,612))</x:f>
        <x:v>0</x:v>
      </x:c>
      <x:c r="DD534" s="22" t="n">
        <x:f>MAX(0,MIN('Activities'!L534,624)-MAX('Activities'!K534,618))</x:f>
        <x:v>0</x:v>
      </x:c>
      <x:c r="DE534" s="22" t="n">
        <x:f>MAX(0,MIN('Activities'!L534,630)-MAX('Activities'!K534,624))</x:f>
        <x:v>0</x:v>
      </x:c>
      <x:c r="DF534" s="22" t="n">
        <x:f>MAX(0,MIN('Activities'!L534,636)-MAX('Activities'!K534,630))</x:f>
        <x:v>0</x:v>
      </x:c>
    </x:row>
    <x:row r="535" ht="23" customHeight="1">
      <x:c r="A535" s="1" t="str">
        <x:v>T4-L10-D</x:v>
      </x:c>
      <x:c r="B535" s="1" t="str">
        <x:v>T4</x:v>
      </x:c>
      <x:c r="C535" s="1" t="str">
        <x:v>Door sets and ironmongery</x:v>
      </x:c>
      <x:c r="D535" s="1" t="str">
        <x:v>Finishes</x:v>
      </x:c>
      <x:c r="E535" s="23" t="n">
        <x:f>MAX(0,MIN('Activities'!L535,6)-MAX('Activities'!K535,0))</x:f>
        <x:v>0</x:v>
      </x:c>
      <x:c r="F535" s="23" t="n">
        <x:f>MAX(0,MIN('Activities'!L535,12)-MAX('Activities'!K535,6))</x:f>
        <x:v>0</x:v>
      </x:c>
      <x:c r="G535" s="23" t="n">
        <x:f>MAX(0,MIN('Activities'!L535,18)-MAX('Activities'!K535,12))</x:f>
        <x:v>0</x:v>
      </x:c>
      <x:c r="H535" s="23" t="n">
        <x:f>MAX(0,MIN('Activities'!L535,24)-MAX('Activities'!K535,18))</x:f>
        <x:v>0</x:v>
      </x:c>
      <x:c r="I535" s="23" t="n">
        <x:f>MAX(0,MIN('Activities'!L535,30)-MAX('Activities'!K535,24))</x:f>
        <x:v>0</x:v>
      </x:c>
      <x:c r="J535" s="23" t="n">
        <x:f>MAX(0,MIN('Activities'!L535,36)-MAX('Activities'!K535,30))</x:f>
        <x:v>0</x:v>
      </x:c>
      <x:c r="K535" s="23" t="n">
        <x:f>MAX(0,MIN('Activities'!L535,42)-MAX('Activities'!K535,36))</x:f>
        <x:v>0</x:v>
      </x:c>
      <x:c r="L535" s="23" t="n">
        <x:f>MAX(0,MIN('Activities'!L535,48)-MAX('Activities'!K535,42))</x:f>
        <x:v>0</x:v>
      </x:c>
      <x:c r="M535" s="23" t="n">
        <x:f>MAX(0,MIN('Activities'!L535,54)-MAX('Activities'!K535,48))</x:f>
        <x:v>0</x:v>
      </x:c>
      <x:c r="N535" s="23" t="n">
        <x:f>MAX(0,MIN('Activities'!L535,60)-MAX('Activities'!K535,54))</x:f>
        <x:v>0</x:v>
      </x:c>
      <x:c r="O535" s="23" t="n">
        <x:f>MAX(0,MIN('Activities'!L535,66)-MAX('Activities'!K535,60))</x:f>
        <x:v>0</x:v>
      </x:c>
      <x:c r="P535" s="23" t="n">
        <x:f>MAX(0,MIN('Activities'!L535,72)-MAX('Activities'!K535,66))</x:f>
        <x:v>0</x:v>
      </x:c>
      <x:c r="Q535" s="23" t="n">
        <x:f>MAX(0,MIN('Activities'!L535,78)-MAX('Activities'!K535,72))</x:f>
        <x:v>0</x:v>
      </x:c>
      <x:c r="R535" s="23" t="n">
        <x:f>MAX(0,MIN('Activities'!L535,84)-MAX('Activities'!K535,78))</x:f>
        <x:v>0</x:v>
      </x:c>
      <x:c r="S535" s="23" t="n">
        <x:f>MAX(0,MIN('Activities'!L535,90)-MAX('Activities'!K535,84))</x:f>
        <x:v>0</x:v>
      </x:c>
      <x:c r="T535" s="23" t="n">
        <x:f>MAX(0,MIN('Activities'!L535,96)-MAX('Activities'!K535,90))</x:f>
        <x:v>0</x:v>
      </x:c>
      <x:c r="U535" s="23" t="n">
        <x:f>MAX(0,MIN('Activities'!L535,102)-MAX('Activities'!K535,96))</x:f>
        <x:v>0</x:v>
      </x:c>
      <x:c r="V535" s="23" t="n">
        <x:f>MAX(0,MIN('Activities'!L535,108)-MAX('Activities'!K535,102))</x:f>
        <x:v>0</x:v>
      </x:c>
      <x:c r="W535" s="23" t="n">
        <x:f>MAX(0,MIN('Activities'!L535,114)-MAX('Activities'!K535,108))</x:f>
        <x:v>0</x:v>
      </x:c>
      <x:c r="X535" s="23" t="n">
        <x:f>MAX(0,MIN('Activities'!L535,120)-MAX('Activities'!K535,114))</x:f>
        <x:v>0</x:v>
      </x:c>
      <x:c r="Y535" s="23" t="n">
        <x:f>MAX(0,MIN('Activities'!L535,126)-MAX('Activities'!K535,120))</x:f>
        <x:v>0</x:v>
      </x:c>
      <x:c r="Z535" s="23" t="n">
        <x:f>MAX(0,MIN('Activities'!L535,132)-MAX('Activities'!K535,126))</x:f>
        <x:v>0</x:v>
      </x:c>
      <x:c r="AA535" s="23" t="n">
        <x:f>MAX(0,MIN('Activities'!L535,138)-MAX('Activities'!K535,132))</x:f>
        <x:v>0</x:v>
      </x:c>
      <x:c r="AB535" s="23" t="n">
        <x:f>MAX(0,MIN('Activities'!L535,144)-MAX('Activities'!K535,138))</x:f>
        <x:v>0</x:v>
      </x:c>
      <x:c r="AC535" s="23" t="n">
        <x:f>MAX(0,MIN('Activities'!L535,150)-MAX('Activities'!K535,144))</x:f>
        <x:v>0</x:v>
      </x:c>
      <x:c r="AD535" s="23" t="n">
        <x:f>MAX(0,MIN('Activities'!L535,156)-MAX('Activities'!K535,150))</x:f>
        <x:v>0</x:v>
      </x:c>
      <x:c r="AE535" s="23" t="n">
        <x:f>MAX(0,MIN('Activities'!L535,162)-MAX('Activities'!K535,156))</x:f>
        <x:v>0</x:v>
      </x:c>
      <x:c r="AF535" s="23" t="n">
        <x:f>MAX(0,MIN('Activities'!L535,168)-MAX('Activities'!K535,162))</x:f>
        <x:v>0</x:v>
      </x:c>
      <x:c r="AG535" s="23" t="n">
        <x:f>MAX(0,MIN('Activities'!L535,174)-MAX('Activities'!K535,168))</x:f>
        <x:v>0</x:v>
      </x:c>
      <x:c r="AH535" s="23" t="n">
        <x:f>MAX(0,MIN('Activities'!L535,180)-MAX('Activities'!K535,174))</x:f>
        <x:v>0</x:v>
      </x:c>
      <x:c r="AI535" s="23" t="n">
        <x:f>MAX(0,MIN('Activities'!L535,186)-MAX('Activities'!K535,180))</x:f>
        <x:v>0</x:v>
      </x:c>
      <x:c r="AJ535" s="23" t="n">
        <x:f>MAX(0,MIN('Activities'!L535,192)-MAX('Activities'!K535,186))</x:f>
        <x:v>0</x:v>
      </x:c>
      <x:c r="AK535" s="23" t="n">
        <x:f>MAX(0,MIN('Activities'!L535,198)-MAX('Activities'!K535,192))</x:f>
        <x:v>0</x:v>
      </x:c>
      <x:c r="AL535" s="23" t="n">
        <x:f>MAX(0,MIN('Activities'!L535,204)-MAX('Activities'!K535,198))</x:f>
        <x:v>0</x:v>
      </x:c>
      <x:c r="AM535" s="23" t="n">
        <x:f>MAX(0,MIN('Activities'!L535,210)-MAX('Activities'!K535,204))</x:f>
        <x:v>0</x:v>
      </x:c>
      <x:c r="AN535" s="23" t="n">
        <x:f>MAX(0,MIN('Activities'!L535,216)-MAX('Activities'!K535,210))</x:f>
        <x:v>0</x:v>
      </x:c>
      <x:c r="AO535" s="23" t="n">
        <x:f>MAX(0,MIN('Activities'!L535,222)-MAX('Activities'!K535,216))</x:f>
        <x:v>0</x:v>
      </x:c>
      <x:c r="AP535" s="23" t="n">
        <x:f>MAX(0,MIN('Activities'!L535,228)-MAX('Activities'!K535,222))</x:f>
        <x:v>0</x:v>
      </x:c>
      <x:c r="AQ535" s="23" t="n">
        <x:f>MAX(0,MIN('Activities'!L535,234)-MAX('Activities'!K535,228))</x:f>
        <x:v>0</x:v>
      </x:c>
      <x:c r="AR535" s="23" t="n">
        <x:f>MAX(0,MIN('Activities'!L535,240)-MAX('Activities'!K535,234))</x:f>
        <x:v>0</x:v>
      </x:c>
      <x:c r="AS535" s="23" t="n">
        <x:f>MAX(0,MIN('Activities'!L535,246)-MAX('Activities'!K535,240))</x:f>
        <x:v>0</x:v>
      </x:c>
      <x:c r="AT535" s="23" t="n">
        <x:f>MAX(0,MIN('Activities'!L535,252)-MAX('Activities'!K535,246))</x:f>
        <x:v>0</x:v>
      </x:c>
      <x:c r="AU535" s="23" t="n">
        <x:f>MAX(0,MIN('Activities'!L535,258)-MAX('Activities'!K535,252))</x:f>
        <x:v>0</x:v>
      </x:c>
      <x:c r="AV535" s="23" t="n">
        <x:f>MAX(0,MIN('Activities'!L535,264)-MAX('Activities'!K535,258))</x:f>
        <x:v>0</x:v>
      </x:c>
      <x:c r="AW535" s="23" t="n">
        <x:f>MAX(0,MIN('Activities'!L535,270)-MAX('Activities'!K535,264))</x:f>
        <x:v>0</x:v>
      </x:c>
      <x:c r="AX535" s="23" t="n">
        <x:f>MAX(0,MIN('Activities'!L535,276)-MAX('Activities'!K535,270))</x:f>
        <x:v>0</x:v>
      </x:c>
      <x:c r="AY535" s="23" t="n">
        <x:f>MAX(0,MIN('Activities'!L535,282)-MAX('Activities'!K535,276))</x:f>
        <x:v>0</x:v>
      </x:c>
      <x:c r="AZ535" s="23" t="n">
        <x:f>MAX(0,MIN('Activities'!L535,288)-MAX('Activities'!K535,282))</x:f>
        <x:v>0</x:v>
      </x:c>
      <x:c r="BA535" s="23" t="n">
        <x:f>MAX(0,MIN('Activities'!L535,294)-MAX('Activities'!K535,288))</x:f>
        <x:v>0</x:v>
      </x:c>
      <x:c r="BB535" s="23" t="n">
        <x:f>MAX(0,MIN('Activities'!L535,300)-MAX('Activities'!K535,294))</x:f>
        <x:v>0</x:v>
      </x:c>
      <x:c r="BC535" s="23" t="n">
        <x:f>MAX(0,MIN('Activities'!L535,306)-MAX('Activities'!K535,300))</x:f>
        <x:v>0</x:v>
      </x:c>
      <x:c r="BD535" s="23" t="n">
        <x:f>MAX(0,MIN('Activities'!L535,312)-MAX('Activities'!K535,306))</x:f>
        <x:v>0</x:v>
      </x:c>
      <x:c r="BE535" s="23" t="n">
        <x:f>MAX(0,MIN('Activities'!L535,318)-MAX('Activities'!K535,312))</x:f>
        <x:v>0</x:v>
      </x:c>
      <x:c r="BF535" s="23" t="n">
        <x:f>MAX(0,MIN('Activities'!L535,324)-MAX('Activities'!K535,318))</x:f>
        <x:v>0</x:v>
      </x:c>
      <x:c r="BG535" s="23" t="n">
        <x:f>MAX(0,MIN('Activities'!L535,330)-MAX('Activities'!K535,324))</x:f>
        <x:v>0</x:v>
      </x:c>
      <x:c r="BH535" s="23" t="n">
        <x:f>MAX(0,MIN('Activities'!L535,336)-MAX('Activities'!K535,330))</x:f>
        <x:v>0</x:v>
      </x:c>
      <x:c r="BI535" s="23" t="n">
        <x:f>MAX(0,MIN('Activities'!L535,342)-MAX('Activities'!K535,336))</x:f>
        <x:v>0</x:v>
      </x:c>
      <x:c r="BJ535" s="23" t="n">
        <x:f>MAX(0,MIN('Activities'!L535,348)-MAX('Activities'!K535,342))</x:f>
        <x:v>0</x:v>
      </x:c>
      <x:c r="BK535" s="23" t="n">
        <x:f>MAX(0,MIN('Activities'!L535,354)-MAX('Activities'!K535,348))</x:f>
        <x:v>0</x:v>
      </x:c>
      <x:c r="BL535" s="23" t="n">
        <x:f>MAX(0,MIN('Activities'!L535,360)-MAX('Activities'!K535,354))</x:f>
        <x:v>0</x:v>
      </x:c>
      <x:c r="BM535" s="23" t="n">
        <x:f>MAX(0,MIN('Activities'!L535,366)-MAX('Activities'!K535,360))</x:f>
        <x:v>0</x:v>
      </x:c>
      <x:c r="BN535" s="23" t="n">
        <x:f>MAX(0,MIN('Activities'!L535,372)-MAX('Activities'!K535,366))</x:f>
        <x:v>0</x:v>
      </x:c>
      <x:c r="BO535" s="23" t="n">
        <x:f>MAX(0,MIN('Activities'!L535,378)-MAX('Activities'!K535,372))</x:f>
        <x:v>0</x:v>
      </x:c>
      <x:c r="BP535" s="23" t="n">
        <x:f>MAX(0,MIN('Activities'!L535,384)-MAX('Activities'!K535,378))</x:f>
        <x:v>0</x:v>
      </x:c>
      <x:c r="BQ535" s="23" t="n">
        <x:f>MAX(0,MIN('Activities'!L535,390)-MAX('Activities'!K535,384))</x:f>
        <x:v>0</x:v>
      </x:c>
      <x:c r="BR535" s="23" t="n">
        <x:f>MAX(0,MIN('Activities'!L535,396)-MAX('Activities'!K535,390))</x:f>
        <x:v>0</x:v>
      </x:c>
      <x:c r="BS535" s="23" t="n">
        <x:f>MAX(0,MIN('Activities'!L535,402)-MAX('Activities'!K535,396))</x:f>
        <x:v>0</x:v>
      </x:c>
      <x:c r="BT535" s="23" t="n">
        <x:f>MAX(0,MIN('Activities'!L535,408)-MAX('Activities'!K535,402))</x:f>
        <x:v>0</x:v>
      </x:c>
      <x:c r="BU535" s="23" t="n">
        <x:f>MAX(0,MIN('Activities'!L535,414)-MAX('Activities'!K535,408))</x:f>
        <x:v>0</x:v>
      </x:c>
      <x:c r="BV535" s="23" t="n">
        <x:f>MAX(0,MIN('Activities'!L535,420)-MAX('Activities'!K535,414))</x:f>
        <x:v>0</x:v>
      </x:c>
      <x:c r="BW535" s="23" t="n">
        <x:f>MAX(0,MIN('Activities'!L535,426)-MAX('Activities'!K535,420))</x:f>
        <x:v>0</x:v>
      </x:c>
      <x:c r="BX535" s="23" t="n">
        <x:f>MAX(0,MIN('Activities'!L535,432)-MAX('Activities'!K535,426))</x:f>
        <x:v>0</x:v>
      </x:c>
      <x:c r="BY535" s="23" t="n">
        <x:f>MAX(0,MIN('Activities'!L535,438)-MAX('Activities'!K535,432))</x:f>
        <x:v>0</x:v>
      </x:c>
      <x:c r="BZ535" s="23" t="n">
        <x:f>MAX(0,MIN('Activities'!L535,444)-MAX('Activities'!K535,438))</x:f>
        <x:v>0</x:v>
      </x:c>
      <x:c r="CA535" s="23" t="n">
        <x:f>MAX(0,MIN('Activities'!L535,450)-MAX('Activities'!K535,444))</x:f>
        <x:v>0</x:v>
      </x:c>
      <x:c r="CB535" s="23" t="n">
        <x:f>MAX(0,MIN('Activities'!L535,456)-MAX('Activities'!K535,450))</x:f>
        <x:v>1</x:v>
      </x:c>
      <x:c r="CC535" s="23" t="n">
        <x:f>MAX(0,MIN('Activities'!L535,462)-MAX('Activities'!K535,456))</x:f>
        <x:v>2</x:v>
      </x:c>
      <x:c r="CD535" s="23" t="n">
        <x:f>MAX(0,MIN('Activities'!L535,468)-MAX('Activities'!K535,462))</x:f>
        <x:v>0</x:v>
      </x:c>
      <x:c r="CE535" s="23" t="n">
        <x:f>MAX(0,MIN('Activities'!L535,474)-MAX('Activities'!K535,468))</x:f>
        <x:v>0</x:v>
      </x:c>
      <x:c r="CF535" s="23" t="n">
        <x:f>MAX(0,MIN('Activities'!L535,480)-MAX('Activities'!K535,474))</x:f>
        <x:v>0</x:v>
      </x:c>
      <x:c r="CG535" s="23" t="n">
        <x:f>MAX(0,MIN('Activities'!L535,486)-MAX('Activities'!K535,480))</x:f>
        <x:v>0</x:v>
      </x:c>
      <x:c r="CH535" s="23" t="n">
        <x:f>MAX(0,MIN('Activities'!L535,492)-MAX('Activities'!K535,486))</x:f>
        <x:v>0</x:v>
      </x:c>
      <x:c r="CI535" s="23" t="n">
        <x:f>MAX(0,MIN('Activities'!L535,498)-MAX('Activities'!K535,492))</x:f>
        <x:v>0</x:v>
      </x:c>
      <x:c r="CJ535" s="23" t="n">
        <x:f>MAX(0,MIN('Activities'!L535,504)-MAX('Activities'!K535,498))</x:f>
        <x:v>0</x:v>
      </x:c>
      <x:c r="CK535" s="23" t="n">
        <x:f>MAX(0,MIN('Activities'!L535,510)-MAX('Activities'!K535,504))</x:f>
        <x:v>0</x:v>
      </x:c>
      <x:c r="CL535" s="23" t="n">
        <x:f>MAX(0,MIN('Activities'!L535,516)-MAX('Activities'!K535,510))</x:f>
        <x:v>0</x:v>
      </x:c>
      <x:c r="CM535" s="23" t="n">
        <x:f>MAX(0,MIN('Activities'!L535,522)-MAX('Activities'!K535,516))</x:f>
        <x:v>0</x:v>
      </x:c>
      <x:c r="CN535" s="23" t="n">
        <x:f>MAX(0,MIN('Activities'!L535,528)-MAX('Activities'!K535,522))</x:f>
        <x:v>0</x:v>
      </x:c>
      <x:c r="CO535" s="23" t="n">
        <x:f>MAX(0,MIN('Activities'!L535,534)-MAX('Activities'!K535,528))</x:f>
        <x:v>0</x:v>
      </x:c>
      <x:c r="CP535" s="23" t="n">
        <x:f>MAX(0,MIN('Activities'!L535,540)-MAX('Activities'!K535,534))</x:f>
        <x:v>0</x:v>
      </x:c>
      <x:c r="CQ535" s="23" t="n">
        <x:f>MAX(0,MIN('Activities'!L535,546)-MAX('Activities'!K535,540))</x:f>
        <x:v>0</x:v>
      </x:c>
      <x:c r="CR535" s="23" t="n">
        <x:f>MAX(0,MIN('Activities'!L535,552)-MAX('Activities'!K535,546))</x:f>
        <x:v>0</x:v>
      </x:c>
      <x:c r="CS535" s="23" t="n">
        <x:f>MAX(0,MIN('Activities'!L535,558)-MAX('Activities'!K535,552))</x:f>
        <x:v>0</x:v>
      </x:c>
      <x:c r="CT535" s="23" t="n">
        <x:f>MAX(0,MIN('Activities'!L535,564)-MAX('Activities'!K535,558))</x:f>
        <x:v>0</x:v>
      </x:c>
      <x:c r="CU535" s="23" t="n">
        <x:f>MAX(0,MIN('Activities'!L535,570)-MAX('Activities'!K535,564))</x:f>
        <x:v>0</x:v>
      </x:c>
      <x:c r="CV535" s="23" t="n">
        <x:f>MAX(0,MIN('Activities'!L535,576)-MAX('Activities'!K535,570))</x:f>
        <x:v>0</x:v>
      </x:c>
      <x:c r="CW535" s="23" t="n">
        <x:f>MAX(0,MIN('Activities'!L535,582)-MAX('Activities'!K535,576))</x:f>
        <x:v>0</x:v>
      </x:c>
      <x:c r="CX535" s="23" t="n">
        <x:f>MAX(0,MIN('Activities'!L535,588)-MAX('Activities'!K535,582))</x:f>
        <x:v>0</x:v>
      </x:c>
      <x:c r="CY535" s="23" t="n">
        <x:f>MAX(0,MIN('Activities'!L535,594)-MAX('Activities'!K535,588))</x:f>
        <x:v>0</x:v>
      </x:c>
      <x:c r="CZ535" s="23" t="n">
        <x:f>MAX(0,MIN('Activities'!L535,600)-MAX('Activities'!K535,594))</x:f>
        <x:v>0</x:v>
      </x:c>
      <x:c r="DA535" s="23" t="n">
        <x:f>MAX(0,MIN('Activities'!L535,606)-MAX('Activities'!K535,600))</x:f>
        <x:v>0</x:v>
      </x:c>
      <x:c r="DB535" s="23" t="n">
        <x:f>MAX(0,MIN('Activities'!L535,612)-MAX('Activities'!K535,606))</x:f>
        <x:v>0</x:v>
      </x:c>
      <x:c r="DC535" s="23" t="n">
        <x:f>MAX(0,MIN('Activities'!L535,618)-MAX('Activities'!K535,612))</x:f>
        <x:v>0</x:v>
      </x:c>
      <x:c r="DD535" s="23" t="n">
        <x:f>MAX(0,MIN('Activities'!L535,624)-MAX('Activities'!K535,618))</x:f>
        <x:v>0</x:v>
      </x:c>
      <x:c r="DE535" s="23" t="n">
        <x:f>MAX(0,MIN('Activities'!L535,630)-MAX('Activities'!K535,624))</x:f>
        <x:v>0</x:v>
      </x:c>
      <x:c r="DF535" s="23" t="n">
        <x:f>MAX(0,MIN('Activities'!L535,636)-MAX('Activities'!K535,630))</x:f>
        <x:v>0</x:v>
      </x:c>
    </x:row>
    <x:row r="536" ht="23" customHeight="1">
      <x:c r="A536" s="6" t="str">
        <x:v>T4-L11-M</x:v>
      </x:c>
      <x:c r="B536" s="6" t="str">
        <x:v>T4</x:v>
      </x:c>
      <x:c r="C536" s="6" t="str">
        <x:v>Partition masonry</x:v>
      </x:c>
      <x:c r="D536" s="6" t="str">
        <x:v>Masonry</x:v>
      </x:c>
      <x:c r="E536" s="22" t="n">
        <x:f>MAX(0,MIN('Activities'!L536,6)-MAX('Activities'!K536,0))</x:f>
        <x:v>0</x:v>
      </x:c>
      <x:c r="F536" s="22" t="n">
        <x:f>MAX(0,MIN('Activities'!L536,12)-MAX('Activities'!K536,6))</x:f>
        <x:v>0</x:v>
      </x:c>
      <x:c r="G536" s="22" t="n">
        <x:f>MAX(0,MIN('Activities'!L536,18)-MAX('Activities'!K536,12))</x:f>
        <x:v>0</x:v>
      </x:c>
      <x:c r="H536" s="22" t="n">
        <x:f>MAX(0,MIN('Activities'!L536,24)-MAX('Activities'!K536,18))</x:f>
        <x:v>0</x:v>
      </x:c>
      <x:c r="I536" s="22" t="n">
        <x:f>MAX(0,MIN('Activities'!L536,30)-MAX('Activities'!K536,24))</x:f>
        <x:v>0</x:v>
      </x:c>
      <x:c r="J536" s="22" t="n">
        <x:f>MAX(0,MIN('Activities'!L536,36)-MAX('Activities'!K536,30))</x:f>
        <x:v>0</x:v>
      </x:c>
      <x:c r="K536" s="22" t="n">
        <x:f>MAX(0,MIN('Activities'!L536,42)-MAX('Activities'!K536,36))</x:f>
        <x:v>0</x:v>
      </x:c>
      <x:c r="L536" s="22" t="n">
        <x:f>MAX(0,MIN('Activities'!L536,48)-MAX('Activities'!K536,42))</x:f>
        <x:v>0</x:v>
      </x:c>
      <x:c r="M536" s="22" t="n">
        <x:f>MAX(0,MIN('Activities'!L536,54)-MAX('Activities'!K536,48))</x:f>
        <x:v>0</x:v>
      </x:c>
      <x:c r="N536" s="22" t="n">
        <x:f>MAX(0,MIN('Activities'!L536,60)-MAX('Activities'!K536,54))</x:f>
        <x:v>0</x:v>
      </x:c>
      <x:c r="O536" s="22" t="n">
        <x:f>MAX(0,MIN('Activities'!L536,66)-MAX('Activities'!K536,60))</x:f>
        <x:v>0</x:v>
      </x:c>
      <x:c r="P536" s="22" t="n">
        <x:f>MAX(0,MIN('Activities'!L536,72)-MAX('Activities'!K536,66))</x:f>
        <x:v>0</x:v>
      </x:c>
      <x:c r="Q536" s="22" t="n">
        <x:f>MAX(0,MIN('Activities'!L536,78)-MAX('Activities'!K536,72))</x:f>
        <x:v>0</x:v>
      </x:c>
      <x:c r="R536" s="22" t="n">
        <x:f>MAX(0,MIN('Activities'!L536,84)-MAX('Activities'!K536,78))</x:f>
        <x:v>0</x:v>
      </x:c>
      <x:c r="S536" s="22" t="n">
        <x:f>MAX(0,MIN('Activities'!L536,90)-MAX('Activities'!K536,84))</x:f>
        <x:v>0</x:v>
      </x:c>
      <x:c r="T536" s="22" t="n">
        <x:f>MAX(0,MIN('Activities'!L536,96)-MAX('Activities'!K536,90))</x:f>
        <x:v>0</x:v>
      </x:c>
      <x:c r="U536" s="22" t="n">
        <x:f>MAX(0,MIN('Activities'!L536,102)-MAX('Activities'!K536,96))</x:f>
        <x:v>0</x:v>
      </x:c>
      <x:c r="V536" s="22" t="n">
        <x:f>MAX(0,MIN('Activities'!L536,108)-MAX('Activities'!K536,102))</x:f>
        <x:v>0</x:v>
      </x:c>
      <x:c r="W536" s="22" t="n">
        <x:f>MAX(0,MIN('Activities'!L536,114)-MAX('Activities'!K536,108))</x:f>
        <x:v>0</x:v>
      </x:c>
      <x:c r="X536" s="22" t="n">
        <x:f>MAX(0,MIN('Activities'!L536,120)-MAX('Activities'!K536,114))</x:f>
        <x:v>0</x:v>
      </x:c>
      <x:c r="Y536" s="22" t="n">
        <x:f>MAX(0,MIN('Activities'!L536,126)-MAX('Activities'!K536,120))</x:f>
        <x:v>0</x:v>
      </x:c>
      <x:c r="Z536" s="22" t="n">
        <x:f>MAX(0,MIN('Activities'!L536,132)-MAX('Activities'!K536,126))</x:f>
        <x:v>0</x:v>
      </x:c>
      <x:c r="AA536" s="22" t="n">
        <x:f>MAX(0,MIN('Activities'!L536,138)-MAX('Activities'!K536,132))</x:f>
        <x:v>0</x:v>
      </x:c>
      <x:c r="AB536" s="22" t="n">
        <x:f>MAX(0,MIN('Activities'!L536,144)-MAX('Activities'!K536,138))</x:f>
        <x:v>0</x:v>
      </x:c>
      <x:c r="AC536" s="22" t="n">
        <x:f>MAX(0,MIN('Activities'!L536,150)-MAX('Activities'!K536,144))</x:f>
        <x:v>0</x:v>
      </x:c>
      <x:c r="AD536" s="22" t="n">
        <x:f>MAX(0,MIN('Activities'!L536,156)-MAX('Activities'!K536,150))</x:f>
        <x:v>0</x:v>
      </x:c>
      <x:c r="AE536" s="22" t="n">
        <x:f>MAX(0,MIN('Activities'!L536,162)-MAX('Activities'!K536,156))</x:f>
        <x:v>0</x:v>
      </x:c>
      <x:c r="AF536" s="22" t="n">
        <x:f>MAX(0,MIN('Activities'!L536,168)-MAX('Activities'!K536,162))</x:f>
        <x:v>0</x:v>
      </x:c>
      <x:c r="AG536" s="22" t="n">
        <x:f>MAX(0,MIN('Activities'!L536,174)-MAX('Activities'!K536,168))</x:f>
        <x:v>0</x:v>
      </x:c>
      <x:c r="AH536" s="22" t="n">
        <x:f>MAX(0,MIN('Activities'!L536,180)-MAX('Activities'!K536,174))</x:f>
        <x:v>0</x:v>
      </x:c>
      <x:c r="AI536" s="22" t="n">
        <x:f>MAX(0,MIN('Activities'!L536,186)-MAX('Activities'!K536,180))</x:f>
        <x:v>0</x:v>
      </x:c>
      <x:c r="AJ536" s="22" t="n">
        <x:f>MAX(0,MIN('Activities'!L536,192)-MAX('Activities'!K536,186))</x:f>
        <x:v>0</x:v>
      </x:c>
      <x:c r="AK536" s="22" t="n">
        <x:f>MAX(0,MIN('Activities'!L536,198)-MAX('Activities'!K536,192))</x:f>
        <x:v>0</x:v>
      </x:c>
      <x:c r="AL536" s="22" t="n">
        <x:f>MAX(0,MIN('Activities'!L536,204)-MAX('Activities'!K536,198))</x:f>
        <x:v>0</x:v>
      </x:c>
      <x:c r="AM536" s="22" t="n">
        <x:f>MAX(0,MIN('Activities'!L536,210)-MAX('Activities'!K536,204))</x:f>
        <x:v>0</x:v>
      </x:c>
      <x:c r="AN536" s="22" t="n">
        <x:f>MAX(0,MIN('Activities'!L536,216)-MAX('Activities'!K536,210))</x:f>
        <x:v>0</x:v>
      </x:c>
      <x:c r="AO536" s="22" t="n">
        <x:f>MAX(0,MIN('Activities'!L536,222)-MAX('Activities'!K536,216))</x:f>
        <x:v>0</x:v>
      </x:c>
      <x:c r="AP536" s="22" t="n">
        <x:f>MAX(0,MIN('Activities'!L536,228)-MAX('Activities'!K536,222))</x:f>
        <x:v>0</x:v>
      </x:c>
      <x:c r="AQ536" s="22" t="n">
        <x:f>MAX(0,MIN('Activities'!L536,234)-MAX('Activities'!K536,228))</x:f>
        <x:v>0</x:v>
      </x:c>
      <x:c r="AR536" s="22" t="n">
        <x:f>MAX(0,MIN('Activities'!L536,240)-MAX('Activities'!K536,234))</x:f>
        <x:v>0</x:v>
      </x:c>
      <x:c r="AS536" s="22" t="n">
        <x:f>MAX(0,MIN('Activities'!L536,246)-MAX('Activities'!K536,240))</x:f>
        <x:v>0</x:v>
      </x:c>
      <x:c r="AT536" s="22" t="n">
        <x:f>MAX(0,MIN('Activities'!L536,252)-MAX('Activities'!K536,246))</x:f>
        <x:v>0</x:v>
      </x:c>
      <x:c r="AU536" s="22" t="n">
        <x:f>MAX(0,MIN('Activities'!L536,258)-MAX('Activities'!K536,252))</x:f>
        <x:v>0</x:v>
      </x:c>
      <x:c r="AV536" s="22" t="n">
        <x:f>MAX(0,MIN('Activities'!L536,264)-MAX('Activities'!K536,258))</x:f>
        <x:v>0</x:v>
      </x:c>
      <x:c r="AW536" s="22" t="n">
        <x:f>MAX(0,MIN('Activities'!L536,270)-MAX('Activities'!K536,264))</x:f>
        <x:v>0</x:v>
      </x:c>
      <x:c r="AX536" s="22" t="n">
        <x:f>MAX(0,MIN('Activities'!L536,276)-MAX('Activities'!K536,270))</x:f>
        <x:v>0</x:v>
      </x:c>
      <x:c r="AY536" s="22" t="n">
        <x:f>MAX(0,MIN('Activities'!L536,282)-MAX('Activities'!K536,276))</x:f>
        <x:v>0</x:v>
      </x:c>
      <x:c r="AZ536" s="22" t="n">
        <x:f>MAX(0,MIN('Activities'!L536,288)-MAX('Activities'!K536,282))</x:f>
        <x:v>0</x:v>
      </x:c>
      <x:c r="BA536" s="22" t="n">
        <x:f>MAX(0,MIN('Activities'!L536,294)-MAX('Activities'!K536,288))</x:f>
        <x:v>0</x:v>
      </x:c>
      <x:c r="BB536" s="22" t="n">
        <x:f>MAX(0,MIN('Activities'!L536,300)-MAX('Activities'!K536,294))</x:f>
        <x:v>0</x:v>
      </x:c>
      <x:c r="BC536" s="22" t="n">
        <x:f>MAX(0,MIN('Activities'!L536,306)-MAX('Activities'!K536,300))</x:f>
        <x:v>0</x:v>
      </x:c>
      <x:c r="BD536" s="22" t="n">
        <x:f>MAX(0,MIN('Activities'!L536,312)-MAX('Activities'!K536,306))</x:f>
        <x:v>0</x:v>
      </x:c>
      <x:c r="BE536" s="22" t="n">
        <x:f>MAX(0,MIN('Activities'!L536,318)-MAX('Activities'!K536,312))</x:f>
        <x:v>0</x:v>
      </x:c>
      <x:c r="BF536" s="22" t="n">
        <x:f>MAX(0,MIN('Activities'!L536,324)-MAX('Activities'!K536,318))</x:f>
        <x:v>0</x:v>
      </x:c>
      <x:c r="BG536" s="22" t="n">
        <x:f>MAX(0,MIN('Activities'!L536,330)-MAX('Activities'!K536,324))</x:f>
        <x:v>0</x:v>
      </x:c>
      <x:c r="BH536" s="22" t="n">
        <x:f>MAX(0,MIN('Activities'!L536,336)-MAX('Activities'!K536,330))</x:f>
        <x:v>0</x:v>
      </x:c>
      <x:c r="BI536" s="22" t="n">
        <x:f>MAX(0,MIN('Activities'!L536,342)-MAX('Activities'!K536,336))</x:f>
        <x:v>0</x:v>
      </x:c>
      <x:c r="BJ536" s="22" t="n">
        <x:f>MAX(0,MIN('Activities'!L536,348)-MAX('Activities'!K536,342))</x:f>
        <x:v>0</x:v>
      </x:c>
      <x:c r="BK536" s="22" t="n">
        <x:f>MAX(0,MIN('Activities'!L536,354)-MAX('Activities'!K536,348))</x:f>
        <x:v>0</x:v>
      </x:c>
      <x:c r="BL536" s="22" t="n">
        <x:f>MAX(0,MIN('Activities'!L536,360)-MAX('Activities'!K536,354))</x:f>
        <x:v>0</x:v>
      </x:c>
      <x:c r="BM536" s="22" t="n">
        <x:f>MAX(0,MIN('Activities'!L536,366)-MAX('Activities'!K536,360))</x:f>
        <x:v>0</x:v>
      </x:c>
      <x:c r="BN536" s="22" t="n">
        <x:f>MAX(0,MIN('Activities'!L536,372)-MAX('Activities'!K536,366))</x:f>
        <x:v>0</x:v>
      </x:c>
      <x:c r="BO536" s="22" t="n">
        <x:f>MAX(0,MIN('Activities'!L536,378)-MAX('Activities'!K536,372))</x:f>
        <x:v>0</x:v>
      </x:c>
      <x:c r="BP536" s="22" t="n">
        <x:f>MAX(0,MIN('Activities'!L536,384)-MAX('Activities'!K536,378))</x:f>
        <x:v>0</x:v>
      </x:c>
      <x:c r="BQ536" s="22" t="n">
        <x:f>MAX(0,MIN('Activities'!L536,390)-MAX('Activities'!K536,384))</x:f>
        <x:v>0</x:v>
      </x:c>
      <x:c r="BR536" s="22" t="n">
        <x:f>MAX(0,MIN('Activities'!L536,396)-MAX('Activities'!K536,390))</x:f>
        <x:v>0</x:v>
      </x:c>
      <x:c r="BS536" s="22" t="n">
        <x:f>MAX(0,MIN('Activities'!L536,402)-MAX('Activities'!K536,396))</x:f>
        <x:v>0</x:v>
      </x:c>
      <x:c r="BT536" s="22" t="n">
        <x:f>MAX(0,MIN('Activities'!L536,408)-MAX('Activities'!K536,402))</x:f>
        <x:v>0</x:v>
      </x:c>
      <x:c r="BU536" s="22" t="n">
        <x:f>MAX(0,MIN('Activities'!L536,414)-MAX('Activities'!K536,408))</x:f>
        <x:v>5</x:v>
      </x:c>
      <x:c r="BV536" s="22" t="n">
        <x:f>MAX(0,MIN('Activities'!L536,420)-MAX('Activities'!K536,414))</x:f>
        <x:v>0</x:v>
      </x:c>
      <x:c r="BW536" s="22" t="n">
        <x:f>MAX(0,MIN('Activities'!L536,426)-MAX('Activities'!K536,420))</x:f>
        <x:v>0</x:v>
      </x:c>
      <x:c r="BX536" s="22" t="n">
        <x:f>MAX(0,MIN('Activities'!L536,432)-MAX('Activities'!K536,426))</x:f>
        <x:v>0</x:v>
      </x:c>
      <x:c r="BY536" s="22" t="n">
        <x:f>MAX(0,MIN('Activities'!L536,438)-MAX('Activities'!K536,432))</x:f>
        <x:v>0</x:v>
      </x:c>
      <x:c r="BZ536" s="22" t="n">
        <x:f>MAX(0,MIN('Activities'!L536,444)-MAX('Activities'!K536,438))</x:f>
        <x:v>0</x:v>
      </x:c>
      <x:c r="CA536" s="22" t="n">
        <x:f>MAX(0,MIN('Activities'!L536,450)-MAX('Activities'!K536,444))</x:f>
        <x:v>0</x:v>
      </x:c>
      <x:c r="CB536" s="22" t="n">
        <x:f>MAX(0,MIN('Activities'!L536,456)-MAX('Activities'!K536,450))</x:f>
        <x:v>0</x:v>
      </x:c>
      <x:c r="CC536" s="22" t="n">
        <x:f>MAX(0,MIN('Activities'!L536,462)-MAX('Activities'!K536,456))</x:f>
        <x:v>0</x:v>
      </x:c>
      <x:c r="CD536" s="22" t="n">
        <x:f>MAX(0,MIN('Activities'!L536,468)-MAX('Activities'!K536,462))</x:f>
        <x:v>0</x:v>
      </x:c>
      <x:c r="CE536" s="22" t="n">
        <x:f>MAX(0,MIN('Activities'!L536,474)-MAX('Activities'!K536,468))</x:f>
        <x:v>0</x:v>
      </x:c>
      <x:c r="CF536" s="22" t="n">
        <x:f>MAX(0,MIN('Activities'!L536,480)-MAX('Activities'!K536,474))</x:f>
        <x:v>0</x:v>
      </x:c>
      <x:c r="CG536" s="22" t="n">
        <x:f>MAX(0,MIN('Activities'!L536,486)-MAX('Activities'!K536,480))</x:f>
        <x:v>0</x:v>
      </x:c>
      <x:c r="CH536" s="22" t="n">
        <x:f>MAX(0,MIN('Activities'!L536,492)-MAX('Activities'!K536,486))</x:f>
        <x:v>0</x:v>
      </x:c>
      <x:c r="CI536" s="22" t="n">
        <x:f>MAX(0,MIN('Activities'!L536,498)-MAX('Activities'!K536,492))</x:f>
        <x:v>0</x:v>
      </x:c>
      <x:c r="CJ536" s="22" t="n">
        <x:f>MAX(0,MIN('Activities'!L536,504)-MAX('Activities'!K536,498))</x:f>
        <x:v>0</x:v>
      </x:c>
      <x:c r="CK536" s="22" t="n">
        <x:f>MAX(0,MIN('Activities'!L536,510)-MAX('Activities'!K536,504))</x:f>
        <x:v>0</x:v>
      </x:c>
      <x:c r="CL536" s="22" t="n">
        <x:f>MAX(0,MIN('Activities'!L536,516)-MAX('Activities'!K536,510))</x:f>
        <x:v>0</x:v>
      </x:c>
      <x:c r="CM536" s="22" t="n">
        <x:f>MAX(0,MIN('Activities'!L536,522)-MAX('Activities'!K536,516))</x:f>
        <x:v>0</x:v>
      </x:c>
      <x:c r="CN536" s="22" t="n">
        <x:f>MAX(0,MIN('Activities'!L536,528)-MAX('Activities'!K536,522))</x:f>
        <x:v>0</x:v>
      </x:c>
      <x:c r="CO536" s="22" t="n">
        <x:f>MAX(0,MIN('Activities'!L536,534)-MAX('Activities'!K536,528))</x:f>
        <x:v>0</x:v>
      </x:c>
      <x:c r="CP536" s="22" t="n">
        <x:f>MAX(0,MIN('Activities'!L536,540)-MAX('Activities'!K536,534))</x:f>
        <x:v>0</x:v>
      </x:c>
      <x:c r="CQ536" s="22" t="n">
        <x:f>MAX(0,MIN('Activities'!L536,546)-MAX('Activities'!K536,540))</x:f>
        <x:v>0</x:v>
      </x:c>
      <x:c r="CR536" s="22" t="n">
        <x:f>MAX(0,MIN('Activities'!L536,552)-MAX('Activities'!K536,546))</x:f>
        <x:v>0</x:v>
      </x:c>
      <x:c r="CS536" s="22" t="n">
        <x:f>MAX(0,MIN('Activities'!L536,558)-MAX('Activities'!K536,552))</x:f>
        <x:v>0</x:v>
      </x:c>
      <x:c r="CT536" s="22" t="n">
        <x:f>MAX(0,MIN('Activities'!L536,564)-MAX('Activities'!K536,558))</x:f>
        <x:v>0</x:v>
      </x:c>
      <x:c r="CU536" s="22" t="n">
        <x:f>MAX(0,MIN('Activities'!L536,570)-MAX('Activities'!K536,564))</x:f>
        <x:v>0</x:v>
      </x:c>
      <x:c r="CV536" s="22" t="n">
        <x:f>MAX(0,MIN('Activities'!L536,576)-MAX('Activities'!K536,570))</x:f>
        <x:v>0</x:v>
      </x:c>
      <x:c r="CW536" s="22" t="n">
        <x:f>MAX(0,MIN('Activities'!L536,582)-MAX('Activities'!K536,576))</x:f>
        <x:v>0</x:v>
      </x:c>
      <x:c r="CX536" s="22" t="n">
        <x:f>MAX(0,MIN('Activities'!L536,588)-MAX('Activities'!K536,582))</x:f>
        <x:v>0</x:v>
      </x:c>
      <x:c r="CY536" s="22" t="n">
        <x:f>MAX(0,MIN('Activities'!L536,594)-MAX('Activities'!K536,588))</x:f>
        <x:v>0</x:v>
      </x:c>
      <x:c r="CZ536" s="22" t="n">
        <x:f>MAX(0,MIN('Activities'!L536,600)-MAX('Activities'!K536,594))</x:f>
        <x:v>0</x:v>
      </x:c>
      <x:c r="DA536" s="22" t="n">
        <x:f>MAX(0,MIN('Activities'!L536,606)-MAX('Activities'!K536,600))</x:f>
        <x:v>0</x:v>
      </x:c>
      <x:c r="DB536" s="22" t="n">
        <x:f>MAX(0,MIN('Activities'!L536,612)-MAX('Activities'!K536,606))</x:f>
        <x:v>0</x:v>
      </x:c>
      <x:c r="DC536" s="22" t="n">
        <x:f>MAX(0,MIN('Activities'!L536,618)-MAX('Activities'!K536,612))</x:f>
        <x:v>0</x:v>
      </x:c>
      <x:c r="DD536" s="22" t="n">
        <x:f>MAX(0,MIN('Activities'!L536,624)-MAX('Activities'!K536,618))</x:f>
        <x:v>0</x:v>
      </x:c>
      <x:c r="DE536" s="22" t="n">
        <x:f>MAX(0,MIN('Activities'!L536,630)-MAX('Activities'!K536,624))</x:f>
        <x:v>0</x:v>
      </x:c>
      <x:c r="DF536" s="22" t="n">
        <x:f>MAX(0,MIN('Activities'!L536,636)-MAX('Activities'!K536,630))</x:f>
        <x:v>0</x:v>
      </x:c>
    </x:row>
    <x:row r="537" ht="23" customHeight="1">
      <x:c r="A537" s="1" t="str">
        <x:v>T4-L11-P</x:v>
      </x:c>
      <x:c r="B537" s="1" t="str">
        <x:v>T4</x:v>
      </x:c>
      <x:c r="C537" s="1" t="str">
        <x:v>Internal plaster</x:v>
      </x:c>
      <x:c r="D537" s="1" t="str">
        <x:v>Finishes</x:v>
      </x:c>
      <x:c r="E537" s="23" t="n">
        <x:f>MAX(0,MIN('Activities'!L537,6)-MAX('Activities'!K537,0))</x:f>
        <x:v>0</x:v>
      </x:c>
      <x:c r="F537" s="23" t="n">
        <x:f>MAX(0,MIN('Activities'!L537,12)-MAX('Activities'!K537,6))</x:f>
        <x:v>0</x:v>
      </x:c>
      <x:c r="G537" s="23" t="n">
        <x:f>MAX(0,MIN('Activities'!L537,18)-MAX('Activities'!K537,12))</x:f>
        <x:v>0</x:v>
      </x:c>
      <x:c r="H537" s="23" t="n">
        <x:f>MAX(0,MIN('Activities'!L537,24)-MAX('Activities'!K537,18))</x:f>
        <x:v>0</x:v>
      </x:c>
      <x:c r="I537" s="23" t="n">
        <x:f>MAX(0,MIN('Activities'!L537,30)-MAX('Activities'!K537,24))</x:f>
        <x:v>0</x:v>
      </x:c>
      <x:c r="J537" s="23" t="n">
        <x:f>MAX(0,MIN('Activities'!L537,36)-MAX('Activities'!K537,30))</x:f>
        <x:v>0</x:v>
      </x:c>
      <x:c r="K537" s="23" t="n">
        <x:f>MAX(0,MIN('Activities'!L537,42)-MAX('Activities'!K537,36))</x:f>
        <x:v>0</x:v>
      </x:c>
      <x:c r="L537" s="23" t="n">
        <x:f>MAX(0,MIN('Activities'!L537,48)-MAX('Activities'!K537,42))</x:f>
        <x:v>0</x:v>
      </x:c>
      <x:c r="M537" s="23" t="n">
        <x:f>MAX(0,MIN('Activities'!L537,54)-MAX('Activities'!K537,48))</x:f>
        <x:v>0</x:v>
      </x:c>
      <x:c r="N537" s="23" t="n">
        <x:f>MAX(0,MIN('Activities'!L537,60)-MAX('Activities'!K537,54))</x:f>
        <x:v>0</x:v>
      </x:c>
      <x:c r="O537" s="23" t="n">
        <x:f>MAX(0,MIN('Activities'!L537,66)-MAX('Activities'!K537,60))</x:f>
        <x:v>0</x:v>
      </x:c>
      <x:c r="P537" s="23" t="n">
        <x:f>MAX(0,MIN('Activities'!L537,72)-MAX('Activities'!K537,66))</x:f>
        <x:v>0</x:v>
      </x:c>
      <x:c r="Q537" s="23" t="n">
        <x:f>MAX(0,MIN('Activities'!L537,78)-MAX('Activities'!K537,72))</x:f>
        <x:v>0</x:v>
      </x:c>
      <x:c r="R537" s="23" t="n">
        <x:f>MAX(0,MIN('Activities'!L537,84)-MAX('Activities'!K537,78))</x:f>
        <x:v>0</x:v>
      </x:c>
      <x:c r="S537" s="23" t="n">
        <x:f>MAX(0,MIN('Activities'!L537,90)-MAX('Activities'!K537,84))</x:f>
        <x:v>0</x:v>
      </x:c>
      <x:c r="T537" s="23" t="n">
        <x:f>MAX(0,MIN('Activities'!L537,96)-MAX('Activities'!K537,90))</x:f>
        <x:v>0</x:v>
      </x:c>
      <x:c r="U537" s="23" t="n">
        <x:f>MAX(0,MIN('Activities'!L537,102)-MAX('Activities'!K537,96))</x:f>
        <x:v>0</x:v>
      </x:c>
      <x:c r="V537" s="23" t="n">
        <x:f>MAX(0,MIN('Activities'!L537,108)-MAX('Activities'!K537,102))</x:f>
        <x:v>0</x:v>
      </x:c>
      <x:c r="W537" s="23" t="n">
        <x:f>MAX(0,MIN('Activities'!L537,114)-MAX('Activities'!K537,108))</x:f>
        <x:v>0</x:v>
      </x:c>
      <x:c r="X537" s="23" t="n">
        <x:f>MAX(0,MIN('Activities'!L537,120)-MAX('Activities'!K537,114))</x:f>
        <x:v>0</x:v>
      </x:c>
      <x:c r="Y537" s="23" t="n">
        <x:f>MAX(0,MIN('Activities'!L537,126)-MAX('Activities'!K537,120))</x:f>
        <x:v>0</x:v>
      </x:c>
      <x:c r="Z537" s="23" t="n">
        <x:f>MAX(0,MIN('Activities'!L537,132)-MAX('Activities'!K537,126))</x:f>
        <x:v>0</x:v>
      </x:c>
      <x:c r="AA537" s="23" t="n">
        <x:f>MAX(0,MIN('Activities'!L537,138)-MAX('Activities'!K537,132))</x:f>
        <x:v>0</x:v>
      </x:c>
      <x:c r="AB537" s="23" t="n">
        <x:f>MAX(0,MIN('Activities'!L537,144)-MAX('Activities'!K537,138))</x:f>
        <x:v>0</x:v>
      </x:c>
      <x:c r="AC537" s="23" t="n">
        <x:f>MAX(0,MIN('Activities'!L537,150)-MAX('Activities'!K537,144))</x:f>
        <x:v>0</x:v>
      </x:c>
      <x:c r="AD537" s="23" t="n">
        <x:f>MAX(0,MIN('Activities'!L537,156)-MAX('Activities'!K537,150))</x:f>
        <x:v>0</x:v>
      </x:c>
      <x:c r="AE537" s="23" t="n">
        <x:f>MAX(0,MIN('Activities'!L537,162)-MAX('Activities'!K537,156))</x:f>
        <x:v>0</x:v>
      </x:c>
      <x:c r="AF537" s="23" t="n">
        <x:f>MAX(0,MIN('Activities'!L537,168)-MAX('Activities'!K537,162))</x:f>
        <x:v>0</x:v>
      </x:c>
      <x:c r="AG537" s="23" t="n">
        <x:f>MAX(0,MIN('Activities'!L537,174)-MAX('Activities'!K537,168))</x:f>
        <x:v>0</x:v>
      </x:c>
      <x:c r="AH537" s="23" t="n">
        <x:f>MAX(0,MIN('Activities'!L537,180)-MAX('Activities'!K537,174))</x:f>
        <x:v>0</x:v>
      </x:c>
      <x:c r="AI537" s="23" t="n">
        <x:f>MAX(0,MIN('Activities'!L537,186)-MAX('Activities'!K537,180))</x:f>
        <x:v>0</x:v>
      </x:c>
      <x:c r="AJ537" s="23" t="n">
        <x:f>MAX(0,MIN('Activities'!L537,192)-MAX('Activities'!K537,186))</x:f>
        <x:v>0</x:v>
      </x:c>
      <x:c r="AK537" s="23" t="n">
        <x:f>MAX(0,MIN('Activities'!L537,198)-MAX('Activities'!K537,192))</x:f>
        <x:v>0</x:v>
      </x:c>
      <x:c r="AL537" s="23" t="n">
        <x:f>MAX(0,MIN('Activities'!L537,204)-MAX('Activities'!K537,198))</x:f>
        <x:v>0</x:v>
      </x:c>
      <x:c r="AM537" s="23" t="n">
        <x:f>MAX(0,MIN('Activities'!L537,210)-MAX('Activities'!K537,204))</x:f>
        <x:v>0</x:v>
      </x:c>
      <x:c r="AN537" s="23" t="n">
        <x:f>MAX(0,MIN('Activities'!L537,216)-MAX('Activities'!K537,210))</x:f>
        <x:v>0</x:v>
      </x:c>
      <x:c r="AO537" s="23" t="n">
        <x:f>MAX(0,MIN('Activities'!L537,222)-MAX('Activities'!K537,216))</x:f>
        <x:v>0</x:v>
      </x:c>
      <x:c r="AP537" s="23" t="n">
        <x:f>MAX(0,MIN('Activities'!L537,228)-MAX('Activities'!K537,222))</x:f>
        <x:v>0</x:v>
      </x:c>
      <x:c r="AQ537" s="23" t="n">
        <x:f>MAX(0,MIN('Activities'!L537,234)-MAX('Activities'!K537,228))</x:f>
        <x:v>0</x:v>
      </x:c>
      <x:c r="AR537" s="23" t="n">
        <x:f>MAX(0,MIN('Activities'!L537,240)-MAX('Activities'!K537,234))</x:f>
        <x:v>0</x:v>
      </x:c>
      <x:c r="AS537" s="23" t="n">
        <x:f>MAX(0,MIN('Activities'!L537,246)-MAX('Activities'!K537,240))</x:f>
        <x:v>0</x:v>
      </x:c>
      <x:c r="AT537" s="23" t="n">
        <x:f>MAX(0,MIN('Activities'!L537,252)-MAX('Activities'!K537,246))</x:f>
        <x:v>0</x:v>
      </x:c>
      <x:c r="AU537" s="23" t="n">
        <x:f>MAX(0,MIN('Activities'!L537,258)-MAX('Activities'!K537,252))</x:f>
        <x:v>0</x:v>
      </x:c>
      <x:c r="AV537" s="23" t="n">
        <x:f>MAX(0,MIN('Activities'!L537,264)-MAX('Activities'!K537,258))</x:f>
        <x:v>0</x:v>
      </x:c>
      <x:c r="AW537" s="23" t="n">
        <x:f>MAX(0,MIN('Activities'!L537,270)-MAX('Activities'!K537,264))</x:f>
        <x:v>0</x:v>
      </x:c>
      <x:c r="AX537" s="23" t="n">
        <x:f>MAX(0,MIN('Activities'!L537,276)-MAX('Activities'!K537,270))</x:f>
        <x:v>0</x:v>
      </x:c>
      <x:c r="AY537" s="23" t="n">
        <x:f>MAX(0,MIN('Activities'!L537,282)-MAX('Activities'!K537,276))</x:f>
        <x:v>0</x:v>
      </x:c>
      <x:c r="AZ537" s="23" t="n">
        <x:f>MAX(0,MIN('Activities'!L537,288)-MAX('Activities'!K537,282))</x:f>
        <x:v>0</x:v>
      </x:c>
      <x:c r="BA537" s="23" t="n">
        <x:f>MAX(0,MIN('Activities'!L537,294)-MAX('Activities'!K537,288))</x:f>
        <x:v>0</x:v>
      </x:c>
      <x:c r="BB537" s="23" t="n">
        <x:f>MAX(0,MIN('Activities'!L537,300)-MAX('Activities'!K537,294))</x:f>
        <x:v>0</x:v>
      </x:c>
      <x:c r="BC537" s="23" t="n">
        <x:f>MAX(0,MIN('Activities'!L537,306)-MAX('Activities'!K537,300))</x:f>
        <x:v>0</x:v>
      </x:c>
      <x:c r="BD537" s="23" t="n">
        <x:f>MAX(0,MIN('Activities'!L537,312)-MAX('Activities'!K537,306))</x:f>
        <x:v>0</x:v>
      </x:c>
      <x:c r="BE537" s="23" t="n">
        <x:f>MAX(0,MIN('Activities'!L537,318)-MAX('Activities'!K537,312))</x:f>
        <x:v>0</x:v>
      </x:c>
      <x:c r="BF537" s="23" t="n">
        <x:f>MAX(0,MIN('Activities'!L537,324)-MAX('Activities'!K537,318))</x:f>
        <x:v>0</x:v>
      </x:c>
      <x:c r="BG537" s="23" t="n">
        <x:f>MAX(0,MIN('Activities'!L537,330)-MAX('Activities'!K537,324))</x:f>
        <x:v>0</x:v>
      </x:c>
      <x:c r="BH537" s="23" t="n">
        <x:f>MAX(0,MIN('Activities'!L537,336)-MAX('Activities'!K537,330))</x:f>
        <x:v>0</x:v>
      </x:c>
      <x:c r="BI537" s="23" t="n">
        <x:f>MAX(0,MIN('Activities'!L537,342)-MAX('Activities'!K537,336))</x:f>
        <x:v>0</x:v>
      </x:c>
      <x:c r="BJ537" s="23" t="n">
        <x:f>MAX(0,MIN('Activities'!L537,348)-MAX('Activities'!K537,342))</x:f>
        <x:v>0</x:v>
      </x:c>
      <x:c r="BK537" s="23" t="n">
        <x:f>MAX(0,MIN('Activities'!L537,354)-MAX('Activities'!K537,348))</x:f>
        <x:v>0</x:v>
      </x:c>
      <x:c r="BL537" s="23" t="n">
        <x:f>MAX(0,MIN('Activities'!L537,360)-MAX('Activities'!K537,354))</x:f>
        <x:v>0</x:v>
      </x:c>
      <x:c r="BM537" s="23" t="n">
        <x:f>MAX(0,MIN('Activities'!L537,366)-MAX('Activities'!K537,360))</x:f>
        <x:v>0</x:v>
      </x:c>
      <x:c r="BN537" s="23" t="n">
        <x:f>MAX(0,MIN('Activities'!L537,372)-MAX('Activities'!K537,366))</x:f>
        <x:v>0</x:v>
      </x:c>
      <x:c r="BO537" s="23" t="n">
        <x:f>MAX(0,MIN('Activities'!L537,378)-MAX('Activities'!K537,372))</x:f>
        <x:v>0</x:v>
      </x:c>
      <x:c r="BP537" s="23" t="n">
        <x:f>MAX(0,MIN('Activities'!L537,384)-MAX('Activities'!K537,378))</x:f>
        <x:v>0</x:v>
      </x:c>
      <x:c r="BQ537" s="23" t="n">
        <x:f>MAX(0,MIN('Activities'!L537,390)-MAX('Activities'!K537,384))</x:f>
        <x:v>0</x:v>
      </x:c>
      <x:c r="BR537" s="23" t="n">
        <x:f>MAX(0,MIN('Activities'!L537,396)-MAX('Activities'!K537,390))</x:f>
        <x:v>0</x:v>
      </x:c>
      <x:c r="BS537" s="23" t="n">
        <x:f>MAX(0,MIN('Activities'!L537,402)-MAX('Activities'!K537,396))</x:f>
        <x:v>0</x:v>
      </x:c>
      <x:c r="BT537" s="23" t="n">
        <x:f>MAX(0,MIN('Activities'!L537,408)-MAX('Activities'!K537,402))</x:f>
        <x:v>0</x:v>
      </x:c>
      <x:c r="BU537" s="23" t="n">
        <x:f>MAX(0,MIN('Activities'!L537,414)-MAX('Activities'!K537,408))</x:f>
        <x:v>0</x:v>
      </x:c>
      <x:c r="BV537" s="23" t="n">
        <x:f>MAX(0,MIN('Activities'!L537,420)-MAX('Activities'!K537,414))</x:f>
        <x:v>3</x:v>
      </x:c>
      <x:c r="BW537" s="23" t="n">
        <x:f>MAX(0,MIN('Activities'!L537,426)-MAX('Activities'!K537,420))</x:f>
        <x:v>3</x:v>
      </x:c>
      <x:c r="BX537" s="23" t="n">
        <x:f>MAX(0,MIN('Activities'!L537,432)-MAX('Activities'!K537,426))</x:f>
        <x:v>0</x:v>
      </x:c>
      <x:c r="BY537" s="23" t="n">
        <x:f>MAX(0,MIN('Activities'!L537,438)-MAX('Activities'!K537,432))</x:f>
        <x:v>0</x:v>
      </x:c>
      <x:c r="BZ537" s="23" t="n">
        <x:f>MAX(0,MIN('Activities'!L537,444)-MAX('Activities'!K537,438))</x:f>
        <x:v>0</x:v>
      </x:c>
      <x:c r="CA537" s="23" t="n">
        <x:f>MAX(0,MIN('Activities'!L537,450)-MAX('Activities'!K537,444))</x:f>
        <x:v>0</x:v>
      </x:c>
      <x:c r="CB537" s="23" t="n">
        <x:f>MAX(0,MIN('Activities'!L537,456)-MAX('Activities'!K537,450))</x:f>
        <x:v>0</x:v>
      </x:c>
      <x:c r="CC537" s="23" t="n">
        <x:f>MAX(0,MIN('Activities'!L537,462)-MAX('Activities'!K537,456))</x:f>
        <x:v>0</x:v>
      </x:c>
      <x:c r="CD537" s="23" t="n">
        <x:f>MAX(0,MIN('Activities'!L537,468)-MAX('Activities'!K537,462))</x:f>
        <x:v>0</x:v>
      </x:c>
      <x:c r="CE537" s="23" t="n">
        <x:f>MAX(0,MIN('Activities'!L537,474)-MAX('Activities'!K537,468))</x:f>
        <x:v>0</x:v>
      </x:c>
      <x:c r="CF537" s="23" t="n">
        <x:f>MAX(0,MIN('Activities'!L537,480)-MAX('Activities'!K537,474))</x:f>
        <x:v>0</x:v>
      </x:c>
      <x:c r="CG537" s="23" t="n">
        <x:f>MAX(0,MIN('Activities'!L537,486)-MAX('Activities'!K537,480))</x:f>
        <x:v>0</x:v>
      </x:c>
      <x:c r="CH537" s="23" t="n">
        <x:f>MAX(0,MIN('Activities'!L537,492)-MAX('Activities'!K537,486))</x:f>
        <x:v>0</x:v>
      </x:c>
      <x:c r="CI537" s="23" t="n">
        <x:f>MAX(0,MIN('Activities'!L537,498)-MAX('Activities'!K537,492))</x:f>
        <x:v>0</x:v>
      </x:c>
      <x:c r="CJ537" s="23" t="n">
        <x:f>MAX(0,MIN('Activities'!L537,504)-MAX('Activities'!K537,498))</x:f>
        <x:v>0</x:v>
      </x:c>
      <x:c r="CK537" s="23" t="n">
        <x:f>MAX(0,MIN('Activities'!L537,510)-MAX('Activities'!K537,504))</x:f>
        <x:v>0</x:v>
      </x:c>
      <x:c r="CL537" s="23" t="n">
        <x:f>MAX(0,MIN('Activities'!L537,516)-MAX('Activities'!K537,510))</x:f>
        <x:v>0</x:v>
      </x:c>
      <x:c r="CM537" s="23" t="n">
        <x:f>MAX(0,MIN('Activities'!L537,522)-MAX('Activities'!K537,516))</x:f>
        <x:v>0</x:v>
      </x:c>
      <x:c r="CN537" s="23" t="n">
        <x:f>MAX(0,MIN('Activities'!L537,528)-MAX('Activities'!K537,522))</x:f>
        <x:v>0</x:v>
      </x:c>
      <x:c r="CO537" s="23" t="n">
        <x:f>MAX(0,MIN('Activities'!L537,534)-MAX('Activities'!K537,528))</x:f>
        <x:v>0</x:v>
      </x:c>
      <x:c r="CP537" s="23" t="n">
        <x:f>MAX(0,MIN('Activities'!L537,540)-MAX('Activities'!K537,534))</x:f>
        <x:v>0</x:v>
      </x:c>
      <x:c r="CQ537" s="23" t="n">
        <x:f>MAX(0,MIN('Activities'!L537,546)-MAX('Activities'!K537,540))</x:f>
        <x:v>0</x:v>
      </x:c>
      <x:c r="CR537" s="23" t="n">
        <x:f>MAX(0,MIN('Activities'!L537,552)-MAX('Activities'!K537,546))</x:f>
        <x:v>0</x:v>
      </x:c>
      <x:c r="CS537" s="23" t="n">
        <x:f>MAX(0,MIN('Activities'!L537,558)-MAX('Activities'!K537,552))</x:f>
        <x:v>0</x:v>
      </x:c>
      <x:c r="CT537" s="23" t="n">
        <x:f>MAX(0,MIN('Activities'!L537,564)-MAX('Activities'!K537,558))</x:f>
        <x:v>0</x:v>
      </x:c>
      <x:c r="CU537" s="23" t="n">
        <x:f>MAX(0,MIN('Activities'!L537,570)-MAX('Activities'!K537,564))</x:f>
        <x:v>0</x:v>
      </x:c>
      <x:c r="CV537" s="23" t="n">
        <x:f>MAX(0,MIN('Activities'!L537,576)-MAX('Activities'!K537,570))</x:f>
        <x:v>0</x:v>
      </x:c>
      <x:c r="CW537" s="23" t="n">
        <x:f>MAX(0,MIN('Activities'!L537,582)-MAX('Activities'!K537,576))</x:f>
        <x:v>0</x:v>
      </x:c>
      <x:c r="CX537" s="23" t="n">
        <x:f>MAX(0,MIN('Activities'!L537,588)-MAX('Activities'!K537,582))</x:f>
        <x:v>0</x:v>
      </x:c>
      <x:c r="CY537" s="23" t="n">
        <x:f>MAX(0,MIN('Activities'!L537,594)-MAX('Activities'!K537,588))</x:f>
        <x:v>0</x:v>
      </x:c>
      <x:c r="CZ537" s="23" t="n">
        <x:f>MAX(0,MIN('Activities'!L537,600)-MAX('Activities'!K537,594))</x:f>
        <x:v>0</x:v>
      </x:c>
      <x:c r="DA537" s="23" t="n">
        <x:f>MAX(0,MIN('Activities'!L537,606)-MAX('Activities'!K537,600))</x:f>
        <x:v>0</x:v>
      </x:c>
      <x:c r="DB537" s="23" t="n">
        <x:f>MAX(0,MIN('Activities'!L537,612)-MAX('Activities'!K537,606))</x:f>
        <x:v>0</x:v>
      </x:c>
      <x:c r="DC537" s="23" t="n">
        <x:f>MAX(0,MIN('Activities'!L537,618)-MAX('Activities'!K537,612))</x:f>
        <x:v>0</x:v>
      </x:c>
      <x:c r="DD537" s="23" t="n">
        <x:f>MAX(0,MIN('Activities'!L537,624)-MAX('Activities'!K537,618))</x:f>
        <x:v>0</x:v>
      </x:c>
      <x:c r="DE537" s="23" t="n">
        <x:f>MAX(0,MIN('Activities'!L537,630)-MAX('Activities'!K537,624))</x:f>
        <x:v>0</x:v>
      </x:c>
      <x:c r="DF537" s="23" t="n">
        <x:f>MAX(0,MIN('Activities'!L537,636)-MAX('Activities'!K537,630))</x:f>
        <x:v>0</x:v>
      </x:c>
    </x:row>
    <x:row r="538" ht="23" customHeight="1">
      <x:c r="A538" s="6" t="str">
        <x:v>T4-L11-S</x:v>
      </x:c>
      <x:c r="B538" s="6" t="str">
        <x:v>T4</x:v>
      </x:c>
      <x:c r="C538" s="6" t="str">
        <x:v>Screed and substrate preparation</x:v>
      </x:c>
      <x:c r="D538" s="6" t="str">
        <x:v>Finishes</x:v>
      </x:c>
      <x:c r="E538" s="22" t="n">
        <x:f>MAX(0,MIN('Activities'!L538,6)-MAX('Activities'!K538,0))</x:f>
        <x:v>0</x:v>
      </x:c>
      <x:c r="F538" s="22" t="n">
        <x:f>MAX(0,MIN('Activities'!L538,12)-MAX('Activities'!K538,6))</x:f>
        <x:v>0</x:v>
      </x:c>
      <x:c r="G538" s="22" t="n">
        <x:f>MAX(0,MIN('Activities'!L538,18)-MAX('Activities'!K538,12))</x:f>
        <x:v>0</x:v>
      </x:c>
      <x:c r="H538" s="22" t="n">
        <x:f>MAX(0,MIN('Activities'!L538,24)-MAX('Activities'!K538,18))</x:f>
        <x:v>0</x:v>
      </x:c>
      <x:c r="I538" s="22" t="n">
        <x:f>MAX(0,MIN('Activities'!L538,30)-MAX('Activities'!K538,24))</x:f>
        <x:v>0</x:v>
      </x:c>
      <x:c r="J538" s="22" t="n">
        <x:f>MAX(0,MIN('Activities'!L538,36)-MAX('Activities'!K538,30))</x:f>
        <x:v>0</x:v>
      </x:c>
      <x:c r="K538" s="22" t="n">
        <x:f>MAX(0,MIN('Activities'!L538,42)-MAX('Activities'!K538,36))</x:f>
        <x:v>0</x:v>
      </x:c>
      <x:c r="L538" s="22" t="n">
        <x:f>MAX(0,MIN('Activities'!L538,48)-MAX('Activities'!K538,42))</x:f>
        <x:v>0</x:v>
      </x:c>
      <x:c r="M538" s="22" t="n">
        <x:f>MAX(0,MIN('Activities'!L538,54)-MAX('Activities'!K538,48))</x:f>
        <x:v>0</x:v>
      </x:c>
      <x:c r="N538" s="22" t="n">
        <x:f>MAX(0,MIN('Activities'!L538,60)-MAX('Activities'!K538,54))</x:f>
        <x:v>0</x:v>
      </x:c>
      <x:c r="O538" s="22" t="n">
        <x:f>MAX(0,MIN('Activities'!L538,66)-MAX('Activities'!K538,60))</x:f>
        <x:v>0</x:v>
      </x:c>
      <x:c r="P538" s="22" t="n">
        <x:f>MAX(0,MIN('Activities'!L538,72)-MAX('Activities'!K538,66))</x:f>
        <x:v>0</x:v>
      </x:c>
      <x:c r="Q538" s="22" t="n">
        <x:f>MAX(0,MIN('Activities'!L538,78)-MAX('Activities'!K538,72))</x:f>
        <x:v>0</x:v>
      </x:c>
      <x:c r="R538" s="22" t="n">
        <x:f>MAX(0,MIN('Activities'!L538,84)-MAX('Activities'!K538,78))</x:f>
        <x:v>0</x:v>
      </x:c>
      <x:c r="S538" s="22" t="n">
        <x:f>MAX(0,MIN('Activities'!L538,90)-MAX('Activities'!K538,84))</x:f>
        <x:v>0</x:v>
      </x:c>
      <x:c r="T538" s="22" t="n">
        <x:f>MAX(0,MIN('Activities'!L538,96)-MAX('Activities'!K538,90))</x:f>
        <x:v>0</x:v>
      </x:c>
      <x:c r="U538" s="22" t="n">
        <x:f>MAX(0,MIN('Activities'!L538,102)-MAX('Activities'!K538,96))</x:f>
        <x:v>0</x:v>
      </x:c>
      <x:c r="V538" s="22" t="n">
        <x:f>MAX(0,MIN('Activities'!L538,108)-MAX('Activities'!K538,102))</x:f>
        <x:v>0</x:v>
      </x:c>
      <x:c r="W538" s="22" t="n">
        <x:f>MAX(0,MIN('Activities'!L538,114)-MAX('Activities'!K538,108))</x:f>
        <x:v>0</x:v>
      </x:c>
      <x:c r="X538" s="22" t="n">
        <x:f>MAX(0,MIN('Activities'!L538,120)-MAX('Activities'!K538,114))</x:f>
        <x:v>0</x:v>
      </x:c>
      <x:c r="Y538" s="22" t="n">
        <x:f>MAX(0,MIN('Activities'!L538,126)-MAX('Activities'!K538,120))</x:f>
        <x:v>0</x:v>
      </x:c>
      <x:c r="Z538" s="22" t="n">
        <x:f>MAX(0,MIN('Activities'!L538,132)-MAX('Activities'!K538,126))</x:f>
        <x:v>0</x:v>
      </x:c>
      <x:c r="AA538" s="22" t="n">
        <x:f>MAX(0,MIN('Activities'!L538,138)-MAX('Activities'!K538,132))</x:f>
        <x:v>0</x:v>
      </x:c>
      <x:c r="AB538" s="22" t="n">
        <x:f>MAX(0,MIN('Activities'!L538,144)-MAX('Activities'!K538,138))</x:f>
        <x:v>0</x:v>
      </x:c>
      <x:c r="AC538" s="22" t="n">
        <x:f>MAX(0,MIN('Activities'!L538,150)-MAX('Activities'!K538,144))</x:f>
        <x:v>0</x:v>
      </x:c>
      <x:c r="AD538" s="22" t="n">
        <x:f>MAX(0,MIN('Activities'!L538,156)-MAX('Activities'!K538,150))</x:f>
        <x:v>0</x:v>
      </x:c>
      <x:c r="AE538" s="22" t="n">
        <x:f>MAX(0,MIN('Activities'!L538,162)-MAX('Activities'!K538,156))</x:f>
        <x:v>0</x:v>
      </x:c>
      <x:c r="AF538" s="22" t="n">
        <x:f>MAX(0,MIN('Activities'!L538,168)-MAX('Activities'!K538,162))</x:f>
        <x:v>0</x:v>
      </x:c>
      <x:c r="AG538" s="22" t="n">
        <x:f>MAX(0,MIN('Activities'!L538,174)-MAX('Activities'!K538,168))</x:f>
        <x:v>0</x:v>
      </x:c>
      <x:c r="AH538" s="22" t="n">
        <x:f>MAX(0,MIN('Activities'!L538,180)-MAX('Activities'!K538,174))</x:f>
        <x:v>0</x:v>
      </x:c>
      <x:c r="AI538" s="22" t="n">
        <x:f>MAX(0,MIN('Activities'!L538,186)-MAX('Activities'!K538,180))</x:f>
        <x:v>0</x:v>
      </x:c>
      <x:c r="AJ538" s="22" t="n">
        <x:f>MAX(0,MIN('Activities'!L538,192)-MAX('Activities'!K538,186))</x:f>
        <x:v>0</x:v>
      </x:c>
      <x:c r="AK538" s="22" t="n">
        <x:f>MAX(0,MIN('Activities'!L538,198)-MAX('Activities'!K538,192))</x:f>
        <x:v>0</x:v>
      </x:c>
      <x:c r="AL538" s="22" t="n">
        <x:f>MAX(0,MIN('Activities'!L538,204)-MAX('Activities'!K538,198))</x:f>
        <x:v>0</x:v>
      </x:c>
      <x:c r="AM538" s="22" t="n">
        <x:f>MAX(0,MIN('Activities'!L538,210)-MAX('Activities'!K538,204))</x:f>
        <x:v>0</x:v>
      </x:c>
      <x:c r="AN538" s="22" t="n">
        <x:f>MAX(0,MIN('Activities'!L538,216)-MAX('Activities'!K538,210))</x:f>
        <x:v>0</x:v>
      </x:c>
      <x:c r="AO538" s="22" t="n">
        <x:f>MAX(0,MIN('Activities'!L538,222)-MAX('Activities'!K538,216))</x:f>
        <x:v>0</x:v>
      </x:c>
      <x:c r="AP538" s="22" t="n">
        <x:f>MAX(0,MIN('Activities'!L538,228)-MAX('Activities'!K538,222))</x:f>
        <x:v>0</x:v>
      </x:c>
      <x:c r="AQ538" s="22" t="n">
        <x:f>MAX(0,MIN('Activities'!L538,234)-MAX('Activities'!K538,228))</x:f>
        <x:v>0</x:v>
      </x:c>
      <x:c r="AR538" s="22" t="n">
        <x:f>MAX(0,MIN('Activities'!L538,240)-MAX('Activities'!K538,234))</x:f>
        <x:v>0</x:v>
      </x:c>
      <x:c r="AS538" s="22" t="n">
        <x:f>MAX(0,MIN('Activities'!L538,246)-MAX('Activities'!K538,240))</x:f>
        <x:v>0</x:v>
      </x:c>
      <x:c r="AT538" s="22" t="n">
        <x:f>MAX(0,MIN('Activities'!L538,252)-MAX('Activities'!K538,246))</x:f>
        <x:v>0</x:v>
      </x:c>
      <x:c r="AU538" s="22" t="n">
        <x:f>MAX(0,MIN('Activities'!L538,258)-MAX('Activities'!K538,252))</x:f>
        <x:v>0</x:v>
      </x:c>
      <x:c r="AV538" s="22" t="n">
        <x:f>MAX(0,MIN('Activities'!L538,264)-MAX('Activities'!K538,258))</x:f>
        <x:v>0</x:v>
      </x:c>
      <x:c r="AW538" s="22" t="n">
        <x:f>MAX(0,MIN('Activities'!L538,270)-MAX('Activities'!K538,264))</x:f>
        <x:v>0</x:v>
      </x:c>
      <x:c r="AX538" s="22" t="n">
        <x:f>MAX(0,MIN('Activities'!L538,276)-MAX('Activities'!K538,270))</x:f>
        <x:v>0</x:v>
      </x:c>
      <x:c r="AY538" s="22" t="n">
        <x:f>MAX(0,MIN('Activities'!L538,282)-MAX('Activities'!K538,276))</x:f>
        <x:v>0</x:v>
      </x:c>
      <x:c r="AZ538" s="22" t="n">
        <x:f>MAX(0,MIN('Activities'!L538,288)-MAX('Activities'!K538,282))</x:f>
        <x:v>0</x:v>
      </x:c>
      <x:c r="BA538" s="22" t="n">
        <x:f>MAX(0,MIN('Activities'!L538,294)-MAX('Activities'!K538,288))</x:f>
        <x:v>0</x:v>
      </x:c>
      <x:c r="BB538" s="22" t="n">
        <x:f>MAX(0,MIN('Activities'!L538,300)-MAX('Activities'!K538,294))</x:f>
        <x:v>0</x:v>
      </x:c>
      <x:c r="BC538" s="22" t="n">
        <x:f>MAX(0,MIN('Activities'!L538,306)-MAX('Activities'!K538,300))</x:f>
        <x:v>0</x:v>
      </x:c>
      <x:c r="BD538" s="22" t="n">
        <x:f>MAX(0,MIN('Activities'!L538,312)-MAX('Activities'!K538,306))</x:f>
        <x:v>0</x:v>
      </x:c>
      <x:c r="BE538" s="22" t="n">
        <x:f>MAX(0,MIN('Activities'!L538,318)-MAX('Activities'!K538,312))</x:f>
        <x:v>0</x:v>
      </x:c>
      <x:c r="BF538" s="22" t="n">
        <x:f>MAX(0,MIN('Activities'!L538,324)-MAX('Activities'!K538,318))</x:f>
        <x:v>0</x:v>
      </x:c>
      <x:c r="BG538" s="22" t="n">
        <x:f>MAX(0,MIN('Activities'!L538,330)-MAX('Activities'!K538,324))</x:f>
        <x:v>0</x:v>
      </x:c>
      <x:c r="BH538" s="22" t="n">
        <x:f>MAX(0,MIN('Activities'!L538,336)-MAX('Activities'!K538,330))</x:f>
        <x:v>0</x:v>
      </x:c>
      <x:c r="BI538" s="22" t="n">
        <x:f>MAX(0,MIN('Activities'!L538,342)-MAX('Activities'!K538,336))</x:f>
        <x:v>0</x:v>
      </x:c>
      <x:c r="BJ538" s="22" t="n">
        <x:f>MAX(0,MIN('Activities'!L538,348)-MAX('Activities'!K538,342))</x:f>
        <x:v>0</x:v>
      </x:c>
      <x:c r="BK538" s="22" t="n">
        <x:f>MAX(0,MIN('Activities'!L538,354)-MAX('Activities'!K538,348))</x:f>
        <x:v>0</x:v>
      </x:c>
      <x:c r="BL538" s="22" t="n">
        <x:f>MAX(0,MIN('Activities'!L538,360)-MAX('Activities'!K538,354))</x:f>
        <x:v>0</x:v>
      </x:c>
      <x:c r="BM538" s="22" t="n">
        <x:f>MAX(0,MIN('Activities'!L538,366)-MAX('Activities'!K538,360))</x:f>
        <x:v>0</x:v>
      </x:c>
      <x:c r="BN538" s="22" t="n">
        <x:f>MAX(0,MIN('Activities'!L538,372)-MAX('Activities'!K538,366))</x:f>
        <x:v>0</x:v>
      </x:c>
      <x:c r="BO538" s="22" t="n">
        <x:f>MAX(0,MIN('Activities'!L538,378)-MAX('Activities'!K538,372))</x:f>
        <x:v>0</x:v>
      </x:c>
      <x:c r="BP538" s="22" t="n">
        <x:f>MAX(0,MIN('Activities'!L538,384)-MAX('Activities'!K538,378))</x:f>
        <x:v>0</x:v>
      </x:c>
      <x:c r="BQ538" s="22" t="n">
        <x:f>MAX(0,MIN('Activities'!L538,390)-MAX('Activities'!K538,384))</x:f>
        <x:v>0</x:v>
      </x:c>
      <x:c r="BR538" s="22" t="n">
        <x:f>MAX(0,MIN('Activities'!L538,396)-MAX('Activities'!K538,390))</x:f>
        <x:v>0</x:v>
      </x:c>
      <x:c r="BS538" s="22" t="n">
        <x:f>MAX(0,MIN('Activities'!L538,402)-MAX('Activities'!K538,396))</x:f>
        <x:v>0</x:v>
      </x:c>
      <x:c r="BT538" s="22" t="n">
        <x:f>MAX(0,MIN('Activities'!L538,408)-MAX('Activities'!K538,402))</x:f>
        <x:v>0</x:v>
      </x:c>
      <x:c r="BU538" s="22" t="n">
        <x:f>MAX(0,MIN('Activities'!L538,414)-MAX('Activities'!K538,408))</x:f>
        <x:v>0</x:v>
      </x:c>
      <x:c r="BV538" s="22" t="n">
        <x:f>MAX(0,MIN('Activities'!L538,420)-MAX('Activities'!K538,414))</x:f>
        <x:v>0</x:v>
      </x:c>
      <x:c r="BW538" s="22" t="n">
        <x:f>MAX(0,MIN('Activities'!L538,426)-MAX('Activities'!K538,420))</x:f>
        <x:v>1</x:v>
      </x:c>
      <x:c r="BX538" s="22" t="n">
        <x:f>MAX(0,MIN('Activities'!L538,432)-MAX('Activities'!K538,426))</x:f>
        <x:v>2</x:v>
      </x:c>
      <x:c r="BY538" s="22" t="n">
        <x:f>MAX(0,MIN('Activities'!L538,438)-MAX('Activities'!K538,432))</x:f>
        <x:v>0</x:v>
      </x:c>
      <x:c r="BZ538" s="22" t="n">
        <x:f>MAX(0,MIN('Activities'!L538,444)-MAX('Activities'!K538,438))</x:f>
        <x:v>0</x:v>
      </x:c>
      <x:c r="CA538" s="22" t="n">
        <x:f>MAX(0,MIN('Activities'!L538,450)-MAX('Activities'!K538,444))</x:f>
        <x:v>0</x:v>
      </x:c>
      <x:c r="CB538" s="22" t="n">
        <x:f>MAX(0,MIN('Activities'!L538,456)-MAX('Activities'!K538,450))</x:f>
        <x:v>0</x:v>
      </x:c>
      <x:c r="CC538" s="22" t="n">
        <x:f>MAX(0,MIN('Activities'!L538,462)-MAX('Activities'!K538,456))</x:f>
        <x:v>0</x:v>
      </x:c>
      <x:c r="CD538" s="22" t="n">
        <x:f>MAX(0,MIN('Activities'!L538,468)-MAX('Activities'!K538,462))</x:f>
        <x:v>0</x:v>
      </x:c>
      <x:c r="CE538" s="22" t="n">
        <x:f>MAX(0,MIN('Activities'!L538,474)-MAX('Activities'!K538,468))</x:f>
        <x:v>0</x:v>
      </x:c>
      <x:c r="CF538" s="22" t="n">
        <x:f>MAX(0,MIN('Activities'!L538,480)-MAX('Activities'!K538,474))</x:f>
        <x:v>0</x:v>
      </x:c>
      <x:c r="CG538" s="22" t="n">
        <x:f>MAX(0,MIN('Activities'!L538,486)-MAX('Activities'!K538,480))</x:f>
        <x:v>0</x:v>
      </x:c>
      <x:c r="CH538" s="22" t="n">
        <x:f>MAX(0,MIN('Activities'!L538,492)-MAX('Activities'!K538,486))</x:f>
        <x:v>0</x:v>
      </x:c>
      <x:c r="CI538" s="22" t="n">
        <x:f>MAX(0,MIN('Activities'!L538,498)-MAX('Activities'!K538,492))</x:f>
        <x:v>0</x:v>
      </x:c>
      <x:c r="CJ538" s="22" t="n">
        <x:f>MAX(0,MIN('Activities'!L538,504)-MAX('Activities'!K538,498))</x:f>
        <x:v>0</x:v>
      </x:c>
      <x:c r="CK538" s="22" t="n">
        <x:f>MAX(0,MIN('Activities'!L538,510)-MAX('Activities'!K538,504))</x:f>
        <x:v>0</x:v>
      </x:c>
      <x:c r="CL538" s="22" t="n">
        <x:f>MAX(0,MIN('Activities'!L538,516)-MAX('Activities'!K538,510))</x:f>
        <x:v>0</x:v>
      </x:c>
      <x:c r="CM538" s="22" t="n">
        <x:f>MAX(0,MIN('Activities'!L538,522)-MAX('Activities'!K538,516))</x:f>
        <x:v>0</x:v>
      </x:c>
      <x:c r="CN538" s="22" t="n">
        <x:f>MAX(0,MIN('Activities'!L538,528)-MAX('Activities'!K538,522))</x:f>
        <x:v>0</x:v>
      </x:c>
      <x:c r="CO538" s="22" t="n">
        <x:f>MAX(0,MIN('Activities'!L538,534)-MAX('Activities'!K538,528))</x:f>
        <x:v>0</x:v>
      </x:c>
      <x:c r="CP538" s="22" t="n">
        <x:f>MAX(0,MIN('Activities'!L538,540)-MAX('Activities'!K538,534))</x:f>
        <x:v>0</x:v>
      </x:c>
      <x:c r="CQ538" s="22" t="n">
        <x:f>MAX(0,MIN('Activities'!L538,546)-MAX('Activities'!K538,540))</x:f>
        <x:v>0</x:v>
      </x:c>
      <x:c r="CR538" s="22" t="n">
        <x:f>MAX(0,MIN('Activities'!L538,552)-MAX('Activities'!K538,546))</x:f>
        <x:v>0</x:v>
      </x:c>
      <x:c r="CS538" s="22" t="n">
        <x:f>MAX(0,MIN('Activities'!L538,558)-MAX('Activities'!K538,552))</x:f>
        <x:v>0</x:v>
      </x:c>
      <x:c r="CT538" s="22" t="n">
        <x:f>MAX(0,MIN('Activities'!L538,564)-MAX('Activities'!K538,558))</x:f>
        <x:v>0</x:v>
      </x:c>
      <x:c r="CU538" s="22" t="n">
        <x:f>MAX(0,MIN('Activities'!L538,570)-MAX('Activities'!K538,564))</x:f>
        <x:v>0</x:v>
      </x:c>
      <x:c r="CV538" s="22" t="n">
        <x:f>MAX(0,MIN('Activities'!L538,576)-MAX('Activities'!K538,570))</x:f>
        <x:v>0</x:v>
      </x:c>
      <x:c r="CW538" s="22" t="n">
        <x:f>MAX(0,MIN('Activities'!L538,582)-MAX('Activities'!K538,576))</x:f>
        <x:v>0</x:v>
      </x:c>
      <x:c r="CX538" s="22" t="n">
        <x:f>MAX(0,MIN('Activities'!L538,588)-MAX('Activities'!K538,582))</x:f>
        <x:v>0</x:v>
      </x:c>
      <x:c r="CY538" s="22" t="n">
        <x:f>MAX(0,MIN('Activities'!L538,594)-MAX('Activities'!K538,588))</x:f>
        <x:v>0</x:v>
      </x:c>
      <x:c r="CZ538" s="22" t="n">
        <x:f>MAX(0,MIN('Activities'!L538,600)-MAX('Activities'!K538,594))</x:f>
        <x:v>0</x:v>
      </x:c>
      <x:c r="DA538" s="22" t="n">
        <x:f>MAX(0,MIN('Activities'!L538,606)-MAX('Activities'!K538,600))</x:f>
        <x:v>0</x:v>
      </x:c>
      <x:c r="DB538" s="22" t="n">
        <x:f>MAX(0,MIN('Activities'!L538,612)-MAX('Activities'!K538,606))</x:f>
        <x:v>0</x:v>
      </x:c>
      <x:c r="DC538" s="22" t="n">
        <x:f>MAX(0,MIN('Activities'!L538,618)-MAX('Activities'!K538,612))</x:f>
        <x:v>0</x:v>
      </x:c>
      <x:c r="DD538" s="22" t="n">
        <x:f>MAX(0,MIN('Activities'!L538,624)-MAX('Activities'!K538,618))</x:f>
        <x:v>0</x:v>
      </x:c>
      <x:c r="DE538" s="22" t="n">
        <x:f>MAX(0,MIN('Activities'!L538,630)-MAX('Activities'!K538,624))</x:f>
        <x:v>0</x:v>
      </x:c>
      <x:c r="DF538" s="22" t="n">
        <x:f>MAX(0,MIN('Activities'!L538,636)-MAX('Activities'!K538,630))</x:f>
        <x:v>0</x:v>
      </x:c>
    </x:row>
    <x:row r="539" ht="23" customHeight="1">
      <x:c r="A539" s="1" t="str">
        <x:v>T4-L11-T</x:v>
      </x:c>
      <x:c r="B539" s="1" t="str">
        <x:v>T4</x:v>
      </x:c>
      <x:c r="C539" s="1" t="str">
        <x:v>Floor finishes and skirtings</x:v>
      </x:c>
      <x:c r="D539" s="1" t="str">
        <x:v>Finishes</x:v>
      </x:c>
      <x:c r="E539" s="23" t="n">
        <x:f>MAX(0,MIN('Activities'!L539,6)-MAX('Activities'!K539,0))</x:f>
        <x:v>0</x:v>
      </x:c>
      <x:c r="F539" s="23" t="n">
        <x:f>MAX(0,MIN('Activities'!L539,12)-MAX('Activities'!K539,6))</x:f>
        <x:v>0</x:v>
      </x:c>
      <x:c r="G539" s="23" t="n">
        <x:f>MAX(0,MIN('Activities'!L539,18)-MAX('Activities'!K539,12))</x:f>
        <x:v>0</x:v>
      </x:c>
      <x:c r="H539" s="23" t="n">
        <x:f>MAX(0,MIN('Activities'!L539,24)-MAX('Activities'!K539,18))</x:f>
        <x:v>0</x:v>
      </x:c>
      <x:c r="I539" s="23" t="n">
        <x:f>MAX(0,MIN('Activities'!L539,30)-MAX('Activities'!K539,24))</x:f>
        <x:v>0</x:v>
      </x:c>
      <x:c r="J539" s="23" t="n">
        <x:f>MAX(0,MIN('Activities'!L539,36)-MAX('Activities'!K539,30))</x:f>
        <x:v>0</x:v>
      </x:c>
      <x:c r="K539" s="23" t="n">
        <x:f>MAX(0,MIN('Activities'!L539,42)-MAX('Activities'!K539,36))</x:f>
        <x:v>0</x:v>
      </x:c>
      <x:c r="L539" s="23" t="n">
        <x:f>MAX(0,MIN('Activities'!L539,48)-MAX('Activities'!K539,42))</x:f>
        <x:v>0</x:v>
      </x:c>
      <x:c r="M539" s="23" t="n">
        <x:f>MAX(0,MIN('Activities'!L539,54)-MAX('Activities'!K539,48))</x:f>
        <x:v>0</x:v>
      </x:c>
      <x:c r="N539" s="23" t="n">
        <x:f>MAX(0,MIN('Activities'!L539,60)-MAX('Activities'!K539,54))</x:f>
        <x:v>0</x:v>
      </x:c>
      <x:c r="O539" s="23" t="n">
        <x:f>MAX(0,MIN('Activities'!L539,66)-MAX('Activities'!K539,60))</x:f>
        <x:v>0</x:v>
      </x:c>
      <x:c r="P539" s="23" t="n">
        <x:f>MAX(0,MIN('Activities'!L539,72)-MAX('Activities'!K539,66))</x:f>
        <x:v>0</x:v>
      </x:c>
      <x:c r="Q539" s="23" t="n">
        <x:f>MAX(0,MIN('Activities'!L539,78)-MAX('Activities'!K539,72))</x:f>
        <x:v>0</x:v>
      </x:c>
      <x:c r="R539" s="23" t="n">
        <x:f>MAX(0,MIN('Activities'!L539,84)-MAX('Activities'!K539,78))</x:f>
        <x:v>0</x:v>
      </x:c>
      <x:c r="S539" s="23" t="n">
        <x:f>MAX(0,MIN('Activities'!L539,90)-MAX('Activities'!K539,84))</x:f>
        <x:v>0</x:v>
      </x:c>
      <x:c r="T539" s="23" t="n">
        <x:f>MAX(0,MIN('Activities'!L539,96)-MAX('Activities'!K539,90))</x:f>
        <x:v>0</x:v>
      </x:c>
      <x:c r="U539" s="23" t="n">
        <x:f>MAX(0,MIN('Activities'!L539,102)-MAX('Activities'!K539,96))</x:f>
        <x:v>0</x:v>
      </x:c>
      <x:c r="V539" s="23" t="n">
        <x:f>MAX(0,MIN('Activities'!L539,108)-MAX('Activities'!K539,102))</x:f>
        <x:v>0</x:v>
      </x:c>
      <x:c r="W539" s="23" t="n">
        <x:f>MAX(0,MIN('Activities'!L539,114)-MAX('Activities'!K539,108))</x:f>
        <x:v>0</x:v>
      </x:c>
      <x:c r="X539" s="23" t="n">
        <x:f>MAX(0,MIN('Activities'!L539,120)-MAX('Activities'!K539,114))</x:f>
        <x:v>0</x:v>
      </x:c>
      <x:c r="Y539" s="23" t="n">
        <x:f>MAX(0,MIN('Activities'!L539,126)-MAX('Activities'!K539,120))</x:f>
        <x:v>0</x:v>
      </x:c>
      <x:c r="Z539" s="23" t="n">
        <x:f>MAX(0,MIN('Activities'!L539,132)-MAX('Activities'!K539,126))</x:f>
        <x:v>0</x:v>
      </x:c>
      <x:c r="AA539" s="23" t="n">
        <x:f>MAX(0,MIN('Activities'!L539,138)-MAX('Activities'!K539,132))</x:f>
        <x:v>0</x:v>
      </x:c>
      <x:c r="AB539" s="23" t="n">
        <x:f>MAX(0,MIN('Activities'!L539,144)-MAX('Activities'!K539,138))</x:f>
        <x:v>0</x:v>
      </x:c>
      <x:c r="AC539" s="23" t="n">
        <x:f>MAX(0,MIN('Activities'!L539,150)-MAX('Activities'!K539,144))</x:f>
        <x:v>0</x:v>
      </x:c>
      <x:c r="AD539" s="23" t="n">
        <x:f>MAX(0,MIN('Activities'!L539,156)-MAX('Activities'!K539,150))</x:f>
        <x:v>0</x:v>
      </x:c>
      <x:c r="AE539" s="23" t="n">
        <x:f>MAX(0,MIN('Activities'!L539,162)-MAX('Activities'!K539,156))</x:f>
        <x:v>0</x:v>
      </x:c>
      <x:c r="AF539" s="23" t="n">
        <x:f>MAX(0,MIN('Activities'!L539,168)-MAX('Activities'!K539,162))</x:f>
        <x:v>0</x:v>
      </x:c>
      <x:c r="AG539" s="23" t="n">
        <x:f>MAX(0,MIN('Activities'!L539,174)-MAX('Activities'!K539,168))</x:f>
        <x:v>0</x:v>
      </x:c>
      <x:c r="AH539" s="23" t="n">
        <x:f>MAX(0,MIN('Activities'!L539,180)-MAX('Activities'!K539,174))</x:f>
        <x:v>0</x:v>
      </x:c>
      <x:c r="AI539" s="23" t="n">
        <x:f>MAX(0,MIN('Activities'!L539,186)-MAX('Activities'!K539,180))</x:f>
        <x:v>0</x:v>
      </x:c>
      <x:c r="AJ539" s="23" t="n">
        <x:f>MAX(0,MIN('Activities'!L539,192)-MAX('Activities'!K539,186))</x:f>
        <x:v>0</x:v>
      </x:c>
      <x:c r="AK539" s="23" t="n">
        <x:f>MAX(0,MIN('Activities'!L539,198)-MAX('Activities'!K539,192))</x:f>
        <x:v>0</x:v>
      </x:c>
      <x:c r="AL539" s="23" t="n">
        <x:f>MAX(0,MIN('Activities'!L539,204)-MAX('Activities'!K539,198))</x:f>
        <x:v>0</x:v>
      </x:c>
      <x:c r="AM539" s="23" t="n">
        <x:f>MAX(0,MIN('Activities'!L539,210)-MAX('Activities'!K539,204))</x:f>
        <x:v>0</x:v>
      </x:c>
      <x:c r="AN539" s="23" t="n">
        <x:f>MAX(0,MIN('Activities'!L539,216)-MAX('Activities'!K539,210))</x:f>
        <x:v>0</x:v>
      </x:c>
      <x:c r="AO539" s="23" t="n">
        <x:f>MAX(0,MIN('Activities'!L539,222)-MAX('Activities'!K539,216))</x:f>
        <x:v>0</x:v>
      </x:c>
      <x:c r="AP539" s="23" t="n">
        <x:f>MAX(0,MIN('Activities'!L539,228)-MAX('Activities'!K539,222))</x:f>
        <x:v>0</x:v>
      </x:c>
      <x:c r="AQ539" s="23" t="n">
        <x:f>MAX(0,MIN('Activities'!L539,234)-MAX('Activities'!K539,228))</x:f>
        <x:v>0</x:v>
      </x:c>
      <x:c r="AR539" s="23" t="n">
        <x:f>MAX(0,MIN('Activities'!L539,240)-MAX('Activities'!K539,234))</x:f>
        <x:v>0</x:v>
      </x:c>
      <x:c r="AS539" s="23" t="n">
        <x:f>MAX(0,MIN('Activities'!L539,246)-MAX('Activities'!K539,240))</x:f>
        <x:v>0</x:v>
      </x:c>
      <x:c r="AT539" s="23" t="n">
        <x:f>MAX(0,MIN('Activities'!L539,252)-MAX('Activities'!K539,246))</x:f>
        <x:v>0</x:v>
      </x:c>
      <x:c r="AU539" s="23" t="n">
        <x:f>MAX(0,MIN('Activities'!L539,258)-MAX('Activities'!K539,252))</x:f>
        <x:v>0</x:v>
      </x:c>
      <x:c r="AV539" s="23" t="n">
        <x:f>MAX(0,MIN('Activities'!L539,264)-MAX('Activities'!K539,258))</x:f>
        <x:v>0</x:v>
      </x:c>
      <x:c r="AW539" s="23" t="n">
        <x:f>MAX(0,MIN('Activities'!L539,270)-MAX('Activities'!K539,264))</x:f>
        <x:v>0</x:v>
      </x:c>
      <x:c r="AX539" s="23" t="n">
        <x:f>MAX(0,MIN('Activities'!L539,276)-MAX('Activities'!K539,270))</x:f>
        <x:v>0</x:v>
      </x:c>
      <x:c r="AY539" s="23" t="n">
        <x:f>MAX(0,MIN('Activities'!L539,282)-MAX('Activities'!K539,276))</x:f>
        <x:v>0</x:v>
      </x:c>
      <x:c r="AZ539" s="23" t="n">
        <x:f>MAX(0,MIN('Activities'!L539,288)-MAX('Activities'!K539,282))</x:f>
        <x:v>0</x:v>
      </x:c>
      <x:c r="BA539" s="23" t="n">
        <x:f>MAX(0,MIN('Activities'!L539,294)-MAX('Activities'!K539,288))</x:f>
        <x:v>0</x:v>
      </x:c>
      <x:c r="BB539" s="23" t="n">
        <x:f>MAX(0,MIN('Activities'!L539,300)-MAX('Activities'!K539,294))</x:f>
        <x:v>0</x:v>
      </x:c>
      <x:c r="BC539" s="23" t="n">
        <x:f>MAX(0,MIN('Activities'!L539,306)-MAX('Activities'!K539,300))</x:f>
        <x:v>0</x:v>
      </x:c>
      <x:c r="BD539" s="23" t="n">
        <x:f>MAX(0,MIN('Activities'!L539,312)-MAX('Activities'!K539,306))</x:f>
        <x:v>0</x:v>
      </x:c>
      <x:c r="BE539" s="23" t="n">
        <x:f>MAX(0,MIN('Activities'!L539,318)-MAX('Activities'!K539,312))</x:f>
        <x:v>0</x:v>
      </x:c>
      <x:c r="BF539" s="23" t="n">
        <x:f>MAX(0,MIN('Activities'!L539,324)-MAX('Activities'!K539,318))</x:f>
        <x:v>0</x:v>
      </x:c>
      <x:c r="BG539" s="23" t="n">
        <x:f>MAX(0,MIN('Activities'!L539,330)-MAX('Activities'!K539,324))</x:f>
        <x:v>0</x:v>
      </x:c>
      <x:c r="BH539" s="23" t="n">
        <x:f>MAX(0,MIN('Activities'!L539,336)-MAX('Activities'!K539,330))</x:f>
        <x:v>0</x:v>
      </x:c>
      <x:c r="BI539" s="23" t="n">
        <x:f>MAX(0,MIN('Activities'!L539,342)-MAX('Activities'!K539,336))</x:f>
        <x:v>0</x:v>
      </x:c>
      <x:c r="BJ539" s="23" t="n">
        <x:f>MAX(0,MIN('Activities'!L539,348)-MAX('Activities'!K539,342))</x:f>
        <x:v>0</x:v>
      </x:c>
      <x:c r="BK539" s="23" t="n">
        <x:f>MAX(0,MIN('Activities'!L539,354)-MAX('Activities'!K539,348))</x:f>
        <x:v>0</x:v>
      </x:c>
      <x:c r="BL539" s="23" t="n">
        <x:f>MAX(0,MIN('Activities'!L539,360)-MAX('Activities'!K539,354))</x:f>
        <x:v>0</x:v>
      </x:c>
      <x:c r="BM539" s="23" t="n">
        <x:f>MAX(0,MIN('Activities'!L539,366)-MAX('Activities'!K539,360))</x:f>
        <x:v>0</x:v>
      </x:c>
      <x:c r="BN539" s="23" t="n">
        <x:f>MAX(0,MIN('Activities'!L539,372)-MAX('Activities'!K539,366))</x:f>
        <x:v>0</x:v>
      </x:c>
      <x:c r="BO539" s="23" t="n">
        <x:f>MAX(0,MIN('Activities'!L539,378)-MAX('Activities'!K539,372))</x:f>
        <x:v>0</x:v>
      </x:c>
      <x:c r="BP539" s="23" t="n">
        <x:f>MAX(0,MIN('Activities'!L539,384)-MAX('Activities'!K539,378))</x:f>
        <x:v>0</x:v>
      </x:c>
      <x:c r="BQ539" s="23" t="n">
        <x:f>MAX(0,MIN('Activities'!L539,390)-MAX('Activities'!K539,384))</x:f>
        <x:v>0</x:v>
      </x:c>
      <x:c r="BR539" s="23" t="n">
        <x:f>MAX(0,MIN('Activities'!L539,396)-MAX('Activities'!K539,390))</x:f>
        <x:v>0</x:v>
      </x:c>
      <x:c r="BS539" s="23" t="n">
        <x:f>MAX(0,MIN('Activities'!L539,402)-MAX('Activities'!K539,396))</x:f>
        <x:v>0</x:v>
      </x:c>
      <x:c r="BT539" s="23" t="n">
        <x:f>MAX(0,MIN('Activities'!L539,408)-MAX('Activities'!K539,402))</x:f>
        <x:v>0</x:v>
      </x:c>
      <x:c r="BU539" s="23" t="n">
        <x:f>MAX(0,MIN('Activities'!L539,414)-MAX('Activities'!K539,408))</x:f>
        <x:v>0</x:v>
      </x:c>
      <x:c r="BV539" s="23" t="n">
        <x:f>MAX(0,MIN('Activities'!L539,420)-MAX('Activities'!K539,414))</x:f>
        <x:v>0</x:v>
      </x:c>
      <x:c r="BW539" s="23" t="n">
        <x:f>MAX(0,MIN('Activities'!L539,426)-MAX('Activities'!K539,420))</x:f>
        <x:v>0</x:v>
      </x:c>
      <x:c r="BX539" s="23" t="n">
        <x:f>MAX(0,MIN('Activities'!L539,432)-MAX('Activities'!K539,426))</x:f>
        <x:v>0</x:v>
      </x:c>
      <x:c r="BY539" s="23" t="n">
        <x:f>MAX(0,MIN('Activities'!L539,438)-MAX('Activities'!K539,432))</x:f>
        <x:v>0</x:v>
      </x:c>
      <x:c r="BZ539" s="23" t="n">
        <x:f>MAX(0,MIN('Activities'!L539,444)-MAX('Activities'!K539,438))</x:f>
        <x:v>2</x:v>
      </x:c>
      <x:c r="CA539" s="23" t="n">
        <x:f>MAX(0,MIN('Activities'!L539,450)-MAX('Activities'!K539,444))</x:f>
        <x:v>4</x:v>
      </x:c>
      <x:c r="CB539" s="23" t="n">
        <x:f>MAX(0,MIN('Activities'!L539,456)-MAX('Activities'!K539,450))</x:f>
        <x:v>0</x:v>
      </x:c>
      <x:c r="CC539" s="23" t="n">
        <x:f>MAX(0,MIN('Activities'!L539,462)-MAX('Activities'!K539,456))</x:f>
        <x:v>0</x:v>
      </x:c>
      <x:c r="CD539" s="23" t="n">
        <x:f>MAX(0,MIN('Activities'!L539,468)-MAX('Activities'!K539,462))</x:f>
        <x:v>0</x:v>
      </x:c>
      <x:c r="CE539" s="23" t="n">
        <x:f>MAX(0,MIN('Activities'!L539,474)-MAX('Activities'!K539,468))</x:f>
        <x:v>0</x:v>
      </x:c>
      <x:c r="CF539" s="23" t="n">
        <x:f>MAX(0,MIN('Activities'!L539,480)-MAX('Activities'!K539,474))</x:f>
        <x:v>0</x:v>
      </x:c>
      <x:c r="CG539" s="23" t="n">
        <x:f>MAX(0,MIN('Activities'!L539,486)-MAX('Activities'!K539,480))</x:f>
        <x:v>0</x:v>
      </x:c>
      <x:c r="CH539" s="23" t="n">
        <x:f>MAX(0,MIN('Activities'!L539,492)-MAX('Activities'!K539,486))</x:f>
        <x:v>0</x:v>
      </x:c>
      <x:c r="CI539" s="23" t="n">
        <x:f>MAX(0,MIN('Activities'!L539,498)-MAX('Activities'!K539,492))</x:f>
        <x:v>0</x:v>
      </x:c>
      <x:c r="CJ539" s="23" t="n">
        <x:f>MAX(0,MIN('Activities'!L539,504)-MAX('Activities'!K539,498))</x:f>
        <x:v>0</x:v>
      </x:c>
      <x:c r="CK539" s="23" t="n">
        <x:f>MAX(0,MIN('Activities'!L539,510)-MAX('Activities'!K539,504))</x:f>
        <x:v>0</x:v>
      </x:c>
      <x:c r="CL539" s="23" t="n">
        <x:f>MAX(0,MIN('Activities'!L539,516)-MAX('Activities'!K539,510))</x:f>
        <x:v>0</x:v>
      </x:c>
      <x:c r="CM539" s="23" t="n">
        <x:f>MAX(0,MIN('Activities'!L539,522)-MAX('Activities'!K539,516))</x:f>
        <x:v>0</x:v>
      </x:c>
      <x:c r="CN539" s="23" t="n">
        <x:f>MAX(0,MIN('Activities'!L539,528)-MAX('Activities'!K539,522))</x:f>
        <x:v>0</x:v>
      </x:c>
      <x:c r="CO539" s="23" t="n">
        <x:f>MAX(0,MIN('Activities'!L539,534)-MAX('Activities'!K539,528))</x:f>
        <x:v>0</x:v>
      </x:c>
      <x:c r="CP539" s="23" t="n">
        <x:f>MAX(0,MIN('Activities'!L539,540)-MAX('Activities'!K539,534))</x:f>
        <x:v>0</x:v>
      </x:c>
      <x:c r="CQ539" s="23" t="n">
        <x:f>MAX(0,MIN('Activities'!L539,546)-MAX('Activities'!K539,540))</x:f>
        <x:v>0</x:v>
      </x:c>
      <x:c r="CR539" s="23" t="n">
        <x:f>MAX(0,MIN('Activities'!L539,552)-MAX('Activities'!K539,546))</x:f>
        <x:v>0</x:v>
      </x:c>
      <x:c r="CS539" s="23" t="n">
        <x:f>MAX(0,MIN('Activities'!L539,558)-MAX('Activities'!K539,552))</x:f>
        <x:v>0</x:v>
      </x:c>
      <x:c r="CT539" s="23" t="n">
        <x:f>MAX(0,MIN('Activities'!L539,564)-MAX('Activities'!K539,558))</x:f>
        <x:v>0</x:v>
      </x:c>
      <x:c r="CU539" s="23" t="n">
        <x:f>MAX(0,MIN('Activities'!L539,570)-MAX('Activities'!K539,564))</x:f>
        <x:v>0</x:v>
      </x:c>
      <x:c r="CV539" s="23" t="n">
        <x:f>MAX(0,MIN('Activities'!L539,576)-MAX('Activities'!K539,570))</x:f>
        <x:v>0</x:v>
      </x:c>
      <x:c r="CW539" s="23" t="n">
        <x:f>MAX(0,MIN('Activities'!L539,582)-MAX('Activities'!K539,576))</x:f>
        <x:v>0</x:v>
      </x:c>
      <x:c r="CX539" s="23" t="n">
        <x:f>MAX(0,MIN('Activities'!L539,588)-MAX('Activities'!K539,582))</x:f>
        <x:v>0</x:v>
      </x:c>
      <x:c r="CY539" s="23" t="n">
        <x:f>MAX(0,MIN('Activities'!L539,594)-MAX('Activities'!K539,588))</x:f>
        <x:v>0</x:v>
      </x:c>
      <x:c r="CZ539" s="23" t="n">
        <x:f>MAX(0,MIN('Activities'!L539,600)-MAX('Activities'!K539,594))</x:f>
        <x:v>0</x:v>
      </x:c>
      <x:c r="DA539" s="23" t="n">
        <x:f>MAX(0,MIN('Activities'!L539,606)-MAX('Activities'!K539,600))</x:f>
        <x:v>0</x:v>
      </x:c>
      <x:c r="DB539" s="23" t="n">
        <x:f>MAX(0,MIN('Activities'!L539,612)-MAX('Activities'!K539,606))</x:f>
        <x:v>0</x:v>
      </x:c>
      <x:c r="DC539" s="23" t="n">
        <x:f>MAX(0,MIN('Activities'!L539,618)-MAX('Activities'!K539,612))</x:f>
        <x:v>0</x:v>
      </x:c>
      <x:c r="DD539" s="23" t="n">
        <x:f>MAX(0,MIN('Activities'!L539,624)-MAX('Activities'!K539,618))</x:f>
        <x:v>0</x:v>
      </x:c>
      <x:c r="DE539" s="23" t="n">
        <x:f>MAX(0,MIN('Activities'!L539,630)-MAX('Activities'!K539,624))</x:f>
        <x:v>0</x:v>
      </x:c>
      <x:c r="DF539" s="23" t="n">
        <x:f>MAX(0,MIN('Activities'!L539,636)-MAX('Activities'!K539,630))</x:f>
        <x:v>0</x:v>
      </x:c>
    </x:row>
    <x:row r="540" ht="23" customHeight="1">
      <x:c r="A540" s="6" t="str">
        <x:v>T4-L11-A</x:v>
      </x:c>
      <x:c r="B540" s="6" t="str">
        <x:v>T4</x:v>
      </x:c>
      <x:c r="C540" s="6" t="str">
        <x:v>Paint and final decorations</x:v>
      </x:c>
      <x:c r="D540" s="6" t="str">
        <x:v>Finishes</x:v>
      </x:c>
      <x:c r="E540" s="22" t="n">
        <x:f>MAX(0,MIN('Activities'!L540,6)-MAX('Activities'!K540,0))</x:f>
        <x:v>0</x:v>
      </x:c>
      <x:c r="F540" s="22" t="n">
        <x:f>MAX(0,MIN('Activities'!L540,12)-MAX('Activities'!K540,6))</x:f>
        <x:v>0</x:v>
      </x:c>
      <x:c r="G540" s="22" t="n">
        <x:f>MAX(0,MIN('Activities'!L540,18)-MAX('Activities'!K540,12))</x:f>
        <x:v>0</x:v>
      </x:c>
      <x:c r="H540" s="22" t="n">
        <x:f>MAX(0,MIN('Activities'!L540,24)-MAX('Activities'!K540,18))</x:f>
        <x:v>0</x:v>
      </x:c>
      <x:c r="I540" s="22" t="n">
        <x:f>MAX(0,MIN('Activities'!L540,30)-MAX('Activities'!K540,24))</x:f>
        <x:v>0</x:v>
      </x:c>
      <x:c r="J540" s="22" t="n">
        <x:f>MAX(0,MIN('Activities'!L540,36)-MAX('Activities'!K540,30))</x:f>
        <x:v>0</x:v>
      </x:c>
      <x:c r="K540" s="22" t="n">
        <x:f>MAX(0,MIN('Activities'!L540,42)-MAX('Activities'!K540,36))</x:f>
        <x:v>0</x:v>
      </x:c>
      <x:c r="L540" s="22" t="n">
        <x:f>MAX(0,MIN('Activities'!L540,48)-MAX('Activities'!K540,42))</x:f>
        <x:v>0</x:v>
      </x:c>
      <x:c r="M540" s="22" t="n">
        <x:f>MAX(0,MIN('Activities'!L540,54)-MAX('Activities'!K540,48))</x:f>
        <x:v>0</x:v>
      </x:c>
      <x:c r="N540" s="22" t="n">
        <x:f>MAX(0,MIN('Activities'!L540,60)-MAX('Activities'!K540,54))</x:f>
        <x:v>0</x:v>
      </x:c>
      <x:c r="O540" s="22" t="n">
        <x:f>MAX(0,MIN('Activities'!L540,66)-MAX('Activities'!K540,60))</x:f>
        <x:v>0</x:v>
      </x:c>
      <x:c r="P540" s="22" t="n">
        <x:f>MAX(0,MIN('Activities'!L540,72)-MAX('Activities'!K540,66))</x:f>
        <x:v>0</x:v>
      </x:c>
      <x:c r="Q540" s="22" t="n">
        <x:f>MAX(0,MIN('Activities'!L540,78)-MAX('Activities'!K540,72))</x:f>
        <x:v>0</x:v>
      </x:c>
      <x:c r="R540" s="22" t="n">
        <x:f>MAX(0,MIN('Activities'!L540,84)-MAX('Activities'!K540,78))</x:f>
        <x:v>0</x:v>
      </x:c>
      <x:c r="S540" s="22" t="n">
        <x:f>MAX(0,MIN('Activities'!L540,90)-MAX('Activities'!K540,84))</x:f>
        <x:v>0</x:v>
      </x:c>
      <x:c r="T540" s="22" t="n">
        <x:f>MAX(0,MIN('Activities'!L540,96)-MAX('Activities'!K540,90))</x:f>
        <x:v>0</x:v>
      </x:c>
      <x:c r="U540" s="22" t="n">
        <x:f>MAX(0,MIN('Activities'!L540,102)-MAX('Activities'!K540,96))</x:f>
        <x:v>0</x:v>
      </x:c>
      <x:c r="V540" s="22" t="n">
        <x:f>MAX(0,MIN('Activities'!L540,108)-MAX('Activities'!K540,102))</x:f>
        <x:v>0</x:v>
      </x:c>
      <x:c r="W540" s="22" t="n">
        <x:f>MAX(0,MIN('Activities'!L540,114)-MAX('Activities'!K540,108))</x:f>
        <x:v>0</x:v>
      </x:c>
      <x:c r="X540" s="22" t="n">
        <x:f>MAX(0,MIN('Activities'!L540,120)-MAX('Activities'!K540,114))</x:f>
        <x:v>0</x:v>
      </x:c>
      <x:c r="Y540" s="22" t="n">
        <x:f>MAX(0,MIN('Activities'!L540,126)-MAX('Activities'!K540,120))</x:f>
        <x:v>0</x:v>
      </x:c>
      <x:c r="Z540" s="22" t="n">
        <x:f>MAX(0,MIN('Activities'!L540,132)-MAX('Activities'!K540,126))</x:f>
        <x:v>0</x:v>
      </x:c>
      <x:c r="AA540" s="22" t="n">
        <x:f>MAX(0,MIN('Activities'!L540,138)-MAX('Activities'!K540,132))</x:f>
        <x:v>0</x:v>
      </x:c>
      <x:c r="AB540" s="22" t="n">
        <x:f>MAX(0,MIN('Activities'!L540,144)-MAX('Activities'!K540,138))</x:f>
        <x:v>0</x:v>
      </x:c>
      <x:c r="AC540" s="22" t="n">
        <x:f>MAX(0,MIN('Activities'!L540,150)-MAX('Activities'!K540,144))</x:f>
        <x:v>0</x:v>
      </x:c>
      <x:c r="AD540" s="22" t="n">
        <x:f>MAX(0,MIN('Activities'!L540,156)-MAX('Activities'!K540,150))</x:f>
        <x:v>0</x:v>
      </x:c>
      <x:c r="AE540" s="22" t="n">
        <x:f>MAX(0,MIN('Activities'!L540,162)-MAX('Activities'!K540,156))</x:f>
        <x:v>0</x:v>
      </x:c>
      <x:c r="AF540" s="22" t="n">
        <x:f>MAX(0,MIN('Activities'!L540,168)-MAX('Activities'!K540,162))</x:f>
        <x:v>0</x:v>
      </x:c>
      <x:c r="AG540" s="22" t="n">
        <x:f>MAX(0,MIN('Activities'!L540,174)-MAX('Activities'!K540,168))</x:f>
        <x:v>0</x:v>
      </x:c>
      <x:c r="AH540" s="22" t="n">
        <x:f>MAX(0,MIN('Activities'!L540,180)-MAX('Activities'!K540,174))</x:f>
        <x:v>0</x:v>
      </x:c>
      <x:c r="AI540" s="22" t="n">
        <x:f>MAX(0,MIN('Activities'!L540,186)-MAX('Activities'!K540,180))</x:f>
        <x:v>0</x:v>
      </x:c>
      <x:c r="AJ540" s="22" t="n">
        <x:f>MAX(0,MIN('Activities'!L540,192)-MAX('Activities'!K540,186))</x:f>
        <x:v>0</x:v>
      </x:c>
      <x:c r="AK540" s="22" t="n">
        <x:f>MAX(0,MIN('Activities'!L540,198)-MAX('Activities'!K540,192))</x:f>
        <x:v>0</x:v>
      </x:c>
      <x:c r="AL540" s="22" t="n">
        <x:f>MAX(0,MIN('Activities'!L540,204)-MAX('Activities'!K540,198))</x:f>
        <x:v>0</x:v>
      </x:c>
      <x:c r="AM540" s="22" t="n">
        <x:f>MAX(0,MIN('Activities'!L540,210)-MAX('Activities'!K540,204))</x:f>
        <x:v>0</x:v>
      </x:c>
      <x:c r="AN540" s="22" t="n">
        <x:f>MAX(0,MIN('Activities'!L540,216)-MAX('Activities'!K540,210))</x:f>
        <x:v>0</x:v>
      </x:c>
      <x:c r="AO540" s="22" t="n">
        <x:f>MAX(0,MIN('Activities'!L540,222)-MAX('Activities'!K540,216))</x:f>
        <x:v>0</x:v>
      </x:c>
      <x:c r="AP540" s="22" t="n">
        <x:f>MAX(0,MIN('Activities'!L540,228)-MAX('Activities'!K540,222))</x:f>
        <x:v>0</x:v>
      </x:c>
      <x:c r="AQ540" s="22" t="n">
        <x:f>MAX(0,MIN('Activities'!L540,234)-MAX('Activities'!K540,228))</x:f>
        <x:v>0</x:v>
      </x:c>
      <x:c r="AR540" s="22" t="n">
        <x:f>MAX(0,MIN('Activities'!L540,240)-MAX('Activities'!K540,234))</x:f>
        <x:v>0</x:v>
      </x:c>
      <x:c r="AS540" s="22" t="n">
        <x:f>MAX(0,MIN('Activities'!L540,246)-MAX('Activities'!K540,240))</x:f>
        <x:v>0</x:v>
      </x:c>
      <x:c r="AT540" s="22" t="n">
        <x:f>MAX(0,MIN('Activities'!L540,252)-MAX('Activities'!K540,246))</x:f>
        <x:v>0</x:v>
      </x:c>
      <x:c r="AU540" s="22" t="n">
        <x:f>MAX(0,MIN('Activities'!L540,258)-MAX('Activities'!K540,252))</x:f>
        <x:v>0</x:v>
      </x:c>
      <x:c r="AV540" s="22" t="n">
        <x:f>MAX(0,MIN('Activities'!L540,264)-MAX('Activities'!K540,258))</x:f>
        <x:v>0</x:v>
      </x:c>
      <x:c r="AW540" s="22" t="n">
        <x:f>MAX(0,MIN('Activities'!L540,270)-MAX('Activities'!K540,264))</x:f>
        <x:v>0</x:v>
      </x:c>
      <x:c r="AX540" s="22" t="n">
        <x:f>MAX(0,MIN('Activities'!L540,276)-MAX('Activities'!K540,270))</x:f>
        <x:v>0</x:v>
      </x:c>
      <x:c r="AY540" s="22" t="n">
        <x:f>MAX(0,MIN('Activities'!L540,282)-MAX('Activities'!K540,276))</x:f>
        <x:v>0</x:v>
      </x:c>
      <x:c r="AZ540" s="22" t="n">
        <x:f>MAX(0,MIN('Activities'!L540,288)-MAX('Activities'!K540,282))</x:f>
        <x:v>0</x:v>
      </x:c>
      <x:c r="BA540" s="22" t="n">
        <x:f>MAX(0,MIN('Activities'!L540,294)-MAX('Activities'!K540,288))</x:f>
        <x:v>0</x:v>
      </x:c>
      <x:c r="BB540" s="22" t="n">
        <x:f>MAX(0,MIN('Activities'!L540,300)-MAX('Activities'!K540,294))</x:f>
        <x:v>0</x:v>
      </x:c>
      <x:c r="BC540" s="22" t="n">
        <x:f>MAX(0,MIN('Activities'!L540,306)-MAX('Activities'!K540,300))</x:f>
        <x:v>0</x:v>
      </x:c>
      <x:c r="BD540" s="22" t="n">
        <x:f>MAX(0,MIN('Activities'!L540,312)-MAX('Activities'!K540,306))</x:f>
        <x:v>0</x:v>
      </x:c>
      <x:c r="BE540" s="22" t="n">
        <x:f>MAX(0,MIN('Activities'!L540,318)-MAX('Activities'!K540,312))</x:f>
        <x:v>0</x:v>
      </x:c>
      <x:c r="BF540" s="22" t="n">
        <x:f>MAX(0,MIN('Activities'!L540,324)-MAX('Activities'!K540,318))</x:f>
        <x:v>0</x:v>
      </x:c>
      <x:c r="BG540" s="22" t="n">
        <x:f>MAX(0,MIN('Activities'!L540,330)-MAX('Activities'!K540,324))</x:f>
        <x:v>0</x:v>
      </x:c>
      <x:c r="BH540" s="22" t="n">
        <x:f>MAX(0,MIN('Activities'!L540,336)-MAX('Activities'!K540,330))</x:f>
        <x:v>0</x:v>
      </x:c>
      <x:c r="BI540" s="22" t="n">
        <x:f>MAX(0,MIN('Activities'!L540,342)-MAX('Activities'!K540,336))</x:f>
        <x:v>0</x:v>
      </x:c>
      <x:c r="BJ540" s="22" t="n">
        <x:f>MAX(0,MIN('Activities'!L540,348)-MAX('Activities'!K540,342))</x:f>
        <x:v>0</x:v>
      </x:c>
      <x:c r="BK540" s="22" t="n">
        <x:f>MAX(0,MIN('Activities'!L540,354)-MAX('Activities'!K540,348))</x:f>
        <x:v>0</x:v>
      </x:c>
      <x:c r="BL540" s="22" t="n">
        <x:f>MAX(0,MIN('Activities'!L540,360)-MAX('Activities'!K540,354))</x:f>
        <x:v>0</x:v>
      </x:c>
      <x:c r="BM540" s="22" t="n">
        <x:f>MAX(0,MIN('Activities'!L540,366)-MAX('Activities'!K540,360))</x:f>
        <x:v>0</x:v>
      </x:c>
      <x:c r="BN540" s="22" t="n">
        <x:f>MAX(0,MIN('Activities'!L540,372)-MAX('Activities'!K540,366))</x:f>
        <x:v>0</x:v>
      </x:c>
      <x:c r="BO540" s="22" t="n">
        <x:f>MAX(0,MIN('Activities'!L540,378)-MAX('Activities'!K540,372))</x:f>
        <x:v>0</x:v>
      </x:c>
      <x:c r="BP540" s="22" t="n">
        <x:f>MAX(0,MIN('Activities'!L540,384)-MAX('Activities'!K540,378))</x:f>
        <x:v>0</x:v>
      </x:c>
      <x:c r="BQ540" s="22" t="n">
        <x:f>MAX(0,MIN('Activities'!L540,390)-MAX('Activities'!K540,384))</x:f>
        <x:v>0</x:v>
      </x:c>
      <x:c r="BR540" s="22" t="n">
        <x:f>MAX(0,MIN('Activities'!L540,396)-MAX('Activities'!K540,390))</x:f>
        <x:v>0</x:v>
      </x:c>
      <x:c r="BS540" s="22" t="n">
        <x:f>MAX(0,MIN('Activities'!L540,402)-MAX('Activities'!K540,396))</x:f>
        <x:v>0</x:v>
      </x:c>
      <x:c r="BT540" s="22" t="n">
        <x:f>MAX(0,MIN('Activities'!L540,408)-MAX('Activities'!K540,402))</x:f>
        <x:v>0</x:v>
      </x:c>
      <x:c r="BU540" s="22" t="n">
        <x:f>MAX(0,MIN('Activities'!L540,414)-MAX('Activities'!K540,408))</x:f>
        <x:v>0</x:v>
      </x:c>
      <x:c r="BV540" s="22" t="n">
        <x:f>MAX(0,MIN('Activities'!L540,420)-MAX('Activities'!K540,414))</x:f>
        <x:v>0</x:v>
      </x:c>
      <x:c r="BW540" s="22" t="n">
        <x:f>MAX(0,MIN('Activities'!L540,426)-MAX('Activities'!K540,420))</x:f>
        <x:v>0</x:v>
      </x:c>
      <x:c r="BX540" s="22" t="n">
        <x:f>MAX(0,MIN('Activities'!L540,432)-MAX('Activities'!K540,426))</x:f>
        <x:v>0</x:v>
      </x:c>
      <x:c r="BY540" s="22" t="n">
        <x:f>MAX(0,MIN('Activities'!L540,438)-MAX('Activities'!K540,432))</x:f>
        <x:v>0</x:v>
      </x:c>
      <x:c r="BZ540" s="22" t="n">
        <x:f>MAX(0,MIN('Activities'!L540,444)-MAX('Activities'!K540,438))</x:f>
        <x:v>0</x:v>
      </x:c>
      <x:c r="CA540" s="22" t="n">
        <x:f>MAX(0,MIN('Activities'!L540,450)-MAX('Activities'!K540,444))</x:f>
        <x:v>0</x:v>
      </x:c>
      <x:c r="CB540" s="22" t="n">
        <x:f>MAX(0,MIN('Activities'!L540,456)-MAX('Activities'!K540,450))</x:f>
        <x:v>5</x:v>
      </x:c>
      <x:c r="CC540" s="22" t="n">
        <x:f>MAX(0,MIN('Activities'!L540,462)-MAX('Activities'!K540,456))</x:f>
        <x:v>0</x:v>
      </x:c>
      <x:c r="CD540" s="22" t="n">
        <x:f>MAX(0,MIN('Activities'!L540,468)-MAX('Activities'!K540,462))</x:f>
        <x:v>0</x:v>
      </x:c>
      <x:c r="CE540" s="22" t="n">
        <x:f>MAX(0,MIN('Activities'!L540,474)-MAX('Activities'!K540,468))</x:f>
        <x:v>0</x:v>
      </x:c>
      <x:c r="CF540" s="22" t="n">
        <x:f>MAX(0,MIN('Activities'!L540,480)-MAX('Activities'!K540,474))</x:f>
        <x:v>0</x:v>
      </x:c>
      <x:c r="CG540" s="22" t="n">
        <x:f>MAX(0,MIN('Activities'!L540,486)-MAX('Activities'!K540,480))</x:f>
        <x:v>0</x:v>
      </x:c>
      <x:c r="CH540" s="22" t="n">
        <x:f>MAX(0,MIN('Activities'!L540,492)-MAX('Activities'!K540,486))</x:f>
        <x:v>0</x:v>
      </x:c>
      <x:c r="CI540" s="22" t="n">
        <x:f>MAX(0,MIN('Activities'!L540,498)-MAX('Activities'!K540,492))</x:f>
        <x:v>0</x:v>
      </x:c>
      <x:c r="CJ540" s="22" t="n">
        <x:f>MAX(0,MIN('Activities'!L540,504)-MAX('Activities'!K540,498))</x:f>
        <x:v>0</x:v>
      </x:c>
      <x:c r="CK540" s="22" t="n">
        <x:f>MAX(0,MIN('Activities'!L540,510)-MAX('Activities'!K540,504))</x:f>
        <x:v>0</x:v>
      </x:c>
      <x:c r="CL540" s="22" t="n">
        <x:f>MAX(0,MIN('Activities'!L540,516)-MAX('Activities'!K540,510))</x:f>
        <x:v>0</x:v>
      </x:c>
      <x:c r="CM540" s="22" t="n">
        <x:f>MAX(0,MIN('Activities'!L540,522)-MAX('Activities'!K540,516))</x:f>
        <x:v>0</x:v>
      </x:c>
      <x:c r="CN540" s="22" t="n">
        <x:f>MAX(0,MIN('Activities'!L540,528)-MAX('Activities'!K540,522))</x:f>
        <x:v>0</x:v>
      </x:c>
      <x:c r="CO540" s="22" t="n">
        <x:f>MAX(0,MIN('Activities'!L540,534)-MAX('Activities'!K540,528))</x:f>
        <x:v>0</x:v>
      </x:c>
      <x:c r="CP540" s="22" t="n">
        <x:f>MAX(0,MIN('Activities'!L540,540)-MAX('Activities'!K540,534))</x:f>
        <x:v>0</x:v>
      </x:c>
      <x:c r="CQ540" s="22" t="n">
        <x:f>MAX(0,MIN('Activities'!L540,546)-MAX('Activities'!K540,540))</x:f>
        <x:v>0</x:v>
      </x:c>
      <x:c r="CR540" s="22" t="n">
        <x:f>MAX(0,MIN('Activities'!L540,552)-MAX('Activities'!K540,546))</x:f>
        <x:v>0</x:v>
      </x:c>
      <x:c r="CS540" s="22" t="n">
        <x:f>MAX(0,MIN('Activities'!L540,558)-MAX('Activities'!K540,552))</x:f>
        <x:v>0</x:v>
      </x:c>
      <x:c r="CT540" s="22" t="n">
        <x:f>MAX(0,MIN('Activities'!L540,564)-MAX('Activities'!K540,558))</x:f>
        <x:v>0</x:v>
      </x:c>
      <x:c r="CU540" s="22" t="n">
        <x:f>MAX(0,MIN('Activities'!L540,570)-MAX('Activities'!K540,564))</x:f>
        <x:v>0</x:v>
      </x:c>
      <x:c r="CV540" s="22" t="n">
        <x:f>MAX(0,MIN('Activities'!L540,576)-MAX('Activities'!K540,570))</x:f>
        <x:v>0</x:v>
      </x:c>
      <x:c r="CW540" s="22" t="n">
        <x:f>MAX(0,MIN('Activities'!L540,582)-MAX('Activities'!K540,576))</x:f>
        <x:v>0</x:v>
      </x:c>
      <x:c r="CX540" s="22" t="n">
        <x:f>MAX(0,MIN('Activities'!L540,588)-MAX('Activities'!K540,582))</x:f>
        <x:v>0</x:v>
      </x:c>
      <x:c r="CY540" s="22" t="n">
        <x:f>MAX(0,MIN('Activities'!L540,594)-MAX('Activities'!K540,588))</x:f>
        <x:v>0</x:v>
      </x:c>
      <x:c r="CZ540" s="22" t="n">
        <x:f>MAX(0,MIN('Activities'!L540,600)-MAX('Activities'!K540,594))</x:f>
        <x:v>0</x:v>
      </x:c>
      <x:c r="DA540" s="22" t="n">
        <x:f>MAX(0,MIN('Activities'!L540,606)-MAX('Activities'!K540,600))</x:f>
        <x:v>0</x:v>
      </x:c>
      <x:c r="DB540" s="22" t="n">
        <x:f>MAX(0,MIN('Activities'!L540,612)-MAX('Activities'!K540,606))</x:f>
        <x:v>0</x:v>
      </x:c>
      <x:c r="DC540" s="22" t="n">
        <x:f>MAX(0,MIN('Activities'!L540,618)-MAX('Activities'!K540,612))</x:f>
        <x:v>0</x:v>
      </x:c>
      <x:c r="DD540" s="22" t="n">
        <x:f>MAX(0,MIN('Activities'!L540,624)-MAX('Activities'!K540,618))</x:f>
        <x:v>0</x:v>
      </x:c>
      <x:c r="DE540" s="22" t="n">
        <x:f>MAX(0,MIN('Activities'!L540,630)-MAX('Activities'!K540,624))</x:f>
        <x:v>0</x:v>
      </x:c>
      <x:c r="DF540" s="22" t="n">
        <x:f>MAX(0,MIN('Activities'!L540,636)-MAX('Activities'!K540,630))</x:f>
        <x:v>0</x:v>
      </x:c>
    </x:row>
    <x:row r="541" ht="23" customHeight="1">
      <x:c r="A541" s="1" t="str">
        <x:v>T4-L11-D</x:v>
      </x:c>
      <x:c r="B541" s="1" t="str">
        <x:v>T4</x:v>
      </x:c>
      <x:c r="C541" s="1" t="str">
        <x:v>Door sets and ironmongery</x:v>
      </x:c>
      <x:c r="D541" s="1" t="str">
        <x:v>Finishes</x:v>
      </x:c>
      <x:c r="E541" s="23" t="n">
        <x:f>MAX(0,MIN('Activities'!L541,6)-MAX('Activities'!K541,0))</x:f>
        <x:v>0</x:v>
      </x:c>
      <x:c r="F541" s="23" t="n">
        <x:f>MAX(0,MIN('Activities'!L541,12)-MAX('Activities'!K541,6))</x:f>
        <x:v>0</x:v>
      </x:c>
      <x:c r="G541" s="23" t="n">
        <x:f>MAX(0,MIN('Activities'!L541,18)-MAX('Activities'!K541,12))</x:f>
        <x:v>0</x:v>
      </x:c>
      <x:c r="H541" s="23" t="n">
        <x:f>MAX(0,MIN('Activities'!L541,24)-MAX('Activities'!K541,18))</x:f>
        <x:v>0</x:v>
      </x:c>
      <x:c r="I541" s="23" t="n">
        <x:f>MAX(0,MIN('Activities'!L541,30)-MAX('Activities'!K541,24))</x:f>
        <x:v>0</x:v>
      </x:c>
      <x:c r="J541" s="23" t="n">
        <x:f>MAX(0,MIN('Activities'!L541,36)-MAX('Activities'!K541,30))</x:f>
        <x:v>0</x:v>
      </x:c>
      <x:c r="K541" s="23" t="n">
        <x:f>MAX(0,MIN('Activities'!L541,42)-MAX('Activities'!K541,36))</x:f>
        <x:v>0</x:v>
      </x:c>
      <x:c r="L541" s="23" t="n">
        <x:f>MAX(0,MIN('Activities'!L541,48)-MAX('Activities'!K541,42))</x:f>
        <x:v>0</x:v>
      </x:c>
      <x:c r="M541" s="23" t="n">
        <x:f>MAX(0,MIN('Activities'!L541,54)-MAX('Activities'!K541,48))</x:f>
        <x:v>0</x:v>
      </x:c>
      <x:c r="N541" s="23" t="n">
        <x:f>MAX(0,MIN('Activities'!L541,60)-MAX('Activities'!K541,54))</x:f>
        <x:v>0</x:v>
      </x:c>
      <x:c r="O541" s="23" t="n">
        <x:f>MAX(0,MIN('Activities'!L541,66)-MAX('Activities'!K541,60))</x:f>
        <x:v>0</x:v>
      </x:c>
      <x:c r="P541" s="23" t="n">
        <x:f>MAX(0,MIN('Activities'!L541,72)-MAX('Activities'!K541,66))</x:f>
        <x:v>0</x:v>
      </x:c>
      <x:c r="Q541" s="23" t="n">
        <x:f>MAX(0,MIN('Activities'!L541,78)-MAX('Activities'!K541,72))</x:f>
        <x:v>0</x:v>
      </x:c>
      <x:c r="R541" s="23" t="n">
        <x:f>MAX(0,MIN('Activities'!L541,84)-MAX('Activities'!K541,78))</x:f>
        <x:v>0</x:v>
      </x:c>
      <x:c r="S541" s="23" t="n">
        <x:f>MAX(0,MIN('Activities'!L541,90)-MAX('Activities'!K541,84))</x:f>
        <x:v>0</x:v>
      </x:c>
      <x:c r="T541" s="23" t="n">
        <x:f>MAX(0,MIN('Activities'!L541,96)-MAX('Activities'!K541,90))</x:f>
        <x:v>0</x:v>
      </x:c>
      <x:c r="U541" s="23" t="n">
        <x:f>MAX(0,MIN('Activities'!L541,102)-MAX('Activities'!K541,96))</x:f>
        <x:v>0</x:v>
      </x:c>
      <x:c r="V541" s="23" t="n">
        <x:f>MAX(0,MIN('Activities'!L541,108)-MAX('Activities'!K541,102))</x:f>
        <x:v>0</x:v>
      </x:c>
      <x:c r="W541" s="23" t="n">
        <x:f>MAX(0,MIN('Activities'!L541,114)-MAX('Activities'!K541,108))</x:f>
        <x:v>0</x:v>
      </x:c>
      <x:c r="X541" s="23" t="n">
        <x:f>MAX(0,MIN('Activities'!L541,120)-MAX('Activities'!K541,114))</x:f>
        <x:v>0</x:v>
      </x:c>
      <x:c r="Y541" s="23" t="n">
        <x:f>MAX(0,MIN('Activities'!L541,126)-MAX('Activities'!K541,120))</x:f>
        <x:v>0</x:v>
      </x:c>
      <x:c r="Z541" s="23" t="n">
        <x:f>MAX(0,MIN('Activities'!L541,132)-MAX('Activities'!K541,126))</x:f>
        <x:v>0</x:v>
      </x:c>
      <x:c r="AA541" s="23" t="n">
        <x:f>MAX(0,MIN('Activities'!L541,138)-MAX('Activities'!K541,132))</x:f>
        <x:v>0</x:v>
      </x:c>
      <x:c r="AB541" s="23" t="n">
        <x:f>MAX(0,MIN('Activities'!L541,144)-MAX('Activities'!K541,138))</x:f>
        <x:v>0</x:v>
      </x:c>
      <x:c r="AC541" s="23" t="n">
        <x:f>MAX(0,MIN('Activities'!L541,150)-MAX('Activities'!K541,144))</x:f>
        <x:v>0</x:v>
      </x:c>
      <x:c r="AD541" s="23" t="n">
        <x:f>MAX(0,MIN('Activities'!L541,156)-MAX('Activities'!K541,150))</x:f>
        <x:v>0</x:v>
      </x:c>
      <x:c r="AE541" s="23" t="n">
        <x:f>MAX(0,MIN('Activities'!L541,162)-MAX('Activities'!K541,156))</x:f>
        <x:v>0</x:v>
      </x:c>
      <x:c r="AF541" s="23" t="n">
        <x:f>MAX(0,MIN('Activities'!L541,168)-MAX('Activities'!K541,162))</x:f>
        <x:v>0</x:v>
      </x:c>
      <x:c r="AG541" s="23" t="n">
        <x:f>MAX(0,MIN('Activities'!L541,174)-MAX('Activities'!K541,168))</x:f>
        <x:v>0</x:v>
      </x:c>
      <x:c r="AH541" s="23" t="n">
        <x:f>MAX(0,MIN('Activities'!L541,180)-MAX('Activities'!K541,174))</x:f>
        <x:v>0</x:v>
      </x:c>
      <x:c r="AI541" s="23" t="n">
        <x:f>MAX(0,MIN('Activities'!L541,186)-MAX('Activities'!K541,180))</x:f>
        <x:v>0</x:v>
      </x:c>
      <x:c r="AJ541" s="23" t="n">
        <x:f>MAX(0,MIN('Activities'!L541,192)-MAX('Activities'!K541,186))</x:f>
        <x:v>0</x:v>
      </x:c>
      <x:c r="AK541" s="23" t="n">
        <x:f>MAX(0,MIN('Activities'!L541,198)-MAX('Activities'!K541,192))</x:f>
        <x:v>0</x:v>
      </x:c>
      <x:c r="AL541" s="23" t="n">
        <x:f>MAX(0,MIN('Activities'!L541,204)-MAX('Activities'!K541,198))</x:f>
        <x:v>0</x:v>
      </x:c>
      <x:c r="AM541" s="23" t="n">
        <x:f>MAX(0,MIN('Activities'!L541,210)-MAX('Activities'!K541,204))</x:f>
        <x:v>0</x:v>
      </x:c>
      <x:c r="AN541" s="23" t="n">
        <x:f>MAX(0,MIN('Activities'!L541,216)-MAX('Activities'!K541,210))</x:f>
        <x:v>0</x:v>
      </x:c>
      <x:c r="AO541" s="23" t="n">
        <x:f>MAX(0,MIN('Activities'!L541,222)-MAX('Activities'!K541,216))</x:f>
        <x:v>0</x:v>
      </x:c>
      <x:c r="AP541" s="23" t="n">
        <x:f>MAX(0,MIN('Activities'!L541,228)-MAX('Activities'!K541,222))</x:f>
        <x:v>0</x:v>
      </x:c>
      <x:c r="AQ541" s="23" t="n">
        <x:f>MAX(0,MIN('Activities'!L541,234)-MAX('Activities'!K541,228))</x:f>
        <x:v>0</x:v>
      </x:c>
      <x:c r="AR541" s="23" t="n">
        <x:f>MAX(0,MIN('Activities'!L541,240)-MAX('Activities'!K541,234))</x:f>
        <x:v>0</x:v>
      </x:c>
      <x:c r="AS541" s="23" t="n">
        <x:f>MAX(0,MIN('Activities'!L541,246)-MAX('Activities'!K541,240))</x:f>
        <x:v>0</x:v>
      </x:c>
      <x:c r="AT541" s="23" t="n">
        <x:f>MAX(0,MIN('Activities'!L541,252)-MAX('Activities'!K541,246))</x:f>
        <x:v>0</x:v>
      </x:c>
      <x:c r="AU541" s="23" t="n">
        <x:f>MAX(0,MIN('Activities'!L541,258)-MAX('Activities'!K541,252))</x:f>
        <x:v>0</x:v>
      </x:c>
      <x:c r="AV541" s="23" t="n">
        <x:f>MAX(0,MIN('Activities'!L541,264)-MAX('Activities'!K541,258))</x:f>
        <x:v>0</x:v>
      </x:c>
      <x:c r="AW541" s="23" t="n">
        <x:f>MAX(0,MIN('Activities'!L541,270)-MAX('Activities'!K541,264))</x:f>
        <x:v>0</x:v>
      </x:c>
      <x:c r="AX541" s="23" t="n">
        <x:f>MAX(0,MIN('Activities'!L541,276)-MAX('Activities'!K541,270))</x:f>
        <x:v>0</x:v>
      </x:c>
      <x:c r="AY541" s="23" t="n">
        <x:f>MAX(0,MIN('Activities'!L541,282)-MAX('Activities'!K541,276))</x:f>
        <x:v>0</x:v>
      </x:c>
      <x:c r="AZ541" s="23" t="n">
        <x:f>MAX(0,MIN('Activities'!L541,288)-MAX('Activities'!K541,282))</x:f>
        <x:v>0</x:v>
      </x:c>
      <x:c r="BA541" s="23" t="n">
        <x:f>MAX(0,MIN('Activities'!L541,294)-MAX('Activities'!K541,288))</x:f>
        <x:v>0</x:v>
      </x:c>
      <x:c r="BB541" s="23" t="n">
        <x:f>MAX(0,MIN('Activities'!L541,300)-MAX('Activities'!K541,294))</x:f>
        <x:v>0</x:v>
      </x:c>
      <x:c r="BC541" s="23" t="n">
        <x:f>MAX(0,MIN('Activities'!L541,306)-MAX('Activities'!K541,300))</x:f>
        <x:v>0</x:v>
      </x:c>
      <x:c r="BD541" s="23" t="n">
        <x:f>MAX(0,MIN('Activities'!L541,312)-MAX('Activities'!K541,306))</x:f>
        <x:v>0</x:v>
      </x:c>
      <x:c r="BE541" s="23" t="n">
        <x:f>MAX(0,MIN('Activities'!L541,318)-MAX('Activities'!K541,312))</x:f>
        <x:v>0</x:v>
      </x:c>
      <x:c r="BF541" s="23" t="n">
        <x:f>MAX(0,MIN('Activities'!L541,324)-MAX('Activities'!K541,318))</x:f>
        <x:v>0</x:v>
      </x:c>
      <x:c r="BG541" s="23" t="n">
        <x:f>MAX(0,MIN('Activities'!L541,330)-MAX('Activities'!K541,324))</x:f>
        <x:v>0</x:v>
      </x:c>
      <x:c r="BH541" s="23" t="n">
        <x:f>MAX(0,MIN('Activities'!L541,336)-MAX('Activities'!K541,330))</x:f>
        <x:v>0</x:v>
      </x:c>
      <x:c r="BI541" s="23" t="n">
        <x:f>MAX(0,MIN('Activities'!L541,342)-MAX('Activities'!K541,336))</x:f>
        <x:v>0</x:v>
      </x:c>
      <x:c r="BJ541" s="23" t="n">
        <x:f>MAX(0,MIN('Activities'!L541,348)-MAX('Activities'!K541,342))</x:f>
        <x:v>0</x:v>
      </x:c>
      <x:c r="BK541" s="23" t="n">
        <x:f>MAX(0,MIN('Activities'!L541,354)-MAX('Activities'!K541,348))</x:f>
        <x:v>0</x:v>
      </x:c>
      <x:c r="BL541" s="23" t="n">
        <x:f>MAX(0,MIN('Activities'!L541,360)-MAX('Activities'!K541,354))</x:f>
        <x:v>0</x:v>
      </x:c>
      <x:c r="BM541" s="23" t="n">
        <x:f>MAX(0,MIN('Activities'!L541,366)-MAX('Activities'!K541,360))</x:f>
        <x:v>0</x:v>
      </x:c>
      <x:c r="BN541" s="23" t="n">
        <x:f>MAX(0,MIN('Activities'!L541,372)-MAX('Activities'!K541,366))</x:f>
        <x:v>0</x:v>
      </x:c>
      <x:c r="BO541" s="23" t="n">
        <x:f>MAX(0,MIN('Activities'!L541,378)-MAX('Activities'!K541,372))</x:f>
        <x:v>0</x:v>
      </x:c>
      <x:c r="BP541" s="23" t="n">
        <x:f>MAX(0,MIN('Activities'!L541,384)-MAX('Activities'!K541,378))</x:f>
        <x:v>0</x:v>
      </x:c>
      <x:c r="BQ541" s="23" t="n">
        <x:f>MAX(0,MIN('Activities'!L541,390)-MAX('Activities'!K541,384))</x:f>
        <x:v>0</x:v>
      </x:c>
      <x:c r="BR541" s="23" t="n">
        <x:f>MAX(0,MIN('Activities'!L541,396)-MAX('Activities'!K541,390))</x:f>
        <x:v>0</x:v>
      </x:c>
      <x:c r="BS541" s="23" t="n">
        <x:f>MAX(0,MIN('Activities'!L541,402)-MAX('Activities'!K541,396))</x:f>
        <x:v>0</x:v>
      </x:c>
      <x:c r="BT541" s="23" t="n">
        <x:f>MAX(0,MIN('Activities'!L541,408)-MAX('Activities'!K541,402))</x:f>
        <x:v>0</x:v>
      </x:c>
      <x:c r="BU541" s="23" t="n">
        <x:f>MAX(0,MIN('Activities'!L541,414)-MAX('Activities'!K541,408))</x:f>
        <x:v>0</x:v>
      </x:c>
      <x:c r="BV541" s="23" t="n">
        <x:f>MAX(0,MIN('Activities'!L541,420)-MAX('Activities'!K541,414))</x:f>
        <x:v>0</x:v>
      </x:c>
      <x:c r="BW541" s="23" t="n">
        <x:f>MAX(0,MIN('Activities'!L541,426)-MAX('Activities'!K541,420))</x:f>
        <x:v>0</x:v>
      </x:c>
      <x:c r="BX541" s="23" t="n">
        <x:f>MAX(0,MIN('Activities'!L541,432)-MAX('Activities'!K541,426))</x:f>
        <x:v>0</x:v>
      </x:c>
      <x:c r="BY541" s="23" t="n">
        <x:f>MAX(0,MIN('Activities'!L541,438)-MAX('Activities'!K541,432))</x:f>
        <x:v>0</x:v>
      </x:c>
      <x:c r="BZ541" s="23" t="n">
        <x:f>MAX(0,MIN('Activities'!L541,444)-MAX('Activities'!K541,438))</x:f>
        <x:v>0</x:v>
      </x:c>
      <x:c r="CA541" s="23" t="n">
        <x:f>MAX(0,MIN('Activities'!L541,450)-MAX('Activities'!K541,444))</x:f>
        <x:v>0</x:v>
      </x:c>
      <x:c r="CB541" s="23" t="n">
        <x:f>MAX(0,MIN('Activities'!L541,456)-MAX('Activities'!K541,450))</x:f>
        <x:v>1</x:v>
      </x:c>
      <x:c r="CC541" s="23" t="n">
        <x:f>MAX(0,MIN('Activities'!L541,462)-MAX('Activities'!K541,456))</x:f>
        <x:v>2</x:v>
      </x:c>
      <x:c r="CD541" s="23" t="n">
        <x:f>MAX(0,MIN('Activities'!L541,468)-MAX('Activities'!K541,462))</x:f>
        <x:v>0</x:v>
      </x:c>
      <x:c r="CE541" s="23" t="n">
        <x:f>MAX(0,MIN('Activities'!L541,474)-MAX('Activities'!K541,468))</x:f>
        <x:v>0</x:v>
      </x:c>
      <x:c r="CF541" s="23" t="n">
        <x:f>MAX(0,MIN('Activities'!L541,480)-MAX('Activities'!K541,474))</x:f>
        <x:v>0</x:v>
      </x:c>
      <x:c r="CG541" s="23" t="n">
        <x:f>MAX(0,MIN('Activities'!L541,486)-MAX('Activities'!K541,480))</x:f>
        <x:v>0</x:v>
      </x:c>
      <x:c r="CH541" s="23" t="n">
        <x:f>MAX(0,MIN('Activities'!L541,492)-MAX('Activities'!K541,486))</x:f>
        <x:v>0</x:v>
      </x:c>
      <x:c r="CI541" s="23" t="n">
        <x:f>MAX(0,MIN('Activities'!L541,498)-MAX('Activities'!K541,492))</x:f>
        <x:v>0</x:v>
      </x:c>
      <x:c r="CJ541" s="23" t="n">
        <x:f>MAX(0,MIN('Activities'!L541,504)-MAX('Activities'!K541,498))</x:f>
        <x:v>0</x:v>
      </x:c>
      <x:c r="CK541" s="23" t="n">
        <x:f>MAX(0,MIN('Activities'!L541,510)-MAX('Activities'!K541,504))</x:f>
        <x:v>0</x:v>
      </x:c>
      <x:c r="CL541" s="23" t="n">
        <x:f>MAX(0,MIN('Activities'!L541,516)-MAX('Activities'!K541,510))</x:f>
        <x:v>0</x:v>
      </x:c>
      <x:c r="CM541" s="23" t="n">
        <x:f>MAX(0,MIN('Activities'!L541,522)-MAX('Activities'!K541,516))</x:f>
        <x:v>0</x:v>
      </x:c>
      <x:c r="CN541" s="23" t="n">
        <x:f>MAX(0,MIN('Activities'!L541,528)-MAX('Activities'!K541,522))</x:f>
        <x:v>0</x:v>
      </x:c>
      <x:c r="CO541" s="23" t="n">
        <x:f>MAX(0,MIN('Activities'!L541,534)-MAX('Activities'!K541,528))</x:f>
        <x:v>0</x:v>
      </x:c>
      <x:c r="CP541" s="23" t="n">
        <x:f>MAX(0,MIN('Activities'!L541,540)-MAX('Activities'!K541,534))</x:f>
        <x:v>0</x:v>
      </x:c>
      <x:c r="CQ541" s="23" t="n">
        <x:f>MAX(0,MIN('Activities'!L541,546)-MAX('Activities'!K541,540))</x:f>
        <x:v>0</x:v>
      </x:c>
      <x:c r="CR541" s="23" t="n">
        <x:f>MAX(0,MIN('Activities'!L541,552)-MAX('Activities'!K541,546))</x:f>
        <x:v>0</x:v>
      </x:c>
      <x:c r="CS541" s="23" t="n">
        <x:f>MAX(0,MIN('Activities'!L541,558)-MAX('Activities'!K541,552))</x:f>
        <x:v>0</x:v>
      </x:c>
      <x:c r="CT541" s="23" t="n">
        <x:f>MAX(0,MIN('Activities'!L541,564)-MAX('Activities'!K541,558))</x:f>
        <x:v>0</x:v>
      </x:c>
      <x:c r="CU541" s="23" t="n">
        <x:f>MAX(0,MIN('Activities'!L541,570)-MAX('Activities'!K541,564))</x:f>
        <x:v>0</x:v>
      </x:c>
      <x:c r="CV541" s="23" t="n">
        <x:f>MAX(0,MIN('Activities'!L541,576)-MAX('Activities'!K541,570))</x:f>
        <x:v>0</x:v>
      </x:c>
      <x:c r="CW541" s="23" t="n">
        <x:f>MAX(0,MIN('Activities'!L541,582)-MAX('Activities'!K541,576))</x:f>
        <x:v>0</x:v>
      </x:c>
      <x:c r="CX541" s="23" t="n">
        <x:f>MAX(0,MIN('Activities'!L541,588)-MAX('Activities'!K541,582))</x:f>
        <x:v>0</x:v>
      </x:c>
      <x:c r="CY541" s="23" t="n">
        <x:f>MAX(0,MIN('Activities'!L541,594)-MAX('Activities'!K541,588))</x:f>
        <x:v>0</x:v>
      </x:c>
      <x:c r="CZ541" s="23" t="n">
        <x:f>MAX(0,MIN('Activities'!L541,600)-MAX('Activities'!K541,594))</x:f>
        <x:v>0</x:v>
      </x:c>
      <x:c r="DA541" s="23" t="n">
        <x:f>MAX(0,MIN('Activities'!L541,606)-MAX('Activities'!K541,600))</x:f>
        <x:v>0</x:v>
      </x:c>
      <x:c r="DB541" s="23" t="n">
        <x:f>MAX(0,MIN('Activities'!L541,612)-MAX('Activities'!K541,606))</x:f>
        <x:v>0</x:v>
      </x:c>
      <x:c r="DC541" s="23" t="n">
        <x:f>MAX(0,MIN('Activities'!L541,618)-MAX('Activities'!K541,612))</x:f>
        <x:v>0</x:v>
      </x:c>
      <x:c r="DD541" s="23" t="n">
        <x:f>MAX(0,MIN('Activities'!L541,624)-MAX('Activities'!K541,618))</x:f>
        <x:v>0</x:v>
      </x:c>
      <x:c r="DE541" s="23" t="n">
        <x:f>MAX(0,MIN('Activities'!L541,630)-MAX('Activities'!K541,624))</x:f>
        <x:v>0</x:v>
      </x:c>
      <x:c r="DF541" s="23" t="n">
        <x:f>MAX(0,MIN('Activities'!L541,636)-MAX('Activities'!K541,630))</x:f>
        <x:v>0</x:v>
      </x:c>
    </x:row>
    <x:row r="542" ht="23" customHeight="1">
      <x:c r="A542" s="6" t="str">
        <x:v>T4-L12-M</x:v>
      </x:c>
      <x:c r="B542" s="6" t="str">
        <x:v>T4</x:v>
      </x:c>
      <x:c r="C542" s="6" t="str">
        <x:v>Partition masonry</x:v>
      </x:c>
      <x:c r="D542" s="6" t="str">
        <x:v>Masonry</x:v>
      </x:c>
      <x:c r="E542" s="22" t="n">
        <x:f>MAX(0,MIN('Activities'!L542,6)-MAX('Activities'!K542,0))</x:f>
        <x:v>0</x:v>
      </x:c>
      <x:c r="F542" s="22" t="n">
        <x:f>MAX(0,MIN('Activities'!L542,12)-MAX('Activities'!K542,6))</x:f>
        <x:v>0</x:v>
      </x:c>
      <x:c r="G542" s="22" t="n">
        <x:f>MAX(0,MIN('Activities'!L542,18)-MAX('Activities'!K542,12))</x:f>
        <x:v>0</x:v>
      </x:c>
      <x:c r="H542" s="22" t="n">
        <x:f>MAX(0,MIN('Activities'!L542,24)-MAX('Activities'!K542,18))</x:f>
        <x:v>0</x:v>
      </x:c>
      <x:c r="I542" s="22" t="n">
        <x:f>MAX(0,MIN('Activities'!L542,30)-MAX('Activities'!K542,24))</x:f>
        <x:v>0</x:v>
      </x:c>
      <x:c r="J542" s="22" t="n">
        <x:f>MAX(0,MIN('Activities'!L542,36)-MAX('Activities'!K542,30))</x:f>
        <x:v>0</x:v>
      </x:c>
      <x:c r="K542" s="22" t="n">
        <x:f>MAX(0,MIN('Activities'!L542,42)-MAX('Activities'!K542,36))</x:f>
        <x:v>0</x:v>
      </x:c>
      <x:c r="L542" s="22" t="n">
        <x:f>MAX(0,MIN('Activities'!L542,48)-MAX('Activities'!K542,42))</x:f>
        <x:v>0</x:v>
      </x:c>
      <x:c r="M542" s="22" t="n">
        <x:f>MAX(0,MIN('Activities'!L542,54)-MAX('Activities'!K542,48))</x:f>
        <x:v>0</x:v>
      </x:c>
      <x:c r="N542" s="22" t="n">
        <x:f>MAX(0,MIN('Activities'!L542,60)-MAX('Activities'!K542,54))</x:f>
        <x:v>0</x:v>
      </x:c>
      <x:c r="O542" s="22" t="n">
        <x:f>MAX(0,MIN('Activities'!L542,66)-MAX('Activities'!K542,60))</x:f>
        <x:v>0</x:v>
      </x:c>
      <x:c r="P542" s="22" t="n">
        <x:f>MAX(0,MIN('Activities'!L542,72)-MAX('Activities'!K542,66))</x:f>
        <x:v>0</x:v>
      </x:c>
      <x:c r="Q542" s="22" t="n">
        <x:f>MAX(0,MIN('Activities'!L542,78)-MAX('Activities'!K542,72))</x:f>
        <x:v>0</x:v>
      </x:c>
      <x:c r="R542" s="22" t="n">
        <x:f>MAX(0,MIN('Activities'!L542,84)-MAX('Activities'!K542,78))</x:f>
        <x:v>0</x:v>
      </x:c>
      <x:c r="S542" s="22" t="n">
        <x:f>MAX(0,MIN('Activities'!L542,90)-MAX('Activities'!K542,84))</x:f>
        <x:v>0</x:v>
      </x:c>
      <x:c r="T542" s="22" t="n">
        <x:f>MAX(0,MIN('Activities'!L542,96)-MAX('Activities'!K542,90))</x:f>
        <x:v>0</x:v>
      </x:c>
      <x:c r="U542" s="22" t="n">
        <x:f>MAX(0,MIN('Activities'!L542,102)-MAX('Activities'!K542,96))</x:f>
        <x:v>0</x:v>
      </x:c>
      <x:c r="V542" s="22" t="n">
        <x:f>MAX(0,MIN('Activities'!L542,108)-MAX('Activities'!K542,102))</x:f>
        <x:v>0</x:v>
      </x:c>
      <x:c r="W542" s="22" t="n">
        <x:f>MAX(0,MIN('Activities'!L542,114)-MAX('Activities'!K542,108))</x:f>
        <x:v>0</x:v>
      </x:c>
      <x:c r="X542" s="22" t="n">
        <x:f>MAX(0,MIN('Activities'!L542,120)-MAX('Activities'!K542,114))</x:f>
        <x:v>0</x:v>
      </x:c>
      <x:c r="Y542" s="22" t="n">
        <x:f>MAX(0,MIN('Activities'!L542,126)-MAX('Activities'!K542,120))</x:f>
        <x:v>0</x:v>
      </x:c>
      <x:c r="Z542" s="22" t="n">
        <x:f>MAX(0,MIN('Activities'!L542,132)-MAX('Activities'!K542,126))</x:f>
        <x:v>0</x:v>
      </x:c>
      <x:c r="AA542" s="22" t="n">
        <x:f>MAX(0,MIN('Activities'!L542,138)-MAX('Activities'!K542,132))</x:f>
        <x:v>0</x:v>
      </x:c>
      <x:c r="AB542" s="22" t="n">
        <x:f>MAX(0,MIN('Activities'!L542,144)-MAX('Activities'!K542,138))</x:f>
        <x:v>0</x:v>
      </x:c>
      <x:c r="AC542" s="22" t="n">
        <x:f>MAX(0,MIN('Activities'!L542,150)-MAX('Activities'!K542,144))</x:f>
        <x:v>0</x:v>
      </x:c>
      <x:c r="AD542" s="22" t="n">
        <x:f>MAX(0,MIN('Activities'!L542,156)-MAX('Activities'!K542,150))</x:f>
        <x:v>0</x:v>
      </x:c>
      <x:c r="AE542" s="22" t="n">
        <x:f>MAX(0,MIN('Activities'!L542,162)-MAX('Activities'!K542,156))</x:f>
        <x:v>0</x:v>
      </x:c>
      <x:c r="AF542" s="22" t="n">
        <x:f>MAX(0,MIN('Activities'!L542,168)-MAX('Activities'!K542,162))</x:f>
        <x:v>0</x:v>
      </x:c>
      <x:c r="AG542" s="22" t="n">
        <x:f>MAX(0,MIN('Activities'!L542,174)-MAX('Activities'!K542,168))</x:f>
        <x:v>0</x:v>
      </x:c>
      <x:c r="AH542" s="22" t="n">
        <x:f>MAX(0,MIN('Activities'!L542,180)-MAX('Activities'!K542,174))</x:f>
        <x:v>0</x:v>
      </x:c>
      <x:c r="AI542" s="22" t="n">
        <x:f>MAX(0,MIN('Activities'!L542,186)-MAX('Activities'!K542,180))</x:f>
        <x:v>0</x:v>
      </x:c>
      <x:c r="AJ542" s="22" t="n">
        <x:f>MAX(0,MIN('Activities'!L542,192)-MAX('Activities'!K542,186))</x:f>
        <x:v>0</x:v>
      </x:c>
      <x:c r="AK542" s="22" t="n">
        <x:f>MAX(0,MIN('Activities'!L542,198)-MAX('Activities'!K542,192))</x:f>
        <x:v>0</x:v>
      </x:c>
      <x:c r="AL542" s="22" t="n">
        <x:f>MAX(0,MIN('Activities'!L542,204)-MAX('Activities'!K542,198))</x:f>
        <x:v>0</x:v>
      </x:c>
      <x:c r="AM542" s="22" t="n">
        <x:f>MAX(0,MIN('Activities'!L542,210)-MAX('Activities'!K542,204))</x:f>
        <x:v>0</x:v>
      </x:c>
      <x:c r="AN542" s="22" t="n">
        <x:f>MAX(0,MIN('Activities'!L542,216)-MAX('Activities'!K542,210))</x:f>
        <x:v>0</x:v>
      </x:c>
      <x:c r="AO542" s="22" t="n">
        <x:f>MAX(0,MIN('Activities'!L542,222)-MAX('Activities'!K542,216))</x:f>
        <x:v>0</x:v>
      </x:c>
      <x:c r="AP542" s="22" t="n">
        <x:f>MAX(0,MIN('Activities'!L542,228)-MAX('Activities'!K542,222))</x:f>
        <x:v>0</x:v>
      </x:c>
      <x:c r="AQ542" s="22" t="n">
        <x:f>MAX(0,MIN('Activities'!L542,234)-MAX('Activities'!K542,228))</x:f>
        <x:v>0</x:v>
      </x:c>
      <x:c r="AR542" s="22" t="n">
        <x:f>MAX(0,MIN('Activities'!L542,240)-MAX('Activities'!K542,234))</x:f>
        <x:v>0</x:v>
      </x:c>
      <x:c r="AS542" s="22" t="n">
        <x:f>MAX(0,MIN('Activities'!L542,246)-MAX('Activities'!K542,240))</x:f>
        <x:v>0</x:v>
      </x:c>
      <x:c r="AT542" s="22" t="n">
        <x:f>MAX(0,MIN('Activities'!L542,252)-MAX('Activities'!K542,246))</x:f>
        <x:v>0</x:v>
      </x:c>
      <x:c r="AU542" s="22" t="n">
        <x:f>MAX(0,MIN('Activities'!L542,258)-MAX('Activities'!K542,252))</x:f>
        <x:v>0</x:v>
      </x:c>
      <x:c r="AV542" s="22" t="n">
        <x:f>MAX(0,MIN('Activities'!L542,264)-MAX('Activities'!K542,258))</x:f>
        <x:v>0</x:v>
      </x:c>
      <x:c r="AW542" s="22" t="n">
        <x:f>MAX(0,MIN('Activities'!L542,270)-MAX('Activities'!K542,264))</x:f>
        <x:v>0</x:v>
      </x:c>
      <x:c r="AX542" s="22" t="n">
        <x:f>MAX(0,MIN('Activities'!L542,276)-MAX('Activities'!K542,270))</x:f>
        <x:v>0</x:v>
      </x:c>
      <x:c r="AY542" s="22" t="n">
        <x:f>MAX(0,MIN('Activities'!L542,282)-MAX('Activities'!K542,276))</x:f>
        <x:v>0</x:v>
      </x:c>
      <x:c r="AZ542" s="22" t="n">
        <x:f>MAX(0,MIN('Activities'!L542,288)-MAX('Activities'!K542,282))</x:f>
        <x:v>0</x:v>
      </x:c>
      <x:c r="BA542" s="22" t="n">
        <x:f>MAX(0,MIN('Activities'!L542,294)-MAX('Activities'!K542,288))</x:f>
        <x:v>0</x:v>
      </x:c>
      <x:c r="BB542" s="22" t="n">
        <x:f>MAX(0,MIN('Activities'!L542,300)-MAX('Activities'!K542,294))</x:f>
        <x:v>0</x:v>
      </x:c>
      <x:c r="BC542" s="22" t="n">
        <x:f>MAX(0,MIN('Activities'!L542,306)-MAX('Activities'!K542,300))</x:f>
        <x:v>0</x:v>
      </x:c>
      <x:c r="BD542" s="22" t="n">
        <x:f>MAX(0,MIN('Activities'!L542,312)-MAX('Activities'!K542,306))</x:f>
        <x:v>0</x:v>
      </x:c>
      <x:c r="BE542" s="22" t="n">
        <x:f>MAX(0,MIN('Activities'!L542,318)-MAX('Activities'!K542,312))</x:f>
        <x:v>0</x:v>
      </x:c>
      <x:c r="BF542" s="22" t="n">
        <x:f>MAX(0,MIN('Activities'!L542,324)-MAX('Activities'!K542,318))</x:f>
        <x:v>0</x:v>
      </x:c>
      <x:c r="BG542" s="22" t="n">
        <x:f>MAX(0,MIN('Activities'!L542,330)-MAX('Activities'!K542,324))</x:f>
        <x:v>0</x:v>
      </x:c>
      <x:c r="BH542" s="22" t="n">
        <x:f>MAX(0,MIN('Activities'!L542,336)-MAX('Activities'!K542,330))</x:f>
        <x:v>0</x:v>
      </x:c>
      <x:c r="BI542" s="22" t="n">
        <x:f>MAX(0,MIN('Activities'!L542,342)-MAX('Activities'!K542,336))</x:f>
        <x:v>0</x:v>
      </x:c>
      <x:c r="BJ542" s="22" t="n">
        <x:f>MAX(0,MIN('Activities'!L542,348)-MAX('Activities'!K542,342))</x:f>
        <x:v>0</x:v>
      </x:c>
      <x:c r="BK542" s="22" t="n">
        <x:f>MAX(0,MIN('Activities'!L542,354)-MAX('Activities'!K542,348))</x:f>
        <x:v>0</x:v>
      </x:c>
      <x:c r="BL542" s="22" t="n">
        <x:f>MAX(0,MIN('Activities'!L542,360)-MAX('Activities'!K542,354))</x:f>
        <x:v>0</x:v>
      </x:c>
      <x:c r="BM542" s="22" t="n">
        <x:f>MAX(0,MIN('Activities'!L542,366)-MAX('Activities'!K542,360))</x:f>
        <x:v>0</x:v>
      </x:c>
      <x:c r="BN542" s="22" t="n">
        <x:f>MAX(0,MIN('Activities'!L542,372)-MAX('Activities'!K542,366))</x:f>
        <x:v>0</x:v>
      </x:c>
      <x:c r="BO542" s="22" t="n">
        <x:f>MAX(0,MIN('Activities'!L542,378)-MAX('Activities'!K542,372))</x:f>
        <x:v>0</x:v>
      </x:c>
      <x:c r="BP542" s="22" t="n">
        <x:f>MAX(0,MIN('Activities'!L542,384)-MAX('Activities'!K542,378))</x:f>
        <x:v>0</x:v>
      </x:c>
      <x:c r="BQ542" s="22" t="n">
        <x:f>MAX(0,MIN('Activities'!L542,390)-MAX('Activities'!K542,384))</x:f>
        <x:v>0</x:v>
      </x:c>
      <x:c r="BR542" s="22" t="n">
        <x:f>MAX(0,MIN('Activities'!L542,396)-MAX('Activities'!K542,390))</x:f>
        <x:v>0</x:v>
      </x:c>
      <x:c r="BS542" s="22" t="n">
        <x:f>MAX(0,MIN('Activities'!L542,402)-MAX('Activities'!K542,396))</x:f>
        <x:v>0</x:v>
      </x:c>
      <x:c r="BT542" s="22" t="n">
        <x:f>MAX(0,MIN('Activities'!L542,408)-MAX('Activities'!K542,402))</x:f>
        <x:v>0</x:v>
      </x:c>
      <x:c r="BU542" s="22" t="n">
        <x:f>MAX(0,MIN('Activities'!L542,414)-MAX('Activities'!K542,408))</x:f>
        <x:v>5</x:v>
      </x:c>
      <x:c r="BV542" s="22" t="n">
        <x:f>MAX(0,MIN('Activities'!L542,420)-MAX('Activities'!K542,414))</x:f>
        <x:v>0</x:v>
      </x:c>
      <x:c r="BW542" s="22" t="n">
        <x:f>MAX(0,MIN('Activities'!L542,426)-MAX('Activities'!K542,420))</x:f>
        <x:v>0</x:v>
      </x:c>
      <x:c r="BX542" s="22" t="n">
        <x:f>MAX(0,MIN('Activities'!L542,432)-MAX('Activities'!K542,426))</x:f>
        <x:v>0</x:v>
      </x:c>
      <x:c r="BY542" s="22" t="n">
        <x:f>MAX(0,MIN('Activities'!L542,438)-MAX('Activities'!K542,432))</x:f>
        <x:v>0</x:v>
      </x:c>
      <x:c r="BZ542" s="22" t="n">
        <x:f>MAX(0,MIN('Activities'!L542,444)-MAX('Activities'!K542,438))</x:f>
        <x:v>0</x:v>
      </x:c>
      <x:c r="CA542" s="22" t="n">
        <x:f>MAX(0,MIN('Activities'!L542,450)-MAX('Activities'!K542,444))</x:f>
        <x:v>0</x:v>
      </x:c>
      <x:c r="CB542" s="22" t="n">
        <x:f>MAX(0,MIN('Activities'!L542,456)-MAX('Activities'!K542,450))</x:f>
        <x:v>0</x:v>
      </x:c>
      <x:c r="CC542" s="22" t="n">
        <x:f>MAX(0,MIN('Activities'!L542,462)-MAX('Activities'!K542,456))</x:f>
        <x:v>0</x:v>
      </x:c>
      <x:c r="CD542" s="22" t="n">
        <x:f>MAX(0,MIN('Activities'!L542,468)-MAX('Activities'!K542,462))</x:f>
        <x:v>0</x:v>
      </x:c>
      <x:c r="CE542" s="22" t="n">
        <x:f>MAX(0,MIN('Activities'!L542,474)-MAX('Activities'!K542,468))</x:f>
        <x:v>0</x:v>
      </x:c>
      <x:c r="CF542" s="22" t="n">
        <x:f>MAX(0,MIN('Activities'!L542,480)-MAX('Activities'!K542,474))</x:f>
        <x:v>0</x:v>
      </x:c>
      <x:c r="CG542" s="22" t="n">
        <x:f>MAX(0,MIN('Activities'!L542,486)-MAX('Activities'!K542,480))</x:f>
        <x:v>0</x:v>
      </x:c>
      <x:c r="CH542" s="22" t="n">
        <x:f>MAX(0,MIN('Activities'!L542,492)-MAX('Activities'!K542,486))</x:f>
        <x:v>0</x:v>
      </x:c>
      <x:c r="CI542" s="22" t="n">
        <x:f>MAX(0,MIN('Activities'!L542,498)-MAX('Activities'!K542,492))</x:f>
        <x:v>0</x:v>
      </x:c>
      <x:c r="CJ542" s="22" t="n">
        <x:f>MAX(0,MIN('Activities'!L542,504)-MAX('Activities'!K542,498))</x:f>
        <x:v>0</x:v>
      </x:c>
      <x:c r="CK542" s="22" t="n">
        <x:f>MAX(0,MIN('Activities'!L542,510)-MAX('Activities'!K542,504))</x:f>
        <x:v>0</x:v>
      </x:c>
      <x:c r="CL542" s="22" t="n">
        <x:f>MAX(0,MIN('Activities'!L542,516)-MAX('Activities'!K542,510))</x:f>
        <x:v>0</x:v>
      </x:c>
      <x:c r="CM542" s="22" t="n">
        <x:f>MAX(0,MIN('Activities'!L542,522)-MAX('Activities'!K542,516))</x:f>
        <x:v>0</x:v>
      </x:c>
      <x:c r="CN542" s="22" t="n">
        <x:f>MAX(0,MIN('Activities'!L542,528)-MAX('Activities'!K542,522))</x:f>
        <x:v>0</x:v>
      </x:c>
      <x:c r="CO542" s="22" t="n">
        <x:f>MAX(0,MIN('Activities'!L542,534)-MAX('Activities'!K542,528))</x:f>
        <x:v>0</x:v>
      </x:c>
      <x:c r="CP542" s="22" t="n">
        <x:f>MAX(0,MIN('Activities'!L542,540)-MAX('Activities'!K542,534))</x:f>
        <x:v>0</x:v>
      </x:c>
      <x:c r="CQ542" s="22" t="n">
        <x:f>MAX(0,MIN('Activities'!L542,546)-MAX('Activities'!K542,540))</x:f>
        <x:v>0</x:v>
      </x:c>
      <x:c r="CR542" s="22" t="n">
        <x:f>MAX(0,MIN('Activities'!L542,552)-MAX('Activities'!K542,546))</x:f>
        <x:v>0</x:v>
      </x:c>
      <x:c r="CS542" s="22" t="n">
        <x:f>MAX(0,MIN('Activities'!L542,558)-MAX('Activities'!K542,552))</x:f>
        <x:v>0</x:v>
      </x:c>
      <x:c r="CT542" s="22" t="n">
        <x:f>MAX(0,MIN('Activities'!L542,564)-MAX('Activities'!K542,558))</x:f>
        <x:v>0</x:v>
      </x:c>
      <x:c r="CU542" s="22" t="n">
        <x:f>MAX(0,MIN('Activities'!L542,570)-MAX('Activities'!K542,564))</x:f>
        <x:v>0</x:v>
      </x:c>
      <x:c r="CV542" s="22" t="n">
        <x:f>MAX(0,MIN('Activities'!L542,576)-MAX('Activities'!K542,570))</x:f>
        <x:v>0</x:v>
      </x:c>
      <x:c r="CW542" s="22" t="n">
        <x:f>MAX(0,MIN('Activities'!L542,582)-MAX('Activities'!K542,576))</x:f>
        <x:v>0</x:v>
      </x:c>
      <x:c r="CX542" s="22" t="n">
        <x:f>MAX(0,MIN('Activities'!L542,588)-MAX('Activities'!K542,582))</x:f>
        <x:v>0</x:v>
      </x:c>
      <x:c r="CY542" s="22" t="n">
        <x:f>MAX(0,MIN('Activities'!L542,594)-MAX('Activities'!K542,588))</x:f>
        <x:v>0</x:v>
      </x:c>
      <x:c r="CZ542" s="22" t="n">
        <x:f>MAX(0,MIN('Activities'!L542,600)-MAX('Activities'!K542,594))</x:f>
        <x:v>0</x:v>
      </x:c>
      <x:c r="DA542" s="22" t="n">
        <x:f>MAX(0,MIN('Activities'!L542,606)-MAX('Activities'!K542,600))</x:f>
        <x:v>0</x:v>
      </x:c>
      <x:c r="DB542" s="22" t="n">
        <x:f>MAX(0,MIN('Activities'!L542,612)-MAX('Activities'!K542,606))</x:f>
        <x:v>0</x:v>
      </x:c>
      <x:c r="DC542" s="22" t="n">
        <x:f>MAX(0,MIN('Activities'!L542,618)-MAX('Activities'!K542,612))</x:f>
        <x:v>0</x:v>
      </x:c>
      <x:c r="DD542" s="22" t="n">
        <x:f>MAX(0,MIN('Activities'!L542,624)-MAX('Activities'!K542,618))</x:f>
        <x:v>0</x:v>
      </x:c>
      <x:c r="DE542" s="22" t="n">
        <x:f>MAX(0,MIN('Activities'!L542,630)-MAX('Activities'!K542,624))</x:f>
        <x:v>0</x:v>
      </x:c>
      <x:c r="DF542" s="22" t="n">
        <x:f>MAX(0,MIN('Activities'!L542,636)-MAX('Activities'!K542,630))</x:f>
        <x:v>0</x:v>
      </x:c>
    </x:row>
    <x:row r="543" ht="23" customHeight="1">
      <x:c r="A543" s="1" t="str">
        <x:v>T4-L12-P</x:v>
      </x:c>
      <x:c r="B543" s="1" t="str">
        <x:v>T4</x:v>
      </x:c>
      <x:c r="C543" s="1" t="str">
        <x:v>Internal plaster</x:v>
      </x:c>
      <x:c r="D543" s="1" t="str">
        <x:v>Finishes</x:v>
      </x:c>
      <x:c r="E543" s="23" t="n">
        <x:f>MAX(0,MIN('Activities'!L543,6)-MAX('Activities'!K543,0))</x:f>
        <x:v>0</x:v>
      </x:c>
      <x:c r="F543" s="23" t="n">
        <x:f>MAX(0,MIN('Activities'!L543,12)-MAX('Activities'!K543,6))</x:f>
        <x:v>0</x:v>
      </x:c>
      <x:c r="G543" s="23" t="n">
        <x:f>MAX(0,MIN('Activities'!L543,18)-MAX('Activities'!K543,12))</x:f>
        <x:v>0</x:v>
      </x:c>
      <x:c r="H543" s="23" t="n">
        <x:f>MAX(0,MIN('Activities'!L543,24)-MAX('Activities'!K543,18))</x:f>
        <x:v>0</x:v>
      </x:c>
      <x:c r="I543" s="23" t="n">
        <x:f>MAX(0,MIN('Activities'!L543,30)-MAX('Activities'!K543,24))</x:f>
        <x:v>0</x:v>
      </x:c>
      <x:c r="J543" s="23" t="n">
        <x:f>MAX(0,MIN('Activities'!L543,36)-MAX('Activities'!K543,30))</x:f>
        <x:v>0</x:v>
      </x:c>
      <x:c r="K543" s="23" t="n">
        <x:f>MAX(0,MIN('Activities'!L543,42)-MAX('Activities'!K543,36))</x:f>
        <x:v>0</x:v>
      </x:c>
      <x:c r="L543" s="23" t="n">
        <x:f>MAX(0,MIN('Activities'!L543,48)-MAX('Activities'!K543,42))</x:f>
        <x:v>0</x:v>
      </x:c>
      <x:c r="M543" s="23" t="n">
        <x:f>MAX(0,MIN('Activities'!L543,54)-MAX('Activities'!K543,48))</x:f>
        <x:v>0</x:v>
      </x:c>
      <x:c r="N543" s="23" t="n">
        <x:f>MAX(0,MIN('Activities'!L543,60)-MAX('Activities'!K543,54))</x:f>
        <x:v>0</x:v>
      </x:c>
      <x:c r="O543" s="23" t="n">
        <x:f>MAX(0,MIN('Activities'!L543,66)-MAX('Activities'!K543,60))</x:f>
        <x:v>0</x:v>
      </x:c>
      <x:c r="P543" s="23" t="n">
        <x:f>MAX(0,MIN('Activities'!L543,72)-MAX('Activities'!K543,66))</x:f>
        <x:v>0</x:v>
      </x:c>
      <x:c r="Q543" s="23" t="n">
        <x:f>MAX(0,MIN('Activities'!L543,78)-MAX('Activities'!K543,72))</x:f>
        <x:v>0</x:v>
      </x:c>
      <x:c r="R543" s="23" t="n">
        <x:f>MAX(0,MIN('Activities'!L543,84)-MAX('Activities'!K543,78))</x:f>
        <x:v>0</x:v>
      </x:c>
      <x:c r="S543" s="23" t="n">
        <x:f>MAX(0,MIN('Activities'!L543,90)-MAX('Activities'!K543,84))</x:f>
        <x:v>0</x:v>
      </x:c>
      <x:c r="T543" s="23" t="n">
        <x:f>MAX(0,MIN('Activities'!L543,96)-MAX('Activities'!K543,90))</x:f>
        <x:v>0</x:v>
      </x:c>
      <x:c r="U543" s="23" t="n">
        <x:f>MAX(0,MIN('Activities'!L543,102)-MAX('Activities'!K543,96))</x:f>
        <x:v>0</x:v>
      </x:c>
      <x:c r="V543" s="23" t="n">
        <x:f>MAX(0,MIN('Activities'!L543,108)-MAX('Activities'!K543,102))</x:f>
        <x:v>0</x:v>
      </x:c>
      <x:c r="W543" s="23" t="n">
        <x:f>MAX(0,MIN('Activities'!L543,114)-MAX('Activities'!K543,108))</x:f>
        <x:v>0</x:v>
      </x:c>
      <x:c r="X543" s="23" t="n">
        <x:f>MAX(0,MIN('Activities'!L543,120)-MAX('Activities'!K543,114))</x:f>
        <x:v>0</x:v>
      </x:c>
      <x:c r="Y543" s="23" t="n">
        <x:f>MAX(0,MIN('Activities'!L543,126)-MAX('Activities'!K543,120))</x:f>
        <x:v>0</x:v>
      </x:c>
      <x:c r="Z543" s="23" t="n">
        <x:f>MAX(0,MIN('Activities'!L543,132)-MAX('Activities'!K543,126))</x:f>
        <x:v>0</x:v>
      </x:c>
      <x:c r="AA543" s="23" t="n">
        <x:f>MAX(0,MIN('Activities'!L543,138)-MAX('Activities'!K543,132))</x:f>
        <x:v>0</x:v>
      </x:c>
      <x:c r="AB543" s="23" t="n">
        <x:f>MAX(0,MIN('Activities'!L543,144)-MAX('Activities'!K543,138))</x:f>
        <x:v>0</x:v>
      </x:c>
      <x:c r="AC543" s="23" t="n">
        <x:f>MAX(0,MIN('Activities'!L543,150)-MAX('Activities'!K543,144))</x:f>
        <x:v>0</x:v>
      </x:c>
      <x:c r="AD543" s="23" t="n">
        <x:f>MAX(0,MIN('Activities'!L543,156)-MAX('Activities'!K543,150))</x:f>
        <x:v>0</x:v>
      </x:c>
      <x:c r="AE543" s="23" t="n">
        <x:f>MAX(0,MIN('Activities'!L543,162)-MAX('Activities'!K543,156))</x:f>
        <x:v>0</x:v>
      </x:c>
      <x:c r="AF543" s="23" t="n">
        <x:f>MAX(0,MIN('Activities'!L543,168)-MAX('Activities'!K543,162))</x:f>
        <x:v>0</x:v>
      </x:c>
      <x:c r="AG543" s="23" t="n">
        <x:f>MAX(0,MIN('Activities'!L543,174)-MAX('Activities'!K543,168))</x:f>
        <x:v>0</x:v>
      </x:c>
      <x:c r="AH543" s="23" t="n">
        <x:f>MAX(0,MIN('Activities'!L543,180)-MAX('Activities'!K543,174))</x:f>
        <x:v>0</x:v>
      </x:c>
      <x:c r="AI543" s="23" t="n">
        <x:f>MAX(0,MIN('Activities'!L543,186)-MAX('Activities'!K543,180))</x:f>
        <x:v>0</x:v>
      </x:c>
      <x:c r="AJ543" s="23" t="n">
        <x:f>MAX(0,MIN('Activities'!L543,192)-MAX('Activities'!K543,186))</x:f>
        <x:v>0</x:v>
      </x:c>
      <x:c r="AK543" s="23" t="n">
        <x:f>MAX(0,MIN('Activities'!L543,198)-MAX('Activities'!K543,192))</x:f>
        <x:v>0</x:v>
      </x:c>
      <x:c r="AL543" s="23" t="n">
        <x:f>MAX(0,MIN('Activities'!L543,204)-MAX('Activities'!K543,198))</x:f>
        <x:v>0</x:v>
      </x:c>
      <x:c r="AM543" s="23" t="n">
        <x:f>MAX(0,MIN('Activities'!L543,210)-MAX('Activities'!K543,204))</x:f>
        <x:v>0</x:v>
      </x:c>
      <x:c r="AN543" s="23" t="n">
        <x:f>MAX(0,MIN('Activities'!L543,216)-MAX('Activities'!K543,210))</x:f>
        <x:v>0</x:v>
      </x:c>
      <x:c r="AO543" s="23" t="n">
        <x:f>MAX(0,MIN('Activities'!L543,222)-MAX('Activities'!K543,216))</x:f>
        <x:v>0</x:v>
      </x:c>
      <x:c r="AP543" s="23" t="n">
        <x:f>MAX(0,MIN('Activities'!L543,228)-MAX('Activities'!K543,222))</x:f>
        <x:v>0</x:v>
      </x:c>
      <x:c r="AQ543" s="23" t="n">
        <x:f>MAX(0,MIN('Activities'!L543,234)-MAX('Activities'!K543,228))</x:f>
        <x:v>0</x:v>
      </x:c>
      <x:c r="AR543" s="23" t="n">
        <x:f>MAX(0,MIN('Activities'!L543,240)-MAX('Activities'!K543,234))</x:f>
        <x:v>0</x:v>
      </x:c>
      <x:c r="AS543" s="23" t="n">
        <x:f>MAX(0,MIN('Activities'!L543,246)-MAX('Activities'!K543,240))</x:f>
        <x:v>0</x:v>
      </x:c>
      <x:c r="AT543" s="23" t="n">
        <x:f>MAX(0,MIN('Activities'!L543,252)-MAX('Activities'!K543,246))</x:f>
        <x:v>0</x:v>
      </x:c>
      <x:c r="AU543" s="23" t="n">
        <x:f>MAX(0,MIN('Activities'!L543,258)-MAX('Activities'!K543,252))</x:f>
        <x:v>0</x:v>
      </x:c>
      <x:c r="AV543" s="23" t="n">
        <x:f>MAX(0,MIN('Activities'!L543,264)-MAX('Activities'!K543,258))</x:f>
        <x:v>0</x:v>
      </x:c>
      <x:c r="AW543" s="23" t="n">
        <x:f>MAX(0,MIN('Activities'!L543,270)-MAX('Activities'!K543,264))</x:f>
        <x:v>0</x:v>
      </x:c>
      <x:c r="AX543" s="23" t="n">
        <x:f>MAX(0,MIN('Activities'!L543,276)-MAX('Activities'!K543,270))</x:f>
        <x:v>0</x:v>
      </x:c>
      <x:c r="AY543" s="23" t="n">
        <x:f>MAX(0,MIN('Activities'!L543,282)-MAX('Activities'!K543,276))</x:f>
        <x:v>0</x:v>
      </x:c>
      <x:c r="AZ543" s="23" t="n">
        <x:f>MAX(0,MIN('Activities'!L543,288)-MAX('Activities'!K543,282))</x:f>
        <x:v>0</x:v>
      </x:c>
      <x:c r="BA543" s="23" t="n">
        <x:f>MAX(0,MIN('Activities'!L543,294)-MAX('Activities'!K543,288))</x:f>
        <x:v>0</x:v>
      </x:c>
      <x:c r="BB543" s="23" t="n">
        <x:f>MAX(0,MIN('Activities'!L543,300)-MAX('Activities'!K543,294))</x:f>
        <x:v>0</x:v>
      </x:c>
      <x:c r="BC543" s="23" t="n">
        <x:f>MAX(0,MIN('Activities'!L543,306)-MAX('Activities'!K543,300))</x:f>
        <x:v>0</x:v>
      </x:c>
      <x:c r="BD543" s="23" t="n">
        <x:f>MAX(0,MIN('Activities'!L543,312)-MAX('Activities'!K543,306))</x:f>
        <x:v>0</x:v>
      </x:c>
      <x:c r="BE543" s="23" t="n">
        <x:f>MAX(0,MIN('Activities'!L543,318)-MAX('Activities'!K543,312))</x:f>
        <x:v>0</x:v>
      </x:c>
      <x:c r="BF543" s="23" t="n">
        <x:f>MAX(0,MIN('Activities'!L543,324)-MAX('Activities'!K543,318))</x:f>
        <x:v>0</x:v>
      </x:c>
      <x:c r="BG543" s="23" t="n">
        <x:f>MAX(0,MIN('Activities'!L543,330)-MAX('Activities'!K543,324))</x:f>
        <x:v>0</x:v>
      </x:c>
      <x:c r="BH543" s="23" t="n">
        <x:f>MAX(0,MIN('Activities'!L543,336)-MAX('Activities'!K543,330))</x:f>
        <x:v>0</x:v>
      </x:c>
      <x:c r="BI543" s="23" t="n">
        <x:f>MAX(0,MIN('Activities'!L543,342)-MAX('Activities'!K543,336))</x:f>
        <x:v>0</x:v>
      </x:c>
      <x:c r="BJ543" s="23" t="n">
        <x:f>MAX(0,MIN('Activities'!L543,348)-MAX('Activities'!K543,342))</x:f>
        <x:v>0</x:v>
      </x:c>
      <x:c r="BK543" s="23" t="n">
        <x:f>MAX(0,MIN('Activities'!L543,354)-MAX('Activities'!K543,348))</x:f>
        <x:v>0</x:v>
      </x:c>
      <x:c r="BL543" s="23" t="n">
        <x:f>MAX(0,MIN('Activities'!L543,360)-MAX('Activities'!K543,354))</x:f>
        <x:v>0</x:v>
      </x:c>
      <x:c r="BM543" s="23" t="n">
        <x:f>MAX(0,MIN('Activities'!L543,366)-MAX('Activities'!K543,360))</x:f>
        <x:v>0</x:v>
      </x:c>
      <x:c r="BN543" s="23" t="n">
        <x:f>MAX(0,MIN('Activities'!L543,372)-MAX('Activities'!K543,366))</x:f>
        <x:v>0</x:v>
      </x:c>
      <x:c r="BO543" s="23" t="n">
        <x:f>MAX(0,MIN('Activities'!L543,378)-MAX('Activities'!K543,372))</x:f>
        <x:v>0</x:v>
      </x:c>
      <x:c r="BP543" s="23" t="n">
        <x:f>MAX(0,MIN('Activities'!L543,384)-MAX('Activities'!K543,378))</x:f>
        <x:v>0</x:v>
      </x:c>
      <x:c r="BQ543" s="23" t="n">
        <x:f>MAX(0,MIN('Activities'!L543,390)-MAX('Activities'!K543,384))</x:f>
        <x:v>0</x:v>
      </x:c>
      <x:c r="BR543" s="23" t="n">
        <x:f>MAX(0,MIN('Activities'!L543,396)-MAX('Activities'!K543,390))</x:f>
        <x:v>0</x:v>
      </x:c>
      <x:c r="BS543" s="23" t="n">
        <x:f>MAX(0,MIN('Activities'!L543,402)-MAX('Activities'!K543,396))</x:f>
        <x:v>0</x:v>
      </x:c>
      <x:c r="BT543" s="23" t="n">
        <x:f>MAX(0,MIN('Activities'!L543,408)-MAX('Activities'!K543,402))</x:f>
        <x:v>0</x:v>
      </x:c>
      <x:c r="BU543" s="23" t="n">
        <x:f>MAX(0,MIN('Activities'!L543,414)-MAX('Activities'!K543,408))</x:f>
        <x:v>0</x:v>
      </x:c>
      <x:c r="BV543" s="23" t="n">
        <x:f>MAX(0,MIN('Activities'!L543,420)-MAX('Activities'!K543,414))</x:f>
        <x:v>3</x:v>
      </x:c>
      <x:c r="BW543" s="23" t="n">
        <x:f>MAX(0,MIN('Activities'!L543,426)-MAX('Activities'!K543,420))</x:f>
        <x:v>3</x:v>
      </x:c>
      <x:c r="BX543" s="23" t="n">
        <x:f>MAX(0,MIN('Activities'!L543,432)-MAX('Activities'!K543,426))</x:f>
        <x:v>0</x:v>
      </x:c>
      <x:c r="BY543" s="23" t="n">
        <x:f>MAX(0,MIN('Activities'!L543,438)-MAX('Activities'!K543,432))</x:f>
        <x:v>0</x:v>
      </x:c>
      <x:c r="BZ543" s="23" t="n">
        <x:f>MAX(0,MIN('Activities'!L543,444)-MAX('Activities'!K543,438))</x:f>
        <x:v>0</x:v>
      </x:c>
      <x:c r="CA543" s="23" t="n">
        <x:f>MAX(0,MIN('Activities'!L543,450)-MAX('Activities'!K543,444))</x:f>
        <x:v>0</x:v>
      </x:c>
      <x:c r="CB543" s="23" t="n">
        <x:f>MAX(0,MIN('Activities'!L543,456)-MAX('Activities'!K543,450))</x:f>
        <x:v>0</x:v>
      </x:c>
      <x:c r="CC543" s="23" t="n">
        <x:f>MAX(0,MIN('Activities'!L543,462)-MAX('Activities'!K543,456))</x:f>
        <x:v>0</x:v>
      </x:c>
      <x:c r="CD543" s="23" t="n">
        <x:f>MAX(0,MIN('Activities'!L543,468)-MAX('Activities'!K543,462))</x:f>
        <x:v>0</x:v>
      </x:c>
      <x:c r="CE543" s="23" t="n">
        <x:f>MAX(0,MIN('Activities'!L543,474)-MAX('Activities'!K543,468))</x:f>
        <x:v>0</x:v>
      </x:c>
      <x:c r="CF543" s="23" t="n">
        <x:f>MAX(0,MIN('Activities'!L543,480)-MAX('Activities'!K543,474))</x:f>
        <x:v>0</x:v>
      </x:c>
      <x:c r="CG543" s="23" t="n">
        <x:f>MAX(0,MIN('Activities'!L543,486)-MAX('Activities'!K543,480))</x:f>
        <x:v>0</x:v>
      </x:c>
      <x:c r="CH543" s="23" t="n">
        <x:f>MAX(0,MIN('Activities'!L543,492)-MAX('Activities'!K543,486))</x:f>
        <x:v>0</x:v>
      </x:c>
      <x:c r="CI543" s="23" t="n">
        <x:f>MAX(0,MIN('Activities'!L543,498)-MAX('Activities'!K543,492))</x:f>
        <x:v>0</x:v>
      </x:c>
      <x:c r="CJ543" s="23" t="n">
        <x:f>MAX(0,MIN('Activities'!L543,504)-MAX('Activities'!K543,498))</x:f>
        <x:v>0</x:v>
      </x:c>
      <x:c r="CK543" s="23" t="n">
        <x:f>MAX(0,MIN('Activities'!L543,510)-MAX('Activities'!K543,504))</x:f>
        <x:v>0</x:v>
      </x:c>
      <x:c r="CL543" s="23" t="n">
        <x:f>MAX(0,MIN('Activities'!L543,516)-MAX('Activities'!K543,510))</x:f>
        <x:v>0</x:v>
      </x:c>
      <x:c r="CM543" s="23" t="n">
        <x:f>MAX(0,MIN('Activities'!L543,522)-MAX('Activities'!K543,516))</x:f>
        <x:v>0</x:v>
      </x:c>
      <x:c r="CN543" s="23" t="n">
        <x:f>MAX(0,MIN('Activities'!L543,528)-MAX('Activities'!K543,522))</x:f>
        <x:v>0</x:v>
      </x:c>
      <x:c r="CO543" s="23" t="n">
        <x:f>MAX(0,MIN('Activities'!L543,534)-MAX('Activities'!K543,528))</x:f>
        <x:v>0</x:v>
      </x:c>
      <x:c r="CP543" s="23" t="n">
        <x:f>MAX(0,MIN('Activities'!L543,540)-MAX('Activities'!K543,534))</x:f>
        <x:v>0</x:v>
      </x:c>
      <x:c r="CQ543" s="23" t="n">
        <x:f>MAX(0,MIN('Activities'!L543,546)-MAX('Activities'!K543,540))</x:f>
        <x:v>0</x:v>
      </x:c>
      <x:c r="CR543" s="23" t="n">
        <x:f>MAX(0,MIN('Activities'!L543,552)-MAX('Activities'!K543,546))</x:f>
        <x:v>0</x:v>
      </x:c>
      <x:c r="CS543" s="23" t="n">
        <x:f>MAX(0,MIN('Activities'!L543,558)-MAX('Activities'!K543,552))</x:f>
        <x:v>0</x:v>
      </x:c>
      <x:c r="CT543" s="23" t="n">
        <x:f>MAX(0,MIN('Activities'!L543,564)-MAX('Activities'!K543,558))</x:f>
        <x:v>0</x:v>
      </x:c>
      <x:c r="CU543" s="23" t="n">
        <x:f>MAX(0,MIN('Activities'!L543,570)-MAX('Activities'!K543,564))</x:f>
        <x:v>0</x:v>
      </x:c>
      <x:c r="CV543" s="23" t="n">
        <x:f>MAX(0,MIN('Activities'!L543,576)-MAX('Activities'!K543,570))</x:f>
        <x:v>0</x:v>
      </x:c>
      <x:c r="CW543" s="23" t="n">
        <x:f>MAX(0,MIN('Activities'!L543,582)-MAX('Activities'!K543,576))</x:f>
        <x:v>0</x:v>
      </x:c>
      <x:c r="CX543" s="23" t="n">
        <x:f>MAX(0,MIN('Activities'!L543,588)-MAX('Activities'!K543,582))</x:f>
        <x:v>0</x:v>
      </x:c>
      <x:c r="CY543" s="23" t="n">
        <x:f>MAX(0,MIN('Activities'!L543,594)-MAX('Activities'!K543,588))</x:f>
        <x:v>0</x:v>
      </x:c>
      <x:c r="CZ543" s="23" t="n">
        <x:f>MAX(0,MIN('Activities'!L543,600)-MAX('Activities'!K543,594))</x:f>
        <x:v>0</x:v>
      </x:c>
      <x:c r="DA543" s="23" t="n">
        <x:f>MAX(0,MIN('Activities'!L543,606)-MAX('Activities'!K543,600))</x:f>
        <x:v>0</x:v>
      </x:c>
      <x:c r="DB543" s="23" t="n">
        <x:f>MAX(0,MIN('Activities'!L543,612)-MAX('Activities'!K543,606))</x:f>
        <x:v>0</x:v>
      </x:c>
      <x:c r="DC543" s="23" t="n">
        <x:f>MAX(0,MIN('Activities'!L543,618)-MAX('Activities'!K543,612))</x:f>
        <x:v>0</x:v>
      </x:c>
      <x:c r="DD543" s="23" t="n">
        <x:f>MAX(0,MIN('Activities'!L543,624)-MAX('Activities'!K543,618))</x:f>
        <x:v>0</x:v>
      </x:c>
      <x:c r="DE543" s="23" t="n">
        <x:f>MAX(0,MIN('Activities'!L543,630)-MAX('Activities'!K543,624))</x:f>
        <x:v>0</x:v>
      </x:c>
      <x:c r="DF543" s="23" t="n">
        <x:f>MAX(0,MIN('Activities'!L543,636)-MAX('Activities'!K543,630))</x:f>
        <x:v>0</x:v>
      </x:c>
    </x:row>
    <x:row r="544" ht="23" customHeight="1">
      <x:c r="A544" s="6" t="str">
        <x:v>T4-L12-S</x:v>
      </x:c>
      <x:c r="B544" s="6" t="str">
        <x:v>T4</x:v>
      </x:c>
      <x:c r="C544" s="6" t="str">
        <x:v>Screed and substrate preparation</x:v>
      </x:c>
      <x:c r="D544" s="6" t="str">
        <x:v>Finishes</x:v>
      </x:c>
      <x:c r="E544" s="22" t="n">
        <x:f>MAX(0,MIN('Activities'!L544,6)-MAX('Activities'!K544,0))</x:f>
        <x:v>0</x:v>
      </x:c>
      <x:c r="F544" s="22" t="n">
        <x:f>MAX(0,MIN('Activities'!L544,12)-MAX('Activities'!K544,6))</x:f>
        <x:v>0</x:v>
      </x:c>
      <x:c r="G544" s="22" t="n">
        <x:f>MAX(0,MIN('Activities'!L544,18)-MAX('Activities'!K544,12))</x:f>
        <x:v>0</x:v>
      </x:c>
      <x:c r="H544" s="22" t="n">
        <x:f>MAX(0,MIN('Activities'!L544,24)-MAX('Activities'!K544,18))</x:f>
        <x:v>0</x:v>
      </x:c>
      <x:c r="I544" s="22" t="n">
        <x:f>MAX(0,MIN('Activities'!L544,30)-MAX('Activities'!K544,24))</x:f>
        <x:v>0</x:v>
      </x:c>
      <x:c r="J544" s="22" t="n">
        <x:f>MAX(0,MIN('Activities'!L544,36)-MAX('Activities'!K544,30))</x:f>
        <x:v>0</x:v>
      </x:c>
      <x:c r="K544" s="22" t="n">
        <x:f>MAX(0,MIN('Activities'!L544,42)-MAX('Activities'!K544,36))</x:f>
        <x:v>0</x:v>
      </x:c>
      <x:c r="L544" s="22" t="n">
        <x:f>MAX(0,MIN('Activities'!L544,48)-MAX('Activities'!K544,42))</x:f>
        <x:v>0</x:v>
      </x:c>
      <x:c r="M544" s="22" t="n">
        <x:f>MAX(0,MIN('Activities'!L544,54)-MAX('Activities'!K544,48))</x:f>
        <x:v>0</x:v>
      </x:c>
      <x:c r="N544" s="22" t="n">
        <x:f>MAX(0,MIN('Activities'!L544,60)-MAX('Activities'!K544,54))</x:f>
        <x:v>0</x:v>
      </x:c>
      <x:c r="O544" s="22" t="n">
        <x:f>MAX(0,MIN('Activities'!L544,66)-MAX('Activities'!K544,60))</x:f>
        <x:v>0</x:v>
      </x:c>
      <x:c r="P544" s="22" t="n">
        <x:f>MAX(0,MIN('Activities'!L544,72)-MAX('Activities'!K544,66))</x:f>
        <x:v>0</x:v>
      </x:c>
      <x:c r="Q544" s="22" t="n">
        <x:f>MAX(0,MIN('Activities'!L544,78)-MAX('Activities'!K544,72))</x:f>
        <x:v>0</x:v>
      </x:c>
      <x:c r="R544" s="22" t="n">
        <x:f>MAX(0,MIN('Activities'!L544,84)-MAX('Activities'!K544,78))</x:f>
        <x:v>0</x:v>
      </x:c>
      <x:c r="S544" s="22" t="n">
        <x:f>MAX(0,MIN('Activities'!L544,90)-MAX('Activities'!K544,84))</x:f>
        <x:v>0</x:v>
      </x:c>
      <x:c r="T544" s="22" t="n">
        <x:f>MAX(0,MIN('Activities'!L544,96)-MAX('Activities'!K544,90))</x:f>
        <x:v>0</x:v>
      </x:c>
      <x:c r="U544" s="22" t="n">
        <x:f>MAX(0,MIN('Activities'!L544,102)-MAX('Activities'!K544,96))</x:f>
        <x:v>0</x:v>
      </x:c>
      <x:c r="V544" s="22" t="n">
        <x:f>MAX(0,MIN('Activities'!L544,108)-MAX('Activities'!K544,102))</x:f>
        <x:v>0</x:v>
      </x:c>
      <x:c r="W544" s="22" t="n">
        <x:f>MAX(0,MIN('Activities'!L544,114)-MAX('Activities'!K544,108))</x:f>
        <x:v>0</x:v>
      </x:c>
      <x:c r="X544" s="22" t="n">
        <x:f>MAX(0,MIN('Activities'!L544,120)-MAX('Activities'!K544,114))</x:f>
        <x:v>0</x:v>
      </x:c>
      <x:c r="Y544" s="22" t="n">
        <x:f>MAX(0,MIN('Activities'!L544,126)-MAX('Activities'!K544,120))</x:f>
        <x:v>0</x:v>
      </x:c>
      <x:c r="Z544" s="22" t="n">
        <x:f>MAX(0,MIN('Activities'!L544,132)-MAX('Activities'!K544,126))</x:f>
        <x:v>0</x:v>
      </x:c>
      <x:c r="AA544" s="22" t="n">
        <x:f>MAX(0,MIN('Activities'!L544,138)-MAX('Activities'!K544,132))</x:f>
        <x:v>0</x:v>
      </x:c>
      <x:c r="AB544" s="22" t="n">
        <x:f>MAX(0,MIN('Activities'!L544,144)-MAX('Activities'!K544,138))</x:f>
        <x:v>0</x:v>
      </x:c>
      <x:c r="AC544" s="22" t="n">
        <x:f>MAX(0,MIN('Activities'!L544,150)-MAX('Activities'!K544,144))</x:f>
        <x:v>0</x:v>
      </x:c>
      <x:c r="AD544" s="22" t="n">
        <x:f>MAX(0,MIN('Activities'!L544,156)-MAX('Activities'!K544,150))</x:f>
        <x:v>0</x:v>
      </x:c>
      <x:c r="AE544" s="22" t="n">
        <x:f>MAX(0,MIN('Activities'!L544,162)-MAX('Activities'!K544,156))</x:f>
        <x:v>0</x:v>
      </x:c>
      <x:c r="AF544" s="22" t="n">
        <x:f>MAX(0,MIN('Activities'!L544,168)-MAX('Activities'!K544,162))</x:f>
        <x:v>0</x:v>
      </x:c>
      <x:c r="AG544" s="22" t="n">
        <x:f>MAX(0,MIN('Activities'!L544,174)-MAX('Activities'!K544,168))</x:f>
        <x:v>0</x:v>
      </x:c>
      <x:c r="AH544" s="22" t="n">
        <x:f>MAX(0,MIN('Activities'!L544,180)-MAX('Activities'!K544,174))</x:f>
        <x:v>0</x:v>
      </x:c>
      <x:c r="AI544" s="22" t="n">
        <x:f>MAX(0,MIN('Activities'!L544,186)-MAX('Activities'!K544,180))</x:f>
        <x:v>0</x:v>
      </x:c>
      <x:c r="AJ544" s="22" t="n">
        <x:f>MAX(0,MIN('Activities'!L544,192)-MAX('Activities'!K544,186))</x:f>
        <x:v>0</x:v>
      </x:c>
      <x:c r="AK544" s="22" t="n">
        <x:f>MAX(0,MIN('Activities'!L544,198)-MAX('Activities'!K544,192))</x:f>
        <x:v>0</x:v>
      </x:c>
      <x:c r="AL544" s="22" t="n">
        <x:f>MAX(0,MIN('Activities'!L544,204)-MAX('Activities'!K544,198))</x:f>
        <x:v>0</x:v>
      </x:c>
      <x:c r="AM544" s="22" t="n">
        <x:f>MAX(0,MIN('Activities'!L544,210)-MAX('Activities'!K544,204))</x:f>
        <x:v>0</x:v>
      </x:c>
      <x:c r="AN544" s="22" t="n">
        <x:f>MAX(0,MIN('Activities'!L544,216)-MAX('Activities'!K544,210))</x:f>
        <x:v>0</x:v>
      </x:c>
      <x:c r="AO544" s="22" t="n">
        <x:f>MAX(0,MIN('Activities'!L544,222)-MAX('Activities'!K544,216))</x:f>
        <x:v>0</x:v>
      </x:c>
      <x:c r="AP544" s="22" t="n">
        <x:f>MAX(0,MIN('Activities'!L544,228)-MAX('Activities'!K544,222))</x:f>
        <x:v>0</x:v>
      </x:c>
      <x:c r="AQ544" s="22" t="n">
        <x:f>MAX(0,MIN('Activities'!L544,234)-MAX('Activities'!K544,228))</x:f>
        <x:v>0</x:v>
      </x:c>
      <x:c r="AR544" s="22" t="n">
        <x:f>MAX(0,MIN('Activities'!L544,240)-MAX('Activities'!K544,234))</x:f>
        <x:v>0</x:v>
      </x:c>
      <x:c r="AS544" s="22" t="n">
        <x:f>MAX(0,MIN('Activities'!L544,246)-MAX('Activities'!K544,240))</x:f>
        <x:v>0</x:v>
      </x:c>
      <x:c r="AT544" s="22" t="n">
        <x:f>MAX(0,MIN('Activities'!L544,252)-MAX('Activities'!K544,246))</x:f>
        <x:v>0</x:v>
      </x:c>
      <x:c r="AU544" s="22" t="n">
        <x:f>MAX(0,MIN('Activities'!L544,258)-MAX('Activities'!K544,252))</x:f>
        <x:v>0</x:v>
      </x:c>
      <x:c r="AV544" s="22" t="n">
        <x:f>MAX(0,MIN('Activities'!L544,264)-MAX('Activities'!K544,258))</x:f>
        <x:v>0</x:v>
      </x:c>
      <x:c r="AW544" s="22" t="n">
        <x:f>MAX(0,MIN('Activities'!L544,270)-MAX('Activities'!K544,264))</x:f>
        <x:v>0</x:v>
      </x:c>
      <x:c r="AX544" s="22" t="n">
        <x:f>MAX(0,MIN('Activities'!L544,276)-MAX('Activities'!K544,270))</x:f>
        <x:v>0</x:v>
      </x:c>
      <x:c r="AY544" s="22" t="n">
        <x:f>MAX(0,MIN('Activities'!L544,282)-MAX('Activities'!K544,276))</x:f>
        <x:v>0</x:v>
      </x:c>
      <x:c r="AZ544" s="22" t="n">
        <x:f>MAX(0,MIN('Activities'!L544,288)-MAX('Activities'!K544,282))</x:f>
        <x:v>0</x:v>
      </x:c>
      <x:c r="BA544" s="22" t="n">
        <x:f>MAX(0,MIN('Activities'!L544,294)-MAX('Activities'!K544,288))</x:f>
        <x:v>0</x:v>
      </x:c>
      <x:c r="BB544" s="22" t="n">
        <x:f>MAX(0,MIN('Activities'!L544,300)-MAX('Activities'!K544,294))</x:f>
        <x:v>0</x:v>
      </x:c>
      <x:c r="BC544" s="22" t="n">
        <x:f>MAX(0,MIN('Activities'!L544,306)-MAX('Activities'!K544,300))</x:f>
        <x:v>0</x:v>
      </x:c>
      <x:c r="BD544" s="22" t="n">
        <x:f>MAX(0,MIN('Activities'!L544,312)-MAX('Activities'!K544,306))</x:f>
        <x:v>0</x:v>
      </x:c>
      <x:c r="BE544" s="22" t="n">
        <x:f>MAX(0,MIN('Activities'!L544,318)-MAX('Activities'!K544,312))</x:f>
        <x:v>0</x:v>
      </x:c>
      <x:c r="BF544" s="22" t="n">
        <x:f>MAX(0,MIN('Activities'!L544,324)-MAX('Activities'!K544,318))</x:f>
        <x:v>0</x:v>
      </x:c>
      <x:c r="BG544" s="22" t="n">
        <x:f>MAX(0,MIN('Activities'!L544,330)-MAX('Activities'!K544,324))</x:f>
        <x:v>0</x:v>
      </x:c>
      <x:c r="BH544" s="22" t="n">
        <x:f>MAX(0,MIN('Activities'!L544,336)-MAX('Activities'!K544,330))</x:f>
        <x:v>0</x:v>
      </x:c>
      <x:c r="BI544" s="22" t="n">
        <x:f>MAX(0,MIN('Activities'!L544,342)-MAX('Activities'!K544,336))</x:f>
        <x:v>0</x:v>
      </x:c>
      <x:c r="BJ544" s="22" t="n">
        <x:f>MAX(0,MIN('Activities'!L544,348)-MAX('Activities'!K544,342))</x:f>
        <x:v>0</x:v>
      </x:c>
      <x:c r="BK544" s="22" t="n">
        <x:f>MAX(0,MIN('Activities'!L544,354)-MAX('Activities'!K544,348))</x:f>
        <x:v>0</x:v>
      </x:c>
      <x:c r="BL544" s="22" t="n">
        <x:f>MAX(0,MIN('Activities'!L544,360)-MAX('Activities'!K544,354))</x:f>
        <x:v>0</x:v>
      </x:c>
      <x:c r="BM544" s="22" t="n">
        <x:f>MAX(0,MIN('Activities'!L544,366)-MAX('Activities'!K544,360))</x:f>
        <x:v>0</x:v>
      </x:c>
      <x:c r="BN544" s="22" t="n">
        <x:f>MAX(0,MIN('Activities'!L544,372)-MAX('Activities'!K544,366))</x:f>
        <x:v>0</x:v>
      </x:c>
      <x:c r="BO544" s="22" t="n">
        <x:f>MAX(0,MIN('Activities'!L544,378)-MAX('Activities'!K544,372))</x:f>
        <x:v>0</x:v>
      </x:c>
      <x:c r="BP544" s="22" t="n">
        <x:f>MAX(0,MIN('Activities'!L544,384)-MAX('Activities'!K544,378))</x:f>
        <x:v>0</x:v>
      </x:c>
      <x:c r="BQ544" s="22" t="n">
        <x:f>MAX(0,MIN('Activities'!L544,390)-MAX('Activities'!K544,384))</x:f>
        <x:v>0</x:v>
      </x:c>
      <x:c r="BR544" s="22" t="n">
        <x:f>MAX(0,MIN('Activities'!L544,396)-MAX('Activities'!K544,390))</x:f>
        <x:v>0</x:v>
      </x:c>
      <x:c r="BS544" s="22" t="n">
        <x:f>MAX(0,MIN('Activities'!L544,402)-MAX('Activities'!K544,396))</x:f>
        <x:v>0</x:v>
      </x:c>
      <x:c r="BT544" s="22" t="n">
        <x:f>MAX(0,MIN('Activities'!L544,408)-MAX('Activities'!K544,402))</x:f>
        <x:v>0</x:v>
      </x:c>
      <x:c r="BU544" s="22" t="n">
        <x:f>MAX(0,MIN('Activities'!L544,414)-MAX('Activities'!K544,408))</x:f>
        <x:v>0</x:v>
      </x:c>
      <x:c r="BV544" s="22" t="n">
        <x:f>MAX(0,MIN('Activities'!L544,420)-MAX('Activities'!K544,414))</x:f>
        <x:v>0</x:v>
      </x:c>
      <x:c r="BW544" s="22" t="n">
        <x:f>MAX(0,MIN('Activities'!L544,426)-MAX('Activities'!K544,420))</x:f>
        <x:v>1</x:v>
      </x:c>
      <x:c r="BX544" s="22" t="n">
        <x:f>MAX(0,MIN('Activities'!L544,432)-MAX('Activities'!K544,426))</x:f>
        <x:v>2</x:v>
      </x:c>
      <x:c r="BY544" s="22" t="n">
        <x:f>MAX(0,MIN('Activities'!L544,438)-MAX('Activities'!K544,432))</x:f>
        <x:v>0</x:v>
      </x:c>
      <x:c r="BZ544" s="22" t="n">
        <x:f>MAX(0,MIN('Activities'!L544,444)-MAX('Activities'!K544,438))</x:f>
        <x:v>0</x:v>
      </x:c>
      <x:c r="CA544" s="22" t="n">
        <x:f>MAX(0,MIN('Activities'!L544,450)-MAX('Activities'!K544,444))</x:f>
        <x:v>0</x:v>
      </x:c>
      <x:c r="CB544" s="22" t="n">
        <x:f>MAX(0,MIN('Activities'!L544,456)-MAX('Activities'!K544,450))</x:f>
        <x:v>0</x:v>
      </x:c>
      <x:c r="CC544" s="22" t="n">
        <x:f>MAX(0,MIN('Activities'!L544,462)-MAX('Activities'!K544,456))</x:f>
        <x:v>0</x:v>
      </x:c>
      <x:c r="CD544" s="22" t="n">
        <x:f>MAX(0,MIN('Activities'!L544,468)-MAX('Activities'!K544,462))</x:f>
        <x:v>0</x:v>
      </x:c>
      <x:c r="CE544" s="22" t="n">
        <x:f>MAX(0,MIN('Activities'!L544,474)-MAX('Activities'!K544,468))</x:f>
        <x:v>0</x:v>
      </x:c>
      <x:c r="CF544" s="22" t="n">
        <x:f>MAX(0,MIN('Activities'!L544,480)-MAX('Activities'!K544,474))</x:f>
        <x:v>0</x:v>
      </x:c>
      <x:c r="CG544" s="22" t="n">
        <x:f>MAX(0,MIN('Activities'!L544,486)-MAX('Activities'!K544,480))</x:f>
        <x:v>0</x:v>
      </x:c>
      <x:c r="CH544" s="22" t="n">
        <x:f>MAX(0,MIN('Activities'!L544,492)-MAX('Activities'!K544,486))</x:f>
        <x:v>0</x:v>
      </x:c>
      <x:c r="CI544" s="22" t="n">
        <x:f>MAX(0,MIN('Activities'!L544,498)-MAX('Activities'!K544,492))</x:f>
        <x:v>0</x:v>
      </x:c>
      <x:c r="CJ544" s="22" t="n">
        <x:f>MAX(0,MIN('Activities'!L544,504)-MAX('Activities'!K544,498))</x:f>
        <x:v>0</x:v>
      </x:c>
      <x:c r="CK544" s="22" t="n">
        <x:f>MAX(0,MIN('Activities'!L544,510)-MAX('Activities'!K544,504))</x:f>
        <x:v>0</x:v>
      </x:c>
      <x:c r="CL544" s="22" t="n">
        <x:f>MAX(0,MIN('Activities'!L544,516)-MAX('Activities'!K544,510))</x:f>
        <x:v>0</x:v>
      </x:c>
      <x:c r="CM544" s="22" t="n">
        <x:f>MAX(0,MIN('Activities'!L544,522)-MAX('Activities'!K544,516))</x:f>
        <x:v>0</x:v>
      </x:c>
      <x:c r="CN544" s="22" t="n">
        <x:f>MAX(0,MIN('Activities'!L544,528)-MAX('Activities'!K544,522))</x:f>
        <x:v>0</x:v>
      </x:c>
      <x:c r="CO544" s="22" t="n">
        <x:f>MAX(0,MIN('Activities'!L544,534)-MAX('Activities'!K544,528))</x:f>
        <x:v>0</x:v>
      </x:c>
      <x:c r="CP544" s="22" t="n">
        <x:f>MAX(0,MIN('Activities'!L544,540)-MAX('Activities'!K544,534))</x:f>
        <x:v>0</x:v>
      </x:c>
      <x:c r="CQ544" s="22" t="n">
        <x:f>MAX(0,MIN('Activities'!L544,546)-MAX('Activities'!K544,540))</x:f>
        <x:v>0</x:v>
      </x:c>
      <x:c r="CR544" s="22" t="n">
        <x:f>MAX(0,MIN('Activities'!L544,552)-MAX('Activities'!K544,546))</x:f>
        <x:v>0</x:v>
      </x:c>
      <x:c r="CS544" s="22" t="n">
        <x:f>MAX(0,MIN('Activities'!L544,558)-MAX('Activities'!K544,552))</x:f>
        <x:v>0</x:v>
      </x:c>
      <x:c r="CT544" s="22" t="n">
        <x:f>MAX(0,MIN('Activities'!L544,564)-MAX('Activities'!K544,558))</x:f>
        <x:v>0</x:v>
      </x:c>
      <x:c r="CU544" s="22" t="n">
        <x:f>MAX(0,MIN('Activities'!L544,570)-MAX('Activities'!K544,564))</x:f>
        <x:v>0</x:v>
      </x:c>
      <x:c r="CV544" s="22" t="n">
        <x:f>MAX(0,MIN('Activities'!L544,576)-MAX('Activities'!K544,570))</x:f>
        <x:v>0</x:v>
      </x:c>
      <x:c r="CW544" s="22" t="n">
        <x:f>MAX(0,MIN('Activities'!L544,582)-MAX('Activities'!K544,576))</x:f>
        <x:v>0</x:v>
      </x:c>
      <x:c r="CX544" s="22" t="n">
        <x:f>MAX(0,MIN('Activities'!L544,588)-MAX('Activities'!K544,582))</x:f>
        <x:v>0</x:v>
      </x:c>
      <x:c r="CY544" s="22" t="n">
        <x:f>MAX(0,MIN('Activities'!L544,594)-MAX('Activities'!K544,588))</x:f>
        <x:v>0</x:v>
      </x:c>
      <x:c r="CZ544" s="22" t="n">
        <x:f>MAX(0,MIN('Activities'!L544,600)-MAX('Activities'!K544,594))</x:f>
        <x:v>0</x:v>
      </x:c>
      <x:c r="DA544" s="22" t="n">
        <x:f>MAX(0,MIN('Activities'!L544,606)-MAX('Activities'!K544,600))</x:f>
        <x:v>0</x:v>
      </x:c>
      <x:c r="DB544" s="22" t="n">
        <x:f>MAX(0,MIN('Activities'!L544,612)-MAX('Activities'!K544,606))</x:f>
        <x:v>0</x:v>
      </x:c>
      <x:c r="DC544" s="22" t="n">
        <x:f>MAX(0,MIN('Activities'!L544,618)-MAX('Activities'!K544,612))</x:f>
        <x:v>0</x:v>
      </x:c>
      <x:c r="DD544" s="22" t="n">
        <x:f>MAX(0,MIN('Activities'!L544,624)-MAX('Activities'!K544,618))</x:f>
        <x:v>0</x:v>
      </x:c>
      <x:c r="DE544" s="22" t="n">
        <x:f>MAX(0,MIN('Activities'!L544,630)-MAX('Activities'!K544,624))</x:f>
        <x:v>0</x:v>
      </x:c>
      <x:c r="DF544" s="22" t="n">
        <x:f>MAX(0,MIN('Activities'!L544,636)-MAX('Activities'!K544,630))</x:f>
        <x:v>0</x:v>
      </x:c>
    </x:row>
    <x:row r="545" ht="23" customHeight="1">
      <x:c r="A545" s="1" t="str">
        <x:v>T4-L12-T</x:v>
      </x:c>
      <x:c r="B545" s="1" t="str">
        <x:v>T4</x:v>
      </x:c>
      <x:c r="C545" s="1" t="str">
        <x:v>Floor finishes and skirtings</x:v>
      </x:c>
      <x:c r="D545" s="1" t="str">
        <x:v>Finishes</x:v>
      </x:c>
      <x:c r="E545" s="23" t="n">
        <x:f>MAX(0,MIN('Activities'!L545,6)-MAX('Activities'!K545,0))</x:f>
        <x:v>0</x:v>
      </x:c>
      <x:c r="F545" s="23" t="n">
        <x:f>MAX(0,MIN('Activities'!L545,12)-MAX('Activities'!K545,6))</x:f>
        <x:v>0</x:v>
      </x:c>
      <x:c r="G545" s="23" t="n">
        <x:f>MAX(0,MIN('Activities'!L545,18)-MAX('Activities'!K545,12))</x:f>
        <x:v>0</x:v>
      </x:c>
      <x:c r="H545" s="23" t="n">
        <x:f>MAX(0,MIN('Activities'!L545,24)-MAX('Activities'!K545,18))</x:f>
        <x:v>0</x:v>
      </x:c>
      <x:c r="I545" s="23" t="n">
        <x:f>MAX(0,MIN('Activities'!L545,30)-MAX('Activities'!K545,24))</x:f>
        <x:v>0</x:v>
      </x:c>
      <x:c r="J545" s="23" t="n">
        <x:f>MAX(0,MIN('Activities'!L545,36)-MAX('Activities'!K545,30))</x:f>
        <x:v>0</x:v>
      </x:c>
      <x:c r="K545" s="23" t="n">
        <x:f>MAX(0,MIN('Activities'!L545,42)-MAX('Activities'!K545,36))</x:f>
        <x:v>0</x:v>
      </x:c>
      <x:c r="L545" s="23" t="n">
        <x:f>MAX(0,MIN('Activities'!L545,48)-MAX('Activities'!K545,42))</x:f>
        <x:v>0</x:v>
      </x:c>
      <x:c r="M545" s="23" t="n">
        <x:f>MAX(0,MIN('Activities'!L545,54)-MAX('Activities'!K545,48))</x:f>
        <x:v>0</x:v>
      </x:c>
      <x:c r="N545" s="23" t="n">
        <x:f>MAX(0,MIN('Activities'!L545,60)-MAX('Activities'!K545,54))</x:f>
        <x:v>0</x:v>
      </x:c>
      <x:c r="O545" s="23" t="n">
        <x:f>MAX(0,MIN('Activities'!L545,66)-MAX('Activities'!K545,60))</x:f>
        <x:v>0</x:v>
      </x:c>
      <x:c r="P545" s="23" t="n">
        <x:f>MAX(0,MIN('Activities'!L545,72)-MAX('Activities'!K545,66))</x:f>
        <x:v>0</x:v>
      </x:c>
      <x:c r="Q545" s="23" t="n">
        <x:f>MAX(0,MIN('Activities'!L545,78)-MAX('Activities'!K545,72))</x:f>
        <x:v>0</x:v>
      </x:c>
      <x:c r="R545" s="23" t="n">
        <x:f>MAX(0,MIN('Activities'!L545,84)-MAX('Activities'!K545,78))</x:f>
        <x:v>0</x:v>
      </x:c>
      <x:c r="S545" s="23" t="n">
        <x:f>MAX(0,MIN('Activities'!L545,90)-MAX('Activities'!K545,84))</x:f>
        <x:v>0</x:v>
      </x:c>
      <x:c r="T545" s="23" t="n">
        <x:f>MAX(0,MIN('Activities'!L545,96)-MAX('Activities'!K545,90))</x:f>
        <x:v>0</x:v>
      </x:c>
      <x:c r="U545" s="23" t="n">
        <x:f>MAX(0,MIN('Activities'!L545,102)-MAX('Activities'!K545,96))</x:f>
        <x:v>0</x:v>
      </x:c>
      <x:c r="V545" s="23" t="n">
        <x:f>MAX(0,MIN('Activities'!L545,108)-MAX('Activities'!K545,102))</x:f>
        <x:v>0</x:v>
      </x:c>
      <x:c r="W545" s="23" t="n">
        <x:f>MAX(0,MIN('Activities'!L545,114)-MAX('Activities'!K545,108))</x:f>
        <x:v>0</x:v>
      </x:c>
      <x:c r="X545" s="23" t="n">
        <x:f>MAX(0,MIN('Activities'!L545,120)-MAX('Activities'!K545,114))</x:f>
        <x:v>0</x:v>
      </x:c>
      <x:c r="Y545" s="23" t="n">
        <x:f>MAX(0,MIN('Activities'!L545,126)-MAX('Activities'!K545,120))</x:f>
        <x:v>0</x:v>
      </x:c>
      <x:c r="Z545" s="23" t="n">
        <x:f>MAX(0,MIN('Activities'!L545,132)-MAX('Activities'!K545,126))</x:f>
        <x:v>0</x:v>
      </x:c>
      <x:c r="AA545" s="23" t="n">
        <x:f>MAX(0,MIN('Activities'!L545,138)-MAX('Activities'!K545,132))</x:f>
        <x:v>0</x:v>
      </x:c>
      <x:c r="AB545" s="23" t="n">
        <x:f>MAX(0,MIN('Activities'!L545,144)-MAX('Activities'!K545,138))</x:f>
        <x:v>0</x:v>
      </x:c>
      <x:c r="AC545" s="23" t="n">
        <x:f>MAX(0,MIN('Activities'!L545,150)-MAX('Activities'!K545,144))</x:f>
        <x:v>0</x:v>
      </x:c>
      <x:c r="AD545" s="23" t="n">
        <x:f>MAX(0,MIN('Activities'!L545,156)-MAX('Activities'!K545,150))</x:f>
        <x:v>0</x:v>
      </x:c>
      <x:c r="AE545" s="23" t="n">
        <x:f>MAX(0,MIN('Activities'!L545,162)-MAX('Activities'!K545,156))</x:f>
        <x:v>0</x:v>
      </x:c>
      <x:c r="AF545" s="23" t="n">
        <x:f>MAX(0,MIN('Activities'!L545,168)-MAX('Activities'!K545,162))</x:f>
        <x:v>0</x:v>
      </x:c>
      <x:c r="AG545" s="23" t="n">
        <x:f>MAX(0,MIN('Activities'!L545,174)-MAX('Activities'!K545,168))</x:f>
        <x:v>0</x:v>
      </x:c>
      <x:c r="AH545" s="23" t="n">
        <x:f>MAX(0,MIN('Activities'!L545,180)-MAX('Activities'!K545,174))</x:f>
        <x:v>0</x:v>
      </x:c>
      <x:c r="AI545" s="23" t="n">
        <x:f>MAX(0,MIN('Activities'!L545,186)-MAX('Activities'!K545,180))</x:f>
        <x:v>0</x:v>
      </x:c>
      <x:c r="AJ545" s="23" t="n">
        <x:f>MAX(0,MIN('Activities'!L545,192)-MAX('Activities'!K545,186))</x:f>
        <x:v>0</x:v>
      </x:c>
      <x:c r="AK545" s="23" t="n">
        <x:f>MAX(0,MIN('Activities'!L545,198)-MAX('Activities'!K545,192))</x:f>
        <x:v>0</x:v>
      </x:c>
      <x:c r="AL545" s="23" t="n">
        <x:f>MAX(0,MIN('Activities'!L545,204)-MAX('Activities'!K545,198))</x:f>
        <x:v>0</x:v>
      </x:c>
      <x:c r="AM545" s="23" t="n">
        <x:f>MAX(0,MIN('Activities'!L545,210)-MAX('Activities'!K545,204))</x:f>
        <x:v>0</x:v>
      </x:c>
      <x:c r="AN545" s="23" t="n">
        <x:f>MAX(0,MIN('Activities'!L545,216)-MAX('Activities'!K545,210))</x:f>
        <x:v>0</x:v>
      </x:c>
      <x:c r="AO545" s="23" t="n">
        <x:f>MAX(0,MIN('Activities'!L545,222)-MAX('Activities'!K545,216))</x:f>
        <x:v>0</x:v>
      </x:c>
      <x:c r="AP545" s="23" t="n">
        <x:f>MAX(0,MIN('Activities'!L545,228)-MAX('Activities'!K545,222))</x:f>
        <x:v>0</x:v>
      </x:c>
      <x:c r="AQ545" s="23" t="n">
        <x:f>MAX(0,MIN('Activities'!L545,234)-MAX('Activities'!K545,228))</x:f>
        <x:v>0</x:v>
      </x:c>
      <x:c r="AR545" s="23" t="n">
        <x:f>MAX(0,MIN('Activities'!L545,240)-MAX('Activities'!K545,234))</x:f>
        <x:v>0</x:v>
      </x:c>
      <x:c r="AS545" s="23" t="n">
        <x:f>MAX(0,MIN('Activities'!L545,246)-MAX('Activities'!K545,240))</x:f>
        <x:v>0</x:v>
      </x:c>
      <x:c r="AT545" s="23" t="n">
        <x:f>MAX(0,MIN('Activities'!L545,252)-MAX('Activities'!K545,246))</x:f>
        <x:v>0</x:v>
      </x:c>
      <x:c r="AU545" s="23" t="n">
        <x:f>MAX(0,MIN('Activities'!L545,258)-MAX('Activities'!K545,252))</x:f>
        <x:v>0</x:v>
      </x:c>
      <x:c r="AV545" s="23" t="n">
        <x:f>MAX(0,MIN('Activities'!L545,264)-MAX('Activities'!K545,258))</x:f>
        <x:v>0</x:v>
      </x:c>
      <x:c r="AW545" s="23" t="n">
        <x:f>MAX(0,MIN('Activities'!L545,270)-MAX('Activities'!K545,264))</x:f>
        <x:v>0</x:v>
      </x:c>
      <x:c r="AX545" s="23" t="n">
        <x:f>MAX(0,MIN('Activities'!L545,276)-MAX('Activities'!K545,270))</x:f>
        <x:v>0</x:v>
      </x:c>
      <x:c r="AY545" s="23" t="n">
        <x:f>MAX(0,MIN('Activities'!L545,282)-MAX('Activities'!K545,276))</x:f>
        <x:v>0</x:v>
      </x:c>
      <x:c r="AZ545" s="23" t="n">
        <x:f>MAX(0,MIN('Activities'!L545,288)-MAX('Activities'!K545,282))</x:f>
        <x:v>0</x:v>
      </x:c>
      <x:c r="BA545" s="23" t="n">
        <x:f>MAX(0,MIN('Activities'!L545,294)-MAX('Activities'!K545,288))</x:f>
        <x:v>0</x:v>
      </x:c>
      <x:c r="BB545" s="23" t="n">
        <x:f>MAX(0,MIN('Activities'!L545,300)-MAX('Activities'!K545,294))</x:f>
        <x:v>0</x:v>
      </x:c>
      <x:c r="BC545" s="23" t="n">
        <x:f>MAX(0,MIN('Activities'!L545,306)-MAX('Activities'!K545,300))</x:f>
        <x:v>0</x:v>
      </x:c>
      <x:c r="BD545" s="23" t="n">
        <x:f>MAX(0,MIN('Activities'!L545,312)-MAX('Activities'!K545,306))</x:f>
        <x:v>0</x:v>
      </x:c>
      <x:c r="BE545" s="23" t="n">
        <x:f>MAX(0,MIN('Activities'!L545,318)-MAX('Activities'!K545,312))</x:f>
        <x:v>0</x:v>
      </x:c>
      <x:c r="BF545" s="23" t="n">
        <x:f>MAX(0,MIN('Activities'!L545,324)-MAX('Activities'!K545,318))</x:f>
        <x:v>0</x:v>
      </x:c>
      <x:c r="BG545" s="23" t="n">
        <x:f>MAX(0,MIN('Activities'!L545,330)-MAX('Activities'!K545,324))</x:f>
        <x:v>0</x:v>
      </x:c>
      <x:c r="BH545" s="23" t="n">
        <x:f>MAX(0,MIN('Activities'!L545,336)-MAX('Activities'!K545,330))</x:f>
        <x:v>0</x:v>
      </x:c>
      <x:c r="BI545" s="23" t="n">
        <x:f>MAX(0,MIN('Activities'!L545,342)-MAX('Activities'!K545,336))</x:f>
        <x:v>0</x:v>
      </x:c>
      <x:c r="BJ545" s="23" t="n">
        <x:f>MAX(0,MIN('Activities'!L545,348)-MAX('Activities'!K545,342))</x:f>
        <x:v>0</x:v>
      </x:c>
      <x:c r="BK545" s="23" t="n">
        <x:f>MAX(0,MIN('Activities'!L545,354)-MAX('Activities'!K545,348))</x:f>
        <x:v>0</x:v>
      </x:c>
      <x:c r="BL545" s="23" t="n">
        <x:f>MAX(0,MIN('Activities'!L545,360)-MAX('Activities'!K545,354))</x:f>
        <x:v>0</x:v>
      </x:c>
      <x:c r="BM545" s="23" t="n">
        <x:f>MAX(0,MIN('Activities'!L545,366)-MAX('Activities'!K545,360))</x:f>
        <x:v>0</x:v>
      </x:c>
      <x:c r="BN545" s="23" t="n">
        <x:f>MAX(0,MIN('Activities'!L545,372)-MAX('Activities'!K545,366))</x:f>
        <x:v>0</x:v>
      </x:c>
      <x:c r="BO545" s="23" t="n">
        <x:f>MAX(0,MIN('Activities'!L545,378)-MAX('Activities'!K545,372))</x:f>
        <x:v>0</x:v>
      </x:c>
      <x:c r="BP545" s="23" t="n">
        <x:f>MAX(0,MIN('Activities'!L545,384)-MAX('Activities'!K545,378))</x:f>
        <x:v>0</x:v>
      </x:c>
      <x:c r="BQ545" s="23" t="n">
        <x:f>MAX(0,MIN('Activities'!L545,390)-MAX('Activities'!K545,384))</x:f>
        <x:v>0</x:v>
      </x:c>
      <x:c r="BR545" s="23" t="n">
        <x:f>MAX(0,MIN('Activities'!L545,396)-MAX('Activities'!K545,390))</x:f>
        <x:v>0</x:v>
      </x:c>
      <x:c r="BS545" s="23" t="n">
        <x:f>MAX(0,MIN('Activities'!L545,402)-MAX('Activities'!K545,396))</x:f>
        <x:v>0</x:v>
      </x:c>
      <x:c r="BT545" s="23" t="n">
        <x:f>MAX(0,MIN('Activities'!L545,408)-MAX('Activities'!K545,402))</x:f>
        <x:v>0</x:v>
      </x:c>
      <x:c r="BU545" s="23" t="n">
        <x:f>MAX(0,MIN('Activities'!L545,414)-MAX('Activities'!K545,408))</x:f>
        <x:v>0</x:v>
      </x:c>
      <x:c r="BV545" s="23" t="n">
        <x:f>MAX(0,MIN('Activities'!L545,420)-MAX('Activities'!K545,414))</x:f>
        <x:v>0</x:v>
      </x:c>
      <x:c r="BW545" s="23" t="n">
        <x:f>MAX(0,MIN('Activities'!L545,426)-MAX('Activities'!K545,420))</x:f>
        <x:v>0</x:v>
      </x:c>
      <x:c r="BX545" s="23" t="n">
        <x:f>MAX(0,MIN('Activities'!L545,432)-MAX('Activities'!K545,426))</x:f>
        <x:v>0</x:v>
      </x:c>
      <x:c r="BY545" s="23" t="n">
        <x:f>MAX(0,MIN('Activities'!L545,438)-MAX('Activities'!K545,432))</x:f>
        <x:v>0</x:v>
      </x:c>
      <x:c r="BZ545" s="23" t="n">
        <x:f>MAX(0,MIN('Activities'!L545,444)-MAX('Activities'!K545,438))</x:f>
        <x:v>2</x:v>
      </x:c>
      <x:c r="CA545" s="23" t="n">
        <x:f>MAX(0,MIN('Activities'!L545,450)-MAX('Activities'!K545,444))</x:f>
        <x:v>4</x:v>
      </x:c>
      <x:c r="CB545" s="23" t="n">
        <x:f>MAX(0,MIN('Activities'!L545,456)-MAX('Activities'!K545,450))</x:f>
        <x:v>0</x:v>
      </x:c>
      <x:c r="CC545" s="23" t="n">
        <x:f>MAX(0,MIN('Activities'!L545,462)-MAX('Activities'!K545,456))</x:f>
        <x:v>0</x:v>
      </x:c>
      <x:c r="CD545" s="23" t="n">
        <x:f>MAX(0,MIN('Activities'!L545,468)-MAX('Activities'!K545,462))</x:f>
        <x:v>0</x:v>
      </x:c>
      <x:c r="CE545" s="23" t="n">
        <x:f>MAX(0,MIN('Activities'!L545,474)-MAX('Activities'!K545,468))</x:f>
        <x:v>0</x:v>
      </x:c>
      <x:c r="CF545" s="23" t="n">
        <x:f>MAX(0,MIN('Activities'!L545,480)-MAX('Activities'!K545,474))</x:f>
        <x:v>0</x:v>
      </x:c>
      <x:c r="CG545" s="23" t="n">
        <x:f>MAX(0,MIN('Activities'!L545,486)-MAX('Activities'!K545,480))</x:f>
        <x:v>0</x:v>
      </x:c>
      <x:c r="CH545" s="23" t="n">
        <x:f>MAX(0,MIN('Activities'!L545,492)-MAX('Activities'!K545,486))</x:f>
        <x:v>0</x:v>
      </x:c>
      <x:c r="CI545" s="23" t="n">
        <x:f>MAX(0,MIN('Activities'!L545,498)-MAX('Activities'!K545,492))</x:f>
        <x:v>0</x:v>
      </x:c>
      <x:c r="CJ545" s="23" t="n">
        <x:f>MAX(0,MIN('Activities'!L545,504)-MAX('Activities'!K545,498))</x:f>
        <x:v>0</x:v>
      </x:c>
      <x:c r="CK545" s="23" t="n">
        <x:f>MAX(0,MIN('Activities'!L545,510)-MAX('Activities'!K545,504))</x:f>
        <x:v>0</x:v>
      </x:c>
      <x:c r="CL545" s="23" t="n">
        <x:f>MAX(0,MIN('Activities'!L545,516)-MAX('Activities'!K545,510))</x:f>
        <x:v>0</x:v>
      </x:c>
      <x:c r="CM545" s="23" t="n">
        <x:f>MAX(0,MIN('Activities'!L545,522)-MAX('Activities'!K545,516))</x:f>
        <x:v>0</x:v>
      </x:c>
      <x:c r="CN545" s="23" t="n">
        <x:f>MAX(0,MIN('Activities'!L545,528)-MAX('Activities'!K545,522))</x:f>
        <x:v>0</x:v>
      </x:c>
      <x:c r="CO545" s="23" t="n">
        <x:f>MAX(0,MIN('Activities'!L545,534)-MAX('Activities'!K545,528))</x:f>
        <x:v>0</x:v>
      </x:c>
      <x:c r="CP545" s="23" t="n">
        <x:f>MAX(0,MIN('Activities'!L545,540)-MAX('Activities'!K545,534))</x:f>
        <x:v>0</x:v>
      </x:c>
      <x:c r="CQ545" s="23" t="n">
        <x:f>MAX(0,MIN('Activities'!L545,546)-MAX('Activities'!K545,540))</x:f>
        <x:v>0</x:v>
      </x:c>
      <x:c r="CR545" s="23" t="n">
        <x:f>MAX(0,MIN('Activities'!L545,552)-MAX('Activities'!K545,546))</x:f>
        <x:v>0</x:v>
      </x:c>
      <x:c r="CS545" s="23" t="n">
        <x:f>MAX(0,MIN('Activities'!L545,558)-MAX('Activities'!K545,552))</x:f>
        <x:v>0</x:v>
      </x:c>
      <x:c r="CT545" s="23" t="n">
        <x:f>MAX(0,MIN('Activities'!L545,564)-MAX('Activities'!K545,558))</x:f>
        <x:v>0</x:v>
      </x:c>
      <x:c r="CU545" s="23" t="n">
        <x:f>MAX(0,MIN('Activities'!L545,570)-MAX('Activities'!K545,564))</x:f>
        <x:v>0</x:v>
      </x:c>
      <x:c r="CV545" s="23" t="n">
        <x:f>MAX(0,MIN('Activities'!L545,576)-MAX('Activities'!K545,570))</x:f>
        <x:v>0</x:v>
      </x:c>
      <x:c r="CW545" s="23" t="n">
        <x:f>MAX(0,MIN('Activities'!L545,582)-MAX('Activities'!K545,576))</x:f>
        <x:v>0</x:v>
      </x:c>
      <x:c r="CX545" s="23" t="n">
        <x:f>MAX(0,MIN('Activities'!L545,588)-MAX('Activities'!K545,582))</x:f>
        <x:v>0</x:v>
      </x:c>
      <x:c r="CY545" s="23" t="n">
        <x:f>MAX(0,MIN('Activities'!L545,594)-MAX('Activities'!K545,588))</x:f>
        <x:v>0</x:v>
      </x:c>
      <x:c r="CZ545" s="23" t="n">
        <x:f>MAX(0,MIN('Activities'!L545,600)-MAX('Activities'!K545,594))</x:f>
        <x:v>0</x:v>
      </x:c>
      <x:c r="DA545" s="23" t="n">
        <x:f>MAX(0,MIN('Activities'!L545,606)-MAX('Activities'!K545,600))</x:f>
        <x:v>0</x:v>
      </x:c>
      <x:c r="DB545" s="23" t="n">
        <x:f>MAX(0,MIN('Activities'!L545,612)-MAX('Activities'!K545,606))</x:f>
        <x:v>0</x:v>
      </x:c>
      <x:c r="DC545" s="23" t="n">
        <x:f>MAX(0,MIN('Activities'!L545,618)-MAX('Activities'!K545,612))</x:f>
        <x:v>0</x:v>
      </x:c>
      <x:c r="DD545" s="23" t="n">
        <x:f>MAX(0,MIN('Activities'!L545,624)-MAX('Activities'!K545,618))</x:f>
        <x:v>0</x:v>
      </x:c>
      <x:c r="DE545" s="23" t="n">
        <x:f>MAX(0,MIN('Activities'!L545,630)-MAX('Activities'!K545,624))</x:f>
        <x:v>0</x:v>
      </x:c>
      <x:c r="DF545" s="23" t="n">
        <x:f>MAX(0,MIN('Activities'!L545,636)-MAX('Activities'!K545,630))</x:f>
        <x:v>0</x:v>
      </x:c>
    </x:row>
    <x:row r="546" ht="23" customHeight="1">
      <x:c r="A546" s="6" t="str">
        <x:v>T4-L12-A</x:v>
      </x:c>
      <x:c r="B546" s="6" t="str">
        <x:v>T4</x:v>
      </x:c>
      <x:c r="C546" s="6" t="str">
        <x:v>Paint and final decorations</x:v>
      </x:c>
      <x:c r="D546" s="6" t="str">
        <x:v>Finishes</x:v>
      </x:c>
      <x:c r="E546" s="22" t="n">
        <x:f>MAX(0,MIN('Activities'!L546,6)-MAX('Activities'!K546,0))</x:f>
        <x:v>0</x:v>
      </x:c>
      <x:c r="F546" s="22" t="n">
        <x:f>MAX(0,MIN('Activities'!L546,12)-MAX('Activities'!K546,6))</x:f>
        <x:v>0</x:v>
      </x:c>
      <x:c r="G546" s="22" t="n">
        <x:f>MAX(0,MIN('Activities'!L546,18)-MAX('Activities'!K546,12))</x:f>
        <x:v>0</x:v>
      </x:c>
      <x:c r="H546" s="22" t="n">
        <x:f>MAX(0,MIN('Activities'!L546,24)-MAX('Activities'!K546,18))</x:f>
        <x:v>0</x:v>
      </x:c>
      <x:c r="I546" s="22" t="n">
        <x:f>MAX(0,MIN('Activities'!L546,30)-MAX('Activities'!K546,24))</x:f>
        <x:v>0</x:v>
      </x:c>
      <x:c r="J546" s="22" t="n">
        <x:f>MAX(0,MIN('Activities'!L546,36)-MAX('Activities'!K546,30))</x:f>
        <x:v>0</x:v>
      </x:c>
      <x:c r="K546" s="22" t="n">
        <x:f>MAX(0,MIN('Activities'!L546,42)-MAX('Activities'!K546,36))</x:f>
        <x:v>0</x:v>
      </x:c>
      <x:c r="L546" s="22" t="n">
        <x:f>MAX(0,MIN('Activities'!L546,48)-MAX('Activities'!K546,42))</x:f>
        <x:v>0</x:v>
      </x:c>
      <x:c r="M546" s="22" t="n">
        <x:f>MAX(0,MIN('Activities'!L546,54)-MAX('Activities'!K546,48))</x:f>
        <x:v>0</x:v>
      </x:c>
      <x:c r="N546" s="22" t="n">
        <x:f>MAX(0,MIN('Activities'!L546,60)-MAX('Activities'!K546,54))</x:f>
        <x:v>0</x:v>
      </x:c>
      <x:c r="O546" s="22" t="n">
        <x:f>MAX(0,MIN('Activities'!L546,66)-MAX('Activities'!K546,60))</x:f>
        <x:v>0</x:v>
      </x:c>
      <x:c r="P546" s="22" t="n">
        <x:f>MAX(0,MIN('Activities'!L546,72)-MAX('Activities'!K546,66))</x:f>
        <x:v>0</x:v>
      </x:c>
      <x:c r="Q546" s="22" t="n">
        <x:f>MAX(0,MIN('Activities'!L546,78)-MAX('Activities'!K546,72))</x:f>
        <x:v>0</x:v>
      </x:c>
      <x:c r="R546" s="22" t="n">
        <x:f>MAX(0,MIN('Activities'!L546,84)-MAX('Activities'!K546,78))</x:f>
        <x:v>0</x:v>
      </x:c>
      <x:c r="S546" s="22" t="n">
        <x:f>MAX(0,MIN('Activities'!L546,90)-MAX('Activities'!K546,84))</x:f>
        <x:v>0</x:v>
      </x:c>
      <x:c r="T546" s="22" t="n">
        <x:f>MAX(0,MIN('Activities'!L546,96)-MAX('Activities'!K546,90))</x:f>
        <x:v>0</x:v>
      </x:c>
      <x:c r="U546" s="22" t="n">
        <x:f>MAX(0,MIN('Activities'!L546,102)-MAX('Activities'!K546,96))</x:f>
        <x:v>0</x:v>
      </x:c>
      <x:c r="V546" s="22" t="n">
        <x:f>MAX(0,MIN('Activities'!L546,108)-MAX('Activities'!K546,102))</x:f>
        <x:v>0</x:v>
      </x:c>
      <x:c r="W546" s="22" t="n">
        <x:f>MAX(0,MIN('Activities'!L546,114)-MAX('Activities'!K546,108))</x:f>
        <x:v>0</x:v>
      </x:c>
      <x:c r="X546" s="22" t="n">
        <x:f>MAX(0,MIN('Activities'!L546,120)-MAX('Activities'!K546,114))</x:f>
        <x:v>0</x:v>
      </x:c>
      <x:c r="Y546" s="22" t="n">
        <x:f>MAX(0,MIN('Activities'!L546,126)-MAX('Activities'!K546,120))</x:f>
        <x:v>0</x:v>
      </x:c>
      <x:c r="Z546" s="22" t="n">
        <x:f>MAX(0,MIN('Activities'!L546,132)-MAX('Activities'!K546,126))</x:f>
        <x:v>0</x:v>
      </x:c>
      <x:c r="AA546" s="22" t="n">
        <x:f>MAX(0,MIN('Activities'!L546,138)-MAX('Activities'!K546,132))</x:f>
        <x:v>0</x:v>
      </x:c>
      <x:c r="AB546" s="22" t="n">
        <x:f>MAX(0,MIN('Activities'!L546,144)-MAX('Activities'!K546,138))</x:f>
        <x:v>0</x:v>
      </x:c>
      <x:c r="AC546" s="22" t="n">
        <x:f>MAX(0,MIN('Activities'!L546,150)-MAX('Activities'!K546,144))</x:f>
        <x:v>0</x:v>
      </x:c>
      <x:c r="AD546" s="22" t="n">
        <x:f>MAX(0,MIN('Activities'!L546,156)-MAX('Activities'!K546,150))</x:f>
        <x:v>0</x:v>
      </x:c>
      <x:c r="AE546" s="22" t="n">
        <x:f>MAX(0,MIN('Activities'!L546,162)-MAX('Activities'!K546,156))</x:f>
        <x:v>0</x:v>
      </x:c>
      <x:c r="AF546" s="22" t="n">
        <x:f>MAX(0,MIN('Activities'!L546,168)-MAX('Activities'!K546,162))</x:f>
        <x:v>0</x:v>
      </x:c>
      <x:c r="AG546" s="22" t="n">
        <x:f>MAX(0,MIN('Activities'!L546,174)-MAX('Activities'!K546,168))</x:f>
        <x:v>0</x:v>
      </x:c>
      <x:c r="AH546" s="22" t="n">
        <x:f>MAX(0,MIN('Activities'!L546,180)-MAX('Activities'!K546,174))</x:f>
        <x:v>0</x:v>
      </x:c>
      <x:c r="AI546" s="22" t="n">
        <x:f>MAX(0,MIN('Activities'!L546,186)-MAX('Activities'!K546,180))</x:f>
        <x:v>0</x:v>
      </x:c>
      <x:c r="AJ546" s="22" t="n">
        <x:f>MAX(0,MIN('Activities'!L546,192)-MAX('Activities'!K546,186))</x:f>
        <x:v>0</x:v>
      </x:c>
      <x:c r="AK546" s="22" t="n">
        <x:f>MAX(0,MIN('Activities'!L546,198)-MAX('Activities'!K546,192))</x:f>
        <x:v>0</x:v>
      </x:c>
      <x:c r="AL546" s="22" t="n">
        <x:f>MAX(0,MIN('Activities'!L546,204)-MAX('Activities'!K546,198))</x:f>
        <x:v>0</x:v>
      </x:c>
      <x:c r="AM546" s="22" t="n">
        <x:f>MAX(0,MIN('Activities'!L546,210)-MAX('Activities'!K546,204))</x:f>
        <x:v>0</x:v>
      </x:c>
      <x:c r="AN546" s="22" t="n">
        <x:f>MAX(0,MIN('Activities'!L546,216)-MAX('Activities'!K546,210))</x:f>
        <x:v>0</x:v>
      </x:c>
      <x:c r="AO546" s="22" t="n">
        <x:f>MAX(0,MIN('Activities'!L546,222)-MAX('Activities'!K546,216))</x:f>
        <x:v>0</x:v>
      </x:c>
      <x:c r="AP546" s="22" t="n">
        <x:f>MAX(0,MIN('Activities'!L546,228)-MAX('Activities'!K546,222))</x:f>
        <x:v>0</x:v>
      </x:c>
      <x:c r="AQ546" s="22" t="n">
        <x:f>MAX(0,MIN('Activities'!L546,234)-MAX('Activities'!K546,228))</x:f>
        <x:v>0</x:v>
      </x:c>
      <x:c r="AR546" s="22" t="n">
        <x:f>MAX(0,MIN('Activities'!L546,240)-MAX('Activities'!K546,234))</x:f>
        <x:v>0</x:v>
      </x:c>
      <x:c r="AS546" s="22" t="n">
        <x:f>MAX(0,MIN('Activities'!L546,246)-MAX('Activities'!K546,240))</x:f>
        <x:v>0</x:v>
      </x:c>
      <x:c r="AT546" s="22" t="n">
        <x:f>MAX(0,MIN('Activities'!L546,252)-MAX('Activities'!K546,246))</x:f>
        <x:v>0</x:v>
      </x:c>
      <x:c r="AU546" s="22" t="n">
        <x:f>MAX(0,MIN('Activities'!L546,258)-MAX('Activities'!K546,252))</x:f>
        <x:v>0</x:v>
      </x:c>
      <x:c r="AV546" s="22" t="n">
        <x:f>MAX(0,MIN('Activities'!L546,264)-MAX('Activities'!K546,258))</x:f>
        <x:v>0</x:v>
      </x:c>
      <x:c r="AW546" s="22" t="n">
        <x:f>MAX(0,MIN('Activities'!L546,270)-MAX('Activities'!K546,264))</x:f>
        <x:v>0</x:v>
      </x:c>
      <x:c r="AX546" s="22" t="n">
        <x:f>MAX(0,MIN('Activities'!L546,276)-MAX('Activities'!K546,270))</x:f>
        <x:v>0</x:v>
      </x:c>
      <x:c r="AY546" s="22" t="n">
        <x:f>MAX(0,MIN('Activities'!L546,282)-MAX('Activities'!K546,276))</x:f>
        <x:v>0</x:v>
      </x:c>
      <x:c r="AZ546" s="22" t="n">
        <x:f>MAX(0,MIN('Activities'!L546,288)-MAX('Activities'!K546,282))</x:f>
        <x:v>0</x:v>
      </x:c>
      <x:c r="BA546" s="22" t="n">
        <x:f>MAX(0,MIN('Activities'!L546,294)-MAX('Activities'!K546,288))</x:f>
        <x:v>0</x:v>
      </x:c>
      <x:c r="BB546" s="22" t="n">
        <x:f>MAX(0,MIN('Activities'!L546,300)-MAX('Activities'!K546,294))</x:f>
        <x:v>0</x:v>
      </x:c>
      <x:c r="BC546" s="22" t="n">
        <x:f>MAX(0,MIN('Activities'!L546,306)-MAX('Activities'!K546,300))</x:f>
        <x:v>0</x:v>
      </x:c>
      <x:c r="BD546" s="22" t="n">
        <x:f>MAX(0,MIN('Activities'!L546,312)-MAX('Activities'!K546,306))</x:f>
        <x:v>0</x:v>
      </x:c>
      <x:c r="BE546" s="22" t="n">
        <x:f>MAX(0,MIN('Activities'!L546,318)-MAX('Activities'!K546,312))</x:f>
        <x:v>0</x:v>
      </x:c>
      <x:c r="BF546" s="22" t="n">
        <x:f>MAX(0,MIN('Activities'!L546,324)-MAX('Activities'!K546,318))</x:f>
        <x:v>0</x:v>
      </x:c>
      <x:c r="BG546" s="22" t="n">
        <x:f>MAX(0,MIN('Activities'!L546,330)-MAX('Activities'!K546,324))</x:f>
        <x:v>0</x:v>
      </x:c>
      <x:c r="BH546" s="22" t="n">
        <x:f>MAX(0,MIN('Activities'!L546,336)-MAX('Activities'!K546,330))</x:f>
        <x:v>0</x:v>
      </x:c>
      <x:c r="BI546" s="22" t="n">
        <x:f>MAX(0,MIN('Activities'!L546,342)-MAX('Activities'!K546,336))</x:f>
        <x:v>0</x:v>
      </x:c>
      <x:c r="BJ546" s="22" t="n">
        <x:f>MAX(0,MIN('Activities'!L546,348)-MAX('Activities'!K546,342))</x:f>
        <x:v>0</x:v>
      </x:c>
      <x:c r="BK546" s="22" t="n">
        <x:f>MAX(0,MIN('Activities'!L546,354)-MAX('Activities'!K546,348))</x:f>
        <x:v>0</x:v>
      </x:c>
      <x:c r="BL546" s="22" t="n">
        <x:f>MAX(0,MIN('Activities'!L546,360)-MAX('Activities'!K546,354))</x:f>
        <x:v>0</x:v>
      </x:c>
      <x:c r="BM546" s="22" t="n">
        <x:f>MAX(0,MIN('Activities'!L546,366)-MAX('Activities'!K546,360))</x:f>
        <x:v>0</x:v>
      </x:c>
      <x:c r="BN546" s="22" t="n">
        <x:f>MAX(0,MIN('Activities'!L546,372)-MAX('Activities'!K546,366))</x:f>
        <x:v>0</x:v>
      </x:c>
      <x:c r="BO546" s="22" t="n">
        <x:f>MAX(0,MIN('Activities'!L546,378)-MAX('Activities'!K546,372))</x:f>
        <x:v>0</x:v>
      </x:c>
      <x:c r="BP546" s="22" t="n">
        <x:f>MAX(0,MIN('Activities'!L546,384)-MAX('Activities'!K546,378))</x:f>
        <x:v>0</x:v>
      </x:c>
      <x:c r="BQ546" s="22" t="n">
        <x:f>MAX(0,MIN('Activities'!L546,390)-MAX('Activities'!K546,384))</x:f>
        <x:v>0</x:v>
      </x:c>
      <x:c r="BR546" s="22" t="n">
        <x:f>MAX(0,MIN('Activities'!L546,396)-MAX('Activities'!K546,390))</x:f>
        <x:v>0</x:v>
      </x:c>
      <x:c r="BS546" s="22" t="n">
        <x:f>MAX(0,MIN('Activities'!L546,402)-MAX('Activities'!K546,396))</x:f>
        <x:v>0</x:v>
      </x:c>
      <x:c r="BT546" s="22" t="n">
        <x:f>MAX(0,MIN('Activities'!L546,408)-MAX('Activities'!K546,402))</x:f>
        <x:v>0</x:v>
      </x:c>
      <x:c r="BU546" s="22" t="n">
        <x:f>MAX(0,MIN('Activities'!L546,414)-MAX('Activities'!K546,408))</x:f>
        <x:v>0</x:v>
      </x:c>
      <x:c r="BV546" s="22" t="n">
        <x:f>MAX(0,MIN('Activities'!L546,420)-MAX('Activities'!K546,414))</x:f>
        <x:v>0</x:v>
      </x:c>
      <x:c r="BW546" s="22" t="n">
        <x:f>MAX(0,MIN('Activities'!L546,426)-MAX('Activities'!K546,420))</x:f>
        <x:v>0</x:v>
      </x:c>
      <x:c r="BX546" s="22" t="n">
        <x:f>MAX(0,MIN('Activities'!L546,432)-MAX('Activities'!K546,426))</x:f>
        <x:v>0</x:v>
      </x:c>
      <x:c r="BY546" s="22" t="n">
        <x:f>MAX(0,MIN('Activities'!L546,438)-MAX('Activities'!K546,432))</x:f>
        <x:v>0</x:v>
      </x:c>
      <x:c r="BZ546" s="22" t="n">
        <x:f>MAX(0,MIN('Activities'!L546,444)-MAX('Activities'!K546,438))</x:f>
        <x:v>0</x:v>
      </x:c>
      <x:c r="CA546" s="22" t="n">
        <x:f>MAX(0,MIN('Activities'!L546,450)-MAX('Activities'!K546,444))</x:f>
        <x:v>0</x:v>
      </x:c>
      <x:c r="CB546" s="22" t="n">
        <x:f>MAX(0,MIN('Activities'!L546,456)-MAX('Activities'!K546,450))</x:f>
        <x:v>5</x:v>
      </x:c>
      <x:c r="CC546" s="22" t="n">
        <x:f>MAX(0,MIN('Activities'!L546,462)-MAX('Activities'!K546,456))</x:f>
        <x:v>0</x:v>
      </x:c>
      <x:c r="CD546" s="22" t="n">
        <x:f>MAX(0,MIN('Activities'!L546,468)-MAX('Activities'!K546,462))</x:f>
        <x:v>0</x:v>
      </x:c>
      <x:c r="CE546" s="22" t="n">
        <x:f>MAX(0,MIN('Activities'!L546,474)-MAX('Activities'!K546,468))</x:f>
        <x:v>0</x:v>
      </x:c>
      <x:c r="CF546" s="22" t="n">
        <x:f>MAX(0,MIN('Activities'!L546,480)-MAX('Activities'!K546,474))</x:f>
        <x:v>0</x:v>
      </x:c>
      <x:c r="CG546" s="22" t="n">
        <x:f>MAX(0,MIN('Activities'!L546,486)-MAX('Activities'!K546,480))</x:f>
        <x:v>0</x:v>
      </x:c>
      <x:c r="CH546" s="22" t="n">
        <x:f>MAX(0,MIN('Activities'!L546,492)-MAX('Activities'!K546,486))</x:f>
        <x:v>0</x:v>
      </x:c>
      <x:c r="CI546" s="22" t="n">
        <x:f>MAX(0,MIN('Activities'!L546,498)-MAX('Activities'!K546,492))</x:f>
        <x:v>0</x:v>
      </x:c>
      <x:c r="CJ546" s="22" t="n">
        <x:f>MAX(0,MIN('Activities'!L546,504)-MAX('Activities'!K546,498))</x:f>
        <x:v>0</x:v>
      </x:c>
      <x:c r="CK546" s="22" t="n">
        <x:f>MAX(0,MIN('Activities'!L546,510)-MAX('Activities'!K546,504))</x:f>
        <x:v>0</x:v>
      </x:c>
      <x:c r="CL546" s="22" t="n">
        <x:f>MAX(0,MIN('Activities'!L546,516)-MAX('Activities'!K546,510))</x:f>
        <x:v>0</x:v>
      </x:c>
      <x:c r="CM546" s="22" t="n">
        <x:f>MAX(0,MIN('Activities'!L546,522)-MAX('Activities'!K546,516))</x:f>
        <x:v>0</x:v>
      </x:c>
      <x:c r="CN546" s="22" t="n">
        <x:f>MAX(0,MIN('Activities'!L546,528)-MAX('Activities'!K546,522))</x:f>
        <x:v>0</x:v>
      </x:c>
      <x:c r="CO546" s="22" t="n">
        <x:f>MAX(0,MIN('Activities'!L546,534)-MAX('Activities'!K546,528))</x:f>
        <x:v>0</x:v>
      </x:c>
      <x:c r="CP546" s="22" t="n">
        <x:f>MAX(0,MIN('Activities'!L546,540)-MAX('Activities'!K546,534))</x:f>
        <x:v>0</x:v>
      </x:c>
      <x:c r="CQ546" s="22" t="n">
        <x:f>MAX(0,MIN('Activities'!L546,546)-MAX('Activities'!K546,540))</x:f>
        <x:v>0</x:v>
      </x:c>
      <x:c r="CR546" s="22" t="n">
        <x:f>MAX(0,MIN('Activities'!L546,552)-MAX('Activities'!K546,546))</x:f>
        <x:v>0</x:v>
      </x:c>
      <x:c r="CS546" s="22" t="n">
        <x:f>MAX(0,MIN('Activities'!L546,558)-MAX('Activities'!K546,552))</x:f>
        <x:v>0</x:v>
      </x:c>
      <x:c r="CT546" s="22" t="n">
        <x:f>MAX(0,MIN('Activities'!L546,564)-MAX('Activities'!K546,558))</x:f>
        <x:v>0</x:v>
      </x:c>
      <x:c r="CU546" s="22" t="n">
        <x:f>MAX(0,MIN('Activities'!L546,570)-MAX('Activities'!K546,564))</x:f>
        <x:v>0</x:v>
      </x:c>
      <x:c r="CV546" s="22" t="n">
        <x:f>MAX(0,MIN('Activities'!L546,576)-MAX('Activities'!K546,570))</x:f>
        <x:v>0</x:v>
      </x:c>
      <x:c r="CW546" s="22" t="n">
        <x:f>MAX(0,MIN('Activities'!L546,582)-MAX('Activities'!K546,576))</x:f>
        <x:v>0</x:v>
      </x:c>
      <x:c r="CX546" s="22" t="n">
        <x:f>MAX(0,MIN('Activities'!L546,588)-MAX('Activities'!K546,582))</x:f>
        <x:v>0</x:v>
      </x:c>
      <x:c r="CY546" s="22" t="n">
        <x:f>MAX(0,MIN('Activities'!L546,594)-MAX('Activities'!K546,588))</x:f>
        <x:v>0</x:v>
      </x:c>
      <x:c r="CZ546" s="22" t="n">
        <x:f>MAX(0,MIN('Activities'!L546,600)-MAX('Activities'!K546,594))</x:f>
        <x:v>0</x:v>
      </x:c>
      <x:c r="DA546" s="22" t="n">
        <x:f>MAX(0,MIN('Activities'!L546,606)-MAX('Activities'!K546,600))</x:f>
        <x:v>0</x:v>
      </x:c>
      <x:c r="DB546" s="22" t="n">
        <x:f>MAX(0,MIN('Activities'!L546,612)-MAX('Activities'!K546,606))</x:f>
        <x:v>0</x:v>
      </x:c>
      <x:c r="DC546" s="22" t="n">
        <x:f>MAX(0,MIN('Activities'!L546,618)-MAX('Activities'!K546,612))</x:f>
        <x:v>0</x:v>
      </x:c>
      <x:c r="DD546" s="22" t="n">
        <x:f>MAX(0,MIN('Activities'!L546,624)-MAX('Activities'!K546,618))</x:f>
        <x:v>0</x:v>
      </x:c>
      <x:c r="DE546" s="22" t="n">
        <x:f>MAX(0,MIN('Activities'!L546,630)-MAX('Activities'!K546,624))</x:f>
        <x:v>0</x:v>
      </x:c>
      <x:c r="DF546" s="22" t="n">
        <x:f>MAX(0,MIN('Activities'!L546,636)-MAX('Activities'!K546,630))</x:f>
        <x:v>0</x:v>
      </x:c>
    </x:row>
    <x:row r="547" ht="23" customHeight="1">
      <x:c r="A547" s="1" t="str">
        <x:v>T4-L12-D</x:v>
      </x:c>
      <x:c r="B547" s="1" t="str">
        <x:v>T4</x:v>
      </x:c>
      <x:c r="C547" s="1" t="str">
        <x:v>Door sets and ironmongery</x:v>
      </x:c>
      <x:c r="D547" s="1" t="str">
        <x:v>Finishes</x:v>
      </x:c>
      <x:c r="E547" s="23" t="n">
        <x:f>MAX(0,MIN('Activities'!L547,6)-MAX('Activities'!K547,0))</x:f>
        <x:v>0</x:v>
      </x:c>
      <x:c r="F547" s="23" t="n">
        <x:f>MAX(0,MIN('Activities'!L547,12)-MAX('Activities'!K547,6))</x:f>
        <x:v>0</x:v>
      </x:c>
      <x:c r="G547" s="23" t="n">
        <x:f>MAX(0,MIN('Activities'!L547,18)-MAX('Activities'!K547,12))</x:f>
        <x:v>0</x:v>
      </x:c>
      <x:c r="H547" s="23" t="n">
        <x:f>MAX(0,MIN('Activities'!L547,24)-MAX('Activities'!K547,18))</x:f>
        <x:v>0</x:v>
      </x:c>
      <x:c r="I547" s="23" t="n">
        <x:f>MAX(0,MIN('Activities'!L547,30)-MAX('Activities'!K547,24))</x:f>
        <x:v>0</x:v>
      </x:c>
      <x:c r="J547" s="23" t="n">
        <x:f>MAX(0,MIN('Activities'!L547,36)-MAX('Activities'!K547,30))</x:f>
        <x:v>0</x:v>
      </x:c>
      <x:c r="K547" s="23" t="n">
        <x:f>MAX(0,MIN('Activities'!L547,42)-MAX('Activities'!K547,36))</x:f>
        <x:v>0</x:v>
      </x:c>
      <x:c r="L547" s="23" t="n">
        <x:f>MAX(0,MIN('Activities'!L547,48)-MAX('Activities'!K547,42))</x:f>
        <x:v>0</x:v>
      </x:c>
      <x:c r="M547" s="23" t="n">
        <x:f>MAX(0,MIN('Activities'!L547,54)-MAX('Activities'!K547,48))</x:f>
        <x:v>0</x:v>
      </x:c>
      <x:c r="N547" s="23" t="n">
        <x:f>MAX(0,MIN('Activities'!L547,60)-MAX('Activities'!K547,54))</x:f>
        <x:v>0</x:v>
      </x:c>
      <x:c r="O547" s="23" t="n">
        <x:f>MAX(0,MIN('Activities'!L547,66)-MAX('Activities'!K547,60))</x:f>
        <x:v>0</x:v>
      </x:c>
      <x:c r="P547" s="23" t="n">
        <x:f>MAX(0,MIN('Activities'!L547,72)-MAX('Activities'!K547,66))</x:f>
        <x:v>0</x:v>
      </x:c>
      <x:c r="Q547" s="23" t="n">
        <x:f>MAX(0,MIN('Activities'!L547,78)-MAX('Activities'!K547,72))</x:f>
        <x:v>0</x:v>
      </x:c>
      <x:c r="R547" s="23" t="n">
        <x:f>MAX(0,MIN('Activities'!L547,84)-MAX('Activities'!K547,78))</x:f>
        <x:v>0</x:v>
      </x:c>
      <x:c r="S547" s="23" t="n">
        <x:f>MAX(0,MIN('Activities'!L547,90)-MAX('Activities'!K547,84))</x:f>
        <x:v>0</x:v>
      </x:c>
      <x:c r="T547" s="23" t="n">
        <x:f>MAX(0,MIN('Activities'!L547,96)-MAX('Activities'!K547,90))</x:f>
        <x:v>0</x:v>
      </x:c>
      <x:c r="U547" s="23" t="n">
        <x:f>MAX(0,MIN('Activities'!L547,102)-MAX('Activities'!K547,96))</x:f>
        <x:v>0</x:v>
      </x:c>
      <x:c r="V547" s="23" t="n">
        <x:f>MAX(0,MIN('Activities'!L547,108)-MAX('Activities'!K547,102))</x:f>
        <x:v>0</x:v>
      </x:c>
      <x:c r="W547" s="23" t="n">
        <x:f>MAX(0,MIN('Activities'!L547,114)-MAX('Activities'!K547,108))</x:f>
        <x:v>0</x:v>
      </x:c>
      <x:c r="X547" s="23" t="n">
        <x:f>MAX(0,MIN('Activities'!L547,120)-MAX('Activities'!K547,114))</x:f>
        <x:v>0</x:v>
      </x:c>
      <x:c r="Y547" s="23" t="n">
        <x:f>MAX(0,MIN('Activities'!L547,126)-MAX('Activities'!K547,120))</x:f>
        <x:v>0</x:v>
      </x:c>
      <x:c r="Z547" s="23" t="n">
        <x:f>MAX(0,MIN('Activities'!L547,132)-MAX('Activities'!K547,126))</x:f>
        <x:v>0</x:v>
      </x:c>
      <x:c r="AA547" s="23" t="n">
        <x:f>MAX(0,MIN('Activities'!L547,138)-MAX('Activities'!K547,132))</x:f>
        <x:v>0</x:v>
      </x:c>
      <x:c r="AB547" s="23" t="n">
        <x:f>MAX(0,MIN('Activities'!L547,144)-MAX('Activities'!K547,138))</x:f>
        <x:v>0</x:v>
      </x:c>
      <x:c r="AC547" s="23" t="n">
        <x:f>MAX(0,MIN('Activities'!L547,150)-MAX('Activities'!K547,144))</x:f>
        <x:v>0</x:v>
      </x:c>
      <x:c r="AD547" s="23" t="n">
        <x:f>MAX(0,MIN('Activities'!L547,156)-MAX('Activities'!K547,150))</x:f>
        <x:v>0</x:v>
      </x:c>
      <x:c r="AE547" s="23" t="n">
        <x:f>MAX(0,MIN('Activities'!L547,162)-MAX('Activities'!K547,156))</x:f>
        <x:v>0</x:v>
      </x:c>
      <x:c r="AF547" s="23" t="n">
        <x:f>MAX(0,MIN('Activities'!L547,168)-MAX('Activities'!K547,162))</x:f>
        <x:v>0</x:v>
      </x:c>
      <x:c r="AG547" s="23" t="n">
        <x:f>MAX(0,MIN('Activities'!L547,174)-MAX('Activities'!K547,168))</x:f>
        <x:v>0</x:v>
      </x:c>
      <x:c r="AH547" s="23" t="n">
        <x:f>MAX(0,MIN('Activities'!L547,180)-MAX('Activities'!K547,174))</x:f>
        <x:v>0</x:v>
      </x:c>
      <x:c r="AI547" s="23" t="n">
        <x:f>MAX(0,MIN('Activities'!L547,186)-MAX('Activities'!K547,180))</x:f>
        <x:v>0</x:v>
      </x:c>
      <x:c r="AJ547" s="23" t="n">
        <x:f>MAX(0,MIN('Activities'!L547,192)-MAX('Activities'!K547,186))</x:f>
        <x:v>0</x:v>
      </x:c>
      <x:c r="AK547" s="23" t="n">
        <x:f>MAX(0,MIN('Activities'!L547,198)-MAX('Activities'!K547,192))</x:f>
        <x:v>0</x:v>
      </x:c>
      <x:c r="AL547" s="23" t="n">
        <x:f>MAX(0,MIN('Activities'!L547,204)-MAX('Activities'!K547,198))</x:f>
        <x:v>0</x:v>
      </x:c>
      <x:c r="AM547" s="23" t="n">
        <x:f>MAX(0,MIN('Activities'!L547,210)-MAX('Activities'!K547,204))</x:f>
        <x:v>0</x:v>
      </x:c>
      <x:c r="AN547" s="23" t="n">
        <x:f>MAX(0,MIN('Activities'!L547,216)-MAX('Activities'!K547,210))</x:f>
        <x:v>0</x:v>
      </x:c>
      <x:c r="AO547" s="23" t="n">
        <x:f>MAX(0,MIN('Activities'!L547,222)-MAX('Activities'!K547,216))</x:f>
        <x:v>0</x:v>
      </x:c>
      <x:c r="AP547" s="23" t="n">
        <x:f>MAX(0,MIN('Activities'!L547,228)-MAX('Activities'!K547,222))</x:f>
        <x:v>0</x:v>
      </x:c>
      <x:c r="AQ547" s="23" t="n">
        <x:f>MAX(0,MIN('Activities'!L547,234)-MAX('Activities'!K547,228))</x:f>
        <x:v>0</x:v>
      </x:c>
      <x:c r="AR547" s="23" t="n">
        <x:f>MAX(0,MIN('Activities'!L547,240)-MAX('Activities'!K547,234))</x:f>
        <x:v>0</x:v>
      </x:c>
      <x:c r="AS547" s="23" t="n">
        <x:f>MAX(0,MIN('Activities'!L547,246)-MAX('Activities'!K547,240))</x:f>
        <x:v>0</x:v>
      </x:c>
      <x:c r="AT547" s="23" t="n">
        <x:f>MAX(0,MIN('Activities'!L547,252)-MAX('Activities'!K547,246))</x:f>
        <x:v>0</x:v>
      </x:c>
      <x:c r="AU547" s="23" t="n">
        <x:f>MAX(0,MIN('Activities'!L547,258)-MAX('Activities'!K547,252))</x:f>
        <x:v>0</x:v>
      </x:c>
      <x:c r="AV547" s="23" t="n">
        <x:f>MAX(0,MIN('Activities'!L547,264)-MAX('Activities'!K547,258))</x:f>
        <x:v>0</x:v>
      </x:c>
      <x:c r="AW547" s="23" t="n">
        <x:f>MAX(0,MIN('Activities'!L547,270)-MAX('Activities'!K547,264))</x:f>
        <x:v>0</x:v>
      </x:c>
      <x:c r="AX547" s="23" t="n">
        <x:f>MAX(0,MIN('Activities'!L547,276)-MAX('Activities'!K547,270))</x:f>
        <x:v>0</x:v>
      </x:c>
      <x:c r="AY547" s="23" t="n">
        <x:f>MAX(0,MIN('Activities'!L547,282)-MAX('Activities'!K547,276))</x:f>
        <x:v>0</x:v>
      </x:c>
      <x:c r="AZ547" s="23" t="n">
        <x:f>MAX(0,MIN('Activities'!L547,288)-MAX('Activities'!K547,282))</x:f>
        <x:v>0</x:v>
      </x:c>
      <x:c r="BA547" s="23" t="n">
        <x:f>MAX(0,MIN('Activities'!L547,294)-MAX('Activities'!K547,288))</x:f>
        <x:v>0</x:v>
      </x:c>
      <x:c r="BB547" s="23" t="n">
        <x:f>MAX(0,MIN('Activities'!L547,300)-MAX('Activities'!K547,294))</x:f>
        <x:v>0</x:v>
      </x:c>
      <x:c r="BC547" s="23" t="n">
        <x:f>MAX(0,MIN('Activities'!L547,306)-MAX('Activities'!K547,300))</x:f>
        <x:v>0</x:v>
      </x:c>
      <x:c r="BD547" s="23" t="n">
        <x:f>MAX(0,MIN('Activities'!L547,312)-MAX('Activities'!K547,306))</x:f>
        <x:v>0</x:v>
      </x:c>
      <x:c r="BE547" s="23" t="n">
        <x:f>MAX(0,MIN('Activities'!L547,318)-MAX('Activities'!K547,312))</x:f>
        <x:v>0</x:v>
      </x:c>
      <x:c r="BF547" s="23" t="n">
        <x:f>MAX(0,MIN('Activities'!L547,324)-MAX('Activities'!K547,318))</x:f>
        <x:v>0</x:v>
      </x:c>
      <x:c r="BG547" s="23" t="n">
        <x:f>MAX(0,MIN('Activities'!L547,330)-MAX('Activities'!K547,324))</x:f>
        <x:v>0</x:v>
      </x:c>
      <x:c r="BH547" s="23" t="n">
        <x:f>MAX(0,MIN('Activities'!L547,336)-MAX('Activities'!K547,330))</x:f>
        <x:v>0</x:v>
      </x:c>
      <x:c r="BI547" s="23" t="n">
        <x:f>MAX(0,MIN('Activities'!L547,342)-MAX('Activities'!K547,336))</x:f>
        <x:v>0</x:v>
      </x:c>
      <x:c r="BJ547" s="23" t="n">
        <x:f>MAX(0,MIN('Activities'!L547,348)-MAX('Activities'!K547,342))</x:f>
        <x:v>0</x:v>
      </x:c>
      <x:c r="BK547" s="23" t="n">
        <x:f>MAX(0,MIN('Activities'!L547,354)-MAX('Activities'!K547,348))</x:f>
        <x:v>0</x:v>
      </x:c>
      <x:c r="BL547" s="23" t="n">
        <x:f>MAX(0,MIN('Activities'!L547,360)-MAX('Activities'!K547,354))</x:f>
        <x:v>0</x:v>
      </x:c>
      <x:c r="BM547" s="23" t="n">
        <x:f>MAX(0,MIN('Activities'!L547,366)-MAX('Activities'!K547,360))</x:f>
        <x:v>0</x:v>
      </x:c>
      <x:c r="BN547" s="23" t="n">
        <x:f>MAX(0,MIN('Activities'!L547,372)-MAX('Activities'!K547,366))</x:f>
        <x:v>0</x:v>
      </x:c>
      <x:c r="BO547" s="23" t="n">
        <x:f>MAX(0,MIN('Activities'!L547,378)-MAX('Activities'!K547,372))</x:f>
        <x:v>0</x:v>
      </x:c>
      <x:c r="BP547" s="23" t="n">
        <x:f>MAX(0,MIN('Activities'!L547,384)-MAX('Activities'!K547,378))</x:f>
        <x:v>0</x:v>
      </x:c>
      <x:c r="BQ547" s="23" t="n">
        <x:f>MAX(0,MIN('Activities'!L547,390)-MAX('Activities'!K547,384))</x:f>
        <x:v>0</x:v>
      </x:c>
      <x:c r="BR547" s="23" t="n">
        <x:f>MAX(0,MIN('Activities'!L547,396)-MAX('Activities'!K547,390))</x:f>
        <x:v>0</x:v>
      </x:c>
      <x:c r="BS547" s="23" t="n">
        <x:f>MAX(0,MIN('Activities'!L547,402)-MAX('Activities'!K547,396))</x:f>
        <x:v>0</x:v>
      </x:c>
      <x:c r="BT547" s="23" t="n">
        <x:f>MAX(0,MIN('Activities'!L547,408)-MAX('Activities'!K547,402))</x:f>
        <x:v>0</x:v>
      </x:c>
      <x:c r="BU547" s="23" t="n">
        <x:f>MAX(0,MIN('Activities'!L547,414)-MAX('Activities'!K547,408))</x:f>
        <x:v>0</x:v>
      </x:c>
      <x:c r="BV547" s="23" t="n">
        <x:f>MAX(0,MIN('Activities'!L547,420)-MAX('Activities'!K547,414))</x:f>
        <x:v>0</x:v>
      </x:c>
      <x:c r="BW547" s="23" t="n">
        <x:f>MAX(0,MIN('Activities'!L547,426)-MAX('Activities'!K547,420))</x:f>
        <x:v>0</x:v>
      </x:c>
      <x:c r="BX547" s="23" t="n">
        <x:f>MAX(0,MIN('Activities'!L547,432)-MAX('Activities'!K547,426))</x:f>
        <x:v>0</x:v>
      </x:c>
      <x:c r="BY547" s="23" t="n">
        <x:f>MAX(0,MIN('Activities'!L547,438)-MAX('Activities'!K547,432))</x:f>
        <x:v>0</x:v>
      </x:c>
      <x:c r="BZ547" s="23" t="n">
        <x:f>MAX(0,MIN('Activities'!L547,444)-MAX('Activities'!K547,438))</x:f>
        <x:v>0</x:v>
      </x:c>
      <x:c r="CA547" s="23" t="n">
        <x:f>MAX(0,MIN('Activities'!L547,450)-MAX('Activities'!K547,444))</x:f>
        <x:v>0</x:v>
      </x:c>
      <x:c r="CB547" s="23" t="n">
        <x:f>MAX(0,MIN('Activities'!L547,456)-MAX('Activities'!K547,450))</x:f>
        <x:v>1</x:v>
      </x:c>
      <x:c r="CC547" s="23" t="n">
        <x:f>MAX(0,MIN('Activities'!L547,462)-MAX('Activities'!K547,456))</x:f>
        <x:v>2</x:v>
      </x:c>
      <x:c r="CD547" s="23" t="n">
        <x:f>MAX(0,MIN('Activities'!L547,468)-MAX('Activities'!K547,462))</x:f>
        <x:v>0</x:v>
      </x:c>
      <x:c r="CE547" s="23" t="n">
        <x:f>MAX(0,MIN('Activities'!L547,474)-MAX('Activities'!K547,468))</x:f>
        <x:v>0</x:v>
      </x:c>
      <x:c r="CF547" s="23" t="n">
        <x:f>MAX(0,MIN('Activities'!L547,480)-MAX('Activities'!K547,474))</x:f>
        <x:v>0</x:v>
      </x:c>
      <x:c r="CG547" s="23" t="n">
        <x:f>MAX(0,MIN('Activities'!L547,486)-MAX('Activities'!K547,480))</x:f>
        <x:v>0</x:v>
      </x:c>
      <x:c r="CH547" s="23" t="n">
        <x:f>MAX(0,MIN('Activities'!L547,492)-MAX('Activities'!K547,486))</x:f>
        <x:v>0</x:v>
      </x:c>
      <x:c r="CI547" s="23" t="n">
        <x:f>MAX(0,MIN('Activities'!L547,498)-MAX('Activities'!K547,492))</x:f>
        <x:v>0</x:v>
      </x:c>
      <x:c r="CJ547" s="23" t="n">
        <x:f>MAX(0,MIN('Activities'!L547,504)-MAX('Activities'!K547,498))</x:f>
        <x:v>0</x:v>
      </x:c>
      <x:c r="CK547" s="23" t="n">
        <x:f>MAX(0,MIN('Activities'!L547,510)-MAX('Activities'!K547,504))</x:f>
        <x:v>0</x:v>
      </x:c>
      <x:c r="CL547" s="23" t="n">
        <x:f>MAX(0,MIN('Activities'!L547,516)-MAX('Activities'!K547,510))</x:f>
        <x:v>0</x:v>
      </x:c>
      <x:c r="CM547" s="23" t="n">
        <x:f>MAX(0,MIN('Activities'!L547,522)-MAX('Activities'!K547,516))</x:f>
        <x:v>0</x:v>
      </x:c>
      <x:c r="CN547" s="23" t="n">
        <x:f>MAX(0,MIN('Activities'!L547,528)-MAX('Activities'!K547,522))</x:f>
        <x:v>0</x:v>
      </x:c>
      <x:c r="CO547" s="23" t="n">
        <x:f>MAX(0,MIN('Activities'!L547,534)-MAX('Activities'!K547,528))</x:f>
        <x:v>0</x:v>
      </x:c>
      <x:c r="CP547" s="23" t="n">
        <x:f>MAX(0,MIN('Activities'!L547,540)-MAX('Activities'!K547,534))</x:f>
        <x:v>0</x:v>
      </x:c>
      <x:c r="CQ547" s="23" t="n">
        <x:f>MAX(0,MIN('Activities'!L547,546)-MAX('Activities'!K547,540))</x:f>
        <x:v>0</x:v>
      </x:c>
      <x:c r="CR547" s="23" t="n">
        <x:f>MAX(0,MIN('Activities'!L547,552)-MAX('Activities'!K547,546))</x:f>
        <x:v>0</x:v>
      </x:c>
      <x:c r="CS547" s="23" t="n">
        <x:f>MAX(0,MIN('Activities'!L547,558)-MAX('Activities'!K547,552))</x:f>
        <x:v>0</x:v>
      </x:c>
      <x:c r="CT547" s="23" t="n">
        <x:f>MAX(0,MIN('Activities'!L547,564)-MAX('Activities'!K547,558))</x:f>
        <x:v>0</x:v>
      </x:c>
      <x:c r="CU547" s="23" t="n">
        <x:f>MAX(0,MIN('Activities'!L547,570)-MAX('Activities'!K547,564))</x:f>
        <x:v>0</x:v>
      </x:c>
      <x:c r="CV547" s="23" t="n">
        <x:f>MAX(0,MIN('Activities'!L547,576)-MAX('Activities'!K547,570))</x:f>
        <x:v>0</x:v>
      </x:c>
      <x:c r="CW547" s="23" t="n">
        <x:f>MAX(0,MIN('Activities'!L547,582)-MAX('Activities'!K547,576))</x:f>
        <x:v>0</x:v>
      </x:c>
      <x:c r="CX547" s="23" t="n">
        <x:f>MAX(0,MIN('Activities'!L547,588)-MAX('Activities'!K547,582))</x:f>
        <x:v>0</x:v>
      </x:c>
      <x:c r="CY547" s="23" t="n">
        <x:f>MAX(0,MIN('Activities'!L547,594)-MAX('Activities'!K547,588))</x:f>
        <x:v>0</x:v>
      </x:c>
      <x:c r="CZ547" s="23" t="n">
        <x:f>MAX(0,MIN('Activities'!L547,600)-MAX('Activities'!K547,594))</x:f>
        <x:v>0</x:v>
      </x:c>
      <x:c r="DA547" s="23" t="n">
        <x:f>MAX(0,MIN('Activities'!L547,606)-MAX('Activities'!K547,600))</x:f>
        <x:v>0</x:v>
      </x:c>
      <x:c r="DB547" s="23" t="n">
        <x:f>MAX(0,MIN('Activities'!L547,612)-MAX('Activities'!K547,606))</x:f>
        <x:v>0</x:v>
      </x:c>
      <x:c r="DC547" s="23" t="n">
        <x:f>MAX(0,MIN('Activities'!L547,618)-MAX('Activities'!K547,612))</x:f>
        <x:v>0</x:v>
      </x:c>
      <x:c r="DD547" s="23" t="n">
        <x:f>MAX(0,MIN('Activities'!L547,624)-MAX('Activities'!K547,618))</x:f>
        <x:v>0</x:v>
      </x:c>
      <x:c r="DE547" s="23" t="n">
        <x:f>MAX(0,MIN('Activities'!L547,630)-MAX('Activities'!K547,624))</x:f>
        <x:v>0</x:v>
      </x:c>
      <x:c r="DF547" s="23" t="n">
        <x:f>MAX(0,MIN('Activities'!L547,636)-MAX('Activities'!K547,630))</x:f>
        <x:v>0</x:v>
      </x:c>
    </x:row>
    <x:row r="548" ht="23" customHeight="1">
      <x:c r="A548" s="6" t="str">
        <x:v>T5-L00-F</x:v>
      </x:c>
      <x:c r="B548" s="6" t="str">
        <x:v>T5</x:v>
      </x:c>
      <x:c r="C548" s="6" t="str">
        <x:v>Columns, core and deck formwork</x:v>
      </x:c>
      <x:c r="D548" s="6" t="str">
        <x:v>Formwork</x:v>
      </x:c>
      <x:c r="E548" s="22" t="n">
        <x:f>MAX(0,MIN('Activities'!L548,6)-MAX('Activities'!K548,0))</x:f>
        <x:v>0</x:v>
      </x:c>
      <x:c r="F548" s="22" t="n">
        <x:f>MAX(0,MIN('Activities'!L548,12)-MAX('Activities'!K548,6))</x:f>
        <x:v>0</x:v>
      </x:c>
      <x:c r="G548" s="22" t="n">
        <x:f>MAX(0,MIN('Activities'!L548,18)-MAX('Activities'!K548,12))</x:f>
        <x:v>0</x:v>
      </x:c>
      <x:c r="H548" s="22" t="n">
        <x:f>MAX(0,MIN('Activities'!L548,24)-MAX('Activities'!K548,18))</x:f>
        <x:v>0</x:v>
      </x:c>
      <x:c r="I548" s="22" t="n">
        <x:f>MAX(0,MIN('Activities'!L548,30)-MAX('Activities'!K548,24))</x:f>
        <x:v>0</x:v>
      </x:c>
      <x:c r="J548" s="22" t="n">
        <x:f>MAX(0,MIN('Activities'!L548,36)-MAX('Activities'!K548,30))</x:f>
        <x:v>0</x:v>
      </x:c>
      <x:c r="K548" s="22" t="n">
        <x:f>MAX(0,MIN('Activities'!L548,42)-MAX('Activities'!K548,36))</x:f>
        <x:v>0</x:v>
      </x:c>
      <x:c r="L548" s="22" t="n">
        <x:f>MAX(0,MIN('Activities'!L548,48)-MAX('Activities'!K548,42))</x:f>
        <x:v>0</x:v>
      </x:c>
      <x:c r="M548" s="22" t="n">
        <x:f>MAX(0,MIN('Activities'!L548,54)-MAX('Activities'!K548,48))</x:f>
        <x:v>0</x:v>
      </x:c>
      <x:c r="N548" s="22" t="n">
        <x:f>MAX(0,MIN('Activities'!L548,60)-MAX('Activities'!K548,54))</x:f>
        <x:v>0</x:v>
      </x:c>
      <x:c r="O548" s="22" t="n">
        <x:f>MAX(0,MIN('Activities'!L548,66)-MAX('Activities'!K548,60))</x:f>
        <x:v>0</x:v>
      </x:c>
      <x:c r="P548" s="22" t="n">
        <x:f>MAX(0,MIN('Activities'!L548,72)-MAX('Activities'!K548,66))</x:f>
        <x:v>0</x:v>
      </x:c>
      <x:c r="Q548" s="22" t="n">
        <x:f>MAX(0,MIN('Activities'!L548,78)-MAX('Activities'!K548,72))</x:f>
        <x:v>0</x:v>
      </x:c>
      <x:c r="R548" s="22" t="n">
        <x:f>MAX(0,MIN('Activities'!L548,84)-MAX('Activities'!K548,78))</x:f>
        <x:v>0</x:v>
      </x:c>
      <x:c r="S548" s="22" t="n">
        <x:f>MAX(0,MIN('Activities'!L548,90)-MAX('Activities'!K548,84))</x:f>
        <x:v>0</x:v>
      </x:c>
      <x:c r="T548" s="22" t="n">
        <x:f>MAX(0,MIN('Activities'!L548,96)-MAX('Activities'!K548,90))</x:f>
        <x:v>0</x:v>
      </x:c>
      <x:c r="U548" s="22" t="n">
        <x:f>MAX(0,MIN('Activities'!L548,102)-MAX('Activities'!K548,96))</x:f>
        <x:v>0</x:v>
      </x:c>
      <x:c r="V548" s="22" t="n">
        <x:f>MAX(0,MIN('Activities'!L548,108)-MAX('Activities'!K548,102))</x:f>
        <x:v>0</x:v>
      </x:c>
      <x:c r="W548" s="22" t="n">
        <x:f>MAX(0,MIN('Activities'!L548,114)-MAX('Activities'!K548,108))</x:f>
        <x:v>0</x:v>
      </x:c>
      <x:c r="X548" s="22" t="n">
        <x:f>MAX(0,MIN('Activities'!L548,120)-MAX('Activities'!K548,114))</x:f>
        <x:v>0</x:v>
      </x:c>
      <x:c r="Y548" s="22" t="n">
        <x:f>MAX(0,MIN('Activities'!L548,126)-MAX('Activities'!K548,120))</x:f>
        <x:v>0</x:v>
      </x:c>
      <x:c r="Z548" s="22" t="n">
        <x:f>MAX(0,MIN('Activities'!L548,132)-MAX('Activities'!K548,126))</x:f>
        <x:v>0</x:v>
      </x:c>
      <x:c r="AA548" s="22" t="n">
        <x:f>MAX(0,MIN('Activities'!L548,138)-MAX('Activities'!K548,132))</x:f>
        <x:v>0</x:v>
      </x:c>
      <x:c r="AB548" s="22" t="n">
        <x:f>MAX(0,MIN('Activities'!L548,144)-MAX('Activities'!K548,138))</x:f>
        <x:v>0</x:v>
      </x:c>
      <x:c r="AC548" s="22" t="n">
        <x:f>MAX(0,MIN('Activities'!L548,150)-MAX('Activities'!K548,144))</x:f>
        <x:v>0</x:v>
      </x:c>
      <x:c r="AD548" s="22" t="n">
        <x:f>MAX(0,MIN('Activities'!L548,156)-MAX('Activities'!K548,150))</x:f>
        <x:v>0</x:v>
      </x:c>
      <x:c r="AE548" s="22" t="n">
        <x:f>MAX(0,MIN('Activities'!L548,162)-MAX('Activities'!K548,156))</x:f>
        <x:v>0</x:v>
      </x:c>
      <x:c r="AF548" s="22" t="n">
        <x:f>MAX(0,MIN('Activities'!L548,168)-MAX('Activities'!K548,162))</x:f>
        <x:v>0</x:v>
      </x:c>
      <x:c r="AG548" s="22" t="n">
        <x:f>MAX(0,MIN('Activities'!L548,174)-MAX('Activities'!K548,168))</x:f>
        <x:v>0</x:v>
      </x:c>
      <x:c r="AH548" s="22" t="n">
        <x:f>MAX(0,MIN('Activities'!L548,180)-MAX('Activities'!K548,174))</x:f>
        <x:v>0</x:v>
      </x:c>
      <x:c r="AI548" s="22" t="n">
        <x:f>MAX(0,MIN('Activities'!L548,186)-MAX('Activities'!K548,180))</x:f>
        <x:v>4</x:v>
      </x:c>
      <x:c r="AJ548" s="22" t="n">
        <x:f>MAX(0,MIN('Activities'!L548,192)-MAX('Activities'!K548,186))</x:f>
        <x:v>2</x:v>
      </x:c>
      <x:c r="AK548" s="22" t="n">
        <x:f>MAX(0,MIN('Activities'!L548,198)-MAX('Activities'!K548,192))</x:f>
        <x:v>0</x:v>
      </x:c>
      <x:c r="AL548" s="22" t="n">
        <x:f>MAX(0,MIN('Activities'!L548,204)-MAX('Activities'!K548,198))</x:f>
        <x:v>0</x:v>
      </x:c>
      <x:c r="AM548" s="22" t="n">
        <x:f>MAX(0,MIN('Activities'!L548,210)-MAX('Activities'!K548,204))</x:f>
        <x:v>0</x:v>
      </x:c>
      <x:c r="AN548" s="22" t="n">
        <x:f>MAX(0,MIN('Activities'!L548,216)-MAX('Activities'!K548,210))</x:f>
        <x:v>0</x:v>
      </x:c>
      <x:c r="AO548" s="22" t="n">
        <x:f>MAX(0,MIN('Activities'!L548,222)-MAX('Activities'!K548,216))</x:f>
        <x:v>0</x:v>
      </x:c>
      <x:c r="AP548" s="22" t="n">
        <x:f>MAX(0,MIN('Activities'!L548,228)-MAX('Activities'!K548,222))</x:f>
        <x:v>0</x:v>
      </x:c>
      <x:c r="AQ548" s="22" t="n">
        <x:f>MAX(0,MIN('Activities'!L548,234)-MAX('Activities'!K548,228))</x:f>
        <x:v>0</x:v>
      </x:c>
      <x:c r="AR548" s="22" t="n">
        <x:f>MAX(0,MIN('Activities'!L548,240)-MAX('Activities'!K548,234))</x:f>
        <x:v>0</x:v>
      </x:c>
      <x:c r="AS548" s="22" t="n">
        <x:f>MAX(0,MIN('Activities'!L548,246)-MAX('Activities'!K548,240))</x:f>
        <x:v>0</x:v>
      </x:c>
      <x:c r="AT548" s="22" t="n">
        <x:f>MAX(0,MIN('Activities'!L548,252)-MAX('Activities'!K548,246))</x:f>
        <x:v>0</x:v>
      </x:c>
      <x:c r="AU548" s="22" t="n">
        <x:f>MAX(0,MIN('Activities'!L548,258)-MAX('Activities'!K548,252))</x:f>
        <x:v>0</x:v>
      </x:c>
      <x:c r="AV548" s="22" t="n">
        <x:f>MAX(0,MIN('Activities'!L548,264)-MAX('Activities'!K548,258))</x:f>
        <x:v>0</x:v>
      </x:c>
      <x:c r="AW548" s="22" t="n">
        <x:f>MAX(0,MIN('Activities'!L548,270)-MAX('Activities'!K548,264))</x:f>
        <x:v>0</x:v>
      </x:c>
      <x:c r="AX548" s="22" t="n">
        <x:f>MAX(0,MIN('Activities'!L548,276)-MAX('Activities'!K548,270))</x:f>
        <x:v>0</x:v>
      </x:c>
      <x:c r="AY548" s="22" t="n">
        <x:f>MAX(0,MIN('Activities'!L548,282)-MAX('Activities'!K548,276))</x:f>
        <x:v>0</x:v>
      </x:c>
      <x:c r="AZ548" s="22" t="n">
        <x:f>MAX(0,MIN('Activities'!L548,288)-MAX('Activities'!K548,282))</x:f>
        <x:v>0</x:v>
      </x:c>
      <x:c r="BA548" s="22" t="n">
        <x:f>MAX(0,MIN('Activities'!L548,294)-MAX('Activities'!K548,288))</x:f>
        <x:v>0</x:v>
      </x:c>
      <x:c r="BB548" s="22" t="n">
        <x:f>MAX(0,MIN('Activities'!L548,300)-MAX('Activities'!K548,294))</x:f>
        <x:v>0</x:v>
      </x:c>
      <x:c r="BC548" s="22" t="n">
        <x:f>MAX(0,MIN('Activities'!L548,306)-MAX('Activities'!K548,300))</x:f>
        <x:v>0</x:v>
      </x:c>
      <x:c r="BD548" s="22" t="n">
        <x:f>MAX(0,MIN('Activities'!L548,312)-MAX('Activities'!K548,306))</x:f>
        <x:v>0</x:v>
      </x:c>
      <x:c r="BE548" s="22" t="n">
        <x:f>MAX(0,MIN('Activities'!L548,318)-MAX('Activities'!K548,312))</x:f>
        <x:v>0</x:v>
      </x:c>
      <x:c r="BF548" s="22" t="n">
        <x:f>MAX(0,MIN('Activities'!L548,324)-MAX('Activities'!K548,318))</x:f>
        <x:v>0</x:v>
      </x:c>
      <x:c r="BG548" s="22" t="n">
        <x:f>MAX(0,MIN('Activities'!L548,330)-MAX('Activities'!K548,324))</x:f>
        <x:v>0</x:v>
      </x:c>
      <x:c r="BH548" s="22" t="n">
        <x:f>MAX(0,MIN('Activities'!L548,336)-MAX('Activities'!K548,330))</x:f>
        <x:v>0</x:v>
      </x:c>
      <x:c r="BI548" s="22" t="n">
        <x:f>MAX(0,MIN('Activities'!L548,342)-MAX('Activities'!K548,336))</x:f>
        <x:v>0</x:v>
      </x:c>
      <x:c r="BJ548" s="22" t="n">
        <x:f>MAX(0,MIN('Activities'!L548,348)-MAX('Activities'!K548,342))</x:f>
        <x:v>0</x:v>
      </x:c>
      <x:c r="BK548" s="22" t="n">
        <x:f>MAX(0,MIN('Activities'!L548,354)-MAX('Activities'!K548,348))</x:f>
        <x:v>0</x:v>
      </x:c>
      <x:c r="BL548" s="22" t="n">
        <x:f>MAX(0,MIN('Activities'!L548,360)-MAX('Activities'!K548,354))</x:f>
        <x:v>0</x:v>
      </x:c>
      <x:c r="BM548" s="22" t="n">
        <x:f>MAX(0,MIN('Activities'!L548,366)-MAX('Activities'!K548,360))</x:f>
        <x:v>0</x:v>
      </x:c>
      <x:c r="BN548" s="22" t="n">
        <x:f>MAX(0,MIN('Activities'!L548,372)-MAX('Activities'!K548,366))</x:f>
        <x:v>0</x:v>
      </x:c>
      <x:c r="BO548" s="22" t="n">
        <x:f>MAX(0,MIN('Activities'!L548,378)-MAX('Activities'!K548,372))</x:f>
        <x:v>0</x:v>
      </x:c>
      <x:c r="BP548" s="22" t="n">
        <x:f>MAX(0,MIN('Activities'!L548,384)-MAX('Activities'!K548,378))</x:f>
        <x:v>0</x:v>
      </x:c>
      <x:c r="BQ548" s="22" t="n">
        <x:f>MAX(0,MIN('Activities'!L548,390)-MAX('Activities'!K548,384))</x:f>
        <x:v>0</x:v>
      </x:c>
      <x:c r="BR548" s="22" t="n">
        <x:f>MAX(0,MIN('Activities'!L548,396)-MAX('Activities'!K548,390))</x:f>
        <x:v>0</x:v>
      </x:c>
      <x:c r="BS548" s="22" t="n">
        <x:f>MAX(0,MIN('Activities'!L548,402)-MAX('Activities'!K548,396))</x:f>
        <x:v>0</x:v>
      </x:c>
      <x:c r="BT548" s="22" t="n">
        <x:f>MAX(0,MIN('Activities'!L548,408)-MAX('Activities'!K548,402))</x:f>
        <x:v>0</x:v>
      </x:c>
      <x:c r="BU548" s="22" t="n">
        <x:f>MAX(0,MIN('Activities'!L548,414)-MAX('Activities'!K548,408))</x:f>
        <x:v>0</x:v>
      </x:c>
      <x:c r="BV548" s="22" t="n">
        <x:f>MAX(0,MIN('Activities'!L548,420)-MAX('Activities'!K548,414))</x:f>
        <x:v>0</x:v>
      </x:c>
      <x:c r="BW548" s="22" t="n">
        <x:f>MAX(0,MIN('Activities'!L548,426)-MAX('Activities'!K548,420))</x:f>
        <x:v>0</x:v>
      </x:c>
      <x:c r="BX548" s="22" t="n">
        <x:f>MAX(0,MIN('Activities'!L548,432)-MAX('Activities'!K548,426))</x:f>
        <x:v>0</x:v>
      </x:c>
      <x:c r="BY548" s="22" t="n">
        <x:f>MAX(0,MIN('Activities'!L548,438)-MAX('Activities'!K548,432))</x:f>
        <x:v>0</x:v>
      </x:c>
      <x:c r="BZ548" s="22" t="n">
        <x:f>MAX(0,MIN('Activities'!L548,444)-MAX('Activities'!K548,438))</x:f>
        <x:v>0</x:v>
      </x:c>
      <x:c r="CA548" s="22" t="n">
        <x:f>MAX(0,MIN('Activities'!L548,450)-MAX('Activities'!K548,444))</x:f>
        <x:v>0</x:v>
      </x:c>
      <x:c r="CB548" s="22" t="n">
        <x:f>MAX(0,MIN('Activities'!L548,456)-MAX('Activities'!K548,450))</x:f>
        <x:v>0</x:v>
      </x:c>
      <x:c r="CC548" s="22" t="n">
        <x:f>MAX(0,MIN('Activities'!L548,462)-MAX('Activities'!K548,456))</x:f>
        <x:v>0</x:v>
      </x:c>
      <x:c r="CD548" s="22" t="n">
        <x:f>MAX(0,MIN('Activities'!L548,468)-MAX('Activities'!K548,462))</x:f>
        <x:v>0</x:v>
      </x:c>
      <x:c r="CE548" s="22" t="n">
        <x:f>MAX(0,MIN('Activities'!L548,474)-MAX('Activities'!K548,468))</x:f>
        <x:v>0</x:v>
      </x:c>
      <x:c r="CF548" s="22" t="n">
        <x:f>MAX(0,MIN('Activities'!L548,480)-MAX('Activities'!K548,474))</x:f>
        <x:v>0</x:v>
      </x:c>
      <x:c r="CG548" s="22" t="n">
        <x:f>MAX(0,MIN('Activities'!L548,486)-MAX('Activities'!K548,480))</x:f>
        <x:v>0</x:v>
      </x:c>
      <x:c r="CH548" s="22" t="n">
        <x:f>MAX(0,MIN('Activities'!L548,492)-MAX('Activities'!K548,486))</x:f>
        <x:v>0</x:v>
      </x:c>
      <x:c r="CI548" s="22" t="n">
        <x:f>MAX(0,MIN('Activities'!L548,498)-MAX('Activities'!K548,492))</x:f>
        <x:v>0</x:v>
      </x:c>
      <x:c r="CJ548" s="22" t="n">
        <x:f>MAX(0,MIN('Activities'!L548,504)-MAX('Activities'!K548,498))</x:f>
        <x:v>0</x:v>
      </x:c>
      <x:c r="CK548" s="22" t="n">
        <x:f>MAX(0,MIN('Activities'!L548,510)-MAX('Activities'!K548,504))</x:f>
        <x:v>0</x:v>
      </x:c>
      <x:c r="CL548" s="22" t="n">
        <x:f>MAX(0,MIN('Activities'!L548,516)-MAX('Activities'!K548,510))</x:f>
        <x:v>0</x:v>
      </x:c>
      <x:c r="CM548" s="22" t="n">
        <x:f>MAX(0,MIN('Activities'!L548,522)-MAX('Activities'!K548,516))</x:f>
        <x:v>0</x:v>
      </x:c>
      <x:c r="CN548" s="22" t="n">
        <x:f>MAX(0,MIN('Activities'!L548,528)-MAX('Activities'!K548,522))</x:f>
        <x:v>0</x:v>
      </x:c>
      <x:c r="CO548" s="22" t="n">
        <x:f>MAX(0,MIN('Activities'!L548,534)-MAX('Activities'!K548,528))</x:f>
        <x:v>0</x:v>
      </x:c>
      <x:c r="CP548" s="22" t="n">
        <x:f>MAX(0,MIN('Activities'!L548,540)-MAX('Activities'!K548,534))</x:f>
        <x:v>0</x:v>
      </x:c>
      <x:c r="CQ548" s="22" t="n">
        <x:f>MAX(0,MIN('Activities'!L548,546)-MAX('Activities'!K548,540))</x:f>
        <x:v>0</x:v>
      </x:c>
      <x:c r="CR548" s="22" t="n">
        <x:f>MAX(0,MIN('Activities'!L548,552)-MAX('Activities'!K548,546))</x:f>
        <x:v>0</x:v>
      </x:c>
      <x:c r="CS548" s="22" t="n">
        <x:f>MAX(0,MIN('Activities'!L548,558)-MAX('Activities'!K548,552))</x:f>
        <x:v>0</x:v>
      </x:c>
      <x:c r="CT548" s="22" t="n">
        <x:f>MAX(0,MIN('Activities'!L548,564)-MAX('Activities'!K548,558))</x:f>
        <x:v>0</x:v>
      </x:c>
      <x:c r="CU548" s="22" t="n">
        <x:f>MAX(0,MIN('Activities'!L548,570)-MAX('Activities'!K548,564))</x:f>
        <x:v>0</x:v>
      </x:c>
      <x:c r="CV548" s="22" t="n">
        <x:f>MAX(0,MIN('Activities'!L548,576)-MAX('Activities'!K548,570))</x:f>
        <x:v>0</x:v>
      </x:c>
      <x:c r="CW548" s="22" t="n">
        <x:f>MAX(0,MIN('Activities'!L548,582)-MAX('Activities'!K548,576))</x:f>
        <x:v>0</x:v>
      </x:c>
      <x:c r="CX548" s="22" t="n">
        <x:f>MAX(0,MIN('Activities'!L548,588)-MAX('Activities'!K548,582))</x:f>
        <x:v>0</x:v>
      </x:c>
      <x:c r="CY548" s="22" t="n">
        <x:f>MAX(0,MIN('Activities'!L548,594)-MAX('Activities'!K548,588))</x:f>
        <x:v>0</x:v>
      </x:c>
      <x:c r="CZ548" s="22" t="n">
        <x:f>MAX(0,MIN('Activities'!L548,600)-MAX('Activities'!K548,594))</x:f>
        <x:v>0</x:v>
      </x:c>
      <x:c r="DA548" s="22" t="n">
        <x:f>MAX(0,MIN('Activities'!L548,606)-MAX('Activities'!K548,600))</x:f>
        <x:v>0</x:v>
      </x:c>
      <x:c r="DB548" s="22" t="n">
        <x:f>MAX(0,MIN('Activities'!L548,612)-MAX('Activities'!K548,606))</x:f>
        <x:v>0</x:v>
      </x:c>
      <x:c r="DC548" s="22" t="n">
        <x:f>MAX(0,MIN('Activities'!L548,618)-MAX('Activities'!K548,612))</x:f>
        <x:v>0</x:v>
      </x:c>
      <x:c r="DD548" s="22" t="n">
        <x:f>MAX(0,MIN('Activities'!L548,624)-MAX('Activities'!K548,618))</x:f>
        <x:v>0</x:v>
      </x:c>
      <x:c r="DE548" s="22" t="n">
        <x:f>MAX(0,MIN('Activities'!L548,630)-MAX('Activities'!K548,624))</x:f>
        <x:v>0</x:v>
      </x:c>
      <x:c r="DF548" s="22" t="n">
        <x:f>MAX(0,MIN('Activities'!L548,636)-MAX('Activities'!K548,630))</x:f>
        <x:v>0</x:v>
      </x:c>
    </x:row>
    <x:row r="549" ht="23" customHeight="1">
      <x:c r="A549" s="1" t="str">
        <x:v>T5-L00-R</x:v>
      </x:c>
      <x:c r="B549" s="1" t="str">
        <x:v>T5</x:v>
      </x:c>
      <x:c r="C549" s="1" t="str">
        <x:v>Column, wall, beam and slab reinforcement</x:v>
      </x:c>
      <x:c r="D549" s="1" t="str">
        <x:v>Rebar</x:v>
      </x:c>
      <x:c r="E549" s="23" t="n">
        <x:f>MAX(0,MIN('Activities'!L549,6)-MAX('Activities'!K549,0))</x:f>
        <x:v>0</x:v>
      </x:c>
      <x:c r="F549" s="23" t="n">
        <x:f>MAX(0,MIN('Activities'!L549,12)-MAX('Activities'!K549,6))</x:f>
        <x:v>0</x:v>
      </x:c>
      <x:c r="G549" s="23" t="n">
        <x:f>MAX(0,MIN('Activities'!L549,18)-MAX('Activities'!K549,12))</x:f>
        <x:v>0</x:v>
      </x:c>
      <x:c r="H549" s="23" t="n">
        <x:f>MAX(0,MIN('Activities'!L549,24)-MAX('Activities'!K549,18))</x:f>
        <x:v>0</x:v>
      </x:c>
      <x:c r="I549" s="23" t="n">
        <x:f>MAX(0,MIN('Activities'!L549,30)-MAX('Activities'!K549,24))</x:f>
        <x:v>0</x:v>
      </x:c>
      <x:c r="J549" s="23" t="n">
        <x:f>MAX(0,MIN('Activities'!L549,36)-MAX('Activities'!K549,30))</x:f>
        <x:v>0</x:v>
      </x:c>
      <x:c r="K549" s="23" t="n">
        <x:f>MAX(0,MIN('Activities'!L549,42)-MAX('Activities'!K549,36))</x:f>
        <x:v>0</x:v>
      </x:c>
      <x:c r="L549" s="23" t="n">
        <x:f>MAX(0,MIN('Activities'!L549,48)-MAX('Activities'!K549,42))</x:f>
        <x:v>0</x:v>
      </x:c>
      <x:c r="M549" s="23" t="n">
        <x:f>MAX(0,MIN('Activities'!L549,54)-MAX('Activities'!K549,48))</x:f>
        <x:v>0</x:v>
      </x:c>
      <x:c r="N549" s="23" t="n">
        <x:f>MAX(0,MIN('Activities'!L549,60)-MAX('Activities'!K549,54))</x:f>
        <x:v>0</x:v>
      </x:c>
      <x:c r="O549" s="23" t="n">
        <x:f>MAX(0,MIN('Activities'!L549,66)-MAX('Activities'!K549,60))</x:f>
        <x:v>0</x:v>
      </x:c>
      <x:c r="P549" s="23" t="n">
        <x:f>MAX(0,MIN('Activities'!L549,72)-MAX('Activities'!K549,66))</x:f>
        <x:v>0</x:v>
      </x:c>
      <x:c r="Q549" s="23" t="n">
        <x:f>MAX(0,MIN('Activities'!L549,78)-MAX('Activities'!K549,72))</x:f>
        <x:v>0</x:v>
      </x:c>
      <x:c r="R549" s="23" t="n">
        <x:f>MAX(0,MIN('Activities'!L549,84)-MAX('Activities'!K549,78))</x:f>
        <x:v>0</x:v>
      </x:c>
      <x:c r="S549" s="23" t="n">
        <x:f>MAX(0,MIN('Activities'!L549,90)-MAX('Activities'!K549,84))</x:f>
        <x:v>0</x:v>
      </x:c>
      <x:c r="T549" s="23" t="n">
        <x:f>MAX(0,MIN('Activities'!L549,96)-MAX('Activities'!K549,90))</x:f>
        <x:v>0</x:v>
      </x:c>
      <x:c r="U549" s="23" t="n">
        <x:f>MAX(0,MIN('Activities'!L549,102)-MAX('Activities'!K549,96))</x:f>
        <x:v>0</x:v>
      </x:c>
      <x:c r="V549" s="23" t="n">
        <x:f>MAX(0,MIN('Activities'!L549,108)-MAX('Activities'!K549,102))</x:f>
        <x:v>0</x:v>
      </x:c>
      <x:c r="W549" s="23" t="n">
        <x:f>MAX(0,MIN('Activities'!L549,114)-MAX('Activities'!K549,108))</x:f>
        <x:v>0</x:v>
      </x:c>
      <x:c r="X549" s="23" t="n">
        <x:f>MAX(0,MIN('Activities'!L549,120)-MAX('Activities'!K549,114))</x:f>
        <x:v>0</x:v>
      </x:c>
      <x:c r="Y549" s="23" t="n">
        <x:f>MAX(0,MIN('Activities'!L549,126)-MAX('Activities'!K549,120))</x:f>
        <x:v>0</x:v>
      </x:c>
      <x:c r="Z549" s="23" t="n">
        <x:f>MAX(0,MIN('Activities'!L549,132)-MAX('Activities'!K549,126))</x:f>
        <x:v>0</x:v>
      </x:c>
      <x:c r="AA549" s="23" t="n">
        <x:f>MAX(0,MIN('Activities'!L549,138)-MAX('Activities'!K549,132))</x:f>
        <x:v>0</x:v>
      </x:c>
      <x:c r="AB549" s="23" t="n">
        <x:f>MAX(0,MIN('Activities'!L549,144)-MAX('Activities'!K549,138))</x:f>
        <x:v>0</x:v>
      </x:c>
      <x:c r="AC549" s="23" t="n">
        <x:f>MAX(0,MIN('Activities'!L549,150)-MAX('Activities'!K549,144))</x:f>
        <x:v>0</x:v>
      </x:c>
      <x:c r="AD549" s="23" t="n">
        <x:f>MAX(0,MIN('Activities'!L549,156)-MAX('Activities'!K549,150))</x:f>
        <x:v>0</x:v>
      </x:c>
      <x:c r="AE549" s="23" t="n">
        <x:f>MAX(0,MIN('Activities'!L549,162)-MAX('Activities'!K549,156))</x:f>
        <x:v>0</x:v>
      </x:c>
      <x:c r="AF549" s="23" t="n">
        <x:f>MAX(0,MIN('Activities'!L549,168)-MAX('Activities'!K549,162))</x:f>
        <x:v>0</x:v>
      </x:c>
      <x:c r="AG549" s="23" t="n">
        <x:f>MAX(0,MIN('Activities'!L549,174)-MAX('Activities'!K549,168))</x:f>
        <x:v>0</x:v>
      </x:c>
      <x:c r="AH549" s="23" t="n">
        <x:f>MAX(0,MIN('Activities'!L549,180)-MAX('Activities'!K549,174))</x:f>
        <x:v>0</x:v>
      </x:c>
      <x:c r="AI549" s="23" t="n">
        <x:f>MAX(0,MIN('Activities'!L549,186)-MAX('Activities'!K549,180))</x:f>
        <x:v>0</x:v>
      </x:c>
      <x:c r="AJ549" s="23" t="n">
        <x:f>MAX(0,MIN('Activities'!L549,192)-MAX('Activities'!K549,186))</x:f>
        <x:v>4</x:v>
      </x:c>
      <x:c r="AK549" s="23" t="n">
        <x:f>MAX(0,MIN('Activities'!L549,198)-MAX('Activities'!K549,192))</x:f>
        <x:v>1</x:v>
      </x:c>
      <x:c r="AL549" s="23" t="n">
        <x:f>MAX(0,MIN('Activities'!L549,204)-MAX('Activities'!K549,198))</x:f>
        <x:v>0</x:v>
      </x:c>
      <x:c r="AM549" s="23" t="n">
        <x:f>MAX(0,MIN('Activities'!L549,210)-MAX('Activities'!K549,204))</x:f>
        <x:v>0</x:v>
      </x:c>
      <x:c r="AN549" s="23" t="n">
        <x:f>MAX(0,MIN('Activities'!L549,216)-MAX('Activities'!K549,210))</x:f>
        <x:v>0</x:v>
      </x:c>
      <x:c r="AO549" s="23" t="n">
        <x:f>MAX(0,MIN('Activities'!L549,222)-MAX('Activities'!K549,216))</x:f>
        <x:v>0</x:v>
      </x:c>
      <x:c r="AP549" s="23" t="n">
        <x:f>MAX(0,MIN('Activities'!L549,228)-MAX('Activities'!K549,222))</x:f>
        <x:v>0</x:v>
      </x:c>
      <x:c r="AQ549" s="23" t="n">
        <x:f>MAX(0,MIN('Activities'!L549,234)-MAX('Activities'!K549,228))</x:f>
        <x:v>0</x:v>
      </x:c>
      <x:c r="AR549" s="23" t="n">
        <x:f>MAX(0,MIN('Activities'!L549,240)-MAX('Activities'!K549,234))</x:f>
        <x:v>0</x:v>
      </x:c>
      <x:c r="AS549" s="23" t="n">
        <x:f>MAX(0,MIN('Activities'!L549,246)-MAX('Activities'!K549,240))</x:f>
        <x:v>0</x:v>
      </x:c>
      <x:c r="AT549" s="23" t="n">
        <x:f>MAX(0,MIN('Activities'!L549,252)-MAX('Activities'!K549,246))</x:f>
        <x:v>0</x:v>
      </x:c>
      <x:c r="AU549" s="23" t="n">
        <x:f>MAX(0,MIN('Activities'!L549,258)-MAX('Activities'!K549,252))</x:f>
        <x:v>0</x:v>
      </x:c>
      <x:c r="AV549" s="23" t="n">
        <x:f>MAX(0,MIN('Activities'!L549,264)-MAX('Activities'!K549,258))</x:f>
        <x:v>0</x:v>
      </x:c>
      <x:c r="AW549" s="23" t="n">
        <x:f>MAX(0,MIN('Activities'!L549,270)-MAX('Activities'!K549,264))</x:f>
        <x:v>0</x:v>
      </x:c>
      <x:c r="AX549" s="23" t="n">
        <x:f>MAX(0,MIN('Activities'!L549,276)-MAX('Activities'!K549,270))</x:f>
        <x:v>0</x:v>
      </x:c>
      <x:c r="AY549" s="23" t="n">
        <x:f>MAX(0,MIN('Activities'!L549,282)-MAX('Activities'!K549,276))</x:f>
        <x:v>0</x:v>
      </x:c>
      <x:c r="AZ549" s="23" t="n">
        <x:f>MAX(0,MIN('Activities'!L549,288)-MAX('Activities'!K549,282))</x:f>
        <x:v>0</x:v>
      </x:c>
      <x:c r="BA549" s="23" t="n">
        <x:f>MAX(0,MIN('Activities'!L549,294)-MAX('Activities'!K549,288))</x:f>
        <x:v>0</x:v>
      </x:c>
      <x:c r="BB549" s="23" t="n">
        <x:f>MAX(0,MIN('Activities'!L549,300)-MAX('Activities'!K549,294))</x:f>
        <x:v>0</x:v>
      </x:c>
      <x:c r="BC549" s="23" t="n">
        <x:f>MAX(0,MIN('Activities'!L549,306)-MAX('Activities'!K549,300))</x:f>
        <x:v>0</x:v>
      </x:c>
      <x:c r="BD549" s="23" t="n">
        <x:f>MAX(0,MIN('Activities'!L549,312)-MAX('Activities'!K549,306))</x:f>
        <x:v>0</x:v>
      </x:c>
      <x:c r="BE549" s="23" t="n">
        <x:f>MAX(0,MIN('Activities'!L549,318)-MAX('Activities'!K549,312))</x:f>
        <x:v>0</x:v>
      </x:c>
      <x:c r="BF549" s="23" t="n">
        <x:f>MAX(0,MIN('Activities'!L549,324)-MAX('Activities'!K549,318))</x:f>
        <x:v>0</x:v>
      </x:c>
      <x:c r="BG549" s="23" t="n">
        <x:f>MAX(0,MIN('Activities'!L549,330)-MAX('Activities'!K549,324))</x:f>
        <x:v>0</x:v>
      </x:c>
      <x:c r="BH549" s="23" t="n">
        <x:f>MAX(0,MIN('Activities'!L549,336)-MAX('Activities'!K549,330))</x:f>
        <x:v>0</x:v>
      </x:c>
      <x:c r="BI549" s="23" t="n">
        <x:f>MAX(0,MIN('Activities'!L549,342)-MAX('Activities'!K549,336))</x:f>
        <x:v>0</x:v>
      </x:c>
      <x:c r="BJ549" s="23" t="n">
        <x:f>MAX(0,MIN('Activities'!L549,348)-MAX('Activities'!K549,342))</x:f>
        <x:v>0</x:v>
      </x:c>
      <x:c r="BK549" s="23" t="n">
        <x:f>MAX(0,MIN('Activities'!L549,354)-MAX('Activities'!K549,348))</x:f>
        <x:v>0</x:v>
      </x:c>
      <x:c r="BL549" s="23" t="n">
        <x:f>MAX(0,MIN('Activities'!L549,360)-MAX('Activities'!K549,354))</x:f>
        <x:v>0</x:v>
      </x:c>
      <x:c r="BM549" s="23" t="n">
        <x:f>MAX(0,MIN('Activities'!L549,366)-MAX('Activities'!K549,360))</x:f>
        <x:v>0</x:v>
      </x:c>
      <x:c r="BN549" s="23" t="n">
        <x:f>MAX(0,MIN('Activities'!L549,372)-MAX('Activities'!K549,366))</x:f>
        <x:v>0</x:v>
      </x:c>
      <x:c r="BO549" s="23" t="n">
        <x:f>MAX(0,MIN('Activities'!L549,378)-MAX('Activities'!K549,372))</x:f>
        <x:v>0</x:v>
      </x:c>
      <x:c r="BP549" s="23" t="n">
        <x:f>MAX(0,MIN('Activities'!L549,384)-MAX('Activities'!K549,378))</x:f>
        <x:v>0</x:v>
      </x:c>
      <x:c r="BQ549" s="23" t="n">
        <x:f>MAX(0,MIN('Activities'!L549,390)-MAX('Activities'!K549,384))</x:f>
        <x:v>0</x:v>
      </x:c>
      <x:c r="BR549" s="23" t="n">
        <x:f>MAX(0,MIN('Activities'!L549,396)-MAX('Activities'!K549,390))</x:f>
        <x:v>0</x:v>
      </x:c>
      <x:c r="BS549" s="23" t="n">
        <x:f>MAX(0,MIN('Activities'!L549,402)-MAX('Activities'!K549,396))</x:f>
        <x:v>0</x:v>
      </x:c>
      <x:c r="BT549" s="23" t="n">
        <x:f>MAX(0,MIN('Activities'!L549,408)-MAX('Activities'!K549,402))</x:f>
        <x:v>0</x:v>
      </x:c>
      <x:c r="BU549" s="23" t="n">
        <x:f>MAX(0,MIN('Activities'!L549,414)-MAX('Activities'!K549,408))</x:f>
        <x:v>0</x:v>
      </x:c>
      <x:c r="BV549" s="23" t="n">
        <x:f>MAX(0,MIN('Activities'!L549,420)-MAX('Activities'!K549,414))</x:f>
        <x:v>0</x:v>
      </x:c>
      <x:c r="BW549" s="23" t="n">
        <x:f>MAX(0,MIN('Activities'!L549,426)-MAX('Activities'!K549,420))</x:f>
        <x:v>0</x:v>
      </x:c>
      <x:c r="BX549" s="23" t="n">
        <x:f>MAX(0,MIN('Activities'!L549,432)-MAX('Activities'!K549,426))</x:f>
        <x:v>0</x:v>
      </x:c>
      <x:c r="BY549" s="23" t="n">
        <x:f>MAX(0,MIN('Activities'!L549,438)-MAX('Activities'!K549,432))</x:f>
        <x:v>0</x:v>
      </x:c>
      <x:c r="BZ549" s="23" t="n">
        <x:f>MAX(0,MIN('Activities'!L549,444)-MAX('Activities'!K549,438))</x:f>
        <x:v>0</x:v>
      </x:c>
      <x:c r="CA549" s="23" t="n">
        <x:f>MAX(0,MIN('Activities'!L549,450)-MAX('Activities'!K549,444))</x:f>
        <x:v>0</x:v>
      </x:c>
      <x:c r="CB549" s="23" t="n">
        <x:f>MAX(0,MIN('Activities'!L549,456)-MAX('Activities'!K549,450))</x:f>
        <x:v>0</x:v>
      </x:c>
      <x:c r="CC549" s="23" t="n">
        <x:f>MAX(0,MIN('Activities'!L549,462)-MAX('Activities'!K549,456))</x:f>
        <x:v>0</x:v>
      </x:c>
      <x:c r="CD549" s="23" t="n">
        <x:f>MAX(0,MIN('Activities'!L549,468)-MAX('Activities'!K549,462))</x:f>
        <x:v>0</x:v>
      </x:c>
      <x:c r="CE549" s="23" t="n">
        <x:f>MAX(0,MIN('Activities'!L549,474)-MAX('Activities'!K549,468))</x:f>
        <x:v>0</x:v>
      </x:c>
      <x:c r="CF549" s="23" t="n">
        <x:f>MAX(0,MIN('Activities'!L549,480)-MAX('Activities'!K549,474))</x:f>
        <x:v>0</x:v>
      </x:c>
      <x:c r="CG549" s="23" t="n">
        <x:f>MAX(0,MIN('Activities'!L549,486)-MAX('Activities'!K549,480))</x:f>
        <x:v>0</x:v>
      </x:c>
      <x:c r="CH549" s="23" t="n">
        <x:f>MAX(0,MIN('Activities'!L549,492)-MAX('Activities'!K549,486))</x:f>
        <x:v>0</x:v>
      </x:c>
      <x:c r="CI549" s="23" t="n">
        <x:f>MAX(0,MIN('Activities'!L549,498)-MAX('Activities'!K549,492))</x:f>
        <x:v>0</x:v>
      </x:c>
      <x:c r="CJ549" s="23" t="n">
        <x:f>MAX(0,MIN('Activities'!L549,504)-MAX('Activities'!K549,498))</x:f>
        <x:v>0</x:v>
      </x:c>
      <x:c r="CK549" s="23" t="n">
        <x:f>MAX(0,MIN('Activities'!L549,510)-MAX('Activities'!K549,504))</x:f>
        <x:v>0</x:v>
      </x:c>
      <x:c r="CL549" s="23" t="n">
        <x:f>MAX(0,MIN('Activities'!L549,516)-MAX('Activities'!K549,510))</x:f>
        <x:v>0</x:v>
      </x:c>
      <x:c r="CM549" s="23" t="n">
        <x:f>MAX(0,MIN('Activities'!L549,522)-MAX('Activities'!K549,516))</x:f>
        <x:v>0</x:v>
      </x:c>
      <x:c r="CN549" s="23" t="n">
        <x:f>MAX(0,MIN('Activities'!L549,528)-MAX('Activities'!K549,522))</x:f>
        <x:v>0</x:v>
      </x:c>
      <x:c r="CO549" s="23" t="n">
        <x:f>MAX(0,MIN('Activities'!L549,534)-MAX('Activities'!K549,528))</x:f>
        <x:v>0</x:v>
      </x:c>
      <x:c r="CP549" s="23" t="n">
        <x:f>MAX(0,MIN('Activities'!L549,540)-MAX('Activities'!K549,534))</x:f>
        <x:v>0</x:v>
      </x:c>
      <x:c r="CQ549" s="23" t="n">
        <x:f>MAX(0,MIN('Activities'!L549,546)-MAX('Activities'!K549,540))</x:f>
        <x:v>0</x:v>
      </x:c>
      <x:c r="CR549" s="23" t="n">
        <x:f>MAX(0,MIN('Activities'!L549,552)-MAX('Activities'!K549,546))</x:f>
        <x:v>0</x:v>
      </x:c>
      <x:c r="CS549" s="23" t="n">
        <x:f>MAX(0,MIN('Activities'!L549,558)-MAX('Activities'!K549,552))</x:f>
        <x:v>0</x:v>
      </x:c>
      <x:c r="CT549" s="23" t="n">
        <x:f>MAX(0,MIN('Activities'!L549,564)-MAX('Activities'!K549,558))</x:f>
        <x:v>0</x:v>
      </x:c>
      <x:c r="CU549" s="23" t="n">
        <x:f>MAX(0,MIN('Activities'!L549,570)-MAX('Activities'!K549,564))</x:f>
        <x:v>0</x:v>
      </x:c>
      <x:c r="CV549" s="23" t="n">
        <x:f>MAX(0,MIN('Activities'!L549,576)-MAX('Activities'!K549,570))</x:f>
        <x:v>0</x:v>
      </x:c>
      <x:c r="CW549" s="23" t="n">
        <x:f>MAX(0,MIN('Activities'!L549,582)-MAX('Activities'!K549,576))</x:f>
        <x:v>0</x:v>
      </x:c>
      <x:c r="CX549" s="23" t="n">
        <x:f>MAX(0,MIN('Activities'!L549,588)-MAX('Activities'!K549,582))</x:f>
        <x:v>0</x:v>
      </x:c>
      <x:c r="CY549" s="23" t="n">
        <x:f>MAX(0,MIN('Activities'!L549,594)-MAX('Activities'!K549,588))</x:f>
        <x:v>0</x:v>
      </x:c>
      <x:c r="CZ549" s="23" t="n">
        <x:f>MAX(0,MIN('Activities'!L549,600)-MAX('Activities'!K549,594))</x:f>
        <x:v>0</x:v>
      </x:c>
      <x:c r="DA549" s="23" t="n">
        <x:f>MAX(0,MIN('Activities'!L549,606)-MAX('Activities'!K549,600))</x:f>
        <x:v>0</x:v>
      </x:c>
      <x:c r="DB549" s="23" t="n">
        <x:f>MAX(0,MIN('Activities'!L549,612)-MAX('Activities'!K549,606))</x:f>
        <x:v>0</x:v>
      </x:c>
      <x:c r="DC549" s="23" t="n">
        <x:f>MAX(0,MIN('Activities'!L549,618)-MAX('Activities'!K549,612))</x:f>
        <x:v>0</x:v>
      </x:c>
      <x:c r="DD549" s="23" t="n">
        <x:f>MAX(0,MIN('Activities'!L549,624)-MAX('Activities'!K549,618))</x:f>
        <x:v>0</x:v>
      </x:c>
      <x:c r="DE549" s="23" t="n">
        <x:f>MAX(0,MIN('Activities'!L549,630)-MAX('Activities'!K549,624))</x:f>
        <x:v>0</x:v>
      </x:c>
      <x:c r="DF549" s="23" t="n">
        <x:f>MAX(0,MIN('Activities'!L549,636)-MAX('Activities'!K549,630))</x:f>
        <x:v>0</x:v>
      </x:c>
    </x:row>
    <x:row r="550" ht="23" customHeight="1">
      <x:c r="A550" s="6" t="str">
        <x:v>T5-L00-C</x:v>
      </x:c>
      <x:c r="B550" s="6" t="str">
        <x:v>T5</x:v>
      </x:c>
      <x:c r="C550" s="6" t="str">
        <x:v>Concrete placement and finishing</x:v>
      </x:c>
      <x:c r="D550" s="6" t="str">
        <x:v>Concrete</x:v>
      </x:c>
      <x:c r="E550" s="22" t="n">
        <x:f>MAX(0,MIN('Activities'!L550,6)-MAX('Activities'!K550,0))</x:f>
        <x:v>0</x:v>
      </x:c>
      <x:c r="F550" s="22" t="n">
        <x:f>MAX(0,MIN('Activities'!L550,12)-MAX('Activities'!K550,6))</x:f>
        <x:v>0</x:v>
      </x:c>
      <x:c r="G550" s="22" t="n">
        <x:f>MAX(0,MIN('Activities'!L550,18)-MAX('Activities'!K550,12))</x:f>
        <x:v>0</x:v>
      </x:c>
      <x:c r="H550" s="22" t="n">
        <x:f>MAX(0,MIN('Activities'!L550,24)-MAX('Activities'!K550,18))</x:f>
        <x:v>0</x:v>
      </x:c>
      <x:c r="I550" s="22" t="n">
        <x:f>MAX(0,MIN('Activities'!L550,30)-MAX('Activities'!K550,24))</x:f>
        <x:v>0</x:v>
      </x:c>
      <x:c r="J550" s="22" t="n">
        <x:f>MAX(0,MIN('Activities'!L550,36)-MAX('Activities'!K550,30))</x:f>
        <x:v>0</x:v>
      </x:c>
      <x:c r="K550" s="22" t="n">
        <x:f>MAX(0,MIN('Activities'!L550,42)-MAX('Activities'!K550,36))</x:f>
        <x:v>0</x:v>
      </x:c>
      <x:c r="L550" s="22" t="n">
        <x:f>MAX(0,MIN('Activities'!L550,48)-MAX('Activities'!K550,42))</x:f>
        <x:v>0</x:v>
      </x:c>
      <x:c r="M550" s="22" t="n">
        <x:f>MAX(0,MIN('Activities'!L550,54)-MAX('Activities'!K550,48))</x:f>
        <x:v>0</x:v>
      </x:c>
      <x:c r="N550" s="22" t="n">
        <x:f>MAX(0,MIN('Activities'!L550,60)-MAX('Activities'!K550,54))</x:f>
        <x:v>0</x:v>
      </x:c>
      <x:c r="O550" s="22" t="n">
        <x:f>MAX(0,MIN('Activities'!L550,66)-MAX('Activities'!K550,60))</x:f>
        <x:v>0</x:v>
      </x:c>
      <x:c r="P550" s="22" t="n">
        <x:f>MAX(0,MIN('Activities'!L550,72)-MAX('Activities'!K550,66))</x:f>
        <x:v>0</x:v>
      </x:c>
      <x:c r="Q550" s="22" t="n">
        <x:f>MAX(0,MIN('Activities'!L550,78)-MAX('Activities'!K550,72))</x:f>
        <x:v>0</x:v>
      </x:c>
      <x:c r="R550" s="22" t="n">
        <x:f>MAX(0,MIN('Activities'!L550,84)-MAX('Activities'!K550,78))</x:f>
        <x:v>0</x:v>
      </x:c>
      <x:c r="S550" s="22" t="n">
        <x:f>MAX(0,MIN('Activities'!L550,90)-MAX('Activities'!K550,84))</x:f>
        <x:v>0</x:v>
      </x:c>
      <x:c r="T550" s="22" t="n">
        <x:f>MAX(0,MIN('Activities'!L550,96)-MAX('Activities'!K550,90))</x:f>
        <x:v>0</x:v>
      </x:c>
      <x:c r="U550" s="22" t="n">
        <x:f>MAX(0,MIN('Activities'!L550,102)-MAX('Activities'!K550,96))</x:f>
        <x:v>0</x:v>
      </x:c>
      <x:c r="V550" s="22" t="n">
        <x:f>MAX(0,MIN('Activities'!L550,108)-MAX('Activities'!K550,102))</x:f>
        <x:v>0</x:v>
      </x:c>
      <x:c r="W550" s="22" t="n">
        <x:f>MAX(0,MIN('Activities'!L550,114)-MAX('Activities'!K550,108))</x:f>
        <x:v>0</x:v>
      </x:c>
      <x:c r="X550" s="22" t="n">
        <x:f>MAX(0,MIN('Activities'!L550,120)-MAX('Activities'!K550,114))</x:f>
        <x:v>0</x:v>
      </x:c>
      <x:c r="Y550" s="22" t="n">
        <x:f>MAX(0,MIN('Activities'!L550,126)-MAX('Activities'!K550,120))</x:f>
        <x:v>0</x:v>
      </x:c>
      <x:c r="Z550" s="22" t="n">
        <x:f>MAX(0,MIN('Activities'!L550,132)-MAX('Activities'!K550,126))</x:f>
        <x:v>0</x:v>
      </x:c>
      <x:c r="AA550" s="22" t="n">
        <x:f>MAX(0,MIN('Activities'!L550,138)-MAX('Activities'!K550,132))</x:f>
        <x:v>0</x:v>
      </x:c>
      <x:c r="AB550" s="22" t="n">
        <x:f>MAX(0,MIN('Activities'!L550,144)-MAX('Activities'!K550,138))</x:f>
        <x:v>0</x:v>
      </x:c>
      <x:c r="AC550" s="22" t="n">
        <x:f>MAX(0,MIN('Activities'!L550,150)-MAX('Activities'!K550,144))</x:f>
        <x:v>0</x:v>
      </x:c>
      <x:c r="AD550" s="22" t="n">
        <x:f>MAX(0,MIN('Activities'!L550,156)-MAX('Activities'!K550,150))</x:f>
        <x:v>0</x:v>
      </x:c>
      <x:c r="AE550" s="22" t="n">
        <x:f>MAX(0,MIN('Activities'!L550,162)-MAX('Activities'!K550,156))</x:f>
        <x:v>0</x:v>
      </x:c>
      <x:c r="AF550" s="22" t="n">
        <x:f>MAX(0,MIN('Activities'!L550,168)-MAX('Activities'!K550,162))</x:f>
        <x:v>0</x:v>
      </x:c>
      <x:c r="AG550" s="22" t="n">
        <x:f>MAX(0,MIN('Activities'!L550,174)-MAX('Activities'!K550,168))</x:f>
        <x:v>0</x:v>
      </x:c>
      <x:c r="AH550" s="22" t="n">
        <x:f>MAX(0,MIN('Activities'!L550,180)-MAX('Activities'!K550,174))</x:f>
        <x:v>0</x:v>
      </x:c>
      <x:c r="AI550" s="22" t="n">
        <x:f>MAX(0,MIN('Activities'!L550,186)-MAX('Activities'!K550,180))</x:f>
        <x:v>0</x:v>
      </x:c>
      <x:c r="AJ550" s="22" t="n">
        <x:f>MAX(0,MIN('Activities'!L550,192)-MAX('Activities'!K550,186))</x:f>
        <x:v>0</x:v>
      </x:c>
      <x:c r="AK550" s="22" t="n">
        <x:f>MAX(0,MIN('Activities'!L550,198)-MAX('Activities'!K550,192))</x:f>
        <x:v>2</x:v>
      </x:c>
      <x:c r="AL550" s="22" t="n">
        <x:f>MAX(0,MIN('Activities'!L550,204)-MAX('Activities'!K550,198))</x:f>
        <x:v>0</x:v>
      </x:c>
      <x:c r="AM550" s="22" t="n">
        <x:f>MAX(0,MIN('Activities'!L550,210)-MAX('Activities'!K550,204))</x:f>
        <x:v>0</x:v>
      </x:c>
      <x:c r="AN550" s="22" t="n">
        <x:f>MAX(0,MIN('Activities'!L550,216)-MAX('Activities'!K550,210))</x:f>
        <x:v>0</x:v>
      </x:c>
      <x:c r="AO550" s="22" t="n">
        <x:f>MAX(0,MIN('Activities'!L550,222)-MAX('Activities'!K550,216))</x:f>
        <x:v>0</x:v>
      </x:c>
      <x:c r="AP550" s="22" t="n">
        <x:f>MAX(0,MIN('Activities'!L550,228)-MAX('Activities'!K550,222))</x:f>
        <x:v>0</x:v>
      </x:c>
      <x:c r="AQ550" s="22" t="n">
        <x:f>MAX(0,MIN('Activities'!L550,234)-MAX('Activities'!K550,228))</x:f>
        <x:v>0</x:v>
      </x:c>
      <x:c r="AR550" s="22" t="n">
        <x:f>MAX(0,MIN('Activities'!L550,240)-MAX('Activities'!K550,234))</x:f>
        <x:v>0</x:v>
      </x:c>
      <x:c r="AS550" s="22" t="n">
        <x:f>MAX(0,MIN('Activities'!L550,246)-MAX('Activities'!K550,240))</x:f>
        <x:v>0</x:v>
      </x:c>
      <x:c r="AT550" s="22" t="n">
        <x:f>MAX(0,MIN('Activities'!L550,252)-MAX('Activities'!K550,246))</x:f>
        <x:v>0</x:v>
      </x:c>
      <x:c r="AU550" s="22" t="n">
        <x:f>MAX(0,MIN('Activities'!L550,258)-MAX('Activities'!K550,252))</x:f>
        <x:v>0</x:v>
      </x:c>
      <x:c r="AV550" s="22" t="n">
        <x:f>MAX(0,MIN('Activities'!L550,264)-MAX('Activities'!K550,258))</x:f>
        <x:v>0</x:v>
      </x:c>
      <x:c r="AW550" s="22" t="n">
        <x:f>MAX(0,MIN('Activities'!L550,270)-MAX('Activities'!K550,264))</x:f>
        <x:v>0</x:v>
      </x:c>
      <x:c r="AX550" s="22" t="n">
        <x:f>MAX(0,MIN('Activities'!L550,276)-MAX('Activities'!K550,270))</x:f>
        <x:v>0</x:v>
      </x:c>
      <x:c r="AY550" s="22" t="n">
        <x:f>MAX(0,MIN('Activities'!L550,282)-MAX('Activities'!K550,276))</x:f>
        <x:v>0</x:v>
      </x:c>
      <x:c r="AZ550" s="22" t="n">
        <x:f>MAX(0,MIN('Activities'!L550,288)-MAX('Activities'!K550,282))</x:f>
        <x:v>0</x:v>
      </x:c>
      <x:c r="BA550" s="22" t="n">
        <x:f>MAX(0,MIN('Activities'!L550,294)-MAX('Activities'!K550,288))</x:f>
        <x:v>0</x:v>
      </x:c>
      <x:c r="BB550" s="22" t="n">
        <x:f>MAX(0,MIN('Activities'!L550,300)-MAX('Activities'!K550,294))</x:f>
        <x:v>0</x:v>
      </x:c>
      <x:c r="BC550" s="22" t="n">
        <x:f>MAX(0,MIN('Activities'!L550,306)-MAX('Activities'!K550,300))</x:f>
        <x:v>0</x:v>
      </x:c>
      <x:c r="BD550" s="22" t="n">
        <x:f>MAX(0,MIN('Activities'!L550,312)-MAX('Activities'!K550,306))</x:f>
        <x:v>0</x:v>
      </x:c>
      <x:c r="BE550" s="22" t="n">
        <x:f>MAX(0,MIN('Activities'!L550,318)-MAX('Activities'!K550,312))</x:f>
        <x:v>0</x:v>
      </x:c>
      <x:c r="BF550" s="22" t="n">
        <x:f>MAX(0,MIN('Activities'!L550,324)-MAX('Activities'!K550,318))</x:f>
        <x:v>0</x:v>
      </x:c>
      <x:c r="BG550" s="22" t="n">
        <x:f>MAX(0,MIN('Activities'!L550,330)-MAX('Activities'!K550,324))</x:f>
        <x:v>0</x:v>
      </x:c>
      <x:c r="BH550" s="22" t="n">
        <x:f>MAX(0,MIN('Activities'!L550,336)-MAX('Activities'!K550,330))</x:f>
        <x:v>0</x:v>
      </x:c>
      <x:c r="BI550" s="22" t="n">
        <x:f>MAX(0,MIN('Activities'!L550,342)-MAX('Activities'!K550,336))</x:f>
        <x:v>0</x:v>
      </x:c>
      <x:c r="BJ550" s="22" t="n">
        <x:f>MAX(0,MIN('Activities'!L550,348)-MAX('Activities'!K550,342))</x:f>
        <x:v>0</x:v>
      </x:c>
      <x:c r="BK550" s="22" t="n">
        <x:f>MAX(0,MIN('Activities'!L550,354)-MAX('Activities'!K550,348))</x:f>
        <x:v>0</x:v>
      </x:c>
      <x:c r="BL550" s="22" t="n">
        <x:f>MAX(0,MIN('Activities'!L550,360)-MAX('Activities'!K550,354))</x:f>
        <x:v>0</x:v>
      </x:c>
      <x:c r="BM550" s="22" t="n">
        <x:f>MAX(0,MIN('Activities'!L550,366)-MAX('Activities'!K550,360))</x:f>
        <x:v>0</x:v>
      </x:c>
      <x:c r="BN550" s="22" t="n">
        <x:f>MAX(0,MIN('Activities'!L550,372)-MAX('Activities'!K550,366))</x:f>
        <x:v>0</x:v>
      </x:c>
      <x:c r="BO550" s="22" t="n">
        <x:f>MAX(0,MIN('Activities'!L550,378)-MAX('Activities'!K550,372))</x:f>
        <x:v>0</x:v>
      </x:c>
      <x:c r="BP550" s="22" t="n">
        <x:f>MAX(0,MIN('Activities'!L550,384)-MAX('Activities'!K550,378))</x:f>
        <x:v>0</x:v>
      </x:c>
      <x:c r="BQ550" s="22" t="n">
        <x:f>MAX(0,MIN('Activities'!L550,390)-MAX('Activities'!K550,384))</x:f>
        <x:v>0</x:v>
      </x:c>
      <x:c r="BR550" s="22" t="n">
        <x:f>MAX(0,MIN('Activities'!L550,396)-MAX('Activities'!K550,390))</x:f>
        <x:v>0</x:v>
      </x:c>
      <x:c r="BS550" s="22" t="n">
        <x:f>MAX(0,MIN('Activities'!L550,402)-MAX('Activities'!K550,396))</x:f>
        <x:v>0</x:v>
      </x:c>
      <x:c r="BT550" s="22" t="n">
        <x:f>MAX(0,MIN('Activities'!L550,408)-MAX('Activities'!K550,402))</x:f>
        <x:v>0</x:v>
      </x:c>
      <x:c r="BU550" s="22" t="n">
        <x:f>MAX(0,MIN('Activities'!L550,414)-MAX('Activities'!K550,408))</x:f>
        <x:v>0</x:v>
      </x:c>
      <x:c r="BV550" s="22" t="n">
        <x:f>MAX(0,MIN('Activities'!L550,420)-MAX('Activities'!K550,414))</x:f>
        <x:v>0</x:v>
      </x:c>
      <x:c r="BW550" s="22" t="n">
        <x:f>MAX(0,MIN('Activities'!L550,426)-MAX('Activities'!K550,420))</x:f>
        <x:v>0</x:v>
      </x:c>
      <x:c r="BX550" s="22" t="n">
        <x:f>MAX(0,MIN('Activities'!L550,432)-MAX('Activities'!K550,426))</x:f>
        <x:v>0</x:v>
      </x:c>
      <x:c r="BY550" s="22" t="n">
        <x:f>MAX(0,MIN('Activities'!L550,438)-MAX('Activities'!K550,432))</x:f>
        <x:v>0</x:v>
      </x:c>
      <x:c r="BZ550" s="22" t="n">
        <x:f>MAX(0,MIN('Activities'!L550,444)-MAX('Activities'!K550,438))</x:f>
        <x:v>0</x:v>
      </x:c>
      <x:c r="CA550" s="22" t="n">
        <x:f>MAX(0,MIN('Activities'!L550,450)-MAX('Activities'!K550,444))</x:f>
        <x:v>0</x:v>
      </x:c>
      <x:c r="CB550" s="22" t="n">
        <x:f>MAX(0,MIN('Activities'!L550,456)-MAX('Activities'!K550,450))</x:f>
        <x:v>0</x:v>
      </x:c>
      <x:c r="CC550" s="22" t="n">
        <x:f>MAX(0,MIN('Activities'!L550,462)-MAX('Activities'!K550,456))</x:f>
        <x:v>0</x:v>
      </x:c>
      <x:c r="CD550" s="22" t="n">
        <x:f>MAX(0,MIN('Activities'!L550,468)-MAX('Activities'!K550,462))</x:f>
        <x:v>0</x:v>
      </x:c>
      <x:c r="CE550" s="22" t="n">
        <x:f>MAX(0,MIN('Activities'!L550,474)-MAX('Activities'!K550,468))</x:f>
        <x:v>0</x:v>
      </x:c>
      <x:c r="CF550" s="22" t="n">
        <x:f>MAX(0,MIN('Activities'!L550,480)-MAX('Activities'!K550,474))</x:f>
        <x:v>0</x:v>
      </x:c>
      <x:c r="CG550" s="22" t="n">
        <x:f>MAX(0,MIN('Activities'!L550,486)-MAX('Activities'!K550,480))</x:f>
        <x:v>0</x:v>
      </x:c>
      <x:c r="CH550" s="22" t="n">
        <x:f>MAX(0,MIN('Activities'!L550,492)-MAX('Activities'!K550,486))</x:f>
        <x:v>0</x:v>
      </x:c>
      <x:c r="CI550" s="22" t="n">
        <x:f>MAX(0,MIN('Activities'!L550,498)-MAX('Activities'!K550,492))</x:f>
        <x:v>0</x:v>
      </x:c>
      <x:c r="CJ550" s="22" t="n">
        <x:f>MAX(0,MIN('Activities'!L550,504)-MAX('Activities'!K550,498))</x:f>
        <x:v>0</x:v>
      </x:c>
      <x:c r="CK550" s="22" t="n">
        <x:f>MAX(0,MIN('Activities'!L550,510)-MAX('Activities'!K550,504))</x:f>
        <x:v>0</x:v>
      </x:c>
      <x:c r="CL550" s="22" t="n">
        <x:f>MAX(0,MIN('Activities'!L550,516)-MAX('Activities'!K550,510))</x:f>
        <x:v>0</x:v>
      </x:c>
      <x:c r="CM550" s="22" t="n">
        <x:f>MAX(0,MIN('Activities'!L550,522)-MAX('Activities'!K550,516))</x:f>
        <x:v>0</x:v>
      </x:c>
      <x:c r="CN550" s="22" t="n">
        <x:f>MAX(0,MIN('Activities'!L550,528)-MAX('Activities'!K550,522))</x:f>
        <x:v>0</x:v>
      </x:c>
      <x:c r="CO550" s="22" t="n">
        <x:f>MAX(0,MIN('Activities'!L550,534)-MAX('Activities'!K550,528))</x:f>
        <x:v>0</x:v>
      </x:c>
      <x:c r="CP550" s="22" t="n">
        <x:f>MAX(0,MIN('Activities'!L550,540)-MAX('Activities'!K550,534))</x:f>
        <x:v>0</x:v>
      </x:c>
      <x:c r="CQ550" s="22" t="n">
        <x:f>MAX(0,MIN('Activities'!L550,546)-MAX('Activities'!K550,540))</x:f>
        <x:v>0</x:v>
      </x:c>
      <x:c r="CR550" s="22" t="n">
        <x:f>MAX(0,MIN('Activities'!L550,552)-MAX('Activities'!K550,546))</x:f>
        <x:v>0</x:v>
      </x:c>
      <x:c r="CS550" s="22" t="n">
        <x:f>MAX(0,MIN('Activities'!L550,558)-MAX('Activities'!K550,552))</x:f>
        <x:v>0</x:v>
      </x:c>
      <x:c r="CT550" s="22" t="n">
        <x:f>MAX(0,MIN('Activities'!L550,564)-MAX('Activities'!K550,558))</x:f>
        <x:v>0</x:v>
      </x:c>
      <x:c r="CU550" s="22" t="n">
        <x:f>MAX(0,MIN('Activities'!L550,570)-MAX('Activities'!K550,564))</x:f>
        <x:v>0</x:v>
      </x:c>
      <x:c r="CV550" s="22" t="n">
        <x:f>MAX(0,MIN('Activities'!L550,576)-MAX('Activities'!K550,570))</x:f>
        <x:v>0</x:v>
      </x:c>
      <x:c r="CW550" s="22" t="n">
        <x:f>MAX(0,MIN('Activities'!L550,582)-MAX('Activities'!K550,576))</x:f>
        <x:v>0</x:v>
      </x:c>
      <x:c r="CX550" s="22" t="n">
        <x:f>MAX(0,MIN('Activities'!L550,588)-MAX('Activities'!K550,582))</x:f>
        <x:v>0</x:v>
      </x:c>
      <x:c r="CY550" s="22" t="n">
        <x:f>MAX(0,MIN('Activities'!L550,594)-MAX('Activities'!K550,588))</x:f>
        <x:v>0</x:v>
      </x:c>
      <x:c r="CZ550" s="22" t="n">
        <x:f>MAX(0,MIN('Activities'!L550,600)-MAX('Activities'!K550,594))</x:f>
        <x:v>0</x:v>
      </x:c>
      <x:c r="DA550" s="22" t="n">
        <x:f>MAX(0,MIN('Activities'!L550,606)-MAX('Activities'!K550,600))</x:f>
        <x:v>0</x:v>
      </x:c>
      <x:c r="DB550" s="22" t="n">
        <x:f>MAX(0,MIN('Activities'!L550,612)-MAX('Activities'!K550,606))</x:f>
        <x:v>0</x:v>
      </x:c>
      <x:c r="DC550" s="22" t="n">
        <x:f>MAX(0,MIN('Activities'!L550,618)-MAX('Activities'!K550,612))</x:f>
        <x:v>0</x:v>
      </x:c>
      <x:c r="DD550" s="22" t="n">
        <x:f>MAX(0,MIN('Activities'!L550,624)-MAX('Activities'!K550,618))</x:f>
        <x:v>0</x:v>
      </x:c>
      <x:c r="DE550" s="22" t="n">
        <x:f>MAX(0,MIN('Activities'!L550,630)-MAX('Activities'!K550,624))</x:f>
        <x:v>0</x:v>
      </x:c>
      <x:c r="DF550" s="22" t="n">
        <x:f>MAX(0,MIN('Activities'!L550,636)-MAX('Activities'!K550,630))</x:f>
        <x:v>0</x:v>
      </x:c>
    </x:row>
    <x:row r="551" ht="23" customHeight="1">
      <x:c r="A551" s="1" t="str">
        <x:v>T5-L00-H</x:v>
      </x:c>
      <x:c r="B551" s="1" t="str">
        <x:v>T5</x:v>
      </x:c>
      <x:c r="C551" s="1" t="str">
        <x:v>Curing and release hold point</x:v>
      </x:c>
      <x:c r="D551" s="1" t="str">
        <x:v>Site</x:v>
      </x:c>
      <x:c r="E551" s="23" t="n">
        <x:f>MAX(0,MIN('Activities'!L551,6)-MAX('Activities'!K551,0))</x:f>
        <x:v>0</x:v>
      </x:c>
      <x:c r="F551" s="23" t="n">
        <x:f>MAX(0,MIN('Activities'!L551,12)-MAX('Activities'!K551,6))</x:f>
        <x:v>0</x:v>
      </x:c>
      <x:c r="G551" s="23" t="n">
        <x:f>MAX(0,MIN('Activities'!L551,18)-MAX('Activities'!K551,12))</x:f>
        <x:v>0</x:v>
      </x:c>
      <x:c r="H551" s="23" t="n">
        <x:f>MAX(0,MIN('Activities'!L551,24)-MAX('Activities'!K551,18))</x:f>
        <x:v>0</x:v>
      </x:c>
      <x:c r="I551" s="23" t="n">
        <x:f>MAX(0,MIN('Activities'!L551,30)-MAX('Activities'!K551,24))</x:f>
        <x:v>0</x:v>
      </x:c>
      <x:c r="J551" s="23" t="n">
        <x:f>MAX(0,MIN('Activities'!L551,36)-MAX('Activities'!K551,30))</x:f>
        <x:v>0</x:v>
      </x:c>
      <x:c r="K551" s="23" t="n">
        <x:f>MAX(0,MIN('Activities'!L551,42)-MAX('Activities'!K551,36))</x:f>
        <x:v>0</x:v>
      </x:c>
      <x:c r="L551" s="23" t="n">
        <x:f>MAX(0,MIN('Activities'!L551,48)-MAX('Activities'!K551,42))</x:f>
        <x:v>0</x:v>
      </x:c>
      <x:c r="M551" s="23" t="n">
        <x:f>MAX(0,MIN('Activities'!L551,54)-MAX('Activities'!K551,48))</x:f>
        <x:v>0</x:v>
      </x:c>
      <x:c r="N551" s="23" t="n">
        <x:f>MAX(0,MIN('Activities'!L551,60)-MAX('Activities'!K551,54))</x:f>
        <x:v>0</x:v>
      </x:c>
      <x:c r="O551" s="23" t="n">
        <x:f>MAX(0,MIN('Activities'!L551,66)-MAX('Activities'!K551,60))</x:f>
        <x:v>0</x:v>
      </x:c>
      <x:c r="P551" s="23" t="n">
        <x:f>MAX(0,MIN('Activities'!L551,72)-MAX('Activities'!K551,66))</x:f>
        <x:v>0</x:v>
      </x:c>
      <x:c r="Q551" s="23" t="n">
        <x:f>MAX(0,MIN('Activities'!L551,78)-MAX('Activities'!K551,72))</x:f>
        <x:v>0</x:v>
      </x:c>
      <x:c r="R551" s="23" t="n">
        <x:f>MAX(0,MIN('Activities'!L551,84)-MAX('Activities'!K551,78))</x:f>
        <x:v>0</x:v>
      </x:c>
      <x:c r="S551" s="23" t="n">
        <x:f>MAX(0,MIN('Activities'!L551,90)-MAX('Activities'!K551,84))</x:f>
        <x:v>0</x:v>
      </x:c>
      <x:c r="T551" s="23" t="n">
        <x:f>MAX(0,MIN('Activities'!L551,96)-MAX('Activities'!K551,90))</x:f>
        <x:v>0</x:v>
      </x:c>
      <x:c r="U551" s="23" t="n">
        <x:f>MAX(0,MIN('Activities'!L551,102)-MAX('Activities'!K551,96))</x:f>
        <x:v>0</x:v>
      </x:c>
      <x:c r="V551" s="23" t="n">
        <x:f>MAX(0,MIN('Activities'!L551,108)-MAX('Activities'!K551,102))</x:f>
        <x:v>0</x:v>
      </x:c>
      <x:c r="W551" s="23" t="n">
        <x:f>MAX(0,MIN('Activities'!L551,114)-MAX('Activities'!K551,108))</x:f>
        <x:v>0</x:v>
      </x:c>
      <x:c r="X551" s="23" t="n">
        <x:f>MAX(0,MIN('Activities'!L551,120)-MAX('Activities'!K551,114))</x:f>
        <x:v>0</x:v>
      </x:c>
      <x:c r="Y551" s="23" t="n">
        <x:f>MAX(0,MIN('Activities'!L551,126)-MAX('Activities'!K551,120))</x:f>
        <x:v>0</x:v>
      </x:c>
      <x:c r="Z551" s="23" t="n">
        <x:f>MAX(0,MIN('Activities'!L551,132)-MAX('Activities'!K551,126))</x:f>
        <x:v>0</x:v>
      </x:c>
      <x:c r="AA551" s="23" t="n">
        <x:f>MAX(0,MIN('Activities'!L551,138)-MAX('Activities'!K551,132))</x:f>
        <x:v>0</x:v>
      </x:c>
      <x:c r="AB551" s="23" t="n">
        <x:f>MAX(0,MIN('Activities'!L551,144)-MAX('Activities'!K551,138))</x:f>
        <x:v>0</x:v>
      </x:c>
      <x:c r="AC551" s="23" t="n">
        <x:f>MAX(0,MIN('Activities'!L551,150)-MAX('Activities'!K551,144))</x:f>
        <x:v>0</x:v>
      </x:c>
      <x:c r="AD551" s="23" t="n">
        <x:f>MAX(0,MIN('Activities'!L551,156)-MAX('Activities'!K551,150))</x:f>
        <x:v>0</x:v>
      </x:c>
      <x:c r="AE551" s="23" t="n">
        <x:f>MAX(0,MIN('Activities'!L551,162)-MAX('Activities'!K551,156))</x:f>
        <x:v>0</x:v>
      </x:c>
      <x:c r="AF551" s="23" t="n">
        <x:f>MAX(0,MIN('Activities'!L551,168)-MAX('Activities'!K551,162))</x:f>
        <x:v>0</x:v>
      </x:c>
      <x:c r="AG551" s="23" t="n">
        <x:f>MAX(0,MIN('Activities'!L551,174)-MAX('Activities'!K551,168))</x:f>
        <x:v>0</x:v>
      </x:c>
      <x:c r="AH551" s="23" t="n">
        <x:f>MAX(0,MIN('Activities'!L551,180)-MAX('Activities'!K551,174))</x:f>
        <x:v>0</x:v>
      </x:c>
      <x:c r="AI551" s="23" t="n">
        <x:f>MAX(0,MIN('Activities'!L551,186)-MAX('Activities'!K551,180))</x:f>
        <x:v>0</x:v>
      </x:c>
      <x:c r="AJ551" s="23" t="n">
        <x:f>MAX(0,MIN('Activities'!L551,192)-MAX('Activities'!K551,186))</x:f>
        <x:v>0</x:v>
      </x:c>
      <x:c r="AK551" s="23" t="n">
        <x:f>MAX(0,MIN('Activities'!L551,198)-MAX('Activities'!K551,192))</x:f>
        <x:v>3</x:v>
      </x:c>
      <x:c r="AL551" s="23" t="n">
        <x:f>MAX(0,MIN('Activities'!L551,204)-MAX('Activities'!K551,198))</x:f>
        <x:v>2</x:v>
      </x:c>
      <x:c r="AM551" s="23" t="n">
        <x:f>MAX(0,MIN('Activities'!L551,210)-MAX('Activities'!K551,204))</x:f>
        <x:v>0</x:v>
      </x:c>
      <x:c r="AN551" s="23" t="n">
        <x:f>MAX(0,MIN('Activities'!L551,216)-MAX('Activities'!K551,210))</x:f>
        <x:v>0</x:v>
      </x:c>
      <x:c r="AO551" s="23" t="n">
        <x:f>MAX(0,MIN('Activities'!L551,222)-MAX('Activities'!K551,216))</x:f>
        <x:v>0</x:v>
      </x:c>
      <x:c r="AP551" s="23" t="n">
        <x:f>MAX(0,MIN('Activities'!L551,228)-MAX('Activities'!K551,222))</x:f>
        <x:v>0</x:v>
      </x:c>
      <x:c r="AQ551" s="23" t="n">
        <x:f>MAX(0,MIN('Activities'!L551,234)-MAX('Activities'!K551,228))</x:f>
        <x:v>0</x:v>
      </x:c>
      <x:c r="AR551" s="23" t="n">
        <x:f>MAX(0,MIN('Activities'!L551,240)-MAX('Activities'!K551,234))</x:f>
        <x:v>0</x:v>
      </x:c>
      <x:c r="AS551" s="23" t="n">
        <x:f>MAX(0,MIN('Activities'!L551,246)-MAX('Activities'!K551,240))</x:f>
        <x:v>0</x:v>
      </x:c>
      <x:c r="AT551" s="23" t="n">
        <x:f>MAX(0,MIN('Activities'!L551,252)-MAX('Activities'!K551,246))</x:f>
        <x:v>0</x:v>
      </x:c>
      <x:c r="AU551" s="23" t="n">
        <x:f>MAX(0,MIN('Activities'!L551,258)-MAX('Activities'!K551,252))</x:f>
        <x:v>0</x:v>
      </x:c>
      <x:c r="AV551" s="23" t="n">
        <x:f>MAX(0,MIN('Activities'!L551,264)-MAX('Activities'!K551,258))</x:f>
        <x:v>0</x:v>
      </x:c>
      <x:c r="AW551" s="23" t="n">
        <x:f>MAX(0,MIN('Activities'!L551,270)-MAX('Activities'!K551,264))</x:f>
        <x:v>0</x:v>
      </x:c>
      <x:c r="AX551" s="23" t="n">
        <x:f>MAX(0,MIN('Activities'!L551,276)-MAX('Activities'!K551,270))</x:f>
        <x:v>0</x:v>
      </x:c>
      <x:c r="AY551" s="23" t="n">
        <x:f>MAX(0,MIN('Activities'!L551,282)-MAX('Activities'!K551,276))</x:f>
        <x:v>0</x:v>
      </x:c>
      <x:c r="AZ551" s="23" t="n">
        <x:f>MAX(0,MIN('Activities'!L551,288)-MAX('Activities'!K551,282))</x:f>
        <x:v>0</x:v>
      </x:c>
      <x:c r="BA551" s="23" t="n">
        <x:f>MAX(0,MIN('Activities'!L551,294)-MAX('Activities'!K551,288))</x:f>
        <x:v>0</x:v>
      </x:c>
      <x:c r="BB551" s="23" t="n">
        <x:f>MAX(0,MIN('Activities'!L551,300)-MAX('Activities'!K551,294))</x:f>
        <x:v>0</x:v>
      </x:c>
      <x:c r="BC551" s="23" t="n">
        <x:f>MAX(0,MIN('Activities'!L551,306)-MAX('Activities'!K551,300))</x:f>
        <x:v>0</x:v>
      </x:c>
      <x:c r="BD551" s="23" t="n">
        <x:f>MAX(0,MIN('Activities'!L551,312)-MAX('Activities'!K551,306))</x:f>
        <x:v>0</x:v>
      </x:c>
      <x:c r="BE551" s="23" t="n">
        <x:f>MAX(0,MIN('Activities'!L551,318)-MAX('Activities'!K551,312))</x:f>
        <x:v>0</x:v>
      </x:c>
      <x:c r="BF551" s="23" t="n">
        <x:f>MAX(0,MIN('Activities'!L551,324)-MAX('Activities'!K551,318))</x:f>
        <x:v>0</x:v>
      </x:c>
      <x:c r="BG551" s="23" t="n">
        <x:f>MAX(0,MIN('Activities'!L551,330)-MAX('Activities'!K551,324))</x:f>
        <x:v>0</x:v>
      </x:c>
      <x:c r="BH551" s="23" t="n">
        <x:f>MAX(0,MIN('Activities'!L551,336)-MAX('Activities'!K551,330))</x:f>
        <x:v>0</x:v>
      </x:c>
      <x:c r="BI551" s="23" t="n">
        <x:f>MAX(0,MIN('Activities'!L551,342)-MAX('Activities'!K551,336))</x:f>
        <x:v>0</x:v>
      </x:c>
      <x:c r="BJ551" s="23" t="n">
        <x:f>MAX(0,MIN('Activities'!L551,348)-MAX('Activities'!K551,342))</x:f>
        <x:v>0</x:v>
      </x:c>
      <x:c r="BK551" s="23" t="n">
        <x:f>MAX(0,MIN('Activities'!L551,354)-MAX('Activities'!K551,348))</x:f>
        <x:v>0</x:v>
      </x:c>
      <x:c r="BL551" s="23" t="n">
        <x:f>MAX(0,MIN('Activities'!L551,360)-MAX('Activities'!K551,354))</x:f>
        <x:v>0</x:v>
      </x:c>
      <x:c r="BM551" s="23" t="n">
        <x:f>MAX(0,MIN('Activities'!L551,366)-MAX('Activities'!K551,360))</x:f>
        <x:v>0</x:v>
      </x:c>
      <x:c r="BN551" s="23" t="n">
        <x:f>MAX(0,MIN('Activities'!L551,372)-MAX('Activities'!K551,366))</x:f>
        <x:v>0</x:v>
      </x:c>
      <x:c r="BO551" s="23" t="n">
        <x:f>MAX(0,MIN('Activities'!L551,378)-MAX('Activities'!K551,372))</x:f>
        <x:v>0</x:v>
      </x:c>
      <x:c r="BP551" s="23" t="n">
        <x:f>MAX(0,MIN('Activities'!L551,384)-MAX('Activities'!K551,378))</x:f>
        <x:v>0</x:v>
      </x:c>
      <x:c r="BQ551" s="23" t="n">
        <x:f>MAX(0,MIN('Activities'!L551,390)-MAX('Activities'!K551,384))</x:f>
        <x:v>0</x:v>
      </x:c>
      <x:c r="BR551" s="23" t="n">
        <x:f>MAX(0,MIN('Activities'!L551,396)-MAX('Activities'!K551,390))</x:f>
        <x:v>0</x:v>
      </x:c>
      <x:c r="BS551" s="23" t="n">
        <x:f>MAX(0,MIN('Activities'!L551,402)-MAX('Activities'!K551,396))</x:f>
        <x:v>0</x:v>
      </x:c>
      <x:c r="BT551" s="23" t="n">
        <x:f>MAX(0,MIN('Activities'!L551,408)-MAX('Activities'!K551,402))</x:f>
        <x:v>0</x:v>
      </x:c>
      <x:c r="BU551" s="23" t="n">
        <x:f>MAX(0,MIN('Activities'!L551,414)-MAX('Activities'!K551,408))</x:f>
        <x:v>0</x:v>
      </x:c>
      <x:c r="BV551" s="23" t="n">
        <x:f>MAX(0,MIN('Activities'!L551,420)-MAX('Activities'!K551,414))</x:f>
        <x:v>0</x:v>
      </x:c>
      <x:c r="BW551" s="23" t="n">
        <x:f>MAX(0,MIN('Activities'!L551,426)-MAX('Activities'!K551,420))</x:f>
        <x:v>0</x:v>
      </x:c>
      <x:c r="BX551" s="23" t="n">
        <x:f>MAX(0,MIN('Activities'!L551,432)-MAX('Activities'!K551,426))</x:f>
        <x:v>0</x:v>
      </x:c>
      <x:c r="BY551" s="23" t="n">
        <x:f>MAX(0,MIN('Activities'!L551,438)-MAX('Activities'!K551,432))</x:f>
        <x:v>0</x:v>
      </x:c>
      <x:c r="BZ551" s="23" t="n">
        <x:f>MAX(0,MIN('Activities'!L551,444)-MAX('Activities'!K551,438))</x:f>
        <x:v>0</x:v>
      </x:c>
      <x:c r="CA551" s="23" t="n">
        <x:f>MAX(0,MIN('Activities'!L551,450)-MAX('Activities'!K551,444))</x:f>
        <x:v>0</x:v>
      </x:c>
      <x:c r="CB551" s="23" t="n">
        <x:f>MAX(0,MIN('Activities'!L551,456)-MAX('Activities'!K551,450))</x:f>
        <x:v>0</x:v>
      </x:c>
      <x:c r="CC551" s="23" t="n">
        <x:f>MAX(0,MIN('Activities'!L551,462)-MAX('Activities'!K551,456))</x:f>
        <x:v>0</x:v>
      </x:c>
      <x:c r="CD551" s="23" t="n">
        <x:f>MAX(0,MIN('Activities'!L551,468)-MAX('Activities'!K551,462))</x:f>
        <x:v>0</x:v>
      </x:c>
      <x:c r="CE551" s="23" t="n">
        <x:f>MAX(0,MIN('Activities'!L551,474)-MAX('Activities'!K551,468))</x:f>
        <x:v>0</x:v>
      </x:c>
      <x:c r="CF551" s="23" t="n">
        <x:f>MAX(0,MIN('Activities'!L551,480)-MAX('Activities'!K551,474))</x:f>
        <x:v>0</x:v>
      </x:c>
      <x:c r="CG551" s="23" t="n">
        <x:f>MAX(0,MIN('Activities'!L551,486)-MAX('Activities'!K551,480))</x:f>
        <x:v>0</x:v>
      </x:c>
      <x:c r="CH551" s="23" t="n">
        <x:f>MAX(0,MIN('Activities'!L551,492)-MAX('Activities'!K551,486))</x:f>
        <x:v>0</x:v>
      </x:c>
      <x:c r="CI551" s="23" t="n">
        <x:f>MAX(0,MIN('Activities'!L551,498)-MAX('Activities'!K551,492))</x:f>
        <x:v>0</x:v>
      </x:c>
      <x:c r="CJ551" s="23" t="n">
        <x:f>MAX(0,MIN('Activities'!L551,504)-MAX('Activities'!K551,498))</x:f>
        <x:v>0</x:v>
      </x:c>
      <x:c r="CK551" s="23" t="n">
        <x:f>MAX(0,MIN('Activities'!L551,510)-MAX('Activities'!K551,504))</x:f>
        <x:v>0</x:v>
      </x:c>
      <x:c r="CL551" s="23" t="n">
        <x:f>MAX(0,MIN('Activities'!L551,516)-MAX('Activities'!K551,510))</x:f>
        <x:v>0</x:v>
      </x:c>
      <x:c r="CM551" s="23" t="n">
        <x:f>MAX(0,MIN('Activities'!L551,522)-MAX('Activities'!K551,516))</x:f>
        <x:v>0</x:v>
      </x:c>
      <x:c r="CN551" s="23" t="n">
        <x:f>MAX(0,MIN('Activities'!L551,528)-MAX('Activities'!K551,522))</x:f>
        <x:v>0</x:v>
      </x:c>
      <x:c r="CO551" s="23" t="n">
        <x:f>MAX(0,MIN('Activities'!L551,534)-MAX('Activities'!K551,528))</x:f>
        <x:v>0</x:v>
      </x:c>
      <x:c r="CP551" s="23" t="n">
        <x:f>MAX(0,MIN('Activities'!L551,540)-MAX('Activities'!K551,534))</x:f>
        <x:v>0</x:v>
      </x:c>
      <x:c r="CQ551" s="23" t="n">
        <x:f>MAX(0,MIN('Activities'!L551,546)-MAX('Activities'!K551,540))</x:f>
        <x:v>0</x:v>
      </x:c>
      <x:c r="CR551" s="23" t="n">
        <x:f>MAX(0,MIN('Activities'!L551,552)-MAX('Activities'!K551,546))</x:f>
        <x:v>0</x:v>
      </x:c>
      <x:c r="CS551" s="23" t="n">
        <x:f>MAX(0,MIN('Activities'!L551,558)-MAX('Activities'!K551,552))</x:f>
        <x:v>0</x:v>
      </x:c>
      <x:c r="CT551" s="23" t="n">
        <x:f>MAX(0,MIN('Activities'!L551,564)-MAX('Activities'!K551,558))</x:f>
        <x:v>0</x:v>
      </x:c>
      <x:c r="CU551" s="23" t="n">
        <x:f>MAX(0,MIN('Activities'!L551,570)-MAX('Activities'!K551,564))</x:f>
        <x:v>0</x:v>
      </x:c>
      <x:c r="CV551" s="23" t="n">
        <x:f>MAX(0,MIN('Activities'!L551,576)-MAX('Activities'!K551,570))</x:f>
        <x:v>0</x:v>
      </x:c>
      <x:c r="CW551" s="23" t="n">
        <x:f>MAX(0,MIN('Activities'!L551,582)-MAX('Activities'!K551,576))</x:f>
        <x:v>0</x:v>
      </x:c>
      <x:c r="CX551" s="23" t="n">
        <x:f>MAX(0,MIN('Activities'!L551,588)-MAX('Activities'!K551,582))</x:f>
        <x:v>0</x:v>
      </x:c>
      <x:c r="CY551" s="23" t="n">
        <x:f>MAX(0,MIN('Activities'!L551,594)-MAX('Activities'!K551,588))</x:f>
        <x:v>0</x:v>
      </x:c>
      <x:c r="CZ551" s="23" t="n">
        <x:f>MAX(0,MIN('Activities'!L551,600)-MAX('Activities'!K551,594))</x:f>
        <x:v>0</x:v>
      </x:c>
      <x:c r="DA551" s="23" t="n">
        <x:f>MAX(0,MIN('Activities'!L551,606)-MAX('Activities'!K551,600))</x:f>
        <x:v>0</x:v>
      </x:c>
      <x:c r="DB551" s="23" t="n">
        <x:f>MAX(0,MIN('Activities'!L551,612)-MAX('Activities'!K551,606))</x:f>
        <x:v>0</x:v>
      </x:c>
      <x:c r="DC551" s="23" t="n">
        <x:f>MAX(0,MIN('Activities'!L551,618)-MAX('Activities'!K551,612))</x:f>
        <x:v>0</x:v>
      </x:c>
      <x:c r="DD551" s="23" t="n">
        <x:f>MAX(0,MIN('Activities'!L551,624)-MAX('Activities'!K551,618))</x:f>
        <x:v>0</x:v>
      </x:c>
      <x:c r="DE551" s="23" t="n">
        <x:f>MAX(0,MIN('Activities'!L551,630)-MAX('Activities'!K551,624))</x:f>
        <x:v>0</x:v>
      </x:c>
      <x:c r="DF551" s="23" t="n">
        <x:f>MAX(0,MIN('Activities'!L551,636)-MAX('Activities'!K551,630))</x:f>
        <x:v>0</x:v>
      </x:c>
    </x:row>
    <x:row r="552" ht="23" customHeight="1">
      <x:c r="A552" s="6" t="str">
        <x:v>T5-L01-F</x:v>
      </x:c>
      <x:c r="B552" s="6" t="str">
        <x:v>T5</x:v>
      </x:c>
      <x:c r="C552" s="6" t="str">
        <x:v>Columns, core and deck formwork</x:v>
      </x:c>
      <x:c r="D552" s="6" t="str">
        <x:v>Formwork</x:v>
      </x:c>
      <x:c r="E552" s="22" t="n">
        <x:f>MAX(0,MIN('Activities'!L552,6)-MAX('Activities'!K552,0))</x:f>
        <x:v>0</x:v>
      </x:c>
      <x:c r="F552" s="22" t="n">
        <x:f>MAX(0,MIN('Activities'!L552,12)-MAX('Activities'!K552,6))</x:f>
        <x:v>0</x:v>
      </x:c>
      <x:c r="G552" s="22" t="n">
        <x:f>MAX(0,MIN('Activities'!L552,18)-MAX('Activities'!K552,12))</x:f>
        <x:v>0</x:v>
      </x:c>
      <x:c r="H552" s="22" t="n">
        <x:f>MAX(0,MIN('Activities'!L552,24)-MAX('Activities'!K552,18))</x:f>
        <x:v>0</x:v>
      </x:c>
      <x:c r="I552" s="22" t="n">
        <x:f>MAX(0,MIN('Activities'!L552,30)-MAX('Activities'!K552,24))</x:f>
        <x:v>0</x:v>
      </x:c>
      <x:c r="J552" s="22" t="n">
        <x:f>MAX(0,MIN('Activities'!L552,36)-MAX('Activities'!K552,30))</x:f>
        <x:v>0</x:v>
      </x:c>
      <x:c r="K552" s="22" t="n">
        <x:f>MAX(0,MIN('Activities'!L552,42)-MAX('Activities'!K552,36))</x:f>
        <x:v>0</x:v>
      </x:c>
      <x:c r="L552" s="22" t="n">
        <x:f>MAX(0,MIN('Activities'!L552,48)-MAX('Activities'!K552,42))</x:f>
        <x:v>0</x:v>
      </x:c>
      <x:c r="M552" s="22" t="n">
        <x:f>MAX(0,MIN('Activities'!L552,54)-MAX('Activities'!K552,48))</x:f>
        <x:v>0</x:v>
      </x:c>
      <x:c r="N552" s="22" t="n">
        <x:f>MAX(0,MIN('Activities'!L552,60)-MAX('Activities'!K552,54))</x:f>
        <x:v>0</x:v>
      </x:c>
      <x:c r="O552" s="22" t="n">
        <x:f>MAX(0,MIN('Activities'!L552,66)-MAX('Activities'!K552,60))</x:f>
        <x:v>0</x:v>
      </x:c>
      <x:c r="P552" s="22" t="n">
        <x:f>MAX(0,MIN('Activities'!L552,72)-MAX('Activities'!K552,66))</x:f>
        <x:v>0</x:v>
      </x:c>
      <x:c r="Q552" s="22" t="n">
        <x:f>MAX(0,MIN('Activities'!L552,78)-MAX('Activities'!K552,72))</x:f>
        <x:v>0</x:v>
      </x:c>
      <x:c r="R552" s="22" t="n">
        <x:f>MAX(0,MIN('Activities'!L552,84)-MAX('Activities'!K552,78))</x:f>
        <x:v>0</x:v>
      </x:c>
      <x:c r="S552" s="22" t="n">
        <x:f>MAX(0,MIN('Activities'!L552,90)-MAX('Activities'!K552,84))</x:f>
        <x:v>0</x:v>
      </x:c>
      <x:c r="T552" s="22" t="n">
        <x:f>MAX(0,MIN('Activities'!L552,96)-MAX('Activities'!K552,90))</x:f>
        <x:v>0</x:v>
      </x:c>
      <x:c r="U552" s="22" t="n">
        <x:f>MAX(0,MIN('Activities'!L552,102)-MAX('Activities'!K552,96))</x:f>
        <x:v>0</x:v>
      </x:c>
      <x:c r="V552" s="22" t="n">
        <x:f>MAX(0,MIN('Activities'!L552,108)-MAX('Activities'!K552,102))</x:f>
        <x:v>0</x:v>
      </x:c>
      <x:c r="W552" s="22" t="n">
        <x:f>MAX(0,MIN('Activities'!L552,114)-MAX('Activities'!K552,108))</x:f>
        <x:v>0</x:v>
      </x:c>
      <x:c r="X552" s="22" t="n">
        <x:f>MAX(0,MIN('Activities'!L552,120)-MAX('Activities'!K552,114))</x:f>
        <x:v>0</x:v>
      </x:c>
      <x:c r="Y552" s="22" t="n">
        <x:f>MAX(0,MIN('Activities'!L552,126)-MAX('Activities'!K552,120))</x:f>
        <x:v>0</x:v>
      </x:c>
      <x:c r="Z552" s="22" t="n">
        <x:f>MAX(0,MIN('Activities'!L552,132)-MAX('Activities'!K552,126))</x:f>
        <x:v>0</x:v>
      </x:c>
      <x:c r="AA552" s="22" t="n">
        <x:f>MAX(0,MIN('Activities'!L552,138)-MAX('Activities'!K552,132))</x:f>
        <x:v>0</x:v>
      </x:c>
      <x:c r="AB552" s="22" t="n">
        <x:f>MAX(0,MIN('Activities'!L552,144)-MAX('Activities'!K552,138))</x:f>
        <x:v>0</x:v>
      </x:c>
      <x:c r="AC552" s="22" t="n">
        <x:f>MAX(0,MIN('Activities'!L552,150)-MAX('Activities'!K552,144))</x:f>
        <x:v>0</x:v>
      </x:c>
      <x:c r="AD552" s="22" t="n">
        <x:f>MAX(0,MIN('Activities'!L552,156)-MAX('Activities'!K552,150))</x:f>
        <x:v>0</x:v>
      </x:c>
      <x:c r="AE552" s="22" t="n">
        <x:f>MAX(0,MIN('Activities'!L552,162)-MAX('Activities'!K552,156))</x:f>
        <x:v>0</x:v>
      </x:c>
      <x:c r="AF552" s="22" t="n">
        <x:f>MAX(0,MIN('Activities'!L552,168)-MAX('Activities'!K552,162))</x:f>
        <x:v>0</x:v>
      </x:c>
      <x:c r="AG552" s="22" t="n">
        <x:f>MAX(0,MIN('Activities'!L552,174)-MAX('Activities'!K552,168))</x:f>
        <x:v>0</x:v>
      </x:c>
      <x:c r="AH552" s="22" t="n">
        <x:f>MAX(0,MIN('Activities'!L552,180)-MAX('Activities'!K552,174))</x:f>
        <x:v>0</x:v>
      </x:c>
      <x:c r="AI552" s="22" t="n">
        <x:f>MAX(0,MIN('Activities'!L552,186)-MAX('Activities'!K552,180))</x:f>
        <x:v>0</x:v>
      </x:c>
      <x:c r="AJ552" s="22" t="n">
        <x:f>MAX(0,MIN('Activities'!L552,192)-MAX('Activities'!K552,186))</x:f>
        <x:v>0</x:v>
      </x:c>
      <x:c r="AK552" s="22" t="n">
        <x:f>MAX(0,MIN('Activities'!L552,198)-MAX('Activities'!K552,192))</x:f>
        <x:v>0</x:v>
      </x:c>
      <x:c r="AL552" s="22" t="n">
        <x:f>MAX(0,MIN('Activities'!L552,204)-MAX('Activities'!K552,198))</x:f>
        <x:v>4</x:v>
      </x:c>
      <x:c r="AM552" s="22" t="n">
        <x:f>MAX(0,MIN('Activities'!L552,210)-MAX('Activities'!K552,204))</x:f>
        <x:v>2</x:v>
      </x:c>
      <x:c r="AN552" s="22" t="n">
        <x:f>MAX(0,MIN('Activities'!L552,216)-MAX('Activities'!K552,210))</x:f>
        <x:v>0</x:v>
      </x:c>
      <x:c r="AO552" s="22" t="n">
        <x:f>MAX(0,MIN('Activities'!L552,222)-MAX('Activities'!K552,216))</x:f>
        <x:v>0</x:v>
      </x:c>
      <x:c r="AP552" s="22" t="n">
        <x:f>MAX(0,MIN('Activities'!L552,228)-MAX('Activities'!K552,222))</x:f>
        <x:v>0</x:v>
      </x:c>
      <x:c r="AQ552" s="22" t="n">
        <x:f>MAX(0,MIN('Activities'!L552,234)-MAX('Activities'!K552,228))</x:f>
        <x:v>0</x:v>
      </x:c>
      <x:c r="AR552" s="22" t="n">
        <x:f>MAX(0,MIN('Activities'!L552,240)-MAX('Activities'!K552,234))</x:f>
        <x:v>0</x:v>
      </x:c>
      <x:c r="AS552" s="22" t="n">
        <x:f>MAX(0,MIN('Activities'!L552,246)-MAX('Activities'!K552,240))</x:f>
        <x:v>0</x:v>
      </x:c>
      <x:c r="AT552" s="22" t="n">
        <x:f>MAX(0,MIN('Activities'!L552,252)-MAX('Activities'!K552,246))</x:f>
        <x:v>0</x:v>
      </x:c>
      <x:c r="AU552" s="22" t="n">
        <x:f>MAX(0,MIN('Activities'!L552,258)-MAX('Activities'!K552,252))</x:f>
        <x:v>0</x:v>
      </x:c>
      <x:c r="AV552" s="22" t="n">
        <x:f>MAX(0,MIN('Activities'!L552,264)-MAX('Activities'!K552,258))</x:f>
        <x:v>0</x:v>
      </x:c>
      <x:c r="AW552" s="22" t="n">
        <x:f>MAX(0,MIN('Activities'!L552,270)-MAX('Activities'!K552,264))</x:f>
        <x:v>0</x:v>
      </x:c>
      <x:c r="AX552" s="22" t="n">
        <x:f>MAX(0,MIN('Activities'!L552,276)-MAX('Activities'!K552,270))</x:f>
        <x:v>0</x:v>
      </x:c>
      <x:c r="AY552" s="22" t="n">
        <x:f>MAX(0,MIN('Activities'!L552,282)-MAX('Activities'!K552,276))</x:f>
        <x:v>0</x:v>
      </x:c>
      <x:c r="AZ552" s="22" t="n">
        <x:f>MAX(0,MIN('Activities'!L552,288)-MAX('Activities'!K552,282))</x:f>
        <x:v>0</x:v>
      </x:c>
      <x:c r="BA552" s="22" t="n">
        <x:f>MAX(0,MIN('Activities'!L552,294)-MAX('Activities'!K552,288))</x:f>
        <x:v>0</x:v>
      </x:c>
      <x:c r="BB552" s="22" t="n">
        <x:f>MAX(0,MIN('Activities'!L552,300)-MAX('Activities'!K552,294))</x:f>
        <x:v>0</x:v>
      </x:c>
      <x:c r="BC552" s="22" t="n">
        <x:f>MAX(0,MIN('Activities'!L552,306)-MAX('Activities'!K552,300))</x:f>
        <x:v>0</x:v>
      </x:c>
      <x:c r="BD552" s="22" t="n">
        <x:f>MAX(0,MIN('Activities'!L552,312)-MAX('Activities'!K552,306))</x:f>
        <x:v>0</x:v>
      </x:c>
      <x:c r="BE552" s="22" t="n">
        <x:f>MAX(0,MIN('Activities'!L552,318)-MAX('Activities'!K552,312))</x:f>
        <x:v>0</x:v>
      </x:c>
      <x:c r="BF552" s="22" t="n">
        <x:f>MAX(0,MIN('Activities'!L552,324)-MAX('Activities'!K552,318))</x:f>
        <x:v>0</x:v>
      </x:c>
      <x:c r="BG552" s="22" t="n">
        <x:f>MAX(0,MIN('Activities'!L552,330)-MAX('Activities'!K552,324))</x:f>
        <x:v>0</x:v>
      </x:c>
      <x:c r="BH552" s="22" t="n">
        <x:f>MAX(0,MIN('Activities'!L552,336)-MAX('Activities'!K552,330))</x:f>
        <x:v>0</x:v>
      </x:c>
      <x:c r="BI552" s="22" t="n">
        <x:f>MAX(0,MIN('Activities'!L552,342)-MAX('Activities'!K552,336))</x:f>
        <x:v>0</x:v>
      </x:c>
      <x:c r="BJ552" s="22" t="n">
        <x:f>MAX(0,MIN('Activities'!L552,348)-MAX('Activities'!K552,342))</x:f>
        <x:v>0</x:v>
      </x:c>
      <x:c r="BK552" s="22" t="n">
        <x:f>MAX(0,MIN('Activities'!L552,354)-MAX('Activities'!K552,348))</x:f>
        <x:v>0</x:v>
      </x:c>
      <x:c r="BL552" s="22" t="n">
        <x:f>MAX(0,MIN('Activities'!L552,360)-MAX('Activities'!K552,354))</x:f>
        <x:v>0</x:v>
      </x:c>
      <x:c r="BM552" s="22" t="n">
        <x:f>MAX(0,MIN('Activities'!L552,366)-MAX('Activities'!K552,360))</x:f>
        <x:v>0</x:v>
      </x:c>
      <x:c r="BN552" s="22" t="n">
        <x:f>MAX(0,MIN('Activities'!L552,372)-MAX('Activities'!K552,366))</x:f>
        <x:v>0</x:v>
      </x:c>
      <x:c r="BO552" s="22" t="n">
        <x:f>MAX(0,MIN('Activities'!L552,378)-MAX('Activities'!K552,372))</x:f>
        <x:v>0</x:v>
      </x:c>
      <x:c r="BP552" s="22" t="n">
        <x:f>MAX(0,MIN('Activities'!L552,384)-MAX('Activities'!K552,378))</x:f>
        <x:v>0</x:v>
      </x:c>
      <x:c r="BQ552" s="22" t="n">
        <x:f>MAX(0,MIN('Activities'!L552,390)-MAX('Activities'!K552,384))</x:f>
        <x:v>0</x:v>
      </x:c>
      <x:c r="BR552" s="22" t="n">
        <x:f>MAX(0,MIN('Activities'!L552,396)-MAX('Activities'!K552,390))</x:f>
        <x:v>0</x:v>
      </x:c>
      <x:c r="BS552" s="22" t="n">
        <x:f>MAX(0,MIN('Activities'!L552,402)-MAX('Activities'!K552,396))</x:f>
        <x:v>0</x:v>
      </x:c>
      <x:c r="BT552" s="22" t="n">
        <x:f>MAX(0,MIN('Activities'!L552,408)-MAX('Activities'!K552,402))</x:f>
        <x:v>0</x:v>
      </x:c>
      <x:c r="BU552" s="22" t="n">
        <x:f>MAX(0,MIN('Activities'!L552,414)-MAX('Activities'!K552,408))</x:f>
        <x:v>0</x:v>
      </x:c>
      <x:c r="BV552" s="22" t="n">
        <x:f>MAX(0,MIN('Activities'!L552,420)-MAX('Activities'!K552,414))</x:f>
        <x:v>0</x:v>
      </x:c>
      <x:c r="BW552" s="22" t="n">
        <x:f>MAX(0,MIN('Activities'!L552,426)-MAX('Activities'!K552,420))</x:f>
        <x:v>0</x:v>
      </x:c>
      <x:c r="BX552" s="22" t="n">
        <x:f>MAX(0,MIN('Activities'!L552,432)-MAX('Activities'!K552,426))</x:f>
        <x:v>0</x:v>
      </x:c>
      <x:c r="BY552" s="22" t="n">
        <x:f>MAX(0,MIN('Activities'!L552,438)-MAX('Activities'!K552,432))</x:f>
        <x:v>0</x:v>
      </x:c>
      <x:c r="BZ552" s="22" t="n">
        <x:f>MAX(0,MIN('Activities'!L552,444)-MAX('Activities'!K552,438))</x:f>
        <x:v>0</x:v>
      </x:c>
      <x:c r="CA552" s="22" t="n">
        <x:f>MAX(0,MIN('Activities'!L552,450)-MAX('Activities'!K552,444))</x:f>
        <x:v>0</x:v>
      </x:c>
      <x:c r="CB552" s="22" t="n">
        <x:f>MAX(0,MIN('Activities'!L552,456)-MAX('Activities'!K552,450))</x:f>
        <x:v>0</x:v>
      </x:c>
      <x:c r="CC552" s="22" t="n">
        <x:f>MAX(0,MIN('Activities'!L552,462)-MAX('Activities'!K552,456))</x:f>
        <x:v>0</x:v>
      </x:c>
      <x:c r="CD552" s="22" t="n">
        <x:f>MAX(0,MIN('Activities'!L552,468)-MAX('Activities'!K552,462))</x:f>
        <x:v>0</x:v>
      </x:c>
      <x:c r="CE552" s="22" t="n">
        <x:f>MAX(0,MIN('Activities'!L552,474)-MAX('Activities'!K552,468))</x:f>
        <x:v>0</x:v>
      </x:c>
      <x:c r="CF552" s="22" t="n">
        <x:f>MAX(0,MIN('Activities'!L552,480)-MAX('Activities'!K552,474))</x:f>
        <x:v>0</x:v>
      </x:c>
      <x:c r="CG552" s="22" t="n">
        <x:f>MAX(0,MIN('Activities'!L552,486)-MAX('Activities'!K552,480))</x:f>
        <x:v>0</x:v>
      </x:c>
      <x:c r="CH552" s="22" t="n">
        <x:f>MAX(0,MIN('Activities'!L552,492)-MAX('Activities'!K552,486))</x:f>
        <x:v>0</x:v>
      </x:c>
      <x:c r="CI552" s="22" t="n">
        <x:f>MAX(0,MIN('Activities'!L552,498)-MAX('Activities'!K552,492))</x:f>
        <x:v>0</x:v>
      </x:c>
      <x:c r="CJ552" s="22" t="n">
        <x:f>MAX(0,MIN('Activities'!L552,504)-MAX('Activities'!K552,498))</x:f>
        <x:v>0</x:v>
      </x:c>
      <x:c r="CK552" s="22" t="n">
        <x:f>MAX(0,MIN('Activities'!L552,510)-MAX('Activities'!K552,504))</x:f>
        <x:v>0</x:v>
      </x:c>
      <x:c r="CL552" s="22" t="n">
        <x:f>MAX(0,MIN('Activities'!L552,516)-MAX('Activities'!K552,510))</x:f>
        <x:v>0</x:v>
      </x:c>
      <x:c r="CM552" s="22" t="n">
        <x:f>MAX(0,MIN('Activities'!L552,522)-MAX('Activities'!K552,516))</x:f>
        <x:v>0</x:v>
      </x:c>
      <x:c r="CN552" s="22" t="n">
        <x:f>MAX(0,MIN('Activities'!L552,528)-MAX('Activities'!K552,522))</x:f>
        <x:v>0</x:v>
      </x:c>
      <x:c r="CO552" s="22" t="n">
        <x:f>MAX(0,MIN('Activities'!L552,534)-MAX('Activities'!K552,528))</x:f>
        <x:v>0</x:v>
      </x:c>
      <x:c r="CP552" s="22" t="n">
        <x:f>MAX(0,MIN('Activities'!L552,540)-MAX('Activities'!K552,534))</x:f>
        <x:v>0</x:v>
      </x:c>
      <x:c r="CQ552" s="22" t="n">
        <x:f>MAX(0,MIN('Activities'!L552,546)-MAX('Activities'!K552,540))</x:f>
        <x:v>0</x:v>
      </x:c>
      <x:c r="CR552" s="22" t="n">
        <x:f>MAX(0,MIN('Activities'!L552,552)-MAX('Activities'!K552,546))</x:f>
        <x:v>0</x:v>
      </x:c>
      <x:c r="CS552" s="22" t="n">
        <x:f>MAX(0,MIN('Activities'!L552,558)-MAX('Activities'!K552,552))</x:f>
        <x:v>0</x:v>
      </x:c>
      <x:c r="CT552" s="22" t="n">
        <x:f>MAX(0,MIN('Activities'!L552,564)-MAX('Activities'!K552,558))</x:f>
        <x:v>0</x:v>
      </x:c>
      <x:c r="CU552" s="22" t="n">
        <x:f>MAX(0,MIN('Activities'!L552,570)-MAX('Activities'!K552,564))</x:f>
        <x:v>0</x:v>
      </x:c>
      <x:c r="CV552" s="22" t="n">
        <x:f>MAX(0,MIN('Activities'!L552,576)-MAX('Activities'!K552,570))</x:f>
        <x:v>0</x:v>
      </x:c>
      <x:c r="CW552" s="22" t="n">
        <x:f>MAX(0,MIN('Activities'!L552,582)-MAX('Activities'!K552,576))</x:f>
        <x:v>0</x:v>
      </x:c>
      <x:c r="CX552" s="22" t="n">
        <x:f>MAX(0,MIN('Activities'!L552,588)-MAX('Activities'!K552,582))</x:f>
        <x:v>0</x:v>
      </x:c>
      <x:c r="CY552" s="22" t="n">
        <x:f>MAX(0,MIN('Activities'!L552,594)-MAX('Activities'!K552,588))</x:f>
        <x:v>0</x:v>
      </x:c>
      <x:c r="CZ552" s="22" t="n">
        <x:f>MAX(0,MIN('Activities'!L552,600)-MAX('Activities'!K552,594))</x:f>
        <x:v>0</x:v>
      </x:c>
      <x:c r="DA552" s="22" t="n">
        <x:f>MAX(0,MIN('Activities'!L552,606)-MAX('Activities'!K552,600))</x:f>
        <x:v>0</x:v>
      </x:c>
      <x:c r="DB552" s="22" t="n">
        <x:f>MAX(0,MIN('Activities'!L552,612)-MAX('Activities'!K552,606))</x:f>
        <x:v>0</x:v>
      </x:c>
      <x:c r="DC552" s="22" t="n">
        <x:f>MAX(0,MIN('Activities'!L552,618)-MAX('Activities'!K552,612))</x:f>
        <x:v>0</x:v>
      </x:c>
      <x:c r="DD552" s="22" t="n">
        <x:f>MAX(0,MIN('Activities'!L552,624)-MAX('Activities'!K552,618))</x:f>
        <x:v>0</x:v>
      </x:c>
      <x:c r="DE552" s="22" t="n">
        <x:f>MAX(0,MIN('Activities'!L552,630)-MAX('Activities'!K552,624))</x:f>
        <x:v>0</x:v>
      </x:c>
      <x:c r="DF552" s="22" t="n">
        <x:f>MAX(0,MIN('Activities'!L552,636)-MAX('Activities'!K552,630))</x:f>
        <x:v>0</x:v>
      </x:c>
    </x:row>
    <x:row r="553" ht="23" customHeight="1">
      <x:c r="A553" s="1" t="str">
        <x:v>T5-L01-R</x:v>
      </x:c>
      <x:c r="B553" s="1" t="str">
        <x:v>T5</x:v>
      </x:c>
      <x:c r="C553" s="1" t="str">
        <x:v>Column, wall, beam and slab reinforcement</x:v>
      </x:c>
      <x:c r="D553" s="1" t="str">
        <x:v>Rebar</x:v>
      </x:c>
      <x:c r="E553" s="23" t="n">
        <x:f>MAX(0,MIN('Activities'!L553,6)-MAX('Activities'!K553,0))</x:f>
        <x:v>0</x:v>
      </x:c>
      <x:c r="F553" s="23" t="n">
        <x:f>MAX(0,MIN('Activities'!L553,12)-MAX('Activities'!K553,6))</x:f>
        <x:v>0</x:v>
      </x:c>
      <x:c r="G553" s="23" t="n">
        <x:f>MAX(0,MIN('Activities'!L553,18)-MAX('Activities'!K553,12))</x:f>
        <x:v>0</x:v>
      </x:c>
      <x:c r="H553" s="23" t="n">
        <x:f>MAX(0,MIN('Activities'!L553,24)-MAX('Activities'!K553,18))</x:f>
        <x:v>0</x:v>
      </x:c>
      <x:c r="I553" s="23" t="n">
        <x:f>MAX(0,MIN('Activities'!L553,30)-MAX('Activities'!K553,24))</x:f>
        <x:v>0</x:v>
      </x:c>
      <x:c r="J553" s="23" t="n">
        <x:f>MAX(0,MIN('Activities'!L553,36)-MAX('Activities'!K553,30))</x:f>
        <x:v>0</x:v>
      </x:c>
      <x:c r="K553" s="23" t="n">
        <x:f>MAX(0,MIN('Activities'!L553,42)-MAX('Activities'!K553,36))</x:f>
        <x:v>0</x:v>
      </x:c>
      <x:c r="L553" s="23" t="n">
        <x:f>MAX(0,MIN('Activities'!L553,48)-MAX('Activities'!K553,42))</x:f>
        <x:v>0</x:v>
      </x:c>
      <x:c r="M553" s="23" t="n">
        <x:f>MAX(0,MIN('Activities'!L553,54)-MAX('Activities'!K553,48))</x:f>
        <x:v>0</x:v>
      </x:c>
      <x:c r="N553" s="23" t="n">
        <x:f>MAX(0,MIN('Activities'!L553,60)-MAX('Activities'!K553,54))</x:f>
        <x:v>0</x:v>
      </x:c>
      <x:c r="O553" s="23" t="n">
        <x:f>MAX(0,MIN('Activities'!L553,66)-MAX('Activities'!K553,60))</x:f>
        <x:v>0</x:v>
      </x:c>
      <x:c r="P553" s="23" t="n">
        <x:f>MAX(0,MIN('Activities'!L553,72)-MAX('Activities'!K553,66))</x:f>
        <x:v>0</x:v>
      </x:c>
      <x:c r="Q553" s="23" t="n">
        <x:f>MAX(0,MIN('Activities'!L553,78)-MAX('Activities'!K553,72))</x:f>
        <x:v>0</x:v>
      </x:c>
      <x:c r="R553" s="23" t="n">
        <x:f>MAX(0,MIN('Activities'!L553,84)-MAX('Activities'!K553,78))</x:f>
        <x:v>0</x:v>
      </x:c>
      <x:c r="S553" s="23" t="n">
        <x:f>MAX(0,MIN('Activities'!L553,90)-MAX('Activities'!K553,84))</x:f>
        <x:v>0</x:v>
      </x:c>
      <x:c r="T553" s="23" t="n">
        <x:f>MAX(0,MIN('Activities'!L553,96)-MAX('Activities'!K553,90))</x:f>
        <x:v>0</x:v>
      </x:c>
      <x:c r="U553" s="23" t="n">
        <x:f>MAX(0,MIN('Activities'!L553,102)-MAX('Activities'!K553,96))</x:f>
        <x:v>0</x:v>
      </x:c>
      <x:c r="V553" s="23" t="n">
        <x:f>MAX(0,MIN('Activities'!L553,108)-MAX('Activities'!K553,102))</x:f>
        <x:v>0</x:v>
      </x:c>
      <x:c r="W553" s="23" t="n">
        <x:f>MAX(0,MIN('Activities'!L553,114)-MAX('Activities'!K553,108))</x:f>
        <x:v>0</x:v>
      </x:c>
      <x:c r="X553" s="23" t="n">
        <x:f>MAX(0,MIN('Activities'!L553,120)-MAX('Activities'!K553,114))</x:f>
        <x:v>0</x:v>
      </x:c>
      <x:c r="Y553" s="23" t="n">
        <x:f>MAX(0,MIN('Activities'!L553,126)-MAX('Activities'!K553,120))</x:f>
        <x:v>0</x:v>
      </x:c>
      <x:c r="Z553" s="23" t="n">
        <x:f>MAX(0,MIN('Activities'!L553,132)-MAX('Activities'!K553,126))</x:f>
        <x:v>0</x:v>
      </x:c>
      <x:c r="AA553" s="23" t="n">
        <x:f>MAX(0,MIN('Activities'!L553,138)-MAX('Activities'!K553,132))</x:f>
        <x:v>0</x:v>
      </x:c>
      <x:c r="AB553" s="23" t="n">
        <x:f>MAX(0,MIN('Activities'!L553,144)-MAX('Activities'!K553,138))</x:f>
        <x:v>0</x:v>
      </x:c>
      <x:c r="AC553" s="23" t="n">
        <x:f>MAX(0,MIN('Activities'!L553,150)-MAX('Activities'!K553,144))</x:f>
        <x:v>0</x:v>
      </x:c>
      <x:c r="AD553" s="23" t="n">
        <x:f>MAX(0,MIN('Activities'!L553,156)-MAX('Activities'!K553,150))</x:f>
        <x:v>0</x:v>
      </x:c>
      <x:c r="AE553" s="23" t="n">
        <x:f>MAX(0,MIN('Activities'!L553,162)-MAX('Activities'!K553,156))</x:f>
        <x:v>0</x:v>
      </x:c>
      <x:c r="AF553" s="23" t="n">
        <x:f>MAX(0,MIN('Activities'!L553,168)-MAX('Activities'!K553,162))</x:f>
        <x:v>0</x:v>
      </x:c>
      <x:c r="AG553" s="23" t="n">
        <x:f>MAX(0,MIN('Activities'!L553,174)-MAX('Activities'!K553,168))</x:f>
        <x:v>0</x:v>
      </x:c>
      <x:c r="AH553" s="23" t="n">
        <x:f>MAX(0,MIN('Activities'!L553,180)-MAX('Activities'!K553,174))</x:f>
        <x:v>0</x:v>
      </x:c>
      <x:c r="AI553" s="23" t="n">
        <x:f>MAX(0,MIN('Activities'!L553,186)-MAX('Activities'!K553,180))</x:f>
        <x:v>0</x:v>
      </x:c>
      <x:c r="AJ553" s="23" t="n">
        <x:f>MAX(0,MIN('Activities'!L553,192)-MAX('Activities'!K553,186))</x:f>
        <x:v>0</x:v>
      </x:c>
      <x:c r="AK553" s="23" t="n">
        <x:f>MAX(0,MIN('Activities'!L553,198)-MAX('Activities'!K553,192))</x:f>
        <x:v>0</x:v>
      </x:c>
      <x:c r="AL553" s="23" t="n">
        <x:f>MAX(0,MIN('Activities'!L553,204)-MAX('Activities'!K553,198))</x:f>
        <x:v>0</x:v>
      </x:c>
      <x:c r="AM553" s="23" t="n">
        <x:f>MAX(0,MIN('Activities'!L553,210)-MAX('Activities'!K553,204))</x:f>
        <x:v>4</x:v>
      </x:c>
      <x:c r="AN553" s="23" t="n">
        <x:f>MAX(0,MIN('Activities'!L553,216)-MAX('Activities'!K553,210))</x:f>
        <x:v>1</x:v>
      </x:c>
      <x:c r="AO553" s="23" t="n">
        <x:f>MAX(0,MIN('Activities'!L553,222)-MAX('Activities'!K553,216))</x:f>
        <x:v>0</x:v>
      </x:c>
      <x:c r="AP553" s="23" t="n">
        <x:f>MAX(0,MIN('Activities'!L553,228)-MAX('Activities'!K553,222))</x:f>
        <x:v>0</x:v>
      </x:c>
      <x:c r="AQ553" s="23" t="n">
        <x:f>MAX(0,MIN('Activities'!L553,234)-MAX('Activities'!K553,228))</x:f>
        <x:v>0</x:v>
      </x:c>
      <x:c r="AR553" s="23" t="n">
        <x:f>MAX(0,MIN('Activities'!L553,240)-MAX('Activities'!K553,234))</x:f>
        <x:v>0</x:v>
      </x:c>
      <x:c r="AS553" s="23" t="n">
        <x:f>MAX(0,MIN('Activities'!L553,246)-MAX('Activities'!K553,240))</x:f>
        <x:v>0</x:v>
      </x:c>
      <x:c r="AT553" s="23" t="n">
        <x:f>MAX(0,MIN('Activities'!L553,252)-MAX('Activities'!K553,246))</x:f>
        <x:v>0</x:v>
      </x:c>
      <x:c r="AU553" s="23" t="n">
        <x:f>MAX(0,MIN('Activities'!L553,258)-MAX('Activities'!K553,252))</x:f>
        <x:v>0</x:v>
      </x:c>
      <x:c r="AV553" s="23" t="n">
        <x:f>MAX(0,MIN('Activities'!L553,264)-MAX('Activities'!K553,258))</x:f>
        <x:v>0</x:v>
      </x:c>
      <x:c r="AW553" s="23" t="n">
        <x:f>MAX(0,MIN('Activities'!L553,270)-MAX('Activities'!K553,264))</x:f>
        <x:v>0</x:v>
      </x:c>
      <x:c r="AX553" s="23" t="n">
        <x:f>MAX(0,MIN('Activities'!L553,276)-MAX('Activities'!K553,270))</x:f>
        <x:v>0</x:v>
      </x:c>
      <x:c r="AY553" s="23" t="n">
        <x:f>MAX(0,MIN('Activities'!L553,282)-MAX('Activities'!K553,276))</x:f>
        <x:v>0</x:v>
      </x:c>
      <x:c r="AZ553" s="23" t="n">
        <x:f>MAX(0,MIN('Activities'!L553,288)-MAX('Activities'!K553,282))</x:f>
        <x:v>0</x:v>
      </x:c>
      <x:c r="BA553" s="23" t="n">
        <x:f>MAX(0,MIN('Activities'!L553,294)-MAX('Activities'!K553,288))</x:f>
        <x:v>0</x:v>
      </x:c>
      <x:c r="BB553" s="23" t="n">
        <x:f>MAX(0,MIN('Activities'!L553,300)-MAX('Activities'!K553,294))</x:f>
        <x:v>0</x:v>
      </x:c>
      <x:c r="BC553" s="23" t="n">
        <x:f>MAX(0,MIN('Activities'!L553,306)-MAX('Activities'!K553,300))</x:f>
        <x:v>0</x:v>
      </x:c>
      <x:c r="BD553" s="23" t="n">
        <x:f>MAX(0,MIN('Activities'!L553,312)-MAX('Activities'!K553,306))</x:f>
        <x:v>0</x:v>
      </x:c>
      <x:c r="BE553" s="23" t="n">
        <x:f>MAX(0,MIN('Activities'!L553,318)-MAX('Activities'!K553,312))</x:f>
        <x:v>0</x:v>
      </x:c>
      <x:c r="BF553" s="23" t="n">
        <x:f>MAX(0,MIN('Activities'!L553,324)-MAX('Activities'!K553,318))</x:f>
        <x:v>0</x:v>
      </x:c>
      <x:c r="BG553" s="23" t="n">
        <x:f>MAX(0,MIN('Activities'!L553,330)-MAX('Activities'!K553,324))</x:f>
        <x:v>0</x:v>
      </x:c>
      <x:c r="BH553" s="23" t="n">
        <x:f>MAX(0,MIN('Activities'!L553,336)-MAX('Activities'!K553,330))</x:f>
        <x:v>0</x:v>
      </x:c>
      <x:c r="BI553" s="23" t="n">
        <x:f>MAX(0,MIN('Activities'!L553,342)-MAX('Activities'!K553,336))</x:f>
        <x:v>0</x:v>
      </x:c>
      <x:c r="BJ553" s="23" t="n">
        <x:f>MAX(0,MIN('Activities'!L553,348)-MAX('Activities'!K553,342))</x:f>
        <x:v>0</x:v>
      </x:c>
      <x:c r="BK553" s="23" t="n">
        <x:f>MAX(0,MIN('Activities'!L553,354)-MAX('Activities'!K553,348))</x:f>
        <x:v>0</x:v>
      </x:c>
      <x:c r="BL553" s="23" t="n">
        <x:f>MAX(0,MIN('Activities'!L553,360)-MAX('Activities'!K553,354))</x:f>
        <x:v>0</x:v>
      </x:c>
      <x:c r="BM553" s="23" t="n">
        <x:f>MAX(0,MIN('Activities'!L553,366)-MAX('Activities'!K553,360))</x:f>
        <x:v>0</x:v>
      </x:c>
      <x:c r="BN553" s="23" t="n">
        <x:f>MAX(0,MIN('Activities'!L553,372)-MAX('Activities'!K553,366))</x:f>
        <x:v>0</x:v>
      </x:c>
      <x:c r="BO553" s="23" t="n">
        <x:f>MAX(0,MIN('Activities'!L553,378)-MAX('Activities'!K553,372))</x:f>
        <x:v>0</x:v>
      </x:c>
      <x:c r="BP553" s="23" t="n">
        <x:f>MAX(0,MIN('Activities'!L553,384)-MAX('Activities'!K553,378))</x:f>
        <x:v>0</x:v>
      </x:c>
      <x:c r="BQ553" s="23" t="n">
        <x:f>MAX(0,MIN('Activities'!L553,390)-MAX('Activities'!K553,384))</x:f>
        <x:v>0</x:v>
      </x:c>
      <x:c r="BR553" s="23" t="n">
        <x:f>MAX(0,MIN('Activities'!L553,396)-MAX('Activities'!K553,390))</x:f>
        <x:v>0</x:v>
      </x:c>
      <x:c r="BS553" s="23" t="n">
        <x:f>MAX(0,MIN('Activities'!L553,402)-MAX('Activities'!K553,396))</x:f>
        <x:v>0</x:v>
      </x:c>
      <x:c r="BT553" s="23" t="n">
        <x:f>MAX(0,MIN('Activities'!L553,408)-MAX('Activities'!K553,402))</x:f>
        <x:v>0</x:v>
      </x:c>
      <x:c r="BU553" s="23" t="n">
        <x:f>MAX(0,MIN('Activities'!L553,414)-MAX('Activities'!K553,408))</x:f>
        <x:v>0</x:v>
      </x:c>
      <x:c r="BV553" s="23" t="n">
        <x:f>MAX(0,MIN('Activities'!L553,420)-MAX('Activities'!K553,414))</x:f>
        <x:v>0</x:v>
      </x:c>
      <x:c r="BW553" s="23" t="n">
        <x:f>MAX(0,MIN('Activities'!L553,426)-MAX('Activities'!K553,420))</x:f>
        <x:v>0</x:v>
      </x:c>
      <x:c r="BX553" s="23" t="n">
        <x:f>MAX(0,MIN('Activities'!L553,432)-MAX('Activities'!K553,426))</x:f>
        <x:v>0</x:v>
      </x:c>
      <x:c r="BY553" s="23" t="n">
        <x:f>MAX(0,MIN('Activities'!L553,438)-MAX('Activities'!K553,432))</x:f>
        <x:v>0</x:v>
      </x:c>
      <x:c r="BZ553" s="23" t="n">
        <x:f>MAX(0,MIN('Activities'!L553,444)-MAX('Activities'!K553,438))</x:f>
        <x:v>0</x:v>
      </x:c>
      <x:c r="CA553" s="23" t="n">
        <x:f>MAX(0,MIN('Activities'!L553,450)-MAX('Activities'!K553,444))</x:f>
        <x:v>0</x:v>
      </x:c>
      <x:c r="CB553" s="23" t="n">
        <x:f>MAX(0,MIN('Activities'!L553,456)-MAX('Activities'!K553,450))</x:f>
        <x:v>0</x:v>
      </x:c>
      <x:c r="CC553" s="23" t="n">
        <x:f>MAX(0,MIN('Activities'!L553,462)-MAX('Activities'!K553,456))</x:f>
        <x:v>0</x:v>
      </x:c>
      <x:c r="CD553" s="23" t="n">
        <x:f>MAX(0,MIN('Activities'!L553,468)-MAX('Activities'!K553,462))</x:f>
        <x:v>0</x:v>
      </x:c>
      <x:c r="CE553" s="23" t="n">
        <x:f>MAX(0,MIN('Activities'!L553,474)-MAX('Activities'!K553,468))</x:f>
        <x:v>0</x:v>
      </x:c>
      <x:c r="CF553" s="23" t="n">
        <x:f>MAX(0,MIN('Activities'!L553,480)-MAX('Activities'!K553,474))</x:f>
        <x:v>0</x:v>
      </x:c>
      <x:c r="CG553" s="23" t="n">
        <x:f>MAX(0,MIN('Activities'!L553,486)-MAX('Activities'!K553,480))</x:f>
        <x:v>0</x:v>
      </x:c>
      <x:c r="CH553" s="23" t="n">
        <x:f>MAX(0,MIN('Activities'!L553,492)-MAX('Activities'!K553,486))</x:f>
        <x:v>0</x:v>
      </x:c>
      <x:c r="CI553" s="23" t="n">
        <x:f>MAX(0,MIN('Activities'!L553,498)-MAX('Activities'!K553,492))</x:f>
        <x:v>0</x:v>
      </x:c>
      <x:c r="CJ553" s="23" t="n">
        <x:f>MAX(0,MIN('Activities'!L553,504)-MAX('Activities'!K553,498))</x:f>
        <x:v>0</x:v>
      </x:c>
      <x:c r="CK553" s="23" t="n">
        <x:f>MAX(0,MIN('Activities'!L553,510)-MAX('Activities'!K553,504))</x:f>
        <x:v>0</x:v>
      </x:c>
      <x:c r="CL553" s="23" t="n">
        <x:f>MAX(0,MIN('Activities'!L553,516)-MAX('Activities'!K553,510))</x:f>
        <x:v>0</x:v>
      </x:c>
      <x:c r="CM553" s="23" t="n">
        <x:f>MAX(0,MIN('Activities'!L553,522)-MAX('Activities'!K553,516))</x:f>
        <x:v>0</x:v>
      </x:c>
      <x:c r="CN553" s="23" t="n">
        <x:f>MAX(0,MIN('Activities'!L553,528)-MAX('Activities'!K553,522))</x:f>
        <x:v>0</x:v>
      </x:c>
      <x:c r="CO553" s="23" t="n">
        <x:f>MAX(0,MIN('Activities'!L553,534)-MAX('Activities'!K553,528))</x:f>
        <x:v>0</x:v>
      </x:c>
      <x:c r="CP553" s="23" t="n">
        <x:f>MAX(0,MIN('Activities'!L553,540)-MAX('Activities'!K553,534))</x:f>
        <x:v>0</x:v>
      </x:c>
      <x:c r="CQ553" s="23" t="n">
        <x:f>MAX(0,MIN('Activities'!L553,546)-MAX('Activities'!K553,540))</x:f>
        <x:v>0</x:v>
      </x:c>
      <x:c r="CR553" s="23" t="n">
        <x:f>MAX(0,MIN('Activities'!L553,552)-MAX('Activities'!K553,546))</x:f>
        <x:v>0</x:v>
      </x:c>
      <x:c r="CS553" s="23" t="n">
        <x:f>MAX(0,MIN('Activities'!L553,558)-MAX('Activities'!K553,552))</x:f>
        <x:v>0</x:v>
      </x:c>
      <x:c r="CT553" s="23" t="n">
        <x:f>MAX(0,MIN('Activities'!L553,564)-MAX('Activities'!K553,558))</x:f>
        <x:v>0</x:v>
      </x:c>
      <x:c r="CU553" s="23" t="n">
        <x:f>MAX(0,MIN('Activities'!L553,570)-MAX('Activities'!K553,564))</x:f>
        <x:v>0</x:v>
      </x:c>
      <x:c r="CV553" s="23" t="n">
        <x:f>MAX(0,MIN('Activities'!L553,576)-MAX('Activities'!K553,570))</x:f>
        <x:v>0</x:v>
      </x:c>
      <x:c r="CW553" s="23" t="n">
        <x:f>MAX(0,MIN('Activities'!L553,582)-MAX('Activities'!K553,576))</x:f>
        <x:v>0</x:v>
      </x:c>
      <x:c r="CX553" s="23" t="n">
        <x:f>MAX(0,MIN('Activities'!L553,588)-MAX('Activities'!K553,582))</x:f>
        <x:v>0</x:v>
      </x:c>
      <x:c r="CY553" s="23" t="n">
        <x:f>MAX(0,MIN('Activities'!L553,594)-MAX('Activities'!K553,588))</x:f>
        <x:v>0</x:v>
      </x:c>
      <x:c r="CZ553" s="23" t="n">
        <x:f>MAX(0,MIN('Activities'!L553,600)-MAX('Activities'!K553,594))</x:f>
        <x:v>0</x:v>
      </x:c>
      <x:c r="DA553" s="23" t="n">
        <x:f>MAX(0,MIN('Activities'!L553,606)-MAX('Activities'!K553,600))</x:f>
        <x:v>0</x:v>
      </x:c>
      <x:c r="DB553" s="23" t="n">
        <x:f>MAX(0,MIN('Activities'!L553,612)-MAX('Activities'!K553,606))</x:f>
        <x:v>0</x:v>
      </x:c>
      <x:c r="DC553" s="23" t="n">
        <x:f>MAX(0,MIN('Activities'!L553,618)-MAX('Activities'!K553,612))</x:f>
        <x:v>0</x:v>
      </x:c>
      <x:c r="DD553" s="23" t="n">
        <x:f>MAX(0,MIN('Activities'!L553,624)-MAX('Activities'!K553,618))</x:f>
        <x:v>0</x:v>
      </x:c>
      <x:c r="DE553" s="23" t="n">
        <x:f>MAX(0,MIN('Activities'!L553,630)-MAX('Activities'!K553,624))</x:f>
        <x:v>0</x:v>
      </x:c>
      <x:c r="DF553" s="23" t="n">
        <x:f>MAX(0,MIN('Activities'!L553,636)-MAX('Activities'!K553,630))</x:f>
        <x:v>0</x:v>
      </x:c>
    </x:row>
    <x:row r="554" ht="23" customHeight="1">
      <x:c r="A554" s="6" t="str">
        <x:v>T5-L01-C</x:v>
      </x:c>
      <x:c r="B554" s="6" t="str">
        <x:v>T5</x:v>
      </x:c>
      <x:c r="C554" s="6" t="str">
        <x:v>Concrete placement and finishing</x:v>
      </x:c>
      <x:c r="D554" s="6" t="str">
        <x:v>Concrete</x:v>
      </x:c>
      <x:c r="E554" s="22" t="n">
        <x:f>MAX(0,MIN('Activities'!L554,6)-MAX('Activities'!K554,0))</x:f>
        <x:v>0</x:v>
      </x:c>
      <x:c r="F554" s="22" t="n">
        <x:f>MAX(0,MIN('Activities'!L554,12)-MAX('Activities'!K554,6))</x:f>
        <x:v>0</x:v>
      </x:c>
      <x:c r="G554" s="22" t="n">
        <x:f>MAX(0,MIN('Activities'!L554,18)-MAX('Activities'!K554,12))</x:f>
        <x:v>0</x:v>
      </x:c>
      <x:c r="H554" s="22" t="n">
        <x:f>MAX(0,MIN('Activities'!L554,24)-MAX('Activities'!K554,18))</x:f>
        <x:v>0</x:v>
      </x:c>
      <x:c r="I554" s="22" t="n">
        <x:f>MAX(0,MIN('Activities'!L554,30)-MAX('Activities'!K554,24))</x:f>
        <x:v>0</x:v>
      </x:c>
      <x:c r="J554" s="22" t="n">
        <x:f>MAX(0,MIN('Activities'!L554,36)-MAX('Activities'!K554,30))</x:f>
        <x:v>0</x:v>
      </x:c>
      <x:c r="K554" s="22" t="n">
        <x:f>MAX(0,MIN('Activities'!L554,42)-MAX('Activities'!K554,36))</x:f>
        <x:v>0</x:v>
      </x:c>
      <x:c r="L554" s="22" t="n">
        <x:f>MAX(0,MIN('Activities'!L554,48)-MAX('Activities'!K554,42))</x:f>
        <x:v>0</x:v>
      </x:c>
      <x:c r="M554" s="22" t="n">
        <x:f>MAX(0,MIN('Activities'!L554,54)-MAX('Activities'!K554,48))</x:f>
        <x:v>0</x:v>
      </x:c>
      <x:c r="N554" s="22" t="n">
        <x:f>MAX(0,MIN('Activities'!L554,60)-MAX('Activities'!K554,54))</x:f>
        <x:v>0</x:v>
      </x:c>
      <x:c r="O554" s="22" t="n">
        <x:f>MAX(0,MIN('Activities'!L554,66)-MAX('Activities'!K554,60))</x:f>
        <x:v>0</x:v>
      </x:c>
      <x:c r="P554" s="22" t="n">
        <x:f>MAX(0,MIN('Activities'!L554,72)-MAX('Activities'!K554,66))</x:f>
        <x:v>0</x:v>
      </x:c>
      <x:c r="Q554" s="22" t="n">
        <x:f>MAX(0,MIN('Activities'!L554,78)-MAX('Activities'!K554,72))</x:f>
        <x:v>0</x:v>
      </x:c>
      <x:c r="R554" s="22" t="n">
        <x:f>MAX(0,MIN('Activities'!L554,84)-MAX('Activities'!K554,78))</x:f>
        <x:v>0</x:v>
      </x:c>
      <x:c r="S554" s="22" t="n">
        <x:f>MAX(0,MIN('Activities'!L554,90)-MAX('Activities'!K554,84))</x:f>
        <x:v>0</x:v>
      </x:c>
      <x:c r="T554" s="22" t="n">
        <x:f>MAX(0,MIN('Activities'!L554,96)-MAX('Activities'!K554,90))</x:f>
        <x:v>0</x:v>
      </x:c>
      <x:c r="U554" s="22" t="n">
        <x:f>MAX(0,MIN('Activities'!L554,102)-MAX('Activities'!K554,96))</x:f>
        <x:v>0</x:v>
      </x:c>
      <x:c r="V554" s="22" t="n">
        <x:f>MAX(0,MIN('Activities'!L554,108)-MAX('Activities'!K554,102))</x:f>
        <x:v>0</x:v>
      </x:c>
      <x:c r="W554" s="22" t="n">
        <x:f>MAX(0,MIN('Activities'!L554,114)-MAX('Activities'!K554,108))</x:f>
        <x:v>0</x:v>
      </x:c>
      <x:c r="X554" s="22" t="n">
        <x:f>MAX(0,MIN('Activities'!L554,120)-MAX('Activities'!K554,114))</x:f>
        <x:v>0</x:v>
      </x:c>
      <x:c r="Y554" s="22" t="n">
        <x:f>MAX(0,MIN('Activities'!L554,126)-MAX('Activities'!K554,120))</x:f>
        <x:v>0</x:v>
      </x:c>
      <x:c r="Z554" s="22" t="n">
        <x:f>MAX(0,MIN('Activities'!L554,132)-MAX('Activities'!K554,126))</x:f>
        <x:v>0</x:v>
      </x:c>
      <x:c r="AA554" s="22" t="n">
        <x:f>MAX(0,MIN('Activities'!L554,138)-MAX('Activities'!K554,132))</x:f>
        <x:v>0</x:v>
      </x:c>
      <x:c r="AB554" s="22" t="n">
        <x:f>MAX(0,MIN('Activities'!L554,144)-MAX('Activities'!K554,138))</x:f>
        <x:v>0</x:v>
      </x:c>
      <x:c r="AC554" s="22" t="n">
        <x:f>MAX(0,MIN('Activities'!L554,150)-MAX('Activities'!K554,144))</x:f>
        <x:v>0</x:v>
      </x:c>
      <x:c r="AD554" s="22" t="n">
        <x:f>MAX(0,MIN('Activities'!L554,156)-MAX('Activities'!K554,150))</x:f>
        <x:v>0</x:v>
      </x:c>
      <x:c r="AE554" s="22" t="n">
        <x:f>MAX(0,MIN('Activities'!L554,162)-MAX('Activities'!K554,156))</x:f>
        <x:v>0</x:v>
      </x:c>
      <x:c r="AF554" s="22" t="n">
        <x:f>MAX(0,MIN('Activities'!L554,168)-MAX('Activities'!K554,162))</x:f>
        <x:v>0</x:v>
      </x:c>
      <x:c r="AG554" s="22" t="n">
        <x:f>MAX(0,MIN('Activities'!L554,174)-MAX('Activities'!K554,168))</x:f>
        <x:v>0</x:v>
      </x:c>
      <x:c r="AH554" s="22" t="n">
        <x:f>MAX(0,MIN('Activities'!L554,180)-MAX('Activities'!K554,174))</x:f>
        <x:v>0</x:v>
      </x:c>
      <x:c r="AI554" s="22" t="n">
        <x:f>MAX(0,MIN('Activities'!L554,186)-MAX('Activities'!K554,180))</x:f>
        <x:v>0</x:v>
      </x:c>
      <x:c r="AJ554" s="22" t="n">
        <x:f>MAX(0,MIN('Activities'!L554,192)-MAX('Activities'!K554,186))</x:f>
        <x:v>0</x:v>
      </x:c>
      <x:c r="AK554" s="22" t="n">
        <x:f>MAX(0,MIN('Activities'!L554,198)-MAX('Activities'!K554,192))</x:f>
        <x:v>0</x:v>
      </x:c>
      <x:c r="AL554" s="22" t="n">
        <x:f>MAX(0,MIN('Activities'!L554,204)-MAX('Activities'!K554,198))</x:f>
        <x:v>0</x:v>
      </x:c>
      <x:c r="AM554" s="22" t="n">
        <x:f>MAX(0,MIN('Activities'!L554,210)-MAX('Activities'!K554,204))</x:f>
        <x:v>0</x:v>
      </x:c>
      <x:c r="AN554" s="22" t="n">
        <x:f>MAX(0,MIN('Activities'!L554,216)-MAX('Activities'!K554,210))</x:f>
        <x:v>2</x:v>
      </x:c>
      <x:c r="AO554" s="22" t="n">
        <x:f>MAX(0,MIN('Activities'!L554,222)-MAX('Activities'!K554,216))</x:f>
        <x:v>0</x:v>
      </x:c>
      <x:c r="AP554" s="22" t="n">
        <x:f>MAX(0,MIN('Activities'!L554,228)-MAX('Activities'!K554,222))</x:f>
        <x:v>0</x:v>
      </x:c>
      <x:c r="AQ554" s="22" t="n">
        <x:f>MAX(0,MIN('Activities'!L554,234)-MAX('Activities'!K554,228))</x:f>
        <x:v>0</x:v>
      </x:c>
      <x:c r="AR554" s="22" t="n">
        <x:f>MAX(0,MIN('Activities'!L554,240)-MAX('Activities'!K554,234))</x:f>
        <x:v>0</x:v>
      </x:c>
      <x:c r="AS554" s="22" t="n">
        <x:f>MAX(0,MIN('Activities'!L554,246)-MAX('Activities'!K554,240))</x:f>
        <x:v>0</x:v>
      </x:c>
      <x:c r="AT554" s="22" t="n">
        <x:f>MAX(0,MIN('Activities'!L554,252)-MAX('Activities'!K554,246))</x:f>
        <x:v>0</x:v>
      </x:c>
      <x:c r="AU554" s="22" t="n">
        <x:f>MAX(0,MIN('Activities'!L554,258)-MAX('Activities'!K554,252))</x:f>
        <x:v>0</x:v>
      </x:c>
      <x:c r="AV554" s="22" t="n">
        <x:f>MAX(0,MIN('Activities'!L554,264)-MAX('Activities'!K554,258))</x:f>
        <x:v>0</x:v>
      </x:c>
      <x:c r="AW554" s="22" t="n">
        <x:f>MAX(0,MIN('Activities'!L554,270)-MAX('Activities'!K554,264))</x:f>
        <x:v>0</x:v>
      </x:c>
      <x:c r="AX554" s="22" t="n">
        <x:f>MAX(0,MIN('Activities'!L554,276)-MAX('Activities'!K554,270))</x:f>
        <x:v>0</x:v>
      </x:c>
      <x:c r="AY554" s="22" t="n">
        <x:f>MAX(0,MIN('Activities'!L554,282)-MAX('Activities'!K554,276))</x:f>
        <x:v>0</x:v>
      </x:c>
      <x:c r="AZ554" s="22" t="n">
        <x:f>MAX(0,MIN('Activities'!L554,288)-MAX('Activities'!K554,282))</x:f>
        <x:v>0</x:v>
      </x:c>
      <x:c r="BA554" s="22" t="n">
        <x:f>MAX(0,MIN('Activities'!L554,294)-MAX('Activities'!K554,288))</x:f>
        <x:v>0</x:v>
      </x:c>
      <x:c r="BB554" s="22" t="n">
        <x:f>MAX(0,MIN('Activities'!L554,300)-MAX('Activities'!K554,294))</x:f>
        <x:v>0</x:v>
      </x:c>
      <x:c r="BC554" s="22" t="n">
        <x:f>MAX(0,MIN('Activities'!L554,306)-MAX('Activities'!K554,300))</x:f>
        <x:v>0</x:v>
      </x:c>
      <x:c r="BD554" s="22" t="n">
        <x:f>MAX(0,MIN('Activities'!L554,312)-MAX('Activities'!K554,306))</x:f>
        <x:v>0</x:v>
      </x:c>
      <x:c r="BE554" s="22" t="n">
        <x:f>MAX(0,MIN('Activities'!L554,318)-MAX('Activities'!K554,312))</x:f>
        <x:v>0</x:v>
      </x:c>
      <x:c r="BF554" s="22" t="n">
        <x:f>MAX(0,MIN('Activities'!L554,324)-MAX('Activities'!K554,318))</x:f>
        <x:v>0</x:v>
      </x:c>
      <x:c r="BG554" s="22" t="n">
        <x:f>MAX(0,MIN('Activities'!L554,330)-MAX('Activities'!K554,324))</x:f>
        <x:v>0</x:v>
      </x:c>
      <x:c r="BH554" s="22" t="n">
        <x:f>MAX(0,MIN('Activities'!L554,336)-MAX('Activities'!K554,330))</x:f>
        <x:v>0</x:v>
      </x:c>
      <x:c r="BI554" s="22" t="n">
        <x:f>MAX(0,MIN('Activities'!L554,342)-MAX('Activities'!K554,336))</x:f>
        <x:v>0</x:v>
      </x:c>
      <x:c r="BJ554" s="22" t="n">
        <x:f>MAX(0,MIN('Activities'!L554,348)-MAX('Activities'!K554,342))</x:f>
        <x:v>0</x:v>
      </x:c>
      <x:c r="BK554" s="22" t="n">
        <x:f>MAX(0,MIN('Activities'!L554,354)-MAX('Activities'!K554,348))</x:f>
        <x:v>0</x:v>
      </x:c>
      <x:c r="BL554" s="22" t="n">
        <x:f>MAX(0,MIN('Activities'!L554,360)-MAX('Activities'!K554,354))</x:f>
        <x:v>0</x:v>
      </x:c>
      <x:c r="BM554" s="22" t="n">
        <x:f>MAX(0,MIN('Activities'!L554,366)-MAX('Activities'!K554,360))</x:f>
        <x:v>0</x:v>
      </x:c>
      <x:c r="BN554" s="22" t="n">
        <x:f>MAX(0,MIN('Activities'!L554,372)-MAX('Activities'!K554,366))</x:f>
        <x:v>0</x:v>
      </x:c>
      <x:c r="BO554" s="22" t="n">
        <x:f>MAX(0,MIN('Activities'!L554,378)-MAX('Activities'!K554,372))</x:f>
        <x:v>0</x:v>
      </x:c>
      <x:c r="BP554" s="22" t="n">
        <x:f>MAX(0,MIN('Activities'!L554,384)-MAX('Activities'!K554,378))</x:f>
        <x:v>0</x:v>
      </x:c>
      <x:c r="BQ554" s="22" t="n">
        <x:f>MAX(0,MIN('Activities'!L554,390)-MAX('Activities'!K554,384))</x:f>
        <x:v>0</x:v>
      </x:c>
      <x:c r="BR554" s="22" t="n">
        <x:f>MAX(0,MIN('Activities'!L554,396)-MAX('Activities'!K554,390))</x:f>
        <x:v>0</x:v>
      </x:c>
      <x:c r="BS554" s="22" t="n">
        <x:f>MAX(0,MIN('Activities'!L554,402)-MAX('Activities'!K554,396))</x:f>
        <x:v>0</x:v>
      </x:c>
      <x:c r="BT554" s="22" t="n">
        <x:f>MAX(0,MIN('Activities'!L554,408)-MAX('Activities'!K554,402))</x:f>
        <x:v>0</x:v>
      </x:c>
      <x:c r="BU554" s="22" t="n">
        <x:f>MAX(0,MIN('Activities'!L554,414)-MAX('Activities'!K554,408))</x:f>
        <x:v>0</x:v>
      </x:c>
      <x:c r="BV554" s="22" t="n">
        <x:f>MAX(0,MIN('Activities'!L554,420)-MAX('Activities'!K554,414))</x:f>
        <x:v>0</x:v>
      </x:c>
      <x:c r="BW554" s="22" t="n">
        <x:f>MAX(0,MIN('Activities'!L554,426)-MAX('Activities'!K554,420))</x:f>
        <x:v>0</x:v>
      </x:c>
      <x:c r="BX554" s="22" t="n">
        <x:f>MAX(0,MIN('Activities'!L554,432)-MAX('Activities'!K554,426))</x:f>
        <x:v>0</x:v>
      </x:c>
      <x:c r="BY554" s="22" t="n">
        <x:f>MAX(0,MIN('Activities'!L554,438)-MAX('Activities'!K554,432))</x:f>
        <x:v>0</x:v>
      </x:c>
      <x:c r="BZ554" s="22" t="n">
        <x:f>MAX(0,MIN('Activities'!L554,444)-MAX('Activities'!K554,438))</x:f>
        <x:v>0</x:v>
      </x:c>
      <x:c r="CA554" s="22" t="n">
        <x:f>MAX(0,MIN('Activities'!L554,450)-MAX('Activities'!K554,444))</x:f>
        <x:v>0</x:v>
      </x:c>
      <x:c r="CB554" s="22" t="n">
        <x:f>MAX(0,MIN('Activities'!L554,456)-MAX('Activities'!K554,450))</x:f>
        <x:v>0</x:v>
      </x:c>
      <x:c r="CC554" s="22" t="n">
        <x:f>MAX(0,MIN('Activities'!L554,462)-MAX('Activities'!K554,456))</x:f>
        <x:v>0</x:v>
      </x:c>
      <x:c r="CD554" s="22" t="n">
        <x:f>MAX(0,MIN('Activities'!L554,468)-MAX('Activities'!K554,462))</x:f>
        <x:v>0</x:v>
      </x:c>
      <x:c r="CE554" s="22" t="n">
        <x:f>MAX(0,MIN('Activities'!L554,474)-MAX('Activities'!K554,468))</x:f>
        <x:v>0</x:v>
      </x:c>
      <x:c r="CF554" s="22" t="n">
        <x:f>MAX(0,MIN('Activities'!L554,480)-MAX('Activities'!K554,474))</x:f>
        <x:v>0</x:v>
      </x:c>
      <x:c r="CG554" s="22" t="n">
        <x:f>MAX(0,MIN('Activities'!L554,486)-MAX('Activities'!K554,480))</x:f>
        <x:v>0</x:v>
      </x:c>
      <x:c r="CH554" s="22" t="n">
        <x:f>MAX(0,MIN('Activities'!L554,492)-MAX('Activities'!K554,486))</x:f>
        <x:v>0</x:v>
      </x:c>
      <x:c r="CI554" s="22" t="n">
        <x:f>MAX(0,MIN('Activities'!L554,498)-MAX('Activities'!K554,492))</x:f>
        <x:v>0</x:v>
      </x:c>
      <x:c r="CJ554" s="22" t="n">
        <x:f>MAX(0,MIN('Activities'!L554,504)-MAX('Activities'!K554,498))</x:f>
        <x:v>0</x:v>
      </x:c>
      <x:c r="CK554" s="22" t="n">
        <x:f>MAX(0,MIN('Activities'!L554,510)-MAX('Activities'!K554,504))</x:f>
        <x:v>0</x:v>
      </x:c>
      <x:c r="CL554" s="22" t="n">
        <x:f>MAX(0,MIN('Activities'!L554,516)-MAX('Activities'!K554,510))</x:f>
        <x:v>0</x:v>
      </x:c>
      <x:c r="CM554" s="22" t="n">
        <x:f>MAX(0,MIN('Activities'!L554,522)-MAX('Activities'!K554,516))</x:f>
        <x:v>0</x:v>
      </x:c>
      <x:c r="CN554" s="22" t="n">
        <x:f>MAX(0,MIN('Activities'!L554,528)-MAX('Activities'!K554,522))</x:f>
        <x:v>0</x:v>
      </x:c>
      <x:c r="CO554" s="22" t="n">
        <x:f>MAX(0,MIN('Activities'!L554,534)-MAX('Activities'!K554,528))</x:f>
        <x:v>0</x:v>
      </x:c>
      <x:c r="CP554" s="22" t="n">
        <x:f>MAX(0,MIN('Activities'!L554,540)-MAX('Activities'!K554,534))</x:f>
        <x:v>0</x:v>
      </x:c>
      <x:c r="CQ554" s="22" t="n">
        <x:f>MAX(0,MIN('Activities'!L554,546)-MAX('Activities'!K554,540))</x:f>
        <x:v>0</x:v>
      </x:c>
      <x:c r="CR554" s="22" t="n">
        <x:f>MAX(0,MIN('Activities'!L554,552)-MAX('Activities'!K554,546))</x:f>
        <x:v>0</x:v>
      </x:c>
      <x:c r="CS554" s="22" t="n">
        <x:f>MAX(0,MIN('Activities'!L554,558)-MAX('Activities'!K554,552))</x:f>
        <x:v>0</x:v>
      </x:c>
      <x:c r="CT554" s="22" t="n">
        <x:f>MAX(0,MIN('Activities'!L554,564)-MAX('Activities'!K554,558))</x:f>
        <x:v>0</x:v>
      </x:c>
      <x:c r="CU554" s="22" t="n">
        <x:f>MAX(0,MIN('Activities'!L554,570)-MAX('Activities'!K554,564))</x:f>
        <x:v>0</x:v>
      </x:c>
      <x:c r="CV554" s="22" t="n">
        <x:f>MAX(0,MIN('Activities'!L554,576)-MAX('Activities'!K554,570))</x:f>
        <x:v>0</x:v>
      </x:c>
      <x:c r="CW554" s="22" t="n">
        <x:f>MAX(0,MIN('Activities'!L554,582)-MAX('Activities'!K554,576))</x:f>
        <x:v>0</x:v>
      </x:c>
      <x:c r="CX554" s="22" t="n">
        <x:f>MAX(0,MIN('Activities'!L554,588)-MAX('Activities'!K554,582))</x:f>
        <x:v>0</x:v>
      </x:c>
      <x:c r="CY554" s="22" t="n">
        <x:f>MAX(0,MIN('Activities'!L554,594)-MAX('Activities'!K554,588))</x:f>
        <x:v>0</x:v>
      </x:c>
      <x:c r="CZ554" s="22" t="n">
        <x:f>MAX(0,MIN('Activities'!L554,600)-MAX('Activities'!K554,594))</x:f>
        <x:v>0</x:v>
      </x:c>
      <x:c r="DA554" s="22" t="n">
        <x:f>MAX(0,MIN('Activities'!L554,606)-MAX('Activities'!K554,600))</x:f>
        <x:v>0</x:v>
      </x:c>
      <x:c r="DB554" s="22" t="n">
        <x:f>MAX(0,MIN('Activities'!L554,612)-MAX('Activities'!K554,606))</x:f>
        <x:v>0</x:v>
      </x:c>
      <x:c r="DC554" s="22" t="n">
        <x:f>MAX(0,MIN('Activities'!L554,618)-MAX('Activities'!K554,612))</x:f>
        <x:v>0</x:v>
      </x:c>
      <x:c r="DD554" s="22" t="n">
        <x:f>MAX(0,MIN('Activities'!L554,624)-MAX('Activities'!K554,618))</x:f>
        <x:v>0</x:v>
      </x:c>
      <x:c r="DE554" s="22" t="n">
        <x:f>MAX(0,MIN('Activities'!L554,630)-MAX('Activities'!K554,624))</x:f>
        <x:v>0</x:v>
      </x:c>
      <x:c r="DF554" s="22" t="n">
        <x:f>MAX(0,MIN('Activities'!L554,636)-MAX('Activities'!K554,630))</x:f>
        <x:v>0</x:v>
      </x:c>
    </x:row>
    <x:row r="555" ht="23" customHeight="1">
      <x:c r="A555" s="1" t="str">
        <x:v>T5-L01-H</x:v>
      </x:c>
      <x:c r="B555" s="1" t="str">
        <x:v>T5</x:v>
      </x:c>
      <x:c r="C555" s="1" t="str">
        <x:v>Curing and release hold point</x:v>
      </x:c>
      <x:c r="D555" s="1" t="str">
        <x:v>Site</x:v>
      </x:c>
      <x:c r="E555" s="23" t="n">
        <x:f>MAX(0,MIN('Activities'!L555,6)-MAX('Activities'!K555,0))</x:f>
        <x:v>0</x:v>
      </x:c>
      <x:c r="F555" s="23" t="n">
        <x:f>MAX(0,MIN('Activities'!L555,12)-MAX('Activities'!K555,6))</x:f>
        <x:v>0</x:v>
      </x:c>
      <x:c r="G555" s="23" t="n">
        <x:f>MAX(0,MIN('Activities'!L555,18)-MAX('Activities'!K555,12))</x:f>
        <x:v>0</x:v>
      </x:c>
      <x:c r="H555" s="23" t="n">
        <x:f>MAX(0,MIN('Activities'!L555,24)-MAX('Activities'!K555,18))</x:f>
        <x:v>0</x:v>
      </x:c>
      <x:c r="I555" s="23" t="n">
        <x:f>MAX(0,MIN('Activities'!L555,30)-MAX('Activities'!K555,24))</x:f>
        <x:v>0</x:v>
      </x:c>
      <x:c r="J555" s="23" t="n">
        <x:f>MAX(0,MIN('Activities'!L555,36)-MAX('Activities'!K555,30))</x:f>
        <x:v>0</x:v>
      </x:c>
      <x:c r="K555" s="23" t="n">
        <x:f>MAX(0,MIN('Activities'!L555,42)-MAX('Activities'!K555,36))</x:f>
        <x:v>0</x:v>
      </x:c>
      <x:c r="L555" s="23" t="n">
        <x:f>MAX(0,MIN('Activities'!L555,48)-MAX('Activities'!K555,42))</x:f>
        <x:v>0</x:v>
      </x:c>
      <x:c r="M555" s="23" t="n">
        <x:f>MAX(0,MIN('Activities'!L555,54)-MAX('Activities'!K555,48))</x:f>
        <x:v>0</x:v>
      </x:c>
      <x:c r="N555" s="23" t="n">
        <x:f>MAX(0,MIN('Activities'!L555,60)-MAX('Activities'!K555,54))</x:f>
        <x:v>0</x:v>
      </x:c>
      <x:c r="O555" s="23" t="n">
        <x:f>MAX(0,MIN('Activities'!L555,66)-MAX('Activities'!K555,60))</x:f>
        <x:v>0</x:v>
      </x:c>
      <x:c r="P555" s="23" t="n">
        <x:f>MAX(0,MIN('Activities'!L555,72)-MAX('Activities'!K555,66))</x:f>
        <x:v>0</x:v>
      </x:c>
      <x:c r="Q555" s="23" t="n">
        <x:f>MAX(0,MIN('Activities'!L555,78)-MAX('Activities'!K555,72))</x:f>
        <x:v>0</x:v>
      </x:c>
      <x:c r="R555" s="23" t="n">
        <x:f>MAX(0,MIN('Activities'!L555,84)-MAX('Activities'!K555,78))</x:f>
        <x:v>0</x:v>
      </x:c>
      <x:c r="S555" s="23" t="n">
        <x:f>MAX(0,MIN('Activities'!L555,90)-MAX('Activities'!K555,84))</x:f>
        <x:v>0</x:v>
      </x:c>
      <x:c r="T555" s="23" t="n">
        <x:f>MAX(0,MIN('Activities'!L555,96)-MAX('Activities'!K555,90))</x:f>
        <x:v>0</x:v>
      </x:c>
      <x:c r="U555" s="23" t="n">
        <x:f>MAX(0,MIN('Activities'!L555,102)-MAX('Activities'!K555,96))</x:f>
        <x:v>0</x:v>
      </x:c>
      <x:c r="V555" s="23" t="n">
        <x:f>MAX(0,MIN('Activities'!L555,108)-MAX('Activities'!K555,102))</x:f>
        <x:v>0</x:v>
      </x:c>
      <x:c r="W555" s="23" t="n">
        <x:f>MAX(0,MIN('Activities'!L555,114)-MAX('Activities'!K555,108))</x:f>
        <x:v>0</x:v>
      </x:c>
      <x:c r="X555" s="23" t="n">
        <x:f>MAX(0,MIN('Activities'!L555,120)-MAX('Activities'!K555,114))</x:f>
        <x:v>0</x:v>
      </x:c>
      <x:c r="Y555" s="23" t="n">
        <x:f>MAX(0,MIN('Activities'!L555,126)-MAX('Activities'!K555,120))</x:f>
        <x:v>0</x:v>
      </x:c>
      <x:c r="Z555" s="23" t="n">
        <x:f>MAX(0,MIN('Activities'!L555,132)-MAX('Activities'!K555,126))</x:f>
        <x:v>0</x:v>
      </x:c>
      <x:c r="AA555" s="23" t="n">
        <x:f>MAX(0,MIN('Activities'!L555,138)-MAX('Activities'!K555,132))</x:f>
        <x:v>0</x:v>
      </x:c>
      <x:c r="AB555" s="23" t="n">
        <x:f>MAX(0,MIN('Activities'!L555,144)-MAX('Activities'!K555,138))</x:f>
        <x:v>0</x:v>
      </x:c>
      <x:c r="AC555" s="23" t="n">
        <x:f>MAX(0,MIN('Activities'!L555,150)-MAX('Activities'!K555,144))</x:f>
        <x:v>0</x:v>
      </x:c>
      <x:c r="AD555" s="23" t="n">
        <x:f>MAX(0,MIN('Activities'!L555,156)-MAX('Activities'!K555,150))</x:f>
        <x:v>0</x:v>
      </x:c>
      <x:c r="AE555" s="23" t="n">
        <x:f>MAX(0,MIN('Activities'!L555,162)-MAX('Activities'!K555,156))</x:f>
        <x:v>0</x:v>
      </x:c>
      <x:c r="AF555" s="23" t="n">
        <x:f>MAX(0,MIN('Activities'!L555,168)-MAX('Activities'!K555,162))</x:f>
        <x:v>0</x:v>
      </x:c>
      <x:c r="AG555" s="23" t="n">
        <x:f>MAX(0,MIN('Activities'!L555,174)-MAX('Activities'!K555,168))</x:f>
        <x:v>0</x:v>
      </x:c>
      <x:c r="AH555" s="23" t="n">
        <x:f>MAX(0,MIN('Activities'!L555,180)-MAX('Activities'!K555,174))</x:f>
        <x:v>0</x:v>
      </x:c>
      <x:c r="AI555" s="23" t="n">
        <x:f>MAX(0,MIN('Activities'!L555,186)-MAX('Activities'!K555,180))</x:f>
        <x:v>0</x:v>
      </x:c>
      <x:c r="AJ555" s="23" t="n">
        <x:f>MAX(0,MIN('Activities'!L555,192)-MAX('Activities'!K555,186))</x:f>
        <x:v>0</x:v>
      </x:c>
      <x:c r="AK555" s="23" t="n">
        <x:f>MAX(0,MIN('Activities'!L555,198)-MAX('Activities'!K555,192))</x:f>
        <x:v>0</x:v>
      </x:c>
      <x:c r="AL555" s="23" t="n">
        <x:f>MAX(0,MIN('Activities'!L555,204)-MAX('Activities'!K555,198))</x:f>
        <x:v>0</x:v>
      </x:c>
      <x:c r="AM555" s="23" t="n">
        <x:f>MAX(0,MIN('Activities'!L555,210)-MAX('Activities'!K555,204))</x:f>
        <x:v>0</x:v>
      </x:c>
      <x:c r="AN555" s="23" t="n">
        <x:f>MAX(0,MIN('Activities'!L555,216)-MAX('Activities'!K555,210))</x:f>
        <x:v>3</x:v>
      </x:c>
      <x:c r="AO555" s="23" t="n">
        <x:f>MAX(0,MIN('Activities'!L555,222)-MAX('Activities'!K555,216))</x:f>
        <x:v>2</x:v>
      </x:c>
      <x:c r="AP555" s="23" t="n">
        <x:f>MAX(0,MIN('Activities'!L555,228)-MAX('Activities'!K555,222))</x:f>
        <x:v>0</x:v>
      </x:c>
      <x:c r="AQ555" s="23" t="n">
        <x:f>MAX(0,MIN('Activities'!L555,234)-MAX('Activities'!K555,228))</x:f>
        <x:v>0</x:v>
      </x:c>
      <x:c r="AR555" s="23" t="n">
        <x:f>MAX(0,MIN('Activities'!L555,240)-MAX('Activities'!K555,234))</x:f>
        <x:v>0</x:v>
      </x:c>
      <x:c r="AS555" s="23" t="n">
        <x:f>MAX(0,MIN('Activities'!L555,246)-MAX('Activities'!K555,240))</x:f>
        <x:v>0</x:v>
      </x:c>
      <x:c r="AT555" s="23" t="n">
        <x:f>MAX(0,MIN('Activities'!L555,252)-MAX('Activities'!K555,246))</x:f>
        <x:v>0</x:v>
      </x:c>
      <x:c r="AU555" s="23" t="n">
        <x:f>MAX(0,MIN('Activities'!L555,258)-MAX('Activities'!K555,252))</x:f>
        <x:v>0</x:v>
      </x:c>
      <x:c r="AV555" s="23" t="n">
        <x:f>MAX(0,MIN('Activities'!L555,264)-MAX('Activities'!K555,258))</x:f>
        <x:v>0</x:v>
      </x:c>
      <x:c r="AW555" s="23" t="n">
        <x:f>MAX(0,MIN('Activities'!L555,270)-MAX('Activities'!K555,264))</x:f>
        <x:v>0</x:v>
      </x:c>
      <x:c r="AX555" s="23" t="n">
        <x:f>MAX(0,MIN('Activities'!L555,276)-MAX('Activities'!K555,270))</x:f>
        <x:v>0</x:v>
      </x:c>
      <x:c r="AY555" s="23" t="n">
        <x:f>MAX(0,MIN('Activities'!L555,282)-MAX('Activities'!K555,276))</x:f>
        <x:v>0</x:v>
      </x:c>
      <x:c r="AZ555" s="23" t="n">
        <x:f>MAX(0,MIN('Activities'!L555,288)-MAX('Activities'!K555,282))</x:f>
        <x:v>0</x:v>
      </x:c>
      <x:c r="BA555" s="23" t="n">
        <x:f>MAX(0,MIN('Activities'!L555,294)-MAX('Activities'!K555,288))</x:f>
        <x:v>0</x:v>
      </x:c>
      <x:c r="BB555" s="23" t="n">
        <x:f>MAX(0,MIN('Activities'!L555,300)-MAX('Activities'!K555,294))</x:f>
        <x:v>0</x:v>
      </x:c>
      <x:c r="BC555" s="23" t="n">
        <x:f>MAX(0,MIN('Activities'!L555,306)-MAX('Activities'!K555,300))</x:f>
        <x:v>0</x:v>
      </x:c>
      <x:c r="BD555" s="23" t="n">
        <x:f>MAX(0,MIN('Activities'!L555,312)-MAX('Activities'!K555,306))</x:f>
        <x:v>0</x:v>
      </x:c>
      <x:c r="BE555" s="23" t="n">
        <x:f>MAX(0,MIN('Activities'!L555,318)-MAX('Activities'!K555,312))</x:f>
        <x:v>0</x:v>
      </x:c>
      <x:c r="BF555" s="23" t="n">
        <x:f>MAX(0,MIN('Activities'!L555,324)-MAX('Activities'!K555,318))</x:f>
        <x:v>0</x:v>
      </x:c>
      <x:c r="BG555" s="23" t="n">
        <x:f>MAX(0,MIN('Activities'!L555,330)-MAX('Activities'!K555,324))</x:f>
        <x:v>0</x:v>
      </x:c>
      <x:c r="BH555" s="23" t="n">
        <x:f>MAX(0,MIN('Activities'!L555,336)-MAX('Activities'!K555,330))</x:f>
        <x:v>0</x:v>
      </x:c>
      <x:c r="BI555" s="23" t="n">
        <x:f>MAX(0,MIN('Activities'!L555,342)-MAX('Activities'!K555,336))</x:f>
        <x:v>0</x:v>
      </x:c>
      <x:c r="BJ555" s="23" t="n">
        <x:f>MAX(0,MIN('Activities'!L555,348)-MAX('Activities'!K555,342))</x:f>
        <x:v>0</x:v>
      </x:c>
      <x:c r="BK555" s="23" t="n">
        <x:f>MAX(0,MIN('Activities'!L555,354)-MAX('Activities'!K555,348))</x:f>
        <x:v>0</x:v>
      </x:c>
      <x:c r="BL555" s="23" t="n">
        <x:f>MAX(0,MIN('Activities'!L555,360)-MAX('Activities'!K555,354))</x:f>
        <x:v>0</x:v>
      </x:c>
      <x:c r="BM555" s="23" t="n">
        <x:f>MAX(0,MIN('Activities'!L555,366)-MAX('Activities'!K555,360))</x:f>
        <x:v>0</x:v>
      </x:c>
      <x:c r="BN555" s="23" t="n">
        <x:f>MAX(0,MIN('Activities'!L555,372)-MAX('Activities'!K555,366))</x:f>
        <x:v>0</x:v>
      </x:c>
      <x:c r="BO555" s="23" t="n">
        <x:f>MAX(0,MIN('Activities'!L555,378)-MAX('Activities'!K555,372))</x:f>
        <x:v>0</x:v>
      </x:c>
      <x:c r="BP555" s="23" t="n">
        <x:f>MAX(0,MIN('Activities'!L555,384)-MAX('Activities'!K555,378))</x:f>
        <x:v>0</x:v>
      </x:c>
      <x:c r="BQ555" s="23" t="n">
        <x:f>MAX(0,MIN('Activities'!L555,390)-MAX('Activities'!K555,384))</x:f>
        <x:v>0</x:v>
      </x:c>
      <x:c r="BR555" s="23" t="n">
        <x:f>MAX(0,MIN('Activities'!L555,396)-MAX('Activities'!K555,390))</x:f>
        <x:v>0</x:v>
      </x:c>
      <x:c r="BS555" s="23" t="n">
        <x:f>MAX(0,MIN('Activities'!L555,402)-MAX('Activities'!K555,396))</x:f>
        <x:v>0</x:v>
      </x:c>
      <x:c r="BT555" s="23" t="n">
        <x:f>MAX(0,MIN('Activities'!L555,408)-MAX('Activities'!K555,402))</x:f>
        <x:v>0</x:v>
      </x:c>
      <x:c r="BU555" s="23" t="n">
        <x:f>MAX(0,MIN('Activities'!L555,414)-MAX('Activities'!K555,408))</x:f>
        <x:v>0</x:v>
      </x:c>
      <x:c r="BV555" s="23" t="n">
        <x:f>MAX(0,MIN('Activities'!L555,420)-MAX('Activities'!K555,414))</x:f>
        <x:v>0</x:v>
      </x:c>
      <x:c r="BW555" s="23" t="n">
        <x:f>MAX(0,MIN('Activities'!L555,426)-MAX('Activities'!K555,420))</x:f>
        <x:v>0</x:v>
      </x:c>
      <x:c r="BX555" s="23" t="n">
        <x:f>MAX(0,MIN('Activities'!L555,432)-MAX('Activities'!K555,426))</x:f>
        <x:v>0</x:v>
      </x:c>
      <x:c r="BY555" s="23" t="n">
        <x:f>MAX(0,MIN('Activities'!L555,438)-MAX('Activities'!K555,432))</x:f>
        <x:v>0</x:v>
      </x:c>
      <x:c r="BZ555" s="23" t="n">
        <x:f>MAX(0,MIN('Activities'!L555,444)-MAX('Activities'!K555,438))</x:f>
        <x:v>0</x:v>
      </x:c>
      <x:c r="CA555" s="23" t="n">
        <x:f>MAX(0,MIN('Activities'!L555,450)-MAX('Activities'!K555,444))</x:f>
        <x:v>0</x:v>
      </x:c>
      <x:c r="CB555" s="23" t="n">
        <x:f>MAX(0,MIN('Activities'!L555,456)-MAX('Activities'!K555,450))</x:f>
        <x:v>0</x:v>
      </x:c>
      <x:c r="CC555" s="23" t="n">
        <x:f>MAX(0,MIN('Activities'!L555,462)-MAX('Activities'!K555,456))</x:f>
        <x:v>0</x:v>
      </x:c>
      <x:c r="CD555" s="23" t="n">
        <x:f>MAX(0,MIN('Activities'!L555,468)-MAX('Activities'!K555,462))</x:f>
        <x:v>0</x:v>
      </x:c>
      <x:c r="CE555" s="23" t="n">
        <x:f>MAX(0,MIN('Activities'!L555,474)-MAX('Activities'!K555,468))</x:f>
        <x:v>0</x:v>
      </x:c>
      <x:c r="CF555" s="23" t="n">
        <x:f>MAX(0,MIN('Activities'!L555,480)-MAX('Activities'!K555,474))</x:f>
        <x:v>0</x:v>
      </x:c>
      <x:c r="CG555" s="23" t="n">
        <x:f>MAX(0,MIN('Activities'!L555,486)-MAX('Activities'!K555,480))</x:f>
        <x:v>0</x:v>
      </x:c>
      <x:c r="CH555" s="23" t="n">
        <x:f>MAX(0,MIN('Activities'!L555,492)-MAX('Activities'!K555,486))</x:f>
        <x:v>0</x:v>
      </x:c>
      <x:c r="CI555" s="23" t="n">
        <x:f>MAX(0,MIN('Activities'!L555,498)-MAX('Activities'!K555,492))</x:f>
        <x:v>0</x:v>
      </x:c>
      <x:c r="CJ555" s="23" t="n">
        <x:f>MAX(0,MIN('Activities'!L555,504)-MAX('Activities'!K555,498))</x:f>
        <x:v>0</x:v>
      </x:c>
      <x:c r="CK555" s="23" t="n">
        <x:f>MAX(0,MIN('Activities'!L555,510)-MAX('Activities'!K555,504))</x:f>
        <x:v>0</x:v>
      </x:c>
      <x:c r="CL555" s="23" t="n">
        <x:f>MAX(0,MIN('Activities'!L555,516)-MAX('Activities'!K555,510))</x:f>
        <x:v>0</x:v>
      </x:c>
      <x:c r="CM555" s="23" t="n">
        <x:f>MAX(0,MIN('Activities'!L555,522)-MAX('Activities'!K555,516))</x:f>
        <x:v>0</x:v>
      </x:c>
      <x:c r="CN555" s="23" t="n">
        <x:f>MAX(0,MIN('Activities'!L555,528)-MAX('Activities'!K555,522))</x:f>
        <x:v>0</x:v>
      </x:c>
      <x:c r="CO555" s="23" t="n">
        <x:f>MAX(0,MIN('Activities'!L555,534)-MAX('Activities'!K555,528))</x:f>
        <x:v>0</x:v>
      </x:c>
      <x:c r="CP555" s="23" t="n">
        <x:f>MAX(0,MIN('Activities'!L555,540)-MAX('Activities'!K555,534))</x:f>
        <x:v>0</x:v>
      </x:c>
      <x:c r="CQ555" s="23" t="n">
        <x:f>MAX(0,MIN('Activities'!L555,546)-MAX('Activities'!K555,540))</x:f>
        <x:v>0</x:v>
      </x:c>
      <x:c r="CR555" s="23" t="n">
        <x:f>MAX(0,MIN('Activities'!L555,552)-MAX('Activities'!K555,546))</x:f>
        <x:v>0</x:v>
      </x:c>
      <x:c r="CS555" s="23" t="n">
        <x:f>MAX(0,MIN('Activities'!L555,558)-MAX('Activities'!K555,552))</x:f>
        <x:v>0</x:v>
      </x:c>
      <x:c r="CT555" s="23" t="n">
        <x:f>MAX(0,MIN('Activities'!L555,564)-MAX('Activities'!K555,558))</x:f>
        <x:v>0</x:v>
      </x:c>
      <x:c r="CU555" s="23" t="n">
        <x:f>MAX(0,MIN('Activities'!L555,570)-MAX('Activities'!K555,564))</x:f>
        <x:v>0</x:v>
      </x:c>
      <x:c r="CV555" s="23" t="n">
        <x:f>MAX(0,MIN('Activities'!L555,576)-MAX('Activities'!K555,570))</x:f>
        <x:v>0</x:v>
      </x:c>
      <x:c r="CW555" s="23" t="n">
        <x:f>MAX(0,MIN('Activities'!L555,582)-MAX('Activities'!K555,576))</x:f>
        <x:v>0</x:v>
      </x:c>
      <x:c r="CX555" s="23" t="n">
        <x:f>MAX(0,MIN('Activities'!L555,588)-MAX('Activities'!K555,582))</x:f>
        <x:v>0</x:v>
      </x:c>
      <x:c r="CY555" s="23" t="n">
        <x:f>MAX(0,MIN('Activities'!L555,594)-MAX('Activities'!K555,588))</x:f>
        <x:v>0</x:v>
      </x:c>
      <x:c r="CZ555" s="23" t="n">
        <x:f>MAX(0,MIN('Activities'!L555,600)-MAX('Activities'!K555,594))</x:f>
        <x:v>0</x:v>
      </x:c>
      <x:c r="DA555" s="23" t="n">
        <x:f>MAX(0,MIN('Activities'!L555,606)-MAX('Activities'!K555,600))</x:f>
        <x:v>0</x:v>
      </x:c>
      <x:c r="DB555" s="23" t="n">
        <x:f>MAX(0,MIN('Activities'!L555,612)-MAX('Activities'!K555,606))</x:f>
        <x:v>0</x:v>
      </x:c>
      <x:c r="DC555" s="23" t="n">
        <x:f>MAX(0,MIN('Activities'!L555,618)-MAX('Activities'!K555,612))</x:f>
        <x:v>0</x:v>
      </x:c>
      <x:c r="DD555" s="23" t="n">
        <x:f>MAX(0,MIN('Activities'!L555,624)-MAX('Activities'!K555,618))</x:f>
        <x:v>0</x:v>
      </x:c>
      <x:c r="DE555" s="23" t="n">
        <x:f>MAX(0,MIN('Activities'!L555,630)-MAX('Activities'!K555,624))</x:f>
        <x:v>0</x:v>
      </x:c>
      <x:c r="DF555" s="23" t="n">
        <x:f>MAX(0,MIN('Activities'!L555,636)-MAX('Activities'!K555,630))</x:f>
        <x:v>0</x:v>
      </x:c>
    </x:row>
    <x:row r="556" ht="23" customHeight="1">
      <x:c r="A556" s="6" t="str">
        <x:v>T5-L02-F</x:v>
      </x:c>
      <x:c r="B556" s="6" t="str">
        <x:v>T5</x:v>
      </x:c>
      <x:c r="C556" s="6" t="str">
        <x:v>Columns, core and deck formwork</x:v>
      </x:c>
      <x:c r="D556" s="6" t="str">
        <x:v>Formwork</x:v>
      </x:c>
      <x:c r="E556" s="22" t="n">
        <x:f>MAX(0,MIN('Activities'!L556,6)-MAX('Activities'!K556,0))</x:f>
        <x:v>0</x:v>
      </x:c>
      <x:c r="F556" s="22" t="n">
        <x:f>MAX(0,MIN('Activities'!L556,12)-MAX('Activities'!K556,6))</x:f>
        <x:v>0</x:v>
      </x:c>
      <x:c r="G556" s="22" t="n">
        <x:f>MAX(0,MIN('Activities'!L556,18)-MAX('Activities'!K556,12))</x:f>
        <x:v>0</x:v>
      </x:c>
      <x:c r="H556" s="22" t="n">
        <x:f>MAX(0,MIN('Activities'!L556,24)-MAX('Activities'!K556,18))</x:f>
        <x:v>0</x:v>
      </x:c>
      <x:c r="I556" s="22" t="n">
        <x:f>MAX(0,MIN('Activities'!L556,30)-MAX('Activities'!K556,24))</x:f>
        <x:v>0</x:v>
      </x:c>
      <x:c r="J556" s="22" t="n">
        <x:f>MAX(0,MIN('Activities'!L556,36)-MAX('Activities'!K556,30))</x:f>
        <x:v>0</x:v>
      </x:c>
      <x:c r="K556" s="22" t="n">
        <x:f>MAX(0,MIN('Activities'!L556,42)-MAX('Activities'!K556,36))</x:f>
        <x:v>0</x:v>
      </x:c>
      <x:c r="L556" s="22" t="n">
        <x:f>MAX(0,MIN('Activities'!L556,48)-MAX('Activities'!K556,42))</x:f>
        <x:v>0</x:v>
      </x:c>
      <x:c r="M556" s="22" t="n">
        <x:f>MAX(0,MIN('Activities'!L556,54)-MAX('Activities'!K556,48))</x:f>
        <x:v>0</x:v>
      </x:c>
      <x:c r="N556" s="22" t="n">
        <x:f>MAX(0,MIN('Activities'!L556,60)-MAX('Activities'!K556,54))</x:f>
        <x:v>0</x:v>
      </x:c>
      <x:c r="O556" s="22" t="n">
        <x:f>MAX(0,MIN('Activities'!L556,66)-MAX('Activities'!K556,60))</x:f>
        <x:v>0</x:v>
      </x:c>
      <x:c r="P556" s="22" t="n">
        <x:f>MAX(0,MIN('Activities'!L556,72)-MAX('Activities'!K556,66))</x:f>
        <x:v>0</x:v>
      </x:c>
      <x:c r="Q556" s="22" t="n">
        <x:f>MAX(0,MIN('Activities'!L556,78)-MAX('Activities'!K556,72))</x:f>
        <x:v>0</x:v>
      </x:c>
      <x:c r="R556" s="22" t="n">
        <x:f>MAX(0,MIN('Activities'!L556,84)-MAX('Activities'!K556,78))</x:f>
        <x:v>0</x:v>
      </x:c>
      <x:c r="S556" s="22" t="n">
        <x:f>MAX(0,MIN('Activities'!L556,90)-MAX('Activities'!K556,84))</x:f>
        <x:v>0</x:v>
      </x:c>
      <x:c r="T556" s="22" t="n">
        <x:f>MAX(0,MIN('Activities'!L556,96)-MAX('Activities'!K556,90))</x:f>
        <x:v>0</x:v>
      </x:c>
      <x:c r="U556" s="22" t="n">
        <x:f>MAX(0,MIN('Activities'!L556,102)-MAX('Activities'!K556,96))</x:f>
        <x:v>0</x:v>
      </x:c>
      <x:c r="V556" s="22" t="n">
        <x:f>MAX(0,MIN('Activities'!L556,108)-MAX('Activities'!K556,102))</x:f>
        <x:v>0</x:v>
      </x:c>
      <x:c r="W556" s="22" t="n">
        <x:f>MAX(0,MIN('Activities'!L556,114)-MAX('Activities'!K556,108))</x:f>
        <x:v>0</x:v>
      </x:c>
      <x:c r="X556" s="22" t="n">
        <x:f>MAX(0,MIN('Activities'!L556,120)-MAX('Activities'!K556,114))</x:f>
        <x:v>0</x:v>
      </x:c>
      <x:c r="Y556" s="22" t="n">
        <x:f>MAX(0,MIN('Activities'!L556,126)-MAX('Activities'!K556,120))</x:f>
        <x:v>0</x:v>
      </x:c>
      <x:c r="Z556" s="22" t="n">
        <x:f>MAX(0,MIN('Activities'!L556,132)-MAX('Activities'!K556,126))</x:f>
        <x:v>0</x:v>
      </x:c>
      <x:c r="AA556" s="22" t="n">
        <x:f>MAX(0,MIN('Activities'!L556,138)-MAX('Activities'!K556,132))</x:f>
        <x:v>0</x:v>
      </x:c>
      <x:c r="AB556" s="22" t="n">
        <x:f>MAX(0,MIN('Activities'!L556,144)-MAX('Activities'!K556,138))</x:f>
        <x:v>0</x:v>
      </x:c>
      <x:c r="AC556" s="22" t="n">
        <x:f>MAX(0,MIN('Activities'!L556,150)-MAX('Activities'!K556,144))</x:f>
        <x:v>0</x:v>
      </x:c>
      <x:c r="AD556" s="22" t="n">
        <x:f>MAX(0,MIN('Activities'!L556,156)-MAX('Activities'!K556,150))</x:f>
        <x:v>0</x:v>
      </x:c>
      <x:c r="AE556" s="22" t="n">
        <x:f>MAX(0,MIN('Activities'!L556,162)-MAX('Activities'!K556,156))</x:f>
        <x:v>0</x:v>
      </x:c>
      <x:c r="AF556" s="22" t="n">
        <x:f>MAX(0,MIN('Activities'!L556,168)-MAX('Activities'!K556,162))</x:f>
        <x:v>0</x:v>
      </x:c>
      <x:c r="AG556" s="22" t="n">
        <x:f>MAX(0,MIN('Activities'!L556,174)-MAX('Activities'!K556,168))</x:f>
        <x:v>0</x:v>
      </x:c>
      <x:c r="AH556" s="22" t="n">
        <x:f>MAX(0,MIN('Activities'!L556,180)-MAX('Activities'!K556,174))</x:f>
        <x:v>0</x:v>
      </x:c>
      <x:c r="AI556" s="22" t="n">
        <x:f>MAX(0,MIN('Activities'!L556,186)-MAX('Activities'!K556,180))</x:f>
        <x:v>0</x:v>
      </x:c>
      <x:c r="AJ556" s="22" t="n">
        <x:f>MAX(0,MIN('Activities'!L556,192)-MAX('Activities'!K556,186))</x:f>
        <x:v>0</x:v>
      </x:c>
      <x:c r="AK556" s="22" t="n">
        <x:f>MAX(0,MIN('Activities'!L556,198)-MAX('Activities'!K556,192))</x:f>
        <x:v>0</x:v>
      </x:c>
      <x:c r="AL556" s="22" t="n">
        <x:f>MAX(0,MIN('Activities'!L556,204)-MAX('Activities'!K556,198))</x:f>
        <x:v>0</x:v>
      </x:c>
      <x:c r="AM556" s="22" t="n">
        <x:f>MAX(0,MIN('Activities'!L556,210)-MAX('Activities'!K556,204))</x:f>
        <x:v>0</x:v>
      </x:c>
      <x:c r="AN556" s="22" t="n">
        <x:f>MAX(0,MIN('Activities'!L556,216)-MAX('Activities'!K556,210))</x:f>
        <x:v>0</x:v>
      </x:c>
      <x:c r="AO556" s="22" t="n">
        <x:f>MAX(0,MIN('Activities'!L556,222)-MAX('Activities'!K556,216))</x:f>
        <x:v>4</x:v>
      </x:c>
      <x:c r="AP556" s="22" t="n">
        <x:f>MAX(0,MIN('Activities'!L556,228)-MAX('Activities'!K556,222))</x:f>
        <x:v>2</x:v>
      </x:c>
      <x:c r="AQ556" s="22" t="n">
        <x:f>MAX(0,MIN('Activities'!L556,234)-MAX('Activities'!K556,228))</x:f>
        <x:v>0</x:v>
      </x:c>
      <x:c r="AR556" s="22" t="n">
        <x:f>MAX(0,MIN('Activities'!L556,240)-MAX('Activities'!K556,234))</x:f>
        <x:v>0</x:v>
      </x:c>
      <x:c r="AS556" s="22" t="n">
        <x:f>MAX(0,MIN('Activities'!L556,246)-MAX('Activities'!K556,240))</x:f>
        <x:v>0</x:v>
      </x:c>
      <x:c r="AT556" s="22" t="n">
        <x:f>MAX(0,MIN('Activities'!L556,252)-MAX('Activities'!K556,246))</x:f>
        <x:v>0</x:v>
      </x:c>
      <x:c r="AU556" s="22" t="n">
        <x:f>MAX(0,MIN('Activities'!L556,258)-MAX('Activities'!K556,252))</x:f>
        <x:v>0</x:v>
      </x:c>
      <x:c r="AV556" s="22" t="n">
        <x:f>MAX(0,MIN('Activities'!L556,264)-MAX('Activities'!K556,258))</x:f>
        <x:v>0</x:v>
      </x:c>
      <x:c r="AW556" s="22" t="n">
        <x:f>MAX(0,MIN('Activities'!L556,270)-MAX('Activities'!K556,264))</x:f>
        <x:v>0</x:v>
      </x:c>
      <x:c r="AX556" s="22" t="n">
        <x:f>MAX(0,MIN('Activities'!L556,276)-MAX('Activities'!K556,270))</x:f>
        <x:v>0</x:v>
      </x:c>
      <x:c r="AY556" s="22" t="n">
        <x:f>MAX(0,MIN('Activities'!L556,282)-MAX('Activities'!K556,276))</x:f>
        <x:v>0</x:v>
      </x:c>
      <x:c r="AZ556" s="22" t="n">
        <x:f>MAX(0,MIN('Activities'!L556,288)-MAX('Activities'!K556,282))</x:f>
        <x:v>0</x:v>
      </x:c>
      <x:c r="BA556" s="22" t="n">
        <x:f>MAX(0,MIN('Activities'!L556,294)-MAX('Activities'!K556,288))</x:f>
        <x:v>0</x:v>
      </x:c>
      <x:c r="BB556" s="22" t="n">
        <x:f>MAX(0,MIN('Activities'!L556,300)-MAX('Activities'!K556,294))</x:f>
        <x:v>0</x:v>
      </x:c>
      <x:c r="BC556" s="22" t="n">
        <x:f>MAX(0,MIN('Activities'!L556,306)-MAX('Activities'!K556,300))</x:f>
        <x:v>0</x:v>
      </x:c>
      <x:c r="BD556" s="22" t="n">
        <x:f>MAX(0,MIN('Activities'!L556,312)-MAX('Activities'!K556,306))</x:f>
        <x:v>0</x:v>
      </x:c>
      <x:c r="BE556" s="22" t="n">
        <x:f>MAX(0,MIN('Activities'!L556,318)-MAX('Activities'!K556,312))</x:f>
        <x:v>0</x:v>
      </x:c>
      <x:c r="BF556" s="22" t="n">
        <x:f>MAX(0,MIN('Activities'!L556,324)-MAX('Activities'!K556,318))</x:f>
        <x:v>0</x:v>
      </x:c>
      <x:c r="BG556" s="22" t="n">
        <x:f>MAX(0,MIN('Activities'!L556,330)-MAX('Activities'!K556,324))</x:f>
        <x:v>0</x:v>
      </x:c>
      <x:c r="BH556" s="22" t="n">
        <x:f>MAX(0,MIN('Activities'!L556,336)-MAX('Activities'!K556,330))</x:f>
        <x:v>0</x:v>
      </x:c>
      <x:c r="BI556" s="22" t="n">
        <x:f>MAX(0,MIN('Activities'!L556,342)-MAX('Activities'!K556,336))</x:f>
        <x:v>0</x:v>
      </x:c>
      <x:c r="BJ556" s="22" t="n">
        <x:f>MAX(0,MIN('Activities'!L556,348)-MAX('Activities'!K556,342))</x:f>
        <x:v>0</x:v>
      </x:c>
      <x:c r="BK556" s="22" t="n">
        <x:f>MAX(0,MIN('Activities'!L556,354)-MAX('Activities'!K556,348))</x:f>
        <x:v>0</x:v>
      </x:c>
      <x:c r="BL556" s="22" t="n">
        <x:f>MAX(0,MIN('Activities'!L556,360)-MAX('Activities'!K556,354))</x:f>
        <x:v>0</x:v>
      </x:c>
      <x:c r="BM556" s="22" t="n">
        <x:f>MAX(0,MIN('Activities'!L556,366)-MAX('Activities'!K556,360))</x:f>
        <x:v>0</x:v>
      </x:c>
      <x:c r="BN556" s="22" t="n">
        <x:f>MAX(0,MIN('Activities'!L556,372)-MAX('Activities'!K556,366))</x:f>
        <x:v>0</x:v>
      </x:c>
      <x:c r="BO556" s="22" t="n">
        <x:f>MAX(0,MIN('Activities'!L556,378)-MAX('Activities'!K556,372))</x:f>
        <x:v>0</x:v>
      </x:c>
      <x:c r="BP556" s="22" t="n">
        <x:f>MAX(0,MIN('Activities'!L556,384)-MAX('Activities'!K556,378))</x:f>
        <x:v>0</x:v>
      </x:c>
      <x:c r="BQ556" s="22" t="n">
        <x:f>MAX(0,MIN('Activities'!L556,390)-MAX('Activities'!K556,384))</x:f>
        <x:v>0</x:v>
      </x:c>
      <x:c r="BR556" s="22" t="n">
        <x:f>MAX(0,MIN('Activities'!L556,396)-MAX('Activities'!K556,390))</x:f>
        <x:v>0</x:v>
      </x:c>
      <x:c r="BS556" s="22" t="n">
        <x:f>MAX(0,MIN('Activities'!L556,402)-MAX('Activities'!K556,396))</x:f>
        <x:v>0</x:v>
      </x:c>
      <x:c r="BT556" s="22" t="n">
        <x:f>MAX(0,MIN('Activities'!L556,408)-MAX('Activities'!K556,402))</x:f>
        <x:v>0</x:v>
      </x:c>
      <x:c r="BU556" s="22" t="n">
        <x:f>MAX(0,MIN('Activities'!L556,414)-MAX('Activities'!K556,408))</x:f>
        <x:v>0</x:v>
      </x:c>
      <x:c r="BV556" s="22" t="n">
        <x:f>MAX(0,MIN('Activities'!L556,420)-MAX('Activities'!K556,414))</x:f>
        <x:v>0</x:v>
      </x:c>
      <x:c r="BW556" s="22" t="n">
        <x:f>MAX(0,MIN('Activities'!L556,426)-MAX('Activities'!K556,420))</x:f>
        <x:v>0</x:v>
      </x:c>
      <x:c r="BX556" s="22" t="n">
        <x:f>MAX(0,MIN('Activities'!L556,432)-MAX('Activities'!K556,426))</x:f>
        <x:v>0</x:v>
      </x:c>
      <x:c r="BY556" s="22" t="n">
        <x:f>MAX(0,MIN('Activities'!L556,438)-MAX('Activities'!K556,432))</x:f>
        <x:v>0</x:v>
      </x:c>
      <x:c r="BZ556" s="22" t="n">
        <x:f>MAX(0,MIN('Activities'!L556,444)-MAX('Activities'!K556,438))</x:f>
        <x:v>0</x:v>
      </x:c>
      <x:c r="CA556" s="22" t="n">
        <x:f>MAX(0,MIN('Activities'!L556,450)-MAX('Activities'!K556,444))</x:f>
        <x:v>0</x:v>
      </x:c>
      <x:c r="CB556" s="22" t="n">
        <x:f>MAX(0,MIN('Activities'!L556,456)-MAX('Activities'!K556,450))</x:f>
        <x:v>0</x:v>
      </x:c>
      <x:c r="CC556" s="22" t="n">
        <x:f>MAX(0,MIN('Activities'!L556,462)-MAX('Activities'!K556,456))</x:f>
        <x:v>0</x:v>
      </x:c>
      <x:c r="CD556" s="22" t="n">
        <x:f>MAX(0,MIN('Activities'!L556,468)-MAX('Activities'!K556,462))</x:f>
        <x:v>0</x:v>
      </x:c>
      <x:c r="CE556" s="22" t="n">
        <x:f>MAX(0,MIN('Activities'!L556,474)-MAX('Activities'!K556,468))</x:f>
        <x:v>0</x:v>
      </x:c>
      <x:c r="CF556" s="22" t="n">
        <x:f>MAX(0,MIN('Activities'!L556,480)-MAX('Activities'!K556,474))</x:f>
        <x:v>0</x:v>
      </x:c>
      <x:c r="CG556" s="22" t="n">
        <x:f>MAX(0,MIN('Activities'!L556,486)-MAX('Activities'!K556,480))</x:f>
        <x:v>0</x:v>
      </x:c>
      <x:c r="CH556" s="22" t="n">
        <x:f>MAX(0,MIN('Activities'!L556,492)-MAX('Activities'!K556,486))</x:f>
        <x:v>0</x:v>
      </x:c>
      <x:c r="CI556" s="22" t="n">
        <x:f>MAX(0,MIN('Activities'!L556,498)-MAX('Activities'!K556,492))</x:f>
        <x:v>0</x:v>
      </x:c>
      <x:c r="CJ556" s="22" t="n">
        <x:f>MAX(0,MIN('Activities'!L556,504)-MAX('Activities'!K556,498))</x:f>
        <x:v>0</x:v>
      </x:c>
      <x:c r="CK556" s="22" t="n">
        <x:f>MAX(0,MIN('Activities'!L556,510)-MAX('Activities'!K556,504))</x:f>
        <x:v>0</x:v>
      </x:c>
      <x:c r="CL556" s="22" t="n">
        <x:f>MAX(0,MIN('Activities'!L556,516)-MAX('Activities'!K556,510))</x:f>
        <x:v>0</x:v>
      </x:c>
      <x:c r="CM556" s="22" t="n">
        <x:f>MAX(0,MIN('Activities'!L556,522)-MAX('Activities'!K556,516))</x:f>
        <x:v>0</x:v>
      </x:c>
      <x:c r="CN556" s="22" t="n">
        <x:f>MAX(0,MIN('Activities'!L556,528)-MAX('Activities'!K556,522))</x:f>
        <x:v>0</x:v>
      </x:c>
      <x:c r="CO556" s="22" t="n">
        <x:f>MAX(0,MIN('Activities'!L556,534)-MAX('Activities'!K556,528))</x:f>
        <x:v>0</x:v>
      </x:c>
      <x:c r="CP556" s="22" t="n">
        <x:f>MAX(0,MIN('Activities'!L556,540)-MAX('Activities'!K556,534))</x:f>
        <x:v>0</x:v>
      </x:c>
      <x:c r="CQ556" s="22" t="n">
        <x:f>MAX(0,MIN('Activities'!L556,546)-MAX('Activities'!K556,540))</x:f>
        <x:v>0</x:v>
      </x:c>
      <x:c r="CR556" s="22" t="n">
        <x:f>MAX(0,MIN('Activities'!L556,552)-MAX('Activities'!K556,546))</x:f>
        <x:v>0</x:v>
      </x:c>
      <x:c r="CS556" s="22" t="n">
        <x:f>MAX(0,MIN('Activities'!L556,558)-MAX('Activities'!K556,552))</x:f>
        <x:v>0</x:v>
      </x:c>
      <x:c r="CT556" s="22" t="n">
        <x:f>MAX(0,MIN('Activities'!L556,564)-MAX('Activities'!K556,558))</x:f>
        <x:v>0</x:v>
      </x:c>
      <x:c r="CU556" s="22" t="n">
        <x:f>MAX(0,MIN('Activities'!L556,570)-MAX('Activities'!K556,564))</x:f>
        <x:v>0</x:v>
      </x:c>
      <x:c r="CV556" s="22" t="n">
        <x:f>MAX(0,MIN('Activities'!L556,576)-MAX('Activities'!K556,570))</x:f>
        <x:v>0</x:v>
      </x:c>
      <x:c r="CW556" s="22" t="n">
        <x:f>MAX(0,MIN('Activities'!L556,582)-MAX('Activities'!K556,576))</x:f>
        <x:v>0</x:v>
      </x:c>
      <x:c r="CX556" s="22" t="n">
        <x:f>MAX(0,MIN('Activities'!L556,588)-MAX('Activities'!K556,582))</x:f>
        <x:v>0</x:v>
      </x:c>
      <x:c r="CY556" s="22" t="n">
        <x:f>MAX(0,MIN('Activities'!L556,594)-MAX('Activities'!K556,588))</x:f>
        <x:v>0</x:v>
      </x:c>
      <x:c r="CZ556" s="22" t="n">
        <x:f>MAX(0,MIN('Activities'!L556,600)-MAX('Activities'!K556,594))</x:f>
        <x:v>0</x:v>
      </x:c>
      <x:c r="DA556" s="22" t="n">
        <x:f>MAX(0,MIN('Activities'!L556,606)-MAX('Activities'!K556,600))</x:f>
        <x:v>0</x:v>
      </x:c>
      <x:c r="DB556" s="22" t="n">
        <x:f>MAX(0,MIN('Activities'!L556,612)-MAX('Activities'!K556,606))</x:f>
        <x:v>0</x:v>
      </x:c>
      <x:c r="DC556" s="22" t="n">
        <x:f>MAX(0,MIN('Activities'!L556,618)-MAX('Activities'!K556,612))</x:f>
        <x:v>0</x:v>
      </x:c>
      <x:c r="DD556" s="22" t="n">
        <x:f>MAX(0,MIN('Activities'!L556,624)-MAX('Activities'!K556,618))</x:f>
        <x:v>0</x:v>
      </x:c>
      <x:c r="DE556" s="22" t="n">
        <x:f>MAX(0,MIN('Activities'!L556,630)-MAX('Activities'!K556,624))</x:f>
        <x:v>0</x:v>
      </x:c>
      <x:c r="DF556" s="22" t="n">
        <x:f>MAX(0,MIN('Activities'!L556,636)-MAX('Activities'!K556,630))</x:f>
        <x:v>0</x:v>
      </x:c>
    </x:row>
    <x:row r="557" ht="23" customHeight="1">
      <x:c r="A557" s="1" t="str">
        <x:v>T5-L02-R</x:v>
      </x:c>
      <x:c r="B557" s="1" t="str">
        <x:v>T5</x:v>
      </x:c>
      <x:c r="C557" s="1" t="str">
        <x:v>Column, wall, beam and slab reinforcement</x:v>
      </x:c>
      <x:c r="D557" s="1" t="str">
        <x:v>Rebar</x:v>
      </x:c>
      <x:c r="E557" s="23" t="n">
        <x:f>MAX(0,MIN('Activities'!L557,6)-MAX('Activities'!K557,0))</x:f>
        <x:v>0</x:v>
      </x:c>
      <x:c r="F557" s="23" t="n">
        <x:f>MAX(0,MIN('Activities'!L557,12)-MAX('Activities'!K557,6))</x:f>
        <x:v>0</x:v>
      </x:c>
      <x:c r="G557" s="23" t="n">
        <x:f>MAX(0,MIN('Activities'!L557,18)-MAX('Activities'!K557,12))</x:f>
        <x:v>0</x:v>
      </x:c>
      <x:c r="H557" s="23" t="n">
        <x:f>MAX(0,MIN('Activities'!L557,24)-MAX('Activities'!K557,18))</x:f>
        <x:v>0</x:v>
      </x:c>
      <x:c r="I557" s="23" t="n">
        <x:f>MAX(0,MIN('Activities'!L557,30)-MAX('Activities'!K557,24))</x:f>
        <x:v>0</x:v>
      </x:c>
      <x:c r="J557" s="23" t="n">
        <x:f>MAX(0,MIN('Activities'!L557,36)-MAX('Activities'!K557,30))</x:f>
        <x:v>0</x:v>
      </x:c>
      <x:c r="K557" s="23" t="n">
        <x:f>MAX(0,MIN('Activities'!L557,42)-MAX('Activities'!K557,36))</x:f>
        <x:v>0</x:v>
      </x:c>
      <x:c r="L557" s="23" t="n">
        <x:f>MAX(0,MIN('Activities'!L557,48)-MAX('Activities'!K557,42))</x:f>
        <x:v>0</x:v>
      </x:c>
      <x:c r="M557" s="23" t="n">
        <x:f>MAX(0,MIN('Activities'!L557,54)-MAX('Activities'!K557,48))</x:f>
        <x:v>0</x:v>
      </x:c>
      <x:c r="N557" s="23" t="n">
        <x:f>MAX(0,MIN('Activities'!L557,60)-MAX('Activities'!K557,54))</x:f>
        <x:v>0</x:v>
      </x:c>
      <x:c r="O557" s="23" t="n">
        <x:f>MAX(0,MIN('Activities'!L557,66)-MAX('Activities'!K557,60))</x:f>
        <x:v>0</x:v>
      </x:c>
      <x:c r="P557" s="23" t="n">
        <x:f>MAX(0,MIN('Activities'!L557,72)-MAX('Activities'!K557,66))</x:f>
        <x:v>0</x:v>
      </x:c>
      <x:c r="Q557" s="23" t="n">
        <x:f>MAX(0,MIN('Activities'!L557,78)-MAX('Activities'!K557,72))</x:f>
        <x:v>0</x:v>
      </x:c>
      <x:c r="R557" s="23" t="n">
        <x:f>MAX(0,MIN('Activities'!L557,84)-MAX('Activities'!K557,78))</x:f>
        <x:v>0</x:v>
      </x:c>
      <x:c r="S557" s="23" t="n">
        <x:f>MAX(0,MIN('Activities'!L557,90)-MAX('Activities'!K557,84))</x:f>
        <x:v>0</x:v>
      </x:c>
      <x:c r="T557" s="23" t="n">
        <x:f>MAX(0,MIN('Activities'!L557,96)-MAX('Activities'!K557,90))</x:f>
        <x:v>0</x:v>
      </x:c>
      <x:c r="U557" s="23" t="n">
        <x:f>MAX(0,MIN('Activities'!L557,102)-MAX('Activities'!K557,96))</x:f>
        <x:v>0</x:v>
      </x:c>
      <x:c r="V557" s="23" t="n">
        <x:f>MAX(0,MIN('Activities'!L557,108)-MAX('Activities'!K557,102))</x:f>
        <x:v>0</x:v>
      </x:c>
      <x:c r="W557" s="23" t="n">
        <x:f>MAX(0,MIN('Activities'!L557,114)-MAX('Activities'!K557,108))</x:f>
        <x:v>0</x:v>
      </x:c>
      <x:c r="X557" s="23" t="n">
        <x:f>MAX(0,MIN('Activities'!L557,120)-MAX('Activities'!K557,114))</x:f>
        <x:v>0</x:v>
      </x:c>
      <x:c r="Y557" s="23" t="n">
        <x:f>MAX(0,MIN('Activities'!L557,126)-MAX('Activities'!K557,120))</x:f>
        <x:v>0</x:v>
      </x:c>
      <x:c r="Z557" s="23" t="n">
        <x:f>MAX(0,MIN('Activities'!L557,132)-MAX('Activities'!K557,126))</x:f>
        <x:v>0</x:v>
      </x:c>
      <x:c r="AA557" s="23" t="n">
        <x:f>MAX(0,MIN('Activities'!L557,138)-MAX('Activities'!K557,132))</x:f>
        <x:v>0</x:v>
      </x:c>
      <x:c r="AB557" s="23" t="n">
        <x:f>MAX(0,MIN('Activities'!L557,144)-MAX('Activities'!K557,138))</x:f>
        <x:v>0</x:v>
      </x:c>
      <x:c r="AC557" s="23" t="n">
        <x:f>MAX(0,MIN('Activities'!L557,150)-MAX('Activities'!K557,144))</x:f>
        <x:v>0</x:v>
      </x:c>
      <x:c r="AD557" s="23" t="n">
        <x:f>MAX(0,MIN('Activities'!L557,156)-MAX('Activities'!K557,150))</x:f>
        <x:v>0</x:v>
      </x:c>
      <x:c r="AE557" s="23" t="n">
        <x:f>MAX(0,MIN('Activities'!L557,162)-MAX('Activities'!K557,156))</x:f>
        <x:v>0</x:v>
      </x:c>
      <x:c r="AF557" s="23" t="n">
        <x:f>MAX(0,MIN('Activities'!L557,168)-MAX('Activities'!K557,162))</x:f>
        <x:v>0</x:v>
      </x:c>
      <x:c r="AG557" s="23" t="n">
        <x:f>MAX(0,MIN('Activities'!L557,174)-MAX('Activities'!K557,168))</x:f>
        <x:v>0</x:v>
      </x:c>
      <x:c r="AH557" s="23" t="n">
        <x:f>MAX(0,MIN('Activities'!L557,180)-MAX('Activities'!K557,174))</x:f>
        <x:v>0</x:v>
      </x:c>
      <x:c r="AI557" s="23" t="n">
        <x:f>MAX(0,MIN('Activities'!L557,186)-MAX('Activities'!K557,180))</x:f>
        <x:v>0</x:v>
      </x:c>
      <x:c r="AJ557" s="23" t="n">
        <x:f>MAX(0,MIN('Activities'!L557,192)-MAX('Activities'!K557,186))</x:f>
        <x:v>0</x:v>
      </x:c>
      <x:c r="AK557" s="23" t="n">
        <x:f>MAX(0,MIN('Activities'!L557,198)-MAX('Activities'!K557,192))</x:f>
        <x:v>0</x:v>
      </x:c>
      <x:c r="AL557" s="23" t="n">
        <x:f>MAX(0,MIN('Activities'!L557,204)-MAX('Activities'!K557,198))</x:f>
        <x:v>0</x:v>
      </x:c>
      <x:c r="AM557" s="23" t="n">
        <x:f>MAX(0,MIN('Activities'!L557,210)-MAX('Activities'!K557,204))</x:f>
        <x:v>0</x:v>
      </x:c>
      <x:c r="AN557" s="23" t="n">
        <x:f>MAX(0,MIN('Activities'!L557,216)-MAX('Activities'!K557,210))</x:f>
        <x:v>0</x:v>
      </x:c>
      <x:c r="AO557" s="23" t="n">
        <x:f>MAX(0,MIN('Activities'!L557,222)-MAX('Activities'!K557,216))</x:f>
        <x:v>0</x:v>
      </x:c>
      <x:c r="AP557" s="23" t="n">
        <x:f>MAX(0,MIN('Activities'!L557,228)-MAX('Activities'!K557,222))</x:f>
        <x:v>4</x:v>
      </x:c>
      <x:c r="AQ557" s="23" t="n">
        <x:f>MAX(0,MIN('Activities'!L557,234)-MAX('Activities'!K557,228))</x:f>
        <x:v>1</x:v>
      </x:c>
      <x:c r="AR557" s="23" t="n">
        <x:f>MAX(0,MIN('Activities'!L557,240)-MAX('Activities'!K557,234))</x:f>
        <x:v>0</x:v>
      </x:c>
      <x:c r="AS557" s="23" t="n">
        <x:f>MAX(0,MIN('Activities'!L557,246)-MAX('Activities'!K557,240))</x:f>
        <x:v>0</x:v>
      </x:c>
      <x:c r="AT557" s="23" t="n">
        <x:f>MAX(0,MIN('Activities'!L557,252)-MAX('Activities'!K557,246))</x:f>
        <x:v>0</x:v>
      </x:c>
      <x:c r="AU557" s="23" t="n">
        <x:f>MAX(0,MIN('Activities'!L557,258)-MAX('Activities'!K557,252))</x:f>
        <x:v>0</x:v>
      </x:c>
      <x:c r="AV557" s="23" t="n">
        <x:f>MAX(0,MIN('Activities'!L557,264)-MAX('Activities'!K557,258))</x:f>
        <x:v>0</x:v>
      </x:c>
      <x:c r="AW557" s="23" t="n">
        <x:f>MAX(0,MIN('Activities'!L557,270)-MAX('Activities'!K557,264))</x:f>
        <x:v>0</x:v>
      </x:c>
      <x:c r="AX557" s="23" t="n">
        <x:f>MAX(0,MIN('Activities'!L557,276)-MAX('Activities'!K557,270))</x:f>
        <x:v>0</x:v>
      </x:c>
      <x:c r="AY557" s="23" t="n">
        <x:f>MAX(0,MIN('Activities'!L557,282)-MAX('Activities'!K557,276))</x:f>
        <x:v>0</x:v>
      </x:c>
      <x:c r="AZ557" s="23" t="n">
        <x:f>MAX(0,MIN('Activities'!L557,288)-MAX('Activities'!K557,282))</x:f>
        <x:v>0</x:v>
      </x:c>
      <x:c r="BA557" s="23" t="n">
        <x:f>MAX(0,MIN('Activities'!L557,294)-MAX('Activities'!K557,288))</x:f>
        <x:v>0</x:v>
      </x:c>
      <x:c r="BB557" s="23" t="n">
        <x:f>MAX(0,MIN('Activities'!L557,300)-MAX('Activities'!K557,294))</x:f>
        <x:v>0</x:v>
      </x:c>
      <x:c r="BC557" s="23" t="n">
        <x:f>MAX(0,MIN('Activities'!L557,306)-MAX('Activities'!K557,300))</x:f>
        <x:v>0</x:v>
      </x:c>
      <x:c r="BD557" s="23" t="n">
        <x:f>MAX(0,MIN('Activities'!L557,312)-MAX('Activities'!K557,306))</x:f>
        <x:v>0</x:v>
      </x:c>
      <x:c r="BE557" s="23" t="n">
        <x:f>MAX(0,MIN('Activities'!L557,318)-MAX('Activities'!K557,312))</x:f>
        <x:v>0</x:v>
      </x:c>
      <x:c r="BF557" s="23" t="n">
        <x:f>MAX(0,MIN('Activities'!L557,324)-MAX('Activities'!K557,318))</x:f>
        <x:v>0</x:v>
      </x:c>
      <x:c r="BG557" s="23" t="n">
        <x:f>MAX(0,MIN('Activities'!L557,330)-MAX('Activities'!K557,324))</x:f>
        <x:v>0</x:v>
      </x:c>
      <x:c r="BH557" s="23" t="n">
        <x:f>MAX(0,MIN('Activities'!L557,336)-MAX('Activities'!K557,330))</x:f>
        <x:v>0</x:v>
      </x:c>
      <x:c r="BI557" s="23" t="n">
        <x:f>MAX(0,MIN('Activities'!L557,342)-MAX('Activities'!K557,336))</x:f>
        <x:v>0</x:v>
      </x:c>
      <x:c r="BJ557" s="23" t="n">
        <x:f>MAX(0,MIN('Activities'!L557,348)-MAX('Activities'!K557,342))</x:f>
        <x:v>0</x:v>
      </x:c>
      <x:c r="BK557" s="23" t="n">
        <x:f>MAX(0,MIN('Activities'!L557,354)-MAX('Activities'!K557,348))</x:f>
        <x:v>0</x:v>
      </x:c>
      <x:c r="BL557" s="23" t="n">
        <x:f>MAX(0,MIN('Activities'!L557,360)-MAX('Activities'!K557,354))</x:f>
        <x:v>0</x:v>
      </x:c>
      <x:c r="BM557" s="23" t="n">
        <x:f>MAX(0,MIN('Activities'!L557,366)-MAX('Activities'!K557,360))</x:f>
        <x:v>0</x:v>
      </x:c>
      <x:c r="BN557" s="23" t="n">
        <x:f>MAX(0,MIN('Activities'!L557,372)-MAX('Activities'!K557,366))</x:f>
        <x:v>0</x:v>
      </x:c>
      <x:c r="BO557" s="23" t="n">
        <x:f>MAX(0,MIN('Activities'!L557,378)-MAX('Activities'!K557,372))</x:f>
        <x:v>0</x:v>
      </x:c>
      <x:c r="BP557" s="23" t="n">
        <x:f>MAX(0,MIN('Activities'!L557,384)-MAX('Activities'!K557,378))</x:f>
        <x:v>0</x:v>
      </x:c>
      <x:c r="BQ557" s="23" t="n">
        <x:f>MAX(0,MIN('Activities'!L557,390)-MAX('Activities'!K557,384))</x:f>
        <x:v>0</x:v>
      </x:c>
      <x:c r="BR557" s="23" t="n">
        <x:f>MAX(0,MIN('Activities'!L557,396)-MAX('Activities'!K557,390))</x:f>
        <x:v>0</x:v>
      </x:c>
      <x:c r="BS557" s="23" t="n">
        <x:f>MAX(0,MIN('Activities'!L557,402)-MAX('Activities'!K557,396))</x:f>
        <x:v>0</x:v>
      </x:c>
      <x:c r="BT557" s="23" t="n">
        <x:f>MAX(0,MIN('Activities'!L557,408)-MAX('Activities'!K557,402))</x:f>
        <x:v>0</x:v>
      </x:c>
      <x:c r="BU557" s="23" t="n">
        <x:f>MAX(0,MIN('Activities'!L557,414)-MAX('Activities'!K557,408))</x:f>
        <x:v>0</x:v>
      </x:c>
      <x:c r="BV557" s="23" t="n">
        <x:f>MAX(0,MIN('Activities'!L557,420)-MAX('Activities'!K557,414))</x:f>
        <x:v>0</x:v>
      </x:c>
      <x:c r="BW557" s="23" t="n">
        <x:f>MAX(0,MIN('Activities'!L557,426)-MAX('Activities'!K557,420))</x:f>
        <x:v>0</x:v>
      </x:c>
      <x:c r="BX557" s="23" t="n">
        <x:f>MAX(0,MIN('Activities'!L557,432)-MAX('Activities'!K557,426))</x:f>
        <x:v>0</x:v>
      </x:c>
      <x:c r="BY557" s="23" t="n">
        <x:f>MAX(0,MIN('Activities'!L557,438)-MAX('Activities'!K557,432))</x:f>
        <x:v>0</x:v>
      </x:c>
      <x:c r="BZ557" s="23" t="n">
        <x:f>MAX(0,MIN('Activities'!L557,444)-MAX('Activities'!K557,438))</x:f>
        <x:v>0</x:v>
      </x:c>
      <x:c r="CA557" s="23" t="n">
        <x:f>MAX(0,MIN('Activities'!L557,450)-MAX('Activities'!K557,444))</x:f>
        <x:v>0</x:v>
      </x:c>
      <x:c r="CB557" s="23" t="n">
        <x:f>MAX(0,MIN('Activities'!L557,456)-MAX('Activities'!K557,450))</x:f>
        <x:v>0</x:v>
      </x:c>
      <x:c r="CC557" s="23" t="n">
        <x:f>MAX(0,MIN('Activities'!L557,462)-MAX('Activities'!K557,456))</x:f>
        <x:v>0</x:v>
      </x:c>
      <x:c r="CD557" s="23" t="n">
        <x:f>MAX(0,MIN('Activities'!L557,468)-MAX('Activities'!K557,462))</x:f>
        <x:v>0</x:v>
      </x:c>
      <x:c r="CE557" s="23" t="n">
        <x:f>MAX(0,MIN('Activities'!L557,474)-MAX('Activities'!K557,468))</x:f>
        <x:v>0</x:v>
      </x:c>
      <x:c r="CF557" s="23" t="n">
        <x:f>MAX(0,MIN('Activities'!L557,480)-MAX('Activities'!K557,474))</x:f>
        <x:v>0</x:v>
      </x:c>
      <x:c r="CG557" s="23" t="n">
        <x:f>MAX(0,MIN('Activities'!L557,486)-MAX('Activities'!K557,480))</x:f>
        <x:v>0</x:v>
      </x:c>
      <x:c r="CH557" s="23" t="n">
        <x:f>MAX(0,MIN('Activities'!L557,492)-MAX('Activities'!K557,486))</x:f>
        <x:v>0</x:v>
      </x:c>
      <x:c r="CI557" s="23" t="n">
        <x:f>MAX(0,MIN('Activities'!L557,498)-MAX('Activities'!K557,492))</x:f>
        <x:v>0</x:v>
      </x:c>
      <x:c r="CJ557" s="23" t="n">
        <x:f>MAX(0,MIN('Activities'!L557,504)-MAX('Activities'!K557,498))</x:f>
        <x:v>0</x:v>
      </x:c>
      <x:c r="CK557" s="23" t="n">
        <x:f>MAX(0,MIN('Activities'!L557,510)-MAX('Activities'!K557,504))</x:f>
        <x:v>0</x:v>
      </x:c>
      <x:c r="CL557" s="23" t="n">
        <x:f>MAX(0,MIN('Activities'!L557,516)-MAX('Activities'!K557,510))</x:f>
        <x:v>0</x:v>
      </x:c>
      <x:c r="CM557" s="23" t="n">
        <x:f>MAX(0,MIN('Activities'!L557,522)-MAX('Activities'!K557,516))</x:f>
        <x:v>0</x:v>
      </x:c>
      <x:c r="CN557" s="23" t="n">
        <x:f>MAX(0,MIN('Activities'!L557,528)-MAX('Activities'!K557,522))</x:f>
        <x:v>0</x:v>
      </x:c>
      <x:c r="CO557" s="23" t="n">
        <x:f>MAX(0,MIN('Activities'!L557,534)-MAX('Activities'!K557,528))</x:f>
        <x:v>0</x:v>
      </x:c>
      <x:c r="CP557" s="23" t="n">
        <x:f>MAX(0,MIN('Activities'!L557,540)-MAX('Activities'!K557,534))</x:f>
        <x:v>0</x:v>
      </x:c>
      <x:c r="CQ557" s="23" t="n">
        <x:f>MAX(0,MIN('Activities'!L557,546)-MAX('Activities'!K557,540))</x:f>
        <x:v>0</x:v>
      </x:c>
      <x:c r="CR557" s="23" t="n">
        <x:f>MAX(0,MIN('Activities'!L557,552)-MAX('Activities'!K557,546))</x:f>
        <x:v>0</x:v>
      </x:c>
      <x:c r="CS557" s="23" t="n">
        <x:f>MAX(0,MIN('Activities'!L557,558)-MAX('Activities'!K557,552))</x:f>
        <x:v>0</x:v>
      </x:c>
      <x:c r="CT557" s="23" t="n">
        <x:f>MAX(0,MIN('Activities'!L557,564)-MAX('Activities'!K557,558))</x:f>
        <x:v>0</x:v>
      </x:c>
      <x:c r="CU557" s="23" t="n">
        <x:f>MAX(0,MIN('Activities'!L557,570)-MAX('Activities'!K557,564))</x:f>
        <x:v>0</x:v>
      </x:c>
      <x:c r="CV557" s="23" t="n">
        <x:f>MAX(0,MIN('Activities'!L557,576)-MAX('Activities'!K557,570))</x:f>
        <x:v>0</x:v>
      </x:c>
      <x:c r="CW557" s="23" t="n">
        <x:f>MAX(0,MIN('Activities'!L557,582)-MAX('Activities'!K557,576))</x:f>
        <x:v>0</x:v>
      </x:c>
      <x:c r="CX557" s="23" t="n">
        <x:f>MAX(0,MIN('Activities'!L557,588)-MAX('Activities'!K557,582))</x:f>
        <x:v>0</x:v>
      </x:c>
      <x:c r="CY557" s="23" t="n">
        <x:f>MAX(0,MIN('Activities'!L557,594)-MAX('Activities'!K557,588))</x:f>
        <x:v>0</x:v>
      </x:c>
      <x:c r="CZ557" s="23" t="n">
        <x:f>MAX(0,MIN('Activities'!L557,600)-MAX('Activities'!K557,594))</x:f>
        <x:v>0</x:v>
      </x:c>
      <x:c r="DA557" s="23" t="n">
        <x:f>MAX(0,MIN('Activities'!L557,606)-MAX('Activities'!K557,600))</x:f>
        <x:v>0</x:v>
      </x:c>
      <x:c r="DB557" s="23" t="n">
        <x:f>MAX(0,MIN('Activities'!L557,612)-MAX('Activities'!K557,606))</x:f>
        <x:v>0</x:v>
      </x:c>
      <x:c r="DC557" s="23" t="n">
        <x:f>MAX(0,MIN('Activities'!L557,618)-MAX('Activities'!K557,612))</x:f>
        <x:v>0</x:v>
      </x:c>
      <x:c r="DD557" s="23" t="n">
        <x:f>MAX(0,MIN('Activities'!L557,624)-MAX('Activities'!K557,618))</x:f>
        <x:v>0</x:v>
      </x:c>
      <x:c r="DE557" s="23" t="n">
        <x:f>MAX(0,MIN('Activities'!L557,630)-MAX('Activities'!K557,624))</x:f>
        <x:v>0</x:v>
      </x:c>
      <x:c r="DF557" s="23" t="n">
        <x:f>MAX(0,MIN('Activities'!L557,636)-MAX('Activities'!K557,630))</x:f>
        <x:v>0</x:v>
      </x:c>
    </x:row>
    <x:row r="558" ht="23" customHeight="1">
      <x:c r="A558" s="6" t="str">
        <x:v>T5-L02-C</x:v>
      </x:c>
      <x:c r="B558" s="6" t="str">
        <x:v>T5</x:v>
      </x:c>
      <x:c r="C558" s="6" t="str">
        <x:v>Concrete placement and finishing</x:v>
      </x:c>
      <x:c r="D558" s="6" t="str">
        <x:v>Concrete</x:v>
      </x:c>
      <x:c r="E558" s="22" t="n">
        <x:f>MAX(0,MIN('Activities'!L558,6)-MAX('Activities'!K558,0))</x:f>
        <x:v>0</x:v>
      </x:c>
      <x:c r="F558" s="22" t="n">
        <x:f>MAX(0,MIN('Activities'!L558,12)-MAX('Activities'!K558,6))</x:f>
        <x:v>0</x:v>
      </x:c>
      <x:c r="G558" s="22" t="n">
        <x:f>MAX(0,MIN('Activities'!L558,18)-MAX('Activities'!K558,12))</x:f>
        <x:v>0</x:v>
      </x:c>
      <x:c r="H558" s="22" t="n">
        <x:f>MAX(0,MIN('Activities'!L558,24)-MAX('Activities'!K558,18))</x:f>
        <x:v>0</x:v>
      </x:c>
      <x:c r="I558" s="22" t="n">
        <x:f>MAX(0,MIN('Activities'!L558,30)-MAX('Activities'!K558,24))</x:f>
        <x:v>0</x:v>
      </x:c>
      <x:c r="J558" s="22" t="n">
        <x:f>MAX(0,MIN('Activities'!L558,36)-MAX('Activities'!K558,30))</x:f>
        <x:v>0</x:v>
      </x:c>
      <x:c r="K558" s="22" t="n">
        <x:f>MAX(0,MIN('Activities'!L558,42)-MAX('Activities'!K558,36))</x:f>
        <x:v>0</x:v>
      </x:c>
      <x:c r="L558" s="22" t="n">
        <x:f>MAX(0,MIN('Activities'!L558,48)-MAX('Activities'!K558,42))</x:f>
        <x:v>0</x:v>
      </x:c>
      <x:c r="M558" s="22" t="n">
        <x:f>MAX(0,MIN('Activities'!L558,54)-MAX('Activities'!K558,48))</x:f>
        <x:v>0</x:v>
      </x:c>
      <x:c r="N558" s="22" t="n">
        <x:f>MAX(0,MIN('Activities'!L558,60)-MAX('Activities'!K558,54))</x:f>
        <x:v>0</x:v>
      </x:c>
      <x:c r="O558" s="22" t="n">
        <x:f>MAX(0,MIN('Activities'!L558,66)-MAX('Activities'!K558,60))</x:f>
        <x:v>0</x:v>
      </x:c>
      <x:c r="P558" s="22" t="n">
        <x:f>MAX(0,MIN('Activities'!L558,72)-MAX('Activities'!K558,66))</x:f>
        <x:v>0</x:v>
      </x:c>
      <x:c r="Q558" s="22" t="n">
        <x:f>MAX(0,MIN('Activities'!L558,78)-MAX('Activities'!K558,72))</x:f>
        <x:v>0</x:v>
      </x:c>
      <x:c r="R558" s="22" t="n">
        <x:f>MAX(0,MIN('Activities'!L558,84)-MAX('Activities'!K558,78))</x:f>
        <x:v>0</x:v>
      </x:c>
      <x:c r="S558" s="22" t="n">
        <x:f>MAX(0,MIN('Activities'!L558,90)-MAX('Activities'!K558,84))</x:f>
        <x:v>0</x:v>
      </x:c>
      <x:c r="T558" s="22" t="n">
        <x:f>MAX(0,MIN('Activities'!L558,96)-MAX('Activities'!K558,90))</x:f>
        <x:v>0</x:v>
      </x:c>
      <x:c r="U558" s="22" t="n">
        <x:f>MAX(0,MIN('Activities'!L558,102)-MAX('Activities'!K558,96))</x:f>
        <x:v>0</x:v>
      </x:c>
      <x:c r="V558" s="22" t="n">
        <x:f>MAX(0,MIN('Activities'!L558,108)-MAX('Activities'!K558,102))</x:f>
        <x:v>0</x:v>
      </x:c>
      <x:c r="W558" s="22" t="n">
        <x:f>MAX(0,MIN('Activities'!L558,114)-MAX('Activities'!K558,108))</x:f>
        <x:v>0</x:v>
      </x:c>
      <x:c r="X558" s="22" t="n">
        <x:f>MAX(0,MIN('Activities'!L558,120)-MAX('Activities'!K558,114))</x:f>
        <x:v>0</x:v>
      </x:c>
      <x:c r="Y558" s="22" t="n">
        <x:f>MAX(0,MIN('Activities'!L558,126)-MAX('Activities'!K558,120))</x:f>
        <x:v>0</x:v>
      </x:c>
      <x:c r="Z558" s="22" t="n">
        <x:f>MAX(0,MIN('Activities'!L558,132)-MAX('Activities'!K558,126))</x:f>
        <x:v>0</x:v>
      </x:c>
      <x:c r="AA558" s="22" t="n">
        <x:f>MAX(0,MIN('Activities'!L558,138)-MAX('Activities'!K558,132))</x:f>
        <x:v>0</x:v>
      </x:c>
      <x:c r="AB558" s="22" t="n">
        <x:f>MAX(0,MIN('Activities'!L558,144)-MAX('Activities'!K558,138))</x:f>
        <x:v>0</x:v>
      </x:c>
      <x:c r="AC558" s="22" t="n">
        <x:f>MAX(0,MIN('Activities'!L558,150)-MAX('Activities'!K558,144))</x:f>
        <x:v>0</x:v>
      </x:c>
      <x:c r="AD558" s="22" t="n">
        <x:f>MAX(0,MIN('Activities'!L558,156)-MAX('Activities'!K558,150))</x:f>
        <x:v>0</x:v>
      </x:c>
      <x:c r="AE558" s="22" t="n">
        <x:f>MAX(0,MIN('Activities'!L558,162)-MAX('Activities'!K558,156))</x:f>
        <x:v>0</x:v>
      </x:c>
      <x:c r="AF558" s="22" t="n">
        <x:f>MAX(0,MIN('Activities'!L558,168)-MAX('Activities'!K558,162))</x:f>
        <x:v>0</x:v>
      </x:c>
      <x:c r="AG558" s="22" t="n">
        <x:f>MAX(0,MIN('Activities'!L558,174)-MAX('Activities'!K558,168))</x:f>
        <x:v>0</x:v>
      </x:c>
      <x:c r="AH558" s="22" t="n">
        <x:f>MAX(0,MIN('Activities'!L558,180)-MAX('Activities'!K558,174))</x:f>
        <x:v>0</x:v>
      </x:c>
      <x:c r="AI558" s="22" t="n">
        <x:f>MAX(0,MIN('Activities'!L558,186)-MAX('Activities'!K558,180))</x:f>
        <x:v>0</x:v>
      </x:c>
      <x:c r="AJ558" s="22" t="n">
        <x:f>MAX(0,MIN('Activities'!L558,192)-MAX('Activities'!K558,186))</x:f>
        <x:v>0</x:v>
      </x:c>
      <x:c r="AK558" s="22" t="n">
        <x:f>MAX(0,MIN('Activities'!L558,198)-MAX('Activities'!K558,192))</x:f>
        <x:v>0</x:v>
      </x:c>
      <x:c r="AL558" s="22" t="n">
        <x:f>MAX(0,MIN('Activities'!L558,204)-MAX('Activities'!K558,198))</x:f>
        <x:v>0</x:v>
      </x:c>
      <x:c r="AM558" s="22" t="n">
        <x:f>MAX(0,MIN('Activities'!L558,210)-MAX('Activities'!K558,204))</x:f>
        <x:v>0</x:v>
      </x:c>
      <x:c r="AN558" s="22" t="n">
        <x:f>MAX(0,MIN('Activities'!L558,216)-MAX('Activities'!K558,210))</x:f>
        <x:v>0</x:v>
      </x:c>
      <x:c r="AO558" s="22" t="n">
        <x:f>MAX(0,MIN('Activities'!L558,222)-MAX('Activities'!K558,216))</x:f>
        <x:v>0</x:v>
      </x:c>
      <x:c r="AP558" s="22" t="n">
        <x:f>MAX(0,MIN('Activities'!L558,228)-MAX('Activities'!K558,222))</x:f>
        <x:v>0</x:v>
      </x:c>
      <x:c r="AQ558" s="22" t="n">
        <x:f>MAX(0,MIN('Activities'!L558,234)-MAX('Activities'!K558,228))</x:f>
        <x:v>2</x:v>
      </x:c>
      <x:c r="AR558" s="22" t="n">
        <x:f>MAX(0,MIN('Activities'!L558,240)-MAX('Activities'!K558,234))</x:f>
        <x:v>0</x:v>
      </x:c>
      <x:c r="AS558" s="22" t="n">
        <x:f>MAX(0,MIN('Activities'!L558,246)-MAX('Activities'!K558,240))</x:f>
        <x:v>0</x:v>
      </x:c>
      <x:c r="AT558" s="22" t="n">
        <x:f>MAX(0,MIN('Activities'!L558,252)-MAX('Activities'!K558,246))</x:f>
        <x:v>0</x:v>
      </x:c>
      <x:c r="AU558" s="22" t="n">
        <x:f>MAX(0,MIN('Activities'!L558,258)-MAX('Activities'!K558,252))</x:f>
        <x:v>0</x:v>
      </x:c>
      <x:c r="AV558" s="22" t="n">
        <x:f>MAX(0,MIN('Activities'!L558,264)-MAX('Activities'!K558,258))</x:f>
        <x:v>0</x:v>
      </x:c>
      <x:c r="AW558" s="22" t="n">
        <x:f>MAX(0,MIN('Activities'!L558,270)-MAX('Activities'!K558,264))</x:f>
        <x:v>0</x:v>
      </x:c>
      <x:c r="AX558" s="22" t="n">
        <x:f>MAX(0,MIN('Activities'!L558,276)-MAX('Activities'!K558,270))</x:f>
        <x:v>0</x:v>
      </x:c>
      <x:c r="AY558" s="22" t="n">
        <x:f>MAX(0,MIN('Activities'!L558,282)-MAX('Activities'!K558,276))</x:f>
        <x:v>0</x:v>
      </x:c>
      <x:c r="AZ558" s="22" t="n">
        <x:f>MAX(0,MIN('Activities'!L558,288)-MAX('Activities'!K558,282))</x:f>
        <x:v>0</x:v>
      </x:c>
      <x:c r="BA558" s="22" t="n">
        <x:f>MAX(0,MIN('Activities'!L558,294)-MAX('Activities'!K558,288))</x:f>
        <x:v>0</x:v>
      </x:c>
      <x:c r="BB558" s="22" t="n">
        <x:f>MAX(0,MIN('Activities'!L558,300)-MAX('Activities'!K558,294))</x:f>
        <x:v>0</x:v>
      </x:c>
      <x:c r="BC558" s="22" t="n">
        <x:f>MAX(0,MIN('Activities'!L558,306)-MAX('Activities'!K558,300))</x:f>
        <x:v>0</x:v>
      </x:c>
      <x:c r="BD558" s="22" t="n">
        <x:f>MAX(0,MIN('Activities'!L558,312)-MAX('Activities'!K558,306))</x:f>
        <x:v>0</x:v>
      </x:c>
      <x:c r="BE558" s="22" t="n">
        <x:f>MAX(0,MIN('Activities'!L558,318)-MAX('Activities'!K558,312))</x:f>
        <x:v>0</x:v>
      </x:c>
      <x:c r="BF558" s="22" t="n">
        <x:f>MAX(0,MIN('Activities'!L558,324)-MAX('Activities'!K558,318))</x:f>
        <x:v>0</x:v>
      </x:c>
      <x:c r="BG558" s="22" t="n">
        <x:f>MAX(0,MIN('Activities'!L558,330)-MAX('Activities'!K558,324))</x:f>
        <x:v>0</x:v>
      </x:c>
      <x:c r="BH558" s="22" t="n">
        <x:f>MAX(0,MIN('Activities'!L558,336)-MAX('Activities'!K558,330))</x:f>
        <x:v>0</x:v>
      </x:c>
      <x:c r="BI558" s="22" t="n">
        <x:f>MAX(0,MIN('Activities'!L558,342)-MAX('Activities'!K558,336))</x:f>
        <x:v>0</x:v>
      </x:c>
      <x:c r="BJ558" s="22" t="n">
        <x:f>MAX(0,MIN('Activities'!L558,348)-MAX('Activities'!K558,342))</x:f>
        <x:v>0</x:v>
      </x:c>
      <x:c r="BK558" s="22" t="n">
        <x:f>MAX(0,MIN('Activities'!L558,354)-MAX('Activities'!K558,348))</x:f>
        <x:v>0</x:v>
      </x:c>
      <x:c r="BL558" s="22" t="n">
        <x:f>MAX(0,MIN('Activities'!L558,360)-MAX('Activities'!K558,354))</x:f>
        <x:v>0</x:v>
      </x:c>
      <x:c r="BM558" s="22" t="n">
        <x:f>MAX(0,MIN('Activities'!L558,366)-MAX('Activities'!K558,360))</x:f>
        <x:v>0</x:v>
      </x:c>
      <x:c r="BN558" s="22" t="n">
        <x:f>MAX(0,MIN('Activities'!L558,372)-MAX('Activities'!K558,366))</x:f>
        <x:v>0</x:v>
      </x:c>
      <x:c r="BO558" s="22" t="n">
        <x:f>MAX(0,MIN('Activities'!L558,378)-MAX('Activities'!K558,372))</x:f>
        <x:v>0</x:v>
      </x:c>
      <x:c r="BP558" s="22" t="n">
        <x:f>MAX(0,MIN('Activities'!L558,384)-MAX('Activities'!K558,378))</x:f>
        <x:v>0</x:v>
      </x:c>
      <x:c r="BQ558" s="22" t="n">
        <x:f>MAX(0,MIN('Activities'!L558,390)-MAX('Activities'!K558,384))</x:f>
        <x:v>0</x:v>
      </x:c>
      <x:c r="BR558" s="22" t="n">
        <x:f>MAX(0,MIN('Activities'!L558,396)-MAX('Activities'!K558,390))</x:f>
        <x:v>0</x:v>
      </x:c>
      <x:c r="BS558" s="22" t="n">
        <x:f>MAX(0,MIN('Activities'!L558,402)-MAX('Activities'!K558,396))</x:f>
        <x:v>0</x:v>
      </x:c>
      <x:c r="BT558" s="22" t="n">
        <x:f>MAX(0,MIN('Activities'!L558,408)-MAX('Activities'!K558,402))</x:f>
        <x:v>0</x:v>
      </x:c>
      <x:c r="BU558" s="22" t="n">
        <x:f>MAX(0,MIN('Activities'!L558,414)-MAX('Activities'!K558,408))</x:f>
        <x:v>0</x:v>
      </x:c>
      <x:c r="BV558" s="22" t="n">
        <x:f>MAX(0,MIN('Activities'!L558,420)-MAX('Activities'!K558,414))</x:f>
        <x:v>0</x:v>
      </x:c>
      <x:c r="BW558" s="22" t="n">
        <x:f>MAX(0,MIN('Activities'!L558,426)-MAX('Activities'!K558,420))</x:f>
        <x:v>0</x:v>
      </x:c>
      <x:c r="BX558" s="22" t="n">
        <x:f>MAX(0,MIN('Activities'!L558,432)-MAX('Activities'!K558,426))</x:f>
        <x:v>0</x:v>
      </x:c>
      <x:c r="BY558" s="22" t="n">
        <x:f>MAX(0,MIN('Activities'!L558,438)-MAX('Activities'!K558,432))</x:f>
        <x:v>0</x:v>
      </x:c>
      <x:c r="BZ558" s="22" t="n">
        <x:f>MAX(0,MIN('Activities'!L558,444)-MAX('Activities'!K558,438))</x:f>
        <x:v>0</x:v>
      </x:c>
      <x:c r="CA558" s="22" t="n">
        <x:f>MAX(0,MIN('Activities'!L558,450)-MAX('Activities'!K558,444))</x:f>
        <x:v>0</x:v>
      </x:c>
      <x:c r="CB558" s="22" t="n">
        <x:f>MAX(0,MIN('Activities'!L558,456)-MAX('Activities'!K558,450))</x:f>
        <x:v>0</x:v>
      </x:c>
      <x:c r="CC558" s="22" t="n">
        <x:f>MAX(0,MIN('Activities'!L558,462)-MAX('Activities'!K558,456))</x:f>
        <x:v>0</x:v>
      </x:c>
      <x:c r="CD558" s="22" t="n">
        <x:f>MAX(0,MIN('Activities'!L558,468)-MAX('Activities'!K558,462))</x:f>
        <x:v>0</x:v>
      </x:c>
      <x:c r="CE558" s="22" t="n">
        <x:f>MAX(0,MIN('Activities'!L558,474)-MAX('Activities'!K558,468))</x:f>
        <x:v>0</x:v>
      </x:c>
      <x:c r="CF558" s="22" t="n">
        <x:f>MAX(0,MIN('Activities'!L558,480)-MAX('Activities'!K558,474))</x:f>
        <x:v>0</x:v>
      </x:c>
      <x:c r="CG558" s="22" t="n">
        <x:f>MAX(0,MIN('Activities'!L558,486)-MAX('Activities'!K558,480))</x:f>
        <x:v>0</x:v>
      </x:c>
      <x:c r="CH558" s="22" t="n">
        <x:f>MAX(0,MIN('Activities'!L558,492)-MAX('Activities'!K558,486))</x:f>
        <x:v>0</x:v>
      </x:c>
      <x:c r="CI558" s="22" t="n">
        <x:f>MAX(0,MIN('Activities'!L558,498)-MAX('Activities'!K558,492))</x:f>
        <x:v>0</x:v>
      </x:c>
      <x:c r="CJ558" s="22" t="n">
        <x:f>MAX(0,MIN('Activities'!L558,504)-MAX('Activities'!K558,498))</x:f>
        <x:v>0</x:v>
      </x:c>
      <x:c r="CK558" s="22" t="n">
        <x:f>MAX(0,MIN('Activities'!L558,510)-MAX('Activities'!K558,504))</x:f>
        <x:v>0</x:v>
      </x:c>
      <x:c r="CL558" s="22" t="n">
        <x:f>MAX(0,MIN('Activities'!L558,516)-MAX('Activities'!K558,510))</x:f>
        <x:v>0</x:v>
      </x:c>
      <x:c r="CM558" s="22" t="n">
        <x:f>MAX(0,MIN('Activities'!L558,522)-MAX('Activities'!K558,516))</x:f>
        <x:v>0</x:v>
      </x:c>
      <x:c r="CN558" s="22" t="n">
        <x:f>MAX(0,MIN('Activities'!L558,528)-MAX('Activities'!K558,522))</x:f>
        <x:v>0</x:v>
      </x:c>
      <x:c r="CO558" s="22" t="n">
        <x:f>MAX(0,MIN('Activities'!L558,534)-MAX('Activities'!K558,528))</x:f>
        <x:v>0</x:v>
      </x:c>
      <x:c r="CP558" s="22" t="n">
        <x:f>MAX(0,MIN('Activities'!L558,540)-MAX('Activities'!K558,534))</x:f>
        <x:v>0</x:v>
      </x:c>
      <x:c r="CQ558" s="22" t="n">
        <x:f>MAX(0,MIN('Activities'!L558,546)-MAX('Activities'!K558,540))</x:f>
        <x:v>0</x:v>
      </x:c>
      <x:c r="CR558" s="22" t="n">
        <x:f>MAX(0,MIN('Activities'!L558,552)-MAX('Activities'!K558,546))</x:f>
        <x:v>0</x:v>
      </x:c>
      <x:c r="CS558" s="22" t="n">
        <x:f>MAX(0,MIN('Activities'!L558,558)-MAX('Activities'!K558,552))</x:f>
        <x:v>0</x:v>
      </x:c>
      <x:c r="CT558" s="22" t="n">
        <x:f>MAX(0,MIN('Activities'!L558,564)-MAX('Activities'!K558,558))</x:f>
        <x:v>0</x:v>
      </x:c>
      <x:c r="CU558" s="22" t="n">
        <x:f>MAX(0,MIN('Activities'!L558,570)-MAX('Activities'!K558,564))</x:f>
        <x:v>0</x:v>
      </x:c>
      <x:c r="CV558" s="22" t="n">
        <x:f>MAX(0,MIN('Activities'!L558,576)-MAX('Activities'!K558,570))</x:f>
        <x:v>0</x:v>
      </x:c>
      <x:c r="CW558" s="22" t="n">
        <x:f>MAX(0,MIN('Activities'!L558,582)-MAX('Activities'!K558,576))</x:f>
        <x:v>0</x:v>
      </x:c>
      <x:c r="CX558" s="22" t="n">
        <x:f>MAX(0,MIN('Activities'!L558,588)-MAX('Activities'!K558,582))</x:f>
        <x:v>0</x:v>
      </x:c>
      <x:c r="CY558" s="22" t="n">
        <x:f>MAX(0,MIN('Activities'!L558,594)-MAX('Activities'!K558,588))</x:f>
        <x:v>0</x:v>
      </x:c>
      <x:c r="CZ558" s="22" t="n">
        <x:f>MAX(0,MIN('Activities'!L558,600)-MAX('Activities'!K558,594))</x:f>
        <x:v>0</x:v>
      </x:c>
      <x:c r="DA558" s="22" t="n">
        <x:f>MAX(0,MIN('Activities'!L558,606)-MAX('Activities'!K558,600))</x:f>
        <x:v>0</x:v>
      </x:c>
      <x:c r="DB558" s="22" t="n">
        <x:f>MAX(0,MIN('Activities'!L558,612)-MAX('Activities'!K558,606))</x:f>
        <x:v>0</x:v>
      </x:c>
      <x:c r="DC558" s="22" t="n">
        <x:f>MAX(0,MIN('Activities'!L558,618)-MAX('Activities'!K558,612))</x:f>
        <x:v>0</x:v>
      </x:c>
      <x:c r="DD558" s="22" t="n">
        <x:f>MAX(0,MIN('Activities'!L558,624)-MAX('Activities'!K558,618))</x:f>
        <x:v>0</x:v>
      </x:c>
      <x:c r="DE558" s="22" t="n">
        <x:f>MAX(0,MIN('Activities'!L558,630)-MAX('Activities'!K558,624))</x:f>
        <x:v>0</x:v>
      </x:c>
      <x:c r="DF558" s="22" t="n">
        <x:f>MAX(0,MIN('Activities'!L558,636)-MAX('Activities'!K558,630))</x:f>
        <x:v>0</x:v>
      </x:c>
    </x:row>
    <x:row r="559" ht="23" customHeight="1">
      <x:c r="A559" s="1" t="str">
        <x:v>T5-L02-H</x:v>
      </x:c>
      <x:c r="B559" s="1" t="str">
        <x:v>T5</x:v>
      </x:c>
      <x:c r="C559" s="1" t="str">
        <x:v>Curing and release hold point</x:v>
      </x:c>
      <x:c r="D559" s="1" t="str">
        <x:v>Site</x:v>
      </x:c>
      <x:c r="E559" s="23" t="n">
        <x:f>MAX(0,MIN('Activities'!L559,6)-MAX('Activities'!K559,0))</x:f>
        <x:v>0</x:v>
      </x:c>
      <x:c r="F559" s="23" t="n">
        <x:f>MAX(0,MIN('Activities'!L559,12)-MAX('Activities'!K559,6))</x:f>
        <x:v>0</x:v>
      </x:c>
      <x:c r="G559" s="23" t="n">
        <x:f>MAX(0,MIN('Activities'!L559,18)-MAX('Activities'!K559,12))</x:f>
        <x:v>0</x:v>
      </x:c>
      <x:c r="H559" s="23" t="n">
        <x:f>MAX(0,MIN('Activities'!L559,24)-MAX('Activities'!K559,18))</x:f>
        <x:v>0</x:v>
      </x:c>
      <x:c r="I559" s="23" t="n">
        <x:f>MAX(0,MIN('Activities'!L559,30)-MAX('Activities'!K559,24))</x:f>
        <x:v>0</x:v>
      </x:c>
      <x:c r="J559" s="23" t="n">
        <x:f>MAX(0,MIN('Activities'!L559,36)-MAX('Activities'!K559,30))</x:f>
        <x:v>0</x:v>
      </x:c>
      <x:c r="K559" s="23" t="n">
        <x:f>MAX(0,MIN('Activities'!L559,42)-MAX('Activities'!K559,36))</x:f>
        <x:v>0</x:v>
      </x:c>
      <x:c r="L559" s="23" t="n">
        <x:f>MAX(0,MIN('Activities'!L559,48)-MAX('Activities'!K559,42))</x:f>
        <x:v>0</x:v>
      </x:c>
      <x:c r="M559" s="23" t="n">
        <x:f>MAX(0,MIN('Activities'!L559,54)-MAX('Activities'!K559,48))</x:f>
        <x:v>0</x:v>
      </x:c>
      <x:c r="N559" s="23" t="n">
        <x:f>MAX(0,MIN('Activities'!L559,60)-MAX('Activities'!K559,54))</x:f>
        <x:v>0</x:v>
      </x:c>
      <x:c r="O559" s="23" t="n">
        <x:f>MAX(0,MIN('Activities'!L559,66)-MAX('Activities'!K559,60))</x:f>
        <x:v>0</x:v>
      </x:c>
      <x:c r="P559" s="23" t="n">
        <x:f>MAX(0,MIN('Activities'!L559,72)-MAX('Activities'!K559,66))</x:f>
        <x:v>0</x:v>
      </x:c>
      <x:c r="Q559" s="23" t="n">
        <x:f>MAX(0,MIN('Activities'!L559,78)-MAX('Activities'!K559,72))</x:f>
        <x:v>0</x:v>
      </x:c>
      <x:c r="R559" s="23" t="n">
        <x:f>MAX(0,MIN('Activities'!L559,84)-MAX('Activities'!K559,78))</x:f>
        <x:v>0</x:v>
      </x:c>
      <x:c r="S559" s="23" t="n">
        <x:f>MAX(0,MIN('Activities'!L559,90)-MAX('Activities'!K559,84))</x:f>
        <x:v>0</x:v>
      </x:c>
      <x:c r="T559" s="23" t="n">
        <x:f>MAX(0,MIN('Activities'!L559,96)-MAX('Activities'!K559,90))</x:f>
        <x:v>0</x:v>
      </x:c>
      <x:c r="U559" s="23" t="n">
        <x:f>MAX(0,MIN('Activities'!L559,102)-MAX('Activities'!K559,96))</x:f>
        <x:v>0</x:v>
      </x:c>
      <x:c r="V559" s="23" t="n">
        <x:f>MAX(0,MIN('Activities'!L559,108)-MAX('Activities'!K559,102))</x:f>
        <x:v>0</x:v>
      </x:c>
      <x:c r="W559" s="23" t="n">
        <x:f>MAX(0,MIN('Activities'!L559,114)-MAX('Activities'!K559,108))</x:f>
        <x:v>0</x:v>
      </x:c>
      <x:c r="X559" s="23" t="n">
        <x:f>MAX(0,MIN('Activities'!L559,120)-MAX('Activities'!K559,114))</x:f>
        <x:v>0</x:v>
      </x:c>
      <x:c r="Y559" s="23" t="n">
        <x:f>MAX(0,MIN('Activities'!L559,126)-MAX('Activities'!K559,120))</x:f>
        <x:v>0</x:v>
      </x:c>
      <x:c r="Z559" s="23" t="n">
        <x:f>MAX(0,MIN('Activities'!L559,132)-MAX('Activities'!K559,126))</x:f>
        <x:v>0</x:v>
      </x:c>
      <x:c r="AA559" s="23" t="n">
        <x:f>MAX(0,MIN('Activities'!L559,138)-MAX('Activities'!K559,132))</x:f>
        <x:v>0</x:v>
      </x:c>
      <x:c r="AB559" s="23" t="n">
        <x:f>MAX(0,MIN('Activities'!L559,144)-MAX('Activities'!K559,138))</x:f>
        <x:v>0</x:v>
      </x:c>
      <x:c r="AC559" s="23" t="n">
        <x:f>MAX(0,MIN('Activities'!L559,150)-MAX('Activities'!K559,144))</x:f>
        <x:v>0</x:v>
      </x:c>
      <x:c r="AD559" s="23" t="n">
        <x:f>MAX(0,MIN('Activities'!L559,156)-MAX('Activities'!K559,150))</x:f>
        <x:v>0</x:v>
      </x:c>
      <x:c r="AE559" s="23" t="n">
        <x:f>MAX(0,MIN('Activities'!L559,162)-MAX('Activities'!K559,156))</x:f>
        <x:v>0</x:v>
      </x:c>
      <x:c r="AF559" s="23" t="n">
        <x:f>MAX(0,MIN('Activities'!L559,168)-MAX('Activities'!K559,162))</x:f>
        <x:v>0</x:v>
      </x:c>
      <x:c r="AG559" s="23" t="n">
        <x:f>MAX(0,MIN('Activities'!L559,174)-MAX('Activities'!K559,168))</x:f>
        <x:v>0</x:v>
      </x:c>
      <x:c r="AH559" s="23" t="n">
        <x:f>MAX(0,MIN('Activities'!L559,180)-MAX('Activities'!K559,174))</x:f>
        <x:v>0</x:v>
      </x:c>
      <x:c r="AI559" s="23" t="n">
        <x:f>MAX(0,MIN('Activities'!L559,186)-MAX('Activities'!K559,180))</x:f>
        <x:v>0</x:v>
      </x:c>
      <x:c r="AJ559" s="23" t="n">
        <x:f>MAX(0,MIN('Activities'!L559,192)-MAX('Activities'!K559,186))</x:f>
        <x:v>0</x:v>
      </x:c>
      <x:c r="AK559" s="23" t="n">
        <x:f>MAX(0,MIN('Activities'!L559,198)-MAX('Activities'!K559,192))</x:f>
        <x:v>0</x:v>
      </x:c>
      <x:c r="AL559" s="23" t="n">
        <x:f>MAX(0,MIN('Activities'!L559,204)-MAX('Activities'!K559,198))</x:f>
        <x:v>0</x:v>
      </x:c>
      <x:c r="AM559" s="23" t="n">
        <x:f>MAX(0,MIN('Activities'!L559,210)-MAX('Activities'!K559,204))</x:f>
        <x:v>0</x:v>
      </x:c>
      <x:c r="AN559" s="23" t="n">
        <x:f>MAX(0,MIN('Activities'!L559,216)-MAX('Activities'!K559,210))</x:f>
        <x:v>0</x:v>
      </x:c>
      <x:c r="AO559" s="23" t="n">
        <x:f>MAX(0,MIN('Activities'!L559,222)-MAX('Activities'!K559,216))</x:f>
        <x:v>0</x:v>
      </x:c>
      <x:c r="AP559" s="23" t="n">
        <x:f>MAX(0,MIN('Activities'!L559,228)-MAX('Activities'!K559,222))</x:f>
        <x:v>0</x:v>
      </x:c>
      <x:c r="AQ559" s="23" t="n">
        <x:f>MAX(0,MIN('Activities'!L559,234)-MAX('Activities'!K559,228))</x:f>
        <x:v>3</x:v>
      </x:c>
      <x:c r="AR559" s="23" t="n">
        <x:f>MAX(0,MIN('Activities'!L559,240)-MAX('Activities'!K559,234))</x:f>
        <x:v>2</x:v>
      </x:c>
      <x:c r="AS559" s="23" t="n">
        <x:f>MAX(0,MIN('Activities'!L559,246)-MAX('Activities'!K559,240))</x:f>
        <x:v>0</x:v>
      </x:c>
      <x:c r="AT559" s="23" t="n">
        <x:f>MAX(0,MIN('Activities'!L559,252)-MAX('Activities'!K559,246))</x:f>
        <x:v>0</x:v>
      </x:c>
      <x:c r="AU559" s="23" t="n">
        <x:f>MAX(0,MIN('Activities'!L559,258)-MAX('Activities'!K559,252))</x:f>
        <x:v>0</x:v>
      </x:c>
      <x:c r="AV559" s="23" t="n">
        <x:f>MAX(0,MIN('Activities'!L559,264)-MAX('Activities'!K559,258))</x:f>
        <x:v>0</x:v>
      </x:c>
      <x:c r="AW559" s="23" t="n">
        <x:f>MAX(0,MIN('Activities'!L559,270)-MAX('Activities'!K559,264))</x:f>
        <x:v>0</x:v>
      </x:c>
      <x:c r="AX559" s="23" t="n">
        <x:f>MAX(0,MIN('Activities'!L559,276)-MAX('Activities'!K559,270))</x:f>
        <x:v>0</x:v>
      </x:c>
      <x:c r="AY559" s="23" t="n">
        <x:f>MAX(0,MIN('Activities'!L559,282)-MAX('Activities'!K559,276))</x:f>
        <x:v>0</x:v>
      </x:c>
      <x:c r="AZ559" s="23" t="n">
        <x:f>MAX(0,MIN('Activities'!L559,288)-MAX('Activities'!K559,282))</x:f>
        <x:v>0</x:v>
      </x:c>
      <x:c r="BA559" s="23" t="n">
        <x:f>MAX(0,MIN('Activities'!L559,294)-MAX('Activities'!K559,288))</x:f>
        <x:v>0</x:v>
      </x:c>
      <x:c r="BB559" s="23" t="n">
        <x:f>MAX(0,MIN('Activities'!L559,300)-MAX('Activities'!K559,294))</x:f>
        <x:v>0</x:v>
      </x:c>
      <x:c r="BC559" s="23" t="n">
        <x:f>MAX(0,MIN('Activities'!L559,306)-MAX('Activities'!K559,300))</x:f>
        <x:v>0</x:v>
      </x:c>
      <x:c r="BD559" s="23" t="n">
        <x:f>MAX(0,MIN('Activities'!L559,312)-MAX('Activities'!K559,306))</x:f>
        <x:v>0</x:v>
      </x:c>
      <x:c r="BE559" s="23" t="n">
        <x:f>MAX(0,MIN('Activities'!L559,318)-MAX('Activities'!K559,312))</x:f>
        <x:v>0</x:v>
      </x:c>
      <x:c r="BF559" s="23" t="n">
        <x:f>MAX(0,MIN('Activities'!L559,324)-MAX('Activities'!K559,318))</x:f>
        <x:v>0</x:v>
      </x:c>
      <x:c r="BG559" s="23" t="n">
        <x:f>MAX(0,MIN('Activities'!L559,330)-MAX('Activities'!K559,324))</x:f>
        <x:v>0</x:v>
      </x:c>
      <x:c r="BH559" s="23" t="n">
        <x:f>MAX(0,MIN('Activities'!L559,336)-MAX('Activities'!K559,330))</x:f>
        <x:v>0</x:v>
      </x:c>
      <x:c r="BI559" s="23" t="n">
        <x:f>MAX(0,MIN('Activities'!L559,342)-MAX('Activities'!K559,336))</x:f>
        <x:v>0</x:v>
      </x:c>
      <x:c r="BJ559" s="23" t="n">
        <x:f>MAX(0,MIN('Activities'!L559,348)-MAX('Activities'!K559,342))</x:f>
        <x:v>0</x:v>
      </x:c>
      <x:c r="BK559" s="23" t="n">
        <x:f>MAX(0,MIN('Activities'!L559,354)-MAX('Activities'!K559,348))</x:f>
        <x:v>0</x:v>
      </x:c>
      <x:c r="BL559" s="23" t="n">
        <x:f>MAX(0,MIN('Activities'!L559,360)-MAX('Activities'!K559,354))</x:f>
        <x:v>0</x:v>
      </x:c>
      <x:c r="BM559" s="23" t="n">
        <x:f>MAX(0,MIN('Activities'!L559,366)-MAX('Activities'!K559,360))</x:f>
        <x:v>0</x:v>
      </x:c>
      <x:c r="BN559" s="23" t="n">
        <x:f>MAX(0,MIN('Activities'!L559,372)-MAX('Activities'!K559,366))</x:f>
        <x:v>0</x:v>
      </x:c>
      <x:c r="BO559" s="23" t="n">
        <x:f>MAX(0,MIN('Activities'!L559,378)-MAX('Activities'!K559,372))</x:f>
        <x:v>0</x:v>
      </x:c>
      <x:c r="BP559" s="23" t="n">
        <x:f>MAX(0,MIN('Activities'!L559,384)-MAX('Activities'!K559,378))</x:f>
        <x:v>0</x:v>
      </x:c>
      <x:c r="BQ559" s="23" t="n">
        <x:f>MAX(0,MIN('Activities'!L559,390)-MAX('Activities'!K559,384))</x:f>
        <x:v>0</x:v>
      </x:c>
      <x:c r="BR559" s="23" t="n">
        <x:f>MAX(0,MIN('Activities'!L559,396)-MAX('Activities'!K559,390))</x:f>
        <x:v>0</x:v>
      </x:c>
      <x:c r="BS559" s="23" t="n">
        <x:f>MAX(0,MIN('Activities'!L559,402)-MAX('Activities'!K559,396))</x:f>
        <x:v>0</x:v>
      </x:c>
      <x:c r="BT559" s="23" t="n">
        <x:f>MAX(0,MIN('Activities'!L559,408)-MAX('Activities'!K559,402))</x:f>
        <x:v>0</x:v>
      </x:c>
      <x:c r="BU559" s="23" t="n">
        <x:f>MAX(0,MIN('Activities'!L559,414)-MAX('Activities'!K559,408))</x:f>
        <x:v>0</x:v>
      </x:c>
      <x:c r="BV559" s="23" t="n">
        <x:f>MAX(0,MIN('Activities'!L559,420)-MAX('Activities'!K559,414))</x:f>
        <x:v>0</x:v>
      </x:c>
      <x:c r="BW559" s="23" t="n">
        <x:f>MAX(0,MIN('Activities'!L559,426)-MAX('Activities'!K559,420))</x:f>
        <x:v>0</x:v>
      </x:c>
      <x:c r="BX559" s="23" t="n">
        <x:f>MAX(0,MIN('Activities'!L559,432)-MAX('Activities'!K559,426))</x:f>
        <x:v>0</x:v>
      </x:c>
      <x:c r="BY559" s="23" t="n">
        <x:f>MAX(0,MIN('Activities'!L559,438)-MAX('Activities'!K559,432))</x:f>
        <x:v>0</x:v>
      </x:c>
      <x:c r="BZ559" s="23" t="n">
        <x:f>MAX(0,MIN('Activities'!L559,444)-MAX('Activities'!K559,438))</x:f>
        <x:v>0</x:v>
      </x:c>
      <x:c r="CA559" s="23" t="n">
        <x:f>MAX(0,MIN('Activities'!L559,450)-MAX('Activities'!K559,444))</x:f>
        <x:v>0</x:v>
      </x:c>
      <x:c r="CB559" s="23" t="n">
        <x:f>MAX(0,MIN('Activities'!L559,456)-MAX('Activities'!K559,450))</x:f>
        <x:v>0</x:v>
      </x:c>
      <x:c r="CC559" s="23" t="n">
        <x:f>MAX(0,MIN('Activities'!L559,462)-MAX('Activities'!K559,456))</x:f>
        <x:v>0</x:v>
      </x:c>
      <x:c r="CD559" s="23" t="n">
        <x:f>MAX(0,MIN('Activities'!L559,468)-MAX('Activities'!K559,462))</x:f>
        <x:v>0</x:v>
      </x:c>
      <x:c r="CE559" s="23" t="n">
        <x:f>MAX(0,MIN('Activities'!L559,474)-MAX('Activities'!K559,468))</x:f>
        <x:v>0</x:v>
      </x:c>
      <x:c r="CF559" s="23" t="n">
        <x:f>MAX(0,MIN('Activities'!L559,480)-MAX('Activities'!K559,474))</x:f>
        <x:v>0</x:v>
      </x:c>
      <x:c r="CG559" s="23" t="n">
        <x:f>MAX(0,MIN('Activities'!L559,486)-MAX('Activities'!K559,480))</x:f>
        <x:v>0</x:v>
      </x:c>
      <x:c r="CH559" s="23" t="n">
        <x:f>MAX(0,MIN('Activities'!L559,492)-MAX('Activities'!K559,486))</x:f>
        <x:v>0</x:v>
      </x:c>
      <x:c r="CI559" s="23" t="n">
        <x:f>MAX(0,MIN('Activities'!L559,498)-MAX('Activities'!K559,492))</x:f>
        <x:v>0</x:v>
      </x:c>
      <x:c r="CJ559" s="23" t="n">
        <x:f>MAX(0,MIN('Activities'!L559,504)-MAX('Activities'!K559,498))</x:f>
        <x:v>0</x:v>
      </x:c>
      <x:c r="CK559" s="23" t="n">
        <x:f>MAX(0,MIN('Activities'!L559,510)-MAX('Activities'!K559,504))</x:f>
        <x:v>0</x:v>
      </x:c>
      <x:c r="CL559" s="23" t="n">
        <x:f>MAX(0,MIN('Activities'!L559,516)-MAX('Activities'!K559,510))</x:f>
        <x:v>0</x:v>
      </x:c>
      <x:c r="CM559" s="23" t="n">
        <x:f>MAX(0,MIN('Activities'!L559,522)-MAX('Activities'!K559,516))</x:f>
        <x:v>0</x:v>
      </x:c>
      <x:c r="CN559" s="23" t="n">
        <x:f>MAX(0,MIN('Activities'!L559,528)-MAX('Activities'!K559,522))</x:f>
        <x:v>0</x:v>
      </x:c>
      <x:c r="CO559" s="23" t="n">
        <x:f>MAX(0,MIN('Activities'!L559,534)-MAX('Activities'!K559,528))</x:f>
        <x:v>0</x:v>
      </x:c>
      <x:c r="CP559" s="23" t="n">
        <x:f>MAX(0,MIN('Activities'!L559,540)-MAX('Activities'!K559,534))</x:f>
        <x:v>0</x:v>
      </x:c>
      <x:c r="CQ559" s="23" t="n">
        <x:f>MAX(0,MIN('Activities'!L559,546)-MAX('Activities'!K559,540))</x:f>
        <x:v>0</x:v>
      </x:c>
      <x:c r="CR559" s="23" t="n">
        <x:f>MAX(0,MIN('Activities'!L559,552)-MAX('Activities'!K559,546))</x:f>
        <x:v>0</x:v>
      </x:c>
      <x:c r="CS559" s="23" t="n">
        <x:f>MAX(0,MIN('Activities'!L559,558)-MAX('Activities'!K559,552))</x:f>
        <x:v>0</x:v>
      </x:c>
      <x:c r="CT559" s="23" t="n">
        <x:f>MAX(0,MIN('Activities'!L559,564)-MAX('Activities'!K559,558))</x:f>
        <x:v>0</x:v>
      </x:c>
      <x:c r="CU559" s="23" t="n">
        <x:f>MAX(0,MIN('Activities'!L559,570)-MAX('Activities'!K559,564))</x:f>
        <x:v>0</x:v>
      </x:c>
      <x:c r="CV559" s="23" t="n">
        <x:f>MAX(0,MIN('Activities'!L559,576)-MAX('Activities'!K559,570))</x:f>
        <x:v>0</x:v>
      </x:c>
      <x:c r="CW559" s="23" t="n">
        <x:f>MAX(0,MIN('Activities'!L559,582)-MAX('Activities'!K559,576))</x:f>
        <x:v>0</x:v>
      </x:c>
      <x:c r="CX559" s="23" t="n">
        <x:f>MAX(0,MIN('Activities'!L559,588)-MAX('Activities'!K559,582))</x:f>
        <x:v>0</x:v>
      </x:c>
      <x:c r="CY559" s="23" t="n">
        <x:f>MAX(0,MIN('Activities'!L559,594)-MAX('Activities'!K559,588))</x:f>
        <x:v>0</x:v>
      </x:c>
      <x:c r="CZ559" s="23" t="n">
        <x:f>MAX(0,MIN('Activities'!L559,600)-MAX('Activities'!K559,594))</x:f>
        <x:v>0</x:v>
      </x:c>
      <x:c r="DA559" s="23" t="n">
        <x:f>MAX(0,MIN('Activities'!L559,606)-MAX('Activities'!K559,600))</x:f>
        <x:v>0</x:v>
      </x:c>
      <x:c r="DB559" s="23" t="n">
        <x:f>MAX(0,MIN('Activities'!L559,612)-MAX('Activities'!K559,606))</x:f>
        <x:v>0</x:v>
      </x:c>
      <x:c r="DC559" s="23" t="n">
        <x:f>MAX(0,MIN('Activities'!L559,618)-MAX('Activities'!K559,612))</x:f>
        <x:v>0</x:v>
      </x:c>
      <x:c r="DD559" s="23" t="n">
        <x:f>MAX(0,MIN('Activities'!L559,624)-MAX('Activities'!K559,618))</x:f>
        <x:v>0</x:v>
      </x:c>
      <x:c r="DE559" s="23" t="n">
        <x:f>MAX(0,MIN('Activities'!L559,630)-MAX('Activities'!K559,624))</x:f>
        <x:v>0</x:v>
      </x:c>
      <x:c r="DF559" s="23" t="n">
        <x:f>MAX(0,MIN('Activities'!L559,636)-MAX('Activities'!K559,630))</x:f>
        <x:v>0</x:v>
      </x:c>
    </x:row>
    <x:row r="560" ht="23" customHeight="1">
      <x:c r="A560" s="6" t="str">
        <x:v>T5-L03-F</x:v>
      </x:c>
      <x:c r="B560" s="6" t="str">
        <x:v>T5</x:v>
      </x:c>
      <x:c r="C560" s="6" t="str">
        <x:v>Columns, core and deck formwork</x:v>
      </x:c>
      <x:c r="D560" s="6" t="str">
        <x:v>Formwork</x:v>
      </x:c>
      <x:c r="E560" s="22" t="n">
        <x:f>MAX(0,MIN('Activities'!L560,6)-MAX('Activities'!K560,0))</x:f>
        <x:v>0</x:v>
      </x:c>
      <x:c r="F560" s="22" t="n">
        <x:f>MAX(0,MIN('Activities'!L560,12)-MAX('Activities'!K560,6))</x:f>
        <x:v>0</x:v>
      </x:c>
      <x:c r="G560" s="22" t="n">
        <x:f>MAX(0,MIN('Activities'!L560,18)-MAX('Activities'!K560,12))</x:f>
        <x:v>0</x:v>
      </x:c>
      <x:c r="H560" s="22" t="n">
        <x:f>MAX(0,MIN('Activities'!L560,24)-MAX('Activities'!K560,18))</x:f>
        <x:v>0</x:v>
      </x:c>
      <x:c r="I560" s="22" t="n">
        <x:f>MAX(0,MIN('Activities'!L560,30)-MAX('Activities'!K560,24))</x:f>
        <x:v>0</x:v>
      </x:c>
      <x:c r="J560" s="22" t="n">
        <x:f>MAX(0,MIN('Activities'!L560,36)-MAX('Activities'!K560,30))</x:f>
        <x:v>0</x:v>
      </x:c>
      <x:c r="K560" s="22" t="n">
        <x:f>MAX(0,MIN('Activities'!L560,42)-MAX('Activities'!K560,36))</x:f>
        <x:v>0</x:v>
      </x:c>
      <x:c r="L560" s="22" t="n">
        <x:f>MAX(0,MIN('Activities'!L560,48)-MAX('Activities'!K560,42))</x:f>
        <x:v>0</x:v>
      </x:c>
      <x:c r="M560" s="22" t="n">
        <x:f>MAX(0,MIN('Activities'!L560,54)-MAX('Activities'!K560,48))</x:f>
        <x:v>0</x:v>
      </x:c>
      <x:c r="N560" s="22" t="n">
        <x:f>MAX(0,MIN('Activities'!L560,60)-MAX('Activities'!K560,54))</x:f>
        <x:v>0</x:v>
      </x:c>
      <x:c r="O560" s="22" t="n">
        <x:f>MAX(0,MIN('Activities'!L560,66)-MAX('Activities'!K560,60))</x:f>
        <x:v>0</x:v>
      </x:c>
      <x:c r="P560" s="22" t="n">
        <x:f>MAX(0,MIN('Activities'!L560,72)-MAX('Activities'!K560,66))</x:f>
        <x:v>0</x:v>
      </x:c>
      <x:c r="Q560" s="22" t="n">
        <x:f>MAX(0,MIN('Activities'!L560,78)-MAX('Activities'!K560,72))</x:f>
        <x:v>0</x:v>
      </x:c>
      <x:c r="R560" s="22" t="n">
        <x:f>MAX(0,MIN('Activities'!L560,84)-MAX('Activities'!K560,78))</x:f>
        <x:v>0</x:v>
      </x:c>
      <x:c r="S560" s="22" t="n">
        <x:f>MAX(0,MIN('Activities'!L560,90)-MAX('Activities'!K560,84))</x:f>
        <x:v>0</x:v>
      </x:c>
      <x:c r="T560" s="22" t="n">
        <x:f>MAX(0,MIN('Activities'!L560,96)-MAX('Activities'!K560,90))</x:f>
        <x:v>0</x:v>
      </x:c>
      <x:c r="U560" s="22" t="n">
        <x:f>MAX(0,MIN('Activities'!L560,102)-MAX('Activities'!K560,96))</x:f>
        <x:v>0</x:v>
      </x:c>
      <x:c r="V560" s="22" t="n">
        <x:f>MAX(0,MIN('Activities'!L560,108)-MAX('Activities'!K560,102))</x:f>
        <x:v>0</x:v>
      </x:c>
      <x:c r="W560" s="22" t="n">
        <x:f>MAX(0,MIN('Activities'!L560,114)-MAX('Activities'!K560,108))</x:f>
        <x:v>0</x:v>
      </x:c>
      <x:c r="X560" s="22" t="n">
        <x:f>MAX(0,MIN('Activities'!L560,120)-MAX('Activities'!K560,114))</x:f>
        <x:v>0</x:v>
      </x:c>
      <x:c r="Y560" s="22" t="n">
        <x:f>MAX(0,MIN('Activities'!L560,126)-MAX('Activities'!K560,120))</x:f>
        <x:v>0</x:v>
      </x:c>
      <x:c r="Z560" s="22" t="n">
        <x:f>MAX(0,MIN('Activities'!L560,132)-MAX('Activities'!K560,126))</x:f>
        <x:v>0</x:v>
      </x:c>
      <x:c r="AA560" s="22" t="n">
        <x:f>MAX(0,MIN('Activities'!L560,138)-MAX('Activities'!K560,132))</x:f>
        <x:v>0</x:v>
      </x:c>
      <x:c r="AB560" s="22" t="n">
        <x:f>MAX(0,MIN('Activities'!L560,144)-MAX('Activities'!K560,138))</x:f>
        <x:v>0</x:v>
      </x:c>
      <x:c r="AC560" s="22" t="n">
        <x:f>MAX(0,MIN('Activities'!L560,150)-MAX('Activities'!K560,144))</x:f>
        <x:v>0</x:v>
      </x:c>
      <x:c r="AD560" s="22" t="n">
        <x:f>MAX(0,MIN('Activities'!L560,156)-MAX('Activities'!K560,150))</x:f>
        <x:v>0</x:v>
      </x:c>
      <x:c r="AE560" s="22" t="n">
        <x:f>MAX(0,MIN('Activities'!L560,162)-MAX('Activities'!K560,156))</x:f>
        <x:v>0</x:v>
      </x:c>
      <x:c r="AF560" s="22" t="n">
        <x:f>MAX(0,MIN('Activities'!L560,168)-MAX('Activities'!K560,162))</x:f>
        <x:v>0</x:v>
      </x:c>
      <x:c r="AG560" s="22" t="n">
        <x:f>MAX(0,MIN('Activities'!L560,174)-MAX('Activities'!K560,168))</x:f>
        <x:v>0</x:v>
      </x:c>
      <x:c r="AH560" s="22" t="n">
        <x:f>MAX(0,MIN('Activities'!L560,180)-MAX('Activities'!K560,174))</x:f>
        <x:v>0</x:v>
      </x:c>
      <x:c r="AI560" s="22" t="n">
        <x:f>MAX(0,MIN('Activities'!L560,186)-MAX('Activities'!K560,180))</x:f>
        <x:v>0</x:v>
      </x:c>
      <x:c r="AJ560" s="22" t="n">
        <x:f>MAX(0,MIN('Activities'!L560,192)-MAX('Activities'!K560,186))</x:f>
        <x:v>0</x:v>
      </x:c>
      <x:c r="AK560" s="22" t="n">
        <x:f>MAX(0,MIN('Activities'!L560,198)-MAX('Activities'!K560,192))</x:f>
        <x:v>0</x:v>
      </x:c>
      <x:c r="AL560" s="22" t="n">
        <x:f>MAX(0,MIN('Activities'!L560,204)-MAX('Activities'!K560,198))</x:f>
        <x:v>0</x:v>
      </x:c>
      <x:c r="AM560" s="22" t="n">
        <x:f>MAX(0,MIN('Activities'!L560,210)-MAX('Activities'!K560,204))</x:f>
        <x:v>0</x:v>
      </x:c>
      <x:c r="AN560" s="22" t="n">
        <x:f>MAX(0,MIN('Activities'!L560,216)-MAX('Activities'!K560,210))</x:f>
        <x:v>0</x:v>
      </x:c>
      <x:c r="AO560" s="22" t="n">
        <x:f>MAX(0,MIN('Activities'!L560,222)-MAX('Activities'!K560,216))</x:f>
        <x:v>0</x:v>
      </x:c>
      <x:c r="AP560" s="22" t="n">
        <x:f>MAX(0,MIN('Activities'!L560,228)-MAX('Activities'!K560,222))</x:f>
        <x:v>0</x:v>
      </x:c>
      <x:c r="AQ560" s="22" t="n">
        <x:f>MAX(0,MIN('Activities'!L560,234)-MAX('Activities'!K560,228))</x:f>
        <x:v>0</x:v>
      </x:c>
      <x:c r="AR560" s="22" t="n">
        <x:f>MAX(0,MIN('Activities'!L560,240)-MAX('Activities'!K560,234))</x:f>
        <x:v>4</x:v>
      </x:c>
      <x:c r="AS560" s="22" t="n">
        <x:f>MAX(0,MIN('Activities'!L560,246)-MAX('Activities'!K560,240))</x:f>
        <x:v>2</x:v>
      </x:c>
      <x:c r="AT560" s="22" t="n">
        <x:f>MAX(0,MIN('Activities'!L560,252)-MAX('Activities'!K560,246))</x:f>
        <x:v>0</x:v>
      </x:c>
      <x:c r="AU560" s="22" t="n">
        <x:f>MAX(0,MIN('Activities'!L560,258)-MAX('Activities'!K560,252))</x:f>
        <x:v>0</x:v>
      </x:c>
      <x:c r="AV560" s="22" t="n">
        <x:f>MAX(0,MIN('Activities'!L560,264)-MAX('Activities'!K560,258))</x:f>
        <x:v>0</x:v>
      </x:c>
      <x:c r="AW560" s="22" t="n">
        <x:f>MAX(0,MIN('Activities'!L560,270)-MAX('Activities'!K560,264))</x:f>
        <x:v>0</x:v>
      </x:c>
      <x:c r="AX560" s="22" t="n">
        <x:f>MAX(0,MIN('Activities'!L560,276)-MAX('Activities'!K560,270))</x:f>
        <x:v>0</x:v>
      </x:c>
      <x:c r="AY560" s="22" t="n">
        <x:f>MAX(0,MIN('Activities'!L560,282)-MAX('Activities'!K560,276))</x:f>
        <x:v>0</x:v>
      </x:c>
      <x:c r="AZ560" s="22" t="n">
        <x:f>MAX(0,MIN('Activities'!L560,288)-MAX('Activities'!K560,282))</x:f>
        <x:v>0</x:v>
      </x:c>
      <x:c r="BA560" s="22" t="n">
        <x:f>MAX(0,MIN('Activities'!L560,294)-MAX('Activities'!K560,288))</x:f>
        <x:v>0</x:v>
      </x:c>
      <x:c r="BB560" s="22" t="n">
        <x:f>MAX(0,MIN('Activities'!L560,300)-MAX('Activities'!K560,294))</x:f>
        <x:v>0</x:v>
      </x:c>
      <x:c r="BC560" s="22" t="n">
        <x:f>MAX(0,MIN('Activities'!L560,306)-MAX('Activities'!K560,300))</x:f>
        <x:v>0</x:v>
      </x:c>
      <x:c r="BD560" s="22" t="n">
        <x:f>MAX(0,MIN('Activities'!L560,312)-MAX('Activities'!K560,306))</x:f>
        <x:v>0</x:v>
      </x:c>
      <x:c r="BE560" s="22" t="n">
        <x:f>MAX(0,MIN('Activities'!L560,318)-MAX('Activities'!K560,312))</x:f>
        <x:v>0</x:v>
      </x:c>
      <x:c r="BF560" s="22" t="n">
        <x:f>MAX(0,MIN('Activities'!L560,324)-MAX('Activities'!K560,318))</x:f>
        <x:v>0</x:v>
      </x:c>
      <x:c r="BG560" s="22" t="n">
        <x:f>MAX(0,MIN('Activities'!L560,330)-MAX('Activities'!K560,324))</x:f>
        <x:v>0</x:v>
      </x:c>
      <x:c r="BH560" s="22" t="n">
        <x:f>MAX(0,MIN('Activities'!L560,336)-MAX('Activities'!K560,330))</x:f>
        <x:v>0</x:v>
      </x:c>
      <x:c r="BI560" s="22" t="n">
        <x:f>MAX(0,MIN('Activities'!L560,342)-MAX('Activities'!K560,336))</x:f>
        <x:v>0</x:v>
      </x:c>
      <x:c r="BJ560" s="22" t="n">
        <x:f>MAX(0,MIN('Activities'!L560,348)-MAX('Activities'!K560,342))</x:f>
        <x:v>0</x:v>
      </x:c>
      <x:c r="BK560" s="22" t="n">
        <x:f>MAX(0,MIN('Activities'!L560,354)-MAX('Activities'!K560,348))</x:f>
        <x:v>0</x:v>
      </x:c>
      <x:c r="BL560" s="22" t="n">
        <x:f>MAX(0,MIN('Activities'!L560,360)-MAX('Activities'!K560,354))</x:f>
        <x:v>0</x:v>
      </x:c>
      <x:c r="BM560" s="22" t="n">
        <x:f>MAX(0,MIN('Activities'!L560,366)-MAX('Activities'!K560,360))</x:f>
        <x:v>0</x:v>
      </x:c>
      <x:c r="BN560" s="22" t="n">
        <x:f>MAX(0,MIN('Activities'!L560,372)-MAX('Activities'!K560,366))</x:f>
        <x:v>0</x:v>
      </x:c>
      <x:c r="BO560" s="22" t="n">
        <x:f>MAX(0,MIN('Activities'!L560,378)-MAX('Activities'!K560,372))</x:f>
        <x:v>0</x:v>
      </x:c>
      <x:c r="BP560" s="22" t="n">
        <x:f>MAX(0,MIN('Activities'!L560,384)-MAX('Activities'!K560,378))</x:f>
        <x:v>0</x:v>
      </x:c>
      <x:c r="BQ560" s="22" t="n">
        <x:f>MAX(0,MIN('Activities'!L560,390)-MAX('Activities'!K560,384))</x:f>
        <x:v>0</x:v>
      </x:c>
      <x:c r="BR560" s="22" t="n">
        <x:f>MAX(0,MIN('Activities'!L560,396)-MAX('Activities'!K560,390))</x:f>
        <x:v>0</x:v>
      </x:c>
      <x:c r="BS560" s="22" t="n">
        <x:f>MAX(0,MIN('Activities'!L560,402)-MAX('Activities'!K560,396))</x:f>
        <x:v>0</x:v>
      </x:c>
      <x:c r="BT560" s="22" t="n">
        <x:f>MAX(0,MIN('Activities'!L560,408)-MAX('Activities'!K560,402))</x:f>
        <x:v>0</x:v>
      </x:c>
      <x:c r="BU560" s="22" t="n">
        <x:f>MAX(0,MIN('Activities'!L560,414)-MAX('Activities'!K560,408))</x:f>
        <x:v>0</x:v>
      </x:c>
      <x:c r="BV560" s="22" t="n">
        <x:f>MAX(0,MIN('Activities'!L560,420)-MAX('Activities'!K560,414))</x:f>
        <x:v>0</x:v>
      </x:c>
      <x:c r="BW560" s="22" t="n">
        <x:f>MAX(0,MIN('Activities'!L560,426)-MAX('Activities'!K560,420))</x:f>
        <x:v>0</x:v>
      </x:c>
      <x:c r="BX560" s="22" t="n">
        <x:f>MAX(0,MIN('Activities'!L560,432)-MAX('Activities'!K560,426))</x:f>
        <x:v>0</x:v>
      </x:c>
      <x:c r="BY560" s="22" t="n">
        <x:f>MAX(0,MIN('Activities'!L560,438)-MAX('Activities'!K560,432))</x:f>
        <x:v>0</x:v>
      </x:c>
      <x:c r="BZ560" s="22" t="n">
        <x:f>MAX(0,MIN('Activities'!L560,444)-MAX('Activities'!K560,438))</x:f>
        <x:v>0</x:v>
      </x:c>
      <x:c r="CA560" s="22" t="n">
        <x:f>MAX(0,MIN('Activities'!L560,450)-MAX('Activities'!K560,444))</x:f>
        <x:v>0</x:v>
      </x:c>
      <x:c r="CB560" s="22" t="n">
        <x:f>MAX(0,MIN('Activities'!L560,456)-MAX('Activities'!K560,450))</x:f>
        <x:v>0</x:v>
      </x:c>
      <x:c r="CC560" s="22" t="n">
        <x:f>MAX(0,MIN('Activities'!L560,462)-MAX('Activities'!K560,456))</x:f>
        <x:v>0</x:v>
      </x:c>
      <x:c r="CD560" s="22" t="n">
        <x:f>MAX(0,MIN('Activities'!L560,468)-MAX('Activities'!K560,462))</x:f>
        <x:v>0</x:v>
      </x:c>
      <x:c r="CE560" s="22" t="n">
        <x:f>MAX(0,MIN('Activities'!L560,474)-MAX('Activities'!K560,468))</x:f>
        <x:v>0</x:v>
      </x:c>
      <x:c r="CF560" s="22" t="n">
        <x:f>MAX(0,MIN('Activities'!L560,480)-MAX('Activities'!K560,474))</x:f>
        <x:v>0</x:v>
      </x:c>
      <x:c r="CG560" s="22" t="n">
        <x:f>MAX(0,MIN('Activities'!L560,486)-MAX('Activities'!K560,480))</x:f>
        <x:v>0</x:v>
      </x:c>
      <x:c r="CH560" s="22" t="n">
        <x:f>MAX(0,MIN('Activities'!L560,492)-MAX('Activities'!K560,486))</x:f>
        <x:v>0</x:v>
      </x:c>
      <x:c r="CI560" s="22" t="n">
        <x:f>MAX(0,MIN('Activities'!L560,498)-MAX('Activities'!K560,492))</x:f>
        <x:v>0</x:v>
      </x:c>
      <x:c r="CJ560" s="22" t="n">
        <x:f>MAX(0,MIN('Activities'!L560,504)-MAX('Activities'!K560,498))</x:f>
        <x:v>0</x:v>
      </x:c>
      <x:c r="CK560" s="22" t="n">
        <x:f>MAX(0,MIN('Activities'!L560,510)-MAX('Activities'!K560,504))</x:f>
        <x:v>0</x:v>
      </x:c>
      <x:c r="CL560" s="22" t="n">
        <x:f>MAX(0,MIN('Activities'!L560,516)-MAX('Activities'!K560,510))</x:f>
        <x:v>0</x:v>
      </x:c>
      <x:c r="CM560" s="22" t="n">
        <x:f>MAX(0,MIN('Activities'!L560,522)-MAX('Activities'!K560,516))</x:f>
        <x:v>0</x:v>
      </x:c>
      <x:c r="CN560" s="22" t="n">
        <x:f>MAX(0,MIN('Activities'!L560,528)-MAX('Activities'!K560,522))</x:f>
        <x:v>0</x:v>
      </x:c>
      <x:c r="CO560" s="22" t="n">
        <x:f>MAX(0,MIN('Activities'!L560,534)-MAX('Activities'!K560,528))</x:f>
        <x:v>0</x:v>
      </x:c>
      <x:c r="CP560" s="22" t="n">
        <x:f>MAX(0,MIN('Activities'!L560,540)-MAX('Activities'!K560,534))</x:f>
        <x:v>0</x:v>
      </x:c>
      <x:c r="CQ560" s="22" t="n">
        <x:f>MAX(0,MIN('Activities'!L560,546)-MAX('Activities'!K560,540))</x:f>
        <x:v>0</x:v>
      </x:c>
      <x:c r="CR560" s="22" t="n">
        <x:f>MAX(0,MIN('Activities'!L560,552)-MAX('Activities'!K560,546))</x:f>
        <x:v>0</x:v>
      </x:c>
      <x:c r="CS560" s="22" t="n">
        <x:f>MAX(0,MIN('Activities'!L560,558)-MAX('Activities'!K560,552))</x:f>
        <x:v>0</x:v>
      </x:c>
      <x:c r="CT560" s="22" t="n">
        <x:f>MAX(0,MIN('Activities'!L560,564)-MAX('Activities'!K560,558))</x:f>
        <x:v>0</x:v>
      </x:c>
      <x:c r="CU560" s="22" t="n">
        <x:f>MAX(0,MIN('Activities'!L560,570)-MAX('Activities'!K560,564))</x:f>
        <x:v>0</x:v>
      </x:c>
      <x:c r="CV560" s="22" t="n">
        <x:f>MAX(0,MIN('Activities'!L560,576)-MAX('Activities'!K560,570))</x:f>
        <x:v>0</x:v>
      </x:c>
      <x:c r="CW560" s="22" t="n">
        <x:f>MAX(0,MIN('Activities'!L560,582)-MAX('Activities'!K560,576))</x:f>
        <x:v>0</x:v>
      </x:c>
      <x:c r="CX560" s="22" t="n">
        <x:f>MAX(0,MIN('Activities'!L560,588)-MAX('Activities'!K560,582))</x:f>
        <x:v>0</x:v>
      </x:c>
      <x:c r="CY560" s="22" t="n">
        <x:f>MAX(0,MIN('Activities'!L560,594)-MAX('Activities'!K560,588))</x:f>
        <x:v>0</x:v>
      </x:c>
      <x:c r="CZ560" s="22" t="n">
        <x:f>MAX(0,MIN('Activities'!L560,600)-MAX('Activities'!K560,594))</x:f>
        <x:v>0</x:v>
      </x:c>
      <x:c r="DA560" s="22" t="n">
        <x:f>MAX(0,MIN('Activities'!L560,606)-MAX('Activities'!K560,600))</x:f>
        <x:v>0</x:v>
      </x:c>
      <x:c r="DB560" s="22" t="n">
        <x:f>MAX(0,MIN('Activities'!L560,612)-MAX('Activities'!K560,606))</x:f>
        <x:v>0</x:v>
      </x:c>
      <x:c r="DC560" s="22" t="n">
        <x:f>MAX(0,MIN('Activities'!L560,618)-MAX('Activities'!K560,612))</x:f>
        <x:v>0</x:v>
      </x:c>
      <x:c r="DD560" s="22" t="n">
        <x:f>MAX(0,MIN('Activities'!L560,624)-MAX('Activities'!K560,618))</x:f>
        <x:v>0</x:v>
      </x:c>
      <x:c r="DE560" s="22" t="n">
        <x:f>MAX(0,MIN('Activities'!L560,630)-MAX('Activities'!K560,624))</x:f>
        <x:v>0</x:v>
      </x:c>
      <x:c r="DF560" s="22" t="n">
        <x:f>MAX(0,MIN('Activities'!L560,636)-MAX('Activities'!K560,630))</x:f>
        <x:v>0</x:v>
      </x:c>
    </x:row>
    <x:row r="561" ht="23" customHeight="1">
      <x:c r="A561" s="1" t="str">
        <x:v>T5-L03-R</x:v>
      </x:c>
      <x:c r="B561" s="1" t="str">
        <x:v>T5</x:v>
      </x:c>
      <x:c r="C561" s="1" t="str">
        <x:v>Column, wall, beam and slab reinforcement</x:v>
      </x:c>
      <x:c r="D561" s="1" t="str">
        <x:v>Rebar</x:v>
      </x:c>
      <x:c r="E561" s="23" t="n">
        <x:f>MAX(0,MIN('Activities'!L561,6)-MAX('Activities'!K561,0))</x:f>
        <x:v>0</x:v>
      </x:c>
      <x:c r="F561" s="23" t="n">
        <x:f>MAX(0,MIN('Activities'!L561,12)-MAX('Activities'!K561,6))</x:f>
        <x:v>0</x:v>
      </x:c>
      <x:c r="G561" s="23" t="n">
        <x:f>MAX(0,MIN('Activities'!L561,18)-MAX('Activities'!K561,12))</x:f>
        <x:v>0</x:v>
      </x:c>
      <x:c r="H561" s="23" t="n">
        <x:f>MAX(0,MIN('Activities'!L561,24)-MAX('Activities'!K561,18))</x:f>
        <x:v>0</x:v>
      </x:c>
      <x:c r="I561" s="23" t="n">
        <x:f>MAX(0,MIN('Activities'!L561,30)-MAX('Activities'!K561,24))</x:f>
        <x:v>0</x:v>
      </x:c>
      <x:c r="J561" s="23" t="n">
        <x:f>MAX(0,MIN('Activities'!L561,36)-MAX('Activities'!K561,30))</x:f>
        <x:v>0</x:v>
      </x:c>
      <x:c r="K561" s="23" t="n">
        <x:f>MAX(0,MIN('Activities'!L561,42)-MAX('Activities'!K561,36))</x:f>
        <x:v>0</x:v>
      </x:c>
      <x:c r="L561" s="23" t="n">
        <x:f>MAX(0,MIN('Activities'!L561,48)-MAX('Activities'!K561,42))</x:f>
        <x:v>0</x:v>
      </x:c>
      <x:c r="M561" s="23" t="n">
        <x:f>MAX(0,MIN('Activities'!L561,54)-MAX('Activities'!K561,48))</x:f>
        <x:v>0</x:v>
      </x:c>
      <x:c r="N561" s="23" t="n">
        <x:f>MAX(0,MIN('Activities'!L561,60)-MAX('Activities'!K561,54))</x:f>
        <x:v>0</x:v>
      </x:c>
      <x:c r="O561" s="23" t="n">
        <x:f>MAX(0,MIN('Activities'!L561,66)-MAX('Activities'!K561,60))</x:f>
        <x:v>0</x:v>
      </x:c>
      <x:c r="P561" s="23" t="n">
        <x:f>MAX(0,MIN('Activities'!L561,72)-MAX('Activities'!K561,66))</x:f>
        <x:v>0</x:v>
      </x:c>
      <x:c r="Q561" s="23" t="n">
        <x:f>MAX(0,MIN('Activities'!L561,78)-MAX('Activities'!K561,72))</x:f>
        <x:v>0</x:v>
      </x:c>
      <x:c r="R561" s="23" t="n">
        <x:f>MAX(0,MIN('Activities'!L561,84)-MAX('Activities'!K561,78))</x:f>
        <x:v>0</x:v>
      </x:c>
      <x:c r="S561" s="23" t="n">
        <x:f>MAX(0,MIN('Activities'!L561,90)-MAX('Activities'!K561,84))</x:f>
        <x:v>0</x:v>
      </x:c>
      <x:c r="T561" s="23" t="n">
        <x:f>MAX(0,MIN('Activities'!L561,96)-MAX('Activities'!K561,90))</x:f>
        <x:v>0</x:v>
      </x:c>
      <x:c r="U561" s="23" t="n">
        <x:f>MAX(0,MIN('Activities'!L561,102)-MAX('Activities'!K561,96))</x:f>
        <x:v>0</x:v>
      </x:c>
      <x:c r="V561" s="23" t="n">
        <x:f>MAX(0,MIN('Activities'!L561,108)-MAX('Activities'!K561,102))</x:f>
        <x:v>0</x:v>
      </x:c>
      <x:c r="W561" s="23" t="n">
        <x:f>MAX(0,MIN('Activities'!L561,114)-MAX('Activities'!K561,108))</x:f>
        <x:v>0</x:v>
      </x:c>
      <x:c r="X561" s="23" t="n">
        <x:f>MAX(0,MIN('Activities'!L561,120)-MAX('Activities'!K561,114))</x:f>
        <x:v>0</x:v>
      </x:c>
      <x:c r="Y561" s="23" t="n">
        <x:f>MAX(0,MIN('Activities'!L561,126)-MAX('Activities'!K561,120))</x:f>
        <x:v>0</x:v>
      </x:c>
      <x:c r="Z561" s="23" t="n">
        <x:f>MAX(0,MIN('Activities'!L561,132)-MAX('Activities'!K561,126))</x:f>
        <x:v>0</x:v>
      </x:c>
      <x:c r="AA561" s="23" t="n">
        <x:f>MAX(0,MIN('Activities'!L561,138)-MAX('Activities'!K561,132))</x:f>
        <x:v>0</x:v>
      </x:c>
      <x:c r="AB561" s="23" t="n">
        <x:f>MAX(0,MIN('Activities'!L561,144)-MAX('Activities'!K561,138))</x:f>
        <x:v>0</x:v>
      </x:c>
      <x:c r="AC561" s="23" t="n">
        <x:f>MAX(0,MIN('Activities'!L561,150)-MAX('Activities'!K561,144))</x:f>
        <x:v>0</x:v>
      </x:c>
      <x:c r="AD561" s="23" t="n">
        <x:f>MAX(0,MIN('Activities'!L561,156)-MAX('Activities'!K561,150))</x:f>
        <x:v>0</x:v>
      </x:c>
      <x:c r="AE561" s="23" t="n">
        <x:f>MAX(0,MIN('Activities'!L561,162)-MAX('Activities'!K561,156))</x:f>
        <x:v>0</x:v>
      </x:c>
      <x:c r="AF561" s="23" t="n">
        <x:f>MAX(0,MIN('Activities'!L561,168)-MAX('Activities'!K561,162))</x:f>
        <x:v>0</x:v>
      </x:c>
      <x:c r="AG561" s="23" t="n">
        <x:f>MAX(0,MIN('Activities'!L561,174)-MAX('Activities'!K561,168))</x:f>
        <x:v>0</x:v>
      </x:c>
      <x:c r="AH561" s="23" t="n">
        <x:f>MAX(0,MIN('Activities'!L561,180)-MAX('Activities'!K561,174))</x:f>
        <x:v>0</x:v>
      </x:c>
      <x:c r="AI561" s="23" t="n">
        <x:f>MAX(0,MIN('Activities'!L561,186)-MAX('Activities'!K561,180))</x:f>
        <x:v>0</x:v>
      </x:c>
      <x:c r="AJ561" s="23" t="n">
        <x:f>MAX(0,MIN('Activities'!L561,192)-MAX('Activities'!K561,186))</x:f>
        <x:v>0</x:v>
      </x:c>
      <x:c r="AK561" s="23" t="n">
        <x:f>MAX(0,MIN('Activities'!L561,198)-MAX('Activities'!K561,192))</x:f>
        <x:v>0</x:v>
      </x:c>
      <x:c r="AL561" s="23" t="n">
        <x:f>MAX(0,MIN('Activities'!L561,204)-MAX('Activities'!K561,198))</x:f>
        <x:v>0</x:v>
      </x:c>
      <x:c r="AM561" s="23" t="n">
        <x:f>MAX(0,MIN('Activities'!L561,210)-MAX('Activities'!K561,204))</x:f>
        <x:v>0</x:v>
      </x:c>
      <x:c r="AN561" s="23" t="n">
        <x:f>MAX(0,MIN('Activities'!L561,216)-MAX('Activities'!K561,210))</x:f>
        <x:v>0</x:v>
      </x:c>
      <x:c r="AO561" s="23" t="n">
        <x:f>MAX(0,MIN('Activities'!L561,222)-MAX('Activities'!K561,216))</x:f>
        <x:v>0</x:v>
      </x:c>
      <x:c r="AP561" s="23" t="n">
        <x:f>MAX(0,MIN('Activities'!L561,228)-MAX('Activities'!K561,222))</x:f>
        <x:v>0</x:v>
      </x:c>
      <x:c r="AQ561" s="23" t="n">
        <x:f>MAX(0,MIN('Activities'!L561,234)-MAX('Activities'!K561,228))</x:f>
        <x:v>0</x:v>
      </x:c>
      <x:c r="AR561" s="23" t="n">
        <x:f>MAX(0,MIN('Activities'!L561,240)-MAX('Activities'!K561,234))</x:f>
        <x:v>0</x:v>
      </x:c>
      <x:c r="AS561" s="23" t="n">
        <x:f>MAX(0,MIN('Activities'!L561,246)-MAX('Activities'!K561,240))</x:f>
        <x:v>4</x:v>
      </x:c>
      <x:c r="AT561" s="23" t="n">
        <x:f>MAX(0,MIN('Activities'!L561,252)-MAX('Activities'!K561,246))</x:f>
        <x:v>1</x:v>
      </x:c>
      <x:c r="AU561" s="23" t="n">
        <x:f>MAX(0,MIN('Activities'!L561,258)-MAX('Activities'!K561,252))</x:f>
        <x:v>0</x:v>
      </x:c>
      <x:c r="AV561" s="23" t="n">
        <x:f>MAX(0,MIN('Activities'!L561,264)-MAX('Activities'!K561,258))</x:f>
        <x:v>0</x:v>
      </x:c>
      <x:c r="AW561" s="23" t="n">
        <x:f>MAX(0,MIN('Activities'!L561,270)-MAX('Activities'!K561,264))</x:f>
        <x:v>0</x:v>
      </x:c>
      <x:c r="AX561" s="23" t="n">
        <x:f>MAX(0,MIN('Activities'!L561,276)-MAX('Activities'!K561,270))</x:f>
        <x:v>0</x:v>
      </x:c>
      <x:c r="AY561" s="23" t="n">
        <x:f>MAX(0,MIN('Activities'!L561,282)-MAX('Activities'!K561,276))</x:f>
        <x:v>0</x:v>
      </x:c>
      <x:c r="AZ561" s="23" t="n">
        <x:f>MAX(0,MIN('Activities'!L561,288)-MAX('Activities'!K561,282))</x:f>
        <x:v>0</x:v>
      </x:c>
      <x:c r="BA561" s="23" t="n">
        <x:f>MAX(0,MIN('Activities'!L561,294)-MAX('Activities'!K561,288))</x:f>
        <x:v>0</x:v>
      </x:c>
      <x:c r="BB561" s="23" t="n">
        <x:f>MAX(0,MIN('Activities'!L561,300)-MAX('Activities'!K561,294))</x:f>
        <x:v>0</x:v>
      </x:c>
      <x:c r="BC561" s="23" t="n">
        <x:f>MAX(0,MIN('Activities'!L561,306)-MAX('Activities'!K561,300))</x:f>
        <x:v>0</x:v>
      </x:c>
      <x:c r="BD561" s="23" t="n">
        <x:f>MAX(0,MIN('Activities'!L561,312)-MAX('Activities'!K561,306))</x:f>
        <x:v>0</x:v>
      </x:c>
      <x:c r="BE561" s="23" t="n">
        <x:f>MAX(0,MIN('Activities'!L561,318)-MAX('Activities'!K561,312))</x:f>
        <x:v>0</x:v>
      </x:c>
      <x:c r="BF561" s="23" t="n">
        <x:f>MAX(0,MIN('Activities'!L561,324)-MAX('Activities'!K561,318))</x:f>
        <x:v>0</x:v>
      </x:c>
      <x:c r="BG561" s="23" t="n">
        <x:f>MAX(0,MIN('Activities'!L561,330)-MAX('Activities'!K561,324))</x:f>
        <x:v>0</x:v>
      </x:c>
      <x:c r="BH561" s="23" t="n">
        <x:f>MAX(0,MIN('Activities'!L561,336)-MAX('Activities'!K561,330))</x:f>
        <x:v>0</x:v>
      </x:c>
      <x:c r="BI561" s="23" t="n">
        <x:f>MAX(0,MIN('Activities'!L561,342)-MAX('Activities'!K561,336))</x:f>
        <x:v>0</x:v>
      </x:c>
      <x:c r="BJ561" s="23" t="n">
        <x:f>MAX(0,MIN('Activities'!L561,348)-MAX('Activities'!K561,342))</x:f>
        <x:v>0</x:v>
      </x:c>
      <x:c r="BK561" s="23" t="n">
        <x:f>MAX(0,MIN('Activities'!L561,354)-MAX('Activities'!K561,348))</x:f>
        <x:v>0</x:v>
      </x:c>
      <x:c r="BL561" s="23" t="n">
        <x:f>MAX(0,MIN('Activities'!L561,360)-MAX('Activities'!K561,354))</x:f>
        <x:v>0</x:v>
      </x:c>
      <x:c r="BM561" s="23" t="n">
        <x:f>MAX(0,MIN('Activities'!L561,366)-MAX('Activities'!K561,360))</x:f>
        <x:v>0</x:v>
      </x:c>
      <x:c r="BN561" s="23" t="n">
        <x:f>MAX(0,MIN('Activities'!L561,372)-MAX('Activities'!K561,366))</x:f>
        <x:v>0</x:v>
      </x:c>
      <x:c r="BO561" s="23" t="n">
        <x:f>MAX(0,MIN('Activities'!L561,378)-MAX('Activities'!K561,372))</x:f>
        <x:v>0</x:v>
      </x:c>
      <x:c r="BP561" s="23" t="n">
        <x:f>MAX(0,MIN('Activities'!L561,384)-MAX('Activities'!K561,378))</x:f>
        <x:v>0</x:v>
      </x:c>
      <x:c r="BQ561" s="23" t="n">
        <x:f>MAX(0,MIN('Activities'!L561,390)-MAX('Activities'!K561,384))</x:f>
        <x:v>0</x:v>
      </x:c>
      <x:c r="BR561" s="23" t="n">
        <x:f>MAX(0,MIN('Activities'!L561,396)-MAX('Activities'!K561,390))</x:f>
        <x:v>0</x:v>
      </x:c>
      <x:c r="BS561" s="23" t="n">
        <x:f>MAX(0,MIN('Activities'!L561,402)-MAX('Activities'!K561,396))</x:f>
        <x:v>0</x:v>
      </x:c>
      <x:c r="BT561" s="23" t="n">
        <x:f>MAX(0,MIN('Activities'!L561,408)-MAX('Activities'!K561,402))</x:f>
        <x:v>0</x:v>
      </x:c>
      <x:c r="BU561" s="23" t="n">
        <x:f>MAX(0,MIN('Activities'!L561,414)-MAX('Activities'!K561,408))</x:f>
        <x:v>0</x:v>
      </x:c>
      <x:c r="BV561" s="23" t="n">
        <x:f>MAX(0,MIN('Activities'!L561,420)-MAX('Activities'!K561,414))</x:f>
        <x:v>0</x:v>
      </x:c>
      <x:c r="BW561" s="23" t="n">
        <x:f>MAX(0,MIN('Activities'!L561,426)-MAX('Activities'!K561,420))</x:f>
        <x:v>0</x:v>
      </x:c>
      <x:c r="BX561" s="23" t="n">
        <x:f>MAX(0,MIN('Activities'!L561,432)-MAX('Activities'!K561,426))</x:f>
        <x:v>0</x:v>
      </x:c>
      <x:c r="BY561" s="23" t="n">
        <x:f>MAX(0,MIN('Activities'!L561,438)-MAX('Activities'!K561,432))</x:f>
        <x:v>0</x:v>
      </x:c>
      <x:c r="BZ561" s="23" t="n">
        <x:f>MAX(0,MIN('Activities'!L561,444)-MAX('Activities'!K561,438))</x:f>
        <x:v>0</x:v>
      </x:c>
      <x:c r="CA561" s="23" t="n">
        <x:f>MAX(0,MIN('Activities'!L561,450)-MAX('Activities'!K561,444))</x:f>
        <x:v>0</x:v>
      </x:c>
      <x:c r="CB561" s="23" t="n">
        <x:f>MAX(0,MIN('Activities'!L561,456)-MAX('Activities'!K561,450))</x:f>
        <x:v>0</x:v>
      </x:c>
      <x:c r="CC561" s="23" t="n">
        <x:f>MAX(0,MIN('Activities'!L561,462)-MAX('Activities'!K561,456))</x:f>
        <x:v>0</x:v>
      </x:c>
      <x:c r="CD561" s="23" t="n">
        <x:f>MAX(0,MIN('Activities'!L561,468)-MAX('Activities'!K561,462))</x:f>
        <x:v>0</x:v>
      </x:c>
      <x:c r="CE561" s="23" t="n">
        <x:f>MAX(0,MIN('Activities'!L561,474)-MAX('Activities'!K561,468))</x:f>
        <x:v>0</x:v>
      </x:c>
      <x:c r="CF561" s="23" t="n">
        <x:f>MAX(0,MIN('Activities'!L561,480)-MAX('Activities'!K561,474))</x:f>
        <x:v>0</x:v>
      </x:c>
      <x:c r="CG561" s="23" t="n">
        <x:f>MAX(0,MIN('Activities'!L561,486)-MAX('Activities'!K561,480))</x:f>
        <x:v>0</x:v>
      </x:c>
      <x:c r="CH561" s="23" t="n">
        <x:f>MAX(0,MIN('Activities'!L561,492)-MAX('Activities'!K561,486))</x:f>
        <x:v>0</x:v>
      </x:c>
      <x:c r="CI561" s="23" t="n">
        <x:f>MAX(0,MIN('Activities'!L561,498)-MAX('Activities'!K561,492))</x:f>
        <x:v>0</x:v>
      </x:c>
      <x:c r="CJ561" s="23" t="n">
        <x:f>MAX(0,MIN('Activities'!L561,504)-MAX('Activities'!K561,498))</x:f>
        <x:v>0</x:v>
      </x:c>
      <x:c r="CK561" s="23" t="n">
        <x:f>MAX(0,MIN('Activities'!L561,510)-MAX('Activities'!K561,504))</x:f>
        <x:v>0</x:v>
      </x:c>
      <x:c r="CL561" s="23" t="n">
        <x:f>MAX(0,MIN('Activities'!L561,516)-MAX('Activities'!K561,510))</x:f>
        <x:v>0</x:v>
      </x:c>
      <x:c r="CM561" s="23" t="n">
        <x:f>MAX(0,MIN('Activities'!L561,522)-MAX('Activities'!K561,516))</x:f>
        <x:v>0</x:v>
      </x:c>
      <x:c r="CN561" s="23" t="n">
        <x:f>MAX(0,MIN('Activities'!L561,528)-MAX('Activities'!K561,522))</x:f>
        <x:v>0</x:v>
      </x:c>
      <x:c r="CO561" s="23" t="n">
        <x:f>MAX(0,MIN('Activities'!L561,534)-MAX('Activities'!K561,528))</x:f>
        <x:v>0</x:v>
      </x:c>
      <x:c r="CP561" s="23" t="n">
        <x:f>MAX(0,MIN('Activities'!L561,540)-MAX('Activities'!K561,534))</x:f>
        <x:v>0</x:v>
      </x:c>
      <x:c r="CQ561" s="23" t="n">
        <x:f>MAX(0,MIN('Activities'!L561,546)-MAX('Activities'!K561,540))</x:f>
        <x:v>0</x:v>
      </x:c>
      <x:c r="CR561" s="23" t="n">
        <x:f>MAX(0,MIN('Activities'!L561,552)-MAX('Activities'!K561,546))</x:f>
        <x:v>0</x:v>
      </x:c>
      <x:c r="CS561" s="23" t="n">
        <x:f>MAX(0,MIN('Activities'!L561,558)-MAX('Activities'!K561,552))</x:f>
        <x:v>0</x:v>
      </x:c>
      <x:c r="CT561" s="23" t="n">
        <x:f>MAX(0,MIN('Activities'!L561,564)-MAX('Activities'!K561,558))</x:f>
        <x:v>0</x:v>
      </x:c>
      <x:c r="CU561" s="23" t="n">
        <x:f>MAX(0,MIN('Activities'!L561,570)-MAX('Activities'!K561,564))</x:f>
        <x:v>0</x:v>
      </x:c>
      <x:c r="CV561" s="23" t="n">
        <x:f>MAX(0,MIN('Activities'!L561,576)-MAX('Activities'!K561,570))</x:f>
        <x:v>0</x:v>
      </x:c>
      <x:c r="CW561" s="23" t="n">
        <x:f>MAX(0,MIN('Activities'!L561,582)-MAX('Activities'!K561,576))</x:f>
        <x:v>0</x:v>
      </x:c>
      <x:c r="CX561" s="23" t="n">
        <x:f>MAX(0,MIN('Activities'!L561,588)-MAX('Activities'!K561,582))</x:f>
        <x:v>0</x:v>
      </x:c>
      <x:c r="CY561" s="23" t="n">
        <x:f>MAX(0,MIN('Activities'!L561,594)-MAX('Activities'!K561,588))</x:f>
        <x:v>0</x:v>
      </x:c>
      <x:c r="CZ561" s="23" t="n">
        <x:f>MAX(0,MIN('Activities'!L561,600)-MAX('Activities'!K561,594))</x:f>
        <x:v>0</x:v>
      </x:c>
      <x:c r="DA561" s="23" t="n">
        <x:f>MAX(0,MIN('Activities'!L561,606)-MAX('Activities'!K561,600))</x:f>
        <x:v>0</x:v>
      </x:c>
      <x:c r="DB561" s="23" t="n">
        <x:f>MAX(0,MIN('Activities'!L561,612)-MAX('Activities'!K561,606))</x:f>
        <x:v>0</x:v>
      </x:c>
      <x:c r="DC561" s="23" t="n">
        <x:f>MAX(0,MIN('Activities'!L561,618)-MAX('Activities'!K561,612))</x:f>
        <x:v>0</x:v>
      </x:c>
      <x:c r="DD561" s="23" t="n">
        <x:f>MAX(0,MIN('Activities'!L561,624)-MAX('Activities'!K561,618))</x:f>
        <x:v>0</x:v>
      </x:c>
      <x:c r="DE561" s="23" t="n">
        <x:f>MAX(0,MIN('Activities'!L561,630)-MAX('Activities'!K561,624))</x:f>
        <x:v>0</x:v>
      </x:c>
      <x:c r="DF561" s="23" t="n">
        <x:f>MAX(0,MIN('Activities'!L561,636)-MAX('Activities'!K561,630))</x:f>
        <x:v>0</x:v>
      </x:c>
    </x:row>
    <x:row r="562" ht="23" customHeight="1">
      <x:c r="A562" s="6" t="str">
        <x:v>T5-L03-C</x:v>
      </x:c>
      <x:c r="B562" s="6" t="str">
        <x:v>T5</x:v>
      </x:c>
      <x:c r="C562" s="6" t="str">
        <x:v>Concrete placement and finishing</x:v>
      </x:c>
      <x:c r="D562" s="6" t="str">
        <x:v>Concrete</x:v>
      </x:c>
      <x:c r="E562" s="22" t="n">
        <x:f>MAX(0,MIN('Activities'!L562,6)-MAX('Activities'!K562,0))</x:f>
        <x:v>0</x:v>
      </x:c>
      <x:c r="F562" s="22" t="n">
        <x:f>MAX(0,MIN('Activities'!L562,12)-MAX('Activities'!K562,6))</x:f>
        <x:v>0</x:v>
      </x:c>
      <x:c r="G562" s="22" t="n">
        <x:f>MAX(0,MIN('Activities'!L562,18)-MAX('Activities'!K562,12))</x:f>
        <x:v>0</x:v>
      </x:c>
      <x:c r="H562" s="22" t="n">
        <x:f>MAX(0,MIN('Activities'!L562,24)-MAX('Activities'!K562,18))</x:f>
        <x:v>0</x:v>
      </x:c>
      <x:c r="I562" s="22" t="n">
        <x:f>MAX(0,MIN('Activities'!L562,30)-MAX('Activities'!K562,24))</x:f>
        <x:v>0</x:v>
      </x:c>
      <x:c r="J562" s="22" t="n">
        <x:f>MAX(0,MIN('Activities'!L562,36)-MAX('Activities'!K562,30))</x:f>
        <x:v>0</x:v>
      </x:c>
      <x:c r="K562" s="22" t="n">
        <x:f>MAX(0,MIN('Activities'!L562,42)-MAX('Activities'!K562,36))</x:f>
        <x:v>0</x:v>
      </x:c>
      <x:c r="L562" s="22" t="n">
        <x:f>MAX(0,MIN('Activities'!L562,48)-MAX('Activities'!K562,42))</x:f>
        <x:v>0</x:v>
      </x:c>
      <x:c r="M562" s="22" t="n">
        <x:f>MAX(0,MIN('Activities'!L562,54)-MAX('Activities'!K562,48))</x:f>
        <x:v>0</x:v>
      </x:c>
      <x:c r="N562" s="22" t="n">
        <x:f>MAX(0,MIN('Activities'!L562,60)-MAX('Activities'!K562,54))</x:f>
        <x:v>0</x:v>
      </x:c>
      <x:c r="O562" s="22" t="n">
        <x:f>MAX(0,MIN('Activities'!L562,66)-MAX('Activities'!K562,60))</x:f>
        <x:v>0</x:v>
      </x:c>
      <x:c r="P562" s="22" t="n">
        <x:f>MAX(0,MIN('Activities'!L562,72)-MAX('Activities'!K562,66))</x:f>
        <x:v>0</x:v>
      </x:c>
      <x:c r="Q562" s="22" t="n">
        <x:f>MAX(0,MIN('Activities'!L562,78)-MAX('Activities'!K562,72))</x:f>
        <x:v>0</x:v>
      </x:c>
      <x:c r="R562" s="22" t="n">
        <x:f>MAX(0,MIN('Activities'!L562,84)-MAX('Activities'!K562,78))</x:f>
        <x:v>0</x:v>
      </x:c>
      <x:c r="S562" s="22" t="n">
        <x:f>MAX(0,MIN('Activities'!L562,90)-MAX('Activities'!K562,84))</x:f>
        <x:v>0</x:v>
      </x:c>
      <x:c r="T562" s="22" t="n">
        <x:f>MAX(0,MIN('Activities'!L562,96)-MAX('Activities'!K562,90))</x:f>
        <x:v>0</x:v>
      </x:c>
      <x:c r="U562" s="22" t="n">
        <x:f>MAX(0,MIN('Activities'!L562,102)-MAX('Activities'!K562,96))</x:f>
        <x:v>0</x:v>
      </x:c>
      <x:c r="V562" s="22" t="n">
        <x:f>MAX(0,MIN('Activities'!L562,108)-MAX('Activities'!K562,102))</x:f>
        <x:v>0</x:v>
      </x:c>
      <x:c r="W562" s="22" t="n">
        <x:f>MAX(0,MIN('Activities'!L562,114)-MAX('Activities'!K562,108))</x:f>
        <x:v>0</x:v>
      </x:c>
      <x:c r="X562" s="22" t="n">
        <x:f>MAX(0,MIN('Activities'!L562,120)-MAX('Activities'!K562,114))</x:f>
        <x:v>0</x:v>
      </x:c>
      <x:c r="Y562" s="22" t="n">
        <x:f>MAX(0,MIN('Activities'!L562,126)-MAX('Activities'!K562,120))</x:f>
        <x:v>0</x:v>
      </x:c>
      <x:c r="Z562" s="22" t="n">
        <x:f>MAX(0,MIN('Activities'!L562,132)-MAX('Activities'!K562,126))</x:f>
        <x:v>0</x:v>
      </x:c>
      <x:c r="AA562" s="22" t="n">
        <x:f>MAX(0,MIN('Activities'!L562,138)-MAX('Activities'!K562,132))</x:f>
        <x:v>0</x:v>
      </x:c>
      <x:c r="AB562" s="22" t="n">
        <x:f>MAX(0,MIN('Activities'!L562,144)-MAX('Activities'!K562,138))</x:f>
        <x:v>0</x:v>
      </x:c>
      <x:c r="AC562" s="22" t="n">
        <x:f>MAX(0,MIN('Activities'!L562,150)-MAX('Activities'!K562,144))</x:f>
        <x:v>0</x:v>
      </x:c>
      <x:c r="AD562" s="22" t="n">
        <x:f>MAX(0,MIN('Activities'!L562,156)-MAX('Activities'!K562,150))</x:f>
        <x:v>0</x:v>
      </x:c>
      <x:c r="AE562" s="22" t="n">
        <x:f>MAX(0,MIN('Activities'!L562,162)-MAX('Activities'!K562,156))</x:f>
        <x:v>0</x:v>
      </x:c>
      <x:c r="AF562" s="22" t="n">
        <x:f>MAX(0,MIN('Activities'!L562,168)-MAX('Activities'!K562,162))</x:f>
        <x:v>0</x:v>
      </x:c>
      <x:c r="AG562" s="22" t="n">
        <x:f>MAX(0,MIN('Activities'!L562,174)-MAX('Activities'!K562,168))</x:f>
        <x:v>0</x:v>
      </x:c>
      <x:c r="AH562" s="22" t="n">
        <x:f>MAX(0,MIN('Activities'!L562,180)-MAX('Activities'!K562,174))</x:f>
        <x:v>0</x:v>
      </x:c>
      <x:c r="AI562" s="22" t="n">
        <x:f>MAX(0,MIN('Activities'!L562,186)-MAX('Activities'!K562,180))</x:f>
        <x:v>0</x:v>
      </x:c>
      <x:c r="AJ562" s="22" t="n">
        <x:f>MAX(0,MIN('Activities'!L562,192)-MAX('Activities'!K562,186))</x:f>
        <x:v>0</x:v>
      </x:c>
      <x:c r="AK562" s="22" t="n">
        <x:f>MAX(0,MIN('Activities'!L562,198)-MAX('Activities'!K562,192))</x:f>
        <x:v>0</x:v>
      </x:c>
      <x:c r="AL562" s="22" t="n">
        <x:f>MAX(0,MIN('Activities'!L562,204)-MAX('Activities'!K562,198))</x:f>
        <x:v>0</x:v>
      </x:c>
      <x:c r="AM562" s="22" t="n">
        <x:f>MAX(0,MIN('Activities'!L562,210)-MAX('Activities'!K562,204))</x:f>
        <x:v>0</x:v>
      </x:c>
      <x:c r="AN562" s="22" t="n">
        <x:f>MAX(0,MIN('Activities'!L562,216)-MAX('Activities'!K562,210))</x:f>
        <x:v>0</x:v>
      </x:c>
      <x:c r="AO562" s="22" t="n">
        <x:f>MAX(0,MIN('Activities'!L562,222)-MAX('Activities'!K562,216))</x:f>
        <x:v>0</x:v>
      </x:c>
      <x:c r="AP562" s="22" t="n">
        <x:f>MAX(0,MIN('Activities'!L562,228)-MAX('Activities'!K562,222))</x:f>
        <x:v>0</x:v>
      </x:c>
      <x:c r="AQ562" s="22" t="n">
        <x:f>MAX(0,MIN('Activities'!L562,234)-MAX('Activities'!K562,228))</x:f>
        <x:v>0</x:v>
      </x:c>
      <x:c r="AR562" s="22" t="n">
        <x:f>MAX(0,MIN('Activities'!L562,240)-MAX('Activities'!K562,234))</x:f>
        <x:v>0</x:v>
      </x:c>
      <x:c r="AS562" s="22" t="n">
        <x:f>MAX(0,MIN('Activities'!L562,246)-MAX('Activities'!K562,240))</x:f>
        <x:v>0</x:v>
      </x:c>
      <x:c r="AT562" s="22" t="n">
        <x:f>MAX(0,MIN('Activities'!L562,252)-MAX('Activities'!K562,246))</x:f>
        <x:v>2</x:v>
      </x:c>
      <x:c r="AU562" s="22" t="n">
        <x:f>MAX(0,MIN('Activities'!L562,258)-MAX('Activities'!K562,252))</x:f>
        <x:v>0</x:v>
      </x:c>
      <x:c r="AV562" s="22" t="n">
        <x:f>MAX(0,MIN('Activities'!L562,264)-MAX('Activities'!K562,258))</x:f>
        <x:v>0</x:v>
      </x:c>
      <x:c r="AW562" s="22" t="n">
        <x:f>MAX(0,MIN('Activities'!L562,270)-MAX('Activities'!K562,264))</x:f>
        <x:v>0</x:v>
      </x:c>
      <x:c r="AX562" s="22" t="n">
        <x:f>MAX(0,MIN('Activities'!L562,276)-MAX('Activities'!K562,270))</x:f>
        <x:v>0</x:v>
      </x:c>
      <x:c r="AY562" s="22" t="n">
        <x:f>MAX(0,MIN('Activities'!L562,282)-MAX('Activities'!K562,276))</x:f>
        <x:v>0</x:v>
      </x:c>
      <x:c r="AZ562" s="22" t="n">
        <x:f>MAX(0,MIN('Activities'!L562,288)-MAX('Activities'!K562,282))</x:f>
        <x:v>0</x:v>
      </x:c>
      <x:c r="BA562" s="22" t="n">
        <x:f>MAX(0,MIN('Activities'!L562,294)-MAX('Activities'!K562,288))</x:f>
        <x:v>0</x:v>
      </x:c>
      <x:c r="BB562" s="22" t="n">
        <x:f>MAX(0,MIN('Activities'!L562,300)-MAX('Activities'!K562,294))</x:f>
        <x:v>0</x:v>
      </x:c>
      <x:c r="BC562" s="22" t="n">
        <x:f>MAX(0,MIN('Activities'!L562,306)-MAX('Activities'!K562,300))</x:f>
        <x:v>0</x:v>
      </x:c>
      <x:c r="BD562" s="22" t="n">
        <x:f>MAX(0,MIN('Activities'!L562,312)-MAX('Activities'!K562,306))</x:f>
        <x:v>0</x:v>
      </x:c>
      <x:c r="BE562" s="22" t="n">
        <x:f>MAX(0,MIN('Activities'!L562,318)-MAX('Activities'!K562,312))</x:f>
        <x:v>0</x:v>
      </x:c>
      <x:c r="BF562" s="22" t="n">
        <x:f>MAX(0,MIN('Activities'!L562,324)-MAX('Activities'!K562,318))</x:f>
        <x:v>0</x:v>
      </x:c>
      <x:c r="BG562" s="22" t="n">
        <x:f>MAX(0,MIN('Activities'!L562,330)-MAX('Activities'!K562,324))</x:f>
        <x:v>0</x:v>
      </x:c>
      <x:c r="BH562" s="22" t="n">
        <x:f>MAX(0,MIN('Activities'!L562,336)-MAX('Activities'!K562,330))</x:f>
        <x:v>0</x:v>
      </x:c>
      <x:c r="BI562" s="22" t="n">
        <x:f>MAX(0,MIN('Activities'!L562,342)-MAX('Activities'!K562,336))</x:f>
        <x:v>0</x:v>
      </x:c>
      <x:c r="BJ562" s="22" t="n">
        <x:f>MAX(0,MIN('Activities'!L562,348)-MAX('Activities'!K562,342))</x:f>
        <x:v>0</x:v>
      </x:c>
      <x:c r="BK562" s="22" t="n">
        <x:f>MAX(0,MIN('Activities'!L562,354)-MAX('Activities'!K562,348))</x:f>
        <x:v>0</x:v>
      </x:c>
      <x:c r="BL562" s="22" t="n">
        <x:f>MAX(0,MIN('Activities'!L562,360)-MAX('Activities'!K562,354))</x:f>
        <x:v>0</x:v>
      </x:c>
      <x:c r="BM562" s="22" t="n">
        <x:f>MAX(0,MIN('Activities'!L562,366)-MAX('Activities'!K562,360))</x:f>
        <x:v>0</x:v>
      </x:c>
      <x:c r="BN562" s="22" t="n">
        <x:f>MAX(0,MIN('Activities'!L562,372)-MAX('Activities'!K562,366))</x:f>
        <x:v>0</x:v>
      </x:c>
      <x:c r="BO562" s="22" t="n">
        <x:f>MAX(0,MIN('Activities'!L562,378)-MAX('Activities'!K562,372))</x:f>
        <x:v>0</x:v>
      </x:c>
      <x:c r="BP562" s="22" t="n">
        <x:f>MAX(0,MIN('Activities'!L562,384)-MAX('Activities'!K562,378))</x:f>
        <x:v>0</x:v>
      </x:c>
      <x:c r="BQ562" s="22" t="n">
        <x:f>MAX(0,MIN('Activities'!L562,390)-MAX('Activities'!K562,384))</x:f>
        <x:v>0</x:v>
      </x:c>
      <x:c r="BR562" s="22" t="n">
        <x:f>MAX(0,MIN('Activities'!L562,396)-MAX('Activities'!K562,390))</x:f>
        <x:v>0</x:v>
      </x:c>
      <x:c r="BS562" s="22" t="n">
        <x:f>MAX(0,MIN('Activities'!L562,402)-MAX('Activities'!K562,396))</x:f>
        <x:v>0</x:v>
      </x:c>
      <x:c r="BT562" s="22" t="n">
        <x:f>MAX(0,MIN('Activities'!L562,408)-MAX('Activities'!K562,402))</x:f>
        <x:v>0</x:v>
      </x:c>
      <x:c r="BU562" s="22" t="n">
        <x:f>MAX(0,MIN('Activities'!L562,414)-MAX('Activities'!K562,408))</x:f>
        <x:v>0</x:v>
      </x:c>
      <x:c r="BV562" s="22" t="n">
        <x:f>MAX(0,MIN('Activities'!L562,420)-MAX('Activities'!K562,414))</x:f>
        <x:v>0</x:v>
      </x:c>
      <x:c r="BW562" s="22" t="n">
        <x:f>MAX(0,MIN('Activities'!L562,426)-MAX('Activities'!K562,420))</x:f>
        <x:v>0</x:v>
      </x:c>
      <x:c r="BX562" s="22" t="n">
        <x:f>MAX(0,MIN('Activities'!L562,432)-MAX('Activities'!K562,426))</x:f>
        <x:v>0</x:v>
      </x:c>
      <x:c r="BY562" s="22" t="n">
        <x:f>MAX(0,MIN('Activities'!L562,438)-MAX('Activities'!K562,432))</x:f>
        <x:v>0</x:v>
      </x:c>
      <x:c r="BZ562" s="22" t="n">
        <x:f>MAX(0,MIN('Activities'!L562,444)-MAX('Activities'!K562,438))</x:f>
        <x:v>0</x:v>
      </x:c>
      <x:c r="CA562" s="22" t="n">
        <x:f>MAX(0,MIN('Activities'!L562,450)-MAX('Activities'!K562,444))</x:f>
        <x:v>0</x:v>
      </x:c>
      <x:c r="CB562" s="22" t="n">
        <x:f>MAX(0,MIN('Activities'!L562,456)-MAX('Activities'!K562,450))</x:f>
        <x:v>0</x:v>
      </x:c>
      <x:c r="CC562" s="22" t="n">
        <x:f>MAX(0,MIN('Activities'!L562,462)-MAX('Activities'!K562,456))</x:f>
        <x:v>0</x:v>
      </x:c>
      <x:c r="CD562" s="22" t="n">
        <x:f>MAX(0,MIN('Activities'!L562,468)-MAX('Activities'!K562,462))</x:f>
        <x:v>0</x:v>
      </x:c>
      <x:c r="CE562" s="22" t="n">
        <x:f>MAX(0,MIN('Activities'!L562,474)-MAX('Activities'!K562,468))</x:f>
        <x:v>0</x:v>
      </x:c>
      <x:c r="CF562" s="22" t="n">
        <x:f>MAX(0,MIN('Activities'!L562,480)-MAX('Activities'!K562,474))</x:f>
        <x:v>0</x:v>
      </x:c>
      <x:c r="CG562" s="22" t="n">
        <x:f>MAX(0,MIN('Activities'!L562,486)-MAX('Activities'!K562,480))</x:f>
        <x:v>0</x:v>
      </x:c>
      <x:c r="CH562" s="22" t="n">
        <x:f>MAX(0,MIN('Activities'!L562,492)-MAX('Activities'!K562,486))</x:f>
        <x:v>0</x:v>
      </x:c>
      <x:c r="CI562" s="22" t="n">
        <x:f>MAX(0,MIN('Activities'!L562,498)-MAX('Activities'!K562,492))</x:f>
        <x:v>0</x:v>
      </x:c>
      <x:c r="CJ562" s="22" t="n">
        <x:f>MAX(0,MIN('Activities'!L562,504)-MAX('Activities'!K562,498))</x:f>
        <x:v>0</x:v>
      </x:c>
      <x:c r="CK562" s="22" t="n">
        <x:f>MAX(0,MIN('Activities'!L562,510)-MAX('Activities'!K562,504))</x:f>
        <x:v>0</x:v>
      </x:c>
      <x:c r="CL562" s="22" t="n">
        <x:f>MAX(0,MIN('Activities'!L562,516)-MAX('Activities'!K562,510))</x:f>
        <x:v>0</x:v>
      </x:c>
      <x:c r="CM562" s="22" t="n">
        <x:f>MAX(0,MIN('Activities'!L562,522)-MAX('Activities'!K562,516))</x:f>
        <x:v>0</x:v>
      </x:c>
      <x:c r="CN562" s="22" t="n">
        <x:f>MAX(0,MIN('Activities'!L562,528)-MAX('Activities'!K562,522))</x:f>
        <x:v>0</x:v>
      </x:c>
      <x:c r="CO562" s="22" t="n">
        <x:f>MAX(0,MIN('Activities'!L562,534)-MAX('Activities'!K562,528))</x:f>
        <x:v>0</x:v>
      </x:c>
      <x:c r="CP562" s="22" t="n">
        <x:f>MAX(0,MIN('Activities'!L562,540)-MAX('Activities'!K562,534))</x:f>
        <x:v>0</x:v>
      </x:c>
      <x:c r="CQ562" s="22" t="n">
        <x:f>MAX(0,MIN('Activities'!L562,546)-MAX('Activities'!K562,540))</x:f>
        <x:v>0</x:v>
      </x:c>
      <x:c r="CR562" s="22" t="n">
        <x:f>MAX(0,MIN('Activities'!L562,552)-MAX('Activities'!K562,546))</x:f>
        <x:v>0</x:v>
      </x:c>
      <x:c r="CS562" s="22" t="n">
        <x:f>MAX(0,MIN('Activities'!L562,558)-MAX('Activities'!K562,552))</x:f>
        <x:v>0</x:v>
      </x:c>
      <x:c r="CT562" s="22" t="n">
        <x:f>MAX(0,MIN('Activities'!L562,564)-MAX('Activities'!K562,558))</x:f>
        <x:v>0</x:v>
      </x:c>
      <x:c r="CU562" s="22" t="n">
        <x:f>MAX(0,MIN('Activities'!L562,570)-MAX('Activities'!K562,564))</x:f>
        <x:v>0</x:v>
      </x:c>
      <x:c r="CV562" s="22" t="n">
        <x:f>MAX(0,MIN('Activities'!L562,576)-MAX('Activities'!K562,570))</x:f>
        <x:v>0</x:v>
      </x:c>
      <x:c r="CW562" s="22" t="n">
        <x:f>MAX(0,MIN('Activities'!L562,582)-MAX('Activities'!K562,576))</x:f>
        <x:v>0</x:v>
      </x:c>
      <x:c r="CX562" s="22" t="n">
        <x:f>MAX(0,MIN('Activities'!L562,588)-MAX('Activities'!K562,582))</x:f>
        <x:v>0</x:v>
      </x:c>
      <x:c r="CY562" s="22" t="n">
        <x:f>MAX(0,MIN('Activities'!L562,594)-MAX('Activities'!K562,588))</x:f>
        <x:v>0</x:v>
      </x:c>
      <x:c r="CZ562" s="22" t="n">
        <x:f>MAX(0,MIN('Activities'!L562,600)-MAX('Activities'!K562,594))</x:f>
        <x:v>0</x:v>
      </x:c>
      <x:c r="DA562" s="22" t="n">
        <x:f>MAX(0,MIN('Activities'!L562,606)-MAX('Activities'!K562,600))</x:f>
        <x:v>0</x:v>
      </x:c>
      <x:c r="DB562" s="22" t="n">
        <x:f>MAX(0,MIN('Activities'!L562,612)-MAX('Activities'!K562,606))</x:f>
        <x:v>0</x:v>
      </x:c>
      <x:c r="DC562" s="22" t="n">
        <x:f>MAX(0,MIN('Activities'!L562,618)-MAX('Activities'!K562,612))</x:f>
        <x:v>0</x:v>
      </x:c>
      <x:c r="DD562" s="22" t="n">
        <x:f>MAX(0,MIN('Activities'!L562,624)-MAX('Activities'!K562,618))</x:f>
        <x:v>0</x:v>
      </x:c>
      <x:c r="DE562" s="22" t="n">
        <x:f>MAX(0,MIN('Activities'!L562,630)-MAX('Activities'!K562,624))</x:f>
        <x:v>0</x:v>
      </x:c>
      <x:c r="DF562" s="22" t="n">
        <x:f>MAX(0,MIN('Activities'!L562,636)-MAX('Activities'!K562,630))</x:f>
        <x:v>0</x:v>
      </x:c>
    </x:row>
    <x:row r="563" ht="23" customHeight="1">
      <x:c r="A563" s="1" t="str">
        <x:v>T5-L03-H</x:v>
      </x:c>
      <x:c r="B563" s="1" t="str">
        <x:v>T5</x:v>
      </x:c>
      <x:c r="C563" s="1" t="str">
        <x:v>Curing and release hold point</x:v>
      </x:c>
      <x:c r="D563" s="1" t="str">
        <x:v>Site</x:v>
      </x:c>
      <x:c r="E563" s="23" t="n">
        <x:f>MAX(0,MIN('Activities'!L563,6)-MAX('Activities'!K563,0))</x:f>
        <x:v>0</x:v>
      </x:c>
      <x:c r="F563" s="23" t="n">
        <x:f>MAX(0,MIN('Activities'!L563,12)-MAX('Activities'!K563,6))</x:f>
        <x:v>0</x:v>
      </x:c>
      <x:c r="G563" s="23" t="n">
        <x:f>MAX(0,MIN('Activities'!L563,18)-MAX('Activities'!K563,12))</x:f>
        <x:v>0</x:v>
      </x:c>
      <x:c r="H563" s="23" t="n">
        <x:f>MAX(0,MIN('Activities'!L563,24)-MAX('Activities'!K563,18))</x:f>
        <x:v>0</x:v>
      </x:c>
      <x:c r="I563" s="23" t="n">
        <x:f>MAX(0,MIN('Activities'!L563,30)-MAX('Activities'!K563,24))</x:f>
        <x:v>0</x:v>
      </x:c>
      <x:c r="J563" s="23" t="n">
        <x:f>MAX(0,MIN('Activities'!L563,36)-MAX('Activities'!K563,30))</x:f>
        <x:v>0</x:v>
      </x:c>
      <x:c r="K563" s="23" t="n">
        <x:f>MAX(0,MIN('Activities'!L563,42)-MAX('Activities'!K563,36))</x:f>
        <x:v>0</x:v>
      </x:c>
      <x:c r="L563" s="23" t="n">
        <x:f>MAX(0,MIN('Activities'!L563,48)-MAX('Activities'!K563,42))</x:f>
        <x:v>0</x:v>
      </x:c>
      <x:c r="M563" s="23" t="n">
        <x:f>MAX(0,MIN('Activities'!L563,54)-MAX('Activities'!K563,48))</x:f>
        <x:v>0</x:v>
      </x:c>
      <x:c r="N563" s="23" t="n">
        <x:f>MAX(0,MIN('Activities'!L563,60)-MAX('Activities'!K563,54))</x:f>
        <x:v>0</x:v>
      </x:c>
      <x:c r="O563" s="23" t="n">
        <x:f>MAX(0,MIN('Activities'!L563,66)-MAX('Activities'!K563,60))</x:f>
        <x:v>0</x:v>
      </x:c>
      <x:c r="P563" s="23" t="n">
        <x:f>MAX(0,MIN('Activities'!L563,72)-MAX('Activities'!K563,66))</x:f>
        <x:v>0</x:v>
      </x:c>
      <x:c r="Q563" s="23" t="n">
        <x:f>MAX(0,MIN('Activities'!L563,78)-MAX('Activities'!K563,72))</x:f>
        <x:v>0</x:v>
      </x:c>
      <x:c r="R563" s="23" t="n">
        <x:f>MAX(0,MIN('Activities'!L563,84)-MAX('Activities'!K563,78))</x:f>
        <x:v>0</x:v>
      </x:c>
      <x:c r="S563" s="23" t="n">
        <x:f>MAX(0,MIN('Activities'!L563,90)-MAX('Activities'!K563,84))</x:f>
        <x:v>0</x:v>
      </x:c>
      <x:c r="T563" s="23" t="n">
        <x:f>MAX(0,MIN('Activities'!L563,96)-MAX('Activities'!K563,90))</x:f>
        <x:v>0</x:v>
      </x:c>
      <x:c r="U563" s="23" t="n">
        <x:f>MAX(0,MIN('Activities'!L563,102)-MAX('Activities'!K563,96))</x:f>
        <x:v>0</x:v>
      </x:c>
      <x:c r="V563" s="23" t="n">
        <x:f>MAX(0,MIN('Activities'!L563,108)-MAX('Activities'!K563,102))</x:f>
        <x:v>0</x:v>
      </x:c>
      <x:c r="W563" s="23" t="n">
        <x:f>MAX(0,MIN('Activities'!L563,114)-MAX('Activities'!K563,108))</x:f>
        <x:v>0</x:v>
      </x:c>
      <x:c r="X563" s="23" t="n">
        <x:f>MAX(0,MIN('Activities'!L563,120)-MAX('Activities'!K563,114))</x:f>
        <x:v>0</x:v>
      </x:c>
      <x:c r="Y563" s="23" t="n">
        <x:f>MAX(0,MIN('Activities'!L563,126)-MAX('Activities'!K563,120))</x:f>
        <x:v>0</x:v>
      </x:c>
      <x:c r="Z563" s="23" t="n">
        <x:f>MAX(0,MIN('Activities'!L563,132)-MAX('Activities'!K563,126))</x:f>
        <x:v>0</x:v>
      </x:c>
      <x:c r="AA563" s="23" t="n">
        <x:f>MAX(0,MIN('Activities'!L563,138)-MAX('Activities'!K563,132))</x:f>
        <x:v>0</x:v>
      </x:c>
      <x:c r="AB563" s="23" t="n">
        <x:f>MAX(0,MIN('Activities'!L563,144)-MAX('Activities'!K563,138))</x:f>
        <x:v>0</x:v>
      </x:c>
      <x:c r="AC563" s="23" t="n">
        <x:f>MAX(0,MIN('Activities'!L563,150)-MAX('Activities'!K563,144))</x:f>
        <x:v>0</x:v>
      </x:c>
      <x:c r="AD563" s="23" t="n">
        <x:f>MAX(0,MIN('Activities'!L563,156)-MAX('Activities'!K563,150))</x:f>
        <x:v>0</x:v>
      </x:c>
      <x:c r="AE563" s="23" t="n">
        <x:f>MAX(0,MIN('Activities'!L563,162)-MAX('Activities'!K563,156))</x:f>
        <x:v>0</x:v>
      </x:c>
      <x:c r="AF563" s="23" t="n">
        <x:f>MAX(0,MIN('Activities'!L563,168)-MAX('Activities'!K563,162))</x:f>
        <x:v>0</x:v>
      </x:c>
      <x:c r="AG563" s="23" t="n">
        <x:f>MAX(0,MIN('Activities'!L563,174)-MAX('Activities'!K563,168))</x:f>
        <x:v>0</x:v>
      </x:c>
      <x:c r="AH563" s="23" t="n">
        <x:f>MAX(0,MIN('Activities'!L563,180)-MAX('Activities'!K563,174))</x:f>
        <x:v>0</x:v>
      </x:c>
      <x:c r="AI563" s="23" t="n">
        <x:f>MAX(0,MIN('Activities'!L563,186)-MAX('Activities'!K563,180))</x:f>
        <x:v>0</x:v>
      </x:c>
      <x:c r="AJ563" s="23" t="n">
        <x:f>MAX(0,MIN('Activities'!L563,192)-MAX('Activities'!K563,186))</x:f>
        <x:v>0</x:v>
      </x:c>
      <x:c r="AK563" s="23" t="n">
        <x:f>MAX(0,MIN('Activities'!L563,198)-MAX('Activities'!K563,192))</x:f>
        <x:v>0</x:v>
      </x:c>
      <x:c r="AL563" s="23" t="n">
        <x:f>MAX(0,MIN('Activities'!L563,204)-MAX('Activities'!K563,198))</x:f>
        <x:v>0</x:v>
      </x:c>
      <x:c r="AM563" s="23" t="n">
        <x:f>MAX(0,MIN('Activities'!L563,210)-MAX('Activities'!K563,204))</x:f>
        <x:v>0</x:v>
      </x:c>
      <x:c r="AN563" s="23" t="n">
        <x:f>MAX(0,MIN('Activities'!L563,216)-MAX('Activities'!K563,210))</x:f>
        <x:v>0</x:v>
      </x:c>
      <x:c r="AO563" s="23" t="n">
        <x:f>MAX(0,MIN('Activities'!L563,222)-MAX('Activities'!K563,216))</x:f>
        <x:v>0</x:v>
      </x:c>
      <x:c r="AP563" s="23" t="n">
        <x:f>MAX(0,MIN('Activities'!L563,228)-MAX('Activities'!K563,222))</x:f>
        <x:v>0</x:v>
      </x:c>
      <x:c r="AQ563" s="23" t="n">
        <x:f>MAX(0,MIN('Activities'!L563,234)-MAX('Activities'!K563,228))</x:f>
        <x:v>0</x:v>
      </x:c>
      <x:c r="AR563" s="23" t="n">
        <x:f>MAX(0,MIN('Activities'!L563,240)-MAX('Activities'!K563,234))</x:f>
        <x:v>0</x:v>
      </x:c>
      <x:c r="AS563" s="23" t="n">
        <x:f>MAX(0,MIN('Activities'!L563,246)-MAX('Activities'!K563,240))</x:f>
        <x:v>0</x:v>
      </x:c>
      <x:c r="AT563" s="23" t="n">
        <x:f>MAX(0,MIN('Activities'!L563,252)-MAX('Activities'!K563,246))</x:f>
        <x:v>3</x:v>
      </x:c>
      <x:c r="AU563" s="23" t="n">
        <x:f>MAX(0,MIN('Activities'!L563,258)-MAX('Activities'!K563,252))</x:f>
        <x:v>2</x:v>
      </x:c>
      <x:c r="AV563" s="23" t="n">
        <x:f>MAX(0,MIN('Activities'!L563,264)-MAX('Activities'!K563,258))</x:f>
        <x:v>0</x:v>
      </x:c>
      <x:c r="AW563" s="23" t="n">
        <x:f>MAX(0,MIN('Activities'!L563,270)-MAX('Activities'!K563,264))</x:f>
        <x:v>0</x:v>
      </x:c>
      <x:c r="AX563" s="23" t="n">
        <x:f>MAX(0,MIN('Activities'!L563,276)-MAX('Activities'!K563,270))</x:f>
        <x:v>0</x:v>
      </x:c>
      <x:c r="AY563" s="23" t="n">
        <x:f>MAX(0,MIN('Activities'!L563,282)-MAX('Activities'!K563,276))</x:f>
        <x:v>0</x:v>
      </x:c>
      <x:c r="AZ563" s="23" t="n">
        <x:f>MAX(0,MIN('Activities'!L563,288)-MAX('Activities'!K563,282))</x:f>
        <x:v>0</x:v>
      </x:c>
      <x:c r="BA563" s="23" t="n">
        <x:f>MAX(0,MIN('Activities'!L563,294)-MAX('Activities'!K563,288))</x:f>
        <x:v>0</x:v>
      </x:c>
      <x:c r="BB563" s="23" t="n">
        <x:f>MAX(0,MIN('Activities'!L563,300)-MAX('Activities'!K563,294))</x:f>
        <x:v>0</x:v>
      </x:c>
      <x:c r="BC563" s="23" t="n">
        <x:f>MAX(0,MIN('Activities'!L563,306)-MAX('Activities'!K563,300))</x:f>
        <x:v>0</x:v>
      </x:c>
      <x:c r="BD563" s="23" t="n">
        <x:f>MAX(0,MIN('Activities'!L563,312)-MAX('Activities'!K563,306))</x:f>
        <x:v>0</x:v>
      </x:c>
      <x:c r="BE563" s="23" t="n">
        <x:f>MAX(0,MIN('Activities'!L563,318)-MAX('Activities'!K563,312))</x:f>
        <x:v>0</x:v>
      </x:c>
      <x:c r="BF563" s="23" t="n">
        <x:f>MAX(0,MIN('Activities'!L563,324)-MAX('Activities'!K563,318))</x:f>
        <x:v>0</x:v>
      </x:c>
      <x:c r="BG563" s="23" t="n">
        <x:f>MAX(0,MIN('Activities'!L563,330)-MAX('Activities'!K563,324))</x:f>
        <x:v>0</x:v>
      </x:c>
      <x:c r="BH563" s="23" t="n">
        <x:f>MAX(0,MIN('Activities'!L563,336)-MAX('Activities'!K563,330))</x:f>
        <x:v>0</x:v>
      </x:c>
      <x:c r="BI563" s="23" t="n">
        <x:f>MAX(0,MIN('Activities'!L563,342)-MAX('Activities'!K563,336))</x:f>
        <x:v>0</x:v>
      </x:c>
      <x:c r="BJ563" s="23" t="n">
        <x:f>MAX(0,MIN('Activities'!L563,348)-MAX('Activities'!K563,342))</x:f>
        <x:v>0</x:v>
      </x:c>
      <x:c r="BK563" s="23" t="n">
        <x:f>MAX(0,MIN('Activities'!L563,354)-MAX('Activities'!K563,348))</x:f>
        <x:v>0</x:v>
      </x:c>
      <x:c r="BL563" s="23" t="n">
        <x:f>MAX(0,MIN('Activities'!L563,360)-MAX('Activities'!K563,354))</x:f>
        <x:v>0</x:v>
      </x:c>
      <x:c r="BM563" s="23" t="n">
        <x:f>MAX(0,MIN('Activities'!L563,366)-MAX('Activities'!K563,360))</x:f>
        <x:v>0</x:v>
      </x:c>
      <x:c r="BN563" s="23" t="n">
        <x:f>MAX(0,MIN('Activities'!L563,372)-MAX('Activities'!K563,366))</x:f>
        <x:v>0</x:v>
      </x:c>
      <x:c r="BO563" s="23" t="n">
        <x:f>MAX(0,MIN('Activities'!L563,378)-MAX('Activities'!K563,372))</x:f>
        <x:v>0</x:v>
      </x:c>
      <x:c r="BP563" s="23" t="n">
        <x:f>MAX(0,MIN('Activities'!L563,384)-MAX('Activities'!K563,378))</x:f>
        <x:v>0</x:v>
      </x:c>
      <x:c r="BQ563" s="23" t="n">
        <x:f>MAX(0,MIN('Activities'!L563,390)-MAX('Activities'!K563,384))</x:f>
        <x:v>0</x:v>
      </x:c>
      <x:c r="BR563" s="23" t="n">
        <x:f>MAX(0,MIN('Activities'!L563,396)-MAX('Activities'!K563,390))</x:f>
        <x:v>0</x:v>
      </x:c>
      <x:c r="BS563" s="23" t="n">
        <x:f>MAX(0,MIN('Activities'!L563,402)-MAX('Activities'!K563,396))</x:f>
        <x:v>0</x:v>
      </x:c>
      <x:c r="BT563" s="23" t="n">
        <x:f>MAX(0,MIN('Activities'!L563,408)-MAX('Activities'!K563,402))</x:f>
        <x:v>0</x:v>
      </x:c>
      <x:c r="BU563" s="23" t="n">
        <x:f>MAX(0,MIN('Activities'!L563,414)-MAX('Activities'!K563,408))</x:f>
        <x:v>0</x:v>
      </x:c>
      <x:c r="BV563" s="23" t="n">
        <x:f>MAX(0,MIN('Activities'!L563,420)-MAX('Activities'!K563,414))</x:f>
        <x:v>0</x:v>
      </x:c>
      <x:c r="BW563" s="23" t="n">
        <x:f>MAX(0,MIN('Activities'!L563,426)-MAX('Activities'!K563,420))</x:f>
        <x:v>0</x:v>
      </x:c>
      <x:c r="BX563" s="23" t="n">
        <x:f>MAX(0,MIN('Activities'!L563,432)-MAX('Activities'!K563,426))</x:f>
        <x:v>0</x:v>
      </x:c>
      <x:c r="BY563" s="23" t="n">
        <x:f>MAX(0,MIN('Activities'!L563,438)-MAX('Activities'!K563,432))</x:f>
        <x:v>0</x:v>
      </x:c>
      <x:c r="BZ563" s="23" t="n">
        <x:f>MAX(0,MIN('Activities'!L563,444)-MAX('Activities'!K563,438))</x:f>
        <x:v>0</x:v>
      </x:c>
      <x:c r="CA563" s="23" t="n">
        <x:f>MAX(0,MIN('Activities'!L563,450)-MAX('Activities'!K563,444))</x:f>
        <x:v>0</x:v>
      </x:c>
      <x:c r="CB563" s="23" t="n">
        <x:f>MAX(0,MIN('Activities'!L563,456)-MAX('Activities'!K563,450))</x:f>
        <x:v>0</x:v>
      </x:c>
      <x:c r="CC563" s="23" t="n">
        <x:f>MAX(0,MIN('Activities'!L563,462)-MAX('Activities'!K563,456))</x:f>
        <x:v>0</x:v>
      </x:c>
      <x:c r="CD563" s="23" t="n">
        <x:f>MAX(0,MIN('Activities'!L563,468)-MAX('Activities'!K563,462))</x:f>
        <x:v>0</x:v>
      </x:c>
      <x:c r="CE563" s="23" t="n">
        <x:f>MAX(0,MIN('Activities'!L563,474)-MAX('Activities'!K563,468))</x:f>
        <x:v>0</x:v>
      </x:c>
      <x:c r="CF563" s="23" t="n">
        <x:f>MAX(0,MIN('Activities'!L563,480)-MAX('Activities'!K563,474))</x:f>
        <x:v>0</x:v>
      </x:c>
      <x:c r="CG563" s="23" t="n">
        <x:f>MAX(0,MIN('Activities'!L563,486)-MAX('Activities'!K563,480))</x:f>
        <x:v>0</x:v>
      </x:c>
      <x:c r="CH563" s="23" t="n">
        <x:f>MAX(0,MIN('Activities'!L563,492)-MAX('Activities'!K563,486))</x:f>
        <x:v>0</x:v>
      </x:c>
      <x:c r="CI563" s="23" t="n">
        <x:f>MAX(0,MIN('Activities'!L563,498)-MAX('Activities'!K563,492))</x:f>
        <x:v>0</x:v>
      </x:c>
      <x:c r="CJ563" s="23" t="n">
        <x:f>MAX(0,MIN('Activities'!L563,504)-MAX('Activities'!K563,498))</x:f>
        <x:v>0</x:v>
      </x:c>
      <x:c r="CK563" s="23" t="n">
        <x:f>MAX(0,MIN('Activities'!L563,510)-MAX('Activities'!K563,504))</x:f>
        <x:v>0</x:v>
      </x:c>
      <x:c r="CL563" s="23" t="n">
        <x:f>MAX(0,MIN('Activities'!L563,516)-MAX('Activities'!K563,510))</x:f>
        <x:v>0</x:v>
      </x:c>
      <x:c r="CM563" s="23" t="n">
        <x:f>MAX(0,MIN('Activities'!L563,522)-MAX('Activities'!K563,516))</x:f>
        <x:v>0</x:v>
      </x:c>
      <x:c r="CN563" s="23" t="n">
        <x:f>MAX(0,MIN('Activities'!L563,528)-MAX('Activities'!K563,522))</x:f>
        <x:v>0</x:v>
      </x:c>
      <x:c r="CO563" s="23" t="n">
        <x:f>MAX(0,MIN('Activities'!L563,534)-MAX('Activities'!K563,528))</x:f>
        <x:v>0</x:v>
      </x:c>
      <x:c r="CP563" s="23" t="n">
        <x:f>MAX(0,MIN('Activities'!L563,540)-MAX('Activities'!K563,534))</x:f>
        <x:v>0</x:v>
      </x:c>
      <x:c r="CQ563" s="23" t="n">
        <x:f>MAX(0,MIN('Activities'!L563,546)-MAX('Activities'!K563,540))</x:f>
        <x:v>0</x:v>
      </x:c>
      <x:c r="CR563" s="23" t="n">
        <x:f>MAX(0,MIN('Activities'!L563,552)-MAX('Activities'!K563,546))</x:f>
        <x:v>0</x:v>
      </x:c>
      <x:c r="CS563" s="23" t="n">
        <x:f>MAX(0,MIN('Activities'!L563,558)-MAX('Activities'!K563,552))</x:f>
        <x:v>0</x:v>
      </x:c>
      <x:c r="CT563" s="23" t="n">
        <x:f>MAX(0,MIN('Activities'!L563,564)-MAX('Activities'!K563,558))</x:f>
        <x:v>0</x:v>
      </x:c>
      <x:c r="CU563" s="23" t="n">
        <x:f>MAX(0,MIN('Activities'!L563,570)-MAX('Activities'!K563,564))</x:f>
        <x:v>0</x:v>
      </x:c>
      <x:c r="CV563" s="23" t="n">
        <x:f>MAX(0,MIN('Activities'!L563,576)-MAX('Activities'!K563,570))</x:f>
        <x:v>0</x:v>
      </x:c>
      <x:c r="CW563" s="23" t="n">
        <x:f>MAX(0,MIN('Activities'!L563,582)-MAX('Activities'!K563,576))</x:f>
        <x:v>0</x:v>
      </x:c>
      <x:c r="CX563" s="23" t="n">
        <x:f>MAX(0,MIN('Activities'!L563,588)-MAX('Activities'!K563,582))</x:f>
        <x:v>0</x:v>
      </x:c>
      <x:c r="CY563" s="23" t="n">
        <x:f>MAX(0,MIN('Activities'!L563,594)-MAX('Activities'!K563,588))</x:f>
        <x:v>0</x:v>
      </x:c>
      <x:c r="CZ563" s="23" t="n">
        <x:f>MAX(0,MIN('Activities'!L563,600)-MAX('Activities'!K563,594))</x:f>
        <x:v>0</x:v>
      </x:c>
      <x:c r="DA563" s="23" t="n">
        <x:f>MAX(0,MIN('Activities'!L563,606)-MAX('Activities'!K563,600))</x:f>
        <x:v>0</x:v>
      </x:c>
      <x:c r="DB563" s="23" t="n">
        <x:f>MAX(0,MIN('Activities'!L563,612)-MAX('Activities'!K563,606))</x:f>
        <x:v>0</x:v>
      </x:c>
      <x:c r="DC563" s="23" t="n">
        <x:f>MAX(0,MIN('Activities'!L563,618)-MAX('Activities'!K563,612))</x:f>
        <x:v>0</x:v>
      </x:c>
      <x:c r="DD563" s="23" t="n">
        <x:f>MAX(0,MIN('Activities'!L563,624)-MAX('Activities'!K563,618))</x:f>
        <x:v>0</x:v>
      </x:c>
      <x:c r="DE563" s="23" t="n">
        <x:f>MAX(0,MIN('Activities'!L563,630)-MAX('Activities'!K563,624))</x:f>
        <x:v>0</x:v>
      </x:c>
      <x:c r="DF563" s="23" t="n">
        <x:f>MAX(0,MIN('Activities'!L563,636)-MAX('Activities'!K563,630))</x:f>
        <x:v>0</x:v>
      </x:c>
    </x:row>
    <x:row r="564" ht="23" customHeight="1">
      <x:c r="A564" s="6" t="str">
        <x:v>T5-L04-F</x:v>
      </x:c>
      <x:c r="B564" s="6" t="str">
        <x:v>T5</x:v>
      </x:c>
      <x:c r="C564" s="6" t="str">
        <x:v>Columns, core and deck formwork</x:v>
      </x:c>
      <x:c r="D564" s="6" t="str">
        <x:v>Formwork</x:v>
      </x:c>
      <x:c r="E564" s="22" t="n">
        <x:f>MAX(0,MIN('Activities'!L564,6)-MAX('Activities'!K564,0))</x:f>
        <x:v>0</x:v>
      </x:c>
      <x:c r="F564" s="22" t="n">
        <x:f>MAX(0,MIN('Activities'!L564,12)-MAX('Activities'!K564,6))</x:f>
        <x:v>0</x:v>
      </x:c>
      <x:c r="G564" s="22" t="n">
        <x:f>MAX(0,MIN('Activities'!L564,18)-MAX('Activities'!K564,12))</x:f>
        <x:v>0</x:v>
      </x:c>
      <x:c r="H564" s="22" t="n">
        <x:f>MAX(0,MIN('Activities'!L564,24)-MAX('Activities'!K564,18))</x:f>
        <x:v>0</x:v>
      </x:c>
      <x:c r="I564" s="22" t="n">
        <x:f>MAX(0,MIN('Activities'!L564,30)-MAX('Activities'!K564,24))</x:f>
        <x:v>0</x:v>
      </x:c>
      <x:c r="J564" s="22" t="n">
        <x:f>MAX(0,MIN('Activities'!L564,36)-MAX('Activities'!K564,30))</x:f>
        <x:v>0</x:v>
      </x:c>
      <x:c r="K564" s="22" t="n">
        <x:f>MAX(0,MIN('Activities'!L564,42)-MAX('Activities'!K564,36))</x:f>
        <x:v>0</x:v>
      </x:c>
      <x:c r="L564" s="22" t="n">
        <x:f>MAX(0,MIN('Activities'!L564,48)-MAX('Activities'!K564,42))</x:f>
        <x:v>0</x:v>
      </x:c>
      <x:c r="M564" s="22" t="n">
        <x:f>MAX(0,MIN('Activities'!L564,54)-MAX('Activities'!K564,48))</x:f>
        <x:v>0</x:v>
      </x:c>
      <x:c r="N564" s="22" t="n">
        <x:f>MAX(0,MIN('Activities'!L564,60)-MAX('Activities'!K564,54))</x:f>
        <x:v>0</x:v>
      </x:c>
      <x:c r="O564" s="22" t="n">
        <x:f>MAX(0,MIN('Activities'!L564,66)-MAX('Activities'!K564,60))</x:f>
        <x:v>0</x:v>
      </x:c>
      <x:c r="P564" s="22" t="n">
        <x:f>MAX(0,MIN('Activities'!L564,72)-MAX('Activities'!K564,66))</x:f>
        <x:v>0</x:v>
      </x:c>
      <x:c r="Q564" s="22" t="n">
        <x:f>MAX(0,MIN('Activities'!L564,78)-MAX('Activities'!K564,72))</x:f>
        <x:v>0</x:v>
      </x:c>
      <x:c r="R564" s="22" t="n">
        <x:f>MAX(0,MIN('Activities'!L564,84)-MAX('Activities'!K564,78))</x:f>
        <x:v>0</x:v>
      </x:c>
      <x:c r="S564" s="22" t="n">
        <x:f>MAX(0,MIN('Activities'!L564,90)-MAX('Activities'!K564,84))</x:f>
        <x:v>0</x:v>
      </x:c>
      <x:c r="T564" s="22" t="n">
        <x:f>MAX(0,MIN('Activities'!L564,96)-MAX('Activities'!K564,90))</x:f>
        <x:v>0</x:v>
      </x:c>
      <x:c r="U564" s="22" t="n">
        <x:f>MAX(0,MIN('Activities'!L564,102)-MAX('Activities'!K564,96))</x:f>
        <x:v>0</x:v>
      </x:c>
      <x:c r="V564" s="22" t="n">
        <x:f>MAX(0,MIN('Activities'!L564,108)-MAX('Activities'!K564,102))</x:f>
        <x:v>0</x:v>
      </x:c>
      <x:c r="W564" s="22" t="n">
        <x:f>MAX(0,MIN('Activities'!L564,114)-MAX('Activities'!K564,108))</x:f>
        <x:v>0</x:v>
      </x:c>
      <x:c r="X564" s="22" t="n">
        <x:f>MAX(0,MIN('Activities'!L564,120)-MAX('Activities'!K564,114))</x:f>
        <x:v>0</x:v>
      </x:c>
      <x:c r="Y564" s="22" t="n">
        <x:f>MAX(0,MIN('Activities'!L564,126)-MAX('Activities'!K564,120))</x:f>
        <x:v>0</x:v>
      </x:c>
      <x:c r="Z564" s="22" t="n">
        <x:f>MAX(0,MIN('Activities'!L564,132)-MAX('Activities'!K564,126))</x:f>
        <x:v>0</x:v>
      </x:c>
      <x:c r="AA564" s="22" t="n">
        <x:f>MAX(0,MIN('Activities'!L564,138)-MAX('Activities'!K564,132))</x:f>
        <x:v>0</x:v>
      </x:c>
      <x:c r="AB564" s="22" t="n">
        <x:f>MAX(0,MIN('Activities'!L564,144)-MAX('Activities'!K564,138))</x:f>
        <x:v>0</x:v>
      </x:c>
      <x:c r="AC564" s="22" t="n">
        <x:f>MAX(0,MIN('Activities'!L564,150)-MAX('Activities'!K564,144))</x:f>
        <x:v>0</x:v>
      </x:c>
      <x:c r="AD564" s="22" t="n">
        <x:f>MAX(0,MIN('Activities'!L564,156)-MAX('Activities'!K564,150))</x:f>
        <x:v>0</x:v>
      </x:c>
      <x:c r="AE564" s="22" t="n">
        <x:f>MAX(0,MIN('Activities'!L564,162)-MAX('Activities'!K564,156))</x:f>
        <x:v>0</x:v>
      </x:c>
      <x:c r="AF564" s="22" t="n">
        <x:f>MAX(0,MIN('Activities'!L564,168)-MAX('Activities'!K564,162))</x:f>
        <x:v>0</x:v>
      </x:c>
      <x:c r="AG564" s="22" t="n">
        <x:f>MAX(0,MIN('Activities'!L564,174)-MAX('Activities'!K564,168))</x:f>
        <x:v>0</x:v>
      </x:c>
      <x:c r="AH564" s="22" t="n">
        <x:f>MAX(0,MIN('Activities'!L564,180)-MAX('Activities'!K564,174))</x:f>
        <x:v>0</x:v>
      </x:c>
      <x:c r="AI564" s="22" t="n">
        <x:f>MAX(0,MIN('Activities'!L564,186)-MAX('Activities'!K564,180))</x:f>
        <x:v>0</x:v>
      </x:c>
      <x:c r="AJ564" s="22" t="n">
        <x:f>MAX(0,MIN('Activities'!L564,192)-MAX('Activities'!K564,186))</x:f>
        <x:v>0</x:v>
      </x:c>
      <x:c r="AK564" s="22" t="n">
        <x:f>MAX(0,MIN('Activities'!L564,198)-MAX('Activities'!K564,192))</x:f>
        <x:v>0</x:v>
      </x:c>
      <x:c r="AL564" s="22" t="n">
        <x:f>MAX(0,MIN('Activities'!L564,204)-MAX('Activities'!K564,198))</x:f>
        <x:v>0</x:v>
      </x:c>
      <x:c r="AM564" s="22" t="n">
        <x:f>MAX(0,MIN('Activities'!L564,210)-MAX('Activities'!K564,204))</x:f>
        <x:v>0</x:v>
      </x:c>
      <x:c r="AN564" s="22" t="n">
        <x:f>MAX(0,MIN('Activities'!L564,216)-MAX('Activities'!K564,210))</x:f>
        <x:v>0</x:v>
      </x:c>
      <x:c r="AO564" s="22" t="n">
        <x:f>MAX(0,MIN('Activities'!L564,222)-MAX('Activities'!K564,216))</x:f>
        <x:v>0</x:v>
      </x:c>
      <x:c r="AP564" s="22" t="n">
        <x:f>MAX(0,MIN('Activities'!L564,228)-MAX('Activities'!K564,222))</x:f>
        <x:v>0</x:v>
      </x:c>
      <x:c r="AQ564" s="22" t="n">
        <x:f>MAX(0,MIN('Activities'!L564,234)-MAX('Activities'!K564,228))</x:f>
        <x:v>0</x:v>
      </x:c>
      <x:c r="AR564" s="22" t="n">
        <x:f>MAX(0,MIN('Activities'!L564,240)-MAX('Activities'!K564,234))</x:f>
        <x:v>0</x:v>
      </x:c>
      <x:c r="AS564" s="22" t="n">
        <x:f>MAX(0,MIN('Activities'!L564,246)-MAX('Activities'!K564,240))</x:f>
        <x:v>0</x:v>
      </x:c>
      <x:c r="AT564" s="22" t="n">
        <x:f>MAX(0,MIN('Activities'!L564,252)-MAX('Activities'!K564,246))</x:f>
        <x:v>0</x:v>
      </x:c>
      <x:c r="AU564" s="22" t="n">
        <x:f>MAX(0,MIN('Activities'!L564,258)-MAX('Activities'!K564,252))</x:f>
        <x:v>4</x:v>
      </x:c>
      <x:c r="AV564" s="22" t="n">
        <x:f>MAX(0,MIN('Activities'!L564,264)-MAX('Activities'!K564,258))</x:f>
        <x:v>2</x:v>
      </x:c>
      <x:c r="AW564" s="22" t="n">
        <x:f>MAX(0,MIN('Activities'!L564,270)-MAX('Activities'!K564,264))</x:f>
        <x:v>0</x:v>
      </x:c>
      <x:c r="AX564" s="22" t="n">
        <x:f>MAX(0,MIN('Activities'!L564,276)-MAX('Activities'!K564,270))</x:f>
        <x:v>0</x:v>
      </x:c>
      <x:c r="AY564" s="22" t="n">
        <x:f>MAX(0,MIN('Activities'!L564,282)-MAX('Activities'!K564,276))</x:f>
        <x:v>0</x:v>
      </x:c>
      <x:c r="AZ564" s="22" t="n">
        <x:f>MAX(0,MIN('Activities'!L564,288)-MAX('Activities'!K564,282))</x:f>
        <x:v>0</x:v>
      </x:c>
      <x:c r="BA564" s="22" t="n">
        <x:f>MAX(0,MIN('Activities'!L564,294)-MAX('Activities'!K564,288))</x:f>
        <x:v>0</x:v>
      </x:c>
      <x:c r="BB564" s="22" t="n">
        <x:f>MAX(0,MIN('Activities'!L564,300)-MAX('Activities'!K564,294))</x:f>
        <x:v>0</x:v>
      </x:c>
      <x:c r="BC564" s="22" t="n">
        <x:f>MAX(0,MIN('Activities'!L564,306)-MAX('Activities'!K564,300))</x:f>
        <x:v>0</x:v>
      </x:c>
      <x:c r="BD564" s="22" t="n">
        <x:f>MAX(0,MIN('Activities'!L564,312)-MAX('Activities'!K564,306))</x:f>
        <x:v>0</x:v>
      </x:c>
      <x:c r="BE564" s="22" t="n">
        <x:f>MAX(0,MIN('Activities'!L564,318)-MAX('Activities'!K564,312))</x:f>
        <x:v>0</x:v>
      </x:c>
      <x:c r="BF564" s="22" t="n">
        <x:f>MAX(0,MIN('Activities'!L564,324)-MAX('Activities'!K564,318))</x:f>
        <x:v>0</x:v>
      </x:c>
      <x:c r="BG564" s="22" t="n">
        <x:f>MAX(0,MIN('Activities'!L564,330)-MAX('Activities'!K564,324))</x:f>
        <x:v>0</x:v>
      </x:c>
      <x:c r="BH564" s="22" t="n">
        <x:f>MAX(0,MIN('Activities'!L564,336)-MAX('Activities'!K564,330))</x:f>
        <x:v>0</x:v>
      </x:c>
      <x:c r="BI564" s="22" t="n">
        <x:f>MAX(0,MIN('Activities'!L564,342)-MAX('Activities'!K564,336))</x:f>
        <x:v>0</x:v>
      </x:c>
      <x:c r="BJ564" s="22" t="n">
        <x:f>MAX(0,MIN('Activities'!L564,348)-MAX('Activities'!K564,342))</x:f>
        <x:v>0</x:v>
      </x:c>
      <x:c r="BK564" s="22" t="n">
        <x:f>MAX(0,MIN('Activities'!L564,354)-MAX('Activities'!K564,348))</x:f>
        <x:v>0</x:v>
      </x:c>
      <x:c r="BL564" s="22" t="n">
        <x:f>MAX(0,MIN('Activities'!L564,360)-MAX('Activities'!K564,354))</x:f>
        <x:v>0</x:v>
      </x:c>
      <x:c r="BM564" s="22" t="n">
        <x:f>MAX(0,MIN('Activities'!L564,366)-MAX('Activities'!K564,360))</x:f>
        <x:v>0</x:v>
      </x:c>
      <x:c r="BN564" s="22" t="n">
        <x:f>MAX(0,MIN('Activities'!L564,372)-MAX('Activities'!K564,366))</x:f>
        <x:v>0</x:v>
      </x:c>
      <x:c r="BO564" s="22" t="n">
        <x:f>MAX(0,MIN('Activities'!L564,378)-MAX('Activities'!K564,372))</x:f>
        <x:v>0</x:v>
      </x:c>
      <x:c r="BP564" s="22" t="n">
        <x:f>MAX(0,MIN('Activities'!L564,384)-MAX('Activities'!K564,378))</x:f>
        <x:v>0</x:v>
      </x:c>
      <x:c r="BQ564" s="22" t="n">
        <x:f>MAX(0,MIN('Activities'!L564,390)-MAX('Activities'!K564,384))</x:f>
        <x:v>0</x:v>
      </x:c>
      <x:c r="BR564" s="22" t="n">
        <x:f>MAX(0,MIN('Activities'!L564,396)-MAX('Activities'!K564,390))</x:f>
        <x:v>0</x:v>
      </x:c>
      <x:c r="BS564" s="22" t="n">
        <x:f>MAX(0,MIN('Activities'!L564,402)-MAX('Activities'!K564,396))</x:f>
        <x:v>0</x:v>
      </x:c>
      <x:c r="BT564" s="22" t="n">
        <x:f>MAX(0,MIN('Activities'!L564,408)-MAX('Activities'!K564,402))</x:f>
        <x:v>0</x:v>
      </x:c>
      <x:c r="BU564" s="22" t="n">
        <x:f>MAX(0,MIN('Activities'!L564,414)-MAX('Activities'!K564,408))</x:f>
        <x:v>0</x:v>
      </x:c>
      <x:c r="BV564" s="22" t="n">
        <x:f>MAX(0,MIN('Activities'!L564,420)-MAX('Activities'!K564,414))</x:f>
        <x:v>0</x:v>
      </x:c>
      <x:c r="BW564" s="22" t="n">
        <x:f>MAX(0,MIN('Activities'!L564,426)-MAX('Activities'!K564,420))</x:f>
        <x:v>0</x:v>
      </x:c>
      <x:c r="BX564" s="22" t="n">
        <x:f>MAX(0,MIN('Activities'!L564,432)-MAX('Activities'!K564,426))</x:f>
        <x:v>0</x:v>
      </x:c>
      <x:c r="BY564" s="22" t="n">
        <x:f>MAX(0,MIN('Activities'!L564,438)-MAX('Activities'!K564,432))</x:f>
        <x:v>0</x:v>
      </x:c>
      <x:c r="BZ564" s="22" t="n">
        <x:f>MAX(0,MIN('Activities'!L564,444)-MAX('Activities'!K564,438))</x:f>
        <x:v>0</x:v>
      </x:c>
      <x:c r="CA564" s="22" t="n">
        <x:f>MAX(0,MIN('Activities'!L564,450)-MAX('Activities'!K564,444))</x:f>
        <x:v>0</x:v>
      </x:c>
      <x:c r="CB564" s="22" t="n">
        <x:f>MAX(0,MIN('Activities'!L564,456)-MAX('Activities'!K564,450))</x:f>
        <x:v>0</x:v>
      </x:c>
      <x:c r="CC564" s="22" t="n">
        <x:f>MAX(0,MIN('Activities'!L564,462)-MAX('Activities'!K564,456))</x:f>
        <x:v>0</x:v>
      </x:c>
      <x:c r="CD564" s="22" t="n">
        <x:f>MAX(0,MIN('Activities'!L564,468)-MAX('Activities'!K564,462))</x:f>
        <x:v>0</x:v>
      </x:c>
      <x:c r="CE564" s="22" t="n">
        <x:f>MAX(0,MIN('Activities'!L564,474)-MAX('Activities'!K564,468))</x:f>
        <x:v>0</x:v>
      </x:c>
      <x:c r="CF564" s="22" t="n">
        <x:f>MAX(0,MIN('Activities'!L564,480)-MAX('Activities'!K564,474))</x:f>
        <x:v>0</x:v>
      </x:c>
      <x:c r="CG564" s="22" t="n">
        <x:f>MAX(0,MIN('Activities'!L564,486)-MAX('Activities'!K564,480))</x:f>
        <x:v>0</x:v>
      </x:c>
      <x:c r="CH564" s="22" t="n">
        <x:f>MAX(0,MIN('Activities'!L564,492)-MAX('Activities'!K564,486))</x:f>
        <x:v>0</x:v>
      </x:c>
      <x:c r="CI564" s="22" t="n">
        <x:f>MAX(0,MIN('Activities'!L564,498)-MAX('Activities'!K564,492))</x:f>
        <x:v>0</x:v>
      </x:c>
      <x:c r="CJ564" s="22" t="n">
        <x:f>MAX(0,MIN('Activities'!L564,504)-MAX('Activities'!K564,498))</x:f>
        <x:v>0</x:v>
      </x:c>
      <x:c r="CK564" s="22" t="n">
        <x:f>MAX(0,MIN('Activities'!L564,510)-MAX('Activities'!K564,504))</x:f>
        <x:v>0</x:v>
      </x:c>
      <x:c r="CL564" s="22" t="n">
        <x:f>MAX(0,MIN('Activities'!L564,516)-MAX('Activities'!K564,510))</x:f>
        <x:v>0</x:v>
      </x:c>
      <x:c r="CM564" s="22" t="n">
        <x:f>MAX(0,MIN('Activities'!L564,522)-MAX('Activities'!K564,516))</x:f>
        <x:v>0</x:v>
      </x:c>
      <x:c r="CN564" s="22" t="n">
        <x:f>MAX(0,MIN('Activities'!L564,528)-MAX('Activities'!K564,522))</x:f>
        <x:v>0</x:v>
      </x:c>
      <x:c r="CO564" s="22" t="n">
        <x:f>MAX(0,MIN('Activities'!L564,534)-MAX('Activities'!K564,528))</x:f>
        <x:v>0</x:v>
      </x:c>
      <x:c r="CP564" s="22" t="n">
        <x:f>MAX(0,MIN('Activities'!L564,540)-MAX('Activities'!K564,534))</x:f>
        <x:v>0</x:v>
      </x:c>
      <x:c r="CQ564" s="22" t="n">
        <x:f>MAX(0,MIN('Activities'!L564,546)-MAX('Activities'!K564,540))</x:f>
        <x:v>0</x:v>
      </x:c>
      <x:c r="CR564" s="22" t="n">
        <x:f>MAX(0,MIN('Activities'!L564,552)-MAX('Activities'!K564,546))</x:f>
        <x:v>0</x:v>
      </x:c>
      <x:c r="CS564" s="22" t="n">
        <x:f>MAX(0,MIN('Activities'!L564,558)-MAX('Activities'!K564,552))</x:f>
        <x:v>0</x:v>
      </x:c>
      <x:c r="CT564" s="22" t="n">
        <x:f>MAX(0,MIN('Activities'!L564,564)-MAX('Activities'!K564,558))</x:f>
        <x:v>0</x:v>
      </x:c>
      <x:c r="CU564" s="22" t="n">
        <x:f>MAX(0,MIN('Activities'!L564,570)-MAX('Activities'!K564,564))</x:f>
        <x:v>0</x:v>
      </x:c>
      <x:c r="CV564" s="22" t="n">
        <x:f>MAX(0,MIN('Activities'!L564,576)-MAX('Activities'!K564,570))</x:f>
        <x:v>0</x:v>
      </x:c>
      <x:c r="CW564" s="22" t="n">
        <x:f>MAX(0,MIN('Activities'!L564,582)-MAX('Activities'!K564,576))</x:f>
        <x:v>0</x:v>
      </x:c>
      <x:c r="CX564" s="22" t="n">
        <x:f>MAX(0,MIN('Activities'!L564,588)-MAX('Activities'!K564,582))</x:f>
        <x:v>0</x:v>
      </x:c>
      <x:c r="CY564" s="22" t="n">
        <x:f>MAX(0,MIN('Activities'!L564,594)-MAX('Activities'!K564,588))</x:f>
        <x:v>0</x:v>
      </x:c>
      <x:c r="CZ564" s="22" t="n">
        <x:f>MAX(0,MIN('Activities'!L564,600)-MAX('Activities'!K564,594))</x:f>
        <x:v>0</x:v>
      </x:c>
      <x:c r="DA564" s="22" t="n">
        <x:f>MAX(0,MIN('Activities'!L564,606)-MAX('Activities'!K564,600))</x:f>
        <x:v>0</x:v>
      </x:c>
      <x:c r="DB564" s="22" t="n">
        <x:f>MAX(0,MIN('Activities'!L564,612)-MAX('Activities'!K564,606))</x:f>
        <x:v>0</x:v>
      </x:c>
      <x:c r="DC564" s="22" t="n">
        <x:f>MAX(0,MIN('Activities'!L564,618)-MAX('Activities'!K564,612))</x:f>
        <x:v>0</x:v>
      </x:c>
      <x:c r="DD564" s="22" t="n">
        <x:f>MAX(0,MIN('Activities'!L564,624)-MAX('Activities'!K564,618))</x:f>
        <x:v>0</x:v>
      </x:c>
      <x:c r="DE564" s="22" t="n">
        <x:f>MAX(0,MIN('Activities'!L564,630)-MAX('Activities'!K564,624))</x:f>
        <x:v>0</x:v>
      </x:c>
      <x:c r="DF564" s="22" t="n">
        <x:f>MAX(0,MIN('Activities'!L564,636)-MAX('Activities'!K564,630))</x:f>
        <x:v>0</x:v>
      </x:c>
    </x:row>
    <x:row r="565" ht="23" customHeight="1">
      <x:c r="A565" s="1" t="str">
        <x:v>T5-L04-R</x:v>
      </x:c>
      <x:c r="B565" s="1" t="str">
        <x:v>T5</x:v>
      </x:c>
      <x:c r="C565" s="1" t="str">
        <x:v>Column, wall, beam and slab reinforcement</x:v>
      </x:c>
      <x:c r="D565" s="1" t="str">
        <x:v>Rebar</x:v>
      </x:c>
      <x:c r="E565" s="23" t="n">
        <x:f>MAX(0,MIN('Activities'!L565,6)-MAX('Activities'!K565,0))</x:f>
        <x:v>0</x:v>
      </x:c>
      <x:c r="F565" s="23" t="n">
        <x:f>MAX(0,MIN('Activities'!L565,12)-MAX('Activities'!K565,6))</x:f>
        <x:v>0</x:v>
      </x:c>
      <x:c r="G565" s="23" t="n">
        <x:f>MAX(0,MIN('Activities'!L565,18)-MAX('Activities'!K565,12))</x:f>
        <x:v>0</x:v>
      </x:c>
      <x:c r="H565" s="23" t="n">
        <x:f>MAX(0,MIN('Activities'!L565,24)-MAX('Activities'!K565,18))</x:f>
        <x:v>0</x:v>
      </x:c>
      <x:c r="I565" s="23" t="n">
        <x:f>MAX(0,MIN('Activities'!L565,30)-MAX('Activities'!K565,24))</x:f>
        <x:v>0</x:v>
      </x:c>
      <x:c r="J565" s="23" t="n">
        <x:f>MAX(0,MIN('Activities'!L565,36)-MAX('Activities'!K565,30))</x:f>
        <x:v>0</x:v>
      </x:c>
      <x:c r="K565" s="23" t="n">
        <x:f>MAX(0,MIN('Activities'!L565,42)-MAX('Activities'!K565,36))</x:f>
        <x:v>0</x:v>
      </x:c>
      <x:c r="L565" s="23" t="n">
        <x:f>MAX(0,MIN('Activities'!L565,48)-MAX('Activities'!K565,42))</x:f>
        <x:v>0</x:v>
      </x:c>
      <x:c r="M565" s="23" t="n">
        <x:f>MAX(0,MIN('Activities'!L565,54)-MAX('Activities'!K565,48))</x:f>
        <x:v>0</x:v>
      </x:c>
      <x:c r="N565" s="23" t="n">
        <x:f>MAX(0,MIN('Activities'!L565,60)-MAX('Activities'!K565,54))</x:f>
        <x:v>0</x:v>
      </x:c>
      <x:c r="O565" s="23" t="n">
        <x:f>MAX(0,MIN('Activities'!L565,66)-MAX('Activities'!K565,60))</x:f>
        <x:v>0</x:v>
      </x:c>
      <x:c r="P565" s="23" t="n">
        <x:f>MAX(0,MIN('Activities'!L565,72)-MAX('Activities'!K565,66))</x:f>
        <x:v>0</x:v>
      </x:c>
      <x:c r="Q565" s="23" t="n">
        <x:f>MAX(0,MIN('Activities'!L565,78)-MAX('Activities'!K565,72))</x:f>
        <x:v>0</x:v>
      </x:c>
      <x:c r="R565" s="23" t="n">
        <x:f>MAX(0,MIN('Activities'!L565,84)-MAX('Activities'!K565,78))</x:f>
        <x:v>0</x:v>
      </x:c>
      <x:c r="S565" s="23" t="n">
        <x:f>MAX(0,MIN('Activities'!L565,90)-MAX('Activities'!K565,84))</x:f>
        <x:v>0</x:v>
      </x:c>
      <x:c r="T565" s="23" t="n">
        <x:f>MAX(0,MIN('Activities'!L565,96)-MAX('Activities'!K565,90))</x:f>
        <x:v>0</x:v>
      </x:c>
      <x:c r="U565" s="23" t="n">
        <x:f>MAX(0,MIN('Activities'!L565,102)-MAX('Activities'!K565,96))</x:f>
        <x:v>0</x:v>
      </x:c>
      <x:c r="V565" s="23" t="n">
        <x:f>MAX(0,MIN('Activities'!L565,108)-MAX('Activities'!K565,102))</x:f>
        <x:v>0</x:v>
      </x:c>
      <x:c r="W565" s="23" t="n">
        <x:f>MAX(0,MIN('Activities'!L565,114)-MAX('Activities'!K565,108))</x:f>
        <x:v>0</x:v>
      </x:c>
      <x:c r="X565" s="23" t="n">
        <x:f>MAX(0,MIN('Activities'!L565,120)-MAX('Activities'!K565,114))</x:f>
        <x:v>0</x:v>
      </x:c>
      <x:c r="Y565" s="23" t="n">
        <x:f>MAX(0,MIN('Activities'!L565,126)-MAX('Activities'!K565,120))</x:f>
        <x:v>0</x:v>
      </x:c>
      <x:c r="Z565" s="23" t="n">
        <x:f>MAX(0,MIN('Activities'!L565,132)-MAX('Activities'!K565,126))</x:f>
        <x:v>0</x:v>
      </x:c>
      <x:c r="AA565" s="23" t="n">
        <x:f>MAX(0,MIN('Activities'!L565,138)-MAX('Activities'!K565,132))</x:f>
        <x:v>0</x:v>
      </x:c>
      <x:c r="AB565" s="23" t="n">
        <x:f>MAX(0,MIN('Activities'!L565,144)-MAX('Activities'!K565,138))</x:f>
        <x:v>0</x:v>
      </x:c>
      <x:c r="AC565" s="23" t="n">
        <x:f>MAX(0,MIN('Activities'!L565,150)-MAX('Activities'!K565,144))</x:f>
        <x:v>0</x:v>
      </x:c>
      <x:c r="AD565" s="23" t="n">
        <x:f>MAX(0,MIN('Activities'!L565,156)-MAX('Activities'!K565,150))</x:f>
        <x:v>0</x:v>
      </x:c>
      <x:c r="AE565" s="23" t="n">
        <x:f>MAX(0,MIN('Activities'!L565,162)-MAX('Activities'!K565,156))</x:f>
        <x:v>0</x:v>
      </x:c>
      <x:c r="AF565" s="23" t="n">
        <x:f>MAX(0,MIN('Activities'!L565,168)-MAX('Activities'!K565,162))</x:f>
        <x:v>0</x:v>
      </x:c>
      <x:c r="AG565" s="23" t="n">
        <x:f>MAX(0,MIN('Activities'!L565,174)-MAX('Activities'!K565,168))</x:f>
        <x:v>0</x:v>
      </x:c>
      <x:c r="AH565" s="23" t="n">
        <x:f>MAX(0,MIN('Activities'!L565,180)-MAX('Activities'!K565,174))</x:f>
        <x:v>0</x:v>
      </x:c>
      <x:c r="AI565" s="23" t="n">
        <x:f>MAX(0,MIN('Activities'!L565,186)-MAX('Activities'!K565,180))</x:f>
        <x:v>0</x:v>
      </x:c>
      <x:c r="AJ565" s="23" t="n">
        <x:f>MAX(0,MIN('Activities'!L565,192)-MAX('Activities'!K565,186))</x:f>
        <x:v>0</x:v>
      </x:c>
      <x:c r="AK565" s="23" t="n">
        <x:f>MAX(0,MIN('Activities'!L565,198)-MAX('Activities'!K565,192))</x:f>
        <x:v>0</x:v>
      </x:c>
      <x:c r="AL565" s="23" t="n">
        <x:f>MAX(0,MIN('Activities'!L565,204)-MAX('Activities'!K565,198))</x:f>
        <x:v>0</x:v>
      </x:c>
      <x:c r="AM565" s="23" t="n">
        <x:f>MAX(0,MIN('Activities'!L565,210)-MAX('Activities'!K565,204))</x:f>
        <x:v>0</x:v>
      </x:c>
      <x:c r="AN565" s="23" t="n">
        <x:f>MAX(0,MIN('Activities'!L565,216)-MAX('Activities'!K565,210))</x:f>
        <x:v>0</x:v>
      </x:c>
      <x:c r="AO565" s="23" t="n">
        <x:f>MAX(0,MIN('Activities'!L565,222)-MAX('Activities'!K565,216))</x:f>
        <x:v>0</x:v>
      </x:c>
      <x:c r="AP565" s="23" t="n">
        <x:f>MAX(0,MIN('Activities'!L565,228)-MAX('Activities'!K565,222))</x:f>
        <x:v>0</x:v>
      </x:c>
      <x:c r="AQ565" s="23" t="n">
        <x:f>MAX(0,MIN('Activities'!L565,234)-MAX('Activities'!K565,228))</x:f>
        <x:v>0</x:v>
      </x:c>
      <x:c r="AR565" s="23" t="n">
        <x:f>MAX(0,MIN('Activities'!L565,240)-MAX('Activities'!K565,234))</x:f>
        <x:v>0</x:v>
      </x:c>
      <x:c r="AS565" s="23" t="n">
        <x:f>MAX(0,MIN('Activities'!L565,246)-MAX('Activities'!K565,240))</x:f>
        <x:v>0</x:v>
      </x:c>
      <x:c r="AT565" s="23" t="n">
        <x:f>MAX(0,MIN('Activities'!L565,252)-MAX('Activities'!K565,246))</x:f>
        <x:v>0</x:v>
      </x:c>
      <x:c r="AU565" s="23" t="n">
        <x:f>MAX(0,MIN('Activities'!L565,258)-MAX('Activities'!K565,252))</x:f>
        <x:v>0</x:v>
      </x:c>
      <x:c r="AV565" s="23" t="n">
        <x:f>MAX(0,MIN('Activities'!L565,264)-MAX('Activities'!K565,258))</x:f>
        <x:v>4</x:v>
      </x:c>
      <x:c r="AW565" s="23" t="n">
        <x:f>MAX(0,MIN('Activities'!L565,270)-MAX('Activities'!K565,264))</x:f>
        <x:v>1</x:v>
      </x:c>
      <x:c r="AX565" s="23" t="n">
        <x:f>MAX(0,MIN('Activities'!L565,276)-MAX('Activities'!K565,270))</x:f>
        <x:v>0</x:v>
      </x:c>
      <x:c r="AY565" s="23" t="n">
        <x:f>MAX(0,MIN('Activities'!L565,282)-MAX('Activities'!K565,276))</x:f>
        <x:v>0</x:v>
      </x:c>
      <x:c r="AZ565" s="23" t="n">
        <x:f>MAX(0,MIN('Activities'!L565,288)-MAX('Activities'!K565,282))</x:f>
        <x:v>0</x:v>
      </x:c>
      <x:c r="BA565" s="23" t="n">
        <x:f>MAX(0,MIN('Activities'!L565,294)-MAX('Activities'!K565,288))</x:f>
        <x:v>0</x:v>
      </x:c>
      <x:c r="BB565" s="23" t="n">
        <x:f>MAX(0,MIN('Activities'!L565,300)-MAX('Activities'!K565,294))</x:f>
        <x:v>0</x:v>
      </x:c>
      <x:c r="BC565" s="23" t="n">
        <x:f>MAX(0,MIN('Activities'!L565,306)-MAX('Activities'!K565,300))</x:f>
        <x:v>0</x:v>
      </x:c>
      <x:c r="BD565" s="23" t="n">
        <x:f>MAX(0,MIN('Activities'!L565,312)-MAX('Activities'!K565,306))</x:f>
        <x:v>0</x:v>
      </x:c>
      <x:c r="BE565" s="23" t="n">
        <x:f>MAX(0,MIN('Activities'!L565,318)-MAX('Activities'!K565,312))</x:f>
        <x:v>0</x:v>
      </x:c>
      <x:c r="BF565" s="23" t="n">
        <x:f>MAX(0,MIN('Activities'!L565,324)-MAX('Activities'!K565,318))</x:f>
        <x:v>0</x:v>
      </x:c>
      <x:c r="BG565" s="23" t="n">
        <x:f>MAX(0,MIN('Activities'!L565,330)-MAX('Activities'!K565,324))</x:f>
        <x:v>0</x:v>
      </x:c>
      <x:c r="BH565" s="23" t="n">
        <x:f>MAX(0,MIN('Activities'!L565,336)-MAX('Activities'!K565,330))</x:f>
        <x:v>0</x:v>
      </x:c>
      <x:c r="BI565" s="23" t="n">
        <x:f>MAX(0,MIN('Activities'!L565,342)-MAX('Activities'!K565,336))</x:f>
        <x:v>0</x:v>
      </x:c>
      <x:c r="BJ565" s="23" t="n">
        <x:f>MAX(0,MIN('Activities'!L565,348)-MAX('Activities'!K565,342))</x:f>
        <x:v>0</x:v>
      </x:c>
      <x:c r="BK565" s="23" t="n">
        <x:f>MAX(0,MIN('Activities'!L565,354)-MAX('Activities'!K565,348))</x:f>
        <x:v>0</x:v>
      </x:c>
      <x:c r="BL565" s="23" t="n">
        <x:f>MAX(0,MIN('Activities'!L565,360)-MAX('Activities'!K565,354))</x:f>
        <x:v>0</x:v>
      </x:c>
      <x:c r="BM565" s="23" t="n">
        <x:f>MAX(0,MIN('Activities'!L565,366)-MAX('Activities'!K565,360))</x:f>
        <x:v>0</x:v>
      </x:c>
      <x:c r="BN565" s="23" t="n">
        <x:f>MAX(0,MIN('Activities'!L565,372)-MAX('Activities'!K565,366))</x:f>
        <x:v>0</x:v>
      </x:c>
      <x:c r="BO565" s="23" t="n">
        <x:f>MAX(0,MIN('Activities'!L565,378)-MAX('Activities'!K565,372))</x:f>
        <x:v>0</x:v>
      </x:c>
      <x:c r="BP565" s="23" t="n">
        <x:f>MAX(0,MIN('Activities'!L565,384)-MAX('Activities'!K565,378))</x:f>
        <x:v>0</x:v>
      </x:c>
      <x:c r="BQ565" s="23" t="n">
        <x:f>MAX(0,MIN('Activities'!L565,390)-MAX('Activities'!K565,384))</x:f>
        <x:v>0</x:v>
      </x:c>
      <x:c r="BR565" s="23" t="n">
        <x:f>MAX(0,MIN('Activities'!L565,396)-MAX('Activities'!K565,390))</x:f>
        <x:v>0</x:v>
      </x:c>
      <x:c r="BS565" s="23" t="n">
        <x:f>MAX(0,MIN('Activities'!L565,402)-MAX('Activities'!K565,396))</x:f>
        <x:v>0</x:v>
      </x:c>
      <x:c r="BT565" s="23" t="n">
        <x:f>MAX(0,MIN('Activities'!L565,408)-MAX('Activities'!K565,402))</x:f>
        <x:v>0</x:v>
      </x:c>
      <x:c r="BU565" s="23" t="n">
        <x:f>MAX(0,MIN('Activities'!L565,414)-MAX('Activities'!K565,408))</x:f>
        <x:v>0</x:v>
      </x:c>
      <x:c r="BV565" s="23" t="n">
        <x:f>MAX(0,MIN('Activities'!L565,420)-MAX('Activities'!K565,414))</x:f>
        <x:v>0</x:v>
      </x:c>
      <x:c r="BW565" s="23" t="n">
        <x:f>MAX(0,MIN('Activities'!L565,426)-MAX('Activities'!K565,420))</x:f>
        <x:v>0</x:v>
      </x:c>
      <x:c r="BX565" s="23" t="n">
        <x:f>MAX(0,MIN('Activities'!L565,432)-MAX('Activities'!K565,426))</x:f>
        <x:v>0</x:v>
      </x:c>
      <x:c r="BY565" s="23" t="n">
        <x:f>MAX(0,MIN('Activities'!L565,438)-MAX('Activities'!K565,432))</x:f>
        <x:v>0</x:v>
      </x:c>
      <x:c r="BZ565" s="23" t="n">
        <x:f>MAX(0,MIN('Activities'!L565,444)-MAX('Activities'!K565,438))</x:f>
        <x:v>0</x:v>
      </x:c>
      <x:c r="CA565" s="23" t="n">
        <x:f>MAX(0,MIN('Activities'!L565,450)-MAX('Activities'!K565,444))</x:f>
        <x:v>0</x:v>
      </x:c>
      <x:c r="CB565" s="23" t="n">
        <x:f>MAX(0,MIN('Activities'!L565,456)-MAX('Activities'!K565,450))</x:f>
        <x:v>0</x:v>
      </x:c>
      <x:c r="CC565" s="23" t="n">
        <x:f>MAX(0,MIN('Activities'!L565,462)-MAX('Activities'!K565,456))</x:f>
        <x:v>0</x:v>
      </x:c>
      <x:c r="CD565" s="23" t="n">
        <x:f>MAX(0,MIN('Activities'!L565,468)-MAX('Activities'!K565,462))</x:f>
        <x:v>0</x:v>
      </x:c>
      <x:c r="CE565" s="23" t="n">
        <x:f>MAX(0,MIN('Activities'!L565,474)-MAX('Activities'!K565,468))</x:f>
        <x:v>0</x:v>
      </x:c>
      <x:c r="CF565" s="23" t="n">
        <x:f>MAX(0,MIN('Activities'!L565,480)-MAX('Activities'!K565,474))</x:f>
        <x:v>0</x:v>
      </x:c>
      <x:c r="CG565" s="23" t="n">
        <x:f>MAX(0,MIN('Activities'!L565,486)-MAX('Activities'!K565,480))</x:f>
        <x:v>0</x:v>
      </x:c>
      <x:c r="CH565" s="23" t="n">
        <x:f>MAX(0,MIN('Activities'!L565,492)-MAX('Activities'!K565,486))</x:f>
        <x:v>0</x:v>
      </x:c>
      <x:c r="CI565" s="23" t="n">
        <x:f>MAX(0,MIN('Activities'!L565,498)-MAX('Activities'!K565,492))</x:f>
        <x:v>0</x:v>
      </x:c>
      <x:c r="CJ565" s="23" t="n">
        <x:f>MAX(0,MIN('Activities'!L565,504)-MAX('Activities'!K565,498))</x:f>
        <x:v>0</x:v>
      </x:c>
      <x:c r="CK565" s="23" t="n">
        <x:f>MAX(0,MIN('Activities'!L565,510)-MAX('Activities'!K565,504))</x:f>
        <x:v>0</x:v>
      </x:c>
      <x:c r="CL565" s="23" t="n">
        <x:f>MAX(0,MIN('Activities'!L565,516)-MAX('Activities'!K565,510))</x:f>
        <x:v>0</x:v>
      </x:c>
      <x:c r="CM565" s="23" t="n">
        <x:f>MAX(0,MIN('Activities'!L565,522)-MAX('Activities'!K565,516))</x:f>
        <x:v>0</x:v>
      </x:c>
      <x:c r="CN565" s="23" t="n">
        <x:f>MAX(0,MIN('Activities'!L565,528)-MAX('Activities'!K565,522))</x:f>
        <x:v>0</x:v>
      </x:c>
      <x:c r="CO565" s="23" t="n">
        <x:f>MAX(0,MIN('Activities'!L565,534)-MAX('Activities'!K565,528))</x:f>
        <x:v>0</x:v>
      </x:c>
      <x:c r="CP565" s="23" t="n">
        <x:f>MAX(0,MIN('Activities'!L565,540)-MAX('Activities'!K565,534))</x:f>
        <x:v>0</x:v>
      </x:c>
      <x:c r="CQ565" s="23" t="n">
        <x:f>MAX(0,MIN('Activities'!L565,546)-MAX('Activities'!K565,540))</x:f>
        <x:v>0</x:v>
      </x:c>
      <x:c r="CR565" s="23" t="n">
        <x:f>MAX(0,MIN('Activities'!L565,552)-MAX('Activities'!K565,546))</x:f>
        <x:v>0</x:v>
      </x:c>
      <x:c r="CS565" s="23" t="n">
        <x:f>MAX(0,MIN('Activities'!L565,558)-MAX('Activities'!K565,552))</x:f>
        <x:v>0</x:v>
      </x:c>
      <x:c r="CT565" s="23" t="n">
        <x:f>MAX(0,MIN('Activities'!L565,564)-MAX('Activities'!K565,558))</x:f>
        <x:v>0</x:v>
      </x:c>
      <x:c r="CU565" s="23" t="n">
        <x:f>MAX(0,MIN('Activities'!L565,570)-MAX('Activities'!K565,564))</x:f>
        <x:v>0</x:v>
      </x:c>
      <x:c r="CV565" s="23" t="n">
        <x:f>MAX(0,MIN('Activities'!L565,576)-MAX('Activities'!K565,570))</x:f>
        <x:v>0</x:v>
      </x:c>
      <x:c r="CW565" s="23" t="n">
        <x:f>MAX(0,MIN('Activities'!L565,582)-MAX('Activities'!K565,576))</x:f>
        <x:v>0</x:v>
      </x:c>
      <x:c r="CX565" s="23" t="n">
        <x:f>MAX(0,MIN('Activities'!L565,588)-MAX('Activities'!K565,582))</x:f>
        <x:v>0</x:v>
      </x:c>
      <x:c r="CY565" s="23" t="n">
        <x:f>MAX(0,MIN('Activities'!L565,594)-MAX('Activities'!K565,588))</x:f>
        <x:v>0</x:v>
      </x:c>
      <x:c r="CZ565" s="23" t="n">
        <x:f>MAX(0,MIN('Activities'!L565,600)-MAX('Activities'!K565,594))</x:f>
        <x:v>0</x:v>
      </x:c>
      <x:c r="DA565" s="23" t="n">
        <x:f>MAX(0,MIN('Activities'!L565,606)-MAX('Activities'!K565,600))</x:f>
        <x:v>0</x:v>
      </x:c>
      <x:c r="DB565" s="23" t="n">
        <x:f>MAX(0,MIN('Activities'!L565,612)-MAX('Activities'!K565,606))</x:f>
        <x:v>0</x:v>
      </x:c>
      <x:c r="DC565" s="23" t="n">
        <x:f>MAX(0,MIN('Activities'!L565,618)-MAX('Activities'!K565,612))</x:f>
        <x:v>0</x:v>
      </x:c>
      <x:c r="DD565" s="23" t="n">
        <x:f>MAX(0,MIN('Activities'!L565,624)-MAX('Activities'!K565,618))</x:f>
        <x:v>0</x:v>
      </x:c>
      <x:c r="DE565" s="23" t="n">
        <x:f>MAX(0,MIN('Activities'!L565,630)-MAX('Activities'!K565,624))</x:f>
        <x:v>0</x:v>
      </x:c>
      <x:c r="DF565" s="23" t="n">
        <x:f>MAX(0,MIN('Activities'!L565,636)-MAX('Activities'!K565,630))</x:f>
        <x:v>0</x:v>
      </x:c>
    </x:row>
    <x:row r="566" ht="23" customHeight="1">
      <x:c r="A566" s="6" t="str">
        <x:v>T5-L04-C</x:v>
      </x:c>
      <x:c r="B566" s="6" t="str">
        <x:v>T5</x:v>
      </x:c>
      <x:c r="C566" s="6" t="str">
        <x:v>Concrete placement and finishing</x:v>
      </x:c>
      <x:c r="D566" s="6" t="str">
        <x:v>Concrete</x:v>
      </x:c>
      <x:c r="E566" s="22" t="n">
        <x:f>MAX(0,MIN('Activities'!L566,6)-MAX('Activities'!K566,0))</x:f>
        <x:v>0</x:v>
      </x:c>
      <x:c r="F566" s="22" t="n">
        <x:f>MAX(0,MIN('Activities'!L566,12)-MAX('Activities'!K566,6))</x:f>
        <x:v>0</x:v>
      </x:c>
      <x:c r="G566" s="22" t="n">
        <x:f>MAX(0,MIN('Activities'!L566,18)-MAX('Activities'!K566,12))</x:f>
        <x:v>0</x:v>
      </x:c>
      <x:c r="H566" s="22" t="n">
        <x:f>MAX(0,MIN('Activities'!L566,24)-MAX('Activities'!K566,18))</x:f>
        <x:v>0</x:v>
      </x:c>
      <x:c r="I566" s="22" t="n">
        <x:f>MAX(0,MIN('Activities'!L566,30)-MAX('Activities'!K566,24))</x:f>
        <x:v>0</x:v>
      </x:c>
      <x:c r="J566" s="22" t="n">
        <x:f>MAX(0,MIN('Activities'!L566,36)-MAX('Activities'!K566,30))</x:f>
        <x:v>0</x:v>
      </x:c>
      <x:c r="K566" s="22" t="n">
        <x:f>MAX(0,MIN('Activities'!L566,42)-MAX('Activities'!K566,36))</x:f>
        <x:v>0</x:v>
      </x:c>
      <x:c r="L566" s="22" t="n">
        <x:f>MAX(0,MIN('Activities'!L566,48)-MAX('Activities'!K566,42))</x:f>
        <x:v>0</x:v>
      </x:c>
      <x:c r="M566" s="22" t="n">
        <x:f>MAX(0,MIN('Activities'!L566,54)-MAX('Activities'!K566,48))</x:f>
        <x:v>0</x:v>
      </x:c>
      <x:c r="N566" s="22" t="n">
        <x:f>MAX(0,MIN('Activities'!L566,60)-MAX('Activities'!K566,54))</x:f>
        <x:v>0</x:v>
      </x:c>
      <x:c r="O566" s="22" t="n">
        <x:f>MAX(0,MIN('Activities'!L566,66)-MAX('Activities'!K566,60))</x:f>
        <x:v>0</x:v>
      </x:c>
      <x:c r="P566" s="22" t="n">
        <x:f>MAX(0,MIN('Activities'!L566,72)-MAX('Activities'!K566,66))</x:f>
        <x:v>0</x:v>
      </x:c>
      <x:c r="Q566" s="22" t="n">
        <x:f>MAX(0,MIN('Activities'!L566,78)-MAX('Activities'!K566,72))</x:f>
        <x:v>0</x:v>
      </x:c>
      <x:c r="R566" s="22" t="n">
        <x:f>MAX(0,MIN('Activities'!L566,84)-MAX('Activities'!K566,78))</x:f>
        <x:v>0</x:v>
      </x:c>
      <x:c r="S566" s="22" t="n">
        <x:f>MAX(0,MIN('Activities'!L566,90)-MAX('Activities'!K566,84))</x:f>
        <x:v>0</x:v>
      </x:c>
      <x:c r="T566" s="22" t="n">
        <x:f>MAX(0,MIN('Activities'!L566,96)-MAX('Activities'!K566,90))</x:f>
        <x:v>0</x:v>
      </x:c>
      <x:c r="U566" s="22" t="n">
        <x:f>MAX(0,MIN('Activities'!L566,102)-MAX('Activities'!K566,96))</x:f>
        <x:v>0</x:v>
      </x:c>
      <x:c r="V566" s="22" t="n">
        <x:f>MAX(0,MIN('Activities'!L566,108)-MAX('Activities'!K566,102))</x:f>
        <x:v>0</x:v>
      </x:c>
      <x:c r="W566" s="22" t="n">
        <x:f>MAX(0,MIN('Activities'!L566,114)-MAX('Activities'!K566,108))</x:f>
        <x:v>0</x:v>
      </x:c>
      <x:c r="X566" s="22" t="n">
        <x:f>MAX(0,MIN('Activities'!L566,120)-MAX('Activities'!K566,114))</x:f>
        <x:v>0</x:v>
      </x:c>
      <x:c r="Y566" s="22" t="n">
        <x:f>MAX(0,MIN('Activities'!L566,126)-MAX('Activities'!K566,120))</x:f>
        <x:v>0</x:v>
      </x:c>
      <x:c r="Z566" s="22" t="n">
        <x:f>MAX(0,MIN('Activities'!L566,132)-MAX('Activities'!K566,126))</x:f>
        <x:v>0</x:v>
      </x:c>
      <x:c r="AA566" s="22" t="n">
        <x:f>MAX(0,MIN('Activities'!L566,138)-MAX('Activities'!K566,132))</x:f>
        <x:v>0</x:v>
      </x:c>
      <x:c r="AB566" s="22" t="n">
        <x:f>MAX(0,MIN('Activities'!L566,144)-MAX('Activities'!K566,138))</x:f>
        <x:v>0</x:v>
      </x:c>
      <x:c r="AC566" s="22" t="n">
        <x:f>MAX(0,MIN('Activities'!L566,150)-MAX('Activities'!K566,144))</x:f>
        <x:v>0</x:v>
      </x:c>
      <x:c r="AD566" s="22" t="n">
        <x:f>MAX(0,MIN('Activities'!L566,156)-MAX('Activities'!K566,150))</x:f>
        <x:v>0</x:v>
      </x:c>
      <x:c r="AE566" s="22" t="n">
        <x:f>MAX(0,MIN('Activities'!L566,162)-MAX('Activities'!K566,156))</x:f>
        <x:v>0</x:v>
      </x:c>
      <x:c r="AF566" s="22" t="n">
        <x:f>MAX(0,MIN('Activities'!L566,168)-MAX('Activities'!K566,162))</x:f>
        <x:v>0</x:v>
      </x:c>
      <x:c r="AG566" s="22" t="n">
        <x:f>MAX(0,MIN('Activities'!L566,174)-MAX('Activities'!K566,168))</x:f>
        <x:v>0</x:v>
      </x:c>
      <x:c r="AH566" s="22" t="n">
        <x:f>MAX(0,MIN('Activities'!L566,180)-MAX('Activities'!K566,174))</x:f>
        <x:v>0</x:v>
      </x:c>
      <x:c r="AI566" s="22" t="n">
        <x:f>MAX(0,MIN('Activities'!L566,186)-MAX('Activities'!K566,180))</x:f>
        <x:v>0</x:v>
      </x:c>
      <x:c r="AJ566" s="22" t="n">
        <x:f>MAX(0,MIN('Activities'!L566,192)-MAX('Activities'!K566,186))</x:f>
        <x:v>0</x:v>
      </x:c>
      <x:c r="AK566" s="22" t="n">
        <x:f>MAX(0,MIN('Activities'!L566,198)-MAX('Activities'!K566,192))</x:f>
        <x:v>0</x:v>
      </x:c>
      <x:c r="AL566" s="22" t="n">
        <x:f>MAX(0,MIN('Activities'!L566,204)-MAX('Activities'!K566,198))</x:f>
        <x:v>0</x:v>
      </x:c>
      <x:c r="AM566" s="22" t="n">
        <x:f>MAX(0,MIN('Activities'!L566,210)-MAX('Activities'!K566,204))</x:f>
        <x:v>0</x:v>
      </x:c>
      <x:c r="AN566" s="22" t="n">
        <x:f>MAX(0,MIN('Activities'!L566,216)-MAX('Activities'!K566,210))</x:f>
        <x:v>0</x:v>
      </x:c>
      <x:c r="AO566" s="22" t="n">
        <x:f>MAX(0,MIN('Activities'!L566,222)-MAX('Activities'!K566,216))</x:f>
        <x:v>0</x:v>
      </x:c>
      <x:c r="AP566" s="22" t="n">
        <x:f>MAX(0,MIN('Activities'!L566,228)-MAX('Activities'!K566,222))</x:f>
        <x:v>0</x:v>
      </x:c>
      <x:c r="AQ566" s="22" t="n">
        <x:f>MAX(0,MIN('Activities'!L566,234)-MAX('Activities'!K566,228))</x:f>
        <x:v>0</x:v>
      </x:c>
      <x:c r="AR566" s="22" t="n">
        <x:f>MAX(0,MIN('Activities'!L566,240)-MAX('Activities'!K566,234))</x:f>
        <x:v>0</x:v>
      </x:c>
      <x:c r="AS566" s="22" t="n">
        <x:f>MAX(0,MIN('Activities'!L566,246)-MAX('Activities'!K566,240))</x:f>
        <x:v>0</x:v>
      </x:c>
      <x:c r="AT566" s="22" t="n">
        <x:f>MAX(0,MIN('Activities'!L566,252)-MAX('Activities'!K566,246))</x:f>
        <x:v>0</x:v>
      </x:c>
      <x:c r="AU566" s="22" t="n">
        <x:f>MAX(0,MIN('Activities'!L566,258)-MAX('Activities'!K566,252))</x:f>
        <x:v>0</x:v>
      </x:c>
      <x:c r="AV566" s="22" t="n">
        <x:f>MAX(0,MIN('Activities'!L566,264)-MAX('Activities'!K566,258))</x:f>
        <x:v>0</x:v>
      </x:c>
      <x:c r="AW566" s="22" t="n">
        <x:f>MAX(0,MIN('Activities'!L566,270)-MAX('Activities'!K566,264))</x:f>
        <x:v>2</x:v>
      </x:c>
      <x:c r="AX566" s="22" t="n">
        <x:f>MAX(0,MIN('Activities'!L566,276)-MAX('Activities'!K566,270))</x:f>
        <x:v>0</x:v>
      </x:c>
      <x:c r="AY566" s="22" t="n">
        <x:f>MAX(0,MIN('Activities'!L566,282)-MAX('Activities'!K566,276))</x:f>
        <x:v>0</x:v>
      </x:c>
      <x:c r="AZ566" s="22" t="n">
        <x:f>MAX(0,MIN('Activities'!L566,288)-MAX('Activities'!K566,282))</x:f>
        <x:v>0</x:v>
      </x:c>
      <x:c r="BA566" s="22" t="n">
        <x:f>MAX(0,MIN('Activities'!L566,294)-MAX('Activities'!K566,288))</x:f>
        <x:v>0</x:v>
      </x:c>
      <x:c r="BB566" s="22" t="n">
        <x:f>MAX(0,MIN('Activities'!L566,300)-MAX('Activities'!K566,294))</x:f>
        <x:v>0</x:v>
      </x:c>
      <x:c r="BC566" s="22" t="n">
        <x:f>MAX(0,MIN('Activities'!L566,306)-MAX('Activities'!K566,300))</x:f>
        <x:v>0</x:v>
      </x:c>
      <x:c r="BD566" s="22" t="n">
        <x:f>MAX(0,MIN('Activities'!L566,312)-MAX('Activities'!K566,306))</x:f>
        <x:v>0</x:v>
      </x:c>
      <x:c r="BE566" s="22" t="n">
        <x:f>MAX(0,MIN('Activities'!L566,318)-MAX('Activities'!K566,312))</x:f>
        <x:v>0</x:v>
      </x:c>
      <x:c r="BF566" s="22" t="n">
        <x:f>MAX(0,MIN('Activities'!L566,324)-MAX('Activities'!K566,318))</x:f>
        <x:v>0</x:v>
      </x:c>
      <x:c r="BG566" s="22" t="n">
        <x:f>MAX(0,MIN('Activities'!L566,330)-MAX('Activities'!K566,324))</x:f>
        <x:v>0</x:v>
      </x:c>
      <x:c r="BH566" s="22" t="n">
        <x:f>MAX(0,MIN('Activities'!L566,336)-MAX('Activities'!K566,330))</x:f>
        <x:v>0</x:v>
      </x:c>
      <x:c r="BI566" s="22" t="n">
        <x:f>MAX(0,MIN('Activities'!L566,342)-MAX('Activities'!K566,336))</x:f>
        <x:v>0</x:v>
      </x:c>
      <x:c r="BJ566" s="22" t="n">
        <x:f>MAX(0,MIN('Activities'!L566,348)-MAX('Activities'!K566,342))</x:f>
        <x:v>0</x:v>
      </x:c>
      <x:c r="BK566" s="22" t="n">
        <x:f>MAX(0,MIN('Activities'!L566,354)-MAX('Activities'!K566,348))</x:f>
        <x:v>0</x:v>
      </x:c>
      <x:c r="BL566" s="22" t="n">
        <x:f>MAX(0,MIN('Activities'!L566,360)-MAX('Activities'!K566,354))</x:f>
        <x:v>0</x:v>
      </x:c>
      <x:c r="BM566" s="22" t="n">
        <x:f>MAX(0,MIN('Activities'!L566,366)-MAX('Activities'!K566,360))</x:f>
        <x:v>0</x:v>
      </x:c>
      <x:c r="BN566" s="22" t="n">
        <x:f>MAX(0,MIN('Activities'!L566,372)-MAX('Activities'!K566,366))</x:f>
        <x:v>0</x:v>
      </x:c>
      <x:c r="BO566" s="22" t="n">
        <x:f>MAX(0,MIN('Activities'!L566,378)-MAX('Activities'!K566,372))</x:f>
        <x:v>0</x:v>
      </x:c>
      <x:c r="BP566" s="22" t="n">
        <x:f>MAX(0,MIN('Activities'!L566,384)-MAX('Activities'!K566,378))</x:f>
        <x:v>0</x:v>
      </x:c>
      <x:c r="BQ566" s="22" t="n">
        <x:f>MAX(0,MIN('Activities'!L566,390)-MAX('Activities'!K566,384))</x:f>
        <x:v>0</x:v>
      </x:c>
      <x:c r="BR566" s="22" t="n">
        <x:f>MAX(0,MIN('Activities'!L566,396)-MAX('Activities'!K566,390))</x:f>
        <x:v>0</x:v>
      </x:c>
      <x:c r="BS566" s="22" t="n">
        <x:f>MAX(0,MIN('Activities'!L566,402)-MAX('Activities'!K566,396))</x:f>
        <x:v>0</x:v>
      </x:c>
      <x:c r="BT566" s="22" t="n">
        <x:f>MAX(0,MIN('Activities'!L566,408)-MAX('Activities'!K566,402))</x:f>
        <x:v>0</x:v>
      </x:c>
      <x:c r="BU566" s="22" t="n">
        <x:f>MAX(0,MIN('Activities'!L566,414)-MAX('Activities'!K566,408))</x:f>
        <x:v>0</x:v>
      </x:c>
      <x:c r="BV566" s="22" t="n">
        <x:f>MAX(0,MIN('Activities'!L566,420)-MAX('Activities'!K566,414))</x:f>
        <x:v>0</x:v>
      </x:c>
      <x:c r="BW566" s="22" t="n">
        <x:f>MAX(0,MIN('Activities'!L566,426)-MAX('Activities'!K566,420))</x:f>
        <x:v>0</x:v>
      </x:c>
      <x:c r="BX566" s="22" t="n">
        <x:f>MAX(0,MIN('Activities'!L566,432)-MAX('Activities'!K566,426))</x:f>
        <x:v>0</x:v>
      </x:c>
      <x:c r="BY566" s="22" t="n">
        <x:f>MAX(0,MIN('Activities'!L566,438)-MAX('Activities'!K566,432))</x:f>
        <x:v>0</x:v>
      </x:c>
      <x:c r="BZ566" s="22" t="n">
        <x:f>MAX(0,MIN('Activities'!L566,444)-MAX('Activities'!K566,438))</x:f>
        <x:v>0</x:v>
      </x:c>
      <x:c r="CA566" s="22" t="n">
        <x:f>MAX(0,MIN('Activities'!L566,450)-MAX('Activities'!K566,444))</x:f>
        <x:v>0</x:v>
      </x:c>
      <x:c r="CB566" s="22" t="n">
        <x:f>MAX(0,MIN('Activities'!L566,456)-MAX('Activities'!K566,450))</x:f>
        <x:v>0</x:v>
      </x:c>
      <x:c r="CC566" s="22" t="n">
        <x:f>MAX(0,MIN('Activities'!L566,462)-MAX('Activities'!K566,456))</x:f>
        <x:v>0</x:v>
      </x:c>
      <x:c r="CD566" s="22" t="n">
        <x:f>MAX(0,MIN('Activities'!L566,468)-MAX('Activities'!K566,462))</x:f>
        <x:v>0</x:v>
      </x:c>
      <x:c r="CE566" s="22" t="n">
        <x:f>MAX(0,MIN('Activities'!L566,474)-MAX('Activities'!K566,468))</x:f>
        <x:v>0</x:v>
      </x:c>
      <x:c r="CF566" s="22" t="n">
        <x:f>MAX(0,MIN('Activities'!L566,480)-MAX('Activities'!K566,474))</x:f>
        <x:v>0</x:v>
      </x:c>
      <x:c r="CG566" s="22" t="n">
        <x:f>MAX(0,MIN('Activities'!L566,486)-MAX('Activities'!K566,480))</x:f>
        <x:v>0</x:v>
      </x:c>
      <x:c r="CH566" s="22" t="n">
        <x:f>MAX(0,MIN('Activities'!L566,492)-MAX('Activities'!K566,486))</x:f>
        <x:v>0</x:v>
      </x:c>
      <x:c r="CI566" s="22" t="n">
        <x:f>MAX(0,MIN('Activities'!L566,498)-MAX('Activities'!K566,492))</x:f>
        <x:v>0</x:v>
      </x:c>
      <x:c r="CJ566" s="22" t="n">
        <x:f>MAX(0,MIN('Activities'!L566,504)-MAX('Activities'!K566,498))</x:f>
        <x:v>0</x:v>
      </x:c>
      <x:c r="CK566" s="22" t="n">
        <x:f>MAX(0,MIN('Activities'!L566,510)-MAX('Activities'!K566,504))</x:f>
        <x:v>0</x:v>
      </x:c>
      <x:c r="CL566" s="22" t="n">
        <x:f>MAX(0,MIN('Activities'!L566,516)-MAX('Activities'!K566,510))</x:f>
        <x:v>0</x:v>
      </x:c>
      <x:c r="CM566" s="22" t="n">
        <x:f>MAX(0,MIN('Activities'!L566,522)-MAX('Activities'!K566,516))</x:f>
        <x:v>0</x:v>
      </x:c>
      <x:c r="CN566" s="22" t="n">
        <x:f>MAX(0,MIN('Activities'!L566,528)-MAX('Activities'!K566,522))</x:f>
        <x:v>0</x:v>
      </x:c>
      <x:c r="CO566" s="22" t="n">
        <x:f>MAX(0,MIN('Activities'!L566,534)-MAX('Activities'!K566,528))</x:f>
        <x:v>0</x:v>
      </x:c>
      <x:c r="CP566" s="22" t="n">
        <x:f>MAX(0,MIN('Activities'!L566,540)-MAX('Activities'!K566,534))</x:f>
        <x:v>0</x:v>
      </x:c>
      <x:c r="CQ566" s="22" t="n">
        <x:f>MAX(0,MIN('Activities'!L566,546)-MAX('Activities'!K566,540))</x:f>
        <x:v>0</x:v>
      </x:c>
      <x:c r="CR566" s="22" t="n">
        <x:f>MAX(0,MIN('Activities'!L566,552)-MAX('Activities'!K566,546))</x:f>
        <x:v>0</x:v>
      </x:c>
      <x:c r="CS566" s="22" t="n">
        <x:f>MAX(0,MIN('Activities'!L566,558)-MAX('Activities'!K566,552))</x:f>
        <x:v>0</x:v>
      </x:c>
      <x:c r="CT566" s="22" t="n">
        <x:f>MAX(0,MIN('Activities'!L566,564)-MAX('Activities'!K566,558))</x:f>
        <x:v>0</x:v>
      </x:c>
      <x:c r="CU566" s="22" t="n">
        <x:f>MAX(0,MIN('Activities'!L566,570)-MAX('Activities'!K566,564))</x:f>
        <x:v>0</x:v>
      </x:c>
      <x:c r="CV566" s="22" t="n">
        <x:f>MAX(0,MIN('Activities'!L566,576)-MAX('Activities'!K566,570))</x:f>
        <x:v>0</x:v>
      </x:c>
      <x:c r="CW566" s="22" t="n">
        <x:f>MAX(0,MIN('Activities'!L566,582)-MAX('Activities'!K566,576))</x:f>
        <x:v>0</x:v>
      </x:c>
      <x:c r="CX566" s="22" t="n">
        <x:f>MAX(0,MIN('Activities'!L566,588)-MAX('Activities'!K566,582))</x:f>
        <x:v>0</x:v>
      </x:c>
      <x:c r="CY566" s="22" t="n">
        <x:f>MAX(0,MIN('Activities'!L566,594)-MAX('Activities'!K566,588))</x:f>
        <x:v>0</x:v>
      </x:c>
      <x:c r="CZ566" s="22" t="n">
        <x:f>MAX(0,MIN('Activities'!L566,600)-MAX('Activities'!K566,594))</x:f>
        <x:v>0</x:v>
      </x:c>
      <x:c r="DA566" s="22" t="n">
        <x:f>MAX(0,MIN('Activities'!L566,606)-MAX('Activities'!K566,600))</x:f>
        <x:v>0</x:v>
      </x:c>
      <x:c r="DB566" s="22" t="n">
        <x:f>MAX(0,MIN('Activities'!L566,612)-MAX('Activities'!K566,606))</x:f>
        <x:v>0</x:v>
      </x:c>
      <x:c r="DC566" s="22" t="n">
        <x:f>MAX(0,MIN('Activities'!L566,618)-MAX('Activities'!K566,612))</x:f>
        <x:v>0</x:v>
      </x:c>
      <x:c r="DD566" s="22" t="n">
        <x:f>MAX(0,MIN('Activities'!L566,624)-MAX('Activities'!K566,618))</x:f>
        <x:v>0</x:v>
      </x:c>
      <x:c r="DE566" s="22" t="n">
        <x:f>MAX(0,MIN('Activities'!L566,630)-MAX('Activities'!K566,624))</x:f>
        <x:v>0</x:v>
      </x:c>
      <x:c r="DF566" s="22" t="n">
        <x:f>MAX(0,MIN('Activities'!L566,636)-MAX('Activities'!K566,630))</x:f>
        <x:v>0</x:v>
      </x:c>
    </x:row>
    <x:row r="567" ht="23" customHeight="1">
      <x:c r="A567" s="1" t="str">
        <x:v>T5-L04-H</x:v>
      </x:c>
      <x:c r="B567" s="1" t="str">
        <x:v>T5</x:v>
      </x:c>
      <x:c r="C567" s="1" t="str">
        <x:v>Curing and release hold point</x:v>
      </x:c>
      <x:c r="D567" s="1" t="str">
        <x:v>Site</x:v>
      </x:c>
      <x:c r="E567" s="23" t="n">
        <x:f>MAX(0,MIN('Activities'!L567,6)-MAX('Activities'!K567,0))</x:f>
        <x:v>0</x:v>
      </x:c>
      <x:c r="F567" s="23" t="n">
        <x:f>MAX(0,MIN('Activities'!L567,12)-MAX('Activities'!K567,6))</x:f>
        <x:v>0</x:v>
      </x:c>
      <x:c r="G567" s="23" t="n">
        <x:f>MAX(0,MIN('Activities'!L567,18)-MAX('Activities'!K567,12))</x:f>
        <x:v>0</x:v>
      </x:c>
      <x:c r="H567" s="23" t="n">
        <x:f>MAX(0,MIN('Activities'!L567,24)-MAX('Activities'!K567,18))</x:f>
        <x:v>0</x:v>
      </x:c>
      <x:c r="I567" s="23" t="n">
        <x:f>MAX(0,MIN('Activities'!L567,30)-MAX('Activities'!K567,24))</x:f>
        <x:v>0</x:v>
      </x:c>
      <x:c r="J567" s="23" t="n">
        <x:f>MAX(0,MIN('Activities'!L567,36)-MAX('Activities'!K567,30))</x:f>
        <x:v>0</x:v>
      </x:c>
      <x:c r="K567" s="23" t="n">
        <x:f>MAX(0,MIN('Activities'!L567,42)-MAX('Activities'!K567,36))</x:f>
        <x:v>0</x:v>
      </x:c>
      <x:c r="L567" s="23" t="n">
        <x:f>MAX(0,MIN('Activities'!L567,48)-MAX('Activities'!K567,42))</x:f>
        <x:v>0</x:v>
      </x:c>
      <x:c r="M567" s="23" t="n">
        <x:f>MAX(0,MIN('Activities'!L567,54)-MAX('Activities'!K567,48))</x:f>
        <x:v>0</x:v>
      </x:c>
      <x:c r="N567" s="23" t="n">
        <x:f>MAX(0,MIN('Activities'!L567,60)-MAX('Activities'!K567,54))</x:f>
        <x:v>0</x:v>
      </x:c>
      <x:c r="O567" s="23" t="n">
        <x:f>MAX(0,MIN('Activities'!L567,66)-MAX('Activities'!K567,60))</x:f>
        <x:v>0</x:v>
      </x:c>
      <x:c r="P567" s="23" t="n">
        <x:f>MAX(0,MIN('Activities'!L567,72)-MAX('Activities'!K567,66))</x:f>
        <x:v>0</x:v>
      </x:c>
      <x:c r="Q567" s="23" t="n">
        <x:f>MAX(0,MIN('Activities'!L567,78)-MAX('Activities'!K567,72))</x:f>
        <x:v>0</x:v>
      </x:c>
      <x:c r="R567" s="23" t="n">
        <x:f>MAX(0,MIN('Activities'!L567,84)-MAX('Activities'!K567,78))</x:f>
        <x:v>0</x:v>
      </x:c>
      <x:c r="S567" s="23" t="n">
        <x:f>MAX(0,MIN('Activities'!L567,90)-MAX('Activities'!K567,84))</x:f>
        <x:v>0</x:v>
      </x:c>
      <x:c r="T567" s="23" t="n">
        <x:f>MAX(0,MIN('Activities'!L567,96)-MAX('Activities'!K567,90))</x:f>
        <x:v>0</x:v>
      </x:c>
      <x:c r="U567" s="23" t="n">
        <x:f>MAX(0,MIN('Activities'!L567,102)-MAX('Activities'!K567,96))</x:f>
        <x:v>0</x:v>
      </x:c>
      <x:c r="V567" s="23" t="n">
        <x:f>MAX(0,MIN('Activities'!L567,108)-MAX('Activities'!K567,102))</x:f>
        <x:v>0</x:v>
      </x:c>
      <x:c r="W567" s="23" t="n">
        <x:f>MAX(0,MIN('Activities'!L567,114)-MAX('Activities'!K567,108))</x:f>
        <x:v>0</x:v>
      </x:c>
      <x:c r="X567" s="23" t="n">
        <x:f>MAX(0,MIN('Activities'!L567,120)-MAX('Activities'!K567,114))</x:f>
        <x:v>0</x:v>
      </x:c>
      <x:c r="Y567" s="23" t="n">
        <x:f>MAX(0,MIN('Activities'!L567,126)-MAX('Activities'!K567,120))</x:f>
        <x:v>0</x:v>
      </x:c>
      <x:c r="Z567" s="23" t="n">
        <x:f>MAX(0,MIN('Activities'!L567,132)-MAX('Activities'!K567,126))</x:f>
        <x:v>0</x:v>
      </x:c>
      <x:c r="AA567" s="23" t="n">
        <x:f>MAX(0,MIN('Activities'!L567,138)-MAX('Activities'!K567,132))</x:f>
        <x:v>0</x:v>
      </x:c>
      <x:c r="AB567" s="23" t="n">
        <x:f>MAX(0,MIN('Activities'!L567,144)-MAX('Activities'!K567,138))</x:f>
        <x:v>0</x:v>
      </x:c>
      <x:c r="AC567" s="23" t="n">
        <x:f>MAX(0,MIN('Activities'!L567,150)-MAX('Activities'!K567,144))</x:f>
        <x:v>0</x:v>
      </x:c>
      <x:c r="AD567" s="23" t="n">
        <x:f>MAX(0,MIN('Activities'!L567,156)-MAX('Activities'!K567,150))</x:f>
        <x:v>0</x:v>
      </x:c>
      <x:c r="AE567" s="23" t="n">
        <x:f>MAX(0,MIN('Activities'!L567,162)-MAX('Activities'!K567,156))</x:f>
        <x:v>0</x:v>
      </x:c>
      <x:c r="AF567" s="23" t="n">
        <x:f>MAX(0,MIN('Activities'!L567,168)-MAX('Activities'!K567,162))</x:f>
        <x:v>0</x:v>
      </x:c>
      <x:c r="AG567" s="23" t="n">
        <x:f>MAX(0,MIN('Activities'!L567,174)-MAX('Activities'!K567,168))</x:f>
        <x:v>0</x:v>
      </x:c>
      <x:c r="AH567" s="23" t="n">
        <x:f>MAX(0,MIN('Activities'!L567,180)-MAX('Activities'!K567,174))</x:f>
        <x:v>0</x:v>
      </x:c>
      <x:c r="AI567" s="23" t="n">
        <x:f>MAX(0,MIN('Activities'!L567,186)-MAX('Activities'!K567,180))</x:f>
        <x:v>0</x:v>
      </x:c>
      <x:c r="AJ567" s="23" t="n">
        <x:f>MAX(0,MIN('Activities'!L567,192)-MAX('Activities'!K567,186))</x:f>
        <x:v>0</x:v>
      </x:c>
      <x:c r="AK567" s="23" t="n">
        <x:f>MAX(0,MIN('Activities'!L567,198)-MAX('Activities'!K567,192))</x:f>
        <x:v>0</x:v>
      </x:c>
      <x:c r="AL567" s="23" t="n">
        <x:f>MAX(0,MIN('Activities'!L567,204)-MAX('Activities'!K567,198))</x:f>
        <x:v>0</x:v>
      </x:c>
      <x:c r="AM567" s="23" t="n">
        <x:f>MAX(0,MIN('Activities'!L567,210)-MAX('Activities'!K567,204))</x:f>
        <x:v>0</x:v>
      </x:c>
      <x:c r="AN567" s="23" t="n">
        <x:f>MAX(0,MIN('Activities'!L567,216)-MAX('Activities'!K567,210))</x:f>
        <x:v>0</x:v>
      </x:c>
      <x:c r="AO567" s="23" t="n">
        <x:f>MAX(0,MIN('Activities'!L567,222)-MAX('Activities'!K567,216))</x:f>
        <x:v>0</x:v>
      </x:c>
      <x:c r="AP567" s="23" t="n">
        <x:f>MAX(0,MIN('Activities'!L567,228)-MAX('Activities'!K567,222))</x:f>
        <x:v>0</x:v>
      </x:c>
      <x:c r="AQ567" s="23" t="n">
        <x:f>MAX(0,MIN('Activities'!L567,234)-MAX('Activities'!K567,228))</x:f>
        <x:v>0</x:v>
      </x:c>
      <x:c r="AR567" s="23" t="n">
        <x:f>MAX(0,MIN('Activities'!L567,240)-MAX('Activities'!K567,234))</x:f>
        <x:v>0</x:v>
      </x:c>
      <x:c r="AS567" s="23" t="n">
        <x:f>MAX(0,MIN('Activities'!L567,246)-MAX('Activities'!K567,240))</x:f>
        <x:v>0</x:v>
      </x:c>
      <x:c r="AT567" s="23" t="n">
        <x:f>MAX(0,MIN('Activities'!L567,252)-MAX('Activities'!K567,246))</x:f>
        <x:v>0</x:v>
      </x:c>
      <x:c r="AU567" s="23" t="n">
        <x:f>MAX(0,MIN('Activities'!L567,258)-MAX('Activities'!K567,252))</x:f>
        <x:v>0</x:v>
      </x:c>
      <x:c r="AV567" s="23" t="n">
        <x:f>MAX(0,MIN('Activities'!L567,264)-MAX('Activities'!K567,258))</x:f>
        <x:v>0</x:v>
      </x:c>
      <x:c r="AW567" s="23" t="n">
        <x:f>MAX(0,MIN('Activities'!L567,270)-MAX('Activities'!K567,264))</x:f>
        <x:v>3</x:v>
      </x:c>
      <x:c r="AX567" s="23" t="n">
        <x:f>MAX(0,MIN('Activities'!L567,276)-MAX('Activities'!K567,270))</x:f>
        <x:v>2</x:v>
      </x:c>
      <x:c r="AY567" s="23" t="n">
        <x:f>MAX(0,MIN('Activities'!L567,282)-MAX('Activities'!K567,276))</x:f>
        <x:v>0</x:v>
      </x:c>
      <x:c r="AZ567" s="23" t="n">
        <x:f>MAX(0,MIN('Activities'!L567,288)-MAX('Activities'!K567,282))</x:f>
        <x:v>0</x:v>
      </x:c>
      <x:c r="BA567" s="23" t="n">
        <x:f>MAX(0,MIN('Activities'!L567,294)-MAX('Activities'!K567,288))</x:f>
        <x:v>0</x:v>
      </x:c>
      <x:c r="BB567" s="23" t="n">
        <x:f>MAX(0,MIN('Activities'!L567,300)-MAX('Activities'!K567,294))</x:f>
        <x:v>0</x:v>
      </x:c>
      <x:c r="BC567" s="23" t="n">
        <x:f>MAX(0,MIN('Activities'!L567,306)-MAX('Activities'!K567,300))</x:f>
        <x:v>0</x:v>
      </x:c>
      <x:c r="BD567" s="23" t="n">
        <x:f>MAX(0,MIN('Activities'!L567,312)-MAX('Activities'!K567,306))</x:f>
        <x:v>0</x:v>
      </x:c>
      <x:c r="BE567" s="23" t="n">
        <x:f>MAX(0,MIN('Activities'!L567,318)-MAX('Activities'!K567,312))</x:f>
        <x:v>0</x:v>
      </x:c>
      <x:c r="BF567" s="23" t="n">
        <x:f>MAX(0,MIN('Activities'!L567,324)-MAX('Activities'!K567,318))</x:f>
        <x:v>0</x:v>
      </x:c>
      <x:c r="BG567" s="23" t="n">
        <x:f>MAX(0,MIN('Activities'!L567,330)-MAX('Activities'!K567,324))</x:f>
        <x:v>0</x:v>
      </x:c>
      <x:c r="BH567" s="23" t="n">
        <x:f>MAX(0,MIN('Activities'!L567,336)-MAX('Activities'!K567,330))</x:f>
        <x:v>0</x:v>
      </x:c>
      <x:c r="BI567" s="23" t="n">
        <x:f>MAX(0,MIN('Activities'!L567,342)-MAX('Activities'!K567,336))</x:f>
        <x:v>0</x:v>
      </x:c>
      <x:c r="BJ567" s="23" t="n">
        <x:f>MAX(0,MIN('Activities'!L567,348)-MAX('Activities'!K567,342))</x:f>
        <x:v>0</x:v>
      </x:c>
      <x:c r="BK567" s="23" t="n">
        <x:f>MAX(0,MIN('Activities'!L567,354)-MAX('Activities'!K567,348))</x:f>
        <x:v>0</x:v>
      </x:c>
      <x:c r="BL567" s="23" t="n">
        <x:f>MAX(0,MIN('Activities'!L567,360)-MAX('Activities'!K567,354))</x:f>
        <x:v>0</x:v>
      </x:c>
      <x:c r="BM567" s="23" t="n">
        <x:f>MAX(0,MIN('Activities'!L567,366)-MAX('Activities'!K567,360))</x:f>
        <x:v>0</x:v>
      </x:c>
      <x:c r="BN567" s="23" t="n">
        <x:f>MAX(0,MIN('Activities'!L567,372)-MAX('Activities'!K567,366))</x:f>
        <x:v>0</x:v>
      </x:c>
      <x:c r="BO567" s="23" t="n">
        <x:f>MAX(0,MIN('Activities'!L567,378)-MAX('Activities'!K567,372))</x:f>
        <x:v>0</x:v>
      </x:c>
      <x:c r="BP567" s="23" t="n">
        <x:f>MAX(0,MIN('Activities'!L567,384)-MAX('Activities'!K567,378))</x:f>
        <x:v>0</x:v>
      </x:c>
      <x:c r="BQ567" s="23" t="n">
        <x:f>MAX(0,MIN('Activities'!L567,390)-MAX('Activities'!K567,384))</x:f>
        <x:v>0</x:v>
      </x:c>
      <x:c r="BR567" s="23" t="n">
        <x:f>MAX(0,MIN('Activities'!L567,396)-MAX('Activities'!K567,390))</x:f>
        <x:v>0</x:v>
      </x:c>
      <x:c r="BS567" s="23" t="n">
        <x:f>MAX(0,MIN('Activities'!L567,402)-MAX('Activities'!K567,396))</x:f>
        <x:v>0</x:v>
      </x:c>
      <x:c r="BT567" s="23" t="n">
        <x:f>MAX(0,MIN('Activities'!L567,408)-MAX('Activities'!K567,402))</x:f>
        <x:v>0</x:v>
      </x:c>
      <x:c r="BU567" s="23" t="n">
        <x:f>MAX(0,MIN('Activities'!L567,414)-MAX('Activities'!K567,408))</x:f>
        <x:v>0</x:v>
      </x:c>
      <x:c r="BV567" s="23" t="n">
        <x:f>MAX(0,MIN('Activities'!L567,420)-MAX('Activities'!K567,414))</x:f>
        <x:v>0</x:v>
      </x:c>
      <x:c r="BW567" s="23" t="n">
        <x:f>MAX(0,MIN('Activities'!L567,426)-MAX('Activities'!K567,420))</x:f>
        <x:v>0</x:v>
      </x:c>
      <x:c r="BX567" s="23" t="n">
        <x:f>MAX(0,MIN('Activities'!L567,432)-MAX('Activities'!K567,426))</x:f>
        <x:v>0</x:v>
      </x:c>
      <x:c r="BY567" s="23" t="n">
        <x:f>MAX(0,MIN('Activities'!L567,438)-MAX('Activities'!K567,432))</x:f>
        <x:v>0</x:v>
      </x:c>
      <x:c r="BZ567" s="23" t="n">
        <x:f>MAX(0,MIN('Activities'!L567,444)-MAX('Activities'!K567,438))</x:f>
        <x:v>0</x:v>
      </x:c>
      <x:c r="CA567" s="23" t="n">
        <x:f>MAX(0,MIN('Activities'!L567,450)-MAX('Activities'!K567,444))</x:f>
        <x:v>0</x:v>
      </x:c>
      <x:c r="CB567" s="23" t="n">
        <x:f>MAX(0,MIN('Activities'!L567,456)-MAX('Activities'!K567,450))</x:f>
        <x:v>0</x:v>
      </x:c>
      <x:c r="CC567" s="23" t="n">
        <x:f>MAX(0,MIN('Activities'!L567,462)-MAX('Activities'!K567,456))</x:f>
        <x:v>0</x:v>
      </x:c>
      <x:c r="CD567" s="23" t="n">
        <x:f>MAX(0,MIN('Activities'!L567,468)-MAX('Activities'!K567,462))</x:f>
        <x:v>0</x:v>
      </x:c>
      <x:c r="CE567" s="23" t="n">
        <x:f>MAX(0,MIN('Activities'!L567,474)-MAX('Activities'!K567,468))</x:f>
        <x:v>0</x:v>
      </x:c>
      <x:c r="CF567" s="23" t="n">
        <x:f>MAX(0,MIN('Activities'!L567,480)-MAX('Activities'!K567,474))</x:f>
        <x:v>0</x:v>
      </x:c>
      <x:c r="CG567" s="23" t="n">
        <x:f>MAX(0,MIN('Activities'!L567,486)-MAX('Activities'!K567,480))</x:f>
        <x:v>0</x:v>
      </x:c>
      <x:c r="CH567" s="23" t="n">
        <x:f>MAX(0,MIN('Activities'!L567,492)-MAX('Activities'!K567,486))</x:f>
        <x:v>0</x:v>
      </x:c>
      <x:c r="CI567" s="23" t="n">
        <x:f>MAX(0,MIN('Activities'!L567,498)-MAX('Activities'!K567,492))</x:f>
        <x:v>0</x:v>
      </x:c>
      <x:c r="CJ567" s="23" t="n">
        <x:f>MAX(0,MIN('Activities'!L567,504)-MAX('Activities'!K567,498))</x:f>
        <x:v>0</x:v>
      </x:c>
      <x:c r="CK567" s="23" t="n">
        <x:f>MAX(0,MIN('Activities'!L567,510)-MAX('Activities'!K567,504))</x:f>
        <x:v>0</x:v>
      </x:c>
      <x:c r="CL567" s="23" t="n">
        <x:f>MAX(0,MIN('Activities'!L567,516)-MAX('Activities'!K567,510))</x:f>
        <x:v>0</x:v>
      </x:c>
      <x:c r="CM567" s="23" t="n">
        <x:f>MAX(0,MIN('Activities'!L567,522)-MAX('Activities'!K567,516))</x:f>
        <x:v>0</x:v>
      </x:c>
      <x:c r="CN567" s="23" t="n">
        <x:f>MAX(0,MIN('Activities'!L567,528)-MAX('Activities'!K567,522))</x:f>
        <x:v>0</x:v>
      </x:c>
      <x:c r="CO567" s="23" t="n">
        <x:f>MAX(0,MIN('Activities'!L567,534)-MAX('Activities'!K567,528))</x:f>
        <x:v>0</x:v>
      </x:c>
      <x:c r="CP567" s="23" t="n">
        <x:f>MAX(0,MIN('Activities'!L567,540)-MAX('Activities'!K567,534))</x:f>
        <x:v>0</x:v>
      </x:c>
      <x:c r="CQ567" s="23" t="n">
        <x:f>MAX(0,MIN('Activities'!L567,546)-MAX('Activities'!K567,540))</x:f>
        <x:v>0</x:v>
      </x:c>
      <x:c r="CR567" s="23" t="n">
        <x:f>MAX(0,MIN('Activities'!L567,552)-MAX('Activities'!K567,546))</x:f>
        <x:v>0</x:v>
      </x:c>
      <x:c r="CS567" s="23" t="n">
        <x:f>MAX(0,MIN('Activities'!L567,558)-MAX('Activities'!K567,552))</x:f>
        <x:v>0</x:v>
      </x:c>
      <x:c r="CT567" s="23" t="n">
        <x:f>MAX(0,MIN('Activities'!L567,564)-MAX('Activities'!K567,558))</x:f>
        <x:v>0</x:v>
      </x:c>
      <x:c r="CU567" s="23" t="n">
        <x:f>MAX(0,MIN('Activities'!L567,570)-MAX('Activities'!K567,564))</x:f>
        <x:v>0</x:v>
      </x:c>
      <x:c r="CV567" s="23" t="n">
        <x:f>MAX(0,MIN('Activities'!L567,576)-MAX('Activities'!K567,570))</x:f>
        <x:v>0</x:v>
      </x:c>
      <x:c r="CW567" s="23" t="n">
        <x:f>MAX(0,MIN('Activities'!L567,582)-MAX('Activities'!K567,576))</x:f>
        <x:v>0</x:v>
      </x:c>
      <x:c r="CX567" s="23" t="n">
        <x:f>MAX(0,MIN('Activities'!L567,588)-MAX('Activities'!K567,582))</x:f>
        <x:v>0</x:v>
      </x:c>
      <x:c r="CY567" s="23" t="n">
        <x:f>MAX(0,MIN('Activities'!L567,594)-MAX('Activities'!K567,588))</x:f>
        <x:v>0</x:v>
      </x:c>
      <x:c r="CZ567" s="23" t="n">
        <x:f>MAX(0,MIN('Activities'!L567,600)-MAX('Activities'!K567,594))</x:f>
        <x:v>0</x:v>
      </x:c>
      <x:c r="DA567" s="23" t="n">
        <x:f>MAX(0,MIN('Activities'!L567,606)-MAX('Activities'!K567,600))</x:f>
        <x:v>0</x:v>
      </x:c>
      <x:c r="DB567" s="23" t="n">
        <x:f>MAX(0,MIN('Activities'!L567,612)-MAX('Activities'!K567,606))</x:f>
        <x:v>0</x:v>
      </x:c>
      <x:c r="DC567" s="23" t="n">
        <x:f>MAX(0,MIN('Activities'!L567,618)-MAX('Activities'!K567,612))</x:f>
        <x:v>0</x:v>
      </x:c>
      <x:c r="DD567" s="23" t="n">
        <x:f>MAX(0,MIN('Activities'!L567,624)-MAX('Activities'!K567,618))</x:f>
        <x:v>0</x:v>
      </x:c>
      <x:c r="DE567" s="23" t="n">
        <x:f>MAX(0,MIN('Activities'!L567,630)-MAX('Activities'!K567,624))</x:f>
        <x:v>0</x:v>
      </x:c>
      <x:c r="DF567" s="23" t="n">
        <x:f>MAX(0,MIN('Activities'!L567,636)-MAX('Activities'!K567,630))</x:f>
        <x:v>0</x:v>
      </x:c>
    </x:row>
    <x:row r="568" ht="23" customHeight="1">
      <x:c r="A568" s="6" t="str">
        <x:v>T5-L05-F</x:v>
      </x:c>
      <x:c r="B568" s="6" t="str">
        <x:v>T5</x:v>
      </x:c>
      <x:c r="C568" s="6" t="str">
        <x:v>Columns, core and deck formwork</x:v>
      </x:c>
      <x:c r="D568" s="6" t="str">
        <x:v>Formwork</x:v>
      </x:c>
      <x:c r="E568" s="22" t="n">
        <x:f>MAX(0,MIN('Activities'!L568,6)-MAX('Activities'!K568,0))</x:f>
        <x:v>0</x:v>
      </x:c>
      <x:c r="F568" s="22" t="n">
        <x:f>MAX(0,MIN('Activities'!L568,12)-MAX('Activities'!K568,6))</x:f>
        <x:v>0</x:v>
      </x:c>
      <x:c r="G568" s="22" t="n">
        <x:f>MAX(0,MIN('Activities'!L568,18)-MAX('Activities'!K568,12))</x:f>
        <x:v>0</x:v>
      </x:c>
      <x:c r="H568" s="22" t="n">
        <x:f>MAX(0,MIN('Activities'!L568,24)-MAX('Activities'!K568,18))</x:f>
        <x:v>0</x:v>
      </x:c>
      <x:c r="I568" s="22" t="n">
        <x:f>MAX(0,MIN('Activities'!L568,30)-MAX('Activities'!K568,24))</x:f>
        <x:v>0</x:v>
      </x:c>
      <x:c r="J568" s="22" t="n">
        <x:f>MAX(0,MIN('Activities'!L568,36)-MAX('Activities'!K568,30))</x:f>
        <x:v>0</x:v>
      </x:c>
      <x:c r="K568" s="22" t="n">
        <x:f>MAX(0,MIN('Activities'!L568,42)-MAX('Activities'!K568,36))</x:f>
        <x:v>0</x:v>
      </x:c>
      <x:c r="L568" s="22" t="n">
        <x:f>MAX(0,MIN('Activities'!L568,48)-MAX('Activities'!K568,42))</x:f>
        <x:v>0</x:v>
      </x:c>
      <x:c r="M568" s="22" t="n">
        <x:f>MAX(0,MIN('Activities'!L568,54)-MAX('Activities'!K568,48))</x:f>
        <x:v>0</x:v>
      </x:c>
      <x:c r="N568" s="22" t="n">
        <x:f>MAX(0,MIN('Activities'!L568,60)-MAX('Activities'!K568,54))</x:f>
        <x:v>0</x:v>
      </x:c>
      <x:c r="O568" s="22" t="n">
        <x:f>MAX(0,MIN('Activities'!L568,66)-MAX('Activities'!K568,60))</x:f>
        <x:v>0</x:v>
      </x:c>
      <x:c r="P568" s="22" t="n">
        <x:f>MAX(0,MIN('Activities'!L568,72)-MAX('Activities'!K568,66))</x:f>
        <x:v>0</x:v>
      </x:c>
      <x:c r="Q568" s="22" t="n">
        <x:f>MAX(0,MIN('Activities'!L568,78)-MAX('Activities'!K568,72))</x:f>
        <x:v>0</x:v>
      </x:c>
      <x:c r="R568" s="22" t="n">
        <x:f>MAX(0,MIN('Activities'!L568,84)-MAX('Activities'!K568,78))</x:f>
        <x:v>0</x:v>
      </x:c>
      <x:c r="S568" s="22" t="n">
        <x:f>MAX(0,MIN('Activities'!L568,90)-MAX('Activities'!K568,84))</x:f>
        <x:v>0</x:v>
      </x:c>
      <x:c r="T568" s="22" t="n">
        <x:f>MAX(0,MIN('Activities'!L568,96)-MAX('Activities'!K568,90))</x:f>
        <x:v>0</x:v>
      </x:c>
      <x:c r="U568" s="22" t="n">
        <x:f>MAX(0,MIN('Activities'!L568,102)-MAX('Activities'!K568,96))</x:f>
        <x:v>0</x:v>
      </x:c>
      <x:c r="V568" s="22" t="n">
        <x:f>MAX(0,MIN('Activities'!L568,108)-MAX('Activities'!K568,102))</x:f>
        <x:v>0</x:v>
      </x:c>
      <x:c r="W568" s="22" t="n">
        <x:f>MAX(0,MIN('Activities'!L568,114)-MAX('Activities'!K568,108))</x:f>
        <x:v>0</x:v>
      </x:c>
      <x:c r="X568" s="22" t="n">
        <x:f>MAX(0,MIN('Activities'!L568,120)-MAX('Activities'!K568,114))</x:f>
        <x:v>0</x:v>
      </x:c>
      <x:c r="Y568" s="22" t="n">
        <x:f>MAX(0,MIN('Activities'!L568,126)-MAX('Activities'!K568,120))</x:f>
        <x:v>0</x:v>
      </x:c>
      <x:c r="Z568" s="22" t="n">
        <x:f>MAX(0,MIN('Activities'!L568,132)-MAX('Activities'!K568,126))</x:f>
        <x:v>0</x:v>
      </x:c>
      <x:c r="AA568" s="22" t="n">
        <x:f>MAX(0,MIN('Activities'!L568,138)-MAX('Activities'!K568,132))</x:f>
        <x:v>0</x:v>
      </x:c>
      <x:c r="AB568" s="22" t="n">
        <x:f>MAX(0,MIN('Activities'!L568,144)-MAX('Activities'!K568,138))</x:f>
        <x:v>0</x:v>
      </x:c>
      <x:c r="AC568" s="22" t="n">
        <x:f>MAX(0,MIN('Activities'!L568,150)-MAX('Activities'!K568,144))</x:f>
        <x:v>0</x:v>
      </x:c>
      <x:c r="AD568" s="22" t="n">
        <x:f>MAX(0,MIN('Activities'!L568,156)-MAX('Activities'!K568,150))</x:f>
        <x:v>0</x:v>
      </x:c>
      <x:c r="AE568" s="22" t="n">
        <x:f>MAX(0,MIN('Activities'!L568,162)-MAX('Activities'!K568,156))</x:f>
        <x:v>0</x:v>
      </x:c>
      <x:c r="AF568" s="22" t="n">
        <x:f>MAX(0,MIN('Activities'!L568,168)-MAX('Activities'!K568,162))</x:f>
        <x:v>0</x:v>
      </x:c>
      <x:c r="AG568" s="22" t="n">
        <x:f>MAX(0,MIN('Activities'!L568,174)-MAX('Activities'!K568,168))</x:f>
        <x:v>0</x:v>
      </x:c>
      <x:c r="AH568" s="22" t="n">
        <x:f>MAX(0,MIN('Activities'!L568,180)-MAX('Activities'!K568,174))</x:f>
        <x:v>0</x:v>
      </x:c>
      <x:c r="AI568" s="22" t="n">
        <x:f>MAX(0,MIN('Activities'!L568,186)-MAX('Activities'!K568,180))</x:f>
        <x:v>0</x:v>
      </x:c>
      <x:c r="AJ568" s="22" t="n">
        <x:f>MAX(0,MIN('Activities'!L568,192)-MAX('Activities'!K568,186))</x:f>
        <x:v>0</x:v>
      </x:c>
      <x:c r="AK568" s="22" t="n">
        <x:f>MAX(0,MIN('Activities'!L568,198)-MAX('Activities'!K568,192))</x:f>
        <x:v>0</x:v>
      </x:c>
      <x:c r="AL568" s="22" t="n">
        <x:f>MAX(0,MIN('Activities'!L568,204)-MAX('Activities'!K568,198))</x:f>
        <x:v>0</x:v>
      </x:c>
      <x:c r="AM568" s="22" t="n">
        <x:f>MAX(0,MIN('Activities'!L568,210)-MAX('Activities'!K568,204))</x:f>
        <x:v>0</x:v>
      </x:c>
      <x:c r="AN568" s="22" t="n">
        <x:f>MAX(0,MIN('Activities'!L568,216)-MAX('Activities'!K568,210))</x:f>
        <x:v>0</x:v>
      </x:c>
      <x:c r="AO568" s="22" t="n">
        <x:f>MAX(0,MIN('Activities'!L568,222)-MAX('Activities'!K568,216))</x:f>
        <x:v>0</x:v>
      </x:c>
      <x:c r="AP568" s="22" t="n">
        <x:f>MAX(0,MIN('Activities'!L568,228)-MAX('Activities'!K568,222))</x:f>
        <x:v>0</x:v>
      </x:c>
      <x:c r="AQ568" s="22" t="n">
        <x:f>MAX(0,MIN('Activities'!L568,234)-MAX('Activities'!K568,228))</x:f>
        <x:v>0</x:v>
      </x:c>
      <x:c r="AR568" s="22" t="n">
        <x:f>MAX(0,MIN('Activities'!L568,240)-MAX('Activities'!K568,234))</x:f>
        <x:v>0</x:v>
      </x:c>
      <x:c r="AS568" s="22" t="n">
        <x:f>MAX(0,MIN('Activities'!L568,246)-MAX('Activities'!K568,240))</x:f>
        <x:v>0</x:v>
      </x:c>
      <x:c r="AT568" s="22" t="n">
        <x:f>MAX(0,MIN('Activities'!L568,252)-MAX('Activities'!K568,246))</x:f>
        <x:v>0</x:v>
      </x:c>
      <x:c r="AU568" s="22" t="n">
        <x:f>MAX(0,MIN('Activities'!L568,258)-MAX('Activities'!K568,252))</x:f>
        <x:v>0</x:v>
      </x:c>
      <x:c r="AV568" s="22" t="n">
        <x:f>MAX(0,MIN('Activities'!L568,264)-MAX('Activities'!K568,258))</x:f>
        <x:v>0</x:v>
      </x:c>
      <x:c r="AW568" s="22" t="n">
        <x:f>MAX(0,MIN('Activities'!L568,270)-MAX('Activities'!K568,264))</x:f>
        <x:v>0</x:v>
      </x:c>
      <x:c r="AX568" s="22" t="n">
        <x:f>MAX(0,MIN('Activities'!L568,276)-MAX('Activities'!K568,270))</x:f>
        <x:v>4</x:v>
      </x:c>
      <x:c r="AY568" s="22" t="n">
        <x:f>MAX(0,MIN('Activities'!L568,282)-MAX('Activities'!K568,276))</x:f>
        <x:v>2</x:v>
      </x:c>
      <x:c r="AZ568" s="22" t="n">
        <x:f>MAX(0,MIN('Activities'!L568,288)-MAX('Activities'!K568,282))</x:f>
        <x:v>0</x:v>
      </x:c>
      <x:c r="BA568" s="22" t="n">
        <x:f>MAX(0,MIN('Activities'!L568,294)-MAX('Activities'!K568,288))</x:f>
        <x:v>0</x:v>
      </x:c>
      <x:c r="BB568" s="22" t="n">
        <x:f>MAX(0,MIN('Activities'!L568,300)-MAX('Activities'!K568,294))</x:f>
        <x:v>0</x:v>
      </x:c>
      <x:c r="BC568" s="22" t="n">
        <x:f>MAX(0,MIN('Activities'!L568,306)-MAX('Activities'!K568,300))</x:f>
        <x:v>0</x:v>
      </x:c>
      <x:c r="BD568" s="22" t="n">
        <x:f>MAX(0,MIN('Activities'!L568,312)-MAX('Activities'!K568,306))</x:f>
        <x:v>0</x:v>
      </x:c>
      <x:c r="BE568" s="22" t="n">
        <x:f>MAX(0,MIN('Activities'!L568,318)-MAX('Activities'!K568,312))</x:f>
        <x:v>0</x:v>
      </x:c>
      <x:c r="BF568" s="22" t="n">
        <x:f>MAX(0,MIN('Activities'!L568,324)-MAX('Activities'!K568,318))</x:f>
        <x:v>0</x:v>
      </x:c>
      <x:c r="BG568" s="22" t="n">
        <x:f>MAX(0,MIN('Activities'!L568,330)-MAX('Activities'!K568,324))</x:f>
        <x:v>0</x:v>
      </x:c>
      <x:c r="BH568" s="22" t="n">
        <x:f>MAX(0,MIN('Activities'!L568,336)-MAX('Activities'!K568,330))</x:f>
        <x:v>0</x:v>
      </x:c>
      <x:c r="BI568" s="22" t="n">
        <x:f>MAX(0,MIN('Activities'!L568,342)-MAX('Activities'!K568,336))</x:f>
        <x:v>0</x:v>
      </x:c>
      <x:c r="BJ568" s="22" t="n">
        <x:f>MAX(0,MIN('Activities'!L568,348)-MAX('Activities'!K568,342))</x:f>
        <x:v>0</x:v>
      </x:c>
      <x:c r="BK568" s="22" t="n">
        <x:f>MAX(0,MIN('Activities'!L568,354)-MAX('Activities'!K568,348))</x:f>
        <x:v>0</x:v>
      </x:c>
      <x:c r="BL568" s="22" t="n">
        <x:f>MAX(0,MIN('Activities'!L568,360)-MAX('Activities'!K568,354))</x:f>
        <x:v>0</x:v>
      </x:c>
      <x:c r="BM568" s="22" t="n">
        <x:f>MAX(0,MIN('Activities'!L568,366)-MAX('Activities'!K568,360))</x:f>
        <x:v>0</x:v>
      </x:c>
      <x:c r="BN568" s="22" t="n">
        <x:f>MAX(0,MIN('Activities'!L568,372)-MAX('Activities'!K568,366))</x:f>
        <x:v>0</x:v>
      </x:c>
      <x:c r="BO568" s="22" t="n">
        <x:f>MAX(0,MIN('Activities'!L568,378)-MAX('Activities'!K568,372))</x:f>
        <x:v>0</x:v>
      </x:c>
      <x:c r="BP568" s="22" t="n">
        <x:f>MAX(0,MIN('Activities'!L568,384)-MAX('Activities'!K568,378))</x:f>
        <x:v>0</x:v>
      </x:c>
      <x:c r="BQ568" s="22" t="n">
        <x:f>MAX(0,MIN('Activities'!L568,390)-MAX('Activities'!K568,384))</x:f>
        <x:v>0</x:v>
      </x:c>
      <x:c r="BR568" s="22" t="n">
        <x:f>MAX(0,MIN('Activities'!L568,396)-MAX('Activities'!K568,390))</x:f>
        <x:v>0</x:v>
      </x:c>
      <x:c r="BS568" s="22" t="n">
        <x:f>MAX(0,MIN('Activities'!L568,402)-MAX('Activities'!K568,396))</x:f>
        <x:v>0</x:v>
      </x:c>
      <x:c r="BT568" s="22" t="n">
        <x:f>MAX(0,MIN('Activities'!L568,408)-MAX('Activities'!K568,402))</x:f>
        <x:v>0</x:v>
      </x:c>
      <x:c r="BU568" s="22" t="n">
        <x:f>MAX(0,MIN('Activities'!L568,414)-MAX('Activities'!K568,408))</x:f>
        <x:v>0</x:v>
      </x:c>
      <x:c r="BV568" s="22" t="n">
        <x:f>MAX(0,MIN('Activities'!L568,420)-MAX('Activities'!K568,414))</x:f>
        <x:v>0</x:v>
      </x:c>
      <x:c r="BW568" s="22" t="n">
        <x:f>MAX(0,MIN('Activities'!L568,426)-MAX('Activities'!K568,420))</x:f>
        <x:v>0</x:v>
      </x:c>
      <x:c r="BX568" s="22" t="n">
        <x:f>MAX(0,MIN('Activities'!L568,432)-MAX('Activities'!K568,426))</x:f>
        <x:v>0</x:v>
      </x:c>
      <x:c r="BY568" s="22" t="n">
        <x:f>MAX(0,MIN('Activities'!L568,438)-MAX('Activities'!K568,432))</x:f>
        <x:v>0</x:v>
      </x:c>
      <x:c r="BZ568" s="22" t="n">
        <x:f>MAX(0,MIN('Activities'!L568,444)-MAX('Activities'!K568,438))</x:f>
        <x:v>0</x:v>
      </x:c>
      <x:c r="CA568" s="22" t="n">
        <x:f>MAX(0,MIN('Activities'!L568,450)-MAX('Activities'!K568,444))</x:f>
        <x:v>0</x:v>
      </x:c>
      <x:c r="CB568" s="22" t="n">
        <x:f>MAX(0,MIN('Activities'!L568,456)-MAX('Activities'!K568,450))</x:f>
        <x:v>0</x:v>
      </x:c>
      <x:c r="CC568" s="22" t="n">
        <x:f>MAX(0,MIN('Activities'!L568,462)-MAX('Activities'!K568,456))</x:f>
        <x:v>0</x:v>
      </x:c>
      <x:c r="CD568" s="22" t="n">
        <x:f>MAX(0,MIN('Activities'!L568,468)-MAX('Activities'!K568,462))</x:f>
        <x:v>0</x:v>
      </x:c>
      <x:c r="CE568" s="22" t="n">
        <x:f>MAX(0,MIN('Activities'!L568,474)-MAX('Activities'!K568,468))</x:f>
        <x:v>0</x:v>
      </x:c>
      <x:c r="CF568" s="22" t="n">
        <x:f>MAX(0,MIN('Activities'!L568,480)-MAX('Activities'!K568,474))</x:f>
        <x:v>0</x:v>
      </x:c>
      <x:c r="CG568" s="22" t="n">
        <x:f>MAX(0,MIN('Activities'!L568,486)-MAX('Activities'!K568,480))</x:f>
        <x:v>0</x:v>
      </x:c>
      <x:c r="CH568" s="22" t="n">
        <x:f>MAX(0,MIN('Activities'!L568,492)-MAX('Activities'!K568,486))</x:f>
        <x:v>0</x:v>
      </x:c>
      <x:c r="CI568" s="22" t="n">
        <x:f>MAX(0,MIN('Activities'!L568,498)-MAX('Activities'!K568,492))</x:f>
        <x:v>0</x:v>
      </x:c>
      <x:c r="CJ568" s="22" t="n">
        <x:f>MAX(0,MIN('Activities'!L568,504)-MAX('Activities'!K568,498))</x:f>
        <x:v>0</x:v>
      </x:c>
      <x:c r="CK568" s="22" t="n">
        <x:f>MAX(0,MIN('Activities'!L568,510)-MAX('Activities'!K568,504))</x:f>
        <x:v>0</x:v>
      </x:c>
      <x:c r="CL568" s="22" t="n">
        <x:f>MAX(0,MIN('Activities'!L568,516)-MAX('Activities'!K568,510))</x:f>
        <x:v>0</x:v>
      </x:c>
      <x:c r="CM568" s="22" t="n">
        <x:f>MAX(0,MIN('Activities'!L568,522)-MAX('Activities'!K568,516))</x:f>
        <x:v>0</x:v>
      </x:c>
      <x:c r="CN568" s="22" t="n">
        <x:f>MAX(0,MIN('Activities'!L568,528)-MAX('Activities'!K568,522))</x:f>
        <x:v>0</x:v>
      </x:c>
      <x:c r="CO568" s="22" t="n">
        <x:f>MAX(0,MIN('Activities'!L568,534)-MAX('Activities'!K568,528))</x:f>
        <x:v>0</x:v>
      </x:c>
      <x:c r="CP568" s="22" t="n">
        <x:f>MAX(0,MIN('Activities'!L568,540)-MAX('Activities'!K568,534))</x:f>
        <x:v>0</x:v>
      </x:c>
      <x:c r="CQ568" s="22" t="n">
        <x:f>MAX(0,MIN('Activities'!L568,546)-MAX('Activities'!K568,540))</x:f>
        <x:v>0</x:v>
      </x:c>
      <x:c r="CR568" s="22" t="n">
        <x:f>MAX(0,MIN('Activities'!L568,552)-MAX('Activities'!K568,546))</x:f>
        <x:v>0</x:v>
      </x:c>
      <x:c r="CS568" s="22" t="n">
        <x:f>MAX(0,MIN('Activities'!L568,558)-MAX('Activities'!K568,552))</x:f>
        <x:v>0</x:v>
      </x:c>
      <x:c r="CT568" s="22" t="n">
        <x:f>MAX(0,MIN('Activities'!L568,564)-MAX('Activities'!K568,558))</x:f>
        <x:v>0</x:v>
      </x:c>
      <x:c r="CU568" s="22" t="n">
        <x:f>MAX(0,MIN('Activities'!L568,570)-MAX('Activities'!K568,564))</x:f>
        <x:v>0</x:v>
      </x:c>
      <x:c r="CV568" s="22" t="n">
        <x:f>MAX(0,MIN('Activities'!L568,576)-MAX('Activities'!K568,570))</x:f>
        <x:v>0</x:v>
      </x:c>
      <x:c r="CW568" s="22" t="n">
        <x:f>MAX(0,MIN('Activities'!L568,582)-MAX('Activities'!K568,576))</x:f>
        <x:v>0</x:v>
      </x:c>
      <x:c r="CX568" s="22" t="n">
        <x:f>MAX(0,MIN('Activities'!L568,588)-MAX('Activities'!K568,582))</x:f>
        <x:v>0</x:v>
      </x:c>
      <x:c r="CY568" s="22" t="n">
        <x:f>MAX(0,MIN('Activities'!L568,594)-MAX('Activities'!K568,588))</x:f>
        <x:v>0</x:v>
      </x:c>
      <x:c r="CZ568" s="22" t="n">
        <x:f>MAX(0,MIN('Activities'!L568,600)-MAX('Activities'!K568,594))</x:f>
        <x:v>0</x:v>
      </x:c>
      <x:c r="DA568" s="22" t="n">
        <x:f>MAX(0,MIN('Activities'!L568,606)-MAX('Activities'!K568,600))</x:f>
        <x:v>0</x:v>
      </x:c>
      <x:c r="DB568" s="22" t="n">
        <x:f>MAX(0,MIN('Activities'!L568,612)-MAX('Activities'!K568,606))</x:f>
        <x:v>0</x:v>
      </x:c>
      <x:c r="DC568" s="22" t="n">
        <x:f>MAX(0,MIN('Activities'!L568,618)-MAX('Activities'!K568,612))</x:f>
        <x:v>0</x:v>
      </x:c>
      <x:c r="DD568" s="22" t="n">
        <x:f>MAX(0,MIN('Activities'!L568,624)-MAX('Activities'!K568,618))</x:f>
        <x:v>0</x:v>
      </x:c>
      <x:c r="DE568" s="22" t="n">
        <x:f>MAX(0,MIN('Activities'!L568,630)-MAX('Activities'!K568,624))</x:f>
        <x:v>0</x:v>
      </x:c>
      <x:c r="DF568" s="22" t="n">
        <x:f>MAX(0,MIN('Activities'!L568,636)-MAX('Activities'!K568,630))</x:f>
        <x:v>0</x:v>
      </x:c>
    </x:row>
    <x:row r="569" ht="23" customHeight="1">
      <x:c r="A569" s="1" t="str">
        <x:v>T5-L05-R</x:v>
      </x:c>
      <x:c r="B569" s="1" t="str">
        <x:v>T5</x:v>
      </x:c>
      <x:c r="C569" s="1" t="str">
        <x:v>Column, wall, beam and slab reinforcement</x:v>
      </x:c>
      <x:c r="D569" s="1" t="str">
        <x:v>Rebar</x:v>
      </x:c>
      <x:c r="E569" s="23" t="n">
        <x:f>MAX(0,MIN('Activities'!L569,6)-MAX('Activities'!K569,0))</x:f>
        <x:v>0</x:v>
      </x:c>
      <x:c r="F569" s="23" t="n">
        <x:f>MAX(0,MIN('Activities'!L569,12)-MAX('Activities'!K569,6))</x:f>
        <x:v>0</x:v>
      </x:c>
      <x:c r="G569" s="23" t="n">
        <x:f>MAX(0,MIN('Activities'!L569,18)-MAX('Activities'!K569,12))</x:f>
        <x:v>0</x:v>
      </x:c>
      <x:c r="H569" s="23" t="n">
        <x:f>MAX(0,MIN('Activities'!L569,24)-MAX('Activities'!K569,18))</x:f>
        <x:v>0</x:v>
      </x:c>
      <x:c r="I569" s="23" t="n">
        <x:f>MAX(0,MIN('Activities'!L569,30)-MAX('Activities'!K569,24))</x:f>
        <x:v>0</x:v>
      </x:c>
      <x:c r="J569" s="23" t="n">
        <x:f>MAX(0,MIN('Activities'!L569,36)-MAX('Activities'!K569,30))</x:f>
        <x:v>0</x:v>
      </x:c>
      <x:c r="K569" s="23" t="n">
        <x:f>MAX(0,MIN('Activities'!L569,42)-MAX('Activities'!K569,36))</x:f>
        <x:v>0</x:v>
      </x:c>
      <x:c r="L569" s="23" t="n">
        <x:f>MAX(0,MIN('Activities'!L569,48)-MAX('Activities'!K569,42))</x:f>
        <x:v>0</x:v>
      </x:c>
      <x:c r="M569" s="23" t="n">
        <x:f>MAX(0,MIN('Activities'!L569,54)-MAX('Activities'!K569,48))</x:f>
        <x:v>0</x:v>
      </x:c>
      <x:c r="N569" s="23" t="n">
        <x:f>MAX(0,MIN('Activities'!L569,60)-MAX('Activities'!K569,54))</x:f>
        <x:v>0</x:v>
      </x:c>
      <x:c r="O569" s="23" t="n">
        <x:f>MAX(0,MIN('Activities'!L569,66)-MAX('Activities'!K569,60))</x:f>
        <x:v>0</x:v>
      </x:c>
      <x:c r="P569" s="23" t="n">
        <x:f>MAX(0,MIN('Activities'!L569,72)-MAX('Activities'!K569,66))</x:f>
        <x:v>0</x:v>
      </x:c>
      <x:c r="Q569" s="23" t="n">
        <x:f>MAX(0,MIN('Activities'!L569,78)-MAX('Activities'!K569,72))</x:f>
        <x:v>0</x:v>
      </x:c>
      <x:c r="R569" s="23" t="n">
        <x:f>MAX(0,MIN('Activities'!L569,84)-MAX('Activities'!K569,78))</x:f>
        <x:v>0</x:v>
      </x:c>
      <x:c r="S569" s="23" t="n">
        <x:f>MAX(0,MIN('Activities'!L569,90)-MAX('Activities'!K569,84))</x:f>
        <x:v>0</x:v>
      </x:c>
      <x:c r="T569" s="23" t="n">
        <x:f>MAX(0,MIN('Activities'!L569,96)-MAX('Activities'!K569,90))</x:f>
        <x:v>0</x:v>
      </x:c>
      <x:c r="U569" s="23" t="n">
        <x:f>MAX(0,MIN('Activities'!L569,102)-MAX('Activities'!K569,96))</x:f>
        <x:v>0</x:v>
      </x:c>
      <x:c r="V569" s="23" t="n">
        <x:f>MAX(0,MIN('Activities'!L569,108)-MAX('Activities'!K569,102))</x:f>
        <x:v>0</x:v>
      </x:c>
      <x:c r="W569" s="23" t="n">
        <x:f>MAX(0,MIN('Activities'!L569,114)-MAX('Activities'!K569,108))</x:f>
        <x:v>0</x:v>
      </x:c>
      <x:c r="X569" s="23" t="n">
        <x:f>MAX(0,MIN('Activities'!L569,120)-MAX('Activities'!K569,114))</x:f>
        <x:v>0</x:v>
      </x:c>
      <x:c r="Y569" s="23" t="n">
        <x:f>MAX(0,MIN('Activities'!L569,126)-MAX('Activities'!K569,120))</x:f>
        <x:v>0</x:v>
      </x:c>
      <x:c r="Z569" s="23" t="n">
        <x:f>MAX(0,MIN('Activities'!L569,132)-MAX('Activities'!K569,126))</x:f>
        <x:v>0</x:v>
      </x:c>
      <x:c r="AA569" s="23" t="n">
        <x:f>MAX(0,MIN('Activities'!L569,138)-MAX('Activities'!K569,132))</x:f>
        <x:v>0</x:v>
      </x:c>
      <x:c r="AB569" s="23" t="n">
        <x:f>MAX(0,MIN('Activities'!L569,144)-MAX('Activities'!K569,138))</x:f>
        <x:v>0</x:v>
      </x:c>
      <x:c r="AC569" s="23" t="n">
        <x:f>MAX(0,MIN('Activities'!L569,150)-MAX('Activities'!K569,144))</x:f>
        <x:v>0</x:v>
      </x:c>
      <x:c r="AD569" s="23" t="n">
        <x:f>MAX(0,MIN('Activities'!L569,156)-MAX('Activities'!K569,150))</x:f>
        <x:v>0</x:v>
      </x:c>
      <x:c r="AE569" s="23" t="n">
        <x:f>MAX(0,MIN('Activities'!L569,162)-MAX('Activities'!K569,156))</x:f>
        <x:v>0</x:v>
      </x:c>
      <x:c r="AF569" s="23" t="n">
        <x:f>MAX(0,MIN('Activities'!L569,168)-MAX('Activities'!K569,162))</x:f>
        <x:v>0</x:v>
      </x:c>
      <x:c r="AG569" s="23" t="n">
        <x:f>MAX(0,MIN('Activities'!L569,174)-MAX('Activities'!K569,168))</x:f>
        <x:v>0</x:v>
      </x:c>
      <x:c r="AH569" s="23" t="n">
        <x:f>MAX(0,MIN('Activities'!L569,180)-MAX('Activities'!K569,174))</x:f>
        <x:v>0</x:v>
      </x:c>
      <x:c r="AI569" s="23" t="n">
        <x:f>MAX(0,MIN('Activities'!L569,186)-MAX('Activities'!K569,180))</x:f>
        <x:v>0</x:v>
      </x:c>
      <x:c r="AJ569" s="23" t="n">
        <x:f>MAX(0,MIN('Activities'!L569,192)-MAX('Activities'!K569,186))</x:f>
        <x:v>0</x:v>
      </x:c>
      <x:c r="AK569" s="23" t="n">
        <x:f>MAX(0,MIN('Activities'!L569,198)-MAX('Activities'!K569,192))</x:f>
        <x:v>0</x:v>
      </x:c>
      <x:c r="AL569" s="23" t="n">
        <x:f>MAX(0,MIN('Activities'!L569,204)-MAX('Activities'!K569,198))</x:f>
        <x:v>0</x:v>
      </x:c>
      <x:c r="AM569" s="23" t="n">
        <x:f>MAX(0,MIN('Activities'!L569,210)-MAX('Activities'!K569,204))</x:f>
        <x:v>0</x:v>
      </x:c>
      <x:c r="AN569" s="23" t="n">
        <x:f>MAX(0,MIN('Activities'!L569,216)-MAX('Activities'!K569,210))</x:f>
        <x:v>0</x:v>
      </x:c>
      <x:c r="AO569" s="23" t="n">
        <x:f>MAX(0,MIN('Activities'!L569,222)-MAX('Activities'!K569,216))</x:f>
        <x:v>0</x:v>
      </x:c>
      <x:c r="AP569" s="23" t="n">
        <x:f>MAX(0,MIN('Activities'!L569,228)-MAX('Activities'!K569,222))</x:f>
        <x:v>0</x:v>
      </x:c>
      <x:c r="AQ569" s="23" t="n">
        <x:f>MAX(0,MIN('Activities'!L569,234)-MAX('Activities'!K569,228))</x:f>
        <x:v>0</x:v>
      </x:c>
      <x:c r="AR569" s="23" t="n">
        <x:f>MAX(0,MIN('Activities'!L569,240)-MAX('Activities'!K569,234))</x:f>
        <x:v>0</x:v>
      </x:c>
      <x:c r="AS569" s="23" t="n">
        <x:f>MAX(0,MIN('Activities'!L569,246)-MAX('Activities'!K569,240))</x:f>
        <x:v>0</x:v>
      </x:c>
      <x:c r="AT569" s="23" t="n">
        <x:f>MAX(0,MIN('Activities'!L569,252)-MAX('Activities'!K569,246))</x:f>
        <x:v>0</x:v>
      </x:c>
      <x:c r="AU569" s="23" t="n">
        <x:f>MAX(0,MIN('Activities'!L569,258)-MAX('Activities'!K569,252))</x:f>
        <x:v>0</x:v>
      </x:c>
      <x:c r="AV569" s="23" t="n">
        <x:f>MAX(0,MIN('Activities'!L569,264)-MAX('Activities'!K569,258))</x:f>
        <x:v>0</x:v>
      </x:c>
      <x:c r="AW569" s="23" t="n">
        <x:f>MAX(0,MIN('Activities'!L569,270)-MAX('Activities'!K569,264))</x:f>
        <x:v>0</x:v>
      </x:c>
      <x:c r="AX569" s="23" t="n">
        <x:f>MAX(0,MIN('Activities'!L569,276)-MAX('Activities'!K569,270))</x:f>
        <x:v>0</x:v>
      </x:c>
      <x:c r="AY569" s="23" t="n">
        <x:f>MAX(0,MIN('Activities'!L569,282)-MAX('Activities'!K569,276))</x:f>
        <x:v>4</x:v>
      </x:c>
      <x:c r="AZ569" s="23" t="n">
        <x:f>MAX(0,MIN('Activities'!L569,288)-MAX('Activities'!K569,282))</x:f>
        <x:v>1</x:v>
      </x:c>
      <x:c r="BA569" s="23" t="n">
        <x:f>MAX(0,MIN('Activities'!L569,294)-MAX('Activities'!K569,288))</x:f>
        <x:v>0</x:v>
      </x:c>
      <x:c r="BB569" s="23" t="n">
        <x:f>MAX(0,MIN('Activities'!L569,300)-MAX('Activities'!K569,294))</x:f>
        <x:v>0</x:v>
      </x:c>
      <x:c r="BC569" s="23" t="n">
        <x:f>MAX(0,MIN('Activities'!L569,306)-MAX('Activities'!K569,300))</x:f>
        <x:v>0</x:v>
      </x:c>
      <x:c r="BD569" s="23" t="n">
        <x:f>MAX(0,MIN('Activities'!L569,312)-MAX('Activities'!K569,306))</x:f>
        <x:v>0</x:v>
      </x:c>
      <x:c r="BE569" s="23" t="n">
        <x:f>MAX(0,MIN('Activities'!L569,318)-MAX('Activities'!K569,312))</x:f>
        <x:v>0</x:v>
      </x:c>
      <x:c r="BF569" s="23" t="n">
        <x:f>MAX(0,MIN('Activities'!L569,324)-MAX('Activities'!K569,318))</x:f>
        <x:v>0</x:v>
      </x:c>
      <x:c r="BG569" s="23" t="n">
        <x:f>MAX(0,MIN('Activities'!L569,330)-MAX('Activities'!K569,324))</x:f>
        <x:v>0</x:v>
      </x:c>
      <x:c r="BH569" s="23" t="n">
        <x:f>MAX(0,MIN('Activities'!L569,336)-MAX('Activities'!K569,330))</x:f>
        <x:v>0</x:v>
      </x:c>
      <x:c r="BI569" s="23" t="n">
        <x:f>MAX(0,MIN('Activities'!L569,342)-MAX('Activities'!K569,336))</x:f>
        <x:v>0</x:v>
      </x:c>
      <x:c r="BJ569" s="23" t="n">
        <x:f>MAX(0,MIN('Activities'!L569,348)-MAX('Activities'!K569,342))</x:f>
        <x:v>0</x:v>
      </x:c>
      <x:c r="BK569" s="23" t="n">
        <x:f>MAX(0,MIN('Activities'!L569,354)-MAX('Activities'!K569,348))</x:f>
        <x:v>0</x:v>
      </x:c>
      <x:c r="BL569" s="23" t="n">
        <x:f>MAX(0,MIN('Activities'!L569,360)-MAX('Activities'!K569,354))</x:f>
        <x:v>0</x:v>
      </x:c>
      <x:c r="BM569" s="23" t="n">
        <x:f>MAX(0,MIN('Activities'!L569,366)-MAX('Activities'!K569,360))</x:f>
        <x:v>0</x:v>
      </x:c>
      <x:c r="BN569" s="23" t="n">
        <x:f>MAX(0,MIN('Activities'!L569,372)-MAX('Activities'!K569,366))</x:f>
        <x:v>0</x:v>
      </x:c>
      <x:c r="BO569" s="23" t="n">
        <x:f>MAX(0,MIN('Activities'!L569,378)-MAX('Activities'!K569,372))</x:f>
        <x:v>0</x:v>
      </x:c>
      <x:c r="BP569" s="23" t="n">
        <x:f>MAX(0,MIN('Activities'!L569,384)-MAX('Activities'!K569,378))</x:f>
        <x:v>0</x:v>
      </x:c>
      <x:c r="BQ569" s="23" t="n">
        <x:f>MAX(0,MIN('Activities'!L569,390)-MAX('Activities'!K569,384))</x:f>
        <x:v>0</x:v>
      </x:c>
      <x:c r="BR569" s="23" t="n">
        <x:f>MAX(0,MIN('Activities'!L569,396)-MAX('Activities'!K569,390))</x:f>
        <x:v>0</x:v>
      </x:c>
      <x:c r="BS569" s="23" t="n">
        <x:f>MAX(0,MIN('Activities'!L569,402)-MAX('Activities'!K569,396))</x:f>
        <x:v>0</x:v>
      </x:c>
      <x:c r="BT569" s="23" t="n">
        <x:f>MAX(0,MIN('Activities'!L569,408)-MAX('Activities'!K569,402))</x:f>
        <x:v>0</x:v>
      </x:c>
      <x:c r="BU569" s="23" t="n">
        <x:f>MAX(0,MIN('Activities'!L569,414)-MAX('Activities'!K569,408))</x:f>
        <x:v>0</x:v>
      </x:c>
      <x:c r="BV569" s="23" t="n">
        <x:f>MAX(0,MIN('Activities'!L569,420)-MAX('Activities'!K569,414))</x:f>
        <x:v>0</x:v>
      </x:c>
      <x:c r="BW569" s="23" t="n">
        <x:f>MAX(0,MIN('Activities'!L569,426)-MAX('Activities'!K569,420))</x:f>
        <x:v>0</x:v>
      </x:c>
      <x:c r="BX569" s="23" t="n">
        <x:f>MAX(0,MIN('Activities'!L569,432)-MAX('Activities'!K569,426))</x:f>
        <x:v>0</x:v>
      </x:c>
      <x:c r="BY569" s="23" t="n">
        <x:f>MAX(0,MIN('Activities'!L569,438)-MAX('Activities'!K569,432))</x:f>
        <x:v>0</x:v>
      </x:c>
      <x:c r="BZ569" s="23" t="n">
        <x:f>MAX(0,MIN('Activities'!L569,444)-MAX('Activities'!K569,438))</x:f>
        <x:v>0</x:v>
      </x:c>
      <x:c r="CA569" s="23" t="n">
        <x:f>MAX(0,MIN('Activities'!L569,450)-MAX('Activities'!K569,444))</x:f>
        <x:v>0</x:v>
      </x:c>
      <x:c r="CB569" s="23" t="n">
        <x:f>MAX(0,MIN('Activities'!L569,456)-MAX('Activities'!K569,450))</x:f>
        <x:v>0</x:v>
      </x:c>
      <x:c r="CC569" s="23" t="n">
        <x:f>MAX(0,MIN('Activities'!L569,462)-MAX('Activities'!K569,456))</x:f>
        <x:v>0</x:v>
      </x:c>
      <x:c r="CD569" s="23" t="n">
        <x:f>MAX(0,MIN('Activities'!L569,468)-MAX('Activities'!K569,462))</x:f>
        <x:v>0</x:v>
      </x:c>
      <x:c r="CE569" s="23" t="n">
        <x:f>MAX(0,MIN('Activities'!L569,474)-MAX('Activities'!K569,468))</x:f>
        <x:v>0</x:v>
      </x:c>
      <x:c r="CF569" s="23" t="n">
        <x:f>MAX(0,MIN('Activities'!L569,480)-MAX('Activities'!K569,474))</x:f>
        <x:v>0</x:v>
      </x:c>
      <x:c r="CG569" s="23" t="n">
        <x:f>MAX(0,MIN('Activities'!L569,486)-MAX('Activities'!K569,480))</x:f>
        <x:v>0</x:v>
      </x:c>
      <x:c r="CH569" s="23" t="n">
        <x:f>MAX(0,MIN('Activities'!L569,492)-MAX('Activities'!K569,486))</x:f>
        <x:v>0</x:v>
      </x:c>
      <x:c r="CI569" s="23" t="n">
        <x:f>MAX(0,MIN('Activities'!L569,498)-MAX('Activities'!K569,492))</x:f>
        <x:v>0</x:v>
      </x:c>
      <x:c r="CJ569" s="23" t="n">
        <x:f>MAX(0,MIN('Activities'!L569,504)-MAX('Activities'!K569,498))</x:f>
        <x:v>0</x:v>
      </x:c>
      <x:c r="CK569" s="23" t="n">
        <x:f>MAX(0,MIN('Activities'!L569,510)-MAX('Activities'!K569,504))</x:f>
        <x:v>0</x:v>
      </x:c>
      <x:c r="CL569" s="23" t="n">
        <x:f>MAX(0,MIN('Activities'!L569,516)-MAX('Activities'!K569,510))</x:f>
        <x:v>0</x:v>
      </x:c>
      <x:c r="CM569" s="23" t="n">
        <x:f>MAX(0,MIN('Activities'!L569,522)-MAX('Activities'!K569,516))</x:f>
        <x:v>0</x:v>
      </x:c>
      <x:c r="CN569" s="23" t="n">
        <x:f>MAX(0,MIN('Activities'!L569,528)-MAX('Activities'!K569,522))</x:f>
        <x:v>0</x:v>
      </x:c>
      <x:c r="CO569" s="23" t="n">
        <x:f>MAX(0,MIN('Activities'!L569,534)-MAX('Activities'!K569,528))</x:f>
        <x:v>0</x:v>
      </x:c>
      <x:c r="CP569" s="23" t="n">
        <x:f>MAX(0,MIN('Activities'!L569,540)-MAX('Activities'!K569,534))</x:f>
        <x:v>0</x:v>
      </x:c>
      <x:c r="CQ569" s="23" t="n">
        <x:f>MAX(0,MIN('Activities'!L569,546)-MAX('Activities'!K569,540))</x:f>
        <x:v>0</x:v>
      </x:c>
      <x:c r="CR569" s="23" t="n">
        <x:f>MAX(0,MIN('Activities'!L569,552)-MAX('Activities'!K569,546))</x:f>
        <x:v>0</x:v>
      </x:c>
      <x:c r="CS569" s="23" t="n">
        <x:f>MAX(0,MIN('Activities'!L569,558)-MAX('Activities'!K569,552))</x:f>
        <x:v>0</x:v>
      </x:c>
      <x:c r="CT569" s="23" t="n">
        <x:f>MAX(0,MIN('Activities'!L569,564)-MAX('Activities'!K569,558))</x:f>
        <x:v>0</x:v>
      </x:c>
      <x:c r="CU569" s="23" t="n">
        <x:f>MAX(0,MIN('Activities'!L569,570)-MAX('Activities'!K569,564))</x:f>
        <x:v>0</x:v>
      </x:c>
      <x:c r="CV569" s="23" t="n">
        <x:f>MAX(0,MIN('Activities'!L569,576)-MAX('Activities'!K569,570))</x:f>
        <x:v>0</x:v>
      </x:c>
      <x:c r="CW569" s="23" t="n">
        <x:f>MAX(0,MIN('Activities'!L569,582)-MAX('Activities'!K569,576))</x:f>
        <x:v>0</x:v>
      </x:c>
      <x:c r="CX569" s="23" t="n">
        <x:f>MAX(0,MIN('Activities'!L569,588)-MAX('Activities'!K569,582))</x:f>
        <x:v>0</x:v>
      </x:c>
      <x:c r="CY569" s="23" t="n">
        <x:f>MAX(0,MIN('Activities'!L569,594)-MAX('Activities'!K569,588))</x:f>
        <x:v>0</x:v>
      </x:c>
      <x:c r="CZ569" s="23" t="n">
        <x:f>MAX(0,MIN('Activities'!L569,600)-MAX('Activities'!K569,594))</x:f>
        <x:v>0</x:v>
      </x:c>
      <x:c r="DA569" s="23" t="n">
        <x:f>MAX(0,MIN('Activities'!L569,606)-MAX('Activities'!K569,600))</x:f>
        <x:v>0</x:v>
      </x:c>
      <x:c r="DB569" s="23" t="n">
        <x:f>MAX(0,MIN('Activities'!L569,612)-MAX('Activities'!K569,606))</x:f>
        <x:v>0</x:v>
      </x:c>
      <x:c r="DC569" s="23" t="n">
        <x:f>MAX(0,MIN('Activities'!L569,618)-MAX('Activities'!K569,612))</x:f>
        <x:v>0</x:v>
      </x:c>
      <x:c r="DD569" s="23" t="n">
        <x:f>MAX(0,MIN('Activities'!L569,624)-MAX('Activities'!K569,618))</x:f>
        <x:v>0</x:v>
      </x:c>
      <x:c r="DE569" s="23" t="n">
        <x:f>MAX(0,MIN('Activities'!L569,630)-MAX('Activities'!K569,624))</x:f>
        <x:v>0</x:v>
      </x:c>
      <x:c r="DF569" s="23" t="n">
        <x:f>MAX(0,MIN('Activities'!L569,636)-MAX('Activities'!K569,630))</x:f>
        <x:v>0</x:v>
      </x:c>
    </x:row>
    <x:row r="570" ht="23" customHeight="1">
      <x:c r="A570" s="6" t="str">
        <x:v>T5-L05-C</x:v>
      </x:c>
      <x:c r="B570" s="6" t="str">
        <x:v>T5</x:v>
      </x:c>
      <x:c r="C570" s="6" t="str">
        <x:v>Concrete placement and finishing</x:v>
      </x:c>
      <x:c r="D570" s="6" t="str">
        <x:v>Concrete</x:v>
      </x:c>
      <x:c r="E570" s="22" t="n">
        <x:f>MAX(0,MIN('Activities'!L570,6)-MAX('Activities'!K570,0))</x:f>
        <x:v>0</x:v>
      </x:c>
      <x:c r="F570" s="22" t="n">
        <x:f>MAX(0,MIN('Activities'!L570,12)-MAX('Activities'!K570,6))</x:f>
        <x:v>0</x:v>
      </x:c>
      <x:c r="G570" s="22" t="n">
        <x:f>MAX(0,MIN('Activities'!L570,18)-MAX('Activities'!K570,12))</x:f>
        <x:v>0</x:v>
      </x:c>
      <x:c r="H570" s="22" t="n">
        <x:f>MAX(0,MIN('Activities'!L570,24)-MAX('Activities'!K570,18))</x:f>
        <x:v>0</x:v>
      </x:c>
      <x:c r="I570" s="22" t="n">
        <x:f>MAX(0,MIN('Activities'!L570,30)-MAX('Activities'!K570,24))</x:f>
        <x:v>0</x:v>
      </x:c>
      <x:c r="J570" s="22" t="n">
        <x:f>MAX(0,MIN('Activities'!L570,36)-MAX('Activities'!K570,30))</x:f>
        <x:v>0</x:v>
      </x:c>
      <x:c r="K570" s="22" t="n">
        <x:f>MAX(0,MIN('Activities'!L570,42)-MAX('Activities'!K570,36))</x:f>
        <x:v>0</x:v>
      </x:c>
      <x:c r="L570" s="22" t="n">
        <x:f>MAX(0,MIN('Activities'!L570,48)-MAX('Activities'!K570,42))</x:f>
        <x:v>0</x:v>
      </x:c>
      <x:c r="M570" s="22" t="n">
        <x:f>MAX(0,MIN('Activities'!L570,54)-MAX('Activities'!K570,48))</x:f>
        <x:v>0</x:v>
      </x:c>
      <x:c r="N570" s="22" t="n">
        <x:f>MAX(0,MIN('Activities'!L570,60)-MAX('Activities'!K570,54))</x:f>
        <x:v>0</x:v>
      </x:c>
      <x:c r="O570" s="22" t="n">
        <x:f>MAX(0,MIN('Activities'!L570,66)-MAX('Activities'!K570,60))</x:f>
        <x:v>0</x:v>
      </x:c>
      <x:c r="P570" s="22" t="n">
        <x:f>MAX(0,MIN('Activities'!L570,72)-MAX('Activities'!K570,66))</x:f>
        <x:v>0</x:v>
      </x:c>
      <x:c r="Q570" s="22" t="n">
        <x:f>MAX(0,MIN('Activities'!L570,78)-MAX('Activities'!K570,72))</x:f>
        <x:v>0</x:v>
      </x:c>
      <x:c r="R570" s="22" t="n">
        <x:f>MAX(0,MIN('Activities'!L570,84)-MAX('Activities'!K570,78))</x:f>
        <x:v>0</x:v>
      </x:c>
      <x:c r="S570" s="22" t="n">
        <x:f>MAX(0,MIN('Activities'!L570,90)-MAX('Activities'!K570,84))</x:f>
        <x:v>0</x:v>
      </x:c>
      <x:c r="T570" s="22" t="n">
        <x:f>MAX(0,MIN('Activities'!L570,96)-MAX('Activities'!K570,90))</x:f>
        <x:v>0</x:v>
      </x:c>
      <x:c r="U570" s="22" t="n">
        <x:f>MAX(0,MIN('Activities'!L570,102)-MAX('Activities'!K570,96))</x:f>
        <x:v>0</x:v>
      </x:c>
      <x:c r="V570" s="22" t="n">
        <x:f>MAX(0,MIN('Activities'!L570,108)-MAX('Activities'!K570,102))</x:f>
        <x:v>0</x:v>
      </x:c>
      <x:c r="W570" s="22" t="n">
        <x:f>MAX(0,MIN('Activities'!L570,114)-MAX('Activities'!K570,108))</x:f>
        <x:v>0</x:v>
      </x:c>
      <x:c r="X570" s="22" t="n">
        <x:f>MAX(0,MIN('Activities'!L570,120)-MAX('Activities'!K570,114))</x:f>
        <x:v>0</x:v>
      </x:c>
      <x:c r="Y570" s="22" t="n">
        <x:f>MAX(0,MIN('Activities'!L570,126)-MAX('Activities'!K570,120))</x:f>
        <x:v>0</x:v>
      </x:c>
      <x:c r="Z570" s="22" t="n">
        <x:f>MAX(0,MIN('Activities'!L570,132)-MAX('Activities'!K570,126))</x:f>
        <x:v>0</x:v>
      </x:c>
      <x:c r="AA570" s="22" t="n">
        <x:f>MAX(0,MIN('Activities'!L570,138)-MAX('Activities'!K570,132))</x:f>
        <x:v>0</x:v>
      </x:c>
      <x:c r="AB570" s="22" t="n">
        <x:f>MAX(0,MIN('Activities'!L570,144)-MAX('Activities'!K570,138))</x:f>
        <x:v>0</x:v>
      </x:c>
      <x:c r="AC570" s="22" t="n">
        <x:f>MAX(0,MIN('Activities'!L570,150)-MAX('Activities'!K570,144))</x:f>
        <x:v>0</x:v>
      </x:c>
      <x:c r="AD570" s="22" t="n">
        <x:f>MAX(0,MIN('Activities'!L570,156)-MAX('Activities'!K570,150))</x:f>
        <x:v>0</x:v>
      </x:c>
      <x:c r="AE570" s="22" t="n">
        <x:f>MAX(0,MIN('Activities'!L570,162)-MAX('Activities'!K570,156))</x:f>
        <x:v>0</x:v>
      </x:c>
      <x:c r="AF570" s="22" t="n">
        <x:f>MAX(0,MIN('Activities'!L570,168)-MAX('Activities'!K570,162))</x:f>
        <x:v>0</x:v>
      </x:c>
      <x:c r="AG570" s="22" t="n">
        <x:f>MAX(0,MIN('Activities'!L570,174)-MAX('Activities'!K570,168))</x:f>
        <x:v>0</x:v>
      </x:c>
      <x:c r="AH570" s="22" t="n">
        <x:f>MAX(0,MIN('Activities'!L570,180)-MAX('Activities'!K570,174))</x:f>
        <x:v>0</x:v>
      </x:c>
      <x:c r="AI570" s="22" t="n">
        <x:f>MAX(0,MIN('Activities'!L570,186)-MAX('Activities'!K570,180))</x:f>
        <x:v>0</x:v>
      </x:c>
      <x:c r="AJ570" s="22" t="n">
        <x:f>MAX(0,MIN('Activities'!L570,192)-MAX('Activities'!K570,186))</x:f>
        <x:v>0</x:v>
      </x:c>
      <x:c r="AK570" s="22" t="n">
        <x:f>MAX(0,MIN('Activities'!L570,198)-MAX('Activities'!K570,192))</x:f>
        <x:v>0</x:v>
      </x:c>
      <x:c r="AL570" s="22" t="n">
        <x:f>MAX(0,MIN('Activities'!L570,204)-MAX('Activities'!K570,198))</x:f>
        <x:v>0</x:v>
      </x:c>
      <x:c r="AM570" s="22" t="n">
        <x:f>MAX(0,MIN('Activities'!L570,210)-MAX('Activities'!K570,204))</x:f>
        <x:v>0</x:v>
      </x:c>
      <x:c r="AN570" s="22" t="n">
        <x:f>MAX(0,MIN('Activities'!L570,216)-MAX('Activities'!K570,210))</x:f>
        <x:v>0</x:v>
      </x:c>
      <x:c r="AO570" s="22" t="n">
        <x:f>MAX(0,MIN('Activities'!L570,222)-MAX('Activities'!K570,216))</x:f>
        <x:v>0</x:v>
      </x:c>
      <x:c r="AP570" s="22" t="n">
        <x:f>MAX(0,MIN('Activities'!L570,228)-MAX('Activities'!K570,222))</x:f>
        <x:v>0</x:v>
      </x:c>
      <x:c r="AQ570" s="22" t="n">
        <x:f>MAX(0,MIN('Activities'!L570,234)-MAX('Activities'!K570,228))</x:f>
        <x:v>0</x:v>
      </x:c>
      <x:c r="AR570" s="22" t="n">
        <x:f>MAX(0,MIN('Activities'!L570,240)-MAX('Activities'!K570,234))</x:f>
        <x:v>0</x:v>
      </x:c>
      <x:c r="AS570" s="22" t="n">
        <x:f>MAX(0,MIN('Activities'!L570,246)-MAX('Activities'!K570,240))</x:f>
        <x:v>0</x:v>
      </x:c>
      <x:c r="AT570" s="22" t="n">
        <x:f>MAX(0,MIN('Activities'!L570,252)-MAX('Activities'!K570,246))</x:f>
        <x:v>0</x:v>
      </x:c>
      <x:c r="AU570" s="22" t="n">
        <x:f>MAX(0,MIN('Activities'!L570,258)-MAX('Activities'!K570,252))</x:f>
        <x:v>0</x:v>
      </x:c>
      <x:c r="AV570" s="22" t="n">
        <x:f>MAX(0,MIN('Activities'!L570,264)-MAX('Activities'!K570,258))</x:f>
        <x:v>0</x:v>
      </x:c>
      <x:c r="AW570" s="22" t="n">
        <x:f>MAX(0,MIN('Activities'!L570,270)-MAX('Activities'!K570,264))</x:f>
        <x:v>0</x:v>
      </x:c>
      <x:c r="AX570" s="22" t="n">
        <x:f>MAX(0,MIN('Activities'!L570,276)-MAX('Activities'!K570,270))</x:f>
        <x:v>0</x:v>
      </x:c>
      <x:c r="AY570" s="22" t="n">
        <x:f>MAX(0,MIN('Activities'!L570,282)-MAX('Activities'!K570,276))</x:f>
        <x:v>0</x:v>
      </x:c>
      <x:c r="AZ570" s="22" t="n">
        <x:f>MAX(0,MIN('Activities'!L570,288)-MAX('Activities'!K570,282))</x:f>
        <x:v>2</x:v>
      </x:c>
      <x:c r="BA570" s="22" t="n">
        <x:f>MAX(0,MIN('Activities'!L570,294)-MAX('Activities'!K570,288))</x:f>
        <x:v>0</x:v>
      </x:c>
      <x:c r="BB570" s="22" t="n">
        <x:f>MAX(0,MIN('Activities'!L570,300)-MAX('Activities'!K570,294))</x:f>
        <x:v>0</x:v>
      </x:c>
      <x:c r="BC570" s="22" t="n">
        <x:f>MAX(0,MIN('Activities'!L570,306)-MAX('Activities'!K570,300))</x:f>
        <x:v>0</x:v>
      </x:c>
      <x:c r="BD570" s="22" t="n">
        <x:f>MAX(0,MIN('Activities'!L570,312)-MAX('Activities'!K570,306))</x:f>
        <x:v>0</x:v>
      </x:c>
      <x:c r="BE570" s="22" t="n">
        <x:f>MAX(0,MIN('Activities'!L570,318)-MAX('Activities'!K570,312))</x:f>
        <x:v>0</x:v>
      </x:c>
      <x:c r="BF570" s="22" t="n">
        <x:f>MAX(0,MIN('Activities'!L570,324)-MAX('Activities'!K570,318))</x:f>
        <x:v>0</x:v>
      </x:c>
      <x:c r="BG570" s="22" t="n">
        <x:f>MAX(0,MIN('Activities'!L570,330)-MAX('Activities'!K570,324))</x:f>
        <x:v>0</x:v>
      </x:c>
      <x:c r="BH570" s="22" t="n">
        <x:f>MAX(0,MIN('Activities'!L570,336)-MAX('Activities'!K570,330))</x:f>
        <x:v>0</x:v>
      </x:c>
      <x:c r="BI570" s="22" t="n">
        <x:f>MAX(0,MIN('Activities'!L570,342)-MAX('Activities'!K570,336))</x:f>
        <x:v>0</x:v>
      </x:c>
      <x:c r="BJ570" s="22" t="n">
        <x:f>MAX(0,MIN('Activities'!L570,348)-MAX('Activities'!K570,342))</x:f>
        <x:v>0</x:v>
      </x:c>
      <x:c r="BK570" s="22" t="n">
        <x:f>MAX(0,MIN('Activities'!L570,354)-MAX('Activities'!K570,348))</x:f>
        <x:v>0</x:v>
      </x:c>
      <x:c r="BL570" s="22" t="n">
        <x:f>MAX(0,MIN('Activities'!L570,360)-MAX('Activities'!K570,354))</x:f>
        <x:v>0</x:v>
      </x:c>
      <x:c r="BM570" s="22" t="n">
        <x:f>MAX(0,MIN('Activities'!L570,366)-MAX('Activities'!K570,360))</x:f>
        <x:v>0</x:v>
      </x:c>
      <x:c r="BN570" s="22" t="n">
        <x:f>MAX(0,MIN('Activities'!L570,372)-MAX('Activities'!K570,366))</x:f>
        <x:v>0</x:v>
      </x:c>
      <x:c r="BO570" s="22" t="n">
        <x:f>MAX(0,MIN('Activities'!L570,378)-MAX('Activities'!K570,372))</x:f>
        <x:v>0</x:v>
      </x:c>
      <x:c r="BP570" s="22" t="n">
        <x:f>MAX(0,MIN('Activities'!L570,384)-MAX('Activities'!K570,378))</x:f>
        <x:v>0</x:v>
      </x:c>
      <x:c r="BQ570" s="22" t="n">
        <x:f>MAX(0,MIN('Activities'!L570,390)-MAX('Activities'!K570,384))</x:f>
        <x:v>0</x:v>
      </x:c>
      <x:c r="BR570" s="22" t="n">
        <x:f>MAX(0,MIN('Activities'!L570,396)-MAX('Activities'!K570,390))</x:f>
        <x:v>0</x:v>
      </x:c>
      <x:c r="BS570" s="22" t="n">
        <x:f>MAX(0,MIN('Activities'!L570,402)-MAX('Activities'!K570,396))</x:f>
        <x:v>0</x:v>
      </x:c>
      <x:c r="BT570" s="22" t="n">
        <x:f>MAX(0,MIN('Activities'!L570,408)-MAX('Activities'!K570,402))</x:f>
        <x:v>0</x:v>
      </x:c>
      <x:c r="BU570" s="22" t="n">
        <x:f>MAX(0,MIN('Activities'!L570,414)-MAX('Activities'!K570,408))</x:f>
        <x:v>0</x:v>
      </x:c>
      <x:c r="BV570" s="22" t="n">
        <x:f>MAX(0,MIN('Activities'!L570,420)-MAX('Activities'!K570,414))</x:f>
        <x:v>0</x:v>
      </x:c>
      <x:c r="BW570" s="22" t="n">
        <x:f>MAX(0,MIN('Activities'!L570,426)-MAX('Activities'!K570,420))</x:f>
        <x:v>0</x:v>
      </x:c>
      <x:c r="BX570" s="22" t="n">
        <x:f>MAX(0,MIN('Activities'!L570,432)-MAX('Activities'!K570,426))</x:f>
        <x:v>0</x:v>
      </x:c>
      <x:c r="BY570" s="22" t="n">
        <x:f>MAX(0,MIN('Activities'!L570,438)-MAX('Activities'!K570,432))</x:f>
        <x:v>0</x:v>
      </x:c>
      <x:c r="BZ570" s="22" t="n">
        <x:f>MAX(0,MIN('Activities'!L570,444)-MAX('Activities'!K570,438))</x:f>
        <x:v>0</x:v>
      </x:c>
      <x:c r="CA570" s="22" t="n">
        <x:f>MAX(0,MIN('Activities'!L570,450)-MAX('Activities'!K570,444))</x:f>
        <x:v>0</x:v>
      </x:c>
      <x:c r="CB570" s="22" t="n">
        <x:f>MAX(0,MIN('Activities'!L570,456)-MAX('Activities'!K570,450))</x:f>
        <x:v>0</x:v>
      </x:c>
      <x:c r="CC570" s="22" t="n">
        <x:f>MAX(0,MIN('Activities'!L570,462)-MAX('Activities'!K570,456))</x:f>
        <x:v>0</x:v>
      </x:c>
      <x:c r="CD570" s="22" t="n">
        <x:f>MAX(0,MIN('Activities'!L570,468)-MAX('Activities'!K570,462))</x:f>
        <x:v>0</x:v>
      </x:c>
      <x:c r="CE570" s="22" t="n">
        <x:f>MAX(0,MIN('Activities'!L570,474)-MAX('Activities'!K570,468))</x:f>
        <x:v>0</x:v>
      </x:c>
      <x:c r="CF570" s="22" t="n">
        <x:f>MAX(0,MIN('Activities'!L570,480)-MAX('Activities'!K570,474))</x:f>
        <x:v>0</x:v>
      </x:c>
      <x:c r="CG570" s="22" t="n">
        <x:f>MAX(0,MIN('Activities'!L570,486)-MAX('Activities'!K570,480))</x:f>
        <x:v>0</x:v>
      </x:c>
      <x:c r="CH570" s="22" t="n">
        <x:f>MAX(0,MIN('Activities'!L570,492)-MAX('Activities'!K570,486))</x:f>
        <x:v>0</x:v>
      </x:c>
      <x:c r="CI570" s="22" t="n">
        <x:f>MAX(0,MIN('Activities'!L570,498)-MAX('Activities'!K570,492))</x:f>
        <x:v>0</x:v>
      </x:c>
      <x:c r="CJ570" s="22" t="n">
        <x:f>MAX(0,MIN('Activities'!L570,504)-MAX('Activities'!K570,498))</x:f>
        <x:v>0</x:v>
      </x:c>
      <x:c r="CK570" s="22" t="n">
        <x:f>MAX(0,MIN('Activities'!L570,510)-MAX('Activities'!K570,504))</x:f>
        <x:v>0</x:v>
      </x:c>
      <x:c r="CL570" s="22" t="n">
        <x:f>MAX(0,MIN('Activities'!L570,516)-MAX('Activities'!K570,510))</x:f>
        <x:v>0</x:v>
      </x:c>
      <x:c r="CM570" s="22" t="n">
        <x:f>MAX(0,MIN('Activities'!L570,522)-MAX('Activities'!K570,516))</x:f>
        <x:v>0</x:v>
      </x:c>
      <x:c r="CN570" s="22" t="n">
        <x:f>MAX(0,MIN('Activities'!L570,528)-MAX('Activities'!K570,522))</x:f>
        <x:v>0</x:v>
      </x:c>
      <x:c r="CO570" s="22" t="n">
        <x:f>MAX(0,MIN('Activities'!L570,534)-MAX('Activities'!K570,528))</x:f>
        <x:v>0</x:v>
      </x:c>
      <x:c r="CP570" s="22" t="n">
        <x:f>MAX(0,MIN('Activities'!L570,540)-MAX('Activities'!K570,534))</x:f>
        <x:v>0</x:v>
      </x:c>
      <x:c r="CQ570" s="22" t="n">
        <x:f>MAX(0,MIN('Activities'!L570,546)-MAX('Activities'!K570,540))</x:f>
        <x:v>0</x:v>
      </x:c>
      <x:c r="CR570" s="22" t="n">
        <x:f>MAX(0,MIN('Activities'!L570,552)-MAX('Activities'!K570,546))</x:f>
        <x:v>0</x:v>
      </x:c>
      <x:c r="CS570" s="22" t="n">
        <x:f>MAX(0,MIN('Activities'!L570,558)-MAX('Activities'!K570,552))</x:f>
        <x:v>0</x:v>
      </x:c>
      <x:c r="CT570" s="22" t="n">
        <x:f>MAX(0,MIN('Activities'!L570,564)-MAX('Activities'!K570,558))</x:f>
        <x:v>0</x:v>
      </x:c>
      <x:c r="CU570" s="22" t="n">
        <x:f>MAX(0,MIN('Activities'!L570,570)-MAX('Activities'!K570,564))</x:f>
        <x:v>0</x:v>
      </x:c>
      <x:c r="CV570" s="22" t="n">
        <x:f>MAX(0,MIN('Activities'!L570,576)-MAX('Activities'!K570,570))</x:f>
        <x:v>0</x:v>
      </x:c>
      <x:c r="CW570" s="22" t="n">
        <x:f>MAX(0,MIN('Activities'!L570,582)-MAX('Activities'!K570,576))</x:f>
        <x:v>0</x:v>
      </x:c>
      <x:c r="CX570" s="22" t="n">
        <x:f>MAX(0,MIN('Activities'!L570,588)-MAX('Activities'!K570,582))</x:f>
        <x:v>0</x:v>
      </x:c>
      <x:c r="CY570" s="22" t="n">
        <x:f>MAX(0,MIN('Activities'!L570,594)-MAX('Activities'!K570,588))</x:f>
        <x:v>0</x:v>
      </x:c>
      <x:c r="CZ570" s="22" t="n">
        <x:f>MAX(0,MIN('Activities'!L570,600)-MAX('Activities'!K570,594))</x:f>
        <x:v>0</x:v>
      </x:c>
      <x:c r="DA570" s="22" t="n">
        <x:f>MAX(0,MIN('Activities'!L570,606)-MAX('Activities'!K570,600))</x:f>
        <x:v>0</x:v>
      </x:c>
      <x:c r="DB570" s="22" t="n">
        <x:f>MAX(0,MIN('Activities'!L570,612)-MAX('Activities'!K570,606))</x:f>
        <x:v>0</x:v>
      </x:c>
      <x:c r="DC570" s="22" t="n">
        <x:f>MAX(0,MIN('Activities'!L570,618)-MAX('Activities'!K570,612))</x:f>
        <x:v>0</x:v>
      </x:c>
      <x:c r="DD570" s="22" t="n">
        <x:f>MAX(0,MIN('Activities'!L570,624)-MAX('Activities'!K570,618))</x:f>
        <x:v>0</x:v>
      </x:c>
      <x:c r="DE570" s="22" t="n">
        <x:f>MAX(0,MIN('Activities'!L570,630)-MAX('Activities'!K570,624))</x:f>
        <x:v>0</x:v>
      </x:c>
      <x:c r="DF570" s="22" t="n">
        <x:f>MAX(0,MIN('Activities'!L570,636)-MAX('Activities'!K570,630))</x:f>
        <x:v>0</x:v>
      </x:c>
    </x:row>
    <x:row r="571" ht="23" customHeight="1">
      <x:c r="A571" s="1" t="str">
        <x:v>T5-L05-H</x:v>
      </x:c>
      <x:c r="B571" s="1" t="str">
        <x:v>T5</x:v>
      </x:c>
      <x:c r="C571" s="1" t="str">
        <x:v>Curing and release hold point</x:v>
      </x:c>
      <x:c r="D571" s="1" t="str">
        <x:v>Site</x:v>
      </x:c>
      <x:c r="E571" s="23" t="n">
        <x:f>MAX(0,MIN('Activities'!L571,6)-MAX('Activities'!K571,0))</x:f>
        <x:v>0</x:v>
      </x:c>
      <x:c r="F571" s="23" t="n">
        <x:f>MAX(0,MIN('Activities'!L571,12)-MAX('Activities'!K571,6))</x:f>
        <x:v>0</x:v>
      </x:c>
      <x:c r="G571" s="23" t="n">
        <x:f>MAX(0,MIN('Activities'!L571,18)-MAX('Activities'!K571,12))</x:f>
        <x:v>0</x:v>
      </x:c>
      <x:c r="H571" s="23" t="n">
        <x:f>MAX(0,MIN('Activities'!L571,24)-MAX('Activities'!K571,18))</x:f>
        <x:v>0</x:v>
      </x:c>
      <x:c r="I571" s="23" t="n">
        <x:f>MAX(0,MIN('Activities'!L571,30)-MAX('Activities'!K571,24))</x:f>
        <x:v>0</x:v>
      </x:c>
      <x:c r="J571" s="23" t="n">
        <x:f>MAX(0,MIN('Activities'!L571,36)-MAX('Activities'!K571,30))</x:f>
        <x:v>0</x:v>
      </x:c>
      <x:c r="K571" s="23" t="n">
        <x:f>MAX(0,MIN('Activities'!L571,42)-MAX('Activities'!K571,36))</x:f>
        <x:v>0</x:v>
      </x:c>
      <x:c r="L571" s="23" t="n">
        <x:f>MAX(0,MIN('Activities'!L571,48)-MAX('Activities'!K571,42))</x:f>
        <x:v>0</x:v>
      </x:c>
      <x:c r="M571" s="23" t="n">
        <x:f>MAX(0,MIN('Activities'!L571,54)-MAX('Activities'!K571,48))</x:f>
        <x:v>0</x:v>
      </x:c>
      <x:c r="N571" s="23" t="n">
        <x:f>MAX(0,MIN('Activities'!L571,60)-MAX('Activities'!K571,54))</x:f>
        <x:v>0</x:v>
      </x:c>
      <x:c r="O571" s="23" t="n">
        <x:f>MAX(0,MIN('Activities'!L571,66)-MAX('Activities'!K571,60))</x:f>
        <x:v>0</x:v>
      </x:c>
      <x:c r="P571" s="23" t="n">
        <x:f>MAX(0,MIN('Activities'!L571,72)-MAX('Activities'!K571,66))</x:f>
        <x:v>0</x:v>
      </x:c>
      <x:c r="Q571" s="23" t="n">
        <x:f>MAX(0,MIN('Activities'!L571,78)-MAX('Activities'!K571,72))</x:f>
        <x:v>0</x:v>
      </x:c>
      <x:c r="R571" s="23" t="n">
        <x:f>MAX(0,MIN('Activities'!L571,84)-MAX('Activities'!K571,78))</x:f>
        <x:v>0</x:v>
      </x:c>
      <x:c r="S571" s="23" t="n">
        <x:f>MAX(0,MIN('Activities'!L571,90)-MAX('Activities'!K571,84))</x:f>
        <x:v>0</x:v>
      </x:c>
      <x:c r="T571" s="23" t="n">
        <x:f>MAX(0,MIN('Activities'!L571,96)-MAX('Activities'!K571,90))</x:f>
        <x:v>0</x:v>
      </x:c>
      <x:c r="U571" s="23" t="n">
        <x:f>MAX(0,MIN('Activities'!L571,102)-MAX('Activities'!K571,96))</x:f>
        <x:v>0</x:v>
      </x:c>
      <x:c r="V571" s="23" t="n">
        <x:f>MAX(0,MIN('Activities'!L571,108)-MAX('Activities'!K571,102))</x:f>
        <x:v>0</x:v>
      </x:c>
      <x:c r="W571" s="23" t="n">
        <x:f>MAX(0,MIN('Activities'!L571,114)-MAX('Activities'!K571,108))</x:f>
        <x:v>0</x:v>
      </x:c>
      <x:c r="X571" s="23" t="n">
        <x:f>MAX(0,MIN('Activities'!L571,120)-MAX('Activities'!K571,114))</x:f>
        <x:v>0</x:v>
      </x:c>
      <x:c r="Y571" s="23" t="n">
        <x:f>MAX(0,MIN('Activities'!L571,126)-MAX('Activities'!K571,120))</x:f>
        <x:v>0</x:v>
      </x:c>
      <x:c r="Z571" s="23" t="n">
        <x:f>MAX(0,MIN('Activities'!L571,132)-MAX('Activities'!K571,126))</x:f>
        <x:v>0</x:v>
      </x:c>
      <x:c r="AA571" s="23" t="n">
        <x:f>MAX(0,MIN('Activities'!L571,138)-MAX('Activities'!K571,132))</x:f>
        <x:v>0</x:v>
      </x:c>
      <x:c r="AB571" s="23" t="n">
        <x:f>MAX(0,MIN('Activities'!L571,144)-MAX('Activities'!K571,138))</x:f>
        <x:v>0</x:v>
      </x:c>
      <x:c r="AC571" s="23" t="n">
        <x:f>MAX(0,MIN('Activities'!L571,150)-MAX('Activities'!K571,144))</x:f>
        <x:v>0</x:v>
      </x:c>
      <x:c r="AD571" s="23" t="n">
        <x:f>MAX(0,MIN('Activities'!L571,156)-MAX('Activities'!K571,150))</x:f>
        <x:v>0</x:v>
      </x:c>
      <x:c r="AE571" s="23" t="n">
        <x:f>MAX(0,MIN('Activities'!L571,162)-MAX('Activities'!K571,156))</x:f>
        <x:v>0</x:v>
      </x:c>
      <x:c r="AF571" s="23" t="n">
        <x:f>MAX(0,MIN('Activities'!L571,168)-MAX('Activities'!K571,162))</x:f>
        <x:v>0</x:v>
      </x:c>
      <x:c r="AG571" s="23" t="n">
        <x:f>MAX(0,MIN('Activities'!L571,174)-MAX('Activities'!K571,168))</x:f>
        <x:v>0</x:v>
      </x:c>
      <x:c r="AH571" s="23" t="n">
        <x:f>MAX(0,MIN('Activities'!L571,180)-MAX('Activities'!K571,174))</x:f>
        <x:v>0</x:v>
      </x:c>
      <x:c r="AI571" s="23" t="n">
        <x:f>MAX(0,MIN('Activities'!L571,186)-MAX('Activities'!K571,180))</x:f>
        <x:v>0</x:v>
      </x:c>
      <x:c r="AJ571" s="23" t="n">
        <x:f>MAX(0,MIN('Activities'!L571,192)-MAX('Activities'!K571,186))</x:f>
        <x:v>0</x:v>
      </x:c>
      <x:c r="AK571" s="23" t="n">
        <x:f>MAX(0,MIN('Activities'!L571,198)-MAX('Activities'!K571,192))</x:f>
        <x:v>0</x:v>
      </x:c>
      <x:c r="AL571" s="23" t="n">
        <x:f>MAX(0,MIN('Activities'!L571,204)-MAX('Activities'!K571,198))</x:f>
        <x:v>0</x:v>
      </x:c>
      <x:c r="AM571" s="23" t="n">
        <x:f>MAX(0,MIN('Activities'!L571,210)-MAX('Activities'!K571,204))</x:f>
        <x:v>0</x:v>
      </x:c>
      <x:c r="AN571" s="23" t="n">
        <x:f>MAX(0,MIN('Activities'!L571,216)-MAX('Activities'!K571,210))</x:f>
        <x:v>0</x:v>
      </x:c>
      <x:c r="AO571" s="23" t="n">
        <x:f>MAX(0,MIN('Activities'!L571,222)-MAX('Activities'!K571,216))</x:f>
        <x:v>0</x:v>
      </x:c>
      <x:c r="AP571" s="23" t="n">
        <x:f>MAX(0,MIN('Activities'!L571,228)-MAX('Activities'!K571,222))</x:f>
        <x:v>0</x:v>
      </x:c>
      <x:c r="AQ571" s="23" t="n">
        <x:f>MAX(0,MIN('Activities'!L571,234)-MAX('Activities'!K571,228))</x:f>
        <x:v>0</x:v>
      </x:c>
      <x:c r="AR571" s="23" t="n">
        <x:f>MAX(0,MIN('Activities'!L571,240)-MAX('Activities'!K571,234))</x:f>
        <x:v>0</x:v>
      </x:c>
      <x:c r="AS571" s="23" t="n">
        <x:f>MAX(0,MIN('Activities'!L571,246)-MAX('Activities'!K571,240))</x:f>
        <x:v>0</x:v>
      </x:c>
      <x:c r="AT571" s="23" t="n">
        <x:f>MAX(0,MIN('Activities'!L571,252)-MAX('Activities'!K571,246))</x:f>
        <x:v>0</x:v>
      </x:c>
      <x:c r="AU571" s="23" t="n">
        <x:f>MAX(0,MIN('Activities'!L571,258)-MAX('Activities'!K571,252))</x:f>
        <x:v>0</x:v>
      </x:c>
      <x:c r="AV571" s="23" t="n">
        <x:f>MAX(0,MIN('Activities'!L571,264)-MAX('Activities'!K571,258))</x:f>
        <x:v>0</x:v>
      </x:c>
      <x:c r="AW571" s="23" t="n">
        <x:f>MAX(0,MIN('Activities'!L571,270)-MAX('Activities'!K571,264))</x:f>
        <x:v>0</x:v>
      </x:c>
      <x:c r="AX571" s="23" t="n">
        <x:f>MAX(0,MIN('Activities'!L571,276)-MAX('Activities'!K571,270))</x:f>
        <x:v>0</x:v>
      </x:c>
      <x:c r="AY571" s="23" t="n">
        <x:f>MAX(0,MIN('Activities'!L571,282)-MAX('Activities'!K571,276))</x:f>
        <x:v>0</x:v>
      </x:c>
      <x:c r="AZ571" s="23" t="n">
        <x:f>MAX(0,MIN('Activities'!L571,288)-MAX('Activities'!K571,282))</x:f>
        <x:v>3</x:v>
      </x:c>
      <x:c r="BA571" s="23" t="n">
        <x:f>MAX(0,MIN('Activities'!L571,294)-MAX('Activities'!K571,288))</x:f>
        <x:v>2</x:v>
      </x:c>
      <x:c r="BB571" s="23" t="n">
        <x:f>MAX(0,MIN('Activities'!L571,300)-MAX('Activities'!K571,294))</x:f>
        <x:v>0</x:v>
      </x:c>
      <x:c r="BC571" s="23" t="n">
        <x:f>MAX(0,MIN('Activities'!L571,306)-MAX('Activities'!K571,300))</x:f>
        <x:v>0</x:v>
      </x:c>
      <x:c r="BD571" s="23" t="n">
        <x:f>MAX(0,MIN('Activities'!L571,312)-MAX('Activities'!K571,306))</x:f>
        <x:v>0</x:v>
      </x:c>
      <x:c r="BE571" s="23" t="n">
        <x:f>MAX(0,MIN('Activities'!L571,318)-MAX('Activities'!K571,312))</x:f>
        <x:v>0</x:v>
      </x:c>
      <x:c r="BF571" s="23" t="n">
        <x:f>MAX(0,MIN('Activities'!L571,324)-MAX('Activities'!K571,318))</x:f>
        <x:v>0</x:v>
      </x:c>
      <x:c r="BG571" s="23" t="n">
        <x:f>MAX(0,MIN('Activities'!L571,330)-MAX('Activities'!K571,324))</x:f>
        <x:v>0</x:v>
      </x:c>
      <x:c r="BH571" s="23" t="n">
        <x:f>MAX(0,MIN('Activities'!L571,336)-MAX('Activities'!K571,330))</x:f>
        <x:v>0</x:v>
      </x:c>
      <x:c r="BI571" s="23" t="n">
        <x:f>MAX(0,MIN('Activities'!L571,342)-MAX('Activities'!K571,336))</x:f>
        <x:v>0</x:v>
      </x:c>
      <x:c r="BJ571" s="23" t="n">
        <x:f>MAX(0,MIN('Activities'!L571,348)-MAX('Activities'!K571,342))</x:f>
        <x:v>0</x:v>
      </x:c>
      <x:c r="BK571" s="23" t="n">
        <x:f>MAX(0,MIN('Activities'!L571,354)-MAX('Activities'!K571,348))</x:f>
        <x:v>0</x:v>
      </x:c>
      <x:c r="BL571" s="23" t="n">
        <x:f>MAX(0,MIN('Activities'!L571,360)-MAX('Activities'!K571,354))</x:f>
        <x:v>0</x:v>
      </x:c>
      <x:c r="BM571" s="23" t="n">
        <x:f>MAX(0,MIN('Activities'!L571,366)-MAX('Activities'!K571,360))</x:f>
        <x:v>0</x:v>
      </x:c>
      <x:c r="BN571" s="23" t="n">
        <x:f>MAX(0,MIN('Activities'!L571,372)-MAX('Activities'!K571,366))</x:f>
        <x:v>0</x:v>
      </x:c>
      <x:c r="BO571" s="23" t="n">
        <x:f>MAX(0,MIN('Activities'!L571,378)-MAX('Activities'!K571,372))</x:f>
        <x:v>0</x:v>
      </x:c>
      <x:c r="BP571" s="23" t="n">
        <x:f>MAX(0,MIN('Activities'!L571,384)-MAX('Activities'!K571,378))</x:f>
        <x:v>0</x:v>
      </x:c>
      <x:c r="BQ571" s="23" t="n">
        <x:f>MAX(0,MIN('Activities'!L571,390)-MAX('Activities'!K571,384))</x:f>
        <x:v>0</x:v>
      </x:c>
      <x:c r="BR571" s="23" t="n">
        <x:f>MAX(0,MIN('Activities'!L571,396)-MAX('Activities'!K571,390))</x:f>
        <x:v>0</x:v>
      </x:c>
      <x:c r="BS571" s="23" t="n">
        <x:f>MAX(0,MIN('Activities'!L571,402)-MAX('Activities'!K571,396))</x:f>
        <x:v>0</x:v>
      </x:c>
      <x:c r="BT571" s="23" t="n">
        <x:f>MAX(0,MIN('Activities'!L571,408)-MAX('Activities'!K571,402))</x:f>
        <x:v>0</x:v>
      </x:c>
      <x:c r="BU571" s="23" t="n">
        <x:f>MAX(0,MIN('Activities'!L571,414)-MAX('Activities'!K571,408))</x:f>
        <x:v>0</x:v>
      </x:c>
      <x:c r="BV571" s="23" t="n">
        <x:f>MAX(0,MIN('Activities'!L571,420)-MAX('Activities'!K571,414))</x:f>
        <x:v>0</x:v>
      </x:c>
      <x:c r="BW571" s="23" t="n">
        <x:f>MAX(0,MIN('Activities'!L571,426)-MAX('Activities'!K571,420))</x:f>
        <x:v>0</x:v>
      </x:c>
      <x:c r="BX571" s="23" t="n">
        <x:f>MAX(0,MIN('Activities'!L571,432)-MAX('Activities'!K571,426))</x:f>
        <x:v>0</x:v>
      </x:c>
      <x:c r="BY571" s="23" t="n">
        <x:f>MAX(0,MIN('Activities'!L571,438)-MAX('Activities'!K571,432))</x:f>
        <x:v>0</x:v>
      </x:c>
      <x:c r="BZ571" s="23" t="n">
        <x:f>MAX(0,MIN('Activities'!L571,444)-MAX('Activities'!K571,438))</x:f>
        <x:v>0</x:v>
      </x:c>
      <x:c r="CA571" s="23" t="n">
        <x:f>MAX(0,MIN('Activities'!L571,450)-MAX('Activities'!K571,444))</x:f>
        <x:v>0</x:v>
      </x:c>
      <x:c r="CB571" s="23" t="n">
        <x:f>MAX(0,MIN('Activities'!L571,456)-MAX('Activities'!K571,450))</x:f>
        <x:v>0</x:v>
      </x:c>
      <x:c r="CC571" s="23" t="n">
        <x:f>MAX(0,MIN('Activities'!L571,462)-MAX('Activities'!K571,456))</x:f>
        <x:v>0</x:v>
      </x:c>
      <x:c r="CD571" s="23" t="n">
        <x:f>MAX(0,MIN('Activities'!L571,468)-MAX('Activities'!K571,462))</x:f>
        <x:v>0</x:v>
      </x:c>
      <x:c r="CE571" s="23" t="n">
        <x:f>MAX(0,MIN('Activities'!L571,474)-MAX('Activities'!K571,468))</x:f>
        <x:v>0</x:v>
      </x:c>
      <x:c r="CF571" s="23" t="n">
        <x:f>MAX(0,MIN('Activities'!L571,480)-MAX('Activities'!K571,474))</x:f>
        <x:v>0</x:v>
      </x:c>
      <x:c r="CG571" s="23" t="n">
        <x:f>MAX(0,MIN('Activities'!L571,486)-MAX('Activities'!K571,480))</x:f>
        <x:v>0</x:v>
      </x:c>
      <x:c r="CH571" s="23" t="n">
        <x:f>MAX(0,MIN('Activities'!L571,492)-MAX('Activities'!K571,486))</x:f>
        <x:v>0</x:v>
      </x:c>
      <x:c r="CI571" s="23" t="n">
        <x:f>MAX(0,MIN('Activities'!L571,498)-MAX('Activities'!K571,492))</x:f>
        <x:v>0</x:v>
      </x:c>
      <x:c r="CJ571" s="23" t="n">
        <x:f>MAX(0,MIN('Activities'!L571,504)-MAX('Activities'!K571,498))</x:f>
        <x:v>0</x:v>
      </x:c>
      <x:c r="CK571" s="23" t="n">
        <x:f>MAX(0,MIN('Activities'!L571,510)-MAX('Activities'!K571,504))</x:f>
        <x:v>0</x:v>
      </x:c>
      <x:c r="CL571" s="23" t="n">
        <x:f>MAX(0,MIN('Activities'!L571,516)-MAX('Activities'!K571,510))</x:f>
        <x:v>0</x:v>
      </x:c>
      <x:c r="CM571" s="23" t="n">
        <x:f>MAX(0,MIN('Activities'!L571,522)-MAX('Activities'!K571,516))</x:f>
        <x:v>0</x:v>
      </x:c>
      <x:c r="CN571" s="23" t="n">
        <x:f>MAX(0,MIN('Activities'!L571,528)-MAX('Activities'!K571,522))</x:f>
        <x:v>0</x:v>
      </x:c>
      <x:c r="CO571" s="23" t="n">
        <x:f>MAX(0,MIN('Activities'!L571,534)-MAX('Activities'!K571,528))</x:f>
        <x:v>0</x:v>
      </x:c>
      <x:c r="CP571" s="23" t="n">
        <x:f>MAX(0,MIN('Activities'!L571,540)-MAX('Activities'!K571,534))</x:f>
        <x:v>0</x:v>
      </x:c>
      <x:c r="CQ571" s="23" t="n">
        <x:f>MAX(0,MIN('Activities'!L571,546)-MAX('Activities'!K571,540))</x:f>
        <x:v>0</x:v>
      </x:c>
      <x:c r="CR571" s="23" t="n">
        <x:f>MAX(0,MIN('Activities'!L571,552)-MAX('Activities'!K571,546))</x:f>
        <x:v>0</x:v>
      </x:c>
      <x:c r="CS571" s="23" t="n">
        <x:f>MAX(0,MIN('Activities'!L571,558)-MAX('Activities'!K571,552))</x:f>
        <x:v>0</x:v>
      </x:c>
      <x:c r="CT571" s="23" t="n">
        <x:f>MAX(0,MIN('Activities'!L571,564)-MAX('Activities'!K571,558))</x:f>
        <x:v>0</x:v>
      </x:c>
      <x:c r="CU571" s="23" t="n">
        <x:f>MAX(0,MIN('Activities'!L571,570)-MAX('Activities'!K571,564))</x:f>
        <x:v>0</x:v>
      </x:c>
      <x:c r="CV571" s="23" t="n">
        <x:f>MAX(0,MIN('Activities'!L571,576)-MAX('Activities'!K571,570))</x:f>
        <x:v>0</x:v>
      </x:c>
      <x:c r="CW571" s="23" t="n">
        <x:f>MAX(0,MIN('Activities'!L571,582)-MAX('Activities'!K571,576))</x:f>
        <x:v>0</x:v>
      </x:c>
      <x:c r="CX571" s="23" t="n">
        <x:f>MAX(0,MIN('Activities'!L571,588)-MAX('Activities'!K571,582))</x:f>
        <x:v>0</x:v>
      </x:c>
      <x:c r="CY571" s="23" t="n">
        <x:f>MAX(0,MIN('Activities'!L571,594)-MAX('Activities'!K571,588))</x:f>
        <x:v>0</x:v>
      </x:c>
      <x:c r="CZ571" s="23" t="n">
        <x:f>MAX(0,MIN('Activities'!L571,600)-MAX('Activities'!K571,594))</x:f>
        <x:v>0</x:v>
      </x:c>
      <x:c r="DA571" s="23" t="n">
        <x:f>MAX(0,MIN('Activities'!L571,606)-MAX('Activities'!K571,600))</x:f>
        <x:v>0</x:v>
      </x:c>
      <x:c r="DB571" s="23" t="n">
        <x:f>MAX(0,MIN('Activities'!L571,612)-MAX('Activities'!K571,606))</x:f>
        <x:v>0</x:v>
      </x:c>
      <x:c r="DC571" s="23" t="n">
        <x:f>MAX(0,MIN('Activities'!L571,618)-MAX('Activities'!K571,612))</x:f>
        <x:v>0</x:v>
      </x:c>
      <x:c r="DD571" s="23" t="n">
        <x:f>MAX(0,MIN('Activities'!L571,624)-MAX('Activities'!K571,618))</x:f>
        <x:v>0</x:v>
      </x:c>
      <x:c r="DE571" s="23" t="n">
        <x:f>MAX(0,MIN('Activities'!L571,630)-MAX('Activities'!K571,624))</x:f>
        <x:v>0</x:v>
      </x:c>
      <x:c r="DF571" s="23" t="n">
        <x:f>MAX(0,MIN('Activities'!L571,636)-MAX('Activities'!K571,630))</x:f>
        <x:v>0</x:v>
      </x:c>
    </x:row>
    <x:row r="572" ht="23" customHeight="1">
      <x:c r="A572" s="6" t="str">
        <x:v>T5-L06-F</x:v>
      </x:c>
      <x:c r="B572" s="6" t="str">
        <x:v>T5</x:v>
      </x:c>
      <x:c r="C572" s="6" t="str">
        <x:v>Columns, core and deck formwork</x:v>
      </x:c>
      <x:c r="D572" s="6" t="str">
        <x:v>Formwork</x:v>
      </x:c>
      <x:c r="E572" s="22" t="n">
        <x:f>MAX(0,MIN('Activities'!L572,6)-MAX('Activities'!K572,0))</x:f>
        <x:v>0</x:v>
      </x:c>
      <x:c r="F572" s="22" t="n">
        <x:f>MAX(0,MIN('Activities'!L572,12)-MAX('Activities'!K572,6))</x:f>
        <x:v>0</x:v>
      </x:c>
      <x:c r="G572" s="22" t="n">
        <x:f>MAX(0,MIN('Activities'!L572,18)-MAX('Activities'!K572,12))</x:f>
        <x:v>0</x:v>
      </x:c>
      <x:c r="H572" s="22" t="n">
        <x:f>MAX(0,MIN('Activities'!L572,24)-MAX('Activities'!K572,18))</x:f>
        <x:v>0</x:v>
      </x:c>
      <x:c r="I572" s="22" t="n">
        <x:f>MAX(0,MIN('Activities'!L572,30)-MAX('Activities'!K572,24))</x:f>
        <x:v>0</x:v>
      </x:c>
      <x:c r="J572" s="22" t="n">
        <x:f>MAX(0,MIN('Activities'!L572,36)-MAX('Activities'!K572,30))</x:f>
        <x:v>0</x:v>
      </x:c>
      <x:c r="K572" s="22" t="n">
        <x:f>MAX(0,MIN('Activities'!L572,42)-MAX('Activities'!K572,36))</x:f>
        <x:v>0</x:v>
      </x:c>
      <x:c r="L572" s="22" t="n">
        <x:f>MAX(0,MIN('Activities'!L572,48)-MAX('Activities'!K572,42))</x:f>
        <x:v>0</x:v>
      </x:c>
      <x:c r="M572" s="22" t="n">
        <x:f>MAX(0,MIN('Activities'!L572,54)-MAX('Activities'!K572,48))</x:f>
        <x:v>0</x:v>
      </x:c>
      <x:c r="N572" s="22" t="n">
        <x:f>MAX(0,MIN('Activities'!L572,60)-MAX('Activities'!K572,54))</x:f>
        <x:v>0</x:v>
      </x:c>
      <x:c r="O572" s="22" t="n">
        <x:f>MAX(0,MIN('Activities'!L572,66)-MAX('Activities'!K572,60))</x:f>
        <x:v>0</x:v>
      </x:c>
      <x:c r="P572" s="22" t="n">
        <x:f>MAX(0,MIN('Activities'!L572,72)-MAX('Activities'!K572,66))</x:f>
        <x:v>0</x:v>
      </x:c>
      <x:c r="Q572" s="22" t="n">
        <x:f>MAX(0,MIN('Activities'!L572,78)-MAX('Activities'!K572,72))</x:f>
        <x:v>0</x:v>
      </x:c>
      <x:c r="R572" s="22" t="n">
        <x:f>MAX(0,MIN('Activities'!L572,84)-MAX('Activities'!K572,78))</x:f>
        <x:v>0</x:v>
      </x:c>
      <x:c r="S572" s="22" t="n">
        <x:f>MAX(0,MIN('Activities'!L572,90)-MAX('Activities'!K572,84))</x:f>
        <x:v>0</x:v>
      </x:c>
      <x:c r="T572" s="22" t="n">
        <x:f>MAX(0,MIN('Activities'!L572,96)-MAX('Activities'!K572,90))</x:f>
        <x:v>0</x:v>
      </x:c>
      <x:c r="U572" s="22" t="n">
        <x:f>MAX(0,MIN('Activities'!L572,102)-MAX('Activities'!K572,96))</x:f>
        <x:v>0</x:v>
      </x:c>
      <x:c r="V572" s="22" t="n">
        <x:f>MAX(0,MIN('Activities'!L572,108)-MAX('Activities'!K572,102))</x:f>
        <x:v>0</x:v>
      </x:c>
      <x:c r="W572" s="22" t="n">
        <x:f>MAX(0,MIN('Activities'!L572,114)-MAX('Activities'!K572,108))</x:f>
        <x:v>0</x:v>
      </x:c>
      <x:c r="X572" s="22" t="n">
        <x:f>MAX(0,MIN('Activities'!L572,120)-MAX('Activities'!K572,114))</x:f>
        <x:v>0</x:v>
      </x:c>
      <x:c r="Y572" s="22" t="n">
        <x:f>MAX(0,MIN('Activities'!L572,126)-MAX('Activities'!K572,120))</x:f>
        <x:v>0</x:v>
      </x:c>
      <x:c r="Z572" s="22" t="n">
        <x:f>MAX(0,MIN('Activities'!L572,132)-MAX('Activities'!K572,126))</x:f>
        <x:v>0</x:v>
      </x:c>
      <x:c r="AA572" s="22" t="n">
        <x:f>MAX(0,MIN('Activities'!L572,138)-MAX('Activities'!K572,132))</x:f>
        <x:v>0</x:v>
      </x:c>
      <x:c r="AB572" s="22" t="n">
        <x:f>MAX(0,MIN('Activities'!L572,144)-MAX('Activities'!K572,138))</x:f>
        <x:v>0</x:v>
      </x:c>
      <x:c r="AC572" s="22" t="n">
        <x:f>MAX(0,MIN('Activities'!L572,150)-MAX('Activities'!K572,144))</x:f>
        <x:v>0</x:v>
      </x:c>
      <x:c r="AD572" s="22" t="n">
        <x:f>MAX(0,MIN('Activities'!L572,156)-MAX('Activities'!K572,150))</x:f>
        <x:v>0</x:v>
      </x:c>
      <x:c r="AE572" s="22" t="n">
        <x:f>MAX(0,MIN('Activities'!L572,162)-MAX('Activities'!K572,156))</x:f>
        <x:v>0</x:v>
      </x:c>
      <x:c r="AF572" s="22" t="n">
        <x:f>MAX(0,MIN('Activities'!L572,168)-MAX('Activities'!K572,162))</x:f>
        <x:v>0</x:v>
      </x:c>
      <x:c r="AG572" s="22" t="n">
        <x:f>MAX(0,MIN('Activities'!L572,174)-MAX('Activities'!K572,168))</x:f>
        <x:v>0</x:v>
      </x:c>
      <x:c r="AH572" s="22" t="n">
        <x:f>MAX(0,MIN('Activities'!L572,180)-MAX('Activities'!K572,174))</x:f>
        <x:v>0</x:v>
      </x:c>
      <x:c r="AI572" s="22" t="n">
        <x:f>MAX(0,MIN('Activities'!L572,186)-MAX('Activities'!K572,180))</x:f>
        <x:v>0</x:v>
      </x:c>
      <x:c r="AJ572" s="22" t="n">
        <x:f>MAX(0,MIN('Activities'!L572,192)-MAX('Activities'!K572,186))</x:f>
        <x:v>0</x:v>
      </x:c>
      <x:c r="AK572" s="22" t="n">
        <x:f>MAX(0,MIN('Activities'!L572,198)-MAX('Activities'!K572,192))</x:f>
        <x:v>0</x:v>
      </x:c>
      <x:c r="AL572" s="22" t="n">
        <x:f>MAX(0,MIN('Activities'!L572,204)-MAX('Activities'!K572,198))</x:f>
        <x:v>0</x:v>
      </x:c>
      <x:c r="AM572" s="22" t="n">
        <x:f>MAX(0,MIN('Activities'!L572,210)-MAX('Activities'!K572,204))</x:f>
        <x:v>0</x:v>
      </x:c>
      <x:c r="AN572" s="22" t="n">
        <x:f>MAX(0,MIN('Activities'!L572,216)-MAX('Activities'!K572,210))</x:f>
        <x:v>0</x:v>
      </x:c>
      <x:c r="AO572" s="22" t="n">
        <x:f>MAX(0,MIN('Activities'!L572,222)-MAX('Activities'!K572,216))</x:f>
        <x:v>0</x:v>
      </x:c>
      <x:c r="AP572" s="22" t="n">
        <x:f>MAX(0,MIN('Activities'!L572,228)-MAX('Activities'!K572,222))</x:f>
        <x:v>0</x:v>
      </x:c>
      <x:c r="AQ572" s="22" t="n">
        <x:f>MAX(0,MIN('Activities'!L572,234)-MAX('Activities'!K572,228))</x:f>
        <x:v>0</x:v>
      </x:c>
      <x:c r="AR572" s="22" t="n">
        <x:f>MAX(0,MIN('Activities'!L572,240)-MAX('Activities'!K572,234))</x:f>
        <x:v>0</x:v>
      </x:c>
      <x:c r="AS572" s="22" t="n">
        <x:f>MAX(0,MIN('Activities'!L572,246)-MAX('Activities'!K572,240))</x:f>
        <x:v>0</x:v>
      </x:c>
      <x:c r="AT572" s="22" t="n">
        <x:f>MAX(0,MIN('Activities'!L572,252)-MAX('Activities'!K572,246))</x:f>
        <x:v>0</x:v>
      </x:c>
      <x:c r="AU572" s="22" t="n">
        <x:f>MAX(0,MIN('Activities'!L572,258)-MAX('Activities'!K572,252))</x:f>
        <x:v>0</x:v>
      </x:c>
      <x:c r="AV572" s="22" t="n">
        <x:f>MAX(0,MIN('Activities'!L572,264)-MAX('Activities'!K572,258))</x:f>
        <x:v>0</x:v>
      </x:c>
      <x:c r="AW572" s="22" t="n">
        <x:f>MAX(0,MIN('Activities'!L572,270)-MAX('Activities'!K572,264))</x:f>
        <x:v>0</x:v>
      </x:c>
      <x:c r="AX572" s="22" t="n">
        <x:f>MAX(0,MIN('Activities'!L572,276)-MAX('Activities'!K572,270))</x:f>
        <x:v>0</x:v>
      </x:c>
      <x:c r="AY572" s="22" t="n">
        <x:f>MAX(0,MIN('Activities'!L572,282)-MAX('Activities'!K572,276))</x:f>
        <x:v>0</x:v>
      </x:c>
      <x:c r="AZ572" s="22" t="n">
        <x:f>MAX(0,MIN('Activities'!L572,288)-MAX('Activities'!K572,282))</x:f>
        <x:v>0</x:v>
      </x:c>
      <x:c r="BA572" s="22" t="n">
        <x:f>MAX(0,MIN('Activities'!L572,294)-MAX('Activities'!K572,288))</x:f>
        <x:v>4</x:v>
      </x:c>
      <x:c r="BB572" s="22" t="n">
        <x:f>MAX(0,MIN('Activities'!L572,300)-MAX('Activities'!K572,294))</x:f>
        <x:v>2</x:v>
      </x:c>
      <x:c r="BC572" s="22" t="n">
        <x:f>MAX(0,MIN('Activities'!L572,306)-MAX('Activities'!K572,300))</x:f>
        <x:v>0</x:v>
      </x:c>
      <x:c r="BD572" s="22" t="n">
        <x:f>MAX(0,MIN('Activities'!L572,312)-MAX('Activities'!K572,306))</x:f>
        <x:v>0</x:v>
      </x:c>
      <x:c r="BE572" s="22" t="n">
        <x:f>MAX(0,MIN('Activities'!L572,318)-MAX('Activities'!K572,312))</x:f>
        <x:v>0</x:v>
      </x:c>
      <x:c r="BF572" s="22" t="n">
        <x:f>MAX(0,MIN('Activities'!L572,324)-MAX('Activities'!K572,318))</x:f>
        <x:v>0</x:v>
      </x:c>
      <x:c r="BG572" s="22" t="n">
        <x:f>MAX(0,MIN('Activities'!L572,330)-MAX('Activities'!K572,324))</x:f>
        <x:v>0</x:v>
      </x:c>
      <x:c r="BH572" s="22" t="n">
        <x:f>MAX(0,MIN('Activities'!L572,336)-MAX('Activities'!K572,330))</x:f>
        <x:v>0</x:v>
      </x:c>
      <x:c r="BI572" s="22" t="n">
        <x:f>MAX(0,MIN('Activities'!L572,342)-MAX('Activities'!K572,336))</x:f>
        <x:v>0</x:v>
      </x:c>
      <x:c r="BJ572" s="22" t="n">
        <x:f>MAX(0,MIN('Activities'!L572,348)-MAX('Activities'!K572,342))</x:f>
        <x:v>0</x:v>
      </x:c>
      <x:c r="BK572" s="22" t="n">
        <x:f>MAX(0,MIN('Activities'!L572,354)-MAX('Activities'!K572,348))</x:f>
        <x:v>0</x:v>
      </x:c>
      <x:c r="BL572" s="22" t="n">
        <x:f>MAX(0,MIN('Activities'!L572,360)-MAX('Activities'!K572,354))</x:f>
        <x:v>0</x:v>
      </x:c>
      <x:c r="BM572" s="22" t="n">
        <x:f>MAX(0,MIN('Activities'!L572,366)-MAX('Activities'!K572,360))</x:f>
        <x:v>0</x:v>
      </x:c>
      <x:c r="BN572" s="22" t="n">
        <x:f>MAX(0,MIN('Activities'!L572,372)-MAX('Activities'!K572,366))</x:f>
        <x:v>0</x:v>
      </x:c>
      <x:c r="BO572" s="22" t="n">
        <x:f>MAX(0,MIN('Activities'!L572,378)-MAX('Activities'!K572,372))</x:f>
        <x:v>0</x:v>
      </x:c>
      <x:c r="BP572" s="22" t="n">
        <x:f>MAX(0,MIN('Activities'!L572,384)-MAX('Activities'!K572,378))</x:f>
        <x:v>0</x:v>
      </x:c>
      <x:c r="BQ572" s="22" t="n">
        <x:f>MAX(0,MIN('Activities'!L572,390)-MAX('Activities'!K572,384))</x:f>
        <x:v>0</x:v>
      </x:c>
      <x:c r="BR572" s="22" t="n">
        <x:f>MAX(0,MIN('Activities'!L572,396)-MAX('Activities'!K572,390))</x:f>
        <x:v>0</x:v>
      </x:c>
      <x:c r="BS572" s="22" t="n">
        <x:f>MAX(0,MIN('Activities'!L572,402)-MAX('Activities'!K572,396))</x:f>
        <x:v>0</x:v>
      </x:c>
      <x:c r="BT572" s="22" t="n">
        <x:f>MAX(0,MIN('Activities'!L572,408)-MAX('Activities'!K572,402))</x:f>
        <x:v>0</x:v>
      </x:c>
      <x:c r="BU572" s="22" t="n">
        <x:f>MAX(0,MIN('Activities'!L572,414)-MAX('Activities'!K572,408))</x:f>
        <x:v>0</x:v>
      </x:c>
      <x:c r="BV572" s="22" t="n">
        <x:f>MAX(0,MIN('Activities'!L572,420)-MAX('Activities'!K572,414))</x:f>
        <x:v>0</x:v>
      </x:c>
      <x:c r="BW572" s="22" t="n">
        <x:f>MAX(0,MIN('Activities'!L572,426)-MAX('Activities'!K572,420))</x:f>
        <x:v>0</x:v>
      </x:c>
      <x:c r="BX572" s="22" t="n">
        <x:f>MAX(0,MIN('Activities'!L572,432)-MAX('Activities'!K572,426))</x:f>
        <x:v>0</x:v>
      </x:c>
      <x:c r="BY572" s="22" t="n">
        <x:f>MAX(0,MIN('Activities'!L572,438)-MAX('Activities'!K572,432))</x:f>
        <x:v>0</x:v>
      </x:c>
      <x:c r="BZ572" s="22" t="n">
        <x:f>MAX(0,MIN('Activities'!L572,444)-MAX('Activities'!K572,438))</x:f>
        <x:v>0</x:v>
      </x:c>
      <x:c r="CA572" s="22" t="n">
        <x:f>MAX(0,MIN('Activities'!L572,450)-MAX('Activities'!K572,444))</x:f>
        <x:v>0</x:v>
      </x:c>
      <x:c r="CB572" s="22" t="n">
        <x:f>MAX(0,MIN('Activities'!L572,456)-MAX('Activities'!K572,450))</x:f>
        <x:v>0</x:v>
      </x:c>
      <x:c r="CC572" s="22" t="n">
        <x:f>MAX(0,MIN('Activities'!L572,462)-MAX('Activities'!K572,456))</x:f>
        <x:v>0</x:v>
      </x:c>
      <x:c r="CD572" s="22" t="n">
        <x:f>MAX(0,MIN('Activities'!L572,468)-MAX('Activities'!K572,462))</x:f>
        <x:v>0</x:v>
      </x:c>
      <x:c r="CE572" s="22" t="n">
        <x:f>MAX(0,MIN('Activities'!L572,474)-MAX('Activities'!K572,468))</x:f>
        <x:v>0</x:v>
      </x:c>
      <x:c r="CF572" s="22" t="n">
        <x:f>MAX(0,MIN('Activities'!L572,480)-MAX('Activities'!K572,474))</x:f>
        <x:v>0</x:v>
      </x:c>
      <x:c r="CG572" s="22" t="n">
        <x:f>MAX(0,MIN('Activities'!L572,486)-MAX('Activities'!K572,480))</x:f>
        <x:v>0</x:v>
      </x:c>
      <x:c r="CH572" s="22" t="n">
        <x:f>MAX(0,MIN('Activities'!L572,492)-MAX('Activities'!K572,486))</x:f>
        <x:v>0</x:v>
      </x:c>
      <x:c r="CI572" s="22" t="n">
        <x:f>MAX(0,MIN('Activities'!L572,498)-MAX('Activities'!K572,492))</x:f>
        <x:v>0</x:v>
      </x:c>
      <x:c r="CJ572" s="22" t="n">
        <x:f>MAX(0,MIN('Activities'!L572,504)-MAX('Activities'!K572,498))</x:f>
        <x:v>0</x:v>
      </x:c>
      <x:c r="CK572" s="22" t="n">
        <x:f>MAX(0,MIN('Activities'!L572,510)-MAX('Activities'!K572,504))</x:f>
        <x:v>0</x:v>
      </x:c>
      <x:c r="CL572" s="22" t="n">
        <x:f>MAX(0,MIN('Activities'!L572,516)-MAX('Activities'!K572,510))</x:f>
        <x:v>0</x:v>
      </x:c>
      <x:c r="CM572" s="22" t="n">
        <x:f>MAX(0,MIN('Activities'!L572,522)-MAX('Activities'!K572,516))</x:f>
        <x:v>0</x:v>
      </x:c>
      <x:c r="CN572" s="22" t="n">
        <x:f>MAX(0,MIN('Activities'!L572,528)-MAX('Activities'!K572,522))</x:f>
        <x:v>0</x:v>
      </x:c>
      <x:c r="CO572" s="22" t="n">
        <x:f>MAX(0,MIN('Activities'!L572,534)-MAX('Activities'!K572,528))</x:f>
        <x:v>0</x:v>
      </x:c>
      <x:c r="CP572" s="22" t="n">
        <x:f>MAX(0,MIN('Activities'!L572,540)-MAX('Activities'!K572,534))</x:f>
        <x:v>0</x:v>
      </x:c>
      <x:c r="CQ572" s="22" t="n">
        <x:f>MAX(0,MIN('Activities'!L572,546)-MAX('Activities'!K572,540))</x:f>
        <x:v>0</x:v>
      </x:c>
      <x:c r="CR572" s="22" t="n">
        <x:f>MAX(0,MIN('Activities'!L572,552)-MAX('Activities'!K572,546))</x:f>
        <x:v>0</x:v>
      </x:c>
      <x:c r="CS572" s="22" t="n">
        <x:f>MAX(0,MIN('Activities'!L572,558)-MAX('Activities'!K572,552))</x:f>
        <x:v>0</x:v>
      </x:c>
      <x:c r="CT572" s="22" t="n">
        <x:f>MAX(0,MIN('Activities'!L572,564)-MAX('Activities'!K572,558))</x:f>
        <x:v>0</x:v>
      </x:c>
      <x:c r="CU572" s="22" t="n">
        <x:f>MAX(0,MIN('Activities'!L572,570)-MAX('Activities'!K572,564))</x:f>
        <x:v>0</x:v>
      </x:c>
      <x:c r="CV572" s="22" t="n">
        <x:f>MAX(0,MIN('Activities'!L572,576)-MAX('Activities'!K572,570))</x:f>
        <x:v>0</x:v>
      </x:c>
      <x:c r="CW572" s="22" t="n">
        <x:f>MAX(0,MIN('Activities'!L572,582)-MAX('Activities'!K572,576))</x:f>
        <x:v>0</x:v>
      </x:c>
      <x:c r="CX572" s="22" t="n">
        <x:f>MAX(0,MIN('Activities'!L572,588)-MAX('Activities'!K572,582))</x:f>
        <x:v>0</x:v>
      </x:c>
      <x:c r="CY572" s="22" t="n">
        <x:f>MAX(0,MIN('Activities'!L572,594)-MAX('Activities'!K572,588))</x:f>
        <x:v>0</x:v>
      </x:c>
      <x:c r="CZ572" s="22" t="n">
        <x:f>MAX(0,MIN('Activities'!L572,600)-MAX('Activities'!K572,594))</x:f>
        <x:v>0</x:v>
      </x:c>
      <x:c r="DA572" s="22" t="n">
        <x:f>MAX(0,MIN('Activities'!L572,606)-MAX('Activities'!K572,600))</x:f>
        <x:v>0</x:v>
      </x:c>
      <x:c r="DB572" s="22" t="n">
        <x:f>MAX(0,MIN('Activities'!L572,612)-MAX('Activities'!K572,606))</x:f>
        <x:v>0</x:v>
      </x:c>
      <x:c r="DC572" s="22" t="n">
        <x:f>MAX(0,MIN('Activities'!L572,618)-MAX('Activities'!K572,612))</x:f>
        <x:v>0</x:v>
      </x:c>
      <x:c r="DD572" s="22" t="n">
        <x:f>MAX(0,MIN('Activities'!L572,624)-MAX('Activities'!K572,618))</x:f>
        <x:v>0</x:v>
      </x:c>
      <x:c r="DE572" s="22" t="n">
        <x:f>MAX(0,MIN('Activities'!L572,630)-MAX('Activities'!K572,624))</x:f>
        <x:v>0</x:v>
      </x:c>
      <x:c r="DF572" s="22" t="n">
        <x:f>MAX(0,MIN('Activities'!L572,636)-MAX('Activities'!K572,630))</x:f>
        <x:v>0</x:v>
      </x:c>
    </x:row>
    <x:row r="573" ht="23" customHeight="1">
      <x:c r="A573" s="1" t="str">
        <x:v>T5-L06-R</x:v>
      </x:c>
      <x:c r="B573" s="1" t="str">
        <x:v>T5</x:v>
      </x:c>
      <x:c r="C573" s="1" t="str">
        <x:v>Column, wall, beam and slab reinforcement</x:v>
      </x:c>
      <x:c r="D573" s="1" t="str">
        <x:v>Rebar</x:v>
      </x:c>
      <x:c r="E573" s="23" t="n">
        <x:f>MAX(0,MIN('Activities'!L573,6)-MAX('Activities'!K573,0))</x:f>
        <x:v>0</x:v>
      </x:c>
      <x:c r="F573" s="23" t="n">
        <x:f>MAX(0,MIN('Activities'!L573,12)-MAX('Activities'!K573,6))</x:f>
        <x:v>0</x:v>
      </x:c>
      <x:c r="G573" s="23" t="n">
        <x:f>MAX(0,MIN('Activities'!L573,18)-MAX('Activities'!K573,12))</x:f>
        <x:v>0</x:v>
      </x:c>
      <x:c r="H573" s="23" t="n">
        <x:f>MAX(0,MIN('Activities'!L573,24)-MAX('Activities'!K573,18))</x:f>
        <x:v>0</x:v>
      </x:c>
      <x:c r="I573" s="23" t="n">
        <x:f>MAX(0,MIN('Activities'!L573,30)-MAX('Activities'!K573,24))</x:f>
        <x:v>0</x:v>
      </x:c>
      <x:c r="J573" s="23" t="n">
        <x:f>MAX(0,MIN('Activities'!L573,36)-MAX('Activities'!K573,30))</x:f>
        <x:v>0</x:v>
      </x:c>
      <x:c r="K573" s="23" t="n">
        <x:f>MAX(0,MIN('Activities'!L573,42)-MAX('Activities'!K573,36))</x:f>
        <x:v>0</x:v>
      </x:c>
      <x:c r="L573" s="23" t="n">
        <x:f>MAX(0,MIN('Activities'!L573,48)-MAX('Activities'!K573,42))</x:f>
        <x:v>0</x:v>
      </x:c>
      <x:c r="M573" s="23" t="n">
        <x:f>MAX(0,MIN('Activities'!L573,54)-MAX('Activities'!K573,48))</x:f>
        <x:v>0</x:v>
      </x:c>
      <x:c r="N573" s="23" t="n">
        <x:f>MAX(0,MIN('Activities'!L573,60)-MAX('Activities'!K573,54))</x:f>
        <x:v>0</x:v>
      </x:c>
      <x:c r="O573" s="23" t="n">
        <x:f>MAX(0,MIN('Activities'!L573,66)-MAX('Activities'!K573,60))</x:f>
        <x:v>0</x:v>
      </x:c>
      <x:c r="P573" s="23" t="n">
        <x:f>MAX(0,MIN('Activities'!L573,72)-MAX('Activities'!K573,66))</x:f>
        <x:v>0</x:v>
      </x:c>
      <x:c r="Q573" s="23" t="n">
        <x:f>MAX(0,MIN('Activities'!L573,78)-MAX('Activities'!K573,72))</x:f>
        <x:v>0</x:v>
      </x:c>
      <x:c r="R573" s="23" t="n">
        <x:f>MAX(0,MIN('Activities'!L573,84)-MAX('Activities'!K573,78))</x:f>
        <x:v>0</x:v>
      </x:c>
      <x:c r="S573" s="23" t="n">
        <x:f>MAX(0,MIN('Activities'!L573,90)-MAX('Activities'!K573,84))</x:f>
        <x:v>0</x:v>
      </x:c>
      <x:c r="T573" s="23" t="n">
        <x:f>MAX(0,MIN('Activities'!L573,96)-MAX('Activities'!K573,90))</x:f>
        <x:v>0</x:v>
      </x:c>
      <x:c r="U573" s="23" t="n">
        <x:f>MAX(0,MIN('Activities'!L573,102)-MAX('Activities'!K573,96))</x:f>
        <x:v>0</x:v>
      </x:c>
      <x:c r="V573" s="23" t="n">
        <x:f>MAX(0,MIN('Activities'!L573,108)-MAX('Activities'!K573,102))</x:f>
        <x:v>0</x:v>
      </x:c>
      <x:c r="W573" s="23" t="n">
        <x:f>MAX(0,MIN('Activities'!L573,114)-MAX('Activities'!K573,108))</x:f>
        <x:v>0</x:v>
      </x:c>
      <x:c r="X573" s="23" t="n">
        <x:f>MAX(0,MIN('Activities'!L573,120)-MAX('Activities'!K573,114))</x:f>
        <x:v>0</x:v>
      </x:c>
      <x:c r="Y573" s="23" t="n">
        <x:f>MAX(0,MIN('Activities'!L573,126)-MAX('Activities'!K573,120))</x:f>
        <x:v>0</x:v>
      </x:c>
      <x:c r="Z573" s="23" t="n">
        <x:f>MAX(0,MIN('Activities'!L573,132)-MAX('Activities'!K573,126))</x:f>
        <x:v>0</x:v>
      </x:c>
      <x:c r="AA573" s="23" t="n">
        <x:f>MAX(0,MIN('Activities'!L573,138)-MAX('Activities'!K573,132))</x:f>
        <x:v>0</x:v>
      </x:c>
      <x:c r="AB573" s="23" t="n">
        <x:f>MAX(0,MIN('Activities'!L573,144)-MAX('Activities'!K573,138))</x:f>
        <x:v>0</x:v>
      </x:c>
      <x:c r="AC573" s="23" t="n">
        <x:f>MAX(0,MIN('Activities'!L573,150)-MAX('Activities'!K573,144))</x:f>
        <x:v>0</x:v>
      </x:c>
      <x:c r="AD573" s="23" t="n">
        <x:f>MAX(0,MIN('Activities'!L573,156)-MAX('Activities'!K573,150))</x:f>
        <x:v>0</x:v>
      </x:c>
      <x:c r="AE573" s="23" t="n">
        <x:f>MAX(0,MIN('Activities'!L573,162)-MAX('Activities'!K573,156))</x:f>
        <x:v>0</x:v>
      </x:c>
      <x:c r="AF573" s="23" t="n">
        <x:f>MAX(0,MIN('Activities'!L573,168)-MAX('Activities'!K573,162))</x:f>
        <x:v>0</x:v>
      </x:c>
      <x:c r="AG573" s="23" t="n">
        <x:f>MAX(0,MIN('Activities'!L573,174)-MAX('Activities'!K573,168))</x:f>
        <x:v>0</x:v>
      </x:c>
      <x:c r="AH573" s="23" t="n">
        <x:f>MAX(0,MIN('Activities'!L573,180)-MAX('Activities'!K573,174))</x:f>
        <x:v>0</x:v>
      </x:c>
      <x:c r="AI573" s="23" t="n">
        <x:f>MAX(0,MIN('Activities'!L573,186)-MAX('Activities'!K573,180))</x:f>
        <x:v>0</x:v>
      </x:c>
      <x:c r="AJ573" s="23" t="n">
        <x:f>MAX(0,MIN('Activities'!L573,192)-MAX('Activities'!K573,186))</x:f>
        <x:v>0</x:v>
      </x:c>
      <x:c r="AK573" s="23" t="n">
        <x:f>MAX(0,MIN('Activities'!L573,198)-MAX('Activities'!K573,192))</x:f>
        <x:v>0</x:v>
      </x:c>
      <x:c r="AL573" s="23" t="n">
        <x:f>MAX(0,MIN('Activities'!L573,204)-MAX('Activities'!K573,198))</x:f>
        <x:v>0</x:v>
      </x:c>
      <x:c r="AM573" s="23" t="n">
        <x:f>MAX(0,MIN('Activities'!L573,210)-MAX('Activities'!K573,204))</x:f>
        <x:v>0</x:v>
      </x:c>
      <x:c r="AN573" s="23" t="n">
        <x:f>MAX(0,MIN('Activities'!L573,216)-MAX('Activities'!K573,210))</x:f>
        <x:v>0</x:v>
      </x:c>
      <x:c r="AO573" s="23" t="n">
        <x:f>MAX(0,MIN('Activities'!L573,222)-MAX('Activities'!K573,216))</x:f>
        <x:v>0</x:v>
      </x:c>
      <x:c r="AP573" s="23" t="n">
        <x:f>MAX(0,MIN('Activities'!L573,228)-MAX('Activities'!K573,222))</x:f>
        <x:v>0</x:v>
      </x:c>
      <x:c r="AQ573" s="23" t="n">
        <x:f>MAX(0,MIN('Activities'!L573,234)-MAX('Activities'!K573,228))</x:f>
        <x:v>0</x:v>
      </x:c>
      <x:c r="AR573" s="23" t="n">
        <x:f>MAX(0,MIN('Activities'!L573,240)-MAX('Activities'!K573,234))</x:f>
        <x:v>0</x:v>
      </x:c>
      <x:c r="AS573" s="23" t="n">
        <x:f>MAX(0,MIN('Activities'!L573,246)-MAX('Activities'!K573,240))</x:f>
        <x:v>0</x:v>
      </x:c>
      <x:c r="AT573" s="23" t="n">
        <x:f>MAX(0,MIN('Activities'!L573,252)-MAX('Activities'!K573,246))</x:f>
        <x:v>0</x:v>
      </x:c>
      <x:c r="AU573" s="23" t="n">
        <x:f>MAX(0,MIN('Activities'!L573,258)-MAX('Activities'!K573,252))</x:f>
        <x:v>0</x:v>
      </x:c>
      <x:c r="AV573" s="23" t="n">
        <x:f>MAX(0,MIN('Activities'!L573,264)-MAX('Activities'!K573,258))</x:f>
        <x:v>0</x:v>
      </x:c>
      <x:c r="AW573" s="23" t="n">
        <x:f>MAX(0,MIN('Activities'!L573,270)-MAX('Activities'!K573,264))</x:f>
        <x:v>0</x:v>
      </x:c>
      <x:c r="AX573" s="23" t="n">
        <x:f>MAX(0,MIN('Activities'!L573,276)-MAX('Activities'!K573,270))</x:f>
        <x:v>0</x:v>
      </x:c>
      <x:c r="AY573" s="23" t="n">
        <x:f>MAX(0,MIN('Activities'!L573,282)-MAX('Activities'!K573,276))</x:f>
        <x:v>0</x:v>
      </x:c>
      <x:c r="AZ573" s="23" t="n">
        <x:f>MAX(0,MIN('Activities'!L573,288)-MAX('Activities'!K573,282))</x:f>
        <x:v>0</x:v>
      </x:c>
      <x:c r="BA573" s="23" t="n">
        <x:f>MAX(0,MIN('Activities'!L573,294)-MAX('Activities'!K573,288))</x:f>
        <x:v>0</x:v>
      </x:c>
      <x:c r="BB573" s="23" t="n">
        <x:f>MAX(0,MIN('Activities'!L573,300)-MAX('Activities'!K573,294))</x:f>
        <x:v>4</x:v>
      </x:c>
      <x:c r="BC573" s="23" t="n">
        <x:f>MAX(0,MIN('Activities'!L573,306)-MAX('Activities'!K573,300))</x:f>
        <x:v>1</x:v>
      </x:c>
      <x:c r="BD573" s="23" t="n">
        <x:f>MAX(0,MIN('Activities'!L573,312)-MAX('Activities'!K573,306))</x:f>
        <x:v>0</x:v>
      </x:c>
      <x:c r="BE573" s="23" t="n">
        <x:f>MAX(0,MIN('Activities'!L573,318)-MAX('Activities'!K573,312))</x:f>
        <x:v>0</x:v>
      </x:c>
      <x:c r="BF573" s="23" t="n">
        <x:f>MAX(0,MIN('Activities'!L573,324)-MAX('Activities'!K573,318))</x:f>
        <x:v>0</x:v>
      </x:c>
      <x:c r="BG573" s="23" t="n">
        <x:f>MAX(0,MIN('Activities'!L573,330)-MAX('Activities'!K573,324))</x:f>
        <x:v>0</x:v>
      </x:c>
      <x:c r="BH573" s="23" t="n">
        <x:f>MAX(0,MIN('Activities'!L573,336)-MAX('Activities'!K573,330))</x:f>
        <x:v>0</x:v>
      </x:c>
      <x:c r="BI573" s="23" t="n">
        <x:f>MAX(0,MIN('Activities'!L573,342)-MAX('Activities'!K573,336))</x:f>
        <x:v>0</x:v>
      </x:c>
      <x:c r="BJ573" s="23" t="n">
        <x:f>MAX(0,MIN('Activities'!L573,348)-MAX('Activities'!K573,342))</x:f>
        <x:v>0</x:v>
      </x:c>
      <x:c r="BK573" s="23" t="n">
        <x:f>MAX(0,MIN('Activities'!L573,354)-MAX('Activities'!K573,348))</x:f>
        <x:v>0</x:v>
      </x:c>
      <x:c r="BL573" s="23" t="n">
        <x:f>MAX(0,MIN('Activities'!L573,360)-MAX('Activities'!K573,354))</x:f>
        <x:v>0</x:v>
      </x:c>
      <x:c r="BM573" s="23" t="n">
        <x:f>MAX(0,MIN('Activities'!L573,366)-MAX('Activities'!K573,360))</x:f>
        <x:v>0</x:v>
      </x:c>
      <x:c r="BN573" s="23" t="n">
        <x:f>MAX(0,MIN('Activities'!L573,372)-MAX('Activities'!K573,366))</x:f>
        <x:v>0</x:v>
      </x:c>
      <x:c r="BO573" s="23" t="n">
        <x:f>MAX(0,MIN('Activities'!L573,378)-MAX('Activities'!K573,372))</x:f>
        <x:v>0</x:v>
      </x:c>
      <x:c r="BP573" s="23" t="n">
        <x:f>MAX(0,MIN('Activities'!L573,384)-MAX('Activities'!K573,378))</x:f>
        <x:v>0</x:v>
      </x:c>
      <x:c r="BQ573" s="23" t="n">
        <x:f>MAX(0,MIN('Activities'!L573,390)-MAX('Activities'!K573,384))</x:f>
        <x:v>0</x:v>
      </x:c>
      <x:c r="BR573" s="23" t="n">
        <x:f>MAX(0,MIN('Activities'!L573,396)-MAX('Activities'!K573,390))</x:f>
        <x:v>0</x:v>
      </x:c>
      <x:c r="BS573" s="23" t="n">
        <x:f>MAX(0,MIN('Activities'!L573,402)-MAX('Activities'!K573,396))</x:f>
        <x:v>0</x:v>
      </x:c>
      <x:c r="BT573" s="23" t="n">
        <x:f>MAX(0,MIN('Activities'!L573,408)-MAX('Activities'!K573,402))</x:f>
        <x:v>0</x:v>
      </x:c>
      <x:c r="BU573" s="23" t="n">
        <x:f>MAX(0,MIN('Activities'!L573,414)-MAX('Activities'!K573,408))</x:f>
        <x:v>0</x:v>
      </x:c>
      <x:c r="BV573" s="23" t="n">
        <x:f>MAX(0,MIN('Activities'!L573,420)-MAX('Activities'!K573,414))</x:f>
        <x:v>0</x:v>
      </x:c>
      <x:c r="BW573" s="23" t="n">
        <x:f>MAX(0,MIN('Activities'!L573,426)-MAX('Activities'!K573,420))</x:f>
        <x:v>0</x:v>
      </x:c>
      <x:c r="BX573" s="23" t="n">
        <x:f>MAX(0,MIN('Activities'!L573,432)-MAX('Activities'!K573,426))</x:f>
        <x:v>0</x:v>
      </x:c>
      <x:c r="BY573" s="23" t="n">
        <x:f>MAX(0,MIN('Activities'!L573,438)-MAX('Activities'!K573,432))</x:f>
        <x:v>0</x:v>
      </x:c>
      <x:c r="BZ573" s="23" t="n">
        <x:f>MAX(0,MIN('Activities'!L573,444)-MAX('Activities'!K573,438))</x:f>
        <x:v>0</x:v>
      </x:c>
      <x:c r="CA573" s="23" t="n">
        <x:f>MAX(0,MIN('Activities'!L573,450)-MAX('Activities'!K573,444))</x:f>
        <x:v>0</x:v>
      </x:c>
      <x:c r="CB573" s="23" t="n">
        <x:f>MAX(0,MIN('Activities'!L573,456)-MAX('Activities'!K573,450))</x:f>
        <x:v>0</x:v>
      </x:c>
      <x:c r="CC573" s="23" t="n">
        <x:f>MAX(0,MIN('Activities'!L573,462)-MAX('Activities'!K573,456))</x:f>
        <x:v>0</x:v>
      </x:c>
      <x:c r="CD573" s="23" t="n">
        <x:f>MAX(0,MIN('Activities'!L573,468)-MAX('Activities'!K573,462))</x:f>
        <x:v>0</x:v>
      </x:c>
      <x:c r="CE573" s="23" t="n">
        <x:f>MAX(0,MIN('Activities'!L573,474)-MAX('Activities'!K573,468))</x:f>
        <x:v>0</x:v>
      </x:c>
      <x:c r="CF573" s="23" t="n">
        <x:f>MAX(0,MIN('Activities'!L573,480)-MAX('Activities'!K573,474))</x:f>
        <x:v>0</x:v>
      </x:c>
      <x:c r="CG573" s="23" t="n">
        <x:f>MAX(0,MIN('Activities'!L573,486)-MAX('Activities'!K573,480))</x:f>
        <x:v>0</x:v>
      </x:c>
      <x:c r="CH573" s="23" t="n">
        <x:f>MAX(0,MIN('Activities'!L573,492)-MAX('Activities'!K573,486))</x:f>
        <x:v>0</x:v>
      </x:c>
      <x:c r="CI573" s="23" t="n">
        <x:f>MAX(0,MIN('Activities'!L573,498)-MAX('Activities'!K573,492))</x:f>
        <x:v>0</x:v>
      </x:c>
      <x:c r="CJ573" s="23" t="n">
        <x:f>MAX(0,MIN('Activities'!L573,504)-MAX('Activities'!K573,498))</x:f>
        <x:v>0</x:v>
      </x:c>
      <x:c r="CK573" s="23" t="n">
        <x:f>MAX(0,MIN('Activities'!L573,510)-MAX('Activities'!K573,504))</x:f>
        <x:v>0</x:v>
      </x:c>
      <x:c r="CL573" s="23" t="n">
        <x:f>MAX(0,MIN('Activities'!L573,516)-MAX('Activities'!K573,510))</x:f>
        <x:v>0</x:v>
      </x:c>
      <x:c r="CM573" s="23" t="n">
        <x:f>MAX(0,MIN('Activities'!L573,522)-MAX('Activities'!K573,516))</x:f>
        <x:v>0</x:v>
      </x:c>
      <x:c r="CN573" s="23" t="n">
        <x:f>MAX(0,MIN('Activities'!L573,528)-MAX('Activities'!K573,522))</x:f>
        <x:v>0</x:v>
      </x:c>
      <x:c r="CO573" s="23" t="n">
        <x:f>MAX(0,MIN('Activities'!L573,534)-MAX('Activities'!K573,528))</x:f>
        <x:v>0</x:v>
      </x:c>
      <x:c r="CP573" s="23" t="n">
        <x:f>MAX(0,MIN('Activities'!L573,540)-MAX('Activities'!K573,534))</x:f>
        <x:v>0</x:v>
      </x:c>
      <x:c r="CQ573" s="23" t="n">
        <x:f>MAX(0,MIN('Activities'!L573,546)-MAX('Activities'!K573,540))</x:f>
        <x:v>0</x:v>
      </x:c>
      <x:c r="CR573" s="23" t="n">
        <x:f>MAX(0,MIN('Activities'!L573,552)-MAX('Activities'!K573,546))</x:f>
        <x:v>0</x:v>
      </x:c>
      <x:c r="CS573" s="23" t="n">
        <x:f>MAX(0,MIN('Activities'!L573,558)-MAX('Activities'!K573,552))</x:f>
        <x:v>0</x:v>
      </x:c>
      <x:c r="CT573" s="23" t="n">
        <x:f>MAX(0,MIN('Activities'!L573,564)-MAX('Activities'!K573,558))</x:f>
        <x:v>0</x:v>
      </x:c>
      <x:c r="CU573" s="23" t="n">
        <x:f>MAX(0,MIN('Activities'!L573,570)-MAX('Activities'!K573,564))</x:f>
        <x:v>0</x:v>
      </x:c>
      <x:c r="CV573" s="23" t="n">
        <x:f>MAX(0,MIN('Activities'!L573,576)-MAX('Activities'!K573,570))</x:f>
        <x:v>0</x:v>
      </x:c>
      <x:c r="CW573" s="23" t="n">
        <x:f>MAX(0,MIN('Activities'!L573,582)-MAX('Activities'!K573,576))</x:f>
        <x:v>0</x:v>
      </x:c>
      <x:c r="CX573" s="23" t="n">
        <x:f>MAX(0,MIN('Activities'!L573,588)-MAX('Activities'!K573,582))</x:f>
        <x:v>0</x:v>
      </x:c>
      <x:c r="CY573" s="23" t="n">
        <x:f>MAX(0,MIN('Activities'!L573,594)-MAX('Activities'!K573,588))</x:f>
        <x:v>0</x:v>
      </x:c>
      <x:c r="CZ573" s="23" t="n">
        <x:f>MAX(0,MIN('Activities'!L573,600)-MAX('Activities'!K573,594))</x:f>
        <x:v>0</x:v>
      </x:c>
      <x:c r="DA573" s="23" t="n">
        <x:f>MAX(0,MIN('Activities'!L573,606)-MAX('Activities'!K573,600))</x:f>
        <x:v>0</x:v>
      </x:c>
      <x:c r="DB573" s="23" t="n">
        <x:f>MAX(0,MIN('Activities'!L573,612)-MAX('Activities'!K573,606))</x:f>
        <x:v>0</x:v>
      </x:c>
      <x:c r="DC573" s="23" t="n">
        <x:f>MAX(0,MIN('Activities'!L573,618)-MAX('Activities'!K573,612))</x:f>
        <x:v>0</x:v>
      </x:c>
      <x:c r="DD573" s="23" t="n">
        <x:f>MAX(0,MIN('Activities'!L573,624)-MAX('Activities'!K573,618))</x:f>
        <x:v>0</x:v>
      </x:c>
      <x:c r="DE573" s="23" t="n">
        <x:f>MAX(0,MIN('Activities'!L573,630)-MAX('Activities'!K573,624))</x:f>
        <x:v>0</x:v>
      </x:c>
      <x:c r="DF573" s="23" t="n">
        <x:f>MAX(0,MIN('Activities'!L573,636)-MAX('Activities'!K573,630))</x:f>
        <x:v>0</x:v>
      </x:c>
    </x:row>
    <x:row r="574" ht="23" customHeight="1">
      <x:c r="A574" s="6" t="str">
        <x:v>T5-L06-C</x:v>
      </x:c>
      <x:c r="B574" s="6" t="str">
        <x:v>T5</x:v>
      </x:c>
      <x:c r="C574" s="6" t="str">
        <x:v>Concrete placement and finishing</x:v>
      </x:c>
      <x:c r="D574" s="6" t="str">
        <x:v>Concrete</x:v>
      </x:c>
      <x:c r="E574" s="22" t="n">
        <x:f>MAX(0,MIN('Activities'!L574,6)-MAX('Activities'!K574,0))</x:f>
        <x:v>0</x:v>
      </x:c>
      <x:c r="F574" s="22" t="n">
        <x:f>MAX(0,MIN('Activities'!L574,12)-MAX('Activities'!K574,6))</x:f>
        <x:v>0</x:v>
      </x:c>
      <x:c r="G574" s="22" t="n">
        <x:f>MAX(0,MIN('Activities'!L574,18)-MAX('Activities'!K574,12))</x:f>
        <x:v>0</x:v>
      </x:c>
      <x:c r="H574" s="22" t="n">
        <x:f>MAX(0,MIN('Activities'!L574,24)-MAX('Activities'!K574,18))</x:f>
        <x:v>0</x:v>
      </x:c>
      <x:c r="I574" s="22" t="n">
        <x:f>MAX(0,MIN('Activities'!L574,30)-MAX('Activities'!K574,24))</x:f>
        <x:v>0</x:v>
      </x:c>
      <x:c r="J574" s="22" t="n">
        <x:f>MAX(0,MIN('Activities'!L574,36)-MAX('Activities'!K574,30))</x:f>
        <x:v>0</x:v>
      </x:c>
      <x:c r="K574" s="22" t="n">
        <x:f>MAX(0,MIN('Activities'!L574,42)-MAX('Activities'!K574,36))</x:f>
        <x:v>0</x:v>
      </x:c>
      <x:c r="L574" s="22" t="n">
        <x:f>MAX(0,MIN('Activities'!L574,48)-MAX('Activities'!K574,42))</x:f>
        <x:v>0</x:v>
      </x:c>
      <x:c r="M574" s="22" t="n">
        <x:f>MAX(0,MIN('Activities'!L574,54)-MAX('Activities'!K574,48))</x:f>
        <x:v>0</x:v>
      </x:c>
      <x:c r="N574" s="22" t="n">
        <x:f>MAX(0,MIN('Activities'!L574,60)-MAX('Activities'!K574,54))</x:f>
        <x:v>0</x:v>
      </x:c>
      <x:c r="O574" s="22" t="n">
        <x:f>MAX(0,MIN('Activities'!L574,66)-MAX('Activities'!K574,60))</x:f>
        <x:v>0</x:v>
      </x:c>
      <x:c r="P574" s="22" t="n">
        <x:f>MAX(0,MIN('Activities'!L574,72)-MAX('Activities'!K574,66))</x:f>
        <x:v>0</x:v>
      </x:c>
      <x:c r="Q574" s="22" t="n">
        <x:f>MAX(0,MIN('Activities'!L574,78)-MAX('Activities'!K574,72))</x:f>
        <x:v>0</x:v>
      </x:c>
      <x:c r="R574" s="22" t="n">
        <x:f>MAX(0,MIN('Activities'!L574,84)-MAX('Activities'!K574,78))</x:f>
        <x:v>0</x:v>
      </x:c>
      <x:c r="S574" s="22" t="n">
        <x:f>MAX(0,MIN('Activities'!L574,90)-MAX('Activities'!K574,84))</x:f>
        <x:v>0</x:v>
      </x:c>
      <x:c r="T574" s="22" t="n">
        <x:f>MAX(0,MIN('Activities'!L574,96)-MAX('Activities'!K574,90))</x:f>
        <x:v>0</x:v>
      </x:c>
      <x:c r="U574" s="22" t="n">
        <x:f>MAX(0,MIN('Activities'!L574,102)-MAX('Activities'!K574,96))</x:f>
        <x:v>0</x:v>
      </x:c>
      <x:c r="V574" s="22" t="n">
        <x:f>MAX(0,MIN('Activities'!L574,108)-MAX('Activities'!K574,102))</x:f>
        <x:v>0</x:v>
      </x:c>
      <x:c r="W574" s="22" t="n">
        <x:f>MAX(0,MIN('Activities'!L574,114)-MAX('Activities'!K574,108))</x:f>
        <x:v>0</x:v>
      </x:c>
      <x:c r="X574" s="22" t="n">
        <x:f>MAX(0,MIN('Activities'!L574,120)-MAX('Activities'!K574,114))</x:f>
        <x:v>0</x:v>
      </x:c>
      <x:c r="Y574" s="22" t="n">
        <x:f>MAX(0,MIN('Activities'!L574,126)-MAX('Activities'!K574,120))</x:f>
        <x:v>0</x:v>
      </x:c>
      <x:c r="Z574" s="22" t="n">
        <x:f>MAX(0,MIN('Activities'!L574,132)-MAX('Activities'!K574,126))</x:f>
        <x:v>0</x:v>
      </x:c>
      <x:c r="AA574" s="22" t="n">
        <x:f>MAX(0,MIN('Activities'!L574,138)-MAX('Activities'!K574,132))</x:f>
        <x:v>0</x:v>
      </x:c>
      <x:c r="AB574" s="22" t="n">
        <x:f>MAX(0,MIN('Activities'!L574,144)-MAX('Activities'!K574,138))</x:f>
        <x:v>0</x:v>
      </x:c>
      <x:c r="AC574" s="22" t="n">
        <x:f>MAX(0,MIN('Activities'!L574,150)-MAX('Activities'!K574,144))</x:f>
        <x:v>0</x:v>
      </x:c>
      <x:c r="AD574" s="22" t="n">
        <x:f>MAX(0,MIN('Activities'!L574,156)-MAX('Activities'!K574,150))</x:f>
        <x:v>0</x:v>
      </x:c>
      <x:c r="AE574" s="22" t="n">
        <x:f>MAX(0,MIN('Activities'!L574,162)-MAX('Activities'!K574,156))</x:f>
        <x:v>0</x:v>
      </x:c>
      <x:c r="AF574" s="22" t="n">
        <x:f>MAX(0,MIN('Activities'!L574,168)-MAX('Activities'!K574,162))</x:f>
        <x:v>0</x:v>
      </x:c>
      <x:c r="AG574" s="22" t="n">
        <x:f>MAX(0,MIN('Activities'!L574,174)-MAX('Activities'!K574,168))</x:f>
        <x:v>0</x:v>
      </x:c>
      <x:c r="AH574" s="22" t="n">
        <x:f>MAX(0,MIN('Activities'!L574,180)-MAX('Activities'!K574,174))</x:f>
        <x:v>0</x:v>
      </x:c>
      <x:c r="AI574" s="22" t="n">
        <x:f>MAX(0,MIN('Activities'!L574,186)-MAX('Activities'!K574,180))</x:f>
        <x:v>0</x:v>
      </x:c>
      <x:c r="AJ574" s="22" t="n">
        <x:f>MAX(0,MIN('Activities'!L574,192)-MAX('Activities'!K574,186))</x:f>
        <x:v>0</x:v>
      </x:c>
      <x:c r="AK574" s="22" t="n">
        <x:f>MAX(0,MIN('Activities'!L574,198)-MAX('Activities'!K574,192))</x:f>
        <x:v>0</x:v>
      </x:c>
      <x:c r="AL574" s="22" t="n">
        <x:f>MAX(0,MIN('Activities'!L574,204)-MAX('Activities'!K574,198))</x:f>
        <x:v>0</x:v>
      </x:c>
      <x:c r="AM574" s="22" t="n">
        <x:f>MAX(0,MIN('Activities'!L574,210)-MAX('Activities'!K574,204))</x:f>
        <x:v>0</x:v>
      </x:c>
      <x:c r="AN574" s="22" t="n">
        <x:f>MAX(0,MIN('Activities'!L574,216)-MAX('Activities'!K574,210))</x:f>
        <x:v>0</x:v>
      </x:c>
      <x:c r="AO574" s="22" t="n">
        <x:f>MAX(0,MIN('Activities'!L574,222)-MAX('Activities'!K574,216))</x:f>
        <x:v>0</x:v>
      </x:c>
      <x:c r="AP574" s="22" t="n">
        <x:f>MAX(0,MIN('Activities'!L574,228)-MAX('Activities'!K574,222))</x:f>
        <x:v>0</x:v>
      </x:c>
      <x:c r="AQ574" s="22" t="n">
        <x:f>MAX(0,MIN('Activities'!L574,234)-MAX('Activities'!K574,228))</x:f>
        <x:v>0</x:v>
      </x:c>
      <x:c r="AR574" s="22" t="n">
        <x:f>MAX(0,MIN('Activities'!L574,240)-MAX('Activities'!K574,234))</x:f>
        <x:v>0</x:v>
      </x:c>
      <x:c r="AS574" s="22" t="n">
        <x:f>MAX(0,MIN('Activities'!L574,246)-MAX('Activities'!K574,240))</x:f>
        <x:v>0</x:v>
      </x:c>
      <x:c r="AT574" s="22" t="n">
        <x:f>MAX(0,MIN('Activities'!L574,252)-MAX('Activities'!K574,246))</x:f>
        <x:v>0</x:v>
      </x:c>
      <x:c r="AU574" s="22" t="n">
        <x:f>MAX(0,MIN('Activities'!L574,258)-MAX('Activities'!K574,252))</x:f>
        <x:v>0</x:v>
      </x:c>
      <x:c r="AV574" s="22" t="n">
        <x:f>MAX(0,MIN('Activities'!L574,264)-MAX('Activities'!K574,258))</x:f>
        <x:v>0</x:v>
      </x:c>
      <x:c r="AW574" s="22" t="n">
        <x:f>MAX(0,MIN('Activities'!L574,270)-MAX('Activities'!K574,264))</x:f>
        <x:v>0</x:v>
      </x:c>
      <x:c r="AX574" s="22" t="n">
        <x:f>MAX(0,MIN('Activities'!L574,276)-MAX('Activities'!K574,270))</x:f>
        <x:v>0</x:v>
      </x:c>
      <x:c r="AY574" s="22" t="n">
        <x:f>MAX(0,MIN('Activities'!L574,282)-MAX('Activities'!K574,276))</x:f>
        <x:v>0</x:v>
      </x:c>
      <x:c r="AZ574" s="22" t="n">
        <x:f>MAX(0,MIN('Activities'!L574,288)-MAX('Activities'!K574,282))</x:f>
        <x:v>0</x:v>
      </x:c>
      <x:c r="BA574" s="22" t="n">
        <x:f>MAX(0,MIN('Activities'!L574,294)-MAX('Activities'!K574,288))</x:f>
        <x:v>0</x:v>
      </x:c>
      <x:c r="BB574" s="22" t="n">
        <x:f>MAX(0,MIN('Activities'!L574,300)-MAX('Activities'!K574,294))</x:f>
        <x:v>0</x:v>
      </x:c>
      <x:c r="BC574" s="22" t="n">
        <x:f>MAX(0,MIN('Activities'!L574,306)-MAX('Activities'!K574,300))</x:f>
        <x:v>2</x:v>
      </x:c>
      <x:c r="BD574" s="22" t="n">
        <x:f>MAX(0,MIN('Activities'!L574,312)-MAX('Activities'!K574,306))</x:f>
        <x:v>0</x:v>
      </x:c>
      <x:c r="BE574" s="22" t="n">
        <x:f>MAX(0,MIN('Activities'!L574,318)-MAX('Activities'!K574,312))</x:f>
        <x:v>0</x:v>
      </x:c>
      <x:c r="BF574" s="22" t="n">
        <x:f>MAX(0,MIN('Activities'!L574,324)-MAX('Activities'!K574,318))</x:f>
        <x:v>0</x:v>
      </x:c>
      <x:c r="BG574" s="22" t="n">
        <x:f>MAX(0,MIN('Activities'!L574,330)-MAX('Activities'!K574,324))</x:f>
        <x:v>0</x:v>
      </x:c>
      <x:c r="BH574" s="22" t="n">
        <x:f>MAX(0,MIN('Activities'!L574,336)-MAX('Activities'!K574,330))</x:f>
        <x:v>0</x:v>
      </x:c>
      <x:c r="BI574" s="22" t="n">
        <x:f>MAX(0,MIN('Activities'!L574,342)-MAX('Activities'!K574,336))</x:f>
        <x:v>0</x:v>
      </x:c>
      <x:c r="BJ574" s="22" t="n">
        <x:f>MAX(0,MIN('Activities'!L574,348)-MAX('Activities'!K574,342))</x:f>
        <x:v>0</x:v>
      </x:c>
      <x:c r="BK574" s="22" t="n">
        <x:f>MAX(0,MIN('Activities'!L574,354)-MAX('Activities'!K574,348))</x:f>
        <x:v>0</x:v>
      </x:c>
      <x:c r="BL574" s="22" t="n">
        <x:f>MAX(0,MIN('Activities'!L574,360)-MAX('Activities'!K574,354))</x:f>
        <x:v>0</x:v>
      </x:c>
      <x:c r="BM574" s="22" t="n">
        <x:f>MAX(0,MIN('Activities'!L574,366)-MAX('Activities'!K574,360))</x:f>
        <x:v>0</x:v>
      </x:c>
      <x:c r="BN574" s="22" t="n">
        <x:f>MAX(0,MIN('Activities'!L574,372)-MAX('Activities'!K574,366))</x:f>
        <x:v>0</x:v>
      </x:c>
      <x:c r="BO574" s="22" t="n">
        <x:f>MAX(0,MIN('Activities'!L574,378)-MAX('Activities'!K574,372))</x:f>
        <x:v>0</x:v>
      </x:c>
      <x:c r="BP574" s="22" t="n">
        <x:f>MAX(0,MIN('Activities'!L574,384)-MAX('Activities'!K574,378))</x:f>
        <x:v>0</x:v>
      </x:c>
      <x:c r="BQ574" s="22" t="n">
        <x:f>MAX(0,MIN('Activities'!L574,390)-MAX('Activities'!K574,384))</x:f>
        <x:v>0</x:v>
      </x:c>
      <x:c r="BR574" s="22" t="n">
        <x:f>MAX(0,MIN('Activities'!L574,396)-MAX('Activities'!K574,390))</x:f>
        <x:v>0</x:v>
      </x:c>
      <x:c r="BS574" s="22" t="n">
        <x:f>MAX(0,MIN('Activities'!L574,402)-MAX('Activities'!K574,396))</x:f>
        <x:v>0</x:v>
      </x:c>
      <x:c r="BT574" s="22" t="n">
        <x:f>MAX(0,MIN('Activities'!L574,408)-MAX('Activities'!K574,402))</x:f>
        <x:v>0</x:v>
      </x:c>
      <x:c r="BU574" s="22" t="n">
        <x:f>MAX(0,MIN('Activities'!L574,414)-MAX('Activities'!K574,408))</x:f>
        <x:v>0</x:v>
      </x:c>
      <x:c r="BV574" s="22" t="n">
        <x:f>MAX(0,MIN('Activities'!L574,420)-MAX('Activities'!K574,414))</x:f>
        <x:v>0</x:v>
      </x:c>
      <x:c r="BW574" s="22" t="n">
        <x:f>MAX(0,MIN('Activities'!L574,426)-MAX('Activities'!K574,420))</x:f>
        <x:v>0</x:v>
      </x:c>
      <x:c r="BX574" s="22" t="n">
        <x:f>MAX(0,MIN('Activities'!L574,432)-MAX('Activities'!K574,426))</x:f>
        <x:v>0</x:v>
      </x:c>
      <x:c r="BY574" s="22" t="n">
        <x:f>MAX(0,MIN('Activities'!L574,438)-MAX('Activities'!K574,432))</x:f>
        <x:v>0</x:v>
      </x:c>
      <x:c r="BZ574" s="22" t="n">
        <x:f>MAX(0,MIN('Activities'!L574,444)-MAX('Activities'!K574,438))</x:f>
        <x:v>0</x:v>
      </x:c>
      <x:c r="CA574" s="22" t="n">
        <x:f>MAX(0,MIN('Activities'!L574,450)-MAX('Activities'!K574,444))</x:f>
        <x:v>0</x:v>
      </x:c>
      <x:c r="CB574" s="22" t="n">
        <x:f>MAX(0,MIN('Activities'!L574,456)-MAX('Activities'!K574,450))</x:f>
        <x:v>0</x:v>
      </x:c>
      <x:c r="CC574" s="22" t="n">
        <x:f>MAX(0,MIN('Activities'!L574,462)-MAX('Activities'!K574,456))</x:f>
        <x:v>0</x:v>
      </x:c>
      <x:c r="CD574" s="22" t="n">
        <x:f>MAX(0,MIN('Activities'!L574,468)-MAX('Activities'!K574,462))</x:f>
        <x:v>0</x:v>
      </x:c>
      <x:c r="CE574" s="22" t="n">
        <x:f>MAX(0,MIN('Activities'!L574,474)-MAX('Activities'!K574,468))</x:f>
        <x:v>0</x:v>
      </x:c>
      <x:c r="CF574" s="22" t="n">
        <x:f>MAX(0,MIN('Activities'!L574,480)-MAX('Activities'!K574,474))</x:f>
        <x:v>0</x:v>
      </x:c>
      <x:c r="CG574" s="22" t="n">
        <x:f>MAX(0,MIN('Activities'!L574,486)-MAX('Activities'!K574,480))</x:f>
        <x:v>0</x:v>
      </x:c>
      <x:c r="CH574" s="22" t="n">
        <x:f>MAX(0,MIN('Activities'!L574,492)-MAX('Activities'!K574,486))</x:f>
        <x:v>0</x:v>
      </x:c>
      <x:c r="CI574" s="22" t="n">
        <x:f>MAX(0,MIN('Activities'!L574,498)-MAX('Activities'!K574,492))</x:f>
        <x:v>0</x:v>
      </x:c>
      <x:c r="CJ574" s="22" t="n">
        <x:f>MAX(0,MIN('Activities'!L574,504)-MAX('Activities'!K574,498))</x:f>
        <x:v>0</x:v>
      </x:c>
      <x:c r="CK574" s="22" t="n">
        <x:f>MAX(0,MIN('Activities'!L574,510)-MAX('Activities'!K574,504))</x:f>
        <x:v>0</x:v>
      </x:c>
      <x:c r="CL574" s="22" t="n">
        <x:f>MAX(0,MIN('Activities'!L574,516)-MAX('Activities'!K574,510))</x:f>
        <x:v>0</x:v>
      </x:c>
      <x:c r="CM574" s="22" t="n">
        <x:f>MAX(0,MIN('Activities'!L574,522)-MAX('Activities'!K574,516))</x:f>
        <x:v>0</x:v>
      </x:c>
      <x:c r="CN574" s="22" t="n">
        <x:f>MAX(0,MIN('Activities'!L574,528)-MAX('Activities'!K574,522))</x:f>
        <x:v>0</x:v>
      </x:c>
      <x:c r="CO574" s="22" t="n">
        <x:f>MAX(0,MIN('Activities'!L574,534)-MAX('Activities'!K574,528))</x:f>
        <x:v>0</x:v>
      </x:c>
      <x:c r="CP574" s="22" t="n">
        <x:f>MAX(0,MIN('Activities'!L574,540)-MAX('Activities'!K574,534))</x:f>
        <x:v>0</x:v>
      </x:c>
      <x:c r="CQ574" s="22" t="n">
        <x:f>MAX(0,MIN('Activities'!L574,546)-MAX('Activities'!K574,540))</x:f>
        <x:v>0</x:v>
      </x:c>
      <x:c r="CR574" s="22" t="n">
        <x:f>MAX(0,MIN('Activities'!L574,552)-MAX('Activities'!K574,546))</x:f>
        <x:v>0</x:v>
      </x:c>
      <x:c r="CS574" s="22" t="n">
        <x:f>MAX(0,MIN('Activities'!L574,558)-MAX('Activities'!K574,552))</x:f>
        <x:v>0</x:v>
      </x:c>
      <x:c r="CT574" s="22" t="n">
        <x:f>MAX(0,MIN('Activities'!L574,564)-MAX('Activities'!K574,558))</x:f>
        <x:v>0</x:v>
      </x:c>
      <x:c r="CU574" s="22" t="n">
        <x:f>MAX(0,MIN('Activities'!L574,570)-MAX('Activities'!K574,564))</x:f>
        <x:v>0</x:v>
      </x:c>
      <x:c r="CV574" s="22" t="n">
        <x:f>MAX(0,MIN('Activities'!L574,576)-MAX('Activities'!K574,570))</x:f>
        <x:v>0</x:v>
      </x:c>
      <x:c r="CW574" s="22" t="n">
        <x:f>MAX(0,MIN('Activities'!L574,582)-MAX('Activities'!K574,576))</x:f>
        <x:v>0</x:v>
      </x:c>
      <x:c r="CX574" s="22" t="n">
        <x:f>MAX(0,MIN('Activities'!L574,588)-MAX('Activities'!K574,582))</x:f>
        <x:v>0</x:v>
      </x:c>
      <x:c r="CY574" s="22" t="n">
        <x:f>MAX(0,MIN('Activities'!L574,594)-MAX('Activities'!K574,588))</x:f>
        <x:v>0</x:v>
      </x:c>
      <x:c r="CZ574" s="22" t="n">
        <x:f>MAX(0,MIN('Activities'!L574,600)-MAX('Activities'!K574,594))</x:f>
        <x:v>0</x:v>
      </x:c>
      <x:c r="DA574" s="22" t="n">
        <x:f>MAX(0,MIN('Activities'!L574,606)-MAX('Activities'!K574,600))</x:f>
        <x:v>0</x:v>
      </x:c>
      <x:c r="DB574" s="22" t="n">
        <x:f>MAX(0,MIN('Activities'!L574,612)-MAX('Activities'!K574,606))</x:f>
        <x:v>0</x:v>
      </x:c>
      <x:c r="DC574" s="22" t="n">
        <x:f>MAX(0,MIN('Activities'!L574,618)-MAX('Activities'!K574,612))</x:f>
        <x:v>0</x:v>
      </x:c>
      <x:c r="DD574" s="22" t="n">
        <x:f>MAX(0,MIN('Activities'!L574,624)-MAX('Activities'!K574,618))</x:f>
        <x:v>0</x:v>
      </x:c>
      <x:c r="DE574" s="22" t="n">
        <x:f>MAX(0,MIN('Activities'!L574,630)-MAX('Activities'!K574,624))</x:f>
        <x:v>0</x:v>
      </x:c>
      <x:c r="DF574" s="22" t="n">
        <x:f>MAX(0,MIN('Activities'!L574,636)-MAX('Activities'!K574,630))</x:f>
        <x:v>0</x:v>
      </x:c>
    </x:row>
    <x:row r="575" ht="23" customHeight="1">
      <x:c r="A575" s="1" t="str">
        <x:v>T5-L06-H</x:v>
      </x:c>
      <x:c r="B575" s="1" t="str">
        <x:v>T5</x:v>
      </x:c>
      <x:c r="C575" s="1" t="str">
        <x:v>Curing and release hold point</x:v>
      </x:c>
      <x:c r="D575" s="1" t="str">
        <x:v>Site</x:v>
      </x:c>
      <x:c r="E575" s="23" t="n">
        <x:f>MAX(0,MIN('Activities'!L575,6)-MAX('Activities'!K575,0))</x:f>
        <x:v>0</x:v>
      </x:c>
      <x:c r="F575" s="23" t="n">
        <x:f>MAX(0,MIN('Activities'!L575,12)-MAX('Activities'!K575,6))</x:f>
        <x:v>0</x:v>
      </x:c>
      <x:c r="G575" s="23" t="n">
        <x:f>MAX(0,MIN('Activities'!L575,18)-MAX('Activities'!K575,12))</x:f>
        <x:v>0</x:v>
      </x:c>
      <x:c r="H575" s="23" t="n">
        <x:f>MAX(0,MIN('Activities'!L575,24)-MAX('Activities'!K575,18))</x:f>
        <x:v>0</x:v>
      </x:c>
      <x:c r="I575" s="23" t="n">
        <x:f>MAX(0,MIN('Activities'!L575,30)-MAX('Activities'!K575,24))</x:f>
        <x:v>0</x:v>
      </x:c>
      <x:c r="J575" s="23" t="n">
        <x:f>MAX(0,MIN('Activities'!L575,36)-MAX('Activities'!K575,30))</x:f>
        <x:v>0</x:v>
      </x:c>
      <x:c r="K575" s="23" t="n">
        <x:f>MAX(0,MIN('Activities'!L575,42)-MAX('Activities'!K575,36))</x:f>
        <x:v>0</x:v>
      </x:c>
      <x:c r="L575" s="23" t="n">
        <x:f>MAX(0,MIN('Activities'!L575,48)-MAX('Activities'!K575,42))</x:f>
        <x:v>0</x:v>
      </x:c>
      <x:c r="M575" s="23" t="n">
        <x:f>MAX(0,MIN('Activities'!L575,54)-MAX('Activities'!K575,48))</x:f>
        <x:v>0</x:v>
      </x:c>
      <x:c r="N575" s="23" t="n">
        <x:f>MAX(0,MIN('Activities'!L575,60)-MAX('Activities'!K575,54))</x:f>
        <x:v>0</x:v>
      </x:c>
      <x:c r="O575" s="23" t="n">
        <x:f>MAX(0,MIN('Activities'!L575,66)-MAX('Activities'!K575,60))</x:f>
        <x:v>0</x:v>
      </x:c>
      <x:c r="P575" s="23" t="n">
        <x:f>MAX(0,MIN('Activities'!L575,72)-MAX('Activities'!K575,66))</x:f>
        <x:v>0</x:v>
      </x:c>
      <x:c r="Q575" s="23" t="n">
        <x:f>MAX(0,MIN('Activities'!L575,78)-MAX('Activities'!K575,72))</x:f>
        <x:v>0</x:v>
      </x:c>
      <x:c r="R575" s="23" t="n">
        <x:f>MAX(0,MIN('Activities'!L575,84)-MAX('Activities'!K575,78))</x:f>
        <x:v>0</x:v>
      </x:c>
      <x:c r="S575" s="23" t="n">
        <x:f>MAX(0,MIN('Activities'!L575,90)-MAX('Activities'!K575,84))</x:f>
        <x:v>0</x:v>
      </x:c>
      <x:c r="T575" s="23" t="n">
        <x:f>MAX(0,MIN('Activities'!L575,96)-MAX('Activities'!K575,90))</x:f>
        <x:v>0</x:v>
      </x:c>
      <x:c r="U575" s="23" t="n">
        <x:f>MAX(0,MIN('Activities'!L575,102)-MAX('Activities'!K575,96))</x:f>
        <x:v>0</x:v>
      </x:c>
      <x:c r="V575" s="23" t="n">
        <x:f>MAX(0,MIN('Activities'!L575,108)-MAX('Activities'!K575,102))</x:f>
        <x:v>0</x:v>
      </x:c>
      <x:c r="W575" s="23" t="n">
        <x:f>MAX(0,MIN('Activities'!L575,114)-MAX('Activities'!K575,108))</x:f>
        <x:v>0</x:v>
      </x:c>
      <x:c r="X575" s="23" t="n">
        <x:f>MAX(0,MIN('Activities'!L575,120)-MAX('Activities'!K575,114))</x:f>
        <x:v>0</x:v>
      </x:c>
      <x:c r="Y575" s="23" t="n">
        <x:f>MAX(0,MIN('Activities'!L575,126)-MAX('Activities'!K575,120))</x:f>
        <x:v>0</x:v>
      </x:c>
      <x:c r="Z575" s="23" t="n">
        <x:f>MAX(0,MIN('Activities'!L575,132)-MAX('Activities'!K575,126))</x:f>
        <x:v>0</x:v>
      </x:c>
      <x:c r="AA575" s="23" t="n">
        <x:f>MAX(0,MIN('Activities'!L575,138)-MAX('Activities'!K575,132))</x:f>
        <x:v>0</x:v>
      </x:c>
      <x:c r="AB575" s="23" t="n">
        <x:f>MAX(0,MIN('Activities'!L575,144)-MAX('Activities'!K575,138))</x:f>
        <x:v>0</x:v>
      </x:c>
      <x:c r="AC575" s="23" t="n">
        <x:f>MAX(0,MIN('Activities'!L575,150)-MAX('Activities'!K575,144))</x:f>
        <x:v>0</x:v>
      </x:c>
      <x:c r="AD575" s="23" t="n">
        <x:f>MAX(0,MIN('Activities'!L575,156)-MAX('Activities'!K575,150))</x:f>
        <x:v>0</x:v>
      </x:c>
      <x:c r="AE575" s="23" t="n">
        <x:f>MAX(0,MIN('Activities'!L575,162)-MAX('Activities'!K575,156))</x:f>
        <x:v>0</x:v>
      </x:c>
      <x:c r="AF575" s="23" t="n">
        <x:f>MAX(0,MIN('Activities'!L575,168)-MAX('Activities'!K575,162))</x:f>
        <x:v>0</x:v>
      </x:c>
      <x:c r="AG575" s="23" t="n">
        <x:f>MAX(0,MIN('Activities'!L575,174)-MAX('Activities'!K575,168))</x:f>
        <x:v>0</x:v>
      </x:c>
      <x:c r="AH575" s="23" t="n">
        <x:f>MAX(0,MIN('Activities'!L575,180)-MAX('Activities'!K575,174))</x:f>
        <x:v>0</x:v>
      </x:c>
      <x:c r="AI575" s="23" t="n">
        <x:f>MAX(0,MIN('Activities'!L575,186)-MAX('Activities'!K575,180))</x:f>
        <x:v>0</x:v>
      </x:c>
      <x:c r="AJ575" s="23" t="n">
        <x:f>MAX(0,MIN('Activities'!L575,192)-MAX('Activities'!K575,186))</x:f>
        <x:v>0</x:v>
      </x:c>
      <x:c r="AK575" s="23" t="n">
        <x:f>MAX(0,MIN('Activities'!L575,198)-MAX('Activities'!K575,192))</x:f>
        <x:v>0</x:v>
      </x:c>
      <x:c r="AL575" s="23" t="n">
        <x:f>MAX(0,MIN('Activities'!L575,204)-MAX('Activities'!K575,198))</x:f>
        <x:v>0</x:v>
      </x:c>
      <x:c r="AM575" s="23" t="n">
        <x:f>MAX(0,MIN('Activities'!L575,210)-MAX('Activities'!K575,204))</x:f>
        <x:v>0</x:v>
      </x:c>
      <x:c r="AN575" s="23" t="n">
        <x:f>MAX(0,MIN('Activities'!L575,216)-MAX('Activities'!K575,210))</x:f>
        <x:v>0</x:v>
      </x:c>
      <x:c r="AO575" s="23" t="n">
        <x:f>MAX(0,MIN('Activities'!L575,222)-MAX('Activities'!K575,216))</x:f>
        <x:v>0</x:v>
      </x:c>
      <x:c r="AP575" s="23" t="n">
        <x:f>MAX(0,MIN('Activities'!L575,228)-MAX('Activities'!K575,222))</x:f>
        <x:v>0</x:v>
      </x:c>
      <x:c r="AQ575" s="23" t="n">
        <x:f>MAX(0,MIN('Activities'!L575,234)-MAX('Activities'!K575,228))</x:f>
        <x:v>0</x:v>
      </x:c>
      <x:c r="AR575" s="23" t="n">
        <x:f>MAX(0,MIN('Activities'!L575,240)-MAX('Activities'!K575,234))</x:f>
        <x:v>0</x:v>
      </x:c>
      <x:c r="AS575" s="23" t="n">
        <x:f>MAX(0,MIN('Activities'!L575,246)-MAX('Activities'!K575,240))</x:f>
        <x:v>0</x:v>
      </x:c>
      <x:c r="AT575" s="23" t="n">
        <x:f>MAX(0,MIN('Activities'!L575,252)-MAX('Activities'!K575,246))</x:f>
        <x:v>0</x:v>
      </x:c>
      <x:c r="AU575" s="23" t="n">
        <x:f>MAX(0,MIN('Activities'!L575,258)-MAX('Activities'!K575,252))</x:f>
        <x:v>0</x:v>
      </x:c>
      <x:c r="AV575" s="23" t="n">
        <x:f>MAX(0,MIN('Activities'!L575,264)-MAX('Activities'!K575,258))</x:f>
        <x:v>0</x:v>
      </x:c>
      <x:c r="AW575" s="23" t="n">
        <x:f>MAX(0,MIN('Activities'!L575,270)-MAX('Activities'!K575,264))</x:f>
        <x:v>0</x:v>
      </x:c>
      <x:c r="AX575" s="23" t="n">
        <x:f>MAX(0,MIN('Activities'!L575,276)-MAX('Activities'!K575,270))</x:f>
        <x:v>0</x:v>
      </x:c>
      <x:c r="AY575" s="23" t="n">
        <x:f>MAX(0,MIN('Activities'!L575,282)-MAX('Activities'!K575,276))</x:f>
        <x:v>0</x:v>
      </x:c>
      <x:c r="AZ575" s="23" t="n">
        <x:f>MAX(0,MIN('Activities'!L575,288)-MAX('Activities'!K575,282))</x:f>
        <x:v>0</x:v>
      </x:c>
      <x:c r="BA575" s="23" t="n">
        <x:f>MAX(0,MIN('Activities'!L575,294)-MAX('Activities'!K575,288))</x:f>
        <x:v>0</x:v>
      </x:c>
      <x:c r="BB575" s="23" t="n">
        <x:f>MAX(0,MIN('Activities'!L575,300)-MAX('Activities'!K575,294))</x:f>
        <x:v>0</x:v>
      </x:c>
      <x:c r="BC575" s="23" t="n">
        <x:f>MAX(0,MIN('Activities'!L575,306)-MAX('Activities'!K575,300))</x:f>
        <x:v>3</x:v>
      </x:c>
      <x:c r="BD575" s="23" t="n">
        <x:f>MAX(0,MIN('Activities'!L575,312)-MAX('Activities'!K575,306))</x:f>
        <x:v>2</x:v>
      </x:c>
      <x:c r="BE575" s="23" t="n">
        <x:f>MAX(0,MIN('Activities'!L575,318)-MAX('Activities'!K575,312))</x:f>
        <x:v>0</x:v>
      </x:c>
      <x:c r="BF575" s="23" t="n">
        <x:f>MAX(0,MIN('Activities'!L575,324)-MAX('Activities'!K575,318))</x:f>
        <x:v>0</x:v>
      </x:c>
      <x:c r="BG575" s="23" t="n">
        <x:f>MAX(0,MIN('Activities'!L575,330)-MAX('Activities'!K575,324))</x:f>
        <x:v>0</x:v>
      </x:c>
      <x:c r="BH575" s="23" t="n">
        <x:f>MAX(0,MIN('Activities'!L575,336)-MAX('Activities'!K575,330))</x:f>
        <x:v>0</x:v>
      </x:c>
      <x:c r="BI575" s="23" t="n">
        <x:f>MAX(0,MIN('Activities'!L575,342)-MAX('Activities'!K575,336))</x:f>
        <x:v>0</x:v>
      </x:c>
      <x:c r="BJ575" s="23" t="n">
        <x:f>MAX(0,MIN('Activities'!L575,348)-MAX('Activities'!K575,342))</x:f>
        <x:v>0</x:v>
      </x:c>
      <x:c r="BK575" s="23" t="n">
        <x:f>MAX(0,MIN('Activities'!L575,354)-MAX('Activities'!K575,348))</x:f>
        <x:v>0</x:v>
      </x:c>
      <x:c r="BL575" s="23" t="n">
        <x:f>MAX(0,MIN('Activities'!L575,360)-MAX('Activities'!K575,354))</x:f>
        <x:v>0</x:v>
      </x:c>
      <x:c r="BM575" s="23" t="n">
        <x:f>MAX(0,MIN('Activities'!L575,366)-MAX('Activities'!K575,360))</x:f>
        <x:v>0</x:v>
      </x:c>
      <x:c r="BN575" s="23" t="n">
        <x:f>MAX(0,MIN('Activities'!L575,372)-MAX('Activities'!K575,366))</x:f>
        <x:v>0</x:v>
      </x:c>
      <x:c r="BO575" s="23" t="n">
        <x:f>MAX(0,MIN('Activities'!L575,378)-MAX('Activities'!K575,372))</x:f>
        <x:v>0</x:v>
      </x:c>
      <x:c r="BP575" s="23" t="n">
        <x:f>MAX(0,MIN('Activities'!L575,384)-MAX('Activities'!K575,378))</x:f>
        <x:v>0</x:v>
      </x:c>
      <x:c r="BQ575" s="23" t="n">
        <x:f>MAX(0,MIN('Activities'!L575,390)-MAX('Activities'!K575,384))</x:f>
        <x:v>0</x:v>
      </x:c>
      <x:c r="BR575" s="23" t="n">
        <x:f>MAX(0,MIN('Activities'!L575,396)-MAX('Activities'!K575,390))</x:f>
        <x:v>0</x:v>
      </x:c>
      <x:c r="BS575" s="23" t="n">
        <x:f>MAX(0,MIN('Activities'!L575,402)-MAX('Activities'!K575,396))</x:f>
        <x:v>0</x:v>
      </x:c>
      <x:c r="BT575" s="23" t="n">
        <x:f>MAX(0,MIN('Activities'!L575,408)-MAX('Activities'!K575,402))</x:f>
        <x:v>0</x:v>
      </x:c>
      <x:c r="BU575" s="23" t="n">
        <x:f>MAX(0,MIN('Activities'!L575,414)-MAX('Activities'!K575,408))</x:f>
        <x:v>0</x:v>
      </x:c>
      <x:c r="BV575" s="23" t="n">
        <x:f>MAX(0,MIN('Activities'!L575,420)-MAX('Activities'!K575,414))</x:f>
        <x:v>0</x:v>
      </x:c>
      <x:c r="BW575" s="23" t="n">
        <x:f>MAX(0,MIN('Activities'!L575,426)-MAX('Activities'!K575,420))</x:f>
        <x:v>0</x:v>
      </x:c>
      <x:c r="BX575" s="23" t="n">
        <x:f>MAX(0,MIN('Activities'!L575,432)-MAX('Activities'!K575,426))</x:f>
        <x:v>0</x:v>
      </x:c>
      <x:c r="BY575" s="23" t="n">
        <x:f>MAX(0,MIN('Activities'!L575,438)-MAX('Activities'!K575,432))</x:f>
        <x:v>0</x:v>
      </x:c>
      <x:c r="BZ575" s="23" t="n">
        <x:f>MAX(0,MIN('Activities'!L575,444)-MAX('Activities'!K575,438))</x:f>
        <x:v>0</x:v>
      </x:c>
      <x:c r="CA575" s="23" t="n">
        <x:f>MAX(0,MIN('Activities'!L575,450)-MAX('Activities'!K575,444))</x:f>
        <x:v>0</x:v>
      </x:c>
      <x:c r="CB575" s="23" t="n">
        <x:f>MAX(0,MIN('Activities'!L575,456)-MAX('Activities'!K575,450))</x:f>
        <x:v>0</x:v>
      </x:c>
      <x:c r="CC575" s="23" t="n">
        <x:f>MAX(0,MIN('Activities'!L575,462)-MAX('Activities'!K575,456))</x:f>
        <x:v>0</x:v>
      </x:c>
      <x:c r="CD575" s="23" t="n">
        <x:f>MAX(0,MIN('Activities'!L575,468)-MAX('Activities'!K575,462))</x:f>
        <x:v>0</x:v>
      </x:c>
      <x:c r="CE575" s="23" t="n">
        <x:f>MAX(0,MIN('Activities'!L575,474)-MAX('Activities'!K575,468))</x:f>
        <x:v>0</x:v>
      </x:c>
      <x:c r="CF575" s="23" t="n">
        <x:f>MAX(0,MIN('Activities'!L575,480)-MAX('Activities'!K575,474))</x:f>
        <x:v>0</x:v>
      </x:c>
      <x:c r="CG575" s="23" t="n">
        <x:f>MAX(0,MIN('Activities'!L575,486)-MAX('Activities'!K575,480))</x:f>
        <x:v>0</x:v>
      </x:c>
      <x:c r="CH575" s="23" t="n">
        <x:f>MAX(0,MIN('Activities'!L575,492)-MAX('Activities'!K575,486))</x:f>
        <x:v>0</x:v>
      </x:c>
      <x:c r="CI575" s="23" t="n">
        <x:f>MAX(0,MIN('Activities'!L575,498)-MAX('Activities'!K575,492))</x:f>
        <x:v>0</x:v>
      </x:c>
      <x:c r="CJ575" s="23" t="n">
        <x:f>MAX(0,MIN('Activities'!L575,504)-MAX('Activities'!K575,498))</x:f>
        <x:v>0</x:v>
      </x:c>
      <x:c r="CK575" s="23" t="n">
        <x:f>MAX(0,MIN('Activities'!L575,510)-MAX('Activities'!K575,504))</x:f>
        <x:v>0</x:v>
      </x:c>
      <x:c r="CL575" s="23" t="n">
        <x:f>MAX(0,MIN('Activities'!L575,516)-MAX('Activities'!K575,510))</x:f>
        <x:v>0</x:v>
      </x:c>
      <x:c r="CM575" s="23" t="n">
        <x:f>MAX(0,MIN('Activities'!L575,522)-MAX('Activities'!K575,516))</x:f>
        <x:v>0</x:v>
      </x:c>
      <x:c r="CN575" s="23" t="n">
        <x:f>MAX(0,MIN('Activities'!L575,528)-MAX('Activities'!K575,522))</x:f>
        <x:v>0</x:v>
      </x:c>
      <x:c r="CO575" s="23" t="n">
        <x:f>MAX(0,MIN('Activities'!L575,534)-MAX('Activities'!K575,528))</x:f>
        <x:v>0</x:v>
      </x:c>
      <x:c r="CP575" s="23" t="n">
        <x:f>MAX(0,MIN('Activities'!L575,540)-MAX('Activities'!K575,534))</x:f>
        <x:v>0</x:v>
      </x:c>
      <x:c r="CQ575" s="23" t="n">
        <x:f>MAX(0,MIN('Activities'!L575,546)-MAX('Activities'!K575,540))</x:f>
        <x:v>0</x:v>
      </x:c>
      <x:c r="CR575" s="23" t="n">
        <x:f>MAX(0,MIN('Activities'!L575,552)-MAX('Activities'!K575,546))</x:f>
        <x:v>0</x:v>
      </x:c>
      <x:c r="CS575" s="23" t="n">
        <x:f>MAX(0,MIN('Activities'!L575,558)-MAX('Activities'!K575,552))</x:f>
        <x:v>0</x:v>
      </x:c>
      <x:c r="CT575" s="23" t="n">
        <x:f>MAX(0,MIN('Activities'!L575,564)-MAX('Activities'!K575,558))</x:f>
        <x:v>0</x:v>
      </x:c>
      <x:c r="CU575" s="23" t="n">
        <x:f>MAX(0,MIN('Activities'!L575,570)-MAX('Activities'!K575,564))</x:f>
        <x:v>0</x:v>
      </x:c>
      <x:c r="CV575" s="23" t="n">
        <x:f>MAX(0,MIN('Activities'!L575,576)-MAX('Activities'!K575,570))</x:f>
        <x:v>0</x:v>
      </x:c>
      <x:c r="CW575" s="23" t="n">
        <x:f>MAX(0,MIN('Activities'!L575,582)-MAX('Activities'!K575,576))</x:f>
        <x:v>0</x:v>
      </x:c>
      <x:c r="CX575" s="23" t="n">
        <x:f>MAX(0,MIN('Activities'!L575,588)-MAX('Activities'!K575,582))</x:f>
        <x:v>0</x:v>
      </x:c>
      <x:c r="CY575" s="23" t="n">
        <x:f>MAX(0,MIN('Activities'!L575,594)-MAX('Activities'!K575,588))</x:f>
        <x:v>0</x:v>
      </x:c>
      <x:c r="CZ575" s="23" t="n">
        <x:f>MAX(0,MIN('Activities'!L575,600)-MAX('Activities'!K575,594))</x:f>
        <x:v>0</x:v>
      </x:c>
      <x:c r="DA575" s="23" t="n">
        <x:f>MAX(0,MIN('Activities'!L575,606)-MAX('Activities'!K575,600))</x:f>
        <x:v>0</x:v>
      </x:c>
      <x:c r="DB575" s="23" t="n">
        <x:f>MAX(0,MIN('Activities'!L575,612)-MAX('Activities'!K575,606))</x:f>
        <x:v>0</x:v>
      </x:c>
      <x:c r="DC575" s="23" t="n">
        <x:f>MAX(0,MIN('Activities'!L575,618)-MAX('Activities'!K575,612))</x:f>
        <x:v>0</x:v>
      </x:c>
      <x:c r="DD575" s="23" t="n">
        <x:f>MAX(0,MIN('Activities'!L575,624)-MAX('Activities'!K575,618))</x:f>
        <x:v>0</x:v>
      </x:c>
      <x:c r="DE575" s="23" t="n">
        <x:f>MAX(0,MIN('Activities'!L575,630)-MAX('Activities'!K575,624))</x:f>
        <x:v>0</x:v>
      </x:c>
      <x:c r="DF575" s="23" t="n">
        <x:f>MAX(0,MIN('Activities'!L575,636)-MAX('Activities'!K575,630))</x:f>
        <x:v>0</x:v>
      </x:c>
    </x:row>
    <x:row r="576" ht="23" customHeight="1">
      <x:c r="A576" s="6" t="str">
        <x:v>T5-L07-F</x:v>
      </x:c>
      <x:c r="B576" s="6" t="str">
        <x:v>T5</x:v>
      </x:c>
      <x:c r="C576" s="6" t="str">
        <x:v>Columns, core and deck formwork</x:v>
      </x:c>
      <x:c r="D576" s="6" t="str">
        <x:v>Formwork</x:v>
      </x:c>
      <x:c r="E576" s="22" t="n">
        <x:f>MAX(0,MIN('Activities'!L576,6)-MAX('Activities'!K576,0))</x:f>
        <x:v>0</x:v>
      </x:c>
      <x:c r="F576" s="22" t="n">
        <x:f>MAX(0,MIN('Activities'!L576,12)-MAX('Activities'!K576,6))</x:f>
        <x:v>0</x:v>
      </x:c>
      <x:c r="G576" s="22" t="n">
        <x:f>MAX(0,MIN('Activities'!L576,18)-MAX('Activities'!K576,12))</x:f>
        <x:v>0</x:v>
      </x:c>
      <x:c r="H576" s="22" t="n">
        <x:f>MAX(0,MIN('Activities'!L576,24)-MAX('Activities'!K576,18))</x:f>
        <x:v>0</x:v>
      </x:c>
      <x:c r="I576" s="22" t="n">
        <x:f>MAX(0,MIN('Activities'!L576,30)-MAX('Activities'!K576,24))</x:f>
        <x:v>0</x:v>
      </x:c>
      <x:c r="J576" s="22" t="n">
        <x:f>MAX(0,MIN('Activities'!L576,36)-MAX('Activities'!K576,30))</x:f>
        <x:v>0</x:v>
      </x:c>
      <x:c r="K576" s="22" t="n">
        <x:f>MAX(0,MIN('Activities'!L576,42)-MAX('Activities'!K576,36))</x:f>
        <x:v>0</x:v>
      </x:c>
      <x:c r="L576" s="22" t="n">
        <x:f>MAX(0,MIN('Activities'!L576,48)-MAX('Activities'!K576,42))</x:f>
        <x:v>0</x:v>
      </x:c>
      <x:c r="M576" s="22" t="n">
        <x:f>MAX(0,MIN('Activities'!L576,54)-MAX('Activities'!K576,48))</x:f>
        <x:v>0</x:v>
      </x:c>
      <x:c r="N576" s="22" t="n">
        <x:f>MAX(0,MIN('Activities'!L576,60)-MAX('Activities'!K576,54))</x:f>
        <x:v>0</x:v>
      </x:c>
      <x:c r="O576" s="22" t="n">
        <x:f>MAX(0,MIN('Activities'!L576,66)-MAX('Activities'!K576,60))</x:f>
        <x:v>0</x:v>
      </x:c>
      <x:c r="P576" s="22" t="n">
        <x:f>MAX(0,MIN('Activities'!L576,72)-MAX('Activities'!K576,66))</x:f>
        <x:v>0</x:v>
      </x:c>
      <x:c r="Q576" s="22" t="n">
        <x:f>MAX(0,MIN('Activities'!L576,78)-MAX('Activities'!K576,72))</x:f>
        <x:v>0</x:v>
      </x:c>
      <x:c r="R576" s="22" t="n">
        <x:f>MAX(0,MIN('Activities'!L576,84)-MAX('Activities'!K576,78))</x:f>
        <x:v>0</x:v>
      </x:c>
      <x:c r="S576" s="22" t="n">
        <x:f>MAX(0,MIN('Activities'!L576,90)-MAX('Activities'!K576,84))</x:f>
        <x:v>0</x:v>
      </x:c>
      <x:c r="T576" s="22" t="n">
        <x:f>MAX(0,MIN('Activities'!L576,96)-MAX('Activities'!K576,90))</x:f>
        <x:v>0</x:v>
      </x:c>
      <x:c r="U576" s="22" t="n">
        <x:f>MAX(0,MIN('Activities'!L576,102)-MAX('Activities'!K576,96))</x:f>
        <x:v>0</x:v>
      </x:c>
      <x:c r="V576" s="22" t="n">
        <x:f>MAX(0,MIN('Activities'!L576,108)-MAX('Activities'!K576,102))</x:f>
        <x:v>0</x:v>
      </x:c>
      <x:c r="W576" s="22" t="n">
        <x:f>MAX(0,MIN('Activities'!L576,114)-MAX('Activities'!K576,108))</x:f>
        <x:v>0</x:v>
      </x:c>
      <x:c r="X576" s="22" t="n">
        <x:f>MAX(0,MIN('Activities'!L576,120)-MAX('Activities'!K576,114))</x:f>
        <x:v>0</x:v>
      </x:c>
      <x:c r="Y576" s="22" t="n">
        <x:f>MAX(0,MIN('Activities'!L576,126)-MAX('Activities'!K576,120))</x:f>
        <x:v>0</x:v>
      </x:c>
      <x:c r="Z576" s="22" t="n">
        <x:f>MAX(0,MIN('Activities'!L576,132)-MAX('Activities'!K576,126))</x:f>
        <x:v>0</x:v>
      </x:c>
      <x:c r="AA576" s="22" t="n">
        <x:f>MAX(0,MIN('Activities'!L576,138)-MAX('Activities'!K576,132))</x:f>
        <x:v>0</x:v>
      </x:c>
      <x:c r="AB576" s="22" t="n">
        <x:f>MAX(0,MIN('Activities'!L576,144)-MAX('Activities'!K576,138))</x:f>
        <x:v>0</x:v>
      </x:c>
      <x:c r="AC576" s="22" t="n">
        <x:f>MAX(0,MIN('Activities'!L576,150)-MAX('Activities'!K576,144))</x:f>
        <x:v>0</x:v>
      </x:c>
      <x:c r="AD576" s="22" t="n">
        <x:f>MAX(0,MIN('Activities'!L576,156)-MAX('Activities'!K576,150))</x:f>
        <x:v>0</x:v>
      </x:c>
      <x:c r="AE576" s="22" t="n">
        <x:f>MAX(0,MIN('Activities'!L576,162)-MAX('Activities'!K576,156))</x:f>
        <x:v>0</x:v>
      </x:c>
      <x:c r="AF576" s="22" t="n">
        <x:f>MAX(0,MIN('Activities'!L576,168)-MAX('Activities'!K576,162))</x:f>
        <x:v>0</x:v>
      </x:c>
      <x:c r="AG576" s="22" t="n">
        <x:f>MAX(0,MIN('Activities'!L576,174)-MAX('Activities'!K576,168))</x:f>
        <x:v>0</x:v>
      </x:c>
      <x:c r="AH576" s="22" t="n">
        <x:f>MAX(0,MIN('Activities'!L576,180)-MAX('Activities'!K576,174))</x:f>
        <x:v>0</x:v>
      </x:c>
      <x:c r="AI576" s="22" t="n">
        <x:f>MAX(0,MIN('Activities'!L576,186)-MAX('Activities'!K576,180))</x:f>
        <x:v>0</x:v>
      </x:c>
      <x:c r="AJ576" s="22" t="n">
        <x:f>MAX(0,MIN('Activities'!L576,192)-MAX('Activities'!K576,186))</x:f>
        <x:v>0</x:v>
      </x:c>
      <x:c r="AK576" s="22" t="n">
        <x:f>MAX(0,MIN('Activities'!L576,198)-MAX('Activities'!K576,192))</x:f>
        <x:v>0</x:v>
      </x:c>
      <x:c r="AL576" s="22" t="n">
        <x:f>MAX(0,MIN('Activities'!L576,204)-MAX('Activities'!K576,198))</x:f>
        <x:v>0</x:v>
      </x:c>
      <x:c r="AM576" s="22" t="n">
        <x:f>MAX(0,MIN('Activities'!L576,210)-MAX('Activities'!K576,204))</x:f>
        <x:v>0</x:v>
      </x:c>
      <x:c r="AN576" s="22" t="n">
        <x:f>MAX(0,MIN('Activities'!L576,216)-MAX('Activities'!K576,210))</x:f>
        <x:v>0</x:v>
      </x:c>
      <x:c r="AO576" s="22" t="n">
        <x:f>MAX(0,MIN('Activities'!L576,222)-MAX('Activities'!K576,216))</x:f>
        <x:v>0</x:v>
      </x:c>
      <x:c r="AP576" s="22" t="n">
        <x:f>MAX(0,MIN('Activities'!L576,228)-MAX('Activities'!K576,222))</x:f>
        <x:v>0</x:v>
      </x:c>
      <x:c r="AQ576" s="22" t="n">
        <x:f>MAX(0,MIN('Activities'!L576,234)-MAX('Activities'!K576,228))</x:f>
        <x:v>0</x:v>
      </x:c>
      <x:c r="AR576" s="22" t="n">
        <x:f>MAX(0,MIN('Activities'!L576,240)-MAX('Activities'!K576,234))</x:f>
        <x:v>0</x:v>
      </x:c>
      <x:c r="AS576" s="22" t="n">
        <x:f>MAX(0,MIN('Activities'!L576,246)-MAX('Activities'!K576,240))</x:f>
        <x:v>0</x:v>
      </x:c>
      <x:c r="AT576" s="22" t="n">
        <x:f>MAX(0,MIN('Activities'!L576,252)-MAX('Activities'!K576,246))</x:f>
        <x:v>0</x:v>
      </x:c>
      <x:c r="AU576" s="22" t="n">
        <x:f>MAX(0,MIN('Activities'!L576,258)-MAX('Activities'!K576,252))</x:f>
        <x:v>0</x:v>
      </x:c>
      <x:c r="AV576" s="22" t="n">
        <x:f>MAX(0,MIN('Activities'!L576,264)-MAX('Activities'!K576,258))</x:f>
        <x:v>0</x:v>
      </x:c>
      <x:c r="AW576" s="22" t="n">
        <x:f>MAX(0,MIN('Activities'!L576,270)-MAX('Activities'!K576,264))</x:f>
        <x:v>0</x:v>
      </x:c>
      <x:c r="AX576" s="22" t="n">
        <x:f>MAX(0,MIN('Activities'!L576,276)-MAX('Activities'!K576,270))</x:f>
        <x:v>0</x:v>
      </x:c>
      <x:c r="AY576" s="22" t="n">
        <x:f>MAX(0,MIN('Activities'!L576,282)-MAX('Activities'!K576,276))</x:f>
        <x:v>0</x:v>
      </x:c>
      <x:c r="AZ576" s="22" t="n">
        <x:f>MAX(0,MIN('Activities'!L576,288)-MAX('Activities'!K576,282))</x:f>
        <x:v>0</x:v>
      </x:c>
      <x:c r="BA576" s="22" t="n">
        <x:f>MAX(0,MIN('Activities'!L576,294)-MAX('Activities'!K576,288))</x:f>
        <x:v>0</x:v>
      </x:c>
      <x:c r="BB576" s="22" t="n">
        <x:f>MAX(0,MIN('Activities'!L576,300)-MAX('Activities'!K576,294))</x:f>
        <x:v>0</x:v>
      </x:c>
      <x:c r="BC576" s="22" t="n">
        <x:f>MAX(0,MIN('Activities'!L576,306)-MAX('Activities'!K576,300))</x:f>
        <x:v>0</x:v>
      </x:c>
      <x:c r="BD576" s="22" t="n">
        <x:f>MAX(0,MIN('Activities'!L576,312)-MAX('Activities'!K576,306))</x:f>
        <x:v>4</x:v>
      </x:c>
      <x:c r="BE576" s="22" t="n">
        <x:f>MAX(0,MIN('Activities'!L576,318)-MAX('Activities'!K576,312))</x:f>
        <x:v>2</x:v>
      </x:c>
      <x:c r="BF576" s="22" t="n">
        <x:f>MAX(0,MIN('Activities'!L576,324)-MAX('Activities'!K576,318))</x:f>
        <x:v>0</x:v>
      </x:c>
      <x:c r="BG576" s="22" t="n">
        <x:f>MAX(0,MIN('Activities'!L576,330)-MAX('Activities'!K576,324))</x:f>
        <x:v>0</x:v>
      </x:c>
      <x:c r="BH576" s="22" t="n">
        <x:f>MAX(0,MIN('Activities'!L576,336)-MAX('Activities'!K576,330))</x:f>
        <x:v>0</x:v>
      </x:c>
      <x:c r="BI576" s="22" t="n">
        <x:f>MAX(0,MIN('Activities'!L576,342)-MAX('Activities'!K576,336))</x:f>
        <x:v>0</x:v>
      </x:c>
      <x:c r="BJ576" s="22" t="n">
        <x:f>MAX(0,MIN('Activities'!L576,348)-MAX('Activities'!K576,342))</x:f>
        <x:v>0</x:v>
      </x:c>
      <x:c r="BK576" s="22" t="n">
        <x:f>MAX(0,MIN('Activities'!L576,354)-MAX('Activities'!K576,348))</x:f>
        <x:v>0</x:v>
      </x:c>
      <x:c r="BL576" s="22" t="n">
        <x:f>MAX(0,MIN('Activities'!L576,360)-MAX('Activities'!K576,354))</x:f>
        <x:v>0</x:v>
      </x:c>
      <x:c r="BM576" s="22" t="n">
        <x:f>MAX(0,MIN('Activities'!L576,366)-MAX('Activities'!K576,360))</x:f>
        <x:v>0</x:v>
      </x:c>
      <x:c r="BN576" s="22" t="n">
        <x:f>MAX(0,MIN('Activities'!L576,372)-MAX('Activities'!K576,366))</x:f>
        <x:v>0</x:v>
      </x:c>
      <x:c r="BO576" s="22" t="n">
        <x:f>MAX(0,MIN('Activities'!L576,378)-MAX('Activities'!K576,372))</x:f>
        <x:v>0</x:v>
      </x:c>
      <x:c r="BP576" s="22" t="n">
        <x:f>MAX(0,MIN('Activities'!L576,384)-MAX('Activities'!K576,378))</x:f>
        <x:v>0</x:v>
      </x:c>
      <x:c r="BQ576" s="22" t="n">
        <x:f>MAX(0,MIN('Activities'!L576,390)-MAX('Activities'!K576,384))</x:f>
        <x:v>0</x:v>
      </x:c>
      <x:c r="BR576" s="22" t="n">
        <x:f>MAX(0,MIN('Activities'!L576,396)-MAX('Activities'!K576,390))</x:f>
        <x:v>0</x:v>
      </x:c>
      <x:c r="BS576" s="22" t="n">
        <x:f>MAX(0,MIN('Activities'!L576,402)-MAX('Activities'!K576,396))</x:f>
        <x:v>0</x:v>
      </x:c>
      <x:c r="BT576" s="22" t="n">
        <x:f>MAX(0,MIN('Activities'!L576,408)-MAX('Activities'!K576,402))</x:f>
        <x:v>0</x:v>
      </x:c>
      <x:c r="BU576" s="22" t="n">
        <x:f>MAX(0,MIN('Activities'!L576,414)-MAX('Activities'!K576,408))</x:f>
        <x:v>0</x:v>
      </x:c>
      <x:c r="BV576" s="22" t="n">
        <x:f>MAX(0,MIN('Activities'!L576,420)-MAX('Activities'!K576,414))</x:f>
        <x:v>0</x:v>
      </x:c>
      <x:c r="BW576" s="22" t="n">
        <x:f>MAX(0,MIN('Activities'!L576,426)-MAX('Activities'!K576,420))</x:f>
        <x:v>0</x:v>
      </x:c>
      <x:c r="BX576" s="22" t="n">
        <x:f>MAX(0,MIN('Activities'!L576,432)-MAX('Activities'!K576,426))</x:f>
        <x:v>0</x:v>
      </x:c>
      <x:c r="BY576" s="22" t="n">
        <x:f>MAX(0,MIN('Activities'!L576,438)-MAX('Activities'!K576,432))</x:f>
        <x:v>0</x:v>
      </x:c>
      <x:c r="BZ576" s="22" t="n">
        <x:f>MAX(0,MIN('Activities'!L576,444)-MAX('Activities'!K576,438))</x:f>
        <x:v>0</x:v>
      </x:c>
      <x:c r="CA576" s="22" t="n">
        <x:f>MAX(0,MIN('Activities'!L576,450)-MAX('Activities'!K576,444))</x:f>
        <x:v>0</x:v>
      </x:c>
      <x:c r="CB576" s="22" t="n">
        <x:f>MAX(0,MIN('Activities'!L576,456)-MAX('Activities'!K576,450))</x:f>
        <x:v>0</x:v>
      </x:c>
      <x:c r="CC576" s="22" t="n">
        <x:f>MAX(0,MIN('Activities'!L576,462)-MAX('Activities'!K576,456))</x:f>
        <x:v>0</x:v>
      </x:c>
      <x:c r="CD576" s="22" t="n">
        <x:f>MAX(0,MIN('Activities'!L576,468)-MAX('Activities'!K576,462))</x:f>
        <x:v>0</x:v>
      </x:c>
      <x:c r="CE576" s="22" t="n">
        <x:f>MAX(0,MIN('Activities'!L576,474)-MAX('Activities'!K576,468))</x:f>
        <x:v>0</x:v>
      </x:c>
      <x:c r="CF576" s="22" t="n">
        <x:f>MAX(0,MIN('Activities'!L576,480)-MAX('Activities'!K576,474))</x:f>
        <x:v>0</x:v>
      </x:c>
      <x:c r="CG576" s="22" t="n">
        <x:f>MAX(0,MIN('Activities'!L576,486)-MAX('Activities'!K576,480))</x:f>
        <x:v>0</x:v>
      </x:c>
      <x:c r="CH576" s="22" t="n">
        <x:f>MAX(0,MIN('Activities'!L576,492)-MAX('Activities'!K576,486))</x:f>
        <x:v>0</x:v>
      </x:c>
      <x:c r="CI576" s="22" t="n">
        <x:f>MAX(0,MIN('Activities'!L576,498)-MAX('Activities'!K576,492))</x:f>
        <x:v>0</x:v>
      </x:c>
      <x:c r="CJ576" s="22" t="n">
        <x:f>MAX(0,MIN('Activities'!L576,504)-MAX('Activities'!K576,498))</x:f>
        <x:v>0</x:v>
      </x:c>
      <x:c r="CK576" s="22" t="n">
        <x:f>MAX(0,MIN('Activities'!L576,510)-MAX('Activities'!K576,504))</x:f>
        <x:v>0</x:v>
      </x:c>
      <x:c r="CL576" s="22" t="n">
        <x:f>MAX(0,MIN('Activities'!L576,516)-MAX('Activities'!K576,510))</x:f>
        <x:v>0</x:v>
      </x:c>
      <x:c r="CM576" s="22" t="n">
        <x:f>MAX(0,MIN('Activities'!L576,522)-MAX('Activities'!K576,516))</x:f>
        <x:v>0</x:v>
      </x:c>
      <x:c r="CN576" s="22" t="n">
        <x:f>MAX(0,MIN('Activities'!L576,528)-MAX('Activities'!K576,522))</x:f>
        <x:v>0</x:v>
      </x:c>
      <x:c r="CO576" s="22" t="n">
        <x:f>MAX(0,MIN('Activities'!L576,534)-MAX('Activities'!K576,528))</x:f>
        <x:v>0</x:v>
      </x:c>
      <x:c r="CP576" s="22" t="n">
        <x:f>MAX(0,MIN('Activities'!L576,540)-MAX('Activities'!K576,534))</x:f>
        <x:v>0</x:v>
      </x:c>
      <x:c r="CQ576" s="22" t="n">
        <x:f>MAX(0,MIN('Activities'!L576,546)-MAX('Activities'!K576,540))</x:f>
        <x:v>0</x:v>
      </x:c>
      <x:c r="CR576" s="22" t="n">
        <x:f>MAX(0,MIN('Activities'!L576,552)-MAX('Activities'!K576,546))</x:f>
        <x:v>0</x:v>
      </x:c>
      <x:c r="CS576" s="22" t="n">
        <x:f>MAX(0,MIN('Activities'!L576,558)-MAX('Activities'!K576,552))</x:f>
        <x:v>0</x:v>
      </x:c>
      <x:c r="CT576" s="22" t="n">
        <x:f>MAX(0,MIN('Activities'!L576,564)-MAX('Activities'!K576,558))</x:f>
        <x:v>0</x:v>
      </x:c>
      <x:c r="CU576" s="22" t="n">
        <x:f>MAX(0,MIN('Activities'!L576,570)-MAX('Activities'!K576,564))</x:f>
        <x:v>0</x:v>
      </x:c>
      <x:c r="CV576" s="22" t="n">
        <x:f>MAX(0,MIN('Activities'!L576,576)-MAX('Activities'!K576,570))</x:f>
        <x:v>0</x:v>
      </x:c>
      <x:c r="CW576" s="22" t="n">
        <x:f>MAX(0,MIN('Activities'!L576,582)-MAX('Activities'!K576,576))</x:f>
        <x:v>0</x:v>
      </x:c>
      <x:c r="CX576" s="22" t="n">
        <x:f>MAX(0,MIN('Activities'!L576,588)-MAX('Activities'!K576,582))</x:f>
        <x:v>0</x:v>
      </x:c>
      <x:c r="CY576" s="22" t="n">
        <x:f>MAX(0,MIN('Activities'!L576,594)-MAX('Activities'!K576,588))</x:f>
        <x:v>0</x:v>
      </x:c>
      <x:c r="CZ576" s="22" t="n">
        <x:f>MAX(0,MIN('Activities'!L576,600)-MAX('Activities'!K576,594))</x:f>
        <x:v>0</x:v>
      </x:c>
      <x:c r="DA576" s="22" t="n">
        <x:f>MAX(0,MIN('Activities'!L576,606)-MAX('Activities'!K576,600))</x:f>
        <x:v>0</x:v>
      </x:c>
      <x:c r="DB576" s="22" t="n">
        <x:f>MAX(0,MIN('Activities'!L576,612)-MAX('Activities'!K576,606))</x:f>
        <x:v>0</x:v>
      </x:c>
      <x:c r="DC576" s="22" t="n">
        <x:f>MAX(0,MIN('Activities'!L576,618)-MAX('Activities'!K576,612))</x:f>
        <x:v>0</x:v>
      </x:c>
      <x:c r="DD576" s="22" t="n">
        <x:f>MAX(0,MIN('Activities'!L576,624)-MAX('Activities'!K576,618))</x:f>
        <x:v>0</x:v>
      </x:c>
      <x:c r="DE576" s="22" t="n">
        <x:f>MAX(0,MIN('Activities'!L576,630)-MAX('Activities'!K576,624))</x:f>
        <x:v>0</x:v>
      </x:c>
      <x:c r="DF576" s="22" t="n">
        <x:f>MAX(0,MIN('Activities'!L576,636)-MAX('Activities'!K576,630))</x:f>
        <x:v>0</x:v>
      </x:c>
    </x:row>
    <x:row r="577" ht="23" customHeight="1">
      <x:c r="A577" s="1" t="str">
        <x:v>T5-L07-R</x:v>
      </x:c>
      <x:c r="B577" s="1" t="str">
        <x:v>T5</x:v>
      </x:c>
      <x:c r="C577" s="1" t="str">
        <x:v>Column, wall, beam and slab reinforcement</x:v>
      </x:c>
      <x:c r="D577" s="1" t="str">
        <x:v>Rebar</x:v>
      </x:c>
      <x:c r="E577" s="23" t="n">
        <x:f>MAX(0,MIN('Activities'!L577,6)-MAX('Activities'!K577,0))</x:f>
        <x:v>0</x:v>
      </x:c>
      <x:c r="F577" s="23" t="n">
        <x:f>MAX(0,MIN('Activities'!L577,12)-MAX('Activities'!K577,6))</x:f>
        <x:v>0</x:v>
      </x:c>
      <x:c r="G577" s="23" t="n">
        <x:f>MAX(0,MIN('Activities'!L577,18)-MAX('Activities'!K577,12))</x:f>
        <x:v>0</x:v>
      </x:c>
      <x:c r="H577" s="23" t="n">
        <x:f>MAX(0,MIN('Activities'!L577,24)-MAX('Activities'!K577,18))</x:f>
        <x:v>0</x:v>
      </x:c>
      <x:c r="I577" s="23" t="n">
        <x:f>MAX(0,MIN('Activities'!L577,30)-MAX('Activities'!K577,24))</x:f>
        <x:v>0</x:v>
      </x:c>
      <x:c r="J577" s="23" t="n">
        <x:f>MAX(0,MIN('Activities'!L577,36)-MAX('Activities'!K577,30))</x:f>
        <x:v>0</x:v>
      </x:c>
      <x:c r="K577" s="23" t="n">
        <x:f>MAX(0,MIN('Activities'!L577,42)-MAX('Activities'!K577,36))</x:f>
        <x:v>0</x:v>
      </x:c>
      <x:c r="L577" s="23" t="n">
        <x:f>MAX(0,MIN('Activities'!L577,48)-MAX('Activities'!K577,42))</x:f>
        <x:v>0</x:v>
      </x:c>
      <x:c r="M577" s="23" t="n">
        <x:f>MAX(0,MIN('Activities'!L577,54)-MAX('Activities'!K577,48))</x:f>
        <x:v>0</x:v>
      </x:c>
      <x:c r="N577" s="23" t="n">
        <x:f>MAX(0,MIN('Activities'!L577,60)-MAX('Activities'!K577,54))</x:f>
        <x:v>0</x:v>
      </x:c>
      <x:c r="O577" s="23" t="n">
        <x:f>MAX(0,MIN('Activities'!L577,66)-MAX('Activities'!K577,60))</x:f>
        <x:v>0</x:v>
      </x:c>
      <x:c r="P577" s="23" t="n">
        <x:f>MAX(0,MIN('Activities'!L577,72)-MAX('Activities'!K577,66))</x:f>
        <x:v>0</x:v>
      </x:c>
      <x:c r="Q577" s="23" t="n">
        <x:f>MAX(0,MIN('Activities'!L577,78)-MAX('Activities'!K577,72))</x:f>
        <x:v>0</x:v>
      </x:c>
      <x:c r="R577" s="23" t="n">
        <x:f>MAX(0,MIN('Activities'!L577,84)-MAX('Activities'!K577,78))</x:f>
        <x:v>0</x:v>
      </x:c>
      <x:c r="S577" s="23" t="n">
        <x:f>MAX(0,MIN('Activities'!L577,90)-MAX('Activities'!K577,84))</x:f>
        <x:v>0</x:v>
      </x:c>
      <x:c r="T577" s="23" t="n">
        <x:f>MAX(0,MIN('Activities'!L577,96)-MAX('Activities'!K577,90))</x:f>
        <x:v>0</x:v>
      </x:c>
      <x:c r="U577" s="23" t="n">
        <x:f>MAX(0,MIN('Activities'!L577,102)-MAX('Activities'!K577,96))</x:f>
        <x:v>0</x:v>
      </x:c>
      <x:c r="V577" s="23" t="n">
        <x:f>MAX(0,MIN('Activities'!L577,108)-MAX('Activities'!K577,102))</x:f>
        <x:v>0</x:v>
      </x:c>
      <x:c r="W577" s="23" t="n">
        <x:f>MAX(0,MIN('Activities'!L577,114)-MAX('Activities'!K577,108))</x:f>
        <x:v>0</x:v>
      </x:c>
      <x:c r="X577" s="23" t="n">
        <x:f>MAX(0,MIN('Activities'!L577,120)-MAX('Activities'!K577,114))</x:f>
        <x:v>0</x:v>
      </x:c>
      <x:c r="Y577" s="23" t="n">
        <x:f>MAX(0,MIN('Activities'!L577,126)-MAX('Activities'!K577,120))</x:f>
        <x:v>0</x:v>
      </x:c>
      <x:c r="Z577" s="23" t="n">
        <x:f>MAX(0,MIN('Activities'!L577,132)-MAX('Activities'!K577,126))</x:f>
        <x:v>0</x:v>
      </x:c>
      <x:c r="AA577" s="23" t="n">
        <x:f>MAX(0,MIN('Activities'!L577,138)-MAX('Activities'!K577,132))</x:f>
        <x:v>0</x:v>
      </x:c>
      <x:c r="AB577" s="23" t="n">
        <x:f>MAX(0,MIN('Activities'!L577,144)-MAX('Activities'!K577,138))</x:f>
        <x:v>0</x:v>
      </x:c>
      <x:c r="AC577" s="23" t="n">
        <x:f>MAX(0,MIN('Activities'!L577,150)-MAX('Activities'!K577,144))</x:f>
        <x:v>0</x:v>
      </x:c>
      <x:c r="AD577" s="23" t="n">
        <x:f>MAX(0,MIN('Activities'!L577,156)-MAX('Activities'!K577,150))</x:f>
        <x:v>0</x:v>
      </x:c>
      <x:c r="AE577" s="23" t="n">
        <x:f>MAX(0,MIN('Activities'!L577,162)-MAX('Activities'!K577,156))</x:f>
        <x:v>0</x:v>
      </x:c>
      <x:c r="AF577" s="23" t="n">
        <x:f>MAX(0,MIN('Activities'!L577,168)-MAX('Activities'!K577,162))</x:f>
        <x:v>0</x:v>
      </x:c>
      <x:c r="AG577" s="23" t="n">
        <x:f>MAX(0,MIN('Activities'!L577,174)-MAX('Activities'!K577,168))</x:f>
        <x:v>0</x:v>
      </x:c>
      <x:c r="AH577" s="23" t="n">
        <x:f>MAX(0,MIN('Activities'!L577,180)-MAX('Activities'!K577,174))</x:f>
        <x:v>0</x:v>
      </x:c>
      <x:c r="AI577" s="23" t="n">
        <x:f>MAX(0,MIN('Activities'!L577,186)-MAX('Activities'!K577,180))</x:f>
        <x:v>0</x:v>
      </x:c>
      <x:c r="AJ577" s="23" t="n">
        <x:f>MAX(0,MIN('Activities'!L577,192)-MAX('Activities'!K577,186))</x:f>
        <x:v>0</x:v>
      </x:c>
      <x:c r="AK577" s="23" t="n">
        <x:f>MAX(0,MIN('Activities'!L577,198)-MAX('Activities'!K577,192))</x:f>
        <x:v>0</x:v>
      </x:c>
      <x:c r="AL577" s="23" t="n">
        <x:f>MAX(0,MIN('Activities'!L577,204)-MAX('Activities'!K577,198))</x:f>
        <x:v>0</x:v>
      </x:c>
      <x:c r="AM577" s="23" t="n">
        <x:f>MAX(0,MIN('Activities'!L577,210)-MAX('Activities'!K577,204))</x:f>
        <x:v>0</x:v>
      </x:c>
      <x:c r="AN577" s="23" t="n">
        <x:f>MAX(0,MIN('Activities'!L577,216)-MAX('Activities'!K577,210))</x:f>
        <x:v>0</x:v>
      </x:c>
      <x:c r="AO577" s="23" t="n">
        <x:f>MAX(0,MIN('Activities'!L577,222)-MAX('Activities'!K577,216))</x:f>
        <x:v>0</x:v>
      </x:c>
      <x:c r="AP577" s="23" t="n">
        <x:f>MAX(0,MIN('Activities'!L577,228)-MAX('Activities'!K577,222))</x:f>
        <x:v>0</x:v>
      </x:c>
      <x:c r="AQ577" s="23" t="n">
        <x:f>MAX(0,MIN('Activities'!L577,234)-MAX('Activities'!K577,228))</x:f>
        <x:v>0</x:v>
      </x:c>
      <x:c r="AR577" s="23" t="n">
        <x:f>MAX(0,MIN('Activities'!L577,240)-MAX('Activities'!K577,234))</x:f>
        <x:v>0</x:v>
      </x:c>
      <x:c r="AS577" s="23" t="n">
        <x:f>MAX(0,MIN('Activities'!L577,246)-MAX('Activities'!K577,240))</x:f>
        <x:v>0</x:v>
      </x:c>
      <x:c r="AT577" s="23" t="n">
        <x:f>MAX(0,MIN('Activities'!L577,252)-MAX('Activities'!K577,246))</x:f>
        <x:v>0</x:v>
      </x:c>
      <x:c r="AU577" s="23" t="n">
        <x:f>MAX(0,MIN('Activities'!L577,258)-MAX('Activities'!K577,252))</x:f>
        <x:v>0</x:v>
      </x:c>
      <x:c r="AV577" s="23" t="n">
        <x:f>MAX(0,MIN('Activities'!L577,264)-MAX('Activities'!K577,258))</x:f>
        <x:v>0</x:v>
      </x:c>
      <x:c r="AW577" s="23" t="n">
        <x:f>MAX(0,MIN('Activities'!L577,270)-MAX('Activities'!K577,264))</x:f>
        <x:v>0</x:v>
      </x:c>
      <x:c r="AX577" s="23" t="n">
        <x:f>MAX(0,MIN('Activities'!L577,276)-MAX('Activities'!K577,270))</x:f>
        <x:v>0</x:v>
      </x:c>
      <x:c r="AY577" s="23" t="n">
        <x:f>MAX(0,MIN('Activities'!L577,282)-MAX('Activities'!K577,276))</x:f>
        <x:v>0</x:v>
      </x:c>
      <x:c r="AZ577" s="23" t="n">
        <x:f>MAX(0,MIN('Activities'!L577,288)-MAX('Activities'!K577,282))</x:f>
        <x:v>0</x:v>
      </x:c>
      <x:c r="BA577" s="23" t="n">
        <x:f>MAX(0,MIN('Activities'!L577,294)-MAX('Activities'!K577,288))</x:f>
        <x:v>0</x:v>
      </x:c>
      <x:c r="BB577" s="23" t="n">
        <x:f>MAX(0,MIN('Activities'!L577,300)-MAX('Activities'!K577,294))</x:f>
        <x:v>0</x:v>
      </x:c>
      <x:c r="BC577" s="23" t="n">
        <x:f>MAX(0,MIN('Activities'!L577,306)-MAX('Activities'!K577,300))</x:f>
        <x:v>0</x:v>
      </x:c>
      <x:c r="BD577" s="23" t="n">
        <x:f>MAX(0,MIN('Activities'!L577,312)-MAX('Activities'!K577,306))</x:f>
        <x:v>0</x:v>
      </x:c>
      <x:c r="BE577" s="23" t="n">
        <x:f>MAX(0,MIN('Activities'!L577,318)-MAX('Activities'!K577,312))</x:f>
        <x:v>4</x:v>
      </x:c>
      <x:c r="BF577" s="23" t="n">
        <x:f>MAX(0,MIN('Activities'!L577,324)-MAX('Activities'!K577,318))</x:f>
        <x:v>1</x:v>
      </x:c>
      <x:c r="BG577" s="23" t="n">
        <x:f>MAX(0,MIN('Activities'!L577,330)-MAX('Activities'!K577,324))</x:f>
        <x:v>0</x:v>
      </x:c>
      <x:c r="BH577" s="23" t="n">
        <x:f>MAX(0,MIN('Activities'!L577,336)-MAX('Activities'!K577,330))</x:f>
        <x:v>0</x:v>
      </x:c>
      <x:c r="BI577" s="23" t="n">
        <x:f>MAX(0,MIN('Activities'!L577,342)-MAX('Activities'!K577,336))</x:f>
        <x:v>0</x:v>
      </x:c>
      <x:c r="BJ577" s="23" t="n">
        <x:f>MAX(0,MIN('Activities'!L577,348)-MAX('Activities'!K577,342))</x:f>
        <x:v>0</x:v>
      </x:c>
      <x:c r="BK577" s="23" t="n">
        <x:f>MAX(0,MIN('Activities'!L577,354)-MAX('Activities'!K577,348))</x:f>
        <x:v>0</x:v>
      </x:c>
      <x:c r="BL577" s="23" t="n">
        <x:f>MAX(0,MIN('Activities'!L577,360)-MAX('Activities'!K577,354))</x:f>
        <x:v>0</x:v>
      </x:c>
      <x:c r="BM577" s="23" t="n">
        <x:f>MAX(0,MIN('Activities'!L577,366)-MAX('Activities'!K577,360))</x:f>
        <x:v>0</x:v>
      </x:c>
      <x:c r="BN577" s="23" t="n">
        <x:f>MAX(0,MIN('Activities'!L577,372)-MAX('Activities'!K577,366))</x:f>
        <x:v>0</x:v>
      </x:c>
      <x:c r="BO577" s="23" t="n">
        <x:f>MAX(0,MIN('Activities'!L577,378)-MAX('Activities'!K577,372))</x:f>
        <x:v>0</x:v>
      </x:c>
      <x:c r="BP577" s="23" t="n">
        <x:f>MAX(0,MIN('Activities'!L577,384)-MAX('Activities'!K577,378))</x:f>
        <x:v>0</x:v>
      </x:c>
      <x:c r="BQ577" s="23" t="n">
        <x:f>MAX(0,MIN('Activities'!L577,390)-MAX('Activities'!K577,384))</x:f>
        <x:v>0</x:v>
      </x:c>
      <x:c r="BR577" s="23" t="n">
        <x:f>MAX(0,MIN('Activities'!L577,396)-MAX('Activities'!K577,390))</x:f>
        <x:v>0</x:v>
      </x:c>
      <x:c r="BS577" s="23" t="n">
        <x:f>MAX(0,MIN('Activities'!L577,402)-MAX('Activities'!K577,396))</x:f>
        <x:v>0</x:v>
      </x:c>
      <x:c r="BT577" s="23" t="n">
        <x:f>MAX(0,MIN('Activities'!L577,408)-MAX('Activities'!K577,402))</x:f>
        <x:v>0</x:v>
      </x:c>
      <x:c r="BU577" s="23" t="n">
        <x:f>MAX(0,MIN('Activities'!L577,414)-MAX('Activities'!K577,408))</x:f>
        <x:v>0</x:v>
      </x:c>
      <x:c r="BV577" s="23" t="n">
        <x:f>MAX(0,MIN('Activities'!L577,420)-MAX('Activities'!K577,414))</x:f>
        <x:v>0</x:v>
      </x:c>
      <x:c r="BW577" s="23" t="n">
        <x:f>MAX(0,MIN('Activities'!L577,426)-MAX('Activities'!K577,420))</x:f>
        <x:v>0</x:v>
      </x:c>
      <x:c r="BX577" s="23" t="n">
        <x:f>MAX(0,MIN('Activities'!L577,432)-MAX('Activities'!K577,426))</x:f>
        <x:v>0</x:v>
      </x:c>
      <x:c r="BY577" s="23" t="n">
        <x:f>MAX(0,MIN('Activities'!L577,438)-MAX('Activities'!K577,432))</x:f>
        <x:v>0</x:v>
      </x:c>
      <x:c r="BZ577" s="23" t="n">
        <x:f>MAX(0,MIN('Activities'!L577,444)-MAX('Activities'!K577,438))</x:f>
        <x:v>0</x:v>
      </x:c>
      <x:c r="CA577" s="23" t="n">
        <x:f>MAX(0,MIN('Activities'!L577,450)-MAX('Activities'!K577,444))</x:f>
        <x:v>0</x:v>
      </x:c>
      <x:c r="CB577" s="23" t="n">
        <x:f>MAX(0,MIN('Activities'!L577,456)-MAX('Activities'!K577,450))</x:f>
        <x:v>0</x:v>
      </x:c>
      <x:c r="CC577" s="23" t="n">
        <x:f>MAX(0,MIN('Activities'!L577,462)-MAX('Activities'!K577,456))</x:f>
        <x:v>0</x:v>
      </x:c>
      <x:c r="CD577" s="23" t="n">
        <x:f>MAX(0,MIN('Activities'!L577,468)-MAX('Activities'!K577,462))</x:f>
        <x:v>0</x:v>
      </x:c>
      <x:c r="CE577" s="23" t="n">
        <x:f>MAX(0,MIN('Activities'!L577,474)-MAX('Activities'!K577,468))</x:f>
        <x:v>0</x:v>
      </x:c>
      <x:c r="CF577" s="23" t="n">
        <x:f>MAX(0,MIN('Activities'!L577,480)-MAX('Activities'!K577,474))</x:f>
        <x:v>0</x:v>
      </x:c>
      <x:c r="CG577" s="23" t="n">
        <x:f>MAX(0,MIN('Activities'!L577,486)-MAX('Activities'!K577,480))</x:f>
        <x:v>0</x:v>
      </x:c>
      <x:c r="CH577" s="23" t="n">
        <x:f>MAX(0,MIN('Activities'!L577,492)-MAX('Activities'!K577,486))</x:f>
        <x:v>0</x:v>
      </x:c>
      <x:c r="CI577" s="23" t="n">
        <x:f>MAX(0,MIN('Activities'!L577,498)-MAX('Activities'!K577,492))</x:f>
        <x:v>0</x:v>
      </x:c>
      <x:c r="CJ577" s="23" t="n">
        <x:f>MAX(0,MIN('Activities'!L577,504)-MAX('Activities'!K577,498))</x:f>
        <x:v>0</x:v>
      </x:c>
      <x:c r="CK577" s="23" t="n">
        <x:f>MAX(0,MIN('Activities'!L577,510)-MAX('Activities'!K577,504))</x:f>
        <x:v>0</x:v>
      </x:c>
      <x:c r="CL577" s="23" t="n">
        <x:f>MAX(0,MIN('Activities'!L577,516)-MAX('Activities'!K577,510))</x:f>
        <x:v>0</x:v>
      </x:c>
      <x:c r="CM577" s="23" t="n">
        <x:f>MAX(0,MIN('Activities'!L577,522)-MAX('Activities'!K577,516))</x:f>
        <x:v>0</x:v>
      </x:c>
      <x:c r="CN577" s="23" t="n">
        <x:f>MAX(0,MIN('Activities'!L577,528)-MAX('Activities'!K577,522))</x:f>
        <x:v>0</x:v>
      </x:c>
      <x:c r="CO577" s="23" t="n">
        <x:f>MAX(0,MIN('Activities'!L577,534)-MAX('Activities'!K577,528))</x:f>
        <x:v>0</x:v>
      </x:c>
      <x:c r="CP577" s="23" t="n">
        <x:f>MAX(0,MIN('Activities'!L577,540)-MAX('Activities'!K577,534))</x:f>
        <x:v>0</x:v>
      </x:c>
      <x:c r="CQ577" s="23" t="n">
        <x:f>MAX(0,MIN('Activities'!L577,546)-MAX('Activities'!K577,540))</x:f>
        <x:v>0</x:v>
      </x:c>
      <x:c r="CR577" s="23" t="n">
        <x:f>MAX(0,MIN('Activities'!L577,552)-MAX('Activities'!K577,546))</x:f>
        <x:v>0</x:v>
      </x:c>
      <x:c r="CS577" s="23" t="n">
        <x:f>MAX(0,MIN('Activities'!L577,558)-MAX('Activities'!K577,552))</x:f>
        <x:v>0</x:v>
      </x:c>
      <x:c r="CT577" s="23" t="n">
        <x:f>MAX(0,MIN('Activities'!L577,564)-MAX('Activities'!K577,558))</x:f>
        <x:v>0</x:v>
      </x:c>
      <x:c r="CU577" s="23" t="n">
        <x:f>MAX(0,MIN('Activities'!L577,570)-MAX('Activities'!K577,564))</x:f>
        <x:v>0</x:v>
      </x:c>
      <x:c r="CV577" s="23" t="n">
        <x:f>MAX(0,MIN('Activities'!L577,576)-MAX('Activities'!K577,570))</x:f>
        <x:v>0</x:v>
      </x:c>
      <x:c r="CW577" s="23" t="n">
        <x:f>MAX(0,MIN('Activities'!L577,582)-MAX('Activities'!K577,576))</x:f>
        <x:v>0</x:v>
      </x:c>
      <x:c r="CX577" s="23" t="n">
        <x:f>MAX(0,MIN('Activities'!L577,588)-MAX('Activities'!K577,582))</x:f>
        <x:v>0</x:v>
      </x:c>
      <x:c r="CY577" s="23" t="n">
        <x:f>MAX(0,MIN('Activities'!L577,594)-MAX('Activities'!K577,588))</x:f>
        <x:v>0</x:v>
      </x:c>
      <x:c r="CZ577" s="23" t="n">
        <x:f>MAX(0,MIN('Activities'!L577,600)-MAX('Activities'!K577,594))</x:f>
        <x:v>0</x:v>
      </x:c>
      <x:c r="DA577" s="23" t="n">
        <x:f>MAX(0,MIN('Activities'!L577,606)-MAX('Activities'!K577,600))</x:f>
        <x:v>0</x:v>
      </x:c>
      <x:c r="DB577" s="23" t="n">
        <x:f>MAX(0,MIN('Activities'!L577,612)-MAX('Activities'!K577,606))</x:f>
        <x:v>0</x:v>
      </x:c>
      <x:c r="DC577" s="23" t="n">
        <x:f>MAX(0,MIN('Activities'!L577,618)-MAX('Activities'!K577,612))</x:f>
        <x:v>0</x:v>
      </x:c>
      <x:c r="DD577" s="23" t="n">
        <x:f>MAX(0,MIN('Activities'!L577,624)-MAX('Activities'!K577,618))</x:f>
        <x:v>0</x:v>
      </x:c>
      <x:c r="DE577" s="23" t="n">
        <x:f>MAX(0,MIN('Activities'!L577,630)-MAX('Activities'!K577,624))</x:f>
        <x:v>0</x:v>
      </x:c>
      <x:c r="DF577" s="23" t="n">
        <x:f>MAX(0,MIN('Activities'!L577,636)-MAX('Activities'!K577,630))</x:f>
        <x:v>0</x:v>
      </x:c>
    </x:row>
    <x:row r="578" ht="23" customHeight="1">
      <x:c r="A578" s="6" t="str">
        <x:v>T5-L07-C</x:v>
      </x:c>
      <x:c r="B578" s="6" t="str">
        <x:v>T5</x:v>
      </x:c>
      <x:c r="C578" s="6" t="str">
        <x:v>Concrete placement and finishing</x:v>
      </x:c>
      <x:c r="D578" s="6" t="str">
        <x:v>Concrete</x:v>
      </x:c>
      <x:c r="E578" s="22" t="n">
        <x:f>MAX(0,MIN('Activities'!L578,6)-MAX('Activities'!K578,0))</x:f>
        <x:v>0</x:v>
      </x:c>
      <x:c r="F578" s="22" t="n">
        <x:f>MAX(0,MIN('Activities'!L578,12)-MAX('Activities'!K578,6))</x:f>
        <x:v>0</x:v>
      </x:c>
      <x:c r="G578" s="22" t="n">
        <x:f>MAX(0,MIN('Activities'!L578,18)-MAX('Activities'!K578,12))</x:f>
        <x:v>0</x:v>
      </x:c>
      <x:c r="H578" s="22" t="n">
        <x:f>MAX(0,MIN('Activities'!L578,24)-MAX('Activities'!K578,18))</x:f>
        <x:v>0</x:v>
      </x:c>
      <x:c r="I578" s="22" t="n">
        <x:f>MAX(0,MIN('Activities'!L578,30)-MAX('Activities'!K578,24))</x:f>
        <x:v>0</x:v>
      </x:c>
      <x:c r="J578" s="22" t="n">
        <x:f>MAX(0,MIN('Activities'!L578,36)-MAX('Activities'!K578,30))</x:f>
        <x:v>0</x:v>
      </x:c>
      <x:c r="K578" s="22" t="n">
        <x:f>MAX(0,MIN('Activities'!L578,42)-MAX('Activities'!K578,36))</x:f>
        <x:v>0</x:v>
      </x:c>
      <x:c r="L578" s="22" t="n">
        <x:f>MAX(0,MIN('Activities'!L578,48)-MAX('Activities'!K578,42))</x:f>
        <x:v>0</x:v>
      </x:c>
      <x:c r="M578" s="22" t="n">
        <x:f>MAX(0,MIN('Activities'!L578,54)-MAX('Activities'!K578,48))</x:f>
        <x:v>0</x:v>
      </x:c>
      <x:c r="N578" s="22" t="n">
        <x:f>MAX(0,MIN('Activities'!L578,60)-MAX('Activities'!K578,54))</x:f>
        <x:v>0</x:v>
      </x:c>
      <x:c r="O578" s="22" t="n">
        <x:f>MAX(0,MIN('Activities'!L578,66)-MAX('Activities'!K578,60))</x:f>
        <x:v>0</x:v>
      </x:c>
      <x:c r="P578" s="22" t="n">
        <x:f>MAX(0,MIN('Activities'!L578,72)-MAX('Activities'!K578,66))</x:f>
        <x:v>0</x:v>
      </x:c>
      <x:c r="Q578" s="22" t="n">
        <x:f>MAX(0,MIN('Activities'!L578,78)-MAX('Activities'!K578,72))</x:f>
        <x:v>0</x:v>
      </x:c>
      <x:c r="R578" s="22" t="n">
        <x:f>MAX(0,MIN('Activities'!L578,84)-MAX('Activities'!K578,78))</x:f>
        <x:v>0</x:v>
      </x:c>
      <x:c r="S578" s="22" t="n">
        <x:f>MAX(0,MIN('Activities'!L578,90)-MAX('Activities'!K578,84))</x:f>
        <x:v>0</x:v>
      </x:c>
      <x:c r="T578" s="22" t="n">
        <x:f>MAX(0,MIN('Activities'!L578,96)-MAX('Activities'!K578,90))</x:f>
        <x:v>0</x:v>
      </x:c>
      <x:c r="U578" s="22" t="n">
        <x:f>MAX(0,MIN('Activities'!L578,102)-MAX('Activities'!K578,96))</x:f>
        <x:v>0</x:v>
      </x:c>
      <x:c r="V578" s="22" t="n">
        <x:f>MAX(0,MIN('Activities'!L578,108)-MAX('Activities'!K578,102))</x:f>
        <x:v>0</x:v>
      </x:c>
      <x:c r="W578" s="22" t="n">
        <x:f>MAX(0,MIN('Activities'!L578,114)-MAX('Activities'!K578,108))</x:f>
        <x:v>0</x:v>
      </x:c>
      <x:c r="X578" s="22" t="n">
        <x:f>MAX(0,MIN('Activities'!L578,120)-MAX('Activities'!K578,114))</x:f>
        <x:v>0</x:v>
      </x:c>
      <x:c r="Y578" s="22" t="n">
        <x:f>MAX(0,MIN('Activities'!L578,126)-MAX('Activities'!K578,120))</x:f>
        <x:v>0</x:v>
      </x:c>
      <x:c r="Z578" s="22" t="n">
        <x:f>MAX(0,MIN('Activities'!L578,132)-MAX('Activities'!K578,126))</x:f>
        <x:v>0</x:v>
      </x:c>
      <x:c r="AA578" s="22" t="n">
        <x:f>MAX(0,MIN('Activities'!L578,138)-MAX('Activities'!K578,132))</x:f>
        <x:v>0</x:v>
      </x:c>
      <x:c r="AB578" s="22" t="n">
        <x:f>MAX(0,MIN('Activities'!L578,144)-MAX('Activities'!K578,138))</x:f>
        <x:v>0</x:v>
      </x:c>
      <x:c r="AC578" s="22" t="n">
        <x:f>MAX(0,MIN('Activities'!L578,150)-MAX('Activities'!K578,144))</x:f>
        <x:v>0</x:v>
      </x:c>
      <x:c r="AD578" s="22" t="n">
        <x:f>MAX(0,MIN('Activities'!L578,156)-MAX('Activities'!K578,150))</x:f>
        <x:v>0</x:v>
      </x:c>
      <x:c r="AE578" s="22" t="n">
        <x:f>MAX(0,MIN('Activities'!L578,162)-MAX('Activities'!K578,156))</x:f>
        <x:v>0</x:v>
      </x:c>
      <x:c r="AF578" s="22" t="n">
        <x:f>MAX(0,MIN('Activities'!L578,168)-MAX('Activities'!K578,162))</x:f>
        <x:v>0</x:v>
      </x:c>
      <x:c r="AG578" s="22" t="n">
        <x:f>MAX(0,MIN('Activities'!L578,174)-MAX('Activities'!K578,168))</x:f>
        <x:v>0</x:v>
      </x:c>
      <x:c r="AH578" s="22" t="n">
        <x:f>MAX(0,MIN('Activities'!L578,180)-MAX('Activities'!K578,174))</x:f>
        <x:v>0</x:v>
      </x:c>
      <x:c r="AI578" s="22" t="n">
        <x:f>MAX(0,MIN('Activities'!L578,186)-MAX('Activities'!K578,180))</x:f>
        <x:v>0</x:v>
      </x:c>
      <x:c r="AJ578" s="22" t="n">
        <x:f>MAX(0,MIN('Activities'!L578,192)-MAX('Activities'!K578,186))</x:f>
        <x:v>0</x:v>
      </x:c>
      <x:c r="AK578" s="22" t="n">
        <x:f>MAX(0,MIN('Activities'!L578,198)-MAX('Activities'!K578,192))</x:f>
        <x:v>0</x:v>
      </x:c>
      <x:c r="AL578" s="22" t="n">
        <x:f>MAX(0,MIN('Activities'!L578,204)-MAX('Activities'!K578,198))</x:f>
        <x:v>0</x:v>
      </x:c>
      <x:c r="AM578" s="22" t="n">
        <x:f>MAX(0,MIN('Activities'!L578,210)-MAX('Activities'!K578,204))</x:f>
        <x:v>0</x:v>
      </x:c>
      <x:c r="AN578" s="22" t="n">
        <x:f>MAX(0,MIN('Activities'!L578,216)-MAX('Activities'!K578,210))</x:f>
        <x:v>0</x:v>
      </x:c>
      <x:c r="AO578" s="22" t="n">
        <x:f>MAX(0,MIN('Activities'!L578,222)-MAX('Activities'!K578,216))</x:f>
        <x:v>0</x:v>
      </x:c>
      <x:c r="AP578" s="22" t="n">
        <x:f>MAX(0,MIN('Activities'!L578,228)-MAX('Activities'!K578,222))</x:f>
        <x:v>0</x:v>
      </x:c>
      <x:c r="AQ578" s="22" t="n">
        <x:f>MAX(0,MIN('Activities'!L578,234)-MAX('Activities'!K578,228))</x:f>
        <x:v>0</x:v>
      </x:c>
      <x:c r="AR578" s="22" t="n">
        <x:f>MAX(0,MIN('Activities'!L578,240)-MAX('Activities'!K578,234))</x:f>
        <x:v>0</x:v>
      </x:c>
      <x:c r="AS578" s="22" t="n">
        <x:f>MAX(0,MIN('Activities'!L578,246)-MAX('Activities'!K578,240))</x:f>
        <x:v>0</x:v>
      </x:c>
      <x:c r="AT578" s="22" t="n">
        <x:f>MAX(0,MIN('Activities'!L578,252)-MAX('Activities'!K578,246))</x:f>
        <x:v>0</x:v>
      </x:c>
      <x:c r="AU578" s="22" t="n">
        <x:f>MAX(0,MIN('Activities'!L578,258)-MAX('Activities'!K578,252))</x:f>
        <x:v>0</x:v>
      </x:c>
      <x:c r="AV578" s="22" t="n">
        <x:f>MAX(0,MIN('Activities'!L578,264)-MAX('Activities'!K578,258))</x:f>
        <x:v>0</x:v>
      </x:c>
      <x:c r="AW578" s="22" t="n">
        <x:f>MAX(0,MIN('Activities'!L578,270)-MAX('Activities'!K578,264))</x:f>
        <x:v>0</x:v>
      </x:c>
      <x:c r="AX578" s="22" t="n">
        <x:f>MAX(0,MIN('Activities'!L578,276)-MAX('Activities'!K578,270))</x:f>
        <x:v>0</x:v>
      </x:c>
      <x:c r="AY578" s="22" t="n">
        <x:f>MAX(0,MIN('Activities'!L578,282)-MAX('Activities'!K578,276))</x:f>
        <x:v>0</x:v>
      </x:c>
      <x:c r="AZ578" s="22" t="n">
        <x:f>MAX(0,MIN('Activities'!L578,288)-MAX('Activities'!K578,282))</x:f>
        <x:v>0</x:v>
      </x:c>
      <x:c r="BA578" s="22" t="n">
        <x:f>MAX(0,MIN('Activities'!L578,294)-MAX('Activities'!K578,288))</x:f>
        <x:v>0</x:v>
      </x:c>
      <x:c r="BB578" s="22" t="n">
        <x:f>MAX(0,MIN('Activities'!L578,300)-MAX('Activities'!K578,294))</x:f>
        <x:v>0</x:v>
      </x:c>
      <x:c r="BC578" s="22" t="n">
        <x:f>MAX(0,MIN('Activities'!L578,306)-MAX('Activities'!K578,300))</x:f>
        <x:v>0</x:v>
      </x:c>
      <x:c r="BD578" s="22" t="n">
        <x:f>MAX(0,MIN('Activities'!L578,312)-MAX('Activities'!K578,306))</x:f>
        <x:v>0</x:v>
      </x:c>
      <x:c r="BE578" s="22" t="n">
        <x:f>MAX(0,MIN('Activities'!L578,318)-MAX('Activities'!K578,312))</x:f>
        <x:v>0</x:v>
      </x:c>
      <x:c r="BF578" s="22" t="n">
        <x:f>MAX(0,MIN('Activities'!L578,324)-MAX('Activities'!K578,318))</x:f>
        <x:v>2</x:v>
      </x:c>
      <x:c r="BG578" s="22" t="n">
        <x:f>MAX(0,MIN('Activities'!L578,330)-MAX('Activities'!K578,324))</x:f>
        <x:v>0</x:v>
      </x:c>
      <x:c r="BH578" s="22" t="n">
        <x:f>MAX(0,MIN('Activities'!L578,336)-MAX('Activities'!K578,330))</x:f>
        <x:v>0</x:v>
      </x:c>
      <x:c r="BI578" s="22" t="n">
        <x:f>MAX(0,MIN('Activities'!L578,342)-MAX('Activities'!K578,336))</x:f>
        <x:v>0</x:v>
      </x:c>
      <x:c r="BJ578" s="22" t="n">
        <x:f>MAX(0,MIN('Activities'!L578,348)-MAX('Activities'!K578,342))</x:f>
        <x:v>0</x:v>
      </x:c>
      <x:c r="BK578" s="22" t="n">
        <x:f>MAX(0,MIN('Activities'!L578,354)-MAX('Activities'!K578,348))</x:f>
        <x:v>0</x:v>
      </x:c>
      <x:c r="BL578" s="22" t="n">
        <x:f>MAX(0,MIN('Activities'!L578,360)-MAX('Activities'!K578,354))</x:f>
        <x:v>0</x:v>
      </x:c>
      <x:c r="BM578" s="22" t="n">
        <x:f>MAX(0,MIN('Activities'!L578,366)-MAX('Activities'!K578,360))</x:f>
        <x:v>0</x:v>
      </x:c>
      <x:c r="BN578" s="22" t="n">
        <x:f>MAX(0,MIN('Activities'!L578,372)-MAX('Activities'!K578,366))</x:f>
        <x:v>0</x:v>
      </x:c>
      <x:c r="BO578" s="22" t="n">
        <x:f>MAX(0,MIN('Activities'!L578,378)-MAX('Activities'!K578,372))</x:f>
        <x:v>0</x:v>
      </x:c>
      <x:c r="BP578" s="22" t="n">
        <x:f>MAX(0,MIN('Activities'!L578,384)-MAX('Activities'!K578,378))</x:f>
        <x:v>0</x:v>
      </x:c>
      <x:c r="BQ578" s="22" t="n">
        <x:f>MAX(0,MIN('Activities'!L578,390)-MAX('Activities'!K578,384))</x:f>
        <x:v>0</x:v>
      </x:c>
      <x:c r="BR578" s="22" t="n">
        <x:f>MAX(0,MIN('Activities'!L578,396)-MAX('Activities'!K578,390))</x:f>
        <x:v>0</x:v>
      </x:c>
      <x:c r="BS578" s="22" t="n">
        <x:f>MAX(0,MIN('Activities'!L578,402)-MAX('Activities'!K578,396))</x:f>
        <x:v>0</x:v>
      </x:c>
      <x:c r="BT578" s="22" t="n">
        <x:f>MAX(0,MIN('Activities'!L578,408)-MAX('Activities'!K578,402))</x:f>
        <x:v>0</x:v>
      </x:c>
      <x:c r="BU578" s="22" t="n">
        <x:f>MAX(0,MIN('Activities'!L578,414)-MAX('Activities'!K578,408))</x:f>
        <x:v>0</x:v>
      </x:c>
      <x:c r="BV578" s="22" t="n">
        <x:f>MAX(0,MIN('Activities'!L578,420)-MAX('Activities'!K578,414))</x:f>
        <x:v>0</x:v>
      </x:c>
      <x:c r="BW578" s="22" t="n">
        <x:f>MAX(0,MIN('Activities'!L578,426)-MAX('Activities'!K578,420))</x:f>
        <x:v>0</x:v>
      </x:c>
      <x:c r="BX578" s="22" t="n">
        <x:f>MAX(0,MIN('Activities'!L578,432)-MAX('Activities'!K578,426))</x:f>
        <x:v>0</x:v>
      </x:c>
      <x:c r="BY578" s="22" t="n">
        <x:f>MAX(0,MIN('Activities'!L578,438)-MAX('Activities'!K578,432))</x:f>
        <x:v>0</x:v>
      </x:c>
      <x:c r="BZ578" s="22" t="n">
        <x:f>MAX(0,MIN('Activities'!L578,444)-MAX('Activities'!K578,438))</x:f>
        <x:v>0</x:v>
      </x:c>
      <x:c r="CA578" s="22" t="n">
        <x:f>MAX(0,MIN('Activities'!L578,450)-MAX('Activities'!K578,444))</x:f>
        <x:v>0</x:v>
      </x:c>
      <x:c r="CB578" s="22" t="n">
        <x:f>MAX(0,MIN('Activities'!L578,456)-MAX('Activities'!K578,450))</x:f>
        <x:v>0</x:v>
      </x:c>
      <x:c r="CC578" s="22" t="n">
        <x:f>MAX(0,MIN('Activities'!L578,462)-MAX('Activities'!K578,456))</x:f>
        <x:v>0</x:v>
      </x:c>
      <x:c r="CD578" s="22" t="n">
        <x:f>MAX(0,MIN('Activities'!L578,468)-MAX('Activities'!K578,462))</x:f>
        <x:v>0</x:v>
      </x:c>
      <x:c r="CE578" s="22" t="n">
        <x:f>MAX(0,MIN('Activities'!L578,474)-MAX('Activities'!K578,468))</x:f>
        <x:v>0</x:v>
      </x:c>
      <x:c r="CF578" s="22" t="n">
        <x:f>MAX(0,MIN('Activities'!L578,480)-MAX('Activities'!K578,474))</x:f>
        <x:v>0</x:v>
      </x:c>
      <x:c r="CG578" s="22" t="n">
        <x:f>MAX(0,MIN('Activities'!L578,486)-MAX('Activities'!K578,480))</x:f>
        <x:v>0</x:v>
      </x:c>
      <x:c r="CH578" s="22" t="n">
        <x:f>MAX(0,MIN('Activities'!L578,492)-MAX('Activities'!K578,486))</x:f>
        <x:v>0</x:v>
      </x:c>
      <x:c r="CI578" s="22" t="n">
        <x:f>MAX(0,MIN('Activities'!L578,498)-MAX('Activities'!K578,492))</x:f>
        <x:v>0</x:v>
      </x:c>
      <x:c r="CJ578" s="22" t="n">
        <x:f>MAX(0,MIN('Activities'!L578,504)-MAX('Activities'!K578,498))</x:f>
        <x:v>0</x:v>
      </x:c>
      <x:c r="CK578" s="22" t="n">
        <x:f>MAX(0,MIN('Activities'!L578,510)-MAX('Activities'!K578,504))</x:f>
        <x:v>0</x:v>
      </x:c>
      <x:c r="CL578" s="22" t="n">
        <x:f>MAX(0,MIN('Activities'!L578,516)-MAX('Activities'!K578,510))</x:f>
        <x:v>0</x:v>
      </x:c>
      <x:c r="CM578" s="22" t="n">
        <x:f>MAX(0,MIN('Activities'!L578,522)-MAX('Activities'!K578,516))</x:f>
        <x:v>0</x:v>
      </x:c>
      <x:c r="CN578" s="22" t="n">
        <x:f>MAX(0,MIN('Activities'!L578,528)-MAX('Activities'!K578,522))</x:f>
        <x:v>0</x:v>
      </x:c>
      <x:c r="CO578" s="22" t="n">
        <x:f>MAX(0,MIN('Activities'!L578,534)-MAX('Activities'!K578,528))</x:f>
        <x:v>0</x:v>
      </x:c>
      <x:c r="CP578" s="22" t="n">
        <x:f>MAX(0,MIN('Activities'!L578,540)-MAX('Activities'!K578,534))</x:f>
        <x:v>0</x:v>
      </x:c>
      <x:c r="CQ578" s="22" t="n">
        <x:f>MAX(0,MIN('Activities'!L578,546)-MAX('Activities'!K578,540))</x:f>
        <x:v>0</x:v>
      </x:c>
      <x:c r="CR578" s="22" t="n">
        <x:f>MAX(0,MIN('Activities'!L578,552)-MAX('Activities'!K578,546))</x:f>
        <x:v>0</x:v>
      </x:c>
      <x:c r="CS578" s="22" t="n">
        <x:f>MAX(0,MIN('Activities'!L578,558)-MAX('Activities'!K578,552))</x:f>
        <x:v>0</x:v>
      </x:c>
      <x:c r="CT578" s="22" t="n">
        <x:f>MAX(0,MIN('Activities'!L578,564)-MAX('Activities'!K578,558))</x:f>
        <x:v>0</x:v>
      </x:c>
      <x:c r="CU578" s="22" t="n">
        <x:f>MAX(0,MIN('Activities'!L578,570)-MAX('Activities'!K578,564))</x:f>
        <x:v>0</x:v>
      </x:c>
      <x:c r="CV578" s="22" t="n">
        <x:f>MAX(0,MIN('Activities'!L578,576)-MAX('Activities'!K578,570))</x:f>
        <x:v>0</x:v>
      </x:c>
      <x:c r="CW578" s="22" t="n">
        <x:f>MAX(0,MIN('Activities'!L578,582)-MAX('Activities'!K578,576))</x:f>
        <x:v>0</x:v>
      </x:c>
      <x:c r="CX578" s="22" t="n">
        <x:f>MAX(0,MIN('Activities'!L578,588)-MAX('Activities'!K578,582))</x:f>
        <x:v>0</x:v>
      </x:c>
      <x:c r="CY578" s="22" t="n">
        <x:f>MAX(0,MIN('Activities'!L578,594)-MAX('Activities'!K578,588))</x:f>
        <x:v>0</x:v>
      </x:c>
      <x:c r="CZ578" s="22" t="n">
        <x:f>MAX(0,MIN('Activities'!L578,600)-MAX('Activities'!K578,594))</x:f>
        <x:v>0</x:v>
      </x:c>
      <x:c r="DA578" s="22" t="n">
        <x:f>MAX(0,MIN('Activities'!L578,606)-MAX('Activities'!K578,600))</x:f>
        <x:v>0</x:v>
      </x:c>
      <x:c r="DB578" s="22" t="n">
        <x:f>MAX(0,MIN('Activities'!L578,612)-MAX('Activities'!K578,606))</x:f>
        <x:v>0</x:v>
      </x:c>
      <x:c r="DC578" s="22" t="n">
        <x:f>MAX(0,MIN('Activities'!L578,618)-MAX('Activities'!K578,612))</x:f>
        <x:v>0</x:v>
      </x:c>
      <x:c r="DD578" s="22" t="n">
        <x:f>MAX(0,MIN('Activities'!L578,624)-MAX('Activities'!K578,618))</x:f>
        <x:v>0</x:v>
      </x:c>
      <x:c r="DE578" s="22" t="n">
        <x:f>MAX(0,MIN('Activities'!L578,630)-MAX('Activities'!K578,624))</x:f>
        <x:v>0</x:v>
      </x:c>
      <x:c r="DF578" s="22" t="n">
        <x:f>MAX(0,MIN('Activities'!L578,636)-MAX('Activities'!K578,630))</x:f>
        <x:v>0</x:v>
      </x:c>
    </x:row>
    <x:row r="579" ht="23" customHeight="1">
      <x:c r="A579" s="1" t="str">
        <x:v>T5-L07-H</x:v>
      </x:c>
      <x:c r="B579" s="1" t="str">
        <x:v>T5</x:v>
      </x:c>
      <x:c r="C579" s="1" t="str">
        <x:v>Curing and release hold point</x:v>
      </x:c>
      <x:c r="D579" s="1" t="str">
        <x:v>Site</x:v>
      </x:c>
      <x:c r="E579" s="23" t="n">
        <x:f>MAX(0,MIN('Activities'!L579,6)-MAX('Activities'!K579,0))</x:f>
        <x:v>0</x:v>
      </x:c>
      <x:c r="F579" s="23" t="n">
        <x:f>MAX(0,MIN('Activities'!L579,12)-MAX('Activities'!K579,6))</x:f>
        <x:v>0</x:v>
      </x:c>
      <x:c r="G579" s="23" t="n">
        <x:f>MAX(0,MIN('Activities'!L579,18)-MAX('Activities'!K579,12))</x:f>
        <x:v>0</x:v>
      </x:c>
      <x:c r="H579" s="23" t="n">
        <x:f>MAX(0,MIN('Activities'!L579,24)-MAX('Activities'!K579,18))</x:f>
        <x:v>0</x:v>
      </x:c>
      <x:c r="I579" s="23" t="n">
        <x:f>MAX(0,MIN('Activities'!L579,30)-MAX('Activities'!K579,24))</x:f>
        <x:v>0</x:v>
      </x:c>
      <x:c r="J579" s="23" t="n">
        <x:f>MAX(0,MIN('Activities'!L579,36)-MAX('Activities'!K579,30))</x:f>
        <x:v>0</x:v>
      </x:c>
      <x:c r="K579" s="23" t="n">
        <x:f>MAX(0,MIN('Activities'!L579,42)-MAX('Activities'!K579,36))</x:f>
        <x:v>0</x:v>
      </x:c>
      <x:c r="L579" s="23" t="n">
        <x:f>MAX(0,MIN('Activities'!L579,48)-MAX('Activities'!K579,42))</x:f>
        <x:v>0</x:v>
      </x:c>
      <x:c r="M579" s="23" t="n">
        <x:f>MAX(0,MIN('Activities'!L579,54)-MAX('Activities'!K579,48))</x:f>
        <x:v>0</x:v>
      </x:c>
      <x:c r="N579" s="23" t="n">
        <x:f>MAX(0,MIN('Activities'!L579,60)-MAX('Activities'!K579,54))</x:f>
        <x:v>0</x:v>
      </x:c>
      <x:c r="O579" s="23" t="n">
        <x:f>MAX(0,MIN('Activities'!L579,66)-MAX('Activities'!K579,60))</x:f>
        <x:v>0</x:v>
      </x:c>
      <x:c r="P579" s="23" t="n">
        <x:f>MAX(0,MIN('Activities'!L579,72)-MAX('Activities'!K579,66))</x:f>
        <x:v>0</x:v>
      </x:c>
      <x:c r="Q579" s="23" t="n">
        <x:f>MAX(0,MIN('Activities'!L579,78)-MAX('Activities'!K579,72))</x:f>
        <x:v>0</x:v>
      </x:c>
      <x:c r="R579" s="23" t="n">
        <x:f>MAX(0,MIN('Activities'!L579,84)-MAX('Activities'!K579,78))</x:f>
        <x:v>0</x:v>
      </x:c>
      <x:c r="S579" s="23" t="n">
        <x:f>MAX(0,MIN('Activities'!L579,90)-MAX('Activities'!K579,84))</x:f>
        <x:v>0</x:v>
      </x:c>
      <x:c r="T579" s="23" t="n">
        <x:f>MAX(0,MIN('Activities'!L579,96)-MAX('Activities'!K579,90))</x:f>
        <x:v>0</x:v>
      </x:c>
      <x:c r="U579" s="23" t="n">
        <x:f>MAX(0,MIN('Activities'!L579,102)-MAX('Activities'!K579,96))</x:f>
        <x:v>0</x:v>
      </x:c>
      <x:c r="V579" s="23" t="n">
        <x:f>MAX(0,MIN('Activities'!L579,108)-MAX('Activities'!K579,102))</x:f>
        <x:v>0</x:v>
      </x:c>
      <x:c r="W579" s="23" t="n">
        <x:f>MAX(0,MIN('Activities'!L579,114)-MAX('Activities'!K579,108))</x:f>
        <x:v>0</x:v>
      </x:c>
      <x:c r="X579" s="23" t="n">
        <x:f>MAX(0,MIN('Activities'!L579,120)-MAX('Activities'!K579,114))</x:f>
        <x:v>0</x:v>
      </x:c>
      <x:c r="Y579" s="23" t="n">
        <x:f>MAX(0,MIN('Activities'!L579,126)-MAX('Activities'!K579,120))</x:f>
        <x:v>0</x:v>
      </x:c>
      <x:c r="Z579" s="23" t="n">
        <x:f>MAX(0,MIN('Activities'!L579,132)-MAX('Activities'!K579,126))</x:f>
        <x:v>0</x:v>
      </x:c>
      <x:c r="AA579" s="23" t="n">
        <x:f>MAX(0,MIN('Activities'!L579,138)-MAX('Activities'!K579,132))</x:f>
        <x:v>0</x:v>
      </x:c>
      <x:c r="AB579" s="23" t="n">
        <x:f>MAX(0,MIN('Activities'!L579,144)-MAX('Activities'!K579,138))</x:f>
        <x:v>0</x:v>
      </x:c>
      <x:c r="AC579" s="23" t="n">
        <x:f>MAX(0,MIN('Activities'!L579,150)-MAX('Activities'!K579,144))</x:f>
        <x:v>0</x:v>
      </x:c>
      <x:c r="AD579" s="23" t="n">
        <x:f>MAX(0,MIN('Activities'!L579,156)-MAX('Activities'!K579,150))</x:f>
        <x:v>0</x:v>
      </x:c>
      <x:c r="AE579" s="23" t="n">
        <x:f>MAX(0,MIN('Activities'!L579,162)-MAX('Activities'!K579,156))</x:f>
        <x:v>0</x:v>
      </x:c>
      <x:c r="AF579" s="23" t="n">
        <x:f>MAX(0,MIN('Activities'!L579,168)-MAX('Activities'!K579,162))</x:f>
        <x:v>0</x:v>
      </x:c>
      <x:c r="AG579" s="23" t="n">
        <x:f>MAX(0,MIN('Activities'!L579,174)-MAX('Activities'!K579,168))</x:f>
        <x:v>0</x:v>
      </x:c>
      <x:c r="AH579" s="23" t="n">
        <x:f>MAX(0,MIN('Activities'!L579,180)-MAX('Activities'!K579,174))</x:f>
        <x:v>0</x:v>
      </x:c>
      <x:c r="AI579" s="23" t="n">
        <x:f>MAX(0,MIN('Activities'!L579,186)-MAX('Activities'!K579,180))</x:f>
        <x:v>0</x:v>
      </x:c>
      <x:c r="AJ579" s="23" t="n">
        <x:f>MAX(0,MIN('Activities'!L579,192)-MAX('Activities'!K579,186))</x:f>
        <x:v>0</x:v>
      </x:c>
      <x:c r="AK579" s="23" t="n">
        <x:f>MAX(0,MIN('Activities'!L579,198)-MAX('Activities'!K579,192))</x:f>
        <x:v>0</x:v>
      </x:c>
      <x:c r="AL579" s="23" t="n">
        <x:f>MAX(0,MIN('Activities'!L579,204)-MAX('Activities'!K579,198))</x:f>
        <x:v>0</x:v>
      </x:c>
      <x:c r="AM579" s="23" t="n">
        <x:f>MAX(0,MIN('Activities'!L579,210)-MAX('Activities'!K579,204))</x:f>
        <x:v>0</x:v>
      </x:c>
      <x:c r="AN579" s="23" t="n">
        <x:f>MAX(0,MIN('Activities'!L579,216)-MAX('Activities'!K579,210))</x:f>
        <x:v>0</x:v>
      </x:c>
      <x:c r="AO579" s="23" t="n">
        <x:f>MAX(0,MIN('Activities'!L579,222)-MAX('Activities'!K579,216))</x:f>
        <x:v>0</x:v>
      </x:c>
      <x:c r="AP579" s="23" t="n">
        <x:f>MAX(0,MIN('Activities'!L579,228)-MAX('Activities'!K579,222))</x:f>
        <x:v>0</x:v>
      </x:c>
      <x:c r="AQ579" s="23" t="n">
        <x:f>MAX(0,MIN('Activities'!L579,234)-MAX('Activities'!K579,228))</x:f>
        <x:v>0</x:v>
      </x:c>
      <x:c r="AR579" s="23" t="n">
        <x:f>MAX(0,MIN('Activities'!L579,240)-MAX('Activities'!K579,234))</x:f>
        <x:v>0</x:v>
      </x:c>
      <x:c r="AS579" s="23" t="n">
        <x:f>MAX(0,MIN('Activities'!L579,246)-MAX('Activities'!K579,240))</x:f>
        <x:v>0</x:v>
      </x:c>
      <x:c r="AT579" s="23" t="n">
        <x:f>MAX(0,MIN('Activities'!L579,252)-MAX('Activities'!K579,246))</x:f>
        <x:v>0</x:v>
      </x:c>
      <x:c r="AU579" s="23" t="n">
        <x:f>MAX(0,MIN('Activities'!L579,258)-MAX('Activities'!K579,252))</x:f>
        <x:v>0</x:v>
      </x:c>
      <x:c r="AV579" s="23" t="n">
        <x:f>MAX(0,MIN('Activities'!L579,264)-MAX('Activities'!K579,258))</x:f>
        <x:v>0</x:v>
      </x:c>
      <x:c r="AW579" s="23" t="n">
        <x:f>MAX(0,MIN('Activities'!L579,270)-MAX('Activities'!K579,264))</x:f>
        <x:v>0</x:v>
      </x:c>
      <x:c r="AX579" s="23" t="n">
        <x:f>MAX(0,MIN('Activities'!L579,276)-MAX('Activities'!K579,270))</x:f>
        <x:v>0</x:v>
      </x:c>
      <x:c r="AY579" s="23" t="n">
        <x:f>MAX(0,MIN('Activities'!L579,282)-MAX('Activities'!K579,276))</x:f>
        <x:v>0</x:v>
      </x:c>
      <x:c r="AZ579" s="23" t="n">
        <x:f>MAX(0,MIN('Activities'!L579,288)-MAX('Activities'!K579,282))</x:f>
        <x:v>0</x:v>
      </x:c>
      <x:c r="BA579" s="23" t="n">
        <x:f>MAX(0,MIN('Activities'!L579,294)-MAX('Activities'!K579,288))</x:f>
        <x:v>0</x:v>
      </x:c>
      <x:c r="BB579" s="23" t="n">
        <x:f>MAX(0,MIN('Activities'!L579,300)-MAX('Activities'!K579,294))</x:f>
        <x:v>0</x:v>
      </x:c>
      <x:c r="BC579" s="23" t="n">
        <x:f>MAX(0,MIN('Activities'!L579,306)-MAX('Activities'!K579,300))</x:f>
        <x:v>0</x:v>
      </x:c>
      <x:c r="BD579" s="23" t="n">
        <x:f>MAX(0,MIN('Activities'!L579,312)-MAX('Activities'!K579,306))</x:f>
        <x:v>0</x:v>
      </x:c>
      <x:c r="BE579" s="23" t="n">
        <x:f>MAX(0,MIN('Activities'!L579,318)-MAX('Activities'!K579,312))</x:f>
        <x:v>0</x:v>
      </x:c>
      <x:c r="BF579" s="23" t="n">
        <x:f>MAX(0,MIN('Activities'!L579,324)-MAX('Activities'!K579,318))</x:f>
        <x:v>3</x:v>
      </x:c>
      <x:c r="BG579" s="23" t="n">
        <x:f>MAX(0,MIN('Activities'!L579,330)-MAX('Activities'!K579,324))</x:f>
        <x:v>2</x:v>
      </x:c>
      <x:c r="BH579" s="23" t="n">
        <x:f>MAX(0,MIN('Activities'!L579,336)-MAX('Activities'!K579,330))</x:f>
        <x:v>0</x:v>
      </x:c>
      <x:c r="BI579" s="23" t="n">
        <x:f>MAX(0,MIN('Activities'!L579,342)-MAX('Activities'!K579,336))</x:f>
        <x:v>0</x:v>
      </x:c>
      <x:c r="BJ579" s="23" t="n">
        <x:f>MAX(0,MIN('Activities'!L579,348)-MAX('Activities'!K579,342))</x:f>
        <x:v>0</x:v>
      </x:c>
      <x:c r="BK579" s="23" t="n">
        <x:f>MAX(0,MIN('Activities'!L579,354)-MAX('Activities'!K579,348))</x:f>
        <x:v>0</x:v>
      </x:c>
      <x:c r="BL579" s="23" t="n">
        <x:f>MAX(0,MIN('Activities'!L579,360)-MAX('Activities'!K579,354))</x:f>
        <x:v>0</x:v>
      </x:c>
      <x:c r="BM579" s="23" t="n">
        <x:f>MAX(0,MIN('Activities'!L579,366)-MAX('Activities'!K579,360))</x:f>
        <x:v>0</x:v>
      </x:c>
      <x:c r="BN579" s="23" t="n">
        <x:f>MAX(0,MIN('Activities'!L579,372)-MAX('Activities'!K579,366))</x:f>
        <x:v>0</x:v>
      </x:c>
      <x:c r="BO579" s="23" t="n">
        <x:f>MAX(0,MIN('Activities'!L579,378)-MAX('Activities'!K579,372))</x:f>
        <x:v>0</x:v>
      </x:c>
      <x:c r="BP579" s="23" t="n">
        <x:f>MAX(0,MIN('Activities'!L579,384)-MAX('Activities'!K579,378))</x:f>
        <x:v>0</x:v>
      </x:c>
      <x:c r="BQ579" s="23" t="n">
        <x:f>MAX(0,MIN('Activities'!L579,390)-MAX('Activities'!K579,384))</x:f>
        <x:v>0</x:v>
      </x:c>
      <x:c r="BR579" s="23" t="n">
        <x:f>MAX(0,MIN('Activities'!L579,396)-MAX('Activities'!K579,390))</x:f>
        <x:v>0</x:v>
      </x:c>
      <x:c r="BS579" s="23" t="n">
        <x:f>MAX(0,MIN('Activities'!L579,402)-MAX('Activities'!K579,396))</x:f>
        <x:v>0</x:v>
      </x:c>
      <x:c r="BT579" s="23" t="n">
        <x:f>MAX(0,MIN('Activities'!L579,408)-MAX('Activities'!K579,402))</x:f>
        <x:v>0</x:v>
      </x:c>
      <x:c r="BU579" s="23" t="n">
        <x:f>MAX(0,MIN('Activities'!L579,414)-MAX('Activities'!K579,408))</x:f>
        <x:v>0</x:v>
      </x:c>
      <x:c r="BV579" s="23" t="n">
        <x:f>MAX(0,MIN('Activities'!L579,420)-MAX('Activities'!K579,414))</x:f>
        <x:v>0</x:v>
      </x:c>
      <x:c r="BW579" s="23" t="n">
        <x:f>MAX(0,MIN('Activities'!L579,426)-MAX('Activities'!K579,420))</x:f>
        <x:v>0</x:v>
      </x:c>
      <x:c r="BX579" s="23" t="n">
        <x:f>MAX(0,MIN('Activities'!L579,432)-MAX('Activities'!K579,426))</x:f>
        <x:v>0</x:v>
      </x:c>
      <x:c r="BY579" s="23" t="n">
        <x:f>MAX(0,MIN('Activities'!L579,438)-MAX('Activities'!K579,432))</x:f>
        <x:v>0</x:v>
      </x:c>
      <x:c r="BZ579" s="23" t="n">
        <x:f>MAX(0,MIN('Activities'!L579,444)-MAX('Activities'!K579,438))</x:f>
        <x:v>0</x:v>
      </x:c>
      <x:c r="CA579" s="23" t="n">
        <x:f>MAX(0,MIN('Activities'!L579,450)-MAX('Activities'!K579,444))</x:f>
        <x:v>0</x:v>
      </x:c>
      <x:c r="CB579" s="23" t="n">
        <x:f>MAX(0,MIN('Activities'!L579,456)-MAX('Activities'!K579,450))</x:f>
        <x:v>0</x:v>
      </x:c>
      <x:c r="CC579" s="23" t="n">
        <x:f>MAX(0,MIN('Activities'!L579,462)-MAX('Activities'!K579,456))</x:f>
        <x:v>0</x:v>
      </x:c>
      <x:c r="CD579" s="23" t="n">
        <x:f>MAX(0,MIN('Activities'!L579,468)-MAX('Activities'!K579,462))</x:f>
        <x:v>0</x:v>
      </x:c>
      <x:c r="CE579" s="23" t="n">
        <x:f>MAX(0,MIN('Activities'!L579,474)-MAX('Activities'!K579,468))</x:f>
        <x:v>0</x:v>
      </x:c>
      <x:c r="CF579" s="23" t="n">
        <x:f>MAX(0,MIN('Activities'!L579,480)-MAX('Activities'!K579,474))</x:f>
        <x:v>0</x:v>
      </x:c>
      <x:c r="CG579" s="23" t="n">
        <x:f>MAX(0,MIN('Activities'!L579,486)-MAX('Activities'!K579,480))</x:f>
        <x:v>0</x:v>
      </x:c>
      <x:c r="CH579" s="23" t="n">
        <x:f>MAX(0,MIN('Activities'!L579,492)-MAX('Activities'!K579,486))</x:f>
        <x:v>0</x:v>
      </x:c>
      <x:c r="CI579" s="23" t="n">
        <x:f>MAX(0,MIN('Activities'!L579,498)-MAX('Activities'!K579,492))</x:f>
        <x:v>0</x:v>
      </x:c>
      <x:c r="CJ579" s="23" t="n">
        <x:f>MAX(0,MIN('Activities'!L579,504)-MAX('Activities'!K579,498))</x:f>
        <x:v>0</x:v>
      </x:c>
      <x:c r="CK579" s="23" t="n">
        <x:f>MAX(0,MIN('Activities'!L579,510)-MAX('Activities'!K579,504))</x:f>
        <x:v>0</x:v>
      </x:c>
      <x:c r="CL579" s="23" t="n">
        <x:f>MAX(0,MIN('Activities'!L579,516)-MAX('Activities'!K579,510))</x:f>
        <x:v>0</x:v>
      </x:c>
      <x:c r="CM579" s="23" t="n">
        <x:f>MAX(0,MIN('Activities'!L579,522)-MAX('Activities'!K579,516))</x:f>
        <x:v>0</x:v>
      </x:c>
      <x:c r="CN579" s="23" t="n">
        <x:f>MAX(0,MIN('Activities'!L579,528)-MAX('Activities'!K579,522))</x:f>
        <x:v>0</x:v>
      </x:c>
      <x:c r="CO579" s="23" t="n">
        <x:f>MAX(0,MIN('Activities'!L579,534)-MAX('Activities'!K579,528))</x:f>
        <x:v>0</x:v>
      </x:c>
      <x:c r="CP579" s="23" t="n">
        <x:f>MAX(0,MIN('Activities'!L579,540)-MAX('Activities'!K579,534))</x:f>
        <x:v>0</x:v>
      </x:c>
      <x:c r="CQ579" s="23" t="n">
        <x:f>MAX(0,MIN('Activities'!L579,546)-MAX('Activities'!K579,540))</x:f>
        <x:v>0</x:v>
      </x:c>
      <x:c r="CR579" s="23" t="n">
        <x:f>MAX(0,MIN('Activities'!L579,552)-MAX('Activities'!K579,546))</x:f>
        <x:v>0</x:v>
      </x:c>
      <x:c r="CS579" s="23" t="n">
        <x:f>MAX(0,MIN('Activities'!L579,558)-MAX('Activities'!K579,552))</x:f>
        <x:v>0</x:v>
      </x:c>
      <x:c r="CT579" s="23" t="n">
        <x:f>MAX(0,MIN('Activities'!L579,564)-MAX('Activities'!K579,558))</x:f>
        <x:v>0</x:v>
      </x:c>
      <x:c r="CU579" s="23" t="n">
        <x:f>MAX(0,MIN('Activities'!L579,570)-MAX('Activities'!K579,564))</x:f>
        <x:v>0</x:v>
      </x:c>
      <x:c r="CV579" s="23" t="n">
        <x:f>MAX(0,MIN('Activities'!L579,576)-MAX('Activities'!K579,570))</x:f>
        <x:v>0</x:v>
      </x:c>
      <x:c r="CW579" s="23" t="n">
        <x:f>MAX(0,MIN('Activities'!L579,582)-MAX('Activities'!K579,576))</x:f>
        <x:v>0</x:v>
      </x:c>
      <x:c r="CX579" s="23" t="n">
        <x:f>MAX(0,MIN('Activities'!L579,588)-MAX('Activities'!K579,582))</x:f>
        <x:v>0</x:v>
      </x:c>
      <x:c r="CY579" s="23" t="n">
        <x:f>MAX(0,MIN('Activities'!L579,594)-MAX('Activities'!K579,588))</x:f>
        <x:v>0</x:v>
      </x:c>
      <x:c r="CZ579" s="23" t="n">
        <x:f>MAX(0,MIN('Activities'!L579,600)-MAX('Activities'!K579,594))</x:f>
        <x:v>0</x:v>
      </x:c>
      <x:c r="DA579" s="23" t="n">
        <x:f>MAX(0,MIN('Activities'!L579,606)-MAX('Activities'!K579,600))</x:f>
        <x:v>0</x:v>
      </x:c>
      <x:c r="DB579" s="23" t="n">
        <x:f>MAX(0,MIN('Activities'!L579,612)-MAX('Activities'!K579,606))</x:f>
        <x:v>0</x:v>
      </x:c>
      <x:c r="DC579" s="23" t="n">
        <x:f>MAX(0,MIN('Activities'!L579,618)-MAX('Activities'!K579,612))</x:f>
        <x:v>0</x:v>
      </x:c>
      <x:c r="DD579" s="23" t="n">
        <x:f>MAX(0,MIN('Activities'!L579,624)-MAX('Activities'!K579,618))</x:f>
        <x:v>0</x:v>
      </x:c>
      <x:c r="DE579" s="23" t="n">
        <x:f>MAX(0,MIN('Activities'!L579,630)-MAX('Activities'!K579,624))</x:f>
        <x:v>0</x:v>
      </x:c>
      <x:c r="DF579" s="23" t="n">
        <x:f>MAX(0,MIN('Activities'!L579,636)-MAX('Activities'!K579,630))</x:f>
        <x:v>0</x:v>
      </x:c>
    </x:row>
    <x:row r="580" ht="23" customHeight="1">
      <x:c r="A580" s="6" t="str">
        <x:v>T5-L08-F</x:v>
      </x:c>
      <x:c r="B580" s="6" t="str">
        <x:v>T5</x:v>
      </x:c>
      <x:c r="C580" s="6" t="str">
        <x:v>Columns, core and deck formwork</x:v>
      </x:c>
      <x:c r="D580" s="6" t="str">
        <x:v>Formwork</x:v>
      </x:c>
      <x:c r="E580" s="22" t="n">
        <x:f>MAX(0,MIN('Activities'!L580,6)-MAX('Activities'!K580,0))</x:f>
        <x:v>0</x:v>
      </x:c>
      <x:c r="F580" s="22" t="n">
        <x:f>MAX(0,MIN('Activities'!L580,12)-MAX('Activities'!K580,6))</x:f>
        <x:v>0</x:v>
      </x:c>
      <x:c r="G580" s="22" t="n">
        <x:f>MAX(0,MIN('Activities'!L580,18)-MAX('Activities'!K580,12))</x:f>
        <x:v>0</x:v>
      </x:c>
      <x:c r="H580" s="22" t="n">
        <x:f>MAX(0,MIN('Activities'!L580,24)-MAX('Activities'!K580,18))</x:f>
        <x:v>0</x:v>
      </x:c>
      <x:c r="I580" s="22" t="n">
        <x:f>MAX(0,MIN('Activities'!L580,30)-MAX('Activities'!K580,24))</x:f>
        <x:v>0</x:v>
      </x:c>
      <x:c r="J580" s="22" t="n">
        <x:f>MAX(0,MIN('Activities'!L580,36)-MAX('Activities'!K580,30))</x:f>
        <x:v>0</x:v>
      </x:c>
      <x:c r="K580" s="22" t="n">
        <x:f>MAX(0,MIN('Activities'!L580,42)-MAX('Activities'!K580,36))</x:f>
        <x:v>0</x:v>
      </x:c>
      <x:c r="L580" s="22" t="n">
        <x:f>MAX(0,MIN('Activities'!L580,48)-MAX('Activities'!K580,42))</x:f>
        <x:v>0</x:v>
      </x:c>
      <x:c r="M580" s="22" t="n">
        <x:f>MAX(0,MIN('Activities'!L580,54)-MAX('Activities'!K580,48))</x:f>
        <x:v>0</x:v>
      </x:c>
      <x:c r="N580" s="22" t="n">
        <x:f>MAX(0,MIN('Activities'!L580,60)-MAX('Activities'!K580,54))</x:f>
        <x:v>0</x:v>
      </x:c>
      <x:c r="O580" s="22" t="n">
        <x:f>MAX(0,MIN('Activities'!L580,66)-MAX('Activities'!K580,60))</x:f>
        <x:v>0</x:v>
      </x:c>
      <x:c r="P580" s="22" t="n">
        <x:f>MAX(0,MIN('Activities'!L580,72)-MAX('Activities'!K580,66))</x:f>
        <x:v>0</x:v>
      </x:c>
      <x:c r="Q580" s="22" t="n">
        <x:f>MAX(0,MIN('Activities'!L580,78)-MAX('Activities'!K580,72))</x:f>
        <x:v>0</x:v>
      </x:c>
      <x:c r="R580" s="22" t="n">
        <x:f>MAX(0,MIN('Activities'!L580,84)-MAX('Activities'!K580,78))</x:f>
        <x:v>0</x:v>
      </x:c>
      <x:c r="S580" s="22" t="n">
        <x:f>MAX(0,MIN('Activities'!L580,90)-MAX('Activities'!K580,84))</x:f>
        <x:v>0</x:v>
      </x:c>
      <x:c r="T580" s="22" t="n">
        <x:f>MAX(0,MIN('Activities'!L580,96)-MAX('Activities'!K580,90))</x:f>
        <x:v>0</x:v>
      </x:c>
      <x:c r="U580" s="22" t="n">
        <x:f>MAX(0,MIN('Activities'!L580,102)-MAX('Activities'!K580,96))</x:f>
        <x:v>0</x:v>
      </x:c>
      <x:c r="V580" s="22" t="n">
        <x:f>MAX(0,MIN('Activities'!L580,108)-MAX('Activities'!K580,102))</x:f>
        <x:v>0</x:v>
      </x:c>
      <x:c r="W580" s="22" t="n">
        <x:f>MAX(0,MIN('Activities'!L580,114)-MAX('Activities'!K580,108))</x:f>
        <x:v>0</x:v>
      </x:c>
      <x:c r="X580" s="22" t="n">
        <x:f>MAX(0,MIN('Activities'!L580,120)-MAX('Activities'!K580,114))</x:f>
        <x:v>0</x:v>
      </x:c>
      <x:c r="Y580" s="22" t="n">
        <x:f>MAX(0,MIN('Activities'!L580,126)-MAX('Activities'!K580,120))</x:f>
        <x:v>0</x:v>
      </x:c>
      <x:c r="Z580" s="22" t="n">
        <x:f>MAX(0,MIN('Activities'!L580,132)-MAX('Activities'!K580,126))</x:f>
        <x:v>0</x:v>
      </x:c>
      <x:c r="AA580" s="22" t="n">
        <x:f>MAX(0,MIN('Activities'!L580,138)-MAX('Activities'!K580,132))</x:f>
        <x:v>0</x:v>
      </x:c>
      <x:c r="AB580" s="22" t="n">
        <x:f>MAX(0,MIN('Activities'!L580,144)-MAX('Activities'!K580,138))</x:f>
        <x:v>0</x:v>
      </x:c>
      <x:c r="AC580" s="22" t="n">
        <x:f>MAX(0,MIN('Activities'!L580,150)-MAX('Activities'!K580,144))</x:f>
        <x:v>0</x:v>
      </x:c>
      <x:c r="AD580" s="22" t="n">
        <x:f>MAX(0,MIN('Activities'!L580,156)-MAX('Activities'!K580,150))</x:f>
        <x:v>0</x:v>
      </x:c>
      <x:c r="AE580" s="22" t="n">
        <x:f>MAX(0,MIN('Activities'!L580,162)-MAX('Activities'!K580,156))</x:f>
        <x:v>0</x:v>
      </x:c>
      <x:c r="AF580" s="22" t="n">
        <x:f>MAX(0,MIN('Activities'!L580,168)-MAX('Activities'!K580,162))</x:f>
        <x:v>0</x:v>
      </x:c>
      <x:c r="AG580" s="22" t="n">
        <x:f>MAX(0,MIN('Activities'!L580,174)-MAX('Activities'!K580,168))</x:f>
        <x:v>0</x:v>
      </x:c>
      <x:c r="AH580" s="22" t="n">
        <x:f>MAX(0,MIN('Activities'!L580,180)-MAX('Activities'!K580,174))</x:f>
        <x:v>0</x:v>
      </x:c>
      <x:c r="AI580" s="22" t="n">
        <x:f>MAX(0,MIN('Activities'!L580,186)-MAX('Activities'!K580,180))</x:f>
        <x:v>0</x:v>
      </x:c>
      <x:c r="AJ580" s="22" t="n">
        <x:f>MAX(0,MIN('Activities'!L580,192)-MAX('Activities'!K580,186))</x:f>
        <x:v>0</x:v>
      </x:c>
      <x:c r="AK580" s="22" t="n">
        <x:f>MAX(0,MIN('Activities'!L580,198)-MAX('Activities'!K580,192))</x:f>
        <x:v>0</x:v>
      </x:c>
      <x:c r="AL580" s="22" t="n">
        <x:f>MAX(0,MIN('Activities'!L580,204)-MAX('Activities'!K580,198))</x:f>
        <x:v>0</x:v>
      </x:c>
      <x:c r="AM580" s="22" t="n">
        <x:f>MAX(0,MIN('Activities'!L580,210)-MAX('Activities'!K580,204))</x:f>
        <x:v>0</x:v>
      </x:c>
      <x:c r="AN580" s="22" t="n">
        <x:f>MAX(0,MIN('Activities'!L580,216)-MAX('Activities'!K580,210))</x:f>
        <x:v>0</x:v>
      </x:c>
      <x:c r="AO580" s="22" t="n">
        <x:f>MAX(0,MIN('Activities'!L580,222)-MAX('Activities'!K580,216))</x:f>
        <x:v>0</x:v>
      </x:c>
      <x:c r="AP580" s="22" t="n">
        <x:f>MAX(0,MIN('Activities'!L580,228)-MAX('Activities'!K580,222))</x:f>
        <x:v>0</x:v>
      </x:c>
      <x:c r="AQ580" s="22" t="n">
        <x:f>MAX(0,MIN('Activities'!L580,234)-MAX('Activities'!K580,228))</x:f>
        <x:v>0</x:v>
      </x:c>
      <x:c r="AR580" s="22" t="n">
        <x:f>MAX(0,MIN('Activities'!L580,240)-MAX('Activities'!K580,234))</x:f>
        <x:v>0</x:v>
      </x:c>
      <x:c r="AS580" s="22" t="n">
        <x:f>MAX(0,MIN('Activities'!L580,246)-MAX('Activities'!K580,240))</x:f>
        <x:v>0</x:v>
      </x:c>
      <x:c r="AT580" s="22" t="n">
        <x:f>MAX(0,MIN('Activities'!L580,252)-MAX('Activities'!K580,246))</x:f>
        <x:v>0</x:v>
      </x:c>
      <x:c r="AU580" s="22" t="n">
        <x:f>MAX(0,MIN('Activities'!L580,258)-MAX('Activities'!K580,252))</x:f>
        <x:v>0</x:v>
      </x:c>
      <x:c r="AV580" s="22" t="n">
        <x:f>MAX(0,MIN('Activities'!L580,264)-MAX('Activities'!K580,258))</x:f>
        <x:v>0</x:v>
      </x:c>
      <x:c r="AW580" s="22" t="n">
        <x:f>MAX(0,MIN('Activities'!L580,270)-MAX('Activities'!K580,264))</x:f>
        <x:v>0</x:v>
      </x:c>
      <x:c r="AX580" s="22" t="n">
        <x:f>MAX(0,MIN('Activities'!L580,276)-MAX('Activities'!K580,270))</x:f>
        <x:v>0</x:v>
      </x:c>
      <x:c r="AY580" s="22" t="n">
        <x:f>MAX(0,MIN('Activities'!L580,282)-MAX('Activities'!K580,276))</x:f>
        <x:v>0</x:v>
      </x:c>
      <x:c r="AZ580" s="22" t="n">
        <x:f>MAX(0,MIN('Activities'!L580,288)-MAX('Activities'!K580,282))</x:f>
        <x:v>0</x:v>
      </x:c>
      <x:c r="BA580" s="22" t="n">
        <x:f>MAX(0,MIN('Activities'!L580,294)-MAX('Activities'!K580,288))</x:f>
        <x:v>0</x:v>
      </x:c>
      <x:c r="BB580" s="22" t="n">
        <x:f>MAX(0,MIN('Activities'!L580,300)-MAX('Activities'!K580,294))</x:f>
        <x:v>0</x:v>
      </x:c>
      <x:c r="BC580" s="22" t="n">
        <x:f>MAX(0,MIN('Activities'!L580,306)-MAX('Activities'!K580,300))</x:f>
        <x:v>0</x:v>
      </x:c>
      <x:c r="BD580" s="22" t="n">
        <x:f>MAX(0,MIN('Activities'!L580,312)-MAX('Activities'!K580,306))</x:f>
        <x:v>0</x:v>
      </x:c>
      <x:c r="BE580" s="22" t="n">
        <x:f>MAX(0,MIN('Activities'!L580,318)-MAX('Activities'!K580,312))</x:f>
        <x:v>0</x:v>
      </x:c>
      <x:c r="BF580" s="22" t="n">
        <x:f>MAX(0,MIN('Activities'!L580,324)-MAX('Activities'!K580,318))</x:f>
        <x:v>0</x:v>
      </x:c>
      <x:c r="BG580" s="22" t="n">
        <x:f>MAX(0,MIN('Activities'!L580,330)-MAX('Activities'!K580,324))</x:f>
        <x:v>4</x:v>
      </x:c>
      <x:c r="BH580" s="22" t="n">
        <x:f>MAX(0,MIN('Activities'!L580,336)-MAX('Activities'!K580,330))</x:f>
        <x:v>2</x:v>
      </x:c>
      <x:c r="BI580" s="22" t="n">
        <x:f>MAX(0,MIN('Activities'!L580,342)-MAX('Activities'!K580,336))</x:f>
        <x:v>0</x:v>
      </x:c>
      <x:c r="BJ580" s="22" t="n">
        <x:f>MAX(0,MIN('Activities'!L580,348)-MAX('Activities'!K580,342))</x:f>
        <x:v>0</x:v>
      </x:c>
      <x:c r="BK580" s="22" t="n">
        <x:f>MAX(0,MIN('Activities'!L580,354)-MAX('Activities'!K580,348))</x:f>
        <x:v>0</x:v>
      </x:c>
      <x:c r="BL580" s="22" t="n">
        <x:f>MAX(0,MIN('Activities'!L580,360)-MAX('Activities'!K580,354))</x:f>
        <x:v>0</x:v>
      </x:c>
      <x:c r="BM580" s="22" t="n">
        <x:f>MAX(0,MIN('Activities'!L580,366)-MAX('Activities'!K580,360))</x:f>
        <x:v>0</x:v>
      </x:c>
      <x:c r="BN580" s="22" t="n">
        <x:f>MAX(0,MIN('Activities'!L580,372)-MAX('Activities'!K580,366))</x:f>
        <x:v>0</x:v>
      </x:c>
      <x:c r="BO580" s="22" t="n">
        <x:f>MAX(0,MIN('Activities'!L580,378)-MAX('Activities'!K580,372))</x:f>
        <x:v>0</x:v>
      </x:c>
      <x:c r="BP580" s="22" t="n">
        <x:f>MAX(0,MIN('Activities'!L580,384)-MAX('Activities'!K580,378))</x:f>
        <x:v>0</x:v>
      </x:c>
      <x:c r="BQ580" s="22" t="n">
        <x:f>MAX(0,MIN('Activities'!L580,390)-MAX('Activities'!K580,384))</x:f>
        <x:v>0</x:v>
      </x:c>
      <x:c r="BR580" s="22" t="n">
        <x:f>MAX(0,MIN('Activities'!L580,396)-MAX('Activities'!K580,390))</x:f>
        <x:v>0</x:v>
      </x:c>
      <x:c r="BS580" s="22" t="n">
        <x:f>MAX(0,MIN('Activities'!L580,402)-MAX('Activities'!K580,396))</x:f>
        <x:v>0</x:v>
      </x:c>
      <x:c r="BT580" s="22" t="n">
        <x:f>MAX(0,MIN('Activities'!L580,408)-MAX('Activities'!K580,402))</x:f>
        <x:v>0</x:v>
      </x:c>
      <x:c r="BU580" s="22" t="n">
        <x:f>MAX(0,MIN('Activities'!L580,414)-MAX('Activities'!K580,408))</x:f>
        <x:v>0</x:v>
      </x:c>
      <x:c r="BV580" s="22" t="n">
        <x:f>MAX(0,MIN('Activities'!L580,420)-MAX('Activities'!K580,414))</x:f>
        <x:v>0</x:v>
      </x:c>
      <x:c r="BW580" s="22" t="n">
        <x:f>MAX(0,MIN('Activities'!L580,426)-MAX('Activities'!K580,420))</x:f>
        <x:v>0</x:v>
      </x:c>
      <x:c r="BX580" s="22" t="n">
        <x:f>MAX(0,MIN('Activities'!L580,432)-MAX('Activities'!K580,426))</x:f>
        <x:v>0</x:v>
      </x:c>
      <x:c r="BY580" s="22" t="n">
        <x:f>MAX(0,MIN('Activities'!L580,438)-MAX('Activities'!K580,432))</x:f>
        <x:v>0</x:v>
      </x:c>
      <x:c r="BZ580" s="22" t="n">
        <x:f>MAX(0,MIN('Activities'!L580,444)-MAX('Activities'!K580,438))</x:f>
        <x:v>0</x:v>
      </x:c>
      <x:c r="CA580" s="22" t="n">
        <x:f>MAX(0,MIN('Activities'!L580,450)-MAX('Activities'!K580,444))</x:f>
        <x:v>0</x:v>
      </x:c>
      <x:c r="CB580" s="22" t="n">
        <x:f>MAX(0,MIN('Activities'!L580,456)-MAX('Activities'!K580,450))</x:f>
        <x:v>0</x:v>
      </x:c>
      <x:c r="CC580" s="22" t="n">
        <x:f>MAX(0,MIN('Activities'!L580,462)-MAX('Activities'!K580,456))</x:f>
        <x:v>0</x:v>
      </x:c>
      <x:c r="CD580" s="22" t="n">
        <x:f>MAX(0,MIN('Activities'!L580,468)-MAX('Activities'!K580,462))</x:f>
        <x:v>0</x:v>
      </x:c>
      <x:c r="CE580" s="22" t="n">
        <x:f>MAX(0,MIN('Activities'!L580,474)-MAX('Activities'!K580,468))</x:f>
        <x:v>0</x:v>
      </x:c>
      <x:c r="CF580" s="22" t="n">
        <x:f>MAX(0,MIN('Activities'!L580,480)-MAX('Activities'!K580,474))</x:f>
        <x:v>0</x:v>
      </x:c>
      <x:c r="CG580" s="22" t="n">
        <x:f>MAX(0,MIN('Activities'!L580,486)-MAX('Activities'!K580,480))</x:f>
        <x:v>0</x:v>
      </x:c>
      <x:c r="CH580" s="22" t="n">
        <x:f>MAX(0,MIN('Activities'!L580,492)-MAX('Activities'!K580,486))</x:f>
        <x:v>0</x:v>
      </x:c>
      <x:c r="CI580" s="22" t="n">
        <x:f>MAX(0,MIN('Activities'!L580,498)-MAX('Activities'!K580,492))</x:f>
        <x:v>0</x:v>
      </x:c>
      <x:c r="CJ580" s="22" t="n">
        <x:f>MAX(0,MIN('Activities'!L580,504)-MAX('Activities'!K580,498))</x:f>
        <x:v>0</x:v>
      </x:c>
      <x:c r="CK580" s="22" t="n">
        <x:f>MAX(0,MIN('Activities'!L580,510)-MAX('Activities'!K580,504))</x:f>
        <x:v>0</x:v>
      </x:c>
      <x:c r="CL580" s="22" t="n">
        <x:f>MAX(0,MIN('Activities'!L580,516)-MAX('Activities'!K580,510))</x:f>
        <x:v>0</x:v>
      </x:c>
      <x:c r="CM580" s="22" t="n">
        <x:f>MAX(0,MIN('Activities'!L580,522)-MAX('Activities'!K580,516))</x:f>
        <x:v>0</x:v>
      </x:c>
      <x:c r="CN580" s="22" t="n">
        <x:f>MAX(0,MIN('Activities'!L580,528)-MAX('Activities'!K580,522))</x:f>
        <x:v>0</x:v>
      </x:c>
      <x:c r="CO580" s="22" t="n">
        <x:f>MAX(0,MIN('Activities'!L580,534)-MAX('Activities'!K580,528))</x:f>
        <x:v>0</x:v>
      </x:c>
      <x:c r="CP580" s="22" t="n">
        <x:f>MAX(0,MIN('Activities'!L580,540)-MAX('Activities'!K580,534))</x:f>
        <x:v>0</x:v>
      </x:c>
      <x:c r="CQ580" s="22" t="n">
        <x:f>MAX(0,MIN('Activities'!L580,546)-MAX('Activities'!K580,540))</x:f>
        <x:v>0</x:v>
      </x:c>
      <x:c r="CR580" s="22" t="n">
        <x:f>MAX(0,MIN('Activities'!L580,552)-MAX('Activities'!K580,546))</x:f>
        <x:v>0</x:v>
      </x:c>
      <x:c r="CS580" s="22" t="n">
        <x:f>MAX(0,MIN('Activities'!L580,558)-MAX('Activities'!K580,552))</x:f>
        <x:v>0</x:v>
      </x:c>
      <x:c r="CT580" s="22" t="n">
        <x:f>MAX(0,MIN('Activities'!L580,564)-MAX('Activities'!K580,558))</x:f>
        <x:v>0</x:v>
      </x:c>
      <x:c r="CU580" s="22" t="n">
        <x:f>MAX(0,MIN('Activities'!L580,570)-MAX('Activities'!K580,564))</x:f>
        <x:v>0</x:v>
      </x:c>
      <x:c r="CV580" s="22" t="n">
        <x:f>MAX(0,MIN('Activities'!L580,576)-MAX('Activities'!K580,570))</x:f>
        <x:v>0</x:v>
      </x:c>
      <x:c r="CW580" s="22" t="n">
        <x:f>MAX(0,MIN('Activities'!L580,582)-MAX('Activities'!K580,576))</x:f>
        <x:v>0</x:v>
      </x:c>
      <x:c r="CX580" s="22" t="n">
        <x:f>MAX(0,MIN('Activities'!L580,588)-MAX('Activities'!K580,582))</x:f>
        <x:v>0</x:v>
      </x:c>
      <x:c r="CY580" s="22" t="n">
        <x:f>MAX(0,MIN('Activities'!L580,594)-MAX('Activities'!K580,588))</x:f>
        <x:v>0</x:v>
      </x:c>
      <x:c r="CZ580" s="22" t="n">
        <x:f>MAX(0,MIN('Activities'!L580,600)-MAX('Activities'!K580,594))</x:f>
        <x:v>0</x:v>
      </x:c>
      <x:c r="DA580" s="22" t="n">
        <x:f>MAX(0,MIN('Activities'!L580,606)-MAX('Activities'!K580,600))</x:f>
        <x:v>0</x:v>
      </x:c>
      <x:c r="DB580" s="22" t="n">
        <x:f>MAX(0,MIN('Activities'!L580,612)-MAX('Activities'!K580,606))</x:f>
        <x:v>0</x:v>
      </x:c>
      <x:c r="DC580" s="22" t="n">
        <x:f>MAX(0,MIN('Activities'!L580,618)-MAX('Activities'!K580,612))</x:f>
        <x:v>0</x:v>
      </x:c>
      <x:c r="DD580" s="22" t="n">
        <x:f>MAX(0,MIN('Activities'!L580,624)-MAX('Activities'!K580,618))</x:f>
        <x:v>0</x:v>
      </x:c>
      <x:c r="DE580" s="22" t="n">
        <x:f>MAX(0,MIN('Activities'!L580,630)-MAX('Activities'!K580,624))</x:f>
        <x:v>0</x:v>
      </x:c>
      <x:c r="DF580" s="22" t="n">
        <x:f>MAX(0,MIN('Activities'!L580,636)-MAX('Activities'!K580,630))</x:f>
        <x:v>0</x:v>
      </x:c>
    </x:row>
    <x:row r="581" ht="23" customHeight="1">
      <x:c r="A581" s="1" t="str">
        <x:v>T5-L08-R</x:v>
      </x:c>
      <x:c r="B581" s="1" t="str">
        <x:v>T5</x:v>
      </x:c>
      <x:c r="C581" s="1" t="str">
        <x:v>Column, wall, beam and slab reinforcement</x:v>
      </x:c>
      <x:c r="D581" s="1" t="str">
        <x:v>Rebar</x:v>
      </x:c>
      <x:c r="E581" s="23" t="n">
        <x:f>MAX(0,MIN('Activities'!L581,6)-MAX('Activities'!K581,0))</x:f>
        <x:v>0</x:v>
      </x:c>
      <x:c r="F581" s="23" t="n">
        <x:f>MAX(0,MIN('Activities'!L581,12)-MAX('Activities'!K581,6))</x:f>
        <x:v>0</x:v>
      </x:c>
      <x:c r="G581" s="23" t="n">
        <x:f>MAX(0,MIN('Activities'!L581,18)-MAX('Activities'!K581,12))</x:f>
        <x:v>0</x:v>
      </x:c>
      <x:c r="H581" s="23" t="n">
        <x:f>MAX(0,MIN('Activities'!L581,24)-MAX('Activities'!K581,18))</x:f>
        <x:v>0</x:v>
      </x:c>
      <x:c r="I581" s="23" t="n">
        <x:f>MAX(0,MIN('Activities'!L581,30)-MAX('Activities'!K581,24))</x:f>
        <x:v>0</x:v>
      </x:c>
      <x:c r="J581" s="23" t="n">
        <x:f>MAX(0,MIN('Activities'!L581,36)-MAX('Activities'!K581,30))</x:f>
        <x:v>0</x:v>
      </x:c>
      <x:c r="K581" s="23" t="n">
        <x:f>MAX(0,MIN('Activities'!L581,42)-MAX('Activities'!K581,36))</x:f>
        <x:v>0</x:v>
      </x:c>
      <x:c r="L581" s="23" t="n">
        <x:f>MAX(0,MIN('Activities'!L581,48)-MAX('Activities'!K581,42))</x:f>
        <x:v>0</x:v>
      </x:c>
      <x:c r="M581" s="23" t="n">
        <x:f>MAX(0,MIN('Activities'!L581,54)-MAX('Activities'!K581,48))</x:f>
        <x:v>0</x:v>
      </x:c>
      <x:c r="N581" s="23" t="n">
        <x:f>MAX(0,MIN('Activities'!L581,60)-MAX('Activities'!K581,54))</x:f>
        <x:v>0</x:v>
      </x:c>
      <x:c r="O581" s="23" t="n">
        <x:f>MAX(0,MIN('Activities'!L581,66)-MAX('Activities'!K581,60))</x:f>
        <x:v>0</x:v>
      </x:c>
      <x:c r="P581" s="23" t="n">
        <x:f>MAX(0,MIN('Activities'!L581,72)-MAX('Activities'!K581,66))</x:f>
        <x:v>0</x:v>
      </x:c>
      <x:c r="Q581" s="23" t="n">
        <x:f>MAX(0,MIN('Activities'!L581,78)-MAX('Activities'!K581,72))</x:f>
        <x:v>0</x:v>
      </x:c>
      <x:c r="R581" s="23" t="n">
        <x:f>MAX(0,MIN('Activities'!L581,84)-MAX('Activities'!K581,78))</x:f>
        <x:v>0</x:v>
      </x:c>
      <x:c r="S581" s="23" t="n">
        <x:f>MAX(0,MIN('Activities'!L581,90)-MAX('Activities'!K581,84))</x:f>
        <x:v>0</x:v>
      </x:c>
      <x:c r="T581" s="23" t="n">
        <x:f>MAX(0,MIN('Activities'!L581,96)-MAX('Activities'!K581,90))</x:f>
        <x:v>0</x:v>
      </x:c>
      <x:c r="U581" s="23" t="n">
        <x:f>MAX(0,MIN('Activities'!L581,102)-MAX('Activities'!K581,96))</x:f>
        <x:v>0</x:v>
      </x:c>
      <x:c r="V581" s="23" t="n">
        <x:f>MAX(0,MIN('Activities'!L581,108)-MAX('Activities'!K581,102))</x:f>
        <x:v>0</x:v>
      </x:c>
      <x:c r="W581" s="23" t="n">
        <x:f>MAX(0,MIN('Activities'!L581,114)-MAX('Activities'!K581,108))</x:f>
        <x:v>0</x:v>
      </x:c>
      <x:c r="X581" s="23" t="n">
        <x:f>MAX(0,MIN('Activities'!L581,120)-MAX('Activities'!K581,114))</x:f>
        <x:v>0</x:v>
      </x:c>
      <x:c r="Y581" s="23" t="n">
        <x:f>MAX(0,MIN('Activities'!L581,126)-MAX('Activities'!K581,120))</x:f>
        <x:v>0</x:v>
      </x:c>
      <x:c r="Z581" s="23" t="n">
        <x:f>MAX(0,MIN('Activities'!L581,132)-MAX('Activities'!K581,126))</x:f>
        <x:v>0</x:v>
      </x:c>
      <x:c r="AA581" s="23" t="n">
        <x:f>MAX(0,MIN('Activities'!L581,138)-MAX('Activities'!K581,132))</x:f>
        <x:v>0</x:v>
      </x:c>
      <x:c r="AB581" s="23" t="n">
        <x:f>MAX(0,MIN('Activities'!L581,144)-MAX('Activities'!K581,138))</x:f>
        <x:v>0</x:v>
      </x:c>
      <x:c r="AC581" s="23" t="n">
        <x:f>MAX(0,MIN('Activities'!L581,150)-MAX('Activities'!K581,144))</x:f>
        <x:v>0</x:v>
      </x:c>
      <x:c r="AD581" s="23" t="n">
        <x:f>MAX(0,MIN('Activities'!L581,156)-MAX('Activities'!K581,150))</x:f>
        <x:v>0</x:v>
      </x:c>
      <x:c r="AE581" s="23" t="n">
        <x:f>MAX(0,MIN('Activities'!L581,162)-MAX('Activities'!K581,156))</x:f>
        <x:v>0</x:v>
      </x:c>
      <x:c r="AF581" s="23" t="n">
        <x:f>MAX(0,MIN('Activities'!L581,168)-MAX('Activities'!K581,162))</x:f>
        <x:v>0</x:v>
      </x:c>
      <x:c r="AG581" s="23" t="n">
        <x:f>MAX(0,MIN('Activities'!L581,174)-MAX('Activities'!K581,168))</x:f>
        <x:v>0</x:v>
      </x:c>
      <x:c r="AH581" s="23" t="n">
        <x:f>MAX(0,MIN('Activities'!L581,180)-MAX('Activities'!K581,174))</x:f>
        <x:v>0</x:v>
      </x:c>
      <x:c r="AI581" s="23" t="n">
        <x:f>MAX(0,MIN('Activities'!L581,186)-MAX('Activities'!K581,180))</x:f>
        <x:v>0</x:v>
      </x:c>
      <x:c r="AJ581" s="23" t="n">
        <x:f>MAX(0,MIN('Activities'!L581,192)-MAX('Activities'!K581,186))</x:f>
        <x:v>0</x:v>
      </x:c>
      <x:c r="AK581" s="23" t="n">
        <x:f>MAX(0,MIN('Activities'!L581,198)-MAX('Activities'!K581,192))</x:f>
        <x:v>0</x:v>
      </x:c>
      <x:c r="AL581" s="23" t="n">
        <x:f>MAX(0,MIN('Activities'!L581,204)-MAX('Activities'!K581,198))</x:f>
        <x:v>0</x:v>
      </x:c>
      <x:c r="AM581" s="23" t="n">
        <x:f>MAX(0,MIN('Activities'!L581,210)-MAX('Activities'!K581,204))</x:f>
        <x:v>0</x:v>
      </x:c>
      <x:c r="AN581" s="23" t="n">
        <x:f>MAX(0,MIN('Activities'!L581,216)-MAX('Activities'!K581,210))</x:f>
        <x:v>0</x:v>
      </x:c>
      <x:c r="AO581" s="23" t="n">
        <x:f>MAX(0,MIN('Activities'!L581,222)-MAX('Activities'!K581,216))</x:f>
        <x:v>0</x:v>
      </x:c>
      <x:c r="AP581" s="23" t="n">
        <x:f>MAX(0,MIN('Activities'!L581,228)-MAX('Activities'!K581,222))</x:f>
        <x:v>0</x:v>
      </x:c>
      <x:c r="AQ581" s="23" t="n">
        <x:f>MAX(0,MIN('Activities'!L581,234)-MAX('Activities'!K581,228))</x:f>
        <x:v>0</x:v>
      </x:c>
      <x:c r="AR581" s="23" t="n">
        <x:f>MAX(0,MIN('Activities'!L581,240)-MAX('Activities'!K581,234))</x:f>
        <x:v>0</x:v>
      </x:c>
      <x:c r="AS581" s="23" t="n">
        <x:f>MAX(0,MIN('Activities'!L581,246)-MAX('Activities'!K581,240))</x:f>
        <x:v>0</x:v>
      </x:c>
      <x:c r="AT581" s="23" t="n">
        <x:f>MAX(0,MIN('Activities'!L581,252)-MAX('Activities'!K581,246))</x:f>
        <x:v>0</x:v>
      </x:c>
      <x:c r="AU581" s="23" t="n">
        <x:f>MAX(0,MIN('Activities'!L581,258)-MAX('Activities'!K581,252))</x:f>
        <x:v>0</x:v>
      </x:c>
      <x:c r="AV581" s="23" t="n">
        <x:f>MAX(0,MIN('Activities'!L581,264)-MAX('Activities'!K581,258))</x:f>
        <x:v>0</x:v>
      </x:c>
      <x:c r="AW581" s="23" t="n">
        <x:f>MAX(0,MIN('Activities'!L581,270)-MAX('Activities'!K581,264))</x:f>
        <x:v>0</x:v>
      </x:c>
      <x:c r="AX581" s="23" t="n">
        <x:f>MAX(0,MIN('Activities'!L581,276)-MAX('Activities'!K581,270))</x:f>
        <x:v>0</x:v>
      </x:c>
      <x:c r="AY581" s="23" t="n">
        <x:f>MAX(0,MIN('Activities'!L581,282)-MAX('Activities'!K581,276))</x:f>
        <x:v>0</x:v>
      </x:c>
      <x:c r="AZ581" s="23" t="n">
        <x:f>MAX(0,MIN('Activities'!L581,288)-MAX('Activities'!K581,282))</x:f>
        <x:v>0</x:v>
      </x:c>
      <x:c r="BA581" s="23" t="n">
        <x:f>MAX(0,MIN('Activities'!L581,294)-MAX('Activities'!K581,288))</x:f>
        <x:v>0</x:v>
      </x:c>
      <x:c r="BB581" s="23" t="n">
        <x:f>MAX(0,MIN('Activities'!L581,300)-MAX('Activities'!K581,294))</x:f>
        <x:v>0</x:v>
      </x:c>
      <x:c r="BC581" s="23" t="n">
        <x:f>MAX(0,MIN('Activities'!L581,306)-MAX('Activities'!K581,300))</x:f>
        <x:v>0</x:v>
      </x:c>
      <x:c r="BD581" s="23" t="n">
        <x:f>MAX(0,MIN('Activities'!L581,312)-MAX('Activities'!K581,306))</x:f>
        <x:v>0</x:v>
      </x:c>
      <x:c r="BE581" s="23" t="n">
        <x:f>MAX(0,MIN('Activities'!L581,318)-MAX('Activities'!K581,312))</x:f>
        <x:v>0</x:v>
      </x:c>
      <x:c r="BF581" s="23" t="n">
        <x:f>MAX(0,MIN('Activities'!L581,324)-MAX('Activities'!K581,318))</x:f>
        <x:v>0</x:v>
      </x:c>
      <x:c r="BG581" s="23" t="n">
        <x:f>MAX(0,MIN('Activities'!L581,330)-MAX('Activities'!K581,324))</x:f>
        <x:v>0</x:v>
      </x:c>
      <x:c r="BH581" s="23" t="n">
        <x:f>MAX(0,MIN('Activities'!L581,336)-MAX('Activities'!K581,330))</x:f>
        <x:v>4</x:v>
      </x:c>
      <x:c r="BI581" s="23" t="n">
        <x:f>MAX(0,MIN('Activities'!L581,342)-MAX('Activities'!K581,336))</x:f>
        <x:v>1</x:v>
      </x:c>
      <x:c r="BJ581" s="23" t="n">
        <x:f>MAX(0,MIN('Activities'!L581,348)-MAX('Activities'!K581,342))</x:f>
        <x:v>0</x:v>
      </x:c>
      <x:c r="BK581" s="23" t="n">
        <x:f>MAX(0,MIN('Activities'!L581,354)-MAX('Activities'!K581,348))</x:f>
        <x:v>0</x:v>
      </x:c>
      <x:c r="BL581" s="23" t="n">
        <x:f>MAX(0,MIN('Activities'!L581,360)-MAX('Activities'!K581,354))</x:f>
        <x:v>0</x:v>
      </x:c>
      <x:c r="BM581" s="23" t="n">
        <x:f>MAX(0,MIN('Activities'!L581,366)-MAX('Activities'!K581,360))</x:f>
        <x:v>0</x:v>
      </x:c>
      <x:c r="BN581" s="23" t="n">
        <x:f>MAX(0,MIN('Activities'!L581,372)-MAX('Activities'!K581,366))</x:f>
        <x:v>0</x:v>
      </x:c>
      <x:c r="BO581" s="23" t="n">
        <x:f>MAX(0,MIN('Activities'!L581,378)-MAX('Activities'!K581,372))</x:f>
        <x:v>0</x:v>
      </x:c>
      <x:c r="BP581" s="23" t="n">
        <x:f>MAX(0,MIN('Activities'!L581,384)-MAX('Activities'!K581,378))</x:f>
        <x:v>0</x:v>
      </x:c>
      <x:c r="BQ581" s="23" t="n">
        <x:f>MAX(0,MIN('Activities'!L581,390)-MAX('Activities'!K581,384))</x:f>
        <x:v>0</x:v>
      </x:c>
      <x:c r="BR581" s="23" t="n">
        <x:f>MAX(0,MIN('Activities'!L581,396)-MAX('Activities'!K581,390))</x:f>
        <x:v>0</x:v>
      </x:c>
      <x:c r="BS581" s="23" t="n">
        <x:f>MAX(0,MIN('Activities'!L581,402)-MAX('Activities'!K581,396))</x:f>
        <x:v>0</x:v>
      </x:c>
      <x:c r="BT581" s="23" t="n">
        <x:f>MAX(0,MIN('Activities'!L581,408)-MAX('Activities'!K581,402))</x:f>
        <x:v>0</x:v>
      </x:c>
      <x:c r="BU581" s="23" t="n">
        <x:f>MAX(0,MIN('Activities'!L581,414)-MAX('Activities'!K581,408))</x:f>
        <x:v>0</x:v>
      </x:c>
      <x:c r="BV581" s="23" t="n">
        <x:f>MAX(0,MIN('Activities'!L581,420)-MAX('Activities'!K581,414))</x:f>
        <x:v>0</x:v>
      </x:c>
      <x:c r="BW581" s="23" t="n">
        <x:f>MAX(0,MIN('Activities'!L581,426)-MAX('Activities'!K581,420))</x:f>
        <x:v>0</x:v>
      </x:c>
      <x:c r="BX581" s="23" t="n">
        <x:f>MAX(0,MIN('Activities'!L581,432)-MAX('Activities'!K581,426))</x:f>
        <x:v>0</x:v>
      </x:c>
      <x:c r="BY581" s="23" t="n">
        <x:f>MAX(0,MIN('Activities'!L581,438)-MAX('Activities'!K581,432))</x:f>
        <x:v>0</x:v>
      </x:c>
      <x:c r="BZ581" s="23" t="n">
        <x:f>MAX(0,MIN('Activities'!L581,444)-MAX('Activities'!K581,438))</x:f>
        <x:v>0</x:v>
      </x:c>
      <x:c r="CA581" s="23" t="n">
        <x:f>MAX(0,MIN('Activities'!L581,450)-MAX('Activities'!K581,444))</x:f>
        <x:v>0</x:v>
      </x:c>
      <x:c r="CB581" s="23" t="n">
        <x:f>MAX(0,MIN('Activities'!L581,456)-MAX('Activities'!K581,450))</x:f>
        <x:v>0</x:v>
      </x:c>
      <x:c r="CC581" s="23" t="n">
        <x:f>MAX(0,MIN('Activities'!L581,462)-MAX('Activities'!K581,456))</x:f>
        <x:v>0</x:v>
      </x:c>
      <x:c r="CD581" s="23" t="n">
        <x:f>MAX(0,MIN('Activities'!L581,468)-MAX('Activities'!K581,462))</x:f>
        <x:v>0</x:v>
      </x:c>
      <x:c r="CE581" s="23" t="n">
        <x:f>MAX(0,MIN('Activities'!L581,474)-MAX('Activities'!K581,468))</x:f>
        <x:v>0</x:v>
      </x:c>
      <x:c r="CF581" s="23" t="n">
        <x:f>MAX(0,MIN('Activities'!L581,480)-MAX('Activities'!K581,474))</x:f>
        <x:v>0</x:v>
      </x:c>
      <x:c r="CG581" s="23" t="n">
        <x:f>MAX(0,MIN('Activities'!L581,486)-MAX('Activities'!K581,480))</x:f>
        <x:v>0</x:v>
      </x:c>
      <x:c r="CH581" s="23" t="n">
        <x:f>MAX(0,MIN('Activities'!L581,492)-MAX('Activities'!K581,486))</x:f>
        <x:v>0</x:v>
      </x:c>
      <x:c r="CI581" s="23" t="n">
        <x:f>MAX(0,MIN('Activities'!L581,498)-MAX('Activities'!K581,492))</x:f>
        <x:v>0</x:v>
      </x:c>
      <x:c r="CJ581" s="23" t="n">
        <x:f>MAX(0,MIN('Activities'!L581,504)-MAX('Activities'!K581,498))</x:f>
        <x:v>0</x:v>
      </x:c>
      <x:c r="CK581" s="23" t="n">
        <x:f>MAX(0,MIN('Activities'!L581,510)-MAX('Activities'!K581,504))</x:f>
        <x:v>0</x:v>
      </x:c>
      <x:c r="CL581" s="23" t="n">
        <x:f>MAX(0,MIN('Activities'!L581,516)-MAX('Activities'!K581,510))</x:f>
        <x:v>0</x:v>
      </x:c>
      <x:c r="CM581" s="23" t="n">
        <x:f>MAX(0,MIN('Activities'!L581,522)-MAX('Activities'!K581,516))</x:f>
        <x:v>0</x:v>
      </x:c>
      <x:c r="CN581" s="23" t="n">
        <x:f>MAX(0,MIN('Activities'!L581,528)-MAX('Activities'!K581,522))</x:f>
        <x:v>0</x:v>
      </x:c>
      <x:c r="CO581" s="23" t="n">
        <x:f>MAX(0,MIN('Activities'!L581,534)-MAX('Activities'!K581,528))</x:f>
        <x:v>0</x:v>
      </x:c>
      <x:c r="CP581" s="23" t="n">
        <x:f>MAX(0,MIN('Activities'!L581,540)-MAX('Activities'!K581,534))</x:f>
        <x:v>0</x:v>
      </x:c>
      <x:c r="CQ581" s="23" t="n">
        <x:f>MAX(0,MIN('Activities'!L581,546)-MAX('Activities'!K581,540))</x:f>
        <x:v>0</x:v>
      </x:c>
      <x:c r="CR581" s="23" t="n">
        <x:f>MAX(0,MIN('Activities'!L581,552)-MAX('Activities'!K581,546))</x:f>
        <x:v>0</x:v>
      </x:c>
      <x:c r="CS581" s="23" t="n">
        <x:f>MAX(0,MIN('Activities'!L581,558)-MAX('Activities'!K581,552))</x:f>
        <x:v>0</x:v>
      </x:c>
      <x:c r="CT581" s="23" t="n">
        <x:f>MAX(0,MIN('Activities'!L581,564)-MAX('Activities'!K581,558))</x:f>
        <x:v>0</x:v>
      </x:c>
      <x:c r="CU581" s="23" t="n">
        <x:f>MAX(0,MIN('Activities'!L581,570)-MAX('Activities'!K581,564))</x:f>
        <x:v>0</x:v>
      </x:c>
      <x:c r="CV581" s="23" t="n">
        <x:f>MAX(0,MIN('Activities'!L581,576)-MAX('Activities'!K581,570))</x:f>
        <x:v>0</x:v>
      </x:c>
      <x:c r="CW581" s="23" t="n">
        <x:f>MAX(0,MIN('Activities'!L581,582)-MAX('Activities'!K581,576))</x:f>
        <x:v>0</x:v>
      </x:c>
      <x:c r="CX581" s="23" t="n">
        <x:f>MAX(0,MIN('Activities'!L581,588)-MAX('Activities'!K581,582))</x:f>
        <x:v>0</x:v>
      </x:c>
      <x:c r="CY581" s="23" t="n">
        <x:f>MAX(0,MIN('Activities'!L581,594)-MAX('Activities'!K581,588))</x:f>
        <x:v>0</x:v>
      </x:c>
      <x:c r="CZ581" s="23" t="n">
        <x:f>MAX(0,MIN('Activities'!L581,600)-MAX('Activities'!K581,594))</x:f>
        <x:v>0</x:v>
      </x:c>
      <x:c r="DA581" s="23" t="n">
        <x:f>MAX(0,MIN('Activities'!L581,606)-MAX('Activities'!K581,600))</x:f>
        <x:v>0</x:v>
      </x:c>
      <x:c r="DB581" s="23" t="n">
        <x:f>MAX(0,MIN('Activities'!L581,612)-MAX('Activities'!K581,606))</x:f>
        <x:v>0</x:v>
      </x:c>
      <x:c r="DC581" s="23" t="n">
        <x:f>MAX(0,MIN('Activities'!L581,618)-MAX('Activities'!K581,612))</x:f>
        <x:v>0</x:v>
      </x:c>
      <x:c r="DD581" s="23" t="n">
        <x:f>MAX(0,MIN('Activities'!L581,624)-MAX('Activities'!K581,618))</x:f>
        <x:v>0</x:v>
      </x:c>
      <x:c r="DE581" s="23" t="n">
        <x:f>MAX(0,MIN('Activities'!L581,630)-MAX('Activities'!K581,624))</x:f>
        <x:v>0</x:v>
      </x:c>
      <x:c r="DF581" s="23" t="n">
        <x:f>MAX(0,MIN('Activities'!L581,636)-MAX('Activities'!K581,630))</x:f>
        <x:v>0</x:v>
      </x:c>
    </x:row>
    <x:row r="582" ht="23" customHeight="1">
      <x:c r="A582" s="6" t="str">
        <x:v>T5-L08-C</x:v>
      </x:c>
      <x:c r="B582" s="6" t="str">
        <x:v>T5</x:v>
      </x:c>
      <x:c r="C582" s="6" t="str">
        <x:v>Concrete placement and finishing</x:v>
      </x:c>
      <x:c r="D582" s="6" t="str">
        <x:v>Concrete</x:v>
      </x:c>
      <x:c r="E582" s="22" t="n">
        <x:f>MAX(0,MIN('Activities'!L582,6)-MAX('Activities'!K582,0))</x:f>
        <x:v>0</x:v>
      </x:c>
      <x:c r="F582" s="22" t="n">
        <x:f>MAX(0,MIN('Activities'!L582,12)-MAX('Activities'!K582,6))</x:f>
        <x:v>0</x:v>
      </x:c>
      <x:c r="G582" s="22" t="n">
        <x:f>MAX(0,MIN('Activities'!L582,18)-MAX('Activities'!K582,12))</x:f>
        <x:v>0</x:v>
      </x:c>
      <x:c r="H582" s="22" t="n">
        <x:f>MAX(0,MIN('Activities'!L582,24)-MAX('Activities'!K582,18))</x:f>
        <x:v>0</x:v>
      </x:c>
      <x:c r="I582" s="22" t="n">
        <x:f>MAX(0,MIN('Activities'!L582,30)-MAX('Activities'!K582,24))</x:f>
        <x:v>0</x:v>
      </x:c>
      <x:c r="J582" s="22" t="n">
        <x:f>MAX(0,MIN('Activities'!L582,36)-MAX('Activities'!K582,30))</x:f>
        <x:v>0</x:v>
      </x:c>
      <x:c r="K582" s="22" t="n">
        <x:f>MAX(0,MIN('Activities'!L582,42)-MAX('Activities'!K582,36))</x:f>
        <x:v>0</x:v>
      </x:c>
      <x:c r="L582" s="22" t="n">
        <x:f>MAX(0,MIN('Activities'!L582,48)-MAX('Activities'!K582,42))</x:f>
        <x:v>0</x:v>
      </x:c>
      <x:c r="M582" s="22" t="n">
        <x:f>MAX(0,MIN('Activities'!L582,54)-MAX('Activities'!K582,48))</x:f>
        <x:v>0</x:v>
      </x:c>
      <x:c r="N582" s="22" t="n">
        <x:f>MAX(0,MIN('Activities'!L582,60)-MAX('Activities'!K582,54))</x:f>
        <x:v>0</x:v>
      </x:c>
      <x:c r="O582" s="22" t="n">
        <x:f>MAX(0,MIN('Activities'!L582,66)-MAX('Activities'!K582,60))</x:f>
        <x:v>0</x:v>
      </x:c>
      <x:c r="P582" s="22" t="n">
        <x:f>MAX(0,MIN('Activities'!L582,72)-MAX('Activities'!K582,66))</x:f>
        <x:v>0</x:v>
      </x:c>
      <x:c r="Q582" s="22" t="n">
        <x:f>MAX(0,MIN('Activities'!L582,78)-MAX('Activities'!K582,72))</x:f>
        <x:v>0</x:v>
      </x:c>
      <x:c r="R582" s="22" t="n">
        <x:f>MAX(0,MIN('Activities'!L582,84)-MAX('Activities'!K582,78))</x:f>
        <x:v>0</x:v>
      </x:c>
      <x:c r="S582" s="22" t="n">
        <x:f>MAX(0,MIN('Activities'!L582,90)-MAX('Activities'!K582,84))</x:f>
        <x:v>0</x:v>
      </x:c>
      <x:c r="T582" s="22" t="n">
        <x:f>MAX(0,MIN('Activities'!L582,96)-MAX('Activities'!K582,90))</x:f>
        <x:v>0</x:v>
      </x:c>
      <x:c r="U582" s="22" t="n">
        <x:f>MAX(0,MIN('Activities'!L582,102)-MAX('Activities'!K582,96))</x:f>
        <x:v>0</x:v>
      </x:c>
      <x:c r="V582" s="22" t="n">
        <x:f>MAX(0,MIN('Activities'!L582,108)-MAX('Activities'!K582,102))</x:f>
        <x:v>0</x:v>
      </x:c>
      <x:c r="W582" s="22" t="n">
        <x:f>MAX(0,MIN('Activities'!L582,114)-MAX('Activities'!K582,108))</x:f>
        <x:v>0</x:v>
      </x:c>
      <x:c r="X582" s="22" t="n">
        <x:f>MAX(0,MIN('Activities'!L582,120)-MAX('Activities'!K582,114))</x:f>
        <x:v>0</x:v>
      </x:c>
      <x:c r="Y582" s="22" t="n">
        <x:f>MAX(0,MIN('Activities'!L582,126)-MAX('Activities'!K582,120))</x:f>
        <x:v>0</x:v>
      </x:c>
      <x:c r="Z582" s="22" t="n">
        <x:f>MAX(0,MIN('Activities'!L582,132)-MAX('Activities'!K582,126))</x:f>
        <x:v>0</x:v>
      </x:c>
      <x:c r="AA582" s="22" t="n">
        <x:f>MAX(0,MIN('Activities'!L582,138)-MAX('Activities'!K582,132))</x:f>
        <x:v>0</x:v>
      </x:c>
      <x:c r="AB582" s="22" t="n">
        <x:f>MAX(0,MIN('Activities'!L582,144)-MAX('Activities'!K582,138))</x:f>
        <x:v>0</x:v>
      </x:c>
      <x:c r="AC582" s="22" t="n">
        <x:f>MAX(0,MIN('Activities'!L582,150)-MAX('Activities'!K582,144))</x:f>
        <x:v>0</x:v>
      </x:c>
      <x:c r="AD582" s="22" t="n">
        <x:f>MAX(0,MIN('Activities'!L582,156)-MAX('Activities'!K582,150))</x:f>
        <x:v>0</x:v>
      </x:c>
      <x:c r="AE582" s="22" t="n">
        <x:f>MAX(0,MIN('Activities'!L582,162)-MAX('Activities'!K582,156))</x:f>
        <x:v>0</x:v>
      </x:c>
      <x:c r="AF582" s="22" t="n">
        <x:f>MAX(0,MIN('Activities'!L582,168)-MAX('Activities'!K582,162))</x:f>
        <x:v>0</x:v>
      </x:c>
      <x:c r="AG582" s="22" t="n">
        <x:f>MAX(0,MIN('Activities'!L582,174)-MAX('Activities'!K582,168))</x:f>
        <x:v>0</x:v>
      </x:c>
      <x:c r="AH582" s="22" t="n">
        <x:f>MAX(0,MIN('Activities'!L582,180)-MAX('Activities'!K582,174))</x:f>
        <x:v>0</x:v>
      </x:c>
      <x:c r="AI582" s="22" t="n">
        <x:f>MAX(0,MIN('Activities'!L582,186)-MAX('Activities'!K582,180))</x:f>
        <x:v>0</x:v>
      </x:c>
      <x:c r="AJ582" s="22" t="n">
        <x:f>MAX(0,MIN('Activities'!L582,192)-MAX('Activities'!K582,186))</x:f>
        <x:v>0</x:v>
      </x:c>
      <x:c r="AK582" s="22" t="n">
        <x:f>MAX(0,MIN('Activities'!L582,198)-MAX('Activities'!K582,192))</x:f>
        <x:v>0</x:v>
      </x:c>
      <x:c r="AL582" s="22" t="n">
        <x:f>MAX(0,MIN('Activities'!L582,204)-MAX('Activities'!K582,198))</x:f>
        <x:v>0</x:v>
      </x:c>
      <x:c r="AM582" s="22" t="n">
        <x:f>MAX(0,MIN('Activities'!L582,210)-MAX('Activities'!K582,204))</x:f>
        <x:v>0</x:v>
      </x:c>
      <x:c r="AN582" s="22" t="n">
        <x:f>MAX(0,MIN('Activities'!L582,216)-MAX('Activities'!K582,210))</x:f>
        <x:v>0</x:v>
      </x:c>
      <x:c r="AO582" s="22" t="n">
        <x:f>MAX(0,MIN('Activities'!L582,222)-MAX('Activities'!K582,216))</x:f>
        <x:v>0</x:v>
      </x:c>
      <x:c r="AP582" s="22" t="n">
        <x:f>MAX(0,MIN('Activities'!L582,228)-MAX('Activities'!K582,222))</x:f>
        <x:v>0</x:v>
      </x:c>
      <x:c r="AQ582" s="22" t="n">
        <x:f>MAX(0,MIN('Activities'!L582,234)-MAX('Activities'!K582,228))</x:f>
        <x:v>0</x:v>
      </x:c>
      <x:c r="AR582" s="22" t="n">
        <x:f>MAX(0,MIN('Activities'!L582,240)-MAX('Activities'!K582,234))</x:f>
        <x:v>0</x:v>
      </x:c>
      <x:c r="AS582" s="22" t="n">
        <x:f>MAX(0,MIN('Activities'!L582,246)-MAX('Activities'!K582,240))</x:f>
        <x:v>0</x:v>
      </x:c>
      <x:c r="AT582" s="22" t="n">
        <x:f>MAX(0,MIN('Activities'!L582,252)-MAX('Activities'!K582,246))</x:f>
        <x:v>0</x:v>
      </x:c>
      <x:c r="AU582" s="22" t="n">
        <x:f>MAX(0,MIN('Activities'!L582,258)-MAX('Activities'!K582,252))</x:f>
        <x:v>0</x:v>
      </x:c>
      <x:c r="AV582" s="22" t="n">
        <x:f>MAX(0,MIN('Activities'!L582,264)-MAX('Activities'!K582,258))</x:f>
        <x:v>0</x:v>
      </x:c>
      <x:c r="AW582" s="22" t="n">
        <x:f>MAX(0,MIN('Activities'!L582,270)-MAX('Activities'!K582,264))</x:f>
        <x:v>0</x:v>
      </x:c>
      <x:c r="AX582" s="22" t="n">
        <x:f>MAX(0,MIN('Activities'!L582,276)-MAX('Activities'!K582,270))</x:f>
        <x:v>0</x:v>
      </x:c>
      <x:c r="AY582" s="22" t="n">
        <x:f>MAX(0,MIN('Activities'!L582,282)-MAX('Activities'!K582,276))</x:f>
        <x:v>0</x:v>
      </x:c>
      <x:c r="AZ582" s="22" t="n">
        <x:f>MAX(0,MIN('Activities'!L582,288)-MAX('Activities'!K582,282))</x:f>
        <x:v>0</x:v>
      </x:c>
      <x:c r="BA582" s="22" t="n">
        <x:f>MAX(0,MIN('Activities'!L582,294)-MAX('Activities'!K582,288))</x:f>
        <x:v>0</x:v>
      </x:c>
      <x:c r="BB582" s="22" t="n">
        <x:f>MAX(0,MIN('Activities'!L582,300)-MAX('Activities'!K582,294))</x:f>
        <x:v>0</x:v>
      </x:c>
      <x:c r="BC582" s="22" t="n">
        <x:f>MAX(0,MIN('Activities'!L582,306)-MAX('Activities'!K582,300))</x:f>
        <x:v>0</x:v>
      </x:c>
      <x:c r="BD582" s="22" t="n">
        <x:f>MAX(0,MIN('Activities'!L582,312)-MAX('Activities'!K582,306))</x:f>
        <x:v>0</x:v>
      </x:c>
      <x:c r="BE582" s="22" t="n">
        <x:f>MAX(0,MIN('Activities'!L582,318)-MAX('Activities'!K582,312))</x:f>
        <x:v>0</x:v>
      </x:c>
      <x:c r="BF582" s="22" t="n">
        <x:f>MAX(0,MIN('Activities'!L582,324)-MAX('Activities'!K582,318))</x:f>
        <x:v>0</x:v>
      </x:c>
      <x:c r="BG582" s="22" t="n">
        <x:f>MAX(0,MIN('Activities'!L582,330)-MAX('Activities'!K582,324))</x:f>
        <x:v>0</x:v>
      </x:c>
      <x:c r="BH582" s="22" t="n">
        <x:f>MAX(0,MIN('Activities'!L582,336)-MAX('Activities'!K582,330))</x:f>
        <x:v>0</x:v>
      </x:c>
      <x:c r="BI582" s="22" t="n">
        <x:f>MAX(0,MIN('Activities'!L582,342)-MAX('Activities'!K582,336))</x:f>
        <x:v>2</x:v>
      </x:c>
      <x:c r="BJ582" s="22" t="n">
        <x:f>MAX(0,MIN('Activities'!L582,348)-MAX('Activities'!K582,342))</x:f>
        <x:v>0</x:v>
      </x:c>
      <x:c r="BK582" s="22" t="n">
        <x:f>MAX(0,MIN('Activities'!L582,354)-MAX('Activities'!K582,348))</x:f>
        <x:v>0</x:v>
      </x:c>
      <x:c r="BL582" s="22" t="n">
        <x:f>MAX(0,MIN('Activities'!L582,360)-MAX('Activities'!K582,354))</x:f>
        <x:v>0</x:v>
      </x:c>
      <x:c r="BM582" s="22" t="n">
        <x:f>MAX(0,MIN('Activities'!L582,366)-MAX('Activities'!K582,360))</x:f>
        <x:v>0</x:v>
      </x:c>
      <x:c r="BN582" s="22" t="n">
        <x:f>MAX(0,MIN('Activities'!L582,372)-MAX('Activities'!K582,366))</x:f>
        <x:v>0</x:v>
      </x:c>
      <x:c r="BO582" s="22" t="n">
        <x:f>MAX(0,MIN('Activities'!L582,378)-MAX('Activities'!K582,372))</x:f>
        <x:v>0</x:v>
      </x:c>
      <x:c r="BP582" s="22" t="n">
        <x:f>MAX(0,MIN('Activities'!L582,384)-MAX('Activities'!K582,378))</x:f>
        <x:v>0</x:v>
      </x:c>
      <x:c r="BQ582" s="22" t="n">
        <x:f>MAX(0,MIN('Activities'!L582,390)-MAX('Activities'!K582,384))</x:f>
        <x:v>0</x:v>
      </x:c>
      <x:c r="BR582" s="22" t="n">
        <x:f>MAX(0,MIN('Activities'!L582,396)-MAX('Activities'!K582,390))</x:f>
        <x:v>0</x:v>
      </x:c>
      <x:c r="BS582" s="22" t="n">
        <x:f>MAX(0,MIN('Activities'!L582,402)-MAX('Activities'!K582,396))</x:f>
        <x:v>0</x:v>
      </x:c>
      <x:c r="BT582" s="22" t="n">
        <x:f>MAX(0,MIN('Activities'!L582,408)-MAX('Activities'!K582,402))</x:f>
        <x:v>0</x:v>
      </x:c>
      <x:c r="BU582" s="22" t="n">
        <x:f>MAX(0,MIN('Activities'!L582,414)-MAX('Activities'!K582,408))</x:f>
        <x:v>0</x:v>
      </x:c>
      <x:c r="BV582" s="22" t="n">
        <x:f>MAX(0,MIN('Activities'!L582,420)-MAX('Activities'!K582,414))</x:f>
        <x:v>0</x:v>
      </x:c>
      <x:c r="BW582" s="22" t="n">
        <x:f>MAX(0,MIN('Activities'!L582,426)-MAX('Activities'!K582,420))</x:f>
        <x:v>0</x:v>
      </x:c>
      <x:c r="BX582" s="22" t="n">
        <x:f>MAX(0,MIN('Activities'!L582,432)-MAX('Activities'!K582,426))</x:f>
        <x:v>0</x:v>
      </x:c>
      <x:c r="BY582" s="22" t="n">
        <x:f>MAX(0,MIN('Activities'!L582,438)-MAX('Activities'!K582,432))</x:f>
        <x:v>0</x:v>
      </x:c>
      <x:c r="BZ582" s="22" t="n">
        <x:f>MAX(0,MIN('Activities'!L582,444)-MAX('Activities'!K582,438))</x:f>
        <x:v>0</x:v>
      </x:c>
      <x:c r="CA582" s="22" t="n">
        <x:f>MAX(0,MIN('Activities'!L582,450)-MAX('Activities'!K582,444))</x:f>
        <x:v>0</x:v>
      </x:c>
      <x:c r="CB582" s="22" t="n">
        <x:f>MAX(0,MIN('Activities'!L582,456)-MAX('Activities'!K582,450))</x:f>
        <x:v>0</x:v>
      </x:c>
      <x:c r="CC582" s="22" t="n">
        <x:f>MAX(0,MIN('Activities'!L582,462)-MAX('Activities'!K582,456))</x:f>
        <x:v>0</x:v>
      </x:c>
      <x:c r="CD582" s="22" t="n">
        <x:f>MAX(0,MIN('Activities'!L582,468)-MAX('Activities'!K582,462))</x:f>
        <x:v>0</x:v>
      </x:c>
      <x:c r="CE582" s="22" t="n">
        <x:f>MAX(0,MIN('Activities'!L582,474)-MAX('Activities'!K582,468))</x:f>
        <x:v>0</x:v>
      </x:c>
      <x:c r="CF582" s="22" t="n">
        <x:f>MAX(0,MIN('Activities'!L582,480)-MAX('Activities'!K582,474))</x:f>
        <x:v>0</x:v>
      </x:c>
      <x:c r="CG582" s="22" t="n">
        <x:f>MAX(0,MIN('Activities'!L582,486)-MAX('Activities'!K582,480))</x:f>
        <x:v>0</x:v>
      </x:c>
      <x:c r="CH582" s="22" t="n">
        <x:f>MAX(0,MIN('Activities'!L582,492)-MAX('Activities'!K582,486))</x:f>
        <x:v>0</x:v>
      </x:c>
      <x:c r="CI582" s="22" t="n">
        <x:f>MAX(0,MIN('Activities'!L582,498)-MAX('Activities'!K582,492))</x:f>
        <x:v>0</x:v>
      </x:c>
      <x:c r="CJ582" s="22" t="n">
        <x:f>MAX(0,MIN('Activities'!L582,504)-MAX('Activities'!K582,498))</x:f>
        <x:v>0</x:v>
      </x:c>
      <x:c r="CK582" s="22" t="n">
        <x:f>MAX(0,MIN('Activities'!L582,510)-MAX('Activities'!K582,504))</x:f>
        <x:v>0</x:v>
      </x:c>
      <x:c r="CL582" s="22" t="n">
        <x:f>MAX(0,MIN('Activities'!L582,516)-MAX('Activities'!K582,510))</x:f>
        <x:v>0</x:v>
      </x:c>
      <x:c r="CM582" s="22" t="n">
        <x:f>MAX(0,MIN('Activities'!L582,522)-MAX('Activities'!K582,516))</x:f>
        <x:v>0</x:v>
      </x:c>
      <x:c r="CN582" s="22" t="n">
        <x:f>MAX(0,MIN('Activities'!L582,528)-MAX('Activities'!K582,522))</x:f>
        <x:v>0</x:v>
      </x:c>
      <x:c r="CO582" s="22" t="n">
        <x:f>MAX(0,MIN('Activities'!L582,534)-MAX('Activities'!K582,528))</x:f>
        <x:v>0</x:v>
      </x:c>
      <x:c r="CP582" s="22" t="n">
        <x:f>MAX(0,MIN('Activities'!L582,540)-MAX('Activities'!K582,534))</x:f>
        <x:v>0</x:v>
      </x:c>
      <x:c r="CQ582" s="22" t="n">
        <x:f>MAX(0,MIN('Activities'!L582,546)-MAX('Activities'!K582,540))</x:f>
        <x:v>0</x:v>
      </x:c>
      <x:c r="CR582" s="22" t="n">
        <x:f>MAX(0,MIN('Activities'!L582,552)-MAX('Activities'!K582,546))</x:f>
        <x:v>0</x:v>
      </x:c>
      <x:c r="CS582" s="22" t="n">
        <x:f>MAX(0,MIN('Activities'!L582,558)-MAX('Activities'!K582,552))</x:f>
        <x:v>0</x:v>
      </x:c>
      <x:c r="CT582" s="22" t="n">
        <x:f>MAX(0,MIN('Activities'!L582,564)-MAX('Activities'!K582,558))</x:f>
        <x:v>0</x:v>
      </x:c>
      <x:c r="CU582" s="22" t="n">
        <x:f>MAX(0,MIN('Activities'!L582,570)-MAX('Activities'!K582,564))</x:f>
        <x:v>0</x:v>
      </x:c>
      <x:c r="CV582" s="22" t="n">
        <x:f>MAX(0,MIN('Activities'!L582,576)-MAX('Activities'!K582,570))</x:f>
        <x:v>0</x:v>
      </x:c>
      <x:c r="CW582" s="22" t="n">
        <x:f>MAX(0,MIN('Activities'!L582,582)-MAX('Activities'!K582,576))</x:f>
        <x:v>0</x:v>
      </x:c>
      <x:c r="CX582" s="22" t="n">
        <x:f>MAX(0,MIN('Activities'!L582,588)-MAX('Activities'!K582,582))</x:f>
        <x:v>0</x:v>
      </x:c>
      <x:c r="CY582" s="22" t="n">
        <x:f>MAX(0,MIN('Activities'!L582,594)-MAX('Activities'!K582,588))</x:f>
        <x:v>0</x:v>
      </x:c>
      <x:c r="CZ582" s="22" t="n">
        <x:f>MAX(0,MIN('Activities'!L582,600)-MAX('Activities'!K582,594))</x:f>
        <x:v>0</x:v>
      </x:c>
      <x:c r="DA582" s="22" t="n">
        <x:f>MAX(0,MIN('Activities'!L582,606)-MAX('Activities'!K582,600))</x:f>
        <x:v>0</x:v>
      </x:c>
      <x:c r="DB582" s="22" t="n">
        <x:f>MAX(0,MIN('Activities'!L582,612)-MAX('Activities'!K582,606))</x:f>
        <x:v>0</x:v>
      </x:c>
      <x:c r="DC582" s="22" t="n">
        <x:f>MAX(0,MIN('Activities'!L582,618)-MAX('Activities'!K582,612))</x:f>
        <x:v>0</x:v>
      </x:c>
      <x:c r="DD582" s="22" t="n">
        <x:f>MAX(0,MIN('Activities'!L582,624)-MAX('Activities'!K582,618))</x:f>
        <x:v>0</x:v>
      </x:c>
      <x:c r="DE582" s="22" t="n">
        <x:f>MAX(0,MIN('Activities'!L582,630)-MAX('Activities'!K582,624))</x:f>
        <x:v>0</x:v>
      </x:c>
      <x:c r="DF582" s="22" t="n">
        <x:f>MAX(0,MIN('Activities'!L582,636)-MAX('Activities'!K582,630))</x:f>
        <x:v>0</x:v>
      </x:c>
    </x:row>
    <x:row r="583" ht="23" customHeight="1">
      <x:c r="A583" s="1" t="str">
        <x:v>T5-L08-H</x:v>
      </x:c>
      <x:c r="B583" s="1" t="str">
        <x:v>T5</x:v>
      </x:c>
      <x:c r="C583" s="1" t="str">
        <x:v>Curing and release hold point</x:v>
      </x:c>
      <x:c r="D583" s="1" t="str">
        <x:v>Site</x:v>
      </x:c>
      <x:c r="E583" s="23" t="n">
        <x:f>MAX(0,MIN('Activities'!L583,6)-MAX('Activities'!K583,0))</x:f>
        <x:v>0</x:v>
      </x:c>
      <x:c r="F583" s="23" t="n">
        <x:f>MAX(0,MIN('Activities'!L583,12)-MAX('Activities'!K583,6))</x:f>
        <x:v>0</x:v>
      </x:c>
      <x:c r="G583" s="23" t="n">
        <x:f>MAX(0,MIN('Activities'!L583,18)-MAX('Activities'!K583,12))</x:f>
        <x:v>0</x:v>
      </x:c>
      <x:c r="H583" s="23" t="n">
        <x:f>MAX(0,MIN('Activities'!L583,24)-MAX('Activities'!K583,18))</x:f>
        <x:v>0</x:v>
      </x:c>
      <x:c r="I583" s="23" t="n">
        <x:f>MAX(0,MIN('Activities'!L583,30)-MAX('Activities'!K583,24))</x:f>
        <x:v>0</x:v>
      </x:c>
      <x:c r="J583" s="23" t="n">
        <x:f>MAX(0,MIN('Activities'!L583,36)-MAX('Activities'!K583,30))</x:f>
        <x:v>0</x:v>
      </x:c>
      <x:c r="K583" s="23" t="n">
        <x:f>MAX(0,MIN('Activities'!L583,42)-MAX('Activities'!K583,36))</x:f>
        <x:v>0</x:v>
      </x:c>
      <x:c r="L583" s="23" t="n">
        <x:f>MAX(0,MIN('Activities'!L583,48)-MAX('Activities'!K583,42))</x:f>
        <x:v>0</x:v>
      </x:c>
      <x:c r="M583" s="23" t="n">
        <x:f>MAX(0,MIN('Activities'!L583,54)-MAX('Activities'!K583,48))</x:f>
        <x:v>0</x:v>
      </x:c>
      <x:c r="N583" s="23" t="n">
        <x:f>MAX(0,MIN('Activities'!L583,60)-MAX('Activities'!K583,54))</x:f>
        <x:v>0</x:v>
      </x:c>
      <x:c r="O583" s="23" t="n">
        <x:f>MAX(0,MIN('Activities'!L583,66)-MAX('Activities'!K583,60))</x:f>
        <x:v>0</x:v>
      </x:c>
      <x:c r="P583" s="23" t="n">
        <x:f>MAX(0,MIN('Activities'!L583,72)-MAX('Activities'!K583,66))</x:f>
        <x:v>0</x:v>
      </x:c>
      <x:c r="Q583" s="23" t="n">
        <x:f>MAX(0,MIN('Activities'!L583,78)-MAX('Activities'!K583,72))</x:f>
        <x:v>0</x:v>
      </x:c>
      <x:c r="R583" s="23" t="n">
        <x:f>MAX(0,MIN('Activities'!L583,84)-MAX('Activities'!K583,78))</x:f>
        <x:v>0</x:v>
      </x:c>
      <x:c r="S583" s="23" t="n">
        <x:f>MAX(0,MIN('Activities'!L583,90)-MAX('Activities'!K583,84))</x:f>
        <x:v>0</x:v>
      </x:c>
      <x:c r="T583" s="23" t="n">
        <x:f>MAX(0,MIN('Activities'!L583,96)-MAX('Activities'!K583,90))</x:f>
        <x:v>0</x:v>
      </x:c>
      <x:c r="U583" s="23" t="n">
        <x:f>MAX(0,MIN('Activities'!L583,102)-MAX('Activities'!K583,96))</x:f>
        <x:v>0</x:v>
      </x:c>
      <x:c r="V583" s="23" t="n">
        <x:f>MAX(0,MIN('Activities'!L583,108)-MAX('Activities'!K583,102))</x:f>
        <x:v>0</x:v>
      </x:c>
      <x:c r="W583" s="23" t="n">
        <x:f>MAX(0,MIN('Activities'!L583,114)-MAX('Activities'!K583,108))</x:f>
        <x:v>0</x:v>
      </x:c>
      <x:c r="X583" s="23" t="n">
        <x:f>MAX(0,MIN('Activities'!L583,120)-MAX('Activities'!K583,114))</x:f>
        <x:v>0</x:v>
      </x:c>
      <x:c r="Y583" s="23" t="n">
        <x:f>MAX(0,MIN('Activities'!L583,126)-MAX('Activities'!K583,120))</x:f>
        <x:v>0</x:v>
      </x:c>
      <x:c r="Z583" s="23" t="n">
        <x:f>MAX(0,MIN('Activities'!L583,132)-MAX('Activities'!K583,126))</x:f>
        <x:v>0</x:v>
      </x:c>
      <x:c r="AA583" s="23" t="n">
        <x:f>MAX(0,MIN('Activities'!L583,138)-MAX('Activities'!K583,132))</x:f>
        <x:v>0</x:v>
      </x:c>
      <x:c r="AB583" s="23" t="n">
        <x:f>MAX(0,MIN('Activities'!L583,144)-MAX('Activities'!K583,138))</x:f>
        <x:v>0</x:v>
      </x:c>
      <x:c r="AC583" s="23" t="n">
        <x:f>MAX(0,MIN('Activities'!L583,150)-MAX('Activities'!K583,144))</x:f>
        <x:v>0</x:v>
      </x:c>
      <x:c r="AD583" s="23" t="n">
        <x:f>MAX(0,MIN('Activities'!L583,156)-MAX('Activities'!K583,150))</x:f>
        <x:v>0</x:v>
      </x:c>
      <x:c r="AE583" s="23" t="n">
        <x:f>MAX(0,MIN('Activities'!L583,162)-MAX('Activities'!K583,156))</x:f>
        <x:v>0</x:v>
      </x:c>
      <x:c r="AF583" s="23" t="n">
        <x:f>MAX(0,MIN('Activities'!L583,168)-MAX('Activities'!K583,162))</x:f>
        <x:v>0</x:v>
      </x:c>
      <x:c r="AG583" s="23" t="n">
        <x:f>MAX(0,MIN('Activities'!L583,174)-MAX('Activities'!K583,168))</x:f>
        <x:v>0</x:v>
      </x:c>
      <x:c r="AH583" s="23" t="n">
        <x:f>MAX(0,MIN('Activities'!L583,180)-MAX('Activities'!K583,174))</x:f>
        <x:v>0</x:v>
      </x:c>
      <x:c r="AI583" s="23" t="n">
        <x:f>MAX(0,MIN('Activities'!L583,186)-MAX('Activities'!K583,180))</x:f>
        <x:v>0</x:v>
      </x:c>
      <x:c r="AJ583" s="23" t="n">
        <x:f>MAX(0,MIN('Activities'!L583,192)-MAX('Activities'!K583,186))</x:f>
        <x:v>0</x:v>
      </x:c>
      <x:c r="AK583" s="23" t="n">
        <x:f>MAX(0,MIN('Activities'!L583,198)-MAX('Activities'!K583,192))</x:f>
        <x:v>0</x:v>
      </x:c>
      <x:c r="AL583" s="23" t="n">
        <x:f>MAX(0,MIN('Activities'!L583,204)-MAX('Activities'!K583,198))</x:f>
        <x:v>0</x:v>
      </x:c>
      <x:c r="AM583" s="23" t="n">
        <x:f>MAX(0,MIN('Activities'!L583,210)-MAX('Activities'!K583,204))</x:f>
        <x:v>0</x:v>
      </x:c>
      <x:c r="AN583" s="23" t="n">
        <x:f>MAX(0,MIN('Activities'!L583,216)-MAX('Activities'!K583,210))</x:f>
        <x:v>0</x:v>
      </x:c>
      <x:c r="AO583" s="23" t="n">
        <x:f>MAX(0,MIN('Activities'!L583,222)-MAX('Activities'!K583,216))</x:f>
        <x:v>0</x:v>
      </x:c>
      <x:c r="AP583" s="23" t="n">
        <x:f>MAX(0,MIN('Activities'!L583,228)-MAX('Activities'!K583,222))</x:f>
        <x:v>0</x:v>
      </x:c>
      <x:c r="AQ583" s="23" t="n">
        <x:f>MAX(0,MIN('Activities'!L583,234)-MAX('Activities'!K583,228))</x:f>
        <x:v>0</x:v>
      </x:c>
      <x:c r="AR583" s="23" t="n">
        <x:f>MAX(0,MIN('Activities'!L583,240)-MAX('Activities'!K583,234))</x:f>
        <x:v>0</x:v>
      </x:c>
      <x:c r="AS583" s="23" t="n">
        <x:f>MAX(0,MIN('Activities'!L583,246)-MAX('Activities'!K583,240))</x:f>
        <x:v>0</x:v>
      </x:c>
      <x:c r="AT583" s="23" t="n">
        <x:f>MAX(0,MIN('Activities'!L583,252)-MAX('Activities'!K583,246))</x:f>
        <x:v>0</x:v>
      </x:c>
      <x:c r="AU583" s="23" t="n">
        <x:f>MAX(0,MIN('Activities'!L583,258)-MAX('Activities'!K583,252))</x:f>
        <x:v>0</x:v>
      </x:c>
      <x:c r="AV583" s="23" t="n">
        <x:f>MAX(0,MIN('Activities'!L583,264)-MAX('Activities'!K583,258))</x:f>
        <x:v>0</x:v>
      </x:c>
      <x:c r="AW583" s="23" t="n">
        <x:f>MAX(0,MIN('Activities'!L583,270)-MAX('Activities'!K583,264))</x:f>
        <x:v>0</x:v>
      </x:c>
      <x:c r="AX583" s="23" t="n">
        <x:f>MAX(0,MIN('Activities'!L583,276)-MAX('Activities'!K583,270))</x:f>
        <x:v>0</x:v>
      </x:c>
      <x:c r="AY583" s="23" t="n">
        <x:f>MAX(0,MIN('Activities'!L583,282)-MAX('Activities'!K583,276))</x:f>
        <x:v>0</x:v>
      </x:c>
      <x:c r="AZ583" s="23" t="n">
        <x:f>MAX(0,MIN('Activities'!L583,288)-MAX('Activities'!K583,282))</x:f>
        <x:v>0</x:v>
      </x:c>
      <x:c r="BA583" s="23" t="n">
        <x:f>MAX(0,MIN('Activities'!L583,294)-MAX('Activities'!K583,288))</x:f>
        <x:v>0</x:v>
      </x:c>
      <x:c r="BB583" s="23" t="n">
        <x:f>MAX(0,MIN('Activities'!L583,300)-MAX('Activities'!K583,294))</x:f>
        <x:v>0</x:v>
      </x:c>
      <x:c r="BC583" s="23" t="n">
        <x:f>MAX(0,MIN('Activities'!L583,306)-MAX('Activities'!K583,300))</x:f>
        <x:v>0</x:v>
      </x:c>
      <x:c r="BD583" s="23" t="n">
        <x:f>MAX(0,MIN('Activities'!L583,312)-MAX('Activities'!K583,306))</x:f>
        <x:v>0</x:v>
      </x:c>
      <x:c r="BE583" s="23" t="n">
        <x:f>MAX(0,MIN('Activities'!L583,318)-MAX('Activities'!K583,312))</x:f>
        <x:v>0</x:v>
      </x:c>
      <x:c r="BF583" s="23" t="n">
        <x:f>MAX(0,MIN('Activities'!L583,324)-MAX('Activities'!K583,318))</x:f>
        <x:v>0</x:v>
      </x:c>
      <x:c r="BG583" s="23" t="n">
        <x:f>MAX(0,MIN('Activities'!L583,330)-MAX('Activities'!K583,324))</x:f>
        <x:v>0</x:v>
      </x:c>
      <x:c r="BH583" s="23" t="n">
        <x:f>MAX(0,MIN('Activities'!L583,336)-MAX('Activities'!K583,330))</x:f>
        <x:v>0</x:v>
      </x:c>
      <x:c r="BI583" s="23" t="n">
        <x:f>MAX(0,MIN('Activities'!L583,342)-MAX('Activities'!K583,336))</x:f>
        <x:v>3</x:v>
      </x:c>
      <x:c r="BJ583" s="23" t="n">
        <x:f>MAX(0,MIN('Activities'!L583,348)-MAX('Activities'!K583,342))</x:f>
        <x:v>2</x:v>
      </x:c>
      <x:c r="BK583" s="23" t="n">
        <x:f>MAX(0,MIN('Activities'!L583,354)-MAX('Activities'!K583,348))</x:f>
        <x:v>0</x:v>
      </x:c>
      <x:c r="BL583" s="23" t="n">
        <x:f>MAX(0,MIN('Activities'!L583,360)-MAX('Activities'!K583,354))</x:f>
        <x:v>0</x:v>
      </x:c>
      <x:c r="BM583" s="23" t="n">
        <x:f>MAX(0,MIN('Activities'!L583,366)-MAX('Activities'!K583,360))</x:f>
        <x:v>0</x:v>
      </x:c>
      <x:c r="BN583" s="23" t="n">
        <x:f>MAX(0,MIN('Activities'!L583,372)-MAX('Activities'!K583,366))</x:f>
        <x:v>0</x:v>
      </x:c>
      <x:c r="BO583" s="23" t="n">
        <x:f>MAX(0,MIN('Activities'!L583,378)-MAX('Activities'!K583,372))</x:f>
        <x:v>0</x:v>
      </x:c>
      <x:c r="BP583" s="23" t="n">
        <x:f>MAX(0,MIN('Activities'!L583,384)-MAX('Activities'!K583,378))</x:f>
        <x:v>0</x:v>
      </x:c>
      <x:c r="BQ583" s="23" t="n">
        <x:f>MAX(0,MIN('Activities'!L583,390)-MAX('Activities'!K583,384))</x:f>
        <x:v>0</x:v>
      </x:c>
      <x:c r="BR583" s="23" t="n">
        <x:f>MAX(0,MIN('Activities'!L583,396)-MAX('Activities'!K583,390))</x:f>
        <x:v>0</x:v>
      </x:c>
      <x:c r="BS583" s="23" t="n">
        <x:f>MAX(0,MIN('Activities'!L583,402)-MAX('Activities'!K583,396))</x:f>
        <x:v>0</x:v>
      </x:c>
      <x:c r="BT583" s="23" t="n">
        <x:f>MAX(0,MIN('Activities'!L583,408)-MAX('Activities'!K583,402))</x:f>
        <x:v>0</x:v>
      </x:c>
      <x:c r="BU583" s="23" t="n">
        <x:f>MAX(0,MIN('Activities'!L583,414)-MAX('Activities'!K583,408))</x:f>
        <x:v>0</x:v>
      </x:c>
      <x:c r="BV583" s="23" t="n">
        <x:f>MAX(0,MIN('Activities'!L583,420)-MAX('Activities'!K583,414))</x:f>
        <x:v>0</x:v>
      </x:c>
      <x:c r="BW583" s="23" t="n">
        <x:f>MAX(0,MIN('Activities'!L583,426)-MAX('Activities'!K583,420))</x:f>
        <x:v>0</x:v>
      </x:c>
      <x:c r="BX583" s="23" t="n">
        <x:f>MAX(0,MIN('Activities'!L583,432)-MAX('Activities'!K583,426))</x:f>
        <x:v>0</x:v>
      </x:c>
      <x:c r="BY583" s="23" t="n">
        <x:f>MAX(0,MIN('Activities'!L583,438)-MAX('Activities'!K583,432))</x:f>
        <x:v>0</x:v>
      </x:c>
      <x:c r="BZ583" s="23" t="n">
        <x:f>MAX(0,MIN('Activities'!L583,444)-MAX('Activities'!K583,438))</x:f>
        <x:v>0</x:v>
      </x:c>
      <x:c r="CA583" s="23" t="n">
        <x:f>MAX(0,MIN('Activities'!L583,450)-MAX('Activities'!K583,444))</x:f>
        <x:v>0</x:v>
      </x:c>
      <x:c r="CB583" s="23" t="n">
        <x:f>MAX(0,MIN('Activities'!L583,456)-MAX('Activities'!K583,450))</x:f>
        <x:v>0</x:v>
      </x:c>
      <x:c r="CC583" s="23" t="n">
        <x:f>MAX(0,MIN('Activities'!L583,462)-MAX('Activities'!K583,456))</x:f>
        <x:v>0</x:v>
      </x:c>
      <x:c r="CD583" s="23" t="n">
        <x:f>MAX(0,MIN('Activities'!L583,468)-MAX('Activities'!K583,462))</x:f>
        <x:v>0</x:v>
      </x:c>
      <x:c r="CE583" s="23" t="n">
        <x:f>MAX(0,MIN('Activities'!L583,474)-MAX('Activities'!K583,468))</x:f>
        <x:v>0</x:v>
      </x:c>
      <x:c r="CF583" s="23" t="n">
        <x:f>MAX(0,MIN('Activities'!L583,480)-MAX('Activities'!K583,474))</x:f>
        <x:v>0</x:v>
      </x:c>
      <x:c r="CG583" s="23" t="n">
        <x:f>MAX(0,MIN('Activities'!L583,486)-MAX('Activities'!K583,480))</x:f>
        <x:v>0</x:v>
      </x:c>
      <x:c r="CH583" s="23" t="n">
        <x:f>MAX(0,MIN('Activities'!L583,492)-MAX('Activities'!K583,486))</x:f>
        <x:v>0</x:v>
      </x:c>
      <x:c r="CI583" s="23" t="n">
        <x:f>MAX(0,MIN('Activities'!L583,498)-MAX('Activities'!K583,492))</x:f>
        <x:v>0</x:v>
      </x:c>
      <x:c r="CJ583" s="23" t="n">
        <x:f>MAX(0,MIN('Activities'!L583,504)-MAX('Activities'!K583,498))</x:f>
        <x:v>0</x:v>
      </x:c>
      <x:c r="CK583" s="23" t="n">
        <x:f>MAX(0,MIN('Activities'!L583,510)-MAX('Activities'!K583,504))</x:f>
        <x:v>0</x:v>
      </x:c>
      <x:c r="CL583" s="23" t="n">
        <x:f>MAX(0,MIN('Activities'!L583,516)-MAX('Activities'!K583,510))</x:f>
        <x:v>0</x:v>
      </x:c>
      <x:c r="CM583" s="23" t="n">
        <x:f>MAX(0,MIN('Activities'!L583,522)-MAX('Activities'!K583,516))</x:f>
        <x:v>0</x:v>
      </x:c>
      <x:c r="CN583" s="23" t="n">
        <x:f>MAX(0,MIN('Activities'!L583,528)-MAX('Activities'!K583,522))</x:f>
        <x:v>0</x:v>
      </x:c>
      <x:c r="CO583" s="23" t="n">
        <x:f>MAX(0,MIN('Activities'!L583,534)-MAX('Activities'!K583,528))</x:f>
        <x:v>0</x:v>
      </x:c>
      <x:c r="CP583" s="23" t="n">
        <x:f>MAX(0,MIN('Activities'!L583,540)-MAX('Activities'!K583,534))</x:f>
        <x:v>0</x:v>
      </x:c>
      <x:c r="CQ583" s="23" t="n">
        <x:f>MAX(0,MIN('Activities'!L583,546)-MAX('Activities'!K583,540))</x:f>
        <x:v>0</x:v>
      </x:c>
      <x:c r="CR583" s="23" t="n">
        <x:f>MAX(0,MIN('Activities'!L583,552)-MAX('Activities'!K583,546))</x:f>
        <x:v>0</x:v>
      </x:c>
      <x:c r="CS583" s="23" t="n">
        <x:f>MAX(0,MIN('Activities'!L583,558)-MAX('Activities'!K583,552))</x:f>
        <x:v>0</x:v>
      </x:c>
      <x:c r="CT583" s="23" t="n">
        <x:f>MAX(0,MIN('Activities'!L583,564)-MAX('Activities'!K583,558))</x:f>
        <x:v>0</x:v>
      </x:c>
      <x:c r="CU583" s="23" t="n">
        <x:f>MAX(0,MIN('Activities'!L583,570)-MAX('Activities'!K583,564))</x:f>
        <x:v>0</x:v>
      </x:c>
      <x:c r="CV583" s="23" t="n">
        <x:f>MAX(0,MIN('Activities'!L583,576)-MAX('Activities'!K583,570))</x:f>
        <x:v>0</x:v>
      </x:c>
      <x:c r="CW583" s="23" t="n">
        <x:f>MAX(0,MIN('Activities'!L583,582)-MAX('Activities'!K583,576))</x:f>
        <x:v>0</x:v>
      </x:c>
      <x:c r="CX583" s="23" t="n">
        <x:f>MAX(0,MIN('Activities'!L583,588)-MAX('Activities'!K583,582))</x:f>
        <x:v>0</x:v>
      </x:c>
      <x:c r="CY583" s="23" t="n">
        <x:f>MAX(0,MIN('Activities'!L583,594)-MAX('Activities'!K583,588))</x:f>
        <x:v>0</x:v>
      </x:c>
      <x:c r="CZ583" s="23" t="n">
        <x:f>MAX(0,MIN('Activities'!L583,600)-MAX('Activities'!K583,594))</x:f>
        <x:v>0</x:v>
      </x:c>
      <x:c r="DA583" s="23" t="n">
        <x:f>MAX(0,MIN('Activities'!L583,606)-MAX('Activities'!K583,600))</x:f>
        <x:v>0</x:v>
      </x:c>
      <x:c r="DB583" s="23" t="n">
        <x:f>MAX(0,MIN('Activities'!L583,612)-MAX('Activities'!K583,606))</x:f>
        <x:v>0</x:v>
      </x:c>
      <x:c r="DC583" s="23" t="n">
        <x:f>MAX(0,MIN('Activities'!L583,618)-MAX('Activities'!K583,612))</x:f>
        <x:v>0</x:v>
      </x:c>
      <x:c r="DD583" s="23" t="n">
        <x:f>MAX(0,MIN('Activities'!L583,624)-MAX('Activities'!K583,618))</x:f>
        <x:v>0</x:v>
      </x:c>
      <x:c r="DE583" s="23" t="n">
        <x:f>MAX(0,MIN('Activities'!L583,630)-MAX('Activities'!K583,624))</x:f>
        <x:v>0</x:v>
      </x:c>
      <x:c r="DF583" s="23" t="n">
        <x:f>MAX(0,MIN('Activities'!L583,636)-MAX('Activities'!K583,630))</x:f>
        <x:v>0</x:v>
      </x:c>
    </x:row>
    <x:row r="584" ht="23" customHeight="1">
      <x:c r="A584" s="6" t="str">
        <x:v>T5-L09-F</x:v>
      </x:c>
      <x:c r="B584" s="6" t="str">
        <x:v>T5</x:v>
      </x:c>
      <x:c r="C584" s="6" t="str">
        <x:v>Columns, core and deck formwork</x:v>
      </x:c>
      <x:c r="D584" s="6" t="str">
        <x:v>Formwork</x:v>
      </x:c>
      <x:c r="E584" s="22" t="n">
        <x:f>MAX(0,MIN('Activities'!L584,6)-MAX('Activities'!K584,0))</x:f>
        <x:v>0</x:v>
      </x:c>
      <x:c r="F584" s="22" t="n">
        <x:f>MAX(0,MIN('Activities'!L584,12)-MAX('Activities'!K584,6))</x:f>
        <x:v>0</x:v>
      </x:c>
      <x:c r="G584" s="22" t="n">
        <x:f>MAX(0,MIN('Activities'!L584,18)-MAX('Activities'!K584,12))</x:f>
        <x:v>0</x:v>
      </x:c>
      <x:c r="H584" s="22" t="n">
        <x:f>MAX(0,MIN('Activities'!L584,24)-MAX('Activities'!K584,18))</x:f>
        <x:v>0</x:v>
      </x:c>
      <x:c r="I584" s="22" t="n">
        <x:f>MAX(0,MIN('Activities'!L584,30)-MAX('Activities'!K584,24))</x:f>
        <x:v>0</x:v>
      </x:c>
      <x:c r="J584" s="22" t="n">
        <x:f>MAX(0,MIN('Activities'!L584,36)-MAX('Activities'!K584,30))</x:f>
        <x:v>0</x:v>
      </x:c>
      <x:c r="K584" s="22" t="n">
        <x:f>MAX(0,MIN('Activities'!L584,42)-MAX('Activities'!K584,36))</x:f>
        <x:v>0</x:v>
      </x:c>
      <x:c r="L584" s="22" t="n">
        <x:f>MAX(0,MIN('Activities'!L584,48)-MAX('Activities'!K584,42))</x:f>
        <x:v>0</x:v>
      </x:c>
      <x:c r="M584" s="22" t="n">
        <x:f>MAX(0,MIN('Activities'!L584,54)-MAX('Activities'!K584,48))</x:f>
        <x:v>0</x:v>
      </x:c>
      <x:c r="N584" s="22" t="n">
        <x:f>MAX(0,MIN('Activities'!L584,60)-MAX('Activities'!K584,54))</x:f>
        <x:v>0</x:v>
      </x:c>
      <x:c r="O584" s="22" t="n">
        <x:f>MAX(0,MIN('Activities'!L584,66)-MAX('Activities'!K584,60))</x:f>
        <x:v>0</x:v>
      </x:c>
      <x:c r="P584" s="22" t="n">
        <x:f>MAX(0,MIN('Activities'!L584,72)-MAX('Activities'!K584,66))</x:f>
        <x:v>0</x:v>
      </x:c>
      <x:c r="Q584" s="22" t="n">
        <x:f>MAX(0,MIN('Activities'!L584,78)-MAX('Activities'!K584,72))</x:f>
        <x:v>0</x:v>
      </x:c>
      <x:c r="R584" s="22" t="n">
        <x:f>MAX(0,MIN('Activities'!L584,84)-MAX('Activities'!K584,78))</x:f>
        <x:v>0</x:v>
      </x:c>
      <x:c r="S584" s="22" t="n">
        <x:f>MAX(0,MIN('Activities'!L584,90)-MAX('Activities'!K584,84))</x:f>
        <x:v>0</x:v>
      </x:c>
      <x:c r="T584" s="22" t="n">
        <x:f>MAX(0,MIN('Activities'!L584,96)-MAX('Activities'!K584,90))</x:f>
        <x:v>0</x:v>
      </x:c>
      <x:c r="U584" s="22" t="n">
        <x:f>MAX(0,MIN('Activities'!L584,102)-MAX('Activities'!K584,96))</x:f>
        <x:v>0</x:v>
      </x:c>
      <x:c r="V584" s="22" t="n">
        <x:f>MAX(0,MIN('Activities'!L584,108)-MAX('Activities'!K584,102))</x:f>
        <x:v>0</x:v>
      </x:c>
      <x:c r="W584" s="22" t="n">
        <x:f>MAX(0,MIN('Activities'!L584,114)-MAX('Activities'!K584,108))</x:f>
        <x:v>0</x:v>
      </x:c>
      <x:c r="X584" s="22" t="n">
        <x:f>MAX(0,MIN('Activities'!L584,120)-MAX('Activities'!K584,114))</x:f>
        <x:v>0</x:v>
      </x:c>
      <x:c r="Y584" s="22" t="n">
        <x:f>MAX(0,MIN('Activities'!L584,126)-MAX('Activities'!K584,120))</x:f>
        <x:v>0</x:v>
      </x:c>
      <x:c r="Z584" s="22" t="n">
        <x:f>MAX(0,MIN('Activities'!L584,132)-MAX('Activities'!K584,126))</x:f>
        <x:v>0</x:v>
      </x:c>
      <x:c r="AA584" s="22" t="n">
        <x:f>MAX(0,MIN('Activities'!L584,138)-MAX('Activities'!K584,132))</x:f>
        <x:v>0</x:v>
      </x:c>
      <x:c r="AB584" s="22" t="n">
        <x:f>MAX(0,MIN('Activities'!L584,144)-MAX('Activities'!K584,138))</x:f>
        <x:v>0</x:v>
      </x:c>
      <x:c r="AC584" s="22" t="n">
        <x:f>MAX(0,MIN('Activities'!L584,150)-MAX('Activities'!K584,144))</x:f>
        <x:v>0</x:v>
      </x:c>
      <x:c r="AD584" s="22" t="n">
        <x:f>MAX(0,MIN('Activities'!L584,156)-MAX('Activities'!K584,150))</x:f>
        <x:v>0</x:v>
      </x:c>
      <x:c r="AE584" s="22" t="n">
        <x:f>MAX(0,MIN('Activities'!L584,162)-MAX('Activities'!K584,156))</x:f>
        <x:v>0</x:v>
      </x:c>
      <x:c r="AF584" s="22" t="n">
        <x:f>MAX(0,MIN('Activities'!L584,168)-MAX('Activities'!K584,162))</x:f>
        <x:v>0</x:v>
      </x:c>
      <x:c r="AG584" s="22" t="n">
        <x:f>MAX(0,MIN('Activities'!L584,174)-MAX('Activities'!K584,168))</x:f>
        <x:v>0</x:v>
      </x:c>
      <x:c r="AH584" s="22" t="n">
        <x:f>MAX(0,MIN('Activities'!L584,180)-MAX('Activities'!K584,174))</x:f>
        <x:v>0</x:v>
      </x:c>
      <x:c r="AI584" s="22" t="n">
        <x:f>MAX(0,MIN('Activities'!L584,186)-MAX('Activities'!K584,180))</x:f>
        <x:v>0</x:v>
      </x:c>
      <x:c r="AJ584" s="22" t="n">
        <x:f>MAX(0,MIN('Activities'!L584,192)-MAX('Activities'!K584,186))</x:f>
        <x:v>0</x:v>
      </x:c>
      <x:c r="AK584" s="22" t="n">
        <x:f>MAX(0,MIN('Activities'!L584,198)-MAX('Activities'!K584,192))</x:f>
        <x:v>0</x:v>
      </x:c>
      <x:c r="AL584" s="22" t="n">
        <x:f>MAX(0,MIN('Activities'!L584,204)-MAX('Activities'!K584,198))</x:f>
        <x:v>0</x:v>
      </x:c>
      <x:c r="AM584" s="22" t="n">
        <x:f>MAX(0,MIN('Activities'!L584,210)-MAX('Activities'!K584,204))</x:f>
        <x:v>0</x:v>
      </x:c>
      <x:c r="AN584" s="22" t="n">
        <x:f>MAX(0,MIN('Activities'!L584,216)-MAX('Activities'!K584,210))</x:f>
        <x:v>0</x:v>
      </x:c>
      <x:c r="AO584" s="22" t="n">
        <x:f>MAX(0,MIN('Activities'!L584,222)-MAX('Activities'!K584,216))</x:f>
        <x:v>0</x:v>
      </x:c>
      <x:c r="AP584" s="22" t="n">
        <x:f>MAX(0,MIN('Activities'!L584,228)-MAX('Activities'!K584,222))</x:f>
        <x:v>0</x:v>
      </x:c>
      <x:c r="AQ584" s="22" t="n">
        <x:f>MAX(0,MIN('Activities'!L584,234)-MAX('Activities'!K584,228))</x:f>
        <x:v>0</x:v>
      </x:c>
      <x:c r="AR584" s="22" t="n">
        <x:f>MAX(0,MIN('Activities'!L584,240)-MAX('Activities'!K584,234))</x:f>
        <x:v>0</x:v>
      </x:c>
      <x:c r="AS584" s="22" t="n">
        <x:f>MAX(0,MIN('Activities'!L584,246)-MAX('Activities'!K584,240))</x:f>
        <x:v>0</x:v>
      </x:c>
      <x:c r="AT584" s="22" t="n">
        <x:f>MAX(0,MIN('Activities'!L584,252)-MAX('Activities'!K584,246))</x:f>
        <x:v>0</x:v>
      </x:c>
      <x:c r="AU584" s="22" t="n">
        <x:f>MAX(0,MIN('Activities'!L584,258)-MAX('Activities'!K584,252))</x:f>
        <x:v>0</x:v>
      </x:c>
      <x:c r="AV584" s="22" t="n">
        <x:f>MAX(0,MIN('Activities'!L584,264)-MAX('Activities'!K584,258))</x:f>
        <x:v>0</x:v>
      </x:c>
      <x:c r="AW584" s="22" t="n">
        <x:f>MAX(0,MIN('Activities'!L584,270)-MAX('Activities'!K584,264))</x:f>
        <x:v>0</x:v>
      </x:c>
      <x:c r="AX584" s="22" t="n">
        <x:f>MAX(0,MIN('Activities'!L584,276)-MAX('Activities'!K584,270))</x:f>
        <x:v>0</x:v>
      </x:c>
      <x:c r="AY584" s="22" t="n">
        <x:f>MAX(0,MIN('Activities'!L584,282)-MAX('Activities'!K584,276))</x:f>
        <x:v>0</x:v>
      </x:c>
      <x:c r="AZ584" s="22" t="n">
        <x:f>MAX(0,MIN('Activities'!L584,288)-MAX('Activities'!K584,282))</x:f>
        <x:v>0</x:v>
      </x:c>
      <x:c r="BA584" s="22" t="n">
        <x:f>MAX(0,MIN('Activities'!L584,294)-MAX('Activities'!K584,288))</x:f>
        <x:v>0</x:v>
      </x:c>
      <x:c r="BB584" s="22" t="n">
        <x:f>MAX(0,MIN('Activities'!L584,300)-MAX('Activities'!K584,294))</x:f>
        <x:v>0</x:v>
      </x:c>
      <x:c r="BC584" s="22" t="n">
        <x:f>MAX(0,MIN('Activities'!L584,306)-MAX('Activities'!K584,300))</x:f>
        <x:v>0</x:v>
      </x:c>
      <x:c r="BD584" s="22" t="n">
        <x:f>MAX(0,MIN('Activities'!L584,312)-MAX('Activities'!K584,306))</x:f>
        <x:v>0</x:v>
      </x:c>
      <x:c r="BE584" s="22" t="n">
        <x:f>MAX(0,MIN('Activities'!L584,318)-MAX('Activities'!K584,312))</x:f>
        <x:v>0</x:v>
      </x:c>
      <x:c r="BF584" s="22" t="n">
        <x:f>MAX(0,MIN('Activities'!L584,324)-MAX('Activities'!K584,318))</x:f>
        <x:v>0</x:v>
      </x:c>
      <x:c r="BG584" s="22" t="n">
        <x:f>MAX(0,MIN('Activities'!L584,330)-MAX('Activities'!K584,324))</x:f>
        <x:v>0</x:v>
      </x:c>
      <x:c r="BH584" s="22" t="n">
        <x:f>MAX(0,MIN('Activities'!L584,336)-MAX('Activities'!K584,330))</x:f>
        <x:v>0</x:v>
      </x:c>
      <x:c r="BI584" s="22" t="n">
        <x:f>MAX(0,MIN('Activities'!L584,342)-MAX('Activities'!K584,336))</x:f>
        <x:v>0</x:v>
      </x:c>
      <x:c r="BJ584" s="22" t="n">
        <x:f>MAX(0,MIN('Activities'!L584,348)-MAX('Activities'!K584,342))</x:f>
        <x:v>4</x:v>
      </x:c>
      <x:c r="BK584" s="22" t="n">
        <x:f>MAX(0,MIN('Activities'!L584,354)-MAX('Activities'!K584,348))</x:f>
        <x:v>2</x:v>
      </x:c>
      <x:c r="BL584" s="22" t="n">
        <x:f>MAX(0,MIN('Activities'!L584,360)-MAX('Activities'!K584,354))</x:f>
        <x:v>0</x:v>
      </x:c>
      <x:c r="BM584" s="22" t="n">
        <x:f>MAX(0,MIN('Activities'!L584,366)-MAX('Activities'!K584,360))</x:f>
        <x:v>0</x:v>
      </x:c>
      <x:c r="BN584" s="22" t="n">
        <x:f>MAX(0,MIN('Activities'!L584,372)-MAX('Activities'!K584,366))</x:f>
        <x:v>0</x:v>
      </x:c>
      <x:c r="BO584" s="22" t="n">
        <x:f>MAX(0,MIN('Activities'!L584,378)-MAX('Activities'!K584,372))</x:f>
        <x:v>0</x:v>
      </x:c>
      <x:c r="BP584" s="22" t="n">
        <x:f>MAX(0,MIN('Activities'!L584,384)-MAX('Activities'!K584,378))</x:f>
        <x:v>0</x:v>
      </x:c>
      <x:c r="BQ584" s="22" t="n">
        <x:f>MAX(0,MIN('Activities'!L584,390)-MAX('Activities'!K584,384))</x:f>
        <x:v>0</x:v>
      </x:c>
      <x:c r="BR584" s="22" t="n">
        <x:f>MAX(0,MIN('Activities'!L584,396)-MAX('Activities'!K584,390))</x:f>
        <x:v>0</x:v>
      </x:c>
      <x:c r="BS584" s="22" t="n">
        <x:f>MAX(0,MIN('Activities'!L584,402)-MAX('Activities'!K584,396))</x:f>
        <x:v>0</x:v>
      </x:c>
      <x:c r="BT584" s="22" t="n">
        <x:f>MAX(0,MIN('Activities'!L584,408)-MAX('Activities'!K584,402))</x:f>
        <x:v>0</x:v>
      </x:c>
      <x:c r="BU584" s="22" t="n">
        <x:f>MAX(0,MIN('Activities'!L584,414)-MAX('Activities'!K584,408))</x:f>
        <x:v>0</x:v>
      </x:c>
      <x:c r="BV584" s="22" t="n">
        <x:f>MAX(0,MIN('Activities'!L584,420)-MAX('Activities'!K584,414))</x:f>
        <x:v>0</x:v>
      </x:c>
      <x:c r="BW584" s="22" t="n">
        <x:f>MAX(0,MIN('Activities'!L584,426)-MAX('Activities'!K584,420))</x:f>
        <x:v>0</x:v>
      </x:c>
      <x:c r="BX584" s="22" t="n">
        <x:f>MAX(0,MIN('Activities'!L584,432)-MAX('Activities'!K584,426))</x:f>
        <x:v>0</x:v>
      </x:c>
      <x:c r="BY584" s="22" t="n">
        <x:f>MAX(0,MIN('Activities'!L584,438)-MAX('Activities'!K584,432))</x:f>
        <x:v>0</x:v>
      </x:c>
      <x:c r="BZ584" s="22" t="n">
        <x:f>MAX(0,MIN('Activities'!L584,444)-MAX('Activities'!K584,438))</x:f>
        <x:v>0</x:v>
      </x:c>
      <x:c r="CA584" s="22" t="n">
        <x:f>MAX(0,MIN('Activities'!L584,450)-MAX('Activities'!K584,444))</x:f>
        <x:v>0</x:v>
      </x:c>
      <x:c r="CB584" s="22" t="n">
        <x:f>MAX(0,MIN('Activities'!L584,456)-MAX('Activities'!K584,450))</x:f>
        <x:v>0</x:v>
      </x:c>
      <x:c r="CC584" s="22" t="n">
        <x:f>MAX(0,MIN('Activities'!L584,462)-MAX('Activities'!K584,456))</x:f>
        <x:v>0</x:v>
      </x:c>
      <x:c r="CD584" s="22" t="n">
        <x:f>MAX(0,MIN('Activities'!L584,468)-MAX('Activities'!K584,462))</x:f>
        <x:v>0</x:v>
      </x:c>
      <x:c r="CE584" s="22" t="n">
        <x:f>MAX(0,MIN('Activities'!L584,474)-MAX('Activities'!K584,468))</x:f>
        <x:v>0</x:v>
      </x:c>
      <x:c r="CF584" s="22" t="n">
        <x:f>MAX(0,MIN('Activities'!L584,480)-MAX('Activities'!K584,474))</x:f>
        <x:v>0</x:v>
      </x:c>
      <x:c r="CG584" s="22" t="n">
        <x:f>MAX(0,MIN('Activities'!L584,486)-MAX('Activities'!K584,480))</x:f>
        <x:v>0</x:v>
      </x:c>
      <x:c r="CH584" s="22" t="n">
        <x:f>MAX(0,MIN('Activities'!L584,492)-MAX('Activities'!K584,486))</x:f>
        <x:v>0</x:v>
      </x:c>
      <x:c r="CI584" s="22" t="n">
        <x:f>MAX(0,MIN('Activities'!L584,498)-MAX('Activities'!K584,492))</x:f>
        <x:v>0</x:v>
      </x:c>
      <x:c r="CJ584" s="22" t="n">
        <x:f>MAX(0,MIN('Activities'!L584,504)-MAX('Activities'!K584,498))</x:f>
        <x:v>0</x:v>
      </x:c>
      <x:c r="CK584" s="22" t="n">
        <x:f>MAX(0,MIN('Activities'!L584,510)-MAX('Activities'!K584,504))</x:f>
        <x:v>0</x:v>
      </x:c>
      <x:c r="CL584" s="22" t="n">
        <x:f>MAX(0,MIN('Activities'!L584,516)-MAX('Activities'!K584,510))</x:f>
        <x:v>0</x:v>
      </x:c>
      <x:c r="CM584" s="22" t="n">
        <x:f>MAX(0,MIN('Activities'!L584,522)-MAX('Activities'!K584,516))</x:f>
        <x:v>0</x:v>
      </x:c>
      <x:c r="CN584" s="22" t="n">
        <x:f>MAX(0,MIN('Activities'!L584,528)-MAX('Activities'!K584,522))</x:f>
        <x:v>0</x:v>
      </x:c>
      <x:c r="CO584" s="22" t="n">
        <x:f>MAX(0,MIN('Activities'!L584,534)-MAX('Activities'!K584,528))</x:f>
        <x:v>0</x:v>
      </x:c>
      <x:c r="CP584" s="22" t="n">
        <x:f>MAX(0,MIN('Activities'!L584,540)-MAX('Activities'!K584,534))</x:f>
        <x:v>0</x:v>
      </x:c>
      <x:c r="CQ584" s="22" t="n">
        <x:f>MAX(0,MIN('Activities'!L584,546)-MAX('Activities'!K584,540))</x:f>
        <x:v>0</x:v>
      </x:c>
      <x:c r="CR584" s="22" t="n">
        <x:f>MAX(0,MIN('Activities'!L584,552)-MAX('Activities'!K584,546))</x:f>
        <x:v>0</x:v>
      </x:c>
      <x:c r="CS584" s="22" t="n">
        <x:f>MAX(0,MIN('Activities'!L584,558)-MAX('Activities'!K584,552))</x:f>
        <x:v>0</x:v>
      </x:c>
      <x:c r="CT584" s="22" t="n">
        <x:f>MAX(0,MIN('Activities'!L584,564)-MAX('Activities'!K584,558))</x:f>
        <x:v>0</x:v>
      </x:c>
      <x:c r="CU584" s="22" t="n">
        <x:f>MAX(0,MIN('Activities'!L584,570)-MAX('Activities'!K584,564))</x:f>
        <x:v>0</x:v>
      </x:c>
      <x:c r="CV584" s="22" t="n">
        <x:f>MAX(0,MIN('Activities'!L584,576)-MAX('Activities'!K584,570))</x:f>
        <x:v>0</x:v>
      </x:c>
      <x:c r="CW584" s="22" t="n">
        <x:f>MAX(0,MIN('Activities'!L584,582)-MAX('Activities'!K584,576))</x:f>
        <x:v>0</x:v>
      </x:c>
      <x:c r="CX584" s="22" t="n">
        <x:f>MAX(0,MIN('Activities'!L584,588)-MAX('Activities'!K584,582))</x:f>
        <x:v>0</x:v>
      </x:c>
      <x:c r="CY584" s="22" t="n">
        <x:f>MAX(0,MIN('Activities'!L584,594)-MAX('Activities'!K584,588))</x:f>
        <x:v>0</x:v>
      </x:c>
      <x:c r="CZ584" s="22" t="n">
        <x:f>MAX(0,MIN('Activities'!L584,600)-MAX('Activities'!K584,594))</x:f>
        <x:v>0</x:v>
      </x:c>
      <x:c r="DA584" s="22" t="n">
        <x:f>MAX(0,MIN('Activities'!L584,606)-MAX('Activities'!K584,600))</x:f>
        <x:v>0</x:v>
      </x:c>
      <x:c r="DB584" s="22" t="n">
        <x:f>MAX(0,MIN('Activities'!L584,612)-MAX('Activities'!K584,606))</x:f>
        <x:v>0</x:v>
      </x:c>
      <x:c r="DC584" s="22" t="n">
        <x:f>MAX(0,MIN('Activities'!L584,618)-MAX('Activities'!K584,612))</x:f>
        <x:v>0</x:v>
      </x:c>
      <x:c r="DD584" s="22" t="n">
        <x:f>MAX(0,MIN('Activities'!L584,624)-MAX('Activities'!K584,618))</x:f>
        <x:v>0</x:v>
      </x:c>
      <x:c r="DE584" s="22" t="n">
        <x:f>MAX(0,MIN('Activities'!L584,630)-MAX('Activities'!K584,624))</x:f>
        <x:v>0</x:v>
      </x:c>
      <x:c r="DF584" s="22" t="n">
        <x:f>MAX(0,MIN('Activities'!L584,636)-MAX('Activities'!K584,630))</x:f>
        <x:v>0</x:v>
      </x:c>
    </x:row>
    <x:row r="585" ht="23" customHeight="1">
      <x:c r="A585" s="1" t="str">
        <x:v>T5-L09-R</x:v>
      </x:c>
      <x:c r="B585" s="1" t="str">
        <x:v>T5</x:v>
      </x:c>
      <x:c r="C585" s="1" t="str">
        <x:v>Column, wall, beam and slab reinforcement</x:v>
      </x:c>
      <x:c r="D585" s="1" t="str">
        <x:v>Rebar</x:v>
      </x:c>
      <x:c r="E585" s="23" t="n">
        <x:f>MAX(0,MIN('Activities'!L585,6)-MAX('Activities'!K585,0))</x:f>
        <x:v>0</x:v>
      </x:c>
      <x:c r="F585" s="23" t="n">
        <x:f>MAX(0,MIN('Activities'!L585,12)-MAX('Activities'!K585,6))</x:f>
        <x:v>0</x:v>
      </x:c>
      <x:c r="G585" s="23" t="n">
        <x:f>MAX(0,MIN('Activities'!L585,18)-MAX('Activities'!K585,12))</x:f>
        <x:v>0</x:v>
      </x:c>
      <x:c r="H585" s="23" t="n">
        <x:f>MAX(0,MIN('Activities'!L585,24)-MAX('Activities'!K585,18))</x:f>
        <x:v>0</x:v>
      </x:c>
      <x:c r="I585" s="23" t="n">
        <x:f>MAX(0,MIN('Activities'!L585,30)-MAX('Activities'!K585,24))</x:f>
        <x:v>0</x:v>
      </x:c>
      <x:c r="J585" s="23" t="n">
        <x:f>MAX(0,MIN('Activities'!L585,36)-MAX('Activities'!K585,30))</x:f>
        <x:v>0</x:v>
      </x:c>
      <x:c r="K585" s="23" t="n">
        <x:f>MAX(0,MIN('Activities'!L585,42)-MAX('Activities'!K585,36))</x:f>
        <x:v>0</x:v>
      </x:c>
      <x:c r="L585" s="23" t="n">
        <x:f>MAX(0,MIN('Activities'!L585,48)-MAX('Activities'!K585,42))</x:f>
        <x:v>0</x:v>
      </x:c>
      <x:c r="M585" s="23" t="n">
        <x:f>MAX(0,MIN('Activities'!L585,54)-MAX('Activities'!K585,48))</x:f>
        <x:v>0</x:v>
      </x:c>
      <x:c r="N585" s="23" t="n">
        <x:f>MAX(0,MIN('Activities'!L585,60)-MAX('Activities'!K585,54))</x:f>
        <x:v>0</x:v>
      </x:c>
      <x:c r="O585" s="23" t="n">
        <x:f>MAX(0,MIN('Activities'!L585,66)-MAX('Activities'!K585,60))</x:f>
        <x:v>0</x:v>
      </x:c>
      <x:c r="P585" s="23" t="n">
        <x:f>MAX(0,MIN('Activities'!L585,72)-MAX('Activities'!K585,66))</x:f>
        <x:v>0</x:v>
      </x:c>
      <x:c r="Q585" s="23" t="n">
        <x:f>MAX(0,MIN('Activities'!L585,78)-MAX('Activities'!K585,72))</x:f>
        <x:v>0</x:v>
      </x:c>
      <x:c r="R585" s="23" t="n">
        <x:f>MAX(0,MIN('Activities'!L585,84)-MAX('Activities'!K585,78))</x:f>
        <x:v>0</x:v>
      </x:c>
      <x:c r="S585" s="23" t="n">
        <x:f>MAX(0,MIN('Activities'!L585,90)-MAX('Activities'!K585,84))</x:f>
        <x:v>0</x:v>
      </x:c>
      <x:c r="T585" s="23" t="n">
        <x:f>MAX(0,MIN('Activities'!L585,96)-MAX('Activities'!K585,90))</x:f>
        <x:v>0</x:v>
      </x:c>
      <x:c r="U585" s="23" t="n">
        <x:f>MAX(0,MIN('Activities'!L585,102)-MAX('Activities'!K585,96))</x:f>
        <x:v>0</x:v>
      </x:c>
      <x:c r="V585" s="23" t="n">
        <x:f>MAX(0,MIN('Activities'!L585,108)-MAX('Activities'!K585,102))</x:f>
        <x:v>0</x:v>
      </x:c>
      <x:c r="W585" s="23" t="n">
        <x:f>MAX(0,MIN('Activities'!L585,114)-MAX('Activities'!K585,108))</x:f>
        <x:v>0</x:v>
      </x:c>
      <x:c r="X585" s="23" t="n">
        <x:f>MAX(0,MIN('Activities'!L585,120)-MAX('Activities'!K585,114))</x:f>
        <x:v>0</x:v>
      </x:c>
      <x:c r="Y585" s="23" t="n">
        <x:f>MAX(0,MIN('Activities'!L585,126)-MAX('Activities'!K585,120))</x:f>
        <x:v>0</x:v>
      </x:c>
      <x:c r="Z585" s="23" t="n">
        <x:f>MAX(0,MIN('Activities'!L585,132)-MAX('Activities'!K585,126))</x:f>
        <x:v>0</x:v>
      </x:c>
      <x:c r="AA585" s="23" t="n">
        <x:f>MAX(0,MIN('Activities'!L585,138)-MAX('Activities'!K585,132))</x:f>
        <x:v>0</x:v>
      </x:c>
      <x:c r="AB585" s="23" t="n">
        <x:f>MAX(0,MIN('Activities'!L585,144)-MAX('Activities'!K585,138))</x:f>
        <x:v>0</x:v>
      </x:c>
      <x:c r="AC585" s="23" t="n">
        <x:f>MAX(0,MIN('Activities'!L585,150)-MAX('Activities'!K585,144))</x:f>
        <x:v>0</x:v>
      </x:c>
      <x:c r="AD585" s="23" t="n">
        <x:f>MAX(0,MIN('Activities'!L585,156)-MAX('Activities'!K585,150))</x:f>
        <x:v>0</x:v>
      </x:c>
      <x:c r="AE585" s="23" t="n">
        <x:f>MAX(0,MIN('Activities'!L585,162)-MAX('Activities'!K585,156))</x:f>
        <x:v>0</x:v>
      </x:c>
      <x:c r="AF585" s="23" t="n">
        <x:f>MAX(0,MIN('Activities'!L585,168)-MAX('Activities'!K585,162))</x:f>
        <x:v>0</x:v>
      </x:c>
      <x:c r="AG585" s="23" t="n">
        <x:f>MAX(0,MIN('Activities'!L585,174)-MAX('Activities'!K585,168))</x:f>
        <x:v>0</x:v>
      </x:c>
      <x:c r="AH585" s="23" t="n">
        <x:f>MAX(0,MIN('Activities'!L585,180)-MAX('Activities'!K585,174))</x:f>
        <x:v>0</x:v>
      </x:c>
      <x:c r="AI585" s="23" t="n">
        <x:f>MAX(0,MIN('Activities'!L585,186)-MAX('Activities'!K585,180))</x:f>
        <x:v>0</x:v>
      </x:c>
      <x:c r="AJ585" s="23" t="n">
        <x:f>MAX(0,MIN('Activities'!L585,192)-MAX('Activities'!K585,186))</x:f>
        <x:v>0</x:v>
      </x:c>
      <x:c r="AK585" s="23" t="n">
        <x:f>MAX(0,MIN('Activities'!L585,198)-MAX('Activities'!K585,192))</x:f>
        <x:v>0</x:v>
      </x:c>
      <x:c r="AL585" s="23" t="n">
        <x:f>MAX(0,MIN('Activities'!L585,204)-MAX('Activities'!K585,198))</x:f>
        <x:v>0</x:v>
      </x:c>
      <x:c r="AM585" s="23" t="n">
        <x:f>MAX(0,MIN('Activities'!L585,210)-MAX('Activities'!K585,204))</x:f>
        <x:v>0</x:v>
      </x:c>
      <x:c r="AN585" s="23" t="n">
        <x:f>MAX(0,MIN('Activities'!L585,216)-MAX('Activities'!K585,210))</x:f>
        <x:v>0</x:v>
      </x:c>
      <x:c r="AO585" s="23" t="n">
        <x:f>MAX(0,MIN('Activities'!L585,222)-MAX('Activities'!K585,216))</x:f>
        <x:v>0</x:v>
      </x:c>
      <x:c r="AP585" s="23" t="n">
        <x:f>MAX(0,MIN('Activities'!L585,228)-MAX('Activities'!K585,222))</x:f>
        <x:v>0</x:v>
      </x:c>
      <x:c r="AQ585" s="23" t="n">
        <x:f>MAX(0,MIN('Activities'!L585,234)-MAX('Activities'!K585,228))</x:f>
        <x:v>0</x:v>
      </x:c>
      <x:c r="AR585" s="23" t="n">
        <x:f>MAX(0,MIN('Activities'!L585,240)-MAX('Activities'!K585,234))</x:f>
        <x:v>0</x:v>
      </x:c>
      <x:c r="AS585" s="23" t="n">
        <x:f>MAX(0,MIN('Activities'!L585,246)-MAX('Activities'!K585,240))</x:f>
        <x:v>0</x:v>
      </x:c>
      <x:c r="AT585" s="23" t="n">
        <x:f>MAX(0,MIN('Activities'!L585,252)-MAX('Activities'!K585,246))</x:f>
        <x:v>0</x:v>
      </x:c>
      <x:c r="AU585" s="23" t="n">
        <x:f>MAX(0,MIN('Activities'!L585,258)-MAX('Activities'!K585,252))</x:f>
        <x:v>0</x:v>
      </x:c>
      <x:c r="AV585" s="23" t="n">
        <x:f>MAX(0,MIN('Activities'!L585,264)-MAX('Activities'!K585,258))</x:f>
        <x:v>0</x:v>
      </x:c>
      <x:c r="AW585" s="23" t="n">
        <x:f>MAX(0,MIN('Activities'!L585,270)-MAX('Activities'!K585,264))</x:f>
        <x:v>0</x:v>
      </x:c>
      <x:c r="AX585" s="23" t="n">
        <x:f>MAX(0,MIN('Activities'!L585,276)-MAX('Activities'!K585,270))</x:f>
        <x:v>0</x:v>
      </x:c>
      <x:c r="AY585" s="23" t="n">
        <x:f>MAX(0,MIN('Activities'!L585,282)-MAX('Activities'!K585,276))</x:f>
        <x:v>0</x:v>
      </x:c>
      <x:c r="AZ585" s="23" t="n">
        <x:f>MAX(0,MIN('Activities'!L585,288)-MAX('Activities'!K585,282))</x:f>
        <x:v>0</x:v>
      </x:c>
      <x:c r="BA585" s="23" t="n">
        <x:f>MAX(0,MIN('Activities'!L585,294)-MAX('Activities'!K585,288))</x:f>
        <x:v>0</x:v>
      </x:c>
      <x:c r="BB585" s="23" t="n">
        <x:f>MAX(0,MIN('Activities'!L585,300)-MAX('Activities'!K585,294))</x:f>
        <x:v>0</x:v>
      </x:c>
      <x:c r="BC585" s="23" t="n">
        <x:f>MAX(0,MIN('Activities'!L585,306)-MAX('Activities'!K585,300))</x:f>
        <x:v>0</x:v>
      </x:c>
      <x:c r="BD585" s="23" t="n">
        <x:f>MAX(0,MIN('Activities'!L585,312)-MAX('Activities'!K585,306))</x:f>
        <x:v>0</x:v>
      </x:c>
      <x:c r="BE585" s="23" t="n">
        <x:f>MAX(0,MIN('Activities'!L585,318)-MAX('Activities'!K585,312))</x:f>
        <x:v>0</x:v>
      </x:c>
      <x:c r="BF585" s="23" t="n">
        <x:f>MAX(0,MIN('Activities'!L585,324)-MAX('Activities'!K585,318))</x:f>
        <x:v>0</x:v>
      </x:c>
      <x:c r="BG585" s="23" t="n">
        <x:f>MAX(0,MIN('Activities'!L585,330)-MAX('Activities'!K585,324))</x:f>
        <x:v>0</x:v>
      </x:c>
      <x:c r="BH585" s="23" t="n">
        <x:f>MAX(0,MIN('Activities'!L585,336)-MAX('Activities'!K585,330))</x:f>
        <x:v>0</x:v>
      </x:c>
      <x:c r="BI585" s="23" t="n">
        <x:f>MAX(0,MIN('Activities'!L585,342)-MAX('Activities'!K585,336))</x:f>
        <x:v>0</x:v>
      </x:c>
      <x:c r="BJ585" s="23" t="n">
        <x:f>MAX(0,MIN('Activities'!L585,348)-MAX('Activities'!K585,342))</x:f>
        <x:v>0</x:v>
      </x:c>
      <x:c r="BK585" s="23" t="n">
        <x:f>MAX(0,MIN('Activities'!L585,354)-MAX('Activities'!K585,348))</x:f>
        <x:v>4</x:v>
      </x:c>
      <x:c r="BL585" s="23" t="n">
        <x:f>MAX(0,MIN('Activities'!L585,360)-MAX('Activities'!K585,354))</x:f>
        <x:v>1</x:v>
      </x:c>
      <x:c r="BM585" s="23" t="n">
        <x:f>MAX(0,MIN('Activities'!L585,366)-MAX('Activities'!K585,360))</x:f>
        <x:v>0</x:v>
      </x:c>
      <x:c r="BN585" s="23" t="n">
        <x:f>MAX(0,MIN('Activities'!L585,372)-MAX('Activities'!K585,366))</x:f>
        <x:v>0</x:v>
      </x:c>
      <x:c r="BO585" s="23" t="n">
        <x:f>MAX(0,MIN('Activities'!L585,378)-MAX('Activities'!K585,372))</x:f>
        <x:v>0</x:v>
      </x:c>
      <x:c r="BP585" s="23" t="n">
        <x:f>MAX(0,MIN('Activities'!L585,384)-MAX('Activities'!K585,378))</x:f>
        <x:v>0</x:v>
      </x:c>
      <x:c r="BQ585" s="23" t="n">
        <x:f>MAX(0,MIN('Activities'!L585,390)-MAX('Activities'!K585,384))</x:f>
        <x:v>0</x:v>
      </x:c>
      <x:c r="BR585" s="23" t="n">
        <x:f>MAX(0,MIN('Activities'!L585,396)-MAX('Activities'!K585,390))</x:f>
        <x:v>0</x:v>
      </x:c>
      <x:c r="BS585" s="23" t="n">
        <x:f>MAX(0,MIN('Activities'!L585,402)-MAX('Activities'!K585,396))</x:f>
        <x:v>0</x:v>
      </x:c>
      <x:c r="BT585" s="23" t="n">
        <x:f>MAX(0,MIN('Activities'!L585,408)-MAX('Activities'!K585,402))</x:f>
        <x:v>0</x:v>
      </x:c>
      <x:c r="BU585" s="23" t="n">
        <x:f>MAX(0,MIN('Activities'!L585,414)-MAX('Activities'!K585,408))</x:f>
        <x:v>0</x:v>
      </x:c>
      <x:c r="BV585" s="23" t="n">
        <x:f>MAX(0,MIN('Activities'!L585,420)-MAX('Activities'!K585,414))</x:f>
        <x:v>0</x:v>
      </x:c>
      <x:c r="BW585" s="23" t="n">
        <x:f>MAX(0,MIN('Activities'!L585,426)-MAX('Activities'!K585,420))</x:f>
        <x:v>0</x:v>
      </x:c>
      <x:c r="BX585" s="23" t="n">
        <x:f>MAX(0,MIN('Activities'!L585,432)-MAX('Activities'!K585,426))</x:f>
        <x:v>0</x:v>
      </x:c>
      <x:c r="BY585" s="23" t="n">
        <x:f>MAX(0,MIN('Activities'!L585,438)-MAX('Activities'!K585,432))</x:f>
        <x:v>0</x:v>
      </x:c>
      <x:c r="BZ585" s="23" t="n">
        <x:f>MAX(0,MIN('Activities'!L585,444)-MAX('Activities'!K585,438))</x:f>
        <x:v>0</x:v>
      </x:c>
      <x:c r="CA585" s="23" t="n">
        <x:f>MAX(0,MIN('Activities'!L585,450)-MAX('Activities'!K585,444))</x:f>
        <x:v>0</x:v>
      </x:c>
      <x:c r="CB585" s="23" t="n">
        <x:f>MAX(0,MIN('Activities'!L585,456)-MAX('Activities'!K585,450))</x:f>
        <x:v>0</x:v>
      </x:c>
      <x:c r="CC585" s="23" t="n">
        <x:f>MAX(0,MIN('Activities'!L585,462)-MAX('Activities'!K585,456))</x:f>
        <x:v>0</x:v>
      </x:c>
      <x:c r="CD585" s="23" t="n">
        <x:f>MAX(0,MIN('Activities'!L585,468)-MAX('Activities'!K585,462))</x:f>
        <x:v>0</x:v>
      </x:c>
      <x:c r="CE585" s="23" t="n">
        <x:f>MAX(0,MIN('Activities'!L585,474)-MAX('Activities'!K585,468))</x:f>
        <x:v>0</x:v>
      </x:c>
      <x:c r="CF585" s="23" t="n">
        <x:f>MAX(0,MIN('Activities'!L585,480)-MAX('Activities'!K585,474))</x:f>
        <x:v>0</x:v>
      </x:c>
      <x:c r="CG585" s="23" t="n">
        <x:f>MAX(0,MIN('Activities'!L585,486)-MAX('Activities'!K585,480))</x:f>
        <x:v>0</x:v>
      </x:c>
      <x:c r="CH585" s="23" t="n">
        <x:f>MAX(0,MIN('Activities'!L585,492)-MAX('Activities'!K585,486))</x:f>
        <x:v>0</x:v>
      </x:c>
      <x:c r="CI585" s="23" t="n">
        <x:f>MAX(0,MIN('Activities'!L585,498)-MAX('Activities'!K585,492))</x:f>
        <x:v>0</x:v>
      </x:c>
      <x:c r="CJ585" s="23" t="n">
        <x:f>MAX(0,MIN('Activities'!L585,504)-MAX('Activities'!K585,498))</x:f>
        <x:v>0</x:v>
      </x:c>
      <x:c r="CK585" s="23" t="n">
        <x:f>MAX(0,MIN('Activities'!L585,510)-MAX('Activities'!K585,504))</x:f>
        <x:v>0</x:v>
      </x:c>
      <x:c r="CL585" s="23" t="n">
        <x:f>MAX(0,MIN('Activities'!L585,516)-MAX('Activities'!K585,510))</x:f>
        <x:v>0</x:v>
      </x:c>
      <x:c r="CM585" s="23" t="n">
        <x:f>MAX(0,MIN('Activities'!L585,522)-MAX('Activities'!K585,516))</x:f>
        <x:v>0</x:v>
      </x:c>
      <x:c r="CN585" s="23" t="n">
        <x:f>MAX(0,MIN('Activities'!L585,528)-MAX('Activities'!K585,522))</x:f>
        <x:v>0</x:v>
      </x:c>
      <x:c r="CO585" s="23" t="n">
        <x:f>MAX(0,MIN('Activities'!L585,534)-MAX('Activities'!K585,528))</x:f>
        <x:v>0</x:v>
      </x:c>
      <x:c r="CP585" s="23" t="n">
        <x:f>MAX(0,MIN('Activities'!L585,540)-MAX('Activities'!K585,534))</x:f>
        <x:v>0</x:v>
      </x:c>
      <x:c r="CQ585" s="23" t="n">
        <x:f>MAX(0,MIN('Activities'!L585,546)-MAX('Activities'!K585,540))</x:f>
        <x:v>0</x:v>
      </x:c>
      <x:c r="CR585" s="23" t="n">
        <x:f>MAX(0,MIN('Activities'!L585,552)-MAX('Activities'!K585,546))</x:f>
        <x:v>0</x:v>
      </x:c>
      <x:c r="CS585" s="23" t="n">
        <x:f>MAX(0,MIN('Activities'!L585,558)-MAX('Activities'!K585,552))</x:f>
        <x:v>0</x:v>
      </x:c>
      <x:c r="CT585" s="23" t="n">
        <x:f>MAX(0,MIN('Activities'!L585,564)-MAX('Activities'!K585,558))</x:f>
        <x:v>0</x:v>
      </x:c>
      <x:c r="CU585" s="23" t="n">
        <x:f>MAX(0,MIN('Activities'!L585,570)-MAX('Activities'!K585,564))</x:f>
        <x:v>0</x:v>
      </x:c>
      <x:c r="CV585" s="23" t="n">
        <x:f>MAX(0,MIN('Activities'!L585,576)-MAX('Activities'!K585,570))</x:f>
        <x:v>0</x:v>
      </x:c>
      <x:c r="CW585" s="23" t="n">
        <x:f>MAX(0,MIN('Activities'!L585,582)-MAX('Activities'!K585,576))</x:f>
        <x:v>0</x:v>
      </x:c>
      <x:c r="CX585" s="23" t="n">
        <x:f>MAX(0,MIN('Activities'!L585,588)-MAX('Activities'!K585,582))</x:f>
        <x:v>0</x:v>
      </x:c>
      <x:c r="CY585" s="23" t="n">
        <x:f>MAX(0,MIN('Activities'!L585,594)-MAX('Activities'!K585,588))</x:f>
        <x:v>0</x:v>
      </x:c>
      <x:c r="CZ585" s="23" t="n">
        <x:f>MAX(0,MIN('Activities'!L585,600)-MAX('Activities'!K585,594))</x:f>
        <x:v>0</x:v>
      </x:c>
      <x:c r="DA585" s="23" t="n">
        <x:f>MAX(0,MIN('Activities'!L585,606)-MAX('Activities'!K585,600))</x:f>
        <x:v>0</x:v>
      </x:c>
      <x:c r="DB585" s="23" t="n">
        <x:f>MAX(0,MIN('Activities'!L585,612)-MAX('Activities'!K585,606))</x:f>
        <x:v>0</x:v>
      </x:c>
      <x:c r="DC585" s="23" t="n">
        <x:f>MAX(0,MIN('Activities'!L585,618)-MAX('Activities'!K585,612))</x:f>
        <x:v>0</x:v>
      </x:c>
      <x:c r="DD585" s="23" t="n">
        <x:f>MAX(0,MIN('Activities'!L585,624)-MAX('Activities'!K585,618))</x:f>
        <x:v>0</x:v>
      </x:c>
      <x:c r="DE585" s="23" t="n">
        <x:f>MAX(0,MIN('Activities'!L585,630)-MAX('Activities'!K585,624))</x:f>
        <x:v>0</x:v>
      </x:c>
      <x:c r="DF585" s="23" t="n">
        <x:f>MAX(0,MIN('Activities'!L585,636)-MAX('Activities'!K585,630))</x:f>
        <x:v>0</x:v>
      </x:c>
    </x:row>
    <x:row r="586" ht="23" customHeight="1">
      <x:c r="A586" s="6" t="str">
        <x:v>T5-L09-C</x:v>
      </x:c>
      <x:c r="B586" s="6" t="str">
        <x:v>T5</x:v>
      </x:c>
      <x:c r="C586" s="6" t="str">
        <x:v>Concrete placement and finishing</x:v>
      </x:c>
      <x:c r="D586" s="6" t="str">
        <x:v>Concrete</x:v>
      </x:c>
      <x:c r="E586" s="22" t="n">
        <x:f>MAX(0,MIN('Activities'!L586,6)-MAX('Activities'!K586,0))</x:f>
        <x:v>0</x:v>
      </x:c>
      <x:c r="F586" s="22" t="n">
        <x:f>MAX(0,MIN('Activities'!L586,12)-MAX('Activities'!K586,6))</x:f>
        <x:v>0</x:v>
      </x:c>
      <x:c r="G586" s="22" t="n">
        <x:f>MAX(0,MIN('Activities'!L586,18)-MAX('Activities'!K586,12))</x:f>
        <x:v>0</x:v>
      </x:c>
      <x:c r="H586" s="22" t="n">
        <x:f>MAX(0,MIN('Activities'!L586,24)-MAX('Activities'!K586,18))</x:f>
        <x:v>0</x:v>
      </x:c>
      <x:c r="I586" s="22" t="n">
        <x:f>MAX(0,MIN('Activities'!L586,30)-MAX('Activities'!K586,24))</x:f>
        <x:v>0</x:v>
      </x:c>
      <x:c r="J586" s="22" t="n">
        <x:f>MAX(0,MIN('Activities'!L586,36)-MAX('Activities'!K586,30))</x:f>
        <x:v>0</x:v>
      </x:c>
      <x:c r="K586" s="22" t="n">
        <x:f>MAX(0,MIN('Activities'!L586,42)-MAX('Activities'!K586,36))</x:f>
        <x:v>0</x:v>
      </x:c>
      <x:c r="L586" s="22" t="n">
        <x:f>MAX(0,MIN('Activities'!L586,48)-MAX('Activities'!K586,42))</x:f>
        <x:v>0</x:v>
      </x:c>
      <x:c r="M586" s="22" t="n">
        <x:f>MAX(0,MIN('Activities'!L586,54)-MAX('Activities'!K586,48))</x:f>
        <x:v>0</x:v>
      </x:c>
      <x:c r="N586" s="22" t="n">
        <x:f>MAX(0,MIN('Activities'!L586,60)-MAX('Activities'!K586,54))</x:f>
        <x:v>0</x:v>
      </x:c>
      <x:c r="O586" s="22" t="n">
        <x:f>MAX(0,MIN('Activities'!L586,66)-MAX('Activities'!K586,60))</x:f>
        <x:v>0</x:v>
      </x:c>
      <x:c r="P586" s="22" t="n">
        <x:f>MAX(0,MIN('Activities'!L586,72)-MAX('Activities'!K586,66))</x:f>
        <x:v>0</x:v>
      </x:c>
      <x:c r="Q586" s="22" t="n">
        <x:f>MAX(0,MIN('Activities'!L586,78)-MAX('Activities'!K586,72))</x:f>
        <x:v>0</x:v>
      </x:c>
      <x:c r="R586" s="22" t="n">
        <x:f>MAX(0,MIN('Activities'!L586,84)-MAX('Activities'!K586,78))</x:f>
        <x:v>0</x:v>
      </x:c>
      <x:c r="S586" s="22" t="n">
        <x:f>MAX(0,MIN('Activities'!L586,90)-MAX('Activities'!K586,84))</x:f>
        <x:v>0</x:v>
      </x:c>
      <x:c r="T586" s="22" t="n">
        <x:f>MAX(0,MIN('Activities'!L586,96)-MAX('Activities'!K586,90))</x:f>
        <x:v>0</x:v>
      </x:c>
      <x:c r="U586" s="22" t="n">
        <x:f>MAX(0,MIN('Activities'!L586,102)-MAX('Activities'!K586,96))</x:f>
        <x:v>0</x:v>
      </x:c>
      <x:c r="V586" s="22" t="n">
        <x:f>MAX(0,MIN('Activities'!L586,108)-MAX('Activities'!K586,102))</x:f>
        <x:v>0</x:v>
      </x:c>
      <x:c r="W586" s="22" t="n">
        <x:f>MAX(0,MIN('Activities'!L586,114)-MAX('Activities'!K586,108))</x:f>
        <x:v>0</x:v>
      </x:c>
      <x:c r="X586" s="22" t="n">
        <x:f>MAX(0,MIN('Activities'!L586,120)-MAX('Activities'!K586,114))</x:f>
        <x:v>0</x:v>
      </x:c>
      <x:c r="Y586" s="22" t="n">
        <x:f>MAX(0,MIN('Activities'!L586,126)-MAX('Activities'!K586,120))</x:f>
        <x:v>0</x:v>
      </x:c>
      <x:c r="Z586" s="22" t="n">
        <x:f>MAX(0,MIN('Activities'!L586,132)-MAX('Activities'!K586,126))</x:f>
        <x:v>0</x:v>
      </x:c>
      <x:c r="AA586" s="22" t="n">
        <x:f>MAX(0,MIN('Activities'!L586,138)-MAX('Activities'!K586,132))</x:f>
        <x:v>0</x:v>
      </x:c>
      <x:c r="AB586" s="22" t="n">
        <x:f>MAX(0,MIN('Activities'!L586,144)-MAX('Activities'!K586,138))</x:f>
        <x:v>0</x:v>
      </x:c>
      <x:c r="AC586" s="22" t="n">
        <x:f>MAX(0,MIN('Activities'!L586,150)-MAX('Activities'!K586,144))</x:f>
        <x:v>0</x:v>
      </x:c>
      <x:c r="AD586" s="22" t="n">
        <x:f>MAX(0,MIN('Activities'!L586,156)-MAX('Activities'!K586,150))</x:f>
        <x:v>0</x:v>
      </x:c>
      <x:c r="AE586" s="22" t="n">
        <x:f>MAX(0,MIN('Activities'!L586,162)-MAX('Activities'!K586,156))</x:f>
        <x:v>0</x:v>
      </x:c>
      <x:c r="AF586" s="22" t="n">
        <x:f>MAX(0,MIN('Activities'!L586,168)-MAX('Activities'!K586,162))</x:f>
        <x:v>0</x:v>
      </x:c>
      <x:c r="AG586" s="22" t="n">
        <x:f>MAX(0,MIN('Activities'!L586,174)-MAX('Activities'!K586,168))</x:f>
        <x:v>0</x:v>
      </x:c>
      <x:c r="AH586" s="22" t="n">
        <x:f>MAX(0,MIN('Activities'!L586,180)-MAX('Activities'!K586,174))</x:f>
        <x:v>0</x:v>
      </x:c>
      <x:c r="AI586" s="22" t="n">
        <x:f>MAX(0,MIN('Activities'!L586,186)-MAX('Activities'!K586,180))</x:f>
        <x:v>0</x:v>
      </x:c>
      <x:c r="AJ586" s="22" t="n">
        <x:f>MAX(0,MIN('Activities'!L586,192)-MAX('Activities'!K586,186))</x:f>
        <x:v>0</x:v>
      </x:c>
      <x:c r="AK586" s="22" t="n">
        <x:f>MAX(0,MIN('Activities'!L586,198)-MAX('Activities'!K586,192))</x:f>
        <x:v>0</x:v>
      </x:c>
      <x:c r="AL586" s="22" t="n">
        <x:f>MAX(0,MIN('Activities'!L586,204)-MAX('Activities'!K586,198))</x:f>
        <x:v>0</x:v>
      </x:c>
      <x:c r="AM586" s="22" t="n">
        <x:f>MAX(0,MIN('Activities'!L586,210)-MAX('Activities'!K586,204))</x:f>
        <x:v>0</x:v>
      </x:c>
      <x:c r="AN586" s="22" t="n">
        <x:f>MAX(0,MIN('Activities'!L586,216)-MAX('Activities'!K586,210))</x:f>
        <x:v>0</x:v>
      </x:c>
      <x:c r="AO586" s="22" t="n">
        <x:f>MAX(0,MIN('Activities'!L586,222)-MAX('Activities'!K586,216))</x:f>
        <x:v>0</x:v>
      </x:c>
      <x:c r="AP586" s="22" t="n">
        <x:f>MAX(0,MIN('Activities'!L586,228)-MAX('Activities'!K586,222))</x:f>
        <x:v>0</x:v>
      </x:c>
      <x:c r="AQ586" s="22" t="n">
        <x:f>MAX(0,MIN('Activities'!L586,234)-MAX('Activities'!K586,228))</x:f>
        <x:v>0</x:v>
      </x:c>
      <x:c r="AR586" s="22" t="n">
        <x:f>MAX(0,MIN('Activities'!L586,240)-MAX('Activities'!K586,234))</x:f>
        <x:v>0</x:v>
      </x:c>
      <x:c r="AS586" s="22" t="n">
        <x:f>MAX(0,MIN('Activities'!L586,246)-MAX('Activities'!K586,240))</x:f>
        <x:v>0</x:v>
      </x:c>
      <x:c r="AT586" s="22" t="n">
        <x:f>MAX(0,MIN('Activities'!L586,252)-MAX('Activities'!K586,246))</x:f>
        <x:v>0</x:v>
      </x:c>
      <x:c r="AU586" s="22" t="n">
        <x:f>MAX(0,MIN('Activities'!L586,258)-MAX('Activities'!K586,252))</x:f>
        <x:v>0</x:v>
      </x:c>
      <x:c r="AV586" s="22" t="n">
        <x:f>MAX(0,MIN('Activities'!L586,264)-MAX('Activities'!K586,258))</x:f>
        <x:v>0</x:v>
      </x:c>
      <x:c r="AW586" s="22" t="n">
        <x:f>MAX(0,MIN('Activities'!L586,270)-MAX('Activities'!K586,264))</x:f>
        <x:v>0</x:v>
      </x:c>
      <x:c r="AX586" s="22" t="n">
        <x:f>MAX(0,MIN('Activities'!L586,276)-MAX('Activities'!K586,270))</x:f>
        <x:v>0</x:v>
      </x:c>
      <x:c r="AY586" s="22" t="n">
        <x:f>MAX(0,MIN('Activities'!L586,282)-MAX('Activities'!K586,276))</x:f>
        <x:v>0</x:v>
      </x:c>
      <x:c r="AZ586" s="22" t="n">
        <x:f>MAX(0,MIN('Activities'!L586,288)-MAX('Activities'!K586,282))</x:f>
        <x:v>0</x:v>
      </x:c>
      <x:c r="BA586" s="22" t="n">
        <x:f>MAX(0,MIN('Activities'!L586,294)-MAX('Activities'!K586,288))</x:f>
        <x:v>0</x:v>
      </x:c>
      <x:c r="BB586" s="22" t="n">
        <x:f>MAX(0,MIN('Activities'!L586,300)-MAX('Activities'!K586,294))</x:f>
        <x:v>0</x:v>
      </x:c>
      <x:c r="BC586" s="22" t="n">
        <x:f>MAX(0,MIN('Activities'!L586,306)-MAX('Activities'!K586,300))</x:f>
        <x:v>0</x:v>
      </x:c>
      <x:c r="BD586" s="22" t="n">
        <x:f>MAX(0,MIN('Activities'!L586,312)-MAX('Activities'!K586,306))</x:f>
        <x:v>0</x:v>
      </x:c>
      <x:c r="BE586" s="22" t="n">
        <x:f>MAX(0,MIN('Activities'!L586,318)-MAX('Activities'!K586,312))</x:f>
        <x:v>0</x:v>
      </x:c>
      <x:c r="BF586" s="22" t="n">
        <x:f>MAX(0,MIN('Activities'!L586,324)-MAX('Activities'!K586,318))</x:f>
        <x:v>0</x:v>
      </x:c>
      <x:c r="BG586" s="22" t="n">
        <x:f>MAX(0,MIN('Activities'!L586,330)-MAX('Activities'!K586,324))</x:f>
        <x:v>0</x:v>
      </x:c>
      <x:c r="BH586" s="22" t="n">
        <x:f>MAX(0,MIN('Activities'!L586,336)-MAX('Activities'!K586,330))</x:f>
        <x:v>0</x:v>
      </x:c>
      <x:c r="BI586" s="22" t="n">
        <x:f>MAX(0,MIN('Activities'!L586,342)-MAX('Activities'!K586,336))</x:f>
        <x:v>0</x:v>
      </x:c>
      <x:c r="BJ586" s="22" t="n">
        <x:f>MAX(0,MIN('Activities'!L586,348)-MAX('Activities'!K586,342))</x:f>
        <x:v>0</x:v>
      </x:c>
      <x:c r="BK586" s="22" t="n">
        <x:f>MAX(0,MIN('Activities'!L586,354)-MAX('Activities'!K586,348))</x:f>
        <x:v>0</x:v>
      </x:c>
      <x:c r="BL586" s="22" t="n">
        <x:f>MAX(0,MIN('Activities'!L586,360)-MAX('Activities'!K586,354))</x:f>
        <x:v>2</x:v>
      </x:c>
      <x:c r="BM586" s="22" t="n">
        <x:f>MAX(0,MIN('Activities'!L586,366)-MAX('Activities'!K586,360))</x:f>
        <x:v>0</x:v>
      </x:c>
      <x:c r="BN586" s="22" t="n">
        <x:f>MAX(0,MIN('Activities'!L586,372)-MAX('Activities'!K586,366))</x:f>
        <x:v>0</x:v>
      </x:c>
      <x:c r="BO586" s="22" t="n">
        <x:f>MAX(0,MIN('Activities'!L586,378)-MAX('Activities'!K586,372))</x:f>
        <x:v>0</x:v>
      </x:c>
      <x:c r="BP586" s="22" t="n">
        <x:f>MAX(0,MIN('Activities'!L586,384)-MAX('Activities'!K586,378))</x:f>
        <x:v>0</x:v>
      </x:c>
      <x:c r="BQ586" s="22" t="n">
        <x:f>MAX(0,MIN('Activities'!L586,390)-MAX('Activities'!K586,384))</x:f>
        <x:v>0</x:v>
      </x:c>
      <x:c r="BR586" s="22" t="n">
        <x:f>MAX(0,MIN('Activities'!L586,396)-MAX('Activities'!K586,390))</x:f>
        <x:v>0</x:v>
      </x:c>
      <x:c r="BS586" s="22" t="n">
        <x:f>MAX(0,MIN('Activities'!L586,402)-MAX('Activities'!K586,396))</x:f>
        <x:v>0</x:v>
      </x:c>
      <x:c r="BT586" s="22" t="n">
        <x:f>MAX(0,MIN('Activities'!L586,408)-MAX('Activities'!K586,402))</x:f>
        <x:v>0</x:v>
      </x:c>
      <x:c r="BU586" s="22" t="n">
        <x:f>MAX(0,MIN('Activities'!L586,414)-MAX('Activities'!K586,408))</x:f>
        <x:v>0</x:v>
      </x:c>
      <x:c r="BV586" s="22" t="n">
        <x:f>MAX(0,MIN('Activities'!L586,420)-MAX('Activities'!K586,414))</x:f>
        <x:v>0</x:v>
      </x:c>
      <x:c r="BW586" s="22" t="n">
        <x:f>MAX(0,MIN('Activities'!L586,426)-MAX('Activities'!K586,420))</x:f>
        <x:v>0</x:v>
      </x:c>
      <x:c r="BX586" s="22" t="n">
        <x:f>MAX(0,MIN('Activities'!L586,432)-MAX('Activities'!K586,426))</x:f>
        <x:v>0</x:v>
      </x:c>
      <x:c r="BY586" s="22" t="n">
        <x:f>MAX(0,MIN('Activities'!L586,438)-MAX('Activities'!K586,432))</x:f>
        <x:v>0</x:v>
      </x:c>
      <x:c r="BZ586" s="22" t="n">
        <x:f>MAX(0,MIN('Activities'!L586,444)-MAX('Activities'!K586,438))</x:f>
        <x:v>0</x:v>
      </x:c>
      <x:c r="CA586" s="22" t="n">
        <x:f>MAX(0,MIN('Activities'!L586,450)-MAX('Activities'!K586,444))</x:f>
        <x:v>0</x:v>
      </x:c>
      <x:c r="CB586" s="22" t="n">
        <x:f>MAX(0,MIN('Activities'!L586,456)-MAX('Activities'!K586,450))</x:f>
        <x:v>0</x:v>
      </x:c>
      <x:c r="CC586" s="22" t="n">
        <x:f>MAX(0,MIN('Activities'!L586,462)-MAX('Activities'!K586,456))</x:f>
        <x:v>0</x:v>
      </x:c>
      <x:c r="CD586" s="22" t="n">
        <x:f>MAX(0,MIN('Activities'!L586,468)-MAX('Activities'!K586,462))</x:f>
        <x:v>0</x:v>
      </x:c>
      <x:c r="CE586" s="22" t="n">
        <x:f>MAX(0,MIN('Activities'!L586,474)-MAX('Activities'!K586,468))</x:f>
        <x:v>0</x:v>
      </x:c>
      <x:c r="CF586" s="22" t="n">
        <x:f>MAX(0,MIN('Activities'!L586,480)-MAX('Activities'!K586,474))</x:f>
        <x:v>0</x:v>
      </x:c>
      <x:c r="CG586" s="22" t="n">
        <x:f>MAX(0,MIN('Activities'!L586,486)-MAX('Activities'!K586,480))</x:f>
        <x:v>0</x:v>
      </x:c>
      <x:c r="CH586" s="22" t="n">
        <x:f>MAX(0,MIN('Activities'!L586,492)-MAX('Activities'!K586,486))</x:f>
        <x:v>0</x:v>
      </x:c>
      <x:c r="CI586" s="22" t="n">
        <x:f>MAX(0,MIN('Activities'!L586,498)-MAX('Activities'!K586,492))</x:f>
        <x:v>0</x:v>
      </x:c>
      <x:c r="CJ586" s="22" t="n">
        <x:f>MAX(0,MIN('Activities'!L586,504)-MAX('Activities'!K586,498))</x:f>
        <x:v>0</x:v>
      </x:c>
      <x:c r="CK586" s="22" t="n">
        <x:f>MAX(0,MIN('Activities'!L586,510)-MAX('Activities'!K586,504))</x:f>
        <x:v>0</x:v>
      </x:c>
      <x:c r="CL586" s="22" t="n">
        <x:f>MAX(0,MIN('Activities'!L586,516)-MAX('Activities'!K586,510))</x:f>
        <x:v>0</x:v>
      </x:c>
      <x:c r="CM586" s="22" t="n">
        <x:f>MAX(0,MIN('Activities'!L586,522)-MAX('Activities'!K586,516))</x:f>
        <x:v>0</x:v>
      </x:c>
      <x:c r="CN586" s="22" t="n">
        <x:f>MAX(0,MIN('Activities'!L586,528)-MAX('Activities'!K586,522))</x:f>
        <x:v>0</x:v>
      </x:c>
      <x:c r="CO586" s="22" t="n">
        <x:f>MAX(0,MIN('Activities'!L586,534)-MAX('Activities'!K586,528))</x:f>
        <x:v>0</x:v>
      </x:c>
      <x:c r="CP586" s="22" t="n">
        <x:f>MAX(0,MIN('Activities'!L586,540)-MAX('Activities'!K586,534))</x:f>
        <x:v>0</x:v>
      </x:c>
      <x:c r="CQ586" s="22" t="n">
        <x:f>MAX(0,MIN('Activities'!L586,546)-MAX('Activities'!K586,540))</x:f>
        <x:v>0</x:v>
      </x:c>
      <x:c r="CR586" s="22" t="n">
        <x:f>MAX(0,MIN('Activities'!L586,552)-MAX('Activities'!K586,546))</x:f>
        <x:v>0</x:v>
      </x:c>
      <x:c r="CS586" s="22" t="n">
        <x:f>MAX(0,MIN('Activities'!L586,558)-MAX('Activities'!K586,552))</x:f>
        <x:v>0</x:v>
      </x:c>
      <x:c r="CT586" s="22" t="n">
        <x:f>MAX(0,MIN('Activities'!L586,564)-MAX('Activities'!K586,558))</x:f>
        <x:v>0</x:v>
      </x:c>
      <x:c r="CU586" s="22" t="n">
        <x:f>MAX(0,MIN('Activities'!L586,570)-MAX('Activities'!K586,564))</x:f>
        <x:v>0</x:v>
      </x:c>
      <x:c r="CV586" s="22" t="n">
        <x:f>MAX(0,MIN('Activities'!L586,576)-MAX('Activities'!K586,570))</x:f>
        <x:v>0</x:v>
      </x:c>
      <x:c r="CW586" s="22" t="n">
        <x:f>MAX(0,MIN('Activities'!L586,582)-MAX('Activities'!K586,576))</x:f>
        <x:v>0</x:v>
      </x:c>
      <x:c r="CX586" s="22" t="n">
        <x:f>MAX(0,MIN('Activities'!L586,588)-MAX('Activities'!K586,582))</x:f>
        <x:v>0</x:v>
      </x:c>
      <x:c r="CY586" s="22" t="n">
        <x:f>MAX(0,MIN('Activities'!L586,594)-MAX('Activities'!K586,588))</x:f>
        <x:v>0</x:v>
      </x:c>
      <x:c r="CZ586" s="22" t="n">
        <x:f>MAX(0,MIN('Activities'!L586,600)-MAX('Activities'!K586,594))</x:f>
        <x:v>0</x:v>
      </x:c>
      <x:c r="DA586" s="22" t="n">
        <x:f>MAX(0,MIN('Activities'!L586,606)-MAX('Activities'!K586,600))</x:f>
        <x:v>0</x:v>
      </x:c>
      <x:c r="DB586" s="22" t="n">
        <x:f>MAX(0,MIN('Activities'!L586,612)-MAX('Activities'!K586,606))</x:f>
        <x:v>0</x:v>
      </x:c>
      <x:c r="DC586" s="22" t="n">
        <x:f>MAX(0,MIN('Activities'!L586,618)-MAX('Activities'!K586,612))</x:f>
        <x:v>0</x:v>
      </x:c>
      <x:c r="DD586" s="22" t="n">
        <x:f>MAX(0,MIN('Activities'!L586,624)-MAX('Activities'!K586,618))</x:f>
        <x:v>0</x:v>
      </x:c>
      <x:c r="DE586" s="22" t="n">
        <x:f>MAX(0,MIN('Activities'!L586,630)-MAX('Activities'!K586,624))</x:f>
        <x:v>0</x:v>
      </x:c>
      <x:c r="DF586" s="22" t="n">
        <x:f>MAX(0,MIN('Activities'!L586,636)-MAX('Activities'!K586,630))</x:f>
        <x:v>0</x:v>
      </x:c>
    </x:row>
    <x:row r="587" ht="23" customHeight="1">
      <x:c r="A587" s="1" t="str">
        <x:v>T5-L09-H</x:v>
      </x:c>
      <x:c r="B587" s="1" t="str">
        <x:v>T5</x:v>
      </x:c>
      <x:c r="C587" s="1" t="str">
        <x:v>Curing and release hold point</x:v>
      </x:c>
      <x:c r="D587" s="1" t="str">
        <x:v>Site</x:v>
      </x:c>
      <x:c r="E587" s="23" t="n">
        <x:f>MAX(0,MIN('Activities'!L587,6)-MAX('Activities'!K587,0))</x:f>
        <x:v>0</x:v>
      </x:c>
      <x:c r="F587" s="23" t="n">
        <x:f>MAX(0,MIN('Activities'!L587,12)-MAX('Activities'!K587,6))</x:f>
        <x:v>0</x:v>
      </x:c>
      <x:c r="G587" s="23" t="n">
        <x:f>MAX(0,MIN('Activities'!L587,18)-MAX('Activities'!K587,12))</x:f>
        <x:v>0</x:v>
      </x:c>
      <x:c r="H587" s="23" t="n">
        <x:f>MAX(0,MIN('Activities'!L587,24)-MAX('Activities'!K587,18))</x:f>
        <x:v>0</x:v>
      </x:c>
      <x:c r="I587" s="23" t="n">
        <x:f>MAX(0,MIN('Activities'!L587,30)-MAX('Activities'!K587,24))</x:f>
        <x:v>0</x:v>
      </x:c>
      <x:c r="J587" s="23" t="n">
        <x:f>MAX(0,MIN('Activities'!L587,36)-MAX('Activities'!K587,30))</x:f>
        <x:v>0</x:v>
      </x:c>
      <x:c r="K587" s="23" t="n">
        <x:f>MAX(0,MIN('Activities'!L587,42)-MAX('Activities'!K587,36))</x:f>
        <x:v>0</x:v>
      </x:c>
      <x:c r="L587" s="23" t="n">
        <x:f>MAX(0,MIN('Activities'!L587,48)-MAX('Activities'!K587,42))</x:f>
        <x:v>0</x:v>
      </x:c>
      <x:c r="M587" s="23" t="n">
        <x:f>MAX(0,MIN('Activities'!L587,54)-MAX('Activities'!K587,48))</x:f>
        <x:v>0</x:v>
      </x:c>
      <x:c r="N587" s="23" t="n">
        <x:f>MAX(0,MIN('Activities'!L587,60)-MAX('Activities'!K587,54))</x:f>
        <x:v>0</x:v>
      </x:c>
      <x:c r="O587" s="23" t="n">
        <x:f>MAX(0,MIN('Activities'!L587,66)-MAX('Activities'!K587,60))</x:f>
        <x:v>0</x:v>
      </x:c>
      <x:c r="P587" s="23" t="n">
        <x:f>MAX(0,MIN('Activities'!L587,72)-MAX('Activities'!K587,66))</x:f>
        <x:v>0</x:v>
      </x:c>
      <x:c r="Q587" s="23" t="n">
        <x:f>MAX(0,MIN('Activities'!L587,78)-MAX('Activities'!K587,72))</x:f>
        <x:v>0</x:v>
      </x:c>
      <x:c r="R587" s="23" t="n">
        <x:f>MAX(0,MIN('Activities'!L587,84)-MAX('Activities'!K587,78))</x:f>
        <x:v>0</x:v>
      </x:c>
      <x:c r="S587" s="23" t="n">
        <x:f>MAX(0,MIN('Activities'!L587,90)-MAX('Activities'!K587,84))</x:f>
        <x:v>0</x:v>
      </x:c>
      <x:c r="T587" s="23" t="n">
        <x:f>MAX(0,MIN('Activities'!L587,96)-MAX('Activities'!K587,90))</x:f>
        <x:v>0</x:v>
      </x:c>
      <x:c r="U587" s="23" t="n">
        <x:f>MAX(0,MIN('Activities'!L587,102)-MAX('Activities'!K587,96))</x:f>
        <x:v>0</x:v>
      </x:c>
      <x:c r="V587" s="23" t="n">
        <x:f>MAX(0,MIN('Activities'!L587,108)-MAX('Activities'!K587,102))</x:f>
        <x:v>0</x:v>
      </x:c>
      <x:c r="W587" s="23" t="n">
        <x:f>MAX(0,MIN('Activities'!L587,114)-MAX('Activities'!K587,108))</x:f>
        <x:v>0</x:v>
      </x:c>
      <x:c r="X587" s="23" t="n">
        <x:f>MAX(0,MIN('Activities'!L587,120)-MAX('Activities'!K587,114))</x:f>
        <x:v>0</x:v>
      </x:c>
      <x:c r="Y587" s="23" t="n">
        <x:f>MAX(0,MIN('Activities'!L587,126)-MAX('Activities'!K587,120))</x:f>
        <x:v>0</x:v>
      </x:c>
      <x:c r="Z587" s="23" t="n">
        <x:f>MAX(0,MIN('Activities'!L587,132)-MAX('Activities'!K587,126))</x:f>
        <x:v>0</x:v>
      </x:c>
      <x:c r="AA587" s="23" t="n">
        <x:f>MAX(0,MIN('Activities'!L587,138)-MAX('Activities'!K587,132))</x:f>
        <x:v>0</x:v>
      </x:c>
      <x:c r="AB587" s="23" t="n">
        <x:f>MAX(0,MIN('Activities'!L587,144)-MAX('Activities'!K587,138))</x:f>
        <x:v>0</x:v>
      </x:c>
      <x:c r="AC587" s="23" t="n">
        <x:f>MAX(0,MIN('Activities'!L587,150)-MAX('Activities'!K587,144))</x:f>
        <x:v>0</x:v>
      </x:c>
      <x:c r="AD587" s="23" t="n">
        <x:f>MAX(0,MIN('Activities'!L587,156)-MAX('Activities'!K587,150))</x:f>
        <x:v>0</x:v>
      </x:c>
      <x:c r="AE587" s="23" t="n">
        <x:f>MAX(0,MIN('Activities'!L587,162)-MAX('Activities'!K587,156))</x:f>
        <x:v>0</x:v>
      </x:c>
      <x:c r="AF587" s="23" t="n">
        <x:f>MAX(0,MIN('Activities'!L587,168)-MAX('Activities'!K587,162))</x:f>
        <x:v>0</x:v>
      </x:c>
      <x:c r="AG587" s="23" t="n">
        <x:f>MAX(0,MIN('Activities'!L587,174)-MAX('Activities'!K587,168))</x:f>
        <x:v>0</x:v>
      </x:c>
      <x:c r="AH587" s="23" t="n">
        <x:f>MAX(0,MIN('Activities'!L587,180)-MAX('Activities'!K587,174))</x:f>
        <x:v>0</x:v>
      </x:c>
      <x:c r="AI587" s="23" t="n">
        <x:f>MAX(0,MIN('Activities'!L587,186)-MAX('Activities'!K587,180))</x:f>
        <x:v>0</x:v>
      </x:c>
      <x:c r="AJ587" s="23" t="n">
        <x:f>MAX(0,MIN('Activities'!L587,192)-MAX('Activities'!K587,186))</x:f>
        <x:v>0</x:v>
      </x:c>
      <x:c r="AK587" s="23" t="n">
        <x:f>MAX(0,MIN('Activities'!L587,198)-MAX('Activities'!K587,192))</x:f>
        <x:v>0</x:v>
      </x:c>
      <x:c r="AL587" s="23" t="n">
        <x:f>MAX(0,MIN('Activities'!L587,204)-MAX('Activities'!K587,198))</x:f>
        <x:v>0</x:v>
      </x:c>
      <x:c r="AM587" s="23" t="n">
        <x:f>MAX(0,MIN('Activities'!L587,210)-MAX('Activities'!K587,204))</x:f>
        <x:v>0</x:v>
      </x:c>
      <x:c r="AN587" s="23" t="n">
        <x:f>MAX(0,MIN('Activities'!L587,216)-MAX('Activities'!K587,210))</x:f>
        <x:v>0</x:v>
      </x:c>
      <x:c r="AO587" s="23" t="n">
        <x:f>MAX(0,MIN('Activities'!L587,222)-MAX('Activities'!K587,216))</x:f>
        <x:v>0</x:v>
      </x:c>
      <x:c r="AP587" s="23" t="n">
        <x:f>MAX(0,MIN('Activities'!L587,228)-MAX('Activities'!K587,222))</x:f>
        <x:v>0</x:v>
      </x:c>
      <x:c r="AQ587" s="23" t="n">
        <x:f>MAX(0,MIN('Activities'!L587,234)-MAX('Activities'!K587,228))</x:f>
        <x:v>0</x:v>
      </x:c>
      <x:c r="AR587" s="23" t="n">
        <x:f>MAX(0,MIN('Activities'!L587,240)-MAX('Activities'!K587,234))</x:f>
        <x:v>0</x:v>
      </x:c>
      <x:c r="AS587" s="23" t="n">
        <x:f>MAX(0,MIN('Activities'!L587,246)-MAX('Activities'!K587,240))</x:f>
        <x:v>0</x:v>
      </x:c>
      <x:c r="AT587" s="23" t="n">
        <x:f>MAX(0,MIN('Activities'!L587,252)-MAX('Activities'!K587,246))</x:f>
        <x:v>0</x:v>
      </x:c>
      <x:c r="AU587" s="23" t="n">
        <x:f>MAX(0,MIN('Activities'!L587,258)-MAX('Activities'!K587,252))</x:f>
        <x:v>0</x:v>
      </x:c>
      <x:c r="AV587" s="23" t="n">
        <x:f>MAX(0,MIN('Activities'!L587,264)-MAX('Activities'!K587,258))</x:f>
        <x:v>0</x:v>
      </x:c>
      <x:c r="AW587" s="23" t="n">
        <x:f>MAX(0,MIN('Activities'!L587,270)-MAX('Activities'!K587,264))</x:f>
        <x:v>0</x:v>
      </x:c>
      <x:c r="AX587" s="23" t="n">
        <x:f>MAX(0,MIN('Activities'!L587,276)-MAX('Activities'!K587,270))</x:f>
        <x:v>0</x:v>
      </x:c>
      <x:c r="AY587" s="23" t="n">
        <x:f>MAX(0,MIN('Activities'!L587,282)-MAX('Activities'!K587,276))</x:f>
        <x:v>0</x:v>
      </x:c>
      <x:c r="AZ587" s="23" t="n">
        <x:f>MAX(0,MIN('Activities'!L587,288)-MAX('Activities'!K587,282))</x:f>
        <x:v>0</x:v>
      </x:c>
      <x:c r="BA587" s="23" t="n">
        <x:f>MAX(0,MIN('Activities'!L587,294)-MAX('Activities'!K587,288))</x:f>
        <x:v>0</x:v>
      </x:c>
      <x:c r="BB587" s="23" t="n">
        <x:f>MAX(0,MIN('Activities'!L587,300)-MAX('Activities'!K587,294))</x:f>
        <x:v>0</x:v>
      </x:c>
      <x:c r="BC587" s="23" t="n">
        <x:f>MAX(0,MIN('Activities'!L587,306)-MAX('Activities'!K587,300))</x:f>
        <x:v>0</x:v>
      </x:c>
      <x:c r="BD587" s="23" t="n">
        <x:f>MAX(0,MIN('Activities'!L587,312)-MAX('Activities'!K587,306))</x:f>
        <x:v>0</x:v>
      </x:c>
      <x:c r="BE587" s="23" t="n">
        <x:f>MAX(0,MIN('Activities'!L587,318)-MAX('Activities'!K587,312))</x:f>
        <x:v>0</x:v>
      </x:c>
      <x:c r="BF587" s="23" t="n">
        <x:f>MAX(0,MIN('Activities'!L587,324)-MAX('Activities'!K587,318))</x:f>
        <x:v>0</x:v>
      </x:c>
      <x:c r="BG587" s="23" t="n">
        <x:f>MAX(0,MIN('Activities'!L587,330)-MAX('Activities'!K587,324))</x:f>
        <x:v>0</x:v>
      </x:c>
      <x:c r="BH587" s="23" t="n">
        <x:f>MAX(0,MIN('Activities'!L587,336)-MAX('Activities'!K587,330))</x:f>
        <x:v>0</x:v>
      </x:c>
      <x:c r="BI587" s="23" t="n">
        <x:f>MAX(0,MIN('Activities'!L587,342)-MAX('Activities'!K587,336))</x:f>
        <x:v>0</x:v>
      </x:c>
      <x:c r="BJ587" s="23" t="n">
        <x:f>MAX(0,MIN('Activities'!L587,348)-MAX('Activities'!K587,342))</x:f>
        <x:v>0</x:v>
      </x:c>
      <x:c r="BK587" s="23" t="n">
        <x:f>MAX(0,MIN('Activities'!L587,354)-MAX('Activities'!K587,348))</x:f>
        <x:v>0</x:v>
      </x:c>
      <x:c r="BL587" s="23" t="n">
        <x:f>MAX(0,MIN('Activities'!L587,360)-MAX('Activities'!K587,354))</x:f>
        <x:v>3</x:v>
      </x:c>
      <x:c r="BM587" s="23" t="n">
        <x:f>MAX(0,MIN('Activities'!L587,366)-MAX('Activities'!K587,360))</x:f>
        <x:v>2</x:v>
      </x:c>
      <x:c r="BN587" s="23" t="n">
        <x:f>MAX(0,MIN('Activities'!L587,372)-MAX('Activities'!K587,366))</x:f>
        <x:v>0</x:v>
      </x:c>
      <x:c r="BO587" s="23" t="n">
        <x:f>MAX(0,MIN('Activities'!L587,378)-MAX('Activities'!K587,372))</x:f>
        <x:v>0</x:v>
      </x:c>
      <x:c r="BP587" s="23" t="n">
        <x:f>MAX(0,MIN('Activities'!L587,384)-MAX('Activities'!K587,378))</x:f>
        <x:v>0</x:v>
      </x:c>
      <x:c r="BQ587" s="23" t="n">
        <x:f>MAX(0,MIN('Activities'!L587,390)-MAX('Activities'!K587,384))</x:f>
        <x:v>0</x:v>
      </x:c>
      <x:c r="BR587" s="23" t="n">
        <x:f>MAX(0,MIN('Activities'!L587,396)-MAX('Activities'!K587,390))</x:f>
        <x:v>0</x:v>
      </x:c>
      <x:c r="BS587" s="23" t="n">
        <x:f>MAX(0,MIN('Activities'!L587,402)-MAX('Activities'!K587,396))</x:f>
        <x:v>0</x:v>
      </x:c>
      <x:c r="BT587" s="23" t="n">
        <x:f>MAX(0,MIN('Activities'!L587,408)-MAX('Activities'!K587,402))</x:f>
        <x:v>0</x:v>
      </x:c>
      <x:c r="BU587" s="23" t="n">
        <x:f>MAX(0,MIN('Activities'!L587,414)-MAX('Activities'!K587,408))</x:f>
        <x:v>0</x:v>
      </x:c>
      <x:c r="BV587" s="23" t="n">
        <x:f>MAX(0,MIN('Activities'!L587,420)-MAX('Activities'!K587,414))</x:f>
        <x:v>0</x:v>
      </x:c>
      <x:c r="BW587" s="23" t="n">
        <x:f>MAX(0,MIN('Activities'!L587,426)-MAX('Activities'!K587,420))</x:f>
        <x:v>0</x:v>
      </x:c>
      <x:c r="BX587" s="23" t="n">
        <x:f>MAX(0,MIN('Activities'!L587,432)-MAX('Activities'!K587,426))</x:f>
        <x:v>0</x:v>
      </x:c>
      <x:c r="BY587" s="23" t="n">
        <x:f>MAX(0,MIN('Activities'!L587,438)-MAX('Activities'!K587,432))</x:f>
        <x:v>0</x:v>
      </x:c>
      <x:c r="BZ587" s="23" t="n">
        <x:f>MAX(0,MIN('Activities'!L587,444)-MAX('Activities'!K587,438))</x:f>
        <x:v>0</x:v>
      </x:c>
      <x:c r="CA587" s="23" t="n">
        <x:f>MAX(0,MIN('Activities'!L587,450)-MAX('Activities'!K587,444))</x:f>
        <x:v>0</x:v>
      </x:c>
      <x:c r="CB587" s="23" t="n">
        <x:f>MAX(0,MIN('Activities'!L587,456)-MAX('Activities'!K587,450))</x:f>
        <x:v>0</x:v>
      </x:c>
      <x:c r="CC587" s="23" t="n">
        <x:f>MAX(0,MIN('Activities'!L587,462)-MAX('Activities'!K587,456))</x:f>
        <x:v>0</x:v>
      </x:c>
      <x:c r="CD587" s="23" t="n">
        <x:f>MAX(0,MIN('Activities'!L587,468)-MAX('Activities'!K587,462))</x:f>
        <x:v>0</x:v>
      </x:c>
      <x:c r="CE587" s="23" t="n">
        <x:f>MAX(0,MIN('Activities'!L587,474)-MAX('Activities'!K587,468))</x:f>
        <x:v>0</x:v>
      </x:c>
      <x:c r="CF587" s="23" t="n">
        <x:f>MAX(0,MIN('Activities'!L587,480)-MAX('Activities'!K587,474))</x:f>
        <x:v>0</x:v>
      </x:c>
      <x:c r="CG587" s="23" t="n">
        <x:f>MAX(0,MIN('Activities'!L587,486)-MAX('Activities'!K587,480))</x:f>
        <x:v>0</x:v>
      </x:c>
      <x:c r="CH587" s="23" t="n">
        <x:f>MAX(0,MIN('Activities'!L587,492)-MAX('Activities'!K587,486))</x:f>
        <x:v>0</x:v>
      </x:c>
      <x:c r="CI587" s="23" t="n">
        <x:f>MAX(0,MIN('Activities'!L587,498)-MAX('Activities'!K587,492))</x:f>
        <x:v>0</x:v>
      </x:c>
      <x:c r="CJ587" s="23" t="n">
        <x:f>MAX(0,MIN('Activities'!L587,504)-MAX('Activities'!K587,498))</x:f>
        <x:v>0</x:v>
      </x:c>
      <x:c r="CK587" s="23" t="n">
        <x:f>MAX(0,MIN('Activities'!L587,510)-MAX('Activities'!K587,504))</x:f>
        <x:v>0</x:v>
      </x:c>
      <x:c r="CL587" s="23" t="n">
        <x:f>MAX(0,MIN('Activities'!L587,516)-MAX('Activities'!K587,510))</x:f>
        <x:v>0</x:v>
      </x:c>
      <x:c r="CM587" s="23" t="n">
        <x:f>MAX(0,MIN('Activities'!L587,522)-MAX('Activities'!K587,516))</x:f>
        <x:v>0</x:v>
      </x:c>
      <x:c r="CN587" s="23" t="n">
        <x:f>MAX(0,MIN('Activities'!L587,528)-MAX('Activities'!K587,522))</x:f>
        <x:v>0</x:v>
      </x:c>
      <x:c r="CO587" s="23" t="n">
        <x:f>MAX(0,MIN('Activities'!L587,534)-MAX('Activities'!K587,528))</x:f>
        <x:v>0</x:v>
      </x:c>
      <x:c r="CP587" s="23" t="n">
        <x:f>MAX(0,MIN('Activities'!L587,540)-MAX('Activities'!K587,534))</x:f>
        <x:v>0</x:v>
      </x:c>
      <x:c r="CQ587" s="23" t="n">
        <x:f>MAX(0,MIN('Activities'!L587,546)-MAX('Activities'!K587,540))</x:f>
        <x:v>0</x:v>
      </x:c>
      <x:c r="CR587" s="23" t="n">
        <x:f>MAX(0,MIN('Activities'!L587,552)-MAX('Activities'!K587,546))</x:f>
        <x:v>0</x:v>
      </x:c>
      <x:c r="CS587" s="23" t="n">
        <x:f>MAX(0,MIN('Activities'!L587,558)-MAX('Activities'!K587,552))</x:f>
        <x:v>0</x:v>
      </x:c>
      <x:c r="CT587" s="23" t="n">
        <x:f>MAX(0,MIN('Activities'!L587,564)-MAX('Activities'!K587,558))</x:f>
        <x:v>0</x:v>
      </x:c>
      <x:c r="CU587" s="23" t="n">
        <x:f>MAX(0,MIN('Activities'!L587,570)-MAX('Activities'!K587,564))</x:f>
        <x:v>0</x:v>
      </x:c>
      <x:c r="CV587" s="23" t="n">
        <x:f>MAX(0,MIN('Activities'!L587,576)-MAX('Activities'!K587,570))</x:f>
        <x:v>0</x:v>
      </x:c>
      <x:c r="CW587" s="23" t="n">
        <x:f>MAX(0,MIN('Activities'!L587,582)-MAX('Activities'!K587,576))</x:f>
        <x:v>0</x:v>
      </x:c>
      <x:c r="CX587" s="23" t="n">
        <x:f>MAX(0,MIN('Activities'!L587,588)-MAX('Activities'!K587,582))</x:f>
        <x:v>0</x:v>
      </x:c>
      <x:c r="CY587" s="23" t="n">
        <x:f>MAX(0,MIN('Activities'!L587,594)-MAX('Activities'!K587,588))</x:f>
        <x:v>0</x:v>
      </x:c>
      <x:c r="CZ587" s="23" t="n">
        <x:f>MAX(0,MIN('Activities'!L587,600)-MAX('Activities'!K587,594))</x:f>
        <x:v>0</x:v>
      </x:c>
      <x:c r="DA587" s="23" t="n">
        <x:f>MAX(0,MIN('Activities'!L587,606)-MAX('Activities'!K587,600))</x:f>
        <x:v>0</x:v>
      </x:c>
      <x:c r="DB587" s="23" t="n">
        <x:f>MAX(0,MIN('Activities'!L587,612)-MAX('Activities'!K587,606))</x:f>
        <x:v>0</x:v>
      </x:c>
      <x:c r="DC587" s="23" t="n">
        <x:f>MAX(0,MIN('Activities'!L587,618)-MAX('Activities'!K587,612))</x:f>
        <x:v>0</x:v>
      </x:c>
      <x:c r="DD587" s="23" t="n">
        <x:f>MAX(0,MIN('Activities'!L587,624)-MAX('Activities'!K587,618))</x:f>
        <x:v>0</x:v>
      </x:c>
      <x:c r="DE587" s="23" t="n">
        <x:f>MAX(0,MIN('Activities'!L587,630)-MAX('Activities'!K587,624))</x:f>
        <x:v>0</x:v>
      </x:c>
      <x:c r="DF587" s="23" t="n">
        <x:f>MAX(0,MIN('Activities'!L587,636)-MAX('Activities'!K587,630))</x:f>
        <x:v>0</x:v>
      </x:c>
    </x:row>
    <x:row r="588" ht="23" customHeight="1">
      <x:c r="A588" s="6" t="str">
        <x:v>T5-L10-F</x:v>
      </x:c>
      <x:c r="B588" s="6" t="str">
        <x:v>T5</x:v>
      </x:c>
      <x:c r="C588" s="6" t="str">
        <x:v>Columns, core and deck formwork</x:v>
      </x:c>
      <x:c r="D588" s="6" t="str">
        <x:v>Formwork</x:v>
      </x:c>
      <x:c r="E588" s="22" t="n">
        <x:f>MAX(0,MIN('Activities'!L588,6)-MAX('Activities'!K588,0))</x:f>
        <x:v>0</x:v>
      </x:c>
      <x:c r="F588" s="22" t="n">
        <x:f>MAX(0,MIN('Activities'!L588,12)-MAX('Activities'!K588,6))</x:f>
        <x:v>0</x:v>
      </x:c>
      <x:c r="G588" s="22" t="n">
        <x:f>MAX(0,MIN('Activities'!L588,18)-MAX('Activities'!K588,12))</x:f>
        <x:v>0</x:v>
      </x:c>
      <x:c r="H588" s="22" t="n">
        <x:f>MAX(0,MIN('Activities'!L588,24)-MAX('Activities'!K588,18))</x:f>
        <x:v>0</x:v>
      </x:c>
      <x:c r="I588" s="22" t="n">
        <x:f>MAX(0,MIN('Activities'!L588,30)-MAX('Activities'!K588,24))</x:f>
        <x:v>0</x:v>
      </x:c>
      <x:c r="J588" s="22" t="n">
        <x:f>MAX(0,MIN('Activities'!L588,36)-MAX('Activities'!K588,30))</x:f>
        <x:v>0</x:v>
      </x:c>
      <x:c r="K588" s="22" t="n">
        <x:f>MAX(0,MIN('Activities'!L588,42)-MAX('Activities'!K588,36))</x:f>
        <x:v>0</x:v>
      </x:c>
      <x:c r="L588" s="22" t="n">
        <x:f>MAX(0,MIN('Activities'!L588,48)-MAX('Activities'!K588,42))</x:f>
        <x:v>0</x:v>
      </x:c>
      <x:c r="M588" s="22" t="n">
        <x:f>MAX(0,MIN('Activities'!L588,54)-MAX('Activities'!K588,48))</x:f>
        <x:v>0</x:v>
      </x:c>
      <x:c r="N588" s="22" t="n">
        <x:f>MAX(0,MIN('Activities'!L588,60)-MAX('Activities'!K588,54))</x:f>
        <x:v>0</x:v>
      </x:c>
      <x:c r="O588" s="22" t="n">
        <x:f>MAX(0,MIN('Activities'!L588,66)-MAX('Activities'!K588,60))</x:f>
        <x:v>0</x:v>
      </x:c>
      <x:c r="P588" s="22" t="n">
        <x:f>MAX(0,MIN('Activities'!L588,72)-MAX('Activities'!K588,66))</x:f>
        <x:v>0</x:v>
      </x:c>
      <x:c r="Q588" s="22" t="n">
        <x:f>MAX(0,MIN('Activities'!L588,78)-MAX('Activities'!K588,72))</x:f>
        <x:v>0</x:v>
      </x:c>
      <x:c r="R588" s="22" t="n">
        <x:f>MAX(0,MIN('Activities'!L588,84)-MAX('Activities'!K588,78))</x:f>
        <x:v>0</x:v>
      </x:c>
      <x:c r="S588" s="22" t="n">
        <x:f>MAX(0,MIN('Activities'!L588,90)-MAX('Activities'!K588,84))</x:f>
        <x:v>0</x:v>
      </x:c>
      <x:c r="T588" s="22" t="n">
        <x:f>MAX(0,MIN('Activities'!L588,96)-MAX('Activities'!K588,90))</x:f>
        <x:v>0</x:v>
      </x:c>
      <x:c r="U588" s="22" t="n">
        <x:f>MAX(0,MIN('Activities'!L588,102)-MAX('Activities'!K588,96))</x:f>
        <x:v>0</x:v>
      </x:c>
      <x:c r="V588" s="22" t="n">
        <x:f>MAX(0,MIN('Activities'!L588,108)-MAX('Activities'!K588,102))</x:f>
        <x:v>0</x:v>
      </x:c>
      <x:c r="W588" s="22" t="n">
        <x:f>MAX(0,MIN('Activities'!L588,114)-MAX('Activities'!K588,108))</x:f>
        <x:v>0</x:v>
      </x:c>
      <x:c r="X588" s="22" t="n">
        <x:f>MAX(0,MIN('Activities'!L588,120)-MAX('Activities'!K588,114))</x:f>
        <x:v>0</x:v>
      </x:c>
      <x:c r="Y588" s="22" t="n">
        <x:f>MAX(0,MIN('Activities'!L588,126)-MAX('Activities'!K588,120))</x:f>
        <x:v>0</x:v>
      </x:c>
      <x:c r="Z588" s="22" t="n">
        <x:f>MAX(0,MIN('Activities'!L588,132)-MAX('Activities'!K588,126))</x:f>
        <x:v>0</x:v>
      </x:c>
      <x:c r="AA588" s="22" t="n">
        <x:f>MAX(0,MIN('Activities'!L588,138)-MAX('Activities'!K588,132))</x:f>
        <x:v>0</x:v>
      </x:c>
      <x:c r="AB588" s="22" t="n">
        <x:f>MAX(0,MIN('Activities'!L588,144)-MAX('Activities'!K588,138))</x:f>
        <x:v>0</x:v>
      </x:c>
      <x:c r="AC588" s="22" t="n">
        <x:f>MAX(0,MIN('Activities'!L588,150)-MAX('Activities'!K588,144))</x:f>
        <x:v>0</x:v>
      </x:c>
      <x:c r="AD588" s="22" t="n">
        <x:f>MAX(0,MIN('Activities'!L588,156)-MAX('Activities'!K588,150))</x:f>
        <x:v>0</x:v>
      </x:c>
      <x:c r="AE588" s="22" t="n">
        <x:f>MAX(0,MIN('Activities'!L588,162)-MAX('Activities'!K588,156))</x:f>
        <x:v>0</x:v>
      </x:c>
      <x:c r="AF588" s="22" t="n">
        <x:f>MAX(0,MIN('Activities'!L588,168)-MAX('Activities'!K588,162))</x:f>
        <x:v>0</x:v>
      </x:c>
      <x:c r="AG588" s="22" t="n">
        <x:f>MAX(0,MIN('Activities'!L588,174)-MAX('Activities'!K588,168))</x:f>
        <x:v>0</x:v>
      </x:c>
      <x:c r="AH588" s="22" t="n">
        <x:f>MAX(0,MIN('Activities'!L588,180)-MAX('Activities'!K588,174))</x:f>
        <x:v>0</x:v>
      </x:c>
      <x:c r="AI588" s="22" t="n">
        <x:f>MAX(0,MIN('Activities'!L588,186)-MAX('Activities'!K588,180))</x:f>
        <x:v>0</x:v>
      </x:c>
      <x:c r="AJ588" s="22" t="n">
        <x:f>MAX(0,MIN('Activities'!L588,192)-MAX('Activities'!K588,186))</x:f>
        <x:v>0</x:v>
      </x:c>
      <x:c r="AK588" s="22" t="n">
        <x:f>MAX(0,MIN('Activities'!L588,198)-MAX('Activities'!K588,192))</x:f>
        <x:v>0</x:v>
      </x:c>
      <x:c r="AL588" s="22" t="n">
        <x:f>MAX(0,MIN('Activities'!L588,204)-MAX('Activities'!K588,198))</x:f>
        <x:v>0</x:v>
      </x:c>
      <x:c r="AM588" s="22" t="n">
        <x:f>MAX(0,MIN('Activities'!L588,210)-MAX('Activities'!K588,204))</x:f>
        <x:v>0</x:v>
      </x:c>
      <x:c r="AN588" s="22" t="n">
        <x:f>MAX(0,MIN('Activities'!L588,216)-MAX('Activities'!K588,210))</x:f>
        <x:v>0</x:v>
      </x:c>
      <x:c r="AO588" s="22" t="n">
        <x:f>MAX(0,MIN('Activities'!L588,222)-MAX('Activities'!K588,216))</x:f>
        <x:v>0</x:v>
      </x:c>
      <x:c r="AP588" s="22" t="n">
        <x:f>MAX(0,MIN('Activities'!L588,228)-MAX('Activities'!K588,222))</x:f>
        <x:v>0</x:v>
      </x:c>
      <x:c r="AQ588" s="22" t="n">
        <x:f>MAX(0,MIN('Activities'!L588,234)-MAX('Activities'!K588,228))</x:f>
        <x:v>0</x:v>
      </x:c>
      <x:c r="AR588" s="22" t="n">
        <x:f>MAX(0,MIN('Activities'!L588,240)-MAX('Activities'!K588,234))</x:f>
        <x:v>0</x:v>
      </x:c>
      <x:c r="AS588" s="22" t="n">
        <x:f>MAX(0,MIN('Activities'!L588,246)-MAX('Activities'!K588,240))</x:f>
        <x:v>0</x:v>
      </x:c>
      <x:c r="AT588" s="22" t="n">
        <x:f>MAX(0,MIN('Activities'!L588,252)-MAX('Activities'!K588,246))</x:f>
        <x:v>0</x:v>
      </x:c>
      <x:c r="AU588" s="22" t="n">
        <x:f>MAX(0,MIN('Activities'!L588,258)-MAX('Activities'!K588,252))</x:f>
        <x:v>0</x:v>
      </x:c>
      <x:c r="AV588" s="22" t="n">
        <x:f>MAX(0,MIN('Activities'!L588,264)-MAX('Activities'!K588,258))</x:f>
        <x:v>0</x:v>
      </x:c>
      <x:c r="AW588" s="22" t="n">
        <x:f>MAX(0,MIN('Activities'!L588,270)-MAX('Activities'!K588,264))</x:f>
        <x:v>0</x:v>
      </x:c>
      <x:c r="AX588" s="22" t="n">
        <x:f>MAX(0,MIN('Activities'!L588,276)-MAX('Activities'!K588,270))</x:f>
        <x:v>0</x:v>
      </x:c>
      <x:c r="AY588" s="22" t="n">
        <x:f>MAX(0,MIN('Activities'!L588,282)-MAX('Activities'!K588,276))</x:f>
        <x:v>0</x:v>
      </x:c>
      <x:c r="AZ588" s="22" t="n">
        <x:f>MAX(0,MIN('Activities'!L588,288)-MAX('Activities'!K588,282))</x:f>
        <x:v>0</x:v>
      </x:c>
      <x:c r="BA588" s="22" t="n">
        <x:f>MAX(0,MIN('Activities'!L588,294)-MAX('Activities'!K588,288))</x:f>
        <x:v>0</x:v>
      </x:c>
      <x:c r="BB588" s="22" t="n">
        <x:f>MAX(0,MIN('Activities'!L588,300)-MAX('Activities'!K588,294))</x:f>
        <x:v>0</x:v>
      </x:c>
      <x:c r="BC588" s="22" t="n">
        <x:f>MAX(0,MIN('Activities'!L588,306)-MAX('Activities'!K588,300))</x:f>
        <x:v>0</x:v>
      </x:c>
      <x:c r="BD588" s="22" t="n">
        <x:f>MAX(0,MIN('Activities'!L588,312)-MAX('Activities'!K588,306))</x:f>
        <x:v>0</x:v>
      </x:c>
      <x:c r="BE588" s="22" t="n">
        <x:f>MAX(0,MIN('Activities'!L588,318)-MAX('Activities'!K588,312))</x:f>
        <x:v>0</x:v>
      </x:c>
      <x:c r="BF588" s="22" t="n">
        <x:f>MAX(0,MIN('Activities'!L588,324)-MAX('Activities'!K588,318))</x:f>
        <x:v>0</x:v>
      </x:c>
      <x:c r="BG588" s="22" t="n">
        <x:f>MAX(0,MIN('Activities'!L588,330)-MAX('Activities'!K588,324))</x:f>
        <x:v>0</x:v>
      </x:c>
      <x:c r="BH588" s="22" t="n">
        <x:f>MAX(0,MIN('Activities'!L588,336)-MAX('Activities'!K588,330))</x:f>
        <x:v>0</x:v>
      </x:c>
      <x:c r="BI588" s="22" t="n">
        <x:f>MAX(0,MIN('Activities'!L588,342)-MAX('Activities'!K588,336))</x:f>
        <x:v>0</x:v>
      </x:c>
      <x:c r="BJ588" s="22" t="n">
        <x:f>MAX(0,MIN('Activities'!L588,348)-MAX('Activities'!K588,342))</x:f>
        <x:v>0</x:v>
      </x:c>
      <x:c r="BK588" s="22" t="n">
        <x:f>MAX(0,MIN('Activities'!L588,354)-MAX('Activities'!K588,348))</x:f>
        <x:v>0</x:v>
      </x:c>
      <x:c r="BL588" s="22" t="n">
        <x:f>MAX(0,MIN('Activities'!L588,360)-MAX('Activities'!K588,354))</x:f>
        <x:v>0</x:v>
      </x:c>
      <x:c r="BM588" s="22" t="n">
        <x:f>MAX(0,MIN('Activities'!L588,366)-MAX('Activities'!K588,360))</x:f>
        <x:v>4</x:v>
      </x:c>
      <x:c r="BN588" s="22" t="n">
        <x:f>MAX(0,MIN('Activities'!L588,372)-MAX('Activities'!K588,366))</x:f>
        <x:v>2</x:v>
      </x:c>
      <x:c r="BO588" s="22" t="n">
        <x:f>MAX(0,MIN('Activities'!L588,378)-MAX('Activities'!K588,372))</x:f>
        <x:v>0</x:v>
      </x:c>
      <x:c r="BP588" s="22" t="n">
        <x:f>MAX(0,MIN('Activities'!L588,384)-MAX('Activities'!K588,378))</x:f>
        <x:v>0</x:v>
      </x:c>
      <x:c r="BQ588" s="22" t="n">
        <x:f>MAX(0,MIN('Activities'!L588,390)-MAX('Activities'!K588,384))</x:f>
        <x:v>0</x:v>
      </x:c>
      <x:c r="BR588" s="22" t="n">
        <x:f>MAX(0,MIN('Activities'!L588,396)-MAX('Activities'!K588,390))</x:f>
        <x:v>0</x:v>
      </x:c>
      <x:c r="BS588" s="22" t="n">
        <x:f>MAX(0,MIN('Activities'!L588,402)-MAX('Activities'!K588,396))</x:f>
        <x:v>0</x:v>
      </x:c>
      <x:c r="BT588" s="22" t="n">
        <x:f>MAX(0,MIN('Activities'!L588,408)-MAX('Activities'!K588,402))</x:f>
        <x:v>0</x:v>
      </x:c>
      <x:c r="BU588" s="22" t="n">
        <x:f>MAX(0,MIN('Activities'!L588,414)-MAX('Activities'!K588,408))</x:f>
        <x:v>0</x:v>
      </x:c>
      <x:c r="BV588" s="22" t="n">
        <x:f>MAX(0,MIN('Activities'!L588,420)-MAX('Activities'!K588,414))</x:f>
        <x:v>0</x:v>
      </x:c>
      <x:c r="BW588" s="22" t="n">
        <x:f>MAX(0,MIN('Activities'!L588,426)-MAX('Activities'!K588,420))</x:f>
        <x:v>0</x:v>
      </x:c>
      <x:c r="BX588" s="22" t="n">
        <x:f>MAX(0,MIN('Activities'!L588,432)-MAX('Activities'!K588,426))</x:f>
        <x:v>0</x:v>
      </x:c>
      <x:c r="BY588" s="22" t="n">
        <x:f>MAX(0,MIN('Activities'!L588,438)-MAX('Activities'!K588,432))</x:f>
        <x:v>0</x:v>
      </x:c>
      <x:c r="BZ588" s="22" t="n">
        <x:f>MAX(0,MIN('Activities'!L588,444)-MAX('Activities'!K588,438))</x:f>
        <x:v>0</x:v>
      </x:c>
      <x:c r="CA588" s="22" t="n">
        <x:f>MAX(0,MIN('Activities'!L588,450)-MAX('Activities'!K588,444))</x:f>
        <x:v>0</x:v>
      </x:c>
      <x:c r="CB588" s="22" t="n">
        <x:f>MAX(0,MIN('Activities'!L588,456)-MAX('Activities'!K588,450))</x:f>
        <x:v>0</x:v>
      </x:c>
      <x:c r="CC588" s="22" t="n">
        <x:f>MAX(0,MIN('Activities'!L588,462)-MAX('Activities'!K588,456))</x:f>
        <x:v>0</x:v>
      </x:c>
      <x:c r="CD588" s="22" t="n">
        <x:f>MAX(0,MIN('Activities'!L588,468)-MAX('Activities'!K588,462))</x:f>
        <x:v>0</x:v>
      </x:c>
      <x:c r="CE588" s="22" t="n">
        <x:f>MAX(0,MIN('Activities'!L588,474)-MAX('Activities'!K588,468))</x:f>
        <x:v>0</x:v>
      </x:c>
      <x:c r="CF588" s="22" t="n">
        <x:f>MAX(0,MIN('Activities'!L588,480)-MAX('Activities'!K588,474))</x:f>
        <x:v>0</x:v>
      </x:c>
      <x:c r="CG588" s="22" t="n">
        <x:f>MAX(0,MIN('Activities'!L588,486)-MAX('Activities'!K588,480))</x:f>
        <x:v>0</x:v>
      </x:c>
      <x:c r="CH588" s="22" t="n">
        <x:f>MAX(0,MIN('Activities'!L588,492)-MAX('Activities'!K588,486))</x:f>
        <x:v>0</x:v>
      </x:c>
      <x:c r="CI588" s="22" t="n">
        <x:f>MAX(0,MIN('Activities'!L588,498)-MAX('Activities'!K588,492))</x:f>
        <x:v>0</x:v>
      </x:c>
      <x:c r="CJ588" s="22" t="n">
        <x:f>MAX(0,MIN('Activities'!L588,504)-MAX('Activities'!K588,498))</x:f>
        <x:v>0</x:v>
      </x:c>
      <x:c r="CK588" s="22" t="n">
        <x:f>MAX(0,MIN('Activities'!L588,510)-MAX('Activities'!K588,504))</x:f>
        <x:v>0</x:v>
      </x:c>
      <x:c r="CL588" s="22" t="n">
        <x:f>MAX(0,MIN('Activities'!L588,516)-MAX('Activities'!K588,510))</x:f>
        <x:v>0</x:v>
      </x:c>
      <x:c r="CM588" s="22" t="n">
        <x:f>MAX(0,MIN('Activities'!L588,522)-MAX('Activities'!K588,516))</x:f>
        <x:v>0</x:v>
      </x:c>
      <x:c r="CN588" s="22" t="n">
        <x:f>MAX(0,MIN('Activities'!L588,528)-MAX('Activities'!K588,522))</x:f>
        <x:v>0</x:v>
      </x:c>
      <x:c r="CO588" s="22" t="n">
        <x:f>MAX(0,MIN('Activities'!L588,534)-MAX('Activities'!K588,528))</x:f>
        <x:v>0</x:v>
      </x:c>
      <x:c r="CP588" s="22" t="n">
        <x:f>MAX(0,MIN('Activities'!L588,540)-MAX('Activities'!K588,534))</x:f>
        <x:v>0</x:v>
      </x:c>
      <x:c r="CQ588" s="22" t="n">
        <x:f>MAX(0,MIN('Activities'!L588,546)-MAX('Activities'!K588,540))</x:f>
        <x:v>0</x:v>
      </x:c>
      <x:c r="CR588" s="22" t="n">
        <x:f>MAX(0,MIN('Activities'!L588,552)-MAX('Activities'!K588,546))</x:f>
        <x:v>0</x:v>
      </x:c>
      <x:c r="CS588" s="22" t="n">
        <x:f>MAX(0,MIN('Activities'!L588,558)-MAX('Activities'!K588,552))</x:f>
        <x:v>0</x:v>
      </x:c>
      <x:c r="CT588" s="22" t="n">
        <x:f>MAX(0,MIN('Activities'!L588,564)-MAX('Activities'!K588,558))</x:f>
        <x:v>0</x:v>
      </x:c>
      <x:c r="CU588" s="22" t="n">
        <x:f>MAX(0,MIN('Activities'!L588,570)-MAX('Activities'!K588,564))</x:f>
        <x:v>0</x:v>
      </x:c>
      <x:c r="CV588" s="22" t="n">
        <x:f>MAX(0,MIN('Activities'!L588,576)-MAX('Activities'!K588,570))</x:f>
        <x:v>0</x:v>
      </x:c>
      <x:c r="CW588" s="22" t="n">
        <x:f>MAX(0,MIN('Activities'!L588,582)-MAX('Activities'!K588,576))</x:f>
        <x:v>0</x:v>
      </x:c>
      <x:c r="CX588" s="22" t="n">
        <x:f>MAX(0,MIN('Activities'!L588,588)-MAX('Activities'!K588,582))</x:f>
        <x:v>0</x:v>
      </x:c>
      <x:c r="CY588" s="22" t="n">
        <x:f>MAX(0,MIN('Activities'!L588,594)-MAX('Activities'!K588,588))</x:f>
        <x:v>0</x:v>
      </x:c>
      <x:c r="CZ588" s="22" t="n">
        <x:f>MAX(0,MIN('Activities'!L588,600)-MAX('Activities'!K588,594))</x:f>
        <x:v>0</x:v>
      </x:c>
      <x:c r="DA588" s="22" t="n">
        <x:f>MAX(0,MIN('Activities'!L588,606)-MAX('Activities'!K588,600))</x:f>
        <x:v>0</x:v>
      </x:c>
      <x:c r="DB588" s="22" t="n">
        <x:f>MAX(0,MIN('Activities'!L588,612)-MAX('Activities'!K588,606))</x:f>
        <x:v>0</x:v>
      </x:c>
      <x:c r="DC588" s="22" t="n">
        <x:f>MAX(0,MIN('Activities'!L588,618)-MAX('Activities'!K588,612))</x:f>
        <x:v>0</x:v>
      </x:c>
      <x:c r="DD588" s="22" t="n">
        <x:f>MAX(0,MIN('Activities'!L588,624)-MAX('Activities'!K588,618))</x:f>
        <x:v>0</x:v>
      </x:c>
      <x:c r="DE588" s="22" t="n">
        <x:f>MAX(0,MIN('Activities'!L588,630)-MAX('Activities'!K588,624))</x:f>
        <x:v>0</x:v>
      </x:c>
      <x:c r="DF588" s="22" t="n">
        <x:f>MAX(0,MIN('Activities'!L588,636)-MAX('Activities'!K588,630))</x:f>
        <x:v>0</x:v>
      </x:c>
    </x:row>
    <x:row r="589" ht="23" customHeight="1">
      <x:c r="A589" s="1" t="str">
        <x:v>T5-L10-R</x:v>
      </x:c>
      <x:c r="B589" s="1" t="str">
        <x:v>T5</x:v>
      </x:c>
      <x:c r="C589" s="1" t="str">
        <x:v>Column, wall, beam and slab reinforcement</x:v>
      </x:c>
      <x:c r="D589" s="1" t="str">
        <x:v>Rebar</x:v>
      </x:c>
      <x:c r="E589" s="23" t="n">
        <x:f>MAX(0,MIN('Activities'!L589,6)-MAX('Activities'!K589,0))</x:f>
        <x:v>0</x:v>
      </x:c>
      <x:c r="F589" s="23" t="n">
        <x:f>MAX(0,MIN('Activities'!L589,12)-MAX('Activities'!K589,6))</x:f>
        <x:v>0</x:v>
      </x:c>
      <x:c r="G589" s="23" t="n">
        <x:f>MAX(0,MIN('Activities'!L589,18)-MAX('Activities'!K589,12))</x:f>
        <x:v>0</x:v>
      </x:c>
      <x:c r="H589" s="23" t="n">
        <x:f>MAX(0,MIN('Activities'!L589,24)-MAX('Activities'!K589,18))</x:f>
        <x:v>0</x:v>
      </x:c>
      <x:c r="I589" s="23" t="n">
        <x:f>MAX(0,MIN('Activities'!L589,30)-MAX('Activities'!K589,24))</x:f>
        <x:v>0</x:v>
      </x:c>
      <x:c r="J589" s="23" t="n">
        <x:f>MAX(0,MIN('Activities'!L589,36)-MAX('Activities'!K589,30))</x:f>
        <x:v>0</x:v>
      </x:c>
      <x:c r="K589" s="23" t="n">
        <x:f>MAX(0,MIN('Activities'!L589,42)-MAX('Activities'!K589,36))</x:f>
        <x:v>0</x:v>
      </x:c>
      <x:c r="L589" s="23" t="n">
        <x:f>MAX(0,MIN('Activities'!L589,48)-MAX('Activities'!K589,42))</x:f>
        <x:v>0</x:v>
      </x:c>
      <x:c r="M589" s="23" t="n">
        <x:f>MAX(0,MIN('Activities'!L589,54)-MAX('Activities'!K589,48))</x:f>
        <x:v>0</x:v>
      </x:c>
      <x:c r="N589" s="23" t="n">
        <x:f>MAX(0,MIN('Activities'!L589,60)-MAX('Activities'!K589,54))</x:f>
        <x:v>0</x:v>
      </x:c>
      <x:c r="O589" s="23" t="n">
        <x:f>MAX(0,MIN('Activities'!L589,66)-MAX('Activities'!K589,60))</x:f>
        <x:v>0</x:v>
      </x:c>
      <x:c r="P589" s="23" t="n">
        <x:f>MAX(0,MIN('Activities'!L589,72)-MAX('Activities'!K589,66))</x:f>
        <x:v>0</x:v>
      </x:c>
      <x:c r="Q589" s="23" t="n">
        <x:f>MAX(0,MIN('Activities'!L589,78)-MAX('Activities'!K589,72))</x:f>
        <x:v>0</x:v>
      </x:c>
      <x:c r="R589" s="23" t="n">
        <x:f>MAX(0,MIN('Activities'!L589,84)-MAX('Activities'!K589,78))</x:f>
        <x:v>0</x:v>
      </x:c>
      <x:c r="S589" s="23" t="n">
        <x:f>MAX(0,MIN('Activities'!L589,90)-MAX('Activities'!K589,84))</x:f>
        <x:v>0</x:v>
      </x:c>
      <x:c r="T589" s="23" t="n">
        <x:f>MAX(0,MIN('Activities'!L589,96)-MAX('Activities'!K589,90))</x:f>
        <x:v>0</x:v>
      </x:c>
      <x:c r="U589" s="23" t="n">
        <x:f>MAX(0,MIN('Activities'!L589,102)-MAX('Activities'!K589,96))</x:f>
        <x:v>0</x:v>
      </x:c>
      <x:c r="V589" s="23" t="n">
        <x:f>MAX(0,MIN('Activities'!L589,108)-MAX('Activities'!K589,102))</x:f>
        <x:v>0</x:v>
      </x:c>
      <x:c r="W589" s="23" t="n">
        <x:f>MAX(0,MIN('Activities'!L589,114)-MAX('Activities'!K589,108))</x:f>
        <x:v>0</x:v>
      </x:c>
      <x:c r="X589" s="23" t="n">
        <x:f>MAX(0,MIN('Activities'!L589,120)-MAX('Activities'!K589,114))</x:f>
        <x:v>0</x:v>
      </x:c>
      <x:c r="Y589" s="23" t="n">
        <x:f>MAX(0,MIN('Activities'!L589,126)-MAX('Activities'!K589,120))</x:f>
        <x:v>0</x:v>
      </x:c>
      <x:c r="Z589" s="23" t="n">
        <x:f>MAX(0,MIN('Activities'!L589,132)-MAX('Activities'!K589,126))</x:f>
        <x:v>0</x:v>
      </x:c>
      <x:c r="AA589" s="23" t="n">
        <x:f>MAX(0,MIN('Activities'!L589,138)-MAX('Activities'!K589,132))</x:f>
        <x:v>0</x:v>
      </x:c>
      <x:c r="AB589" s="23" t="n">
        <x:f>MAX(0,MIN('Activities'!L589,144)-MAX('Activities'!K589,138))</x:f>
        <x:v>0</x:v>
      </x:c>
      <x:c r="AC589" s="23" t="n">
        <x:f>MAX(0,MIN('Activities'!L589,150)-MAX('Activities'!K589,144))</x:f>
        <x:v>0</x:v>
      </x:c>
      <x:c r="AD589" s="23" t="n">
        <x:f>MAX(0,MIN('Activities'!L589,156)-MAX('Activities'!K589,150))</x:f>
        <x:v>0</x:v>
      </x:c>
      <x:c r="AE589" s="23" t="n">
        <x:f>MAX(0,MIN('Activities'!L589,162)-MAX('Activities'!K589,156))</x:f>
        <x:v>0</x:v>
      </x:c>
      <x:c r="AF589" s="23" t="n">
        <x:f>MAX(0,MIN('Activities'!L589,168)-MAX('Activities'!K589,162))</x:f>
        <x:v>0</x:v>
      </x:c>
      <x:c r="AG589" s="23" t="n">
        <x:f>MAX(0,MIN('Activities'!L589,174)-MAX('Activities'!K589,168))</x:f>
        <x:v>0</x:v>
      </x:c>
      <x:c r="AH589" s="23" t="n">
        <x:f>MAX(0,MIN('Activities'!L589,180)-MAX('Activities'!K589,174))</x:f>
        <x:v>0</x:v>
      </x:c>
      <x:c r="AI589" s="23" t="n">
        <x:f>MAX(0,MIN('Activities'!L589,186)-MAX('Activities'!K589,180))</x:f>
        <x:v>0</x:v>
      </x:c>
      <x:c r="AJ589" s="23" t="n">
        <x:f>MAX(0,MIN('Activities'!L589,192)-MAX('Activities'!K589,186))</x:f>
        <x:v>0</x:v>
      </x:c>
      <x:c r="AK589" s="23" t="n">
        <x:f>MAX(0,MIN('Activities'!L589,198)-MAX('Activities'!K589,192))</x:f>
        <x:v>0</x:v>
      </x:c>
      <x:c r="AL589" s="23" t="n">
        <x:f>MAX(0,MIN('Activities'!L589,204)-MAX('Activities'!K589,198))</x:f>
        <x:v>0</x:v>
      </x:c>
      <x:c r="AM589" s="23" t="n">
        <x:f>MAX(0,MIN('Activities'!L589,210)-MAX('Activities'!K589,204))</x:f>
        <x:v>0</x:v>
      </x:c>
      <x:c r="AN589" s="23" t="n">
        <x:f>MAX(0,MIN('Activities'!L589,216)-MAX('Activities'!K589,210))</x:f>
        <x:v>0</x:v>
      </x:c>
      <x:c r="AO589" s="23" t="n">
        <x:f>MAX(0,MIN('Activities'!L589,222)-MAX('Activities'!K589,216))</x:f>
        <x:v>0</x:v>
      </x:c>
      <x:c r="AP589" s="23" t="n">
        <x:f>MAX(0,MIN('Activities'!L589,228)-MAX('Activities'!K589,222))</x:f>
        <x:v>0</x:v>
      </x:c>
      <x:c r="AQ589" s="23" t="n">
        <x:f>MAX(0,MIN('Activities'!L589,234)-MAX('Activities'!K589,228))</x:f>
        <x:v>0</x:v>
      </x:c>
      <x:c r="AR589" s="23" t="n">
        <x:f>MAX(0,MIN('Activities'!L589,240)-MAX('Activities'!K589,234))</x:f>
        <x:v>0</x:v>
      </x:c>
      <x:c r="AS589" s="23" t="n">
        <x:f>MAX(0,MIN('Activities'!L589,246)-MAX('Activities'!K589,240))</x:f>
        <x:v>0</x:v>
      </x:c>
      <x:c r="AT589" s="23" t="n">
        <x:f>MAX(0,MIN('Activities'!L589,252)-MAX('Activities'!K589,246))</x:f>
        <x:v>0</x:v>
      </x:c>
      <x:c r="AU589" s="23" t="n">
        <x:f>MAX(0,MIN('Activities'!L589,258)-MAX('Activities'!K589,252))</x:f>
        <x:v>0</x:v>
      </x:c>
      <x:c r="AV589" s="23" t="n">
        <x:f>MAX(0,MIN('Activities'!L589,264)-MAX('Activities'!K589,258))</x:f>
        <x:v>0</x:v>
      </x:c>
      <x:c r="AW589" s="23" t="n">
        <x:f>MAX(0,MIN('Activities'!L589,270)-MAX('Activities'!K589,264))</x:f>
        <x:v>0</x:v>
      </x:c>
      <x:c r="AX589" s="23" t="n">
        <x:f>MAX(0,MIN('Activities'!L589,276)-MAX('Activities'!K589,270))</x:f>
        <x:v>0</x:v>
      </x:c>
      <x:c r="AY589" s="23" t="n">
        <x:f>MAX(0,MIN('Activities'!L589,282)-MAX('Activities'!K589,276))</x:f>
        <x:v>0</x:v>
      </x:c>
      <x:c r="AZ589" s="23" t="n">
        <x:f>MAX(0,MIN('Activities'!L589,288)-MAX('Activities'!K589,282))</x:f>
        <x:v>0</x:v>
      </x:c>
      <x:c r="BA589" s="23" t="n">
        <x:f>MAX(0,MIN('Activities'!L589,294)-MAX('Activities'!K589,288))</x:f>
        <x:v>0</x:v>
      </x:c>
      <x:c r="BB589" s="23" t="n">
        <x:f>MAX(0,MIN('Activities'!L589,300)-MAX('Activities'!K589,294))</x:f>
        <x:v>0</x:v>
      </x:c>
      <x:c r="BC589" s="23" t="n">
        <x:f>MAX(0,MIN('Activities'!L589,306)-MAX('Activities'!K589,300))</x:f>
        <x:v>0</x:v>
      </x:c>
      <x:c r="BD589" s="23" t="n">
        <x:f>MAX(0,MIN('Activities'!L589,312)-MAX('Activities'!K589,306))</x:f>
        <x:v>0</x:v>
      </x:c>
      <x:c r="BE589" s="23" t="n">
        <x:f>MAX(0,MIN('Activities'!L589,318)-MAX('Activities'!K589,312))</x:f>
        <x:v>0</x:v>
      </x:c>
      <x:c r="BF589" s="23" t="n">
        <x:f>MAX(0,MIN('Activities'!L589,324)-MAX('Activities'!K589,318))</x:f>
        <x:v>0</x:v>
      </x:c>
      <x:c r="BG589" s="23" t="n">
        <x:f>MAX(0,MIN('Activities'!L589,330)-MAX('Activities'!K589,324))</x:f>
        <x:v>0</x:v>
      </x:c>
      <x:c r="BH589" s="23" t="n">
        <x:f>MAX(0,MIN('Activities'!L589,336)-MAX('Activities'!K589,330))</x:f>
        <x:v>0</x:v>
      </x:c>
      <x:c r="BI589" s="23" t="n">
        <x:f>MAX(0,MIN('Activities'!L589,342)-MAX('Activities'!K589,336))</x:f>
        <x:v>0</x:v>
      </x:c>
      <x:c r="BJ589" s="23" t="n">
        <x:f>MAX(0,MIN('Activities'!L589,348)-MAX('Activities'!K589,342))</x:f>
        <x:v>0</x:v>
      </x:c>
      <x:c r="BK589" s="23" t="n">
        <x:f>MAX(0,MIN('Activities'!L589,354)-MAX('Activities'!K589,348))</x:f>
        <x:v>0</x:v>
      </x:c>
      <x:c r="BL589" s="23" t="n">
        <x:f>MAX(0,MIN('Activities'!L589,360)-MAX('Activities'!K589,354))</x:f>
        <x:v>0</x:v>
      </x:c>
      <x:c r="BM589" s="23" t="n">
        <x:f>MAX(0,MIN('Activities'!L589,366)-MAX('Activities'!K589,360))</x:f>
        <x:v>0</x:v>
      </x:c>
      <x:c r="BN589" s="23" t="n">
        <x:f>MAX(0,MIN('Activities'!L589,372)-MAX('Activities'!K589,366))</x:f>
        <x:v>4</x:v>
      </x:c>
      <x:c r="BO589" s="23" t="n">
        <x:f>MAX(0,MIN('Activities'!L589,378)-MAX('Activities'!K589,372))</x:f>
        <x:v>1</x:v>
      </x:c>
      <x:c r="BP589" s="23" t="n">
        <x:f>MAX(0,MIN('Activities'!L589,384)-MAX('Activities'!K589,378))</x:f>
        <x:v>0</x:v>
      </x:c>
      <x:c r="BQ589" s="23" t="n">
        <x:f>MAX(0,MIN('Activities'!L589,390)-MAX('Activities'!K589,384))</x:f>
        <x:v>0</x:v>
      </x:c>
      <x:c r="BR589" s="23" t="n">
        <x:f>MAX(0,MIN('Activities'!L589,396)-MAX('Activities'!K589,390))</x:f>
        <x:v>0</x:v>
      </x:c>
      <x:c r="BS589" s="23" t="n">
        <x:f>MAX(0,MIN('Activities'!L589,402)-MAX('Activities'!K589,396))</x:f>
        <x:v>0</x:v>
      </x:c>
      <x:c r="BT589" s="23" t="n">
        <x:f>MAX(0,MIN('Activities'!L589,408)-MAX('Activities'!K589,402))</x:f>
        <x:v>0</x:v>
      </x:c>
      <x:c r="BU589" s="23" t="n">
        <x:f>MAX(0,MIN('Activities'!L589,414)-MAX('Activities'!K589,408))</x:f>
        <x:v>0</x:v>
      </x:c>
      <x:c r="BV589" s="23" t="n">
        <x:f>MAX(0,MIN('Activities'!L589,420)-MAX('Activities'!K589,414))</x:f>
        <x:v>0</x:v>
      </x:c>
      <x:c r="BW589" s="23" t="n">
        <x:f>MAX(0,MIN('Activities'!L589,426)-MAX('Activities'!K589,420))</x:f>
        <x:v>0</x:v>
      </x:c>
      <x:c r="BX589" s="23" t="n">
        <x:f>MAX(0,MIN('Activities'!L589,432)-MAX('Activities'!K589,426))</x:f>
        <x:v>0</x:v>
      </x:c>
      <x:c r="BY589" s="23" t="n">
        <x:f>MAX(0,MIN('Activities'!L589,438)-MAX('Activities'!K589,432))</x:f>
        <x:v>0</x:v>
      </x:c>
      <x:c r="BZ589" s="23" t="n">
        <x:f>MAX(0,MIN('Activities'!L589,444)-MAX('Activities'!K589,438))</x:f>
        <x:v>0</x:v>
      </x:c>
      <x:c r="CA589" s="23" t="n">
        <x:f>MAX(0,MIN('Activities'!L589,450)-MAX('Activities'!K589,444))</x:f>
        <x:v>0</x:v>
      </x:c>
      <x:c r="CB589" s="23" t="n">
        <x:f>MAX(0,MIN('Activities'!L589,456)-MAX('Activities'!K589,450))</x:f>
        <x:v>0</x:v>
      </x:c>
      <x:c r="CC589" s="23" t="n">
        <x:f>MAX(0,MIN('Activities'!L589,462)-MAX('Activities'!K589,456))</x:f>
        <x:v>0</x:v>
      </x:c>
      <x:c r="CD589" s="23" t="n">
        <x:f>MAX(0,MIN('Activities'!L589,468)-MAX('Activities'!K589,462))</x:f>
        <x:v>0</x:v>
      </x:c>
      <x:c r="CE589" s="23" t="n">
        <x:f>MAX(0,MIN('Activities'!L589,474)-MAX('Activities'!K589,468))</x:f>
        <x:v>0</x:v>
      </x:c>
      <x:c r="CF589" s="23" t="n">
        <x:f>MAX(0,MIN('Activities'!L589,480)-MAX('Activities'!K589,474))</x:f>
        <x:v>0</x:v>
      </x:c>
      <x:c r="CG589" s="23" t="n">
        <x:f>MAX(0,MIN('Activities'!L589,486)-MAX('Activities'!K589,480))</x:f>
        <x:v>0</x:v>
      </x:c>
      <x:c r="CH589" s="23" t="n">
        <x:f>MAX(0,MIN('Activities'!L589,492)-MAX('Activities'!K589,486))</x:f>
        <x:v>0</x:v>
      </x:c>
      <x:c r="CI589" s="23" t="n">
        <x:f>MAX(0,MIN('Activities'!L589,498)-MAX('Activities'!K589,492))</x:f>
        <x:v>0</x:v>
      </x:c>
      <x:c r="CJ589" s="23" t="n">
        <x:f>MAX(0,MIN('Activities'!L589,504)-MAX('Activities'!K589,498))</x:f>
        <x:v>0</x:v>
      </x:c>
      <x:c r="CK589" s="23" t="n">
        <x:f>MAX(0,MIN('Activities'!L589,510)-MAX('Activities'!K589,504))</x:f>
        <x:v>0</x:v>
      </x:c>
      <x:c r="CL589" s="23" t="n">
        <x:f>MAX(0,MIN('Activities'!L589,516)-MAX('Activities'!K589,510))</x:f>
        <x:v>0</x:v>
      </x:c>
      <x:c r="CM589" s="23" t="n">
        <x:f>MAX(0,MIN('Activities'!L589,522)-MAX('Activities'!K589,516))</x:f>
        <x:v>0</x:v>
      </x:c>
      <x:c r="CN589" s="23" t="n">
        <x:f>MAX(0,MIN('Activities'!L589,528)-MAX('Activities'!K589,522))</x:f>
        <x:v>0</x:v>
      </x:c>
      <x:c r="CO589" s="23" t="n">
        <x:f>MAX(0,MIN('Activities'!L589,534)-MAX('Activities'!K589,528))</x:f>
        <x:v>0</x:v>
      </x:c>
      <x:c r="CP589" s="23" t="n">
        <x:f>MAX(0,MIN('Activities'!L589,540)-MAX('Activities'!K589,534))</x:f>
        <x:v>0</x:v>
      </x:c>
      <x:c r="CQ589" s="23" t="n">
        <x:f>MAX(0,MIN('Activities'!L589,546)-MAX('Activities'!K589,540))</x:f>
        <x:v>0</x:v>
      </x:c>
      <x:c r="CR589" s="23" t="n">
        <x:f>MAX(0,MIN('Activities'!L589,552)-MAX('Activities'!K589,546))</x:f>
        <x:v>0</x:v>
      </x:c>
      <x:c r="CS589" s="23" t="n">
        <x:f>MAX(0,MIN('Activities'!L589,558)-MAX('Activities'!K589,552))</x:f>
        <x:v>0</x:v>
      </x:c>
      <x:c r="CT589" s="23" t="n">
        <x:f>MAX(0,MIN('Activities'!L589,564)-MAX('Activities'!K589,558))</x:f>
        <x:v>0</x:v>
      </x:c>
      <x:c r="CU589" s="23" t="n">
        <x:f>MAX(0,MIN('Activities'!L589,570)-MAX('Activities'!K589,564))</x:f>
        <x:v>0</x:v>
      </x:c>
      <x:c r="CV589" s="23" t="n">
        <x:f>MAX(0,MIN('Activities'!L589,576)-MAX('Activities'!K589,570))</x:f>
        <x:v>0</x:v>
      </x:c>
      <x:c r="CW589" s="23" t="n">
        <x:f>MAX(0,MIN('Activities'!L589,582)-MAX('Activities'!K589,576))</x:f>
        <x:v>0</x:v>
      </x:c>
      <x:c r="CX589" s="23" t="n">
        <x:f>MAX(0,MIN('Activities'!L589,588)-MAX('Activities'!K589,582))</x:f>
        <x:v>0</x:v>
      </x:c>
      <x:c r="CY589" s="23" t="n">
        <x:f>MAX(0,MIN('Activities'!L589,594)-MAX('Activities'!K589,588))</x:f>
        <x:v>0</x:v>
      </x:c>
      <x:c r="CZ589" s="23" t="n">
        <x:f>MAX(0,MIN('Activities'!L589,600)-MAX('Activities'!K589,594))</x:f>
        <x:v>0</x:v>
      </x:c>
      <x:c r="DA589" s="23" t="n">
        <x:f>MAX(0,MIN('Activities'!L589,606)-MAX('Activities'!K589,600))</x:f>
        <x:v>0</x:v>
      </x:c>
      <x:c r="DB589" s="23" t="n">
        <x:f>MAX(0,MIN('Activities'!L589,612)-MAX('Activities'!K589,606))</x:f>
        <x:v>0</x:v>
      </x:c>
      <x:c r="DC589" s="23" t="n">
        <x:f>MAX(0,MIN('Activities'!L589,618)-MAX('Activities'!K589,612))</x:f>
        <x:v>0</x:v>
      </x:c>
      <x:c r="DD589" s="23" t="n">
        <x:f>MAX(0,MIN('Activities'!L589,624)-MAX('Activities'!K589,618))</x:f>
        <x:v>0</x:v>
      </x:c>
      <x:c r="DE589" s="23" t="n">
        <x:f>MAX(0,MIN('Activities'!L589,630)-MAX('Activities'!K589,624))</x:f>
        <x:v>0</x:v>
      </x:c>
      <x:c r="DF589" s="23" t="n">
        <x:f>MAX(0,MIN('Activities'!L589,636)-MAX('Activities'!K589,630))</x:f>
        <x:v>0</x:v>
      </x:c>
    </x:row>
    <x:row r="590" ht="23" customHeight="1">
      <x:c r="A590" s="6" t="str">
        <x:v>T5-L10-C</x:v>
      </x:c>
      <x:c r="B590" s="6" t="str">
        <x:v>T5</x:v>
      </x:c>
      <x:c r="C590" s="6" t="str">
        <x:v>Concrete placement and finishing</x:v>
      </x:c>
      <x:c r="D590" s="6" t="str">
        <x:v>Concrete</x:v>
      </x:c>
      <x:c r="E590" s="22" t="n">
        <x:f>MAX(0,MIN('Activities'!L590,6)-MAX('Activities'!K590,0))</x:f>
        <x:v>0</x:v>
      </x:c>
      <x:c r="F590" s="22" t="n">
        <x:f>MAX(0,MIN('Activities'!L590,12)-MAX('Activities'!K590,6))</x:f>
        <x:v>0</x:v>
      </x:c>
      <x:c r="G590" s="22" t="n">
        <x:f>MAX(0,MIN('Activities'!L590,18)-MAX('Activities'!K590,12))</x:f>
        <x:v>0</x:v>
      </x:c>
      <x:c r="H590" s="22" t="n">
        <x:f>MAX(0,MIN('Activities'!L590,24)-MAX('Activities'!K590,18))</x:f>
        <x:v>0</x:v>
      </x:c>
      <x:c r="I590" s="22" t="n">
        <x:f>MAX(0,MIN('Activities'!L590,30)-MAX('Activities'!K590,24))</x:f>
        <x:v>0</x:v>
      </x:c>
      <x:c r="J590" s="22" t="n">
        <x:f>MAX(0,MIN('Activities'!L590,36)-MAX('Activities'!K590,30))</x:f>
        <x:v>0</x:v>
      </x:c>
      <x:c r="K590" s="22" t="n">
        <x:f>MAX(0,MIN('Activities'!L590,42)-MAX('Activities'!K590,36))</x:f>
        <x:v>0</x:v>
      </x:c>
      <x:c r="L590" s="22" t="n">
        <x:f>MAX(0,MIN('Activities'!L590,48)-MAX('Activities'!K590,42))</x:f>
        <x:v>0</x:v>
      </x:c>
      <x:c r="M590" s="22" t="n">
        <x:f>MAX(0,MIN('Activities'!L590,54)-MAX('Activities'!K590,48))</x:f>
        <x:v>0</x:v>
      </x:c>
      <x:c r="N590" s="22" t="n">
        <x:f>MAX(0,MIN('Activities'!L590,60)-MAX('Activities'!K590,54))</x:f>
        <x:v>0</x:v>
      </x:c>
      <x:c r="O590" s="22" t="n">
        <x:f>MAX(0,MIN('Activities'!L590,66)-MAX('Activities'!K590,60))</x:f>
        <x:v>0</x:v>
      </x:c>
      <x:c r="P590" s="22" t="n">
        <x:f>MAX(0,MIN('Activities'!L590,72)-MAX('Activities'!K590,66))</x:f>
        <x:v>0</x:v>
      </x:c>
      <x:c r="Q590" s="22" t="n">
        <x:f>MAX(0,MIN('Activities'!L590,78)-MAX('Activities'!K590,72))</x:f>
        <x:v>0</x:v>
      </x:c>
      <x:c r="R590" s="22" t="n">
        <x:f>MAX(0,MIN('Activities'!L590,84)-MAX('Activities'!K590,78))</x:f>
        <x:v>0</x:v>
      </x:c>
      <x:c r="S590" s="22" t="n">
        <x:f>MAX(0,MIN('Activities'!L590,90)-MAX('Activities'!K590,84))</x:f>
        <x:v>0</x:v>
      </x:c>
      <x:c r="T590" s="22" t="n">
        <x:f>MAX(0,MIN('Activities'!L590,96)-MAX('Activities'!K590,90))</x:f>
        <x:v>0</x:v>
      </x:c>
      <x:c r="U590" s="22" t="n">
        <x:f>MAX(0,MIN('Activities'!L590,102)-MAX('Activities'!K590,96))</x:f>
        <x:v>0</x:v>
      </x:c>
      <x:c r="V590" s="22" t="n">
        <x:f>MAX(0,MIN('Activities'!L590,108)-MAX('Activities'!K590,102))</x:f>
        <x:v>0</x:v>
      </x:c>
      <x:c r="W590" s="22" t="n">
        <x:f>MAX(0,MIN('Activities'!L590,114)-MAX('Activities'!K590,108))</x:f>
        <x:v>0</x:v>
      </x:c>
      <x:c r="X590" s="22" t="n">
        <x:f>MAX(0,MIN('Activities'!L590,120)-MAX('Activities'!K590,114))</x:f>
        <x:v>0</x:v>
      </x:c>
      <x:c r="Y590" s="22" t="n">
        <x:f>MAX(0,MIN('Activities'!L590,126)-MAX('Activities'!K590,120))</x:f>
        <x:v>0</x:v>
      </x:c>
      <x:c r="Z590" s="22" t="n">
        <x:f>MAX(0,MIN('Activities'!L590,132)-MAX('Activities'!K590,126))</x:f>
        <x:v>0</x:v>
      </x:c>
      <x:c r="AA590" s="22" t="n">
        <x:f>MAX(0,MIN('Activities'!L590,138)-MAX('Activities'!K590,132))</x:f>
        <x:v>0</x:v>
      </x:c>
      <x:c r="AB590" s="22" t="n">
        <x:f>MAX(0,MIN('Activities'!L590,144)-MAX('Activities'!K590,138))</x:f>
        <x:v>0</x:v>
      </x:c>
      <x:c r="AC590" s="22" t="n">
        <x:f>MAX(0,MIN('Activities'!L590,150)-MAX('Activities'!K590,144))</x:f>
        <x:v>0</x:v>
      </x:c>
      <x:c r="AD590" s="22" t="n">
        <x:f>MAX(0,MIN('Activities'!L590,156)-MAX('Activities'!K590,150))</x:f>
        <x:v>0</x:v>
      </x:c>
      <x:c r="AE590" s="22" t="n">
        <x:f>MAX(0,MIN('Activities'!L590,162)-MAX('Activities'!K590,156))</x:f>
        <x:v>0</x:v>
      </x:c>
      <x:c r="AF590" s="22" t="n">
        <x:f>MAX(0,MIN('Activities'!L590,168)-MAX('Activities'!K590,162))</x:f>
        <x:v>0</x:v>
      </x:c>
      <x:c r="AG590" s="22" t="n">
        <x:f>MAX(0,MIN('Activities'!L590,174)-MAX('Activities'!K590,168))</x:f>
        <x:v>0</x:v>
      </x:c>
      <x:c r="AH590" s="22" t="n">
        <x:f>MAX(0,MIN('Activities'!L590,180)-MAX('Activities'!K590,174))</x:f>
        <x:v>0</x:v>
      </x:c>
      <x:c r="AI590" s="22" t="n">
        <x:f>MAX(0,MIN('Activities'!L590,186)-MAX('Activities'!K590,180))</x:f>
        <x:v>0</x:v>
      </x:c>
      <x:c r="AJ590" s="22" t="n">
        <x:f>MAX(0,MIN('Activities'!L590,192)-MAX('Activities'!K590,186))</x:f>
        <x:v>0</x:v>
      </x:c>
      <x:c r="AK590" s="22" t="n">
        <x:f>MAX(0,MIN('Activities'!L590,198)-MAX('Activities'!K590,192))</x:f>
        <x:v>0</x:v>
      </x:c>
      <x:c r="AL590" s="22" t="n">
        <x:f>MAX(0,MIN('Activities'!L590,204)-MAX('Activities'!K590,198))</x:f>
        <x:v>0</x:v>
      </x:c>
      <x:c r="AM590" s="22" t="n">
        <x:f>MAX(0,MIN('Activities'!L590,210)-MAX('Activities'!K590,204))</x:f>
        <x:v>0</x:v>
      </x:c>
      <x:c r="AN590" s="22" t="n">
        <x:f>MAX(0,MIN('Activities'!L590,216)-MAX('Activities'!K590,210))</x:f>
        <x:v>0</x:v>
      </x:c>
      <x:c r="AO590" s="22" t="n">
        <x:f>MAX(0,MIN('Activities'!L590,222)-MAX('Activities'!K590,216))</x:f>
        <x:v>0</x:v>
      </x:c>
      <x:c r="AP590" s="22" t="n">
        <x:f>MAX(0,MIN('Activities'!L590,228)-MAX('Activities'!K590,222))</x:f>
        <x:v>0</x:v>
      </x:c>
      <x:c r="AQ590" s="22" t="n">
        <x:f>MAX(0,MIN('Activities'!L590,234)-MAX('Activities'!K590,228))</x:f>
        <x:v>0</x:v>
      </x:c>
      <x:c r="AR590" s="22" t="n">
        <x:f>MAX(0,MIN('Activities'!L590,240)-MAX('Activities'!K590,234))</x:f>
        <x:v>0</x:v>
      </x:c>
      <x:c r="AS590" s="22" t="n">
        <x:f>MAX(0,MIN('Activities'!L590,246)-MAX('Activities'!K590,240))</x:f>
        <x:v>0</x:v>
      </x:c>
      <x:c r="AT590" s="22" t="n">
        <x:f>MAX(0,MIN('Activities'!L590,252)-MAX('Activities'!K590,246))</x:f>
        <x:v>0</x:v>
      </x:c>
      <x:c r="AU590" s="22" t="n">
        <x:f>MAX(0,MIN('Activities'!L590,258)-MAX('Activities'!K590,252))</x:f>
        <x:v>0</x:v>
      </x:c>
      <x:c r="AV590" s="22" t="n">
        <x:f>MAX(0,MIN('Activities'!L590,264)-MAX('Activities'!K590,258))</x:f>
        <x:v>0</x:v>
      </x:c>
      <x:c r="AW590" s="22" t="n">
        <x:f>MAX(0,MIN('Activities'!L590,270)-MAX('Activities'!K590,264))</x:f>
        <x:v>0</x:v>
      </x:c>
      <x:c r="AX590" s="22" t="n">
        <x:f>MAX(0,MIN('Activities'!L590,276)-MAX('Activities'!K590,270))</x:f>
        <x:v>0</x:v>
      </x:c>
      <x:c r="AY590" s="22" t="n">
        <x:f>MAX(0,MIN('Activities'!L590,282)-MAX('Activities'!K590,276))</x:f>
        <x:v>0</x:v>
      </x:c>
      <x:c r="AZ590" s="22" t="n">
        <x:f>MAX(0,MIN('Activities'!L590,288)-MAX('Activities'!K590,282))</x:f>
        <x:v>0</x:v>
      </x:c>
      <x:c r="BA590" s="22" t="n">
        <x:f>MAX(0,MIN('Activities'!L590,294)-MAX('Activities'!K590,288))</x:f>
        <x:v>0</x:v>
      </x:c>
      <x:c r="BB590" s="22" t="n">
        <x:f>MAX(0,MIN('Activities'!L590,300)-MAX('Activities'!K590,294))</x:f>
        <x:v>0</x:v>
      </x:c>
      <x:c r="BC590" s="22" t="n">
        <x:f>MAX(0,MIN('Activities'!L590,306)-MAX('Activities'!K590,300))</x:f>
        <x:v>0</x:v>
      </x:c>
      <x:c r="BD590" s="22" t="n">
        <x:f>MAX(0,MIN('Activities'!L590,312)-MAX('Activities'!K590,306))</x:f>
        <x:v>0</x:v>
      </x:c>
      <x:c r="BE590" s="22" t="n">
        <x:f>MAX(0,MIN('Activities'!L590,318)-MAX('Activities'!K590,312))</x:f>
        <x:v>0</x:v>
      </x:c>
      <x:c r="BF590" s="22" t="n">
        <x:f>MAX(0,MIN('Activities'!L590,324)-MAX('Activities'!K590,318))</x:f>
        <x:v>0</x:v>
      </x:c>
      <x:c r="BG590" s="22" t="n">
        <x:f>MAX(0,MIN('Activities'!L590,330)-MAX('Activities'!K590,324))</x:f>
        <x:v>0</x:v>
      </x:c>
      <x:c r="BH590" s="22" t="n">
        <x:f>MAX(0,MIN('Activities'!L590,336)-MAX('Activities'!K590,330))</x:f>
        <x:v>0</x:v>
      </x:c>
      <x:c r="BI590" s="22" t="n">
        <x:f>MAX(0,MIN('Activities'!L590,342)-MAX('Activities'!K590,336))</x:f>
        <x:v>0</x:v>
      </x:c>
      <x:c r="BJ590" s="22" t="n">
        <x:f>MAX(0,MIN('Activities'!L590,348)-MAX('Activities'!K590,342))</x:f>
        <x:v>0</x:v>
      </x:c>
      <x:c r="BK590" s="22" t="n">
        <x:f>MAX(0,MIN('Activities'!L590,354)-MAX('Activities'!K590,348))</x:f>
        <x:v>0</x:v>
      </x:c>
      <x:c r="BL590" s="22" t="n">
        <x:f>MAX(0,MIN('Activities'!L590,360)-MAX('Activities'!K590,354))</x:f>
        <x:v>0</x:v>
      </x:c>
      <x:c r="BM590" s="22" t="n">
        <x:f>MAX(0,MIN('Activities'!L590,366)-MAX('Activities'!K590,360))</x:f>
        <x:v>0</x:v>
      </x:c>
      <x:c r="BN590" s="22" t="n">
        <x:f>MAX(0,MIN('Activities'!L590,372)-MAX('Activities'!K590,366))</x:f>
        <x:v>0</x:v>
      </x:c>
      <x:c r="BO590" s="22" t="n">
        <x:f>MAX(0,MIN('Activities'!L590,378)-MAX('Activities'!K590,372))</x:f>
        <x:v>2</x:v>
      </x:c>
      <x:c r="BP590" s="22" t="n">
        <x:f>MAX(0,MIN('Activities'!L590,384)-MAX('Activities'!K590,378))</x:f>
        <x:v>0</x:v>
      </x:c>
      <x:c r="BQ590" s="22" t="n">
        <x:f>MAX(0,MIN('Activities'!L590,390)-MAX('Activities'!K590,384))</x:f>
        <x:v>0</x:v>
      </x:c>
      <x:c r="BR590" s="22" t="n">
        <x:f>MAX(0,MIN('Activities'!L590,396)-MAX('Activities'!K590,390))</x:f>
        <x:v>0</x:v>
      </x:c>
      <x:c r="BS590" s="22" t="n">
        <x:f>MAX(0,MIN('Activities'!L590,402)-MAX('Activities'!K590,396))</x:f>
        <x:v>0</x:v>
      </x:c>
      <x:c r="BT590" s="22" t="n">
        <x:f>MAX(0,MIN('Activities'!L590,408)-MAX('Activities'!K590,402))</x:f>
        <x:v>0</x:v>
      </x:c>
      <x:c r="BU590" s="22" t="n">
        <x:f>MAX(0,MIN('Activities'!L590,414)-MAX('Activities'!K590,408))</x:f>
        <x:v>0</x:v>
      </x:c>
      <x:c r="BV590" s="22" t="n">
        <x:f>MAX(0,MIN('Activities'!L590,420)-MAX('Activities'!K590,414))</x:f>
        <x:v>0</x:v>
      </x:c>
      <x:c r="BW590" s="22" t="n">
        <x:f>MAX(0,MIN('Activities'!L590,426)-MAX('Activities'!K590,420))</x:f>
        <x:v>0</x:v>
      </x:c>
      <x:c r="BX590" s="22" t="n">
        <x:f>MAX(0,MIN('Activities'!L590,432)-MAX('Activities'!K590,426))</x:f>
        <x:v>0</x:v>
      </x:c>
      <x:c r="BY590" s="22" t="n">
        <x:f>MAX(0,MIN('Activities'!L590,438)-MAX('Activities'!K590,432))</x:f>
        <x:v>0</x:v>
      </x:c>
      <x:c r="BZ590" s="22" t="n">
        <x:f>MAX(0,MIN('Activities'!L590,444)-MAX('Activities'!K590,438))</x:f>
        <x:v>0</x:v>
      </x:c>
      <x:c r="CA590" s="22" t="n">
        <x:f>MAX(0,MIN('Activities'!L590,450)-MAX('Activities'!K590,444))</x:f>
        <x:v>0</x:v>
      </x:c>
      <x:c r="CB590" s="22" t="n">
        <x:f>MAX(0,MIN('Activities'!L590,456)-MAX('Activities'!K590,450))</x:f>
        <x:v>0</x:v>
      </x:c>
      <x:c r="CC590" s="22" t="n">
        <x:f>MAX(0,MIN('Activities'!L590,462)-MAX('Activities'!K590,456))</x:f>
        <x:v>0</x:v>
      </x:c>
      <x:c r="CD590" s="22" t="n">
        <x:f>MAX(0,MIN('Activities'!L590,468)-MAX('Activities'!K590,462))</x:f>
        <x:v>0</x:v>
      </x:c>
      <x:c r="CE590" s="22" t="n">
        <x:f>MAX(0,MIN('Activities'!L590,474)-MAX('Activities'!K590,468))</x:f>
        <x:v>0</x:v>
      </x:c>
      <x:c r="CF590" s="22" t="n">
        <x:f>MAX(0,MIN('Activities'!L590,480)-MAX('Activities'!K590,474))</x:f>
        <x:v>0</x:v>
      </x:c>
      <x:c r="CG590" s="22" t="n">
        <x:f>MAX(0,MIN('Activities'!L590,486)-MAX('Activities'!K590,480))</x:f>
        <x:v>0</x:v>
      </x:c>
      <x:c r="CH590" s="22" t="n">
        <x:f>MAX(0,MIN('Activities'!L590,492)-MAX('Activities'!K590,486))</x:f>
        <x:v>0</x:v>
      </x:c>
      <x:c r="CI590" s="22" t="n">
        <x:f>MAX(0,MIN('Activities'!L590,498)-MAX('Activities'!K590,492))</x:f>
        <x:v>0</x:v>
      </x:c>
      <x:c r="CJ590" s="22" t="n">
        <x:f>MAX(0,MIN('Activities'!L590,504)-MAX('Activities'!K590,498))</x:f>
        <x:v>0</x:v>
      </x:c>
      <x:c r="CK590" s="22" t="n">
        <x:f>MAX(0,MIN('Activities'!L590,510)-MAX('Activities'!K590,504))</x:f>
        <x:v>0</x:v>
      </x:c>
      <x:c r="CL590" s="22" t="n">
        <x:f>MAX(0,MIN('Activities'!L590,516)-MAX('Activities'!K590,510))</x:f>
        <x:v>0</x:v>
      </x:c>
      <x:c r="CM590" s="22" t="n">
        <x:f>MAX(0,MIN('Activities'!L590,522)-MAX('Activities'!K590,516))</x:f>
        <x:v>0</x:v>
      </x:c>
      <x:c r="CN590" s="22" t="n">
        <x:f>MAX(0,MIN('Activities'!L590,528)-MAX('Activities'!K590,522))</x:f>
        <x:v>0</x:v>
      </x:c>
      <x:c r="CO590" s="22" t="n">
        <x:f>MAX(0,MIN('Activities'!L590,534)-MAX('Activities'!K590,528))</x:f>
        <x:v>0</x:v>
      </x:c>
      <x:c r="CP590" s="22" t="n">
        <x:f>MAX(0,MIN('Activities'!L590,540)-MAX('Activities'!K590,534))</x:f>
        <x:v>0</x:v>
      </x:c>
      <x:c r="CQ590" s="22" t="n">
        <x:f>MAX(0,MIN('Activities'!L590,546)-MAX('Activities'!K590,540))</x:f>
        <x:v>0</x:v>
      </x:c>
      <x:c r="CR590" s="22" t="n">
        <x:f>MAX(0,MIN('Activities'!L590,552)-MAX('Activities'!K590,546))</x:f>
        <x:v>0</x:v>
      </x:c>
      <x:c r="CS590" s="22" t="n">
        <x:f>MAX(0,MIN('Activities'!L590,558)-MAX('Activities'!K590,552))</x:f>
        <x:v>0</x:v>
      </x:c>
      <x:c r="CT590" s="22" t="n">
        <x:f>MAX(0,MIN('Activities'!L590,564)-MAX('Activities'!K590,558))</x:f>
        <x:v>0</x:v>
      </x:c>
      <x:c r="CU590" s="22" t="n">
        <x:f>MAX(0,MIN('Activities'!L590,570)-MAX('Activities'!K590,564))</x:f>
        <x:v>0</x:v>
      </x:c>
      <x:c r="CV590" s="22" t="n">
        <x:f>MAX(0,MIN('Activities'!L590,576)-MAX('Activities'!K590,570))</x:f>
        <x:v>0</x:v>
      </x:c>
      <x:c r="CW590" s="22" t="n">
        <x:f>MAX(0,MIN('Activities'!L590,582)-MAX('Activities'!K590,576))</x:f>
        <x:v>0</x:v>
      </x:c>
      <x:c r="CX590" s="22" t="n">
        <x:f>MAX(0,MIN('Activities'!L590,588)-MAX('Activities'!K590,582))</x:f>
        <x:v>0</x:v>
      </x:c>
      <x:c r="CY590" s="22" t="n">
        <x:f>MAX(0,MIN('Activities'!L590,594)-MAX('Activities'!K590,588))</x:f>
        <x:v>0</x:v>
      </x:c>
      <x:c r="CZ590" s="22" t="n">
        <x:f>MAX(0,MIN('Activities'!L590,600)-MAX('Activities'!K590,594))</x:f>
        <x:v>0</x:v>
      </x:c>
      <x:c r="DA590" s="22" t="n">
        <x:f>MAX(0,MIN('Activities'!L590,606)-MAX('Activities'!K590,600))</x:f>
        <x:v>0</x:v>
      </x:c>
      <x:c r="DB590" s="22" t="n">
        <x:f>MAX(0,MIN('Activities'!L590,612)-MAX('Activities'!K590,606))</x:f>
        <x:v>0</x:v>
      </x:c>
      <x:c r="DC590" s="22" t="n">
        <x:f>MAX(0,MIN('Activities'!L590,618)-MAX('Activities'!K590,612))</x:f>
        <x:v>0</x:v>
      </x:c>
      <x:c r="DD590" s="22" t="n">
        <x:f>MAX(0,MIN('Activities'!L590,624)-MAX('Activities'!K590,618))</x:f>
        <x:v>0</x:v>
      </x:c>
      <x:c r="DE590" s="22" t="n">
        <x:f>MAX(0,MIN('Activities'!L590,630)-MAX('Activities'!K590,624))</x:f>
        <x:v>0</x:v>
      </x:c>
      <x:c r="DF590" s="22" t="n">
        <x:f>MAX(0,MIN('Activities'!L590,636)-MAX('Activities'!K590,630))</x:f>
        <x:v>0</x:v>
      </x:c>
    </x:row>
    <x:row r="591" ht="23" customHeight="1">
      <x:c r="A591" s="1" t="str">
        <x:v>T5-L10-H</x:v>
      </x:c>
      <x:c r="B591" s="1" t="str">
        <x:v>T5</x:v>
      </x:c>
      <x:c r="C591" s="1" t="str">
        <x:v>Curing and release hold point</x:v>
      </x:c>
      <x:c r="D591" s="1" t="str">
        <x:v>Site</x:v>
      </x:c>
      <x:c r="E591" s="23" t="n">
        <x:f>MAX(0,MIN('Activities'!L591,6)-MAX('Activities'!K591,0))</x:f>
        <x:v>0</x:v>
      </x:c>
      <x:c r="F591" s="23" t="n">
        <x:f>MAX(0,MIN('Activities'!L591,12)-MAX('Activities'!K591,6))</x:f>
        <x:v>0</x:v>
      </x:c>
      <x:c r="G591" s="23" t="n">
        <x:f>MAX(0,MIN('Activities'!L591,18)-MAX('Activities'!K591,12))</x:f>
        <x:v>0</x:v>
      </x:c>
      <x:c r="H591" s="23" t="n">
        <x:f>MAX(0,MIN('Activities'!L591,24)-MAX('Activities'!K591,18))</x:f>
        <x:v>0</x:v>
      </x:c>
      <x:c r="I591" s="23" t="n">
        <x:f>MAX(0,MIN('Activities'!L591,30)-MAX('Activities'!K591,24))</x:f>
        <x:v>0</x:v>
      </x:c>
      <x:c r="J591" s="23" t="n">
        <x:f>MAX(0,MIN('Activities'!L591,36)-MAX('Activities'!K591,30))</x:f>
        <x:v>0</x:v>
      </x:c>
      <x:c r="K591" s="23" t="n">
        <x:f>MAX(0,MIN('Activities'!L591,42)-MAX('Activities'!K591,36))</x:f>
        <x:v>0</x:v>
      </x:c>
      <x:c r="L591" s="23" t="n">
        <x:f>MAX(0,MIN('Activities'!L591,48)-MAX('Activities'!K591,42))</x:f>
        <x:v>0</x:v>
      </x:c>
      <x:c r="M591" s="23" t="n">
        <x:f>MAX(0,MIN('Activities'!L591,54)-MAX('Activities'!K591,48))</x:f>
        <x:v>0</x:v>
      </x:c>
      <x:c r="N591" s="23" t="n">
        <x:f>MAX(0,MIN('Activities'!L591,60)-MAX('Activities'!K591,54))</x:f>
        <x:v>0</x:v>
      </x:c>
      <x:c r="O591" s="23" t="n">
        <x:f>MAX(0,MIN('Activities'!L591,66)-MAX('Activities'!K591,60))</x:f>
        <x:v>0</x:v>
      </x:c>
      <x:c r="P591" s="23" t="n">
        <x:f>MAX(0,MIN('Activities'!L591,72)-MAX('Activities'!K591,66))</x:f>
        <x:v>0</x:v>
      </x:c>
      <x:c r="Q591" s="23" t="n">
        <x:f>MAX(0,MIN('Activities'!L591,78)-MAX('Activities'!K591,72))</x:f>
        <x:v>0</x:v>
      </x:c>
      <x:c r="R591" s="23" t="n">
        <x:f>MAX(0,MIN('Activities'!L591,84)-MAX('Activities'!K591,78))</x:f>
        <x:v>0</x:v>
      </x:c>
      <x:c r="S591" s="23" t="n">
        <x:f>MAX(0,MIN('Activities'!L591,90)-MAX('Activities'!K591,84))</x:f>
        <x:v>0</x:v>
      </x:c>
      <x:c r="T591" s="23" t="n">
        <x:f>MAX(0,MIN('Activities'!L591,96)-MAX('Activities'!K591,90))</x:f>
        <x:v>0</x:v>
      </x:c>
      <x:c r="U591" s="23" t="n">
        <x:f>MAX(0,MIN('Activities'!L591,102)-MAX('Activities'!K591,96))</x:f>
        <x:v>0</x:v>
      </x:c>
      <x:c r="V591" s="23" t="n">
        <x:f>MAX(0,MIN('Activities'!L591,108)-MAX('Activities'!K591,102))</x:f>
        <x:v>0</x:v>
      </x:c>
      <x:c r="W591" s="23" t="n">
        <x:f>MAX(0,MIN('Activities'!L591,114)-MAX('Activities'!K591,108))</x:f>
        <x:v>0</x:v>
      </x:c>
      <x:c r="X591" s="23" t="n">
        <x:f>MAX(0,MIN('Activities'!L591,120)-MAX('Activities'!K591,114))</x:f>
        <x:v>0</x:v>
      </x:c>
      <x:c r="Y591" s="23" t="n">
        <x:f>MAX(0,MIN('Activities'!L591,126)-MAX('Activities'!K591,120))</x:f>
        <x:v>0</x:v>
      </x:c>
      <x:c r="Z591" s="23" t="n">
        <x:f>MAX(0,MIN('Activities'!L591,132)-MAX('Activities'!K591,126))</x:f>
        <x:v>0</x:v>
      </x:c>
      <x:c r="AA591" s="23" t="n">
        <x:f>MAX(0,MIN('Activities'!L591,138)-MAX('Activities'!K591,132))</x:f>
        <x:v>0</x:v>
      </x:c>
      <x:c r="AB591" s="23" t="n">
        <x:f>MAX(0,MIN('Activities'!L591,144)-MAX('Activities'!K591,138))</x:f>
        <x:v>0</x:v>
      </x:c>
      <x:c r="AC591" s="23" t="n">
        <x:f>MAX(0,MIN('Activities'!L591,150)-MAX('Activities'!K591,144))</x:f>
        <x:v>0</x:v>
      </x:c>
      <x:c r="AD591" s="23" t="n">
        <x:f>MAX(0,MIN('Activities'!L591,156)-MAX('Activities'!K591,150))</x:f>
        <x:v>0</x:v>
      </x:c>
      <x:c r="AE591" s="23" t="n">
        <x:f>MAX(0,MIN('Activities'!L591,162)-MAX('Activities'!K591,156))</x:f>
        <x:v>0</x:v>
      </x:c>
      <x:c r="AF591" s="23" t="n">
        <x:f>MAX(0,MIN('Activities'!L591,168)-MAX('Activities'!K591,162))</x:f>
        <x:v>0</x:v>
      </x:c>
      <x:c r="AG591" s="23" t="n">
        <x:f>MAX(0,MIN('Activities'!L591,174)-MAX('Activities'!K591,168))</x:f>
        <x:v>0</x:v>
      </x:c>
      <x:c r="AH591" s="23" t="n">
        <x:f>MAX(0,MIN('Activities'!L591,180)-MAX('Activities'!K591,174))</x:f>
        <x:v>0</x:v>
      </x:c>
      <x:c r="AI591" s="23" t="n">
        <x:f>MAX(0,MIN('Activities'!L591,186)-MAX('Activities'!K591,180))</x:f>
        <x:v>0</x:v>
      </x:c>
      <x:c r="AJ591" s="23" t="n">
        <x:f>MAX(0,MIN('Activities'!L591,192)-MAX('Activities'!K591,186))</x:f>
        <x:v>0</x:v>
      </x:c>
      <x:c r="AK591" s="23" t="n">
        <x:f>MAX(0,MIN('Activities'!L591,198)-MAX('Activities'!K591,192))</x:f>
        <x:v>0</x:v>
      </x:c>
      <x:c r="AL591" s="23" t="n">
        <x:f>MAX(0,MIN('Activities'!L591,204)-MAX('Activities'!K591,198))</x:f>
        <x:v>0</x:v>
      </x:c>
      <x:c r="AM591" s="23" t="n">
        <x:f>MAX(0,MIN('Activities'!L591,210)-MAX('Activities'!K591,204))</x:f>
        <x:v>0</x:v>
      </x:c>
      <x:c r="AN591" s="23" t="n">
        <x:f>MAX(0,MIN('Activities'!L591,216)-MAX('Activities'!K591,210))</x:f>
        <x:v>0</x:v>
      </x:c>
      <x:c r="AO591" s="23" t="n">
        <x:f>MAX(0,MIN('Activities'!L591,222)-MAX('Activities'!K591,216))</x:f>
        <x:v>0</x:v>
      </x:c>
      <x:c r="AP591" s="23" t="n">
        <x:f>MAX(0,MIN('Activities'!L591,228)-MAX('Activities'!K591,222))</x:f>
        <x:v>0</x:v>
      </x:c>
      <x:c r="AQ591" s="23" t="n">
        <x:f>MAX(0,MIN('Activities'!L591,234)-MAX('Activities'!K591,228))</x:f>
        <x:v>0</x:v>
      </x:c>
      <x:c r="AR591" s="23" t="n">
        <x:f>MAX(0,MIN('Activities'!L591,240)-MAX('Activities'!K591,234))</x:f>
        <x:v>0</x:v>
      </x:c>
      <x:c r="AS591" s="23" t="n">
        <x:f>MAX(0,MIN('Activities'!L591,246)-MAX('Activities'!K591,240))</x:f>
        <x:v>0</x:v>
      </x:c>
      <x:c r="AT591" s="23" t="n">
        <x:f>MAX(0,MIN('Activities'!L591,252)-MAX('Activities'!K591,246))</x:f>
        <x:v>0</x:v>
      </x:c>
      <x:c r="AU591" s="23" t="n">
        <x:f>MAX(0,MIN('Activities'!L591,258)-MAX('Activities'!K591,252))</x:f>
        <x:v>0</x:v>
      </x:c>
      <x:c r="AV591" s="23" t="n">
        <x:f>MAX(0,MIN('Activities'!L591,264)-MAX('Activities'!K591,258))</x:f>
        <x:v>0</x:v>
      </x:c>
      <x:c r="AW591" s="23" t="n">
        <x:f>MAX(0,MIN('Activities'!L591,270)-MAX('Activities'!K591,264))</x:f>
        <x:v>0</x:v>
      </x:c>
      <x:c r="AX591" s="23" t="n">
        <x:f>MAX(0,MIN('Activities'!L591,276)-MAX('Activities'!K591,270))</x:f>
        <x:v>0</x:v>
      </x:c>
      <x:c r="AY591" s="23" t="n">
        <x:f>MAX(0,MIN('Activities'!L591,282)-MAX('Activities'!K591,276))</x:f>
        <x:v>0</x:v>
      </x:c>
      <x:c r="AZ591" s="23" t="n">
        <x:f>MAX(0,MIN('Activities'!L591,288)-MAX('Activities'!K591,282))</x:f>
        <x:v>0</x:v>
      </x:c>
      <x:c r="BA591" s="23" t="n">
        <x:f>MAX(0,MIN('Activities'!L591,294)-MAX('Activities'!K591,288))</x:f>
        <x:v>0</x:v>
      </x:c>
      <x:c r="BB591" s="23" t="n">
        <x:f>MAX(0,MIN('Activities'!L591,300)-MAX('Activities'!K591,294))</x:f>
        <x:v>0</x:v>
      </x:c>
      <x:c r="BC591" s="23" t="n">
        <x:f>MAX(0,MIN('Activities'!L591,306)-MAX('Activities'!K591,300))</x:f>
        <x:v>0</x:v>
      </x:c>
      <x:c r="BD591" s="23" t="n">
        <x:f>MAX(0,MIN('Activities'!L591,312)-MAX('Activities'!K591,306))</x:f>
        <x:v>0</x:v>
      </x:c>
      <x:c r="BE591" s="23" t="n">
        <x:f>MAX(0,MIN('Activities'!L591,318)-MAX('Activities'!K591,312))</x:f>
        <x:v>0</x:v>
      </x:c>
      <x:c r="BF591" s="23" t="n">
        <x:f>MAX(0,MIN('Activities'!L591,324)-MAX('Activities'!K591,318))</x:f>
        <x:v>0</x:v>
      </x:c>
      <x:c r="BG591" s="23" t="n">
        <x:f>MAX(0,MIN('Activities'!L591,330)-MAX('Activities'!K591,324))</x:f>
        <x:v>0</x:v>
      </x:c>
      <x:c r="BH591" s="23" t="n">
        <x:f>MAX(0,MIN('Activities'!L591,336)-MAX('Activities'!K591,330))</x:f>
        <x:v>0</x:v>
      </x:c>
      <x:c r="BI591" s="23" t="n">
        <x:f>MAX(0,MIN('Activities'!L591,342)-MAX('Activities'!K591,336))</x:f>
        <x:v>0</x:v>
      </x:c>
      <x:c r="BJ591" s="23" t="n">
        <x:f>MAX(0,MIN('Activities'!L591,348)-MAX('Activities'!K591,342))</x:f>
        <x:v>0</x:v>
      </x:c>
      <x:c r="BK591" s="23" t="n">
        <x:f>MAX(0,MIN('Activities'!L591,354)-MAX('Activities'!K591,348))</x:f>
        <x:v>0</x:v>
      </x:c>
      <x:c r="BL591" s="23" t="n">
        <x:f>MAX(0,MIN('Activities'!L591,360)-MAX('Activities'!K591,354))</x:f>
        <x:v>0</x:v>
      </x:c>
      <x:c r="BM591" s="23" t="n">
        <x:f>MAX(0,MIN('Activities'!L591,366)-MAX('Activities'!K591,360))</x:f>
        <x:v>0</x:v>
      </x:c>
      <x:c r="BN591" s="23" t="n">
        <x:f>MAX(0,MIN('Activities'!L591,372)-MAX('Activities'!K591,366))</x:f>
        <x:v>0</x:v>
      </x:c>
      <x:c r="BO591" s="23" t="n">
        <x:f>MAX(0,MIN('Activities'!L591,378)-MAX('Activities'!K591,372))</x:f>
        <x:v>3</x:v>
      </x:c>
      <x:c r="BP591" s="23" t="n">
        <x:f>MAX(0,MIN('Activities'!L591,384)-MAX('Activities'!K591,378))</x:f>
        <x:v>2</x:v>
      </x:c>
      <x:c r="BQ591" s="23" t="n">
        <x:f>MAX(0,MIN('Activities'!L591,390)-MAX('Activities'!K591,384))</x:f>
        <x:v>0</x:v>
      </x:c>
      <x:c r="BR591" s="23" t="n">
        <x:f>MAX(0,MIN('Activities'!L591,396)-MAX('Activities'!K591,390))</x:f>
        <x:v>0</x:v>
      </x:c>
      <x:c r="BS591" s="23" t="n">
        <x:f>MAX(0,MIN('Activities'!L591,402)-MAX('Activities'!K591,396))</x:f>
        <x:v>0</x:v>
      </x:c>
      <x:c r="BT591" s="23" t="n">
        <x:f>MAX(0,MIN('Activities'!L591,408)-MAX('Activities'!K591,402))</x:f>
        <x:v>0</x:v>
      </x:c>
      <x:c r="BU591" s="23" t="n">
        <x:f>MAX(0,MIN('Activities'!L591,414)-MAX('Activities'!K591,408))</x:f>
        <x:v>0</x:v>
      </x:c>
      <x:c r="BV591" s="23" t="n">
        <x:f>MAX(0,MIN('Activities'!L591,420)-MAX('Activities'!K591,414))</x:f>
        <x:v>0</x:v>
      </x:c>
      <x:c r="BW591" s="23" t="n">
        <x:f>MAX(0,MIN('Activities'!L591,426)-MAX('Activities'!K591,420))</x:f>
        <x:v>0</x:v>
      </x:c>
      <x:c r="BX591" s="23" t="n">
        <x:f>MAX(0,MIN('Activities'!L591,432)-MAX('Activities'!K591,426))</x:f>
        <x:v>0</x:v>
      </x:c>
      <x:c r="BY591" s="23" t="n">
        <x:f>MAX(0,MIN('Activities'!L591,438)-MAX('Activities'!K591,432))</x:f>
        <x:v>0</x:v>
      </x:c>
      <x:c r="BZ591" s="23" t="n">
        <x:f>MAX(0,MIN('Activities'!L591,444)-MAX('Activities'!K591,438))</x:f>
        <x:v>0</x:v>
      </x:c>
      <x:c r="CA591" s="23" t="n">
        <x:f>MAX(0,MIN('Activities'!L591,450)-MAX('Activities'!K591,444))</x:f>
        <x:v>0</x:v>
      </x:c>
      <x:c r="CB591" s="23" t="n">
        <x:f>MAX(0,MIN('Activities'!L591,456)-MAX('Activities'!K591,450))</x:f>
        <x:v>0</x:v>
      </x:c>
      <x:c r="CC591" s="23" t="n">
        <x:f>MAX(0,MIN('Activities'!L591,462)-MAX('Activities'!K591,456))</x:f>
        <x:v>0</x:v>
      </x:c>
      <x:c r="CD591" s="23" t="n">
        <x:f>MAX(0,MIN('Activities'!L591,468)-MAX('Activities'!K591,462))</x:f>
        <x:v>0</x:v>
      </x:c>
      <x:c r="CE591" s="23" t="n">
        <x:f>MAX(0,MIN('Activities'!L591,474)-MAX('Activities'!K591,468))</x:f>
        <x:v>0</x:v>
      </x:c>
      <x:c r="CF591" s="23" t="n">
        <x:f>MAX(0,MIN('Activities'!L591,480)-MAX('Activities'!K591,474))</x:f>
        <x:v>0</x:v>
      </x:c>
      <x:c r="CG591" s="23" t="n">
        <x:f>MAX(0,MIN('Activities'!L591,486)-MAX('Activities'!K591,480))</x:f>
        <x:v>0</x:v>
      </x:c>
      <x:c r="CH591" s="23" t="n">
        <x:f>MAX(0,MIN('Activities'!L591,492)-MAX('Activities'!K591,486))</x:f>
        <x:v>0</x:v>
      </x:c>
      <x:c r="CI591" s="23" t="n">
        <x:f>MAX(0,MIN('Activities'!L591,498)-MAX('Activities'!K591,492))</x:f>
        <x:v>0</x:v>
      </x:c>
      <x:c r="CJ591" s="23" t="n">
        <x:f>MAX(0,MIN('Activities'!L591,504)-MAX('Activities'!K591,498))</x:f>
        <x:v>0</x:v>
      </x:c>
      <x:c r="CK591" s="23" t="n">
        <x:f>MAX(0,MIN('Activities'!L591,510)-MAX('Activities'!K591,504))</x:f>
        <x:v>0</x:v>
      </x:c>
      <x:c r="CL591" s="23" t="n">
        <x:f>MAX(0,MIN('Activities'!L591,516)-MAX('Activities'!K591,510))</x:f>
        <x:v>0</x:v>
      </x:c>
      <x:c r="CM591" s="23" t="n">
        <x:f>MAX(0,MIN('Activities'!L591,522)-MAX('Activities'!K591,516))</x:f>
        <x:v>0</x:v>
      </x:c>
      <x:c r="CN591" s="23" t="n">
        <x:f>MAX(0,MIN('Activities'!L591,528)-MAX('Activities'!K591,522))</x:f>
        <x:v>0</x:v>
      </x:c>
      <x:c r="CO591" s="23" t="n">
        <x:f>MAX(0,MIN('Activities'!L591,534)-MAX('Activities'!K591,528))</x:f>
        <x:v>0</x:v>
      </x:c>
      <x:c r="CP591" s="23" t="n">
        <x:f>MAX(0,MIN('Activities'!L591,540)-MAX('Activities'!K591,534))</x:f>
        <x:v>0</x:v>
      </x:c>
      <x:c r="CQ591" s="23" t="n">
        <x:f>MAX(0,MIN('Activities'!L591,546)-MAX('Activities'!K591,540))</x:f>
        <x:v>0</x:v>
      </x:c>
      <x:c r="CR591" s="23" t="n">
        <x:f>MAX(0,MIN('Activities'!L591,552)-MAX('Activities'!K591,546))</x:f>
        <x:v>0</x:v>
      </x:c>
      <x:c r="CS591" s="23" t="n">
        <x:f>MAX(0,MIN('Activities'!L591,558)-MAX('Activities'!K591,552))</x:f>
        <x:v>0</x:v>
      </x:c>
      <x:c r="CT591" s="23" t="n">
        <x:f>MAX(0,MIN('Activities'!L591,564)-MAX('Activities'!K591,558))</x:f>
        <x:v>0</x:v>
      </x:c>
      <x:c r="CU591" s="23" t="n">
        <x:f>MAX(0,MIN('Activities'!L591,570)-MAX('Activities'!K591,564))</x:f>
        <x:v>0</x:v>
      </x:c>
      <x:c r="CV591" s="23" t="n">
        <x:f>MAX(0,MIN('Activities'!L591,576)-MAX('Activities'!K591,570))</x:f>
        <x:v>0</x:v>
      </x:c>
      <x:c r="CW591" s="23" t="n">
        <x:f>MAX(0,MIN('Activities'!L591,582)-MAX('Activities'!K591,576))</x:f>
        <x:v>0</x:v>
      </x:c>
      <x:c r="CX591" s="23" t="n">
        <x:f>MAX(0,MIN('Activities'!L591,588)-MAX('Activities'!K591,582))</x:f>
        <x:v>0</x:v>
      </x:c>
      <x:c r="CY591" s="23" t="n">
        <x:f>MAX(0,MIN('Activities'!L591,594)-MAX('Activities'!K591,588))</x:f>
        <x:v>0</x:v>
      </x:c>
      <x:c r="CZ591" s="23" t="n">
        <x:f>MAX(0,MIN('Activities'!L591,600)-MAX('Activities'!K591,594))</x:f>
        <x:v>0</x:v>
      </x:c>
      <x:c r="DA591" s="23" t="n">
        <x:f>MAX(0,MIN('Activities'!L591,606)-MAX('Activities'!K591,600))</x:f>
        <x:v>0</x:v>
      </x:c>
      <x:c r="DB591" s="23" t="n">
        <x:f>MAX(0,MIN('Activities'!L591,612)-MAX('Activities'!K591,606))</x:f>
        <x:v>0</x:v>
      </x:c>
      <x:c r="DC591" s="23" t="n">
        <x:f>MAX(0,MIN('Activities'!L591,618)-MAX('Activities'!K591,612))</x:f>
        <x:v>0</x:v>
      </x:c>
      <x:c r="DD591" s="23" t="n">
        <x:f>MAX(0,MIN('Activities'!L591,624)-MAX('Activities'!K591,618))</x:f>
        <x:v>0</x:v>
      </x:c>
      <x:c r="DE591" s="23" t="n">
        <x:f>MAX(0,MIN('Activities'!L591,630)-MAX('Activities'!K591,624))</x:f>
        <x:v>0</x:v>
      </x:c>
      <x:c r="DF591" s="23" t="n">
        <x:f>MAX(0,MIN('Activities'!L591,636)-MAX('Activities'!K591,630))</x:f>
        <x:v>0</x:v>
      </x:c>
    </x:row>
    <x:row r="592" ht="23" customHeight="1">
      <x:c r="A592" s="6" t="str">
        <x:v>T5-L11-F</x:v>
      </x:c>
      <x:c r="B592" s="6" t="str">
        <x:v>T5</x:v>
      </x:c>
      <x:c r="C592" s="6" t="str">
        <x:v>Columns, core and deck formwork</x:v>
      </x:c>
      <x:c r="D592" s="6" t="str">
        <x:v>Formwork</x:v>
      </x:c>
      <x:c r="E592" s="22" t="n">
        <x:f>MAX(0,MIN('Activities'!L592,6)-MAX('Activities'!K592,0))</x:f>
        <x:v>0</x:v>
      </x:c>
      <x:c r="F592" s="22" t="n">
        <x:f>MAX(0,MIN('Activities'!L592,12)-MAX('Activities'!K592,6))</x:f>
        <x:v>0</x:v>
      </x:c>
      <x:c r="G592" s="22" t="n">
        <x:f>MAX(0,MIN('Activities'!L592,18)-MAX('Activities'!K592,12))</x:f>
        <x:v>0</x:v>
      </x:c>
      <x:c r="H592" s="22" t="n">
        <x:f>MAX(0,MIN('Activities'!L592,24)-MAX('Activities'!K592,18))</x:f>
        <x:v>0</x:v>
      </x:c>
      <x:c r="I592" s="22" t="n">
        <x:f>MAX(0,MIN('Activities'!L592,30)-MAX('Activities'!K592,24))</x:f>
        <x:v>0</x:v>
      </x:c>
      <x:c r="J592" s="22" t="n">
        <x:f>MAX(0,MIN('Activities'!L592,36)-MAX('Activities'!K592,30))</x:f>
        <x:v>0</x:v>
      </x:c>
      <x:c r="K592" s="22" t="n">
        <x:f>MAX(0,MIN('Activities'!L592,42)-MAX('Activities'!K592,36))</x:f>
        <x:v>0</x:v>
      </x:c>
      <x:c r="L592" s="22" t="n">
        <x:f>MAX(0,MIN('Activities'!L592,48)-MAX('Activities'!K592,42))</x:f>
        <x:v>0</x:v>
      </x:c>
      <x:c r="M592" s="22" t="n">
        <x:f>MAX(0,MIN('Activities'!L592,54)-MAX('Activities'!K592,48))</x:f>
        <x:v>0</x:v>
      </x:c>
      <x:c r="N592" s="22" t="n">
        <x:f>MAX(0,MIN('Activities'!L592,60)-MAX('Activities'!K592,54))</x:f>
        <x:v>0</x:v>
      </x:c>
      <x:c r="O592" s="22" t="n">
        <x:f>MAX(0,MIN('Activities'!L592,66)-MAX('Activities'!K592,60))</x:f>
        <x:v>0</x:v>
      </x:c>
      <x:c r="P592" s="22" t="n">
        <x:f>MAX(0,MIN('Activities'!L592,72)-MAX('Activities'!K592,66))</x:f>
        <x:v>0</x:v>
      </x:c>
      <x:c r="Q592" s="22" t="n">
        <x:f>MAX(0,MIN('Activities'!L592,78)-MAX('Activities'!K592,72))</x:f>
        <x:v>0</x:v>
      </x:c>
      <x:c r="R592" s="22" t="n">
        <x:f>MAX(0,MIN('Activities'!L592,84)-MAX('Activities'!K592,78))</x:f>
        <x:v>0</x:v>
      </x:c>
      <x:c r="S592" s="22" t="n">
        <x:f>MAX(0,MIN('Activities'!L592,90)-MAX('Activities'!K592,84))</x:f>
        <x:v>0</x:v>
      </x:c>
      <x:c r="T592" s="22" t="n">
        <x:f>MAX(0,MIN('Activities'!L592,96)-MAX('Activities'!K592,90))</x:f>
        <x:v>0</x:v>
      </x:c>
      <x:c r="U592" s="22" t="n">
        <x:f>MAX(0,MIN('Activities'!L592,102)-MAX('Activities'!K592,96))</x:f>
        <x:v>0</x:v>
      </x:c>
      <x:c r="V592" s="22" t="n">
        <x:f>MAX(0,MIN('Activities'!L592,108)-MAX('Activities'!K592,102))</x:f>
        <x:v>0</x:v>
      </x:c>
      <x:c r="W592" s="22" t="n">
        <x:f>MAX(0,MIN('Activities'!L592,114)-MAX('Activities'!K592,108))</x:f>
        <x:v>0</x:v>
      </x:c>
      <x:c r="X592" s="22" t="n">
        <x:f>MAX(0,MIN('Activities'!L592,120)-MAX('Activities'!K592,114))</x:f>
        <x:v>0</x:v>
      </x:c>
      <x:c r="Y592" s="22" t="n">
        <x:f>MAX(0,MIN('Activities'!L592,126)-MAX('Activities'!K592,120))</x:f>
        <x:v>0</x:v>
      </x:c>
      <x:c r="Z592" s="22" t="n">
        <x:f>MAX(0,MIN('Activities'!L592,132)-MAX('Activities'!K592,126))</x:f>
        <x:v>0</x:v>
      </x:c>
      <x:c r="AA592" s="22" t="n">
        <x:f>MAX(0,MIN('Activities'!L592,138)-MAX('Activities'!K592,132))</x:f>
        <x:v>0</x:v>
      </x:c>
      <x:c r="AB592" s="22" t="n">
        <x:f>MAX(0,MIN('Activities'!L592,144)-MAX('Activities'!K592,138))</x:f>
        <x:v>0</x:v>
      </x:c>
      <x:c r="AC592" s="22" t="n">
        <x:f>MAX(0,MIN('Activities'!L592,150)-MAX('Activities'!K592,144))</x:f>
        <x:v>0</x:v>
      </x:c>
      <x:c r="AD592" s="22" t="n">
        <x:f>MAX(0,MIN('Activities'!L592,156)-MAX('Activities'!K592,150))</x:f>
        <x:v>0</x:v>
      </x:c>
      <x:c r="AE592" s="22" t="n">
        <x:f>MAX(0,MIN('Activities'!L592,162)-MAX('Activities'!K592,156))</x:f>
        <x:v>0</x:v>
      </x:c>
      <x:c r="AF592" s="22" t="n">
        <x:f>MAX(0,MIN('Activities'!L592,168)-MAX('Activities'!K592,162))</x:f>
        <x:v>0</x:v>
      </x:c>
      <x:c r="AG592" s="22" t="n">
        <x:f>MAX(0,MIN('Activities'!L592,174)-MAX('Activities'!K592,168))</x:f>
        <x:v>0</x:v>
      </x:c>
      <x:c r="AH592" s="22" t="n">
        <x:f>MAX(0,MIN('Activities'!L592,180)-MAX('Activities'!K592,174))</x:f>
        <x:v>0</x:v>
      </x:c>
      <x:c r="AI592" s="22" t="n">
        <x:f>MAX(0,MIN('Activities'!L592,186)-MAX('Activities'!K592,180))</x:f>
        <x:v>0</x:v>
      </x:c>
      <x:c r="AJ592" s="22" t="n">
        <x:f>MAX(0,MIN('Activities'!L592,192)-MAX('Activities'!K592,186))</x:f>
        <x:v>0</x:v>
      </x:c>
      <x:c r="AK592" s="22" t="n">
        <x:f>MAX(0,MIN('Activities'!L592,198)-MAX('Activities'!K592,192))</x:f>
        <x:v>0</x:v>
      </x:c>
      <x:c r="AL592" s="22" t="n">
        <x:f>MAX(0,MIN('Activities'!L592,204)-MAX('Activities'!K592,198))</x:f>
        <x:v>0</x:v>
      </x:c>
      <x:c r="AM592" s="22" t="n">
        <x:f>MAX(0,MIN('Activities'!L592,210)-MAX('Activities'!K592,204))</x:f>
        <x:v>0</x:v>
      </x:c>
      <x:c r="AN592" s="22" t="n">
        <x:f>MAX(0,MIN('Activities'!L592,216)-MAX('Activities'!K592,210))</x:f>
        <x:v>0</x:v>
      </x:c>
      <x:c r="AO592" s="22" t="n">
        <x:f>MAX(0,MIN('Activities'!L592,222)-MAX('Activities'!K592,216))</x:f>
        <x:v>0</x:v>
      </x:c>
      <x:c r="AP592" s="22" t="n">
        <x:f>MAX(0,MIN('Activities'!L592,228)-MAX('Activities'!K592,222))</x:f>
        <x:v>0</x:v>
      </x:c>
      <x:c r="AQ592" s="22" t="n">
        <x:f>MAX(0,MIN('Activities'!L592,234)-MAX('Activities'!K592,228))</x:f>
        <x:v>0</x:v>
      </x:c>
      <x:c r="AR592" s="22" t="n">
        <x:f>MAX(0,MIN('Activities'!L592,240)-MAX('Activities'!K592,234))</x:f>
        <x:v>0</x:v>
      </x:c>
      <x:c r="AS592" s="22" t="n">
        <x:f>MAX(0,MIN('Activities'!L592,246)-MAX('Activities'!K592,240))</x:f>
        <x:v>0</x:v>
      </x:c>
      <x:c r="AT592" s="22" t="n">
        <x:f>MAX(0,MIN('Activities'!L592,252)-MAX('Activities'!K592,246))</x:f>
        <x:v>0</x:v>
      </x:c>
      <x:c r="AU592" s="22" t="n">
        <x:f>MAX(0,MIN('Activities'!L592,258)-MAX('Activities'!K592,252))</x:f>
        <x:v>0</x:v>
      </x:c>
      <x:c r="AV592" s="22" t="n">
        <x:f>MAX(0,MIN('Activities'!L592,264)-MAX('Activities'!K592,258))</x:f>
        <x:v>0</x:v>
      </x:c>
      <x:c r="AW592" s="22" t="n">
        <x:f>MAX(0,MIN('Activities'!L592,270)-MAX('Activities'!K592,264))</x:f>
        <x:v>0</x:v>
      </x:c>
      <x:c r="AX592" s="22" t="n">
        <x:f>MAX(0,MIN('Activities'!L592,276)-MAX('Activities'!K592,270))</x:f>
        <x:v>0</x:v>
      </x:c>
      <x:c r="AY592" s="22" t="n">
        <x:f>MAX(0,MIN('Activities'!L592,282)-MAX('Activities'!K592,276))</x:f>
        <x:v>0</x:v>
      </x:c>
      <x:c r="AZ592" s="22" t="n">
        <x:f>MAX(0,MIN('Activities'!L592,288)-MAX('Activities'!K592,282))</x:f>
        <x:v>0</x:v>
      </x:c>
      <x:c r="BA592" s="22" t="n">
        <x:f>MAX(0,MIN('Activities'!L592,294)-MAX('Activities'!K592,288))</x:f>
        <x:v>0</x:v>
      </x:c>
      <x:c r="BB592" s="22" t="n">
        <x:f>MAX(0,MIN('Activities'!L592,300)-MAX('Activities'!K592,294))</x:f>
        <x:v>0</x:v>
      </x:c>
      <x:c r="BC592" s="22" t="n">
        <x:f>MAX(0,MIN('Activities'!L592,306)-MAX('Activities'!K592,300))</x:f>
        <x:v>0</x:v>
      </x:c>
      <x:c r="BD592" s="22" t="n">
        <x:f>MAX(0,MIN('Activities'!L592,312)-MAX('Activities'!K592,306))</x:f>
        <x:v>0</x:v>
      </x:c>
      <x:c r="BE592" s="22" t="n">
        <x:f>MAX(0,MIN('Activities'!L592,318)-MAX('Activities'!K592,312))</x:f>
        <x:v>0</x:v>
      </x:c>
      <x:c r="BF592" s="22" t="n">
        <x:f>MAX(0,MIN('Activities'!L592,324)-MAX('Activities'!K592,318))</x:f>
        <x:v>0</x:v>
      </x:c>
      <x:c r="BG592" s="22" t="n">
        <x:f>MAX(0,MIN('Activities'!L592,330)-MAX('Activities'!K592,324))</x:f>
        <x:v>0</x:v>
      </x:c>
      <x:c r="BH592" s="22" t="n">
        <x:f>MAX(0,MIN('Activities'!L592,336)-MAX('Activities'!K592,330))</x:f>
        <x:v>0</x:v>
      </x:c>
      <x:c r="BI592" s="22" t="n">
        <x:f>MAX(0,MIN('Activities'!L592,342)-MAX('Activities'!K592,336))</x:f>
        <x:v>0</x:v>
      </x:c>
      <x:c r="BJ592" s="22" t="n">
        <x:f>MAX(0,MIN('Activities'!L592,348)-MAX('Activities'!K592,342))</x:f>
        <x:v>0</x:v>
      </x:c>
      <x:c r="BK592" s="22" t="n">
        <x:f>MAX(0,MIN('Activities'!L592,354)-MAX('Activities'!K592,348))</x:f>
        <x:v>0</x:v>
      </x:c>
      <x:c r="BL592" s="22" t="n">
        <x:f>MAX(0,MIN('Activities'!L592,360)-MAX('Activities'!K592,354))</x:f>
        <x:v>0</x:v>
      </x:c>
      <x:c r="BM592" s="22" t="n">
        <x:f>MAX(0,MIN('Activities'!L592,366)-MAX('Activities'!K592,360))</x:f>
        <x:v>0</x:v>
      </x:c>
      <x:c r="BN592" s="22" t="n">
        <x:f>MAX(0,MIN('Activities'!L592,372)-MAX('Activities'!K592,366))</x:f>
        <x:v>0</x:v>
      </x:c>
      <x:c r="BO592" s="22" t="n">
        <x:f>MAX(0,MIN('Activities'!L592,378)-MAX('Activities'!K592,372))</x:f>
        <x:v>0</x:v>
      </x:c>
      <x:c r="BP592" s="22" t="n">
        <x:f>MAX(0,MIN('Activities'!L592,384)-MAX('Activities'!K592,378))</x:f>
        <x:v>4</x:v>
      </x:c>
      <x:c r="BQ592" s="22" t="n">
        <x:f>MAX(0,MIN('Activities'!L592,390)-MAX('Activities'!K592,384))</x:f>
        <x:v>2</x:v>
      </x:c>
      <x:c r="BR592" s="22" t="n">
        <x:f>MAX(0,MIN('Activities'!L592,396)-MAX('Activities'!K592,390))</x:f>
        <x:v>0</x:v>
      </x:c>
      <x:c r="BS592" s="22" t="n">
        <x:f>MAX(0,MIN('Activities'!L592,402)-MAX('Activities'!K592,396))</x:f>
        <x:v>0</x:v>
      </x:c>
      <x:c r="BT592" s="22" t="n">
        <x:f>MAX(0,MIN('Activities'!L592,408)-MAX('Activities'!K592,402))</x:f>
        <x:v>0</x:v>
      </x:c>
      <x:c r="BU592" s="22" t="n">
        <x:f>MAX(0,MIN('Activities'!L592,414)-MAX('Activities'!K592,408))</x:f>
        <x:v>0</x:v>
      </x:c>
      <x:c r="BV592" s="22" t="n">
        <x:f>MAX(0,MIN('Activities'!L592,420)-MAX('Activities'!K592,414))</x:f>
        <x:v>0</x:v>
      </x:c>
      <x:c r="BW592" s="22" t="n">
        <x:f>MAX(0,MIN('Activities'!L592,426)-MAX('Activities'!K592,420))</x:f>
        <x:v>0</x:v>
      </x:c>
      <x:c r="BX592" s="22" t="n">
        <x:f>MAX(0,MIN('Activities'!L592,432)-MAX('Activities'!K592,426))</x:f>
        <x:v>0</x:v>
      </x:c>
      <x:c r="BY592" s="22" t="n">
        <x:f>MAX(0,MIN('Activities'!L592,438)-MAX('Activities'!K592,432))</x:f>
        <x:v>0</x:v>
      </x:c>
      <x:c r="BZ592" s="22" t="n">
        <x:f>MAX(0,MIN('Activities'!L592,444)-MAX('Activities'!K592,438))</x:f>
        <x:v>0</x:v>
      </x:c>
      <x:c r="CA592" s="22" t="n">
        <x:f>MAX(0,MIN('Activities'!L592,450)-MAX('Activities'!K592,444))</x:f>
        <x:v>0</x:v>
      </x:c>
      <x:c r="CB592" s="22" t="n">
        <x:f>MAX(0,MIN('Activities'!L592,456)-MAX('Activities'!K592,450))</x:f>
        <x:v>0</x:v>
      </x:c>
      <x:c r="CC592" s="22" t="n">
        <x:f>MAX(0,MIN('Activities'!L592,462)-MAX('Activities'!K592,456))</x:f>
        <x:v>0</x:v>
      </x:c>
      <x:c r="CD592" s="22" t="n">
        <x:f>MAX(0,MIN('Activities'!L592,468)-MAX('Activities'!K592,462))</x:f>
        <x:v>0</x:v>
      </x:c>
      <x:c r="CE592" s="22" t="n">
        <x:f>MAX(0,MIN('Activities'!L592,474)-MAX('Activities'!K592,468))</x:f>
        <x:v>0</x:v>
      </x:c>
      <x:c r="CF592" s="22" t="n">
        <x:f>MAX(0,MIN('Activities'!L592,480)-MAX('Activities'!K592,474))</x:f>
        <x:v>0</x:v>
      </x:c>
      <x:c r="CG592" s="22" t="n">
        <x:f>MAX(0,MIN('Activities'!L592,486)-MAX('Activities'!K592,480))</x:f>
        <x:v>0</x:v>
      </x:c>
      <x:c r="CH592" s="22" t="n">
        <x:f>MAX(0,MIN('Activities'!L592,492)-MAX('Activities'!K592,486))</x:f>
        <x:v>0</x:v>
      </x:c>
      <x:c r="CI592" s="22" t="n">
        <x:f>MAX(0,MIN('Activities'!L592,498)-MAX('Activities'!K592,492))</x:f>
        <x:v>0</x:v>
      </x:c>
      <x:c r="CJ592" s="22" t="n">
        <x:f>MAX(0,MIN('Activities'!L592,504)-MAX('Activities'!K592,498))</x:f>
        <x:v>0</x:v>
      </x:c>
      <x:c r="CK592" s="22" t="n">
        <x:f>MAX(0,MIN('Activities'!L592,510)-MAX('Activities'!K592,504))</x:f>
        <x:v>0</x:v>
      </x:c>
      <x:c r="CL592" s="22" t="n">
        <x:f>MAX(0,MIN('Activities'!L592,516)-MAX('Activities'!K592,510))</x:f>
        <x:v>0</x:v>
      </x:c>
      <x:c r="CM592" s="22" t="n">
        <x:f>MAX(0,MIN('Activities'!L592,522)-MAX('Activities'!K592,516))</x:f>
        <x:v>0</x:v>
      </x:c>
      <x:c r="CN592" s="22" t="n">
        <x:f>MAX(0,MIN('Activities'!L592,528)-MAX('Activities'!K592,522))</x:f>
        <x:v>0</x:v>
      </x:c>
      <x:c r="CO592" s="22" t="n">
        <x:f>MAX(0,MIN('Activities'!L592,534)-MAX('Activities'!K592,528))</x:f>
        <x:v>0</x:v>
      </x:c>
      <x:c r="CP592" s="22" t="n">
        <x:f>MAX(0,MIN('Activities'!L592,540)-MAX('Activities'!K592,534))</x:f>
        <x:v>0</x:v>
      </x:c>
      <x:c r="CQ592" s="22" t="n">
        <x:f>MAX(0,MIN('Activities'!L592,546)-MAX('Activities'!K592,540))</x:f>
        <x:v>0</x:v>
      </x:c>
      <x:c r="CR592" s="22" t="n">
        <x:f>MAX(0,MIN('Activities'!L592,552)-MAX('Activities'!K592,546))</x:f>
        <x:v>0</x:v>
      </x:c>
      <x:c r="CS592" s="22" t="n">
        <x:f>MAX(0,MIN('Activities'!L592,558)-MAX('Activities'!K592,552))</x:f>
        <x:v>0</x:v>
      </x:c>
      <x:c r="CT592" s="22" t="n">
        <x:f>MAX(0,MIN('Activities'!L592,564)-MAX('Activities'!K592,558))</x:f>
        <x:v>0</x:v>
      </x:c>
      <x:c r="CU592" s="22" t="n">
        <x:f>MAX(0,MIN('Activities'!L592,570)-MAX('Activities'!K592,564))</x:f>
        <x:v>0</x:v>
      </x:c>
      <x:c r="CV592" s="22" t="n">
        <x:f>MAX(0,MIN('Activities'!L592,576)-MAX('Activities'!K592,570))</x:f>
        <x:v>0</x:v>
      </x:c>
      <x:c r="CW592" s="22" t="n">
        <x:f>MAX(0,MIN('Activities'!L592,582)-MAX('Activities'!K592,576))</x:f>
        <x:v>0</x:v>
      </x:c>
      <x:c r="CX592" s="22" t="n">
        <x:f>MAX(0,MIN('Activities'!L592,588)-MAX('Activities'!K592,582))</x:f>
        <x:v>0</x:v>
      </x:c>
      <x:c r="CY592" s="22" t="n">
        <x:f>MAX(0,MIN('Activities'!L592,594)-MAX('Activities'!K592,588))</x:f>
        <x:v>0</x:v>
      </x:c>
      <x:c r="CZ592" s="22" t="n">
        <x:f>MAX(0,MIN('Activities'!L592,600)-MAX('Activities'!K592,594))</x:f>
        <x:v>0</x:v>
      </x:c>
      <x:c r="DA592" s="22" t="n">
        <x:f>MAX(0,MIN('Activities'!L592,606)-MAX('Activities'!K592,600))</x:f>
        <x:v>0</x:v>
      </x:c>
      <x:c r="DB592" s="22" t="n">
        <x:f>MAX(0,MIN('Activities'!L592,612)-MAX('Activities'!K592,606))</x:f>
        <x:v>0</x:v>
      </x:c>
      <x:c r="DC592" s="22" t="n">
        <x:f>MAX(0,MIN('Activities'!L592,618)-MAX('Activities'!K592,612))</x:f>
        <x:v>0</x:v>
      </x:c>
      <x:c r="DD592" s="22" t="n">
        <x:f>MAX(0,MIN('Activities'!L592,624)-MAX('Activities'!K592,618))</x:f>
        <x:v>0</x:v>
      </x:c>
      <x:c r="DE592" s="22" t="n">
        <x:f>MAX(0,MIN('Activities'!L592,630)-MAX('Activities'!K592,624))</x:f>
        <x:v>0</x:v>
      </x:c>
      <x:c r="DF592" s="22" t="n">
        <x:f>MAX(0,MIN('Activities'!L592,636)-MAX('Activities'!K592,630))</x:f>
        <x:v>0</x:v>
      </x:c>
    </x:row>
    <x:row r="593" ht="23" customHeight="1">
      <x:c r="A593" s="1" t="str">
        <x:v>T5-L11-R</x:v>
      </x:c>
      <x:c r="B593" s="1" t="str">
        <x:v>T5</x:v>
      </x:c>
      <x:c r="C593" s="1" t="str">
        <x:v>Column, wall, beam and slab reinforcement</x:v>
      </x:c>
      <x:c r="D593" s="1" t="str">
        <x:v>Rebar</x:v>
      </x:c>
      <x:c r="E593" s="23" t="n">
        <x:f>MAX(0,MIN('Activities'!L593,6)-MAX('Activities'!K593,0))</x:f>
        <x:v>0</x:v>
      </x:c>
      <x:c r="F593" s="23" t="n">
        <x:f>MAX(0,MIN('Activities'!L593,12)-MAX('Activities'!K593,6))</x:f>
        <x:v>0</x:v>
      </x:c>
      <x:c r="G593" s="23" t="n">
        <x:f>MAX(0,MIN('Activities'!L593,18)-MAX('Activities'!K593,12))</x:f>
        <x:v>0</x:v>
      </x:c>
      <x:c r="H593" s="23" t="n">
        <x:f>MAX(0,MIN('Activities'!L593,24)-MAX('Activities'!K593,18))</x:f>
        <x:v>0</x:v>
      </x:c>
      <x:c r="I593" s="23" t="n">
        <x:f>MAX(0,MIN('Activities'!L593,30)-MAX('Activities'!K593,24))</x:f>
        <x:v>0</x:v>
      </x:c>
      <x:c r="J593" s="23" t="n">
        <x:f>MAX(0,MIN('Activities'!L593,36)-MAX('Activities'!K593,30))</x:f>
        <x:v>0</x:v>
      </x:c>
      <x:c r="K593" s="23" t="n">
        <x:f>MAX(0,MIN('Activities'!L593,42)-MAX('Activities'!K593,36))</x:f>
        <x:v>0</x:v>
      </x:c>
      <x:c r="L593" s="23" t="n">
        <x:f>MAX(0,MIN('Activities'!L593,48)-MAX('Activities'!K593,42))</x:f>
        <x:v>0</x:v>
      </x:c>
      <x:c r="M593" s="23" t="n">
        <x:f>MAX(0,MIN('Activities'!L593,54)-MAX('Activities'!K593,48))</x:f>
        <x:v>0</x:v>
      </x:c>
      <x:c r="N593" s="23" t="n">
        <x:f>MAX(0,MIN('Activities'!L593,60)-MAX('Activities'!K593,54))</x:f>
        <x:v>0</x:v>
      </x:c>
      <x:c r="O593" s="23" t="n">
        <x:f>MAX(0,MIN('Activities'!L593,66)-MAX('Activities'!K593,60))</x:f>
        <x:v>0</x:v>
      </x:c>
      <x:c r="P593" s="23" t="n">
        <x:f>MAX(0,MIN('Activities'!L593,72)-MAX('Activities'!K593,66))</x:f>
        <x:v>0</x:v>
      </x:c>
      <x:c r="Q593" s="23" t="n">
        <x:f>MAX(0,MIN('Activities'!L593,78)-MAX('Activities'!K593,72))</x:f>
        <x:v>0</x:v>
      </x:c>
      <x:c r="R593" s="23" t="n">
        <x:f>MAX(0,MIN('Activities'!L593,84)-MAX('Activities'!K593,78))</x:f>
        <x:v>0</x:v>
      </x:c>
      <x:c r="S593" s="23" t="n">
        <x:f>MAX(0,MIN('Activities'!L593,90)-MAX('Activities'!K593,84))</x:f>
        <x:v>0</x:v>
      </x:c>
      <x:c r="T593" s="23" t="n">
        <x:f>MAX(0,MIN('Activities'!L593,96)-MAX('Activities'!K593,90))</x:f>
        <x:v>0</x:v>
      </x:c>
      <x:c r="U593" s="23" t="n">
        <x:f>MAX(0,MIN('Activities'!L593,102)-MAX('Activities'!K593,96))</x:f>
        <x:v>0</x:v>
      </x:c>
      <x:c r="V593" s="23" t="n">
        <x:f>MAX(0,MIN('Activities'!L593,108)-MAX('Activities'!K593,102))</x:f>
        <x:v>0</x:v>
      </x:c>
      <x:c r="W593" s="23" t="n">
        <x:f>MAX(0,MIN('Activities'!L593,114)-MAX('Activities'!K593,108))</x:f>
        <x:v>0</x:v>
      </x:c>
      <x:c r="X593" s="23" t="n">
        <x:f>MAX(0,MIN('Activities'!L593,120)-MAX('Activities'!K593,114))</x:f>
        <x:v>0</x:v>
      </x:c>
      <x:c r="Y593" s="23" t="n">
        <x:f>MAX(0,MIN('Activities'!L593,126)-MAX('Activities'!K593,120))</x:f>
        <x:v>0</x:v>
      </x:c>
      <x:c r="Z593" s="23" t="n">
        <x:f>MAX(0,MIN('Activities'!L593,132)-MAX('Activities'!K593,126))</x:f>
        <x:v>0</x:v>
      </x:c>
      <x:c r="AA593" s="23" t="n">
        <x:f>MAX(0,MIN('Activities'!L593,138)-MAX('Activities'!K593,132))</x:f>
        <x:v>0</x:v>
      </x:c>
      <x:c r="AB593" s="23" t="n">
        <x:f>MAX(0,MIN('Activities'!L593,144)-MAX('Activities'!K593,138))</x:f>
        <x:v>0</x:v>
      </x:c>
      <x:c r="AC593" s="23" t="n">
        <x:f>MAX(0,MIN('Activities'!L593,150)-MAX('Activities'!K593,144))</x:f>
        <x:v>0</x:v>
      </x:c>
      <x:c r="AD593" s="23" t="n">
        <x:f>MAX(0,MIN('Activities'!L593,156)-MAX('Activities'!K593,150))</x:f>
        <x:v>0</x:v>
      </x:c>
      <x:c r="AE593" s="23" t="n">
        <x:f>MAX(0,MIN('Activities'!L593,162)-MAX('Activities'!K593,156))</x:f>
        <x:v>0</x:v>
      </x:c>
      <x:c r="AF593" s="23" t="n">
        <x:f>MAX(0,MIN('Activities'!L593,168)-MAX('Activities'!K593,162))</x:f>
        <x:v>0</x:v>
      </x:c>
      <x:c r="AG593" s="23" t="n">
        <x:f>MAX(0,MIN('Activities'!L593,174)-MAX('Activities'!K593,168))</x:f>
        <x:v>0</x:v>
      </x:c>
      <x:c r="AH593" s="23" t="n">
        <x:f>MAX(0,MIN('Activities'!L593,180)-MAX('Activities'!K593,174))</x:f>
        <x:v>0</x:v>
      </x:c>
      <x:c r="AI593" s="23" t="n">
        <x:f>MAX(0,MIN('Activities'!L593,186)-MAX('Activities'!K593,180))</x:f>
        <x:v>0</x:v>
      </x:c>
      <x:c r="AJ593" s="23" t="n">
        <x:f>MAX(0,MIN('Activities'!L593,192)-MAX('Activities'!K593,186))</x:f>
        <x:v>0</x:v>
      </x:c>
      <x:c r="AK593" s="23" t="n">
        <x:f>MAX(0,MIN('Activities'!L593,198)-MAX('Activities'!K593,192))</x:f>
        <x:v>0</x:v>
      </x:c>
      <x:c r="AL593" s="23" t="n">
        <x:f>MAX(0,MIN('Activities'!L593,204)-MAX('Activities'!K593,198))</x:f>
        <x:v>0</x:v>
      </x:c>
      <x:c r="AM593" s="23" t="n">
        <x:f>MAX(0,MIN('Activities'!L593,210)-MAX('Activities'!K593,204))</x:f>
        <x:v>0</x:v>
      </x:c>
      <x:c r="AN593" s="23" t="n">
        <x:f>MAX(0,MIN('Activities'!L593,216)-MAX('Activities'!K593,210))</x:f>
        <x:v>0</x:v>
      </x:c>
      <x:c r="AO593" s="23" t="n">
        <x:f>MAX(0,MIN('Activities'!L593,222)-MAX('Activities'!K593,216))</x:f>
        <x:v>0</x:v>
      </x:c>
      <x:c r="AP593" s="23" t="n">
        <x:f>MAX(0,MIN('Activities'!L593,228)-MAX('Activities'!K593,222))</x:f>
        <x:v>0</x:v>
      </x:c>
      <x:c r="AQ593" s="23" t="n">
        <x:f>MAX(0,MIN('Activities'!L593,234)-MAX('Activities'!K593,228))</x:f>
        <x:v>0</x:v>
      </x:c>
      <x:c r="AR593" s="23" t="n">
        <x:f>MAX(0,MIN('Activities'!L593,240)-MAX('Activities'!K593,234))</x:f>
        <x:v>0</x:v>
      </x:c>
      <x:c r="AS593" s="23" t="n">
        <x:f>MAX(0,MIN('Activities'!L593,246)-MAX('Activities'!K593,240))</x:f>
        <x:v>0</x:v>
      </x:c>
      <x:c r="AT593" s="23" t="n">
        <x:f>MAX(0,MIN('Activities'!L593,252)-MAX('Activities'!K593,246))</x:f>
        <x:v>0</x:v>
      </x:c>
      <x:c r="AU593" s="23" t="n">
        <x:f>MAX(0,MIN('Activities'!L593,258)-MAX('Activities'!K593,252))</x:f>
        <x:v>0</x:v>
      </x:c>
      <x:c r="AV593" s="23" t="n">
        <x:f>MAX(0,MIN('Activities'!L593,264)-MAX('Activities'!K593,258))</x:f>
        <x:v>0</x:v>
      </x:c>
      <x:c r="AW593" s="23" t="n">
        <x:f>MAX(0,MIN('Activities'!L593,270)-MAX('Activities'!K593,264))</x:f>
        <x:v>0</x:v>
      </x:c>
      <x:c r="AX593" s="23" t="n">
        <x:f>MAX(0,MIN('Activities'!L593,276)-MAX('Activities'!K593,270))</x:f>
        <x:v>0</x:v>
      </x:c>
      <x:c r="AY593" s="23" t="n">
        <x:f>MAX(0,MIN('Activities'!L593,282)-MAX('Activities'!K593,276))</x:f>
        <x:v>0</x:v>
      </x:c>
      <x:c r="AZ593" s="23" t="n">
        <x:f>MAX(0,MIN('Activities'!L593,288)-MAX('Activities'!K593,282))</x:f>
        <x:v>0</x:v>
      </x:c>
      <x:c r="BA593" s="23" t="n">
        <x:f>MAX(0,MIN('Activities'!L593,294)-MAX('Activities'!K593,288))</x:f>
        <x:v>0</x:v>
      </x:c>
      <x:c r="BB593" s="23" t="n">
        <x:f>MAX(0,MIN('Activities'!L593,300)-MAX('Activities'!K593,294))</x:f>
        <x:v>0</x:v>
      </x:c>
      <x:c r="BC593" s="23" t="n">
        <x:f>MAX(0,MIN('Activities'!L593,306)-MAX('Activities'!K593,300))</x:f>
        <x:v>0</x:v>
      </x:c>
      <x:c r="BD593" s="23" t="n">
        <x:f>MAX(0,MIN('Activities'!L593,312)-MAX('Activities'!K593,306))</x:f>
        <x:v>0</x:v>
      </x:c>
      <x:c r="BE593" s="23" t="n">
        <x:f>MAX(0,MIN('Activities'!L593,318)-MAX('Activities'!K593,312))</x:f>
        <x:v>0</x:v>
      </x:c>
      <x:c r="BF593" s="23" t="n">
        <x:f>MAX(0,MIN('Activities'!L593,324)-MAX('Activities'!K593,318))</x:f>
        <x:v>0</x:v>
      </x:c>
      <x:c r="BG593" s="23" t="n">
        <x:f>MAX(0,MIN('Activities'!L593,330)-MAX('Activities'!K593,324))</x:f>
        <x:v>0</x:v>
      </x:c>
      <x:c r="BH593" s="23" t="n">
        <x:f>MAX(0,MIN('Activities'!L593,336)-MAX('Activities'!K593,330))</x:f>
        <x:v>0</x:v>
      </x:c>
      <x:c r="BI593" s="23" t="n">
        <x:f>MAX(0,MIN('Activities'!L593,342)-MAX('Activities'!K593,336))</x:f>
        <x:v>0</x:v>
      </x:c>
      <x:c r="BJ593" s="23" t="n">
        <x:f>MAX(0,MIN('Activities'!L593,348)-MAX('Activities'!K593,342))</x:f>
        <x:v>0</x:v>
      </x:c>
      <x:c r="BK593" s="23" t="n">
        <x:f>MAX(0,MIN('Activities'!L593,354)-MAX('Activities'!K593,348))</x:f>
        <x:v>0</x:v>
      </x:c>
      <x:c r="BL593" s="23" t="n">
        <x:f>MAX(0,MIN('Activities'!L593,360)-MAX('Activities'!K593,354))</x:f>
        <x:v>0</x:v>
      </x:c>
      <x:c r="BM593" s="23" t="n">
        <x:f>MAX(0,MIN('Activities'!L593,366)-MAX('Activities'!K593,360))</x:f>
        <x:v>0</x:v>
      </x:c>
      <x:c r="BN593" s="23" t="n">
        <x:f>MAX(0,MIN('Activities'!L593,372)-MAX('Activities'!K593,366))</x:f>
        <x:v>0</x:v>
      </x:c>
      <x:c r="BO593" s="23" t="n">
        <x:f>MAX(0,MIN('Activities'!L593,378)-MAX('Activities'!K593,372))</x:f>
        <x:v>0</x:v>
      </x:c>
      <x:c r="BP593" s="23" t="n">
        <x:f>MAX(0,MIN('Activities'!L593,384)-MAX('Activities'!K593,378))</x:f>
        <x:v>0</x:v>
      </x:c>
      <x:c r="BQ593" s="23" t="n">
        <x:f>MAX(0,MIN('Activities'!L593,390)-MAX('Activities'!K593,384))</x:f>
        <x:v>4</x:v>
      </x:c>
      <x:c r="BR593" s="23" t="n">
        <x:f>MAX(0,MIN('Activities'!L593,396)-MAX('Activities'!K593,390))</x:f>
        <x:v>1</x:v>
      </x:c>
      <x:c r="BS593" s="23" t="n">
        <x:f>MAX(0,MIN('Activities'!L593,402)-MAX('Activities'!K593,396))</x:f>
        <x:v>0</x:v>
      </x:c>
      <x:c r="BT593" s="23" t="n">
        <x:f>MAX(0,MIN('Activities'!L593,408)-MAX('Activities'!K593,402))</x:f>
        <x:v>0</x:v>
      </x:c>
      <x:c r="BU593" s="23" t="n">
        <x:f>MAX(0,MIN('Activities'!L593,414)-MAX('Activities'!K593,408))</x:f>
        <x:v>0</x:v>
      </x:c>
      <x:c r="BV593" s="23" t="n">
        <x:f>MAX(0,MIN('Activities'!L593,420)-MAX('Activities'!K593,414))</x:f>
        <x:v>0</x:v>
      </x:c>
      <x:c r="BW593" s="23" t="n">
        <x:f>MAX(0,MIN('Activities'!L593,426)-MAX('Activities'!K593,420))</x:f>
        <x:v>0</x:v>
      </x:c>
      <x:c r="BX593" s="23" t="n">
        <x:f>MAX(0,MIN('Activities'!L593,432)-MAX('Activities'!K593,426))</x:f>
        <x:v>0</x:v>
      </x:c>
      <x:c r="BY593" s="23" t="n">
        <x:f>MAX(0,MIN('Activities'!L593,438)-MAX('Activities'!K593,432))</x:f>
        <x:v>0</x:v>
      </x:c>
      <x:c r="BZ593" s="23" t="n">
        <x:f>MAX(0,MIN('Activities'!L593,444)-MAX('Activities'!K593,438))</x:f>
        <x:v>0</x:v>
      </x:c>
      <x:c r="CA593" s="23" t="n">
        <x:f>MAX(0,MIN('Activities'!L593,450)-MAX('Activities'!K593,444))</x:f>
        <x:v>0</x:v>
      </x:c>
      <x:c r="CB593" s="23" t="n">
        <x:f>MAX(0,MIN('Activities'!L593,456)-MAX('Activities'!K593,450))</x:f>
        <x:v>0</x:v>
      </x:c>
      <x:c r="CC593" s="23" t="n">
        <x:f>MAX(0,MIN('Activities'!L593,462)-MAX('Activities'!K593,456))</x:f>
        <x:v>0</x:v>
      </x:c>
      <x:c r="CD593" s="23" t="n">
        <x:f>MAX(0,MIN('Activities'!L593,468)-MAX('Activities'!K593,462))</x:f>
        <x:v>0</x:v>
      </x:c>
      <x:c r="CE593" s="23" t="n">
        <x:f>MAX(0,MIN('Activities'!L593,474)-MAX('Activities'!K593,468))</x:f>
        <x:v>0</x:v>
      </x:c>
      <x:c r="CF593" s="23" t="n">
        <x:f>MAX(0,MIN('Activities'!L593,480)-MAX('Activities'!K593,474))</x:f>
        <x:v>0</x:v>
      </x:c>
      <x:c r="CG593" s="23" t="n">
        <x:f>MAX(0,MIN('Activities'!L593,486)-MAX('Activities'!K593,480))</x:f>
        <x:v>0</x:v>
      </x:c>
      <x:c r="CH593" s="23" t="n">
        <x:f>MAX(0,MIN('Activities'!L593,492)-MAX('Activities'!K593,486))</x:f>
        <x:v>0</x:v>
      </x:c>
      <x:c r="CI593" s="23" t="n">
        <x:f>MAX(0,MIN('Activities'!L593,498)-MAX('Activities'!K593,492))</x:f>
        <x:v>0</x:v>
      </x:c>
      <x:c r="CJ593" s="23" t="n">
        <x:f>MAX(0,MIN('Activities'!L593,504)-MAX('Activities'!K593,498))</x:f>
        <x:v>0</x:v>
      </x:c>
      <x:c r="CK593" s="23" t="n">
        <x:f>MAX(0,MIN('Activities'!L593,510)-MAX('Activities'!K593,504))</x:f>
        <x:v>0</x:v>
      </x:c>
      <x:c r="CL593" s="23" t="n">
        <x:f>MAX(0,MIN('Activities'!L593,516)-MAX('Activities'!K593,510))</x:f>
        <x:v>0</x:v>
      </x:c>
      <x:c r="CM593" s="23" t="n">
        <x:f>MAX(0,MIN('Activities'!L593,522)-MAX('Activities'!K593,516))</x:f>
        <x:v>0</x:v>
      </x:c>
      <x:c r="CN593" s="23" t="n">
        <x:f>MAX(0,MIN('Activities'!L593,528)-MAX('Activities'!K593,522))</x:f>
        <x:v>0</x:v>
      </x:c>
      <x:c r="CO593" s="23" t="n">
        <x:f>MAX(0,MIN('Activities'!L593,534)-MAX('Activities'!K593,528))</x:f>
        <x:v>0</x:v>
      </x:c>
      <x:c r="CP593" s="23" t="n">
        <x:f>MAX(0,MIN('Activities'!L593,540)-MAX('Activities'!K593,534))</x:f>
        <x:v>0</x:v>
      </x:c>
      <x:c r="CQ593" s="23" t="n">
        <x:f>MAX(0,MIN('Activities'!L593,546)-MAX('Activities'!K593,540))</x:f>
        <x:v>0</x:v>
      </x:c>
      <x:c r="CR593" s="23" t="n">
        <x:f>MAX(0,MIN('Activities'!L593,552)-MAX('Activities'!K593,546))</x:f>
        <x:v>0</x:v>
      </x:c>
      <x:c r="CS593" s="23" t="n">
        <x:f>MAX(0,MIN('Activities'!L593,558)-MAX('Activities'!K593,552))</x:f>
        <x:v>0</x:v>
      </x:c>
      <x:c r="CT593" s="23" t="n">
        <x:f>MAX(0,MIN('Activities'!L593,564)-MAX('Activities'!K593,558))</x:f>
        <x:v>0</x:v>
      </x:c>
      <x:c r="CU593" s="23" t="n">
        <x:f>MAX(0,MIN('Activities'!L593,570)-MAX('Activities'!K593,564))</x:f>
        <x:v>0</x:v>
      </x:c>
      <x:c r="CV593" s="23" t="n">
        <x:f>MAX(0,MIN('Activities'!L593,576)-MAX('Activities'!K593,570))</x:f>
        <x:v>0</x:v>
      </x:c>
      <x:c r="CW593" s="23" t="n">
        <x:f>MAX(0,MIN('Activities'!L593,582)-MAX('Activities'!K593,576))</x:f>
        <x:v>0</x:v>
      </x:c>
      <x:c r="CX593" s="23" t="n">
        <x:f>MAX(0,MIN('Activities'!L593,588)-MAX('Activities'!K593,582))</x:f>
        <x:v>0</x:v>
      </x:c>
      <x:c r="CY593" s="23" t="n">
        <x:f>MAX(0,MIN('Activities'!L593,594)-MAX('Activities'!K593,588))</x:f>
        <x:v>0</x:v>
      </x:c>
      <x:c r="CZ593" s="23" t="n">
        <x:f>MAX(0,MIN('Activities'!L593,600)-MAX('Activities'!K593,594))</x:f>
        <x:v>0</x:v>
      </x:c>
      <x:c r="DA593" s="23" t="n">
        <x:f>MAX(0,MIN('Activities'!L593,606)-MAX('Activities'!K593,600))</x:f>
        <x:v>0</x:v>
      </x:c>
      <x:c r="DB593" s="23" t="n">
        <x:f>MAX(0,MIN('Activities'!L593,612)-MAX('Activities'!K593,606))</x:f>
        <x:v>0</x:v>
      </x:c>
      <x:c r="DC593" s="23" t="n">
        <x:f>MAX(0,MIN('Activities'!L593,618)-MAX('Activities'!K593,612))</x:f>
        <x:v>0</x:v>
      </x:c>
      <x:c r="DD593" s="23" t="n">
        <x:f>MAX(0,MIN('Activities'!L593,624)-MAX('Activities'!K593,618))</x:f>
        <x:v>0</x:v>
      </x:c>
      <x:c r="DE593" s="23" t="n">
        <x:f>MAX(0,MIN('Activities'!L593,630)-MAX('Activities'!K593,624))</x:f>
        <x:v>0</x:v>
      </x:c>
      <x:c r="DF593" s="23" t="n">
        <x:f>MAX(0,MIN('Activities'!L593,636)-MAX('Activities'!K593,630))</x:f>
        <x:v>0</x:v>
      </x:c>
    </x:row>
    <x:row r="594" ht="23" customHeight="1">
      <x:c r="A594" s="6" t="str">
        <x:v>T5-L11-C</x:v>
      </x:c>
      <x:c r="B594" s="6" t="str">
        <x:v>T5</x:v>
      </x:c>
      <x:c r="C594" s="6" t="str">
        <x:v>Concrete placement and finishing</x:v>
      </x:c>
      <x:c r="D594" s="6" t="str">
        <x:v>Concrete</x:v>
      </x:c>
      <x:c r="E594" s="22" t="n">
        <x:f>MAX(0,MIN('Activities'!L594,6)-MAX('Activities'!K594,0))</x:f>
        <x:v>0</x:v>
      </x:c>
      <x:c r="F594" s="22" t="n">
        <x:f>MAX(0,MIN('Activities'!L594,12)-MAX('Activities'!K594,6))</x:f>
        <x:v>0</x:v>
      </x:c>
      <x:c r="G594" s="22" t="n">
        <x:f>MAX(0,MIN('Activities'!L594,18)-MAX('Activities'!K594,12))</x:f>
        <x:v>0</x:v>
      </x:c>
      <x:c r="H594" s="22" t="n">
        <x:f>MAX(0,MIN('Activities'!L594,24)-MAX('Activities'!K594,18))</x:f>
        <x:v>0</x:v>
      </x:c>
      <x:c r="I594" s="22" t="n">
        <x:f>MAX(0,MIN('Activities'!L594,30)-MAX('Activities'!K594,24))</x:f>
        <x:v>0</x:v>
      </x:c>
      <x:c r="J594" s="22" t="n">
        <x:f>MAX(0,MIN('Activities'!L594,36)-MAX('Activities'!K594,30))</x:f>
        <x:v>0</x:v>
      </x:c>
      <x:c r="K594" s="22" t="n">
        <x:f>MAX(0,MIN('Activities'!L594,42)-MAX('Activities'!K594,36))</x:f>
        <x:v>0</x:v>
      </x:c>
      <x:c r="L594" s="22" t="n">
        <x:f>MAX(0,MIN('Activities'!L594,48)-MAX('Activities'!K594,42))</x:f>
        <x:v>0</x:v>
      </x:c>
      <x:c r="M594" s="22" t="n">
        <x:f>MAX(0,MIN('Activities'!L594,54)-MAX('Activities'!K594,48))</x:f>
        <x:v>0</x:v>
      </x:c>
      <x:c r="N594" s="22" t="n">
        <x:f>MAX(0,MIN('Activities'!L594,60)-MAX('Activities'!K594,54))</x:f>
        <x:v>0</x:v>
      </x:c>
      <x:c r="O594" s="22" t="n">
        <x:f>MAX(0,MIN('Activities'!L594,66)-MAX('Activities'!K594,60))</x:f>
        <x:v>0</x:v>
      </x:c>
      <x:c r="P594" s="22" t="n">
        <x:f>MAX(0,MIN('Activities'!L594,72)-MAX('Activities'!K594,66))</x:f>
        <x:v>0</x:v>
      </x:c>
      <x:c r="Q594" s="22" t="n">
        <x:f>MAX(0,MIN('Activities'!L594,78)-MAX('Activities'!K594,72))</x:f>
        <x:v>0</x:v>
      </x:c>
      <x:c r="R594" s="22" t="n">
        <x:f>MAX(0,MIN('Activities'!L594,84)-MAX('Activities'!K594,78))</x:f>
        <x:v>0</x:v>
      </x:c>
      <x:c r="S594" s="22" t="n">
        <x:f>MAX(0,MIN('Activities'!L594,90)-MAX('Activities'!K594,84))</x:f>
        <x:v>0</x:v>
      </x:c>
      <x:c r="T594" s="22" t="n">
        <x:f>MAX(0,MIN('Activities'!L594,96)-MAX('Activities'!K594,90))</x:f>
        <x:v>0</x:v>
      </x:c>
      <x:c r="U594" s="22" t="n">
        <x:f>MAX(0,MIN('Activities'!L594,102)-MAX('Activities'!K594,96))</x:f>
        <x:v>0</x:v>
      </x:c>
      <x:c r="V594" s="22" t="n">
        <x:f>MAX(0,MIN('Activities'!L594,108)-MAX('Activities'!K594,102))</x:f>
        <x:v>0</x:v>
      </x:c>
      <x:c r="W594" s="22" t="n">
        <x:f>MAX(0,MIN('Activities'!L594,114)-MAX('Activities'!K594,108))</x:f>
        <x:v>0</x:v>
      </x:c>
      <x:c r="X594" s="22" t="n">
        <x:f>MAX(0,MIN('Activities'!L594,120)-MAX('Activities'!K594,114))</x:f>
        <x:v>0</x:v>
      </x:c>
      <x:c r="Y594" s="22" t="n">
        <x:f>MAX(0,MIN('Activities'!L594,126)-MAX('Activities'!K594,120))</x:f>
        <x:v>0</x:v>
      </x:c>
      <x:c r="Z594" s="22" t="n">
        <x:f>MAX(0,MIN('Activities'!L594,132)-MAX('Activities'!K594,126))</x:f>
        <x:v>0</x:v>
      </x:c>
      <x:c r="AA594" s="22" t="n">
        <x:f>MAX(0,MIN('Activities'!L594,138)-MAX('Activities'!K594,132))</x:f>
        <x:v>0</x:v>
      </x:c>
      <x:c r="AB594" s="22" t="n">
        <x:f>MAX(0,MIN('Activities'!L594,144)-MAX('Activities'!K594,138))</x:f>
        <x:v>0</x:v>
      </x:c>
      <x:c r="AC594" s="22" t="n">
        <x:f>MAX(0,MIN('Activities'!L594,150)-MAX('Activities'!K594,144))</x:f>
        <x:v>0</x:v>
      </x:c>
      <x:c r="AD594" s="22" t="n">
        <x:f>MAX(0,MIN('Activities'!L594,156)-MAX('Activities'!K594,150))</x:f>
        <x:v>0</x:v>
      </x:c>
      <x:c r="AE594" s="22" t="n">
        <x:f>MAX(0,MIN('Activities'!L594,162)-MAX('Activities'!K594,156))</x:f>
        <x:v>0</x:v>
      </x:c>
      <x:c r="AF594" s="22" t="n">
        <x:f>MAX(0,MIN('Activities'!L594,168)-MAX('Activities'!K594,162))</x:f>
        <x:v>0</x:v>
      </x:c>
      <x:c r="AG594" s="22" t="n">
        <x:f>MAX(0,MIN('Activities'!L594,174)-MAX('Activities'!K594,168))</x:f>
        <x:v>0</x:v>
      </x:c>
      <x:c r="AH594" s="22" t="n">
        <x:f>MAX(0,MIN('Activities'!L594,180)-MAX('Activities'!K594,174))</x:f>
        <x:v>0</x:v>
      </x:c>
      <x:c r="AI594" s="22" t="n">
        <x:f>MAX(0,MIN('Activities'!L594,186)-MAX('Activities'!K594,180))</x:f>
        <x:v>0</x:v>
      </x:c>
      <x:c r="AJ594" s="22" t="n">
        <x:f>MAX(0,MIN('Activities'!L594,192)-MAX('Activities'!K594,186))</x:f>
        <x:v>0</x:v>
      </x:c>
      <x:c r="AK594" s="22" t="n">
        <x:f>MAX(0,MIN('Activities'!L594,198)-MAX('Activities'!K594,192))</x:f>
        <x:v>0</x:v>
      </x:c>
      <x:c r="AL594" s="22" t="n">
        <x:f>MAX(0,MIN('Activities'!L594,204)-MAX('Activities'!K594,198))</x:f>
        <x:v>0</x:v>
      </x:c>
      <x:c r="AM594" s="22" t="n">
        <x:f>MAX(0,MIN('Activities'!L594,210)-MAX('Activities'!K594,204))</x:f>
        <x:v>0</x:v>
      </x:c>
      <x:c r="AN594" s="22" t="n">
        <x:f>MAX(0,MIN('Activities'!L594,216)-MAX('Activities'!K594,210))</x:f>
        <x:v>0</x:v>
      </x:c>
      <x:c r="AO594" s="22" t="n">
        <x:f>MAX(0,MIN('Activities'!L594,222)-MAX('Activities'!K594,216))</x:f>
        <x:v>0</x:v>
      </x:c>
      <x:c r="AP594" s="22" t="n">
        <x:f>MAX(0,MIN('Activities'!L594,228)-MAX('Activities'!K594,222))</x:f>
        <x:v>0</x:v>
      </x:c>
      <x:c r="AQ594" s="22" t="n">
        <x:f>MAX(0,MIN('Activities'!L594,234)-MAX('Activities'!K594,228))</x:f>
        <x:v>0</x:v>
      </x:c>
      <x:c r="AR594" s="22" t="n">
        <x:f>MAX(0,MIN('Activities'!L594,240)-MAX('Activities'!K594,234))</x:f>
        <x:v>0</x:v>
      </x:c>
      <x:c r="AS594" s="22" t="n">
        <x:f>MAX(0,MIN('Activities'!L594,246)-MAX('Activities'!K594,240))</x:f>
        <x:v>0</x:v>
      </x:c>
      <x:c r="AT594" s="22" t="n">
        <x:f>MAX(0,MIN('Activities'!L594,252)-MAX('Activities'!K594,246))</x:f>
        <x:v>0</x:v>
      </x:c>
      <x:c r="AU594" s="22" t="n">
        <x:f>MAX(0,MIN('Activities'!L594,258)-MAX('Activities'!K594,252))</x:f>
        <x:v>0</x:v>
      </x:c>
      <x:c r="AV594" s="22" t="n">
        <x:f>MAX(0,MIN('Activities'!L594,264)-MAX('Activities'!K594,258))</x:f>
        <x:v>0</x:v>
      </x:c>
      <x:c r="AW594" s="22" t="n">
        <x:f>MAX(0,MIN('Activities'!L594,270)-MAX('Activities'!K594,264))</x:f>
        <x:v>0</x:v>
      </x:c>
      <x:c r="AX594" s="22" t="n">
        <x:f>MAX(0,MIN('Activities'!L594,276)-MAX('Activities'!K594,270))</x:f>
        <x:v>0</x:v>
      </x:c>
      <x:c r="AY594" s="22" t="n">
        <x:f>MAX(0,MIN('Activities'!L594,282)-MAX('Activities'!K594,276))</x:f>
        <x:v>0</x:v>
      </x:c>
      <x:c r="AZ594" s="22" t="n">
        <x:f>MAX(0,MIN('Activities'!L594,288)-MAX('Activities'!K594,282))</x:f>
        <x:v>0</x:v>
      </x:c>
      <x:c r="BA594" s="22" t="n">
        <x:f>MAX(0,MIN('Activities'!L594,294)-MAX('Activities'!K594,288))</x:f>
        <x:v>0</x:v>
      </x:c>
      <x:c r="BB594" s="22" t="n">
        <x:f>MAX(0,MIN('Activities'!L594,300)-MAX('Activities'!K594,294))</x:f>
        <x:v>0</x:v>
      </x:c>
      <x:c r="BC594" s="22" t="n">
        <x:f>MAX(0,MIN('Activities'!L594,306)-MAX('Activities'!K594,300))</x:f>
        <x:v>0</x:v>
      </x:c>
      <x:c r="BD594" s="22" t="n">
        <x:f>MAX(0,MIN('Activities'!L594,312)-MAX('Activities'!K594,306))</x:f>
        <x:v>0</x:v>
      </x:c>
      <x:c r="BE594" s="22" t="n">
        <x:f>MAX(0,MIN('Activities'!L594,318)-MAX('Activities'!K594,312))</x:f>
        <x:v>0</x:v>
      </x:c>
      <x:c r="BF594" s="22" t="n">
        <x:f>MAX(0,MIN('Activities'!L594,324)-MAX('Activities'!K594,318))</x:f>
        <x:v>0</x:v>
      </x:c>
      <x:c r="BG594" s="22" t="n">
        <x:f>MAX(0,MIN('Activities'!L594,330)-MAX('Activities'!K594,324))</x:f>
        <x:v>0</x:v>
      </x:c>
      <x:c r="BH594" s="22" t="n">
        <x:f>MAX(0,MIN('Activities'!L594,336)-MAX('Activities'!K594,330))</x:f>
        <x:v>0</x:v>
      </x:c>
      <x:c r="BI594" s="22" t="n">
        <x:f>MAX(0,MIN('Activities'!L594,342)-MAX('Activities'!K594,336))</x:f>
        <x:v>0</x:v>
      </x:c>
      <x:c r="BJ594" s="22" t="n">
        <x:f>MAX(0,MIN('Activities'!L594,348)-MAX('Activities'!K594,342))</x:f>
        <x:v>0</x:v>
      </x:c>
      <x:c r="BK594" s="22" t="n">
        <x:f>MAX(0,MIN('Activities'!L594,354)-MAX('Activities'!K594,348))</x:f>
        <x:v>0</x:v>
      </x:c>
      <x:c r="BL594" s="22" t="n">
        <x:f>MAX(0,MIN('Activities'!L594,360)-MAX('Activities'!K594,354))</x:f>
        <x:v>0</x:v>
      </x:c>
      <x:c r="BM594" s="22" t="n">
        <x:f>MAX(0,MIN('Activities'!L594,366)-MAX('Activities'!K594,360))</x:f>
        <x:v>0</x:v>
      </x:c>
      <x:c r="BN594" s="22" t="n">
        <x:f>MAX(0,MIN('Activities'!L594,372)-MAX('Activities'!K594,366))</x:f>
        <x:v>0</x:v>
      </x:c>
      <x:c r="BO594" s="22" t="n">
        <x:f>MAX(0,MIN('Activities'!L594,378)-MAX('Activities'!K594,372))</x:f>
        <x:v>0</x:v>
      </x:c>
      <x:c r="BP594" s="22" t="n">
        <x:f>MAX(0,MIN('Activities'!L594,384)-MAX('Activities'!K594,378))</x:f>
        <x:v>0</x:v>
      </x:c>
      <x:c r="BQ594" s="22" t="n">
        <x:f>MAX(0,MIN('Activities'!L594,390)-MAX('Activities'!K594,384))</x:f>
        <x:v>0</x:v>
      </x:c>
      <x:c r="BR594" s="22" t="n">
        <x:f>MAX(0,MIN('Activities'!L594,396)-MAX('Activities'!K594,390))</x:f>
        <x:v>2</x:v>
      </x:c>
      <x:c r="BS594" s="22" t="n">
        <x:f>MAX(0,MIN('Activities'!L594,402)-MAX('Activities'!K594,396))</x:f>
        <x:v>0</x:v>
      </x:c>
      <x:c r="BT594" s="22" t="n">
        <x:f>MAX(0,MIN('Activities'!L594,408)-MAX('Activities'!K594,402))</x:f>
        <x:v>0</x:v>
      </x:c>
      <x:c r="BU594" s="22" t="n">
        <x:f>MAX(0,MIN('Activities'!L594,414)-MAX('Activities'!K594,408))</x:f>
        <x:v>0</x:v>
      </x:c>
      <x:c r="BV594" s="22" t="n">
        <x:f>MAX(0,MIN('Activities'!L594,420)-MAX('Activities'!K594,414))</x:f>
        <x:v>0</x:v>
      </x:c>
      <x:c r="BW594" s="22" t="n">
        <x:f>MAX(0,MIN('Activities'!L594,426)-MAX('Activities'!K594,420))</x:f>
        <x:v>0</x:v>
      </x:c>
      <x:c r="BX594" s="22" t="n">
        <x:f>MAX(0,MIN('Activities'!L594,432)-MAX('Activities'!K594,426))</x:f>
        <x:v>0</x:v>
      </x:c>
      <x:c r="BY594" s="22" t="n">
        <x:f>MAX(0,MIN('Activities'!L594,438)-MAX('Activities'!K594,432))</x:f>
        <x:v>0</x:v>
      </x:c>
      <x:c r="BZ594" s="22" t="n">
        <x:f>MAX(0,MIN('Activities'!L594,444)-MAX('Activities'!K594,438))</x:f>
        <x:v>0</x:v>
      </x:c>
      <x:c r="CA594" s="22" t="n">
        <x:f>MAX(0,MIN('Activities'!L594,450)-MAX('Activities'!K594,444))</x:f>
        <x:v>0</x:v>
      </x:c>
      <x:c r="CB594" s="22" t="n">
        <x:f>MAX(0,MIN('Activities'!L594,456)-MAX('Activities'!K594,450))</x:f>
        <x:v>0</x:v>
      </x:c>
      <x:c r="CC594" s="22" t="n">
        <x:f>MAX(0,MIN('Activities'!L594,462)-MAX('Activities'!K594,456))</x:f>
        <x:v>0</x:v>
      </x:c>
      <x:c r="CD594" s="22" t="n">
        <x:f>MAX(0,MIN('Activities'!L594,468)-MAX('Activities'!K594,462))</x:f>
        <x:v>0</x:v>
      </x:c>
      <x:c r="CE594" s="22" t="n">
        <x:f>MAX(0,MIN('Activities'!L594,474)-MAX('Activities'!K594,468))</x:f>
        <x:v>0</x:v>
      </x:c>
      <x:c r="CF594" s="22" t="n">
        <x:f>MAX(0,MIN('Activities'!L594,480)-MAX('Activities'!K594,474))</x:f>
        <x:v>0</x:v>
      </x:c>
      <x:c r="CG594" s="22" t="n">
        <x:f>MAX(0,MIN('Activities'!L594,486)-MAX('Activities'!K594,480))</x:f>
        <x:v>0</x:v>
      </x:c>
      <x:c r="CH594" s="22" t="n">
        <x:f>MAX(0,MIN('Activities'!L594,492)-MAX('Activities'!K594,486))</x:f>
        <x:v>0</x:v>
      </x:c>
      <x:c r="CI594" s="22" t="n">
        <x:f>MAX(0,MIN('Activities'!L594,498)-MAX('Activities'!K594,492))</x:f>
        <x:v>0</x:v>
      </x:c>
      <x:c r="CJ594" s="22" t="n">
        <x:f>MAX(0,MIN('Activities'!L594,504)-MAX('Activities'!K594,498))</x:f>
        <x:v>0</x:v>
      </x:c>
      <x:c r="CK594" s="22" t="n">
        <x:f>MAX(0,MIN('Activities'!L594,510)-MAX('Activities'!K594,504))</x:f>
        <x:v>0</x:v>
      </x:c>
      <x:c r="CL594" s="22" t="n">
        <x:f>MAX(0,MIN('Activities'!L594,516)-MAX('Activities'!K594,510))</x:f>
        <x:v>0</x:v>
      </x:c>
      <x:c r="CM594" s="22" t="n">
        <x:f>MAX(0,MIN('Activities'!L594,522)-MAX('Activities'!K594,516))</x:f>
        <x:v>0</x:v>
      </x:c>
      <x:c r="CN594" s="22" t="n">
        <x:f>MAX(0,MIN('Activities'!L594,528)-MAX('Activities'!K594,522))</x:f>
        <x:v>0</x:v>
      </x:c>
      <x:c r="CO594" s="22" t="n">
        <x:f>MAX(0,MIN('Activities'!L594,534)-MAX('Activities'!K594,528))</x:f>
        <x:v>0</x:v>
      </x:c>
      <x:c r="CP594" s="22" t="n">
        <x:f>MAX(0,MIN('Activities'!L594,540)-MAX('Activities'!K594,534))</x:f>
        <x:v>0</x:v>
      </x:c>
      <x:c r="CQ594" s="22" t="n">
        <x:f>MAX(0,MIN('Activities'!L594,546)-MAX('Activities'!K594,540))</x:f>
        <x:v>0</x:v>
      </x:c>
      <x:c r="CR594" s="22" t="n">
        <x:f>MAX(0,MIN('Activities'!L594,552)-MAX('Activities'!K594,546))</x:f>
        <x:v>0</x:v>
      </x:c>
      <x:c r="CS594" s="22" t="n">
        <x:f>MAX(0,MIN('Activities'!L594,558)-MAX('Activities'!K594,552))</x:f>
        <x:v>0</x:v>
      </x:c>
      <x:c r="CT594" s="22" t="n">
        <x:f>MAX(0,MIN('Activities'!L594,564)-MAX('Activities'!K594,558))</x:f>
        <x:v>0</x:v>
      </x:c>
      <x:c r="CU594" s="22" t="n">
        <x:f>MAX(0,MIN('Activities'!L594,570)-MAX('Activities'!K594,564))</x:f>
        <x:v>0</x:v>
      </x:c>
      <x:c r="CV594" s="22" t="n">
        <x:f>MAX(0,MIN('Activities'!L594,576)-MAX('Activities'!K594,570))</x:f>
        <x:v>0</x:v>
      </x:c>
      <x:c r="CW594" s="22" t="n">
        <x:f>MAX(0,MIN('Activities'!L594,582)-MAX('Activities'!K594,576))</x:f>
        <x:v>0</x:v>
      </x:c>
      <x:c r="CX594" s="22" t="n">
        <x:f>MAX(0,MIN('Activities'!L594,588)-MAX('Activities'!K594,582))</x:f>
        <x:v>0</x:v>
      </x:c>
      <x:c r="CY594" s="22" t="n">
        <x:f>MAX(0,MIN('Activities'!L594,594)-MAX('Activities'!K594,588))</x:f>
        <x:v>0</x:v>
      </x:c>
      <x:c r="CZ594" s="22" t="n">
        <x:f>MAX(0,MIN('Activities'!L594,600)-MAX('Activities'!K594,594))</x:f>
        <x:v>0</x:v>
      </x:c>
      <x:c r="DA594" s="22" t="n">
        <x:f>MAX(0,MIN('Activities'!L594,606)-MAX('Activities'!K594,600))</x:f>
        <x:v>0</x:v>
      </x:c>
      <x:c r="DB594" s="22" t="n">
        <x:f>MAX(0,MIN('Activities'!L594,612)-MAX('Activities'!K594,606))</x:f>
        <x:v>0</x:v>
      </x:c>
      <x:c r="DC594" s="22" t="n">
        <x:f>MAX(0,MIN('Activities'!L594,618)-MAX('Activities'!K594,612))</x:f>
        <x:v>0</x:v>
      </x:c>
      <x:c r="DD594" s="22" t="n">
        <x:f>MAX(0,MIN('Activities'!L594,624)-MAX('Activities'!K594,618))</x:f>
        <x:v>0</x:v>
      </x:c>
      <x:c r="DE594" s="22" t="n">
        <x:f>MAX(0,MIN('Activities'!L594,630)-MAX('Activities'!K594,624))</x:f>
        <x:v>0</x:v>
      </x:c>
      <x:c r="DF594" s="22" t="n">
        <x:f>MAX(0,MIN('Activities'!L594,636)-MAX('Activities'!K594,630))</x:f>
        <x:v>0</x:v>
      </x:c>
    </x:row>
    <x:row r="595" ht="23" customHeight="1">
      <x:c r="A595" s="1" t="str">
        <x:v>T5-L11-H</x:v>
      </x:c>
      <x:c r="B595" s="1" t="str">
        <x:v>T5</x:v>
      </x:c>
      <x:c r="C595" s="1" t="str">
        <x:v>Curing and release hold point</x:v>
      </x:c>
      <x:c r="D595" s="1" t="str">
        <x:v>Site</x:v>
      </x:c>
      <x:c r="E595" s="23" t="n">
        <x:f>MAX(0,MIN('Activities'!L595,6)-MAX('Activities'!K595,0))</x:f>
        <x:v>0</x:v>
      </x:c>
      <x:c r="F595" s="23" t="n">
        <x:f>MAX(0,MIN('Activities'!L595,12)-MAX('Activities'!K595,6))</x:f>
        <x:v>0</x:v>
      </x:c>
      <x:c r="G595" s="23" t="n">
        <x:f>MAX(0,MIN('Activities'!L595,18)-MAX('Activities'!K595,12))</x:f>
        <x:v>0</x:v>
      </x:c>
      <x:c r="H595" s="23" t="n">
        <x:f>MAX(0,MIN('Activities'!L595,24)-MAX('Activities'!K595,18))</x:f>
        <x:v>0</x:v>
      </x:c>
      <x:c r="I595" s="23" t="n">
        <x:f>MAX(0,MIN('Activities'!L595,30)-MAX('Activities'!K595,24))</x:f>
        <x:v>0</x:v>
      </x:c>
      <x:c r="J595" s="23" t="n">
        <x:f>MAX(0,MIN('Activities'!L595,36)-MAX('Activities'!K595,30))</x:f>
        <x:v>0</x:v>
      </x:c>
      <x:c r="K595" s="23" t="n">
        <x:f>MAX(0,MIN('Activities'!L595,42)-MAX('Activities'!K595,36))</x:f>
        <x:v>0</x:v>
      </x:c>
      <x:c r="L595" s="23" t="n">
        <x:f>MAX(0,MIN('Activities'!L595,48)-MAX('Activities'!K595,42))</x:f>
        <x:v>0</x:v>
      </x:c>
      <x:c r="M595" s="23" t="n">
        <x:f>MAX(0,MIN('Activities'!L595,54)-MAX('Activities'!K595,48))</x:f>
        <x:v>0</x:v>
      </x:c>
      <x:c r="N595" s="23" t="n">
        <x:f>MAX(0,MIN('Activities'!L595,60)-MAX('Activities'!K595,54))</x:f>
        <x:v>0</x:v>
      </x:c>
      <x:c r="O595" s="23" t="n">
        <x:f>MAX(0,MIN('Activities'!L595,66)-MAX('Activities'!K595,60))</x:f>
        <x:v>0</x:v>
      </x:c>
      <x:c r="P595" s="23" t="n">
        <x:f>MAX(0,MIN('Activities'!L595,72)-MAX('Activities'!K595,66))</x:f>
        <x:v>0</x:v>
      </x:c>
      <x:c r="Q595" s="23" t="n">
        <x:f>MAX(0,MIN('Activities'!L595,78)-MAX('Activities'!K595,72))</x:f>
        <x:v>0</x:v>
      </x:c>
      <x:c r="R595" s="23" t="n">
        <x:f>MAX(0,MIN('Activities'!L595,84)-MAX('Activities'!K595,78))</x:f>
        <x:v>0</x:v>
      </x:c>
      <x:c r="S595" s="23" t="n">
        <x:f>MAX(0,MIN('Activities'!L595,90)-MAX('Activities'!K595,84))</x:f>
        <x:v>0</x:v>
      </x:c>
      <x:c r="T595" s="23" t="n">
        <x:f>MAX(0,MIN('Activities'!L595,96)-MAX('Activities'!K595,90))</x:f>
        <x:v>0</x:v>
      </x:c>
      <x:c r="U595" s="23" t="n">
        <x:f>MAX(0,MIN('Activities'!L595,102)-MAX('Activities'!K595,96))</x:f>
        <x:v>0</x:v>
      </x:c>
      <x:c r="V595" s="23" t="n">
        <x:f>MAX(0,MIN('Activities'!L595,108)-MAX('Activities'!K595,102))</x:f>
        <x:v>0</x:v>
      </x:c>
      <x:c r="W595" s="23" t="n">
        <x:f>MAX(0,MIN('Activities'!L595,114)-MAX('Activities'!K595,108))</x:f>
        <x:v>0</x:v>
      </x:c>
      <x:c r="X595" s="23" t="n">
        <x:f>MAX(0,MIN('Activities'!L595,120)-MAX('Activities'!K595,114))</x:f>
        <x:v>0</x:v>
      </x:c>
      <x:c r="Y595" s="23" t="n">
        <x:f>MAX(0,MIN('Activities'!L595,126)-MAX('Activities'!K595,120))</x:f>
        <x:v>0</x:v>
      </x:c>
      <x:c r="Z595" s="23" t="n">
        <x:f>MAX(0,MIN('Activities'!L595,132)-MAX('Activities'!K595,126))</x:f>
        <x:v>0</x:v>
      </x:c>
      <x:c r="AA595" s="23" t="n">
        <x:f>MAX(0,MIN('Activities'!L595,138)-MAX('Activities'!K595,132))</x:f>
        <x:v>0</x:v>
      </x:c>
      <x:c r="AB595" s="23" t="n">
        <x:f>MAX(0,MIN('Activities'!L595,144)-MAX('Activities'!K595,138))</x:f>
        <x:v>0</x:v>
      </x:c>
      <x:c r="AC595" s="23" t="n">
        <x:f>MAX(0,MIN('Activities'!L595,150)-MAX('Activities'!K595,144))</x:f>
        <x:v>0</x:v>
      </x:c>
      <x:c r="AD595" s="23" t="n">
        <x:f>MAX(0,MIN('Activities'!L595,156)-MAX('Activities'!K595,150))</x:f>
        <x:v>0</x:v>
      </x:c>
      <x:c r="AE595" s="23" t="n">
        <x:f>MAX(0,MIN('Activities'!L595,162)-MAX('Activities'!K595,156))</x:f>
        <x:v>0</x:v>
      </x:c>
      <x:c r="AF595" s="23" t="n">
        <x:f>MAX(0,MIN('Activities'!L595,168)-MAX('Activities'!K595,162))</x:f>
        <x:v>0</x:v>
      </x:c>
      <x:c r="AG595" s="23" t="n">
        <x:f>MAX(0,MIN('Activities'!L595,174)-MAX('Activities'!K595,168))</x:f>
        <x:v>0</x:v>
      </x:c>
      <x:c r="AH595" s="23" t="n">
        <x:f>MAX(0,MIN('Activities'!L595,180)-MAX('Activities'!K595,174))</x:f>
        <x:v>0</x:v>
      </x:c>
      <x:c r="AI595" s="23" t="n">
        <x:f>MAX(0,MIN('Activities'!L595,186)-MAX('Activities'!K595,180))</x:f>
        <x:v>0</x:v>
      </x:c>
      <x:c r="AJ595" s="23" t="n">
        <x:f>MAX(0,MIN('Activities'!L595,192)-MAX('Activities'!K595,186))</x:f>
        <x:v>0</x:v>
      </x:c>
      <x:c r="AK595" s="23" t="n">
        <x:f>MAX(0,MIN('Activities'!L595,198)-MAX('Activities'!K595,192))</x:f>
        <x:v>0</x:v>
      </x:c>
      <x:c r="AL595" s="23" t="n">
        <x:f>MAX(0,MIN('Activities'!L595,204)-MAX('Activities'!K595,198))</x:f>
        <x:v>0</x:v>
      </x:c>
      <x:c r="AM595" s="23" t="n">
        <x:f>MAX(0,MIN('Activities'!L595,210)-MAX('Activities'!K595,204))</x:f>
        <x:v>0</x:v>
      </x:c>
      <x:c r="AN595" s="23" t="n">
        <x:f>MAX(0,MIN('Activities'!L595,216)-MAX('Activities'!K595,210))</x:f>
        <x:v>0</x:v>
      </x:c>
      <x:c r="AO595" s="23" t="n">
        <x:f>MAX(0,MIN('Activities'!L595,222)-MAX('Activities'!K595,216))</x:f>
        <x:v>0</x:v>
      </x:c>
      <x:c r="AP595" s="23" t="n">
        <x:f>MAX(0,MIN('Activities'!L595,228)-MAX('Activities'!K595,222))</x:f>
        <x:v>0</x:v>
      </x:c>
      <x:c r="AQ595" s="23" t="n">
        <x:f>MAX(0,MIN('Activities'!L595,234)-MAX('Activities'!K595,228))</x:f>
        <x:v>0</x:v>
      </x:c>
      <x:c r="AR595" s="23" t="n">
        <x:f>MAX(0,MIN('Activities'!L595,240)-MAX('Activities'!K595,234))</x:f>
        <x:v>0</x:v>
      </x:c>
      <x:c r="AS595" s="23" t="n">
        <x:f>MAX(0,MIN('Activities'!L595,246)-MAX('Activities'!K595,240))</x:f>
        <x:v>0</x:v>
      </x:c>
      <x:c r="AT595" s="23" t="n">
        <x:f>MAX(0,MIN('Activities'!L595,252)-MAX('Activities'!K595,246))</x:f>
        <x:v>0</x:v>
      </x:c>
      <x:c r="AU595" s="23" t="n">
        <x:f>MAX(0,MIN('Activities'!L595,258)-MAX('Activities'!K595,252))</x:f>
        <x:v>0</x:v>
      </x:c>
      <x:c r="AV595" s="23" t="n">
        <x:f>MAX(0,MIN('Activities'!L595,264)-MAX('Activities'!K595,258))</x:f>
        <x:v>0</x:v>
      </x:c>
      <x:c r="AW595" s="23" t="n">
        <x:f>MAX(0,MIN('Activities'!L595,270)-MAX('Activities'!K595,264))</x:f>
        <x:v>0</x:v>
      </x:c>
      <x:c r="AX595" s="23" t="n">
        <x:f>MAX(0,MIN('Activities'!L595,276)-MAX('Activities'!K595,270))</x:f>
        <x:v>0</x:v>
      </x:c>
      <x:c r="AY595" s="23" t="n">
        <x:f>MAX(0,MIN('Activities'!L595,282)-MAX('Activities'!K595,276))</x:f>
        <x:v>0</x:v>
      </x:c>
      <x:c r="AZ595" s="23" t="n">
        <x:f>MAX(0,MIN('Activities'!L595,288)-MAX('Activities'!K595,282))</x:f>
        <x:v>0</x:v>
      </x:c>
      <x:c r="BA595" s="23" t="n">
        <x:f>MAX(0,MIN('Activities'!L595,294)-MAX('Activities'!K595,288))</x:f>
        <x:v>0</x:v>
      </x:c>
      <x:c r="BB595" s="23" t="n">
        <x:f>MAX(0,MIN('Activities'!L595,300)-MAX('Activities'!K595,294))</x:f>
        <x:v>0</x:v>
      </x:c>
      <x:c r="BC595" s="23" t="n">
        <x:f>MAX(0,MIN('Activities'!L595,306)-MAX('Activities'!K595,300))</x:f>
        <x:v>0</x:v>
      </x:c>
      <x:c r="BD595" s="23" t="n">
        <x:f>MAX(0,MIN('Activities'!L595,312)-MAX('Activities'!K595,306))</x:f>
        <x:v>0</x:v>
      </x:c>
      <x:c r="BE595" s="23" t="n">
        <x:f>MAX(0,MIN('Activities'!L595,318)-MAX('Activities'!K595,312))</x:f>
        <x:v>0</x:v>
      </x:c>
      <x:c r="BF595" s="23" t="n">
        <x:f>MAX(0,MIN('Activities'!L595,324)-MAX('Activities'!K595,318))</x:f>
        <x:v>0</x:v>
      </x:c>
      <x:c r="BG595" s="23" t="n">
        <x:f>MAX(0,MIN('Activities'!L595,330)-MAX('Activities'!K595,324))</x:f>
        <x:v>0</x:v>
      </x:c>
      <x:c r="BH595" s="23" t="n">
        <x:f>MAX(0,MIN('Activities'!L595,336)-MAX('Activities'!K595,330))</x:f>
        <x:v>0</x:v>
      </x:c>
      <x:c r="BI595" s="23" t="n">
        <x:f>MAX(0,MIN('Activities'!L595,342)-MAX('Activities'!K595,336))</x:f>
        <x:v>0</x:v>
      </x:c>
      <x:c r="BJ595" s="23" t="n">
        <x:f>MAX(0,MIN('Activities'!L595,348)-MAX('Activities'!K595,342))</x:f>
        <x:v>0</x:v>
      </x:c>
      <x:c r="BK595" s="23" t="n">
        <x:f>MAX(0,MIN('Activities'!L595,354)-MAX('Activities'!K595,348))</x:f>
        <x:v>0</x:v>
      </x:c>
      <x:c r="BL595" s="23" t="n">
        <x:f>MAX(0,MIN('Activities'!L595,360)-MAX('Activities'!K595,354))</x:f>
        <x:v>0</x:v>
      </x:c>
      <x:c r="BM595" s="23" t="n">
        <x:f>MAX(0,MIN('Activities'!L595,366)-MAX('Activities'!K595,360))</x:f>
        <x:v>0</x:v>
      </x:c>
      <x:c r="BN595" s="23" t="n">
        <x:f>MAX(0,MIN('Activities'!L595,372)-MAX('Activities'!K595,366))</x:f>
        <x:v>0</x:v>
      </x:c>
      <x:c r="BO595" s="23" t="n">
        <x:f>MAX(0,MIN('Activities'!L595,378)-MAX('Activities'!K595,372))</x:f>
        <x:v>0</x:v>
      </x:c>
      <x:c r="BP595" s="23" t="n">
        <x:f>MAX(0,MIN('Activities'!L595,384)-MAX('Activities'!K595,378))</x:f>
        <x:v>0</x:v>
      </x:c>
      <x:c r="BQ595" s="23" t="n">
        <x:f>MAX(0,MIN('Activities'!L595,390)-MAX('Activities'!K595,384))</x:f>
        <x:v>0</x:v>
      </x:c>
      <x:c r="BR595" s="23" t="n">
        <x:f>MAX(0,MIN('Activities'!L595,396)-MAX('Activities'!K595,390))</x:f>
        <x:v>3</x:v>
      </x:c>
      <x:c r="BS595" s="23" t="n">
        <x:f>MAX(0,MIN('Activities'!L595,402)-MAX('Activities'!K595,396))</x:f>
        <x:v>2</x:v>
      </x:c>
      <x:c r="BT595" s="23" t="n">
        <x:f>MAX(0,MIN('Activities'!L595,408)-MAX('Activities'!K595,402))</x:f>
        <x:v>0</x:v>
      </x:c>
      <x:c r="BU595" s="23" t="n">
        <x:f>MAX(0,MIN('Activities'!L595,414)-MAX('Activities'!K595,408))</x:f>
        <x:v>0</x:v>
      </x:c>
      <x:c r="BV595" s="23" t="n">
        <x:f>MAX(0,MIN('Activities'!L595,420)-MAX('Activities'!K595,414))</x:f>
        <x:v>0</x:v>
      </x:c>
      <x:c r="BW595" s="23" t="n">
        <x:f>MAX(0,MIN('Activities'!L595,426)-MAX('Activities'!K595,420))</x:f>
        <x:v>0</x:v>
      </x:c>
      <x:c r="BX595" s="23" t="n">
        <x:f>MAX(0,MIN('Activities'!L595,432)-MAX('Activities'!K595,426))</x:f>
        <x:v>0</x:v>
      </x:c>
      <x:c r="BY595" s="23" t="n">
        <x:f>MAX(0,MIN('Activities'!L595,438)-MAX('Activities'!K595,432))</x:f>
        <x:v>0</x:v>
      </x:c>
      <x:c r="BZ595" s="23" t="n">
        <x:f>MAX(0,MIN('Activities'!L595,444)-MAX('Activities'!K595,438))</x:f>
        <x:v>0</x:v>
      </x:c>
      <x:c r="CA595" s="23" t="n">
        <x:f>MAX(0,MIN('Activities'!L595,450)-MAX('Activities'!K595,444))</x:f>
        <x:v>0</x:v>
      </x:c>
      <x:c r="CB595" s="23" t="n">
        <x:f>MAX(0,MIN('Activities'!L595,456)-MAX('Activities'!K595,450))</x:f>
        <x:v>0</x:v>
      </x:c>
      <x:c r="CC595" s="23" t="n">
        <x:f>MAX(0,MIN('Activities'!L595,462)-MAX('Activities'!K595,456))</x:f>
        <x:v>0</x:v>
      </x:c>
      <x:c r="CD595" s="23" t="n">
        <x:f>MAX(0,MIN('Activities'!L595,468)-MAX('Activities'!K595,462))</x:f>
        <x:v>0</x:v>
      </x:c>
      <x:c r="CE595" s="23" t="n">
        <x:f>MAX(0,MIN('Activities'!L595,474)-MAX('Activities'!K595,468))</x:f>
        <x:v>0</x:v>
      </x:c>
      <x:c r="CF595" s="23" t="n">
        <x:f>MAX(0,MIN('Activities'!L595,480)-MAX('Activities'!K595,474))</x:f>
        <x:v>0</x:v>
      </x:c>
      <x:c r="CG595" s="23" t="n">
        <x:f>MAX(0,MIN('Activities'!L595,486)-MAX('Activities'!K595,480))</x:f>
        <x:v>0</x:v>
      </x:c>
      <x:c r="CH595" s="23" t="n">
        <x:f>MAX(0,MIN('Activities'!L595,492)-MAX('Activities'!K595,486))</x:f>
        <x:v>0</x:v>
      </x:c>
      <x:c r="CI595" s="23" t="n">
        <x:f>MAX(0,MIN('Activities'!L595,498)-MAX('Activities'!K595,492))</x:f>
        <x:v>0</x:v>
      </x:c>
      <x:c r="CJ595" s="23" t="n">
        <x:f>MAX(0,MIN('Activities'!L595,504)-MAX('Activities'!K595,498))</x:f>
        <x:v>0</x:v>
      </x:c>
      <x:c r="CK595" s="23" t="n">
        <x:f>MAX(0,MIN('Activities'!L595,510)-MAX('Activities'!K595,504))</x:f>
        <x:v>0</x:v>
      </x:c>
      <x:c r="CL595" s="23" t="n">
        <x:f>MAX(0,MIN('Activities'!L595,516)-MAX('Activities'!K595,510))</x:f>
        <x:v>0</x:v>
      </x:c>
      <x:c r="CM595" s="23" t="n">
        <x:f>MAX(0,MIN('Activities'!L595,522)-MAX('Activities'!K595,516))</x:f>
        <x:v>0</x:v>
      </x:c>
      <x:c r="CN595" s="23" t="n">
        <x:f>MAX(0,MIN('Activities'!L595,528)-MAX('Activities'!K595,522))</x:f>
        <x:v>0</x:v>
      </x:c>
      <x:c r="CO595" s="23" t="n">
        <x:f>MAX(0,MIN('Activities'!L595,534)-MAX('Activities'!K595,528))</x:f>
        <x:v>0</x:v>
      </x:c>
      <x:c r="CP595" s="23" t="n">
        <x:f>MAX(0,MIN('Activities'!L595,540)-MAX('Activities'!K595,534))</x:f>
        <x:v>0</x:v>
      </x:c>
      <x:c r="CQ595" s="23" t="n">
        <x:f>MAX(0,MIN('Activities'!L595,546)-MAX('Activities'!K595,540))</x:f>
        <x:v>0</x:v>
      </x:c>
      <x:c r="CR595" s="23" t="n">
        <x:f>MAX(0,MIN('Activities'!L595,552)-MAX('Activities'!K595,546))</x:f>
        <x:v>0</x:v>
      </x:c>
      <x:c r="CS595" s="23" t="n">
        <x:f>MAX(0,MIN('Activities'!L595,558)-MAX('Activities'!K595,552))</x:f>
        <x:v>0</x:v>
      </x:c>
      <x:c r="CT595" s="23" t="n">
        <x:f>MAX(0,MIN('Activities'!L595,564)-MAX('Activities'!K595,558))</x:f>
        <x:v>0</x:v>
      </x:c>
      <x:c r="CU595" s="23" t="n">
        <x:f>MAX(0,MIN('Activities'!L595,570)-MAX('Activities'!K595,564))</x:f>
        <x:v>0</x:v>
      </x:c>
      <x:c r="CV595" s="23" t="n">
        <x:f>MAX(0,MIN('Activities'!L595,576)-MAX('Activities'!K595,570))</x:f>
        <x:v>0</x:v>
      </x:c>
      <x:c r="CW595" s="23" t="n">
        <x:f>MAX(0,MIN('Activities'!L595,582)-MAX('Activities'!K595,576))</x:f>
        <x:v>0</x:v>
      </x:c>
      <x:c r="CX595" s="23" t="n">
        <x:f>MAX(0,MIN('Activities'!L595,588)-MAX('Activities'!K595,582))</x:f>
        <x:v>0</x:v>
      </x:c>
      <x:c r="CY595" s="23" t="n">
        <x:f>MAX(0,MIN('Activities'!L595,594)-MAX('Activities'!K595,588))</x:f>
        <x:v>0</x:v>
      </x:c>
      <x:c r="CZ595" s="23" t="n">
        <x:f>MAX(0,MIN('Activities'!L595,600)-MAX('Activities'!K595,594))</x:f>
        <x:v>0</x:v>
      </x:c>
      <x:c r="DA595" s="23" t="n">
        <x:f>MAX(0,MIN('Activities'!L595,606)-MAX('Activities'!K595,600))</x:f>
        <x:v>0</x:v>
      </x:c>
      <x:c r="DB595" s="23" t="n">
        <x:f>MAX(0,MIN('Activities'!L595,612)-MAX('Activities'!K595,606))</x:f>
        <x:v>0</x:v>
      </x:c>
      <x:c r="DC595" s="23" t="n">
        <x:f>MAX(0,MIN('Activities'!L595,618)-MAX('Activities'!K595,612))</x:f>
        <x:v>0</x:v>
      </x:c>
      <x:c r="DD595" s="23" t="n">
        <x:f>MAX(0,MIN('Activities'!L595,624)-MAX('Activities'!K595,618))</x:f>
        <x:v>0</x:v>
      </x:c>
      <x:c r="DE595" s="23" t="n">
        <x:f>MAX(0,MIN('Activities'!L595,630)-MAX('Activities'!K595,624))</x:f>
        <x:v>0</x:v>
      </x:c>
      <x:c r="DF595" s="23" t="n">
        <x:f>MAX(0,MIN('Activities'!L595,636)-MAX('Activities'!K595,630))</x:f>
        <x:v>0</x:v>
      </x:c>
    </x:row>
    <x:row r="596" ht="23" customHeight="1">
      <x:c r="A596" s="6" t="str">
        <x:v>T5-L12-F</x:v>
      </x:c>
      <x:c r="B596" s="6" t="str">
        <x:v>T5</x:v>
      </x:c>
      <x:c r="C596" s="6" t="str">
        <x:v>Columns, core and deck formwork</x:v>
      </x:c>
      <x:c r="D596" s="6" t="str">
        <x:v>Formwork</x:v>
      </x:c>
      <x:c r="E596" s="22" t="n">
        <x:f>MAX(0,MIN('Activities'!L596,6)-MAX('Activities'!K596,0))</x:f>
        <x:v>0</x:v>
      </x:c>
      <x:c r="F596" s="22" t="n">
        <x:f>MAX(0,MIN('Activities'!L596,12)-MAX('Activities'!K596,6))</x:f>
        <x:v>0</x:v>
      </x:c>
      <x:c r="G596" s="22" t="n">
        <x:f>MAX(0,MIN('Activities'!L596,18)-MAX('Activities'!K596,12))</x:f>
        <x:v>0</x:v>
      </x:c>
      <x:c r="H596" s="22" t="n">
        <x:f>MAX(0,MIN('Activities'!L596,24)-MAX('Activities'!K596,18))</x:f>
        <x:v>0</x:v>
      </x:c>
      <x:c r="I596" s="22" t="n">
        <x:f>MAX(0,MIN('Activities'!L596,30)-MAX('Activities'!K596,24))</x:f>
        <x:v>0</x:v>
      </x:c>
      <x:c r="J596" s="22" t="n">
        <x:f>MAX(0,MIN('Activities'!L596,36)-MAX('Activities'!K596,30))</x:f>
        <x:v>0</x:v>
      </x:c>
      <x:c r="K596" s="22" t="n">
        <x:f>MAX(0,MIN('Activities'!L596,42)-MAX('Activities'!K596,36))</x:f>
        <x:v>0</x:v>
      </x:c>
      <x:c r="L596" s="22" t="n">
        <x:f>MAX(0,MIN('Activities'!L596,48)-MAX('Activities'!K596,42))</x:f>
        <x:v>0</x:v>
      </x:c>
      <x:c r="M596" s="22" t="n">
        <x:f>MAX(0,MIN('Activities'!L596,54)-MAX('Activities'!K596,48))</x:f>
        <x:v>0</x:v>
      </x:c>
      <x:c r="N596" s="22" t="n">
        <x:f>MAX(0,MIN('Activities'!L596,60)-MAX('Activities'!K596,54))</x:f>
        <x:v>0</x:v>
      </x:c>
      <x:c r="O596" s="22" t="n">
        <x:f>MAX(0,MIN('Activities'!L596,66)-MAX('Activities'!K596,60))</x:f>
        <x:v>0</x:v>
      </x:c>
      <x:c r="P596" s="22" t="n">
        <x:f>MAX(0,MIN('Activities'!L596,72)-MAX('Activities'!K596,66))</x:f>
        <x:v>0</x:v>
      </x:c>
      <x:c r="Q596" s="22" t="n">
        <x:f>MAX(0,MIN('Activities'!L596,78)-MAX('Activities'!K596,72))</x:f>
        <x:v>0</x:v>
      </x:c>
      <x:c r="R596" s="22" t="n">
        <x:f>MAX(0,MIN('Activities'!L596,84)-MAX('Activities'!K596,78))</x:f>
        <x:v>0</x:v>
      </x:c>
      <x:c r="S596" s="22" t="n">
        <x:f>MAX(0,MIN('Activities'!L596,90)-MAX('Activities'!K596,84))</x:f>
        <x:v>0</x:v>
      </x:c>
      <x:c r="T596" s="22" t="n">
        <x:f>MAX(0,MIN('Activities'!L596,96)-MAX('Activities'!K596,90))</x:f>
        <x:v>0</x:v>
      </x:c>
      <x:c r="U596" s="22" t="n">
        <x:f>MAX(0,MIN('Activities'!L596,102)-MAX('Activities'!K596,96))</x:f>
        <x:v>0</x:v>
      </x:c>
      <x:c r="V596" s="22" t="n">
        <x:f>MAX(0,MIN('Activities'!L596,108)-MAX('Activities'!K596,102))</x:f>
        <x:v>0</x:v>
      </x:c>
      <x:c r="W596" s="22" t="n">
        <x:f>MAX(0,MIN('Activities'!L596,114)-MAX('Activities'!K596,108))</x:f>
        <x:v>0</x:v>
      </x:c>
      <x:c r="X596" s="22" t="n">
        <x:f>MAX(0,MIN('Activities'!L596,120)-MAX('Activities'!K596,114))</x:f>
        <x:v>0</x:v>
      </x:c>
      <x:c r="Y596" s="22" t="n">
        <x:f>MAX(0,MIN('Activities'!L596,126)-MAX('Activities'!K596,120))</x:f>
        <x:v>0</x:v>
      </x:c>
      <x:c r="Z596" s="22" t="n">
        <x:f>MAX(0,MIN('Activities'!L596,132)-MAX('Activities'!K596,126))</x:f>
        <x:v>0</x:v>
      </x:c>
      <x:c r="AA596" s="22" t="n">
        <x:f>MAX(0,MIN('Activities'!L596,138)-MAX('Activities'!K596,132))</x:f>
        <x:v>0</x:v>
      </x:c>
      <x:c r="AB596" s="22" t="n">
        <x:f>MAX(0,MIN('Activities'!L596,144)-MAX('Activities'!K596,138))</x:f>
        <x:v>0</x:v>
      </x:c>
      <x:c r="AC596" s="22" t="n">
        <x:f>MAX(0,MIN('Activities'!L596,150)-MAX('Activities'!K596,144))</x:f>
        <x:v>0</x:v>
      </x:c>
      <x:c r="AD596" s="22" t="n">
        <x:f>MAX(0,MIN('Activities'!L596,156)-MAX('Activities'!K596,150))</x:f>
        <x:v>0</x:v>
      </x:c>
      <x:c r="AE596" s="22" t="n">
        <x:f>MAX(0,MIN('Activities'!L596,162)-MAX('Activities'!K596,156))</x:f>
        <x:v>0</x:v>
      </x:c>
      <x:c r="AF596" s="22" t="n">
        <x:f>MAX(0,MIN('Activities'!L596,168)-MAX('Activities'!K596,162))</x:f>
        <x:v>0</x:v>
      </x:c>
      <x:c r="AG596" s="22" t="n">
        <x:f>MAX(0,MIN('Activities'!L596,174)-MAX('Activities'!K596,168))</x:f>
        <x:v>0</x:v>
      </x:c>
      <x:c r="AH596" s="22" t="n">
        <x:f>MAX(0,MIN('Activities'!L596,180)-MAX('Activities'!K596,174))</x:f>
        <x:v>0</x:v>
      </x:c>
      <x:c r="AI596" s="22" t="n">
        <x:f>MAX(0,MIN('Activities'!L596,186)-MAX('Activities'!K596,180))</x:f>
        <x:v>0</x:v>
      </x:c>
      <x:c r="AJ596" s="22" t="n">
        <x:f>MAX(0,MIN('Activities'!L596,192)-MAX('Activities'!K596,186))</x:f>
        <x:v>0</x:v>
      </x:c>
      <x:c r="AK596" s="22" t="n">
        <x:f>MAX(0,MIN('Activities'!L596,198)-MAX('Activities'!K596,192))</x:f>
        <x:v>0</x:v>
      </x:c>
      <x:c r="AL596" s="22" t="n">
        <x:f>MAX(0,MIN('Activities'!L596,204)-MAX('Activities'!K596,198))</x:f>
        <x:v>0</x:v>
      </x:c>
      <x:c r="AM596" s="22" t="n">
        <x:f>MAX(0,MIN('Activities'!L596,210)-MAX('Activities'!K596,204))</x:f>
        <x:v>0</x:v>
      </x:c>
      <x:c r="AN596" s="22" t="n">
        <x:f>MAX(0,MIN('Activities'!L596,216)-MAX('Activities'!K596,210))</x:f>
        <x:v>0</x:v>
      </x:c>
      <x:c r="AO596" s="22" t="n">
        <x:f>MAX(0,MIN('Activities'!L596,222)-MAX('Activities'!K596,216))</x:f>
        <x:v>0</x:v>
      </x:c>
      <x:c r="AP596" s="22" t="n">
        <x:f>MAX(0,MIN('Activities'!L596,228)-MAX('Activities'!K596,222))</x:f>
        <x:v>0</x:v>
      </x:c>
      <x:c r="AQ596" s="22" t="n">
        <x:f>MAX(0,MIN('Activities'!L596,234)-MAX('Activities'!K596,228))</x:f>
        <x:v>0</x:v>
      </x:c>
      <x:c r="AR596" s="22" t="n">
        <x:f>MAX(0,MIN('Activities'!L596,240)-MAX('Activities'!K596,234))</x:f>
        <x:v>0</x:v>
      </x:c>
      <x:c r="AS596" s="22" t="n">
        <x:f>MAX(0,MIN('Activities'!L596,246)-MAX('Activities'!K596,240))</x:f>
        <x:v>0</x:v>
      </x:c>
      <x:c r="AT596" s="22" t="n">
        <x:f>MAX(0,MIN('Activities'!L596,252)-MAX('Activities'!K596,246))</x:f>
        <x:v>0</x:v>
      </x:c>
      <x:c r="AU596" s="22" t="n">
        <x:f>MAX(0,MIN('Activities'!L596,258)-MAX('Activities'!K596,252))</x:f>
        <x:v>0</x:v>
      </x:c>
      <x:c r="AV596" s="22" t="n">
        <x:f>MAX(0,MIN('Activities'!L596,264)-MAX('Activities'!K596,258))</x:f>
        <x:v>0</x:v>
      </x:c>
      <x:c r="AW596" s="22" t="n">
        <x:f>MAX(0,MIN('Activities'!L596,270)-MAX('Activities'!K596,264))</x:f>
        <x:v>0</x:v>
      </x:c>
      <x:c r="AX596" s="22" t="n">
        <x:f>MAX(0,MIN('Activities'!L596,276)-MAX('Activities'!K596,270))</x:f>
        <x:v>0</x:v>
      </x:c>
      <x:c r="AY596" s="22" t="n">
        <x:f>MAX(0,MIN('Activities'!L596,282)-MAX('Activities'!K596,276))</x:f>
        <x:v>0</x:v>
      </x:c>
      <x:c r="AZ596" s="22" t="n">
        <x:f>MAX(0,MIN('Activities'!L596,288)-MAX('Activities'!K596,282))</x:f>
        <x:v>0</x:v>
      </x:c>
      <x:c r="BA596" s="22" t="n">
        <x:f>MAX(0,MIN('Activities'!L596,294)-MAX('Activities'!K596,288))</x:f>
        <x:v>0</x:v>
      </x:c>
      <x:c r="BB596" s="22" t="n">
        <x:f>MAX(0,MIN('Activities'!L596,300)-MAX('Activities'!K596,294))</x:f>
        <x:v>0</x:v>
      </x:c>
      <x:c r="BC596" s="22" t="n">
        <x:f>MAX(0,MIN('Activities'!L596,306)-MAX('Activities'!K596,300))</x:f>
        <x:v>0</x:v>
      </x:c>
      <x:c r="BD596" s="22" t="n">
        <x:f>MAX(0,MIN('Activities'!L596,312)-MAX('Activities'!K596,306))</x:f>
        <x:v>0</x:v>
      </x:c>
      <x:c r="BE596" s="22" t="n">
        <x:f>MAX(0,MIN('Activities'!L596,318)-MAX('Activities'!K596,312))</x:f>
        <x:v>0</x:v>
      </x:c>
      <x:c r="BF596" s="22" t="n">
        <x:f>MAX(0,MIN('Activities'!L596,324)-MAX('Activities'!K596,318))</x:f>
        <x:v>0</x:v>
      </x:c>
      <x:c r="BG596" s="22" t="n">
        <x:f>MAX(0,MIN('Activities'!L596,330)-MAX('Activities'!K596,324))</x:f>
        <x:v>0</x:v>
      </x:c>
      <x:c r="BH596" s="22" t="n">
        <x:f>MAX(0,MIN('Activities'!L596,336)-MAX('Activities'!K596,330))</x:f>
        <x:v>0</x:v>
      </x:c>
      <x:c r="BI596" s="22" t="n">
        <x:f>MAX(0,MIN('Activities'!L596,342)-MAX('Activities'!K596,336))</x:f>
        <x:v>0</x:v>
      </x:c>
      <x:c r="BJ596" s="22" t="n">
        <x:f>MAX(0,MIN('Activities'!L596,348)-MAX('Activities'!K596,342))</x:f>
        <x:v>0</x:v>
      </x:c>
      <x:c r="BK596" s="22" t="n">
        <x:f>MAX(0,MIN('Activities'!L596,354)-MAX('Activities'!K596,348))</x:f>
        <x:v>0</x:v>
      </x:c>
      <x:c r="BL596" s="22" t="n">
        <x:f>MAX(0,MIN('Activities'!L596,360)-MAX('Activities'!K596,354))</x:f>
        <x:v>0</x:v>
      </x:c>
      <x:c r="BM596" s="22" t="n">
        <x:f>MAX(0,MIN('Activities'!L596,366)-MAX('Activities'!K596,360))</x:f>
        <x:v>0</x:v>
      </x:c>
      <x:c r="BN596" s="22" t="n">
        <x:f>MAX(0,MIN('Activities'!L596,372)-MAX('Activities'!K596,366))</x:f>
        <x:v>0</x:v>
      </x:c>
      <x:c r="BO596" s="22" t="n">
        <x:f>MAX(0,MIN('Activities'!L596,378)-MAX('Activities'!K596,372))</x:f>
        <x:v>0</x:v>
      </x:c>
      <x:c r="BP596" s="22" t="n">
        <x:f>MAX(0,MIN('Activities'!L596,384)-MAX('Activities'!K596,378))</x:f>
        <x:v>0</x:v>
      </x:c>
      <x:c r="BQ596" s="22" t="n">
        <x:f>MAX(0,MIN('Activities'!L596,390)-MAX('Activities'!K596,384))</x:f>
        <x:v>0</x:v>
      </x:c>
      <x:c r="BR596" s="22" t="n">
        <x:f>MAX(0,MIN('Activities'!L596,396)-MAX('Activities'!K596,390))</x:f>
        <x:v>0</x:v>
      </x:c>
      <x:c r="BS596" s="22" t="n">
        <x:f>MAX(0,MIN('Activities'!L596,402)-MAX('Activities'!K596,396))</x:f>
        <x:v>4</x:v>
      </x:c>
      <x:c r="BT596" s="22" t="n">
        <x:f>MAX(0,MIN('Activities'!L596,408)-MAX('Activities'!K596,402))</x:f>
        <x:v>2</x:v>
      </x:c>
      <x:c r="BU596" s="22" t="n">
        <x:f>MAX(0,MIN('Activities'!L596,414)-MAX('Activities'!K596,408))</x:f>
        <x:v>0</x:v>
      </x:c>
      <x:c r="BV596" s="22" t="n">
        <x:f>MAX(0,MIN('Activities'!L596,420)-MAX('Activities'!K596,414))</x:f>
        <x:v>0</x:v>
      </x:c>
      <x:c r="BW596" s="22" t="n">
        <x:f>MAX(0,MIN('Activities'!L596,426)-MAX('Activities'!K596,420))</x:f>
        <x:v>0</x:v>
      </x:c>
      <x:c r="BX596" s="22" t="n">
        <x:f>MAX(0,MIN('Activities'!L596,432)-MAX('Activities'!K596,426))</x:f>
        <x:v>0</x:v>
      </x:c>
      <x:c r="BY596" s="22" t="n">
        <x:f>MAX(0,MIN('Activities'!L596,438)-MAX('Activities'!K596,432))</x:f>
        <x:v>0</x:v>
      </x:c>
      <x:c r="BZ596" s="22" t="n">
        <x:f>MAX(0,MIN('Activities'!L596,444)-MAX('Activities'!K596,438))</x:f>
        <x:v>0</x:v>
      </x:c>
      <x:c r="CA596" s="22" t="n">
        <x:f>MAX(0,MIN('Activities'!L596,450)-MAX('Activities'!K596,444))</x:f>
        <x:v>0</x:v>
      </x:c>
      <x:c r="CB596" s="22" t="n">
        <x:f>MAX(0,MIN('Activities'!L596,456)-MAX('Activities'!K596,450))</x:f>
        <x:v>0</x:v>
      </x:c>
      <x:c r="CC596" s="22" t="n">
        <x:f>MAX(0,MIN('Activities'!L596,462)-MAX('Activities'!K596,456))</x:f>
        <x:v>0</x:v>
      </x:c>
      <x:c r="CD596" s="22" t="n">
        <x:f>MAX(0,MIN('Activities'!L596,468)-MAX('Activities'!K596,462))</x:f>
        <x:v>0</x:v>
      </x:c>
      <x:c r="CE596" s="22" t="n">
        <x:f>MAX(0,MIN('Activities'!L596,474)-MAX('Activities'!K596,468))</x:f>
        <x:v>0</x:v>
      </x:c>
      <x:c r="CF596" s="22" t="n">
        <x:f>MAX(0,MIN('Activities'!L596,480)-MAX('Activities'!K596,474))</x:f>
        <x:v>0</x:v>
      </x:c>
      <x:c r="CG596" s="22" t="n">
        <x:f>MAX(0,MIN('Activities'!L596,486)-MAX('Activities'!K596,480))</x:f>
        <x:v>0</x:v>
      </x:c>
      <x:c r="CH596" s="22" t="n">
        <x:f>MAX(0,MIN('Activities'!L596,492)-MAX('Activities'!K596,486))</x:f>
        <x:v>0</x:v>
      </x:c>
      <x:c r="CI596" s="22" t="n">
        <x:f>MAX(0,MIN('Activities'!L596,498)-MAX('Activities'!K596,492))</x:f>
        <x:v>0</x:v>
      </x:c>
      <x:c r="CJ596" s="22" t="n">
        <x:f>MAX(0,MIN('Activities'!L596,504)-MAX('Activities'!K596,498))</x:f>
        <x:v>0</x:v>
      </x:c>
      <x:c r="CK596" s="22" t="n">
        <x:f>MAX(0,MIN('Activities'!L596,510)-MAX('Activities'!K596,504))</x:f>
        <x:v>0</x:v>
      </x:c>
      <x:c r="CL596" s="22" t="n">
        <x:f>MAX(0,MIN('Activities'!L596,516)-MAX('Activities'!K596,510))</x:f>
        <x:v>0</x:v>
      </x:c>
      <x:c r="CM596" s="22" t="n">
        <x:f>MAX(0,MIN('Activities'!L596,522)-MAX('Activities'!K596,516))</x:f>
        <x:v>0</x:v>
      </x:c>
      <x:c r="CN596" s="22" t="n">
        <x:f>MAX(0,MIN('Activities'!L596,528)-MAX('Activities'!K596,522))</x:f>
        <x:v>0</x:v>
      </x:c>
      <x:c r="CO596" s="22" t="n">
        <x:f>MAX(0,MIN('Activities'!L596,534)-MAX('Activities'!K596,528))</x:f>
        <x:v>0</x:v>
      </x:c>
      <x:c r="CP596" s="22" t="n">
        <x:f>MAX(0,MIN('Activities'!L596,540)-MAX('Activities'!K596,534))</x:f>
        <x:v>0</x:v>
      </x:c>
      <x:c r="CQ596" s="22" t="n">
        <x:f>MAX(0,MIN('Activities'!L596,546)-MAX('Activities'!K596,540))</x:f>
        <x:v>0</x:v>
      </x:c>
      <x:c r="CR596" s="22" t="n">
        <x:f>MAX(0,MIN('Activities'!L596,552)-MAX('Activities'!K596,546))</x:f>
        <x:v>0</x:v>
      </x:c>
      <x:c r="CS596" s="22" t="n">
        <x:f>MAX(0,MIN('Activities'!L596,558)-MAX('Activities'!K596,552))</x:f>
        <x:v>0</x:v>
      </x:c>
      <x:c r="CT596" s="22" t="n">
        <x:f>MAX(0,MIN('Activities'!L596,564)-MAX('Activities'!K596,558))</x:f>
        <x:v>0</x:v>
      </x:c>
      <x:c r="CU596" s="22" t="n">
        <x:f>MAX(0,MIN('Activities'!L596,570)-MAX('Activities'!K596,564))</x:f>
        <x:v>0</x:v>
      </x:c>
      <x:c r="CV596" s="22" t="n">
        <x:f>MAX(0,MIN('Activities'!L596,576)-MAX('Activities'!K596,570))</x:f>
        <x:v>0</x:v>
      </x:c>
      <x:c r="CW596" s="22" t="n">
        <x:f>MAX(0,MIN('Activities'!L596,582)-MAX('Activities'!K596,576))</x:f>
        <x:v>0</x:v>
      </x:c>
      <x:c r="CX596" s="22" t="n">
        <x:f>MAX(0,MIN('Activities'!L596,588)-MAX('Activities'!K596,582))</x:f>
        <x:v>0</x:v>
      </x:c>
      <x:c r="CY596" s="22" t="n">
        <x:f>MAX(0,MIN('Activities'!L596,594)-MAX('Activities'!K596,588))</x:f>
        <x:v>0</x:v>
      </x:c>
      <x:c r="CZ596" s="22" t="n">
        <x:f>MAX(0,MIN('Activities'!L596,600)-MAX('Activities'!K596,594))</x:f>
        <x:v>0</x:v>
      </x:c>
      <x:c r="DA596" s="22" t="n">
        <x:f>MAX(0,MIN('Activities'!L596,606)-MAX('Activities'!K596,600))</x:f>
        <x:v>0</x:v>
      </x:c>
      <x:c r="DB596" s="22" t="n">
        <x:f>MAX(0,MIN('Activities'!L596,612)-MAX('Activities'!K596,606))</x:f>
        <x:v>0</x:v>
      </x:c>
      <x:c r="DC596" s="22" t="n">
        <x:f>MAX(0,MIN('Activities'!L596,618)-MAX('Activities'!K596,612))</x:f>
        <x:v>0</x:v>
      </x:c>
      <x:c r="DD596" s="22" t="n">
        <x:f>MAX(0,MIN('Activities'!L596,624)-MAX('Activities'!K596,618))</x:f>
        <x:v>0</x:v>
      </x:c>
      <x:c r="DE596" s="22" t="n">
        <x:f>MAX(0,MIN('Activities'!L596,630)-MAX('Activities'!K596,624))</x:f>
        <x:v>0</x:v>
      </x:c>
      <x:c r="DF596" s="22" t="n">
        <x:f>MAX(0,MIN('Activities'!L596,636)-MAX('Activities'!K596,630))</x:f>
        <x:v>0</x:v>
      </x:c>
    </x:row>
    <x:row r="597" ht="23" customHeight="1">
      <x:c r="A597" s="1" t="str">
        <x:v>T5-L12-R</x:v>
      </x:c>
      <x:c r="B597" s="1" t="str">
        <x:v>T5</x:v>
      </x:c>
      <x:c r="C597" s="1" t="str">
        <x:v>Column, wall, beam and slab reinforcement</x:v>
      </x:c>
      <x:c r="D597" s="1" t="str">
        <x:v>Rebar</x:v>
      </x:c>
      <x:c r="E597" s="23" t="n">
        <x:f>MAX(0,MIN('Activities'!L597,6)-MAX('Activities'!K597,0))</x:f>
        <x:v>0</x:v>
      </x:c>
      <x:c r="F597" s="23" t="n">
        <x:f>MAX(0,MIN('Activities'!L597,12)-MAX('Activities'!K597,6))</x:f>
        <x:v>0</x:v>
      </x:c>
      <x:c r="G597" s="23" t="n">
        <x:f>MAX(0,MIN('Activities'!L597,18)-MAX('Activities'!K597,12))</x:f>
        <x:v>0</x:v>
      </x:c>
      <x:c r="H597" s="23" t="n">
        <x:f>MAX(0,MIN('Activities'!L597,24)-MAX('Activities'!K597,18))</x:f>
        <x:v>0</x:v>
      </x:c>
      <x:c r="I597" s="23" t="n">
        <x:f>MAX(0,MIN('Activities'!L597,30)-MAX('Activities'!K597,24))</x:f>
        <x:v>0</x:v>
      </x:c>
      <x:c r="J597" s="23" t="n">
        <x:f>MAX(0,MIN('Activities'!L597,36)-MAX('Activities'!K597,30))</x:f>
        <x:v>0</x:v>
      </x:c>
      <x:c r="K597" s="23" t="n">
        <x:f>MAX(0,MIN('Activities'!L597,42)-MAX('Activities'!K597,36))</x:f>
        <x:v>0</x:v>
      </x:c>
      <x:c r="L597" s="23" t="n">
        <x:f>MAX(0,MIN('Activities'!L597,48)-MAX('Activities'!K597,42))</x:f>
        <x:v>0</x:v>
      </x:c>
      <x:c r="M597" s="23" t="n">
        <x:f>MAX(0,MIN('Activities'!L597,54)-MAX('Activities'!K597,48))</x:f>
        <x:v>0</x:v>
      </x:c>
      <x:c r="N597" s="23" t="n">
        <x:f>MAX(0,MIN('Activities'!L597,60)-MAX('Activities'!K597,54))</x:f>
        <x:v>0</x:v>
      </x:c>
      <x:c r="O597" s="23" t="n">
        <x:f>MAX(0,MIN('Activities'!L597,66)-MAX('Activities'!K597,60))</x:f>
        <x:v>0</x:v>
      </x:c>
      <x:c r="P597" s="23" t="n">
        <x:f>MAX(0,MIN('Activities'!L597,72)-MAX('Activities'!K597,66))</x:f>
        <x:v>0</x:v>
      </x:c>
      <x:c r="Q597" s="23" t="n">
        <x:f>MAX(0,MIN('Activities'!L597,78)-MAX('Activities'!K597,72))</x:f>
        <x:v>0</x:v>
      </x:c>
      <x:c r="R597" s="23" t="n">
        <x:f>MAX(0,MIN('Activities'!L597,84)-MAX('Activities'!K597,78))</x:f>
        <x:v>0</x:v>
      </x:c>
      <x:c r="S597" s="23" t="n">
        <x:f>MAX(0,MIN('Activities'!L597,90)-MAX('Activities'!K597,84))</x:f>
        <x:v>0</x:v>
      </x:c>
      <x:c r="T597" s="23" t="n">
        <x:f>MAX(0,MIN('Activities'!L597,96)-MAX('Activities'!K597,90))</x:f>
        <x:v>0</x:v>
      </x:c>
      <x:c r="U597" s="23" t="n">
        <x:f>MAX(0,MIN('Activities'!L597,102)-MAX('Activities'!K597,96))</x:f>
        <x:v>0</x:v>
      </x:c>
      <x:c r="V597" s="23" t="n">
        <x:f>MAX(0,MIN('Activities'!L597,108)-MAX('Activities'!K597,102))</x:f>
        <x:v>0</x:v>
      </x:c>
      <x:c r="W597" s="23" t="n">
        <x:f>MAX(0,MIN('Activities'!L597,114)-MAX('Activities'!K597,108))</x:f>
        <x:v>0</x:v>
      </x:c>
      <x:c r="X597" s="23" t="n">
        <x:f>MAX(0,MIN('Activities'!L597,120)-MAX('Activities'!K597,114))</x:f>
        <x:v>0</x:v>
      </x:c>
      <x:c r="Y597" s="23" t="n">
        <x:f>MAX(0,MIN('Activities'!L597,126)-MAX('Activities'!K597,120))</x:f>
        <x:v>0</x:v>
      </x:c>
      <x:c r="Z597" s="23" t="n">
        <x:f>MAX(0,MIN('Activities'!L597,132)-MAX('Activities'!K597,126))</x:f>
        <x:v>0</x:v>
      </x:c>
      <x:c r="AA597" s="23" t="n">
        <x:f>MAX(0,MIN('Activities'!L597,138)-MAX('Activities'!K597,132))</x:f>
        <x:v>0</x:v>
      </x:c>
      <x:c r="AB597" s="23" t="n">
        <x:f>MAX(0,MIN('Activities'!L597,144)-MAX('Activities'!K597,138))</x:f>
        <x:v>0</x:v>
      </x:c>
      <x:c r="AC597" s="23" t="n">
        <x:f>MAX(0,MIN('Activities'!L597,150)-MAX('Activities'!K597,144))</x:f>
        <x:v>0</x:v>
      </x:c>
      <x:c r="AD597" s="23" t="n">
        <x:f>MAX(0,MIN('Activities'!L597,156)-MAX('Activities'!K597,150))</x:f>
        <x:v>0</x:v>
      </x:c>
      <x:c r="AE597" s="23" t="n">
        <x:f>MAX(0,MIN('Activities'!L597,162)-MAX('Activities'!K597,156))</x:f>
        <x:v>0</x:v>
      </x:c>
      <x:c r="AF597" s="23" t="n">
        <x:f>MAX(0,MIN('Activities'!L597,168)-MAX('Activities'!K597,162))</x:f>
        <x:v>0</x:v>
      </x:c>
      <x:c r="AG597" s="23" t="n">
        <x:f>MAX(0,MIN('Activities'!L597,174)-MAX('Activities'!K597,168))</x:f>
        <x:v>0</x:v>
      </x:c>
      <x:c r="AH597" s="23" t="n">
        <x:f>MAX(0,MIN('Activities'!L597,180)-MAX('Activities'!K597,174))</x:f>
        <x:v>0</x:v>
      </x:c>
      <x:c r="AI597" s="23" t="n">
        <x:f>MAX(0,MIN('Activities'!L597,186)-MAX('Activities'!K597,180))</x:f>
        <x:v>0</x:v>
      </x:c>
      <x:c r="AJ597" s="23" t="n">
        <x:f>MAX(0,MIN('Activities'!L597,192)-MAX('Activities'!K597,186))</x:f>
        <x:v>0</x:v>
      </x:c>
      <x:c r="AK597" s="23" t="n">
        <x:f>MAX(0,MIN('Activities'!L597,198)-MAX('Activities'!K597,192))</x:f>
        <x:v>0</x:v>
      </x:c>
      <x:c r="AL597" s="23" t="n">
        <x:f>MAX(0,MIN('Activities'!L597,204)-MAX('Activities'!K597,198))</x:f>
        <x:v>0</x:v>
      </x:c>
      <x:c r="AM597" s="23" t="n">
        <x:f>MAX(0,MIN('Activities'!L597,210)-MAX('Activities'!K597,204))</x:f>
        <x:v>0</x:v>
      </x:c>
      <x:c r="AN597" s="23" t="n">
        <x:f>MAX(0,MIN('Activities'!L597,216)-MAX('Activities'!K597,210))</x:f>
        <x:v>0</x:v>
      </x:c>
      <x:c r="AO597" s="23" t="n">
        <x:f>MAX(0,MIN('Activities'!L597,222)-MAX('Activities'!K597,216))</x:f>
        <x:v>0</x:v>
      </x:c>
      <x:c r="AP597" s="23" t="n">
        <x:f>MAX(0,MIN('Activities'!L597,228)-MAX('Activities'!K597,222))</x:f>
        <x:v>0</x:v>
      </x:c>
      <x:c r="AQ597" s="23" t="n">
        <x:f>MAX(0,MIN('Activities'!L597,234)-MAX('Activities'!K597,228))</x:f>
        <x:v>0</x:v>
      </x:c>
      <x:c r="AR597" s="23" t="n">
        <x:f>MAX(0,MIN('Activities'!L597,240)-MAX('Activities'!K597,234))</x:f>
        <x:v>0</x:v>
      </x:c>
      <x:c r="AS597" s="23" t="n">
        <x:f>MAX(0,MIN('Activities'!L597,246)-MAX('Activities'!K597,240))</x:f>
        <x:v>0</x:v>
      </x:c>
      <x:c r="AT597" s="23" t="n">
        <x:f>MAX(0,MIN('Activities'!L597,252)-MAX('Activities'!K597,246))</x:f>
        <x:v>0</x:v>
      </x:c>
      <x:c r="AU597" s="23" t="n">
        <x:f>MAX(0,MIN('Activities'!L597,258)-MAX('Activities'!K597,252))</x:f>
        <x:v>0</x:v>
      </x:c>
      <x:c r="AV597" s="23" t="n">
        <x:f>MAX(0,MIN('Activities'!L597,264)-MAX('Activities'!K597,258))</x:f>
        <x:v>0</x:v>
      </x:c>
      <x:c r="AW597" s="23" t="n">
        <x:f>MAX(0,MIN('Activities'!L597,270)-MAX('Activities'!K597,264))</x:f>
        <x:v>0</x:v>
      </x:c>
      <x:c r="AX597" s="23" t="n">
        <x:f>MAX(0,MIN('Activities'!L597,276)-MAX('Activities'!K597,270))</x:f>
        <x:v>0</x:v>
      </x:c>
      <x:c r="AY597" s="23" t="n">
        <x:f>MAX(0,MIN('Activities'!L597,282)-MAX('Activities'!K597,276))</x:f>
        <x:v>0</x:v>
      </x:c>
      <x:c r="AZ597" s="23" t="n">
        <x:f>MAX(0,MIN('Activities'!L597,288)-MAX('Activities'!K597,282))</x:f>
        <x:v>0</x:v>
      </x:c>
      <x:c r="BA597" s="23" t="n">
        <x:f>MAX(0,MIN('Activities'!L597,294)-MAX('Activities'!K597,288))</x:f>
        <x:v>0</x:v>
      </x:c>
      <x:c r="BB597" s="23" t="n">
        <x:f>MAX(0,MIN('Activities'!L597,300)-MAX('Activities'!K597,294))</x:f>
        <x:v>0</x:v>
      </x:c>
      <x:c r="BC597" s="23" t="n">
        <x:f>MAX(0,MIN('Activities'!L597,306)-MAX('Activities'!K597,300))</x:f>
        <x:v>0</x:v>
      </x:c>
      <x:c r="BD597" s="23" t="n">
        <x:f>MAX(0,MIN('Activities'!L597,312)-MAX('Activities'!K597,306))</x:f>
        <x:v>0</x:v>
      </x:c>
      <x:c r="BE597" s="23" t="n">
        <x:f>MAX(0,MIN('Activities'!L597,318)-MAX('Activities'!K597,312))</x:f>
        <x:v>0</x:v>
      </x:c>
      <x:c r="BF597" s="23" t="n">
        <x:f>MAX(0,MIN('Activities'!L597,324)-MAX('Activities'!K597,318))</x:f>
        <x:v>0</x:v>
      </x:c>
      <x:c r="BG597" s="23" t="n">
        <x:f>MAX(0,MIN('Activities'!L597,330)-MAX('Activities'!K597,324))</x:f>
        <x:v>0</x:v>
      </x:c>
      <x:c r="BH597" s="23" t="n">
        <x:f>MAX(0,MIN('Activities'!L597,336)-MAX('Activities'!K597,330))</x:f>
        <x:v>0</x:v>
      </x:c>
      <x:c r="BI597" s="23" t="n">
        <x:f>MAX(0,MIN('Activities'!L597,342)-MAX('Activities'!K597,336))</x:f>
        <x:v>0</x:v>
      </x:c>
      <x:c r="BJ597" s="23" t="n">
        <x:f>MAX(0,MIN('Activities'!L597,348)-MAX('Activities'!K597,342))</x:f>
        <x:v>0</x:v>
      </x:c>
      <x:c r="BK597" s="23" t="n">
        <x:f>MAX(0,MIN('Activities'!L597,354)-MAX('Activities'!K597,348))</x:f>
        <x:v>0</x:v>
      </x:c>
      <x:c r="BL597" s="23" t="n">
        <x:f>MAX(0,MIN('Activities'!L597,360)-MAX('Activities'!K597,354))</x:f>
        <x:v>0</x:v>
      </x:c>
      <x:c r="BM597" s="23" t="n">
        <x:f>MAX(0,MIN('Activities'!L597,366)-MAX('Activities'!K597,360))</x:f>
        <x:v>0</x:v>
      </x:c>
      <x:c r="BN597" s="23" t="n">
        <x:f>MAX(0,MIN('Activities'!L597,372)-MAX('Activities'!K597,366))</x:f>
        <x:v>0</x:v>
      </x:c>
      <x:c r="BO597" s="23" t="n">
        <x:f>MAX(0,MIN('Activities'!L597,378)-MAX('Activities'!K597,372))</x:f>
        <x:v>0</x:v>
      </x:c>
      <x:c r="BP597" s="23" t="n">
        <x:f>MAX(0,MIN('Activities'!L597,384)-MAX('Activities'!K597,378))</x:f>
        <x:v>0</x:v>
      </x:c>
      <x:c r="BQ597" s="23" t="n">
        <x:f>MAX(0,MIN('Activities'!L597,390)-MAX('Activities'!K597,384))</x:f>
        <x:v>0</x:v>
      </x:c>
      <x:c r="BR597" s="23" t="n">
        <x:f>MAX(0,MIN('Activities'!L597,396)-MAX('Activities'!K597,390))</x:f>
        <x:v>0</x:v>
      </x:c>
      <x:c r="BS597" s="23" t="n">
        <x:f>MAX(0,MIN('Activities'!L597,402)-MAX('Activities'!K597,396))</x:f>
        <x:v>0</x:v>
      </x:c>
      <x:c r="BT597" s="23" t="n">
        <x:f>MAX(0,MIN('Activities'!L597,408)-MAX('Activities'!K597,402))</x:f>
        <x:v>4</x:v>
      </x:c>
      <x:c r="BU597" s="23" t="n">
        <x:f>MAX(0,MIN('Activities'!L597,414)-MAX('Activities'!K597,408))</x:f>
        <x:v>1</x:v>
      </x:c>
      <x:c r="BV597" s="23" t="n">
        <x:f>MAX(0,MIN('Activities'!L597,420)-MAX('Activities'!K597,414))</x:f>
        <x:v>0</x:v>
      </x:c>
      <x:c r="BW597" s="23" t="n">
        <x:f>MAX(0,MIN('Activities'!L597,426)-MAX('Activities'!K597,420))</x:f>
        <x:v>0</x:v>
      </x:c>
      <x:c r="BX597" s="23" t="n">
        <x:f>MAX(0,MIN('Activities'!L597,432)-MAX('Activities'!K597,426))</x:f>
        <x:v>0</x:v>
      </x:c>
      <x:c r="BY597" s="23" t="n">
        <x:f>MAX(0,MIN('Activities'!L597,438)-MAX('Activities'!K597,432))</x:f>
        <x:v>0</x:v>
      </x:c>
      <x:c r="BZ597" s="23" t="n">
        <x:f>MAX(0,MIN('Activities'!L597,444)-MAX('Activities'!K597,438))</x:f>
        <x:v>0</x:v>
      </x:c>
      <x:c r="CA597" s="23" t="n">
        <x:f>MAX(0,MIN('Activities'!L597,450)-MAX('Activities'!K597,444))</x:f>
        <x:v>0</x:v>
      </x:c>
      <x:c r="CB597" s="23" t="n">
        <x:f>MAX(0,MIN('Activities'!L597,456)-MAX('Activities'!K597,450))</x:f>
        <x:v>0</x:v>
      </x:c>
      <x:c r="CC597" s="23" t="n">
        <x:f>MAX(0,MIN('Activities'!L597,462)-MAX('Activities'!K597,456))</x:f>
        <x:v>0</x:v>
      </x:c>
      <x:c r="CD597" s="23" t="n">
        <x:f>MAX(0,MIN('Activities'!L597,468)-MAX('Activities'!K597,462))</x:f>
        <x:v>0</x:v>
      </x:c>
      <x:c r="CE597" s="23" t="n">
        <x:f>MAX(0,MIN('Activities'!L597,474)-MAX('Activities'!K597,468))</x:f>
        <x:v>0</x:v>
      </x:c>
      <x:c r="CF597" s="23" t="n">
        <x:f>MAX(0,MIN('Activities'!L597,480)-MAX('Activities'!K597,474))</x:f>
        <x:v>0</x:v>
      </x:c>
      <x:c r="CG597" s="23" t="n">
        <x:f>MAX(0,MIN('Activities'!L597,486)-MAX('Activities'!K597,480))</x:f>
        <x:v>0</x:v>
      </x:c>
      <x:c r="CH597" s="23" t="n">
        <x:f>MAX(0,MIN('Activities'!L597,492)-MAX('Activities'!K597,486))</x:f>
        <x:v>0</x:v>
      </x:c>
      <x:c r="CI597" s="23" t="n">
        <x:f>MAX(0,MIN('Activities'!L597,498)-MAX('Activities'!K597,492))</x:f>
        <x:v>0</x:v>
      </x:c>
      <x:c r="CJ597" s="23" t="n">
        <x:f>MAX(0,MIN('Activities'!L597,504)-MAX('Activities'!K597,498))</x:f>
        <x:v>0</x:v>
      </x:c>
      <x:c r="CK597" s="23" t="n">
        <x:f>MAX(0,MIN('Activities'!L597,510)-MAX('Activities'!K597,504))</x:f>
        <x:v>0</x:v>
      </x:c>
      <x:c r="CL597" s="23" t="n">
        <x:f>MAX(0,MIN('Activities'!L597,516)-MAX('Activities'!K597,510))</x:f>
        <x:v>0</x:v>
      </x:c>
      <x:c r="CM597" s="23" t="n">
        <x:f>MAX(0,MIN('Activities'!L597,522)-MAX('Activities'!K597,516))</x:f>
        <x:v>0</x:v>
      </x:c>
      <x:c r="CN597" s="23" t="n">
        <x:f>MAX(0,MIN('Activities'!L597,528)-MAX('Activities'!K597,522))</x:f>
        <x:v>0</x:v>
      </x:c>
      <x:c r="CO597" s="23" t="n">
        <x:f>MAX(0,MIN('Activities'!L597,534)-MAX('Activities'!K597,528))</x:f>
        <x:v>0</x:v>
      </x:c>
      <x:c r="CP597" s="23" t="n">
        <x:f>MAX(0,MIN('Activities'!L597,540)-MAX('Activities'!K597,534))</x:f>
        <x:v>0</x:v>
      </x:c>
      <x:c r="CQ597" s="23" t="n">
        <x:f>MAX(0,MIN('Activities'!L597,546)-MAX('Activities'!K597,540))</x:f>
        <x:v>0</x:v>
      </x:c>
      <x:c r="CR597" s="23" t="n">
        <x:f>MAX(0,MIN('Activities'!L597,552)-MAX('Activities'!K597,546))</x:f>
        <x:v>0</x:v>
      </x:c>
      <x:c r="CS597" s="23" t="n">
        <x:f>MAX(0,MIN('Activities'!L597,558)-MAX('Activities'!K597,552))</x:f>
        <x:v>0</x:v>
      </x:c>
      <x:c r="CT597" s="23" t="n">
        <x:f>MAX(0,MIN('Activities'!L597,564)-MAX('Activities'!K597,558))</x:f>
        <x:v>0</x:v>
      </x:c>
      <x:c r="CU597" s="23" t="n">
        <x:f>MAX(0,MIN('Activities'!L597,570)-MAX('Activities'!K597,564))</x:f>
        <x:v>0</x:v>
      </x:c>
      <x:c r="CV597" s="23" t="n">
        <x:f>MAX(0,MIN('Activities'!L597,576)-MAX('Activities'!K597,570))</x:f>
        <x:v>0</x:v>
      </x:c>
      <x:c r="CW597" s="23" t="n">
        <x:f>MAX(0,MIN('Activities'!L597,582)-MAX('Activities'!K597,576))</x:f>
        <x:v>0</x:v>
      </x:c>
      <x:c r="CX597" s="23" t="n">
        <x:f>MAX(0,MIN('Activities'!L597,588)-MAX('Activities'!K597,582))</x:f>
        <x:v>0</x:v>
      </x:c>
      <x:c r="CY597" s="23" t="n">
        <x:f>MAX(0,MIN('Activities'!L597,594)-MAX('Activities'!K597,588))</x:f>
        <x:v>0</x:v>
      </x:c>
      <x:c r="CZ597" s="23" t="n">
        <x:f>MAX(0,MIN('Activities'!L597,600)-MAX('Activities'!K597,594))</x:f>
        <x:v>0</x:v>
      </x:c>
      <x:c r="DA597" s="23" t="n">
        <x:f>MAX(0,MIN('Activities'!L597,606)-MAX('Activities'!K597,600))</x:f>
        <x:v>0</x:v>
      </x:c>
      <x:c r="DB597" s="23" t="n">
        <x:f>MAX(0,MIN('Activities'!L597,612)-MAX('Activities'!K597,606))</x:f>
        <x:v>0</x:v>
      </x:c>
      <x:c r="DC597" s="23" t="n">
        <x:f>MAX(0,MIN('Activities'!L597,618)-MAX('Activities'!K597,612))</x:f>
        <x:v>0</x:v>
      </x:c>
      <x:c r="DD597" s="23" t="n">
        <x:f>MAX(0,MIN('Activities'!L597,624)-MAX('Activities'!K597,618))</x:f>
        <x:v>0</x:v>
      </x:c>
      <x:c r="DE597" s="23" t="n">
        <x:f>MAX(0,MIN('Activities'!L597,630)-MAX('Activities'!K597,624))</x:f>
        <x:v>0</x:v>
      </x:c>
      <x:c r="DF597" s="23" t="n">
        <x:f>MAX(0,MIN('Activities'!L597,636)-MAX('Activities'!K597,630))</x:f>
        <x:v>0</x:v>
      </x:c>
    </x:row>
    <x:row r="598" ht="23" customHeight="1">
      <x:c r="A598" s="6" t="str">
        <x:v>T5-L12-C</x:v>
      </x:c>
      <x:c r="B598" s="6" t="str">
        <x:v>T5</x:v>
      </x:c>
      <x:c r="C598" s="6" t="str">
        <x:v>Concrete placement and finishing</x:v>
      </x:c>
      <x:c r="D598" s="6" t="str">
        <x:v>Concrete</x:v>
      </x:c>
      <x:c r="E598" s="22" t="n">
        <x:f>MAX(0,MIN('Activities'!L598,6)-MAX('Activities'!K598,0))</x:f>
        <x:v>0</x:v>
      </x:c>
      <x:c r="F598" s="22" t="n">
        <x:f>MAX(0,MIN('Activities'!L598,12)-MAX('Activities'!K598,6))</x:f>
        <x:v>0</x:v>
      </x:c>
      <x:c r="G598" s="22" t="n">
        <x:f>MAX(0,MIN('Activities'!L598,18)-MAX('Activities'!K598,12))</x:f>
        <x:v>0</x:v>
      </x:c>
      <x:c r="H598" s="22" t="n">
        <x:f>MAX(0,MIN('Activities'!L598,24)-MAX('Activities'!K598,18))</x:f>
        <x:v>0</x:v>
      </x:c>
      <x:c r="I598" s="22" t="n">
        <x:f>MAX(0,MIN('Activities'!L598,30)-MAX('Activities'!K598,24))</x:f>
        <x:v>0</x:v>
      </x:c>
      <x:c r="J598" s="22" t="n">
        <x:f>MAX(0,MIN('Activities'!L598,36)-MAX('Activities'!K598,30))</x:f>
        <x:v>0</x:v>
      </x:c>
      <x:c r="K598" s="22" t="n">
        <x:f>MAX(0,MIN('Activities'!L598,42)-MAX('Activities'!K598,36))</x:f>
        <x:v>0</x:v>
      </x:c>
      <x:c r="L598" s="22" t="n">
        <x:f>MAX(0,MIN('Activities'!L598,48)-MAX('Activities'!K598,42))</x:f>
        <x:v>0</x:v>
      </x:c>
      <x:c r="M598" s="22" t="n">
        <x:f>MAX(0,MIN('Activities'!L598,54)-MAX('Activities'!K598,48))</x:f>
        <x:v>0</x:v>
      </x:c>
      <x:c r="N598" s="22" t="n">
        <x:f>MAX(0,MIN('Activities'!L598,60)-MAX('Activities'!K598,54))</x:f>
        <x:v>0</x:v>
      </x:c>
      <x:c r="O598" s="22" t="n">
        <x:f>MAX(0,MIN('Activities'!L598,66)-MAX('Activities'!K598,60))</x:f>
        <x:v>0</x:v>
      </x:c>
      <x:c r="P598" s="22" t="n">
        <x:f>MAX(0,MIN('Activities'!L598,72)-MAX('Activities'!K598,66))</x:f>
        <x:v>0</x:v>
      </x:c>
      <x:c r="Q598" s="22" t="n">
        <x:f>MAX(0,MIN('Activities'!L598,78)-MAX('Activities'!K598,72))</x:f>
        <x:v>0</x:v>
      </x:c>
      <x:c r="R598" s="22" t="n">
        <x:f>MAX(0,MIN('Activities'!L598,84)-MAX('Activities'!K598,78))</x:f>
        <x:v>0</x:v>
      </x:c>
      <x:c r="S598" s="22" t="n">
        <x:f>MAX(0,MIN('Activities'!L598,90)-MAX('Activities'!K598,84))</x:f>
        <x:v>0</x:v>
      </x:c>
      <x:c r="T598" s="22" t="n">
        <x:f>MAX(0,MIN('Activities'!L598,96)-MAX('Activities'!K598,90))</x:f>
        <x:v>0</x:v>
      </x:c>
      <x:c r="U598" s="22" t="n">
        <x:f>MAX(0,MIN('Activities'!L598,102)-MAX('Activities'!K598,96))</x:f>
        <x:v>0</x:v>
      </x:c>
      <x:c r="V598" s="22" t="n">
        <x:f>MAX(0,MIN('Activities'!L598,108)-MAX('Activities'!K598,102))</x:f>
        <x:v>0</x:v>
      </x:c>
      <x:c r="W598" s="22" t="n">
        <x:f>MAX(0,MIN('Activities'!L598,114)-MAX('Activities'!K598,108))</x:f>
        <x:v>0</x:v>
      </x:c>
      <x:c r="X598" s="22" t="n">
        <x:f>MAX(0,MIN('Activities'!L598,120)-MAX('Activities'!K598,114))</x:f>
        <x:v>0</x:v>
      </x:c>
      <x:c r="Y598" s="22" t="n">
        <x:f>MAX(0,MIN('Activities'!L598,126)-MAX('Activities'!K598,120))</x:f>
        <x:v>0</x:v>
      </x:c>
      <x:c r="Z598" s="22" t="n">
        <x:f>MAX(0,MIN('Activities'!L598,132)-MAX('Activities'!K598,126))</x:f>
        <x:v>0</x:v>
      </x:c>
      <x:c r="AA598" s="22" t="n">
        <x:f>MAX(0,MIN('Activities'!L598,138)-MAX('Activities'!K598,132))</x:f>
        <x:v>0</x:v>
      </x:c>
      <x:c r="AB598" s="22" t="n">
        <x:f>MAX(0,MIN('Activities'!L598,144)-MAX('Activities'!K598,138))</x:f>
        <x:v>0</x:v>
      </x:c>
      <x:c r="AC598" s="22" t="n">
        <x:f>MAX(0,MIN('Activities'!L598,150)-MAX('Activities'!K598,144))</x:f>
        <x:v>0</x:v>
      </x:c>
      <x:c r="AD598" s="22" t="n">
        <x:f>MAX(0,MIN('Activities'!L598,156)-MAX('Activities'!K598,150))</x:f>
        <x:v>0</x:v>
      </x:c>
      <x:c r="AE598" s="22" t="n">
        <x:f>MAX(0,MIN('Activities'!L598,162)-MAX('Activities'!K598,156))</x:f>
        <x:v>0</x:v>
      </x:c>
      <x:c r="AF598" s="22" t="n">
        <x:f>MAX(0,MIN('Activities'!L598,168)-MAX('Activities'!K598,162))</x:f>
        <x:v>0</x:v>
      </x:c>
      <x:c r="AG598" s="22" t="n">
        <x:f>MAX(0,MIN('Activities'!L598,174)-MAX('Activities'!K598,168))</x:f>
        <x:v>0</x:v>
      </x:c>
      <x:c r="AH598" s="22" t="n">
        <x:f>MAX(0,MIN('Activities'!L598,180)-MAX('Activities'!K598,174))</x:f>
        <x:v>0</x:v>
      </x:c>
      <x:c r="AI598" s="22" t="n">
        <x:f>MAX(0,MIN('Activities'!L598,186)-MAX('Activities'!K598,180))</x:f>
        <x:v>0</x:v>
      </x:c>
      <x:c r="AJ598" s="22" t="n">
        <x:f>MAX(0,MIN('Activities'!L598,192)-MAX('Activities'!K598,186))</x:f>
        <x:v>0</x:v>
      </x:c>
      <x:c r="AK598" s="22" t="n">
        <x:f>MAX(0,MIN('Activities'!L598,198)-MAX('Activities'!K598,192))</x:f>
        <x:v>0</x:v>
      </x:c>
      <x:c r="AL598" s="22" t="n">
        <x:f>MAX(0,MIN('Activities'!L598,204)-MAX('Activities'!K598,198))</x:f>
        <x:v>0</x:v>
      </x:c>
      <x:c r="AM598" s="22" t="n">
        <x:f>MAX(0,MIN('Activities'!L598,210)-MAX('Activities'!K598,204))</x:f>
        <x:v>0</x:v>
      </x:c>
      <x:c r="AN598" s="22" t="n">
        <x:f>MAX(0,MIN('Activities'!L598,216)-MAX('Activities'!K598,210))</x:f>
        <x:v>0</x:v>
      </x:c>
      <x:c r="AO598" s="22" t="n">
        <x:f>MAX(0,MIN('Activities'!L598,222)-MAX('Activities'!K598,216))</x:f>
        <x:v>0</x:v>
      </x:c>
      <x:c r="AP598" s="22" t="n">
        <x:f>MAX(0,MIN('Activities'!L598,228)-MAX('Activities'!K598,222))</x:f>
        <x:v>0</x:v>
      </x:c>
      <x:c r="AQ598" s="22" t="n">
        <x:f>MAX(0,MIN('Activities'!L598,234)-MAX('Activities'!K598,228))</x:f>
        <x:v>0</x:v>
      </x:c>
      <x:c r="AR598" s="22" t="n">
        <x:f>MAX(0,MIN('Activities'!L598,240)-MAX('Activities'!K598,234))</x:f>
        <x:v>0</x:v>
      </x:c>
      <x:c r="AS598" s="22" t="n">
        <x:f>MAX(0,MIN('Activities'!L598,246)-MAX('Activities'!K598,240))</x:f>
        <x:v>0</x:v>
      </x:c>
      <x:c r="AT598" s="22" t="n">
        <x:f>MAX(0,MIN('Activities'!L598,252)-MAX('Activities'!K598,246))</x:f>
        <x:v>0</x:v>
      </x:c>
      <x:c r="AU598" s="22" t="n">
        <x:f>MAX(0,MIN('Activities'!L598,258)-MAX('Activities'!K598,252))</x:f>
        <x:v>0</x:v>
      </x:c>
      <x:c r="AV598" s="22" t="n">
        <x:f>MAX(0,MIN('Activities'!L598,264)-MAX('Activities'!K598,258))</x:f>
        <x:v>0</x:v>
      </x:c>
      <x:c r="AW598" s="22" t="n">
        <x:f>MAX(0,MIN('Activities'!L598,270)-MAX('Activities'!K598,264))</x:f>
        <x:v>0</x:v>
      </x:c>
      <x:c r="AX598" s="22" t="n">
        <x:f>MAX(0,MIN('Activities'!L598,276)-MAX('Activities'!K598,270))</x:f>
        <x:v>0</x:v>
      </x:c>
      <x:c r="AY598" s="22" t="n">
        <x:f>MAX(0,MIN('Activities'!L598,282)-MAX('Activities'!K598,276))</x:f>
        <x:v>0</x:v>
      </x:c>
      <x:c r="AZ598" s="22" t="n">
        <x:f>MAX(0,MIN('Activities'!L598,288)-MAX('Activities'!K598,282))</x:f>
        <x:v>0</x:v>
      </x:c>
      <x:c r="BA598" s="22" t="n">
        <x:f>MAX(0,MIN('Activities'!L598,294)-MAX('Activities'!K598,288))</x:f>
        <x:v>0</x:v>
      </x:c>
      <x:c r="BB598" s="22" t="n">
        <x:f>MAX(0,MIN('Activities'!L598,300)-MAX('Activities'!K598,294))</x:f>
        <x:v>0</x:v>
      </x:c>
      <x:c r="BC598" s="22" t="n">
        <x:f>MAX(0,MIN('Activities'!L598,306)-MAX('Activities'!K598,300))</x:f>
        <x:v>0</x:v>
      </x:c>
      <x:c r="BD598" s="22" t="n">
        <x:f>MAX(0,MIN('Activities'!L598,312)-MAX('Activities'!K598,306))</x:f>
        <x:v>0</x:v>
      </x:c>
      <x:c r="BE598" s="22" t="n">
        <x:f>MAX(0,MIN('Activities'!L598,318)-MAX('Activities'!K598,312))</x:f>
        <x:v>0</x:v>
      </x:c>
      <x:c r="BF598" s="22" t="n">
        <x:f>MAX(0,MIN('Activities'!L598,324)-MAX('Activities'!K598,318))</x:f>
        <x:v>0</x:v>
      </x:c>
      <x:c r="BG598" s="22" t="n">
        <x:f>MAX(0,MIN('Activities'!L598,330)-MAX('Activities'!K598,324))</x:f>
        <x:v>0</x:v>
      </x:c>
      <x:c r="BH598" s="22" t="n">
        <x:f>MAX(0,MIN('Activities'!L598,336)-MAX('Activities'!K598,330))</x:f>
        <x:v>0</x:v>
      </x:c>
      <x:c r="BI598" s="22" t="n">
        <x:f>MAX(0,MIN('Activities'!L598,342)-MAX('Activities'!K598,336))</x:f>
        <x:v>0</x:v>
      </x:c>
      <x:c r="BJ598" s="22" t="n">
        <x:f>MAX(0,MIN('Activities'!L598,348)-MAX('Activities'!K598,342))</x:f>
        <x:v>0</x:v>
      </x:c>
      <x:c r="BK598" s="22" t="n">
        <x:f>MAX(0,MIN('Activities'!L598,354)-MAX('Activities'!K598,348))</x:f>
        <x:v>0</x:v>
      </x:c>
      <x:c r="BL598" s="22" t="n">
        <x:f>MAX(0,MIN('Activities'!L598,360)-MAX('Activities'!K598,354))</x:f>
        <x:v>0</x:v>
      </x:c>
      <x:c r="BM598" s="22" t="n">
        <x:f>MAX(0,MIN('Activities'!L598,366)-MAX('Activities'!K598,360))</x:f>
        <x:v>0</x:v>
      </x:c>
      <x:c r="BN598" s="22" t="n">
        <x:f>MAX(0,MIN('Activities'!L598,372)-MAX('Activities'!K598,366))</x:f>
        <x:v>0</x:v>
      </x:c>
      <x:c r="BO598" s="22" t="n">
        <x:f>MAX(0,MIN('Activities'!L598,378)-MAX('Activities'!K598,372))</x:f>
        <x:v>0</x:v>
      </x:c>
      <x:c r="BP598" s="22" t="n">
        <x:f>MAX(0,MIN('Activities'!L598,384)-MAX('Activities'!K598,378))</x:f>
        <x:v>0</x:v>
      </x:c>
      <x:c r="BQ598" s="22" t="n">
        <x:f>MAX(0,MIN('Activities'!L598,390)-MAX('Activities'!K598,384))</x:f>
        <x:v>0</x:v>
      </x:c>
      <x:c r="BR598" s="22" t="n">
        <x:f>MAX(0,MIN('Activities'!L598,396)-MAX('Activities'!K598,390))</x:f>
        <x:v>0</x:v>
      </x:c>
      <x:c r="BS598" s="22" t="n">
        <x:f>MAX(0,MIN('Activities'!L598,402)-MAX('Activities'!K598,396))</x:f>
        <x:v>0</x:v>
      </x:c>
      <x:c r="BT598" s="22" t="n">
        <x:f>MAX(0,MIN('Activities'!L598,408)-MAX('Activities'!K598,402))</x:f>
        <x:v>0</x:v>
      </x:c>
      <x:c r="BU598" s="22" t="n">
        <x:f>MAX(0,MIN('Activities'!L598,414)-MAX('Activities'!K598,408))</x:f>
        <x:v>2</x:v>
      </x:c>
      <x:c r="BV598" s="22" t="n">
        <x:f>MAX(0,MIN('Activities'!L598,420)-MAX('Activities'!K598,414))</x:f>
        <x:v>0</x:v>
      </x:c>
      <x:c r="BW598" s="22" t="n">
        <x:f>MAX(0,MIN('Activities'!L598,426)-MAX('Activities'!K598,420))</x:f>
        <x:v>0</x:v>
      </x:c>
      <x:c r="BX598" s="22" t="n">
        <x:f>MAX(0,MIN('Activities'!L598,432)-MAX('Activities'!K598,426))</x:f>
        <x:v>0</x:v>
      </x:c>
      <x:c r="BY598" s="22" t="n">
        <x:f>MAX(0,MIN('Activities'!L598,438)-MAX('Activities'!K598,432))</x:f>
        <x:v>0</x:v>
      </x:c>
      <x:c r="BZ598" s="22" t="n">
        <x:f>MAX(0,MIN('Activities'!L598,444)-MAX('Activities'!K598,438))</x:f>
        <x:v>0</x:v>
      </x:c>
      <x:c r="CA598" s="22" t="n">
        <x:f>MAX(0,MIN('Activities'!L598,450)-MAX('Activities'!K598,444))</x:f>
        <x:v>0</x:v>
      </x:c>
      <x:c r="CB598" s="22" t="n">
        <x:f>MAX(0,MIN('Activities'!L598,456)-MAX('Activities'!K598,450))</x:f>
        <x:v>0</x:v>
      </x:c>
      <x:c r="CC598" s="22" t="n">
        <x:f>MAX(0,MIN('Activities'!L598,462)-MAX('Activities'!K598,456))</x:f>
        <x:v>0</x:v>
      </x:c>
      <x:c r="CD598" s="22" t="n">
        <x:f>MAX(0,MIN('Activities'!L598,468)-MAX('Activities'!K598,462))</x:f>
        <x:v>0</x:v>
      </x:c>
      <x:c r="CE598" s="22" t="n">
        <x:f>MAX(0,MIN('Activities'!L598,474)-MAX('Activities'!K598,468))</x:f>
        <x:v>0</x:v>
      </x:c>
      <x:c r="CF598" s="22" t="n">
        <x:f>MAX(0,MIN('Activities'!L598,480)-MAX('Activities'!K598,474))</x:f>
        <x:v>0</x:v>
      </x:c>
      <x:c r="CG598" s="22" t="n">
        <x:f>MAX(0,MIN('Activities'!L598,486)-MAX('Activities'!K598,480))</x:f>
        <x:v>0</x:v>
      </x:c>
      <x:c r="CH598" s="22" t="n">
        <x:f>MAX(0,MIN('Activities'!L598,492)-MAX('Activities'!K598,486))</x:f>
        <x:v>0</x:v>
      </x:c>
      <x:c r="CI598" s="22" t="n">
        <x:f>MAX(0,MIN('Activities'!L598,498)-MAX('Activities'!K598,492))</x:f>
        <x:v>0</x:v>
      </x:c>
      <x:c r="CJ598" s="22" t="n">
        <x:f>MAX(0,MIN('Activities'!L598,504)-MAX('Activities'!K598,498))</x:f>
        <x:v>0</x:v>
      </x:c>
      <x:c r="CK598" s="22" t="n">
        <x:f>MAX(0,MIN('Activities'!L598,510)-MAX('Activities'!K598,504))</x:f>
        <x:v>0</x:v>
      </x:c>
      <x:c r="CL598" s="22" t="n">
        <x:f>MAX(0,MIN('Activities'!L598,516)-MAX('Activities'!K598,510))</x:f>
        <x:v>0</x:v>
      </x:c>
      <x:c r="CM598" s="22" t="n">
        <x:f>MAX(0,MIN('Activities'!L598,522)-MAX('Activities'!K598,516))</x:f>
        <x:v>0</x:v>
      </x:c>
      <x:c r="CN598" s="22" t="n">
        <x:f>MAX(0,MIN('Activities'!L598,528)-MAX('Activities'!K598,522))</x:f>
        <x:v>0</x:v>
      </x:c>
      <x:c r="CO598" s="22" t="n">
        <x:f>MAX(0,MIN('Activities'!L598,534)-MAX('Activities'!K598,528))</x:f>
        <x:v>0</x:v>
      </x:c>
      <x:c r="CP598" s="22" t="n">
        <x:f>MAX(0,MIN('Activities'!L598,540)-MAX('Activities'!K598,534))</x:f>
        <x:v>0</x:v>
      </x:c>
      <x:c r="CQ598" s="22" t="n">
        <x:f>MAX(0,MIN('Activities'!L598,546)-MAX('Activities'!K598,540))</x:f>
        <x:v>0</x:v>
      </x:c>
      <x:c r="CR598" s="22" t="n">
        <x:f>MAX(0,MIN('Activities'!L598,552)-MAX('Activities'!K598,546))</x:f>
        <x:v>0</x:v>
      </x:c>
      <x:c r="CS598" s="22" t="n">
        <x:f>MAX(0,MIN('Activities'!L598,558)-MAX('Activities'!K598,552))</x:f>
        <x:v>0</x:v>
      </x:c>
      <x:c r="CT598" s="22" t="n">
        <x:f>MAX(0,MIN('Activities'!L598,564)-MAX('Activities'!K598,558))</x:f>
        <x:v>0</x:v>
      </x:c>
      <x:c r="CU598" s="22" t="n">
        <x:f>MAX(0,MIN('Activities'!L598,570)-MAX('Activities'!K598,564))</x:f>
        <x:v>0</x:v>
      </x:c>
      <x:c r="CV598" s="22" t="n">
        <x:f>MAX(0,MIN('Activities'!L598,576)-MAX('Activities'!K598,570))</x:f>
        <x:v>0</x:v>
      </x:c>
      <x:c r="CW598" s="22" t="n">
        <x:f>MAX(0,MIN('Activities'!L598,582)-MAX('Activities'!K598,576))</x:f>
        <x:v>0</x:v>
      </x:c>
      <x:c r="CX598" s="22" t="n">
        <x:f>MAX(0,MIN('Activities'!L598,588)-MAX('Activities'!K598,582))</x:f>
        <x:v>0</x:v>
      </x:c>
      <x:c r="CY598" s="22" t="n">
        <x:f>MAX(0,MIN('Activities'!L598,594)-MAX('Activities'!K598,588))</x:f>
        <x:v>0</x:v>
      </x:c>
      <x:c r="CZ598" s="22" t="n">
        <x:f>MAX(0,MIN('Activities'!L598,600)-MAX('Activities'!K598,594))</x:f>
        <x:v>0</x:v>
      </x:c>
      <x:c r="DA598" s="22" t="n">
        <x:f>MAX(0,MIN('Activities'!L598,606)-MAX('Activities'!K598,600))</x:f>
        <x:v>0</x:v>
      </x:c>
      <x:c r="DB598" s="22" t="n">
        <x:f>MAX(0,MIN('Activities'!L598,612)-MAX('Activities'!K598,606))</x:f>
        <x:v>0</x:v>
      </x:c>
      <x:c r="DC598" s="22" t="n">
        <x:f>MAX(0,MIN('Activities'!L598,618)-MAX('Activities'!K598,612))</x:f>
        <x:v>0</x:v>
      </x:c>
      <x:c r="DD598" s="22" t="n">
        <x:f>MAX(0,MIN('Activities'!L598,624)-MAX('Activities'!K598,618))</x:f>
        <x:v>0</x:v>
      </x:c>
      <x:c r="DE598" s="22" t="n">
        <x:f>MAX(0,MIN('Activities'!L598,630)-MAX('Activities'!K598,624))</x:f>
        <x:v>0</x:v>
      </x:c>
      <x:c r="DF598" s="22" t="n">
        <x:f>MAX(0,MIN('Activities'!L598,636)-MAX('Activities'!K598,630))</x:f>
        <x:v>0</x:v>
      </x:c>
    </x:row>
    <x:row r="599" ht="23" customHeight="1">
      <x:c r="A599" s="1" t="str">
        <x:v>T5-L12-H</x:v>
      </x:c>
      <x:c r="B599" s="1" t="str">
        <x:v>T5</x:v>
      </x:c>
      <x:c r="C599" s="1" t="str">
        <x:v>Curing and release hold point</x:v>
      </x:c>
      <x:c r="D599" s="1" t="str">
        <x:v>Site</x:v>
      </x:c>
      <x:c r="E599" s="23" t="n">
        <x:f>MAX(0,MIN('Activities'!L599,6)-MAX('Activities'!K599,0))</x:f>
        <x:v>0</x:v>
      </x:c>
      <x:c r="F599" s="23" t="n">
        <x:f>MAX(0,MIN('Activities'!L599,12)-MAX('Activities'!K599,6))</x:f>
        <x:v>0</x:v>
      </x:c>
      <x:c r="G599" s="23" t="n">
        <x:f>MAX(0,MIN('Activities'!L599,18)-MAX('Activities'!K599,12))</x:f>
        <x:v>0</x:v>
      </x:c>
      <x:c r="H599" s="23" t="n">
        <x:f>MAX(0,MIN('Activities'!L599,24)-MAX('Activities'!K599,18))</x:f>
        <x:v>0</x:v>
      </x:c>
      <x:c r="I599" s="23" t="n">
        <x:f>MAX(0,MIN('Activities'!L599,30)-MAX('Activities'!K599,24))</x:f>
        <x:v>0</x:v>
      </x:c>
      <x:c r="J599" s="23" t="n">
        <x:f>MAX(0,MIN('Activities'!L599,36)-MAX('Activities'!K599,30))</x:f>
        <x:v>0</x:v>
      </x:c>
      <x:c r="K599" s="23" t="n">
        <x:f>MAX(0,MIN('Activities'!L599,42)-MAX('Activities'!K599,36))</x:f>
        <x:v>0</x:v>
      </x:c>
      <x:c r="L599" s="23" t="n">
        <x:f>MAX(0,MIN('Activities'!L599,48)-MAX('Activities'!K599,42))</x:f>
        <x:v>0</x:v>
      </x:c>
      <x:c r="M599" s="23" t="n">
        <x:f>MAX(0,MIN('Activities'!L599,54)-MAX('Activities'!K599,48))</x:f>
        <x:v>0</x:v>
      </x:c>
      <x:c r="N599" s="23" t="n">
        <x:f>MAX(0,MIN('Activities'!L599,60)-MAX('Activities'!K599,54))</x:f>
        <x:v>0</x:v>
      </x:c>
      <x:c r="O599" s="23" t="n">
        <x:f>MAX(0,MIN('Activities'!L599,66)-MAX('Activities'!K599,60))</x:f>
        <x:v>0</x:v>
      </x:c>
      <x:c r="P599" s="23" t="n">
        <x:f>MAX(0,MIN('Activities'!L599,72)-MAX('Activities'!K599,66))</x:f>
        <x:v>0</x:v>
      </x:c>
      <x:c r="Q599" s="23" t="n">
        <x:f>MAX(0,MIN('Activities'!L599,78)-MAX('Activities'!K599,72))</x:f>
        <x:v>0</x:v>
      </x:c>
      <x:c r="R599" s="23" t="n">
        <x:f>MAX(0,MIN('Activities'!L599,84)-MAX('Activities'!K599,78))</x:f>
        <x:v>0</x:v>
      </x:c>
      <x:c r="S599" s="23" t="n">
        <x:f>MAX(0,MIN('Activities'!L599,90)-MAX('Activities'!K599,84))</x:f>
        <x:v>0</x:v>
      </x:c>
      <x:c r="T599" s="23" t="n">
        <x:f>MAX(0,MIN('Activities'!L599,96)-MAX('Activities'!K599,90))</x:f>
        <x:v>0</x:v>
      </x:c>
      <x:c r="U599" s="23" t="n">
        <x:f>MAX(0,MIN('Activities'!L599,102)-MAX('Activities'!K599,96))</x:f>
        <x:v>0</x:v>
      </x:c>
      <x:c r="V599" s="23" t="n">
        <x:f>MAX(0,MIN('Activities'!L599,108)-MAX('Activities'!K599,102))</x:f>
        <x:v>0</x:v>
      </x:c>
      <x:c r="W599" s="23" t="n">
        <x:f>MAX(0,MIN('Activities'!L599,114)-MAX('Activities'!K599,108))</x:f>
        <x:v>0</x:v>
      </x:c>
      <x:c r="X599" s="23" t="n">
        <x:f>MAX(0,MIN('Activities'!L599,120)-MAX('Activities'!K599,114))</x:f>
        <x:v>0</x:v>
      </x:c>
      <x:c r="Y599" s="23" t="n">
        <x:f>MAX(0,MIN('Activities'!L599,126)-MAX('Activities'!K599,120))</x:f>
        <x:v>0</x:v>
      </x:c>
      <x:c r="Z599" s="23" t="n">
        <x:f>MAX(0,MIN('Activities'!L599,132)-MAX('Activities'!K599,126))</x:f>
        <x:v>0</x:v>
      </x:c>
      <x:c r="AA599" s="23" t="n">
        <x:f>MAX(0,MIN('Activities'!L599,138)-MAX('Activities'!K599,132))</x:f>
        <x:v>0</x:v>
      </x:c>
      <x:c r="AB599" s="23" t="n">
        <x:f>MAX(0,MIN('Activities'!L599,144)-MAX('Activities'!K599,138))</x:f>
        <x:v>0</x:v>
      </x:c>
      <x:c r="AC599" s="23" t="n">
        <x:f>MAX(0,MIN('Activities'!L599,150)-MAX('Activities'!K599,144))</x:f>
        <x:v>0</x:v>
      </x:c>
      <x:c r="AD599" s="23" t="n">
        <x:f>MAX(0,MIN('Activities'!L599,156)-MAX('Activities'!K599,150))</x:f>
        <x:v>0</x:v>
      </x:c>
      <x:c r="AE599" s="23" t="n">
        <x:f>MAX(0,MIN('Activities'!L599,162)-MAX('Activities'!K599,156))</x:f>
        <x:v>0</x:v>
      </x:c>
      <x:c r="AF599" s="23" t="n">
        <x:f>MAX(0,MIN('Activities'!L599,168)-MAX('Activities'!K599,162))</x:f>
        <x:v>0</x:v>
      </x:c>
      <x:c r="AG599" s="23" t="n">
        <x:f>MAX(0,MIN('Activities'!L599,174)-MAX('Activities'!K599,168))</x:f>
        <x:v>0</x:v>
      </x:c>
      <x:c r="AH599" s="23" t="n">
        <x:f>MAX(0,MIN('Activities'!L599,180)-MAX('Activities'!K599,174))</x:f>
        <x:v>0</x:v>
      </x:c>
      <x:c r="AI599" s="23" t="n">
        <x:f>MAX(0,MIN('Activities'!L599,186)-MAX('Activities'!K599,180))</x:f>
        <x:v>0</x:v>
      </x:c>
      <x:c r="AJ599" s="23" t="n">
        <x:f>MAX(0,MIN('Activities'!L599,192)-MAX('Activities'!K599,186))</x:f>
        <x:v>0</x:v>
      </x:c>
      <x:c r="AK599" s="23" t="n">
        <x:f>MAX(0,MIN('Activities'!L599,198)-MAX('Activities'!K599,192))</x:f>
        <x:v>0</x:v>
      </x:c>
      <x:c r="AL599" s="23" t="n">
        <x:f>MAX(0,MIN('Activities'!L599,204)-MAX('Activities'!K599,198))</x:f>
        <x:v>0</x:v>
      </x:c>
      <x:c r="AM599" s="23" t="n">
        <x:f>MAX(0,MIN('Activities'!L599,210)-MAX('Activities'!K599,204))</x:f>
        <x:v>0</x:v>
      </x:c>
      <x:c r="AN599" s="23" t="n">
        <x:f>MAX(0,MIN('Activities'!L599,216)-MAX('Activities'!K599,210))</x:f>
        <x:v>0</x:v>
      </x:c>
      <x:c r="AO599" s="23" t="n">
        <x:f>MAX(0,MIN('Activities'!L599,222)-MAX('Activities'!K599,216))</x:f>
        <x:v>0</x:v>
      </x:c>
      <x:c r="AP599" s="23" t="n">
        <x:f>MAX(0,MIN('Activities'!L599,228)-MAX('Activities'!K599,222))</x:f>
        <x:v>0</x:v>
      </x:c>
      <x:c r="AQ599" s="23" t="n">
        <x:f>MAX(0,MIN('Activities'!L599,234)-MAX('Activities'!K599,228))</x:f>
        <x:v>0</x:v>
      </x:c>
      <x:c r="AR599" s="23" t="n">
        <x:f>MAX(0,MIN('Activities'!L599,240)-MAX('Activities'!K599,234))</x:f>
        <x:v>0</x:v>
      </x:c>
      <x:c r="AS599" s="23" t="n">
        <x:f>MAX(0,MIN('Activities'!L599,246)-MAX('Activities'!K599,240))</x:f>
        <x:v>0</x:v>
      </x:c>
      <x:c r="AT599" s="23" t="n">
        <x:f>MAX(0,MIN('Activities'!L599,252)-MAX('Activities'!K599,246))</x:f>
        <x:v>0</x:v>
      </x:c>
      <x:c r="AU599" s="23" t="n">
        <x:f>MAX(0,MIN('Activities'!L599,258)-MAX('Activities'!K599,252))</x:f>
        <x:v>0</x:v>
      </x:c>
      <x:c r="AV599" s="23" t="n">
        <x:f>MAX(0,MIN('Activities'!L599,264)-MAX('Activities'!K599,258))</x:f>
        <x:v>0</x:v>
      </x:c>
      <x:c r="AW599" s="23" t="n">
        <x:f>MAX(0,MIN('Activities'!L599,270)-MAX('Activities'!K599,264))</x:f>
        <x:v>0</x:v>
      </x:c>
      <x:c r="AX599" s="23" t="n">
        <x:f>MAX(0,MIN('Activities'!L599,276)-MAX('Activities'!K599,270))</x:f>
        <x:v>0</x:v>
      </x:c>
      <x:c r="AY599" s="23" t="n">
        <x:f>MAX(0,MIN('Activities'!L599,282)-MAX('Activities'!K599,276))</x:f>
        <x:v>0</x:v>
      </x:c>
      <x:c r="AZ599" s="23" t="n">
        <x:f>MAX(0,MIN('Activities'!L599,288)-MAX('Activities'!K599,282))</x:f>
        <x:v>0</x:v>
      </x:c>
      <x:c r="BA599" s="23" t="n">
        <x:f>MAX(0,MIN('Activities'!L599,294)-MAX('Activities'!K599,288))</x:f>
        <x:v>0</x:v>
      </x:c>
      <x:c r="BB599" s="23" t="n">
        <x:f>MAX(0,MIN('Activities'!L599,300)-MAX('Activities'!K599,294))</x:f>
        <x:v>0</x:v>
      </x:c>
      <x:c r="BC599" s="23" t="n">
        <x:f>MAX(0,MIN('Activities'!L599,306)-MAX('Activities'!K599,300))</x:f>
        <x:v>0</x:v>
      </x:c>
      <x:c r="BD599" s="23" t="n">
        <x:f>MAX(0,MIN('Activities'!L599,312)-MAX('Activities'!K599,306))</x:f>
        <x:v>0</x:v>
      </x:c>
      <x:c r="BE599" s="23" t="n">
        <x:f>MAX(0,MIN('Activities'!L599,318)-MAX('Activities'!K599,312))</x:f>
        <x:v>0</x:v>
      </x:c>
      <x:c r="BF599" s="23" t="n">
        <x:f>MAX(0,MIN('Activities'!L599,324)-MAX('Activities'!K599,318))</x:f>
        <x:v>0</x:v>
      </x:c>
      <x:c r="BG599" s="23" t="n">
        <x:f>MAX(0,MIN('Activities'!L599,330)-MAX('Activities'!K599,324))</x:f>
        <x:v>0</x:v>
      </x:c>
      <x:c r="BH599" s="23" t="n">
        <x:f>MAX(0,MIN('Activities'!L599,336)-MAX('Activities'!K599,330))</x:f>
        <x:v>0</x:v>
      </x:c>
      <x:c r="BI599" s="23" t="n">
        <x:f>MAX(0,MIN('Activities'!L599,342)-MAX('Activities'!K599,336))</x:f>
        <x:v>0</x:v>
      </x:c>
      <x:c r="BJ599" s="23" t="n">
        <x:f>MAX(0,MIN('Activities'!L599,348)-MAX('Activities'!K599,342))</x:f>
        <x:v>0</x:v>
      </x:c>
      <x:c r="BK599" s="23" t="n">
        <x:f>MAX(0,MIN('Activities'!L599,354)-MAX('Activities'!K599,348))</x:f>
        <x:v>0</x:v>
      </x:c>
      <x:c r="BL599" s="23" t="n">
        <x:f>MAX(0,MIN('Activities'!L599,360)-MAX('Activities'!K599,354))</x:f>
        <x:v>0</x:v>
      </x:c>
      <x:c r="BM599" s="23" t="n">
        <x:f>MAX(0,MIN('Activities'!L599,366)-MAX('Activities'!K599,360))</x:f>
        <x:v>0</x:v>
      </x:c>
      <x:c r="BN599" s="23" t="n">
        <x:f>MAX(0,MIN('Activities'!L599,372)-MAX('Activities'!K599,366))</x:f>
        <x:v>0</x:v>
      </x:c>
      <x:c r="BO599" s="23" t="n">
        <x:f>MAX(0,MIN('Activities'!L599,378)-MAX('Activities'!K599,372))</x:f>
        <x:v>0</x:v>
      </x:c>
      <x:c r="BP599" s="23" t="n">
        <x:f>MAX(0,MIN('Activities'!L599,384)-MAX('Activities'!K599,378))</x:f>
        <x:v>0</x:v>
      </x:c>
      <x:c r="BQ599" s="23" t="n">
        <x:f>MAX(0,MIN('Activities'!L599,390)-MAX('Activities'!K599,384))</x:f>
        <x:v>0</x:v>
      </x:c>
      <x:c r="BR599" s="23" t="n">
        <x:f>MAX(0,MIN('Activities'!L599,396)-MAX('Activities'!K599,390))</x:f>
        <x:v>0</x:v>
      </x:c>
      <x:c r="BS599" s="23" t="n">
        <x:f>MAX(0,MIN('Activities'!L599,402)-MAX('Activities'!K599,396))</x:f>
        <x:v>0</x:v>
      </x:c>
      <x:c r="BT599" s="23" t="n">
        <x:f>MAX(0,MIN('Activities'!L599,408)-MAX('Activities'!K599,402))</x:f>
        <x:v>0</x:v>
      </x:c>
      <x:c r="BU599" s="23" t="n">
        <x:f>MAX(0,MIN('Activities'!L599,414)-MAX('Activities'!K599,408))</x:f>
        <x:v>3</x:v>
      </x:c>
      <x:c r="BV599" s="23" t="n">
        <x:f>MAX(0,MIN('Activities'!L599,420)-MAX('Activities'!K599,414))</x:f>
        <x:v>2</x:v>
      </x:c>
      <x:c r="BW599" s="23" t="n">
        <x:f>MAX(0,MIN('Activities'!L599,426)-MAX('Activities'!K599,420))</x:f>
        <x:v>0</x:v>
      </x:c>
      <x:c r="BX599" s="23" t="n">
        <x:f>MAX(0,MIN('Activities'!L599,432)-MAX('Activities'!K599,426))</x:f>
        <x:v>0</x:v>
      </x:c>
      <x:c r="BY599" s="23" t="n">
        <x:f>MAX(0,MIN('Activities'!L599,438)-MAX('Activities'!K599,432))</x:f>
        <x:v>0</x:v>
      </x:c>
      <x:c r="BZ599" s="23" t="n">
        <x:f>MAX(0,MIN('Activities'!L599,444)-MAX('Activities'!K599,438))</x:f>
        <x:v>0</x:v>
      </x:c>
      <x:c r="CA599" s="23" t="n">
        <x:f>MAX(0,MIN('Activities'!L599,450)-MAX('Activities'!K599,444))</x:f>
        <x:v>0</x:v>
      </x:c>
      <x:c r="CB599" s="23" t="n">
        <x:f>MAX(0,MIN('Activities'!L599,456)-MAX('Activities'!K599,450))</x:f>
        <x:v>0</x:v>
      </x:c>
      <x:c r="CC599" s="23" t="n">
        <x:f>MAX(0,MIN('Activities'!L599,462)-MAX('Activities'!K599,456))</x:f>
        <x:v>0</x:v>
      </x:c>
      <x:c r="CD599" s="23" t="n">
        <x:f>MAX(0,MIN('Activities'!L599,468)-MAX('Activities'!K599,462))</x:f>
        <x:v>0</x:v>
      </x:c>
      <x:c r="CE599" s="23" t="n">
        <x:f>MAX(0,MIN('Activities'!L599,474)-MAX('Activities'!K599,468))</x:f>
        <x:v>0</x:v>
      </x:c>
      <x:c r="CF599" s="23" t="n">
        <x:f>MAX(0,MIN('Activities'!L599,480)-MAX('Activities'!K599,474))</x:f>
        <x:v>0</x:v>
      </x:c>
      <x:c r="CG599" s="23" t="n">
        <x:f>MAX(0,MIN('Activities'!L599,486)-MAX('Activities'!K599,480))</x:f>
        <x:v>0</x:v>
      </x:c>
      <x:c r="CH599" s="23" t="n">
        <x:f>MAX(0,MIN('Activities'!L599,492)-MAX('Activities'!K599,486))</x:f>
        <x:v>0</x:v>
      </x:c>
      <x:c r="CI599" s="23" t="n">
        <x:f>MAX(0,MIN('Activities'!L599,498)-MAX('Activities'!K599,492))</x:f>
        <x:v>0</x:v>
      </x:c>
      <x:c r="CJ599" s="23" t="n">
        <x:f>MAX(0,MIN('Activities'!L599,504)-MAX('Activities'!K599,498))</x:f>
        <x:v>0</x:v>
      </x:c>
      <x:c r="CK599" s="23" t="n">
        <x:f>MAX(0,MIN('Activities'!L599,510)-MAX('Activities'!K599,504))</x:f>
        <x:v>0</x:v>
      </x:c>
      <x:c r="CL599" s="23" t="n">
        <x:f>MAX(0,MIN('Activities'!L599,516)-MAX('Activities'!K599,510))</x:f>
        <x:v>0</x:v>
      </x:c>
      <x:c r="CM599" s="23" t="n">
        <x:f>MAX(0,MIN('Activities'!L599,522)-MAX('Activities'!K599,516))</x:f>
        <x:v>0</x:v>
      </x:c>
      <x:c r="CN599" s="23" t="n">
        <x:f>MAX(0,MIN('Activities'!L599,528)-MAX('Activities'!K599,522))</x:f>
        <x:v>0</x:v>
      </x:c>
      <x:c r="CO599" s="23" t="n">
        <x:f>MAX(0,MIN('Activities'!L599,534)-MAX('Activities'!K599,528))</x:f>
        <x:v>0</x:v>
      </x:c>
      <x:c r="CP599" s="23" t="n">
        <x:f>MAX(0,MIN('Activities'!L599,540)-MAX('Activities'!K599,534))</x:f>
        <x:v>0</x:v>
      </x:c>
      <x:c r="CQ599" s="23" t="n">
        <x:f>MAX(0,MIN('Activities'!L599,546)-MAX('Activities'!K599,540))</x:f>
        <x:v>0</x:v>
      </x:c>
      <x:c r="CR599" s="23" t="n">
        <x:f>MAX(0,MIN('Activities'!L599,552)-MAX('Activities'!K599,546))</x:f>
        <x:v>0</x:v>
      </x:c>
      <x:c r="CS599" s="23" t="n">
        <x:f>MAX(0,MIN('Activities'!L599,558)-MAX('Activities'!K599,552))</x:f>
        <x:v>0</x:v>
      </x:c>
      <x:c r="CT599" s="23" t="n">
        <x:f>MAX(0,MIN('Activities'!L599,564)-MAX('Activities'!K599,558))</x:f>
        <x:v>0</x:v>
      </x:c>
      <x:c r="CU599" s="23" t="n">
        <x:f>MAX(0,MIN('Activities'!L599,570)-MAX('Activities'!K599,564))</x:f>
        <x:v>0</x:v>
      </x:c>
      <x:c r="CV599" s="23" t="n">
        <x:f>MAX(0,MIN('Activities'!L599,576)-MAX('Activities'!K599,570))</x:f>
        <x:v>0</x:v>
      </x:c>
      <x:c r="CW599" s="23" t="n">
        <x:f>MAX(0,MIN('Activities'!L599,582)-MAX('Activities'!K599,576))</x:f>
        <x:v>0</x:v>
      </x:c>
      <x:c r="CX599" s="23" t="n">
        <x:f>MAX(0,MIN('Activities'!L599,588)-MAX('Activities'!K599,582))</x:f>
        <x:v>0</x:v>
      </x:c>
      <x:c r="CY599" s="23" t="n">
        <x:f>MAX(0,MIN('Activities'!L599,594)-MAX('Activities'!K599,588))</x:f>
        <x:v>0</x:v>
      </x:c>
      <x:c r="CZ599" s="23" t="n">
        <x:f>MAX(0,MIN('Activities'!L599,600)-MAX('Activities'!K599,594))</x:f>
        <x:v>0</x:v>
      </x:c>
      <x:c r="DA599" s="23" t="n">
        <x:f>MAX(0,MIN('Activities'!L599,606)-MAX('Activities'!K599,600))</x:f>
        <x:v>0</x:v>
      </x:c>
      <x:c r="DB599" s="23" t="n">
        <x:f>MAX(0,MIN('Activities'!L599,612)-MAX('Activities'!K599,606))</x:f>
        <x:v>0</x:v>
      </x:c>
      <x:c r="DC599" s="23" t="n">
        <x:f>MAX(0,MIN('Activities'!L599,618)-MAX('Activities'!K599,612))</x:f>
        <x:v>0</x:v>
      </x:c>
      <x:c r="DD599" s="23" t="n">
        <x:f>MAX(0,MIN('Activities'!L599,624)-MAX('Activities'!K599,618))</x:f>
        <x:v>0</x:v>
      </x:c>
      <x:c r="DE599" s="23" t="n">
        <x:f>MAX(0,MIN('Activities'!L599,630)-MAX('Activities'!K599,624))</x:f>
        <x:v>0</x:v>
      </x:c>
      <x:c r="DF599" s="23" t="n">
        <x:f>MAX(0,MIN('Activities'!L599,636)-MAX('Activities'!K599,630))</x:f>
        <x:v>0</x:v>
      </x:c>
    </x:row>
    <x:row r="600" ht="23" customHeight="1">
      <x:c r="A600" s="6" t="str">
        <x:v>T5-RF</x:v>
      </x:c>
      <x:c r="B600" s="6" t="str">
        <x:v>T5</x:v>
      </x:c>
      <x:c r="C600" s="6" t="str">
        <x:v>Roof membrane and weatherproofing</x:v>
      </x:c>
      <x:c r="D600" s="6" t="str">
        <x:v>Envelope</x:v>
      </x:c>
      <x:c r="E600" s="22" t="n">
        <x:f>MAX(0,MIN('Activities'!L600,6)-MAX('Activities'!K600,0))</x:f>
        <x:v>0</x:v>
      </x:c>
      <x:c r="F600" s="22" t="n">
        <x:f>MAX(0,MIN('Activities'!L600,12)-MAX('Activities'!K600,6))</x:f>
        <x:v>0</x:v>
      </x:c>
      <x:c r="G600" s="22" t="n">
        <x:f>MAX(0,MIN('Activities'!L600,18)-MAX('Activities'!K600,12))</x:f>
        <x:v>0</x:v>
      </x:c>
      <x:c r="H600" s="22" t="n">
        <x:f>MAX(0,MIN('Activities'!L600,24)-MAX('Activities'!K600,18))</x:f>
        <x:v>0</x:v>
      </x:c>
      <x:c r="I600" s="22" t="n">
        <x:f>MAX(0,MIN('Activities'!L600,30)-MAX('Activities'!K600,24))</x:f>
        <x:v>0</x:v>
      </x:c>
      <x:c r="J600" s="22" t="n">
        <x:f>MAX(0,MIN('Activities'!L600,36)-MAX('Activities'!K600,30))</x:f>
        <x:v>0</x:v>
      </x:c>
      <x:c r="K600" s="22" t="n">
        <x:f>MAX(0,MIN('Activities'!L600,42)-MAX('Activities'!K600,36))</x:f>
        <x:v>0</x:v>
      </x:c>
      <x:c r="L600" s="22" t="n">
        <x:f>MAX(0,MIN('Activities'!L600,48)-MAX('Activities'!K600,42))</x:f>
        <x:v>0</x:v>
      </x:c>
      <x:c r="M600" s="22" t="n">
        <x:f>MAX(0,MIN('Activities'!L600,54)-MAX('Activities'!K600,48))</x:f>
        <x:v>0</x:v>
      </x:c>
      <x:c r="N600" s="22" t="n">
        <x:f>MAX(0,MIN('Activities'!L600,60)-MAX('Activities'!K600,54))</x:f>
        <x:v>0</x:v>
      </x:c>
      <x:c r="O600" s="22" t="n">
        <x:f>MAX(0,MIN('Activities'!L600,66)-MAX('Activities'!K600,60))</x:f>
        <x:v>0</x:v>
      </x:c>
      <x:c r="P600" s="22" t="n">
        <x:f>MAX(0,MIN('Activities'!L600,72)-MAX('Activities'!K600,66))</x:f>
        <x:v>0</x:v>
      </x:c>
      <x:c r="Q600" s="22" t="n">
        <x:f>MAX(0,MIN('Activities'!L600,78)-MAX('Activities'!K600,72))</x:f>
        <x:v>0</x:v>
      </x:c>
      <x:c r="R600" s="22" t="n">
        <x:f>MAX(0,MIN('Activities'!L600,84)-MAX('Activities'!K600,78))</x:f>
        <x:v>0</x:v>
      </x:c>
      <x:c r="S600" s="22" t="n">
        <x:f>MAX(0,MIN('Activities'!L600,90)-MAX('Activities'!K600,84))</x:f>
        <x:v>0</x:v>
      </x:c>
      <x:c r="T600" s="22" t="n">
        <x:f>MAX(0,MIN('Activities'!L600,96)-MAX('Activities'!K600,90))</x:f>
        <x:v>0</x:v>
      </x:c>
      <x:c r="U600" s="22" t="n">
        <x:f>MAX(0,MIN('Activities'!L600,102)-MAX('Activities'!K600,96))</x:f>
        <x:v>0</x:v>
      </x:c>
      <x:c r="V600" s="22" t="n">
        <x:f>MAX(0,MIN('Activities'!L600,108)-MAX('Activities'!K600,102))</x:f>
        <x:v>0</x:v>
      </x:c>
      <x:c r="W600" s="22" t="n">
        <x:f>MAX(0,MIN('Activities'!L600,114)-MAX('Activities'!K600,108))</x:f>
        <x:v>0</x:v>
      </x:c>
      <x:c r="X600" s="22" t="n">
        <x:f>MAX(0,MIN('Activities'!L600,120)-MAX('Activities'!K600,114))</x:f>
        <x:v>0</x:v>
      </x:c>
      <x:c r="Y600" s="22" t="n">
        <x:f>MAX(0,MIN('Activities'!L600,126)-MAX('Activities'!K600,120))</x:f>
        <x:v>0</x:v>
      </x:c>
      <x:c r="Z600" s="22" t="n">
        <x:f>MAX(0,MIN('Activities'!L600,132)-MAX('Activities'!K600,126))</x:f>
        <x:v>0</x:v>
      </x:c>
      <x:c r="AA600" s="22" t="n">
        <x:f>MAX(0,MIN('Activities'!L600,138)-MAX('Activities'!K600,132))</x:f>
        <x:v>0</x:v>
      </x:c>
      <x:c r="AB600" s="22" t="n">
        <x:f>MAX(0,MIN('Activities'!L600,144)-MAX('Activities'!K600,138))</x:f>
        <x:v>0</x:v>
      </x:c>
      <x:c r="AC600" s="22" t="n">
        <x:f>MAX(0,MIN('Activities'!L600,150)-MAX('Activities'!K600,144))</x:f>
        <x:v>0</x:v>
      </x:c>
      <x:c r="AD600" s="22" t="n">
        <x:f>MAX(0,MIN('Activities'!L600,156)-MAX('Activities'!K600,150))</x:f>
        <x:v>0</x:v>
      </x:c>
      <x:c r="AE600" s="22" t="n">
        <x:f>MAX(0,MIN('Activities'!L600,162)-MAX('Activities'!K600,156))</x:f>
        <x:v>0</x:v>
      </x:c>
      <x:c r="AF600" s="22" t="n">
        <x:f>MAX(0,MIN('Activities'!L600,168)-MAX('Activities'!K600,162))</x:f>
        <x:v>0</x:v>
      </x:c>
      <x:c r="AG600" s="22" t="n">
        <x:f>MAX(0,MIN('Activities'!L600,174)-MAX('Activities'!K600,168))</x:f>
        <x:v>0</x:v>
      </x:c>
      <x:c r="AH600" s="22" t="n">
        <x:f>MAX(0,MIN('Activities'!L600,180)-MAX('Activities'!K600,174))</x:f>
        <x:v>0</x:v>
      </x:c>
      <x:c r="AI600" s="22" t="n">
        <x:f>MAX(0,MIN('Activities'!L600,186)-MAX('Activities'!K600,180))</x:f>
        <x:v>0</x:v>
      </x:c>
      <x:c r="AJ600" s="22" t="n">
        <x:f>MAX(0,MIN('Activities'!L600,192)-MAX('Activities'!K600,186))</x:f>
        <x:v>0</x:v>
      </x:c>
      <x:c r="AK600" s="22" t="n">
        <x:f>MAX(0,MIN('Activities'!L600,198)-MAX('Activities'!K600,192))</x:f>
        <x:v>0</x:v>
      </x:c>
      <x:c r="AL600" s="22" t="n">
        <x:f>MAX(0,MIN('Activities'!L600,204)-MAX('Activities'!K600,198))</x:f>
        <x:v>0</x:v>
      </x:c>
      <x:c r="AM600" s="22" t="n">
        <x:f>MAX(0,MIN('Activities'!L600,210)-MAX('Activities'!K600,204))</x:f>
        <x:v>0</x:v>
      </x:c>
      <x:c r="AN600" s="22" t="n">
        <x:f>MAX(0,MIN('Activities'!L600,216)-MAX('Activities'!K600,210))</x:f>
        <x:v>0</x:v>
      </x:c>
      <x:c r="AO600" s="22" t="n">
        <x:f>MAX(0,MIN('Activities'!L600,222)-MAX('Activities'!K600,216))</x:f>
        <x:v>0</x:v>
      </x:c>
      <x:c r="AP600" s="22" t="n">
        <x:f>MAX(0,MIN('Activities'!L600,228)-MAX('Activities'!K600,222))</x:f>
        <x:v>0</x:v>
      </x:c>
      <x:c r="AQ600" s="22" t="n">
        <x:f>MAX(0,MIN('Activities'!L600,234)-MAX('Activities'!K600,228))</x:f>
        <x:v>0</x:v>
      </x:c>
      <x:c r="AR600" s="22" t="n">
        <x:f>MAX(0,MIN('Activities'!L600,240)-MAX('Activities'!K600,234))</x:f>
        <x:v>0</x:v>
      </x:c>
      <x:c r="AS600" s="22" t="n">
        <x:f>MAX(0,MIN('Activities'!L600,246)-MAX('Activities'!K600,240))</x:f>
        <x:v>0</x:v>
      </x:c>
      <x:c r="AT600" s="22" t="n">
        <x:f>MAX(0,MIN('Activities'!L600,252)-MAX('Activities'!K600,246))</x:f>
        <x:v>0</x:v>
      </x:c>
      <x:c r="AU600" s="22" t="n">
        <x:f>MAX(0,MIN('Activities'!L600,258)-MAX('Activities'!K600,252))</x:f>
        <x:v>0</x:v>
      </x:c>
      <x:c r="AV600" s="22" t="n">
        <x:f>MAX(0,MIN('Activities'!L600,264)-MAX('Activities'!K600,258))</x:f>
        <x:v>0</x:v>
      </x:c>
      <x:c r="AW600" s="22" t="n">
        <x:f>MAX(0,MIN('Activities'!L600,270)-MAX('Activities'!K600,264))</x:f>
        <x:v>0</x:v>
      </x:c>
      <x:c r="AX600" s="22" t="n">
        <x:f>MAX(0,MIN('Activities'!L600,276)-MAX('Activities'!K600,270))</x:f>
        <x:v>0</x:v>
      </x:c>
      <x:c r="AY600" s="22" t="n">
        <x:f>MAX(0,MIN('Activities'!L600,282)-MAX('Activities'!K600,276))</x:f>
        <x:v>0</x:v>
      </x:c>
      <x:c r="AZ600" s="22" t="n">
        <x:f>MAX(0,MIN('Activities'!L600,288)-MAX('Activities'!K600,282))</x:f>
        <x:v>0</x:v>
      </x:c>
      <x:c r="BA600" s="22" t="n">
        <x:f>MAX(0,MIN('Activities'!L600,294)-MAX('Activities'!K600,288))</x:f>
        <x:v>0</x:v>
      </x:c>
      <x:c r="BB600" s="22" t="n">
        <x:f>MAX(0,MIN('Activities'!L600,300)-MAX('Activities'!K600,294))</x:f>
        <x:v>0</x:v>
      </x:c>
      <x:c r="BC600" s="22" t="n">
        <x:f>MAX(0,MIN('Activities'!L600,306)-MAX('Activities'!K600,300))</x:f>
        <x:v>0</x:v>
      </x:c>
      <x:c r="BD600" s="22" t="n">
        <x:f>MAX(0,MIN('Activities'!L600,312)-MAX('Activities'!K600,306))</x:f>
        <x:v>0</x:v>
      </x:c>
      <x:c r="BE600" s="22" t="n">
        <x:f>MAX(0,MIN('Activities'!L600,318)-MAX('Activities'!K600,312))</x:f>
        <x:v>0</x:v>
      </x:c>
      <x:c r="BF600" s="22" t="n">
        <x:f>MAX(0,MIN('Activities'!L600,324)-MAX('Activities'!K600,318))</x:f>
        <x:v>0</x:v>
      </x:c>
      <x:c r="BG600" s="22" t="n">
        <x:f>MAX(0,MIN('Activities'!L600,330)-MAX('Activities'!K600,324))</x:f>
        <x:v>0</x:v>
      </x:c>
      <x:c r="BH600" s="22" t="n">
        <x:f>MAX(0,MIN('Activities'!L600,336)-MAX('Activities'!K600,330))</x:f>
        <x:v>0</x:v>
      </x:c>
      <x:c r="BI600" s="22" t="n">
        <x:f>MAX(0,MIN('Activities'!L600,342)-MAX('Activities'!K600,336))</x:f>
        <x:v>0</x:v>
      </x:c>
      <x:c r="BJ600" s="22" t="n">
        <x:f>MAX(0,MIN('Activities'!L600,348)-MAX('Activities'!K600,342))</x:f>
        <x:v>0</x:v>
      </x:c>
      <x:c r="BK600" s="22" t="n">
        <x:f>MAX(0,MIN('Activities'!L600,354)-MAX('Activities'!K600,348))</x:f>
        <x:v>0</x:v>
      </x:c>
      <x:c r="BL600" s="22" t="n">
        <x:f>MAX(0,MIN('Activities'!L600,360)-MAX('Activities'!K600,354))</x:f>
        <x:v>0</x:v>
      </x:c>
      <x:c r="BM600" s="22" t="n">
        <x:f>MAX(0,MIN('Activities'!L600,366)-MAX('Activities'!K600,360))</x:f>
        <x:v>0</x:v>
      </x:c>
      <x:c r="BN600" s="22" t="n">
        <x:f>MAX(0,MIN('Activities'!L600,372)-MAX('Activities'!K600,366))</x:f>
        <x:v>0</x:v>
      </x:c>
      <x:c r="BO600" s="22" t="n">
        <x:f>MAX(0,MIN('Activities'!L600,378)-MAX('Activities'!K600,372))</x:f>
        <x:v>0</x:v>
      </x:c>
      <x:c r="BP600" s="22" t="n">
        <x:f>MAX(0,MIN('Activities'!L600,384)-MAX('Activities'!K600,378))</x:f>
        <x:v>0</x:v>
      </x:c>
      <x:c r="BQ600" s="22" t="n">
        <x:f>MAX(0,MIN('Activities'!L600,390)-MAX('Activities'!K600,384))</x:f>
        <x:v>0</x:v>
      </x:c>
      <x:c r="BR600" s="22" t="n">
        <x:f>MAX(0,MIN('Activities'!L600,396)-MAX('Activities'!K600,390))</x:f>
        <x:v>0</x:v>
      </x:c>
      <x:c r="BS600" s="22" t="n">
        <x:f>MAX(0,MIN('Activities'!L600,402)-MAX('Activities'!K600,396))</x:f>
        <x:v>0</x:v>
      </x:c>
      <x:c r="BT600" s="22" t="n">
        <x:f>MAX(0,MIN('Activities'!L600,408)-MAX('Activities'!K600,402))</x:f>
        <x:v>0</x:v>
      </x:c>
      <x:c r="BU600" s="22" t="n">
        <x:f>MAX(0,MIN('Activities'!L600,414)-MAX('Activities'!K600,408))</x:f>
        <x:v>0</x:v>
      </x:c>
      <x:c r="BV600" s="22" t="n">
        <x:f>MAX(0,MIN('Activities'!L600,420)-MAX('Activities'!K600,414))</x:f>
        <x:v>0</x:v>
      </x:c>
      <x:c r="BW600" s="22" t="n">
        <x:f>MAX(0,MIN('Activities'!L600,426)-MAX('Activities'!K600,420))</x:f>
        <x:v>5</x:v>
      </x:c>
      <x:c r="BX600" s="22" t="n">
        <x:f>MAX(0,MIN('Activities'!L600,432)-MAX('Activities'!K600,426))</x:f>
        <x:v>6</x:v>
      </x:c>
      <x:c r="BY600" s="22" t="n">
        <x:f>MAX(0,MIN('Activities'!L600,438)-MAX('Activities'!K600,432))</x:f>
        <x:v>3</x:v>
      </x:c>
      <x:c r="BZ600" s="22" t="n">
        <x:f>MAX(0,MIN('Activities'!L600,444)-MAX('Activities'!K600,438))</x:f>
        <x:v>0</x:v>
      </x:c>
      <x:c r="CA600" s="22" t="n">
        <x:f>MAX(0,MIN('Activities'!L600,450)-MAX('Activities'!K600,444))</x:f>
        <x:v>0</x:v>
      </x:c>
      <x:c r="CB600" s="22" t="n">
        <x:f>MAX(0,MIN('Activities'!L600,456)-MAX('Activities'!K600,450))</x:f>
        <x:v>0</x:v>
      </x:c>
      <x:c r="CC600" s="22" t="n">
        <x:f>MAX(0,MIN('Activities'!L600,462)-MAX('Activities'!K600,456))</x:f>
        <x:v>0</x:v>
      </x:c>
      <x:c r="CD600" s="22" t="n">
        <x:f>MAX(0,MIN('Activities'!L600,468)-MAX('Activities'!K600,462))</x:f>
        <x:v>0</x:v>
      </x:c>
      <x:c r="CE600" s="22" t="n">
        <x:f>MAX(0,MIN('Activities'!L600,474)-MAX('Activities'!K600,468))</x:f>
        <x:v>0</x:v>
      </x:c>
      <x:c r="CF600" s="22" t="n">
        <x:f>MAX(0,MIN('Activities'!L600,480)-MAX('Activities'!K600,474))</x:f>
        <x:v>0</x:v>
      </x:c>
      <x:c r="CG600" s="22" t="n">
        <x:f>MAX(0,MIN('Activities'!L600,486)-MAX('Activities'!K600,480))</x:f>
        <x:v>0</x:v>
      </x:c>
      <x:c r="CH600" s="22" t="n">
        <x:f>MAX(0,MIN('Activities'!L600,492)-MAX('Activities'!K600,486))</x:f>
        <x:v>0</x:v>
      </x:c>
      <x:c r="CI600" s="22" t="n">
        <x:f>MAX(0,MIN('Activities'!L600,498)-MAX('Activities'!K600,492))</x:f>
        <x:v>0</x:v>
      </x:c>
      <x:c r="CJ600" s="22" t="n">
        <x:f>MAX(0,MIN('Activities'!L600,504)-MAX('Activities'!K600,498))</x:f>
        <x:v>0</x:v>
      </x:c>
      <x:c r="CK600" s="22" t="n">
        <x:f>MAX(0,MIN('Activities'!L600,510)-MAX('Activities'!K600,504))</x:f>
        <x:v>0</x:v>
      </x:c>
      <x:c r="CL600" s="22" t="n">
        <x:f>MAX(0,MIN('Activities'!L600,516)-MAX('Activities'!K600,510))</x:f>
        <x:v>0</x:v>
      </x:c>
      <x:c r="CM600" s="22" t="n">
        <x:f>MAX(0,MIN('Activities'!L600,522)-MAX('Activities'!K600,516))</x:f>
        <x:v>0</x:v>
      </x:c>
      <x:c r="CN600" s="22" t="n">
        <x:f>MAX(0,MIN('Activities'!L600,528)-MAX('Activities'!K600,522))</x:f>
        <x:v>0</x:v>
      </x:c>
      <x:c r="CO600" s="22" t="n">
        <x:f>MAX(0,MIN('Activities'!L600,534)-MAX('Activities'!K600,528))</x:f>
        <x:v>0</x:v>
      </x:c>
      <x:c r="CP600" s="22" t="n">
        <x:f>MAX(0,MIN('Activities'!L600,540)-MAX('Activities'!K600,534))</x:f>
        <x:v>0</x:v>
      </x:c>
      <x:c r="CQ600" s="22" t="n">
        <x:f>MAX(0,MIN('Activities'!L600,546)-MAX('Activities'!K600,540))</x:f>
        <x:v>0</x:v>
      </x:c>
      <x:c r="CR600" s="22" t="n">
        <x:f>MAX(0,MIN('Activities'!L600,552)-MAX('Activities'!K600,546))</x:f>
        <x:v>0</x:v>
      </x:c>
      <x:c r="CS600" s="22" t="n">
        <x:f>MAX(0,MIN('Activities'!L600,558)-MAX('Activities'!K600,552))</x:f>
        <x:v>0</x:v>
      </x:c>
      <x:c r="CT600" s="22" t="n">
        <x:f>MAX(0,MIN('Activities'!L600,564)-MAX('Activities'!K600,558))</x:f>
        <x:v>0</x:v>
      </x:c>
      <x:c r="CU600" s="22" t="n">
        <x:f>MAX(0,MIN('Activities'!L600,570)-MAX('Activities'!K600,564))</x:f>
        <x:v>0</x:v>
      </x:c>
      <x:c r="CV600" s="22" t="n">
        <x:f>MAX(0,MIN('Activities'!L600,576)-MAX('Activities'!K600,570))</x:f>
        <x:v>0</x:v>
      </x:c>
      <x:c r="CW600" s="22" t="n">
        <x:f>MAX(0,MIN('Activities'!L600,582)-MAX('Activities'!K600,576))</x:f>
        <x:v>0</x:v>
      </x:c>
      <x:c r="CX600" s="22" t="n">
        <x:f>MAX(0,MIN('Activities'!L600,588)-MAX('Activities'!K600,582))</x:f>
        <x:v>0</x:v>
      </x:c>
      <x:c r="CY600" s="22" t="n">
        <x:f>MAX(0,MIN('Activities'!L600,594)-MAX('Activities'!K600,588))</x:f>
        <x:v>0</x:v>
      </x:c>
      <x:c r="CZ600" s="22" t="n">
        <x:f>MAX(0,MIN('Activities'!L600,600)-MAX('Activities'!K600,594))</x:f>
        <x:v>0</x:v>
      </x:c>
      <x:c r="DA600" s="22" t="n">
        <x:f>MAX(0,MIN('Activities'!L600,606)-MAX('Activities'!K600,600))</x:f>
        <x:v>0</x:v>
      </x:c>
      <x:c r="DB600" s="22" t="n">
        <x:f>MAX(0,MIN('Activities'!L600,612)-MAX('Activities'!K600,606))</x:f>
        <x:v>0</x:v>
      </x:c>
      <x:c r="DC600" s="22" t="n">
        <x:f>MAX(0,MIN('Activities'!L600,618)-MAX('Activities'!K600,612))</x:f>
        <x:v>0</x:v>
      </x:c>
      <x:c r="DD600" s="22" t="n">
        <x:f>MAX(0,MIN('Activities'!L600,624)-MAX('Activities'!K600,618))</x:f>
        <x:v>0</x:v>
      </x:c>
      <x:c r="DE600" s="22" t="n">
        <x:f>MAX(0,MIN('Activities'!L600,630)-MAX('Activities'!K600,624))</x:f>
        <x:v>0</x:v>
      </x:c>
      <x:c r="DF600" s="22" t="n">
        <x:f>MAX(0,MIN('Activities'!L600,636)-MAX('Activities'!K600,630))</x:f>
        <x:v>0</x:v>
      </x:c>
    </x:row>
    <x:row r="601" ht="23" customHeight="1">
      <x:c r="A601" s="1" t="str">
        <x:v>T5-FA</x:v>
      </x:c>
      <x:c r="B601" s="1" t="str">
        <x:v>T5</x:v>
      </x:c>
      <x:c r="C601" s="1" t="str">
        <x:v>Insulated facade installation</x:v>
      </x:c>
      <x:c r="D601" s="1" t="str">
        <x:v>Envelope</x:v>
      </x:c>
      <x:c r="E601" s="23" t="n">
        <x:f>MAX(0,MIN('Activities'!L601,6)-MAX('Activities'!K601,0))</x:f>
        <x:v>0</x:v>
      </x:c>
      <x:c r="F601" s="23" t="n">
        <x:f>MAX(0,MIN('Activities'!L601,12)-MAX('Activities'!K601,6))</x:f>
        <x:v>0</x:v>
      </x:c>
      <x:c r="G601" s="23" t="n">
        <x:f>MAX(0,MIN('Activities'!L601,18)-MAX('Activities'!K601,12))</x:f>
        <x:v>0</x:v>
      </x:c>
      <x:c r="H601" s="23" t="n">
        <x:f>MAX(0,MIN('Activities'!L601,24)-MAX('Activities'!K601,18))</x:f>
        <x:v>0</x:v>
      </x:c>
      <x:c r="I601" s="23" t="n">
        <x:f>MAX(0,MIN('Activities'!L601,30)-MAX('Activities'!K601,24))</x:f>
        <x:v>0</x:v>
      </x:c>
      <x:c r="J601" s="23" t="n">
        <x:f>MAX(0,MIN('Activities'!L601,36)-MAX('Activities'!K601,30))</x:f>
        <x:v>0</x:v>
      </x:c>
      <x:c r="K601" s="23" t="n">
        <x:f>MAX(0,MIN('Activities'!L601,42)-MAX('Activities'!K601,36))</x:f>
        <x:v>0</x:v>
      </x:c>
      <x:c r="L601" s="23" t="n">
        <x:f>MAX(0,MIN('Activities'!L601,48)-MAX('Activities'!K601,42))</x:f>
        <x:v>0</x:v>
      </x:c>
      <x:c r="M601" s="23" t="n">
        <x:f>MAX(0,MIN('Activities'!L601,54)-MAX('Activities'!K601,48))</x:f>
        <x:v>0</x:v>
      </x:c>
      <x:c r="N601" s="23" t="n">
        <x:f>MAX(0,MIN('Activities'!L601,60)-MAX('Activities'!K601,54))</x:f>
        <x:v>0</x:v>
      </x:c>
      <x:c r="O601" s="23" t="n">
        <x:f>MAX(0,MIN('Activities'!L601,66)-MAX('Activities'!K601,60))</x:f>
        <x:v>0</x:v>
      </x:c>
      <x:c r="P601" s="23" t="n">
        <x:f>MAX(0,MIN('Activities'!L601,72)-MAX('Activities'!K601,66))</x:f>
        <x:v>0</x:v>
      </x:c>
      <x:c r="Q601" s="23" t="n">
        <x:f>MAX(0,MIN('Activities'!L601,78)-MAX('Activities'!K601,72))</x:f>
        <x:v>0</x:v>
      </x:c>
      <x:c r="R601" s="23" t="n">
        <x:f>MAX(0,MIN('Activities'!L601,84)-MAX('Activities'!K601,78))</x:f>
        <x:v>0</x:v>
      </x:c>
      <x:c r="S601" s="23" t="n">
        <x:f>MAX(0,MIN('Activities'!L601,90)-MAX('Activities'!K601,84))</x:f>
        <x:v>0</x:v>
      </x:c>
      <x:c r="T601" s="23" t="n">
        <x:f>MAX(0,MIN('Activities'!L601,96)-MAX('Activities'!K601,90))</x:f>
        <x:v>0</x:v>
      </x:c>
      <x:c r="U601" s="23" t="n">
        <x:f>MAX(0,MIN('Activities'!L601,102)-MAX('Activities'!K601,96))</x:f>
        <x:v>0</x:v>
      </x:c>
      <x:c r="V601" s="23" t="n">
        <x:f>MAX(0,MIN('Activities'!L601,108)-MAX('Activities'!K601,102))</x:f>
        <x:v>0</x:v>
      </x:c>
      <x:c r="W601" s="23" t="n">
        <x:f>MAX(0,MIN('Activities'!L601,114)-MAX('Activities'!K601,108))</x:f>
        <x:v>0</x:v>
      </x:c>
      <x:c r="X601" s="23" t="n">
        <x:f>MAX(0,MIN('Activities'!L601,120)-MAX('Activities'!K601,114))</x:f>
        <x:v>0</x:v>
      </x:c>
      <x:c r="Y601" s="23" t="n">
        <x:f>MAX(0,MIN('Activities'!L601,126)-MAX('Activities'!K601,120))</x:f>
        <x:v>0</x:v>
      </x:c>
      <x:c r="Z601" s="23" t="n">
        <x:f>MAX(0,MIN('Activities'!L601,132)-MAX('Activities'!K601,126))</x:f>
        <x:v>0</x:v>
      </x:c>
      <x:c r="AA601" s="23" t="n">
        <x:f>MAX(0,MIN('Activities'!L601,138)-MAX('Activities'!K601,132))</x:f>
        <x:v>0</x:v>
      </x:c>
      <x:c r="AB601" s="23" t="n">
        <x:f>MAX(0,MIN('Activities'!L601,144)-MAX('Activities'!K601,138))</x:f>
        <x:v>0</x:v>
      </x:c>
      <x:c r="AC601" s="23" t="n">
        <x:f>MAX(0,MIN('Activities'!L601,150)-MAX('Activities'!K601,144))</x:f>
        <x:v>0</x:v>
      </x:c>
      <x:c r="AD601" s="23" t="n">
        <x:f>MAX(0,MIN('Activities'!L601,156)-MAX('Activities'!K601,150))</x:f>
        <x:v>0</x:v>
      </x:c>
      <x:c r="AE601" s="23" t="n">
        <x:f>MAX(0,MIN('Activities'!L601,162)-MAX('Activities'!K601,156))</x:f>
        <x:v>0</x:v>
      </x:c>
      <x:c r="AF601" s="23" t="n">
        <x:f>MAX(0,MIN('Activities'!L601,168)-MAX('Activities'!K601,162))</x:f>
        <x:v>0</x:v>
      </x:c>
      <x:c r="AG601" s="23" t="n">
        <x:f>MAX(0,MIN('Activities'!L601,174)-MAX('Activities'!K601,168))</x:f>
        <x:v>0</x:v>
      </x:c>
      <x:c r="AH601" s="23" t="n">
        <x:f>MAX(0,MIN('Activities'!L601,180)-MAX('Activities'!K601,174))</x:f>
        <x:v>0</x:v>
      </x:c>
      <x:c r="AI601" s="23" t="n">
        <x:f>MAX(0,MIN('Activities'!L601,186)-MAX('Activities'!K601,180))</x:f>
        <x:v>0</x:v>
      </x:c>
      <x:c r="AJ601" s="23" t="n">
        <x:f>MAX(0,MIN('Activities'!L601,192)-MAX('Activities'!K601,186))</x:f>
        <x:v>0</x:v>
      </x:c>
      <x:c r="AK601" s="23" t="n">
        <x:f>MAX(0,MIN('Activities'!L601,198)-MAX('Activities'!K601,192))</x:f>
        <x:v>0</x:v>
      </x:c>
      <x:c r="AL601" s="23" t="n">
        <x:f>MAX(0,MIN('Activities'!L601,204)-MAX('Activities'!K601,198))</x:f>
        <x:v>0</x:v>
      </x:c>
      <x:c r="AM601" s="23" t="n">
        <x:f>MAX(0,MIN('Activities'!L601,210)-MAX('Activities'!K601,204))</x:f>
        <x:v>0</x:v>
      </x:c>
      <x:c r="AN601" s="23" t="n">
        <x:f>MAX(0,MIN('Activities'!L601,216)-MAX('Activities'!K601,210))</x:f>
        <x:v>0</x:v>
      </x:c>
      <x:c r="AO601" s="23" t="n">
        <x:f>MAX(0,MIN('Activities'!L601,222)-MAX('Activities'!K601,216))</x:f>
        <x:v>0</x:v>
      </x:c>
      <x:c r="AP601" s="23" t="n">
        <x:f>MAX(0,MIN('Activities'!L601,228)-MAX('Activities'!K601,222))</x:f>
        <x:v>0</x:v>
      </x:c>
      <x:c r="AQ601" s="23" t="n">
        <x:f>MAX(0,MIN('Activities'!L601,234)-MAX('Activities'!K601,228))</x:f>
        <x:v>0</x:v>
      </x:c>
      <x:c r="AR601" s="23" t="n">
        <x:f>MAX(0,MIN('Activities'!L601,240)-MAX('Activities'!K601,234))</x:f>
        <x:v>0</x:v>
      </x:c>
      <x:c r="AS601" s="23" t="n">
        <x:f>MAX(0,MIN('Activities'!L601,246)-MAX('Activities'!K601,240))</x:f>
        <x:v>0</x:v>
      </x:c>
      <x:c r="AT601" s="23" t="n">
        <x:f>MAX(0,MIN('Activities'!L601,252)-MAX('Activities'!K601,246))</x:f>
        <x:v>0</x:v>
      </x:c>
      <x:c r="AU601" s="23" t="n">
        <x:f>MAX(0,MIN('Activities'!L601,258)-MAX('Activities'!K601,252))</x:f>
        <x:v>0</x:v>
      </x:c>
      <x:c r="AV601" s="23" t="n">
        <x:f>MAX(0,MIN('Activities'!L601,264)-MAX('Activities'!K601,258))</x:f>
        <x:v>0</x:v>
      </x:c>
      <x:c r="AW601" s="23" t="n">
        <x:f>MAX(0,MIN('Activities'!L601,270)-MAX('Activities'!K601,264))</x:f>
        <x:v>0</x:v>
      </x:c>
      <x:c r="AX601" s="23" t="n">
        <x:f>MAX(0,MIN('Activities'!L601,276)-MAX('Activities'!K601,270))</x:f>
        <x:v>0</x:v>
      </x:c>
      <x:c r="AY601" s="23" t="n">
        <x:f>MAX(0,MIN('Activities'!L601,282)-MAX('Activities'!K601,276))</x:f>
        <x:v>0</x:v>
      </x:c>
      <x:c r="AZ601" s="23" t="n">
        <x:f>MAX(0,MIN('Activities'!L601,288)-MAX('Activities'!K601,282))</x:f>
        <x:v>0</x:v>
      </x:c>
      <x:c r="BA601" s="23" t="n">
        <x:f>MAX(0,MIN('Activities'!L601,294)-MAX('Activities'!K601,288))</x:f>
        <x:v>0</x:v>
      </x:c>
      <x:c r="BB601" s="23" t="n">
        <x:f>MAX(0,MIN('Activities'!L601,300)-MAX('Activities'!K601,294))</x:f>
        <x:v>0</x:v>
      </x:c>
      <x:c r="BC601" s="23" t="n">
        <x:f>MAX(0,MIN('Activities'!L601,306)-MAX('Activities'!K601,300))</x:f>
        <x:v>0</x:v>
      </x:c>
      <x:c r="BD601" s="23" t="n">
        <x:f>MAX(0,MIN('Activities'!L601,312)-MAX('Activities'!K601,306))</x:f>
        <x:v>0</x:v>
      </x:c>
      <x:c r="BE601" s="23" t="n">
        <x:f>MAX(0,MIN('Activities'!L601,318)-MAX('Activities'!K601,312))</x:f>
        <x:v>0</x:v>
      </x:c>
      <x:c r="BF601" s="23" t="n">
        <x:f>MAX(0,MIN('Activities'!L601,324)-MAX('Activities'!K601,318))</x:f>
        <x:v>0</x:v>
      </x:c>
      <x:c r="BG601" s="23" t="n">
        <x:f>MAX(0,MIN('Activities'!L601,330)-MAX('Activities'!K601,324))</x:f>
        <x:v>0</x:v>
      </x:c>
      <x:c r="BH601" s="23" t="n">
        <x:f>MAX(0,MIN('Activities'!L601,336)-MAX('Activities'!K601,330))</x:f>
        <x:v>0</x:v>
      </x:c>
      <x:c r="BI601" s="23" t="n">
        <x:f>MAX(0,MIN('Activities'!L601,342)-MAX('Activities'!K601,336))</x:f>
        <x:v>0</x:v>
      </x:c>
      <x:c r="BJ601" s="23" t="n">
        <x:f>MAX(0,MIN('Activities'!L601,348)-MAX('Activities'!K601,342))</x:f>
        <x:v>0</x:v>
      </x:c>
      <x:c r="BK601" s="23" t="n">
        <x:f>MAX(0,MIN('Activities'!L601,354)-MAX('Activities'!K601,348))</x:f>
        <x:v>0</x:v>
      </x:c>
      <x:c r="BL601" s="23" t="n">
        <x:f>MAX(0,MIN('Activities'!L601,360)-MAX('Activities'!K601,354))</x:f>
        <x:v>6</x:v>
      </x:c>
      <x:c r="BM601" s="23" t="n">
        <x:f>MAX(0,MIN('Activities'!L601,366)-MAX('Activities'!K601,360))</x:f>
        <x:v>6</x:v>
      </x:c>
      <x:c r="BN601" s="23" t="n">
        <x:f>MAX(0,MIN('Activities'!L601,372)-MAX('Activities'!K601,366))</x:f>
        <x:v>6</x:v>
      </x:c>
      <x:c r="BO601" s="23" t="n">
        <x:f>MAX(0,MIN('Activities'!L601,378)-MAX('Activities'!K601,372))</x:f>
        <x:v>4</x:v>
      </x:c>
      <x:c r="BP601" s="23" t="n">
        <x:f>MAX(0,MIN('Activities'!L601,384)-MAX('Activities'!K601,378))</x:f>
        <x:v>0</x:v>
      </x:c>
      <x:c r="BQ601" s="23" t="n">
        <x:f>MAX(0,MIN('Activities'!L601,390)-MAX('Activities'!K601,384))</x:f>
        <x:v>0</x:v>
      </x:c>
      <x:c r="BR601" s="23" t="n">
        <x:f>MAX(0,MIN('Activities'!L601,396)-MAX('Activities'!K601,390))</x:f>
        <x:v>0</x:v>
      </x:c>
      <x:c r="BS601" s="23" t="n">
        <x:f>MAX(0,MIN('Activities'!L601,402)-MAX('Activities'!K601,396))</x:f>
        <x:v>0</x:v>
      </x:c>
      <x:c r="BT601" s="23" t="n">
        <x:f>MAX(0,MIN('Activities'!L601,408)-MAX('Activities'!K601,402))</x:f>
        <x:v>0</x:v>
      </x:c>
      <x:c r="BU601" s="23" t="n">
        <x:f>MAX(0,MIN('Activities'!L601,414)-MAX('Activities'!K601,408))</x:f>
        <x:v>0</x:v>
      </x:c>
      <x:c r="BV601" s="23" t="n">
        <x:f>MAX(0,MIN('Activities'!L601,420)-MAX('Activities'!K601,414))</x:f>
        <x:v>0</x:v>
      </x:c>
      <x:c r="BW601" s="23" t="n">
        <x:f>MAX(0,MIN('Activities'!L601,426)-MAX('Activities'!K601,420))</x:f>
        <x:v>0</x:v>
      </x:c>
      <x:c r="BX601" s="23" t="n">
        <x:f>MAX(0,MIN('Activities'!L601,432)-MAX('Activities'!K601,426))</x:f>
        <x:v>0</x:v>
      </x:c>
      <x:c r="BY601" s="23" t="n">
        <x:f>MAX(0,MIN('Activities'!L601,438)-MAX('Activities'!K601,432))</x:f>
        <x:v>0</x:v>
      </x:c>
      <x:c r="BZ601" s="23" t="n">
        <x:f>MAX(0,MIN('Activities'!L601,444)-MAX('Activities'!K601,438))</x:f>
        <x:v>0</x:v>
      </x:c>
      <x:c r="CA601" s="23" t="n">
        <x:f>MAX(0,MIN('Activities'!L601,450)-MAX('Activities'!K601,444))</x:f>
        <x:v>0</x:v>
      </x:c>
      <x:c r="CB601" s="23" t="n">
        <x:f>MAX(0,MIN('Activities'!L601,456)-MAX('Activities'!K601,450))</x:f>
        <x:v>0</x:v>
      </x:c>
      <x:c r="CC601" s="23" t="n">
        <x:f>MAX(0,MIN('Activities'!L601,462)-MAX('Activities'!K601,456))</x:f>
        <x:v>0</x:v>
      </x:c>
      <x:c r="CD601" s="23" t="n">
        <x:f>MAX(0,MIN('Activities'!L601,468)-MAX('Activities'!K601,462))</x:f>
        <x:v>0</x:v>
      </x:c>
      <x:c r="CE601" s="23" t="n">
        <x:f>MAX(0,MIN('Activities'!L601,474)-MAX('Activities'!K601,468))</x:f>
        <x:v>0</x:v>
      </x:c>
      <x:c r="CF601" s="23" t="n">
        <x:f>MAX(0,MIN('Activities'!L601,480)-MAX('Activities'!K601,474))</x:f>
        <x:v>0</x:v>
      </x:c>
      <x:c r="CG601" s="23" t="n">
        <x:f>MAX(0,MIN('Activities'!L601,486)-MAX('Activities'!K601,480))</x:f>
        <x:v>0</x:v>
      </x:c>
      <x:c r="CH601" s="23" t="n">
        <x:f>MAX(0,MIN('Activities'!L601,492)-MAX('Activities'!K601,486))</x:f>
        <x:v>0</x:v>
      </x:c>
      <x:c r="CI601" s="23" t="n">
        <x:f>MAX(0,MIN('Activities'!L601,498)-MAX('Activities'!K601,492))</x:f>
        <x:v>0</x:v>
      </x:c>
      <x:c r="CJ601" s="23" t="n">
        <x:f>MAX(0,MIN('Activities'!L601,504)-MAX('Activities'!K601,498))</x:f>
        <x:v>0</x:v>
      </x:c>
      <x:c r="CK601" s="23" t="n">
        <x:f>MAX(0,MIN('Activities'!L601,510)-MAX('Activities'!K601,504))</x:f>
        <x:v>0</x:v>
      </x:c>
      <x:c r="CL601" s="23" t="n">
        <x:f>MAX(0,MIN('Activities'!L601,516)-MAX('Activities'!K601,510))</x:f>
        <x:v>0</x:v>
      </x:c>
      <x:c r="CM601" s="23" t="n">
        <x:f>MAX(0,MIN('Activities'!L601,522)-MAX('Activities'!K601,516))</x:f>
        <x:v>0</x:v>
      </x:c>
      <x:c r="CN601" s="23" t="n">
        <x:f>MAX(0,MIN('Activities'!L601,528)-MAX('Activities'!K601,522))</x:f>
        <x:v>0</x:v>
      </x:c>
      <x:c r="CO601" s="23" t="n">
        <x:f>MAX(0,MIN('Activities'!L601,534)-MAX('Activities'!K601,528))</x:f>
        <x:v>0</x:v>
      </x:c>
      <x:c r="CP601" s="23" t="n">
        <x:f>MAX(0,MIN('Activities'!L601,540)-MAX('Activities'!K601,534))</x:f>
        <x:v>0</x:v>
      </x:c>
      <x:c r="CQ601" s="23" t="n">
        <x:f>MAX(0,MIN('Activities'!L601,546)-MAX('Activities'!K601,540))</x:f>
        <x:v>0</x:v>
      </x:c>
      <x:c r="CR601" s="23" t="n">
        <x:f>MAX(0,MIN('Activities'!L601,552)-MAX('Activities'!K601,546))</x:f>
        <x:v>0</x:v>
      </x:c>
      <x:c r="CS601" s="23" t="n">
        <x:f>MAX(0,MIN('Activities'!L601,558)-MAX('Activities'!K601,552))</x:f>
        <x:v>0</x:v>
      </x:c>
      <x:c r="CT601" s="23" t="n">
        <x:f>MAX(0,MIN('Activities'!L601,564)-MAX('Activities'!K601,558))</x:f>
        <x:v>0</x:v>
      </x:c>
      <x:c r="CU601" s="23" t="n">
        <x:f>MAX(0,MIN('Activities'!L601,570)-MAX('Activities'!K601,564))</x:f>
        <x:v>0</x:v>
      </x:c>
      <x:c r="CV601" s="23" t="n">
        <x:f>MAX(0,MIN('Activities'!L601,576)-MAX('Activities'!K601,570))</x:f>
        <x:v>0</x:v>
      </x:c>
      <x:c r="CW601" s="23" t="n">
        <x:f>MAX(0,MIN('Activities'!L601,582)-MAX('Activities'!K601,576))</x:f>
        <x:v>0</x:v>
      </x:c>
      <x:c r="CX601" s="23" t="n">
        <x:f>MAX(0,MIN('Activities'!L601,588)-MAX('Activities'!K601,582))</x:f>
        <x:v>0</x:v>
      </x:c>
      <x:c r="CY601" s="23" t="n">
        <x:f>MAX(0,MIN('Activities'!L601,594)-MAX('Activities'!K601,588))</x:f>
        <x:v>0</x:v>
      </x:c>
      <x:c r="CZ601" s="23" t="n">
        <x:f>MAX(0,MIN('Activities'!L601,600)-MAX('Activities'!K601,594))</x:f>
        <x:v>0</x:v>
      </x:c>
      <x:c r="DA601" s="23" t="n">
        <x:f>MAX(0,MIN('Activities'!L601,606)-MAX('Activities'!K601,600))</x:f>
        <x:v>0</x:v>
      </x:c>
      <x:c r="DB601" s="23" t="n">
        <x:f>MAX(0,MIN('Activities'!L601,612)-MAX('Activities'!K601,606))</x:f>
        <x:v>0</x:v>
      </x:c>
      <x:c r="DC601" s="23" t="n">
        <x:f>MAX(0,MIN('Activities'!L601,618)-MAX('Activities'!K601,612))</x:f>
        <x:v>0</x:v>
      </x:c>
      <x:c r="DD601" s="23" t="n">
        <x:f>MAX(0,MIN('Activities'!L601,624)-MAX('Activities'!K601,618))</x:f>
        <x:v>0</x:v>
      </x:c>
      <x:c r="DE601" s="23" t="n">
        <x:f>MAX(0,MIN('Activities'!L601,630)-MAX('Activities'!K601,624))</x:f>
        <x:v>0</x:v>
      </x:c>
      <x:c r="DF601" s="23" t="n">
        <x:f>MAX(0,MIN('Activities'!L601,636)-MAX('Activities'!K601,630))</x:f>
        <x:v>0</x:v>
      </x:c>
    </x:row>
    <x:row r="602" ht="23" customHeight="1">
      <x:c r="A602" s="6" t="str">
        <x:v>T5-GL</x:v>
      </x:c>
      <x:c r="B602" s="6" t="str">
        <x:v>T5</x:v>
      </x:c>
      <x:c r="C602" s="6" t="str">
        <x:v>Glazing and frame installation</x:v>
      </x:c>
      <x:c r="D602" s="6" t="str">
        <x:v>Envelope</x:v>
      </x:c>
      <x:c r="E602" s="22" t="n">
        <x:f>MAX(0,MIN('Activities'!L602,6)-MAX('Activities'!K602,0))</x:f>
        <x:v>0</x:v>
      </x:c>
      <x:c r="F602" s="22" t="n">
        <x:f>MAX(0,MIN('Activities'!L602,12)-MAX('Activities'!K602,6))</x:f>
        <x:v>0</x:v>
      </x:c>
      <x:c r="G602" s="22" t="n">
        <x:f>MAX(0,MIN('Activities'!L602,18)-MAX('Activities'!K602,12))</x:f>
        <x:v>0</x:v>
      </x:c>
      <x:c r="H602" s="22" t="n">
        <x:f>MAX(0,MIN('Activities'!L602,24)-MAX('Activities'!K602,18))</x:f>
        <x:v>0</x:v>
      </x:c>
      <x:c r="I602" s="22" t="n">
        <x:f>MAX(0,MIN('Activities'!L602,30)-MAX('Activities'!K602,24))</x:f>
        <x:v>0</x:v>
      </x:c>
      <x:c r="J602" s="22" t="n">
        <x:f>MAX(0,MIN('Activities'!L602,36)-MAX('Activities'!K602,30))</x:f>
        <x:v>0</x:v>
      </x:c>
      <x:c r="K602" s="22" t="n">
        <x:f>MAX(0,MIN('Activities'!L602,42)-MAX('Activities'!K602,36))</x:f>
        <x:v>0</x:v>
      </x:c>
      <x:c r="L602" s="22" t="n">
        <x:f>MAX(0,MIN('Activities'!L602,48)-MAX('Activities'!K602,42))</x:f>
        <x:v>0</x:v>
      </x:c>
      <x:c r="M602" s="22" t="n">
        <x:f>MAX(0,MIN('Activities'!L602,54)-MAX('Activities'!K602,48))</x:f>
        <x:v>0</x:v>
      </x:c>
      <x:c r="N602" s="22" t="n">
        <x:f>MAX(0,MIN('Activities'!L602,60)-MAX('Activities'!K602,54))</x:f>
        <x:v>0</x:v>
      </x:c>
      <x:c r="O602" s="22" t="n">
        <x:f>MAX(0,MIN('Activities'!L602,66)-MAX('Activities'!K602,60))</x:f>
        <x:v>0</x:v>
      </x:c>
      <x:c r="P602" s="22" t="n">
        <x:f>MAX(0,MIN('Activities'!L602,72)-MAX('Activities'!K602,66))</x:f>
        <x:v>0</x:v>
      </x:c>
      <x:c r="Q602" s="22" t="n">
        <x:f>MAX(0,MIN('Activities'!L602,78)-MAX('Activities'!K602,72))</x:f>
        <x:v>0</x:v>
      </x:c>
      <x:c r="R602" s="22" t="n">
        <x:f>MAX(0,MIN('Activities'!L602,84)-MAX('Activities'!K602,78))</x:f>
        <x:v>0</x:v>
      </x:c>
      <x:c r="S602" s="22" t="n">
        <x:f>MAX(0,MIN('Activities'!L602,90)-MAX('Activities'!K602,84))</x:f>
        <x:v>0</x:v>
      </x:c>
      <x:c r="T602" s="22" t="n">
        <x:f>MAX(0,MIN('Activities'!L602,96)-MAX('Activities'!K602,90))</x:f>
        <x:v>0</x:v>
      </x:c>
      <x:c r="U602" s="22" t="n">
        <x:f>MAX(0,MIN('Activities'!L602,102)-MAX('Activities'!K602,96))</x:f>
        <x:v>0</x:v>
      </x:c>
      <x:c r="V602" s="22" t="n">
        <x:f>MAX(0,MIN('Activities'!L602,108)-MAX('Activities'!K602,102))</x:f>
        <x:v>0</x:v>
      </x:c>
      <x:c r="W602" s="22" t="n">
        <x:f>MAX(0,MIN('Activities'!L602,114)-MAX('Activities'!K602,108))</x:f>
        <x:v>0</x:v>
      </x:c>
      <x:c r="X602" s="22" t="n">
        <x:f>MAX(0,MIN('Activities'!L602,120)-MAX('Activities'!K602,114))</x:f>
        <x:v>0</x:v>
      </x:c>
      <x:c r="Y602" s="22" t="n">
        <x:f>MAX(0,MIN('Activities'!L602,126)-MAX('Activities'!K602,120))</x:f>
        <x:v>0</x:v>
      </x:c>
      <x:c r="Z602" s="22" t="n">
        <x:f>MAX(0,MIN('Activities'!L602,132)-MAX('Activities'!K602,126))</x:f>
        <x:v>0</x:v>
      </x:c>
      <x:c r="AA602" s="22" t="n">
        <x:f>MAX(0,MIN('Activities'!L602,138)-MAX('Activities'!K602,132))</x:f>
        <x:v>0</x:v>
      </x:c>
      <x:c r="AB602" s="22" t="n">
        <x:f>MAX(0,MIN('Activities'!L602,144)-MAX('Activities'!K602,138))</x:f>
        <x:v>0</x:v>
      </x:c>
      <x:c r="AC602" s="22" t="n">
        <x:f>MAX(0,MIN('Activities'!L602,150)-MAX('Activities'!K602,144))</x:f>
        <x:v>0</x:v>
      </x:c>
      <x:c r="AD602" s="22" t="n">
        <x:f>MAX(0,MIN('Activities'!L602,156)-MAX('Activities'!K602,150))</x:f>
        <x:v>0</x:v>
      </x:c>
      <x:c r="AE602" s="22" t="n">
        <x:f>MAX(0,MIN('Activities'!L602,162)-MAX('Activities'!K602,156))</x:f>
        <x:v>0</x:v>
      </x:c>
      <x:c r="AF602" s="22" t="n">
        <x:f>MAX(0,MIN('Activities'!L602,168)-MAX('Activities'!K602,162))</x:f>
        <x:v>0</x:v>
      </x:c>
      <x:c r="AG602" s="22" t="n">
        <x:f>MAX(0,MIN('Activities'!L602,174)-MAX('Activities'!K602,168))</x:f>
        <x:v>0</x:v>
      </x:c>
      <x:c r="AH602" s="22" t="n">
        <x:f>MAX(0,MIN('Activities'!L602,180)-MAX('Activities'!K602,174))</x:f>
        <x:v>0</x:v>
      </x:c>
      <x:c r="AI602" s="22" t="n">
        <x:f>MAX(0,MIN('Activities'!L602,186)-MAX('Activities'!K602,180))</x:f>
        <x:v>0</x:v>
      </x:c>
      <x:c r="AJ602" s="22" t="n">
        <x:f>MAX(0,MIN('Activities'!L602,192)-MAX('Activities'!K602,186))</x:f>
        <x:v>0</x:v>
      </x:c>
      <x:c r="AK602" s="22" t="n">
        <x:f>MAX(0,MIN('Activities'!L602,198)-MAX('Activities'!K602,192))</x:f>
        <x:v>0</x:v>
      </x:c>
      <x:c r="AL602" s="22" t="n">
        <x:f>MAX(0,MIN('Activities'!L602,204)-MAX('Activities'!K602,198))</x:f>
        <x:v>0</x:v>
      </x:c>
      <x:c r="AM602" s="22" t="n">
        <x:f>MAX(0,MIN('Activities'!L602,210)-MAX('Activities'!K602,204))</x:f>
        <x:v>0</x:v>
      </x:c>
      <x:c r="AN602" s="22" t="n">
        <x:f>MAX(0,MIN('Activities'!L602,216)-MAX('Activities'!K602,210))</x:f>
        <x:v>0</x:v>
      </x:c>
      <x:c r="AO602" s="22" t="n">
        <x:f>MAX(0,MIN('Activities'!L602,222)-MAX('Activities'!K602,216))</x:f>
        <x:v>0</x:v>
      </x:c>
      <x:c r="AP602" s="22" t="n">
        <x:f>MAX(0,MIN('Activities'!L602,228)-MAX('Activities'!K602,222))</x:f>
        <x:v>0</x:v>
      </x:c>
      <x:c r="AQ602" s="22" t="n">
        <x:f>MAX(0,MIN('Activities'!L602,234)-MAX('Activities'!K602,228))</x:f>
        <x:v>0</x:v>
      </x:c>
      <x:c r="AR602" s="22" t="n">
        <x:f>MAX(0,MIN('Activities'!L602,240)-MAX('Activities'!K602,234))</x:f>
        <x:v>0</x:v>
      </x:c>
      <x:c r="AS602" s="22" t="n">
        <x:f>MAX(0,MIN('Activities'!L602,246)-MAX('Activities'!K602,240))</x:f>
        <x:v>0</x:v>
      </x:c>
      <x:c r="AT602" s="22" t="n">
        <x:f>MAX(0,MIN('Activities'!L602,252)-MAX('Activities'!K602,246))</x:f>
        <x:v>0</x:v>
      </x:c>
      <x:c r="AU602" s="22" t="n">
        <x:f>MAX(0,MIN('Activities'!L602,258)-MAX('Activities'!K602,252))</x:f>
        <x:v>0</x:v>
      </x:c>
      <x:c r="AV602" s="22" t="n">
        <x:f>MAX(0,MIN('Activities'!L602,264)-MAX('Activities'!K602,258))</x:f>
        <x:v>0</x:v>
      </x:c>
      <x:c r="AW602" s="22" t="n">
        <x:f>MAX(0,MIN('Activities'!L602,270)-MAX('Activities'!K602,264))</x:f>
        <x:v>0</x:v>
      </x:c>
      <x:c r="AX602" s="22" t="n">
        <x:f>MAX(0,MIN('Activities'!L602,276)-MAX('Activities'!K602,270))</x:f>
        <x:v>0</x:v>
      </x:c>
      <x:c r="AY602" s="22" t="n">
        <x:f>MAX(0,MIN('Activities'!L602,282)-MAX('Activities'!K602,276))</x:f>
        <x:v>0</x:v>
      </x:c>
      <x:c r="AZ602" s="22" t="n">
        <x:f>MAX(0,MIN('Activities'!L602,288)-MAX('Activities'!K602,282))</x:f>
        <x:v>0</x:v>
      </x:c>
      <x:c r="BA602" s="22" t="n">
        <x:f>MAX(0,MIN('Activities'!L602,294)-MAX('Activities'!K602,288))</x:f>
        <x:v>0</x:v>
      </x:c>
      <x:c r="BB602" s="22" t="n">
        <x:f>MAX(0,MIN('Activities'!L602,300)-MAX('Activities'!K602,294))</x:f>
        <x:v>0</x:v>
      </x:c>
      <x:c r="BC602" s="22" t="n">
        <x:f>MAX(0,MIN('Activities'!L602,306)-MAX('Activities'!K602,300))</x:f>
        <x:v>0</x:v>
      </x:c>
      <x:c r="BD602" s="22" t="n">
        <x:f>MAX(0,MIN('Activities'!L602,312)-MAX('Activities'!K602,306))</x:f>
        <x:v>0</x:v>
      </x:c>
      <x:c r="BE602" s="22" t="n">
        <x:f>MAX(0,MIN('Activities'!L602,318)-MAX('Activities'!K602,312))</x:f>
        <x:v>0</x:v>
      </x:c>
      <x:c r="BF602" s="22" t="n">
        <x:f>MAX(0,MIN('Activities'!L602,324)-MAX('Activities'!K602,318))</x:f>
        <x:v>0</x:v>
      </x:c>
      <x:c r="BG602" s="22" t="n">
        <x:f>MAX(0,MIN('Activities'!L602,330)-MAX('Activities'!K602,324))</x:f>
        <x:v>0</x:v>
      </x:c>
      <x:c r="BH602" s="22" t="n">
        <x:f>MAX(0,MIN('Activities'!L602,336)-MAX('Activities'!K602,330))</x:f>
        <x:v>0</x:v>
      </x:c>
      <x:c r="BI602" s="22" t="n">
        <x:f>MAX(0,MIN('Activities'!L602,342)-MAX('Activities'!K602,336))</x:f>
        <x:v>0</x:v>
      </x:c>
      <x:c r="BJ602" s="22" t="n">
        <x:f>MAX(0,MIN('Activities'!L602,348)-MAX('Activities'!K602,342))</x:f>
        <x:v>0</x:v>
      </x:c>
      <x:c r="BK602" s="22" t="n">
        <x:f>MAX(0,MIN('Activities'!L602,354)-MAX('Activities'!K602,348))</x:f>
        <x:v>0</x:v>
      </x:c>
      <x:c r="BL602" s="22" t="n">
        <x:f>MAX(0,MIN('Activities'!L602,360)-MAX('Activities'!K602,354))</x:f>
        <x:v>0</x:v>
      </x:c>
      <x:c r="BM602" s="22" t="n">
        <x:f>MAX(0,MIN('Activities'!L602,366)-MAX('Activities'!K602,360))</x:f>
        <x:v>0</x:v>
      </x:c>
      <x:c r="BN602" s="22" t="n">
        <x:f>MAX(0,MIN('Activities'!L602,372)-MAX('Activities'!K602,366))</x:f>
        <x:v>0</x:v>
      </x:c>
      <x:c r="BO602" s="22" t="n">
        <x:f>MAX(0,MIN('Activities'!L602,378)-MAX('Activities'!K602,372))</x:f>
        <x:v>0</x:v>
      </x:c>
      <x:c r="BP602" s="22" t="n">
        <x:f>MAX(0,MIN('Activities'!L602,384)-MAX('Activities'!K602,378))</x:f>
        <x:v>0</x:v>
      </x:c>
      <x:c r="BQ602" s="22" t="n">
        <x:f>MAX(0,MIN('Activities'!L602,390)-MAX('Activities'!K602,384))</x:f>
        <x:v>0</x:v>
      </x:c>
      <x:c r="BR602" s="22" t="n">
        <x:f>MAX(0,MIN('Activities'!L602,396)-MAX('Activities'!K602,390))</x:f>
        <x:v>0</x:v>
      </x:c>
      <x:c r="BS602" s="22" t="n">
        <x:f>MAX(0,MIN('Activities'!L602,402)-MAX('Activities'!K602,396))</x:f>
        <x:v>0</x:v>
      </x:c>
      <x:c r="BT602" s="22" t="n">
        <x:f>MAX(0,MIN('Activities'!L602,408)-MAX('Activities'!K602,402))</x:f>
        <x:v>0</x:v>
      </x:c>
      <x:c r="BU602" s="22" t="n">
        <x:f>MAX(0,MIN('Activities'!L602,414)-MAX('Activities'!K602,408))</x:f>
        <x:v>0</x:v>
      </x:c>
      <x:c r="BV602" s="22" t="n">
        <x:f>MAX(0,MIN('Activities'!L602,420)-MAX('Activities'!K602,414))</x:f>
        <x:v>0</x:v>
      </x:c>
      <x:c r="BW602" s="22" t="n">
        <x:f>MAX(0,MIN('Activities'!L602,426)-MAX('Activities'!K602,420))</x:f>
        <x:v>0</x:v>
      </x:c>
      <x:c r="BX602" s="22" t="n">
        <x:f>MAX(0,MIN('Activities'!L602,432)-MAX('Activities'!K602,426))</x:f>
        <x:v>0</x:v>
      </x:c>
      <x:c r="BY602" s="22" t="n">
        <x:f>MAX(0,MIN('Activities'!L602,438)-MAX('Activities'!K602,432))</x:f>
        <x:v>3</x:v>
      </x:c>
      <x:c r="BZ602" s="22" t="n">
        <x:f>MAX(0,MIN('Activities'!L602,444)-MAX('Activities'!K602,438))</x:f>
        <x:v>6</x:v>
      </x:c>
      <x:c r="CA602" s="22" t="n">
        <x:f>MAX(0,MIN('Activities'!L602,450)-MAX('Activities'!K602,444))</x:f>
        <x:v>5</x:v>
      </x:c>
      <x:c r="CB602" s="22" t="n">
        <x:f>MAX(0,MIN('Activities'!L602,456)-MAX('Activities'!K602,450))</x:f>
        <x:v>0</x:v>
      </x:c>
      <x:c r="CC602" s="22" t="n">
        <x:f>MAX(0,MIN('Activities'!L602,462)-MAX('Activities'!K602,456))</x:f>
        <x:v>0</x:v>
      </x:c>
      <x:c r="CD602" s="22" t="n">
        <x:f>MAX(0,MIN('Activities'!L602,468)-MAX('Activities'!K602,462))</x:f>
        <x:v>0</x:v>
      </x:c>
      <x:c r="CE602" s="22" t="n">
        <x:f>MAX(0,MIN('Activities'!L602,474)-MAX('Activities'!K602,468))</x:f>
        <x:v>0</x:v>
      </x:c>
      <x:c r="CF602" s="22" t="n">
        <x:f>MAX(0,MIN('Activities'!L602,480)-MAX('Activities'!K602,474))</x:f>
        <x:v>0</x:v>
      </x:c>
      <x:c r="CG602" s="22" t="n">
        <x:f>MAX(0,MIN('Activities'!L602,486)-MAX('Activities'!K602,480))</x:f>
        <x:v>0</x:v>
      </x:c>
      <x:c r="CH602" s="22" t="n">
        <x:f>MAX(0,MIN('Activities'!L602,492)-MAX('Activities'!K602,486))</x:f>
        <x:v>0</x:v>
      </x:c>
      <x:c r="CI602" s="22" t="n">
        <x:f>MAX(0,MIN('Activities'!L602,498)-MAX('Activities'!K602,492))</x:f>
        <x:v>0</x:v>
      </x:c>
      <x:c r="CJ602" s="22" t="n">
        <x:f>MAX(0,MIN('Activities'!L602,504)-MAX('Activities'!K602,498))</x:f>
        <x:v>0</x:v>
      </x:c>
      <x:c r="CK602" s="22" t="n">
        <x:f>MAX(0,MIN('Activities'!L602,510)-MAX('Activities'!K602,504))</x:f>
        <x:v>0</x:v>
      </x:c>
      <x:c r="CL602" s="22" t="n">
        <x:f>MAX(0,MIN('Activities'!L602,516)-MAX('Activities'!K602,510))</x:f>
        <x:v>0</x:v>
      </x:c>
      <x:c r="CM602" s="22" t="n">
        <x:f>MAX(0,MIN('Activities'!L602,522)-MAX('Activities'!K602,516))</x:f>
        <x:v>0</x:v>
      </x:c>
      <x:c r="CN602" s="22" t="n">
        <x:f>MAX(0,MIN('Activities'!L602,528)-MAX('Activities'!K602,522))</x:f>
        <x:v>0</x:v>
      </x:c>
      <x:c r="CO602" s="22" t="n">
        <x:f>MAX(0,MIN('Activities'!L602,534)-MAX('Activities'!K602,528))</x:f>
        <x:v>0</x:v>
      </x:c>
      <x:c r="CP602" s="22" t="n">
        <x:f>MAX(0,MIN('Activities'!L602,540)-MAX('Activities'!K602,534))</x:f>
        <x:v>0</x:v>
      </x:c>
      <x:c r="CQ602" s="22" t="n">
        <x:f>MAX(0,MIN('Activities'!L602,546)-MAX('Activities'!K602,540))</x:f>
        <x:v>0</x:v>
      </x:c>
      <x:c r="CR602" s="22" t="n">
        <x:f>MAX(0,MIN('Activities'!L602,552)-MAX('Activities'!K602,546))</x:f>
        <x:v>0</x:v>
      </x:c>
      <x:c r="CS602" s="22" t="n">
        <x:f>MAX(0,MIN('Activities'!L602,558)-MAX('Activities'!K602,552))</x:f>
        <x:v>0</x:v>
      </x:c>
      <x:c r="CT602" s="22" t="n">
        <x:f>MAX(0,MIN('Activities'!L602,564)-MAX('Activities'!K602,558))</x:f>
        <x:v>0</x:v>
      </x:c>
      <x:c r="CU602" s="22" t="n">
        <x:f>MAX(0,MIN('Activities'!L602,570)-MAX('Activities'!K602,564))</x:f>
        <x:v>0</x:v>
      </x:c>
      <x:c r="CV602" s="22" t="n">
        <x:f>MAX(0,MIN('Activities'!L602,576)-MAX('Activities'!K602,570))</x:f>
        <x:v>0</x:v>
      </x:c>
      <x:c r="CW602" s="22" t="n">
        <x:f>MAX(0,MIN('Activities'!L602,582)-MAX('Activities'!K602,576))</x:f>
        <x:v>0</x:v>
      </x:c>
      <x:c r="CX602" s="22" t="n">
        <x:f>MAX(0,MIN('Activities'!L602,588)-MAX('Activities'!K602,582))</x:f>
        <x:v>0</x:v>
      </x:c>
      <x:c r="CY602" s="22" t="n">
        <x:f>MAX(0,MIN('Activities'!L602,594)-MAX('Activities'!K602,588))</x:f>
        <x:v>0</x:v>
      </x:c>
      <x:c r="CZ602" s="22" t="n">
        <x:f>MAX(0,MIN('Activities'!L602,600)-MAX('Activities'!K602,594))</x:f>
        <x:v>0</x:v>
      </x:c>
      <x:c r="DA602" s="22" t="n">
        <x:f>MAX(0,MIN('Activities'!L602,606)-MAX('Activities'!K602,600))</x:f>
        <x:v>0</x:v>
      </x:c>
      <x:c r="DB602" s="22" t="n">
        <x:f>MAX(0,MIN('Activities'!L602,612)-MAX('Activities'!K602,606))</x:f>
        <x:v>0</x:v>
      </x:c>
      <x:c r="DC602" s="22" t="n">
        <x:f>MAX(0,MIN('Activities'!L602,618)-MAX('Activities'!K602,612))</x:f>
        <x:v>0</x:v>
      </x:c>
      <x:c r="DD602" s="22" t="n">
        <x:f>MAX(0,MIN('Activities'!L602,624)-MAX('Activities'!K602,618))</x:f>
        <x:v>0</x:v>
      </x:c>
      <x:c r="DE602" s="22" t="n">
        <x:f>MAX(0,MIN('Activities'!L602,630)-MAX('Activities'!K602,624))</x:f>
        <x:v>0</x:v>
      </x:c>
      <x:c r="DF602" s="22" t="n">
        <x:f>MAX(0,MIN('Activities'!L602,636)-MAX('Activities'!K602,630))</x:f>
        <x:v>0</x:v>
      </x:c>
    </x:row>
    <x:row r="603" ht="23" customHeight="1">
      <x:c r="A603" s="1" t="str">
        <x:v>T5-L00-M</x:v>
      </x:c>
      <x:c r="B603" s="1" t="str">
        <x:v>T5</x:v>
      </x:c>
      <x:c r="C603" s="1" t="str">
        <x:v>Partition masonry</x:v>
      </x:c>
      <x:c r="D603" s="1" t="str">
        <x:v>Masonry</x:v>
      </x:c>
      <x:c r="E603" s="23" t="n">
        <x:f>MAX(0,MIN('Activities'!L603,6)-MAX('Activities'!K603,0))</x:f>
        <x:v>0</x:v>
      </x:c>
      <x:c r="F603" s="23" t="n">
        <x:f>MAX(0,MIN('Activities'!L603,12)-MAX('Activities'!K603,6))</x:f>
        <x:v>0</x:v>
      </x:c>
      <x:c r="G603" s="23" t="n">
        <x:f>MAX(0,MIN('Activities'!L603,18)-MAX('Activities'!K603,12))</x:f>
        <x:v>0</x:v>
      </x:c>
      <x:c r="H603" s="23" t="n">
        <x:f>MAX(0,MIN('Activities'!L603,24)-MAX('Activities'!K603,18))</x:f>
        <x:v>0</x:v>
      </x:c>
      <x:c r="I603" s="23" t="n">
        <x:f>MAX(0,MIN('Activities'!L603,30)-MAX('Activities'!K603,24))</x:f>
        <x:v>0</x:v>
      </x:c>
      <x:c r="J603" s="23" t="n">
        <x:f>MAX(0,MIN('Activities'!L603,36)-MAX('Activities'!K603,30))</x:f>
        <x:v>0</x:v>
      </x:c>
      <x:c r="K603" s="23" t="n">
        <x:f>MAX(0,MIN('Activities'!L603,42)-MAX('Activities'!K603,36))</x:f>
        <x:v>0</x:v>
      </x:c>
      <x:c r="L603" s="23" t="n">
        <x:f>MAX(0,MIN('Activities'!L603,48)-MAX('Activities'!K603,42))</x:f>
        <x:v>0</x:v>
      </x:c>
      <x:c r="M603" s="23" t="n">
        <x:f>MAX(0,MIN('Activities'!L603,54)-MAX('Activities'!K603,48))</x:f>
        <x:v>0</x:v>
      </x:c>
      <x:c r="N603" s="23" t="n">
        <x:f>MAX(0,MIN('Activities'!L603,60)-MAX('Activities'!K603,54))</x:f>
        <x:v>0</x:v>
      </x:c>
      <x:c r="O603" s="23" t="n">
        <x:f>MAX(0,MIN('Activities'!L603,66)-MAX('Activities'!K603,60))</x:f>
        <x:v>0</x:v>
      </x:c>
      <x:c r="P603" s="23" t="n">
        <x:f>MAX(0,MIN('Activities'!L603,72)-MAX('Activities'!K603,66))</x:f>
        <x:v>0</x:v>
      </x:c>
      <x:c r="Q603" s="23" t="n">
        <x:f>MAX(0,MIN('Activities'!L603,78)-MAX('Activities'!K603,72))</x:f>
        <x:v>0</x:v>
      </x:c>
      <x:c r="R603" s="23" t="n">
        <x:f>MAX(0,MIN('Activities'!L603,84)-MAX('Activities'!K603,78))</x:f>
        <x:v>0</x:v>
      </x:c>
      <x:c r="S603" s="23" t="n">
        <x:f>MAX(0,MIN('Activities'!L603,90)-MAX('Activities'!K603,84))</x:f>
        <x:v>0</x:v>
      </x:c>
      <x:c r="T603" s="23" t="n">
        <x:f>MAX(0,MIN('Activities'!L603,96)-MAX('Activities'!K603,90))</x:f>
        <x:v>0</x:v>
      </x:c>
      <x:c r="U603" s="23" t="n">
        <x:f>MAX(0,MIN('Activities'!L603,102)-MAX('Activities'!K603,96))</x:f>
        <x:v>0</x:v>
      </x:c>
      <x:c r="V603" s="23" t="n">
        <x:f>MAX(0,MIN('Activities'!L603,108)-MAX('Activities'!K603,102))</x:f>
        <x:v>0</x:v>
      </x:c>
      <x:c r="W603" s="23" t="n">
        <x:f>MAX(0,MIN('Activities'!L603,114)-MAX('Activities'!K603,108))</x:f>
        <x:v>0</x:v>
      </x:c>
      <x:c r="X603" s="23" t="n">
        <x:f>MAX(0,MIN('Activities'!L603,120)-MAX('Activities'!K603,114))</x:f>
        <x:v>0</x:v>
      </x:c>
      <x:c r="Y603" s="23" t="n">
        <x:f>MAX(0,MIN('Activities'!L603,126)-MAX('Activities'!K603,120))</x:f>
        <x:v>0</x:v>
      </x:c>
      <x:c r="Z603" s="23" t="n">
        <x:f>MAX(0,MIN('Activities'!L603,132)-MAX('Activities'!K603,126))</x:f>
        <x:v>0</x:v>
      </x:c>
      <x:c r="AA603" s="23" t="n">
        <x:f>MAX(0,MIN('Activities'!L603,138)-MAX('Activities'!K603,132))</x:f>
        <x:v>0</x:v>
      </x:c>
      <x:c r="AB603" s="23" t="n">
        <x:f>MAX(0,MIN('Activities'!L603,144)-MAX('Activities'!K603,138))</x:f>
        <x:v>0</x:v>
      </x:c>
      <x:c r="AC603" s="23" t="n">
        <x:f>MAX(0,MIN('Activities'!L603,150)-MAX('Activities'!K603,144))</x:f>
        <x:v>0</x:v>
      </x:c>
      <x:c r="AD603" s="23" t="n">
        <x:f>MAX(0,MIN('Activities'!L603,156)-MAX('Activities'!K603,150))</x:f>
        <x:v>0</x:v>
      </x:c>
      <x:c r="AE603" s="23" t="n">
        <x:f>MAX(0,MIN('Activities'!L603,162)-MAX('Activities'!K603,156))</x:f>
        <x:v>0</x:v>
      </x:c>
      <x:c r="AF603" s="23" t="n">
        <x:f>MAX(0,MIN('Activities'!L603,168)-MAX('Activities'!K603,162))</x:f>
        <x:v>0</x:v>
      </x:c>
      <x:c r="AG603" s="23" t="n">
        <x:f>MAX(0,MIN('Activities'!L603,174)-MAX('Activities'!K603,168))</x:f>
        <x:v>0</x:v>
      </x:c>
      <x:c r="AH603" s="23" t="n">
        <x:f>MAX(0,MIN('Activities'!L603,180)-MAX('Activities'!K603,174))</x:f>
        <x:v>0</x:v>
      </x:c>
      <x:c r="AI603" s="23" t="n">
        <x:f>MAX(0,MIN('Activities'!L603,186)-MAX('Activities'!K603,180))</x:f>
        <x:v>0</x:v>
      </x:c>
      <x:c r="AJ603" s="23" t="n">
        <x:f>MAX(0,MIN('Activities'!L603,192)-MAX('Activities'!K603,186))</x:f>
        <x:v>0</x:v>
      </x:c>
      <x:c r="AK603" s="23" t="n">
        <x:f>MAX(0,MIN('Activities'!L603,198)-MAX('Activities'!K603,192))</x:f>
        <x:v>0</x:v>
      </x:c>
      <x:c r="AL603" s="23" t="n">
        <x:f>MAX(0,MIN('Activities'!L603,204)-MAX('Activities'!K603,198))</x:f>
        <x:v>0</x:v>
      </x:c>
      <x:c r="AM603" s="23" t="n">
        <x:f>MAX(0,MIN('Activities'!L603,210)-MAX('Activities'!K603,204))</x:f>
        <x:v>0</x:v>
      </x:c>
      <x:c r="AN603" s="23" t="n">
        <x:f>MAX(0,MIN('Activities'!L603,216)-MAX('Activities'!K603,210))</x:f>
        <x:v>0</x:v>
      </x:c>
      <x:c r="AO603" s="23" t="n">
        <x:f>MAX(0,MIN('Activities'!L603,222)-MAX('Activities'!K603,216))</x:f>
        <x:v>0</x:v>
      </x:c>
      <x:c r="AP603" s="23" t="n">
        <x:f>MAX(0,MIN('Activities'!L603,228)-MAX('Activities'!K603,222))</x:f>
        <x:v>0</x:v>
      </x:c>
      <x:c r="AQ603" s="23" t="n">
        <x:f>MAX(0,MIN('Activities'!L603,234)-MAX('Activities'!K603,228))</x:f>
        <x:v>0</x:v>
      </x:c>
      <x:c r="AR603" s="23" t="n">
        <x:f>MAX(0,MIN('Activities'!L603,240)-MAX('Activities'!K603,234))</x:f>
        <x:v>0</x:v>
      </x:c>
      <x:c r="AS603" s="23" t="n">
        <x:f>MAX(0,MIN('Activities'!L603,246)-MAX('Activities'!K603,240))</x:f>
        <x:v>0</x:v>
      </x:c>
      <x:c r="AT603" s="23" t="n">
        <x:f>MAX(0,MIN('Activities'!L603,252)-MAX('Activities'!K603,246))</x:f>
        <x:v>0</x:v>
      </x:c>
      <x:c r="AU603" s="23" t="n">
        <x:f>MAX(0,MIN('Activities'!L603,258)-MAX('Activities'!K603,252))</x:f>
        <x:v>0</x:v>
      </x:c>
      <x:c r="AV603" s="23" t="n">
        <x:f>MAX(0,MIN('Activities'!L603,264)-MAX('Activities'!K603,258))</x:f>
        <x:v>5</x:v>
      </x:c>
      <x:c r="AW603" s="23" t="n">
        <x:f>MAX(0,MIN('Activities'!L603,270)-MAX('Activities'!K603,264))</x:f>
        <x:v>0</x:v>
      </x:c>
      <x:c r="AX603" s="23" t="n">
        <x:f>MAX(0,MIN('Activities'!L603,276)-MAX('Activities'!K603,270))</x:f>
        <x:v>0</x:v>
      </x:c>
      <x:c r="AY603" s="23" t="n">
        <x:f>MAX(0,MIN('Activities'!L603,282)-MAX('Activities'!K603,276))</x:f>
        <x:v>0</x:v>
      </x:c>
      <x:c r="AZ603" s="23" t="n">
        <x:f>MAX(0,MIN('Activities'!L603,288)-MAX('Activities'!K603,282))</x:f>
        <x:v>0</x:v>
      </x:c>
      <x:c r="BA603" s="23" t="n">
        <x:f>MAX(0,MIN('Activities'!L603,294)-MAX('Activities'!K603,288))</x:f>
        <x:v>0</x:v>
      </x:c>
      <x:c r="BB603" s="23" t="n">
        <x:f>MAX(0,MIN('Activities'!L603,300)-MAX('Activities'!K603,294))</x:f>
        <x:v>0</x:v>
      </x:c>
      <x:c r="BC603" s="23" t="n">
        <x:f>MAX(0,MIN('Activities'!L603,306)-MAX('Activities'!K603,300))</x:f>
        <x:v>0</x:v>
      </x:c>
      <x:c r="BD603" s="23" t="n">
        <x:f>MAX(0,MIN('Activities'!L603,312)-MAX('Activities'!K603,306))</x:f>
        <x:v>0</x:v>
      </x:c>
      <x:c r="BE603" s="23" t="n">
        <x:f>MAX(0,MIN('Activities'!L603,318)-MAX('Activities'!K603,312))</x:f>
        <x:v>0</x:v>
      </x:c>
      <x:c r="BF603" s="23" t="n">
        <x:f>MAX(0,MIN('Activities'!L603,324)-MAX('Activities'!K603,318))</x:f>
        <x:v>0</x:v>
      </x:c>
      <x:c r="BG603" s="23" t="n">
        <x:f>MAX(0,MIN('Activities'!L603,330)-MAX('Activities'!K603,324))</x:f>
        <x:v>0</x:v>
      </x:c>
      <x:c r="BH603" s="23" t="n">
        <x:f>MAX(0,MIN('Activities'!L603,336)-MAX('Activities'!K603,330))</x:f>
        <x:v>0</x:v>
      </x:c>
      <x:c r="BI603" s="23" t="n">
        <x:f>MAX(0,MIN('Activities'!L603,342)-MAX('Activities'!K603,336))</x:f>
        <x:v>0</x:v>
      </x:c>
      <x:c r="BJ603" s="23" t="n">
        <x:f>MAX(0,MIN('Activities'!L603,348)-MAX('Activities'!K603,342))</x:f>
        <x:v>0</x:v>
      </x:c>
      <x:c r="BK603" s="23" t="n">
        <x:f>MAX(0,MIN('Activities'!L603,354)-MAX('Activities'!K603,348))</x:f>
        <x:v>0</x:v>
      </x:c>
      <x:c r="BL603" s="23" t="n">
        <x:f>MAX(0,MIN('Activities'!L603,360)-MAX('Activities'!K603,354))</x:f>
        <x:v>0</x:v>
      </x:c>
      <x:c r="BM603" s="23" t="n">
        <x:f>MAX(0,MIN('Activities'!L603,366)-MAX('Activities'!K603,360))</x:f>
        <x:v>0</x:v>
      </x:c>
      <x:c r="BN603" s="23" t="n">
        <x:f>MAX(0,MIN('Activities'!L603,372)-MAX('Activities'!K603,366))</x:f>
        <x:v>0</x:v>
      </x:c>
      <x:c r="BO603" s="23" t="n">
        <x:f>MAX(0,MIN('Activities'!L603,378)-MAX('Activities'!K603,372))</x:f>
        <x:v>0</x:v>
      </x:c>
      <x:c r="BP603" s="23" t="n">
        <x:f>MAX(0,MIN('Activities'!L603,384)-MAX('Activities'!K603,378))</x:f>
        <x:v>0</x:v>
      </x:c>
      <x:c r="BQ603" s="23" t="n">
        <x:f>MAX(0,MIN('Activities'!L603,390)-MAX('Activities'!K603,384))</x:f>
        <x:v>0</x:v>
      </x:c>
      <x:c r="BR603" s="23" t="n">
        <x:f>MAX(0,MIN('Activities'!L603,396)-MAX('Activities'!K603,390))</x:f>
        <x:v>0</x:v>
      </x:c>
      <x:c r="BS603" s="23" t="n">
        <x:f>MAX(0,MIN('Activities'!L603,402)-MAX('Activities'!K603,396))</x:f>
        <x:v>0</x:v>
      </x:c>
      <x:c r="BT603" s="23" t="n">
        <x:f>MAX(0,MIN('Activities'!L603,408)-MAX('Activities'!K603,402))</x:f>
        <x:v>0</x:v>
      </x:c>
      <x:c r="BU603" s="23" t="n">
        <x:f>MAX(0,MIN('Activities'!L603,414)-MAX('Activities'!K603,408))</x:f>
        <x:v>0</x:v>
      </x:c>
      <x:c r="BV603" s="23" t="n">
        <x:f>MAX(0,MIN('Activities'!L603,420)-MAX('Activities'!K603,414))</x:f>
        <x:v>0</x:v>
      </x:c>
      <x:c r="BW603" s="23" t="n">
        <x:f>MAX(0,MIN('Activities'!L603,426)-MAX('Activities'!K603,420))</x:f>
        <x:v>0</x:v>
      </x:c>
      <x:c r="BX603" s="23" t="n">
        <x:f>MAX(0,MIN('Activities'!L603,432)-MAX('Activities'!K603,426))</x:f>
        <x:v>0</x:v>
      </x:c>
      <x:c r="BY603" s="23" t="n">
        <x:f>MAX(0,MIN('Activities'!L603,438)-MAX('Activities'!K603,432))</x:f>
        <x:v>0</x:v>
      </x:c>
      <x:c r="BZ603" s="23" t="n">
        <x:f>MAX(0,MIN('Activities'!L603,444)-MAX('Activities'!K603,438))</x:f>
        <x:v>0</x:v>
      </x:c>
      <x:c r="CA603" s="23" t="n">
        <x:f>MAX(0,MIN('Activities'!L603,450)-MAX('Activities'!K603,444))</x:f>
        <x:v>0</x:v>
      </x:c>
      <x:c r="CB603" s="23" t="n">
        <x:f>MAX(0,MIN('Activities'!L603,456)-MAX('Activities'!K603,450))</x:f>
        <x:v>0</x:v>
      </x:c>
      <x:c r="CC603" s="23" t="n">
        <x:f>MAX(0,MIN('Activities'!L603,462)-MAX('Activities'!K603,456))</x:f>
        <x:v>0</x:v>
      </x:c>
      <x:c r="CD603" s="23" t="n">
        <x:f>MAX(0,MIN('Activities'!L603,468)-MAX('Activities'!K603,462))</x:f>
        <x:v>0</x:v>
      </x:c>
      <x:c r="CE603" s="23" t="n">
        <x:f>MAX(0,MIN('Activities'!L603,474)-MAX('Activities'!K603,468))</x:f>
        <x:v>0</x:v>
      </x:c>
      <x:c r="CF603" s="23" t="n">
        <x:f>MAX(0,MIN('Activities'!L603,480)-MAX('Activities'!K603,474))</x:f>
        <x:v>0</x:v>
      </x:c>
      <x:c r="CG603" s="23" t="n">
        <x:f>MAX(0,MIN('Activities'!L603,486)-MAX('Activities'!K603,480))</x:f>
        <x:v>0</x:v>
      </x:c>
      <x:c r="CH603" s="23" t="n">
        <x:f>MAX(0,MIN('Activities'!L603,492)-MAX('Activities'!K603,486))</x:f>
        <x:v>0</x:v>
      </x:c>
      <x:c r="CI603" s="23" t="n">
        <x:f>MAX(0,MIN('Activities'!L603,498)-MAX('Activities'!K603,492))</x:f>
        <x:v>0</x:v>
      </x:c>
      <x:c r="CJ603" s="23" t="n">
        <x:f>MAX(0,MIN('Activities'!L603,504)-MAX('Activities'!K603,498))</x:f>
        <x:v>0</x:v>
      </x:c>
      <x:c r="CK603" s="23" t="n">
        <x:f>MAX(0,MIN('Activities'!L603,510)-MAX('Activities'!K603,504))</x:f>
        <x:v>0</x:v>
      </x:c>
      <x:c r="CL603" s="23" t="n">
        <x:f>MAX(0,MIN('Activities'!L603,516)-MAX('Activities'!K603,510))</x:f>
        <x:v>0</x:v>
      </x:c>
      <x:c r="CM603" s="23" t="n">
        <x:f>MAX(0,MIN('Activities'!L603,522)-MAX('Activities'!K603,516))</x:f>
        <x:v>0</x:v>
      </x:c>
      <x:c r="CN603" s="23" t="n">
        <x:f>MAX(0,MIN('Activities'!L603,528)-MAX('Activities'!K603,522))</x:f>
        <x:v>0</x:v>
      </x:c>
      <x:c r="CO603" s="23" t="n">
        <x:f>MAX(0,MIN('Activities'!L603,534)-MAX('Activities'!K603,528))</x:f>
        <x:v>0</x:v>
      </x:c>
      <x:c r="CP603" s="23" t="n">
        <x:f>MAX(0,MIN('Activities'!L603,540)-MAX('Activities'!K603,534))</x:f>
        <x:v>0</x:v>
      </x:c>
      <x:c r="CQ603" s="23" t="n">
        <x:f>MAX(0,MIN('Activities'!L603,546)-MAX('Activities'!K603,540))</x:f>
        <x:v>0</x:v>
      </x:c>
      <x:c r="CR603" s="23" t="n">
        <x:f>MAX(0,MIN('Activities'!L603,552)-MAX('Activities'!K603,546))</x:f>
        <x:v>0</x:v>
      </x:c>
      <x:c r="CS603" s="23" t="n">
        <x:f>MAX(0,MIN('Activities'!L603,558)-MAX('Activities'!K603,552))</x:f>
        <x:v>0</x:v>
      </x:c>
      <x:c r="CT603" s="23" t="n">
        <x:f>MAX(0,MIN('Activities'!L603,564)-MAX('Activities'!K603,558))</x:f>
        <x:v>0</x:v>
      </x:c>
      <x:c r="CU603" s="23" t="n">
        <x:f>MAX(0,MIN('Activities'!L603,570)-MAX('Activities'!K603,564))</x:f>
        <x:v>0</x:v>
      </x:c>
      <x:c r="CV603" s="23" t="n">
        <x:f>MAX(0,MIN('Activities'!L603,576)-MAX('Activities'!K603,570))</x:f>
        <x:v>0</x:v>
      </x:c>
      <x:c r="CW603" s="23" t="n">
        <x:f>MAX(0,MIN('Activities'!L603,582)-MAX('Activities'!K603,576))</x:f>
        <x:v>0</x:v>
      </x:c>
      <x:c r="CX603" s="23" t="n">
        <x:f>MAX(0,MIN('Activities'!L603,588)-MAX('Activities'!K603,582))</x:f>
        <x:v>0</x:v>
      </x:c>
      <x:c r="CY603" s="23" t="n">
        <x:f>MAX(0,MIN('Activities'!L603,594)-MAX('Activities'!K603,588))</x:f>
        <x:v>0</x:v>
      </x:c>
      <x:c r="CZ603" s="23" t="n">
        <x:f>MAX(0,MIN('Activities'!L603,600)-MAX('Activities'!K603,594))</x:f>
        <x:v>0</x:v>
      </x:c>
      <x:c r="DA603" s="23" t="n">
        <x:f>MAX(0,MIN('Activities'!L603,606)-MAX('Activities'!K603,600))</x:f>
        <x:v>0</x:v>
      </x:c>
      <x:c r="DB603" s="23" t="n">
        <x:f>MAX(0,MIN('Activities'!L603,612)-MAX('Activities'!K603,606))</x:f>
        <x:v>0</x:v>
      </x:c>
      <x:c r="DC603" s="23" t="n">
        <x:f>MAX(0,MIN('Activities'!L603,618)-MAX('Activities'!K603,612))</x:f>
        <x:v>0</x:v>
      </x:c>
      <x:c r="DD603" s="23" t="n">
        <x:f>MAX(0,MIN('Activities'!L603,624)-MAX('Activities'!K603,618))</x:f>
        <x:v>0</x:v>
      </x:c>
      <x:c r="DE603" s="23" t="n">
        <x:f>MAX(0,MIN('Activities'!L603,630)-MAX('Activities'!K603,624))</x:f>
        <x:v>0</x:v>
      </x:c>
      <x:c r="DF603" s="23" t="n">
        <x:f>MAX(0,MIN('Activities'!L603,636)-MAX('Activities'!K603,630))</x:f>
        <x:v>0</x:v>
      </x:c>
    </x:row>
    <x:row r="604" ht="23" customHeight="1">
      <x:c r="A604" s="6" t="str">
        <x:v>T5-L00-P</x:v>
      </x:c>
      <x:c r="B604" s="6" t="str">
        <x:v>T5</x:v>
      </x:c>
      <x:c r="C604" s="6" t="str">
        <x:v>Internal plaster</x:v>
      </x:c>
      <x:c r="D604" s="6" t="str">
        <x:v>Finishes</x:v>
      </x:c>
      <x:c r="E604" s="22" t="n">
        <x:f>MAX(0,MIN('Activities'!L604,6)-MAX('Activities'!K604,0))</x:f>
        <x:v>0</x:v>
      </x:c>
      <x:c r="F604" s="22" t="n">
        <x:f>MAX(0,MIN('Activities'!L604,12)-MAX('Activities'!K604,6))</x:f>
        <x:v>0</x:v>
      </x:c>
      <x:c r="G604" s="22" t="n">
        <x:f>MAX(0,MIN('Activities'!L604,18)-MAX('Activities'!K604,12))</x:f>
        <x:v>0</x:v>
      </x:c>
      <x:c r="H604" s="22" t="n">
        <x:f>MAX(0,MIN('Activities'!L604,24)-MAX('Activities'!K604,18))</x:f>
        <x:v>0</x:v>
      </x:c>
      <x:c r="I604" s="22" t="n">
        <x:f>MAX(0,MIN('Activities'!L604,30)-MAX('Activities'!K604,24))</x:f>
        <x:v>0</x:v>
      </x:c>
      <x:c r="J604" s="22" t="n">
        <x:f>MAX(0,MIN('Activities'!L604,36)-MAX('Activities'!K604,30))</x:f>
        <x:v>0</x:v>
      </x:c>
      <x:c r="K604" s="22" t="n">
        <x:f>MAX(0,MIN('Activities'!L604,42)-MAX('Activities'!K604,36))</x:f>
        <x:v>0</x:v>
      </x:c>
      <x:c r="L604" s="22" t="n">
        <x:f>MAX(0,MIN('Activities'!L604,48)-MAX('Activities'!K604,42))</x:f>
        <x:v>0</x:v>
      </x:c>
      <x:c r="M604" s="22" t="n">
        <x:f>MAX(0,MIN('Activities'!L604,54)-MAX('Activities'!K604,48))</x:f>
        <x:v>0</x:v>
      </x:c>
      <x:c r="N604" s="22" t="n">
        <x:f>MAX(0,MIN('Activities'!L604,60)-MAX('Activities'!K604,54))</x:f>
        <x:v>0</x:v>
      </x:c>
      <x:c r="O604" s="22" t="n">
        <x:f>MAX(0,MIN('Activities'!L604,66)-MAX('Activities'!K604,60))</x:f>
        <x:v>0</x:v>
      </x:c>
      <x:c r="P604" s="22" t="n">
        <x:f>MAX(0,MIN('Activities'!L604,72)-MAX('Activities'!K604,66))</x:f>
        <x:v>0</x:v>
      </x:c>
      <x:c r="Q604" s="22" t="n">
        <x:f>MAX(0,MIN('Activities'!L604,78)-MAX('Activities'!K604,72))</x:f>
        <x:v>0</x:v>
      </x:c>
      <x:c r="R604" s="22" t="n">
        <x:f>MAX(0,MIN('Activities'!L604,84)-MAX('Activities'!K604,78))</x:f>
        <x:v>0</x:v>
      </x:c>
      <x:c r="S604" s="22" t="n">
        <x:f>MAX(0,MIN('Activities'!L604,90)-MAX('Activities'!K604,84))</x:f>
        <x:v>0</x:v>
      </x:c>
      <x:c r="T604" s="22" t="n">
        <x:f>MAX(0,MIN('Activities'!L604,96)-MAX('Activities'!K604,90))</x:f>
        <x:v>0</x:v>
      </x:c>
      <x:c r="U604" s="22" t="n">
        <x:f>MAX(0,MIN('Activities'!L604,102)-MAX('Activities'!K604,96))</x:f>
        <x:v>0</x:v>
      </x:c>
      <x:c r="V604" s="22" t="n">
        <x:f>MAX(0,MIN('Activities'!L604,108)-MAX('Activities'!K604,102))</x:f>
        <x:v>0</x:v>
      </x:c>
      <x:c r="W604" s="22" t="n">
        <x:f>MAX(0,MIN('Activities'!L604,114)-MAX('Activities'!K604,108))</x:f>
        <x:v>0</x:v>
      </x:c>
      <x:c r="X604" s="22" t="n">
        <x:f>MAX(0,MIN('Activities'!L604,120)-MAX('Activities'!K604,114))</x:f>
        <x:v>0</x:v>
      </x:c>
      <x:c r="Y604" s="22" t="n">
        <x:f>MAX(0,MIN('Activities'!L604,126)-MAX('Activities'!K604,120))</x:f>
        <x:v>0</x:v>
      </x:c>
      <x:c r="Z604" s="22" t="n">
        <x:f>MAX(0,MIN('Activities'!L604,132)-MAX('Activities'!K604,126))</x:f>
        <x:v>0</x:v>
      </x:c>
      <x:c r="AA604" s="22" t="n">
        <x:f>MAX(0,MIN('Activities'!L604,138)-MAX('Activities'!K604,132))</x:f>
        <x:v>0</x:v>
      </x:c>
      <x:c r="AB604" s="22" t="n">
        <x:f>MAX(0,MIN('Activities'!L604,144)-MAX('Activities'!K604,138))</x:f>
        <x:v>0</x:v>
      </x:c>
      <x:c r="AC604" s="22" t="n">
        <x:f>MAX(0,MIN('Activities'!L604,150)-MAX('Activities'!K604,144))</x:f>
        <x:v>0</x:v>
      </x:c>
      <x:c r="AD604" s="22" t="n">
        <x:f>MAX(0,MIN('Activities'!L604,156)-MAX('Activities'!K604,150))</x:f>
        <x:v>0</x:v>
      </x:c>
      <x:c r="AE604" s="22" t="n">
        <x:f>MAX(0,MIN('Activities'!L604,162)-MAX('Activities'!K604,156))</x:f>
        <x:v>0</x:v>
      </x:c>
      <x:c r="AF604" s="22" t="n">
        <x:f>MAX(0,MIN('Activities'!L604,168)-MAX('Activities'!K604,162))</x:f>
        <x:v>0</x:v>
      </x:c>
      <x:c r="AG604" s="22" t="n">
        <x:f>MAX(0,MIN('Activities'!L604,174)-MAX('Activities'!K604,168))</x:f>
        <x:v>0</x:v>
      </x:c>
      <x:c r="AH604" s="22" t="n">
        <x:f>MAX(0,MIN('Activities'!L604,180)-MAX('Activities'!K604,174))</x:f>
        <x:v>0</x:v>
      </x:c>
      <x:c r="AI604" s="22" t="n">
        <x:f>MAX(0,MIN('Activities'!L604,186)-MAX('Activities'!K604,180))</x:f>
        <x:v>0</x:v>
      </x:c>
      <x:c r="AJ604" s="22" t="n">
        <x:f>MAX(0,MIN('Activities'!L604,192)-MAX('Activities'!K604,186))</x:f>
        <x:v>0</x:v>
      </x:c>
      <x:c r="AK604" s="22" t="n">
        <x:f>MAX(0,MIN('Activities'!L604,198)-MAX('Activities'!K604,192))</x:f>
        <x:v>0</x:v>
      </x:c>
      <x:c r="AL604" s="22" t="n">
        <x:f>MAX(0,MIN('Activities'!L604,204)-MAX('Activities'!K604,198))</x:f>
        <x:v>0</x:v>
      </x:c>
      <x:c r="AM604" s="22" t="n">
        <x:f>MAX(0,MIN('Activities'!L604,210)-MAX('Activities'!K604,204))</x:f>
        <x:v>0</x:v>
      </x:c>
      <x:c r="AN604" s="22" t="n">
        <x:f>MAX(0,MIN('Activities'!L604,216)-MAX('Activities'!K604,210))</x:f>
        <x:v>0</x:v>
      </x:c>
      <x:c r="AO604" s="22" t="n">
        <x:f>MAX(0,MIN('Activities'!L604,222)-MAX('Activities'!K604,216))</x:f>
        <x:v>0</x:v>
      </x:c>
      <x:c r="AP604" s="22" t="n">
        <x:f>MAX(0,MIN('Activities'!L604,228)-MAX('Activities'!K604,222))</x:f>
        <x:v>0</x:v>
      </x:c>
      <x:c r="AQ604" s="22" t="n">
        <x:f>MAX(0,MIN('Activities'!L604,234)-MAX('Activities'!K604,228))</x:f>
        <x:v>0</x:v>
      </x:c>
      <x:c r="AR604" s="22" t="n">
        <x:f>MAX(0,MIN('Activities'!L604,240)-MAX('Activities'!K604,234))</x:f>
        <x:v>0</x:v>
      </x:c>
      <x:c r="AS604" s="22" t="n">
        <x:f>MAX(0,MIN('Activities'!L604,246)-MAX('Activities'!K604,240))</x:f>
        <x:v>0</x:v>
      </x:c>
      <x:c r="AT604" s="22" t="n">
        <x:f>MAX(0,MIN('Activities'!L604,252)-MAX('Activities'!K604,246))</x:f>
        <x:v>0</x:v>
      </x:c>
      <x:c r="AU604" s="22" t="n">
        <x:f>MAX(0,MIN('Activities'!L604,258)-MAX('Activities'!K604,252))</x:f>
        <x:v>0</x:v>
      </x:c>
      <x:c r="AV604" s="22" t="n">
        <x:f>MAX(0,MIN('Activities'!L604,264)-MAX('Activities'!K604,258))</x:f>
        <x:v>0</x:v>
      </x:c>
      <x:c r="AW604" s="22" t="n">
        <x:f>MAX(0,MIN('Activities'!L604,270)-MAX('Activities'!K604,264))</x:f>
        <x:v>3</x:v>
      </x:c>
      <x:c r="AX604" s="22" t="n">
        <x:f>MAX(0,MIN('Activities'!L604,276)-MAX('Activities'!K604,270))</x:f>
        <x:v>3</x:v>
      </x:c>
      <x:c r="AY604" s="22" t="n">
        <x:f>MAX(0,MIN('Activities'!L604,282)-MAX('Activities'!K604,276))</x:f>
        <x:v>0</x:v>
      </x:c>
      <x:c r="AZ604" s="22" t="n">
        <x:f>MAX(0,MIN('Activities'!L604,288)-MAX('Activities'!K604,282))</x:f>
        <x:v>0</x:v>
      </x:c>
      <x:c r="BA604" s="22" t="n">
        <x:f>MAX(0,MIN('Activities'!L604,294)-MAX('Activities'!K604,288))</x:f>
        <x:v>0</x:v>
      </x:c>
      <x:c r="BB604" s="22" t="n">
        <x:f>MAX(0,MIN('Activities'!L604,300)-MAX('Activities'!K604,294))</x:f>
        <x:v>0</x:v>
      </x:c>
      <x:c r="BC604" s="22" t="n">
        <x:f>MAX(0,MIN('Activities'!L604,306)-MAX('Activities'!K604,300))</x:f>
        <x:v>0</x:v>
      </x:c>
      <x:c r="BD604" s="22" t="n">
        <x:f>MAX(0,MIN('Activities'!L604,312)-MAX('Activities'!K604,306))</x:f>
        <x:v>0</x:v>
      </x:c>
      <x:c r="BE604" s="22" t="n">
        <x:f>MAX(0,MIN('Activities'!L604,318)-MAX('Activities'!K604,312))</x:f>
        <x:v>0</x:v>
      </x:c>
      <x:c r="BF604" s="22" t="n">
        <x:f>MAX(0,MIN('Activities'!L604,324)-MAX('Activities'!K604,318))</x:f>
        <x:v>0</x:v>
      </x:c>
      <x:c r="BG604" s="22" t="n">
        <x:f>MAX(0,MIN('Activities'!L604,330)-MAX('Activities'!K604,324))</x:f>
        <x:v>0</x:v>
      </x:c>
      <x:c r="BH604" s="22" t="n">
        <x:f>MAX(0,MIN('Activities'!L604,336)-MAX('Activities'!K604,330))</x:f>
        <x:v>0</x:v>
      </x:c>
      <x:c r="BI604" s="22" t="n">
        <x:f>MAX(0,MIN('Activities'!L604,342)-MAX('Activities'!K604,336))</x:f>
        <x:v>0</x:v>
      </x:c>
      <x:c r="BJ604" s="22" t="n">
        <x:f>MAX(0,MIN('Activities'!L604,348)-MAX('Activities'!K604,342))</x:f>
        <x:v>0</x:v>
      </x:c>
      <x:c r="BK604" s="22" t="n">
        <x:f>MAX(0,MIN('Activities'!L604,354)-MAX('Activities'!K604,348))</x:f>
        <x:v>0</x:v>
      </x:c>
      <x:c r="BL604" s="22" t="n">
        <x:f>MAX(0,MIN('Activities'!L604,360)-MAX('Activities'!K604,354))</x:f>
        <x:v>0</x:v>
      </x:c>
      <x:c r="BM604" s="22" t="n">
        <x:f>MAX(0,MIN('Activities'!L604,366)-MAX('Activities'!K604,360))</x:f>
        <x:v>0</x:v>
      </x:c>
      <x:c r="BN604" s="22" t="n">
        <x:f>MAX(0,MIN('Activities'!L604,372)-MAX('Activities'!K604,366))</x:f>
        <x:v>0</x:v>
      </x:c>
      <x:c r="BO604" s="22" t="n">
        <x:f>MAX(0,MIN('Activities'!L604,378)-MAX('Activities'!K604,372))</x:f>
        <x:v>0</x:v>
      </x:c>
      <x:c r="BP604" s="22" t="n">
        <x:f>MAX(0,MIN('Activities'!L604,384)-MAX('Activities'!K604,378))</x:f>
        <x:v>0</x:v>
      </x:c>
      <x:c r="BQ604" s="22" t="n">
        <x:f>MAX(0,MIN('Activities'!L604,390)-MAX('Activities'!K604,384))</x:f>
        <x:v>0</x:v>
      </x:c>
      <x:c r="BR604" s="22" t="n">
        <x:f>MAX(0,MIN('Activities'!L604,396)-MAX('Activities'!K604,390))</x:f>
        <x:v>0</x:v>
      </x:c>
      <x:c r="BS604" s="22" t="n">
        <x:f>MAX(0,MIN('Activities'!L604,402)-MAX('Activities'!K604,396))</x:f>
        <x:v>0</x:v>
      </x:c>
      <x:c r="BT604" s="22" t="n">
        <x:f>MAX(0,MIN('Activities'!L604,408)-MAX('Activities'!K604,402))</x:f>
        <x:v>0</x:v>
      </x:c>
      <x:c r="BU604" s="22" t="n">
        <x:f>MAX(0,MIN('Activities'!L604,414)-MAX('Activities'!K604,408))</x:f>
        <x:v>0</x:v>
      </x:c>
      <x:c r="BV604" s="22" t="n">
        <x:f>MAX(0,MIN('Activities'!L604,420)-MAX('Activities'!K604,414))</x:f>
        <x:v>0</x:v>
      </x:c>
      <x:c r="BW604" s="22" t="n">
        <x:f>MAX(0,MIN('Activities'!L604,426)-MAX('Activities'!K604,420))</x:f>
        <x:v>0</x:v>
      </x:c>
      <x:c r="BX604" s="22" t="n">
        <x:f>MAX(0,MIN('Activities'!L604,432)-MAX('Activities'!K604,426))</x:f>
        <x:v>0</x:v>
      </x:c>
      <x:c r="BY604" s="22" t="n">
        <x:f>MAX(0,MIN('Activities'!L604,438)-MAX('Activities'!K604,432))</x:f>
        <x:v>0</x:v>
      </x:c>
      <x:c r="BZ604" s="22" t="n">
        <x:f>MAX(0,MIN('Activities'!L604,444)-MAX('Activities'!K604,438))</x:f>
        <x:v>0</x:v>
      </x:c>
      <x:c r="CA604" s="22" t="n">
        <x:f>MAX(0,MIN('Activities'!L604,450)-MAX('Activities'!K604,444))</x:f>
        <x:v>0</x:v>
      </x:c>
      <x:c r="CB604" s="22" t="n">
        <x:f>MAX(0,MIN('Activities'!L604,456)-MAX('Activities'!K604,450))</x:f>
        <x:v>0</x:v>
      </x:c>
      <x:c r="CC604" s="22" t="n">
        <x:f>MAX(0,MIN('Activities'!L604,462)-MAX('Activities'!K604,456))</x:f>
        <x:v>0</x:v>
      </x:c>
      <x:c r="CD604" s="22" t="n">
        <x:f>MAX(0,MIN('Activities'!L604,468)-MAX('Activities'!K604,462))</x:f>
        <x:v>0</x:v>
      </x:c>
      <x:c r="CE604" s="22" t="n">
        <x:f>MAX(0,MIN('Activities'!L604,474)-MAX('Activities'!K604,468))</x:f>
        <x:v>0</x:v>
      </x:c>
      <x:c r="CF604" s="22" t="n">
        <x:f>MAX(0,MIN('Activities'!L604,480)-MAX('Activities'!K604,474))</x:f>
        <x:v>0</x:v>
      </x:c>
      <x:c r="CG604" s="22" t="n">
        <x:f>MAX(0,MIN('Activities'!L604,486)-MAX('Activities'!K604,480))</x:f>
        <x:v>0</x:v>
      </x:c>
      <x:c r="CH604" s="22" t="n">
        <x:f>MAX(0,MIN('Activities'!L604,492)-MAX('Activities'!K604,486))</x:f>
        <x:v>0</x:v>
      </x:c>
      <x:c r="CI604" s="22" t="n">
        <x:f>MAX(0,MIN('Activities'!L604,498)-MAX('Activities'!K604,492))</x:f>
        <x:v>0</x:v>
      </x:c>
      <x:c r="CJ604" s="22" t="n">
        <x:f>MAX(0,MIN('Activities'!L604,504)-MAX('Activities'!K604,498))</x:f>
        <x:v>0</x:v>
      </x:c>
      <x:c r="CK604" s="22" t="n">
        <x:f>MAX(0,MIN('Activities'!L604,510)-MAX('Activities'!K604,504))</x:f>
        <x:v>0</x:v>
      </x:c>
      <x:c r="CL604" s="22" t="n">
        <x:f>MAX(0,MIN('Activities'!L604,516)-MAX('Activities'!K604,510))</x:f>
        <x:v>0</x:v>
      </x:c>
      <x:c r="CM604" s="22" t="n">
        <x:f>MAX(0,MIN('Activities'!L604,522)-MAX('Activities'!K604,516))</x:f>
        <x:v>0</x:v>
      </x:c>
      <x:c r="CN604" s="22" t="n">
        <x:f>MAX(0,MIN('Activities'!L604,528)-MAX('Activities'!K604,522))</x:f>
        <x:v>0</x:v>
      </x:c>
      <x:c r="CO604" s="22" t="n">
        <x:f>MAX(0,MIN('Activities'!L604,534)-MAX('Activities'!K604,528))</x:f>
        <x:v>0</x:v>
      </x:c>
      <x:c r="CP604" s="22" t="n">
        <x:f>MAX(0,MIN('Activities'!L604,540)-MAX('Activities'!K604,534))</x:f>
        <x:v>0</x:v>
      </x:c>
      <x:c r="CQ604" s="22" t="n">
        <x:f>MAX(0,MIN('Activities'!L604,546)-MAX('Activities'!K604,540))</x:f>
        <x:v>0</x:v>
      </x:c>
      <x:c r="CR604" s="22" t="n">
        <x:f>MAX(0,MIN('Activities'!L604,552)-MAX('Activities'!K604,546))</x:f>
        <x:v>0</x:v>
      </x:c>
      <x:c r="CS604" s="22" t="n">
        <x:f>MAX(0,MIN('Activities'!L604,558)-MAX('Activities'!K604,552))</x:f>
        <x:v>0</x:v>
      </x:c>
      <x:c r="CT604" s="22" t="n">
        <x:f>MAX(0,MIN('Activities'!L604,564)-MAX('Activities'!K604,558))</x:f>
        <x:v>0</x:v>
      </x:c>
      <x:c r="CU604" s="22" t="n">
        <x:f>MAX(0,MIN('Activities'!L604,570)-MAX('Activities'!K604,564))</x:f>
        <x:v>0</x:v>
      </x:c>
      <x:c r="CV604" s="22" t="n">
        <x:f>MAX(0,MIN('Activities'!L604,576)-MAX('Activities'!K604,570))</x:f>
        <x:v>0</x:v>
      </x:c>
      <x:c r="CW604" s="22" t="n">
        <x:f>MAX(0,MIN('Activities'!L604,582)-MAX('Activities'!K604,576))</x:f>
        <x:v>0</x:v>
      </x:c>
      <x:c r="CX604" s="22" t="n">
        <x:f>MAX(0,MIN('Activities'!L604,588)-MAX('Activities'!K604,582))</x:f>
        <x:v>0</x:v>
      </x:c>
      <x:c r="CY604" s="22" t="n">
        <x:f>MAX(0,MIN('Activities'!L604,594)-MAX('Activities'!K604,588))</x:f>
        <x:v>0</x:v>
      </x:c>
      <x:c r="CZ604" s="22" t="n">
        <x:f>MAX(0,MIN('Activities'!L604,600)-MAX('Activities'!K604,594))</x:f>
        <x:v>0</x:v>
      </x:c>
      <x:c r="DA604" s="22" t="n">
        <x:f>MAX(0,MIN('Activities'!L604,606)-MAX('Activities'!K604,600))</x:f>
        <x:v>0</x:v>
      </x:c>
      <x:c r="DB604" s="22" t="n">
        <x:f>MAX(0,MIN('Activities'!L604,612)-MAX('Activities'!K604,606))</x:f>
        <x:v>0</x:v>
      </x:c>
      <x:c r="DC604" s="22" t="n">
        <x:f>MAX(0,MIN('Activities'!L604,618)-MAX('Activities'!K604,612))</x:f>
        <x:v>0</x:v>
      </x:c>
      <x:c r="DD604" s="22" t="n">
        <x:f>MAX(0,MIN('Activities'!L604,624)-MAX('Activities'!K604,618))</x:f>
        <x:v>0</x:v>
      </x:c>
      <x:c r="DE604" s="22" t="n">
        <x:f>MAX(0,MIN('Activities'!L604,630)-MAX('Activities'!K604,624))</x:f>
        <x:v>0</x:v>
      </x:c>
      <x:c r="DF604" s="22" t="n">
        <x:f>MAX(0,MIN('Activities'!L604,636)-MAX('Activities'!K604,630))</x:f>
        <x:v>0</x:v>
      </x:c>
    </x:row>
    <x:row r="605" ht="23" customHeight="1">
      <x:c r="A605" s="1" t="str">
        <x:v>T5-L00-S</x:v>
      </x:c>
      <x:c r="B605" s="1" t="str">
        <x:v>T5</x:v>
      </x:c>
      <x:c r="C605" s="1" t="str">
        <x:v>Screed and substrate preparation</x:v>
      </x:c>
      <x:c r="D605" s="1" t="str">
        <x:v>Finishes</x:v>
      </x:c>
      <x:c r="E605" s="23" t="n">
        <x:f>MAX(0,MIN('Activities'!L605,6)-MAX('Activities'!K605,0))</x:f>
        <x:v>0</x:v>
      </x:c>
      <x:c r="F605" s="23" t="n">
        <x:f>MAX(0,MIN('Activities'!L605,12)-MAX('Activities'!K605,6))</x:f>
        <x:v>0</x:v>
      </x:c>
      <x:c r="G605" s="23" t="n">
        <x:f>MAX(0,MIN('Activities'!L605,18)-MAX('Activities'!K605,12))</x:f>
        <x:v>0</x:v>
      </x:c>
      <x:c r="H605" s="23" t="n">
        <x:f>MAX(0,MIN('Activities'!L605,24)-MAX('Activities'!K605,18))</x:f>
        <x:v>0</x:v>
      </x:c>
      <x:c r="I605" s="23" t="n">
        <x:f>MAX(0,MIN('Activities'!L605,30)-MAX('Activities'!K605,24))</x:f>
        <x:v>0</x:v>
      </x:c>
      <x:c r="J605" s="23" t="n">
        <x:f>MAX(0,MIN('Activities'!L605,36)-MAX('Activities'!K605,30))</x:f>
        <x:v>0</x:v>
      </x:c>
      <x:c r="K605" s="23" t="n">
        <x:f>MAX(0,MIN('Activities'!L605,42)-MAX('Activities'!K605,36))</x:f>
        <x:v>0</x:v>
      </x:c>
      <x:c r="L605" s="23" t="n">
        <x:f>MAX(0,MIN('Activities'!L605,48)-MAX('Activities'!K605,42))</x:f>
        <x:v>0</x:v>
      </x:c>
      <x:c r="M605" s="23" t="n">
        <x:f>MAX(0,MIN('Activities'!L605,54)-MAX('Activities'!K605,48))</x:f>
        <x:v>0</x:v>
      </x:c>
      <x:c r="N605" s="23" t="n">
        <x:f>MAX(0,MIN('Activities'!L605,60)-MAX('Activities'!K605,54))</x:f>
        <x:v>0</x:v>
      </x:c>
      <x:c r="O605" s="23" t="n">
        <x:f>MAX(0,MIN('Activities'!L605,66)-MAX('Activities'!K605,60))</x:f>
        <x:v>0</x:v>
      </x:c>
      <x:c r="P605" s="23" t="n">
        <x:f>MAX(0,MIN('Activities'!L605,72)-MAX('Activities'!K605,66))</x:f>
        <x:v>0</x:v>
      </x:c>
      <x:c r="Q605" s="23" t="n">
        <x:f>MAX(0,MIN('Activities'!L605,78)-MAX('Activities'!K605,72))</x:f>
        <x:v>0</x:v>
      </x:c>
      <x:c r="R605" s="23" t="n">
        <x:f>MAX(0,MIN('Activities'!L605,84)-MAX('Activities'!K605,78))</x:f>
        <x:v>0</x:v>
      </x:c>
      <x:c r="S605" s="23" t="n">
        <x:f>MAX(0,MIN('Activities'!L605,90)-MAX('Activities'!K605,84))</x:f>
        <x:v>0</x:v>
      </x:c>
      <x:c r="T605" s="23" t="n">
        <x:f>MAX(0,MIN('Activities'!L605,96)-MAX('Activities'!K605,90))</x:f>
        <x:v>0</x:v>
      </x:c>
      <x:c r="U605" s="23" t="n">
        <x:f>MAX(0,MIN('Activities'!L605,102)-MAX('Activities'!K605,96))</x:f>
        <x:v>0</x:v>
      </x:c>
      <x:c r="V605" s="23" t="n">
        <x:f>MAX(0,MIN('Activities'!L605,108)-MAX('Activities'!K605,102))</x:f>
        <x:v>0</x:v>
      </x:c>
      <x:c r="W605" s="23" t="n">
        <x:f>MAX(0,MIN('Activities'!L605,114)-MAX('Activities'!K605,108))</x:f>
        <x:v>0</x:v>
      </x:c>
      <x:c r="X605" s="23" t="n">
        <x:f>MAX(0,MIN('Activities'!L605,120)-MAX('Activities'!K605,114))</x:f>
        <x:v>0</x:v>
      </x:c>
      <x:c r="Y605" s="23" t="n">
        <x:f>MAX(0,MIN('Activities'!L605,126)-MAX('Activities'!K605,120))</x:f>
        <x:v>0</x:v>
      </x:c>
      <x:c r="Z605" s="23" t="n">
        <x:f>MAX(0,MIN('Activities'!L605,132)-MAX('Activities'!K605,126))</x:f>
        <x:v>0</x:v>
      </x:c>
      <x:c r="AA605" s="23" t="n">
        <x:f>MAX(0,MIN('Activities'!L605,138)-MAX('Activities'!K605,132))</x:f>
        <x:v>0</x:v>
      </x:c>
      <x:c r="AB605" s="23" t="n">
        <x:f>MAX(0,MIN('Activities'!L605,144)-MAX('Activities'!K605,138))</x:f>
        <x:v>0</x:v>
      </x:c>
      <x:c r="AC605" s="23" t="n">
        <x:f>MAX(0,MIN('Activities'!L605,150)-MAX('Activities'!K605,144))</x:f>
        <x:v>0</x:v>
      </x:c>
      <x:c r="AD605" s="23" t="n">
        <x:f>MAX(0,MIN('Activities'!L605,156)-MAX('Activities'!K605,150))</x:f>
        <x:v>0</x:v>
      </x:c>
      <x:c r="AE605" s="23" t="n">
        <x:f>MAX(0,MIN('Activities'!L605,162)-MAX('Activities'!K605,156))</x:f>
        <x:v>0</x:v>
      </x:c>
      <x:c r="AF605" s="23" t="n">
        <x:f>MAX(0,MIN('Activities'!L605,168)-MAX('Activities'!K605,162))</x:f>
        <x:v>0</x:v>
      </x:c>
      <x:c r="AG605" s="23" t="n">
        <x:f>MAX(0,MIN('Activities'!L605,174)-MAX('Activities'!K605,168))</x:f>
        <x:v>0</x:v>
      </x:c>
      <x:c r="AH605" s="23" t="n">
        <x:f>MAX(0,MIN('Activities'!L605,180)-MAX('Activities'!K605,174))</x:f>
        <x:v>0</x:v>
      </x:c>
      <x:c r="AI605" s="23" t="n">
        <x:f>MAX(0,MIN('Activities'!L605,186)-MAX('Activities'!K605,180))</x:f>
        <x:v>0</x:v>
      </x:c>
      <x:c r="AJ605" s="23" t="n">
        <x:f>MAX(0,MIN('Activities'!L605,192)-MAX('Activities'!K605,186))</x:f>
        <x:v>0</x:v>
      </x:c>
      <x:c r="AK605" s="23" t="n">
        <x:f>MAX(0,MIN('Activities'!L605,198)-MAX('Activities'!K605,192))</x:f>
        <x:v>0</x:v>
      </x:c>
      <x:c r="AL605" s="23" t="n">
        <x:f>MAX(0,MIN('Activities'!L605,204)-MAX('Activities'!K605,198))</x:f>
        <x:v>0</x:v>
      </x:c>
      <x:c r="AM605" s="23" t="n">
        <x:f>MAX(0,MIN('Activities'!L605,210)-MAX('Activities'!K605,204))</x:f>
        <x:v>0</x:v>
      </x:c>
      <x:c r="AN605" s="23" t="n">
        <x:f>MAX(0,MIN('Activities'!L605,216)-MAX('Activities'!K605,210))</x:f>
        <x:v>0</x:v>
      </x:c>
      <x:c r="AO605" s="23" t="n">
        <x:f>MAX(0,MIN('Activities'!L605,222)-MAX('Activities'!K605,216))</x:f>
        <x:v>0</x:v>
      </x:c>
      <x:c r="AP605" s="23" t="n">
        <x:f>MAX(0,MIN('Activities'!L605,228)-MAX('Activities'!K605,222))</x:f>
        <x:v>0</x:v>
      </x:c>
      <x:c r="AQ605" s="23" t="n">
        <x:f>MAX(0,MIN('Activities'!L605,234)-MAX('Activities'!K605,228))</x:f>
        <x:v>0</x:v>
      </x:c>
      <x:c r="AR605" s="23" t="n">
        <x:f>MAX(0,MIN('Activities'!L605,240)-MAX('Activities'!K605,234))</x:f>
        <x:v>0</x:v>
      </x:c>
      <x:c r="AS605" s="23" t="n">
        <x:f>MAX(0,MIN('Activities'!L605,246)-MAX('Activities'!K605,240))</x:f>
        <x:v>0</x:v>
      </x:c>
      <x:c r="AT605" s="23" t="n">
        <x:f>MAX(0,MIN('Activities'!L605,252)-MAX('Activities'!K605,246))</x:f>
        <x:v>0</x:v>
      </x:c>
      <x:c r="AU605" s="23" t="n">
        <x:f>MAX(0,MIN('Activities'!L605,258)-MAX('Activities'!K605,252))</x:f>
        <x:v>0</x:v>
      </x:c>
      <x:c r="AV605" s="23" t="n">
        <x:f>MAX(0,MIN('Activities'!L605,264)-MAX('Activities'!K605,258))</x:f>
        <x:v>0</x:v>
      </x:c>
      <x:c r="AW605" s="23" t="n">
        <x:f>MAX(0,MIN('Activities'!L605,270)-MAX('Activities'!K605,264))</x:f>
        <x:v>0</x:v>
      </x:c>
      <x:c r="AX605" s="23" t="n">
        <x:f>MAX(0,MIN('Activities'!L605,276)-MAX('Activities'!K605,270))</x:f>
        <x:v>1</x:v>
      </x:c>
      <x:c r="AY605" s="23" t="n">
        <x:f>MAX(0,MIN('Activities'!L605,282)-MAX('Activities'!K605,276))</x:f>
        <x:v>2</x:v>
      </x:c>
      <x:c r="AZ605" s="23" t="n">
        <x:f>MAX(0,MIN('Activities'!L605,288)-MAX('Activities'!K605,282))</x:f>
        <x:v>0</x:v>
      </x:c>
      <x:c r="BA605" s="23" t="n">
        <x:f>MAX(0,MIN('Activities'!L605,294)-MAX('Activities'!K605,288))</x:f>
        <x:v>0</x:v>
      </x:c>
      <x:c r="BB605" s="23" t="n">
        <x:f>MAX(0,MIN('Activities'!L605,300)-MAX('Activities'!K605,294))</x:f>
        <x:v>0</x:v>
      </x:c>
      <x:c r="BC605" s="23" t="n">
        <x:f>MAX(0,MIN('Activities'!L605,306)-MAX('Activities'!K605,300))</x:f>
        <x:v>0</x:v>
      </x:c>
      <x:c r="BD605" s="23" t="n">
        <x:f>MAX(0,MIN('Activities'!L605,312)-MAX('Activities'!K605,306))</x:f>
        <x:v>0</x:v>
      </x:c>
      <x:c r="BE605" s="23" t="n">
        <x:f>MAX(0,MIN('Activities'!L605,318)-MAX('Activities'!K605,312))</x:f>
        <x:v>0</x:v>
      </x:c>
      <x:c r="BF605" s="23" t="n">
        <x:f>MAX(0,MIN('Activities'!L605,324)-MAX('Activities'!K605,318))</x:f>
        <x:v>0</x:v>
      </x:c>
      <x:c r="BG605" s="23" t="n">
        <x:f>MAX(0,MIN('Activities'!L605,330)-MAX('Activities'!K605,324))</x:f>
        <x:v>0</x:v>
      </x:c>
      <x:c r="BH605" s="23" t="n">
        <x:f>MAX(0,MIN('Activities'!L605,336)-MAX('Activities'!K605,330))</x:f>
        <x:v>0</x:v>
      </x:c>
      <x:c r="BI605" s="23" t="n">
        <x:f>MAX(0,MIN('Activities'!L605,342)-MAX('Activities'!K605,336))</x:f>
        <x:v>0</x:v>
      </x:c>
      <x:c r="BJ605" s="23" t="n">
        <x:f>MAX(0,MIN('Activities'!L605,348)-MAX('Activities'!K605,342))</x:f>
        <x:v>0</x:v>
      </x:c>
      <x:c r="BK605" s="23" t="n">
        <x:f>MAX(0,MIN('Activities'!L605,354)-MAX('Activities'!K605,348))</x:f>
        <x:v>0</x:v>
      </x:c>
      <x:c r="BL605" s="23" t="n">
        <x:f>MAX(0,MIN('Activities'!L605,360)-MAX('Activities'!K605,354))</x:f>
        <x:v>0</x:v>
      </x:c>
      <x:c r="BM605" s="23" t="n">
        <x:f>MAX(0,MIN('Activities'!L605,366)-MAX('Activities'!K605,360))</x:f>
        <x:v>0</x:v>
      </x:c>
      <x:c r="BN605" s="23" t="n">
        <x:f>MAX(0,MIN('Activities'!L605,372)-MAX('Activities'!K605,366))</x:f>
        <x:v>0</x:v>
      </x:c>
      <x:c r="BO605" s="23" t="n">
        <x:f>MAX(0,MIN('Activities'!L605,378)-MAX('Activities'!K605,372))</x:f>
        <x:v>0</x:v>
      </x:c>
      <x:c r="BP605" s="23" t="n">
        <x:f>MAX(0,MIN('Activities'!L605,384)-MAX('Activities'!K605,378))</x:f>
        <x:v>0</x:v>
      </x:c>
      <x:c r="BQ605" s="23" t="n">
        <x:f>MAX(0,MIN('Activities'!L605,390)-MAX('Activities'!K605,384))</x:f>
        <x:v>0</x:v>
      </x:c>
      <x:c r="BR605" s="23" t="n">
        <x:f>MAX(0,MIN('Activities'!L605,396)-MAX('Activities'!K605,390))</x:f>
        <x:v>0</x:v>
      </x:c>
      <x:c r="BS605" s="23" t="n">
        <x:f>MAX(0,MIN('Activities'!L605,402)-MAX('Activities'!K605,396))</x:f>
        <x:v>0</x:v>
      </x:c>
      <x:c r="BT605" s="23" t="n">
        <x:f>MAX(0,MIN('Activities'!L605,408)-MAX('Activities'!K605,402))</x:f>
        <x:v>0</x:v>
      </x:c>
      <x:c r="BU605" s="23" t="n">
        <x:f>MAX(0,MIN('Activities'!L605,414)-MAX('Activities'!K605,408))</x:f>
        <x:v>0</x:v>
      </x:c>
      <x:c r="BV605" s="23" t="n">
        <x:f>MAX(0,MIN('Activities'!L605,420)-MAX('Activities'!K605,414))</x:f>
        <x:v>0</x:v>
      </x:c>
      <x:c r="BW605" s="23" t="n">
        <x:f>MAX(0,MIN('Activities'!L605,426)-MAX('Activities'!K605,420))</x:f>
        <x:v>0</x:v>
      </x:c>
      <x:c r="BX605" s="23" t="n">
        <x:f>MAX(0,MIN('Activities'!L605,432)-MAX('Activities'!K605,426))</x:f>
        <x:v>0</x:v>
      </x:c>
      <x:c r="BY605" s="23" t="n">
        <x:f>MAX(0,MIN('Activities'!L605,438)-MAX('Activities'!K605,432))</x:f>
        <x:v>0</x:v>
      </x:c>
      <x:c r="BZ605" s="23" t="n">
        <x:f>MAX(0,MIN('Activities'!L605,444)-MAX('Activities'!K605,438))</x:f>
        <x:v>0</x:v>
      </x:c>
      <x:c r="CA605" s="23" t="n">
        <x:f>MAX(0,MIN('Activities'!L605,450)-MAX('Activities'!K605,444))</x:f>
        <x:v>0</x:v>
      </x:c>
      <x:c r="CB605" s="23" t="n">
        <x:f>MAX(0,MIN('Activities'!L605,456)-MAX('Activities'!K605,450))</x:f>
        <x:v>0</x:v>
      </x:c>
      <x:c r="CC605" s="23" t="n">
        <x:f>MAX(0,MIN('Activities'!L605,462)-MAX('Activities'!K605,456))</x:f>
        <x:v>0</x:v>
      </x:c>
      <x:c r="CD605" s="23" t="n">
        <x:f>MAX(0,MIN('Activities'!L605,468)-MAX('Activities'!K605,462))</x:f>
        <x:v>0</x:v>
      </x:c>
      <x:c r="CE605" s="23" t="n">
        <x:f>MAX(0,MIN('Activities'!L605,474)-MAX('Activities'!K605,468))</x:f>
        <x:v>0</x:v>
      </x:c>
      <x:c r="CF605" s="23" t="n">
        <x:f>MAX(0,MIN('Activities'!L605,480)-MAX('Activities'!K605,474))</x:f>
        <x:v>0</x:v>
      </x:c>
      <x:c r="CG605" s="23" t="n">
        <x:f>MAX(0,MIN('Activities'!L605,486)-MAX('Activities'!K605,480))</x:f>
        <x:v>0</x:v>
      </x:c>
      <x:c r="CH605" s="23" t="n">
        <x:f>MAX(0,MIN('Activities'!L605,492)-MAX('Activities'!K605,486))</x:f>
        <x:v>0</x:v>
      </x:c>
      <x:c r="CI605" s="23" t="n">
        <x:f>MAX(0,MIN('Activities'!L605,498)-MAX('Activities'!K605,492))</x:f>
        <x:v>0</x:v>
      </x:c>
      <x:c r="CJ605" s="23" t="n">
        <x:f>MAX(0,MIN('Activities'!L605,504)-MAX('Activities'!K605,498))</x:f>
        <x:v>0</x:v>
      </x:c>
      <x:c r="CK605" s="23" t="n">
        <x:f>MAX(0,MIN('Activities'!L605,510)-MAX('Activities'!K605,504))</x:f>
        <x:v>0</x:v>
      </x:c>
      <x:c r="CL605" s="23" t="n">
        <x:f>MAX(0,MIN('Activities'!L605,516)-MAX('Activities'!K605,510))</x:f>
        <x:v>0</x:v>
      </x:c>
      <x:c r="CM605" s="23" t="n">
        <x:f>MAX(0,MIN('Activities'!L605,522)-MAX('Activities'!K605,516))</x:f>
        <x:v>0</x:v>
      </x:c>
      <x:c r="CN605" s="23" t="n">
        <x:f>MAX(0,MIN('Activities'!L605,528)-MAX('Activities'!K605,522))</x:f>
        <x:v>0</x:v>
      </x:c>
      <x:c r="CO605" s="23" t="n">
        <x:f>MAX(0,MIN('Activities'!L605,534)-MAX('Activities'!K605,528))</x:f>
        <x:v>0</x:v>
      </x:c>
      <x:c r="CP605" s="23" t="n">
        <x:f>MAX(0,MIN('Activities'!L605,540)-MAX('Activities'!K605,534))</x:f>
        <x:v>0</x:v>
      </x:c>
      <x:c r="CQ605" s="23" t="n">
        <x:f>MAX(0,MIN('Activities'!L605,546)-MAX('Activities'!K605,540))</x:f>
        <x:v>0</x:v>
      </x:c>
      <x:c r="CR605" s="23" t="n">
        <x:f>MAX(0,MIN('Activities'!L605,552)-MAX('Activities'!K605,546))</x:f>
        <x:v>0</x:v>
      </x:c>
      <x:c r="CS605" s="23" t="n">
        <x:f>MAX(0,MIN('Activities'!L605,558)-MAX('Activities'!K605,552))</x:f>
        <x:v>0</x:v>
      </x:c>
      <x:c r="CT605" s="23" t="n">
        <x:f>MAX(0,MIN('Activities'!L605,564)-MAX('Activities'!K605,558))</x:f>
        <x:v>0</x:v>
      </x:c>
      <x:c r="CU605" s="23" t="n">
        <x:f>MAX(0,MIN('Activities'!L605,570)-MAX('Activities'!K605,564))</x:f>
        <x:v>0</x:v>
      </x:c>
      <x:c r="CV605" s="23" t="n">
        <x:f>MAX(0,MIN('Activities'!L605,576)-MAX('Activities'!K605,570))</x:f>
        <x:v>0</x:v>
      </x:c>
      <x:c r="CW605" s="23" t="n">
        <x:f>MAX(0,MIN('Activities'!L605,582)-MAX('Activities'!K605,576))</x:f>
        <x:v>0</x:v>
      </x:c>
      <x:c r="CX605" s="23" t="n">
        <x:f>MAX(0,MIN('Activities'!L605,588)-MAX('Activities'!K605,582))</x:f>
        <x:v>0</x:v>
      </x:c>
      <x:c r="CY605" s="23" t="n">
        <x:f>MAX(0,MIN('Activities'!L605,594)-MAX('Activities'!K605,588))</x:f>
        <x:v>0</x:v>
      </x:c>
      <x:c r="CZ605" s="23" t="n">
        <x:f>MAX(0,MIN('Activities'!L605,600)-MAX('Activities'!K605,594))</x:f>
        <x:v>0</x:v>
      </x:c>
      <x:c r="DA605" s="23" t="n">
        <x:f>MAX(0,MIN('Activities'!L605,606)-MAX('Activities'!K605,600))</x:f>
        <x:v>0</x:v>
      </x:c>
      <x:c r="DB605" s="23" t="n">
        <x:f>MAX(0,MIN('Activities'!L605,612)-MAX('Activities'!K605,606))</x:f>
        <x:v>0</x:v>
      </x:c>
      <x:c r="DC605" s="23" t="n">
        <x:f>MAX(0,MIN('Activities'!L605,618)-MAX('Activities'!K605,612))</x:f>
        <x:v>0</x:v>
      </x:c>
      <x:c r="DD605" s="23" t="n">
        <x:f>MAX(0,MIN('Activities'!L605,624)-MAX('Activities'!K605,618))</x:f>
        <x:v>0</x:v>
      </x:c>
      <x:c r="DE605" s="23" t="n">
        <x:f>MAX(0,MIN('Activities'!L605,630)-MAX('Activities'!K605,624))</x:f>
        <x:v>0</x:v>
      </x:c>
      <x:c r="DF605" s="23" t="n">
        <x:f>MAX(0,MIN('Activities'!L605,636)-MAX('Activities'!K605,630))</x:f>
        <x:v>0</x:v>
      </x:c>
    </x:row>
    <x:row r="606" ht="23" customHeight="1">
      <x:c r="A606" s="6" t="str">
        <x:v>T5-L00-T</x:v>
      </x:c>
      <x:c r="B606" s="6" t="str">
        <x:v>T5</x:v>
      </x:c>
      <x:c r="C606" s="6" t="str">
        <x:v>Floor finishes and skirtings</x:v>
      </x:c>
      <x:c r="D606" s="6" t="str">
        <x:v>Finishes</x:v>
      </x:c>
      <x:c r="E606" s="22" t="n">
        <x:f>MAX(0,MIN('Activities'!L606,6)-MAX('Activities'!K606,0))</x:f>
        <x:v>0</x:v>
      </x:c>
      <x:c r="F606" s="22" t="n">
        <x:f>MAX(0,MIN('Activities'!L606,12)-MAX('Activities'!K606,6))</x:f>
        <x:v>0</x:v>
      </x:c>
      <x:c r="G606" s="22" t="n">
        <x:f>MAX(0,MIN('Activities'!L606,18)-MAX('Activities'!K606,12))</x:f>
        <x:v>0</x:v>
      </x:c>
      <x:c r="H606" s="22" t="n">
        <x:f>MAX(0,MIN('Activities'!L606,24)-MAX('Activities'!K606,18))</x:f>
        <x:v>0</x:v>
      </x:c>
      <x:c r="I606" s="22" t="n">
        <x:f>MAX(0,MIN('Activities'!L606,30)-MAX('Activities'!K606,24))</x:f>
        <x:v>0</x:v>
      </x:c>
      <x:c r="J606" s="22" t="n">
        <x:f>MAX(0,MIN('Activities'!L606,36)-MAX('Activities'!K606,30))</x:f>
        <x:v>0</x:v>
      </x:c>
      <x:c r="K606" s="22" t="n">
        <x:f>MAX(0,MIN('Activities'!L606,42)-MAX('Activities'!K606,36))</x:f>
        <x:v>0</x:v>
      </x:c>
      <x:c r="L606" s="22" t="n">
        <x:f>MAX(0,MIN('Activities'!L606,48)-MAX('Activities'!K606,42))</x:f>
        <x:v>0</x:v>
      </x:c>
      <x:c r="M606" s="22" t="n">
        <x:f>MAX(0,MIN('Activities'!L606,54)-MAX('Activities'!K606,48))</x:f>
        <x:v>0</x:v>
      </x:c>
      <x:c r="N606" s="22" t="n">
        <x:f>MAX(0,MIN('Activities'!L606,60)-MAX('Activities'!K606,54))</x:f>
        <x:v>0</x:v>
      </x:c>
      <x:c r="O606" s="22" t="n">
        <x:f>MAX(0,MIN('Activities'!L606,66)-MAX('Activities'!K606,60))</x:f>
        <x:v>0</x:v>
      </x:c>
      <x:c r="P606" s="22" t="n">
        <x:f>MAX(0,MIN('Activities'!L606,72)-MAX('Activities'!K606,66))</x:f>
        <x:v>0</x:v>
      </x:c>
      <x:c r="Q606" s="22" t="n">
        <x:f>MAX(0,MIN('Activities'!L606,78)-MAX('Activities'!K606,72))</x:f>
        <x:v>0</x:v>
      </x:c>
      <x:c r="R606" s="22" t="n">
        <x:f>MAX(0,MIN('Activities'!L606,84)-MAX('Activities'!K606,78))</x:f>
        <x:v>0</x:v>
      </x:c>
      <x:c r="S606" s="22" t="n">
        <x:f>MAX(0,MIN('Activities'!L606,90)-MAX('Activities'!K606,84))</x:f>
        <x:v>0</x:v>
      </x:c>
      <x:c r="T606" s="22" t="n">
        <x:f>MAX(0,MIN('Activities'!L606,96)-MAX('Activities'!K606,90))</x:f>
        <x:v>0</x:v>
      </x:c>
      <x:c r="U606" s="22" t="n">
        <x:f>MAX(0,MIN('Activities'!L606,102)-MAX('Activities'!K606,96))</x:f>
        <x:v>0</x:v>
      </x:c>
      <x:c r="V606" s="22" t="n">
        <x:f>MAX(0,MIN('Activities'!L606,108)-MAX('Activities'!K606,102))</x:f>
        <x:v>0</x:v>
      </x:c>
      <x:c r="W606" s="22" t="n">
        <x:f>MAX(0,MIN('Activities'!L606,114)-MAX('Activities'!K606,108))</x:f>
        <x:v>0</x:v>
      </x:c>
      <x:c r="X606" s="22" t="n">
        <x:f>MAX(0,MIN('Activities'!L606,120)-MAX('Activities'!K606,114))</x:f>
        <x:v>0</x:v>
      </x:c>
      <x:c r="Y606" s="22" t="n">
        <x:f>MAX(0,MIN('Activities'!L606,126)-MAX('Activities'!K606,120))</x:f>
        <x:v>0</x:v>
      </x:c>
      <x:c r="Z606" s="22" t="n">
        <x:f>MAX(0,MIN('Activities'!L606,132)-MAX('Activities'!K606,126))</x:f>
        <x:v>0</x:v>
      </x:c>
      <x:c r="AA606" s="22" t="n">
        <x:f>MAX(0,MIN('Activities'!L606,138)-MAX('Activities'!K606,132))</x:f>
        <x:v>0</x:v>
      </x:c>
      <x:c r="AB606" s="22" t="n">
        <x:f>MAX(0,MIN('Activities'!L606,144)-MAX('Activities'!K606,138))</x:f>
        <x:v>0</x:v>
      </x:c>
      <x:c r="AC606" s="22" t="n">
        <x:f>MAX(0,MIN('Activities'!L606,150)-MAX('Activities'!K606,144))</x:f>
        <x:v>0</x:v>
      </x:c>
      <x:c r="AD606" s="22" t="n">
        <x:f>MAX(0,MIN('Activities'!L606,156)-MAX('Activities'!K606,150))</x:f>
        <x:v>0</x:v>
      </x:c>
      <x:c r="AE606" s="22" t="n">
        <x:f>MAX(0,MIN('Activities'!L606,162)-MAX('Activities'!K606,156))</x:f>
        <x:v>0</x:v>
      </x:c>
      <x:c r="AF606" s="22" t="n">
        <x:f>MAX(0,MIN('Activities'!L606,168)-MAX('Activities'!K606,162))</x:f>
        <x:v>0</x:v>
      </x:c>
      <x:c r="AG606" s="22" t="n">
        <x:f>MAX(0,MIN('Activities'!L606,174)-MAX('Activities'!K606,168))</x:f>
        <x:v>0</x:v>
      </x:c>
      <x:c r="AH606" s="22" t="n">
        <x:f>MAX(0,MIN('Activities'!L606,180)-MAX('Activities'!K606,174))</x:f>
        <x:v>0</x:v>
      </x:c>
      <x:c r="AI606" s="22" t="n">
        <x:f>MAX(0,MIN('Activities'!L606,186)-MAX('Activities'!K606,180))</x:f>
        <x:v>0</x:v>
      </x:c>
      <x:c r="AJ606" s="22" t="n">
        <x:f>MAX(0,MIN('Activities'!L606,192)-MAX('Activities'!K606,186))</x:f>
        <x:v>0</x:v>
      </x:c>
      <x:c r="AK606" s="22" t="n">
        <x:f>MAX(0,MIN('Activities'!L606,198)-MAX('Activities'!K606,192))</x:f>
        <x:v>0</x:v>
      </x:c>
      <x:c r="AL606" s="22" t="n">
        <x:f>MAX(0,MIN('Activities'!L606,204)-MAX('Activities'!K606,198))</x:f>
        <x:v>0</x:v>
      </x:c>
      <x:c r="AM606" s="22" t="n">
        <x:f>MAX(0,MIN('Activities'!L606,210)-MAX('Activities'!K606,204))</x:f>
        <x:v>0</x:v>
      </x:c>
      <x:c r="AN606" s="22" t="n">
        <x:f>MAX(0,MIN('Activities'!L606,216)-MAX('Activities'!K606,210))</x:f>
        <x:v>0</x:v>
      </x:c>
      <x:c r="AO606" s="22" t="n">
        <x:f>MAX(0,MIN('Activities'!L606,222)-MAX('Activities'!K606,216))</x:f>
        <x:v>0</x:v>
      </x:c>
      <x:c r="AP606" s="22" t="n">
        <x:f>MAX(0,MIN('Activities'!L606,228)-MAX('Activities'!K606,222))</x:f>
        <x:v>0</x:v>
      </x:c>
      <x:c r="AQ606" s="22" t="n">
        <x:f>MAX(0,MIN('Activities'!L606,234)-MAX('Activities'!K606,228))</x:f>
        <x:v>0</x:v>
      </x:c>
      <x:c r="AR606" s="22" t="n">
        <x:f>MAX(0,MIN('Activities'!L606,240)-MAX('Activities'!K606,234))</x:f>
        <x:v>0</x:v>
      </x:c>
      <x:c r="AS606" s="22" t="n">
        <x:f>MAX(0,MIN('Activities'!L606,246)-MAX('Activities'!K606,240))</x:f>
        <x:v>0</x:v>
      </x:c>
      <x:c r="AT606" s="22" t="n">
        <x:f>MAX(0,MIN('Activities'!L606,252)-MAX('Activities'!K606,246))</x:f>
        <x:v>0</x:v>
      </x:c>
      <x:c r="AU606" s="22" t="n">
        <x:f>MAX(0,MIN('Activities'!L606,258)-MAX('Activities'!K606,252))</x:f>
        <x:v>0</x:v>
      </x:c>
      <x:c r="AV606" s="22" t="n">
        <x:f>MAX(0,MIN('Activities'!L606,264)-MAX('Activities'!K606,258))</x:f>
        <x:v>0</x:v>
      </x:c>
      <x:c r="AW606" s="22" t="n">
        <x:f>MAX(0,MIN('Activities'!L606,270)-MAX('Activities'!K606,264))</x:f>
        <x:v>0</x:v>
      </x:c>
      <x:c r="AX606" s="22" t="n">
        <x:f>MAX(0,MIN('Activities'!L606,276)-MAX('Activities'!K606,270))</x:f>
        <x:v>0</x:v>
      </x:c>
      <x:c r="AY606" s="22" t="n">
        <x:f>MAX(0,MIN('Activities'!L606,282)-MAX('Activities'!K606,276))</x:f>
        <x:v>0</x:v>
      </x:c>
      <x:c r="AZ606" s="22" t="n">
        <x:f>MAX(0,MIN('Activities'!L606,288)-MAX('Activities'!K606,282))</x:f>
        <x:v>0</x:v>
      </x:c>
      <x:c r="BA606" s="22" t="n">
        <x:f>MAX(0,MIN('Activities'!L606,294)-MAX('Activities'!K606,288))</x:f>
        <x:v>0</x:v>
      </x:c>
      <x:c r="BB606" s="22" t="n">
        <x:f>MAX(0,MIN('Activities'!L606,300)-MAX('Activities'!K606,294))</x:f>
        <x:v>0</x:v>
      </x:c>
      <x:c r="BC606" s="22" t="n">
        <x:f>MAX(0,MIN('Activities'!L606,306)-MAX('Activities'!K606,300))</x:f>
        <x:v>0</x:v>
      </x:c>
      <x:c r="BD606" s="22" t="n">
        <x:f>MAX(0,MIN('Activities'!L606,312)-MAX('Activities'!K606,306))</x:f>
        <x:v>0</x:v>
      </x:c>
      <x:c r="BE606" s="22" t="n">
        <x:f>MAX(0,MIN('Activities'!L606,318)-MAX('Activities'!K606,312))</x:f>
        <x:v>0</x:v>
      </x:c>
      <x:c r="BF606" s="22" t="n">
        <x:f>MAX(0,MIN('Activities'!L606,324)-MAX('Activities'!K606,318))</x:f>
        <x:v>0</x:v>
      </x:c>
      <x:c r="BG606" s="22" t="n">
        <x:f>MAX(0,MIN('Activities'!L606,330)-MAX('Activities'!K606,324))</x:f>
        <x:v>0</x:v>
      </x:c>
      <x:c r="BH606" s="22" t="n">
        <x:f>MAX(0,MIN('Activities'!L606,336)-MAX('Activities'!K606,330))</x:f>
        <x:v>0</x:v>
      </x:c>
      <x:c r="BI606" s="22" t="n">
        <x:f>MAX(0,MIN('Activities'!L606,342)-MAX('Activities'!K606,336))</x:f>
        <x:v>0</x:v>
      </x:c>
      <x:c r="BJ606" s="22" t="n">
        <x:f>MAX(0,MIN('Activities'!L606,348)-MAX('Activities'!K606,342))</x:f>
        <x:v>0</x:v>
      </x:c>
      <x:c r="BK606" s="22" t="n">
        <x:f>MAX(0,MIN('Activities'!L606,354)-MAX('Activities'!K606,348))</x:f>
        <x:v>0</x:v>
      </x:c>
      <x:c r="BL606" s="22" t="n">
        <x:f>MAX(0,MIN('Activities'!L606,360)-MAX('Activities'!K606,354))</x:f>
        <x:v>0</x:v>
      </x:c>
      <x:c r="BM606" s="22" t="n">
        <x:f>MAX(0,MIN('Activities'!L606,366)-MAX('Activities'!K606,360))</x:f>
        <x:v>0</x:v>
      </x:c>
      <x:c r="BN606" s="22" t="n">
        <x:f>MAX(0,MIN('Activities'!L606,372)-MAX('Activities'!K606,366))</x:f>
        <x:v>0</x:v>
      </x:c>
      <x:c r="BO606" s="22" t="n">
        <x:f>MAX(0,MIN('Activities'!L606,378)-MAX('Activities'!K606,372))</x:f>
        <x:v>0</x:v>
      </x:c>
      <x:c r="BP606" s="22" t="n">
        <x:f>MAX(0,MIN('Activities'!L606,384)-MAX('Activities'!K606,378))</x:f>
        <x:v>0</x:v>
      </x:c>
      <x:c r="BQ606" s="22" t="n">
        <x:f>MAX(0,MIN('Activities'!L606,390)-MAX('Activities'!K606,384))</x:f>
        <x:v>0</x:v>
      </x:c>
      <x:c r="BR606" s="22" t="n">
        <x:f>MAX(0,MIN('Activities'!L606,396)-MAX('Activities'!K606,390))</x:f>
        <x:v>0</x:v>
      </x:c>
      <x:c r="BS606" s="22" t="n">
        <x:f>MAX(0,MIN('Activities'!L606,402)-MAX('Activities'!K606,396))</x:f>
        <x:v>0</x:v>
      </x:c>
      <x:c r="BT606" s="22" t="n">
        <x:f>MAX(0,MIN('Activities'!L606,408)-MAX('Activities'!K606,402))</x:f>
        <x:v>0</x:v>
      </x:c>
      <x:c r="BU606" s="22" t="n">
        <x:f>MAX(0,MIN('Activities'!L606,414)-MAX('Activities'!K606,408))</x:f>
        <x:v>0</x:v>
      </x:c>
      <x:c r="BV606" s="22" t="n">
        <x:f>MAX(0,MIN('Activities'!L606,420)-MAX('Activities'!K606,414))</x:f>
        <x:v>0</x:v>
      </x:c>
      <x:c r="BW606" s="22" t="n">
        <x:f>MAX(0,MIN('Activities'!L606,426)-MAX('Activities'!K606,420))</x:f>
        <x:v>0</x:v>
      </x:c>
      <x:c r="BX606" s="22" t="n">
        <x:f>MAX(0,MIN('Activities'!L606,432)-MAX('Activities'!K606,426))</x:f>
        <x:v>0</x:v>
      </x:c>
      <x:c r="BY606" s="22" t="n">
        <x:f>MAX(0,MIN('Activities'!L606,438)-MAX('Activities'!K606,432))</x:f>
        <x:v>0</x:v>
      </x:c>
      <x:c r="BZ606" s="22" t="n">
        <x:f>MAX(0,MIN('Activities'!L606,444)-MAX('Activities'!K606,438))</x:f>
        <x:v>0</x:v>
      </x:c>
      <x:c r="CA606" s="22" t="n">
        <x:f>MAX(0,MIN('Activities'!L606,450)-MAX('Activities'!K606,444))</x:f>
        <x:v>1</x:v>
      </x:c>
      <x:c r="CB606" s="22" t="n">
        <x:f>MAX(0,MIN('Activities'!L606,456)-MAX('Activities'!K606,450))</x:f>
        <x:v>5</x:v>
      </x:c>
      <x:c r="CC606" s="22" t="n">
        <x:f>MAX(0,MIN('Activities'!L606,462)-MAX('Activities'!K606,456))</x:f>
        <x:v>0</x:v>
      </x:c>
      <x:c r="CD606" s="22" t="n">
        <x:f>MAX(0,MIN('Activities'!L606,468)-MAX('Activities'!K606,462))</x:f>
        <x:v>0</x:v>
      </x:c>
      <x:c r="CE606" s="22" t="n">
        <x:f>MAX(0,MIN('Activities'!L606,474)-MAX('Activities'!K606,468))</x:f>
        <x:v>0</x:v>
      </x:c>
      <x:c r="CF606" s="22" t="n">
        <x:f>MAX(0,MIN('Activities'!L606,480)-MAX('Activities'!K606,474))</x:f>
        <x:v>0</x:v>
      </x:c>
      <x:c r="CG606" s="22" t="n">
        <x:f>MAX(0,MIN('Activities'!L606,486)-MAX('Activities'!K606,480))</x:f>
        <x:v>0</x:v>
      </x:c>
      <x:c r="CH606" s="22" t="n">
        <x:f>MAX(0,MIN('Activities'!L606,492)-MAX('Activities'!K606,486))</x:f>
        <x:v>0</x:v>
      </x:c>
      <x:c r="CI606" s="22" t="n">
        <x:f>MAX(0,MIN('Activities'!L606,498)-MAX('Activities'!K606,492))</x:f>
        <x:v>0</x:v>
      </x:c>
      <x:c r="CJ606" s="22" t="n">
        <x:f>MAX(0,MIN('Activities'!L606,504)-MAX('Activities'!K606,498))</x:f>
        <x:v>0</x:v>
      </x:c>
      <x:c r="CK606" s="22" t="n">
        <x:f>MAX(0,MIN('Activities'!L606,510)-MAX('Activities'!K606,504))</x:f>
        <x:v>0</x:v>
      </x:c>
      <x:c r="CL606" s="22" t="n">
        <x:f>MAX(0,MIN('Activities'!L606,516)-MAX('Activities'!K606,510))</x:f>
        <x:v>0</x:v>
      </x:c>
      <x:c r="CM606" s="22" t="n">
        <x:f>MAX(0,MIN('Activities'!L606,522)-MAX('Activities'!K606,516))</x:f>
        <x:v>0</x:v>
      </x:c>
      <x:c r="CN606" s="22" t="n">
        <x:f>MAX(0,MIN('Activities'!L606,528)-MAX('Activities'!K606,522))</x:f>
        <x:v>0</x:v>
      </x:c>
      <x:c r="CO606" s="22" t="n">
        <x:f>MAX(0,MIN('Activities'!L606,534)-MAX('Activities'!K606,528))</x:f>
        <x:v>0</x:v>
      </x:c>
      <x:c r="CP606" s="22" t="n">
        <x:f>MAX(0,MIN('Activities'!L606,540)-MAX('Activities'!K606,534))</x:f>
        <x:v>0</x:v>
      </x:c>
      <x:c r="CQ606" s="22" t="n">
        <x:f>MAX(0,MIN('Activities'!L606,546)-MAX('Activities'!K606,540))</x:f>
        <x:v>0</x:v>
      </x:c>
      <x:c r="CR606" s="22" t="n">
        <x:f>MAX(0,MIN('Activities'!L606,552)-MAX('Activities'!K606,546))</x:f>
        <x:v>0</x:v>
      </x:c>
      <x:c r="CS606" s="22" t="n">
        <x:f>MAX(0,MIN('Activities'!L606,558)-MAX('Activities'!K606,552))</x:f>
        <x:v>0</x:v>
      </x:c>
      <x:c r="CT606" s="22" t="n">
        <x:f>MAX(0,MIN('Activities'!L606,564)-MAX('Activities'!K606,558))</x:f>
        <x:v>0</x:v>
      </x:c>
      <x:c r="CU606" s="22" t="n">
        <x:f>MAX(0,MIN('Activities'!L606,570)-MAX('Activities'!K606,564))</x:f>
        <x:v>0</x:v>
      </x:c>
      <x:c r="CV606" s="22" t="n">
        <x:f>MAX(0,MIN('Activities'!L606,576)-MAX('Activities'!K606,570))</x:f>
        <x:v>0</x:v>
      </x:c>
      <x:c r="CW606" s="22" t="n">
        <x:f>MAX(0,MIN('Activities'!L606,582)-MAX('Activities'!K606,576))</x:f>
        <x:v>0</x:v>
      </x:c>
      <x:c r="CX606" s="22" t="n">
        <x:f>MAX(0,MIN('Activities'!L606,588)-MAX('Activities'!K606,582))</x:f>
        <x:v>0</x:v>
      </x:c>
      <x:c r="CY606" s="22" t="n">
        <x:f>MAX(0,MIN('Activities'!L606,594)-MAX('Activities'!K606,588))</x:f>
        <x:v>0</x:v>
      </x:c>
      <x:c r="CZ606" s="22" t="n">
        <x:f>MAX(0,MIN('Activities'!L606,600)-MAX('Activities'!K606,594))</x:f>
        <x:v>0</x:v>
      </x:c>
      <x:c r="DA606" s="22" t="n">
        <x:f>MAX(0,MIN('Activities'!L606,606)-MAX('Activities'!K606,600))</x:f>
        <x:v>0</x:v>
      </x:c>
      <x:c r="DB606" s="22" t="n">
        <x:f>MAX(0,MIN('Activities'!L606,612)-MAX('Activities'!K606,606))</x:f>
        <x:v>0</x:v>
      </x:c>
      <x:c r="DC606" s="22" t="n">
        <x:f>MAX(0,MIN('Activities'!L606,618)-MAX('Activities'!K606,612))</x:f>
        <x:v>0</x:v>
      </x:c>
      <x:c r="DD606" s="22" t="n">
        <x:f>MAX(0,MIN('Activities'!L606,624)-MAX('Activities'!K606,618))</x:f>
        <x:v>0</x:v>
      </x:c>
      <x:c r="DE606" s="22" t="n">
        <x:f>MAX(0,MIN('Activities'!L606,630)-MAX('Activities'!K606,624))</x:f>
        <x:v>0</x:v>
      </x:c>
      <x:c r="DF606" s="22" t="n">
        <x:f>MAX(0,MIN('Activities'!L606,636)-MAX('Activities'!K606,630))</x:f>
        <x:v>0</x:v>
      </x:c>
    </x:row>
    <x:row r="607" ht="23" customHeight="1">
      <x:c r="A607" s="1" t="str">
        <x:v>T5-L00-A</x:v>
      </x:c>
      <x:c r="B607" s="1" t="str">
        <x:v>T5</x:v>
      </x:c>
      <x:c r="C607" s="1" t="str">
        <x:v>Paint and final decorations</x:v>
      </x:c>
      <x:c r="D607" s="1" t="str">
        <x:v>Finishes</x:v>
      </x:c>
      <x:c r="E607" s="23" t="n">
        <x:f>MAX(0,MIN('Activities'!L607,6)-MAX('Activities'!K607,0))</x:f>
        <x:v>0</x:v>
      </x:c>
      <x:c r="F607" s="23" t="n">
        <x:f>MAX(0,MIN('Activities'!L607,12)-MAX('Activities'!K607,6))</x:f>
        <x:v>0</x:v>
      </x:c>
      <x:c r="G607" s="23" t="n">
        <x:f>MAX(0,MIN('Activities'!L607,18)-MAX('Activities'!K607,12))</x:f>
        <x:v>0</x:v>
      </x:c>
      <x:c r="H607" s="23" t="n">
        <x:f>MAX(0,MIN('Activities'!L607,24)-MAX('Activities'!K607,18))</x:f>
        <x:v>0</x:v>
      </x:c>
      <x:c r="I607" s="23" t="n">
        <x:f>MAX(0,MIN('Activities'!L607,30)-MAX('Activities'!K607,24))</x:f>
        <x:v>0</x:v>
      </x:c>
      <x:c r="J607" s="23" t="n">
        <x:f>MAX(0,MIN('Activities'!L607,36)-MAX('Activities'!K607,30))</x:f>
        <x:v>0</x:v>
      </x:c>
      <x:c r="K607" s="23" t="n">
        <x:f>MAX(0,MIN('Activities'!L607,42)-MAX('Activities'!K607,36))</x:f>
        <x:v>0</x:v>
      </x:c>
      <x:c r="L607" s="23" t="n">
        <x:f>MAX(0,MIN('Activities'!L607,48)-MAX('Activities'!K607,42))</x:f>
        <x:v>0</x:v>
      </x:c>
      <x:c r="M607" s="23" t="n">
        <x:f>MAX(0,MIN('Activities'!L607,54)-MAX('Activities'!K607,48))</x:f>
        <x:v>0</x:v>
      </x:c>
      <x:c r="N607" s="23" t="n">
        <x:f>MAX(0,MIN('Activities'!L607,60)-MAX('Activities'!K607,54))</x:f>
        <x:v>0</x:v>
      </x:c>
      <x:c r="O607" s="23" t="n">
        <x:f>MAX(0,MIN('Activities'!L607,66)-MAX('Activities'!K607,60))</x:f>
        <x:v>0</x:v>
      </x:c>
      <x:c r="P607" s="23" t="n">
        <x:f>MAX(0,MIN('Activities'!L607,72)-MAX('Activities'!K607,66))</x:f>
        <x:v>0</x:v>
      </x:c>
      <x:c r="Q607" s="23" t="n">
        <x:f>MAX(0,MIN('Activities'!L607,78)-MAX('Activities'!K607,72))</x:f>
        <x:v>0</x:v>
      </x:c>
      <x:c r="R607" s="23" t="n">
        <x:f>MAX(0,MIN('Activities'!L607,84)-MAX('Activities'!K607,78))</x:f>
        <x:v>0</x:v>
      </x:c>
      <x:c r="S607" s="23" t="n">
        <x:f>MAX(0,MIN('Activities'!L607,90)-MAX('Activities'!K607,84))</x:f>
        <x:v>0</x:v>
      </x:c>
      <x:c r="T607" s="23" t="n">
        <x:f>MAX(0,MIN('Activities'!L607,96)-MAX('Activities'!K607,90))</x:f>
        <x:v>0</x:v>
      </x:c>
      <x:c r="U607" s="23" t="n">
        <x:f>MAX(0,MIN('Activities'!L607,102)-MAX('Activities'!K607,96))</x:f>
        <x:v>0</x:v>
      </x:c>
      <x:c r="V607" s="23" t="n">
        <x:f>MAX(0,MIN('Activities'!L607,108)-MAX('Activities'!K607,102))</x:f>
        <x:v>0</x:v>
      </x:c>
      <x:c r="W607" s="23" t="n">
        <x:f>MAX(0,MIN('Activities'!L607,114)-MAX('Activities'!K607,108))</x:f>
        <x:v>0</x:v>
      </x:c>
      <x:c r="X607" s="23" t="n">
        <x:f>MAX(0,MIN('Activities'!L607,120)-MAX('Activities'!K607,114))</x:f>
        <x:v>0</x:v>
      </x:c>
      <x:c r="Y607" s="23" t="n">
        <x:f>MAX(0,MIN('Activities'!L607,126)-MAX('Activities'!K607,120))</x:f>
        <x:v>0</x:v>
      </x:c>
      <x:c r="Z607" s="23" t="n">
        <x:f>MAX(0,MIN('Activities'!L607,132)-MAX('Activities'!K607,126))</x:f>
        <x:v>0</x:v>
      </x:c>
      <x:c r="AA607" s="23" t="n">
        <x:f>MAX(0,MIN('Activities'!L607,138)-MAX('Activities'!K607,132))</x:f>
        <x:v>0</x:v>
      </x:c>
      <x:c r="AB607" s="23" t="n">
        <x:f>MAX(0,MIN('Activities'!L607,144)-MAX('Activities'!K607,138))</x:f>
        <x:v>0</x:v>
      </x:c>
      <x:c r="AC607" s="23" t="n">
        <x:f>MAX(0,MIN('Activities'!L607,150)-MAX('Activities'!K607,144))</x:f>
        <x:v>0</x:v>
      </x:c>
      <x:c r="AD607" s="23" t="n">
        <x:f>MAX(0,MIN('Activities'!L607,156)-MAX('Activities'!K607,150))</x:f>
        <x:v>0</x:v>
      </x:c>
      <x:c r="AE607" s="23" t="n">
        <x:f>MAX(0,MIN('Activities'!L607,162)-MAX('Activities'!K607,156))</x:f>
        <x:v>0</x:v>
      </x:c>
      <x:c r="AF607" s="23" t="n">
        <x:f>MAX(0,MIN('Activities'!L607,168)-MAX('Activities'!K607,162))</x:f>
        <x:v>0</x:v>
      </x:c>
      <x:c r="AG607" s="23" t="n">
        <x:f>MAX(0,MIN('Activities'!L607,174)-MAX('Activities'!K607,168))</x:f>
        <x:v>0</x:v>
      </x:c>
      <x:c r="AH607" s="23" t="n">
        <x:f>MAX(0,MIN('Activities'!L607,180)-MAX('Activities'!K607,174))</x:f>
        <x:v>0</x:v>
      </x:c>
      <x:c r="AI607" s="23" t="n">
        <x:f>MAX(0,MIN('Activities'!L607,186)-MAX('Activities'!K607,180))</x:f>
        <x:v>0</x:v>
      </x:c>
      <x:c r="AJ607" s="23" t="n">
        <x:f>MAX(0,MIN('Activities'!L607,192)-MAX('Activities'!K607,186))</x:f>
        <x:v>0</x:v>
      </x:c>
      <x:c r="AK607" s="23" t="n">
        <x:f>MAX(0,MIN('Activities'!L607,198)-MAX('Activities'!K607,192))</x:f>
        <x:v>0</x:v>
      </x:c>
      <x:c r="AL607" s="23" t="n">
        <x:f>MAX(0,MIN('Activities'!L607,204)-MAX('Activities'!K607,198))</x:f>
        <x:v>0</x:v>
      </x:c>
      <x:c r="AM607" s="23" t="n">
        <x:f>MAX(0,MIN('Activities'!L607,210)-MAX('Activities'!K607,204))</x:f>
        <x:v>0</x:v>
      </x:c>
      <x:c r="AN607" s="23" t="n">
        <x:f>MAX(0,MIN('Activities'!L607,216)-MAX('Activities'!K607,210))</x:f>
        <x:v>0</x:v>
      </x:c>
      <x:c r="AO607" s="23" t="n">
        <x:f>MAX(0,MIN('Activities'!L607,222)-MAX('Activities'!K607,216))</x:f>
        <x:v>0</x:v>
      </x:c>
      <x:c r="AP607" s="23" t="n">
        <x:f>MAX(0,MIN('Activities'!L607,228)-MAX('Activities'!K607,222))</x:f>
        <x:v>0</x:v>
      </x:c>
      <x:c r="AQ607" s="23" t="n">
        <x:f>MAX(0,MIN('Activities'!L607,234)-MAX('Activities'!K607,228))</x:f>
        <x:v>0</x:v>
      </x:c>
      <x:c r="AR607" s="23" t="n">
        <x:f>MAX(0,MIN('Activities'!L607,240)-MAX('Activities'!K607,234))</x:f>
        <x:v>0</x:v>
      </x:c>
      <x:c r="AS607" s="23" t="n">
        <x:f>MAX(0,MIN('Activities'!L607,246)-MAX('Activities'!K607,240))</x:f>
        <x:v>0</x:v>
      </x:c>
      <x:c r="AT607" s="23" t="n">
        <x:f>MAX(0,MIN('Activities'!L607,252)-MAX('Activities'!K607,246))</x:f>
        <x:v>0</x:v>
      </x:c>
      <x:c r="AU607" s="23" t="n">
        <x:f>MAX(0,MIN('Activities'!L607,258)-MAX('Activities'!K607,252))</x:f>
        <x:v>0</x:v>
      </x:c>
      <x:c r="AV607" s="23" t="n">
        <x:f>MAX(0,MIN('Activities'!L607,264)-MAX('Activities'!K607,258))</x:f>
        <x:v>0</x:v>
      </x:c>
      <x:c r="AW607" s="23" t="n">
        <x:f>MAX(0,MIN('Activities'!L607,270)-MAX('Activities'!K607,264))</x:f>
        <x:v>0</x:v>
      </x:c>
      <x:c r="AX607" s="23" t="n">
        <x:f>MAX(0,MIN('Activities'!L607,276)-MAX('Activities'!K607,270))</x:f>
        <x:v>0</x:v>
      </x:c>
      <x:c r="AY607" s="23" t="n">
        <x:f>MAX(0,MIN('Activities'!L607,282)-MAX('Activities'!K607,276))</x:f>
        <x:v>0</x:v>
      </x:c>
      <x:c r="AZ607" s="23" t="n">
        <x:f>MAX(0,MIN('Activities'!L607,288)-MAX('Activities'!K607,282))</x:f>
        <x:v>0</x:v>
      </x:c>
      <x:c r="BA607" s="23" t="n">
        <x:f>MAX(0,MIN('Activities'!L607,294)-MAX('Activities'!K607,288))</x:f>
        <x:v>0</x:v>
      </x:c>
      <x:c r="BB607" s="23" t="n">
        <x:f>MAX(0,MIN('Activities'!L607,300)-MAX('Activities'!K607,294))</x:f>
        <x:v>0</x:v>
      </x:c>
      <x:c r="BC607" s="23" t="n">
        <x:f>MAX(0,MIN('Activities'!L607,306)-MAX('Activities'!K607,300))</x:f>
        <x:v>0</x:v>
      </x:c>
      <x:c r="BD607" s="23" t="n">
        <x:f>MAX(0,MIN('Activities'!L607,312)-MAX('Activities'!K607,306))</x:f>
        <x:v>0</x:v>
      </x:c>
      <x:c r="BE607" s="23" t="n">
        <x:f>MAX(0,MIN('Activities'!L607,318)-MAX('Activities'!K607,312))</x:f>
        <x:v>0</x:v>
      </x:c>
      <x:c r="BF607" s="23" t="n">
        <x:f>MAX(0,MIN('Activities'!L607,324)-MAX('Activities'!K607,318))</x:f>
        <x:v>0</x:v>
      </x:c>
      <x:c r="BG607" s="23" t="n">
        <x:f>MAX(0,MIN('Activities'!L607,330)-MAX('Activities'!K607,324))</x:f>
        <x:v>0</x:v>
      </x:c>
      <x:c r="BH607" s="23" t="n">
        <x:f>MAX(0,MIN('Activities'!L607,336)-MAX('Activities'!K607,330))</x:f>
        <x:v>0</x:v>
      </x:c>
      <x:c r="BI607" s="23" t="n">
        <x:f>MAX(0,MIN('Activities'!L607,342)-MAX('Activities'!K607,336))</x:f>
        <x:v>0</x:v>
      </x:c>
      <x:c r="BJ607" s="23" t="n">
        <x:f>MAX(0,MIN('Activities'!L607,348)-MAX('Activities'!K607,342))</x:f>
        <x:v>0</x:v>
      </x:c>
      <x:c r="BK607" s="23" t="n">
        <x:f>MAX(0,MIN('Activities'!L607,354)-MAX('Activities'!K607,348))</x:f>
        <x:v>0</x:v>
      </x:c>
      <x:c r="BL607" s="23" t="n">
        <x:f>MAX(0,MIN('Activities'!L607,360)-MAX('Activities'!K607,354))</x:f>
        <x:v>0</x:v>
      </x:c>
      <x:c r="BM607" s="23" t="n">
        <x:f>MAX(0,MIN('Activities'!L607,366)-MAX('Activities'!K607,360))</x:f>
        <x:v>0</x:v>
      </x:c>
      <x:c r="BN607" s="23" t="n">
        <x:f>MAX(0,MIN('Activities'!L607,372)-MAX('Activities'!K607,366))</x:f>
        <x:v>0</x:v>
      </x:c>
      <x:c r="BO607" s="23" t="n">
        <x:f>MAX(0,MIN('Activities'!L607,378)-MAX('Activities'!K607,372))</x:f>
        <x:v>0</x:v>
      </x:c>
      <x:c r="BP607" s="23" t="n">
        <x:f>MAX(0,MIN('Activities'!L607,384)-MAX('Activities'!K607,378))</x:f>
        <x:v>0</x:v>
      </x:c>
      <x:c r="BQ607" s="23" t="n">
        <x:f>MAX(0,MIN('Activities'!L607,390)-MAX('Activities'!K607,384))</x:f>
        <x:v>0</x:v>
      </x:c>
      <x:c r="BR607" s="23" t="n">
        <x:f>MAX(0,MIN('Activities'!L607,396)-MAX('Activities'!K607,390))</x:f>
        <x:v>0</x:v>
      </x:c>
      <x:c r="BS607" s="23" t="n">
        <x:f>MAX(0,MIN('Activities'!L607,402)-MAX('Activities'!K607,396))</x:f>
        <x:v>0</x:v>
      </x:c>
      <x:c r="BT607" s="23" t="n">
        <x:f>MAX(0,MIN('Activities'!L607,408)-MAX('Activities'!K607,402))</x:f>
        <x:v>0</x:v>
      </x:c>
      <x:c r="BU607" s="23" t="n">
        <x:f>MAX(0,MIN('Activities'!L607,414)-MAX('Activities'!K607,408))</x:f>
        <x:v>0</x:v>
      </x:c>
      <x:c r="BV607" s="23" t="n">
        <x:f>MAX(0,MIN('Activities'!L607,420)-MAX('Activities'!K607,414))</x:f>
        <x:v>0</x:v>
      </x:c>
      <x:c r="BW607" s="23" t="n">
        <x:f>MAX(0,MIN('Activities'!L607,426)-MAX('Activities'!K607,420))</x:f>
        <x:v>0</x:v>
      </x:c>
      <x:c r="BX607" s="23" t="n">
        <x:f>MAX(0,MIN('Activities'!L607,432)-MAX('Activities'!K607,426))</x:f>
        <x:v>0</x:v>
      </x:c>
      <x:c r="BY607" s="23" t="n">
        <x:f>MAX(0,MIN('Activities'!L607,438)-MAX('Activities'!K607,432))</x:f>
        <x:v>0</x:v>
      </x:c>
      <x:c r="BZ607" s="23" t="n">
        <x:f>MAX(0,MIN('Activities'!L607,444)-MAX('Activities'!K607,438))</x:f>
        <x:v>0</x:v>
      </x:c>
      <x:c r="CA607" s="23" t="n">
        <x:f>MAX(0,MIN('Activities'!L607,450)-MAX('Activities'!K607,444))</x:f>
        <x:v>0</x:v>
      </x:c>
      <x:c r="CB607" s="23" t="n">
        <x:f>MAX(0,MIN('Activities'!L607,456)-MAX('Activities'!K607,450))</x:f>
        <x:v>0</x:v>
      </x:c>
      <x:c r="CC607" s="23" t="n">
        <x:f>MAX(0,MIN('Activities'!L607,462)-MAX('Activities'!K607,456))</x:f>
        <x:v>5</x:v>
      </x:c>
      <x:c r="CD607" s="23" t="n">
        <x:f>MAX(0,MIN('Activities'!L607,468)-MAX('Activities'!K607,462))</x:f>
        <x:v>0</x:v>
      </x:c>
      <x:c r="CE607" s="23" t="n">
        <x:f>MAX(0,MIN('Activities'!L607,474)-MAX('Activities'!K607,468))</x:f>
        <x:v>0</x:v>
      </x:c>
      <x:c r="CF607" s="23" t="n">
        <x:f>MAX(0,MIN('Activities'!L607,480)-MAX('Activities'!K607,474))</x:f>
        <x:v>0</x:v>
      </x:c>
      <x:c r="CG607" s="23" t="n">
        <x:f>MAX(0,MIN('Activities'!L607,486)-MAX('Activities'!K607,480))</x:f>
        <x:v>0</x:v>
      </x:c>
      <x:c r="CH607" s="23" t="n">
        <x:f>MAX(0,MIN('Activities'!L607,492)-MAX('Activities'!K607,486))</x:f>
        <x:v>0</x:v>
      </x:c>
      <x:c r="CI607" s="23" t="n">
        <x:f>MAX(0,MIN('Activities'!L607,498)-MAX('Activities'!K607,492))</x:f>
        <x:v>0</x:v>
      </x:c>
      <x:c r="CJ607" s="23" t="n">
        <x:f>MAX(0,MIN('Activities'!L607,504)-MAX('Activities'!K607,498))</x:f>
        <x:v>0</x:v>
      </x:c>
      <x:c r="CK607" s="23" t="n">
        <x:f>MAX(0,MIN('Activities'!L607,510)-MAX('Activities'!K607,504))</x:f>
        <x:v>0</x:v>
      </x:c>
      <x:c r="CL607" s="23" t="n">
        <x:f>MAX(0,MIN('Activities'!L607,516)-MAX('Activities'!K607,510))</x:f>
        <x:v>0</x:v>
      </x:c>
      <x:c r="CM607" s="23" t="n">
        <x:f>MAX(0,MIN('Activities'!L607,522)-MAX('Activities'!K607,516))</x:f>
        <x:v>0</x:v>
      </x:c>
      <x:c r="CN607" s="23" t="n">
        <x:f>MAX(0,MIN('Activities'!L607,528)-MAX('Activities'!K607,522))</x:f>
        <x:v>0</x:v>
      </x:c>
      <x:c r="CO607" s="23" t="n">
        <x:f>MAX(0,MIN('Activities'!L607,534)-MAX('Activities'!K607,528))</x:f>
        <x:v>0</x:v>
      </x:c>
      <x:c r="CP607" s="23" t="n">
        <x:f>MAX(0,MIN('Activities'!L607,540)-MAX('Activities'!K607,534))</x:f>
        <x:v>0</x:v>
      </x:c>
      <x:c r="CQ607" s="23" t="n">
        <x:f>MAX(0,MIN('Activities'!L607,546)-MAX('Activities'!K607,540))</x:f>
        <x:v>0</x:v>
      </x:c>
      <x:c r="CR607" s="23" t="n">
        <x:f>MAX(0,MIN('Activities'!L607,552)-MAX('Activities'!K607,546))</x:f>
        <x:v>0</x:v>
      </x:c>
      <x:c r="CS607" s="23" t="n">
        <x:f>MAX(0,MIN('Activities'!L607,558)-MAX('Activities'!K607,552))</x:f>
        <x:v>0</x:v>
      </x:c>
      <x:c r="CT607" s="23" t="n">
        <x:f>MAX(0,MIN('Activities'!L607,564)-MAX('Activities'!K607,558))</x:f>
        <x:v>0</x:v>
      </x:c>
      <x:c r="CU607" s="23" t="n">
        <x:f>MAX(0,MIN('Activities'!L607,570)-MAX('Activities'!K607,564))</x:f>
        <x:v>0</x:v>
      </x:c>
      <x:c r="CV607" s="23" t="n">
        <x:f>MAX(0,MIN('Activities'!L607,576)-MAX('Activities'!K607,570))</x:f>
        <x:v>0</x:v>
      </x:c>
      <x:c r="CW607" s="23" t="n">
        <x:f>MAX(0,MIN('Activities'!L607,582)-MAX('Activities'!K607,576))</x:f>
        <x:v>0</x:v>
      </x:c>
      <x:c r="CX607" s="23" t="n">
        <x:f>MAX(0,MIN('Activities'!L607,588)-MAX('Activities'!K607,582))</x:f>
        <x:v>0</x:v>
      </x:c>
      <x:c r="CY607" s="23" t="n">
        <x:f>MAX(0,MIN('Activities'!L607,594)-MAX('Activities'!K607,588))</x:f>
        <x:v>0</x:v>
      </x:c>
      <x:c r="CZ607" s="23" t="n">
        <x:f>MAX(0,MIN('Activities'!L607,600)-MAX('Activities'!K607,594))</x:f>
        <x:v>0</x:v>
      </x:c>
      <x:c r="DA607" s="23" t="n">
        <x:f>MAX(0,MIN('Activities'!L607,606)-MAX('Activities'!K607,600))</x:f>
        <x:v>0</x:v>
      </x:c>
      <x:c r="DB607" s="23" t="n">
        <x:f>MAX(0,MIN('Activities'!L607,612)-MAX('Activities'!K607,606))</x:f>
        <x:v>0</x:v>
      </x:c>
      <x:c r="DC607" s="23" t="n">
        <x:f>MAX(0,MIN('Activities'!L607,618)-MAX('Activities'!K607,612))</x:f>
        <x:v>0</x:v>
      </x:c>
      <x:c r="DD607" s="23" t="n">
        <x:f>MAX(0,MIN('Activities'!L607,624)-MAX('Activities'!K607,618))</x:f>
        <x:v>0</x:v>
      </x:c>
      <x:c r="DE607" s="23" t="n">
        <x:f>MAX(0,MIN('Activities'!L607,630)-MAX('Activities'!K607,624))</x:f>
        <x:v>0</x:v>
      </x:c>
      <x:c r="DF607" s="23" t="n">
        <x:f>MAX(0,MIN('Activities'!L607,636)-MAX('Activities'!K607,630))</x:f>
        <x:v>0</x:v>
      </x:c>
    </x:row>
    <x:row r="608" ht="23" customHeight="1">
      <x:c r="A608" s="6" t="str">
        <x:v>T5-L00-D</x:v>
      </x:c>
      <x:c r="B608" s="6" t="str">
        <x:v>T5</x:v>
      </x:c>
      <x:c r="C608" s="6" t="str">
        <x:v>Door sets and ironmongery</x:v>
      </x:c>
      <x:c r="D608" s="6" t="str">
        <x:v>Finishes</x:v>
      </x:c>
      <x:c r="E608" s="22" t="n">
        <x:f>MAX(0,MIN('Activities'!L608,6)-MAX('Activities'!K608,0))</x:f>
        <x:v>0</x:v>
      </x:c>
      <x:c r="F608" s="22" t="n">
        <x:f>MAX(0,MIN('Activities'!L608,12)-MAX('Activities'!K608,6))</x:f>
        <x:v>0</x:v>
      </x:c>
      <x:c r="G608" s="22" t="n">
        <x:f>MAX(0,MIN('Activities'!L608,18)-MAX('Activities'!K608,12))</x:f>
        <x:v>0</x:v>
      </x:c>
      <x:c r="H608" s="22" t="n">
        <x:f>MAX(0,MIN('Activities'!L608,24)-MAX('Activities'!K608,18))</x:f>
        <x:v>0</x:v>
      </x:c>
      <x:c r="I608" s="22" t="n">
        <x:f>MAX(0,MIN('Activities'!L608,30)-MAX('Activities'!K608,24))</x:f>
        <x:v>0</x:v>
      </x:c>
      <x:c r="J608" s="22" t="n">
        <x:f>MAX(0,MIN('Activities'!L608,36)-MAX('Activities'!K608,30))</x:f>
        <x:v>0</x:v>
      </x:c>
      <x:c r="K608" s="22" t="n">
        <x:f>MAX(0,MIN('Activities'!L608,42)-MAX('Activities'!K608,36))</x:f>
        <x:v>0</x:v>
      </x:c>
      <x:c r="L608" s="22" t="n">
        <x:f>MAX(0,MIN('Activities'!L608,48)-MAX('Activities'!K608,42))</x:f>
        <x:v>0</x:v>
      </x:c>
      <x:c r="M608" s="22" t="n">
        <x:f>MAX(0,MIN('Activities'!L608,54)-MAX('Activities'!K608,48))</x:f>
        <x:v>0</x:v>
      </x:c>
      <x:c r="N608" s="22" t="n">
        <x:f>MAX(0,MIN('Activities'!L608,60)-MAX('Activities'!K608,54))</x:f>
        <x:v>0</x:v>
      </x:c>
      <x:c r="O608" s="22" t="n">
        <x:f>MAX(0,MIN('Activities'!L608,66)-MAX('Activities'!K608,60))</x:f>
        <x:v>0</x:v>
      </x:c>
      <x:c r="P608" s="22" t="n">
        <x:f>MAX(0,MIN('Activities'!L608,72)-MAX('Activities'!K608,66))</x:f>
        <x:v>0</x:v>
      </x:c>
      <x:c r="Q608" s="22" t="n">
        <x:f>MAX(0,MIN('Activities'!L608,78)-MAX('Activities'!K608,72))</x:f>
        <x:v>0</x:v>
      </x:c>
      <x:c r="R608" s="22" t="n">
        <x:f>MAX(0,MIN('Activities'!L608,84)-MAX('Activities'!K608,78))</x:f>
        <x:v>0</x:v>
      </x:c>
      <x:c r="S608" s="22" t="n">
        <x:f>MAX(0,MIN('Activities'!L608,90)-MAX('Activities'!K608,84))</x:f>
        <x:v>0</x:v>
      </x:c>
      <x:c r="T608" s="22" t="n">
        <x:f>MAX(0,MIN('Activities'!L608,96)-MAX('Activities'!K608,90))</x:f>
        <x:v>0</x:v>
      </x:c>
      <x:c r="U608" s="22" t="n">
        <x:f>MAX(0,MIN('Activities'!L608,102)-MAX('Activities'!K608,96))</x:f>
        <x:v>0</x:v>
      </x:c>
      <x:c r="V608" s="22" t="n">
        <x:f>MAX(0,MIN('Activities'!L608,108)-MAX('Activities'!K608,102))</x:f>
        <x:v>0</x:v>
      </x:c>
      <x:c r="W608" s="22" t="n">
        <x:f>MAX(0,MIN('Activities'!L608,114)-MAX('Activities'!K608,108))</x:f>
        <x:v>0</x:v>
      </x:c>
      <x:c r="X608" s="22" t="n">
        <x:f>MAX(0,MIN('Activities'!L608,120)-MAX('Activities'!K608,114))</x:f>
        <x:v>0</x:v>
      </x:c>
      <x:c r="Y608" s="22" t="n">
        <x:f>MAX(0,MIN('Activities'!L608,126)-MAX('Activities'!K608,120))</x:f>
        <x:v>0</x:v>
      </x:c>
      <x:c r="Z608" s="22" t="n">
        <x:f>MAX(0,MIN('Activities'!L608,132)-MAX('Activities'!K608,126))</x:f>
        <x:v>0</x:v>
      </x:c>
      <x:c r="AA608" s="22" t="n">
        <x:f>MAX(0,MIN('Activities'!L608,138)-MAX('Activities'!K608,132))</x:f>
        <x:v>0</x:v>
      </x:c>
      <x:c r="AB608" s="22" t="n">
        <x:f>MAX(0,MIN('Activities'!L608,144)-MAX('Activities'!K608,138))</x:f>
        <x:v>0</x:v>
      </x:c>
      <x:c r="AC608" s="22" t="n">
        <x:f>MAX(0,MIN('Activities'!L608,150)-MAX('Activities'!K608,144))</x:f>
        <x:v>0</x:v>
      </x:c>
      <x:c r="AD608" s="22" t="n">
        <x:f>MAX(0,MIN('Activities'!L608,156)-MAX('Activities'!K608,150))</x:f>
        <x:v>0</x:v>
      </x:c>
      <x:c r="AE608" s="22" t="n">
        <x:f>MAX(0,MIN('Activities'!L608,162)-MAX('Activities'!K608,156))</x:f>
        <x:v>0</x:v>
      </x:c>
      <x:c r="AF608" s="22" t="n">
        <x:f>MAX(0,MIN('Activities'!L608,168)-MAX('Activities'!K608,162))</x:f>
        <x:v>0</x:v>
      </x:c>
      <x:c r="AG608" s="22" t="n">
        <x:f>MAX(0,MIN('Activities'!L608,174)-MAX('Activities'!K608,168))</x:f>
        <x:v>0</x:v>
      </x:c>
      <x:c r="AH608" s="22" t="n">
        <x:f>MAX(0,MIN('Activities'!L608,180)-MAX('Activities'!K608,174))</x:f>
        <x:v>0</x:v>
      </x:c>
      <x:c r="AI608" s="22" t="n">
        <x:f>MAX(0,MIN('Activities'!L608,186)-MAX('Activities'!K608,180))</x:f>
        <x:v>0</x:v>
      </x:c>
      <x:c r="AJ608" s="22" t="n">
        <x:f>MAX(0,MIN('Activities'!L608,192)-MAX('Activities'!K608,186))</x:f>
        <x:v>0</x:v>
      </x:c>
      <x:c r="AK608" s="22" t="n">
        <x:f>MAX(0,MIN('Activities'!L608,198)-MAX('Activities'!K608,192))</x:f>
        <x:v>0</x:v>
      </x:c>
      <x:c r="AL608" s="22" t="n">
        <x:f>MAX(0,MIN('Activities'!L608,204)-MAX('Activities'!K608,198))</x:f>
        <x:v>0</x:v>
      </x:c>
      <x:c r="AM608" s="22" t="n">
        <x:f>MAX(0,MIN('Activities'!L608,210)-MAX('Activities'!K608,204))</x:f>
        <x:v>0</x:v>
      </x:c>
      <x:c r="AN608" s="22" t="n">
        <x:f>MAX(0,MIN('Activities'!L608,216)-MAX('Activities'!K608,210))</x:f>
        <x:v>0</x:v>
      </x:c>
      <x:c r="AO608" s="22" t="n">
        <x:f>MAX(0,MIN('Activities'!L608,222)-MAX('Activities'!K608,216))</x:f>
        <x:v>0</x:v>
      </x:c>
      <x:c r="AP608" s="22" t="n">
        <x:f>MAX(0,MIN('Activities'!L608,228)-MAX('Activities'!K608,222))</x:f>
        <x:v>0</x:v>
      </x:c>
      <x:c r="AQ608" s="22" t="n">
        <x:f>MAX(0,MIN('Activities'!L608,234)-MAX('Activities'!K608,228))</x:f>
        <x:v>0</x:v>
      </x:c>
      <x:c r="AR608" s="22" t="n">
        <x:f>MAX(0,MIN('Activities'!L608,240)-MAX('Activities'!K608,234))</x:f>
        <x:v>0</x:v>
      </x:c>
      <x:c r="AS608" s="22" t="n">
        <x:f>MAX(0,MIN('Activities'!L608,246)-MAX('Activities'!K608,240))</x:f>
        <x:v>0</x:v>
      </x:c>
      <x:c r="AT608" s="22" t="n">
        <x:f>MAX(0,MIN('Activities'!L608,252)-MAX('Activities'!K608,246))</x:f>
        <x:v>0</x:v>
      </x:c>
      <x:c r="AU608" s="22" t="n">
        <x:f>MAX(0,MIN('Activities'!L608,258)-MAX('Activities'!K608,252))</x:f>
        <x:v>0</x:v>
      </x:c>
      <x:c r="AV608" s="22" t="n">
        <x:f>MAX(0,MIN('Activities'!L608,264)-MAX('Activities'!K608,258))</x:f>
        <x:v>0</x:v>
      </x:c>
      <x:c r="AW608" s="22" t="n">
        <x:f>MAX(0,MIN('Activities'!L608,270)-MAX('Activities'!K608,264))</x:f>
        <x:v>0</x:v>
      </x:c>
      <x:c r="AX608" s="22" t="n">
        <x:f>MAX(0,MIN('Activities'!L608,276)-MAX('Activities'!K608,270))</x:f>
        <x:v>0</x:v>
      </x:c>
      <x:c r="AY608" s="22" t="n">
        <x:f>MAX(0,MIN('Activities'!L608,282)-MAX('Activities'!K608,276))</x:f>
        <x:v>0</x:v>
      </x:c>
      <x:c r="AZ608" s="22" t="n">
        <x:f>MAX(0,MIN('Activities'!L608,288)-MAX('Activities'!K608,282))</x:f>
        <x:v>0</x:v>
      </x:c>
      <x:c r="BA608" s="22" t="n">
        <x:f>MAX(0,MIN('Activities'!L608,294)-MAX('Activities'!K608,288))</x:f>
        <x:v>0</x:v>
      </x:c>
      <x:c r="BB608" s="22" t="n">
        <x:f>MAX(0,MIN('Activities'!L608,300)-MAX('Activities'!K608,294))</x:f>
        <x:v>0</x:v>
      </x:c>
      <x:c r="BC608" s="22" t="n">
        <x:f>MAX(0,MIN('Activities'!L608,306)-MAX('Activities'!K608,300))</x:f>
        <x:v>0</x:v>
      </x:c>
      <x:c r="BD608" s="22" t="n">
        <x:f>MAX(0,MIN('Activities'!L608,312)-MAX('Activities'!K608,306))</x:f>
        <x:v>0</x:v>
      </x:c>
      <x:c r="BE608" s="22" t="n">
        <x:f>MAX(0,MIN('Activities'!L608,318)-MAX('Activities'!K608,312))</x:f>
        <x:v>0</x:v>
      </x:c>
      <x:c r="BF608" s="22" t="n">
        <x:f>MAX(0,MIN('Activities'!L608,324)-MAX('Activities'!K608,318))</x:f>
        <x:v>0</x:v>
      </x:c>
      <x:c r="BG608" s="22" t="n">
        <x:f>MAX(0,MIN('Activities'!L608,330)-MAX('Activities'!K608,324))</x:f>
        <x:v>0</x:v>
      </x:c>
      <x:c r="BH608" s="22" t="n">
        <x:f>MAX(0,MIN('Activities'!L608,336)-MAX('Activities'!K608,330))</x:f>
        <x:v>0</x:v>
      </x:c>
      <x:c r="BI608" s="22" t="n">
        <x:f>MAX(0,MIN('Activities'!L608,342)-MAX('Activities'!K608,336))</x:f>
        <x:v>0</x:v>
      </x:c>
      <x:c r="BJ608" s="22" t="n">
        <x:f>MAX(0,MIN('Activities'!L608,348)-MAX('Activities'!K608,342))</x:f>
        <x:v>0</x:v>
      </x:c>
      <x:c r="BK608" s="22" t="n">
        <x:f>MAX(0,MIN('Activities'!L608,354)-MAX('Activities'!K608,348))</x:f>
        <x:v>0</x:v>
      </x:c>
      <x:c r="BL608" s="22" t="n">
        <x:f>MAX(0,MIN('Activities'!L608,360)-MAX('Activities'!K608,354))</x:f>
        <x:v>0</x:v>
      </x:c>
      <x:c r="BM608" s="22" t="n">
        <x:f>MAX(0,MIN('Activities'!L608,366)-MAX('Activities'!K608,360))</x:f>
        <x:v>0</x:v>
      </x:c>
      <x:c r="BN608" s="22" t="n">
        <x:f>MAX(0,MIN('Activities'!L608,372)-MAX('Activities'!K608,366))</x:f>
        <x:v>0</x:v>
      </x:c>
      <x:c r="BO608" s="22" t="n">
        <x:f>MAX(0,MIN('Activities'!L608,378)-MAX('Activities'!K608,372))</x:f>
        <x:v>0</x:v>
      </x:c>
      <x:c r="BP608" s="22" t="n">
        <x:f>MAX(0,MIN('Activities'!L608,384)-MAX('Activities'!K608,378))</x:f>
        <x:v>0</x:v>
      </x:c>
      <x:c r="BQ608" s="22" t="n">
        <x:f>MAX(0,MIN('Activities'!L608,390)-MAX('Activities'!K608,384))</x:f>
        <x:v>0</x:v>
      </x:c>
      <x:c r="BR608" s="22" t="n">
        <x:f>MAX(0,MIN('Activities'!L608,396)-MAX('Activities'!K608,390))</x:f>
        <x:v>0</x:v>
      </x:c>
      <x:c r="BS608" s="22" t="n">
        <x:f>MAX(0,MIN('Activities'!L608,402)-MAX('Activities'!K608,396))</x:f>
        <x:v>0</x:v>
      </x:c>
      <x:c r="BT608" s="22" t="n">
        <x:f>MAX(0,MIN('Activities'!L608,408)-MAX('Activities'!K608,402))</x:f>
        <x:v>0</x:v>
      </x:c>
      <x:c r="BU608" s="22" t="n">
        <x:f>MAX(0,MIN('Activities'!L608,414)-MAX('Activities'!K608,408))</x:f>
        <x:v>0</x:v>
      </x:c>
      <x:c r="BV608" s="22" t="n">
        <x:f>MAX(0,MIN('Activities'!L608,420)-MAX('Activities'!K608,414))</x:f>
        <x:v>0</x:v>
      </x:c>
      <x:c r="BW608" s="22" t="n">
        <x:f>MAX(0,MIN('Activities'!L608,426)-MAX('Activities'!K608,420))</x:f>
        <x:v>0</x:v>
      </x:c>
      <x:c r="BX608" s="22" t="n">
        <x:f>MAX(0,MIN('Activities'!L608,432)-MAX('Activities'!K608,426))</x:f>
        <x:v>0</x:v>
      </x:c>
      <x:c r="BY608" s="22" t="n">
        <x:f>MAX(0,MIN('Activities'!L608,438)-MAX('Activities'!K608,432))</x:f>
        <x:v>0</x:v>
      </x:c>
      <x:c r="BZ608" s="22" t="n">
        <x:f>MAX(0,MIN('Activities'!L608,444)-MAX('Activities'!K608,438))</x:f>
        <x:v>0</x:v>
      </x:c>
      <x:c r="CA608" s="22" t="n">
        <x:f>MAX(0,MIN('Activities'!L608,450)-MAX('Activities'!K608,444))</x:f>
        <x:v>0</x:v>
      </x:c>
      <x:c r="CB608" s="22" t="n">
        <x:f>MAX(0,MIN('Activities'!L608,456)-MAX('Activities'!K608,450))</x:f>
        <x:v>0</x:v>
      </x:c>
      <x:c r="CC608" s="22" t="n">
        <x:f>MAX(0,MIN('Activities'!L608,462)-MAX('Activities'!K608,456))</x:f>
        <x:v>0</x:v>
      </x:c>
      <x:c r="CD608" s="22" t="n">
        <x:f>MAX(0,MIN('Activities'!L608,468)-MAX('Activities'!K608,462))</x:f>
        <x:v>3</x:v>
      </x:c>
      <x:c r="CE608" s="22" t="n">
        <x:f>MAX(0,MIN('Activities'!L608,474)-MAX('Activities'!K608,468))</x:f>
        <x:v>0</x:v>
      </x:c>
      <x:c r="CF608" s="22" t="n">
        <x:f>MAX(0,MIN('Activities'!L608,480)-MAX('Activities'!K608,474))</x:f>
        <x:v>0</x:v>
      </x:c>
      <x:c r="CG608" s="22" t="n">
        <x:f>MAX(0,MIN('Activities'!L608,486)-MAX('Activities'!K608,480))</x:f>
        <x:v>0</x:v>
      </x:c>
      <x:c r="CH608" s="22" t="n">
        <x:f>MAX(0,MIN('Activities'!L608,492)-MAX('Activities'!K608,486))</x:f>
        <x:v>0</x:v>
      </x:c>
      <x:c r="CI608" s="22" t="n">
        <x:f>MAX(0,MIN('Activities'!L608,498)-MAX('Activities'!K608,492))</x:f>
        <x:v>0</x:v>
      </x:c>
      <x:c r="CJ608" s="22" t="n">
        <x:f>MAX(0,MIN('Activities'!L608,504)-MAX('Activities'!K608,498))</x:f>
        <x:v>0</x:v>
      </x:c>
      <x:c r="CK608" s="22" t="n">
        <x:f>MAX(0,MIN('Activities'!L608,510)-MAX('Activities'!K608,504))</x:f>
        <x:v>0</x:v>
      </x:c>
      <x:c r="CL608" s="22" t="n">
        <x:f>MAX(0,MIN('Activities'!L608,516)-MAX('Activities'!K608,510))</x:f>
        <x:v>0</x:v>
      </x:c>
      <x:c r="CM608" s="22" t="n">
        <x:f>MAX(0,MIN('Activities'!L608,522)-MAX('Activities'!K608,516))</x:f>
        <x:v>0</x:v>
      </x:c>
      <x:c r="CN608" s="22" t="n">
        <x:f>MAX(0,MIN('Activities'!L608,528)-MAX('Activities'!K608,522))</x:f>
        <x:v>0</x:v>
      </x:c>
      <x:c r="CO608" s="22" t="n">
        <x:f>MAX(0,MIN('Activities'!L608,534)-MAX('Activities'!K608,528))</x:f>
        <x:v>0</x:v>
      </x:c>
      <x:c r="CP608" s="22" t="n">
        <x:f>MAX(0,MIN('Activities'!L608,540)-MAX('Activities'!K608,534))</x:f>
        <x:v>0</x:v>
      </x:c>
      <x:c r="CQ608" s="22" t="n">
        <x:f>MAX(0,MIN('Activities'!L608,546)-MAX('Activities'!K608,540))</x:f>
        <x:v>0</x:v>
      </x:c>
      <x:c r="CR608" s="22" t="n">
        <x:f>MAX(0,MIN('Activities'!L608,552)-MAX('Activities'!K608,546))</x:f>
        <x:v>0</x:v>
      </x:c>
      <x:c r="CS608" s="22" t="n">
        <x:f>MAX(0,MIN('Activities'!L608,558)-MAX('Activities'!K608,552))</x:f>
        <x:v>0</x:v>
      </x:c>
      <x:c r="CT608" s="22" t="n">
        <x:f>MAX(0,MIN('Activities'!L608,564)-MAX('Activities'!K608,558))</x:f>
        <x:v>0</x:v>
      </x:c>
      <x:c r="CU608" s="22" t="n">
        <x:f>MAX(0,MIN('Activities'!L608,570)-MAX('Activities'!K608,564))</x:f>
        <x:v>0</x:v>
      </x:c>
      <x:c r="CV608" s="22" t="n">
        <x:f>MAX(0,MIN('Activities'!L608,576)-MAX('Activities'!K608,570))</x:f>
        <x:v>0</x:v>
      </x:c>
      <x:c r="CW608" s="22" t="n">
        <x:f>MAX(0,MIN('Activities'!L608,582)-MAX('Activities'!K608,576))</x:f>
        <x:v>0</x:v>
      </x:c>
      <x:c r="CX608" s="22" t="n">
        <x:f>MAX(0,MIN('Activities'!L608,588)-MAX('Activities'!K608,582))</x:f>
        <x:v>0</x:v>
      </x:c>
      <x:c r="CY608" s="22" t="n">
        <x:f>MAX(0,MIN('Activities'!L608,594)-MAX('Activities'!K608,588))</x:f>
        <x:v>0</x:v>
      </x:c>
      <x:c r="CZ608" s="22" t="n">
        <x:f>MAX(0,MIN('Activities'!L608,600)-MAX('Activities'!K608,594))</x:f>
        <x:v>0</x:v>
      </x:c>
      <x:c r="DA608" s="22" t="n">
        <x:f>MAX(0,MIN('Activities'!L608,606)-MAX('Activities'!K608,600))</x:f>
        <x:v>0</x:v>
      </x:c>
      <x:c r="DB608" s="22" t="n">
        <x:f>MAX(0,MIN('Activities'!L608,612)-MAX('Activities'!K608,606))</x:f>
        <x:v>0</x:v>
      </x:c>
      <x:c r="DC608" s="22" t="n">
        <x:f>MAX(0,MIN('Activities'!L608,618)-MAX('Activities'!K608,612))</x:f>
        <x:v>0</x:v>
      </x:c>
      <x:c r="DD608" s="22" t="n">
        <x:f>MAX(0,MIN('Activities'!L608,624)-MAX('Activities'!K608,618))</x:f>
        <x:v>0</x:v>
      </x:c>
      <x:c r="DE608" s="22" t="n">
        <x:f>MAX(0,MIN('Activities'!L608,630)-MAX('Activities'!K608,624))</x:f>
        <x:v>0</x:v>
      </x:c>
      <x:c r="DF608" s="22" t="n">
        <x:f>MAX(0,MIN('Activities'!L608,636)-MAX('Activities'!K608,630))</x:f>
        <x:v>0</x:v>
      </x:c>
    </x:row>
    <x:row r="609" ht="23" customHeight="1">
      <x:c r="A609" s="1" t="str">
        <x:v>T5-L01-M</x:v>
      </x:c>
      <x:c r="B609" s="1" t="str">
        <x:v>T5</x:v>
      </x:c>
      <x:c r="C609" s="1" t="str">
        <x:v>Partition masonry</x:v>
      </x:c>
      <x:c r="D609" s="1" t="str">
        <x:v>Masonry</x:v>
      </x:c>
      <x:c r="E609" s="23" t="n">
        <x:f>MAX(0,MIN('Activities'!L609,6)-MAX('Activities'!K609,0))</x:f>
        <x:v>0</x:v>
      </x:c>
      <x:c r="F609" s="23" t="n">
        <x:f>MAX(0,MIN('Activities'!L609,12)-MAX('Activities'!K609,6))</x:f>
        <x:v>0</x:v>
      </x:c>
      <x:c r="G609" s="23" t="n">
        <x:f>MAX(0,MIN('Activities'!L609,18)-MAX('Activities'!K609,12))</x:f>
        <x:v>0</x:v>
      </x:c>
      <x:c r="H609" s="23" t="n">
        <x:f>MAX(0,MIN('Activities'!L609,24)-MAX('Activities'!K609,18))</x:f>
        <x:v>0</x:v>
      </x:c>
      <x:c r="I609" s="23" t="n">
        <x:f>MAX(0,MIN('Activities'!L609,30)-MAX('Activities'!K609,24))</x:f>
        <x:v>0</x:v>
      </x:c>
      <x:c r="J609" s="23" t="n">
        <x:f>MAX(0,MIN('Activities'!L609,36)-MAX('Activities'!K609,30))</x:f>
        <x:v>0</x:v>
      </x:c>
      <x:c r="K609" s="23" t="n">
        <x:f>MAX(0,MIN('Activities'!L609,42)-MAX('Activities'!K609,36))</x:f>
        <x:v>0</x:v>
      </x:c>
      <x:c r="L609" s="23" t="n">
        <x:f>MAX(0,MIN('Activities'!L609,48)-MAX('Activities'!K609,42))</x:f>
        <x:v>0</x:v>
      </x:c>
      <x:c r="M609" s="23" t="n">
        <x:f>MAX(0,MIN('Activities'!L609,54)-MAX('Activities'!K609,48))</x:f>
        <x:v>0</x:v>
      </x:c>
      <x:c r="N609" s="23" t="n">
        <x:f>MAX(0,MIN('Activities'!L609,60)-MAX('Activities'!K609,54))</x:f>
        <x:v>0</x:v>
      </x:c>
      <x:c r="O609" s="23" t="n">
        <x:f>MAX(0,MIN('Activities'!L609,66)-MAX('Activities'!K609,60))</x:f>
        <x:v>0</x:v>
      </x:c>
      <x:c r="P609" s="23" t="n">
        <x:f>MAX(0,MIN('Activities'!L609,72)-MAX('Activities'!K609,66))</x:f>
        <x:v>0</x:v>
      </x:c>
      <x:c r="Q609" s="23" t="n">
        <x:f>MAX(0,MIN('Activities'!L609,78)-MAX('Activities'!K609,72))</x:f>
        <x:v>0</x:v>
      </x:c>
      <x:c r="R609" s="23" t="n">
        <x:f>MAX(0,MIN('Activities'!L609,84)-MAX('Activities'!K609,78))</x:f>
        <x:v>0</x:v>
      </x:c>
      <x:c r="S609" s="23" t="n">
        <x:f>MAX(0,MIN('Activities'!L609,90)-MAX('Activities'!K609,84))</x:f>
        <x:v>0</x:v>
      </x:c>
      <x:c r="T609" s="23" t="n">
        <x:f>MAX(0,MIN('Activities'!L609,96)-MAX('Activities'!K609,90))</x:f>
        <x:v>0</x:v>
      </x:c>
      <x:c r="U609" s="23" t="n">
        <x:f>MAX(0,MIN('Activities'!L609,102)-MAX('Activities'!K609,96))</x:f>
        <x:v>0</x:v>
      </x:c>
      <x:c r="V609" s="23" t="n">
        <x:f>MAX(0,MIN('Activities'!L609,108)-MAX('Activities'!K609,102))</x:f>
        <x:v>0</x:v>
      </x:c>
      <x:c r="W609" s="23" t="n">
        <x:f>MAX(0,MIN('Activities'!L609,114)-MAX('Activities'!K609,108))</x:f>
        <x:v>0</x:v>
      </x:c>
      <x:c r="X609" s="23" t="n">
        <x:f>MAX(0,MIN('Activities'!L609,120)-MAX('Activities'!K609,114))</x:f>
        <x:v>0</x:v>
      </x:c>
      <x:c r="Y609" s="23" t="n">
        <x:f>MAX(0,MIN('Activities'!L609,126)-MAX('Activities'!K609,120))</x:f>
        <x:v>0</x:v>
      </x:c>
      <x:c r="Z609" s="23" t="n">
        <x:f>MAX(0,MIN('Activities'!L609,132)-MAX('Activities'!K609,126))</x:f>
        <x:v>0</x:v>
      </x:c>
      <x:c r="AA609" s="23" t="n">
        <x:f>MAX(0,MIN('Activities'!L609,138)-MAX('Activities'!K609,132))</x:f>
        <x:v>0</x:v>
      </x:c>
      <x:c r="AB609" s="23" t="n">
        <x:f>MAX(0,MIN('Activities'!L609,144)-MAX('Activities'!K609,138))</x:f>
        <x:v>0</x:v>
      </x:c>
      <x:c r="AC609" s="23" t="n">
        <x:f>MAX(0,MIN('Activities'!L609,150)-MAX('Activities'!K609,144))</x:f>
        <x:v>0</x:v>
      </x:c>
      <x:c r="AD609" s="23" t="n">
        <x:f>MAX(0,MIN('Activities'!L609,156)-MAX('Activities'!K609,150))</x:f>
        <x:v>0</x:v>
      </x:c>
      <x:c r="AE609" s="23" t="n">
        <x:f>MAX(0,MIN('Activities'!L609,162)-MAX('Activities'!K609,156))</x:f>
        <x:v>0</x:v>
      </x:c>
      <x:c r="AF609" s="23" t="n">
        <x:f>MAX(0,MIN('Activities'!L609,168)-MAX('Activities'!K609,162))</x:f>
        <x:v>0</x:v>
      </x:c>
      <x:c r="AG609" s="23" t="n">
        <x:f>MAX(0,MIN('Activities'!L609,174)-MAX('Activities'!K609,168))</x:f>
        <x:v>0</x:v>
      </x:c>
      <x:c r="AH609" s="23" t="n">
        <x:f>MAX(0,MIN('Activities'!L609,180)-MAX('Activities'!K609,174))</x:f>
        <x:v>0</x:v>
      </x:c>
      <x:c r="AI609" s="23" t="n">
        <x:f>MAX(0,MIN('Activities'!L609,186)-MAX('Activities'!K609,180))</x:f>
        <x:v>0</x:v>
      </x:c>
      <x:c r="AJ609" s="23" t="n">
        <x:f>MAX(0,MIN('Activities'!L609,192)-MAX('Activities'!K609,186))</x:f>
        <x:v>0</x:v>
      </x:c>
      <x:c r="AK609" s="23" t="n">
        <x:f>MAX(0,MIN('Activities'!L609,198)-MAX('Activities'!K609,192))</x:f>
        <x:v>0</x:v>
      </x:c>
      <x:c r="AL609" s="23" t="n">
        <x:f>MAX(0,MIN('Activities'!L609,204)-MAX('Activities'!K609,198))</x:f>
        <x:v>0</x:v>
      </x:c>
      <x:c r="AM609" s="23" t="n">
        <x:f>MAX(0,MIN('Activities'!L609,210)-MAX('Activities'!K609,204))</x:f>
        <x:v>0</x:v>
      </x:c>
      <x:c r="AN609" s="23" t="n">
        <x:f>MAX(0,MIN('Activities'!L609,216)-MAX('Activities'!K609,210))</x:f>
        <x:v>0</x:v>
      </x:c>
      <x:c r="AO609" s="23" t="n">
        <x:f>MAX(0,MIN('Activities'!L609,222)-MAX('Activities'!K609,216))</x:f>
        <x:v>0</x:v>
      </x:c>
      <x:c r="AP609" s="23" t="n">
        <x:f>MAX(0,MIN('Activities'!L609,228)-MAX('Activities'!K609,222))</x:f>
        <x:v>0</x:v>
      </x:c>
      <x:c r="AQ609" s="23" t="n">
        <x:f>MAX(0,MIN('Activities'!L609,234)-MAX('Activities'!K609,228))</x:f>
        <x:v>0</x:v>
      </x:c>
      <x:c r="AR609" s="23" t="n">
        <x:f>MAX(0,MIN('Activities'!L609,240)-MAX('Activities'!K609,234))</x:f>
        <x:v>0</x:v>
      </x:c>
      <x:c r="AS609" s="23" t="n">
        <x:f>MAX(0,MIN('Activities'!L609,246)-MAX('Activities'!K609,240))</x:f>
        <x:v>0</x:v>
      </x:c>
      <x:c r="AT609" s="23" t="n">
        <x:f>MAX(0,MIN('Activities'!L609,252)-MAX('Activities'!K609,246))</x:f>
        <x:v>0</x:v>
      </x:c>
      <x:c r="AU609" s="23" t="n">
        <x:f>MAX(0,MIN('Activities'!L609,258)-MAX('Activities'!K609,252))</x:f>
        <x:v>0</x:v>
      </x:c>
      <x:c r="AV609" s="23" t="n">
        <x:f>MAX(0,MIN('Activities'!L609,264)-MAX('Activities'!K609,258))</x:f>
        <x:v>0</x:v>
      </x:c>
      <x:c r="AW609" s="23" t="n">
        <x:f>MAX(0,MIN('Activities'!L609,270)-MAX('Activities'!K609,264))</x:f>
        <x:v>0</x:v>
      </x:c>
      <x:c r="AX609" s="23" t="n">
        <x:f>MAX(0,MIN('Activities'!L609,276)-MAX('Activities'!K609,270))</x:f>
        <x:v>0</x:v>
      </x:c>
      <x:c r="AY609" s="23" t="n">
        <x:f>MAX(0,MIN('Activities'!L609,282)-MAX('Activities'!K609,276))</x:f>
        <x:v>5</x:v>
      </x:c>
      <x:c r="AZ609" s="23" t="n">
        <x:f>MAX(0,MIN('Activities'!L609,288)-MAX('Activities'!K609,282))</x:f>
        <x:v>0</x:v>
      </x:c>
      <x:c r="BA609" s="23" t="n">
        <x:f>MAX(0,MIN('Activities'!L609,294)-MAX('Activities'!K609,288))</x:f>
        <x:v>0</x:v>
      </x:c>
      <x:c r="BB609" s="23" t="n">
        <x:f>MAX(0,MIN('Activities'!L609,300)-MAX('Activities'!K609,294))</x:f>
        <x:v>0</x:v>
      </x:c>
      <x:c r="BC609" s="23" t="n">
        <x:f>MAX(0,MIN('Activities'!L609,306)-MAX('Activities'!K609,300))</x:f>
        <x:v>0</x:v>
      </x:c>
      <x:c r="BD609" s="23" t="n">
        <x:f>MAX(0,MIN('Activities'!L609,312)-MAX('Activities'!K609,306))</x:f>
        <x:v>0</x:v>
      </x:c>
      <x:c r="BE609" s="23" t="n">
        <x:f>MAX(0,MIN('Activities'!L609,318)-MAX('Activities'!K609,312))</x:f>
        <x:v>0</x:v>
      </x:c>
      <x:c r="BF609" s="23" t="n">
        <x:f>MAX(0,MIN('Activities'!L609,324)-MAX('Activities'!K609,318))</x:f>
        <x:v>0</x:v>
      </x:c>
      <x:c r="BG609" s="23" t="n">
        <x:f>MAX(0,MIN('Activities'!L609,330)-MAX('Activities'!K609,324))</x:f>
        <x:v>0</x:v>
      </x:c>
      <x:c r="BH609" s="23" t="n">
        <x:f>MAX(0,MIN('Activities'!L609,336)-MAX('Activities'!K609,330))</x:f>
        <x:v>0</x:v>
      </x:c>
      <x:c r="BI609" s="23" t="n">
        <x:f>MAX(0,MIN('Activities'!L609,342)-MAX('Activities'!K609,336))</x:f>
        <x:v>0</x:v>
      </x:c>
      <x:c r="BJ609" s="23" t="n">
        <x:f>MAX(0,MIN('Activities'!L609,348)-MAX('Activities'!K609,342))</x:f>
        <x:v>0</x:v>
      </x:c>
      <x:c r="BK609" s="23" t="n">
        <x:f>MAX(0,MIN('Activities'!L609,354)-MAX('Activities'!K609,348))</x:f>
        <x:v>0</x:v>
      </x:c>
      <x:c r="BL609" s="23" t="n">
        <x:f>MAX(0,MIN('Activities'!L609,360)-MAX('Activities'!K609,354))</x:f>
        <x:v>0</x:v>
      </x:c>
      <x:c r="BM609" s="23" t="n">
        <x:f>MAX(0,MIN('Activities'!L609,366)-MAX('Activities'!K609,360))</x:f>
        <x:v>0</x:v>
      </x:c>
      <x:c r="BN609" s="23" t="n">
        <x:f>MAX(0,MIN('Activities'!L609,372)-MAX('Activities'!K609,366))</x:f>
        <x:v>0</x:v>
      </x:c>
      <x:c r="BO609" s="23" t="n">
        <x:f>MAX(0,MIN('Activities'!L609,378)-MAX('Activities'!K609,372))</x:f>
        <x:v>0</x:v>
      </x:c>
      <x:c r="BP609" s="23" t="n">
        <x:f>MAX(0,MIN('Activities'!L609,384)-MAX('Activities'!K609,378))</x:f>
        <x:v>0</x:v>
      </x:c>
      <x:c r="BQ609" s="23" t="n">
        <x:f>MAX(0,MIN('Activities'!L609,390)-MAX('Activities'!K609,384))</x:f>
        <x:v>0</x:v>
      </x:c>
      <x:c r="BR609" s="23" t="n">
        <x:f>MAX(0,MIN('Activities'!L609,396)-MAX('Activities'!K609,390))</x:f>
        <x:v>0</x:v>
      </x:c>
      <x:c r="BS609" s="23" t="n">
        <x:f>MAX(0,MIN('Activities'!L609,402)-MAX('Activities'!K609,396))</x:f>
        <x:v>0</x:v>
      </x:c>
      <x:c r="BT609" s="23" t="n">
        <x:f>MAX(0,MIN('Activities'!L609,408)-MAX('Activities'!K609,402))</x:f>
        <x:v>0</x:v>
      </x:c>
      <x:c r="BU609" s="23" t="n">
        <x:f>MAX(0,MIN('Activities'!L609,414)-MAX('Activities'!K609,408))</x:f>
        <x:v>0</x:v>
      </x:c>
      <x:c r="BV609" s="23" t="n">
        <x:f>MAX(0,MIN('Activities'!L609,420)-MAX('Activities'!K609,414))</x:f>
        <x:v>0</x:v>
      </x:c>
      <x:c r="BW609" s="23" t="n">
        <x:f>MAX(0,MIN('Activities'!L609,426)-MAX('Activities'!K609,420))</x:f>
        <x:v>0</x:v>
      </x:c>
      <x:c r="BX609" s="23" t="n">
        <x:f>MAX(0,MIN('Activities'!L609,432)-MAX('Activities'!K609,426))</x:f>
        <x:v>0</x:v>
      </x:c>
      <x:c r="BY609" s="23" t="n">
        <x:f>MAX(0,MIN('Activities'!L609,438)-MAX('Activities'!K609,432))</x:f>
        <x:v>0</x:v>
      </x:c>
      <x:c r="BZ609" s="23" t="n">
        <x:f>MAX(0,MIN('Activities'!L609,444)-MAX('Activities'!K609,438))</x:f>
        <x:v>0</x:v>
      </x:c>
      <x:c r="CA609" s="23" t="n">
        <x:f>MAX(0,MIN('Activities'!L609,450)-MAX('Activities'!K609,444))</x:f>
        <x:v>0</x:v>
      </x:c>
      <x:c r="CB609" s="23" t="n">
        <x:f>MAX(0,MIN('Activities'!L609,456)-MAX('Activities'!K609,450))</x:f>
        <x:v>0</x:v>
      </x:c>
      <x:c r="CC609" s="23" t="n">
        <x:f>MAX(0,MIN('Activities'!L609,462)-MAX('Activities'!K609,456))</x:f>
        <x:v>0</x:v>
      </x:c>
      <x:c r="CD609" s="23" t="n">
        <x:f>MAX(0,MIN('Activities'!L609,468)-MAX('Activities'!K609,462))</x:f>
        <x:v>0</x:v>
      </x:c>
      <x:c r="CE609" s="23" t="n">
        <x:f>MAX(0,MIN('Activities'!L609,474)-MAX('Activities'!K609,468))</x:f>
        <x:v>0</x:v>
      </x:c>
      <x:c r="CF609" s="23" t="n">
        <x:f>MAX(0,MIN('Activities'!L609,480)-MAX('Activities'!K609,474))</x:f>
        <x:v>0</x:v>
      </x:c>
      <x:c r="CG609" s="23" t="n">
        <x:f>MAX(0,MIN('Activities'!L609,486)-MAX('Activities'!K609,480))</x:f>
        <x:v>0</x:v>
      </x:c>
      <x:c r="CH609" s="23" t="n">
        <x:f>MAX(0,MIN('Activities'!L609,492)-MAX('Activities'!K609,486))</x:f>
        <x:v>0</x:v>
      </x:c>
      <x:c r="CI609" s="23" t="n">
        <x:f>MAX(0,MIN('Activities'!L609,498)-MAX('Activities'!K609,492))</x:f>
        <x:v>0</x:v>
      </x:c>
      <x:c r="CJ609" s="23" t="n">
        <x:f>MAX(0,MIN('Activities'!L609,504)-MAX('Activities'!K609,498))</x:f>
        <x:v>0</x:v>
      </x:c>
      <x:c r="CK609" s="23" t="n">
        <x:f>MAX(0,MIN('Activities'!L609,510)-MAX('Activities'!K609,504))</x:f>
        <x:v>0</x:v>
      </x:c>
      <x:c r="CL609" s="23" t="n">
        <x:f>MAX(0,MIN('Activities'!L609,516)-MAX('Activities'!K609,510))</x:f>
        <x:v>0</x:v>
      </x:c>
      <x:c r="CM609" s="23" t="n">
        <x:f>MAX(0,MIN('Activities'!L609,522)-MAX('Activities'!K609,516))</x:f>
        <x:v>0</x:v>
      </x:c>
      <x:c r="CN609" s="23" t="n">
        <x:f>MAX(0,MIN('Activities'!L609,528)-MAX('Activities'!K609,522))</x:f>
        <x:v>0</x:v>
      </x:c>
      <x:c r="CO609" s="23" t="n">
        <x:f>MAX(0,MIN('Activities'!L609,534)-MAX('Activities'!K609,528))</x:f>
        <x:v>0</x:v>
      </x:c>
      <x:c r="CP609" s="23" t="n">
        <x:f>MAX(0,MIN('Activities'!L609,540)-MAX('Activities'!K609,534))</x:f>
        <x:v>0</x:v>
      </x:c>
      <x:c r="CQ609" s="23" t="n">
        <x:f>MAX(0,MIN('Activities'!L609,546)-MAX('Activities'!K609,540))</x:f>
        <x:v>0</x:v>
      </x:c>
      <x:c r="CR609" s="23" t="n">
        <x:f>MAX(0,MIN('Activities'!L609,552)-MAX('Activities'!K609,546))</x:f>
        <x:v>0</x:v>
      </x:c>
      <x:c r="CS609" s="23" t="n">
        <x:f>MAX(0,MIN('Activities'!L609,558)-MAX('Activities'!K609,552))</x:f>
        <x:v>0</x:v>
      </x:c>
      <x:c r="CT609" s="23" t="n">
        <x:f>MAX(0,MIN('Activities'!L609,564)-MAX('Activities'!K609,558))</x:f>
        <x:v>0</x:v>
      </x:c>
      <x:c r="CU609" s="23" t="n">
        <x:f>MAX(0,MIN('Activities'!L609,570)-MAX('Activities'!K609,564))</x:f>
        <x:v>0</x:v>
      </x:c>
      <x:c r="CV609" s="23" t="n">
        <x:f>MAX(0,MIN('Activities'!L609,576)-MAX('Activities'!K609,570))</x:f>
        <x:v>0</x:v>
      </x:c>
      <x:c r="CW609" s="23" t="n">
        <x:f>MAX(0,MIN('Activities'!L609,582)-MAX('Activities'!K609,576))</x:f>
        <x:v>0</x:v>
      </x:c>
      <x:c r="CX609" s="23" t="n">
        <x:f>MAX(0,MIN('Activities'!L609,588)-MAX('Activities'!K609,582))</x:f>
        <x:v>0</x:v>
      </x:c>
      <x:c r="CY609" s="23" t="n">
        <x:f>MAX(0,MIN('Activities'!L609,594)-MAX('Activities'!K609,588))</x:f>
        <x:v>0</x:v>
      </x:c>
      <x:c r="CZ609" s="23" t="n">
        <x:f>MAX(0,MIN('Activities'!L609,600)-MAX('Activities'!K609,594))</x:f>
        <x:v>0</x:v>
      </x:c>
      <x:c r="DA609" s="23" t="n">
        <x:f>MAX(0,MIN('Activities'!L609,606)-MAX('Activities'!K609,600))</x:f>
        <x:v>0</x:v>
      </x:c>
      <x:c r="DB609" s="23" t="n">
        <x:f>MAX(0,MIN('Activities'!L609,612)-MAX('Activities'!K609,606))</x:f>
        <x:v>0</x:v>
      </x:c>
      <x:c r="DC609" s="23" t="n">
        <x:f>MAX(0,MIN('Activities'!L609,618)-MAX('Activities'!K609,612))</x:f>
        <x:v>0</x:v>
      </x:c>
      <x:c r="DD609" s="23" t="n">
        <x:f>MAX(0,MIN('Activities'!L609,624)-MAX('Activities'!K609,618))</x:f>
        <x:v>0</x:v>
      </x:c>
      <x:c r="DE609" s="23" t="n">
        <x:f>MAX(0,MIN('Activities'!L609,630)-MAX('Activities'!K609,624))</x:f>
        <x:v>0</x:v>
      </x:c>
      <x:c r="DF609" s="23" t="n">
        <x:f>MAX(0,MIN('Activities'!L609,636)-MAX('Activities'!K609,630))</x:f>
        <x:v>0</x:v>
      </x:c>
    </x:row>
    <x:row r="610" ht="23" customHeight="1">
      <x:c r="A610" s="6" t="str">
        <x:v>T5-L01-P</x:v>
      </x:c>
      <x:c r="B610" s="6" t="str">
        <x:v>T5</x:v>
      </x:c>
      <x:c r="C610" s="6" t="str">
        <x:v>Internal plaster</x:v>
      </x:c>
      <x:c r="D610" s="6" t="str">
        <x:v>Finishes</x:v>
      </x:c>
      <x:c r="E610" s="22" t="n">
        <x:f>MAX(0,MIN('Activities'!L610,6)-MAX('Activities'!K610,0))</x:f>
        <x:v>0</x:v>
      </x:c>
      <x:c r="F610" s="22" t="n">
        <x:f>MAX(0,MIN('Activities'!L610,12)-MAX('Activities'!K610,6))</x:f>
        <x:v>0</x:v>
      </x:c>
      <x:c r="G610" s="22" t="n">
        <x:f>MAX(0,MIN('Activities'!L610,18)-MAX('Activities'!K610,12))</x:f>
        <x:v>0</x:v>
      </x:c>
      <x:c r="H610" s="22" t="n">
        <x:f>MAX(0,MIN('Activities'!L610,24)-MAX('Activities'!K610,18))</x:f>
        <x:v>0</x:v>
      </x:c>
      <x:c r="I610" s="22" t="n">
        <x:f>MAX(0,MIN('Activities'!L610,30)-MAX('Activities'!K610,24))</x:f>
        <x:v>0</x:v>
      </x:c>
      <x:c r="J610" s="22" t="n">
        <x:f>MAX(0,MIN('Activities'!L610,36)-MAX('Activities'!K610,30))</x:f>
        <x:v>0</x:v>
      </x:c>
      <x:c r="K610" s="22" t="n">
        <x:f>MAX(0,MIN('Activities'!L610,42)-MAX('Activities'!K610,36))</x:f>
        <x:v>0</x:v>
      </x:c>
      <x:c r="L610" s="22" t="n">
        <x:f>MAX(0,MIN('Activities'!L610,48)-MAX('Activities'!K610,42))</x:f>
        <x:v>0</x:v>
      </x:c>
      <x:c r="M610" s="22" t="n">
        <x:f>MAX(0,MIN('Activities'!L610,54)-MAX('Activities'!K610,48))</x:f>
        <x:v>0</x:v>
      </x:c>
      <x:c r="N610" s="22" t="n">
        <x:f>MAX(0,MIN('Activities'!L610,60)-MAX('Activities'!K610,54))</x:f>
        <x:v>0</x:v>
      </x:c>
      <x:c r="O610" s="22" t="n">
        <x:f>MAX(0,MIN('Activities'!L610,66)-MAX('Activities'!K610,60))</x:f>
        <x:v>0</x:v>
      </x:c>
      <x:c r="P610" s="22" t="n">
        <x:f>MAX(0,MIN('Activities'!L610,72)-MAX('Activities'!K610,66))</x:f>
        <x:v>0</x:v>
      </x:c>
      <x:c r="Q610" s="22" t="n">
        <x:f>MAX(0,MIN('Activities'!L610,78)-MAX('Activities'!K610,72))</x:f>
        <x:v>0</x:v>
      </x:c>
      <x:c r="R610" s="22" t="n">
        <x:f>MAX(0,MIN('Activities'!L610,84)-MAX('Activities'!K610,78))</x:f>
        <x:v>0</x:v>
      </x:c>
      <x:c r="S610" s="22" t="n">
        <x:f>MAX(0,MIN('Activities'!L610,90)-MAX('Activities'!K610,84))</x:f>
        <x:v>0</x:v>
      </x:c>
      <x:c r="T610" s="22" t="n">
        <x:f>MAX(0,MIN('Activities'!L610,96)-MAX('Activities'!K610,90))</x:f>
        <x:v>0</x:v>
      </x:c>
      <x:c r="U610" s="22" t="n">
        <x:f>MAX(0,MIN('Activities'!L610,102)-MAX('Activities'!K610,96))</x:f>
        <x:v>0</x:v>
      </x:c>
      <x:c r="V610" s="22" t="n">
        <x:f>MAX(0,MIN('Activities'!L610,108)-MAX('Activities'!K610,102))</x:f>
        <x:v>0</x:v>
      </x:c>
      <x:c r="W610" s="22" t="n">
        <x:f>MAX(0,MIN('Activities'!L610,114)-MAX('Activities'!K610,108))</x:f>
        <x:v>0</x:v>
      </x:c>
      <x:c r="X610" s="22" t="n">
        <x:f>MAX(0,MIN('Activities'!L610,120)-MAX('Activities'!K610,114))</x:f>
        <x:v>0</x:v>
      </x:c>
      <x:c r="Y610" s="22" t="n">
        <x:f>MAX(0,MIN('Activities'!L610,126)-MAX('Activities'!K610,120))</x:f>
        <x:v>0</x:v>
      </x:c>
      <x:c r="Z610" s="22" t="n">
        <x:f>MAX(0,MIN('Activities'!L610,132)-MAX('Activities'!K610,126))</x:f>
        <x:v>0</x:v>
      </x:c>
      <x:c r="AA610" s="22" t="n">
        <x:f>MAX(0,MIN('Activities'!L610,138)-MAX('Activities'!K610,132))</x:f>
        <x:v>0</x:v>
      </x:c>
      <x:c r="AB610" s="22" t="n">
        <x:f>MAX(0,MIN('Activities'!L610,144)-MAX('Activities'!K610,138))</x:f>
        <x:v>0</x:v>
      </x:c>
      <x:c r="AC610" s="22" t="n">
        <x:f>MAX(0,MIN('Activities'!L610,150)-MAX('Activities'!K610,144))</x:f>
        <x:v>0</x:v>
      </x:c>
      <x:c r="AD610" s="22" t="n">
        <x:f>MAX(0,MIN('Activities'!L610,156)-MAX('Activities'!K610,150))</x:f>
        <x:v>0</x:v>
      </x:c>
      <x:c r="AE610" s="22" t="n">
        <x:f>MAX(0,MIN('Activities'!L610,162)-MAX('Activities'!K610,156))</x:f>
        <x:v>0</x:v>
      </x:c>
      <x:c r="AF610" s="22" t="n">
        <x:f>MAX(0,MIN('Activities'!L610,168)-MAX('Activities'!K610,162))</x:f>
        <x:v>0</x:v>
      </x:c>
      <x:c r="AG610" s="22" t="n">
        <x:f>MAX(0,MIN('Activities'!L610,174)-MAX('Activities'!K610,168))</x:f>
        <x:v>0</x:v>
      </x:c>
      <x:c r="AH610" s="22" t="n">
        <x:f>MAX(0,MIN('Activities'!L610,180)-MAX('Activities'!K610,174))</x:f>
        <x:v>0</x:v>
      </x:c>
      <x:c r="AI610" s="22" t="n">
        <x:f>MAX(0,MIN('Activities'!L610,186)-MAX('Activities'!K610,180))</x:f>
        <x:v>0</x:v>
      </x:c>
      <x:c r="AJ610" s="22" t="n">
        <x:f>MAX(0,MIN('Activities'!L610,192)-MAX('Activities'!K610,186))</x:f>
        <x:v>0</x:v>
      </x:c>
      <x:c r="AK610" s="22" t="n">
        <x:f>MAX(0,MIN('Activities'!L610,198)-MAX('Activities'!K610,192))</x:f>
        <x:v>0</x:v>
      </x:c>
      <x:c r="AL610" s="22" t="n">
        <x:f>MAX(0,MIN('Activities'!L610,204)-MAX('Activities'!K610,198))</x:f>
        <x:v>0</x:v>
      </x:c>
      <x:c r="AM610" s="22" t="n">
        <x:f>MAX(0,MIN('Activities'!L610,210)-MAX('Activities'!K610,204))</x:f>
        <x:v>0</x:v>
      </x:c>
      <x:c r="AN610" s="22" t="n">
        <x:f>MAX(0,MIN('Activities'!L610,216)-MAX('Activities'!K610,210))</x:f>
        <x:v>0</x:v>
      </x:c>
      <x:c r="AO610" s="22" t="n">
        <x:f>MAX(0,MIN('Activities'!L610,222)-MAX('Activities'!K610,216))</x:f>
        <x:v>0</x:v>
      </x:c>
      <x:c r="AP610" s="22" t="n">
        <x:f>MAX(0,MIN('Activities'!L610,228)-MAX('Activities'!K610,222))</x:f>
        <x:v>0</x:v>
      </x:c>
      <x:c r="AQ610" s="22" t="n">
        <x:f>MAX(0,MIN('Activities'!L610,234)-MAX('Activities'!K610,228))</x:f>
        <x:v>0</x:v>
      </x:c>
      <x:c r="AR610" s="22" t="n">
        <x:f>MAX(0,MIN('Activities'!L610,240)-MAX('Activities'!K610,234))</x:f>
        <x:v>0</x:v>
      </x:c>
      <x:c r="AS610" s="22" t="n">
        <x:f>MAX(0,MIN('Activities'!L610,246)-MAX('Activities'!K610,240))</x:f>
        <x:v>0</x:v>
      </x:c>
      <x:c r="AT610" s="22" t="n">
        <x:f>MAX(0,MIN('Activities'!L610,252)-MAX('Activities'!K610,246))</x:f>
        <x:v>0</x:v>
      </x:c>
      <x:c r="AU610" s="22" t="n">
        <x:f>MAX(0,MIN('Activities'!L610,258)-MAX('Activities'!K610,252))</x:f>
        <x:v>0</x:v>
      </x:c>
      <x:c r="AV610" s="22" t="n">
        <x:f>MAX(0,MIN('Activities'!L610,264)-MAX('Activities'!K610,258))</x:f>
        <x:v>0</x:v>
      </x:c>
      <x:c r="AW610" s="22" t="n">
        <x:f>MAX(0,MIN('Activities'!L610,270)-MAX('Activities'!K610,264))</x:f>
        <x:v>0</x:v>
      </x:c>
      <x:c r="AX610" s="22" t="n">
        <x:f>MAX(0,MIN('Activities'!L610,276)-MAX('Activities'!K610,270))</x:f>
        <x:v>0</x:v>
      </x:c>
      <x:c r="AY610" s="22" t="n">
        <x:f>MAX(0,MIN('Activities'!L610,282)-MAX('Activities'!K610,276))</x:f>
        <x:v>0</x:v>
      </x:c>
      <x:c r="AZ610" s="22" t="n">
        <x:f>MAX(0,MIN('Activities'!L610,288)-MAX('Activities'!K610,282))</x:f>
        <x:v>3</x:v>
      </x:c>
      <x:c r="BA610" s="22" t="n">
        <x:f>MAX(0,MIN('Activities'!L610,294)-MAX('Activities'!K610,288))</x:f>
        <x:v>3</x:v>
      </x:c>
      <x:c r="BB610" s="22" t="n">
        <x:f>MAX(0,MIN('Activities'!L610,300)-MAX('Activities'!K610,294))</x:f>
        <x:v>0</x:v>
      </x:c>
      <x:c r="BC610" s="22" t="n">
        <x:f>MAX(0,MIN('Activities'!L610,306)-MAX('Activities'!K610,300))</x:f>
        <x:v>0</x:v>
      </x:c>
      <x:c r="BD610" s="22" t="n">
        <x:f>MAX(0,MIN('Activities'!L610,312)-MAX('Activities'!K610,306))</x:f>
        <x:v>0</x:v>
      </x:c>
      <x:c r="BE610" s="22" t="n">
        <x:f>MAX(0,MIN('Activities'!L610,318)-MAX('Activities'!K610,312))</x:f>
        <x:v>0</x:v>
      </x:c>
      <x:c r="BF610" s="22" t="n">
        <x:f>MAX(0,MIN('Activities'!L610,324)-MAX('Activities'!K610,318))</x:f>
        <x:v>0</x:v>
      </x:c>
      <x:c r="BG610" s="22" t="n">
        <x:f>MAX(0,MIN('Activities'!L610,330)-MAX('Activities'!K610,324))</x:f>
        <x:v>0</x:v>
      </x:c>
      <x:c r="BH610" s="22" t="n">
        <x:f>MAX(0,MIN('Activities'!L610,336)-MAX('Activities'!K610,330))</x:f>
        <x:v>0</x:v>
      </x:c>
      <x:c r="BI610" s="22" t="n">
        <x:f>MAX(0,MIN('Activities'!L610,342)-MAX('Activities'!K610,336))</x:f>
        <x:v>0</x:v>
      </x:c>
      <x:c r="BJ610" s="22" t="n">
        <x:f>MAX(0,MIN('Activities'!L610,348)-MAX('Activities'!K610,342))</x:f>
        <x:v>0</x:v>
      </x:c>
      <x:c r="BK610" s="22" t="n">
        <x:f>MAX(0,MIN('Activities'!L610,354)-MAX('Activities'!K610,348))</x:f>
        <x:v>0</x:v>
      </x:c>
      <x:c r="BL610" s="22" t="n">
        <x:f>MAX(0,MIN('Activities'!L610,360)-MAX('Activities'!K610,354))</x:f>
        <x:v>0</x:v>
      </x:c>
      <x:c r="BM610" s="22" t="n">
        <x:f>MAX(0,MIN('Activities'!L610,366)-MAX('Activities'!K610,360))</x:f>
        <x:v>0</x:v>
      </x:c>
      <x:c r="BN610" s="22" t="n">
        <x:f>MAX(0,MIN('Activities'!L610,372)-MAX('Activities'!K610,366))</x:f>
        <x:v>0</x:v>
      </x:c>
      <x:c r="BO610" s="22" t="n">
        <x:f>MAX(0,MIN('Activities'!L610,378)-MAX('Activities'!K610,372))</x:f>
        <x:v>0</x:v>
      </x:c>
      <x:c r="BP610" s="22" t="n">
        <x:f>MAX(0,MIN('Activities'!L610,384)-MAX('Activities'!K610,378))</x:f>
        <x:v>0</x:v>
      </x:c>
      <x:c r="BQ610" s="22" t="n">
        <x:f>MAX(0,MIN('Activities'!L610,390)-MAX('Activities'!K610,384))</x:f>
        <x:v>0</x:v>
      </x:c>
      <x:c r="BR610" s="22" t="n">
        <x:f>MAX(0,MIN('Activities'!L610,396)-MAX('Activities'!K610,390))</x:f>
        <x:v>0</x:v>
      </x:c>
      <x:c r="BS610" s="22" t="n">
        <x:f>MAX(0,MIN('Activities'!L610,402)-MAX('Activities'!K610,396))</x:f>
        <x:v>0</x:v>
      </x:c>
      <x:c r="BT610" s="22" t="n">
        <x:f>MAX(0,MIN('Activities'!L610,408)-MAX('Activities'!K610,402))</x:f>
        <x:v>0</x:v>
      </x:c>
      <x:c r="BU610" s="22" t="n">
        <x:f>MAX(0,MIN('Activities'!L610,414)-MAX('Activities'!K610,408))</x:f>
        <x:v>0</x:v>
      </x:c>
      <x:c r="BV610" s="22" t="n">
        <x:f>MAX(0,MIN('Activities'!L610,420)-MAX('Activities'!K610,414))</x:f>
        <x:v>0</x:v>
      </x:c>
      <x:c r="BW610" s="22" t="n">
        <x:f>MAX(0,MIN('Activities'!L610,426)-MAX('Activities'!K610,420))</x:f>
        <x:v>0</x:v>
      </x:c>
      <x:c r="BX610" s="22" t="n">
        <x:f>MAX(0,MIN('Activities'!L610,432)-MAX('Activities'!K610,426))</x:f>
        <x:v>0</x:v>
      </x:c>
      <x:c r="BY610" s="22" t="n">
        <x:f>MAX(0,MIN('Activities'!L610,438)-MAX('Activities'!K610,432))</x:f>
        <x:v>0</x:v>
      </x:c>
      <x:c r="BZ610" s="22" t="n">
        <x:f>MAX(0,MIN('Activities'!L610,444)-MAX('Activities'!K610,438))</x:f>
        <x:v>0</x:v>
      </x:c>
      <x:c r="CA610" s="22" t="n">
        <x:f>MAX(0,MIN('Activities'!L610,450)-MAX('Activities'!K610,444))</x:f>
        <x:v>0</x:v>
      </x:c>
      <x:c r="CB610" s="22" t="n">
        <x:f>MAX(0,MIN('Activities'!L610,456)-MAX('Activities'!K610,450))</x:f>
        <x:v>0</x:v>
      </x:c>
      <x:c r="CC610" s="22" t="n">
        <x:f>MAX(0,MIN('Activities'!L610,462)-MAX('Activities'!K610,456))</x:f>
        <x:v>0</x:v>
      </x:c>
      <x:c r="CD610" s="22" t="n">
        <x:f>MAX(0,MIN('Activities'!L610,468)-MAX('Activities'!K610,462))</x:f>
        <x:v>0</x:v>
      </x:c>
      <x:c r="CE610" s="22" t="n">
        <x:f>MAX(0,MIN('Activities'!L610,474)-MAX('Activities'!K610,468))</x:f>
        <x:v>0</x:v>
      </x:c>
      <x:c r="CF610" s="22" t="n">
        <x:f>MAX(0,MIN('Activities'!L610,480)-MAX('Activities'!K610,474))</x:f>
        <x:v>0</x:v>
      </x:c>
      <x:c r="CG610" s="22" t="n">
        <x:f>MAX(0,MIN('Activities'!L610,486)-MAX('Activities'!K610,480))</x:f>
        <x:v>0</x:v>
      </x:c>
      <x:c r="CH610" s="22" t="n">
        <x:f>MAX(0,MIN('Activities'!L610,492)-MAX('Activities'!K610,486))</x:f>
        <x:v>0</x:v>
      </x:c>
      <x:c r="CI610" s="22" t="n">
        <x:f>MAX(0,MIN('Activities'!L610,498)-MAX('Activities'!K610,492))</x:f>
        <x:v>0</x:v>
      </x:c>
      <x:c r="CJ610" s="22" t="n">
        <x:f>MAX(0,MIN('Activities'!L610,504)-MAX('Activities'!K610,498))</x:f>
        <x:v>0</x:v>
      </x:c>
      <x:c r="CK610" s="22" t="n">
        <x:f>MAX(0,MIN('Activities'!L610,510)-MAX('Activities'!K610,504))</x:f>
        <x:v>0</x:v>
      </x:c>
      <x:c r="CL610" s="22" t="n">
        <x:f>MAX(0,MIN('Activities'!L610,516)-MAX('Activities'!K610,510))</x:f>
        <x:v>0</x:v>
      </x:c>
      <x:c r="CM610" s="22" t="n">
        <x:f>MAX(0,MIN('Activities'!L610,522)-MAX('Activities'!K610,516))</x:f>
        <x:v>0</x:v>
      </x:c>
      <x:c r="CN610" s="22" t="n">
        <x:f>MAX(0,MIN('Activities'!L610,528)-MAX('Activities'!K610,522))</x:f>
        <x:v>0</x:v>
      </x:c>
      <x:c r="CO610" s="22" t="n">
        <x:f>MAX(0,MIN('Activities'!L610,534)-MAX('Activities'!K610,528))</x:f>
        <x:v>0</x:v>
      </x:c>
      <x:c r="CP610" s="22" t="n">
        <x:f>MAX(0,MIN('Activities'!L610,540)-MAX('Activities'!K610,534))</x:f>
        <x:v>0</x:v>
      </x:c>
      <x:c r="CQ610" s="22" t="n">
        <x:f>MAX(0,MIN('Activities'!L610,546)-MAX('Activities'!K610,540))</x:f>
        <x:v>0</x:v>
      </x:c>
      <x:c r="CR610" s="22" t="n">
        <x:f>MAX(0,MIN('Activities'!L610,552)-MAX('Activities'!K610,546))</x:f>
        <x:v>0</x:v>
      </x:c>
      <x:c r="CS610" s="22" t="n">
        <x:f>MAX(0,MIN('Activities'!L610,558)-MAX('Activities'!K610,552))</x:f>
        <x:v>0</x:v>
      </x:c>
      <x:c r="CT610" s="22" t="n">
        <x:f>MAX(0,MIN('Activities'!L610,564)-MAX('Activities'!K610,558))</x:f>
        <x:v>0</x:v>
      </x:c>
      <x:c r="CU610" s="22" t="n">
        <x:f>MAX(0,MIN('Activities'!L610,570)-MAX('Activities'!K610,564))</x:f>
        <x:v>0</x:v>
      </x:c>
      <x:c r="CV610" s="22" t="n">
        <x:f>MAX(0,MIN('Activities'!L610,576)-MAX('Activities'!K610,570))</x:f>
        <x:v>0</x:v>
      </x:c>
      <x:c r="CW610" s="22" t="n">
        <x:f>MAX(0,MIN('Activities'!L610,582)-MAX('Activities'!K610,576))</x:f>
        <x:v>0</x:v>
      </x:c>
      <x:c r="CX610" s="22" t="n">
        <x:f>MAX(0,MIN('Activities'!L610,588)-MAX('Activities'!K610,582))</x:f>
        <x:v>0</x:v>
      </x:c>
      <x:c r="CY610" s="22" t="n">
        <x:f>MAX(0,MIN('Activities'!L610,594)-MAX('Activities'!K610,588))</x:f>
        <x:v>0</x:v>
      </x:c>
      <x:c r="CZ610" s="22" t="n">
        <x:f>MAX(0,MIN('Activities'!L610,600)-MAX('Activities'!K610,594))</x:f>
        <x:v>0</x:v>
      </x:c>
      <x:c r="DA610" s="22" t="n">
        <x:f>MAX(0,MIN('Activities'!L610,606)-MAX('Activities'!K610,600))</x:f>
        <x:v>0</x:v>
      </x:c>
      <x:c r="DB610" s="22" t="n">
        <x:f>MAX(0,MIN('Activities'!L610,612)-MAX('Activities'!K610,606))</x:f>
        <x:v>0</x:v>
      </x:c>
      <x:c r="DC610" s="22" t="n">
        <x:f>MAX(0,MIN('Activities'!L610,618)-MAX('Activities'!K610,612))</x:f>
        <x:v>0</x:v>
      </x:c>
      <x:c r="DD610" s="22" t="n">
        <x:f>MAX(0,MIN('Activities'!L610,624)-MAX('Activities'!K610,618))</x:f>
        <x:v>0</x:v>
      </x:c>
      <x:c r="DE610" s="22" t="n">
        <x:f>MAX(0,MIN('Activities'!L610,630)-MAX('Activities'!K610,624))</x:f>
        <x:v>0</x:v>
      </x:c>
      <x:c r="DF610" s="22" t="n">
        <x:f>MAX(0,MIN('Activities'!L610,636)-MAX('Activities'!K610,630))</x:f>
        <x:v>0</x:v>
      </x:c>
    </x:row>
    <x:row r="611" ht="23" customHeight="1">
      <x:c r="A611" s="1" t="str">
        <x:v>T5-L01-S</x:v>
      </x:c>
      <x:c r="B611" s="1" t="str">
        <x:v>T5</x:v>
      </x:c>
      <x:c r="C611" s="1" t="str">
        <x:v>Screed and substrate preparation</x:v>
      </x:c>
      <x:c r="D611" s="1" t="str">
        <x:v>Finishes</x:v>
      </x:c>
      <x:c r="E611" s="23" t="n">
        <x:f>MAX(0,MIN('Activities'!L611,6)-MAX('Activities'!K611,0))</x:f>
        <x:v>0</x:v>
      </x:c>
      <x:c r="F611" s="23" t="n">
        <x:f>MAX(0,MIN('Activities'!L611,12)-MAX('Activities'!K611,6))</x:f>
        <x:v>0</x:v>
      </x:c>
      <x:c r="G611" s="23" t="n">
        <x:f>MAX(0,MIN('Activities'!L611,18)-MAX('Activities'!K611,12))</x:f>
        <x:v>0</x:v>
      </x:c>
      <x:c r="H611" s="23" t="n">
        <x:f>MAX(0,MIN('Activities'!L611,24)-MAX('Activities'!K611,18))</x:f>
        <x:v>0</x:v>
      </x:c>
      <x:c r="I611" s="23" t="n">
        <x:f>MAX(0,MIN('Activities'!L611,30)-MAX('Activities'!K611,24))</x:f>
        <x:v>0</x:v>
      </x:c>
      <x:c r="J611" s="23" t="n">
        <x:f>MAX(0,MIN('Activities'!L611,36)-MAX('Activities'!K611,30))</x:f>
        <x:v>0</x:v>
      </x:c>
      <x:c r="K611" s="23" t="n">
        <x:f>MAX(0,MIN('Activities'!L611,42)-MAX('Activities'!K611,36))</x:f>
        <x:v>0</x:v>
      </x:c>
      <x:c r="L611" s="23" t="n">
        <x:f>MAX(0,MIN('Activities'!L611,48)-MAX('Activities'!K611,42))</x:f>
        <x:v>0</x:v>
      </x:c>
      <x:c r="M611" s="23" t="n">
        <x:f>MAX(0,MIN('Activities'!L611,54)-MAX('Activities'!K611,48))</x:f>
        <x:v>0</x:v>
      </x:c>
      <x:c r="N611" s="23" t="n">
        <x:f>MAX(0,MIN('Activities'!L611,60)-MAX('Activities'!K611,54))</x:f>
        <x:v>0</x:v>
      </x:c>
      <x:c r="O611" s="23" t="n">
        <x:f>MAX(0,MIN('Activities'!L611,66)-MAX('Activities'!K611,60))</x:f>
        <x:v>0</x:v>
      </x:c>
      <x:c r="P611" s="23" t="n">
        <x:f>MAX(0,MIN('Activities'!L611,72)-MAX('Activities'!K611,66))</x:f>
        <x:v>0</x:v>
      </x:c>
      <x:c r="Q611" s="23" t="n">
        <x:f>MAX(0,MIN('Activities'!L611,78)-MAX('Activities'!K611,72))</x:f>
        <x:v>0</x:v>
      </x:c>
      <x:c r="R611" s="23" t="n">
        <x:f>MAX(0,MIN('Activities'!L611,84)-MAX('Activities'!K611,78))</x:f>
        <x:v>0</x:v>
      </x:c>
      <x:c r="S611" s="23" t="n">
        <x:f>MAX(0,MIN('Activities'!L611,90)-MAX('Activities'!K611,84))</x:f>
        <x:v>0</x:v>
      </x:c>
      <x:c r="T611" s="23" t="n">
        <x:f>MAX(0,MIN('Activities'!L611,96)-MAX('Activities'!K611,90))</x:f>
        <x:v>0</x:v>
      </x:c>
      <x:c r="U611" s="23" t="n">
        <x:f>MAX(0,MIN('Activities'!L611,102)-MAX('Activities'!K611,96))</x:f>
        <x:v>0</x:v>
      </x:c>
      <x:c r="V611" s="23" t="n">
        <x:f>MAX(0,MIN('Activities'!L611,108)-MAX('Activities'!K611,102))</x:f>
        <x:v>0</x:v>
      </x:c>
      <x:c r="W611" s="23" t="n">
        <x:f>MAX(0,MIN('Activities'!L611,114)-MAX('Activities'!K611,108))</x:f>
        <x:v>0</x:v>
      </x:c>
      <x:c r="X611" s="23" t="n">
        <x:f>MAX(0,MIN('Activities'!L611,120)-MAX('Activities'!K611,114))</x:f>
        <x:v>0</x:v>
      </x:c>
      <x:c r="Y611" s="23" t="n">
        <x:f>MAX(0,MIN('Activities'!L611,126)-MAX('Activities'!K611,120))</x:f>
        <x:v>0</x:v>
      </x:c>
      <x:c r="Z611" s="23" t="n">
        <x:f>MAX(0,MIN('Activities'!L611,132)-MAX('Activities'!K611,126))</x:f>
        <x:v>0</x:v>
      </x:c>
      <x:c r="AA611" s="23" t="n">
        <x:f>MAX(0,MIN('Activities'!L611,138)-MAX('Activities'!K611,132))</x:f>
        <x:v>0</x:v>
      </x:c>
      <x:c r="AB611" s="23" t="n">
        <x:f>MAX(0,MIN('Activities'!L611,144)-MAX('Activities'!K611,138))</x:f>
        <x:v>0</x:v>
      </x:c>
      <x:c r="AC611" s="23" t="n">
        <x:f>MAX(0,MIN('Activities'!L611,150)-MAX('Activities'!K611,144))</x:f>
        <x:v>0</x:v>
      </x:c>
      <x:c r="AD611" s="23" t="n">
        <x:f>MAX(0,MIN('Activities'!L611,156)-MAX('Activities'!K611,150))</x:f>
        <x:v>0</x:v>
      </x:c>
      <x:c r="AE611" s="23" t="n">
        <x:f>MAX(0,MIN('Activities'!L611,162)-MAX('Activities'!K611,156))</x:f>
        <x:v>0</x:v>
      </x:c>
      <x:c r="AF611" s="23" t="n">
        <x:f>MAX(0,MIN('Activities'!L611,168)-MAX('Activities'!K611,162))</x:f>
        <x:v>0</x:v>
      </x:c>
      <x:c r="AG611" s="23" t="n">
        <x:f>MAX(0,MIN('Activities'!L611,174)-MAX('Activities'!K611,168))</x:f>
        <x:v>0</x:v>
      </x:c>
      <x:c r="AH611" s="23" t="n">
        <x:f>MAX(0,MIN('Activities'!L611,180)-MAX('Activities'!K611,174))</x:f>
        <x:v>0</x:v>
      </x:c>
      <x:c r="AI611" s="23" t="n">
        <x:f>MAX(0,MIN('Activities'!L611,186)-MAX('Activities'!K611,180))</x:f>
        <x:v>0</x:v>
      </x:c>
      <x:c r="AJ611" s="23" t="n">
        <x:f>MAX(0,MIN('Activities'!L611,192)-MAX('Activities'!K611,186))</x:f>
        <x:v>0</x:v>
      </x:c>
      <x:c r="AK611" s="23" t="n">
        <x:f>MAX(0,MIN('Activities'!L611,198)-MAX('Activities'!K611,192))</x:f>
        <x:v>0</x:v>
      </x:c>
      <x:c r="AL611" s="23" t="n">
        <x:f>MAX(0,MIN('Activities'!L611,204)-MAX('Activities'!K611,198))</x:f>
        <x:v>0</x:v>
      </x:c>
      <x:c r="AM611" s="23" t="n">
        <x:f>MAX(0,MIN('Activities'!L611,210)-MAX('Activities'!K611,204))</x:f>
        <x:v>0</x:v>
      </x:c>
      <x:c r="AN611" s="23" t="n">
        <x:f>MAX(0,MIN('Activities'!L611,216)-MAX('Activities'!K611,210))</x:f>
        <x:v>0</x:v>
      </x:c>
      <x:c r="AO611" s="23" t="n">
        <x:f>MAX(0,MIN('Activities'!L611,222)-MAX('Activities'!K611,216))</x:f>
        <x:v>0</x:v>
      </x:c>
      <x:c r="AP611" s="23" t="n">
        <x:f>MAX(0,MIN('Activities'!L611,228)-MAX('Activities'!K611,222))</x:f>
        <x:v>0</x:v>
      </x:c>
      <x:c r="AQ611" s="23" t="n">
        <x:f>MAX(0,MIN('Activities'!L611,234)-MAX('Activities'!K611,228))</x:f>
        <x:v>0</x:v>
      </x:c>
      <x:c r="AR611" s="23" t="n">
        <x:f>MAX(0,MIN('Activities'!L611,240)-MAX('Activities'!K611,234))</x:f>
        <x:v>0</x:v>
      </x:c>
      <x:c r="AS611" s="23" t="n">
        <x:f>MAX(0,MIN('Activities'!L611,246)-MAX('Activities'!K611,240))</x:f>
        <x:v>0</x:v>
      </x:c>
      <x:c r="AT611" s="23" t="n">
        <x:f>MAX(0,MIN('Activities'!L611,252)-MAX('Activities'!K611,246))</x:f>
        <x:v>0</x:v>
      </x:c>
      <x:c r="AU611" s="23" t="n">
        <x:f>MAX(0,MIN('Activities'!L611,258)-MAX('Activities'!K611,252))</x:f>
        <x:v>0</x:v>
      </x:c>
      <x:c r="AV611" s="23" t="n">
        <x:f>MAX(0,MIN('Activities'!L611,264)-MAX('Activities'!K611,258))</x:f>
        <x:v>0</x:v>
      </x:c>
      <x:c r="AW611" s="23" t="n">
        <x:f>MAX(0,MIN('Activities'!L611,270)-MAX('Activities'!K611,264))</x:f>
        <x:v>0</x:v>
      </x:c>
      <x:c r="AX611" s="23" t="n">
        <x:f>MAX(0,MIN('Activities'!L611,276)-MAX('Activities'!K611,270))</x:f>
        <x:v>0</x:v>
      </x:c>
      <x:c r="AY611" s="23" t="n">
        <x:f>MAX(0,MIN('Activities'!L611,282)-MAX('Activities'!K611,276))</x:f>
        <x:v>0</x:v>
      </x:c>
      <x:c r="AZ611" s="23" t="n">
        <x:f>MAX(0,MIN('Activities'!L611,288)-MAX('Activities'!K611,282))</x:f>
        <x:v>0</x:v>
      </x:c>
      <x:c r="BA611" s="23" t="n">
        <x:f>MAX(0,MIN('Activities'!L611,294)-MAX('Activities'!K611,288))</x:f>
        <x:v>1</x:v>
      </x:c>
      <x:c r="BB611" s="23" t="n">
        <x:f>MAX(0,MIN('Activities'!L611,300)-MAX('Activities'!K611,294))</x:f>
        <x:v>2</x:v>
      </x:c>
      <x:c r="BC611" s="23" t="n">
        <x:f>MAX(0,MIN('Activities'!L611,306)-MAX('Activities'!K611,300))</x:f>
        <x:v>0</x:v>
      </x:c>
      <x:c r="BD611" s="23" t="n">
        <x:f>MAX(0,MIN('Activities'!L611,312)-MAX('Activities'!K611,306))</x:f>
        <x:v>0</x:v>
      </x:c>
      <x:c r="BE611" s="23" t="n">
        <x:f>MAX(0,MIN('Activities'!L611,318)-MAX('Activities'!K611,312))</x:f>
        <x:v>0</x:v>
      </x:c>
      <x:c r="BF611" s="23" t="n">
        <x:f>MAX(0,MIN('Activities'!L611,324)-MAX('Activities'!K611,318))</x:f>
        <x:v>0</x:v>
      </x:c>
      <x:c r="BG611" s="23" t="n">
        <x:f>MAX(0,MIN('Activities'!L611,330)-MAX('Activities'!K611,324))</x:f>
        <x:v>0</x:v>
      </x:c>
      <x:c r="BH611" s="23" t="n">
        <x:f>MAX(0,MIN('Activities'!L611,336)-MAX('Activities'!K611,330))</x:f>
        <x:v>0</x:v>
      </x:c>
      <x:c r="BI611" s="23" t="n">
        <x:f>MAX(0,MIN('Activities'!L611,342)-MAX('Activities'!K611,336))</x:f>
        <x:v>0</x:v>
      </x:c>
      <x:c r="BJ611" s="23" t="n">
        <x:f>MAX(0,MIN('Activities'!L611,348)-MAX('Activities'!K611,342))</x:f>
        <x:v>0</x:v>
      </x:c>
      <x:c r="BK611" s="23" t="n">
        <x:f>MAX(0,MIN('Activities'!L611,354)-MAX('Activities'!K611,348))</x:f>
        <x:v>0</x:v>
      </x:c>
      <x:c r="BL611" s="23" t="n">
        <x:f>MAX(0,MIN('Activities'!L611,360)-MAX('Activities'!K611,354))</x:f>
        <x:v>0</x:v>
      </x:c>
      <x:c r="BM611" s="23" t="n">
        <x:f>MAX(0,MIN('Activities'!L611,366)-MAX('Activities'!K611,360))</x:f>
        <x:v>0</x:v>
      </x:c>
      <x:c r="BN611" s="23" t="n">
        <x:f>MAX(0,MIN('Activities'!L611,372)-MAX('Activities'!K611,366))</x:f>
        <x:v>0</x:v>
      </x:c>
      <x:c r="BO611" s="23" t="n">
        <x:f>MAX(0,MIN('Activities'!L611,378)-MAX('Activities'!K611,372))</x:f>
        <x:v>0</x:v>
      </x:c>
      <x:c r="BP611" s="23" t="n">
        <x:f>MAX(0,MIN('Activities'!L611,384)-MAX('Activities'!K611,378))</x:f>
        <x:v>0</x:v>
      </x:c>
      <x:c r="BQ611" s="23" t="n">
        <x:f>MAX(0,MIN('Activities'!L611,390)-MAX('Activities'!K611,384))</x:f>
        <x:v>0</x:v>
      </x:c>
      <x:c r="BR611" s="23" t="n">
        <x:f>MAX(0,MIN('Activities'!L611,396)-MAX('Activities'!K611,390))</x:f>
        <x:v>0</x:v>
      </x:c>
      <x:c r="BS611" s="23" t="n">
        <x:f>MAX(0,MIN('Activities'!L611,402)-MAX('Activities'!K611,396))</x:f>
        <x:v>0</x:v>
      </x:c>
      <x:c r="BT611" s="23" t="n">
        <x:f>MAX(0,MIN('Activities'!L611,408)-MAX('Activities'!K611,402))</x:f>
        <x:v>0</x:v>
      </x:c>
      <x:c r="BU611" s="23" t="n">
        <x:f>MAX(0,MIN('Activities'!L611,414)-MAX('Activities'!K611,408))</x:f>
        <x:v>0</x:v>
      </x:c>
      <x:c r="BV611" s="23" t="n">
        <x:f>MAX(0,MIN('Activities'!L611,420)-MAX('Activities'!K611,414))</x:f>
        <x:v>0</x:v>
      </x:c>
      <x:c r="BW611" s="23" t="n">
        <x:f>MAX(0,MIN('Activities'!L611,426)-MAX('Activities'!K611,420))</x:f>
        <x:v>0</x:v>
      </x:c>
      <x:c r="BX611" s="23" t="n">
        <x:f>MAX(0,MIN('Activities'!L611,432)-MAX('Activities'!K611,426))</x:f>
        <x:v>0</x:v>
      </x:c>
      <x:c r="BY611" s="23" t="n">
        <x:f>MAX(0,MIN('Activities'!L611,438)-MAX('Activities'!K611,432))</x:f>
        <x:v>0</x:v>
      </x:c>
      <x:c r="BZ611" s="23" t="n">
        <x:f>MAX(0,MIN('Activities'!L611,444)-MAX('Activities'!K611,438))</x:f>
        <x:v>0</x:v>
      </x:c>
      <x:c r="CA611" s="23" t="n">
        <x:f>MAX(0,MIN('Activities'!L611,450)-MAX('Activities'!K611,444))</x:f>
        <x:v>0</x:v>
      </x:c>
      <x:c r="CB611" s="23" t="n">
        <x:f>MAX(0,MIN('Activities'!L611,456)-MAX('Activities'!K611,450))</x:f>
        <x:v>0</x:v>
      </x:c>
      <x:c r="CC611" s="23" t="n">
        <x:f>MAX(0,MIN('Activities'!L611,462)-MAX('Activities'!K611,456))</x:f>
        <x:v>0</x:v>
      </x:c>
      <x:c r="CD611" s="23" t="n">
        <x:f>MAX(0,MIN('Activities'!L611,468)-MAX('Activities'!K611,462))</x:f>
        <x:v>0</x:v>
      </x:c>
      <x:c r="CE611" s="23" t="n">
        <x:f>MAX(0,MIN('Activities'!L611,474)-MAX('Activities'!K611,468))</x:f>
        <x:v>0</x:v>
      </x:c>
      <x:c r="CF611" s="23" t="n">
        <x:f>MAX(0,MIN('Activities'!L611,480)-MAX('Activities'!K611,474))</x:f>
        <x:v>0</x:v>
      </x:c>
      <x:c r="CG611" s="23" t="n">
        <x:f>MAX(0,MIN('Activities'!L611,486)-MAX('Activities'!K611,480))</x:f>
        <x:v>0</x:v>
      </x:c>
      <x:c r="CH611" s="23" t="n">
        <x:f>MAX(0,MIN('Activities'!L611,492)-MAX('Activities'!K611,486))</x:f>
        <x:v>0</x:v>
      </x:c>
      <x:c r="CI611" s="23" t="n">
        <x:f>MAX(0,MIN('Activities'!L611,498)-MAX('Activities'!K611,492))</x:f>
        <x:v>0</x:v>
      </x:c>
      <x:c r="CJ611" s="23" t="n">
        <x:f>MAX(0,MIN('Activities'!L611,504)-MAX('Activities'!K611,498))</x:f>
        <x:v>0</x:v>
      </x:c>
      <x:c r="CK611" s="23" t="n">
        <x:f>MAX(0,MIN('Activities'!L611,510)-MAX('Activities'!K611,504))</x:f>
        <x:v>0</x:v>
      </x:c>
      <x:c r="CL611" s="23" t="n">
        <x:f>MAX(0,MIN('Activities'!L611,516)-MAX('Activities'!K611,510))</x:f>
        <x:v>0</x:v>
      </x:c>
      <x:c r="CM611" s="23" t="n">
        <x:f>MAX(0,MIN('Activities'!L611,522)-MAX('Activities'!K611,516))</x:f>
        <x:v>0</x:v>
      </x:c>
      <x:c r="CN611" s="23" t="n">
        <x:f>MAX(0,MIN('Activities'!L611,528)-MAX('Activities'!K611,522))</x:f>
        <x:v>0</x:v>
      </x:c>
      <x:c r="CO611" s="23" t="n">
        <x:f>MAX(0,MIN('Activities'!L611,534)-MAX('Activities'!K611,528))</x:f>
        <x:v>0</x:v>
      </x:c>
      <x:c r="CP611" s="23" t="n">
        <x:f>MAX(0,MIN('Activities'!L611,540)-MAX('Activities'!K611,534))</x:f>
        <x:v>0</x:v>
      </x:c>
      <x:c r="CQ611" s="23" t="n">
        <x:f>MAX(0,MIN('Activities'!L611,546)-MAX('Activities'!K611,540))</x:f>
        <x:v>0</x:v>
      </x:c>
      <x:c r="CR611" s="23" t="n">
        <x:f>MAX(0,MIN('Activities'!L611,552)-MAX('Activities'!K611,546))</x:f>
        <x:v>0</x:v>
      </x:c>
      <x:c r="CS611" s="23" t="n">
        <x:f>MAX(0,MIN('Activities'!L611,558)-MAX('Activities'!K611,552))</x:f>
        <x:v>0</x:v>
      </x:c>
      <x:c r="CT611" s="23" t="n">
        <x:f>MAX(0,MIN('Activities'!L611,564)-MAX('Activities'!K611,558))</x:f>
        <x:v>0</x:v>
      </x:c>
      <x:c r="CU611" s="23" t="n">
        <x:f>MAX(0,MIN('Activities'!L611,570)-MAX('Activities'!K611,564))</x:f>
        <x:v>0</x:v>
      </x:c>
      <x:c r="CV611" s="23" t="n">
        <x:f>MAX(0,MIN('Activities'!L611,576)-MAX('Activities'!K611,570))</x:f>
        <x:v>0</x:v>
      </x:c>
      <x:c r="CW611" s="23" t="n">
        <x:f>MAX(0,MIN('Activities'!L611,582)-MAX('Activities'!K611,576))</x:f>
        <x:v>0</x:v>
      </x:c>
      <x:c r="CX611" s="23" t="n">
        <x:f>MAX(0,MIN('Activities'!L611,588)-MAX('Activities'!K611,582))</x:f>
        <x:v>0</x:v>
      </x:c>
      <x:c r="CY611" s="23" t="n">
        <x:f>MAX(0,MIN('Activities'!L611,594)-MAX('Activities'!K611,588))</x:f>
        <x:v>0</x:v>
      </x:c>
      <x:c r="CZ611" s="23" t="n">
        <x:f>MAX(0,MIN('Activities'!L611,600)-MAX('Activities'!K611,594))</x:f>
        <x:v>0</x:v>
      </x:c>
      <x:c r="DA611" s="23" t="n">
        <x:f>MAX(0,MIN('Activities'!L611,606)-MAX('Activities'!K611,600))</x:f>
        <x:v>0</x:v>
      </x:c>
      <x:c r="DB611" s="23" t="n">
        <x:f>MAX(0,MIN('Activities'!L611,612)-MAX('Activities'!K611,606))</x:f>
        <x:v>0</x:v>
      </x:c>
      <x:c r="DC611" s="23" t="n">
        <x:f>MAX(0,MIN('Activities'!L611,618)-MAX('Activities'!K611,612))</x:f>
        <x:v>0</x:v>
      </x:c>
      <x:c r="DD611" s="23" t="n">
        <x:f>MAX(0,MIN('Activities'!L611,624)-MAX('Activities'!K611,618))</x:f>
        <x:v>0</x:v>
      </x:c>
      <x:c r="DE611" s="23" t="n">
        <x:f>MAX(0,MIN('Activities'!L611,630)-MAX('Activities'!K611,624))</x:f>
        <x:v>0</x:v>
      </x:c>
      <x:c r="DF611" s="23" t="n">
        <x:f>MAX(0,MIN('Activities'!L611,636)-MAX('Activities'!K611,630))</x:f>
        <x:v>0</x:v>
      </x:c>
    </x:row>
    <x:row r="612" ht="23" customHeight="1">
      <x:c r="A612" s="6" t="str">
        <x:v>T5-L01-T</x:v>
      </x:c>
      <x:c r="B612" s="6" t="str">
        <x:v>T5</x:v>
      </x:c>
      <x:c r="C612" s="6" t="str">
        <x:v>Floor finishes and skirtings</x:v>
      </x:c>
      <x:c r="D612" s="6" t="str">
        <x:v>Finishes</x:v>
      </x:c>
      <x:c r="E612" s="22" t="n">
        <x:f>MAX(0,MIN('Activities'!L612,6)-MAX('Activities'!K612,0))</x:f>
        <x:v>0</x:v>
      </x:c>
      <x:c r="F612" s="22" t="n">
        <x:f>MAX(0,MIN('Activities'!L612,12)-MAX('Activities'!K612,6))</x:f>
        <x:v>0</x:v>
      </x:c>
      <x:c r="G612" s="22" t="n">
        <x:f>MAX(0,MIN('Activities'!L612,18)-MAX('Activities'!K612,12))</x:f>
        <x:v>0</x:v>
      </x:c>
      <x:c r="H612" s="22" t="n">
        <x:f>MAX(0,MIN('Activities'!L612,24)-MAX('Activities'!K612,18))</x:f>
        <x:v>0</x:v>
      </x:c>
      <x:c r="I612" s="22" t="n">
        <x:f>MAX(0,MIN('Activities'!L612,30)-MAX('Activities'!K612,24))</x:f>
        <x:v>0</x:v>
      </x:c>
      <x:c r="J612" s="22" t="n">
        <x:f>MAX(0,MIN('Activities'!L612,36)-MAX('Activities'!K612,30))</x:f>
        <x:v>0</x:v>
      </x:c>
      <x:c r="K612" s="22" t="n">
        <x:f>MAX(0,MIN('Activities'!L612,42)-MAX('Activities'!K612,36))</x:f>
        <x:v>0</x:v>
      </x:c>
      <x:c r="L612" s="22" t="n">
        <x:f>MAX(0,MIN('Activities'!L612,48)-MAX('Activities'!K612,42))</x:f>
        <x:v>0</x:v>
      </x:c>
      <x:c r="M612" s="22" t="n">
        <x:f>MAX(0,MIN('Activities'!L612,54)-MAX('Activities'!K612,48))</x:f>
        <x:v>0</x:v>
      </x:c>
      <x:c r="N612" s="22" t="n">
        <x:f>MAX(0,MIN('Activities'!L612,60)-MAX('Activities'!K612,54))</x:f>
        <x:v>0</x:v>
      </x:c>
      <x:c r="O612" s="22" t="n">
        <x:f>MAX(0,MIN('Activities'!L612,66)-MAX('Activities'!K612,60))</x:f>
        <x:v>0</x:v>
      </x:c>
      <x:c r="P612" s="22" t="n">
        <x:f>MAX(0,MIN('Activities'!L612,72)-MAX('Activities'!K612,66))</x:f>
        <x:v>0</x:v>
      </x:c>
      <x:c r="Q612" s="22" t="n">
        <x:f>MAX(0,MIN('Activities'!L612,78)-MAX('Activities'!K612,72))</x:f>
        <x:v>0</x:v>
      </x:c>
      <x:c r="R612" s="22" t="n">
        <x:f>MAX(0,MIN('Activities'!L612,84)-MAX('Activities'!K612,78))</x:f>
        <x:v>0</x:v>
      </x:c>
      <x:c r="S612" s="22" t="n">
        <x:f>MAX(0,MIN('Activities'!L612,90)-MAX('Activities'!K612,84))</x:f>
        <x:v>0</x:v>
      </x:c>
      <x:c r="T612" s="22" t="n">
        <x:f>MAX(0,MIN('Activities'!L612,96)-MAX('Activities'!K612,90))</x:f>
        <x:v>0</x:v>
      </x:c>
      <x:c r="U612" s="22" t="n">
        <x:f>MAX(0,MIN('Activities'!L612,102)-MAX('Activities'!K612,96))</x:f>
        <x:v>0</x:v>
      </x:c>
      <x:c r="V612" s="22" t="n">
        <x:f>MAX(0,MIN('Activities'!L612,108)-MAX('Activities'!K612,102))</x:f>
        <x:v>0</x:v>
      </x:c>
      <x:c r="W612" s="22" t="n">
        <x:f>MAX(0,MIN('Activities'!L612,114)-MAX('Activities'!K612,108))</x:f>
        <x:v>0</x:v>
      </x:c>
      <x:c r="X612" s="22" t="n">
        <x:f>MAX(0,MIN('Activities'!L612,120)-MAX('Activities'!K612,114))</x:f>
        <x:v>0</x:v>
      </x:c>
      <x:c r="Y612" s="22" t="n">
        <x:f>MAX(0,MIN('Activities'!L612,126)-MAX('Activities'!K612,120))</x:f>
        <x:v>0</x:v>
      </x:c>
      <x:c r="Z612" s="22" t="n">
        <x:f>MAX(0,MIN('Activities'!L612,132)-MAX('Activities'!K612,126))</x:f>
        <x:v>0</x:v>
      </x:c>
      <x:c r="AA612" s="22" t="n">
        <x:f>MAX(0,MIN('Activities'!L612,138)-MAX('Activities'!K612,132))</x:f>
        <x:v>0</x:v>
      </x:c>
      <x:c r="AB612" s="22" t="n">
        <x:f>MAX(0,MIN('Activities'!L612,144)-MAX('Activities'!K612,138))</x:f>
        <x:v>0</x:v>
      </x:c>
      <x:c r="AC612" s="22" t="n">
        <x:f>MAX(0,MIN('Activities'!L612,150)-MAX('Activities'!K612,144))</x:f>
        <x:v>0</x:v>
      </x:c>
      <x:c r="AD612" s="22" t="n">
        <x:f>MAX(0,MIN('Activities'!L612,156)-MAX('Activities'!K612,150))</x:f>
        <x:v>0</x:v>
      </x:c>
      <x:c r="AE612" s="22" t="n">
        <x:f>MAX(0,MIN('Activities'!L612,162)-MAX('Activities'!K612,156))</x:f>
        <x:v>0</x:v>
      </x:c>
      <x:c r="AF612" s="22" t="n">
        <x:f>MAX(0,MIN('Activities'!L612,168)-MAX('Activities'!K612,162))</x:f>
        <x:v>0</x:v>
      </x:c>
      <x:c r="AG612" s="22" t="n">
        <x:f>MAX(0,MIN('Activities'!L612,174)-MAX('Activities'!K612,168))</x:f>
        <x:v>0</x:v>
      </x:c>
      <x:c r="AH612" s="22" t="n">
        <x:f>MAX(0,MIN('Activities'!L612,180)-MAX('Activities'!K612,174))</x:f>
        <x:v>0</x:v>
      </x:c>
      <x:c r="AI612" s="22" t="n">
        <x:f>MAX(0,MIN('Activities'!L612,186)-MAX('Activities'!K612,180))</x:f>
        <x:v>0</x:v>
      </x:c>
      <x:c r="AJ612" s="22" t="n">
        <x:f>MAX(0,MIN('Activities'!L612,192)-MAX('Activities'!K612,186))</x:f>
        <x:v>0</x:v>
      </x:c>
      <x:c r="AK612" s="22" t="n">
        <x:f>MAX(0,MIN('Activities'!L612,198)-MAX('Activities'!K612,192))</x:f>
        <x:v>0</x:v>
      </x:c>
      <x:c r="AL612" s="22" t="n">
        <x:f>MAX(0,MIN('Activities'!L612,204)-MAX('Activities'!K612,198))</x:f>
        <x:v>0</x:v>
      </x:c>
      <x:c r="AM612" s="22" t="n">
        <x:f>MAX(0,MIN('Activities'!L612,210)-MAX('Activities'!K612,204))</x:f>
        <x:v>0</x:v>
      </x:c>
      <x:c r="AN612" s="22" t="n">
        <x:f>MAX(0,MIN('Activities'!L612,216)-MAX('Activities'!K612,210))</x:f>
        <x:v>0</x:v>
      </x:c>
      <x:c r="AO612" s="22" t="n">
        <x:f>MAX(0,MIN('Activities'!L612,222)-MAX('Activities'!K612,216))</x:f>
        <x:v>0</x:v>
      </x:c>
      <x:c r="AP612" s="22" t="n">
        <x:f>MAX(0,MIN('Activities'!L612,228)-MAX('Activities'!K612,222))</x:f>
        <x:v>0</x:v>
      </x:c>
      <x:c r="AQ612" s="22" t="n">
        <x:f>MAX(0,MIN('Activities'!L612,234)-MAX('Activities'!K612,228))</x:f>
        <x:v>0</x:v>
      </x:c>
      <x:c r="AR612" s="22" t="n">
        <x:f>MAX(0,MIN('Activities'!L612,240)-MAX('Activities'!K612,234))</x:f>
        <x:v>0</x:v>
      </x:c>
      <x:c r="AS612" s="22" t="n">
        <x:f>MAX(0,MIN('Activities'!L612,246)-MAX('Activities'!K612,240))</x:f>
        <x:v>0</x:v>
      </x:c>
      <x:c r="AT612" s="22" t="n">
        <x:f>MAX(0,MIN('Activities'!L612,252)-MAX('Activities'!K612,246))</x:f>
        <x:v>0</x:v>
      </x:c>
      <x:c r="AU612" s="22" t="n">
        <x:f>MAX(0,MIN('Activities'!L612,258)-MAX('Activities'!K612,252))</x:f>
        <x:v>0</x:v>
      </x:c>
      <x:c r="AV612" s="22" t="n">
        <x:f>MAX(0,MIN('Activities'!L612,264)-MAX('Activities'!K612,258))</x:f>
        <x:v>0</x:v>
      </x:c>
      <x:c r="AW612" s="22" t="n">
        <x:f>MAX(0,MIN('Activities'!L612,270)-MAX('Activities'!K612,264))</x:f>
        <x:v>0</x:v>
      </x:c>
      <x:c r="AX612" s="22" t="n">
        <x:f>MAX(0,MIN('Activities'!L612,276)-MAX('Activities'!K612,270))</x:f>
        <x:v>0</x:v>
      </x:c>
      <x:c r="AY612" s="22" t="n">
        <x:f>MAX(0,MIN('Activities'!L612,282)-MAX('Activities'!K612,276))</x:f>
        <x:v>0</x:v>
      </x:c>
      <x:c r="AZ612" s="22" t="n">
        <x:f>MAX(0,MIN('Activities'!L612,288)-MAX('Activities'!K612,282))</x:f>
        <x:v>0</x:v>
      </x:c>
      <x:c r="BA612" s="22" t="n">
        <x:f>MAX(0,MIN('Activities'!L612,294)-MAX('Activities'!K612,288))</x:f>
        <x:v>0</x:v>
      </x:c>
      <x:c r="BB612" s="22" t="n">
        <x:f>MAX(0,MIN('Activities'!L612,300)-MAX('Activities'!K612,294))</x:f>
        <x:v>0</x:v>
      </x:c>
      <x:c r="BC612" s="22" t="n">
        <x:f>MAX(0,MIN('Activities'!L612,306)-MAX('Activities'!K612,300))</x:f>
        <x:v>0</x:v>
      </x:c>
      <x:c r="BD612" s="22" t="n">
        <x:f>MAX(0,MIN('Activities'!L612,312)-MAX('Activities'!K612,306))</x:f>
        <x:v>0</x:v>
      </x:c>
      <x:c r="BE612" s="22" t="n">
        <x:f>MAX(0,MIN('Activities'!L612,318)-MAX('Activities'!K612,312))</x:f>
        <x:v>0</x:v>
      </x:c>
      <x:c r="BF612" s="22" t="n">
        <x:f>MAX(0,MIN('Activities'!L612,324)-MAX('Activities'!K612,318))</x:f>
        <x:v>0</x:v>
      </x:c>
      <x:c r="BG612" s="22" t="n">
        <x:f>MAX(0,MIN('Activities'!L612,330)-MAX('Activities'!K612,324))</x:f>
        <x:v>0</x:v>
      </x:c>
      <x:c r="BH612" s="22" t="n">
        <x:f>MAX(0,MIN('Activities'!L612,336)-MAX('Activities'!K612,330))</x:f>
        <x:v>0</x:v>
      </x:c>
      <x:c r="BI612" s="22" t="n">
        <x:f>MAX(0,MIN('Activities'!L612,342)-MAX('Activities'!K612,336))</x:f>
        <x:v>0</x:v>
      </x:c>
      <x:c r="BJ612" s="22" t="n">
        <x:f>MAX(0,MIN('Activities'!L612,348)-MAX('Activities'!K612,342))</x:f>
        <x:v>0</x:v>
      </x:c>
      <x:c r="BK612" s="22" t="n">
        <x:f>MAX(0,MIN('Activities'!L612,354)-MAX('Activities'!K612,348))</x:f>
        <x:v>0</x:v>
      </x:c>
      <x:c r="BL612" s="22" t="n">
        <x:f>MAX(0,MIN('Activities'!L612,360)-MAX('Activities'!K612,354))</x:f>
        <x:v>0</x:v>
      </x:c>
      <x:c r="BM612" s="22" t="n">
        <x:f>MAX(0,MIN('Activities'!L612,366)-MAX('Activities'!K612,360))</x:f>
        <x:v>0</x:v>
      </x:c>
      <x:c r="BN612" s="22" t="n">
        <x:f>MAX(0,MIN('Activities'!L612,372)-MAX('Activities'!K612,366))</x:f>
        <x:v>0</x:v>
      </x:c>
      <x:c r="BO612" s="22" t="n">
        <x:f>MAX(0,MIN('Activities'!L612,378)-MAX('Activities'!K612,372))</x:f>
        <x:v>0</x:v>
      </x:c>
      <x:c r="BP612" s="22" t="n">
        <x:f>MAX(0,MIN('Activities'!L612,384)-MAX('Activities'!K612,378))</x:f>
        <x:v>0</x:v>
      </x:c>
      <x:c r="BQ612" s="22" t="n">
        <x:f>MAX(0,MIN('Activities'!L612,390)-MAX('Activities'!K612,384))</x:f>
        <x:v>0</x:v>
      </x:c>
      <x:c r="BR612" s="22" t="n">
        <x:f>MAX(0,MIN('Activities'!L612,396)-MAX('Activities'!K612,390))</x:f>
        <x:v>0</x:v>
      </x:c>
      <x:c r="BS612" s="22" t="n">
        <x:f>MAX(0,MIN('Activities'!L612,402)-MAX('Activities'!K612,396))</x:f>
        <x:v>0</x:v>
      </x:c>
      <x:c r="BT612" s="22" t="n">
        <x:f>MAX(0,MIN('Activities'!L612,408)-MAX('Activities'!K612,402))</x:f>
        <x:v>0</x:v>
      </x:c>
      <x:c r="BU612" s="22" t="n">
        <x:f>MAX(0,MIN('Activities'!L612,414)-MAX('Activities'!K612,408))</x:f>
        <x:v>0</x:v>
      </x:c>
      <x:c r="BV612" s="22" t="n">
        <x:f>MAX(0,MIN('Activities'!L612,420)-MAX('Activities'!K612,414))</x:f>
        <x:v>0</x:v>
      </x:c>
      <x:c r="BW612" s="22" t="n">
        <x:f>MAX(0,MIN('Activities'!L612,426)-MAX('Activities'!K612,420))</x:f>
        <x:v>0</x:v>
      </x:c>
      <x:c r="BX612" s="22" t="n">
        <x:f>MAX(0,MIN('Activities'!L612,432)-MAX('Activities'!K612,426))</x:f>
        <x:v>0</x:v>
      </x:c>
      <x:c r="BY612" s="22" t="n">
        <x:f>MAX(0,MIN('Activities'!L612,438)-MAX('Activities'!K612,432))</x:f>
        <x:v>0</x:v>
      </x:c>
      <x:c r="BZ612" s="22" t="n">
        <x:f>MAX(0,MIN('Activities'!L612,444)-MAX('Activities'!K612,438))</x:f>
        <x:v>0</x:v>
      </x:c>
      <x:c r="CA612" s="22" t="n">
        <x:f>MAX(0,MIN('Activities'!L612,450)-MAX('Activities'!K612,444))</x:f>
        <x:v>1</x:v>
      </x:c>
      <x:c r="CB612" s="22" t="n">
        <x:f>MAX(0,MIN('Activities'!L612,456)-MAX('Activities'!K612,450))</x:f>
        <x:v>5</x:v>
      </x:c>
      <x:c r="CC612" s="22" t="n">
        <x:f>MAX(0,MIN('Activities'!L612,462)-MAX('Activities'!K612,456))</x:f>
        <x:v>0</x:v>
      </x:c>
      <x:c r="CD612" s="22" t="n">
        <x:f>MAX(0,MIN('Activities'!L612,468)-MAX('Activities'!K612,462))</x:f>
        <x:v>0</x:v>
      </x:c>
      <x:c r="CE612" s="22" t="n">
        <x:f>MAX(0,MIN('Activities'!L612,474)-MAX('Activities'!K612,468))</x:f>
        <x:v>0</x:v>
      </x:c>
      <x:c r="CF612" s="22" t="n">
        <x:f>MAX(0,MIN('Activities'!L612,480)-MAX('Activities'!K612,474))</x:f>
        <x:v>0</x:v>
      </x:c>
      <x:c r="CG612" s="22" t="n">
        <x:f>MAX(0,MIN('Activities'!L612,486)-MAX('Activities'!K612,480))</x:f>
        <x:v>0</x:v>
      </x:c>
      <x:c r="CH612" s="22" t="n">
        <x:f>MAX(0,MIN('Activities'!L612,492)-MAX('Activities'!K612,486))</x:f>
        <x:v>0</x:v>
      </x:c>
      <x:c r="CI612" s="22" t="n">
        <x:f>MAX(0,MIN('Activities'!L612,498)-MAX('Activities'!K612,492))</x:f>
        <x:v>0</x:v>
      </x:c>
      <x:c r="CJ612" s="22" t="n">
        <x:f>MAX(0,MIN('Activities'!L612,504)-MAX('Activities'!K612,498))</x:f>
        <x:v>0</x:v>
      </x:c>
      <x:c r="CK612" s="22" t="n">
        <x:f>MAX(0,MIN('Activities'!L612,510)-MAX('Activities'!K612,504))</x:f>
        <x:v>0</x:v>
      </x:c>
      <x:c r="CL612" s="22" t="n">
        <x:f>MAX(0,MIN('Activities'!L612,516)-MAX('Activities'!K612,510))</x:f>
        <x:v>0</x:v>
      </x:c>
      <x:c r="CM612" s="22" t="n">
        <x:f>MAX(0,MIN('Activities'!L612,522)-MAX('Activities'!K612,516))</x:f>
        <x:v>0</x:v>
      </x:c>
      <x:c r="CN612" s="22" t="n">
        <x:f>MAX(0,MIN('Activities'!L612,528)-MAX('Activities'!K612,522))</x:f>
        <x:v>0</x:v>
      </x:c>
      <x:c r="CO612" s="22" t="n">
        <x:f>MAX(0,MIN('Activities'!L612,534)-MAX('Activities'!K612,528))</x:f>
        <x:v>0</x:v>
      </x:c>
      <x:c r="CP612" s="22" t="n">
        <x:f>MAX(0,MIN('Activities'!L612,540)-MAX('Activities'!K612,534))</x:f>
        <x:v>0</x:v>
      </x:c>
      <x:c r="CQ612" s="22" t="n">
        <x:f>MAX(0,MIN('Activities'!L612,546)-MAX('Activities'!K612,540))</x:f>
        <x:v>0</x:v>
      </x:c>
      <x:c r="CR612" s="22" t="n">
        <x:f>MAX(0,MIN('Activities'!L612,552)-MAX('Activities'!K612,546))</x:f>
        <x:v>0</x:v>
      </x:c>
      <x:c r="CS612" s="22" t="n">
        <x:f>MAX(0,MIN('Activities'!L612,558)-MAX('Activities'!K612,552))</x:f>
        <x:v>0</x:v>
      </x:c>
      <x:c r="CT612" s="22" t="n">
        <x:f>MAX(0,MIN('Activities'!L612,564)-MAX('Activities'!K612,558))</x:f>
        <x:v>0</x:v>
      </x:c>
      <x:c r="CU612" s="22" t="n">
        <x:f>MAX(0,MIN('Activities'!L612,570)-MAX('Activities'!K612,564))</x:f>
        <x:v>0</x:v>
      </x:c>
      <x:c r="CV612" s="22" t="n">
        <x:f>MAX(0,MIN('Activities'!L612,576)-MAX('Activities'!K612,570))</x:f>
        <x:v>0</x:v>
      </x:c>
      <x:c r="CW612" s="22" t="n">
        <x:f>MAX(0,MIN('Activities'!L612,582)-MAX('Activities'!K612,576))</x:f>
        <x:v>0</x:v>
      </x:c>
      <x:c r="CX612" s="22" t="n">
        <x:f>MAX(0,MIN('Activities'!L612,588)-MAX('Activities'!K612,582))</x:f>
        <x:v>0</x:v>
      </x:c>
      <x:c r="CY612" s="22" t="n">
        <x:f>MAX(0,MIN('Activities'!L612,594)-MAX('Activities'!K612,588))</x:f>
        <x:v>0</x:v>
      </x:c>
      <x:c r="CZ612" s="22" t="n">
        <x:f>MAX(0,MIN('Activities'!L612,600)-MAX('Activities'!K612,594))</x:f>
        <x:v>0</x:v>
      </x:c>
      <x:c r="DA612" s="22" t="n">
        <x:f>MAX(0,MIN('Activities'!L612,606)-MAX('Activities'!K612,600))</x:f>
        <x:v>0</x:v>
      </x:c>
      <x:c r="DB612" s="22" t="n">
        <x:f>MAX(0,MIN('Activities'!L612,612)-MAX('Activities'!K612,606))</x:f>
        <x:v>0</x:v>
      </x:c>
      <x:c r="DC612" s="22" t="n">
        <x:f>MAX(0,MIN('Activities'!L612,618)-MAX('Activities'!K612,612))</x:f>
        <x:v>0</x:v>
      </x:c>
      <x:c r="DD612" s="22" t="n">
        <x:f>MAX(0,MIN('Activities'!L612,624)-MAX('Activities'!K612,618))</x:f>
        <x:v>0</x:v>
      </x:c>
      <x:c r="DE612" s="22" t="n">
        <x:f>MAX(0,MIN('Activities'!L612,630)-MAX('Activities'!K612,624))</x:f>
        <x:v>0</x:v>
      </x:c>
      <x:c r="DF612" s="22" t="n">
        <x:f>MAX(0,MIN('Activities'!L612,636)-MAX('Activities'!K612,630))</x:f>
        <x:v>0</x:v>
      </x:c>
    </x:row>
    <x:row r="613" ht="23" customHeight="1">
      <x:c r="A613" s="1" t="str">
        <x:v>T5-L01-A</x:v>
      </x:c>
      <x:c r="B613" s="1" t="str">
        <x:v>T5</x:v>
      </x:c>
      <x:c r="C613" s="1" t="str">
        <x:v>Paint and final decorations</x:v>
      </x:c>
      <x:c r="D613" s="1" t="str">
        <x:v>Finishes</x:v>
      </x:c>
      <x:c r="E613" s="23" t="n">
        <x:f>MAX(0,MIN('Activities'!L613,6)-MAX('Activities'!K613,0))</x:f>
        <x:v>0</x:v>
      </x:c>
      <x:c r="F613" s="23" t="n">
        <x:f>MAX(0,MIN('Activities'!L613,12)-MAX('Activities'!K613,6))</x:f>
        <x:v>0</x:v>
      </x:c>
      <x:c r="G613" s="23" t="n">
        <x:f>MAX(0,MIN('Activities'!L613,18)-MAX('Activities'!K613,12))</x:f>
        <x:v>0</x:v>
      </x:c>
      <x:c r="H613" s="23" t="n">
        <x:f>MAX(0,MIN('Activities'!L613,24)-MAX('Activities'!K613,18))</x:f>
        <x:v>0</x:v>
      </x:c>
      <x:c r="I613" s="23" t="n">
        <x:f>MAX(0,MIN('Activities'!L613,30)-MAX('Activities'!K613,24))</x:f>
        <x:v>0</x:v>
      </x:c>
      <x:c r="J613" s="23" t="n">
        <x:f>MAX(0,MIN('Activities'!L613,36)-MAX('Activities'!K613,30))</x:f>
        <x:v>0</x:v>
      </x:c>
      <x:c r="K613" s="23" t="n">
        <x:f>MAX(0,MIN('Activities'!L613,42)-MAX('Activities'!K613,36))</x:f>
        <x:v>0</x:v>
      </x:c>
      <x:c r="L613" s="23" t="n">
        <x:f>MAX(0,MIN('Activities'!L613,48)-MAX('Activities'!K613,42))</x:f>
        <x:v>0</x:v>
      </x:c>
      <x:c r="M613" s="23" t="n">
        <x:f>MAX(0,MIN('Activities'!L613,54)-MAX('Activities'!K613,48))</x:f>
        <x:v>0</x:v>
      </x:c>
      <x:c r="N613" s="23" t="n">
        <x:f>MAX(0,MIN('Activities'!L613,60)-MAX('Activities'!K613,54))</x:f>
        <x:v>0</x:v>
      </x:c>
      <x:c r="O613" s="23" t="n">
        <x:f>MAX(0,MIN('Activities'!L613,66)-MAX('Activities'!K613,60))</x:f>
        <x:v>0</x:v>
      </x:c>
      <x:c r="P613" s="23" t="n">
        <x:f>MAX(0,MIN('Activities'!L613,72)-MAX('Activities'!K613,66))</x:f>
        <x:v>0</x:v>
      </x:c>
      <x:c r="Q613" s="23" t="n">
        <x:f>MAX(0,MIN('Activities'!L613,78)-MAX('Activities'!K613,72))</x:f>
        <x:v>0</x:v>
      </x:c>
      <x:c r="R613" s="23" t="n">
        <x:f>MAX(0,MIN('Activities'!L613,84)-MAX('Activities'!K613,78))</x:f>
        <x:v>0</x:v>
      </x:c>
      <x:c r="S613" s="23" t="n">
        <x:f>MAX(0,MIN('Activities'!L613,90)-MAX('Activities'!K613,84))</x:f>
        <x:v>0</x:v>
      </x:c>
      <x:c r="T613" s="23" t="n">
        <x:f>MAX(0,MIN('Activities'!L613,96)-MAX('Activities'!K613,90))</x:f>
        <x:v>0</x:v>
      </x:c>
      <x:c r="U613" s="23" t="n">
        <x:f>MAX(0,MIN('Activities'!L613,102)-MAX('Activities'!K613,96))</x:f>
        <x:v>0</x:v>
      </x:c>
      <x:c r="V613" s="23" t="n">
        <x:f>MAX(0,MIN('Activities'!L613,108)-MAX('Activities'!K613,102))</x:f>
        <x:v>0</x:v>
      </x:c>
      <x:c r="W613" s="23" t="n">
        <x:f>MAX(0,MIN('Activities'!L613,114)-MAX('Activities'!K613,108))</x:f>
        <x:v>0</x:v>
      </x:c>
      <x:c r="X613" s="23" t="n">
        <x:f>MAX(0,MIN('Activities'!L613,120)-MAX('Activities'!K613,114))</x:f>
        <x:v>0</x:v>
      </x:c>
      <x:c r="Y613" s="23" t="n">
        <x:f>MAX(0,MIN('Activities'!L613,126)-MAX('Activities'!K613,120))</x:f>
        <x:v>0</x:v>
      </x:c>
      <x:c r="Z613" s="23" t="n">
        <x:f>MAX(0,MIN('Activities'!L613,132)-MAX('Activities'!K613,126))</x:f>
        <x:v>0</x:v>
      </x:c>
      <x:c r="AA613" s="23" t="n">
        <x:f>MAX(0,MIN('Activities'!L613,138)-MAX('Activities'!K613,132))</x:f>
        <x:v>0</x:v>
      </x:c>
      <x:c r="AB613" s="23" t="n">
        <x:f>MAX(0,MIN('Activities'!L613,144)-MAX('Activities'!K613,138))</x:f>
        <x:v>0</x:v>
      </x:c>
      <x:c r="AC613" s="23" t="n">
        <x:f>MAX(0,MIN('Activities'!L613,150)-MAX('Activities'!K613,144))</x:f>
        <x:v>0</x:v>
      </x:c>
      <x:c r="AD613" s="23" t="n">
        <x:f>MAX(0,MIN('Activities'!L613,156)-MAX('Activities'!K613,150))</x:f>
        <x:v>0</x:v>
      </x:c>
      <x:c r="AE613" s="23" t="n">
        <x:f>MAX(0,MIN('Activities'!L613,162)-MAX('Activities'!K613,156))</x:f>
        <x:v>0</x:v>
      </x:c>
      <x:c r="AF613" s="23" t="n">
        <x:f>MAX(0,MIN('Activities'!L613,168)-MAX('Activities'!K613,162))</x:f>
        <x:v>0</x:v>
      </x:c>
      <x:c r="AG613" s="23" t="n">
        <x:f>MAX(0,MIN('Activities'!L613,174)-MAX('Activities'!K613,168))</x:f>
        <x:v>0</x:v>
      </x:c>
      <x:c r="AH613" s="23" t="n">
        <x:f>MAX(0,MIN('Activities'!L613,180)-MAX('Activities'!K613,174))</x:f>
        <x:v>0</x:v>
      </x:c>
      <x:c r="AI613" s="23" t="n">
        <x:f>MAX(0,MIN('Activities'!L613,186)-MAX('Activities'!K613,180))</x:f>
        <x:v>0</x:v>
      </x:c>
      <x:c r="AJ613" s="23" t="n">
        <x:f>MAX(0,MIN('Activities'!L613,192)-MAX('Activities'!K613,186))</x:f>
        <x:v>0</x:v>
      </x:c>
      <x:c r="AK613" s="23" t="n">
        <x:f>MAX(0,MIN('Activities'!L613,198)-MAX('Activities'!K613,192))</x:f>
        <x:v>0</x:v>
      </x:c>
      <x:c r="AL613" s="23" t="n">
        <x:f>MAX(0,MIN('Activities'!L613,204)-MAX('Activities'!K613,198))</x:f>
        <x:v>0</x:v>
      </x:c>
      <x:c r="AM613" s="23" t="n">
        <x:f>MAX(0,MIN('Activities'!L613,210)-MAX('Activities'!K613,204))</x:f>
        <x:v>0</x:v>
      </x:c>
      <x:c r="AN613" s="23" t="n">
        <x:f>MAX(0,MIN('Activities'!L613,216)-MAX('Activities'!K613,210))</x:f>
        <x:v>0</x:v>
      </x:c>
      <x:c r="AO613" s="23" t="n">
        <x:f>MAX(0,MIN('Activities'!L613,222)-MAX('Activities'!K613,216))</x:f>
        <x:v>0</x:v>
      </x:c>
      <x:c r="AP613" s="23" t="n">
        <x:f>MAX(0,MIN('Activities'!L613,228)-MAX('Activities'!K613,222))</x:f>
        <x:v>0</x:v>
      </x:c>
      <x:c r="AQ613" s="23" t="n">
        <x:f>MAX(0,MIN('Activities'!L613,234)-MAX('Activities'!K613,228))</x:f>
        <x:v>0</x:v>
      </x:c>
      <x:c r="AR613" s="23" t="n">
        <x:f>MAX(0,MIN('Activities'!L613,240)-MAX('Activities'!K613,234))</x:f>
        <x:v>0</x:v>
      </x:c>
      <x:c r="AS613" s="23" t="n">
        <x:f>MAX(0,MIN('Activities'!L613,246)-MAX('Activities'!K613,240))</x:f>
        <x:v>0</x:v>
      </x:c>
      <x:c r="AT613" s="23" t="n">
        <x:f>MAX(0,MIN('Activities'!L613,252)-MAX('Activities'!K613,246))</x:f>
        <x:v>0</x:v>
      </x:c>
      <x:c r="AU613" s="23" t="n">
        <x:f>MAX(0,MIN('Activities'!L613,258)-MAX('Activities'!K613,252))</x:f>
        <x:v>0</x:v>
      </x:c>
      <x:c r="AV613" s="23" t="n">
        <x:f>MAX(0,MIN('Activities'!L613,264)-MAX('Activities'!K613,258))</x:f>
        <x:v>0</x:v>
      </x:c>
      <x:c r="AW613" s="23" t="n">
        <x:f>MAX(0,MIN('Activities'!L613,270)-MAX('Activities'!K613,264))</x:f>
        <x:v>0</x:v>
      </x:c>
      <x:c r="AX613" s="23" t="n">
        <x:f>MAX(0,MIN('Activities'!L613,276)-MAX('Activities'!K613,270))</x:f>
        <x:v>0</x:v>
      </x:c>
      <x:c r="AY613" s="23" t="n">
        <x:f>MAX(0,MIN('Activities'!L613,282)-MAX('Activities'!K613,276))</x:f>
        <x:v>0</x:v>
      </x:c>
      <x:c r="AZ613" s="23" t="n">
        <x:f>MAX(0,MIN('Activities'!L613,288)-MAX('Activities'!K613,282))</x:f>
        <x:v>0</x:v>
      </x:c>
      <x:c r="BA613" s="23" t="n">
        <x:f>MAX(0,MIN('Activities'!L613,294)-MAX('Activities'!K613,288))</x:f>
        <x:v>0</x:v>
      </x:c>
      <x:c r="BB613" s="23" t="n">
        <x:f>MAX(0,MIN('Activities'!L613,300)-MAX('Activities'!K613,294))</x:f>
        <x:v>0</x:v>
      </x:c>
      <x:c r="BC613" s="23" t="n">
        <x:f>MAX(0,MIN('Activities'!L613,306)-MAX('Activities'!K613,300))</x:f>
        <x:v>0</x:v>
      </x:c>
      <x:c r="BD613" s="23" t="n">
        <x:f>MAX(0,MIN('Activities'!L613,312)-MAX('Activities'!K613,306))</x:f>
        <x:v>0</x:v>
      </x:c>
      <x:c r="BE613" s="23" t="n">
        <x:f>MAX(0,MIN('Activities'!L613,318)-MAX('Activities'!K613,312))</x:f>
        <x:v>0</x:v>
      </x:c>
      <x:c r="BF613" s="23" t="n">
        <x:f>MAX(0,MIN('Activities'!L613,324)-MAX('Activities'!K613,318))</x:f>
        <x:v>0</x:v>
      </x:c>
      <x:c r="BG613" s="23" t="n">
        <x:f>MAX(0,MIN('Activities'!L613,330)-MAX('Activities'!K613,324))</x:f>
        <x:v>0</x:v>
      </x:c>
      <x:c r="BH613" s="23" t="n">
        <x:f>MAX(0,MIN('Activities'!L613,336)-MAX('Activities'!K613,330))</x:f>
        <x:v>0</x:v>
      </x:c>
      <x:c r="BI613" s="23" t="n">
        <x:f>MAX(0,MIN('Activities'!L613,342)-MAX('Activities'!K613,336))</x:f>
        <x:v>0</x:v>
      </x:c>
      <x:c r="BJ613" s="23" t="n">
        <x:f>MAX(0,MIN('Activities'!L613,348)-MAX('Activities'!K613,342))</x:f>
        <x:v>0</x:v>
      </x:c>
      <x:c r="BK613" s="23" t="n">
        <x:f>MAX(0,MIN('Activities'!L613,354)-MAX('Activities'!K613,348))</x:f>
        <x:v>0</x:v>
      </x:c>
      <x:c r="BL613" s="23" t="n">
        <x:f>MAX(0,MIN('Activities'!L613,360)-MAX('Activities'!K613,354))</x:f>
        <x:v>0</x:v>
      </x:c>
      <x:c r="BM613" s="23" t="n">
        <x:f>MAX(0,MIN('Activities'!L613,366)-MAX('Activities'!K613,360))</x:f>
        <x:v>0</x:v>
      </x:c>
      <x:c r="BN613" s="23" t="n">
        <x:f>MAX(0,MIN('Activities'!L613,372)-MAX('Activities'!K613,366))</x:f>
        <x:v>0</x:v>
      </x:c>
      <x:c r="BO613" s="23" t="n">
        <x:f>MAX(0,MIN('Activities'!L613,378)-MAX('Activities'!K613,372))</x:f>
        <x:v>0</x:v>
      </x:c>
      <x:c r="BP613" s="23" t="n">
        <x:f>MAX(0,MIN('Activities'!L613,384)-MAX('Activities'!K613,378))</x:f>
        <x:v>0</x:v>
      </x:c>
      <x:c r="BQ613" s="23" t="n">
        <x:f>MAX(0,MIN('Activities'!L613,390)-MAX('Activities'!K613,384))</x:f>
        <x:v>0</x:v>
      </x:c>
      <x:c r="BR613" s="23" t="n">
        <x:f>MAX(0,MIN('Activities'!L613,396)-MAX('Activities'!K613,390))</x:f>
        <x:v>0</x:v>
      </x:c>
      <x:c r="BS613" s="23" t="n">
        <x:f>MAX(0,MIN('Activities'!L613,402)-MAX('Activities'!K613,396))</x:f>
        <x:v>0</x:v>
      </x:c>
      <x:c r="BT613" s="23" t="n">
        <x:f>MAX(0,MIN('Activities'!L613,408)-MAX('Activities'!K613,402))</x:f>
        <x:v>0</x:v>
      </x:c>
      <x:c r="BU613" s="23" t="n">
        <x:f>MAX(0,MIN('Activities'!L613,414)-MAX('Activities'!K613,408))</x:f>
        <x:v>0</x:v>
      </x:c>
      <x:c r="BV613" s="23" t="n">
        <x:f>MAX(0,MIN('Activities'!L613,420)-MAX('Activities'!K613,414))</x:f>
        <x:v>0</x:v>
      </x:c>
      <x:c r="BW613" s="23" t="n">
        <x:f>MAX(0,MIN('Activities'!L613,426)-MAX('Activities'!K613,420))</x:f>
        <x:v>0</x:v>
      </x:c>
      <x:c r="BX613" s="23" t="n">
        <x:f>MAX(0,MIN('Activities'!L613,432)-MAX('Activities'!K613,426))</x:f>
        <x:v>0</x:v>
      </x:c>
      <x:c r="BY613" s="23" t="n">
        <x:f>MAX(0,MIN('Activities'!L613,438)-MAX('Activities'!K613,432))</x:f>
        <x:v>0</x:v>
      </x:c>
      <x:c r="BZ613" s="23" t="n">
        <x:f>MAX(0,MIN('Activities'!L613,444)-MAX('Activities'!K613,438))</x:f>
        <x:v>0</x:v>
      </x:c>
      <x:c r="CA613" s="23" t="n">
        <x:f>MAX(0,MIN('Activities'!L613,450)-MAX('Activities'!K613,444))</x:f>
        <x:v>0</x:v>
      </x:c>
      <x:c r="CB613" s="23" t="n">
        <x:f>MAX(0,MIN('Activities'!L613,456)-MAX('Activities'!K613,450))</x:f>
        <x:v>0</x:v>
      </x:c>
      <x:c r="CC613" s="23" t="n">
        <x:f>MAX(0,MIN('Activities'!L613,462)-MAX('Activities'!K613,456))</x:f>
        <x:v>5</x:v>
      </x:c>
      <x:c r="CD613" s="23" t="n">
        <x:f>MAX(0,MIN('Activities'!L613,468)-MAX('Activities'!K613,462))</x:f>
        <x:v>0</x:v>
      </x:c>
      <x:c r="CE613" s="23" t="n">
        <x:f>MAX(0,MIN('Activities'!L613,474)-MAX('Activities'!K613,468))</x:f>
        <x:v>0</x:v>
      </x:c>
      <x:c r="CF613" s="23" t="n">
        <x:f>MAX(0,MIN('Activities'!L613,480)-MAX('Activities'!K613,474))</x:f>
        <x:v>0</x:v>
      </x:c>
      <x:c r="CG613" s="23" t="n">
        <x:f>MAX(0,MIN('Activities'!L613,486)-MAX('Activities'!K613,480))</x:f>
        <x:v>0</x:v>
      </x:c>
      <x:c r="CH613" s="23" t="n">
        <x:f>MAX(0,MIN('Activities'!L613,492)-MAX('Activities'!K613,486))</x:f>
        <x:v>0</x:v>
      </x:c>
      <x:c r="CI613" s="23" t="n">
        <x:f>MAX(0,MIN('Activities'!L613,498)-MAX('Activities'!K613,492))</x:f>
        <x:v>0</x:v>
      </x:c>
      <x:c r="CJ613" s="23" t="n">
        <x:f>MAX(0,MIN('Activities'!L613,504)-MAX('Activities'!K613,498))</x:f>
        <x:v>0</x:v>
      </x:c>
      <x:c r="CK613" s="23" t="n">
        <x:f>MAX(0,MIN('Activities'!L613,510)-MAX('Activities'!K613,504))</x:f>
        <x:v>0</x:v>
      </x:c>
      <x:c r="CL613" s="23" t="n">
        <x:f>MAX(0,MIN('Activities'!L613,516)-MAX('Activities'!K613,510))</x:f>
        <x:v>0</x:v>
      </x:c>
      <x:c r="CM613" s="23" t="n">
        <x:f>MAX(0,MIN('Activities'!L613,522)-MAX('Activities'!K613,516))</x:f>
        <x:v>0</x:v>
      </x:c>
      <x:c r="CN613" s="23" t="n">
        <x:f>MAX(0,MIN('Activities'!L613,528)-MAX('Activities'!K613,522))</x:f>
        <x:v>0</x:v>
      </x:c>
      <x:c r="CO613" s="23" t="n">
        <x:f>MAX(0,MIN('Activities'!L613,534)-MAX('Activities'!K613,528))</x:f>
        <x:v>0</x:v>
      </x:c>
      <x:c r="CP613" s="23" t="n">
        <x:f>MAX(0,MIN('Activities'!L613,540)-MAX('Activities'!K613,534))</x:f>
        <x:v>0</x:v>
      </x:c>
      <x:c r="CQ613" s="23" t="n">
        <x:f>MAX(0,MIN('Activities'!L613,546)-MAX('Activities'!K613,540))</x:f>
        <x:v>0</x:v>
      </x:c>
      <x:c r="CR613" s="23" t="n">
        <x:f>MAX(0,MIN('Activities'!L613,552)-MAX('Activities'!K613,546))</x:f>
        <x:v>0</x:v>
      </x:c>
      <x:c r="CS613" s="23" t="n">
        <x:f>MAX(0,MIN('Activities'!L613,558)-MAX('Activities'!K613,552))</x:f>
        <x:v>0</x:v>
      </x:c>
      <x:c r="CT613" s="23" t="n">
        <x:f>MAX(0,MIN('Activities'!L613,564)-MAX('Activities'!K613,558))</x:f>
        <x:v>0</x:v>
      </x:c>
      <x:c r="CU613" s="23" t="n">
        <x:f>MAX(0,MIN('Activities'!L613,570)-MAX('Activities'!K613,564))</x:f>
        <x:v>0</x:v>
      </x:c>
      <x:c r="CV613" s="23" t="n">
        <x:f>MAX(0,MIN('Activities'!L613,576)-MAX('Activities'!K613,570))</x:f>
        <x:v>0</x:v>
      </x:c>
      <x:c r="CW613" s="23" t="n">
        <x:f>MAX(0,MIN('Activities'!L613,582)-MAX('Activities'!K613,576))</x:f>
        <x:v>0</x:v>
      </x:c>
      <x:c r="CX613" s="23" t="n">
        <x:f>MAX(0,MIN('Activities'!L613,588)-MAX('Activities'!K613,582))</x:f>
        <x:v>0</x:v>
      </x:c>
      <x:c r="CY613" s="23" t="n">
        <x:f>MAX(0,MIN('Activities'!L613,594)-MAX('Activities'!K613,588))</x:f>
        <x:v>0</x:v>
      </x:c>
      <x:c r="CZ613" s="23" t="n">
        <x:f>MAX(0,MIN('Activities'!L613,600)-MAX('Activities'!K613,594))</x:f>
        <x:v>0</x:v>
      </x:c>
      <x:c r="DA613" s="23" t="n">
        <x:f>MAX(0,MIN('Activities'!L613,606)-MAX('Activities'!K613,600))</x:f>
        <x:v>0</x:v>
      </x:c>
      <x:c r="DB613" s="23" t="n">
        <x:f>MAX(0,MIN('Activities'!L613,612)-MAX('Activities'!K613,606))</x:f>
        <x:v>0</x:v>
      </x:c>
      <x:c r="DC613" s="23" t="n">
        <x:f>MAX(0,MIN('Activities'!L613,618)-MAX('Activities'!K613,612))</x:f>
        <x:v>0</x:v>
      </x:c>
      <x:c r="DD613" s="23" t="n">
        <x:f>MAX(0,MIN('Activities'!L613,624)-MAX('Activities'!K613,618))</x:f>
        <x:v>0</x:v>
      </x:c>
      <x:c r="DE613" s="23" t="n">
        <x:f>MAX(0,MIN('Activities'!L613,630)-MAX('Activities'!K613,624))</x:f>
        <x:v>0</x:v>
      </x:c>
      <x:c r="DF613" s="23" t="n">
        <x:f>MAX(0,MIN('Activities'!L613,636)-MAX('Activities'!K613,630))</x:f>
        <x:v>0</x:v>
      </x:c>
    </x:row>
    <x:row r="614" ht="23" customHeight="1">
      <x:c r="A614" s="6" t="str">
        <x:v>T5-L01-D</x:v>
      </x:c>
      <x:c r="B614" s="6" t="str">
        <x:v>T5</x:v>
      </x:c>
      <x:c r="C614" s="6" t="str">
        <x:v>Door sets and ironmongery</x:v>
      </x:c>
      <x:c r="D614" s="6" t="str">
        <x:v>Finishes</x:v>
      </x:c>
      <x:c r="E614" s="22" t="n">
        <x:f>MAX(0,MIN('Activities'!L614,6)-MAX('Activities'!K614,0))</x:f>
        <x:v>0</x:v>
      </x:c>
      <x:c r="F614" s="22" t="n">
        <x:f>MAX(0,MIN('Activities'!L614,12)-MAX('Activities'!K614,6))</x:f>
        <x:v>0</x:v>
      </x:c>
      <x:c r="G614" s="22" t="n">
        <x:f>MAX(0,MIN('Activities'!L614,18)-MAX('Activities'!K614,12))</x:f>
        <x:v>0</x:v>
      </x:c>
      <x:c r="H614" s="22" t="n">
        <x:f>MAX(0,MIN('Activities'!L614,24)-MAX('Activities'!K614,18))</x:f>
        <x:v>0</x:v>
      </x:c>
      <x:c r="I614" s="22" t="n">
        <x:f>MAX(0,MIN('Activities'!L614,30)-MAX('Activities'!K614,24))</x:f>
        <x:v>0</x:v>
      </x:c>
      <x:c r="J614" s="22" t="n">
        <x:f>MAX(0,MIN('Activities'!L614,36)-MAX('Activities'!K614,30))</x:f>
        <x:v>0</x:v>
      </x:c>
      <x:c r="K614" s="22" t="n">
        <x:f>MAX(0,MIN('Activities'!L614,42)-MAX('Activities'!K614,36))</x:f>
        <x:v>0</x:v>
      </x:c>
      <x:c r="L614" s="22" t="n">
        <x:f>MAX(0,MIN('Activities'!L614,48)-MAX('Activities'!K614,42))</x:f>
        <x:v>0</x:v>
      </x:c>
      <x:c r="M614" s="22" t="n">
        <x:f>MAX(0,MIN('Activities'!L614,54)-MAX('Activities'!K614,48))</x:f>
        <x:v>0</x:v>
      </x:c>
      <x:c r="N614" s="22" t="n">
        <x:f>MAX(0,MIN('Activities'!L614,60)-MAX('Activities'!K614,54))</x:f>
        <x:v>0</x:v>
      </x:c>
      <x:c r="O614" s="22" t="n">
        <x:f>MAX(0,MIN('Activities'!L614,66)-MAX('Activities'!K614,60))</x:f>
        <x:v>0</x:v>
      </x:c>
      <x:c r="P614" s="22" t="n">
        <x:f>MAX(0,MIN('Activities'!L614,72)-MAX('Activities'!K614,66))</x:f>
        <x:v>0</x:v>
      </x:c>
      <x:c r="Q614" s="22" t="n">
        <x:f>MAX(0,MIN('Activities'!L614,78)-MAX('Activities'!K614,72))</x:f>
        <x:v>0</x:v>
      </x:c>
      <x:c r="R614" s="22" t="n">
        <x:f>MAX(0,MIN('Activities'!L614,84)-MAX('Activities'!K614,78))</x:f>
        <x:v>0</x:v>
      </x:c>
      <x:c r="S614" s="22" t="n">
        <x:f>MAX(0,MIN('Activities'!L614,90)-MAX('Activities'!K614,84))</x:f>
        <x:v>0</x:v>
      </x:c>
      <x:c r="T614" s="22" t="n">
        <x:f>MAX(0,MIN('Activities'!L614,96)-MAX('Activities'!K614,90))</x:f>
        <x:v>0</x:v>
      </x:c>
      <x:c r="U614" s="22" t="n">
        <x:f>MAX(0,MIN('Activities'!L614,102)-MAX('Activities'!K614,96))</x:f>
        <x:v>0</x:v>
      </x:c>
      <x:c r="V614" s="22" t="n">
        <x:f>MAX(0,MIN('Activities'!L614,108)-MAX('Activities'!K614,102))</x:f>
        <x:v>0</x:v>
      </x:c>
      <x:c r="W614" s="22" t="n">
        <x:f>MAX(0,MIN('Activities'!L614,114)-MAX('Activities'!K614,108))</x:f>
        <x:v>0</x:v>
      </x:c>
      <x:c r="X614" s="22" t="n">
        <x:f>MAX(0,MIN('Activities'!L614,120)-MAX('Activities'!K614,114))</x:f>
        <x:v>0</x:v>
      </x:c>
      <x:c r="Y614" s="22" t="n">
        <x:f>MAX(0,MIN('Activities'!L614,126)-MAX('Activities'!K614,120))</x:f>
        <x:v>0</x:v>
      </x:c>
      <x:c r="Z614" s="22" t="n">
        <x:f>MAX(0,MIN('Activities'!L614,132)-MAX('Activities'!K614,126))</x:f>
        <x:v>0</x:v>
      </x:c>
      <x:c r="AA614" s="22" t="n">
        <x:f>MAX(0,MIN('Activities'!L614,138)-MAX('Activities'!K614,132))</x:f>
        <x:v>0</x:v>
      </x:c>
      <x:c r="AB614" s="22" t="n">
        <x:f>MAX(0,MIN('Activities'!L614,144)-MAX('Activities'!K614,138))</x:f>
        <x:v>0</x:v>
      </x:c>
      <x:c r="AC614" s="22" t="n">
        <x:f>MAX(0,MIN('Activities'!L614,150)-MAX('Activities'!K614,144))</x:f>
        <x:v>0</x:v>
      </x:c>
      <x:c r="AD614" s="22" t="n">
        <x:f>MAX(0,MIN('Activities'!L614,156)-MAX('Activities'!K614,150))</x:f>
        <x:v>0</x:v>
      </x:c>
      <x:c r="AE614" s="22" t="n">
        <x:f>MAX(0,MIN('Activities'!L614,162)-MAX('Activities'!K614,156))</x:f>
        <x:v>0</x:v>
      </x:c>
      <x:c r="AF614" s="22" t="n">
        <x:f>MAX(0,MIN('Activities'!L614,168)-MAX('Activities'!K614,162))</x:f>
        <x:v>0</x:v>
      </x:c>
      <x:c r="AG614" s="22" t="n">
        <x:f>MAX(0,MIN('Activities'!L614,174)-MAX('Activities'!K614,168))</x:f>
        <x:v>0</x:v>
      </x:c>
      <x:c r="AH614" s="22" t="n">
        <x:f>MAX(0,MIN('Activities'!L614,180)-MAX('Activities'!K614,174))</x:f>
        <x:v>0</x:v>
      </x:c>
      <x:c r="AI614" s="22" t="n">
        <x:f>MAX(0,MIN('Activities'!L614,186)-MAX('Activities'!K614,180))</x:f>
        <x:v>0</x:v>
      </x:c>
      <x:c r="AJ614" s="22" t="n">
        <x:f>MAX(0,MIN('Activities'!L614,192)-MAX('Activities'!K614,186))</x:f>
        <x:v>0</x:v>
      </x:c>
      <x:c r="AK614" s="22" t="n">
        <x:f>MAX(0,MIN('Activities'!L614,198)-MAX('Activities'!K614,192))</x:f>
        <x:v>0</x:v>
      </x:c>
      <x:c r="AL614" s="22" t="n">
        <x:f>MAX(0,MIN('Activities'!L614,204)-MAX('Activities'!K614,198))</x:f>
        <x:v>0</x:v>
      </x:c>
      <x:c r="AM614" s="22" t="n">
        <x:f>MAX(0,MIN('Activities'!L614,210)-MAX('Activities'!K614,204))</x:f>
        <x:v>0</x:v>
      </x:c>
      <x:c r="AN614" s="22" t="n">
        <x:f>MAX(0,MIN('Activities'!L614,216)-MAX('Activities'!K614,210))</x:f>
        <x:v>0</x:v>
      </x:c>
      <x:c r="AO614" s="22" t="n">
        <x:f>MAX(0,MIN('Activities'!L614,222)-MAX('Activities'!K614,216))</x:f>
        <x:v>0</x:v>
      </x:c>
      <x:c r="AP614" s="22" t="n">
        <x:f>MAX(0,MIN('Activities'!L614,228)-MAX('Activities'!K614,222))</x:f>
        <x:v>0</x:v>
      </x:c>
      <x:c r="AQ614" s="22" t="n">
        <x:f>MAX(0,MIN('Activities'!L614,234)-MAX('Activities'!K614,228))</x:f>
        <x:v>0</x:v>
      </x:c>
      <x:c r="AR614" s="22" t="n">
        <x:f>MAX(0,MIN('Activities'!L614,240)-MAX('Activities'!K614,234))</x:f>
        <x:v>0</x:v>
      </x:c>
      <x:c r="AS614" s="22" t="n">
        <x:f>MAX(0,MIN('Activities'!L614,246)-MAX('Activities'!K614,240))</x:f>
        <x:v>0</x:v>
      </x:c>
      <x:c r="AT614" s="22" t="n">
        <x:f>MAX(0,MIN('Activities'!L614,252)-MAX('Activities'!K614,246))</x:f>
        <x:v>0</x:v>
      </x:c>
      <x:c r="AU614" s="22" t="n">
        <x:f>MAX(0,MIN('Activities'!L614,258)-MAX('Activities'!K614,252))</x:f>
        <x:v>0</x:v>
      </x:c>
      <x:c r="AV614" s="22" t="n">
        <x:f>MAX(0,MIN('Activities'!L614,264)-MAX('Activities'!K614,258))</x:f>
        <x:v>0</x:v>
      </x:c>
      <x:c r="AW614" s="22" t="n">
        <x:f>MAX(0,MIN('Activities'!L614,270)-MAX('Activities'!K614,264))</x:f>
        <x:v>0</x:v>
      </x:c>
      <x:c r="AX614" s="22" t="n">
        <x:f>MAX(0,MIN('Activities'!L614,276)-MAX('Activities'!K614,270))</x:f>
        <x:v>0</x:v>
      </x:c>
      <x:c r="AY614" s="22" t="n">
        <x:f>MAX(0,MIN('Activities'!L614,282)-MAX('Activities'!K614,276))</x:f>
        <x:v>0</x:v>
      </x:c>
      <x:c r="AZ614" s="22" t="n">
        <x:f>MAX(0,MIN('Activities'!L614,288)-MAX('Activities'!K614,282))</x:f>
        <x:v>0</x:v>
      </x:c>
      <x:c r="BA614" s="22" t="n">
        <x:f>MAX(0,MIN('Activities'!L614,294)-MAX('Activities'!K614,288))</x:f>
        <x:v>0</x:v>
      </x:c>
      <x:c r="BB614" s="22" t="n">
        <x:f>MAX(0,MIN('Activities'!L614,300)-MAX('Activities'!K614,294))</x:f>
        <x:v>0</x:v>
      </x:c>
      <x:c r="BC614" s="22" t="n">
        <x:f>MAX(0,MIN('Activities'!L614,306)-MAX('Activities'!K614,300))</x:f>
        <x:v>0</x:v>
      </x:c>
      <x:c r="BD614" s="22" t="n">
        <x:f>MAX(0,MIN('Activities'!L614,312)-MAX('Activities'!K614,306))</x:f>
        <x:v>0</x:v>
      </x:c>
      <x:c r="BE614" s="22" t="n">
        <x:f>MAX(0,MIN('Activities'!L614,318)-MAX('Activities'!K614,312))</x:f>
        <x:v>0</x:v>
      </x:c>
      <x:c r="BF614" s="22" t="n">
        <x:f>MAX(0,MIN('Activities'!L614,324)-MAX('Activities'!K614,318))</x:f>
        <x:v>0</x:v>
      </x:c>
      <x:c r="BG614" s="22" t="n">
        <x:f>MAX(0,MIN('Activities'!L614,330)-MAX('Activities'!K614,324))</x:f>
        <x:v>0</x:v>
      </x:c>
      <x:c r="BH614" s="22" t="n">
        <x:f>MAX(0,MIN('Activities'!L614,336)-MAX('Activities'!K614,330))</x:f>
        <x:v>0</x:v>
      </x:c>
      <x:c r="BI614" s="22" t="n">
        <x:f>MAX(0,MIN('Activities'!L614,342)-MAX('Activities'!K614,336))</x:f>
        <x:v>0</x:v>
      </x:c>
      <x:c r="BJ614" s="22" t="n">
        <x:f>MAX(0,MIN('Activities'!L614,348)-MAX('Activities'!K614,342))</x:f>
        <x:v>0</x:v>
      </x:c>
      <x:c r="BK614" s="22" t="n">
        <x:f>MAX(0,MIN('Activities'!L614,354)-MAX('Activities'!K614,348))</x:f>
        <x:v>0</x:v>
      </x:c>
      <x:c r="BL614" s="22" t="n">
        <x:f>MAX(0,MIN('Activities'!L614,360)-MAX('Activities'!K614,354))</x:f>
        <x:v>0</x:v>
      </x:c>
      <x:c r="BM614" s="22" t="n">
        <x:f>MAX(0,MIN('Activities'!L614,366)-MAX('Activities'!K614,360))</x:f>
        <x:v>0</x:v>
      </x:c>
      <x:c r="BN614" s="22" t="n">
        <x:f>MAX(0,MIN('Activities'!L614,372)-MAX('Activities'!K614,366))</x:f>
        <x:v>0</x:v>
      </x:c>
      <x:c r="BO614" s="22" t="n">
        <x:f>MAX(0,MIN('Activities'!L614,378)-MAX('Activities'!K614,372))</x:f>
        <x:v>0</x:v>
      </x:c>
      <x:c r="BP614" s="22" t="n">
        <x:f>MAX(0,MIN('Activities'!L614,384)-MAX('Activities'!K614,378))</x:f>
        <x:v>0</x:v>
      </x:c>
      <x:c r="BQ614" s="22" t="n">
        <x:f>MAX(0,MIN('Activities'!L614,390)-MAX('Activities'!K614,384))</x:f>
        <x:v>0</x:v>
      </x:c>
      <x:c r="BR614" s="22" t="n">
        <x:f>MAX(0,MIN('Activities'!L614,396)-MAX('Activities'!K614,390))</x:f>
        <x:v>0</x:v>
      </x:c>
      <x:c r="BS614" s="22" t="n">
        <x:f>MAX(0,MIN('Activities'!L614,402)-MAX('Activities'!K614,396))</x:f>
        <x:v>0</x:v>
      </x:c>
      <x:c r="BT614" s="22" t="n">
        <x:f>MAX(0,MIN('Activities'!L614,408)-MAX('Activities'!K614,402))</x:f>
        <x:v>0</x:v>
      </x:c>
      <x:c r="BU614" s="22" t="n">
        <x:f>MAX(0,MIN('Activities'!L614,414)-MAX('Activities'!K614,408))</x:f>
        <x:v>0</x:v>
      </x:c>
      <x:c r="BV614" s="22" t="n">
        <x:f>MAX(0,MIN('Activities'!L614,420)-MAX('Activities'!K614,414))</x:f>
        <x:v>0</x:v>
      </x:c>
      <x:c r="BW614" s="22" t="n">
        <x:f>MAX(0,MIN('Activities'!L614,426)-MAX('Activities'!K614,420))</x:f>
        <x:v>0</x:v>
      </x:c>
      <x:c r="BX614" s="22" t="n">
        <x:f>MAX(0,MIN('Activities'!L614,432)-MAX('Activities'!K614,426))</x:f>
        <x:v>0</x:v>
      </x:c>
      <x:c r="BY614" s="22" t="n">
        <x:f>MAX(0,MIN('Activities'!L614,438)-MAX('Activities'!K614,432))</x:f>
        <x:v>0</x:v>
      </x:c>
      <x:c r="BZ614" s="22" t="n">
        <x:f>MAX(0,MIN('Activities'!L614,444)-MAX('Activities'!K614,438))</x:f>
        <x:v>0</x:v>
      </x:c>
      <x:c r="CA614" s="22" t="n">
        <x:f>MAX(0,MIN('Activities'!L614,450)-MAX('Activities'!K614,444))</x:f>
        <x:v>0</x:v>
      </x:c>
      <x:c r="CB614" s="22" t="n">
        <x:f>MAX(0,MIN('Activities'!L614,456)-MAX('Activities'!K614,450))</x:f>
        <x:v>0</x:v>
      </x:c>
      <x:c r="CC614" s="22" t="n">
        <x:f>MAX(0,MIN('Activities'!L614,462)-MAX('Activities'!K614,456))</x:f>
        <x:v>0</x:v>
      </x:c>
      <x:c r="CD614" s="22" t="n">
        <x:f>MAX(0,MIN('Activities'!L614,468)-MAX('Activities'!K614,462))</x:f>
        <x:v>3</x:v>
      </x:c>
      <x:c r="CE614" s="22" t="n">
        <x:f>MAX(0,MIN('Activities'!L614,474)-MAX('Activities'!K614,468))</x:f>
        <x:v>0</x:v>
      </x:c>
      <x:c r="CF614" s="22" t="n">
        <x:f>MAX(0,MIN('Activities'!L614,480)-MAX('Activities'!K614,474))</x:f>
        <x:v>0</x:v>
      </x:c>
      <x:c r="CG614" s="22" t="n">
        <x:f>MAX(0,MIN('Activities'!L614,486)-MAX('Activities'!K614,480))</x:f>
        <x:v>0</x:v>
      </x:c>
      <x:c r="CH614" s="22" t="n">
        <x:f>MAX(0,MIN('Activities'!L614,492)-MAX('Activities'!K614,486))</x:f>
        <x:v>0</x:v>
      </x:c>
      <x:c r="CI614" s="22" t="n">
        <x:f>MAX(0,MIN('Activities'!L614,498)-MAX('Activities'!K614,492))</x:f>
        <x:v>0</x:v>
      </x:c>
      <x:c r="CJ614" s="22" t="n">
        <x:f>MAX(0,MIN('Activities'!L614,504)-MAX('Activities'!K614,498))</x:f>
        <x:v>0</x:v>
      </x:c>
      <x:c r="CK614" s="22" t="n">
        <x:f>MAX(0,MIN('Activities'!L614,510)-MAX('Activities'!K614,504))</x:f>
        <x:v>0</x:v>
      </x:c>
      <x:c r="CL614" s="22" t="n">
        <x:f>MAX(0,MIN('Activities'!L614,516)-MAX('Activities'!K614,510))</x:f>
        <x:v>0</x:v>
      </x:c>
      <x:c r="CM614" s="22" t="n">
        <x:f>MAX(0,MIN('Activities'!L614,522)-MAX('Activities'!K614,516))</x:f>
        <x:v>0</x:v>
      </x:c>
      <x:c r="CN614" s="22" t="n">
        <x:f>MAX(0,MIN('Activities'!L614,528)-MAX('Activities'!K614,522))</x:f>
        <x:v>0</x:v>
      </x:c>
      <x:c r="CO614" s="22" t="n">
        <x:f>MAX(0,MIN('Activities'!L614,534)-MAX('Activities'!K614,528))</x:f>
        <x:v>0</x:v>
      </x:c>
      <x:c r="CP614" s="22" t="n">
        <x:f>MAX(0,MIN('Activities'!L614,540)-MAX('Activities'!K614,534))</x:f>
        <x:v>0</x:v>
      </x:c>
      <x:c r="CQ614" s="22" t="n">
        <x:f>MAX(0,MIN('Activities'!L614,546)-MAX('Activities'!K614,540))</x:f>
        <x:v>0</x:v>
      </x:c>
      <x:c r="CR614" s="22" t="n">
        <x:f>MAX(0,MIN('Activities'!L614,552)-MAX('Activities'!K614,546))</x:f>
        <x:v>0</x:v>
      </x:c>
      <x:c r="CS614" s="22" t="n">
        <x:f>MAX(0,MIN('Activities'!L614,558)-MAX('Activities'!K614,552))</x:f>
        <x:v>0</x:v>
      </x:c>
      <x:c r="CT614" s="22" t="n">
        <x:f>MAX(0,MIN('Activities'!L614,564)-MAX('Activities'!K614,558))</x:f>
        <x:v>0</x:v>
      </x:c>
      <x:c r="CU614" s="22" t="n">
        <x:f>MAX(0,MIN('Activities'!L614,570)-MAX('Activities'!K614,564))</x:f>
        <x:v>0</x:v>
      </x:c>
      <x:c r="CV614" s="22" t="n">
        <x:f>MAX(0,MIN('Activities'!L614,576)-MAX('Activities'!K614,570))</x:f>
        <x:v>0</x:v>
      </x:c>
      <x:c r="CW614" s="22" t="n">
        <x:f>MAX(0,MIN('Activities'!L614,582)-MAX('Activities'!K614,576))</x:f>
        <x:v>0</x:v>
      </x:c>
      <x:c r="CX614" s="22" t="n">
        <x:f>MAX(0,MIN('Activities'!L614,588)-MAX('Activities'!K614,582))</x:f>
        <x:v>0</x:v>
      </x:c>
      <x:c r="CY614" s="22" t="n">
        <x:f>MAX(0,MIN('Activities'!L614,594)-MAX('Activities'!K614,588))</x:f>
        <x:v>0</x:v>
      </x:c>
      <x:c r="CZ614" s="22" t="n">
        <x:f>MAX(0,MIN('Activities'!L614,600)-MAX('Activities'!K614,594))</x:f>
        <x:v>0</x:v>
      </x:c>
      <x:c r="DA614" s="22" t="n">
        <x:f>MAX(0,MIN('Activities'!L614,606)-MAX('Activities'!K614,600))</x:f>
        <x:v>0</x:v>
      </x:c>
      <x:c r="DB614" s="22" t="n">
        <x:f>MAX(0,MIN('Activities'!L614,612)-MAX('Activities'!K614,606))</x:f>
        <x:v>0</x:v>
      </x:c>
      <x:c r="DC614" s="22" t="n">
        <x:f>MAX(0,MIN('Activities'!L614,618)-MAX('Activities'!K614,612))</x:f>
        <x:v>0</x:v>
      </x:c>
      <x:c r="DD614" s="22" t="n">
        <x:f>MAX(0,MIN('Activities'!L614,624)-MAX('Activities'!K614,618))</x:f>
        <x:v>0</x:v>
      </x:c>
      <x:c r="DE614" s="22" t="n">
        <x:f>MAX(0,MIN('Activities'!L614,630)-MAX('Activities'!K614,624))</x:f>
        <x:v>0</x:v>
      </x:c>
      <x:c r="DF614" s="22" t="n">
        <x:f>MAX(0,MIN('Activities'!L614,636)-MAX('Activities'!K614,630))</x:f>
        <x:v>0</x:v>
      </x:c>
    </x:row>
    <x:row r="615" ht="23" customHeight="1">
      <x:c r="A615" s="1" t="str">
        <x:v>T5-L02-M</x:v>
      </x:c>
      <x:c r="B615" s="1" t="str">
        <x:v>T5</x:v>
      </x:c>
      <x:c r="C615" s="1" t="str">
        <x:v>Partition masonry</x:v>
      </x:c>
      <x:c r="D615" s="1" t="str">
        <x:v>Masonry</x:v>
      </x:c>
      <x:c r="E615" s="23" t="n">
        <x:f>MAX(0,MIN('Activities'!L615,6)-MAX('Activities'!K615,0))</x:f>
        <x:v>0</x:v>
      </x:c>
      <x:c r="F615" s="23" t="n">
        <x:f>MAX(0,MIN('Activities'!L615,12)-MAX('Activities'!K615,6))</x:f>
        <x:v>0</x:v>
      </x:c>
      <x:c r="G615" s="23" t="n">
        <x:f>MAX(0,MIN('Activities'!L615,18)-MAX('Activities'!K615,12))</x:f>
        <x:v>0</x:v>
      </x:c>
      <x:c r="H615" s="23" t="n">
        <x:f>MAX(0,MIN('Activities'!L615,24)-MAX('Activities'!K615,18))</x:f>
        <x:v>0</x:v>
      </x:c>
      <x:c r="I615" s="23" t="n">
        <x:f>MAX(0,MIN('Activities'!L615,30)-MAX('Activities'!K615,24))</x:f>
        <x:v>0</x:v>
      </x:c>
      <x:c r="J615" s="23" t="n">
        <x:f>MAX(0,MIN('Activities'!L615,36)-MAX('Activities'!K615,30))</x:f>
        <x:v>0</x:v>
      </x:c>
      <x:c r="K615" s="23" t="n">
        <x:f>MAX(0,MIN('Activities'!L615,42)-MAX('Activities'!K615,36))</x:f>
        <x:v>0</x:v>
      </x:c>
      <x:c r="L615" s="23" t="n">
        <x:f>MAX(0,MIN('Activities'!L615,48)-MAX('Activities'!K615,42))</x:f>
        <x:v>0</x:v>
      </x:c>
      <x:c r="M615" s="23" t="n">
        <x:f>MAX(0,MIN('Activities'!L615,54)-MAX('Activities'!K615,48))</x:f>
        <x:v>0</x:v>
      </x:c>
      <x:c r="N615" s="23" t="n">
        <x:f>MAX(0,MIN('Activities'!L615,60)-MAX('Activities'!K615,54))</x:f>
        <x:v>0</x:v>
      </x:c>
      <x:c r="O615" s="23" t="n">
        <x:f>MAX(0,MIN('Activities'!L615,66)-MAX('Activities'!K615,60))</x:f>
        <x:v>0</x:v>
      </x:c>
      <x:c r="P615" s="23" t="n">
        <x:f>MAX(0,MIN('Activities'!L615,72)-MAX('Activities'!K615,66))</x:f>
        <x:v>0</x:v>
      </x:c>
      <x:c r="Q615" s="23" t="n">
        <x:f>MAX(0,MIN('Activities'!L615,78)-MAX('Activities'!K615,72))</x:f>
        <x:v>0</x:v>
      </x:c>
      <x:c r="R615" s="23" t="n">
        <x:f>MAX(0,MIN('Activities'!L615,84)-MAX('Activities'!K615,78))</x:f>
        <x:v>0</x:v>
      </x:c>
      <x:c r="S615" s="23" t="n">
        <x:f>MAX(0,MIN('Activities'!L615,90)-MAX('Activities'!K615,84))</x:f>
        <x:v>0</x:v>
      </x:c>
      <x:c r="T615" s="23" t="n">
        <x:f>MAX(0,MIN('Activities'!L615,96)-MAX('Activities'!K615,90))</x:f>
        <x:v>0</x:v>
      </x:c>
      <x:c r="U615" s="23" t="n">
        <x:f>MAX(0,MIN('Activities'!L615,102)-MAX('Activities'!K615,96))</x:f>
        <x:v>0</x:v>
      </x:c>
      <x:c r="V615" s="23" t="n">
        <x:f>MAX(0,MIN('Activities'!L615,108)-MAX('Activities'!K615,102))</x:f>
        <x:v>0</x:v>
      </x:c>
      <x:c r="W615" s="23" t="n">
        <x:f>MAX(0,MIN('Activities'!L615,114)-MAX('Activities'!K615,108))</x:f>
        <x:v>0</x:v>
      </x:c>
      <x:c r="X615" s="23" t="n">
        <x:f>MAX(0,MIN('Activities'!L615,120)-MAX('Activities'!K615,114))</x:f>
        <x:v>0</x:v>
      </x:c>
      <x:c r="Y615" s="23" t="n">
        <x:f>MAX(0,MIN('Activities'!L615,126)-MAX('Activities'!K615,120))</x:f>
        <x:v>0</x:v>
      </x:c>
      <x:c r="Z615" s="23" t="n">
        <x:f>MAX(0,MIN('Activities'!L615,132)-MAX('Activities'!K615,126))</x:f>
        <x:v>0</x:v>
      </x:c>
      <x:c r="AA615" s="23" t="n">
        <x:f>MAX(0,MIN('Activities'!L615,138)-MAX('Activities'!K615,132))</x:f>
        <x:v>0</x:v>
      </x:c>
      <x:c r="AB615" s="23" t="n">
        <x:f>MAX(0,MIN('Activities'!L615,144)-MAX('Activities'!K615,138))</x:f>
        <x:v>0</x:v>
      </x:c>
      <x:c r="AC615" s="23" t="n">
        <x:f>MAX(0,MIN('Activities'!L615,150)-MAX('Activities'!K615,144))</x:f>
        <x:v>0</x:v>
      </x:c>
      <x:c r="AD615" s="23" t="n">
        <x:f>MAX(0,MIN('Activities'!L615,156)-MAX('Activities'!K615,150))</x:f>
        <x:v>0</x:v>
      </x:c>
      <x:c r="AE615" s="23" t="n">
        <x:f>MAX(0,MIN('Activities'!L615,162)-MAX('Activities'!K615,156))</x:f>
        <x:v>0</x:v>
      </x:c>
      <x:c r="AF615" s="23" t="n">
        <x:f>MAX(0,MIN('Activities'!L615,168)-MAX('Activities'!K615,162))</x:f>
        <x:v>0</x:v>
      </x:c>
      <x:c r="AG615" s="23" t="n">
        <x:f>MAX(0,MIN('Activities'!L615,174)-MAX('Activities'!K615,168))</x:f>
        <x:v>0</x:v>
      </x:c>
      <x:c r="AH615" s="23" t="n">
        <x:f>MAX(0,MIN('Activities'!L615,180)-MAX('Activities'!K615,174))</x:f>
        <x:v>0</x:v>
      </x:c>
      <x:c r="AI615" s="23" t="n">
        <x:f>MAX(0,MIN('Activities'!L615,186)-MAX('Activities'!K615,180))</x:f>
        <x:v>0</x:v>
      </x:c>
      <x:c r="AJ615" s="23" t="n">
        <x:f>MAX(0,MIN('Activities'!L615,192)-MAX('Activities'!K615,186))</x:f>
        <x:v>0</x:v>
      </x:c>
      <x:c r="AK615" s="23" t="n">
        <x:f>MAX(0,MIN('Activities'!L615,198)-MAX('Activities'!K615,192))</x:f>
        <x:v>0</x:v>
      </x:c>
      <x:c r="AL615" s="23" t="n">
        <x:f>MAX(0,MIN('Activities'!L615,204)-MAX('Activities'!K615,198))</x:f>
        <x:v>0</x:v>
      </x:c>
      <x:c r="AM615" s="23" t="n">
        <x:f>MAX(0,MIN('Activities'!L615,210)-MAX('Activities'!K615,204))</x:f>
        <x:v>0</x:v>
      </x:c>
      <x:c r="AN615" s="23" t="n">
        <x:f>MAX(0,MIN('Activities'!L615,216)-MAX('Activities'!K615,210))</x:f>
        <x:v>0</x:v>
      </x:c>
      <x:c r="AO615" s="23" t="n">
        <x:f>MAX(0,MIN('Activities'!L615,222)-MAX('Activities'!K615,216))</x:f>
        <x:v>0</x:v>
      </x:c>
      <x:c r="AP615" s="23" t="n">
        <x:f>MAX(0,MIN('Activities'!L615,228)-MAX('Activities'!K615,222))</x:f>
        <x:v>0</x:v>
      </x:c>
      <x:c r="AQ615" s="23" t="n">
        <x:f>MAX(0,MIN('Activities'!L615,234)-MAX('Activities'!K615,228))</x:f>
        <x:v>0</x:v>
      </x:c>
      <x:c r="AR615" s="23" t="n">
        <x:f>MAX(0,MIN('Activities'!L615,240)-MAX('Activities'!K615,234))</x:f>
        <x:v>0</x:v>
      </x:c>
      <x:c r="AS615" s="23" t="n">
        <x:f>MAX(0,MIN('Activities'!L615,246)-MAX('Activities'!K615,240))</x:f>
        <x:v>0</x:v>
      </x:c>
      <x:c r="AT615" s="23" t="n">
        <x:f>MAX(0,MIN('Activities'!L615,252)-MAX('Activities'!K615,246))</x:f>
        <x:v>0</x:v>
      </x:c>
      <x:c r="AU615" s="23" t="n">
        <x:f>MAX(0,MIN('Activities'!L615,258)-MAX('Activities'!K615,252))</x:f>
        <x:v>0</x:v>
      </x:c>
      <x:c r="AV615" s="23" t="n">
        <x:f>MAX(0,MIN('Activities'!L615,264)-MAX('Activities'!K615,258))</x:f>
        <x:v>0</x:v>
      </x:c>
      <x:c r="AW615" s="23" t="n">
        <x:f>MAX(0,MIN('Activities'!L615,270)-MAX('Activities'!K615,264))</x:f>
        <x:v>0</x:v>
      </x:c>
      <x:c r="AX615" s="23" t="n">
        <x:f>MAX(0,MIN('Activities'!L615,276)-MAX('Activities'!K615,270))</x:f>
        <x:v>0</x:v>
      </x:c>
      <x:c r="AY615" s="23" t="n">
        <x:f>MAX(0,MIN('Activities'!L615,282)-MAX('Activities'!K615,276))</x:f>
        <x:v>0</x:v>
      </x:c>
      <x:c r="AZ615" s="23" t="n">
        <x:f>MAX(0,MIN('Activities'!L615,288)-MAX('Activities'!K615,282))</x:f>
        <x:v>0</x:v>
      </x:c>
      <x:c r="BA615" s="23" t="n">
        <x:f>MAX(0,MIN('Activities'!L615,294)-MAX('Activities'!K615,288))</x:f>
        <x:v>0</x:v>
      </x:c>
      <x:c r="BB615" s="23" t="n">
        <x:f>MAX(0,MIN('Activities'!L615,300)-MAX('Activities'!K615,294))</x:f>
        <x:v>5</x:v>
      </x:c>
      <x:c r="BC615" s="23" t="n">
        <x:f>MAX(0,MIN('Activities'!L615,306)-MAX('Activities'!K615,300))</x:f>
        <x:v>0</x:v>
      </x:c>
      <x:c r="BD615" s="23" t="n">
        <x:f>MAX(0,MIN('Activities'!L615,312)-MAX('Activities'!K615,306))</x:f>
        <x:v>0</x:v>
      </x:c>
      <x:c r="BE615" s="23" t="n">
        <x:f>MAX(0,MIN('Activities'!L615,318)-MAX('Activities'!K615,312))</x:f>
        <x:v>0</x:v>
      </x:c>
      <x:c r="BF615" s="23" t="n">
        <x:f>MAX(0,MIN('Activities'!L615,324)-MAX('Activities'!K615,318))</x:f>
        <x:v>0</x:v>
      </x:c>
      <x:c r="BG615" s="23" t="n">
        <x:f>MAX(0,MIN('Activities'!L615,330)-MAX('Activities'!K615,324))</x:f>
        <x:v>0</x:v>
      </x:c>
      <x:c r="BH615" s="23" t="n">
        <x:f>MAX(0,MIN('Activities'!L615,336)-MAX('Activities'!K615,330))</x:f>
        <x:v>0</x:v>
      </x:c>
      <x:c r="BI615" s="23" t="n">
        <x:f>MAX(0,MIN('Activities'!L615,342)-MAX('Activities'!K615,336))</x:f>
        <x:v>0</x:v>
      </x:c>
      <x:c r="BJ615" s="23" t="n">
        <x:f>MAX(0,MIN('Activities'!L615,348)-MAX('Activities'!K615,342))</x:f>
        <x:v>0</x:v>
      </x:c>
      <x:c r="BK615" s="23" t="n">
        <x:f>MAX(0,MIN('Activities'!L615,354)-MAX('Activities'!K615,348))</x:f>
        <x:v>0</x:v>
      </x:c>
      <x:c r="BL615" s="23" t="n">
        <x:f>MAX(0,MIN('Activities'!L615,360)-MAX('Activities'!K615,354))</x:f>
        <x:v>0</x:v>
      </x:c>
      <x:c r="BM615" s="23" t="n">
        <x:f>MAX(0,MIN('Activities'!L615,366)-MAX('Activities'!K615,360))</x:f>
        <x:v>0</x:v>
      </x:c>
      <x:c r="BN615" s="23" t="n">
        <x:f>MAX(0,MIN('Activities'!L615,372)-MAX('Activities'!K615,366))</x:f>
        <x:v>0</x:v>
      </x:c>
      <x:c r="BO615" s="23" t="n">
        <x:f>MAX(0,MIN('Activities'!L615,378)-MAX('Activities'!K615,372))</x:f>
        <x:v>0</x:v>
      </x:c>
      <x:c r="BP615" s="23" t="n">
        <x:f>MAX(0,MIN('Activities'!L615,384)-MAX('Activities'!K615,378))</x:f>
        <x:v>0</x:v>
      </x:c>
      <x:c r="BQ615" s="23" t="n">
        <x:f>MAX(0,MIN('Activities'!L615,390)-MAX('Activities'!K615,384))</x:f>
        <x:v>0</x:v>
      </x:c>
      <x:c r="BR615" s="23" t="n">
        <x:f>MAX(0,MIN('Activities'!L615,396)-MAX('Activities'!K615,390))</x:f>
        <x:v>0</x:v>
      </x:c>
      <x:c r="BS615" s="23" t="n">
        <x:f>MAX(0,MIN('Activities'!L615,402)-MAX('Activities'!K615,396))</x:f>
        <x:v>0</x:v>
      </x:c>
      <x:c r="BT615" s="23" t="n">
        <x:f>MAX(0,MIN('Activities'!L615,408)-MAX('Activities'!K615,402))</x:f>
        <x:v>0</x:v>
      </x:c>
      <x:c r="BU615" s="23" t="n">
        <x:f>MAX(0,MIN('Activities'!L615,414)-MAX('Activities'!K615,408))</x:f>
        <x:v>0</x:v>
      </x:c>
      <x:c r="BV615" s="23" t="n">
        <x:f>MAX(0,MIN('Activities'!L615,420)-MAX('Activities'!K615,414))</x:f>
        <x:v>0</x:v>
      </x:c>
      <x:c r="BW615" s="23" t="n">
        <x:f>MAX(0,MIN('Activities'!L615,426)-MAX('Activities'!K615,420))</x:f>
        <x:v>0</x:v>
      </x:c>
      <x:c r="BX615" s="23" t="n">
        <x:f>MAX(0,MIN('Activities'!L615,432)-MAX('Activities'!K615,426))</x:f>
        <x:v>0</x:v>
      </x:c>
      <x:c r="BY615" s="23" t="n">
        <x:f>MAX(0,MIN('Activities'!L615,438)-MAX('Activities'!K615,432))</x:f>
        <x:v>0</x:v>
      </x:c>
      <x:c r="BZ615" s="23" t="n">
        <x:f>MAX(0,MIN('Activities'!L615,444)-MAX('Activities'!K615,438))</x:f>
        <x:v>0</x:v>
      </x:c>
      <x:c r="CA615" s="23" t="n">
        <x:f>MAX(0,MIN('Activities'!L615,450)-MAX('Activities'!K615,444))</x:f>
        <x:v>0</x:v>
      </x:c>
      <x:c r="CB615" s="23" t="n">
        <x:f>MAX(0,MIN('Activities'!L615,456)-MAX('Activities'!K615,450))</x:f>
        <x:v>0</x:v>
      </x:c>
      <x:c r="CC615" s="23" t="n">
        <x:f>MAX(0,MIN('Activities'!L615,462)-MAX('Activities'!K615,456))</x:f>
        <x:v>0</x:v>
      </x:c>
      <x:c r="CD615" s="23" t="n">
        <x:f>MAX(0,MIN('Activities'!L615,468)-MAX('Activities'!K615,462))</x:f>
        <x:v>0</x:v>
      </x:c>
      <x:c r="CE615" s="23" t="n">
        <x:f>MAX(0,MIN('Activities'!L615,474)-MAX('Activities'!K615,468))</x:f>
        <x:v>0</x:v>
      </x:c>
      <x:c r="CF615" s="23" t="n">
        <x:f>MAX(0,MIN('Activities'!L615,480)-MAX('Activities'!K615,474))</x:f>
        <x:v>0</x:v>
      </x:c>
      <x:c r="CG615" s="23" t="n">
        <x:f>MAX(0,MIN('Activities'!L615,486)-MAX('Activities'!K615,480))</x:f>
        <x:v>0</x:v>
      </x:c>
      <x:c r="CH615" s="23" t="n">
        <x:f>MAX(0,MIN('Activities'!L615,492)-MAX('Activities'!K615,486))</x:f>
        <x:v>0</x:v>
      </x:c>
      <x:c r="CI615" s="23" t="n">
        <x:f>MAX(0,MIN('Activities'!L615,498)-MAX('Activities'!K615,492))</x:f>
        <x:v>0</x:v>
      </x:c>
      <x:c r="CJ615" s="23" t="n">
        <x:f>MAX(0,MIN('Activities'!L615,504)-MAX('Activities'!K615,498))</x:f>
        <x:v>0</x:v>
      </x:c>
      <x:c r="CK615" s="23" t="n">
        <x:f>MAX(0,MIN('Activities'!L615,510)-MAX('Activities'!K615,504))</x:f>
        <x:v>0</x:v>
      </x:c>
      <x:c r="CL615" s="23" t="n">
        <x:f>MAX(0,MIN('Activities'!L615,516)-MAX('Activities'!K615,510))</x:f>
        <x:v>0</x:v>
      </x:c>
      <x:c r="CM615" s="23" t="n">
        <x:f>MAX(0,MIN('Activities'!L615,522)-MAX('Activities'!K615,516))</x:f>
        <x:v>0</x:v>
      </x:c>
      <x:c r="CN615" s="23" t="n">
        <x:f>MAX(0,MIN('Activities'!L615,528)-MAX('Activities'!K615,522))</x:f>
        <x:v>0</x:v>
      </x:c>
      <x:c r="CO615" s="23" t="n">
        <x:f>MAX(0,MIN('Activities'!L615,534)-MAX('Activities'!K615,528))</x:f>
        <x:v>0</x:v>
      </x:c>
      <x:c r="CP615" s="23" t="n">
        <x:f>MAX(0,MIN('Activities'!L615,540)-MAX('Activities'!K615,534))</x:f>
        <x:v>0</x:v>
      </x:c>
      <x:c r="CQ615" s="23" t="n">
        <x:f>MAX(0,MIN('Activities'!L615,546)-MAX('Activities'!K615,540))</x:f>
        <x:v>0</x:v>
      </x:c>
      <x:c r="CR615" s="23" t="n">
        <x:f>MAX(0,MIN('Activities'!L615,552)-MAX('Activities'!K615,546))</x:f>
        <x:v>0</x:v>
      </x:c>
      <x:c r="CS615" s="23" t="n">
        <x:f>MAX(0,MIN('Activities'!L615,558)-MAX('Activities'!K615,552))</x:f>
        <x:v>0</x:v>
      </x:c>
      <x:c r="CT615" s="23" t="n">
        <x:f>MAX(0,MIN('Activities'!L615,564)-MAX('Activities'!K615,558))</x:f>
        <x:v>0</x:v>
      </x:c>
      <x:c r="CU615" s="23" t="n">
        <x:f>MAX(0,MIN('Activities'!L615,570)-MAX('Activities'!K615,564))</x:f>
        <x:v>0</x:v>
      </x:c>
      <x:c r="CV615" s="23" t="n">
        <x:f>MAX(0,MIN('Activities'!L615,576)-MAX('Activities'!K615,570))</x:f>
        <x:v>0</x:v>
      </x:c>
      <x:c r="CW615" s="23" t="n">
        <x:f>MAX(0,MIN('Activities'!L615,582)-MAX('Activities'!K615,576))</x:f>
        <x:v>0</x:v>
      </x:c>
      <x:c r="CX615" s="23" t="n">
        <x:f>MAX(0,MIN('Activities'!L615,588)-MAX('Activities'!K615,582))</x:f>
        <x:v>0</x:v>
      </x:c>
      <x:c r="CY615" s="23" t="n">
        <x:f>MAX(0,MIN('Activities'!L615,594)-MAX('Activities'!K615,588))</x:f>
        <x:v>0</x:v>
      </x:c>
      <x:c r="CZ615" s="23" t="n">
        <x:f>MAX(0,MIN('Activities'!L615,600)-MAX('Activities'!K615,594))</x:f>
        <x:v>0</x:v>
      </x:c>
      <x:c r="DA615" s="23" t="n">
        <x:f>MAX(0,MIN('Activities'!L615,606)-MAX('Activities'!K615,600))</x:f>
        <x:v>0</x:v>
      </x:c>
      <x:c r="DB615" s="23" t="n">
        <x:f>MAX(0,MIN('Activities'!L615,612)-MAX('Activities'!K615,606))</x:f>
        <x:v>0</x:v>
      </x:c>
      <x:c r="DC615" s="23" t="n">
        <x:f>MAX(0,MIN('Activities'!L615,618)-MAX('Activities'!K615,612))</x:f>
        <x:v>0</x:v>
      </x:c>
      <x:c r="DD615" s="23" t="n">
        <x:f>MAX(0,MIN('Activities'!L615,624)-MAX('Activities'!K615,618))</x:f>
        <x:v>0</x:v>
      </x:c>
      <x:c r="DE615" s="23" t="n">
        <x:f>MAX(0,MIN('Activities'!L615,630)-MAX('Activities'!K615,624))</x:f>
        <x:v>0</x:v>
      </x:c>
      <x:c r="DF615" s="23" t="n">
        <x:f>MAX(0,MIN('Activities'!L615,636)-MAX('Activities'!K615,630))</x:f>
        <x:v>0</x:v>
      </x:c>
    </x:row>
    <x:row r="616" ht="23" customHeight="1">
      <x:c r="A616" s="6" t="str">
        <x:v>T5-L02-P</x:v>
      </x:c>
      <x:c r="B616" s="6" t="str">
        <x:v>T5</x:v>
      </x:c>
      <x:c r="C616" s="6" t="str">
        <x:v>Internal plaster</x:v>
      </x:c>
      <x:c r="D616" s="6" t="str">
        <x:v>Finishes</x:v>
      </x:c>
      <x:c r="E616" s="22" t="n">
        <x:f>MAX(0,MIN('Activities'!L616,6)-MAX('Activities'!K616,0))</x:f>
        <x:v>0</x:v>
      </x:c>
      <x:c r="F616" s="22" t="n">
        <x:f>MAX(0,MIN('Activities'!L616,12)-MAX('Activities'!K616,6))</x:f>
        <x:v>0</x:v>
      </x:c>
      <x:c r="G616" s="22" t="n">
        <x:f>MAX(0,MIN('Activities'!L616,18)-MAX('Activities'!K616,12))</x:f>
        <x:v>0</x:v>
      </x:c>
      <x:c r="H616" s="22" t="n">
        <x:f>MAX(0,MIN('Activities'!L616,24)-MAX('Activities'!K616,18))</x:f>
        <x:v>0</x:v>
      </x:c>
      <x:c r="I616" s="22" t="n">
        <x:f>MAX(0,MIN('Activities'!L616,30)-MAX('Activities'!K616,24))</x:f>
        <x:v>0</x:v>
      </x:c>
      <x:c r="J616" s="22" t="n">
        <x:f>MAX(0,MIN('Activities'!L616,36)-MAX('Activities'!K616,30))</x:f>
        <x:v>0</x:v>
      </x:c>
      <x:c r="K616" s="22" t="n">
        <x:f>MAX(0,MIN('Activities'!L616,42)-MAX('Activities'!K616,36))</x:f>
        <x:v>0</x:v>
      </x:c>
      <x:c r="L616" s="22" t="n">
        <x:f>MAX(0,MIN('Activities'!L616,48)-MAX('Activities'!K616,42))</x:f>
        <x:v>0</x:v>
      </x:c>
      <x:c r="M616" s="22" t="n">
        <x:f>MAX(0,MIN('Activities'!L616,54)-MAX('Activities'!K616,48))</x:f>
        <x:v>0</x:v>
      </x:c>
      <x:c r="N616" s="22" t="n">
        <x:f>MAX(0,MIN('Activities'!L616,60)-MAX('Activities'!K616,54))</x:f>
        <x:v>0</x:v>
      </x:c>
      <x:c r="O616" s="22" t="n">
        <x:f>MAX(0,MIN('Activities'!L616,66)-MAX('Activities'!K616,60))</x:f>
        <x:v>0</x:v>
      </x:c>
      <x:c r="P616" s="22" t="n">
        <x:f>MAX(0,MIN('Activities'!L616,72)-MAX('Activities'!K616,66))</x:f>
        <x:v>0</x:v>
      </x:c>
      <x:c r="Q616" s="22" t="n">
        <x:f>MAX(0,MIN('Activities'!L616,78)-MAX('Activities'!K616,72))</x:f>
        <x:v>0</x:v>
      </x:c>
      <x:c r="R616" s="22" t="n">
        <x:f>MAX(0,MIN('Activities'!L616,84)-MAX('Activities'!K616,78))</x:f>
        <x:v>0</x:v>
      </x:c>
      <x:c r="S616" s="22" t="n">
        <x:f>MAX(0,MIN('Activities'!L616,90)-MAX('Activities'!K616,84))</x:f>
        <x:v>0</x:v>
      </x:c>
      <x:c r="T616" s="22" t="n">
        <x:f>MAX(0,MIN('Activities'!L616,96)-MAX('Activities'!K616,90))</x:f>
        <x:v>0</x:v>
      </x:c>
      <x:c r="U616" s="22" t="n">
        <x:f>MAX(0,MIN('Activities'!L616,102)-MAX('Activities'!K616,96))</x:f>
        <x:v>0</x:v>
      </x:c>
      <x:c r="V616" s="22" t="n">
        <x:f>MAX(0,MIN('Activities'!L616,108)-MAX('Activities'!K616,102))</x:f>
        <x:v>0</x:v>
      </x:c>
      <x:c r="W616" s="22" t="n">
        <x:f>MAX(0,MIN('Activities'!L616,114)-MAX('Activities'!K616,108))</x:f>
        <x:v>0</x:v>
      </x:c>
      <x:c r="X616" s="22" t="n">
        <x:f>MAX(0,MIN('Activities'!L616,120)-MAX('Activities'!K616,114))</x:f>
        <x:v>0</x:v>
      </x:c>
      <x:c r="Y616" s="22" t="n">
        <x:f>MAX(0,MIN('Activities'!L616,126)-MAX('Activities'!K616,120))</x:f>
        <x:v>0</x:v>
      </x:c>
      <x:c r="Z616" s="22" t="n">
        <x:f>MAX(0,MIN('Activities'!L616,132)-MAX('Activities'!K616,126))</x:f>
        <x:v>0</x:v>
      </x:c>
      <x:c r="AA616" s="22" t="n">
        <x:f>MAX(0,MIN('Activities'!L616,138)-MAX('Activities'!K616,132))</x:f>
        <x:v>0</x:v>
      </x:c>
      <x:c r="AB616" s="22" t="n">
        <x:f>MAX(0,MIN('Activities'!L616,144)-MAX('Activities'!K616,138))</x:f>
        <x:v>0</x:v>
      </x:c>
      <x:c r="AC616" s="22" t="n">
        <x:f>MAX(0,MIN('Activities'!L616,150)-MAX('Activities'!K616,144))</x:f>
        <x:v>0</x:v>
      </x:c>
      <x:c r="AD616" s="22" t="n">
        <x:f>MAX(0,MIN('Activities'!L616,156)-MAX('Activities'!K616,150))</x:f>
        <x:v>0</x:v>
      </x:c>
      <x:c r="AE616" s="22" t="n">
        <x:f>MAX(0,MIN('Activities'!L616,162)-MAX('Activities'!K616,156))</x:f>
        <x:v>0</x:v>
      </x:c>
      <x:c r="AF616" s="22" t="n">
        <x:f>MAX(0,MIN('Activities'!L616,168)-MAX('Activities'!K616,162))</x:f>
        <x:v>0</x:v>
      </x:c>
      <x:c r="AG616" s="22" t="n">
        <x:f>MAX(0,MIN('Activities'!L616,174)-MAX('Activities'!K616,168))</x:f>
        <x:v>0</x:v>
      </x:c>
      <x:c r="AH616" s="22" t="n">
        <x:f>MAX(0,MIN('Activities'!L616,180)-MAX('Activities'!K616,174))</x:f>
        <x:v>0</x:v>
      </x:c>
      <x:c r="AI616" s="22" t="n">
        <x:f>MAX(0,MIN('Activities'!L616,186)-MAX('Activities'!K616,180))</x:f>
        <x:v>0</x:v>
      </x:c>
      <x:c r="AJ616" s="22" t="n">
        <x:f>MAX(0,MIN('Activities'!L616,192)-MAX('Activities'!K616,186))</x:f>
        <x:v>0</x:v>
      </x:c>
      <x:c r="AK616" s="22" t="n">
        <x:f>MAX(0,MIN('Activities'!L616,198)-MAX('Activities'!K616,192))</x:f>
        <x:v>0</x:v>
      </x:c>
      <x:c r="AL616" s="22" t="n">
        <x:f>MAX(0,MIN('Activities'!L616,204)-MAX('Activities'!K616,198))</x:f>
        <x:v>0</x:v>
      </x:c>
      <x:c r="AM616" s="22" t="n">
        <x:f>MAX(0,MIN('Activities'!L616,210)-MAX('Activities'!K616,204))</x:f>
        <x:v>0</x:v>
      </x:c>
      <x:c r="AN616" s="22" t="n">
        <x:f>MAX(0,MIN('Activities'!L616,216)-MAX('Activities'!K616,210))</x:f>
        <x:v>0</x:v>
      </x:c>
      <x:c r="AO616" s="22" t="n">
        <x:f>MAX(0,MIN('Activities'!L616,222)-MAX('Activities'!K616,216))</x:f>
        <x:v>0</x:v>
      </x:c>
      <x:c r="AP616" s="22" t="n">
        <x:f>MAX(0,MIN('Activities'!L616,228)-MAX('Activities'!K616,222))</x:f>
        <x:v>0</x:v>
      </x:c>
      <x:c r="AQ616" s="22" t="n">
        <x:f>MAX(0,MIN('Activities'!L616,234)-MAX('Activities'!K616,228))</x:f>
        <x:v>0</x:v>
      </x:c>
      <x:c r="AR616" s="22" t="n">
        <x:f>MAX(0,MIN('Activities'!L616,240)-MAX('Activities'!K616,234))</x:f>
        <x:v>0</x:v>
      </x:c>
      <x:c r="AS616" s="22" t="n">
        <x:f>MAX(0,MIN('Activities'!L616,246)-MAX('Activities'!K616,240))</x:f>
        <x:v>0</x:v>
      </x:c>
      <x:c r="AT616" s="22" t="n">
        <x:f>MAX(0,MIN('Activities'!L616,252)-MAX('Activities'!K616,246))</x:f>
        <x:v>0</x:v>
      </x:c>
      <x:c r="AU616" s="22" t="n">
        <x:f>MAX(0,MIN('Activities'!L616,258)-MAX('Activities'!K616,252))</x:f>
        <x:v>0</x:v>
      </x:c>
      <x:c r="AV616" s="22" t="n">
        <x:f>MAX(0,MIN('Activities'!L616,264)-MAX('Activities'!K616,258))</x:f>
        <x:v>0</x:v>
      </x:c>
      <x:c r="AW616" s="22" t="n">
        <x:f>MAX(0,MIN('Activities'!L616,270)-MAX('Activities'!K616,264))</x:f>
        <x:v>0</x:v>
      </x:c>
      <x:c r="AX616" s="22" t="n">
        <x:f>MAX(0,MIN('Activities'!L616,276)-MAX('Activities'!K616,270))</x:f>
        <x:v>0</x:v>
      </x:c>
      <x:c r="AY616" s="22" t="n">
        <x:f>MAX(0,MIN('Activities'!L616,282)-MAX('Activities'!K616,276))</x:f>
        <x:v>0</x:v>
      </x:c>
      <x:c r="AZ616" s="22" t="n">
        <x:f>MAX(0,MIN('Activities'!L616,288)-MAX('Activities'!K616,282))</x:f>
        <x:v>0</x:v>
      </x:c>
      <x:c r="BA616" s="22" t="n">
        <x:f>MAX(0,MIN('Activities'!L616,294)-MAX('Activities'!K616,288))</x:f>
        <x:v>0</x:v>
      </x:c>
      <x:c r="BB616" s="22" t="n">
        <x:f>MAX(0,MIN('Activities'!L616,300)-MAX('Activities'!K616,294))</x:f>
        <x:v>0</x:v>
      </x:c>
      <x:c r="BC616" s="22" t="n">
        <x:f>MAX(0,MIN('Activities'!L616,306)-MAX('Activities'!K616,300))</x:f>
        <x:v>3</x:v>
      </x:c>
      <x:c r="BD616" s="22" t="n">
        <x:f>MAX(0,MIN('Activities'!L616,312)-MAX('Activities'!K616,306))</x:f>
        <x:v>3</x:v>
      </x:c>
      <x:c r="BE616" s="22" t="n">
        <x:f>MAX(0,MIN('Activities'!L616,318)-MAX('Activities'!K616,312))</x:f>
        <x:v>0</x:v>
      </x:c>
      <x:c r="BF616" s="22" t="n">
        <x:f>MAX(0,MIN('Activities'!L616,324)-MAX('Activities'!K616,318))</x:f>
        <x:v>0</x:v>
      </x:c>
      <x:c r="BG616" s="22" t="n">
        <x:f>MAX(0,MIN('Activities'!L616,330)-MAX('Activities'!K616,324))</x:f>
        <x:v>0</x:v>
      </x:c>
      <x:c r="BH616" s="22" t="n">
        <x:f>MAX(0,MIN('Activities'!L616,336)-MAX('Activities'!K616,330))</x:f>
        <x:v>0</x:v>
      </x:c>
      <x:c r="BI616" s="22" t="n">
        <x:f>MAX(0,MIN('Activities'!L616,342)-MAX('Activities'!K616,336))</x:f>
        <x:v>0</x:v>
      </x:c>
      <x:c r="BJ616" s="22" t="n">
        <x:f>MAX(0,MIN('Activities'!L616,348)-MAX('Activities'!K616,342))</x:f>
        <x:v>0</x:v>
      </x:c>
      <x:c r="BK616" s="22" t="n">
        <x:f>MAX(0,MIN('Activities'!L616,354)-MAX('Activities'!K616,348))</x:f>
        <x:v>0</x:v>
      </x:c>
      <x:c r="BL616" s="22" t="n">
        <x:f>MAX(0,MIN('Activities'!L616,360)-MAX('Activities'!K616,354))</x:f>
        <x:v>0</x:v>
      </x:c>
      <x:c r="BM616" s="22" t="n">
        <x:f>MAX(0,MIN('Activities'!L616,366)-MAX('Activities'!K616,360))</x:f>
        <x:v>0</x:v>
      </x:c>
      <x:c r="BN616" s="22" t="n">
        <x:f>MAX(0,MIN('Activities'!L616,372)-MAX('Activities'!K616,366))</x:f>
        <x:v>0</x:v>
      </x:c>
      <x:c r="BO616" s="22" t="n">
        <x:f>MAX(0,MIN('Activities'!L616,378)-MAX('Activities'!K616,372))</x:f>
        <x:v>0</x:v>
      </x:c>
      <x:c r="BP616" s="22" t="n">
        <x:f>MAX(0,MIN('Activities'!L616,384)-MAX('Activities'!K616,378))</x:f>
        <x:v>0</x:v>
      </x:c>
      <x:c r="BQ616" s="22" t="n">
        <x:f>MAX(0,MIN('Activities'!L616,390)-MAX('Activities'!K616,384))</x:f>
        <x:v>0</x:v>
      </x:c>
      <x:c r="BR616" s="22" t="n">
        <x:f>MAX(0,MIN('Activities'!L616,396)-MAX('Activities'!K616,390))</x:f>
        <x:v>0</x:v>
      </x:c>
      <x:c r="BS616" s="22" t="n">
        <x:f>MAX(0,MIN('Activities'!L616,402)-MAX('Activities'!K616,396))</x:f>
        <x:v>0</x:v>
      </x:c>
      <x:c r="BT616" s="22" t="n">
        <x:f>MAX(0,MIN('Activities'!L616,408)-MAX('Activities'!K616,402))</x:f>
        <x:v>0</x:v>
      </x:c>
      <x:c r="BU616" s="22" t="n">
        <x:f>MAX(0,MIN('Activities'!L616,414)-MAX('Activities'!K616,408))</x:f>
        <x:v>0</x:v>
      </x:c>
      <x:c r="BV616" s="22" t="n">
        <x:f>MAX(0,MIN('Activities'!L616,420)-MAX('Activities'!K616,414))</x:f>
        <x:v>0</x:v>
      </x:c>
      <x:c r="BW616" s="22" t="n">
        <x:f>MAX(0,MIN('Activities'!L616,426)-MAX('Activities'!K616,420))</x:f>
        <x:v>0</x:v>
      </x:c>
      <x:c r="BX616" s="22" t="n">
        <x:f>MAX(0,MIN('Activities'!L616,432)-MAX('Activities'!K616,426))</x:f>
        <x:v>0</x:v>
      </x:c>
      <x:c r="BY616" s="22" t="n">
        <x:f>MAX(0,MIN('Activities'!L616,438)-MAX('Activities'!K616,432))</x:f>
        <x:v>0</x:v>
      </x:c>
      <x:c r="BZ616" s="22" t="n">
        <x:f>MAX(0,MIN('Activities'!L616,444)-MAX('Activities'!K616,438))</x:f>
        <x:v>0</x:v>
      </x:c>
      <x:c r="CA616" s="22" t="n">
        <x:f>MAX(0,MIN('Activities'!L616,450)-MAX('Activities'!K616,444))</x:f>
        <x:v>0</x:v>
      </x:c>
      <x:c r="CB616" s="22" t="n">
        <x:f>MAX(0,MIN('Activities'!L616,456)-MAX('Activities'!K616,450))</x:f>
        <x:v>0</x:v>
      </x:c>
      <x:c r="CC616" s="22" t="n">
        <x:f>MAX(0,MIN('Activities'!L616,462)-MAX('Activities'!K616,456))</x:f>
        <x:v>0</x:v>
      </x:c>
      <x:c r="CD616" s="22" t="n">
        <x:f>MAX(0,MIN('Activities'!L616,468)-MAX('Activities'!K616,462))</x:f>
        <x:v>0</x:v>
      </x:c>
      <x:c r="CE616" s="22" t="n">
        <x:f>MAX(0,MIN('Activities'!L616,474)-MAX('Activities'!K616,468))</x:f>
        <x:v>0</x:v>
      </x:c>
      <x:c r="CF616" s="22" t="n">
        <x:f>MAX(0,MIN('Activities'!L616,480)-MAX('Activities'!K616,474))</x:f>
        <x:v>0</x:v>
      </x:c>
      <x:c r="CG616" s="22" t="n">
        <x:f>MAX(0,MIN('Activities'!L616,486)-MAX('Activities'!K616,480))</x:f>
        <x:v>0</x:v>
      </x:c>
      <x:c r="CH616" s="22" t="n">
        <x:f>MAX(0,MIN('Activities'!L616,492)-MAX('Activities'!K616,486))</x:f>
        <x:v>0</x:v>
      </x:c>
      <x:c r="CI616" s="22" t="n">
        <x:f>MAX(0,MIN('Activities'!L616,498)-MAX('Activities'!K616,492))</x:f>
        <x:v>0</x:v>
      </x:c>
      <x:c r="CJ616" s="22" t="n">
        <x:f>MAX(0,MIN('Activities'!L616,504)-MAX('Activities'!K616,498))</x:f>
        <x:v>0</x:v>
      </x:c>
      <x:c r="CK616" s="22" t="n">
        <x:f>MAX(0,MIN('Activities'!L616,510)-MAX('Activities'!K616,504))</x:f>
        <x:v>0</x:v>
      </x:c>
      <x:c r="CL616" s="22" t="n">
        <x:f>MAX(0,MIN('Activities'!L616,516)-MAX('Activities'!K616,510))</x:f>
        <x:v>0</x:v>
      </x:c>
      <x:c r="CM616" s="22" t="n">
        <x:f>MAX(0,MIN('Activities'!L616,522)-MAX('Activities'!K616,516))</x:f>
        <x:v>0</x:v>
      </x:c>
      <x:c r="CN616" s="22" t="n">
        <x:f>MAX(0,MIN('Activities'!L616,528)-MAX('Activities'!K616,522))</x:f>
        <x:v>0</x:v>
      </x:c>
      <x:c r="CO616" s="22" t="n">
        <x:f>MAX(0,MIN('Activities'!L616,534)-MAX('Activities'!K616,528))</x:f>
        <x:v>0</x:v>
      </x:c>
      <x:c r="CP616" s="22" t="n">
        <x:f>MAX(0,MIN('Activities'!L616,540)-MAX('Activities'!K616,534))</x:f>
        <x:v>0</x:v>
      </x:c>
      <x:c r="CQ616" s="22" t="n">
        <x:f>MAX(0,MIN('Activities'!L616,546)-MAX('Activities'!K616,540))</x:f>
        <x:v>0</x:v>
      </x:c>
      <x:c r="CR616" s="22" t="n">
        <x:f>MAX(0,MIN('Activities'!L616,552)-MAX('Activities'!K616,546))</x:f>
        <x:v>0</x:v>
      </x:c>
      <x:c r="CS616" s="22" t="n">
        <x:f>MAX(0,MIN('Activities'!L616,558)-MAX('Activities'!K616,552))</x:f>
        <x:v>0</x:v>
      </x:c>
      <x:c r="CT616" s="22" t="n">
        <x:f>MAX(0,MIN('Activities'!L616,564)-MAX('Activities'!K616,558))</x:f>
        <x:v>0</x:v>
      </x:c>
      <x:c r="CU616" s="22" t="n">
        <x:f>MAX(0,MIN('Activities'!L616,570)-MAX('Activities'!K616,564))</x:f>
        <x:v>0</x:v>
      </x:c>
      <x:c r="CV616" s="22" t="n">
        <x:f>MAX(0,MIN('Activities'!L616,576)-MAX('Activities'!K616,570))</x:f>
        <x:v>0</x:v>
      </x:c>
      <x:c r="CW616" s="22" t="n">
        <x:f>MAX(0,MIN('Activities'!L616,582)-MAX('Activities'!K616,576))</x:f>
        <x:v>0</x:v>
      </x:c>
      <x:c r="CX616" s="22" t="n">
        <x:f>MAX(0,MIN('Activities'!L616,588)-MAX('Activities'!K616,582))</x:f>
        <x:v>0</x:v>
      </x:c>
      <x:c r="CY616" s="22" t="n">
        <x:f>MAX(0,MIN('Activities'!L616,594)-MAX('Activities'!K616,588))</x:f>
        <x:v>0</x:v>
      </x:c>
      <x:c r="CZ616" s="22" t="n">
        <x:f>MAX(0,MIN('Activities'!L616,600)-MAX('Activities'!K616,594))</x:f>
        <x:v>0</x:v>
      </x:c>
      <x:c r="DA616" s="22" t="n">
        <x:f>MAX(0,MIN('Activities'!L616,606)-MAX('Activities'!K616,600))</x:f>
        <x:v>0</x:v>
      </x:c>
      <x:c r="DB616" s="22" t="n">
        <x:f>MAX(0,MIN('Activities'!L616,612)-MAX('Activities'!K616,606))</x:f>
        <x:v>0</x:v>
      </x:c>
      <x:c r="DC616" s="22" t="n">
        <x:f>MAX(0,MIN('Activities'!L616,618)-MAX('Activities'!K616,612))</x:f>
        <x:v>0</x:v>
      </x:c>
      <x:c r="DD616" s="22" t="n">
        <x:f>MAX(0,MIN('Activities'!L616,624)-MAX('Activities'!K616,618))</x:f>
        <x:v>0</x:v>
      </x:c>
      <x:c r="DE616" s="22" t="n">
        <x:f>MAX(0,MIN('Activities'!L616,630)-MAX('Activities'!K616,624))</x:f>
        <x:v>0</x:v>
      </x:c>
      <x:c r="DF616" s="22" t="n">
        <x:f>MAX(0,MIN('Activities'!L616,636)-MAX('Activities'!K616,630))</x:f>
        <x:v>0</x:v>
      </x:c>
    </x:row>
    <x:row r="617" ht="23" customHeight="1">
      <x:c r="A617" s="1" t="str">
        <x:v>T5-L02-S</x:v>
      </x:c>
      <x:c r="B617" s="1" t="str">
        <x:v>T5</x:v>
      </x:c>
      <x:c r="C617" s="1" t="str">
        <x:v>Screed and substrate preparation</x:v>
      </x:c>
      <x:c r="D617" s="1" t="str">
        <x:v>Finishes</x:v>
      </x:c>
      <x:c r="E617" s="23" t="n">
        <x:f>MAX(0,MIN('Activities'!L617,6)-MAX('Activities'!K617,0))</x:f>
        <x:v>0</x:v>
      </x:c>
      <x:c r="F617" s="23" t="n">
        <x:f>MAX(0,MIN('Activities'!L617,12)-MAX('Activities'!K617,6))</x:f>
        <x:v>0</x:v>
      </x:c>
      <x:c r="G617" s="23" t="n">
        <x:f>MAX(0,MIN('Activities'!L617,18)-MAX('Activities'!K617,12))</x:f>
        <x:v>0</x:v>
      </x:c>
      <x:c r="H617" s="23" t="n">
        <x:f>MAX(0,MIN('Activities'!L617,24)-MAX('Activities'!K617,18))</x:f>
        <x:v>0</x:v>
      </x:c>
      <x:c r="I617" s="23" t="n">
        <x:f>MAX(0,MIN('Activities'!L617,30)-MAX('Activities'!K617,24))</x:f>
        <x:v>0</x:v>
      </x:c>
      <x:c r="J617" s="23" t="n">
        <x:f>MAX(0,MIN('Activities'!L617,36)-MAX('Activities'!K617,30))</x:f>
        <x:v>0</x:v>
      </x:c>
      <x:c r="K617" s="23" t="n">
        <x:f>MAX(0,MIN('Activities'!L617,42)-MAX('Activities'!K617,36))</x:f>
        <x:v>0</x:v>
      </x:c>
      <x:c r="L617" s="23" t="n">
        <x:f>MAX(0,MIN('Activities'!L617,48)-MAX('Activities'!K617,42))</x:f>
        <x:v>0</x:v>
      </x:c>
      <x:c r="M617" s="23" t="n">
        <x:f>MAX(0,MIN('Activities'!L617,54)-MAX('Activities'!K617,48))</x:f>
        <x:v>0</x:v>
      </x:c>
      <x:c r="N617" s="23" t="n">
        <x:f>MAX(0,MIN('Activities'!L617,60)-MAX('Activities'!K617,54))</x:f>
        <x:v>0</x:v>
      </x:c>
      <x:c r="O617" s="23" t="n">
        <x:f>MAX(0,MIN('Activities'!L617,66)-MAX('Activities'!K617,60))</x:f>
        <x:v>0</x:v>
      </x:c>
      <x:c r="P617" s="23" t="n">
        <x:f>MAX(0,MIN('Activities'!L617,72)-MAX('Activities'!K617,66))</x:f>
        <x:v>0</x:v>
      </x:c>
      <x:c r="Q617" s="23" t="n">
        <x:f>MAX(0,MIN('Activities'!L617,78)-MAX('Activities'!K617,72))</x:f>
        <x:v>0</x:v>
      </x:c>
      <x:c r="R617" s="23" t="n">
        <x:f>MAX(0,MIN('Activities'!L617,84)-MAX('Activities'!K617,78))</x:f>
        <x:v>0</x:v>
      </x:c>
      <x:c r="S617" s="23" t="n">
        <x:f>MAX(0,MIN('Activities'!L617,90)-MAX('Activities'!K617,84))</x:f>
        <x:v>0</x:v>
      </x:c>
      <x:c r="T617" s="23" t="n">
        <x:f>MAX(0,MIN('Activities'!L617,96)-MAX('Activities'!K617,90))</x:f>
        <x:v>0</x:v>
      </x:c>
      <x:c r="U617" s="23" t="n">
        <x:f>MAX(0,MIN('Activities'!L617,102)-MAX('Activities'!K617,96))</x:f>
        <x:v>0</x:v>
      </x:c>
      <x:c r="V617" s="23" t="n">
        <x:f>MAX(0,MIN('Activities'!L617,108)-MAX('Activities'!K617,102))</x:f>
        <x:v>0</x:v>
      </x:c>
      <x:c r="W617" s="23" t="n">
        <x:f>MAX(0,MIN('Activities'!L617,114)-MAX('Activities'!K617,108))</x:f>
        <x:v>0</x:v>
      </x:c>
      <x:c r="X617" s="23" t="n">
        <x:f>MAX(0,MIN('Activities'!L617,120)-MAX('Activities'!K617,114))</x:f>
        <x:v>0</x:v>
      </x:c>
      <x:c r="Y617" s="23" t="n">
        <x:f>MAX(0,MIN('Activities'!L617,126)-MAX('Activities'!K617,120))</x:f>
        <x:v>0</x:v>
      </x:c>
      <x:c r="Z617" s="23" t="n">
        <x:f>MAX(0,MIN('Activities'!L617,132)-MAX('Activities'!K617,126))</x:f>
        <x:v>0</x:v>
      </x:c>
      <x:c r="AA617" s="23" t="n">
        <x:f>MAX(0,MIN('Activities'!L617,138)-MAX('Activities'!K617,132))</x:f>
        <x:v>0</x:v>
      </x:c>
      <x:c r="AB617" s="23" t="n">
        <x:f>MAX(0,MIN('Activities'!L617,144)-MAX('Activities'!K617,138))</x:f>
        <x:v>0</x:v>
      </x:c>
      <x:c r="AC617" s="23" t="n">
        <x:f>MAX(0,MIN('Activities'!L617,150)-MAX('Activities'!K617,144))</x:f>
        <x:v>0</x:v>
      </x:c>
      <x:c r="AD617" s="23" t="n">
        <x:f>MAX(0,MIN('Activities'!L617,156)-MAX('Activities'!K617,150))</x:f>
        <x:v>0</x:v>
      </x:c>
      <x:c r="AE617" s="23" t="n">
        <x:f>MAX(0,MIN('Activities'!L617,162)-MAX('Activities'!K617,156))</x:f>
        <x:v>0</x:v>
      </x:c>
      <x:c r="AF617" s="23" t="n">
        <x:f>MAX(0,MIN('Activities'!L617,168)-MAX('Activities'!K617,162))</x:f>
        <x:v>0</x:v>
      </x:c>
      <x:c r="AG617" s="23" t="n">
        <x:f>MAX(0,MIN('Activities'!L617,174)-MAX('Activities'!K617,168))</x:f>
        <x:v>0</x:v>
      </x:c>
      <x:c r="AH617" s="23" t="n">
        <x:f>MAX(0,MIN('Activities'!L617,180)-MAX('Activities'!K617,174))</x:f>
        <x:v>0</x:v>
      </x:c>
      <x:c r="AI617" s="23" t="n">
        <x:f>MAX(0,MIN('Activities'!L617,186)-MAX('Activities'!K617,180))</x:f>
        <x:v>0</x:v>
      </x:c>
      <x:c r="AJ617" s="23" t="n">
        <x:f>MAX(0,MIN('Activities'!L617,192)-MAX('Activities'!K617,186))</x:f>
        <x:v>0</x:v>
      </x:c>
      <x:c r="AK617" s="23" t="n">
        <x:f>MAX(0,MIN('Activities'!L617,198)-MAX('Activities'!K617,192))</x:f>
        <x:v>0</x:v>
      </x:c>
      <x:c r="AL617" s="23" t="n">
        <x:f>MAX(0,MIN('Activities'!L617,204)-MAX('Activities'!K617,198))</x:f>
        <x:v>0</x:v>
      </x:c>
      <x:c r="AM617" s="23" t="n">
        <x:f>MAX(0,MIN('Activities'!L617,210)-MAX('Activities'!K617,204))</x:f>
        <x:v>0</x:v>
      </x:c>
      <x:c r="AN617" s="23" t="n">
        <x:f>MAX(0,MIN('Activities'!L617,216)-MAX('Activities'!K617,210))</x:f>
        <x:v>0</x:v>
      </x:c>
      <x:c r="AO617" s="23" t="n">
        <x:f>MAX(0,MIN('Activities'!L617,222)-MAX('Activities'!K617,216))</x:f>
        <x:v>0</x:v>
      </x:c>
      <x:c r="AP617" s="23" t="n">
        <x:f>MAX(0,MIN('Activities'!L617,228)-MAX('Activities'!K617,222))</x:f>
        <x:v>0</x:v>
      </x:c>
      <x:c r="AQ617" s="23" t="n">
        <x:f>MAX(0,MIN('Activities'!L617,234)-MAX('Activities'!K617,228))</x:f>
        <x:v>0</x:v>
      </x:c>
      <x:c r="AR617" s="23" t="n">
        <x:f>MAX(0,MIN('Activities'!L617,240)-MAX('Activities'!K617,234))</x:f>
        <x:v>0</x:v>
      </x:c>
      <x:c r="AS617" s="23" t="n">
        <x:f>MAX(0,MIN('Activities'!L617,246)-MAX('Activities'!K617,240))</x:f>
        <x:v>0</x:v>
      </x:c>
      <x:c r="AT617" s="23" t="n">
        <x:f>MAX(0,MIN('Activities'!L617,252)-MAX('Activities'!K617,246))</x:f>
        <x:v>0</x:v>
      </x:c>
      <x:c r="AU617" s="23" t="n">
        <x:f>MAX(0,MIN('Activities'!L617,258)-MAX('Activities'!K617,252))</x:f>
        <x:v>0</x:v>
      </x:c>
      <x:c r="AV617" s="23" t="n">
        <x:f>MAX(0,MIN('Activities'!L617,264)-MAX('Activities'!K617,258))</x:f>
        <x:v>0</x:v>
      </x:c>
      <x:c r="AW617" s="23" t="n">
        <x:f>MAX(0,MIN('Activities'!L617,270)-MAX('Activities'!K617,264))</x:f>
        <x:v>0</x:v>
      </x:c>
      <x:c r="AX617" s="23" t="n">
        <x:f>MAX(0,MIN('Activities'!L617,276)-MAX('Activities'!K617,270))</x:f>
        <x:v>0</x:v>
      </x:c>
      <x:c r="AY617" s="23" t="n">
        <x:f>MAX(0,MIN('Activities'!L617,282)-MAX('Activities'!K617,276))</x:f>
        <x:v>0</x:v>
      </x:c>
      <x:c r="AZ617" s="23" t="n">
        <x:f>MAX(0,MIN('Activities'!L617,288)-MAX('Activities'!K617,282))</x:f>
        <x:v>0</x:v>
      </x:c>
      <x:c r="BA617" s="23" t="n">
        <x:f>MAX(0,MIN('Activities'!L617,294)-MAX('Activities'!K617,288))</x:f>
        <x:v>0</x:v>
      </x:c>
      <x:c r="BB617" s="23" t="n">
        <x:f>MAX(0,MIN('Activities'!L617,300)-MAX('Activities'!K617,294))</x:f>
        <x:v>0</x:v>
      </x:c>
      <x:c r="BC617" s="23" t="n">
        <x:f>MAX(0,MIN('Activities'!L617,306)-MAX('Activities'!K617,300))</x:f>
        <x:v>0</x:v>
      </x:c>
      <x:c r="BD617" s="23" t="n">
        <x:f>MAX(0,MIN('Activities'!L617,312)-MAX('Activities'!K617,306))</x:f>
        <x:v>1</x:v>
      </x:c>
      <x:c r="BE617" s="23" t="n">
        <x:f>MAX(0,MIN('Activities'!L617,318)-MAX('Activities'!K617,312))</x:f>
        <x:v>2</x:v>
      </x:c>
      <x:c r="BF617" s="23" t="n">
        <x:f>MAX(0,MIN('Activities'!L617,324)-MAX('Activities'!K617,318))</x:f>
        <x:v>0</x:v>
      </x:c>
      <x:c r="BG617" s="23" t="n">
        <x:f>MAX(0,MIN('Activities'!L617,330)-MAX('Activities'!K617,324))</x:f>
        <x:v>0</x:v>
      </x:c>
      <x:c r="BH617" s="23" t="n">
        <x:f>MAX(0,MIN('Activities'!L617,336)-MAX('Activities'!K617,330))</x:f>
        <x:v>0</x:v>
      </x:c>
      <x:c r="BI617" s="23" t="n">
        <x:f>MAX(0,MIN('Activities'!L617,342)-MAX('Activities'!K617,336))</x:f>
        <x:v>0</x:v>
      </x:c>
      <x:c r="BJ617" s="23" t="n">
        <x:f>MAX(0,MIN('Activities'!L617,348)-MAX('Activities'!K617,342))</x:f>
        <x:v>0</x:v>
      </x:c>
      <x:c r="BK617" s="23" t="n">
        <x:f>MAX(0,MIN('Activities'!L617,354)-MAX('Activities'!K617,348))</x:f>
        <x:v>0</x:v>
      </x:c>
      <x:c r="BL617" s="23" t="n">
        <x:f>MAX(0,MIN('Activities'!L617,360)-MAX('Activities'!K617,354))</x:f>
        <x:v>0</x:v>
      </x:c>
      <x:c r="BM617" s="23" t="n">
        <x:f>MAX(0,MIN('Activities'!L617,366)-MAX('Activities'!K617,360))</x:f>
        <x:v>0</x:v>
      </x:c>
      <x:c r="BN617" s="23" t="n">
        <x:f>MAX(0,MIN('Activities'!L617,372)-MAX('Activities'!K617,366))</x:f>
        <x:v>0</x:v>
      </x:c>
      <x:c r="BO617" s="23" t="n">
        <x:f>MAX(0,MIN('Activities'!L617,378)-MAX('Activities'!K617,372))</x:f>
        <x:v>0</x:v>
      </x:c>
      <x:c r="BP617" s="23" t="n">
        <x:f>MAX(0,MIN('Activities'!L617,384)-MAX('Activities'!K617,378))</x:f>
        <x:v>0</x:v>
      </x:c>
      <x:c r="BQ617" s="23" t="n">
        <x:f>MAX(0,MIN('Activities'!L617,390)-MAX('Activities'!K617,384))</x:f>
        <x:v>0</x:v>
      </x:c>
      <x:c r="BR617" s="23" t="n">
        <x:f>MAX(0,MIN('Activities'!L617,396)-MAX('Activities'!K617,390))</x:f>
        <x:v>0</x:v>
      </x:c>
      <x:c r="BS617" s="23" t="n">
        <x:f>MAX(0,MIN('Activities'!L617,402)-MAX('Activities'!K617,396))</x:f>
        <x:v>0</x:v>
      </x:c>
      <x:c r="BT617" s="23" t="n">
        <x:f>MAX(0,MIN('Activities'!L617,408)-MAX('Activities'!K617,402))</x:f>
        <x:v>0</x:v>
      </x:c>
      <x:c r="BU617" s="23" t="n">
        <x:f>MAX(0,MIN('Activities'!L617,414)-MAX('Activities'!K617,408))</x:f>
        <x:v>0</x:v>
      </x:c>
      <x:c r="BV617" s="23" t="n">
        <x:f>MAX(0,MIN('Activities'!L617,420)-MAX('Activities'!K617,414))</x:f>
        <x:v>0</x:v>
      </x:c>
      <x:c r="BW617" s="23" t="n">
        <x:f>MAX(0,MIN('Activities'!L617,426)-MAX('Activities'!K617,420))</x:f>
        <x:v>0</x:v>
      </x:c>
      <x:c r="BX617" s="23" t="n">
        <x:f>MAX(0,MIN('Activities'!L617,432)-MAX('Activities'!K617,426))</x:f>
        <x:v>0</x:v>
      </x:c>
      <x:c r="BY617" s="23" t="n">
        <x:f>MAX(0,MIN('Activities'!L617,438)-MAX('Activities'!K617,432))</x:f>
        <x:v>0</x:v>
      </x:c>
      <x:c r="BZ617" s="23" t="n">
        <x:f>MAX(0,MIN('Activities'!L617,444)-MAX('Activities'!K617,438))</x:f>
        <x:v>0</x:v>
      </x:c>
      <x:c r="CA617" s="23" t="n">
        <x:f>MAX(0,MIN('Activities'!L617,450)-MAX('Activities'!K617,444))</x:f>
        <x:v>0</x:v>
      </x:c>
      <x:c r="CB617" s="23" t="n">
        <x:f>MAX(0,MIN('Activities'!L617,456)-MAX('Activities'!K617,450))</x:f>
        <x:v>0</x:v>
      </x:c>
      <x:c r="CC617" s="23" t="n">
        <x:f>MAX(0,MIN('Activities'!L617,462)-MAX('Activities'!K617,456))</x:f>
        <x:v>0</x:v>
      </x:c>
      <x:c r="CD617" s="23" t="n">
        <x:f>MAX(0,MIN('Activities'!L617,468)-MAX('Activities'!K617,462))</x:f>
        <x:v>0</x:v>
      </x:c>
      <x:c r="CE617" s="23" t="n">
        <x:f>MAX(0,MIN('Activities'!L617,474)-MAX('Activities'!K617,468))</x:f>
        <x:v>0</x:v>
      </x:c>
      <x:c r="CF617" s="23" t="n">
        <x:f>MAX(0,MIN('Activities'!L617,480)-MAX('Activities'!K617,474))</x:f>
        <x:v>0</x:v>
      </x:c>
      <x:c r="CG617" s="23" t="n">
        <x:f>MAX(0,MIN('Activities'!L617,486)-MAX('Activities'!K617,480))</x:f>
        <x:v>0</x:v>
      </x:c>
      <x:c r="CH617" s="23" t="n">
        <x:f>MAX(0,MIN('Activities'!L617,492)-MAX('Activities'!K617,486))</x:f>
        <x:v>0</x:v>
      </x:c>
      <x:c r="CI617" s="23" t="n">
        <x:f>MAX(0,MIN('Activities'!L617,498)-MAX('Activities'!K617,492))</x:f>
        <x:v>0</x:v>
      </x:c>
      <x:c r="CJ617" s="23" t="n">
        <x:f>MAX(0,MIN('Activities'!L617,504)-MAX('Activities'!K617,498))</x:f>
        <x:v>0</x:v>
      </x:c>
      <x:c r="CK617" s="23" t="n">
        <x:f>MAX(0,MIN('Activities'!L617,510)-MAX('Activities'!K617,504))</x:f>
        <x:v>0</x:v>
      </x:c>
      <x:c r="CL617" s="23" t="n">
        <x:f>MAX(0,MIN('Activities'!L617,516)-MAX('Activities'!K617,510))</x:f>
        <x:v>0</x:v>
      </x:c>
      <x:c r="CM617" s="23" t="n">
        <x:f>MAX(0,MIN('Activities'!L617,522)-MAX('Activities'!K617,516))</x:f>
        <x:v>0</x:v>
      </x:c>
      <x:c r="CN617" s="23" t="n">
        <x:f>MAX(0,MIN('Activities'!L617,528)-MAX('Activities'!K617,522))</x:f>
        <x:v>0</x:v>
      </x:c>
      <x:c r="CO617" s="23" t="n">
        <x:f>MAX(0,MIN('Activities'!L617,534)-MAX('Activities'!K617,528))</x:f>
        <x:v>0</x:v>
      </x:c>
      <x:c r="CP617" s="23" t="n">
        <x:f>MAX(0,MIN('Activities'!L617,540)-MAX('Activities'!K617,534))</x:f>
        <x:v>0</x:v>
      </x:c>
      <x:c r="CQ617" s="23" t="n">
        <x:f>MAX(0,MIN('Activities'!L617,546)-MAX('Activities'!K617,540))</x:f>
        <x:v>0</x:v>
      </x:c>
      <x:c r="CR617" s="23" t="n">
        <x:f>MAX(0,MIN('Activities'!L617,552)-MAX('Activities'!K617,546))</x:f>
        <x:v>0</x:v>
      </x:c>
      <x:c r="CS617" s="23" t="n">
        <x:f>MAX(0,MIN('Activities'!L617,558)-MAX('Activities'!K617,552))</x:f>
        <x:v>0</x:v>
      </x:c>
      <x:c r="CT617" s="23" t="n">
        <x:f>MAX(0,MIN('Activities'!L617,564)-MAX('Activities'!K617,558))</x:f>
        <x:v>0</x:v>
      </x:c>
      <x:c r="CU617" s="23" t="n">
        <x:f>MAX(0,MIN('Activities'!L617,570)-MAX('Activities'!K617,564))</x:f>
        <x:v>0</x:v>
      </x:c>
      <x:c r="CV617" s="23" t="n">
        <x:f>MAX(0,MIN('Activities'!L617,576)-MAX('Activities'!K617,570))</x:f>
        <x:v>0</x:v>
      </x:c>
      <x:c r="CW617" s="23" t="n">
        <x:f>MAX(0,MIN('Activities'!L617,582)-MAX('Activities'!K617,576))</x:f>
        <x:v>0</x:v>
      </x:c>
      <x:c r="CX617" s="23" t="n">
        <x:f>MAX(0,MIN('Activities'!L617,588)-MAX('Activities'!K617,582))</x:f>
        <x:v>0</x:v>
      </x:c>
      <x:c r="CY617" s="23" t="n">
        <x:f>MAX(0,MIN('Activities'!L617,594)-MAX('Activities'!K617,588))</x:f>
        <x:v>0</x:v>
      </x:c>
      <x:c r="CZ617" s="23" t="n">
        <x:f>MAX(0,MIN('Activities'!L617,600)-MAX('Activities'!K617,594))</x:f>
        <x:v>0</x:v>
      </x:c>
      <x:c r="DA617" s="23" t="n">
        <x:f>MAX(0,MIN('Activities'!L617,606)-MAX('Activities'!K617,600))</x:f>
        <x:v>0</x:v>
      </x:c>
      <x:c r="DB617" s="23" t="n">
        <x:f>MAX(0,MIN('Activities'!L617,612)-MAX('Activities'!K617,606))</x:f>
        <x:v>0</x:v>
      </x:c>
      <x:c r="DC617" s="23" t="n">
        <x:f>MAX(0,MIN('Activities'!L617,618)-MAX('Activities'!K617,612))</x:f>
        <x:v>0</x:v>
      </x:c>
      <x:c r="DD617" s="23" t="n">
        <x:f>MAX(0,MIN('Activities'!L617,624)-MAX('Activities'!K617,618))</x:f>
        <x:v>0</x:v>
      </x:c>
      <x:c r="DE617" s="23" t="n">
        <x:f>MAX(0,MIN('Activities'!L617,630)-MAX('Activities'!K617,624))</x:f>
        <x:v>0</x:v>
      </x:c>
      <x:c r="DF617" s="23" t="n">
        <x:f>MAX(0,MIN('Activities'!L617,636)-MAX('Activities'!K617,630))</x:f>
        <x:v>0</x:v>
      </x:c>
    </x:row>
    <x:row r="618" ht="23" customHeight="1">
      <x:c r="A618" s="6" t="str">
        <x:v>T5-L02-T</x:v>
      </x:c>
      <x:c r="B618" s="6" t="str">
        <x:v>T5</x:v>
      </x:c>
      <x:c r="C618" s="6" t="str">
        <x:v>Floor finishes and skirtings</x:v>
      </x:c>
      <x:c r="D618" s="6" t="str">
        <x:v>Finishes</x:v>
      </x:c>
      <x:c r="E618" s="22" t="n">
        <x:f>MAX(0,MIN('Activities'!L618,6)-MAX('Activities'!K618,0))</x:f>
        <x:v>0</x:v>
      </x:c>
      <x:c r="F618" s="22" t="n">
        <x:f>MAX(0,MIN('Activities'!L618,12)-MAX('Activities'!K618,6))</x:f>
        <x:v>0</x:v>
      </x:c>
      <x:c r="G618" s="22" t="n">
        <x:f>MAX(0,MIN('Activities'!L618,18)-MAX('Activities'!K618,12))</x:f>
        <x:v>0</x:v>
      </x:c>
      <x:c r="H618" s="22" t="n">
        <x:f>MAX(0,MIN('Activities'!L618,24)-MAX('Activities'!K618,18))</x:f>
        <x:v>0</x:v>
      </x:c>
      <x:c r="I618" s="22" t="n">
        <x:f>MAX(0,MIN('Activities'!L618,30)-MAX('Activities'!K618,24))</x:f>
        <x:v>0</x:v>
      </x:c>
      <x:c r="J618" s="22" t="n">
        <x:f>MAX(0,MIN('Activities'!L618,36)-MAX('Activities'!K618,30))</x:f>
        <x:v>0</x:v>
      </x:c>
      <x:c r="K618" s="22" t="n">
        <x:f>MAX(0,MIN('Activities'!L618,42)-MAX('Activities'!K618,36))</x:f>
        <x:v>0</x:v>
      </x:c>
      <x:c r="L618" s="22" t="n">
        <x:f>MAX(0,MIN('Activities'!L618,48)-MAX('Activities'!K618,42))</x:f>
        <x:v>0</x:v>
      </x:c>
      <x:c r="M618" s="22" t="n">
        <x:f>MAX(0,MIN('Activities'!L618,54)-MAX('Activities'!K618,48))</x:f>
        <x:v>0</x:v>
      </x:c>
      <x:c r="N618" s="22" t="n">
        <x:f>MAX(0,MIN('Activities'!L618,60)-MAX('Activities'!K618,54))</x:f>
        <x:v>0</x:v>
      </x:c>
      <x:c r="O618" s="22" t="n">
        <x:f>MAX(0,MIN('Activities'!L618,66)-MAX('Activities'!K618,60))</x:f>
        <x:v>0</x:v>
      </x:c>
      <x:c r="P618" s="22" t="n">
        <x:f>MAX(0,MIN('Activities'!L618,72)-MAX('Activities'!K618,66))</x:f>
        <x:v>0</x:v>
      </x:c>
      <x:c r="Q618" s="22" t="n">
        <x:f>MAX(0,MIN('Activities'!L618,78)-MAX('Activities'!K618,72))</x:f>
        <x:v>0</x:v>
      </x:c>
      <x:c r="R618" s="22" t="n">
        <x:f>MAX(0,MIN('Activities'!L618,84)-MAX('Activities'!K618,78))</x:f>
        <x:v>0</x:v>
      </x:c>
      <x:c r="S618" s="22" t="n">
        <x:f>MAX(0,MIN('Activities'!L618,90)-MAX('Activities'!K618,84))</x:f>
        <x:v>0</x:v>
      </x:c>
      <x:c r="T618" s="22" t="n">
        <x:f>MAX(0,MIN('Activities'!L618,96)-MAX('Activities'!K618,90))</x:f>
        <x:v>0</x:v>
      </x:c>
      <x:c r="U618" s="22" t="n">
        <x:f>MAX(0,MIN('Activities'!L618,102)-MAX('Activities'!K618,96))</x:f>
        <x:v>0</x:v>
      </x:c>
      <x:c r="V618" s="22" t="n">
        <x:f>MAX(0,MIN('Activities'!L618,108)-MAX('Activities'!K618,102))</x:f>
        <x:v>0</x:v>
      </x:c>
      <x:c r="W618" s="22" t="n">
        <x:f>MAX(0,MIN('Activities'!L618,114)-MAX('Activities'!K618,108))</x:f>
        <x:v>0</x:v>
      </x:c>
      <x:c r="X618" s="22" t="n">
        <x:f>MAX(0,MIN('Activities'!L618,120)-MAX('Activities'!K618,114))</x:f>
        <x:v>0</x:v>
      </x:c>
      <x:c r="Y618" s="22" t="n">
        <x:f>MAX(0,MIN('Activities'!L618,126)-MAX('Activities'!K618,120))</x:f>
        <x:v>0</x:v>
      </x:c>
      <x:c r="Z618" s="22" t="n">
        <x:f>MAX(0,MIN('Activities'!L618,132)-MAX('Activities'!K618,126))</x:f>
        <x:v>0</x:v>
      </x:c>
      <x:c r="AA618" s="22" t="n">
        <x:f>MAX(0,MIN('Activities'!L618,138)-MAX('Activities'!K618,132))</x:f>
        <x:v>0</x:v>
      </x:c>
      <x:c r="AB618" s="22" t="n">
        <x:f>MAX(0,MIN('Activities'!L618,144)-MAX('Activities'!K618,138))</x:f>
        <x:v>0</x:v>
      </x:c>
      <x:c r="AC618" s="22" t="n">
        <x:f>MAX(0,MIN('Activities'!L618,150)-MAX('Activities'!K618,144))</x:f>
        <x:v>0</x:v>
      </x:c>
      <x:c r="AD618" s="22" t="n">
        <x:f>MAX(0,MIN('Activities'!L618,156)-MAX('Activities'!K618,150))</x:f>
        <x:v>0</x:v>
      </x:c>
      <x:c r="AE618" s="22" t="n">
        <x:f>MAX(0,MIN('Activities'!L618,162)-MAX('Activities'!K618,156))</x:f>
        <x:v>0</x:v>
      </x:c>
      <x:c r="AF618" s="22" t="n">
        <x:f>MAX(0,MIN('Activities'!L618,168)-MAX('Activities'!K618,162))</x:f>
        <x:v>0</x:v>
      </x:c>
      <x:c r="AG618" s="22" t="n">
        <x:f>MAX(0,MIN('Activities'!L618,174)-MAX('Activities'!K618,168))</x:f>
        <x:v>0</x:v>
      </x:c>
      <x:c r="AH618" s="22" t="n">
        <x:f>MAX(0,MIN('Activities'!L618,180)-MAX('Activities'!K618,174))</x:f>
        <x:v>0</x:v>
      </x:c>
      <x:c r="AI618" s="22" t="n">
        <x:f>MAX(0,MIN('Activities'!L618,186)-MAX('Activities'!K618,180))</x:f>
        <x:v>0</x:v>
      </x:c>
      <x:c r="AJ618" s="22" t="n">
        <x:f>MAX(0,MIN('Activities'!L618,192)-MAX('Activities'!K618,186))</x:f>
        <x:v>0</x:v>
      </x:c>
      <x:c r="AK618" s="22" t="n">
        <x:f>MAX(0,MIN('Activities'!L618,198)-MAX('Activities'!K618,192))</x:f>
        <x:v>0</x:v>
      </x:c>
      <x:c r="AL618" s="22" t="n">
        <x:f>MAX(0,MIN('Activities'!L618,204)-MAX('Activities'!K618,198))</x:f>
        <x:v>0</x:v>
      </x:c>
      <x:c r="AM618" s="22" t="n">
        <x:f>MAX(0,MIN('Activities'!L618,210)-MAX('Activities'!K618,204))</x:f>
        <x:v>0</x:v>
      </x:c>
      <x:c r="AN618" s="22" t="n">
        <x:f>MAX(0,MIN('Activities'!L618,216)-MAX('Activities'!K618,210))</x:f>
        <x:v>0</x:v>
      </x:c>
      <x:c r="AO618" s="22" t="n">
        <x:f>MAX(0,MIN('Activities'!L618,222)-MAX('Activities'!K618,216))</x:f>
        <x:v>0</x:v>
      </x:c>
      <x:c r="AP618" s="22" t="n">
        <x:f>MAX(0,MIN('Activities'!L618,228)-MAX('Activities'!K618,222))</x:f>
        <x:v>0</x:v>
      </x:c>
      <x:c r="AQ618" s="22" t="n">
        <x:f>MAX(0,MIN('Activities'!L618,234)-MAX('Activities'!K618,228))</x:f>
        <x:v>0</x:v>
      </x:c>
      <x:c r="AR618" s="22" t="n">
        <x:f>MAX(0,MIN('Activities'!L618,240)-MAX('Activities'!K618,234))</x:f>
        <x:v>0</x:v>
      </x:c>
      <x:c r="AS618" s="22" t="n">
        <x:f>MAX(0,MIN('Activities'!L618,246)-MAX('Activities'!K618,240))</x:f>
        <x:v>0</x:v>
      </x:c>
      <x:c r="AT618" s="22" t="n">
        <x:f>MAX(0,MIN('Activities'!L618,252)-MAX('Activities'!K618,246))</x:f>
        <x:v>0</x:v>
      </x:c>
      <x:c r="AU618" s="22" t="n">
        <x:f>MAX(0,MIN('Activities'!L618,258)-MAX('Activities'!K618,252))</x:f>
        <x:v>0</x:v>
      </x:c>
      <x:c r="AV618" s="22" t="n">
        <x:f>MAX(0,MIN('Activities'!L618,264)-MAX('Activities'!K618,258))</x:f>
        <x:v>0</x:v>
      </x:c>
      <x:c r="AW618" s="22" t="n">
        <x:f>MAX(0,MIN('Activities'!L618,270)-MAX('Activities'!K618,264))</x:f>
        <x:v>0</x:v>
      </x:c>
      <x:c r="AX618" s="22" t="n">
        <x:f>MAX(0,MIN('Activities'!L618,276)-MAX('Activities'!K618,270))</x:f>
        <x:v>0</x:v>
      </x:c>
      <x:c r="AY618" s="22" t="n">
        <x:f>MAX(0,MIN('Activities'!L618,282)-MAX('Activities'!K618,276))</x:f>
        <x:v>0</x:v>
      </x:c>
      <x:c r="AZ618" s="22" t="n">
        <x:f>MAX(0,MIN('Activities'!L618,288)-MAX('Activities'!K618,282))</x:f>
        <x:v>0</x:v>
      </x:c>
      <x:c r="BA618" s="22" t="n">
        <x:f>MAX(0,MIN('Activities'!L618,294)-MAX('Activities'!K618,288))</x:f>
        <x:v>0</x:v>
      </x:c>
      <x:c r="BB618" s="22" t="n">
        <x:f>MAX(0,MIN('Activities'!L618,300)-MAX('Activities'!K618,294))</x:f>
        <x:v>0</x:v>
      </x:c>
      <x:c r="BC618" s="22" t="n">
        <x:f>MAX(0,MIN('Activities'!L618,306)-MAX('Activities'!K618,300))</x:f>
        <x:v>0</x:v>
      </x:c>
      <x:c r="BD618" s="22" t="n">
        <x:f>MAX(0,MIN('Activities'!L618,312)-MAX('Activities'!K618,306))</x:f>
        <x:v>0</x:v>
      </x:c>
      <x:c r="BE618" s="22" t="n">
        <x:f>MAX(0,MIN('Activities'!L618,318)-MAX('Activities'!K618,312))</x:f>
        <x:v>0</x:v>
      </x:c>
      <x:c r="BF618" s="22" t="n">
        <x:f>MAX(0,MIN('Activities'!L618,324)-MAX('Activities'!K618,318))</x:f>
        <x:v>0</x:v>
      </x:c>
      <x:c r="BG618" s="22" t="n">
        <x:f>MAX(0,MIN('Activities'!L618,330)-MAX('Activities'!K618,324))</x:f>
        <x:v>0</x:v>
      </x:c>
      <x:c r="BH618" s="22" t="n">
        <x:f>MAX(0,MIN('Activities'!L618,336)-MAX('Activities'!K618,330))</x:f>
        <x:v>0</x:v>
      </x:c>
      <x:c r="BI618" s="22" t="n">
        <x:f>MAX(0,MIN('Activities'!L618,342)-MAX('Activities'!K618,336))</x:f>
        <x:v>0</x:v>
      </x:c>
      <x:c r="BJ618" s="22" t="n">
        <x:f>MAX(0,MIN('Activities'!L618,348)-MAX('Activities'!K618,342))</x:f>
        <x:v>0</x:v>
      </x:c>
      <x:c r="BK618" s="22" t="n">
        <x:f>MAX(0,MIN('Activities'!L618,354)-MAX('Activities'!K618,348))</x:f>
        <x:v>0</x:v>
      </x:c>
      <x:c r="BL618" s="22" t="n">
        <x:f>MAX(0,MIN('Activities'!L618,360)-MAX('Activities'!K618,354))</x:f>
        <x:v>0</x:v>
      </x:c>
      <x:c r="BM618" s="22" t="n">
        <x:f>MAX(0,MIN('Activities'!L618,366)-MAX('Activities'!K618,360))</x:f>
        <x:v>0</x:v>
      </x:c>
      <x:c r="BN618" s="22" t="n">
        <x:f>MAX(0,MIN('Activities'!L618,372)-MAX('Activities'!K618,366))</x:f>
        <x:v>0</x:v>
      </x:c>
      <x:c r="BO618" s="22" t="n">
        <x:f>MAX(0,MIN('Activities'!L618,378)-MAX('Activities'!K618,372))</x:f>
        <x:v>0</x:v>
      </x:c>
      <x:c r="BP618" s="22" t="n">
        <x:f>MAX(0,MIN('Activities'!L618,384)-MAX('Activities'!K618,378))</x:f>
        <x:v>0</x:v>
      </x:c>
      <x:c r="BQ618" s="22" t="n">
        <x:f>MAX(0,MIN('Activities'!L618,390)-MAX('Activities'!K618,384))</x:f>
        <x:v>0</x:v>
      </x:c>
      <x:c r="BR618" s="22" t="n">
        <x:f>MAX(0,MIN('Activities'!L618,396)-MAX('Activities'!K618,390))</x:f>
        <x:v>0</x:v>
      </x:c>
      <x:c r="BS618" s="22" t="n">
        <x:f>MAX(0,MIN('Activities'!L618,402)-MAX('Activities'!K618,396))</x:f>
        <x:v>0</x:v>
      </x:c>
      <x:c r="BT618" s="22" t="n">
        <x:f>MAX(0,MIN('Activities'!L618,408)-MAX('Activities'!K618,402))</x:f>
        <x:v>0</x:v>
      </x:c>
      <x:c r="BU618" s="22" t="n">
        <x:f>MAX(0,MIN('Activities'!L618,414)-MAX('Activities'!K618,408))</x:f>
        <x:v>0</x:v>
      </x:c>
      <x:c r="BV618" s="22" t="n">
        <x:f>MAX(0,MIN('Activities'!L618,420)-MAX('Activities'!K618,414))</x:f>
        <x:v>0</x:v>
      </x:c>
      <x:c r="BW618" s="22" t="n">
        <x:f>MAX(0,MIN('Activities'!L618,426)-MAX('Activities'!K618,420))</x:f>
        <x:v>0</x:v>
      </x:c>
      <x:c r="BX618" s="22" t="n">
        <x:f>MAX(0,MIN('Activities'!L618,432)-MAX('Activities'!K618,426))</x:f>
        <x:v>0</x:v>
      </x:c>
      <x:c r="BY618" s="22" t="n">
        <x:f>MAX(0,MIN('Activities'!L618,438)-MAX('Activities'!K618,432))</x:f>
        <x:v>0</x:v>
      </x:c>
      <x:c r="BZ618" s="22" t="n">
        <x:f>MAX(0,MIN('Activities'!L618,444)-MAX('Activities'!K618,438))</x:f>
        <x:v>0</x:v>
      </x:c>
      <x:c r="CA618" s="22" t="n">
        <x:f>MAX(0,MIN('Activities'!L618,450)-MAX('Activities'!K618,444))</x:f>
        <x:v>1</x:v>
      </x:c>
      <x:c r="CB618" s="22" t="n">
        <x:f>MAX(0,MIN('Activities'!L618,456)-MAX('Activities'!K618,450))</x:f>
        <x:v>5</x:v>
      </x:c>
      <x:c r="CC618" s="22" t="n">
        <x:f>MAX(0,MIN('Activities'!L618,462)-MAX('Activities'!K618,456))</x:f>
        <x:v>0</x:v>
      </x:c>
      <x:c r="CD618" s="22" t="n">
        <x:f>MAX(0,MIN('Activities'!L618,468)-MAX('Activities'!K618,462))</x:f>
        <x:v>0</x:v>
      </x:c>
      <x:c r="CE618" s="22" t="n">
        <x:f>MAX(0,MIN('Activities'!L618,474)-MAX('Activities'!K618,468))</x:f>
        <x:v>0</x:v>
      </x:c>
      <x:c r="CF618" s="22" t="n">
        <x:f>MAX(0,MIN('Activities'!L618,480)-MAX('Activities'!K618,474))</x:f>
        <x:v>0</x:v>
      </x:c>
      <x:c r="CG618" s="22" t="n">
        <x:f>MAX(0,MIN('Activities'!L618,486)-MAX('Activities'!K618,480))</x:f>
        <x:v>0</x:v>
      </x:c>
      <x:c r="CH618" s="22" t="n">
        <x:f>MAX(0,MIN('Activities'!L618,492)-MAX('Activities'!K618,486))</x:f>
        <x:v>0</x:v>
      </x:c>
      <x:c r="CI618" s="22" t="n">
        <x:f>MAX(0,MIN('Activities'!L618,498)-MAX('Activities'!K618,492))</x:f>
        <x:v>0</x:v>
      </x:c>
      <x:c r="CJ618" s="22" t="n">
        <x:f>MAX(0,MIN('Activities'!L618,504)-MAX('Activities'!K618,498))</x:f>
        <x:v>0</x:v>
      </x:c>
      <x:c r="CK618" s="22" t="n">
        <x:f>MAX(0,MIN('Activities'!L618,510)-MAX('Activities'!K618,504))</x:f>
        <x:v>0</x:v>
      </x:c>
      <x:c r="CL618" s="22" t="n">
        <x:f>MAX(0,MIN('Activities'!L618,516)-MAX('Activities'!K618,510))</x:f>
        <x:v>0</x:v>
      </x:c>
      <x:c r="CM618" s="22" t="n">
        <x:f>MAX(0,MIN('Activities'!L618,522)-MAX('Activities'!K618,516))</x:f>
        <x:v>0</x:v>
      </x:c>
      <x:c r="CN618" s="22" t="n">
        <x:f>MAX(0,MIN('Activities'!L618,528)-MAX('Activities'!K618,522))</x:f>
        <x:v>0</x:v>
      </x:c>
      <x:c r="CO618" s="22" t="n">
        <x:f>MAX(0,MIN('Activities'!L618,534)-MAX('Activities'!K618,528))</x:f>
        <x:v>0</x:v>
      </x:c>
      <x:c r="CP618" s="22" t="n">
        <x:f>MAX(0,MIN('Activities'!L618,540)-MAX('Activities'!K618,534))</x:f>
        <x:v>0</x:v>
      </x:c>
      <x:c r="CQ618" s="22" t="n">
        <x:f>MAX(0,MIN('Activities'!L618,546)-MAX('Activities'!K618,540))</x:f>
        <x:v>0</x:v>
      </x:c>
      <x:c r="CR618" s="22" t="n">
        <x:f>MAX(0,MIN('Activities'!L618,552)-MAX('Activities'!K618,546))</x:f>
        <x:v>0</x:v>
      </x:c>
      <x:c r="CS618" s="22" t="n">
        <x:f>MAX(0,MIN('Activities'!L618,558)-MAX('Activities'!K618,552))</x:f>
        <x:v>0</x:v>
      </x:c>
      <x:c r="CT618" s="22" t="n">
        <x:f>MAX(0,MIN('Activities'!L618,564)-MAX('Activities'!K618,558))</x:f>
        <x:v>0</x:v>
      </x:c>
      <x:c r="CU618" s="22" t="n">
        <x:f>MAX(0,MIN('Activities'!L618,570)-MAX('Activities'!K618,564))</x:f>
        <x:v>0</x:v>
      </x:c>
      <x:c r="CV618" s="22" t="n">
        <x:f>MAX(0,MIN('Activities'!L618,576)-MAX('Activities'!K618,570))</x:f>
        <x:v>0</x:v>
      </x:c>
      <x:c r="CW618" s="22" t="n">
        <x:f>MAX(0,MIN('Activities'!L618,582)-MAX('Activities'!K618,576))</x:f>
        <x:v>0</x:v>
      </x:c>
      <x:c r="CX618" s="22" t="n">
        <x:f>MAX(0,MIN('Activities'!L618,588)-MAX('Activities'!K618,582))</x:f>
        <x:v>0</x:v>
      </x:c>
      <x:c r="CY618" s="22" t="n">
        <x:f>MAX(0,MIN('Activities'!L618,594)-MAX('Activities'!K618,588))</x:f>
        <x:v>0</x:v>
      </x:c>
      <x:c r="CZ618" s="22" t="n">
        <x:f>MAX(0,MIN('Activities'!L618,600)-MAX('Activities'!K618,594))</x:f>
        <x:v>0</x:v>
      </x:c>
      <x:c r="DA618" s="22" t="n">
        <x:f>MAX(0,MIN('Activities'!L618,606)-MAX('Activities'!K618,600))</x:f>
        <x:v>0</x:v>
      </x:c>
      <x:c r="DB618" s="22" t="n">
        <x:f>MAX(0,MIN('Activities'!L618,612)-MAX('Activities'!K618,606))</x:f>
        <x:v>0</x:v>
      </x:c>
      <x:c r="DC618" s="22" t="n">
        <x:f>MAX(0,MIN('Activities'!L618,618)-MAX('Activities'!K618,612))</x:f>
        <x:v>0</x:v>
      </x:c>
      <x:c r="DD618" s="22" t="n">
        <x:f>MAX(0,MIN('Activities'!L618,624)-MAX('Activities'!K618,618))</x:f>
        <x:v>0</x:v>
      </x:c>
      <x:c r="DE618" s="22" t="n">
        <x:f>MAX(0,MIN('Activities'!L618,630)-MAX('Activities'!K618,624))</x:f>
        <x:v>0</x:v>
      </x:c>
      <x:c r="DF618" s="22" t="n">
        <x:f>MAX(0,MIN('Activities'!L618,636)-MAX('Activities'!K618,630))</x:f>
        <x:v>0</x:v>
      </x:c>
    </x:row>
    <x:row r="619" ht="23" customHeight="1">
      <x:c r="A619" s="1" t="str">
        <x:v>T5-L02-A</x:v>
      </x:c>
      <x:c r="B619" s="1" t="str">
        <x:v>T5</x:v>
      </x:c>
      <x:c r="C619" s="1" t="str">
        <x:v>Paint and final decorations</x:v>
      </x:c>
      <x:c r="D619" s="1" t="str">
        <x:v>Finishes</x:v>
      </x:c>
      <x:c r="E619" s="23" t="n">
        <x:f>MAX(0,MIN('Activities'!L619,6)-MAX('Activities'!K619,0))</x:f>
        <x:v>0</x:v>
      </x:c>
      <x:c r="F619" s="23" t="n">
        <x:f>MAX(0,MIN('Activities'!L619,12)-MAX('Activities'!K619,6))</x:f>
        <x:v>0</x:v>
      </x:c>
      <x:c r="G619" s="23" t="n">
        <x:f>MAX(0,MIN('Activities'!L619,18)-MAX('Activities'!K619,12))</x:f>
        <x:v>0</x:v>
      </x:c>
      <x:c r="H619" s="23" t="n">
        <x:f>MAX(0,MIN('Activities'!L619,24)-MAX('Activities'!K619,18))</x:f>
        <x:v>0</x:v>
      </x:c>
      <x:c r="I619" s="23" t="n">
        <x:f>MAX(0,MIN('Activities'!L619,30)-MAX('Activities'!K619,24))</x:f>
        <x:v>0</x:v>
      </x:c>
      <x:c r="J619" s="23" t="n">
        <x:f>MAX(0,MIN('Activities'!L619,36)-MAX('Activities'!K619,30))</x:f>
        <x:v>0</x:v>
      </x:c>
      <x:c r="K619" s="23" t="n">
        <x:f>MAX(0,MIN('Activities'!L619,42)-MAX('Activities'!K619,36))</x:f>
        <x:v>0</x:v>
      </x:c>
      <x:c r="L619" s="23" t="n">
        <x:f>MAX(0,MIN('Activities'!L619,48)-MAX('Activities'!K619,42))</x:f>
        <x:v>0</x:v>
      </x:c>
      <x:c r="M619" s="23" t="n">
        <x:f>MAX(0,MIN('Activities'!L619,54)-MAX('Activities'!K619,48))</x:f>
        <x:v>0</x:v>
      </x:c>
      <x:c r="N619" s="23" t="n">
        <x:f>MAX(0,MIN('Activities'!L619,60)-MAX('Activities'!K619,54))</x:f>
        <x:v>0</x:v>
      </x:c>
      <x:c r="O619" s="23" t="n">
        <x:f>MAX(0,MIN('Activities'!L619,66)-MAX('Activities'!K619,60))</x:f>
        <x:v>0</x:v>
      </x:c>
      <x:c r="P619" s="23" t="n">
        <x:f>MAX(0,MIN('Activities'!L619,72)-MAX('Activities'!K619,66))</x:f>
        <x:v>0</x:v>
      </x:c>
      <x:c r="Q619" s="23" t="n">
        <x:f>MAX(0,MIN('Activities'!L619,78)-MAX('Activities'!K619,72))</x:f>
        <x:v>0</x:v>
      </x:c>
      <x:c r="R619" s="23" t="n">
        <x:f>MAX(0,MIN('Activities'!L619,84)-MAX('Activities'!K619,78))</x:f>
        <x:v>0</x:v>
      </x:c>
      <x:c r="S619" s="23" t="n">
        <x:f>MAX(0,MIN('Activities'!L619,90)-MAX('Activities'!K619,84))</x:f>
        <x:v>0</x:v>
      </x:c>
      <x:c r="T619" s="23" t="n">
        <x:f>MAX(0,MIN('Activities'!L619,96)-MAX('Activities'!K619,90))</x:f>
        <x:v>0</x:v>
      </x:c>
      <x:c r="U619" s="23" t="n">
        <x:f>MAX(0,MIN('Activities'!L619,102)-MAX('Activities'!K619,96))</x:f>
        <x:v>0</x:v>
      </x:c>
      <x:c r="V619" s="23" t="n">
        <x:f>MAX(0,MIN('Activities'!L619,108)-MAX('Activities'!K619,102))</x:f>
        <x:v>0</x:v>
      </x:c>
      <x:c r="W619" s="23" t="n">
        <x:f>MAX(0,MIN('Activities'!L619,114)-MAX('Activities'!K619,108))</x:f>
        <x:v>0</x:v>
      </x:c>
      <x:c r="X619" s="23" t="n">
        <x:f>MAX(0,MIN('Activities'!L619,120)-MAX('Activities'!K619,114))</x:f>
        <x:v>0</x:v>
      </x:c>
      <x:c r="Y619" s="23" t="n">
        <x:f>MAX(0,MIN('Activities'!L619,126)-MAX('Activities'!K619,120))</x:f>
        <x:v>0</x:v>
      </x:c>
      <x:c r="Z619" s="23" t="n">
        <x:f>MAX(0,MIN('Activities'!L619,132)-MAX('Activities'!K619,126))</x:f>
        <x:v>0</x:v>
      </x:c>
      <x:c r="AA619" s="23" t="n">
        <x:f>MAX(0,MIN('Activities'!L619,138)-MAX('Activities'!K619,132))</x:f>
        <x:v>0</x:v>
      </x:c>
      <x:c r="AB619" s="23" t="n">
        <x:f>MAX(0,MIN('Activities'!L619,144)-MAX('Activities'!K619,138))</x:f>
        <x:v>0</x:v>
      </x:c>
      <x:c r="AC619" s="23" t="n">
        <x:f>MAX(0,MIN('Activities'!L619,150)-MAX('Activities'!K619,144))</x:f>
        <x:v>0</x:v>
      </x:c>
      <x:c r="AD619" s="23" t="n">
        <x:f>MAX(0,MIN('Activities'!L619,156)-MAX('Activities'!K619,150))</x:f>
        <x:v>0</x:v>
      </x:c>
      <x:c r="AE619" s="23" t="n">
        <x:f>MAX(0,MIN('Activities'!L619,162)-MAX('Activities'!K619,156))</x:f>
        <x:v>0</x:v>
      </x:c>
      <x:c r="AF619" s="23" t="n">
        <x:f>MAX(0,MIN('Activities'!L619,168)-MAX('Activities'!K619,162))</x:f>
        <x:v>0</x:v>
      </x:c>
      <x:c r="AG619" s="23" t="n">
        <x:f>MAX(0,MIN('Activities'!L619,174)-MAX('Activities'!K619,168))</x:f>
        <x:v>0</x:v>
      </x:c>
      <x:c r="AH619" s="23" t="n">
        <x:f>MAX(0,MIN('Activities'!L619,180)-MAX('Activities'!K619,174))</x:f>
        <x:v>0</x:v>
      </x:c>
      <x:c r="AI619" s="23" t="n">
        <x:f>MAX(0,MIN('Activities'!L619,186)-MAX('Activities'!K619,180))</x:f>
        <x:v>0</x:v>
      </x:c>
      <x:c r="AJ619" s="23" t="n">
        <x:f>MAX(0,MIN('Activities'!L619,192)-MAX('Activities'!K619,186))</x:f>
        <x:v>0</x:v>
      </x:c>
      <x:c r="AK619" s="23" t="n">
        <x:f>MAX(0,MIN('Activities'!L619,198)-MAX('Activities'!K619,192))</x:f>
        <x:v>0</x:v>
      </x:c>
      <x:c r="AL619" s="23" t="n">
        <x:f>MAX(0,MIN('Activities'!L619,204)-MAX('Activities'!K619,198))</x:f>
        <x:v>0</x:v>
      </x:c>
      <x:c r="AM619" s="23" t="n">
        <x:f>MAX(0,MIN('Activities'!L619,210)-MAX('Activities'!K619,204))</x:f>
        <x:v>0</x:v>
      </x:c>
      <x:c r="AN619" s="23" t="n">
        <x:f>MAX(0,MIN('Activities'!L619,216)-MAX('Activities'!K619,210))</x:f>
        <x:v>0</x:v>
      </x:c>
      <x:c r="AO619" s="23" t="n">
        <x:f>MAX(0,MIN('Activities'!L619,222)-MAX('Activities'!K619,216))</x:f>
        <x:v>0</x:v>
      </x:c>
      <x:c r="AP619" s="23" t="n">
        <x:f>MAX(0,MIN('Activities'!L619,228)-MAX('Activities'!K619,222))</x:f>
        <x:v>0</x:v>
      </x:c>
      <x:c r="AQ619" s="23" t="n">
        <x:f>MAX(0,MIN('Activities'!L619,234)-MAX('Activities'!K619,228))</x:f>
        <x:v>0</x:v>
      </x:c>
      <x:c r="AR619" s="23" t="n">
        <x:f>MAX(0,MIN('Activities'!L619,240)-MAX('Activities'!K619,234))</x:f>
        <x:v>0</x:v>
      </x:c>
      <x:c r="AS619" s="23" t="n">
        <x:f>MAX(0,MIN('Activities'!L619,246)-MAX('Activities'!K619,240))</x:f>
        <x:v>0</x:v>
      </x:c>
      <x:c r="AT619" s="23" t="n">
        <x:f>MAX(0,MIN('Activities'!L619,252)-MAX('Activities'!K619,246))</x:f>
        <x:v>0</x:v>
      </x:c>
      <x:c r="AU619" s="23" t="n">
        <x:f>MAX(0,MIN('Activities'!L619,258)-MAX('Activities'!K619,252))</x:f>
        <x:v>0</x:v>
      </x:c>
      <x:c r="AV619" s="23" t="n">
        <x:f>MAX(0,MIN('Activities'!L619,264)-MAX('Activities'!K619,258))</x:f>
        <x:v>0</x:v>
      </x:c>
      <x:c r="AW619" s="23" t="n">
        <x:f>MAX(0,MIN('Activities'!L619,270)-MAX('Activities'!K619,264))</x:f>
        <x:v>0</x:v>
      </x:c>
      <x:c r="AX619" s="23" t="n">
        <x:f>MAX(0,MIN('Activities'!L619,276)-MAX('Activities'!K619,270))</x:f>
        <x:v>0</x:v>
      </x:c>
      <x:c r="AY619" s="23" t="n">
        <x:f>MAX(0,MIN('Activities'!L619,282)-MAX('Activities'!K619,276))</x:f>
        <x:v>0</x:v>
      </x:c>
      <x:c r="AZ619" s="23" t="n">
        <x:f>MAX(0,MIN('Activities'!L619,288)-MAX('Activities'!K619,282))</x:f>
        <x:v>0</x:v>
      </x:c>
      <x:c r="BA619" s="23" t="n">
        <x:f>MAX(0,MIN('Activities'!L619,294)-MAX('Activities'!K619,288))</x:f>
        <x:v>0</x:v>
      </x:c>
      <x:c r="BB619" s="23" t="n">
        <x:f>MAX(0,MIN('Activities'!L619,300)-MAX('Activities'!K619,294))</x:f>
        <x:v>0</x:v>
      </x:c>
      <x:c r="BC619" s="23" t="n">
        <x:f>MAX(0,MIN('Activities'!L619,306)-MAX('Activities'!K619,300))</x:f>
        <x:v>0</x:v>
      </x:c>
      <x:c r="BD619" s="23" t="n">
        <x:f>MAX(0,MIN('Activities'!L619,312)-MAX('Activities'!K619,306))</x:f>
        <x:v>0</x:v>
      </x:c>
      <x:c r="BE619" s="23" t="n">
        <x:f>MAX(0,MIN('Activities'!L619,318)-MAX('Activities'!K619,312))</x:f>
        <x:v>0</x:v>
      </x:c>
      <x:c r="BF619" s="23" t="n">
        <x:f>MAX(0,MIN('Activities'!L619,324)-MAX('Activities'!K619,318))</x:f>
        <x:v>0</x:v>
      </x:c>
      <x:c r="BG619" s="23" t="n">
        <x:f>MAX(0,MIN('Activities'!L619,330)-MAX('Activities'!K619,324))</x:f>
        <x:v>0</x:v>
      </x:c>
      <x:c r="BH619" s="23" t="n">
        <x:f>MAX(0,MIN('Activities'!L619,336)-MAX('Activities'!K619,330))</x:f>
        <x:v>0</x:v>
      </x:c>
      <x:c r="BI619" s="23" t="n">
        <x:f>MAX(0,MIN('Activities'!L619,342)-MAX('Activities'!K619,336))</x:f>
        <x:v>0</x:v>
      </x:c>
      <x:c r="BJ619" s="23" t="n">
        <x:f>MAX(0,MIN('Activities'!L619,348)-MAX('Activities'!K619,342))</x:f>
        <x:v>0</x:v>
      </x:c>
      <x:c r="BK619" s="23" t="n">
        <x:f>MAX(0,MIN('Activities'!L619,354)-MAX('Activities'!K619,348))</x:f>
        <x:v>0</x:v>
      </x:c>
      <x:c r="BL619" s="23" t="n">
        <x:f>MAX(0,MIN('Activities'!L619,360)-MAX('Activities'!K619,354))</x:f>
        <x:v>0</x:v>
      </x:c>
      <x:c r="BM619" s="23" t="n">
        <x:f>MAX(0,MIN('Activities'!L619,366)-MAX('Activities'!K619,360))</x:f>
        <x:v>0</x:v>
      </x:c>
      <x:c r="BN619" s="23" t="n">
        <x:f>MAX(0,MIN('Activities'!L619,372)-MAX('Activities'!K619,366))</x:f>
        <x:v>0</x:v>
      </x:c>
      <x:c r="BO619" s="23" t="n">
        <x:f>MAX(0,MIN('Activities'!L619,378)-MAX('Activities'!K619,372))</x:f>
        <x:v>0</x:v>
      </x:c>
      <x:c r="BP619" s="23" t="n">
        <x:f>MAX(0,MIN('Activities'!L619,384)-MAX('Activities'!K619,378))</x:f>
        <x:v>0</x:v>
      </x:c>
      <x:c r="BQ619" s="23" t="n">
        <x:f>MAX(0,MIN('Activities'!L619,390)-MAX('Activities'!K619,384))</x:f>
        <x:v>0</x:v>
      </x:c>
      <x:c r="BR619" s="23" t="n">
        <x:f>MAX(0,MIN('Activities'!L619,396)-MAX('Activities'!K619,390))</x:f>
        <x:v>0</x:v>
      </x:c>
      <x:c r="BS619" s="23" t="n">
        <x:f>MAX(0,MIN('Activities'!L619,402)-MAX('Activities'!K619,396))</x:f>
        <x:v>0</x:v>
      </x:c>
      <x:c r="BT619" s="23" t="n">
        <x:f>MAX(0,MIN('Activities'!L619,408)-MAX('Activities'!K619,402))</x:f>
        <x:v>0</x:v>
      </x:c>
      <x:c r="BU619" s="23" t="n">
        <x:f>MAX(0,MIN('Activities'!L619,414)-MAX('Activities'!K619,408))</x:f>
        <x:v>0</x:v>
      </x:c>
      <x:c r="BV619" s="23" t="n">
        <x:f>MAX(0,MIN('Activities'!L619,420)-MAX('Activities'!K619,414))</x:f>
        <x:v>0</x:v>
      </x:c>
      <x:c r="BW619" s="23" t="n">
        <x:f>MAX(0,MIN('Activities'!L619,426)-MAX('Activities'!K619,420))</x:f>
        <x:v>0</x:v>
      </x:c>
      <x:c r="BX619" s="23" t="n">
        <x:f>MAX(0,MIN('Activities'!L619,432)-MAX('Activities'!K619,426))</x:f>
        <x:v>0</x:v>
      </x:c>
      <x:c r="BY619" s="23" t="n">
        <x:f>MAX(0,MIN('Activities'!L619,438)-MAX('Activities'!K619,432))</x:f>
        <x:v>0</x:v>
      </x:c>
      <x:c r="BZ619" s="23" t="n">
        <x:f>MAX(0,MIN('Activities'!L619,444)-MAX('Activities'!K619,438))</x:f>
        <x:v>0</x:v>
      </x:c>
      <x:c r="CA619" s="23" t="n">
        <x:f>MAX(0,MIN('Activities'!L619,450)-MAX('Activities'!K619,444))</x:f>
        <x:v>0</x:v>
      </x:c>
      <x:c r="CB619" s="23" t="n">
        <x:f>MAX(0,MIN('Activities'!L619,456)-MAX('Activities'!K619,450))</x:f>
        <x:v>0</x:v>
      </x:c>
      <x:c r="CC619" s="23" t="n">
        <x:f>MAX(0,MIN('Activities'!L619,462)-MAX('Activities'!K619,456))</x:f>
        <x:v>5</x:v>
      </x:c>
      <x:c r="CD619" s="23" t="n">
        <x:f>MAX(0,MIN('Activities'!L619,468)-MAX('Activities'!K619,462))</x:f>
        <x:v>0</x:v>
      </x:c>
      <x:c r="CE619" s="23" t="n">
        <x:f>MAX(0,MIN('Activities'!L619,474)-MAX('Activities'!K619,468))</x:f>
        <x:v>0</x:v>
      </x:c>
      <x:c r="CF619" s="23" t="n">
        <x:f>MAX(0,MIN('Activities'!L619,480)-MAX('Activities'!K619,474))</x:f>
        <x:v>0</x:v>
      </x:c>
      <x:c r="CG619" s="23" t="n">
        <x:f>MAX(0,MIN('Activities'!L619,486)-MAX('Activities'!K619,480))</x:f>
        <x:v>0</x:v>
      </x:c>
      <x:c r="CH619" s="23" t="n">
        <x:f>MAX(0,MIN('Activities'!L619,492)-MAX('Activities'!K619,486))</x:f>
        <x:v>0</x:v>
      </x:c>
      <x:c r="CI619" s="23" t="n">
        <x:f>MAX(0,MIN('Activities'!L619,498)-MAX('Activities'!K619,492))</x:f>
        <x:v>0</x:v>
      </x:c>
      <x:c r="CJ619" s="23" t="n">
        <x:f>MAX(0,MIN('Activities'!L619,504)-MAX('Activities'!K619,498))</x:f>
        <x:v>0</x:v>
      </x:c>
      <x:c r="CK619" s="23" t="n">
        <x:f>MAX(0,MIN('Activities'!L619,510)-MAX('Activities'!K619,504))</x:f>
        <x:v>0</x:v>
      </x:c>
      <x:c r="CL619" s="23" t="n">
        <x:f>MAX(0,MIN('Activities'!L619,516)-MAX('Activities'!K619,510))</x:f>
        <x:v>0</x:v>
      </x:c>
      <x:c r="CM619" s="23" t="n">
        <x:f>MAX(0,MIN('Activities'!L619,522)-MAX('Activities'!K619,516))</x:f>
        <x:v>0</x:v>
      </x:c>
      <x:c r="CN619" s="23" t="n">
        <x:f>MAX(0,MIN('Activities'!L619,528)-MAX('Activities'!K619,522))</x:f>
        <x:v>0</x:v>
      </x:c>
      <x:c r="CO619" s="23" t="n">
        <x:f>MAX(0,MIN('Activities'!L619,534)-MAX('Activities'!K619,528))</x:f>
        <x:v>0</x:v>
      </x:c>
      <x:c r="CP619" s="23" t="n">
        <x:f>MAX(0,MIN('Activities'!L619,540)-MAX('Activities'!K619,534))</x:f>
        <x:v>0</x:v>
      </x:c>
      <x:c r="CQ619" s="23" t="n">
        <x:f>MAX(0,MIN('Activities'!L619,546)-MAX('Activities'!K619,540))</x:f>
        <x:v>0</x:v>
      </x:c>
      <x:c r="CR619" s="23" t="n">
        <x:f>MAX(0,MIN('Activities'!L619,552)-MAX('Activities'!K619,546))</x:f>
        <x:v>0</x:v>
      </x:c>
      <x:c r="CS619" s="23" t="n">
        <x:f>MAX(0,MIN('Activities'!L619,558)-MAX('Activities'!K619,552))</x:f>
        <x:v>0</x:v>
      </x:c>
      <x:c r="CT619" s="23" t="n">
        <x:f>MAX(0,MIN('Activities'!L619,564)-MAX('Activities'!K619,558))</x:f>
        <x:v>0</x:v>
      </x:c>
      <x:c r="CU619" s="23" t="n">
        <x:f>MAX(0,MIN('Activities'!L619,570)-MAX('Activities'!K619,564))</x:f>
        <x:v>0</x:v>
      </x:c>
      <x:c r="CV619" s="23" t="n">
        <x:f>MAX(0,MIN('Activities'!L619,576)-MAX('Activities'!K619,570))</x:f>
        <x:v>0</x:v>
      </x:c>
      <x:c r="CW619" s="23" t="n">
        <x:f>MAX(0,MIN('Activities'!L619,582)-MAX('Activities'!K619,576))</x:f>
        <x:v>0</x:v>
      </x:c>
      <x:c r="CX619" s="23" t="n">
        <x:f>MAX(0,MIN('Activities'!L619,588)-MAX('Activities'!K619,582))</x:f>
        <x:v>0</x:v>
      </x:c>
      <x:c r="CY619" s="23" t="n">
        <x:f>MAX(0,MIN('Activities'!L619,594)-MAX('Activities'!K619,588))</x:f>
        <x:v>0</x:v>
      </x:c>
      <x:c r="CZ619" s="23" t="n">
        <x:f>MAX(0,MIN('Activities'!L619,600)-MAX('Activities'!K619,594))</x:f>
        <x:v>0</x:v>
      </x:c>
      <x:c r="DA619" s="23" t="n">
        <x:f>MAX(0,MIN('Activities'!L619,606)-MAX('Activities'!K619,600))</x:f>
        <x:v>0</x:v>
      </x:c>
      <x:c r="DB619" s="23" t="n">
        <x:f>MAX(0,MIN('Activities'!L619,612)-MAX('Activities'!K619,606))</x:f>
        <x:v>0</x:v>
      </x:c>
      <x:c r="DC619" s="23" t="n">
        <x:f>MAX(0,MIN('Activities'!L619,618)-MAX('Activities'!K619,612))</x:f>
        <x:v>0</x:v>
      </x:c>
      <x:c r="DD619" s="23" t="n">
        <x:f>MAX(0,MIN('Activities'!L619,624)-MAX('Activities'!K619,618))</x:f>
        <x:v>0</x:v>
      </x:c>
      <x:c r="DE619" s="23" t="n">
        <x:f>MAX(0,MIN('Activities'!L619,630)-MAX('Activities'!K619,624))</x:f>
        <x:v>0</x:v>
      </x:c>
      <x:c r="DF619" s="23" t="n">
        <x:f>MAX(0,MIN('Activities'!L619,636)-MAX('Activities'!K619,630))</x:f>
        <x:v>0</x:v>
      </x:c>
    </x:row>
    <x:row r="620" ht="23" customHeight="1">
      <x:c r="A620" s="6" t="str">
        <x:v>T5-L02-D</x:v>
      </x:c>
      <x:c r="B620" s="6" t="str">
        <x:v>T5</x:v>
      </x:c>
      <x:c r="C620" s="6" t="str">
        <x:v>Door sets and ironmongery</x:v>
      </x:c>
      <x:c r="D620" s="6" t="str">
        <x:v>Finishes</x:v>
      </x:c>
      <x:c r="E620" s="22" t="n">
        <x:f>MAX(0,MIN('Activities'!L620,6)-MAX('Activities'!K620,0))</x:f>
        <x:v>0</x:v>
      </x:c>
      <x:c r="F620" s="22" t="n">
        <x:f>MAX(0,MIN('Activities'!L620,12)-MAX('Activities'!K620,6))</x:f>
        <x:v>0</x:v>
      </x:c>
      <x:c r="G620" s="22" t="n">
        <x:f>MAX(0,MIN('Activities'!L620,18)-MAX('Activities'!K620,12))</x:f>
        <x:v>0</x:v>
      </x:c>
      <x:c r="H620" s="22" t="n">
        <x:f>MAX(0,MIN('Activities'!L620,24)-MAX('Activities'!K620,18))</x:f>
        <x:v>0</x:v>
      </x:c>
      <x:c r="I620" s="22" t="n">
        <x:f>MAX(0,MIN('Activities'!L620,30)-MAX('Activities'!K620,24))</x:f>
        <x:v>0</x:v>
      </x:c>
      <x:c r="J620" s="22" t="n">
        <x:f>MAX(0,MIN('Activities'!L620,36)-MAX('Activities'!K620,30))</x:f>
        <x:v>0</x:v>
      </x:c>
      <x:c r="K620" s="22" t="n">
        <x:f>MAX(0,MIN('Activities'!L620,42)-MAX('Activities'!K620,36))</x:f>
        <x:v>0</x:v>
      </x:c>
      <x:c r="L620" s="22" t="n">
        <x:f>MAX(0,MIN('Activities'!L620,48)-MAX('Activities'!K620,42))</x:f>
        <x:v>0</x:v>
      </x:c>
      <x:c r="M620" s="22" t="n">
        <x:f>MAX(0,MIN('Activities'!L620,54)-MAX('Activities'!K620,48))</x:f>
        <x:v>0</x:v>
      </x:c>
      <x:c r="N620" s="22" t="n">
        <x:f>MAX(0,MIN('Activities'!L620,60)-MAX('Activities'!K620,54))</x:f>
        <x:v>0</x:v>
      </x:c>
      <x:c r="O620" s="22" t="n">
        <x:f>MAX(0,MIN('Activities'!L620,66)-MAX('Activities'!K620,60))</x:f>
        <x:v>0</x:v>
      </x:c>
      <x:c r="P620" s="22" t="n">
        <x:f>MAX(0,MIN('Activities'!L620,72)-MAX('Activities'!K620,66))</x:f>
        <x:v>0</x:v>
      </x:c>
      <x:c r="Q620" s="22" t="n">
        <x:f>MAX(0,MIN('Activities'!L620,78)-MAX('Activities'!K620,72))</x:f>
        <x:v>0</x:v>
      </x:c>
      <x:c r="R620" s="22" t="n">
        <x:f>MAX(0,MIN('Activities'!L620,84)-MAX('Activities'!K620,78))</x:f>
        <x:v>0</x:v>
      </x:c>
      <x:c r="S620" s="22" t="n">
        <x:f>MAX(0,MIN('Activities'!L620,90)-MAX('Activities'!K620,84))</x:f>
        <x:v>0</x:v>
      </x:c>
      <x:c r="T620" s="22" t="n">
        <x:f>MAX(0,MIN('Activities'!L620,96)-MAX('Activities'!K620,90))</x:f>
        <x:v>0</x:v>
      </x:c>
      <x:c r="U620" s="22" t="n">
        <x:f>MAX(0,MIN('Activities'!L620,102)-MAX('Activities'!K620,96))</x:f>
        <x:v>0</x:v>
      </x:c>
      <x:c r="V620" s="22" t="n">
        <x:f>MAX(0,MIN('Activities'!L620,108)-MAX('Activities'!K620,102))</x:f>
        <x:v>0</x:v>
      </x:c>
      <x:c r="W620" s="22" t="n">
        <x:f>MAX(0,MIN('Activities'!L620,114)-MAX('Activities'!K620,108))</x:f>
        <x:v>0</x:v>
      </x:c>
      <x:c r="X620" s="22" t="n">
        <x:f>MAX(0,MIN('Activities'!L620,120)-MAX('Activities'!K620,114))</x:f>
        <x:v>0</x:v>
      </x:c>
      <x:c r="Y620" s="22" t="n">
        <x:f>MAX(0,MIN('Activities'!L620,126)-MAX('Activities'!K620,120))</x:f>
        <x:v>0</x:v>
      </x:c>
      <x:c r="Z620" s="22" t="n">
        <x:f>MAX(0,MIN('Activities'!L620,132)-MAX('Activities'!K620,126))</x:f>
        <x:v>0</x:v>
      </x:c>
      <x:c r="AA620" s="22" t="n">
        <x:f>MAX(0,MIN('Activities'!L620,138)-MAX('Activities'!K620,132))</x:f>
        <x:v>0</x:v>
      </x:c>
      <x:c r="AB620" s="22" t="n">
        <x:f>MAX(0,MIN('Activities'!L620,144)-MAX('Activities'!K620,138))</x:f>
        <x:v>0</x:v>
      </x:c>
      <x:c r="AC620" s="22" t="n">
        <x:f>MAX(0,MIN('Activities'!L620,150)-MAX('Activities'!K620,144))</x:f>
        <x:v>0</x:v>
      </x:c>
      <x:c r="AD620" s="22" t="n">
        <x:f>MAX(0,MIN('Activities'!L620,156)-MAX('Activities'!K620,150))</x:f>
        <x:v>0</x:v>
      </x:c>
      <x:c r="AE620" s="22" t="n">
        <x:f>MAX(0,MIN('Activities'!L620,162)-MAX('Activities'!K620,156))</x:f>
        <x:v>0</x:v>
      </x:c>
      <x:c r="AF620" s="22" t="n">
        <x:f>MAX(0,MIN('Activities'!L620,168)-MAX('Activities'!K620,162))</x:f>
        <x:v>0</x:v>
      </x:c>
      <x:c r="AG620" s="22" t="n">
        <x:f>MAX(0,MIN('Activities'!L620,174)-MAX('Activities'!K620,168))</x:f>
        <x:v>0</x:v>
      </x:c>
      <x:c r="AH620" s="22" t="n">
        <x:f>MAX(0,MIN('Activities'!L620,180)-MAX('Activities'!K620,174))</x:f>
        <x:v>0</x:v>
      </x:c>
      <x:c r="AI620" s="22" t="n">
        <x:f>MAX(0,MIN('Activities'!L620,186)-MAX('Activities'!K620,180))</x:f>
        <x:v>0</x:v>
      </x:c>
      <x:c r="AJ620" s="22" t="n">
        <x:f>MAX(0,MIN('Activities'!L620,192)-MAX('Activities'!K620,186))</x:f>
        <x:v>0</x:v>
      </x:c>
      <x:c r="AK620" s="22" t="n">
        <x:f>MAX(0,MIN('Activities'!L620,198)-MAX('Activities'!K620,192))</x:f>
        <x:v>0</x:v>
      </x:c>
      <x:c r="AL620" s="22" t="n">
        <x:f>MAX(0,MIN('Activities'!L620,204)-MAX('Activities'!K620,198))</x:f>
        <x:v>0</x:v>
      </x:c>
      <x:c r="AM620" s="22" t="n">
        <x:f>MAX(0,MIN('Activities'!L620,210)-MAX('Activities'!K620,204))</x:f>
        <x:v>0</x:v>
      </x:c>
      <x:c r="AN620" s="22" t="n">
        <x:f>MAX(0,MIN('Activities'!L620,216)-MAX('Activities'!K620,210))</x:f>
        <x:v>0</x:v>
      </x:c>
      <x:c r="AO620" s="22" t="n">
        <x:f>MAX(0,MIN('Activities'!L620,222)-MAX('Activities'!K620,216))</x:f>
        <x:v>0</x:v>
      </x:c>
      <x:c r="AP620" s="22" t="n">
        <x:f>MAX(0,MIN('Activities'!L620,228)-MAX('Activities'!K620,222))</x:f>
        <x:v>0</x:v>
      </x:c>
      <x:c r="AQ620" s="22" t="n">
        <x:f>MAX(0,MIN('Activities'!L620,234)-MAX('Activities'!K620,228))</x:f>
        <x:v>0</x:v>
      </x:c>
      <x:c r="AR620" s="22" t="n">
        <x:f>MAX(0,MIN('Activities'!L620,240)-MAX('Activities'!K620,234))</x:f>
        <x:v>0</x:v>
      </x:c>
      <x:c r="AS620" s="22" t="n">
        <x:f>MAX(0,MIN('Activities'!L620,246)-MAX('Activities'!K620,240))</x:f>
        <x:v>0</x:v>
      </x:c>
      <x:c r="AT620" s="22" t="n">
        <x:f>MAX(0,MIN('Activities'!L620,252)-MAX('Activities'!K620,246))</x:f>
        <x:v>0</x:v>
      </x:c>
      <x:c r="AU620" s="22" t="n">
        <x:f>MAX(0,MIN('Activities'!L620,258)-MAX('Activities'!K620,252))</x:f>
        <x:v>0</x:v>
      </x:c>
      <x:c r="AV620" s="22" t="n">
        <x:f>MAX(0,MIN('Activities'!L620,264)-MAX('Activities'!K620,258))</x:f>
        <x:v>0</x:v>
      </x:c>
      <x:c r="AW620" s="22" t="n">
        <x:f>MAX(0,MIN('Activities'!L620,270)-MAX('Activities'!K620,264))</x:f>
        <x:v>0</x:v>
      </x:c>
      <x:c r="AX620" s="22" t="n">
        <x:f>MAX(0,MIN('Activities'!L620,276)-MAX('Activities'!K620,270))</x:f>
        <x:v>0</x:v>
      </x:c>
      <x:c r="AY620" s="22" t="n">
        <x:f>MAX(0,MIN('Activities'!L620,282)-MAX('Activities'!K620,276))</x:f>
        <x:v>0</x:v>
      </x:c>
      <x:c r="AZ620" s="22" t="n">
        <x:f>MAX(0,MIN('Activities'!L620,288)-MAX('Activities'!K620,282))</x:f>
        <x:v>0</x:v>
      </x:c>
      <x:c r="BA620" s="22" t="n">
        <x:f>MAX(0,MIN('Activities'!L620,294)-MAX('Activities'!K620,288))</x:f>
        <x:v>0</x:v>
      </x:c>
      <x:c r="BB620" s="22" t="n">
        <x:f>MAX(0,MIN('Activities'!L620,300)-MAX('Activities'!K620,294))</x:f>
        <x:v>0</x:v>
      </x:c>
      <x:c r="BC620" s="22" t="n">
        <x:f>MAX(0,MIN('Activities'!L620,306)-MAX('Activities'!K620,300))</x:f>
        <x:v>0</x:v>
      </x:c>
      <x:c r="BD620" s="22" t="n">
        <x:f>MAX(0,MIN('Activities'!L620,312)-MAX('Activities'!K620,306))</x:f>
        <x:v>0</x:v>
      </x:c>
      <x:c r="BE620" s="22" t="n">
        <x:f>MAX(0,MIN('Activities'!L620,318)-MAX('Activities'!K620,312))</x:f>
        <x:v>0</x:v>
      </x:c>
      <x:c r="BF620" s="22" t="n">
        <x:f>MAX(0,MIN('Activities'!L620,324)-MAX('Activities'!K620,318))</x:f>
        <x:v>0</x:v>
      </x:c>
      <x:c r="BG620" s="22" t="n">
        <x:f>MAX(0,MIN('Activities'!L620,330)-MAX('Activities'!K620,324))</x:f>
        <x:v>0</x:v>
      </x:c>
      <x:c r="BH620" s="22" t="n">
        <x:f>MAX(0,MIN('Activities'!L620,336)-MAX('Activities'!K620,330))</x:f>
        <x:v>0</x:v>
      </x:c>
      <x:c r="BI620" s="22" t="n">
        <x:f>MAX(0,MIN('Activities'!L620,342)-MAX('Activities'!K620,336))</x:f>
        <x:v>0</x:v>
      </x:c>
      <x:c r="BJ620" s="22" t="n">
        <x:f>MAX(0,MIN('Activities'!L620,348)-MAX('Activities'!K620,342))</x:f>
        <x:v>0</x:v>
      </x:c>
      <x:c r="BK620" s="22" t="n">
        <x:f>MAX(0,MIN('Activities'!L620,354)-MAX('Activities'!K620,348))</x:f>
        <x:v>0</x:v>
      </x:c>
      <x:c r="BL620" s="22" t="n">
        <x:f>MAX(0,MIN('Activities'!L620,360)-MAX('Activities'!K620,354))</x:f>
        <x:v>0</x:v>
      </x:c>
      <x:c r="BM620" s="22" t="n">
        <x:f>MAX(0,MIN('Activities'!L620,366)-MAX('Activities'!K620,360))</x:f>
        <x:v>0</x:v>
      </x:c>
      <x:c r="BN620" s="22" t="n">
        <x:f>MAX(0,MIN('Activities'!L620,372)-MAX('Activities'!K620,366))</x:f>
        <x:v>0</x:v>
      </x:c>
      <x:c r="BO620" s="22" t="n">
        <x:f>MAX(0,MIN('Activities'!L620,378)-MAX('Activities'!K620,372))</x:f>
        <x:v>0</x:v>
      </x:c>
      <x:c r="BP620" s="22" t="n">
        <x:f>MAX(0,MIN('Activities'!L620,384)-MAX('Activities'!K620,378))</x:f>
        <x:v>0</x:v>
      </x:c>
      <x:c r="BQ620" s="22" t="n">
        <x:f>MAX(0,MIN('Activities'!L620,390)-MAX('Activities'!K620,384))</x:f>
        <x:v>0</x:v>
      </x:c>
      <x:c r="BR620" s="22" t="n">
        <x:f>MAX(0,MIN('Activities'!L620,396)-MAX('Activities'!K620,390))</x:f>
        <x:v>0</x:v>
      </x:c>
      <x:c r="BS620" s="22" t="n">
        <x:f>MAX(0,MIN('Activities'!L620,402)-MAX('Activities'!K620,396))</x:f>
        <x:v>0</x:v>
      </x:c>
      <x:c r="BT620" s="22" t="n">
        <x:f>MAX(0,MIN('Activities'!L620,408)-MAX('Activities'!K620,402))</x:f>
        <x:v>0</x:v>
      </x:c>
      <x:c r="BU620" s="22" t="n">
        <x:f>MAX(0,MIN('Activities'!L620,414)-MAX('Activities'!K620,408))</x:f>
        <x:v>0</x:v>
      </x:c>
      <x:c r="BV620" s="22" t="n">
        <x:f>MAX(0,MIN('Activities'!L620,420)-MAX('Activities'!K620,414))</x:f>
        <x:v>0</x:v>
      </x:c>
      <x:c r="BW620" s="22" t="n">
        <x:f>MAX(0,MIN('Activities'!L620,426)-MAX('Activities'!K620,420))</x:f>
        <x:v>0</x:v>
      </x:c>
      <x:c r="BX620" s="22" t="n">
        <x:f>MAX(0,MIN('Activities'!L620,432)-MAX('Activities'!K620,426))</x:f>
        <x:v>0</x:v>
      </x:c>
      <x:c r="BY620" s="22" t="n">
        <x:f>MAX(0,MIN('Activities'!L620,438)-MAX('Activities'!K620,432))</x:f>
        <x:v>0</x:v>
      </x:c>
      <x:c r="BZ620" s="22" t="n">
        <x:f>MAX(0,MIN('Activities'!L620,444)-MAX('Activities'!K620,438))</x:f>
        <x:v>0</x:v>
      </x:c>
      <x:c r="CA620" s="22" t="n">
        <x:f>MAX(0,MIN('Activities'!L620,450)-MAX('Activities'!K620,444))</x:f>
        <x:v>0</x:v>
      </x:c>
      <x:c r="CB620" s="22" t="n">
        <x:f>MAX(0,MIN('Activities'!L620,456)-MAX('Activities'!K620,450))</x:f>
        <x:v>0</x:v>
      </x:c>
      <x:c r="CC620" s="22" t="n">
        <x:f>MAX(0,MIN('Activities'!L620,462)-MAX('Activities'!K620,456))</x:f>
        <x:v>0</x:v>
      </x:c>
      <x:c r="CD620" s="22" t="n">
        <x:f>MAX(0,MIN('Activities'!L620,468)-MAX('Activities'!K620,462))</x:f>
        <x:v>3</x:v>
      </x:c>
      <x:c r="CE620" s="22" t="n">
        <x:f>MAX(0,MIN('Activities'!L620,474)-MAX('Activities'!K620,468))</x:f>
        <x:v>0</x:v>
      </x:c>
      <x:c r="CF620" s="22" t="n">
        <x:f>MAX(0,MIN('Activities'!L620,480)-MAX('Activities'!K620,474))</x:f>
        <x:v>0</x:v>
      </x:c>
      <x:c r="CG620" s="22" t="n">
        <x:f>MAX(0,MIN('Activities'!L620,486)-MAX('Activities'!K620,480))</x:f>
        <x:v>0</x:v>
      </x:c>
      <x:c r="CH620" s="22" t="n">
        <x:f>MAX(0,MIN('Activities'!L620,492)-MAX('Activities'!K620,486))</x:f>
        <x:v>0</x:v>
      </x:c>
      <x:c r="CI620" s="22" t="n">
        <x:f>MAX(0,MIN('Activities'!L620,498)-MAX('Activities'!K620,492))</x:f>
        <x:v>0</x:v>
      </x:c>
      <x:c r="CJ620" s="22" t="n">
        <x:f>MAX(0,MIN('Activities'!L620,504)-MAX('Activities'!K620,498))</x:f>
        <x:v>0</x:v>
      </x:c>
      <x:c r="CK620" s="22" t="n">
        <x:f>MAX(0,MIN('Activities'!L620,510)-MAX('Activities'!K620,504))</x:f>
        <x:v>0</x:v>
      </x:c>
      <x:c r="CL620" s="22" t="n">
        <x:f>MAX(0,MIN('Activities'!L620,516)-MAX('Activities'!K620,510))</x:f>
        <x:v>0</x:v>
      </x:c>
      <x:c r="CM620" s="22" t="n">
        <x:f>MAX(0,MIN('Activities'!L620,522)-MAX('Activities'!K620,516))</x:f>
        <x:v>0</x:v>
      </x:c>
      <x:c r="CN620" s="22" t="n">
        <x:f>MAX(0,MIN('Activities'!L620,528)-MAX('Activities'!K620,522))</x:f>
        <x:v>0</x:v>
      </x:c>
      <x:c r="CO620" s="22" t="n">
        <x:f>MAX(0,MIN('Activities'!L620,534)-MAX('Activities'!K620,528))</x:f>
        <x:v>0</x:v>
      </x:c>
      <x:c r="CP620" s="22" t="n">
        <x:f>MAX(0,MIN('Activities'!L620,540)-MAX('Activities'!K620,534))</x:f>
        <x:v>0</x:v>
      </x:c>
      <x:c r="CQ620" s="22" t="n">
        <x:f>MAX(0,MIN('Activities'!L620,546)-MAX('Activities'!K620,540))</x:f>
        <x:v>0</x:v>
      </x:c>
      <x:c r="CR620" s="22" t="n">
        <x:f>MAX(0,MIN('Activities'!L620,552)-MAX('Activities'!K620,546))</x:f>
        <x:v>0</x:v>
      </x:c>
      <x:c r="CS620" s="22" t="n">
        <x:f>MAX(0,MIN('Activities'!L620,558)-MAX('Activities'!K620,552))</x:f>
        <x:v>0</x:v>
      </x:c>
      <x:c r="CT620" s="22" t="n">
        <x:f>MAX(0,MIN('Activities'!L620,564)-MAX('Activities'!K620,558))</x:f>
        <x:v>0</x:v>
      </x:c>
      <x:c r="CU620" s="22" t="n">
        <x:f>MAX(0,MIN('Activities'!L620,570)-MAX('Activities'!K620,564))</x:f>
        <x:v>0</x:v>
      </x:c>
      <x:c r="CV620" s="22" t="n">
        <x:f>MAX(0,MIN('Activities'!L620,576)-MAX('Activities'!K620,570))</x:f>
        <x:v>0</x:v>
      </x:c>
      <x:c r="CW620" s="22" t="n">
        <x:f>MAX(0,MIN('Activities'!L620,582)-MAX('Activities'!K620,576))</x:f>
        <x:v>0</x:v>
      </x:c>
      <x:c r="CX620" s="22" t="n">
        <x:f>MAX(0,MIN('Activities'!L620,588)-MAX('Activities'!K620,582))</x:f>
        <x:v>0</x:v>
      </x:c>
      <x:c r="CY620" s="22" t="n">
        <x:f>MAX(0,MIN('Activities'!L620,594)-MAX('Activities'!K620,588))</x:f>
        <x:v>0</x:v>
      </x:c>
      <x:c r="CZ620" s="22" t="n">
        <x:f>MAX(0,MIN('Activities'!L620,600)-MAX('Activities'!K620,594))</x:f>
        <x:v>0</x:v>
      </x:c>
      <x:c r="DA620" s="22" t="n">
        <x:f>MAX(0,MIN('Activities'!L620,606)-MAX('Activities'!K620,600))</x:f>
        <x:v>0</x:v>
      </x:c>
      <x:c r="DB620" s="22" t="n">
        <x:f>MAX(0,MIN('Activities'!L620,612)-MAX('Activities'!K620,606))</x:f>
        <x:v>0</x:v>
      </x:c>
      <x:c r="DC620" s="22" t="n">
        <x:f>MAX(0,MIN('Activities'!L620,618)-MAX('Activities'!K620,612))</x:f>
        <x:v>0</x:v>
      </x:c>
      <x:c r="DD620" s="22" t="n">
        <x:f>MAX(0,MIN('Activities'!L620,624)-MAX('Activities'!K620,618))</x:f>
        <x:v>0</x:v>
      </x:c>
      <x:c r="DE620" s="22" t="n">
        <x:f>MAX(0,MIN('Activities'!L620,630)-MAX('Activities'!K620,624))</x:f>
        <x:v>0</x:v>
      </x:c>
      <x:c r="DF620" s="22" t="n">
        <x:f>MAX(0,MIN('Activities'!L620,636)-MAX('Activities'!K620,630))</x:f>
        <x:v>0</x:v>
      </x:c>
    </x:row>
    <x:row r="621" ht="23" customHeight="1">
      <x:c r="A621" s="1" t="str">
        <x:v>T5-L03-M</x:v>
      </x:c>
      <x:c r="B621" s="1" t="str">
        <x:v>T5</x:v>
      </x:c>
      <x:c r="C621" s="1" t="str">
        <x:v>Partition masonry</x:v>
      </x:c>
      <x:c r="D621" s="1" t="str">
        <x:v>Masonry</x:v>
      </x:c>
      <x:c r="E621" s="23" t="n">
        <x:f>MAX(0,MIN('Activities'!L621,6)-MAX('Activities'!K621,0))</x:f>
        <x:v>0</x:v>
      </x:c>
      <x:c r="F621" s="23" t="n">
        <x:f>MAX(0,MIN('Activities'!L621,12)-MAX('Activities'!K621,6))</x:f>
        <x:v>0</x:v>
      </x:c>
      <x:c r="G621" s="23" t="n">
        <x:f>MAX(0,MIN('Activities'!L621,18)-MAX('Activities'!K621,12))</x:f>
        <x:v>0</x:v>
      </x:c>
      <x:c r="H621" s="23" t="n">
        <x:f>MAX(0,MIN('Activities'!L621,24)-MAX('Activities'!K621,18))</x:f>
        <x:v>0</x:v>
      </x:c>
      <x:c r="I621" s="23" t="n">
        <x:f>MAX(0,MIN('Activities'!L621,30)-MAX('Activities'!K621,24))</x:f>
        <x:v>0</x:v>
      </x:c>
      <x:c r="J621" s="23" t="n">
        <x:f>MAX(0,MIN('Activities'!L621,36)-MAX('Activities'!K621,30))</x:f>
        <x:v>0</x:v>
      </x:c>
      <x:c r="K621" s="23" t="n">
        <x:f>MAX(0,MIN('Activities'!L621,42)-MAX('Activities'!K621,36))</x:f>
        <x:v>0</x:v>
      </x:c>
      <x:c r="L621" s="23" t="n">
        <x:f>MAX(0,MIN('Activities'!L621,48)-MAX('Activities'!K621,42))</x:f>
        <x:v>0</x:v>
      </x:c>
      <x:c r="M621" s="23" t="n">
        <x:f>MAX(0,MIN('Activities'!L621,54)-MAX('Activities'!K621,48))</x:f>
        <x:v>0</x:v>
      </x:c>
      <x:c r="N621" s="23" t="n">
        <x:f>MAX(0,MIN('Activities'!L621,60)-MAX('Activities'!K621,54))</x:f>
        <x:v>0</x:v>
      </x:c>
      <x:c r="O621" s="23" t="n">
        <x:f>MAX(0,MIN('Activities'!L621,66)-MAX('Activities'!K621,60))</x:f>
        <x:v>0</x:v>
      </x:c>
      <x:c r="P621" s="23" t="n">
        <x:f>MAX(0,MIN('Activities'!L621,72)-MAX('Activities'!K621,66))</x:f>
        <x:v>0</x:v>
      </x:c>
      <x:c r="Q621" s="23" t="n">
        <x:f>MAX(0,MIN('Activities'!L621,78)-MAX('Activities'!K621,72))</x:f>
        <x:v>0</x:v>
      </x:c>
      <x:c r="R621" s="23" t="n">
        <x:f>MAX(0,MIN('Activities'!L621,84)-MAX('Activities'!K621,78))</x:f>
        <x:v>0</x:v>
      </x:c>
      <x:c r="S621" s="23" t="n">
        <x:f>MAX(0,MIN('Activities'!L621,90)-MAX('Activities'!K621,84))</x:f>
        <x:v>0</x:v>
      </x:c>
      <x:c r="T621" s="23" t="n">
        <x:f>MAX(0,MIN('Activities'!L621,96)-MAX('Activities'!K621,90))</x:f>
        <x:v>0</x:v>
      </x:c>
      <x:c r="U621" s="23" t="n">
        <x:f>MAX(0,MIN('Activities'!L621,102)-MAX('Activities'!K621,96))</x:f>
        <x:v>0</x:v>
      </x:c>
      <x:c r="V621" s="23" t="n">
        <x:f>MAX(0,MIN('Activities'!L621,108)-MAX('Activities'!K621,102))</x:f>
        <x:v>0</x:v>
      </x:c>
      <x:c r="W621" s="23" t="n">
        <x:f>MAX(0,MIN('Activities'!L621,114)-MAX('Activities'!K621,108))</x:f>
        <x:v>0</x:v>
      </x:c>
      <x:c r="X621" s="23" t="n">
        <x:f>MAX(0,MIN('Activities'!L621,120)-MAX('Activities'!K621,114))</x:f>
        <x:v>0</x:v>
      </x:c>
      <x:c r="Y621" s="23" t="n">
        <x:f>MAX(0,MIN('Activities'!L621,126)-MAX('Activities'!K621,120))</x:f>
        <x:v>0</x:v>
      </x:c>
      <x:c r="Z621" s="23" t="n">
        <x:f>MAX(0,MIN('Activities'!L621,132)-MAX('Activities'!K621,126))</x:f>
        <x:v>0</x:v>
      </x:c>
      <x:c r="AA621" s="23" t="n">
        <x:f>MAX(0,MIN('Activities'!L621,138)-MAX('Activities'!K621,132))</x:f>
        <x:v>0</x:v>
      </x:c>
      <x:c r="AB621" s="23" t="n">
        <x:f>MAX(0,MIN('Activities'!L621,144)-MAX('Activities'!K621,138))</x:f>
        <x:v>0</x:v>
      </x:c>
      <x:c r="AC621" s="23" t="n">
        <x:f>MAX(0,MIN('Activities'!L621,150)-MAX('Activities'!K621,144))</x:f>
        <x:v>0</x:v>
      </x:c>
      <x:c r="AD621" s="23" t="n">
        <x:f>MAX(0,MIN('Activities'!L621,156)-MAX('Activities'!K621,150))</x:f>
        <x:v>0</x:v>
      </x:c>
      <x:c r="AE621" s="23" t="n">
        <x:f>MAX(0,MIN('Activities'!L621,162)-MAX('Activities'!K621,156))</x:f>
        <x:v>0</x:v>
      </x:c>
      <x:c r="AF621" s="23" t="n">
        <x:f>MAX(0,MIN('Activities'!L621,168)-MAX('Activities'!K621,162))</x:f>
        <x:v>0</x:v>
      </x:c>
      <x:c r="AG621" s="23" t="n">
        <x:f>MAX(0,MIN('Activities'!L621,174)-MAX('Activities'!K621,168))</x:f>
        <x:v>0</x:v>
      </x:c>
      <x:c r="AH621" s="23" t="n">
        <x:f>MAX(0,MIN('Activities'!L621,180)-MAX('Activities'!K621,174))</x:f>
        <x:v>0</x:v>
      </x:c>
      <x:c r="AI621" s="23" t="n">
        <x:f>MAX(0,MIN('Activities'!L621,186)-MAX('Activities'!K621,180))</x:f>
        <x:v>0</x:v>
      </x:c>
      <x:c r="AJ621" s="23" t="n">
        <x:f>MAX(0,MIN('Activities'!L621,192)-MAX('Activities'!K621,186))</x:f>
        <x:v>0</x:v>
      </x:c>
      <x:c r="AK621" s="23" t="n">
        <x:f>MAX(0,MIN('Activities'!L621,198)-MAX('Activities'!K621,192))</x:f>
        <x:v>0</x:v>
      </x:c>
      <x:c r="AL621" s="23" t="n">
        <x:f>MAX(0,MIN('Activities'!L621,204)-MAX('Activities'!K621,198))</x:f>
        <x:v>0</x:v>
      </x:c>
      <x:c r="AM621" s="23" t="n">
        <x:f>MAX(0,MIN('Activities'!L621,210)-MAX('Activities'!K621,204))</x:f>
        <x:v>0</x:v>
      </x:c>
      <x:c r="AN621" s="23" t="n">
        <x:f>MAX(0,MIN('Activities'!L621,216)-MAX('Activities'!K621,210))</x:f>
        <x:v>0</x:v>
      </x:c>
      <x:c r="AO621" s="23" t="n">
        <x:f>MAX(0,MIN('Activities'!L621,222)-MAX('Activities'!K621,216))</x:f>
        <x:v>0</x:v>
      </x:c>
      <x:c r="AP621" s="23" t="n">
        <x:f>MAX(0,MIN('Activities'!L621,228)-MAX('Activities'!K621,222))</x:f>
        <x:v>0</x:v>
      </x:c>
      <x:c r="AQ621" s="23" t="n">
        <x:f>MAX(0,MIN('Activities'!L621,234)-MAX('Activities'!K621,228))</x:f>
        <x:v>0</x:v>
      </x:c>
      <x:c r="AR621" s="23" t="n">
        <x:f>MAX(0,MIN('Activities'!L621,240)-MAX('Activities'!K621,234))</x:f>
        <x:v>0</x:v>
      </x:c>
      <x:c r="AS621" s="23" t="n">
        <x:f>MAX(0,MIN('Activities'!L621,246)-MAX('Activities'!K621,240))</x:f>
        <x:v>0</x:v>
      </x:c>
      <x:c r="AT621" s="23" t="n">
        <x:f>MAX(0,MIN('Activities'!L621,252)-MAX('Activities'!K621,246))</x:f>
        <x:v>0</x:v>
      </x:c>
      <x:c r="AU621" s="23" t="n">
        <x:f>MAX(0,MIN('Activities'!L621,258)-MAX('Activities'!K621,252))</x:f>
        <x:v>0</x:v>
      </x:c>
      <x:c r="AV621" s="23" t="n">
        <x:f>MAX(0,MIN('Activities'!L621,264)-MAX('Activities'!K621,258))</x:f>
        <x:v>0</x:v>
      </x:c>
      <x:c r="AW621" s="23" t="n">
        <x:f>MAX(0,MIN('Activities'!L621,270)-MAX('Activities'!K621,264))</x:f>
        <x:v>0</x:v>
      </x:c>
      <x:c r="AX621" s="23" t="n">
        <x:f>MAX(0,MIN('Activities'!L621,276)-MAX('Activities'!K621,270))</x:f>
        <x:v>0</x:v>
      </x:c>
      <x:c r="AY621" s="23" t="n">
        <x:f>MAX(0,MIN('Activities'!L621,282)-MAX('Activities'!K621,276))</x:f>
        <x:v>0</x:v>
      </x:c>
      <x:c r="AZ621" s="23" t="n">
        <x:f>MAX(0,MIN('Activities'!L621,288)-MAX('Activities'!K621,282))</x:f>
        <x:v>0</x:v>
      </x:c>
      <x:c r="BA621" s="23" t="n">
        <x:f>MAX(0,MIN('Activities'!L621,294)-MAX('Activities'!K621,288))</x:f>
        <x:v>0</x:v>
      </x:c>
      <x:c r="BB621" s="23" t="n">
        <x:f>MAX(0,MIN('Activities'!L621,300)-MAX('Activities'!K621,294))</x:f>
        <x:v>0</x:v>
      </x:c>
      <x:c r="BC621" s="23" t="n">
        <x:f>MAX(0,MIN('Activities'!L621,306)-MAX('Activities'!K621,300))</x:f>
        <x:v>0</x:v>
      </x:c>
      <x:c r="BD621" s="23" t="n">
        <x:f>MAX(0,MIN('Activities'!L621,312)-MAX('Activities'!K621,306))</x:f>
        <x:v>0</x:v>
      </x:c>
      <x:c r="BE621" s="23" t="n">
        <x:f>MAX(0,MIN('Activities'!L621,318)-MAX('Activities'!K621,312))</x:f>
        <x:v>5</x:v>
      </x:c>
      <x:c r="BF621" s="23" t="n">
        <x:f>MAX(0,MIN('Activities'!L621,324)-MAX('Activities'!K621,318))</x:f>
        <x:v>0</x:v>
      </x:c>
      <x:c r="BG621" s="23" t="n">
        <x:f>MAX(0,MIN('Activities'!L621,330)-MAX('Activities'!K621,324))</x:f>
        <x:v>0</x:v>
      </x:c>
      <x:c r="BH621" s="23" t="n">
        <x:f>MAX(0,MIN('Activities'!L621,336)-MAX('Activities'!K621,330))</x:f>
        <x:v>0</x:v>
      </x:c>
      <x:c r="BI621" s="23" t="n">
        <x:f>MAX(0,MIN('Activities'!L621,342)-MAX('Activities'!K621,336))</x:f>
        <x:v>0</x:v>
      </x:c>
      <x:c r="BJ621" s="23" t="n">
        <x:f>MAX(0,MIN('Activities'!L621,348)-MAX('Activities'!K621,342))</x:f>
        <x:v>0</x:v>
      </x:c>
      <x:c r="BK621" s="23" t="n">
        <x:f>MAX(0,MIN('Activities'!L621,354)-MAX('Activities'!K621,348))</x:f>
        <x:v>0</x:v>
      </x:c>
      <x:c r="BL621" s="23" t="n">
        <x:f>MAX(0,MIN('Activities'!L621,360)-MAX('Activities'!K621,354))</x:f>
        <x:v>0</x:v>
      </x:c>
      <x:c r="BM621" s="23" t="n">
        <x:f>MAX(0,MIN('Activities'!L621,366)-MAX('Activities'!K621,360))</x:f>
        <x:v>0</x:v>
      </x:c>
      <x:c r="BN621" s="23" t="n">
        <x:f>MAX(0,MIN('Activities'!L621,372)-MAX('Activities'!K621,366))</x:f>
        <x:v>0</x:v>
      </x:c>
      <x:c r="BO621" s="23" t="n">
        <x:f>MAX(0,MIN('Activities'!L621,378)-MAX('Activities'!K621,372))</x:f>
        <x:v>0</x:v>
      </x:c>
      <x:c r="BP621" s="23" t="n">
        <x:f>MAX(0,MIN('Activities'!L621,384)-MAX('Activities'!K621,378))</x:f>
        <x:v>0</x:v>
      </x:c>
      <x:c r="BQ621" s="23" t="n">
        <x:f>MAX(0,MIN('Activities'!L621,390)-MAX('Activities'!K621,384))</x:f>
        <x:v>0</x:v>
      </x:c>
      <x:c r="BR621" s="23" t="n">
        <x:f>MAX(0,MIN('Activities'!L621,396)-MAX('Activities'!K621,390))</x:f>
        <x:v>0</x:v>
      </x:c>
      <x:c r="BS621" s="23" t="n">
        <x:f>MAX(0,MIN('Activities'!L621,402)-MAX('Activities'!K621,396))</x:f>
        <x:v>0</x:v>
      </x:c>
      <x:c r="BT621" s="23" t="n">
        <x:f>MAX(0,MIN('Activities'!L621,408)-MAX('Activities'!K621,402))</x:f>
        <x:v>0</x:v>
      </x:c>
      <x:c r="BU621" s="23" t="n">
        <x:f>MAX(0,MIN('Activities'!L621,414)-MAX('Activities'!K621,408))</x:f>
        <x:v>0</x:v>
      </x:c>
      <x:c r="BV621" s="23" t="n">
        <x:f>MAX(0,MIN('Activities'!L621,420)-MAX('Activities'!K621,414))</x:f>
        <x:v>0</x:v>
      </x:c>
      <x:c r="BW621" s="23" t="n">
        <x:f>MAX(0,MIN('Activities'!L621,426)-MAX('Activities'!K621,420))</x:f>
        <x:v>0</x:v>
      </x:c>
      <x:c r="BX621" s="23" t="n">
        <x:f>MAX(0,MIN('Activities'!L621,432)-MAX('Activities'!K621,426))</x:f>
        <x:v>0</x:v>
      </x:c>
      <x:c r="BY621" s="23" t="n">
        <x:f>MAX(0,MIN('Activities'!L621,438)-MAX('Activities'!K621,432))</x:f>
        <x:v>0</x:v>
      </x:c>
      <x:c r="BZ621" s="23" t="n">
        <x:f>MAX(0,MIN('Activities'!L621,444)-MAX('Activities'!K621,438))</x:f>
        <x:v>0</x:v>
      </x:c>
      <x:c r="CA621" s="23" t="n">
        <x:f>MAX(0,MIN('Activities'!L621,450)-MAX('Activities'!K621,444))</x:f>
        <x:v>0</x:v>
      </x:c>
      <x:c r="CB621" s="23" t="n">
        <x:f>MAX(0,MIN('Activities'!L621,456)-MAX('Activities'!K621,450))</x:f>
        <x:v>0</x:v>
      </x:c>
      <x:c r="CC621" s="23" t="n">
        <x:f>MAX(0,MIN('Activities'!L621,462)-MAX('Activities'!K621,456))</x:f>
        <x:v>0</x:v>
      </x:c>
      <x:c r="CD621" s="23" t="n">
        <x:f>MAX(0,MIN('Activities'!L621,468)-MAX('Activities'!K621,462))</x:f>
        <x:v>0</x:v>
      </x:c>
      <x:c r="CE621" s="23" t="n">
        <x:f>MAX(0,MIN('Activities'!L621,474)-MAX('Activities'!K621,468))</x:f>
        <x:v>0</x:v>
      </x:c>
      <x:c r="CF621" s="23" t="n">
        <x:f>MAX(0,MIN('Activities'!L621,480)-MAX('Activities'!K621,474))</x:f>
        <x:v>0</x:v>
      </x:c>
      <x:c r="CG621" s="23" t="n">
        <x:f>MAX(0,MIN('Activities'!L621,486)-MAX('Activities'!K621,480))</x:f>
        <x:v>0</x:v>
      </x:c>
      <x:c r="CH621" s="23" t="n">
        <x:f>MAX(0,MIN('Activities'!L621,492)-MAX('Activities'!K621,486))</x:f>
        <x:v>0</x:v>
      </x:c>
      <x:c r="CI621" s="23" t="n">
        <x:f>MAX(0,MIN('Activities'!L621,498)-MAX('Activities'!K621,492))</x:f>
        <x:v>0</x:v>
      </x:c>
      <x:c r="CJ621" s="23" t="n">
        <x:f>MAX(0,MIN('Activities'!L621,504)-MAX('Activities'!K621,498))</x:f>
        <x:v>0</x:v>
      </x:c>
      <x:c r="CK621" s="23" t="n">
        <x:f>MAX(0,MIN('Activities'!L621,510)-MAX('Activities'!K621,504))</x:f>
        <x:v>0</x:v>
      </x:c>
      <x:c r="CL621" s="23" t="n">
        <x:f>MAX(0,MIN('Activities'!L621,516)-MAX('Activities'!K621,510))</x:f>
        <x:v>0</x:v>
      </x:c>
      <x:c r="CM621" s="23" t="n">
        <x:f>MAX(0,MIN('Activities'!L621,522)-MAX('Activities'!K621,516))</x:f>
        <x:v>0</x:v>
      </x:c>
      <x:c r="CN621" s="23" t="n">
        <x:f>MAX(0,MIN('Activities'!L621,528)-MAX('Activities'!K621,522))</x:f>
        <x:v>0</x:v>
      </x:c>
      <x:c r="CO621" s="23" t="n">
        <x:f>MAX(0,MIN('Activities'!L621,534)-MAX('Activities'!K621,528))</x:f>
        <x:v>0</x:v>
      </x:c>
      <x:c r="CP621" s="23" t="n">
        <x:f>MAX(0,MIN('Activities'!L621,540)-MAX('Activities'!K621,534))</x:f>
        <x:v>0</x:v>
      </x:c>
      <x:c r="CQ621" s="23" t="n">
        <x:f>MAX(0,MIN('Activities'!L621,546)-MAX('Activities'!K621,540))</x:f>
        <x:v>0</x:v>
      </x:c>
      <x:c r="CR621" s="23" t="n">
        <x:f>MAX(0,MIN('Activities'!L621,552)-MAX('Activities'!K621,546))</x:f>
        <x:v>0</x:v>
      </x:c>
      <x:c r="CS621" s="23" t="n">
        <x:f>MAX(0,MIN('Activities'!L621,558)-MAX('Activities'!K621,552))</x:f>
        <x:v>0</x:v>
      </x:c>
      <x:c r="CT621" s="23" t="n">
        <x:f>MAX(0,MIN('Activities'!L621,564)-MAX('Activities'!K621,558))</x:f>
        <x:v>0</x:v>
      </x:c>
      <x:c r="CU621" s="23" t="n">
        <x:f>MAX(0,MIN('Activities'!L621,570)-MAX('Activities'!K621,564))</x:f>
        <x:v>0</x:v>
      </x:c>
      <x:c r="CV621" s="23" t="n">
        <x:f>MAX(0,MIN('Activities'!L621,576)-MAX('Activities'!K621,570))</x:f>
        <x:v>0</x:v>
      </x:c>
      <x:c r="CW621" s="23" t="n">
        <x:f>MAX(0,MIN('Activities'!L621,582)-MAX('Activities'!K621,576))</x:f>
        <x:v>0</x:v>
      </x:c>
      <x:c r="CX621" s="23" t="n">
        <x:f>MAX(0,MIN('Activities'!L621,588)-MAX('Activities'!K621,582))</x:f>
        <x:v>0</x:v>
      </x:c>
      <x:c r="CY621" s="23" t="n">
        <x:f>MAX(0,MIN('Activities'!L621,594)-MAX('Activities'!K621,588))</x:f>
        <x:v>0</x:v>
      </x:c>
      <x:c r="CZ621" s="23" t="n">
        <x:f>MAX(0,MIN('Activities'!L621,600)-MAX('Activities'!K621,594))</x:f>
        <x:v>0</x:v>
      </x:c>
      <x:c r="DA621" s="23" t="n">
        <x:f>MAX(0,MIN('Activities'!L621,606)-MAX('Activities'!K621,600))</x:f>
        <x:v>0</x:v>
      </x:c>
      <x:c r="DB621" s="23" t="n">
        <x:f>MAX(0,MIN('Activities'!L621,612)-MAX('Activities'!K621,606))</x:f>
        <x:v>0</x:v>
      </x:c>
      <x:c r="DC621" s="23" t="n">
        <x:f>MAX(0,MIN('Activities'!L621,618)-MAX('Activities'!K621,612))</x:f>
        <x:v>0</x:v>
      </x:c>
      <x:c r="DD621" s="23" t="n">
        <x:f>MAX(0,MIN('Activities'!L621,624)-MAX('Activities'!K621,618))</x:f>
        <x:v>0</x:v>
      </x:c>
      <x:c r="DE621" s="23" t="n">
        <x:f>MAX(0,MIN('Activities'!L621,630)-MAX('Activities'!K621,624))</x:f>
        <x:v>0</x:v>
      </x:c>
      <x:c r="DF621" s="23" t="n">
        <x:f>MAX(0,MIN('Activities'!L621,636)-MAX('Activities'!K621,630))</x:f>
        <x:v>0</x:v>
      </x:c>
    </x:row>
    <x:row r="622" ht="23" customHeight="1">
      <x:c r="A622" s="6" t="str">
        <x:v>T5-L03-P</x:v>
      </x:c>
      <x:c r="B622" s="6" t="str">
        <x:v>T5</x:v>
      </x:c>
      <x:c r="C622" s="6" t="str">
        <x:v>Internal plaster</x:v>
      </x:c>
      <x:c r="D622" s="6" t="str">
        <x:v>Finishes</x:v>
      </x:c>
      <x:c r="E622" s="22" t="n">
        <x:f>MAX(0,MIN('Activities'!L622,6)-MAX('Activities'!K622,0))</x:f>
        <x:v>0</x:v>
      </x:c>
      <x:c r="F622" s="22" t="n">
        <x:f>MAX(0,MIN('Activities'!L622,12)-MAX('Activities'!K622,6))</x:f>
        <x:v>0</x:v>
      </x:c>
      <x:c r="G622" s="22" t="n">
        <x:f>MAX(0,MIN('Activities'!L622,18)-MAX('Activities'!K622,12))</x:f>
        <x:v>0</x:v>
      </x:c>
      <x:c r="H622" s="22" t="n">
        <x:f>MAX(0,MIN('Activities'!L622,24)-MAX('Activities'!K622,18))</x:f>
        <x:v>0</x:v>
      </x:c>
      <x:c r="I622" s="22" t="n">
        <x:f>MAX(0,MIN('Activities'!L622,30)-MAX('Activities'!K622,24))</x:f>
        <x:v>0</x:v>
      </x:c>
      <x:c r="J622" s="22" t="n">
        <x:f>MAX(0,MIN('Activities'!L622,36)-MAX('Activities'!K622,30))</x:f>
        <x:v>0</x:v>
      </x:c>
      <x:c r="K622" s="22" t="n">
        <x:f>MAX(0,MIN('Activities'!L622,42)-MAX('Activities'!K622,36))</x:f>
        <x:v>0</x:v>
      </x:c>
      <x:c r="L622" s="22" t="n">
        <x:f>MAX(0,MIN('Activities'!L622,48)-MAX('Activities'!K622,42))</x:f>
        <x:v>0</x:v>
      </x:c>
      <x:c r="M622" s="22" t="n">
        <x:f>MAX(0,MIN('Activities'!L622,54)-MAX('Activities'!K622,48))</x:f>
        <x:v>0</x:v>
      </x:c>
      <x:c r="N622" s="22" t="n">
        <x:f>MAX(0,MIN('Activities'!L622,60)-MAX('Activities'!K622,54))</x:f>
        <x:v>0</x:v>
      </x:c>
      <x:c r="O622" s="22" t="n">
        <x:f>MAX(0,MIN('Activities'!L622,66)-MAX('Activities'!K622,60))</x:f>
        <x:v>0</x:v>
      </x:c>
      <x:c r="P622" s="22" t="n">
        <x:f>MAX(0,MIN('Activities'!L622,72)-MAX('Activities'!K622,66))</x:f>
        <x:v>0</x:v>
      </x:c>
      <x:c r="Q622" s="22" t="n">
        <x:f>MAX(0,MIN('Activities'!L622,78)-MAX('Activities'!K622,72))</x:f>
        <x:v>0</x:v>
      </x:c>
      <x:c r="R622" s="22" t="n">
        <x:f>MAX(0,MIN('Activities'!L622,84)-MAX('Activities'!K622,78))</x:f>
        <x:v>0</x:v>
      </x:c>
      <x:c r="S622" s="22" t="n">
        <x:f>MAX(0,MIN('Activities'!L622,90)-MAX('Activities'!K622,84))</x:f>
        <x:v>0</x:v>
      </x:c>
      <x:c r="T622" s="22" t="n">
        <x:f>MAX(0,MIN('Activities'!L622,96)-MAX('Activities'!K622,90))</x:f>
        <x:v>0</x:v>
      </x:c>
      <x:c r="U622" s="22" t="n">
        <x:f>MAX(0,MIN('Activities'!L622,102)-MAX('Activities'!K622,96))</x:f>
        <x:v>0</x:v>
      </x:c>
      <x:c r="V622" s="22" t="n">
        <x:f>MAX(0,MIN('Activities'!L622,108)-MAX('Activities'!K622,102))</x:f>
        <x:v>0</x:v>
      </x:c>
      <x:c r="W622" s="22" t="n">
        <x:f>MAX(0,MIN('Activities'!L622,114)-MAX('Activities'!K622,108))</x:f>
        <x:v>0</x:v>
      </x:c>
      <x:c r="X622" s="22" t="n">
        <x:f>MAX(0,MIN('Activities'!L622,120)-MAX('Activities'!K622,114))</x:f>
        <x:v>0</x:v>
      </x:c>
      <x:c r="Y622" s="22" t="n">
        <x:f>MAX(0,MIN('Activities'!L622,126)-MAX('Activities'!K622,120))</x:f>
        <x:v>0</x:v>
      </x:c>
      <x:c r="Z622" s="22" t="n">
        <x:f>MAX(0,MIN('Activities'!L622,132)-MAX('Activities'!K622,126))</x:f>
        <x:v>0</x:v>
      </x:c>
      <x:c r="AA622" s="22" t="n">
        <x:f>MAX(0,MIN('Activities'!L622,138)-MAX('Activities'!K622,132))</x:f>
        <x:v>0</x:v>
      </x:c>
      <x:c r="AB622" s="22" t="n">
        <x:f>MAX(0,MIN('Activities'!L622,144)-MAX('Activities'!K622,138))</x:f>
        <x:v>0</x:v>
      </x:c>
      <x:c r="AC622" s="22" t="n">
        <x:f>MAX(0,MIN('Activities'!L622,150)-MAX('Activities'!K622,144))</x:f>
        <x:v>0</x:v>
      </x:c>
      <x:c r="AD622" s="22" t="n">
        <x:f>MAX(0,MIN('Activities'!L622,156)-MAX('Activities'!K622,150))</x:f>
        <x:v>0</x:v>
      </x:c>
      <x:c r="AE622" s="22" t="n">
        <x:f>MAX(0,MIN('Activities'!L622,162)-MAX('Activities'!K622,156))</x:f>
        <x:v>0</x:v>
      </x:c>
      <x:c r="AF622" s="22" t="n">
        <x:f>MAX(0,MIN('Activities'!L622,168)-MAX('Activities'!K622,162))</x:f>
        <x:v>0</x:v>
      </x:c>
      <x:c r="AG622" s="22" t="n">
        <x:f>MAX(0,MIN('Activities'!L622,174)-MAX('Activities'!K622,168))</x:f>
        <x:v>0</x:v>
      </x:c>
      <x:c r="AH622" s="22" t="n">
        <x:f>MAX(0,MIN('Activities'!L622,180)-MAX('Activities'!K622,174))</x:f>
        <x:v>0</x:v>
      </x:c>
      <x:c r="AI622" s="22" t="n">
        <x:f>MAX(0,MIN('Activities'!L622,186)-MAX('Activities'!K622,180))</x:f>
        <x:v>0</x:v>
      </x:c>
      <x:c r="AJ622" s="22" t="n">
        <x:f>MAX(0,MIN('Activities'!L622,192)-MAX('Activities'!K622,186))</x:f>
        <x:v>0</x:v>
      </x:c>
      <x:c r="AK622" s="22" t="n">
        <x:f>MAX(0,MIN('Activities'!L622,198)-MAX('Activities'!K622,192))</x:f>
        <x:v>0</x:v>
      </x:c>
      <x:c r="AL622" s="22" t="n">
        <x:f>MAX(0,MIN('Activities'!L622,204)-MAX('Activities'!K622,198))</x:f>
        <x:v>0</x:v>
      </x:c>
      <x:c r="AM622" s="22" t="n">
        <x:f>MAX(0,MIN('Activities'!L622,210)-MAX('Activities'!K622,204))</x:f>
        <x:v>0</x:v>
      </x:c>
      <x:c r="AN622" s="22" t="n">
        <x:f>MAX(0,MIN('Activities'!L622,216)-MAX('Activities'!K622,210))</x:f>
        <x:v>0</x:v>
      </x:c>
      <x:c r="AO622" s="22" t="n">
        <x:f>MAX(0,MIN('Activities'!L622,222)-MAX('Activities'!K622,216))</x:f>
        <x:v>0</x:v>
      </x:c>
      <x:c r="AP622" s="22" t="n">
        <x:f>MAX(0,MIN('Activities'!L622,228)-MAX('Activities'!K622,222))</x:f>
        <x:v>0</x:v>
      </x:c>
      <x:c r="AQ622" s="22" t="n">
        <x:f>MAX(0,MIN('Activities'!L622,234)-MAX('Activities'!K622,228))</x:f>
        <x:v>0</x:v>
      </x:c>
      <x:c r="AR622" s="22" t="n">
        <x:f>MAX(0,MIN('Activities'!L622,240)-MAX('Activities'!K622,234))</x:f>
        <x:v>0</x:v>
      </x:c>
      <x:c r="AS622" s="22" t="n">
        <x:f>MAX(0,MIN('Activities'!L622,246)-MAX('Activities'!K622,240))</x:f>
        <x:v>0</x:v>
      </x:c>
      <x:c r="AT622" s="22" t="n">
        <x:f>MAX(0,MIN('Activities'!L622,252)-MAX('Activities'!K622,246))</x:f>
        <x:v>0</x:v>
      </x:c>
      <x:c r="AU622" s="22" t="n">
        <x:f>MAX(0,MIN('Activities'!L622,258)-MAX('Activities'!K622,252))</x:f>
        <x:v>0</x:v>
      </x:c>
      <x:c r="AV622" s="22" t="n">
        <x:f>MAX(0,MIN('Activities'!L622,264)-MAX('Activities'!K622,258))</x:f>
        <x:v>0</x:v>
      </x:c>
      <x:c r="AW622" s="22" t="n">
        <x:f>MAX(0,MIN('Activities'!L622,270)-MAX('Activities'!K622,264))</x:f>
        <x:v>0</x:v>
      </x:c>
      <x:c r="AX622" s="22" t="n">
        <x:f>MAX(0,MIN('Activities'!L622,276)-MAX('Activities'!K622,270))</x:f>
        <x:v>0</x:v>
      </x:c>
      <x:c r="AY622" s="22" t="n">
        <x:f>MAX(0,MIN('Activities'!L622,282)-MAX('Activities'!K622,276))</x:f>
        <x:v>0</x:v>
      </x:c>
      <x:c r="AZ622" s="22" t="n">
        <x:f>MAX(0,MIN('Activities'!L622,288)-MAX('Activities'!K622,282))</x:f>
        <x:v>0</x:v>
      </x:c>
      <x:c r="BA622" s="22" t="n">
        <x:f>MAX(0,MIN('Activities'!L622,294)-MAX('Activities'!K622,288))</x:f>
        <x:v>0</x:v>
      </x:c>
      <x:c r="BB622" s="22" t="n">
        <x:f>MAX(0,MIN('Activities'!L622,300)-MAX('Activities'!K622,294))</x:f>
        <x:v>0</x:v>
      </x:c>
      <x:c r="BC622" s="22" t="n">
        <x:f>MAX(0,MIN('Activities'!L622,306)-MAX('Activities'!K622,300))</x:f>
        <x:v>0</x:v>
      </x:c>
      <x:c r="BD622" s="22" t="n">
        <x:f>MAX(0,MIN('Activities'!L622,312)-MAX('Activities'!K622,306))</x:f>
        <x:v>0</x:v>
      </x:c>
      <x:c r="BE622" s="22" t="n">
        <x:f>MAX(0,MIN('Activities'!L622,318)-MAX('Activities'!K622,312))</x:f>
        <x:v>0</x:v>
      </x:c>
      <x:c r="BF622" s="22" t="n">
        <x:f>MAX(0,MIN('Activities'!L622,324)-MAX('Activities'!K622,318))</x:f>
        <x:v>3</x:v>
      </x:c>
      <x:c r="BG622" s="22" t="n">
        <x:f>MAX(0,MIN('Activities'!L622,330)-MAX('Activities'!K622,324))</x:f>
        <x:v>3</x:v>
      </x:c>
      <x:c r="BH622" s="22" t="n">
        <x:f>MAX(0,MIN('Activities'!L622,336)-MAX('Activities'!K622,330))</x:f>
        <x:v>0</x:v>
      </x:c>
      <x:c r="BI622" s="22" t="n">
        <x:f>MAX(0,MIN('Activities'!L622,342)-MAX('Activities'!K622,336))</x:f>
        <x:v>0</x:v>
      </x:c>
      <x:c r="BJ622" s="22" t="n">
        <x:f>MAX(0,MIN('Activities'!L622,348)-MAX('Activities'!K622,342))</x:f>
        <x:v>0</x:v>
      </x:c>
      <x:c r="BK622" s="22" t="n">
        <x:f>MAX(0,MIN('Activities'!L622,354)-MAX('Activities'!K622,348))</x:f>
        <x:v>0</x:v>
      </x:c>
      <x:c r="BL622" s="22" t="n">
        <x:f>MAX(0,MIN('Activities'!L622,360)-MAX('Activities'!K622,354))</x:f>
        <x:v>0</x:v>
      </x:c>
      <x:c r="BM622" s="22" t="n">
        <x:f>MAX(0,MIN('Activities'!L622,366)-MAX('Activities'!K622,360))</x:f>
        <x:v>0</x:v>
      </x:c>
      <x:c r="BN622" s="22" t="n">
        <x:f>MAX(0,MIN('Activities'!L622,372)-MAX('Activities'!K622,366))</x:f>
        <x:v>0</x:v>
      </x:c>
      <x:c r="BO622" s="22" t="n">
        <x:f>MAX(0,MIN('Activities'!L622,378)-MAX('Activities'!K622,372))</x:f>
        <x:v>0</x:v>
      </x:c>
      <x:c r="BP622" s="22" t="n">
        <x:f>MAX(0,MIN('Activities'!L622,384)-MAX('Activities'!K622,378))</x:f>
        <x:v>0</x:v>
      </x:c>
      <x:c r="BQ622" s="22" t="n">
        <x:f>MAX(0,MIN('Activities'!L622,390)-MAX('Activities'!K622,384))</x:f>
        <x:v>0</x:v>
      </x:c>
      <x:c r="BR622" s="22" t="n">
        <x:f>MAX(0,MIN('Activities'!L622,396)-MAX('Activities'!K622,390))</x:f>
        <x:v>0</x:v>
      </x:c>
      <x:c r="BS622" s="22" t="n">
        <x:f>MAX(0,MIN('Activities'!L622,402)-MAX('Activities'!K622,396))</x:f>
        <x:v>0</x:v>
      </x:c>
      <x:c r="BT622" s="22" t="n">
        <x:f>MAX(0,MIN('Activities'!L622,408)-MAX('Activities'!K622,402))</x:f>
        <x:v>0</x:v>
      </x:c>
      <x:c r="BU622" s="22" t="n">
        <x:f>MAX(0,MIN('Activities'!L622,414)-MAX('Activities'!K622,408))</x:f>
        <x:v>0</x:v>
      </x:c>
      <x:c r="BV622" s="22" t="n">
        <x:f>MAX(0,MIN('Activities'!L622,420)-MAX('Activities'!K622,414))</x:f>
        <x:v>0</x:v>
      </x:c>
      <x:c r="BW622" s="22" t="n">
        <x:f>MAX(0,MIN('Activities'!L622,426)-MAX('Activities'!K622,420))</x:f>
        <x:v>0</x:v>
      </x:c>
      <x:c r="BX622" s="22" t="n">
        <x:f>MAX(0,MIN('Activities'!L622,432)-MAX('Activities'!K622,426))</x:f>
        <x:v>0</x:v>
      </x:c>
      <x:c r="BY622" s="22" t="n">
        <x:f>MAX(0,MIN('Activities'!L622,438)-MAX('Activities'!K622,432))</x:f>
        <x:v>0</x:v>
      </x:c>
      <x:c r="BZ622" s="22" t="n">
        <x:f>MAX(0,MIN('Activities'!L622,444)-MAX('Activities'!K622,438))</x:f>
        <x:v>0</x:v>
      </x:c>
      <x:c r="CA622" s="22" t="n">
        <x:f>MAX(0,MIN('Activities'!L622,450)-MAX('Activities'!K622,444))</x:f>
        <x:v>0</x:v>
      </x:c>
      <x:c r="CB622" s="22" t="n">
        <x:f>MAX(0,MIN('Activities'!L622,456)-MAX('Activities'!K622,450))</x:f>
        <x:v>0</x:v>
      </x:c>
      <x:c r="CC622" s="22" t="n">
        <x:f>MAX(0,MIN('Activities'!L622,462)-MAX('Activities'!K622,456))</x:f>
        <x:v>0</x:v>
      </x:c>
      <x:c r="CD622" s="22" t="n">
        <x:f>MAX(0,MIN('Activities'!L622,468)-MAX('Activities'!K622,462))</x:f>
        <x:v>0</x:v>
      </x:c>
      <x:c r="CE622" s="22" t="n">
        <x:f>MAX(0,MIN('Activities'!L622,474)-MAX('Activities'!K622,468))</x:f>
        <x:v>0</x:v>
      </x:c>
      <x:c r="CF622" s="22" t="n">
        <x:f>MAX(0,MIN('Activities'!L622,480)-MAX('Activities'!K622,474))</x:f>
        <x:v>0</x:v>
      </x:c>
      <x:c r="CG622" s="22" t="n">
        <x:f>MAX(0,MIN('Activities'!L622,486)-MAX('Activities'!K622,480))</x:f>
        <x:v>0</x:v>
      </x:c>
      <x:c r="CH622" s="22" t="n">
        <x:f>MAX(0,MIN('Activities'!L622,492)-MAX('Activities'!K622,486))</x:f>
        <x:v>0</x:v>
      </x:c>
      <x:c r="CI622" s="22" t="n">
        <x:f>MAX(0,MIN('Activities'!L622,498)-MAX('Activities'!K622,492))</x:f>
        <x:v>0</x:v>
      </x:c>
      <x:c r="CJ622" s="22" t="n">
        <x:f>MAX(0,MIN('Activities'!L622,504)-MAX('Activities'!K622,498))</x:f>
        <x:v>0</x:v>
      </x:c>
      <x:c r="CK622" s="22" t="n">
        <x:f>MAX(0,MIN('Activities'!L622,510)-MAX('Activities'!K622,504))</x:f>
        <x:v>0</x:v>
      </x:c>
      <x:c r="CL622" s="22" t="n">
        <x:f>MAX(0,MIN('Activities'!L622,516)-MAX('Activities'!K622,510))</x:f>
        <x:v>0</x:v>
      </x:c>
      <x:c r="CM622" s="22" t="n">
        <x:f>MAX(0,MIN('Activities'!L622,522)-MAX('Activities'!K622,516))</x:f>
        <x:v>0</x:v>
      </x:c>
      <x:c r="CN622" s="22" t="n">
        <x:f>MAX(0,MIN('Activities'!L622,528)-MAX('Activities'!K622,522))</x:f>
        <x:v>0</x:v>
      </x:c>
      <x:c r="CO622" s="22" t="n">
        <x:f>MAX(0,MIN('Activities'!L622,534)-MAX('Activities'!K622,528))</x:f>
        <x:v>0</x:v>
      </x:c>
      <x:c r="CP622" s="22" t="n">
        <x:f>MAX(0,MIN('Activities'!L622,540)-MAX('Activities'!K622,534))</x:f>
        <x:v>0</x:v>
      </x:c>
      <x:c r="CQ622" s="22" t="n">
        <x:f>MAX(0,MIN('Activities'!L622,546)-MAX('Activities'!K622,540))</x:f>
        <x:v>0</x:v>
      </x:c>
      <x:c r="CR622" s="22" t="n">
        <x:f>MAX(0,MIN('Activities'!L622,552)-MAX('Activities'!K622,546))</x:f>
        <x:v>0</x:v>
      </x:c>
      <x:c r="CS622" s="22" t="n">
        <x:f>MAX(0,MIN('Activities'!L622,558)-MAX('Activities'!K622,552))</x:f>
        <x:v>0</x:v>
      </x:c>
      <x:c r="CT622" s="22" t="n">
        <x:f>MAX(0,MIN('Activities'!L622,564)-MAX('Activities'!K622,558))</x:f>
        <x:v>0</x:v>
      </x:c>
      <x:c r="CU622" s="22" t="n">
        <x:f>MAX(0,MIN('Activities'!L622,570)-MAX('Activities'!K622,564))</x:f>
        <x:v>0</x:v>
      </x:c>
      <x:c r="CV622" s="22" t="n">
        <x:f>MAX(0,MIN('Activities'!L622,576)-MAX('Activities'!K622,570))</x:f>
        <x:v>0</x:v>
      </x:c>
      <x:c r="CW622" s="22" t="n">
        <x:f>MAX(0,MIN('Activities'!L622,582)-MAX('Activities'!K622,576))</x:f>
        <x:v>0</x:v>
      </x:c>
      <x:c r="CX622" s="22" t="n">
        <x:f>MAX(0,MIN('Activities'!L622,588)-MAX('Activities'!K622,582))</x:f>
        <x:v>0</x:v>
      </x:c>
      <x:c r="CY622" s="22" t="n">
        <x:f>MAX(0,MIN('Activities'!L622,594)-MAX('Activities'!K622,588))</x:f>
        <x:v>0</x:v>
      </x:c>
      <x:c r="CZ622" s="22" t="n">
        <x:f>MAX(0,MIN('Activities'!L622,600)-MAX('Activities'!K622,594))</x:f>
        <x:v>0</x:v>
      </x:c>
      <x:c r="DA622" s="22" t="n">
        <x:f>MAX(0,MIN('Activities'!L622,606)-MAX('Activities'!K622,600))</x:f>
        <x:v>0</x:v>
      </x:c>
      <x:c r="DB622" s="22" t="n">
        <x:f>MAX(0,MIN('Activities'!L622,612)-MAX('Activities'!K622,606))</x:f>
        <x:v>0</x:v>
      </x:c>
      <x:c r="DC622" s="22" t="n">
        <x:f>MAX(0,MIN('Activities'!L622,618)-MAX('Activities'!K622,612))</x:f>
        <x:v>0</x:v>
      </x:c>
      <x:c r="DD622" s="22" t="n">
        <x:f>MAX(0,MIN('Activities'!L622,624)-MAX('Activities'!K622,618))</x:f>
        <x:v>0</x:v>
      </x:c>
      <x:c r="DE622" s="22" t="n">
        <x:f>MAX(0,MIN('Activities'!L622,630)-MAX('Activities'!K622,624))</x:f>
        <x:v>0</x:v>
      </x:c>
      <x:c r="DF622" s="22" t="n">
        <x:f>MAX(0,MIN('Activities'!L622,636)-MAX('Activities'!K622,630))</x:f>
        <x:v>0</x:v>
      </x:c>
    </x:row>
    <x:row r="623" ht="23" customHeight="1">
      <x:c r="A623" s="1" t="str">
        <x:v>T5-L03-S</x:v>
      </x:c>
      <x:c r="B623" s="1" t="str">
        <x:v>T5</x:v>
      </x:c>
      <x:c r="C623" s="1" t="str">
        <x:v>Screed and substrate preparation</x:v>
      </x:c>
      <x:c r="D623" s="1" t="str">
        <x:v>Finishes</x:v>
      </x:c>
      <x:c r="E623" s="23" t="n">
        <x:f>MAX(0,MIN('Activities'!L623,6)-MAX('Activities'!K623,0))</x:f>
        <x:v>0</x:v>
      </x:c>
      <x:c r="F623" s="23" t="n">
        <x:f>MAX(0,MIN('Activities'!L623,12)-MAX('Activities'!K623,6))</x:f>
        <x:v>0</x:v>
      </x:c>
      <x:c r="G623" s="23" t="n">
        <x:f>MAX(0,MIN('Activities'!L623,18)-MAX('Activities'!K623,12))</x:f>
        <x:v>0</x:v>
      </x:c>
      <x:c r="H623" s="23" t="n">
        <x:f>MAX(0,MIN('Activities'!L623,24)-MAX('Activities'!K623,18))</x:f>
        <x:v>0</x:v>
      </x:c>
      <x:c r="I623" s="23" t="n">
        <x:f>MAX(0,MIN('Activities'!L623,30)-MAX('Activities'!K623,24))</x:f>
        <x:v>0</x:v>
      </x:c>
      <x:c r="J623" s="23" t="n">
        <x:f>MAX(0,MIN('Activities'!L623,36)-MAX('Activities'!K623,30))</x:f>
        <x:v>0</x:v>
      </x:c>
      <x:c r="K623" s="23" t="n">
        <x:f>MAX(0,MIN('Activities'!L623,42)-MAX('Activities'!K623,36))</x:f>
        <x:v>0</x:v>
      </x:c>
      <x:c r="L623" s="23" t="n">
        <x:f>MAX(0,MIN('Activities'!L623,48)-MAX('Activities'!K623,42))</x:f>
        <x:v>0</x:v>
      </x:c>
      <x:c r="M623" s="23" t="n">
        <x:f>MAX(0,MIN('Activities'!L623,54)-MAX('Activities'!K623,48))</x:f>
        <x:v>0</x:v>
      </x:c>
      <x:c r="N623" s="23" t="n">
        <x:f>MAX(0,MIN('Activities'!L623,60)-MAX('Activities'!K623,54))</x:f>
        <x:v>0</x:v>
      </x:c>
      <x:c r="O623" s="23" t="n">
        <x:f>MAX(0,MIN('Activities'!L623,66)-MAX('Activities'!K623,60))</x:f>
        <x:v>0</x:v>
      </x:c>
      <x:c r="P623" s="23" t="n">
        <x:f>MAX(0,MIN('Activities'!L623,72)-MAX('Activities'!K623,66))</x:f>
        <x:v>0</x:v>
      </x:c>
      <x:c r="Q623" s="23" t="n">
        <x:f>MAX(0,MIN('Activities'!L623,78)-MAX('Activities'!K623,72))</x:f>
        <x:v>0</x:v>
      </x:c>
      <x:c r="R623" s="23" t="n">
        <x:f>MAX(0,MIN('Activities'!L623,84)-MAX('Activities'!K623,78))</x:f>
        <x:v>0</x:v>
      </x:c>
      <x:c r="S623" s="23" t="n">
        <x:f>MAX(0,MIN('Activities'!L623,90)-MAX('Activities'!K623,84))</x:f>
        <x:v>0</x:v>
      </x:c>
      <x:c r="T623" s="23" t="n">
        <x:f>MAX(0,MIN('Activities'!L623,96)-MAX('Activities'!K623,90))</x:f>
        <x:v>0</x:v>
      </x:c>
      <x:c r="U623" s="23" t="n">
        <x:f>MAX(0,MIN('Activities'!L623,102)-MAX('Activities'!K623,96))</x:f>
        <x:v>0</x:v>
      </x:c>
      <x:c r="V623" s="23" t="n">
        <x:f>MAX(0,MIN('Activities'!L623,108)-MAX('Activities'!K623,102))</x:f>
        <x:v>0</x:v>
      </x:c>
      <x:c r="W623" s="23" t="n">
        <x:f>MAX(0,MIN('Activities'!L623,114)-MAX('Activities'!K623,108))</x:f>
        <x:v>0</x:v>
      </x:c>
      <x:c r="X623" s="23" t="n">
        <x:f>MAX(0,MIN('Activities'!L623,120)-MAX('Activities'!K623,114))</x:f>
        <x:v>0</x:v>
      </x:c>
      <x:c r="Y623" s="23" t="n">
        <x:f>MAX(0,MIN('Activities'!L623,126)-MAX('Activities'!K623,120))</x:f>
        <x:v>0</x:v>
      </x:c>
      <x:c r="Z623" s="23" t="n">
        <x:f>MAX(0,MIN('Activities'!L623,132)-MAX('Activities'!K623,126))</x:f>
        <x:v>0</x:v>
      </x:c>
      <x:c r="AA623" s="23" t="n">
        <x:f>MAX(0,MIN('Activities'!L623,138)-MAX('Activities'!K623,132))</x:f>
        <x:v>0</x:v>
      </x:c>
      <x:c r="AB623" s="23" t="n">
        <x:f>MAX(0,MIN('Activities'!L623,144)-MAX('Activities'!K623,138))</x:f>
        <x:v>0</x:v>
      </x:c>
      <x:c r="AC623" s="23" t="n">
        <x:f>MAX(0,MIN('Activities'!L623,150)-MAX('Activities'!K623,144))</x:f>
        <x:v>0</x:v>
      </x:c>
      <x:c r="AD623" s="23" t="n">
        <x:f>MAX(0,MIN('Activities'!L623,156)-MAX('Activities'!K623,150))</x:f>
        <x:v>0</x:v>
      </x:c>
      <x:c r="AE623" s="23" t="n">
        <x:f>MAX(0,MIN('Activities'!L623,162)-MAX('Activities'!K623,156))</x:f>
        <x:v>0</x:v>
      </x:c>
      <x:c r="AF623" s="23" t="n">
        <x:f>MAX(0,MIN('Activities'!L623,168)-MAX('Activities'!K623,162))</x:f>
        <x:v>0</x:v>
      </x:c>
      <x:c r="AG623" s="23" t="n">
        <x:f>MAX(0,MIN('Activities'!L623,174)-MAX('Activities'!K623,168))</x:f>
        <x:v>0</x:v>
      </x:c>
      <x:c r="AH623" s="23" t="n">
        <x:f>MAX(0,MIN('Activities'!L623,180)-MAX('Activities'!K623,174))</x:f>
        <x:v>0</x:v>
      </x:c>
      <x:c r="AI623" s="23" t="n">
        <x:f>MAX(0,MIN('Activities'!L623,186)-MAX('Activities'!K623,180))</x:f>
        <x:v>0</x:v>
      </x:c>
      <x:c r="AJ623" s="23" t="n">
        <x:f>MAX(0,MIN('Activities'!L623,192)-MAX('Activities'!K623,186))</x:f>
        <x:v>0</x:v>
      </x:c>
      <x:c r="AK623" s="23" t="n">
        <x:f>MAX(0,MIN('Activities'!L623,198)-MAX('Activities'!K623,192))</x:f>
        <x:v>0</x:v>
      </x:c>
      <x:c r="AL623" s="23" t="n">
        <x:f>MAX(0,MIN('Activities'!L623,204)-MAX('Activities'!K623,198))</x:f>
        <x:v>0</x:v>
      </x:c>
      <x:c r="AM623" s="23" t="n">
        <x:f>MAX(0,MIN('Activities'!L623,210)-MAX('Activities'!K623,204))</x:f>
        <x:v>0</x:v>
      </x:c>
      <x:c r="AN623" s="23" t="n">
        <x:f>MAX(0,MIN('Activities'!L623,216)-MAX('Activities'!K623,210))</x:f>
        <x:v>0</x:v>
      </x:c>
      <x:c r="AO623" s="23" t="n">
        <x:f>MAX(0,MIN('Activities'!L623,222)-MAX('Activities'!K623,216))</x:f>
        <x:v>0</x:v>
      </x:c>
      <x:c r="AP623" s="23" t="n">
        <x:f>MAX(0,MIN('Activities'!L623,228)-MAX('Activities'!K623,222))</x:f>
        <x:v>0</x:v>
      </x:c>
      <x:c r="AQ623" s="23" t="n">
        <x:f>MAX(0,MIN('Activities'!L623,234)-MAX('Activities'!K623,228))</x:f>
        <x:v>0</x:v>
      </x:c>
      <x:c r="AR623" s="23" t="n">
        <x:f>MAX(0,MIN('Activities'!L623,240)-MAX('Activities'!K623,234))</x:f>
        <x:v>0</x:v>
      </x:c>
      <x:c r="AS623" s="23" t="n">
        <x:f>MAX(0,MIN('Activities'!L623,246)-MAX('Activities'!K623,240))</x:f>
        <x:v>0</x:v>
      </x:c>
      <x:c r="AT623" s="23" t="n">
        <x:f>MAX(0,MIN('Activities'!L623,252)-MAX('Activities'!K623,246))</x:f>
        <x:v>0</x:v>
      </x:c>
      <x:c r="AU623" s="23" t="n">
        <x:f>MAX(0,MIN('Activities'!L623,258)-MAX('Activities'!K623,252))</x:f>
        <x:v>0</x:v>
      </x:c>
      <x:c r="AV623" s="23" t="n">
        <x:f>MAX(0,MIN('Activities'!L623,264)-MAX('Activities'!K623,258))</x:f>
        <x:v>0</x:v>
      </x:c>
      <x:c r="AW623" s="23" t="n">
        <x:f>MAX(0,MIN('Activities'!L623,270)-MAX('Activities'!K623,264))</x:f>
        <x:v>0</x:v>
      </x:c>
      <x:c r="AX623" s="23" t="n">
        <x:f>MAX(0,MIN('Activities'!L623,276)-MAX('Activities'!K623,270))</x:f>
        <x:v>0</x:v>
      </x:c>
      <x:c r="AY623" s="23" t="n">
        <x:f>MAX(0,MIN('Activities'!L623,282)-MAX('Activities'!K623,276))</x:f>
        <x:v>0</x:v>
      </x:c>
      <x:c r="AZ623" s="23" t="n">
        <x:f>MAX(0,MIN('Activities'!L623,288)-MAX('Activities'!K623,282))</x:f>
        <x:v>0</x:v>
      </x:c>
      <x:c r="BA623" s="23" t="n">
        <x:f>MAX(0,MIN('Activities'!L623,294)-MAX('Activities'!K623,288))</x:f>
        <x:v>0</x:v>
      </x:c>
      <x:c r="BB623" s="23" t="n">
        <x:f>MAX(0,MIN('Activities'!L623,300)-MAX('Activities'!K623,294))</x:f>
        <x:v>0</x:v>
      </x:c>
      <x:c r="BC623" s="23" t="n">
        <x:f>MAX(0,MIN('Activities'!L623,306)-MAX('Activities'!K623,300))</x:f>
        <x:v>0</x:v>
      </x:c>
      <x:c r="BD623" s="23" t="n">
        <x:f>MAX(0,MIN('Activities'!L623,312)-MAX('Activities'!K623,306))</x:f>
        <x:v>0</x:v>
      </x:c>
      <x:c r="BE623" s="23" t="n">
        <x:f>MAX(0,MIN('Activities'!L623,318)-MAX('Activities'!K623,312))</x:f>
        <x:v>0</x:v>
      </x:c>
      <x:c r="BF623" s="23" t="n">
        <x:f>MAX(0,MIN('Activities'!L623,324)-MAX('Activities'!K623,318))</x:f>
        <x:v>0</x:v>
      </x:c>
      <x:c r="BG623" s="23" t="n">
        <x:f>MAX(0,MIN('Activities'!L623,330)-MAX('Activities'!K623,324))</x:f>
        <x:v>1</x:v>
      </x:c>
      <x:c r="BH623" s="23" t="n">
        <x:f>MAX(0,MIN('Activities'!L623,336)-MAX('Activities'!K623,330))</x:f>
        <x:v>2</x:v>
      </x:c>
      <x:c r="BI623" s="23" t="n">
        <x:f>MAX(0,MIN('Activities'!L623,342)-MAX('Activities'!K623,336))</x:f>
        <x:v>0</x:v>
      </x:c>
      <x:c r="BJ623" s="23" t="n">
        <x:f>MAX(0,MIN('Activities'!L623,348)-MAX('Activities'!K623,342))</x:f>
        <x:v>0</x:v>
      </x:c>
      <x:c r="BK623" s="23" t="n">
        <x:f>MAX(0,MIN('Activities'!L623,354)-MAX('Activities'!K623,348))</x:f>
        <x:v>0</x:v>
      </x:c>
      <x:c r="BL623" s="23" t="n">
        <x:f>MAX(0,MIN('Activities'!L623,360)-MAX('Activities'!K623,354))</x:f>
        <x:v>0</x:v>
      </x:c>
      <x:c r="BM623" s="23" t="n">
        <x:f>MAX(0,MIN('Activities'!L623,366)-MAX('Activities'!K623,360))</x:f>
        <x:v>0</x:v>
      </x:c>
      <x:c r="BN623" s="23" t="n">
        <x:f>MAX(0,MIN('Activities'!L623,372)-MAX('Activities'!K623,366))</x:f>
        <x:v>0</x:v>
      </x:c>
      <x:c r="BO623" s="23" t="n">
        <x:f>MAX(0,MIN('Activities'!L623,378)-MAX('Activities'!K623,372))</x:f>
        <x:v>0</x:v>
      </x:c>
      <x:c r="BP623" s="23" t="n">
        <x:f>MAX(0,MIN('Activities'!L623,384)-MAX('Activities'!K623,378))</x:f>
        <x:v>0</x:v>
      </x:c>
      <x:c r="BQ623" s="23" t="n">
        <x:f>MAX(0,MIN('Activities'!L623,390)-MAX('Activities'!K623,384))</x:f>
        <x:v>0</x:v>
      </x:c>
      <x:c r="BR623" s="23" t="n">
        <x:f>MAX(0,MIN('Activities'!L623,396)-MAX('Activities'!K623,390))</x:f>
        <x:v>0</x:v>
      </x:c>
      <x:c r="BS623" s="23" t="n">
        <x:f>MAX(0,MIN('Activities'!L623,402)-MAX('Activities'!K623,396))</x:f>
        <x:v>0</x:v>
      </x:c>
      <x:c r="BT623" s="23" t="n">
        <x:f>MAX(0,MIN('Activities'!L623,408)-MAX('Activities'!K623,402))</x:f>
        <x:v>0</x:v>
      </x:c>
      <x:c r="BU623" s="23" t="n">
        <x:f>MAX(0,MIN('Activities'!L623,414)-MAX('Activities'!K623,408))</x:f>
        <x:v>0</x:v>
      </x:c>
      <x:c r="BV623" s="23" t="n">
        <x:f>MAX(0,MIN('Activities'!L623,420)-MAX('Activities'!K623,414))</x:f>
        <x:v>0</x:v>
      </x:c>
      <x:c r="BW623" s="23" t="n">
        <x:f>MAX(0,MIN('Activities'!L623,426)-MAX('Activities'!K623,420))</x:f>
        <x:v>0</x:v>
      </x:c>
      <x:c r="BX623" s="23" t="n">
        <x:f>MAX(0,MIN('Activities'!L623,432)-MAX('Activities'!K623,426))</x:f>
        <x:v>0</x:v>
      </x:c>
      <x:c r="BY623" s="23" t="n">
        <x:f>MAX(0,MIN('Activities'!L623,438)-MAX('Activities'!K623,432))</x:f>
        <x:v>0</x:v>
      </x:c>
      <x:c r="BZ623" s="23" t="n">
        <x:f>MAX(0,MIN('Activities'!L623,444)-MAX('Activities'!K623,438))</x:f>
        <x:v>0</x:v>
      </x:c>
      <x:c r="CA623" s="23" t="n">
        <x:f>MAX(0,MIN('Activities'!L623,450)-MAX('Activities'!K623,444))</x:f>
        <x:v>0</x:v>
      </x:c>
      <x:c r="CB623" s="23" t="n">
        <x:f>MAX(0,MIN('Activities'!L623,456)-MAX('Activities'!K623,450))</x:f>
        <x:v>0</x:v>
      </x:c>
      <x:c r="CC623" s="23" t="n">
        <x:f>MAX(0,MIN('Activities'!L623,462)-MAX('Activities'!K623,456))</x:f>
        <x:v>0</x:v>
      </x:c>
      <x:c r="CD623" s="23" t="n">
        <x:f>MAX(0,MIN('Activities'!L623,468)-MAX('Activities'!K623,462))</x:f>
        <x:v>0</x:v>
      </x:c>
      <x:c r="CE623" s="23" t="n">
        <x:f>MAX(0,MIN('Activities'!L623,474)-MAX('Activities'!K623,468))</x:f>
        <x:v>0</x:v>
      </x:c>
      <x:c r="CF623" s="23" t="n">
        <x:f>MAX(0,MIN('Activities'!L623,480)-MAX('Activities'!K623,474))</x:f>
        <x:v>0</x:v>
      </x:c>
      <x:c r="CG623" s="23" t="n">
        <x:f>MAX(0,MIN('Activities'!L623,486)-MAX('Activities'!K623,480))</x:f>
        <x:v>0</x:v>
      </x:c>
      <x:c r="CH623" s="23" t="n">
        <x:f>MAX(0,MIN('Activities'!L623,492)-MAX('Activities'!K623,486))</x:f>
        <x:v>0</x:v>
      </x:c>
      <x:c r="CI623" s="23" t="n">
        <x:f>MAX(0,MIN('Activities'!L623,498)-MAX('Activities'!K623,492))</x:f>
        <x:v>0</x:v>
      </x:c>
      <x:c r="CJ623" s="23" t="n">
        <x:f>MAX(0,MIN('Activities'!L623,504)-MAX('Activities'!K623,498))</x:f>
        <x:v>0</x:v>
      </x:c>
      <x:c r="CK623" s="23" t="n">
        <x:f>MAX(0,MIN('Activities'!L623,510)-MAX('Activities'!K623,504))</x:f>
        <x:v>0</x:v>
      </x:c>
      <x:c r="CL623" s="23" t="n">
        <x:f>MAX(0,MIN('Activities'!L623,516)-MAX('Activities'!K623,510))</x:f>
        <x:v>0</x:v>
      </x:c>
      <x:c r="CM623" s="23" t="n">
        <x:f>MAX(0,MIN('Activities'!L623,522)-MAX('Activities'!K623,516))</x:f>
        <x:v>0</x:v>
      </x:c>
      <x:c r="CN623" s="23" t="n">
        <x:f>MAX(0,MIN('Activities'!L623,528)-MAX('Activities'!K623,522))</x:f>
        <x:v>0</x:v>
      </x:c>
      <x:c r="CO623" s="23" t="n">
        <x:f>MAX(0,MIN('Activities'!L623,534)-MAX('Activities'!K623,528))</x:f>
        <x:v>0</x:v>
      </x:c>
      <x:c r="CP623" s="23" t="n">
        <x:f>MAX(0,MIN('Activities'!L623,540)-MAX('Activities'!K623,534))</x:f>
        <x:v>0</x:v>
      </x:c>
      <x:c r="CQ623" s="23" t="n">
        <x:f>MAX(0,MIN('Activities'!L623,546)-MAX('Activities'!K623,540))</x:f>
        <x:v>0</x:v>
      </x:c>
      <x:c r="CR623" s="23" t="n">
        <x:f>MAX(0,MIN('Activities'!L623,552)-MAX('Activities'!K623,546))</x:f>
        <x:v>0</x:v>
      </x:c>
      <x:c r="CS623" s="23" t="n">
        <x:f>MAX(0,MIN('Activities'!L623,558)-MAX('Activities'!K623,552))</x:f>
        <x:v>0</x:v>
      </x:c>
      <x:c r="CT623" s="23" t="n">
        <x:f>MAX(0,MIN('Activities'!L623,564)-MAX('Activities'!K623,558))</x:f>
        <x:v>0</x:v>
      </x:c>
      <x:c r="CU623" s="23" t="n">
        <x:f>MAX(0,MIN('Activities'!L623,570)-MAX('Activities'!K623,564))</x:f>
        <x:v>0</x:v>
      </x:c>
      <x:c r="CV623" s="23" t="n">
        <x:f>MAX(0,MIN('Activities'!L623,576)-MAX('Activities'!K623,570))</x:f>
        <x:v>0</x:v>
      </x:c>
      <x:c r="CW623" s="23" t="n">
        <x:f>MAX(0,MIN('Activities'!L623,582)-MAX('Activities'!K623,576))</x:f>
        <x:v>0</x:v>
      </x:c>
      <x:c r="CX623" s="23" t="n">
        <x:f>MAX(0,MIN('Activities'!L623,588)-MAX('Activities'!K623,582))</x:f>
        <x:v>0</x:v>
      </x:c>
      <x:c r="CY623" s="23" t="n">
        <x:f>MAX(0,MIN('Activities'!L623,594)-MAX('Activities'!K623,588))</x:f>
        <x:v>0</x:v>
      </x:c>
      <x:c r="CZ623" s="23" t="n">
        <x:f>MAX(0,MIN('Activities'!L623,600)-MAX('Activities'!K623,594))</x:f>
        <x:v>0</x:v>
      </x:c>
      <x:c r="DA623" s="23" t="n">
        <x:f>MAX(0,MIN('Activities'!L623,606)-MAX('Activities'!K623,600))</x:f>
        <x:v>0</x:v>
      </x:c>
      <x:c r="DB623" s="23" t="n">
        <x:f>MAX(0,MIN('Activities'!L623,612)-MAX('Activities'!K623,606))</x:f>
        <x:v>0</x:v>
      </x:c>
      <x:c r="DC623" s="23" t="n">
        <x:f>MAX(0,MIN('Activities'!L623,618)-MAX('Activities'!K623,612))</x:f>
        <x:v>0</x:v>
      </x:c>
      <x:c r="DD623" s="23" t="n">
        <x:f>MAX(0,MIN('Activities'!L623,624)-MAX('Activities'!K623,618))</x:f>
        <x:v>0</x:v>
      </x:c>
      <x:c r="DE623" s="23" t="n">
        <x:f>MAX(0,MIN('Activities'!L623,630)-MAX('Activities'!K623,624))</x:f>
        <x:v>0</x:v>
      </x:c>
      <x:c r="DF623" s="23" t="n">
        <x:f>MAX(0,MIN('Activities'!L623,636)-MAX('Activities'!K623,630))</x:f>
        <x:v>0</x:v>
      </x:c>
    </x:row>
    <x:row r="624" ht="23" customHeight="1">
      <x:c r="A624" s="6" t="str">
        <x:v>T5-L03-T</x:v>
      </x:c>
      <x:c r="B624" s="6" t="str">
        <x:v>T5</x:v>
      </x:c>
      <x:c r="C624" s="6" t="str">
        <x:v>Floor finishes and skirtings</x:v>
      </x:c>
      <x:c r="D624" s="6" t="str">
        <x:v>Finishes</x:v>
      </x:c>
      <x:c r="E624" s="22" t="n">
        <x:f>MAX(0,MIN('Activities'!L624,6)-MAX('Activities'!K624,0))</x:f>
        <x:v>0</x:v>
      </x:c>
      <x:c r="F624" s="22" t="n">
        <x:f>MAX(0,MIN('Activities'!L624,12)-MAX('Activities'!K624,6))</x:f>
        <x:v>0</x:v>
      </x:c>
      <x:c r="G624" s="22" t="n">
        <x:f>MAX(0,MIN('Activities'!L624,18)-MAX('Activities'!K624,12))</x:f>
        <x:v>0</x:v>
      </x:c>
      <x:c r="H624" s="22" t="n">
        <x:f>MAX(0,MIN('Activities'!L624,24)-MAX('Activities'!K624,18))</x:f>
        <x:v>0</x:v>
      </x:c>
      <x:c r="I624" s="22" t="n">
        <x:f>MAX(0,MIN('Activities'!L624,30)-MAX('Activities'!K624,24))</x:f>
        <x:v>0</x:v>
      </x:c>
      <x:c r="J624" s="22" t="n">
        <x:f>MAX(0,MIN('Activities'!L624,36)-MAX('Activities'!K624,30))</x:f>
        <x:v>0</x:v>
      </x:c>
      <x:c r="K624" s="22" t="n">
        <x:f>MAX(0,MIN('Activities'!L624,42)-MAX('Activities'!K624,36))</x:f>
        <x:v>0</x:v>
      </x:c>
      <x:c r="L624" s="22" t="n">
        <x:f>MAX(0,MIN('Activities'!L624,48)-MAX('Activities'!K624,42))</x:f>
        <x:v>0</x:v>
      </x:c>
      <x:c r="M624" s="22" t="n">
        <x:f>MAX(0,MIN('Activities'!L624,54)-MAX('Activities'!K624,48))</x:f>
        <x:v>0</x:v>
      </x:c>
      <x:c r="N624" s="22" t="n">
        <x:f>MAX(0,MIN('Activities'!L624,60)-MAX('Activities'!K624,54))</x:f>
        <x:v>0</x:v>
      </x:c>
      <x:c r="O624" s="22" t="n">
        <x:f>MAX(0,MIN('Activities'!L624,66)-MAX('Activities'!K624,60))</x:f>
        <x:v>0</x:v>
      </x:c>
      <x:c r="P624" s="22" t="n">
        <x:f>MAX(0,MIN('Activities'!L624,72)-MAX('Activities'!K624,66))</x:f>
        <x:v>0</x:v>
      </x:c>
      <x:c r="Q624" s="22" t="n">
        <x:f>MAX(0,MIN('Activities'!L624,78)-MAX('Activities'!K624,72))</x:f>
        <x:v>0</x:v>
      </x:c>
      <x:c r="R624" s="22" t="n">
        <x:f>MAX(0,MIN('Activities'!L624,84)-MAX('Activities'!K624,78))</x:f>
        <x:v>0</x:v>
      </x:c>
      <x:c r="S624" s="22" t="n">
        <x:f>MAX(0,MIN('Activities'!L624,90)-MAX('Activities'!K624,84))</x:f>
        <x:v>0</x:v>
      </x:c>
      <x:c r="T624" s="22" t="n">
        <x:f>MAX(0,MIN('Activities'!L624,96)-MAX('Activities'!K624,90))</x:f>
        <x:v>0</x:v>
      </x:c>
      <x:c r="U624" s="22" t="n">
        <x:f>MAX(0,MIN('Activities'!L624,102)-MAX('Activities'!K624,96))</x:f>
        <x:v>0</x:v>
      </x:c>
      <x:c r="V624" s="22" t="n">
        <x:f>MAX(0,MIN('Activities'!L624,108)-MAX('Activities'!K624,102))</x:f>
        <x:v>0</x:v>
      </x:c>
      <x:c r="W624" s="22" t="n">
        <x:f>MAX(0,MIN('Activities'!L624,114)-MAX('Activities'!K624,108))</x:f>
        <x:v>0</x:v>
      </x:c>
      <x:c r="X624" s="22" t="n">
        <x:f>MAX(0,MIN('Activities'!L624,120)-MAX('Activities'!K624,114))</x:f>
        <x:v>0</x:v>
      </x:c>
      <x:c r="Y624" s="22" t="n">
        <x:f>MAX(0,MIN('Activities'!L624,126)-MAX('Activities'!K624,120))</x:f>
        <x:v>0</x:v>
      </x:c>
      <x:c r="Z624" s="22" t="n">
        <x:f>MAX(0,MIN('Activities'!L624,132)-MAX('Activities'!K624,126))</x:f>
        <x:v>0</x:v>
      </x:c>
      <x:c r="AA624" s="22" t="n">
        <x:f>MAX(0,MIN('Activities'!L624,138)-MAX('Activities'!K624,132))</x:f>
        <x:v>0</x:v>
      </x:c>
      <x:c r="AB624" s="22" t="n">
        <x:f>MAX(0,MIN('Activities'!L624,144)-MAX('Activities'!K624,138))</x:f>
        <x:v>0</x:v>
      </x:c>
      <x:c r="AC624" s="22" t="n">
        <x:f>MAX(0,MIN('Activities'!L624,150)-MAX('Activities'!K624,144))</x:f>
        <x:v>0</x:v>
      </x:c>
      <x:c r="AD624" s="22" t="n">
        <x:f>MAX(0,MIN('Activities'!L624,156)-MAX('Activities'!K624,150))</x:f>
        <x:v>0</x:v>
      </x:c>
      <x:c r="AE624" s="22" t="n">
        <x:f>MAX(0,MIN('Activities'!L624,162)-MAX('Activities'!K624,156))</x:f>
        <x:v>0</x:v>
      </x:c>
      <x:c r="AF624" s="22" t="n">
        <x:f>MAX(0,MIN('Activities'!L624,168)-MAX('Activities'!K624,162))</x:f>
        <x:v>0</x:v>
      </x:c>
      <x:c r="AG624" s="22" t="n">
        <x:f>MAX(0,MIN('Activities'!L624,174)-MAX('Activities'!K624,168))</x:f>
        <x:v>0</x:v>
      </x:c>
      <x:c r="AH624" s="22" t="n">
        <x:f>MAX(0,MIN('Activities'!L624,180)-MAX('Activities'!K624,174))</x:f>
        <x:v>0</x:v>
      </x:c>
      <x:c r="AI624" s="22" t="n">
        <x:f>MAX(0,MIN('Activities'!L624,186)-MAX('Activities'!K624,180))</x:f>
        <x:v>0</x:v>
      </x:c>
      <x:c r="AJ624" s="22" t="n">
        <x:f>MAX(0,MIN('Activities'!L624,192)-MAX('Activities'!K624,186))</x:f>
        <x:v>0</x:v>
      </x:c>
      <x:c r="AK624" s="22" t="n">
        <x:f>MAX(0,MIN('Activities'!L624,198)-MAX('Activities'!K624,192))</x:f>
        <x:v>0</x:v>
      </x:c>
      <x:c r="AL624" s="22" t="n">
        <x:f>MAX(0,MIN('Activities'!L624,204)-MAX('Activities'!K624,198))</x:f>
        <x:v>0</x:v>
      </x:c>
      <x:c r="AM624" s="22" t="n">
        <x:f>MAX(0,MIN('Activities'!L624,210)-MAX('Activities'!K624,204))</x:f>
        <x:v>0</x:v>
      </x:c>
      <x:c r="AN624" s="22" t="n">
        <x:f>MAX(0,MIN('Activities'!L624,216)-MAX('Activities'!K624,210))</x:f>
        <x:v>0</x:v>
      </x:c>
      <x:c r="AO624" s="22" t="n">
        <x:f>MAX(0,MIN('Activities'!L624,222)-MAX('Activities'!K624,216))</x:f>
        <x:v>0</x:v>
      </x:c>
      <x:c r="AP624" s="22" t="n">
        <x:f>MAX(0,MIN('Activities'!L624,228)-MAX('Activities'!K624,222))</x:f>
        <x:v>0</x:v>
      </x:c>
      <x:c r="AQ624" s="22" t="n">
        <x:f>MAX(0,MIN('Activities'!L624,234)-MAX('Activities'!K624,228))</x:f>
        <x:v>0</x:v>
      </x:c>
      <x:c r="AR624" s="22" t="n">
        <x:f>MAX(0,MIN('Activities'!L624,240)-MAX('Activities'!K624,234))</x:f>
        <x:v>0</x:v>
      </x:c>
      <x:c r="AS624" s="22" t="n">
        <x:f>MAX(0,MIN('Activities'!L624,246)-MAX('Activities'!K624,240))</x:f>
        <x:v>0</x:v>
      </x:c>
      <x:c r="AT624" s="22" t="n">
        <x:f>MAX(0,MIN('Activities'!L624,252)-MAX('Activities'!K624,246))</x:f>
        <x:v>0</x:v>
      </x:c>
      <x:c r="AU624" s="22" t="n">
        <x:f>MAX(0,MIN('Activities'!L624,258)-MAX('Activities'!K624,252))</x:f>
        <x:v>0</x:v>
      </x:c>
      <x:c r="AV624" s="22" t="n">
        <x:f>MAX(0,MIN('Activities'!L624,264)-MAX('Activities'!K624,258))</x:f>
        <x:v>0</x:v>
      </x:c>
      <x:c r="AW624" s="22" t="n">
        <x:f>MAX(0,MIN('Activities'!L624,270)-MAX('Activities'!K624,264))</x:f>
        <x:v>0</x:v>
      </x:c>
      <x:c r="AX624" s="22" t="n">
        <x:f>MAX(0,MIN('Activities'!L624,276)-MAX('Activities'!K624,270))</x:f>
        <x:v>0</x:v>
      </x:c>
      <x:c r="AY624" s="22" t="n">
        <x:f>MAX(0,MIN('Activities'!L624,282)-MAX('Activities'!K624,276))</x:f>
        <x:v>0</x:v>
      </x:c>
      <x:c r="AZ624" s="22" t="n">
        <x:f>MAX(0,MIN('Activities'!L624,288)-MAX('Activities'!K624,282))</x:f>
        <x:v>0</x:v>
      </x:c>
      <x:c r="BA624" s="22" t="n">
        <x:f>MAX(0,MIN('Activities'!L624,294)-MAX('Activities'!K624,288))</x:f>
        <x:v>0</x:v>
      </x:c>
      <x:c r="BB624" s="22" t="n">
        <x:f>MAX(0,MIN('Activities'!L624,300)-MAX('Activities'!K624,294))</x:f>
        <x:v>0</x:v>
      </x:c>
      <x:c r="BC624" s="22" t="n">
        <x:f>MAX(0,MIN('Activities'!L624,306)-MAX('Activities'!K624,300))</x:f>
        <x:v>0</x:v>
      </x:c>
      <x:c r="BD624" s="22" t="n">
        <x:f>MAX(0,MIN('Activities'!L624,312)-MAX('Activities'!K624,306))</x:f>
        <x:v>0</x:v>
      </x:c>
      <x:c r="BE624" s="22" t="n">
        <x:f>MAX(0,MIN('Activities'!L624,318)-MAX('Activities'!K624,312))</x:f>
        <x:v>0</x:v>
      </x:c>
      <x:c r="BF624" s="22" t="n">
        <x:f>MAX(0,MIN('Activities'!L624,324)-MAX('Activities'!K624,318))</x:f>
        <x:v>0</x:v>
      </x:c>
      <x:c r="BG624" s="22" t="n">
        <x:f>MAX(0,MIN('Activities'!L624,330)-MAX('Activities'!K624,324))</x:f>
        <x:v>0</x:v>
      </x:c>
      <x:c r="BH624" s="22" t="n">
        <x:f>MAX(0,MIN('Activities'!L624,336)-MAX('Activities'!K624,330))</x:f>
        <x:v>0</x:v>
      </x:c>
      <x:c r="BI624" s="22" t="n">
        <x:f>MAX(0,MIN('Activities'!L624,342)-MAX('Activities'!K624,336))</x:f>
        <x:v>0</x:v>
      </x:c>
      <x:c r="BJ624" s="22" t="n">
        <x:f>MAX(0,MIN('Activities'!L624,348)-MAX('Activities'!K624,342))</x:f>
        <x:v>0</x:v>
      </x:c>
      <x:c r="BK624" s="22" t="n">
        <x:f>MAX(0,MIN('Activities'!L624,354)-MAX('Activities'!K624,348))</x:f>
        <x:v>0</x:v>
      </x:c>
      <x:c r="BL624" s="22" t="n">
        <x:f>MAX(0,MIN('Activities'!L624,360)-MAX('Activities'!K624,354))</x:f>
        <x:v>0</x:v>
      </x:c>
      <x:c r="BM624" s="22" t="n">
        <x:f>MAX(0,MIN('Activities'!L624,366)-MAX('Activities'!K624,360))</x:f>
        <x:v>0</x:v>
      </x:c>
      <x:c r="BN624" s="22" t="n">
        <x:f>MAX(0,MIN('Activities'!L624,372)-MAX('Activities'!K624,366))</x:f>
        <x:v>0</x:v>
      </x:c>
      <x:c r="BO624" s="22" t="n">
        <x:f>MAX(0,MIN('Activities'!L624,378)-MAX('Activities'!K624,372))</x:f>
        <x:v>0</x:v>
      </x:c>
      <x:c r="BP624" s="22" t="n">
        <x:f>MAX(0,MIN('Activities'!L624,384)-MAX('Activities'!K624,378))</x:f>
        <x:v>0</x:v>
      </x:c>
      <x:c r="BQ624" s="22" t="n">
        <x:f>MAX(0,MIN('Activities'!L624,390)-MAX('Activities'!K624,384))</x:f>
        <x:v>0</x:v>
      </x:c>
      <x:c r="BR624" s="22" t="n">
        <x:f>MAX(0,MIN('Activities'!L624,396)-MAX('Activities'!K624,390))</x:f>
        <x:v>0</x:v>
      </x:c>
      <x:c r="BS624" s="22" t="n">
        <x:f>MAX(0,MIN('Activities'!L624,402)-MAX('Activities'!K624,396))</x:f>
        <x:v>0</x:v>
      </x:c>
      <x:c r="BT624" s="22" t="n">
        <x:f>MAX(0,MIN('Activities'!L624,408)-MAX('Activities'!K624,402))</x:f>
        <x:v>0</x:v>
      </x:c>
      <x:c r="BU624" s="22" t="n">
        <x:f>MAX(0,MIN('Activities'!L624,414)-MAX('Activities'!K624,408))</x:f>
        <x:v>0</x:v>
      </x:c>
      <x:c r="BV624" s="22" t="n">
        <x:f>MAX(0,MIN('Activities'!L624,420)-MAX('Activities'!K624,414))</x:f>
        <x:v>0</x:v>
      </x:c>
      <x:c r="BW624" s="22" t="n">
        <x:f>MAX(0,MIN('Activities'!L624,426)-MAX('Activities'!K624,420))</x:f>
        <x:v>0</x:v>
      </x:c>
      <x:c r="BX624" s="22" t="n">
        <x:f>MAX(0,MIN('Activities'!L624,432)-MAX('Activities'!K624,426))</x:f>
        <x:v>0</x:v>
      </x:c>
      <x:c r="BY624" s="22" t="n">
        <x:f>MAX(0,MIN('Activities'!L624,438)-MAX('Activities'!K624,432))</x:f>
        <x:v>0</x:v>
      </x:c>
      <x:c r="BZ624" s="22" t="n">
        <x:f>MAX(0,MIN('Activities'!L624,444)-MAX('Activities'!K624,438))</x:f>
        <x:v>0</x:v>
      </x:c>
      <x:c r="CA624" s="22" t="n">
        <x:f>MAX(0,MIN('Activities'!L624,450)-MAX('Activities'!K624,444))</x:f>
        <x:v>1</x:v>
      </x:c>
      <x:c r="CB624" s="22" t="n">
        <x:f>MAX(0,MIN('Activities'!L624,456)-MAX('Activities'!K624,450))</x:f>
        <x:v>5</x:v>
      </x:c>
      <x:c r="CC624" s="22" t="n">
        <x:f>MAX(0,MIN('Activities'!L624,462)-MAX('Activities'!K624,456))</x:f>
        <x:v>0</x:v>
      </x:c>
      <x:c r="CD624" s="22" t="n">
        <x:f>MAX(0,MIN('Activities'!L624,468)-MAX('Activities'!K624,462))</x:f>
        <x:v>0</x:v>
      </x:c>
      <x:c r="CE624" s="22" t="n">
        <x:f>MAX(0,MIN('Activities'!L624,474)-MAX('Activities'!K624,468))</x:f>
        <x:v>0</x:v>
      </x:c>
      <x:c r="CF624" s="22" t="n">
        <x:f>MAX(0,MIN('Activities'!L624,480)-MAX('Activities'!K624,474))</x:f>
        <x:v>0</x:v>
      </x:c>
      <x:c r="CG624" s="22" t="n">
        <x:f>MAX(0,MIN('Activities'!L624,486)-MAX('Activities'!K624,480))</x:f>
        <x:v>0</x:v>
      </x:c>
      <x:c r="CH624" s="22" t="n">
        <x:f>MAX(0,MIN('Activities'!L624,492)-MAX('Activities'!K624,486))</x:f>
        <x:v>0</x:v>
      </x:c>
      <x:c r="CI624" s="22" t="n">
        <x:f>MAX(0,MIN('Activities'!L624,498)-MAX('Activities'!K624,492))</x:f>
        <x:v>0</x:v>
      </x:c>
      <x:c r="CJ624" s="22" t="n">
        <x:f>MAX(0,MIN('Activities'!L624,504)-MAX('Activities'!K624,498))</x:f>
        <x:v>0</x:v>
      </x:c>
      <x:c r="CK624" s="22" t="n">
        <x:f>MAX(0,MIN('Activities'!L624,510)-MAX('Activities'!K624,504))</x:f>
        <x:v>0</x:v>
      </x:c>
      <x:c r="CL624" s="22" t="n">
        <x:f>MAX(0,MIN('Activities'!L624,516)-MAX('Activities'!K624,510))</x:f>
        <x:v>0</x:v>
      </x:c>
      <x:c r="CM624" s="22" t="n">
        <x:f>MAX(0,MIN('Activities'!L624,522)-MAX('Activities'!K624,516))</x:f>
        <x:v>0</x:v>
      </x:c>
      <x:c r="CN624" s="22" t="n">
        <x:f>MAX(0,MIN('Activities'!L624,528)-MAX('Activities'!K624,522))</x:f>
        <x:v>0</x:v>
      </x:c>
      <x:c r="CO624" s="22" t="n">
        <x:f>MAX(0,MIN('Activities'!L624,534)-MAX('Activities'!K624,528))</x:f>
        <x:v>0</x:v>
      </x:c>
      <x:c r="CP624" s="22" t="n">
        <x:f>MAX(0,MIN('Activities'!L624,540)-MAX('Activities'!K624,534))</x:f>
        <x:v>0</x:v>
      </x:c>
      <x:c r="CQ624" s="22" t="n">
        <x:f>MAX(0,MIN('Activities'!L624,546)-MAX('Activities'!K624,540))</x:f>
        <x:v>0</x:v>
      </x:c>
      <x:c r="CR624" s="22" t="n">
        <x:f>MAX(0,MIN('Activities'!L624,552)-MAX('Activities'!K624,546))</x:f>
        <x:v>0</x:v>
      </x:c>
      <x:c r="CS624" s="22" t="n">
        <x:f>MAX(0,MIN('Activities'!L624,558)-MAX('Activities'!K624,552))</x:f>
        <x:v>0</x:v>
      </x:c>
      <x:c r="CT624" s="22" t="n">
        <x:f>MAX(0,MIN('Activities'!L624,564)-MAX('Activities'!K624,558))</x:f>
        <x:v>0</x:v>
      </x:c>
      <x:c r="CU624" s="22" t="n">
        <x:f>MAX(0,MIN('Activities'!L624,570)-MAX('Activities'!K624,564))</x:f>
        <x:v>0</x:v>
      </x:c>
      <x:c r="CV624" s="22" t="n">
        <x:f>MAX(0,MIN('Activities'!L624,576)-MAX('Activities'!K624,570))</x:f>
        <x:v>0</x:v>
      </x:c>
      <x:c r="CW624" s="22" t="n">
        <x:f>MAX(0,MIN('Activities'!L624,582)-MAX('Activities'!K624,576))</x:f>
        <x:v>0</x:v>
      </x:c>
      <x:c r="CX624" s="22" t="n">
        <x:f>MAX(0,MIN('Activities'!L624,588)-MAX('Activities'!K624,582))</x:f>
        <x:v>0</x:v>
      </x:c>
      <x:c r="CY624" s="22" t="n">
        <x:f>MAX(0,MIN('Activities'!L624,594)-MAX('Activities'!K624,588))</x:f>
        <x:v>0</x:v>
      </x:c>
      <x:c r="CZ624" s="22" t="n">
        <x:f>MAX(0,MIN('Activities'!L624,600)-MAX('Activities'!K624,594))</x:f>
        <x:v>0</x:v>
      </x:c>
      <x:c r="DA624" s="22" t="n">
        <x:f>MAX(0,MIN('Activities'!L624,606)-MAX('Activities'!K624,600))</x:f>
        <x:v>0</x:v>
      </x:c>
      <x:c r="DB624" s="22" t="n">
        <x:f>MAX(0,MIN('Activities'!L624,612)-MAX('Activities'!K624,606))</x:f>
        <x:v>0</x:v>
      </x:c>
      <x:c r="DC624" s="22" t="n">
        <x:f>MAX(0,MIN('Activities'!L624,618)-MAX('Activities'!K624,612))</x:f>
        <x:v>0</x:v>
      </x:c>
      <x:c r="DD624" s="22" t="n">
        <x:f>MAX(0,MIN('Activities'!L624,624)-MAX('Activities'!K624,618))</x:f>
        <x:v>0</x:v>
      </x:c>
      <x:c r="DE624" s="22" t="n">
        <x:f>MAX(0,MIN('Activities'!L624,630)-MAX('Activities'!K624,624))</x:f>
        <x:v>0</x:v>
      </x:c>
      <x:c r="DF624" s="22" t="n">
        <x:f>MAX(0,MIN('Activities'!L624,636)-MAX('Activities'!K624,630))</x:f>
        <x:v>0</x:v>
      </x:c>
    </x:row>
    <x:row r="625" ht="23" customHeight="1">
      <x:c r="A625" s="1" t="str">
        <x:v>T5-L03-A</x:v>
      </x:c>
      <x:c r="B625" s="1" t="str">
        <x:v>T5</x:v>
      </x:c>
      <x:c r="C625" s="1" t="str">
        <x:v>Paint and final decorations</x:v>
      </x:c>
      <x:c r="D625" s="1" t="str">
        <x:v>Finishes</x:v>
      </x:c>
      <x:c r="E625" s="23" t="n">
        <x:f>MAX(0,MIN('Activities'!L625,6)-MAX('Activities'!K625,0))</x:f>
        <x:v>0</x:v>
      </x:c>
      <x:c r="F625" s="23" t="n">
        <x:f>MAX(0,MIN('Activities'!L625,12)-MAX('Activities'!K625,6))</x:f>
        <x:v>0</x:v>
      </x:c>
      <x:c r="G625" s="23" t="n">
        <x:f>MAX(0,MIN('Activities'!L625,18)-MAX('Activities'!K625,12))</x:f>
        <x:v>0</x:v>
      </x:c>
      <x:c r="H625" s="23" t="n">
        <x:f>MAX(0,MIN('Activities'!L625,24)-MAX('Activities'!K625,18))</x:f>
        <x:v>0</x:v>
      </x:c>
      <x:c r="I625" s="23" t="n">
        <x:f>MAX(0,MIN('Activities'!L625,30)-MAX('Activities'!K625,24))</x:f>
        <x:v>0</x:v>
      </x:c>
      <x:c r="J625" s="23" t="n">
        <x:f>MAX(0,MIN('Activities'!L625,36)-MAX('Activities'!K625,30))</x:f>
        <x:v>0</x:v>
      </x:c>
      <x:c r="K625" s="23" t="n">
        <x:f>MAX(0,MIN('Activities'!L625,42)-MAX('Activities'!K625,36))</x:f>
        <x:v>0</x:v>
      </x:c>
      <x:c r="L625" s="23" t="n">
        <x:f>MAX(0,MIN('Activities'!L625,48)-MAX('Activities'!K625,42))</x:f>
        <x:v>0</x:v>
      </x:c>
      <x:c r="M625" s="23" t="n">
        <x:f>MAX(0,MIN('Activities'!L625,54)-MAX('Activities'!K625,48))</x:f>
        <x:v>0</x:v>
      </x:c>
      <x:c r="N625" s="23" t="n">
        <x:f>MAX(0,MIN('Activities'!L625,60)-MAX('Activities'!K625,54))</x:f>
        <x:v>0</x:v>
      </x:c>
      <x:c r="O625" s="23" t="n">
        <x:f>MAX(0,MIN('Activities'!L625,66)-MAX('Activities'!K625,60))</x:f>
        <x:v>0</x:v>
      </x:c>
      <x:c r="P625" s="23" t="n">
        <x:f>MAX(0,MIN('Activities'!L625,72)-MAX('Activities'!K625,66))</x:f>
        <x:v>0</x:v>
      </x:c>
      <x:c r="Q625" s="23" t="n">
        <x:f>MAX(0,MIN('Activities'!L625,78)-MAX('Activities'!K625,72))</x:f>
        <x:v>0</x:v>
      </x:c>
      <x:c r="R625" s="23" t="n">
        <x:f>MAX(0,MIN('Activities'!L625,84)-MAX('Activities'!K625,78))</x:f>
        <x:v>0</x:v>
      </x:c>
      <x:c r="S625" s="23" t="n">
        <x:f>MAX(0,MIN('Activities'!L625,90)-MAX('Activities'!K625,84))</x:f>
        <x:v>0</x:v>
      </x:c>
      <x:c r="T625" s="23" t="n">
        <x:f>MAX(0,MIN('Activities'!L625,96)-MAX('Activities'!K625,90))</x:f>
        <x:v>0</x:v>
      </x:c>
      <x:c r="U625" s="23" t="n">
        <x:f>MAX(0,MIN('Activities'!L625,102)-MAX('Activities'!K625,96))</x:f>
        <x:v>0</x:v>
      </x:c>
      <x:c r="V625" s="23" t="n">
        <x:f>MAX(0,MIN('Activities'!L625,108)-MAX('Activities'!K625,102))</x:f>
        <x:v>0</x:v>
      </x:c>
      <x:c r="W625" s="23" t="n">
        <x:f>MAX(0,MIN('Activities'!L625,114)-MAX('Activities'!K625,108))</x:f>
        <x:v>0</x:v>
      </x:c>
      <x:c r="X625" s="23" t="n">
        <x:f>MAX(0,MIN('Activities'!L625,120)-MAX('Activities'!K625,114))</x:f>
        <x:v>0</x:v>
      </x:c>
      <x:c r="Y625" s="23" t="n">
        <x:f>MAX(0,MIN('Activities'!L625,126)-MAX('Activities'!K625,120))</x:f>
        <x:v>0</x:v>
      </x:c>
      <x:c r="Z625" s="23" t="n">
        <x:f>MAX(0,MIN('Activities'!L625,132)-MAX('Activities'!K625,126))</x:f>
        <x:v>0</x:v>
      </x:c>
      <x:c r="AA625" s="23" t="n">
        <x:f>MAX(0,MIN('Activities'!L625,138)-MAX('Activities'!K625,132))</x:f>
        <x:v>0</x:v>
      </x:c>
      <x:c r="AB625" s="23" t="n">
        <x:f>MAX(0,MIN('Activities'!L625,144)-MAX('Activities'!K625,138))</x:f>
        <x:v>0</x:v>
      </x:c>
      <x:c r="AC625" s="23" t="n">
        <x:f>MAX(0,MIN('Activities'!L625,150)-MAX('Activities'!K625,144))</x:f>
        <x:v>0</x:v>
      </x:c>
      <x:c r="AD625" s="23" t="n">
        <x:f>MAX(0,MIN('Activities'!L625,156)-MAX('Activities'!K625,150))</x:f>
        <x:v>0</x:v>
      </x:c>
      <x:c r="AE625" s="23" t="n">
        <x:f>MAX(0,MIN('Activities'!L625,162)-MAX('Activities'!K625,156))</x:f>
        <x:v>0</x:v>
      </x:c>
      <x:c r="AF625" s="23" t="n">
        <x:f>MAX(0,MIN('Activities'!L625,168)-MAX('Activities'!K625,162))</x:f>
        <x:v>0</x:v>
      </x:c>
      <x:c r="AG625" s="23" t="n">
        <x:f>MAX(0,MIN('Activities'!L625,174)-MAX('Activities'!K625,168))</x:f>
        <x:v>0</x:v>
      </x:c>
      <x:c r="AH625" s="23" t="n">
        <x:f>MAX(0,MIN('Activities'!L625,180)-MAX('Activities'!K625,174))</x:f>
        <x:v>0</x:v>
      </x:c>
      <x:c r="AI625" s="23" t="n">
        <x:f>MAX(0,MIN('Activities'!L625,186)-MAX('Activities'!K625,180))</x:f>
        <x:v>0</x:v>
      </x:c>
      <x:c r="AJ625" s="23" t="n">
        <x:f>MAX(0,MIN('Activities'!L625,192)-MAX('Activities'!K625,186))</x:f>
        <x:v>0</x:v>
      </x:c>
      <x:c r="AK625" s="23" t="n">
        <x:f>MAX(0,MIN('Activities'!L625,198)-MAX('Activities'!K625,192))</x:f>
        <x:v>0</x:v>
      </x:c>
      <x:c r="AL625" s="23" t="n">
        <x:f>MAX(0,MIN('Activities'!L625,204)-MAX('Activities'!K625,198))</x:f>
        <x:v>0</x:v>
      </x:c>
      <x:c r="AM625" s="23" t="n">
        <x:f>MAX(0,MIN('Activities'!L625,210)-MAX('Activities'!K625,204))</x:f>
        <x:v>0</x:v>
      </x:c>
      <x:c r="AN625" s="23" t="n">
        <x:f>MAX(0,MIN('Activities'!L625,216)-MAX('Activities'!K625,210))</x:f>
        <x:v>0</x:v>
      </x:c>
      <x:c r="AO625" s="23" t="n">
        <x:f>MAX(0,MIN('Activities'!L625,222)-MAX('Activities'!K625,216))</x:f>
        <x:v>0</x:v>
      </x:c>
      <x:c r="AP625" s="23" t="n">
        <x:f>MAX(0,MIN('Activities'!L625,228)-MAX('Activities'!K625,222))</x:f>
        <x:v>0</x:v>
      </x:c>
      <x:c r="AQ625" s="23" t="n">
        <x:f>MAX(0,MIN('Activities'!L625,234)-MAX('Activities'!K625,228))</x:f>
        <x:v>0</x:v>
      </x:c>
      <x:c r="AR625" s="23" t="n">
        <x:f>MAX(0,MIN('Activities'!L625,240)-MAX('Activities'!K625,234))</x:f>
        <x:v>0</x:v>
      </x:c>
      <x:c r="AS625" s="23" t="n">
        <x:f>MAX(0,MIN('Activities'!L625,246)-MAX('Activities'!K625,240))</x:f>
        <x:v>0</x:v>
      </x:c>
      <x:c r="AT625" s="23" t="n">
        <x:f>MAX(0,MIN('Activities'!L625,252)-MAX('Activities'!K625,246))</x:f>
        <x:v>0</x:v>
      </x:c>
      <x:c r="AU625" s="23" t="n">
        <x:f>MAX(0,MIN('Activities'!L625,258)-MAX('Activities'!K625,252))</x:f>
        <x:v>0</x:v>
      </x:c>
      <x:c r="AV625" s="23" t="n">
        <x:f>MAX(0,MIN('Activities'!L625,264)-MAX('Activities'!K625,258))</x:f>
        <x:v>0</x:v>
      </x:c>
      <x:c r="AW625" s="23" t="n">
        <x:f>MAX(0,MIN('Activities'!L625,270)-MAX('Activities'!K625,264))</x:f>
        <x:v>0</x:v>
      </x:c>
      <x:c r="AX625" s="23" t="n">
        <x:f>MAX(0,MIN('Activities'!L625,276)-MAX('Activities'!K625,270))</x:f>
        <x:v>0</x:v>
      </x:c>
      <x:c r="AY625" s="23" t="n">
        <x:f>MAX(0,MIN('Activities'!L625,282)-MAX('Activities'!K625,276))</x:f>
        <x:v>0</x:v>
      </x:c>
      <x:c r="AZ625" s="23" t="n">
        <x:f>MAX(0,MIN('Activities'!L625,288)-MAX('Activities'!K625,282))</x:f>
        <x:v>0</x:v>
      </x:c>
      <x:c r="BA625" s="23" t="n">
        <x:f>MAX(0,MIN('Activities'!L625,294)-MAX('Activities'!K625,288))</x:f>
        <x:v>0</x:v>
      </x:c>
      <x:c r="BB625" s="23" t="n">
        <x:f>MAX(0,MIN('Activities'!L625,300)-MAX('Activities'!K625,294))</x:f>
        <x:v>0</x:v>
      </x:c>
      <x:c r="BC625" s="23" t="n">
        <x:f>MAX(0,MIN('Activities'!L625,306)-MAX('Activities'!K625,300))</x:f>
        <x:v>0</x:v>
      </x:c>
      <x:c r="BD625" s="23" t="n">
        <x:f>MAX(0,MIN('Activities'!L625,312)-MAX('Activities'!K625,306))</x:f>
        <x:v>0</x:v>
      </x:c>
      <x:c r="BE625" s="23" t="n">
        <x:f>MAX(0,MIN('Activities'!L625,318)-MAX('Activities'!K625,312))</x:f>
        <x:v>0</x:v>
      </x:c>
      <x:c r="BF625" s="23" t="n">
        <x:f>MAX(0,MIN('Activities'!L625,324)-MAX('Activities'!K625,318))</x:f>
        <x:v>0</x:v>
      </x:c>
      <x:c r="BG625" s="23" t="n">
        <x:f>MAX(0,MIN('Activities'!L625,330)-MAX('Activities'!K625,324))</x:f>
        <x:v>0</x:v>
      </x:c>
      <x:c r="BH625" s="23" t="n">
        <x:f>MAX(0,MIN('Activities'!L625,336)-MAX('Activities'!K625,330))</x:f>
        <x:v>0</x:v>
      </x:c>
      <x:c r="BI625" s="23" t="n">
        <x:f>MAX(0,MIN('Activities'!L625,342)-MAX('Activities'!K625,336))</x:f>
        <x:v>0</x:v>
      </x:c>
      <x:c r="BJ625" s="23" t="n">
        <x:f>MAX(0,MIN('Activities'!L625,348)-MAX('Activities'!K625,342))</x:f>
        <x:v>0</x:v>
      </x:c>
      <x:c r="BK625" s="23" t="n">
        <x:f>MAX(0,MIN('Activities'!L625,354)-MAX('Activities'!K625,348))</x:f>
        <x:v>0</x:v>
      </x:c>
      <x:c r="BL625" s="23" t="n">
        <x:f>MAX(0,MIN('Activities'!L625,360)-MAX('Activities'!K625,354))</x:f>
        <x:v>0</x:v>
      </x:c>
      <x:c r="BM625" s="23" t="n">
        <x:f>MAX(0,MIN('Activities'!L625,366)-MAX('Activities'!K625,360))</x:f>
        <x:v>0</x:v>
      </x:c>
      <x:c r="BN625" s="23" t="n">
        <x:f>MAX(0,MIN('Activities'!L625,372)-MAX('Activities'!K625,366))</x:f>
        <x:v>0</x:v>
      </x:c>
      <x:c r="BO625" s="23" t="n">
        <x:f>MAX(0,MIN('Activities'!L625,378)-MAX('Activities'!K625,372))</x:f>
        <x:v>0</x:v>
      </x:c>
      <x:c r="BP625" s="23" t="n">
        <x:f>MAX(0,MIN('Activities'!L625,384)-MAX('Activities'!K625,378))</x:f>
        <x:v>0</x:v>
      </x:c>
      <x:c r="BQ625" s="23" t="n">
        <x:f>MAX(0,MIN('Activities'!L625,390)-MAX('Activities'!K625,384))</x:f>
        <x:v>0</x:v>
      </x:c>
      <x:c r="BR625" s="23" t="n">
        <x:f>MAX(0,MIN('Activities'!L625,396)-MAX('Activities'!K625,390))</x:f>
        <x:v>0</x:v>
      </x:c>
      <x:c r="BS625" s="23" t="n">
        <x:f>MAX(0,MIN('Activities'!L625,402)-MAX('Activities'!K625,396))</x:f>
        <x:v>0</x:v>
      </x:c>
      <x:c r="BT625" s="23" t="n">
        <x:f>MAX(0,MIN('Activities'!L625,408)-MAX('Activities'!K625,402))</x:f>
        <x:v>0</x:v>
      </x:c>
      <x:c r="BU625" s="23" t="n">
        <x:f>MAX(0,MIN('Activities'!L625,414)-MAX('Activities'!K625,408))</x:f>
        <x:v>0</x:v>
      </x:c>
      <x:c r="BV625" s="23" t="n">
        <x:f>MAX(0,MIN('Activities'!L625,420)-MAX('Activities'!K625,414))</x:f>
        <x:v>0</x:v>
      </x:c>
      <x:c r="BW625" s="23" t="n">
        <x:f>MAX(0,MIN('Activities'!L625,426)-MAX('Activities'!K625,420))</x:f>
        <x:v>0</x:v>
      </x:c>
      <x:c r="BX625" s="23" t="n">
        <x:f>MAX(0,MIN('Activities'!L625,432)-MAX('Activities'!K625,426))</x:f>
        <x:v>0</x:v>
      </x:c>
      <x:c r="BY625" s="23" t="n">
        <x:f>MAX(0,MIN('Activities'!L625,438)-MAX('Activities'!K625,432))</x:f>
        <x:v>0</x:v>
      </x:c>
      <x:c r="BZ625" s="23" t="n">
        <x:f>MAX(0,MIN('Activities'!L625,444)-MAX('Activities'!K625,438))</x:f>
        <x:v>0</x:v>
      </x:c>
      <x:c r="CA625" s="23" t="n">
        <x:f>MAX(0,MIN('Activities'!L625,450)-MAX('Activities'!K625,444))</x:f>
        <x:v>0</x:v>
      </x:c>
      <x:c r="CB625" s="23" t="n">
        <x:f>MAX(0,MIN('Activities'!L625,456)-MAX('Activities'!K625,450))</x:f>
        <x:v>0</x:v>
      </x:c>
      <x:c r="CC625" s="23" t="n">
        <x:f>MAX(0,MIN('Activities'!L625,462)-MAX('Activities'!K625,456))</x:f>
        <x:v>5</x:v>
      </x:c>
      <x:c r="CD625" s="23" t="n">
        <x:f>MAX(0,MIN('Activities'!L625,468)-MAX('Activities'!K625,462))</x:f>
        <x:v>0</x:v>
      </x:c>
      <x:c r="CE625" s="23" t="n">
        <x:f>MAX(0,MIN('Activities'!L625,474)-MAX('Activities'!K625,468))</x:f>
        <x:v>0</x:v>
      </x:c>
      <x:c r="CF625" s="23" t="n">
        <x:f>MAX(0,MIN('Activities'!L625,480)-MAX('Activities'!K625,474))</x:f>
        <x:v>0</x:v>
      </x:c>
      <x:c r="CG625" s="23" t="n">
        <x:f>MAX(0,MIN('Activities'!L625,486)-MAX('Activities'!K625,480))</x:f>
        <x:v>0</x:v>
      </x:c>
      <x:c r="CH625" s="23" t="n">
        <x:f>MAX(0,MIN('Activities'!L625,492)-MAX('Activities'!K625,486))</x:f>
        <x:v>0</x:v>
      </x:c>
      <x:c r="CI625" s="23" t="n">
        <x:f>MAX(0,MIN('Activities'!L625,498)-MAX('Activities'!K625,492))</x:f>
        <x:v>0</x:v>
      </x:c>
      <x:c r="CJ625" s="23" t="n">
        <x:f>MAX(0,MIN('Activities'!L625,504)-MAX('Activities'!K625,498))</x:f>
        <x:v>0</x:v>
      </x:c>
      <x:c r="CK625" s="23" t="n">
        <x:f>MAX(0,MIN('Activities'!L625,510)-MAX('Activities'!K625,504))</x:f>
        <x:v>0</x:v>
      </x:c>
      <x:c r="CL625" s="23" t="n">
        <x:f>MAX(0,MIN('Activities'!L625,516)-MAX('Activities'!K625,510))</x:f>
        <x:v>0</x:v>
      </x:c>
      <x:c r="CM625" s="23" t="n">
        <x:f>MAX(0,MIN('Activities'!L625,522)-MAX('Activities'!K625,516))</x:f>
        <x:v>0</x:v>
      </x:c>
      <x:c r="CN625" s="23" t="n">
        <x:f>MAX(0,MIN('Activities'!L625,528)-MAX('Activities'!K625,522))</x:f>
        <x:v>0</x:v>
      </x:c>
      <x:c r="CO625" s="23" t="n">
        <x:f>MAX(0,MIN('Activities'!L625,534)-MAX('Activities'!K625,528))</x:f>
        <x:v>0</x:v>
      </x:c>
      <x:c r="CP625" s="23" t="n">
        <x:f>MAX(0,MIN('Activities'!L625,540)-MAX('Activities'!K625,534))</x:f>
        <x:v>0</x:v>
      </x:c>
      <x:c r="CQ625" s="23" t="n">
        <x:f>MAX(0,MIN('Activities'!L625,546)-MAX('Activities'!K625,540))</x:f>
        <x:v>0</x:v>
      </x:c>
      <x:c r="CR625" s="23" t="n">
        <x:f>MAX(0,MIN('Activities'!L625,552)-MAX('Activities'!K625,546))</x:f>
        <x:v>0</x:v>
      </x:c>
      <x:c r="CS625" s="23" t="n">
        <x:f>MAX(0,MIN('Activities'!L625,558)-MAX('Activities'!K625,552))</x:f>
        <x:v>0</x:v>
      </x:c>
      <x:c r="CT625" s="23" t="n">
        <x:f>MAX(0,MIN('Activities'!L625,564)-MAX('Activities'!K625,558))</x:f>
        <x:v>0</x:v>
      </x:c>
      <x:c r="CU625" s="23" t="n">
        <x:f>MAX(0,MIN('Activities'!L625,570)-MAX('Activities'!K625,564))</x:f>
        <x:v>0</x:v>
      </x:c>
      <x:c r="CV625" s="23" t="n">
        <x:f>MAX(0,MIN('Activities'!L625,576)-MAX('Activities'!K625,570))</x:f>
        <x:v>0</x:v>
      </x:c>
      <x:c r="CW625" s="23" t="n">
        <x:f>MAX(0,MIN('Activities'!L625,582)-MAX('Activities'!K625,576))</x:f>
        <x:v>0</x:v>
      </x:c>
      <x:c r="CX625" s="23" t="n">
        <x:f>MAX(0,MIN('Activities'!L625,588)-MAX('Activities'!K625,582))</x:f>
        <x:v>0</x:v>
      </x:c>
      <x:c r="CY625" s="23" t="n">
        <x:f>MAX(0,MIN('Activities'!L625,594)-MAX('Activities'!K625,588))</x:f>
        <x:v>0</x:v>
      </x:c>
      <x:c r="CZ625" s="23" t="n">
        <x:f>MAX(0,MIN('Activities'!L625,600)-MAX('Activities'!K625,594))</x:f>
        <x:v>0</x:v>
      </x:c>
      <x:c r="DA625" s="23" t="n">
        <x:f>MAX(0,MIN('Activities'!L625,606)-MAX('Activities'!K625,600))</x:f>
        <x:v>0</x:v>
      </x:c>
      <x:c r="DB625" s="23" t="n">
        <x:f>MAX(0,MIN('Activities'!L625,612)-MAX('Activities'!K625,606))</x:f>
        <x:v>0</x:v>
      </x:c>
      <x:c r="DC625" s="23" t="n">
        <x:f>MAX(0,MIN('Activities'!L625,618)-MAX('Activities'!K625,612))</x:f>
        <x:v>0</x:v>
      </x:c>
      <x:c r="DD625" s="23" t="n">
        <x:f>MAX(0,MIN('Activities'!L625,624)-MAX('Activities'!K625,618))</x:f>
        <x:v>0</x:v>
      </x:c>
      <x:c r="DE625" s="23" t="n">
        <x:f>MAX(0,MIN('Activities'!L625,630)-MAX('Activities'!K625,624))</x:f>
        <x:v>0</x:v>
      </x:c>
      <x:c r="DF625" s="23" t="n">
        <x:f>MAX(0,MIN('Activities'!L625,636)-MAX('Activities'!K625,630))</x:f>
        <x:v>0</x:v>
      </x:c>
    </x:row>
    <x:row r="626" ht="23" customHeight="1">
      <x:c r="A626" s="6" t="str">
        <x:v>T5-L03-D</x:v>
      </x:c>
      <x:c r="B626" s="6" t="str">
        <x:v>T5</x:v>
      </x:c>
      <x:c r="C626" s="6" t="str">
        <x:v>Door sets and ironmongery</x:v>
      </x:c>
      <x:c r="D626" s="6" t="str">
        <x:v>Finishes</x:v>
      </x:c>
      <x:c r="E626" s="22" t="n">
        <x:f>MAX(0,MIN('Activities'!L626,6)-MAX('Activities'!K626,0))</x:f>
        <x:v>0</x:v>
      </x:c>
      <x:c r="F626" s="22" t="n">
        <x:f>MAX(0,MIN('Activities'!L626,12)-MAX('Activities'!K626,6))</x:f>
        <x:v>0</x:v>
      </x:c>
      <x:c r="G626" s="22" t="n">
        <x:f>MAX(0,MIN('Activities'!L626,18)-MAX('Activities'!K626,12))</x:f>
        <x:v>0</x:v>
      </x:c>
      <x:c r="H626" s="22" t="n">
        <x:f>MAX(0,MIN('Activities'!L626,24)-MAX('Activities'!K626,18))</x:f>
        <x:v>0</x:v>
      </x:c>
      <x:c r="I626" s="22" t="n">
        <x:f>MAX(0,MIN('Activities'!L626,30)-MAX('Activities'!K626,24))</x:f>
        <x:v>0</x:v>
      </x:c>
      <x:c r="J626" s="22" t="n">
        <x:f>MAX(0,MIN('Activities'!L626,36)-MAX('Activities'!K626,30))</x:f>
        <x:v>0</x:v>
      </x:c>
      <x:c r="K626" s="22" t="n">
        <x:f>MAX(0,MIN('Activities'!L626,42)-MAX('Activities'!K626,36))</x:f>
        <x:v>0</x:v>
      </x:c>
      <x:c r="L626" s="22" t="n">
        <x:f>MAX(0,MIN('Activities'!L626,48)-MAX('Activities'!K626,42))</x:f>
        <x:v>0</x:v>
      </x:c>
      <x:c r="M626" s="22" t="n">
        <x:f>MAX(0,MIN('Activities'!L626,54)-MAX('Activities'!K626,48))</x:f>
        <x:v>0</x:v>
      </x:c>
      <x:c r="N626" s="22" t="n">
        <x:f>MAX(0,MIN('Activities'!L626,60)-MAX('Activities'!K626,54))</x:f>
        <x:v>0</x:v>
      </x:c>
      <x:c r="O626" s="22" t="n">
        <x:f>MAX(0,MIN('Activities'!L626,66)-MAX('Activities'!K626,60))</x:f>
        <x:v>0</x:v>
      </x:c>
      <x:c r="P626" s="22" t="n">
        <x:f>MAX(0,MIN('Activities'!L626,72)-MAX('Activities'!K626,66))</x:f>
        <x:v>0</x:v>
      </x:c>
      <x:c r="Q626" s="22" t="n">
        <x:f>MAX(0,MIN('Activities'!L626,78)-MAX('Activities'!K626,72))</x:f>
        <x:v>0</x:v>
      </x:c>
      <x:c r="R626" s="22" t="n">
        <x:f>MAX(0,MIN('Activities'!L626,84)-MAX('Activities'!K626,78))</x:f>
        <x:v>0</x:v>
      </x:c>
      <x:c r="S626" s="22" t="n">
        <x:f>MAX(0,MIN('Activities'!L626,90)-MAX('Activities'!K626,84))</x:f>
        <x:v>0</x:v>
      </x:c>
      <x:c r="T626" s="22" t="n">
        <x:f>MAX(0,MIN('Activities'!L626,96)-MAX('Activities'!K626,90))</x:f>
        <x:v>0</x:v>
      </x:c>
      <x:c r="U626" s="22" t="n">
        <x:f>MAX(0,MIN('Activities'!L626,102)-MAX('Activities'!K626,96))</x:f>
        <x:v>0</x:v>
      </x:c>
      <x:c r="V626" s="22" t="n">
        <x:f>MAX(0,MIN('Activities'!L626,108)-MAX('Activities'!K626,102))</x:f>
        <x:v>0</x:v>
      </x:c>
      <x:c r="W626" s="22" t="n">
        <x:f>MAX(0,MIN('Activities'!L626,114)-MAX('Activities'!K626,108))</x:f>
        <x:v>0</x:v>
      </x:c>
      <x:c r="X626" s="22" t="n">
        <x:f>MAX(0,MIN('Activities'!L626,120)-MAX('Activities'!K626,114))</x:f>
        <x:v>0</x:v>
      </x:c>
      <x:c r="Y626" s="22" t="n">
        <x:f>MAX(0,MIN('Activities'!L626,126)-MAX('Activities'!K626,120))</x:f>
        <x:v>0</x:v>
      </x:c>
      <x:c r="Z626" s="22" t="n">
        <x:f>MAX(0,MIN('Activities'!L626,132)-MAX('Activities'!K626,126))</x:f>
        <x:v>0</x:v>
      </x:c>
      <x:c r="AA626" s="22" t="n">
        <x:f>MAX(0,MIN('Activities'!L626,138)-MAX('Activities'!K626,132))</x:f>
        <x:v>0</x:v>
      </x:c>
      <x:c r="AB626" s="22" t="n">
        <x:f>MAX(0,MIN('Activities'!L626,144)-MAX('Activities'!K626,138))</x:f>
        <x:v>0</x:v>
      </x:c>
      <x:c r="AC626" s="22" t="n">
        <x:f>MAX(0,MIN('Activities'!L626,150)-MAX('Activities'!K626,144))</x:f>
        <x:v>0</x:v>
      </x:c>
      <x:c r="AD626" s="22" t="n">
        <x:f>MAX(0,MIN('Activities'!L626,156)-MAX('Activities'!K626,150))</x:f>
        <x:v>0</x:v>
      </x:c>
      <x:c r="AE626" s="22" t="n">
        <x:f>MAX(0,MIN('Activities'!L626,162)-MAX('Activities'!K626,156))</x:f>
        <x:v>0</x:v>
      </x:c>
      <x:c r="AF626" s="22" t="n">
        <x:f>MAX(0,MIN('Activities'!L626,168)-MAX('Activities'!K626,162))</x:f>
        <x:v>0</x:v>
      </x:c>
      <x:c r="AG626" s="22" t="n">
        <x:f>MAX(0,MIN('Activities'!L626,174)-MAX('Activities'!K626,168))</x:f>
        <x:v>0</x:v>
      </x:c>
      <x:c r="AH626" s="22" t="n">
        <x:f>MAX(0,MIN('Activities'!L626,180)-MAX('Activities'!K626,174))</x:f>
        <x:v>0</x:v>
      </x:c>
      <x:c r="AI626" s="22" t="n">
        <x:f>MAX(0,MIN('Activities'!L626,186)-MAX('Activities'!K626,180))</x:f>
        <x:v>0</x:v>
      </x:c>
      <x:c r="AJ626" s="22" t="n">
        <x:f>MAX(0,MIN('Activities'!L626,192)-MAX('Activities'!K626,186))</x:f>
        <x:v>0</x:v>
      </x:c>
      <x:c r="AK626" s="22" t="n">
        <x:f>MAX(0,MIN('Activities'!L626,198)-MAX('Activities'!K626,192))</x:f>
        <x:v>0</x:v>
      </x:c>
      <x:c r="AL626" s="22" t="n">
        <x:f>MAX(0,MIN('Activities'!L626,204)-MAX('Activities'!K626,198))</x:f>
        <x:v>0</x:v>
      </x:c>
      <x:c r="AM626" s="22" t="n">
        <x:f>MAX(0,MIN('Activities'!L626,210)-MAX('Activities'!K626,204))</x:f>
        <x:v>0</x:v>
      </x:c>
      <x:c r="AN626" s="22" t="n">
        <x:f>MAX(0,MIN('Activities'!L626,216)-MAX('Activities'!K626,210))</x:f>
        <x:v>0</x:v>
      </x:c>
      <x:c r="AO626" s="22" t="n">
        <x:f>MAX(0,MIN('Activities'!L626,222)-MAX('Activities'!K626,216))</x:f>
        <x:v>0</x:v>
      </x:c>
      <x:c r="AP626" s="22" t="n">
        <x:f>MAX(0,MIN('Activities'!L626,228)-MAX('Activities'!K626,222))</x:f>
        <x:v>0</x:v>
      </x:c>
      <x:c r="AQ626" s="22" t="n">
        <x:f>MAX(0,MIN('Activities'!L626,234)-MAX('Activities'!K626,228))</x:f>
        <x:v>0</x:v>
      </x:c>
      <x:c r="AR626" s="22" t="n">
        <x:f>MAX(0,MIN('Activities'!L626,240)-MAX('Activities'!K626,234))</x:f>
        <x:v>0</x:v>
      </x:c>
      <x:c r="AS626" s="22" t="n">
        <x:f>MAX(0,MIN('Activities'!L626,246)-MAX('Activities'!K626,240))</x:f>
        <x:v>0</x:v>
      </x:c>
      <x:c r="AT626" s="22" t="n">
        <x:f>MAX(0,MIN('Activities'!L626,252)-MAX('Activities'!K626,246))</x:f>
        <x:v>0</x:v>
      </x:c>
      <x:c r="AU626" s="22" t="n">
        <x:f>MAX(0,MIN('Activities'!L626,258)-MAX('Activities'!K626,252))</x:f>
        <x:v>0</x:v>
      </x:c>
      <x:c r="AV626" s="22" t="n">
        <x:f>MAX(0,MIN('Activities'!L626,264)-MAX('Activities'!K626,258))</x:f>
        <x:v>0</x:v>
      </x:c>
      <x:c r="AW626" s="22" t="n">
        <x:f>MAX(0,MIN('Activities'!L626,270)-MAX('Activities'!K626,264))</x:f>
        <x:v>0</x:v>
      </x:c>
      <x:c r="AX626" s="22" t="n">
        <x:f>MAX(0,MIN('Activities'!L626,276)-MAX('Activities'!K626,270))</x:f>
        <x:v>0</x:v>
      </x:c>
      <x:c r="AY626" s="22" t="n">
        <x:f>MAX(0,MIN('Activities'!L626,282)-MAX('Activities'!K626,276))</x:f>
        <x:v>0</x:v>
      </x:c>
      <x:c r="AZ626" s="22" t="n">
        <x:f>MAX(0,MIN('Activities'!L626,288)-MAX('Activities'!K626,282))</x:f>
        <x:v>0</x:v>
      </x:c>
      <x:c r="BA626" s="22" t="n">
        <x:f>MAX(0,MIN('Activities'!L626,294)-MAX('Activities'!K626,288))</x:f>
        <x:v>0</x:v>
      </x:c>
      <x:c r="BB626" s="22" t="n">
        <x:f>MAX(0,MIN('Activities'!L626,300)-MAX('Activities'!K626,294))</x:f>
        <x:v>0</x:v>
      </x:c>
      <x:c r="BC626" s="22" t="n">
        <x:f>MAX(0,MIN('Activities'!L626,306)-MAX('Activities'!K626,300))</x:f>
        <x:v>0</x:v>
      </x:c>
      <x:c r="BD626" s="22" t="n">
        <x:f>MAX(0,MIN('Activities'!L626,312)-MAX('Activities'!K626,306))</x:f>
        <x:v>0</x:v>
      </x:c>
      <x:c r="BE626" s="22" t="n">
        <x:f>MAX(0,MIN('Activities'!L626,318)-MAX('Activities'!K626,312))</x:f>
        <x:v>0</x:v>
      </x:c>
      <x:c r="BF626" s="22" t="n">
        <x:f>MAX(0,MIN('Activities'!L626,324)-MAX('Activities'!K626,318))</x:f>
        <x:v>0</x:v>
      </x:c>
      <x:c r="BG626" s="22" t="n">
        <x:f>MAX(0,MIN('Activities'!L626,330)-MAX('Activities'!K626,324))</x:f>
        <x:v>0</x:v>
      </x:c>
      <x:c r="BH626" s="22" t="n">
        <x:f>MAX(0,MIN('Activities'!L626,336)-MAX('Activities'!K626,330))</x:f>
        <x:v>0</x:v>
      </x:c>
      <x:c r="BI626" s="22" t="n">
        <x:f>MAX(0,MIN('Activities'!L626,342)-MAX('Activities'!K626,336))</x:f>
        <x:v>0</x:v>
      </x:c>
      <x:c r="BJ626" s="22" t="n">
        <x:f>MAX(0,MIN('Activities'!L626,348)-MAX('Activities'!K626,342))</x:f>
        <x:v>0</x:v>
      </x:c>
      <x:c r="BK626" s="22" t="n">
        <x:f>MAX(0,MIN('Activities'!L626,354)-MAX('Activities'!K626,348))</x:f>
        <x:v>0</x:v>
      </x:c>
      <x:c r="BL626" s="22" t="n">
        <x:f>MAX(0,MIN('Activities'!L626,360)-MAX('Activities'!K626,354))</x:f>
        <x:v>0</x:v>
      </x:c>
      <x:c r="BM626" s="22" t="n">
        <x:f>MAX(0,MIN('Activities'!L626,366)-MAX('Activities'!K626,360))</x:f>
        <x:v>0</x:v>
      </x:c>
      <x:c r="BN626" s="22" t="n">
        <x:f>MAX(0,MIN('Activities'!L626,372)-MAX('Activities'!K626,366))</x:f>
        <x:v>0</x:v>
      </x:c>
      <x:c r="BO626" s="22" t="n">
        <x:f>MAX(0,MIN('Activities'!L626,378)-MAX('Activities'!K626,372))</x:f>
        <x:v>0</x:v>
      </x:c>
      <x:c r="BP626" s="22" t="n">
        <x:f>MAX(0,MIN('Activities'!L626,384)-MAX('Activities'!K626,378))</x:f>
        <x:v>0</x:v>
      </x:c>
      <x:c r="BQ626" s="22" t="n">
        <x:f>MAX(0,MIN('Activities'!L626,390)-MAX('Activities'!K626,384))</x:f>
        <x:v>0</x:v>
      </x:c>
      <x:c r="BR626" s="22" t="n">
        <x:f>MAX(0,MIN('Activities'!L626,396)-MAX('Activities'!K626,390))</x:f>
        <x:v>0</x:v>
      </x:c>
      <x:c r="BS626" s="22" t="n">
        <x:f>MAX(0,MIN('Activities'!L626,402)-MAX('Activities'!K626,396))</x:f>
        <x:v>0</x:v>
      </x:c>
      <x:c r="BT626" s="22" t="n">
        <x:f>MAX(0,MIN('Activities'!L626,408)-MAX('Activities'!K626,402))</x:f>
        <x:v>0</x:v>
      </x:c>
      <x:c r="BU626" s="22" t="n">
        <x:f>MAX(0,MIN('Activities'!L626,414)-MAX('Activities'!K626,408))</x:f>
        <x:v>0</x:v>
      </x:c>
      <x:c r="BV626" s="22" t="n">
        <x:f>MAX(0,MIN('Activities'!L626,420)-MAX('Activities'!K626,414))</x:f>
        <x:v>0</x:v>
      </x:c>
      <x:c r="BW626" s="22" t="n">
        <x:f>MAX(0,MIN('Activities'!L626,426)-MAX('Activities'!K626,420))</x:f>
        <x:v>0</x:v>
      </x:c>
      <x:c r="BX626" s="22" t="n">
        <x:f>MAX(0,MIN('Activities'!L626,432)-MAX('Activities'!K626,426))</x:f>
        <x:v>0</x:v>
      </x:c>
      <x:c r="BY626" s="22" t="n">
        <x:f>MAX(0,MIN('Activities'!L626,438)-MAX('Activities'!K626,432))</x:f>
        <x:v>0</x:v>
      </x:c>
      <x:c r="BZ626" s="22" t="n">
        <x:f>MAX(0,MIN('Activities'!L626,444)-MAX('Activities'!K626,438))</x:f>
        <x:v>0</x:v>
      </x:c>
      <x:c r="CA626" s="22" t="n">
        <x:f>MAX(0,MIN('Activities'!L626,450)-MAX('Activities'!K626,444))</x:f>
        <x:v>0</x:v>
      </x:c>
      <x:c r="CB626" s="22" t="n">
        <x:f>MAX(0,MIN('Activities'!L626,456)-MAX('Activities'!K626,450))</x:f>
        <x:v>0</x:v>
      </x:c>
      <x:c r="CC626" s="22" t="n">
        <x:f>MAX(0,MIN('Activities'!L626,462)-MAX('Activities'!K626,456))</x:f>
        <x:v>0</x:v>
      </x:c>
      <x:c r="CD626" s="22" t="n">
        <x:f>MAX(0,MIN('Activities'!L626,468)-MAX('Activities'!K626,462))</x:f>
        <x:v>3</x:v>
      </x:c>
      <x:c r="CE626" s="22" t="n">
        <x:f>MAX(0,MIN('Activities'!L626,474)-MAX('Activities'!K626,468))</x:f>
        <x:v>0</x:v>
      </x:c>
      <x:c r="CF626" s="22" t="n">
        <x:f>MAX(0,MIN('Activities'!L626,480)-MAX('Activities'!K626,474))</x:f>
        <x:v>0</x:v>
      </x:c>
      <x:c r="CG626" s="22" t="n">
        <x:f>MAX(0,MIN('Activities'!L626,486)-MAX('Activities'!K626,480))</x:f>
        <x:v>0</x:v>
      </x:c>
      <x:c r="CH626" s="22" t="n">
        <x:f>MAX(0,MIN('Activities'!L626,492)-MAX('Activities'!K626,486))</x:f>
        <x:v>0</x:v>
      </x:c>
      <x:c r="CI626" s="22" t="n">
        <x:f>MAX(0,MIN('Activities'!L626,498)-MAX('Activities'!K626,492))</x:f>
        <x:v>0</x:v>
      </x:c>
      <x:c r="CJ626" s="22" t="n">
        <x:f>MAX(0,MIN('Activities'!L626,504)-MAX('Activities'!K626,498))</x:f>
        <x:v>0</x:v>
      </x:c>
      <x:c r="CK626" s="22" t="n">
        <x:f>MAX(0,MIN('Activities'!L626,510)-MAX('Activities'!K626,504))</x:f>
        <x:v>0</x:v>
      </x:c>
      <x:c r="CL626" s="22" t="n">
        <x:f>MAX(0,MIN('Activities'!L626,516)-MAX('Activities'!K626,510))</x:f>
        <x:v>0</x:v>
      </x:c>
      <x:c r="CM626" s="22" t="n">
        <x:f>MAX(0,MIN('Activities'!L626,522)-MAX('Activities'!K626,516))</x:f>
        <x:v>0</x:v>
      </x:c>
      <x:c r="CN626" s="22" t="n">
        <x:f>MAX(0,MIN('Activities'!L626,528)-MAX('Activities'!K626,522))</x:f>
        <x:v>0</x:v>
      </x:c>
      <x:c r="CO626" s="22" t="n">
        <x:f>MAX(0,MIN('Activities'!L626,534)-MAX('Activities'!K626,528))</x:f>
        <x:v>0</x:v>
      </x:c>
      <x:c r="CP626" s="22" t="n">
        <x:f>MAX(0,MIN('Activities'!L626,540)-MAX('Activities'!K626,534))</x:f>
        <x:v>0</x:v>
      </x:c>
      <x:c r="CQ626" s="22" t="n">
        <x:f>MAX(0,MIN('Activities'!L626,546)-MAX('Activities'!K626,540))</x:f>
        <x:v>0</x:v>
      </x:c>
      <x:c r="CR626" s="22" t="n">
        <x:f>MAX(0,MIN('Activities'!L626,552)-MAX('Activities'!K626,546))</x:f>
        <x:v>0</x:v>
      </x:c>
      <x:c r="CS626" s="22" t="n">
        <x:f>MAX(0,MIN('Activities'!L626,558)-MAX('Activities'!K626,552))</x:f>
        <x:v>0</x:v>
      </x:c>
      <x:c r="CT626" s="22" t="n">
        <x:f>MAX(0,MIN('Activities'!L626,564)-MAX('Activities'!K626,558))</x:f>
        <x:v>0</x:v>
      </x:c>
      <x:c r="CU626" s="22" t="n">
        <x:f>MAX(0,MIN('Activities'!L626,570)-MAX('Activities'!K626,564))</x:f>
        <x:v>0</x:v>
      </x:c>
      <x:c r="CV626" s="22" t="n">
        <x:f>MAX(0,MIN('Activities'!L626,576)-MAX('Activities'!K626,570))</x:f>
        <x:v>0</x:v>
      </x:c>
      <x:c r="CW626" s="22" t="n">
        <x:f>MAX(0,MIN('Activities'!L626,582)-MAX('Activities'!K626,576))</x:f>
        <x:v>0</x:v>
      </x:c>
      <x:c r="CX626" s="22" t="n">
        <x:f>MAX(0,MIN('Activities'!L626,588)-MAX('Activities'!K626,582))</x:f>
        <x:v>0</x:v>
      </x:c>
      <x:c r="CY626" s="22" t="n">
        <x:f>MAX(0,MIN('Activities'!L626,594)-MAX('Activities'!K626,588))</x:f>
        <x:v>0</x:v>
      </x:c>
      <x:c r="CZ626" s="22" t="n">
        <x:f>MAX(0,MIN('Activities'!L626,600)-MAX('Activities'!K626,594))</x:f>
        <x:v>0</x:v>
      </x:c>
      <x:c r="DA626" s="22" t="n">
        <x:f>MAX(0,MIN('Activities'!L626,606)-MAX('Activities'!K626,600))</x:f>
        <x:v>0</x:v>
      </x:c>
      <x:c r="DB626" s="22" t="n">
        <x:f>MAX(0,MIN('Activities'!L626,612)-MAX('Activities'!K626,606))</x:f>
        <x:v>0</x:v>
      </x:c>
      <x:c r="DC626" s="22" t="n">
        <x:f>MAX(0,MIN('Activities'!L626,618)-MAX('Activities'!K626,612))</x:f>
        <x:v>0</x:v>
      </x:c>
      <x:c r="DD626" s="22" t="n">
        <x:f>MAX(0,MIN('Activities'!L626,624)-MAX('Activities'!K626,618))</x:f>
        <x:v>0</x:v>
      </x:c>
      <x:c r="DE626" s="22" t="n">
        <x:f>MAX(0,MIN('Activities'!L626,630)-MAX('Activities'!K626,624))</x:f>
        <x:v>0</x:v>
      </x:c>
      <x:c r="DF626" s="22" t="n">
        <x:f>MAX(0,MIN('Activities'!L626,636)-MAX('Activities'!K626,630))</x:f>
        <x:v>0</x:v>
      </x:c>
    </x:row>
    <x:row r="627" ht="23" customHeight="1">
      <x:c r="A627" s="1" t="str">
        <x:v>T5-L04-M</x:v>
      </x:c>
      <x:c r="B627" s="1" t="str">
        <x:v>T5</x:v>
      </x:c>
      <x:c r="C627" s="1" t="str">
        <x:v>Partition masonry</x:v>
      </x:c>
      <x:c r="D627" s="1" t="str">
        <x:v>Masonry</x:v>
      </x:c>
      <x:c r="E627" s="23" t="n">
        <x:f>MAX(0,MIN('Activities'!L627,6)-MAX('Activities'!K627,0))</x:f>
        <x:v>0</x:v>
      </x:c>
      <x:c r="F627" s="23" t="n">
        <x:f>MAX(0,MIN('Activities'!L627,12)-MAX('Activities'!K627,6))</x:f>
        <x:v>0</x:v>
      </x:c>
      <x:c r="G627" s="23" t="n">
        <x:f>MAX(0,MIN('Activities'!L627,18)-MAX('Activities'!K627,12))</x:f>
        <x:v>0</x:v>
      </x:c>
      <x:c r="H627" s="23" t="n">
        <x:f>MAX(0,MIN('Activities'!L627,24)-MAX('Activities'!K627,18))</x:f>
        <x:v>0</x:v>
      </x:c>
      <x:c r="I627" s="23" t="n">
        <x:f>MAX(0,MIN('Activities'!L627,30)-MAX('Activities'!K627,24))</x:f>
        <x:v>0</x:v>
      </x:c>
      <x:c r="J627" s="23" t="n">
        <x:f>MAX(0,MIN('Activities'!L627,36)-MAX('Activities'!K627,30))</x:f>
        <x:v>0</x:v>
      </x:c>
      <x:c r="K627" s="23" t="n">
        <x:f>MAX(0,MIN('Activities'!L627,42)-MAX('Activities'!K627,36))</x:f>
        <x:v>0</x:v>
      </x:c>
      <x:c r="L627" s="23" t="n">
        <x:f>MAX(0,MIN('Activities'!L627,48)-MAX('Activities'!K627,42))</x:f>
        <x:v>0</x:v>
      </x:c>
      <x:c r="M627" s="23" t="n">
        <x:f>MAX(0,MIN('Activities'!L627,54)-MAX('Activities'!K627,48))</x:f>
        <x:v>0</x:v>
      </x:c>
      <x:c r="N627" s="23" t="n">
        <x:f>MAX(0,MIN('Activities'!L627,60)-MAX('Activities'!K627,54))</x:f>
        <x:v>0</x:v>
      </x:c>
      <x:c r="O627" s="23" t="n">
        <x:f>MAX(0,MIN('Activities'!L627,66)-MAX('Activities'!K627,60))</x:f>
        <x:v>0</x:v>
      </x:c>
      <x:c r="P627" s="23" t="n">
        <x:f>MAX(0,MIN('Activities'!L627,72)-MAX('Activities'!K627,66))</x:f>
        <x:v>0</x:v>
      </x:c>
      <x:c r="Q627" s="23" t="n">
        <x:f>MAX(0,MIN('Activities'!L627,78)-MAX('Activities'!K627,72))</x:f>
        <x:v>0</x:v>
      </x:c>
      <x:c r="R627" s="23" t="n">
        <x:f>MAX(0,MIN('Activities'!L627,84)-MAX('Activities'!K627,78))</x:f>
        <x:v>0</x:v>
      </x:c>
      <x:c r="S627" s="23" t="n">
        <x:f>MAX(0,MIN('Activities'!L627,90)-MAX('Activities'!K627,84))</x:f>
        <x:v>0</x:v>
      </x:c>
      <x:c r="T627" s="23" t="n">
        <x:f>MAX(0,MIN('Activities'!L627,96)-MAX('Activities'!K627,90))</x:f>
        <x:v>0</x:v>
      </x:c>
      <x:c r="U627" s="23" t="n">
        <x:f>MAX(0,MIN('Activities'!L627,102)-MAX('Activities'!K627,96))</x:f>
        <x:v>0</x:v>
      </x:c>
      <x:c r="V627" s="23" t="n">
        <x:f>MAX(0,MIN('Activities'!L627,108)-MAX('Activities'!K627,102))</x:f>
        <x:v>0</x:v>
      </x:c>
      <x:c r="W627" s="23" t="n">
        <x:f>MAX(0,MIN('Activities'!L627,114)-MAX('Activities'!K627,108))</x:f>
        <x:v>0</x:v>
      </x:c>
      <x:c r="X627" s="23" t="n">
        <x:f>MAX(0,MIN('Activities'!L627,120)-MAX('Activities'!K627,114))</x:f>
        <x:v>0</x:v>
      </x:c>
      <x:c r="Y627" s="23" t="n">
        <x:f>MAX(0,MIN('Activities'!L627,126)-MAX('Activities'!K627,120))</x:f>
        <x:v>0</x:v>
      </x:c>
      <x:c r="Z627" s="23" t="n">
        <x:f>MAX(0,MIN('Activities'!L627,132)-MAX('Activities'!K627,126))</x:f>
        <x:v>0</x:v>
      </x:c>
      <x:c r="AA627" s="23" t="n">
        <x:f>MAX(0,MIN('Activities'!L627,138)-MAX('Activities'!K627,132))</x:f>
        <x:v>0</x:v>
      </x:c>
      <x:c r="AB627" s="23" t="n">
        <x:f>MAX(0,MIN('Activities'!L627,144)-MAX('Activities'!K627,138))</x:f>
        <x:v>0</x:v>
      </x:c>
      <x:c r="AC627" s="23" t="n">
        <x:f>MAX(0,MIN('Activities'!L627,150)-MAX('Activities'!K627,144))</x:f>
        <x:v>0</x:v>
      </x:c>
      <x:c r="AD627" s="23" t="n">
        <x:f>MAX(0,MIN('Activities'!L627,156)-MAX('Activities'!K627,150))</x:f>
        <x:v>0</x:v>
      </x:c>
      <x:c r="AE627" s="23" t="n">
        <x:f>MAX(0,MIN('Activities'!L627,162)-MAX('Activities'!K627,156))</x:f>
        <x:v>0</x:v>
      </x:c>
      <x:c r="AF627" s="23" t="n">
        <x:f>MAX(0,MIN('Activities'!L627,168)-MAX('Activities'!K627,162))</x:f>
        <x:v>0</x:v>
      </x:c>
      <x:c r="AG627" s="23" t="n">
        <x:f>MAX(0,MIN('Activities'!L627,174)-MAX('Activities'!K627,168))</x:f>
        <x:v>0</x:v>
      </x:c>
      <x:c r="AH627" s="23" t="n">
        <x:f>MAX(0,MIN('Activities'!L627,180)-MAX('Activities'!K627,174))</x:f>
        <x:v>0</x:v>
      </x:c>
      <x:c r="AI627" s="23" t="n">
        <x:f>MAX(0,MIN('Activities'!L627,186)-MAX('Activities'!K627,180))</x:f>
        <x:v>0</x:v>
      </x:c>
      <x:c r="AJ627" s="23" t="n">
        <x:f>MAX(0,MIN('Activities'!L627,192)-MAX('Activities'!K627,186))</x:f>
        <x:v>0</x:v>
      </x:c>
      <x:c r="AK627" s="23" t="n">
        <x:f>MAX(0,MIN('Activities'!L627,198)-MAX('Activities'!K627,192))</x:f>
        <x:v>0</x:v>
      </x:c>
      <x:c r="AL627" s="23" t="n">
        <x:f>MAX(0,MIN('Activities'!L627,204)-MAX('Activities'!K627,198))</x:f>
        <x:v>0</x:v>
      </x:c>
      <x:c r="AM627" s="23" t="n">
        <x:f>MAX(0,MIN('Activities'!L627,210)-MAX('Activities'!K627,204))</x:f>
        <x:v>0</x:v>
      </x:c>
      <x:c r="AN627" s="23" t="n">
        <x:f>MAX(0,MIN('Activities'!L627,216)-MAX('Activities'!K627,210))</x:f>
        <x:v>0</x:v>
      </x:c>
      <x:c r="AO627" s="23" t="n">
        <x:f>MAX(0,MIN('Activities'!L627,222)-MAX('Activities'!K627,216))</x:f>
        <x:v>0</x:v>
      </x:c>
      <x:c r="AP627" s="23" t="n">
        <x:f>MAX(0,MIN('Activities'!L627,228)-MAX('Activities'!K627,222))</x:f>
        <x:v>0</x:v>
      </x:c>
      <x:c r="AQ627" s="23" t="n">
        <x:f>MAX(0,MIN('Activities'!L627,234)-MAX('Activities'!K627,228))</x:f>
        <x:v>0</x:v>
      </x:c>
      <x:c r="AR627" s="23" t="n">
        <x:f>MAX(0,MIN('Activities'!L627,240)-MAX('Activities'!K627,234))</x:f>
        <x:v>0</x:v>
      </x:c>
      <x:c r="AS627" s="23" t="n">
        <x:f>MAX(0,MIN('Activities'!L627,246)-MAX('Activities'!K627,240))</x:f>
        <x:v>0</x:v>
      </x:c>
      <x:c r="AT627" s="23" t="n">
        <x:f>MAX(0,MIN('Activities'!L627,252)-MAX('Activities'!K627,246))</x:f>
        <x:v>0</x:v>
      </x:c>
      <x:c r="AU627" s="23" t="n">
        <x:f>MAX(0,MIN('Activities'!L627,258)-MAX('Activities'!K627,252))</x:f>
        <x:v>0</x:v>
      </x:c>
      <x:c r="AV627" s="23" t="n">
        <x:f>MAX(0,MIN('Activities'!L627,264)-MAX('Activities'!K627,258))</x:f>
        <x:v>0</x:v>
      </x:c>
      <x:c r="AW627" s="23" t="n">
        <x:f>MAX(0,MIN('Activities'!L627,270)-MAX('Activities'!K627,264))</x:f>
        <x:v>0</x:v>
      </x:c>
      <x:c r="AX627" s="23" t="n">
        <x:f>MAX(0,MIN('Activities'!L627,276)-MAX('Activities'!K627,270))</x:f>
        <x:v>0</x:v>
      </x:c>
      <x:c r="AY627" s="23" t="n">
        <x:f>MAX(0,MIN('Activities'!L627,282)-MAX('Activities'!K627,276))</x:f>
        <x:v>0</x:v>
      </x:c>
      <x:c r="AZ627" s="23" t="n">
        <x:f>MAX(0,MIN('Activities'!L627,288)-MAX('Activities'!K627,282))</x:f>
        <x:v>0</x:v>
      </x:c>
      <x:c r="BA627" s="23" t="n">
        <x:f>MAX(0,MIN('Activities'!L627,294)-MAX('Activities'!K627,288))</x:f>
        <x:v>0</x:v>
      </x:c>
      <x:c r="BB627" s="23" t="n">
        <x:f>MAX(0,MIN('Activities'!L627,300)-MAX('Activities'!K627,294))</x:f>
        <x:v>0</x:v>
      </x:c>
      <x:c r="BC627" s="23" t="n">
        <x:f>MAX(0,MIN('Activities'!L627,306)-MAX('Activities'!K627,300))</x:f>
        <x:v>0</x:v>
      </x:c>
      <x:c r="BD627" s="23" t="n">
        <x:f>MAX(0,MIN('Activities'!L627,312)-MAX('Activities'!K627,306))</x:f>
        <x:v>0</x:v>
      </x:c>
      <x:c r="BE627" s="23" t="n">
        <x:f>MAX(0,MIN('Activities'!L627,318)-MAX('Activities'!K627,312))</x:f>
        <x:v>0</x:v>
      </x:c>
      <x:c r="BF627" s="23" t="n">
        <x:f>MAX(0,MIN('Activities'!L627,324)-MAX('Activities'!K627,318))</x:f>
        <x:v>0</x:v>
      </x:c>
      <x:c r="BG627" s="23" t="n">
        <x:f>MAX(0,MIN('Activities'!L627,330)-MAX('Activities'!K627,324))</x:f>
        <x:v>0</x:v>
      </x:c>
      <x:c r="BH627" s="23" t="n">
        <x:f>MAX(0,MIN('Activities'!L627,336)-MAX('Activities'!K627,330))</x:f>
        <x:v>5</x:v>
      </x:c>
      <x:c r="BI627" s="23" t="n">
        <x:f>MAX(0,MIN('Activities'!L627,342)-MAX('Activities'!K627,336))</x:f>
        <x:v>0</x:v>
      </x:c>
      <x:c r="BJ627" s="23" t="n">
        <x:f>MAX(0,MIN('Activities'!L627,348)-MAX('Activities'!K627,342))</x:f>
        <x:v>0</x:v>
      </x:c>
      <x:c r="BK627" s="23" t="n">
        <x:f>MAX(0,MIN('Activities'!L627,354)-MAX('Activities'!K627,348))</x:f>
        <x:v>0</x:v>
      </x:c>
      <x:c r="BL627" s="23" t="n">
        <x:f>MAX(0,MIN('Activities'!L627,360)-MAX('Activities'!K627,354))</x:f>
        <x:v>0</x:v>
      </x:c>
      <x:c r="BM627" s="23" t="n">
        <x:f>MAX(0,MIN('Activities'!L627,366)-MAX('Activities'!K627,360))</x:f>
        <x:v>0</x:v>
      </x:c>
      <x:c r="BN627" s="23" t="n">
        <x:f>MAX(0,MIN('Activities'!L627,372)-MAX('Activities'!K627,366))</x:f>
        <x:v>0</x:v>
      </x:c>
      <x:c r="BO627" s="23" t="n">
        <x:f>MAX(0,MIN('Activities'!L627,378)-MAX('Activities'!K627,372))</x:f>
        <x:v>0</x:v>
      </x:c>
      <x:c r="BP627" s="23" t="n">
        <x:f>MAX(0,MIN('Activities'!L627,384)-MAX('Activities'!K627,378))</x:f>
        <x:v>0</x:v>
      </x:c>
      <x:c r="BQ627" s="23" t="n">
        <x:f>MAX(0,MIN('Activities'!L627,390)-MAX('Activities'!K627,384))</x:f>
        <x:v>0</x:v>
      </x:c>
      <x:c r="BR627" s="23" t="n">
        <x:f>MAX(0,MIN('Activities'!L627,396)-MAX('Activities'!K627,390))</x:f>
        <x:v>0</x:v>
      </x:c>
      <x:c r="BS627" s="23" t="n">
        <x:f>MAX(0,MIN('Activities'!L627,402)-MAX('Activities'!K627,396))</x:f>
        <x:v>0</x:v>
      </x:c>
      <x:c r="BT627" s="23" t="n">
        <x:f>MAX(0,MIN('Activities'!L627,408)-MAX('Activities'!K627,402))</x:f>
        <x:v>0</x:v>
      </x:c>
      <x:c r="BU627" s="23" t="n">
        <x:f>MAX(0,MIN('Activities'!L627,414)-MAX('Activities'!K627,408))</x:f>
        <x:v>0</x:v>
      </x:c>
      <x:c r="BV627" s="23" t="n">
        <x:f>MAX(0,MIN('Activities'!L627,420)-MAX('Activities'!K627,414))</x:f>
        <x:v>0</x:v>
      </x:c>
      <x:c r="BW627" s="23" t="n">
        <x:f>MAX(0,MIN('Activities'!L627,426)-MAX('Activities'!K627,420))</x:f>
        <x:v>0</x:v>
      </x:c>
      <x:c r="BX627" s="23" t="n">
        <x:f>MAX(0,MIN('Activities'!L627,432)-MAX('Activities'!K627,426))</x:f>
        <x:v>0</x:v>
      </x:c>
      <x:c r="BY627" s="23" t="n">
        <x:f>MAX(0,MIN('Activities'!L627,438)-MAX('Activities'!K627,432))</x:f>
        <x:v>0</x:v>
      </x:c>
      <x:c r="BZ627" s="23" t="n">
        <x:f>MAX(0,MIN('Activities'!L627,444)-MAX('Activities'!K627,438))</x:f>
        <x:v>0</x:v>
      </x:c>
      <x:c r="CA627" s="23" t="n">
        <x:f>MAX(0,MIN('Activities'!L627,450)-MAX('Activities'!K627,444))</x:f>
        <x:v>0</x:v>
      </x:c>
      <x:c r="CB627" s="23" t="n">
        <x:f>MAX(0,MIN('Activities'!L627,456)-MAX('Activities'!K627,450))</x:f>
        <x:v>0</x:v>
      </x:c>
      <x:c r="CC627" s="23" t="n">
        <x:f>MAX(0,MIN('Activities'!L627,462)-MAX('Activities'!K627,456))</x:f>
        <x:v>0</x:v>
      </x:c>
      <x:c r="CD627" s="23" t="n">
        <x:f>MAX(0,MIN('Activities'!L627,468)-MAX('Activities'!K627,462))</x:f>
        <x:v>0</x:v>
      </x:c>
      <x:c r="CE627" s="23" t="n">
        <x:f>MAX(0,MIN('Activities'!L627,474)-MAX('Activities'!K627,468))</x:f>
        <x:v>0</x:v>
      </x:c>
      <x:c r="CF627" s="23" t="n">
        <x:f>MAX(0,MIN('Activities'!L627,480)-MAX('Activities'!K627,474))</x:f>
        <x:v>0</x:v>
      </x:c>
      <x:c r="CG627" s="23" t="n">
        <x:f>MAX(0,MIN('Activities'!L627,486)-MAX('Activities'!K627,480))</x:f>
        <x:v>0</x:v>
      </x:c>
      <x:c r="CH627" s="23" t="n">
        <x:f>MAX(0,MIN('Activities'!L627,492)-MAX('Activities'!K627,486))</x:f>
        <x:v>0</x:v>
      </x:c>
      <x:c r="CI627" s="23" t="n">
        <x:f>MAX(0,MIN('Activities'!L627,498)-MAX('Activities'!K627,492))</x:f>
        <x:v>0</x:v>
      </x:c>
      <x:c r="CJ627" s="23" t="n">
        <x:f>MAX(0,MIN('Activities'!L627,504)-MAX('Activities'!K627,498))</x:f>
        <x:v>0</x:v>
      </x:c>
      <x:c r="CK627" s="23" t="n">
        <x:f>MAX(0,MIN('Activities'!L627,510)-MAX('Activities'!K627,504))</x:f>
        <x:v>0</x:v>
      </x:c>
      <x:c r="CL627" s="23" t="n">
        <x:f>MAX(0,MIN('Activities'!L627,516)-MAX('Activities'!K627,510))</x:f>
        <x:v>0</x:v>
      </x:c>
      <x:c r="CM627" s="23" t="n">
        <x:f>MAX(0,MIN('Activities'!L627,522)-MAX('Activities'!K627,516))</x:f>
        <x:v>0</x:v>
      </x:c>
      <x:c r="CN627" s="23" t="n">
        <x:f>MAX(0,MIN('Activities'!L627,528)-MAX('Activities'!K627,522))</x:f>
        <x:v>0</x:v>
      </x:c>
      <x:c r="CO627" s="23" t="n">
        <x:f>MAX(0,MIN('Activities'!L627,534)-MAX('Activities'!K627,528))</x:f>
        <x:v>0</x:v>
      </x:c>
      <x:c r="CP627" s="23" t="n">
        <x:f>MAX(0,MIN('Activities'!L627,540)-MAX('Activities'!K627,534))</x:f>
        <x:v>0</x:v>
      </x:c>
      <x:c r="CQ627" s="23" t="n">
        <x:f>MAX(0,MIN('Activities'!L627,546)-MAX('Activities'!K627,540))</x:f>
        <x:v>0</x:v>
      </x:c>
      <x:c r="CR627" s="23" t="n">
        <x:f>MAX(0,MIN('Activities'!L627,552)-MAX('Activities'!K627,546))</x:f>
        <x:v>0</x:v>
      </x:c>
      <x:c r="CS627" s="23" t="n">
        <x:f>MAX(0,MIN('Activities'!L627,558)-MAX('Activities'!K627,552))</x:f>
        <x:v>0</x:v>
      </x:c>
      <x:c r="CT627" s="23" t="n">
        <x:f>MAX(0,MIN('Activities'!L627,564)-MAX('Activities'!K627,558))</x:f>
        <x:v>0</x:v>
      </x:c>
      <x:c r="CU627" s="23" t="n">
        <x:f>MAX(0,MIN('Activities'!L627,570)-MAX('Activities'!K627,564))</x:f>
        <x:v>0</x:v>
      </x:c>
      <x:c r="CV627" s="23" t="n">
        <x:f>MAX(0,MIN('Activities'!L627,576)-MAX('Activities'!K627,570))</x:f>
        <x:v>0</x:v>
      </x:c>
      <x:c r="CW627" s="23" t="n">
        <x:f>MAX(0,MIN('Activities'!L627,582)-MAX('Activities'!K627,576))</x:f>
        <x:v>0</x:v>
      </x:c>
      <x:c r="CX627" s="23" t="n">
        <x:f>MAX(0,MIN('Activities'!L627,588)-MAX('Activities'!K627,582))</x:f>
        <x:v>0</x:v>
      </x:c>
      <x:c r="CY627" s="23" t="n">
        <x:f>MAX(0,MIN('Activities'!L627,594)-MAX('Activities'!K627,588))</x:f>
        <x:v>0</x:v>
      </x:c>
      <x:c r="CZ627" s="23" t="n">
        <x:f>MAX(0,MIN('Activities'!L627,600)-MAX('Activities'!K627,594))</x:f>
        <x:v>0</x:v>
      </x:c>
      <x:c r="DA627" s="23" t="n">
        <x:f>MAX(0,MIN('Activities'!L627,606)-MAX('Activities'!K627,600))</x:f>
        <x:v>0</x:v>
      </x:c>
      <x:c r="DB627" s="23" t="n">
        <x:f>MAX(0,MIN('Activities'!L627,612)-MAX('Activities'!K627,606))</x:f>
        <x:v>0</x:v>
      </x:c>
      <x:c r="DC627" s="23" t="n">
        <x:f>MAX(0,MIN('Activities'!L627,618)-MAX('Activities'!K627,612))</x:f>
        <x:v>0</x:v>
      </x:c>
      <x:c r="DD627" s="23" t="n">
        <x:f>MAX(0,MIN('Activities'!L627,624)-MAX('Activities'!K627,618))</x:f>
        <x:v>0</x:v>
      </x:c>
      <x:c r="DE627" s="23" t="n">
        <x:f>MAX(0,MIN('Activities'!L627,630)-MAX('Activities'!K627,624))</x:f>
        <x:v>0</x:v>
      </x:c>
      <x:c r="DF627" s="23" t="n">
        <x:f>MAX(0,MIN('Activities'!L627,636)-MAX('Activities'!K627,630))</x:f>
        <x:v>0</x:v>
      </x:c>
    </x:row>
    <x:row r="628" ht="23" customHeight="1">
      <x:c r="A628" s="6" t="str">
        <x:v>T5-L04-P</x:v>
      </x:c>
      <x:c r="B628" s="6" t="str">
        <x:v>T5</x:v>
      </x:c>
      <x:c r="C628" s="6" t="str">
        <x:v>Internal plaster</x:v>
      </x:c>
      <x:c r="D628" s="6" t="str">
        <x:v>Finishes</x:v>
      </x:c>
      <x:c r="E628" s="22" t="n">
        <x:f>MAX(0,MIN('Activities'!L628,6)-MAX('Activities'!K628,0))</x:f>
        <x:v>0</x:v>
      </x:c>
      <x:c r="F628" s="22" t="n">
        <x:f>MAX(0,MIN('Activities'!L628,12)-MAX('Activities'!K628,6))</x:f>
        <x:v>0</x:v>
      </x:c>
      <x:c r="G628" s="22" t="n">
        <x:f>MAX(0,MIN('Activities'!L628,18)-MAX('Activities'!K628,12))</x:f>
        <x:v>0</x:v>
      </x:c>
      <x:c r="H628" s="22" t="n">
        <x:f>MAX(0,MIN('Activities'!L628,24)-MAX('Activities'!K628,18))</x:f>
        <x:v>0</x:v>
      </x:c>
      <x:c r="I628" s="22" t="n">
        <x:f>MAX(0,MIN('Activities'!L628,30)-MAX('Activities'!K628,24))</x:f>
        <x:v>0</x:v>
      </x:c>
      <x:c r="J628" s="22" t="n">
        <x:f>MAX(0,MIN('Activities'!L628,36)-MAX('Activities'!K628,30))</x:f>
        <x:v>0</x:v>
      </x:c>
      <x:c r="K628" s="22" t="n">
        <x:f>MAX(0,MIN('Activities'!L628,42)-MAX('Activities'!K628,36))</x:f>
        <x:v>0</x:v>
      </x:c>
      <x:c r="L628" s="22" t="n">
        <x:f>MAX(0,MIN('Activities'!L628,48)-MAX('Activities'!K628,42))</x:f>
        <x:v>0</x:v>
      </x:c>
      <x:c r="M628" s="22" t="n">
        <x:f>MAX(0,MIN('Activities'!L628,54)-MAX('Activities'!K628,48))</x:f>
        <x:v>0</x:v>
      </x:c>
      <x:c r="N628" s="22" t="n">
        <x:f>MAX(0,MIN('Activities'!L628,60)-MAX('Activities'!K628,54))</x:f>
        <x:v>0</x:v>
      </x:c>
      <x:c r="O628" s="22" t="n">
        <x:f>MAX(0,MIN('Activities'!L628,66)-MAX('Activities'!K628,60))</x:f>
        <x:v>0</x:v>
      </x:c>
      <x:c r="P628" s="22" t="n">
        <x:f>MAX(0,MIN('Activities'!L628,72)-MAX('Activities'!K628,66))</x:f>
        <x:v>0</x:v>
      </x:c>
      <x:c r="Q628" s="22" t="n">
        <x:f>MAX(0,MIN('Activities'!L628,78)-MAX('Activities'!K628,72))</x:f>
        <x:v>0</x:v>
      </x:c>
      <x:c r="R628" s="22" t="n">
        <x:f>MAX(0,MIN('Activities'!L628,84)-MAX('Activities'!K628,78))</x:f>
        <x:v>0</x:v>
      </x:c>
      <x:c r="S628" s="22" t="n">
        <x:f>MAX(0,MIN('Activities'!L628,90)-MAX('Activities'!K628,84))</x:f>
        <x:v>0</x:v>
      </x:c>
      <x:c r="T628" s="22" t="n">
        <x:f>MAX(0,MIN('Activities'!L628,96)-MAX('Activities'!K628,90))</x:f>
        <x:v>0</x:v>
      </x:c>
      <x:c r="U628" s="22" t="n">
        <x:f>MAX(0,MIN('Activities'!L628,102)-MAX('Activities'!K628,96))</x:f>
        <x:v>0</x:v>
      </x:c>
      <x:c r="V628" s="22" t="n">
        <x:f>MAX(0,MIN('Activities'!L628,108)-MAX('Activities'!K628,102))</x:f>
        <x:v>0</x:v>
      </x:c>
      <x:c r="W628" s="22" t="n">
        <x:f>MAX(0,MIN('Activities'!L628,114)-MAX('Activities'!K628,108))</x:f>
        <x:v>0</x:v>
      </x:c>
      <x:c r="X628" s="22" t="n">
        <x:f>MAX(0,MIN('Activities'!L628,120)-MAX('Activities'!K628,114))</x:f>
        <x:v>0</x:v>
      </x:c>
      <x:c r="Y628" s="22" t="n">
        <x:f>MAX(0,MIN('Activities'!L628,126)-MAX('Activities'!K628,120))</x:f>
        <x:v>0</x:v>
      </x:c>
      <x:c r="Z628" s="22" t="n">
        <x:f>MAX(0,MIN('Activities'!L628,132)-MAX('Activities'!K628,126))</x:f>
        <x:v>0</x:v>
      </x:c>
      <x:c r="AA628" s="22" t="n">
        <x:f>MAX(0,MIN('Activities'!L628,138)-MAX('Activities'!K628,132))</x:f>
        <x:v>0</x:v>
      </x:c>
      <x:c r="AB628" s="22" t="n">
        <x:f>MAX(0,MIN('Activities'!L628,144)-MAX('Activities'!K628,138))</x:f>
        <x:v>0</x:v>
      </x:c>
      <x:c r="AC628" s="22" t="n">
        <x:f>MAX(0,MIN('Activities'!L628,150)-MAX('Activities'!K628,144))</x:f>
        <x:v>0</x:v>
      </x:c>
      <x:c r="AD628" s="22" t="n">
        <x:f>MAX(0,MIN('Activities'!L628,156)-MAX('Activities'!K628,150))</x:f>
        <x:v>0</x:v>
      </x:c>
      <x:c r="AE628" s="22" t="n">
        <x:f>MAX(0,MIN('Activities'!L628,162)-MAX('Activities'!K628,156))</x:f>
        <x:v>0</x:v>
      </x:c>
      <x:c r="AF628" s="22" t="n">
        <x:f>MAX(0,MIN('Activities'!L628,168)-MAX('Activities'!K628,162))</x:f>
        <x:v>0</x:v>
      </x:c>
      <x:c r="AG628" s="22" t="n">
        <x:f>MAX(0,MIN('Activities'!L628,174)-MAX('Activities'!K628,168))</x:f>
        <x:v>0</x:v>
      </x:c>
      <x:c r="AH628" s="22" t="n">
        <x:f>MAX(0,MIN('Activities'!L628,180)-MAX('Activities'!K628,174))</x:f>
        <x:v>0</x:v>
      </x:c>
      <x:c r="AI628" s="22" t="n">
        <x:f>MAX(0,MIN('Activities'!L628,186)-MAX('Activities'!K628,180))</x:f>
        <x:v>0</x:v>
      </x:c>
      <x:c r="AJ628" s="22" t="n">
        <x:f>MAX(0,MIN('Activities'!L628,192)-MAX('Activities'!K628,186))</x:f>
        <x:v>0</x:v>
      </x:c>
      <x:c r="AK628" s="22" t="n">
        <x:f>MAX(0,MIN('Activities'!L628,198)-MAX('Activities'!K628,192))</x:f>
        <x:v>0</x:v>
      </x:c>
      <x:c r="AL628" s="22" t="n">
        <x:f>MAX(0,MIN('Activities'!L628,204)-MAX('Activities'!K628,198))</x:f>
        <x:v>0</x:v>
      </x:c>
      <x:c r="AM628" s="22" t="n">
        <x:f>MAX(0,MIN('Activities'!L628,210)-MAX('Activities'!K628,204))</x:f>
        <x:v>0</x:v>
      </x:c>
      <x:c r="AN628" s="22" t="n">
        <x:f>MAX(0,MIN('Activities'!L628,216)-MAX('Activities'!K628,210))</x:f>
        <x:v>0</x:v>
      </x:c>
      <x:c r="AO628" s="22" t="n">
        <x:f>MAX(0,MIN('Activities'!L628,222)-MAX('Activities'!K628,216))</x:f>
        <x:v>0</x:v>
      </x:c>
      <x:c r="AP628" s="22" t="n">
        <x:f>MAX(0,MIN('Activities'!L628,228)-MAX('Activities'!K628,222))</x:f>
        <x:v>0</x:v>
      </x:c>
      <x:c r="AQ628" s="22" t="n">
        <x:f>MAX(0,MIN('Activities'!L628,234)-MAX('Activities'!K628,228))</x:f>
        <x:v>0</x:v>
      </x:c>
      <x:c r="AR628" s="22" t="n">
        <x:f>MAX(0,MIN('Activities'!L628,240)-MAX('Activities'!K628,234))</x:f>
        <x:v>0</x:v>
      </x:c>
      <x:c r="AS628" s="22" t="n">
        <x:f>MAX(0,MIN('Activities'!L628,246)-MAX('Activities'!K628,240))</x:f>
        <x:v>0</x:v>
      </x:c>
      <x:c r="AT628" s="22" t="n">
        <x:f>MAX(0,MIN('Activities'!L628,252)-MAX('Activities'!K628,246))</x:f>
        <x:v>0</x:v>
      </x:c>
      <x:c r="AU628" s="22" t="n">
        <x:f>MAX(0,MIN('Activities'!L628,258)-MAX('Activities'!K628,252))</x:f>
        <x:v>0</x:v>
      </x:c>
      <x:c r="AV628" s="22" t="n">
        <x:f>MAX(0,MIN('Activities'!L628,264)-MAX('Activities'!K628,258))</x:f>
        <x:v>0</x:v>
      </x:c>
      <x:c r="AW628" s="22" t="n">
        <x:f>MAX(0,MIN('Activities'!L628,270)-MAX('Activities'!K628,264))</x:f>
        <x:v>0</x:v>
      </x:c>
      <x:c r="AX628" s="22" t="n">
        <x:f>MAX(0,MIN('Activities'!L628,276)-MAX('Activities'!K628,270))</x:f>
        <x:v>0</x:v>
      </x:c>
      <x:c r="AY628" s="22" t="n">
        <x:f>MAX(0,MIN('Activities'!L628,282)-MAX('Activities'!K628,276))</x:f>
        <x:v>0</x:v>
      </x:c>
      <x:c r="AZ628" s="22" t="n">
        <x:f>MAX(0,MIN('Activities'!L628,288)-MAX('Activities'!K628,282))</x:f>
        <x:v>0</x:v>
      </x:c>
      <x:c r="BA628" s="22" t="n">
        <x:f>MAX(0,MIN('Activities'!L628,294)-MAX('Activities'!K628,288))</x:f>
        <x:v>0</x:v>
      </x:c>
      <x:c r="BB628" s="22" t="n">
        <x:f>MAX(0,MIN('Activities'!L628,300)-MAX('Activities'!K628,294))</x:f>
        <x:v>0</x:v>
      </x:c>
      <x:c r="BC628" s="22" t="n">
        <x:f>MAX(0,MIN('Activities'!L628,306)-MAX('Activities'!K628,300))</x:f>
        <x:v>0</x:v>
      </x:c>
      <x:c r="BD628" s="22" t="n">
        <x:f>MAX(0,MIN('Activities'!L628,312)-MAX('Activities'!K628,306))</x:f>
        <x:v>0</x:v>
      </x:c>
      <x:c r="BE628" s="22" t="n">
        <x:f>MAX(0,MIN('Activities'!L628,318)-MAX('Activities'!K628,312))</x:f>
        <x:v>0</x:v>
      </x:c>
      <x:c r="BF628" s="22" t="n">
        <x:f>MAX(0,MIN('Activities'!L628,324)-MAX('Activities'!K628,318))</x:f>
        <x:v>0</x:v>
      </x:c>
      <x:c r="BG628" s="22" t="n">
        <x:f>MAX(0,MIN('Activities'!L628,330)-MAX('Activities'!K628,324))</x:f>
        <x:v>0</x:v>
      </x:c>
      <x:c r="BH628" s="22" t="n">
        <x:f>MAX(0,MIN('Activities'!L628,336)-MAX('Activities'!K628,330))</x:f>
        <x:v>0</x:v>
      </x:c>
      <x:c r="BI628" s="22" t="n">
        <x:f>MAX(0,MIN('Activities'!L628,342)-MAX('Activities'!K628,336))</x:f>
        <x:v>3</x:v>
      </x:c>
      <x:c r="BJ628" s="22" t="n">
        <x:f>MAX(0,MIN('Activities'!L628,348)-MAX('Activities'!K628,342))</x:f>
        <x:v>3</x:v>
      </x:c>
      <x:c r="BK628" s="22" t="n">
        <x:f>MAX(0,MIN('Activities'!L628,354)-MAX('Activities'!K628,348))</x:f>
        <x:v>0</x:v>
      </x:c>
      <x:c r="BL628" s="22" t="n">
        <x:f>MAX(0,MIN('Activities'!L628,360)-MAX('Activities'!K628,354))</x:f>
        <x:v>0</x:v>
      </x:c>
      <x:c r="BM628" s="22" t="n">
        <x:f>MAX(0,MIN('Activities'!L628,366)-MAX('Activities'!K628,360))</x:f>
        <x:v>0</x:v>
      </x:c>
      <x:c r="BN628" s="22" t="n">
        <x:f>MAX(0,MIN('Activities'!L628,372)-MAX('Activities'!K628,366))</x:f>
        <x:v>0</x:v>
      </x:c>
      <x:c r="BO628" s="22" t="n">
        <x:f>MAX(0,MIN('Activities'!L628,378)-MAX('Activities'!K628,372))</x:f>
        <x:v>0</x:v>
      </x:c>
      <x:c r="BP628" s="22" t="n">
        <x:f>MAX(0,MIN('Activities'!L628,384)-MAX('Activities'!K628,378))</x:f>
        <x:v>0</x:v>
      </x:c>
      <x:c r="BQ628" s="22" t="n">
        <x:f>MAX(0,MIN('Activities'!L628,390)-MAX('Activities'!K628,384))</x:f>
        <x:v>0</x:v>
      </x:c>
      <x:c r="BR628" s="22" t="n">
        <x:f>MAX(0,MIN('Activities'!L628,396)-MAX('Activities'!K628,390))</x:f>
        <x:v>0</x:v>
      </x:c>
      <x:c r="BS628" s="22" t="n">
        <x:f>MAX(0,MIN('Activities'!L628,402)-MAX('Activities'!K628,396))</x:f>
        <x:v>0</x:v>
      </x:c>
      <x:c r="BT628" s="22" t="n">
        <x:f>MAX(0,MIN('Activities'!L628,408)-MAX('Activities'!K628,402))</x:f>
        <x:v>0</x:v>
      </x:c>
      <x:c r="BU628" s="22" t="n">
        <x:f>MAX(0,MIN('Activities'!L628,414)-MAX('Activities'!K628,408))</x:f>
        <x:v>0</x:v>
      </x:c>
      <x:c r="BV628" s="22" t="n">
        <x:f>MAX(0,MIN('Activities'!L628,420)-MAX('Activities'!K628,414))</x:f>
        <x:v>0</x:v>
      </x:c>
      <x:c r="BW628" s="22" t="n">
        <x:f>MAX(0,MIN('Activities'!L628,426)-MAX('Activities'!K628,420))</x:f>
        <x:v>0</x:v>
      </x:c>
      <x:c r="BX628" s="22" t="n">
        <x:f>MAX(0,MIN('Activities'!L628,432)-MAX('Activities'!K628,426))</x:f>
        <x:v>0</x:v>
      </x:c>
      <x:c r="BY628" s="22" t="n">
        <x:f>MAX(0,MIN('Activities'!L628,438)-MAX('Activities'!K628,432))</x:f>
        <x:v>0</x:v>
      </x:c>
      <x:c r="BZ628" s="22" t="n">
        <x:f>MAX(0,MIN('Activities'!L628,444)-MAX('Activities'!K628,438))</x:f>
        <x:v>0</x:v>
      </x:c>
      <x:c r="CA628" s="22" t="n">
        <x:f>MAX(0,MIN('Activities'!L628,450)-MAX('Activities'!K628,444))</x:f>
        <x:v>0</x:v>
      </x:c>
      <x:c r="CB628" s="22" t="n">
        <x:f>MAX(0,MIN('Activities'!L628,456)-MAX('Activities'!K628,450))</x:f>
        <x:v>0</x:v>
      </x:c>
      <x:c r="CC628" s="22" t="n">
        <x:f>MAX(0,MIN('Activities'!L628,462)-MAX('Activities'!K628,456))</x:f>
        <x:v>0</x:v>
      </x:c>
      <x:c r="CD628" s="22" t="n">
        <x:f>MAX(0,MIN('Activities'!L628,468)-MAX('Activities'!K628,462))</x:f>
        <x:v>0</x:v>
      </x:c>
      <x:c r="CE628" s="22" t="n">
        <x:f>MAX(0,MIN('Activities'!L628,474)-MAX('Activities'!K628,468))</x:f>
        <x:v>0</x:v>
      </x:c>
      <x:c r="CF628" s="22" t="n">
        <x:f>MAX(0,MIN('Activities'!L628,480)-MAX('Activities'!K628,474))</x:f>
        <x:v>0</x:v>
      </x:c>
      <x:c r="CG628" s="22" t="n">
        <x:f>MAX(0,MIN('Activities'!L628,486)-MAX('Activities'!K628,480))</x:f>
        <x:v>0</x:v>
      </x:c>
      <x:c r="CH628" s="22" t="n">
        <x:f>MAX(0,MIN('Activities'!L628,492)-MAX('Activities'!K628,486))</x:f>
        <x:v>0</x:v>
      </x:c>
      <x:c r="CI628" s="22" t="n">
        <x:f>MAX(0,MIN('Activities'!L628,498)-MAX('Activities'!K628,492))</x:f>
        <x:v>0</x:v>
      </x:c>
      <x:c r="CJ628" s="22" t="n">
        <x:f>MAX(0,MIN('Activities'!L628,504)-MAX('Activities'!K628,498))</x:f>
        <x:v>0</x:v>
      </x:c>
      <x:c r="CK628" s="22" t="n">
        <x:f>MAX(0,MIN('Activities'!L628,510)-MAX('Activities'!K628,504))</x:f>
        <x:v>0</x:v>
      </x:c>
      <x:c r="CL628" s="22" t="n">
        <x:f>MAX(0,MIN('Activities'!L628,516)-MAX('Activities'!K628,510))</x:f>
        <x:v>0</x:v>
      </x:c>
      <x:c r="CM628" s="22" t="n">
        <x:f>MAX(0,MIN('Activities'!L628,522)-MAX('Activities'!K628,516))</x:f>
        <x:v>0</x:v>
      </x:c>
      <x:c r="CN628" s="22" t="n">
        <x:f>MAX(0,MIN('Activities'!L628,528)-MAX('Activities'!K628,522))</x:f>
        <x:v>0</x:v>
      </x:c>
      <x:c r="CO628" s="22" t="n">
        <x:f>MAX(0,MIN('Activities'!L628,534)-MAX('Activities'!K628,528))</x:f>
        <x:v>0</x:v>
      </x:c>
      <x:c r="CP628" s="22" t="n">
        <x:f>MAX(0,MIN('Activities'!L628,540)-MAX('Activities'!K628,534))</x:f>
        <x:v>0</x:v>
      </x:c>
      <x:c r="CQ628" s="22" t="n">
        <x:f>MAX(0,MIN('Activities'!L628,546)-MAX('Activities'!K628,540))</x:f>
        <x:v>0</x:v>
      </x:c>
      <x:c r="CR628" s="22" t="n">
        <x:f>MAX(0,MIN('Activities'!L628,552)-MAX('Activities'!K628,546))</x:f>
        <x:v>0</x:v>
      </x:c>
      <x:c r="CS628" s="22" t="n">
        <x:f>MAX(0,MIN('Activities'!L628,558)-MAX('Activities'!K628,552))</x:f>
        <x:v>0</x:v>
      </x:c>
      <x:c r="CT628" s="22" t="n">
        <x:f>MAX(0,MIN('Activities'!L628,564)-MAX('Activities'!K628,558))</x:f>
        <x:v>0</x:v>
      </x:c>
      <x:c r="CU628" s="22" t="n">
        <x:f>MAX(0,MIN('Activities'!L628,570)-MAX('Activities'!K628,564))</x:f>
        <x:v>0</x:v>
      </x:c>
      <x:c r="CV628" s="22" t="n">
        <x:f>MAX(0,MIN('Activities'!L628,576)-MAX('Activities'!K628,570))</x:f>
        <x:v>0</x:v>
      </x:c>
      <x:c r="CW628" s="22" t="n">
        <x:f>MAX(0,MIN('Activities'!L628,582)-MAX('Activities'!K628,576))</x:f>
        <x:v>0</x:v>
      </x:c>
      <x:c r="CX628" s="22" t="n">
        <x:f>MAX(0,MIN('Activities'!L628,588)-MAX('Activities'!K628,582))</x:f>
        <x:v>0</x:v>
      </x:c>
      <x:c r="CY628" s="22" t="n">
        <x:f>MAX(0,MIN('Activities'!L628,594)-MAX('Activities'!K628,588))</x:f>
        <x:v>0</x:v>
      </x:c>
      <x:c r="CZ628" s="22" t="n">
        <x:f>MAX(0,MIN('Activities'!L628,600)-MAX('Activities'!K628,594))</x:f>
        <x:v>0</x:v>
      </x:c>
      <x:c r="DA628" s="22" t="n">
        <x:f>MAX(0,MIN('Activities'!L628,606)-MAX('Activities'!K628,600))</x:f>
        <x:v>0</x:v>
      </x:c>
      <x:c r="DB628" s="22" t="n">
        <x:f>MAX(0,MIN('Activities'!L628,612)-MAX('Activities'!K628,606))</x:f>
        <x:v>0</x:v>
      </x:c>
      <x:c r="DC628" s="22" t="n">
        <x:f>MAX(0,MIN('Activities'!L628,618)-MAX('Activities'!K628,612))</x:f>
        <x:v>0</x:v>
      </x:c>
      <x:c r="DD628" s="22" t="n">
        <x:f>MAX(0,MIN('Activities'!L628,624)-MAX('Activities'!K628,618))</x:f>
        <x:v>0</x:v>
      </x:c>
      <x:c r="DE628" s="22" t="n">
        <x:f>MAX(0,MIN('Activities'!L628,630)-MAX('Activities'!K628,624))</x:f>
        <x:v>0</x:v>
      </x:c>
      <x:c r="DF628" s="22" t="n">
        <x:f>MAX(0,MIN('Activities'!L628,636)-MAX('Activities'!K628,630))</x:f>
        <x:v>0</x:v>
      </x:c>
    </x:row>
    <x:row r="629" ht="23" customHeight="1">
      <x:c r="A629" s="1" t="str">
        <x:v>T5-L04-S</x:v>
      </x:c>
      <x:c r="B629" s="1" t="str">
        <x:v>T5</x:v>
      </x:c>
      <x:c r="C629" s="1" t="str">
        <x:v>Screed and substrate preparation</x:v>
      </x:c>
      <x:c r="D629" s="1" t="str">
        <x:v>Finishes</x:v>
      </x:c>
      <x:c r="E629" s="23" t="n">
        <x:f>MAX(0,MIN('Activities'!L629,6)-MAX('Activities'!K629,0))</x:f>
        <x:v>0</x:v>
      </x:c>
      <x:c r="F629" s="23" t="n">
        <x:f>MAX(0,MIN('Activities'!L629,12)-MAX('Activities'!K629,6))</x:f>
        <x:v>0</x:v>
      </x:c>
      <x:c r="G629" s="23" t="n">
        <x:f>MAX(0,MIN('Activities'!L629,18)-MAX('Activities'!K629,12))</x:f>
        <x:v>0</x:v>
      </x:c>
      <x:c r="H629" s="23" t="n">
        <x:f>MAX(0,MIN('Activities'!L629,24)-MAX('Activities'!K629,18))</x:f>
        <x:v>0</x:v>
      </x:c>
      <x:c r="I629" s="23" t="n">
        <x:f>MAX(0,MIN('Activities'!L629,30)-MAX('Activities'!K629,24))</x:f>
        <x:v>0</x:v>
      </x:c>
      <x:c r="J629" s="23" t="n">
        <x:f>MAX(0,MIN('Activities'!L629,36)-MAX('Activities'!K629,30))</x:f>
        <x:v>0</x:v>
      </x:c>
      <x:c r="K629" s="23" t="n">
        <x:f>MAX(0,MIN('Activities'!L629,42)-MAX('Activities'!K629,36))</x:f>
        <x:v>0</x:v>
      </x:c>
      <x:c r="L629" s="23" t="n">
        <x:f>MAX(0,MIN('Activities'!L629,48)-MAX('Activities'!K629,42))</x:f>
        <x:v>0</x:v>
      </x:c>
      <x:c r="M629" s="23" t="n">
        <x:f>MAX(0,MIN('Activities'!L629,54)-MAX('Activities'!K629,48))</x:f>
        <x:v>0</x:v>
      </x:c>
      <x:c r="N629" s="23" t="n">
        <x:f>MAX(0,MIN('Activities'!L629,60)-MAX('Activities'!K629,54))</x:f>
        <x:v>0</x:v>
      </x:c>
      <x:c r="O629" s="23" t="n">
        <x:f>MAX(0,MIN('Activities'!L629,66)-MAX('Activities'!K629,60))</x:f>
        <x:v>0</x:v>
      </x:c>
      <x:c r="P629" s="23" t="n">
        <x:f>MAX(0,MIN('Activities'!L629,72)-MAX('Activities'!K629,66))</x:f>
        <x:v>0</x:v>
      </x:c>
      <x:c r="Q629" s="23" t="n">
        <x:f>MAX(0,MIN('Activities'!L629,78)-MAX('Activities'!K629,72))</x:f>
        <x:v>0</x:v>
      </x:c>
      <x:c r="R629" s="23" t="n">
        <x:f>MAX(0,MIN('Activities'!L629,84)-MAX('Activities'!K629,78))</x:f>
        <x:v>0</x:v>
      </x:c>
      <x:c r="S629" s="23" t="n">
        <x:f>MAX(0,MIN('Activities'!L629,90)-MAX('Activities'!K629,84))</x:f>
        <x:v>0</x:v>
      </x:c>
      <x:c r="T629" s="23" t="n">
        <x:f>MAX(0,MIN('Activities'!L629,96)-MAX('Activities'!K629,90))</x:f>
        <x:v>0</x:v>
      </x:c>
      <x:c r="U629" s="23" t="n">
        <x:f>MAX(0,MIN('Activities'!L629,102)-MAX('Activities'!K629,96))</x:f>
        <x:v>0</x:v>
      </x:c>
      <x:c r="V629" s="23" t="n">
        <x:f>MAX(0,MIN('Activities'!L629,108)-MAX('Activities'!K629,102))</x:f>
        <x:v>0</x:v>
      </x:c>
      <x:c r="W629" s="23" t="n">
        <x:f>MAX(0,MIN('Activities'!L629,114)-MAX('Activities'!K629,108))</x:f>
        <x:v>0</x:v>
      </x:c>
      <x:c r="X629" s="23" t="n">
        <x:f>MAX(0,MIN('Activities'!L629,120)-MAX('Activities'!K629,114))</x:f>
        <x:v>0</x:v>
      </x:c>
      <x:c r="Y629" s="23" t="n">
        <x:f>MAX(0,MIN('Activities'!L629,126)-MAX('Activities'!K629,120))</x:f>
        <x:v>0</x:v>
      </x:c>
      <x:c r="Z629" s="23" t="n">
        <x:f>MAX(0,MIN('Activities'!L629,132)-MAX('Activities'!K629,126))</x:f>
        <x:v>0</x:v>
      </x:c>
      <x:c r="AA629" s="23" t="n">
        <x:f>MAX(0,MIN('Activities'!L629,138)-MAX('Activities'!K629,132))</x:f>
        <x:v>0</x:v>
      </x:c>
      <x:c r="AB629" s="23" t="n">
        <x:f>MAX(0,MIN('Activities'!L629,144)-MAX('Activities'!K629,138))</x:f>
        <x:v>0</x:v>
      </x:c>
      <x:c r="AC629" s="23" t="n">
        <x:f>MAX(0,MIN('Activities'!L629,150)-MAX('Activities'!K629,144))</x:f>
        <x:v>0</x:v>
      </x:c>
      <x:c r="AD629" s="23" t="n">
        <x:f>MAX(0,MIN('Activities'!L629,156)-MAX('Activities'!K629,150))</x:f>
        <x:v>0</x:v>
      </x:c>
      <x:c r="AE629" s="23" t="n">
        <x:f>MAX(0,MIN('Activities'!L629,162)-MAX('Activities'!K629,156))</x:f>
        <x:v>0</x:v>
      </x:c>
      <x:c r="AF629" s="23" t="n">
        <x:f>MAX(0,MIN('Activities'!L629,168)-MAX('Activities'!K629,162))</x:f>
        <x:v>0</x:v>
      </x:c>
      <x:c r="AG629" s="23" t="n">
        <x:f>MAX(0,MIN('Activities'!L629,174)-MAX('Activities'!K629,168))</x:f>
        <x:v>0</x:v>
      </x:c>
      <x:c r="AH629" s="23" t="n">
        <x:f>MAX(0,MIN('Activities'!L629,180)-MAX('Activities'!K629,174))</x:f>
        <x:v>0</x:v>
      </x:c>
      <x:c r="AI629" s="23" t="n">
        <x:f>MAX(0,MIN('Activities'!L629,186)-MAX('Activities'!K629,180))</x:f>
        <x:v>0</x:v>
      </x:c>
      <x:c r="AJ629" s="23" t="n">
        <x:f>MAX(0,MIN('Activities'!L629,192)-MAX('Activities'!K629,186))</x:f>
        <x:v>0</x:v>
      </x:c>
      <x:c r="AK629" s="23" t="n">
        <x:f>MAX(0,MIN('Activities'!L629,198)-MAX('Activities'!K629,192))</x:f>
        <x:v>0</x:v>
      </x:c>
      <x:c r="AL629" s="23" t="n">
        <x:f>MAX(0,MIN('Activities'!L629,204)-MAX('Activities'!K629,198))</x:f>
        <x:v>0</x:v>
      </x:c>
      <x:c r="AM629" s="23" t="n">
        <x:f>MAX(0,MIN('Activities'!L629,210)-MAX('Activities'!K629,204))</x:f>
        <x:v>0</x:v>
      </x:c>
      <x:c r="AN629" s="23" t="n">
        <x:f>MAX(0,MIN('Activities'!L629,216)-MAX('Activities'!K629,210))</x:f>
        <x:v>0</x:v>
      </x:c>
      <x:c r="AO629" s="23" t="n">
        <x:f>MAX(0,MIN('Activities'!L629,222)-MAX('Activities'!K629,216))</x:f>
        <x:v>0</x:v>
      </x:c>
      <x:c r="AP629" s="23" t="n">
        <x:f>MAX(0,MIN('Activities'!L629,228)-MAX('Activities'!K629,222))</x:f>
        <x:v>0</x:v>
      </x:c>
      <x:c r="AQ629" s="23" t="n">
        <x:f>MAX(0,MIN('Activities'!L629,234)-MAX('Activities'!K629,228))</x:f>
        <x:v>0</x:v>
      </x:c>
      <x:c r="AR629" s="23" t="n">
        <x:f>MAX(0,MIN('Activities'!L629,240)-MAX('Activities'!K629,234))</x:f>
        <x:v>0</x:v>
      </x:c>
      <x:c r="AS629" s="23" t="n">
        <x:f>MAX(0,MIN('Activities'!L629,246)-MAX('Activities'!K629,240))</x:f>
        <x:v>0</x:v>
      </x:c>
      <x:c r="AT629" s="23" t="n">
        <x:f>MAX(0,MIN('Activities'!L629,252)-MAX('Activities'!K629,246))</x:f>
        <x:v>0</x:v>
      </x:c>
      <x:c r="AU629" s="23" t="n">
        <x:f>MAX(0,MIN('Activities'!L629,258)-MAX('Activities'!K629,252))</x:f>
        <x:v>0</x:v>
      </x:c>
      <x:c r="AV629" s="23" t="n">
        <x:f>MAX(0,MIN('Activities'!L629,264)-MAX('Activities'!K629,258))</x:f>
        <x:v>0</x:v>
      </x:c>
      <x:c r="AW629" s="23" t="n">
        <x:f>MAX(0,MIN('Activities'!L629,270)-MAX('Activities'!K629,264))</x:f>
        <x:v>0</x:v>
      </x:c>
      <x:c r="AX629" s="23" t="n">
        <x:f>MAX(0,MIN('Activities'!L629,276)-MAX('Activities'!K629,270))</x:f>
        <x:v>0</x:v>
      </x:c>
      <x:c r="AY629" s="23" t="n">
        <x:f>MAX(0,MIN('Activities'!L629,282)-MAX('Activities'!K629,276))</x:f>
        <x:v>0</x:v>
      </x:c>
      <x:c r="AZ629" s="23" t="n">
        <x:f>MAX(0,MIN('Activities'!L629,288)-MAX('Activities'!K629,282))</x:f>
        <x:v>0</x:v>
      </x:c>
      <x:c r="BA629" s="23" t="n">
        <x:f>MAX(0,MIN('Activities'!L629,294)-MAX('Activities'!K629,288))</x:f>
        <x:v>0</x:v>
      </x:c>
      <x:c r="BB629" s="23" t="n">
        <x:f>MAX(0,MIN('Activities'!L629,300)-MAX('Activities'!K629,294))</x:f>
        <x:v>0</x:v>
      </x:c>
      <x:c r="BC629" s="23" t="n">
        <x:f>MAX(0,MIN('Activities'!L629,306)-MAX('Activities'!K629,300))</x:f>
        <x:v>0</x:v>
      </x:c>
      <x:c r="BD629" s="23" t="n">
        <x:f>MAX(0,MIN('Activities'!L629,312)-MAX('Activities'!K629,306))</x:f>
        <x:v>0</x:v>
      </x:c>
      <x:c r="BE629" s="23" t="n">
        <x:f>MAX(0,MIN('Activities'!L629,318)-MAX('Activities'!K629,312))</x:f>
        <x:v>0</x:v>
      </x:c>
      <x:c r="BF629" s="23" t="n">
        <x:f>MAX(0,MIN('Activities'!L629,324)-MAX('Activities'!K629,318))</x:f>
        <x:v>0</x:v>
      </x:c>
      <x:c r="BG629" s="23" t="n">
        <x:f>MAX(0,MIN('Activities'!L629,330)-MAX('Activities'!K629,324))</x:f>
        <x:v>0</x:v>
      </x:c>
      <x:c r="BH629" s="23" t="n">
        <x:f>MAX(0,MIN('Activities'!L629,336)-MAX('Activities'!K629,330))</x:f>
        <x:v>0</x:v>
      </x:c>
      <x:c r="BI629" s="23" t="n">
        <x:f>MAX(0,MIN('Activities'!L629,342)-MAX('Activities'!K629,336))</x:f>
        <x:v>0</x:v>
      </x:c>
      <x:c r="BJ629" s="23" t="n">
        <x:f>MAX(0,MIN('Activities'!L629,348)-MAX('Activities'!K629,342))</x:f>
        <x:v>1</x:v>
      </x:c>
      <x:c r="BK629" s="23" t="n">
        <x:f>MAX(0,MIN('Activities'!L629,354)-MAX('Activities'!K629,348))</x:f>
        <x:v>2</x:v>
      </x:c>
      <x:c r="BL629" s="23" t="n">
        <x:f>MAX(0,MIN('Activities'!L629,360)-MAX('Activities'!K629,354))</x:f>
        <x:v>0</x:v>
      </x:c>
      <x:c r="BM629" s="23" t="n">
        <x:f>MAX(0,MIN('Activities'!L629,366)-MAX('Activities'!K629,360))</x:f>
        <x:v>0</x:v>
      </x:c>
      <x:c r="BN629" s="23" t="n">
        <x:f>MAX(0,MIN('Activities'!L629,372)-MAX('Activities'!K629,366))</x:f>
        <x:v>0</x:v>
      </x:c>
      <x:c r="BO629" s="23" t="n">
        <x:f>MAX(0,MIN('Activities'!L629,378)-MAX('Activities'!K629,372))</x:f>
        <x:v>0</x:v>
      </x:c>
      <x:c r="BP629" s="23" t="n">
        <x:f>MAX(0,MIN('Activities'!L629,384)-MAX('Activities'!K629,378))</x:f>
        <x:v>0</x:v>
      </x:c>
      <x:c r="BQ629" s="23" t="n">
        <x:f>MAX(0,MIN('Activities'!L629,390)-MAX('Activities'!K629,384))</x:f>
        <x:v>0</x:v>
      </x:c>
      <x:c r="BR629" s="23" t="n">
        <x:f>MAX(0,MIN('Activities'!L629,396)-MAX('Activities'!K629,390))</x:f>
        <x:v>0</x:v>
      </x:c>
      <x:c r="BS629" s="23" t="n">
        <x:f>MAX(0,MIN('Activities'!L629,402)-MAX('Activities'!K629,396))</x:f>
        <x:v>0</x:v>
      </x:c>
      <x:c r="BT629" s="23" t="n">
        <x:f>MAX(0,MIN('Activities'!L629,408)-MAX('Activities'!K629,402))</x:f>
        <x:v>0</x:v>
      </x:c>
      <x:c r="BU629" s="23" t="n">
        <x:f>MAX(0,MIN('Activities'!L629,414)-MAX('Activities'!K629,408))</x:f>
        <x:v>0</x:v>
      </x:c>
      <x:c r="BV629" s="23" t="n">
        <x:f>MAX(0,MIN('Activities'!L629,420)-MAX('Activities'!K629,414))</x:f>
        <x:v>0</x:v>
      </x:c>
      <x:c r="BW629" s="23" t="n">
        <x:f>MAX(0,MIN('Activities'!L629,426)-MAX('Activities'!K629,420))</x:f>
        <x:v>0</x:v>
      </x:c>
      <x:c r="BX629" s="23" t="n">
        <x:f>MAX(0,MIN('Activities'!L629,432)-MAX('Activities'!K629,426))</x:f>
        <x:v>0</x:v>
      </x:c>
      <x:c r="BY629" s="23" t="n">
        <x:f>MAX(0,MIN('Activities'!L629,438)-MAX('Activities'!K629,432))</x:f>
        <x:v>0</x:v>
      </x:c>
      <x:c r="BZ629" s="23" t="n">
        <x:f>MAX(0,MIN('Activities'!L629,444)-MAX('Activities'!K629,438))</x:f>
        <x:v>0</x:v>
      </x:c>
      <x:c r="CA629" s="23" t="n">
        <x:f>MAX(0,MIN('Activities'!L629,450)-MAX('Activities'!K629,444))</x:f>
        <x:v>0</x:v>
      </x:c>
      <x:c r="CB629" s="23" t="n">
        <x:f>MAX(0,MIN('Activities'!L629,456)-MAX('Activities'!K629,450))</x:f>
        <x:v>0</x:v>
      </x:c>
      <x:c r="CC629" s="23" t="n">
        <x:f>MAX(0,MIN('Activities'!L629,462)-MAX('Activities'!K629,456))</x:f>
        <x:v>0</x:v>
      </x:c>
      <x:c r="CD629" s="23" t="n">
        <x:f>MAX(0,MIN('Activities'!L629,468)-MAX('Activities'!K629,462))</x:f>
        <x:v>0</x:v>
      </x:c>
      <x:c r="CE629" s="23" t="n">
        <x:f>MAX(0,MIN('Activities'!L629,474)-MAX('Activities'!K629,468))</x:f>
        <x:v>0</x:v>
      </x:c>
      <x:c r="CF629" s="23" t="n">
        <x:f>MAX(0,MIN('Activities'!L629,480)-MAX('Activities'!K629,474))</x:f>
        <x:v>0</x:v>
      </x:c>
      <x:c r="CG629" s="23" t="n">
        <x:f>MAX(0,MIN('Activities'!L629,486)-MAX('Activities'!K629,480))</x:f>
        <x:v>0</x:v>
      </x:c>
      <x:c r="CH629" s="23" t="n">
        <x:f>MAX(0,MIN('Activities'!L629,492)-MAX('Activities'!K629,486))</x:f>
        <x:v>0</x:v>
      </x:c>
      <x:c r="CI629" s="23" t="n">
        <x:f>MAX(0,MIN('Activities'!L629,498)-MAX('Activities'!K629,492))</x:f>
        <x:v>0</x:v>
      </x:c>
      <x:c r="CJ629" s="23" t="n">
        <x:f>MAX(0,MIN('Activities'!L629,504)-MAX('Activities'!K629,498))</x:f>
        <x:v>0</x:v>
      </x:c>
      <x:c r="CK629" s="23" t="n">
        <x:f>MAX(0,MIN('Activities'!L629,510)-MAX('Activities'!K629,504))</x:f>
        <x:v>0</x:v>
      </x:c>
      <x:c r="CL629" s="23" t="n">
        <x:f>MAX(0,MIN('Activities'!L629,516)-MAX('Activities'!K629,510))</x:f>
        <x:v>0</x:v>
      </x:c>
      <x:c r="CM629" s="23" t="n">
        <x:f>MAX(0,MIN('Activities'!L629,522)-MAX('Activities'!K629,516))</x:f>
        <x:v>0</x:v>
      </x:c>
      <x:c r="CN629" s="23" t="n">
        <x:f>MAX(0,MIN('Activities'!L629,528)-MAX('Activities'!K629,522))</x:f>
        <x:v>0</x:v>
      </x:c>
      <x:c r="CO629" s="23" t="n">
        <x:f>MAX(0,MIN('Activities'!L629,534)-MAX('Activities'!K629,528))</x:f>
        <x:v>0</x:v>
      </x:c>
      <x:c r="CP629" s="23" t="n">
        <x:f>MAX(0,MIN('Activities'!L629,540)-MAX('Activities'!K629,534))</x:f>
        <x:v>0</x:v>
      </x:c>
      <x:c r="CQ629" s="23" t="n">
        <x:f>MAX(0,MIN('Activities'!L629,546)-MAX('Activities'!K629,540))</x:f>
        <x:v>0</x:v>
      </x:c>
      <x:c r="CR629" s="23" t="n">
        <x:f>MAX(0,MIN('Activities'!L629,552)-MAX('Activities'!K629,546))</x:f>
        <x:v>0</x:v>
      </x:c>
      <x:c r="CS629" s="23" t="n">
        <x:f>MAX(0,MIN('Activities'!L629,558)-MAX('Activities'!K629,552))</x:f>
        <x:v>0</x:v>
      </x:c>
      <x:c r="CT629" s="23" t="n">
        <x:f>MAX(0,MIN('Activities'!L629,564)-MAX('Activities'!K629,558))</x:f>
        <x:v>0</x:v>
      </x:c>
      <x:c r="CU629" s="23" t="n">
        <x:f>MAX(0,MIN('Activities'!L629,570)-MAX('Activities'!K629,564))</x:f>
        <x:v>0</x:v>
      </x:c>
      <x:c r="CV629" s="23" t="n">
        <x:f>MAX(0,MIN('Activities'!L629,576)-MAX('Activities'!K629,570))</x:f>
        <x:v>0</x:v>
      </x:c>
      <x:c r="CW629" s="23" t="n">
        <x:f>MAX(0,MIN('Activities'!L629,582)-MAX('Activities'!K629,576))</x:f>
        <x:v>0</x:v>
      </x:c>
      <x:c r="CX629" s="23" t="n">
        <x:f>MAX(0,MIN('Activities'!L629,588)-MAX('Activities'!K629,582))</x:f>
        <x:v>0</x:v>
      </x:c>
      <x:c r="CY629" s="23" t="n">
        <x:f>MAX(0,MIN('Activities'!L629,594)-MAX('Activities'!K629,588))</x:f>
        <x:v>0</x:v>
      </x:c>
      <x:c r="CZ629" s="23" t="n">
        <x:f>MAX(0,MIN('Activities'!L629,600)-MAX('Activities'!K629,594))</x:f>
        <x:v>0</x:v>
      </x:c>
      <x:c r="DA629" s="23" t="n">
        <x:f>MAX(0,MIN('Activities'!L629,606)-MAX('Activities'!K629,600))</x:f>
        <x:v>0</x:v>
      </x:c>
      <x:c r="DB629" s="23" t="n">
        <x:f>MAX(0,MIN('Activities'!L629,612)-MAX('Activities'!K629,606))</x:f>
        <x:v>0</x:v>
      </x:c>
      <x:c r="DC629" s="23" t="n">
        <x:f>MAX(0,MIN('Activities'!L629,618)-MAX('Activities'!K629,612))</x:f>
        <x:v>0</x:v>
      </x:c>
      <x:c r="DD629" s="23" t="n">
        <x:f>MAX(0,MIN('Activities'!L629,624)-MAX('Activities'!K629,618))</x:f>
        <x:v>0</x:v>
      </x:c>
      <x:c r="DE629" s="23" t="n">
        <x:f>MAX(0,MIN('Activities'!L629,630)-MAX('Activities'!K629,624))</x:f>
        <x:v>0</x:v>
      </x:c>
      <x:c r="DF629" s="23" t="n">
        <x:f>MAX(0,MIN('Activities'!L629,636)-MAX('Activities'!K629,630))</x:f>
        <x:v>0</x:v>
      </x:c>
    </x:row>
    <x:row r="630" ht="23" customHeight="1">
      <x:c r="A630" s="6" t="str">
        <x:v>T5-L04-T</x:v>
      </x:c>
      <x:c r="B630" s="6" t="str">
        <x:v>T5</x:v>
      </x:c>
      <x:c r="C630" s="6" t="str">
        <x:v>Floor finishes and skirtings</x:v>
      </x:c>
      <x:c r="D630" s="6" t="str">
        <x:v>Finishes</x:v>
      </x:c>
      <x:c r="E630" s="22" t="n">
        <x:f>MAX(0,MIN('Activities'!L630,6)-MAX('Activities'!K630,0))</x:f>
        <x:v>0</x:v>
      </x:c>
      <x:c r="F630" s="22" t="n">
        <x:f>MAX(0,MIN('Activities'!L630,12)-MAX('Activities'!K630,6))</x:f>
        <x:v>0</x:v>
      </x:c>
      <x:c r="G630" s="22" t="n">
        <x:f>MAX(0,MIN('Activities'!L630,18)-MAX('Activities'!K630,12))</x:f>
        <x:v>0</x:v>
      </x:c>
      <x:c r="H630" s="22" t="n">
        <x:f>MAX(0,MIN('Activities'!L630,24)-MAX('Activities'!K630,18))</x:f>
        <x:v>0</x:v>
      </x:c>
      <x:c r="I630" s="22" t="n">
        <x:f>MAX(0,MIN('Activities'!L630,30)-MAX('Activities'!K630,24))</x:f>
        <x:v>0</x:v>
      </x:c>
      <x:c r="J630" s="22" t="n">
        <x:f>MAX(0,MIN('Activities'!L630,36)-MAX('Activities'!K630,30))</x:f>
        <x:v>0</x:v>
      </x:c>
      <x:c r="K630" s="22" t="n">
        <x:f>MAX(0,MIN('Activities'!L630,42)-MAX('Activities'!K630,36))</x:f>
        <x:v>0</x:v>
      </x:c>
      <x:c r="L630" s="22" t="n">
        <x:f>MAX(0,MIN('Activities'!L630,48)-MAX('Activities'!K630,42))</x:f>
        <x:v>0</x:v>
      </x:c>
      <x:c r="M630" s="22" t="n">
        <x:f>MAX(0,MIN('Activities'!L630,54)-MAX('Activities'!K630,48))</x:f>
        <x:v>0</x:v>
      </x:c>
      <x:c r="N630" s="22" t="n">
        <x:f>MAX(0,MIN('Activities'!L630,60)-MAX('Activities'!K630,54))</x:f>
        <x:v>0</x:v>
      </x:c>
      <x:c r="O630" s="22" t="n">
        <x:f>MAX(0,MIN('Activities'!L630,66)-MAX('Activities'!K630,60))</x:f>
        <x:v>0</x:v>
      </x:c>
      <x:c r="P630" s="22" t="n">
        <x:f>MAX(0,MIN('Activities'!L630,72)-MAX('Activities'!K630,66))</x:f>
        <x:v>0</x:v>
      </x:c>
      <x:c r="Q630" s="22" t="n">
        <x:f>MAX(0,MIN('Activities'!L630,78)-MAX('Activities'!K630,72))</x:f>
        <x:v>0</x:v>
      </x:c>
      <x:c r="R630" s="22" t="n">
        <x:f>MAX(0,MIN('Activities'!L630,84)-MAX('Activities'!K630,78))</x:f>
        <x:v>0</x:v>
      </x:c>
      <x:c r="S630" s="22" t="n">
        <x:f>MAX(0,MIN('Activities'!L630,90)-MAX('Activities'!K630,84))</x:f>
        <x:v>0</x:v>
      </x:c>
      <x:c r="T630" s="22" t="n">
        <x:f>MAX(0,MIN('Activities'!L630,96)-MAX('Activities'!K630,90))</x:f>
        <x:v>0</x:v>
      </x:c>
      <x:c r="U630" s="22" t="n">
        <x:f>MAX(0,MIN('Activities'!L630,102)-MAX('Activities'!K630,96))</x:f>
        <x:v>0</x:v>
      </x:c>
      <x:c r="V630" s="22" t="n">
        <x:f>MAX(0,MIN('Activities'!L630,108)-MAX('Activities'!K630,102))</x:f>
        <x:v>0</x:v>
      </x:c>
      <x:c r="W630" s="22" t="n">
        <x:f>MAX(0,MIN('Activities'!L630,114)-MAX('Activities'!K630,108))</x:f>
        <x:v>0</x:v>
      </x:c>
      <x:c r="X630" s="22" t="n">
        <x:f>MAX(0,MIN('Activities'!L630,120)-MAX('Activities'!K630,114))</x:f>
        <x:v>0</x:v>
      </x:c>
      <x:c r="Y630" s="22" t="n">
        <x:f>MAX(0,MIN('Activities'!L630,126)-MAX('Activities'!K630,120))</x:f>
        <x:v>0</x:v>
      </x:c>
      <x:c r="Z630" s="22" t="n">
        <x:f>MAX(0,MIN('Activities'!L630,132)-MAX('Activities'!K630,126))</x:f>
        <x:v>0</x:v>
      </x:c>
      <x:c r="AA630" s="22" t="n">
        <x:f>MAX(0,MIN('Activities'!L630,138)-MAX('Activities'!K630,132))</x:f>
        <x:v>0</x:v>
      </x:c>
      <x:c r="AB630" s="22" t="n">
        <x:f>MAX(0,MIN('Activities'!L630,144)-MAX('Activities'!K630,138))</x:f>
        <x:v>0</x:v>
      </x:c>
      <x:c r="AC630" s="22" t="n">
        <x:f>MAX(0,MIN('Activities'!L630,150)-MAX('Activities'!K630,144))</x:f>
        <x:v>0</x:v>
      </x:c>
      <x:c r="AD630" s="22" t="n">
        <x:f>MAX(0,MIN('Activities'!L630,156)-MAX('Activities'!K630,150))</x:f>
        <x:v>0</x:v>
      </x:c>
      <x:c r="AE630" s="22" t="n">
        <x:f>MAX(0,MIN('Activities'!L630,162)-MAX('Activities'!K630,156))</x:f>
        <x:v>0</x:v>
      </x:c>
      <x:c r="AF630" s="22" t="n">
        <x:f>MAX(0,MIN('Activities'!L630,168)-MAX('Activities'!K630,162))</x:f>
        <x:v>0</x:v>
      </x:c>
      <x:c r="AG630" s="22" t="n">
        <x:f>MAX(0,MIN('Activities'!L630,174)-MAX('Activities'!K630,168))</x:f>
        <x:v>0</x:v>
      </x:c>
      <x:c r="AH630" s="22" t="n">
        <x:f>MAX(0,MIN('Activities'!L630,180)-MAX('Activities'!K630,174))</x:f>
        <x:v>0</x:v>
      </x:c>
      <x:c r="AI630" s="22" t="n">
        <x:f>MAX(0,MIN('Activities'!L630,186)-MAX('Activities'!K630,180))</x:f>
        <x:v>0</x:v>
      </x:c>
      <x:c r="AJ630" s="22" t="n">
        <x:f>MAX(0,MIN('Activities'!L630,192)-MAX('Activities'!K630,186))</x:f>
        <x:v>0</x:v>
      </x:c>
      <x:c r="AK630" s="22" t="n">
        <x:f>MAX(0,MIN('Activities'!L630,198)-MAX('Activities'!K630,192))</x:f>
        <x:v>0</x:v>
      </x:c>
      <x:c r="AL630" s="22" t="n">
        <x:f>MAX(0,MIN('Activities'!L630,204)-MAX('Activities'!K630,198))</x:f>
        <x:v>0</x:v>
      </x:c>
      <x:c r="AM630" s="22" t="n">
        <x:f>MAX(0,MIN('Activities'!L630,210)-MAX('Activities'!K630,204))</x:f>
        <x:v>0</x:v>
      </x:c>
      <x:c r="AN630" s="22" t="n">
        <x:f>MAX(0,MIN('Activities'!L630,216)-MAX('Activities'!K630,210))</x:f>
        <x:v>0</x:v>
      </x:c>
      <x:c r="AO630" s="22" t="n">
        <x:f>MAX(0,MIN('Activities'!L630,222)-MAX('Activities'!K630,216))</x:f>
        <x:v>0</x:v>
      </x:c>
      <x:c r="AP630" s="22" t="n">
        <x:f>MAX(0,MIN('Activities'!L630,228)-MAX('Activities'!K630,222))</x:f>
        <x:v>0</x:v>
      </x:c>
      <x:c r="AQ630" s="22" t="n">
        <x:f>MAX(0,MIN('Activities'!L630,234)-MAX('Activities'!K630,228))</x:f>
        <x:v>0</x:v>
      </x:c>
      <x:c r="AR630" s="22" t="n">
        <x:f>MAX(0,MIN('Activities'!L630,240)-MAX('Activities'!K630,234))</x:f>
        <x:v>0</x:v>
      </x:c>
      <x:c r="AS630" s="22" t="n">
        <x:f>MAX(0,MIN('Activities'!L630,246)-MAX('Activities'!K630,240))</x:f>
        <x:v>0</x:v>
      </x:c>
      <x:c r="AT630" s="22" t="n">
        <x:f>MAX(0,MIN('Activities'!L630,252)-MAX('Activities'!K630,246))</x:f>
        <x:v>0</x:v>
      </x:c>
      <x:c r="AU630" s="22" t="n">
        <x:f>MAX(0,MIN('Activities'!L630,258)-MAX('Activities'!K630,252))</x:f>
        <x:v>0</x:v>
      </x:c>
      <x:c r="AV630" s="22" t="n">
        <x:f>MAX(0,MIN('Activities'!L630,264)-MAX('Activities'!K630,258))</x:f>
        <x:v>0</x:v>
      </x:c>
      <x:c r="AW630" s="22" t="n">
        <x:f>MAX(0,MIN('Activities'!L630,270)-MAX('Activities'!K630,264))</x:f>
        <x:v>0</x:v>
      </x:c>
      <x:c r="AX630" s="22" t="n">
        <x:f>MAX(0,MIN('Activities'!L630,276)-MAX('Activities'!K630,270))</x:f>
        <x:v>0</x:v>
      </x:c>
      <x:c r="AY630" s="22" t="n">
        <x:f>MAX(0,MIN('Activities'!L630,282)-MAX('Activities'!K630,276))</x:f>
        <x:v>0</x:v>
      </x:c>
      <x:c r="AZ630" s="22" t="n">
        <x:f>MAX(0,MIN('Activities'!L630,288)-MAX('Activities'!K630,282))</x:f>
        <x:v>0</x:v>
      </x:c>
      <x:c r="BA630" s="22" t="n">
        <x:f>MAX(0,MIN('Activities'!L630,294)-MAX('Activities'!K630,288))</x:f>
        <x:v>0</x:v>
      </x:c>
      <x:c r="BB630" s="22" t="n">
        <x:f>MAX(0,MIN('Activities'!L630,300)-MAX('Activities'!K630,294))</x:f>
        <x:v>0</x:v>
      </x:c>
      <x:c r="BC630" s="22" t="n">
        <x:f>MAX(0,MIN('Activities'!L630,306)-MAX('Activities'!K630,300))</x:f>
        <x:v>0</x:v>
      </x:c>
      <x:c r="BD630" s="22" t="n">
        <x:f>MAX(0,MIN('Activities'!L630,312)-MAX('Activities'!K630,306))</x:f>
        <x:v>0</x:v>
      </x:c>
      <x:c r="BE630" s="22" t="n">
        <x:f>MAX(0,MIN('Activities'!L630,318)-MAX('Activities'!K630,312))</x:f>
        <x:v>0</x:v>
      </x:c>
      <x:c r="BF630" s="22" t="n">
        <x:f>MAX(0,MIN('Activities'!L630,324)-MAX('Activities'!K630,318))</x:f>
        <x:v>0</x:v>
      </x:c>
      <x:c r="BG630" s="22" t="n">
        <x:f>MAX(0,MIN('Activities'!L630,330)-MAX('Activities'!K630,324))</x:f>
        <x:v>0</x:v>
      </x:c>
      <x:c r="BH630" s="22" t="n">
        <x:f>MAX(0,MIN('Activities'!L630,336)-MAX('Activities'!K630,330))</x:f>
        <x:v>0</x:v>
      </x:c>
      <x:c r="BI630" s="22" t="n">
        <x:f>MAX(0,MIN('Activities'!L630,342)-MAX('Activities'!K630,336))</x:f>
        <x:v>0</x:v>
      </x:c>
      <x:c r="BJ630" s="22" t="n">
        <x:f>MAX(0,MIN('Activities'!L630,348)-MAX('Activities'!K630,342))</x:f>
        <x:v>0</x:v>
      </x:c>
      <x:c r="BK630" s="22" t="n">
        <x:f>MAX(0,MIN('Activities'!L630,354)-MAX('Activities'!K630,348))</x:f>
        <x:v>0</x:v>
      </x:c>
      <x:c r="BL630" s="22" t="n">
        <x:f>MAX(0,MIN('Activities'!L630,360)-MAX('Activities'!K630,354))</x:f>
        <x:v>0</x:v>
      </x:c>
      <x:c r="BM630" s="22" t="n">
        <x:f>MAX(0,MIN('Activities'!L630,366)-MAX('Activities'!K630,360))</x:f>
        <x:v>0</x:v>
      </x:c>
      <x:c r="BN630" s="22" t="n">
        <x:f>MAX(0,MIN('Activities'!L630,372)-MAX('Activities'!K630,366))</x:f>
        <x:v>0</x:v>
      </x:c>
      <x:c r="BO630" s="22" t="n">
        <x:f>MAX(0,MIN('Activities'!L630,378)-MAX('Activities'!K630,372))</x:f>
        <x:v>0</x:v>
      </x:c>
      <x:c r="BP630" s="22" t="n">
        <x:f>MAX(0,MIN('Activities'!L630,384)-MAX('Activities'!K630,378))</x:f>
        <x:v>0</x:v>
      </x:c>
      <x:c r="BQ630" s="22" t="n">
        <x:f>MAX(0,MIN('Activities'!L630,390)-MAX('Activities'!K630,384))</x:f>
        <x:v>0</x:v>
      </x:c>
      <x:c r="BR630" s="22" t="n">
        <x:f>MAX(0,MIN('Activities'!L630,396)-MAX('Activities'!K630,390))</x:f>
        <x:v>0</x:v>
      </x:c>
      <x:c r="BS630" s="22" t="n">
        <x:f>MAX(0,MIN('Activities'!L630,402)-MAX('Activities'!K630,396))</x:f>
        <x:v>0</x:v>
      </x:c>
      <x:c r="BT630" s="22" t="n">
        <x:f>MAX(0,MIN('Activities'!L630,408)-MAX('Activities'!K630,402))</x:f>
        <x:v>0</x:v>
      </x:c>
      <x:c r="BU630" s="22" t="n">
        <x:f>MAX(0,MIN('Activities'!L630,414)-MAX('Activities'!K630,408))</x:f>
        <x:v>0</x:v>
      </x:c>
      <x:c r="BV630" s="22" t="n">
        <x:f>MAX(0,MIN('Activities'!L630,420)-MAX('Activities'!K630,414))</x:f>
        <x:v>0</x:v>
      </x:c>
      <x:c r="BW630" s="22" t="n">
        <x:f>MAX(0,MIN('Activities'!L630,426)-MAX('Activities'!K630,420))</x:f>
        <x:v>0</x:v>
      </x:c>
      <x:c r="BX630" s="22" t="n">
        <x:f>MAX(0,MIN('Activities'!L630,432)-MAX('Activities'!K630,426))</x:f>
        <x:v>0</x:v>
      </x:c>
      <x:c r="BY630" s="22" t="n">
        <x:f>MAX(0,MIN('Activities'!L630,438)-MAX('Activities'!K630,432))</x:f>
        <x:v>0</x:v>
      </x:c>
      <x:c r="BZ630" s="22" t="n">
        <x:f>MAX(0,MIN('Activities'!L630,444)-MAX('Activities'!K630,438))</x:f>
        <x:v>0</x:v>
      </x:c>
      <x:c r="CA630" s="22" t="n">
        <x:f>MAX(0,MIN('Activities'!L630,450)-MAX('Activities'!K630,444))</x:f>
        <x:v>1</x:v>
      </x:c>
      <x:c r="CB630" s="22" t="n">
        <x:f>MAX(0,MIN('Activities'!L630,456)-MAX('Activities'!K630,450))</x:f>
        <x:v>5</x:v>
      </x:c>
      <x:c r="CC630" s="22" t="n">
        <x:f>MAX(0,MIN('Activities'!L630,462)-MAX('Activities'!K630,456))</x:f>
        <x:v>0</x:v>
      </x:c>
      <x:c r="CD630" s="22" t="n">
        <x:f>MAX(0,MIN('Activities'!L630,468)-MAX('Activities'!K630,462))</x:f>
        <x:v>0</x:v>
      </x:c>
      <x:c r="CE630" s="22" t="n">
        <x:f>MAX(0,MIN('Activities'!L630,474)-MAX('Activities'!K630,468))</x:f>
        <x:v>0</x:v>
      </x:c>
      <x:c r="CF630" s="22" t="n">
        <x:f>MAX(0,MIN('Activities'!L630,480)-MAX('Activities'!K630,474))</x:f>
        <x:v>0</x:v>
      </x:c>
      <x:c r="CG630" s="22" t="n">
        <x:f>MAX(0,MIN('Activities'!L630,486)-MAX('Activities'!K630,480))</x:f>
        <x:v>0</x:v>
      </x:c>
      <x:c r="CH630" s="22" t="n">
        <x:f>MAX(0,MIN('Activities'!L630,492)-MAX('Activities'!K630,486))</x:f>
        <x:v>0</x:v>
      </x:c>
      <x:c r="CI630" s="22" t="n">
        <x:f>MAX(0,MIN('Activities'!L630,498)-MAX('Activities'!K630,492))</x:f>
        <x:v>0</x:v>
      </x:c>
      <x:c r="CJ630" s="22" t="n">
        <x:f>MAX(0,MIN('Activities'!L630,504)-MAX('Activities'!K630,498))</x:f>
        <x:v>0</x:v>
      </x:c>
      <x:c r="CK630" s="22" t="n">
        <x:f>MAX(0,MIN('Activities'!L630,510)-MAX('Activities'!K630,504))</x:f>
        <x:v>0</x:v>
      </x:c>
      <x:c r="CL630" s="22" t="n">
        <x:f>MAX(0,MIN('Activities'!L630,516)-MAX('Activities'!K630,510))</x:f>
        <x:v>0</x:v>
      </x:c>
      <x:c r="CM630" s="22" t="n">
        <x:f>MAX(0,MIN('Activities'!L630,522)-MAX('Activities'!K630,516))</x:f>
        <x:v>0</x:v>
      </x:c>
      <x:c r="CN630" s="22" t="n">
        <x:f>MAX(0,MIN('Activities'!L630,528)-MAX('Activities'!K630,522))</x:f>
        <x:v>0</x:v>
      </x:c>
      <x:c r="CO630" s="22" t="n">
        <x:f>MAX(0,MIN('Activities'!L630,534)-MAX('Activities'!K630,528))</x:f>
        <x:v>0</x:v>
      </x:c>
      <x:c r="CP630" s="22" t="n">
        <x:f>MAX(0,MIN('Activities'!L630,540)-MAX('Activities'!K630,534))</x:f>
        <x:v>0</x:v>
      </x:c>
      <x:c r="CQ630" s="22" t="n">
        <x:f>MAX(0,MIN('Activities'!L630,546)-MAX('Activities'!K630,540))</x:f>
        <x:v>0</x:v>
      </x:c>
      <x:c r="CR630" s="22" t="n">
        <x:f>MAX(0,MIN('Activities'!L630,552)-MAX('Activities'!K630,546))</x:f>
        <x:v>0</x:v>
      </x:c>
      <x:c r="CS630" s="22" t="n">
        <x:f>MAX(0,MIN('Activities'!L630,558)-MAX('Activities'!K630,552))</x:f>
        <x:v>0</x:v>
      </x:c>
      <x:c r="CT630" s="22" t="n">
        <x:f>MAX(0,MIN('Activities'!L630,564)-MAX('Activities'!K630,558))</x:f>
        <x:v>0</x:v>
      </x:c>
      <x:c r="CU630" s="22" t="n">
        <x:f>MAX(0,MIN('Activities'!L630,570)-MAX('Activities'!K630,564))</x:f>
        <x:v>0</x:v>
      </x:c>
      <x:c r="CV630" s="22" t="n">
        <x:f>MAX(0,MIN('Activities'!L630,576)-MAX('Activities'!K630,570))</x:f>
        <x:v>0</x:v>
      </x:c>
      <x:c r="CW630" s="22" t="n">
        <x:f>MAX(0,MIN('Activities'!L630,582)-MAX('Activities'!K630,576))</x:f>
        <x:v>0</x:v>
      </x:c>
      <x:c r="CX630" s="22" t="n">
        <x:f>MAX(0,MIN('Activities'!L630,588)-MAX('Activities'!K630,582))</x:f>
        <x:v>0</x:v>
      </x:c>
      <x:c r="CY630" s="22" t="n">
        <x:f>MAX(0,MIN('Activities'!L630,594)-MAX('Activities'!K630,588))</x:f>
        <x:v>0</x:v>
      </x:c>
      <x:c r="CZ630" s="22" t="n">
        <x:f>MAX(0,MIN('Activities'!L630,600)-MAX('Activities'!K630,594))</x:f>
        <x:v>0</x:v>
      </x:c>
      <x:c r="DA630" s="22" t="n">
        <x:f>MAX(0,MIN('Activities'!L630,606)-MAX('Activities'!K630,600))</x:f>
        <x:v>0</x:v>
      </x:c>
      <x:c r="DB630" s="22" t="n">
        <x:f>MAX(0,MIN('Activities'!L630,612)-MAX('Activities'!K630,606))</x:f>
        <x:v>0</x:v>
      </x:c>
      <x:c r="DC630" s="22" t="n">
        <x:f>MAX(0,MIN('Activities'!L630,618)-MAX('Activities'!K630,612))</x:f>
        <x:v>0</x:v>
      </x:c>
      <x:c r="DD630" s="22" t="n">
        <x:f>MAX(0,MIN('Activities'!L630,624)-MAX('Activities'!K630,618))</x:f>
        <x:v>0</x:v>
      </x:c>
      <x:c r="DE630" s="22" t="n">
        <x:f>MAX(0,MIN('Activities'!L630,630)-MAX('Activities'!K630,624))</x:f>
        <x:v>0</x:v>
      </x:c>
      <x:c r="DF630" s="22" t="n">
        <x:f>MAX(0,MIN('Activities'!L630,636)-MAX('Activities'!K630,630))</x:f>
        <x:v>0</x:v>
      </x:c>
    </x:row>
    <x:row r="631" ht="23" customHeight="1">
      <x:c r="A631" s="1" t="str">
        <x:v>T5-L04-A</x:v>
      </x:c>
      <x:c r="B631" s="1" t="str">
        <x:v>T5</x:v>
      </x:c>
      <x:c r="C631" s="1" t="str">
        <x:v>Paint and final decorations</x:v>
      </x:c>
      <x:c r="D631" s="1" t="str">
        <x:v>Finishes</x:v>
      </x:c>
      <x:c r="E631" s="23" t="n">
        <x:f>MAX(0,MIN('Activities'!L631,6)-MAX('Activities'!K631,0))</x:f>
        <x:v>0</x:v>
      </x:c>
      <x:c r="F631" s="23" t="n">
        <x:f>MAX(0,MIN('Activities'!L631,12)-MAX('Activities'!K631,6))</x:f>
        <x:v>0</x:v>
      </x:c>
      <x:c r="G631" s="23" t="n">
        <x:f>MAX(0,MIN('Activities'!L631,18)-MAX('Activities'!K631,12))</x:f>
        <x:v>0</x:v>
      </x:c>
      <x:c r="H631" s="23" t="n">
        <x:f>MAX(0,MIN('Activities'!L631,24)-MAX('Activities'!K631,18))</x:f>
        <x:v>0</x:v>
      </x:c>
      <x:c r="I631" s="23" t="n">
        <x:f>MAX(0,MIN('Activities'!L631,30)-MAX('Activities'!K631,24))</x:f>
        <x:v>0</x:v>
      </x:c>
      <x:c r="J631" s="23" t="n">
        <x:f>MAX(0,MIN('Activities'!L631,36)-MAX('Activities'!K631,30))</x:f>
        <x:v>0</x:v>
      </x:c>
      <x:c r="K631" s="23" t="n">
        <x:f>MAX(0,MIN('Activities'!L631,42)-MAX('Activities'!K631,36))</x:f>
        <x:v>0</x:v>
      </x:c>
      <x:c r="L631" s="23" t="n">
        <x:f>MAX(0,MIN('Activities'!L631,48)-MAX('Activities'!K631,42))</x:f>
        <x:v>0</x:v>
      </x:c>
      <x:c r="M631" s="23" t="n">
        <x:f>MAX(0,MIN('Activities'!L631,54)-MAX('Activities'!K631,48))</x:f>
        <x:v>0</x:v>
      </x:c>
      <x:c r="N631" s="23" t="n">
        <x:f>MAX(0,MIN('Activities'!L631,60)-MAX('Activities'!K631,54))</x:f>
        <x:v>0</x:v>
      </x:c>
      <x:c r="O631" s="23" t="n">
        <x:f>MAX(0,MIN('Activities'!L631,66)-MAX('Activities'!K631,60))</x:f>
        <x:v>0</x:v>
      </x:c>
      <x:c r="P631" s="23" t="n">
        <x:f>MAX(0,MIN('Activities'!L631,72)-MAX('Activities'!K631,66))</x:f>
        <x:v>0</x:v>
      </x:c>
      <x:c r="Q631" s="23" t="n">
        <x:f>MAX(0,MIN('Activities'!L631,78)-MAX('Activities'!K631,72))</x:f>
        <x:v>0</x:v>
      </x:c>
      <x:c r="R631" s="23" t="n">
        <x:f>MAX(0,MIN('Activities'!L631,84)-MAX('Activities'!K631,78))</x:f>
        <x:v>0</x:v>
      </x:c>
      <x:c r="S631" s="23" t="n">
        <x:f>MAX(0,MIN('Activities'!L631,90)-MAX('Activities'!K631,84))</x:f>
        <x:v>0</x:v>
      </x:c>
      <x:c r="T631" s="23" t="n">
        <x:f>MAX(0,MIN('Activities'!L631,96)-MAX('Activities'!K631,90))</x:f>
        <x:v>0</x:v>
      </x:c>
      <x:c r="U631" s="23" t="n">
        <x:f>MAX(0,MIN('Activities'!L631,102)-MAX('Activities'!K631,96))</x:f>
        <x:v>0</x:v>
      </x:c>
      <x:c r="V631" s="23" t="n">
        <x:f>MAX(0,MIN('Activities'!L631,108)-MAX('Activities'!K631,102))</x:f>
        <x:v>0</x:v>
      </x:c>
      <x:c r="W631" s="23" t="n">
        <x:f>MAX(0,MIN('Activities'!L631,114)-MAX('Activities'!K631,108))</x:f>
        <x:v>0</x:v>
      </x:c>
      <x:c r="X631" s="23" t="n">
        <x:f>MAX(0,MIN('Activities'!L631,120)-MAX('Activities'!K631,114))</x:f>
        <x:v>0</x:v>
      </x:c>
      <x:c r="Y631" s="23" t="n">
        <x:f>MAX(0,MIN('Activities'!L631,126)-MAX('Activities'!K631,120))</x:f>
        <x:v>0</x:v>
      </x:c>
      <x:c r="Z631" s="23" t="n">
        <x:f>MAX(0,MIN('Activities'!L631,132)-MAX('Activities'!K631,126))</x:f>
        <x:v>0</x:v>
      </x:c>
      <x:c r="AA631" s="23" t="n">
        <x:f>MAX(0,MIN('Activities'!L631,138)-MAX('Activities'!K631,132))</x:f>
        <x:v>0</x:v>
      </x:c>
      <x:c r="AB631" s="23" t="n">
        <x:f>MAX(0,MIN('Activities'!L631,144)-MAX('Activities'!K631,138))</x:f>
        <x:v>0</x:v>
      </x:c>
      <x:c r="AC631" s="23" t="n">
        <x:f>MAX(0,MIN('Activities'!L631,150)-MAX('Activities'!K631,144))</x:f>
        <x:v>0</x:v>
      </x:c>
      <x:c r="AD631" s="23" t="n">
        <x:f>MAX(0,MIN('Activities'!L631,156)-MAX('Activities'!K631,150))</x:f>
        <x:v>0</x:v>
      </x:c>
      <x:c r="AE631" s="23" t="n">
        <x:f>MAX(0,MIN('Activities'!L631,162)-MAX('Activities'!K631,156))</x:f>
        <x:v>0</x:v>
      </x:c>
      <x:c r="AF631" s="23" t="n">
        <x:f>MAX(0,MIN('Activities'!L631,168)-MAX('Activities'!K631,162))</x:f>
        <x:v>0</x:v>
      </x:c>
      <x:c r="AG631" s="23" t="n">
        <x:f>MAX(0,MIN('Activities'!L631,174)-MAX('Activities'!K631,168))</x:f>
        <x:v>0</x:v>
      </x:c>
      <x:c r="AH631" s="23" t="n">
        <x:f>MAX(0,MIN('Activities'!L631,180)-MAX('Activities'!K631,174))</x:f>
        <x:v>0</x:v>
      </x:c>
      <x:c r="AI631" s="23" t="n">
        <x:f>MAX(0,MIN('Activities'!L631,186)-MAX('Activities'!K631,180))</x:f>
        <x:v>0</x:v>
      </x:c>
      <x:c r="AJ631" s="23" t="n">
        <x:f>MAX(0,MIN('Activities'!L631,192)-MAX('Activities'!K631,186))</x:f>
        <x:v>0</x:v>
      </x:c>
      <x:c r="AK631" s="23" t="n">
        <x:f>MAX(0,MIN('Activities'!L631,198)-MAX('Activities'!K631,192))</x:f>
        <x:v>0</x:v>
      </x:c>
      <x:c r="AL631" s="23" t="n">
        <x:f>MAX(0,MIN('Activities'!L631,204)-MAX('Activities'!K631,198))</x:f>
        <x:v>0</x:v>
      </x:c>
      <x:c r="AM631" s="23" t="n">
        <x:f>MAX(0,MIN('Activities'!L631,210)-MAX('Activities'!K631,204))</x:f>
        <x:v>0</x:v>
      </x:c>
      <x:c r="AN631" s="23" t="n">
        <x:f>MAX(0,MIN('Activities'!L631,216)-MAX('Activities'!K631,210))</x:f>
        <x:v>0</x:v>
      </x:c>
      <x:c r="AO631" s="23" t="n">
        <x:f>MAX(0,MIN('Activities'!L631,222)-MAX('Activities'!K631,216))</x:f>
        <x:v>0</x:v>
      </x:c>
      <x:c r="AP631" s="23" t="n">
        <x:f>MAX(0,MIN('Activities'!L631,228)-MAX('Activities'!K631,222))</x:f>
        <x:v>0</x:v>
      </x:c>
      <x:c r="AQ631" s="23" t="n">
        <x:f>MAX(0,MIN('Activities'!L631,234)-MAX('Activities'!K631,228))</x:f>
        <x:v>0</x:v>
      </x:c>
      <x:c r="AR631" s="23" t="n">
        <x:f>MAX(0,MIN('Activities'!L631,240)-MAX('Activities'!K631,234))</x:f>
        <x:v>0</x:v>
      </x:c>
      <x:c r="AS631" s="23" t="n">
        <x:f>MAX(0,MIN('Activities'!L631,246)-MAX('Activities'!K631,240))</x:f>
        <x:v>0</x:v>
      </x:c>
      <x:c r="AT631" s="23" t="n">
        <x:f>MAX(0,MIN('Activities'!L631,252)-MAX('Activities'!K631,246))</x:f>
        <x:v>0</x:v>
      </x:c>
      <x:c r="AU631" s="23" t="n">
        <x:f>MAX(0,MIN('Activities'!L631,258)-MAX('Activities'!K631,252))</x:f>
        <x:v>0</x:v>
      </x:c>
      <x:c r="AV631" s="23" t="n">
        <x:f>MAX(0,MIN('Activities'!L631,264)-MAX('Activities'!K631,258))</x:f>
        <x:v>0</x:v>
      </x:c>
      <x:c r="AW631" s="23" t="n">
        <x:f>MAX(0,MIN('Activities'!L631,270)-MAX('Activities'!K631,264))</x:f>
        <x:v>0</x:v>
      </x:c>
      <x:c r="AX631" s="23" t="n">
        <x:f>MAX(0,MIN('Activities'!L631,276)-MAX('Activities'!K631,270))</x:f>
        <x:v>0</x:v>
      </x:c>
      <x:c r="AY631" s="23" t="n">
        <x:f>MAX(0,MIN('Activities'!L631,282)-MAX('Activities'!K631,276))</x:f>
        <x:v>0</x:v>
      </x:c>
      <x:c r="AZ631" s="23" t="n">
        <x:f>MAX(0,MIN('Activities'!L631,288)-MAX('Activities'!K631,282))</x:f>
        <x:v>0</x:v>
      </x:c>
      <x:c r="BA631" s="23" t="n">
        <x:f>MAX(0,MIN('Activities'!L631,294)-MAX('Activities'!K631,288))</x:f>
        <x:v>0</x:v>
      </x:c>
      <x:c r="BB631" s="23" t="n">
        <x:f>MAX(0,MIN('Activities'!L631,300)-MAX('Activities'!K631,294))</x:f>
        <x:v>0</x:v>
      </x:c>
      <x:c r="BC631" s="23" t="n">
        <x:f>MAX(0,MIN('Activities'!L631,306)-MAX('Activities'!K631,300))</x:f>
        <x:v>0</x:v>
      </x:c>
      <x:c r="BD631" s="23" t="n">
        <x:f>MAX(0,MIN('Activities'!L631,312)-MAX('Activities'!K631,306))</x:f>
        <x:v>0</x:v>
      </x:c>
      <x:c r="BE631" s="23" t="n">
        <x:f>MAX(0,MIN('Activities'!L631,318)-MAX('Activities'!K631,312))</x:f>
        <x:v>0</x:v>
      </x:c>
      <x:c r="BF631" s="23" t="n">
        <x:f>MAX(0,MIN('Activities'!L631,324)-MAX('Activities'!K631,318))</x:f>
        <x:v>0</x:v>
      </x:c>
      <x:c r="BG631" s="23" t="n">
        <x:f>MAX(0,MIN('Activities'!L631,330)-MAX('Activities'!K631,324))</x:f>
        <x:v>0</x:v>
      </x:c>
      <x:c r="BH631" s="23" t="n">
        <x:f>MAX(0,MIN('Activities'!L631,336)-MAX('Activities'!K631,330))</x:f>
        <x:v>0</x:v>
      </x:c>
      <x:c r="BI631" s="23" t="n">
        <x:f>MAX(0,MIN('Activities'!L631,342)-MAX('Activities'!K631,336))</x:f>
        <x:v>0</x:v>
      </x:c>
      <x:c r="BJ631" s="23" t="n">
        <x:f>MAX(0,MIN('Activities'!L631,348)-MAX('Activities'!K631,342))</x:f>
        <x:v>0</x:v>
      </x:c>
      <x:c r="BK631" s="23" t="n">
        <x:f>MAX(0,MIN('Activities'!L631,354)-MAX('Activities'!K631,348))</x:f>
        <x:v>0</x:v>
      </x:c>
      <x:c r="BL631" s="23" t="n">
        <x:f>MAX(0,MIN('Activities'!L631,360)-MAX('Activities'!K631,354))</x:f>
        <x:v>0</x:v>
      </x:c>
      <x:c r="BM631" s="23" t="n">
        <x:f>MAX(0,MIN('Activities'!L631,366)-MAX('Activities'!K631,360))</x:f>
        <x:v>0</x:v>
      </x:c>
      <x:c r="BN631" s="23" t="n">
        <x:f>MAX(0,MIN('Activities'!L631,372)-MAX('Activities'!K631,366))</x:f>
        <x:v>0</x:v>
      </x:c>
      <x:c r="BO631" s="23" t="n">
        <x:f>MAX(0,MIN('Activities'!L631,378)-MAX('Activities'!K631,372))</x:f>
        <x:v>0</x:v>
      </x:c>
      <x:c r="BP631" s="23" t="n">
        <x:f>MAX(0,MIN('Activities'!L631,384)-MAX('Activities'!K631,378))</x:f>
        <x:v>0</x:v>
      </x:c>
      <x:c r="BQ631" s="23" t="n">
        <x:f>MAX(0,MIN('Activities'!L631,390)-MAX('Activities'!K631,384))</x:f>
        <x:v>0</x:v>
      </x:c>
      <x:c r="BR631" s="23" t="n">
        <x:f>MAX(0,MIN('Activities'!L631,396)-MAX('Activities'!K631,390))</x:f>
        <x:v>0</x:v>
      </x:c>
      <x:c r="BS631" s="23" t="n">
        <x:f>MAX(0,MIN('Activities'!L631,402)-MAX('Activities'!K631,396))</x:f>
        <x:v>0</x:v>
      </x:c>
      <x:c r="BT631" s="23" t="n">
        <x:f>MAX(0,MIN('Activities'!L631,408)-MAX('Activities'!K631,402))</x:f>
        <x:v>0</x:v>
      </x:c>
      <x:c r="BU631" s="23" t="n">
        <x:f>MAX(0,MIN('Activities'!L631,414)-MAX('Activities'!K631,408))</x:f>
        <x:v>0</x:v>
      </x:c>
      <x:c r="BV631" s="23" t="n">
        <x:f>MAX(0,MIN('Activities'!L631,420)-MAX('Activities'!K631,414))</x:f>
        <x:v>0</x:v>
      </x:c>
      <x:c r="BW631" s="23" t="n">
        <x:f>MAX(0,MIN('Activities'!L631,426)-MAX('Activities'!K631,420))</x:f>
        <x:v>0</x:v>
      </x:c>
      <x:c r="BX631" s="23" t="n">
        <x:f>MAX(0,MIN('Activities'!L631,432)-MAX('Activities'!K631,426))</x:f>
        <x:v>0</x:v>
      </x:c>
      <x:c r="BY631" s="23" t="n">
        <x:f>MAX(0,MIN('Activities'!L631,438)-MAX('Activities'!K631,432))</x:f>
        <x:v>0</x:v>
      </x:c>
      <x:c r="BZ631" s="23" t="n">
        <x:f>MAX(0,MIN('Activities'!L631,444)-MAX('Activities'!K631,438))</x:f>
        <x:v>0</x:v>
      </x:c>
      <x:c r="CA631" s="23" t="n">
        <x:f>MAX(0,MIN('Activities'!L631,450)-MAX('Activities'!K631,444))</x:f>
        <x:v>0</x:v>
      </x:c>
      <x:c r="CB631" s="23" t="n">
        <x:f>MAX(0,MIN('Activities'!L631,456)-MAX('Activities'!K631,450))</x:f>
        <x:v>0</x:v>
      </x:c>
      <x:c r="CC631" s="23" t="n">
        <x:f>MAX(0,MIN('Activities'!L631,462)-MAX('Activities'!K631,456))</x:f>
        <x:v>5</x:v>
      </x:c>
      <x:c r="CD631" s="23" t="n">
        <x:f>MAX(0,MIN('Activities'!L631,468)-MAX('Activities'!K631,462))</x:f>
        <x:v>0</x:v>
      </x:c>
      <x:c r="CE631" s="23" t="n">
        <x:f>MAX(0,MIN('Activities'!L631,474)-MAX('Activities'!K631,468))</x:f>
        <x:v>0</x:v>
      </x:c>
      <x:c r="CF631" s="23" t="n">
        <x:f>MAX(0,MIN('Activities'!L631,480)-MAX('Activities'!K631,474))</x:f>
        <x:v>0</x:v>
      </x:c>
      <x:c r="CG631" s="23" t="n">
        <x:f>MAX(0,MIN('Activities'!L631,486)-MAX('Activities'!K631,480))</x:f>
        <x:v>0</x:v>
      </x:c>
      <x:c r="CH631" s="23" t="n">
        <x:f>MAX(0,MIN('Activities'!L631,492)-MAX('Activities'!K631,486))</x:f>
        <x:v>0</x:v>
      </x:c>
      <x:c r="CI631" s="23" t="n">
        <x:f>MAX(0,MIN('Activities'!L631,498)-MAX('Activities'!K631,492))</x:f>
        <x:v>0</x:v>
      </x:c>
      <x:c r="CJ631" s="23" t="n">
        <x:f>MAX(0,MIN('Activities'!L631,504)-MAX('Activities'!K631,498))</x:f>
        <x:v>0</x:v>
      </x:c>
      <x:c r="CK631" s="23" t="n">
        <x:f>MAX(0,MIN('Activities'!L631,510)-MAX('Activities'!K631,504))</x:f>
        <x:v>0</x:v>
      </x:c>
      <x:c r="CL631" s="23" t="n">
        <x:f>MAX(0,MIN('Activities'!L631,516)-MAX('Activities'!K631,510))</x:f>
        <x:v>0</x:v>
      </x:c>
      <x:c r="CM631" s="23" t="n">
        <x:f>MAX(0,MIN('Activities'!L631,522)-MAX('Activities'!K631,516))</x:f>
        <x:v>0</x:v>
      </x:c>
      <x:c r="CN631" s="23" t="n">
        <x:f>MAX(0,MIN('Activities'!L631,528)-MAX('Activities'!K631,522))</x:f>
        <x:v>0</x:v>
      </x:c>
      <x:c r="CO631" s="23" t="n">
        <x:f>MAX(0,MIN('Activities'!L631,534)-MAX('Activities'!K631,528))</x:f>
        <x:v>0</x:v>
      </x:c>
      <x:c r="CP631" s="23" t="n">
        <x:f>MAX(0,MIN('Activities'!L631,540)-MAX('Activities'!K631,534))</x:f>
        <x:v>0</x:v>
      </x:c>
      <x:c r="CQ631" s="23" t="n">
        <x:f>MAX(0,MIN('Activities'!L631,546)-MAX('Activities'!K631,540))</x:f>
        <x:v>0</x:v>
      </x:c>
      <x:c r="CR631" s="23" t="n">
        <x:f>MAX(0,MIN('Activities'!L631,552)-MAX('Activities'!K631,546))</x:f>
        <x:v>0</x:v>
      </x:c>
      <x:c r="CS631" s="23" t="n">
        <x:f>MAX(0,MIN('Activities'!L631,558)-MAX('Activities'!K631,552))</x:f>
        <x:v>0</x:v>
      </x:c>
      <x:c r="CT631" s="23" t="n">
        <x:f>MAX(0,MIN('Activities'!L631,564)-MAX('Activities'!K631,558))</x:f>
        <x:v>0</x:v>
      </x:c>
      <x:c r="CU631" s="23" t="n">
        <x:f>MAX(0,MIN('Activities'!L631,570)-MAX('Activities'!K631,564))</x:f>
        <x:v>0</x:v>
      </x:c>
      <x:c r="CV631" s="23" t="n">
        <x:f>MAX(0,MIN('Activities'!L631,576)-MAX('Activities'!K631,570))</x:f>
        <x:v>0</x:v>
      </x:c>
      <x:c r="CW631" s="23" t="n">
        <x:f>MAX(0,MIN('Activities'!L631,582)-MAX('Activities'!K631,576))</x:f>
        <x:v>0</x:v>
      </x:c>
      <x:c r="CX631" s="23" t="n">
        <x:f>MAX(0,MIN('Activities'!L631,588)-MAX('Activities'!K631,582))</x:f>
        <x:v>0</x:v>
      </x:c>
      <x:c r="CY631" s="23" t="n">
        <x:f>MAX(0,MIN('Activities'!L631,594)-MAX('Activities'!K631,588))</x:f>
        <x:v>0</x:v>
      </x:c>
      <x:c r="CZ631" s="23" t="n">
        <x:f>MAX(0,MIN('Activities'!L631,600)-MAX('Activities'!K631,594))</x:f>
        <x:v>0</x:v>
      </x:c>
      <x:c r="DA631" s="23" t="n">
        <x:f>MAX(0,MIN('Activities'!L631,606)-MAX('Activities'!K631,600))</x:f>
        <x:v>0</x:v>
      </x:c>
      <x:c r="DB631" s="23" t="n">
        <x:f>MAX(0,MIN('Activities'!L631,612)-MAX('Activities'!K631,606))</x:f>
        <x:v>0</x:v>
      </x:c>
      <x:c r="DC631" s="23" t="n">
        <x:f>MAX(0,MIN('Activities'!L631,618)-MAX('Activities'!K631,612))</x:f>
        <x:v>0</x:v>
      </x:c>
      <x:c r="DD631" s="23" t="n">
        <x:f>MAX(0,MIN('Activities'!L631,624)-MAX('Activities'!K631,618))</x:f>
        <x:v>0</x:v>
      </x:c>
      <x:c r="DE631" s="23" t="n">
        <x:f>MAX(0,MIN('Activities'!L631,630)-MAX('Activities'!K631,624))</x:f>
        <x:v>0</x:v>
      </x:c>
      <x:c r="DF631" s="23" t="n">
        <x:f>MAX(0,MIN('Activities'!L631,636)-MAX('Activities'!K631,630))</x:f>
        <x:v>0</x:v>
      </x:c>
    </x:row>
    <x:row r="632" ht="23" customHeight="1">
      <x:c r="A632" s="6" t="str">
        <x:v>T5-L04-D</x:v>
      </x:c>
      <x:c r="B632" s="6" t="str">
        <x:v>T5</x:v>
      </x:c>
      <x:c r="C632" s="6" t="str">
        <x:v>Door sets and ironmongery</x:v>
      </x:c>
      <x:c r="D632" s="6" t="str">
        <x:v>Finishes</x:v>
      </x:c>
      <x:c r="E632" s="22" t="n">
        <x:f>MAX(0,MIN('Activities'!L632,6)-MAX('Activities'!K632,0))</x:f>
        <x:v>0</x:v>
      </x:c>
      <x:c r="F632" s="22" t="n">
        <x:f>MAX(0,MIN('Activities'!L632,12)-MAX('Activities'!K632,6))</x:f>
        <x:v>0</x:v>
      </x:c>
      <x:c r="G632" s="22" t="n">
        <x:f>MAX(0,MIN('Activities'!L632,18)-MAX('Activities'!K632,12))</x:f>
        <x:v>0</x:v>
      </x:c>
      <x:c r="H632" s="22" t="n">
        <x:f>MAX(0,MIN('Activities'!L632,24)-MAX('Activities'!K632,18))</x:f>
        <x:v>0</x:v>
      </x:c>
      <x:c r="I632" s="22" t="n">
        <x:f>MAX(0,MIN('Activities'!L632,30)-MAX('Activities'!K632,24))</x:f>
        <x:v>0</x:v>
      </x:c>
      <x:c r="J632" s="22" t="n">
        <x:f>MAX(0,MIN('Activities'!L632,36)-MAX('Activities'!K632,30))</x:f>
        <x:v>0</x:v>
      </x:c>
      <x:c r="K632" s="22" t="n">
        <x:f>MAX(0,MIN('Activities'!L632,42)-MAX('Activities'!K632,36))</x:f>
        <x:v>0</x:v>
      </x:c>
      <x:c r="L632" s="22" t="n">
        <x:f>MAX(0,MIN('Activities'!L632,48)-MAX('Activities'!K632,42))</x:f>
        <x:v>0</x:v>
      </x:c>
      <x:c r="M632" s="22" t="n">
        <x:f>MAX(0,MIN('Activities'!L632,54)-MAX('Activities'!K632,48))</x:f>
        <x:v>0</x:v>
      </x:c>
      <x:c r="N632" s="22" t="n">
        <x:f>MAX(0,MIN('Activities'!L632,60)-MAX('Activities'!K632,54))</x:f>
        <x:v>0</x:v>
      </x:c>
      <x:c r="O632" s="22" t="n">
        <x:f>MAX(0,MIN('Activities'!L632,66)-MAX('Activities'!K632,60))</x:f>
        <x:v>0</x:v>
      </x:c>
      <x:c r="P632" s="22" t="n">
        <x:f>MAX(0,MIN('Activities'!L632,72)-MAX('Activities'!K632,66))</x:f>
        <x:v>0</x:v>
      </x:c>
      <x:c r="Q632" s="22" t="n">
        <x:f>MAX(0,MIN('Activities'!L632,78)-MAX('Activities'!K632,72))</x:f>
        <x:v>0</x:v>
      </x:c>
      <x:c r="R632" s="22" t="n">
        <x:f>MAX(0,MIN('Activities'!L632,84)-MAX('Activities'!K632,78))</x:f>
        <x:v>0</x:v>
      </x:c>
      <x:c r="S632" s="22" t="n">
        <x:f>MAX(0,MIN('Activities'!L632,90)-MAX('Activities'!K632,84))</x:f>
        <x:v>0</x:v>
      </x:c>
      <x:c r="T632" s="22" t="n">
        <x:f>MAX(0,MIN('Activities'!L632,96)-MAX('Activities'!K632,90))</x:f>
        <x:v>0</x:v>
      </x:c>
      <x:c r="U632" s="22" t="n">
        <x:f>MAX(0,MIN('Activities'!L632,102)-MAX('Activities'!K632,96))</x:f>
        <x:v>0</x:v>
      </x:c>
      <x:c r="V632" s="22" t="n">
        <x:f>MAX(0,MIN('Activities'!L632,108)-MAX('Activities'!K632,102))</x:f>
        <x:v>0</x:v>
      </x:c>
      <x:c r="W632" s="22" t="n">
        <x:f>MAX(0,MIN('Activities'!L632,114)-MAX('Activities'!K632,108))</x:f>
        <x:v>0</x:v>
      </x:c>
      <x:c r="X632" s="22" t="n">
        <x:f>MAX(0,MIN('Activities'!L632,120)-MAX('Activities'!K632,114))</x:f>
        <x:v>0</x:v>
      </x:c>
      <x:c r="Y632" s="22" t="n">
        <x:f>MAX(0,MIN('Activities'!L632,126)-MAX('Activities'!K632,120))</x:f>
        <x:v>0</x:v>
      </x:c>
      <x:c r="Z632" s="22" t="n">
        <x:f>MAX(0,MIN('Activities'!L632,132)-MAX('Activities'!K632,126))</x:f>
        <x:v>0</x:v>
      </x:c>
      <x:c r="AA632" s="22" t="n">
        <x:f>MAX(0,MIN('Activities'!L632,138)-MAX('Activities'!K632,132))</x:f>
        <x:v>0</x:v>
      </x:c>
      <x:c r="AB632" s="22" t="n">
        <x:f>MAX(0,MIN('Activities'!L632,144)-MAX('Activities'!K632,138))</x:f>
        <x:v>0</x:v>
      </x:c>
      <x:c r="AC632" s="22" t="n">
        <x:f>MAX(0,MIN('Activities'!L632,150)-MAX('Activities'!K632,144))</x:f>
        <x:v>0</x:v>
      </x:c>
      <x:c r="AD632" s="22" t="n">
        <x:f>MAX(0,MIN('Activities'!L632,156)-MAX('Activities'!K632,150))</x:f>
        <x:v>0</x:v>
      </x:c>
      <x:c r="AE632" s="22" t="n">
        <x:f>MAX(0,MIN('Activities'!L632,162)-MAX('Activities'!K632,156))</x:f>
        <x:v>0</x:v>
      </x:c>
      <x:c r="AF632" s="22" t="n">
        <x:f>MAX(0,MIN('Activities'!L632,168)-MAX('Activities'!K632,162))</x:f>
        <x:v>0</x:v>
      </x:c>
      <x:c r="AG632" s="22" t="n">
        <x:f>MAX(0,MIN('Activities'!L632,174)-MAX('Activities'!K632,168))</x:f>
        <x:v>0</x:v>
      </x:c>
      <x:c r="AH632" s="22" t="n">
        <x:f>MAX(0,MIN('Activities'!L632,180)-MAX('Activities'!K632,174))</x:f>
        <x:v>0</x:v>
      </x:c>
      <x:c r="AI632" s="22" t="n">
        <x:f>MAX(0,MIN('Activities'!L632,186)-MAX('Activities'!K632,180))</x:f>
        <x:v>0</x:v>
      </x:c>
      <x:c r="AJ632" s="22" t="n">
        <x:f>MAX(0,MIN('Activities'!L632,192)-MAX('Activities'!K632,186))</x:f>
        <x:v>0</x:v>
      </x:c>
      <x:c r="AK632" s="22" t="n">
        <x:f>MAX(0,MIN('Activities'!L632,198)-MAX('Activities'!K632,192))</x:f>
        <x:v>0</x:v>
      </x:c>
      <x:c r="AL632" s="22" t="n">
        <x:f>MAX(0,MIN('Activities'!L632,204)-MAX('Activities'!K632,198))</x:f>
        <x:v>0</x:v>
      </x:c>
      <x:c r="AM632" s="22" t="n">
        <x:f>MAX(0,MIN('Activities'!L632,210)-MAX('Activities'!K632,204))</x:f>
        <x:v>0</x:v>
      </x:c>
      <x:c r="AN632" s="22" t="n">
        <x:f>MAX(0,MIN('Activities'!L632,216)-MAX('Activities'!K632,210))</x:f>
        <x:v>0</x:v>
      </x:c>
      <x:c r="AO632" s="22" t="n">
        <x:f>MAX(0,MIN('Activities'!L632,222)-MAX('Activities'!K632,216))</x:f>
        <x:v>0</x:v>
      </x:c>
      <x:c r="AP632" s="22" t="n">
        <x:f>MAX(0,MIN('Activities'!L632,228)-MAX('Activities'!K632,222))</x:f>
        <x:v>0</x:v>
      </x:c>
      <x:c r="AQ632" s="22" t="n">
        <x:f>MAX(0,MIN('Activities'!L632,234)-MAX('Activities'!K632,228))</x:f>
        <x:v>0</x:v>
      </x:c>
      <x:c r="AR632" s="22" t="n">
        <x:f>MAX(0,MIN('Activities'!L632,240)-MAX('Activities'!K632,234))</x:f>
        <x:v>0</x:v>
      </x:c>
      <x:c r="AS632" s="22" t="n">
        <x:f>MAX(0,MIN('Activities'!L632,246)-MAX('Activities'!K632,240))</x:f>
        <x:v>0</x:v>
      </x:c>
      <x:c r="AT632" s="22" t="n">
        <x:f>MAX(0,MIN('Activities'!L632,252)-MAX('Activities'!K632,246))</x:f>
        <x:v>0</x:v>
      </x:c>
      <x:c r="AU632" s="22" t="n">
        <x:f>MAX(0,MIN('Activities'!L632,258)-MAX('Activities'!K632,252))</x:f>
        <x:v>0</x:v>
      </x:c>
      <x:c r="AV632" s="22" t="n">
        <x:f>MAX(0,MIN('Activities'!L632,264)-MAX('Activities'!K632,258))</x:f>
        <x:v>0</x:v>
      </x:c>
      <x:c r="AW632" s="22" t="n">
        <x:f>MAX(0,MIN('Activities'!L632,270)-MAX('Activities'!K632,264))</x:f>
        <x:v>0</x:v>
      </x:c>
      <x:c r="AX632" s="22" t="n">
        <x:f>MAX(0,MIN('Activities'!L632,276)-MAX('Activities'!K632,270))</x:f>
        <x:v>0</x:v>
      </x:c>
      <x:c r="AY632" s="22" t="n">
        <x:f>MAX(0,MIN('Activities'!L632,282)-MAX('Activities'!K632,276))</x:f>
        <x:v>0</x:v>
      </x:c>
      <x:c r="AZ632" s="22" t="n">
        <x:f>MAX(0,MIN('Activities'!L632,288)-MAX('Activities'!K632,282))</x:f>
        <x:v>0</x:v>
      </x:c>
      <x:c r="BA632" s="22" t="n">
        <x:f>MAX(0,MIN('Activities'!L632,294)-MAX('Activities'!K632,288))</x:f>
        <x:v>0</x:v>
      </x:c>
      <x:c r="BB632" s="22" t="n">
        <x:f>MAX(0,MIN('Activities'!L632,300)-MAX('Activities'!K632,294))</x:f>
        <x:v>0</x:v>
      </x:c>
      <x:c r="BC632" s="22" t="n">
        <x:f>MAX(0,MIN('Activities'!L632,306)-MAX('Activities'!K632,300))</x:f>
        <x:v>0</x:v>
      </x:c>
      <x:c r="BD632" s="22" t="n">
        <x:f>MAX(0,MIN('Activities'!L632,312)-MAX('Activities'!K632,306))</x:f>
        <x:v>0</x:v>
      </x:c>
      <x:c r="BE632" s="22" t="n">
        <x:f>MAX(0,MIN('Activities'!L632,318)-MAX('Activities'!K632,312))</x:f>
        <x:v>0</x:v>
      </x:c>
      <x:c r="BF632" s="22" t="n">
        <x:f>MAX(0,MIN('Activities'!L632,324)-MAX('Activities'!K632,318))</x:f>
        <x:v>0</x:v>
      </x:c>
      <x:c r="BG632" s="22" t="n">
        <x:f>MAX(0,MIN('Activities'!L632,330)-MAX('Activities'!K632,324))</x:f>
        <x:v>0</x:v>
      </x:c>
      <x:c r="BH632" s="22" t="n">
        <x:f>MAX(0,MIN('Activities'!L632,336)-MAX('Activities'!K632,330))</x:f>
        <x:v>0</x:v>
      </x:c>
      <x:c r="BI632" s="22" t="n">
        <x:f>MAX(0,MIN('Activities'!L632,342)-MAX('Activities'!K632,336))</x:f>
        <x:v>0</x:v>
      </x:c>
      <x:c r="BJ632" s="22" t="n">
        <x:f>MAX(0,MIN('Activities'!L632,348)-MAX('Activities'!K632,342))</x:f>
        <x:v>0</x:v>
      </x:c>
      <x:c r="BK632" s="22" t="n">
        <x:f>MAX(0,MIN('Activities'!L632,354)-MAX('Activities'!K632,348))</x:f>
        <x:v>0</x:v>
      </x:c>
      <x:c r="BL632" s="22" t="n">
        <x:f>MAX(0,MIN('Activities'!L632,360)-MAX('Activities'!K632,354))</x:f>
        <x:v>0</x:v>
      </x:c>
      <x:c r="BM632" s="22" t="n">
        <x:f>MAX(0,MIN('Activities'!L632,366)-MAX('Activities'!K632,360))</x:f>
        <x:v>0</x:v>
      </x:c>
      <x:c r="BN632" s="22" t="n">
        <x:f>MAX(0,MIN('Activities'!L632,372)-MAX('Activities'!K632,366))</x:f>
        <x:v>0</x:v>
      </x:c>
      <x:c r="BO632" s="22" t="n">
        <x:f>MAX(0,MIN('Activities'!L632,378)-MAX('Activities'!K632,372))</x:f>
        <x:v>0</x:v>
      </x:c>
      <x:c r="BP632" s="22" t="n">
        <x:f>MAX(0,MIN('Activities'!L632,384)-MAX('Activities'!K632,378))</x:f>
        <x:v>0</x:v>
      </x:c>
      <x:c r="BQ632" s="22" t="n">
        <x:f>MAX(0,MIN('Activities'!L632,390)-MAX('Activities'!K632,384))</x:f>
        <x:v>0</x:v>
      </x:c>
      <x:c r="BR632" s="22" t="n">
        <x:f>MAX(0,MIN('Activities'!L632,396)-MAX('Activities'!K632,390))</x:f>
        <x:v>0</x:v>
      </x:c>
      <x:c r="BS632" s="22" t="n">
        <x:f>MAX(0,MIN('Activities'!L632,402)-MAX('Activities'!K632,396))</x:f>
        <x:v>0</x:v>
      </x:c>
      <x:c r="BT632" s="22" t="n">
        <x:f>MAX(0,MIN('Activities'!L632,408)-MAX('Activities'!K632,402))</x:f>
        <x:v>0</x:v>
      </x:c>
      <x:c r="BU632" s="22" t="n">
        <x:f>MAX(0,MIN('Activities'!L632,414)-MAX('Activities'!K632,408))</x:f>
        <x:v>0</x:v>
      </x:c>
      <x:c r="BV632" s="22" t="n">
        <x:f>MAX(0,MIN('Activities'!L632,420)-MAX('Activities'!K632,414))</x:f>
        <x:v>0</x:v>
      </x:c>
      <x:c r="BW632" s="22" t="n">
        <x:f>MAX(0,MIN('Activities'!L632,426)-MAX('Activities'!K632,420))</x:f>
        <x:v>0</x:v>
      </x:c>
      <x:c r="BX632" s="22" t="n">
        <x:f>MAX(0,MIN('Activities'!L632,432)-MAX('Activities'!K632,426))</x:f>
        <x:v>0</x:v>
      </x:c>
      <x:c r="BY632" s="22" t="n">
        <x:f>MAX(0,MIN('Activities'!L632,438)-MAX('Activities'!K632,432))</x:f>
        <x:v>0</x:v>
      </x:c>
      <x:c r="BZ632" s="22" t="n">
        <x:f>MAX(0,MIN('Activities'!L632,444)-MAX('Activities'!K632,438))</x:f>
        <x:v>0</x:v>
      </x:c>
      <x:c r="CA632" s="22" t="n">
        <x:f>MAX(0,MIN('Activities'!L632,450)-MAX('Activities'!K632,444))</x:f>
        <x:v>0</x:v>
      </x:c>
      <x:c r="CB632" s="22" t="n">
        <x:f>MAX(0,MIN('Activities'!L632,456)-MAX('Activities'!K632,450))</x:f>
        <x:v>0</x:v>
      </x:c>
      <x:c r="CC632" s="22" t="n">
        <x:f>MAX(0,MIN('Activities'!L632,462)-MAX('Activities'!K632,456))</x:f>
        <x:v>0</x:v>
      </x:c>
      <x:c r="CD632" s="22" t="n">
        <x:f>MAX(0,MIN('Activities'!L632,468)-MAX('Activities'!K632,462))</x:f>
        <x:v>3</x:v>
      </x:c>
      <x:c r="CE632" s="22" t="n">
        <x:f>MAX(0,MIN('Activities'!L632,474)-MAX('Activities'!K632,468))</x:f>
        <x:v>0</x:v>
      </x:c>
      <x:c r="CF632" s="22" t="n">
        <x:f>MAX(0,MIN('Activities'!L632,480)-MAX('Activities'!K632,474))</x:f>
        <x:v>0</x:v>
      </x:c>
      <x:c r="CG632" s="22" t="n">
        <x:f>MAX(0,MIN('Activities'!L632,486)-MAX('Activities'!K632,480))</x:f>
        <x:v>0</x:v>
      </x:c>
      <x:c r="CH632" s="22" t="n">
        <x:f>MAX(0,MIN('Activities'!L632,492)-MAX('Activities'!K632,486))</x:f>
        <x:v>0</x:v>
      </x:c>
      <x:c r="CI632" s="22" t="n">
        <x:f>MAX(0,MIN('Activities'!L632,498)-MAX('Activities'!K632,492))</x:f>
        <x:v>0</x:v>
      </x:c>
      <x:c r="CJ632" s="22" t="n">
        <x:f>MAX(0,MIN('Activities'!L632,504)-MAX('Activities'!K632,498))</x:f>
        <x:v>0</x:v>
      </x:c>
      <x:c r="CK632" s="22" t="n">
        <x:f>MAX(0,MIN('Activities'!L632,510)-MAX('Activities'!K632,504))</x:f>
        <x:v>0</x:v>
      </x:c>
      <x:c r="CL632" s="22" t="n">
        <x:f>MAX(0,MIN('Activities'!L632,516)-MAX('Activities'!K632,510))</x:f>
        <x:v>0</x:v>
      </x:c>
      <x:c r="CM632" s="22" t="n">
        <x:f>MAX(0,MIN('Activities'!L632,522)-MAX('Activities'!K632,516))</x:f>
        <x:v>0</x:v>
      </x:c>
      <x:c r="CN632" s="22" t="n">
        <x:f>MAX(0,MIN('Activities'!L632,528)-MAX('Activities'!K632,522))</x:f>
        <x:v>0</x:v>
      </x:c>
      <x:c r="CO632" s="22" t="n">
        <x:f>MAX(0,MIN('Activities'!L632,534)-MAX('Activities'!K632,528))</x:f>
        <x:v>0</x:v>
      </x:c>
      <x:c r="CP632" s="22" t="n">
        <x:f>MAX(0,MIN('Activities'!L632,540)-MAX('Activities'!K632,534))</x:f>
        <x:v>0</x:v>
      </x:c>
      <x:c r="CQ632" s="22" t="n">
        <x:f>MAX(0,MIN('Activities'!L632,546)-MAX('Activities'!K632,540))</x:f>
        <x:v>0</x:v>
      </x:c>
      <x:c r="CR632" s="22" t="n">
        <x:f>MAX(0,MIN('Activities'!L632,552)-MAX('Activities'!K632,546))</x:f>
        <x:v>0</x:v>
      </x:c>
      <x:c r="CS632" s="22" t="n">
        <x:f>MAX(0,MIN('Activities'!L632,558)-MAX('Activities'!K632,552))</x:f>
        <x:v>0</x:v>
      </x:c>
      <x:c r="CT632" s="22" t="n">
        <x:f>MAX(0,MIN('Activities'!L632,564)-MAX('Activities'!K632,558))</x:f>
        <x:v>0</x:v>
      </x:c>
      <x:c r="CU632" s="22" t="n">
        <x:f>MAX(0,MIN('Activities'!L632,570)-MAX('Activities'!K632,564))</x:f>
        <x:v>0</x:v>
      </x:c>
      <x:c r="CV632" s="22" t="n">
        <x:f>MAX(0,MIN('Activities'!L632,576)-MAX('Activities'!K632,570))</x:f>
        <x:v>0</x:v>
      </x:c>
      <x:c r="CW632" s="22" t="n">
        <x:f>MAX(0,MIN('Activities'!L632,582)-MAX('Activities'!K632,576))</x:f>
        <x:v>0</x:v>
      </x:c>
      <x:c r="CX632" s="22" t="n">
        <x:f>MAX(0,MIN('Activities'!L632,588)-MAX('Activities'!K632,582))</x:f>
        <x:v>0</x:v>
      </x:c>
      <x:c r="CY632" s="22" t="n">
        <x:f>MAX(0,MIN('Activities'!L632,594)-MAX('Activities'!K632,588))</x:f>
        <x:v>0</x:v>
      </x:c>
      <x:c r="CZ632" s="22" t="n">
        <x:f>MAX(0,MIN('Activities'!L632,600)-MAX('Activities'!K632,594))</x:f>
        <x:v>0</x:v>
      </x:c>
      <x:c r="DA632" s="22" t="n">
        <x:f>MAX(0,MIN('Activities'!L632,606)-MAX('Activities'!K632,600))</x:f>
        <x:v>0</x:v>
      </x:c>
      <x:c r="DB632" s="22" t="n">
        <x:f>MAX(0,MIN('Activities'!L632,612)-MAX('Activities'!K632,606))</x:f>
        <x:v>0</x:v>
      </x:c>
      <x:c r="DC632" s="22" t="n">
        <x:f>MAX(0,MIN('Activities'!L632,618)-MAX('Activities'!K632,612))</x:f>
        <x:v>0</x:v>
      </x:c>
      <x:c r="DD632" s="22" t="n">
        <x:f>MAX(0,MIN('Activities'!L632,624)-MAX('Activities'!K632,618))</x:f>
        <x:v>0</x:v>
      </x:c>
      <x:c r="DE632" s="22" t="n">
        <x:f>MAX(0,MIN('Activities'!L632,630)-MAX('Activities'!K632,624))</x:f>
        <x:v>0</x:v>
      </x:c>
      <x:c r="DF632" s="22" t="n">
        <x:f>MAX(0,MIN('Activities'!L632,636)-MAX('Activities'!K632,630))</x:f>
        <x:v>0</x:v>
      </x:c>
    </x:row>
    <x:row r="633" ht="23" customHeight="1">
      <x:c r="A633" s="1" t="str">
        <x:v>T5-L05-M</x:v>
      </x:c>
      <x:c r="B633" s="1" t="str">
        <x:v>T5</x:v>
      </x:c>
      <x:c r="C633" s="1" t="str">
        <x:v>Partition masonry</x:v>
      </x:c>
      <x:c r="D633" s="1" t="str">
        <x:v>Masonry</x:v>
      </x:c>
      <x:c r="E633" s="23" t="n">
        <x:f>MAX(0,MIN('Activities'!L633,6)-MAX('Activities'!K633,0))</x:f>
        <x:v>0</x:v>
      </x:c>
      <x:c r="F633" s="23" t="n">
        <x:f>MAX(0,MIN('Activities'!L633,12)-MAX('Activities'!K633,6))</x:f>
        <x:v>0</x:v>
      </x:c>
      <x:c r="G633" s="23" t="n">
        <x:f>MAX(0,MIN('Activities'!L633,18)-MAX('Activities'!K633,12))</x:f>
        <x:v>0</x:v>
      </x:c>
      <x:c r="H633" s="23" t="n">
        <x:f>MAX(0,MIN('Activities'!L633,24)-MAX('Activities'!K633,18))</x:f>
        <x:v>0</x:v>
      </x:c>
      <x:c r="I633" s="23" t="n">
        <x:f>MAX(0,MIN('Activities'!L633,30)-MAX('Activities'!K633,24))</x:f>
        <x:v>0</x:v>
      </x:c>
      <x:c r="J633" s="23" t="n">
        <x:f>MAX(0,MIN('Activities'!L633,36)-MAX('Activities'!K633,30))</x:f>
        <x:v>0</x:v>
      </x:c>
      <x:c r="K633" s="23" t="n">
        <x:f>MAX(0,MIN('Activities'!L633,42)-MAX('Activities'!K633,36))</x:f>
        <x:v>0</x:v>
      </x:c>
      <x:c r="L633" s="23" t="n">
        <x:f>MAX(0,MIN('Activities'!L633,48)-MAX('Activities'!K633,42))</x:f>
        <x:v>0</x:v>
      </x:c>
      <x:c r="M633" s="23" t="n">
        <x:f>MAX(0,MIN('Activities'!L633,54)-MAX('Activities'!K633,48))</x:f>
        <x:v>0</x:v>
      </x:c>
      <x:c r="N633" s="23" t="n">
        <x:f>MAX(0,MIN('Activities'!L633,60)-MAX('Activities'!K633,54))</x:f>
        <x:v>0</x:v>
      </x:c>
      <x:c r="O633" s="23" t="n">
        <x:f>MAX(0,MIN('Activities'!L633,66)-MAX('Activities'!K633,60))</x:f>
        <x:v>0</x:v>
      </x:c>
      <x:c r="P633" s="23" t="n">
        <x:f>MAX(0,MIN('Activities'!L633,72)-MAX('Activities'!K633,66))</x:f>
        <x:v>0</x:v>
      </x:c>
      <x:c r="Q633" s="23" t="n">
        <x:f>MAX(0,MIN('Activities'!L633,78)-MAX('Activities'!K633,72))</x:f>
        <x:v>0</x:v>
      </x:c>
      <x:c r="R633" s="23" t="n">
        <x:f>MAX(0,MIN('Activities'!L633,84)-MAX('Activities'!K633,78))</x:f>
        <x:v>0</x:v>
      </x:c>
      <x:c r="S633" s="23" t="n">
        <x:f>MAX(0,MIN('Activities'!L633,90)-MAX('Activities'!K633,84))</x:f>
        <x:v>0</x:v>
      </x:c>
      <x:c r="T633" s="23" t="n">
        <x:f>MAX(0,MIN('Activities'!L633,96)-MAX('Activities'!K633,90))</x:f>
        <x:v>0</x:v>
      </x:c>
      <x:c r="U633" s="23" t="n">
        <x:f>MAX(0,MIN('Activities'!L633,102)-MAX('Activities'!K633,96))</x:f>
        <x:v>0</x:v>
      </x:c>
      <x:c r="V633" s="23" t="n">
        <x:f>MAX(0,MIN('Activities'!L633,108)-MAX('Activities'!K633,102))</x:f>
        <x:v>0</x:v>
      </x:c>
      <x:c r="W633" s="23" t="n">
        <x:f>MAX(0,MIN('Activities'!L633,114)-MAX('Activities'!K633,108))</x:f>
        <x:v>0</x:v>
      </x:c>
      <x:c r="X633" s="23" t="n">
        <x:f>MAX(0,MIN('Activities'!L633,120)-MAX('Activities'!K633,114))</x:f>
        <x:v>0</x:v>
      </x:c>
      <x:c r="Y633" s="23" t="n">
        <x:f>MAX(0,MIN('Activities'!L633,126)-MAX('Activities'!K633,120))</x:f>
        <x:v>0</x:v>
      </x:c>
      <x:c r="Z633" s="23" t="n">
        <x:f>MAX(0,MIN('Activities'!L633,132)-MAX('Activities'!K633,126))</x:f>
        <x:v>0</x:v>
      </x:c>
      <x:c r="AA633" s="23" t="n">
        <x:f>MAX(0,MIN('Activities'!L633,138)-MAX('Activities'!K633,132))</x:f>
        <x:v>0</x:v>
      </x:c>
      <x:c r="AB633" s="23" t="n">
        <x:f>MAX(0,MIN('Activities'!L633,144)-MAX('Activities'!K633,138))</x:f>
        <x:v>0</x:v>
      </x:c>
      <x:c r="AC633" s="23" t="n">
        <x:f>MAX(0,MIN('Activities'!L633,150)-MAX('Activities'!K633,144))</x:f>
        <x:v>0</x:v>
      </x:c>
      <x:c r="AD633" s="23" t="n">
        <x:f>MAX(0,MIN('Activities'!L633,156)-MAX('Activities'!K633,150))</x:f>
        <x:v>0</x:v>
      </x:c>
      <x:c r="AE633" s="23" t="n">
        <x:f>MAX(0,MIN('Activities'!L633,162)-MAX('Activities'!K633,156))</x:f>
        <x:v>0</x:v>
      </x:c>
      <x:c r="AF633" s="23" t="n">
        <x:f>MAX(0,MIN('Activities'!L633,168)-MAX('Activities'!K633,162))</x:f>
        <x:v>0</x:v>
      </x:c>
      <x:c r="AG633" s="23" t="n">
        <x:f>MAX(0,MIN('Activities'!L633,174)-MAX('Activities'!K633,168))</x:f>
        <x:v>0</x:v>
      </x:c>
      <x:c r="AH633" s="23" t="n">
        <x:f>MAX(0,MIN('Activities'!L633,180)-MAX('Activities'!K633,174))</x:f>
        <x:v>0</x:v>
      </x:c>
      <x:c r="AI633" s="23" t="n">
        <x:f>MAX(0,MIN('Activities'!L633,186)-MAX('Activities'!K633,180))</x:f>
        <x:v>0</x:v>
      </x:c>
      <x:c r="AJ633" s="23" t="n">
        <x:f>MAX(0,MIN('Activities'!L633,192)-MAX('Activities'!K633,186))</x:f>
        <x:v>0</x:v>
      </x:c>
      <x:c r="AK633" s="23" t="n">
        <x:f>MAX(0,MIN('Activities'!L633,198)-MAX('Activities'!K633,192))</x:f>
        <x:v>0</x:v>
      </x:c>
      <x:c r="AL633" s="23" t="n">
        <x:f>MAX(0,MIN('Activities'!L633,204)-MAX('Activities'!K633,198))</x:f>
        <x:v>0</x:v>
      </x:c>
      <x:c r="AM633" s="23" t="n">
        <x:f>MAX(0,MIN('Activities'!L633,210)-MAX('Activities'!K633,204))</x:f>
        <x:v>0</x:v>
      </x:c>
      <x:c r="AN633" s="23" t="n">
        <x:f>MAX(0,MIN('Activities'!L633,216)-MAX('Activities'!K633,210))</x:f>
        <x:v>0</x:v>
      </x:c>
      <x:c r="AO633" s="23" t="n">
        <x:f>MAX(0,MIN('Activities'!L633,222)-MAX('Activities'!K633,216))</x:f>
        <x:v>0</x:v>
      </x:c>
      <x:c r="AP633" s="23" t="n">
        <x:f>MAX(0,MIN('Activities'!L633,228)-MAX('Activities'!K633,222))</x:f>
        <x:v>0</x:v>
      </x:c>
      <x:c r="AQ633" s="23" t="n">
        <x:f>MAX(0,MIN('Activities'!L633,234)-MAX('Activities'!K633,228))</x:f>
        <x:v>0</x:v>
      </x:c>
      <x:c r="AR633" s="23" t="n">
        <x:f>MAX(0,MIN('Activities'!L633,240)-MAX('Activities'!K633,234))</x:f>
        <x:v>0</x:v>
      </x:c>
      <x:c r="AS633" s="23" t="n">
        <x:f>MAX(0,MIN('Activities'!L633,246)-MAX('Activities'!K633,240))</x:f>
        <x:v>0</x:v>
      </x:c>
      <x:c r="AT633" s="23" t="n">
        <x:f>MAX(0,MIN('Activities'!L633,252)-MAX('Activities'!K633,246))</x:f>
        <x:v>0</x:v>
      </x:c>
      <x:c r="AU633" s="23" t="n">
        <x:f>MAX(0,MIN('Activities'!L633,258)-MAX('Activities'!K633,252))</x:f>
        <x:v>0</x:v>
      </x:c>
      <x:c r="AV633" s="23" t="n">
        <x:f>MAX(0,MIN('Activities'!L633,264)-MAX('Activities'!K633,258))</x:f>
        <x:v>0</x:v>
      </x:c>
      <x:c r="AW633" s="23" t="n">
        <x:f>MAX(0,MIN('Activities'!L633,270)-MAX('Activities'!K633,264))</x:f>
        <x:v>0</x:v>
      </x:c>
      <x:c r="AX633" s="23" t="n">
        <x:f>MAX(0,MIN('Activities'!L633,276)-MAX('Activities'!K633,270))</x:f>
        <x:v>0</x:v>
      </x:c>
      <x:c r="AY633" s="23" t="n">
        <x:f>MAX(0,MIN('Activities'!L633,282)-MAX('Activities'!K633,276))</x:f>
        <x:v>0</x:v>
      </x:c>
      <x:c r="AZ633" s="23" t="n">
        <x:f>MAX(0,MIN('Activities'!L633,288)-MAX('Activities'!K633,282))</x:f>
        <x:v>0</x:v>
      </x:c>
      <x:c r="BA633" s="23" t="n">
        <x:f>MAX(0,MIN('Activities'!L633,294)-MAX('Activities'!K633,288))</x:f>
        <x:v>0</x:v>
      </x:c>
      <x:c r="BB633" s="23" t="n">
        <x:f>MAX(0,MIN('Activities'!L633,300)-MAX('Activities'!K633,294))</x:f>
        <x:v>0</x:v>
      </x:c>
      <x:c r="BC633" s="23" t="n">
        <x:f>MAX(0,MIN('Activities'!L633,306)-MAX('Activities'!K633,300))</x:f>
        <x:v>0</x:v>
      </x:c>
      <x:c r="BD633" s="23" t="n">
        <x:f>MAX(0,MIN('Activities'!L633,312)-MAX('Activities'!K633,306))</x:f>
        <x:v>0</x:v>
      </x:c>
      <x:c r="BE633" s="23" t="n">
        <x:f>MAX(0,MIN('Activities'!L633,318)-MAX('Activities'!K633,312))</x:f>
        <x:v>0</x:v>
      </x:c>
      <x:c r="BF633" s="23" t="n">
        <x:f>MAX(0,MIN('Activities'!L633,324)-MAX('Activities'!K633,318))</x:f>
        <x:v>0</x:v>
      </x:c>
      <x:c r="BG633" s="23" t="n">
        <x:f>MAX(0,MIN('Activities'!L633,330)-MAX('Activities'!K633,324))</x:f>
        <x:v>0</x:v>
      </x:c>
      <x:c r="BH633" s="23" t="n">
        <x:f>MAX(0,MIN('Activities'!L633,336)-MAX('Activities'!K633,330))</x:f>
        <x:v>0</x:v>
      </x:c>
      <x:c r="BI633" s="23" t="n">
        <x:f>MAX(0,MIN('Activities'!L633,342)-MAX('Activities'!K633,336))</x:f>
        <x:v>0</x:v>
      </x:c>
      <x:c r="BJ633" s="23" t="n">
        <x:f>MAX(0,MIN('Activities'!L633,348)-MAX('Activities'!K633,342))</x:f>
        <x:v>0</x:v>
      </x:c>
      <x:c r="BK633" s="23" t="n">
        <x:f>MAX(0,MIN('Activities'!L633,354)-MAX('Activities'!K633,348))</x:f>
        <x:v>5</x:v>
      </x:c>
      <x:c r="BL633" s="23" t="n">
        <x:f>MAX(0,MIN('Activities'!L633,360)-MAX('Activities'!K633,354))</x:f>
        <x:v>0</x:v>
      </x:c>
      <x:c r="BM633" s="23" t="n">
        <x:f>MAX(0,MIN('Activities'!L633,366)-MAX('Activities'!K633,360))</x:f>
        <x:v>0</x:v>
      </x:c>
      <x:c r="BN633" s="23" t="n">
        <x:f>MAX(0,MIN('Activities'!L633,372)-MAX('Activities'!K633,366))</x:f>
        <x:v>0</x:v>
      </x:c>
      <x:c r="BO633" s="23" t="n">
        <x:f>MAX(0,MIN('Activities'!L633,378)-MAX('Activities'!K633,372))</x:f>
        <x:v>0</x:v>
      </x:c>
      <x:c r="BP633" s="23" t="n">
        <x:f>MAX(0,MIN('Activities'!L633,384)-MAX('Activities'!K633,378))</x:f>
        <x:v>0</x:v>
      </x:c>
      <x:c r="BQ633" s="23" t="n">
        <x:f>MAX(0,MIN('Activities'!L633,390)-MAX('Activities'!K633,384))</x:f>
        <x:v>0</x:v>
      </x:c>
      <x:c r="BR633" s="23" t="n">
        <x:f>MAX(0,MIN('Activities'!L633,396)-MAX('Activities'!K633,390))</x:f>
        <x:v>0</x:v>
      </x:c>
      <x:c r="BS633" s="23" t="n">
        <x:f>MAX(0,MIN('Activities'!L633,402)-MAX('Activities'!K633,396))</x:f>
        <x:v>0</x:v>
      </x:c>
      <x:c r="BT633" s="23" t="n">
        <x:f>MAX(0,MIN('Activities'!L633,408)-MAX('Activities'!K633,402))</x:f>
        <x:v>0</x:v>
      </x:c>
      <x:c r="BU633" s="23" t="n">
        <x:f>MAX(0,MIN('Activities'!L633,414)-MAX('Activities'!K633,408))</x:f>
        <x:v>0</x:v>
      </x:c>
      <x:c r="BV633" s="23" t="n">
        <x:f>MAX(0,MIN('Activities'!L633,420)-MAX('Activities'!K633,414))</x:f>
        <x:v>0</x:v>
      </x:c>
      <x:c r="BW633" s="23" t="n">
        <x:f>MAX(0,MIN('Activities'!L633,426)-MAX('Activities'!K633,420))</x:f>
        <x:v>0</x:v>
      </x:c>
      <x:c r="BX633" s="23" t="n">
        <x:f>MAX(0,MIN('Activities'!L633,432)-MAX('Activities'!K633,426))</x:f>
        <x:v>0</x:v>
      </x:c>
      <x:c r="BY633" s="23" t="n">
        <x:f>MAX(0,MIN('Activities'!L633,438)-MAX('Activities'!K633,432))</x:f>
        <x:v>0</x:v>
      </x:c>
      <x:c r="BZ633" s="23" t="n">
        <x:f>MAX(0,MIN('Activities'!L633,444)-MAX('Activities'!K633,438))</x:f>
        <x:v>0</x:v>
      </x:c>
      <x:c r="CA633" s="23" t="n">
        <x:f>MAX(0,MIN('Activities'!L633,450)-MAX('Activities'!K633,444))</x:f>
        <x:v>0</x:v>
      </x:c>
      <x:c r="CB633" s="23" t="n">
        <x:f>MAX(0,MIN('Activities'!L633,456)-MAX('Activities'!K633,450))</x:f>
        <x:v>0</x:v>
      </x:c>
      <x:c r="CC633" s="23" t="n">
        <x:f>MAX(0,MIN('Activities'!L633,462)-MAX('Activities'!K633,456))</x:f>
        <x:v>0</x:v>
      </x:c>
      <x:c r="CD633" s="23" t="n">
        <x:f>MAX(0,MIN('Activities'!L633,468)-MAX('Activities'!K633,462))</x:f>
        <x:v>0</x:v>
      </x:c>
      <x:c r="CE633" s="23" t="n">
        <x:f>MAX(0,MIN('Activities'!L633,474)-MAX('Activities'!K633,468))</x:f>
        <x:v>0</x:v>
      </x:c>
      <x:c r="CF633" s="23" t="n">
        <x:f>MAX(0,MIN('Activities'!L633,480)-MAX('Activities'!K633,474))</x:f>
        <x:v>0</x:v>
      </x:c>
      <x:c r="CG633" s="23" t="n">
        <x:f>MAX(0,MIN('Activities'!L633,486)-MAX('Activities'!K633,480))</x:f>
        <x:v>0</x:v>
      </x:c>
      <x:c r="CH633" s="23" t="n">
        <x:f>MAX(0,MIN('Activities'!L633,492)-MAX('Activities'!K633,486))</x:f>
        <x:v>0</x:v>
      </x:c>
      <x:c r="CI633" s="23" t="n">
        <x:f>MAX(0,MIN('Activities'!L633,498)-MAX('Activities'!K633,492))</x:f>
        <x:v>0</x:v>
      </x:c>
      <x:c r="CJ633" s="23" t="n">
        <x:f>MAX(0,MIN('Activities'!L633,504)-MAX('Activities'!K633,498))</x:f>
        <x:v>0</x:v>
      </x:c>
      <x:c r="CK633" s="23" t="n">
        <x:f>MAX(0,MIN('Activities'!L633,510)-MAX('Activities'!K633,504))</x:f>
        <x:v>0</x:v>
      </x:c>
      <x:c r="CL633" s="23" t="n">
        <x:f>MAX(0,MIN('Activities'!L633,516)-MAX('Activities'!K633,510))</x:f>
        <x:v>0</x:v>
      </x:c>
      <x:c r="CM633" s="23" t="n">
        <x:f>MAX(0,MIN('Activities'!L633,522)-MAX('Activities'!K633,516))</x:f>
        <x:v>0</x:v>
      </x:c>
      <x:c r="CN633" s="23" t="n">
        <x:f>MAX(0,MIN('Activities'!L633,528)-MAX('Activities'!K633,522))</x:f>
        <x:v>0</x:v>
      </x:c>
      <x:c r="CO633" s="23" t="n">
        <x:f>MAX(0,MIN('Activities'!L633,534)-MAX('Activities'!K633,528))</x:f>
        <x:v>0</x:v>
      </x:c>
      <x:c r="CP633" s="23" t="n">
        <x:f>MAX(0,MIN('Activities'!L633,540)-MAX('Activities'!K633,534))</x:f>
        <x:v>0</x:v>
      </x:c>
      <x:c r="CQ633" s="23" t="n">
        <x:f>MAX(0,MIN('Activities'!L633,546)-MAX('Activities'!K633,540))</x:f>
        <x:v>0</x:v>
      </x:c>
      <x:c r="CR633" s="23" t="n">
        <x:f>MAX(0,MIN('Activities'!L633,552)-MAX('Activities'!K633,546))</x:f>
        <x:v>0</x:v>
      </x:c>
      <x:c r="CS633" s="23" t="n">
        <x:f>MAX(0,MIN('Activities'!L633,558)-MAX('Activities'!K633,552))</x:f>
        <x:v>0</x:v>
      </x:c>
      <x:c r="CT633" s="23" t="n">
        <x:f>MAX(0,MIN('Activities'!L633,564)-MAX('Activities'!K633,558))</x:f>
        <x:v>0</x:v>
      </x:c>
      <x:c r="CU633" s="23" t="n">
        <x:f>MAX(0,MIN('Activities'!L633,570)-MAX('Activities'!K633,564))</x:f>
        <x:v>0</x:v>
      </x:c>
      <x:c r="CV633" s="23" t="n">
        <x:f>MAX(0,MIN('Activities'!L633,576)-MAX('Activities'!K633,570))</x:f>
        <x:v>0</x:v>
      </x:c>
      <x:c r="CW633" s="23" t="n">
        <x:f>MAX(0,MIN('Activities'!L633,582)-MAX('Activities'!K633,576))</x:f>
        <x:v>0</x:v>
      </x:c>
      <x:c r="CX633" s="23" t="n">
        <x:f>MAX(0,MIN('Activities'!L633,588)-MAX('Activities'!K633,582))</x:f>
        <x:v>0</x:v>
      </x:c>
      <x:c r="CY633" s="23" t="n">
        <x:f>MAX(0,MIN('Activities'!L633,594)-MAX('Activities'!K633,588))</x:f>
        <x:v>0</x:v>
      </x:c>
      <x:c r="CZ633" s="23" t="n">
        <x:f>MAX(0,MIN('Activities'!L633,600)-MAX('Activities'!K633,594))</x:f>
        <x:v>0</x:v>
      </x:c>
      <x:c r="DA633" s="23" t="n">
        <x:f>MAX(0,MIN('Activities'!L633,606)-MAX('Activities'!K633,600))</x:f>
        <x:v>0</x:v>
      </x:c>
      <x:c r="DB633" s="23" t="n">
        <x:f>MAX(0,MIN('Activities'!L633,612)-MAX('Activities'!K633,606))</x:f>
        <x:v>0</x:v>
      </x:c>
      <x:c r="DC633" s="23" t="n">
        <x:f>MAX(0,MIN('Activities'!L633,618)-MAX('Activities'!K633,612))</x:f>
        <x:v>0</x:v>
      </x:c>
      <x:c r="DD633" s="23" t="n">
        <x:f>MAX(0,MIN('Activities'!L633,624)-MAX('Activities'!K633,618))</x:f>
        <x:v>0</x:v>
      </x:c>
      <x:c r="DE633" s="23" t="n">
        <x:f>MAX(0,MIN('Activities'!L633,630)-MAX('Activities'!K633,624))</x:f>
        <x:v>0</x:v>
      </x:c>
      <x:c r="DF633" s="23" t="n">
        <x:f>MAX(0,MIN('Activities'!L633,636)-MAX('Activities'!K633,630))</x:f>
        <x:v>0</x:v>
      </x:c>
    </x:row>
    <x:row r="634" ht="23" customHeight="1">
      <x:c r="A634" s="6" t="str">
        <x:v>T5-L05-P</x:v>
      </x:c>
      <x:c r="B634" s="6" t="str">
        <x:v>T5</x:v>
      </x:c>
      <x:c r="C634" s="6" t="str">
        <x:v>Internal plaster</x:v>
      </x:c>
      <x:c r="D634" s="6" t="str">
        <x:v>Finishes</x:v>
      </x:c>
      <x:c r="E634" s="22" t="n">
        <x:f>MAX(0,MIN('Activities'!L634,6)-MAX('Activities'!K634,0))</x:f>
        <x:v>0</x:v>
      </x:c>
      <x:c r="F634" s="22" t="n">
        <x:f>MAX(0,MIN('Activities'!L634,12)-MAX('Activities'!K634,6))</x:f>
        <x:v>0</x:v>
      </x:c>
      <x:c r="G634" s="22" t="n">
        <x:f>MAX(0,MIN('Activities'!L634,18)-MAX('Activities'!K634,12))</x:f>
        <x:v>0</x:v>
      </x:c>
      <x:c r="H634" s="22" t="n">
        <x:f>MAX(0,MIN('Activities'!L634,24)-MAX('Activities'!K634,18))</x:f>
        <x:v>0</x:v>
      </x:c>
      <x:c r="I634" s="22" t="n">
        <x:f>MAX(0,MIN('Activities'!L634,30)-MAX('Activities'!K634,24))</x:f>
        <x:v>0</x:v>
      </x:c>
      <x:c r="J634" s="22" t="n">
        <x:f>MAX(0,MIN('Activities'!L634,36)-MAX('Activities'!K634,30))</x:f>
        <x:v>0</x:v>
      </x:c>
      <x:c r="K634" s="22" t="n">
        <x:f>MAX(0,MIN('Activities'!L634,42)-MAX('Activities'!K634,36))</x:f>
        <x:v>0</x:v>
      </x:c>
      <x:c r="L634" s="22" t="n">
        <x:f>MAX(0,MIN('Activities'!L634,48)-MAX('Activities'!K634,42))</x:f>
        <x:v>0</x:v>
      </x:c>
      <x:c r="M634" s="22" t="n">
        <x:f>MAX(0,MIN('Activities'!L634,54)-MAX('Activities'!K634,48))</x:f>
        <x:v>0</x:v>
      </x:c>
      <x:c r="N634" s="22" t="n">
        <x:f>MAX(0,MIN('Activities'!L634,60)-MAX('Activities'!K634,54))</x:f>
        <x:v>0</x:v>
      </x:c>
      <x:c r="O634" s="22" t="n">
        <x:f>MAX(0,MIN('Activities'!L634,66)-MAX('Activities'!K634,60))</x:f>
        <x:v>0</x:v>
      </x:c>
      <x:c r="P634" s="22" t="n">
        <x:f>MAX(0,MIN('Activities'!L634,72)-MAX('Activities'!K634,66))</x:f>
        <x:v>0</x:v>
      </x:c>
      <x:c r="Q634" s="22" t="n">
        <x:f>MAX(0,MIN('Activities'!L634,78)-MAX('Activities'!K634,72))</x:f>
        <x:v>0</x:v>
      </x:c>
      <x:c r="R634" s="22" t="n">
        <x:f>MAX(0,MIN('Activities'!L634,84)-MAX('Activities'!K634,78))</x:f>
        <x:v>0</x:v>
      </x:c>
      <x:c r="S634" s="22" t="n">
        <x:f>MAX(0,MIN('Activities'!L634,90)-MAX('Activities'!K634,84))</x:f>
        <x:v>0</x:v>
      </x:c>
      <x:c r="T634" s="22" t="n">
        <x:f>MAX(0,MIN('Activities'!L634,96)-MAX('Activities'!K634,90))</x:f>
        <x:v>0</x:v>
      </x:c>
      <x:c r="U634" s="22" t="n">
        <x:f>MAX(0,MIN('Activities'!L634,102)-MAX('Activities'!K634,96))</x:f>
        <x:v>0</x:v>
      </x:c>
      <x:c r="V634" s="22" t="n">
        <x:f>MAX(0,MIN('Activities'!L634,108)-MAX('Activities'!K634,102))</x:f>
        <x:v>0</x:v>
      </x:c>
      <x:c r="W634" s="22" t="n">
        <x:f>MAX(0,MIN('Activities'!L634,114)-MAX('Activities'!K634,108))</x:f>
        <x:v>0</x:v>
      </x:c>
      <x:c r="X634" s="22" t="n">
        <x:f>MAX(0,MIN('Activities'!L634,120)-MAX('Activities'!K634,114))</x:f>
        <x:v>0</x:v>
      </x:c>
      <x:c r="Y634" s="22" t="n">
        <x:f>MAX(0,MIN('Activities'!L634,126)-MAX('Activities'!K634,120))</x:f>
        <x:v>0</x:v>
      </x:c>
      <x:c r="Z634" s="22" t="n">
        <x:f>MAX(0,MIN('Activities'!L634,132)-MAX('Activities'!K634,126))</x:f>
        <x:v>0</x:v>
      </x:c>
      <x:c r="AA634" s="22" t="n">
        <x:f>MAX(0,MIN('Activities'!L634,138)-MAX('Activities'!K634,132))</x:f>
        <x:v>0</x:v>
      </x:c>
      <x:c r="AB634" s="22" t="n">
        <x:f>MAX(0,MIN('Activities'!L634,144)-MAX('Activities'!K634,138))</x:f>
        <x:v>0</x:v>
      </x:c>
      <x:c r="AC634" s="22" t="n">
        <x:f>MAX(0,MIN('Activities'!L634,150)-MAX('Activities'!K634,144))</x:f>
        <x:v>0</x:v>
      </x:c>
      <x:c r="AD634" s="22" t="n">
        <x:f>MAX(0,MIN('Activities'!L634,156)-MAX('Activities'!K634,150))</x:f>
        <x:v>0</x:v>
      </x:c>
      <x:c r="AE634" s="22" t="n">
        <x:f>MAX(0,MIN('Activities'!L634,162)-MAX('Activities'!K634,156))</x:f>
        <x:v>0</x:v>
      </x:c>
      <x:c r="AF634" s="22" t="n">
        <x:f>MAX(0,MIN('Activities'!L634,168)-MAX('Activities'!K634,162))</x:f>
        <x:v>0</x:v>
      </x:c>
      <x:c r="AG634" s="22" t="n">
        <x:f>MAX(0,MIN('Activities'!L634,174)-MAX('Activities'!K634,168))</x:f>
        <x:v>0</x:v>
      </x:c>
      <x:c r="AH634" s="22" t="n">
        <x:f>MAX(0,MIN('Activities'!L634,180)-MAX('Activities'!K634,174))</x:f>
        <x:v>0</x:v>
      </x:c>
      <x:c r="AI634" s="22" t="n">
        <x:f>MAX(0,MIN('Activities'!L634,186)-MAX('Activities'!K634,180))</x:f>
        <x:v>0</x:v>
      </x:c>
      <x:c r="AJ634" s="22" t="n">
        <x:f>MAX(0,MIN('Activities'!L634,192)-MAX('Activities'!K634,186))</x:f>
        <x:v>0</x:v>
      </x:c>
      <x:c r="AK634" s="22" t="n">
        <x:f>MAX(0,MIN('Activities'!L634,198)-MAX('Activities'!K634,192))</x:f>
        <x:v>0</x:v>
      </x:c>
      <x:c r="AL634" s="22" t="n">
        <x:f>MAX(0,MIN('Activities'!L634,204)-MAX('Activities'!K634,198))</x:f>
        <x:v>0</x:v>
      </x:c>
      <x:c r="AM634" s="22" t="n">
        <x:f>MAX(0,MIN('Activities'!L634,210)-MAX('Activities'!K634,204))</x:f>
        <x:v>0</x:v>
      </x:c>
      <x:c r="AN634" s="22" t="n">
        <x:f>MAX(0,MIN('Activities'!L634,216)-MAX('Activities'!K634,210))</x:f>
        <x:v>0</x:v>
      </x:c>
      <x:c r="AO634" s="22" t="n">
        <x:f>MAX(0,MIN('Activities'!L634,222)-MAX('Activities'!K634,216))</x:f>
        <x:v>0</x:v>
      </x:c>
      <x:c r="AP634" s="22" t="n">
        <x:f>MAX(0,MIN('Activities'!L634,228)-MAX('Activities'!K634,222))</x:f>
        <x:v>0</x:v>
      </x:c>
      <x:c r="AQ634" s="22" t="n">
        <x:f>MAX(0,MIN('Activities'!L634,234)-MAX('Activities'!K634,228))</x:f>
        <x:v>0</x:v>
      </x:c>
      <x:c r="AR634" s="22" t="n">
        <x:f>MAX(0,MIN('Activities'!L634,240)-MAX('Activities'!K634,234))</x:f>
        <x:v>0</x:v>
      </x:c>
      <x:c r="AS634" s="22" t="n">
        <x:f>MAX(0,MIN('Activities'!L634,246)-MAX('Activities'!K634,240))</x:f>
        <x:v>0</x:v>
      </x:c>
      <x:c r="AT634" s="22" t="n">
        <x:f>MAX(0,MIN('Activities'!L634,252)-MAX('Activities'!K634,246))</x:f>
        <x:v>0</x:v>
      </x:c>
      <x:c r="AU634" s="22" t="n">
        <x:f>MAX(0,MIN('Activities'!L634,258)-MAX('Activities'!K634,252))</x:f>
        <x:v>0</x:v>
      </x:c>
      <x:c r="AV634" s="22" t="n">
        <x:f>MAX(0,MIN('Activities'!L634,264)-MAX('Activities'!K634,258))</x:f>
        <x:v>0</x:v>
      </x:c>
      <x:c r="AW634" s="22" t="n">
        <x:f>MAX(0,MIN('Activities'!L634,270)-MAX('Activities'!K634,264))</x:f>
        <x:v>0</x:v>
      </x:c>
      <x:c r="AX634" s="22" t="n">
        <x:f>MAX(0,MIN('Activities'!L634,276)-MAX('Activities'!K634,270))</x:f>
        <x:v>0</x:v>
      </x:c>
      <x:c r="AY634" s="22" t="n">
        <x:f>MAX(0,MIN('Activities'!L634,282)-MAX('Activities'!K634,276))</x:f>
        <x:v>0</x:v>
      </x:c>
      <x:c r="AZ634" s="22" t="n">
        <x:f>MAX(0,MIN('Activities'!L634,288)-MAX('Activities'!K634,282))</x:f>
        <x:v>0</x:v>
      </x:c>
      <x:c r="BA634" s="22" t="n">
        <x:f>MAX(0,MIN('Activities'!L634,294)-MAX('Activities'!K634,288))</x:f>
        <x:v>0</x:v>
      </x:c>
      <x:c r="BB634" s="22" t="n">
        <x:f>MAX(0,MIN('Activities'!L634,300)-MAX('Activities'!K634,294))</x:f>
        <x:v>0</x:v>
      </x:c>
      <x:c r="BC634" s="22" t="n">
        <x:f>MAX(0,MIN('Activities'!L634,306)-MAX('Activities'!K634,300))</x:f>
        <x:v>0</x:v>
      </x:c>
      <x:c r="BD634" s="22" t="n">
        <x:f>MAX(0,MIN('Activities'!L634,312)-MAX('Activities'!K634,306))</x:f>
        <x:v>0</x:v>
      </x:c>
      <x:c r="BE634" s="22" t="n">
        <x:f>MAX(0,MIN('Activities'!L634,318)-MAX('Activities'!K634,312))</x:f>
        <x:v>0</x:v>
      </x:c>
      <x:c r="BF634" s="22" t="n">
        <x:f>MAX(0,MIN('Activities'!L634,324)-MAX('Activities'!K634,318))</x:f>
        <x:v>0</x:v>
      </x:c>
      <x:c r="BG634" s="22" t="n">
        <x:f>MAX(0,MIN('Activities'!L634,330)-MAX('Activities'!K634,324))</x:f>
        <x:v>0</x:v>
      </x:c>
      <x:c r="BH634" s="22" t="n">
        <x:f>MAX(0,MIN('Activities'!L634,336)-MAX('Activities'!K634,330))</x:f>
        <x:v>0</x:v>
      </x:c>
      <x:c r="BI634" s="22" t="n">
        <x:f>MAX(0,MIN('Activities'!L634,342)-MAX('Activities'!K634,336))</x:f>
        <x:v>0</x:v>
      </x:c>
      <x:c r="BJ634" s="22" t="n">
        <x:f>MAX(0,MIN('Activities'!L634,348)-MAX('Activities'!K634,342))</x:f>
        <x:v>0</x:v>
      </x:c>
      <x:c r="BK634" s="22" t="n">
        <x:f>MAX(0,MIN('Activities'!L634,354)-MAX('Activities'!K634,348))</x:f>
        <x:v>0</x:v>
      </x:c>
      <x:c r="BL634" s="22" t="n">
        <x:f>MAX(0,MIN('Activities'!L634,360)-MAX('Activities'!K634,354))</x:f>
        <x:v>3</x:v>
      </x:c>
      <x:c r="BM634" s="22" t="n">
        <x:f>MAX(0,MIN('Activities'!L634,366)-MAX('Activities'!K634,360))</x:f>
        <x:v>3</x:v>
      </x:c>
      <x:c r="BN634" s="22" t="n">
        <x:f>MAX(0,MIN('Activities'!L634,372)-MAX('Activities'!K634,366))</x:f>
        <x:v>0</x:v>
      </x:c>
      <x:c r="BO634" s="22" t="n">
        <x:f>MAX(0,MIN('Activities'!L634,378)-MAX('Activities'!K634,372))</x:f>
        <x:v>0</x:v>
      </x:c>
      <x:c r="BP634" s="22" t="n">
        <x:f>MAX(0,MIN('Activities'!L634,384)-MAX('Activities'!K634,378))</x:f>
        <x:v>0</x:v>
      </x:c>
      <x:c r="BQ634" s="22" t="n">
        <x:f>MAX(0,MIN('Activities'!L634,390)-MAX('Activities'!K634,384))</x:f>
        <x:v>0</x:v>
      </x:c>
      <x:c r="BR634" s="22" t="n">
        <x:f>MAX(0,MIN('Activities'!L634,396)-MAX('Activities'!K634,390))</x:f>
        <x:v>0</x:v>
      </x:c>
      <x:c r="BS634" s="22" t="n">
        <x:f>MAX(0,MIN('Activities'!L634,402)-MAX('Activities'!K634,396))</x:f>
        <x:v>0</x:v>
      </x:c>
      <x:c r="BT634" s="22" t="n">
        <x:f>MAX(0,MIN('Activities'!L634,408)-MAX('Activities'!K634,402))</x:f>
        <x:v>0</x:v>
      </x:c>
      <x:c r="BU634" s="22" t="n">
        <x:f>MAX(0,MIN('Activities'!L634,414)-MAX('Activities'!K634,408))</x:f>
        <x:v>0</x:v>
      </x:c>
      <x:c r="BV634" s="22" t="n">
        <x:f>MAX(0,MIN('Activities'!L634,420)-MAX('Activities'!K634,414))</x:f>
        <x:v>0</x:v>
      </x:c>
      <x:c r="BW634" s="22" t="n">
        <x:f>MAX(0,MIN('Activities'!L634,426)-MAX('Activities'!K634,420))</x:f>
        <x:v>0</x:v>
      </x:c>
      <x:c r="BX634" s="22" t="n">
        <x:f>MAX(0,MIN('Activities'!L634,432)-MAX('Activities'!K634,426))</x:f>
        <x:v>0</x:v>
      </x:c>
      <x:c r="BY634" s="22" t="n">
        <x:f>MAX(0,MIN('Activities'!L634,438)-MAX('Activities'!K634,432))</x:f>
        <x:v>0</x:v>
      </x:c>
      <x:c r="BZ634" s="22" t="n">
        <x:f>MAX(0,MIN('Activities'!L634,444)-MAX('Activities'!K634,438))</x:f>
        <x:v>0</x:v>
      </x:c>
      <x:c r="CA634" s="22" t="n">
        <x:f>MAX(0,MIN('Activities'!L634,450)-MAX('Activities'!K634,444))</x:f>
        <x:v>0</x:v>
      </x:c>
      <x:c r="CB634" s="22" t="n">
        <x:f>MAX(0,MIN('Activities'!L634,456)-MAX('Activities'!K634,450))</x:f>
        <x:v>0</x:v>
      </x:c>
      <x:c r="CC634" s="22" t="n">
        <x:f>MAX(0,MIN('Activities'!L634,462)-MAX('Activities'!K634,456))</x:f>
        <x:v>0</x:v>
      </x:c>
      <x:c r="CD634" s="22" t="n">
        <x:f>MAX(0,MIN('Activities'!L634,468)-MAX('Activities'!K634,462))</x:f>
        <x:v>0</x:v>
      </x:c>
      <x:c r="CE634" s="22" t="n">
        <x:f>MAX(0,MIN('Activities'!L634,474)-MAX('Activities'!K634,468))</x:f>
        <x:v>0</x:v>
      </x:c>
      <x:c r="CF634" s="22" t="n">
        <x:f>MAX(0,MIN('Activities'!L634,480)-MAX('Activities'!K634,474))</x:f>
        <x:v>0</x:v>
      </x:c>
      <x:c r="CG634" s="22" t="n">
        <x:f>MAX(0,MIN('Activities'!L634,486)-MAX('Activities'!K634,480))</x:f>
        <x:v>0</x:v>
      </x:c>
      <x:c r="CH634" s="22" t="n">
        <x:f>MAX(0,MIN('Activities'!L634,492)-MAX('Activities'!K634,486))</x:f>
        <x:v>0</x:v>
      </x:c>
      <x:c r="CI634" s="22" t="n">
        <x:f>MAX(0,MIN('Activities'!L634,498)-MAX('Activities'!K634,492))</x:f>
        <x:v>0</x:v>
      </x:c>
      <x:c r="CJ634" s="22" t="n">
        <x:f>MAX(0,MIN('Activities'!L634,504)-MAX('Activities'!K634,498))</x:f>
        <x:v>0</x:v>
      </x:c>
      <x:c r="CK634" s="22" t="n">
        <x:f>MAX(0,MIN('Activities'!L634,510)-MAX('Activities'!K634,504))</x:f>
        <x:v>0</x:v>
      </x:c>
      <x:c r="CL634" s="22" t="n">
        <x:f>MAX(0,MIN('Activities'!L634,516)-MAX('Activities'!K634,510))</x:f>
        <x:v>0</x:v>
      </x:c>
      <x:c r="CM634" s="22" t="n">
        <x:f>MAX(0,MIN('Activities'!L634,522)-MAX('Activities'!K634,516))</x:f>
        <x:v>0</x:v>
      </x:c>
      <x:c r="CN634" s="22" t="n">
        <x:f>MAX(0,MIN('Activities'!L634,528)-MAX('Activities'!K634,522))</x:f>
        <x:v>0</x:v>
      </x:c>
      <x:c r="CO634" s="22" t="n">
        <x:f>MAX(0,MIN('Activities'!L634,534)-MAX('Activities'!K634,528))</x:f>
        <x:v>0</x:v>
      </x:c>
      <x:c r="CP634" s="22" t="n">
        <x:f>MAX(0,MIN('Activities'!L634,540)-MAX('Activities'!K634,534))</x:f>
        <x:v>0</x:v>
      </x:c>
      <x:c r="CQ634" s="22" t="n">
        <x:f>MAX(0,MIN('Activities'!L634,546)-MAX('Activities'!K634,540))</x:f>
        <x:v>0</x:v>
      </x:c>
      <x:c r="CR634" s="22" t="n">
        <x:f>MAX(0,MIN('Activities'!L634,552)-MAX('Activities'!K634,546))</x:f>
        <x:v>0</x:v>
      </x:c>
      <x:c r="CS634" s="22" t="n">
        <x:f>MAX(0,MIN('Activities'!L634,558)-MAX('Activities'!K634,552))</x:f>
        <x:v>0</x:v>
      </x:c>
      <x:c r="CT634" s="22" t="n">
        <x:f>MAX(0,MIN('Activities'!L634,564)-MAX('Activities'!K634,558))</x:f>
        <x:v>0</x:v>
      </x:c>
      <x:c r="CU634" s="22" t="n">
        <x:f>MAX(0,MIN('Activities'!L634,570)-MAX('Activities'!K634,564))</x:f>
        <x:v>0</x:v>
      </x:c>
      <x:c r="CV634" s="22" t="n">
        <x:f>MAX(0,MIN('Activities'!L634,576)-MAX('Activities'!K634,570))</x:f>
        <x:v>0</x:v>
      </x:c>
      <x:c r="CW634" s="22" t="n">
        <x:f>MAX(0,MIN('Activities'!L634,582)-MAX('Activities'!K634,576))</x:f>
        <x:v>0</x:v>
      </x:c>
      <x:c r="CX634" s="22" t="n">
        <x:f>MAX(0,MIN('Activities'!L634,588)-MAX('Activities'!K634,582))</x:f>
        <x:v>0</x:v>
      </x:c>
      <x:c r="CY634" s="22" t="n">
        <x:f>MAX(0,MIN('Activities'!L634,594)-MAX('Activities'!K634,588))</x:f>
        <x:v>0</x:v>
      </x:c>
      <x:c r="CZ634" s="22" t="n">
        <x:f>MAX(0,MIN('Activities'!L634,600)-MAX('Activities'!K634,594))</x:f>
        <x:v>0</x:v>
      </x:c>
      <x:c r="DA634" s="22" t="n">
        <x:f>MAX(0,MIN('Activities'!L634,606)-MAX('Activities'!K634,600))</x:f>
        <x:v>0</x:v>
      </x:c>
      <x:c r="DB634" s="22" t="n">
        <x:f>MAX(0,MIN('Activities'!L634,612)-MAX('Activities'!K634,606))</x:f>
        <x:v>0</x:v>
      </x:c>
      <x:c r="DC634" s="22" t="n">
        <x:f>MAX(0,MIN('Activities'!L634,618)-MAX('Activities'!K634,612))</x:f>
        <x:v>0</x:v>
      </x:c>
      <x:c r="DD634" s="22" t="n">
        <x:f>MAX(0,MIN('Activities'!L634,624)-MAX('Activities'!K634,618))</x:f>
        <x:v>0</x:v>
      </x:c>
      <x:c r="DE634" s="22" t="n">
        <x:f>MAX(0,MIN('Activities'!L634,630)-MAX('Activities'!K634,624))</x:f>
        <x:v>0</x:v>
      </x:c>
      <x:c r="DF634" s="22" t="n">
        <x:f>MAX(0,MIN('Activities'!L634,636)-MAX('Activities'!K634,630))</x:f>
        <x:v>0</x:v>
      </x:c>
    </x:row>
    <x:row r="635" ht="23" customHeight="1">
      <x:c r="A635" s="1" t="str">
        <x:v>T5-L05-S</x:v>
      </x:c>
      <x:c r="B635" s="1" t="str">
        <x:v>T5</x:v>
      </x:c>
      <x:c r="C635" s="1" t="str">
        <x:v>Screed and substrate preparation</x:v>
      </x:c>
      <x:c r="D635" s="1" t="str">
        <x:v>Finishes</x:v>
      </x:c>
      <x:c r="E635" s="23" t="n">
        <x:f>MAX(0,MIN('Activities'!L635,6)-MAX('Activities'!K635,0))</x:f>
        <x:v>0</x:v>
      </x:c>
      <x:c r="F635" s="23" t="n">
        <x:f>MAX(0,MIN('Activities'!L635,12)-MAX('Activities'!K635,6))</x:f>
        <x:v>0</x:v>
      </x:c>
      <x:c r="G635" s="23" t="n">
        <x:f>MAX(0,MIN('Activities'!L635,18)-MAX('Activities'!K635,12))</x:f>
        <x:v>0</x:v>
      </x:c>
      <x:c r="H635" s="23" t="n">
        <x:f>MAX(0,MIN('Activities'!L635,24)-MAX('Activities'!K635,18))</x:f>
        <x:v>0</x:v>
      </x:c>
      <x:c r="I635" s="23" t="n">
        <x:f>MAX(0,MIN('Activities'!L635,30)-MAX('Activities'!K635,24))</x:f>
        <x:v>0</x:v>
      </x:c>
      <x:c r="J635" s="23" t="n">
        <x:f>MAX(0,MIN('Activities'!L635,36)-MAX('Activities'!K635,30))</x:f>
        <x:v>0</x:v>
      </x:c>
      <x:c r="K635" s="23" t="n">
        <x:f>MAX(0,MIN('Activities'!L635,42)-MAX('Activities'!K635,36))</x:f>
        <x:v>0</x:v>
      </x:c>
      <x:c r="L635" s="23" t="n">
        <x:f>MAX(0,MIN('Activities'!L635,48)-MAX('Activities'!K635,42))</x:f>
        <x:v>0</x:v>
      </x:c>
      <x:c r="M635" s="23" t="n">
        <x:f>MAX(0,MIN('Activities'!L635,54)-MAX('Activities'!K635,48))</x:f>
        <x:v>0</x:v>
      </x:c>
      <x:c r="N635" s="23" t="n">
        <x:f>MAX(0,MIN('Activities'!L635,60)-MAX('Activities'!K635,54))</x:f>
        <x:v>0</x:v>
      </x:c>
      <x:c r="O635" s="23" t="n">
        <x:f>MAX(0,MIN('Activities'!L635,66)-MAX('Activities'!K635,60))</x:f>
        <x:v>0</x:v>
      </x:c>
      <x:c r="P635" s="23" t="n">
        <x:f>MAX(0,MIN('Activities'!L635,72)-MAX('Activities'!K635,66))</x:f>
        <x:v>0</x:v>
      </x:c>
      <x:c r="Q635" s="23" t="n">
        <x:f>MAX(0,MIN('Activities'!L635,78)-MAX('Activities'!K635,72))</x:f>
        <x:v>0</x:v>
      </x:c>
      <x:c r="R635" s="23" t="n">
        <x:f>MAX(0,MIN('Activities'!L635,84)-MAX('Activities'!K635,78))</x:f>
        <x:v>0</x:v>
      </x:c>
      <x:c r="S635" s="23" t="n">
        <x:f>MAX(0,MIN('Activities'!L635,90)-MAX('Activities'!K635,84))</x:f>
        <x:v>0</x:v>
      </x:c>
      <x:c r="T635" s="23" t="n">
        <x:f>MAX(0,MIN('Activities'!L635,96)-MAX('Activities'!K635,90))</x:f>
        <x:v>0</x:v>
      </x:c>
      <x:c r="U635" s="23" t="n">
        <x:f>MAX(0,MIN('Activities'!L635,102)-MAX('Activities'!K635,96))</x:f>
        <x:v>0</x:v>
      </x:c>
      <x:c r="V635" s="23" t="n">
        <x:f>MAX(0,MIN('Activities'!L635,108)-MAX('Activities'!K635,102))</x:f>
        <x:v>0</x:v>
      </x:c>
      <x:c r="W635" s="23" t="n">
        <x:f>MAX(0,MIN('Activities'!L635,114)-MAX('Activities'!K635,108))</x:f>
        <x:v>0</x:v>
      </x:c>
      <x:c r="X635" s="23" t="n">
        <x:f>MAX(0,MIN('Activities'!L635,120)-MAX('Activities'!K635,114))</x:f>
        <x:v>0</x:v>
      </x:c>
      <x:c r="Y635" s="23" t="n">
        <x:f>MAX(0,MIN('Activities'!L635,126)-MAX('Activities'!K635,120))</x:f>
        <x:v>0</x:v>
      </x:c>
      <x:c r="Z635" s="23" t="n">
        <x:f>MAX(0,MIN('Activities'!L635,132)-MAX('Activities'!K635,126))</x:f>
        <x:v>0</x:v>
      </x:c>
      <x:c r="AA635" s="23" t="n">
        <x:f>MAX(0,MIN('Activities'!L635,138)-MAX('Activities'!K635,132))</x:f>
        <x:v>0</x:v>
      </x:c>
      <x:c r="AB635" s="23" t="n">
        <x:f>MAX(0,MIN('Activities'!L635,144)-MAX('Activities'!K635,138))</x:f>
        <x:v>0</x:v>
      </x:c>
      <x:c r="AC635" s="23" t="n">
        <x:f>MAX(0,MIN('Activities'!L635,150)-MAX('Activities'!K635,144))</x:f>
        <x:v>0</x:v>
      </x:c>
      <x:c r="AD635" s="23" t="n">
        <x:f>MAX(0,MIN('Activities'!L635,156)-MAX('Activities'!K635,150))</x:f>
        <x:v>0</x:v>
      </x:c>
      <x:c r="AE635" s="23" t="n">
        <x:f>MAX(0,MIN('Activities'!L635,162)-MAX('Activities'!K635,156))</x:f>
        <x:v>0</x:v>
      </x:c>
      <x:c r="AF635" s="23" t="n">
        <x:f>MAX(0,MIN('Activities'!L635,168)-MAX('Activities'!K635,162))</x:f>
        <x:v>0</x:v>
      </x:c>
      <x:c r="AG635" s="23" t="n">
        <x:f>MAX(0,MIN('Activities'!L635,174)-MAX('Activities'!K635,168))</x:f>
        <x:v>0</x:v>
      </x:c>
      <x:c r="AH635" s="23" t="n">
        <x:f>MAX(0,MIN('Activities'!L635,180)-MAX('Activities'!K635,174))</x:f>
        <x:v>0</x:v>
      </x:c>
      <x:c r="AI635" s="23" t="n">
        <x:f>MAX(0,MIN('Activities'!L635,186)-MAX('Activities'!K635,180))</x:f>
        <x:v>0</x:v>
      </x:c>
      <x:c r="AJ635" s="23" t="n">
        <x:f>MAX(0,MIN('Activities'!L635,192)-MAX('Activities'!K635,186))</x:f>
        <x:v>0</x:v>
      </x:c>
      <x:c r="AK635" s="23" t="n">
        <x:f>MAX(0,MIN('Activities'!L635,198)-MAX('Activities'!K635,192))</x:f>
        <x:v>0</x:v>
      </x:c>
      <x:c r="AL635" s="23" t="n">
        <x:f>MAX(0,MIN('Activities'!L635,204)-MAX('Activities'!K635,198))</x:f>
        <x:v>0</x:v>
      </x:c>
      <x:c r="AM635" s="23" t="n">
        <x:f>MAX(0,MIN('Activities'!L635,210)-MAX('Activities'!K635,204))</x:f>
        <x:v>0</x:v>
      </x:c>
      <x:c r="AN635" s="23" t="n">
        <x:f>MAX(0,MIN('Activities'!L635,216)-MAX('Activities'!K635,210))</x:f>
        <x:v>0</x:v>
      </x:c>
      <x:c r="AO635" s="23" t="n">
        <x:f>MAX(0,MIN('Activities'!L635,222)-MAX('Activities'!K635,216))</x:f>
        <x:v>0</x:v>
      </x:c>
      <x:c r="AP635" s="23" t="n">
        <x:f>MAX(0,MIN('Activities'!L635,228)-MAX('Activities'!K635,222))</x:f>
        <x:v>0</x:v>
      </x:c>
      <x:c r="AQ635" s="23" t="n">
        <x:f>MAX(0,MIN('Activities'!L635,234)-MAX('Activities'!K635,228))</x:f>
        <x:v>0</x:v>
      </x:c>
      <x:c r="AR635" s="23" t="n">
        <x:f>MAX(0,MIN('Activities'!L635,240)-MAX('Activities'!K635,234))</x:f>
        <x:v>0</x:v>
      </x:c>
      <x:c r="AS635" s="23" t="n">
        <x:f>MAX(0,MIN('Activities'!L635,246)-MAX('Activities'!K635,240))</x:f>
        <x:v>0</x:v>
      </x:c>
      <x:c r="AT635" s="23" t="n">
        <x:f>MAX(0,MIN('Activities'!L635,252)-MAX('Activities'!K635,246))</x:f>
        <x:v>0</x:v>
      </x:c>
      <x:c r="AU635" s="23" t="n">
        <x:f>MAX(0,MIN('Activities'!L635,258)-MAX('Activities'!K635,252))</x:f>
        <x:v>0</x:v>
      </x:c>
      <x:c r="AV635" s="23" t="n">
        <x:f>MAX(0,MIN('Activities'!L635,264)-MAX('Activities'!K635,258))</x:f>
        <x:v>0</x:v>
      </x:c>
      <x:c r="AW635" s="23" t="n">
        <x:f>MAX(0,MIN('Activities'!L635,270)-MAX('Activities'!K635,264))</x:f>
        <x:v>0</x:v>
      </x:c>
      <x:c r="AX635" s="23" t="n">
        <x:f>MAX(0,MIN('Activities'!L635,276)-MAX('Activities'!K635,270))</x:f>
        <x:v>0</x:v>
      </x:c>
      <x:c r="AY635" s="23" t="n">
        <x:f>MAX(0,MIN('Activities'!L635,282)-MAX('Activities'!K635,276))</x:f>
        <x:v>0</x:v>
      </x:c>
      <x:c r="AZ635" s="23" t="n">
        <x:f>MAX(0,MIN('Activities'!L635,288)-MAX('Activities'!K635,282))</x:f>
        <x:v>0</x:v>
      </x:c>
      <x:c r="BA635" s="23" t="n">
        <x:f>MAX(0,MIN('Activities'!L635,294)-MAX('Activities'!K635,288))</x:f>
        <x:v>0</x:v>
      </x:c>
      <x:c r="BB635" s="23" t="n">
        <x:f>MAX(0,MIN('Activities'!L635,300)-MAX('Activities'!K635,294))</x:f>
        <x:v>0</x:v>
      </x:c>
      <x:c r="BC635" s="23" t="n">
        <x:f>MAX(0,MIN('Activities'!L635,306)-MAX('Activities'!K635,300))</x:f>
        <x:v>0</x:v>
      </x:c>
      <x:c r="BD635" s="23" t="n">
        <x:f>MAX(0,MIN('Activities'!L635,312)-MAX('Activities'!K635,306))</x:f>
        <x:v>0</x:v>
      </x:c>
      <x:c r="BE635" s="23" t="n">
        <x:f>MAX(0,MIN('Activities'!L635,318)-MAX('Activities'!K635,312))</x:f>
        <x:v>0</x:v>
      </x:c>
      <x:c r="BF635" s="23" t="n">
        <x:f>MAX(0,MIN('Activities'!L635,324)-MAX('Activities'!K635,318))</x:f>
        <x:v>0</x:v>
      </x:c>
      <x:c r="BG635" s="23" t="n">
        <x:f>MAX(0,MIN('Activities'!L635,330)-MAX('Activities'!K635,324))</x:f>
        <x:v>0</x:v>
      </x:c>
      <x:c r="BH635" s="23" t="n">
        <x:f>MAX(0,MIN('Activities'!L635,336)-MAX('Activities'!K635,330))</x:f>
        <x:v>0</x:v>
      </x:c>
      <x:c r="BI635" s="23" t="n">
        <x:f>MAX(0,MIN('Activities'!L635,342)-MAX('Activities'!K635,336))</x:f>
        <x:v>0</x:v>
      </x:c>
      <x:c r="BJ635" s="23" t="n">
        <x:f>MAX(0,MIN('Activities'!L635,348)-MAX('Activities'!K635,342))</x:f>
        <x:v>0</x:v>
      </x:c>
      <x:c r="BK635" s="23" t="n">
        <x:f>MAX(0,MIN('Activities'!L635,354)-MAX('Activities'!K635,348))</x:f>
        <x:v>0</x:v>
      </x:c>
      <x:c r="BL635" s="23" t="n">
        <x:f>MAX(0,MIN('Activities'!L635,360)-MAX('Activities'!K635,354))</x:f>
        <x:v>0</x:v>
      </x:c>
      <x:c r="BM635" s="23" t="n">
        <x:f>MAX(0,MIN('Activities'!L635,366)-MAX('Activities'!K635,360))</x:f>
        <x:v>1</x:v>
      </x:c>
      <x:c r="BN635" s="23" t="n">
        <x:f>MAX(0,MIN('Activities'!L635,372)-MAX('Activities'!K635,366))</x:f>
        <x:v>2</x:v>
      </x:c>
      <x:c r="BO635" s="23" t="n">
        <x:f>MAX(0,MIN('Activities'!L635,378)-MAX('Activities'!K635,372))</x:f>
        <x:v>0</x:v>
      </x:c>
      <x:c r="BP635" s="23" t="n">
        <x:f>MAX(0,MIN('Activities'!L635,384)-MAX('Activities'!K635,378))</x:f>
        <x:v>0</x:v>
      </x:c>
      <x:c r="BQ635" s="23" t="n">
        <x:f>MAX(0,MIN('Activities'!L635,390)-MAX('Activities'!K635,384))</x:f>
        <x:v>0</x:v>
      </x:c>
      <x:c r="BR635" s="23" t="n">
        <x:f>MAX(0,MIN('Activities'!L635,396)-MAX('Activities'!K635,390))</x:f>
        <x:v>0</x:v>
      </x:c>
      <x:c r="BS635" s="23" t="n">
        <x:f>MAX(0,MIN('Activities'!L635,402)-MAX('Activities'!K635,396))</x:f>
        <x:v>0</x:v>
      </x:c>
      <x:c r="BT635" s="23" t="n">
        <x:f>MAX(0,MIN('Activities'!L635,408)-MAX('Activities'!K635,402))</x:f>
        <x:v>0</x:v>
      </x:c>
      <x:c r="BU635" s="23" t="n">
        <x:f>MAX(0,MIN('Activities'!L635,414)-MAX('Activities'!K635,408))</x:f>
        <x:v>0</x:v>
      </x:c>
      <x:c r="BV635" s="23" t="n">
        <x:f>MAX(0,MIN('Activities'!L635,420)-MAX('Activities'!K635,414))</x:f>
        <x:v>0</x:v>
      </x:c>
      <x:c r="BW635" s="23" t="n">
        <x:f>MAX(0,MIN('Activities'!L635,426)-MAX('Activities'!K635,420))</x:f>
        <x:v>0</x:v>
      </x:c>
      <x:c r="BX635" s="23" t="n">
        <x:f>MAX(0,MIN('Activities'!L635,432)-MAX('Activities'!K635,426))</x:f>
        <x:v>0</x:v>
      </x:c>
      <x:c r="BY635" s="23" t="n">
        <x:f>MAX(0,MIN('Activities'!L635,438)-MAX('Activities'!K635,432))</x:f>
        <x:v>0</x:v>
      </x:c>
      <x:c r="BZ635" s="23" t="n">
        <x:f>MAX(0,MIN('Activities'!L635,444)-MAX('Activities'!K635,438))</x:f>
        <x:v>0</x:v>
      </x:c>
      <x:c r="CA635" s="23" t="n">
        <x:f>MAX(0,MIN('Activities'!L635,450)-MAX('Activities'!K635,444))</x:f>
        <x:v>0</x:v>
      </x:c>
      <x:c r="CB635" s="23" t="n">
        <x:f>MAX(0,MIN('Activities'!L635,456)-MAX('Activities'!K635,450))</x:f>
        <x:v>0</x:v>
      </x:c>
      <x:c r="CC635" s="23" t="n">
        <x:f>MAX(0,MIN('Activities'!L635,462)-MAX('Activities'!K635,456))</x:f>
        <x:v>0</x:v>
      </x:c>
      <x:c r="CD635" s="23" t="n">
        <x:f>MAX(0,MIN('Activities'!L635,468)-MAX('Activities'!K635,462))</x:f>
        <x:v>0</x:v>
      </x:c>
      <x:c r="CE635" s="23" t="n">
        <x:f>MAX(0,MIN('Activities'!L635,474)-MAX('Activities'!K635,468))</x:f>
        <x:v>0</x:v>
      </x:c>
      <x:c r="CF635" s="23" t="n">
        <x:f>MAX(0,MIN('Activities'!L635,480)-MAX('Activities'!K635,474))</x:f>
        <x:v>0</x:v>
      </x:c>
      <x:c r="CG635" s="23" t="n">
        <x:f>MAX(0,MIN('Activities'!L635,486)-MAX('Activities'!K635,480))</x:f>
        <x:v>0</x:v>
      </x:c>
      <x:c r="CH635" s="23" t="n">
        <x:f>MAX(0,MIN('Activities'!L635,492)-MAX('Activities'!K635,486))</x:f>
        <x:v>0</x:v>
      </x:c>
      <x:c r="CI635" s="23" t="n">
        <x:f>MAX(0,MIN('Activities'!L635,498)-MAX('Activities'!K635,492))</x:f>
        <x:v>0</x:v>
      </x:c>
      <x:c r="CJ635" s="23" t="n">
        <x:f>MAX(0,MIN('Activities'!L635,504)-MAX('Activities'!K635,498))</x:f>
        <x:v>0</x:v>
      </x:c>
      <x:c r="CK635" s="23" t="n">
        <x:f>MAX(0,MIN('Activities'!L635,510)-MAX('Activities'!K635,504))</x:f>
        <x:v>0</x:v>
      </x:c>
      <x:c r="CL635" s="23" t="n">
        <x:f>MAX(0,MIN('Activities'!L635,516)-MAX('Activities'!K635,510))</x:f>
        <x:v>0</x:v>
      </x:c>
      <x:c r="CM635" s="23" t="n">
        <x:f>MAX(0,MIN('Activities'!L635,522)-MAX('Activities'!K635,516))</x:f>
        <x:v>0</x:v>
      </x:c>
      <x:c r="CN635" s="23" t="n">
        <x:f>MAX(0,MIN('Activities'!L635,528)-MAX('Activities'!K635,522))</x:f>
        <x:v>0</x:v>
      </x:c>
      <x:c r="CO635" s="23" t="n">
        <x:f>MAX(0,MIN('Activities'!L635,534)-MAX('Activities'!K635,528))</x:f>
        <x:v>0</x:v>
      </x:c>
      <x:c r="CP635" s="23" t="n">
        <x:f>MAX(0,MIN('Activities'!L635,540)-MAX('Activities'!K635,534))</x:f>
        <x:v>0</x:v>
      </x:c>
      <x:c r="CQ635" s="23" t="n">
        <x:f>MAX(0,MIN('Activities'!L635,546)-MAX('Activities'!K635,540))</x:f>
        <x:v>0</x:v>
      </x:c>
      <x:c r="CR635" s="23" t="n">
        <x:f>MAX(0,MIN('Activities'!L635,552)-MAX('Activities'!K635,546))</x:f>
        <x:v>0</x:v>
      </x:c>
      <x:c r="CS635" s="23" t="n">
        <x:f>MAX(0,MIN('Activities'!L635,558)-MAX('Activities'!K635,552))</x:f>
        <x:v>0</x:v>
      </x:c>
      <x:c r="CT635" s="23" t="n">
        <x:f>MAX(0,MIN('Activities'!L635,564)-MAX('Activities'!K635,558))</x:f>
        <x:v>0</x:v>
      </x:c>
      <x:c r="CU635" s="23" t="n">
        <x:f>MAX(0,MIN('Activities'!L635,570)-MAX('Activities'!K635,564))</x:f>
        <x:v>0</x:v>
      </x:c>
      <x:c r="CV635" s="23" t="n">
        <x:f>MAX(0,MIN('Activities'!L635,576)-MAX('Activities'!K635,570))</x:f>
        <x:v>0</x:v>
      </x:c>
      <x:c r="CW635" s="23" t="n">
        <x:f>MAX(0,MIN('Activities'!L635,582)-MAX('Activities'!K635,576))</x:f>
        <x:v>0</x:v>
      </x:c>
      <x:c r="CX635" s="23" t="n">
        <x:f>MAX(0,MIN('Activities'!L635,588)-MAX('Activities'!K635,582))</x:f>
        <x:v>0</x:v>
      </x:c>
      <x:c r="CY635" s="23" t="n">
        <x:f>MAX(0,MIN('Activities'!L635,594)-MAX('Activities'!K635,588))</x:f>
        <x:v>0</x:v>
      </x:c>
      <x:c r="CZ635" s="23" t="n">
        <x:f>MAX(0,MIN('Activities'!L635,600)-MAX('Activities'!K635,594))</x:f>
        <x:v>0</x:v>
      </x:c>
      <x:c r="DA635" s="23" t="n">
        <x:f>MAX(0,MIN('Activities'!L635,606)-MAX('Activities'!K635,600))</x:f>
        <x:v>0</x:v>
      </x:c>
      <x:c r="DB635" s="23" t="n">
        <x:f>MAX(0,MIN('Activities'!L635,612)-MAX('Activities'!K635,606))</x:f>
        <x:v>0</x:v>
      </x:c>
      <x:c r="DC635" s="23" t="n">
        <x:f>MAX(0,MIN('Activities'!L635,618)-MAX('Activities'!K635,612))</x:f>
        <x:v>0</x:v>
      </x:c>
      <x:c r="DD635" s="23" t="n">
        <x:f>MAX(0,MIN('Activities'!L635,624)-MAX('Activities'!K635,618))</x:f>
        <x:v>0</x:v>
      </x:c>
      <x:c r="DE635" s="23" t="n">
        <x:f>MAX(0,MIN('Activities'!L635,630)-MAX('Activities'!K635,624))</x:f>
        <x:v>0</x:v>
      </x:c>
      <x:c r="DF635" s="23" t="n">
        <x:f>MAX(0,MIN('Activities'!L635,636)-MAX('Activities'!K635,630))</x:f>
        <x:v>0</x:v>
      </x:c>
    </x:row>
    <x:row r="636" ht="23" customHeight="1">
      <x:c r="A636" s="6" t="str">
        <x:v>T5-L05-T</x:v>
      </x:c>
      <x:c r="B636" s="6" t="str">
        <x:v>T5</x:v>
      </x:c>
      <x:c r="C636" s="6" t="str">
        <x:v>Floor finishes and skirtings</x:v>
      </x:c>
      <x:c r="D636" s="6" t="str">
        <x:v>Finishes</x:v>
      </x:c>
      <x:c r="E636" s="22" t="n">
        <x:f>MAX(0,MIN('Activities'!L636,6)-MAX('Activities'!K636,0))</x:f>
        <x:v>0</x:v>
      </x:c>
      <x:c r="F636" s="22" t="n">
        <x:f>MAX(0,MIN('Activities'!L636,12)-MAX('Activities'!K636,6))</x:f>
        <x:v>0</x:v>
      </x:c>
      <x:c r="G636" s="22" t="n">
        <x:f>MAX(0,MIN('Activities'!L636,18)-MAX('Activities'!K636,12))</x:f>
        <x:v>0</x:v>
      </x:c>
      <x:c r="H636" s="22" t="n">
        <x:f>MAX(0,MIN('Activities'!L636,24)-MAX('Activities'!K636,18))</x:f>
        <x:v>0</x:v>
      </x:c>
      <x:c r="I636" s="22" t="n">
        <x:f>MAX(0,MIN('Activities'!L636,30)-MAX('Activities'!K636,24))</x:f>
        <x:v>0</x:v>
      </x:c>
      <x:c r="J636" s="22" t="n">
        <x:f>MAX(0,MIN('Activities'!L636,36)-MAX('Activities'!K636,30))</x:f>
        <x:v>0</x:v>
      </x:c>
      <x:c r="K636" s="22" t="n">
        <x:f>MAX(0,MIN('Activities'!L636,42)-MAX('Activities'!K636,36))</x:f>
        <x:v>0</x:v>
      </x:c>
      <x:c r="L636" s="22" t="n">
        <x:f>MAX(0,MIN('Activities'!L636,48)-MAX('Activities'!K636,42))</x:f>
        <x:v>0</x:v>
      </x:c>
      <x:c r="M636" s="22" t="n">
        <x:f>MAX(0,MIN('Activities'!L636,54)-MAX('Activities'!K636,48))</x:f>
        <x:v>0</x:v>
      </x:c>
      <x:c r="N636" s="22" t="n">
        <x:f>MAX(0,MIN('Activities'!L636,60)-MAX('Activities'!K636,54))</x:f>
        <x:v>0</x:v>
      </x:c>
      <x:c r="O636" s="22" t="n">
        <x:f>MAX(0,MIN('Activities'!L636,66)-MAX('Activities'!K636,60))</x:f>
        <x:v>0</x:v>
      </x:c>
      <x:c r="P636" s="22" t="n">
        <x:f>MAX(0,MIN('Activities'!L636,72)-MAX('Activities'!K636,66))</x:f>
        <x:v>0</x:v>
      </x:c>
      <x:c r="Q636" s="22" t="n">
        <x:f>MAX(0,MIN('Activities'!L636,78)-MAX('Activities'!K636,72))</x:f>
        <x:v>0</x:v>
      </x:c>
      <x:c r="R636" s="22" t="n">
        <x:f>MAX(0,MIN('Activities'!L636,84)-MAX('Activities'!K636,78))</x:f>
        <x:v>0</x:v>
      </x:c>
      <x:c r="S636" s="22" t="n">
        <x:f>MAX(0,MIN('Activities'!L636,90)-MAX('Activities'!K636,84))</x:f>
        <x:v>0</x:v>
      </x:c>
      <x:c r="T636" s="22" t="n">
        <x:f>MAX(0,MIN('Activities'!L636,96)-MAX('Activities'!K636,90))</x:f>
        <x:v>0</x:v>
      </x:c>
      <x:c r="U636" s="22" t="n">
        <x:f>MAX(0,MIN('Activities'!L636,102)-MAX('Activities'!K636,96))</x:f>
        <x:v>0</x:v>
      </x:c>
      <x:c r="V636" s="22" t="n">
        <x:f>MAX(0,MIN('Activities'!L636,108)-MAX('Activities'!K636,102))</x:f>
        <x:v>0</x:v>
      </x:c>
      <x:c r="W636" s="22" t="n">
        <x:f>MAX(0,MIN('Activities'!L636,114)-MAX('Activities'!K636,108))</x:f>
        <x:v>0</x:v>
      </x:c>
      <x:c r="X636" s="22" t="n">
        <x:f>MAX(0,MIN('Activities'!L636,120)-MAX('Activities'!K636,114))</x:f>
        <x:v>0</x:v>
      </x:c>
      <x:c r="Y636" s="22" t="n">
        <x:f>MAX(0,MIN('Activities'!L636,126)-MAX('Activities'!K636,120))</x:f>
        <x:v>0</x:v>
      </x:c>
      <x:c r="Z636" s="22" t="n">
        <x:f>MAX(0,MIN('Activities'!L636,132)-MAX('Activities'!K636,126))</x:f>
        <x:v>0</x:v>
      </x:c>
      <x:c r="AA636" s="22" t="n">
        <x:f>MAX(0,MIN('Activities'!L636,138)-MAX('Activities'!K636,132))</x:f>
        <x:v>0</x:v>
      </x:c>
      <x:c r="AB636" s="22" t="n">
        <x:f>MAX(0,MIN('Activities'!L636,144)-MAX('Activities'!K636,138))</x:f>
        <x:v>0</x:v>
      </x:c>
      <x:c r="AC636" s="22" t="n">
        <x:f>MAX(0,MIN('Activities'!L636,150)-MAX('Activities'!K636,144))</x:f>
        <x:v>0</x:v>
      </x:c>
      <x:c r="AD636" s="22" t="n">
        <x:f>MAX(0,MIN('Activities'!L636,156)-MAX('Activities'!K636,150))</x:f>
        <x:v>0</x:v>
      </x:c>
      <x:c r="AE636" s="22" t="n">
        <x:f>MAX(0,MIN('Activities'!L636,162)-MAX('Activities'!K636,156))</x:f>
        <x:v>0</x:v>
      </x:c>
      <x:c r="AF636" s="22" t="n">
        <x:f>MAX(0,MIN('Activities'!L636,168)-MAX('Activities'!K636,162))</x:f>
        <x:v>0</x:v>
      </x:c>
      <x:c r="AG636" s="22" t="n">
        <x:f>MAX(0,MIN('Activities'!L636,174)-MAX('Activities'!K636,168))</x:f>
        <x:v>0</x:v>
      </x:c>
      <x:c r="AH636" s="22" t="n">
        <x:f>MAX(0,MIN('Activities'!L636,180)-MAX('Activities'!K636,174))</x:f>
        <x:v>0</x:v>
      </x:c>
      <x:c r="AI636" s="22" t="n">
        <x:f>MAX(0,MIN('Activities'!L636,186)-MAX('Activities'!K636,180))</x:f>
        <x:v>0</x:v>
      </x:c>
      <x:c r="AJ636" s="22" t="n">
        <x:f>MAX(0,MIN('Activities'!L636,192)-MAX('Activities'!K636,186))</x:f>
        <x:v>0</x:v>
      </x:c>
      <x:c r="AK636" s="22" t="n">
        <x:f>MAX(0,MIN('Activities'!L636,198)-MAX('Activities'!K636,192))</x:f>
        <x:v>0</x:v>
      </x:c>
      <x:c r="AL636" s="22" t="n">
        <x:f>MAX(0,MIN('Activities'!L636,204)-MAX('Activities'!K636,198))</x:f>
        <x:v>0</x:v>
      </x:c>
      <x:c r="AM636" s="22" t="n">
        <x:f>MAX(0,MIN('Activities'!L636,210)-MAX('Activities'!K636,204))</x:f>
        <x:v>0</x:v>
      </x:c>
      <x:c r="AN636" s="22" t="n">
        <x:f>MAX(0,MIN('Activities'!L636,216)-MAX('Activities'!K636,210))</x:f>
        <x:v>0</x:v>
      </x:c>
      <x:c r="AO636" s="22" t="n">
        <x:f>MAX(0,MIN('Activities'!L636,222)-MAX('Activities'!K636,216))</x:f>
        <x:v>0</x:v>
      </x:c>
      <x:c r="AP636" s="22" t="n">
        <x:f>MAX(0,MIN('Activities'!L636,228)-MAX('Activities'!K636,222))</x:f>
        <x:v>0</x:v>
      </x:c>
      <x:c r="AQ636" s="22" t="n">
        <x:f>MAX(0,MIN('Activities'!L636,234)-MAX('Activities'!K636,228))</x:f>
        <x:v>0</x:v>
      </x:c>
      <x:c r="AR636" s="22" t="n">
        <x:f>MAX(0,MIN('Activities'!L636,240)-MAX('Activities'!K636,234))</x:f>
        <x:v>0</x:v>
      </x:c>
      <x:c r="AS636" s="22" t="n">
        <x:f>MAX(0,MIN('Activities'!L636,246)-MAX('Activities'!K636,240))</x:f>
        <x:v>0</x:v>
      </x:c>
      <x:c r="AT636" s="22" t="n">
        <x:f>MAX(0,MIN('Activities'!L636,252)-MAX('Activities'!K636,246))</x:f>
        <x:v>0</x:v>
      </x:c>
      <x:c r="AU636" s="22" t="n">
        <x:f>MAX(0,MIN('Activities'!L636,258)-MAX('Activities'!K636,252))</x:f>
        <x:v>0</x:v>
      </x:c>
      <x:c r="AV636" s="22" t="n">
        <x:f>MAX(0,MIN('Activities'!L636,264)-MAX('Activities'!K636,258))</x:f>
        <x:v>0</x:v>
      </x:c>
      <x:c r="AW636" s="22" t="n">
        <x:f>MAX(0,MIN('Activities'!L636,270)-MAX('Activities'!K636,264))</x:f>
        <x:v>0</x:v>
      </x:c>
      <x:c r="AX636" s="22" t="n">
        <x:f>MAX(0,MIN('Activities'!L636,276)-MAX('Activities'!K636,270))</x:f>
        <x:v>0</x:v>
      </x:c>
      <x:c r="AY636" s="22" t="n">
        <x:f>MAX(0,MIN('Activities'!L636,282)-MAX('Activities'!K636,276))</x:f>
        <x:v>0</x:v>
      </x:c>
      <x:c r="AZ636" s="22" t="n">
        <x:f>MAX(0,MIN('Activities'!L636,288)-MAX('Activities'!K636,282))</x:f>
        <x:v>0</x:v>
      </x:c>
      <x:c r="BA636" s="22" t="n">
        <x:f>MAX(0,MIN('Activities'!L636,294)-MAX('Activities'!K636,288))</x:f>
        <x:v>0</x:v>
      </x:c>
      <x:c r="BB636" s="22" t="n">
        <x:f>MAX(0,MIN('Activities'!L636,300)-MAX('Activities'!K636,294))</x:f>
        <x:v>0</x:v>
      </x:c>
      <x:c r="BC636" s="22" t="n">
        <x:f>MAX(0,MIN('Activities'!L636,306)-MAX('Activities'!K636,300))</x:f>
        <x:v>0</x:v>
      </x:c>
      <x:c r="BD636" s="22" t="n">
        <x:f>MAX(0,MIN('Activities'!L636,312)-MAX('Activities'!K636,306))</x:f>
        <x:v>0</x:v>
      </x:c>
      <x:c r="BE636" s="22" t="n">
        <x:f>MAX(0,MIN('Activities'!L636,318)-MAX('Activities'!K636,312))</x:f>
        <x:v>0</x:v>
      </x:c>
      <x:c r="BF636" s="22" t="n">
        <x:f>MAX(0,MIN('Activities'!L636,324)-MAX('Activities'!K636,318))</x:f>
        <x:v>0</x:v>
      </x:c>
      <x:c r="BG636" s="22" t="n">
        <x:f>MAX(0,MIN('Activities'!L636,330)-MAX('Activities'!K636,324))</x:f>
        <x:v>0</x:v>
      </x:c>
      <x:c r="BH636" s="22" t="n">
        <x:f>MAX(0,MIN('Activities'!L636,336)-MAX('Activities'!K636,330))</x:f>
        <x:v>0</x:v>
      </x:c>
      <x:c r="BI636" s="22" t="n">
        <x:f>MAX(0,MIN('Activities'!L636,342)-MAX('Activities'!K636,336))</x:f>
        <x:v>0</x:v>
      </x:c>
      <x:c r="BJ636" s="22" t="n">
        <x:f>MAX(0,MIN('Activities'!L636,348)-MAX('Activities'!K636,342))</x:f>
        <x:v>0</x:v>
      </x:c>
      <x:c r="BK636" s="22" t="n">
        <x:f>MAX(0,MIN('Activities'!L636,354)-MAX('Activities'!K636,348))</x:f>
        <x:v>0</x:v>
      </x:c>
      <x:c r="BL636" s="22" t="n">
        <x:f>MAX(0,MIN('Activities'!L636,360)-MAX('Activities'!K636,354))</x:f>
        <x:v>0</x:v>
      </x:c>
      <x:c r="BM636" s="22" t="n">
        <x:f>MAX(0,MIN('Activities'!L636,366)-MAX('Activities'!K636,360))</x:f>
        <x:v>0</x:v>
      </x:c>
      <x:c r="BN636" s="22" t="n">
        <x:f>MAX(0,MIN('Activities'!L636,372)-MAX('Activities'!K636,366))</x:f>
        <x:v>0</x:v>
      </x:c>
      <x:c r="BO636" s="22" t="n">
        <x:f>MAX(0,MIN('Activities'!L636,378)-MAX('Activities'!K636,372))</x:f>
        <x:v>0</x:v>
      </x:c>
      <x:c r="BP636" s="22" t="n">
        <x:f>MAX(0,MIN('Activities'!L636,384)-MAX('Activities'!K636,378))</x:f>
        <x:v>0</x:v>
      </x:c>
      <x:c r="BQ636" s="22" t="n">
        <x:f>MAX(0,MIN('Activities'!L636,390)-MAX('Activities'!K636,384))</x:f>
        <x:v>0</x:v>
      </x:c>
      <x:c r="BR636" s="22" t="n">
        <x:f>MAX(0,MIN('Activities'!L636,396)-MAX('Activities'!K636,390))</x:f>
        <x:v>0</x:v>
      </x:c>
      <x:c r="BS636" s="22" t="n">
        <x:f>MAX(0,MIN('Activities'!L636,402)-MAX('Activities'!K636,396))</x:f>
        <x:v>0</x:v>
      </x:c>
      <x:c r="BT636" s="22" t="n">
        <x:f>MAX(0,MIN('Activities'!L636,408)-MAX('Activities'!K636,402))</x:f>
        <x:v>0</x:v>
      </x:c>
      <x:c r="BU636" s="22" t="n">
        <x:f>MAX(0,MIN('Activities'!L636,414)-MAX('Activities'!K636,408))</x:f>
        <x:v>0</x:v>
      </x:c>
      <x:c r="BV636" s="22" t="n">
        <x:f>MAX(0,MIN('Activities'!L636,420)-MAX('Activities'!K636,414))</x:f>
        <x:v>0</x:v>
      </x:c>
      <x:c r="BW636" s="22" t="n">
        <x:f>MAX(0,MIN('Activities'!L636,426)-MAX('Activities'!K636,420))</x:f>
        <x:v>0</x:v>
      </x:c>
      <x:c r="BX636" s="22" t="n">
        <x:f>MAX(0,MIN('Activities'!L636,432)-MAX('Activities'!K636,426))</x:f>
        <x:v>0</x:v>
      </x:c>
      <x:c r="BY636" s="22" t="n">
        <x:f>MAX(0,MIN('Activities'!L636,438)-MAX('Activities'!K636,432))</x:f>
        <x:v>0</x:v>
      </x:c>
      <x:c r="BZ636" s="22" t="n">
        <x:f>MAX(0,MIN('Activities'!L636,444)-MAX('Activities'!K636,438))</x:f>
        <x:v>0</x:v>
      </x:c>
      <x:c r="CA636" s="22" t="n">
        <x:f>MAX(0,MIN('Activities'!L636,450)-MAX('Activities'!K636,444))</x:f>
        <x:v>1</x:v>
      </x:c>
      <x:c r="CB636" s="22" t="n">
        <x:f>MAX(0,MIN('Activities'!L636,456)-MAX('Activities'!K636,450))</x:f>
        <x:v>5</x:v>
      </x:c>
      <x:c r="CC636" s="22" t="n">
        <x:f>MAX(0,MIN('Activities'!L636,462)-MAX('Activities'!K636,456))</x:f>
        <x:v>0</x:v>
      </x:c>
      <x:c r="CD636" s="22" t="n">
        <x:f>MAX(0,MIN('Activities'!L636,468)-MAX('Activities'!K636,462))</x:f>
        <x:v>0</x:v>
      </x:c>
      <x:c r="CE636" s="22" t="n">
        <x:f>MAX(0,MIN('Activities'!L636,474)-MAX('Activities'!K636,468))</x:f>
        <x:v>0</x:v>
      </x:c>
      <x:c r="CF636" s="22" t="n">
        <x:f>MAX(0,MIN('Activities'!L636,480)-MAX('Activities'!K636,474))</x:f>
        <x:v>0</x:v>
      </x:c>
      <x:c r="CG636" s="22" t="n">
        <x:f>MAX(0,MIN('Activities'!L636,486)-MAX('Activities'!K636,480))</x:f>
        <x:v>0</x:v>
      </x:c>
      <x:c r="CH636" s="22" t="n">
        <x:f>MAX(0,MIN('Activities'!L636,492)-MAX('Activities'!K636,486))</x:f>
        <x:v>0</x:v>
      </x:c>
      <x:c r="CI636" s="22" t="n">
        <x:f>MAX(0,MIN('Activities'!L636,498)-MAX('Activities'!K636,492))</x:f>
        <x:v>0</x:v>
      </x:c>
      <x:c r="CJ636" s="22" t="n">
        <x:f>MAX(0,MIN('Activities'!L636,504)-MAX('Activities'!K636,498))</x:f>
        <x:v>0</x:v>
      </x:c>
      <x:c r="CK636" s="22" t="n">
        <x:f>MAX(0,MIN('Activities'!L636,510)-MAX('Activities'!K636,504))</x:f>
        <x:v>0</x:v>
      </x:c>
      <x:c r="CL636" s="22" t="n">
        <x:f>MAX(0,MIN('Activities'!L636,516)-MAX('Activities'!K636,510))</x:f>
        <x:v>0</x:v>
      </x:c>
      <x:c r="CM636" s="22" t="n">
        <x:f>MAX(0,MIN('Activities'!L636,522)-MAX('Activities'!K636,516))</x:f>
        <x:v>0</x:v>
      </x:c>
      <x:c r="CN636" s="22" t="n">
        <x:f>MAX(0,MIN('Activities'!L636,528)-MAX('Activities'!K636,522))</x:f>
        <x:v>0</x:v>
      </x:c>
      <x:c r="CO636" s="22" t="n">
        <x:f>MAX(0,MIN('Activities'!L636,534)-MAX('Activities'!K636,528))</x:f>
        <x:v>0</x:v>
      </x:c>
      <x:c r="CP636" s="22" t="n">
        <x:f>MAX(0,MIN('Activities'!L636,540)-MAX('Activities'!K636,534))</x:f>
        <x:v>0</x:v>
      </x:c>
      <x:c r="CQ636" s="22" t="n">
        <x:f>MAX(0,MIN('Activities'!L636,546)-MAX('Activities'!K636,540))</x:f>
        <x:v>0</x:v>
      </x:c>
      <x:c r="CR636" s="22" t="n">
        <x:f>MAX(0,MIN('Activities'!L636,552)-MAX('Activities'!K636,546))</x:f>
        <x:v>0</x:v>
      </x:c>
      <x:c r="CS636" s="22" t="n">
        <x:f>MAX(0,MIN('Activities'!L636,558)-MAX('Activities'!K636,552))</x:f>
        <x:v>0</x:v>
      </x:c>
      <x:c r="CT636" s="22" t="n">
        <x:f>MAX(0,MIN('Activities'!L636,564)-MAX('Activities'!K636,558))</x:f>
        <x:v>0</x:v>
      </x:c>
      <x:c r="CU636" s="22" t="n">
        <x:f>MAX(0,MIN('Activities'!L636,570)-MAX('Activities'!K636,564))</x:f>
        <x:v>0</x:v>
      </x:c>
      <x:c r="CV636" s="22" t="n">
        <x:f>MAX(0,MIN('Activities'!L636,576)-MAX('Activities'!K636,570))</x:f>
        <x:v>0</x:v>
      </x:c>
      <x:c r="CW636" s="22" t="n">
        <x:f>MAX(0,MIN('Activities'!L636,582)-MAX('Activities'!K636,576))</x:f>
        <x:v>0</x:v>
      </x:c>
      <x:c r="CX636" s="22" t="n">
        <x:f>MAX(0,MIN('Activities'!L636,588)-MAX('Activities'!K636,582))</x:f>
        <x:v>0</x:v>
      </x:c>
      <x:c r="CY636" s="22" t="n">
        <x:f>MAX(0,MIN('Activities'!L636,594)-MAX('Activities'!K636,588))</x:f>
        <x:v>0</x:v>
      </x:c>
      <x:c r="CZ636" s="22" t="n">
        <x:f>MAX(0,MIN('Activities'!L636,600)-MAX('Activities'!K636,594))</x:f>
        <x:v>0</x:v>
      </x:c>
      <x:c r="DA636" s="22" t="n">
        <x:f>MAX(0,MIN('Activities'!L636,606)-MAX('Activities'!K636,600))</x:f>
        <x:v>0</x:v>
      </x:c>
      <x:c r="DB636" s="22" t="n">
        <x:f>MAX(0,MIN('Activities'!L636,612)-MAX('Activities'!K636,606))</x:f>
        <x:v>0</x:v>
      </x:c>
      <x:c r="DC636" s="22" t="n">
        <x:f>MAX(0,MIN('Activities'!L636,618)-MAX('Activities'!K636,612))</x:f>
        <x:v>0</x:v>
      </x:c>
      <x:c r="DD636" s="22" t="n">
        <x:f>MAX(0,MIN('Activities'!L636,624)-MAX('Activities'!K636,618))</x:f>
        <x:v>0</x:v>
      </x:c>
      <x:c r="DE636" s="22" t="n">
        <x:f>MAX(0,MIN('Activities'!L636,630)-MAX('Activities'!K636,624))</x:f>
        <x:v>0</x:v>
      </x:c>
      <x:c r="DF636" s="22" t="n">
        <x:f>MAX(0,MIN('Activities'!L636,636)-MAX('Activities'!K636,630))</x:f>
        <x:v>0</x:v>
      </x:c>
    </x:row>
    <x:row r="637" ht="23" customHeight="1">
      <x:c r="A637" s="1" t="str">
        <x:v>T5-L05-A</x:v>
      </x:c>
      <x:c r="B637" s="1" t="str">
        <x:v>T5</x:v>
      </x:c>
      <x:c r="C637" s="1" t="str">
        <x:v>Paint and final decorations</x:v>
      </x:c>
      <x:c r="D637" s="1" t="str">
        <x:v>Finishes</x:v>
      </x:c>
      <x:c r="E637" s="23" t="n">
        <x:f>MAX(0,MIN('Activities'!L637,6)-MAX('Activities'!K637,0))</x:f>
        <x:v>0</x:v>
      </x:c>
      <x:c r="F637" s="23" t="n">
        <x:f>MAX(0,MIN('Activities'!L637,12)-MAX('Activities'!K637,6))</x:f>
        <x:v>0</x:v>
      </x:c>
      <x:c r="G637" s="23" t="n">
        <x:f>MAX(0,MIN('Activities'!L637,18)-MAX('Activities'!K637,12))</x:f>
        <x:v>0</x:v>
      </x:c>
      <x:c r="H637" s="23" t="n">
        <x:f>MAX(0,MIN('Activities'!L637,24)-MAX('Activities'!K637,18))</x:f>
        <x:v>0</x:v>
      </x:c>
      <x:c r="I637" s="23" t="n">
        <x:f>MAX(0,MIN('Activities'!L637,30)-MAX('Activities'!K637,24))</x:f>
        <x:v>0</x:v>
      </x:c>
      <x:c r="J637" s="23" t="n">
        <x:f>MAX(0,MIN('Activities'!L637,36)-MAX('Activities'!K637,30))</x:f>
        <x:v>0</x:v>
      </x:c>
      <x:c r="K637" s="23" t="n">
        <x:f>MAX(0,MIN('Activities'!L637,42)-MAX('Activities'!K637,36))</x:f>
        <x:v>0</x:v>
      </x:c>
      <x:c r="L637" s="23" t="n">
        <x:f>MAX(0,MIN('Activities'!L637,48)-MAX('Activities'!K637,42))</x:f>
        <x:v>0</x:v>
      </x:c>
      <x:c r="M637" s="23" t="n">
        <x:f>MAX(0,MIN('Activities'!L637,54)-MAX('Activities'!K637,48))</x:f>
        <x:v>0</x:v>
      </x:c>
      <x:c r="N637" s="23" t="n">
        <x:f>MAX(0,MIN('Activities'!L637,60)-MAX('Activities'!K637,54))</x:f>
        <x:v>0</x:v>
      </x:c>
      <x:c r="O637" s="23" t="n">
        <x:f>MAX(0,MIN('Activities'!L637,66)-MAX('Activities'!K637,60))</x:f>
        <x:v>0</x:v>
      </x:c>
      <x:c r="P637" s="23" t="n">
        <x:f>MAX(0,MIN('Activities'!L637,72)-MAX('Activities'!K637,66))</x:f>
        <x:v>0</x:v>
      </x:c>
      <x:c r="Q637" s="23" t="n">
        <x:f>MAX(0,MIN('Activities'!L637,78)-MAX('Activities'!K637,72))</x:f>
        <x:v>0</x:v>
      </x:c>
      <x:c r="R637" s="23" t="n">
        <x:f>MAX(0,MIN('Activities'!L637,84)-MAX('Activities'!K637,78))</x:f>
        <x:v>0</x:v>
      </x:c>
      <x:c r="S637" s="23" t="n">
        <x:f>MAX(0,MIN('Activities'!L637,90)-MAX('Activities'!K637,84))</x:f>
        <x:v>0</x:v>
      </x:c>
      <x:c r="T637" s="23" t="n">
        <x:f>MAX(0,MIN('Activities'!L637,96)-MAX('Activities'!K637,90))</x:f>
        <x:v>0</x:v>
      </x:c>
      <x:c r="U637" s="23" t="n">
        <x:f>MAX(0,MIN('Activities'!L637,102)-MAX('Activities'!K637,96))</x:f>
        <x:v>0</x:v>
      </x:c>
      <x:c r="V637" s="23" t="n">
        <x:f>MAX(0,MIN('Activities'!L637,108)-MAX('Activities'!K637,102))</x:f>
        <x:v>0</x:v>
      </x:c>
      <x:c r="W637" s="23" t="n">
        <x:f>MAX(0,MIN('Activities'!L637,114)-MAX('Activities'!K637,108))</x:f>
        <x:v>0</x:v>
      </x:c>
      <x:c r="X637" s="23" t="n">
        <x:f>MAX(0,MIN('Activities'!L637,120)-MAX('Activities'!K637,114))</x:f>
        <x:v>0</x:v>
      </x:c>
      <x:c r="Y637" s="23" t="n">
        <x:f>MAX(0,MIN('Activities'!L637,126)-MAX('Activities'!K637,120))</x:f>
        <x:v>0</x:v>
      </x:c>
      <x:c r="Z637" s="23" t="n">
        <x:f>MAX(0,MIN('Activities'!L637,132)-MAX('Activities'!K637,126))</x:f>
        <x:v>0</x:v>
      </x:c>
      <x:c r="AA637" s="23" t="n">
        <x:f>MAX(0,MIN('Activities'!L637,138)-MAX('Activities'!K637,132))</x:f>
        <x:v>0</x:v>
      </x:c>
      <x:c r="AB637" s="23" t="n">
        <x:f>MAX(0,MIN('Activities'!L637,144)-MAX('Activities'!K637,138))</x:f>
        <x:v>0</x:v>
      </x:c>
      <x:c r="AC637" s="23" t="n">
        <x:f>MAX(0,MIN('Activities'!L637,150)-MAX('Activities'!K637,144))</x:f>
        <x:v>0</x:v>
      </x:c>
      <x:c r="AD637" s="23" t="n">
        <x:f>MAX(0,MIN('Activities'!L637,156)-MAX('Activities'!K637,150))</x:f>
        <x:v>0</x:v>
      </x:c>
      <x:c r="AE637" s="23" t="n">
        <x:f>MAX(0,MIN('Activities'!L637,162)-MAX('Activities'!K637,156))</x:f>
        <x:v>0</x:v>
      </x:c>
      <x:c r="AF637" s="23" t="n">
        <x:f>MAX(0,MIN('Activities'!L637,168)-MAX('Activities'!K637,162))</x:f>
        <x:v>0</x:v>
      </x:c>
      <x:c r="AG637" s="23" t="n">
        <x:f>MAX(0,MIN('Activities'!L637,174)-MAX('Activities'!K637,168))</x:f>
        <x:v>0</x:v>
      </x:c>
      <x:c r="AH637" s="23" t="n">
        <x:f>MAX(0,MIN('Activities'!L637,180)-MAX('Activities'!K637,174))</x:f>
        <x:v>0</x:v>
      </x:c>
      <x:c r="AI637" s="23" t="n">
        <x:f>MAX(0,MIN('Activities'!L637,186)-MAX('Activities'!K637,180))</x:f>
        <x:v>0</x:v>
      </x:c>
      <x:c r="AJ637" s="23" t="n">
        <x:f>MAX(0,MIN('Activities'!L637,192)-MAX('Activities'!K637,186))</x:f>
        <x:v>0</x:v>
      </x:c>
      <x:c r="AK637" s="23" t="n">
        <x:f>MAX(0,MIN('Activities'!L637,198)-MAX('Activities'!K637,192))</x:f>
        <x:v>0</x:v>
      </x:c>
      <x:c r="AL637" s="23" t="n">
        <x:f>MAX(0,MIN('Activities'!L637,204)-MAX('Activities'!K637,198))</x:f>
        <x:v>0</x:v>
      </x:c>
      <x:c r="AM637" s="23" t="n">
        <x:f>MAX(0,MIN('Activities'!L637,210)-MAX('Activities'!K637,204))</x:f>
        <x:v>0</x:v>
      </x:c>
      <x:c r="AN637" s="23" t="n">
        <x:f>MAX(0,MIN('Activities'!L637,216)-MAX('Activities'!K637,210))</x:f>
        <x:v>0</x:v>
      </x:c>
      <x:c r="AO637" s="23" t="n">
        <x:f>MAX(0,MIN('Activities'!L637,222)-MAX('Activities'!K637,216))</x:f>
        <x:v>0</x:v>
      </x:c>
      <x:c r="AP637" s="23" t="n">
        <x:f>MAX(0,MIN('Activities'!L637,228)-MAX('Activities'!K637,222))</x:f>
        <x:v>0</x:v>
      </x:c>
      <x:c r="AQ637" s="23" t="n">
        <x:f>MAX(0,MIN('Activities'!L637,234)-MAX('Activities'!K637,228))</x:f>
        <x:v>0</x:v>
      </x:c>
      <x:c r="AR637" s="23" t="n">
        <x:f>MAX(0,MIN('Activities'!L637,240)-MAX('Activities'!K637,234))</x:f>
        <x:v>0</x:v>
      </x:c>
      <x:c r="AS637" s="23" t="n">
        <x:f>MAX(0,MIN('Activities'!L637,246)-MAX('Activities'!K637,240))</x:f>
        <x:v>0</x:v>
      </x:c>
      <x:c r="AT637" s="23" t="n">
        <x:f>MAX(0,MIN('Activities'!L637,252)-MAX('Activities'!K637,246))</x:f>
        <x:v>0</x:v>
      </x:c>
      <x:c r="AU637" s="23" t="n">
        <x:f>MAX(0,MIN('Activities'!L637,258)-MAX('Activities'!K637,252))</x:f>
        <x:v>0</x:v>
      </x:c>
      <x:c r="AV637" s="23" t="n">
        <x:f>MAX(0,MIN('Activities'!L637,264)-MAX('Activities'!K637,258))</x:f>
        <x:v>0</x:v>
      </x:c>
      <x:c r="AW637" s="23" t="n">
        <x:f>MAX(0,MIN('Activities'!L637,270)-MAX('Activities'!K637,264))</x:f>
        <x:v>0</x:v>
      </x:c>
      <x:c r="AX637" s="23" t="n">
        <x:f>MAX(0,MIN('Activities'!L637,276)-MAX('Activities'!K637,270))</x:f>
        <x:v>0</x:v>
      </x:c>
      <x:c r="AY637" s="23" t="n">
        <x:f>MAX(0,MIN('Activities'!L637,282)-MAX('Activities'!K637,276))</x:f>
        <x:v>0</x:v>
      </x:c>
      <x:c r="AZ637" s="23" t="n">
        <x:f>MAX(0,MIN('Activities'!L637,288)-MAX('Activities'!K637,282))</x:f>
        <x:v>0</x:v>
      </x:c>
      <x:c r="BA637" s="23" t="n">
        <x:f>MAX(0,MIN('Activities'!L637,294)-MAX('Activities'!K637,288))</x:f>
        <x:v>0</x:v>
      </x:c>
      <x:c r="BB637" s="23" t="n">
        <x:f>MAX(0,MIN('Activities'!L637,300)-MAX('Activities'!K637,294))</x:f>
        <x:v>0</x:v>
      </x:c>
      <x:c r="BC637" s="23" t="n">
        <x:f>MAX(0,MIN('Activities'!L637,306)-MAX('Activities'!K637,300))</x:f>
        <x:v>0</x:v>
      </x:c>
      <x:c r="BD637" s="23" t="n">
        <x:f>MAX(0,MIN('Activities'!L637,312)-MAX('Activities'!K637,306))</x:f>
        <x:v>0</x:v>
      </x:c>
      <x:c r="BE637" s="23" t="n">
        <x:f>MAX(0,MIN('Activities'!L637,318)-MAX('Activities'!K637,312))</x:f>
        <x:v>0</x:v>
      </x:c>
      <x:c r="BF637" s="23" t="n">
        <x:f>MAX(0,MIN('Activities'!L637,324)-MAX('Activities'!K637,318))</x:f>
        <x:v>0</x:v>
      </x:c>
      <x:c r="BG637" s="23" t="n">
        <x:f>MAX(0,MIN('Activities'!L637,330)-MAX('Activities'!K637,324))</x:f>
        <x:v>0</x:v>
      </x:c>
      <x:c r="BH637" s="23" t="n">
        <x:f>MAX(0,MIN('Activities'!L637,336)-MAX('Activities'!K637,330))</x:f>
        <x:v>0</x:v>
      </x:c>
      <x:c r="BI637" s="23" t="n">
        <x:f>MAX(0,MIN('Activities'!L637,342)-MAX('Activities'!K637,336))</x:f>
        <x:v>0</x:v>
      </x:c>
      <x:c r="BJ637" s="23" t="n">
        <x:f>MAX(0,MIN('Activities'!L637,348)-MAX('Activities'!K637,342))</x:f>
        <x:v>0</x:v>
      </x:c>
      <x:c r="BK637" s="23" t="n">
        <x:f>MAX(0,MIN('Activities'!L637,354)-MAX('Activities'!K637,348))</x:f>
        <x:v>0</x:v>
      </x:c>
      <x:c r="BL637" s="23" t="n">
        <x:f>MAX(0,MIN('Activities'!L637,360)-MAX('Activities'!K637,354))</x:f>
        <x:v>0</x:v>
      </x:c>
      <x:c r="BM637" s="23" t="n">
        <x:f>MAX(0,MIN('Activities'!L637,366)-MAX('Activities'!K637,360))</x:f>
        <x:v>0</x:v>
      </x:c>
      <x:c r="BN637" s="23" t="n">
        <x:f>MAX(0,MIN('Activities'!L637,372)-MAX('Activities'!K637,366))</x:f>
        <x:v>0</x:v>
      </x:c>
      <x:c r="BO637" s="23" t="n">
        <x:f>MAX(0,MIN('Activities'!L637,378)-MAX('Activities'!K637,372))</x:f>
        <x:v>0</x:v>
      </x:c>
      <x:c r="BP637" s="23" t="n">
        <x:f>MAX(0,MIN('Activities'!L637,384)-MAX('Activities'!K637,378))</x:f>
        <x:v>0</x:v>
      </x:c>
      <x:c r="BQ637" s="23" t="n">
        <x:f>MAX(0,MIN('Activities'!L637,390)-MAX('Activities'!K637,384))</x:f>
        <x:v>0</x:v>
      </x:c>
      <x:c r="BR637" s="23" t="n">
        <x:f>MAX(0,MIN('Activities'!L637,396)-MAX('Activities'!K637,390))</x:f>
        <x:v>0</x:v>
      </x:c>
      <x:c r="BS637" s="23" t="n">
        <x:f>MAX(0,MIN('Activities'!L637,402)-MAX('Activities'!K637,396))</x:f>
        <x:v>0</x:v>
      </x:c>
      <x:c r="BT637" s="23" t="n">
        <x:f>MAX(0,MIN('Activities'!L637,408)-MAX('Activities'!K637,402))</x:f>
        <x:v>0</x:v>
      </x:c>
      <x:c r="BU637" s="23" t="n">
        <x:f>MAX(0,MIN('Activities'!L637,414)-MAX('Activities'!K637,408))</x:f>
        <x:v>0</x:v>
      </x:c>
      <x:c r="BV637" s="23" t="n">
        <x:f>MAX(0,MIN('Activities'!L637,420)-MAX('Activities'!K637,414))</x:f>
        <x:v>0</x:v>
      </x:c>
      <x:c r="BW637" s="23" t="n">
        <x:f>MAX(0,MIN('Activities'!L637,426)-MAX('Activities'!K637,420))</x:f>
        <x:v>0</x:v>
      </x:c>
      <x:c r="BX637" s="23" t="n">
        <x:f>MAX(0,MIN('Activities'!L637,432)-MAX('Activities'!K637,426))</x:f>
        <x:v>0</x:v>
      </x:c>
      <x:c r="BY637" s="23" t="n">
        <x:f>MAX(0,MIN('Activities'!L637,438)-MAX('Activities'!K637,432))</x:f>
        <x:v>0</x:v>
      </x:c>
      <x:c r="BZ637" s="23" t="n">
        <x:f>MAX(0,MIN('Activities'!L637,444)-MAX('Activities'!K637,438))</x:f>
        <x:v>0</x:v>
      </x:c>
      <x:c r="CA637" s="23" t="n">
        <x:f>MAX(0,MIN('Activities'!L637,450)-MAX('Activities'!K637,444))</x:f>
        <x:v>0</x:v>
      </x:c>
      <x:c r="CB637" s="23" t="n">
        <x:f>MAX(0,MIN('Activities'!L637,456)-MAX('Activities'!K637,450))</x:f>
        <x:v>0</x:v>
      </x:c>
      <x:c r="CC637" s="23" t="n">
        <x:f>MAX(0,MIN('Activities'!L637,462)-MAX('Activities'!K637,456))</x:f>
        <x:v>5</x:v>
      </x:c>
      <x:c r="CD637" s="23" t="n">
        <x:f>MAX(0,MIN('Activities'!L637,468)-MAX('Activities'!K637,462))</x:f>
        <x:v>0</x:v>
      </x:c>
      <x:c r="CE637" s="23" t="n">
        <x:f>MAX(0,MIN('Activities'!L637,474)-MAX('Activities'!K637,468))</x:f>
        <x:v>0</x:v>
      </x:c>
      <x:c r="CF637" s="23" t="n">
        <x:f>MAX(0,MIN('Activities'!L637,480)-MAX('Activities'!K637,474))</x:f>
        <x:v>0</x:v>
      </x:c>
      <x:c r="CG637" s="23" t="n">
        <x:f>MAX(0,MIN('Activities'!L637,486)-MAX('Activities'!K637,480))</x:f>
        <x:v>0</x:v>
      </x:c>
      <x:c r="CH637" s="23" t="n">
        <x:f>MAX(0,MIN('Activities'!L637,492)-MAX('Activities'!K637,486))</x:f>
        <x:v>0</x:v>
      </x:c>
      <x:c r="CI637" s="23" t="n">
        <x:f>MAX(0,MIN('Activities'!L637,498)-MAX('Activities'!K637,492))</x:f>
        <x:v>0</x:v>
      </x:c>
      <x:c r="CJ637" s="23" t="n">
        <x:f>MAX(0,MIN('Activities'!L637,504)-MAX('Activities'!K637,498))</x:f>
        <x:v>0</x:v>
      </x:c>
      <x:c r="CK637" s="23" t="n">
        <x:f>MAX(0,MIN('Activities'!L637,510)-MAX('Activities'!K637,504))</x:f>
        <x:v>0</x:v>
      </x:c>
      <x:c r="CL637" s="23" t="n">
        <x:f>MAX(0,MIN('Activities'!L637,516)-MAX('Activities'!K637,510))</x:f>
        <x:v>0</x:v>
      </x:c>
      <x:c r="CM637" s="23" t="n">
        <x:f>MAX(0,MIN('Activities'!L637,522)-MAX('Activities'!K637,516))</x:f>
        <x:v>0</x:v>
      </x:c>
      <x:c r="CN637" s="23" t="n">
        <x:f>MAX(0,MIN('Activities'!L637,528)-MAX('Activities'!K637,522))</x:f>
        <x:v>0</x:v>
      </x:c>
      <x:c r="CO637" s="23" t="n">
        <x:f>MAX(0,MIN('Activities'!L637,534)-MAX('Activities'!K637,528))</x:f>
        <x:v>0</x:v>
      </x:c>
      <x:c r="CP637" s="23" t="n">
        <x:f>MAX(0,MIN('Activities'!L637,540)-MAX('Activities'!K637,534))</x:f>
        <x:v>0</x:v>
      </x:c>
      <x:c r="CQ637" s="23" t="n">
        <x:f>MAX(0,MIN('Activities'!L637,546)-MAX('Activities'!K637,540))</x:f>
        <x:v>0</x:v>
      </x:c>
      <x:c r="CR637" s="23" t="n">
        <x:f>MAX(0,MIN('Activities'!L637,552)-MAX('Activities'!K637,546))</x:f>
        <x:v>0</x:v>
      </x:c>
      <x:c r="CS637" s="23" t="n">
        <x:f>MAX(0,MIN('Activities'!L637,558)-MAX('Activities'!K637,552))</x:f>
        <x:v>0</x:v>
      </x:c>
      <x:c r="CT637" s="23" t="n">
        <x:f>MAX(0,MIN('Activities'!L637,564)-MAX('Activities'!K637,558))</x:f>
        <x:v>0</x:v>
      </x:c>
      <x:c r="CU637" s="23" t="n">
        <x:f>MAX(0,MIN('Activities'!L637,570)-MAX('Activities'!K637,564))</x:f>
        <x:v>0</x:v>
      </x:c>
      <x:c r="CV637" s="23" t="n">
        <x:f>MAX(0,MIN('Activities'!L637,576)-MAX('Activities'!K637,570))</x:f>
        <x:v>0</x:v>
      </x:c>
      <x:c r="CW637" s="23" t="n">
        <x:f>MAX(0,MIN('Activities'!L637,582)-MAX('Activities'!K637,576))</x:f>
        <x:v>0</x:v>
      </x:c>
      <x:c r="CX637" s="23" t="n">
        <x:f>MAX(0,MIN('Activities'!L637,588)-MAX('Activities'!K637,582))</x:f>
        <x:v>0</x:v>
      </x:c>
      <x:c r="CY637" s="23" t="n">
        <x:f>MAX(0,MIN('Activities'!L637,594)-MAX('Activities'!K637,588))</x:f>
        <x:v>0</x:v>
      </x:c>
      <x:c r="CZ637" s="23" t="n">
        <x:f>MAX(0,MIN('Activities'!L637,600)-MAX('Activities'!K637,594))</x:f>
        <x:v>0</x:v>
      </x:c>
      <x:c r="DA637" s="23" t="n">
        <x:f>MAX(0,MIN('Activities'!L637,606)-MAX('Activities'!K637,600))</x:f>
        <x:v>0</x:v>
      </x:c>
      <x:c r="DB637" s="23" t="n">
        <x:f>MAX(0,MIN('Activities'!L637,612)-MAX('Activities'!K637,606))</x:f>
        <x:v>0</x:v>
      </x:c>
      <x:c r="DC637" s="23" t="n">
        <x:f>MAX(0,MIN('Activities'!L637,618)-MAX('Activities'!K637,612))</x:f>
        <x:v>0</x:v>
      </x:c>
      <x:c r="DD637" s="23" t="n">
        <x:f>MAX(0,MIN('Activities'!L637,624)-MAX('Activities'!K637,618))</x:f>
        <x:v>0</x:v>
      </x:c>
      <x:c r="DE637" s="23" t="n">
        <x:f>MAX(0,MIN('Activities'!L637,630)-MAX('Activities'!K637,624))</x:f>
        <x:v>0</x:v>
      </x:c>
      <x:c r="DF637" s="23" t="n">
        <x:f>MAX(0,MIN('Activities'!L637,636)-MAX('Activities'!K637,630))</x:f>
        <x:v>0</x:v>
      </x:c>
    </x:row>
    <x:row r="638" ht="23" customHeight="1">
      <x:c r="A638" s="6" t="str">
        <x:v>T5-L05-D</x:v>
      </x:c>
      <x:c r="B638" s="6" t="str">
        <x:v>T5</x:v>
      </x:c>
      <x:c r="C638" s="6" t="str">
        <x:v>Door sets and ironmongery</x:v>
      </x:c>
      <x:c r="D638" s="6" t="str">
        <x:v>Finishes</x:v>
      </x:c>
      <x:c r="E638" s="22" t="n">
        <x:f>MAX(0,MIN('Activities'!L638,6)-MAX('Activities'!K638,0))</x:f>
        <x:v>0</x:v>
      </x:c>
      <x:c r="F638" s="22" t="n">
        <x:f>MAX(0,MIN('Activities'!L638,12)-MAX('Activities'!K638,6))</x:f>
        <x:v>0</x:v>
      </x:c>
      <x:c r="G638" s="22" t="n">
        <x:f>MAX(0,MIN('Activities'!L638,18)-MAX('Activities'!K638,12))</x:f>
        <x:v>0</x:v>
      </x:c>
      <x:c r="H638" s="22" t="n">
        <x:f>MAX(0,MIN('Activities'!L638,24)-MAX('Activities'!K638,18))</x:f>
        <x:v>0</x:v>
      </x:c>
      <x:c r="I638" s="22" t="n">
        <x:f>MAX(0,MIN('Activities'!L638,30)-MAX('Activities'!K638,24))</x:f>
        <x:v>0</x:v>
      </x:c>
      <x:c r="J638" s="22" t="n">
        <x:f>MAX(0,MIN('Activities'!L638,36)-MAX('Activities'!K638,30))</x:f>
        <x:v>0</x:v>
      </x:c>
      <x:c r="K638" s="22" t="n">
        <x:f>MAX(0,MIN('Activities'!L638,42)-MAX('Activities'!K638,36))</x:f>
        <x:v>0</x:v>
      </x:c>
      <x:c r="L638" s="22" t="n">
        <x:f>MAX(0,MIN('Activities'!L638,48)-MAX('Activities'!K638,42))</x:f>
        <x:v>0</x:v>
      </x:c>
      <x:c r="M638" s="22" t="n">
        <x:f>MAX(0,MIN('Activities'!L638,54)-MAX('Activities'!K638,48))</x:f>
        <x:v>0</x:v>
      </x:c>
      <x:c r="N638" s="22" t="n">
        <x:f>MAX(0,MIN('Activities'!L638,60)-MAX('Activities'!K638,54))</x:f>
        <x:v>0</x:v>
      </x:c>
      <x:c r="O638" s="22" t="n">
        <x:f>MAX(0,MIN('Activities'!L638,66)-MAX('Activities'!K638,60))</x:f>
        <x:v>0</x:v>
      </x:c>
      <x:c r="P638" s="22" t="n">
        <x:f>MAX(0,MIN('Activities'!L638,72)-MAX('Activities'!K638,66))</x:f>
        <x:v>0</x:v>
      </x:c>
      <x:c r="Q638" s="22" t="n">
        <x:f>MAX(0,MIN('Activities'!L638,78)-MAX('Activities'!K638,72))</x:f>
        <x:v>0</x:v>
      </x:c>
      <x:c r="R638" s="22" t="n">
        <x:f>MAX(0,MIN('Activities'!L638,84)-MAX('Activities'!K638,78))</x:f>
        <x:v>0</x:v>
      </x:c>
      <x:c r="S638" s="22" t="n">
        <x:f>MAX(0,MIN('Activities'!L638,90)-MAX('Activities'!K638,84))</x:f>
        <x:v>0</x:v>
      </x:c>
      <x:c r="T638" s="22" t="n">
        <x:f>MAX(0,MIN('Activities'!L638,96)-MAX('Activities'!K638,90))</x:f>
        <x:v>0</x:v>
      </x:c>
      <x:c r="U638" s="22" t="n">
        <x:f>MAX(0,MIN('Activities'!L638,102)-MAX('Activities'!K638,96))</x:f>
        <x:v>0</x:v>
      </x:c>
      <x:c r="V638" s="22" t="n">
        <x:f>MAX(0,MIN('Activities'!L638,108)-MAX('Activities'!K638,102))</x:f>
        <x:v>0</x:v>
      </x:c>
      <x:c r="W638" s="22" t="n">
        <x:f>MAX(0,MIN('Activities'!L638,114)-MAX('Activities'!K638,108))</x:f>
        <x:v>0</x:v>
      </x:c>
      <x:c r="X638" s="22" t="n">
        <x:f>MAX(0,MIN('Activities'!L638,120)-MAX('Activities'!K638,114))</x:f>
        <x:v>0</x:v>
      </x:c>
      <x:c r="Y638" s="22" t="n">
        <x:f>MAX(0,MIN('Activities'!L638,126)-MAX('Activities'!K638,120))</x:f>
        <x:v>0</x:v>
      </x:c>
      <x:c r="Z638" s="22" t="n">
        <x:f>MAX(0,MIN('Activities'!L638,132)-MAX('Activities'!K638,126))</x:f>
        <x:v>0</x:v>
      </x:c>
      <x:c r="AA638" s="22" t="n">
        <x:f>MAX(0,MIN('Activities'!L638,138)-MAX('Activities'!K638,132))</x:f>
        <x:v>0</x:v>
      </x:c>
      <x:c r="AB638" s="22" t="n">
        <x:f>MAX(0,MIN('Activities'!L638,144)-MAX('Activities'!K638,138))</x:f>
        <x:v>0</x:v>
      </x:c>
      <x:c r="AC638" s="22" t="n">
        <x:f>MAX(0,MIN('Activities'!L638,150)-MAX('Activities'!K638,144))</x:f>
        <x:v>0</x:v>
      </x:c>
      <x:c r="AD638" s="22" t="n">
        <x:f>MAX(0,MIN('Activities'!L638,156)-MAX('Activities'!K638,150))</x:f>
        <x:v>0</x:v>
      </x:c>
      <x:c r="AE638" s="22" t="n">
        <x:f>MAX(0,MIN('Activities'!L638,162)-MAX('Activities'!K638,156))</x:f>
        <x:v>0</x:v>
      </x:c>
      <x:c r="AF638" s="22" t="n">
        <x:f>MAX(0,MIN('Activities'!L638,168)-MAX('Activities'!K638,162))</x:f>
        <x:v>0</x:v>
      </x:c>
      <x:c r="AG638" s="22" t="n">
        <x:f>MAX(0,MIN('Activities'!L638,174)-MAX('Activities'!K638,168))</x:f>
        <x:v>0</x:v>
      </x:c>
      <x:c r="AH638" s="22" t="n">
        <x:f>MAX(0,MIN('Activities'!L638,180)-MAX('Activities'!K638,174))</x:f>
        <x:v>0</x:v>
      </x:c>
      <x:c r="AI638" s="22" t="n">
        <x:f>MAX(0,MIN('Activities'!L638,186)-MAX('Activities'!K638,180))</x:f>
        <x:v>0</x:v>
      </x:c>
      <x:c r="AJ638" s="22" t="n">
        <x:f>MAX(0,MIN('Activities'!L638,192)-MAX('Activities'!K638,186))</x:f>
        <x:v>0</x:v>
      </x:c>
      <x:c r="AK638" s="22" t="n">
        <x:f>MAX(0,MIN('Activities'!L638,198)-MAX('Activities'!K638,192))</x:f>
        <x:v>0</x:v>
      </x:c>
      <x:c r="AL638" s="22" t="n">
        <x:f>MAX(0,MIN('Activities'!L638,204)-MAX('Activities'!K638,198))</x:f>
        <x:v>0</x:v>
      </x:c>
      <x:c r="AM638" s="22" t="n">
        <x:f>MAX(0,MIN('Activities'!L638,210)-MAX('Activities'!K638,204))</x:f>
        <x:v>0</x:v>
      </x:c>
      <x:c r="AN638" s="22" t="n">
        <x:f>MAX(0,MIN('Activities'!L638,216)-MAX('Activities'!K638,210))</x:f>
        <x:v>0</x:v>
      </x:c>
      <x:c r="AO638" s="22" t="n">
        <x:f>MAX(0,MIN('Activities'!L638,222)-MAX('Activities'!K638,216))</x:f>
        <x:v>0</x:v>
      </x:c>
      <x:c r="AP638" s="22" t="n">
        <x:f>MAX(0,MIN('Activities'!L638,228)-MAX('Activities'!K638,222))</x:f>
        <x:v>0</x:v>
      </x:c>
      <x:c r="AQ638" s="22" t="n">
        <x:f>MAX(0,MIN('Activities'!L638,234)-MAX('Activities'!K638,228))</x:f>
        <x:v>0</x:v>
      </x:c>
      <x:c r="AR638" s="22" t="n">
        <x:f>MAX(0,MIN('Activities'!L638,240)-MAX('Activities'!K638,234))</x:f>
        <x:v>0</x:v>
      </x:c>
      <x:c r="AS638" s="22" t="n">
        <x:f>MAX(0,MIN('Activities'!L638,246)-MAX('Activities'!K638,240))</x:f>
        <x:v>0</x:v>
      </x:c>
      <x:c r="AT638" s="22" t="n">
        <x:f>MAX(0,MIN('Activities'!L638,252)-MAX('Activities'!K638,246))</x:f>
        <x:v>0</x:v>
      </x:c>
      <x:c r="AU638" s="22" t="n">
        <x:f>MAX(0,MIN('Activities'!L638,258)-MAX('Activities'!K638,252))</x:f>
        <x:v>0</x:v>
      </x:c>
      <x:c r="AV638" s="22" t="n">
        <x:f>MAX(0,MIN('Activities'!L638,264)-MAX('Activities'!K638,258))</x:f>
        <x:v>0</x:v>
      </x:c>
      <x:c r="AW638" s="22" t="n">
        <x:f>MAX(0,MIN('Activities'!L638,270)-MAX('Activities'!K638,264))</x:f>
        <x:v>0</x:v>
      </x:c>
      <x:c r="AX638" s="22" t="n">
        <x:f>MAX(0,MIN('Activities'!L638,276)-MAX('Activities'!K638,270))</x:f>
        <x:v>0</x:v>
      </x:c>
      <x:c r="AY638" s="22" t="n">
        <x:f>MAX(0,MIN('Activities'!L638,282)-MAX('Activities'!K638,276))</x:f>
        <x:v>0</x:v>
      </x:c>
      <x:c r="AZ638" s="22" t="n">
        <x:f>MAX(0,MIN('Activities'!L638,288)-MAX('Activities'!K638,282))</x:f>
        <x:v>0</x:v>
      </x:c>
      <x:c r="BA638" s="22" t="n">
        <x:f>MAX(0,MIN('Activities'!L638,294)-MAX('Activities'!K638,288))</x:f>
        <x:v>0</x:v>
      </x:c>
      <x:c r="BB638" s="22" t="n">
        <x:f>MAX(0,MIN('Activities'!L638,300)-MAX('Activities'!K638,294))</x:f>
        <x:v>0</x:v>
      </x:c>
      <x:c r="BC638" s="22" t="n">
        <x:f>MAX(0,MIN('Activities'!L638,306)-MAX('Activities'!K638,300))</x:f>
        <x:v>0</x:v>
      </x:c>
      <x:c r="BD638" s="22" t="n">
        <x:f>MAX(0,MIN('Activities'!L638,312)-MAX('Activities'!K638,306))</x:f>
        <x:v>0</x:v>
      </x:c>
      <x:c r="BE638" s="22" t="n">
        <x:f>MAX(0,MIN('Activities'!L638,318)-MAX('Activities'!K638,312))</x:f>
        <x:v>0</x:v>
      </x:c>
      <x:c r="BF638" s="22" t="n">
        <x:f>MAX(0,MIN('Activities'!L638,324)-MAX('Activities'!K638,318))</x:f>
        <x:v>0</x:v>
      </x:c>
      <x:c r="BG638" s="22" t="n">
        <x:f>MAX(0,MIN('Activities'!L638,330)-MAX('Activities'!K638,324))</x:f>
        <x:v>0</x:v>
      </x:c>
      <x:c r="BH638" s="22" t="n">
        <x:f>MAX(0,MIN('Activities'!L638,336)-MAX('Activities'!K638,330))</x:f>
        <x:v>0</x:v>
      </x:c>
      <x:c r="BI638" s="22" t="n">
        <x:f>MAX(0,MIN('Activities'!L638,342)-MAX('Activities'!K638,336))</x:f>
        <x:v>0</x:v>
      </x:c>
      <x:c r="BJ638" s="22" t="n">
        <x:f>MAX(0,MIN('Activities'!L638,348)-MAX('Activities'!K638,342))</x:f>
        <x:v>0</x:v>
      </x:c>
      <x:c r="BK638" s="22" t="n">
        <x:f>MAX(0,MIN('Activities'!L638,354)-MAX('Activities'!K638,348))</x:f>
        <x:v>0</x:v>
      </x:c>
      <x:c r="BL638" s="22" t="n">
        <x:f>MAX(0,MIN('Activities'!L638,360)-MAX('Activities'!K638,354))</x:f>
        <x:v>0</x:v>
      </x:c>
      <x:c r="BM638" s="22" t="n">
        <x:f>MAX(0,MIN('Activities'!L638,366)-MAX('Activities'!K638,360))</x:f>
        <x:v>0</x:v>
      </x:c>
      <x:c r="BN638" s="22" t="n">
        <x:f>MAX(0,MIN('Activities'!L638,372)-MAX('Activities'!K638,366))</x:f>
        <x:v>0</x:v>
      </x:c>
      <x:c r="BO638" s="22" t="n">
        <x:f>MAX(0,MIN('Activities'!L638,378)-MAX('Activities'!K638,372))</x:f>
        <x:v>0</x:v>
      </x:c>
      <x:c r="BP638" s="22" t="n">
        <x:f>MAX(0,MIN('Activities'!L638,384)-MAX('Activities'!K638,378))</x:f>
        <x:v>0</x:v>
      </x:c>
      <x:c r="BQ638" s="22" t="n">
        <x:f>MAX(0,MIN('Activities'!L638,390)-MAX('Activities'!K638,384))</x:f>
        <x:v>0</x:v>
      </x:c>
      <x:c r="BR638" s="22" t="n">
        <x:f>MAX(0,MIN('Activities'!L638,396)-MAX('Activities'!K638,390))</x:f>
        <x:v>0</x:v>
      </x:c>
      <x:c r="BS638" s="22" t="n">
        <x:f>MAX(0,MIN('Activities'!L638,402)-MAX('Activities'!K638,396))</x:f>
        <x:v>0</x:v>
      </x:c>
      <x:c r="BT638" s="22" t="n">
        <x:f>MAX(0,MIN('Activities'!L638,408)-MAX('Activities'!K638,402))</x:f>
        <x:v>0</x:v>
      </x:c>
      <x:c r="BU638" s="22" t="n">
        <x:f>MAX(0,MIN('Activities'!L638,414)-MAX('Activities'!K638,408))</x:f>
        <x:v>0</x:v>
      </x:c>
      <x:c r="BV638" s="22" t="n">
        <x:f>MAX(0,MIN('Activities'!L638,420)-MAX('Activities'!K638,414))</x:f>
        <x:v>0</x:v>
      </x:c>
      <x:c r="BW638" s="22" t="n">
        <x:f>MAX(0,MIN('Activities'!L638,426)-MAX('Activities'!K638,420))</x:f>
        <x:v>0</x:v>
      </x:c>
      <x:c r="BX638" s="22" t="n">
        <x:f>MAX(0,MIN('Activities'!L638,432)-MAX('Activities'!K638,426))</x:f>
        <x:v>0</x:v>
      </x:c>
      <x:c r="BY638" s="22" t="n">
        <x:f>MAX(0,MIN('Activities'!L638,438)-MAX('Activities'!K638,432))</x:f>
        <x:v>0</x:v>
      </x:c>
      <x:c r="BZ638" s="22" t="n">
        <x:f>MAX(0,MIN('Activities'!L638,444)-MAX('Activities'!K638,438))</x:f>
        <x:v>0</x:v>
      </x:c>
      <x:c r="CA638" s="22" t="n">
        <x:f>MAX(0,MIN('Activities'!L638,450)-MAX('Activities'!K638,444))</x:f>
        <x:v>0</x:v>
      </x:c>
      <x:c r="CB638" s="22" t="n">
        <x:f>MAX(0,MIN('Activities'!L638,456)-MAX('Activities'!K638,450))</x:f>
        <x:v>0</x:v>
      </x:c>
      <x:c r="CC638" s="22" t="n">
        <x:f>MAX(0,MIN('Activities'!L638,462)-MAX('Activities'!K638,456))</x:f>
        <x:v>0</x:v>
      </x:c>
      <x:c r="CD638" s="22" t="n">
        <x:f>MAX(0,MIN('Activities'!L638,468)-MAX('Activities'!K638,462))</x:f>
        <x:v>3</x:v>
      </x:c>
      <x:c r="CE638" s="22" t="n">
        <x:f>MAX(0,MIN('Activities'!L638,474)-MAX('Activities'!K638,468))</x:f>
        <x:v>0</x:v>
      </x:c>
      <x:c r="CF638" s="22" t="n">
        <x:f>MAX(0,MIN('Activities'!L638,480)-MAX('Activities'!K638,474))</x:f>
        <x:v>0</x:v>
      </x:c>
      <x:c r="CG638" s="22" t="n">
        <x:f>MAX(0,MIN('Activities'!L638,486)-MAX('Activities'!K638,480))</x:f>
        <x:v>0</x:v>
      </x:c>
      <x:c r="CH638" s="22" t="n">
        <x:f>MAX(0,MIN('Activities'!L638,492)-MAX('Activities'!K638,486))</x:f>
        <x:v>0</x:v>
      </x:c>
      <x:c r="CI638" s="22" t="n">
        <x:f>MAX(0,MIN('Activities'!L638,498)-MAX('Activities'!K638,492))</x:f>
        <x:v>0</x:v>
      </x:c>
      <x:c r="CJ638" s="22" t="n">
        <x:f>MAX(0,MIN('Activities'!L638,504)-MAX('Activities'!K638,498))</x:f>
        <x:v>0</x:v>
      </x:c>
      <x:c r="CK638" s="22" t="n">
        <x:f>MAX(0,MIN('Activities'!L638,510)-MAX('Activities'!K638,504))</x:f>
        <x:v>0</x:v>
      </x:c>
      <x:c r="CL638" s="22" t="n">
        <x:f>MAX(0,MIN('Activities'!L638,516)-MAX('Activities'!K638,510))</x:f>
        <x:v>0</x:v>
      </x:c>
      <x:c r="CM638" s="22" t="n">
        <x:f>MAX(0,MIN('Activities'!L638,522)-MAX('Activities'!K638,516))</x:f>
        <x:v>0</x:v>
      </x:c>
      <x:c r="CN638" s="22" t="n">
        <x:f>MAX(0,MIN('Activities'!L638,528)-MAX('Activities'!K638,522))</x:f>
        <x:v>0</x:v>
      </x:c>
      <x:c r="CO638" s="22" t="n">
        <x:f>MAX(0,MIN('Activities'!L638,534)-MAX('Activities'!K638,528))</x:f>
        <x:v>0</x:v>
      </x:c>
      <x:c r="CP638" s="22" t="n">
        <x:f>MAX(0,MIN('Activities'!L638,540)-MAX('Activities'!K638,534))</x:f>
        <x:v>0</x:v>
      </x:c>
      <x:c r="CQ638" s="22" t="n">
        <x:f>MAX(0,MIN('Activities'!L638,546)-MAX('Activities'!K638,540))</x:f>
        <x:v>0</x:v>
      </x:c>
      <x:c r="CR638" s="22" t="n">
        <x:f>MAX(0,MIN('Activities'!L638,552)-MAX('Activities'!K638,546))</x:f>
        <x:v>0</x:v>
      </x:c>
      <x:c r="CS638" s="22" t="n">
        <x:f>MAX(0,MIN('Activities'!L638,558)-MAX('Activities'!K638,552))</x:f>
        <x:v>0</x:v>
      </x:c>
      <x:c r="CT638" s="22" t="n">
        <x:f>MAX(0,MIN('Activities'!L638,564)-MAX('Activities'!K638,558))</x:f>
        <x:v>0</x:v>
      </x:c>
      <x:c r="CU638" s="22" t="n">
        <x:f>MAX(0,MIN('Activities'!L638,570)-MAX('Activities'!K638,564))</x:f>
        <x:v>0</x:v>
      </x:c>
      <x:c r="CV638" s="22" t="n">
        <x:f>MAX(0,MIN('Activities'!L638,576)-MAX('Activities'!K638,570))</x:f>
        <x:v>0</x:v>
      </x:c>
      <x:c r="CW638" s="22" t="n">
        <x:f>MAX(0,MIN('Activities'!L638,582)-MAX('Activities'!K638,576))</x:f>
        <x:v>0</x:v>
      </x:c>
      <x:c r="CX638" s="22" t="n">
        <x:f>MAX(0,MIN('Activities'!L638,588)-MAX('Activities'!K638,582))</x:f>
        <x:v>0</x:v>
      </x:c>
      <x:c r="CY638" s="22" t="n">
        <x:f>MAX(0,MIN('Activities'!L638,594)-MAX('Activities'!K638,588))</x:f>
        <x:v>0</x:v>
      </x:c>
      <x:c r="CZ638" s="22" t="n">
        <x:f>MAX(0,MIN('Activities'!L638,600)-MAX('Activities'!K638,594))</x:f>
        <x:v>0</x:v>
      </x:c>
      <x:c r="DA638" s="22" t="n">
        <x:f>MAX(0,MIN('Activities'!L638,606)-MAX('Activities'!K638,600))</x:f>
        <x:v>0</x:v>
      </x:c>
      <x:c r="DB638" s="22" t="n">
        <x:f>MAX(0,MIN('Activities'!L638,612)-MAX('Activities'!K638,606))</x:f>
        <x:v>0</x:v>
      </x:c>
      <x:c r="DC638" s="22" t="n">
        <x:f>MAX(0,MIN('Activities'!L638,618)-MAX('Activities'!K638,612))</x:f>
        <x:v>0</x:v>
      </x:c>
      <x:c r="DD638" s="22" t="n">
        <x:f>MAX(0,MIN('Activities'!L638,624)-MAX('Activities'!K638,618))</x:f>
        <x:v>0</x:v>
      </x:c>
      <x:c r="DE638" s="22" t="n">
        <x:f>MAX(0,MIN('Activities'!L638,630)-MAX('Activities'!K638,624))</x:f>
        <x:v>0</x:v>
      </x:c>
      <x:c r="DF638" s="22" t="n">
        <x:f>MAX(0,MIN('Activities'!L638,636)-MAX('Activities'!K638,630))</x:f>
        <x:v>0</x:v>
      </x:c>
    </x:row>
    <x:row r="639" ht="23" customHeight="1">
      <x:c r="A639" s="1" t="str">
        <x:v>T5-L06-M</x:v>
      </x:c>
      <x:c r="B639" s="1" t="str">
        <x:v>T5</x:v>
      </x:c>
      <x:c r="C639" s="1" t="str">
        <x:v>Partition masonry</x:v>
      </x:c>
      <x:c r="D639" s="1" t="str">
        <x:v>Masonry</x:v>
      </x:c>
      <x:c r="E639" s="23" t="n">
        <x:f>MAX(0,MIN('Activities'!L639,6)-MAX('Activities'!K639,0))</x:f>
        <x:v>0</x:v>
      </x:c>
      <x:c r="F639" s="23" t="n">
        <x:f>MAX(0,MIN('Activities'!L639,12)-MAX('Activities'!K639,6))</x:f>
        <x:v>0</x:v>
      </x:c>
      <x:c r="G639" s="23" t="n">
        <x:f>MAX(0,MIN('Activities'!L639,18)-MAX('Activities'!K639,12))</x:f>
        <x:v>0</x:v>
      </x:c>
      <x:c r="H639" s="23" t="n">
        <x:f>MAX(0,MIN('Activities'!L639,24)-MAX('Activities'!K639,18))</x:f>
        <x:v>0</x:v>
      </x:c>
      <x:c r="I639" s="23" t="n">
        <x:f>MAX(0,MIN('Activities'!L639,30)-MAX('Activities'!K639,24))</x:f>
        <x:v>0</x:v>
      </x:c>
      <x:c r="J639" s="23" t="n">
        <x:f>MAX(0,MIN('Activities'!L639,36)-MAX('Activities'!K639,30))</x:f>
        <x:v>0</x:v>
      </x:c>
      <x:c r="K639" s="23" t="n">
        <x:f>MAX(0,MIN('Activities'!L639,42)-MAX('Activities'!K639,36))</x:f>
        <x:v>0</x:v>
      </x:c>
      <x:c r="L639" s="23" t="n">
        <x:f>MAX(0,MIN('Activities'!L639,48)-MAX('Activities'!K639,42))</x:f>
        <x:v>0</x:v>
      </x:c>
      <x:c r="M639" s="23" t="n">
        <x:f>MAX(0,MIN('Activities'!L639,54)-MAX('Activities'!K639,48))</x:f>
        <x:v>0</x:v>
      </x:c>
      <x:c r="N639" s="23" t="n">
        <x:f>MAX(0,MIN('Activities'!L639,60)-MAX('Activities'!K639,54))</x:f>
        <x:v>0</x:v>
      </x:c>
      <x:c r="O639" s="23" t="n">
        <x:f>MAX(0,MIN('Activities'!L639,66)-MAX('Activities'!K639,60))</x:f>
        <x:v>0</x:v>
      </x:c>
      <x:c r="P639" s="23" t="n">
        <x:f>MAX(0,MIN('Activities'!L639,72)-MAX('Activities'!K639,66))</x:f>
        <x:v>0</x:v>
      </x:c>
      <x:c r="Q639" s="23" t="n">
        <x:f>MAX(0,MIN('Activities'!L639,78)-MAX('Activities'!K639,72))</x:f>
        <x:v>0</x:v>
      </x:c>
      <x:c r="R639" s="23" t="n">
        <x:f>MAX(0,MIN('Activities'!L639,84)-MAX('Activities'!K639,78))</x:f>
        <x:v>0</x:v>
      </x:c>
      <x:c r="S639" s="23" t="n">
        <x:f>MAX(0,MIN('Activities'!L639,90)-MAX('Activities'!K639,84))</x:f>
        <x:v>0</x:v>
      </x:c>
      <x:c r="T639" s="23" t="n">
        <x:f>MAX(0,MIN('Activities'!L639,96)-MAX('Activities'!K639,90))</x:f>
        <x:v>0</x:v>
      </x:c>
      <x:c r="U639" s="23" t="n">
        <x:f>MAX(0,MIN('Activities'!L639,102)-MAX('Activities'!K639,96))</x:f>
        <x:v>0</x:v>
      </x:c>
      <x:c r="V639" s="23" t="n">
        <x:f>MAX(0,MIN('Activities'!L639,108)-MAX('Activities'!K639,102))</x:f>
        <x:v>0</x:v>
      </x:c>
      <x:c r="W639" s="23" t="n">
        <x:f>MAX(0,MIN('Activities'!L639,114)-MAX('Activities'!K639,108))</x:f>
        <x:v>0</x:v>
      </x:c>
      <x:c r="X639" s="23" t="n">
        <x:f>MAX(0,MIN('Activities'!L639,120)-MAX('Activities'!K639,114))</x:f>
        <x:v>0</x:v>
      </x:c>
      <x:c r="Y639" s="23" t="n">
        <x:f>MAX(0,MIN('Activities'!L639,126)-MAX('Activities'!K639,120))</x:f>
        <x:v>0</x:v>
      </x:c>
      <x:c r="Z639" s="23" t="n">
        <x:f>MAX(0,MIN('Activities'!L639,132)-MAX('Activities'!K639,126))</x:f>
        <x:v>0</x:v>
      </x:c>
      <x:c r="AA639" s="23" t="n">
        <x:f>MAX(0,MIN('Activities'!L639,138)-MAX('Activities'!K639,132))</x:f>
        <x:v>0</x:v>
      </x:c>
      <x:c r="AB639" s="23" t="n">
        <x:f>MAX(0,MIN('Activities'!L639,144)-MAX('Activities'!K639,138))</x:f>
        <x:v>0</x:v>
      </x:c>
      <x:c r="AC639" s="23" t="n">
        <x:f>MAX(0,MIN('Activities'!L639,150)-MAX('Activities'!K639,144))</x:f>
        <x:v>0</x:v>
      </x:c>
      <x:c r="AD639" s="23" t="n">
        <x:f>MAX(0,MIN('Activities'!L639,156)-MAX('Activities'!K639,150))</x:f>
        <x:v>0</x:v>
      </x:c>
      <x:c r="AE639" s="23" t="n">
        <x:f>MAX(0,MIN('Activities'!L639,162)-MAX('Activities'!K639,156))</x:f>
        <x:v>0</x:v>
      </x:c>
      <x:c r="AF639" s="23" t="n">
        <x:f>MAX(0,MIN('Activities'!L639,168)-MAX('Activities'!K639,162))</x:f>
        <x:v>0</x:v>
      </x:c>
      <x:c r="AG639" s="23" t="n">
        <x:f>MAX(0,MIN('Activities'!L639,174)-MAX('Activities'!K639,168))</x:f>
        <x:v>0</x:v>
      </x:c>
      <x:c r="AH639" s="23" t="n">
        <x:f>MAX(0,MIN('Activities'!L639,180)-MAX('Activities'!K639,174))</x:f>
        <x:v>0</x:v>
      </x:c>
      <x:c r="AI639" s="23" t="n">
        <x:f>MAX(0,MIN('Activities'!L639,186)-MAX('Activities'!K639,180))</x:f>
        <x:v>0</x:v>
      </x:c>
      <x:c r="AJ639" s="23" t="n">
        <x:f>MAX(0,MIN('Activities'!L639,192)-MAX('Activities'!K639,186))</x:f>
        <x:v>0</x:v>
      </x:c>
      <x:c r="AK639" s="23" t="n">
        <x:f>MAX(0,MIN('Activities'!L639,198)-MAX('Activities'!K639,192))</x:f>
        <x:v>0</x:v>
      </x:c>
      <x:c r="AL639" s="23" t="n">
        <x:f>MAX(0,MIN('Activities'!L639,204)-MAX('Activities'!K639,198))</x:f>
        <x:v>0</x:v>
      </x:c>
      <x:c r="AM639" s="23" t="n">
        <x:f>MAX(0,MIN('Activities'!L639,210)-MAX('Activities'!K639,204))</x:f>
        <x:v>0</x:v>
      </x:c>
      <x:c r="AN639" s="23" t="n">
        <x:f>MAX(0,MIN('Activities'!L639,216)-MAX('Activities'!K639,210))</x:f>
        <x:v>0</x:v>
      </x:c>
      <x:c r="AO639" s="23" t="n">
        <x:f>MAX(0,MIN('Activities'!L639,222)-MAX('Activities'!K639,216))</x:f>
        <x:v>0</x:v>
      </x:c>
      <x:c r="AP639" s="23" t="n">
        <x:f>MAX(0,MIN('Activities'!L639,228)-MAX('Activities'!K639,222))</x:f>
        <x:v>0</x:v>
      </x:c>
      <x:c r="AQ639" s="23" t="n">
        <x:f>MAX(0,MIN('Activities'!L639,234)-MAX('Activities'!K639,228))</x:f>
        <x:v>0</x:v>
      </x:c>
      <x:c r="AR639" s="23" t="n">
        <x:f>MAX(0,MIN('Activities'!L639,240)-MAX('Activities'!K639,234))</x:f>
        <x:v>0</x:v>
      </x:c>
      <x:c r="AS639" s="23" t="n">
        <x:f>MAX(0,MIN('Activities'!L639,246)-MAX('Activities'!K639,240))</x:f>
        <x:v>0</x:v>
      </x:c>
      <x:c r="AT639" s="23" t="n">
        <x:f>MAX(0,MIN('Activities'!L639,252)-MAX('Activities'!K639,246))</x:f>
        <x:v>0</x:v>
      </x:c>
      <x:c r="AU639" s="23" t="n">
        <x:f>MAX(0,MIN('Activities'!L639,258)-MAX('Activities'!K639,252))</x:f>
        <x:v>0</x:v>
      </x:c>
      <x:c r="AV639" s="23" t="n">
        <x:f>MAX(0,MIN('Activities'!L639,264)-MAX('Activities'!K639,258))</x:f>
        <x:v>0</x:v>
      </x:c>
      <x:c r="AW639" s="23" t="n">
        <x:f>MAX(0,MIN('Activities'!L639,270)-MAX('Activities'!K639,264))</x:f>
        <x:v>0</x:v>
      </x:c>
      <x:c r="AX639" s="23" t="n">
        <x:f>MAX(0,MIN('Activities'!L639,276)-MAX('Activities'!K639,270))</x:f>
        <x:v>0</x:v>
      </x:c>
      <x:c r="AY639" s="23" t="n">
        <x:f>MAX(0,MIN('Activities'!L639,282)-MAX('Activities'!K639,276))</x:f>
        <x:v>0</x:v>
      </x:c>
      <x:c r="AZ639" s="23" t="n">
        <x:f>MAX(0,MIN('Activities'!L639,288)-MAX('Activities'!K639,282))</x:f>
        <x:v>0</x:v>
      </x:c>
      <x:c r="BA639" s="23" t="n">
        <x:f>MAX(0,MIN('Activities'!L639,294)-MAX('Activities'!K639,288))</x:f>
        <x:v>0</x:v>
      </x:c>
      <x:c r="BB639" s="23" t="n">
        <x:f>MAX(0,MIN('Activities'!L639,300)-MAX('Activities'!K639,294))</x:f>
        <x:v>0</x:v>
      </x:c>
      <x:c r="BC639" s="23" t="n">
        <x:f>MAX(0,MIN('Activities'!L639,306)-MAX('Activities'!K639,300))</x:f>
        <x:v>0</x:v>
      </x:c>
      <x:c r="BD639" s="23" t="n">
        <x:f>MAX(0,MIN('Activities'!L639,312)-MAX('Activities'!K639,306))</x:f>
        <x:v>0</x:v>
      </x:c>
      <x:c r="BE639" s="23" t="n">
        <x:f>MAX(0,MIN('Activities'!L639,318)-MAX('Activities'!K639,312))</x:f>
        <x:v>0</x:v>
      </x:c>
      <x:c r="BF639" s="23" t="n">
        <x:f>MAX(0,MIN('Activities'!L639,324)-MAX('Activities'!K639,318))</x:f>
        <x:v>0</x:v>
      </x:c>
      <x:c r="BG639" s="23" t="n">
        <x:f>MAX(0,MIN('Activities'!L639,330)-MAX('Activities'!K639,324))</x:f>
        <x:v>0</x:v>
      </x:c>
      <x:c r="BH639" s="23" t="n">
        <x:f>MAX(0,MIN('Activities'!L639,336)-MAX('Activities'!K639,330))</x:f>
        <x:v>0</x:v>
      </x:c>
      <x:c r="BI639" s="23" t="n">
        <x:f>MAX(0,MIN('Activities'!L639,342)-MAX('Activities'!K639,336))</x:f>
        <x:v>0</x:v>
      </x:c>
      <x:c r="BJ639" s="23" t="n">
        <x:f>MAX(0,MIN('Activities'!L639,348)-MAX('Activities'!K639,342))</x:f>
        <x:v>0</x:v>
      </x:c>
      <x:c r="BK639" s="23" t="n">
        <x:f>MAX(0,MIN('Activities'!L639,354)-MAX('Activities'!K639,348))</x:f>
        <x:v>0</x:v>
      </x:c>
      <x:c r="BL639" s="23" t="n">
        <x:f>MAX(0,MIN('Activities'!L639,360)-MAX('Activities'!K639,354))</x:f>
        <x:v>0</x:v>
      </x:c>
      <x:c r="BM639" s="23" t="n">
        <x:f>MAX(0,MIN('Activities'!L639,366)-MAX('Activities'!K639,360))</x:f>
        <x:v>0</x:v>
      </x:c>
      <x:c r="BN639" s="23" t="n">
        <x:f>MAX(0,MIN('Activities'!L639,372)-MAX('Activities'!K639,366))</x:f>
        <x:v>5</x:v>
      </x:c>
      <x:c r="BO639" s="23" t="n">
        <x:f>MAX(0,MIN('Activities'!L639,378)-MAX('Activities'!K639,372))</x:f>
        <x:v>0</x:v>
      </x:c>
      <x:c r="BP639" s="23" t="n">
        <x:f>MAX(0,MIN('Activities'!L639,384)-MAX('Activities'!K639,378))</x:f>
        <x:v>0</x:v>
      </x:c>
      <x:c r="BQ639" s="23" t="n">
        <x:f>MAX(0,MIN('Activities'!L639,390)-MAX('Activities'!K639,384))</x:f>
        <x:v>0</x:v>
      </x:c>
      <x:c r="BR639" s="23" t="n">
        <x:f>MAX(0,MIN('Activities'!L639,396)-MAX('Activities'!K639,390))</x:f>
        <x:v>0</x:v>
      </x:c>
      <x:c r="BS639" s="23" t="n">
        <x:f>MAX(0,MIN('Activities'!L639,402)-MAX('Activities'!K639,396))</x:f>
        <x:v>0</x:v>
      </x:c>
      <x:c r="BT639" s="23" t="n">
        <x:f>MAX(0,MIN('Activities'!L639,408)-MAX('Activities'!K639,402))</x:f>
        <x:v>0</x:v>
      </x:c>
      <x:c r="BU639" s="23" t="n">
        <x:f>MAX(0,MIN('Activities'!L639,414)-MAX('Activities'!K639,408))</x:f>
        <x:v>0</x:v>
      </x:c>
      <x:c r="BV639" s="23" t="n">
        <x:f>MAX(0,MIN('Activities'!L639,420)-MAX('Activities'!K639,414))</x:f>
        <x:v>0</x:v>
      </x:c>
      <x:c r="BW639" s="23" t="n">
        <x:f>MAX(0,MIN('Activities'!L639,426)-MAX('Activities'!K639,420))</x:f>
        <x:v>0</x:v>
      </x:c>
      <x:c r="BX639" s="23" t="n">
        <x:f>MAX(0,MIN('Activities'!L639,432)-MAX('Activities'!K639,426))</x:f>
        <x:v>0</x:v>
      </x:c>
      <x:c r="BY639" s="23" t="n">
        <x:f>MAX(0,MIN('Activities'!L639,438)-MAX('Activities'!K639,432))</x:f>
        <x:v>0</x:v>
      </x:c>
      <x:c r="BZ639" s="23" t="n">
        <x:f>MAX(0,MIN('Activities'!L639,444)-MAX('Activities'!K639,438))</x:f>
        <x:v>0</x:v>
      </x:c>
      <x:c r="CA639" s="23" t="n">
        <x:f>MAX(0,MIN('Activities'!L639,450)-MAX('Activities'!K639,444))</x:f>
        <x:v>0</x:v>
      </x:c>
      <x:c r="CB639" s="23" t="n">
        <x:f>MAX(0,MIN('Activities'!L639,456)-MAX('Activities'!K639,450))</x:f>
        <x:v>0</x:v>
      </x:c>
      <x:c r="CC639" s="23" t="n">
        <x:f>MAX(0,MIN('Activities'!L639,462)-MAX('Activities'!K639,456))</x:f>
        <x:v>0</x:v>
      </x:c>
      <x:c r="CD639" s="23" t="n">
        <x:f>MAX(0,MIN('Activities'!L639,468)-MAX('Activities'!K639,462))</x:f>
        <x:v>0</x:v>
      </x:c>
      <x:c r="CE639" s="23" t="n">
        <x:f>MAX(0,MIN('Activities'!L639,474)-MAX('Activities'!K639,468))</x:f>
        <x:v>0</x:v>
      </x:c>
      <x:c r="CF639" s="23" t="n">
        <x:f>MAX(0,MIN('Activities'!L639,480)-MAX('Activities'!K639,474))</x:f>
        <x:v>0</x:v>
      </x:c>
      <x:c r="CG639" s="23" t="n">
        <x:f>MAX(0,MIN('Activities'!L639,486)-MAX('Activities'!K639,480))</x:f>
        <x:v>0</x:v>
      </x:c>
      <x:c r="CH639" s="23" t="n">
        <x:f>MAX(0,MIN('Activities'!L639,492)-MAX('Activities'!K639,486))</x:f>
        <x:v>0</x:v>
      </x:c>
      <x:c r="CI639" s="23" t="n">
        <x:f>MAX(0,MIN('Activities'!L639,498)-MAX('Activities'!K639,492))</x:f>
        <x:v>0</x:v>
      </x:c>
      <x:c r="CJ639" s="23" t="n">
        <x:f>MAX(0,MIN('Activities'!L639,504)-MAX('Activities'!K639,498))</x:f>
        <x:v>0</x:v>
      </x:c>
      <x:c r="CK639" s="23" t="n">
        <x:f>MAX(0,MIN('Activities'!L639,510)-MAX('Activities'!K639,504))</x:f>
        <x:v>0</x:v>
      </x:c>
      <x:c r="CL639" s="23" t="n">
        <x:f>MAX(0,MIN('Activities'!L639,516)-MAX('Activities'!K639,510))</x:f>
        <x:v>0</x:v>
      </x:c>
      <x:c r="CM639" s="23" t="n">
        <x:f>MAX(0,MIN('Activities'!L639,522)-MAX('Activities'!K639,516))</x:f>
        <x:v>0</x:v>
      </x:c>
      <x:c r="CN639" s="23" t="n">
        <x:f>MAX(0,MIN('Activities'!L639,528)-MAX('Activities'!K639,522))</x:f>
        <x:v>0</x:v>
      </x:c>
      <x:c r="CO639" s="23" t="n">
        <x:f>MAX(0,MIN('Activities'!L639,534)-MAX('Activities'!K639,528))</x:f>
        <x:v>0</x:v>
      </x:c>
      <x:c r="CP639" s="23" t="n">
        <x:f>MAX(0,MIN('Activities'!L639,540)-MAX('Activities'!K639,534))</x:f>
        <x:v>0</x:v>
      </x:c>
      <x:c r="CQ639" s="23" t="n">
        <x:f>MAX(0,MIN('Activities'!L639,546)-MAX('Activities'!K639,540))</x:f>
        <x:v>0</x:v>
      </x:c>
      <x:c r="CR639" s="23" t="n">
        <x:f>MAX(0,MIN('Activities'!L639,552)-MAX('Activities'!K639,546))</x:f>
        <x:v>0</x:v>
      </x:c>
      <x:c r="CS639" s="23" t="n">
        <x:f>MAX(0,MIN('Activities'!L639,558)-MAX('Activities'!K639,552))</x:f>
        <x:v>0</x:v>
      </x:c>
      <x:c r="CT639" s="23" t="n">
        <x:f>MAX(0,MIN('Activities'!L639,564)-MAX('Activities'!K639,558))</x:f>
        <x:v>0</x:v>
      </x:c>
      <x:c r="CU639" s="23" t="n">
        <x:f>MAX(0,MIN('Activities'!L639,570)-MAX('Activities'!K639,564))</x:f>
        <x:v>0</x:v>
      </x:c>
      <x:c r="CV639" s="23" t="n">
        <x:f>MAX(0,MIN('Activities'!L639,576)-MAX('Activities'!K639,570))</x:f>
        <x:v>0</x:v>
      </x:c>
      <x:c r="CW639" s="23" t="n">
        <x:f>MAX(0,MIN('Activities'!L639,582)-MAX('Activities'!K639,576))</x:f>
        <x:v>0</x:v>
      </x:c>
      <x:c r="CX639" s="23" t="n">
        <x:f>MAX(0,MIN('Activities'!L639,588)-MAX('Activities'!K639,582))</x:f>
        <x:v>0</x:v>
      </x:c>
      <x:c r="CY639" s="23" t="n">
        <x:f>MAX(0,MIN('Activities'!L639,594)-MAX('Activities'!K639,588))</x:f>
        <x:v>0</x:v>
      </x:c>
      <x:c r="CZ639" s="23" t="n">
        <x:f>MAX(0,MIN('Activities'!L639,600)-MAX('Activities'!K639,594))</x:f>
        <x:v>0</x:v>
      </x:c>
      <x:c r="DA639" s="23" t="n">
        <x:f>MAX(0,MIN('Activities'!L639,606)-MAX('Activities'!K639,600))</x:f>
        <x:v>0</x:v>
      </x:c>
      <x:c r="DB639" s="23" t="n">
        <x:f>MAX(0,MIN('Activities'!L639,612)-MAX('Activities'!K639,606))</x:f>
        <x:v>0</x:v>
      </x:c>
      <x:c r="DC639" s="23" t="n">
        <x:f>MAX(0,MIN('Activities'!L639,618)-MAX('Activities'!K639,612))</x:f>
        <x:v>0</x:v>
      </x:c>
      <x:c r="DD639" s="23" t="n">
        <x:f>MAX(0,MIN('Activities'!L639,624)-MAX('Activities'!K639,618))</x:f>
        <x:v>0</x:v>
      </x:c>
      <x:c r="DE639" s="23" t="n">
        <x:f>MAX(0,MIN('Activities'!L639,630)-MAX('Activities'!K639,624))</x:f>
        <x:v>0</x:v>
      </x:c>
      <x:c r="DF639" s="23" t="n">
        <x:f>MAX(0,MIN('Activities'!L639,636)-MAX('Activities'!K639,630))</x:f>
        <x:v>0</x:v>
      </x:c>
    </x:row>
    <x:row r="640" ht="23" customHeight="1">
      <x:c r="A640" s="6" t="str">
        <x:v>T5-L06-P</x:v>
      </x:c>
      <x:c r="B640" s="6" t="str">
        <x:v>T5</x:v>
      </x:c>
      <x:c r="C640" s="6" t="str">
        <x:v>Internal plaster</x:v>
      </x:c>
      <x:c r="D640" s="6" t="str">
        <x:v>Finishes</x:v>
      </x:c>
      <x:c r="E640" s="22" t="n">
        <x:f>MAX(0,MIN('Activities'!L640,6)-MAX('Activities'!K640,0))</x:f>
        <x:v>0</x:v>
      </x:c>
      <x:c r="F640" s="22" t="n">
        <x:f>MAX(0,MIN('Activities'!L640,12)-MAX('Activities'!K640,6))</x:f>
        <x:v>0</x:v>
      </x:c>
      <x:c r="G640" s="22" t="n">
        <x:f>MAX(0,MIN('Activities'!L640,18)-MAX('Activities'!K640,12))</x:f>
        <x:v>0</x:v>
      </x:c>
      <x:c r="H640" s="22" t="n">
        <x:f>MAX(0,MIN('Activities'!L640,24)-MAX('Activities'!K640,18))</x:f>
        <x:v>0</x:v>
      </x:c>
      <x:c r="I640" s="22" t="n">
        <x:f>MAX(0,MIN('Activities'!L640,30)-MAX('Activities'!K640,24))</x:f>
        <x:v>0</x:v>
      </x:c>
      <x:c r="J640" s="22" t="n">
        <x:f>MAX(0,MIN('Activities'!L640,36)-MAX('Activities'!K640,30))</x:f>
        <x:v>0</x:v>
      </x:c>
      <x:c r="K640" s="22" t="n">
        <x:f>MAX(0,MIN('Activities'!L640,42)-MAX('Activities'!K640,36))</x:f>
        <x:v>0</x:v>
      </x:c>
      <x:c r="L640" s="22" t="n">
        <x:f>MAX(0,MIN('Activities'!L640,48)-MAX('Activities'!K640,42))</x:f>
        <x:v>0</x:v>
      </x:c>
      <x:c r="M640" s="22" t="n">
        <x:f>MAX(0,MIN('Activities'!L640,54)-MAX('Activities'!K640,48))</x:f>
        <x:v>0</x:v>
      </x:c>
      <x:c r="N640" s="22" t="n">
        <x:f>MAX(0,MIN('Activities'!L640,60)-MAX('Activities'!K640,54))</x:f>
        <x:v>0</x:v>
      </x:c>
      <x:c r="O640" s="22" t="n">
        <x:f>MAX(0,MIN('Activities'!L640,66)-MAX('Activities'!K640,60))</x:f>
        <x:v>0</x:v>
      </x:c>
      <x:c r="P640" s="22" t="n">
        <x:f>MAX(0,MIN('Activities'!L640,72)-MAX('Activities'!K640,66))</x:f>
        <x:v>0</x:v>
      </x:c>
      <x:c r="Q640" s="22" t="n">
        <x:f>MAX(0,MIN('Activities'!L640,78)-MAX('Activities'!K640,72))</x:f>
        <x:v>0</x:v>
      </x:c>
      <x:c r="R640" s="22" t="n">
        <x:f>MAX(0,MIN('Activities'!L640,84)-MAX('Activities'!K640,78))</x:f>
        <x:v>0</x:v>
      </x:c>
      <x:c r="S640" s="22" t="n">
        <x:f>MAX(0,MIN('Activities'!L640,90)-MAX('Activities'!K640,84))</x:f>
        <x:v>0</x:v>
      </x:c>
      <x:c r="T640" s="22" t="n">
        <x:f>MAX(0,MIN('Activities'!L640,96)-MAX('Activities'!K640,90))</x:f>
        <x:v>0</x:v>
      </x:c>
      <x:c r="U640" s="22" t="n">
        <x:f>MAX(0,MIN('Activities'!L640,102)-MAX('Activities'!K640,96))</x:f>
        <x:v>0</x:v>
      </x:c>
      <x:c r="V640" s="22" t="n">
        <x:f>MAX(0,MIN('Activities'!L640,108)-MAX('Activities'!K640,102))</x:f>
        <x:v>0</x:v>
      </x:c>
      <x:c r="W640" s="22" t="n">
        <x:f>MAX(0,MIN('Activities'!L640,114)-MAX('Activities'!K640,108))</x:f>
        <x:v>0</x:v>
      </x:c>
      <x:c r="X640" s="22" t="n">
        <x:f>MAX(0,MIN('Activities'!L640,120)-MAX('Activities'!K640,114))</x:f>
        <x:v>0</x:v>
      </x:c>
      <x:c r="Y640" s="22" t="n">
        <x:f>MAX(0,MIN('Activities'!L640,126)-MAX('Activities'!K640,120))</x:f>
        <x:v>0</x:v>
      </x:c>
      <x:c r="Z640" s="22" t="n">
        <x:f>MAX(0,MIN('Activities'!L640,132)-MAX('Activities'!K640,126))</x:f>
        <x:v>0</x:v>
      </x:c>
      <x:c r="AA640" s="22" t="n">
        <x:f>MAX(0,MIN('Activities'!L640,138)-MAX('Activities'!K640,132))</x:f>
        <x:v>0</x:v>
      </x:c>
      <x:c r="AB640" s="22" t="n">
        <x:f>MAX(0,MIN('Activities'!L640,144)-MAX('Activities'!K640,138))</x:f>
        <x:v>0</x:v>
      </x:c>
      <x:c r="AC640" s="22" t="n">
        <x:f>MAX(0,MIN('Activities'!L640,150)-MAX('Activities'!K640,144))</x:f>
        <x:v>0</x:v>
      </x:c>
      <x:c r="AD640" s="22" t="n">
        <x:f>MAX(0,MIN('Activities'!L640,156)-MAX('Activities'!K640,150))</x:f>
        <x:v>0</x:v>
      </x:c>
      <x:c r="AE640" s="22" t="n">
        <x:f>MAX(0,MIN('Activities'!L640,162)-MAX('Activities'!K640,156))</x:f>
        <x:v>0</x:v>
      </x:c>
      <x:c r="AF640" s="22" t="n">
        <x:f>MAX(0,MIN('Activities'!L640,168)-MAX('Activities'!K640,162))</x:f>
        <x:v>0</x:v>
      </x:c>
      <x:c r="AG640" s="22" t="n">
        <x:f>MAX(0,MIN('Activities'!L640,174)-MAX('Activities'!K640,168))</x:f>
        <x:v>0</x:v>
      </x:c>
      <x:c r="AH640" s="22" t="n">
        <x:f>MAX(0,MIN('Activities'!L640,180)-MAX('Activities'!K640,174))</x:f>
        <x:v>0</x:v>
      </x:c>
      <x:c r="AI640" s="22" t="n">
        <x:f>MAX(0,MIN('Activities'!L640,186)-MAX('Activities'!K640,180))</x:f>
        <x:v>0</x:v>
      </x:c>
      <x:c r="AJ640" s="22" t="n">
        <x:f>MAX(0,MIN('Activities'!L640,192)-MAX('Activities'!K640,186))</x:f>
        <x:v>0</x:v>
      </x:c>
      <x:c r="AK640" s="22" t="n">
        <x:f>MAX(0,MIN('Activities'!L640,198)-MAX('Activities'!K640,192))</x:f>
        <x:v>0</x:v>
      </x:c>
      <x:c r="AL640" s="22" t="n">
        <x:f>MAX(0,MIN('Activities'!L640,204)-MAX('Activities'!K640,198))</x:f>
        <x:v>0</x:v>
      </x:c>
      <x:c r="AM640" s="22" t="n">
        <x:f>MAX(0,MIN('Activities'!L640,210)-MAX('Activities'!K640,204))</x:f>
        <x:v>0</x:v>
      </x:c>
      <x:c r="AN640" s="22" t="n">
        <x:f>MAX(0,MIN('Activities'!L640,216)-MAX('Activities'!K640,210))</x:f>
        <x:v>0</x:v>
      </x:c>
      <x:c r="AO640" s="22" t="n">
        <x:f>MAX(0,MIN('Activities'!L640,222)-MAX('Activities'!K640,216))</x:f>
        <x:v>0</x:v>
      </x:c>
      <x:c r="AP640" s="22" t="n">
        <x:f>MAX(0,MIN('Activities'!L640,228)-MAX('Activities'!K640,222))</x:f>
        <x:v>0</x:v>
      </x:c>
      <x:c r="AQ640" s="22" t="n">
        <x:f>MAX(0,MIN('Activities'!L640,234)-MAX('Activities'!K640,228))</x:f>
        <x:v>0</x:v>
      </x:c>
      <x:c r="AR640" s="22" t="n">
        <x:f>MAX(0,MIN('Activities'!L640,240)-MAX('Activities'!K640,234))</x:f>
        <x:v>0</x:v>
      </x:c>
      <x:c r="AS640" s="22" t="n">
        <x:f>MAX(0,MIN('Activities'!L640,246)-MAX('Activities'!K640,240))</x:f>
        <x:v>0</x:v>
      </x:c>
      <x:c r="AT640" s="22" t="n">
        <x:f>MAX(0,MIN('Activities'!L640,252)-MAX('Activities'!K640,246))</x:f>
        <x:v>0</x:v>
      </x:c>
      <x:c r="AU640" s="22" t="n">
        <x:f>MAX(0,MIN('Activities'!L640,258)-MAX('Activities'!K640,252))</x:f>
        <x:v>0</x:v>
      </x:c>
      <x:c r="AV640" s="22" t="n">
        <x:f>MAX(0,MIN('Activities'!L640,264)-MAX('Activities'!K640,258))</x:f>
        <x:v>0</x:v>
      </x:c>
      <x:c r="AW640" s="22" t="n">
        <x:f>MAX(0,MIN('Activities'!L640,270)-MAX('Activities'!K640,264))</x:f>
        <x:v>0</x:v>
      </x:c>
      <x:c r="AX640" s="22" t="n">
        <x:f>MAX(0,MIN('Activities'!L640,276)-MAX('Activities'!K640,270))</x:f>
        <x:v>0</x:v>
      </x:c>
      <x:c r="AY640" s="22" t="n">
        <x:f>MAX(0,MIN('Activities'!L640,282)-MAX('Activities'!K640,276))</x:f>
        <x:v>0</x:v>
      </x:c>
      <x:c r="AZ640" s="22" t="n">
        <x:f>MAX(0,MIN('Activities'!L640,288)-MAX('Activities'!K640,282))</x:f>
        <x:v>0</x:v>
      </x:c>
      <x:c r="BA640" s="22" t="n">
        <x:f>MAX(0,MIN('Activities'!L640,294)-MAX('Activities'!K640,288))</x:f>
        <x:v>0</x:v>
      </x:c>
      <x:c r="BB640" s="22" t="n">
        <x:f>MAX(0,MIN('Activities'!L640,300)-MAX('Activities'!K640,294))</x:f>
        <x:v>0</x:v>
      </x:c>
      <x:c r="BC640" s="22" t="n">
        <x:f>MAX(0,MIN('Activities'!L640,306)-MAX('Activities'!K640,300))</x:f>
        <x:v>0</x:v>
      </x:c>
      <x:c r="BD640" s="22" t="n">
        <x:f>MAX(0,MIN('Activities'!L640,312)-MAX('Activities'!K640,306))</x:f>
        <x:v>0</x:v>
      </x:c>
      <x:c r="BE640" s="22" t="n">
        <x:f>MAX(0,MIN('Activities'!L640,318)-MAX('Activities'!K640,312))</x:f>
        <x:v>0</x:v>
      </x:c>
      <x:c r="BF640" s="22" t="n">
        <x:f>MAX(0,MIN('Activities'!L640,324)-MAX('Activities'!K640,318))</x:f>
        <x:v>0</x:v>
      </x:c>
      <x:c r="BG640" s="22" t="n">
        <x:f>MAX(0,MIN('Activities'!L640,330)-MAX('Activities'!K640,324))</x:f>
        <x:v>0</x:v>
      </x:c>
      <x:c r="BH640" s="22" t="n">
        <x:f>MAX(0,MIN('Activities'!L640,336)-MAX('Activities'!K640,330))</x:f>
        <x:v>0</x:v>
      </x:c>
      <x:c r="BI640" s="22" t="n">
        <x:f>MAX(0,MIN('Activities'!L640,342)-MAX('Activities'!K640,336))</x:f>
        <x:v>0</x:v>
      </x:c>
      <x:c r="BJ640" s="22" t="n">
        <x:f>MAX(0,MIN('Activities'!L640,348)-MAX('Activities'!K640,342))</x:f>
        <x:v>0</x:v>
      </x:c>
      <x:c r="BK640" s="22" t="n">
        <x:f>MAX(0,MIN('Activities'!L640,354)-MAX('Activities'!K640,348))</x:f>
        <x:v>0</x:v>
      </x:c>
      <x:c r="BL640" s="22" t="n">
        <x:f>MAX(0,MIN('Activities'!L640,360)-MAX('Activities'!K640,354))</x:f>
        <x:v>0</x:v>
      </x:c>
      <x:c r="BM640" s="22" t="n">
        <x:f>MAX(0,MIN('Activities'!L640,366)-MAX('Activities'!K640,360))</x:f>
        <x:v>0</x:v>
      </x:c>
      <x:c r="BN640" s="22" t="n">
        <x:f>MAX(0,MIN('Activities'!L640,372)-MAX('Activities'!K640,366))</x:f>
        <x:v>0</x:v>
      </x:c>
      <x:c r="BO640" s="22" t="n">
        <x:f>MAX(0,MIN('Activities'!L640,378)-MAX('Activities'!K640,372))</x:f>
        <x:v>3</x:v>
      </x:c>
      <x:c r="BP640" s="22" t="n">
        <x:f>MAX(0,MIN('Activities'!L640,384)-MAX('Activities'!K640,378))</x:f>
        <x:v>3</x:v>
      </x:c>
      <x:c r="BQ640" s="22" t="n">
        <x:f>MAX(0,MIN('Activities'!L640,390)-MAX('Activities'!K640,384))</x:f>
        <x:v>0</x:v>
      </x:c>
      <x:c r="BR640" s="22" t="n">
        <x:f>MAX(0,MIN('Activities'!L640,396)-MAX('Activities'!K640,390))</x:f>
        <x:v>0</x:v>
      </x:c>
      <x:c r="BS640" s="22" t="n">
        <x:f>MAX(0,MIN('Activities'!L640,402)-MAX('Activities'!K640,396))</x:f>
        <x:v>0</x:v>
      </x:c>
      <x:c r="BT640" s="22" t="n">
        <x:f>MAX(0,MIN('Activities'!L640,408)-MAX('Activities'!K640,402))</x:f>
        <x:v>0</x:v>
      </x:c>
      <x:c r="BU640" s="22" t="n">
        <x:f>MAX(0,MIN('Activities'!L640,414)-MAX('Activities'!K640,408))</x:f>
        <x:v>0</x:v>
      </x:c>
      <x:c r="BV640" s="22" t="n">
        <x:f>MAX(0,MIN('Activities'!L640,420)-MAX('Activities'!K640,414))</x:f>
        <x:v>0</x:v>
      </x:c>
      <x:c r="BW640" s="22" t="n">
        <x:f>MAX(0,MIN('Activities'!L640,426)-MAX('Activities'!K640,420))</x:f>
        <x:v>0</x:v>
      </x:c>
      <x:c r="BX640" s="22" t="n">
        <x:f>MAX(0,MIN('Activities'!L640,432)-MAX('Activities'!K640,426))</x:f>
        <x:v>0</x:v>
      </x:c>
      <x:c r="BY640" s="22" t="n">
        <x:f>MAX(0,MIN('Activities'!L640,438)-MAX('Activities'!K640,432))</x:f>
        <x:v>0</x:v>
      </x:c>
      <x:c r="BZ640" s="22" t="n">
        <x:f>MAX(0,MIN('Activities'!L640,444)-MAX('Activities'!K640,438))</x:f>
        <x:v>0</x:v>
      </x:c>
      <x:c r="CA640" s="22" t="n">
        <x:f>MAX(0,MIN('Activities'!L640,450)-MAX('Activities'!K640,444))</x:f>
        <x:v>0</x:v>
      </x:c>
      <x:c r="CB640" s="22" t="n">
        <x:f>MAX(0,MIN('Activities'!L640,456)-MAX('Activities'!K640,450))</x:f>
        <x:v>0</x:v>
      </x:c>
      <x:c r="CC640" s="22" t="n">
        <x:f>MAX(0,MIN('Activities'!L640,462)-MAX('Activities'!K640,456))</x:f>
        <x:v>0</x:v>
      </x:c>
      <x:c r="CD640" s="22" t="n">
        <x:f>MAX(0,MIN('Activities'!L640,468)-MAX('Activities'!K640,462))</x:f>
        <x:v>0</x:v>
      </x:c>
      <x:c r="CE640" s="22" t="n">
        <x:f>MAX(0,MIN('Activities'!L640,474)-MAX('Activities'!K640,468))</x:f>
        <x:v>0</x:v>
      </x:c>
      <x:c r="CF640" s="22" t="n">
        <x:f>MAX(0,MIN('Activities'!L640,480)-MAX('Activities'!K640,474))</x:f>
        <x:v>0</x:v>
      </x:c>
      <x:c r="CG640" s="22" t="n">
        <x:f>MAX(0,MIN('Activities'!L640,486)-MAX('Activities'!K640,480))</x:f>
        <x:v>0</x:v>
      </x:c>
      <x:c r="CH640" s="22" t="n">
        <x:f>MAX(0,MIN('Activities'!L640,492)-MAX('Activities'!K640,486))</x:f>
        <x:v>0</x:v>
      </x:c>
      <x:c r="CI640" s="22" t="n">
        <x:f>MAX(0,MIN('Activities'!L640,498)-MAX('Activities'!K640,492))</x:f>
        <x:v>0</x:v>
      </x:c>
      <x:c r="CJ640" s="22" t="n">
        <x:f>MAX(0,MIN('Activities'!L640,504)-MAX('Activities'!K640,498))</x:f>
        <x:v>0</x:v>
      </x:c>
      <x:c r="CK640" s="22" t="n">
        <x:f>MAX(0,MIN('Activities'!L640,510)-MAX('Activities'!K640,504))</x:f>
        <x:v>0</x:v>
      </x:c>
      <x:c r="CL640" s="22" t="n">
        <x:f>MAX(0,MIN('Activities'!L640,516)-MAX('Activities'!K640,510))</x:f>
        <x:v>0</x:v>
      </x:c>
      <x:c r="CM640" s="22" t="n">
        <x:f>MAX(0,MIN('Activities'!L640,522)-MAX('Activities'!K640,516))</x:f>
        <x:v>0</x:v>
      </x:c>
      <x:c r="CN640" s="22" t="n">
        <x:f>MAX(0,MIN('Activities'!L640,528)-MAX('Activities'!K640,522))</x:f>
        <x:v>0</x:v>
      </x:c>
      <x:c r="CO640" s="22" t="n">
        <x:f>MAX(0,MIN('Activities'!L640,534)-MAX('Activities'!K640,528))</x:f>
        <x:v>0</x:v>
      </x:c>
      <x:c r="CP640" s="22" t="n">
        <x:f>MAX(0,MIN('Activities'!L640,540)-MAX('Activities'!K640,534))</x:f>
        <x:v>0</x:v>
      </x:c>
      <x:c r="CQ640" s="22" t="n">
        <x:f>MAX(0,MIN('Activities'!L640,546)-MAX('Activities'!K640,540))</x:f>
        <x:v>0</x:v>
      </x:c>
      <x:c r="CR640" s="22" t="n">
        <x:f>MAX(0,MIN('Activities'!L640,552)-MAX('Activities'!K640,546))</x:f>
        <x:v>0</x:v>
      </x:c>
      <x:c r="CS640" s="22" t="n">
        <x:f>MAX(0,MIN('Activities'!L640,558)-MAX('Activities'!K640,552))</x:f>
        <x:v>0</x:v>
      </x:c>
      <x:c r="CT640" s="22" t="n">
        <x:f>MAX(0,MIN('Activities'!L640,564)-MAX('Activities'!K640,558))</x:f>
        <x:v>0</x:v>
      </x:c>
      <x:c r="CU640" s="22" t="n">
        <x:f>MAX(0,MIN('Activities'!L640,570)-MAX('Activities'!K640,564))</x:f>
        <x:v>0</x:v>
      </x:c>
      <x:c r="CV640" s="22" t="n">
        <x:f>MAX(0,MIN('Activities'!L640,576)-MAX('Activities'!K640,570))</x:f>
        <x:v>0</x:v>
      </x:c>
      <x:c r="CW640" s="22" t="n">
        <x:f>MAX(0,MIN('Activities'!L640,582)-MAX('Activities'!K640,576))</x:f>
        <x:v>0</x:v>
      </x:c>
      <x:c r="CX640" s="22" t="n">
        <x:f>MAX(0,MIN('Activities'!L640,588)-MAX('Activities'!K640,582))</x:f>
        <x:v>0</x:v>
      </x:c>
      <x:c r="CY640" s="22" t="n">
        <x:f>MAX(0,MIN('Activities'!L640,594)-MAX('Activities'!K640,588))</x:f>
        <x:v>0</x:v>
      </x:c>
      <x:c r="CZ640" s="22" t="n">
        <x:f>MAX(0,MIN('Activities'!L640,600)-MAX('Activities'!K640,594))</x:f>
        <x:v>0</x:v>
      </x:c>
      <x:c r="DA640" s="22" t="n">
        <x:f>MAX(0,MIN('Activities'!L640,606)-MAX('Activities'!K640,600))</x:f>
        <x:v>0</x:v>
      </x:c>
      <x:c r="DB640" s="22" t="n">
        <x:f>MAX(0,MIN('Activities'!L640,612)-MAX('Activities'!K640,606))</x:f>
        <x:v>0</x:v>
      </x:c>
      <x:c r="DC640" s="22" t="n">
        <x:f>MAX(0,MIN('Activities'!L640,618)-MAX('Activities'!K640,612))</x:f>
        <x:v>0</x:v>
      </x:c>
      <x:c r="DD640" s="22" t="n">
        <x:f>MAX(0,MIN('Activities'!L640,624)-MAX('Activities'!K640,618))</x:f>
        <x:v>0</x:v>
      </x:c>
      <x:c r="DE640" s="22" t="n">
        <x:f>MAX(0,MIN('Activities'!L640,630)-MAX('Activities'!K640,624))</x:f>
        <x:v>0</x:v>
      </x:c>
      <x:c r="DF640" s="22" t="n">
        <x:f>MAX(0,MIN('Activities'!L640,636)-MAX('Activities'!K640,630))</x:f>
        <x:v>0</x:v>
      </x:c>
    </x:row>
    <x:row r="641" ht="23" customHeight="1">
      <x:c r="A641" s="1" t="str">
        <x:v>T5-L06-S</x:v>
      </x:c>
      <x:c r="B641" s="1" t="str">
        <x:v>T5</x:v>
      </x:c>
      <x:c r="C641" s="1" t="str">
        <x:v>Screed and substrate preparation</x:v>
      </x:c>
      <x:c r="D641" s="1" t="str">
        <x:v>Finishes</x:v>
      </x:c>
      <x:c r="E641" s="23" t="n">
        <x:f>MAX(0,MIN('Activities'!L641,6)-MAX('Activities'!K641,0))</x:f>
        <x:v>0</x:v>
      </x:c>
      <x:c r="F641" s="23" t="n">
        <x:f>MAX(0,MIN('Activities'!L641,12)-MAX('Activities'!K641,6))</x:f>
        <x:v>0</x:v>
      </x:c>
      <x:c r="G641" s="23" t="n">
        <x:f>MAX(0,MIN('Activities'!L641,18)-MAX('Activities'!K641,12))</x:f>
        <x:v>0</x:v>
      </x:c>
      <x:c r="H641" s="23" t="n">
        <x:f>MAX(0,MIN('Activities'!L641,24)-MAX('Activities'!K641,18))</x:f>
        <x:v>0</x:v>
      </x:c>
      <x:c r="I641" s="23" t="n">
        <x:f>MAX(0,MIN('Activities'!L641,30)-MAX('Activities'!K641,24))</x:f>
        <x:v>0</x:v>
      </x:c>
      <x:c r="J641" s="23" t="n">
        <x:f>MAX(0,MIN('Activities'!L641,36)-MAX('Activities'!K641,30))</x:f>
        <x:v>0</x:v>
      </x:c>
      <x:c r="K641" s="23" t="n">
        <x:f>MAX(0,MIN('Activities'!L641,42)-MAX('Activities'!K641,36))</x:f>
        <x:v>0</x:v>
      </x:c>
      <x:c r="L641" s="23" t="n">
        <x:f>MAX(0,MIN('Activities'!L641,48)-MAX('Activities'!K641,42))</x:f>
        <x:v>0</x:v>
      </x:c>
      <x:c r="M641" s="23" t="n">
        <x:f>MAX(0,MIN('Activities'!L641,54)-MAX('Activities'!K641,48))</x:f>
        <x:v>0</x:v>
      </x:c>
      <x:c r="N641" s="23" t="n">
        <x:f>MAX(0,MIN('Activities'!L641,60)-MAX('Activities'!K641,54))</x:f>
        <x:v>0</x:v>
      </x:c>
      <x:c r="O641" s="23" t="n">
        <x:f>MAX(0,MIN('Activities'!L641,66)-MAX('Activities'!K641,60))</x:f>
        <x:v>0</x:v>
      </x:c>
      <x:c r="P641" s="23" t="n">
        <x:f>MAX(0,MIN('Activities'!L641,72)-MAX('Activities'!K641,66))</x:f>
        <x:v>0</x:v>
      </x:c>
      <x:c r="Q641" s="23" t="n">
        <x:f>MAX(0,MIN('Activities'!L641,78)-MAX('Activities'!K641,72))</x:f>
        <x:v>0</x:v>
      </x:c>
      <x:c r="R641" s="23" t="n">
        <x:f>MAX(0,MIN('Activities'!L641,84)-MAX('Activities'!K641,78))</x:f>
        <x:v>0</x:v>
      </x:c>
      <x:c r="S641" s="23" t="n">
        <x:f>MAX(0,MIN('Activities'!L641,90)-MAX('Activities'!K641,84))</x:f>
        <x:v>0</x:v>
      </x:c>
      <x:c r="T641" s="23" t="n">
        <x:f>MAX(0,MIN('Activities'!L641,96)-MAX('Activities'!K641,90))</x:f>
        <x:v>0</x:v>
      </x:c>
      <x:c r="U641" s="23" t="n">
        <x:f>MAX(0,MIN('Activities'!L641,102)-MAX('Activities'!K641,96))</x:f>
        <x:v>0</x:v>
      </x:c>
      <x:c r="V641" s="23" t="n">
        <x:f>MAX(0,MIN('Activities'!L641,108)-MAX('Activities'!K641,102))</x:f>
        <x:v>0</x:v>
      </x:c>
      <x:c r="W641" s="23" t="n">
        <x:f>MAX(0,MIN('Activities'!L641,114)-MAX('Activities'!K641,108))</x:f>
        <x:v>0</x:v>
      </x:c>
      <x:c r="X641" s="23" t="n">
        <x:f>MAX(0,MIN('Activities'!L641,120)-MAX('Activities'!K641,114))</x:f>
        <x:v>0</x:v>
      </x:c>
      <x:c r="Y641" s="23" t="n">
        <x:f>MAX(0,MIN('Activities'!L641,126)-MAX('Activities'!K641,120))</x:f>
        <x:v>0</x:v>
      </x:c>
      <x:c r="Z641" s="23" t="n">
        <x:f>MAX(0,MIN('Activities'!L641,132)-MAX('Activities'!K641,126))</x:f>
        <x:v>0</x:v>
      </x:c>
      <x:c r="AA641" s="23" t="n">
        <x:f>MAX(0,MIN('Activities'!L641,138)-MAX('Activities'!K641,132))</x:f>
        <x:v>0</x:v>
      </x:c>
      <x:c r="AB641" s="23" t="n">
        <x:f>MAX(0,MIN('Activities'!L641,144)-MAX('Activities'!K641,138))</x:f>
        <x:v>0</x:v>
      </x:c>
      <x:c r="AC641" s="23" t="n">
        <x:f>MAX(0,MIN('Activities'!L641,150)-MAX('Activities'!K641,144))</x:f>
        <x:v>0</x:v>
      </x:c>
      <x:c r="AD641" s="23" t="n">
        <x:f>MAX(0,MIN('Activities'!L641,156)-MAX('Activities'!K641,150))</x:f>
        <x:v>0</x:v>
      </x:c>
      <x:c r="AE641" s="23" t="n">
        <x:f>MAX(0,MIN('Activities'!L641,162)-MAX('Activities'!K641,156))</x:f>
        <x:v>0</x:v>
      </x:c>
      <x:c r="AF641" s="23" t="n">
        <x:f>MAX(0,MIN('Activities'!L641,168)-MAX('Activities'!K641,162))</x:f>
        <x:v>0</x:v>
      </x:c>
      <x:c r="AG641" s="23" t="n">
        <x:f>MAX(0,MIN('Activities'!L641,174)-MAX('Activities'!K641,168))</x:f>
        <x:v>0</x:v>
      </x:c>
      <x:c r="AH641" s="23" t="n">
        <x:f>MAX(0,MIN('Activities'!L641,180)-MAX('Activities'!K641,174))</x:f>
        <x:v>0</x:v>
      </x:c>
      <x:c r="AI641" s="23" t="n">
        <x:f>MAX(0,MIN('Activities'!L641,186)-MAX('Activities'!K641,180))</x:f>
        <x:v>0</x:v>
      </x:c>
      <x:c r="AJ641" s="23" t="n">
        <x:f>MAX(0,MIN('Activities'!L641,192)-MAX('Activities'!K641,186))</x:f>
        <x:v>0</x:v>
      </x:c>
      <x:c r="AK641" s="23" t="n">
        <x:f>MAX(0,MIN('Activities'!L641,198)-MAX('Activities'!K641,192))</x:f>
        <x:v>0</x:v>
      </x:c>
      <x:c r="AL641" s="23" t="n">
        <x:f>MAX(0,MIN('Activities'!L641,204)-MAX('Activities'!K641,198))</x:f>
        <x:v>0</x:v>
      </x:c>
      <x:c r="AM641" s="23" t="n">
        <x:f>MAX(0,MIN('Activities'!L641,210)-MAX('Activities'!K641,204))</x:f>
        <x:v>0</x:v>
      </x:c>
      <x:c r="AN641" s="23" t="n">
        <x:f>MAX(0,MIN('Activities'!L641,216)-MAX('Activities'!K641,210))</x:f>
        <x:v>0</x:v>
      </x:c>
      <x:c r="AO641" s="23" t="n">
        <x:f>MAX(0,MIN('Activities'!L641,222)-MAX('Activities'!K641,216))</x:f>
        <x:v>0</x:v>
      </x:c>
      <x:c r="AP641" s="23" t="n">
        <x:f>MAX(0,MIN('Activities'!L641,228)-MAX('Activities'!K641,222))</x:f>
        <x:v>0</x:v>
      </x:c>
      <x:c r="AQ641" s="23" t="n">
        <x:f>MAX(0,MIN('Activities'!L641,234)-MAX('Activities'!K641,228))</x:f>
        <x:v>0</x:v>
      </x:c>
      <x:c r="AR641" s="23" t="n">
        <x:f>MAX(0,MIN('Activities'!L641,240)-MAX('Activities'!K641,234))</x:f>
        <x:v>0</x:v>
      </x:c>
      <x:c r="AS641" s="23" t="n">
        <x:f>MAX(0,MIN('Activities'!L641,246)-MAX('Activities'!K641,240))</x:f>
        <x:v>0</x:v>
      </x:c>
      <x:c r="AT641" s="23" t="n">
        <x:f>MAX(0,MIN('Activities'!L641,252)-MAX('Activities'!K641,246))</x:f>
        <x:v>0</x:v>
      </x:c>
      <x:c r="AU641" s="23" t="n">
        <x:f>MAX(0,MIN('Activities'!L641,258)-MAX('Activities'!K641,252))</x:f>
        <x:v>0</x:v>
      </x:c>
      <x:c r="AV641" s="23" t="n">
        <x:f>MAX(0,MIN('Activities'!L641,264)-MAX('Activities'!K641,258))</x:f>
        <x:v>0</x:v>
      </x:c>
      <x:c r="AW641" s="23" t="n">
        <x:f>MAX(0,MIN('Activities'!L641,270)-MAX('Activities'!K641,264))</x:f>
        <x:v>0</x:v>
      </x:c>
      <x:c r="AX641" s="23" t="n">
        <x:f>MAX(0,MIN('Activities'!L641,276)-MAX('Activities'!K641,270))</x:f>
        <x:v>0</x:v>
      </x:c>
      <x:c r="AY641" s="23" t="n">
        <x:f>MAX(0,MIN('Activities'!L641,282)-MAX('Activities'!K641,276))</x:f>
        <x:v>0</x:v>
      </x:c>
      <x:c r="AZ641" s="23" t="n">
        <x:f>MAX(0,MIN('Activities'!L641,288)-MAX('Activities'!K641,282))</x:f>
        <x:v>0</x:v>
      </x:c>
      <x:c r="BA641" s="23" t="n">
        <x:f>MAX(0,MIN('Activities'!L641,294)-MAX('Activities'!K641,288))</x:f>
        <x:v>0</x:v>
      </x:c>
      <x:c r="BB641" s="23" t="n">
        <x:f>MAX(0,MIN('Activities'!L641,300)-MAX('Activities'!K641,294))</x:f>
        <x:v>0</x:v>
      </x:c>
      <x:c r="BC641" s="23" t="n">
        <x:f>MAX(0,MIN('Activities'!L641,306)-MAX('Activities'!K641,300))</x:f>
        <x:v>0</x:v>
      </x:c>
      <x:c r="BD641" s="23" t="n">
        <x:f>MAX(0,MIN('Activities'!L641,312)-MAX('Activities'!K641,306))</x:f>
        <x:v>0</x:v>
      </x:c>
      <x:c r="BE641" s="23" t="n">
        <x:f>MAX(0,MIN('Activities'!L641,318)-MAX('Activities'!K641,312))</x:f>
        <x:v>0</x:v>
      </x:c>
      <x:c r="BF641" s="23" t="n">
        <x:f>MAX(0,MIN('Activities'!L641,324)-MAX('Activities'!K641,318))</x:f>
        <x:v>0</x:v>
      </x:c>
      <x:c r="BG641" s="23" t="n">
        <x:f>MAX(0,MIN('Activities'!L641,330)-MAX('Activities'!K641,324))</x:f>
        <x:v>0</x:v>
      </x:c>
      <x:c r="BH641" s="23" t="n">
        <x:f>MAX(0,MIN('Activities'!L641,336)-MAX('Activities'!K641,330))</x:f>
        <x:v>0</x:v>
      </x:c>
      <x:c r="BI641" s="23" t="n">
        <x:f>MAX(0,MIN('Activities'!L641,342)-MAX('Activities'!K641,336))</x:f>
        <x:v>0</x:v>
      </x:c>
      <x:c r="BJ641" s="23" t="n">
        <x:f>MAX(0,MIN('Activities'!L641,348)-MAX('Activities'!K641,342))</x:f>
        <x:v>0</x:v>
      </x:c>
      <x:c r="BK641" s="23" t="n">
        <x:f>MAX(0,MIN('Activities'!L641,354)-MAX('Activities'!K641,348))</x:f>
        <x:v>0</x:v>
      </x:c>
      <x:c r="BL641" s="23" t="n">
        <x:f>MAX(0,MIN('Activities'!L641,360)-MAX('Activities'!K641,354))</x:f>
        <x:v>0</x:v>
      </x:c>
      <x:c r="BM641" s="23" t="n">
        <x:f>MAX(0,MIN('Activities'!L641,366)-MAX('Activities'!K641,360))</x:f>
        <x:v>0</x:v>
      </x:c>
      <x:c r="BN641" s="23" t="n">
        <x:f>MAX(0,MIN('Activities'!L641,372)-MAX('Activities'!K641,366))</x:f>
        <x:v>0</x:v>
      </x:c>
      <x:c r="BO641" s="23" t="n">
        <x:f>MAX(0,MIN('Activities'!L641,378)-MAX('Activities'!K641,372))</x:f>
        <x:v>0</x:v>
      </x:c>
      <x:c r="BP641" s="23" t="n">
        <x:f>MAX(0,MIN('Activities'!L641,384)-MAX('Activities'!K641,378))</x:f>
        <x:v>1</x:v>
      </x:c>
      <x:c r="BQ641" s="23" t="n">
        <x:f>MAX(0,MIN('Activities'!L641,390)-MAX('Activities'!K641,384))</x:f>
        <x:v>2</x:v>
      </x:c>
      <x:c r="BR641" s="23" t="n">
        <x:f>MAX(0,MIN('Activities'!L641,396)-MAX('Activities'!K641,390))</x:f>
        <x:v>0</x:v>
      </x:c>
      <x:c r="BS641" s="23" t="n">
        <x:f>MAX(0,MIN('Activities'!L641,402)-MAX('Activities'!K641,396))</x:f>
        <x:v>0</x:v>
      </x:c>
      <x:c r="BT641" s="23" t="n">
        <x:f>MAX(0,MIN('Activities'!L641,408)-MAX('Activities'!K641,402))</x:f>
        <x:v>0</x:v>
      </x:c>
      <x:c r="BU641" s="23" t="n">
        <x:f>MAX(0,MIN('Activities'!L641,414)-MAX('Activities'!K641,408))</x:f>
        <x:v>0</x:v>
      </x:c>
      <x:c r="BV641" s="23" t="n">
        <x:f>MAX(0,MIN('Activities'!L641,420)-MAX('Activities'!K641,414))</x:f>
        <x:v>0</x:v>
      </x:c>
      <x:c r="BW641" s="23" t="n">
        <x:f>MAX(0,MIN('Activities'!L641,426)-MAX('Activities'!K641,420))</x:f>
        <x:v>0</x:v>
      </x:c>
      <x:c r="BX641" s="23" t="n">
        <x:f>MAX(0,MIN('Activities'!L641,432)-MAX('Activities'!K641,426))</x:f>
        <x:v>0</x:v>
      </x:c>
      <x:c r="BY641" s="23" t="n">
        <x:f>MAX(0,MIN('Activities'!L641,438)-MAX('Activities'!K641,432))</x:f>
        <x:v>0</x:v>
      </x:c>
      <x:c r="BZ641" s="23" t="n">
        <x:f>MAX(0,MIN('Activities'!L641,444)-MAX('Activities'!K641,438))</x:f>
        <x:v>0</x:v>
      </x:c>
      <x:c r="CA641" s="23" t="n">
        <x:f>MAX(0,MIN('Activities'!L641,450)-MAX('Activities'!K641,444))</x:f>
        <x:v>0</x:v>
      </x:c>
      <x:c r="CB641" s="23" t="n">
        <x:f>MAX(0,MIN('Activities'!L641,456)-MAX('Activities'!K641,450))</x:f>
        <x:v>0</x:v>
      </x:c>
      <x:c r="CC641" s="23" t="n">
        <x:f>MAX(0,MIN('Activities'!L641,462)-MAX('Activities'!K641,456))</x:f>
        <x:v>0</x:v>
      </x:c>
      <x:c r="CD641" s="23" t="n">
        <x:f>MAX(0,MIN('Activities'!L641,468)-MAX('Activities'!K641,462))</x:f>
        <x:v>0</x:v>
      </x:c>
      <x:c r="CE641" s="23" t="n">
        <x:f>MAX(0,MIN('Activities'!L641,474)-MAX('Activities'!K641,468))</x:f>
        <x:v>0</x:v>
      </x:c>
      <x:c r="CF641" s="23" t="n">
        <x:f>MAX(0,MIN('Activities'!L641,480)-MAX('Activities'!K641,474))</x:f>
        <x:v>0</x:v>
      </x:c>
      <x:c r="CG641" s="23" t="n">
        <x:f>MAX(0,MIN('Activities'!L641,486)-MAX('Activities'!K641,480))</x:f>
        <x:v>0</x:v>
      </x:c>
      <x:c r="CH641" s="23" t="n">
        <x:f>MAX(0,MIN('Activities'!L641,492)-MAX('Activities'!K641,486))</x:f>
        <x:v>0</x:v>
      </x:c>
      <x:c r="CI641" s="23" t="n">
        <x:f>MAX(0,MIN('Activities'!L641,498)-MAX('Activities'!K641,492))</x:f>
        <x:v>0</x:v>
      </x:c>
      <x:c r="CJ641" s="23" t="n">
        <x:f>MAX(0,MIN('Activities'!L641,504)-MAX('Activities'!K641,498))</x:f>
        <x:v>0</x:v>
      </x:c>
      <x:c r="CK641" s="23" t="n">
        <x:f>MAX(0,MIN('Activities'!L641,510)-MAX('Activities'!K641,504))</x:f>
        <x:v>0</x:v>
      </x:c>
      <x:c r="CL641" s="23" t="n">
        <x:f>MAX(0,MIN('Activities'!L641,516)-MAX('Activities'!K641,510))</x:f>
        <x:v>0</x:v>
      </x:c>
      <x:c r="CM641" s="23" t="n">
        <x:f>MAX(0,MIN('Activities'!L641,522)-MAX('Activities'!K641,516))</x:f>
        <x:v>0</x:v>
      </x:c>
      <x:c r="CN641" s="23" t="n">
        <x:f>MAX(0,MIN('Activities'!L641,528)-MAX('Activities'!K641,522))</x:f>
        <x:v>0</x:v>
      </x:c>
      <x:c r="CO641" s="23" t="n">
        <x:f>MAX(0,MIN('Activities'!L641,534)-MAX('Activities'!K641,528))</x:f>
        <x:v>0</x:v>
      </x:c>
      <x:c r="CP641" s="23" t="n">
        <x:f>MAX(0,MIN('Activities'!L641,540)-MAX('Activities'!K641,534))</x:f>
        <x:v>0</x:v>
      </x:c>
      <x:c r="CQ641" s="23" t="n">
        <x:f>MAX(0,MIN('Activities'!L641,546)-MAX('Activities'!K641,540))</x:f>
        <x:v>0</x:v>
      </x:c>
      <x:c r="CR641" s="23" t="n">
        <x:f>MAX(0,MIN('Activities'!L641,552)-MAX('Activities'!K641,546))</x:f>
        <x:v>0</x:v>
      </x:c>
      <x:c r="CS641" s="23" t="n">
        <x:f>MAX(0,MIN('Activities'!L641,558)-MAX('Activities'!K641,552))</x:f>
        <x:v>0</x:v>
      </x:c>
      <x:c r="CT641" s="23" t="n">
        <x:f>MAX(0,MIN('Activities'!L641,564)-MAX('Activities'!K641,558))</x:f>
        <x:v>0</x:v>
      </x:c>
      <x:c r="CU641" s="23" t="n">
        <x:f>MAX(0,MIN('Activities'!L641,570)-MAX('Activities'!K641,564))</x:f>
        <x:v>0</x:v>
      </x:c>
      <x:c r="CV641" s="23" t="n">
        <x:f>MAX(0,MIN('Activities'!L641,576)-MAX('Activities'!K641,570))</x:f>
        <x:v>0</x:v>
      </x:c>
      <x:c r="CW641" s="23" t="n">
        <x:f>MAX(0,MIN('Activities'!L641,582)-MAX('Activities'!K641,576))</x:f>
        <x:v>0</x:v>
      </x:c>
      <x:c r="CX641" s="23" t="n">
        <x:f>MAX(0,MIN('Activities'!L641,588)-MAX('Activities'!K641,582))</x:f>
        <x:v>0</x:v>
      </x:c>
      <x:c r="CY641" s="23" t="n">
        <x:f>MAX(0,MIN('Activities'!L641,594)-MAX('Activities'!K641,588))</x:f>
        <x:v>0</x:v>
      </x:c>
      <x:c r="CZ641" s="23" t="n">
        <x:f>MAX(0,MIN('Activities'!L641,600)-MAX('Activities'!K641,594))</x:f>
        <x:v>0</x:v>
      </x:c>
      <x:c r="DA641" s="23" t="n">
        <x:f>MAX(0,MIN('Activities'!L641,606)-MAX('Activities'!K641,600))</x:f>
        <x:v>0</x:v>
      </x:c>
      <x:c r="DB641" s="23" t="n">
        <x:f>MAX(0,MIN('Activities'!L641,612)-MAX('Activities'!K641,606))</x:f>
        <x:v>0</x:v>
      </x:c>
      <x:c r="DC641" s="23" t="n">
        <x:f>MAX(0,MIN('Activities'!L641,618)-MAX('Activities'!K641,612))</x:f>
        <x:v>0</x:v>
      </x:c>
      <x:c r="DD641" s="23" t="n">
        <x:f>MAX(0,MIN('Activities'!L641,624)-MAX('Activities'!K641,618))</x:f>
        <x:v>0</x:v>
      </x:c>
      <x:c r="DE641" s="23" t="n">
        <x:f>MAX(0,MIN('Activities'!L641,630)-MAX('Activities'!K641,624))</x:f>
        <x:v>0</x:v>
      </x:c>
      <x:c r="DF641" s="23" t="n">
        <x:f>MAX(0,MIN('Activities'!L641,636)-MAX('Activities'!K641,630))</x:f>
        <x:v>0</x:v>
      </x:c>
    </x:row>
    <x:row r="642" ht="23" customHeight="1">
      <x:c r="A642" s="6" t="str">
        <x:v>T5-L06-T</x:v>
      </x:c>
      <x:c r="B642" s="6" t="str">
        <x:v>T5</x:v>
      </x:c>
      <x:c r="C642" s="6" t="str">
        <x:v>Floor finishes and skirtings</x:v>
      </x:c>
      <x:c r="D642" s="6" t="str">
        <x:v>Finishes</x:v>
      </x:c>
      <x:c r="E642" s="22" t="n">
        <x:f>MAX(0,MIN('Activities'!L642,6)-MAX('Activities'!K642,0))</x:f>
        <x:v>0</x:v>
      </x:c>
      <x:c r="F642" s="22" t="n">
        <x:f>MAX(0,MIN('Activities'!L642,12)-MAX('Activities'!K642,6))</x:f>
        <x:v>0</x:v>
      </x:c>
      <x:c r="G642" s="22" t="n">
        <x:f>MAX(0,MIN('Activities'!L642,18)-MAX('Activities'!K642,12))</x:f>
        <x:v>0</x:v>
      </x:c>
      <x:c r="H642" s="22" t="n">
        <x:f>MAX(0,MIN('Activities'!L642,24)-MAX('Activities'!K642,18))</x:f>
        <x:v>0</x:v>
      </x:c>
      <x:c r="I642" s="22" t="n">
        <x:f>MAX(0,MIN('Activities'!L642,30)-MAX('Activities'!K642,24))</x:f>
        <x:v>0</x:v>
      </x:c>
      <x:c r="J642" s="22" t="n">
        <x:f>MAX(0,MIN('Activities'!L642,36)-MAX('Activities'!K642,30))</x:f>
        <x:v>0</x:v>
      </x:c>
      <x:c r="K642" s="22" t="n">
        <x:f>MAX(0,MIN('Activities'!L642,42)-MAX('Activities'!K642,36))</x:f>
        <x:v>0</x:v>
      </x:c>
      <x:c r="L642" s="22" t="n">
        <x:f>MAX(0,MIN('Activities'!L642,48)-MAX('Activities'!K642,42))</x:f>
        <x:v>0</x:v>
      </x:c>
      <x:c r="M642" s="22" t="n">
        <x:f>MAX(0,MIN('Activities'!L642,54)-MAX('Activities'!K642,48))</x:f>
        <x:v>0</x:v>
      </x:c>
      <x:c r="N642" s="22" t="n">
        <x:f>MAX(0,MIN('Activities'!L642,60)-MAX('Activities'!K642,54))</x:f>
        <x:v>0</x:v>
      </x:c>
      <x:c r="O642" s="22" t="n">
        <x:f>MAX(0,MIN('Activities'!L642,66)-MAX('Activities'!K642,60))</x:f>
        <x:v>0</x:v>
      </x:c>
      <x:c r="P642" s="22" t="n">
        <x:f>MAX(0,MIN('Activities'!L642,72)-MAX('Activities'!K642,66))</x:f>
        <x:v>0</x:v>
      </x:c>
      <x:c r="Q642" s="22" t="n">
        <x:f>MAX(0,MIN('Activities'!L642,78)-MAX('Activities'!K642,72))</x:f>
        <x:v>0</x:v>
      </x:c>
      <x:c r="R642" s="22" t="n">
        <x:f>MAX(0,MIN('Activities'!L642,84)-MAX('Activities'!K642,78))</x:f>
        <x:v>0</x:v>
      </x:c>
      <x:c r="S642" s="22" t="n">
        <x:f>MAX(0,MIN('Activities'!L642,90)-MAX('Activities'!K642,84))</x:f>
        <x:v>0</x:v>
      </x:c>
      <x:c r="T642" s="22" t="n">
        <x:f>MAX(0,MIN('Activities'!L642,96)-MAX('Activities'!K642,90))</x:f>
        <x:v>0</x:v>
      </x:c>
      <x:c r="U642" s="22" t="n">
        <x:f>MAX(0,MIN('Activities'!L642,102)-MAX('Activities'!K642,96))</x:f>
        <x:v>0</x:v>
      </x:c>
      <x:c r="V642" s="22" t="n">
        <x:f>MAX(0,MIN('Activities'!L642,108)-MAX('Activities'!K642,102))</x:f>
        <x:v>0</x:v>
      </x:c>
      <x:c r="W642" s="22" t="n">
        <x:f>MAX(0,MIN('Activities'!L642,114)-MAX('Activities'!K642,108))</x:f>
        <x:v>0</x:v>
      </x:c>
      <x:c r="X642" s="22" t="n">
        <x:f>MAX(0,MIN('Activities'!L642,120)-MAX('Activities'!K642,114))</x:f>
        <x:v>0</x:v>
      </x:c>
      <x:c r="Y642" s="22" t="n">
        <x:f>MAX(0,MIN('Activities'!L642,126)-MAX('Activities'!K642,120))</x:f>
        <x:v>0</x:v>
      </x:c>
      <x:c r="Z642" s="22" t="n">
        <x:f>MAX(0,MIN('Activities'!L642,132)-MAX('Activities'!K642,126))</x:f>
        <x:v>0</x:v>
      </x:c>
      <x:c r="AA642" s="22" t="n">
        <x:f>MAX(0,MIN('Activities'!L642,138)-MAX('Activities'!K642,132))</x:f>
        <x:v>0</x:v>
      </x:c>
      <x:c r="AB642" s="22" t="n">
        <x:f>MAX(0,MIN('Activities'!L642,144)-MAX('Activities'!K642,138))</x:f>
        <x:v>0</x:v>
      </x:c>
      <x:c r="AC642" s="22" t="n">
        <x:f>MAX(0,MIN('Activities'!L642,150)-MAX('Activities'!K642,144))</x:f>
        <x:v>0</x:v>
      </x:c>
      <x:c r="AD642" s="22" t="n">
        <x:f>MAX(0,MIN('Activities'!L642,156)-MAX('Activities'!K642,150))</x:f>
        <x:v>0</x:v>
      </x:c>
      <x:c r="AE642" s="22" t="n">
        <x:f>MAX(0,MIN('Activities'!L642,162)-MAX('Activities'!K642,156))</x:f>
        <x:v>0</x:v>
      </x:c>
      <x:c r="AF642" s="22" t="n">
        <x:f>MAX(0,MIN('Activities'!L642,168)-MAX('Activities'!K642,162))</x:f>
        <x:v>0</x:v>
      </x:c>
      <x:c r="AG642" s="22" t="n">
        <x:f>MAX(0,MIN('Activities'!L642,174)-MAX('Activities'!K642,168))</x:f>
        <x:v>0</x:v>
      </x:c>
      <x:c r="AH642" s="22" t="n">
        <x:f>MAX(0,MIN('Activities'!L642,180)-MAX('Activities'!K642,174))</x:f>
        <x:v>0</x:v>
      </x:c>
      <x:c r="AI642" s="22" t="n">
        <x:f>MAX(0,MIN('Activities'!L642,186)-MAX('Activities'!K642,180))</x:f>
        <x:v>0</x:v>
      </x:c>
      <x:c r="AJ642" s="22" t="n">
        <x:f>MAX(0,MIN('Activities'!L642,192)-MAX('Activities'!K642,186))</x:f>
        <x:v>0</x:v>
      </x:c>
      <x:c r="AK642" s="22" t="n">
        <x:f>MAX(0,MIN('Activities'!L642,198)-MAX('Activities'!K642,192))</x:f>
        <x:v>0</x:v>
      </x:c>
      <x:c r="AL642" s="22" t="n">
        <x:f>MAX(0,MIN('Activities'!L642,204)-MAX('Activities'!K642,198))</x:f>
        <x:v>0</x:v>
      </x:c>
      <x:c r="AM642" s="22" t="n">
        <x:f>MAX(0,MIN('Activities'!L642,210)-MAX('Activities'!K642,204))</x:f>
        <x:v>0</x:v>
      </x:c>
      <x:c r="AN642" s="22" t="n">
        <x:f>MAX(0,MIN('Activities'!L642,216)-MAX('Activities'!K642,210))</x:f>
        <x:v>0</x:v>
      </x:c>
      <x:c r="AO642" s="22" t="n">
        <x:f>MAX(0,MIN('Activities'!L642,222)-MAX('Activities'!K642,216))</x:f>
        <x:v>0</x:v>
      </x:c>
      <x:c r="AP642" s="22" t="n">
        <x:f>MAX(0,MIN('Activities'!L642,228)-MAX('Activities'!K642,222))</x:f>
        <x:v>0</x:v>
      </x:c>
      <x:c r="AQ642" s="22" t="n">
        <x:f>MAX(0,MIN('Activities'!L642,234)-MAX('Activities'!K642,228))</x:f>
        <x:v>0</x:v>
      </x:c>
      <x:c r="AR642" s="22" t="n">
        <x:f>MAX(0,MIN('Activities'!L642,240)-MAX('Activities'!K642,234))</x:f>
        <x:v>0</x:v>
      </x:c>
      <x:c r="AS642" s="22" t="n">
        <x:f>MAX(0,MIN('Activities'!L642,246)-MAX('Activities'!K642,240))</x:f>
        <x:v>0</x:v>
      </x:c>
      <x:c r="AT642" s="22" t="n">
        <x:f>MAX(0,MIN('Activities'!L642,252)-MAX('Activities'!K642,246))</x:f>
        <x:v>0</x:v>
      </x:c>
      <x:c r="AU642" s="22" t="n">
        <x:f>MAX(0,MIN('Activities'!L642,258)-MAX('Activities'!K642,252))</x:f>
        <x:v>0</x:v>
      </x:c>
      <x:c r="AV642" s="22" t="n">
        <x:f>MAX(0,MIN('Activities'!L642,264)-MAX('Activities'!K642,258))</x:f>
        <x:v>0</x:v>
      </x:c>
      <x:c r="AW642" s="22" t="n">
        <x:f>MAX(0,MIN('Activities'!L642,270)-MAX('Activities'!K642,264))</x:f>
        <x:v>0</x:v>
      </x:c>
      <x:c r="AX642" s="22" t="n">
        <x:f>MAX(0,MIN('Activities'!L642,276)-MAX('Activities'!K642,270))</x:f>
        <x:v>0</x:v>
      </x:c>
      <x:c r="AY642" s="22" t="n">
        <x:f>MAX(0,MIN('Activities'!L642,282)-MAX('Activities'!K642,276))</x:f>
        <x:v>0</x:v>
      </x:c>
      <x:c r="AZ642" s="22" t="n">
        <x:f>MAX(0,MIN('Activities'!L642,288)-MAX('Activities'!K642,282))</x:f>
        <x:v>0</x:v>
      </x:c>
      <x:c r="BA642" s="22" t="n">
        <x:f>MAX(0,MIN('Activities'!L642,294)-MAX('Activities'!K642,288))</x:f>
        <x:v>0</x:v>
      </x:c>
      <x:c r="BB642" s="22" t="n">
        <x:f>MAX(0,MIN('Activities'!L642,300)-MAX('Activities'!K642,294))</x:f>
        <x:v>0</x:v>
      </x:c>
      <x:c r="BC642" s="22" t="n">
        <x:f>MAX(0,MIN('Activities'!L642,306)-MAX('Activities'!K642,300))</x:f>
        <x:v>0</x:v>
      </x:c>
      <x:c r="BD642" s="22" t="n">
        <x:f>MAX(0,MIN('Activities'!L642,312)-MAX('Activities'!K642,306))</x:f>
        <x:v>0</x:v>
      </x:c>
      <x:c r="BE642" s="22" t="n">
        <x:f>MAX(0,MIN('Activities'!L642,318)-MAX('Activities'!K642,312))</x:f>
        <x:v>0</x:v>
      </x:c>
      <x:c r="BF642" s="22" t="n">
        <x:f>MAX(0,MIN('Activities'!L642,324)-MAX('Activities'!K642,318))</x:f>
        <x:v>0</x:v>
      </x:c>
      <x:c r="BG642" s="22" t="n">
        <x:f>MAX(0,MIN('Activities'!L642,330)-MAX('Activities'!K642,324))</x:f>
        <x:v>0</x:v>
      </x:c>
      <x:c r="BH642" s="22" t="n">
        <x:f>MAX(0,MIN('Activities'!L642,336)-MAX('Activities'!K642,330))</x:f>
        <x:v>0</x:v>
      </x:c>
      <x:c r="BI642" s="22" t="n">
        <x:f>MAX(0,MIN('Activities'!L642,342)-MAX('Activities'!K642,336))</x:f>
        <x:v>0</x:v>
      </x:c>
      <x:c r="BJ642" s="22" t="n">
        <x:f>MAX(0,MIN('Activities'!L642,348)-MAX('Activities'!K642,342))</x:f>
        <x:v>0</x:v>
      </x:c>
      <x:c r="BK642" s="22" t="n">
        <x:f>MAX(0,MIN('Activities'!L642,354)-MAX('Activities'!K642,348))</x:f>
        <x:v>0</x:v>
      </x:c>
      <x:c r="BL642" s="22" t="n">
        <x:f>MAX(0,MIN('Activities'!L642,360)-MAX('Activities'!K642,354))</x:f>
        <x:v>0</x:v>
      </x:c>
      <x:c r="BM642" s="22" t="n">
        <x:f>MAX(0,MIN('Activities'!L642,366)-MAX('Activities'!K642,360))</x:f>
        <x:v>0</x:v>
      </x:c>
      <x:c r="BN642" s="22" t="n">
        <x:f>MAX(0,MIN('Activities'!L642,372)-MAX('Activities'!K642,366))</x:f>
        <x:v>0</x:v>
      </x:c>
      <x:c r="BO642" s="22" t="n">
        <x:f>MAX(0,MIN('Activities'!L642,378)-MAX('Activities'!K642,372))</x:f>
        <x:v>0</x:v>
      </x:c>
      <x:c r="BP642" s="22" t="n">
        <x:f>MAX(0,MIN('Activities'!L642,384)-MAX('Activities'!K642,378))</x:f>
        <x:v>0</x:v>
      </x:c>
      <x:c r="BQ642" s="22" t="n">
        <x:f>MAX(0,MIN('Activities'!L642,390)-MAX('Activities'!K642,384))</x:f>
        <x:v>0</x:v>
      </x:c>
      <x:c r="BR642" s="22" t="n">
        <x:f>MAX(0,MIN('Activities'!L642,396)-MAX('Activities'!K642,390))</x:f>
        <x:v>0</x:v>
      </x:c>
      <x:c r="BS642" s="22" t="n">
        <x:f>MAX(0,MIN('Activities'!L642,402)-MAX('Activities'!K642,396))</x:f>
        <x:v>0</x:v>
      </x:c>
      <x:c r="BT642" s="22" t="n">
        <x:f>MAX(0,MIN('Activities'!L642,408)-MAX('Activities'!K642,402))</x:f>
        <x:v>0</x:v>
      </x:c>
      <x:c r="BU642" s="22" t="n">
        <x:f>MAX(0,MIN('Activities'!L642,414)-MAX('Activities'!K642,408))</x:f>
        <x:v>0</x:v>
      </x:c>
      <x:c r="BV642" s="22" t="n">
        <x:f>MAX(0,MIN('Activities'!L642,420)-MAX('Activities'!K642,414))</x:f>
        <x:v>0</x:v>
      </x:c>
      <x:c r="BW642" s="22" t="n">
        <x:f>MAX(0,MIN('Activities'!L642,426)-MAX('Activities'!K642,420))</x:f>
        <x:v>0</x:v>
      </x:c>
      <x:c r="BX642" s="22" t="n">
        <x:f>MAX(0,MIN('Activities'!L642,432)-MAX('Activities'!K642,426))</x:f>
        <x:v>0</x:v>
      </x:c>
      <x:c r="BY642" s="22" t="n">
        <x:f>MAX(0,MIN('Activities'!L642,438)-MAX('Activities'!K642,432))</x:f>
        <x:v>0</x:v>
      </x:c>
      <x:c r="BZ642" s="22" t="n">
        <x:f>MAX(0,MIN('Activities'!L642,444)-MAX('Activities'!K642,438))</x:f>
        <x:v>0</x:v>
      </x:c>
      <x:c r="CA642" s="22" t="n">
        <x:f>MAX(0,MIN('Activities'!L642,450)-MAX('Activities'!K642,444))</x:f>
        <x:v>1</x:v>
      </x:c>
      <x:c r="CB642" s="22" t="n">
        <x:f>MAX(0,MIN('Activities'!L642,456)-MAX('Activities'!K642,450))</x:f>
        <x:v>5</x:v>
      </x:c>
      <x:c r="CC642" s="22" t="n">
        <x:f>MAX(0,MIN('Activities'!L642,462)-MAX('Activities'!K642,456))</x:f>
        <x:v>0</x:v>
      </x:c>
      <x:c r="CD642" s="22" t="n">
        <x:f>MAX(0,MIN('Activities'!L642,468)-MAX('Activities'!K642,462))</x:f>
        <x:v>0</x:v>
      </x:c>
      <x:c r="CE642" s="22" t="n">
        <x:f>MAX(0,MIN('Activities'!L642,474)-MAX('Activities'!K642,468))</x:f>
        <x:v>0</x:v>
      </x:c>
      <x:c r="CF642" s="22" t="n">
        <x:f>MAX(0,MIN('Activities'!L642,480)-MAX('Activities'!K642,474))</x:f>
        <x:v>0</x:v>
      </x:c>
      <x:c r="CG642" s="22" t="n">
        <x:f>MAX(0,MIN('Activities'!L642,486)-MAX('Activities'!K642,480))</x:f>
        <x:v>0</x:v>
      </x:c>
      <x:c r="CH642" s="22" t="n">
        <x:f>MAX(0,MIN('Activities'!L642,492)-MAX('Activities'!K642,486))</x:f>
        <x:v>0</x:v>
      </x:c>
      <x:c r="CI642" s="22" t="n">
        <x:f>MAX(0,MIN('Activities'!L642,498)-MAX('Activities'!K642,492))</x:f>
        <x:v>0</x:v>
      </x:c>
      <x:c r="CJ642" s="22" t="n">
        <x:f>MAX(0,MIN('Activities'!L642,504)-MAX('Activities'!K642,498))</x:f>
        <x:v>0</x:v>
      </x:c>
      <x:c r="CK642" s="22" t="n">
        <x:f>MAX(0,MIN('Activities'!L642,510)-MAX('Activities'!K642,504))</x:f>
        <x:v>0</x:v>
      </x:c>
      <x:c r="CL642" s="22" t="n">
        <x:f>MAX(0,MIN('Activities'!L642,516)-MAX('Activities'!K642,510))</x:f>
        <x:v>0</x:v>
      </x:c>
      <x:c r="CM642" s="22" t="n">
        <x:f>MAX(0,MIN('Activities'!L642,522)-MAX('Activities'!K642,516))</x:f>
        <x:v>0</x:v>
      </x:c>
      <x:c r="CN642" s="22" t="n">
        <x:f>MAX(0,MIN('Activities'!L642,528)-MAX('Activities'!K642,522))</x:f>
        <x:v>0</x:v>
      </x:c>
      <x:c r="CO642" s="22" t="n">
        <x:f>MAX(0,MIN('Activities'!L642,534)-MAX('Activities'!K642,528))</x:f>
        <x:v>0</x:v>
      </x:c>
      <x:c r="CP642" s="22" t="n">
        <x:f>MAX(0,MIN('Activities'!L642,540)-MAX('Activities'!K642,534))</x:f>
        <x:v>0</x:v>
      </x:c>
      <x:c r="CQ642" s="22" t="n">
        <x:f>MAX(0,MIN('Activities'!L642,546)-MAX('Activities'!K642,540))</x:f>
        <x:v>0</x:v>
      </x:c>
      <x:c r="CR642" s="22" t="n">
        <x:f>MAX(0,MIN('Activities'!L642,552)-MAX('Activities'!K642,546))</x:f>
        <x:v>0</x:v>
      </x:c>
      <x:c r="CS642" s="22" t="n">
        <x:f>MAX(0,MIN('Activities'!L642,558)-MAX('Activities'!K642,552))</x:f>
        <x:v>0</x:v>
      </x:c>
      <x:c r="CT642" s="22" t="n">
        <x:f>MAX(0,MIN('Activities'!L642,564)-MAX('Activities'!K642,558))</x:f>
        <x:v>0</x:v>
      </x:c>
      <x:c r="CU642" s="22" t="n">
        <x:f>MAX(0,MIN('Activities'!L642,570)-MAX('Activities'!K642,564))</x:f>
        <x:v>0</x:v>
      </x:c>
      <x:c r="CV642" s="22" t="n">
        <x:f>MAX(0,MIN('Activities'!L642,576)-MAX('Activities'!K642,570))</x:f>
        <x:v>0</x:v>
      </x:c>
      <x:c r="CW642" s="22" t="n">
        <x:f>MAX(0,MIN('Activities'!L642,582)-MAX('Activities'!K642,576))</x:f>
        <x:v>0</x:v>
      </x:c>
      <x:c r="CX642" s="22" t="n">
        <x:f>MAX(0,MIN('Activities'!L642,588)-MAX('Activities'!K642,582))</x:f>
        <x:v>0</x:v>
      </x:c>
      <x:c r="CY642" s="22" t="n">
        <x:f>MAX(0,MIN('Activities'!L642,594)-MAX('Activities'!K642,588))</x:f>
        <x:v>0</x:v>
      </x:c>
      <x:c r="CZ642" s="22" t="n">
        <x:f>MAX(0,MIN('Activities'!L642,600)-MAX('Activities'!K642,594))</x:f>
        <x:v>0</x:v>
      </x:c>
      <x:c r="DA642" s="22" t="n">
        <x:f>MAX(0,MIN('Activities'!L642,606)-MAX('Activities'!K642,600))</x:f>
        <x:v>0</x:v>
      </x:c>
      <x:c r="DB642" s="22" t="n">
        <x:f>MAX(0,MIN('Activities'!L642,612)-MAX('Activities'!K642,606))</x:f>
        <x:v>0</x:v>
      </x:c>
      <x:c r="DC642" s="22" t="n">
        <x:f>MAX(0,MIN('Activities'!L642,618)-MAX('Activities'!K642,612))</x:f>
        <x:v>0</x:v>
      </x:c>
      <x:c r="DD642" s="22" t="n">
        <x:f>MAX(0,MIN('Activities'!L642,624)-MAX('Activities'!K642,618))</x:f>
        <x:v>0</x:v>
      </x:c>
      <x:c r="DE642" s="22" t="n">
        <x:f>MAX(0,MIN('Activities'!L642,630)-MAX('Activities'!K642,624))</x:f>
        <x:v>0</x:v>
      </x:c>
      <x:c r="DF642" s="22" t="n">
        <x:f>MAX(0,MIN('Activities'!L642,636)-MAX('Activities'!K642,630))</x:f>
        <x:v>0</x:v>
      </x:c>
    </x:row>
    <x:row r="643" ht="23" customHeight="1">
      <x:c r="A643" s="1" t="str">
        <x:v>T5-L06-A</x:v>
      </x:c>
      <x:c r="B643" s="1" t="str">
        <x:v>T5</x:v>
      </x:c>
      <x:c r="C643" s="1" t="str">
        <x:v>Paint and final decorations</x:v>
      </x:c>
      <x:c r="D643" s="1" t="str">
        <x:v>Finishes</x:v>
      </x:c>
      <x:c r="E643" s="23" t="n">
        <x:f>MAX(0,MIN('Activities'!L643,6)-MAX('Activities'!K643,0))</x:f>
        <x:v>0</x:v>
      </x:c>
      <x:c r="F643" s="23" t="n">
        <x:f>MAX(0,MIN('Activities'!L643,12)-MAX('Activities'!K643,6))</x:f>
        <x:v>0</x:v>
      </x:c>
      <x:c r="G643" s="23" t="n">
        <x:f>MAX(0,MIN('Activities'!L643,18)-MAX('Activities'!K643,12))</x:f>
        <x:v>0</x:v>
      </x:c>
      <x:c r="H643" s="23" t="n">
        <x:f>MAX(0,MIN('Activities'!L643,24)-MAX('Activities'!K643,18))</x:f>
        <x:v>0</x:v>
      </x:c>
      <x:c r="I643" s="23" t="n">
        <x:f>MAX(0,MIN('Activities'!L643,30)-MAX('Activities'!K643,24))</x:f>
        <x:v>0</x:v>
      </x:c>
      <x:c r="J643" s="23" t="n">
        <x:f>MAX(0,MIN('Activities'!L643,36)-MAX('Activities'!K643,30))</x:f>
        <x:v>0</x:v>
      </x:c>
      <x:c r="K643" s="23" t="n">
        <x:f>MAX(0,MIN('Activities'!L643,42)-MAX('Activities'!K643,36))</x:f>
        <x:v>0</x:v>
      </x:c>
      <x:c r="L643" s="23" t="n">
        <x:f>MAX(0,MIN('Activities'!L643,48)-MAX('Activities'!K643,42))</x:f>
        <x:v>0</x:v>
      </x:c>
      <x:c r="M643" s="23" t="n">
        <x:f>MAX(0,MIN('Activities'!L643,54)-MAX('Activities'!K643,48))</x:f>
        <x:v>0</x:v>
      </x:c>
      <x:c r="N643" s="23" t="n">
        <x:f>MAX(0,MIN('Activities'!L643,60)-MAX('Activities'!K643,54))</x:f>
        <x:v>0</x:v>
      </x:c>
      <x:c r="O643" s="23" t="n">
        <x:f>MAX(0,MIN('Activities'!L643,66)-MAX('Activities'!K643,60))</x:f>
        <x:v>0</x:v>
      </x:c>
      <x:c r="P643" s="23" t="n">
        <x:f>MAX(0,MIN('Activities'!L643,72)-MAX('Activities'!K643,66))</x:f>
        <x:v>0</x:v>
      </x:c>
      <x:c r="Q643" s="23" t="n">
        <x:f>MAX(0,MIN('Activities'!L643,78)-MAX('Activities'!K643,72))</x:f>
        <x:v>0</x:v>
      </x:c>
      <x:c r="R643" s="23" t="n">
        <x:f>MAX(0,MIN('Activities'!L643,84)-MAX('Activities'!K643,78))</x:f>
        <x:v>0</x:v>
      </x:c>
      <x:c r="S643" s="23" t="n">
        <x:f>MAX(0,MIN('Activities'!L643,90)-MAX('Activities'!K643,84))</x:f>
        <x:v>0</x:v>
      </x:c>
      <x:c r="T643" s="23" t="n">
        <x:f>MAX(0,MIN('Activities'!L643,96)-MAX('Activities'!K643,90))</x:f>
        <x:v>0</x:v>
      </x:c>
      <x:c r="U643" s="23" t="n">
        <x:f>MAX(0,MIN('Activities'!L643,102)-MAX('Activities'!K643,96))</x:f>
        <x:v>0</x:v>
      </x:c>
      <x:c r="V643" s="23" t="n">
        <x:f>MAX(0,MIN('Activities'!L643,108)-MAX('Activities'!K643,102))</x:f>
        <x:v>0</x:v>
      </x:c>
      <x:c r="W643" s="23" t="n">
        <x:f>MAX(0,MIN('Activities'!L643,114)-MAX('Activities'!K643,108))</x:f>
        <x:v>0</x:v>
      </x:c>
      <x:c r="X643" s="23" t="n">
        <x:f>MAX(0,MIN('Activities'!L643,120)-MAX('Activities'!K643,114))</x:f>
        <x:v>0</x:v>
      </x:c>
      <x:c r="Y643" s="23" t="n">
        <x:f>MAX(0,MIN('Activities'!L643,126)-MAX('Activities'!K643,120))</x:f>
        <x:v>0</x:v>
      </x:c>
      <x:c r="Z643" s="23" t="n">
        <x:f>MAX(0,MIN('Activities'!L643,132)-MAX('Activities'!K643,126))</x:f>
        <x:v>0</x:v>
      </x:c>
      <x:c r="AA643" s="23" t="n">
        <x:f>MAX(0,MIN('Activities'!L643,138)-MAX('Activities'!K643,132))</x:f>
        <x:v>0</x:v>
      </x:c>
      <x:c r="AB643" s="23" t="n">
        <x:f>MAX(0,MIN('Activities'!L643,144)-MAX('Activities'!K643,138))</x:f>
        <x:v>0</x:v>
      </x:c>
      <x:c r="AC643" s="23" t="n">
        <x:f>MAX(0,MIN('Activities'!L643,150)-MAX('Activities'!K643,144))</x:f>
        <x:v>0</x:v>
      </x:c>
      <x:c r="AD643" s="23" t="n">
        <x:f>MAX(0,MIN('Activities'!L643,156)-MAX('Activities'!K643,150))</x:f>
        <x:v>0</x:v>
      </x:c>
      <x:c r="AE643" s="23" t="n">
        <x:f>MAX(0,MIN('Activities'!L643,162)-MAX('Activities'!K643,156))</x:f>
        <x:v>0</x:v>
      </x:c>
      <x:c r="AF643" s="23" t="n">
        <x:f>MAX(0,MIN('Activities'!L643,168)-MAX('Activities'!K643,162))</x:f>
        <x:v>0</x:v>
      </x:c>
      <x:c r="AG643" s="23" t="n">
        <x:f>MAX(0,MIN('Activities'!L643,174)-MAX('Activities'!K643,168))</x:f>
        <x:v>0</x:v>
      </x:c>
      <x:c r="AH643" s="23" t="n">
        <x:f>MAX(0,MIN('Activities'!L643,180)-MAX('Activities'!K643,174))</x:f>
        <x:v>0</x:v>
      </x:c>
      <x:c r="AI643" s="23" t="n">
        <x:f>MAX(0,MIN('Activities'!L643,186)-MAX('Activities'!K643,180))</x:f>
        <x:v>0</x:v>
      </x:c>
      <x:c r="AJ643" s="23" t="n">
        <x:f>MAX(0,MIN('Activities'!L643,192)-MAX('Activities'!K643,186))</x:f>
        <x:v>0</x:v>
      </x:c>
      <x:c r="AK643" s="23" t="n">
        <x:f>MAX(0,MIN('Activities'!L643,198)-MAX('Activities'!K643,192))</x:f>
        <x:v>0</x:v>
      </x:c>
      <x:c r="AL643" s="23" t="n">
        <x:f>MAX(0,MIN('Activities'!L643,204)-MAX('Activities'!K643,198))</x:f>
        <x:v>0</x:v>
      </x:c>
      <x:c r="AM643" s="23" t="n">
        <x:f>MAX(0,MIN('Activities'!L643,210)-MAX('Activities'!K643,204))</x:f>
        <x:v>0</x:v>
      </x:c>
      <x:c r="AN643" s="23" t="n">
        <x:f>MAX(0,MIN('Activities'!L643,216)-MAX('Activities'!K643,210))</x:f>
        <x:v>0</x:v>
      </x:c>
      <x:c r="AO643" s="23" t="n">
        <x:f>MAX(0,MIN('Activities'!L643,222)-MAX('Activities'!K643,216))</x:f>
        <x:v>0</x:v>
      </x:c>
      <x:c r="AP643" s="23" t="n">
        <x:f>MAX(0,MIN('Activities'!L643,228)-MAX('Activities'!K643,222))</x:f>
        <x:v>0</x:v>
      </x:c>
      <x:c r="AQ643" s="23" t="n">
        <x:f>MAX(0,MIN('Activities'!L643,234)-MAX('Activities'!K643,228))</x:f>
        <x:v>0</x:v>
      </x:c>
      <x:c r="AR643" s="23" t="n">
        <x:f>MAX(0,MIN('Activities'!L643,240)-MAX('Activities'!K643,234))</x:f>
        <x:v>0</x:v>
      </x:c>
      <x:c r="AS643" s="23" t="n">
        <x:f>MAX(0,MIN('Activities'!L643,246)-MAX('Activities'!K643,240))</x:f>
        <x:v>0</x:v>
      </x:c>
      <x:c r="AT643" s="23" t="n">
        <x:f>MAX(0,MIN('Activities'!L643,252)-MAX('Activities'!K643,246))</x:f>
        <x:v>0</x:v>
      </x:c>
      <x:c r="AU643" s="23" t="n">
        <x:f>MAX(0,MIN('Activities'!L643,258)-MAX('Activities'!K643,252))</x:f>
        <x:v>0</x:v>
      </x:c>
      <x:c r="AV643" s="23" t="n">
        <x:f>MAX(0,MIN('Activities'!L643,264)-MAX('Activities'!K643,258))</x:f>
        <x:v>0</x:v>
      </x:c>
      <x:c r="AW643" s="23" t="n">
        <x:f>MAX(0,MIN('Activities'!L643,270)-MAX('Activities'!K643,264))</x:f>
        <x:v>0</x:v>
      </x:c>
      <x:c r="AX643" s="23" t="n">
        <x:f>MAX(0,MIN('Activities'!L643,276)-MAX('Activities'!K643,270))</x:f>
        <x:v>0</x:v>
      </x:c>
      <x:c r="AY643" s="23" t="n">
        <x:f>MAX(0,MIN('Activities'!L643,282)-MAX('Activities'!K643,276))</x:f>
        <x:v>0</x:v>
      </x:c>
      <x:c r="AZ643" s="23" t="n">
        <x:f>MAX(0,MIN('Activities'!L643,288)-MAX('Activities'!K643,282))</x:f>
        <x:v>0</x:v>
      </x:c>
      <x:c r="BA643" s="23" t="n">
        <x:f>MAX(0,MIN('Activities'!L643,294)-MAX('Activities'!K643,288))</x:f>
        <x:v>0</x:v>
      </x:c>
      <x:c r="BB643" s="23" t="n">
        <x:f>MAX(0,MIN('Activities'!L643,300)-MAX('Activities'!K643,294))</x:f>
        <x:v>0</x:v>
      </x:c>
      <x:c r="BC643" s="23" t="n">
        <x:f>MAX(0,MIN('Activities'!L643,306)-MAX('Activities'!K643,300))</x:f>
        <x:v>0</x:v>
      </x:c>
      <x:c r="BD643" s="23" t="n">
        <x:f>MAX(0,MIN('Activities'!L643,312)-MAX('Activities'!K643,306))</x:f>
        <x:v>0</x:v>
      </x:c>
      <x:c r="BE643" s="23" t="n">
        <x:f>MAX(0,MIN('Activities'!L643,318)-MAX('Activities'!K643,312))</x:f>
        <x:v>0</x:v>
      </x:c>
      <x:c r="BF643" s="23" t="n">
        <x:f>MAX(0,MIN('Activities'!L643,324)-MAX('Activities'!K643,318))</x:f>
        <x:v>0</x:v>
      </x:c>
      <x:c r="BG643" s="23" t="n">
        <x:f>MAX(0,MIN('Activities'!L643,330)-MAX('Activities'!K643,324))</x:f>
        <x:v>0</x:v>
      </x:c>
      <x:c r="BH643" s="23" t="n">
        <x:f>MAX(0,MIN('Activities'!L643,336)-MAX('Activities'!K643,330))</x:f>
        <x:v>0</x:v>
      </x:c>
      <x:c r="BI643" s="23" t="n">
        <x:f>MAX(0,MIN('Activities'!L643,342)-MAX('Activities'!K643,336))</x:f>
        <x:v>0</x:v>
      </x:c>
      <x:c r="BJ643" s="23" t="n">
        <x:f>MAX(0,MIN('Activities'!L643,348)-MAX('Activities'!K643,342))</x:f>
        <x:v>0</x:v>
      </x:c>
      <x:c r="BK643" s="23" t="n">
        <x:f>MAX(0,MIN('Activities'!L643,354)-MAX('Activities'!K643,348))</x:f>
        <x:v>0</x:v>
      </x:c>
      <x:c r="BL643" s="23" t="n">
        <x:f>MAX(0,MIN('Activities'!L643,360)-MAX('Activities'!K643,354))</x:f>
        <x:v>0</x:v>
      </x:c>
      <x:c r="BM643" s="23" t="n">
        <x:f>MAX(0,MIN('Activities'!L643,366)-MAX('Activities'!K643,360))</x:f>
        <x:v>0</x:v>
      </x:c>
      <x:c r="BN643" s="23" t="n">
        <x:f>MAX(0,MIN('Activities'!L643,372)-MAX('Activities'!K643,366))</x:f>
        <x:v>0</x:v>
      </x:c>
      <x:c r="BO643" s="23" t="n">
        <x:f>MAX(0,MIN('Activities'!L643,378)-MAX('Activities'!K643,372))</x:f>
        <x:v>0</x:v>
      </x:c>
      <x:c r="BP643" s="23" t="n">
        <x:f>MAX(0,MIN('Activities'!L643,384)-MAX('Activities'!K643,378))</x:f>
        <x:v>0</x:v>
      </x:c>
      <x:c r="BQ643" s="23" t="n">
        <x:f>MAX(0,MIN('Activities'!L643,390)-MAX('Activities'!K643,384))</x:f>
        <x:v>0</x:v>
      </x:c>
      <x:c r="BR643" s="23" t="n">
        <x:f>MAX(0,MIN('Activities'!L643,396)-MAX('Activities'!K643,390))</x:f>
        <x:v>0</x:v>
      </x:c>
      <x:c r="BS643" s="23" t="n">
        <x:f>MAX(0,MIN('Activities'!L643,402)-MAX('Activities'!K643,396))</x:f>
        <x:v>0</x:v>
      </x:c>
      <x:c r="BT643" s="23" t="n">
        <x:f>MAX(0,MIN('Activities'!L643,408)-MAX('Activities'!K643,402))</x:f>
        <x:v>0</x:v>
      </x:c>
      <x:c r="BU643" s="23" t="n">
        <x:f>MAX(0,MIN('Activities'!L643,414)-MAX('Activities'!K643,408))</x:f>
        <x:v>0</x:v>
      </x:c>
      <x:c r="BV643" s="23" t="n">
        <x:f>MAX(0,MIN('Activities'!L643,420)-MAX('Activities'!K643,414))</x:f>
        <x:v>0</x:v>
      </x:c>
      <x:c r="BW643" s="23" t="n">
        <x:f>MAX(0,MIN('Activities'!L643,426)-MAX('Activities'!K643,420))</x:f>
        <x:v>0</x:v>
      </x:c>
      <x:c r="BX643" s="23" t="n">
        <x:f>MAX(0,MIN('Activities'!L643,432)-MAX('Activities'!K643,426))</x:f>
        <x:v>0</x:v>
      </x:c>
      <x:c r="BY643" s="23" t="n">
        <x:f>MAX(0,MIN('Activities'!L643,438)-MAX('Activities'!K643,432))</x:f>
        <x:v>0</x:v>
      </x:c>
      <x:c r="BZ643" s="23" t="n">
        <x:f>MAX(0,MIN('Activities'!L643,444)-MAX('Activities'!K643,438))</x:f>
        <x:v>0</x:v>
      </x:c>
      <x:c r="CA643" s="23" t="n">
        <x:f>MAX(0,MIN('Activities'!L643,450)-MAX('Activities'!K643,444))</x:f>
        <x:v>0</x:v>
      </x:c>
      <x:c r="CB643" s="23" t="n">
        <x:f>MAX(0,MIN('Activities'!L643,456)-MAX('Activities'!K643,450))</x:f>
        <x:v>0</x:v>
      </x:c>
      <x:c r="CC643" s="23" t="n">
        <x:f>MAX(0,MIN('Activities'!L643,462)-MAX('Activities'!K643,456))</x:f>
        <x:v>5</x:v>
      </x:c>
      <x:c r="CD643" s="23" t="n">
        <x:f>MAX(0,MIN('Activities'!L643,468)-MAX('Activities'!K643,462))</x:f>
        <x:v>0</x:v>
      </x:c>
      <x:c r="CE643" s="23" t="n">
        <x:f>MAX(0,MIN('Activities'!L643,474)-MAX('Activities'!K643,468))</x:f>
        <x:v>0</x:v>
      </x:c>
      <x:c r="CF643" s="23" t="n">
        <x:f>MAX(0,MIN('Activities'!L643,480)-MAX('Activities'!K643,474))</x:f>
        <x:v>0</x:v>
      </x:c>
      <x:c r="CG643" s="23" t="n">
        <x:f>MAX(0,MIN('Activities'!L643,486)-MAX('Activities'!K643,480))</x:f>
        <x:v>0</x:v>
      </x:c>
      <x:c r="CH643" s="23" t="n">
        <x:f>MAX(0,MIN('Activities'!L643,492)-MAX('Activities'!K643,486))</x:f>
        <x:v>0</x:v>
      </x:c>
      <x:c r="CI643" s="23" t="n">
        <x:f>MAX(0,MIN('Activities'!L643,498)-MAX('Activities'!K643,492))</x:f>
        <x:v>0</x:v>
      </x:c>
      <x:c r="CJ643" s="23" t="n">
        <x:f>MAX(0,MIN('Activities'!L643,504)-MAX('Activities'!K643,498))</x:f>
        <x:v>0</x:v>
      </x:c>
      <x:c r="CK643" s="23" t="n">
        <x:f>MAX(0,MIN('Activities'!L643,510)-MAX('Activities'!K643,504))</x:f>
        <x:v>0</x:v>
      </x:c>
      <x:c r="CL643" s="23" t="n">
        <x:f>MAX(0,MIN('Activities'!L643,516)-MAX('Activities'!K643,510))</x:f>
        <x:v>0</x:v>
      </x:c>
      <x:c r="CM643" s="23" t="n">
        <x:f>MAX(0,MIN('Activities'!L643,522)-MAX('Activities'!K643,516))</x:f>
        <x:v>0</x:v>
      </x:c>
      <x:c r="CN643" s="23" t="n">
        <x:f>MAX(0,MIN('Activities'!L643,528)-MAX('Activities'!K643,522))</x:f>
        <x:v>0</x:v>
      </x:c>
      <x:c r="CO643" s="23" t="n">
        <x:f>MAX(0,MIN('Activities'!L643,534)-MAX('Activities'!K643,528))</x:f>
        <x:v>0</x:v>
      </x:c>
      <x:c r="CP643" s="23" t="n">
        <x:f>MAX(0,MIN('Activities'!L643,540)-MAX('Activities'!K643,534))</x:f>
        <x:v>0</x:v>
      </x:c>
      <x:c r="CQ643" s="23" t="n">
        <x:f>MAX(0,MIN('Activities'!L643,546)-MAX('Activities'!K643,540))</x:f>
        <x:v>0</x:v>
      </x:c>
      <x:c r="CR643" s="23" t="n">
        <x:f>MAX(0,MIN('Activities'!L643,552)-MAX('Activities'!K643,546))</x:f>
        <x:v>0</x:v>
      </x:c>
      <x:c r="CS643" s="23" t="n">
        <x:f>MAX(0,MIN('Activities'!L643,558)-MAX('Activities'!K643,552))</x:f>
        <x:v>0</x:v>
      </x:c>
      <x:c r="CT643" s="23" t="n">
        <x:f>MAX(0,MIN('Activities'!L643,564)-MAX('Activities'!K643,558))</x:f>
        <x:v>0</x:v>
      </x:c>
      <x:c r="CU643" s="23" t="n">
        <x:f>MAX(0,MIN('Activities'!L643,570)-MAX('Activities'!K643,564))</x:f>
        <x:v>0</x:v>
      </x:c>
      <x:c r="CV643" s="23" t="n">
        <x:f>MAX(0,MIN('Activities'!L643,576)-MAX('Activities'!K643,570))</x:f>
        <x:v>0</x:v>
      </x:c>
      <x:c r="CW643" s="23" t="n">
        <x:f>MAX(0,MIN('Activities'!L643,582)-MAX('Activities'!K643,576))</x:f>
        <x:v>0</x:v>
      </x:c>
      <x:c r="CX643" s="23" t="n">
        <x:f>MAX(0,MIN('Activities'!L643,588)-MAX('Activities'!K643,582))</x:f>
        <x:v>0</x:v>
      </x:c>
      <x:c r="CY643" s="23" t="n">
        <x:f>MAX(0,MIN('Activities'!L643,594)-MAX('Activities'!K643,588))</x:f>
        <x:v>0</x:v>
      </x:c>
      <x:c r="CZ643" s="23" t="n">
        <x:f>MAX(0,MIN('Activities'!L643,600)-MAX('Activities'!K643,594))</x:f>
        <x:v>0</x:v>
      </x:c>
      <x:c r="DA643" s="23" t="n">
        <x:f>MAX(0,MIN('Activities'!L643,606)-MAX('Activities'!K643,600))</x:f>
        <x:v>0</x:v>
      </x:c>
      <x:c r="DB643" s="23" t="n">
        <x:f>MAX(0,MIN('Activities'!L643,612)-MAX('Activities'!K643,606))</x:f>
        <x:v>0</x:v>
      </x:c>
      <x:c r="DC643" s="23" t="n">
        <x:f>MAX(0,MIN('Activities'!L643,618)-MAX('Activities'!K643,612))</x:f>
        <x:v>0</x:v>
      </x:c>
      <x:c r="DD643" s="23" t="n">
        <x:f>MAX(0,MIN('Activities'!L643,624)-MAX('Activities'!K643,618))</x:f>
        <x:v>0</x:v>
      </x:c>
      <x:c r="DE643" s="23" t="n">
        <x:f>MAX(0,MIN('Activities'!L643,630)-MAX('Activities'!K643,624))</x:f>
        <x:v>0</x:v>
      </x:c>
      <x:c r="DF643" s="23" t="n">
        <x:f>MAX(0,MIN('Activities'!L643,636)-MAX('Activities'!K643,630))</x:f>
        <x:v>0</x:v>
      </x:c>
    </x:row>
    <x:row r="644" ht="23" customHeight="1">
      <x:c r="A644" s="6" t="str">
        <x:v>T5-L06-D</x:v>
      </x:c>
      <x:c r="B644" s="6" t="str">
        <x:v>T5</x:v>
      </x:c>
      <x:c r="C644" s="6" t="str">
        <x:v>Door sets and ironmongery</x:v>
      </x:c>
      <x:c r="D644" s="6" t="str">
        <x:v>Finishes</x:v>
      </x:c>
      <x:c r="E644" s="22" t="n">
        <x:f>MAX(0,MIN('Activities'!L644,6)-MAX('Activities'!K644,0))</x:f>
        <x:v>0</x:v>
      </x:c>
      <x:c r="F644" s="22" t="n">
        <x:f>MAX(0,MIN('Activities'!L644,12)-MAX('Activities'!K644,6))</x:f>
        <x:v>0</x:v>
      </x:c>
      <x:c r="G644" s="22" t="n">
        <x:f>MAX(0,MIN('Activities'!L644,18)-MAX('Activities'!K644,12))</x:f>
        <x:v>0</x:v>
      </x:c>
      <x:c r="H644" s="22" t="n">
        <x:f>MAX(0,MIN('Activities'!L644,24)-MAX('Activities'!K644,18))</x:f>
        <x:v>0</x:v>
      </x:c>
      <x:c r="I644" s="22" t="n">
        <x:f>MAX(0,MIN('Activities'!L644,30)-MAX('Activities'!K644,24))</x:f>
        <x:v>0</x:v>
      </x:c>
      <x:c r="J644" s="22" t="n">
        <x:f>MAX(0,MIN('Activities'!L644,36)-MAX('Activities'!K644,30))</x:f>
        <x:v>0</x:v>
      </x:c>
      <x:c r="K644" s="22" t="n">
        <x:f>MAX(0,MIN('Activities'!L644,42)-MAX('Activities'!K644,36))</x:f>
        <x:v>0</x:v>
      </x:c>
      <x:c r="L644" s="22" t="n">
        <x:f>MAX(0,MIN('Activities'!L644,48)-MAX('Activities'!K644,42))</x:f>
        <x:v>0</x:v>
      </x:c>
      <x:c r="M644" s="22" t="n">
        <x:f>MAX(0,MIN('Activities'!L644,54)-MAX('Activities'!K644,48))</x:f>
        <x:v>0</x:v>
      </x:c>
      <x:c r="N644" s="22" t="n">
        <x:f>MAX(0,MIN('Activities'!L644,60)-MAX('Activities'!K644,54))</x:f>
        <x:v>0</x:v>
      </x:c>
      <x:c r="O644" s="22" t="n">
        <x:f>MAX(0,MIN('Activities'!L644,66)-MAX('Activities'!K644,60))</x:f>
        <x:v>0</x:v>
      </x:c>
      <x:c r="P644" s="22" t="n">
        <x:f>MAX(0,MIN('Activities'!L644,72)-MAX('Activities'!K644,66))</x:f>
        <x:v>0</x:v>
      </x:c>
      <x:c r="Q644" s="22" t="n">
        <x:f>MAX(0,MIN('Activities'!L644,78)-MAX('Activities'!K644,72))</x:f>
        <x:v>0</x:v>
      </x:c>
      <x:c r="R644" s="22" t="n">
        <x:f>MAX(0,MIN('Activities'!L644,84)-MAX('Activities'!K644,78))</x:f>
        <x:v>0</x:v>
      </x:c>
      <x:c r="S644" s="22" t="n">
        <x:f>MAX(0,MIN('Activities'!L644,90)-MAX('Activities'!K644,84))</x:f>
        <x:v>0</x:v>
      </x:c>
      <x:c r="T644" s="22" t="n">
        <x:f>MAX(0,MIN('Activities'!L644,96)-MAX('Activities'!K644,90))</x:f>
        <x:v>0</x:v>
      </x:c>
      <x:c r="U644" s="22" t="n">
        <x:f>MAX(0,MIN('Activities'!L644,102)-MAX('Activities'!K644,96))</x:f>
        <x:v>0</x:v>
      </x:c>
      <x:c r="V644" s="22" t="n">
        <x:f>MAX(0,MIN('Activities'!L644,108)-MAX('Activities'!K644,102))</x:f>
        <x:v>0</x:v>
      </x:c>
      <x:c r="W644" s="22" t="n">
        <x:f>MAX(0,MIN('Activities'!L644,114)-MAX('Activities'!K644,108))</x:f>
        <x:v>0</x:v>
      </x:c>
      <x:c r="X644" s="22" t="n">
        <x:f>MAX(0,MIN('Activities'!L644,120)-MAX('Activities'!K644,114))</x:f>
        <x:v>0</x:v>
      </x:c>
      <x:c r="Y644" s="22" t="n">
        <x:f>MAX(0,MIN('Activities'!L644,126)-MAX('Activities'!K644,120))</x:f>
        <x:v>0</x:v>
      </x:c>
      <x:c r="Z644" s="22" t="n">
        <x:f>MAX(0,MIN('Activities'!L644,132)-MAX('Activities'!K644,126))</x:f>
        <x:v>0</x:v>
      </x:c>
      <x:c r="AA644" s="22" t="n">
        <x:f>MAX(0,MIN('Activities'!L644,138)-MAX('Activities'!K644,132))</x:f>
        <x:v>0</x:v>
      </x:c>
      <x:c r="AB644" s="22" t="n">
        <x:f>MAX(0,MIN('Activities'!L644,144)-MAX('Activities'!K644,138))</x:f>
        <x:v>0</x:v>
      </x:c>
      <x:c r="AC644" s="22" t="n">
        <x:f>MAX(0,MIN('Activities'!L644,150)-MAX('Activities'!K644,144))</x:f>
        <x:v>0</x:v>
      </x:c>
      <x:c r="AD644" s="22" t="n">
        <x:f>MAX(0,MIN('Activities'!L644,156)-MAX('Activities'!K644,150))</x:f>
        <x:v>0</x:v>
      </x:c>
      <x:c r="AE644" s="22" t="n">
        <x:f>MAX(0,MIN('Activities'!L644,162)-MAX('Activities'!K644,156))</x:f>
        <x:v>0</x:v>
      </x:c>
      <x:c r="AF644" s="22" t="n">
        <x:f>MAX(0,MIN('Activities'!L644,168)-MAX('Activities'!K644,162))</x:f>
        <x:v>0</x:v>
      </x:c>
      <x:c r="AG644" s="22" t="n">
        <x:f>MAX(0,MIN('Activities'!L644,174)-MAX('Activities'!K644,168))</x:f>
        <x:v>0</x:v>
      </x:c>
      <x:c r="AH644" s="22" t="n">
        <x:f>MAX(0,MIN('Activities'!L644,180)-MAX('Activities'!K644,174))</x:f>
        <x:v>0</x:v>
      </x:c>
      <x:c r="AI644" s="22" t="n">
        <x:f>MAX(0,MIN('Activities'!L644,186)-MAX('Activities'!K644,180))</x:f>
        <x:v>0</x:v>
      </x:c>
      <x:c r="AJ644" s="22" t="n">
        <x:f>MAX(0,MIN('Activities'!L644,192)-MAX('Activities'!K644,186))</x:f>
        <x:v>0</x:v>
      </x:c>
      <x:c r="AK644" s="22" t="n">
        <x:f>MAX(0,MIN('Activities'!L644,198)-MAX('Activities'!K644,192))</x:f>
        <x:v>0</x:v>
      </x:c>
      <x:c r="AL644" s="22" t="n">
        <x:f>MAX(0,MIN('Activities'!L644,204)-MAX('Activities'!K644,198))</x:f>
        <x:v>0</x:v>
      </x:c>
      <x:c r="AM644" s="22" t="n">
        <x:f>MAX(0,MIN('Activities'!L644,210)-MAX('Activities'!K644,204))</x:f>
        <x:v>0</x:v>
      </x:c>
      <x:c r="AN644" s="22" t="n">
        <x:f>MAX(0,MIN('Activities'!L644,216)-MAX('Activities'!K644,210))</x:f>
        <x:v>0</x:v>
      </x:c>
      <x:c r="AO644" s="22" t="n">
        <x:f>MAX(0,MIN('Activities'!L644,222)-MAX('Activities'!K644,216))</x:f>
        <x:v>0</x:v>
      </x:c>
      <x:c r="AP644" s="22" t="n">
        <x:f>MAX(0,MIN('Activities'!L644,228)-MAX('Activities'!K644,222))</x:f>
        <x:v>0</x:v>
      </x:c>
      <x:c r="AQ644" s="22" t="n">
        <x:f>MAX(0,MIN('Activities'!L644,234)-MAX('Activities'!K644,228))</x:f>
        <x:v>0</x:v>
      </x:c>
      <x:c r="AR644" s="22" t="n">
        <x:f>MAX(0,MIN('Activities'!L644,240)-MAX('Activities'!K644,234))</x:f>
        <x:v>0</x:v>
      </x:c>
      <x:c r="AS644" s="22" t="n">
        <x:f>MAX(0,MIN('Activities'!L644,246)-MAX('Activities'!K644,240))</x:f>
        <x:v>0</x:v>
      </x:c>
      <x:c r="AT644" s="22" t="n">
        <x:f>MAX(0,MIN('Activities'!L644,252)-MAX('Activities'!K644,246))</x:f>
        <x:v>0</x:v>
      </x:c>
      <x:c r="AU644" s="22" t="n">
        <x:f>MAX(0,MIN('Activities'!L644,258)-MAX('Activities'!K644,252))</x:f>
        <x:v>0</x:v>
      </x:c>
      <x:c r="AV644" s="22" t="n">
        <x:f>MAX(0,MIN('Activities'!L644,264)-MAX('Activities'!K644,258))</x:f>
        <x:v>0</x:v>
      </x:c>
      <x:c r="AW644" s="22" t="n">
        <x:f>MAX(0,MIN('Activities'!L644,270)-MAX('Activities'!K644,264))</x:f>
        <x:v>0</x:v>
      </x:c>
      <x:c r="AX644" s="22" t="n">
        <x:f>MAX(0,MIN('Activities'!L644,276)-MAX('Activities'!K644,270))</x:f>
        <x:v>0</x:v>
      </x:c>
      <x:c r="AY644" s="22" t="n">
        <x:f>MAX(0,MIN('Activities'!L644,282)-MAX('Activities'!K644,276))</x:f>
        <x:v>0</x:v>
      </x:c>
      <x:c r="AZ644" s="22" t="n">
        <x:f>MAX(0,MIN('Activities'!L644,288)-MAX('Activities'!K644,282))</x:f>
        <x:v>0</x:v>
      </x:c>
      <x:c r="BA644" s="22" t="n">
        <x:f>MAX(0,MIN('Activities'!L644,294)-MAX('Activities'!K644,288))</x:f>
        <x:v>0</x:v>
      </x:c>
      <x:c r="BB644" s="22" t="n">
        <x:f>MAX(0,MIN('Activities'!L644,300)-MAX('Activities'!K644,294))</x:f>
        <x:v>0</x:v>
      </x:c>
      <x:c r="BC644" s="22" t="n">
        <x:f>MAX(0,MIN('Activities'!L644,306)-MAX('Activities'!K644,300))</x:f>
        <x:v>0</x:v>
      </x:c>
      <x:c r="BD644" s="22" t="n">
        <x:f>MAX(0,MIN('Activities'!L644,312)-MAX('Activities'!K644,306))</x:f>
        <x:v>0</x:v>
      </x:c>
      <x:c r="BE644" s="22" t="n">
        <x:f>MAX(0,MIN('Activities'!L644,318)-MAX('Activities'!K644,312))</x:f>
        <x:v>0</x:v>
      </x:c>
      <x:c r="BF644" s="22" t="n">
        <x:f>MAX(0,MIN('Activities'!L644,324)-MAX('Activities'!K644,318))</x:f>
        <x:v>0</x:v>
      </x:c>
      <x:c r="BG644" s="22" t="n">
        <x:f>MAX(0,MIN('Activities'!L644,330)-MAX('Activities'!K644,324))</x:f>
        <x:v>0</x:v>
      </x:c>
      <x:c r="BH644" s="22" t="n">
        <x:f>MAX(0,MIN('Activities'!L644,336)-MAX('Activities'!K644,330))</x:f>
        <x:v>0</x:v>
      </x:c>
      <x:c r="BI644" s="22" t="n">
        <x:f>MAX(0,MIN('Activities'!L644,342)-MAX('Activities'!K644,336))</x:f>
        <x:v>0</x:v>
      </x:c>
      <x:c r="BJ644" s="22" t="n">
        <x:f>MAX(0,MIN('Activities'!L644,348)-MAX('Activities'!K644,342))</x:f>
        <x:v>0</x:v>
      </x:c>
      <x:c r="BK644" s="22" t="n">
        <x:f>MAX(0,MIN('Activities'!L644,354)-MAX('Activities'!K644,348))</x:f>
        <x:v>0</x:v>
      </x:c>
      <x:c r="BL644" s="22" t="n">
        <x:f>MAX(0,MIN('Activities'!L644,360)-MAX('Activities'!K644,354))</x:f>
        <x:v>0</x:v>
      </x:c>
      <x:c r="BM644" s="22" t="n">
        <x:f>MAX(0,MIN('Activities'!L644,366)-MAX('Activities'!K644,360))</x:f>
        <x:v>0</x:v>
      </x:c>
      <x:c r="BN644" s="22" t="n">
        <x:f>MAX(0,MIN('Activities'!L644,372)-MAX('Activities'!K644,366))</x:f>
        <x:v>0</x:v>
      </x:c>
      <x:c r="BO644" s="22" t="n">
        <x:f>MAX(0,MIN('Activities'!L644,378)-MAX('Activities'!K644,372))</x:f>
        <x:v>0</x:v>
      </x:c>
      <x:c r="BP644" s="22" t="n">
        <x:f>MAX(0,MIN('Activities'!L644,384)-MAX('Activities'!K644,378))</x:f>
        <x:v>0</x:v>
      </x:c>
      <x:c r="BQ644" s="22" t="n">
        <x:f>MAX(0,MIN('Activities'!L644,390)-MAX('Activities'!K644,384))</x:f>
        <x:v>0</x:v>
      </x:c>
      <x:c r="BR644" s="22" t="n">
        <x:f>MAX(0,MIN('Activities'!L644,396)-MAX('Activities'!K644,390))</x:f>
        <x:v>0</x:v>
      </x:c>
      <x:c r="BS644" s="22" t="n">
        <x:f>MAX(0,MIN('Activities'!L644,402)-MAX('Activities'!K644,396))</x:f>
        <x:v>0</x:v>
      </x:c>
      <x:c r="BT644" s="22" t="n">
        <x:f>MAX(0,MIN('Activities'!L644,408)-MAX('Activities'!K644,402))</x:f>
        <x:v>0</x:v>
      </x:c>
      <x:c r="BU644" s="22" t="n">
        <x:f>MAX(0,MIN('Activities'!L644,414)-MAX('Activities'!K644,408))</x:f>
        <x:v>0</x:v>
      </x:c>
      <x:c r="BV644" s="22" t="n">
        <x:f>MAX(0,MIN('Activities'!L644,420)-MAX('Activities'!K644,414))</x:f>
        <x:v>0</x:v>
      </x:c>
      <x:c r="BW644" s="22" t="n">
        <x:f>MAX(0,MIN('Activities'!L644,426)-MAX('Activities'!K644,420))</x:f>
        <x:v>0</x:v>
      </x:c>
      <x:c r="BX644" s="22" t="n">
        <x:f>MAX(0,MIN('Activities'!L644,432)-MAX('Activities'!K644,426))</x:f>
        <x:v>0</x:v>
      </x:c>
      <x:c r="BY644" s="22" t="n">
        <x:f>MAX(0,MIN('Activities'!L644,438)-MAX('Activities'!K644,432))</x:f>
        <x:v>0</x:v>
      </x:c>
      <x:c r="BZ644" s="22" t="n">
        <x:f>MAX(0,MIN('Activities'!L644,444)-MAX('Activities'!K644,438))</x:f>
        <x:v>0</x:v>
      </x:c>
      <x:c r="CA644" s="22" t="n">
        <x:f>MAX(0,MIN('Activities'!L644,450)-MAX('Activities'!K644,444))</x:f>
        <x:v>0</x:v>
      </x:c>
      <x:c r="CB644" s="22" t="n">
        <x:f>MAX(0,MIN('Activities'!L644,456)-MAX('Activities'!K644,450))</x:f>
        <x:v>0</x:v>
      </x:c>
      <x:c r="CC644" s="22" t="n">
        <x:f>MAX(0,MIN('Activities'!L644,462)-MAX('Activities'!K644,456))</x:f>
        <x:v>0</x:v>
      </x:c>
      <x:c r="CD644" s="22" t="n">
        <x:f>MAX(0,MIN('Activities'!L644,468)-MAX('Activities'!K644,462))</x:f>
        <x:v>3</x:v>
      </x:c>
      <x:c r="CE644" s="22" t="n">
        <x:f>MAX(0,MIN('Activities'!L644,474)-MAX('Activities'!K644,468))</x:f>
        <x:v>0</x:v>
      </x:c>
      <x:c r="CF644" s="22" t="n">
        <x:f>MAX(0,MIN('Activities'!L644,480)-MAX('Activities'!K644,474))</x:f>
        <x:v>0</x:v>
      </x:c>
      <x:c r="CG644" s="22" t="n">
        <x:f>MAX(0,MIN('Activities'!L644,486)-MAX('Activities'!K644,480))</x:f>
        <x:v>0</x:v>
      </x:c>
      <x:c r="CH644" s="22" t="n">
        <x:f>MAX(0,MIN('Activities'!L644,492)-MAX('Activities'!K644,486))</x:f>
        <x:v>0</x:v>
      </x:c>
      <x:c r="CI644" s="22" t="n">
        <x:f>MAX(0,MIN('Activities'!L644,498)-MAX('Activities'!K644,492))</x:f>
        <x:v>0</x:v>
      </x:c>
      <x:c r="CJ644" s="22" t="n">
        <x:f>MAX(0,MIN('Activities'!L644,504)-MAX('Activities'!K644,498))</x:f>
        <x:v>0</x:v>
      </x:c>
      <x:c r="CK644" s="22" t="n">
        <x:f>MAX(0,MIN('Activities'!L644,510)-MAX('Activities'!K644,504))</x:f>
        <x:v>0</x:v>
      </x:c>
      <x:c r="CL644" s="22" t="n">
        <x:f>MAX(0,MIN('Activities'!L644,516)-MAX('Activities'!K644,510))</x:f>
        <x:v>0</x:v>
      </x:c>
      <x:c r="CM644" s="22" t="n">
        <x:f>MAX(0,MIN('Activities'!L644,522)-MAX('Activities'!K644,516))</x:f>
        <x:v>0</x:v>
      </x:c>
      <x:c r="CN644" s="22" t="n">
        <x:f>MAX(0,MIN('Activities'!L644,528)-MAX('Activities'!K644,522))</x:f>
        <x:v>0</x:v>
      </x:c>
      <x:c r="CO644" s="22" t="n">
        <x:f>MAX(0,MIN('Activities'!L644,534)-MAX('Activities'!K644,528))</x:f>
        <x:v>0</x:v>
      </x:c>
      <x:c r="CP644" s="22" t="n">
        <x:f>MAX(0,MIN('Activities'!L644,540)-MAX('Activities'!K644,534))</x:f>
        <x:v>0</x:v>
      </x:c>
      <x:c r="CQ644" s="22" t="n">
        <x:f>MAX(0,MIN('Activities'!L644,546)-MAX('Activities'!K644,540))</x:f>
        <x:v>0</x:v>
      </x:c>
      <x:c r="CR644" s="22" t="n">
        <x:f>MAX(0,MIN('Activities'!L644,552)-MAX('Activities'!K644,546))</x:f>
        <x:v>0</x:v>
      </x:c>
      <x:c r="CS644" s="22" t="n">
        <x:f>MAX(0,MIN('Activities'!L644,558)-MAX('Activities'!K644,552))</x:f>
        <x:v>0</x:v>
      </x:c>
      <x:c r="CT644" s="22" t="n">
        <x:f>MAX(0,MIN('Activities'!L644,564)-MAX('Activities'!K644,558))</x:f>
        <x:v>0</x:v>
      </x:c>
      <x:c r="CU644" s="22" t="n">
        <x:f>MAX(0,MIN('Activities'!L644,570)-MAX('Activities'!K644,564))</x:f>
        <x:v>0</x:v>
      </x:c>
      <x:c r="CV644" s="22" t="n">
        <x:f>MAX(0,MIN('Activities'!L644,576)-MAX('Activities'!K644,570))</x:f>
        <x:v>0</x:v>
      </x:c>
      <x:c r="CW644" s="22" t="n">
        <x:f>MAX(0,MIN('Activities'!L644,582)-MAX('Activities'!K644,576))</x:f>
        <x:v>0</x:v>
      </x:c>
      <x:c r="CX644" s="22" t="n">
        <x:f>MAX(0,MIN('Activities'!L644,588)-MAX('Activities'!K644,582))</x:f>
        <x:v>0</x:v>
      </x:c>
      <x:c r="CY644" s="22" t="n">
        <x:f>MAX(0,MIN('Activities'!L644,594)-MAX('Activities'!K644,588))</x:f>
        <x:v>0</x:v>
      </x:c>
      <x:c r="CZ644" s="22" t="n">
        <x:f>MAX(0,MIN('Activities'!L644,600)-MAX('Activities'!K644,594))</x:f>
        <x:v>0</x:v>
      </x:c>
      <x:c r="DA644" s="22" t="n">
        <x:f>MAX(0,MIN('Activities'!L644,606)-MAX('Activities'!K644,600))</x:f>
        <x:v>0</x:v>
      </x:c>
      <x:c r="DB644" s="22" t="n">
        <x:f>MAX(0,MIN('Activities'!L644,612)-MAX('Activities'!K644,606))</x:f>
        <x:v>0</x:v>
      </x:c>
      <x:c r="DC644" s="22" t="n">
        <x:f>MAX(0,MIN('Activities'!L644,618)-MAX('Activities'!K644,612))</x:f>
        <x:v>0</x:v>
      </x:c>
      <x:c r="DD644" s="22" t="n">
        <x:f>MAX(0,MIN('Activities'!L644,624)-MAX('Activities'!K644,618))</x:f>
        <x:v>0</x:v>
      </x:c>
      <x:c r="DE644" s="22" t="n">
        <x:f>MAX(0,MIN('Activities'!L644,630)-MAX('Activities'!K644,624))</x:f>
        <x:v>0</x:v>
      </x:c>
      <x:c r="DF644" s="22" t="n">
        <x:f>MAX(0,MIN('Activities'!L644,636)-MAX('Activities'!K644,630))</x:f>
        <x:v>0</x:v>
      </x:c>
    </x:row>
    <x:row r="645" ht="23" customHeight="1">
      <x:c r="A645" s="1" t="str">
        <x:v>T5-L07-M</x:v>
      </x:c>
      <x:c r="B645" s="1" t="str">
        <x:v>T5</x:v>
      </x:c>
      <x:c r="C645" s="1" t="str">
        <x:v>Partition masonry</x:v>
      </x:c>
      <x:c r="D645" s="1" t="str">
        <x:v>Masonry</x:v>
      </x:c>
      <x:c r="E645" s="23" t="n">
        <x:f>MAX(0,MIN('Activities'!L645,6)-MAX('Activities'!K645,0))</x:f>
        <x:v>0</x:v>
      </x:c>
      <x:c r="F645" s="23" t="n">
        <x:f>MAX(0,MIN('Activities'!L645,12)-MAX('Activities'!K645,6))</x:f>
        <x:v>0</x:v>
      </x:c>
      <x:c r="G645" s="23" t="n">
        <x:f>MAX(0,MIN('Activities'!L645,18)-MAX('Activities'!K645,12))</x:f>
        <x:v>0</x:v>
      </x:c>
      <x:c r="H645" s="23" t="n">
        <x:f>MAX(0,MIN('Activities'!L645,24)-MAX('Activities'!K645,18))</x:f>
        <x:v>0</x:v>
      </x:c>
      <x:c r="I645" s="23" t="n">
        <x:f>MAX(0,MIN('Activities'!L645,30)-MAX('Activities'!K645,24))</x:f>
        <x:v>0</x:v>
      </x:c>
      <x:c r="J645" s="23" t="n">
        <x:f>MAX(0,MIN('Activities'!L645,36)-MAX('Activities'!K645,30))</x:f>
        <x:v>0</x:v>
      </x:c>
      <x:c r="K645" s="23" t="n">
        <x:f>MAX(0,MIN('Activities'!L645,42)-MAX('Activities'!K645,36))</x:f>
        <x:v>0</x:v>
      </x:c>
      <x:c r="L645" s="23" t="n">
        <x:f>MAX(0,MIN('Activities'!L645,48)-MAX('Activities'!K645,42))</x:f>
        <x:v>0</x:v>
      </x:c>
      <x:c r="M645" s="23" t="n">
        <x:f>MAX(0,MIN('Activities'!L645,54)-MAX('Activities'!K645,48))</x:f>
        <x:v>0</x:v>
      </x:c>
      <x:c r="N645" s="23" t="n">
        <x:f>MAX(0,MIN('Activities'!L645,60)-MAX('Activities'!K645,54))</x:f>
        <x:v>0</x:v>
      </x:c>
      <x:c r="O645" s="23" t="n">
        <x:f>MAX(0,MIN('Activities'!L645,66)-MAX('Activities'!K645,60))</x:f>
        <x:v>0</x:v>
      </x:c>
      <x:c r="P645" s="23" t="n">
        <x:f>MAX(0,MIN('Activities'!L645,72)-MAX('Activities'!K645,66))</x:f>
        <x:v>0</x:v>
      </x:c>
      <x:c r="Q645" s="23" t="n">
        <x:f>MAX(0,MIN('Activities'!L645,78)-MAX('Activities'!K645,72))</x:f>
        <x:v>0</x:v>
      </x:c>
      <x:c r="R645" s="23" t="n">
        <x:f>MAX(0,MIN('Activities'!L645,84)-MAX('Activities'!K645,78))</x:f>
        <x:v>0</x:v>
      </x:c>
      <x:c r="S645" s="23" t="n">
        <x:f>MAX(0,MIN('Activities'!L645,90)-MAX('Activities'!K645,84))</x:f>
        <x:v>0</x:v>
      </x:c>
      <x:c r="T645" s="23" t="n">
        <x:f>MAX(0,MIN('Activities'!L645,96)-MAX('Activities'!K645,90))</x:f>
        <x:v>0</x:v>
      </x:c>
      <x:c r="U645" s="23" t="n">
        <x:f>MAX(0,MIN('Activities'!L645,102)-MAX('Activities'!K645,96))</x:f>
        <x:v>0</x:v>
      </x:c>
      <x:c r="V645" s="23" t="n">
        <x:f>MAX(0,MIN('Activities'!L645,108)-MAX('Activities'!K645,102))</x:f>
        <x:v>0</x:v>
      </x:c>
      <x:c r="W645" s="23" t="n">
        <x:f>MAX(0,MIN('Activities'!L645,114)-MAX('Activities'!K645,108))</x:f>
        <x:v>0</x:v>
      </x:c>
      <x:c r="X645" s="23" t="n">
        <x:f>MAX(0,MIN('Activities'!L645,120)-MAX('Activities'!K645,114))</x:f>
        <x:v>0</x:v>
      </x:c>
      <x:c r="Y645" s="23" t="n">
        <x:f>MAX(0,MIN('Activities'!L645,126)-MAX('Activities'!K645,120))</x:f>
        <x:v>0</x:v>
      </x:c>
      <x:c r="Z645" s="23" t="n">
        <x:f>MAX(0,MIN('Activities'!L645,132)-MAX('Activities'!K645,126))</x:f>
        <x:v>0</x:v>
      </x:c>
      <x:c r="AA645" s="23" t="n">
        <x:f>MAX(0,MIN('Activities'!L645,138)-MAX('Activities'!K645,132))</x:f>
        <x:v>0</x:v>
      </x:c>
      <x:c r="AB645" s="23" t="n">
        <x:f>MAX(0,MIN('Activities'!L645,144)-MAX('Activities'!K645,138))</x:f>
        <x:v>0</x:v>
      </x:c>
      <x:c r="AC645" s="23" t="n">
        <x:f>MAX(0,MIN('Activities'!L645,150)-MAX('Activities'!K645,144))</x:f>
        <x:v>0</x:v>
      </x:c>
      <x:c r="AD645" s="23" t="n">
        <x:f>MAX(0,MIN('Activities'!L645,156)-MAX('Activities'!K645,150))</x:f>
        <x:v>0</x:v>
      </x:c>
      <x:c r="AE645" s="23" t="n">
        <x:f>MAX(0,MIN('Activities'!L645,162)-MAX('Activities'!K645,156))</x:f>
        <x:v>0</x:v>
      </x:c>
      <x:c r="AF645" s="23" t="n">
        <x:f>MAX(0,MIN('Activities'!L645,168)-MAX('Activities'!K645,162))</x:f>
        <x:v>0</x:v>
      </x:c>
      <x:c r="AG645" s="23" t="n">
        <x:f>MAX(0,MIN('Activities'!L645,174)-MAX('Activities'!K645,168))</x:f>
        <x:v>0</x:v>
      </x:c>
      <x:c r="AH645" s="23" t="n">
        <x:f>MAX(0,MIN('Activities'!L645,180)-MAX('Activities'!K645,174))</x:f>
        <x:v>0</x:v>
      </x:c>
      <x:c r="AI645" s="23" t="n">
        <x:f>MAX(0,MIN('Activities'!L645,186)-MAX('Activities'!K645,180))</x:f>
        <x:v>0</x:v>
      </x:c>
      <x:c r="AJ645" s="23" t="n">
        <x:f>MAX(0,MIN('Activities'!L645,192)-MAX('Activities'!K645,186))</x:f>
        <x:v>0</x:v>
      </x:c>
      <x:c r="AK645" s="23" t="n">
        <x:f>MAX(0,MIN('Activities'!L645,198)-MAX('Activities'!K645,192))</x:f>
        <x:v>0</x:v>
      </x:c>
      <x:c r="AL645" s="23" t="n">
        <x:f>MAX(0,MIN('Activities'!L645,204)-MAX('Activities'!K645,198))</x:f>
        <x:v>0</x:v>
      </x:c>
      <x:c r="AM645" s="23" t="n">
        <x:f>MAX(0,MIN('Activities'!L645,210)-MAX('Activities'!K645,204))</x:f>
        <x:v>0</x:v>
      </x:c>
      <x:c r="AN645" s="23" t="n">
        <x:f>MAX(0,MIN('Activities'!L645,216)-MAX('Activities'!K645,210))</x:f>
        <x:v>0</x:v>
      </x:c>
      <x:c r="AO645" s="23" t="n">
        <x:f>MAX(0,MIN('Activities'!L645,222)-MAX('Activities'!K645,216))</x:f>
        <x:v>0</x:v>
      </x:c>
      <x:c r="AP645" s="23" t="n">
        <x:f>MAX(0,MIN('Activities'!L645,228)-MAX('Activities'!K645,222))</x:f>
        <x:v>0</x:v>
      </x:c>
      <x:c r="AQ645" s="23" t="n">
        <x:f>MAX(0,MIN('Activities'!L645,234)-MAX('Activities'!K645,228))</x:f>
        <x:v>0</x:v>
      </x:c>
      <x:c r="AR645" s="23" t="n">
        <x:f>MAX(0,MIN('Activities'!L645,240)-MAX('Activities'!K645,234))</x:f>
        <x:v>0</x:v>
      </x:c>
      <x:c r="AS645" s="23" t="n">
        <x:f>MAX(0,MIN('Activities'!L645,246)-MAX('Activities'!K645,240))</x:f>
        <x:v>0</x:v>
      </x:c>
      <x:c r="AT645" s="23" t="n">
        <x:f>MAX(0,MIN('Activities'!L645,252)-MAX('Activities'!K645,246))</x:f>
        <x:v>0</x:v>
      </x:c>
      <x:c r="AU645" s="23" t="n">
        <x:f>MAX(0,MIN('Activities'!L645,258)-MAX('Activities'!K645,252))</x:f>
        <x:v>0</x:v>
      </x:c>
      <x:c r="AV645" s="23" t="n">
        <x:f>MAX(0,MIN('Activities'!L645,264)-MAX('Activities'!K645,258))</x:f>
        <x:v>0</x:v>
      </x:c>
      <x:c r="AW645" s="23" t="n">
        <x:f>MAX(0,MIN('Activities'!L645,270)-MAX('Activities'!K645,264))</x:f>
        <x:v>0</x:v>
      </x:c>
      <x:c r="AX645" s="23" t="n">
        <x:f>MAX(0,MIN('Activities'!L645,276)-MAX('Activities'!K645,270))</x:f>
        <x:v>0</x:v>
      </x:c>
      <x:c r="AY645" s="23" t="n">
        <x:f>MAX(0,MIN('Activities'!L645,282)-MAX('Activities'!K645,276))</x:f>
        <x:v>0</x:v>
      </x:c>
      <x:c r="AZ645" s="23" t="n">
        <x:f>MAX(0,MIN('Activities'!L645,288)-MAX('Activities'!K645,282))</x:f>
        <x:v>0</x:v>
      </x:c>
      <x:c r="BA645" s="23" t="n">
        <x:f>MAX(0,MIN('Activities'!L645,294)-MAX('Activities'!K645,288))</x:f>
        <x:v>0</x:v>
      </x:c>
      <x:c r="BB645" s="23" t="n">
        <x:f>MAX(0,MIN('Activities'!L645,300)-MAX('Activities'!K645,294))</x:f>
        <x:v>0</x:v>
      </x:c>
      <x:c r="BC645" s="23" t="n">
        <x:f>MAX(0,MIN('Activities'!L645,306)-MAX('Activities'!K645,300))</x:f>
        <x:v>0</x:v>
      </x:c>
      <x:c r="BD645" s="23" t="n">
        <x:f>MAX(0,MIN('Activities'!L645,312)-MAX('Activities'!K645,306))</x:f>
        <x:v>0</x:v>
      </x:c>
      <x:c r="BE645" s="23" t="n">
        <x:f>MAX(0,MIN('Activities'!L645,318)-MAX('Activities'!K645,312))</x:f>
        <x:v>0</x:v>
      </x:c>
      <x:c r="BF645" s="23" t="n">
        <x:f>MAX(0,MIN('Activities'!L645,324)-MAX('Activities'!K645,318))</x:f>
        <x:v>0</x:v>
      </x:c>
      <x:c r="BG645" s="23" t="n">
        <x:f>MAX(0,MIN('Activities'!L645,330)-MAX('Activities'!K645,324))</x:f>
        <x:v>0</x:v>
      </x:c>
      <x:c r="BH645" s="23" t="n">
        <x:f>MAX(0,MIN('Activities'!L645,336)-MAX('Activities'!K645,330))</x:f>
        <x:v>0</x:v>
      </x:c>
      <x:c r="BI645" s="23" t="n">
        <x:f>MAX(0,MIN('Activities'!L645,342)-MAX('Activities'!K645,336))</x:f>
        <x:v>0</x:v>
      </x:c>
      <x:c r="BJ645" s="23" t="n">
        <x:f>MAX(0,MIN('Activities'!L645,348)-MAX('Activities'!K645,342))</x:f>
        <x:v>0</x:v>
      </x:c>
      <x:c r="BK645" s="23" t="n">
        <x:f>MAX(0,MIN('Activities'!L645,354)-MAX('Activities'!K645,348))</x:f>
        <x:v>0</x:v>
      </x:c>
      <x:c r="BL645" s="23" t="n">
        <x:f>MAX(0,MIN('Activities'!L645,360)-MAX('Activities'!K645,354))</x:f>
        <x:v>0</x:v>
      </x:c>
      <x:c r="BM645" s="23" t="n">
        <x:f>MAX(0,MIN('Activities'!L645,366)-MAX('Activities'!K645,360))</x:f>
        <x:v>0</x:v>
      </x:c>
      <x:c r="BN645" s="23" t="n">
        <x:f>MAX(0,MIN('Activities'!L645,372)-MAX('Activities'!K645,366))</x:f>
        <x:v>0</x:v>
      </x:c>
      <x:c r="BO645" s="23" t="n">
        <x:f>MAX(0,MIN('Activities'!L645,378)-MAX('Activities'!K645,372))</x:f>
        <x:v>0</x:v>
      </x:c>
      <x:c r="BP645" s="23" t="n">
        <x:f>MAX(0,MIN('Activities'!L645,384)-MAX('Activities'!K645,378))</x:f>
        <x:v>0</x:v>
      </x:c>
      <x:c r="BQ645" s="23" t="n">
        <x:f>MAX(0,MIN('Activities'!L645,390)-MAX('Activities'!K645,384))</x:f>
        <x:v>5</x:v>
      </x:c>
      <x:c r="BR645" s="23" t="n">
        <x:f>MAX(0,MIN('Activities'!L645,396)-MAX('Activities'!K645,390))</x:f>
        <x:v>0</x:v>
      </x:c>
      <x:c r="BS645" s="23" t="n">
        <x:f>MAX(0,MIN('Activities'!L645,402)-MAX('Activities'!K645,396))</x:f>
        <x:v>0</x:v>
      </x:c>
      <x:c r="BT645" s="23" t="n">
        <x:f>MAX(0,MIN('Activities'!L645,408)-MAX('Activities'!K645,402))</x:f>
        <x:v>0</x:v>
      </x:c>
      <x:c r="BU645" s="23" t="n">
        <x:f>MAX(0,MIN('Activities'!L645,414)-MAX('Activities'!K645,408))</x:f>
        <x:v>0</x:v>
      </x:c>
      <x:c r="BV645" s="23" t="n">
        <x:f>MAX(0,MIN('Activities'!L645,420)-MAX('Activities'!K645,414))</x:f>
        <x:v>0</x:v>
      </x:c>
      <x:c r="BW645" s="23" t="n">
        <x:f>MAX(0,MIN('Activities'!L645,426)-MAX('Activities'!K645,420))</x:f>
        <x:v>0</x:v>
      </x:c>
      <x:c r="BX645" s="23" t="n">
        <x:f>MAX(0,MIN('Activities'!L645,432)-MAX('Activities'!K645,426))</x:f>
        <x:v>0</x:v>
      </x:c>
      <x:c r="BY645" s="23" t="n">
        <x:f>MAX(0,MIN('Activities'!L645,438)-MAX('Activities'!K645,432))</x:f>
        <x:v>0</x:v>
      </x:c>
      <x:c r="BZ645" s="23" t="n">
        <x:f>MAX(0,MIN('Activities'!L645,444)-MAX('Activities'!K645,438))</x:f>
        <x:v>0</x:v>
      </x:c>
      <x:c r="CA645" s="23" t="n">
        <x:f>MAX(0,MIN('Activities'!L645,450)-MAX('Activities'!K645,444))</x:f>
        <x:v>0</x:v>
      </x:c>
      <x:c r="CB645" s="23" t="n">
        <x:f>MAX(0,MIN('Activities'!L645,456)-MAX('Activities'!K645,450))</x:f>
        <x:v>0</x:v>
      </x:c>
      <x:c r="CC645" s="23" t="n">
        <x:f>MAX(0,MIN('Activities'!L645,462)-MAX('Activities'!K645,456))</x:f>
        <x:v>0</x:v>
      </x:c>
      <x:c r="CD645" s="23" t="n">
        <x:f>MAX(0,MIN('Activities'!L645,468)-MAX('Activities'!K645,462))</x:f>
        <x:v>0</x:v>
      </x:c>
      <x:c r="CE645" s="23" t="n">
        <x:f>MAX(0,MIN('Activities'!L645,474)-MAX('Activities'!K645,468))</x:f>
        <x:v>0</x:v>
      </x:c>
      <x:c r="CF645" s="23" t="n">
        <x:f>MAX(0,MIN('Activities'!L645,480)-MAX('Activities'!K645,474))</x:f>
        <x:v>0</x:v>
      </x:c>
      <x:c r="CG645" s="23" t="n">
        <x:f>MAX(0,MIN('Activities'!L645,486)-MAX('Activities'!K645,480))</x:f>
        <x:v>0</x:v>
      </x:c>
      <x:c r="CH645" s="23" t="n">
        <x:f>MAX(0,MIN('Activities'!L645,492)-MAX('Activities'!K645,486))</x:f>
        <x:v>0</x:v>
      </x:c>
      <x:c r="CI645" s="23" t="n">
        <x:f>MAX(0,MIN('Activities'!L645,498)-MAX('Activities'!K645,492))</x:f>
        <x:v>0</x:v>
      </x:c>
      <x:c r="CJ645" s="23" t="n">
        <x:f>MAX(0,MIN('Activities'!L645,504)-MAX('Activities'!K645,498))</x:f>
        <x:v>0</x:v>
      </x:c>
      <x:c r="CK645" s="23" t="n">
        <x:f>MAX(0,MIN('Activities'!L645,510)-MAX('Activities'!K645,504))</x:f>
        <x:v>0</x:v>
      </x:c>
      <x:c r="CL645" s="23" t="n">
        <x:f>MAX(0,MIN('Activities'!L645,516)-MAX('Activities'!K645,510))</x:f>
        <x:v>0</x:v>
      </x:c>
      <x:c r="CM645" s="23" t="n">
        <x:f>MAX(0,MIN('Activities'!L645,522)-MAX('Activities'!K645,516))</x:f>
        <x:v>0</x:v>
      </x:c>
      <x:c r="CN645" s="23" t="n">
        <x:f>MAX(0,MIN('Activities'!L645,528)-MAX('Activities'!K645,522))</x:f>
        <x:v>0</x:v>
      </x:c>
      <x:c r="CO645" s="23" t="n">
        <x:f>MAX(0,MIN('Activities'!L645,534)-MAX('Activities'!K645,528))</x:f>
        <x:v>0</x:v>
      </x:c>
      <x:c r="CP645" s="23" t="n">
        <x:f>MAX(0,MIN('Activities'!L645,540)-MAX('Activities'!K645,534))</x:f>
        <x:v>0</x:v>
      </x:c>
      <x:c r="CQ645" s="23" t="n">
        <x:f>MAX(0,MIN('Activities'!L645,546)-MAX('Activities'!K645,540))</x:f>
        <x:v>0</x:v>
      </x:c>
      <x:c r="CR645" s="23" t="n">
        <x:f>MAX(0,MIN('Activities'!L645,552)-MAX('Activities'!K645,546))</x:f>
        <x:v>0</x:v>
      </x:c>
      <x:c r="CS645" s="23" t="n">
        <x:f>MAX(0,MIN('Activities'!L645,558)-MAX('Activities'!K645,552))</x:f>
        <x:v>0</x:v>
      </x:c>
      <x:c r="CT645" s="23" t="n">
        <x:f>MAX(0,MIN('Activities'!L645,564)-MAX('Activities'!K645,558))</x:f>
        <x:v>0</x:v>
      </x:c>
      <x:c r="CU645" s="23" t="n">
        <x:f>MAX(0,MIN('Activities'!L645,570)-MAX('Activities'!K645,564))</x:f>
        <x:v>0</x:v>
      </x:c>
      <x:c r="CV645" s="23" t="n">
        <x:f>MAX(0,MIN('Activities'!L645,576)-MAX('Activities'!K645,570))</x:f>
        <x:v>0</x:v>
      </x:c>
      <x:c r="CW645" s="23" t="n">
        <x:f>MAX(0,MIN('Activities'!L645,582)-MAX('Activities'!K645,576))</x:f>
        <x:v>0</x:v>
      </x:c>
      <x:c r="CX645" s="23" t="n">
        <x:f>MAX(0,MIN('Activities'!L645,588)-MAX('Activities'!K645,582))</x:f>
        <x:v>0</x:v>
      </x:c>
      <x:c r="CY645" s="23" t="n">
        <x:f>MAX(0,MIN('Activities'!L645,594)-MAX('Activities'!K645,588))</x:f>
        <x:v>0</x:v>
      </x:c>
      <x:c r="CZ645" s="23" t="n">
        <x:f>MAX(0,MIN('Activities'!L645,600)-MAX('Activities'!K645,594))</x:f>
        <x:v>0</x:v>
      </x:c>
      <x:c r="DA645" s="23" t="n">
        <x:f>MAX(0,MIN('Activities'!L645,606)-MAX('Activities'!K645,600))</x:f>
        <x:v>0</x:v>
      </x:c>
      <x:c r="DB645" s="23" t="n">
        <x:f>MAX(0,MIN('Activities'!L645,612)-MAX('Activities'!K645,606))</x:f>
        <x:v>0</x:v>
      </x:c>
      <x:c r="DC645" s="23" t="n">
        <x:f>MAX(0,MIN('Activities'!L645,618)-MAX('Activities'!K645,612))</x:f>
        <x:v>0</x:v>
      </x:c>
      <x:c r="DD645" s="23" t="n">
        <x:f>MAX(0,MIN('Activities'!L645,624)-MAX('Activities'!K645,618))</x:f>
        <x:v>0</x:v>
      </x:c>
      <x:c r="DE645" s="23" t="n">
        <x:f>MAX(0,MIN('Activities'!L645,630)-MAX('Activities'!K645,624))</x:f>
        <x:v>0</x:v>
      </x:c>
      <x:c r="DF645" s="23" t="n">
        <x:f>MAX(0,MIN('Activities'!L645,636)-MAX('Activities'!K645,630))</x:f>
        <x:v>0</x:v>
      </x:c>
    </x:row>
    <x:row r="646" ht="23" customHeight="1">
      <x:c r="A646" s="6" t="str">
        <x:v>T5-L07-P</x:v>
      </x:c>
      <x:c r="B646" s="6" t="str">
        <x:v>T5</x:v>
      </x:c>
      <x:c r="C646" s="6" t="str">
        <x:v>Internal plaster</x:v>
      </x:c>
      <x:c r="D646" s="6" t="str">
        <x:v>Finishes</x:v>
      </x:c>
      <x:c r="E646" s="22" t="n">
        <x:f>MAX(0,MIN('Activities'!L646,6)-MAX('Activities'!K646,0))</x:f>
        <x:v>0</x:v>
      </x:c>
      <x:c r="F646" s="22" t="n">
        <x:f>MAX(0,MIN('Activities'!L646,12)-MAX('Activities'!K646,6))</x:f>
        <x:v>0</x:v>
      </x:c>
      <x:c r="G646" s="22" t="n">
        <x:f>MAX(0,MIN('Activities'!L646,18)-MAX('Activities'!K646,12))</x:f>
        <x:v>0</x:v>
      </x:c>
      <x:c r="H646" s="22" t="n">
        <x:f>MAX(0,MIN('Activities'!L646,24)-MAX('Activities'!K646,18))</x:f>
        <x:v>0</x:v>
      </x:c>
      <x:c r="I646" s="22" t="n">
        <x:f>MAX(0,MIN('Activities'!L646,30)-MAX('Activities'!K646,24))</x:f>
        <x:v>0</x:v>
      </x:c>
      <x:c r="J646" s="22" t="n">
        <x:f>MAX(0,MIN('Activities'!L646,36)-MAX('Activities'!K646,30))</x:f>
        <x:v>0</x:v>
      </x:c>
      <x:c r="K646" s="22" t="n">
        <x:f>MAX(0,MIN('Activities'!L646,42)-MAX('Activities'!K646,36))</x:f>
        <x:v>0</x:v>
      </x:c>
      <x:c r="L646" s="22" t="n">
        <x:f>MAX(0,MIN('Activities'!L646,48)-MAX('Activities'!K646,42))</x:f>
        <x:v>0</x:v>
      </x:c>
      <x:c r="M646" s="22" t="n">
        <x:f>MAX(0,MIN('Activities'!L646,54)-MAX('Activities'!K646,48))</x:f>
        <x:v>0</x:v>
      </x:c>
      <x:c r="N646" s="22" t="n">
        <x:f>MAX(0,MIN('Activities'!L646,60)-MAX('Activities'!K646,54))</x:f>
        <x:v>0</x:v>
      </x:c>
      <x:c r="O646" s="22" t="n">
        <x:f>MAX(0,MIN('Activities'!L646,66)-MAX('Activities'!K646,60))</x:f>
        <x:v>0</x:v>
      </x:c>
      <x:c r="P646" s="22" t="n">
        <x:f>MAX(0,MIN('Activities'!L646,72)-MAX('Activities'!K646,66))</x:f>
        <x:v>0</x:v>
      </x:c>
      <x:c r="Q646" s="22" t="n">
        <x:f>MAX(0,MIN('Activities'!L646,78)-MAX('Activities'!K646,72))</x:f>
        <x:v>0</x:v>
      </x:c>
      <x:c r="R646" s="22" t="n">
        <x:f>MAX(0,MIN('Activities'!L646,84)-MAX('Activities'!K646,78))</x:f>
        <x:v>0</x:v>
      </x:c>
      <x:c r="S646" s="22" t="n">
        <x:f>MAX(0,MIN('Activities'!L646,90)-MAX('Activities'!K646,84))</x:f>
        <x:v>0</x:v>
      </x:c>
      <x:c r="T646" s="22" t="n">
        <x:f>MAX(0,MIN('Activities'!L646,96)-MAX('Activities'!K646,90))</x:f>
        <x:v>0</x:v>
      </x:c>
      <x:c r="U646" s="22" t="n">
        <x:f>MAX(0,MIN('Activities'!L646,102)-MAX('Activities'!K646,96))</x:f>
        <x:v>0</x:v>
      </x:c>
      <x:c r="V646" s="22" t="n">
        <x:f>MAX(0,MIN('Activities'!L646,108)-MAX('Activities'!K646,102))</x:f>
        <x:v>0</x:v>
      </x:c>
      <x:c r="W646" s="22" t="n">
        <x:f>MAX(0,MIN('Activities'!L646,114)-MAX('Activities'!K646,108))</x:f>
        <x:v>0</x:v>
      </x:c>
      <x:c r="X646" s="22" t="n">
        <x:f>MAX(0,MIN('Activities'!L646,120)-MAX('Activities'!K646,114))</x:f>
        <x:v>0</x:v>
      </x:c>
      <x:c r="Y646" s="22" t="n">
        <x:f>MAX(0,MIN('Activities'!L646,126)-MAX('Activities'!K646,120))</x:f>
        <x:v>0</x:v>
      </x:c>
      <x:c r="Z646" s="22" t="n">
        <x:f>MAX(0,MIN('Activities'!L646,132)-MAX('Activities'!K646,126))</x:f>
        <x:v>0</x:v>
      </x:c>
      <x:c r="AA646" s="22" t="n">
        <x:f>MAX(0,MIN('Activities'!L646,138)-MAX('Activities'!K646,132))</x:f>
        <x:v>0</x:v>
      </x:c>
      <x:c r="AB646" s="22" t="n">
        <x:f>MAX(0,MIN('Activities'!L646,144)-MAX('Activities'!K646,138))</x:f>
        <x:v>0</x:v>
      </x:c>
      <x:c r="AC646" s="22" t="n">
        <x:f>MAX(0,MIN('Activities'!L646,150)-MAX('Activities'!K646,144))</x:f>
        <x:v>0</x:v>
      </x:c>
      <x:c r="AD646" s="22" t="n">
        <x:f>MAX(0,MIN('Activities'!L646,156)-MAX('Activities'!K646,150))</x:f>
        <x:v>0</x:v>
      </x:c>
      <x:c r="AE646" s="22" t="n">
        <x:f>MAX(0,MIN('Activities'!L646,162)-MAX('Activities'!K646,156))</x:f>
        <x:v>0</x:v>
      </x:c>
      <x:c r="AF646" s="22" t="n">
        <x:f>MAX(0,MIN('Activities'!L646,168)-MAX('Activities'!K646,162))</x:f>
        <x:v>0</x:v>
      </x:c>
      <x:c r="AG646" s="22" t="n">
        <x:f>MAX(0,MIN('Activities'!L646,174)-MAX('Activities'!K646,168))</x:f>
        <x:v>0</x:v>
      </x:c>
      <x:c r="AH646" s="22" t="n">
        <x:f>MAX(0,MIN('Activities'!L646,180)-MAX('Activities'!K646,174))</x:f>
        <x:v>0</x:v>
      </x:c>
      <x:c r="AI646" s="22" t="n">
        <x:f>MAX(0,MIN('Activities'!L646,186)-MAX('Activities'!K646,180))</x:f>
        <x:v>0</x:v>
      </x:c>
      <x:c r="AJ646" s="22" t="n">
        <x:f>MAX(0,MIN('Activities'!L646,192)-MAX('Activities'!K646,186))</x:f>
        <x:v>0</x:v>
      </x:c>
      <x:c r="AK646" s="22" t="n">
        <x:f>MAX(0,MIN('Activities'!L646,198)-MAX('Activities'!K646,192))</x:f>
        <x:v>0</x:v>
      </x:c>
      <x:c r="AL646" s="22" t="n">
        <x:f>MAX(0,MIN('Activities'!L646,204)-MAX('Activities'!K646,198))</x:f>
        <x:v>0</x:v>
      </x:c>
      <x:c r="AM646" s="22" t="n">
        <x:f>MAX(0,MIN('Activities'!L646,210)-MAX('Activities'!K646,204))</x:f>
        <x:v>0</x:v>
      </x:c>
      <x:c r="AN646" s="22" t="n">
        <x:f>MAX(0,MIN('Activities'!L646,216)-MAX('Activities'!K646,210))</x:f>
        <x:v>0</x:v>
      </x:c>
      <x:c r="AO646" s="22" t="n">
        <x:f>MAX(0,MIN('Activities'!L646,222)-MAX('Activities'!K646,216))</x:f>
        <x:v>0</x:v>
      </x:c>
      <x:c r="AP646" s="22" t="n">
        <x:f>MAX(0,MIN('Activities'!L646,228)-MAX('Activities'!K646,222))</x:f>
        <x:v>0</x:v>
      </x:c>
      <x:c r="AQ646" s="22" t="n">
        <x:f>MAX(0,MIN('Activities'!L646,234)-MAX('Activities'!K646,228))</x:f>
        <x:v>0</x:v>
      </x:c>
      <x:c r="AR646" s="22" t="n">
        <x:f>MAX(0,MIN('Activities'!L646,240)-MAX('Activities'!K646,234))</x:f>
        <x:v>0</x:v>
      </x:c>
      <x:c r="AS646" s="22" t="n">
        <x:f>MAX(0,MIN('Activities'!L646,246)-MAX('Activities'!K646,240))</x:f>
        <x:v>0</x:v>
      </x:c>
      <x:c r="AT646" s="22" t="n">
        <x:f>MAX(0,MIN('Activities'!L646,252)-MAX('Activities'!K646,246))</x:f>
        <x:v>0</x:v>
      </x:c>
      <x:c r="AU646" s="22" t="n">
        <x:f>MAX(0,MIN('Activities'!L646,258)-MAX('Activities'!K646,252))</x:f>
        <x:v>0</x:v>
      </x:c>
      <x:c r="AV646" s="22" t="n">
        <x:f>MAX(0,MIN('Activities'!L646,264)-MAX('Activities'!K646,258))</x:f>
        <x:v>0</x:v>
      </x:c>
      <x:c r="AW646" s="22" t="n">
        <x:f>MAX(0,MIN('Activities'!L646,270)-MAX('Activities'!K646,264))</x:f>
        <x:v>0</x:v>
      </x:c>
      <x:c r="AX646" s="22" t="n">
        <x:f>MAX(0,MIN('Activities'!L646,276)-MAX('Activities'!K646,270))</x:f>
        <x:v>0</x:v>
      </x:c>
      <x:c r="AY646" s="22" t="n">
        <x:f>MAX(0,MIN('Activities'!L646,282)-MAX('Activities'!K646,276))</x:f>
        <x:v>0</x:v>
      </x:c>
      <x:c r="AZ646" s="22" t="n">
        <x:f>MAX(0,MIN('Activities'!L646,288)-MAX('Activities'!K646,282))</x:f>
        <x:v>0</x:v>
      </x:c>
      <x:c r="BA646" s="22" t="n">
        <x:f>MAX(0,MIN('Activities'!L646,294)-MAX('Activities'!K646,288))</x:f>
        <x:v>0</x:v>
      </x:c>
      <x:c r="BB646" s="22" t="n">
        <x:f>MAX(0,MIN('Activities'!L646,300)-MAX('Activities'!K646,294))</x:f>
        <x:v>0</x:v>
      </x:c>
      <x:c r="BC646" s="22" t="n">
        <x:f>MAX(0,MIN('Activities'!L646,306)-MAX('Activities'!K646,300))</x:f>
        <x:v>0</x:v>
      </x:c>
      <x:c r="BD646" s="22" t="n">
        <x:f>MAX(0,MIN('Activities'!L646,312)-MAX('Activities'!K646,306))</x:f>
        <x:v>0</x:v>
      </x:c>
      <x:c r="BE646" s="22" t="n">
        <x:f>MAX(0,MIN('Activities'!L646,318)-MAX('Activities'!K646,312))</x:f>
        <x:v>0</x:v>
      </x:c>
      <x:c r="BF646" s="22" t="n">
        <x:f>MAX(0,MIN('Activities'!L646,324)-MAX('Activities'!K646,318))</x:f>
        <x:v>0</x:v>
      </x:c>
      <x:c r="BG646" s="22" t="n">
        <x:f>MAX(0,MIN('Activities'!L646,330)-MAX('Activities'!K646,324))</x:f>
        <x:v>0</x:v>
      </x:c>
      <x:c r="BH646" s="22" t="n">
        <x:f>MAX(0,MIN('Activities'!L646,336)-MAX('Activities'!K646,330))</x:f>
        <x:v>0</x:v>
      </x:c>
      <x:c r="BI646" s="22" t="n">
        <x:f>MAX(0,MIN('Activities'!L646,342)-MAX('Activities'!K646,336))</x:f>
        <x:v>0</x:v>
      </x:c>
      <x:c r="BJ646" s="22" t="n">
        <x:f>MAX(0,MIN('Activities'!L646,348)-MAX('Activities'!K646,342))</x:f>
        <x:v>0</x:v>
      </x:c>
      <x:c r="BK646" s="22" t="n">
        <x:f>MAX(0,MIN('Activities'!L646,354)-MAX('Activities'!K646,348))</x:f>
        <x:v>0</x:v>
      </x:c>
      <x:c r="BL646" s="22" t="n">
        <x:f>MAX(0,MIN('Activities'!L646,360)-MAX('Activities'!K646,354))</x:f>
        <x:v>0</x:v>
      </x:c>
      <x:c r="BM646" s="22" t="n">
        <x:f>MAX(0,MIN('Activities'!L646,366)-MAX('Activities'!K646,360))</x:f>
        <x:v>0</x:v>
      </x:c>
      <x:c r="BN646" s="22" t="n">
        <x:f>MAX(0,MIN('Activities'!L646,372)-MAX('Activities'!K646,366))</x:f>
        <x:v>0</x:v>
      </x:c>
      <x:c r="BO646" s="22" t="n">
        <x:f>MAX(0,MIN('Activities'!L646,378)-MAX('Activities'!K646,372))</x:f>
        <x:v>0</x:v>
      </x:c>
      <x:c r="BP646" s="22" t="n">
        <x:f>MAX(0,MIN('Activities'!L646,384)-MAX('Activities'!K646,378))</x:f>
        <x:v>0</x:v>
      </x:c>
      <x:c r="BQ646" s="22" t="n">
        <x:f>MAX(0,MIN('Activities'!L646,390)-MAX('Activities'!K646,384))</x:f>
        <x:v>0</x:v>
      </x:c>
      <x:c r="BR646" s="22" t="n">
        <x:f>MAX(0,MIN('Activities'!L646,396)-MAX('Activities'!K646,390))</x:f>
        <x:v>3</x:v>
      </x:c>
      <x:c r="BS646" s="22" t="n">
        <x:f>MAX(0,MIN('Activities'!L646,402)-MAX('Activities'!K646,396))</x:f>
        <x:v>3</x:v>
      </x:c>
      <x:c r="BT646" s="22" t="n">
        <x:f>MAX(0,MIN('Activities'!L646,408)-MAX('Activities'!K646,402))</x:f>
        <x:v>0</x:v>
      </x:c>
      <x:c r="BU646" s="22" t="n">
        <x:f>MAX(0,MIN('Activities'!L646,414)-MAX('Activities'!K646,408))</x:f>
        <x:v>0</x:v>
      </x:c>
      <x:c r="BV646" s="22" t="n">
        <x:f>MAX(0,MIN('Activities'!L646,420)-MAX('Activities'!K646,414))</x:f>
        <x:v>0</x:v>
      </x:c>
      <x:c r="BW646" s="22" t="n">
        <x:f>MAX(0,MIN('Activities'!L646,426)-MAX('Activities'!K646,420))</x:f>
        <x:v>0</x:v>
      </x:c>
      <x:c r="BX646" s="22" t="n">
        <x:f>MAX(0,MIN('Activities'!L646,432)-MAX('Activities'!K646,426))</x:f>
        <x:v>0</x:v>
      </x:c>
      <x:c r="BY646" s="22" t="n">
        <x:f>MAX(0,MIN('Activities'!L646,438)-MAX('Activities'!K646,432))</x:f>
        <x:v>0</x:v>
      </x:c>
      <x:c r="BZ646" s="22" t="n">
        <x:f>MAX(0,MIN('Activities'!L646,444)-MAX('Activities'!K646,438))</x:f>
        <x:v>0</x:v>
      </x:c>
      <x:c r="CA646" s="22" t="n">
        <x:f>MAX(0,MIN('Activities'!L646,450)-MAX('Activities'!K646,444))</x:f>
        <x:v>0</x:v>
      </x:c>
      <x:c r="CB646" s="22" t="n">
        <x:f>MAX(0,MIN('Activities'!L646,456)-MAX('Activities'!K646,450))</x:f>
        <x:v>0</x:v>
      </x:c>
      <x:c r="CC646" s="22" t="n">
        <x:f>MAX(0,MIN('Activities'!L646,462)-MAX('Activities'!K646,456))</x:f>
        <x:v>0</x:v>
      </x:c>
      <x:c r="CD646" s="22" t="n">
        <x:f>MAX(0,MIN('Activities'!L646,468)-MAX('Activities'!K646,462))</x:f>
        <x:v>0</x:v>
      </x:c>
      <x:c r="CE646" s="22" t="n">
        <x:f>MAX(0,MIN('Activities'!L646,474)-MAX('Activities'!K646,468))</x:f>
        <x:v>0</x:v>
      </x:c>
      <x:c r="CF646" s="22" t="n">
        <x:f>MAX(0,MIN('Activities'!L646,480)-MAX('Activities'!K646,474))</x:f>
        <x:v>0</x:v>
      </x:c>
      <x:c r="CG646" s="22" t="n">
        <x:f>MAX(0,MIN('Activities'!L646,486)-MAX('Activities'!K646,480))</x:f>
        <x:v>0</x:v>
      </x:c>
      <x:c r="CH646" s="22" t="n">
        <x:f>MAX(0,MIN('Activities'!L646,492)-MAX('Activities'!K646,486))</x:f>
        <x:v>0</x:v>
      </x:c>
      <x:c r="CI646" s="22" t="n">
        <x:f>MAX(0,MIN('Activities'!L646,498)-MAX('Activities'!K646,492))</x:f>
        <x:v>0</x:v>
      </x:c>
      <x:c r="CJ646" s="22" t="n">
        <x:f>MAX(0,MIN('Activities'!L646,504)-MAX('Activities'!K646,498))</x:f>
        <x:v>0</x:v>
      </x:c>
      <x:c r="CK646" s="22" t="n">
        <x:f>MAX(0,MIN('Activities'!L646,510)-MAX('Activities'!K646,504))</x:f>
        <x:v>0</x:v>
      </x:c>
      <x:c r="CL646" s="22" t="n">
        <x:f>MAX(0,MIN('Activities'!L646,516)-MAX('Activities'!K646,510))</x:f>
        <x:v>0</x:v>
      </x:c>
      <x:c r="CM646" s="22" t="n">
        <x:f>MAX(0,MIN('Activities'!L646,522)-MAX('Activities'!K646,516))</x:f>
        <x:v>0</x:v>
      </x:c>
      <x:c r="CN646" s="22" t="n">
        <x:f>MAX(0,MIN('Activities'!L646,528)-MAX('Activities'!K646,522))</x:f>
        <x:v>0</x:v>
      </x:c>
      <x:c r="CO646" s="22" t="n">
        <x:f>MAX(0,MIN('Activities'!L646,534)-MAX('Activities'!K646,528))</x:f>
        <x:v>0</x:v>
      </x:c>
      <x:c r="CP646" s="22" t="n">
        <x:f>MAX(0,MIN('Activities'!L646,540)-MAX('Activities'!K646,534))</x:f>
        <x:v>0</x:v>
      </x:c>
      <x:c r="CQ646" s="22" t="n">
        <x:f>MAX(0,MIN('Activities'!L646,546)-MAX('Activities'!K646,540))</x:f>
        <x:v>0</x:v>
      </x:c>
      <x:c r="CR646" s="22" t="n">
        <x:f>MAX(0,MIN('Activities'!L646,552)-MAX('Activities'!K646,546))</x:f>
        <x:v>0</x:v>
      </x:c>
      <x:c r="CS646" s="22" t="n">
        <x:f>MAX(0,MIN('Activities'!L646,558)-MAX('Activities'!K646,552))</x:f>
        <x:v>0</x:v>
      </x:c>
      <x:c r="CT646" s="22" t="n">
        <x:f>MAX(0,MIN('Activities'!L646,564)-MAX('Activities'!K646,558))</x:f>
        <x:v>0</x:v>
      </x:c>
      <x:c r="CU646" s="22" t="n">
        <x:f>MAX(0,MIN('Activities'!L646,570)-MAX('Activities'!K646,564))</x:f>
        <x:v>0</x:v>
      </x:c>
      <x:c r="CV646" s="22" t="n">
        <x:f>MAX(0,MIN('Activities'!L646,576)-MAX('Activities'!K646,570))</x:f>
        <x:v>0</x:v>
      </x:c>
      <x:c r="CW646" s="22" t="n">
        <x:f>MAX(0,MIN('Activities'!L646,582)-MAX('Activities'!K646,576))</x:f>
        <x:v>0</x:v>
      </x:c>
      <x:c r="CX646" s="22" t="n">
        <x:f>MAX(0,MIN('Activities'!L646,588)-MAX('Activities'!K646,582))</x:f>
        <x:v>0</x:v>
      </x:c>
      <x:c r="CY646" s="22" t="n">
        <x:f>MAX(0,MIN('Activities'!L646,594)-MAX('Activities'!K646,588))</x:f>
        <x:v>0</x:v>
      </x:c>
      <x:c r="CZ646" s="22" t="n">
        <x:f>MAX(0,MIN('Activities'!L646,600)-MAX('Activities'!K646,594))</x:f>
        <x:v>0</x:v>
      </x:c>
      <x:c r="DA646" s="22" t="n">
        <x:f>MAX(0,MIN('Activities'!L646,606)-MAX('Activities'!K646,600))</x:f>
        <x:v>0</x:v>
      </x:c>
      <x:c r="DB646" s="22" t="n">
        <x:f>MAX(0,MIN('Activities'!L646,612)-MAX('Activities'!K646,606))</x:f>
        <x:v>0</x:v>
      </x:c>
      <x:c r="DC646" s="22" t="n">
        <x:f>MAX(0,MIN('Activities'!L646,618)-MAX('Activities'!K646,612))</x:f>
        <x:v>0</x:v>
      </x:c>
      <x:c r="DD646" s="22" t="n">
        <x:f>MAX(0,MIN('Activities'!L646,624)-MAX('Activities'!K646,618))</x:f>
        <x:v>0</x:v>
      </x:c>
      <x:c r="DE646" s="22" t="n">
        <x:f>MAX(0,MIN('Activities'!L646,630)-MAX('Activities'!K646,624))</x:f>
        <x:v>0</x:v>
      </x:c>
      <x:c r="DF646" s="22" t="n">
        <x:f>MAX(0,MIN('Activities'!L646,636)-MAX('Activities'!K646,630))</x:f>
        <x:v>0</x:v>
      </x:c>
    </x:row>
    <x:row r="647" ht="23" customHeight="1">
      <x:c r="A647" s="1" t="str">
        <x:v>T5-L07-S</x:v>
      </x:c>
      <x:c r="B647" s="1" t="str">
        <x:v>T5</x:v>
      </x:c>
      <x:c r="C647" s="1" t="str">
        <x:v>Screed and substrate preparation</x:v>
      </x:c>
      <x:c r="D647" s="1" t="str">
        <x:v>Finishes</x:v>
      </x:c>
      <x:c r="E647" s="23" t="n">
        <x:f>MAX(0,MIN('Activities'!L647,6)-MAX('Activities'!K647,0))</x:f>
        <x:v>0</x:v>
      </x:c>
      <x:c r="F647" s="23" t="n">
        <x:f>MAX(0,MIN('Activities'!L647,12)-MAX('Activities'!K647,6))</x:f>
        <x:v>0</x:v>
      </x:c>
      <x:c r="G647" s="23" t="n">
        <x:f>MAX(0,MIN('Activities'!L647,18)-MAX('Activities'!K647,12))</x:f>
        <x:v>0</x:v>
      </x:c>
      <x:c r="H647" s="23" t="n">
        <x:f>MAX(0,MIN('Activities'!L647,24)-MAX('Activities'!K647,18))</x:f>
        <x:v>0</x:v>
      </x:c>
      <x:c r="I647" s="23" t="n">
        <x:f>MAX(0,MIN('Activities'!L647,30)-MAX('Activities'!K647,24))</x:f>
        <x:v>0</x:v>
      </x:c>
      <x:c r="J647" s="23" t="n">
        <x:f>MAX(0,MIN('Activities'!L647,36)-MAX('Activities'!K647,30))</x:f>
        <x:v>0</x:v>
      </x:c>
      <x:c r="K647" s="23" t="n">
        <x:f>MAX(0,MIN('Activities'!L647,42)-MAX('Activities'!K647,36))</x:f>
        <x:v>0</x:v>
      </x:c>
      <x:c r="L647" s="23" t="n">
        <x:f>MAX(0,MIN('Activities'!L647,48)-MAX('Activities'!K647,42))</x:f>
        <x:v>0</x:v>
      </x:c>
      <x:c r="M647" s="23" t="n">
        <x:f>MAX(0,MIN('Activities'!L647,54)-MAX('Activities'!K647,48))</x:f>
        <x:v>0</x:v>
      </x:c>
      <x:c r="N647" s="23" t="n">
        <x:f>MAX(0,MIN('Activities'!L647,60)-MAX('Activities'!K647,54))</x:f>
        <x:v>0</x:v>
      </x:c>
      <x:c r="O647" s="23" t="n">
        <x:f>MAX(0,MIN('Activities'!L647,66)-MAX('Activities'!K647,60))</x:f>
        <x:v>0</x:v>
      </x:c>
      <x:c r="P647" s="23" t="n">
        <x:f>MAX(0,MIN('Activities'!L647,72)-MAX('Activities'!K647,66))</x:f>
        <x:v>0</x:v>
      </x:c>
      <x:c r="Q647" s="23" t="n">
        <x:f>MAX(0,MIN('Activities'!L647,78)-MAX('Activities'!K647,72))</x:f>
        <x:v>0</x:v>
      </x:c>
      <x:c r="R647" s="23" t="n">
        <x:f>MAX(0,MIN('Activities'!L647,84)-MAX('Activities'!K647,78))</x:f>
        <x:v>0</x:v>
      </x:c>
      <x:c r="S647" s="23" t="n">
        <x:f>MAX(0,MIN('Activities'!L647,90)-MAX('Activities'!K647,84))</x:f>
        <x:v>0</x:v>
      </x:c>
      <x:c r="T647" s="23" t="n">
        <x:f>MAX(0,MIN('Activities'!L647,96)-MAX('Activities'!K647,90))</x:f>
        <x:v>0</x:v>
      </x:c>
      <x:c r="U647" s="23" t="n">
        <x:f>MAX(0,MIN('Activities'!L647,102)-MAX('Activities'!K647,96))</x:f>
        <x:v>0</x:v>
      </x:c>
      <x:c r="V647" s="23" t="n">
        <x:f>MAX(0,MIN('Activities'!L647,108)-MAX('Activities'!K647,102))</x:f>
        <x:v>0</x:v>
      </x:c>
      <x:c r="W647" s="23" t="n">
        <x:f>MAX(0,MIN('Activities'!L647,114)-MAX('Activities'!K647,108))</x:f>
        <x:v>0</x:v>
      </x:c>
      <x:c r="X647" s="23" t="n">
        <x:f>MAX(0,MIN('Activities'!L647,120)-MAX('Activities'!K647,114))</x:f>
        <x:v>0</x:v>
      </x:c>
      <x:c r="Y647" s="23" t="n">
        <x:f>MAX(0,MIN('Activities'!L647,126)-MAX('Activities'!K647,120))</x:f>
        <x:v>0</x:v>
      </x:c>
      <x:c r="Z647" s="23" t="n">
        <x:f>MAX(0,MIN('Activities'!L647,132)-MAX('Activities'!K647,126))</x:f>
        <x:v>0</x:v>
      </x:c>
      <x:c r="AA647" s="23" t="n">
        <x:f>MAX(0,MIN('Activities'!L647,138)-MAX('Activities'!K647,132))</x:f>
        <x:v>0</x:v>
      </x:c>
      <x:c r="AB647" s="23" t="n">
        <x:f>MAX(0,MIN('Activities'!L647,144)-MAX('Activities'!K647,138))</x:f>
        <x:v>0</x:v>
      </x:c>
      <x:c r="AC647" s="23" t="n">
        <x:f>MAX(0,MIN('Activities'!L647,150)-MAX('Activities'!K647,144))</x:f>
        <x:v>0</x:v>
      </x:c>
      <x:c r="AD647" s="23" t="n">
        <x:f>MAX(0,MIN('Activities'!L647,156)-MAX('Activities'!K647,150))</x:f>
        <x:v>0</x:v>
      </x:c>
      <x:c r="AE647" s="23" t="n">
        <x:f>MAX(0,MIN('Activities'!L647,162)-MAX('Activities'!K647,156))</x:f>
        <x:v>0</x:v>
      </x:c>
      <x:c r="AF647" s="23" t="n">
        <x:f>MAX(0,MIN('Activities'!L647,168)-MAX('Activities'!K647,162))</x:f>
        <x:v>0</x:v>
      </x:c>
      <x:c r="AG647" s="23" t="n">
        <x:f>MAX(0,MIN('Activities'!L647,174)-MAX('Activities'!K647,168))</x:f>
        <x:v>0</x:v>
      </x:c>
      <x:c r="AH647" s="23" t="n">
        <x:f>MAX(0,MIN('Activities'!L647,180)-MAX('Activities'!K647,174))</x:f>
        <x:v>0</x:v>
      </x:c>
      <x:c r="AI647" s="23" t="n">
        <x:f>MAX(0,MIN('Activities'!L647,186)-MAX('Activities'!K647,180))</x:f>
        <x:v>0</x:v>
      </x:c>
      <x:c r="AJ647" s="23" t="n">
        <x:f>MAX(0,MIN('Activities'!L647,192)-MAX('Activities'!K647,186))</x:f>
        <x:v>0</x:v>
      </x:c>
      <x:c r="AK647" s="23" t="n">
        <x:f>MAX(0,MIN('Activities'!L647,198)-MAX('Activities'!K647,192))</x:f>
        <x:v>0</x:v>
      </x:c>
      <x:c r="AL647" s="23" t="n">
        <x:f>MAX(0,MIN('Activities'!L647,204)-MAX('Activities'!K647,198))</x:f>
        <x:v>0</x:v>
      </x:c>
      <x:c r="AM647" s="23" t="n">
        <x:f>MAX(0,MIN('Activities'!L647,210)-MAX('Activities'!K647,204))</x:f>
        <x:v>0</x:v>
      </x:c>
      <x:c r="AN647" s="23" t="n">
        <x:f>MAX(0,MIN('Activities'!L647,216)-MAX('Activities'!K647,210))</x:f>
        <x:v>0</x:v>
      </x:c>
      <x:c r="AO647" s="23" t="n">
        <x:f>MAX(0,MIN('Activities'!L647,222)-MAX('Activities'!K647,216))</x:f>
        <x:v>0</x:v>
      </x:c>
      <x:c r="AP647" s="23" t="n">
        <x:f>MAX(0,MIN('Activities'!L647,228)-MAX('Activities'!K647,222))</x:f>
        <x:v>0</x:v>
      </x:c>
      <x:c r="AQ647" s="23" t="n">
        <x:f>MAX(0,MIN('Activities'!L647,234)-MAX('Activities'!K647,228))</x:f>
        <x:v>0</x:v>
      </x:c>
      <x:c r="AR647" s="23" t="n">
        <x:f>MAX(0,MIN('Activities'!L647,240)-MAX('Activities'!K647,234))</x:f>
        <x:v>0</x:v>
      </x:c>
      <x:c r="AS647" s="23" t="n">
        <x:f>MAX(0,MIN('Activities'!L647,246)-MAX('Activities'!K647,240))</x:f>
        <x:v>0</x:v>
      </x:c>
      <x:c r="AT647" s="23" t="n">
        <x:f>MAX(0,MIN('Activities'!L647,252)-MAX('Activities'!K647,246))</x:f>
        <x:v>0</x:v>
      </x:c>
      <x:c r="AU647" s="23" t="n">
        <x:f>MAX(0,MIN('Activities'!L647,258)-MAX('Activities'!K647,252))</x:f>
        <x:v>0</x:v>
      </x:c>
      <x:c r="AV647" s="23" t="n">
        <x:f>MAX(0,MIN('Activities'!L647,264)-MAX('Activities'!K647,258))</x:f>
        <x:v>0</x:v>
      </x:c>
      <x:c r="AW647" s="23" t="n">
        <x:f>MAX(0,MIN('Activities'!L647,270)-MAX('Activities'!K647,264))</x:f>
        <x:v>0</x:v>
      </x:c>
      <x:c r="AX647" s="23" t="n">
        <x:f>MAX(0,MIN('Activities'!L647,276)-MAX('Activities'!K647,270))</x:f>
        <x:v>0</x:v>
      </x:c>
      <x:c r="AY647" s="23" t="n">
        <x:f>MAX(0,MIN('Activities'!L647,282)-MAX('Activities'!K647,276))</x:f>
        <x:v>0</x:v>
      </x:c>
      <x:c r="AZ647" s="23" t="n">
        <x:f>MAX(0,MIN('Activities'!L647,288)-MAX('Activities'!K647,282))</x:f>
        <x:v>0</x:v>
      </x:c>
      <x:c r="BA647" s="23" t="n">
        <x:f>MAX(0,MIN('Activities'!L647,294)-MAX('Activities'!K647,288))</x:f>
        <x:v>0</x:v>
      </x:c>
      <x:c r="BB647" s="23" t="n">
        <x:f>MAX(0,MIN('Activities'!L647,300)-MAX('Activities'!K647,294))</x:f>
        <x:v>0</x:v>
      </x:c>
      <x:c r="BC647" s="23" t="n">
        <x:f>MAX(0,MIN('Activities'!L647,306)-MAX('Activities'!K647,300))</x:f>
        <x:v>0</x:v>
      </x:c>
      <x:c r="BD647" s="23" t="n">
        <x:f>MAX(0,MIN('Activities'!L647,312)-MAX('Activities'!K647,306))</x:f>
        <x:v>0</x:v>
      </x:c>
      <x:c r="BE647" s="23" t="n">
        <x:f>MAX(0,MIN('Activities'!L647,318)-MAX('Activities'!K647,312))</x:f>
        <x:v>0</x:v>
      </x:c>
      <x:c r="BF647" s="23" t="n">
        <x:f>MAX(0,MIN('Activities'!L647,324)-MAX('Activities'!K647,318))</x:f>
        <x:v>0</x:v>
      </x:c>
      <x:c r="BG647" s="23" t="n">
        <x:f>MAX(0,MIN('Activities'!L647,330)-MAX('Activities'!K647,324))</x:f>
        <x:v>0</x:v>
      </x:c>
      <x:c r="BH647" s="23" t="n">
        <x:f>MAX(0,MIN('Activities'!L647,336)-MAX('Activities'!K647,330))</x:f>
        <x:v>0</x:v>
      </x:c>
      <x:c r="BI647" s="23" t="n">
        <x:f>MAX(0,MIN('Activities'!L647,342)-MAX('Activities'!K647,336))</x:f>
        <x:v>0</x:v>
      </x:c>
      <x:c r="BJ647" s="23" t="n">
        <x:f>MAX(0,MIN('Activities'!L647,348)-MAX('Activities'!K647,342))</x:f>
        <x:v>0</x:v>
      </x:c>
      <x:c r="BK647" s="23" t="n">
        <x:f>MAX(0,MIN('Activities'!L647,354)-MAX('Activities'!K647,348))</x:f>
        <x:v>0</x:v>
      </x:c>
      <x:c r="BL647" s="23" t="n">
        <x:f>MAX(0,MIN('Activities'!L647,360)-MAX('Activities'!K647,354))</x:f>
        <x:v>0</x:v>
      </x:c>
      <x:c r="BM647" s="23" t="n">
        <x:f>MAX(0,MIN('Activities'!L647,366)-MAX('Activities'!K647,360))</x:f>
        <x:v>0</x:v>
      </x:c>
      <x:c r="BN647" s="23" t="n">
        <x:f>MAX(0,MIN('Activities'!L647,372)-MAX('Activities'!K647,366))</x:f>
        <x:v>0</x:v>
      </x:c>
      <x:c r="BO647" s="23" t="n">
        <x:f>MAX(0,MIN('Activities'!L647,378)-MAX('Activities'!K647,372))</x:f>
        <x:v>0</x:v>
      </x:c>
      <x:c r="BP647" s="23" t="n">
        <x:f>MAX(0,MIN('Activities'!L647,384)-MAX('Activities'!K647,378))</x:f>
        <x:v>0</x:v>
      </x:c>
      <x:c r="BQ647" s="23" t="n">
        <x:f>MAX(0,MIN('Activities'!L647,390)-MAX('Activities'!K647,384))</x:f>
        <x:v>0</x:v>
      </x:c>
      <x:c r="BR647" s="23" t="n">
        <x:f>MAX(0,MIN('Activities'!L647,396)-MAX('Activities'!K647,390))</x:f>
        <x:v>0</x:v>
      </x:c>
      <x:c r="BS647" s="23" t="n">
        <x:f>MAX(0,MIN('Activities'!L647,402)-MAX('Activities'!K647,396))</x:f>
        <x:v>1</x:v>
      </x:c>
      <x:c r="BT647" s="23" t="n">
        <x:f>MAX(0,MIN('Activities'!L647,408)-MAX('Activities'!K647,402))</x:f>
        <x:v>2</x:v>
      </x:c>
      <x:c r="BU647" s="23" t="n">
        <x:f>MAX(0,MIN('Activities'!L647,414)-MAX('Activities'!K647,408))</x:f>
        <x:v>0</x:v>
      </x:c>
      <x:c r="BV647" s="23" t="n">
        <x:f>MAX(0,MIN('Activities'!L647,420)-MAX('Activities'!K647,414))</x:f>
        <x:v>0</x:v>
      </x:c>
      <x:c r="BW647" s="23" t="n">
        <x:f>MAX(0,MIN('Activities'!L647,426)-MAX('Activities'!K647,420))</x:f>
        <x:v>0</x:v>
      </x:c>
      <x:c r="BX647" s="23" t="n">
        <x:f>MAX(0,MIN('Activities'!L647,432)-MAX('Activities'!K647,426))</x:f>
        <x:v>0</x:v>
      </x:c>
      <x:c r="BY647" s="23" t="n">
        <x:f>MAX(0,MIN('Activities'!L647,438)-MAX('Activities'!K647,432))</x:f>
        <x:v>0</x:v>
      </x:c>
      <x:c r="BZ647" s="23" t="n">
        <x:f>MAX(0,MIN('Activities'!L647,444)-MAX('Activities'!K647,438))</x:f>
        <x:v>0</x:v>
      </x:c>
      <x:c r="CA647" s="23" t="n">
        <x:f>MAX(0,MIN('Activities'!L647,450)-MAX('Activities'!K647,444))</x:f>
        <x:v>0</x:v>
      </x:c>
      <x:c r="CB647" s="23" t="n">
        <x:f>MAX(0,MIN('Activities'!L647,456)-MAX('Activities'!K647,450))</x:f>
        <x:v>0</x:v>
      </x:c>
      <x:c r="CC647" s="23" t="n">
        <x:f>MAX(0,MIN('Activities'!L647,462)-MAX('Activities'!K647,456))</x:f>
        <x:v>0</x:v>
      </x:c>
      <x:c r="CD647" s="23" t="n">
        <x:f>MAX(0,MIN('Activities'!L647,468)-MAX('Activities'!K647,462))</x:f>
        <x:v>0</x:v>
      </x:c>
      <x:c r="CE647" s="23" t="n">
        <x:f>MAX(0,MIN('Activities'!L647,474)-MAX('Activities'!K647,468))</x:f>
        <x:v>0</x:v>
      </x:c>
      <x:c r="CF647" s="23" t="n">
        <x:f>MAX(0,MIN('Activities'!L647,480)-MAX('Activities'!K647,474))</x:f>
        <x:v>0</x:v>
      </x:c>
      <x:c r="CG647" s="23" t="n">
        <x:f>MAX(0,MIN('Activities'!L647,486)-MAX('Activities'!K647,480))</x:f>
        <x:v>0</x:v>
      </x:c>
      <x:c r="CH647" s="23" t="n">
        <x:f>MAX(0,MIN('Activities'!L647,492)-MAX('Activities'!K647,486))</x:f>
        <x:v>0</x:v>
      </x:c>
      <x:c r="CI647" s="23" t="n">
        <x:f>MAX(0,MIN('Activities'!L647,498)-MAX('Activities'!K647,492))</x:f>
        <x:v>0</x:v>
      </x:c>
      <x:c r="CJ647" s="23" t="n">
        <x:f>MAX(0,MIN('Activities'!L647,504)-MAX('Activities'!K647,498))</x:f>
        <x:v>0</x:v>
      </x:c>
      <x:c r="CK647" s="23" t="n">
        <x:f>MAX(0,MIN('Activities'!L647,510)-MAX('Activities'!K647,504))</x:f>
        <x:v>0</x:v>
      </x:c>
      <x:c r="CL647" s="23" t="n">
        <x:f>MAX(0,MIN('Activities'!L647,516)-MAX('Activities'!K647,510))</x:f>
        <x:v>0</x:v>
      </x:c>
      <x:c r="CM647" s="23" t="n">
        <x:f>MAX(0,MIN('Activities'!L647,522)-MAX('Activities'!K647,516))</x:f>
        <x:v>0</x:v>
      </x:c>
      <x:c r="CN647" s="23" t="n">
        <x:f>MAX(0,MIN('Activities'!L647,528)-MAX('Activities'!K647,522))</x:f>
        <x:v>0</x:v>
      </x:c>
      <x:c r="CO647" s="23" t="n">
        <x:f>MAX(0,MIN('Activities'!L647,534)-MAX('Activities'!K647,528))</x:f>
        <x:v>0</x:v>
      </x:c>
      <x:c r="CP647" s="23" t="n">
        <x:f>MAX(0,MIN('Activities'!L647,540)-MAX('Activities'!K647,534))</x:f>
        <x:v>0</x:v>
      </x:c>
      <x:c r="CQ647" s="23" t="n">
        <x:f>MAX(0,MIN('Activities'!L647,546)-MAX('Activities'!K647,540))</x:f>
        <x:v>0</x:v>
      </x:c>
      <x:c r="CR647" s="23" t="n">
        <x:f>MAX(0,MIN('Activities'!L647,552)-MAX('Activities'!K647,546))</x:f>
        <x:v>0</x:v>
      </x:c>
      <x:c r="CS647" s="23" t="n">
        <x:f>MAX(0,MIN('Activities'!L647,558)-MAX('Activities'!K647,552))</x:f>
        <x:v>0</x:v>
      </x:c>
      <x:c r="CT647" s="23" t="n">
        <x:f>MAX(0,MIN('Activities'!L647,564)-MAX('Activities'!K647,558))</x:f>
        <x:v>0</x:v>
      </x:c>
      <x:c r="CU647" s="23" t="n">
        <x:f>MAX(0,MIN('Activities'!L647,570)-MAX('Activities'!K647,564))</x:f>
        <x:v>0</x:v>
      </x:c>
      <x:c r="CV647" s="23" t="n">
        <x:f>MAX(0,MIN('Activities'!L647,576)-MAX('Activities'!K647,570))</x:f>
        <x:v>0</x:v>
      </x:c>
      <x:c r="CW647" s="23" t="n">
        <x:f>MAX(0,MIN('Activities'!L647,582)-MAX('Activities'!K647,576))</x:f>
        <x:v>0</x:v>
      </x:c>
      <x:c r="CX647" s="23" t="n">
        <x:f>MAX(0,MIN('Activities'!L647,588)-MAX('Activities'!K647,582))</x:f>
        <x:v>0</x:v>
      </x:c>
      <x:c r="CY647" s="23" t="n">
        <x:f>MAX(0,MIN('Activities'!L647,594)-MAX('Activities'!K647,588))</x:f>
        <x:v>0</x:v>
      </x:c>
      <x:c r="CZ647" s="23" t="n">
        <x:f>MAX(0,MIN('Activities'!L647,600)-MAX('Activities'!K647,594))</x:f>
        <x:v>0</x:v>
      </x:c>
      <x:c r="DA647" s="23" t="n">
        <x:f>MAX(0,MIN('Activities'!L647,606)-MAX('Activities'!K647,600))</x:f>
        <x:v>0</x:v>
      </x:c>
      <x:c r="DB647" s="23" t="n">
        <x:f>MAX(0,MIN('Activities'!L647,612)-MAX('Activities'!K647,606))</x:f>
        <x:v>0</x:v>
      </x:c>
      <x:c r="DC647" s="23" t="n">
        <x:f>MAX(0,MIN('Activities'!L647,618)-MAX('Activities'!K647,612))</x:f>
        <x:v>0</x:v>
      </x:c>
      <x:c r="DD647" s="23" t="n">
        <x:f>MAX(0,MIN('Activities'!L647,624)-MAX('Activities'!K647,618))</x:f>
        <x:v>0</x:v>
      </x:c>
      <x:c r="DE647" s="23" t="n">
        <x:f>MAX(0,MIN('Activities'!L647,630)-MAX('Activities'!K647,624))</x:f>
        <x:v>0</x:v>
      </x:c>
      <x:c r="DF647" s="23" t="n">
        <x:f>MAX(0,MIN('Activities'!L647,636)-MAX('Activities'!K647,630))</x:f>
        <x:v>0</x:v>
      </x:c>
    </x:row>
    <x:row r="648" ht="23" customHeight="1">
      <x:c r="A648" s="6" t="str">
        <x:v>T5-L07-T</x:v>
      </x:c>
      <x:c r="B648" s="6" t="str">
        <x:v>T5</x:v>
      </x:c>
      <x:c r="C648" s="6" t="str">
        <x:v>Floor finishes and skirtings</x:v>
      </x:c>
      <x:c r="D648" s="6" t="str">
        <x:v>Finishes</x:v>
      </x:c>
      <x:c r="E648" s="22" t="n">
        <x:f>MAX(0,MIN('Activities'!L648,6)-MAX('Activities'!K648,0))</x:f>
        <x:v>0</x:v>
      </x:c>
      <x:c r="F648" s="22" t="n">
        <x:f>MAX(0,MIN('Activities'!L648,12)-MAX('Activities'!K648,6))</x:f>
        <x:v>0</x:v>
      </x:c>
      <x:c r="G648" s="22" t="n">
        <x:f>MAX(0,MIN('Activities'!L648,18)-MAX('Activities'!K648,12))</x:f>
        <x:v>0</x:v>
      </x:c>
      <x:c r="H648" s="22" t="n">
        <x:f>MAX(0,MIN('Activities'!L648,24)-MAX('Activities'!K648,18))</x:f>
        <x:v>0</x:v>
      </x:c>
      <x:c r="I648" s="22" t="n">
        <x:f>MAX(0,MIN('Activities'!L648,30)-MAX('Activities'!K648,24))</x:f>
        <x:v>0</x:v>
      </x:c>
      <x:c r="J648" s="22" t="n">
        <x:f>MAX(0,MIN('Activities'!L648,36)-MAX('Activities'!K648,30))</x:f>
        <x:v>0</x:v>
      </x:c>
      <x:c r="K648" s="22" t="n">
        <x:f>MAX(0,MIN('Activities'!L648,42)-MAX('Activities'!K648,36))</x:f>
        <x:v>0</x:v>
      </x:c>
      <x:c r="L648" s="22" t="n">
        <x:f>MAX(0,MIN('Activities'!L648,48)-MAX('Activities'!K648,42))</x:f>
        <x:v>0</x:v>
      </x:c>
      <x:c r="M648" s="22" t="n">
        <x:f>MAX(0,MIN('Activities'!L648,54)-MAX('Activities'!K648,48))</x:f>
        <x:v>0</x:v>
      </x:c>
      <x:c r="N648" s="22" t="n">
        <x:f>MAX(0,MIN('Activities'!L648,60)-MAX('Activities'!K648,54))</x:f>
        <x:v>0</x:v>
      </x:c>
      <x:c r="O648" s="22" t="n">
        <x:f>MAX(0,MIN('Activities'!L648,66)-MAX('Activities'!K648,60))</x:f>
        <x:v>0</x:v>
      </x:c>
      <x:c r="P648" s="22" t="n">
        <x:f>MAX(0,MIN('Activities'!L648,72)-MAX('Activities'!K648,66))</x:f>
        <x:v>0</x:v>
      </x:c>
      <x:c r="Q648" s="22" t="n">
        <x:f>MAX(0,MIN('Activities'!L648,78)-MAX('Activities'!K648,72))</x:f>
        <x:v>0</x:v>
      </x:c>
      <x:c r="R648" s="22" t="n">
        <x:f>MAX(0,MIN('Activities'!L648,84)-MAX('Activities'!K648,78))</x:f>
        <x:v>0</x:v>
      </x:c>
      <x:c r="S648" s="22" t="n">
        <x:f>MAX(0,MIN('Activities'!L648,90)-MAX('Activities'!K648,84))</x:f>
        <x:v>0</x:v>
      </x:c>
      <x:c r="T648" s="22" t="n">
        <x:f>MAX(0,MIN('Activities'!L648,96)-MAX('Activities'!K648,90))</x:f>
        <x:v>0</x:v>
      </x:c>
      <x:c r="U648" s="22" t="n">
        <x:f>MAX(0,MIN('Activities'!L648,102)-MAX('Activities'!K648,96))</x:f>
        <x:v>0</x:v>
      </x:c>
      <x:c r="V648" s="22" t="n">
        <x:f>MAX(0,MIN('Activities'!L648,108)-MAX('Activities'!K648,102))</x:f>
        <x:v>0</x:v>
      </x:c>
      <x:c r="W648" s="22" t="n">
        <x:f>MAX(0,MIN('Activities'!L648,114)-MAX('Activities'!K648,108))</x:f>
        <x:v>0</x:v>
      </x:c>
      <x:c r="X648" s="22" t="n">
        <x:f>MAX(0,MIN('Activities'!L648,120)-MAX('Activities'!K648,114))</x:f>
        <x:v>0</x:v>
      </x:c>
      <x:c r="Y648" s="22" t="n">
        <x:f>MAX(0,MIN('Activities'!L648,126)-MAX('Activities'!K648,120))</x:f>
        <x:v>0</x:v>
      </x:c>
      <x:c r="Z648" s="22" t="n">
        <x:f>MAX(0,MIN('Activities'!L648,132)-MAX('Activities'!K648,126))</x:f>
        <x:v>0</x:v>
      </x:c>
      <x:c r="AA648" s="22" t="n">
        <x:f>MAX(0,MIN('Activities'!L648,138)-MAX('Activities'!K648,132))</x:f>
        <x:v>0</x:v>
      </x:c>
      <x:c r="AB648" s="22" t="n">
        <x:f>MAX(0,MIN('Activities'!L648,144)-MAX('Activities'!K648,138))</x:f>
        <x:v>0</x:v>
      </x:c>
      <x:c r="AC648" s="22" t="n">
        <x:f>MAX(0,MIN('Activities'!L648,150)-MAX('Activities'!K648,144))</x:f>
        <x:v>0</x:v>
      </x:c>
      <x:c r="AD648" s="22" t="n">
        <x:f>MAX(0,MIN('Activities'!L648,156)-MAX('Activities'!K648,150))</x:f>
        <x:v>0</x:v>
      </x:c>
      <x:c r="AE648" s="22" t="n">
        <x:f>MAX(0,MIN('Activities'!L648,162)-MAX('Activities'!K648,156))</x:f>
        <x:v>0</x:v>
      </x:c>
      <x:c r="AF648" s="22" t="n">
        <x:f>MAX(0,MIN('Activities'!L648,168)-MAX('Activities'!K648,162))</x:f>
        <x:v>0</x:v>
      </x:c>
      <x:c r="AG648" s="22" t="n">
        <x:f>MAX(0,MIN('Activities'!L648,174)-MAX('Activities'!K648,168))</x:f>
        <x:v>0</x:v>
      </x:c>
      <x:c r="AH648" s="22" t="n">
        <x:f>MAX(0,MIN('Activities'!L648,180)-MAX('Activities'!K648,174))</x:f>
        <x:v>0</x:v>
      </x:c>
      <x:c r="AI648" s="22" t="n">
        <x:f>MAX(0,MIN('Activities'!L648,186)-MAX('Activities'!K648,180))</x:f>
        <x:v>0</x:v>
      </x:c>
      <x:c r="AJ648" s="22" t="n">
        <x:f>MAX(0,MIN('Activities'!L648,192)-MAX('Activities'!K648,186))</x:f>
        <x:v>0</x:v>
      </x:c>
      <x:c r="AK648" s="22" t="n">
        <x:f>MAX(0,MIN('Activities'!L648,198)-MAX('Activities'!K648,192))</x:f>
        <x:v>0</x:v>
      </x:c>
      <x:c r="AL648" s="22" t="n">
        <x:f>MAX(0,MIN('Activities'!L648,204)-MAX('Activities'!K648,198))</x:f>
        <x:v>0</x:v>
      </x:c>
      <x:c r="AM648" s="22" t="n">
        <x:f>MAX(0,MIN('Activities'!L648,210)-MAX('Activities'!K648,204))</x:f>
        <x:v>0</x:v>
      </x:c>
      <x:c r="AN648" s="22" t="n">
        <x:f>MAX(0,MIN('Activities'!L648,216)-MAX('Activities'!K648,210))</x:f>
        <x:v>0</x:v>
      </x:c>
      <x:c r="AO648" s="22" t="n">
        <x:f>MAX(0,MIN('Activities'!L648,222)-MAX('Activities'!K648,216))</x:f>
        <x:v>0</x:v>
      </x:c>
      <x:c r="AP648" s="22" t="n">
        <x:f>MAX(0,MIN('Activities'!L648,228)-MAX('Activities'!K648,222))</x:f>
        <x:v>0</x:v>
      </x:c>
      <x:c r="AQ648" s="22" t="n">
        <x:f>MAX(0,MIN('Activities'!L648,234)-MAX('Activities'!K648,228))</x:f>
        <x:v>0</x:v>
      </x:c>
      <x:c r="AR648" s="22" t="n">
        <x:f>MAX(0,MIN('Activities'!L648,240)-MAX('Activities'!K648,234))</x:f>
        <x:v>0</x:v>
      </x:c>
      <x:c r="AS648" s="22" t="n">
        <x:f>MAX(0,MIN('Activities'!L648,246)-MAX('Activities'!K648,240))</x:f>
        <x:v>0</x:v>
      </x:c>
      <x:c r="AT648" s="22" t="n">
        <x:f>MAX(0,MIN('Activities'!L648,252)-MAX('Activities'!K648,246))</x:f>
        <x:v>0</x:v>
      </x:c>
      <x:c r="AU648" s="22" t="n">
        <x:f>MAX(0,MIN('Activities'!L648,258)-MAX('Activities'!K648,252))</x:f>
        <x:v>0</x:v>
      </x:c>
      <x:c r="AV648" s="22" t="n">
        <x:f>MAX(0,MIN('Activities'!L648,264)-MAX('Activities'!K648,258))</x:f>
        <x:v>0</x:v>
      </x:c>
      <x:c r="AW648" s="22" t="n">
        <x:f>MAX(0,MIN('Activities'!L648,270)-MAX('Activities'!K648,264))</x:f>
        <x:v>0</x:v>
      </x:c>
      <x:c r="AX648" s="22" t="n">
        <x:f>MAX(0,MIN('Activities'!L648,276)-MAX('Activities'!K648,270))</x:f>
        <x:v>0</x:v>
      </x:c>
      <x:c r="AY648" s="22" t="n">
        <x:f>MAX(0,MIN('Activities'!L648,282)-MAX('Activities'!K648,276))</x:f>
        <x:v>0</x:v>
      </x:c>
      <x:c r="AZ648" s="22" t="n">
        <x:f>MAX(0,MIN('Activities'!L648,288)-MAX('Activities'!K648,282))</x:f>
        <x:v>0</x:v>
      </x:c>
      <x:c r="BA648" s="22" t="n">
        <x:f>MAX(0,MIN('Activities'!L648,294)-MAX('Activities'!K648,288))</x:f>
        <x:v>0</x:v>
      </x:c>
      <x:c r="BB648" s="22" t="n">
        <x:f>MAX(0,MIN('Activities'!L648,300)-MAX('Activities'!K648,294))</x:f>
        <x:v>0</x:v>
      </x:c>
      <x:c r="BC648" s="22" t="n">
        <x:f>MAX(0,MIN('Activities'!L648,306)-MAX('Activities'!K648,300))</x:f>
        <x:v>0</x:v>
      </x:c>
      <x:c r="BD648" s="22" t="n">
        <x:f>MAX(0,MIN('Activities'!L648,312)-MAX('Activities'!K648,306))</x:f>
        <x:v>0</x:v>
      </x:c>
      <x:c r="BE648" s="22" t="n">
        <x:f>MAX(0,MIN('Activities'!L648,318)-MAX('Activities'!K648,312))</x:f>
        <x:v>0</x:v>
      </x:c>
      <x:c r="BF648" s="22" t="n">
        <x:f>MAX(0,MIN('Activities'!L648,324)-MAX('Activities'!K648,318))</x:f>
        <x:v>0</x:v>
      </x:c>
      <x:c r="BG648" s="22" t="n">
        <x:f>MAX(0,MIN('Activities'!L648,330)-MAX('Activities'!K648,324))</x:f>
        <x:v>0</x:v>
      </x:c>
      <x:c r="BH648" s="22" t="n">
        <x:f>MAX(0,MIN('Activities'!L648,336)-MAX('Activities'!K648,330))</x:f>
        <x:v>0</x:v>
      </x:c>
      <x:c r="BI648" s="22" t="n">
        <x:f>MAX(0,MIN('Activities'!L648,342)-MAX('Activities'!K648,336))</x:f>
        <x:v>0</x:v>
      </x:c>
      <x:c r="BJ648" s="22" t="n">
        <x:f>MAX(0,MIN('Activities'!L648,348)-MAX('Activities'!K648,342))</x:f>
        <x:v>0</x:v>
      </x:c>
      <x:c r="BK648" s="22" t="n">
        <x:f>MAX(0,MIN('Activities'!L648,354)-MAX('Activities'!K648,348))</x:f>
        <x:v>0</x:v>
      </x:c>
      <x:c r="BL648" s="22" t="n">
        <x:f>MAX(0,MIN('Activities'!L648,360)-MAX('Activities'!K648,354))</x:f>
        <x:v>0</x:v>
      </x:c>
      <x:c r="BM648" s="22" t="n">
        <x:f>MAX(0,MIN('Activities'!L648,366)-MAX('Activities'!K648,360))</x:f>
        <x:v>0</x:v>
      </x:c>
      <x:c r="BN648" s="22" t="n">
        <x:f>MAX(0,MIN('Activities'!L648,372)-MAX('Activities'!K648,366))</x:f>
        <x:v>0</x:v>
      </x:c>
      <x:c r="BO648" s="22" t="n">
        <x:f>MAX(0,MIN('Activities'!L648,378)-MAX('Activities'!K648,372))</x:f>
        <x:v>0</x:v>
      </x:c>
      <x:c r="BP648" s="22" t="n">
        <x:f>MAX(0,MIN('Activities'!L648,384)-MAX('Activities'!K648,378))</x:f>
        <x:v>0</x:v>
      </x:c>
      <x:c r="BQ648" s="22" t="n">
        <x:f>MAX(0,MIN('Activities'!L648,390)-MAX('Activities'!K648,384))</x:f>
        <x:v>0</x:v>
      </x:c>
      <x:c r="BR648" s="22" t="n">
        <x:f>MAX(0,MIN('Activities'!L648,396)-MAX('Activities'!K648,390))</x:f>
        <x:v>0</x:v>
      </x:c>
      <x:c r="BS648" s="22" t="n">
        <x:f>MAX(0,MIN('Activities'!L648,402)-MAX('Activities'!K648,396))</x:f>
        <x:v>0</x:v>
      </x:c>
      <x:c r="BT648" s="22" t="n">
        <x:f>MAX(0,MIN('Activities'!L648,408)-MAX('Activities'!K648,402))</x:f>
        <x:v>0</x:v>
      </x:c>
      <x:c r="BU648" s="22" t="n">
        <x:f>MAX(0,MIN('Activities'!L648,414)-MAX('Activities'!K648,408))</x:f>
        <x:v>0</x:v>
      </x:c>
      <x:c r="BV648" s="22" t="n">
        <x:f>MAX(0,MIN('Activities'!L648,420)-MAX('Activities'!K648,414))</x:f>
        <x:v>0</x:v>
      </x:c>
      <x:c r="BW648" s="22" t="n">
        <x:f>MAX(0,MIN('Activities'!L648,426)-MAX('Activities'!K648,420))</x:f>
        <x:v>0</x:v>
      </x:c>
      <x:c r="BX648" s="22" t="n">
        <x:f>MAX(0,MIN('Activities'!L648,432)-MAX('Activities'!K648,426))</x:f>
        <x:v>0</x:v>
      </x:c>
      <x:c r="BY648" s="22" t="n">
        <x:f>MAX(0,MIN('Activities'!L648,438)-MAX('Activities'!K648,432))</x:f>
        <x:v>0</x:v>
      </x:c>
      <x:c r="BZ648" s="22" t="n">
        <x:f>MAX(0,MIN('Activities'!L648,444)-MAX('Activities'!K648,438))</x:f>
        <x:v>0</x:v>
      </x:c>
      <x:c r="CA648" s="22" t="n">
        <x:f>MAX(0,MIN('Activities'!L648,450)-MAX('Activities'!K648,444))</x:f>
        <x:v>1</x:v>
      </x:c>
      <x:c r="CB648" s="22" t="n">
        <x:f>MAX(0,MIN('Activities'!L648,456)-MAX('Activities'!K648,450))</x:f>
        <x:v>5</x:v>
      </x:c>
      <x:c r="CC648" s="22" t="n">
        <x:f>MAX(0,MIN('Activities'!L648,462)-MAX('Activities'!K648,456))</x:f>
        <x:v>0</x:v>
      </x:c>
      <x:c r="CD648" s="22" t="n">
        <x:f>MAX(0,MIN('Activities'!L648,468)-MAX('Activities'!K648,462))</x:f>
        <x:v>0</x:v>
      </x:c>
      <x:c r="CE648" s="22" t="n">
        <x:f>MAX(0,MIN('Activities'!L648,474)-MAX('Activities'!K648,468))</x:f>
        <x:v>0</x:v>
      </x:c>
      <x:c r="CF648" s="22" t="n">
        <x:f>MAX(0,MIN('Activities'!L648,480)-MAX('Activities'!K648,474))</x:f>
        <x:v>0</x:v>
      </x:c>
      <x:c r="CG648" s="22" t="n">
        <x:f>MAX(0,MIN('Activities'!L648,486)-MAX('Activities'!K648,480))</x:f>
        <x:v>0</x:v>
      </x:c>
      <x:c r="CH648" s="22" t="n">
        <x:f>MAX(0,MIN('Activities'!L648,492)-MAX('Activities'!K648,486))</x:f>
        <x:v>0</x:v>
      </x:c>
      <x:c r="CI648" s="22" t="n">
        <x:f>MAX(0,MIN('Activities'!L648,498)-MAX('Activities'!K648,492))</x:f>
        <x:v>0</x:v>
      </x:c>
      <x:c r="CJ648" s="22" t="n">
        <x:f>MAX(0,MIN('Activities'!L648,504)-MAX('Activities'!K648,498))</x:f>
        <x:v>0</x:v>
      </x:c>
      <x:c r="CK648" s="22" t="n">
        <x:f>MAX(0,MIN('Activities'!L648,510)-MAX('Activities'!K648,504))</x:f>
        <x:v>0</x:v>
      </x:c>
      <x:c r="CL648" s="22" t="n">
        <x:f>MAX(0,MIN('Activities'!L648,516)-MAX('Activities'!K648,510))</x:f>
        <x:v>0</x:v>
      </x:c>
      <x:c r="CM648" s="22" t="n">
        <x:f>MAX(0,MIN('Activities'!L648,522)-MAX('Activities'!K648,516))</x:f>
        <x:v>0</x:v>
      </x:c>
      <x:c r="CN648" s="22" t="n">
        <x:f>MAX(0,MIN('Activities'!L648,528)-MAX('Activities'!K648,522))</x:f>
        <x:v>0</x:v>
      </x:c>
      <x:c r="CO648" s="22" t="n">
        <x:f>MAX(0,MIN('Activities'!L648,534)-MAX('Activities'!K648,528))</x:f>
        <x:v>0</x:v>
      </x:c>
      <x:c r="CP648" s="22" t="n">
        <x:f>MAX(0,MIN('Activities'!L648,540)-MAX('Activities'!K648,534))</x:f>
        <x:v>0</x:v>
      </x:c>
      <x:c r="CQ648" s="22" t="n">
        <x:f>MAX(0,MIN('Activities'!L648,546)-MAX('Activities'!K648,540))</x:f>
        <x:v>0</x:v>
      </x:c>
      <x:c r="CR648" s="22" t="n">
        <x:f>MAX(0,MIN('Activities'!L648,552)-MAX('Activities'!K648,546))</x:f>
        <x:v>0</x:v>
      </x:c>
      <x:c r="CS648" s="22" t="n">
        <x:f>MAX(0,MIN('Activities'!L648,558)-MAX('Activities'!K648,552))</x:f>
        <x:v>0</x:v>
      </x:c>
      <x:c r="CT648" s="22" t="n">
        <x:f>MAX(0,MIN('Activities'!L648,564)-MAX('Activities'!K648,558))</x:f>
        <x:v>0</x:v>
      </x:c>
      <x:c r="CU648" s="22" t="n">
        <x:f>MAX(0,MIN('Activities'!L648,570)-MAX('Activities'!K648,564))</x:f>
        <x:v>0</x:v>
      </x:c>
      <x:c r="CV648" s="22" t="n">
        <x:f>MAX(0,MIN('Activities'!L648,576)-MAX('Activities'!K648,570))</x:f>
        <x:v>0</x:v>
      </x:c>
      <x:c r="CW648" s="22" t="n">
        <x:f>MAX(0,MIN('Activities'!L648,582)-MAX('Activities'!K648,576))</x:f>
        <x:v>0</x:v>
      </x:c>
      <x:c r="CX648" s="22" t="n">
        <x:f>MAX(0,MIN('Activities'!L648,588)-MAX('Activities'!K648,582))</x:f>
        <x:v>0</x:v>
      </x:c>
      <x:c r="CY648" s="22" t="n">
        <x:f>MAX(0,MIN('Activities'!L648,594)-MAX('Activities'!K648,588))</x:f>
        <x:v>0</x:v>
      </x:c>
      <x:c r="CZ648" s="22" t="n">
        <x:f>MAX(0,MIN('Activities'!L648,600)-MAX('Activities'!K648,594))</x:f>
        <x:v>0</x:v>
      </x:c>
      <x:c r="DA648" s="22" t="n">
        <x:f>MAX(0,MIN('Activities'!L648,606)-MAX('Activities'!K648,600))</x:f>
        <x:v>0</x:v>
      </x:c>
      <x:c r="DB648" s="22" t="n">
        <x:f>MAX(0,MIN('Activities'!L648,612)-MAX('Activities'!K648,606))</x:f>
        <x:v>0</x:v>
      </x:c>
      <x:c r="DC648" s="22" t="n">
        <x:f>MAX(0,MIN('Activities'!L648,618)-MAX('Activities'!K648,612))</x:f>
        <x:v>0</x:v>
      </x:c>
      <x:c r="DD648" s="22" t="n">
        <x:f>MAX(0,MIN('Activities'!L648,624)-MAX('Activities'!K648,618))</x:f>
        <x:v>0</x:v>
      </x:c>
      <x:c r="DE648" s="22" t="n">
        <x:f>MAX(0,MIN('Activities'!L648,630)-MAX('Activities'!K648,624))</x:f>
        <x:v>0</x:v>
      </x:c>
      <x:c r="DF648" s="22" t="n">
        <x:f>MAX(0,MIN('Activities'!L648,636)-MAX('Activities'!K648,630))</x:f>
        <x:v>0</x:v>
      </x:c>
    </x:row>
    <x:row r="649" ht="23" customHeight="1">
      <x:c r="A649" s="1" t="str">
        <x:v>T5-L07-A</x:v>
      </x:c>
      <x:c r="B649" s="1" t="str">
        <x:v>T5</x:v>
      </x:c>
      <x:c r="C649" s="1" t="str">
        <x:v>Paint and final decorations</x:v>
      </x:c>
      <x:c r="D649" s="1" t="str">
        <x:v>Finishes</x:v>
      </x:c>
      <x:c r="E649" s="23" t="n">
        <x:f>MAX(0,MIN('Activities'!L649,6)-MAX('Activities'!K649,0))</x:f>
        <x:v>0</x:v>
      </x:c>
      <x:c r="F649" s="23" t="n">
        <x:f>MAX(0,MIN('Activities'!L649,12)-MAX('Activities'!K649,6))</x:f>
        <x:v>0</x:v>
      </x:c>
      <x:c r="G649" s="23" t="n">
        <x:f>MAX(0,MIN('Activities'!L649,18)-MAX('Activities'!K649,12))</x:f>
        <x:v>0</x:v>
      </x:c>
      <x:c r="H649" s="23" t="n">
        <x:f>MAX(0,MIN('Activities'!L649,24)-MAX('Activities'!K649,18))</x:f>
        <x:v>0</x:v>
      </x:c>
      <x:c r="I649" s="23" t="n">
        <x:f>MAX(0,MIN('Activities'!L649,30)-MAX('Activities'!K649,24))</x:f>
        <x:v>0</x:v>
      </x:c>
      <x:c r="J649" s="23" t="n">
        <x:f>MAX(0,MIN('Activities'!L649,36)-MAX('Activities'!K649,30))</x:f>
        <x:v>0</x:v>
      </x:c>
      <x:c r="K649" s="23" t="n">
        <x:f>MAX(0,MIN('Activities'!L649,42)-MAX('Activities'!K649,36))</x:f>
        <x:v>0</x:v>
      </x:c>
      <x:c r="L649" s="23" t="n">
        <x:f>MAX(0,MIN('Activities'!L649,48)-MAX('Activities'!K649,42))</x:f>
        <x:v>0</x:v>
      </x:c>
      <x:c r="M649" s="23" t="n">
        <x:f>MAX(0,MIN('Activities'!L649,54)-MAX('Activities'!K649,48))</x:f>
        <x:v>0</x:v>
      </x:c>
      <x:c r="N649" s="23" t="n">
        <x:f>MAX(0,MIN('Activities'!L649,60)-MAX('Activities'!K649,54))</x:f>
        <x:v>0</x:v>
      </x:c>
      <x:c r="O649" s="23" t="n">
        <x:f>MAX(0,MIN('Activities'!L649,66)-MAX('Activities'!K649,60))</x:f>
        <x:v>0</x:v>
      </x:c>
      <x:c r="P649" s="23" t="n">
        <x:f>MAX(0,MIN('Activities'!L649,72)-MAX('Activities'!K649,66))</x:f>
        <x:v>0</x:v>
      </x:c>
      <x:c r="Q649" s="23" t="n">
        <x:f>MAX(0,MIN('Activities'!L649,78)-MAX('Activities'!K649,72))</x:f>
        <x:v>0</x:v>
      </x:c>
      <x:c r="R649" s="23" t="n">
        <x:f>MAX(0,MIN('Activities'!L649,84)-MAX('Activities'!K649,78))</x:f>
        <x:v>0</x:v>
      </x:c>
      <x:c r="S649" s="23" t="n">
        <x:f>MAX(0,MIN('Activities'!L649,90)-MAX('Activities'!K649,84))</x:f>
        <x:v>0</x:v>
      </x:c>
      <x:c r="T649" s="23" t="n">
        <x:f>MAX(0,MIN('Activities'!L649,96)-MAX('Activities'!K649,90))</x:f>
        <x:v>0</x:v>
      </x:c>
      <x:c r="U649" s="23" t="n">
        <x:f>MAX(0,MIN('Activities'!L649,102)-MAX('Activities'!K649,96))</x:f>
        <x:v>0</x:v>
      </x:c>
      <x:c r="V649" s="23" t="n">
        <x:f>MAX(0,MIN('Activities'!L649,108)-MAX('Activities'!K649,102))</x:f>
        <x:v>0</x:v>
      </x:c>
      <x:c r="W649" s="23" t="n">
        <x:f>MAX(0,MIN('Activities'!L649,114)-MAX('Activities'!K649,108))</x:f>
        <x:v>0</x:v>
      </x:c>
      <x:c r="X649" s="23" t="n">
        <x:f>MAX(0,MIN('Activities'!L649,120)-MAX('Activities'!K649,114))</x:f>
        <x:v>0</x:v>
      </x:c>
      <x:c r="Y649" s="23" t="n">
        <x:f>MAX(0,MIN('Activities'!L649,126)-MAX('Activities'!K649,120))</x:f>
        <x:v>0</x:v>
      </x:c>
      <x:c r="Z649" s="23" t="n">
        <x:f>MAX(0,MIN('Activities'!L649,132)-MAX('Activities'!K649,126))</x:f>
        <x:v>0</x:v>
      </x:c>
      <x:c r="AA649" s="23" t="n">
        <x:f>MAX(0,MIN('Activities'!L649,138)-MAX('Activities'!K649,132))</x:f>
        <x:v>0</x:v>
      </x:c>
      <x:c r="AB649" s="23" t="n">
        <x:f>MAX(0,MIN('Activities'!L649,144)-MAX('Activities'!K649,138))</x:f>
        <x:v>0</x:v>
      </x:c>
      <x:c r="AC649" s="23" t="n">
        <x:f>MAX(0,MIN('Activities'!L649,150)-MAX('Activities'!K649,144))</x:f>
        <x:v>0</x:v>
      </x:c>
      <x:c r="AD649" s="23" t="n">
        <x:f>MAX(0,MIN('Activities'!L649,156)-MAX('Activities'!K649,150))</x:f>
        <x:v>0</x:v>
      </x:c>
      <x:c r="AE649" s="23" t="n">
        <x:f>MAX(0,MIN('Activities'!L649,162)-MAX('Activities'!K649,156))</x:f>
        <x:v>0</x:v>
      </x:c>
      <x:c r="AF649" s="23" t="n">
        <x:f>MAX(0,MIN('Activities'!L649,168)-MAX('Activities'!K649,162))</x:f>
        <x:v>0</x:v>
      </x:c>
      <x:c r="AG649" s="23" t="n">
        <x:f>MAX(0,MIN('Activities'!L649,174)-MAX('Activities'!K649,168))</x:f>
        <x:v>0</x:v>
      </x:c>
      <x:c r="AH649" s="23" t="n">
        <x:f>MAX(0,MIN('Activities'!L649,180)-MAX('Activities'!K649,174))</x:f>
        <x:v>0</x:v>
      </x:c>
      <x:c r="AI649" s="23" t="n">
        <x:f>MAX(0,MIN('Activities'!L649,186)-MAX('Activities'!K649,180))</x:f>
        <x:v>0</x:v>
      </x:c>
      <x:c r="AJ649" s="23" t="n">
        <x:f>MAX(0,MIN('Activities'!L649,192)-MAX('Activities'!K649,186))</x:f>
        <x:v>0</x:v>
      </x:c>
      <x:c r="AK649" s="23" t="n">
        <x:f>MAX(0,MIN('Activities'!L649,198)-MAX('Activities'!K649,192))</x:f>
        <x:v>0</x:v>
      </x:c>
      <x:c r="AL649" s="23" t="n">
        <x:f>MAX(0,MIN('Activities'!L649,204)-MAX('Activities'!K649,198))</x:f>
        <x:v>0</x:v>
      </x:c>
      <x:c r="AM649" s="23" t="n">
        <x:f>MAX(0,MIN('Activities'!L649,210)-MAX('Activities'!K649,204))</x:f>
        <x:v>0</x:v>
      </x:c>
      <x:c r="AN649" s="23" t="n">
        <x:f>MAX(0,MIN('Activities'!L649,216)-MAX('Activities'!K649,210))</x:f>
        <x:v>0</x:v>
      </x:c>
      <x:c r="AO649" s="23" t="n">
        <x:f>MAX(0,MIN('Activities'!L649,222)-MAX('Activities'!K649,216))</x:f>
        <x:v>0</x:v>
      </x:c>
      <x:c r="AP649" s="23" t="n">
        <x:f>MAX(0,MIN('Activities'!L649,228)-MAX('Activities'!K649,222))</x:f>
        <x:v>0</x:v>
      </x:c>
      <x:c r="AQ649" s="23" t="n">
        <x:f>MAX(0,MIN('Activities'!L649,234)-MAX('Activities'!K649,228))</x:f>
        <x:v>0</x:v>
      </x:c>
      <x:c r="AR649" s="23" t="n">
        <x:f>MAX(0,MIN('Activities'!L649,240)-MAX('Activities'!K649,234))</x:f>
        <x:v>0</x:v>
      </x:c>
      <x:c r="AS649" s="23" t="n">
        <x:f>MAX(0,MIN('Activities'!L649,246)-MAX('Activities'!K649,240))</x:f>
        <x:v>0</x:v>
      </x:c>
      <x:c r="AT649" s="23" t="n">
        <x:f>MAX(0,MIN('Activities'!L649,252)-MAX('Activities'!K649,246))</x:f>
        <x:v>0</x:v>
      </x:c>
      <x:c r="AU649" s="23" t="n">
        <x:f>MAX(0,MIN('Activities'!L649,258)-MAX('Activities'!K649,252))</x:f>
        <x:v>0</x:v>
      </x:c>
      <x:c r="AV649" s="23" t="n">
        <x:f>MAX(0,MIN('Activities'!L649,264)-MAX('Activities'!K649,258))</x:f>
        <x:v>0</x:v>
      </x:c>
      <x:c r="AW649" s="23" t="n">
        <x:f>MAX(0,MIN('Activities'!L649,270)-MAX('Activities'!K649,264))</x:f>
        <x:v>0</x:v>
      </x:c>
      <x:c r="AX649" s="23" t="n">
        <x:f>MAX(0,MIN('Activities'!L649,276)-MAX('Activities'!K649,270))</x:f>
        <x:v>0</x:v>
      </x:c>
      <x:c r="AY649" s="23" t="n">
        <x:f>MAX(0,MIN('Activities'!L649,282)-MAX('Activities'!K649,276))</x:f>
        <x:v>0</x:v>
      </x:c>
      <x:c r="AZ649" s="23" t="n">
        <x:f>MAX(0,MIN('Activities'!L649,288)-MAX('Activities'!K649,282))</x:f>
        <x:v>0</x:v>
      </x:c>
      <x:c r="BA649" s="23" t="n">
        <x:f>MAX(0,MIN('Activities'!L649,294)-MAX('Activities'!K649,288))</x:f>
        <x:v>0</x:v>
      </x:c>
      <x:c r="BB649" s="23" t="n">
        <x:f>MAX(0,MIN('Activities'!L649,300)-MAX('Activities'!K649,294))</x:f>
        <x:v>0</x:v>
      </x:c>
      <x:c r="BC649" s="23" t="n">
        <x:f>MAX(0,MIN('Activities'!L649,306)-MAX('Activities'!K649,300))</x:f>
        <x:v>0</x:v>
      </x:c>
      <x:c r="BD649" s="23" t="n">
        <x:f>MAX(0,MIN('Activities'!L649,312)-MAX('Activities'!K649,306))</x:f>
        <x:v>0</x:v>
      </x:c>
      <x:c r="BE649" s="23" t="n">
        <x:f>MAX(0,MIN('Activities'!L649,318)-MAX('Activities'!K649,312))</x:f>
        <x:v>0</x:v>
      </x:c>
      <x:c r="BF649" s="23" t="n">
        <x:f>MAX(0,MIN('Activities'!L649,324)-MAX('Activities'!K649,318))</x:f>
        <x:v>0</x:v>
      </x:c>
      <x:c r="BG649" s="23" t="n">
        <x:f>MAX(0,MIN('Activities'!L649,330)-MAX('Activities'!K649,324))</x:f>
        <x:v>0</x:v>
      </x:c>
      <x:c r="BH649" s="23" t="n">
        <x:f>MAX(0,MIN('Activities'!L649,336)-MAX('Activities'!K649,330))</x:f>
        <x:v>0</x:v>
      </x:c>
      <x:c r="BI649" s="23" t="n">
        <x:f>MAX(0,MIN('Activities'!L649,342)-MAX('Activities'!K649,336))</x:f>
        <x:v>0</x:v>
      </x:c>
      <x:c r="BJ649" s="23" t="n">
        <x:f>MAX(0,MIN('Activities'!L649,348)-MAX('Activities'!K649,342))</x:f>
        <x:v>0</x:v>
      </x:c>
      <x:c r="BK649" s="23" t="n">
        <x:f>MAX(0,MIN('Activities'!L649,354)-MAX('Activities'!K649,348))</x:f>
        <x:v>0</x:v>
      </x:c>
      <x:c r="BL649" s="23" t="n">
        <x:f>MAX(0,MIN('Activities'!L649,360)-MAX('Activities'!K649,354))</x:f>
        <x:v>0</x:v>
      </x:c>
      <x:c r="BM649" s="23" t="n">
        <x:f>MAX(0,MIN('Activities'!L649,366)-MAX('Activities'!K649,360))</x:f>
        <x:v>0</x:v>
      </x:c>
      <x:c r="BN649" s="23" t="n">
        <x:f>MAX(0,MIN('Activities'!L649,372)-MAX('Activities'!K649,366))</x:f>
        <x:v>0</x:v>
      </x:c>
      <x:c r="BO649" s="23" t="n">
        <x:f>MAX(0,MIN('Activities'!L649,378)-MAX('Activities'!K649,372))</x:f>
        <x:v>0</x:v>
      </x:c>
      <x:c r="BP649" s="23" t="n">
        <x:f>MAX(0,MIN('Activities'!L649,384)-MAX('Activities'!K649,378))</x:f>
        <x:v>0</x:v>
      </x:c>
      <x:c r="BQ649" s="23" t="n">
        <x:f>MAX(0,MIN('Activities'!L649,390)-MAX('Activities'!K649,384))</x:f>
        <x:v>0</x:v>
      </x:c>
      <x:c r="BR649" s="23" t="n">
        <x:f>MAX(0,MIN('Activities'!L649,396)-MAX('Activities'!K649,390))</x:f>
        <x:v>0</x:v>
      </x:c>
      <x:c r="BS649" s="23" t="n">
        <x:f>MAX(0,MIN('Activities'!L649,402)-MAX('Activities'!K649,396))</x:f>
        <x:v>0</x:v>
      </x:c>
      <x:c r="BT649" s="23" t="n">
        <x:f>MAX(0,MIN('Activities'!L649,408)-MAX('Activities'!K649,402))</x:f>
        <x:v>0</x:v>
      </x:c>
      <x:c r="BU649" s="23" t="n">
        <x:f>MAX(0,MIN('Activities'!L649,414)-MAX('Activities'!K649,408))</x:f>
        <x:v>0</x:v>
      </x:c>
      <x:c r="BV649" s="23" t="n">
        <x:f>MAX(0,MIN('Activities'!L649,420)-MAX('Activities'!K649,414))</x:f>
        <x:v>0</x:v>
      </x:c>
      <x:c r="BW649" s="23" t="n">
        <x:f>MAX(0,MIN('Activities'!L649,426)-MAX('Activities'!K649,420))</x:f>
        <x:v>0</x:v>
      </x:c>
      <x:c r="BX649" s="23" t="n">
        <x:f>MAX(0,MIN('Activities'!L649,432)-MAX('Activities'!K649,426))</x:f>
        <x:v>0</x:v>
      </x:c>
      <x:c r="BY649" s="23" t="n">
        <x:f>MAX(0,MIN('Activities'!L649,438)-MAX('Activities'!K649,432))</x:f>
        <x:v>0</x:v>
      </x:c>
      <x:c r="BZ649" s="23" t="n">
        <x:f>MAX(0,MIN('Activities'!L649,444)-MAX('Activities'!K649,438))</x:f>
        <x:v>0</x:v>
      </x:c>
      <x:c r="CA649" s="23" t="n">
        <x:f>MAX(0,MIN('Activities'!L649,450)-MAX('Activities'!K649,444))</x:f>
        <x:v>0</x:v>
      </x:c>
      <x:c r="CB649" s="23" t="n">
        <x:f>MAX(0,MIN('Activities'!L649,456)-MAX('Activities'!K649,450))</x:f>
        <x:v>0</x:v>
      </x:c>
      <x:c r="CC649" s="23" t="n">
        <x:f>MAX(0,MIN('Activities'!L649,462)-MAX('Activities'!K649,456))</x:f>
        <x:v>5</x:v>
      </x:c>
      <x:c r="CD649" s="23" t="n">
        <x:f>MAX(0,MIN('Activities'!L649,468)-MAX('Activities'!K649,462))</x:f>
        <x:v>0</x:v>
      </x:c>
      <x:c r="CE649" s="23" t="n">
        <x:f>MAX(0,MIN('Activities'!L649,474)-MAX('Activities'!K649,468))</x:f>
        <x:v>0</x:v>
      </x:c>
      <x:c r="CF649" s="23" t="n">
        <x:f>MAX(0,MIN('Activities'!L649,480)-MAX('Activities'!K649,474))</x:f>
        <x:v>0</x:v>
      </x:c>
      <x:c r="CG649" s="23" t="n">
        <x:f>MAX(0,MIN('Activities'!L649,486)-MAX('Activities'!K649,480))</x:f>
        <x:v>0</x:v>
      </x:c>
      <x:c r="CH649" s="23" t="n">
        <x:f>MAX(0,MIN('Activities'!L649,492)-MAX('Activities'!K649,486))</x:f>
        <x:v>0</x:v>
      </x:c>
      <x:c r="CI649" s="23" t="n">
        <x:f>MAX(0,MIN('Activities'!L649,498)-MAX('Activities'!K649,492))</x:f>
        <x:v>0</x:v>
      </x:c>
      <x:c r="CJ649" s="23" t="n">
        <x:f>MAX(0,MIN('Activities'!L649,504)-MAX('Activities'!K649,498))</x:f>
        <x:v>0</x:v>
      </x:c>
      <x:c r="CK649" s="23" t="n">
        <x:f>MAX(0,MIN('Activities'!L649,510)-MAX('Activities'!K649,504))</x:f>
        <x:v>0</x:v>
      </x:c>
      <x:c r="CL649" s="23" t="n">
        <x:f>MAX(0,MIN('Activities'!L649,516)-MAX('Activities'!K649,510))</x:f>
        <x:v>0</x:v>
      </x:c>
      <x:c r="CM649" s="23" t="n">
        <x:f>MAX(0,MIN('Activities'!L649,522)-MAX('Activities'!K649,516))</x:f>
        <x:v>0</x:v>
      </x:c>
      <x:c r="CN649" s="23" t="n">
        <x:f>MAX(0,MIN('Activities'!L649,528)-MAX('Activities'!K649,522))</x:f>
        <x:v>0</x:v>
      </x:c>
      <x:c r="CO649" s="23" t="n">
        <x:f>MAX(0,MIN('Activities'!L649,534)-MAX('Activities'!K649,528))</x:f>
        <x:v>0</x:v>
      </x:c>
      <x:c r="CP649" s="23" t="n">
        <x:f>MAX(0,MIN('Activities'!L649,540)-MAX('Activities'!K649,534))</x:f>
        <x:v>0</x:v>
      </x:c>
      <x:c r="CQ649" s="23" t="n">
        <x:f>MAX(0,MIN('Activities'!L649,546)-MAX('Activities'!K649,540))</x:f>
        <x:v>0</x:v>
      </x:c>
      <x:c r="CR649" s="23" t="n">
        <x:f>MAX(0,MIN('Activities'!L649,552)-MAX('Activities'!K649,546))</x:f>
        <x:v>0</x:v>
      </x:c>
      <x:c r="CS649" s="23" t="n">
        <x:f>MAX(0,MIN('Activities'!L649,558)-MAX('Activities'!K649,552))</x:f>
        <x:v>0</x:v>
      </x:c>
      <x:c r="CT649" s="23" t="n">
        <x:f>MAX(0,MIN('Activities'!L649,564)-MAX('Activities'!K649,558))</x:f>
        <x:v>0</x:v>
      </x:c>
      <x:c r="CU649" s="23" t="n">
        <x:f>MAX(0,MIN('Activities'!L649,570)-MAX('Activities'!K649,564))</x:f>
        <x:v>0</x:v>
      </x:c>
      <x:c r="CV649" s="23" t="n">
        <x:f>MAX(0,MIN('Activities'!L649,576)-MAX('Activities'!K649,570))</x:f>
        <x:v>0</x:v>
      </x:c>
      <x:c r="CW649" s="23" t="n">
        <x:f>MAX(0,MIN('Activities'!L649,582)-MAX('Activities'!K649,576))</x:f>
        <x:v>0</x:v>
      </x:c>
      <x:c r="CX649" s="23" t="n">
        <x:f>MAX(0,MIN('Activities'!L649,588)-MAX('Activities'!K649,582))</x:f>
        <x:v>0</x:v>
      </x:c>
      <x:c r="CY649" s="23" t="n">
        <x:f>MAX(0,MIN('Activities'!L649,594)-MAX('Activities'!K649,588))</x:f>
        <x:v>0</x:v>
      </x:c>
      <x:c r="CZ649" s="23" t="n">
        <x:f>MAX(0,MIN('Activities'!L649,600)-MAX('Activities'!K649,594))</x:f>
        <x:v>0</x:v>
      </x:c>
      <x:c r="DA649" s="23" t="n">
        <x:f>MAX(0,MIN('Activities'!L649,606)-MAX('Activities'!K649,600))</x:f>
        <x:v>0</x:v>
      </x:c>
      <x:c r="DB649" s="23" t="n">
        <x:f>MAX(0,MIN('Activities'!L649,612)-MAX('Activities'!K649,606))</x:f>
        <x:v>0</x:v>
      </x:c>
      <x:c r="DC649" s="23" t="n">
        <x:f>MAX(0,MIN('Activities'!L649,618)-MAX('Activities'!K649,612))</x:f>
        <x:v>0</x:v>
      </x:c>
      <x:c r="DD649" s="23" t="n">
        <x:f>MAX(0,MIN('Activities'!L649,624)-MAX('Activities'!K649,618))</x:f>
        <x:v>0</x:v>
      </x:c>
      <x:c r="DE649" s="23" t="n">
        <x:f>MAX(0,MIN('Activities'!L649,630)-MAX('Activities'!K649,624))</x:f>
        <x:v>0</x:v>
      </x:c>
      <x:c r="DF649" s="23" t="n">
        <x:f>MAX(0,MIN('Activities'!L649,636)-MAX('Activities'!K649,630))</x:f>
        <x:v>0</x:v>
      </x:c>
    </x:row>
    <x:row r="650" ht="23" customHeight="1">
      <x:c r="A650" s="6" t="str">
        <x:v>T5-L07-D</x:v>
      </x:c>
      <x:c r="B650" s="6" t="str">
        <x:v>T5</x:v>
      </x:c>
      <x:c r="C650" s="6" t="str">
        <x:v>Door sets and ironmongery</x:v>
      </x:c>
      <x:c r="D650" s="6" t="str">
        <x:v>Finishes</x:v>
      </x:c>
      <x:c r="E650" s="22" t="n">
        <x:f>MAX(0,MIN('Activities'!L650,6)-MAX('Activities'!K650,0))</x:f>
        <x:v>0</x:v>
      </x:c>
      <x:c r="F650" s="22" t="n">
        <x:f>MAX(0,MIN('Activities'!L650,12)-MAX('Activities'!K650,6))</x:f>
        <x:v>0</x:v>
      </x:c>
      <x:c r="G650" s="22" t="n">
        <x:f>MAX(0,MIN('Activities'!L650,18)-MAX('Activities'!K650,12))</x:f>
        <x:v>0</x:v>
      </x:c>
      <x:c r="H650" s="22" t="n">
        <x:f>MAX(0,MIN('Activities'!L650,24)-MAX('Activities'!K650,18))</x:f>
        <x:v>0</x:v>
      </x:c>
      <x:c r="I650" s="22" t="n">
        <x:f>MAX(0,MIN('Activities'!L650,30)-MAX('Activities'!K650,24))</x:f>
        <x:v>0</x:v>
      </x:c>
      <x:c r="J650" s="22" t="n">
        <x:f>MAX(0,MIN('Activities'!L650,36)-MAX('Activities'!K650,30))</x:f>
        <x:v>0</x:v>
      </x:c>
      <x:c r="K650" s="22" t="n">
        <x:f>MAX(0,MIN('Activities'!L650,42)-MAX('Activities'!K650,36))</x:f>
        <x:v>0</x:v>
      </x:c>
      <x:c r="L650" s="22" t="n">
        <x:f>MAX(0,MIN('Activities'!L650,48)-MAX('Activities'!K650,42))</x:f>
        <x:v>0</x:v>
      </x:c>
      <x:c r="M650" s="22" t="n">
        <x:f>MAX(0,MIN('Activities'!L650,54)-MAX('Activities'!K650,48))</x:f>
        <x:v>0</x:v>
      </x:c>
      <x:c r="N650" s="22" t="n">
        <x:f>MAX(0,MIN('Activities'!L650,60)-MAX('Activities'!K650,54))</x:f>
        <x:v>0</x:v>
      </x:c>
      <x:c r="O650" s="22" t="n">
        <x:f>MAX(0,MIN('Activities'!L650,66)-MAX('Activities'!K650,60))</x:f>
        <x:v>0</x:v>
      </x:c>
      <x:c r="P650" s="22" t="n">
        <x:f>MAX(0,MIN('Activities'!L650,72)-MAX('Activities'!K650,66))</x:f>
        <x:v>0</x:v>
      </x:c>
      <x:c r="Q650" s="22" t="n">
        <x:f>MAX(0,MIN('Activities'!L650,78)-MAX('Activities'!K650,72))</x:f>
        <x:v>0</x:v>
      </x:c>
      <x:c r="R650" s="22" t="n">
        <x:f>MAX(0,MIN('Activities'!L650,84)-MAX('Activities'!K650,78))</x:f>
        <x:v>0</x:v>
      </x:c>
      <x:c r="S650" s="22" t="n">
        <x:f>MAX(0,MIN('Activities'!L650,90)-MAX('Activities'!K650,84))</x:f>
        <x:v>0</x:v>
      </x:c>
      <x:c r="T650" s="22" t="n">
        <x:f>MAX(0,MIN('Activities'!L650,96)-MAX('Activities'!K650,90))</x:f>
        <x:v>0</x:v>
      </x:c>
      <x:c r="U650" s="22" t="n">
        <x:f>MAX(0,MIN('Activities'!L650,102)-MAX('Activities'!K650,96))</x:f>
        <x:v>0</x:v>
      </x:c>
      <x:c r="V650" s="22" t="n">
        <x:f>MAX(0,MIN('Activities'!L650,108)-MAX('Activities'!K650,102))</x:f>
        <x:v>0</x:v>
      </x:c>
      <x:c r="W650" s="22" t="n">
        <x:f>MAX(0,MIN('Activities'!L650,114)-MAX('Activities'!K650,108))</x:f>
        <x:v>0</x:v>
      </x:c>
      <x:c r="X650" s="22" t="n">
        <x:f>MAX(0,MIN('Activities'!L650,120)-MAX('Activities'!K650,114))</x:f>
        <x:v>0</x:v>
      </x:c>
      <x:c r="Y650" s="22" t="n">
        <x:f>MAX(0,MIN('Activities'!L650,126)-MAX('Activities'!K650,120))</x:f>
        <x:v>0</x:v>
      </x:c>
      <x:c r="Z650" s="22" t="n">
        <x:f>MAX(0,MIN('Activities'!L650,132)-MAX('Activities'!K650,126))</x:f>
        <x:v>0</x:v>
      </x:c>
      <x:c r="AA650" s="22" t="n">
        <x:f>MAX(0,MIN('Activities'!L650,138)-MAX('Activities'!K650,132))</x:f>
        <x:v>0</x:v>
      </x:c>
      <x:c r="AB650" s="22" t="n">
        <x:f>MAX(0,MIN('Activities'!L650,144)-MAX('Activities'!K650,138))</x:f>
        <x:v>0</x:v>
      </x:c>
      <x:c r="AC650" s="22" t="n">
        <x:f>MAX(0,MIN('Activities'!L650,150)-MAX('Activities'!K650,144))</x:f>
        <x:v>0</x:v>
      </x:c>
      <x:c r="AD650" s="22" t="n">
        <x:f>MAX(0,MIN('Activities'!L650,156)-MAX('Activities'!K650,150))</x:f>
        <x:v>0</x:v>
      </x:c>
      <x:c r="AE650" s="22" t="n">
        <x:f>MAX(0,MIN('Activities'!L650,162)-MAX('Activities'!K650,156))</x:f>
        <x:v>0</x:v>
      </x:c>
      <x:c r="AF650" s="22" t="n">
        <x:f>MAX(0,MIN('Activities'!L650,168)-MAX('Activities'!K650,162))</x:f>
        <x:v>0</x:v>
      </x:c>
      <x:c r="AG650" s="22" t="n">
        <x:f>MAX(0,MIN('Activities'!L650,174)-MAX('Activities'!K650,168))</x:f>
        <x:v>0</x:v>
      </x:c>
      <x:c r="AH650" s="22" t="n">
        <x:f>MAX(0,MIN('Activities'!L650,180)-MAX('Activities'!K650,174))</x:f>
        <x:v>0</x:v>
      </x:c>
      <x:c r="AI650" s="22" t="n">
        <x:f>MAX(0,MIN('Activities'!L650,186)-MAX('Activities'!K650,180))</x:f>
        <x:v>0</x:v>
      </x:c>
      <x:c r="AJ650" s="22" t="n">
        <x:f>MAX(0,MIN('Activities'!L650,192)-MAX('Activities'!K650,186))</x:f>
        <x:v>0</x:v>
      </x:c>
      <x:c r="AK650" s="22" t="n">
        <x:f>MAX(0,MIN('Activities'!L650,198)-MAX('Activities'!K650,192))</x:f>
        <x:v>0</x:v>
      </x:c>
      <x:c r="AL650" s="22" t="n">
        <x:f>MAX(0,MIN('Activities'!L650,204)-MAX('Activities'!K650,198))</x:f>
        <x:v>0</x:v>
      </x:c>
      <x:c r="AM650" s="22" t="n">
        <x:f>MAX(0,MIN('Activities'!L650,210)-MAX('Activities'!K650,204))</x:f>
        <x:v>0</x:v>
      </x:c>
      <x:c r="AN650" s="22" t="n">
        <x:f>MAX(0,MIN('Activities'!L650,216)-MAX('Activities'!K650,210))</x:f>
        <x:v>0</x:v>
      </x:c>
      <x:c r="AO650" s="22" t="n">
        <x:f>MAX(0,MIN('Activities'!L650,222)-MAX('Activities'!K650,216))</x:f>
        <x:v>0</x:v>
      </x:c>
      <x:c r="AP650" s="22" t="n">
        <x:f>MAX(0,MIN('Activities'!L650,228)-MAX('Activities'!K650,222))</x:f>
        <x:v>0</x:v>
      </x:c>
      <x:c r="AQ650" s="22" t="n">
        <x:f>MAX(0,MIN('Activities'!L650,234)-MAX('Activities'!K650,228))</x:f>
        <x:v>0</x:v>
      </x:c>
      <x:c r="AR650" s="22" t="n">
        <x:f>MAX(0,MIN('Activities'!L650,240)-MAX('Activities'!K650,234))</x:f>
        <x:v>0</x:v>
      </x:c>
      <x:c r="AS650" s="22" t="n">
        <x:f>MAX(0,MIN('Activities'!L650,246)-MAX('Activities'!K650,240))</x:f>
        <x:v>0</x:v>
      </x:c>
      <x:c r="AT650" s="22" t="n">
        <x:f>MAX(0,MIN('Activities'!L650,252)-MAX('Activities'!K650,246))</x:f>
        <x:v>0</x:v>
      </x:c>
      <x:c r="AU650" s="22" t="n">
        <x:f>MAX(0,MIN('Activities'!L650,258)-MAX('Activities'!K650,252))</x:f>
        <x:v>0</x:v>
      </x:c>
      <x:c r="AV650" s="22" t="n">
        <x:f>MAX(0,MIN('Activities'!L650,264)-MAX('Activities'!K650,258))</x:f>
        <x:v>0</x:v>
      </x:c>
      <x:c r="AW650" s="22" t="n">
        <x:f>MAX(0,MIN('Activities'!L650,270)-MAX('Activities'!K650,264))</x:f>
        <x:v>0</x:v>
      </x:c>
      <x:c r="AX650" s="22" t="n">
        <x:f>MAX(0,MIN('Activities'!L650,276)-MAX('Activities'!K650,270))</x:f>
        <x:v>0</x:v>
      </x:c>
      <x:c r="AY650" s="22" t="n">
        <x:f>MAX(0,MIN('Activities'!L650,282)-MAX('Activities'!K650,276))</x:f>
        <x:v>0</x:v>
      </x:c>
      <x:c r="AZ650" s="22" t="n">
        <x:f>MAX(0,MIN('Activities'!L650,288)-MAX('Activities'!K650,282))</x:f>
        <x:v>0</x:v>
      </x:c>
      <x:c r="BA650" s="22" t="n">
        <x:f>MAX(0,MIN('Activities'!L650,294)-MAX('Activities'!K650,288))</x:f>
        <x:v>0</x:v>
      </x:c>
      <x:c r="BB650" s="22" t="n">
        <x:f>MAX(0,MIN('Activities'!L650,300)-MAX('Activities'!K650,294))</x:f>
        <x:v>0</x:v>
      </x:c>
      <x:c r="BC650" s="22" t="n">
        <x:f>MAX(0,MIN('Activities'!L650,306)-MAX('Activities'!K650,300))</x:f>
        <x:v>0</x:v>
      </x:c>
      <x:c r="BD650" s="22" t="n">
        <x:f>MAX(0,MIN('Activities'!L650,312)-MAX('Activities'!K650,306))</x:f>
        <x:v>0</x:v>
      </x:c>
      <x:c r="BE650" s="22" t="n">
        <x:f>MAX(0,MIN('Activities'!L650,318)-MAX('Activities'!K650,312))</x:f>
        <x:v>0</x:v>
      </x:c>
      <x:c r="BF650" s="22" t="n">
        <x:f>MAX(0,MIN('Activities'!L650,324)-MAX('Activities'!K650,318))</x:f>
        <x:v>0</x:v>
      </x:c>
      <x:c r="BG650" s="22" t="n">
        <x:f>MAX(0,MIN('Activities'!L650,330)-MAX('Activities'!K650,324))</x:f>
        <x:v>0</x:v>
      </x:c>
      <x:c r="BH650" s="22" t="n">
        <x:f>MAX(0,MIN('Activities'!L650,336)-MAX('Activities'!K650,330))</x:f>
        <x:v>0</x:v>
      </x:c>
      <x:c r="BI650" s="22" t="n">
        <x:f>MAX(0,MIN('Activities'!L650,342)-MAX('Activities'!K650,336))</x:f>
        <x:v>0</x:v>
      </x:c>
      <x:c r="BJ650" s="22" t="n">
        <x:f>MAX(0,MIN('Activities'!L650,348)-MAX('Activities'!K650,342))</x:f>
        <x:v>0</x:v>
      </x:c>
      <x:c r="BK650" s="22" t="n">
        <x:f>MAX(0,MIN('Activities'!L650,354)-MAX('Activities'!K650,348))</x:f>
        <x:v>0</x:v>
      </x:c>
      <x:c r="BL650" s="22" t="n">
        <x:f>MAX(0,MIN('Activities'!L650,360)-MAX('Activities'!K650,354))</x:f>
        <x:v>0</x:v>
      </x:c>
      <x:c r="BM650" s="22" t="n">
        <x:f>MAX(0,MIN('Activities'!L650,366)-MAX('Activities'!K650,360))</x:f>
        <x:v>0</x:v>
      </x:c>
      <x:c r="BN650" s="22" t="n">
        <x:f>MAX(0,MIN('Activities'!L650,372)-MAX('Activities'!K650,366))</x:f>
        <x:v>0</x:v>
      </x:c>
      <x:c r="BO650" s="22" t="n">
        <x:f>MAX(0,MIN('Activities'!L650,378)-MAX('Activities'!K650,372))</x:f>
        <x:v>0</x:v>
      </x:c>
      <x:c r="BP650" s="22" t="n">
        <x:f>MAX(0,MIN('Activities'!L650,384)-MAX('Activities'!K650,378))</x:f>
        <x:v>0</x:v>
      </x:c>
      <x:c r="BQ650" s="22" t="n">
        <x:f>MAX(0,MIN('Activities'!L650,390)-MAX('Activities'!K650,384))</x:f>
        <x:v>0</x:v>
      </x:c>
      <x:c r="BR650" s="22" t="n">
        <x:f>MAX(0,MIN('Activities'!L650,396)-MAX('Activities'!K650,390))</x:f>
        <x:v>0</x:v>
      </x:c>
      <x:c r="BS650" s="22" t="n">
        <x:f>MAX(0,MIN('Activities'!L650,402)-MAX('Activities'!K650,396))</x:f>
        <x:v>0</x:v>
      </x:c>
      <x:c r="BT650" s="22" t="n">
        <x:f>MAX(0,MIN('Activities'!L650,408)-MAX('Activities'!K650,402))</x:f>
        <x:v>0</x:v>
      </x:c>
      <x:c r="BU650" s="22" t="n">
        <x:f>MAX(0,MIN('Activities'!L650,414)-MAX('Activities'!K650,408))</x:f>
        <x:v>0</x:v>
      </x:c>
      <x:c r="BV650" s="22" t="n">
        <x:f>MAX(0,MIN('Activities'!L650,420)-MAX('Activities'!K650,414))</x:f>
        <x:v>0</x:v>
      </x:c>
      <x:c r="BW650" s="22" t="n">
        <x:f>MAX(0,MIN('Activities'!L650,426)-MAX('Activities'!K650,420))</x:f>
        <x:v>0</x:v>
      </x:c>
      <x:c r="BX650" s="22" t="n">
        <x:f>MAX(0,MIN('Activities'!L650,432)-MAX('Activities'!K650,426))</x:f>
        <x:v>0</x:v>
      </x:c>
      <x:c r="BY650" s="22" t="n">
        <x:f>MAX(0,MIN('Activities'!L650,438)-MAX('Activities'!K650,432))</x:f>
        <x:v>0</x:v>
      </x:c>
      <x:c r="BZ650" s="22" t="n">
        <x:f>MAX(0,MIN('Activities'!L650,444)-MAX('Activities'!K650,438))</x:f>
        <x:v>0</x:v>
      </x:c>
      <x:c r="CA650" s="22" t="n">
        <x:f>MAX(0,MIN('Activities'!L650,450)-MAX('Activities'!K650,444))</x:f>
        <x:v>0</x:v>
      </x:c>
      <x:c r="CB650" s="22" t="n">
        <x:f>MAX(0,MIN('Activities'!L650,456)-MAX('Activities'!K650,450))</x:f>
        <x:v>0</x:v>
      </x:c>
      <x:c r="CC650" s="22" t="n">
        <x:f>MAX(0,MIN('Activities'!L650,462)-MAX('Activities'!K650,456))</x:f>
        <x:v>0</x:v>
      </x:c>
      <x:c r="CD650" s="22" t="n">
        <x:f>MAX(0,MIN('Activities'!L650,468)-MAX('Activities'!K650,462))</x:f>
        <x:v>3</x:v>
      </x:c>
      <x:c r="CE650" s="22" t="n">
        <x:f>MAX(0,MIN('Activities'!L650,474)-MAX('Activities'!K650,468))</x:f>
        <x:v>0</x:v>
      </x:c>
      <x:c r="CF650" s="22" t="n">
        <x:f>MAX(0,MIN('Activities'!L650,480)-MAX('Activities'!K650,474))</x:f>
        <x:v>0</x:v>
      </x:c>
      <x:c r="CG650" s="22" t="n">
        <x:f>MAX(0,MIN('Activities'!L650,486)-MAX('Activities'!K650,480))</x:f>
        <x:v>0</x:v>
      </x:c>
      <x:c r="CH650" s="22" t="n">
        <x:f>MAX(0,MIN('Activities'!L650,492)-MAX('Activities'!K650,486))</x:f>
        <x:v>0</x:v>
      </x:c>
      <x:c r="CI650" s="22" t="n">
        <x:f>MAX(0,MIN('Activities'!L650,498)-MAX('Activities'!K650,492))</x:f>
        <x:v>0</x:v>
      </x:c>
      <x:c r="CJ650" s="22" t="n">
        <x:f>MAX(0,MIN('Activities'!L650,504)-MAX('Activities'!K650,498))</x:f>
        <x:v>0</x:v>
      </x:c>
      <x:c r="CK650" s="22" t="n">
        <x:f>MAX(0,MIN('Activities'!L650,510)-MAX('Activities'!K650,504))</x:f>
        <x:v>0</x:v>
      </x:c>
      <x:c r="CL650" s="22" t="n">
        <x:f>MAX(0,MIN('Activities'!L650,516)-MAX('Activities'!K650,510))</x:f>
        <x:v>0</x:v>
      </x:c>
      <x:c r="CM650" s="22" t="n">
        <x:f>MAX(0,MIN('Activities'!L650,522)-MAX('Activities'!K650,516))</x:f>
        <x:v>0</x:v>
      </x:c>
      <x:c r="CN650" s="22" t="n">
        <x:f>MAX(0,MIN('Activities'!L650,528)-MAX('Activities'!K650,522))</x:f>
        <x:v>0</x:v>
      </x:c>
      <x:c r="CO650" s="22" t="n">
        <x:f>MAX(0,MIN('Activities'!L650,534)-MAX('Activities'!K650,528))</x:f>
        <x:v>0</x:v>
      </x:c>
      <x:c r="CP650" s="22" t="n">
        <x:f>MAX(0,MIN('Activities'!L650,540)-MAX('Activities'!K650,534))</x:f>
        <x:v>0</x:v>
      </x:c>
      <x:c r="CQ650" s="22" t="n">
        <x:f>MAX(0,MIN('Activities'!L650,546)-MAX('Activities'!K650,540))</x:f>
        <x:v>0</x:v>
      </x:c>
      <x:c r="CR650" s="22" t="n">
        <x:f>MAX(0,MIN('Activities'!L650,552)-MAX('Activities'!K650,546))</x:f>
        <x:v>0</x:v>
      </x:c>
      <x:c r="CS650" s="22" t="n">
        <x:f>MAX(0,MIN('Activities'!L650,558)-MAX('Activities'!K650,552))</x:f>
        <x:v>0</x:v>
      </x:c>
      <x:c r="CT650" s="22" t="n">
        <x:f>MAX(0,MIN('Activities'!L650,564)-MAX('Activities'!K650,558))</x:f>
        <x:v>0</x:v>
      </x:c>
      <x:c r="CU650" s="22" t="n">
        <x:f>MAX(0,MIN('Activities'!L650,570)-MAX('Activities'!K650,564))</x:f>
        <x:v>0</x:v>
      </x:c>
      <x:c r="CV650" s="22" t="n">
        <x:f>MAX(0,MIN('Activities'!L650,576)-MAX('Activities'!K650,570))</x:f>
        <x:v>0</x:v>
      </x:c>
      <x:c r="CW650" s="22" t="n">
        <x:f>MAX(0,MIN('Activities'!L650,582)-MAX('Activities'!K650,576))</x:f>
        <x:v>0</x:v>
      </x:c>
      <x:c r="CX650" s="22" t="n">
        <x:f>MAX(0,MIN('Activities'!L650,588)-MAX('Activities'!K650,582))</x:f>
        <x:v>0</x:v>
      </x:c>
      <x:c r="CY650" s="22" t="n">
        <x:f>MAX(0,MIN('Activities'!L650,594)-MAX('Activities'!K650,588))</x:f>
        <x:v>0</x:v>
      </x:c>
      <x:c r="CZ650" s="22" t="n">
        <x:f>MAX(0,MIN('Activities'!L650,600)-MAX('Activities'!K650,594))</x:f>
        <x:v>0</x:v>
      </x:c>
      <x:c r="DA650" s="22" t="n">
        <x:f>MAX(0,MIN('Activities'!L650,606)-MAX('Activities'!K650,600))</x:f>
        <x:v>0</x:v>
      </x:c>
      <x:c r="DB650" s="22" t="n">
        <x:f>MAX(0,MIN('Activities'!L650,612)-MAX('Activities'!K650,606))</x:f>
        <x:v>0</x:v>
      </x:c>
      <x:c r="DC650" s="22" t="n">
        <x:f>MAX(0,MIN('Activities'!L650,618)-MAX('Activities'!K650,612))</x:f>
        <x:v>0</x:v>
      </x:c>
      <x:c r="DD650" s="22" t="n">
        <x:f>MAX(0,MIN('Activities'!L650,624)-MAX('Activities'!K650,618))</x:f>
        <x:v>0</x:v>
      </x:c>
      <x:c r="DE650" s="22" t="n">
        <x:f>MAX(0,MIN('Activities'!L650,630)-MAX('Activities'!K650,624))</x:f>
        <x:v>0</x:v>
      </x:c>
      <x:c r="DF650" s="22" t="n">
        <x:f>MAX(0,MIN('Activities'!L650,636)-MAX('Activities'!K650,630))</x:f>
        <x:v>0</x:v>
      </x:c>
    </x:row>
    <x:row r="651" ht="23" customHeight="1">
      <x:c r="A651" s="1" t="str">
        <x:v>T5-L08-M</x:v>
      </x:c>
      <x:c r="B651" s="1" t="str">
        <x:v>T5</x:v>
      </x:c>
      <x:c r="C651" s="1" t="str">
        <x:v>Partition masonry</x:v>
      </x:c>
      <x:c r="D651" s="1" t="str">
        <x:v>Masonry</x:v>
      </x:c>
      <x:c r="E651" s="23" t="n">
        <x:f>MAX(0,MIN('Activities'!L651,6)-MAX('Activities'!K651,0))</x:f>
        <x:v>0</x:v>
      </x:c>
      <x:c r="F651" s="23" t="n">
        <x:f>MAX(0,MIN('Activities'!L651,12)-MAX('Activities'!K651,6))</x:f>
        <x:v>0</x:v>
      </x:c>
      <x:c r="G651" s="23" t="n">
        <x:f>MAX(0,MIN('Activities'!L651,18)-MAX('Activities'!K651,12))</x:f>
        <x:v>0</x:v>
      </x:c>
      <x:c r="H651" s="23" t="n">
        <x:f>MAX(0,MIN('Activities'!L651,24)-MAX('Activities'!K651,18))</x:f>
        <x:v>0</x:v>
      </x:c>
      <x:c r="I651" s="23" t="n">
        <x:f>MAX(0,MIN('Activities'!L651,30)-MAX('Activities'!K651,24))</x:f>
        <x:v>0</x:v>
      </x:c>
      <x:c r="J651" s="23" t="n">
        <x:f>MAX(0,MIN('Activities'!L651,36)-MAX('Activities'!K651,30))</x:f>
        <x:v>0</x:v>
      </x:c>
      <x:c r="K651" s="23" t="n">
        <x:f>MAX(0,MIN('Activities'!L651,42)-MAX('Activities'!K651,36))</x:f>
        <x:v>0</x:v>
      </x:c>
      <x:c r="L651" s="23" t="n">
        <x:f>MAX(0,MIN('Activities'!L651,48)-MAX('Activities'!K651,42))</x:f>
        <x:v>0</x:v>
      </x:c>
      <x:c r="M651" s="23" t="n">
        <x:f>MAX(0,MIN('Activities'!L651,54)-MAX('Activities'!K651,48))</x:f>
        <x:v>0</x:v>
      </x:c>
      <x:c r="N651" s="23" t="n">
        <x:f>MAX(0,MIN('Activities'!L651,60)-MAX('Activities'!K651,54))</x:f>
        <x:v>0</x:v>
      </x:c>
      <x:c r="O651" s="23" t="n">
        <x:f>MAX(0,MIN('Activities'!L651,66)-MAX('Activities'!K651,60))</x:f>
        <x:v>0</x:v>
      </x:c>
      <x:c r="P651" s="23" t="n">
        <x:f>MAX(0,MIN('Activities'!L651,72)-MAX('Activities'!K651,66))</x:f>
        <x:v>0</x:v>
      </x:c>
      <x:c r="Q651" s="23" t="n">
        <x:f>MAX(0,MIN('Activities'!L651,78)-MAX('Activities'!K651,72))</x:f>
        <x:v>0</x:v>
      </x:c>
      <x:c r="R651" s="23" t="n">
        <x:f>MAX(0,MIN('Activities'!L651,84)-MAX('Activities'!K651,78))</x:f>
        <x:v>0</x:v>
      </x:c>
      <x:c r="S651" s="23" t="n">
        <x:f>MAX(0,MIN('Activities'!L651,90)-MAX('Activities'!K651,84))</x:f>
        <x:v>0</x:v>
      </x:c>
      <x:c r="T651" s="23" t="n">
        <x:f>MAX(0,MIN('Activities'!L651,96)-MAX('Activities'!K651,90))</x:f>
        <x:v>0</x:v>
      </x:c>
      <x:c r="U651" s="23" t="n">
        <x:f>MAX(0,MIN('Activities'!L651,102)-MAX('Activities'!K651,96))</x:f>
        <x:v>0</x:v>
      </x:c>
      <x:c r="V651" s="23" t="n">
        <x:f>MAX(0,MIN('Activities'!L651,108)-MAX('Activities'!K651,102))</x:f>
        <x:v>0</x:v>
      </x:c>
      <x:c r="W651" s="23" t="n">
        <x:f>MAX(0,MIN('Activities'!L651,114)-MAX('Activities'!K651,108))</x:f>
        <x:v>0</x:v>
      </x:c>
      <x:c r="X651" s="23" t="n">
        <x:f>MAX(0,MIN('Activities'!L651,120)-MAX('Activities'!K651,114))</x:f>
        <x:v>0</x:v>
      </x:c>
      <x:c r="Y651" s="23" t="n">
        <x:f>MAX(0,MIN('Activities'!L651,126)-MAX('Activities'!K651,120))</x:f>
        <x:v>0</x:v>
      </x:c>
      <x:c r="Z651" s="23" t="n">
        <x:f>MAX(0,MIN('Activities'!L651,132)-MAX('Activities'!K651,126))</x:f>
        <x:v>0</x:v>
      </x:c>
      <x:c r="AA651" s="23" t="n">
        <x:f>MAX(0,MIN('Activities'!L651,138)-MAX('Activities'!K651,132))</x:f>
        <x:v>0</x:v>
      </x:c>
      <x:c r="AB651" s="23" t="n">
        <x:f>MAX(0,MIN('Activities'!L651,144)-MAX('Activities'!K651,138))</x:f>
        <x:v>0</x:v>
      </x:c>
      <x:c r="AC651" s="23" t="n">
        <x:f>MAX(0,MIN('Activities'!L651,150)-MAX('Activities'!K651,144))</x:f>
        <x:v>0</x:v>
      </x:c>
      <x:c r="AD651" s="23" t="n">
        <x:f>MAX(0,MIN('Activities'!L651,156)-MAX('Activities'!K651,150))</x:f>
        <x:v>0</x:v>
      </x:c>
      <x:c r="AE651" s="23" t="n">
        <x:f>MAX(0,MIN('Activities'!L651,162)-MAX('Activities'!K651,156))</x:f>
        <x:v>0</x:v>
      </x:c>
      <x:c r="AF651" s="23" t="n">
        <x:f>MAX(0,MIN('Activities'!L651,168)-MAX('Activities'!K651,162))</x:f>
        <x:v>0</x:v>
      </x:c>
      <x:c r="AG651" s="23" t="n">
        <x:f>MAX(0,MIN('Activities'!L651,174)-MAX('Activities'!K651,168))</x:f>
        <x:v>0</x:v>
      </x:c>
      <x:c r="AH651" s="23" t="n">
        <x:f>MAX(0,MIN('Activities'!L651,180)-MAX('Activities'!K651,174))</x:f>
        <x:v>0</x:v>
      </x:c>
      <x:c r="AI651" s="23" t="n">
        <x:f>MAX(0,MIN('Activities'!L651,186)-MAX('Activities'!K651,180))</x:f>
        <x:v>0</x:v>
      </x:c>
      <x:c r="AJ651" s="23" t="n">
        <x:f>MAX(0,MIN('Activities'!L651,192)-MAX('Activities'!K651,186))</x:f>
        <x:v>0</x:v>
      </x:c>
      <x:c r="AK651" s="23" t="n">
        <x:f>MAX(0,MIN('Activities'!L651,198)-MAX('Activities'!K651,192))</x:f>
        <x:v>0</x:v>
      </x:c>
      <x:c r="AL651" s="23" t="n">
        <x:f>MAX(0,MIN('Activities'!L651,204)-MAX('Activities'!K651,198))</x:f>
        <x:v>0</x:v>
      </x:c>
      <x:c r="AM651" s="23" t="n">
        <x:f>MAX(0,MIN('Activities'!L651,210)-MAX('Activities'!K651,204))</x:f>
        <x:v>0</x:v>
      </x:c>
      <x:c r="AN651" s="23" t="n">
        <x:f>MAX(0,MIN('Activities'!L651,216)-MAX('Activities'!K651,210))</x:f>
        <x:v>0</x:v>
      </x:c>
      <x:c r="AO651" s="23" t="n">
        <x:f>MAX(0,MIN('Activities'!L651,222)-MAX('Activities'!K651,216))</x:f>
        <x:v>0</x:v>
      </x:c>
      <x:c r="AP651" s="23" t="n">
        <x:f>MAX(0,MIN('Activities'!L651,228)-MAX('Activities'!K651,222))</x:f>
        <x:v>0</x:v>
      </x:c>
      <x:c r="AQ651" s="23" t="n">
        <x:f>MAX(0,MIN('Activities'!L651,234)-MAX('Activities'!K651,228))</x:f>
        <x:v>0</x:v>
      </x:c>
      <x:c r="AR651" s="23" t="n">
        <x:f>MAX(0,MIN('Activities'!L651,240)-MAX('Activities'!K651,234))</x:f>
        <x:v>0</x:v>
      </x:c>
      <x:c r="AS651" s="23" t="n">
        <x:f>MAX(0,MIN('Activities'!L651,246)-MAX('Activities'!K651,240))</x:f>
        <x:v>0</x:v>
      </x:c>
      <x:c r="AT651" s="23" t="n">
        <x:f>MAX(0,MIN('Activities'!L651,252)-MAX('Activities'!K651,246))</x:f>
        <x:v>0</x:v>
      </x:c>
      <x:c r="AU651" s="23" t="n">
        <x:f>MAX(0,MIN('Activities'!L651,258)-MAX('Activities'!K651,252))</x:f>
        <x:v>0</x:v>
      </x:c>
      <x:c r="AV651" s="23" t="n">
        <x:f>MAX(0,MIN('Activities'!L651,264)-MAX('Activities'!K651,258))</x:f>
        <x:v>0</x:v>
      </x:c>
      <x:c r="AW651" s="23" t="n">
        <x:f>MAX(0,MIN('Activities'!L651,270)-MAX('Activities'!K651,264))</x:f>
        <x:v>0</x:v>
      </x:c>
      <x:c r="AX651" s="23" t="n">
        <x:f>MAX(0,MIN('Activities'!L651,276)-MAX('Activities'!K651,270))</x:f>
        <x:v>0</x:v>
      </x:c>
      <x:c r="AY651" s="23" t="n">
        <x:f>MAX(0,MIN('Activities'!L651,282)-MAX('Activities'!K651,276))</x:f>
        <x:v>0</x:v>
      </x:c>
      <x:c r="AZ651" s="23" t="n">
        <x:f>MAX(0,MIN('Activities'!L651,288)-MAX('Activities'!K651,282))</x:f>
        <x:v>0</x:v>
      </x:c>
      <x:c r="BA651" s="23" t="n">
        <x:f>MAX(0,MIN('Activities'!L651,294)-MAX('Activities'!K651,288))</x:f>
        <x:v>0</x:v>
      </x:c>
      <x:c r="BB651" s="23" t="n">
        <x:f>MAX(0,MIN('Activities'!L651,300)-MAX('Activities'!K651,294))</x:f>
        <x:v>0</x:v>
      </x:c>
      <x:c r="BC651" s="23" t="n">
        <x:f>MAX(0,MIN('Activities'!L651,306)-MAX('Activities'!K651,300))</x:f>
        <x:v>0</x:v>
      </x:c>
      <x:c r="BD651" s="23" t="n">
        <x:f>MAX(0,MIN('Activities'!L651,312)-MAX('Activities'!K651,306))</x:f>
        <x:v>0</x:v>
      </x:c>
      <x:c r="BE651" s="23" t="n">
        <x:f>MAX(0,MIN('Activities'!L651,318)-MAX('Activities'!K651,312))</x:f>
        <x:v>0</x:v>
      </x:c>
      <x:c r="BF651" s="23" t="n">
        <x:f>MAX(0,MIN('Activities'!L651,324)-MAX('Activities'!K651,318))</x:f>
        <x:v>0</x:v>
      </x:c>
      <x:c r="BG651" s="23" t="n">
        <x:f>MAX(0,MIN('Activities'!L651,330)-MAX('Activities'!K651,324))</x:f>
        <x:v>0</x:v>
      </x:c>
      <x:c r="BH651" s="23" t="n">
        <x:f>MAX(0,MIN('Activities'!L651,336)-MAX('Activities'!K651,330))</x:f>
        <x:v>0</x:v>
      </x:c>
      <x:c r="BI651" s="23" t="n">
        <x:f>MAX(0,MIN('Activities'!L651,342)-MAX('Activities'!K651,336))</x:f>
        <x:v>0</x:v>
      </x:c>
      <x:c r="BJ651" s="23" t="n">
        <x:f>MAX(0,MIN('Activities'!L651,348)-MAX('Activities'!K651,342))</x:f>
        <x:v>0</x:v>
      </x:c>
      <x:c r="BK651" s="23" t="n">
        <x:f>MAX(0,MIN('Activities'!L651,354)-MAX('Activities'!K651,348))</x:f>
        <x:v>0</x:v>
      </x:c>
      <x:c r="BL651" s="23" t="n">
        <x:f>MAX(0,MIN('Activities'!L651,360)-MAX('Activities'!K651,354))</x:f>
        <x:v>0</x:v>
      </x:c>
      <x:c r="BM651" s="23" t="n">
        <x:f>MAX(0,MIN('Activities'!L651,366)-MAX('Activities'!K651,360))</x:f>
        <x:v>0</x:v>
      </x:c>
      <x:c r="BN651" s="23" t="n">
        <x:f>MAX(0,MIN('Activities'!L651,372)-MAX('Activities'!K651,366))</x:f>
        <x:v>0</x:v>
      </x:c>
      <x:c r="BO651" s="23" t="n">
        <x:f>MAX(0,MIN('Activities'!L651,378)-MAX('Activities'!K651,372))</x:f>
        <x:v>0</x:v>
      </x:c>
      <x:c r="BP651" s="23" t="n">
        <x:f>MAX(0,MIN('Activities'!L651,384)-MAX('Activities'!K651,378))</x:f>
        <x:v>0</x:v>
      </x:c>
      <x:c r="BQ651" s="23" t="n">
        <x:f>MAX(0,MIN('Activities'!L651,390)-MAX('Activities'!K651,384))</x:f>
        <x:v>0</x:v>
      </x:c>
      <x:c r="BR651" s="23" t="n">
        <x:f>MAX(0,MIN('Activities'!L651,396)-MAX('Activities'!K651,390))</x:f>
        <x:v>0</x:v>
      </x:c>
      <x:c r="BS651" s="23" t="n">
        <x:f>MAX(0,MIN('Activities'!L651,402)-MAX('Activities'!K651,396))</x:f>
        <x:v>0</x:v>
      </x:c>
      <x:c r="BT651" s="23" t="n">
        <x:f>MAX(0,MIN('Activities'!L651,408)-MAX('Activities'!K651,402))</x:f>
        <x:v>5</x:v>
      </x:c>
      <x:c r="BU651" s="23" t="n">
        <x:f>MAX(0,MIN('Activities'!L651,414)-MAX('Activities'!K651,408))</x:f>
        <x:v>0</x:v>
      </x:c>
      <x:c r="BV651" s="23" t="n">
        <x:f>MAX(0,MIN('Activities'!L651,420)-MAX('Activities'!K651,414))</x:f>
        <x:v>0</x:v>
      </x:c>
      <x:c r="BW651" s="23" t="n">
        <x:f>MAX(0,MIN('Activities'!L651,426)-MAX('Activities'!K651,420))</x:f>
        <x:v>0</x:v>
      </x:c>
      <x:c r="BX651" s="23" t="n">
        <x:f>MAX(0,MIN('Activities'!L651,432)-MAX('Activities'!K651,426))</x:f>
        <x:v>0</x:v>
      </x:c>
      <x:c r="BY651" s="23" t="n">
        <x:f>MAX(0,MIN('Activities'!L651,438)-MAX('Activities'!K651,432))</x:f>
        <x:v>0</x:v>
      </x:c>
      <x:c r="BZ651" s="23" t="n">
        <x:f>MAX(0,MIN('Activities'!L651,444)-MAX('Activities'!K651,438))</x:f>
        <x:v>0</x:v>
      </x:c>
      <x:c r="CA651" s="23" t="n">
        <x:f>MAX(0,MIN('Activities'!L651,450)-MAX('Activities'!K651,444))</x:f>
        <x:v>0</x:v>
      </x:c>
      <x:c r="CB651" s="23" t="n">
        <x:f>MAX(0,MIN('Activities'!L651,456)-MAX('Activities'!K651,450))</x:f>
        <x:v>0</x:v>
      </x:c>
      <x:c r="CC651" s="23" t="n">
        <x:f>MAX(0,MIN('Activities'!L651,462)-MAX('Activities'!K651,456))</x:f>
        <x:v>0</x:v>
      </x:c>
      <x:c r="CD651" s="23" t="n">
        <x:f>MAX(0,MIN('Activities'!L651,468)-MAX('Activities'!K651,462))</x:f>
        <x:v>0</x:v>
      </x:c>
      <x:c r="CE651" s="23" t="n">
        <x:f>MAX(0,MIN('Activities'!L651,474)-MAX('Activities'!K651,468))</x:f>
        <x:v>0</x:v>
      </x:c>
      <x:c r="CF651" s="23" t="n">
        <x:f>MAX(0,MIN('Activities'!L651,480)-MAX('Activities'!K651,474))</x:f>
        <x:v>0</x:v>
      </x:c>
      <x:c r="CG651" s="23" t="n">
        <x:f>MAX(0,MIN('Activities'!L651,486)-MAX('Activities'!K651,480))</x:f>
        <x:v>0</x:v>
      </x:c>
      <x:c r="CH651" s="23" t="n">
        <x:f>MAX(0,MIN('Activities'!L651,492)-MAX('Activities'!K651,486))</x:f>
        <x:v>0</x:v>
      </x:c>
      <x:c r="CI651" s="23" t="n">
        <x:f>MAX(0,MIN('Activities'!L651,498)-MAX('Activities'!K651,492))</x:f>
        <x:v>0</x:v>
      </x:c>
      <x:c r="CJ651" s="23" t="n">
        <x:f>MAX(0,MIN('Activities'!L651,504)-MAX('Activities'!K651,498))</x:f>
        <x:v>0</x:v>
      </x:c>
      <x:c r="CK651" s="23" t="n">
        <x:f>MAX(0,MIN('Activities'!L651,510)-MAX('Activities'!K651,504))</x:f>
        <x:v>0</x:v>
      </x:c>
      <x:c r="CL651" s="23" t="n">
        <x:f>MAX(0,MIN('Activities'!L651,516)-MAX('Activities'!K651,510))</x:f>
        <x:v>0</x:v>
      </x:c>
      <x:c r="CM651" s="23" t="n">
        <x:f>MAX(0,MIN('Activities'!L651,522)-MAX('Activities'!K651,516))</x:f>
        <x:v>0</x:v>
      </x:c>
      <x:c r="CN651" s="23" t="n">
        <x:f>MAX(0,MIN('Activities'!L651,528)-MAX('Activities'!K651,522))</x:f>
        <x:v>0</x:v>
      </x:c>
      <x:c r="CO651" s="23" t="n">
        <x:f>MAX(0,MIN('Activities'!L651,534)-MAX('Activities'!K651,528))</x:f>
        <x:v>0</x:v>
      </x:c>
      <x:c r="CP651" s="23" t="n">
        <x:f>MAX(0,MIN('Activities'!L651,540)-MAX('Activities'!K651,534))</x:f>
        <x:v>0</x:v>
      </x:c>
      <x:c r="CQ651" s="23" t="n">
        <x:f>MAX(0,MIN('Activities'!L651,546)-MAX('Activities'!K651,540))</x:f>
        <x:v>0</x:v>
      </x:c>
      <x:c r="CR651" s="23" t="n">
        <x:f>MAX(0,MIN('Activities'!L651,552)-MAX('Activities'!K651,546))</x:f>
        <x:v>0</x:v>
      </x:c>
      <x:c r="CS651" s="23" t="n">
        <x:f>MAX(0,MIN('Activities'!L651,558)-MAX('Activities'!K651,552))</x:f>
        <x:v>0</x:v>
      </x:c>
      <x:c r="CT651" s="23" t="n">
        <x:f>MAX(0,MIN('Activities'!L651,564)-MAX('Activities'!K651,558))</x:f>
        <x:v>0</x:v>
      </x:c>
      <x:c r="CU651" s="23" t="n">
        <x:f>MAX(0,MIN('Activities'!L651,570)-MAX('Activities'!K651,564))</x:f>
        <x:v>0</x:v>
      </x:c>
      <x:c r="CV651" s="23" t="n">
        <x:f>MAX(0,MIN('Activities'!L651,576)-MAX('Activities'!K651,570))</x:f>
        <x:v>0</x:v>
      </x:c>
      <x:c r="CW651" s="23" t="n">
        <x:f>MAX(0,MIN('Activities'!L651,582)-MAX('Activities'!K651,576))</x:f>
        <x:v>0</x:v>
      </x:c>
      <x:c r="CX651" s="23" t="n">
        <x:f>MAX(0,MIN('Activities'!L651,588)-MAX('Activities'!K651,582))</x:f>
        <x:v>0</x:v>
      </x:c>
      <x:c r="CY651" s="23" t="n">
        <x:f>MAX(0,MIN('Activities'!L651,594)-MAX('Activities'!K651,588))</x:f>
        <x:v>0</x:v>
      </x:c>
      <x:c r="CZ651" s="23" t="n">
        <x:f>MAX(0,MIN('Activities'!L651,600)-MAX('Activities'!K651,594))</x:f>
        <x:v>0</x:v>
      </x:c>
      <x:c r="DA651" s="23" t="n">
        <x:f>MAX(0,MIN('Activities'!L651,606)-MAX('Activities'!K651,600))</x:f>
        <x:v>0</x:v>
      </x:c>
      <x:c r="DB651" s="23" t="n">
        <x:f>MAX(0,MIN('Activities'!L651,612)-MAX('Activities'!K651,606))</x:f>
        <x:v>0</x:v>
      </x:c>
      <x:c r="DC651" s="23" t="n">
        <x:f>MAX(0,MIN('Activities'!L651,618)-MAX('Activities'!K651,612))</x:f>
        <x:v>0</x:v>
      </x:c>
      <x:c r="DD651" s="23" t="n">
        <x:f>MAX(0,MIN('Activities'!L651,624)-MAX('Activities'!K651,618))</x:f>
        <x:v>0</x:v>
      </x:c>
      <x:c r="DE651" s="23" t="n">
        <x:f>MAX(0,MIN('Activities'!L651,630)-MAX('Activities'!K651,624))</x:f>
        <x:v>0</x:v>
      </x:c>
      <x:c r="DF651" s="23" t="n">
        <x:f>MAX(0,MIN('Activities'!L651,636)-MAX('Activities'!K651,630))</x:f>
        <x:v>0</x:v>
      </x:c>
    </x:row>
    <x:row r="652" ht="23" customHeight="1">
      <x:c r="A652" s="6" t="str">
        <x:v>T5-L08-P</x:v>
      </x:c>
      <x:c r="B652" s="6" t="str">
        <x:v>T5</x:v>
      </x:c>
      <x:c r="C652" s="6" t="str">
        <x:v>Internal plaster</x:v>
      </x:c>
      <x:c r="D652" s="6" t="str">
        <x:v>Finishes</x:v>
      </x:c>
      <x:c r="E652" s="22" t="n">
        <x:f>MAX(0,MIN('Activities'!L652,6)-MAX('Activities'!K652,0))</x:f>
        <x:v>0</x:v>
      </x:c>
      <x:c r="F652" s="22" t="n">
        <x:f>MAX(0,MIN('Activities'!L652,12)-MAX('Activities'!K652,6))</x:f>
        <x:v>0</x:v>
      </x:c>
      <x:c r="G652" s="22" t="n">
        <x:f>MAX(0,MIN('Activities'!L652,18)-MAX('Activities'!K652,12))</x:f>
        <x:v>0</x:v>
      </x:c>
      <x:c r="H652" s="22" t="n">
        <x:f>MAX(0,MIN('Activities'!L652,24)-MAX('Activities'!K652,18))</x:f>
        <x:v>0</x:v>
      </x:c>
      <x:c r="I652" s="22" t="n">
        <x:f>MAX(0,MIN('Activities'!L652,30)-MAX('Activities'!K652,24))</x:f>
        <x:v>0</x:v>
      </x:c>
      <x:c r="J652" s="22" t="n">
        <x:f>MAX(0,MIN('Activities'!L652,36)-MAX('Activities'!K652,30))</x:f>
        <x:v>0</x:v>
      </x:c>
      <x:c r="K652" s="22" t="n">
        <x:f>MAX(0,MIN('Activities'!L652,42)-MAX('Activities'!K652,36))</x:f>
        <x:v>0</x:v>
      </x:c>
      <x:c r="L652" s="22" t="n">
        <x:f>MAX(0,MIN('Activities'!L652,48)-MAX('Activities'!K652,42))</x:f>
        <x:v>0</x:v>
      </x:c>
      <x:c r="M652" s="22" t="n">
        <x:f>MAX(0,MIN('Activities'!L652,54)-MAX('Activities'!K652,48))</x:f>
        <x:v>0</x:v>
      </x:c>
      <x:c r="N652" s="22" t="n">
        <x:f>MAX(0,MIN('Activities'!L652,60)-MAX('Activities'!K652,54))</x:f>
        <x:v>0</x:v>
      </x:c>
      <x:c r="O652" s="22" t="n">
        <x:f>MAX(0,MIN('Activities'!L652,66)-MAX('Activities'!K652,60))</x:f>
        <x:v>0</x:v>
      </x:c>
      <x:c r="P652" s="22" t="n">
        <x:f>MAX(0,MIN('Activities'!L652,72)-MAX('Activities'!K652,66))</x:f>
        <x:v>0</x:v>
      </x:c>
      <x:c r="Q652" s="22" t="n">
        <x:f>MAX(0,MIN('Activities'!L652,78)-MAX('Activities'!K652,72))</x:f>
        <x:v>0</x:v>
      </x:c>
      <x:c r="R652" s="22" t="n">
        <x:f>MAX(0,MIN('Activities'!L652,84)-MAX('Activities'!K652,78))</x:f>
        <x:v>0</x:v>
      </x:c>
      <x:c r="S652" s="22" t="n">
        <x:f>MAX(0,MIN('Activities'!L652,90)-MAX('Activities'!K652,84))</x:f>
        <x:v>0</x:v>
      </x:c>
      <x:c r="T652" s="22" t="n">
        <x:f>MAX(0,MIN('Activities'!L652,96)-MAX('Activities'!K652,90))</x:f>
        <x:v>0</x:v>
      </x:c>
      <x:c r="U652" s="22" t="n">
        <x:f>MAX(0,MIN('Activities'!L652,102)-MAX('Activities'!K652,96))</x:f>
        <x:v>0</x:v>
      </x:c>
      <x:c r="V652" s="22" t="n">
        <x:f>MAX(0,MIN('Activities'!L652,108)-MAX('Activities'!K652,102))</x:f>
        <x:v>0</x:v>
      </x:c>
      <x:c r="W652" s="22" t="n">
        <x:f>MAX(0,MIN('Activities'!L652,114)-MAX('Activities'!K652,108))</x:f>
        <x:v>0</x:v>
      </x:c>
      <x:c r="X652" s="22" t="n">
        <x:f>MAX(0,MIN('Activities'!L652,120)-MAX('Activities'!K652,114))</x:f>
        <x:v>0</x:v>
      </x:c>
      <x:c r="Y652" s="22" t="n">
        <x:f>MAX(0,MIN('Activities'!L652,126)-MAX('Activities'!K652,120))</x:f>
        <x:v>0</x:v>
      </x:c>
      <x:c r="Z652" s="22" t="n">
        <x:f>MAX(0,MIN('Activities'!L652,132)-MAX('Activities'!K652,126))</x:f>
        <x:v>0</x:v>
      </x:c>
      <x:c r="AA652" s="22" t="n">
        <x:f>MAX(0,MIN('Activities'!L652,138)-MAX('Activities'!K652,132))</x:f>
        <x:v>0</x:v>
      </x:c>
      <x:c r="AB652" s="22" t="n">
        <x:f>MAX(0,MIN('Activities'!L652,144)-MAX('Activities'!K652,138))</x:f>
        <x:v>0</x:v>
      </x:c>
      <x:c r="AC652" s="22" t="n">
        <x:f>MAX(0,MIN('Activities'!L652,150)-MAX('Activities'!K652,144))</x:f>
        <x:v>0</x:v>
      </x:c>
      <x:c r="AD652" s="22" t="n">
        <x:f>MAX(0,MIN('Activities'!L652,156)-MAX('Activities'!K652,150))</x:f>
        <x:v>0</x:v>
      </x:c>
      <x:c r="AE652" s="22" t="n">
        <x:f>MAX(0,MIN('Activities'!L652,162)-MAX('Activities'!K652,156))</x:f>
        <x:v>0</x:v>
      </x:c>
      <x:c r="AF652" s="22" t="n">
        <x:f>MAX(0,MIN('Activities'!L652,168)-MAX('Activities'!K652,162))</x:f>
        <x:v>0</x:v>
      </x:c>
      <x:c r="AG652" s="22" t="n">
        <x:f>MAX(0,MIN('Activities'!L652,174)-MAX('Activities'!K652,168))</x:f>
        <x:v>0</x:v>
      </x:c>
      <x:c r="AH652" s="22" t="n">
        <x:f>MAX(0,MIN('Activities'!L652,180)-MAX('Activities'!K652,174))</x:f>
        <x:v>0</x:v>
      </x:c>
      <x:c r="AI652" s="22" t="n">
        <x:f>MAX(0,MIN('Activities'!L652,186)-MAX('Activities'!K652,180))</x:f>
        <x:v>0</x:v>
      </x:c>
      <x:c r="AJ652" s="22" t="n">
        <x:f>MAX(0,MIN('Activities'!L652,192)-MAX('Activities'!K652,186))</x:f>
        <x:v>0</x:v>
      </x:c>
      <x:c r="AK652" s="22" t="n">
        <x:f>MAX(0,MIN('Activities'!L652,198)-MAX('Activities'!K652,192))</x:f>
        <x:v>0</x:v>
      </x:c>
      <x:c r="AL652" s="22" t="n">
        <x:f>MAX(0,MIN('Activities'!L652,204)-MAX('Activities'!K652,198))</x:f>
        <x:v>0</x:v>
      </x:c>
      <x:c r="AM652" s="22" t="n">
        <x:f>MAX(0,MIN('Activities'!L652,210)-MAX('Activities'!K652,204))</x:f>
        <x:v>0</x:v>
      </x:c>
      <x:c r="AN652" s="22" t="n">
        <x:f>MAX(0,MIN('Activities'!L652,216)-MAX('Activities'!K652,210))</x:f>
        <x:v>0</x:v>
      </x:c>
      <x:c r="AO652" s="22" t="n">
        <x:f>MAX(0,MIN('Activities'!L652,222)-MAX('Activities'!K652,216))</x:f>
        <x:v>0</x:v>
      </x:c>
      <x:c r="AP652" s="22" t="n">
        <x:f>MAX(0,MIN('Activities'!L652,228)-MAX('Activities'!K652,222))</x:f>
        <x:v>0</x:v>
      </x:c>
      <x:c r="AQ652" s="22" t="n">
        <x:f>MAX(0,MIN('Activities'!L652,234)-MAX('Activities'!K652,228))</x:f>
        <x:v>0</x:v>
      </x:c>
      <x:c r="AR652" s="22" t="n">
        <x:f>MAX(0,MIN('Activities'!L652,240)-MAX('Activities'!K652,234))</x:f>
        <x:v>0</x:v>
      </x:c>
      <x:c r="AS652" s="22" t="n">
        <x:f>MAX(0,MIN('Activities'!L652,246)-MAX('Activities'!K652,240))</x:f>
        <x:v>0</x:v>
      </x:c>
      <x:c r="AT652" s="22" t="n">
        <x:f>MAX(0,MIN('Activities'!L652,252)-MAX('Activities'!K652,246))</x:f>
        <x:v>0</x:v>
      </x:c>
      <x:c r="AU652" s="22" t="n">
        <x:f>MAX(0,MIN('Activities'!L652,258)-MAX('Activities'!K652,252))</x:f>
        <x:v>0</x:v>
      </x:c>
      <x:c r="AV652" s="22" t="n">
        <x:f>MAX(0,MIN('Activities'!L652,264)-MAX('Activities'!K652,258))</x:f>
        <x:v>0</x:v>
      </x:c>
      <x:c r="AW652" s="22" t="n">
        <x:f>MAX(0,MIN('Activities'!L652,270)-MAX('Activities'!K652,264))</x:f>
        <x:v>0</x:v>
      </x:c>
      <x:c r="AX652" s="22" t="n">
        <x:f>MAX(0,MIN('Activities'!L652,276)-MAX('Activities'!K652,270))</x:f>
        <x:v>0</x:v>
      </x:c>
      <x:c r="AY652" s="22" t="n">
        <x:f>MAX(0,MIN('Activities'!L652,282)-MAX('Activities'!K652,276))</x:f>
        <x:v>0</x:v>
      </x:c>
      <x:c r="AZ652" s="22" t="n">
        <x:f>MAX(0,MIN('Activities'!L652,288)-MAX('Activities'!K652,282))</x:f>
        <x:v>0</x:v>
      </x:c>
      <x:c r="BA652" s="22" t="n">
        <x:f>MAX(0,MIN('Activities'!L652,294)-MAX('Activities'!K652,288))</x:f>
        <x:v>0</x:v>
      </x:c>
      <x:c r="BB652" s="22" t="n">
        <x:f>MAX(0,MIN('Activities'!L652,300)-MAX('Activities'!K652,294))</x:f>
        <x:v>0</x:v>
      </x:c>
      <x:c r="BC652" s="22" t="n">
        <x:f>MAX(0,MIN('Activities'!L652,306)-MAX('Activities'!K652,300))</x:f>
        <x:v>0</x:v>
      </x:c>
      <x:c r="BD652" s="22" t="n">
        <x:f>MAX(0,MIN('Activities'!L652,312)-MAX('Activities'!K652,306))</x:f>
        <x:v>0</x:v>
      </x:c>
      <x:c r="BE652" s="22" t="n">
        <x:f>MAX(0,MIN('Activities'!L652,318)-MAX('Activities'!K652,312))</x:f>
        <x:v>0</x:v>
      </x:c>
      <x:c r="BF652" s="22" t="n">
        <x:f>MAX(0,MIN('Activities'!L652,324)-MAX('Activities'!K652,318))</x:f>
        <x:v>0</x:v>
      </x:c>
      <x:c r="BG652" s="22" t="n">
        <x:f>MAX(0,MIN('Activities'!L652,330)-MAX('Activities'!K652,324))</x:f>
        <x:v>0</x:v>
      </x:c>
      <x:c r="BH652" s="22" t="n">
        <x:f>MAX(0,MIN('Activities'!L652,336)-MAX('Activities'!K652,330))</x:f>
        <x:v>0</x:v>
      </x:c>
      <x:c r="BI652" s="22" t="n">
        <x:f>MAX(0,MIN('Activities'!L652,342)-MAX('Activities'!K652,336))</x:f>
        <x:v>0</x:v>
      </x:c>
      <x:c r="BJ652" s="22" t="n">
        <x:f>MAX(0,MIN('Activities'!L652,348)-MAX('Activities'!K652,342))</x:f>
        <x:v>0</x:v>
      </x:c>
      <x:c r="BK652" s="22" t="n">
        <x:f>MAX(0,MIN('Activities'!L652,354)-MAX('Activities'!K652,348))</x:f>
        <x:v>0</x:v>
      </x:c>
      <x:c r="BL652" s="22" t="n">
        <x:f>MAX(0,MIN('Activities'!L652,360)-MAX('Activities'!K652,354))</x:f>
        <x:v>0</x:v>
      </x:c>
      <x:c r="BM652" s="22" t="n">
        <x:f>MAX(0,MIN('Activities'!L652,366)-MAX('Activities'!K652,360))</x:f>
        <x:v>0</x:v>
      </x:c>
      <x:c r="BN652" s="22" t="n">
        <x:f>MAX(0,MIN('Activities'!L652,372)-MAX('Activities'!K652,366))</x:f>
        <x:v>0</x:v>
      </x:c>
      <x:c r="BO652" s="22" t="n">
        <x:f>MAX(0,MIN('Activities'!L652,378)-MAX('Activities'!K652,372))</x:f>
        <x:v>0</x:v>
      </x:c>
      <x:c r="BP652" s="22" t="n">
        <x:f>MAX(0,MIN('Activities'!L652,384)-MAX('Activities'!K652,378))</x:f>
        <x:v>0</x:v>
      </x:c>
      <x:c r="BQ652" s="22" t="n">
        <x:f>MAX(0,MIN('Activities'!L652,390)-MAX('Activities'!K652,384))</x:f>
        <x:v>0</x:v>
      </x:c>
      <x:c r="BR652" s="22" t="n">
        <x:f>MAX(0,MIN('Activities'!L652,396)-MAX('Activities'!K652,390))</x:f>
        <x:v>0</x:v>
      </x:c>
      <x:c r="BS652" s="22" t="n">
        <x:f>MAX(0,MIN('Activities'!L652,402)-MAX('Activities'!K652,396))</x:f>
        <x:v>0</x:v>
      </x:c>
      <x:c r="BT652" s="22" t="n">
        <x:f>MAX(0,MIN('Activities'!L652,408)-MAX('Activities'!K652,402))</x:f>
        <x:v>0</x:v>
      </x:c>
      <x:c r="BU652" s="22" t="n">
        <x:f>MAX(0,MIN('Activities'!L652,414)-MAX('Activities'!K652,408))</x:f>
        <x:v>3</x:v>
      </x:c>
      <x:c r="BV652" s="22" t="n">
        <x:f>MAX(0,MIN('Activities'!L652,420)-MAX('Activities'!K652,414))</x:f>
        <x:v>3</x:v>
      </x:c>
      <x:c r="BW652" s="22" t="n">
        <x:f>MAX(0,MIN('Activities'!L652,426)-MAX('Activities'!K652,420))</x:f>
        <x:v>0</x:v>
      </x:c>
      <x:c r="BX652" s="22" t="n">
        <x:f>MAX(0,MIN('Activities'!L652,432)-MAX('Activities'!K652,426))</x:f>
        <x:v>0</x:v>
      </x:c>
      <x:c r="BY652" s="22" t="n">
        <x:f>MAX(0,MIN('Activities'!L652,438)-MAX('Activities'!K652,432))</x:f>
        <x:v>0</x:v>
      </x:c>
      <x:c r="BZ652" s="22" t="n">
        <x:f>MAX(0,MIN('Activities'!L652,444)-MAX('Activities'!K652,438))</x:f>
        <x:v>0</x:v>
      </x:c>
      <x:c r="CA652" s="22" t="n">
        <x:f>MAX(0,MIN('Activities'!L652,450)-MAX('Activities'!K652,444))</x:f>
        <x:v>0</x:v>
      </x:c>
      <x:c r="CB652" s="22" t="n">
        <x:f>MAX(0,MIN('Activities'!L652,456)-MAX('Activities'!K652,450))</x:f>
        <x:v>0</x:v>
      </x:c>
      <x:c r="CC652" s="22" t="n">
        <x:f>MAX(0,MIN('Activities'!L652,462)-MAX('Activities'!K652,456))</x:f>
        <x:v>0</x:v>
      </x:c>
      <x:c r="CD652" s="22" t="n">
        <x:f>MAX(0,MIN('Activities'!L652,468)-MAX('Activities'!K652,462))</x:f>
        <x:v>0</x:v>
      </x:c>
      <x:c r="CE652" s="22" t="n">
        <x:f>MAX(0,MIN('Activities'!L652,474)-MAX('Activities'!K652,468))</x:f>
        <x:v>0</x:v>
      </x:c>
      <x:c r="CF652" s="22" t="n">
        <x:f>MAX(0,MIN('Activities'!L652,480)-MAX('Activities'!K652,474))</x:f>
        <x:v>0</x:v>
      </x:c>
      <x:c r="CG652" s="22" t="n">
        <x:f>MAX(0,MIN('Activities'!L652,486)-MAX('Activities'!K652,480))</x:f>
        <x:v>0</x:v>
      </x:c>
      <x:c r="CH652" s="22" t="n">
        <x:f>MAX(0,MIN('Activities'!L652,492)-MAX('Activities'!K652,486))</x:f>
        <x:v>0</x:v>
      </x:c>
      <x:c r="CI652" s="22" t="n">
        <x:f>MAX(0,MIN('Activities'!L652,498)-MAX('Activities'!K652,492))</x:f>
        <x:v>0</x:v>
      </x:c>
      <x:c r="CJ652" s="22" t="n">
        <x:f>MAX(0,MIN('Activities'!L652,504)-MAX('Activities'!K652,498))</x:f>
        <x:v>0</x:v>
      </x:c>
      <x:c r="CK652" s="22" t="n">
        <x:f>MAX(0,MIN('Activities'!L652,510)-MAX('Activities'!K652,504))</x:f>
        <x:v>0</x:v>
      </x:c>
      <x:c r="CL652" s="22" t="n">
        <x:f>MAX(0,MIN('Activities'!L652,516)-MAX('Activities'!K652,510))</x:f>
        <x:v>0</x:v>
      </x:c>
      <x:c r="CM652" s="22" t="n">
        <x:f>MAX(0,MIN('Activities'!L652,522)-MAX('Activities'!K652,516))</x:f>
        <x:v>0</x:v>
      </x:c>
      <x:c r="CN652" s="22" t="n">
        <x:f>MAX(0,MIN('Activities'!L652,528)-MAX('Activities'!K652,522))</x:f>
        <x:v>0</x:v>
      </x:c>
      <x:c r="CO652" s="22" t="n">
        <x:f>MAX(0,MIN('Activities'!L652,534)-MAX('Activities'!K652,528))</x:f>
        <x:v>0</x:v>
      </x:c>
      <x:c r="CP652" s="22" t="n">
        <x:f>MAX(0,MIN('Activities'!L652,540)-MAX('Activities'!K652,534))</x:f>
        <x:v>0</x:v>
      </x:c>
      <x:c r="CQ652" s="22" t="n">
        <x:f>MAX(0,MIN('Activities'!L652,546)-MAX('Activities'!K652,540))</x:f>
        <x:v>0</x:v>
      </x:c>
      <x:c r="CR652" s="22" t="n">
        <x:f>MAX(0,MIN('Activities'!L652,552)-MAX('Activities'!K652,546))</x:f>
        <x:v>0</x:v>
      </x:c>
      <x:c r="CS652" s="22" t="n">
        <x:f>MAX(0,MIN('Activities'!L652,558)-MAX('Activities'!K652,552))</x:f>
        <x:v>0</x:v>
      </x:c>
      <x:c r="CT652" s="22" t="n">
        <x:f>MAX(0,MIN('Activities'!L652,564)-MAX('Activities'!K652,558))</x:f>
        <x:v>0</x:v>
      </x:c>
      <x:c r="CU652" s="22" t="n">
        <x:f>MAX(0,MIN('Activities'!L652,570)-MAX('Activities'!K652,564))</x:f>
        <x:v>0</x:v>
      </x:c>
      <x:c r="CV652" s="22" t="n">
        <x:f>MAX(0,MIN('Activities'!L652,576)-MAX('Activities'!K652,570))</x:f>
        <x:v>0</x:v>
      </x:c>
      <x:c r="CW652" s="22" t="n">
        <x:f>MAX(0,MIN('Activities'!L652,582)-MAX('Activities'!K652,576))</x:f>
        <x:v>0</x:v>
      </x:c>
      <x:c r="CX652" s="22" t="n">
        <x:f>MAX(0,MIN('Activities'!L652,588)-MAX('Activities'!K652,582))</x:f>
        <x:v>0</x:v>
      </x:c>
      <x:c r="CY652" s="22" t="n">
        <x:f>MAX(0,MIN('Activities'!L652,594)-MAX('Activities'!K652,588))</x:f>
        <x:v>0</x:v>
      </x:c>
      <x:c r="CZ652" s="22" t="n">
        <x:f>MAX(0,MIN('Activities'!L652,600)-MAX('Activities'!K652,594))</x:f>
        <x:v>0</x:v>
      </x:c>
      <x:c r="DA652" s="22" t="n">
        <x:f>MAX(0,MIN('Activities'!L652,606)-MAX('Activities'!K652,600))</x:f>
        <x:v>0</x:v>
      </x:c>
      <x:c r="DB652" s="22" t="n">
        <x:f>MAX(0,MIN('Activities'!L652,612)-MAX('Activities'!K652,606))</x:f>
        <x:v>0</x:v>
      </x:c>
      <x:c r="DC652" s="22" t="n">
        <x:f>MAX(0,MIN('Activities'!L652,618)-MAX('Activities'!K652,612))</x:f>
        <x:v>0</x:v>
      </x:c>
      <x:c r="DD652" s="22" t="n">
        <x:f>MAX(0,MIN('Activities'!L652,624)-MAX('Activities'!K652,618))</x:f>
        <x:v>0</x:v>
      </x:c>
      <x:c r="DE652" s="22" t="n">
        <x:f>MAX(0,MIN('Activities'!L652,630)-MAX('Activities'!K652,624))</x:f>
        <x:v>0</x:v>
      </x:c>
      <x:c r="DF652" s="22" t="n">
        <x:f>MAX(0,MIN('Activities'!L652,636)-MAX('Activities'!K652,630))</x:f>
        <x:v>0</x:v>
      </x:c>
    </x:row>
    <x:row r="653" ht="23" customHeight="1">
      <x:c r="A653" s="1" t="str">
        <x:v>T5-L08-S</x:v>
      </x:c>
      <x:c r="B653" s="1" t="str">
        <x:v>T5</x:v>
      </x:c>
      <x:c r="C653" s="1" t="str">
        <x:v>Screed and substrate preparation</x:v>
      </x:c>
      <x:c r="D653" s="1" t="str">
        <x:v>Finishes</x:v>
      </x:c>
      <x:c r="E653" s="23" t="n">
        <x:f>MAX(0,MIN('Activities'!L653,6)-MAX('Activities'!K653,0))</x:f>
        <x:v>0</x:v>
      </x:c>
      <x:c r="F653" s="23" t="n">
        <x:f>MAX(0,MIN('Activities'!L653,12)-MAX('Activities'!K653,6))</x:f>
        <x:v>0</x:v>
      </x:c>
      <x:c r="G653" s="23" t="n">
        <x:f>MAX(0,MIN('Activities'!L653,18)-MAX('Activities'!K653,12))</x:f>
        <x:v>0</x:v>
      </x:c>
      <x:c r="H653" s="23" t="n">
        <x:f>MAX(0,MIN('Activities'!L653,24)-MAX('Activities'!K653,18))</x:f>
        <x:v>0</x:v>
      </x:c>
      <x:c r="I653" s="23" t="n">
        <x:f>MAX(0,MIN('Activities'!L653,30)-MAX('Activities'!K653,24))</x:f>
        <x:v>0</x:v>
      </x:c>
      <x:c r="J653" s="23" t="n">
        <x:f>MAX(0,MIN('Activities'!L653,36)-MAX('Activities'!K653,30))</x:f>
        <x:v>0</x:v>
      </x:c>
      <x:c r="K653" s="23" t="n">
        <x:f>MAX(0,MIN('Activities'!L653,42)-MAX('Activities'!K653,36))</x:f>
        <x:v>0</x:v>
      </x:c>
      <x:c r="L653" s="23" t="n">
        <x:f>MAX(0,MIN('Activities'!L653,48)-MAX('Activities'!K653,42))</x:f>
        <x:v>0</x:v>
      </x:c>
      <x:c r="M653" s="23" t="n">
        <x:f>MAX(0,MIN('Activities'!L653,54)-MAX('Activities'!K653,48))</x:f>
        <x:v>0</x:v>
      </x:c>
      <x:c r="N653" s="23" t="n">
        <x:f>MAX(0,MIN('Activities'!L653,60)-MAX('Activities'!K653,54))</x:f>
        <x:v>0</x:v>
      </x:c>
      <x:c r="O653" s="23" t="n">
        <x:f>MAX(0,MIN('Activities'!L653,66)-MAX('Activities'!K653,60))</x:f>
        <x:v>0</x:v>
      </x:c>
      <x:c r="P653" s="23" t="n">
        <x:f>MAX(0,MIN('Activities'!L653,72)-MAX('Activities'!K653,66))</x:f>
        <x:v>0</x:v>
      </x:c>
      <x:c r="Q653" s="23" t="n">
        <x:f>MAX(0,MIN('Activities'!L653,78)-MAX('Activities'!K653,72))</x:f>
        <x:v>0</x:v>
      </x:c>
      <x:c r="R653" s="23" t="n">
        <x:f>MAX(0,MIN('Activities'!L653,84)-MAX('Activities'!K653,78))</x:f>
        <x:v>0</x:v>
      </x:c>
      <x:c r="S653" s="23" t="n">
        <x:f>MAX(0,MIN('Activities'!L653,90)-MAX('Activities'!K653,84))</x:f>
        <x:v>0</x:v>
      </x:c>
      <x:c r="T653" s="23" t="n">
        <x:f>MAX(0,MIN('Activities'!L653,96)-MAX('Activities'!K653,90))</x:f>
        <x:v>0</x:v>
      </x:c>
      <x:c r="U653" s="23" t="n">
        <x:f>MAX(0,MIN('Activities'!L653,102)-MAX('Activities'!K653,96))</x:f>
        <x:v>0</x:v>
      </x:c>
      <x:c r="V653" s="23" t="n">
        <x:f>MAX(0,MIN('Activities'!L653,108)-MAX('Activities'!K653,102))</x:f>
        <x:v>0</x:v>
      </x:c>
      <x:c r="W653" s="23" t="n">
        <x:f>MAX(0,MIN('Activities'!L653,114)-MAX('Activities'!K653,108))</x:f>
        <x:v>0</x:v>
      </x:c>
      <x:c r="X653" s="23" t="n">
        <x:f>MAX(0,MIN('Activities'!L653,120)-MAX('Activities'!K653,114))</x:f>
        <x:v>0</x:v>
      </x:c>
      <x:c r="Y653" s="23" t="n">
        <x:f>MAX(0,MIN('Activities'!L653,126)-MAX('Activities'!K653,120))</x:f>
        <x:v>0</x:v>
      </x:c>
      <x:c r="Z653" s="23" t="n">
        <x:f>MAX(0,MIN('Activities'!L653,132)-MAX('Activities'!K653,126))</x:f>
        <x:v>0</x:v>
      </x:c>
      <x:c r="AA653" s="23" t="n">
        <x:f>MAX(0,MIN('Activities'!L653,138)-MAX('Activities'!K653,132))</x:f>
        <x:v>0</x:v>
      </x:c>
      <x:c r="AB653" s="23" t="n">
        <x:f>MAX(0,MIN('Activities'!L653,144)-MAX('Activities'!K653,138))</x:f>
        <x:v>0</x:v>
      </x:c>
      <x:c r="AC653" s="23" t="n">
        <x:f>MAX(0,MIN('Activities'!L653,150)-MAX('Activities'!K653,144))</x:f>
        <x:v>0</x:v>
      </x:c>
      <x:c r="AD653" s="23" t="n">
        <x:f>MAX(0,MIN('Activities'!L653,156)-MAX('Activities'!K653,150))</x:f>
        <x:v>0</x:v>
      </x:c>
      <x:c r="AE653" s="23" t="n">
        <x:f>MAX(0,MIN('Activities'!L653,162)-MAX('Activities'!K653,156))</x:f>
        <x:v>0</x:v>
      </x:c>
      <x:c r="AF653" s="23" t="n">
        <x:f>MAX(0,MIN('Activities'!L653,168)-MAX('Activities'!K653,162))</x:f>
        <x:v>0</x:v>
      </x:c>
      <x:c r="AG653" s="23" t="n">
        <x:f>MAX(0,MIN('Activities'!L653,174)-MAX('Activities'!K653,168))</x:f>
        <x:v>0</x:v>
      </x:c>
      <x:c r="AH653" s="23" t="n">
        <x:f>MAX(0,MIN('Activities'!L653,180)-MAX('Activities'!K653,174))</x:f>
        <x:v>0</x:v>
      </x:c>
      <x:c r="AI653" s="23" t="n">
        <x:f>MAX(0,MIN('Activities'!L653,186)-MAX('Activities'!K653,180))</x:f>
        <x:v>0</x:v>
      </x:c>
      <x:c r="AJ653" s="23" t="n">
        <x:f>MAX(0,MIN('Activities'!L653,192)-MAX('Activities'!K653,186))</x:f>
        <x:v>0</x:v>
      </x:c>
      <x:c r="AK653" s="23" t="n">
        <x:f>MAX(0,MIN('Activities'!L653,198)-MAX('Activities'!K653,192))</x:f>
        <x:v>0</x:v>
      </x:c>
      <x:c r="AL653" s="23" t="n">
        <x:f>MAX(0,MIN('Activities'!L653,204)-MAX('Activities'!K653,198))</x:f>
        <x:v>0</x:v>
      </x:c>
      <x:c r="AM653" s="23" t="n">
        <x:f>MAX(0,MIN('Activities'!L653,210)-MAX('Activities'!K653,204))</x:f>
        <x:v>0</x:v>
      </x:c>
      <x:c r="AN653" s="23" t="n">
        <x:f>MAX(0,MIN('Activities'!L653,216)-MAX('Activities'!K653,210))</x:f>
        <x:v>0</x:v>
      </x:c>
      <x:c r="AO653" s="23" t="n">
        <x:f>MAX(0,MIN('Activities'!L653,222)-MAX('Activities'!K653,216))</x:f>
        <x:v>0</x:v>
      </x:c>
      <x:c r="AP653" s="23" t="n">
        <x:f>MAX(0,MIN('Activities'!L653,228)-MAX('Activities'!K653,222))</x:f>
        <x:v>0</x:v>
      </x:c>
      <x:c r="AQ653" s="23" t="n">
        <x:f>MAX(0,MIN('Activities'!L653,234)-MAX('Activities'!K653,228))</x:f>
        <x:v>0</x:v>
      </x:c>
      <x:c r="AR653" s="23" t="n">
        <x:f>MAX(0,MIN('Activities'!L653,240)-MAX('Activities'!K653,234))</x:f>
        <x:v>0</x:v>
      </x:c>
      <x:c r="AS653" s="23" t="n">
        <x:f>MAX(0,MIN('Activities'!L653,246)-MAX('Activities'!K653,240))</x:f>
        <x:v>0</x:v>
      </x:c>
      <x:c r="AT653" s="23" t="n">
        <x:f>MAX(0,MIN('Activities'!L653,252)-MAX('Activities'!K653,246))</x:f>
        <x:v>0</x:v>
      </x:c>
      <x:c r="AU653" s="23" t="n">
        <x:f>MAX(0,MIN('Activities'!L653,258)-MAX('Activities'!K653,252))</x:f>
        <x:v>0</x:v>
      </x:c>
      <x:c r="AV653" s="23" t="n">
        <x:f>MAX(0,MIN('Activities'!L653,264)-MAX('Activities'!K653,258))</x:f>
        <x:v>0</x:v>
      </x:c>
      <x:c r="AW653" s="23" t="n">
        <x:f>MAX(0,MIN('Activities'!L653,270)-MAX('Activities'!K653,264))</x:f>
        <x:v>0</x:v>
      </x:c>
      <x:c r="AX653" s="23" t="n">
        <x:f>MAX(0,MIN('Activities'!L653,276)-MAX('Activities'!K653,270))</x:f>
        <x:v>0</x:v>
      </x:c>
      <x:c r="AY653" s="23" t="n">
        <x:f>MAX(0,MIN('Activities'!L653,282)-MAX('Activities'!K653,276))</x:f>
        <x:v>0</x:v>
      </x:c>
      <x:c r="AZ653" s="23" t="n">
        <x:f>MAX(0,MIN('Activities'!L653,288)-MAX('Activities'!K653,282))</x:f>
        <x:v>0</x:v>
      </x:c>
      <x:c r="BA653" s="23" t="n">
        <x:f>MAX(0,MIN('Activities'!L653,294)-MAX('Activities'!K653,288))</x:f>
        <x:v>0</x:v>
      </x:c>
      <x:c r="BB653" s="23" t="n">
        <x:f>MAX(0,MIN('Activities'!L653,300)-MAX('Activities'!K653,294))</x:f>
        <x:v>0</x:v>
      </x:c>
      <x:c r="BC653" s="23" t="n">
        <x:f>MAX(0,MIN('Activities'!L653,306)-MAX('Activities'!K653,300))</x:f>
        <x:v>0</x:v>
      </x:c>
      <x:c r="BD653" s="23" t="n">
        <x:f>MAX(0,MIN('Activities'!L653,312)-MAX('Activities'!K653,306))</x:f>
        <x:v>0</x:v>
      </x:c>
      <x:c r="BE653" s="23" t="n">
        <x:f>MAX(0,MIN('Activities'!L653,318)-MAX('Activities'!K653,312))</x:f>
        <x:v>0</x:v>
      </x:c>
      <x:c r="BF653" s="23" t="n">
        <x:f>MAX(0,MIN('Activities'!L653,324)-MAX('Activities'!K653,318))</x:f>
        <x:v>0</x:v>
      </x:c>
      <x:c r="BG653" s="23" t="n">
        <x:f>MAX(0,MIN('Activities'!L653,330)-MAX('Activities'!K653,324))</x:f>
        <x:v>0</x:v>
      </x:c>
      <x:c r="BH653" s="23" t="n">
        <x:f>MAX(0,MIN('Activities'!L653,336)-MAX('Activities'!K653,330))</x:f>
        <x:v>0</x:v>
      </x:c>
      <x:c r="BI653" s="23" t="n">
        <x:f>MAX(0,MIN('Activities'!L653,342)-MAX('Activities'!K653,336))</x:f>
        <x:v>0</x:v>
      </x:c>
      <x:c r="BJ653" s="23" t="n">
        <x:f>MAX(0,MIN('Activities'!L653,348)-MAX('Activities'!K653,342))</x:f>
        <x:v>0</x:v>
      </x:c>
      <x:c r="BK653" s="23" t="n">
        <x:f>MAX(0,MIN('Activities'!L653,354)-MAX('Activities'!K653,348))</x:f>
        <x:v>0</x:v>
      </x:c>
      <x:c r="BL653" s="23" t="n">
        <x:f>MAX(0,MIN('Activities'!L653,360)-MAX('Activities'!K653,354))</x:f>
        <x:v>0</x:v>
      </x:c>
      <x:c r="BM653" s="23" t="n">
        <x:f>MAX(0,MIN('Activities'!L653,366)-MAX('Activities'!K653,360))</x:f>
        <x:v>0</x:v>
      </x:c>
      <x:c r="BN653" s="23" t="n">
        <x:f>MAX(0,MIN('Activities'!L653,372)-MAX('Activities'!K653,366))</x:f>
        <x:v>0</x:v>
      </x:c>
      <x:c r="BO653" s="23" t="n">
        <x:f>MAX(0,MIN('Activities'!L653,378)-MAX('Activities'!K653,372))</x:f>
        <x:v>0</x:v>
      </x:c>
      <x:c r="BP653" s="23" t="n">
        <x:f>MAX(0,MIN('Activities'!L653,384)-MAX('Activities'!K653,378))</x:f>
        <x:v>0</x:v>
      </x:c>
      <x:c r="BQ653" s="23" t="n">
        <x:f>MAX(0,MIN('Activities'!L653,390)-MAX('Activities'!K653,384))</x:f>
        <x:v>0</x:v>
      </x:c>
      <x:c r="BR653" s="23" t="n">
        <x:f>MAX(0,MIN('Activities'!L653,396)-MAX('Activities'!K653,390))</x:f>
        <x:v>0</x:v>
      </x:c>
      <x:c r="BS653" s="23" t="n">
        <x:f>MAX(0,MIN('Activities'!L653,402)-MAX('Activities'!K653,396))</x:f>
        <x:v>0</x:v>
      </x:c>
      <x:c r="BT653" s="23" t="n">
        <x:f>MAX(0,MIN('Activities'!L653,408)-MAX('Activities'!K653,402))</x:f>
        <x:v>0</x:v>
      </x:c>
      <x:c r="BU653" s="23" t="n">
        <x:f>MAX(0,MIN('Activities'!L653,414)-MAX('Activities'!K653,408))</x:f>
        <x:v>0</x:v>
      </x:c>
      <x:c r="BV653" s="23" t="n">
        <x:f>MAX(0,MIN('Activities'!L653,420)-MAX('Activities'!K653,414))</x:f>
        <x:v>1</x:v>
      </x:c>
      <x:c r="BW653" s="23" t="n">
        <x:f>MAX(0,MIN('Activities'!L653,426)-MAX('Activities'!K653,420))</x:f>
        <x:v>2</x:v>
      </x:c>
      <x:c r="BX653" s="23" t="n">
        <x:f>MAX(0,MIN('Activities'!L653,432)-MAX('Activities'!K653,426))</x:f>
        <x:v>0</x:v>
      </x:c>
      <x:c r="BY653" s="23" t="n">
        <x:f>MAX(0,MIN('Activities'!L653,438)-MAX('Activities'!K653,432))</x:f>
        <x:v>0</x:v>
      </x:c>
      <x:c r="BZ653" s="23" t="n">
        <x:f>MAX(0,MIN('Activities'!L653,444)-MAX('Activities'!K653,438))</x:f>
        <x:v>0</x:v>
      </x:c>
      <x:c r="CA653" s="23" t="n">
        <x:f>MAX(0,MIN('Activities'!L653,450)-MAX('Activities'!K653,444))</x:f>
        <x:v>0</x:v>
      </x:c>
      <x:c r="CB653" s="23" t="n">
        <x:f>MAX(0,MIN('Activities'!L653,456)-MAX('Activities'!K653,450))</x:f>
        <x:v>0</x:v>
      </x:c>
      <x:c r="CC653" s="23" t="n">
        <x:f>MAX(0,MIN('Activities'!L653,462)-MAX('Activities'!K653,456))</x:f>
        <x:v>0</x:v>
      </x:c>
      <x:c r="CD653" s="23" t="n">
        <x:f>MAX(0,MIN('Activities'!L653,468)-MAX('Activities'!K653,462))</x:f>
        <x:v>0</x:v>
      </x:c>
      <x:c r="CE653" s="23" t="n">
        <x:f>MAX(0,MIN('Activities'!L653,474)-MAX('Activities'!K653,468))</x:f>
        <x:v>0</x:v>
      </x:c>
      <x:c r="CF653" s="23" t="n">
        <x:f>MAX(0,MIN('Activities'!L653,480)-MAX('Activities'!K653,474))</x:f>
        <x:v>0</x:v>
      </x:c>
      <x:c r="CG653" s="23" t="n">
        <x:f>MAX(0,MIN('Activities'!L653,486)-MAX('Activities'!K653,480))</x:f>
        <x:v>0</x:v>
      </x:c>
      <x:c r="CH653" s="23" t="n">
        <x:f>MAX(0,MIN('Activities'!L653,492)-MAX('Activities'!K653,486))</x:f>
        <x:v>0</x:v>
      </x:c>
      <x:c r="CI653" s="23" t="n">
        <x:f>MAX(0,MIN('Activities'!L653,498)-MAX('Activities'!K653,492))</x:f>
        <x:v>0</x:v>
      </x:c>
      <x:c r="CJ653" s="23" t="n">
        <x:f>MAX(0,MIN('Activities'!L653,504)-MAX('Activities'!K653,498))</x:f>
        <x:v>0</x:v>
      </x:c>
      <x:c r="CK653" s="23" t="n">
        <x:f>MAX(0,MIN('Activities'!L653,510)-MAX('Activities'!K653,504))</x:f>
        <x:v>0</x:v>
      </x:c>
      <x:c r="CL653" s="23" t="n">
        <x:f>MAX(0,MIN('Activities'!L653,516)-MAX('Activities'!K653,510))</x:f>
        <x:v>0</x:v>
      </x:c>
      <x:c r="CM653" s="23" t="n">
        <x:f>MAX(0,MIN('Activities'!L653,522)-MAX('Activities'!K653,516))</x:f>
        <x:v>0</x:v>
      </x:c>
      <x:c r="CN653" s="23" t="n">
        <x:f>MAX(0,MIN('Activities'!L653,528)-MAX('Activities'!K653,522))</x:f>
        <x:v>0</x:v>
      </x:c>
      <x:c r="CO653" s="23" t="n">
        <x:f>MAX(0,MIN('Activities'!L653,534)-MAX('Activities'!K653,528))</x:f>
        <x:v>0</x:v>
      </x:c>
      <x:c r="CP653" s="23" t="n">
        <x:f>MAX(0,MIN('Activities'!L653,540)-MAX('Activities'!K653,534))</x:f>
        <x:v>0</x:v>
      </x:c>
      <x:c r="CQ653" s="23" t="n">
        <x:f>MAX(0,MIN('Activities'!L653,546)-MAX('Activities'!K653,540))</x:f>
        <x:v>0</x:v>
      </x:c>
      <x:c r="CR653" s="23" t="n">
        <x:f>MAX(0,MIN('Activities'!L653,552)-MAX('Activities'!K653,546))</x:f>
        <x:v>0</x:v>
      </x:c>
      <x:c r="CS653" s="23" t="n">
        <x:f>MAX(0,MIN('Activities'!L653,558)-MAX('Activities'!K653,552))</x:f>
        <x:v>0</x:v>
      </x:c>
      <x:c r="CT653" s="23" t="n">
        <x:f>MAX(0,MIN('Activities'!L653,564)-MAX('Activities'!K653,558))</x:f>
        <x:v>0</x:v>
      </x:c>
      <x:c r="CU653" s="23" t="n">
        <x:f>MAX(0,MIN('Activities'!L653,570)-MAX('Activities'!K653,564))</x:f>
        <x:v>0</x:v>
      </x:c>
      <x:c r="CV653" s="23" t="n">
        <x:f>MAX(0,MIN('Activities'!L653,576)-MAX('Activities'!K653,570))</x:f>
        <x:v>0</x:v>
      </x:c>
      <x:c r="CW653" s="23" t="n">
        <x:f>MAX(0,MIN('Activities'!L653,582)-MAX('Activities'!K653,576))</x:f>
        <x:v>0</x:v>
      </x:c>
      <x:c r="CX653" s="23" t="n">
        <x:f>MAX(0,MIN('Activities'!L653,588)-MAX('Activities'!K653,582))</x:f>
        <x:v>0</x:v>
      </x:c>
      <x:c r="CY653" s="23" t="n">
        <x:f>MAX(0,MIN('Activities'!L653,594)-MAX('Activities'!K653,588))</x:f>
        <x:v>0</x:v>
      </x:c>
      <x:c r="CZ653" s="23" t="n">
        <x:f>MAX(0,MIN('Activities'!L653,600)-MAX('Activities'!K653,594))</x:f>
        <x:v>0</x:v>
      </x:c>
      <x:c r="DA653" s="23" t="n">
        <x:f>MAX(0,MIN('Activities'!L653,606)-MAX('Activities'!K653,600))</x:f>
        <x:v>0</x:v>
      </x:c>
      <x:c r="DB653" s="23" t="n">
        <x:f>MAX(0,MIN('Activities'!L653,612)-MAX('Activities'!K653,606))</x:f>
        <x:v>0</x:v>
      </x:c>
      <x:c r="DC653" s="23" t="n">
        <x:f>MAX(0,MIN('Activities'!L653,618)-MAX('Activities'!K653,612))</x:f>
        <x:v>0</x:v>
      </x:c>
      <x:c r="DD653" s="23" t="n">
        <x:f>MAX(0,MIN('Activities'!L653,624)-MAX('Activities'!K653,618))</x:f>
        <x:v>0</x:v>
      </x:c>
      <x:c r="DE653" s="23" t="n">
        <x:f>MAX(0,MIN('Activities'!L653,630)-MAX('Activities'!K653,624))</x:f>
        <x:v>0</x:v>
      </x:c>
      <x:c r="DF653" s="23" t="n">
        <x:f>MAX(0,MIN('Activities'!L653,636)-MAX('Activities'!K653,630))</x:f>
        <x:v>0</x:v>
      </x:c>
    </x:row>
    <x:row r="654" ht="23" customHeight="1">
      <x:c r="A654" s="6" t="str">
        <x:v>T5-L08-T</x:v>
      </x:c>
      <x:c r="B654" s="6" t="str">
        <x:v>T5</x:v>
      </x:c>
      <x:c r="C654" s="6" t="str">
        <x:v>Floor finishes and skirtings</x:v>
      </x:c>
      <x:c r="D654" s="6" t="str">
        <x:v>Finishes</x:v>
      </x:c>
      <x:c r="E654" s="22" t="n">
        <x:f>MAX(0,MIN('Activities'!L654,6)-MAX('Activities'!K654,0))</x:f>
        <x:v>0</x:v>
      </x:c>
      <x:c r="F654" s="22" t="n">
        <x:f>MAX(0,MIN('Activities'!L654,12)-MAX('Activities'!K654,6))</x:f>
        <x:v>0</x:v>
      </x:c>
      <x:c r="G654" s="22" t="n">
        <x:f>MAX(0,MIN('Activities'!L654,18)-MAX('Activities'!K654,12))</x:f>
        <x:v>0</x:v>
      </x:c>
      <x:c r="H654" s="22" t="n">
        <x:f>MAX(0,MIN('Activities'!L654,24)-MAX('Activities'!K654,18))</x:f>
        <x:v>0</x:v>
      </x:c>
      <x:c r="I654" s="22" t="n">
        <x:f>MAX(0,MIN('Activities'!L654,30)-MAX('Activities'!K654,24))</x:f>
        <x:v>0</x:v>
      </x:c>
      <x:c r="J654" s="22" t="n">
        <x:f>MAX(0,MIN('Activities'!L654,36)-MAX('Activities'!K654,30))</x:f>
        <x:v>0</x:v>
      </x:c>
      <x:c r="K654" s="22" t="n">
        <x:f>MAX(0,MIN('Activities'!L654,42)-MAX('Activities'!K654,36))</x:f>
        <x:v>0</x:v>
      </x:c>
      <x:c r="L654" s="22" t="n">
        <x:f>MAX(0,MIN('Activities'!L654,48)-MAX('Activities'!K654,42))</x:f>
        <x:v>0</x:v>
      </x:c>
      <x:c r="M654" s="22" t="n">
        <x:f>MAX(0,MIN('Activities'!L654,54)-MAX('Activities'!K654,48))</x:f>
        <x:v>0</x:v>
      </x:c>
      <x:c r="N654" s="22" t="n">
        <x:f>MAX(0,MIN('Activities'!L654,60)-MAX('Activities'!K654,54))</x:f>
        <x:v>0</x:v>
      </x:c>
      <x:c r="O654" s="22" t="n">
        <x:f>MAX(0,MIN('Activities'!L654,66)-MAX('Activities'!K654,60))</x:f>
        <x:v>0</x:v>
      </x:c>
      <x:c r="P654" s="22" t="n">
        <x:f>MAX(0,MIN('Activities'!L654,72)-MAX('Activities'!K654,66))</x:f>
        <x:v>0</x:v>
      </x:c>
      <x:c r="Q654" s="22" t="n">
        <x:f>MAX(0,MIN('Activities'!L654,78)-MAX('Activities'!K654,72))</x:f>
        <x:v>0</x:v>
      </x:c>
      <x:c r="R654" s="22" t="n">
        <x:f>MAX(0,MIN('Activities'!L654,84)-MAX('Activities'!K654,78))</x:f>
        <x:v>0</x:v>
      </x:c>
      <x:c r="S654" s="22" t="n">
        <x:f>MAX(0,MIN('Activities'!L654,90)-MAX('Activities'!K654,84))</x:f>
        <x:v>0</x:v>
      </x:c>
      <x:c r="T654" s="22" t="n">
        <x:f>MAX(0,MIN('Activities'!L654,96)-MAX('Activities'!K654,90))</x:f>
        <x:v>0</x:v>
      </x:c>
      <x:c r="U654" s="22" t="n">
        <x:f>MAX(0,MIN('Activities'!L654,102)-MAX('Activities'!K654,96))</x:f>
        <x:v>0</x:v>
      </x:c>
      <x:c r="V654" s="22" t="n">
        <x:f>MAX(0,MIN('Activities'!L654,108)-MAX('Activities'!K654,102))</x:f>
        <x:v>0</x:v>
      </x:c>
      <x:c r="W654" s="22" t="n">
        <x:f>MAX(0,MIN('Activities'!L654,114)-MAX('Activities'!K654,108))</x:f>
        <x:v>0</x:v>
      </x:c>
      <x:c r="X654" s="22" t="n">
        <x:f>MAX(0,MIN('Activities'!L654,120)-MAX('Activities'!K654,114))</x:f>
        <x:v>0</x:v>
      </x:c>
      <x:c r="Y654" s="22" t="n">
        <x:f>MAX(0,MIN('Activities'!L654,126)-MAX('Activities'!K654,120))</x:f>
        <x:v>0</x:v>
      </x:c>
      <x:c r="Z654" s="22" t="n">
        <x:f>MAX(0,MIN('Activities'!L654,132)-MAX('Activities'!K654,126))</x:f>
        <x:v>0</x:v>
      </x:c>
      <x:c r="AA654" s="22" t="n">
        <x:f>MAX(0,MIN('Activities'!L654,138)-MAX('Activities'!K654,132))</x:f>
        <x:v>0</x:v>
      </x:c>
      <x:c r="AB654" s="22" t="n">
        <x:f>MAX(0,MIN('Activities'!L654,144)-MAX('Activities'!K654,138))</x:f>
        <x:v>0</x:v>
      </x:c>
      <x:c r="AC654" s="22" t="n">
        <x:f>MAX(0,MIN('Activities'!L654,150)-MAX('Activities'!K654,144))</x:f>
        <x:v>0</x:v>
      </x:c>
      <x:c r="AD654" s="22" t="n">
        <x:f>MAX(0,MIN('Activities'!L654,156)-MAX('Activities'!K654,150))</x:f>
        <x:v>0</x:v>
      </x:c>
      <x:c r="AE654" s="22" t="n">
        <x:f>MAX(0,MIN('Activities'!L654,162)-MAX('Activities'!K654,156))</x:f>
        <x:v>0</x:v>
      </x:c>
      <x:c r="AF654" s="22" t="n">
        <x:f>MAX(0,MIN('Activities'!L654,168)-MAX('Activities'!K654,162))</x:f>
        <x:v>0</x:v>
      </x:c>
      <x:c r="AG654" s="22" t="n">
        <x:f>MAX(0,MIN('Activities'!L654,174)-MAX('Activities'!K654,168))</x:f>
        <x:v>0</x:v>
      </x:c>
      <x:c r="AH654" s="22" t="n">
        <x:f>MAX(0,MIN('Activities'!L654,180)-MAX('Activities'!K654,174))</x:f>
        <x:v>0</x:v>
      </x:c>
      <x:c r="AI654" s="22" t="n">
        <x:f>MAX(0,MIN('Activities'!L654,186)-MAX('Activities'!K654,180))</x:f>
        <x:v>0</x:v>
      </x:c>
      <x:c r="AJ654" s="22" t="n">
        <x:f>MAX(0,MIN('Activities'!L654,192)-MAX('Activities'!K654,186))</x:f>
        <x:v>0</x:v>
      </x:c>
      <x:c r="AK654" s="22" t="n">
        <x:f>MAX(0,MIN('Activities'!L654,198)-MAX('Activities'!K654,192))</x:f>
        <x:v>0</x:v>
      </x:c>
      <x:c r="AL654" s="22" t="n">
        <x:f>MAX(0,MIN('Activities'!L654,204)-MAX('Activities'!K654,198))</x:f>
        <x:v>0</x:v>
      </x:c>
      <x:c r="AM654" s="22" t="n">
        <x:f>MAX(0,MIN('Activities'!L654,210)-MAX('Activities'!K654,204))</x:f>
        <x:v>0</x:v>
      </x:c>
      <x:c r="AN654" s="22" t="n">
        <x:f>MAX(0,MIN('Activities'!L654,216)-MAX('Activities'!K654,210))</x:f>
        <x:v>0</x:v>
      </x:c>
      <x:c r="AO654" s="22" t="n">
        <x:f>MAX(0,MIN('Activities'!L654,222)-MAX('Activities'!K654,216))</x:f>
        <x:v>0</x:v>
      </x:c>
      <x:c r="AP654" s="22" t="n">
        <x:f>MAX(0,MIN('Activities'!L654,228)-MAX('Activities'!K654,222))</x:f>
        <x:v>0</x:v>
      </x:c>
      <x:c r="AQ654" s="22" t="n">
        <x:f>MAX(0,MIN('Activities'!L654,234)-MAX('Activities'!K654,228))</x:f>
        <x:v>0</x:v>
      </x:c>
      <x:c r="AR654" s="22" t="n">
        <x:f>MAX(0,MIN('Activities'!L654,240)-MAX('Activities'!K654,234))</x:f>
        <x:v>0</x:v>
      </x:c>
      <x:c r="AS654" s="22" t="n">
        <x:f>MAX(0,MIN('Activities'!L654,246)-MAX('Activities'!K654,240))</x:f>
        <x:v>0</x:v>
      </x:c>
      <x:c r="AT654" s="22" t="n">
        <x:f>MAX(0,MIN('Activities'!L654,252)-MAX('Activities'!K654,246))</x:f>
        <x:v>0</x:v>
      </x:c>
      <x:c r="AU654" s="22" t="n">
        <x:f>MAX(0,MIN('Activities'!L654,258)-MAX('Activities'!K654,252))</x:f>
        <x:v>0</x:v>
      </x:c>
      <x:c r="AV654" s="22" t="n">
        <x:f>MAX(0,MIN('Activities'!L654,264)-MAX('Activities'!K654,258))</x:f>
        <x:v>0</x:v>
      </x:c>
      <x:c r="AW654" s="22" t="n">
        <x:f>MAX(0,MIN('Activities'!L654,270)-MAX('Activities'!K654,264))</x:f>
        <x:v>0</x:v>
      </x:c>
      <x:c r="AX654" s="22" t="n">
        <x:f>MAX(0,MIN('Activities'!L654,276)-MAX('Activities'!K654,270))</x:f>
        <x:v>0</x:v>
      </x:c>
      <x:c r="AY654" s="22" t="n">
        <x:f>MAX(0,MIN('Activities'!L654,282)-MAX('Activities'!K654,276))</x:f>
        <x:v>0</x:v>
      </x:c>
      <x:c r="AZ654" s="22" t="n">
        <x:f>MAX(0,MIN('Activities'!L654,288)-MAX('Activities'!K654,282))</x:f>
        <x:v>0</x:v>
      </x:c>
      <x:c r="BA654" s="22" t="n">
        <x:f>MAX(0,MIN('Activities'!L654,294)-MAX('Activities'!K654,288))</x:f>
        <x:v>0</x:v>
      </x:c>
      <x:c r="BB654" s="22" t="n">
        <x:f>MAX(0,MIN('Activities'!L654,300)-MAX('Activities'!K654,294))</x:f>
        <x:v>0</x:v>
      </x:c>
      <x:c r="BC654" s="22" t="n">
        <x:f>MAX(0,MIN('Activities'!L654,306)-MAX('Activities'!K654,300))</x:f>
        <x:v>0</x:v>
      </x:c>
      <x:c r="BD654" s="22" t="n">
        <x:f>MAX(0,MIN('Activities'!L654,312)-MAX('Activities'!K654,306))</x:f>
        <x:v>0</x:v>
      </x:c>
      <x:c r="BE654" s="22" t="n">
        <x:f>MAX(0,MIN('Activities'!L654,318)-MAX('Activities'!K654,312))</x:f>
        <x:v>0</x:v>
      </x:c>
      <x:c r="BF654" s="22" t="n">
        <x:f>MAX(0,MIN('Activities'!L654,324)-MAX('Activities'!K654,318))</x:f>
        <x:v>0</x:v>
      </x:c>
      <x:c r="BG654" s="22" t="n">
        <x:f>MAX(0,MIN('Activities'!L654,330)-MAX('Activities'!K654,324))</x:f>
        <x:v>0</x:v>
      </x:c>
      <x:c r="BH654" s="22" t="n">
        <x:f>MAX(0,MIN('Activities'!L654,336)-MAX('Activities'!K654,330))</x:f>
        <x:v>0</x:v>
      </x:c>
      <x:c r="BI654" s="22" t="n">
        <x:f>MAX(0,MIN('Activities'!L654,342)-MAX('Activities'!K654,336))</x:f>
        <x:v>0</x:v>
      </x:c>
      <x:c r="BJ654" s="22" t="n">
        <x:f>MAX(0,MIN('Activities'!L654,348)-MAX('Activities'!K654,342))</x:f>
        <x:v>0</x:v>
      </x:c>
      <x:c r="BK654" s="22" t="n">
        <x:f>MAX(0,MIN('Activities'!L654,354)-MAX('Activities'!K654,348))</x:f>
        <x:v>0</x:v>
      </x:c>
      <x:c r="BL654" s="22" t="n">
        <x:f>MAX(0,MIN('Activities'!L654,360)-MAX('Activities'!K654,354))</x:f>
        <x:v>0</x:v>
      </x:c>
      <x:c r="BM654" s="22" t="n">
        <x:f>MAX(0,MIN('Activities'!L654,366)-MAX('Activities'!K654,360))</x:f>
        <x:v>0</x:v>
      </x:c>
      <x:c r="BN654" s="22" t="n">
        <x:f>MAX(0,MIN('Activities'!L654,372)-MAX('Activities'!K654,366))</x:f>
        <x:v>0</x:v>
      </x:c>
      <x:c r="BO654" s="22" t="n">
        <x:f>MAX(0,MIN('Activities'!L654,378)-MAX('Activities'!K654,372))</x:f>
        <x:v>0</x:v>
      </x:c>
      <x:c r="BP654" s="22" t="n">
        <x:f>MAX(0,MIN('Activities'!L654,384)-MAX('Activities'!K654,378))</x:f>
        <x:v>0</x:v>
      </x:c>
      <x:c r="BQ654" s="22" t="n">
        <x:f>MAX(0,MIN('Activities'!L654,390)-MAX('Activities'!K654,384))</x:f>
        <x:v>0</x:v>
      </x:c>
      <x:c r="BR654" s="22" t="n">
        <x:f>MAX(0,MIN('Activities'!L654,396)-MAX('Activities'!K654,390))</x:f>
        <x:v>0</x:v>
      </x:c>
      <x:c r="BS654" s="22" t="n">
        <x:f>MAX(0,MIN('Activities'!L654,402)-MAX('Activities'!K654,396))</x:f>
        <x:v>0</x:v>
      </x:c>
      <x:c r="BT654" s="22" t="n">
        <x:f>MAX(0,MIN('Activities'!L654,408)-MAX('Activities'!K654,402))</x:f>
        <x:v>0</x:v>
      </x:c>
      <x:c r="BU654" s="22" t="n">
        <x:f>MAX(0,MIN('Activities'!L654,414)-MAX('Activities'!K654,408))</x:f>
        <x:v>0</x:v>
      </x:c>
      <x:c r="BV654" s="22" t="n">
        <x:f>MAX(0,MIN('Activities'!L654,420)-MAX('Activities'!K654,414))</x:f>
        <x:v>0</x:v>
      </x:c>
      <x:c r="BW654" s="22" t="n">
        <x:f>MAX(0,MIN('Activities'!L654,426)-MAX('Activities'!K654,420))</x:f>
        <x:v>0</x:v>
      </x:c>
      <x:c r="BX654" s="22" t="n">
        <x:f>MAX(0,MIN('Activities'!L654,432)-MAX('Activities'!K654,426))</x:f>
        <x:v>0</x:v>
      </x:c>
      <x:c r="BY654" s="22" t="n">
        <x:f>MAX(0,MIN('Activities'!L654,438)-MAX('Activities'!K654,432))</x:f>
        <x:v>0</x:v>
      </x:c>
      <x:c r="BZ654" s="22" t="n">
        <x:f>MAX(0,MIN('Activities'!L654,444)-MAX('Activities'!K654,438))</x:f>
        <x:v>0</x:v>
      </x:c>
      <x:c r="CA654" s="22" t="n">
        <x:f>MAX(0,MIN('Activities'!L654,450)-MAX('Activities'!K654,444))</x:f>
        <x:v>1</x:v>
      </x:c>
      <x:c r="CB654" s="22" t="n">
        <x:f>MAX(0,MIN('Activities'!L654,456)-MAX('Activities'!K654,450))</x:f>
        <x:v>5</x:v>
      </x:c>
      <x:c r="CC654" s="22" t="n">
        <x:f>MAX(0,MIN('Activities'!L654,462)-MAX('Activities'!K654,456))</x:f>
        <x:v>0</x:v>
      </x:c>
      <x:c r="CD654" s="22" t="n">
        <x:f>MAX(0,MIN('Activities'!L654,468)-MAX('Activities'!K654,462))</x:f>
        <x:v>0</x:v>
      </x:c>
      <x:c r="CE654" s="22" t="n">
        <x:f>MAX(0,MIN('Activities'!L654,474)-MAX('Activities'!K654,468))</x:f>
        <x:v>0</x:v>
      </x:c>
      <x:c r="CF654" s="22" t="n">
        <x:f>MAX(0,MIN('Activities'!L654,480)-MAX('Activities'!K654,474))</x:f>
        <x:v>0</x:v>
      </x:c>
      <x:c r="CG654" s="22" t="n">
        <x:f>MAX(0,MIN('Activities'!L654,486)-MAX('Activities'!K654,480))</x:f>
        <x:v>0</x:v>
      </x:c>
      <x:c r="CH654" s="22" t="n">
        <x:f>MAX(0,MIN('Activities'!L654,492)-MAX('Activities'!K654,486))</x:f>
        <x:v>0</x:v>
      </x:c>
      <x:c r="CI654" s="22" t="n">
        <x:f>MAX(0,MIN('Activities'!L654,498)-MAX('Activities'!K654,492))</x:f>
        <x:v>0</x:v>
      </x:c>
      <x:c r="CJ654" s="22" t="n">
        <x:f>MAX(0,MIN('Activities'!L654,504)-MAX('Activities'!K654,498))</x:f>
        <x:v>0</x:v>
      </x:c>
      <x:c r="CK654" s="22" t="n">
        <x:f>MAX(0,MIN('Activities'!L654,510)-MAX('Activities'!K654,504))</x:f>
        <x:v>0</x:v>
      </x:c>
      <x:c r="CL654" s="22" t="n">
        <x:f>MAX(0,MIN('Activities'!L654,516)-MAX('Activities'!K654,510))</x:f>
        <x:v>0</x:v>
      </x:c>
      <x:c r="CM654" s="22" t="n">
        <x:f>MAX(0,MIN('Activities'!L654,522)-MAX('Activities'!K654,516))</x:f>
        <x:v>0</x:v>
      </x:c>
      <x:c r="CN654" s="22" t="n">
        <x:f>MAX(0,MIN('Activities'!L654,528)-MAX('Activities'!K654,522))</x:f>
        <x:v>0</x:v>
      </x:c>
      <x:c r="CO654" s="22" t="n">
        <x:f>MAX(0,MIN('Activities'!L654,534)-MAX('Activities'!K654,528))</x:f>
        <x:v>0</x:v>
      </x:c>
      <x:c r="CP654" s="22" t="n">
        <x:f>MAX(0,MIN('Activities'!L654,540)-MAX('Activities'!K654,534))</x:f>
        <x:v>0</x:v>
      </x:c>
      <x:c r="CQ654" s="22" t="n">
        <x:f>MAX(0,MIN('Activities'!L654,546)-MAX('Activities'!K654,540))</x:f>
        <x:v>0</x:v>
      </x:c>
      <x:c r="CR654" s="22" t="n">
        <x:f>MAX(0,MIN('Activities'!L654,552)-MAX('Activities'!K654,546))</x:f>
        <x:v>0</x:v>
      </x:c>
      <x:c r="CS654" s="22" t="n">
        <x:f>MAX(0,MIN('Activities'!L654,558)-MAX('Activities'!K654,552))</x:f>
        <x:v>0</x:v>
      </x:c>
      <x:c r="CT654" s="22" t="n">
        <x:f>MAX(0,MIN('Activities'!L654,564)-MAX('Activities'!K654,558))</x:f>
        <x:v>0</x:v>
      </x:c>
      <x:c r="CU654" s="22" t="n">
        <x:f>MAX(0,MIN('Activities'!L654,570)-MAX('Activities'!K654,564))</x:f>
        <x:v>0</x:v>
      </x:c>
      <x:c r="CV654" s="22" t="n">
        <x:f>MAX(0,MIN('Activities'!L654,576)-MAX('Activities'!K654,570))</x:f>
        <x:v>0</x:v>
      </x:c>
      <x:c r="CW654" s="22" t="n">
        <x:f>MAX(0,MIN('Activities'!L654,582)-MAX('Activities'!K654,576))</x:f>
        <x:v>0</x:v>
      </x:c>
      <x:c r="CX654" s="22" t="n">
        <x:f>MAX(0,MIN('Activities'!L654,588)-MAX('Activities'!K654,582))</x:f>
        <x:v>0</x:v>
      </x:c>
      <x:c r="CY654" s="22" t="n">
        <x:f>MAX(0,MIN('Activities'!L654,594)-MAX('Activities'!K654,588))</x:f>
        <x:v>0</x:v>
      </x:c>
      <x:c r="CZ654" s="22" t="n">
        <x:f>MAX(0,MIN('Activities'!L654,600)-MAX('Activities'!K654,594))</x:f>
        <x:v>0</x:v>
      </x:c>
      <x:c r="DA654" s="22" t="n">
        <x:f>MAX(0,MIN('Activities'!L654,606)-MAX('Activities'!K654,600))</x:f>
        <x:v>0</x:v>
      </x:c>
      <x:c r="DB654" s="22" t="n">
        <x:f>MAX(0,MIN('Activities'!L654,612)-MAX('Activities'!K654,606))</x:f>
        <x:v>0</x:v>
      </x:c>
      <x:c r="DC654" s="22" t="n">
        <x:f>MAX(0,MIN('Activities'!L654,618)-MAX('Activities'!K654,612))</x:f>
        <x:v>0</x:v>
      </x:c>
      <x:c r="DD654" s="22" t="n">
        <x:f>MAX(0,MIN('Activities'!L654,624)-MAX('Activities'!K654,618))</x:f>
        <x:v>0</x:v>
      </x:c>
      <x:c r="DE654" s="22" t="n">
        <x:f>MAX(0,MIN('Activities'!L654,630)-MAX('Activities'!K654,624))</x:f>
        <x:v>0</x:v>
      </x:c>
      <x:c r="DF654" s="22" t="n">
        <x:f>MAX(0,MIN('Activities'!L654,636)-MAX('Activities'!K654,630))</x:f>
        <x:v>0</x:v>
      </x:c>
    </x:row>
    <x:row r="655" ht="23" customHeight="1">
      <x:c r="A655" s="1" t="str">
        <x:v>T5-L08-A</x:v>
      </x:c>
      <x:c r="B655" s="1" t="str">
        <x:v>T5</x:v>
      </x:c>
      <x:c r="C655" s="1" t="str">
        <x:v>Paint and final decorations</x:v>
      </x:c>
      <x:c r="D655" s="1" t="str">
        <x:v>Finishes</x:v>
      </x:c>
      <x:c r="E655" s="23" t="n">
        <x:f>MAX(0,MIN('Activities'!L655,6)-MAX('Activities'!K655,0))</x:f>
        <x:v>0</x:v>
      </x:c>
      <x:c r="F655" s="23" t="n">
        <x:f>MAX(0,MIN('Activities'!L655,12)-MAX('Activities'!K655,6))</x:f>
        <x:v>0</x:v>
      </x:c>
      <x:c r="G655" s="23" t="n">
        <x:f>MAX(0,MIN('Activities'!L655,18)-MAX('Activities'!K655,12))</x:f>
        <x:v>0</x:v>
      </x:c>
      <x:c r="H655" s="23" t="n">
        <x:f>MAX(0,MIN('Activities'!L655,24)-MAX('Activities'!K655,18))</x:f>
        <x:v>0</x:v>
      </x:c>
      <x:c r="I655" s="23" t="n">
        <x:f>MAX(0,MIN('Activities'!L655,30)-MAX('Activities'!K655,24))</x:f>
        <x:v>0</x:v>
      </x:c>
      <x:c r="J655" s="23" t="n">
        <x:f>MAX(0,MIN('Activities'!L655,36)-MAX('Activities'!K655,30))</x:f>
        <x:v>0</x:v>
      </x:c>
      <x:c r="K655" s="23" t="n">
        <x:f>MAX(0,MIN('Activities'!L655,42)-MAX('Activities'!K655,36))</x:f>
        <x:v>0</x:v>
      </x:c>
      <x:c r="L655" s="23" t="n">
        <x:f>MAX(0,MIN('Activities'!L655,48)-MAX('Activities'!K655,42))</x:f>
        <x:v>0</x:v>
      </x:c>
      <x:c r="M655" s="23" t="n">
        <x:f>MAX(0,MIN('Activities'!L655,54)-MAX('Activities'!K655,48))</x:f>
        <x:v>0</x:v>
      </x:c>
      <x:c r="N655" s="23" t="n">
        <x:f>MAX(0,MIN('Activities'!L655,60)-MAX('Activities'!K655,54))</x:f>
        <x:v>0</x:v>
      </x:c>
      <x:c r="O655" s="23" t="n">
        <x:f>MAX(0,MIN('Activities'!L655,66)-MAX('Activities'!K655,60))</x:f>
        <x:v>0</x:v>
      </x:c>
      <x:c r="P655" s="23" t="n">
        <x:f>MAX(0,MIN('Activities'!L655,72)-MAX('Activities'!K655,66))</x:f>
        <x:v>0</x:v>
      </x:c>
      <x:c r="Q655" s="23" t="n">
        <x:f>MAX(0,MIN('Activities'!L655,78)-MAX('Activities'!K655,72))</x:f>
        <x:v>0</x:v>
      </x:c>
      <x:c r="R655" s="23" t="n">
        <x:f>MAX(0,MIN('Activities'!L655,84)-MAX('Activities'!K655,78))</x:f>
        <x:v>0</x:v>
      </x:c>
      <x:c r="S655" s="23" t="n">
        <x:f>MAX(0,MIN('Activities'!L655,90)-MAX('Activities'!K655,84))</x:f>
        <x:v>0</x:v>
      </x:c>
      <x:c r="T655" s="23" t="n">
        <x:f>MAX(0,MIN('Activities'!L655,96)-MAX('Activities'!K655,90))</x:f>
        <x:v>0</x:v>
      </x:c>
      <x:c r="U655" s="23" t="n">
        <x:f>MAX(0,MIN('Activities'!L655,102)-MAX('Activities'!K655,96))</x:f>
        <x:v>0</x:v>
      </x:c>
      <x:c r="V655" s="23" t="n">
        <x:f>MAX(0,MIN('Activities'!L655,108)-MAX('Activities'!K655,102))</x:f>
        <x:v>0</x:v>
      </x:c>
      <x:c r="W655" s="23" t="n">
        <x:f>MAX(0,MIN('Activities'!L655,114)-MAX('Activities'!K655,108))</x:f>
        <x:v>0</x:v>
      </x:c>
      <x:c r="X655" s="23" t="n">
        <x:f>MAX(0,MIN('Activities'!L655,120)-MAX('Activities'!K655,114))</x:f>
        <x:v>0</x:v>
      </x:c>
      <x:c r="Y655" s="23" t="n">
        <x:f>MAX(0,MIN('Activities'!L655,126)-MAX('Activities'!K655,120))</x:f>
        <x:v>0</x:v>
      </x:c>
      <x:c r="Z655" s="23" t="n">
        <x:f>MAX(0,MIN('Activities'!L655,132)-MAX('Activities'!K655,126))</x:f>
        <x:v>0</x:v>
      </x:c>
      <x:c r="AA655" s="23" t="n">
        <x:f>MAX(0,MIN('Activities'!L655,138)-MAX('Activities'!K655,132))</x:f>
        <x:v>0</x:v>
      </x:c>
      <x:c r="AB655" s="23" t="n">
        <x:f>MAX(0,MIN('Activities'!L655,144)-MAX('Activities'!K655,138))</x:f>
        <x:v>0</x:v>
      </x:c>
      <x:c r="AC655" s="23" t="n">
        <x:f>MAX(0,MIN('Activities'!L655,150)-MAX('Activities'!K655,144))</x:f>
        <x:v>0</x:v>
      </x:c>
      <x:c r="AD655" s="23" t="n">
        <x:f>MAX(0,MIN('Activities'!L655,156)-MAX('Activities'!K655,150))</x:f>
        <x:v>0</x:v>
      </x:c>
      <x:c r="AE655" s="23" t="n">
        <x:f>MAX(0,MIN('Activities'!L655,162)-MAX('Activities'!K655,156))</x:f>
        <x:v>0</x:v>
      </x:c>
      <x:c r="AF655" s="23" t="n">
        <x:f>MAX(0,MIN('Activities'!L655,168)-MAX('Activities'!K655,162))</x:f>
        <x:v>0</x:v>
      </x:c>
      <x:c r="AG655" s="23" t="n">
        <x:f>MAX(0,MIN('Activities'!L655,174)-MAX('Activities'!K655,168))</x:f>
        <x:v>0</x:v>
      </x:c>
      <x:c r="AH655" s="23" t="n">
        <x:f>MAX(0,MIN('Activities'!L655,180)-MAX('Activities'!K655,174))</x:f>
        <x:v>0</x:v>
      </x:c>
      <x:c r="AI655" s="23" t="n">
        <x:f>MAX(0,MIN('Activities'!L655,186)-MAX('Activities'!K655,180))</x:f>
        <x:v>0</x:v>
      </x:c>
      <x:c r="AJ655" s="23" t="n">
        <x:f>MAX(0,MIN('Activities'!L655,192)-MAX('Activities'!K655,186))</x:f>
        <x:v>0</x:v>
      </x:c>
      <x:c r="AK655" s="23" t="n">
        <x:f>MAX(0,MIN('Activities'!L655,198)-MAX('Activities'!K655,192))</x:f>
        <x:v>0</x:v>
      </x:c>
      <x:c r="AL655" s="23" t="n">
        <x:f>MAX(0,MIN('Activities'!L655,204)-MAX('Activities'!K655,198))</x:f>
        <x:v>0</x:v>
      </x:c>
      <x:c r="AM655" s="23" t="n">
        <x:f>MAX(0,MIN('Activities'!L655,210)-MAX('Activities'!K655,204))</x:f>
        <x:v>0</x:v>
      </x:c>
      <x:c r="AN655" s="23" t="n">
        <x:f>MAX(0,MIN('Activities'!L655,216)-MAX('Activities'!K655,210))</x:f>
        <x:v>0</x:v>
      </x:c>
      <x:c r="AO655" s="23" t="n">
        <x:f>MAX(0,MIN('Activities'!L655,222)-MAX('Activities'!K655,216))</x:f>
        <x:v>0</x:v>
      </x:c>
      <x:c r="AP655" s="23" t="n">
        <x:f>MAX(0,MIN('Activities'!L655,228)-MAX('Activities'!K655,222))</x:f>
        <x:v>0</x:v>
      </x:c>
      <x:c r="AQ655" s="23" t="n">
        <x:f>MAX(0,MIN('Activities'!L655,234)-MAX('Activities'!K655,228))</x:f>
        <x:v>0</x:v>
      </x:c>
      <x:c r="AR655" s="23" t="n">
        <x:f>MAX(0,MIN('Activities'!L655,240)-MAX('Activities'!K655,234))</x:f>
        <x:v>0</x:v>
      </x:c>
      <x:c r="AS655" s="23" t="n">
        <x:f>MAX(0,MIN('Activities'!L655,246)-MAX('Activities'!K655,240))</x:f>
        <x:v>0</x:v>
      </x:c>
      <x:c r="AT655" s="23" t="n">
        <x:f>MAX(0,MIN('Activities'!L655,252)-MAX('Activities'!K655,246))</x:f>
        <x:v>0</x:v>
      </x:c>
      <x:c r="AU655" s="23" t="n">
        <x:f>MAX(0,MIN('Activities'!L655,258)-MAX('Activities'!K655,252))</x:f>
        <x:v>0</x:v>
      </x:c>
      <x:c r="AV655" s="23" t="n">
        <x:f>MAX(0,MIN('Activities'!L655,264)-MAX('Activities'!K655,258))</x:f>
        <x:v>0</x:v>
      </x:c>
      <x:c r="AW655" s="23" t="n">
        <x:f>MAX(0,MIN('Activities'!L655,270)-MAX('Activities'!K655,264))</x:f>
        <x:v>0</x:v>
      </x:c>
      <x:c r="AX655" s="23" t="n">
        <x:f>MAX(0,MIN('Activities'!L655,276)-MAX('Activities'!K655,270))</x:f>
        <x:v>0</x:v>
      </x:c>
      <x:c r="AY655" s="23" t="n">
        <x:f>MAX(0,MIN('Activities'!L655,282)-MAX('Activities'!K655,276))</x:f>
        <x:v>0</x:v>
      </x:c>
      <x:c r="AZ655" s="23" t="n">
        <x:f>MAX(0,MIN('Activities'!L655,288)-MAX('Activities'!K655,282))</x:f>
        <x:v>0</x:v>
      </x:c>
      <x:c r="BA655" s="23" t="n">
        <x:f>MAX(0,MIN('Activities'!L655,294)-MAX('Activities'!K655,288))</x:f>
        <x:v>0</x:v>
      </x:c>
      <x:c r="BB655" s="23" t="n">
        <x:f>MAX(0,MIN('Activities'!L655,300)-MAX('Activities'!K655,294))</x:f>
        <x:v>0</x:v>
      </x:c>
      <x:c r="BC655" s="23" t="n">
        <x:f>MAX(0,MIN('Activities'!L655,306)-MAX('Activities'!K655,300))</x:f>
        <x:v>0</x:v>
      </x:c>
      <x:c r="BD655" s="23" t="n">
        <x:f>MAX(0,MIN('Activities'!L655,312)-MAX('Activities'!K655,306))</x:f>
        <x:v>0</x:v>
      </x:c>
      <x:c r="BE655" s="23" t="n">
        <x:f>MAX(0,MIN('Activities'!L655,318)-MAX('Activities'!K655,312))</x:f>
        <x:v>0</x:v>
      </x:c>
      <x:c r="BF655" s="23" t="n">
        <x:f>MAX(0,MIN('Activities'!L655,324)-MAX('Activities'!K655,318))</x:f>
        <x:v>0</x:v>
      </x:c>
      <x:c r="BG655" s="23" t="n">
        <x:f>MAX(0,MIN('Activities'!L655,330)-MAX('Activities'!K655,324))</x:f>
        <x:v>0</x:v>
      </x:c>
      <x:c r="BH655" s="23" t="n">
        <x:f>MAX(0,MIN('Activities'!L655,336)-MAX('Activities'!K655,330))</x:f>
        <x:v>0</x:v>
      </x:c>
      <x:c r="BI655" s="23" t="n">
        <x:f>MAX(0,MIN('Activities'!L655,342)-MAX('Activities'!K655,336))</x:f>
        <x:v>0</x:v>
      </x:c>
      <x:c r="BJ655" s="23" t="n">
        <x:f>MAX(0,MIN('Activities'!L655,348)-MAX('Activities'!K655,342))</x:f>
        <x:v>0</x:v>
      </x:c>
      <x:c r="BK655" s="23" t="n">
        <x:f>MAX(0,MIN('Activities'!L655,354)-MAX('Activities'!K655,348))</x:f>
        <x:v>0</x:v>
      </x:c>
      <x:c r="BL655" s="23" t="n">
        <x:f>MAX(0,MIN('Activities'!L655,360)-MAX('Activities'!K655,354))</x:f>
        <x:v>0</x:v>
      </x:c>
      <x:c r="BM655" s="23" t="n">
        <x:f>MAX(0,MIN('Activities'!L655,366)-MAX('Activities'!K655,360))</x:f>
        <x:v>0</x:v>
      </x:c>
      <x:c r="BN655" s="23" t="n">
        <x:f>MAX(0,MIN('Activities'!L655,372)-MAX('Activities'!K655,366))</x:f>
        <x:v>0</x:v>
      </x:c>
      <x:c r="BO655" s="23" t="n">
        <x:f>MAX(0,MIN('Activities'!L655,378)-MAX('Activities'!K655,372))</x:f>
        <x:v>0</x:v>
      </x:c>
      <x:c r="BP655" s="23" t="n">
        <x:f>MAX(0,MIN('Activities'!L655,384)-MAX('Activities'!K655,378))</x:f>
        <x:v>0</x:v>
      </x:c>
      <x:c r="BQ655" s="23" t="n">
        <x:f>MAX(0,MIN('Activities'!L655,390)-MAX('Activities'!K655,384))</x:f>
        <x:v>0</x:v>
      </x:c>
      <x:c r="BR655" s="23" t="n">
        <x:f>MAX(0,MIN('Activities'!L655,396)-MAX('Activities'!K655,390))</x:f>
        <x:v>0</x:v>
      </x:c>
      <x:c r="BS655" s="23" t="n">
        <x:f>MAX(0,MIN('Activities'!L655,402)-MAX('Activities'!K655,396))</x:f>
        <x:v>0</x:v>
      </x:c>
      <x:c r="BT655" s="23" t="n">
        <x:f>MAX(0,MIN('Activities'!L655,408)-MAX('Activities'!K655,402))</x:f>
        <x:v>0</x:v>
      </x:c>
      <x:c r="BU655" s="23" t="n">
        <x:f>MAX(0,MIN('Activities'!L655,414)-MAX('Activities'!K655,408))</x:f>
        <x:v>0</x:v>
      </x:c>
      <x:c r="BV655" s="23" t="n">
        <x:f>MAX(0,MIN('Activities'!L655,420)-MAX('Activities'!K655,414))</x:f>
        <x:v>0</x:v>
      </x:c>
      <x:c r="BW655" s="23" t="n">
        <x:f>MAX(0,MIN('Activities'!L655,426)-MAX('Activities'!K655,420))</x:f>
        <x:v>0</x:v>
      </x:c>
      <x:c r="BX655" s="23" t="n">
        <x:f>MAX(0,MIN('Activities'!L655,432)-MAX('Activities'!K655,426))</x:f>
        <x:v>0</x:v>
      </x:c>
      <x:c r="BY655" s="23" t="n">
        <x:f>MAX(0,MIN('Activities'!L655,438)-MAX('Activities'!K655,432))</x:f>
        <x:v>0</x:v>
      </x:c>
      <x:c r="BZ655" s="23" t="n">
        <x:f>MAX(0,MIN('Activities'!L655,444)-MAX('Activities'!K655,438))</x:f>
        <x:v>0</x:v>
      </x:c>
      <x:c r="CA655" s="23" t="n">
        <x:f>MAX(0,MIN('Activities'!L655,450)-MAX('Activities'!K655,444))</x:f>
        <x:v>0</x:v>
      </x:c>
      <x:c r="CB655" s="23" t="n">
        <x:f>MAX(0,MIN('Activities'!L655,456)-MAX('Activities'!K655,450))</x:f>
        <x:v>0</x:v>
      </x:c>
      <x:c r="CC655" s="23" t="n">
        <x:f>MAX(0,MIN('Activities'!L655,462)-MAX('Activities'!K655,456))</x:f>
        <x:v>5</x:v>
      </x:c>
      <x:c r="CD655" s="23" t="n">
        <x:f>MAX(0,MIN('Activities'!L655,468)-MAX('Activities'!K655,462))</x:f>
        <x:v>0</x:v>
      </x:c>
      <x:c r="CE655" s="23" t="n">
        <x:f>MAX(0,MIN('Activities'!L655,474)-MAX('Activities'!K655,468))</x:f>
        <x:v>0</x:v>
      </x:c>
      <x:c r="CF655" s="23" t="n">
        <x:f>MAX(0,MIN('Activities'!L655,480)-MAX('Activities'!K655,474))</x:f>
        <x:v>0</x:v>
      </x:c>
      <x:c r="CG655" s="23" t="n">
        <x:f>MAX(0,MIN('Activities'!L655,486)-MAX('Activities'!K655,480))</x:f>
        <x:v>0</x:v>
      </x:c>
      <x:c r="CH655" s="23" t="n">
        <x:f>MAX(0,MIN('Activities'!L655,492)-MAX('Activities'!K655,486))</x:f>
        <x:v>0</x:v>
      </x:c>
      <x:c r="CI655" s="23" t="n">
        <x:f>MAX(0,MIN('Activities'!L655,498)-MAX('Activities'!K655,492))</x:f>
        <x:v>0</x:v>
      </x:c>
      <x:c r="CJ655" s="23" t="n">
        <x:f>MAX(0,MIN('Activities'!L655,504)-MAX('Activities'!K655,498))</x:f>
        <x:v>0</x:v>
      </x:c>
      <x:c r="CK655" s="23" t="n">
        <x:f>MAX(0,MIN('Activities'!L655,510)-MAX('Activities'!K655,504))</x:f>
        <x:v>0</x:v>
      </x:c>
      <x:c r="CL655" s="23" t="n">
        <x:f>MAX(0,MIN('Activities'!L655,516)-MAX('Activities'!K655,510))</x:f>
        <x:v>0</x:v>
      </x:c>
      <x:c r="CM655" s="23" t="n">
        <x:f>MAX(0,MIN('Activities'!L655,522)-MAX('Activities'!K655,516))</x:f>
        <x:v>0</x:v>
      </x:c>
      <x:c r="CN655" s="23" t="n">
        <x:f>MAX(0,MIN('Activities'!L655,528)-MAX('Activities'!K655,522))</x:f>
        <x:v>0</x:v>
      </x:c>
      <x:c r="CO655" s="23" t="n">
        <x:f>MAX(0,MIN('Activities'!L655,534)-MAX('Activities'!K655,528))</x:f>
        <x:v>0</x:v>
      </x:c>
      <x:c r="CP655" s="23" t="n">
        <x:f>MAX(0,MIN('Activities'!L655,540)-MAX('Activities'!K655,534))</x:f>
        <x:v>0</x:v>
      </x:c>
      <x:c r="CQ655" s="23" t="n">
        <x:f>MAX(0,MIN('Activities'!L655,546)-MAX('Activities'!K655,540))</x:f>
        <x:v>0</x:v>
      </x:c>
      <x:c r="CR655" s="23" t="n">
        <x:f>MAX(0,MIN('Activities'!L655,552)-MAX('Activities'!K655,546))</x:f>
        <x:v>0</x:v>
      </x:c>
      <x:c r="CS655" s="23" t="n">
        <x:f>MAX(0,MIN('Activities'!L655,558)-MAX('Activities'!K655,552))</x:f>
        <x:v>0</x:v>
      </x:c>
      <x:c r="CT655" s="23" t="n">
        <x:f>MAX(0,MIN('Activities'!L655,564)-MAX('Activities'!K655,558))</x:f>
        <x:v>0</x:v>
      </x:c>
      <x:c r="CU655" s="23" t="n">
        <x:f>MAX(0,MIN('Activities'!L655,570)-MAX('Activities'!K655,564))</x:f>
        <x:v>0</x:v>
      </x:c>
      <x:c r="CV655" s="23" t="n">
        <x:f>MAX(0,MIN('Activities'!L655,576)-MAX('Activities'!K655,570))</x:f>
        <x:v>0</x:v>
      </x:c>
      <x:c r="CW655" s="23" t="n">
        <x:f>MAX(0,MIN('Activities'!L655,582)-MAX('Activities'!K655,576))</x:f>
        <x:v>0</x:v>
      </x:c>
      <x:c r="CX655" s="23" t="n">
        <x:f>MAX(0,MIN('Activities'!L655,588)-MAX('Activities'!K655,582))</x:f>
        <x:v>0</x:v>
      </x:c>
      <x:c r="CY655" s="23" t="n">
        <x:f>MAX(0,MIN('Activities'!L655,594)-MAX('Activities'!K655,588))</x:f>
        <x:v>0</x:v>
      </x:c>
      <x:c r="CZ655" s="23" t="n">
        <x:f>MAX(0,MIN('Activities'!L655,600)-MAX('Activities'!K655,594))</x:f>
        <x:v>0</x:v>
      </x:c>
      <x:c r="DA655" s="23" t="n">
        <x:f>MAX(0,MIN('Activities'!L655,606)-MAX('Activities'!K655,600))</x:f>
        <x:v>0</x:v>
      </x:c>
      <x:c r="DB655" s="23" t="n">
        <x:f>MAX(0,MIN('Activities'!L655,612)-MAX('Activities'!K655,606))</x:f>
        <x:v>0</x:v>
      </x:c>
      <x:c r="DC655" s="23" t="n">
        <x:f>MAX(0,MIN('Activities'!L655,618)-MAX('Activities'!K655,612))</x:f>
        <x:v>0</x:v>
      </x:c>
      <x:c r="DD655" s="23" t="n">
        <x:f>MAX(0,MIN('Activities'!L655,624)-MAX('Activities'!K655,618))</x:f>
        <x:v>0</x:v>
      </x:c>
      <x:c r="DE655" s="23" t="n">
        <x:f>MAX(0,MIN('Activities'!L655,630)-MAX('Activities'!K655,624))</x:f>
        <x:v>0</x:v>
      </x:c>
      <x:c r="DF655" s="23" t="n">
        <x:f>MAX(0,MIN('Activities'!L655,636)-MAX('Activities'!K655,630))</x:f>
        <x:v>0</x:v>
      </x:c>
    </x:row>
    <x:row r="656" ht="23" customHeight="1">
      <x:c r="A656" s="6" t="str">
        <x:v>T5-L08-D</x:v>
      </x:c>
      <x:c r="B656" s="6" t="str">
        <x:v>T5</x:v>
      </x:c>
      <x:c r="C656" s="6" t="str">
        <x:v>Door sets and ironmongery</x:v>
      </x:c>
      <x:c r="D656" s="6" t="str">
        <x:v>Finishes</x:v>
      </x:c>
      <x:c r="E656" s="22" t="n">
        <x:f>MAX(0,MIN('Activities'!L656,6)-MAX('Activities'!K656,0))</x:f>
        <x:v>0</x:v>
      </x:c>
      <x:c r="F656" s="22" t="n">
        <x:f>MAX(0,MIN('Activities'!L656,12)-MAX('Activities'!K656,6))</x:f>
        <x:v>0</x:v>
      </x:c>
      <x:c r="G656" s="22" t="n">
        <x:f>MAX(0,MIN('Activities'!L656,18)-MAX('Activities'!K656,12))</x:f>
        <x:v>0</x:v>
      </x:c>
      <x:c r="H656" s="22" t="n">
        <x:f>MAX(0,MIN('Activities'!L656,24)-MAX('Activities'!K656,18))</x:f>
        <x:v>0</x:v>
      </x:c>
      <x:c r="I656" s="22" t="n">
        <x:f>MAX(0,MIN('Activities'!L656,30)-MAX('Activities'!K656,24))</x:f>
        <x:v>0</x:v>
      </x:c>
      <x:c r="J656" s="22" t="n">
        <x:f>MAX(0,MIN('Activities'!L656,36)-MAX('Activities'!K656,30))</x:f>
        <x:v>0</x:v>
      </x:c>
      <x:c r="K656" s="22" t="n">
        <x:f>MAX(0,MIN('Activities'!L656,42)-MAX('Activities'!K656,36))</x:f>
        <x:v>0</x:v>
      </x:c>
      <x:c r="L656" s="22" t="n">
        <x:f>MAX(0,MIN('Activities'!L656,48)-MAX('Activities'!K656,42))</x:f>
        <x:v>0</x:v>
      </x:c>
      <x:c r="M656" s="22" t="n">
        <x:f>MAX(0,MIN('Activities'!L656,54)-MAX('Activities'!K656,48))</x:f>
        <x:v>0</x:v>
      </x:c>
      <x:c r="N656" s="22" t="n">
        <x:f>MAX(0,MIN('Activities'!L656,60)-MAX('Activities'!K656,54))</x:f>
        <x:v>0</x:v>
      </x:c>
      <x:c r="O656" s="22" t="n">
        <x:f>MAX(0,MIN('Activities'!L656,66)-MAX('Activities'!K656,60))</x:f>
        <x:v>0</x:v>
      </x:c>
      <x:c r="P656" s="22" t="n">
        <x:f>MAX(0,MIN('Activities'!L656,72)-MAX('Activities'!K656,66))</x:f>
        <x:v>0</x:v>
      </x:c>
      <x:c r="Q656" s="22" t="n">
        <x:f>MAX(0,MIN('Activities'!L656,78)-MAX('Activities'!K656,72))</x:f>
        <x:v>0</x:v>
      </x:c>
      <x:c r="R656" s="22" t="n">
        <x:f>MAX(0,MIN('Activities'!L656,84)-MAX('Activities'!K656,78))</x:f>
        <x:v>0</x:v>
      </x:c>
      <x:c r="S656" s="22" t="n">
        <x:f>MAX(0,MIN('Activities'!L656,90)-MAX('Activities'!K656,84))</x:f>
        <x:v>0</x:v>
      </x:c>
      <x:c r="T656" s="22" t="n">
        <x:f>MAX(0,MIN('Activities'!L656,96)-MAX('Activities'!K656,90))</x:f>
        <x:v>0</x:v>
      </x:c>
      <x:c r="U656" s="22" t="n">
        <x:f>MAX(0,MIN('Activities'!L656,102)-MAX('Activities'!K656,96))</x:f>
        <x:v>0</x:v>
      </x:c>
      <x:c r="V656" s="22" t="n">
        <x:f>MAX(0,MIN('Activities'!L656,108)-MAX('Activities'!K656,102))</x:f>
        <x:v>0</x:v>
      </x:c>
      <x:c r="W656" s="22" t="n">
        <x:f>MAX(0,MIN('Activities'!L656,114)-MAX('Activities'!K656,108))</x:f>
        <x:v>0</x:v>
      </x:c>
      <x:c r="X656" s="22" t="n">
        <x:f>MAX(0,MIN('Activities'!L656,120)-MAX('Activities'!K656,114))</x:f>
        <x:v>0</x:v>
      </x:c>
      <x:c r="Y656" s="22" t="n">
        <x:f>MAX(0,MIN('Activities'!L656,126)-MAX('Activities'!K656,120))</x:f>
        <x:v>0</x:v>
      </x:c>
      <x:c r="Z656" s="22" t="n">
        <x:f>MAX(0,MIN('Activities'!L656,132)-MAX('Activities'!K656,126))</x:f>
        <x:v>0</x:v>
      </x:c>
      <x:c r="AA656" s="22" t="n">
        <x:f>MAX(0,MIN('Activities'!L656,138)-MAX('Activities'!K656,132))</x:f>
        <x:v>0</x:v>
      </x:c>
      <x:c r="AB656" s="22" t="n">
        <x:f>MAX(0,MIN('Activities'!L656,144)-MAX('Activities'!K656,138))</x:f>
        <x:v>0</x:v>
      </x:c>
      <x:c r="AC656" s="22" t="n">
        <x:f>MAX(0,MIN('Activities'!L656,150)-MAX('Activities'!K656,144))</x:f>
        <x:v>0</x:v>
      </x:c>
      <x:c r="AD656" s="22" t="n">
        <x:f>MAX(0,MIN('Activities'!L656,156)-MAX('Activities'!K656,150))</x:f>
        <x:v>0</x:v>
      </x:c>
      <x:c r="AE656" s="22" t="n">
        <x:f>MAX(0,MIN('Activities'!L656,162)-MAX('Activities'!K656,156))</x:f>
        <x:v>0</x:v>
      </x:c>
      <x:c r="AF656" s="22" t="n">
        <x:f>MAX(0,MIN('Activities'!L656,168)-MAX('Activities'!K656,162))</x:f>
        <x:v>0</x:v>
      </x:c>
      <x:c r="AG656" s="22" t="n">
        <x:f>MAX(0,MIN('Activities'!L656,174)-MAX('Activities'!K656,168))</x:f>
        <x:v>0</x:v>
      </x:c>
      <x:c r="AH656" s="22" t="n">
        <x:f>MAX(0,MIN('Activities'!L656,180)-MAX('Activities'!K656,174))</x:f>
        <x:v>0</x:v>
      </x:c>
      <x:c r="AI656" s="22" t="n">
        <x:f>MAX(0,MIN('Activities'!L656,186)-MAX('Activities'!K656,180))</x:f>
        <x:v>0</x:v>
      </x:c>
      <x:c r="AJ656" s="22" t="n">
        <x:f>MAX(0,MIN('Activities'!L656,192)-MAX('Activities'!K656,186))</x:f>
        <x:v>0</x:v>
      </x:c>
      <x:c r="AK656" s="22" t="n">
        <x:f>MAX(0,MIN('Activities'!L656,198)-MAX('Activities'!K656,192))</x:f>
        <x:v>0</x:v>
      </x:c>
      <x:c r="AL656" s="22" t="n">
        <x:f>MAX(0,MIN('Activities'!L656,204)-MAX('Activities'!K656,198))</x:f>
        <x:v>0</x:v>
      </x:c>
      <x:c r="AM656" s="22" t="n">
        <x:f>MAX(0,MIN('Activities'!L656,210)-MAX('Activities'!K656,204))</x:f>
        <x:v>0</x:v>
      </x:c>
      <x:c r="AN656" s="22" t="n">
        <x:f>MAX(0,MIN('Activities'!L656,216)-MAX('Activities'!K656,210))</x:f>
        <x:v>0</x:v>
      </x:c>
      <x:c r="AO656" s="22" t="n">
        <x:f>MAX(0,MIN('Activities'!L656,222)-MAX('Activities'!K656,216))</x:f>
        <x:v>0</x:v>
      </x:c>
      <x:c r="AP656" s="22" t="n">
        <x:f>MAX(0,MIN('Activities'!L656,228)-MAX('Activities'!K656,222))</x:f>
        <x:v>0</x:v>
      </x:c>
      <x:c r="AQ656" s="22" t="n">
        <x:f>MAX(0,MIN('Activities'!L656,234)-MAX('Activities'!K656,228))</x:f>
        <x:v>0</x:v>
      </x:c>
      <x:c r="AR656" s="22" t="n">
        <x:f>MAX(0,MIN('Activities'!L656,240)-MAX('Activities'!K656,234))</x:f>
        <x:v>0</x:v>
      </x:c>
      <x:c r="AS656" s="22" t="n">
        <x:f>MAX(0,MIN('Activities'!L656,246)-MAX('Activities'!K656,240))</x:f>
        <x:v>0</x:v>
      </x:c>
      <x:c r="AT656" s="22" t="n">
        <x:f>MAX(0,MIN('Activities'!L656,252)-MAX('Activities'!K656,246))</x:f>
        <x:v>0</x:v>
      </x:c>
      <x:c r="AU656" s="22" t="n">
        <x:f>MAX(0,MIN('Activities'!L656,258)-MAX('Activities'!K656,252))</x:f>
        <x:v>0</x:v>
      </x:c>
      <x:c r="AV656" s="22" t="n">
        <x:f>MAX(0,MIN('Activities'!L656,264)-MAX('Activities'!K656,258))</x:f>
        <x:v>0</x:v>
      </x:c>
      <x:c r="AW656" s="22" t="n">
        <x:f>MAX(0,MIN('Activities'!L656,270)-MAX('Activities'!K656,264))</x:f>
        <x:v>0</x:v>
      </x:c>
      <x:c r="AX656" s="22" t="n">
        <x:f>MAX(0,MIN('Activities'!L656,276)-MAX('Activities'!K656,270))</x:f>
        <x:v>0</x:v>
      </x:c>
      <x:c r="AY656" s="22" t="n">
        <x:f>MAX(0,MIN('Activities'!L656,282)-MAX('Activities'!K656,276))</x:f>
        <x:v>0</x:v>
      </x:c>
      <x:c r="AZ656" s="22" t="n">
        <x:f>MAX(0,MIN('Activities'!L656,288)-MAX('Activities'!K656,282))</x:f>
        <x:v>0</x:v>
      </x:c>
      <x:c r="BA656" s="22" t="n">
        <x:f>MAX(0,MIN('Activities'!L656,294)-MAX('Activities'!K656,288))</x:f>
        <x:v>0</x:v>
      </x:c>
      <x:c r="BB656" s="22" t="n">
        <x:f>MAX(0,MIN('Activities'!L656,300)-MAX('Activities'!K656,294))</x:f>
        <x:v>0</x:v>
      </x:c>
      <x:c r="BC656" s="22" t="n">
        <x:f>MAX(0,MIN('Activities'!L656,306)-MAX('Activities'!K656,300))</x:f>
        <x:v>0</x:v>
      </x:c>
      <x:c r="BD656" s="22" t="n">
        <x:f>MAX(0,MIN('Activities'!L656,312)-MAX('Activities'!K656,306))</x:f>
        <x:v>0</x:v>
      </x:c>
      <x:c r="BE656" s="22" t="n">
        <x:f>MAX(0,MIN('Activities'!L656,318)-MAX('Activities'!K656,312))</x:f>
        <x:v>0</x:v>
      </x:c>
      <x:c r="BF656" s="22" t="n">
        <x:f>MAX(0,MIN('Activities'!L656,324)-MAX('Activities'!K656,318))</x:f>
        <x:v>0</x:v>
      </x:c>
      <x:c r="BG656" s="22" t="n">
        <x:f>MAX(0,MIN('Activities'!L656,330)-MAX('Activities'!K656,324))</x:f>
        <x:v>0</x:v>
      </x:c>
      <x:c r="BH656" s="22" t="n">
        <x:f>MAX(0,MIN('Activities'!L656,336)-MAX('Activities'!K656,330))</x:f>
        <x:v>0</x:v>
      </x:c>
      <x:c r="BI656" s="22" t="n">
        <x:f>MAX(0,MIN('Activities'!L656,342)-MAX('Activities'!K656,336))</x:f>
        <x:v>0</x:v>
      </x:c>
      <x:c r="BJ656" s="22" t="n">
        <x:f>MAX(0,MIN('Activities'!L656,348)-MAX('Activities'!K656,342))</x:f>
        <x:v>0</x:v>
      </x:c>
      <x:c r="BK656" s="22" t="n">
        <x:f>MAX(0,MIN('Activities'!L656,354)-MAX('Activities'!K656,348))</x:f>
        <x:v>0</x:v>
      </x:c>
      <x:c r="BL656" s="22" t="n">
        <x:f>MAX(0,MIN('Activities'!L656,360)-MAX('Activities'!K656,354))</x:f>
        <x:v>0</x:v>
      </x:c>
      <x:c r="BM656" s="22" t="n">
        <x:f>MAX(0,MIN('Activities'!L656,366)-MAX('Activities'!K656,360))</x:f>
        <x:v>0</x:v>
      </x:c>
      <x:c r="BN656" s="22" t="n">
        <x:f>MAX(0,MIN('Activities'!L656,372)-MAX('Activities'!K656,366))</x:f>
        <x:v>0</x:v>
      </x:c>
      <x:c r="BO656" s="22" t="n">
        <x:f>MAX(0,MIN('Activities'!L656,378)-MAX('Activities'!K656,372))</x:f>
        <x:v>0</x:v>
      </x:c>
      <x:c r="BP656" s="22" t="n">
        <x:f>MAX(0,MIN('Activities'!L656,384)-MAX('Activities'!K656,378))</x:f>
        <x:v>0</x:v>
      </x:c>
      <x:c r="BQ656" s="22" t="n">
        <x:f>MAX(0,MIN('Activities'!L656,390)-MAX('Activities'!K656,384))</x:f>
        <x:v>0</x:v>
      </x:c>
      <x:c r="BR656" s="22" t="n">
        <x:f>MAX(0,MIN('Activities'!L656,396)-MAX('Activities'!K656,390))</x:f>
        <x:v>0</x:v>
      </x:c>
      <x:c r="BS656" s="22" t="n">
        <x:f>MAX(0,MIN('Activities'!L656,402)-MAX('Activities'!K656,396))</x:f>
        <x:v>0</x:v>
      </x:c>
      <x:c r="BT656" s="22" t="n">
        <x:f>MAX(0,MIN('Activities'!L656,408)-MAX('Activities'!K656,402))</x:f>
        <x:v>0</x:v>
      </x:c>
      <x:c r="BU656" s="22" t="n">
        <x:f>MAX(0,MIN('Activities'!L656,414)-MAX('Activities'!K656,408))</x:f>
        <x:v>0</x:v>
      </x:c>
      <x:c r="BV656" s="22" t="n">
        <x:f>MAX(0,MIN('Activities'!L656,420)-MAX('Activities'!K656,414))</x:f>
        <x:v>0</x:v>
      </x:c>
      <x:c r="BW656" s="22" t="n">
        <x:f>MAX(0,MIN('Activities'!L656,426)-MAX('Activities'!K656,420))</x:f>
        <x:v>0</x:v>
      </x:c>
      <x:c r="BX656" s="22" t="n">
        <x:f>MAX(0,MIN('Activities'!L656,432)-MAX('Activities'!K656,426))</x:f>
        <x:v>0</x:v>
      </x:c>
      <x:c r="BY656" s="22" t="n">
        <x:f>MAX(0,MIN('Activities'!L656,438)-MAX('Activities'!K656,432))</x:f>
        <x:v>0</x:v>
      </x:c>
      <x:c r="BZ656" s="22" t="n">
        <x:f>MAX(0,MIN('Activities'!L656,444)-MAX('Activities'!K656,438))</x:f>
        <x:v>0</x:v>
      </x:c>
      <x:c r="CA656" s="22" t="n">
        <x:f>MAX(0,MIN('Activities'!L656,450)-MAX('Activities'!K656,444))</x:f>
        <x:v>0</x:v>
      </x:c>
      <x:c r="CB656" s="22" t="n">
        <x:f>MAX(0,MIN('Activities'!L656,456)-MAX('Activities'!K656,450))</x:f>
        <x:v>0</x:v>
      </x:c>
      <x:c r="CC656" s="22" t="n">
        <x:f>MAX(0,MIN('Activities'!L656,462)-MAX('Activities'!K656,456))</x:f>
        <x:v>0</x:v>
      </x:c>
      <x:c r="CD656" s="22" t="n">
        <x:f>MAX(0,MIN('Activities'!L656,468)-MAX('Activities'!K656,462))</x:f>
        <x:v>3</x:v>
      </x:c>
      <x:c r="CE656" s="22" t="n">
        <x:f>MAX(0,MIN('Activities'!L656,474)-MAX('Activities'!K656,468))</x:f>
        <x:v>0</x:v>
      </x:c>
      <x:c r="CF656" s="22" t="n">
        <x:f>MAX(0,MIN('Activities'!L656,480)-MAX('Activities'!K656,474))</x:f>
        <x:v>0</x:v>
      </x:c>
      <x:c r="CG656" s="22" t="n">
        <x:f>MAX(0,MIN('Activities'!L656,486)-MAX('Activities'!K656,480))</x:f>
        <x:v>0</x:v>
      </x:c>
      <x:c r="CH656" s="22" t="n">
        <x:f>MAX(0,MIN('Activities'!L656,492)-MAX('Activities'!K656,486))</x:f>
        <x:v>0</x:v>
      </x:c>
      <x:c r="CI656" s="22" t="n">
        <x:f>MAX(0,MIN('Activities'!L656,498)-MAX('Activities'!K656,492))</x:f>
        <x:v>0</x:v>
      </x:c>
      <x:c r="CJ656" s="22" t="n">
        <x:f>MAX(0,MIN('Activities'!L656,504)-MAX('Activities'!K656,498))</x:f>
        <x:v>0</x:v>
      </x:c>
      <x:c r="CK656" s="22" t="n">
        <x:f>MAX(0,MIN('Activities'!L656,510)-MAX('Activities'!K656,504))</x:f>
        <x:v>0</x:v>
      </x:c>
      <x:c r="CL656" s="22" t="n">
        <x:f>MAX(0,MIN('Activities'!L656,516)-MAX('Activities'!K656,510))</x:f>
        <x:v>0</x:v>
      </x:c>
      <x:c r="CM656" s="22" t="n">
        <x:f>MAX(0,MIN('Activities'!L656,522)-MAX('Activities'!K656,516))</x:f>
        <x:v>0</x:v>
      </x:c>
      <x:c r="CN656" s="22" t="n">
        <x:f>MAX(0,MIN('Activities'!L656,528)-MAX('Activities'!K656,522))</x:f>
        <x:v>0</x:v>
      </x:c>
      <x:c r="CO656" s="22" t="n">
        <x:f>MAX(0,MIN('Activities'!L656,534)-MAX('Activities'!K656,528))</x:f>
        <x:v>0</x:v>
      </x:c>
      <x:c r="CP656" s="22" t="n">
        <x:f>MAX(0,MIN('Activities'!L656,540)-MAX('Activities'!K656,534))</x:f>
        <x:v>0</x:v>
      </x:c>
      <x:c r="CQ656" s="22" t="n">
        <x:f>MAX(0,MIN('Activities'!L656,546)-MAX('Activities'!K656,540))</x:f>
        <x:v>0</x:v>
      </x:c>
      <x:c r="CR656" s="22" t="n">
        <x:f>MAX(0,MIN('Activities'!L656,552)-MAX('Activities'!K656,546))</x:f>
        <x:v>0</x:v>
      </x:c>
      <x:c r="CS656" s="22" t="n">
        <x:f>MAX(0,MIN('Activities'!L656,558)-MAX('Activities'!K656,552))</x:f>
        <x:v>0</x:v>
      </x:c>
      <x:c r="CT656" s="22" t="n">
        <x:f>MAX(0,MIN('Activities'!L656,564)-MAX('Activities'!K656,558))</x:f>
        <x:v>0</x:v>
      </x:c>
      <x:c r="CU656" s="22" t="n">
        <x:f>MAX(0,MIN('Activities'!L656,570)-MAX('Activities'!K656,564))</x:f>
        <x:v>0</x:v>
      </x:c>
      <x:c r="CV656" s="22" t="n">
        <x:f>MAX(0,MIN('Activities'!L656,576)-MAX('Activities'!K656,570))</x:f>
        <x:v>0</x:v>
      </x:c>
      <x:c r="CW656" s="22" t="n">
        <x:f>MAX(0,MIN('Activities'!L656,582)-MAX('Activities'!K656,576))</x:f>
        <x:v>0</x:v>
      </x:c>
      <x:c r="CX656" s="22" t="n">
        <x:f>MAX(0,MIN('Activities'!L656,588)-MAX('Activities'!K656,582))</x:f>
        <x:v>0</x:v>
      </x:c>
      <x:c r="CY656" s="22" t="n">
        <x:f>MAX(0,MIN('Activities'!L656,594)-MAX('Activities'!K656,588))</x:f>
        <x:v>0</x:v>
      </x:c>
      <x:c r="CZ656" s="22" t="n">
        <x:f>MAX(0,MIN('Activities'!L656,600)-MAX('Activities'!K656,594))</x:f>
        <x:v>0</x:v>
      </x:c>
      <x:c r="DA656" s="22" t="n">
        <x:f>MAX(0,MIN('Activities'!L656,606)-MAX('Activities'!K656,600))</x:f>
        <x:v>0</x:v>
      </x:c>
      <x:c r="DB656" s="22" t="n">
        <x:f>MAX(0,MIN('Activities'!L656,612)-MAX('Activities'!K656,606))</x:f>
        <x:v>0</x:v>
      </x:c>
      <x:c r="DC656" s="22" t="n">
        <x:f>MAX(0,MIN('Activities'!L656,618)-MAX('Activities'!K656,612))</x:f>
        <x:v>0</x:v>
      </x:c>
      <x:c r="DD656" s="22" t="n">
        <x:f>MAX(0,MIN('Activities'!L656,624)-MAX('Activities'!K656,618))</x:f>
        <x:v>0</x:v>
      </x:c>
      <x:c r="DE656" s="22" t="n">
        <x:f>MAX(0,MIN('Activities'!L656,630)-MAX('Activities'!K656,624))</x:f>
        <x:v>0</x:v>
      </x:c>
      <x:c r="DF656" s="22" t="n">
        <x:f>MAX(0,MIN('Activities'!L656,636)-MAX('Activities'!K656,630))</x:f>
        <x:v>0</x:v>
      </x:c>
    </x:row>
    <x:row r="657" ht="23" customHeight="1">
      <x:c r="A657" s="1" t="str">
        <x:v>T5-L09-M</x:v>
      </x:c>
      <x:c r="B657" s="1" t="str">
        <x:v>T5</x:v>
      </x:c>
      <x:c r="C657" s="1" t="str">
        <x:v>Partition masonry</x:v>
      </x:c>
      <x:c r="D657" s="1" t="str">
        <x:v>Masonry</x:v>
      </x:c>
      <x:c r="E657" s="23" t="n">
        <x:f>MAX(0,MIN('Activities'!L657,6)-MAX('Activities'!K657,0))</x:f>
        <x:v>0</x:v>
      </x:c>
      <x:c r="F657" s="23" t="n">
        <x:f>MAX(0,MIN('Activities'!L657,12)-MAX('Activities'!K657,6))</x:f>
        <x:v>0</x:v>
      </x:c>
      <x:c r="G657" s="23" t="n">
        <x:f>MAX(0,MIN('Activities'!L657,18)-MAX('Activities'!K657,12))</x:f>
        <x:v>0</x:v>
      </x:c>
      <x:c r="H657" s="23" t="n">
        <x:f>MAX(0,MIN('Activities'!L657,24)-MAX('Activities'!K657,18))</x:f>
        <x:v>0</x:v>
      </x:c>
      <x:c r="I657" s="23" t="n">
        <x:f>MAX(0,MIN('Activities'!L657,30)-MAX('Activities'!K657,24))</x:f>
        <x:v>0</x:v>
      </x:c>
      <x:c r="J657" s="23" t="n">
        <x:f>MAX(0,MIN('Activities'!L657,36)-MAX('Activities'!K657,30))</x:f>
        <x:v>0</x:v>
      </x:c>
      <x:c r="K657" s="23" t="n">
        <x:f>MAX(0,MIN('Activities'!L657,42)-MAX('Activities'!K657,36))</x:f>
        <x:v>0</x:v>
      </x:c>
      <x:c r="L657" s="23" t="n">
        <x:f>MAX(0,MIN('Activities'!L657,48)-MAX('Activities'!K657,42))</x:f>
        <x:v>0</x:v>
      </x:c>
      <x:c r="M657" s="23" t="n">
        <x:f>MAX(0,MIN('Activities'!L657,54)-MAX('Activities'!K657,48))</x:f>
        <x:v>0</x:v>
      </x:c>
      <x:c r="N657" s="23" t="n">
        <x:f>MAX(0,MIN('Activities'!L657,60)-MAX('Activities'!K657,54))</x:f>
        <x:v>0</x:v>
      </x:c>
      <x:c r="O657" s="23" t="n">
        <x:f>MAX(0,MIN('Activities'!L657,66)-MAX('Activities'!K657,60))</x:f>
        <x:v>0</x:v>
      </x:c>
      <x:c r="P657" s="23" t="n">
        <x:f>MAX(0,MIN('Activities'!L657,72)-MAX('Activities'!K657,66))</x:f>
        <x:v>0</x:v>
      </x:c>
      <x:c r="Q657" s="23" t="n">
        <x:f>MAX(0,MIN('Activities'!L657,78)-MAX('Activities'!K657,72))</x:f>
        <x:v>0</x:v>
      </x:c>
      <x:c r="R657" s="23" t="n">
        <x:f>MAX(0,MIN('Activities'!L657,84)-MAX('Activities'!K657,78))</x:f>
        <x:v>0</x:v>
      </x:c>
      <x:c r="S657" s="23" t="n">
        <x:f>MAX(0,MIN('Activities'!L657,90)-MAX('Activities'!K657,84))</x:f>
        <x:v>0</x:v>
      </x:c>
      <x:c r="T657" s="23" t="n">
        <x:f>MAX(0,MIN('Activities'!L657,96)-MAX('Activities'!K657,90))</x:f>
        <x:v>0</x:v>
      </x:c>
      <x:c r="U657" s="23" t="n">
        <x:f>MAX(0,MIN('Activities'!L657,102)-MAX('Activities'!K657,96))</x:f>
        <x:v>0</x:v>
      </x:c>
      <x:c r="V657" s="23" t="n">
        <x:f>MAX(0,MIN('Activities'!L657,108)-MAX('Activities'!K657,102))</x:f>
        <x:v>0</x:v>
      </x:c>
      <x:c r="W657" s="23" t="n">
        <x:f>MAX(0,MIN('Activities'!L657,114)-MAX('Activities'!K657,108))</x:f>
        <x:v>0</x:v>
      </x:c>
      <x:c r="X657" s="23" t="n">
        <x:f>MAX(0,MIN('Activities'!L657,120)-MAX('Activities'!K657,114))</x:f>
        <x:v>0</x:v>
      </x:c>
      <x:c r="Y657" s="23" t="n">
        <x:f>MAX(0,MIN('Activities'!L657,126)-MAX('Activities'!K657,120))</x:f>
        <x:v>0</x:v>
      </x:c>
      <x:c r="Z657" s="23" t="n">
        <x:f>MAX(0,MIN('Activities'!L657,132)-MAX('Activities'!K657,126))</x:f>
        <x:v>0</x:v>
      </x:c>
      <x:c r="AA657" s="23" t="n">
        <x:f>MAX(0,MIN('Activities'!L657,138)-MAX('Activities'!K657,132))</x:f>
        <x:v>0</x:v>
      </x:c>
      <x:c r="AB657" s="23" t="n">
        <x:f>MAX(0,MIN('Activities'!L657,144)-MAX('Activities'!K657,138))</x:f>
        <x:v>0</x:v>
      </x:c>
      <x:c r="AC657" s="23" t="n">
        <x:f>MAX(0,MIN('Activities'!L657,150)-MAX('Activities'!K657,144))</x:f>
        <x:v>0</x:v>
      </x:c>
      <x:c r="AD657" s="23" t="n">
        <x:f>MAX(0,MIN('Activities'!L657,156)-MAX('Activities'!K657,150))</x:f>
        <x:v>0</x:v>
      </x:c>
      <x:c r="AE657" s="23" t="n">
        <x:f>MAX(0,MIN('Activities'!L657,162)-MAX('Activities'!K657,156))</x:f>
        <x:v>0</x:v>
      </x:c>
      <x:c r="AF657" s="23" t="n">
        <x:f>MAX(0,MIN('Activities'!L657,168)-MAX('Activities'!K657,162))</x:f>
        <x:v>0</x:v>
      </x:c>
      <x:c r="AG657" s="23" t="n">
        <x:f>MAX(0,MIN('Activities'!L657,174)-MAX('Activities'!K657,168))</x:f>
        <x:v>0</x:v>
      </x:c>
      <x:c r="AH657" s="23" t="n">
        <x:f>MAX(0,MIN('Activities'!L657,180)-MAX('Activities'!K657,174))</x:f>
        <x:v>0</x:v>
      </x:c>
      <x:c r="AI657" s="23" t="n">
        <x:f>MAX(0,MIN('Activities'!L657,186)-MAX('Activities'!K657,180))</x:f>
        <x:v>0</x:v>
      </x:c>
      <x:c r="AJ657" s="23" t="n">
        <x:f>MAX(0,MIN('Activities'!L657,192)-MAX('Activities'!K657,186))</x:f>
        <x:v>0</x:v>
      </x:c>
      <x:c r="AK657" s="23" t="n">
        <x:f>MAX(0,MIN('Activities'!L657,198)-MAX('Activities'!K657,192))</x:f>
        <x:v>0</x:v>
      </x:c>
      <x:c r="AL657" s="23" t="n">
        <x:f>MAX(0,MIN('Activities'!L657,204)-MAX('Activities'!K657,198))</x:f>
        <x:v>0</x:v>
      </x:c>
      <x:c r="AM657" s="23" t="n">
        <x:f>MAX(0,MIN('Activities'!L657,210)-MAX('Activities'!K657,204))</x:f>
        <x:v>0</x:v>
      </x:c>
      <x:c r="AN657" s="23" t="n">
        <x:f>MAX(0,MIN('Activities'!L657,216)-MAX('Activities'!K657,210))</x:f>
        <x:v>0</x:v>
      </x:c>
      <x:c r="AO657" s="23" t="n">
        <x:f>MAX(0,MIN('Activities'!L657,222)-MAX('Activities'!K657,216))</x:f>
        <x:v>0</x:v>
      </x:c>
      <x:c r="AP657" s="23" t="n">
        <x:f>MAX(0,MIN('Activities'!L657,228)-MAX('Activities'!K657,222))</x:f>
        <x:v>0</x:v>
      </x:c>
      <x:c r="AQ657" s="23" t="n">
        <x:f>MAX(0,MIN('Activities'!L657,234)-MAX('Activities'!K657,228))</x:f>
        <x:v>0</x:v>
      </x:c>
      <x:c r="AR657" s="23" t="n">
        <x:f>MAX(0,MIN('Activities'!L657,240)-MAX('Activities'!K657,234))</x:f>
        <x:v>0</x:v>
      </x:c>
      <x:c r="AS657" s="23" t="n">
        <x:f>MAX(0,MIN('Activities'!L657,246)-MAX('Activities'!K657,240))</x:f>
        <x:v>0</x:v>
      </x:c>
      <x:c r="AT657" s="23" t="n">
        <x:f>MAX(0,MIN('Activities'!L657,252)-MAX('Activities'!K657,246))</x:f>
        <x:v>0</x:v>
      </x:c>
      <x:c r="AU657" s="23" t="n">
        <x:f>MAX(0,MIN('Activities'!L657,258)-MAX('Activities'!K657,252))</x:f>
        <x:v>0</x:v>
      </x:c>
      <x:c r="AV657" s="23" t="n">
        <x:f>MAX(0,MIN('Activities'!L657,264)-MAX('Activities'!K657,258))</x:f>
        <x:v>0</x:v>
      </x:c>
      <x:c r="AW657" s="23" t="n">
        <x:f>MAX(0,MIN('Activities'!L657,270)-MAX('Activities'!K657,264))</x:f>
        <x:v>0</x:v>
      </x:c>
      <x:c r="AX657" s="23" t="n">
        <x:f>MAX(0,MIN('Activities'!L657,276)-MAX('Activities'!K657,270))</x:f>
        <x:v>0</x:v>
      </x:c>
      <x:c r="AY657" s="23" t="n">
        <x:f>MAX(0,MIN('Activities'!L657,282)-MAX('Activities'!K657,276))</x:f>
        <x:v>0</x:v>
      </x:c>
      <x:c r="AZ657" s="23" t="n">
        <x:f>MAX(0,MIN('Activities'!L657,288)-MAX('Activities'!K657,282))</x:f>
        <x:v>0</x:v>
      </x:c>
      <x:c r="BA657" s="23" t="n">
        <x:f>MAX(0,MIN('Activities'!L657,294)-MAX('Activities'!K657,288))</x:f>
        <x:v>0</x:v>
      </x:c>
      <x:c r="BB657" s="23" t="n">
        <x:f>MAX(0,MIN('Activities'!L657,300)-MAX('Activities'!K657,294))</x:f>
        <x:v>0</x:v>
      </x:c>
      <x:c r="BC657" s="23" t="n">
        <x:f>MAX(0,MIN('Activities'!L657,306)-MAX('Activities'!K657,300))</x:f>
        <x:v>0</x:v>
      </x:c>
      <x:c r="BD657" s="23" t="n">
        <x:f>MAX(0,MIN('Activities'!L657,312)-MAX('Activities'!K657,306))</x:f>
        <x:v>0</x:v>
      </x:c>
      <x:c r="BE657" s="23" t="n">
        <x:f>MAX(0,MIN('Activities'!L657,318)-MAX('Activities'!K657,312))</x:f>
        <x:v>0</x:v>
      </x:c>
      <x:c r="BF657" s="23" t="n">
        <x:f>MAX(0,MIN('Activities'!L657,324)-MAX('Activities'!K657,318))</x:f>
        <x:v>0</x:v>
      </x:c>
      <x:c r="BG657" s="23" t="n">
        <x:f>MAX(0,MIN('Activities'!L657,330)-MAX('Activities'!K657,324))</x:f>
        <x:v>0</x:v>
      </x:c>
      <x:c r="BH657" s="23" t="n">
        <x:f>MAX(0,MIN('Activities'!L657,336)-MAX('Activities'!K657,330))</x:f>
        <x:v>0</x:v>
      </x:c>
      <x:c r="BI657" s="23" t="n">
        <x:f>MAX(0,MIN('Activities'!L657,342)-MAX('Activities'!K657,336))</x:f>
        <x:v>0</x:v>
      </x:c>
      <x:c r="BJ657" s="23" t="n">
        <x:f>MAX(0,MIN('Activities'!L657,348)-MAX('Activities'!K657,342))</x:f>
        <x:v>0</x:v>
      </x:c>
      <x:c r="BK657" s="23" t="n">
        <x:f>MAX(0,MIN('Activities'!L657,354)-MAX('Activities'!K657,348))</x:f>
        <x:v>0</x:v>
      </x:c>
      <x:c r="BL657" s="23" t="n">
        <x:f>MAX(0,MIN('Activities'!L657,360)-MAX('Activities'!K657,354))</x:f>
        <x:v>0</x:v>
      </x:c>
      <x:c r="BM657" s="23" t="n">
        <x:f>MAX(0,MIN('Activities'!L657,366)-MAX('Activities'!K657,360))</x:f>
        <x:v>0</x:v>
      </x:c>
      <x:c r="BN657" s="23" t="n">
        <x:f>MAX(0,MIN('Activities'!L657,372)-MAX('Activities'!K657,366))</x:f>
        <x:v>0</x:v>
      </x:c>
      <x:c r="BO657" s="23" t="n">
        <x:f>MAX(0,MIN('Activities'!L657,378)-MAX('Activities'!K657,372))</x:f>
        <x:v>0</x:v>
      </x:c>
      <x:c r="BP657" s="23" t="n">
        <x:f>MAX(0,MIN('Activities'!L657,384)-MAX('Activities'!K657,378))</x:f>
        <x:v>0</x:v>
      </x:c>
      <x:c r="BQ657" s="23" t="n">
        <x:f>MAX(0,MIN('Activities'!L657,390)-MAX('Activities'!K657,384))</x:f>
        <x:v>0</x:v>
      </x:c>
      <x:c r="BR657" s="23" t="n">
        <x:f>MAX(0,MIN('Activities'!L657,396)-MAX('Activities'!K657,390))</x:f>
        <x:v>0</x:v>
      </x:c>
      <x:c r="BS657" s="23" t="n">
        <x:f>MAX(0,MIN('Activities'!L657,402)-MAX('Activities'!K657,396))</x:f>
        <x:v>0</x:v>
      </x:c>
      <x:c r="BT657" s="23" t="n">
        <x:f>MAX(0,MIN('Activities'!L657,408)-MAX('Activities'!K657,402))</x:f>
        <x:v>0</x:v>
      </x:c>
      <x:c r="BU657" s="23" t="n">
        <x:f>MAX(0,MIN('Activities'!L657,414)-MAX('Activities'!K657,408))</x:f>
        <x:v>0</x:v>
      </x:c>
      <x:c r="BV657" s="23" t="n">
        <x:f>MAX(0,MIN('Activities'!L657,420)-MAX('Activities'!K657,414))</x:f>
        <x:v>0</x:v>
      </x:c>
      <x:c r="BW657" s="23" t="n">
        <x:f>MAX(0,MIN('Activities'!L657,426)-MAX('Activities'!K657,420))</x:f>
        <x:v>5</x:v>
      </x:c>
      <x:c r="BX657" s="23" t="n">
        <x:f>MAX(0,MIN('Activities'!L657,432)-MAX('Activities'!K657,426))</x:f>
        <x:v>0</x:v>
      </x:c>
      <x:c r="BY657" s="23" t="n">
        <x:f>MAX(0,MIN('Activities'!L657,438)-MAX('Activities'!K657,432))</x:f>
        <x:v>0</x:v>
      </x:c>
      <x:c r="BZ657" s="23" t="n">
        <x:f>MAX(0,MIN('Activities'!L657,444)-MAX('Activities'!K657,438))</x:f>
        <x:v>0</x:v>
      </x:c>
      <x:c r="CA657" s="23" t="n">
        <x:f>MAX(0,MIN('Activities'!L657,450)-MAX('Activities'!K657,444))</x:f>
        <x:v>0</x:v>
      </x:c>
      <x:c r="CB657" s="23" t="n">
        <x:f>MAX(0,MIN('Activities'!L657,456)-MAX('Activities'!K657,450))</x:f>
        <x:v>0</x:v>
      </x:c>
      <x:c r="CC657" s="23" t="n">
        <x:f>MAX(0,MIN('Activities'!L657,462)-MAX('Activities'!K657,456))</x:f>
        <x:v>0</x:v>
      </x:c>
      <x:c r="CD657" s="23" t="n">
        <x:f>MAX(0,MIN('Activities'!L657,468)-MAX('Activities'!K657,462))</x:f>
        <x:v>0</x:v>
      </x:c>
      <x:c r="CE657" s="23" t="n">
        <x:f>MAX(0,MIN('Activities'!L657,474)-MAX('Activities'!K657,468))</x:f>
        <x:v>0</x:v>
      </x:c>
      <x:c r="CF657" s="23" t="n">
        <x:f>MAX(0,MIN('Activities'!L657,480)-MAX('Activities'!K657,474))</x:f>
        <x:v>0</x:v>
      </x:c>
      <x:c r="CG657" s="23" t="n">
        <x:f>MAX(0,MIN('Activities'!L657,486)-MAX('Activities'!K657,480))</x:f>
        <x:v>0</x:v>
      </x:c>
      <x:c r="CH657" s="23" t="n">
        <x:f>MAX(0,MIN('Activities'!L657,492)-MAX('Activities'!K657,486))</x:f>
        <x:v>0</x:v>
      </x:c>
      <x:c r="CI657" s="23" t="n">
        <x:f>MAX(0,MIN('Activities'!L657,498)-MAX('Activities'!K657,492))</x:f>
        <x:v>0</x:v>
      </x:c>
      <x:c r="CJ657" s="23" t="n">
        <x:f>MAX(0,MIN('Activities'!L657,504)-MAX('Activities'!K657,498))</x:f>
        <x:v>0</x:v>
      </x:c>
      <x:c r="CK657" s="23" t="n">
        <x:f>MAX(0,MIN('Activities'!L657,510)-MAX('Activities'!K657,504))</x:f>
        <x:v>0</x:v>
      </x:c>
      <x:c r="CL657" s="23" t="n">
        <x:f>MAX(0,MIN('Activities'!L657,516)-MAX('Activities'!K657,510))</x:f>
        <x:v>0</x:v>
      </x:c>
      <x:c r="CM657" s="23" t="n">
        <x:f>MAX(0,MIN('Activities'!L657,522)-MAX('Activities'!K657,516))</x:f>
        <x:v>0</x:v>
      </x:c>
      <x:c r="CN657" s="23" t="n">
        <x:f>MAX(0,MIN('Activities'!L657,528)-MAX('Activities'!K657,522))</x:f>
        <x:v>0</x:v>
      </x:c>
      <x:c r="CO657" s="23" t="n">
        <x:f>MAX(0,MIN('Activities'!L657,534)-MAX('Activities'!K657,528))</x:f>
        <x:v>0</x:v>
      </x:c>
      <x:c r="CP657" s="23" t="n">
        <x:f>MAX(0,MIN('Activities'!L657,540)-MAX('Activities'!K657,534))</x:f>
        <x:v>0</x:v>
      </x:c>
      <x:c r="CQ657" s="23" t="n">
        <x:f>MAX(0,MIN('Activities'!L657,546)-MAX('Activities'!K657,540))</x:f>
        <x:v>0</x:v>
      </x:c>
      <x:c r="CR657" s="23" t="n">
        <x:f>MAX(0,MIN('Activities'!L657,552)-MAX('Activities'!K657,546))</x:f>
        <x:v>0</x:v>
      </x:c>
      <x:c r="CS657" s="23" t="n">
        <x:f>MAX(0,MIN('Activities'!L657,558)-MAX('Activities'!K657,552))</x:f>
        <x:v>0</x:v>
      </x:c>
      <x:c r="CT657" s="23" t="n">
        <x:f>MAX(0,MIN('Activities'!L657,564)-MAX('Activities'!K657,558))</x:f>
        <x:v>0</x:v>
      </x:c>
      <x:c r="CU657" s="23" t="n">
        <x:f>MAX(0,MIN('Activities'!L657,570)-MAX('Activities'!K657,564))</x:f>
        <x:v>0</x:v>
      </x:c>
      <x:c r="CV657" s="23" t="n">
        <x:f>MAX(0,MIN('Activities'!L657,576)-MAX('Activities'!K657,570))</x:f>
        <x:v>0</x:v>
      </x:c>
      <x:c r="CW657" s="23" t="n">
        <x:f>MAX(0,MIN('Activities'!L657,582)-MAX('Activities'!K657,576))</x:f>
        <x:v>0</x:v>
      </x:c>
      <x:c r="CX657" s="23" t="n">
        <x:f>MAX(0,MIN('Activities'!L657,588)-MAX('Activities'!K657,582))</x:f>
        <x:v>0</x:v>
      </x:c>
      <x:c r="CY657" s="23" t="n">
        <x:f>MAX(0,MIN('Activities'!L657,594)-MAX('Activities'!K657,588))</x:f>
        <x:v>0</x:v>
      </x:c>
      <x:c r="CZ657" s="23" t="n">
        <x:f>MAX(0,MIN('Activities'!L657,600)-MAX('Activities'!K657,594))</x:f>
        <x:v>0</x:v>
      </x:c>
      <x:c r="DA657" s="23" t="n">
        <x:f>MAX(0,MIN('Activities'!L657,606)-MAX('Activities'!K657,600))</x:f>
        <x:v>0</x:v>
      </x:c>
      <x:c r="DB657" s="23" t="n">
        <x:f>MAX(0,MIN('Activities'!L657,612)-MAX('Activities'!K657,606))</x:f>
        <x:v>0</x:v>
      </x:c>
      <x:c r="DC657" s="23" t="n">
        <x:f>MAX(0,MIN('Activities'!L657,618)-MAX('Activities'!K657,612))</x:f>
        <x:v>0</x:v>
      </x:c>
      <x:c r="DD657" s="23" t="n">
        <x:f>MAX(0,MIN('Activities'!L657,624)-MAX('Activities'!K657,618))</x:f>
        <x:v>0</x:v>
      </x:c>
      <x:c r="DE657" s="23" t="n">
        <x:f>MAX(0,MIN('Activities'!L657,630)-MAX('Activities'!K657,624))</x:f>
        <x:v>0</x:v>
      </x:c>
      <x:c r="DF657" s="23" t="n">
        <x:f>MAX(0,MIN('Activities'!L657,636)-MAX('Activities'!K657,630))</x:f>
        <x:v>0</x:v>
      </x:c>
    </x:row>
    <x:row r="658" ht="23" customHeight="1">
      <x:c r="A658" s="6" t="str">
        <x:v>T5-L09-P</x:v>
      </x:c>
      <x:c r="B658" s="6" t="str">
        <x:v>T5</x:v>
      </x:c>
      <x:c r="C658" s="6" t="str">
        <x:v>Internal plaster</x:v>
      </x:c>
      <x:c r="D658" s="6" t="str">
        <x:v>Finishes</x:v>
      </x:c>
      <x:c r="E658" s="22" t="n">
        <x:f>MAX(0,MIN('Activities'!L658,6)-MAX('Activities'!K658,0))</x:f>
        <x:v>0</x:v>
      </x:c>
      <x:c r="F658" s="22" t="n">
        <x:f>MAX(0,MIN('Activities'!L658,12)-MAX('Activities'!K658,6))</x:f>
        <x:v>0</x:v>
      </x:c>
      <x:c r="G658" s="22" t="n">
        <x:f>MAX(0,MIN('Activities'!L658,18)-MAX('Activities'!K658,12))</x:f>
        <x:v>0</x:v>
      </x:c>
      <x:c r="H658" s="22" t="n">
        <x:f>MAX(0,MIN('Activities'!L658,24)-MAX('Activities'!K658,18))</x:f>
        <x:v>0</x:v>
      </x:c>
      <x:c r="I658" s="22" t="n">
        <x:f>MAX(0,MIN('Activities'!L658,30)-MAX('Activities'!K658,24))</x:f>
        <x:v>0</x:v>
      </x:c>
      <x:c r="J658" s="22" t="n">
        <x:f>MAX(0,MIN('Activities'!L658,36)-MAX('Activities'!K658,30))</x:f>
        <x:v>0</x:v>
      </x:c>
      <x:c r="K658" s="22" t="n">
        <x:f>MAX(0,MIN('Activities'!L658,42)-MAX('Activities'!K658,36))</x:f>
        <x:v>0</x:v>
      </x:c>
      <x:c r="L658" s="22" t="n">
        <x:f>MAX(0,MIN('Activities'!L658,48)-MAX('Activities'!K658,42))</x:f>
        <x:v>0</x:v>
      </x:c>
      <x:c r="M658" s="22" t="n">
        <x:f>MAX(0,MIN('Activities'!L658,54)-MAX('Activities'!K658,48))</x:f>
        <x:v>0</x:v>
      </x:c>
      <x:c r="N658" s="22" t="n">
        <x:f>MAX(0,MIN('Activities'!L658,60)-MAX('Activities'!K658,54))</x:f>
        <x:v>0</x:v>
      </x:c>
      <x:c r="O658" s="22" t="n">
        <x:f>MAX(0,MIN('Activities'!L658,66)-MAX('Activities'!K658,60))</x:f>
        <x:v>0</x:v>
      </x:c>
      <x:c r="P658" s="22" t="n">
        <x:f>MAX(0,MIN('Activities'!L658,72)-MAX('Activities'!K658,66))</x:f>
        <x:v>0</x:v>
      </x:c>
      <x:c r="Q658" s="22" t="n">
        <x:f>MAX(0,MIN('Activities'!L658,78)-MAX('Activities'!K658,72))</x:f>
        <x:v>0</x:v>
      </x:c>
      <x:c r="R658" s="22" t="n">
        <x:f>MAX(0,MIN('Activities'!L658,84)-MAX('Activities'!K658,78))</x:f>
        <x:v>0</x:v>
      </x:c>
      <x:c r="S658" s="22" t="n">
        <x:f>MAX(0,MIN('Activities'!L658,90)-MAX('Activities'!K658,84))</x:f>
        <x:v>0</x:v>
      </x:c>
      <x:c r="T658" s="22" t="n">
        <x:f>MAX(0,MIN('Activities'!L658,96)-MAX('Activities'!K658,90))</x:f>
        <x:v>0</x:v>
      </x:c>
      <x:c r="U658" s="22" t="n">
        <x:f>MAX(0,MIN('Activities'!L658,102)-MAX('Activities'!K658,96))</x:f>
        <x:v>0</x:v>
      </x:c>
      <x:c r="V658" s="22" t="n">
        <x:f>MAX(0,MIN('Activities'!L658,108)-MAX('Activities'!K658,102))</x:f>
        <x:v>0</x:v>
      </x:c>
      <x:c r="W658" s="22" t="n">
        <x:f>MAX(0,MIN('Activities'!L658,114)-MAX('Activities'!K658,108))</x:f>
        <x:v>0</x:v>
      </x:c>
      <x:c r="X658" s="22" t="n">
        <x:f>MAX(0,MIN('Activities'!L658,120)-MAX('Activities'!K658,114))</x:f>
        <x:v>0</x:v>
      </x:c>
      <x:c r="Y658" s="22" t="n">
        <x:f>MAX(0,MIN('Activities'!L658,126)-MAX('Activities'!K658,120))</x:f>
        <x:v>0</x:v>
      </x:c>
      <x:c r="Z658" s="22" t="n">
        <x:f>MAX(0,MIN('Activities'!L658,132)-MAX('Activities'!K658,126))</x:f>
        <x:v>0</x:v>
      </x:c>
      <x:c r="AA658" s="22" t="n">
        <x:f>MAX(0,MIN('Activities'!L658,138)-MAX('Activities'!K658,132))</x:f>
        <x:v>0</x:v>
      </x:c>
      <x:c r="AB658" s="22" t="n">
        <x:f>MAX(0,MIN('Activities'!L658,144)-MAX('Activities'!K658,138))</x:f>
        <x:v>0</x:v>
      </x:c>
      <x:c r="AC658" s="22" t="n">
        <x:f>MAX(0,MIN('Activities'!L658,150)-MAX('Activities'!K658,144))</x:f>
        <x:v>0</x:v>
      </x:c>
      <x:c r="AD658" s="22" t="n">
        <x:f>MAX(0,MIN('Activities'!L658,156)-MAX('Activities'!K658,150))</x:f>
        <x:v>0</x:v>
      </x:c>
      <x:c r="AE658" s="22" t="n">
        <x:f>MAX(0,MIN('Activities'!L658,162)-MAX('Activities'!K658,156))</x:f>
        <x:v>0</x:v>
      </x:c>
      <x:c r="AF658" s="22" t="n">
        <x:f>MAX(0,MIN('Activities'!L658,168)-MAX('Activities'!K658,162))</x:f>
        <x:v>0</x:v>
      </x:c>
      <x:c r="AG658" s="22" t="n">
        <x:f>MAX(0,MIN('Activities'!L658,174)-MAX('Activities'!K658,168))</x:f>
        <x:v>0</x:v>
      </x:c>
      <x:c r="AH658" s="22" t="n">
        <x:f>MAX(0,MIN('Activities'!L658,180)-MAX('Activities'!K658,174))</x:f>
        <x:v>0</x:v>
      </x:c>
      <x:c r="AI658" s="22" t="n">
        <x:f>MAX(0,MIN('Activities'!L658,186)-MAX('Activities'!K658,180))</x:f>
        <x:v>0</x:v>
      </x:c>
      <x:c r="AJ658" s="22" t="n">
        <x:f>MAX(0,MIN('Activities'!L658,192)-MAX('Activities'!K658,186))</x:f>
        <x:v>0</x:v>
      </x:c>
      <x:c r="AK658" s="22" t="n">
        <x:f>MAX(0,MIN('Activities'!L658,198)-MAX('Activities'!K658,192))</x:f>
        <x:v>0</x:v>
      </x:c>
      <x:c r="AL658" s="22" t="n">
        <x:f>MAX(0,MIN('Activities'!L658,204)-MAX('Activities'!K658,198))</x:f>
        <x:v>0</x:v>
      </x:c>
      <x:c r="AM658" s="22" t="n">
        <x:f>MAX(0,MIN('Activities'!L658,210)-MAX('Activities'!K658,204))</x:f>
        <x:v>0</x:v>
      </x:c>
      <x:c r="AN658" s="22" t="n">
        <x:f>MAX(0,MIN('Activities'!L658,216)-MAX('Activities'!K658,210))</x:f>
        <x:v>0</x:v>
      </x:c>
      <x:c r="AO658" s="22" t="n">
        <x:f>MAX(0,MIN('Activities'!L658,222)-MAX('Activities'!K658,216))</x:f>
        <x:v>0</x:v>
      </x:c>
      <x:c r="AP658" s="22" t="n">
        <x:f>MAX(0,MIN('Activities'!L658,228)-MAX('Activities'!K658,222))</x:f>
        <x:v>0</x:v>
      </x:c>
      <x:c r="AQ658" s="22" t="n">
        <x:f>MAX(0,MIN('Activities'!L658,234)-MAX('Activities'!K658,228))</x:f>
        <x:v>0</x:v>
      </x:c>
      <x:c r="AR658" s="22" t="n">
        <x:f>MAX(0,MIN('Activities'!L658,240)-MAX('Activities'!K658,234))</x:f>
        <x:v>0</x:v>
      </x:c>
      <x:c r="AS658" s="22" t="n">
        <x:f>MAX(0,MIN('Activities'!L658,246)-MAX('Activities'!K658,240))</x:f>
        <x:v>0</x:v>
      </x:c>
      <x:c r="AT658" s="22" t="n">
        <x:f>MAX(0,MIN('Activities'!L658,252)-MAX('Activities'!K658,246))</x:f>
        <x:v>0</x:v>
      </x:c>
      <x:c r="AU658" s="22" t="n">
        <x:f>MAX(0,MIN('Activities'!L658,258)-MAX('Activities'!K658,252))</x:f>
        <x:v>0</x:v>
      </x:c>
      <x:c r="AV658" s="22" t="n">
        <x:f>MAX(0,MIN('Activities'!L658,264)-MAX('Activities'!K658,258))</x:f>
        <x:v>0</x:v>
      </x:c>
      <x:c r="AW658" s="22" t="n">
        <x:f>MAX(0,MIN('Activities'!L658,270)-MAX('Activities'!K658,264))</x:f>
        <x:v>0</x:v>
      </x:c>
      <x:c r="AX658" s="22" t="n">
        <x:f>MAX(0,MIN('Activities'!L658,276)-MAX('Activities'!K658,270))</x:f>
        <x:v>0</x:v>
      </x:c>
      <x:c r="AY658" s="22" t="n">
        <x:f>MAX(0,MIN('Activities'!L658,282)-MAX('Activities'!K658,276))</x:f>
        <x:v>0</x:v>
      </x:c>
      <x:c r="AZ658" s="22" t="n">
        <x:f>MAX(0,MIN('Activities'!L658,288)-MAX('Activities'!K658,282))</x:f>
        <x:v>0</x:v>
      </x:c>
      <x:c r="BA658" s="22" t="n">
        <x:f>MAX(0,MIN('Activities'!L658,294)-MAX('Activities'!K658,288))</x:f>
        <x:v>0</x:v>
      </x:c>
      <x:c r="BB658" s="22" t="n">
        <x:f>MAX(0,MIN('Activities'!L658,300)-MAX('Activities'!K658,294))</x:f>
        <x:v>0</x:v>
      </x:c>
      <x:c r="BC658" s="22" t="n">
        <x:f>MAX(0,MIN('Activities'!L658,306)-MAX('Activities'!K658,300))</x:f>
        <x:v>0</x:v>
      </x:c>
      <x:c r="BD658" s="22" t="n">
        <x:f>MAX(0,MIN('Activities'!L658,312)-MAX('Activities'!K658,306))</x:f>
        <x:v>0</x:v>
      </x:c>
      <x:c r="BE658" s="22" t="n">
        <x:f>MAX(0,MIN('Activities'!L658,318)-MAX('Activities'!K658,312))</x:f>
        <x:v>0</x:v>
      </x:c>
      <x:c r="BF658" s="22" t="n">
        <x:f>MAX(0,MIN('Activities'!L658,324)-MAX('Activities'!K658,318))</x:f>
        <x:v>0</x:v>
      </x:c>
      <x:c r="BG658" s="22" t="n">
        <x:f>MAX(0,MIN('Activities'!L658,330)-MAX('Activities'!K658,324))</x:f>
        <x:v>0</x:v>
      </x:c>
      <x:c r="BH658" s="22" t="n">
        <x:f>MAX(0,MIN('Activities'!L658,336)-MAX('Activities'!K658,330))</x:f>
        <x:v>0</x:v>
      </x:c>
      <x:c r="BI658" s="22" t="n">
        <x:f>MAX(0,MIN('Activities'!L658,342)-MAX('Activities'!K658,336))</x:f>
        <x:v>0</x:v>
      </x:c>
      <x:c r="BJ658" s="22" t="n">
        <x:f>MAX(0,MIN('Activities'!L658,348)-MAX('Activities'!K658,342))</x:f>
        <x:v>0</x:v>
      </x:c>
      <x:c r="BK658" s="22" t="n">
        <x:f>MAX(0,MIN('Activities'!L658,354)-MAX('Activities'!K658,348))</x:f>
        <x:v>0</x:v>
      </x:c>
      <x:c r="BL658" s="22" t="n">
        <x:f>MAX(0,MIN('Activities'!L658,360)-MAX('Activities'!K658,354))</x:f>
        <x:v>0</x:v>
      </x:c>
      <x:c r="BM658" s="22" t="n">
        <x:f>MAX(0,MIN('Activities'!L658,366)-MAX('Activities'!K658,360))</x:f>
        <x:v>0</x:v>
      </x:c>
      <x:c r="BN658" s="22" t="n">
        <x:f>MAX(0,MIN('Activities'!L658,372)-MAX('Activities'!K658,366))</x:f>
        <x:v>0</x:v>
      </x:c>
      <x:c r="BO658" s="22" t="n">
        <x:f>MAX(0,MIN('Activities'!L658,378)-MAX('Activities'!K658,372))</x:f>
        <x:v>0</x:v>
      </x:c>
      <x:c r="BP658" s="22" t="n">
        <x:f>MAX(0,MIN('Activities'!L658,384)-MAX('Activities'!K658,378))</x:f>
        <x:v>0</x:v>
      </x:c>
      <x:c r="BQ658" s="22" t="n">
        <x:f>MAX(0,MIN('Activities'!L658,390)-MAX('Activities'!K658,384))</x:f>
        <x:v>0</x:v>
      </x:c>
      <x:c r="BR658" s="22" t="n">
        <x:f>MAX(0,MIN('Activities'!L658,396)-MAX('Activities'!K658,390))</x:f>
        <x:v>0</x:v>
      </x:c>
      <x:c r="BS658" s="22" t="n">
        <x:f>MAX(0,MIN('Activities'!L658,402)-MAX('Activities'!K658,396))</x:f>
        <x:v>0</x:v>
      </x:c>
      <x:c r="BT658" s="22" t="n">
        <x:f>MAX(0,MIN('Activities'!L658,408)-MAX('Activities'!K658,402))</x:f>
        <x:v>0</x:v>
      </x:c>
      <x:c r="BU658" s="22" t="n">
        <x:f>MAX(0,MIN('Activities'!L658,414)-MAX('Activities'!K658,408))</x:f>
        <x:v>0</x:v>
      </x:c>
      <x:c r="BV658" s="22" t="n">
        <x:f>MAX(0,MIN('Activities'!L658,420)-MAX('Activities'!K658,414))</x:f>
        <x:v>0</x:v>
      </x:c>
      <x:c r="BW658" s="22" t="n">
        <x:f>MAX(0,MIN('Activities'!L658,426)-MAX('Activities'!K658,420))</x:f>
        <x:v>0</x:v>
      </x:c>
      <x:c r="BX658" s="22" t="n">
        <x:f>MAX(0,MIN('Activities'!L658,432)-MAX('Activities'!K658,426))</x:f>
        <x:v>3</x:v>
      </x:c>
      <x:c r="BY658" s="22" t="n">
        <x:f>MAX(0,MIN('Activities'!L658,438)-MAX('Activities'!K658,432))</x:f>
        <x:v>3</x:v>
      </x:c>
      <x:c r="BZ658" s="22" t="n">
        <x:f>MAX(0,MIN('Activities'!L658,444)-MAX('Activities'!K658,438))</x:f>
        <x:v>0</x:v>
      </x:c>
      <x:c r="CA658" s="22" t="n">
        <x:f>MAX(0,MIN('Activities'!L658,450)-MAX('Activities'!K658,444))</x:f>
        <x:v>0</x:v>
      </x:c>
      <x:c r="CB658" s="22" t="n">
        <x:f>MAX(0,MIN('Activities'!L658,456)-MAX('Activities'!K658,450))</x:f>
        <x:v>0</x:v>
      </x:c>
      <x:c r="CC658" s="22" t="n">
        <x:f>MAX(0,MIN('Activities'!L658,462)-MAX('Activities'!K658,456))</x:f>
        <x:v>0</x:v>
      </x:c>
      <x:c r="CD658" s="22" t="n">
        <x:f>MAX(0,MIN('Activities'!L658,468)-MAX('Activities'!K658,462))</x:f>
        <x:v>0</x:v>
      </x:c>
      <x:c r="CE658" s="22" t="n">
        <x:f>MAX(0,MIN('Activities'!L658,474)-MAX('Activities'!K658,468))</x:f>
        <x:v>0</x:v>
      </x:c>
      <x:c r="CF658" s="22" t="n">
        <x:f>MAX(0,MIN('Activities'!L658,480)-MAX('Activities'!K658,474))</x:f>
        <x:v>0</x:v>
      </x:c>
      <x:c r="CG658" s="22" t="n">
        <x:f>MAX(0,MIN('Activities'!L658,486)-MAX('Activities'!K658,480))</x:f>
        <x:v>0</x:v>
      </x:c>
      <x:c r="CH658" s="22" t="n">
        <x:f>MAX(0,MIN('Activities'!L658,492)-MAX('Activities'!K658,486))</x:f>
        <x:v>0</x:v>
      </x:c>
      <x:c r="CI658" s="22" t="n">
        <x:f>MAX(0,MIN('Activities'!L658,498)-MAX('Activities'!K658,492))</x:f>
        <x:v>0</x:v>
      </x:c>
      <x:c r="CJ658" s="22" t="n">
        <x:f>MAX(0,MIN('Activities'!L658,504)-MAX('Activities'!K658,498))</x:f>
        <x:v>0</x:v>
      </x:c>
      <x:c r="CK658" s="22" t="n">
        <x:f>MAX(0,MIN('Activities'!L658,510)-MAX('Activities'!K658,504))</x:f>
        <x:v>0</x:v>
      </x:c>
      <x:c r="CL658" s="22" t="n">
        <x:f>MAX(0,MIN('Activities'!L658,516)-MAX('Activities'!K658,510))</x:f>
        <x:v>0</x:v>
      </x:c>
      <x:c r="CM658" s="22" t="n">
        <x:f>MAX(0,MIN('Activities'!L658,522)-MAX('Activities'!K658,516))</x:f>
        <x:v>0</x:v>
      </x:c>
      <x:c r="CN658" s="22" t="n">
        <x:f>MAX(0,MIN('Activities'!L658,528)-MAX('Activities'!K658,522))</x:f>
        <x:v>0</x:v>
      </x:c>
      <x:c r="CO658" s="22" t="n">
        <x:f>MAX(0,MIN('Activities'!L658,534)-MAX('Activities'!K658,528))</x:f>
        <x:v>0</x:v>
      </x:c>
      <x:c r="CP658" s="22" t="n">
        <x:f>MAX(0,MIN('Activities'!L658,540)-MAX('Activities'!K658,534))</x:f>
        <x:v>0</x:v>
      </x:c>
      <x:c r="CQ658" s="22" t="n">
        <x:f>MAX(0,MIN('Activities'!L658,546)-MAX('Activities'!K658,540))</x:f>
        <x:v>0</x:v>
      </x:c>
      <x:c r="CR658" s="22" t="n">
        <x:f>MAX(0,MIN('Activities'!L658,552)-MAX('Activities'!K658,546))</x:f>
        <x:v>0</x:v>
      </x:c>
      <x:c r="CS658" s="22" t="n">
        <x:f>MAX(0,MIN('Activities'!L658,558)-MAX('Activities'!K658,552))</x:f>
        <x:v>0</x:v>
      </x:c>
      <x:c r="CT658" s="22" t="n">
        <x:f>MAX(0,MIN('Activities'!L658,564)-MAX('Activities'!K658,558))</x:f>
        <x:v>0</x:v>
      </x:c>
      <x:c r="CU658" s="22" t="n">
        <x:f>MAX(0,MIN('Activities'!L658,570)-MAX('Activities'!K658,564))</x:f>
        <x:v>0</x:v>
      </x:c>
      <x:c r="CV658" s="22" t="n">
        <x:f>MAX(0,MIN('Activities'!L658,576)-MAX('Activities'!K658,570))</x:f>
        <x:v>0</x:v>
      </x:c>
      <x:c r="CW658" s="22" t="n">
        <x:f>MAX(0,MIN('Activities'!L658,582)-MAX('Activities'!K658,576))</x:f>
        <x:v>0</x:v>
      </x:c>
      <x:c r="CX658" s="22" t="n">
        <x:f>MAX(0,MIN('Activities'!L658,588)-MAX('Activities'!K658,582))</x:f>
        <x:v>0</x:v>
      </x:c>
      <x:c r="CY658" s="22" t="n">
        <x:f>MAX(0,MIN('Activities'!L658,594)-MAX('Activities'!K658,588))</x:f>
        <x:v>0</x:v>
      </x:c>
      <x:c r="CZ658" s="22" t="n">
        <x:f>MAX(0,MIN('Activities'!L658,600)-MAX('Activities'!K658,594))</x:f>
        <x:v>0</x:v>
      </x:c>
      <x:c r="DA658" s="22" t="n">
        <x:f>MAX(0,MIN('Activities'!L658,606)-MAX('Activities'!K658,600))</x:f>
        <x:v>0</x:v>
      </x:c>
      <x:c r="DB658" s="22" t="n">
        <x:f>MAX(0,MIN('Activities'!L658,612)-MAX('Activities'!K658,606))</x:f>
        <x:v>0</x:v>
      </x:c>
      <x:c r="DC658" s="22" t="n">
        <x:f>MAX(0,MIN('Activities'!L658,618)-MAX('Activities'!K658,612))</x:f>
        <x:v>0</x:v>
      </x:c>
      <x:c r="DD658" s="22" t="n">
        <x:f>MAX(0,MIN('Activities'!L658,624)-MAX('Activities'!K658,618))</x:f>
        <x:v>0</x:v>
      </x:c>
      <x:c r="DE658" s="22" t="n">
        <x:f>MAX(0,MIN('Activities'!L658,630)-MAX('Activities'!K658,624))</x:f>
        <x:v>0</x:v>
      </x:c>
      <x:c r="DF658" s="22" t="n">
        <x:f>MAX(0,MIN('Activities'!L658,636)-MAX('Activities'!K658,630))</x:f>
        <x:v>0</x:v>
      </x:c>
    </x:row>
    <x:row r="659" ht="23" customHeight="1">
      <x:c r="A659" s="1" t="str">
        <x:v>T5-L09-S</x:v>
      </x:c>
      <x:c r="B659" s="1" t="str">
        <x:v>T5</x:v>
      </x:c>
      <x:c r="C659" s="1" t="str">
        <x:v>Screed and substrate preparation</x:v>
      </x:c>
      <x:c r="D659" s="1" t="str">
        <x:v>Finishes</x:v>
      </x:c>
      <x:c r="E659" s="23" t="n">
        <x:f>MAX(0,MIN('Activities'!L659,6)-MAX('Activities'!K659,0))</x:f>
        <x:v>0</x:v>
      </x:c>
      <x:c r="F659" s="23" t="n">
        <x:f>MAX(0,MIN('Activities'!L659,12)-MAX('Activities'!K659,6))</x:f>
        <x:v>0</x:v>
      </x:c>
      <x:c r="G659" s="23" t="n">
        <x:f>MAX(0,MIN('Activities'!L659,18)-MAX('Activities'!K659,12))</x:f>
        <x:v>0</x:v>
      </x:c>
      <x:c r="H659" s="23" t="n">
        <x:f>MAX(0,MIN('Activities'!L659,24)-MAX('Activities'!K659,18))</x:f>
        <x:v>0</x:v>
      </x:c>
      <x:c r="I659" s="23" t="n">
        <x:f>MAX(0,MIN('Activities'!L659,30)-MAX('Activities'!K659,24))</x:f>
        <x:v>0</x:v>
      </x:c>
      <x:c r="J659" s="23" t="n">
        <x:f>MAX(0,MIN('Activities'!L659,36)-MAX('Activities'!K659,30))</x:f>
        <x:v>0</x:v>
      </x:c>
      <x:c r="K659" s="23" t="n">
        <x:f>MAX(0,MIN('Activities'!L659,42)-MAX('Activities'!K659,36))</x:f>
        <x:v>0</x:v>
      </x:c>
      <x:c r="L659" s="23" t="n">
        <x:f>MAX(0,MIN('Activities'!L659,48)-MAX('Activities'!K659,42))</x:f>
        <x:v>0</x:v>
      </x:c>
      <x:c r="M659" s="23" t="n">
        <x:f>MAX(0,MIN('Activities'!L659,54)-MAX('Activities'!K659,48))</x:f>
        <x:v>0</x:v>
      </x:c>
      <x:c r="N659" s="23" t="n">
        <x:f>MAX(0,MIN('Activities'!L659,60)-MAX('Activities'!K659,54))</x:f>
        <x:v>0</x:v>
      </x:c>
      <x:c r="O659" s="23" t="n">
        <x:f>MAX(0,MIN('Activities'!L659,66)-MAX('Activities'!K659,60))</x:f>
        <x:v>0</x:v>
      </x:c>
      <x:c r="P659" s="23" t="n">
        <x:f>MAX(0,MIN('Activities'!L659,72)-MAX('Activities'!K659,66))</x:f>
        <x:v>0</x:v>
      </x:c>
      <x:c r="Q659" s="23" t="n">
        <x:f>MAX(0,MIN('Activities'!L659,78)-MAX('Activities'!K659,72))</x:f>
        <x:v>0</x:v>
      </x:c>
      <x:c r="R659" s="23" t="n">
        <x:f>MAX(0,MIN('Activities'!L659,84)-MAX('Activities'!K659,78))</x:f>
        <x:v>0</x:v>
      </x:c>
      <x:c r="S659" s="23" t="n">
        <x:f>MAX(0,MIN('Activities'!L659,90)-MAX('Activities'!K659,84))</x:f>
        <x:v>0</x:v>
      </x:c>
      <x:c r="T659" s="23" t="n">
        <x:f>MAX(0,MIN('Activities'!L659,96)-MAX('Activities'!K659,90))</x:f>
        <x:v>0</x:v>
      </x:c>
      <x:c r="U659" s="23" t="n">
        <x:f>MAX(0,MIN('Activities'!L659,102)-MAX('Activities'!K659,96))</x:f>
        <x:v>0</x:v>
      </x:c>
      <x:c r="V659" s="23" t="n">
        <x:f>MAX(0,MIN('Activities'!L659,108)-MAX('Activities'!K659,102))</x:f>
        <x:v>0</x:v>
      </x:c>
      <x:c r="W659" s="23" t="n">
        <x:f>MAX(0,MIN('Activities'!L659,114)-MAX('Activities'!K659,108))</x:f>
        <x:v>0</x:v>
      </x:c>
      <x:c r="X659" s="23" t="n">
        <x:f>MAX(0,MIN('Activities'!L659,120)-MAX('Activities'!K659,114))</x:f>
        <x:v>0</x:v>
      </x:c>
      <x:c r="Y659" s="23" t="n">
        <x:f>MAX(0,MIN('Activities'!L659,126)-MAX('Activities'!K659,120))</x:f>
        <x:v>0</x:v>
      </x:c>
      <x:c r="Z659" s="23" t="n">
        <x:f>MAX(0,MIN('Activities'!L659,132)-MAX('Activities'!K659,126))</x:f>
        <x:v>0</x:v>
      </x:c>
      <x:c r="AA659" s="23" t="n">
        <x:f>MAX(0,MIN('Activities'!L659,138)-MAX('Activities'!K659,132))</x:f>
        <x:v>0</x:v>
      </x:c>
      <x:c r="AB659" s="23" t="n">
        <x:f>MAX(0,MIN('Activities'!L659,144)-MAX('Activities'!K659,138))</x:f>
        <x:v>0</x:v>
      </x:c>
      <x:c r="AC659" s="23" t="n">
        <x:f>MAX(0,MIN('Activities'!L659,150)-MAX('Activities'!K659,144))</x:f>
        <x:v>0</x:v>
      </x:c>
      <x:c r="AD659" s="23" t="n">
        <x:f>MAX(0,MIN('Activities'!L659,156)-MAX('Activities'!K659,150))</x:f>
        <x:v>0</x:v>
      </x:c>
      <x:c r="AE659" s="23" t="n">
        <x:f>MAX(0,MIN('Activities'!L659,162)-MAX('Activities'!K659,156))</x:f>
        <x:v>0</x:v>
      </x:c>
      <x:c r="AF659" s="23" t="n">
        <x:f>MAX(0,MIN('Activities'!L659,168)-MAX('Activities'!K659,162))</x:f>
        <x:v>0</x:v>
      </x:c>
      <x:c r="AG659" s="23" t="n">
        <x:f>MAX(0,MIN('Activities'!L659,174)-MAX('Activities'!K659,168))</x:f>
        <x:v>0</x:v>
      </x:c>
      <x:c r="AH659" s="23" t="n">
        <x:f>MAX(0,MIN('Activities'!L659,180)-MAX('Activities'!K659,174))</x:f>
        <x:v>0</x:v>
      </x:c>
      <x:c r="AI659" s="23" t="n">
        <x:f>MAX(0,MIN('Activities'!L659,186)-MAX('Activities'!K659,180))</x:f>
        <x:v>0</x:v>
      </x:c>
      <x:c r="AJ659" s="23" t="n">
        <x:f>MAX(0,MIN('Activities'!L659,192)-MAX('Activities'!K659,186))</x:f>
        <x:v>0</x:v>
      </x:c>
      <x:c r="AK659" s="23" t="n">
        <x:f>MAX(0,MIN('Activities'!L659,198)-MAX('Activities'!K659,192))</x:f>
        <x:v>0</x:v>
      </x:c>
      <x:c r="AL659" s="23" t="n">
        <x:f>MAX(0,MIN('Activities'!L659,204)-MAX('Activities'!K659,198))</x:f>
        <x:v>0</x:v>
      </x:c>
      <x:c r="AM659" s="23" t="n">
        <x:f>MAX(0,MIN('Activities'!L659,210)-MAX('Activities'!K659,204))</x:f>
        <x:v>0</x:v>
      </x:c>
      <x:c r="AN659" s="23" t="n">
        <x:f>MAX(0,MIN('Activities'!L659,216)-MAX('Activities'!K659,210))</x:f>
        <x:v>0</x:v>
      </x:c>
      <x:c r="AO659" s="23" t="n">
        <x:f>MAX(0,MIN('Activities'!L659,222)-MAX('Activities'!K659,216))</x:f>
        <x:v>0</x:v>
      </x:c>
      <x:c r="AP659" s="23" t="n">
        <x:f>MAX(0,MIN('Activities'!L659,228)-MAX('Activities'!K659,222))</x:f>
        <x:v>0</x:v>
      </x:c>
      <x:c r="AQ659" s="23" t="n">
        <x:f>MAX(0,MIN('Activities'!L659,234)-MAX('Activities'!K659,228))</x:f>
        <x:v>0</x:v>
      </x:c>
      <x:c r="AR659" s="23" t="n">
        <x:f>MAX(0,MIN('Activities'!L659,240)-MAX('Activities'!K659,234))</x:f>
        <x:v>0</x:v>
      </x:c>
      <x:c r="AS659" s="23" t="n">
        <x:f>MAX(0,MIN('Activities'!L659,246)-MAX('Activities'!K659,240))</x:f>
        <x:v>0</x:v>
      </x:c>
      <x:c r="AT659" s="23" t="n">
        <x:f>MAX(0,MIN('Activities'!L659,252)-MAX('Activities'!K659,246))</x:f>
        <x:v>0</x:v>
      </x:c>
      <x:c r="AU659" s="23" t="n">
        <x:f>MAX(0,MIN('Activities'!L659,258)-MAX('Activities'!K659,252))</x:f>
        <x:v>0</x:v>
      </x:c>
      <x:c r="AV659" s="23" t="n">
        <x:f>MAX(0,MIN('Activities'!L659,264)-MAX('Activities'!K659,258))</x:f>
        <x:v>0</x:v>
      </x:c>
      <x:c r="AW659" s="23" t="n">
        <x:f>MAX(0,MIN('Activities'!L659,270)-MAX('Activities'!K659,264))</x:f>
        <x:v>0</x:v>
      </x:c>
      <x:c r="AX659" s="23" t="n">
        <x:f>MAX(0,MIN('Activities'!L659,276)-MAX('Activities'!K659,270))</x:f>
        <x:v>0</x:v>
      </x:c>
      <x:c r="AY659" s="23" t="n">
        <x:f>MAX(0,MIN('Activities'!L659,282)-MAX('Activities'!K659,276))</x:f>
        <x:v>0</x:v>
      </x:c>
      <x:c r="AZ659" s="23" t="n">
        <x:f>MAX(0,MIN('Activities'!L659,288)-MAX('Activities'!K659,282))</x:f>
        <x:v>0</x:v>
      </x:c>
      <x:c r="BA659" s="23" t="n">
        <x:f>MAX(0,MIN('Activities'!L659,294)-MAX('Activities'!K659,288))</x:f>
        <x:v>0</x:v>
      </x:c>
      <x:c r="BB659" s="23" t="n">
        <x:f>MAX(0,MIN('Activities'!L659,300)-MAX('Activities'!K659,294))</x:f>
        <x:v>0</x:v>
      </x:c>
      <x:c r="BC659" s="23" t="n">
        <x:f>MAX(0,MIN('Activities'!L659,306)-MAX('Activities'!K659,300))</x:f>
        <x:v>0</x:v>
      </x:c>
      <x:c r="BD659" s="23" t="n">
        <x:f>MAX(0,MIN('Activities'!L659,312)-MAX('Activities'!K659,306))</x:f>
        <x:v>0</x:v>
      </x:c>
      <x:c r="BE659" s="23" t="n">
        <x:f>MAX(0,MIN('Activities'!L659,318)-MAX('Activities'!K659,312))</x:f>
        <x:v>0</x:v>
      </x:c>
      <x:c r="BF659" s="23" t="n">
        <x:f>MAX(0,MIN('Activities'!L659,324)-MAX('Activities'!K659,318))</x:f>
        <x:v>0</x:v>
      </x:c>
      <x:c r="BG659" s="23" t="n">
        <x:f>MAX(0,MIN('Activities'!L659,330)-MAX('Activities'!K659,324))</x:f>
        <x:v>0</x:v>
      </x:c>
      <x:c r="BH659" s="23" t="n">
        <x:f>MAX(0,MIN('Activities'!L659,336)-MAX('Activities'!K659,330))</x:f>
        <x:v>0</x:v>
      </x:c>
      <x:c r="BI659" s="23" t="n">
        <x:f>MAX(0,MIN('Activities'!L659,342)-MAX('Activities'!K659,336))</x:f>
        <x:v>0</x:v>
      </x:c>
      <x:c r="BJ659" s="23" t="n">
        <x:f>MAX(0,MIN('Activities'!L659,348)-MAX('Activities'!K659,342))</x:f>
        <x:v>0</x:v>
      </x:c>
      <x:c r="BK659" s="23" t="n">
        <x:f>MAX(0,MIN('Activities'!L659,354)-MAX('Activities'!K659,348))</x:f>
        <x:v>0</x:v>
      </x:c>
      <x:c r="BL659" s="23" t="n">
        <x:f>MAX(0,MIN('Activities'!L659,360)-MAX('Activities'!K659,354))</x:f>
        <x:v>0</x:v>
      </x:c>
      <x:c r="BM659" s="23" t="n">
        <x:f>MAX(0,MIN('Activities'!L659,366)-MAX('Activities'!K659,360))</x:f>
        <x:v>0</x:v>
      </x:c>
      <x:c r="BN659" s="23" t="n">
        <x:f>MAX(0,MIN('Activities'!L659,372)-MAX('Activities'!K659,366))</x:f>
        <x:v>0</x:v>
      </x:c>
      <x:c r="BO659" s="23" t="n">
        <x:f>MAX(0,MIN('Activities'!L659,378)-MAX('Activities'!K659,372))</x:f>
        <x:v>0</x:v>
      </x:c>
      <x:c r="BP659" s="23" t="n">
        <x:f>MAX(0,MIN('Activities'!L659,384)-MAX('Activities'!K659,378))</x:f>
        <x:v>0</x:v>
      </x:c>
      <x:c r="BQ659" s="23" t="n">
        <x:f>MAX(0,MIN('Activities'!L659,390)-MAX('Activities'!K659,384))</x:f>
        <x:v>0</x:v>
      </x:c>
      <x:c r="BR659" s="23" t="n">
        <x:f>MAX(0,MIN('Activities'!L659,396)-MAX('Activities'!K659,390))</x:f>
        <x:v>0</x:v>
      </x:c>
      <x:c r="BS659" s="23" t="n">
        <x:f>MAX(0,MIN('Activities'!L659,402)-MAX('Activities'!K659,396))</x:f>
        <x:v>0</x:v>
      </x:c>
      <x:c r="BT659" s="23" t="n">
        <x:f>MAX(0,MIN('Activities'!L659,408)-MAX('Activities'!K659,402))</x:f>
        <x:v>0</x:v>
      </x:c>
      <x:c r="BU659" s="23" t="n">
        <x:f>MAX(0,MIN('Activities'!L659,414)-MAX('Activities'!K659,408))</x:f>
        <x:v>0</x:v>
      </x:c>
      <x:c r="BV659" s="23" t="n">
        <x:f>MAX(0,MIN('Activities'!L659,420)-MAX('Activities'!K659,414))</x:f>
        <x:v>0</x:v>
      </x:c>
      <x:c r="BW659" s="23" t="n">
        <x:f>MAX(0,MIN('Activities'!L659,426)-MAX('Activities'!K659,420))</x:f>
        <x:v>0</x:v>
      </x:c>
      <x:c r="BX659" s="23" t="n">
        <x:f>MAX(0,MIN('Activities'!L659,432)-MAX('Activities'!K659,426))</x:f>
        <x:v>0</x:v>
      </x:c>
      <x:c r="BY659" s="23" t="n">
        <x:f>MAX(0,MIN('Activities'!L659,438)-MAX('Activities'!K659,432))</x:f>
        <x:v>1</x:v>
      </x:c>
      <x:c r="BZ659" s="23" t="n">
        <x:f>MAX(0,MIN('Activities'!L659,444)-MAX('Activities'!K659,438))</x:f>
        <x:v>2</x:v>
      </x:c>
      <x:c r="CA659" s="23" t="n">
        <x:f>MAX(0,MIN('Activities'!L659,450)-MAX('Activities'!K659,444))</x:f>
        <x:v>0</x:v>
      </x:c>
      <x:c r="CB659" s="23" t="n">
        <x:f>MAX(0,MIN('Activities'!L659,456)-MAX('Activities'!K659,450))</x:f>
        <x:v>0</x:v>
      </x:c>
      <x:c r="CC659" s="23" t="n">
        <x:f>MAX(0,MIN('Activities'!L659,462)-MAX('Activities'!K659,456))</x:f>
        <x:v>0</x:v>
      </x:c>
      <x:c r="CD659" s="23" t="n">
        <x:f>MAX(0,MIN('Activities'!L659,468)-MAX('Activities'!K659,462))</x:f>
        <x:v>0</x:v>
      </x:c>
      <x:c r="CE659" s="23" t="n">
        <x:f>MAX(0,MIN('Activities'!L659,474)-MAX('Activities'!K659,468))</x:f>
        <x:v>0</x:v>
      </x:c>
      <x:c r="CF659" s="23" t="n">
        <x:f>MAX(0,MIN('Activities'!L659,480)-MAX('Activities'!K659,474))</x:f>
        <x:v>0</x:v>
      </x:c>
      <x:c r="CG659" s="23" t="n">
        <x:f>MAX(0,MIN('Activities'!L659,486)-MAX('Activities'!K659,480))</x:f>
        <x:v>0</x:v>
      </x:c>
      <x:c r="CH659" s="23" t="n">
        <x:f>MAX(0,MIN('Activities'!L659,492)-MAX('Activities'!K659,486))</x:f>
        <x:v>0</x:v>
      </x:c>
      <x:c r="CI659" s="23" t="n">
        <x:f>MAX(0,MIN('Activities'!L659,498)-MAX('Activities'!K659,492))</x:f>
        <x:v>0</x:v>
      </x:c>
      <x:c r="CJ659" s="23" t="n">
        <x:f>MAX(0,MIN('Activities'!L659,504)-MAX('Activities'!K659,498))</x:f>
        <x:v>0</x:v>
      </x:c>
      <x:c r="CK659" s="23" t="n">
        <x:f>MAX(0,MIN('Activities'!L659,510)-MAX('Activities'!K659,504))</x:f>
        <x:v>0</x:v>
      </x:c>
      <x:c r="CL659" s="23" t="n">
        <x:f>MAX(0,MIN('Activities'!L659,516)-MAX('Activities'!K659,510))</x:f>
        <x:v>0</x:v>
      </x:c>
      <x:c r="CM659" s="23" t="n">
        <x:f>MAX(0,MIN('Activities'!L659,522)-MAX('Activities'!K659,516))</x:f>
        <x:v>0</x:v>
      </x:c>
      <x:c r="CN659" s="23" t="n">
        <x:f>MAX(0,MIN('Activities'!L659,528)-MAX('Activities'!K659,522))</x:f>
        <x:v>0</x:v>
      </x:c>
      <x:c r="CO659" s="23" t="n">
        <x:f>MAX(0,MIN('Activities'!L659,534)-MAX('Activities'!K659,528))</x:f>
        <x:v>0</x:v>
      </x:c>
      <x:c r="CP659" s="23" t="n">
        <x:f>MAX(0,MIN('Activities'!L659,540)-MAX('Activities'!K659,534))</x:f>
        <x:v>0</x:v>
      </x:c>
      <x:c r="CQ659" s="23" t="n">
        <x:f>MAX(0,MIN('Activities'!L659,546)-MAX('Activities'!K659,540))</x:f>
        <x:v>0</x:v>
      </x:c>
      <x:c r="CR659" s="23" t="n">
        <x:f>MAX(0,MIN('Activities'!L659,552)-MAX('Activities'!K659,546))</x:f>
        <x:v>0</x:v>
      </x:c>
      <x:c r="CS659" s="23" t="n">
        <x:f>MAX(0,MIN('Activities'!L659,558)-MAX('Activities'!K659,552))</x:f>
        <x:v>0</x:v>
      </x:c>
      <x:c r="CT659" s="23" t="n">
        <x:f>MAX(0,MIN('Activities'!L659,564)-MAX('Activities'!K659,558))</x:f>
        <x:v>0</x:v>
      </x:c>
      <x:c r="CU659" s="23" t="n">
        <x:f>MAX(0,MIN('Activities'!L659,570)-MAX('Activities'!K659,564))</x:f>
        <x:v>0</x:v>
      </x:c>
      <x:c r="CV659" s="23" t="n">
        <x:f>MAX(0,MIN('Activities'!L659,576)-MAX('Activities'!K659,570))</x:f>
        <x:v>0</x:v>
      </x:c>
      <x:c r="CW659" s="23" t="n">
        <x:f>MAX(0,MIN('Activities'!L659,582)-MAX('Activities'!K659,576))</x:f>
        <x:v>0</x:v>
      </x:c>
      <x:c r="CX659" s="23" t="n">
        <x:f>MAX(0,MIN('Activities'!L659,588)-MAX('Activities'!K659,582))</x:f>
        <x:v>0</x:v>
      </x:c>
      <x:c r="CY659" s="23" t="n">
        <x:f>MAX(0,MIN('Activities'!L659,594)-MAX('Activities'!K659,588))</x:f>
        <x:v>0</x:v>
      </x:c>
      <x:c r="CZ659" s="23" t="n">
        <x:f>MAX(0,MIN('Activities'!L659,600)-MAX('Activities'!K659,594))</x:f>
        <x:v>0</x:v>
      </x:c>
      <x:c r="DA659" s="23" t="n">
        <x:f>MAX(0,MIN('Activities'!L659,606)-MAX('Activities'!K659,600))</x:f>
        <x:v>0</x:v>
      </x:c>
      <x:c r="DB659" s="23" t="n">
        <x:f>MAX(0,MIN('Activities'!L659,612)-MAX('Activities'!K659,606))</x:f>
        <x:v>0</x:v>
      </x:c>
      <x:c r="DC659" s="23" t="n">
        <x:f>MAX(0,MIN('Activities'!L659,618)-MAX('Activities'!K659,612))</x:f>
        <x:v>0</x:v>
      </x:c>
      <x:c r="DD659" s="23" t="n">
        <x:f>MAX(0,MIN('Activities'!L659,624)-MAX('Activities'!K659,618))</x:f>
        <x:v>0</x:v>
      </x:c>
      <x:c r="DE659" s="23" t="n">
        <x:f>MAX(0,MIN('Activities'!L659,630)-MAX('Activities'!K659,624))</x:f>
        <x:v>0</x:v>
      </x:c>
      <x:c r="DF659" s="23" t="n">
        <x:f>MAX(0,MIN('Activities'!L659,636)-MAX('Activities'!K659,630))</x:f>
        <x:v>0</x:v>
      </x:c>
    </x:row>
    <x:row r="660" ht="23" customHeight="1">
      <x:c r="A660" s="6" t="str">
        <x:v>T5-L09-T</x:v>
      </x:c>
      <x:c r="B660" s="6" t="str">
        <x:v>T5</x:v>
      </x:c>
      <x:c r="C660" s="6" t="str">
        <x:v>Floor finishes and skirtings</x:v>
      </x:c>
      <x:c r="D660" s="6" t="str">
        <x:v>Finishes</x:v>
      </x:c>
      <x:c r="E660" s="22" t="n">
        <x:f>MAX(0,MIN('Activities'!L660,6)-MAX('Activities'!K660,0))</x:f>
        <x:v>0</x:v>
      </x:c>
      <x:c r="F660" s="22" t="n">
        <x:f>MAX(0,MIN('Activities'!L660,12)-MAX('Activities'!K660,6))</x:f>
        <x:v>0</x:v>
      </x:c>
      <x:c r="G660" s="22" t="n">
        <x:f>MAX(0,MIN('Activities'!L660,18)-MAX('Activities'!K660,12))</x:f>
        <x:v>0</x:v>
      </x:c>
      <x:c r="H660" s="22" t="n">
        <x:f>MAX(0,MIN('Activities'!L660,24)-MAX('Activities'!K660,18))</x:f>
        <x:v>0</x:v>
      </x:c>
      <x:c r="I660" s="22" t="n">
        <x:f>MAX(0,MIN('Activities'!L660,30)-MAX('Activities'!K660,24))</x:f>
        <x:v>0</x:v>
      </x:c>
      <x:c r="J660" s="22" t="n">
        <x:f>MAX(0,MIN('Activities'!L660,36)-MAX('Activities'!K660,30))</x:f>
        <x:v>0</x:v>
      </x:c>
      <x:c r="K660" s="22" t="n">
        <x:f>MAX(0,MIN('Activities'!L660,42)-MAX('Activities'!K660,36))</x:f>
        <x:v>0</x:v>
      </x:c>
      <x:c r="L660" s="22" t="n">
        <x:f>MAX(0,MIN('Activities'!L660,48)-MAX('Activities'!K660,42))</x:f>
        <x:v>0</x:v>
      </x:c>
      <x:c r="M660" s="22" t="n">
        <x:f>MAX(0,MIN('Activities'!L660,54)-MAX('Activities'!K660,48))</x:f>
        <x:v>0</x:v>
      </x:c>
      <x:c r="N660" s="22" t="n">
        <x:f>MAX(0,MIN('Activities'!L660,60)-MAX('Activities'!K660,54))</x:f>
        <x:v>0</x:v>
      </x:c>
      <x:c r="O660" s="22" t="n">
        <x:f>MAX(0,MIN('Activities'!L660,66)-MAX('Activities'!K660,60))</x:f>
        <x:v>0</x:v>
      </x:c>
      <x:c r="P660" s="22" t="n">
        <x:f>MAX(0,MIN('Activities'!L660,72)-MAX('Activities'!K660,66))</x:f>
        <x:v>0</x:v>
      </x:c>
      <x:c r="Q660" s="22" t="n">
        <x:f>MAX(0,MIN('Activities'!L660,78)-MAX('Activities'!K660,72))</x:f>
        <x:v>0</x:v>
      </x:c>
      <x:c r="R660" s="22" t="n">
        <x:f>MAX(0,MIN('Activities'!L660,84)-MAX('Activities'!K660,78))</x:f>
        <x:v>0</x:v>
      </x:c>
      <x:c r="S660" s="22" t="n">
        <x:f>MAX(0,MIN('Activities'!L660,90)-MAX('Activities'!K660,84))</x:f>
        <x:v>0</x:v>
      </x:c>
      <x:c r="T660" s="22" t="n">
        <x:f>MAX(0,MIN('Activities'!L660,96)-MAX('Activities'!K660,90))</x:f>
        <x:v>0</x:v>
      </x:c>
      <x:c r="U660" s="22" t="n">
        <x:f>MAX(0,MIN('Activities'!L660,102)-MAX('Activities'!K660,96))</x:f>
        <x:v>0</x:v>
      </x:c>
      <x:c r="V660" s="22" t="n">
        <x:f>MAX(0,MIN('Activities'!L660,108)-MAX('Activities'!K660,102))</x:f>
        <x:v>0</x:v>
      </x:c>
      <x:c r="W660" s="22" t="n">
        <x:f>MAX(0,MIN('Activities'!L660,114)-MAX('Activities'!K660,108))</x:f>
        <x:v>0</x:v>
      </x:c>
      <x:c r="X660" s="22" t="n">
        <x:f>MAX(0,MIN('Activities'!L660,120)-MAX('Activities'!K660,114))</x:f>
        <x:v>0</x:v>
      </x:c>
      <x:c r="Y660" s="22" t="n">
        <x:f>MAX(0,MIN('Activities'!L660,126)-MAX('Activities'!K660,120))</x:f>
        <x:v>0</x:v>
      </x:c>
      <x:c r="Z660" s="22" t="n">
        <x:f>MAX(0,MIN('Activities'!L660,132)-MAX('Activities'!K660,126))</x:f>
        <x:v>0</x:v>
      </x:c>
      <x:c r="AA660" s="22" t="n">
        <x:f>MAX(0,MIN('Activities'!L660,138)-MAX('Activities'!K660,132))</x:f>
        <x:v>0</x:v>
      </x:c>
      <x:c r="AB660" s="22" t="n">
        <x:f>MAX(0,MIN('Activities'!L660,144)-MAX('Activities'!K660,138))</x:f>
        <x:v>0</x:v>
      </x:c>
      <x:c r="AC660" s="22" t="n">
        <x:f>MAX(0,MIN('Activities'!L660,150)-MAX('Activities'!K660,144))</x:f>
        <x:v>0</x:v>
      </x:c>
      <x:c r="AD660" s="22" t="n">
        <x:f>MAX(0,MIN('Activities'!L660,156)-MAX('Activities'!K660,150))</x:f>
        <x:v>0</x:v>
      </x:c>
      <x:c r="AE660" s="22" t="n">
        <x:f>MAX(0,MIN('Activities'!L660,162)-MAX('Activities'!K660,156))</x:f>
        <x:v>0</x:v>
      </x:c>
      <x:c r="AF660" s="22" t="n">
        <x:f>MAX(0,MIN('Activities'!L660,168)-MAX('Activities'!K660,162))</x:f>
        <x:v>0</x:v>
      </x:c>
      <x:c r="AG660" s="22" t="n">
        <x:f>MAX(0,MIN('Activities'!L660,174)-MAX('Activities'!K660,168))</x:f>
        <x:v>0</x:v>
      </x:c>
      <x:c r="AH660" s="22" t="n">
        <x:f>MAX(0,MIN('Activities'!L660,180)-MAX('Activities'!K660,174))</x:f>
        <x:v>0</x:v>
      </x:c>
      <x:c r="AI660" s="22" t="n">
        <x:f>MAX(0,MIN('Activities'!L660,186)-MAX('Activities'!K660,180))</x:f>
        <x:v>0</x:v>
      </x:c>
      <x:c r="AJ660" s="22" t="n">
        <x:f>MAX(0,MIN('Activities'!L660,192)-MAX('Activities'!K660,186))</x:f>
        <x:v>0</x:v>
      </x:c>
      <x:c r="AK660" s="22" t="n">
        <x:f>MAX(0,MIN('Activities'!L660,198)-MAX('Activities'!K660,192))</x:f>
        <x:v>0</x:v>
      </x:c>
      <x:c r="AL660" s="22" t="n">
        <x:f>MAX(0,MIN('Activities'!L660,204)-MAX('Activities'!K660,198))</x:f>
        <x:v>0</x:v>
      </x:c>
      <x:c r="AM660" s="22" t="n">
        <x:f>MAX(0,MIN('Activities'!L660,210)-MAX('Activities'!K660,204))</x:f>
        <x:v>0</x:v>
      </x:c>
      <x:c r="AN660" s="22" t="n">
        <x:f>MAX(0,MIN('Activities'!L660,216)-MAX('Activities'!K660,210))</x:f>
        <x:v>0</x:v>
      </x:c>
      <x:c r="AO660" s="22" t="n">
        <x:f>MAX(0,MIN('Activities'!L660,222)-MAX('Activities'!K660,216))</x:f>
        <x:v>0</x:v>
      </x:c>
      <x:c r="AP660" s="22" t="n">
        <x:f>MAX(0,MIN('Activities'!L660,228)-MAX('Activities'!K660,222))</x:f>
        <x:v>0</x:v>
      </x:c>
      <x:c r="AQ660" s="22" t="n">
        <x:f>MAX(0,MIN('Activities'!L660,234)-MAX('Activities'!K660,228))</x:f>
        <x:v>0</x:v>
      </x:c>
      <x:c r="AR660" s="22" t="n">
        <x:f>MAX(0,MIN('Activities'!L660,240)-MAX('Activities'!K660,234))</x:f>
        <x:v>0</x:v>
      </x:c>
      <x:c r="AS660" s="22" t="n">
        <x:f>MAX(0,MIN('Activities'!L660,246)-MAX('Activities'!K660,240))</x:f>
        <x:v>0</x:v>
      </x:c>
      <x:c r="AT660" s="22" t="n">
        <x:f>MAX(0,MIN('Activities'!L660,252)-MAX('Activities'!K660,246))</x:f>
        <x:v>0</x:v>
      </x:c>
      <x:c r="AU660" s="22" t="n">
        <x:f>MAX(0,MIN('Activities'!L660,258)-MAX('Activities'!K660,252))</x:f>
        <x:v>0</x:v>
      </x:c>
      <x:c r="AV660" s="22" t="n">
        <x:f>MAX(0,MIN('Activities'!L660,264)-MAX('Activities'!K660,258))</x:f>
        <x:v>0</x:v>
      </x:c>
      <x:c r="AW660" s="22" t="n">
        <x:f>MAX(0,MIN('Activities'!L660,270)-MAX('Activities'!K660,264))</x:f>
        <x:v>0</x:v>
      </x:c>
      <x:c r="AX660" s="22" t="n">
        <x:f>MAX(0,MIN('Activities'!L660,276)-MAX('Activities'!K660,270))</x:f>
        <x:v>0</x:v>
      </x:c>
      <x:c r="AY660" s="22" t="n">
        <x:f>MAX(0,MIN('Activities'!L660,282)-MAX('Activities'!K660,276))</x:f>
        <x:v>0</x:v>
      </x:c>
      <x:c r="AZ660" s="22" t="n">
        <x:f>MAX(0,MIN('Activities'!L660,288)-MAX('Activities'!K660,282))</x:f>
        <x:v>0</x:v>
      </x:c>
      <x:c r="BA660" s="22" t="n">
        <x:f>MAX(0,MIN('Activities'!L660,294)-MAX('Activities'!K660,288))</x:f>
        <x:v>0</x:v>
      </x:c>
      <x:c r="BB660" s="22" t="n">
        <x:f>MAX(0,MIN('Activities'!L660,300)-MAX('Activities'!K660,294))</x:f>
        <x:v>0</x:v>
      </x:c>
      <x:c r="BC660" s="22" t="n">
        <x:f>MAX(0,MIN('Activities'!L660,306)-MAX('Activities'!K660,300))</x:f>
        <x:v>0</x:v>
      </x:c>
      <x:c r="BD660" s="22" t="n">
        <x:f>MAX(0,MIN('Activities'!L660,312)-MAX('Activities'!K660,306))</x:f>
        <x:v>0</x:v>
      </x:c>
      <x:c r="BE660" s="22" t="n">
        <x:f>MAX(0,MIN('Activities'!L660,318)-MAX('Activities'!K660,312))</x:f>
        <x:v>0</x:v>
      </x:c>
      <x:c r="BF660" s="22" t="n">
        <x:f>MAX(0,MIN('Activities'!L660,324)-MAX('Activities'!K660,318))</x:f>
        <x:v>0</x:v>
      </x:c>
      <x:c r="BG660" s="22" t="n">
        <x:f>MAX(0,MIN('Activities'!L660,330)-MAX('Activities'!K660,324))</x:f>
        <x:v>0</x:v>
      </x:c>
      <x:c r="BH660" s="22" t="n">
        <x:f>MAX(0,MIN('Activities'!L660,336)-MAX('Activities'!K660,330))</x:f>
        <x:v>0</x:v>
      </x:c>
      <x:c r="BI660" s="22" t="n">
        <x:f>MAX(0,MIN('Activities'!L660,342)-MAX('Activities'!K660,336))</x:f>
        <x:v>0</x:v>
      </x:c>
      <x:c r="BJ660" s="22" t="n">
        <x:f>MAX(0,MIN('Activities'!L660,348)-MAX('Activities'!K660,342))</x:f>
        <x:v>0</x:v>
      </x:c>
      <x:c r="BK660" s="22" t="n">
        <x:f>MAX(0,MIN('Activities'!L660,354)-MAX('Activities'!K660,348))</x:f>
        <x:v>0</x:v>
      </x:c>
      <x:c r="BL660" s="22" t="n">
        <x:f>MAX(0,MIN('Activities'!L660,360)-MAX('Activities'!K660,354))</x:f>
        <x:v>0</x:v>
      </x:c>
      <x:c r="BM660" s="22" t="n">
        <x:f>MAX(0,MIN('Activities'!L660,366)-MAX('Activities'!K660,360))</x:f>
        <x:v>0</x:v>
      </x:c>
      <x:c r="BN660" s="22" t="n">
        <x:f>MAX(0,MIN('Activities'!L660,372)-MAX('Activities'!K660,366))</x:f>
        <x:v>0</x:v>
      </x:c>
      <x:c r="BO660" s="22" t="n">
        <x:f>MAX(0,MIN('Activities'!L660,378)-MAX('Activities'!K660,372))</x:f>
        <x:v>0</x:v>
      </x:c>
      <x:c r="BP660" s="22" t="n">
        <x:f>MAX(0,MIN('Activities'!L660,384)-MAX('Activities'!K660,378))</x:f>
        <x:v>0</x:v>
      </x:c>
      <x:c r="BQ660" s="22" t="n">
        <x:f>MAX(0,MIN('Activities'!L660,390)-MAX('Activities'!K660,384))</x:f>
        <x:v>0</x:v>
      </x:c>
      <x:c r="BR660" s="22" t="n">
        <x:f>MAX(0,MIN('Activities'!L660,396)-MAX('Activities'!K660,390))</x:f>
        <x:v>0</x:v>
      </x:c>
      <x:c r="BS660" s="22" t="n">
        <x:f>MAX(0,MIN('Activities'!L660,402)-MAX('Activities'!K660,396))</x:f>
        <x:v>0</x:v>
      </x:c>
      <x:c r="BT660" s="22" t="n">
        <x:f>MAX(0,MIN('Activities'!L660,408)-MAX('Activities'!K660,402))</x:f>
        <x:v>0</x:v>
      </x:c>
      <x:c r="BU660" s="22" t="n">
        <x:f>MAX(0,MIN('Activities'!L660,414)-MAX('Activities'!K660,408))</x:f>
        <x:v>0</x:v>
      </x:c>
      <x:c r="BV660" s="22" t="n">
        <x:f>MAX(0,MIN('Activities'!L660,420)-MAX('Activities'!K660,414))</x:f>
        <x:v>0</x:v>
      </x:c>
      <x:c r="BW660" s="22" t="n">
        <x:f>MAX(0,MIN('Activities'!L660,426)-MAX('Activities'!K660,420))</x:f>
        <x:v>0</x:v>
      </x:c>
      <x:c r="BX660" s="22" t="n">
        <x:f>MAX(0,MIN('Activities'!L660,432)-MAX('Activities'!K660,426))</x:f>
        <x:v>0</x:v>
      </x:c>
      <x:c r="BY660" s="22" t="n">
        <x:f>MAX(0,MIN('Activities'!L660,438)-MAX('Activities'!K660,432))</x:f>
        <x:v>0</x:v>
      </x:c>
      <x:c r="BZ660" s="22" t="n">
        <x:f>MAX(0,MIN('Activities'!L660,444)-MAX('Activities'!K660,438))</x:f>
        <x:v>0</x:v>
      </x:c>
      <x:c r="CA660" s="22" t="n">
        <x:f>MAX(0,MIN('Activities'!L660,450)-MAX('Activities'!K660,444))</x:f>
        <x:v>0</x:v>
      </x:c>
      <x:c r="CB660" s="22" t="n">
        <x:f>MAX(0,MIN('Activities'!L660,456)-MAX('Activities'!K660,450))</x:f>
        <x:v>2</x:v>
      </x:c>
      <x:c r="CC660" s="22" t="n">
        <x:f>MAX(0,MIN('Activities'!L660,462)-MAX('Activities'!K660,456))</x:f>
        <x:v>4</x:v>
      </x:c>
      <x:c r="CD660" s="22" t="n">
        <x:f>MAX(0,MIN('Activities'!L660,468)-MAX('Activities'!K660,462))</x:f>
        <x:v>0</x:v>
      </x:c>
      <x:c r="CE660" s="22" t="n">
        <x:f>MAX(0,MIN('Activities'!L660,474)-MAX('Activities'!K660,468))</x:f>
        <x:v>0</x:v>
      </x:c>
      <x:c r="CF660" s="22" t="n">
        <x:f>MAX(0,MIN('Activities'!L660,480)-MAX('Activities'!K660,474))</x:f>
        <x:v>0</x:v>
      </x:c>
      <x:c r="CG660" s="22" t="n">
        <x:f>MAX(0,MIN('Activities'!L660,486)-MAX('Activities'!K660,480))</x:f>
        <x:v>0</x:v>
      </x:c>
      <x:c r="CH660" s="22" t="n">
        <x:f>MAX(0,MIN('Activities'!L660,492)-MAX('Activities'!K660,486))</x:f>
        <x:v>0</x:v>
      </x:c>
      <x:c r="CI660" s="22" t="n">
        <x:f>MAX(0,MIN('Activities'!L660,498)-MAX('Activities'!K660,492))</x:f>
        <x:v>0</x:v>
      </x:c>
      <x:c r="CJ660" s="22" t="n">
        <x:f>MAX(0,MIN('Activities'!L660,504)-MAX('Activities'!K660,498))</x:f>
        <x:v>0</x:v>
      </x:c>
      <x:c r="CK660" s="22" t="n">
        <x:f>MAX(0,MIN('Activities'!L660,510)-MAX('Activities'!K660,504))</x:f>
        <x:v>0</x:v>
      </x:c>
      <x:c r="CL660" s="22" t="n">
        <x:f>MAX(0,MIN('Activities'!L660,516)-MAX('Activities'!K660,510))</x:f>
        <x:v>0</x:v>
      </x:c>
      <x:c r="CM660" s="22" t="n">
        <x:f>MAX(0,MIN('Activities'!L660,522)-MAX('Activities'!K660,516))</x:f>
        <x:v>0</x:v>
      </x:c>
      <x:c r="CN660" s="22" t="n">
        <x:f>MAX(0,MIN('Activities'!L660,528)-MAX('Activities'!K660,522))</x:f>
        <x:v>0</x:v>
      </x:c>
      <x:c r="CO660" s="22" t="n">
        <x:f>MAX(0,MIN('Activities'!L660,534)-MAX('Activities'!K660,528))</x:f>
        <x:v>0</x:v>
      </x:c>
      <x:c r="CP660" s="22" t="n">
        <x:f>MAX(0,MIN('Activities'!L660,540)-MAX('Activities'!K660,534))</x:f>
        <x:v>0</x:v>
      </x:c>
      <x:c r="CQ660" s="22" t="n">
        <x:f>MAX(0,MIN('Activities'!L660,546)-MAX('Activities'!K660,540))</x:f>
        <x:v>0</x:v>
      </x:c>
      <x:c r="CR660" s="22" t="n">
        <x:f>MAX(0,MIN('Activities'!L660,552)-MAX('Activities'!K660,546))</x:f>
        <x:v>0</x:v>
      </x:c>
      <x:c r="CS660" s="22" t="n">
        <x:f>MAX(0,MIN('Activities'!L660,558)-MAX('Activities'!K660,552))</x:f>
        <x:v>0</x:v>
      </x:c>
      <x:c r="CT660" s="22" t="n">
        <x:f>MAX(0,MIN('Activities'!L660,564)-MAX('Activities'!K660,558))</x:f>
        <x:v>0</x:v>
      </x:c>
      <x:c r="CU660" s="22" t="n">
        <x:f>MAX(0,MIN('Activities'!L660,570)-MAX('Activities'!K660,564))</x:f>
        <x:v>0</x:v>
      </x:c>
      <x:c r="CV660" s="22" t="n">
        <x:f>MAX(0,MIN('Activities'!L660,576)-MAX('Activities'!K660,570))</x:f>
        <x:v>0</x:v>
      </x:c>
      <x:c r="CW660" s="22" t="n">
        <x:f>MAX(0,MIN('Activities'!L660,582)-MAX('Activities'!K660,576))</x:f>
        <x:v>0</x:v>
      </x:c>
      <x:c r="CX660" s="22" t="n">
        <x:f>MAX(0,MIN('Activities'!L660,588)-MAX('Activities'!K660,582))</x:f>
        <x:v>0</x:v>
      </x:c>
      <x:c r="CY660" s="22" t="n">
        <x:f>MAX(0,MIN('Activities'!L660,594)-MAX('Activities'!K660,588))</x:f>
        <x:v>0</x:v>
      </x:c>
      <x:c r="CZ660" s="22" t="n">
        <x:f>MAX(0,MIN('Activities'!L660,600)-MAX('Activities'!K660,594))</x:f>
        <x:v>0</x:v>
      </x:c>
      <x:c r="DA660" s="22" t="n">
        <x:f>MAX(0,MIN('Activities'!L660,606)-MAX('Activities'!K660,600))</x:f>
        <x:v>0</x:v>
      </x:c>
      <x:c r="DB660" s="22" t="n">
        <x:f>MAX(0,MIN('Activities'!L660,612)-MAX('Activities'!K660,606))</x:f>
        <x:v>0</x:v>
      </x:c>
      <x:c r="DC660" s="22" t="n">
        <x:f>MAX(0,MIN('Activities'!L660,618)-MAX('Activities'!K660,612))</x:f>
        <x:v>0</x:v>
      </x:c>
      <x:c r="DD660" s="22" t="n">
        <x:f>MAX(0,MIN('Activities'!L660,624)-MAX('Activities'!K660,618))</x:f>
        <x:v>0</x:v>
      </x:c>
      <x:c r="DE660" s="22" t="n">
        <x:f>MAX(0,MIN('Activities'!L660,630)-MAX('Activities'!K660,624))</x:f>
        <x:v>0</x:v>
      </x:c>
      <x:c r="DF660" s="22" t="n">
        <x:f>MAX(0,MIN('Activities'!L660,636)-MAX('Activities'!K660,630))</x:f>
        <x:v>0</x:v>
      </x:c>
    </x:row>
    <x:row r="661" ht="23" customHeight="1">
      <x:c r="A661" s="1" t="str">
        <x:v>T5-L09-A</x:v>
      </x:c>
      <x:c r="B661" s="1" t="str">
        <x:v>T5</x:v>
      </x:c>
      <x:c r="C661" s="1" t="str">
        <x:v>Paint and final decorations</x:v>
      </x:c>
      <x:c r="D661" s="1" t="str">
        <x:v>Finishes</x:v>
      </x:c>
      <x:c r="E661" s="23" t="n">
        <x:f>MAX(0,MIN('Activities'!L661,6)-MAX('Activities'!K661,0))</x:f>
        <x:v>0</x:v>
      </x:c>
      <x:c r="F661" s="23" t="n">
        <x:f>MAX(0,MIN('Activities'!L661,12)-MAX('Activities'!K661,6))</x:f>
        <x:v>0</x:v>
      </x:c>
      <x:c r="G661" s="23" t="n">
        <x:f>MAX(0,MIN('Activities'!L661,18)-MAX('Activities'!K661,12))</x:f>
        <x:v>0</x:v>
      </x:c>
      <x:c r="H661" s="23" t="n">
        <x:f>MAX(0,MIN('Activities'!L661,24)-MAX('Activities'!K661,18))</x:f>
        <x:v>0</x:v>
      </x:c>
      <x:c r="I661" s="23" t="n">
        <x:f>MAX(0,MIN('Activities'!L661,30)-MAX('Activities'!K661,24))</x:f>
        <x:v>0</x:v>
      </x:c>
      <x:c r="J661" s="23" t="n">
        <x:f>MAX(0,MIN('Activities'!L661,36)-MAX('Activities'!K661,30))</x:f>
        <x:v>0</x:v>
      </x:c>
      <x:c r="K661" s="23" t="n">
        <x:f>MAX(0,MIN('Activities'!L661,42)-MAX('Activities'!K661,36))</x:f>
        <x:v>0</x:v>
      </x:c>
      <x:c r="L661" s="23" t="n">
        <x:f>MAX(0,MIN('Activities'!L661,48)-MAX('Activities'!K661,42))</x:f>
        <x:v>0</x:v>
      </x:c>
      <x:c r="M661" s="23" t="n">
        <x:f>MAX(0,MIN('Activities'!L661,54)-MAX('Activities'!K661,48))</x:f>
        <x:v>0</x:v>
      </x:c>
      <x:c r="N661" s="23" t="n">
        <x:f>MAX(0,MIN('Activities'!L661,60)-MAX('Activities'!K661,54))</x:f>
        <x:v>0</x:v>
      </x:c>
      <x:c r="O661" s="23" t="n">
        <x:f>MAX(0,MIN('Activities'!L661,66)-MAX('Activities'!K661,60))</x:f>
        <x:v>0</x:v>
      </x:c>
      <x:c r="P661" s="23" t="n">
        <x:f>MAX(0,MIN('Activities'!L661,72)-MAX('Activities'!K661,66))</x:f>
        <x:v>0</x:v>
      </x:c>
      <x:c r="Q661" s="23" t="n">
        <x:f>MAX(0,MIN('Activities'!L661,78)-MAX('Activities'!K661,72))</x:f>
        <x:v>0</x:v>
      </x:c>
      <x:c r="R661" s="23" t="n">
        <x:f>MAX(0,MIN('Activities'!L661,84)-MAX('Activities'!K661,78))</x:f>
        <x:v>0</x:v>
      </x:c>
      <x:c r="S661" s="23" t="n">
        <x:f>MAX(0,MIN('Activities'!L661,90)-MAX('Activities'!K661,84))</x:f>
        <x:v>0</x:v>
      </x:c>
      <x:c r="T661" s="23" t="n">
        <x:f>MAX(0,MIN('Activities'!L661,96)-MAX('Activities'!K661,90))</x:f>
        <x:v>0</x:v>
      </x:c>
      <x:c r="U661" s="23" t="n">
        <x:f>MAX(0,MIN('Activities'!L661,102)-MAX('Activities'!K661,96))</x:f>
        <x:v>0</x:v>
      </x:c>
      <x:c r="V661" s="23" t="n">
        <x:f>MAX(0,MIN('Activities'!L661,108)-MAX('Activities'!K661,102))</x:f>
        <x:v>0</x:v>
      </x:c>
      <x:c r="W661" s="23" t="n">
        <x:f>MAX(0,MIN('Activities'!L661,114)-MAX('Activities'!K661,108))</x:f>
        <x:v>0</x:v>
      </x:c>
      <x:c r="X661" s="23" t="n">
        <x:f>MAX(0,MIN('Activities'!L661,120)-MAX('Activities'!K661,114))</x:f>
        <x:v>0</x:v>
      </x:c>
      <x:c r="Y661" s="23" t="n">
        <x:f>MAX(0,MIN('Activities'!L661,126)-MAX('Activities'!K661,120))</x:f>
        <x:v>0</x:v>
      </x:c>
      <x:c r="Z661" s="23" t="n">
        <x:f>MAX(0,MIN('Activities'!L661,132)-MAX('Activities'!K661,126))</x:f>
        <x:v>0</x:v>
      </x:c>
      <x:c r="AA661" s="23" t="n">
        <x:f>MAX(0,MIN('Activities'!L661,138)-MAX('Activities'!K661,132))</x:f>
        <x:v>0</x:v>
      </x:c>
      <x:c r="AB661" s="23" t="n">
        <x:f>MAX(0,MIN('Activities'!L661,144)-MAX('Activities'!K661,138))</x:f>
        <x:v>0</x:v>
      </x:c>
      <x:c r="AC661" s="23" t="n">
        <x:f>MAX(0,MIN('Activities'!L661,150)-MAX('Activities'!K661,144))</x:f>
        <x:v>0</x:v>
      </x:c>
      <x:c r="AD661" s="23" t="n">
        <x:f>MAX(0,MIN('Activities'!L661,156)-MAX('Activities'!K661,150))</x:f>
        <x:v>0</x:v>
      </x:c>
      <x:c r="AE661" s="23" t="n">
        <x:f>MAX(0,MIN('Activities'!L661,162)-MAX('Activities'!K661,156))</x:f>
        <x:v>0</x:v>
      </x:c>
      <x:c r="AF661" s="23" t="n">
        <x:f>MAX(0,MIN('Activities'!L661,168)-MAX('Activities'!K661,162))</x:f>
        <x:v>0</x:v>
      </x:c>
      <x:c r="AG661" s="23" t="n">
        <x:f>MAX(0,MIN('Activities'!L661,174)-MAX('Activities'!K661,168))</x:f>
        <x:v>0</x:v>
      </x:c>
      <x:c r="AH661" s="23" t="n">
        <x:f>MAX(0,MIN('Activities'!L661,180)-MAX('Activities'!K661,174))</x:f>
        <x:v>0</x:v>
      </x:c>
      <x:c r="AI661" s="23" t="n">
        <x:f>MAX(0,MIN('Activities'!L661,186)-MAX('Activities'!K661,180))</x:f>
        <x:v>0</x:v>
      </x:c>
      <x:c r="AJ661" s="23" t="n">
        <x:f>MAX(0,MIN('Activities'!L661,192)-MAX('Activities'!K661,186))</x:f>
        <x:v>0</x:v>
      </x:c>
      <x:c r="AK661" s="23" t="n">
        <x:f>MAX(0,MIN('Activities'!L661,198)-MAX('Activities'!K661,192))</x:f>
        <x:v>0</x:v>
      </x:c>
      <x:c r="AL661" s="23" t="n">
        <x:f>MAX(0,MIN('Activities'!L661,204)-MAX('Activities'!K661,198))</x:f>
        <x:v>0</x:v>
      </x:c>
      <x:c r="AM661" s="23" t="n">
        <x:f>MAX(0,MIN('Activities'!L661,210)-MAX('Activities'!K661,204))</x:f>
        <x:v>0</x:v>
      </x:c>
      <x:c r="AN661" s="23" t="n">
        <x:f>MAX(0,MIN('Activities'!L661,216)-MAX('Activities'!K661,210))</x:f>
        <x:v>0</x:v>
      </x:c>
      <x:c r="AO661" s="23" t="n">
        <x:f>MAX(0,MIN('Activities'!L661,222)-MAX('Activities'!K661,216))</x:f>
        <x:v>0</x:v>
      </x:c>
      <x:c r="AP661" s="23" t="n">
        <x:f>MAX(0,MIN('Activities'!L661,228)-MAX('Activities'!K661,222))</x:f>
        <x:v>0</x:v>
      </x:c>
      <x:c r="AQ661" s="23" t="n">
        <x:f>MAX(0,MIN('Activities'!L661,234)-MAX('Activities'!K661,228))</x:f>
        <x:v>0</x:v>
      </x:c>
      <x:c r="AR661" s="23" t="n">
        <x:f>MAX(0,MIN('Activities'!L661,240)-MAX('Activities'!K661,234))</x:f>
        <x:v>0</x:v>
      </x:c>
      <x:c r="AS661" s="23" t="n">
        <x:f>MAX(0,MIN('Activities'!L661,246)-MAX('Activities'!K661,240))</x:f>
        <x:v>0</x:v>
      </x:c>
      <x:c r="AT661" s="23" t="n">
        <x:f>MAX(0,MIN('Activities'!L661,252)-MAX('Activities'!K661,246))</x:f>
        <x:v>0</x:v>
      </x:c>
      <x:c r="AU661" s="23" t="n">
        <x:f>MAX(0,MIN('Activities'!L661,258)-MAX('Activities'!K661,252))</x:f>
        <x:v>0</x:v>
      </x:c>
      <x:c r="AV661" s="23" t="n">
        <x:f>MAX(0,MIN('Activities'!L661,264)-MAX('Activities'!K661,258))</x:f>
        <x:v>0</x:v>
      </x:c>
      <x:c r="AW661" s="23" t="n">
        <x:f>MAX(0,MIN('Activities'!L661,270)-MAX('Activities'!K661,264))</x:f>
        <x:v>0</x:v>
      </x:c>
      <x:c r="AX661" s="23" t="n">
        <x:f>MAX(0,MIN('Activities'!L661,276)-MAX('Activities'!K661,270))</x:f>
        <x:v>0</x:v>
      </x:c>
      <x:c r="AY661" s="23" t="n">
        <x:f>MAX(0,MIN('Activities'!L661,282)-MAX('Activities'!K661,276))</x:f>
        <x:v>0</x:v>
      </x:c>
      <x:c r="AZ661" s="23" t="n">
        <x:f>MAX(0,MIN('Activities'!L661,288)-MAX('Activities'!K661,282))</x:f>
        <x:v>0</x:v>
      </x:c>
      <x:c r="BA661" s="23" t="n">
        <x:f>MAX(0,MIN('Activities'!L661,294)-MAX('Activities'!K661,288))</x:f>
        <x:v>0</x:v>
      </x:c>
      <x:c r="BB661" s="23" t="n">
        <x:f>MAX(0,MIN('Activities'!L661,300)-MAX('Activities'!K661,294))</x:f>
        <x:v>0</x:v>
      </x:c>
      <x:c r="BC661" s="23" t="n">
        <x:f>MAX(0,MIN('Activities'!L661,306)-MAX('Activities'!K661,300))</x:f>
        <x:v>0</x:v>
      </x:c>
      <x:c r="BD661" s="23" t="n">
        <x:f>MAX(0,MIN('Activities'!L661,312)-MAX('Activities'!K661,306))</x:f>
        <x:v>0</x:v>
      </x:c>
      <x:c r="BE661" s="23" t="n">
        <x:f>MAX(0,MIN('Activities'!L661,318)-MAX('Activities'!K661,312))</x:f>
        <x:v>0</x:v>
      </x:c>
      <x:c r="BF661" s="23" t="n">
        <x:f>MAX(0,MIN('Activities'!L661,324)-MAX('Activities'!K661,318))</x:f>
        <x:v>0</x:v>
      </x:c>
      <x:c r="BG661" s="23" t="n">
        <x:f>MAX(0,MIN('Activities'!L661,330)-MAX('Activities'!K661,324))</x:f>
        <x:v>0</x:v>
      </x:c>
      <x:c r="BH661" s="23" t="n">
        <x:f>MAX(0,MIN('Activities'!L661,336)-MAX('Activities'!K661,330))</x:f>
        <x:v>0</x:v>
      </x:c>
      <x:c r="BI661" s="23" t="n">
        <x:f>MAX(0,MIN('Activities'!L661,342)-MAX('Activities'!K661,336))</x:f>
        <x:v>0</x:v>
      </x:c>
      <x:c r="BJ661" s="23" t="n">
        <x:f>MAX(0,MIN('Activities'!L661,348)-MAX('Activities'!K661,342))</x:f>
        <x:v>0</x:v>
      </x:c>
      <x:c r="BK661" s="23" t="n">
        <x:f>MAX(0,MIN('Activities'!L661,354)-MAX('Activities'!K661,348))</x:f>
        <x:v>0</x:v>
      </x:c>
      <x:c r="BL661" s="23" t="n">
        <x:f>MAX(0,MIN('Activities'!L661,360)-MAX('Activities'!K661,354))</x:f>
        <x:v>0</x:v>
      </x:c>
      <x:c r="BM661" s="23" t="n">
        <x:f>MAX(0,MIN('Activities'!L661,366)-MAX('Activities'!K661,360))</x:f>
        <x:v>0</x:v>
      </x:c>
      <x:c r="BN661" s="23" t="n">
        <x:f>MAX(0,MIN('Activities'!L661,372)-MAX('Activities'!K661,366))</x:f>
        <x:v>0</x:v>
      </x:c>
      <x:c r="BO661" s="23" t="n">
        <x:f>MAX(0,MIN('Activities'!L661,378)-MAX('Activities'!K661,372))</x:f>
        <x:v>0</x:v>
      </x:c>
      <x:c r="BP661" s="23" t="n">
        <x:f>MAX(0,MIN('Activities'!L661,384)-MAX('Activities'!K661,378))</x:f>
        <x:v>0</x:v>
      </x:c>
      <x:c r="BQ661" s="23" t="n">
        <x:f>MAX(0,MIN('Activities'!L661,390)-MAX('Activities'!K661,384))</x:f>
        <x:v>0</x:v>
      </x:c>
      <x:c r="BR661" s="23" t="n">
        <x:f>MAX(0,MIN('Activities'!L661,396)-MAX('Activities'!K661,390))</x:f>
        <x:v>0</x:v>
      </x:c>
      <x:c r="BS661" s="23" t="n">
        <x:f>MAX(0,MIN('Activities'!L661,402)-MAX('Activities'!K661,396))</x:f>
        <x:v>0</x:v>
      </x:c>
      <x:c r="BT661" s="23" t="n">
        <x:f>MAX(0,MIN('Activities'!L661,408)-MAX('Activities'!K661,402))</x:f>
        <x:v>0</x:v>
      </x:c>
      <x:c r="BU661" s="23" t="n">
        <x:f>MAX(0,MIN('Activities'!L661,414)-MAX('Activities'!K661,408))</x:f>
        <x:v>0</x:v>
      </x:c>
      <x:c r="BV661" s="23" t="n">
        <x:f>MAX(0,MIN('Activities'!L661,420)-MAX('Activities'!K661,414))</x:f>
        <x:v>0</x:v>
      </x:c>
      <x:c r="BW661" s="23" t="n">
        <x:f>MAX(0,MIN('Activities'!L661,426)-MAX('Activities'!K661,420))</x:f>
        <x:v>0</x:v>
      </x:c>
      <x:c r="BX661" s="23" t="n">
        <x:f>MAX(0,MIN('Activities'!L661,432)-MAX('Activities'!K661,426))</x:f>
        <x:v>0</x:v>
      </x:c>
      <x:c r="BY661" s="23" t="n">
        <x:f>MAX(0,MIN('Activities'!L661,438)-MAX('Activities'!K661,432))</x:f>
        <x:v>0</x:v>
      </x:c>
      <x:c r="BZ661" s="23" t="n">
        <x:f>MAX(0,MIN('Activities'!L661,444)-MAX('Activities'!K661,438))</x:f>
        <x:v>0</x:v>
      </x:c>
      <x:c r="CA661" s="23" t="n">
        <x:f>MAX(0,MIN('Activities'!L661,450)-MAX('Activities'!K661,444))</x:f>
        <x:v>0</x:v>
      </x:c>
      <x:c r="CB661" s="23" t="n">
        <x:f>MAX(0,MIN('Activities'!L661,456)-MAX('Activities'!K661,450))</x:f>
        <x:v>0</x:v>
      </x:c>
      <x:c r="CC661" s="23" t="n">
        <x:f>MAX(0,MIN('Activities'!L661,462)-MAX('Activities'!K661,456))</x:f>
        <x:v>0</x:v>
      </x:c>
      <x:c r="CD661" s="23" t="n">
        <x:f>MAX(0,MIN('Activities'!L661,468)-MAX('Activities'!K661,462))</x:f>
        <x:v>5</x:v>
      </x:c>
      <x:c r="CE661" s="23" t="n">
        <x:f>MAX(0,MIN('Activities'!L661,474)-MAX('Activities'!K661,468))</x:f>
        <x:v>0</x:v>
      </x:c>
      <x:c r="CF661" s="23" t="n">
        <x:f>MAX(0,MIN('Activities'!L661,480)-MAX('Activities'!K661,474))</x:f>
        <x:v>0</x:v>
      </x:c>
      <x:c r="CG661" s="23" t="n">
        <x:f>MAX(0,MIN('Activities'!L661,486)-MAX('Activities'!K661,480))</x:f>
        <x:v>0</x:v>
      </x:c>
      <x:c r="CH661" s="23" t="n">
        <x:f>MAX(0,MIN('Activities'!L661,492)-MAX('Activities'!K661,486))</x:f>
        <x:v>0</x:v>
      </x:c>
      <x:c r="CI661" s="23" t="n">
        <x:f>MAX(0,MIN('Activities'!L661,498)-MAX('Activities'!K661,492))</x:f>
        <x:v>0</x:v>
      </x:c>
      <x:c r="CJ661" s="23" t="n">
        <x:f>MAX(0,MIN('Activities'!L661,504)-MAX('Activities'!K661,498))</x:f>
        <x:v>0</x:v>
      </x:c>
      <x:c r="CK661" s="23" t="n">
        <x:f>MAX(0,MIN('Activities'!L661,510)-MAX('Activities'!K661,504))</x:f>
        <x:v>0</x:v>
      </x:c>
      <x:c r="CL661" s="23" t="n">
        <x:f>MAX(0,MIN('Activities'!L661,516)-MAX('Activities'!K661,510))</x:f>
        <x:v>0</x:v>
      </x:c>
      <x:c r="CM661" s="23" t="n">
        <x:f>MAX(0,MIN('Activities'!L661,522)-MAX('Activities'!K661,516))</x:f>
        <x:v>0</x:v>
      </x:c>
      <x:c r="CN661" s="23" t="n">
        <x:f>MAX(0,MIN('Activities'!L661,528)-MAX('Activities'!K661,522))</x:f>
        <x:v>0</x:v>
      </x:c>
      <x:c r="CO661" s="23" t="n">
        <x:f>MAX(0,MIN('Activities'!L661,534)-MAX('Activities'!K661,528))</x:f>
        <x:v>0</x:v>
      </x:c>
      <x:c r="CP661" s="23" t="n">
        <x:f>MAX(0,MIN('Activities'!L661,540)-MAX('Activities'!K661,534))</x:f>
        <x:v>0</x:v>
      </x:c>
      <x:c r="CQ661" s="23" t="n">
        <x:f>MAX(0,MIN('Activities'!L661,546)-MAX('Activities'!K661,540))</x:f>
        <x:v>0</x:v>
      </x:c>
      <x:c r="CR661" s="23" t="n">
        <x:f>MAX(0,MIN('Activities'!L661,552)-MAX('Activities'!K661,546))</x:f>
        <x:v>0</x:v>
      </x:c>
      <x:c r="CS661" s="23" t="n">
        <x:f>MAX(0,MIN('Activities'!L661,558)-MAX('Activities'!K661,552))</x:f>
        <x:v>0</x:v>
      </x:c>
      <x:c r="CT661" s="23" t="n">
        <x:f>MAX(0,MIN('Activities'!L661,564)-MAX('Activities'!K661,558))</x:f>
        <x:v>0</x:v>
      </x:c>
      <x:c r="CU661" s="23" t="n">
        <x:f>MAX(0,MIN('Activities'!L661,570)-MAX('Activities'!K661,564))</x:f>
        <x:v>0</x:v>
      </x:c>
      <x:c r="CV661" s="23" t="n">
        <x:f>MAX(0,MIN('Activities'!L661,576)-MAX('Activities'!K661,570))</x:f>
        <x:v>0</x:v>
      </x:c>
      <x:c r="CW661" s="23" t="n">
        <x:f>MAX(0,MIN('Activities'!L661,582)-MAX('Activities'!K661,576))</x:f>
        <x:v>0</x:v>
      </x:c>
      <x:c r="CX661" s="23" t="n">
        <x:f>MAX(0,MIN('Activities'!L661,588)-MAX('Activities'!K661,582))</x:f>
        <x:v>0</x:v>
      </x:c>
      <x:c r="CY661" s="23" t="n">
        <x:f>MAX(0,MIN('Activities'!L661,594)-MAX('Activities'!K661,588))</x:f>
        <x:v>0</x:v>
      </x:c>
      <x:c r="CZ661" s="23" t="n">
        <x:f>MAX(0,MIN('Activities'!L661,600)-MAX('Activities'!K661,594))</x:f>
        <x:v>0</x:v>
      </x:c>
      <x:c r="DA661" s="23" t="n">
        <x:f>MAX(0,MIN('Activities'!L661,606)-MAX('Activities'!K661,600))</x:f>
        <x:v>0</x:v>
      </x:c>
      <x:c r="DB661" s="23" t="n">
        <x:f>MAX(0,MIN('Activities'!L661,612)-MAX('Activities'!K661,606))</x:f>
        <x:v>0</x:v>
      </x:c>
      <x:c r="DC661" s="23" t="n">
        <x:f>MAX(0,MIN('Activities'!L661,618)-MAX('Activities'!K661,612))</x:f>
        <x:v>0</x:v>
      </x:c>
      <x:c r="DD661" s="23" t="n">
        <x:f>MAX(0,MIN('Activities'!L661,624)-MAX('Activities'!K661,618))</x:f>
        <x:v>0</x:v>
      </x:c>
      <x:c r="DE661" s="23" t="n">
        <x:f>MAX(0,MIN('Activities'!L661,630)-MAX('Activities'!K661,624))</x:f>
        <x:v>0</x:v>
      </x:c>
      <x:c r="DF661" s="23" t="n">
        <x:f>MAX(0,MIN('Activities'!L661,636)-MAX('Activities'!K661,630))</x:f>
        <x:v>0</x:v>
      </x:c>
    </x:row>
    <x:row r="662" ht="23" customHeight="1">
      <x:c r="A662" s="6" t="str">
        <x:v>T5-L09-D</x:v>
      </x:c>
      <x:c r="B662" s="6" t="str">
        <x:v>T5</x:v>
      </x:c>
      <x:c r="C662" s="6" t="str">
        <x:v>Door sets and ironmongery</x:v>
      </x:c>
      <x:c r="D662" s="6" t="str">
        <x:v>Finishes</x:v>
      </x:c>
      <x:c r="E662" s="22" t="n">
        <x:f>MAX(0,MIN('Activities'!L662,6)-MAX('Activities'!K662,0))</x:f>
        <x:v>0</x:v>
      </x:c>
      <x:c r="F662" s="22" t="n">
        <x:f>MAX(0,MIN('Activities'!L662,12)-MAX('Activities'!K662,6))</x:f>
        <x:v>0</x:v>
      </x:c>
      <x:c r="G662" s="22" t="n">
        <x:f>MAX(0,MIN('Activities'!L662,18)-MAX('Activities'!K662,12))</x:f>
        <x:v>0</x:v>
      </x:c>
      <x:c r="H662" s="22" t="n">
        <x:f>MAX(0,MIN('Activities'!L662,24)-MAX('Activities'!K662,18))</x:f>
        <x:v>0</x:v>
      </x:c>
      <x:c r="I662" s="22" t="n">
        <x:f>MAX(0,MIN('Activities'!L662,30)-MAX('Activities'!K662,24))</x:f>
        <x:v>0</x:v>
      </x:c>
      <x:c r="J662" s="22" t="n">
        <x:f>MAX(0,MIN('Activities'!L662,36)-MAX('Activities'!K662,30))</x:f>
        <x:v>0</x:v>
      </x:c>
      <x:c r="K662" s="22" t="n">
        <x:f>MAX(0,MIN('Activities'!L662,42)-MAX('Activities'!K662,36))</x:f>
        <x:v>0</x:v>
      </x:c>
      <x:c r="L662" s="22" t="n">
        <x:f>MAX(0,MIN('Activities'!L662,48)-MAX('Activities'!K662,42))</x:f>
        <x:v>0</x:v>
      </x:c>
      <x:c r="M662" s="22" t="n">
        <x:f>MAX(0,MIN('Activities'!L662,54)-MAX('Activities'!K662,48))</x:f>
        <x:v>0</x:v>
      </x:c>
      <x:c r="N662" s="22" t="n">
        <x:f>MAX(0,MIN('Activities'!L662,60)-MAX('Activities'!K662,54))</x:f>
        <x:v>0</x:v>
      </x:c>
      <x:c r="O662" s="22" t="n">
        <x:f>MAX(0,MIN('Activities'!L662,66)-MAX('Activities'!K662,60))</x:f>
        <x:v>0</x:v>
      </x:c>
      <x:c r="P662" s="22" t="n">
        <x:f>MAX(0,MIN('Activities'!L662,72)-MAX('Activities'!K662,66))</x:f>
        <x:v>0</x:v>
      </x:c>
      <x:c r="Q662" s="22" t="n">
        <x:f>MAX(0,MIN('Activities'!L662,78)-MAX('Activities'!K662,72))</x:f>
        <x:v>0</x:v>
      </x:c>
      <x:c r="R662" s="22" t="n">
        <x:f>MAX(0,MIN('Activities'!L662,84)-MAX('Activities'!K662,78))</x:f>
        <x:v>0</x:v>
      </x:c>
      <x:c r="S662" s="22" t="n">
        <x:f>MAX(0,MIN('Activities'!L662,90)-MAX('Activities'!K662,84))</x:f>
        <x:v>0</x:v>
      </x:c>
      <x:c r="T662" s="22" t="n">
        <x:f>MAX(0,MIN('Activities'!L662,96)-MAX('Activities'!K662,90))</x:f>
        <x:v>0</x:v>
      </x:c>
      <x:c r="U662" s="22" t="n">
        <x:f>MAX(0,MIN('Activities'!L662,102)-MAX('Activities'!K662,96))</x:f>
        <x:v>0</x:v>
      </x:c>
      <x:c r="V662" s="22" t="n">
        <x:f>MAX(0,MIN('Activities'!L662,108)-MAX('Activities'!K662,102))</x:f>
        <x:v>0</x:v>
      </x:c>
      <x:c r="W662" s="22" t="n">
        <x:f>MAX(0,MIN('Activities'!L662,114)-MAX('Activities'!K662,108))</x:f>
        <x:v>0</x:v>
      </x:c>
      <x:c r="X662" s="22" t="n">
        <x:f>MAX(0,MIN('Activities'!L662,120)-MAX('Activities'!K662,114))</x:f>
        <x:v>0</x:v>
      </x:c>
      <x:c r="Y662" s="22" t="n">
        <x:f>MAX(0,MIN('Activities'!L662,126)-MAX('Activities'!K662,120))</x:f>
        <x:v>0</x:v>
      </x:c>
      <x:c r="Z662" s="22" t="n">
        <x:f>MAX(0,MIN('Activities'!L662,132)-MAX('Activities'!K662,126))</x:f>
        <x:v>0</x:v>
      </x:c>
      <x:c r="AA662" s="22" t="n">
        <x:f>MAX(0,MIN('Activities'!L662,138)-MAX('Activities'!K662,132))</x:f>
        <x:v>0</x:v>
      </x:c>
      <x:c r="AB662" s="22" t="n">
        <x:f>MAX(0,MIN('Activities'!L662,144)-MAX('Activities'!K662,138))</x:f>
        <x:v>0</x:v>
      </x:c>
      <x:c r="AC662" s="22" t="n">
        <x:f>MAX(0,MIN('Activities'!L662,150)-MAX('Activities'!K662,144))</x:f>
        <x:v>0</x:v>
      </x:c>
      <x:c r="AD662" s="22" t="n">
        <x:f>MAX(0,MIN('Activities'!L662,156)-MAX('Activities'!K662,150))</x:f>
        <x:v>0</x:v>
      </x:c>
      <x:c r="AE662" s="22" t="n">
        <x:f>MAX(0,MIN('Activities'!L662,162)-MAX('Activities'!K662,156))</x:f>
        <x:v>0</x:v>
      </x:c>
      <x:c r="AF662" s="22" t="n">
        <x:f>MAX(0,MIN('Activities'!L662,168)-MAX('Activities'!K662,162))</x:f>
        <x:v>0</x:v>
      </x:c>
      <x:c r="AG662" s="22" t="n">
        <x:f>MAX(0,MIN('Activities'!L662,174)-MAX('Activities'!K662,168))</x:f>
        <x:v>0</x:v>
      </x:c>
      <x:c r="AH662" s="22" t="n">
        <x:f>MAX(0,MIN('Activities'!L662,180)-MAX('Activities'!K662,174))</x:f>
        <x:v>0</x:v>
      </x:c>
      <x:c r="AI662" s="22" t="n">
        <x:f>MAX(0,MIN('Activities'!L662,186)-MAX('Activities'!K662,180))</x:f>
        <x:v>0</x:v>
      </x:c>
      <x:c r="AJ662" s="22" t="n">
        <x:f>MAX(0,MIN('Activities'!L662,192)-MAX('Activities'!K662,186))</x:f>
        <x:v>0</x:v>
      </x:c>
      <x:c r="AK662" s="22" t="n">
        <x:f>MAX(0,MIN('Activities'!L662,198)-MAX('Activities'!K662,192))</x:f>
        <x:v>0</x:v>
      </x:c>
      <x:c r="AL662" s="22" t="n">
        <x:f>MAX(0,MIN('Activities'!L662,204)-MAX('Activities'!K662,198))</x:f>
        <x:v>0</x:v>
      </x:c>
      <x:c r="AM662" s="22" t="n">
        <x:f>MAX(0,MIN('Activities'!L662,210)-MAX('Activities'!K662,204))</x:f>
        <x:v>0</x:v>
      </x:c>
      <x:c r="AN662" s="22" t="n">
        <x:f>MAX(0,MIN('Activities'!L662,216)-MAX('Activities'!K662,210))</x:f>
        <x:v>0</x:v>
      </x:c>
      <x:c r="AO662" s="22" t="n">
        <x:f>MAX(0,MIN('Activities'!L662,222)-MAX('Activities'!K662,216))</x:f>
        <x:v>0</x:v>
      </x:c>
      <x:c r="AP662" s="22" t="n">
        <x:f>MAX(0,MIN('Activities'!L662,228)-MAX('Activities'!K662,222))</x:f>
        <x:v>0</x:v>
      </x:c>
      <x:c r="AQ662" s="22" t="n">
        <x:f>MAX(0,MIN('Activities'!L662,234)-MAX('Activities'!K662,228))</x:f>
        <x:v>0</x:v>
      </x:c>
      <x:c r="AR662" s="22" t="n">
        <x:f>MAX(0,MIN('Activities'!L662,240)-MAX('Activities'!K662,234))</x:f>
        <x:v>0</x:v>
      </x:c>
      <x:c r="AS662" s="22" t="n">
        <x:f>MAX(0,MIN('Activities'!L662,246)-MAX('Activities'!K662,240))</x:f>
        <x:v>0</x:v>
      </x:c>
      <x:c r="AT662" s="22" t="n">
        <x:f>MAX(0,MIN('Activities'!L662,252)-MAX('Activities'!K662,246))</x:f>
        <x:v>0</x:v>
      </x:c>
      <x:c r="AU662" s="22" t="n">
        <x:f>MAX(0,MIN('Activities'!L662,258)-MAX('Activities'!K662,252))</x:f>
        <x:v>0</x:v>
      </x:c>
      <x:c r="AV662" s="22" t="n">
        <x:f>MAX(0,MIN('Activities'!L662,264)-MAX('Activities'!K662,258))</x:f>
        <x:v>0</x:v>
      </x:c>
      <x:c r="AW662" s="22" t="n">
        <x:f>MAX(0,MIN('Activities'!L662,270)-MAX('Activities'!K662,264))</x:f>
        <x:v>0</x:v>
      </x:c>
      <x:c r="AX662" s="22" t="n">
        <x:f>MAX(0,MIN('Activities'!L662,276)-MAX('Activities'!K662,270))</x:f>
        <x:v>0</x:v>
      </x:c>
      <x:c r="AY662" s="22" t="n">
        <x:f>MAX(0,MIN('Activities'!L662,282)-MAX('Activities'!K662,276))</x:f>
        <x:v>0</x:v>
      </x:c>
      <x:c r="AZ662" s="22" t="n">
        <x:f>MAX(0,MIN('Activities'!L662,288)-MAX('Activities'!K662,282))</x:f>
        <x:v>0</x:v>
      </x:c>
      <x:c r="BA662" s="22" t="n">
        <x:f>MAX(0,MIN('Activities'!L662,294)-MAX('Activities'!K662,288))</x:f>
        <x:v>0</x:v>
      </x:c>
      <x:c r="BB662" s="22" t="n">
        <x:f>MAX(0,MIN('Activities'!L662,300)-MAX('Activities'!K662,294))</x:f>
        <x:v>0</x:v>
      </x:c>
      <x:c r="BC662" s="22" t="n">
        <x:f>MAX(0,MIN('Activities'!L662,306)-MAX('Activities'!K662,300))</x:f>
        <x:v>0</x:v>
      </x:c>
      <x:c r="BD662" s="22" t="n">
        <x:f>MAX(0,MIN('Activities'!L662,312)-MAX('Activities'!K662,306))</x:f>
        <x:v>0</x:v>
      </x:c>
      <x:c r="BE662" s="22" t="n">
        <x:f>MAX(0,MIN('Activities'!L662,318)-MAX('Activities'!K662,312))</x:f>
        <x:v>0</x:v>
      </x:c>
      <x:c r="BF662" s="22" t="n">
        <x:f>MAX(0,MIN('Activities'!L662,324)-MAX('Activities'!K662,318))</x:f>
        <x:v>0</x:v>
      </x:c>
      <x:c r="BG662" s="22" t="n">
        <x:f>MAX(0,MIN('Activities'!L662,330)-MAX('Activities'!K662,324))</x:f>
        <x:v>0</x:v>
      </x:c>
      <x:c r="BH662" s="22" t="n">
        <x:f>MAX(0,MIN('Activities'!L662,336)-MAX('Activities'!K662,330))</x:f>
        <x:v>0</x:v>
      </x:c>
      <x:c r="BI662" s="22" t="n">
        <x:f>MAX(0,MIN('Activities'!L662,342)-MAX('Activities'!K662,336))</x:f>
        <x:v>0</x:v>
      </x:c>
      <x:c r="BJ662" s="22" t="n">
        <x:f>MAX(0,MIN('Activities'!L662,348)-MAX('Activities'!K662,342))</x:f>
        <x:v>0</x:v>
      </x:c>
      <x:c r="BK662" s="22" t="n">
        <x:f>MAX(0,MIN('Activities'!L662,354)-MAX('Activities'!K662,348))</x:f>
        <x:v>0</x:v>
      </x:c>
      <x:c r="BL662" s="22" t="n">
        <x:f>MAX(0,MIN('Activities'!L662,360)-MAX('Activities'!K662,354))</x:f>
        <x:v>0</x:v>
      </x:c>
      <x:c r="BM662" s="22" t="n">
        <x:f>MAX(0,MIN('Activities'!L662,366)-MAX('Activities'!K662,360))</x:f>
        <x:v>0</x:v>
      </x:c>
      <x:c r="BN662" s="22" t="n">
        <x:f>MAX(0,MIN('Activities'!L662,372)-MAX('Activities'!K662,366))</x:f>
        <x:v>0</x:v>
      </x:c>
      <x:c r="BO662" s="22" t="n">
        <x:f>MAX(0,MIN('Activities'!L662,378)-MAX('Activities'!K662,372))</x:f>
        <x:v>0</x:v>
      </x:c>
      <x:c r="BP662" s="22" t="n">
        <x:f>MAX(0,MIN('Activities'!L662,384)-MAX('Activities'!K662,378))</x:f>
        <x:v>0</x:v>
      </x:c>
      <x:c r="BQ662" s="22" t="n">
        <x:f>MAX(0,MIN('Activities'!L662,390)-MAX('Activities'!K662,384))</x:f>
        <x:v>0</x:v>
      </x:c>
      <x:c r="BR662" s="22" t="n">
        <x:f>MAX(0,MIN('Activities'!L662,396)-MAX('Activities'!K662,390))</x:f>
        <x:v>0</x:v>
      </x:c>
      <x:c r="BS662" s="22" t="n">
        <x:f>MAX(0,MIN('Activities'!L662,402)-MAX('Activities'!K662,396))</x:f>
        <x:v>0</x:v>
      </x:c>
      <x:c r="BT662" s="22" t="n">
        <x:f>MAX(0,MIN('Activities'!L662,408)-MAX('Activities'!K662,402))</x:f>
        <x:v>0</x:v>
      </x:c>
      <x:c r="BU662" s="22" t="n">
        <x:f>MAX(0,MIN('Activities'!L662,414)-MAX('Activities'!K662,408))</x:f>
        <x:v>0</x:v>
      </x:c>
      <x:c r="BV662" s="22" t="n">
        <x:f>MAX(0,MIN('Activities'!L662,420)-MAX('Activities'!K662,414))</x:f>
        <x:v>0</x:v>
      </x:c>
      <x:c r="BW662" s="22" t="n">
        <x:f>MAX(0,MIN('Activities'!L662,426)-MAX('Activities'!K662,420))</x:f>
        <x:v>0</x:v>
      </x:c>
      <x:c r="BX662" s="22" t="n">
        <x:f>MAX(0,MIN('Activities'!L662,432)-MAX('Activities'!K662,426))</x:f>
        <x:v>0</x:v>
      </x:c>
      <x:c r="BY662" s="22" t="n">
        <x:f>MAX(0,MIN('Activities'!L662,438)-MAX('Activities'!K662,432))</x:f>
        <x:v>0</x:v>
      </x:c>
      <x:c r="BZ662" s="22" t="n">
        <x:f>MAX(0,MIN('Activities'!L662,444)-MAX('Activities'!K662,438))</x:f>
        <x:v>0</x:v>
      </x:c>
      <x:c r="CA662" s="22" t="n">
        <x:f>MAX(0,MIN('Activities'!L662,450)-MAX('Activities'!K662,444))</x:f>
        <x:v>0</x:v>
      </x:c>
      <x:c r="CB662" s="22" t="n">
        <x:f>MAX(0,MIN('Activities'!L662,456)-MAX('Activities'!K662,450))</x:f>
        <x:v>0</x:v>
      </x:c>
      <x:c r="CC662" s="22" t="n">
        <x:f>MAX(0,MIN('Activities'!L662,462)-MAX('Activities'!K662,456))</x:f>
        <x:v>0</x:v>
      </x:c>
      <x:c r="CD662" s="22" t="n">
        <x:f>MAX(0,MIN('Activities'!L662,468)-MAX('Activities'!K662,462))</x:f>
        <x:v>1</x:v>
      </x:c>
      <x:c r="CE662" s="22" t="n">
        <x:f>MAX(0,MIN('Activities'!L662,474)-MAX('Activities'!K662,468))</x:f>
        <x:v>2</x:v>
      </x:c>
      <x:c r="CF662" s="22" t="n">
        <x:f>MAX(0,MIN('Activities'!L662,480)-MAX('Activities'!K662,474))</x:f>
        <x:v>0</x:v>
      </x:c>
      <x:c r="CG662" s="22" t="n">
        <x:f>MAX(0,MIN('Activities'!L662,486)-MAX('Activities'!K662,480))</x:f>
        <x:v>0</x:v>
      </x:c>
      <x:c r="CH662" s="22" t="n">
        <x:f>MAX(0,MIN('Activities'!L662,492)-MAX('Activities'!K662,486))</x:f>
        <x:v>0</x:v>
      </x:c>
      <x:c r="CI662" s="22" t="n">
        <x:f>MAX(0,MIN('Activities'!L662,498)-MAX('Activities'!K662,492))</x:f>
        <x:v>0</x:v>
      </x:c>
      <x:c r="CJ662" s="22" t="n">
        <x:f>MAX(0,MIN('Activities'!L662,504)-MAX('Activities'!K662,498))</x:f>
        <x:v>0</x:v>
      </x:c>
      <x:c r="CK662" s="22" t="n">
        <x:f>MAX(0,MIN('Activities'!L662,510)-MAX('Activities'!K662,504))</x:f>
        <x:v>0</x:v>
      </x:c>
      <x:c r="CL662" s="22" t="n">
        <x:f>MAX(0,MIN('Activities'!L662,516)-MAX('Activities'!K662,510))</x:f>
        <x:v>0</x:v>
      </x:c>
      <x:c r="CM662" s="22" t="n">
        <x:f>MAX(0,MIN('Activities'!L662,522)-MAX('Activities'!K662,516))</x:f>
        <x:v>0</x:v>
      </x:c>
      <x:c r="CN662" s="22" t="n">
        <x:f>MAX(0,MIN('Activities'!L662,528)-MAX('Activities'!K662,522))</x:f>
        <x:v>0</x:v>
      </x:c>
      <x:c r="CO662" s="22" t="n">
        <x:f>MAX(0,MIN('Activities'!L662,534)-MAX('Activities'!K662,528))</x:f>
        <x:v>0</x:v>
      </x:c>
      <x:c r="CP662" s="22" t="n">
        <x:f>MAX(0,MIN('Activities'!L662,540)-MAX('Activities'!K662,534))</x:f>
        <x:v>0</x:v>
      </x:c>
      <x:c r="CQ662" s="22" t="n">
        <x:f>MAX(0,MIN('Activities'!L662,546)-MAX('Activities'!K662,540))</x:f>
        <x:v>0</x:v>
      </x:c>
      <x:c r="CR662" s="22" t="n">
        <x:f>MAX(0,MIN('Activities'!L662,552)-MAX('Activities'!K662,546))</x:f>
        <x:v>0</x:v>
      </x:c>
      <x:c r="CS662" s="22" t="n">
        <x:f>MAX(0,MIN('Activities'!L662,558)-MAX('Activities'!K662,552))</x:f>
        <x:v>0</x:v>
      </x:c>
      <x:c r="CT662" s="22" t="n">
        <x:f>MAX(0,MIN('Activities'!L662,564)-MAX('Activities'!K662,558))</x:f>
        <x:v>0</x:v>
      </x:c>
      <x:c r="CU662" s="22" t="n">
        <x:f>MAX(0,MIN('Activities'!L662,570)-MAX('Activities'!K662,564))</x:f>
        <x:v>0</x:v>
      </x:c>
      <x:c r="CV662" s="22" t="n">
        <x:f>MAX(0,MIN('Activities'!L662,576)-MAX('Activities'!K662,570))</x:f>
        <x:v>0</x:v>
      </x:c>
      <x:c r="CW662" s="22" t="n">
        <x:f>MAX(0,MIN('Activities'!L662,582)-MAX('Activities'!K662,576))</x:f>
        <x:v>0</x:v>
      </x:c>
      <x:c r="CX662" s="22" t="n">
        <x:f>MAX(0,MIN('Activities'!L662,588)-MAX('Activities'!K662,582))</x:f>
        <x:v>0</x:v>
      </x:c>
      <x:c r="CY662" s="22" t="n">
        <x:f>MAX(0,MIN('Activities'!L662,594)-MAX('Activities'!K662,588))</x:f>
        <x:v>0</x:v>
      </x:c>
      <x:c r="CZ662" s="22" t="n">
        <x:f>MAX(0,MIN('Activities'!L662,600)-MAX('Activities'!K662,594))</x:f>
        <x:v>0</x:v>
      </x:c>
      <x:c r="DA662" s="22" t="n">
        <x:f>MAX(0,MIN('Activities'!L662,606)-MAX('Activities'!K662,600))</x:f>
        <x:v>0</x:v>
      </x:c>
      <x:c r="DB662" s="22" t="n">
        <x:f>MAX(0,MIN('Activities'!L662,612)-MAX('Activities'!K662,606))</x:f>
        <x:v>0</x:v>
      </x:c>
      <x:c r="DC662" s="22" t="n">
        <x:f>MAX(0,MIN('Activities'!L662,618)-MAX('Activities'!K662,612))</x:f>
        <x:v>0</x:v>
      </x:c>
      <x:c r="DD662" s="22" t="n">
        <x:f>MAX(0,MIN('Activities'!L662,624)-MAX('Activities'!K662,618))</x:f>
        <x:v>0</x:v>
      </x:c>
      <x:c r="DE662" s="22" t="n">
        <x:f>MAX(0,MIN('Activities'!L662,630)-MAX('Activities'!K662,624))</x:f>
        <x:v>0</x:v>
      </x:c>
      <x:c r="DF662" s="22" t="n">
        <x:f>MAX(0,MIN('Activities'!L662,636)-MAX('Activities'!K662,630))</x:f>
        <x:v>0</x:v>
      </x:c>
    </x:row>
    <x:row r="663" ht="23" customHeight="1">
      <x:c r="A663" s="1" t="str">
        <x:v>T5-L10-M</x:v>
      </x:c>
      <x:c r="B663" s="1" t="str">
        <x:v>T5</x:v>
      </x:c>
      <x:c r="C663" s="1" t="str">
        <x:v>Partition masonry</x:v>
      </x:c>
      <x:c r="D663" s="1" t="str">
        <x:v>Masonry</x:v>
      </x:c>
      <x:c r="E663" s="23" t="n">
        <x:f>MAX(0,MIN('Activities'!L663,6)-MAX('Activities'!K663,0))</x:f>
        <x:v>0</x:v>
      </x:c>
      <x:c r="F663" s="23" t="n">
        <x:f>MAX(0,MIN('Activities'!L663,12)-MAX('Activities'!K663,6))</x:f>
        <x:v>0</x:v>
      </x:c>
      <x:c r="G663" s="23" t="n">
        <x:f>MAX(0,MIN('Activities'!L663,18)-MAX('Activities'!K663,12))</x:f>
        <x:v>0</x:v>
      </x:c>
      <x:c r="H663" s="23" t="n">
        <x:f>MAX(0,MIN('Activities'!L663,24)-MAX('Activities'!K663,18))</x:f>
        <x:v>0</x:v>
      </x:c>
      <x:c r="I663" s="23" t="n">
        <x:f>MAX(0,MIN('Activities'!L663,30)-MAX('Activities'!K663,24))</x:f>
        <x:v>0</x:v>
      </x:c>
      <x:c r="J663" s="23" t="n">
        <x:f>MAX(0,MIN('Activities'!L663,36)-MAX('Activities'!K663,30))</x:f>
        <x:v>0</x:v>
      </x:c>
      <x:c r="K663" s="23" t="n">
        <x:f>MAX(0,MIN('Activities'!L663,42)-MAX('Activities'!K663,36))</x:f>
        <x:v>0</x:v>
      </x:c>
      <x:c r="L663" s="23" t="n">
        <x:f>MAX(0,MIN('Activities'!L663,48)-MAX('Activities'!K663,42))</x:f>
        <x:v>0</x:v>
      </x:c>
      <x:c r="M663" s="23" t="n">
        <x:f>MAX(0,MIN('Activities'!L663,54)-MAX('Activities'!K663,48))</x:f>
        <x:v>0</x:v>
      </x:c>
      <x:c r="N663" s="23" t="n">
        <x:f>MAX(0,MIN('Activities'!L663,60)-MAX('Activities'!K663,54))</x:f>
        <x:v>0</x:v>
      </x:c>
      <x:c r="O663" s="23" t="n">
        <x:f>MAX(0,MIN('Activities'!L663,66)-MAX('Activities'!K663,60))</x:f>
        <x:v>0</x:v>
      </x:c>
      <x:c r="P663" s="23" t="n">
        <x:f>MAX(0,MIN('Activities'!L663,72)-MAX('Activities'!K663,66))</x:f>
        <x:v>0</x:v>
      </x:c>
      <x:c r="Q663" s="23" t="n">
        <x:f>MAX(0,MIN('Activities'!L663,78)-MAX('Activities'!K663,72))</x:f>
        <x:v>0</x:v>
      </x:c>
      <x:c r="R663" s="23" t="n">
        <x:f>MAX(0,MIN('Activities'!L663,84)-MAX('Activities'!K663,78))</x:f>
        <x:v>0</x:v>
      </x:c>
      <x:c r="S663" s="23" t="n">
        <x:f>MAX(0,MIN('Activities'!L663,90)-MAX('Activities'!K663,84))</x:f>
        <x:v>0</x:v>
      </x:c>
      <x:c r="T663" s="23" t="n">
        <x:f>MAX(0,MIN('Activities'!L663,96)-MAX('Activities'!K663,90))</x:f>
        <x:v>0</x:v>
      </x:c>
      <x:c r="U663" s="23" t="n">
        <x:f>MAX(0,MIN('Activities'!L663,102)-MAX('Activities'!K663,96))</x:f>
        <x:v>0</x:v>
      </x:c>
      <x:c r="V663" s="23" t="n">
        <x:f>MAX(0,MIN('Activities'!L663,108)-MAX('Activities'!K663,102))</x:f>
        <x:v>0</x:v>
      </x:c>
      <x:c r="W663" s="23" t="n">
        <x:f>MAX(0,MIN('Activities'!L663,114)-MAX('Activities'!K663,108))</x:f>
        <x:v>0</x:v>
      </x:c>
      <x:c r="X663" s="23" t="n">
        <x:f>MAX(0,MIN('Activities'!L663,120)-MAX('Activities'!K663,114))</x:f>
        <x:v>0</x:v>
      </x:c>
      <x:c r="Y663" s="23" t="n">
        <x:f>MAX(0,MIN('Activities'!L663,126)-MAX('Activities'!K663,120))</x:f>
        <x:v>0</x:v>
      </x:c>
      <x:c r="Z663" s="23" t="n">
        <x:f>MAX(0,MIN('Activities'!L663,132)-MAX('Activities'!K663,126))</x:f>
        <x:v>0</x:v>
      </x:c>
      <x:c r="AA663" s="23" t="n">
        <x:f>MAX(0,MIN('Activities'!L663,138)-MAX('Activities'!K663,132))</x:f>
        <x:v>0</x:v>
      </x:c>
      <x:c r="AB663" s="23" t="n">
        <x:f>MAX(0,MIN('Activities'!L663,144)-MAX('Activities'!K663,138))</x:f>
        <x:v>0</x:v>
      </x:c>
      <x:c r="AC663" s="23" t="n">
        <x:f>MAX(0,MIN('Activities'!L663,150)-MAX('Activities'!K663,144))</x:f>
        <x:v>0</x:v>
      </x:c>
      <x:c r="AD663" s="23" t="n">
        <x:f>MAX(0,MIN('Activities'!L663,156)-MAX('Activities'!K663,150))</x:f>
        <x:v>0</x:v>
      </x:c>
      <x:c r="AE663" s="23" t="n">
        <x:f>MAX(0,MIN('Activities'!L663,162)-MAX('Activities'!K663,156))</x:f>
        <x:v>0</x:v>
      </x:c>
      <x:c r="AF663" s="23" t="n">
        <x:f>MAX(0,MIN('Activities'!L663,168)-MAX('Activities'!K663,162))</x:f>
        <x:v>0</x:v>
      </x:c>
      <x:c r="AG663" s="23" t="n">
        <x:f>MAX(0,MIN('Activities'!L663,174)-MAX('Activities'!K663,168))</x:f>
        <x:v>0</x:v>
      </x:c>
      <x:c r="AH663" s="23" t="n">
        <x:f>MAX(0,MIN('Activities'!L663,180)-MAX('Activities'!K663,174))</x:f>
        <x:v>0</x:v>
      </x:c>
      <x:c r="AI663" s="23" t="n">
        <x:f>MAX(0,MIN('Activities'!L663,186)-MAX('Activities'!K663,180))</x:f>
        <x:v>0</x:v>
      </x:c>
      <x:c r="AJ663" s="23" t="n">
        <x:f>MAX(0,MIN('Activities'!L663,192)-MAX('Activities'!K663,186))</x:f>
        <x:v>0</x:v>
      </x:c>
      <x:c r="AK663" s="23" t="n">
        <x:f>MAX(0,MIN('Activities'!L663,198)-MAX('Activities'!K663,192))</x:f>
        <x:v>0</x:v>
      </x:c>
      <x:c r="AL663" s="23" t="n">
        <x:f>MAX(0,MIN('Activities'!L663,204)-MAX('Activities'!K663,198))</x:f>
        <x:v>0</x:v>
      </x:c>
      <x:c r="AM663" s="23" t="n">
        <x:f>MAX(0,MIN('Activities'!L663,210)-MAX('Activities'!K663,204))</x:f>
        <x:v>0</x:v>
      </x:c>
      <x:c r="AN663" s="23" t="n">
        <x:f>MAX(0,MIN('Activities'!L663,216)-MAX('Activities'!K663,210))</x:f>
        <x:v>0</x:v>
      </x:c>
      <x:c r="AO663" s="23" t="n">
        <x:f>MAX(0,MIN('Activities'!L663,222)-MAX('Activities'!K663,216))</x:f>
        <x:v>0</x:v>
      </x:c>
      <x:c r="AP663" s="23" t="n">
        <x:f>MAX(0,MIN('Activities'!L663,228)-MAX('Activities'!K663,222))</x:f>
        <x:v>0</x:v>
      </x:c>
      <x:c r="AQ663" s="23" t="n">
        <x:f>MAX(0,MIN('Activities'!L663,234)-MAX('Activities'!K663,228))</x:f>
        <x:v>0</x:v>
      </x:c>
      <x:c r="AR663" s="23" t="n">
        <x:f>MAX(0,MIN('Activities'!L663,240)-MAX('Activities'!K663,234))</x:f>
        <x:v>0</x:v>
      </x:c>
      <x:c r="AS663" s="23" t="n">
        <x:f>MAX(0,MIN('Activities'!L663,246)-MAX('Activities'!K663,240))</x:f>
        <x:v>0</x:v>
      </x:c>
      <x:c r="AT663" s="23" t="n">
        <x:f>MAX(0,MIN('Activities'!L663,252)-MAX('Activities'!K663,246))</x:f>
        <x:v>0</x:v>
      </x:c>
      <x:c r="AU663" s="23" t="n">
        <x:f>MAX(0,MIN('Activities'!L663,258)-MAX('Activities'!K663,252))</x:f>
        <x:v>0</x:v>
      </x:c>
      <x:c r="AV663" s="23" t="n">
        <x:f>MAX(0,MIN('Activities'!L663,264)-MAX('Activities'!K663,258))</x:f>
        <x:v>0</x:v>
      </x:c>
      <x:c r="AW663" s="23" t="n">
        <x:f>MAX(0,MIN('Activities'!L663,270)-MAX('Activities'!K663,264))</x:f>
        <x:v>0</x:v>
      </x:c>
      <x:c r="AX663" s="23" t="n">
        <x:f>MAX(0,MIN('Activities'!L663,276)-MAX('Activities'!K663,270))</x:f>
        <x:v>0</x:v>
      </x:c>
      <x:c r="AY663" s="23" t="n">
        <x:f>MAX(0,MIN('Activities'!L663,282)-MAX('Activities'!K663,276))</x:f>
        <x:v>0</x:v>
      </x:c>
      <x:c r="AZ663" s="23" t="n">
        <x:f>MAX(0,MIN('Activities'!L663,288)-MAX('Activities'!K663,282))</x:f>
        <x:v>0</x:v>
      </x:c>
      <x:c r="BA663" s="23" t="n">
        <x:f>MAX(0,MIN('Activities'!L663,294)-MAX('Activities'!K663,288))</x:f>
        <x:v>0</x:v>
      </x:c>
      <x:c r="BB663" s="23" t="n">
        <x:f>MAX(0,MIN('Activities'!L663,300)-MAX('Activities'!K663,294))</x:f>
        <x:v>0</x:v>
      </x:c>
      <x:c r="BC663" s="23" t="n">
        <x:f>MAX(0,MIN('Activities'!L663,306)-MAX('Activities'!K663,300))</x:f>
        <x:v>0</x:v>
      </x:c>
      <x:c r="BD663" s="23" t="n">
        <x:f>MAX(0,MIN('Activities'!L663,312)-MAX('Activities'!K663,306))</x:f>
        <x:v>0</x:v>
      </x:c>
      <x:c r="BE663" s="23" t="n">
        <x:f>MAX(0,MIN('Activities'!L663,318)-MAX('Activities'!K663,312))</x:f>
        <x:v>0</x:v>
      </x:c>
      <x:c r="BF663" s="23" t="n">
        <x:f>MAX(0,MIN('Activities'!L663,324)-MAX('Activities'!K663,318))</x:f>
        <x:v>0</x:v>
      </x:c>
      <x:c r="BG663" s="23" t="n">
        <x:f>MAX(0,MIN('Activities'!L663,330)-MAX('Activities'!K663,324))</x:f>
        <x:v>0</x:v>
      </x:c>
      <x:c r="BH663" s="23" t="n">
        <x:f>MAX(0,MIN('Activities'!L663,336)-MAX('Activities'!K663,330))</x:f>
        <x:v>0</x:v>
      </x:c>
      <x:c r="BI663" s="23" t="n">
        <x:f>MAX(0,MIN('Activities'!L663,342)-MAX('Activities'!K663,336))</x:f>
        <x:v>0</x:v>
      </x:c>
      <x:c r="BJ663" s="23" t="n">
        <x:f>MAX(0,MIN('Activities'!L663,348)-MAX('Activities'!K663,342))</x:f>
        <x:v>0</x:v>
      </x:c>
      <x:c r="BK663" s="23" t="n">
        <x:f>MAX(0,MIN('Activities'!L663,354)-MAX('Activities'!K663,348))</x:f>
        <x:v>0</x:v>
      </x:c>
      <x:c r="BL663" s="23" t="n">
        <x:f>MAX(0,MIN('Activities'!L663,360)-MAX('Activities'!K663,354))</x:f>
        <x:v>0</x:v>
      </x:c>
      <x:c r="BM663" s="23" t="n">
        <x:f>MAX(0,MIN('Activities'!L663,366)-MAX('Activities'!K663,360))</x:f>
        <x:v>0</x:v>
      </x:c>
      <x:c r="BN663" s="23" t="n">
        <x:f>MAX(0,MIN('Activities'!L663,372)-MAX('Activities'!K663,366))</x:f>
        <x:v>0</x:v>
      </x:c>
      <x:c r="BO663" s="23" t="n">
        <x:f>MAX(0,MIN('Activities'!L663,378)-MAX('Activities'!K663,372))</x:f>
        <x:v>0</x:v>
      </x:c>
      <x:c r="BP663" s="23" t="n">
        <x:f>MAX(0,MIN('Activities'!L663,384)-MAX('Activities'!K663,378))</x:f>
        <x:v>0</x:v>
      </x:c>
      <x:c r="BQ663" s="23" t="n">
        <x:f>MAX(0,MIN('Activities'!L663,390)-MAX('Activities'!K663,384))</x:f>
        <x:v>0</x:v>
      </x:c>
      <x:c r="BR663" s="23" t="n">
        <x:f>MAX(0,MIN('Activities'!L663,396)-MAX('Activities'!K663,390))</x:f>
        <x:v>0</x:v>
      </x:c>
      <x:c r="BS663" s="23" t="n">
        <x:f>MAX(0,MIN('Activities'!L663,402)-MAX('Activities'!K663,396))</x:f>
        <x:v>0</x:v>
      </x:c>
      <x:c r="BT663" s="23" t="n">
        <x:f>MAX(0,MIN('Activities'!L663,408)-MAX('Activities'!K663,402))</x:f>
        <x:v>0</x:v>
      </x:c>
      <x:c r="BU663" s="23" t="n">
        <x:f>MAX(0,MIN('Activities'!L663,414)-MAX('Activities'!K663,408))</x:f>
        <x:v>0</x:v>
      </x:c>
      <x:c r="BV663" s="23" t="n">
        <x:f>MAX(0,MIN('Activities'!L663,420)-MAX('Activities'!K663,414))</x:f>
        <x:v>0</x:v>
      </x:c>
      <x:c r="BW663" s="23" t="n">
        <x:f>MAX(0,MIN('Activities'!L663,426)-MAX('Activities'!K663,420))</x:f>
        <x:v>5</x:v>
      </x:c>
      <x:c r="BX663" s="23" t="n">
        <x:f>MAX(0,MIN('Activities'!L663,432)-MAX('Activities'!K663,426))</x:f>
        <x:v>0</x:v>
      </x:c>
      <x:c r="BY663" s="23" t="n">
        <x:f>MAX(0,MIN('Activities'!L663,438)-MAX('Activities'!K663,432))</x:f>
        <x:v>0</x:v>
      </x:c>
      <x:c r="BZ663" s="23" t="n">
        <x:f>MAX(0,MIN('Activities'!L663,444)-MAX('Activities'!K663,438))</x:f>
        <x:v>0</x:v>
      </x:c>
      <x:c r="CA663" s="23" t="n">
        <x:f>MAX(0,MIN('Activities'!L663,450)-MAX('Activities'!K663,444))</x:f>
        <x:v>0</x:v>
      </x:c>
      <x:c r="CB663" s="23" t="n">
        <x:f>MAX(0,MIN('Activities'!L663,456)-MAX('Activities'!K663,450))</x:f>
        <x:v>0</x:v>
      </x:c>
      <x:c r="CC663" s="23" t="n">
        <x:f>MAX(0,MIN('Activities'!L663,462)-MAX('Activities'!K663,456))</x:f>
        <x:v>0</x:v>
      </x:c>
      <x:c r="CD663" s="23" t="n">
        <x:f>MAX(0,MIN('Activities'!L663,468)-MAX('Activities'!K663,462))</x:f>
        <x:v>0</x:v>
      </x:c>
      <x:c r="CE663" s="23" t="n">
        <x:f>MAX(0,MIN('Activities'!L663,474)-MAX('Activities'!K663,468))</x:f>
        <x:v>0</x:v>
      </x:c>
      <x:c r="CF663" s="23" t="n">
        <x:f>MAX(0,MIN('Activities'!L663,480)-MAX('Activities'!K663,474))</x:f>
        <x:v>0</x:v>
      </x:c>
      <x:c r="CG663" s="23" t="n">
        <x:f>MAX(0,MIN('Activities'!L663,486)-MAX('Activities'!K663,480))</x:f>
        <x:v>0</x:v>
      </x:c>
      <x:c r="CH663" s="23" t="n">
        <x:f>MAX(0,MIN('Activities'!L663,492)-MAX('Activities'!K663,486))</x:f>
        <x:v>0</x:v>
      </x:c>
      <x:c r="CI663" s="23" t="n">
        <x:f>MAX(0,MIN('Activities'!L663,498)-MAX('Activities'!K663,492))</x:f>
        <x:v>0</x:v>
      </x:c>
      <x:c r="CJ663" s="23" t="n">
        <x:f>MAX(0,MIN('Activities'!L663,504)-MAX('Activities'!K663,498))</x:f>
        <x:v>0</x:v>
      </x:c>
      <x:c r="CK663" s="23" t="n">
        <x:f>MAX(0,MIN('Activities'!L663,510)-MAX('Activities'!K663,504))</x:f>
        <x:v>0</x:v>
      </x:c>
      <x:c r="CL663" s="23" t="n">
        <x:f>MAX(0,MIN('Activities'!L663,516)-MAX('Activities'!K663,510))</x:f>
        <x:v>0</x:v>
      </x:c>
      <x:c r="CM663" s="23" t="n">
        <x:f>MAX(0,MIN('Activities'!L663,522)-MAX('Activities'!K663,516))</x:f>
        <x:v>0</x:v>
      </x:c>
      <x:c r="CN663" s="23" t="n">
        <x:f>MAX(0,MIN('Activities'!L663,528)-MAX('Activities'!K663,522))</x:f>
        <x:v>0</x:v>
      </x:c>
      <x:c r="CO663" s="23" t="n">
        <x:f>MAX(0,MIN('Activities'!L663,534)-MAX('Activities'!K663,528))</x:f>
        <x:v>0</x:v>
      </x:c>
      <x:c r="CP663" s="23" t="n">
        <x:f>MAX(0,MIN('Activities'!L663,540)-MAX('Activities'!K663,534))</x:f>
        <x:v>0</x:v>
      </x:c>
      <x:c r="CQ663" s="23" t="n">
        <x:f>MAX(0,MIN('Activities'!L663,546)-MAX('Activities'!K663,540))</x:f>
        <x:v>0</x:v>
      </x:c>
      <x:c r="CR663" s="23" t="n">
        <x:f>MAX(0,MIN('Activities'!L663,552)-MAX('Activities'!K663,546))</x:f>
        <x:v>0</x:v>
      </x:c>
      <x:c r="CS663" s="23" t="n">
        <x:f>MAX(0,MIN('Activities'!L663,558)-MAX('Activities'!K663,552))</x:f>
        <x:v>0</x:v>
      </x:c>
      <x:c r="CT663" s="23" t="n">
        <x:f>MAX(0,MIN('Activities'!L663,564)-MAX('Activities'!K663,558))</x:f>
        <x:v>0</x:v>
      </x:c>
      <x:c r="CU663" s="23" t="n">
        <x:f>MAX(0,MIN('Activities'!L663,570)-MAX('Activities'!K663,564))</x:f>
        <x:v>0</x:v>
      </x:c>
      <x:c r="CV663" s="23" t="n">
        <x:f>MAX(0,MIN('Activities'!L663,576)-MAX('Activities'!K663,570))</x:f>
        <x:v>0</x:v>
      </x:c>
      <x:c r="CW663" s="23" t="n">
        <x:f>MAX(0,MIN('Activities'!L663,582)-MAX('Activities'!K663,576))</x:f>
        <x:v>0</x:v>
      </x:c>
      <x:c r="CX663" s="23" t="n">
        <x:f>MAX(0,MIN('Activities'!L663,588)-MAX('Activities'!K663,582))</x:f>
        <x:v>0</x:v>
      </x:c>
      <x:c r="CY663" s="23" t="n">
        <x:f>MAX(0,MIN('Activities'!L663,594)-MAX('Activities'!K663,588))</x:f>
        <x:v>0</x:v>
      </x:c>
      <x:c r="CZ663" s="23" t="n">
        <x:f>MAX(0,MIN('Activities'!L663,600)-MAX('Activities'!K663,594))</x:f>
        <x:v>0</x:v>
      </x:c>
      <x:c r="DA663" s="23" t="n">
        <x:f>MAX(0,MIN('Activities'!L663,606)-MAX('Activities'!K663,600))</x:f>
        <x:v>0</x:v>
      </x:c>
      <x:c r="DB663" s="23" t="n">
        <x:f>MAX(0,MIN('Activities'!L663,612)-MAX('Activities'!K663,606))</x:f>
        <x:v>0</x:v>
      </x:c>
      <x:c r="DC663" s="23" t="n">
        <x:f>MAX(0,MIN('Activities'!L663,618)-MAX('Activities'!K663,612))</x:f>
        <x:v>0</x:v>
      </x:c>
      <x:c r="DD663" s="23" t="n">
        <x:f>MAX(0,MIN('Activities'!L663,624)-MAX('Activities'!K663,618))</x:f>
        <x:v>0</x:v>
      </x:c>
      <x:c r="DE663" s="23" t="n">
        <x:f>MAX(0,MIN('Activities'!L663,630)-MAX('Activities'!K663,624))</x:f>
        <x:v>0</x:v>
      </x:c>
      <x:c r="DF663" s="23" t="n">
        <x:f>MAX(0,MIN('Activities'!L663,636)-MAX('Activities'!K663,630))</x:f>
        <x:v>0</x:v>
      </x:c>
    </x:row>
    <x:row r="664" ht="23" customHeight="1">
      <x:c r="A664" s="6" t="str">
        <x:v>T5-L10-P</x:v>
      </x:c>
      <x:c r="B664" s="6" t="str">
        <x:v>T5</x:v>
      </x:c>
      <x:c r="C664" s="6" t="str">
        <x:v>Internal plaster</x:v>
      </x:c>
      <x:c r="D664" s="6" t="str">
        <x:v>Finishes</x:v>
      </x:c>
      <x:c r="E664" s="22" t="n">
        <x:f>MAX(0,MIN('Activities'!L664,6)-MAX('Activities'!K664,0))</x:f>
        <x:v>0</x:v>
      </x:c>
      <x:c r="F664" s="22" t="n">
        <x:f>MAX(0,MIN('Activities'!L664,12)-MAX('Activities'!K664,6))</x:f>
        <x:v>0</x:v>
      </x:c>
      <x:c r="G664" s="22" t="n">
        <x:f>MAX(0,MIN('Activities'!L664,18)-MAX('Activities'!K664,12))</x:f>
        <x:v>0</x:v>
      </x:c>
      <x:c r="H664" s="22" t="n">
        <x:f>MAX(0,MIN('Activities'!L664,24)-MAX('Activities'!K664,18))</x:f>
        <x:v>0</x:v>
      </x:c>
      <x:c r="I664" s="22" t="n">
        <x:f>MAX(0,MIN('Activities'!L664,30)-MAX('Activities'!K664,24))</x:f>
        <x:v>0</x:v>
      </x:c>
      <x:c r="J664" s="22" t="n">
        <x:f>MAX(0,MIN('Activities'!L664,36)-MAX('Activities'!K664,30))</x:f>
        <x:v>0</x:v>
      </x:c>
      <x:c r="K664" s="22" t="n">
        <x:f>MAX(0,MIN('Activities'!L664,42)-MAX('Activities'!K664,36))</x:f>
        <x:v>0</x:v>
      </x:c>
      <x:c r="L664" s="22" t="n">
        <x:f>MAX(0,MIN('Activities'!L664,48)-MAX('Activities'!K664,42))</x:f>
        <x:v>0</x:v>
      </x:c>
      <x:c r="M664" s="22" t="n">
        <x:f>MAX(0,MIN('Activities'!L664,54)-MAX('Activities'!K664,48))</x:f>
        <x:v>0</x:v>
      </x:c>
      <x:c r="N664" s="22" t="n">
        <x:f>MAX(0,MIN('Activities'!L664,60)-MAX('Activities'!K664,54))</x:f>
        <x:v>0</x:v>
      </x:c>
      <x:c r="O664" s="22" t="n">
        <x:f>MAX(0,MIN('Activities'!L664,66)-MAX('Activities'!K664,60))</x:f>
        <x:v>0</x:v>
      </x:c>
      <x:c r="P664" s="22" t="n">
        <x:f>MAX(0,MIN('Activities'!L664,72)-MAX('Activities'!K664,66))</x:f>
        <x:v>0</x:v>
      </x:c>
      <x:c r="Q664" s="22" t="n">
        <x:f>MAX(0,MIN('Activities'!L664,78)-MAX('Activities'!K664,72))</x:f>
        <x:v>0</x:v>
      </x:c>
      <x:c r="R664" s="22" t="n">
        <x:f>MAX(0,MIN('Activities'!L664,84)-MAX('Activities'!K664,78))</x:f>
        <x:v>0</x:v>
      </x:c>
      <x:c r="S664" s="22" t="n">
        <x:f>MAX(0,MIN('Activities'!L664,90)-MAX('Activities'!K664,84))</x:f>
        <x:v>0</x:v>
      </x:c>
      <x:c r="T664" s="22" t="n">
        <x:f>MAX(0,MIN('Activities'!L664,96)-MAX('Activities'!K664,90))</x:f>
        <x:v>0</x:v>
      </x:c>
      <x:c r="U664" s="22" t="n">
        <x:f>MAX(0,MIN('Activities'!L664,102)-MAX('Activities'!K664,96))</x:f>
        <x:v>0</x:v>
      </x:c>
      <x:c r="V664" s="22" t="n">
        <x:f>MAX(0,MIN('Activities'!L664,108)-MAX('Activities'!K664,102))</x:f>
        <x:v>0</x:v>
      </x:c>
      <x:c r="W664" s="22" t="n">
        <x:f>MAX(0,MIN('Activities'!L664,114)-MAX('Activities'!K664,108))</x:f>
        <x:v>0</x:v>
      </x:c>
      <x:c r="X664" s="22" t="n">
        <x:f>MAX(0,MIN('Activities'!L664,120)-MAX('Activities'!K664,114))</x:f>
        <x:v>0</x:v>
      </x:c>
      <x:c r="Y664" s="22" t="n">
        <x:f>MAX(0,MIN('Activities'!L664,126)-MAX('Activities'!K664,120))</x:f>
        <x:v>0</x:v>
      </x:c>
      <x:c r="Z664" s="22" t="n">
        <x:f>MAX(0,MIN('Activities'!L664,132)-MAX('Activities'!K664,126))</x:f>
        <x:v>0</x:v>
      </x:c>
      <x:c r="AA664" s="22" t="n">
        <x:f>MAX(0,MIN('Activities'!L664,138)-MAX('Activities'!K664,132))</x:f>
        <x:v>0</x:v>
      </x:c>
      <x:c r="AB664" s="22" t="n">
        <x:f>MAX(0,MIN('Activities'!L664,144)-MAX('Activities'!K664,138))</x:f>
        <x:v>0</x:v>
      </x:c>
      <x:c r="AC664" s="22" t="n">
        <x:f>MAX(0,MIN('Activities'!L664,150)-MAX('Activities'!K664,144))</x:f>
        <x:v>0</x:v>
      </x:c>
      <x:c r="AD664" s="22" t="n">
        <x:f>MAX(0,MIN('Activities'!L664,156)-MAX('Activities'!K664,150))</x:f>
        <x:v>0</x:v>
      </x:c>
      <x:c r="AE664" s="22" t="n">
        <x:f>MAX(0,MIN('Activities'!L664,162)-MAX('Activities'!K664,156))</x:f>
        <x:v>0</x:v>
      </x:c>
      <x:c r="AF664" s="22" t="n">
        <x:f>MAX(0,MIN('Activities'!L664,168)-MAX('Activities'!K664,162))</x:f>
        <x:v>0</x:v>
      </x:c>
      <x:c r="AG664" s="22" t="n">
        <x:f>MAX(0,MIN('Activities'!L664,174)-MAX('Activities'!K664,168))</x:f>
        <x:v>0</x:v>
      </x:c>
      <x:c r="AH664" s="22" t="n">
        <x:f>MAX(0,MIN('Activities'!L664,180)-MAX('Activities'!K664,174))</x:f>
        <x:v>0</x:v>
      </x:c>
      <x:c r="AI664" s="22" t="n">
        <x:f>MAX(0,MIN('Activities'!L664,186)-MAX('Activities'!K664,180))</x:f>
        <x:v>0</x:v>
      </x:c>
      <x:c r="AJ664" s="22" t="n">
        <x:f>MAX(0,MIN('Activities'!L664,192)-MAX('Activities'!K664,186))</x:f>
        <x:v>0</x:v>
      </x:c>
      <x:c r="AK664" s="22" t="n">
        <x:f>MAX(0,MIN('Activities'!L664,198)-MAX('Activities'!K664,192))</x:f>
        <x:v>0</x:v>
      </x:c>
      <x:c r="AL664" s="22" t="n">
        <x:f>MAX(0,MIN('Activities'!L664,204)-MAX('Activities'!K664,198))</x:f>
        <x:v>0</x:v>
      </x:c>
      <x:c r="AM664" s="22" t="n">
        <x:f>MAX(0,MIN('Activities'!L664,210)-MAX('Activities'!K664,204))</x:f>
        <x:v>0</x:v>
      </x:c>
      <x:c r="AN664" s="22" t="n">
        <x:f>MAX(0,MIN('Activities'!L664,216)-MAX('Activities'!K664,210))</x:f>
        <x:v>0</x:v>
      </x:c>
      <x:c r="AO664" s="22" t="n">
        <x:f>MAX(0,MIN('Activities'!L664,222)-MAX('Activities'!K664,216))</x:f>
        <x:v>0</x:v>
      </x:c>
      <x:c r="AP664" s="22" t="n">
        <x:f>MAX(0,MIN('Activities'!L664,228)-MAX('Activities'!K664,222))</x:f>
        <x:v>0</x:v>
      </x:c>
      <x:c r="AQ664" s="22" t="n">
        <x:f>MAX(0,MIN('Activities'!L664,234)-MAX('Activities'!K664,228))</x:f>
        <x:v>0</x:v>
      </x:c>
      <x:c r="AR664" s="22" t="n">
        <x:f>MAX(0,MIN('Activities'!L664,240)-MAX('Activities'!K664,234))</x:f>
        <x:v>0</x:v>
      </x:c>
      <x:c r="AS664" s="22" t="n">
        <x:f>MAX(0,MIN('Activities'!L664,246)-MAX('Activities'!K664,240))</x:f>
        <x:v>0</x:v>
      </x:c>
      <x:c r="AT664" s="22" t="n">
        <x:f>MAX(0,MIN('Activities'!L664,252)-MAX('Activities'!K664,246))</x:f>
        <x:v>0</x:v>
      </x:c>
      <x:c r="AU664" s="22" t="n">
        <x:f>MAX(0,MIN('Activities'!L664,258)-MAX('Activities'!K664,252))</x:f>
        <x:v>0</x:v>
      </x:c>
      <x:c r="AV664" s="22" t="n">
        <x:f>MAX(0,MIN('Activities'!L664,264)-MAX('Activities'!K664,258))</x:f>
        <x:v>0</x:v>
      </x:c>
      <x:c r="AW664" s="22" t="n">
        <x:f>MAX(0,MIN('Activities'!L664,270)-MAX('Activities'!K664,264))</x:f>
        <x:v>0</x:v>
      </x:c>
      <x:c r="AX664" s="22" t="n">
        <x:f>MAX(0,MIN('Activities'!L664,276)-MAX('Activities'!K664,270))</x:f>
        <x:v>0</x:v>
      </x:c>
      <x:c r="AY664" s="22" t="n">
        <x:f>MAX(0,MIN('Activities'!L664,282)-MAX('Activities'!K664,276))</x:f>
        <x:v>0</x:v>
      </x:c>
      <x:c r="AZ664" s="22" t="n">
        <x:f>MAX(0,MIN('Activities'!L664,288)-MAX('Activities'!K664,282))</x:f>
        <x:v>0</x:v>
      </x:c>
      <x:c r="BA664" s="22" t="n">
        <x:f>MAX(0,MIN('Activities'!L664,294)-MAX('Activities'!K664,288))</x:f>
        <x:v>0</x:v>
      </x:c>
      <x:c r="BB664" s="22" t="n">
        <x:f>MAX(0,MIN('Activities'!L664,300)-MAX('Activities'!K664,294))</x:f>
        <x:v>0</x:v>
      </x:c>
      <x:c r="BC664" s="22" t="n">
        <x:f>MAX(0,MIN('Activities'!L664,306)-MAX('Activities'!K664,300))</x:f>
        <x:v>0</x:v>
      </x:c>
      <x:c r="BD664" s="22" t="n">
        <x:f>MAX(0,MIN('Activities'!L664,312)-MAX('Activities'!K664,306))</x:f>
        <x:v>0</x:v>
      </x:c>
      <x:c r="BE664" s="22" t="n">
        <x:f>MAX(0,MIN('Activities'!L664,318)-MAX('Activities'!K664,312))</x:f>
        <x:v>0</x:v>
      </x:c>
      <x:c r="BF664" s="22" t="n">
        <x:f>MAX(0,MIN('Activities'!L664,324)-MAX('Activities'!K664,318))</x:f>
        <x:v>0</x:v>
      </x:c>
      <x:c r="BG664" s="22" t="n">
        <x:f>MAX(0,MIN('Activities'!L664,330)-MAX('Activities'!K664,324))</x:f>
        <x:v>0</x:v>
      </x:c>
      <x:c r="BH664" s="22" t="n">
        <x:f>MAX(0,MIN('Activities'!L664,336)-MAX('Activities'!K664,330))</x:f>
        <x:v>0</x:v>
      </x:c>
      <x:c r="BI664" s="22" t="n">
        <x:f>MAX(0,MIN('Activities'!L664,342)-MAX('Activities'!K664,336))</x:f>
        <x:v>0</x:v>
      </x:c>
      <x:c r="BJ664" s="22" t="n">
        <x:f>MAX(0,MIN('Activities'!L664,348)-MAX('Activities'!K664,342))</x:f>
        <x:v>0</x:v>
      </x:c>
      <x:c r="BK664" s="22" t="n">
        <x:f>MAX(0,MIN('Activities'!L664,354)-MAX('Activities'!K664,348))</x:f>
        <x:v>0</x:v>
      </x:c>
      <x:c r="BL664" s="22" t="n">
        <x:f>MAX(0,MIN('Activities'!L664,360)-MAX('Activities'!K664,354))</x:f>
        <x:v>0</x:v>
      </x:c>
      <x:c r="BM664" s="22" t="n">
        <x:f>MAX(0,MIN('Activities'!L664,366)-MAX('Activities'!K664,360))</x:f>
        <x:v>0</x:v>
      </x:c>
      <x:c r="BN664" s="22" t="n">
        <x:f>MAX(0,MIN('Activities'!L664,372)-MAX('Activities'!K664,366))</x:f>
        <x:v>0</x:v>
      </x:c>
      <x:c r="BO664" s="22" t="n">
        <x:f>MAX(0,MIN('Activities'!L664,378)-MAX('Activities'!K664,372))</x:f>
        <x:v>0</x:v>
      </x:c>
      <x:c r="BP664" s="22" t="n">
        <x:f>MAX(0,MIN('Activities'!L664,384)-MAX('Activities'!K664,378))</x:f>
        <x:v>0</x:v>
      </x:c>
      <x:c r="BQ664" s="22" t="n">
        <x:f>MAX(0,MIN('Activities'!L664,390)-MAX('Activities'!K664,384))</x:f>
        <x:v>0</x:v>
      </x:c>
      <x:c r="BR664" s="22" t="n">
        <x:f>MAX(0,MIN('Activities'!L664,396)-MAX('Activities'!K664,390))</x:f>
        <x:v>0</x:v>
      </x:c>
      <x:c r="BS664" s="22" t="n">
        <x:f>MAX(0,MIN('Activities'!L664,402)-MAX('Activities'!K664,396))</x:f>
        <x:v>0</x:v>
      </x:c>
      <x:c r="BT664" s="22" t="n">
        <x:f>MAX(0,MIN('Activities'!L664,408)-MAX('Activities'!K664,402))</x:f>
        <x:v>0</x:v>
      </x:c>
      <x:c r="BU664" s="22" t="n">
        <x:f>MAX(0,MIN('Activities'!L664,414)-MAX('Activities'!K664,408))</x:f>
        <x:v>0</x:v>
      </x:c>
      <x:c r="BV664" s="22" t="n">
        <x:f>MAX(0,MIN('Activities'!L664,420)-MAX('Activities'!K664,414))</x:f>
        <x:v>0</x:v>
      </x:c>
      <x:c r="BW664" s="22" t="n">
        <x:f>MAX(0,MIN('Activities'!L664,426)-MAX('Activities'!K664,420))</x:f>
        <x:v>0</x:v>
      </x:c>
      <x:c r="BX664" s="22" t="n">
        <x:f>MAX(0,MIN('Activities'!L664,432)-MAX('Activities'!K664,426))</x:f>
        <x:v>3</x:v>
      </x:c>
      <x:c r="BY664" s="22" t="n">
        <x:f>MAX(0,MIN('Activities'!L664,438)-MAX('Activities'!K664,432))</x:f>
        <x:v>3</x:v>
      </x:c>
      <x:c r="BZ664" s="22" t="n">
        <x:f>MAX(0,MIN('Activities'!L664,444)-MAX('Activities'!K664,438))</x:f>
        <x:v>0</x:v>
      </x:c>
      <x:c r="CA664" s="22" t="n">
        <x:f>MAX(0,MIN('Activities'!L664,450)-MAX('Activities'!K664,444))</x:f>
        <x:v>0</x:v>
      </x:c>
      <x:c r="CB664" s="22" t="n">
        <x:f>MAX(0,MIN('Activities'!L664,456)-MAX('Activities'!K664,450))</x:f>
        <x:v>0</x:v>
      </x:c>
      <x:c r="CC664" s="22" t="n">
        <x:f>MAX(0,MIN('Activities'!L664,462)-MAX('Activities'!K664,456))</x:f>
        <x:v>0</x:v>
      </x:c>
      <x:c r="CD664" s="22" t="n">
        <x:f>MAX(0,MIN('Activities'!L664,468)-MAX('Activities'!K664,462))</x:f>
        <x:v>0</x:v>
      </x:c>
      <x:c r="CE664" s="22" t="n">
        <x:f>MAX(0,MIN('Activities'!L664,474)-MAX('Activities'!K664,468))</x:f>
        <x:v>0</x:v>
      </x:c>
      <x:c r="CF664" s="22" t="n">
        <x:f>MAX(0,MIN('Activities'!L664,480)-MAX('Activities'!K664,474))</x:f>
        <x:v>0</x:v>
      </x:c>
      <x:c r="CG664" s="22" t="n">
        <x:f>MAX(0,MIN('Activities'!L664,486)-MAX('Activities'!K664,480))</x:f>
        <x:v>0</x:v>
      </x:c>
      <x:c r="CH664" s="22" t="n">
        <x:f>MAX(0,MIN('Activities'!L664,492)-MAX('Activities'!K664,486))</x:f>
        <x:v>0</x:v>
      </x:c>
      <x:c r="CI664" s="22" t="n">
        <x:f>MAX(0,MIN('Activities'!L664,498)-MAX('Activities'!K664,492))</x:f>
        <x:v>0</x:v>
      </x:c>
      <x:c r="CJ664" s="22" t="n">
        <x:f>MAX(0,MIN('Activities'!L664,504)-MAX('Activities'!K664,498))</x:f>
        <x:v>0</x:v>
      </x:c>
      <x:c r="CK664" s="22" t="n">
        <x:f>MAX(0,MIN('Activities'!L664,510)-MAX('Activities'!K664,504))</x:f>
        <x:v>0</x:v>
      </x:c>
      <x:c r="CL664" s="22" t="n">
        <x:f>MAX(0,MIN('Activities'!L664,516)-MAX('Activities'!K664,510))</x:f>
        <x:v>0</x:v>
      </x:c>
      <x:c r="CM664" s="22" t="n">
        <x:f>MAX(0,MIN('Activities'!L664,522)-MAX('Activities'!K664,516))</x:f>
        <x:v>0</x:v>
      </x:c>
      <x:c r="CN664" s="22" t="n">
        <x:f>MAX(0,MIN('Activities'!L664,528)-MAX('Activities'!K664,522))</x:f>
        <x:v>0</x:v>
      </x:c>
      <x:c r="CO664" s="22" t="n">
        <x:f>MAX(0,MIN('Activities'!L664,534)-MAX('Activities'!K664,528))</x:f>
        <x:v>0</x:v>
      </x:c>
      <x:c r="CP664" s="22" t="n">
        <x:f>MAX(0,MIN('Activities'!L664,540)-MAX('Activities'!K664,534))</x:f>
        <x:v>0</x:v>
      </x:c>
      <x:c r="CQ664" s="22" t="n">
        <x:f>MAX(0,MIN('Activities'!L664,546)-MAX('Activities'!K664,540))</x:f>
        <x:v>0</x:v>
      </x:c>
      <x:c r="CR664" s="22" t="n">
        <x:f>MAX(0,MIN('Activities'!L664,552)-MAX('Activities'!K664,546))</x:f>
        <x:v>0</x:v>
      </x:c>
      <x:c r="CS664" s="22" t="n">
        <x:f>MAX(0,MIN('Activities'!L664,558)-MAX('Activities'!K664,552))</x:f>
        <x:v>0</x:v>
      </x:c>
      <x:c r="CT664" s="22" t="n">
        <x:f>MAX(0,MIN('Activities'!L664,564)-MAX('Activities'!K664,558))</x:f>
        <x:v>0</x:v>
      </x:c>
      <x:c r="CU664" s="22" t="n">
        <x:f>MAX(0,MIN('Activities'!L664,570)-MAX('Activities'!K664,564))</x:f>
        <x:v>0</x:v>
      </x:c>
      <x:c r="CV664" s="22" t="n">
        <x:f>MAX(0,MIN('Activities'!L664,576)-MAX('Activities'!K664,570))</x:f>
        <x:v>0</x:v>
      </x:c>
      <x:c r="CW664" s="22" t="n">
        <x:f>MAX(0,MIN('Activities'!L664,582)-MAX('Activities'!K664,576))</x:f>
        <x:v>0</x:v>
      </x:c>
      <x:c r="CX664" s="22" t="n">
        <x:f>MAX(0,MIN('Activities'!L664,588)-MAX('Activities'!K664,582))</x:f>
        <x:v>0</x:v>
      </x:c>
      <x:c r="CY664" s="22" t="n">
        <x:f>MAX(0,MIN('Activities'!L664,594)-MAX('Activities'!K664,588))</x:f>
        <x:v>0</x:v>
      </x:c>
      <x:c r="CZ664" s="22" t="n">
        <x:f>MAX(0,MIN('Activities'!L664,600)-MAX('Activities'!K664,594))</x:f>
        <x:v>0</x:v>
      </x:c>
      <x:c r="DA664" s="22" t="n">
        <x:f>MAX(0,MIN('Activities'!L664,606)-MAX('Activities'!K664,600))</x:f>
        <x:v>0</x:v>
      </x:c>
      <x:c r="DB664" s="22" t="n">
        <x:f>MAX(0,MIN('Activities'!L664,612)-MAX('Activities'!K664,606))</x:f>
        <x:v>0</x:v>
      </x:c>
      <x:c r="DC664" s="22" t="n">
        <x:f>MAX(0,MIN('Activities'!L664,618)-MAX('Activities'!K664,612))</x:f>
        <x:v>0</x:v>
      </x:c>
      <x:c r="DD664" s="22" t="n">
        <x:f>MAX(0,MIN('Activities'!L664,624)-MAX('Activities'!K664,618))</x:f>
        <x:v>0</x:v>
      </x:c>
      <x:c r="DE664" s="22" t="n">
        <x:f>MAX(0,MIN('Activities'!L664,630)-MAX('Activities'!K664,624))</x:f>
        <x:v>0</x:v>
      </x:c>
      <x:c r="DF664" s="22" t="n">
        <x:f>MAX(0,MIN('Activities'!L664,636)-MAX('Activities'!K664,630))</x:f>
        <x:v>0</x:v>
      </x:c>
    </x:row>
    <x:row r="665" ht="23" customHeight="1">
      <x:c r="A665" s="1" t="str">
        <x:v>T5-L10-S</x:v>
      </x:c>
      <x:c r="B665" s="1" t="str">
        <x:v>T5</x:v>
      </x:c>
      <x:c r="C665" s="1" t="str">
        <x:v>Screed and substrate preparation</x:v>
      </x:c>
      <x:c r="D665" s="1" t="str">
        <x:v>Finishes</x:v>
      </x:c>
      <x:c r="E665" s="23" t="n">
        <x:f>MAX(0,MIN('Activities'!L665,6)-MAX('Activities'!K665,0))</x:f>
        <x:v>0</x:v>
      </x:c>
      <x:c r="F665" s="23" t="n">
        <x:f>MAX(0,MIN('Activities'!L665,12)-MAX('Activities'!K665,6))</x:f>
        <x:v>0</x:v>
      </x:c>
      <x:c r="G665" s="23" t="n">
        <x:f>MAX(0,MIN('Activities'!L665,18)-MAX('Activities'!K665,12))</x:f>
        <x:v>0</x:v>
      </x:c>
      <x:c r="H665" s="23" t="n">
        <x:f>MAX(0,MIN('Activities'!L665,24)-MAX('Activities'!K665,18))</x:f>
        <x:v>0</x:v>
      </x:c>
      <x:c r="I665" s="23" t="n">
        <x:f>MAX(0,MIN('Activities'!L665,30)-MAX('Activities'!K665,24))</x:f>
        <x:v>0</x:v>
      </x:c>
      <x:c r="J665" s="23" t="n">
        <x:f>MAX(0,MIN('Activities'!L665,36)-MAX('Activities'!K665,30))</x:f>
        <x:v>0</x:v>
      </x:c>
      <x:c r="K665" s="23" t="n">
        <x:f>MAX(0,MIN('Activities'!L665,42)-MAX('Activities'!K665,36))</x:f>
        <x:v>0</x:v>
      </x:c>
      <x:c r="L665" s="23" t="n">
        <x:f>MAX(0,MIN('Activities'!L665,48)-MAX('Activities'!K665,42))</x:f>
        <x:v>0</x:v>
      </x:c>
      <x:c r="M665" s="23" t="n">
        <x:f>MAX(0,MIN('Activities'!L665,54)-MAX('Activities'!K665,48))</x:f>
        <x:v>0</x:v>
      </x:c>
      <x:c r="N665" s="23" t="n">
        <x:f>MAX(0,MIN('Activities'!L665,60)-MAX('Activities'!K665,54))</x:f>
        <x:v>0</x:v>
      </x:c>
      <x:c r="O665" s="23" t="n">
        <x:f>MAX(0,MIN('Activities'!L665,66)-MAX('Activities'!K665,60))</x:f>
        <x:v>0</x:v>
      </x:c>
      <x:c r="P665" s="23" t="n">
        <x:f>MAX(0,MIN('Activities'!L665,72)-MAX('Activities'!K665,66))</x:f>
        <x:v>0</x:v>
      </x:c>
      <x:c r="Q665" s="23" t="n">
        <x:f>MAX(0,MIN('Activities'!L665,78)-MAX('Activities'!K665,72))</x:f>
        <x:v>0</x:v>
      </x:c>
      <x:c r="R665" s="23" t="n">
        <x:f>MAX(0,MIN('Activities'!L665,84)-MAX('Activities'!K665,78))</x:f>
        <x:v>0</x:v>
      </x:c>
      <x:c r="S665" s="23" t="n">
        <x:f>MAX(0,MIN('Activities'!L665,90)-MAX('Activities'!K665,84))</x:f>
        <x:v>0</x:v>
      </x:c>
      <x:c r="T665" s="23" t="n">
        <x:f>MAX(0,MIN('Activities'!L665,96)-MAX('Activities'!K665,90))</x:f>
        <x:v>0</x:v>
      </x:c>
      <x:c r="U665" s="23" t="n">
        <x:f>MAX(0,MIN('Activities'!L665,102)-MAX('Activities'!K665,96))</x:f>
        <x:v>0</x:v>
      </x:c>
      <x:c r="V665" s="23" t="n">
        <x:f>MAX(0,MIN('Activities'!L665,108)-MAX('Activities'!K665,102))</x:f>
        <x:v>0</x:v>
      </x:c>
      <x:c r="W665" s="23" t="n">
        <x:f>MAX(0,MIN('Activities'!L665,114)-MAX('Activities'!K665,108))</x:f>
        <x:v>0</x:v>
      </x:c>
      <x:c r="X665" s="23" t="n">
        <x:f>MAX(0,MIN('Activities'!L665,120)-MAX('Activities'!K665,114))</x:f>
        <x:v>0</x:v>
      </x:c>
      <x:c r="Y665" s="23" t="n">
        <x:f>MAX(0,MIN('Activities'!L665,126)-MAX('Activities'!K665,120))</x:f>
        <x:v>0</x:v>
      </x:c>
      <x:c r="Z665" s="23" t="n">
        <x:f>MAX(0,MIN('Activities'!L665,132)-MAX('Activities'!K665,126))</x:f>
        <x:v>0</x:v>
      </x:c>
      <x:c r="AA665" s="23" t="n">
        <x:f>MAX(0,MIN('Activities'!L665,138)-MAX('Activities'!K665,132))</x:f>
        <x:v>0</x:v>
      </x:c>
      <x:c r="AB665" s="23" t="n">
        <x:f>MAX(0,MIN('Activities'!L665,144)-MAX('Activities'!K665,138))</x:f>
        <x:v>0</x:v>
      </x:c>
      <x:c r="AC665" s="23" t="n">
        <x:f>MAX(0,MIN('Activities'!L665,150)-MAX('Activities'!K665,144))</x:f>
        <x:v>0</x:v>
      </x:c>
      <x:c r="AD665" s="23" t="n">
        <x:f>MAX(0,MIN('Activities'!L665,156)-MAX('Activities'!K665,150))</x:f>
        <x:v>0</x:v>
      </x:c>
      <x:c r="AE665" s="23" t="n">
        <x:f>MAX(0,MIN('Activities'!L665,162)-MAX('Activities'!K665,156))</x:f>
        <x:v>0</x:v>
      </x:c>
      <x:c r="AF665" s="23" t="n">
        <x:f>MAX(0,MIN('Activities'!L665,168)-MAX('Activities'!K665,162))</x:f>
        <x:v>0</x:v>
      </x:c>
      <x:c r="AG665" s="23" t="n">
        <x:f>MAX(0,MIN('Activities'!L665,174)-MAX('Activities'!K665,168))</x:f>
        <x:v>0</x:v>
      </x:c>
      <x:c r="AH665" s="23" t="n">
        <x:f>MAX(0,MIN('Activities'!L665,180)-MAX('Activities'!K665,174))</x:f>
        <x:v>0</x:v>
      </x:c>
      <x:c r="AI665" s="23" t="n">
        <x:f>MAX(0,MIN('Activities'!L665,186)-MAX('Activities'!K665,180))</x:f>
        <x:v>0</x:v>
      </x:c>
      <x:c r="AJ665" s="23" t="n">
        <x:f>MAX(0,MIN('Activities'!L665,192)-MAX('Activities'!K665,186))</x:f>
        <x:v>0</x:v>
      </x:c>
      <x:c r="AK665" s="23" t="n">
        <x:f>MAX(0,MIN('Activities'!L665,198)-MAX('Activities'!K665,192))</x:f>
        <x:v>0</x:v>
      </x:c>
      <x:c r="AL665" s="23" t="n">
        <x:f>MAX(0,MIN('Activities'!L665,204)-MAX('Activities'!K665,198))</x:f>
        <x:v>0</x:v>
      </x:c>
      <x:c r="AM665" s="23" t="n">
        <x:f>MAX(0,MIN('Activities'!L665,210)-MAX('Activities'!K665,204))</x:f>
        <x:v>0</x:v>
      </x:c>
      <x:c r="AN665" s="23" t="n">
        <x:f>MAX(0,MIN('Activities'!L665,216)-MAX('Activities'!K665,210))</x:f>
        <x:v>0</x:v>
      </x:c>
      <x:c r="AO665" s="23" t="n">
        <x:f>MAX(0,MIN('Activities'!L665,222)-MAX('Activities'!K665,216))</x:f>
        <x:v>0</x:v>
      </x:c>
      <x:c r="AP665" s="23" t="n">
        <x:f>MAX(0,MIN('Activities'!L665,228)-MAX('Activities'!K665,222))</x:f>
        <x:v>0</x:v>
      </x:c>
      <x:c r="AQ665" s="23" t="n">
        <x:f>MAX(0,MIN('Activities'!L665,234)-MAX('Activities'!K665,228))</x:f>
        <x:v>0</x:v>
      </x:c>
      <x:c r="AR665" s="23" t="n">
        <x:f>MAX(0,MIN('Activities'!L665,240)-MAX('Activities'!K665,234))</x:f>
        <x:v>0</x:v>
      </x:c>
      <x:c r="AS665" s="23" t="n">
        <x:f>MAX(0,MIN('Activities'!L665,246)-MAX('Activities'!K665,240))</x:f>
        <x:v>0</x:v>
      </x:c>
      <x:c r="AT665" s="23" t="n">
        <x:f>MAX(0,MIN('Activities'!L665,252)-MAX('Activities'!K665,246))</x:f>
        <x:v>0</x:v>
      </x:c>
      <x:c r="AU665" s="23" t="n">
        <x:f>MAX(0,MIN('Activities'!L665,258)-MAX('Activities'!K665,252))</x:f>
        <x:v>0</x:v>
      </x:c>
      <x:c r="AV665" s="23" t="n">
        <x:f>MAX(0,MIN('Activities'!L665,264)-MAX('Activities'!K665,258))</x:f>
        <x:v>0</x:v>
      </x:c>
      <x:c r="AW665" s="23" t="n">
        <x:f>MAX(0,MIN('Activities'!L665,270)-MAX('Activities'!K665,264))</x:f>
        <x:v>0</x:v>
      </x:c>
      <x:c r="AX665" s="23" t="n">
        <x:f>MAX(0,MIN('Activities'!L665,276)-MAX('Activities'!K665,270))</x:f>
        <x:v>0</x:v>
      </x:c>
      <x:c r="AY665" s="23" t="n">
        <x:f>MAX(0,MIN('Activities'!L665,282)-MAX('Activities'!K665,276))</x:f>
        <x:v>0</x:v>
      </x:c>
      <x:c r="AZ665" s="23" t="n">
        <x:f>MAX(0,MIN('Activities'!L665,288)-MAX('Activities'!K665,282))</x:f>
        <x:v>0</x:v>
      </x:c>
      <x:c r="BA665" s="23" t="n">
        <x:f>MAX(0,MIN('Activities'!L665,294)-MAX('Activities'!K665,288))</x:f>
        <x:v>0</x:v>
      </x:c>
      <x:c r="BB665" s="23" t="n">
        <x:f>MAX(0,MIN('Activities'!L665,300)-MAX('Activities'!K665,294))</x:f>
        <x:v>0</x:v>
      </x:c>
      <x:c r="BC665" s="23" t="n">
        <x:f>MAX(0,MIN('Activities'!L665,306)-MAX('Activities'!K665,300))</x:f>
        <x:v>0</x:v>
      </x:c>
      <x:c r="BD665" s="23" t="n">
        <x:f>MAX(0,MIN('Activities'!L665,312)-MAX('Activities'!K665,306))</x:f>
        <x:v>0</x:v>
      </x:c>
      <x:c r="BE665" s="23" t="n">
        <x:f>MAX(0,MIN('Activities'!L665,318)-MAX('Activities'!K665,312))</x:f>
        <x:v>0</x:v>
      </x:c>
      <x:c r="BF665" s="23" t="n">
        <x:f>MAX(0,MIN('Activities'!L665,324)-MAX('Activities'!K665,318))</x:f>
        <x:v>0</x:v>
      </x:c>
      <x:c r="BG665" s="23" t="n">
        <x:f>MAX(0,MIN('Activities'!L665,330)-MAX('Activities'!K665,324))</x:f>
        <x:v>0</x:v>
      </x:c>
      <x:c r="BH665" s="23" t="n">
        <x:f>MAX(0,MIN('Activities'!L665,336)-MAX('Activities'!K665,330))</x:f>
        <x:v>0</x:v>
      </x:c>
      <x:c r="BI665" s="23" t="n">
        <x:f>MAX(0,MIN('Activities'!L665,342)-MAX('Activities'!K665,336))</x:f>
        <x:v>0</x:v>
      </x:c>
      <x:c r="BJ665" s="23" t="n">
        <x:f>MAX(0,MIN('Activities'!L665,348)-MAX('Activities'!K665,342))</x:f>
        <x:v>0</x:v>
      </x:c>
      <x:c r="BK665" s="23" t="n">
        <x:f>MAX(0,MIN('Activities'!L665,354)-MAX('Activities'!K665,348))</x:f>
        <x:v>0</x:v>
      </x:c>
      <x:c r="BL665" s="23" t="n">
        <x:f>MAX(0,MIN('Activities'!L665,360)-MAX('Activities'!K665,354))</x:f>
        <x:v>0</x:v>
      </x:c>
      <x:c r="BM665" s="23" t="n">
        <x:f>MAX(0,MIN('Activities'!L665,366)-MAX('Activities'!K665,360))</x:f>
        <x:v>0</x:v>
      </x:c>
      <x:c r="BN665" s="23" t="n">
        <x:f>MAX(0,MIN('Activities'!L665,372)-MAX('Activities'!K665,366))</x:f>
        <x:v>0</x:v>
      </x:c>
      <x:c r="BO665" s="23" t="n">
        <x:f>MAX(0,MIN('Activities'!L665,378)-MAX('Activities'!K665,372))</x:f>
        <x:v>0</x:v>
      </x:c>
      <x:c r="BP665" s="23" t="n">
        <x:f>MAX(0,MIN('Activities'!L665,384)-MAX('Activities'!K665,378))</x:f>
        <x:v>0</x:v>
      </x:c>
      <x:c r="BQ665" s="23" t="n">
        <x:f>MAX(0,MIN('Activities'!L665,390)-MAX('Activities'!K665,384))</x:f>
        <x:v>0</x:v>
      </x:c>
      <x:c r="BR665" s="23" t="n">
        <x:f>MAX(0,MIN('Activities'!L665,396)-MAX('Activities'!K665,390))</x:f>
        <x:v>0</x:v>
      </x:c>
      <x:c r="BS665" s="23" t="n">
        <x:f>MAX(0,MIN('Activities'!L665,402)-MAX('Activities'!K665,396))</x:f>
        <x:v>0</x:v>
      </x:c>
      <x:c r="BT665" s="23" t="n">
        <x:f>MAX(0,MIN('Activities'!L665,408)-MAX('Activities'!K665,402))</x:f>
        <x:v>0</x:v>
      </x:c>
      <x:c r="BU665" s="23" t="n">
        <x:f>MAX(0,MIN('Activities'!L665,414)-MAX('Activities'!K665,408))</x:f>
        <x:v>0</x:v>
      </x:c>
      <x:c r="BV665" s="23" t="n">
        <x:f>MAX(0,MIN('Activities'!L665,420)-MAX('Activities'!K665,414))</x:f>
        <x:v>0</x:v>
      </x:c>
      <x:c r="BW665" s="23" t="n">
        <x:f>MAX(0,MIN('Activities'!L665,426)-MAX('Activities'!K665,420))</x:f>
        <x:v>0</x:v>
      </x:c>
      <x:c r="BX665" s="23" t="n">
        <x:f>MAX(0,MIN('Activities'!L665,432)-MAX('Activities'!K665,426))</x:f>
        <x:v>0</x:v>
      </x:c>
      <x:c r="BY665" s="23" t="n">
        <x:f>MAX(0,MIN('Activities'!L665,438)-MAX('Activities'!K665,432))</x:f>
        <x:v>1</x:v>
      </x:c>
      <x:c r="BZ665" s="23" t="n">
        <x:f>MAX(0,MIN('Activities'!L665,444)-MAX('Activities'!K665,438))</x:f>
        <x:v>2</x:v>
      </x:c>
      <x:c r="CA665" s="23" t="n">
        <x:f>MAX(0,MIN('Activities'!L665,450)-MAX('Activities'!K665,444))</x:f>
        <x:v>0</x:v>
      </x:c>
      <x:c r="CB665" s="23" t="n">
        <x:f>MAX(0,MIN('Activities'!L665,456)-MAX('Activities'!K665,450))</x:f>
        <x:v>0</x:v>
      </x:c>
      <x:c r="CC665" s="23" t="n">
        <x:f>MAX(0,MIN('Activities'!L665,462)-MAX('Activities'!K665,456))</x:f>
        <x:v>0</x:v>
      </x:c>
      <x:c r="CD665" s="23" t="n">
        <x:f>MAX(0,MIN('Activities'!L665,468)-MAX('Activities'!K665,462))</x:f>
        <x:v>0</x:v>
      </x:c>
      <x:c r="CE665" s="23" t="n">
        <x:f>MAX(0,MIN('Activities'!L665,474)-MAX('Activities'!K665,468))</x:f>
        <x:v>0</x:v>
      </x:c>
      <x:c r="CF665" s="23" t="n">
        <x:f>MAX(0,MIN('Activities'!L665,480)-MAX('Activities'!K665,474))</x:f>
        <x:v>0</x:v>
      </x:c>
      <x:c r="CG665" s="23" t="n">
        <x:f>MAX(0,MIN('Activities'!L665,486)-MAX('Activities'!K665,480))</x:f>
        <x:v>0</x:v>
      </x:c>
      <x:c r="CH665" s="23" t="n">
        <x:f>MAX(0,MIN('Activities'!L665,492)-MAX('Activities'!K665,486))</x:f>
        <x:v>0</x:v>
      </x:c>
      <x:c r="CI665" s="23" t="n">
        <x:f>MAX(0,MIN('Activities'!L665,498)-MAX('Activities'!K665,492))</x:f>
        <x:v>0</x:v>
      </x:c>
      <x:c r="CJ665" s="23" t="n">
        <x:f>MAX(0,MIN('Activities'!L665,504)-MAX('Activities'!K665,498))</x:f>
        <x:v>0</x:v>
      </x:c>
      <x:c r="CK665" s="23" t="n">
        <x:f>MAX(0,MIN('Activities'!L665,510)-MAX('Activities'!K665,504))</x:f>
        <x:v>0</x:v>
      </x:c>
      <x:c r="CL665" s="23" t="n">
        <x:f>MAX(0,MIN('Activities'!L665,516)-MAX('Activities'!K665,510))</x:f>
        <x:v>0</x:v>
      </x:c>
      <x:c r="CM665" s="23" t="n">
        <x:f>MAX(0,MIN('Activities'!L665,522)-MAX('Activities'!K665,516))</x:f>
        <x:v>0</x:v>
      </x:c>
      <x:c r="CN665" s="23" t="n">
        <x:f>MAX(0,MIN('Activities'!L665,528)-MAX('Activities'!K665,522))</x:f>
        <x:v>0</x:v>
      </x:c>
      <x:c r="CO665" s="23" t="n">
        <x:f>MAX(0,MIN('Activities'!L665,534)-MAX('Activities'!K665,528))</x:f>
        <x:v>0</x:v>
      </x:c>
      <x:c r="CP665" s="23" t="n">
        <x:f>MAX(0,MIN('Activities'!L665,540)-MAX('Activities'!K665,534))</x:f>
        <x:v>0</x:v>
      </x:c>
      <x:c r="CQ665" s="23" t="n">
        <x:f>MAX(0,MIN('Activities'!L665,546)-MAX('Activities'!K665,540))</x:f>
        <x:v>0</x:v>
      </x:c>
      <x:c r="CR665" s="23" t="n">
        <x:f>MAX(0,MIN('Activities'!L665,552)-MAX('Activities'!K665,546))</x:f>
        <x:v>0</x:v>
      </x:c>
      <x:c r="CS665" s="23" t="n">
        <x:f>MAX(0,MIN('Activities'!L665,558)-MAX('Activities'!K665,552))</x:f>
        <x:v>0</x:v>
      </x:c>
      <x:c r="CT665" s="23" t="n">
        <x:f>MAX(0,MIN('Activities'!L665,564)-MAX('Activities'!K665,558))</x:f>
        <x:v>0</x:v>
      </x:c>
      <x:c r="CU665" s="23" t="n">
        <x:f>MAX(0,MIN('Activities'!L665,570)-MAX('Activities'!K665,564))</x:f>
        <x:v>0</x:v>
      </x:c>
      <x:c r="CV665" s="23" t="n">
        <x:f>MAX(0,MIN('Activities'!L665,576)-MAX('Activities'!K665,570))</x:f>
        <x:v>0</x:v>
      </x:c>
      <x:c r="CW665" s="23" t="n">
        <x:f>MAX(0,MIN('Activities'!L665,582)-MAX('Activities'!K665,576))</x:f>
        <x:v>0</x:v>
      </x:c>
      <x:c r="CX665" s="23" t="n">
        <x:f>MAX(0,MIN('Activities'!L665,588)-MAX('Activities'!K665,582))</x:f>
        <x:v>0</x:v>
      </x:c>
      <x:c r="CY665" s="23" t="n">
        <x:f>MAX(0,MIN('Activities'!L665,594)-MAX('Activities'!K665,588))</x:f>
        <x:v>0</x:v>
      </x:c>
      <x:c r="CZ665" s="23" t="n">
        <x:f>MAX(0,MIN('Activities'!L665,600)-MAX('Activities'!K665,594))</x:f>
        <x:v>0</x:v>
      </x:c>
      <x:c r="DA665" s="23" t="n">
        <x:f>MAX(0,MIN('Activities'!L665,606)-MAX('Activities'!K665,600))</x:f>
        <x:v>0</x:v>
      </x:c>
      <x:c r="DB665" s="23" t="n">
        <x:f>MAX(0,MIN('Activities'!L665,612)-MAX('Activities'!K665,606))</x:f>
        <x:v>0</x:v>
      </x:c>
      <x:c r="DC665" s="23" t="n">
        <x:f>MAX(0,MIN('Activities'!L665,618)-MAX('Activities'!K665,612))</x:f>
        <x:v>0</x:v>
      </x:c>
      <x:c r="DD665" s="23" t="n">
        <x:f>MAX(0,MIN('Activities'!L665,624)-MAX('Activities'!K665,618))</x:f>
        <x:v>0</x:v>
      </x:c>
      <x:c r="DE665" s="23" t="n">
        <x:f>MAX(0,MIN('Activities'!L665,630)-MAX('Activities'!K665,624))</x:f>
        <x:v>0</x:v>
      </x:c>
      <x:c r="DF665" s="23" t="n">
        <x:f>MAX(0,MIN('Activities'!L665,636)-MAX('Activities'!K665,630))</x:f>
        <x:v>0</x:v>
      </x:c>
    </x:row>
    <x:row r="666" ht="23" customHeight="1">
      <x:c r="A666" s="6" t="str">
        <x:v>T5-L10-T</x:v>
      </x:c>
      <x:c r="B666" s="6" t="str">
        <x:v>T5</x:v>
      </x:c>
      <x:c r="C666" s="6" t="str">
        <x:v>Floor finishes and skirtings</x:v>
      </x:c>
      <x:c r="D666" s="6" t="str">
        <x:v>Finishes</x:v>
      </x:c>
      <x:c r="E666" s="22" t="n">
        <x:f>MAX(0,MIN('Activities'!L666,6)-MAX('Activities'!K666,0))</x:f>
        <x:v>0</x:v>
      </x:c>
      <x:c r="F666" s="22" t="n">
        <x:f>MAX(0,MIN('Activities'!L666,12)-MAX('Activities'!K666,6))</x:f>
        <x:v>0</x:v>
      </x:c>
      <x:c r="G666" s="22" t="n">
        <x:f>MAX(0,MIN('Activities'!L666,18)-MAX('Activities'!K666,12))</x:f>
        <x:v>0</x:v>
      </x:c>
      <x:c r="H666" s="22" t="n">
        <x:f>MAX(0,MIN('Activities'!L666,24)-MAX('Activities'!K666,18))</x:f>
        <x:v>0</x:v>
      </x:c>
      <x:c r="I666" s="22" t="n">
        <x:f>MAX(0,MIN('Activities'!L666,30)-MAX('Activities'!K666,24))</x:f>
        <x:v>0</x:v>
      </x:c>
      <x:c r="J666" s="22" t="n">
        <x:f>MAX(0,MIN('Activities'!L666,36)-MAX('Activities'!K666,30))</x:f>
        <x:v>0</x:v>
      </x:c>
      <x:c r="K666" s="22" t="n">
        <x:f>MAX(0,MIN('Activities'!L666,42)-MAX('Activities'!K666,36))</x:f>
        <x:v>0</x:v>
      </x:c>
      <x:c r="L666" s="22" t="n">
        <x:f>MAX(0,MIN('Activities'!L666,48)-MAX('Activities'!K666,42))</x:f>
        <x:v>0</x:v>
      </x:c>
      <x:c r="M666" s="22" t="n">
        <x:f>MAX(0,MIN('Activities'!L666,54)-MAX('Activities'!K666,48))</x:f>
        <x:v>0</x:v>
      </x:c>
      <x:c r="N666" s="22" t="n">
        <x:f>MAX(0,MIN('Activities'!L666,60)-MAX('Activities'!K666,54))</x:f>
        <x:v>0</x:v>
      </x:c>
      <x:c r="O666" s="22" t="n">
        <x:f>MAX(0,MIN('Activities'!L666,66)-MAX('Activities'!K666,60))</x:f>
        <x:v>0</x:v>
      </x:c>
      <x:c r="P666" s="22" t="n">
        <x:f>MAX(0,MIN('Activities'!L666,72)-MAX('Activities'!K666,66))</x:f>
        <x:v>0</x:v>
      </x:c>
      <x:c r="Q666" s="22" t="n">
        <x:f>MAX(0,MIN('Activities'!L666,78)-MAX('Activities'!K666,72))</x:f>
        <x:v>0</x:v>
      </x:c>
      <x:c r="R666" s="22" t="n">
        <x:f>MAX(0,MIN('Activities'!L666,84)-MAX('Activities'!K666,78))</x:f>
        <x:v>0</x:v>
      </x:c>
      <x:c r="S666" s="22" t="n">
        <x:f>MAX(0,MIN('Activities'!L666,90)-MAX('Activities'!K666,84))</x:f>
        <x:v>0</x:v>
      </x:c>
      <x:c r="T666" s="22" t="n">
        <x:f>MAX(0,MIN('Activities'!L666,96)-MAX('Activities'!K666,90))</x:f>
        <x:v>0</x:v>
      </x:c>
      <x:c r="U666" s="22" t="n">
        <x:f>MAX(0,MIN('Activities'!L666,102)-MAX('Activities'!K666,96))</x:f>
        <x:v>0</x:v>
      </x:c>
      <x:c r="V666" s="22" t="n">
        <x:f>MAX(0,MIN('Activities'!L666,108)-MAX('Activities'!K666,102))</x:f>
        <x:v>0</x:v>
      </x:c>
      <x:c r="W666" s="22" t="n">
        <x:f>MAX(0,MIN('Activities'!L666,114)-MAX('Activities'!K666,108))</x:f>
        <x:v>0</x:v>
      </x:c>
      <x:c r="X666" s="22" t="n">
        <x:f>MAX(0,MIN('Activities'!L666,120)-MAX('Activities'!K666,114))</x:f>
        <x:v>0</x:v>
      </x:c>
      <x:c r="Y666" s="22" t="n">
        <x:f>MAX(0,MIN('Activities'!L666,126)-MAX('Activities'!K666,120))</x:f>
        <x:v>0</x:v>
      </x:c>
      <x:c r="Z666" s="22" t="n">
        <x:f>MAX(0,MIN('Activities'!L666,132)-MAX('Activities'!K666,126))</x:f>
        <x:v>0</x:v>
      </x:c>
      <x:c r="AA666" s="22" t="n">
        <x:f>MAX(0,MIN('Activities'!L666,138)-MAX('Activities'!K666,132))</x:f>
        <x:v>0</x:v>
      </x:c>
      <x:c r="AB666" s="22" t="n">
        <x:f>MAX(0,MIN('Activities'!L666,144)-MAX('Activities'!K666,138))</x:f>
        <x:v>0</x:v>
      </x:c>
      <x:c r="AC666" s="22" t="n">
        <x:f>MAX(0,MIN('Activities'!L666,150)-MAX('Activities'!K666,144))</x:f>
        <x:v>0</x:v>
      </x:c>
      <x:c r="AD666" s="22" t="n">
        <x:f>MAX(0,MIN('Activities'!L666,156)-MAX('Activities'!K666,150))</x:f>
        <x:v>0</x:v>
      </x:c>
      <x:c r="AE666" s="22" t="n">
        <x:f>MAX(0,MIN('Activities'!L666,162)-MAX('Activities'!K666,156))</x:f>
        <x:v>0</x:v>
      </x:c>
      <x:c r="AF666" s="22" t="n">
        <x:f>MAX(0,MIN('Activities'!L666,168)-MAX('Activities'!K666,162))</x:f>
        <x:v>0</x:v>
      </x:c>
      <x:c r="AG666" s="22" t="n">
        <x:f>MAX(0,MIN('Activities'!L666,174)-MAX('Activities'!K666,168))</x:f>
        <x:v>0</x:v>
      </x:c>
      <x:c r="AH666" s="22" t="n">
        <x:f>MAX(0,MIN('Activities'!L666,180)-MAX('Activities'!K666,174))</x:f>
        <x:v>0</x:v>
      </x:c>
      <x:c r="AI666" s="22" t="n">
        <x:f>MAX(0,MIN('Activities'!L666,186)-MAX('Activities'!K666,180))</x:f>
        <x:v>0</x:v>
      </x:c>
      <x:c r="AJ666" s="22" t="n">
        <x:f>MAX(0,MIN('Activities'!L666,192)-MAX('Activities'!K666,186))</x:f>
        <x:v>0</x:v>
      </x:c>
      <x:c r="AK666" s="22" t="n">
        <x:f>MAX(0,MIN('Activities'!L666,198)-MAX('Activities'!K666,192))</x:f>
        <x:v>0</x:v>
      </x:c>
      <x:c r="AL666" s="22" t="n">
        <x:f>MAX(0,MIN('Activities'!L666,204)-MAX('Activities'!K666,198))</x:f>
        <x:v>0</x:v>
      </x:c>
      <x:c r="AM666" s="22" t="n">
        <x:f>MAX(0,MIN('Activities'!L666,210)-MAX('Activities'!K666,204))</x:f>
        <x:v>0</x:v>
      </x:c>
      <x:c r="AN666" s="22" t="n">
        <x:f>MAX(0,MIN('Activities'!L666,216)-MAX('Activities'!K666,210))</x:f>
        <x:v>0</x:v>
      </x:c>
      <x:c r="AO666" s="22" t="n">
        <x:f>MAX(0,MIN('Activities'!L666,222)-MAX('Activities'!K666,216))</x:f>
        <x:v>0</x:v>
      </x:c>
      <x:c r="AP666" s="22" t="n">
        <x:f>MAX(0,MIN('Activities'!L666,228)-MAX('Activities'!K666,222))</x:f>
        <x:v>0</x:v>
      </x:c>
      <x:c r="AQ666" s="22" t="n">
        <x:f>MAX(0,MIN('Activities'!L666,234)-MAX('Activities'!K666,228))</x:f>
        <x:v>0</x:v>
      </x:c>
      <x:c r="AR666" s="22" t="n">
        <x:f>MAX(0,MIN('Activities'!L666,240)-MAX('Activities'!K666,234))</x:f>
        <x:v>0</x:v>
      </x:c>
      <x:c r="AS666" s="22" t="n">
        <x:f>MAX(0,MIN('Activities'!L666,246)-MAX('Activities'!K666,240))</x:f>
        <x:v>0</x:v>
      </x:c>
      <x:c r="AT666" s="22" t="n">
        <x:f>MAX(0,MIN('Activities'!L666,252)-MAX('Activities'!K666,246))</x:f>
        <x:v>0</x:v>
      </x:c>
      <x:c r="AU666" s="22" t="n">
        <x:f>MAX(0,MIN('Activities'!L666,258)-MAX('Activities'!K666,252))</x:f>
        <x:v>0</x:v>
      </x:c>
      <x:c r="AV666" s="22" t="n">
        <x:f>MAX(0,MIN('Activities'!L666,264)-MAX('Activities'!K666,258))</x:f>
        <x:v>0</x:v>
      </x:c>
      <x:c r="AW666" s="22" t="n">
        <x:f>MAX(0,MIN('Activities'!L666,270)-MAX('Activities'!K666,264))</x:f>
        <x:v>0</x:v>
      </x:c>
      <x:c r="AX666" s="22" t="n">
        <x:f>MAX(0,MIN('Activities'!L666,276)-MAX('Activities'!K666,270))</x:f>
        <x:v>0</x:v>
      </x:c>
      <x:c r="AY666" s="22" t="n">
        <x:f>MAX(0,MIN('Activities'!L666,282)-MAX('Activities'!K666,276))</x:f>
        <x:v>0</x:v>
      </x:c>
      <x:c r="AZ666" s="22" t="n">
        <x:f>MAX(0,MIN('Activities'!L666,288)-MAX('Activities'!K666,282))</x:f>
        <x:v>0</x:v>
      </x:c>
      <x:c r="BA666" s="22" t="n">
        <x:f>MAX(0,MIN('Activities'!L666,294)-MAX('Activities'!K666,288))</x:f>
        <x:v>0</x:v>
      </x:c>
      <x:c r="BB666" s="22" t="n">
        <x:f>MAX(0,MIN('Activities'!L666,300)-MAX('Activities'!K666,294))</x:f>
        <x:v>0</x:v>
      </x:c>
      <x:c r="BC666" s="22" t="n">
        <x:f>MAX(0,MIN('Activities'!L666,306)-MAX('Activities'!K666,300))</x:f>
        <x:v>0</x:v>
      </x:c>
      <x:c r="BD666" s="22" t="n">
        <x:f>MAX(0,MIN('Activities'!L666,312)-MAX('Activities'!K666,306))</x:f>
        <x:v>0</x:v>
      </x:c>
      <x:c r="BE666" s="22" t="n">
        <x:f>MAX(0,MIN('Activities'!L666,318)-MAX('Activities'!K666,312))</x:f>
        <x:v>0</x:v>
      </x:c>
      <x:c r="BF666" s="22" t="n">
        <x:f>MAX(0,MIN('Activities'!L666,324)-MAX('Activities'!K666,318))</x:f>
        <x:v>0</x:v>
      </x:c>
      <x:c r="BG666" s="22" t="n">
        <x:f>MAX(0,MIN('Activities'!L666,330)-MAX('Activities'!K666,324))</x:f>
        <x:v>0</x:v>
      </x:c>
      <x:c r="BH666" s="22" t="n">
        <x:f>MAX(0,MIN('Activities'!L666,336)-MAX('Activities'!K666,330))</x:f>
        <x:v>0</x:v>
      </x:c>
      <x:c r="BI666" s="22" t="n">
        <x:f>MAX(0,MIN('Activities'!L666,342)-MAX('Activities'!K666,336))</x:f>
        <x:v>0</x:v>
      </x:c>
      <x:c r="BJ666" s="22" t="n">
        <x:f>MAX(0,MIN('Activities'!L666,348)-MAX('Activities'!K666,342))</x:f>
        <x:v>0</x:v>
      </x:c>
      <x:c r="BK666" s="22" t="n">
        <x:f>MAX(0,MIN('Activities'!L666,354)-MAX('Activities'!K666,348))</x:f>
        <x:v>0</x:v>
      </x:c>
      <x:c r="BL666" s="22" t="n">
        <x:f>MAX(0,MIN('Activities'!L666,360)-MAX('Activities'!K666,354))</x:f>
        <x:v>0</x:v>
      </x:c>
      <x:c r="BM666" s="22" t="n">
        <x:f>MAX(0,MIN('Activities'!L666,366)-MAX('Activities'!K666,360))</x:f>
        <x:v>0</x:v>
      </x:c>
      <x:c r="BN666" s="22" t="n">
        <x:f>MAX(0,MIN('Activities'!L666,372)-MAX('Activities'!K666,366))</x:f>
        <x:v>0</x:v>
      </x:c>
      <x:c r="BO666" s="22" t="n">
        <x:f>MAX(0,MIN('Activities'!L666,378)-MAX('Activities'!K666,372))</x:f>
        <x:v>0</x:v>
      </x:c>
      <x:c r="BP666" s="22" t="n">
        <x:f>MAX(0,MIN('Activities'!L666,384)-MAX('Activities'!K666,378))</x:f>
        <x:v>0</x:v>
      </x:c>
      <x:c r="BQ666" s="22" t="n">
        <x:f>MAX(0,MIN('Activities'!L666,390)-MAX('Activities'!K666,384))</x:f>
        <x:v>0</x:v>
      </x:c>
      <x:c r="BR666" s="22" t="n">
        <x:f>MAX(0,MIN('Activities'!L666,396)-MAX('Activities'!K666,390))</x:f>
        <x:v>0</x:v>
      </x:c>
      <x:c r="BS666" s="22" t="n">
        <x:f>MAX(0,MIN('Activities'!L666,402)-MAX('Activities'!K666,396))</x:f>
        <x:v>0</x:v>
      </x:c>
      <x:c r="BT666" s="22" t="n">
        <x:f>MAX(0,MIN('Activities'!L666,408)-MAX('Activities'!K666,402))</x:f>
        <x:v>0</x:v>
      </x:c>
      <x:c r="BU666" s="22" t="n">
        <x:f>MAX(0,MIN('Activities'!L666,414)-MAX('Activities'!K666,408))</x:f>
        <x:v>0</x:v>
      </x:c>
      <x:c r="BV666" s="22" t="n">
        <x:f>MAX(0,MIN('Activities'!L666,420)-MAX('Activities'!K666,414))</x:f>
        <x:v>0</x:v>
      </x:c>
      <x:c r="BW666" s="22" t="n">
        <x:f>MAX(0,MIN('Activities'!L666,426)-MAX('Activities'!K666,420))</x:f>
        <x:v>0</x:v>
      </x:c>
      <x:c r="BX666" s="22" t="n">
        <x:f>MAX(0,MIN('Activities'!L666,432)-MAX('Activities'!K666,426))</x:f>
        <x:v>0</x:v>
      </x:c>
      <x:c r="BY666" s="22" t="n">
        <x:f>MAX(0,MIN('Activities'!L666,438)-MAX('Activities'!K666,432))</x:f>
        <x:v>0</x:v>
      </x:c>
      <x:c r="BZ666" s="22" t="n">
        <x:f>MAX(0,MIN('Activities'!L666,444)-MAX('Activities'!K666,438))</x:f>
        <x:v>0</x:v>
      </x:c>
      <x:c r="CA666" s="22" t="n">
        <x:f>MAX(0,MIN('Activities'!L666,450)-MAX('Activities'!K666,444))</x:f>
        <x:v>0</x:v>
      </x:c>
      <x:c r="CB666" s="22" t="n">
        <x:f>MAX(0,MIN('Activities'!L666,456)-MAX('Activities'!K666,450))</x:f>
        <x:v>2</x:v>
      </x:c>
      <x:c r="CC666" s="22" t="n">
        <x:f>MAX(0,MIN('Activities'!L666,462)-MAX('Activities'!K666,456))</x:f>
        <x:v>4</x:v>
      </x:c>
      <x:c r="CD666" s="22" t="n">
        <x:f>MAX(0,MIN('Activities'!L666,468)-MAX('Activities'!K666,462))</x:f>
        <x:v>0</x:v>
      </x:c>
      <x:c r="CE666" s="22" t="n">
        <x:f>MAX(0,MIN('Activities'!L666,474)-MAX('Activities'!K666,468))</x:f>
        <x:v>0</x:v>
      </x:c>
      <x:c r="CF666" s="22" t="n">
        <x:f>MAX(0,MIN('Activities'!L666,480)-MAX('Activities'!K666,474))</x:f>
        <x:v>0</x:v>
      </x:c>
      <x:c r="CG666" s="22" t="n">
        <x:f>MAX(0,MIN('Activities'!L666,486)-MAX('Activities'!K666,480))</x:f>
        <x:v>0</x:v>
      </x:c>
      <x:c r="CH666" s="22" t="n">
        <x:f>MAX(0,MIN('Activities'!L666,492)-MAX('Activities'!K666,486))</x:f>
        <x:v>0</x:v>
      </x:c>
      <x:c r="CI666" s="22" t="n">
        <x:f>MAX(0,MIN('Activities'!L666,498)-MAX('Activities'!K666,492))</x:f>
        <x:v>0</x:v>
      </x:c>
      <x:c r="CJ666" s="22" t="n">
        <x:f>MAX(0,MIN('Activities'!L666,504)-MAX('Activities'!K666,498))</x:f>
        <x:v>0</x:v>
      </x:c>
      <x:c r="CK666" s="22" t="n">
        <x:f>MAX(0,MIN('Activities'!L666,510)-MAX('Activities'!K666,504))</x:f>
        <x:v>0</x:v>
      </x:c>
      <x:c r="CL666" s="22" t="n">
        <x:f>MAX(0,MIN('Activities'!L666,516)-MAX('Activities'!K666,510))</x:f>
        <x:v>0</x:v>
      </x:c>
      <x:c r="CM666" s="22" t="n">
        <x:f>MAX(0,MIN('Activities'!L666,522)-MAX('Activities'!K666,516))</x:f>
        <x:v>0</x:v>
      </x:c>
      <x:c r="CN666" s="22" t="n">
        <x:f>MAX(0,MIN('Activities'!L666,528)-MAX('Activities'!K666,522))</x:f>
        <x:v>0</x:v>
      </x:c>
      <x:c r="CO666" s="22" t="n">
        <x:f>MAX(0,MIN('Activities'!L666,534)-MAX('Activities'!K666,528))</x:f>
        <x:v>0</x:v>
      </x:c>
      <x:c r="CP666" s="22" t="n">
        <x:f>MAX(0,MIN('Activities'!L666,540)-MAX('Activities'!K666,534))</x:f>
        <x:v>0</x:v>
      </x:c>
      <x:c r="CQ666" s="22" t="n">
        <x:f>MAX(0,MIN('Activities'!L666,546)-MAX('Activities'!K666,540))</x:f>
        <x:v>0</x:v>
      </x:c>
      <x:c r="CR666" s="22" t="n">
        <x:f>MAX(0,MIN('Activities'!L666,552)-MAX('Activities'!K666,546))</x:f>
        <x:v>0</x:v>
      </x:c>
      <x:c r="CS666" s="22" t="n">
        <x:f>MAX(0,MIN('Activities'!L666,558)-MAX('Activities'!K666,552))</x:f>
        <x:v>0</x:v>
      </x:c>
      <x:c r="CT666" s="22" t="n">
        <x:f>MAX(0,MIN('Activities'!L666,564)-MAX('Activities'!K666,558))</x:f>
        <x:v>0</x:v>
      </x:c>
      <x:c r="CU666" s="22" t="n">
        <x:f>MAX(0,MIN('Activities'!L666,570)-MAX('Activities'!K666,564))</x:f>
        <x:v>0</x:v>
      </x:c>
      <x:c r="CV666" s="22" t="n">
        <x:f>MAX(0,MIN('Activities'!L666,576)-MAX('Activities'!K666,570))</x:f>
        <x:v>0</x:v>
      </x:c>
      <x:c r="CW666" s="22" t="n">
        <x:f>MAX(0,MIN('Activities'!L666,582)-MAX('Activities'!K666,576))</x:f>
        <x:v>0</x:v>
      </x:c>
      <x:c r="CX666" s="22" t="n">
        <x:f>MAX(0,MIN('Activities'!L666,588)-MAX('Activities'!K666,582))</x:f>
        <x:v>0</x:v>
      </x:c>
      <x:c r="CY666" s="22" t="n">
        <x:f>MAX(0,MIN('Activities'!L666,594)-MAX('Activities'!K666,588))</x:f>
        <x:v>0</x:v>
      </x:c>
      <x:c r="CZ666" s="22" t="n">
        <x:f>MAX(0,MIN('Activities'!L666,600)-MAX('Activities'!K666,594))</x:f>
        <x:v>0</x:v>
      </x:c>
      <x:c r="DA666" s="22" t="n">
        <x:f>MAX(0,MIN('Activities'!L666,606)-MAX('Activities'!K666,600))</x:f>
        <x:v>0</x:v>
      </x:c>
      <x:c r="DB666" s="22" t="n">
        <x:f>MAX(0,MIN('Activities'!L666,612)-MAX('Activities'!K666,606))</x:f>
        <x:v>0</x:v>
      </x:c>
      <x:c r="DC666" s="22" t="n">
        <x:f>MAX(0,MIN('Activities'!L666,618)-MAX('Activities'!K666,612))</x:f>
        <x:v>0</x:v>
      </x:c>
      <x:c r="DD666" s="22" t="n">
        <x:f>MAX(0,MIN('Activities'!L666,624)-MAX('Activities'!K666,618))</x:f>
        <x:v>0</x:v>
      </x:c>
      <x:c r="DE666" s="22" t="n">
        <x:f>MAX(0,MIN('Activities'!L666,630)-MAX('Activities'!K666,624))</x:f>
        <x:v>0</x:v>
      </x:c>
      <x:c r="DF666" s="22" t="n">
        <x:f>MAX(0,MIN('Activities'!L666,636)-MAX('Activities'!K666,630))</x:f>
        <x:v>0</x:v>
      </x:c>
    </x:row>
    <x:row r="667" ht="23" customHeight="1">
      <x:c r="A667" s="1" t="str">
        <x:v>T5-L10-A</x:v>
      </x:c>
      <x:c r="B667" s="1" t="str">
        <x:v>T5</x:v>
      </x:c>
      <x:c r="C667" s="1" t="str">
        <x:v>Paint and final decorations</x:v>
      </x:c>
      <x:c r="D667" s="1" t="str">
        <x:v>Finishes</x:v>
      </x:c>
      <x:c r="E667" s="23" t="n">
        <x:f>MAX(0,MIN('Activities'!L667,6)-MAX('Activities'!K667,0))</x:f>
        <x:v>0</x:v>
      </x:c>
      <x:c r="F667" s="23" t="n">
        <x:f>MAX(0,MIN('Activities'!L667,12)-MAX('Activities'!K667,6))</x:f>
        <x:v>0</x:v>
      </x:c>
      <x:c r="G667" s="23" t="n">
        <x:f>MAX(0,MIN('Activities'!L667,18)-MAX('Activities'!K667,12))</x:f>
        <x:v>0</x:v>
      </x:c>
      <x:c r="H667" s="23" t="n">
        <x:f>MAX(0,MIN('Activities'!L667,24)-MAX('Activities'!K667,18))</x:f>
        <x:v>0</x:v>
      </x:c>
      <x:c r="I667" s="23" t="n">
        <x:f>MAX(0,MIN('Activities'!L667,30)-MAX('Activities'!K667,24))</x:f>
        <x:v>0</x:v>
      </x:c>
      <x:c r="J667" s="23" t="n">
        <x:f>MAX(0,MIN('Activities'!L667,36)-MAX('Activities'!K667,30))</x:f>
        <x:v>0</x:v>
      </x:c>
      <x:c r="K667" s="23" t="n">
        <x:f>MAX(0,MIN('Activities'!L667,42)-MAX('Activities'!K667,36))</x:f>
        <x:v>0</x:v>
      </x:c>
      <x:c r="L667" s="23" t="n">
        <x:f>MAX(0,MIN('Activities'!L667,48)-MAX('Activities'!K667,42))</x:f>
        <x:v>0</x:v>
      </x:c>
      <x:c r="M667" s="23" t="n">
        <x:f>MAX(0,MIN('Activities'!L667,54)-MAX('Activities'!K667,48))</x:f>
        <x:v>0</x:v>
      </x:c>
      <x:c r="N667" s="23" t="n">
        <x:f>MAX(0,MIN('Activities'!L667,60)-MAX('Activities'!K667,54))</x:f>
        <x:v>0</x:v>
      </x:c>
      <x:c r="O667" s="23" t="n">
        <x:f>MAX(0,MIN('Activities'!L667,66)-MAX('Activities'!K667,60))</x:f>
        <x:v>0</x:v>
      </x:c>
      <x:c r="P667" s="23" t="n">
        <x:f>MAX(0,MIN('Activities'!L667,72)-MAX('Activities'!K667,66))</x:f>
        <x:v>0</x:v>
      </x:c>
      <x:c r="Q667" s="23" t="n">
        <x:f>MAX(0,MIN('Activities'!L667,78)-MAX('Activities'!K667,72))</x:f>
        <x:v>0</x:v>
      </x:c>
      <x:c r="R667" s="23" t="n">
        <x:f>MAX(0,MIN('Activities'!L667,84)-MAX('Activities'!K667,78))</x:f>
        <x:v>0</x:v>
      </x:c>
      <x:c r="S667" s="23" t="n">
        <x:f>MAX(0,MIN('Activities'!L667,90)-MAX('Activities'!K667,84))</x:f>
        <x:v>0</x:v>
      </x:c>
      <x:c r="T667" s="23" t="n">
        <x:f>MAX(0,MIN('Activities'!L667,96)-MAX('Activities'!K667,90))</x:f>
        <x:v>0</x:v>
      </x:c>
      <x:c r="U667" s="23" t="n">
        <x:f>MAX(0,MIN('Activities'!L667,102)-MAX('Activities'!K667,96))</x:f>
        <x:v>0</x:v>
      </x:c>
      <x:c r="V667" s="23" t="n">
        <x:f>MAX(0,MIN('Activities'!L667,108)-MAX('Activities'!K667,102))</x:f>
        <x:v>0</x:v>
      </x:c>
      <x:c r="W667" s="23" t="n">
        <x:f>MAX(0,MIN('Activities'!L667,114)-MAX('Activities'!K667,108))</x:f>
        <x:v>0</x:v>
      </x:c>
      <x:c r="X667" s="23" t="n">
        <x:f>MAX(0,MIN('Activities'!L667,120)-MAX('Activities'!K667,114))</x:f>
        <x:v>0</x:v>
      </x:c>
      <x:c r="Y667" s="23" t="n">
        <x:f>MAX(0,MIN('Activities'!L667,126)-MAX('Activities'!K667,120))</x:f>
        <x:v>0</x:v>
      </x:c>
      <x:c r="Z667" s="23" t="n">
        <x:f>MAX(0,MIN('Activities'!L667,132)-MAX('Activities'!K667,126))</x:f>
        <x:v>0</x:v>
      </x:c>
      <x:c r="AA667" s="23" t="n">
        <x:f>MAX(0,MIN('Activities'!L667,138)-MAX('Activities'!K667,132))</x:f>
        <x:v>0</x:v>
      </x:c>
      <x:c r="AB667" s="23" t="n">
        <x:f>MAX(0,MIN('Activities'!L667,144)-MAX('Activities'!K667,138))</x:f>
        <x:v>0</x:v>
      </x:c>
      <x:c r="AC667" s="23" t="n">
        <x:f>MAX(0,MIN('Activities'!L667,150)-MAX('Activities'!K667,144))</x:f>
        <x:v>0</x:v>
      </x:c>
      <x:c r="AD667" s="23" t="n">
        <x:f>MAX(0,MIN('Activities'!L667,156)-MAX('Activities'!K667,150))</x:f>
        <x:v>0</x:v>
      </x:c>
      <x:c r="AE667" s="23" t="n">
        <x:f>MAX(0,MIN('Activities'!L667,162)-MAX('Activities'!K667,156))</x:f>
        <x:v>0</x:v>
      </x:c>
      <x:c r="AF667" s="23" t="n">
        <x:f>MAX(0,MIN('Activities'!L667,168)-MAX('Activities'!K667,162))</x:f>
        <x:v>0</x:v>
      </x:c>
      <x:c r="AG667" s="23" t="n">
        <x:f>MAX(0,MIN('Activities'!L667,174)-MAX('Activities'!K667,168))</x:f>
        <x:v>0</x:v>
      </x:c>
      <x:c r="AH667" s="23" t="n">
        <x:f>MAX(0,MIN('Activities'!L667,180)-MAX('Activities'!K667,174))</x:f>
        <x:v>0</x:v>
      </x:c>
      <x:c r="AI667" s="23" t="n">
        <x:f>MAX(0,MIN('Activities'!L667,186)-MAX('Activities'!K667,180))</x:f>
        <x:v>0</x:v>
      </x:c>
      <x:c r="AJ667" s="23" t="n">
        <x:f>MAX(0,MIN('Activities'!L667,192)-MAX('Activities'!K667,186))</x:f>
        <x:v>0</x:v>
      </x:c>
      <x:c r="AK667" s="23" t="n">
        <x:f>MAX(0,MIN('Activities'!L667,198)-MAX('Activities'!K667,192))</x:f>
        <x:v>0</x:v>
      </x:c>
      <x:c r="AL667" s="23" t="n">
        <x:f>MAX(0,MIN('Activities'!L667,204)-MAX('Activities'!K667,198))</x:f>
        <x:v>0</x:v>
      </x:c>
      <x:c r="AM667" s="23" t="n">
        <x:f>MAX(0,MIN('Activities'!L667,210)-MAX('Activities'!K667,204))</x:f>
        <x:v>0</x:v>
      </x:c>
      <x:c r="AN667" s="23" t="n">
        <x:f>MAX(0,MIN('Activities'!L667,216)-MAX('Activities'!K667,210))</x:f>
        <x:v>0</x:v>
      </x:c>
      <x:c r="AO667" s="23" t="n">
        <x:f>MAX(0,MIN('Activities'!L667,222)-MAX('Activities'!K667,216))</x:f>
        <x:v>0</x:v>
      </x:c>
      <x:c r="AP667" s="23" t="n">
        <x:f>MAX(0,MIN('Activities'!L667,228)-MAX('Activities'!K667,222))</x:f>
        <x:v>0</x:v>
      </x:c>
      <x:c r="AQ667" s="23" t="n">
        <x:f>MAX(0,MIN('Activities'!L667,234)-MAX('Activities'!K667,228))</x:f>
        <x:v>0</x:v>
      </x:c>
      <x:c r="AR667" s="23" t="n">
        <x:f>MAX(0,MIN('Activities'!L667,240)-MAX('Activities'!K667,234))</x:f>
        <x:v>0</x:v>
      </x:c>
      <x:c r="AS667" s="23" t="n">
        <x:f>MAX(0,MIN('Activities'!L667,246)-MAX('Activities'!K667,240))</x:f>
        <x:v>0</x:v>
      </x:c>
      <x:c r="AT667" s="23" t="n">
        <x:f>MAX(0,MIN('Activities'!L667,252)-MAX('Activities'!K667,246))</x:f>
        <x:v>0</x:v>
      </x:c>
      <x:c r="AU667" s="23" t="n">
        <x:f>MAX(0,MIN('Activities'!L667,258)-MAX('Activities'!K667,252))</x:f>
        <x:v>0</x:v>
      </x:c>
      <x:c r="AV667" s="23" t="n">
        <x:f>MAX(0,MIN('Activities'!L667,264)-MAX('Activities'!K667,258))</x:f>
        <x:v>0</x:v>
      </x:c>
      <x:c r="AW667" s="23" t="n">
        <x:f>MAX(0,MIN('Activities'!L667,270)-MAX('Activities'!K667,264))</x:f>
        <x:v>0</x:v>
      </x:c>
      <x:c r="AX667" s="23" t="n">
        <x:f>MAX(0,MIN('Activities'!L667,276)-MAX('Activities'!K667,270))</x:f>
        <x:v>0</x:v>
      </x:c>
      <x:c r="AY667" s="23" t="n">
        <x:f>MAX(0,MIN('Activities'!L667,282)-MAX('Activities'!K667,276))</x:f>
        <x:v>0</x:v>
      </x:c>
      <x:c r="AZ667" s="23" t="n">
        <x:f>MAX(0,MIN('Activities'!L667,288)-MAX('Activities'!K667,282))</x:f>
        <x:v>0</x:v>
      </x:c>
      <x:c r="BA667" s="23" t="n">
        <x:f>MAX(0,MIN('Activities'!L667,294)-MAX('Activities'!K667,288))</x:f>
        <x:v>0</x:v>
      </x:c>
      <x:c r="BB667" s="23" t="n">
        <x:f>MAX(0,MIN('Activities'!L667,300)-MAX('Activities'!K667,294))</x:f>
        <x:v>0</x:v>
      </x:c>
      <x:c r="BC667" s="23" t="n">
        <x:f>MAX(0,MIN('Activities'!L667,306)-MAX('Activities'!K667,300))</x:f>
        <x:v>0</x:v>
      </x:c>
      <x:c r="BD667" s="23" t="n">
        <x:f>MAX(0,MIN('Activities'!L667,312)-MAX('Activities'!K667,306))</x:f>
        <x:v>0</x:v>
      </x:c>
      <x:c r="BE667" s="23" t="n">
        <x:f>MAX(0,MIN('Activities'!L667,318)-MAX('Activities'!K667,312))</x:f>
        <x:v>0</x:v>
      </x:c>
      <x:c r="BF667" s="23" t="n">
        <x:f>MAX(0,MIN('Activities'!L667,324)-MAX('Activities'!K667,318))</x:f>
        <x:v>0</x:v>
      </x:c>
      <x:c r="BG667" s="23" t="n">
        <x:f>MAX(0,MIN('Activities'!L667,330)-MAX('Activities'!K667,324))</x:f>
        <x:v>0</x:v>
      </x:c>
      <x:c r="BH667" s="23" t="n">
        <x:f>MAX(0,MIN('Activities'!L667,336)-MAX('Activities'!K667,330))</x:f>
        <x:v>0</x:v>
      </x:c>
      <x:c r="BI667" s="23" t="n">
        <x:f>MAX(0,MIN('Activities'!L667,342)-MAX('Activities'!K667,336))</x:f>
        <x:v>0</x:v>
      </x:c>
      <x:c r="BJ667" s="23" t="n">
        <x:f>MAX(0,MIN('Activities'!L667,348)-MAX('Activities'!K667,342))</x:f>
        <x:v>0</x:v>
      </x:c>
      <x:c r="BK667" s="23" t="n">
        <x:f>MAX(0,MIN('Activities'!L667,354)-MAX('Activities'!K667,348))</x:f>
        <x:v>0</x:v>
      </x:c>
      <x:c r="BL667" s="23" t="n">
        <x:f>MAX(0,MIN('Activities'!L667,360)-MAX('Activities'!K667,354))</x:f>
        <x:v>0</x:v>
      </x:c>
      <x:c r="BM667" s="23" t="n">
        <x:f>MAX(0,MIN('Activities'!L667,366)-MAX('Activities'!K667,360))</x:f>
        <x:v>0</x:v>
      </x:c>
      <x:c r="BN667" s="23" t="n">
        <x:f>MAX(0,MIN('Activities'!L667,372)-MAX('Activities'!K667,366))</x:f>
        <x:v>0</x:v>
      </x:c>
      <x:c r="BO667" s="23" t="n">
        <x:f>MAX(0,MIN('Activities'!L667,378)-MAX('Activities'!K667,372))</x:f>
        <x:v>0</x:v>
      </x:c>
      <x:c r="BP667" s="23" t="n">
        <x:f>MAX(0,MIN('Activities'!L667,384)-MAX('Activities'!K667,378))</x:f>
        <x:v>0</x:v>
      </x:c>
      <x:c r="BQ667" s="23" t="n">
        <x:f>MAX(0,MIN('Activities'!L667,390)-MAX('Activities'!K667,384))</x:f>
        <x:v>0</x:v>
      </x:c>
      <x:c r="BR667" s="23" t="n">
        <x:f>MAX(0,MIN('Activities'!L667,396)-MAX('Activities'!K667,390))</x:f>
        <x:v>0</x:v>
      </x:c>
      <x:c r="BS667" s="23" t="n">
        <x:f>MAX(0,MIN('Activities'!L667,402)-MAX('Activities'!K667,396))</x:f>
        <x:v>0</x:v>
      </x:c>
      <x:c r="BT667" s="23" t="n">
        <x:f>MAX(0,MIN('Activities'!L667,408)-MAX('Activities'!K667,402))</x:f>
        <x:v>0</x:v>
      </x:c>
      <x:c r="BU667" s="23" t="n">
        <x:f>MAX(0,MIN('Activities'!L667,414)-MAX('Activities'!K667,408))</x:f>
        <x:v>0</x:v>
      </x:c>
      <x:c r="BV667" s="23" t="n">
        <x:f>MAX(0,MIN('Activities'!L667,420)-MAX('Activities'!K667,414))</x:f>
        <x:v>0</x:v>
      </x:c>
      <x:c r="BW667" s="23" t="n">
        <x:f>MAX(0,MIN('Activities'!L667,426)-MAX('Activities'!K667,420))</x:f>
        <x:v>0</x:v>
      </x:c>
      <x:c r="BX667" s="23" t="n">
        <x:f>MAX(0,MIN('Activities'!L667,432)-MAX('Activities'!K667,426))</x:f>
        <x:v>0</x:v>
      </x:c>
      <x:c r="BY667" s="23" t="n">
        <x:f>MAX(0,MIN('Activities'!L667,438)-MAX('Activities'!K667,432))</x:f>
        <x:v>0</x:v>
      </x:c>
      <x:c r="BZ667" s="23" t="n">
        <x:f>MAX(0,MIN('Activities'!L667,444)-MAX('Activities'!K667,438))</x:f>
        <x:v>0</x:v>
      </x:c>
      <x:c r="CA667" s="23" t="n">
        <x:f>MAX(0,MIN('Activities'!L667,450)-MAX('Activities'!K667,444))</x:f>
        <x:v>0</x:v>
      </x:c>
      <x:c r="CB667" s="23" t="n">
        <x:f>MAX(0,MIN('Activities'!L667,456)-MAX('Activities'!K667,450))</x:f>
        <x:v>0</x:v>
      </x:c>
      <x:c r="CC667" s="23" t="n">
        <x:f>MAX(0,MIN('Activities'!L667,462)-MAX('Activities'!K667,456))</x:f>
        <x:v>0</x:v>
      </x:c>
      <x:c r="CD667" s="23" t="n">
        <x:f>MAX(0,MIN('Activities'!L667,468)-MAX('Activities'!K667,462))</x:f>
        <x:v>5</x:v>
      </x:c>
      <x:c r="CE667" s="23" t="n">
        <x:f>MAX(0,MIN('Activities'!L667,474)-MAX('Activities'!K667,468))</x:f>
        <x:v>0</x:v>
      </x:c>
      <x:c r="CF667" s="23" t="n">
        <x:f>MAX(0,MIN('Activities'!L667,480)-MAX('Activities'!K667,474))</x:f>
        <x:v>0</x:v>
      </x:c>
      <x:c r="CG667" s="23" t="n">
        <x:f>MAX(0,MIN('Activities'!L667,486)-MAX('Activities'!K667,480))</x:f>
        <x:v>0</x:v>
      </x:c>
      <x:c r="CH667" s="23" t="n">
        <x:f>MAX(0,MIN('Activities'!L667,492)-MAX('Activities'!K667,486))</x:f>
        <x:v>0</x:v>
      </x:c>
      <x:c r="CI667" s="23" t="n">
        <x:f>MAX(0,MIN('Activities'!L667,498)-MAX('Activities'!K667,492))</x:f>
        <x:v>0</x:v>
      </x:c>
      <x:c r="CJ667" s="23" t="n">
        <x:f>MAX(0,MIN('Activities'!L667,504)-MAX('Activities'!K667,498))</x:f>
        <x:v>0</x:v>
      </x:c>
      <x:c r="CK667" s="23" t="n">
        <x:f>MAX(0,MIN('Activities'!L667,510)-MAX('Activities'!K667,504))</x:f>
        <x:v>0</x:v>
      </x:c>
      <x:c r="CL667" s="23" t="n">
        <x:f>MAX(0,MIN('Activities'!L667,516)-MAX('Activities'!K667,510))</x:f>
        <x:v>0</x:v>
      </x:c>
      <x:c r="CM667" s="23" t="n">
        <x:f>MAX(0,MIN('Activities'!L667,522)-MAX('Activities'!K667,516))</x:f>
        <x:v>0</x:v>
      </x:c>
      <x:c r="CN667" s="23" t="n">
        <x:f>MAX(0,MIN('Activities'!L667,528)-MAX('Activities'!K667,522))</x:f>
        <x:v>0</x:v>
      </x:c>
      <x:c r="CO667" s="23" t="n">
        <x:f>MAX(0,MIN('Activities'!L667,534)-MAX('Activities'!K667,528))</x:f>
        <x:v>0</x:v>
      </x:c>
      <x:c r="CP667" s="23" t="n">
        <x:f>MAX(0,MIN('Activities'!L667,540)-MAX('Activities'!K667,534))</x:f>
        <x:v>0</x:v>
      </x:c>
      <x:c r="CQ667" s="23" t="n">
        <x:f>MAX(0,MIN('Activities'!L667,546)-MAX('Activities'!K667,540))</x:f>
        <x:v>0</x:v>
      </x:c>
      <x:c r="CR667" s="23" t="n">
        <x:f>MAX(0,MIN('Activities'!L667,552)-MAX('Activities'!K667,546))</x:f>
        <x:v>0</x:v>
      </x:c>
      <x:c r="CS667" s="23" t="n">
        <x:f>MAX(0,MIN('Activities'!L667,558)-MAX('Activities'!K667,552))</x:f>
        <x:v>0</x:v>
      </x:c>
      <x:c r="CT667" s="23" t="n">
        <x:f>MAX(0,MIN('Activities'!L667,564)-MAX('Activities'!K667,558))</x:f>
        <x:v>0</x:v>
      </x:c>
      <x:c r="CU667" s="23" t="n">
        <x:f>MAX(0,MIN('Activities'!L667,570)-MAX('Activities'!K667,564))</x:f>
        <x:v>0</x:v>
      </x:c>
      <x:c r="CV667" s="23" t="n">
        <x:f>MAX(0,MIN('Activities'!L667,576)-MAX('Activities'!K667,570))</x:f>
        <x:v>0</x:v>
      </x:c>
      <x:c r="CW667" s="23" t="n">
        <x:f>MAX(0,MIN('Activities'!L667,582)-MAX('Activities'!K667,576))</x:f>
        <x:v>0</x:v>
      </x:c>
      <x:c r="CX667" s="23" t="n">
        <x:f>MAX(0,MIN('Activities'!L667,588)-MAX('Activities'!K667,582))</x:f>
        <x:v>0</x:v>
      </x:c>
      <x:c r="CY667" s="23" t="n">
        <x:f>MAX(0,MIN('Activities'!L667,594)-MAX('Activities'!K667,588))</x:f>
        <x:v>0</x:v>
      </x:c>
      <x:c r="CZ667" s="23" t="n">
        <x:f>MAX(0,MIN('Activities'!L667,600)-MAX('Activities'!K667,594))</x:f>
        <x:v>0</x:v>
      </x:c>
      <x:c r="DA667" s="23" t="n">
        <x:f>MAX(0,MIN('Activities'!L667,606)-MAX('Activities'!K667,600))</x:f>
        <x:v>0</x:v>
      </x:c>
      <x:c r="DB667" s="23" t="n">
        <x:f>MAX(0,MIN('Activities'!L667,612)-MAX('Activities'!K667,606))</x:f>
        <x:v>0</x:v>
      </x:c>
      <x:c r="DC667" s="23" t="n">
        <x:f>MAX(0,MIN('Activities'!L667,618)-MAX('Activities'!K667,612))</x:f>
        <x:v>0</x:v>
      </x:c>
      <x:c r="DD667" s="23" t="n">
        <x:f>MAX(0,MIN('Activities'!L667,624)-MAX('Activities'!K667,618))</x:f>
        <x:v>0</x:v>
      </x:c>
      <x:c r="DE667" s="23" t="n">
        <x:f>MAX(0,MIN('Activities'!L667,630)-MAX('Activities'!K667,624))</x:f>
        <x:v>0</x:v>
      </x:c>
      <x:c r="DF667" s="23" t="n">
        <x:f>MAX(0,MIN('Activities'!L667,636)-MAX('Activities'!K667,630))</x:f>
        <x:v>0</x:v>
      </x:c>
    </x:row>
    <x:row r="668" ht="23" customHeight="1">
      <x:c r="A668" s="6" t="str">
        <x:v>T5-L10-D</x:v>
      </x:c>
      <x:c r="B668" s="6" t="str">
        <x:v>T5</x:v>
      </x:c>
      <x:c r="C668" s="6" t="str">
        <x:v>Door sets and ironmongery</x:v>
      </x:c>
      <x:c r="D668" s="6" t="str">
        <x:v>Finishes</x:v>
      </x:c>
      <x:c r="E668" s="22" t="n">
        <x:f>MAX(0,MIN('Activities'!L668,6)-MAX('Activities'!K668,0))</x:f>
        <x:v>0</x:v>
      </x:c>
      <x:c r="F668" s="22" t="n">
        <x:f>MAX(0,MIN('Activities'!L668,12)-MAX('Activities'!K668,6))</x:f>
        <x:v>0</x:v>
      </x:c>
      <x:c r="G668" s="22" t="n">
        <x:f>MAX(0,MIN('Activities'!L668,18)-MAX('Activities'!K668,12))</x:f>
        <x:v>0</x:v>
      </x:c>
      <x:c r="H668" s="22" t="n">
        <x:f>MAX(0,MIN('Activities'!L668,24)-MAX('Activities'!K668,18))</x:f>
        <x:v>0</x:v>
      </x:c>
      <x:c r="I668" s="22" t="n">
        <x:f>MAX(0,MIN('Activities'!L668,30)-MAX('Activities'!K668,24))</x:f>
        <x:v>0</x:v>
      </x:c>
      <x:c r="J668" s="22" t="n">
        <x:f>MAX(0,MIN('Activities'!L668,36)-MAX('Activities'!K668,30))</x:f>
        <x:v>0</x:v>
      </x:c>
      <x:c r="K668" s="22" t="n">
        <x:f>MAX(0,MIN('Activities'!L668,42)-MAX('Activities'!K668,36))</x:f>
        <x:v>0</x:v>
      </x:c>
      <x:c r="L668" s="22" t="n">
        <x:f>MAX(0,MIN('Activities'!L668,48)-MAX('Activities'!K668,42))</x:f>
        <x:v>0</x:v>
      </x:c>
      <x:c r="M668" s="22" t="n">
        <x:f>MAX(0,MIN('Activities'!L668,54)-MAX('Activities'!K668,48))</x:f>
        <x:v>0</x:v>
      </x:c>
      <x:c r="N668" s="22" t="n">
        <x:f>MAX(0,MIN('Activities'!L668,60)-MAX('Activities'!K668,54))</x:f>
        <x:v>0</x:v>
      </x:c>
      <x:c r="O668" s="22" t="n">
        <x:f>MAX(0,MIN('Activities'!L668,66)-MAX('Activities'!K668,60))</x:f>
        <x:v>0</x:v>
      </x:c>
      <x:c r="P668" s="22" t="n">
        <x:f>MAX(0,MIN('Activities'!L668,72)-MAX('Activities'!K668,66))</x:f>
        <x:v>0</x:v>
      </x:c>
      <x:c r="Q668" s="22" t="n">
        <x:f>MAX(0,MIN('Activities'!L668,78)-MAX('Activities'!K668,72))</x:f>
        <x:v>0</x:v>
      </x:c>
      <x:c r="R668" s="22" t="n">
        <x:f>MAX(0,MIN('Activities'!L668,84)-MAX('Activities'!K668,78))</x:f>
        <x:v>0</x:v>
      </x:c>
      <x:c r="S668" s="22" t="n">
        <x:f>MAX(0,MIN('Activities'!L668,90)-MAX('Activities'!K668,84))</x:f>
        <x:v>0</x:v>
      </x:c>
      <x:c r="T668" s="22" t="n">
        <x:f>MAX(0,MIN('Activities'!L668,96)-MAX('Activities'!K668,90))</x:f>
        <x:v>0</x:v>
      </x:c>
      <x:c r="U668" s="22" t="n">
        <x:f>MAX(0,MIN('Activities'!L668,102)-MAX('Activities'!K668,96))</x:f>
        <x:v>0</x:v>
      </x:c>
      <x:c r="V668" s="22" t="n">
        <x:f>MAX(0,MIN('Activities'!L668,108)-MAX('Activities'!K668,102))</x:f>
        <x:v>0</x:v>
      </x:c>
      <x:c r="W668" s="22" t="n">
        <x:f>MAX(0,MIN('Activities'!L668,114)-MAX('Activities'!K668,108))</x:f>
        <x:v>0</x:v>
      </x:c>
      <x:c r="X668" s="22" t="n">
        <x:f>MAX(0,MIN('Activities'!L668,120)-MAX('Activities'!K668,114))</x:f>
        <x:v>0</x:v>
      </x:c>
      <x:c r="Y668" s="22" t="n">
        <x:f>MAX(0,MIN('Activities'!L668,126)-MAX('Activities'!K668,120))</x:f>
        <x:v>0</x:v>
      </x:c>
      <x:c r="Z668" s="22" t="n">
        <x:f>MAX(0,MIN('Activities'!L668,132)-MAX('Activities'!K668,126))</x:f>
        <x:v>0</x:v>
      </x:c>
      <x:c r="AA668" s="22" t="n">
        <x:f>MAX(0,MIN('Activities'!L668,138)-MAX('Activities'!K668,132))</x:f>
        <x:v>0</x:v>
      </x:c>
      <x:c r="AB668" s="22" t="n">
        <x:f>MAX(0,MIN('Activities'!L668,144)-MAX('Activities'!K668,138))</x:f>
        <x:v>0</x:v>
      </x:c>
      <x:c r="AC668" s="22" t="n">
        <x:f>MAX(0,MIN('Activities'!L668,150)-MAX('Activities'!K668,144))</x:f>
        <x:v>0</x:v>
      </x:c>
      <x:c r="AD668" s="22" t="n">
        <x:f>MAX(0,MIN('Activities'!L668,156)-MAX('Activities'!K668,150))</x:f>
        <x:v>0</x:v>
      </x:c>
      <x:c r="AE668" s="22" t="n">
        <x:f>MAX(0,MIN('Activities'!L668,162)-MAX('Activities'!K668,156))</x:f>
        <x:v>0</x:v>
      </x:c>
      <x:c r="AF668" s="22" t="n">
        <x:f>MAX(0,MIN('Activities'!L668,168)-MAX('Activities'!K668,162))</x:f>
        <x:v>0</x:v>
      </x:c>
      <x:c r="AG668" s="22" t="n">
        <x:f>MAX(0,MIN('Activities'!L668,174)-MAX('Activities'!K668,168))</x:f>
        <x:v>0</x:v>
      </x:c>
      <x:c r="AH668" s="22" t="n">
        <x:f>MAX(0,MIN('Activities'!L668,180)-MAX('Activities'!K668,174))</x:f>
        <x:v>0</x:v>
      </x:c>
      <x:c r="AI668" s="22" t="n">
        <x:f>MAX(0,MIN('Activities'!L668,186)-MAX('Activities'!K668,180))</x:f>
        <x:v>0</x:v>
      </x:c>
      <x:c r="AJ668" s="22" t="n">
        <x:f>MAX(0,MIN('Activities'!L668,192)-MAX('Activities'!K668,186))</x:f>
        <x:v>0</x:v>
      </x:c>
      <x:c r="AK668" s="22" t="n">
        <x:f>MAX(0,MIN('Activities'!L668,198)-MAX('Activities'!K668,192))</x:f>
        <x:v>0</x:v>
      </x:c>
      <x:c r="AL668" s="22" t="n">
        <x:f>MAX(0,MIN('Activities'!L668,204)-MAX('Activities'!K668,198))</x:f>
        <x:v>0</x:v>
      </x:c>
      <x:c r="AM668" s="22" t="n">
        <x:f>MAX(0,MIN('Activities'!L668,210)-MAX('Activities'!K668,204))</x:f>
        <x:v>0</x:v>
      </x:c>
      <x:c r="AN668" s="22" t="n">
        <x:f>MAX(0,MIN('Activities'!L668,216)-MAX('Activities'!K668,210))</x:f>
        <x:v>0</x:v>
      </x:c>
      <x:c r="AO668" s="22" t="n">
        <x:f>MAX(0,MIN('Activities'!L668,222)-MAX('Activities'!K668,216))</x:f>
        <x:v>0</x:v>
      </x:c>
      <x:c r="AP668" s="22" t="n">
        <x:f>MAX(0,MIN('Activities'!L668,228)-MAX('Activities'!K668,222))</x:f>
        <x:v>0</x:v>
      </x:c>
      <x:c r="AQ668" s="22" t="n">
        <x:f>MAX(0,MIN('Activities'!L668,234)-MAX('Activities'!K668,228))</x:f>
        <x:v>0</x:v>
      </x:c>
      <x:c r="AR668" s="22" t="n">
        <x:f>MAX(0,MIN('Activities'!L668,240)-MAX('Activities'!K668,234))</x:f>
        <x:v>0</x:v>
      </x:c>
      <x:c r="AS668" s="22" t="n">
        <x:f>MAX(0,MIN('Activities'!L668,246)-MAX('Activities'!K668,240))</x:f>
        <x:v>0</x:v>
      </x:c>
      <x:c r="AT668" s="22" t="n">
        <x:f>MAX(0,MIN('Activities'!L668,252)-MAX('Activities'!K668,246))</x:f>
        <x:v>0</x:v>
      </x:c>
      <x:c r="AU668" s="22" t="n">
        <x:f>MAX(0,MIN('Activities'!L668,258)-MAX('Activities'!K668,252))</x:f>
        <x:v>0</x:v>
      </x:c>
      <x:c r="AV668" s="22" t="n">
        <x:f>MAX(0,MIN('Activities'!L668,264)-MAX('Activities'!K668,258))</x:f>
        <x:v>0</x:v>
      </x:c>
      <x:c r="AW668" s="22" t="n">
        <x:f>MAX(0,MIN('Activities'!L668,270)-MAX('Activities'!K668,264))</x:f>
        <x:v>0</x:v>
      </x:c>
      <x:c r="AX668" s="22" t="n">
        <x:f>MAX(0,MIN('Activities'!L668,276)-MAX('Activities'!K668,270))</x:f>
        <x:v>0</x:v>
      </x:c>
      <x:c r="AY668" s="22" t="n">
        <x:f>MAX(0,MIN('Activities'!L668,282)-MAX('Activities'!K668,276))</x:f>
        <x:v>0</x:v>
      </x:c>
      <x:c r="AZ668" s="22" t="n">
        <x:f>MAX(0,MIN('Activities'!L668,288)-MAX('Activities'!K668,282))</x:f>
        <x:v>0</x:v>
      </x:c>
      <x:c r="BA668" s="22" t="n">
        <x:f>MAX(0,MIN('Activities'!L668,294)-MAX('Activities'!K668,288))</x:f>
        <x:v>0</x:v>
      </x:c>
      <x:c r="BB668" s="22" t="n">
        <x:f>MAX(0,MIN('Activities'!L668,300)-MAX('Activities'!K668,294))</x:f>
        <x:v>0</x:v>
      </x:c>
      <x:c r="BC668" s="22" t="n">
        <x:f>MAX(0,MIN('Activities'!L668,306)-MAX('Activities'!K668,300))</x:f>
        <x:v>0</x:v>
      </x:c>
      <x:c r="BD668" s="22" t="n">
        <x:f>MAX(0,MIN('Activities'!L668,312)-MAX('Activities'!K668,306))</x:f>
        <x:v>0</x:v>
      </x:c>
      <x:c r="BE668" s="22" t="n">
        <x:f>MAX(0,MIN('Activities'!L668,318)-MAX('Activities'!K668,312))</x:f>
        <x:v>0</x:v>
      </x:c>
      <x:c r="BF668" s="22" t="n">
        <x:f>MAX(0,MIN('Activities'!L668,324)-MAX('Activities'!K668,318))</x:f>
        <x:v>0</x:v>
      </x:c>
      <x:c r="BG668" s="22" t="n">
        <x:f>MAX(0,MIN('Activities'!L668,330)-MAX('Activities'!K668,324))</x:f>
        <x:v>0</x:v>
      </x:c>
      <x:c r="BH668" s="22" t="n">
        <x:f>MAX(0,MIN('Activities'!L668,336)-MAX('Activities'!K668,330))</x:f>
        <x:v>0</x:v>
      </x:c>
      <x:c r="BI668" s="22" t="n">
        <x:f>MAX(0,MIN('Activities'!L668,342)-MAX('Activities'!K668,336))</x:f>
        <x:v>0</x:v>
      </x:c>
      <x:c r="BJ668" s="22" t="n">
        <x:f>MAX(0,MIN('Activities'!L668,348)-MAX('Activities'!K668,342))</x:f>
        <x:v>0</x:v>
      </x:c>
      <x:c r="BK668" s="22" t="n">
        <x:f>MAX(0,MIN('Activities'!L668,354)-MAX('Activities'!K668,348))</x:f>
        <x:v>0</x:v>
      </x:c>
      <x:c r="BL668" s="22" t="n">
        <x:f>MAX(0,MIN('Activities'!L668,360)-MAX('Activities'!K668,354))</x:f>
        <x:v>0</x:v>
      </x:c>
      <x:c r="BM668" s="22" t="n">
        <x:f>MAX(0,MIN('Activities'!L668,366)-MAX('Activities'!K668,360))</x:f>
        <x:v>0</x:v>
      </x:c>
      <x:c r="BN668" s="22" t="n">
        <x:f>MAX(0,MIN('Activities'!L668,372)-MAX('Activities'!K668,366))</x:f>
        <x:v>0</x:v>
      </x:c>
      <x:c r="BO668" s="22" t="n">
        <x:f>MAX(0,MIN('Activities'!L668,378)-MAX('Activities'!K668,372))</x:f>
        <x:v>0</x:v>
      </x:c>
      <x:c r="BP668" s="22" t="n">
        <x:f>MAX(0,MIN('Activities'!L668,384)-MAX('Activities'!K668,378))</x:f>
        <x:v>0</x:v>
      </x:c>
      <x:c r="BQ668" s="22" t="n">
        <x:f>MAX(0,MIN('Activities'!L668,390)-MAX('Activities'!K668,384))</x:f>
        <x:v>0</x:v>
      </x:c>
      <x:c r="BR668" s="22" t="n">
        <x:f>MAX(0,MIN('Activities'!L668,396)-MAX('Activities'!K668,390))</x:f>
        <x:v>0</x:v>
      </x:c>
      <x:c r="BS668" s="22" t="n">
        <x:f>MAX(0,MIN('Activities'!L668,402)-MAX('Activities'!K668,396))</x:f>
        <x:v>0</x:v>
      </x:c>
      <x:c r="BT668" s="22" t="n">
        <x:f>MAX(0,MIN('Activities'!L668,408)-MAX('Activities'!K668,402))</x:f>
        <x:v>0</x:v>
      </x:c>
      <x:c r="BU668" s="22" t="n">
        <x:f>MAX(0,MIN('Activities'!L668,414)-MAX('Activities'!K668,408))</x:f>
        <x:v>0</x:v>
      </x:c>
      <x:c r="BV668" s="22" t="n">
        <x:f>MAX(0,MIN('Activities'!L668,420)-MAX('Activities'!K668,414))</x:f>
        <x:v>0</x:v>
      </x:c>
      <x:c r="BW668" s="22" t="n">
        <x:f>MAX(0,MIN('Activities'!L668,426)-MAX('Activities'!K668,420))</x:f>
        <x:v>0</x:v>
      </x:c>
      <x:c r="BX668" s="22" t="n">
        <x:f>MAX(0,MIN('Activities'!L668,432)-MAX('Activities'!K668,426))</x:f>
        <x:v>0</x:v>
      </x:c>
      <x:c r="BY668" s="22" t="n">
        <x:f>MAX(0,MIN('Activities'!L668,438)-MAX('Activities'!K668,432))</x:f>
        <x:v>0</x:v>
      </x:c>
      <x:c r="BZ668" s="22" t="n">
        <x:f>MAX(0,MIN('Activities'!L668,444)-MAX('Activities'!K668,438))</x:f>
        <x:v>0</x:v>
      </x:c>
      <x:c r="CA668" s="22" t="n">
        <x:f>MAX(0,MIN('Activities'!L668,450)-MAX('Activities'!K668,444))</x:f>
        <x:v>0</x:v>
      </x:c>
      <x:c r="CB668" s="22" t="n">
        <x:f>MAX(0,MIN('Activities'!L668,456)-MAX('Activities'!K668,450))</x:f>
        <x:v>0</x:v>
      </x:c>
      <x:c r="CC668" s="22" t="n">
        <x:f>MAX(0,MIN('Activities'!L668,462)-MAX('Activities'!K668,456))</x:f>
        <x:v>0</x:v>
      </x:c>
      <x:c r="CD668" s="22" t="n">
        <x:f>MAX(0,MIN('Activities'!L668,468)-MAX('Activities'!K668,462))</x:f>
        <x:v>1</x:v>
      </x:c>
      <x:c r="CE668" s="22" t="n">
        <x:f>MAX(0,MIN('Activities'!L668,474)-MAX('Activities'!K668,468))</x:f>
        <x:v>2</x:v>
      </x:c>
      <x:c r="CF668" s="22" t="n">
        <x:f>MAX(0,MIN('Activities'!L668,480)-MAX('Activities'!K668,474))</x:f>
        <x:v>0</x:v>
      </x:c>
      <x:c r="CG668" s="22" t="n">
        <x:f>MAX(0,MIN('Activities'!L668,486)-MAX('Activities'!K668,480))</x:f>
        <x:v>0</x:v>
      </x:c>
      <x:c r="CH668" s="22" t="n">
        <x:f>MAX(0,MIN('Activities'!L668,492)-MAX('Activities'!K668,486))</x:f>
        <x:v>0</x:v>
      </x:c>
      <x:c r="CI668" s="22" t="n">
        <x:f>MAX(0,MIN('Activities'!L668,498)-MAX('Activities'!K668,492))</x:f>
        <x:v>0</x:v>
      </x:c>
      <x:c r="CJ668" s="22" t="n">
        <x:f>MAX(0,MIN('Activities'!L668,504)-MAX('Activities'!K668,498))</x:f>
        <x:v>0</x:v>
      </x:c>
      <x:c r="CK668" s="22" t="n">
        <x:f>MAX(0,MIN('Activities'!L668,510)-MAX('Activities'!K668,504))</x:f>
        <x:v>0</x:v>
      </x:c>
      <x:c r="CL668" s="22" t="n">
        <x:f>MAX(0,MIN('Activities'!L668,516)-MAX('Activities'!K668,510))</x:f>
        <x:v>0</x:v>
      </x:c>
      <x:c r="CM668" s="22" t="n">
        <x:f>MAX(0,MIN('Activities'!L668,522)-MAX('Activities'!K668,516))</x:f>
        <x:v>0</x:v>
      </x:c>
      <x:c r="CN668" s="22" t="n">
        <x:f>MAX(0,MIN('Activities'!L668,528)-MAX('Activities'!K668,522))</x:f>
        <x:v>0</x:v>
      </x:c>
      <x:c r="CO668" s="22" t="n">
        <x:f>MAX(0,MIN('Activities'!L668,534)-MAX('Activities'!K668,528))</x:f>
        <x:v>0</x:v>
      </x:c>
      <x:c r="CP668" s="22" t="n">
        <x:f>MAX(0,MIN('Activities'!L668,540)-MAX('Activities'!K668,534))</x:f>
        <x:v>0</x:v>
      </x:c>
      <x:c r="CQ668" s="22" t="n">
        <x:f>MAX(0,MIN('Activities'!L668,546)-MAX('Activities'!K668,540))</x:f>
        <x:v>0</x:v>
      </x:c>
      <x:c r="CR668" s="22" t="n">
        <x:f>MAX(0,MIN('Activities'!L668,552)-MAX('Activities'!K668,546))</x:f>
        <x:v>0</x:v>
      </x:c>
      <x:c r="CS668" s="22" t="n">
        <x:f>MAX(0,MIN('Activities'!L668,558)-MAX('Activities'!K668,552))</x:f>
        <x:v>0</x:v>
      </x:c>
      <x:c r="CT668" s="22" t="n">
        <x:f>MAX(0,MIN('Activities'!L668,564)-MAX('Activities'!K668,558))</x:f>
        <x:v>0</x:v>
      </x:c>
      <x:c r="CU668" s="22" t="n">
        <x:f>MAX(0,MIN('Activities'!L668,570)-MAX('Activities'!K668,564))</x:f>
        <x:v>0</x:v>
      </x:c>
      <x:c r="CV668" s="22" t="n">
        <x:f>MAX(0,MIN('Activities'!L668,576)-MAX('Activities'!K668,570))</x:f>
        <x:v>0</x:v>
      </x:c>
      <x:c r="CW668" s="22" t="n">
        <x:f>MAX(0,MIN('Activities'!L668,582)-MAX('Activities'!K668,576))</x:f>
        <x:v>0</x:v>
      </x:c>
      <x:c r="CX668" s="22" t="n">
        <x:f>MAX(0,MIN('Activities'!L668,588)-MAX('Activities'!K668,582))</x:f>
        <x:v>0</x:v>
      </x:c>
      <x:c r="CY668" s="22" t="n">
        <x:f>MAX(0,MIN('Activities'!L668,594)-MAX('Activities'!K668,588))</x:f>
        <x:v>0</x:v>
      </x:c>
      <x:c r="CZ668" s="22" t="n">
        <x:f>MAX(0,MIN('Activities'!L668,600)-MAX('Activities'!K668,594))</x:f>
        <x:v>0</x:v>
      </x:c>
      <x:c r="DA668" s="22" t="n">
        <x:f>MAX(0,MIN('Activities'!L668,606)-MAX('Activities'!K668,600))</x:f>
        <x:v>0</x:v>
      </x:c>
      <x:c r="DB668" s="22" t="n">
        <x:f>MAX(0,MIN('Activities'!L668,612)-MAX('Activities'!K668,606))</x:f>
        <x:v>0</x:v>
      </x:c>
      <x:c r="DC668" s="22" t="n">
        <x:f>MAX(0,MIN('Activities'!L668,618)-MAX('Activities'!K668,612))</x:f>
        <x:v>0</x:v>
      </x:c>
      <x:c r="DD668" s="22" t="n">
        <x:f>MAX(0,MIN('Activities'!L668,624)-MAX('Activities'!K668,618))</x:f>
        <x:v>0</x:v>
      </x:c>
      <x:c r="DE668" s="22" t="n">
        <x:f>MAX(0,MIN('Activities'!L668,630)-MAX('Activities'!K668,624))</x:f>
        <x:v>0</x:v>
      </x:c>
      <x:c r="DF668" s="22" t="n">
        <x:f>MAX(0,MIN('Activities'!L668,636)-MAX('Activities'!K668,630))</x:f>
        <x:v>0</x:v>
      </x:c>
    </x:row>
    <x:row r="669" ht="23" customHeight="1">
      <x:c r="A669" s="1" t="str">
        <x:v>T5-L11-M</x:v>
      </x:c>
      <x:c r="B669" s="1" t="str">
        <x:v>T5</x:v>
      </x:c>
      <x:c r="C669" s="1" t="str">
        <x:v>Partition masonry</x:v>
      </x:c>
      <x:c r="D669" s="1" t="str">
        <x:v>Masonry</x:v>
      </x:c>
      <x:c r="E669" s="23" t="n">
        <x:f>MAX(0,MIN('Activities'!L669,6)-MAX('Activities'!K669,0))</x:f>
        <x:v>0</x:v>
      </x:c>
      <x:c r="F669" s="23" t="n">
        <x:f>MAX(0,MIN('Activities'!L669,12)-MAX('Activities'!K669,6))</x:f>
        <x:v>0</x:v>
      </x:c>
      <x:c r="G669" s="23" t="n">
        <x:f>MAX(0,MIN('Activities'!L669,18)-MAX('Activities'!K669,12))</x:f>
        <x:v>0</x:v>
      </x:c>
      <x:c r="H669" s="23" t="n">
        <x:f>MAX(0,MIN('Activities'!L669,24)-MAX('Activities'!K669,18))</x:f>
        <x:v>0</x:v>
      </x:c>
      <x:c r="I669" s="23" t="n">
        <x:f>MAX(0,MIN('Activities'!L669,30)-MAX('Activities'!K669,24))</x:f>
        <x:v>0</x:v>
      </x:c>
      <x:c r="J669" s="23" t="n">
        <x:f>MAX(0,MIN('Activities'!L669,36)-MAX('Activities'!K669,30))</x:f>
        <x:v>0</x:v>
      </x:c>
      <x:c r="K669" s="23" t="n">
        <x:f>MAX(0,MIN('Activities'!L669,42)-MAX('Activities'!K669,36))</x:f>
        <x:v>0</x:v>
      </x:c>
      <x:c r="L669" s="23" t="n">
        <x:f>MAX(0,MIN('Activities'!L669,48)-MAX('Activities'!K669,42))</x:f>
        <x:v>0</x:v>
      </x:c>
      <x:c r="M669" s="23" t="n">
        <x:f>MAX(0,MIN('Activities'!L669,54)-MAX('Activities'!K669,48))</x:f>
        <x:v>0</x:v>
      </x:c>
      <x:c r="N669" s="23" t="n">
        <x:f>MAX(0,MIN('Activities'!L669,60)-MAX('Activities'!K669,54))</x:f>
        <x:v>0</x:v>
      </x:c>
      <x:c r="O669" s="23" t="n">
        <x:f>MAX(0,MIN('Activities'!L669,66)-MAX('Activities'!K669,60))</x:f>
        <x:v>0</x:v>
      </x:c>
      <x:c r="P669" s="23" t="n">
        <x:f>MAX(0,MIN('Activities'!L669,72)-MAX('Activities'!K669,66))</x:f>
        <x:v>0</x:v>
      </x:c>
      <x:c r="Q669" s="23" t="n">
        <x:f>MAX(0,MIN('Activities'!L669,78)-MAX('Activities'!K669,72))</x:f>
        <x:v>0</x:v>
      </x:c>
      <x:c r="R669" s="23" t="n">
        <x:f>MAX(0,MIN('Activities'!L669,84)-MAX('Activities'!K669,78))</x:f>
        <x:v>0</x:v>
      </x:c>
      <x:c r="S669" s="23" t="n">
        <x:f>MAX(0,MIN('Activities'!L669,90)-MAX('Activities'!K669,84))</x:f>
        <x:v>0</x:v>
      </x:c>
      <x:c r="T669" s="23" t="n">
        <x:f>MAX(0,MIN('Activities'!L669,96)-MAX('Activities'!K669,90))</x:f>
        <x:v>0</x:v>
      </x:c>
      <x:c r="U669" s="23" t="n">
        <x:f>MAX(0,MIN('Activities'!L669,102)-MAX('Activities'!K669,96))</x:f>
        <x:v>0</x:v>
      </x:c>
      <x:c r="V669" s="23" t="n">
        <x:f>MAX(0,MIN('Activities'!L669,108)-MAX('Activities'!K669,102))</x:f>
        <x:v>0</x:v>
      </x:c>
      <x:c r="W669" s="23" t="n">
        <x:f>MAX(0,MIN('Activities'!L669,114)-MAX('Activities'!K669,108))</x:f>
        <x:v>0</x:v>
      </x:c>
      <x:c r="X669" s="23" t="n">
        <x:f>MAX(0,MIN('Activities'!L669,120)-MAX('Activities'!K669,114))</x:f>
        <x:v>0</x:v>
      </x:c>
      <x:c r="Y669" s="23" t="n">
        <x:f>MAX(0,MIN('Activities'!L669,126)-MAX('Activities'!K669,120))</x:f>
        <x:v>0</x:v>
      </x:c>
      <x:c r="Z669" s="23" t="n">
        <x:f>MAX(0,MIN('Activities'!L669,132)-MAX('Activities'!K669,126))</x:f>
        <x:v>0</x:v>
      </x:c>
      <x:c r="AA669" s="23" t="n">
        <x:f>MAX(0,MIN('Activities'!L669,138)-MAX('Activities'!K669,132))</x:f>
        <x:v>0</x:v>
      </x:c>
      <x:c r="AB669" s="23" t="n">
        <x:f>MAX(0,MIN('Activities'!L669,144)-MAX('Activities'!K669,138))</x:f>
        <x:v>0</x:v>
      </x:c>
      <x:c r="AC669" s="23" t="n">
        <x:f>MAX(0,MIN('Activities'!L669,150)-MAX('Activities'!K669,144))</x:f>
        <x:v>0</x:v>
      </x:c>
      <x:c r="AD669" s="23" t="n">
        <x:f>MAX(0,MIN('Activities'!L669,156)-MAX('Activities'!K669,150))</x:f>
        <x:v>0</x:v>
      </x:c>
      <x:c r="AE669" s="23" t="n">
        <x:f>MAX(0,MIN('Activities'!L669,162)-MAX('Activities'!K669,156))</x:f>
        <x:v>0</x:v>
      </x:c>
      <x:c r="AF669" s="23" t="n">
        <x:f>MAX(0,MIN('Activities'!L669,168)-MAX('Activities'!K669,162))</x:f>
        <x:v>0</x:v>
      </x:c>
      <x:c r="AG669" s="23" t="n">
        <x:f>MAX(0,MIN('Activities'!L669,174)-MAX('Activities'!K669,168))</x:f>
        <x:v>0</x:v>
      </x:c>
      <x:c r="AH669" s="23" t="n">
        <x:f>MAX(0,MIN('Activities'!L669,180)-MAX('Activities'!K669,174))</x:f>
        <x:v>0</x:v>
      </x:c>
      <x:c r="AI669" s="23" t="n">
        <x:f>MAX(0,MIN('Activities'!L669,186)-MAX('Activities'!K669,180))</x:f>
        <x:v>0</x:v>
      </x:c>
      <x:c r="AJ669" s="23" t="n">
        <x:f>MAX(0,MIN('Activities'!L669,192)-MAX('Activities'!K669,186))</x:f>
        <x:v>0</x:v>
      </x:c>
      <x:c r="AK669" s="23" t="n">
        <x:f>MAX(0,MIN('Activities'!L669,198)-MAX('Activities'!K669,192))</x:f>
        <x:v>0</x:v>
      </x:c>
      <x:c r="AL669" s="23" t="n">
        <x:f>MAX(0,MIN('Activities'!L669,204)-MAX('Activities'!K669,198))</x:f>
        <x:v>0</x:v>
      </x:c>
      <x:c r="AM669" s="23" t="n">
        <x:f>MAX(0,MIN('Activities'!L669,210)-MAX('Activities'!K669,204))</x:f>
        <x:v>0</x:v>
      </x:c>
      <x:c r="AN669" s="23" t="n">
        <x:f>MAX(0,MIN('Activities'!L669,216)-MAX('Activities'!K669,210))</x:f>
        <x:v>0</x:v>
      </x:c>
      <x:c r="AO669" s="23" t="n">
        <x:f>MAX(0,MIN('Activities'!L669,222)-MAX('Activities'!K669,216))</x:f>
        <x:v>0</x:v>
      </x:c>
      <x:c r="AP669" s="23" t="n">
        <x:f>MAX(0,MIN('Activities'!L669,228)-MAX('Activities'!K669,222))</x:f>
        <x:v>0</x:v>
      </x:c>
      <x:c r="AQ669" s="23" t="n">
        <x:f>MAX(0,MIN('Activities'!L669,234)-MAX('Activities'!K669,228))</x:f>
        <x:v>0</x:v>
      </x:c>
      <x:c r="AR669" s="23" t="n">
        <x:f>MAX(0,MIN('Activities'!L669,240)-MAX('Activities'!K669,234))</x:f>
        <x:v>0</x:v>
      </x:c>
      <x:c r="AS669" s="23" t="n">
        <x:f>MAX(0,MIN('Activities'!L669,246)-MAX('Activities'!K669,240))</x:f>
        <x:v>0</x:v>
      </x:c>
      <x:c r="AT669" s="23" t="n">
        <x:f>MAX(0,MIN('Activities'!L669,252)-MAX('Activities'!K669,246))</x:f>
        <x:v>0</x:v>
      </x:c>
      <x:c r="AU669" s="23" t="n">
        <x:f>MAX(0,MIN('Activities'!L669,258)-MAX('Activities'!K669,252))</x:f>
        <x:v>0</x:v>
      </x:c>
      <x:c r="AV669" s="23" t="n">
        <x:f>MAX(0,MIN('Activities'!L669,264)-MAX('Activities'!K669,258))</x:f>
        <x:v>0</x:v>
      </x:c>
      <x:c r="AW669" s="23" t="n">
        <x:f>MAX(0,MIN('Activities'!L669,270)-MAX('Activities'!K669,264))</x:f>
        <x:v>0</x:v>
      </x:c>
      <x:c r="AX669" s="23" t="n">
        <x:f>MAX(0,MIN('Activities'!L669,276)-MAX('Activities'!K669,270))</x:f>
        <x:v>0</x:v>
      </x:c>
      <x:c r="AY669" s="23" t="n">
        <x:f>MAX(0,MIN('Activities'!L669,282)-MAX('Activities'!K669,276))</x:f>
        <x:v>0</x:v>
      </x:c>
      <x:c r="AZ669" s="23" t="n">
        <x:f>MAX(0,MIN('Activities'!L669,288)-MAX('Activities'!K669,282))</x:f>
        <x:v>0</x:v>
      </x:c>
      <x:c r="BA669" s="23" t="n">
        <x:f>MAX(0,MIN('Activities'!L669,294)-MAX('Activities'!K669,288))</x:f>
        <x:v>0</x:v>
      </x:c>
      <x:c r="BB669" s="23" t="n">
        <x:f>MAX(0,MIN('Activities'!L669,300)-MAX('Activities'!K669,294))</x:f>
        <x:v>0</x:v>
      </x:c>
      <x:c r="BC669" s="23" t="n">
        <x:f>MAX(0,MIN('Activities'!L669,306)-MAX('Activities'!K669,300))</x:f>
        <x:v>0</x:v>
      </x:c>
      <x:c r="BD669" s="23" t="n">
        <x:f>MAX(0,MIN('Activities'!L669,312)-MAX('Activities'!K669,306))</x:f>
        <x:v>0</x:v>
      </x:c>
      <x:c r="BE669" s="23" t="n">
        <x:f>MAX(0,MIN('Activities'!L669,318)-MAX('Activities'!K669,312))</x:f>
        <x:v>0</x:v>
      </x:c>
      <x:c r="BF669" s="23" t="n">
        <x:f>MAX(0,MIN('Activities'!L669,324)-MAX('Activities'!K669,318))</x:f>
        <x:v>0</x:v>
      </x:c>
      <x:c r="BG669" s="23" t="n">
        <x:f>MAX(0,MIN('Activities'!L669,330)-MAX('Activities'!K669,324))</x:f>
        <x:v>0</x:v>
      </x:c>
      <x:c r="BH669" s="23" t="n">
        <x:f>MAX(0,MIN('Activities'!L669,336)-MAX('Activities'!K669,330))</x:f>
        <x:v>0</x:v>
      </x:c>
      <x:c r="BI669" s="23" t="n">
        <x:f>MAX(0,MIN('Activities'!L669,342)-MAX('Activities'!K669,336))</x:f>
        <x:v>0</x:v>
      </x:c>
      <x:c r="BJ669" s="23" t="n">
        <x:f>MAX(0,MIN('Activities'!L669,348)-MAX('Activities'!K669,342))</x:f>
        <x:v>0</x:v>
      </x:c>
      <x:c r="BK669" s="23" t="n">
        <x:f>MAX(0,MIN('Activities'!L669,354)-MAX('Activities'!K669,348))</x:f>
        <x:v>0</x:v>
      </x:c>
      <x:c r="BL669" s="23" t="n">
        <x:f>MAX(0,MIN('Activities'!L669,360)-MAX('Activities'!K669,354))</x:f>
        <x:v>0</x:v>
      </x:c>
      <x:c r="BM669" s="23" t="n">
        <x:f>MAX(0,MIN('Activities'!L669,366)-MAX('Activities'!K669,360))</x:f>
        <x:v>0</x:v>
      </x:c>
      <x:c r="BN669" s="23" t="n">
        <x:f>MAX(0,MIN('Activities'!L669,372)-MAX('Activities'!K669,366))</x:f>
        <x:v>0</x:v>
      </x:c>
      <x:c r="BO669" s="23" t="n">
        <x:f>MAX(0,MIN('Activities'!L669,378)-MAX('Activities'!K669,372))</x:f>
        <x:v>0</x:v>
      </x:c>
      <x:c r="BP669" s="23" t="n">
        <x:f>MAX(0,MIN('Activities'!L669,384)-MAX('Activities'!K669,378))</x:f>
        <x:v>0</x:v>
      </x:c>
      <x:c r="BQ669" s="23" t="n">
        <x:f>MAX(0,MIN('Activities'!L669,390)-MAX('Activities'!K669,384))</x:f>
        <x:v>0</x:v>
      </x:c>
      <x:c r="BR669" s="23" t="n">
        <x:f>MAX(0,MIN('Activities'!L669,396)-MAX('Activities'!K669,390))</x:f>
        <x:v>0</x:v>
      </x:c>
      <x:c r="BS669" s="23" t="n">
        <x:f>MAX(0,MIN('Activities'!L669,402)-MAX('Activities'!K669,396))</x:f>
        <x:v>0</x:v>
      </x:c>
      <x:c r="BT669" s="23" t="n">
        <x:f>MAX(0,MIN('Activities'!L669,408)-MAX('Activities'!K669,402))</x:f>
        <x:v>0</x:v>
      </x:c>
      <x:c r="BU669" s="23" t="n">
        <x:f>MAX(0,MIN('Activities'!L669,414)-MAX('Activities'!K669,408))</x:f>
        <x:v>0</x:v>
      </x:c>
      <x:c r="BV669" s="23" t="n">
        <x:f>MAX(0,MIN('Activities'!L669,420)-MAX('Activities'!K669,414))</x:f>
        <x:v>0</x:v>
      </x:c>
      <x:c r="BW669" s="23" t="n">
        <x:f>MAX(0,MIN('Activities'!L669,426)-MAX('Activities'!K669,420))</x:f>
        <x:v>5</x:v>
      </x:c>
      <x:c r="BX669" s="23" t="n">
        <x:f>MAX(0,MIN('Activities'!L669,432)-MAX('Activities'!K669,426))</x:f>
        <x:v>0</x:v>
      </x:c>
      <x:c r="BY669" s="23" t="n">
        <x:f>MAX(0,MIN('Activities'!L669,438)-MAX('Activities'!K669,432))</x:f>
        <x:v>0</x:v>
      </x:c>
      <x:c r="BZ669" s="23" t="n">
        <x:f>MAX(0,MIN('Activities'!L669,444)-MAX('Activities'!K669,438))</x:f>
        <x:v>0</x:v>
      </x:c>
      <x:c r="CA669" s="23" t="n">
        <x:f>MAX(0,MIN('Activities'!L669,450)-MAX('Activities'!K669,444))</x:f>
        <x:v>0</x:v>
      </x:c>
      <x:c r="CB669" s="23" t="n">
        <x:f>MAX(0,MIN('Activities'!L669,456)-MAX('Activities'!K669,450))</x:f>
        <x:v>0</x:v>
      </x:c>
      <x:c r="CC669" s="23" t="n">
        <x:f>MAX(0,MIN('Activities'!L669,462)-MAX('Activities'!K669,456))</x:f>
        <x:v>0</x:v>
      </x:c>
      <x:c r="CD669" s="23" t="n">
        <x:f>MAX(0,MIN('Activities'!L669,468)-MAX('Activities'!K669,462))</x:f>
        <x:v>0</x:v>
      </x:c>
      <x:c r="CE669" s="23" t="n">
        <x:f>MAX(0,MIN('Activities'!L669,474)-MAX('Activities'!K669,468))</x:f>
        <x:v>0</x:v>
      </x:c>
      <x:c r="CF669" s="23" t="n">
        <x:f>MAX(0,MIN('Activities'!L669,480)-MAX('Activities'!K669,474))</x:f>
        <x:v>0</x:v>
      </x:c>
      <x:c r="CG669" s="23" t="n">
        <x:f>MAX(0,MIN('Activities'!L669,486)-MAX('Activities'!K669,480))</x:f>
        <x:v>0</x:v>
      </x:c>
      <x:c r="CH669" s="23" t="n">
        <x:f>MAX(0,MIN('Activities'!L669,492)-MAX('Activities'!K669,486))</x:f>
        <x:v>0</x:v>
      </x:c>
      <x:c r="CI669" s="23" t="n">
        <x:f>MAX(0,MIN('Activities'!L669,498)-MAX('Activities'!K669,492))</x:f>
        <x:v>0</x:v>
      </x:c>
      <x:c r="CJ669" s="23" t="n">
        <x:f>MAX(0,MIN('Activities'!L669,504)-MAX('Activities'!K669,498))</x:f>
        <x:v>0</x:v>
      </x:c>
      <x:c r="CK669" s="23" t="n">
        <x:f>MAX(0,MIN('Activities'!L669,510)-MAX('Activities'!K669,504))</x:f>
        <x:v>0</x:v>
      </x:c>
      <x:c r="CL669" s="23" t="n">
        <x:f>MAX(0,MIN('Activities'!L669,516)-MAX('Activities'!K669,510))</x:f>
        <x:v>0</x:v>
      </x:c>
      <x:c r="CM669" s="23" t="n">
        <x:f>MAX(0,MIN('Activities'!L669,522)-MAX('Activities'!K669,516))</x:f>
        <x:v>0</x:v>
      </x:c>
      <x:c r="CN669" s="23" t="n">
        <x:f>MAX(0,MIN('Activities'!L669,528)-MAX('Activities'!K669,522))</x:f>
        <x:v>0</x:v>
      </x:c>
      <x:c r="CO669" s="23" t="n">
        <x:f>MAX(0,MIN('Activities'!L669,534)-MAX('Activities'!K669,528))</x:f>
        <x:v>0</x:v>
      </x:c>
      <x:c r="CP669" s="23" t="n">
        <x:f>MAX(0,MIN('Activities'!L669,540)-MAX('Activities'!K669,534))</x:f>
        <x:v>0</x:v>
      </x:c>
      <x:c r="CQ669" s="23" t="n">
        <x:f>MAX(0,MIN('Activities'!L669,546)-MAX('Activities'!K669,540))</x:f>
        <x:v>0</x:v>
      </x:c>
      <x:c r="CR669" s="23" t="n">
        <x:f>MAX(0,MIN('Activities'!L669,552)-MAX('Activities'!K669,546))</x:f>
        <x:v>0</x:v>
      </x:c>
      <x:c r="CS669" s="23" t="n">
        <x:f>MAX(0,MIN('Activities'!L669,558)-MAX('Activities'!K669,552))</x:f>
        <x:v>0</x:v>
      </x:c>
      <x:c r="CT669" s="23" t="n">
        <x:f>MAX(0,MIN('Activities'!L669,564)-MAX('Activities'!K669,558))</x:f>
        <x:v>0</x:v>
      </x:c>
      <x:c r="CU669" s="23" t="n">
        <x:f>MAX(0,MIN('Activities'!L669,570)-MAX('Activities'!K669,564))</x:f>
        <x:v>0</x:v>
      </x:c>
      <x:c r="CV669" s="23" t="n">
        <x:f>MAX(0,MIN('Activities'!L669,576)-MAX('Activities'!K669,570))</x:f>
        <x:v>0</x:v>
      </x:c>
      <x:c r="CW669" s="23" t="n">
        <x:f>MAX(0,MIN('Activities'!L669,582)-MAX('Activities'!K669,576))</x:f>
        <x:v>0</x:v>
      </x:c>
      <x:c r="CX669" s="23" t="n">
        <x:f>MAX(0,MIN('Activities'!L669,588)-MAX('Activities'!K669,582))</x:f>
        <x:v>0</x:v>
      </x:c>
      <x:c r="CY669" s="23" t="n">
        <x:f>MAX(0,MIN('Activities'!L669,594)-MAX('Activities'!K669,588))</x:f>
        <x:v>0</x:v>
      </x:c>
      <x:c r="CZ669" s="23" t="n">
        <x:f>MAX(0,MIN('Activities'!L669,600)-MAX('Activities'!K669,594))</x:f>
        <x:v>0</x:v>
      </x:c>
      <x:c r="DA669" s="23" t="n">
        <x:f>MAX(0,MIN('Activities'!L669,606)-MAX('Activities'!K669,600))</x:f>
        <x:v>0</x:v>
      </x:c>
      <x:c r="DB669" s="23" t="n">
        <x:f>MAX(0,MIN('Activities'!L669,612)-MAX('Activities'!K669,606))</x:f>
        <x:v>0</x:v>
      </x:c>
      <x:c r="DC669" s="23" t="n">
        <x:f>MAX(0,MIN('Activities'!L669,618)-MAX('Activities'!K669,612))</x:f>
        <x:v>0</x:v>
      </x:c>
      <x:c r="DD669" s="23" t="n">
        <x:f>MAX(0,MIN('Activities'!L669,624)-MAX('Activities'!K669,618))</x:f>
        <x:v>0</x:v>
      </x:c>
      <x:c r="DE669" s="23" t="n">
        <x:f>MAX(0,MIN('Activities'!L669,630)-MAX('Activities'!K669,624))</x:f>
        <x:v>0</x:v>
      </x:c>
      <x:c r="DF669" s="23" t="n">
        <x:f>MAX(0,MIN('Activities'!L669,636)-MAX('Activities'!K669,630))</x:f>
        <x:v>0</x:v>
      </x:c>
    </x:row>
    <x:row r="670" ht="23" customHeight="1">
      <x:c r="A670" s="6" t="str">
        <x:v>T5-L11-P</x:v>
      </x:c>
      <x:c r="B670" s="6" t="str">
        <x:v>T5</x:v>
      </x:c>
      <x:c r="C670" s="6" t="str">
        <x:v>Internal plaster</x:v>
      </x:c>
      <x:c r="D670" s="6" t="str">
        <x:v>Finishes</x:v>
      </x:c>
      <x:c r="E670" s="22" t="n">
        <x:f>MAX(0,MIN('Activities'!L670,6)-MAX('Activities'!K670,0))</x:f>
        <x:v>0</x:v>
      </x:c>
      <x:c r="F670" s="22" t="n">
        <x:f>MAX(0,MIN('Activities'!L670,12)-MAX('Activities'!K670,6))</x:f>
        <x:v>0</x:v>
      </x:c>
      <x:c r="G670" s="22" t="n">
        <x:f>MAX(0,MIN('Activities'!L670,18)-MAX('Activities'!K670,12))</x:f>
        <x:v>0</x:v>
      </x:c>
      <x:c r="H670" s="22" t="n">
        <x:f>MAX(0,MIN('Activities'!L670,24)-MAX('Activities'!K670,18))</x:f>
        <x:v>0</x:v>
      </x:c>
      <x:c r="I670" s="22" t="n">
        <x:f>MAX(0,MIN('Activities'!L670,30)-MAX('Activities'!K670,24))</x:f>
        <x:v>0</x:v>
      </x:c>
      <x:c r="J670" s="22" t="n">
        <x:f>MAX(0,MIN('Activities'!L670,36)-MAX('Activities'!K670,30))</x:f>
        <x:v>0</x:v>
      </x:c>
      <x:c r="K670" s="22" t="n">
        <x:f>MAX(0,MIN('Activities'!L670,42)-MAX('Activities'!K670,36))</x:f>
        <x:v>0</x:v>
      </x:c>
      <x:c r="L670" s="22" t="n">
        <x:f>MAX(0,MIN('Activities'!L670,48)-MAX('Activities'!K670,42))</x:f>
        <x:v>0</x:v>
      </x:c>
      <x:c r="M670" s="22" t="n">
        <x:f>MAX(0,MIN('Activities'!L670,54)-MAX('Activities'!K670,48))</x:f>
        <x:v>0</x:v>
      </x:c>
      <x:c r="N670" s="22" t="n">
        <x:f>MAX(0,MIN('Activities'!L670,60)-MAX('Activities'!K670,54))</x:f>
        <x:v>0</x:v>
      </x:c>
      <x:c r="O670" s="22" t="n">
        <x:f>MAX(0,MIN('Activities'!L670,66)-MAX('Activities'!K670,60))</x:f>
        <x:v>0</x:v>
      </x:c>
      <x:c r="P670" s="22" t="n">
        <x:f>MAX(0,MIN('Activities'!L670,72)-MAX('Activities'!K670,66))</x:f>
        <x:v>0</x:v>
      </x:c>
      <x:c r="Q670" s="22" t="n">
        <x:f>MAX(0,MIN('Activities'!L670,78)-MAX('Activities'!K670,72))</x:f>
        <x:v>0</x:v>
      </x:c>
      <x:c r="R670" s="22" t="n">
        <x:f>MAX(0,MIN('Activities'!L670,84)-MAX('Activities'!K670,78))</x:f>
        <x:v>0</x:v>
      </x:c>
      <x:c r="S670" s="22" t="n">
        <x:f>MAX(0,MIN('Activities'!L670,90)-MAX('Activities'!K670,84))</x:f>
        <x:v>0</x:v>
      </x:c>
      <x:c r="T670" s="22" t="n">
        <x:f>MAX(0,MIN('Activities'!L670,96)-MAX('Activities'!K670,90))</x:f>
        <x:v>0</x:v>
      </x:c>
      <x:c r="U670" s="22" t="n">
        <x:f>MAX(0,MIN('Activities'!L670,102)-MAX('Activities'!K670,96))</x:f>
        <x:v>0</x:v>
      </x:c>
      <x:c r="V670" s="22" t="n">
        <x:f>MAX(0,MIN('Activities'!L670,108)-MAX('Activities'!K670,102))</x:f>
        <x:v>0</x:v>
      </x:c>
      <x:c r="W670" s="22" t="n">
        <x:f>MAX(0,MIN('Activities'!L670,114)-MAX('Activities'!K670,108))</x:f>
        <x:v>0</x:v>
      </x:c>
      <x:c r="X670" s="22" t="n">
        <x:f>MAX(0,MIN('Activities'!L670,120)-MAX('Activities'!K670,114))</x:f>
        <x:v>0</x:v>
      </x:c>
      <x:c r="Y670" s="22" t="n">
        <x:f>MAX(0,MIN('Activities'!L670,126)-MAX('Activities'!K670,120))</x:f>
        <x:v>0</x:v>
      </x:c>
      <x:c r="Z670" s="22" t="n">
        <x:f>MAX(0,MIN('Activities'!L670,132)-MAX('Activities'!K670,126))</x:f>
        <x:v>0</x:v>
      </x:c>
      <x:c r="AA670" s="22" t="n">
        <x:f>MAX(0,MIN('Activities'!L670,138)-MAX('Activities'!K670,132))</x:f>
        <x:v>0</x:v>
      </x:c>
      <x:c r="AB670" s="22" t="n">
        <x:f>MAX(0,MIN('Activities'!L670,144)-MAX('Activities'!K670,138))</x:f>
        <x:v>0</x:v>
      </x:c>
      <x:c r="AC670" s="22" t="n">
        <x:f>MAX(0,MIN('Activities'!L670,150)-MAX('Activities'!K670,144))</x:f>
        <x:v>0</x:v>
      </x:c>
      <x:c r="AD670" s="22" t="n">
        <x:f>MAX(0,MIN('Activities'!L670,156)-MAX('Activities'!K670,150))</x:f>
        <x:v>0</x:v>
      </x:c>
      <x:c r="AE670" s="22" t="n">
        <x:f>MAX(0,MIN('Activities'!L670,162)-MAX('Activities'!K670,156))</x:f>
        <x:v>0</x:v>
      </x:c>
      <x:c r="AF670" s="22" t="n">
        <x:f>MAX(0,MIN('Activities'!L670,168)-MAX('Activities'!K670,162))</x:f>
        <x:v>0</x:v>
      </x:c>
      <x:c r="AG670" s="22" t="n">
        <x:f>MAX(0,MIN('Activities'!L670,174)-MAX('Activities'!K670,168))</x:f>
        <x:v>0</x:v>
      </x:c>
      <x:c r="AH670" s="22" t="n">
        <x:f>MAX(0,MIN('Activities'!L670,180)-MAX('Activities'!K670,174))</x:f>
        <x:v>0</x:v>
      </x:c>
      <x:c r="AI670" s="22" t="n">
        <x:f>MAX(0,MIN('Activities'!L670,186)-MAX('Activities'!K670,180))</x:f>
        <x:v>0</x:v>
      </x:c>
      <x:c r="AJ670" s="22" t="n">
        <x:f>MAX(0,MIN('Activities'!L670,192)-MAX('Activities'!K670,186))</x:f>
        <x:v>0</x:v>
      </x:c>
      <x:c r="AK670" s="22" t="n">
        <x:f>MAX(0,MIN('Activities'!L670,198)-MAX('Activities'!K670,192))</x:f>
        <x:v>0</x:v>
      </x:c>
      <x:c r="AL670" s="22" t="n">
        <x:f>MAX(0,MIN('Activities'!L670,204)-MAX('Activities'!K670,198))</x:f>
        <x:v>0</x:v>
      </x:c>
      <x:c r="AM670" s="22" t="n">
        <x:f>MAX(0,MIN('Activities'!L670,210)-MAX('Activities'!K670,204))</x:f>
        <x:v>0</x:v>
      </x:c>
      <x:c r="AN670" s="22" t="n">
        <x:f>MAX(0,MIN('Activities'!L670,216)-MAX('Activities'!K670,210))</x:f>
        <x:v>0</x:v>
      </x:c>
      <x:c r="AO670" s="22" t="n">
        <x:f>MAX(0,MIN('Activities'!L670,222)-MAX('Activities'!K670,216))</x:f>
        <x:v>0</x:v>
      </x:c>
      <x:c r="AP670" s="22" t="n">
        <x:f>MAX(0,MIN('Activities'!L670,228)-MAX('Activities'!K670,222))</x:f>
        <x:v>0</x:v>
      </x:c>
      <x:c r="AQ670" s="22" t="n">
        <x:f>MAX(0,MIN('Activities'!L670,234)-MAX('Activities'!K670,228))</x:f>
        <x:v>0</x:v>
      </x:c>
      <x:c r="AR670" s="22" t="n">
        <x:f>MAX(0,MIN('Activities'!L670,240)-MAX('Activities'!K670,234))</x:f>
        <x:v>0</x:v>
      </x:c>
      <x:c r="AS670" s="22" t="n">
        <x:f>MAX(0,MIN('Activities'!L670,246)-MAX('Activities'!K670,240))</x:f>
        <x:v>0</x:v>
      </x:c>
      <x:c r="AT670" s="22" t="n">
        <x:f>MAX(0,MIN('Activities'!L670,252)-MAX('Activities'!K670,246))</x:f>
        <x:v>0</x:v>
      </x:c>
      <x:c r="AU670" s="22" t="n">
        <x:f>MAX(0,MIN('Activities'!L670,258)-MAX('Activities'!K670,252))</x:f>
        <x:v>0</x:v>
      </x:c>
      <x:c r="AV670" s="22" t="n">
        <x:f>MAX(0,MIN('Activities'!L670,264)-MAX('Activities'!K670,258))</x:f>
        <x:v>0</x:v>
      </x:c>
      <x:c r="AW670" s="22" t="n">
        <x:f>MAX(0,MIN('Activities'!L670,270)-MAX('Activities'!K670,264))</x:f>
        <x:v>0</x:v>
      </x:c>
      <x:c r="AX670" s="22" t="n">
        <x:f>MAX(0,MIN('Activities'!L670,276)-MAX('Activities'!K670,270))</x:f>
        <x:v>0</x:v>
      </x:c>
      <x:c r="AY670" s="22" t="n">
        <x:f>MAX(0,MIN('Activities'!L670,282)-MAX('Activities'!K670,276))</x:f>
        <x:v>0</x:v>
      </x:c>
      <x:c r="AZ670" s="22" t="n">
        <x:f>MAX(0,MIN('Activities'!L670,288)-MAX('Activities'!K670,282))</x:f>
        <x:v>0</x:v>
      </x:c>
      <x:c r="BA670" s="22" t="n">
        <x:f>MAX(0,MIN('Activities'!L670,294)-MAX('Activities'!K670,288))</x:f>
        <x:v>0</x:v>
      </x:c>
      <x:c r="BB670" s="22" t="n">
        <x:f>MAX(0,MIN('Activities'!L670,300)-MAX('Activities'!K670,294))</x:f>
        <x:v>0</x:v>
      </x:c>
      <x:c r="BC670" s="22" t="n">
        <x:f>MAX(0,MIN('Activities'!L670,306)-MAX('Activities'!K670,300))</x:f>
        <x:v>0</x:v>
      </x:c>
      <x:c r="BD670" s="22" t="n">
        <x:f>MAX(0,MIN('Activities'!L670,312)-MAX('Activities'!K670,306))</x:f>
        <x:v>0</x:v>
      </x:c>
      <x:c r="BE670" s="22" t="n">
        <x:f>MAX(0,MIN('Activities'!L670,318)-MAX('Activities'!K670,312))</x:f>
        <x:v>0</x:v>
      </x:c>
      <x:c r="BF670" s="22" t="n">
        <x:f>MAX(0,MIN('Activities'!L670,324)-MAX('Activities'!K670,318))</x:f>
        <x:v>0</x:v>
      </x:c>
      <x:c r="BG670" s="22" t="n">
        <x:f>MAX(0,MIN('Activities'!L670,330)-MAX('Activities'!K670,324))</x:f>
        <x:v>0</x:v>
      </x:c>
      <x:c r="BH670" s="22" t="n">
        <x:f>MAX(0,MIN('Activities'!L670,336)-MAX('Activities'!K670,330))</x:f>
        <x:v>0</x:v>
      </x:c>
      <x:c r="BI670" s="22" t="n">
        <x:f>MAX(0,MIN('Activities'!L670,342)-MAX('Activities'!K670,336))</x:f>
        <x:v>0</x:v>
      </x:c>
      <x:c r="BJ670" s="22" t="n">
        <x:f>MAX(0,MIN('Activities'!L670,348)-MAX('Activities'!K670,342))</x:f>
        <x:v>0</x:v>
      </x:c>
      <x:c r="BK670" s="22" t="n">
        <x:f>MAX(0,MIN('Activities'!L670,354)-MAX('Activities'!K670,348))</x:f>
        <x:v>0</x:v>
      </x:c>
      <x:c r="BL670" s="22" t="n">
        <x:f>MAX(0,MIN('Activities'!L670,360)-MAX('Activities'!K670,354))</x:f>
        <x:v>0</x:v>
      </x:c>
      <x:c r="BM670" s="22" t="n">
        <x:f>MAX(0,MIN('Activities'!L670,366)-MAX('Activities'!K670,360))</x:f>
        <x:v>0</x:v>
      </x:c>
      <x:c r="BN670" s="22" t="n">
        <x:f>MAX(0,MIN('Activities'!L670,372)-MAX('Activities'!K670,366))</x:f>
        <x:v>0</x:v>
      </x:c>
      <x:c r="BO670" s="22" t="n">
        <x:f>MAX(0,MIN('Activities'!L670,378)-MAX('Activities'!K670,372))</x:f>
        <x:v>0</x:v>
      </x:c>
      <x:c r="BP670" s="22" t="n">
        <x:f>MAX(0,MIN('Activities'!L670,384)-MAX('Activities'!K670,378))</x:f>
        <x:v>0</x:v>
      </x:c>
      <x:c r="BQ670" s="22" t="n">
        <x:f>MAX(0,MIN('Activities'!L670,390)-MAX('Activities'!K670,384))</x:f>
        <x:v>0</x:v>
      </x:c>
      <x:c r="BR670" s="22" t="n">
        <x:f>MAX(0,MIN('Activities'!L670,396)-MAX('Activities'!K670,390))</x:f>
        <x:v>0</x:v>
      </x:c>
      <x:c r="BS670" s="22" t="n">
        <x:f>MAX(0,MIN('Activities'!L670,402)-MAX('Activities'!K670,396))</x:f>
        <x:v>0</x:v>
      </x:c>
      <x:c r="BT670" s="22" t="n">
        <x:f>MAX(0,MIN('Activities'!L670,408)-MAX('Activities'!K670,402))</x:f>
        <x:v>0</x:v>
      </x:c>
      <x:c r="BU670" s="22" t="n">
        <x:f>MAX(0,MIN('Activities'!L670,414)-MAX('Activities'!K670,408))</x:f>
        <x:v>0</x:v>
      </x:c>
      <x:c r="BV670" s="22" t="n">
        <x:f>MAX(0,MIN('Activities'!L670,420)-MAX('Activities'!K670,414))</x:f>
        <x:v>0</x:v>
      </x:c>
      <x:c r="BW670" s="22" t="n">
        <x:f>MAX(0,MIN('Activities'!L670,426)-MAX('Activities'!K670,420))</x:f>
        <x:v>0</x:v>
      </x:c>
      <x:c r="BX670" s="22" t="n">
        <x:f>MAX(0,MIN('Activities'!L670,432)-MAX('Activities'!K670,426))</x:f>
        <x:v>3</x:v>
      </x:c>
      <x:c r="BY670" s="22" t="n">
        <x:f>MAX(0,MIN('Activities'!L670,438)-MAX('Activities'!K670,432))</x:f>
        <x:v>3</x:v>
      </x:c>
      <x:c r="BZ670" s="22" t="n">
        <x:f>MAX(0,MIN('Activities'!L670,444)-MAX('Activities'!K670,438))</x:f>
        <x:v>0</x:v>
      </x:c>
      <x:c r="CA670" s="22" t="n">
        <x:f>MAX(0,MIN('Activities'!L670,450)-MAX('Activities'!K670,444))</x:f>
        <x:v>0</x:v>
      </x:c>
      <x:c r="CB670" s="22" t="n">
        <x:f>MAX(0,MIN('Activities'!L670,456)-MAX('Activities'!K670,450))</x:f>
        <x:v>0</x:v>
      </x:c>
      <x:c r="CC670" s="22" t="n">
        <x:f>MAX(0,MIN('Activities'!L670,462)-MAX('Activities'!K670,456))</x:f>
        <x:v>0</x:v>
      </x:c>
      <x:c r="CD670" s="22" t="n">
        <x:f>MAX(0,MIN('Activities'!L670,468)-MAX('Activities'!K670,462))</x:f>
        <x:v>0</x:v>
      </x:c>
      <x:c r="CE670" s="22" t="n">
        <x:f>MAX(0,MIN('Activities'!L670,474)-MAX('Activities'!K670,468))</x:f>
        <x:v>0</x:v>
      </x:c>
      <x:c r="CF670" s="22" t="n">
        <x:f>MAX(0,MIN('Activities'!L670,480)-MAX('Activities'!K670,474))</x:f>
        <x:v>0</x:v>
      </x:c>
      <x:c r="CG670" s="22" t="n">
        <x:f>MAX(0,MIN('Activities'!L670,486)-MAX('Activities'!K670,480))</x:f>
        <x:v>0</x:v>
      </x:c>
      <x:c r="CH670" s="22" t="n">
        <x:f>MAX(0,MIN('Activities'!L670,492)-MAX('Activities'!K670,486))</x:f>
        <x:v>0</x:v>
      </x:c>
      <x:c r="CI670" s="22" t="n">
        <x:f>MAX(0,MIN('Activities'!L670,498)-MAX('Activities'!K670,492))</x:f>
        <x:v>0</x:v>
      </x:c>
      <x:c r="CJ670" s="22" t="n">
        <x:f>MAX(0,MIN('Activities'!L670,504)-MAX('Activities'!K670,498))</x:f>
        <x:v>0</x:v>
      </x:c>
      <x:c r="CK670" s="22" t="n">
        <x:f>MAX(0,MIN('Activities'!L670,510)-MAX('Activities'!K670,504))</x:f>
        <x:v>0</x:v>
      </x:c>
      <x:c r="CL670" s="22" t="n">
        <x:f>MAX(0,MIN('Activities'!L670,516)-MAX('Activities'!K670,510))</x:f>
        <x:v>0</x:v>
      </x:c>
      <x:c r="CM670" s="22" t="n">
        <x:f>MAX(0,MIN('Activities'!L670,522)-MAX('Activities'!K670,516))</x:f>
        <x:v>0</x:v>
      </x:c>
      <x:c r="CN670" s="22" t="n">
        <x:f>MAX(0,MIN('Activities'!L670,528)-MAX('Activities'!K670,522))</x:f>
        <x:v>0</x:v>
      </x:c>
      <x:c r="CO670" s="22" t="n">
        <x:f>MAX(0,MIN('Activities'!L670,534)-MAX('Activities'!K670,528))</x:f>
        <x:v>0</x:v>
      </x:c>
      <x:c r="CP670" s="22" t="n">
        <x:f>MAX(0,MIN('Activities'!L670,540)-MAX('Activities'!K670,534))</x:f>
        <x:v>0</x:v>
      </x:c>
      <x:c r="CQ670" s="22" t="n">
        <x:f>MAX(0,MIN('Activities'!L670,546)-MAX('Activities'!K670,540))</x:f>
        <x:v>0</x:v>
      </x:c>
      <x:c r="CR670" s="22" t="n">
        <x:f>MAX(0,MIN('Activities'!L670,552)-MAX('Activities'!K670,546))</x:f>
        <x:v>0</x:v>
      </x:c>
      <x:c r="CS670" s="22" t="n">
        <x:f>MAX(0,MIN('Activities'!L670,558)-MAX('Activities'!K670,552))</x:f>
        <x:v>0</x:v>
      </x:c>
      <x:c r="CT670" s="22" t="n">
        <x:f>MAX(0,MIN('Activities'!L670,564)-MAX('Activities'!K670,558))</x:f>
        <x:v>0</x:v>
      </x:c>
      <x:c r="CU670" s="22" t="n">
        <x:f>MAX(0,MIN('Activities'!L670,570)-MAX('Activities'!K670,564))</x:f>
        <x:v>0</x:v>
      </x:c>
      <x:c r="CV670" s="22" t="n">
        <x:f>MAX(0,MIN('Activities'!L670,576)-MAX('Activities'!K670,570))</x:f>
        <x:v>0</x:v>
      </x:c>
      <x:c r="CW670" s="22" t="n">
        <x:f>MAX(0,MIN('Activities'!L670,582)-MAX('Activities'!K670,576))</x:f>
        <x:v>0</x:v>
      </x:c>
      <x:c r="CX670" s="22" t="n">
        <x:f>MAX(0,MIN('Activities'!L670,588)-MAX('Activities'!K670,582))</x:f>
        <x:v>0</x:v>
      </x:c>
      <x:c r="CY670" s="22" t="n">
        <x:f>MAX(0,MIN('Activities'!L670,594)-MAX('Activities'!K670,588))</x:f>
        <x:v>0</x:v>
      </x:c>
      <x:c r="CZ670" s="22" t="n">
        <x:f>MAX(0,MIN('Activities'!L670,600)-MAX('Activities'!K670,594))</x:f>
        <x:v>0</x:v>
      </x:c>
      <x:c r="DA670" s="22" t="n">
        <x:f>MAX(0,MIN('Activities'!L670,606)-MAX('Activities'!K670,600))</x:f>
        <x:v>0</x:v>
      </x:c>
      <x:c r="DB670" s="22" t="n">
        <x:f>MAX(0,MIN('Activities'!L670,612)-MAX('Activities'!K670,606))</x:f>
        <x:v>0</x:v>
      </x:c>
      <x:c r="DC670" s="22" t="n">
        <x:f>MAX(0,MIN('Activities'!L670,618)-MAX('Activities'!K670,612))</x:f>
        <x:v>0</x:v>
      </x:c>
      <x:c r="DD670" s="22" t="n">
        <x:f>MAX(0,MIN('Activities'!L670,624)-MAX('Activities'!K670,618))</x:f>
        <x:v>0</x:v>
      </x:c>
      <x:c r="DE670" s="22" t="n">
        <x:f>MAX(0,MIN('Activities'!L670,630)-MAX('Activities'!K670,624))</x:f>
        <x:v>0</x:v>
      </x:c>
      <x:c r="DF670" s="22" t="n">
        <x:f>MAX(0,MIN('Activities'!L670,636)-MAX('Activities'!K670,630))</x:f>
        <x:v>0</x:v>
      </x:c>
    </x:row>
    <x:row r="671" ht="23" customHeight="1">
      <x:c r="A671" s="1" t="str">
        <x:v>T5-L11-S</x:v>
      </x:c>
      <x:c r="B671" s="1" t="str">
        <x:v>T5</x:v>
      </x:c>
      <x:c r="C671" s="1" t="str">
        <x:v>Screed and substrate preparation</x:v>
      </x:c>
      <x:c r="D671" s="1" t="str">
        <x:v>Finishes</x:v>
      </x:c>
      <x:c r="E671" s="23" t="n">
        <x:f>MAX(0,MIN('Activities'!L671,6)-MAX('Activities'!K671,0))</x:f>
        <x:v>0</x:v>
      </x:c>
      <x:c r="F671" s="23" t="n">
        <x:f>MAX(0,MIN('Activities'!L671,12)-MAX('Activities'!K671,6))</x:f>
        <x:v>0</x:v>
      </x:c>
      <x:c r="G671" s="23" t="n">
        <x:f>MAX(0,MIN('Activities'!L671,18)-MAX('Activities'!K671,12))</x:f>
        <x:v>0</x:v>
      </x:c>
      <x:c r="H671" s="23" t="n">
        <x:f>MAX(0,MIN('Activities'!L671,24)-MAX('Activities'!K671,18))</x:f>
        <x:v>0</x:v>
      </x:c>
      <x:c r="I671" s="23" t="n">
        <x:f>MAX(0,MIN('Activities'!L671,30)-MAX('Activities'!K671,24))</x:f>
        <x:v>0</x:v>
      </x:c>
      <x:c r="J671" s="23" t="n">
        <x:f>MAX(0,MIN('Activities'!L671,36)-MAX('Activities'!K671,30))</x:f>
        <x:v>0</x:v>
      </x:c>
      <x:c r="K671" s="23" t="n">
        <x:f>MAX(0,MIN('Activities'!L671,42)-MAX('Activities'!K671,36))</x:f>
        <x:v>0</x:v>
      </x:c>
      <x:c r="L671" s="23" t="n">
        <x:f>MAX(0,MIN('Activities'!L671,48)-MAX('Activities'!K671,42))</x:f>
        <x:v>0</x:v>
      </x:c>
      <x:c r="M671" s="23" t="n">
        <x:f>MAX(0,MIN('Activities'!L671,54)-MAX('Activities'!K671,48))</x:f>
        <x:v>0</x:v>
      </x:c>
      <x:c r="N671" s="23" t="n">
        <x:f>MAX(0,MIN('Activities'!L671,60)-MAX('Activities'!K671,54))</x:f>
        <x:v>0</x:v>
      </x:c>
      <x:c r="O671" s="23" t="n">
        <x:f>MAX(0,MIN('Activities'!L671,66)-MAX('Activities'!K671,60))</x:f>
        <x:v>0</x:v>
      </x:c>
      <x:c r="P671" s="23" t="n">
        <x:f>MAX(0,MIN('Activities'!L671,72)-MAX('Activities'!K671,66))</x:f>
        <x:v>0</x:v>
      </x:c>
      <x:c r="Q671" s="23" t="n">
        <x:f>MAX(0,MIN('Activities'!L671,78)-MAX('Activities'!K671,72))</x:f>
        <x:v>0</x:v>
      </x:c>
      <x:c r="R671" s="23" t="n">
        <x:f>MAX(0,MIN('Activities'!L671,84)-MAX('Activities'!K671,78))</x:f>
        <x:v>0</x:v>
      </x:c>
      <x:c r="S671" s="23" t="n">
        <x:f>MAX(0,MIN('Activities'!L671,90)-MAX('Activities'!K671,84))</x:f>
        <x:v>0</x:v>
      </x:c>
      <x:c r="T671" s="23" t="n">
        <x:f>MAX(0,MIN('Activities'!L671,96)-MAX('Activities'!K671,90))</x:f>
        <x:v>0</x:v>
      </x:c>
      <x:c r="U671" s="23" t="n">
        <x:f>MAX(0,MIN('Activities'!L671,102)-MAX('Activities'!K671,96))</x:f>
        <x:v>0</x:v>
      </x:c>
      <x:c r="V671" s="23" t="n">
        <x:f>MAX(0,MIN('Activities'!L671,108)-MAX('Activities'!K671,102))</x:f>
        <x:v>0</x:v>
      </x:c>
      <x:c r="W671" s="23" t="n">
        <x:f>MAX(0,MIN('Activities'!L671,114)-MAX('Activities'!K671,108))</x:f>
        <x:v>0</x:v>
      </x:c>
      <x:c r="X671" s="23" t="n">
        <x:f>MAX(0,MIN('Activities'!L671,120)-MAX('Activities'!K671,114))</x:f>
        <x:v>0</x:v>
      </x:c>
      <x:c r="Y671" s="23" t="n">
        <x:f>MAX(0,MIN('Activities'!L671,126)-MAX('Activities'!K671,120))</x:f>
        <x:v>0</x:v>
      </x:c>
      <x:c r="Z671" s="23" t="n">
        <x:f>MAX(0,MIN('Activities'!L671,132)-MAX('Activities'!K671,126))</x:f>
        <x:v>0</x:v>
      </x:c>
      <x:c r="AA671" s="23" t="n">
        <x:f>MAX(0,MIN('Activities'!L671,138)-MAX('Activities'!K671,132))</x:f>
        <x:v>0</x:v>
      </x:c>
      <x:c r="AB671" s="23" t="n">
        <x:f>MAX(0,MIN('Activities'!L671,144)-MAX('Activities'!K671,138))</x:f>
        <x:v>0</x:v>
      </x:c>
      <x:c r="AC671" s="23" t="n">
        <x:f>MAX(0,MIN('Activities'!L671,150)-MAX('Activities'!K671,144))</x:f>
        <x:v>0</x:v>
      </x:c>
      <x:c r="AD671" s="23" t="n">
        <x:f>MAX(0,MIN('Activities'!L671,156)-MAX('Activities'!K671,150))</x:f>
        <x:v>0</x:v>
      </x:c>
      <x:c r="AE671" s="23" t="n">
        <x:f>MAX(0,MIN('Activities'!L671,162)-MAX('Activities'!K671,156))</x:f>
        <x:v>0</x:v>
      </x:c>
      <x:c r="AF671" s="23" t="n">
        <x:f>MAX(0,MIN('Activities'!L671,168)-MAX('Activities'!K671,162))</x:f>
        <x:v>0</x:v>
      </x:c>
      <x:c r="AG671" s="23" t="n">
        <x:f>MAX(0,MIN('Activities'!L671,174)-MAX('Activities'!K671,168))</x:f>
        <x:v>0</x:v>
      </x:c>
      <x:c r="AH671" s="23" t="n">
        <x:f>MAX(0,MIN('Activities'!L671,180)-MAX('Activities'!K671,174))</x:f>
        <x:v>0</x:v>
      </x:c>
      <x:c r="AI671" s="23" t="n">
        <x:f>MAX(0,MIN('Activities'!L671,186)-MAX('Activities'!K671,180))</x:f>
        <x:v>0</x:v>
      </x:c>
      <x:c r="AJ671" s="23" t="n">
        <x:f>MAX(0,MIN('Activities'!L671,192)-MAX('Activities'!K671,186))</x:f>
        <x:v>0</x:v>
      </x:c>
      <x:c r="AK671" s="23" t="n">
        <x:f>MAX(0,MIN('Activities'!L671,198)-MAX('Activities'!K671,192))</x:f>
        <x:v>0</x:v>
      </x:c>
      <x:c r="AL671" s="23" t="n">
        <x:f>MAX(0,MIN('Activities'!L671,204)-MAX('Activities'!K671,198))</x:f>
        <x:v>0</x:v>
      </x:c>
      <x:c r="AM671" s="23" t="n">
        <x:f>MAX(0,MIN('Activities'!L671,210)-MAX('Activities'!K671,204))</x:f>
        <x:v>0</x:v>
      </x:c>
      <x:c r="AN671" s="23" t="n">
        <x:f>MAX(0,MIN('Activities'!L671,216)-MAX('Activities'!K671,210))</x:f>
        <x:v>0</x:v>
      </x:c>
      <x:c r="AO671" s="23" t="n">
        <x:f>MAX(0,MIN('Activities'!L671,222)-MAX('Activities'!K671,216))</x:f>
        <x:v>0</x:v>
      </x:c>
      <x:c r="AP671" s="23" t="n">
        <x:f>MAX(0,MIN('Activities'!L671,228)-MAX('Activities'!K671,222))</x:f>
        <x:v>0</x:v>
      </x:c>
      <x:c r="AQ671" s="23" t="n">
        <x:f>MAX(0,MIN('Activities'!L671,234)-MAX('Activities'!K671,228))</x:f>
        <x:v>0</x:v>
      </x:c>
      <x:c r="AR671" s="23" t="n">
        <x:f>MAX(0,MIN('Activities'!L671,240)-MAX('Activities'!K671,234))</x:f>
        <x:v>0</x:v>
      </x:c>
      <x:c r="AS671" s="23" t="n">
        <x:f>MAX(0,MIN('Activities'!L671,246)-MAX('Activities'!K671,240))</x:f>
        <x:v>0</x:v>
      </x:c>
      <x:c r="AT671" s="23" t="n">
        <x:f>MAX(0,MIN('Activities'!L671,252)-MAX('Activities'!K671,246))</x:f>
        <x:v>0</x:v>
      </x:c>
      <x:c r="AU671" s="23" t="n">
        <x:f>MAX(0,MIN('Activities'!L671,258)-MAX('Activities'!K671,252))</x:f>
        <x:v>0</x:v>
      </x:c>
      <x:c r="AV671" s="23" t="n">
        <x:f>MAX(0,MIN('Activities'!L671,264)-MAX('Activities'!K671,258))</x:f>
        <x:v>0</x:v>
      </x:c>
      <x:c r="AW671" s="23" t="n">
        <x:f>MAX(0,MIN('Activities'!L671,270)-MAX('Activities'!K671,264))</x:f>
        <x:v>0</x:v>
      </x:c>
      <x:c r="AX671" s="23" t="n">
        <x:f>MAX(0,MIN('Activities'!L671,276)-MAX('Activities'!K671,270))</x:f>
        <x:v>0</x:v>
      </x:c>
      <x:c r="AY671" s="23" t="n">
        <x:f>MAX(0,MIN('Activities'!L671,282)-MAX('Activities'!K671,276))</x:f>
        <x:v>0</x:v>
      </x:c>
      <x:c r="AZ671" s="23" t="n">
        <x:f>MAX(0,MIN('Activities'!L671,288)-MAX('Activities'!K671,282))</x:f>
        <x:v>0</x:v>
      </x:c>
      <x:c r="BA671" s="23" t="n">
        <x:f>MAX(0,MIN('Activities'!L671,294)-MAX('Activities'!K671,288))</x:f>
        <x:v>0</x:v>
      </x:c>
      <x:c r="BB671" s="23" t="n">
        <x:f>MAX(0,MIN('Activities'!L671,300)-MAX('Activities'!K671,294))</x:f>
        <x:v>0</x:v>
      </x:c>
      <x:c r="BC671" s="23" t="n">
        <x:f>MAX(0,MIN('Activities'!L671,306)-MAX('Activities'!K671,300))</x:f>
        <x:v>0</x:v>
      </x:c>
      <x:c r="BD671" s="23" t="n">
        <x:f>MAX(0,MIN('Activities'!L671,312)-MAX('Activities'!K671,306))</x:f>
        <x:v>0</x:v>
      </x:c>
      <x:c r="BE671" s="23" t="n">
        <x:f>MAX(0,MIN('Activities'!L671,318)-MAX('Activities'!K671,312))</x:f>
        <x:v>0</x:v>
      </x:c>
      <x:c r="BF671" s="23" t="n">
        <x:f>MAX(0,MIN('Activities'!L671,324)-MAX('Activities'!K671,318))</x:f>
        <x:v>0</x:v>
      </x:c>
      <x:c r="BG671" s="23" t="n">
        <x:f>MAX(0,MIN('Activities'!L671,330)-MAX('Activities'!K671,324))</x:f>
        <x:v>0</x:v>
      </x:c>
      <x:c r="BH671" s="23" t="n">
        <x:f>MAX(0,MIN('Activities'!L671,336)-MAX('Activities'!K671,330))</x:f>
        <x:v>0</x:v>
      </x:c>
      <x:c r="BI671" s="23" t="n">
        <x:f>MAX(0,MIN('Activities'!L671,342)-MAX('Activities'!K671,336))</x:f>
        <x:v>0</x:v>
      </x:c>
      <x:c r="BJ671" s="23" t="n">
        <x:f>MAX(0,MIN('Activities'!L671,348)-MAX('Activities'!K671,342))</x:f>
        <x:v>0</x:v>
      </x:c>
      <x:c r="BK671" s="23" t="n">
        <x:f>MAX(0,MIN('Activities'!L671,354)-MAX('Activities'!K671,348))</x:f>
        <x:v>0</x:v>
      </x:c>
      <x:c r="BL671" s="23" t="n">
        <x:f>MAX(0,MIN('Activities'!L671,360)-MAX('Activities'!K671,354))</x:f>
        <x:v>0</x:v>
      </x:c>
      <x:c r="BM671" s="23" t="n">
        <x:f>MAX(0,MIN('Activities'!L671,366)-MAX('Activities'!K671,360))</x:f>
        <x:v>0</x:v>
      </x:c>
      <x:c r="BN671" s="23" t="n">
        <x:f>MAX(0,MIN('Activities'!L671,372)-MAX('Activities'!K671,366))</x:f>
        <x:v>0</x:v>
      </x:c>
      <x:c r="BO671" s="23" t="n">
        <x:f>MAX(0,MIN('Activities'!L671,378)-MAX('Activities'!K671,372))</x:f>
        <x:v>0</x:v>
      </x:c>
      <x:c r="BP671" s="23" t="n">
        <x:f>MAX(0,MIN('Activities'!L671,384)-MAX('Activities'!K671,378))</x:f>
        <x:v>0</x:v>
      </x:c>
      <x:c r="BQ671" s="23" t="n">
        <x:f>MAX(0,MIN('Activities'!L671,390)-MAX('Activities'!K671,384))</x:f>
        <x:v>0</x:v>
      </x:c>
      <x:c r="BR671" s="23" t="n">
        <x:f>MAX(0,MIN('Activities'!L671,396)-MAX('Activities'!K671,390))</x:f>
        <x:v>0</x:v>
      </x:c>
      <x:c r="BS671" s="23" t="n">
        <x:f>MAX(0,MIN('Activities'!L671,402)-MAX('Activities'!K671,396))</x:f>
        <x:v>0</x:v>
      </x:c>
      <x:c r="BT671" s="23" t="n">
        <x:f>MAX(0,MIN('Activities'!L671,408)-MAX('Activities'!K671,402))</x:f>
        <x:v>0</x:v>
      </x:c>
      <x:c r="BU671" s="23" t="n">
        <x:f>MAX(0,MIN('Activities'!L671,414)-MAX('Activities'!K671,408))</x:f>
        <x:v>0</x:v>
      </x:c>
      <x:c r="BV671" s="23" t="n">
        <x:f>MAX(0,MIN('Activities'!L671,420)-MAX('Activities'!K671,414))</x:f>
        <x:v>0</x:v>
      </x:c>
      <x:c r="BW671" s="23" t="n">
        <x:f>MAX(0,MIN('Activities'!L671,426)-MAX('Activities'!K671,420))</x:f>
        <x:v>0</x:v>
      </x:c>
      <x:c r="BX671" s="23" t="n">
        <x:f>MAX(0,MIN('Activities'!L671,432)-MAX('Activities'!K671,426))</x:f>
        <x:v>0</x:v>
      </x:c>
      <x:c r="BY671" s="23" t="n">
        <x:f>MAX(0,MIN('Activities'!L671,438)-MAX('Activities'!K671,432))</x:f>
        <x:v>1</x:v>
      </x:c>
      <x:c r="BZ671" s="23" t="n">
        <x:f>MAX(0,MIN('Activities'!L671,444)-MAX('Activities'!K671,438))</x:f>
        <x:v>2</x:v>
      </x:c>
      <x:c r="CA671" s="23" t="n">
        <x:f>MAX(0,MIN('Activities'!L671,450)-MAX('Activities'!K671,444))</x:f>
        <x:v>0</x:v>
      </x:c>
      <x:c r="CB671" s="23" t="n">
        <x:f>MAX(0,MIN('Activities'!L671,456)-MAX('Activities'!K671,450))</x:f>
        <x:v>0</x:v>
      </x:c>
      <x:c r="CC671" s="23" t="n">
        <x:f>MAX(0,MIN('Activities'!L671,462)-MAX('Activities'!K671,456))</x:f>
        <x:v>0</x:v>
      </x:c>
      <x:c r="CD671" s="23" t="n">
        <x:f>MAX(0,MIN('Activities'!L671,468)-MAX('Activities'!K671,462))</x:f>
        <x:v>0</x:v>
      </x:c>
      <x:c r="CE671" s="23" t="n">
        <x:f>MAX(0,MIN('Activities'!L671,474)-MAX('Activities'!K671,468))</x:f>
        <x:v>0</x:v>
      </x:c>
      <x:c r="CF671" s="23" t="n">
        <x:f>MAX(0,MIN('Activities'!L671,480)-MAX('Activities'!K671,474))</x:f>
        <x:v>0</x:v>
      </x:c>
      <x:c r="CG671" s="23" t="n">
        <x:f>MAX(0,MIN('Activities'!L671,486)-MAX('Activities'!K671,480))</x:f>
        <x:v>0</x:v>
      </x:c>
      <x:c r="CH671" s="23" t="n">
        <x:f>MAX(0,MIN('Activities'!L671,492)-MAX('Activities'!K671,486))</x:f>
        <x:v>0</x:v>
      </x:c>
      <x:c r="CI671" s="23" t="n">
        <x:f>MAX(0,MIN('Activities'!L671,498)-MAX('Activities'!K671,492))</x:f>
        <x:v>0</x:v>
      </x:c>
      <x:c r="CJ671" s="23" t="n">
        <x:f>MAX(0,MIN('Activities'!L671,504)-MAX('Activities'!K671,498))</x:f>
        <x:v>0</x:v>
      </x:c>
      <x:c r="CK671" s="23" t="n">
        <x:f>MAX(0,MIN('Activities'!L671,510)-MAX('Activities'!K671,504))</x:f>
        <x:v>0</x:v>
      </x:c>
      <x:c r="CL671" s="23" t="n">
        <x:f>MAX(0,MIN('Activities'!L671,516)-MAX('Activities'!K671,510))</x:f>
        <x:v>0</x:v>
      </x:c>
      <x:c r="CM671" s="23" t="n">
        <x:f>MAX(0,MIN('Activities'!L671,522)-MAX('Activities'!K671,516))</x:f>
        <x:v>0</x:v>
      </x:c>
      <x:c r="CN671" s="23" t="n">
        <x:f>MAX(0,MIN('Activities'!L671,528)-MAX('Activities'!K671,522))</x:f>
        <x:v>0</x:v>
      </x:c>
      <x:c r="CO671" s="23" t="n">
        <x:f>MAX(0,MIN('Activities'!L671,534)-MAX('Activities'!K671,528))</x:f>
        <x:v>0</x:v>
      </x:c>
      <x:c r="CP671" s="23" t="n">
        <x:f>MAX(0,MIN('Activities'!L671,540)-MAX('Activities'!K671,534))</x:f>
        <x:v>0</x:v>
      </x:c>
      <x:c r="CQ671" s="23" t="n">
        <x:f>MAX(0,MIN('Activities'!L671,546)-MAX('Activities'!K671,540))</x:f>
        <x:v>0</x:v>
      </x:c>
      <x:c r="CR671" s="23" t="n">
        <x:f>MAX(0,MIN('Activities'!L671,552)-MAX('Activities'!K671,546))</x:f>
        <x:v>0</x:v>
      </x:c>
      <x:c r="CS671" s="23" t="n">
        <x:f>MAX(0,MIN('Activities'!L671,558)-MAX('Activities'!K671,552))</x:f>
        <x:v>0</x:v>
      </x:c>
      <x:c r="CT671" s="23" t="n">
        <x:f>MAX(0,MIN('Activities'!L671,564)-MAX('Activities'!K671,558))</x:f>
        <x:v>0</x:v>
      </x:c>
      <x:c r="CU671" s="23" t="n">
        <x:f>MAX(0,MIN('Activities'!L671,570)-MAX('Activities'!K671,564))</x:f>
        <x:v>0</x:v>
      </x:c>
      <x:c r="CV671" s="23" t="n">
        <x:f>MAX(0,MIN('Activities'!L671,576)-MAX('Activities'!K671,570))</x:f>
        <x:v>0</x:v>
      </x:c>
      <x:c r="CW671" s="23" t="n">
        <x:f>MAX(0,MIN('Activities'!L671,582)-MAX('Activities'!K671,576))</x:f>
        <x:v>0</x:v>
      </x:c>
      <x:c r="CX671" s="23" t="n">
        <x:f>MAX(0,MIN('Activities'!L671,588)-MAX('Activities'!K671,582))</x:f>
        <x:v>0</x:v>
      </x:c>
      <x:c r="CY671" s="23" t="n">
        <x:f>MAX(0,MIN('Activities'!L671,594)-MAX('Activities'!K671,588))</x:f>
        <x:v>0</x:v>
      </x:c>
      <x:c r="CZ671" s="23" t="n">
        <x:f>MAX(0,MIN('Activities'!L671,600)-MAX('Activities'!K671,594))</x:f>
        <x:v>0</x:v>
      </x:c>
      <x:c r="DA671" s="23" t="n">
        <x:f>MAX(0,MIN('Activities'!L671,606)-MAX('Activities'!K671,600))</x:f>
        <x:v>0</x:v>
      </x:c>
      <x:c r="DB671" s="23" t="n">
        <x:f>MAX(0,MIN('Activities'!L671,612)-MAX('Activities'!K671,606))</x:f>
        <x:v>0</x:v>
      </x:c>
      <x:c r="DC671" s="23" t="n">
        <x:f>MAX(0,MIN('Activities'!L671,618)-MAX('Activities'!K671,612))</x:f>
        <x:v>0</x:v>
      </x:c>
      <x:c r="DD671" s="23" t="n">
        <x:f>MAX(0,MIN('Activities'!L671,624)-MAX('Activities'!K671,618))</x:f>
        <x:v>0</x:v>
      </x:c>
      <x:c r="DE671" s="23" t="n">
        <x:f>MAX(0,MIN('Activities'!L671,630)-MAX('Activities'!K671,624))</x:f>
        <x:v>0</x:v>
      </x:c>
      <x:c r="DF671" s="23" t="n">
        <x:f>MAX(0,MIN('Activities'!L671,636)-MAX('Activities'!K671,630))</x:f>
        <x:v>0</x:v>
      </x:c>
    </x:row>
    <x:row r="672" ht="23" customHeight="1">
      <x:c r="A672" s="6" t="str">
        <x:v>T5-L11-T</x:v>
      </x:c>
      <x:c r="B672" s="6" t="str">
        <x:v>T5</x:v>
      </x:c>
      <x:c r="C672" s="6" t="str">
        <x:v>Floor finishes and skirtings</x:v>
      </x:c>
      <x:c r="D672" s="6" t="str">
        <x:v>Finishes</x:v>
      </x:c>
      <x:c r="E672" s="22" t="n">
        <x:f>MAX(0,MIN('Activities'!L672,6)-MAX('Activities'!K672,0))</x:f>
        <x:v>0</x:v>
      </x:c>
      <x:c r="F672" s="22" t="n">
        <x:f>MAX(0,MIN('Activities'!L672,12)-MAX('Activities'!K672,6))</x:f>
        <x:v>0</x:v>
      </x:c>
      <x:c r="G672" s="22" t="n">
        <x:f>MAX(0,MIN('Activities'!L672,18)-MAX('Activities'!K672,12))</x:f>
        <x:v>0</x:v>
      </x:c>
      <x:c r="H672" s="22" t="n">
        <x:f>MAX(0,MIN('Activities'!L672,24)-MAX('Activities'!K672,18))</x:f>
        <x:v>0</x:v>
      </x:c>
      <x:c r="I672" s="22" t="n">
        <x:f>MAX(0,MIN('Activities'!L672,30)-MAX('Activities'!K672,24))</x:f>
        <x:v>0</x:v>
      </x:c>
      <x:c r="J672" s="22" t="n">
        <x:f>MAX(0,MIN('Activities'!L672,36)-MAX('Activities'!K672,30))</x:f>
        <x:v>0</x:v>
      </x:c>
      <x:c r="K672" s="22" t="n">
        <x:f>MAX(0,MIN('Activities'!L672,42)-MAX('Activities'!K672,36))</x:f>
        <x:v>0</x:v>
      </x:c>
      <x:c r="L672" s="22" t="n">
        <x:f>MAX(0,MIN('Activities'!L672,48)-MAX('Activities'!K672,42))</x:f>
        <x:v>0</x:v>
      </x:c>
      <x:c r="M672" s="22" t="n">
        <x:f>MAX(0,MIN('Activities'!L672,54)-MAX('Activities'!K672,48))</x:f>
        <x:v>0</x:v>
      </x:c>
      <x:c r="N672" s="22" t="n">
        <x:f>MAX(0,MIN('Activities'!L672,60)-MAX('Activities'!K672,54))</x:f>
        <x:v>0</x:v>
      </x:c>
      <x:c r="O672" s="22" t="n">
        <x:f>MAX(0,MIN('Activities'!L672,66)-MAX('Activities'!K672,60))</x:f>
        <x:v>0</x:v>
      </x:c>
      <x:c r="P672" s="22" t="n">
        <x:f>MAX(0,MIN('Activities'!L672,72)-MAX('Activities'!K672,66))</x:f>
        <x:v>0</x:v>
      </x:c>
      <x:c r="Q672" s="22" t="n">
        <x:f>MAX(0,MIN('Activities'!L672,78)-MAX('Activities'!K672,72))</x:f>
        <x:v>0</x:v>
      </x:c>
      <x:c r="R672" s="22" t="n">
        <x:f>MAX(0,MIN('Activities'!L672,84)-MAX('Activities'!K672,78))</x:f>
        <x:v>0</x:v>
      </x:c>
      <x:c r="S672" s="22" t="n">
        <x:f>MAX(0,MIN('Activities'!L672,90)-MAX('Activities'!K672,84))</x:f>
        <x:v>0</x:v>
      </x:c>
      <x:c r="T672" s="22" t="n">
        <x:f>MAX(0,MIN('Activities'!L672,96)-MAX('Activities'!K672,90))</x:f>
        <x:v>0</x:v>
      </x:c>
      <x:c r="U672" s="22" t="n">
        <x:f>MAX(0,MIN('Activities'!L672,102)-MAX('Activities'!K672,96))</x:f>
        <x:v>0</x:v>
      </x:c>
      <x:c r="V672" s="22" t="n">
        <x:f>MAX(0,MIN('Activities'!L672,108)-MAX('Activities'!K672,102))</x:f>
        <x:v>0</x:v>
      </x:c>
      <x:c r="W672" s="22" t="n">
        <x:f>MAX(0,MIN('Activities'!L672,114)-MAX('Activities'!K672,108))</x:f>
        <x:v>0</x:v>
      </x:c>
      <x:c r="X672" s="22" t="n">
        <x:f>MAX(0,MIN('Activities'!L672,120)-MAX('Activities'!K672,114))</x:f>
        <x:v>0</x:v>
      </x:c>
      <x:c r="Y672" s="22" t="n">
        <x:f>MAX(0,MIN('Activities'!L672,126)-MAX('Activities'!K672,120))</x:f>
        <x:v>0</x:v>
      </x:c>
      <x:c r="Z672" s="22" t="n">
        <x:f>MAX(0,MIN('Activities'!L672,132)-MAX('Activities'!K672,126))</x:f>
        <x:v>0</x:v>
      </x:c>
      <x:c r="AA672" s="22" t="n">
        <x:f>MAX(0,MIN('Activities'!L672,138)-MAX('Activities'!K672,132))</x:f>
        <x:v>0</x:v>
      </x:c>
      <x:c r="AB672" s="22" t="n">
        <x:f>MAX(0,MIN('Activities'!L672,144)-MAX('Activities'!K672,138))</x:f>
        <x:v>0</x:v>
      </x:c>
      <x:c r="AC672" s="22" t="n">
        <x:f>MAX(0,MIN('Activities'!L672,150)-MAX('Activities'!K672,144))</x:f>
        <x:v>0</x:v>
      </x:c>
      <x:c r="AD672" s="22" t="n">
        <x:f>MAX(0,MIN('Activities'!L672,156)-MAX('Activities'!K672,150))</x:f>
        <x:v>0</x:v>
      </x:c>
      <x:c r="AE672" s="22" t="n">
        <x:f>MAX(0,MIN('Activities'!L672,162)-MAX('Activities'!K672,156))</x:f>
        <x:v>0</x:v>
      </x:c>
      <x:c r="AF672" s="22" t="n">
        <x:f>MAX(0,MIN('Activities'!L672,168)-MAX('Activities'!K672,162))</x:f>
        <x:v>0</x:v>
      </x:c>
      <x:c r="AG672" s="22" t="n">
        <x:f>MAX(0,MIN('Activities'!L672,174)-MAX('Activities'!K672,168))</x:f>
        <x:v>0</x:v>
      </x:c>
      <x:c r="AH672" s="22" t="n">
        <x:f>MAX(0,MIN('Activities'!L672,180)-MAX('Activities'!K672,174))</x:f>
        <x:v>0</x:v>
      </x:c>
      <x:c r="AI672" s="22" t="n">
        <x:f>MAX(0,MIN('Activities'!L672,186)-MAX('Activities'!K672,180))</x:f>
        <x:v>0</x:v>
      </x:c>
      <x:c r="AJ672" s="22" t="n">
        <x:f>MAX(0,MIN('Activities'!L672,192)-MAX('Activities'!K672,186))</x:f>
        <x:v>0</x:v>
      </x:c>
      <x:c r="AK672" s="22" t="n">
        <x:f>MAX(0,MIN('Activities'!L672,198)-MAX('Activities'!K672,192))</x:f>
        <x:v>0</x:v>
      </x:c>
      <x:c r="AL672" s="22" t="n">
        <x:f>MAX(0,MIN('Activities'!L672,204)-MAX('Activities'!K672,198))</x:f>
        <x:v>0</x:v>
      </x:c>
      <x:c r="AM672" s="22" t="n">
        <x:f>MAX(0,MIN('Activities'!L672,210)-MAX('Activities'!K672,204))</x:f>
        <x:v>0</x:v>
      </x:c>
      <x:c r="AN672" s="22" t="n">
        <x:f>MAX(0,MIN('Activities'!L672,216)-MAX('Activities'!K672,210))</x:f>
        <x:v>0</x:v>
      </x:c>
      <x:c r="AO672" s="22" t="n">
        <x:f>MAX(0,MIN('Activities'!L672,222)-MAX('Activities'!K672,216))</x:f>
        <x:v>0</x:v>
      </x:c>
      <x:c r="AP672" s="22" t="n">
        <x:f>MAX(0,MIN('Activities'!L672,228)-MAX('Activities'!K672,222))</x:f>
        <x:v>0</x:v>
      </x:c>
      <x:c r="AQ672" s="22" t="n">
        <x:f>MAX(0,MIN('Activities'!L672,234)-MAX('Activities'!K672,228))</x:f>
        <x:v>0</x:v>
      </x:c>
      <x:c r="AR672" s="22" t="n">
        <x:f>MAX(0,MIN('Activities'!L672,240)-MAX('Activities'!K672,234))</x:f>
        <x:v>0</x:v>
      </x:c>
      <x:c r="AS672" s="22" t="n">
        <x:f>MAX(0,MIN('Activities'!L672,246)-MAX('Activities'!K672,240))</x:f>
        <x:v>0</x:v>
      </x:c>
      <x:c r="AT672" s="22" t="n">
        <x:f>MAX(0,MIN('Activities'!L672,252)-MAX('Activities'!K672,246))</x:f>
        <x:v>0</x:v>
      </x:c>
      <x:c r="AU672" s="22" t="n">
        <x:f>MAX(0,MIN('Activities'!L672,258)-MAX('Activities'!K672,252))</x:f>
        <x:v>0</x:v>
      </x:c>
      <x:c r="AV672" s="22" t="n">
        <x:f>MAX(0,MIN('Activities'!L672,264)-MAX('Activities'!K672,258))</x:f>
        <x:v>0</x:v>
      </x:c>
      <x:c r="AW672" s="22" t="n">
        <x:f>MAX(0,MIN('Activities'!L672,270)-MAX('Activities'!K672,264))</x:f>
        <x:v>0</x:v>
      </x:c>
      <x:c r="AX672" s="22" t="n">
        <x:f>MAX(0,MIN('Activities'!L672,276)-MAX('Activities'!K672,270))</x:f>
        <x:v>0</x:v>
      </x:c>
      <x:c r="AY672" s="22" t="n">
        <x:f>MAX(0,MIN('Activities'!L672,282)-MAX('Activities'!K672,276))</x:f>
        <x:v>0</x:v>
      </x:c>
      <x:c r="AZ672" s="22" t="n">
        <x:f>MAX(0,MIN('Activities'!L672,288)-MAX('Activities'!K672,282))</x:f>
        <x:v>0</x:v>
      </x:c>
      <x:c r="BA672" s="22" t="n">
        <x:f>MAX(0,MIN('Activities'!L672,294)-MAX('Activities'!K672,288))</x:f>
        <x:v>0</x:v>
      </x:c>
      <x:c r="BB672" s="22" t="n">
        <x:f>MAX(0,MIN('Activities'!L672,300)-MAX('Activities'!K672,294))</x:f>
        <x:v>0</x:v>
      </x:c>
      <x:c r="BC672" s="22" t="n">
        <x:f>MAX(0,MIN('Activities'!L672,306)-MAX('Activities'!K672,300))</x:f>
        <x:v>0</x:v>
      </x:c>
      <x:c r="BD672" s="22" t="n">
        <x:f>MAX(0,MIN('Activities'!L672,312)-MAX('Activities'!K672,306))</x:f>
        <x:v>0</x:v>
      </x:c>
      <x:c r="BE672" s="22" t="n">
        <x:f>MAX(0,MIN('Activities'!L672,318)-MAX('Activities'!K672,312))</x:f>
        <x:v>0</x:v>
      </x:c>
      <x:c r="BF672" s="22" t="n">
        <x:f>MAX(0,MIN('Activities'!L672,324)-MAX('Activities'!K672,318))</x:f>
        <x:v>0</x:v>
      </x:c>
      <x:c r="BG672" s="22" t="n">
        <x:f>MAX(0,MIN('Activities'!L672,330)-MAX('Activities'!K672,324))</x:f>
        <x:v>0</x:v>
      </x:c>
      <x:c r="BH672" s="22" t="n">
        <x:f>MAX(0,MIN('Activities'!L672,336)-MAX('Activities'!K672,330))</x:f>
        <x:v>0</x:v>
      </x:c>
      <x:c r="BI672" s="22" t="n">
        <x:f>MAX(0,MIN('Activities'!L672,342)-MAX('Activities'!K672,336))</x:f>
        <x:v>0</x:v>
      </x:c>
      <x:c r="BJ672" s="22" t="n">
        <x:f>MAX(0,MIN('Activities'!L672,348)-MAX('Activities'!K672,342))</x:f>
        <x:v>0</x:v>
      </x:c>
      <x:c r="BK672" s="22" t="n">
        <x:f>MAX(0,MIN('Activities'!L672,354)-MAX('Activities'!K672,348))</x:f>
        <x:v>0</x:v>
      </x:c>
      <x:c r="BL672" s="22" t="n">
        <x:f>MAX(0,MIN('Activities'!L672,360)-MAX('Activities'!K672,354))</x:f>
        <x:v>0</x:v>
      </x:c>
      <x:c r="BM672" s="22" t="n">
        <x:f>MAX(0,MIN('Activities'!L672,366)-MAX('Activities'!K672,360))</x:f>
        <x:v>0</x:v>
      </x:c>
      <x:c r="BN672" s="22" t="n">
        <x:f>MAX(0,MIN('Activities'!L672,372)-MAX('Activities'!K672,366))</x:f>
        <x:v>0</x:v>
      </x:c>
      <x:c r="BO672" s="22" t="n">
        <x:f>MAX(0,MIN('Activities'!L672,378)-MAX('Activities'!K672,372))</x:f>
        <x:v>0</x:v>
      </x:c>
      <x:c r="BP672" s="22" t="n">
        <x:f>MAX(0,MIN('Activities'!L672,384)-MAX('Activities'!K672,378))</x:f>
        <x:v>0</x:v>
      </x:c>
      <x:c r="BQ672" s="22" t="n">
        <x:f>MAX(0,MIN('Activities'!L672,390)-MAX('Activities'!K672,384))</x:f>
        <x:v>0</x:v>
      </x:c>
      <x:c r="BR672" s="22" t="n">
        <x:f>MAX(0,MIN('Activities'!L672,396)-MAX('Activities'!K672,390))</x:f>
        <x:v>0</x:v>
      </x:c>
      <x:c r="BS672" s="22" t="n">
        <x:f>MAX(0,MIN('Activities'!L672,402)-MAX('Activities'!K672,396))</x:f>
        <x:v>0</x:v>
      </x:c>
      <x:c r="BT672" s="22" t="n">
        <x:f>MAX(0,MIN('Activities'!L672,408)-MAX('Activities'!K672,402))</x:f>
        <x:v>0</x:v>
      </x:c>
      <x:c r="BU672" s="22" t="n">
        <x:f>MAX(0,MIN('Activities'!L672,414)-MAX('Activities'!K672,408))</x:f>
        <x:v>0</x:v>
      </x:c>
      <x:c r="BV672" s="22" t="n">
        <x:f>MAX(0,MIN('Activities'!L672,420)-MAX('Activities'!K672,414))</x:f>
        <x:v>0</x:v>
      </x:c>
      <x:c r="BW672" s="22" t="n">
        <x:f>MAX(0,MIN('Activities'!L672,426)-MAX('Activities'!K672,420))</x:f>
        <x:v>0</x:v>
      </x:c>
      <x:c r="BX672" s="22" t="n">
        <x:f>MAX(0,MIN('Activities'!L672,432)-MAX('Activities'!K672,426))</x:f>
        <x:v>0</x:v>
      </x:c>
      <x:c r="BY672" s="22" t="n">
        <x:f>MAX(0,MIN('Activities'!L672,438)-MAX('Activities'!K672,432))</x:f>
        <x:v>0</x:v>
      </x:c>
      <x:c r="BZ672" s="22" t="n">
        <x:f>MAX(0,MIN('Activities'!L672,444)-MAX('Activities'!K672,438))</x:f>
        <x:v>0</x:v>
      </x:c>
      <x:c r="CA672" s="22" t="n">
        <x:f>MAX(0,MIN('Activities'!L672,450)-MAX('Activities'!K672,444))</x:f>
        <x:v>0</x:v>
      </x:c>
      <x:c r="CB672" s="22" t="n">
        <x:f>MAX(0,MIN('Activities'!L672,456)-MAX('Activities'!K672,450))</x:f>
        <x:v>2</x:v>
      </x:c>
      <x:c r="CC672" s="22" t="n">
        <x:f>MAX(0,MIN('Activities'!L672,462)-MAX('Activities'!K672,456))</x:f>
        <x:v>4</x:v>
      </x:c>
      <x:c r="CD672" s="22" t="n">
        <x:f>MAX(0,MIN('Activities'!L672,468)-MAX('Activities'!K672,462))</x:f>
        <x:v>0</x:v>
      </x:c>
      <x:c r="CE672" s="22" t="n">
        <x:f>MAX(0,MIN('Activities'!L672,474)-MAX('Activities'!K672,468))</x:f>
        <x:v>0</x:v>
      </x:c>
      <x:c r="CF672" s="22" t="n">
        <x:f>MAX(0,MIN('Activities'!L672,480)-MAX('Activities'!K672,474))</x:f>
        <x:v>0</x:v>
      </x:c>
      <x:c r="CG672" s="22" t="n">
        <x:f>MAX(0,MIN('Activities'!L672,486)-MAX('Activities'!K672,480))</x:f>
        <x:v>0</x:v>
      </x:c>
      <x:c r="CH672" s="22" t="n">
        <x:f>MAX(0,MIN('Activities'!L672,492)-MAX('Activities'!K672,486))</x:f>
        <x:v>0</x:v>
      </x:c>
      <x:c r="CI672" s="22" t="n">
        <x:f>MAX(0,MIN('Activities'!L672,498)-MAX('Activities'!K672,492))</x:f>
        <x:v>0</x:v>
      </x:c>
      <x:c r="CJ672" s="22" t="n">
        <x:f>MAX(0,MIN('Activities'!L672,504)-MAX('Activities'!K672,498))</x:f>
        <x:v>0</x:v>
      </x:c>
      <x:c r="CK672" s="22" t="n">
        <x:f>MAX(0,MIN('Activities'!L672,510)-MAX('Activities'!K672,504))</x:f>
        <x:v>0</x:v>
      </x:c>
      <x:c r="CL672" s="22" t="n">
        <x:f>MAX(0,MIN('Activities'!L672,516)-MAX('Activities'!K672,510))</x:f>
        <x:v>0</x:v>
      </x:c>
      <x:c r="CM672" s="22" t="n">
        <x:f>MAX(0,MIN('Activities'!L672,522)-MAX('Activities'!K672,516))</x:f>
        <x:v>0</x:v>
      </x:c>
      <x:c r="CN672" s="22" t="n">
        <x:f>MAX(0,MIN('Activities'!L672,528)-MAX('Activities'!K672,522))</x:f>
        <x:v>0</x:v>
      </x:c>
      <x:c r="CO672" s="22" t="n">
        <x:f>MAX(0,MIN('Activities'!L672,534)-MAX('Activities'!K672,528))</x:f>
        <x:v>0</x:v>
      </x:c>
      <x:c r="CP672" s="22" t="n">
        <x:f>MAX(0,MIN('Activities'!L672,540)-MAX('Activities'!K672,534))</x:f>
        <x:v>0</x:v>
      </x:c>
      <x:c r="CQ672" s="22" t="n">
        <x:f>MAX(0,MIN('Activities'!L672,546)-MAX('Activities'!K672,540))</x:f>
        <x:v>0</x:v>
      </x:c>
      <x:c r="CR672" s="22" t="n">
        <x:f>MAX(0,MIN('Activities'!L672,552)-MAX('Activities'!K672,546))</x:f>
        <x:v>0</x:v>
      </x:c>
      <x:c r="CS672" s="22" t="n">
        <x:f>MAX(0,MIN('Activities'!L672,558)-MAX('Activities'!K672,552))</x:f>
        <x:v>0</x:v>
      </x:c>
      <x:c r="CT672" s="22" t="n">
        <x:f>MAX(0,MIN('Activities'!L672,564)-MAX('Activities'!K672,558))</x:f>
        <x:v>0</x:v>
      </x:c>
      <x:c r="CU672" s="22" t="n">
        <x:f>MAX(0,MIN('Activities'!L672,570)-MAX('Activities'!K672,564))</x:f>
        <x:v>0</x:v>
      </x:c>
      <x:c r="CV672" s="22" t="n">
        <x:f>MAX(0,MIN('Activities'!L672,576)-MAX('Activities'!K672,570))</x:f>
        <x:v>0</x:v>
      </x:c>
      <x:c r="CW672" s="22" t="n">
        <x:f>MAX(0,MIN('Activities'!L672,582)-MAX('Activities'!K672,576))</x:f>
        <x:v>0</x:v>
      </x:c>
      <x:c r="CX672" s="22" t="n">
        <x:f>MAX(0,MIN('Activities'!L672,588)-MAX('Activities'!K672,582))</x:f>
        <x:v>0</x:v>
      </x:c>
      <x:c r="CY672" s="22" t="n">
        <x:f>MAX(0,MIN('Activities'!L672,594)-MAX('Activities'!K672,588))</x:f>
        <x:v>0</x:v>
      </x:c>
      <x:c r="CZ672" s="22" t="n">
        <x:f>MAX(0,MIN('Activities'!L672,600)-MAX('Activities'!K672,594))</x:f>
        <x:v>0</x:v>
      </x:c>
      <x:c r="DA672" s="22" t="n">
        <x:f>MAX(0,MIN('Activities'!L672,606)-MAX('Activities'!K672,600))</x:f>
        <x:v>0</x:v>
      </x:c>
      <x:c r="DB672" s="22" t="n">
        <x:f>MAX(0,MIN('Activities'!L672,612)-MAX('Activities'!K672,606))</x:f>
        <x:v>0</x:v>
      </x:c>
      <x:c r="DC672" s="22" t="n">
        <x:f>MAX(0,MIN('Activities'!L672,618)-MAX('Activities'!K672,612))</x:f>
        <x:v>0</x:v>
      </x:c>
      <x:c r="DD672" s="22" t="n">
        <x:f>MAX(0,MIN('Activities'!L672,624)-MAX('Activities'!K672,618))</x:f>
        <x:v>0</x:v>
      </x:c>
      <x:c r="DE672" s="22" t="n">
        <x:f>MAX(0,MIN('Activities'!L672,630)-MAX('Activities'!K672,624))</x:f>
        <x:v>0</x:v>
      </x:c>
      <x:c r="DF672" s="22" t="n">
        <x:f>MAX(0,MIN('Activities'!L672,636)-MAX('Activities'!K672,630))</x:f>
        <x:v>0</x:v>
      </x:c>
    </x:row>
    <x:row r="673" ht="23" customHeight="1">
      <x:c r="A673" s="1" t="str">
        <x:v>T5-L11-A</x:v>
      </x:c>
      <x:c r="B673" s="1" t="str">
        <x:v>T5</x:v>
      </x:c>
      <x:c r="C673" s="1" t="str">
        <x:v>Paint and final decorations</x:v>
      </x:c>
      <x:c r="D673" s="1" t="str">
        <x:v>Finishes</x:v>
      </x:c>
      <x:c r="E673" s="23" t="n">
        <x:f>MAX(0,MIN('Activities'!L673,6)-MAX('Activities'!K673,0))</x:f>
        <x:v>0</x:v>
      </x:c>
      <x:c r="F673" s="23" t="n">
        <x:f>MAX(0,MIN('Activities'!L673,12)-MAX('Activities'!K673,6))</x:f>
        <x:v>0</x:v>
      </x:c>
      <x:c r="G673" s="23" t="n">
        <x:f>MAX(0,MIN('Activities'!L673,18)-MAX('Activities'!K673,12))</x:f>
        <x:v>0</x:v>
      </x:c>
      <x:c r="H673" s="23" t="n">
        <x:f>MAX(0,MIN('Activities'!L673,24)-MAX('Activities'!K673,18))</x:f>
        <x:v>0</x:v>
      </x:c>
      <x:c r="I673" s="23" t="n">
        <x:f>MAX(0,MIN('Activities'!L673,30)-MAX('Activities'!K673,24))</x:f>
        <x:v>0</x:v>
      </x:c>
      <x:c r="J673" s="23" t="n">
        <x:f>MAX(0,MIN('Activities'!L673,36)-MAX('Activities'!K673,30))</x:f>
        <x:v>0</x:v>
      </x:c>
      <x:c r="K673" s="23" t="n">
        <x:f>MAX(0,MIN('Activities'!L673,42)-MAX('Activities'!K673,36))</x:f>
        <x:v>0</x:v>
      </x:c>
      <x:c r="L673" s="23" t="n">
        <x:f>MAX(0,MIN('Activities'!L673,48)-MAX('Activities'!K673,42))</x:f>
        <x:v>0</x:v>
      </x:c>
      <x:c r="M673" s="23" t="n">
        <x:f>MAX(0,MIN('Activities'!L673,54)-MAX('Activities'!K673,48))</x:f>
        <x:v>0</x:v>
      </x:c>
      <x:c r="N673" s="23" t="n">
        <x:f>MAX(0,MIN('Activities'!L673,60)-MAX('Activities'!K673,54))</x:f>
        <x:v>0</x:v>
      </x:c>
      <x:c r="O673" s="23" t="n">
        <x:f>MAX(0,MIN('Activities'!L673,66)-MAX('Activities'!K673,60))</x:f>
        <x:v>0</x:v>
      </x:c>
      <x:c r="P673" s="23" t="n">
        <x:f>MAX(0,MIN('Activities'!L673,72)-MAX('Activities'!K673,66))</x:f>
        <x:v>0</x:v>
      </x:c>
      <x:c r="Q673" s="23" t="n">
        <x:f>MAX(0,MIN('Activities'!L673,78)-MAX('Activities'!K673,72))</x:f>
        <x:v>0</x:v>
      </x:c>
      <x:c r="R673" s="23" t="n">
        <x:f>MAX(0,MIN('Activities'!L673,84)-MAX('Activities'!K673,78))</x:f>
        <x:v>0</x:v>
      </x:c>
      <x:c r="S673" s="23" t="n">
        <x:f>MAX(0,MIN('Activities'!L673,90)-MAX('Activities'!K673,84))</x:f>
        <x:v>0</x:v>
      </x:c>
      <x:c r="T673" s="23" t="n">
        <x:f>MAX(0,MIN('Activities'!L673,96)-MAX('Activities'!K673,90))</x:f>
        <x:v>0</x:v>
      </x:c>
      <x:c r="U673" s="23" t="n">
        <x:f>MAX(0,MIN('Activities'!L673,102)-MAX('Activities'!K673,96))</x:f>
        <x:v>0</x:v>
      </x:c>
      <x:c r="V673" s="23" t="n">
        <x:f>MAX(0,MIN('Activities'!L673,108)-MAX('Activities'!K673,102))</x:f>
        <x:v>0</x:v>
      </x:c>
      <x:c r="W673" s="23" t="n">
        <x:f>MAX(0,MIN('Activities'!L673,114)-MAX('Activities'!K673,108))</x:f>
        <x:v>0</x:v>
      </x:c>
      <x:c r="X673" s="23" t="n">
        <x:f>MAX(0,MIN('Activities'!L673,120)-MAX('Activities'!K673,114))</x:f>
        <x:v>0</x:v>
      </x:c>
      <x:c r="Y673" s="23" t="n">
        <x:f>MAX(0,MIN('Activities'!L673,126)-MAX('Activities'!K673,120))</x:f>
        <x:v>0</x:v>
      </x:c>
      <x:c r="Z673" s="23" t="n">
        <x:f>MAX(0,MIN('Activities'!L673,132)-MAX('Activities'!K673,126))</x:f>
        <x:v>0</x:v>
      </x:c>
      <x:c r="AA673" s="23" t="n">
        <x:f>MAX(0,MIN('Activities'!L673,138)-MAX('Activities'!K673,132))</x:f>
        <x:v>0</x:v>
      </x:c>
      <x:c r="AB673" s="23" t="n">
        <x:f>MAX(0,MIN('Activities'!L673,144)-MAX('Activities'!K673,138))</x:f>
        <x:v>0</x:v>
      </x:c>
      <x:c r="AC673" s="23" t="n">
        <x:f>MAX(0,MIN('Activities'!L673,150)-MAX('Activities'!K673,144))</x:f>
        <x:v>0</x:v>
      </x:c>
      <x:c r="AD673" s="23" t="n">
        <x:f>MAX(0,MIN('Activities'!L673,156)-MAX('Activities'!K673,150))</x:f>
        <x:v>0</x:v>
      </x:c>
      <x:c r="AE673" s="23" t="n">
        <x:f>MAX(0,MIN('Activities'!L673,162)-MAX('Activities'!K673,156))</x:f>
        <x:v>0</x:v>
      </x:c>
      <x:c r="AF673" s="23" t="n">
        <x:f>MAX(0,MIN('Activities'!L673,168)-MAX('Activities'!K673,162))</x:f>
        <x:v>0</x:v>
      </x:c>
      <x:c r="AG673" s="23" t="n">
        <x:f>MAX(0,MIN('Activities'!L673,174)-MAX('Activities'!K673,168))</x:f>
        <x:v>0</x:v>
      </x:c>
      <x:c r="AH673" s="23" t="n">
        <x:f>MAX(0,MIN('Activities'!L673,180)-MAX('Activities'!K673,174))</x:f>
        <x:v>0</x:v>
      </x:c>
      <x:c r="AI673" s="23" t="n">
        <x:f>MAX(0,MIN('Activities'!L673,186)-MAX('Activities'!K673,180))</x:f>
        <x:v>0</x:v>
      </x:c>
      <x:c r="AJ673" s="23" t="n">
        <x:f>MAX(0,MIN('Activities'!L673,192)-MAX('Activities'!K673,186))</x:f>
        <x:v>0</x:v>
      </x:c>
      <x:c r="AK673" s="23" t="n">
        <x:f>MAX(0,MIN('Activities'!L673,198)-MAX('Activities'!K673,192))</x:f>
        <x:v>0</x:v>
      </x:c>
      <x:c r="AL673" s="23" t="n">
        <x:f>MAX(0,MIN('Activities'!L673,204)-MAX('Activities'!K673,198))</x:f>
        <x:v>0</x:v>
      </x:c>
      <x:c r="AM673" s="23" t="n">
        <x:f>MAX(0,MIN('Activities'!L673,210)-MAX('Activities'!K673,204))</x:f>
        <x:v>0</x:v>
      </x:c>
      <x:c r="AN673" s="23" t="n">
        <x:f>MAX(0,MIN('Activities'!L673,216)-MAX('Activities'!K673,210))</x:f>
        <x:v>0</x:v>
      </x:c>
      <x:c r="AO673" s="23" t="n">
        <x:f>MAX(0,MIN('Activities'!L673,222)-MAX('Activities'!K673,216))</x:f>
        <x:v>0</x:v>
      </x:c>
      <x:c r="AP673" s="23" t="n">
        <x:f>MAX(0,MIN('Activities'!L673,228)-MAX('Activities'!K673,222))</x:f>
        <x:v>0</x:v>
      </x:c>
      <x:c r="AQ673" s="23" t="n">
        <x:f>MAX(0,MIN('Activities'!L673,234)-MAX('Activities'!K673,228))</x:f>
        <x:v>0</x:v>
      </x:c>
      <x:c r="AR673" s="23" t="n">
        <x:f>MAX(0,MIN('Activities'!L673,240)-MAX('Activities'!K673,234))</x:f>
        <x:v>0</x:v>
      </x:c>
      <x:c r="AS673" s="23" t="n">
        <x:f>MAX(0,MIN('Activities'!L673,246)-MAX('Activities'!K673,240))</x:f>
        <x:v>0</x:v>
      </x:c>
      <x:c r="AT673" s="23" t="n">
        <x:f>MAX(0,MIN('Activities'!L673,252)-MAX('Activities'!K673,246))</x:f>
        <x:v>0</x:v>
      </x:c>
      <x:c r="AU673" s="23" t="n">
        <x:f>MAX(0,MIN('Activities'!L673,258)-MAX('Activities'!K673,252))</x:f>
        <x:v>0</x:v>
      </x:c>
      <x:c r="AV673" s="23" t="n">
        <x:f>MAX(0,MIN('Activities'!L673,264)-MAX('Activities'!K673,258))</x:f>
        <x:v>0</x:v>
      </x:c>
      <x:c r="AW673" s="23" t="n">
        <x:f>MAX(0,MIN('Activities'!L673,270)-MAX('Activities'!K673,264))</x:f>
        <x:v>0</x:v>
      </x:c>
      <x:c r="AX673" s="23" t="n">
        <x:f>MAX(0,MIN('Activities'!L673,276)-MAX('Activities'!K673,270))</x:f>
        <x:v>0</x:v>
      </x:c>
      <x:c r="AY673" s="23" t="n">
        <x:f>MAX(0,MIN('Activities'!L673,282)-MAX('Activities'!K673,276))</x:f>
        <x:v>0</x:v>
      </x:c>
      <x:c r="AZ673" s="23" t="n">
        <x:f>MAX(0,MIN('Activities'!L673,288)-MAX('Activities'!K673,282))</x:f>
        <x:v>0</x:v>
      </x:c>
      <x:c r="BA673" s="23" t="n">
        <x:f>MAX(0,MIN('Activities'!L673,294)-MAX('Activities'!K673,288))</x:f>
        <x:v>0</x:v>
      </x:c>
      <x:c r="BB673" s="23" t="n">
        <x:f>MAX(0,MIN('Activities'!L673,300)-MAX('Activities'!K673,294))</x:f>
        <x:v>0</x:v>
      </x:c>
      <x:c r="BC673" s="23" t="n">
        <x:f>MAX(0,MIN('Activities'!L673,306)-MAX('Activities'!K673,300))</x:f>
        <x:v>0</x:v>
      </x:c>
      <x:c r="BD673" s="23" t="n">
        <x:f>MAX(0,MIN('Activities'!L673,312)-MAX('Activities'!K673,306))</x:f>
        <x:v>0</x:v>
      </x:c>
      <x:c r="BE673" s="23" t="n">
        <x:f>MAX(0,MIN('Activities'!L673,318)-MAX('Activities'!K673,312))</x:f>
        <x:v>0</x:v>
      </x:c>
      <x:c r="BF673" s="23" t="n">
        <x:f>MAX(0,MIN('Activities'!L673,324)-MAX('Activities'!K673,318))</x:f>
        <x:v>0</x:v>
      </x:c>
      <x:c r="BG673" s="23" t="n">
        <x:f>MAX(0,MIN('Activities'!L673,330)-MAX('Activities'!K673,324))</x:f>
        <x:v>0</x:v>
      </x:c>
      <x:c r="BH673" s="23" t="n">
        <x:f>MAX(0,MIN('Activities'!L673,336)-MAX('Activities'!K673,330))</x:f>
        <x:v>0</x:v>
      </x:c>
      <x:c r="BI673" s="23" t="n">
        <x:f>MAX(0,MIN('Activities'!L673,342)-MAX('Activities'!K673,336))</x:f>
        <x:v>0</x:v>
      </x:c>
      <x:c r="BJ673" s="23" t="n">
        <x:f>MAX(0,MIN('Activities'!L673,348)-MAX('Activities'!K673,342))</x:f>
        <x:v>0</x:v>
      </x:c>
      <x:c r="BK673" s="23" t="n">
        <x:f>MAX(0,MIN('Activities'!L673,354)-MAX('Activities'!K673,348))</x:f>
        <x:v>0</x:v>
      </x:c>
      <x:c r="BL673" s="23" t="n">
        <x:f>MAX(0,MIN('Activities'!L673,360)-MAX('Activities'!K673,354))</x:f>
        <x:v>0</x:v>
      </x:c>
      <x:c r="BM673" s="23" t="n">
        <x:f>MAX(0,MIN('Activities'!L673,366)-MAX('Activities'!K673,360))</x:f>
        <x:v>0</x:v>
      </x:c>
      <x:c r="BN673" s="23" t="n">
        <x:f>MAX(0,MIN('Activities'!L673,372)-MAX('Activities'!K673,366))</x:f>
        <x:v>0</x:v>
      </x:c>
      <x:c r="BO673" s="23" t="n">
        <x:f>MAX(0,MIN('Activities'!L673,378)-MAX('Activities'!K673,372))</x:f>
        <x:v>0</x:v>
      </x:c>
      <x:c r="BP673" s="23" t="n">
        <x:f>MAX(0,MIN('Activities'!L673,384)-MAX('Activities'!K673,378))</x:f>
        <x:v>0</x:v>
      </x:c>
      <x:c r="BQ673" s="23" t="n">
        <x:f>MAX(0,MIN('Activities'!L673,390)-MAX('Activities'!K673,384))</x:f>
        <x:v>0</x:v>
      </x:c>
      <x:c r="BR673" s="23" t="n">
        <x:f>MAX(0,MIN('Activities'!L673,396)-MAX('Activities'!K673,390))</x:f>
        <x:v>0</x:v>
      </x:c>
      <x:c r="BS673" s="23" t="n">
        <x:f>MAX(0,MIN('Activities'!L673,402)-MAX('Activities'!K673,396))</x:f>
        <x:v>0</x:v>
      </x:c>
      <x:c r="BT673" s="23" t="n">
        <x:f>MAX(0,MIN('Activities'!L673,408)-MAX('Activities'!K673,402))</x:f>
        <x:v>0</x:v>
      </x:c>
      <x:c r="BU673" s="23" t="n">
        <x:f>MAX(0,MIN('Activities'!L673,414)-MAX('Activities'!K673,408))</x:f>
        <x:v>0</x:v>
      </x:c>
      <x:c r="BV673" s="23" t="n">
        <x:f>MAX(0,MIN('Activities'!L673,420)-MAX('Activities'!K673,414))</x:f>
        <x:v>0</x:v>
      </x:c>
      <x:c r="BW673" s="23" t="n">
        <x:f>MAX(0,MIN('Activities'!L673,426)-MAX('Activities'!K673,420))</x:f>
        <x:v>0</x:v>
      </x:c>
      <x:c r="BX673" s="23" t="n">
        <x:f>MAX(0,MIN('Activities'!L673,432)-MAX('Activities'!K673,426))</x:f>
        <x:v>0</x:v>
      </x:c>
      <x:c r="BY673" s="23" t="n">
        <x:f>MAX(0,MIN('Activities'!L673,438)-MAX('Activities'!K673,432))</x:f>
        <x:v>0</x:v>
      </x:c>
      <x:c r="BZ673" s="23" t="n">
        <x:f>MAX(0,MIN('Activities'!L673,444)-MAX('Activities'!K673,438))</x:f>
        <x:v>0</x:v>
      </x:c>
      <x:c r="CA673" s="23" t="n">
        <x:f>MAX(0,MIN('Activities'!L673,450)-MAX('Activities'!K673,444))</x:f>
        <x:v>0</x:v>
      </x:c>
      <x:c r="CB673" s="23" t="n">
        <x:f>MAX(0,MIN('Activities'!L673,456)-MAX('Activities'!K673,450))</x:f>
        <x:v>0</x:v>
      </x:c>
      <x:c r="CC673" s="23" t="n">
        <x:f>MAX(0,MIN('Activities'!L673,462)-MAX('Activities'!K673,456))</x:f>
        <x:v>0</x:v>
      </x:c>
      <x:c r="CD673" s="23" t="n">
        <x:f>MAX(0,MIN('Activities'!L673,468)-MAX('Activities'!K673,462))</x:f>
        <x:v>5</x:v>
      </x:c>
      <x:c r="CE673" s="23" t="n">
        <x:f>MAX(0,MIN('Activities'!L673,474)-MAX('Activities'!K673,468))</x:f>
        <x:v>0</x:v>
      </x:c>
      <x:c r="CF673" s="23" t="n">
        <x:f>MAX(0,MIN('Activities'!L673,480)-MAX('Activities'!K673,474))</x:f>
        <x:v>0</x:v>
      </x:c>
      <x:c r="CG673" s="23" t="n">
        <x:f>MAX(0,MIN('Activities'!L673,486)-MAX('Activities'!K673,480))</x:f>
        <x:v>0</x:v>
      </x:c>
      <x:c r="CH673" s="23" t="n">
        <x:f>MAX(0,MIN('Activities'!L673,492)-MAX('Activities'!K673,486))</x:f>
        <x:v>0</x:v>
      </x:c>
      <x:c r="CI673" s="23" t="n">
        <x:f>MAX(0,MIN('Activities'!L673,498)-MAX('Activities'!K673,492))</x:f>
        <x:v>0</x:v>
      </x:c>
      <x:c r="CJ673" s="23" t="n">
        <x:f>MAX(0,MIN('Activities'!L673,504)-MAX('Activities'!K673,498))</x:f>
        <x:v>0</x:v>
      </x:c>
      <x:c r="CK673" s="23" t="n">
        <x:f>MAX(0,MIN('Activities'!L673,510)-MAX('Activities'!K673,504))</x:f>
        <x:v>0</x:v>
      </x:c>
      <x:c r="CL673" s="23" t="n">
        <x:f>MAX(0,MIN('Activities'!L673,516)-MAX('Activities'!K673,510))</x:f>
        <x:v>0</x:v>
      </x:c>
      <x:c r="CM673" s="23" t="n">
        <x:f>MAX(0,MIN('Activities'!L673,522)-MAX('Activities'!K673,516))</x:f>
        <x:v>0</x:v>
      </x:c>
      <x:c r="CN673" s="23" t="n">
        <x:f>MAX(0,MIN('Activities'!L673,528)-MAX('Activities'!K673,522))</x:f>
        <x:v>0</x:v>
      </x:c>
      <x:c r="CO673" s="23" t="n">
        <x:f>MAX(0,MIN('Activities'!L673,534)-MAX('Activities'!K673,528))</x:f>
        <x:v>0</x:v>
      </x:c>
      <x:c r="CP673" s="23" t="n">
        <x:f>MAX(0,MIN('Activities'!L673,540)-MAX('Activities'!K673,534))</x:f>
        <x:v>0</x:v>
      </x:c>
      <x:c r="CQ673" s="23" t="n">
        <x:f>MAX(0,MIN('Activities'!L673,546)-MAX('Activities'!K673,540))</x:f>
        <x:v>0</x:v>
      </x:c>
      <x:c r="CR673" s="23" t="n">
        <x:f>MAX(0,MIN('Activities'!L673,552)-MAX('Activities'!K673,546))</x:f>
        <x:v>0</x:v>
      </x:c>
      <x:c r="CS673" s="23" t="n">
        <x:f>MAX(0,MIN('Activities'!L673,558)-MAX('Activities'!K673,552))</x:f>
        <x:v>0</x:v>
      </x:c>
      <x:c r="CT673" s="23" t="n">
        <x:f>MAX(0,MIN('Activities'!L673,564)-MAX('Activities'!K673,558))</x:f>
        <x:v>0</x:v>
      </x:c>
      <x:c r="CU673" s="23" t="n">
        <x:f>MAX(0,MIN('Activities'!L673,570)-MAX('Activities'!K673,564))</x:f>
        <x:v>0</x:v>
      </x:c>
      <x:c r="CV673" s="23" t="n">
        <x:f>MAX(0,MIN('Activities'!L673,576)-MAX('Activities'!K673,570))</x:f>
        <x:v>0</x:v>
      </x:c>
      <x:c r="CW673" s="23" t="n">
        <x:f>MAX(0,MIN('Activities'!L673,582)-MAX('Activities'!K673,576))</x:f>
        <x:v>0</x:v>
      </x:c>
      <x:c r="CX673" s="23" t="n">
        <x:f>MAX(0,MIN('Activities'!L673,588)-MAX('Activities'!K673,582))</x:f>
        <x:v>0</x:v>
      </x:c>
      <x:c r="CY673" s="23" t="n">
        <x:f>MAX(0,MIN('Activities'!L673,594)-MAX('Activities'!K673,588))</x:f>
        <x:v>0</x:v>
      </x:c>
      <x:c r="CZ673" s="23" t="n">
        <x:f>MAX(0,MIN('Activities'!L673,600)-MAX('Activities'!K673,594))</x:f>
        <x:v>0</x:v>
      </x:c>
      <x:c r="DA673" s="23" t="n">
        <x:f>MAX(0,MIN('Activities'!L673,606)-MAX('Activities'!K673,600))</x:f>
        <x:v>0</x:v>
      </x:c>
      <x:c r="DB673" s="23" t="n">
        <x:f>MAX(0,MIN('Activities'!L673,612)-MAX('Activities'!K673,606))</x:f>
        <x:v>0</x:v>
      </x:c>
      <x:c r="DC673" s="23" t="n">
        <x:f>MAX(0,MIN('Activities'!L673,618)-MAX('Activities'!K673,612))</x:f>
        <x:v>0</x:v>
      </x:c>
      <x:c r="DD673" s="23" t="n">
        <x:f>MAX(0,MIN('Activities'!L673,624)-MAX('Activities'!K673,618))</x:f>
        <x:v>0</x:v>
      </x:c>
      <x:c r="DE673" s="23" t="n">
        <x:f>MAX(0,MIN('Activities'!L673,630)-MAX('Activities'!K673,624))</x:f>
        <x:v>0</x:v>
      </x:c>
      <x:c r="DF673" s="23" t="n">
        <x:f>MAX(0,MIN('Activities'!L673,636)-MAX('Activities'!K673,630))</x:f>
        <x:v>0</x:v>
      </x:c>
    </x:row>
    <x:row r="674" ht="23" customHeight="1">
      <x:c r="A674" s="6" t="str">
        <x:v>T5-L11-D</x:v>
      </x:c>
      <x:c r="B674" s="6" t="str">
        <x:v>T5</x:v>
      </x:c>
      <x:c r="C674" s="6" t="str">
        <x:v>Door sets and ironmongery</x:v>
      </x:c>
      <x:c r="D674" s="6" t="str">
        <x:v>Finishes</x:v>
      </x:c>
      <x:c r="E674" s="22" t="n">
        <x:f>MAX(0,MIN('Activities'!L674,6)-MAX('Activities'!K674,0))</x:f>
        <x:v>0</x:v>
      </x:c>
      <x:c r="F674" s="22" t="n">
        <x:f>MAX(0,MIN('Activities'!L674,12)-MAX('Activities'!K674,6))</x:f>
        <x:v>0</x:v>
      </x:c>
      <x:c r="G674" s="22" t="n">
        <x:f>MAX(0,MIN('Activities'!L674,18)-MAX('Activities'!K674,12))</x:f>
        <x:v>0</x:v>
      </x:c>
      <x:c r="H674" s="22" t="n">
        <x:f>MAX(0,MIN('Activities'!L674,24)-MAX('Activities'!K674,18))</x:f>
        <x:v>0</x:v>
      </x:c>
      <x:c r="I674" s="22" t="n">
        <x:f>MAX(0,MIN('Activities'!L674,30)-MAX('Activities'!K674,24))</x:f>
        <x:v>0</x:v>
      </x:c>
      <x:c r="J674" s="22" t="n">
        <x:f>MAX(0,MIN('Activities'!L674,36)-MAX('Activities'!K674,30))</x:f>
        <x:v>0</x:v>
      </x:c>
      <x:c r="K674" s="22" t="n">
        <x:f>MAX(0,MIN('Activities'!L674,42)-MAX('Activities'!K674,36))</x:f>
        <x:v>0</x:v>
      </x:c>
      <x:c r="L674" s="22" t="n">
        <x:f>MAX(0,MIN('Activities'!L674,48)-MAX('Activities'!K674,42))</x:f>
        <x:v>0</x:v>
      </x:c>
      <x:c r="M674" s="22" t="n">
        <x:f>MAX(0,MIN('Activities'!L674,54)-MAX('Activities'!K674,48))</x:f>
        <x:v>0</x:v>
      </x:c>
      <x:c r="N674" s="22" t="n">
        <x:f>MAX(0,MIN('Activities'!L674,60)-MAX('Activities'!K674,54))</x:f>
        <x:v>0</x:v>
      </x:c>
      <x:c r="O674" s="22" t="n">
        <x:f>MAX(0,MIN('Activities'!L674,66)-MAX('Activities'!K674,60))</x:f>
        <x:v>0</x:v>
      </x:c>
      <x:c r="P674" s="22" t="n">
        <x:f>MAX(0,MIN('Activities'!L674,72)-MAX('Activities'!K674,66))</x:f>
        <x:v>0</x:v>
      </x:c>
      <x:c r="Q674" s="22" t="n">
        <x:f>MAX(0,MIN('Activities'!L674,78)-MAX('Activities'!K674,72))</x:f>
        <x:v>0</x:v>
      </x:c>
      <x:c r="R674" s="22" t="n">
        <x:f>MAX(0,MIN('Activities'!L674,84)-MAX('Activities'!K674,78))</x:f>
        <x:v>0</x:v>
      </x:c>
      <x:c r="S674" s="22" t="n">
        <x:f>MAX(0,MIN('Activities'!L674,90)-MAX('Activities'!K674,84))</x:f>
        <x:v>0</x:v>
      </x:c>
      <x:c r="T674" s="22" t="n">
        <x:f>MAX(0,MIN('Activities'!L674,96)-MAX('Activities'!K674,90))</x:f>
        <x:v>0</x:v>
      </x:c>
      <x:c r="U674" s="22" t="n">
        <x:f>MAX(0,MIN('Activities'!L674,102)-MAX('Activities'!K674,96))</x:f>
        <x:v>0</x:v>
      </x:c>
      <x:c r="V674" s="22" t="n">
        <x:f>MAX(0,MIN('Activities'!L674,108)-MAX('Activities'!K674,102))</x:f>
        <x:v>0</x:v>
      </x:c>
      <x:c r="W674" s="22" t="n">
        <x:f>MAX(0,MIN('Activities'!L674,114)-MAX('Activities'!K674,108))</x:f>
        <x:v>0</x:v>
      </x:c>
      <x:c r="X674" s="22" t="n">
        <x:f>MAX(0,MIN('Activities'!L674,120)-MAX('Activities'!K674,114))</x:f>
        <x:v>0</x:v>
      </x:c>
      <x:c r="Y674" s="22" t="n">
        <x:f>MAX(0,MIN('Activities'!L674,126)-MAX('Activities'!K674,120))</x:f>
        <x:v>0</x:v>
      </x:c>
      <x:c r="Z674" s="22" t="n">
        <x:f>MAX(0,MIN('Activities'!L674,132)-MAX('Activities'!K674,126))</x:f>
        <x:v>0</x:v>
      </x:c>
      <x:c r="AA674" s="22" t="n">
        <x:f>MAX(0,MIN('Activities'!L674,138)-MAX('Activities'!K674,132))</x:f>
        <x:v>0</x:v>
      </x:c>
      <x:c r="AB674" s="22" t="n">
        <x:f>MAX(0,MIN('Activities'!L674,144)-MAX('Activities'!K674,138))</x:f>
        <x:v>0</x:v>
      </x:c>
      <x:c r="AC674" s="22" t="n">
        <x:f>MAX(0,MIN('Activities'!L674,150)-MAX('Activities'!K674,144))</x:f>
        <x:v>0</x:v>
      </x:c>
      <x:c r="AD674" s="22" t="n">
        <x:f>MAX(0,MIN('Activities'!L674,156)-MAX('Activities'!K674,150))</x:f>
        <x:v>0</x:v>
      </x:c>
      <x:c r="AE674" s="22" t="n">
        <x:f>MAX(0,MIN('Activities'!L674,162)-MAX('Activities'!K674,156))</x:f>
        <x:v>0</x:v>
      </x:c>
      <x:c r="AF674" s="22" t="n">
        <x:f>MAX(0,MIN('Activities'!L674,168)-MAX('Activities'!K674,162))</x:f>
        <x:v>0</x:v>
      </x:c>
      <x:c r="AG674" s="22" t="n">
        <x:f>MAX(0,MIN('Activities'!L674,174)-MAX('Activities'!K674,168))</x:f>
        <x:v>0</x:v>
      </x:c>
      <x:c r="AH674" s="22" t="n">
        <x:f>MAX(0,MIN('Activities'!L674,180)-MAX('Activities'!K674,174))</x:f>
        <x:v>0</x:v>
      </x:c>
      <x:c r="AI674" s="22" t="n">
        <x:f>MAX(0,MIN('Activities'!L674,186)-MAX('Activities'!K674,180))</x:f>
        <x:v>0</x:v>
      </x:c>
      <x:c r="AJ674" s="22" t="n">
        <x:f>MAX(0,MIN('Activities'!L674,192)-MAX('Activities'!K674,186))</x:f>
        <x:v>0</x:v>
      </x:c>
      <x:c r="AK674" s="22" t="n">
        <x:f>MAX(0,MIN('Activities'!L674,198)-MAX('Activities'!K674,192))</x:f>
        <x:v>0</x:v>
      </x:c>
      <x:c r="AL674" s="22" t="n">
        <x:f>MAX(0,MIN('Activities'!L674,204)-MAX('Activities'!K674,198))</x:f>
        <x:v>0</x:v>
      </x:c>
      <x:c r="AM674" s="22" t="n">
        <x:f>MAX(0,MIN('Activities'!L674,210)-MAX('Activities'!K674,204))</x:f>
        <x:v>0</x:v>
      </x:c>
      <x:c r="AN674" s="22" t="n">
        <x:f>MAX(0,MIN('Activities'!L674,216)-MAX('Activities'!K674,210))</x:f>
        <x:v>0</x:v>
      </x:c>
      <x:c r="AO674" s="22" t="n">
        <x:f>MAX(0,MIN('Activities'!L674,222)-MAX('Activities'!K674,216))</x:f>
        <x:v>0</x:v>
      </x:c>
      <x:c r="AP674" s="22" t="n">
        <x:f>MAX(0,MIN('Activities'!L674,228)-MAX('Activities'!K674,222))</x:f>
        <x:v>0</x:v>
      </x:c>
      <x:c r="AQ674" s="22" t="n">
        <x:f>MAX(0,MIN('Activities'!L674,234)-MAX('Activities'!K674,228))</x:f>
        <x:v>0</x:v>
      </x:c>
      <x:c r="AR674" s="22" t="n">
        <x:f>MAX(0,MIN('Activities'!L674,240)-MAX('Activities'!K674,234))</x:f>
        <x:v>0</x:v>
      </x:c>
      <x:c r="AS674" s="22" t="n">
        <x:f>MAX(0,MIN('Activities'!L674,246)-MAX('Activities'!K674,240))</x:f>
        <x:v>0</x:v>
      </x:c>
      <x:c r="AT674" s="22" t="n">
        <x:f>MAX(0,MIN('Activities'!L674,252)-MAX('Activities'!K674,246))</x:f>
        <x:v>0</x:v>
      </x:c>
      <x:c r="AU674" s="22" t="n">
        <x:f>MAX(0,MIN('Activities'!L674,258)-MAX('Activities'!K674,252))</x:f>
        <x:v>0</x:v>
      </x:c>
      <x:c r="AV674" s="22" t="n">
        <x:f>MAX(0,MIN('Activities'!L674,264)-MAX('Activities'!K674,258))</x:f>
        <x:v>0</x:v>
      </x:c>
      <x:c r="AW674" s="22" t="n">
        <x:f>MAX(0,MIN('Activities'!L674,270)-MAX('Activities'!K674,264))</x:f>
        <x:v>0</x:v>
      </x:c>
      <x:c r="AX674" s="22" t="n">
        <x:f>MAX(0,MIN('Activities'!L674,276)-MAX('Activities'!K674,270))</x:f>
        <x:v>0</x:v>
      </x:c>
      <x:c r="AY674" s="22" t="n">
        <x:f>MAX(0,MIN('Activities'!L674,282)-MAX('Activities'!K674,276))</x:f>
        <x:v>0</x:v>
      </x:c>
      <x:c r="AZ674" s="22" t="n">
        <x:f>MAX(0,MIN('Activities'!L674,288)-MAX('Activities'!K674,282))</x:f>
        <x:v>0</x:v>
      </x:c>
      <x:c r="BA674" s="22" t="n">
        <x:f>MAX(0,MIN('Activities'!L674,294)-MAX('Activities'!K674,288))</x:f>
        <x:v>0</x:v>
      </x:c>
      <x:c r="BB674" s="22" t="n">
        <x:f>MAX(0,MIN('Activities'!L674,300)-MAX('Activities'!K674,294))</x:f>
        <x:v>0</x:v>
      </x:c>
      <x:c r="BC674" s="22" t="n">
        <x:f>MAX(0,MIN('Activities'!L674,306)-MAX('Activities'!K674,300))</x:f>
        <x:v>0</x:v>
      </x:c>
      <x:c r="BD674" s="22" t="n">
        <x:f>MAX(0,MIN('Activities'!L674,312)-MAX('Activities'!K674,306))</x:f>
        <x:v>0</x:v>
      </x:c>
      <x:c r="BE674" s="22" t="n">
        <x:f>MAX(0,MIN('Activities'!L674,318)-MAX('Activities'!K674,312))</x:f>
        <x:v>0</x:v>
      </x:c>
      <x:c r="BF674" s="22" t="n">
        <x:f>MAX(0,MIN('Activities'!L674,324)-MAX('Activities'!K674,318))</x:f>
        <x:v>0</x:v>
      </x:c>
      <x:c r="BG674" s="22" t="n">
        <x:f>MAX(0,MIN('Activities'!L674,330)-MAX('Activities'!K674,324))</x:f>
        <x:v>0</x:v>
      </x:c>
      <x:c r="BH674" s="22" t="n">
        <x:f>MAX(0,MIN('Activities'!L674,336)-MAX('Activities'!K674,330))</x:f>
        <x:v>0</x:v>
      </x:c>
      <x:c r="BI674" s="22" t="n">
        <x:f>MAX(0,MIN('Activities'!L674,342)-MAX('Activities'!K674,336))</x:f>
        <x:v>0</x:v>
      </x:c>
      <x:c r="BJ674" s="22" t="n">
        <x:f>MAX(0,MIN('Activities'!L674,348)-MAX('Activities'!K674,342))</x:f>
        <x:v>0</x:v>
      </x:c>
      <x:c r="BK674" s="22" t="n">
        <x:f>MAX(0,MIN('Activities'!L674,354)-MAX('Activities'!K674,348))</x:f>
        <x:v>0</x:v>
      </x:c>
      <x:c r="BL674" s="22" t="n">
        <x:f>MAX(0,MIN('Activities'!L674,360)-MAX('Activities'!K674,354))</x:f>
        <x:v>0</x:v>
      </x:c>
      <x:c r="BM674" s="22" t="n">
        <x:f>MAX(0,MIN('Activities'!L674,366)-MAX('Activities'!K674,360))</x:f>
        <x:v>0</x:v>
      </x:c>
      <x:c r="BN674" s="22" t="n">
        <x:f>MAX(0,MIN('Activities'!L674,372)-MAX('Activities'!K674,366))</x:f>
        <x:v>0</x:v>
      </x:c>
      <x:c r="BO674" s="22" t="n">
        <x:f>MAX(0,MIN('Activities'!L674,378)-MAX('Activities'!K674,372))</x:f>
        <x:v>0</x:v>
      </x:c>
      <x:c r="BP674" s="22" t="n">
        <x:f>MAX(0,MIN('Activities'!L674,384)-MAX('Activities'!K674,378))</x:f>
        <x:v>0</x:v>
      </x:c>
      <x:c r="BQ674" s="22" t="n">
        <x:f>MAX(0,MIN('Activities'!L674,390)-MAX('Activities'!K674,384))</x:f>
        <x:v>0</x:v>
      </x:c>
      <x:c r="BR674" s="22" t="n">
        <x:f>MAX(0,MIN('Activities'!L674,396)-MAX('Activities'!K674,390))</x:f>
        <x:v>0</x:v>
      </x:c>
      <x:c r="BS674" s="22" t="n">
        <x:f>MAX(0,MIN('Activities'!L674,402)-MAX('Activities'!K674,396))</x:f>
        <x:v>0</x:v>
      </x:c>
      <x:c r="BT674" s="22" t="n">
        <x:f>MAX(0,MIN('Activities'!L674,408)-MAX('Activities'!K674,402))</x:f>
        <x:v>0</x:v>
      </x:c>
      <x:c r="BU674" s="22" t="n">
        <x:f>MAX(0,MIN('Activities'!L674,414)-MAX('Activities'!K674,408))</x:f>
        <x:v>0</x:v>
      </x:c>
      <x:c r="BV674" s="22" t="n">
        <x:f>MAX(0,MIN('Activities'!L674,420)-MAX('Activities'!K674,414))</x:f>
        <x:v>0</x:v>
      </x:c>
      <x:c r="BW674" s="22" t="n">
        <x:f>MAX(0,MIN('Activities'!L674,426)-MAX('Activities'!K674,420))</x:f>
        <x:v>0</x:v>
      </x:c>
      <x:c r="BX674" s="22" t="n">
        <x:f>MAX(0,MIN('Activities'!L674,432)-MAX('Activities'!K674,426))</x:f>
        <x:v>0</x:v>
      </x:c>
      <x:c r="BY674" s="22" t="n">
        <x:f>MAX(0,MIN('Activities'!L674,438)-MAX('Activities'!K674,432))</x:f>
        <x:v>0</x:v>
      </x:c>
      <x:c r="BZ674" s="22" t="n">
        <x:f>MAX(0,MIN('Activities'!L674,444)-MAX('Activities'!K674,438))</x:f>
        <x:v>0</x:v>
      </x:c>
      <x:c r="CA674" s="22" t="n">
        <x:f>MAX(0,MIN('Activities'!L674,450)-MAX('Activities'!K674,444))</x:f>
        <x:v>0</x:v>
      </x:c>
      <x:c r="CB674" s="22" t="n">
        <x:f>MAX(0,MIN('Activities'!L674,456)-MAX('Activities'!K674,450))</x:f>
        <x:v>0</x:v>
      </x:c>
      <x:c r="CC674" s="22" t="n">
        <x:f>MAX(0,MIN('Activities'!L674,462)-MAX('Activities'!K674,456))</x:f>
        <x:v>0</x:v>
      </x:c>
      <x:c r="CD674" s="22" t="n">
        <x:f>MAX(0,MIN('Activities'!L674,468)-MAX('Activities'!K674,462))</x:f>
        <x:v>1</x:v>
      </x:c>
      <x:c r="CE674" s="22" t="n">
        <x:f>MAX(0,MIN('Activities'!L674,474)-MAX('Activities'!K674,468))</x:f>
        <x:v>2</x:v>
      </x:c>
      <x:c r="CF674" s="22" t="n">
        <x:f>MAX(0,MIN('Activities'!L674,480)-MAX('Activities'!K674,474))</x:f>
        <x:v>0</x:v>
      </x:c>
      <x:c r="CG674" s="22" t="n">
        <x:f>MAX(0,MIN('Activities'!L674,486)-MAX('Activities'!K674,480))</x:f>
        <x:v>0</x:v>
      </x:c>
      <x:c r="CH674" s="22" t="n">
        <x:f>MAX(0,MIN('Activities'!L674,492)-MAX('Activities'!K674,486))</x:f>
        <x:v>0</x:v>
      </x:c>
      <x:c r="CI674" s="22" t="n">
        <x:f>MAX(0,MIN('Activities'!L674,498)-MAX('Activities'!K674,492))</x:f>
        <x:v>0</x:v>
      </x:c>
      <x:c r="CJ674" s="22" t="n">
        <x:f>MAX(0,MIN('Activities'!L674,504)-MAX('Activities'!K674,498))</x:f>
        <x:v>0</x:v>
      </x:c>
      <x:c r="CK674" s="22" t="n">
        <x:f>MAX(0,MIN('Activities'!L674,510)-MAX('Activities'!K674,504))</x:f>
        <x:v>0</x:v>
      </x:c>
      <x:c r="CL674" s="22" t="n">
        <x:f>MAX(0,MIN('Activities'!L674,516)-MAX('Activities'!K674,510))</x:f>
        <x:v>0</x:v>
      </x:c>
      <x:c r="CM674" s="22" t="n">
        <x:f>MAX(0,MIN('Activities'!L674,522)-MAX('Activities'!K674,516))</x:f>
        <x:v>0</x:v>
      </x:c>
      <x:c r="CN674" s="22" t="n">
        <x:f>MAX(0,MIN('Activities'!L674,528)-MAX('Activities'!K674,522))</x:f>
        <x:v>0</x:v>
      </x:c>
      <x:c r="CO674" s="22" t="n">
        <x:f>MAX(0,MIN('Activities'!L674,534)-MAX('Activities'!K674,528))</x:f>
        <x:v>0</x:v>
      </x:c>
      <x:c r="CP674" s="22" t="n">
        <x:f>MAX(0,MIN('Activities'!L674,540)-MAX('Activities'!K674,534))</x:f>
        <x:v>0</x:v>
      </x:c>
      <x:c r="CQ674" s="22" t="n">
        <x:f>MAX(0,MIN('Activities'!L674,546)-MAX('Activities'!K674,540))</x:f>
        <x:v>0</x:v>
      </x:c>
      <x:c r="CR674" s="22" t="n">
        <x:f>MAX(0,MIN('Activities'!L674,552)-MAX('Activities'!K674,546))</x:f>
        <x:v>0</x:v>
      </x:c>
      <x:c r="CS674" s="22" t="n">
        <x:f>MAX(0,MIN('Activities'!L674,558)-MAX('Activities'!K674,552))</x:f>
        <x:v>0</x:v>
      </x:c>
      <x:c r="CT674" s="22" t="n">
        <x:f>MAX(0,MIN('Activities'!L674,564)-MAX('Activities'!K674,558))</x:f>
        <x:v>0</x:v>
      </x:c>
      <x:c r="CU674" s="22" t="n">
        <x:f>MAX(0,MIN('Activities'!L674,570)-MAX('Activities'!K674,564))</x:f>
        <x:v>0</x:v>
      </x:c>
      <x:c r="CV674" s="22" t="n">
        <x:f>MAX(0,MIN('Activities'!L674,576)-MAX('Activities'!K674,570))</x:f>
        <x:v>0</x:v>
      </x:c>
      <x:c r="CW674" s="22" t="n">
        <x:f>MAX(0,MIN('Activities'!L674,582)-MAX('Activities'!K674,576))</x:f>
        <x:v>0</x:v>
      </x:c>
      <x:c r="CX674" s="22" t="n">
        <x:f>MAX(0,MIN('Activities'!L674,588)-MAX('Activities'!K674,582))</x:f>
        <x:v>0</x:v>
      </x:c>
      <x:c r="CY674" s="22" t="n">
        <x:f>MAX(0,MIN('Activities'!L674,594)-MAX('Activities'!K674,588))</x:f>
        <x:v>0</x:v>
      </x:c>
      <x:c r="CZ674" s="22" t="n">
        <x:f>MAX(0,MIN('Activities'!L674,600)-MAX('Activities'!K674,594))</x:f>
        <x:v>0</x:v>
      </x:c>
      <x:c r="DA674" s="22" t="n">
        <x:f>MAX(0,MIN('Activities'!L674,606)-MAX('Activities'!K674,600))</x:f>
        <x:v>0</x:v>
      </x:c>
      <x:c r="DB674" s="22" t="n">
        <x:f>MAX(0,MIN('Activities'!L674,612)-MAX('Activities'!K674,606))</x:f>
        <x:v>0</x:v>
      </x:c>
      <x:c r="DC674" s="22" t="n">
        <x:f>MAX(0,MIN('Activities'!L674,618)-MAX('Activities'!K674,612))</x:f>
        <x:v>0</x:v>
      </x:c>
      <x:c r="DD674" s="22" t="n">
        <x:f>MAX(0,MIN('Activities'!L674,624)-MAX('Activities'!K674,618))</x:f>
        <x:v>0</x:v>
      </x:c>
      <x:c r="DE674" s="22" t="n">
        <x:f>MAX(0,MIN('Activities'!L674,630)-MAX('Activities'!K674,624))</x:f>
        <x:v>0</x:v>
      </x:c>
      <x:c r="DF674" s="22" t="n">
        <x:f>MAX(0,MIN('Activities'!L674,636)-MAX('Activities'!K674,630))</x:f>
        <x:v>0</x:v>
      </x:c>
    </x:row>
    <x:row r="675" ht="23" customHeight="1">
      <x:c r="A675" s="1" t="str">
        <x:v>T5-L12-M</x:v>
      </x:c>
      <x:c r="B675" s="1" t="str">
        <x:v>T5</x:v>
      </x:c>
      <x:c r="C675" s="1" t="str">
        <x:v>Partition masonry</x:v>
      </x:c>
      <x:c r="D675" s="1" t="str">
        <x:v>Masonry</x:v>
      </x:c>
      <x:c r="E675" s="23" t="n">
        <x:f>MAX(0,MIN('Activities'!L675,6)-MAX('Activities'!K675,0))</x:f>
        <x:v>0</x:v>
      </x:c>
      <x:c r="F675" s="23" t="n">
        <x:f>MAX(0,MIN('Activities'!L675,12)-MAX('Activities'!K675,6))</x:f>
        <x:v>0</x:v>
      </x:c>
      <x:c r="G675" s="23" t="n">
        <x:f>MAX(0,MIN('Activities'!L675,18)-MAX('Activities'!K675,12))</x:f>
        <x:v>0</x:v>
      </x:c>
      <x:c r="H675" s="23" t="n">
        <x:f>MAX(0,MIN('Activities'!L675,24)-MAX('Activities'!K675,18))</x:f>
        <x:v>0</x:v>
      </x:c>
      <x:c r="I675" s="23" t="n">
        <x:f>MAX(0,MIN('Activities'!L675,30)-MAX('Activities'!K675,24))</x:f>
        <x:v>0</x:v>
      </x:c>
      <x:c r="J675" s="23" t="n">
        <x:f>MAX(0,MIN('Activities'!L675,36)-MAX('Activities'!K675,30))</x:f>
        <x:v>0</x:v>
      </x:c>
      <x:c r="K675" s="23" t="n">
        <x:f>MAX(0,MIN('Activities'!L675,42)-MAX('Activities'!K675,36))</x:f>
        <x:v>0</x:v>
      </x:c>
      <x:c r="L675" s="23" t="n">
        <x:f>MAX(0,MIN('Activities'!L675,48)-MAX('Activities'!K675,42))</x:f>
        <x:v>0</x:v>
      </x:c>
      <x:c r="M675" s="23" t="n">
        <x:f>MAX(0,MIN('Activities'!L675,54)-MAX('Activities'!K675,48))</x:f>
        <x:v>0</x:v>
      </x:c>
      <x:c r="N675" s="23" t="n">
        <x:f>MAX(0,MIN('Activities'!L675,60)-MAX('Activities'!K675,54))</x:f>
        <x:v>0</x:v>
      </x:c>
      <x:c r="O675" s="23" t="n">
        <x:f>MAX(0,MIN('Activities'!L675,66)-MAX('Activities'!K675,60))</x:f>
        <x:v>0</x:v>
      </x:c>
      <x:c r="P675" s="23" t="n">
        <x:f>MAX(0,MIN('Activities'!L675,72)-MAX('Activities'!K675,66))</x:f>
        <x:v>0</x:v>
      </x:c>
      <x:c r="Q675" s="23" t="n">
        <x:f>MAX(0,MIN('Activities'!L675,78)-MAX('Activities'!K675,72))</x:f>
        <x:v>0</x:v>
      </x:c>
      <x:c r="R675" s="23" t="n">
        <x:f>MAX(0,MIN('Activities'!L675,84)-MAX('Activities'!K675,78))</x:f>
        <x:v>0</x:v>
      </x:c>
      <x:c r="S675" s="23" t="n">
        <x:f>MAX(0,MIN('Activities'!L675,90)-MAX('Activities'!K675,84))</x:f>
        <x:v>0</x:v>
      </x:c>
      <x:c r="T675" s="23" t="n">
        <x:f>MAX(0,MIN('Activities'!L675,96)-MAX('Activities'!K675,90))</x:f>
        <x:v>0</x:v>
      </x:c>
      <x:c r="U675" s="23" t="n">
        <x:f>MAX(0,MIN('Activities'!L675,102)-MAX('Activities'!K675,96))</x:f>
        <x:v>0</x:v>
      </x:c>
      <x:c r="V675" s="23" t="n">
        <x:f>MAX(0,MIN('Activities'!L675,108)-MAX('Activities'!K675,102))</x:f>
        <x:v>0</x:v>
      </x:c>
      <x:c r="W675" s="23" t="n">
        <x:f>MAX(0,MIN('Activities'!L675,114)-MAX('Activities'!K675,108))</x:f>
        <x:v>0</x:v>
      </x:c>
      <x:c r="X675" s="23" t="n">
        <x:f>MAX(0,MIN('Activities'!L675,120)-MAX('Activities'!K675,114))</x:f>
        <x:v>0</x:v>
      </x:c>
      <x:c r="Y675" s="23" t="n">
        <x:f>MAX(0,MIN('Activities'!L675,126)-MAX('Activities'!K675,120))</x:f>
        <x:v>0</x:v>
      </x:c>
      <x:c r="Z675" s="23" t="n">
        <x:f>MAX(0,MIN('Activities'!L675,132)-MAX('Activities'!K675,126))</x:f>
        <x:v>0</x:v>
      </x:c>
      <x:c r="AA675" s="23" t="n">
        <x:f>MAX(0,MIN('Activities'!L675,138)-MAX('Activities'!K675,132))</x:f>
        <x:v>0</x:v>
      </x:c>
      <x:c r="AB675" s="23" t="n">
        <x:f>MAX(0,MIN('Activities'!L675,144)-MAX('Activities'!K675,138))</x:f>
        <x:v>0</x:v>
      </x:c>
      <x:c r="AC675" s="23" t="n">
        <x:f>MAX(0,MIN('Activities'!L675,150)-MAX('Activities'!K675,144))</x:f>
        <x:v>0</x:v>
      </x:c>
      <x:c r="AD675" s="23" t="n">
        <x:f>MAX(0,MIN('Activities'!L675,156)-MAX('Activities'!K675,150))</x:f>
        <x:v>0</x:v>
      </x:c>
      <x:c r="AE675" s="23" t="n">
        <x:f>MAX(0,MIN('Activities'!L675,162)-MAX('Activities'!K675,156))</x:f>
        <x:v>0</x:v>
      </x:c>
      <x:c r="AF675" s="23" t="n">
        <x:f>MAX(0,MIN('Activities'!L675,168)-MAX('Activities'!K675,162))</x:f>
        <x:v>0</x:v>
      </x:c>
      <x:c r="AG675" s="23" t="n">
        <x:f>MAX(0,MIN('Activities'!L675,174)-MAX('Activities'!K675,168))</x:f>
        <x:v>0</x:v>
      </x:c>
      <x:c r="AH675" s="23" t="n">
        <x:f>MAX(0,MIN('Activities'!L675,180)-MAX('Activities'!K675,174))</x:f>
        <x:v>0</x:v>
      </x:c>
      <x:c r="AI675" s="23" t="n">
        <x:f>MAX(0,MIN('Activities'!L675,186)-MAX('Activities'!K675,180))</x:f>
        <x:v>0</x:v>
      </x:c>
      <x:c r="AJ675" s="23" t="n">
        <x:f>MAX(0,MIN('Activities'!L675,192)-MAX('Activities'!K675,186))</x:f>
        <x:v>0</x:v>
      </x:c>
      <x:c r="AK675" s="23" t="n">
        <x:f>MAX(0,MIN('Activities'!L675,198)-MAX('Activities'!K675,192))</x:f>
        <x:v>0</x:v>
      </x:c>
      <x:c r="AL675" s="23" t="n">
        <x:f>MAX(0,MIN('Activities'!L675,204)-MAX('Activities'!K675,198))</x:f>
        <x:v>0</x:v>
      </x:c>
      <x:c r="AM675" s="23" t="n">
        <x:f>MAX(0,MIN('Activities'!L675,210)-MAX('Activities'!K675,204))</x:f>
        <x:v>0</x:v>
      </x:c>
      <x:c r="AN675" s="23" t="n">
        <x:f>MAX(0,MIN('Activities'!L675,216)-MAX('Activities'!K675,210))</x:f>
        <x:v>0</x:v>
      </x:c>
      <x:c r="AO675" s="23" t="n">
        <x:f>MAX(0,MIN('Activities'!L675,222)-MAX('Activities'!K675,216))</x:f>
        <x:v>0</x:v>
      </x:c>
      <x:c r="AP675" s="23" t="n">
        <x:f>MAX(0,MIN('Activities'!L675,228)-MAX('Activities'!K675,222))</x:f>
        <x:v>0</x:v>
      </x:c>
      <x:c r="AQ675" s="23" t="n">
        <x:f>MAX(0,MIN('Activities'!L675,234)-MAX('Activities'!K675,228))</x:f>
        <x:v>0</x:v>
      </x:c>
      <x:c r="AR675" s="23" t="n">
        <x:f>MAX(0,MIN('Activities'!L675,240)-MAX('Activities'!K675,234))</x:f>
        <x:v>0</x:v>
      </x:c>
      <x:c r="AS675" s="23" t="n">
        <x:f>MAX(0,MIN('Activities'!L675,246)-MAX('Activities'!K675,240))</x:f>
        <x:v>0</x:v>
      </x:c>
      <x:c r="AT675" s="23" t="n">
        <x:f>MAX(0,MIN('Activities'!L675,252)-MAX('Activities'!K675,246))</x:f>
        <x:v>0</x:v>
      </x:c>
      <x:c r="AU675" s="23" t="n">
        <x:f>MAX(0,MIN('Activities'!L675,258)-MAX('Activities'!K675,252))</x:f>
        <x:v>0</x:v>
      </x:c>
      <x:c r="AV675" s="23" t="n">
        <x:f>MAX(0,MIN('Activities'!L675,264)-MAX('Activities'!K675,258))</x:f>
        <x:v>0</x:v>
      </x:c>
      <x:c r="AW675" s="23" t="n">
        <x:f>MAX(0,MIN('Activities'!L675,270)-MAX('Activities'!K675,264))</x:f>
        <x:v>0</x:v>
      </x:c>
      <x:c r="AX675" s="23" t="n">
        <x:f>MAX(0,MIN('Activities'!L675,276)-MAX('Activities'!K675,270))</x:f>
        <x:v>0</x:v>
      </x:c>
      <x:c r="AY675" s="23" t="n">
        <x:f>MAX(0,MIN('Activities'!L675,282)-MAX('Activities'!K675,276))</x:f>
        <x:v>0</x:v>
      </x:c>
      <x:c r="AZ675" s="23" t="n">
        <x:f>MAX(0,MIN('Activities'!L675,288)-MAX('Activities'!K675,282))</x:f>
        <x:v>0</x:v>
      </x:c>
      <x:c r="BA675" s="23" t="n">
        <x:f>MAX(0,MIN('Activities'!L675,294)-MAX('Activities'!K675,288))</x:f>
        <x:v>0</x:v>
      </x:c>
      <x:c r="BB675" s="23" t="n">
        <x:f>MAX(0,MIN('Activities'!L675,300)-MAX('Activities'!K675,294))</x:f>
        <x:v>0</x:v>
      </x:c>
      <x:c r="BC675" s="23" t="n">
        <x:f>MAX(0,MIN('Activities'!L675,306)-MAX('Activities'!K675,300))</x:f>
        <x:v>0</x:v>
      </x:c>
      <x:c r="BD675" s="23" t="n">
        <x:f>MAX(0,MIN('Activities'!L675,312)-MAX('Activities'!K675,306))</x:f>
        <x:v>0</x:v>
      </x:c>
      <x:c r="BE675" s="23" t="n">
        <x:f>MAX(0,MIN('Activities'!L675,318)-MAX('Activities'!K675,312))</x:f>
        <x:v>0</x:v>
      </x:c>
      <x:c r="BF675" s="23" t="n">
        <x:f>MAX(0,MIN('Activities'!L675,324)-MAX('Activities'!K675,318))</x:f>
        <x:v>0</x:v>
      </x:c>
      <x:c r="BG675" s="23" t="n">
        <x:f>MAX(0,MIN('Activities'!L675,330)-MAX('Activities'!K675,324))</x:f>
        <x:v>0</x:v>
      </x:c>
      <x:c r="BH675" s="23" t="n">
        <x:f>MAX(0,MIN('Activities'!L675,336)-MAX('Activities'!K675,330))</x:f>
        <x:v>0</x:v>
      </x:c>
      <x:c r="BI675" s="23" t="n">
        <x:f>MAX(0,MIN('Activities'!L675,342)-MAX('Activities'!K675,336))</x:f>
        <x:v>0</x:v>
      </x:c>
      <x:c r="BJ675" s="23" t="n">
        <x:f>MAX(0,MIN('Activities'!L675,348)-MAX('Activities'!K675,342))</x:f>
        <x:v>0</x:v>
      </x:c>
      <x:c r="BK675" s="23" t="n">
        <x:f>MAX(0,MIN('Activities'!L675,354)-MAX('Activities'!K675,348))</x:f>
        <x:v>0</x:v>
      </x:c>
      <x:c r="BL675" s="23" t="n">
        <x:f>MAX(0,MIN('Activities'!L675,360)-MAX('Activities'!K675,354))</x:f>
        <x:v>0</x:v>
      </x:c>
      <x:c r="BM675" s="23" t="n">
        <x:f>MAX(0,MIN('Activities'!L675,366)-MAX('Activities'!K675,360))</x:f>
        <x:v>0</x:v>
      </x:c>
      <x:c r="BN675" s="23" t="n">
        <x:f>MAX(0,MIN('Activities'!L675,372)-MAX('Activities'!K675,366))</x:f>
        <x:v>0</x:v>
      </x:c>
      <x:c r="BO675" s="23" t="n">
        <x:f>MAX(0,MIN('Activities'!L675,378)-MAX('Activities'!K675,372))</x:f>
        <x:v>0</x:v>
      </x:c>
      <x:c r="BP675" s="23" t="n">
        <x:f>MAX(0,MIN('Activities'!L675,384)-MAX('Activities'!K675,378))</x:f>
        <x:v>0</x:v>
      </x:c>
      <x:c r="BQ675" s="23" t="n">
        <x:f>MAX(0,MIN('Activities'!L675,390)-MAX('Activities'!K675,384))</x:f>
        <x:v>0</x:v>
      </x:c>
      <x:c r="BR675" s="23" t="n">
        <x:f>MAX(0,MIN('Activities'!L675,396)-MAX('Activities'!K675,390))</x:f>
        <x:v>0</x:v>
      </x:c>
      <x:c r="BS675" s="23" t="n">
        <x:f>MAX(0,MIN('Activities'!L675,402)-MAX('Activities'!K675,396))</x:f>
        <x:v>0</x:v>
      </x:c>
      <x:c r="BT675" s="23" t="n">
        <x:f>MAX(0,MIN('Activities'!L675,408)-MAX('Activities'!K675,402))</x:f>
        <x:v>0</x:v>
      </x:c>
      <x:c r="BU675" s="23" t="n">
        <x:f>MAX(0,MIN('Activities'!L675,414)-MAX('Activities'!K675,408))</x:f>
        <x:v>0</x:v>
      </x:c>
      <x:c r="BV675" s="23" t="n">
        <x:f>MAX(0,MIN('Activities'!L675,420)-MAX('Activities'!K675,414))</x:f>
        <x:v>0</x:v>
      </x:c>
      <x:c r="BW675" s="23" t="n">
        <x:f>MAX(0,MIN('Activities'!L675,426)-MAX('Activities'!K675,420))</x:f>
        <x:v>5</x:v>
      </x:c>
      <x:c r="BX675" s="23" t="n">
        <x:f>MAX(0,MIN('Activities'!L675,432)-MAX('Activities'!K675,426))</x:f>
        <x:v>0</x:v>
      </x:c>
      <x:c r="BY675" s="23" t="n">
        <x:f>MAX(0,MIN('Activities'!L675,438)-MAX('Activities'!K675,432))</x:f>
        <x:v>0</x:v>
      </x:c>
      <x:c r="BZ675" s="23" t="n">
        <x:f>MAX(0,MIN('Activities'!L675,444)-MAX('Activities'!K675,438))</x:f>
        <x:v>0</x:v>
      </x:c>
      <x:c r="CA675" s="23" t="n">
        <x:f>MAX(0,MIN('Activities'!L675,450)-MAX('Activities'!K675,444))</x:f>
        <x:v>0</x:v>
      </x:c>
      <x:c r="CB675" s="23" t="n">
        <x:f>MAX(0,MIN('Activities'!L675,456)-MAX('Activities'!K675,450))</x:f>
        <x:v>0</x:v>
      </x:c>
      <x:c r="CC675" s="23" t="n">
        <x:f>MAX(0,MIN('Activities'!L675,462)-MAX('Activities'!K675,456))</x:f>
        <x:v>0</x:v>
      </x:c>
      <x:c r="CD675" s="23" t="n">
        <x:f>MAX(0,MIN('Activities'!L675,468)-MAX('Activities'!K675,462))</x:f>
        <x:v>0</x:v>
      </x:c>
      <x:c r="CE675" s="23" t="n">
        <x:f>MAX(0,MIN('Activities'!L675,474)-MAX('Activities'!K675,468))</x:f>
        <x:v>0</x:v>
      </x:c>
      <x:c r="CF675" s="23" t="n">
        <x:f>MAX(0,MIN('Activities'!L675,480)-MAX('Activities'!K675,474))</x:f>
        <x:v>0</x:v>
      </x:c>
      <x:c r="CG675" s="23" t="n">
        <x:f>MAX(0,MIN('Activities'!L675,486)-MAX('Activities'!K675,480))</x:f>
        <x:v>0</x:v>
      </x:c>
      <x:c r="CH675" s="23" t="n">
        <x:f>MAX(0,MIN('Activities'!L675,492)-MAX('Activities'!K675,486))</x:f>
        <x:v>0</x:v>
      </x:c>
      <x:c r="CI675" s="23" t="n">
        <x:f>MAX(0,MIN('Activities'!L675,498)-MAX('Activities'!K675,492))</x:f>
        <x:v>0</x:v>
      </x:c>
      <x:c r="CJ675" s="23" t="n">
        <x:f>MAX(0,MIN('Activities'!L675,504)-MAX('Activities'!K675,498))</x:f>
        <x:v>0</x:v>
      </x:c>
      <x:c r="CK675" s="23" t="n">
        <x:f>MAX(0,MIN('Activities'!L675,510)-MAX('Activities'!K675,504))</x:f>
        <x:v>0</x:v>
      </x:c>
      <x:c r="CL675" s="23" t="n">
        <x:f>MAX(0,MIN('Activities'!L675,516)-MAX('Activities'!K675,510))</x:f>
        <x:v>0</x:v>
      </x:c>
      <x:c r="CM675" s="23" t="n">
        <x:f>MAX(0,MIN('Activities'!L675,522)-MAX('Activities'!K675,516))</x:f>
        <x:v>0</x:v>
      </x:c>
      <x:c r="CN675" s="23" t="n">
        <x:f>MAX(0,MIN('Activities'!L675,528)-MAX('Activities'!K675,522))</x:f>
        <x:v>0</x:v>
      </x:c>
      <x:c r="CO675" s="23" t="n">
        <x:f>MAX(0,MIN('Activities'!L675,534)-MAX('Activities'!K675,528))</x:f>
        <x:v>0</x:v>
      </x:c>
      <x:c r="CP675" s="23" t="n">
        <x:f>MAX(0,MIN('Activities'!L675,540)-MAX('Activities'!K675,534))</x:f>
        <x:v>0</x:v>
      </x:c>
      <x:c r="CQ675" s="23" t="n">
        <x:f>MAX(0,MIN('Activities'!L675,546)-MAX('Activities'!K675,540))</x:f>
        <x:v>0</x:v>
      </x:c>
      <x:c r="CR675" s="23" t="n">
        <x:f>MAX(0,MIN('Activities'!L675,552)-MAX('Activities'!K675,546))</x:f>
        <x:v>0</x:v>
      </x:c>
      <x:c r="CS675" s="23" t="n">
        <x:f>MAX(0,MIN('Activities'!L675,558)-MAX('Activities'!K675,552))</x:f>
        <x:v>0</x:v>
      </x:c>
      <x:c r="CT675" s="23" t="n">
        <x:f>MAX(0,MIN('Activities'!L675,564)-MAX('Activities'!K675,558))</x:f>
        <x:v>0</x:v>
      </x:c>
      <x:c r="CU675" s="23" t="n">
        <x:f>MAX(0,MIN('Activities'!L675,570)-MAX('Activities'!K675,564))</x:f>
        <x:v>0</x:v>
      </x:c>
      <x:c r="CV675" s="23" t="n">
        <x:f>MAX(0,MIN('Activities'!L675,576)-MAX('Activities'!K675,570))</x:f>
        <x:v>0</x:v>
      </x:c>
      <x:c r="CW675" s="23" t="n">
        <x:f>MAX(0,MIN('Activities'!L675,582)-MAX('Activities'!K675,576))</x:f>
        <x:v>0</x:v>
      </x:c>
      <x:c r="CX675" s="23" t="n">
        <x:f>MAX(0,MIN('Activities'!L675,588)-MAX('Activities'!K675,582))</x:f>
        <x:v>0</x:v>
      </x:c>
      <x:c r="CY675" s="23" t="n">
        <x:f>MAX(0,MIN('Activities'!L675,594)-MAX('Activities'!K675,588))</x:f>
        <x:v>0</x:v>
      </x:c>
      <x:c r="CZ675" s="23" t="n">
        <x:f>MAX(0,MIN('Activities'!L675,600)-MAX('Activities'!K675,594))</x:f>
        <x:v>0</x:v>
      </x:c>
      <x:c r="DA675" s="23" t="n">
        <x:f>MAX(0,MIN('Activities'!L675,606)-MAX('Activities'!K675,600))</x:f>
        <x:v>0</x:v>
      </x:c>
      <x:c r="DB675" s="23" t="n">
        <x:f>MAX(0,MIN('Activities'!L675,612)-MAX('Activities'!K675,606))</x:f>
        <x:v>0</x:v>
      </x:c>
      <x:c r="DC675" s="23" t="n">
        <x:f>MAX(0,MIN('Activities'!L675,618)-MAX('Activities'!K675,612))</x:f>
        <x:v>0</x:v>
      </x:c>
      <x:c r="DD675" s="23" t="n">
        <x:f>MAX(0,MIN('Activities'!L675,624)-MAX('Activities'!K675,618))</x:f>
        <x:v>0</x:v>
      </x:c>
      <x:c r="DE675" s="23" t="n">
        <x:f>MAX(0,MIN('Activities'!L675,630)-MAX('Activities'!K675,624))</x:f>
        <x:v>0</x:v>
      </x:c>
      <x:c r="DF675" s="23" t="n">
        <x:f>MAX(0,MIN('Activities'!L675,636)-MAX('Activities'!K675,630))</x:f>
        <x:v>0</x:v>
      </x:c>
    </x:row>
    <x:row r="676" ht="23" customHeight="1">
      <x:c r="A676" s="6" t="str">
        <x:v>T5-L12-P</x:v>
      </x:c>
      <x:c r="B676" s="6" t="str">
        <x:v>T5</x:v>
      </x:c>
      <x:c r="C676" s="6" t="str">
        <x:v>Internal plaster</x:v>
      </x:c>
      <x:c r="D676" s="6" t="str">
        <x:v>Finishes</x:v>
      </x:c>
      <x:c r="E676" s="22" t="n">
        <x:f>MAX(0,MIN('Activities'!L676,6)-MAX('Activities'!K676,0))</x:f>
        <x:v>0</x:v>
      </x:c>
      <x:c r="F676" s="22" t="n">
        <x:f>MAX(0,MIN('Activities'!L676,12)-MAX('Activities'!K676,6))</x:f>
        <x:v>0</x:v>
      </x:c>
      <x:c r="G676" s="22" t="n">
        <x:f>MAX(0,MIN('Activities'!L676,18)-MAX('Activities'!K676,12))</x:f>
        <x:v>0</x:v>
      </x:c>
      <x:c r="H676" s="22" t="n">
        <x:f>MAX(0,MIN('Activities'!L676,24)-MAX('Activities'!K676,18))</x:f>
        <x:v>0</x:v>
      </x:c>
      <x:c r="I676" s="22" t="n">
        <x:f>MAX(0,MIN('Activities'!L676,30)-MAX('Activities'!K676,24))</x:f>
        <x:v>0</x:v>
      </x:c>
      <x:c r="J676" s="22" t="n">
        <x:f>MAX(0,MIN('Activities'!L676,36)-MAX('Activities'!K676,30))</x:f>
        <x:v>0</x:v>
      </x:c>
      <x:c r="K676" s="22" t="n">
        <x:f>MAX(0,MIN('Activities'!L676,42)-MAX('Activities'!K676,36))</x:f>
        <x:v>0</x:v>
      </x:c>
      <x:c r="L676" s="22" t="n">
        <x:f>MAX(0,MIN('Activities'!L676,48)-MAX('Activities'!K676,42))</x:f>
        <x:v>0</x:v>
      </x:c>
      <x:c r="M676" s="22" t="n">
        <x:f>MAX(0,MIN('Activities'!L676,54)-MAX('Activities'!K676,48))</x:f>
        <x:v>0</x:v>
      </x:c>
      <x:c r="N676" s="22" t="n">
        <x:f>MAX(0,MIN('Activities'!L676,60)-MAX('Activities'!K676,54))</x:f>
        <x:v>0</x:v>
      </x:c>
      <x:c r="O676" s="22" t="n">
        <x:f>MAX(0,MIN('Activities'!L676,66)-MAX('Activities'!K676,60))</x:f>
        <x:v>0</x:v>
      </x:c>
      <x:c r="P676" s="22" t="n">
        <x:f>MAX(0,MIN('Activities'!L676,72)-MAX('Activities'!K676,66))</x:f>
        <x:v>0</x:v>
      </x:c>
      <x:c r="Q676" s="22" t="n">
        <x:f>MAX(0,MIN('Activities'!L676,78)-MAX('Activities'!K676,72))</x:f>
        <x:v>0</x:v>
      </x:c>
      <x:c r="R676" s="22" t="n">
        <x:f>MAX(0,MIN('Activities'!L676,84)-MAX('Activities'!K676,78))</x:f>
        <x:v>0</x:v>
      </x:c>
      <x:c r="S676" s="22" t="n">
        <x:f>MAX(0,MIN('Activities'!L676,90)-MAX('Activities'!K676,84))</x:f>
        <x:v>0</x:v>
      </x:c>
      <x:c r="T676" s="22" t="n">
        <x:f>MAX(0,MIN('Activities'!L676,96)-MAX('Activities'!K676,90))</x:f>
        <x:v>0</x:v>
      </x:c>
      <x:c r="U676" s="22" t="n">
        <x:f>MAX(0,MIN('Activities'!L676,102)-MAX('Activities'!K676,96))</x:f>
        <x:v>0</x:v>
      </x:c>
      <x:c r="V676" s="22" t="n">
        <x:f>MAX(0,MIN('Activities'!L676,108)-MAX('Activities'!K676,102))</x:f>
        <x:v>0</x:v>
      </x:c>
      <x:c r="W676" s="22" t="n">
        <x:f>MAX(0,MIN('Activities'!L676,114)-MAX('Activities'!K676,108))</x:f>
        <x:v>0</x:v>
      </x:c>
      <x:c r="X676" s="22" t="n">
        <x:f>MAX(0,MIN('Activities'!L676,120)-MAX('Activities'!K676,114))</x:f>
        <x:v>0</x:v>
      </x:c>
      <x:c r="Y676" s="22" t="n">
        <x:f>MAX(0,MIN('Activities'!L676,126)-MAX('Activities'!K676,120))</x:f>
        <x:v>0</x:v>
      </x:c>
      <x:c r="Z676" s="22" t="n">
        <x:f>MAX(0,MIN('Activities'!L676,132)-MAX('Activities'!K676,126))</x:f>
        <x:v>0</x:v>
      </x:c>
      <x:c r="AA676" s="22" t="n">
        <x:f>MAX(0,MIN('Activities'!L676,138)-MAX('Activities'!K676,132))</x:f>
        <x:v>0</x:v>
      </x:c>
      <x:c r="AB676" s="22" t="n">
        <x:f>MAX(0,MIN('Activities'!L676,144)-MAX('Activities'!K676,138))</x:f>
        <x:v>0</x:v>
      </x:c>
      <x:c r="AC676" s="22" t="n">
        <x:f>MAX(0,MIN('Activities'!L676,150)-MAX('Activities'!K676,144))</x:f>
        <x:v>0</x:v>
      </x:c>
      <x:c r="AD676" s="22" t="n">
        <x:f>MAX(0,MIN('Activities'!L676,156)-MAX('Activities'!K676,150))</x:f>
        <x:v>0</x:v>
      </x:c>
      <x:c r="AE676" s="22" t="n">
        <x:f>MAX(0,MIN('Activities'!L676,162)-MAX('Activities'!K676,156))</x:f>
        <x:v>0</x:v>
      </x:c>
      <x:c r="AF676" s="22" t="n">
        <x:f>MAX(0,MIN('Activities'!L676,168)-MAX('Activities'!K676,162))</x:f>
        <x:v>0</x:v>
      </x:c>
      <x:c r="AG676" s="22" t="n">
        <x:f>MAX(0,MIN('Activities'!L676,174)-MAX('Activities'!K676,168))</x:f>
        <x:v>0</x:v>
      </x:c>
      <x:c r="AH676" s="22" t="n">
        <x:f>MAX(0,MIN('Activities'!L676,180)-MAX('Activities'!K676,174))</x:f>
        <x:v>0</x:v>
      </x:c>
      <x:c r="AI676" s="22" t="n">
        <x:f>MAX(0,MIN('Activities'!L676,186)-MAX('Activities'!K676,180))</x:f>
        <x:v>0</x:v>
      </x:c>
      <x:c r="AJ676" s="22" t="n">
        <x:f>MAX(0,MIN('Activities'!L676,192)-MAX('Activities'!K676,186))</x:f>
        <x:v>0</x:v>
      </x:c>
      <x:c r="AK676" s="22" t="n">
        <x:f>MAX(0,MIN('Activities'!L676,198)-MAX('Activities'!K676,192))</x:f>
        <x:v>0</x:v>
      </x:c>
      <x:c r="AL676" s="22" t="n">
        <x:f>MAX(0,MIN('Activities'!L676,204)-MAX('Activities'!K676,198))</x:f>
        <x:v>0</x:v>
      </x:c>
      <x:c r="AM676" s="22" t="n">
        <x:f>MAX(0,MIN('Activities'!L676,210)-MAX('Activities'!K676,204))</x:f>
        <x:v>0</x:v>
      </x:c>
      <x:c r="AN676" s="22" t="n">
        <x:f>MAX(0,MIN('Activities'!L676,216)-MAX('Activities'!K676,210))</x:f>
        <x:v>0</x:v>
      </x:c>
      <x:c r="AO676" s="22" t="n">
        <x:f>MAX(0,MIN('Activities'!L676,222)-MAX('Activities'!K676,216))</x:f>
        <x:v>0</x:v>
      </x:c>
      <x:c r="AP676" s="22" t="n">
        <x:f>MAX(0,MIN('Activities'!L676,228)-MAX('Activities'!K676,222))</x:f>
        <x:v>0</x:v>
      </x:c>
      <x:c r="AQ676" s="22" t="n">
        <x:f>MAX(0,MIN('Activities'!L676,234)-MAX('Activities'!K676,228))</x:f>
        <x:v>0</x:v>
      </x:c>
      <x:c r="AR676" s="22" t="n">
        <x:f>MAX(0,MIN('Activities'!L676,240)-MAX('Activities'!K676,234))</x:f>
        <x:v>0</x:v>
      </x:c>
      <x:c r="AS676" s="22" t="n">
        <x:f>MAX(0,MIN('Activities'!L676,246)-MAX('Activities'!K676,240))</x:f>
        <x:v>0</x:v>
      </x:c>
      <x:c r="AT676" s="22" t="n">
        <x:f>MAX(0,MIN('Activities'!L676,252)-MAX('Activities'!K676,246))</x:f>
        <x:v>0</x:v>
      </x:c>
      <x:c r="AU676" s="22" t="n">
        <x:f>MAX(0,MIN('Activities'!L676,258)-MAX('Activities'!K676,252))</x:f>
        <x:v>0</x:v>
      </x:c>
      <x:c r="AV676" s="22" t="n">
        <x:f>MAX(0,MIN('Activities'!L676,264)-MAX('Activities'!K676,258))</x:f>
        <x:v>0</x:v>
      </x:c>
      <x:c r="AW676" s="22" t="n">
        <x:f>MAX(0,MIN('Activities'!L676,270)-MAX('Activities'!K676,264))</x:f>
        <x:v>0</x:v>
      </x:c>
      <x:c r="AX676" s="22" t="n">
        <x:f>MAX(0,MIN('Activities'!L676,276)-MAX('Activities'!K676,270))</x:f>
        <x:v>0</x:v>
      </x:c>
      <x:c r="AY676" s="22" t="n">
        <x:f>MAX(0,MIN('Activities'!L676,282)-MAX('Activities'!K676,276))</x:f>
        <x:v>0</x:v>
      </x:c>
      <x:c r="AZ676" s="22" t="n">
        <x:f>MAX(0,MIN('Activities'!L676,288)-MAX('Activities'!K676,282))</x:f>
        <x:v>0</x:v>
      </x:c>
      <x:c r="BA676" s="22" t="n">
        <x:f>MAX(0,MIN('Activities'!L676,294)-MAX('Activities'!K676,288))</x:f>
        <x:v>0</x:v>
      </x:c>
      <x:c r="BB676" s="22" t="n">
        <x:f>MAX(0,MIN('Activities'!L676,300)-MAX('Activities'!K676,294))</x:f>
        <x:v>0</x:v>
      </x:c>
      <x:c r="BC676" s="22" t="n">
        <x:f>MAX(0,MIN('Activities'!L676,306)-MAX('Activities'!K676,300))</x:f>
        <x:v>0</x:v>
      </x:c>
      <x:c r="BD676" s="22" t="n">
        <x:f>MAX(0,MIN('Activities'!L676,312)-MAX('Activities'!K676,306))</x:f>
        <x:v>0</x:v>
      </x:c>
      <x:c r="BE676" s="22" t="n">
        <x:f>MAX(0,MIN('Activities'!L676,318)-MAX('Activities'!K676,312))</x:f>
        <x:v>0</x:v>
      </x:c>
      <x:c r="BF676" s="22" t="n">
        <x:f>MAX(0,MIN('Activities'!L676,324)-MAX('Activities'!K676,318))</x:f>
        <x:v>0</x:v>
      </x:c>
      <x:c r="BG676" s="22" t="n">
        <x:f>MAX(0,MIN('Activities'!L676,330)-MAX('Activities'!K676,324))</x:f>
        <x:v>0</x:v>
      </x:c>
      <x:c r="BH676" s="22" t="n">
        <x:f>MAX(0,MIN('Activities'!L676,336)-MAX('Activities'!K676,330))</x:f>
        <x:v>0</x:v>
      </x:c>
      <x:c r="BI676" s="22" t="n">
        <x:f>MAX(0,MIN('Activities'!L676,342)-MAX('Activities'!K676,336))</x:f>
        <x:v>0</x:v>
      </x:c>
      <x:c r="BJ676" s="22" t="n">
        <x:f>MAX(0,MIN('Activities'!L676,348)-MAX('Activities'!K676,342))</x:f>
        <x:v>0</x:v>
      </x:c>
      <x:c r="BK676" s="22" t="n">
        <x:f>MAX(0,MIN('Activities'!L676,354)-MAX('Activities'!K676,348))</x:f>
        <x:v>0</x:v>
      </x:c>
      <x:c r="BL676" s="22" t="n">
        <x:f>MAX(0,MIN('Activities'!L676,360)-MAX('Activities'!K676,354))</x:f>
        <x:v>0</x:v>
      </x:c>
      <x:c r="BM676" s="22" t="n">
        <x:f>MAX(0,MIN('Activities'!L676,366)-MAX('Activities'!K676,360))</x:f>
        <x:v>0</x:v>
      </x:c>
      <x:c r="BN676" s="22" t="n">
        <x:f>MAX(0,MIN('Activities'!L676,372)-MAX('Activities'!K676,366))</x:f>
        <x:v>0</x:v>
      </x:c>
      <x:c r="BO676" s="22" t="n">
        <x:f>MAX(0,MIN('Activities'!L676,378)-MAX('Activities'!K676,372))</x:f>
        <x:v>0</x:v>
      </x:c>
      <x:c r="BP676" s="22" t="n">
        <x:f>MAX(0,MIN('Activities'!L676,384)-MAX('Activities'!K676,378))</x:f>
        <x:v>0</x:v>
      </x:c>
      <x:c r="BQ676" s="22" t="n">
        <x:f>MAX(0,MIN('Activities'!L676,390)-MAX('Activities'!K676,384))</x:f>
        <x:v>0</x:v>
      </x:c>
      <x:c r="BR676" s="22" t="n">
        <x:f>MAX(0,MIN('Activities'!L676,396)-MAX('Activities'!K676,390))</x:f>
        <x:v>0</x:v>
      </x:c>
      <x:c r="BS676" s="22" t="n">
        <x:f>MAX(0,MIN('Activities'!L676,402)-MAX('Activities'!K676,396))</x:f>
        <x:v>0</x:v>
      </x:c>
      <x:c r="BT676" s="22" t="n">
        <x:f>MAX(0,MIN('Activities'!L676,408)-MAX('Activities'!K676,402))</x:f>
        <x:v>0</x:v>
      </x:c>
      <x:c r="BU676" s="22" t="n">
        <x:f>MAX(0,MIN('Activities'!L676,414)-MAX('Activities'!K676,408))</x:f>
        <x:v>0</x:v>
      </x:c>
      <x:c r="BV676" s="22" t="n">
        <x:f>MAX(0,MIN('Activities'!L676,420)-MAX('Activities'!K676,414))</x:f>
        <x:v>0</x:v>
      </x:c>
      <x:c r="BW676" s="22" t="n">
        <x:f>MAX(0,MIN('Activities'!L676,426)-MAX('Activities'!K676,420))</x:f>
        <x:v>0</x:v>
      </x:c>
      <x:c r="BX676" s="22" t="n">
        <x:f>MAX(0,MIN('Activities'!L676,432)-MAX('Activities'!K676,426))</x:f>
        <x:v>3</x:v>
      </x:c>
      <x:c r="BY676" s="22" t="n">
        <x:f>MAX(0,MIN('Activities'!L676,438)-MAX('Activities'!K676,432))</x:f>
        <x:v>3</x:v>
      </x:c>
      <x:c r="BZ676" s="22" t="n">
        <x:f>MAX(0,MIN('Activities'!L676,444)-MAX('Activities'!K676,438))</x:f>
        <x:v>0</x:v>
      </x:c>
      <x:c r="CA676" s="22" t="n">
        <x:f>MAX(0,MIN('Activities'!L676,450)-MAX('Activities'!K676,444))</x:f>
        <x:v>0</x:v>
      </x:c>
      <x:c r="CB676" s="22" t="n">
        <x:f>MAX(0,MIN('Activities'!L676,456)-MAX('Activities'!K676,450))</x:f>
        <x:v>0</x:v>
      </x:c>
      <x:c r="CC676" s="22" t="n">
        <x:f>MAX(0,MIN('Activities'!L676,462)-MAX('Activities'!K676,456))</x:f>
        <x:v>0</x:v>
      </x:c>
      <x:c r="CD676" s="22" t="n">
        <x:f>MAX(0,MIN('Activities'!L676,468)-MAX('Activities'!K676,462))</x:f>
        <x:v>0</x:v>
      </x:c>
      <x:c r="CE676" s="22" t="n">
        <x:f>MAX(0,MIN('Activities'!L676,474)-MAX('Activities'!K676,468))</x:f>
        <x:v>0</x:v>
      </x:c>
      <x:c r="CF676" s="22" t="n">
        <x:f>MAX(0,MIN('Activities'!L676,480)-MAX('Activities'!K676,474))</x:f>
        <x:v>0</x:v>
      </x:c>
      <x:c r="CG676" s="22" t="n">
        <x:f>MAX(0,MIN('Activities'!L676,486)-MAX('Activities'!K676,480))</x:f>
        <x:v>0</x:v>
      </x:c>
      <x:c r="CH676" s="22" t="n">
        <x:f>MAX(0,MIN('Activities'!L676,492)-MAX('Activities'!K676,486))</x:f>
        <x:v>0</x:v>
      </x:c>
      <x:c r="CI676" s="22" t="n">
        <x:f>MAX(0,MIN('Activities'!L676,498)-MAX('Activities'!K676,492))</x:f>
        <x:v>0</x:v>
      </x:c>
      <x:c r="CJ676" s="22" t="n">
        <x:f>MAX(0,MIN('Activities'!L676,504)-MAX('Activities'!K676,498))</x:f>
        <x:v>0</x:v>
      </x:c>
      <x:c r="CK676" s="22" t="n">
        <x:f>MAX(0,MIN('Activities'!L676,510)-MAX('Activities'!K676,504))</x:f>
        <x:v>0</x:v>
      </x:c>
      <x:c r="CL676" s="22" t="n">
        <x:f>MAX(0,MIN('Activities'!L676,516)-MAX('Activities'!K676,510))</x:f>
        <x:v>0</x:v>
      </x:c>
      <x:c r="CM676" s="22" t="n">
        <x:f>MAX(0,MIN('Activities'!L676,522)-MAX('Activities'!K676,516))</x:f>
        <x:v>0</x:v>
      </x:c>
      <x:c r="CN676" s="22" t="n">
        <x:f>MAX(0,MIN('Activities'!L676,528)-MAX('Activities'!K676,522))</x:f>
        <x:v>0</x:v>
      </x:c>
      <x:c r="CO676" s="22" t="n">
        <x:f>MAX(0,MIN('Activities'!L676,534)-MAX('Activities'!K676,528))</x:f>
        <x:v>0</x:v>
      </x:c>
      <x:c r="CP676" s="22" t="n">
        <x:f>MAX(0,MIN('Activities'!L676,540)-MAX('Activities'!K676,534))</x:f>
        <x:v>0</x:v>
      </x:c>
      <x:c r="CQ676" s="22" t="n">
        <x:f>MAX(0,MIN('Activities'!L676,546)-MAX('Activities'!K676,540))</x:f>
        <x:v>0</x:v>
      </x:c>
      <x:c r="CR676" s="22" t="n">
        <x:f>MAX(0,MIN('Activities'!L676,552)-MAX('Activities'!K676,546))</x:f>
        <x:v>0</x:v>
      </x:c>
      <x:c r="CS676" s="22" t="n">
        <x:f>MAX(0,MIN('Activities'!L676,558)-MAX('Activities'!K676,552))</x:f>
        <x:v>0</x:v>
      </x:c>
      <x:c r="CT676" s="22" t="n">
        <x:f>MAX(0,MIN('Activities'!L676,564)-MAX('Activities'!K676,558))</x:f>
        <x:v>0</x:v>
      </x:c>
      <x:c r="CU676" s="22" t="n">
        <x:f>MAX(0,MIN('Activities'!L676,570)-MAX('Activities'!K676,564))</x:f>
        <x:v>0</x:v>
      </x:c>
      <x:c r="CV676" s="22" t="n">
        <x:f>MAX(0,MIN('Activities'!L676,576)-MAX('Activities'!K676,570))</x:f>
        <x:v>0</x:v>
      </x:c>
      <x:c r="CW676" s="22" t="n">
        <x:f>MAX(0,MIN('Activities'!L676,582)-MAX('Activities'!K676,576))</x:f>
        <x:v>0</x:v>
      </x:c>
      <x:c r="CX676" s="22" t="n">
        <x:f>MAX(0,MIN('Activities'!L676,588)-MAX('Activities'!K676,582))</x:f>
        <x:v>0</x:v>
      </x:c>
      <x:c r="CY676" s="22" t="n">
        <x:f>MAX(0,MIN('Activities'!L676,594)-MAX('Activities'!K676,588))</x:f>
        <x:v>0</x:v>
      </x:c>
      <x:c r="CZ676" s="22" t="n">
        <x:f>MAX(0,MIN('Activities'!L676,600)-MAX('Activities'!K676,594))</x:f>
        <x:v>0</x:v>
      </x:c>
      <x:c r="DA676" s="22" t="n">
        <x:f>MAX(0,MIN('Activities'!L676,606)-MAX('Activities'!K676,600))</x:f>
        <x:v>0</x:v>
      </x:c>
      <x:c r="DB676" s="22" t="n">
        <x:f>MAX(0,MIN('Activities'!L676,612)-MAX('Activities'!K676,606))</x:f>
        <x:v>0</x:v>
      </x:c>
      <x:c r="DC676" s="22" t="n">
        <x:f>MAX(0,MIN('Activities'!L676,618)-MAX('Activities'!K676,612))</x:f>
        <x:v>0</x:v>
      </x:c>
      <x:c r="DD676" s="22" t="n">
        <x:f>MAX(0,MIN('Activities'!L676,624)-MAX('Activities'!K676,618))</x:f>
        <x:v>0</x:v>
      </x:c>
      <x:c r="DE676" s="22" t="n">
        <x:f>MAX(0,MIN('Activities'!L676,630)-MAX('Activities'!K676,624))</x:f>
        <x:v>0</x:v>
      </x:c>
      <x:c r="DF676" s="22" t="n">
        <x:f>MAX(0,MIN('Activities'!L676,636)-MAX('Activities'!K676,630))</x:f>
        <x:v>0</x:v>
      </x:c>
    </x:row>
    <x:row r="677" ht="23" customHeight="1">
      <x:c r="A677" s="1" t="str">
        <x:v>T5-L12-S</x:v>
      </x:c>
      <x:c r="B677" s="1" t="str">
        <x:v>T5</x:v>
      </x:c>
      <x:c r="C677" s="1" t="str">
        <x:v>Screed and substrate preparation</x:v>
      </x:c>
      <x:c r="D677" s="1" t="str">
        <x:v>Finishes</x:v>
      </x:c>
      <x:c r="E677" s="23" t="n">
        <x:f>MAX(0,MIN('Activities'!L677,6)-MAX('Activities'!K677,0))</x:f>
        <x:v>0</x:v>
      </x:c>
      <x:c r="F677" s="23" t="n">
        <x:f>MAX(0,MIN('Activities'!L677,12)-MAX('Activities'!K677,6))</x:f>
        <x:v>0</x:v>
      </x:c>
      <x:c r="G677" s="23" t="n">
        <x:f>MAX(0,MIN('Activities'!L677,18)-MAX('Activities'!K677,12))</x:f>
        <x:v>0</x:v>
      </x:c>
      <x:c r="H677" s="23" t="n">
        <x:f>MAX(0,MIN('Activities'!L677,24)-MAX('Activities'!K677,18))</x:f>
        <x:v>0</x:v>
      </x:c>
      <x:c r="I677" s="23" t="n">
        <x:f>MAX(0,MIN('Activities'!L677,30)-MAX('Activities'!K677,24))</x:f>
        <x:v>0</x:v>
      </x:c>
      <x:c r="J677" s="23" t="n">
        <x:f>MAX(0,MIN('Activities'!L677,36)-MAX('Activities'!K677,30))</x:f>
        <x:v>0</x:v>
      </x:c>
      <x:c r="K677" s="23" t="n">
        <x:f>MAX(0,MIN('Activities'!L677,42)-MAX('Activities'!K677,36))</x:f>
        <x:v>0</x:v>
      </x:c>
      <x:c r="L677" s="23" t="n">
        <x:f>MAX(0,MIN('Activities'!L677,48)-MAX('Activities'!K677,42))</x:f>
        <x:v>0</x:v>
      </x:c>
      <x:c r="M677" s="23" t="n">
        <x:f>MAX(0,MIN('Activities'!L677,54)-MAX('Activities'!K677,48))</x:f>
        <x:v>0</x:v>
      </x:c>
      <x:c r="N677" s="23" t="n">
        <x:f>MAX(0,MIN('Activities'!L677,60)-MAX('Activities'!K677,54))</x:f>
        <x:v>0</x:v>
      </x:c>
      <x:c r="O677" s="23" t="n">
        <x:f>MAX(0,MIN('Activities'!L677,66)-MAX('Activities'!K677,60))</x:f>
        <x:v>0</x:v>
      </x:c>
      <x:c r="P677" s="23" t="n">
        <x:f>MAX(0,MIN('Activities'!L677,72)-MAX('Activities'!K677,66))</x:f>
        <x:v>0</x:v>
      </x:c>
      <x:c r="Q677" s="23" t="n">
        <x:f>MAX(0,MIN('Activities'!L677,78)-MAX('Activities'!K677,72))</x:f>
        <x:v>0</x:v>
      </x:c>
      <x:c r="R677" s="23" t="n">
        <x:f>MAX(0,MIN('Activities'!L677,84)-MAX('Activities'!K677,78))</x:f>
        <x:v>0</x:v>
      </x:c>
      <x:c r="S677" s="23" t="n">
        <x:f>MAX(0,MIN('Activities'!L677,90)-MAX('Activities'!K677,84))</x:f>
        <x:v>0</x:v>
      </x:c>
      <x:c r="T677" s="23" t="n">
        <x:f>MAX(0,MIN('Activities'!L677,96)-MAX('Activities'!K677,90))</x:f>
        <x:v>0</x:v>
      </x:c>
      <x:c r="U677" s="23" t="n">
        <x:f>MAX(0,MIN('Activities'!L677,102)-MAX('Activities'!K677,96))</x:f>
        <x:v>0</x:v>
      </x:c>
      <x:c r="V677" s="23" t="n">
        <x:f>MAX(0,MIN('Activities'!L677,108)-MAX('Activities'!K677,102))</x:f>
        <x:v>0</x:v>
      </x:c>
      <x:c r="W677" s="23" t="n">
        <x:f>MAX(0,MIN('Activities'!L677,114)-MAX('Activities'!K677,108))</x:f>
        <x:v>0</x:v>
      </x:c>
      <x:c r="X677" s="23" t="n">
        <x:f>MAX(0,MIN('Activities'!L677,120)-MAX('Activities'!K677,114))</x:f>
        <x:v>0</x:v>
      </x:c>
      <x:c r="Y677" s="23" t="n">
        <x:f>MAX(0,MIN('Activities'!L677,126)-MAX('Activities'!K677,120))</x:f>
        <x:v>0</x:v>
      </x:c>
      <x:c r="Z677" s="23" t="n">
        <x:f>MAX(0,MIN('Activities'!L677,132)-MAX('Activities'!K677,126))</x:f>
        <x:v>0</x:v>
      </x:c>
      <x:c r="AA677" s="23" t="n">
        <x:f>MAX(0,MIN('Activities'!L677,138)-MAX('Activities'!K677,132))</x:f>
        <x:v>0</x:v>
      </x:c>
      <x:c r="AB677" s="23" t="n">
        <x:f>MAX(0,MIN('Activities'!L677,144)-MAX('Activities'!K677,138))</x:f>
        <x:v>0</x:v>
      </x:c>
      <x:c r="AC677" s="23" t="n">
        <x:f>MAX(0,MIN('Activities'!L677,150)-MAX('Activities'!K677,144))</x:f>
        <x:v>0</x:v>
      </x:c>
      <x:c r="AD677" s="23" t="n">
        <x:f>MAX(0,MIN('Activities'!L677,156)-MAX('Activities'!K677,150))</x:f>
        <x:v>0</x:v>
      </x:c>
      <x:c r="AE677" s="23" t="n">
        <x:f>MAX(0,MIN('Activities'!L677,162)-MAX('Activities'!K677,156))</x:f>
        <x:v>0</x:v>
      </x:c>
      <x:c r="AF677" s="23" t="n">
        <x:f>MAX(0,MIN('Activities'!L677,168)-MAX('Activities'!K677,162))</x:f>
        <x:v>0</x:v>
      </x:c>
      <x:c r="AG677" s="23" t="n">
        <x:f>MAX(0,MIN('Activities'!L677,174)-MAX('Activities'!K677,168))</x:f>
        <x:v>0</x:v>
      </x:c>
      <x:c r="AH677" s="23" t="n">
        <x:f>MAX(0,MIN('Activities'!L677,180)-MAX('Activities'!K677,174))</x:f>
        <x:v>0</x:v>
      </x:c>
      <x:c r="AI677" s="23" t="n">
        <x:f>MAX(0,MIN('Activities'!L677,186)-MAX('Activities'!K677,180))</x:f>
        <x:v>0</x:v>
      </x:c>
      <x:c r="AJ677" s="23" t="n">
        <x:f>MAX(0,MIN('Activities'!L677,192)-MAX('Activities'!K677,186))</x:f>
        <x:v>0</x:v>
      </x:c>
      <x:c r="AK677" s="23" t="n">
        <x:f>MAX(0,MIN('Activities'!L677,198)-MAX('Activities'!K677,192))</x:f>
        <x:v>0</x:v>
      </x:c>
      <x:c r="AL677" s="23" t="n">
        <x:f>MAX(0,MIN('Activities'!L677,204)-MAX('Activities'!K677,198))</x:f>
        <x:v>0</x:v>
      </x:c>
      <x:c r="AM677" s="23" t="n">
        <x:f>MAX(0,MIN('Activities'!L677,210)-MAX('Activities'!K677,204))</x:f>
        <x:v>0</x:v>
      </x:c>
      <x:c r="AN677" s="23" t="n">
        <x:f>MAX(0,MIN('Activities'!L677,216)-MAX('Activities'!K677,210))</x:f>
        <x:v>0</x:v>
      </x:c>
      <x:c r="AO677" s="23" t="n">
        <x:f>MAX(0,MIN('Activities'!L677,222)-MAX('Activities'!K677,216))</x:f>
        <x:v>0</x:v>
      </x:c>
      <x:c r="AP677" s="23" t="n">
        <x:f>MAX(0,MIN('Activities'!L677,228)-MAX('Activities'!K677,222))</x:f>
        <x:v>0</x:v>
      </x:c>
      <x:c r="AQ677" s="23" t="n">
        <x:f>MAX(0,MIN('Activities'!L677,234)-MAX('Activities'!K677,228))</x:f>
        <x:v>0</x:v>
      </x:c>
      <x:c r="AR677" s="23" t="n">
        <x:f>MAX(0,MIN('Activities'!L677,240)-MAX('Activities'!K677,234))</x:f>
        <x:v>0</x:v>
      </x:c>
      <x:c r="AS677" s="23" t="n">
        <x:f>MAX(0,MIN('Activities'!L677,246)-MAX('Activities'!K677,240))</x:f>
        <x:v>0</x:v>
      </x:c>
      <x:c r="AT677" s="23" t="n">
        <x:f>MAX(0,MIN('Activities'!L677,252)-MAX('Activities'!K677,246))</x:f>
        <x:v>0</x:v>
      </x:c>
      <x:c r="AU677" s="23" t="n">
        <x:f>MAX(0,MIN('Activities'!L677,258)-MAX('Activities'!K677,252))</x:f>
        <x:v>0</x:v>
      </x:c>
      <x:c r="AV677" s="23" t="n">
        <x:f>MAX(0,MIN('Activities'!L677,264)-MAX('Activities'!K677,258))</x:f>
        <x:v>0</x:v>
      </x:c>
      <x:c r="AW677" s="23" t="n">
        <x:f>MAX(0,MIN('Activities'!L677,270)-MAX('Activities'!K677,264))</x:f>
        <x:v>0</x:v>
      </x:c>
      <x:c r="AX677" s="23" t="n">
        <x:f>MAX(0,MIN('Activities'!L677,276)-MAX('Activities'!K677,270))</x:f>
        <x:v>0</x:v>
      </x:c>
      <x:c r="AY677" s="23" t="n">
        <x:f>MAX(0,MIN('Activities'!L677,282)-MAX('Activities'!K677,276))</x:f>
        <x:v>0</x:v>
      </x:c>
      <x:c r="AZ677" s="23" t="n">
        <x:f>MAX(0,MIN('Activities'!L677,288)-MAX('Activities'!K677,282))</x:f>
        <x:v>0</x:v>
      </x:c>
      <x:c r="BA677" s="23" t="n">
        <x:f>MAX(0,MIN('Activities'!L677,294)-MAX('Activities'!K677,288))</x:f>
        <x:v>0</x:v>
      </x:c>
      <x:c r="BB677" s="23" t="n">
        <x:f>MAX(0,MIN('Activities'!L677,300)-MAX('Activities'!K677,294))</x:f>
        <x:v>0</x:v>
      </x:c>
      <x:c r="BC677" s="23" t="n">
        <x:f>MAX(0,MIN('Activities'!L677,306)-MAX('Activities'!K677,300))</x:f>
        <x:v>0</x:v>
      </x:c>
      <x:c r="BD677" s="23" t="n">
        <x:f>MAX(0,MIN('Activities'!L677,312)-MAX('Activities'!K677,306))</x:f>
        <x:v>0</x:v>
      </x:c>
      <x:c r="BE677" s="23" t="n">
        <x:f>MAX(0,MIN('Activities'!L677,318)-MAX('Activities'!K677,312))</x:f>
        <x:v>0</x:v>
      </x:c>
      <x:c r="BF677" s="23" t="n">
        <x:f>MAX(0,MIN('Activities'!L677,324)-MAX('Activities'!K677,318))</x:f>
        <x:v>0</x:v>
      </x:c>
      <x:c r="BG677" s="23" t="n">
        <x:f>MAX(0,MIN('Activities'!L677,330)-MAX('Activities'!K677,324))</x:f>
        <x:v>0</x:v>
      </x:c>
      <x:c r="BH677" s="23" t="n">
        <x:f>MAX(0,MIN('Activities'!L677,336)-MAX('Activities'!K677,330))</x:f>
        <x:v>0</x:v>
      </x:c>
      <x:c r="BI677" s="23" t="n">
        <x:f>MAX(0,MIN('Activities'!L677,342)-MAX('Activities'!K677,336))</x:f>
        <x:v>0</x:v>
      </x:c>
      <x:c r="BJ677" s="23" t="n">
        <x:f>MAX(0,MIN('Activities'!L677,348)-MAX('Activities'!K677,342))</x:f>
        <x:v>0</x:v>
      </x:c>
      <x:c r="BK677" s="23" t="n">
        <x:f>MAX(0,MIN('Activities'!L677,354)-MAX('Activities'!K677,348))</x:f>
        <x:v>0</x:v>
      </x:c>
      <x:c r="BL677" s="23" t="n">
        <x:f>MAX(0,MIN('Activities'!L677,360)-MAX('Activities'!K677,354))</x:f>
        <x:v>0</x:v>
      </x:c>
      <x:c r="BM677" s="23" t="n">
        <x:f>MAX(0,MIN('Activities'!L677,366)-MAX('Activities'!K677,360))</x:f>
        <x:v>0</x:v>
      </x:c>
      <x:c r="BN677" s="23" t="n">
        <x:f>MAX(0,MIN('Activities'!L677,372)-MAX('Activities'!K677,366))</x:f>
        <x:v>0</x:v>
      </x:c>
      <x:c r="BO677" s="23" t="n">
        <x:f>MAX(0,MIN('Activities'!L677,378)-MAX('Activities'!K677,372))</x:f>
        <x:v>0</x:v>
      </x:c>
      <x:c r="BP677" s="23" t="n">
        <x:f>MAX(0,MIN('Activities'!L677,384)-MAX('Activities'!K677,378))</x:f>
        <x:v>0</x:v>
      </x:c>
      <x:c r="BQ677" s="23" t="n">
        <x:f>MAX(0,MIN('Activities'!L677,390)-MAX('Activities'!K677,384))</x:f>
        <x:v>0</x:v>
      </x:c>
      <x:c r="BR677" s="23" t="n">
        <x:f>MAX(0,MIN('Activities'!L677,396)-MAX('Activities'!K677,390))</x:f>
        <x:v>0</x:v>
      </x:c>
      <x:c r="BS677" s="23" t="n">
        <x:f>MAX(0,MIN('Activities'!L677,402)-MAX('Activities'!K677,396))</x:f>
        <x:v>0</x:v>
      </x:c>
      <x:c r="BT677" s="23" t="n">
        <x:f>MAX(0,MIN('Activities'!L677,408)-MAX('Activities'!K677,402))</x:f>
        <x:v>0</x:v>
      </x:c>
      <x:c r="BU677" s="23" t="n">
        <x:f>MAX(0,MIN('Activities'!L677,414)-MAX('Activities'!K677,408))</x:f>
        <x:v>0</x:v>
      </x:c>
      <x:c r="BV677" s="23" t="n">
        <x:f>MAX(0,MIN('Activities'!L677,420)-MAX('Activities'!K677,414))</x:f>
        <x:v>0</x:v>
      </x:c>
      <x:c r="BW677" s="23" t="n">
        <x:f>MAX(0,MIN('Activities'!L677,426)-MAX('Activities'!K677,420))</x:f>
        <x:v>0</x:v>
      </x:c>
      <x:c r="BX677" s="23" t="n">
        <x:f>MAX(0,MIN('Activities'!L677,432)-MAX('Activities'!K677,426))</x:f>
        <x:v>0</x:v>
      </x:c>
      <x:c r="BY677" s="23" t="n">
        <x:f>MAX(0,MIN('Activities'!L677,438)-MAX('Activities'!K677,432))</x:f>
        <x:v>1</x:v>
      </x:c>
      <x:c r="BZ677" s="23" t="n">
        <x:f>MAX(0,MIN('Activities'!L677,444)-MAX('Activities'!K677,438))</x:f>
        <x:v>2</x:v>
      </x:c>
      <x:c r="CA677" s="23" t="n">
        <x:f>MAX(0,MIN('Activities'!L677,450)-MAX('Activities'!K677,444))</x:f>
        <x:v>0</x:v>
      </x:c>
      <x:c r="CB677" s="23" t="n">
        <x:f>MAX(0,MIN('Activities'!L677,456)-MAX('Activities'!K677,450))</x:f>
        <x:v>0</x:v>
      </x:c>
      <x:c r="CC677" s="23" t="n">
        <x:f>MAX(0,MIN('Activities'!L677,462)-MAX('Activities'!K677,456))</x:f>
        <x:v>0</x:v>
      </x:c>
      <x:c r="CD677" s="23" t="n">
        <x:f>MAX(0,MIN('Activities'!L677,468)-MAX('Activities'!K677,462))</x:f>
        <x:v>0</x:v>
      </x:c>
      <x:c r="CE677" s="23" t="n">
        <x:f>MAX(0,MIN('Activities'!L677,474)-MAX('Activities'!K677,468))</x:f>
        <x:v>0</x:v>
      </x:c>
      <x:c r="CF677" s="23" t="n">
        <x:f>MAX(0,MIN('Activities'!L677,480)-MAX('Activities'!K677,474))</x:f>
        <x:v>0</x:v>
      </x:c>
      <x:c r="CG677" s="23" t="n">
        <x:f>MAX(0,MIN('Activities'!L677,486)-MAX('Activities'!K677,480))</x:f>
        <x:v>0</x:v>
      </x:c>
      <x:c r="CH677" s="23" t="n">
        <x:f>MAX(0,MIN('Activities'!L677,492)-MAX('Activities'!K677,486))</x:f>
        <x:v>0</x:v>
      </x:c>
      <x:c r="CI677" s="23" t="n">
        <x:f>MAX(0,MIN('Activities'!L677,498)-MAX('Activities'!K677,492))</x:f>
        <x:v>0</x:v>
      </x:c>
      <x:c r="CJ677" s="23" t="n">
        <x:f>MAX(0,MIN('Activities'!L677,504)-MAX('Activities'!K677,498))</x:f>
        <x:v>0</x:v>
      </x:c>
      <x:c r="CK677" s="23" t="n">
        <x:f>MAX(0,MIN('Activities'!L677,510)-MAX('Activities'!K677,504))</x:f>
        <x:v>0</x:v>
      </x:c>
      <x:c r="CL677" s="23" t="n">
        <x:f>MAX(0,MIN('Activities'!L677,516)-MAX('Activities'!K677,510))</x:f>
        <x:v>0</x:v>
      </x:c>
      <x:c r="CM677" s="23" t="n">
        <x:f>MAX(0,MIN('Activities'!L677,522)-MAX('Activities'!K677,516))</x:f>
        <x:v>0</x:v>
      </x:c>
      <x:c r="CN677" s="23" t="n">
        <x:f>MAX(0,MIN('Activities'!L677,528)-MAX('Activities'!K677,522))</x:f>
        <x:v>0</x:v>
      </x:c>
      <x:c r="CO677" s="23" t="n">
        <x:f>MAX(0,MIN('Activities'!L677,534)-MAX('Activities'!K677,528))</x:f>
        <x:v>0</x:v>
      </x:c>
      <x:c r="CP677" s="23" t="n">
        <x:f>MAX(0,MIN('Activities'!L677,540)-MAX('Activities'!K677,534))</x:f>
        <x:v>0</x:v>
      </x:c>
      <x:c r="CQ677" s="23" t="n">
        <x:f>MAX(0,MIN('Activities'!L677,546)-MAX('Activities'!K677,540))</x:f>
        <x:v>0</x:v>
      </x:c>
      <x:c r="CR677" s="23" t="n">
        <x:f>MAX(0,MIN('Activities'!L677,552)-MAX('Activities'!K677,546))</x:f>
        <x:v>0</x:v>
      </x:c>
      <x:c r="CS677" s="23" t="n">
        <x:f>MAX(0,MIN('Activities'!L677,558)-MAX('Activities'!K677,552))</x:f>
        <x:v>0</x:v>
      </x:c>
      <x:c r="CT677" s="23" t="n">
        <x:f>MAX(0,MIN('Activities'!L677,564)-MAX('Activities'!K677,558))</x:f>
        <x:v>0</x:v>
      </x:c>
      <x:c r="CU677" s="23" t="n">
        <x:f>MAX(0,MIN('Activities'!L677,570)-MAX('Activities'!K677,564))</x:f>
        <x:v>0</x:v>
      </x:c>
      <x:c r="CV677" s="23" t="n">
        <x:f>MAX(0,MIN('Activities'!L677,576)-MAX('Activities'!K677,570))</x:f>
        <x:v>0</x:v>
      </x:c>
      <x:c r="CW677" s="23" t="n">
        <x:f>MAX(0,MIN('Activities'!L677,582)-MAX('Activities'!K677,576))</x:f>
        <x:v>0</x:v>
      </x:c>
      <x:c r="CX677" s="23" t="n">
        <x:f>MAX(0,MIN('Activities'!L677,588)-MAX('Activities'!K677,582))</x:f>
        <x:v>0</x:v>
      </x:c>
      <x:c r="CY677" s="23" t="n">
        <x:f>MAX(0,MIN('Activities'!L677,594)-MAX('Activities'!K677,588))</x:f>
        <x:v>0</x:v>
      </x:c>
      <x:c r="CZ677" s="23" t="n">
        <x:f>MAX(0,MIN('Activities'!L677,600)-MAX('Activities'!K677,594))</x:f>
        <x:v>0</x:v>
      </x:c>
      <x:c r="DA677" s="23" t="n">
        <x:f>MAX(0,MIN('Activities'!L677,606)-MAX('Activities'!K677,600))</x:f>
        <x:v>0</x:v>
      </x:c>
      <x:c r="DB677" s="23" t="n">
        <x:f>MAX(0,MIN('Activities'!L677,612)-MAX('Activities'!K677,606))</x:f>
        <x:v>0</x:v>
      </x:c>
      <x:c r="DC677" s="23" t="n">
        <x:f>MAX(0,MIN('Activities'!L677,618)-MAX('Activities'!K677,612))</x:f>
        <x:v>0</x:v>
      </x:c>
      <x:c r="DD677" s="23" t="n">
        <x:f>MAX(0,MIN('Activities'!L677,624)-MAX('Activities'!K677,618))</x:f>
        <x:v>0</x:v>
      </x:c>
      <x:c r="DE677" s="23" t="n">
        <x:f>MAX(0,MIN('Activities'!L677,630)-MAX('Activities'!K677,624))</x:f>
        <x:v>0</x:v>
      </x:c>
      <x:c r="DF677" s="23" t="n">
        <x:f>MAX(0,MIN('Activities'!L677,636)-MAX('Activities'!K677,630))</x:f>
        <x:v>0</x:v>
      </x:c>
    </x:row>
    <x:row r="678" ht="23" customHeight="1">
      <x:c r="A678" s="6" t="str">
        <x:v>T5-L12-T</x:v>
      </x:c>
      <x:c r="B678" s="6" t="str">
        <x:v>T5</x:v>
      </x:c>
      <x:c r="C678" s="6" t="str">
        <x:v>Floor finishes and skirtings</x:v>
      </x:c>
      <x:c r="D678" s="6" t="str">
        <x:v>Finishes</x:v>
      </x:c>
      <x:c r="E678" s="22" t="n">
        <x:f>MAX(0,MIN('Activities'!L678,6)-MAX('Activities'!K678,0))</x:f>
        <x:v>0</x:v>
      </x:c>
      <x:c r="F678" s="22" t="n">
        <x:f>MAX(0,MIN('Activities'!L678,12)-MAX('Activities'!K678,6))</x:f>
        <x:v>0</x:v>
      </x:c>
      <x:c r="G678" s="22" t="n">
        <x:f>MAX(0,MIN('Activities'!L678,18)-MAX('Activities'!K678,12))</x:f>
        <x:v>0</x:v>
      </x:c>
      <x:c r="H678" s="22" t="n">
        <x:f>MAX(0,MIN('Activities'!L678,24)-MAX('Activities'!K678,18))</x:f>
        <x:v>0</x:v>
      </x:c>
      <x:c r="I678" s="22" t="n">
        <x:f>MAX(0,MIN('Activities'!L678,30)-MAX('Activities'!K678,24))</x:f>
        <x:v>0</x:v>
      </x:c>
      <x:c r="J678" s="22" t="n">
        <x:f>MAX(0,MIN('Activities'!L678,36)-MAX('Activities'!K678,30))</x:f>
        <x:v>0</x:v>
      </x:c>
      <x:c r="K678" s="22" t="n">
        <x:f>MAX(0,MIN('Activities'!L678,42)-MAX('Activities'!K678,36))</x:f>
        <x:v>0</x:v>
      </x:c>
      <x:c r="L678" s="22" t="n">
        <x:f>MAX(0,MIN('Activities'!L678,48)-MAX('Activities'!K678,42))</x:f>
        <x:v>0</x:v>
      </x:c>
      <x:c r="M678" s="22" t="n">
        <x:f>MAX(0,MIN('Activities'!L678,54)-MAX('Activities'!K678,48))</x:f>
        <x:v>0</x:v>
      </x:c>
      <x:c r="N678" s="22" t="n">
        <x:f>MAX(0,MIN('Activities'!L678,60)-MAX('Activities'!K678,54))</x:f>
        <x:v>0</x:v>
      </x:c>
      <x:c r="O678" s="22" t="n">
        <x:f>MAX(0,MIN('Activities'!L678,66)-MAX('Activities'!K678,60))</x:f>
        <x:v>0</x:v>
      </x:c>
      <x:c r="P678" s="22" t="n">
        <x:f>MAX(0,MIN('Activities'!L678,72)-MAX('Activities'!K678,66))</x:f>
        <x:v>0</x:v>
      </x:c>
      <x:c r="Q678" s="22" t="n">
        <x:f>MAX(0,MIN('Activities'!L678,78)-MAX('Activities'!K678,72))</x:f>
        <x:v>0</x:v>
      </x:c>
      <x:c r="R678" s="22" t="n">
        <x:f>MAX(0,MIN('Activities'!L678,84)-MAX('Activities'!K678,78))</x:f>
        <x:v>0</x:v>
      </x:c>
      <x:c r="S678" s="22" t="n">
        <x:f>MAX(0,MIN('Activities'!L678,90)-MAX('Activities'!K678,84))</x:f>
        <x:v>0</x:v>
      </x:c>
      <x:c r="T678" s="22" t="n">
        <x:f>MAX(0,MIN('Activities'!L678,96)-MAX('Activities'!K678,90))</x:f>
        <x:v>0</x:v>
      </x:c>
      <x:c r="U678" s="22" t="n">
        <x:f>MAX(0,MIN('Activities'!L678,102)-MAX('Activities'!K678,96))</x:f>
        <x:v>0</x:v>
      </x:c>
      <x:c r="V678" s="22" t="n">
        <x:f>MAX(0,MIN('Activities'!L678,108)-MAX('Activities'!K678,102))</x:f>
        <x:v>0</x:v>
      </x:c>
      <x:c r="W678" s="22" t="n">
        <x:f>MAX(0,MIN('Activities'!L678,114)-MAX('Activities'!K678,108))</x:f>
        <x:v>0</x:v>
      </x:c>
      <x:c r="X678" s="22" t="n">
        <x:f>MAX(0,MIN('Activities'!L678,120)-MAX('Activities'!K678,114))</x:f>
        <x:v>0</x:v>
      </x:c>
      <x:c r="Y678" s="22" t="n">
        <x:f>MAX(0,MIN('Activities'!L678,126)-MAX('Activities'!K678,120))</x:f>
        <x:v>0</x:v>
      </x:c>
      <x:c r="Z678" s="22" t="n">
        <x:f>MAX(0,MIN('Activities'!L678,132)-MAX('Activities'!K678,126))</x:f>
        <x:v>0</x:v>
      </x:c>
      <x:c r="AA678" s="22" t="n">
        <x:f>MAX(0,MIN('Activities'!L678,138)-MAX('Activities'!K678,132))</x:f>
        <x:v>0</x:v>
      </x:c>
      <x:c r="AB678" s="22" t="n">
        <x:f>MAX(0,MIN('Activities'!L678,144)-MAX('Activities'!K678,138))</x:f>
        <x:v>0</x:v>
      </x:c>
      <x:c r="AC678" s="22" t="n">
        <x:f>MAX(0,MIN('Activities'!L678,150)-MAX('Activities'!K678,144))</x:f>
        <x:v>0</x:v>
      </x:c>
      <x:c r="AD678" s="22" t="n">
        <x:f>MAX(0,MIN('Activities'!L678,156)-MAX('Activities'!K678,150))</x:f>
        <x:v>0</x:v>
      </x:c>
      <x:c r="AE678" s="22" t="n">
        <x:f>MAX(0,MIN('Activities'!L678,162)-MAX('Activities'!K678,156))</x:f>
        <x:v>0</x:v>
      </x:c>
      <x:c r="AF678" s="22" t="n">
        <x:f>MAX(0,MIN('Activities'!L678,168)-MAX('Activities'!K678,162))</x:f>
        <x:v>0</x:v>
      </x:c>
      <x:c r="AG678" s="22" t="n">
        <x:f>MAX(0,MIN('Activities'!L678,174)-MAX('Activities'!K678,168))</x:f>
        <x:v>0</x:v>
      </x:c>
      <x:c r="AH678" s="22" t="n">
        <x:f>MAX(0,MIN('Activities'!L678,180)-MAX('Activities'!K678,174))</x:f>
        <x:v>0</x:v>
      </x:c>
      <x:c r="AI678" s="22" t="n">
        <x:f>MAX(0,MIN('Activities'!L678,186)-MAX('Activities'!K678,180))</x:f>
        <x:v>0</x:v>
      </x:c>
      <x:c r="AJ678" s="22" t="n">
        <x:f>MAX(0,MIN('Activities'!L678,192)-MAX('Activities'!K678,186))</x:f>
        <x:v>0</x:v>
      </x:c>
      <x:c r="AK678" s="22" t="n">
        <x:f>MAX(0,MIN('Activities'!L678,198)-MAX('Activities'!K678,192))</x:f>
        <x:v>0</x:v>
      </x:c>
      <x:c r="AL678" s="22" t="n">
        <x:f>MAX(0,MIN('Activities'!L678,204)-MAX('Activities'!K678,198))</x:f>
        <x:v>0</x:v>
      </x:c>
      <x:c r="AM678" s="22" t="n">
        <x:f>MAX(0,MIN('Activities'!L678,210)-MAX('Activities'!K678,204))</x:f>
        <x:v>0</x:v>
      </x:c>
      <x:c r="AN678" s="22" t="n">
        <x:f>MAX(0,MIN('Activities'!L678,216)-MAX('Activities'!K678,210))</x:f>
        <x:v>0</x:v>
      </x:c>
      <x:c r="AO678" s="22" t="n">
        <x:f>MAX(0,MIN('Activities'!L678,222)-MAX('Activities'!K678,216))</x:f>
        <x:v>0</x:v>
      </x:c>
      <x:c r="AP678" s="22" t="n">
        <x:f>MAX(0,MIN('Activities'!L678,228)-MAX('Activities'!K678,222))</x:f>
        <x:v>0</x:v>
      </x:c>
      <x:c r="AQ678" s="22" t="n">
        <x:f>MAX(0,MIN('Activities'!L678,234)-MAX('Activities'!K678,228))</x:f>
        <x:v>0</x:v>
      </x:c>
      <x:c r="AR678" s="22" t="n">
        <x:f>MAX(0,MIN('Activities'!L678,240)-MAX('Activities'!K678,234))</x:f>
        <x:v>0</x:v>
      </x:c>
      <x:c r="AS678" s="22" t="n">
        <x:f>MAX(0,MIN('Activities'!L678,246)-MAX('Activities'!K678,240))</x:f>
        <x:v>0</x:v>
      </x:c>
      <x:c r="AT678" s="22" t="n">
        <x:f>MAX(0,MIN('Activities'!L678,252)-MAX('Activities'!K678,246))</x:f>
        <x:v>0</x:v>
      </x:c>
      <x:c r="AU678" s="22" t="n">
        <x:f>MAX(0,MIN('Activities'!L678,258)-MAX('Activities'!K678,252))</x:f>
        <x:v>0</x:v>
      </x:c>
      <x:c r="AV678" s="22" t="n">
        <x:f>MAX(0,MIN('Activities'!L678,264)-MAX('Activities'!K678,258))</x:f>
        <x:v>0</x:v>
      </x:c>
      <x:c r="AW678" s="22" t="n">
        <x:f>MAX(0,MIN('Activities'!L678,270)-MAX('Activities'!K678,264))</x:f>
        <x:v>0</x:v>
      </x:c>
      <x:c r="AX678" s="22" t="n">
        <x:f>MAX(0,MIN('Activities'!L678,276)-MAX('Activities'!K678,270))</x:f>
        <x:v>0</x:v>
      </x:c>
      <x:c r="AY678" s="22" t="n">
        <x:f>MAX(0,MIN('Activities'!L678,282)-MAX('Activities'!K678,276))</x:f>
        <x:v>0</x:v>
      </x:c>
      <x:c r="AZ678" s="22" t="n">
        <x:f>MAX(0,MIN('Activities'!L678,288)-MAX('Activities'!K678,282))</x:f>
        <x:v>0</x:v>
      </x:c>
      <x:c r="BA678" s="22" t="n">
        <x:f>MAX(0,MIN('Activities'!L678,294)-MAX('Activities'!K678,288))</x:f>
        <x:v>0</x:v>
      </x:c>
      <x:c r="BB678" s="22" t="n">
        <x:f>MAX(0,MIN('Activities'!L678,300)-MAX('Activities'!K678,294))</x:f>
        <x:v>0</x:v>
      </x:c>
      <x:c r="BC678" s="22" t="n">
        <x:f>MAX(0,MIN('Activities'!L678,306)-MAX('Activities'!K678,300))</x:f>
        <x:v>0</x:v>
      </x:c>
      <x:c r="BD678" s="22" t="n">
        <x:f>MAX(0,MIN('Activities'!L678,312)-MAX('Activities'!K678,306))</x:f>
        <x:v>0</x:v>
      </x:c>
      <x:c r="BE678" s="22" t="n">
        <x:f>MAX(0,MIN('Activities'!L678,318)-MAX('Activities'!K678,312))</x:f>
        <x:v>0</x:v>
      </x:c>
      <x:c r="BF678" s="22" t="n">
        <x:f>MAX(0,MIN('Activities'!L678,324)-MAX('Activities'!K678,318))</x:f>
        <x:v>0</x:v>
      </x:c>
      <x:c r="BG678" s="22" t="n">
        <x:f>MAX(0,MIN('Activities'!L678,330)-MAX('Activities'!K678,324))</x:f>
        <x:v>0</x:v>
      </x:c>
      <x:c r="BH678" s="22" t="n">
        <x:f>MAX(0,MIN('Activities'!L678,336)-MAX('Activities'!K678,330))</x:f>
        <x:v>0</x:v>
      </x:c>
      <x:c r="BI678" s="22" t="n">
        <x:f>MAX(0,MIN('Activities'!L678,342)-MAX('Activities'!K678,336))</x:f>
        <x:v>0</x:v>
      </x:c>
      <x:c r="BJ678" s="22" t="n">
        <x:f>MAX(0,MIN('Activities'!L678,348)-MAX('Activities'!K678,342))</x:f>
        <x:v>0</x:v>
      </x:c>
      <x:c r="BK678" s="22" t="n">
        <x:f>MAX(0,MIN('Activities'!L678,354)-MAX('Activities'!K678,348))</x:f>
        <x:v>0</x:v>
      </x:c>
      <x:c r="BL678" s="22" t="n">
        <x:f>MAX(0,MIN('Activities'!L678,360)-MAX('Activities'!K678,354))</x:f>
        <x:v>0</x:v>
      </x:c>
      <x:c r="BM678" s="22" t="n">
        <x:f>MAX(0,MIN('Activities'!L678,366)-MAX('Activities'!K678,360))</x:f>
        <x:v>0</x:v>
      </x:c>
      <x:c r="BN678" s="22" t="n">
        <x:f>MAX(0,MIN('Activities'!L678,372)-MAX('Activities'!K678,366))</x:f>
        <x:v>0</x:v>
      </x:c>
      <x:c r="BO678" s="22" t="n">
        <x:f>MAX(0,MIN('Activities'!L678,378)-MAX('Activities'!K678,372))</x:f>
        <x:v>0</x:v>
      </x:c>
      <x:c r="BP678" s="22" t="n">
        <x:f>MAX(0,MIN('Activities'!L678,384)-MAX('Activities'!K678,378))</x:f>
        <x:v>0</x:v>
      </x:c>
      <x:c r="BQ678" s="22" t="n">
        <x:f>MAX(0,MIN('Activities'!L678,390)-MAX('Activities'!K678,384))</x:f>
        <x:v>0</x:v>
      </x:c>
      <x:c r="BR678" s="22" t="n">
        <x:f>MAX(0,MIN('Activities'!L678,396)-MAX('Activities'!K678,390))</x:f>
        <x:v>0</x:v>
      </x:c>
      <x:c r="BS678" s="22" t="n">
        <x:f>MAX(0,MIN('Activities'!L678,402)-MAX('Activities'!K678,396))</x:f>
        <x:v>0</x:v>
      </x:c>
      <x:c r="BT678" s="22" t="n">
        <x:f>MAX(0,MIN('Activities'!L678,408)-MAX('Activities'!K678,402))</x:f>
        <x:v>0</x:v>
      </x:c>
      <x:c r="BU678" s="22" t="n">
        <x:f>MAX(0,MIN('Activities'!L678,414)-MAX('Activities'!K678,408))</x:f>
        <x:v>0</x:v>
      </x:c>
      <x:c r="BV678" s="22" t="n">
        <x:f>MAX(0,MIN('Activities'!L678,420)-MAX('Activities'!K678,414))</x:f>
        <x:v>0</x:v>
      </x:c>
      <x:c r="BW678" s="22" t="n">
        <x:f>MAX(0,MIN('Activities'!L678,426)-MAX('Activities'!K678,420))</x:f>
        <x:v>0</x:v>
      </x:c>
      <x:c r="BX678" s="22" t="n">
        <x:f>MAX(0,MIN('Activities'!L678,432)-MAX('Activities'!K678,426))</x:f>
        <x:v>0</x:v>
      </x:c>
      <x:c r="BY678" s="22" t="n">
        <x:f>MAX(0,MIN('Activities'!L678,438)-MAX('Activities'!K678,432))</x:f>
        <x:v>0</x:v>
      </x:c>
      <x:c r="BZ678" s="22" t="n">
        <x:f>MAX(0,MIN('Activities'!L678,444)-MAX('Activities'!K678,438))</x:f>
        <x:v>0</x:v>
      </x:c>
      <x:c r="CA678" s="22" t="n">
        <x:f>MAX(0,MIN('Activities'!L678,450)-MAX('Activities'!K678,444))</x:f>
        <x:v>0</x:v>
      </x:c>
      <x:c r="CB678" s="22" t="n">
        <x:f>MAX(0,MIN('Activities'!L678,456)-MAX('Activities'!K678,450))</x:f>
        <x:v>2</x:v>
      </x:c>
      <x:c r="CC678" s="22" t="n">
        <x:f>MAX(0,MIN('Activities'!L678,462)-MAX('Activities'!K678,456))</x:f>
        <x:v>4</x:v>
      </x:c>
      <x:c r="CD678" s="22" t="n">
        <x:f>MAX(0,MIN('Activities'!L678,468)-MAX('Activities'!K678,462))</x:f>
        <x:v>0</x:v>
      </x:c>
      <x:c r="CE678" s="22" t="n">
        <x:f>MAX(0,MIN('Activities'!L678,474)-MAX('Activities'!K678,468))</x:f>
        <x:v>0</x:v>
      </x:c>
      <x:c r="CF678" s="22" t="n">
        <x:f>MAX(0,MIN('Activities'!L678,480)-MAX('Activities'!K678,474))</x:f>
        <x:v>0</x:v>
      </x:c>
      <x:c r="CG678" s="22" t="n">
        <x:f>MAX(0,MIN('Activities'!L678,486)-MAX('Activities'!K678,480))</x:f>
        <x:v>0</x:v>
      </x:c>
      <x:c r="CH678" s="22" t="n">
        <x:f>MAX(0,MIN('Activities'!L678,492)-MAX('Activities'!K678,486))</x:f>
        <x:v>0</x:v>
      </x:c>
      <x:c r="CI678" s="22" t="n">
        <x:f>MAX(0,MIN('Activities'!L678,498)-MAX('Activities'!K678,492))</x:f>
        <x:v>0</x:v>
      </x:c>
      <x:c r="CJ678" s="22" t="n">
        <x:f>MAX(0,MIN('Activities'!L678,504)-MAX('Activities'!K678,498))</x:f>
        <x:v>0</x:v>
      </x:c>
      <x:c r="CK678" s="22" t="n">
        <x:f>MAX(0,MIN('Activities'!L678,510)-MAX('Activities'!K678,504))</x:f>
        <x:v>0</x:v>
      </x:c>
      <x:c r="CL678" s="22" t="n">
        <x:f>MAX(0,MIN('Activities'!L678,516)-MAX('Activities'!K678,510))</x:f>
        <x:v>0</x:v>
      </x:c>
      <x:c r="CM678" s="22" t="n">
        <x:f>MAX(0,MIN('Activities'!L678,522)-MAX('Activities'!K678,516))</x:f>
        <x:v>0</x:v>
      </x:c>
      <x:c r="CN678" s="22" t="n">
        <x:f>MAX(0,MIN('Activities'!L678,528)-MAX('Activities'!K678,522))</x:f>
        <x:v>0</x:v>
      </x:c>
      <x:c r="CO678" s="22" t="n">
        <x:f>MAX(0,MIN('Activities'!L678,534)-MAX('Activities'!K678,528))</x:f>
        <x:v>0</x:v>
      </x:c>
      <x:c r="CP678" s="22" t="n">
        <x:f>MAX(0,MIN('Activities'!L678,540)-MAX('Activities'!K678,534))</x:f>
        <x:v>0</x:v>
      </x:c>
      <x:c r="CQ678" s="22" t="n">
        <x:f>MAX(0,MIN('Activities'!L678,546)-MAX('Activities'!K678,540))</x:f>
        <x:v>0</x:v>
      </x:c>
      <x:c r="CR678" s="22" t="n">
        <x:f>MAX(0,MIN('Activities'!L678,552)-MAX('Activities'!K678,546))</x:f>
        <x:v>0</x:v>
      </x:c>
      <x:c r="CS678" s="22" t="n">
        <x:f>MAX(0,MIN('Activities'!L678,558)-MAX('Activities'!K678,552))</x:f>
        <x:v>0</x:v>
      </x:c>
      <x:c r="CT678" s="22" t="n">
        <x:f>MAX(0,MIN('Activities'!L678,564)-MAX('Activities'!K678,558))</x:f>
        <x:v>0</x:v>
      </x:c>
      <x:c r="CU678" s="22" t="n">
        <x:f>MAX(0,MIN('Activities'!L678,570)-MAX('Activities'!K678,564))</x:f>
        <x:v>0</x:v>
      </x:c>
      <x:c r="CV678" s="22" t="n">
        <x:f>MAX(0,MIN('Activities'!L678,576)-MAX('Activities'!K678,570))</x:f>
        <x:v>0</x:v>
      </x:c>
      <x:c r="CW678" s="22" t="n">
        <x:f>MAX(0,MIN('Activities'!L678,582)-MAX('Activities'!K678,576))</x:f>
        <x:v>0</x:v>
      </x:c>
      <x:c r="CX678" s="22" t="n">
        <x:f>MAX(0,MIN('Activities'!L678,588)-MAX('Activities'!K678,582))</x:f>
        <x:v>0</x:v>
      </x:c>
      <x:c r="CY678" s="22" t="n">
        <x:f>MAX(0,MIN('Activities'!L678,594)-MAX('Activities'!K678,588))</x:f>
        <x:v>0</x:v>
      </x:c>
      <x:c r="CZ678" s="22" t="n">
        <x:f>MAX(0,MIN('Activities'!L678,600)-MAX('Activities'!K678,594))</x:f>
        <x:v>0</x:v>
      </x:c>
      <x:c r="DA678" s="22" t="n">
        <x:f>MAX(0,MIN('Activities'!L678,606)-MAX('Activities'!K678,600))</x:f>
        <x:v>0</x:v>
      </x:c>
      <x:c r="DB678" s="22" t="n">
        <x:f>MAX(0,MIN('Activities'!L678,612)-MAX('Activities'!K678,606))</x:f>
        <x:v>0</x:v>
      </x:c>
      <x:c r="DC678" s="22" t="n">
        <x:f>MAX(0,MIN('Activities'!L678,618)-MAX('Activities'!K678,612))</x:f>
        <x:v>0</x:v>
      </x:c>
      <x:c r="DD678" s="22" t="n">
        <x:f>MAX(0,MIN('Activities'!L678,624)-MAX('Activities'!K678,618))</x:f>
        <x:v>0</x:v>
      </x:c>
      <x:c r="DE678" s="22" t="n">
        <x:f>MAX(0,MIN('Activities'!L678,630)-MAX('Activities'!K678,624))</x:f>
        <x:v>0</x:v>
      </x:c>
      <x:c r="DF678" s="22" t="n">
        <x:f>MAX(0,MIN('Activities'!L678,636)-MAX('Activities'!K678,630))</x:f>
        <x:v>0</x:v>
      </x:c>
    </x:row>
    <x:row r="679" ht="23" customHeight="1">
      <x:c r="A679" s="1" t="str">
        <x:v>T5-L12-A</x:v>
      </x:c>
      <x:c r="B679" s="1" t="str">
        <x:v>T5</x:v>
      </x:c>
      <x:c r="C679" s="1" t="str">
        <x:v>Paint and final decorations</x:v>
      </x:c>
      <x:c r="D679" s="1" t="str">
        <x:v>Finishes</x:v>
      </x:c>
      <x:c r="E679" s="23" t="n">
        <x:f>MAX(0,MIN('Activities'!L679,6)-MAX('Activities'!K679,0))</x:f>
        <x:v>0</x:v>
      </x:c>
      <x:c r="F679" s="23" t="n">
        <x:f>MAX(0,MIN('Activities'!L679,12)-MAX('Activities'!K679,6))</x:f>
        <x:v>0</x:v>
      </x:c>
      <x:c r="G679" s="23" t="n">
        <x:f>MAX(0,MIN('Activities'!L679,18)-MAX('Activities'!K679,12))</x:f>
        <x:v>0</x:v>
      </x:c>
      <x:c r="H679" s="23" t="n">
        <x:f>MAX(0,MIN('Activities'!L679,24)-MAX('Activities'!K679,18))</x:f>
        <x:v>0</x:v>
      </x:c>
      <x:c r="I679" s="23" t="n">
        <x:f>MAX(0,MIN('Activities'!L679,30)-MAX('Activities'!K679,24))</x:f>
        <x:v>0</x:v>
      </x:c>
      <x:c r="J679" s="23" t="n">
        <x:f>MAX(0,MIN('Activities'!L679,36)-MAX('Activities'!K679,30))</x:f>
        <x:v>0</x:v>
      </x:c>
      <x:c r="K679" s="23" t="n">
        <x:f>MAX(0,MIN('Activities'!L679,42)-MAX('Activities'!K679,36))</x:f>
        <x:v>0</x:v>
      </x:c>
      <x:c r="L679" s="23" t="n">
        <x:f>MAX(0,MIN('Activities'!L679,48)-MAX('Activities'!K679,42))</x:f>
        <x:v>0</x:v>
      </x:c>
      <x:c r="M679" s="23" t="n">
        <x:f>MAX(0,MIN('Activities'!L679,54)-MAX('Activities'!K679,48))</x:f>
        <x:v>0</x:v>
      </x:c>
      <x:c r="N679" s="23" t="n">
        <x:f>MAX(0,MIN('Activities'!L679,60)-MAX('Activities'!K679,54))</x:f>
        <x:v>0</x:v>
      </x:c>
      <x:c r="O679" s="23" t="n">
        <x:f>MAX(0,MIN('Activities'!L679,66)-MAX('Activities'!K679,60))</x:f>
        <x:v>0</x:v>
      </x:c>
      <x:c r="P679" s="23" t="n">
        <x:f>MAX(0,MIN('Activities'!L679,72)-MAX('Activities'!K679,66))</x:f>
        <x:v>0</x:v>
      </x:c>
      <x:c r="Q679" s="23" t="n">
        <x:f>MAX(0,MIN('Activities'!L679,78)-MAX('Activities'!K679,72))</x:f>
        <x:v>0</x:v>
      </x:c>
      <x:c r="R679" s="23" t="n">
        <x:f>MAX(0,MIN('Activities'!L679,84)-MAX('Activities'!K679,78))</x:f>
        <x:v>0</x:v>
      </x:c>
      <x:c r="S679" s="23" t="n">
        <x:f>MAX(0,MIN('Activities'!L679,90)-MAX('Activities'!K679,84))</x:f>
        <x:v>0</x:v>
      </x:c>
      <x:c r="T679" s="23" t="n">
        <x:f>MAX(0,MIN('Activities'!L679,96)-MAX('Activities'!K679,90))</x:f>
        <x:v>0</x:v>
      </x:c>
      <x:c r="U679" s="23" t="n">
        <x:f>MAX(0,MIN('Activities'!L679,102)-MAX('Activities'!K679,96))</x:f>
        <x:v>0</x:v>
      </x:c>
      <x:c r="V679" s="23" t="n">
        <x:f>MAX(0,MIN('Activities'!L679,108)-MAX('Activities'!K679,102))</x:f>
        <x:v>0</x:v>
      </x:c>
      <x:c r="W679" s="23" t="n">
        <x:f>MAX(0,MIN('Activities'!L679,114)-MAX('Activities'!K679,108))</x:f>
        <x:v>0</x:v>
      </x:c>
      <x:c r="X679" s="23" t="n">
        <x:f>MAX(0,MIN('Activities'!L679,120)-MAX('Activities'!K679,114))</x:f>
        <x:v>0</x:v>
      </x:c>
      <x:c r="Y679" s="23" t="n">
        <x:f>MAX(0,MIN('Activities'!L679,126)-MAX('Activities'!K679,120))</x:f>
        <x:v>0</x:v>
      </x:c>
      <x:c r="Z679" s="23" t="n">
        <x:f>MAX(0,MIN('Activities'!L679,132)-MAX('Activities'!K679,126))</x:f>
        <x:v>0</x:v>
      </x:c>
      <x:c r="AA679" s="23" t="n">
        <x:f>MAX(0,MIN('Activities'!L679,138)-MAX('Activities'!K679,132))</x:f>
        <x:v>0</x:v>
      </x:c>
      <x:c r="AB679" s="23" t="n">
        <x:f>MAX(0,MIN('Activities'!L679,144)-MAX('Activities'!K679,138))</x:f>
        <x:v>0</x:v>
      </x:c>
      <x:c r="AC679" s="23" t="n">
        <x:f>MAX(0,MIN('Activities'!L679,150)-MAX('Activities'!K679,144))</x:f>
        <x:v>0</x:v>
      </x:c>
      <x:c r="AD679" s="23" t="n">
        <x:f>MAX(0,MIN('Activities'!L679,156)-MAX('Activities'!K679,150))</x:f>
        <x:v>0</x:v>
      </x:c>
      <x:c r="AE679" s="23" t="n">
        <x:f>MAX(0,MIN('Activities'!L679,162)-MAX('Activities'!K679,156))</x:f>
        <x:v>0</x:v>
      </x:c>
      <x:c r="AF679" s="23" t="n">
        <x:f>MAX(0,MIN('Activities'!L679,168)-MAX('Activities'!K679,162))</x:f>
        <x:v>0</x:v>
      </x:c>
      <x:c r="AG679" s="23" t="n">
        <x:f>MAX(0,MIN('Activities'!L679,174)-MAX('Activities'!K679,168))</x:f>
        <x:v>0</x:v>
      </x:c>
      <x:c r="AH679" s="23" t="n">
        <x:f>MAX(0,MIN('Activities'!L679,180)-MAX('Activities'!K679,174))</x:f>
        <x:v>0</x:v>
      </x:c>
      <x:c r="AI679" s="23" t="n">
        <x:f>MAX(0,MIN('Activities'!L679,186)-MAX('Activities'!K679,180))</x:f>
        <x:v>0</x:v>
      </x:c>
      <x:c r="AJ679" s="23" t="n">
        <x:f>MAX(0,MIN('Activities'!L679,192)-MAX('Activities'!K679,186))</x:f>
        <x:v>0</x:v>
      </x:c>
      <x:c r="AK679" s="23" t="n">
        <x:f>MAX(0,MIN('Activities'!L679,198)-MAX('Activities'!K679,192))</x:f>
        <x:v>0</x:v>
      </x:c>
      <x:c r="AL679" s="23" t="n">
        <x:f>MAX(0,MIN('Activities'!L679,204)-MAX('Activities'!K679,198))</x:f>
        <x:v>0</x:v>
      </x:c>
      <x:c r="AM679" s="23" t="n">
        <x:f>MAX(0,MIN('Activities'!L679,210)-MAX('Activities'!K679,204))</x:f>
        <x:v>0</x:v>
      </x:c>
      <x:c r="AN679" s="23" t="n">
        <x:f>MAX(0,MIN('Activities'!L679,216)-MAX('Activities'!K679,210))</x:f>
        <x:v>0</x:v>
      </x:c>
      <x:c r="AO679" s="23" t="n">
        <x:f>MAX(0,MIN('Activities'!L679,222)-MAX('Activities'!K679,216))</x:f>
        <x:v>0</x:v>
      </x:c>
      <x:c r="AP679" s="23" t="n">
        <x:f>MAX(0,MIN('Activities'!L679,228)-MAX('Activities'!K679,222))</x:f>
        <x:v>0</x:v>
      </x:c>
      <x:c r="AQ679" s="23" t="n">
        <x:f>MAX(0,MIN('Activities'!L679,234)-MAX('Activities'!K679,228))</x:f>
        <x:v>0</x:v>
      </x:c>
      <x:c r="AR679" s="23" t="n">
        <x:f>MAX(0,MIN('Activities'!L679,240)-MAX('Activities'!K679,234))</x:f>
        <x:v>0</x:v>
      </x:c>
      <x:c r="AS679" s="23" t="n">
        <x:f>MAX(0,MIN('Activities'!L679,246)-MAX('Activities'!K679,240))</x:f>
        <x:v>0</x:v>
      </x:c>
      <x:c r="AT679" s="23" t="n">
        <x:f>MAX(0,MIN('Activities'!L679,252)-MAX('Activities'!K679,246))</x:f>
        <x:v>0</x:v>
      </x:c>
      <x:c r="AU679" s="23" t="n">
        <x:f>MAX(0,MIN('Activities'!L679,258)-MAX('Activities'!K679,252))</x:f>
        <x:v>0</x:v>
      </x:c>
      <x:c r="AV679" s="23" t="n">
        <x:f>MAX(0,MIN('Activities'!L679,264)-MAX('Activities'!K679,258))</x:f>
        <x:v>0</x:v>
      </x:c>
      <x:c r="AW679" s="23" t="n">
        <x:f>MAX(0,MIN('Activities'!L679,270)-MAX('Activities'!K679,264))</x:f>
        <x:v>0</x:v>
      </x:c>
      <x:c r="AX679" s="23" t="n">
        <x:f>MAX(0,MIN('Activities'!L679,276)-MAX('Activities'!K679,270))</x:f>
        <x:v>0</x:v>
      </x:c>
      <x:c r="AY679" s="23" t="n">
        <x:f>MAX(0,MIN('Activities'!L679,282)-MAX('Activities'!K679,276))</x:f>
        <x:v>0</x:v>
      </x:c>
      <x:c r="AZ679" s="23" t="n">
        <x:f>MAX(0,MIN('Activities'!L679,288)-MAX('Activities'!K679,282))</x:f>
        <x:v>0</x:v>
      </x:c>
      <x:c r="BA679" s="23" t="n">
        <x:f>MAX(0,MIN('Activities'!L679,294)-MAX('Activities'!K679,288))</x:f>
        <x:v>0</x:v>
      </x:c>
      <x:c r="BB679" s="23" t="n">
        <x:f>MAX(0,MIN('Activities'!L679,300)-MAX('Activities'!K679,294))</x:f>
        <x:v>0</x:v>
      </x:c>
      <x:c r="BC679" s="23" t="n">
        <x:f>MAX(0,MIN('Activities'!L679,306)-MAX('Activities'!K679,300))</x:f>
        <x:v>0</x:v>
      </x:c>
      <x:c r="BD679" s="23" t="n">
        <x:f>MAX(0,MIN('Activities'!L679,312)-MAX('Activities'!K679,306))</x:f>
        <x:v>0</x:v>
      </x:c>
      <x:c r="BE679" s="23" t="n">
        <x:f>MAX(0,MIN('Activities'!L679,318)-MAX('Activities'!K679,312))</x:f>
        <x:v>0</x:v>
      </x:c>
      <x:c r="BF679" s="23" t="n">
        <x:f>MAX(0,MIN('Activities'!L679,324)-MAX('Activities'!K679,318))</x:f>
        <x:v>0</x:v>
      </x:c>
      <x:c r="BG679" s="23" t="n">
        <x:f>MAX(0,MIN('Activities'!L679,330)-MAX('Activities'!K679,324))</x:f>
        <x:v>0</x:v>
      </x:c>
      <x:c r="BH679" s="23" t="n">
        <x:f>MAX(0,MIN('Activities'!L679,336)-MAX('Activities'!K679,330))</x:f>
        <x:v>0</x:v>
      </x:c>
      <x:c r="BI679" s="23" t="n">
        <x:f>MAX(0,MIN('Activities'!L679,342)-MAX('Activities'!K679,336))</x:f>
        <x:v>0</x:v>
      </x:c>
      <x:c r="BJ679" s="23" t="n">
        <x:f>MAX(0,MIN('Activities'!L679,348)-MAX('Activities'!K679,342))</x:f>
        <x:v>0</x:v>
      </x:c>
      <x:c r="BK679" s="23" t="n">
        <x:f>MAX(0,MIN('Activities'!L679,354)-MAX('Activities'!K679,348))</x:f>
        <x:v>0</x:v>
      </x:c>
      <x:c r="BL679" s="23" t="n">
        <x:f>MAX(0,MIN('Activities'!L679,360)-MAX('Activities'!K679,354))</x:f>
        <x:v>0</x:v>
      </x:c>
      <x:c r="BM679" s="23" t="n">
        <x:f>MAX(0,MIN('Activities'!L679,366)-MAX('Activities'!K679,360))</x:f>
        <x:v>0</x:v>
      </x:c>
      <x:c r="BN679" s="23" t="n">
        <x:f>MAX(0,MIN('Activities'!L679,372)-MAX('Activities'!K679,366))</x:f>
        <x:v>0</x:v>
      </x:c>
      <x:c r="BO679" s="23" t="n">
        <x:f>MAX(0,MIN('Activities'!L679,378)-MAX('Activities'!K679,372))</x:f>
        <x:v>0</x:v>
      </x:c>
      <x:c r="BP679" s="23" t="n">
        <x:f>MAX(0,MIN('Activities'!L679,384)-MAX('Activities'!K679,378))</x:f>
        <x:v>0</x:v>
      </x:c>
      <x:c r="BQ679" s="23" t="n">
        <x:f>MAX(0,MIN('Activities'!L679,390)-MAX('Activities'!K679,384))</x:f>
        <x:v>0</x:v>
      </x:c>
      <x:c r="BR679" s="23" t="n">
        <x:f>MAX(0,MIN('Activities'!L679,396)-MAX('Activities'!K679,390))</x:f>
        <x:v>0</x:v>
      </x:c>
      <x:c r="BS679" s="23" t="n">
        <x:f>MAX(0,MIN('Activities'!L679,402)-MAX('Activities'!K679,396))</x:f>
        <x:v>0</x:v>
      </x:c>
      <x:c r="BT679" s="23" t="n">
        <x:f>MAX(0,MIN('Activities'!L679,408)-MAX('Activities'!K679,402))</x:f>
        <x:v>0</x:v>
      </x:c>
      <x:c r="BU679" s="23" t="n">
        <x:f>MAX(0,MIN('Activities'!L679,414)-MAX('Activities'!K679,408))</x:f>
        <x:v>0</x:v>
      </x:c>
      <x:c r="BV679" s="23" t="n">
        <x:f>MAX(0,MIN('Activities'!L679,420)-MAX('Activities'!K679,414))</x:f>
        <x:v>0</x:v>
      </x:c>
      <x:c r="BW679" s="23" t="n">
        <x:f>MAX(0,MIN('Activities'!L679,426)-MAX('Activities'!K679,420))</x:f>
        <x:v>0</x:v>
      </x:c>
      <x:c r="BX679" s="23" t="n">
        <x:f>MAX(0,MIN('Activities'!L679,432)-MAX('Activities'!K679,426))</x:f>
        <x:v>0</x:v>
      </x:c>
      <x:c r="BY679" s="23" t="n">
        <x:f>MAX(0,MIN('Activities'!L679,438)-MAX('Activities'!K679,432))</x:f>
        <x:v>0</x:v>
      </x:c>
      <x:c r="BZ679" s="23" t="n">
        <x:f>MAX(0,MIN('Activities'!L679,444)-MAX('Activities'!K679,438))</x:f>
        <x:v>0</x:v>
      </x:c>
      <x:c r="CA679" s="23" t="n">
        <x:f>MAX(0,MIN('Activities'!L679,450)-MAX('Activities'!K679,444))</x:f>
        <x:v>0</x:v>
      </x:c>
      <x:c r="CB679" s="23" t="n">
        <x:f>MAX(0,MIN('Activities'!L679,456)-MAX('Activities'!K679,450))</x:f>
        <x:v>0</x:v>
      </x:c>
      <x:c r="CC679" s="23" t="n">
        <x:f>MAX(0,MIN('Activities'!L679,462)-MAX('Activities'!K679,456))</x:f>
        <x:v>0</x:v>
      </x:c>
      <x:c r="CD679" s="23" t="n">
        <x:f>MAX(0,MIN('Activities'!L679,468)-MAX('Activities'!K679,462))</x:f>
        <x:v>5</x:v>
      </x:c>
      <x:c r="CE679" s="23" t="n">
        <x:f>MAX(0,MIN('Activities'!L679,474)-MAX('Activities'!K679,468))</x:f>
        <x:v>0</x:v>
      </x:c>
      <x:c r="CF679" s="23" t="n">
        <x:f>MAX(0,MIN('Activities'!L679,480)-MAX('Activities'!K679,474))</x:f>
        <x:v>0</x:v>
      </x:c>
      <x:c r="CG679" s="23" t="n">
        <x:f>MAX(0,MIN('Activities'!L679,486)-MAX('Activities'!K679,480))</x:f>
        <x:v>0</x:v>
      </x:c>
      <x:c r="CH679" s="23" t="n">
        <x:f>MAX(0,MIN('Activities'!L679,492)-MAX('Activities'!K679,486))</x:f>
        <x:v>0</x:v>
      </x:c>
      <x:c r="CI679" s="23" t="n">
        <x:f>MAX(0,MIN('Activities'!L679,498)-MAX('Activities'!K679,492))</x:f>
        <x:v>0</x:v>
      </x:c>
      <x:c r="CJ679" s="23" t="n">
        <x:f>MAX(0,MIN('Activities'!L679,504)-MAX('Activities'!K679,498))</x:f>
        <x:v>0</x:v>
      </x:c>
      <x:c r="CK679" s="23" t="n">
        <x:f>MAX(0,MIN('Activities'!L679,510)-MAX('Activities'!K679,504))</x:f>
        <x:v>0</x:v>
      </x:c>
      <x:c r="CL679" s="23" t="n">
        <x:f>MAX(0,MIN('Activities'!L679,516)-MAX('Activities'!K679,510))</x:f>
        <x:v>0</x:v>
      </x:c>
      <x:c r="CM679" s="23" t="n">
        <x:f>MAX(0,MIN('Activities'!L679,522)-MAX('Activities'!K679,516))</x:f>
        <x:v>0</x:v>
      </x:c>
      <x:c r="CN679" s="23" t="n">
        <x:f>MAX(0,MIN('Activities'!L679,528)-MAX('Activities'!K679,522))</x:f>
        <x:v>0</x:v>
      </x:c>
      <x:c r="CO679" s="23" t="n">
        <x:f>MAX(0,MIN('Activities'!L679,534)-MAX('Activities'!K679,528))</x:f>
        <x:v>0</x:v>
      </x:c>
      <x:c r="CP679" s="23" t="n">
        <x:f>MAX(0,MIN('Activities'!L679,540)-MAX('Activities'!K679,534))</x:f>
        <x:v>0</x:v>
      </x:c>
      <x:c r="CQ679" s="23" t="n">
        <x:f>MAX(0,MIN('Activities'!L679,546)-MAX('Activities'!K679,540))</x:f>
        <x:v>0</x:v>
      </x:c>
      <x:c r="CR679" s="23" t="n">
        <x:f>MAX(0,MIN('Activities'!L679,552)-MAX('Activities'!K679,546))</x:f>
        <x:v>0</x:v>
      </x:c>
      <x:c r="CS679" s="23" t="n">
        <x:f>MAX(0,MIN('Activities'!L679,558)-MAX('Activities'!K679,552))</x:f>
        <x:v>0</x:v>
      </x:c>
      <x:c r="CT679" s="23" t="n">
        <x:f>MAX(0,MIN('Activities'!L679,564)-MAX('Activities'!K679,558))</x:f>
        <x:v>0</x:v>
      </x:c>
      <x:c r="CU679" s="23" t="n">
        <x:f>MAX(0,MIN('Activities'!L679,570)-MAX('Activities'!K679,564))</x:f>
        <x:v>0</x:v>
      </x:c>
      <x:c r="CV679" s="23" t="n">
        <x:f>MAX(0,MIN('Activities'!L679,576)-MAX('Activities'!K679,570))</x:f>
        <x:v>0</x:v>
      </x:c>
      <x:c r="CW679" s="23" t="n">
        <x:f>MAX(0,MIN('Activities'!L679,582)-MAX('Activities'!K679,576))</x:f>
        <x:v>0</x:v>
      </x:c>
      <x:c r="CX679" s="23" t="n">
        <x:f>MAX(0,MIN('Activities'!L679,588)-MAX('Activities'!K679,582))</x:f>
        <x:v>0</x:v>
      </x:c>
      <x:c r="CY679" s="23" t="n">
        <x:f>MAX(0,MIN('Activities'!L679,594)-MAX('Activities'!K679,588))</x:f>
        <x:v>0</x:v>
      </x:c>
      <x:c r="CZ679" s="23" t="n">
        <x:f>MAX(0,MIN('Activities'!L679,600)-MAX('Activities'!K679,594))</x:f>
        <x:v>0</x:v>
      </x:c>
      <x:c r="DA679" s="23" t="n">
        <x:f>MAX(0,MIN('Activities'!L679,606)-MAX('Activities'!K679,600))</x:f>
        <x:v>0</x:v>
      </x:c>
      <x:c r="DB679" s="23" t="n">
        <x:f>MAX(0,MIN('Activities'!L679,612)-MAX('Activities'!K679,606))</x:f>
        <x:v>0</x:v>
      </x:c>
      <x:c r="DC679" s="23" t="n">
        <x:f>MAX(0,MIN('Activities'!L679,618)-MAX('Activities'!K679,612))</x:f>
        <x:v>0</x:v>
      </x:c>
      <x:c r="DD679" s="23" t="n">
        <x:f>MAX(0,MIN('Activities'!L679,624)-MAX('Activities'!K679,618))</x:f>
        <x:v>0</x:v>
      </x:c>
      <x:c r="DE679" s="23" t="n">
        <x:f>MAX(0,MIN('Activities'!L679,630)-MAX('Activities'!K679,624))</x:f>
        <x:v>0</x:v>
      </x:c>
      <x:c r="DF679" s="23" t="n">
        <x:f>MAX(0,MIN('Activities'!L679,636)-MAX('Activities'!K679,630))</x:f>
        <x:v>0</x:v>
      </x:c>
    </x:row>
    <x:row r="680" ht="23" customHeight="1">
      <x:c r="A680" s="6" t="str">
        <x:v>T5-L12-D</x:v>
      </x:c>
      <x:c r="B680" s="6" t="str">
        <x:v>T5</x:v>
      </x:c>
      <x:c r="C680" s="6" t="str">
        <x:v>Door sets and ironmongery</x:v>
      </x:c>
      <x:c r="D680" s="6" t="str">
        <x:v>Finishes</x:v>
      </x:c>
      <x:c r="E680" s="22" t="n">
        <x:f>MAX(0,MIN('Activities'!L680,6)-MAX('Activities'!K680,0))</x:f>
        <x:v>0</x:v>
      </x:c>
      <x:c r="F680" s="22" t="n">
        <x:f>MAX(0,MIN('Activities'!L680,12)-MAX('Activities'!K680,6))</x:f>
        <x:v>0</x:v>
      </x:c>
      <x:c r="G680" s="22" t="n">
        <x:f>MAX(0,MIN('Activities'!L680,18)-MAX('Activities'!K680,12))</x:f>
        <x:v>0</x:v>
      </x:c>
      <x:c r="H680" s="22" t="n">
        <x:f>MAX(0,MIN('Activities'!L680,24)-MAX('Activities'!K680,18))</x:f>
        <x:v>0</x:v>
      </x:c>
      <x:c r="I680" s="22" t="n">
        <x:f>MAX(0,MIN('Activities'!L680,30)-MAX('Activities'!K680,24))</x:f>
        <x:v>0</x:v>
      </x:c>
      <x:c r="J680" s="22" t="n">
        <x:f>MAX(0,MIN('Activities'!L680,36)-MAX('Activities'!K680,30))</x:f>
        <x:v>0</x:v>
      </x:c>
      <x:c r="K680" s="22" t="n">
        <x:f>MAX(0,MIN('Activities'!L680,42)-MAX('Activities'!K680,36))</x:f>
        <x:v>0</x:v>
      </x:c>
      <x:c r="L680" s="22" t="n">
        <x:f>MAX(0,MIN('Activities'!L680,48)-MAX('Activities'!K680,42))</x:f>
        <x:v>0</x:v>
      </x:c>
      <x:c r="M680" s="22" t="n">
        <x:f>MAX(0,MIN('Activities'!L680,54)-MAX('Activities'!K680,48))</x:f>
        <x:v>0</x:v>
      </x:c>
      <x:c r="N680" s="22" t="n">
        <x:f>MAX(0,MIN('Activities'!L680,60)-MAX('Activities'!K680,54))</x:f>
        <x:v>0</x:v>
      </x:c>
      <x:c r="O680" s="22" t="n">
        <x:f>MAX(0,MIN('Activities'!L680,66)-MAX('Activities'!K680,60))</x:f>
        <x:v>0</x:v>
      </x:c>
      <x:c r="P680" s="22" t="n">
        <x:f>MAX(0,MIN('Activities'!L680,72)-MAX('Activities'!K680,66))</x:f>
        <x:v>0</x:v>
      </x:c>
      <x:c r="Q680" s="22" t="n">
        <x:f>MAX(0,MIN('Activities'!L680,78)-MAX('Activities'!K680,72))</x:f>
        <x:v>0</x:v>
      </x:c>
      <x:c r="R680" s="22" t="n">
        <x:f>MAX(0,MIN('Activities'!L680,84)-MAX('Activities'!K680,78))</x:f>
        <x:v>0</x:v>
      </x:c>
      <x:c r="S680" s="22" t="n">
        <x:f>MAX(0,MIN('Activities'!L680,90)-MAX('Activities'!K680,84))</x:f>
        <x:v>0</x:v>
      </x:c>
      <x:c r="T680" s="22" t="n">
        <x:f>MAX(0,MIN('Activities'!L680,96)-MAX('Activities'!K680,90))</x:f>
        <x:v>0</x:v>
      </x:c>
      <x:c r="U680" s="22" t="n">
        <x:f>MAX(0,MIN('Activities'!L680,102)-MAX('Activities'!K680,96))</x:f>
        <x:v>0</x:v>
      </x:c>
      <x:c r="V680" s="22" t="n">
        <x:f>MAX(0,MIN('Activities'!L680,108)-MAX('Activities'!K680,102))</x:f>
        <x:v>0</x:v>
      </x:c>
      <x:c r="W680" s="22" t="n">
        <x:f>MAX(0,MIN('Activities'!L680,114)-MAX('Activities'!K680,108))</x:f>
        <x:v>0</x:v>
      </x:c>
      <x:c r="X680" s="22" t="n">
        <x:f>MAX(0,MIN('Activities'!L680,120)-MAX('Activities'!K680,114))</x:f>
        <x:v>0</x:v>
      </x:c>
      <x:c r="Y680" s="22" t="n">
        <x:f>MAX(0,MIN('Activities'!L680,126)-MAX('Activities'!K680,120))</x:f>
        <x:v>0</x:v>
      </x:c>
      <x:c r="Z680" s="22" t="n">
        <x:f>MAX(0,MIN('Activities'!L680,132)-MAX('Activities'!K680,126))</x:f>
        <x:v>0</x:v>
      </x:c>
      <x:c r="AA680" s="22" t="n">
        <x:f>MAX(0,MIN('Activities'!L680,138)-MAX('Activities'!K680,132))</x:f>
        <x:v>0</x:v>
      </x:c>
      <x:c r="AB680" s="22" t="n">
        <x:f>MAX(0,MIN('Activities'!L680,144)-MAX('Activities'!K680,138))</x:f>
        <x:v>0</x:v>
      </x:c>
      <x:c r="AC680" s="22" t="n">
        <x:f>MAX(0,MIN('Activities'!L680,150)-MAX('Activities'!K680,144))</x:f>
        <x:v>0</x:v>
      </x:c>
      <x:c r="AD680" s="22" t="n">
        <x:f>MAX(0,MIN('Activities'!L680,156)-MAX('Activities'!K680,150))</x:f>
        <x:v>0</x:v>
      </x:c>
      <x:c r="AE680" s="22" t="n">
        <x:f>MAX(0,MIN('Activities'!L680,162)-MAX('Activities'!K680,156))</x:f>
        <x:v>0</x:v>
      </x:c>
      <x:c r="AF680" s="22" t="n">
        <x:f>MAX(0,MIN('Activities'!L680,168)-MAX('Activities'!K680,162))</x:f>
        <x:v>0</x:v>
      </x:c>
      <x:c r="AG680" s="22" t="n">
        <x:f>MAX(0,MIN('Activities'!L680,174)-MAX('Activities'!K680,168))</x:f>
        <x:v>0</x:v>
      </x:c>
      <x:c r="AH680" s="22" t="n">
        <x:f>MAX(0,MIN('Activities'!L680,180)-MAX('Activities'!K680,174))</x:f>
        <x:v>0</x:v>
      </x:c>
      <x:c r="AI680" s="22" t="n">
        <x:f>MAX(0,MIN('Activities'!L680,186)-MAX('Activities'!K680,180))</x:f>
        <x:v>0</x:v>
      </x:c>
      <x:c r="AJ680" s="22" t="n">
        <x:f>MAX(0,MIN('Activities'!L680,192)-MAX('Activities'!K680,186))</x:f>
        <x:v>0</x:v>
      </x:c>
      <x:c r="AK680" s="22" t="n">
        <x:f>MAX(0,MIN('Activities'!L680,198)-MAX('Activities'!K680,192))</x:f>
        <x:v>0</x:v>
      </x:c>
      <x:c r="AL680" s="22" t="n">
        <x:f>MAX(0,MIN('Activities'!L680,204)-MAX('Activities'!K680,198))</x:f>
        <x:v>0</x:v>
      </x:c>
      <x:c r="AM680" s="22" t="n">
        <x:f>MAX(0,MIN('Activities'!L680,210)-MAX('Activities'!K680,204))</x:f>
        <x:v>0</x:v>
      </x:c>
      <x:c r="AN680" s="22" t="n">
        <x:f>MAX(0,MIN('Activities'!L680,216)-MAX('Activities'!K680,210))</x:f>
        <x:v>0</x:v>
      </x:c>
      <x:c r="AO680" s="22" t="n">
        <x:f>MAX(0,MIN('Activities'!L680,222)-MAX('Activities'!K680,216))</x:f>
        <x:v>0</x:v>
      </x:c>
      <x:c r="AP680" s="22" t="n">
        <x:f>MAX(0,MIN('Activities'!L680,228)-MAX('Activities'!K680,222))</x:f>
        <x:v>0</x:v>
      </x:c>
      <x:c r="AQ680" s="22" t="n">
        <x:f>MAX(0,MIN('Activities'!L680,234)-MAX('Activities'!K680,228))</x:f>
        <x:v>0</x:v>
      </x:c>
      <x:c r="AR680" s="22" t="n">
        <x:f>MAX(0,MIN('Activities'!L680,240)-MAX('Activities'!K680,234))</x:f>
        <x:v>0</x:v>
      </x:c>
      <x:c r="AS680" s="22" t="n">
        <x:f>MAX(0,MIN('Activities'!L680,246)-MAX('Activities'!K680,240))</x:f>
        <x:v>0</x:v>
      </x:c>
      <x:c r="AT680" s="22" t="n">
        <x:f>MAX(0,MIN('Activities'!L680,252)-MAX('Activities'!K680,246))</x:f>
        <x:v>0</x:v>
      </x:c>
      <x:c r="AU680" s="22" t="n">
        <x:f>MAX(0,MIN('Activities'!L680,258)-MAX('Activities'!K680,252))</x:f>
        <x:v>0</x:v>
      </x:c>
      <x:c r="AV680" s="22" t="n">
        <x:f>MAX(0,MIN('Activities'!L680,264)-MAX('Activities'!K680,258))</x:f>
        <x:v>0</x:v>
      </x:c>
      <x:c r="AW680" s="22" t="n">
        <x:f>MAX(0,MIN('Activities'!L680,270)-MAX('Activities'!K680,264))</x:f>
        <x:v>0</x:v>
      </x:c>
      <x:c r="AX680" s="22" t="n">
        <x:f>MAX(0,MIN('Activities'!L680,276)-MAX('Activities'!K680,270))</x:f>
        <x:v>0</x:v>
      </x:c>
      <x:c r="AY680" s="22" t="n">
        <x:f>MAX(0,MIN('Activities'!L680,282)-MAX('Activities'!K680,276))</x:f>
        <x:v>0</x:v>
      </x:c>
      <x:c r="AZ680" s="22" t="n">
        <x:f>MAX(0,MIN('Activities'!L680,288)-MAX('Activities'!K680,282))</x:f>
        <x:v>0</x:v>
      </x:c>
      <x:c r="BA680" s="22" t="n">
        <x:f>MAX(0,MIN('Activities'!L680,294)-MAX('Activities'!K680,288))</x:f>
        <x:v>0</x:v>
      </x:c>
      <x:c r="BB680" s="22" t="n">
        <x:f>MAX(0,MIN('Activities'!L680,300)-MAX('Activities'!K680,294))</x:f>
        <x:v>0</x:v>
      </x:c>
      <x:c r="BC680" s="22" t="n">
        <x:f>MAX(0,MIN('Activities'!L680,306)-MAX('Activities'!K680,300))</x:f>
        <x:v>0</x:v>
      </x:c>
      <x:c r="BD680" s="22" t="n">
        <x:f>MAX(0,MIN('Activities'!L680,312)-MAX('Activities'!K680,306))</x:f>
        <x:v>0</x:v>
      </x:c>
      <x:c r="BE680" s="22" t="n">
        <x:f>MAX(0,MIN('Activities'!L680,318)-MAX('Activities'!K680,312))</x:f>
        <x:v>0</x:v>
      </x:c>
      <x:c r="BF680" s="22" t="n">
        <x:f>MAX(0,MIN('Activities'!L680,324)-MAX('Activities'!K680,318))</x:f>
        <x:v>0</x:v>
      </x:c>
      <x:c r="BG680" s="22" t="n">
        <x:f>MAX(0,MIN('Activities'!L680,330)-MAX('Activities'!K680,324))</x:f>
        <x:v>0</x:v>
      </x:c>
      <x:c r="BH680" s="22" t="n">
        <x:f>MAX(0,MIN('Activities'!L680,336)-MAX('Activities'!K680,330))</x:f>
        <x:v>0</x:v>
      </x:c>
      <x:c r="BI680" s="22" t="n">
        <x:f>MAX(0,MIN('Activities'!L680,342)-MAX('Activities'!K680,336))</x:f>
        <x:v>0</x:v>
      </x:c>
      <x:c r="BJ680" s="22" t="n">
        <x:f>MAX(0,MIN('Activities'!L680,348)-MAX('Activities'!K680,342))</x:f>
        <x:v>0</x:v>
      </x:c>
      <x:c r="BK680" s="22" t="n">
        <x:f>MAX(0,MIN('Activities'!L680,354)-MAX('Activities'!K680,348))</x:f>
        <x:v>0</x:v>
      </x:c>
      <x:c r="BL680" s="22" t="n">
        <x:f>MAX(0,MIN('Activities'!L680,360)-MAX('Activities'!K680,354))</x:f>
        <x:v>0</x:v>
      </x:c>
      <x:c r="BM680" s="22" t="n">
        <x:f>MAX(0,MIN('Activities'!L680,366)-MAX('Activities'!K680,360))</x:f>
        <x:v>0</x:v>
      </x:c>
      <x:c r="BN680" s="22" t="n">
        <x:f>MAX(0,MIN('Activities'!L680,372)-MAX('Activities'!K680,366))</x:f>
        <x:v>0</x:v>
      </x:c>
      <x:c r="BO680" s="22" t="n">
        <x:f>MAX(0,MIN('Activities'!L680,378)-MAX('Activities'!K680,372))</x:f>
        <x:v>0</x:v>
      </x:c>
      <x:c r="BP680" s="22" t="n">
        <x:f>MAX(0,MIN('Activities'!L680,384)-MAX('Activities'!K680,378))</x:f>
        <x:v>0</x:v>
      </x:c>
      <x:c r="BQ680" s="22" t="n">
        <x:f>MAX(0,MIN('Activities'!L680,390)-MAX('Activities'!K680,384))</x:f>
        <x:v>0</x:v>
      </x:c>
      <x:c r="BR680" s="22" t="n">
        <x:f>MAX(0,MIN('Activities'!L680,396)-MAX('Activities'!K680,390))</x:f>
        <x:v>0</x:v>
      </x:c>
      <x:c r="BS680" s="22" t="n">
        <x:f>MAX(0,MIN('Activities'!L680,402)-MAX('Activities'!K680,396))</x:f>
        <x:v>0</x:v>
      </x:c>
      <x:c r="BT680" s="22" t="n">
        <x:f>MAX(0,MIN('Activities'!L680,408)-MAX('Activities'!K680,402))</x:f>
        <x:v>0</x:v>
      </x:c>
      <x:c r="BU680" s="22" t="n">
        <x:f>MAX(0,MIN('Activities'!L680,414)-MAX('Activities'!K680,408))</x:f>
        <x:v>0</x:v>
      </x:c>
      <x:c r="BV680" s="22" t="n">
        <x:f>MAX(0,MIN('Activities'!L680,420)-MAX('Activities'!K680,414))</x:f>
        <x:v>0</x:v>
      </x:c>
      <x:c r="BW680" s="22" t="n">
        <x:f>MAX(0,MIN('Activities'!L680,426)-MAX('Activities'!K680,420))</x:f>
        <x:v>0</x:v>
      </x:c>
      <x:c r="BX680" s="22" t="n">
        <x:f>MAX(0,MIN('Activities'!L680,432)-MAX('Activities'!K680,426))</x:f>
        <x:v>0</x:v>
      </x:c>
      <x:c r="BY680" s="22" t="n">
        <x:f>MAX(0,MIN('Activities'!L680,438)-MAX('Activities'!K680,432))</x:f>
        <x:v>0</x:v>
      </x:c>
      <x:c r="BZ680" s="22" t="n">
        <x:f>MAX(0,MIN('Activities'!L680,444)-MAX('Activities'!K680,438))</x:f>
        <x:v>0</x:v>
      </x:c>
      <x:c r="CA680" s="22" t="n">
        <x:f>MAX(0,MIN('Activities'!L680,450)-MAX('Activities'!K680,444))</x:f>
        <x:v>0</x:v>
      </x:c>
      <x:c r="CB680" s="22" t="n">
        <x:f>MAX(0,MIN('Activities'!L680,456)-MAX('Activities'!K680,450))</x:f>
        <x:v>0</x:v>
      </x:c>
      <x:c r="CC680" s="22" t="n">
        <x:f>MAX(0,MIN('Activities'!L680,462)-MAX('Activities'!K680,456))</x:f>
        <x:v>0</x:v>
      </x:c>
      <x:c r="CD680" s="22" t="n">
        <x:f>MAX(0,MIN('Activities'!L680,468)-MAX('Activities'!K680,462))</x:f>
        <x:v>1</x:v>
      </x:c>
      <x:c r="CE680" s="22" t="n">
        <x:f>MAX(0,MIN('Activities'!L680,474)-MAX('Activities'!K680,468))</x:f>
        <x:v>2</x:v>
      </x:c>
      <x:c r="CF680" s="22" t="n">
        <x:f>MAX(0,MIN('Activities'!L680,480)-MAX('Activities'!K680,474))</x:f>
        <x:v>0</x:v>
      </x:c>
      <x:c r="CG680" s="22" t="n">
        <x:f>MAX(0,MIN('Activities'!L680,486)-MAX('Activities'!K680,480))</x:f>
        <x:v>0</x:v>
      </x:c>
      <x:c r="CH680" s="22" t="n">
        <x:f>MAX(0,MIN('Activities'!L680,492)-MAX('Activities'!K680,486))</x:f>
        <x:v>0</x:v>
      </x:c>
      <x:c r="CI680" s="22" t="n">
        <x:f>MAX(0,MIN('Activities'!L680,498)-MAX('Activities'!K680,492))</x:f>
        <x:v>0</x:v>
      </x:c>
      <x:c r="CJ680" s="22" t="n">
        <x:f>MAX(0,MIN('Activities'!L680,504)-MAX('Activities'!K680,498))</x:f>
        <x:v>0</x:v>
      </x:c>
      <x:c r="CK680" s="22" t="n">
        <x:f>MAX(0,MIN('Activities'!L680,510)-MAX('Activities'!K680,504))</x:f>
        <x:v>0</x:v>
      </x:c>
      <x:c r="CL680" s="22" t="n">
        <x:f>MAX(0,MIN('Activities'!L680,516)-MAX('Activities'!K680,510))</x:f>
        <x:v>0</x:v>
      </x:c>
      <x:c r="CM680" s="22" t="n">
        <x:f>MAX(0,MIN('Activities'!L680,522)-MAX('Activities'!K680,516))</x:f>
        <x:v>0</x:v>
      </x:c>
      <x:c r="CN680" s="22" t="n">
        <x:f>MAX(0,MIN('Activities'!L680,528)-MAX('Activities'!K680,522))</x:f>
        <x:v>0</x:v>
      </x:c>
      <x:c r="CO680" s="22" t="n">
        <x:f>MAX(0,MIN('Activities'!L680,534)-MAX('Activities'!K680,528))</x:f>
        <x:v>0</x:v>
      </x:c>
      <x:c r="CP680" s="22" t="n">
        <x:f>MAX(0,MIN('Activities'!L680,540)-MAX('Activities'!K680,534))</x:f>
        <x:v>0</x:v>
      </x:c>
      <x:c r="CQ680" s="22" t="n">
        <x:f>MAX(0,MIN('Activities'!L680,546)-MAX('Activities'!K680,540))</x:f>
        <x:v>0</x:v>
      </x:c>
      <x:c r="CR680" s="22" t="n">
        <x:f>MAX(0,MIN('Activities'!L680,552)-MAX('Activities'!K680,546))</x:f>
        <x:v>0</x:v>
      </x:c>
      <x:c r="CS680" s="22" t="n">
        <x:f>MAX(0,MIN('Activities'!L680,558)-MAX('Activities'!K680,552))</x:f>
        <x:v>0</x:v>
      </x:c>
      <x:c r="CT680" s="22" t="n">
        <x:f>MAX(0,MIN('Activities'!L680,564)-MAX('Activities'!K680,558))</x:f>
        <x:v>0</x:v>
      </x:c>
      <x:c r="CU680" s="22" t="n">
        <x:f>MAX(0,MIN('Activities'!L680,570)-MAX('Activities'!K680,564))</x:f>
        <x:v>0</x:v>
      </x:c>
      <x:c r="CV680" s="22" t="n">
        <x:f>MAX(0,MIN('Activities'!L680,576)-MAX('Activities'!K680,570))</x:f>
        <x:v>0</x:v>
      </x:c>
      <x:c r="CW680" s="22" t="n">
        <x:f>MAX(0,MIN('Activities'!L680,582)-MAX('Activities'!K680,576))</x:f>
        <x:v>0</x:v>
      </x:c>
      <x:c r="CX680" s="22" t="n">
        <x:f>MAX(0,MIN('Activities'!L680,588)-MAX('Activities'!K680,582))</x:f>
        <x:v>0</x:v>
      </x:c>
      <x:c r="CY680" s="22" t="n">
        <x:f>MAX(0,MIN('Activities'!L680,594)-MAX('Activities'!K680,588))</x:f>
        <x:v>0</x:v>
      </x:c>
      <x:c r="CZ680" s="22" t="n">
        <x:f>MAX(0,MIN('Activities'!L680,600)-MAX('Activities'!K680,594))</x:f>
        <x:v>0</x:v>
      </x:c>
      <x:c r="DA680" s="22" t="n">
        <x:f>MAX(0,MIN('Activities'!L680,606)-MAX('Activities'!K680,600))</x:f>
        <x:v>0</x:v>
      </x:c>
      <x:c r="DB680" s="22" t="n">
        <x:f>MAX(0,MIN('Activities'!L680,612)-MAX('Activities'!K680,606))</x:f>
        <x:v>0</x:v>
      </x:c>
      <x:c r="DC680" s="22" t="n">
        <x:f>MAX(0,MIN('Activities'!L680,618)-MAX('Activities'!K680,612))</x:f>
        <x:v>0</x:v>
      </x:c>
      <x:c r="DD680" s="22" t="n">
        <x:f>MAX(0,MIN('Activities'!L680,624)-MAX('Activities'!K680,618))</x:f>
        <x:v>0</x:v>
      </x:c>
      <x:c r="DE680" s="22" t="n">
        <x:f>MAX(0,MIN('Activities'!L680,630)-MAX('Activities'!K680,624))</x:f>
        <x:v>0</x:v>
      </x:c>
      <x:c r="DF680" s="22" t="n">
        <x:f>MAX(0,MIN('Activities'!L680,636)-MAX('Activities'!K680,630))</x:f>
        <x:v>0</x:v>
      </x:c>
    </x:row>
    <x:row r="681" ht="23" customHeight="1">
      <x:c r="A681" s="1" t="str">
        <x:v>T6-L00-F</x:v>
      </x:c>
      <x:c r="B681" s="1" t="str">
        <x:v>T6</x:v>
      </x:c>
      <x:c r="C681" s="1" t="str">
        <x:v>Columns, core and deck formwork</x:v>
      </x:c>
      <x:c r="D681" s="1" t="str">
        <x:v>Formwork</x:v>
      </x:c>
      <x:c r="E681" s="23" t="n">
        <x:f>MAX(0,MIN('Activities'!L681,6)-MAX('Activities'!K681,0))</x:f>
        <x:v>0</x:v>
      </x:c>
      <x:c r="F681" s="23" t="n">
        <x:f>MAX(0,MIN('Activities'!L681,12)-MAX('Activities'!K681,6))</x:f>
        <x:v>0</x:v>
      </x:c>
      <x:c r="G681" s="23" t="n">
        <x:f>MAX(0,MIN('Activities'!L681,18)-MAX('Activities'!K681,12))</x:f>
        <x:v>0</x:v>
      </x:c>
      <x:c r="H681" s="23" t="n">
        <x:f>MAX(0,MIN('Activities'!L681,24)-MAX('Activities'!K681,18))</x:f>
        <x:v>0</x:v>
      </x:c>
      <x:c r="I681" s="23" t="n">
        <x:f>MAX(0,MIN('Activities'!L681,30)-MAX('Activities'!K681,24))</x:f>
        <x:v>0</x:v>
      </x:c>
      <x:c r="J681" s="23" t="n">
        <x:f>MAX(0,MIN('Activities'!L681,36)-MAX('Activities'!K681,30))</x:f>
        <x:v>0</x:v>
      </x:c>
      <x:c r="K681" s="23" t="n">
        <x:f>MAX(0,MIN('Activities'!L681,42)-MAX('Activities'!K681,36))</x:f>
        <x:v>0</x:v>
      </x:c>
      <x:c r="L681" s="23" t="n">
        <x:f>MAX(0,MIN('Activities'!L681,48)-MAX('Activities'!K681,42))</x:f>
        <x:v>0</x:v>
      </x:c>
      <x:c r="M681" s="23" t="n">
        <x:f>MAX(0,MIN('Activities'!L681,54)-MAX('Activities'!K681,48))</x:f>
        <x:v>0</x:v>
      </x:c>
      <x:c r="N681" s="23" t="n">
        <x:f>MAX(0,MIN('Activities'!L681,60)-MAX('Activities'!K681,54))</x:f>
        <x:v>0</x:v>
      </x:c>
      <x:c r="O681" s="23" t="n">
        <x:f>MAX(0,MIN('Activities'!L681,66)-MAX('Activities'!K681,60))</x:f>
        <x:v>0</x:v>
      </x:c>
      <x:c r="P681" s="23" t="n">
        <x:f>MAX(0,MIN('Activities'!L681,72)-MAX('Activities'!K681,66))</x:f>
        <x:v>0</x:v>
      </x:c>
      <x:c r="Q681" s="23" t="n">
        <x:f>MAX(0,MIN('Activities'!L681,78)-MAX('Activities'!K681,72))</x:f>
        <x:v>0</x:v>
      </x:c>
      <x:c r="R681" s="23" t="n">
        <x:f>MAX(0,MIN('Activities'!L681,84)-MAX('Activities'!K681,78))</x:f>
        <x:v>0</x:v>
      </x:c>
      <x:c r="S681" s="23" t="n">
        <x:f>MAX(0,MIN('Activities'!L681,90)-MAX('Activities'!K681,84))</x:f>
        <x:v>0</x:v>
      </x:c>
      <x:c r="T681" s="23" t="n">
        <x:f>MAX(0,MIN('Activities'!L681,96)-MAX('Activities'!K681,90))</x:f>
        <x:v>0</x:v>
      </x:c>
      <x:c r="U681" s="23" t="n">
        <x:f>MAX(0,MIN('Activities'!L681,102)-MAX('Activities'!K681,96))</x:f>
        <x:v>0</x:v>
      </x:c>
      <x:c r="V681" s="23" t="n">
        <x:f>MAX(0,MIN('Activities'!L681,108)-MAX('Activities'!K681,102))</x:f>
        <x:v>0</x:v>
      </x:c>
      <x:c r="W681" s="23" t="n">
        <x:f>MAX(0,MIN('Activities'!L681,114)-MAX('Activities'!K681,108))</x:f>
        <x:v>0</x:v>
      </x:c>
      <x:c r="X681" s="23" t="n">
        <x:f>MAX(0,MIN('Activities'!L681,120)-MAX('Activities'!K681,114))</x:f>
        <x:v>0</x:v>
      </x:c>
      <x:c r="Y681" s="23" t="n">
        <x:f>MAX(0,MIN('Activities'!L681,126)-MAX('Activities'!K681,120))</x:f>
        <x:v>0</x:v>
      </x:c>
      <x:c r="Z681" s="23" t="n">
        <x:f>MAX(0,MIN('Activities'!L681,132)-MAX('Activities'!K681,126))</x:f>
        <x:v>0</x:v>
      </x:c>
      <x:c r="AA681" s="23" t="n">
        <x:f>MAX(0,MIN('Activities'!L681,138)-MAX('Activities'!K681,132))</x:f>
        <x:v>0</x:v>
      </x:c>
      <x:c r="AB681" s="23" t="n">
        <x:f>MAX(0,MIN('Activities'!L681,144)-MAX('Activities'!K681,138))</x:f>
        <x:v>0</x:v>
      </x:c>
      <x:c r="AC681" s="23" t="n">
        <x:f>MAX(0,MIN('Activities'!L681,150)-MAX('Activities'!K681,144))</x:f>
        <x:v>0</x:v>
      </x:c>
      <x:c r="AD681" s="23" t="n">
        <x:f>MAX(0,MIN('Activities'!L681,156)-MAX('Activities'!K681,150))</x:f>
        <x:v>0</x:v>
      </x:c>
      <x:c r="AE681" s="23" t="n">
        <x:f>MAX(0,MIN('Activities'!L681,162)-MAX('Activities'!K681,156))</x:f>
        <x:v>0</x:v>
      </x:c>
      <x:c r="AF681" s="23" t="n">
        <x:f>MAX(0,MIN('Activities'!L681,168)-MAX('Activities'!K681,162))</x:f>
        <x:v>0</x:v>
      </x:c>
      <x:c r="AG681" s="23" t="n">
        <x:f>MAX(0,MIN('Activities'!L681,174)-MAX('Activities'!K681,168))</x:f>
        <x:v>0</x:v>
      </x:c>
      <x:c r="AH681" s="23" t="n">
        <x:f>MAX(0,MIN('Activities'!L681,180)-MAX('Activities'!K681,174))</x:f>
        <x:v>0</x:v>
      </x:c>
      <x:c r="AI681" s="23" t="n">
        <x:f>MAX(0,MIN('Activities'!L681,186)-MAX('Activities'!K681,180))</x:f>
        <x:v>0</x:v>
      </x:c>
      <x:c r="AJ681" s="23" t="n">
        <x:f>MAX(0,MIN('Activities'!L681,192)-MAX('Activities'!K681,186))</x:f>
        <x:v>0</x:v>
      </x:c>
      <x:c r="AK681" s="23" t="n">
        <x:f>MAX(0,MIN('Activities'!L681,198)-MAX('Activities'!K681,192))</x:f>
        <x:v>4</x:v>
      </x:c>
      <x:c r="AL681" s="23" t="n">
        <x:f>MAX(0,MIN('Activities'!L681,204)-MAX('Activities'!K681,198))</x:f>
        <x:v>2</x:v>
      </x:c>
      <x:c r="AM681" s="23" t="n">
        <x:f>MAX(0,MIN('Activities'!L681,210)-MAX('Activities'!K681,204))</x:f>
        <x:v>0</x:v>
      </x:c>
      <x:c r="AN681" s="23" t="n">
        <x:f>MAX(0,MIN('Activities'!L681,216)-MAX('Activities'!K681,210))</x:f>
        <x:v>0</x:v>
      </x:c>
      <x:c r="AO681" s="23" t="n">
        <x:f>MAX(0,MIN('Activities'!L681,222)-MAX('Activities'!K681,216))</x:f>
        <x:v>0</x:v>
      </x:c>
      <x:c r="AP681" s="23" t="n">
        <x:f>MAX(0,MIN('Activities'!L681,228)-MAX('Activities'!K681,222))</x:f>
        <x:v>0</x:v>
      </x:c>
      <x:c r="AQ681" s="23" t="n">
        <x:f>MAX(0,MIN('Activities'!L681,234)-MAX('Activities'!K681,228))</x:f>
        <x:v>0</x:v>
      </x:c>
      <x:c r="AR681" s="23" t="n">
        <x:f>MAX(0,MIN('Activities'!L681,240)-MAX('Activities'!K681,234))</x:f>
        <x:v>0</x:v>
      </x:c>
      <x:c r="AS681" s="23" t="n">
        <x:f>MAX(0,MIN('Activities'!L681,246)-MAX('Activities'!K681,240))</x:f>
        <x:v>0</x:v>
      </x:c>
      <x:c r="AT681" s="23" t="n">
        <x:f>MAX(0,MIN('Activities'!L681,252)-MAX('Activities'!K681,246))</x:f>
        <x:v>0</x:v>
      </x:c>
      <x:c r="AU681" s="23" t="n">
        <x:f>MAX(0,MIN('Activities'!L681,258)-MAX('Activities'!K681,252))</x:f>
        <x:v>0</x:v>
      </x:c>
      <x:c r="AV681" s="23" t="n">
        <x:f>MAX(0,MIN('Activities'!L681,264)-MAX('Activities'!K681,258))</x:f>
        <x:v>0</x:v>
      </x:c>
      <x:c r="AW681" s="23" t="n">
        <x:f>MAX(0,MIN('Activities'!L681,270)-MAX('Activities'!K681,264))</x:f>
        <x:v>0</x:v>
      </x:c>
      <x:c r="AX681" s="23" t="n">
        <x:f>MAX(0,MIN('Activities'!L681,276)-MAX('Activities'!K681,270))</x:f>
        <x:v>0</x:v>
      </x:c>
      <x:c r="AY681" s="23" t="n">
        <x:f>MAX(0,MIN('Activities'!L681,282)-MAX('Activities'!K681,276))</x:f>
        <x:v>0</x:v>
      </x:c>
      <x:c r="AZ681" s="23" t="n">
        <x:f>MAX(0,MIN('Activities'!L681,288)-MAX('Activities'!K681,282))</x:f>
        <x:v>0</x:v>
      </x:c>
      <x:c r="BA681" s="23" t="n">
        <x:f>MAX(0,MIN('Activities'!L681,294)-MAX('Activities'!K681,288))</x:f>
        <x:v>0</x:v>
      </x:c>
      <x:c r="BB681" s="23" t="n">
        <x:f>MAX(0,MIN('Activities'!L681,300)-MAX('Activities'!K681,294))</x:f>
        <x:v>0</x:v>
      </x:c>
      <x:c r="BC681" s="23" t="n">
        <x:f>MAX(0,MIN('Activities'!L681,306)-MAX('Activities'!K681,300))</x:f>
        <x:v>0</x:v>
      </x:c>
      <x:c r="BD681" s="23" t="n">
        <x:f>MAX(0,MIN('Activities'!L681,312)-MAX('Activities'!K681,306))</x:f>
        <x:v>0</x:v>
      </x:c>
      <x:c r="BE681" s="23" t="n">
        <x:f>MAX(0,MIN('Activities'!L681,318)-MAX('Activities'!K681,312))</x:f>
        <x:v>0</x:v>
      </x:c>
      <x:c r="BF681" s="23" t="n">
        <x:f>MAX(0,MIN('Activities'!L681,324)-MAX('Activities'!K681,318))</x:f>
        <x:v>0</x:v>
      </x:c>
      <x:c r="BG681" s="23" t="n">
        <x:f>MAX(0,MIN('Activities'!L681,330)-MAX('Activities'!K681,324))</x:f>
        <x:v>0</x:v>
      </x:c>
      <x:c r="BH681" s="23" t="n">
        <x:f>MAX(0,MIN('Activities'!L681,336)-MAX('Activities'!K681,330))</x:f>
        <x:v>0</x:v>
      </x:c>
      <x:c r="BI681" s="23" t="n">
        <x:f>MAX(0,MIN('Activities'!L681,342)-MAX('Activities'!K681,336))</x:f>
        <x:v>0</x:v>
      </x:c>
      <x:c r="BJ681" s="23" t="n">
        <x:f>MAX(0,MIN('Activities'!L681,348)-MAX('Activities'!K681,342))</x:f>
        <x:v>0</x:v>
      </x:c>
      <x:c r="BK681" s="23" t="n">
        <x:f>MAX(0,MIN('Activities'!L681,354)-MAX('Activities'!K681,348))</x:f>
        <x:v>0</x:v>
      </x:c>
      <x:c r="BL681" s="23" t="n">
        <x:f>MAX(0,MIN('Activities'!L681,360)-MAX('Activities'!K681,354))</x:f>
        <x:v>0</x:v>
      </x:c>
      <x:c r="BM681" s="23" t="n">
        <x:f>MAX(0,MIN('Activities'!L681,366)-MAX('Activities'!K681,360))</x:f>
        <x:v>0</x:v>
      </x:c>
      <x:c r="BN681" s="23" t="n">
        <x:f>MAX(0,MIN('Activities'!L681,372)-MAX('Activities'!K681,366))</x:f>
        <x:v>0</x:v>
      </x:c>
      <x:c r="BO681" s="23" t="n">
        <x:f>MAX(0,MIN('Activities'!L681,378)-MAX('Activities'!K681,372))</x:f>
        <x:v>0</x:v>
      </x:c>
      <x:c r="BP681" s="23" t="n">
        <x:f>MAX(0,MIN('Activities'!L681,384)-MAX('Activities'!K681,378))</x:f>
        <x:v>0</x:v>
      </x:c>
      <x:c r="BQ681" s="23" t="n">
        <x:f>MAX(0,MIN('Activities'!L681,390)-MAX('Activities'!K681,384))</x:f>
        <x:v>0</x:v>
      </x:c>
      <x:c r="BR681" s="23" t="n">
        <x:f>MAX(0,MIN('Activities'!L681,396)-MAX('Activities'!K681,390))</x:f>
        <x:v>0</x:v>
      </x:c>
      <x:c r="BS681" s="23" t="n">
        <x:f>MAX(0,MIN('Activities'!L681,402)-MAX('Activities'!K681,396))</x:f>
        <x:v>0</x:v>
      </x:c>
      <x:c r="BT681" s="23" t="n">
        <x:f>MAX(0,MIN('Activities'!L681,408)-MAX('Activities'!K681,402))</x:f>
        <x:v>0</x:v>
      </x:c>
      <x:c r="BU681" s="23" t="n">
        <x:f>MAX(0,MIN('Activities'!L681,414)-MAX('Activities'!K681,408))</x:f>
        <x:v>0</x:v>
      </x:c>
      <x:c r="BV681" s="23" t="n">
        <x:f>MAX(0,MIN('Activities'!L681,420)-MAX('Activities'!K681,414))</x:f>
        <x:v>0</x:v>
      </x:c>
      <x:c r="BW681" s="23" t="n">
        <x:f>MAX(0,MIN('Activities'!L681,426)-MAX('Activities'!K681,420))</x:f>
        <x:v>0</x:v>
      </x:c>
      <x:c r="BX681" s="23" t="n">
        <x:f>MAX(0,MIN('Activities'!L681,432)-MAX('Activities'!K681,426))</x:f>
        <x:v>0</x:v>
      </x:c>
      <x:c r="BY681" s="23" t="n">
        <x:f>MAX(0,MIN('Activities'!L681,438)-MAX('Activities'!K681,432))</x:f>
        <x:v>0</x:v>
      </x:c>
      <x:c r="BZ681" s="23" t="n">
        <x:f>MAX(0,MIN('Activities'!L681,444)-MAX('Activities'!K681,438))</x:f>
        <x:v>0</x:v>
      </x:c>
      <x:c r="CA681" s="23" t="n">
        <x:f>MAX(0,MIN('Activities'!L681,450)-MAX('Activities'!K681,444))</x:f>
        <x:v>0</x:v>
      </x:c>
      <x:c r="CB681" s="23" t="n">
        <x:f>MAX(0,MIN('Activities'!L681,456)-MAX('Activities'!K681,450))</x:f>
        <x:v>0</x:v>
      </x:c>
      <x:c r="CC681" s="23" t="n">
        <x:f>MAX(0,MIN('Activities'!L681,462)-MAX('Activities'!K681,456))</x:f>
        <x:v>0</x:v>
      </x:c>
      <x:c r="CD681" s="23" t="n">
        <x:f>MAX(0,MIN('Activities'!L681,468)-MAX('Activities'!K681,462))</x:f>
        <x:v>0</x:v>
      </x:c>
      <x:c r="CE681" s="23" t="n">
        <x:f>MAX(0,MIN('Activities'!L681,474)-MAX('Activities'!K681,468))</x:f>
        <x:v>0</x:v>
      </x:c>
      <x:c r="CF681" s="23" t="n">
        <x:f>MAX(0,MIN('Activities'!L681,480)-MAX('Activities'!K681,474))</x:f>
        <x:v>0</x:v>
      </x:c>
      <x:c r="CG681" s="23" t="n">
        <x:f>MAX(0,MIN('Activities'!L681,486)-MAX('Activities'!K681,480))</x:f>
        <x:v>0</x:v>
      </x:c>
      <x:c r="CH681" s="23" t="n">
        <x:f>MAX(0,MIN('Activities'!L681,492)-MAX('Activities'!K681,486))</x:f>
        <x:v>0</x:v>
      </x:c>
      <x:c r="CI681" s="23" t="n">
        <x:f>MAX(0,MIN('Activities'!L681,498)-MAX('Activities'!K681,492))</x:f>
        <x:v>0</x:v>
      </x:c>
      <x:c r="CJ681" s="23" t="n">
        <x:f>MAX(0,MIN('Activities'!L681,504)-MAX('Activities'!K681,498))</x:f>
        <x:v>0</x:v>
      </x:c>
      <x:c r="CK681" s="23" t="n">
        <x:f>MAX(0,MIN('Activities'!L681,510)-MAX('Activities'!K681,504))</x:f>
        <x:v>0</x:v>
      </x:c>
      <x:c r="CL681" s="23" t="n">
        <x:f>MAX(0,MIN('Activities'!L681,516)-MAX('Activities'!K681,510))</x:f>
        <x:v>0</x:v>
      </x:c>
      <x:c r="CM681" s="23" t="n">
        <x:f>MAX(0,MIN('Activities'!L681,522)-MAX('Activities'!K681,516))</x:f>
        <x:v>0</x:v>
      </x:c>
      <x:c r="CN681" s="23" t="n">
        <x:f>MAX(0,MIN('Activities'!L681,528)-MAX('Activities'!K681,522))</x:f>
        <x:v>0</x:v>
      </x:c>
      <x:c r="CO681" s="23" t="n">
        <x:f>MAX(0,MIN('Activities'!L681,534)-MAX('Activities'!K681,528))</x:f>
        <x:v>0</x:v>
      </x:c>
      <x:c r="CP681" s="23" t="n">
        <x:f>MAX(0,MIN('Activities'!L681,540)-MAX('Activities'!K681,534))</x:f>
        <x:v>0</x:v>
      </x:c>
      <x:c r="CQ681" s="23" t="n">
        <x:f>MAX(0,MIN('Activities'!L681,546)-MAX('Activities'!K681,540))</x:f>
        <x:v>0</x:v>
      </x:c>
      <x:c r="CR681" s="23" t="n">
        <x:f>MAX(0,MIN('Activities'!L681,552)-MAX('Activities'!K681,546))</x:f>
        <x:v>0</x:v>
      </x:c>
      <x:c r="CS681" s="23" t="n">
        <x:f>MAX(0,MIN('Activities'!L681,558)-MAX('Activities'!K681,552))</x:f>
        <x:v>0</x:v>
      </x:c>
      <x:c r="CT681" s="23" t="n">
        <x:f>MAX(0,MIN('Activities'!L681,564)-MAX('Activities'!K681,558))</x:f>
        <x:v>0</x:v>
      </x:c>
      <x:c r="CU681" s="23" t="n">
        <x:f>MAX(0,MIN('Activities'!L681,570)-MAX('Activities'!K681,564))</x:f>
        <x:v>0</x:v>
      </x:c>
      <x:c r="CV681" s="23" t="n">
        <x:f>MAX(0,MIN('Activities'!L681,576)-MAX('Activities'!K681,570))</x:f>
        <x:v>0</x:v>
      </x:c>
      <x:c r="CW681" s="23" t="n">
        <x:f>MAX(0,MIN('Activities'!L681,582)-MAX('Activities'!K681,576))</x:f>
        <x:v>0</x:v>
      </x:c>
      <x:c r="CX681" s="23" t="n">
        <x:f>MAX(0,MIN('Activities'!L681,588)-MAX('Activities'!K681,582))</x:f>
        <x:v>0</x:v>
      </x:c>
      <x:c r="CY681" s="23" t="n">
        <x:f>MAX(0,MIN('Activities'!L681,594)-MAX('Activities'!K681,588))</x:f>
        <x:v>0</x:v>
      </x:c>
      <x:c r="CZ681" s="23" t="n">
        <x:f>MAX(0,MIN('Activities'!L681,600)-MAX('Activities'!K681,594))</x:f>
        <x:v>0</x:v>
      </x:c>
      <x:c r="DA681" s="23" t="n">
        <x:f>MAX(0,MIN('Activities'!L681,606)-MAX('Activities'!K681,600))</x:f>
        <x:v>0</x:v>
      </x:c>
      <x:c r="DB681" s="23" t="n">
        <x:f>MAX(0,MIN('Activities'!L681,612)-MAX('Activities'!K681,606))</x:f>
        <x:v>0</x:v>
      </x:c>
      <x:c r="DC681" s="23" t="n">
        <x:f>MAX(0,MIN('Activities'!L681,618)-MAX('Activities'!K681,612))</x:f>
        <x:v>0</x:v>
      </x:c>
      <x:c r="DD681" s="23" t="n">
        <x:f>MAX(0,MIN('Activities'!L681,624)-MAX('Activities'!K681,618))</x:f>
        <x:v>0</x:v>
      </x:c>
      <x:c r="DE681" s="23" t="n">
        <x:f>MAX(0,MIN('Activities'!L681,630)-MAX('Activities'!K681,624))</x:f>
        <x:v>0</x:v>
      </x:c>
      <x:c r="DF681" s="23" t="n">
        <x:f>MAX(0,MIN('Activities'!L681,636)-MAX('Activities'!K681,630))</x:f>
        <x:v>0</x:v>
      </x:c>
    </x:row>
    <x:row r="682" ht="23" customHeight="1">
      <x:c r="A682" s="6" t="str">
        <x:v>T6-L00-R</x:v>
      </x:c>
      <x:c r="B682" s="6" t="str">
        <x:v>T6</x:v>
      </x:c>
      <x:c r="C682" s="6" t="str">
        <x:v>Column, wall, beam and slab reinforcement</x:v>
      </x:c>
      <x:c r="D682" s="6" t="str">
        <x:v>Rebar</x:v>
      </x:c>
      <x:c r="E682" s="22" t="n">
        <x:f>MAX(0,MIN('Activities'!L682,6)-MAX('Activities'!K682,0))</x:f>
        <x:v>0</x:v>
      </x:c>
      <x:c r="F682" s="22" t="n">
        <x:f>MAX(0,MIN('Activities'!L682,12)-MAX('Activities'!K682,6))</x:f>
        <x:v>0</x:v>
      </x:c>
      <x:c r="G682" s="22" t="n">
        <x:f>MAX(0,MIN('Activities'!L682,18)-MAX('Activities'!K682,12))</x:f>
        <x:v>0</x:v>
      </x:c>
      <x:c r="H682" s="22" t="n">
        <x:f>MAX(0,MIN('Activities'!L682,24)-MAX('Activities'!K682,18))</x:f>
        <x:v>0</x:v>
      </x:c>
      <x:c r="I682" s="22" t="n">
        <x:f>MAX(0,MIN('Activities'!L682,30)-MAX('Activities'!K682,24))</x:f>
        <x:v>0</x:v>
      </x:c>
      <x:c r="J682" s="22" t="n">
        <x:f>MAX(0,MIN('Activities'!L682,36)-MAX('Activities'!K682,30))</x:f>
        <x:v>0</x:v>
      </x:c>
      <x:c r="K682" s="22" t="n">
        <x:f>MAX(0,MIN('Activities'!L682,42)-MAX('Activities'!K682,36))</x:f>
        <x:v>0</x:v>
      </x:c>
      <x:c r="L682" s="22" t="n">
        <x:f>MAX(0,MIN('Activities'!L682,48)-MAX('Activities'!K682,42))</x:f>
        <x:v>0</x:v>
      </x:c>
      <x:c r="M682" s="22" t="n">
        <x:f>MAX(0,MIN('Activities'!L682,54)-MAX('Activities'!K682,48))</x:f>
        <x:v>0</x:v>
      </x:c>
      <x:c r="N682" s="22" t="n">
        <x:f>MAX(0,MIN('Activities'!L682,60)-MAX('Activities'!K682,54))</x:f>
        <x:v>0</x:v>
      </x:c>
      <x:c r="O682" s="22" t="n">
        <x:f>MAX(0,MIN('Activities'!L682,66)-MAX('Activities'!K682,60))</x:f>
        <x:v>0</x:v>
      </x:c>
      <x:c r="P682" s="22" t="n">
        <x:f>MAX(0,MIN('Activities'!L682,72)-MAX('Activities'!K682,66))</x:f>
        <x:v>0</x:v>
      </x:c>
      <x:c r="Q682" s="22" t="n">
        <x:f>MAX(0,MIN('Activities'!L682,78)-MAX('Activities'!K682,72))</x:f>
        <x:v>0</x:v>
      </x:c>
      <x:c r="R682" s="22" t="n">
        <x:f>MAX(0,MIN('Activities'!L682,84)-MAX('Activities'!K682,78))</x:f>
        <x:v>0</x:v>
      </x:c>
      <x:c r="S682" s="22" t="n">
        <x:f>MAX(0,MIN('Activities'!L682,90)-MAX('Activities'!K682,84))</x:f>
        <x:v>0</x:v>
      </x:c>
      <x:c r="T682" s="22" t="n">
        <x:f>MAX(0,MIN('Activities'!L682,96)-MAX('Activities'!K682,90))</x:f>
        <x:v>0</x:v>
      </x:c>
      <x:c r="U682" s="22" t="n">
        <x:f>MAX(0,MIN('Activities'!L682,102)-MAX('Activities'!K682,96))</x:f>
        <x:v>0</x:v>
      </x:c>
      <x:c r="V682" s="22" t="n">
        <x:f>MAX(0,MIN('Activities'!L682,108)-MAX('Activities'!K682,102))</x:f>
        <x:v>0</x:v>
      </x:c>
      <x:c r="W682" s="22" t="n">
        <x:f>MAX(0,MIN('Activities'!L682,114)-MAX('Activities'!K682,108))</x:f>
        <x:v>0</x:v>
      </x:c>
      <x:c r="X682" s="22" t="n">
        <x:f>MAX(0,MIN('Activities'!L682,120)-MAX('Activities'!K682,114))</x:f>
        <x:v>0</x:v>
      </x:c>
      <x:c r="Y682" s="22" t="n">
        <x:f>MAX(0,MIN('Activities'!L682,126)-MAX('Activities'!K682,120))</x:f>
        <x:v>0</x:v>
      </x:c>
      <x:c r="Z682" s="22" t="n">
        <x:f>MAX(0,MIN('Activities'!L682,132)-MAX('Activities'!K682,126))</x:f>
        <x:v>0</x:v>
      </x:c>
      <x:c r="AA682" s="22" t="n">
        <x:f>MAX(0,MIN('Activities'!L682,138)-MAX('Activities'!K682,132))</x:f>
        <x:v>0</x:v>
      </x:c>
      <x:c r="AB682" s="22" t="n">
        <x:f>MAX(0,MIN('Activities'!L682,144)-MAX('Activities'!K682,138))</x:f>
        <x:v>0</x:v>
      </x:c>
      <x:c r="AC682" s="22" t="n">
        <x:f>MAX(0,MIN('Activities'!L682,150)-MAX('Activities'!K682,144))</x:f>
        <x:v>0</x:v>
      </x:c>
      <x:c r="AD682" s="22" t="n">
        <x:f>MAX(0,MIN('Activities'!L682,156)-MAX('Activities'!K682,150))</x:f>
        <x:v>0</x:v>
      </x:c>
      <x:c r="AE682" s="22" t="n">
        <x:f>MAX(0,MIN('Activities'!L682,162)-MAX('Activities'!K682,156))</x:f>
        <x:v>0</x:v>
      </x:c>
      <x:c r="AF682" s="22" t="n">
        <x:f>MAX(0,MIN('Activities'!L682,168)-MAX('Activities'!K682,162))</x:f>
        <x:v>0</x:v>
      </x:c>
      <x:c r="AG682" s="22" t="n">
        <x:f>MAX(0,MIN('Activities'!L682,174)-MAX('Activities'!K682,168))</x:f>
        <x:v>0</x:v>
      </x:c>
      <x:c r="AH682" s="22" t="n">
        <x:f>MAX(0,MIN('Activities'!L682,180)-MAX('Activities'!K682,174))</x:f>
        <x:v>0</x:v>
      </x:c>
      <x:c r="AI682" s="22" t="n">
        <x:f>MAX(0,MIN('Activities'!L682,186)-MAX('Activities'!K682,180))</x:f>
        <x:v>0</x:v>
      </x:c>
      <x:c r="AJ682" s="22" t="n">
        <x:f>MAX(0,MIN('Activities'!L682,192)-MAX('Activities'!K682,186))</x:f>
        <x:v>0</x:v>
      </x:c>
      <x:c r="AK682" s="22" t="n">
        <x:f>MAX(0,MIN('Activities'!L682,198)-MAX('Activities'!K682,192))</x:f>
        <x:v>0</x:v>
      </x:c>
      <x:c r="AL682" s="22" t="n">
        <x:f>MAX(0,MIN('Activities'!L682,204)-MAX('Activities'!K682,198))</x:f>
        <x:v>4</x:v>
      </x:c>
      <x:c r="AM682" s="22" t="n">
        <x:f>MAX(0,MIN('Activities'!L682,210)-MAX('Activities'!K682,204))</x:f>
        <x:v>1</x:v>
      </x:c>
      <x:c r="AN682" s="22" t="n">
        <x:f>MAX(0,MIN('Activities'!L682,216)-MAX('Activities'!K682,210))</x:f>
        <x:v>0</x:v>
      </x:c>
      <x:c r="AO682" s="22" t="n">
        <x:f>MAX(0,MIN('Activities'!L682,222)-MAX('Activities'!K682,216))</x:f>
        <x:v>0</x:v>
      </x:c>
      <x:c r="AP682" s="22" t="n">
        <x:f>MAX(0,MIN('Activities'!L682,228)-MAX('Activities'!K682,222))</x:f>
        <x:v>0</x:v>
      </x:c>
      <x:c r="AQ682" s="22" t="n">
        <x:f>MAX(0,MIN('Activities'!L682,234)-MAX('Activities'!K682,228))</x:f>
        <x:v>0</x:v>
      </x:c>
      <x:c r="AR682" s="22" t="n">
        <x:f>MAX(0,MIN('Activities'!L682,240)-MAX('Activities'!K682,234))</x:f>
        <x:v>0</x:v>
      </x:c>
      <x:c r="AS682" s="22" t="n">
        <x:f>MAX(0,MIN('Activities'!L682,246)-MAX('Activities'!K682,240))</x:f>
        <x:v>0</x:v>
      </x:c>
      <x:c r="AT682" s="22" t="n">
        <x:f>MAX(0,MIN('Activities'!L682,252)-MAX('Activities'!K682,246))</x:f>
        <x:v>0</x:v>
      </x:c>
      <x:c r="AU682" s="22" t="n">
        <x:f>MAX(0,MIN('Activities'!L682,258)-MAX('Activities'!K682,252))</x:f>
        <x:v>0</x:v>
      </x:c>
      <x:c r="AV682" s="22" t="n">
        <x:f>MAX(0,MIN('Activities'!L682,264)-MAX('Activities'!K682,258))</x:f>
        <x:v>0</x:v>
      </x:c>
      <x:c r="AW682" s="22" t="n">
        <x:f>MAX(0,MIN('Activities'!L682,270)-MAX('Activities'!K682,264))</x:f>
        <x:v>0</x:v>
      </x:c>
      <x:c r="AX682" s="22" t="n">
        <x:f>MAX(0,MIN('Activities'!L682,276)-MAX('Activities'!K682,270))</x:f>
        <x:v>0</x:v>
      </x:c>
      <x:c r="AY682" s="22" t="n">
        <x:f>MAX(0,MIN('Activities'!L682,282)-MAX('Activities'!K682,276))</x:f>
        <x:v>0</x:v>
      </x:c>
      <x:c r="AZ682" s="22" t="n">
        <x:f>MAX(0,MIN('Activities'!L682,288)-MAX('Activities'!K682,282))</x:f>
        <x:v>0</x:v>
      </x:c>
      <x:c r="BA682" s="22" t="n">
        <x:f>MAX(0,MIN('Activities'!L682,294)-MAX('Activities'!K682,288))</x:f>
        <x:v>0</x:v>
      </x:c>
      <x:c r="BB682" s="22" t="n">
        <x:f>MAX(0,MIN('Activities'!L682,300)-MAX('Activities'!K682,294))</x:f>
        <x:v>0</x:v>
      </x:c>
      <x:c r="BC682" s="22" t="n">
        <x:f>MAX(0,MIN('Activities'!L682,306)-MAX('Activities'!K682,300))</x:f>
        <x:v>0</x:v>
      </x:c>
      <x:c r="BD682" s="22" t="n">
        <x:f>MAX(0,MIN('Activities'!L682,312)-MAX('Activities'!K682,306))</x:f>
        <x:v>0</x:v>
      </x:c>
      <x:c r="BE682" s="22" t="n">
        <x:f>MAX(0,MIN('Activities'!L682,318)-MAX('Activities'!K682,312))</x:f>
        <x:v>0</x:v>
      </x:c>
      <x:c r="BF682" s="22" t="n">
        <x:f>MAX(0,MIN('Activities'!L682,324)-MAX('Activities'!K682,318))</x:f>
        <x:v>0</x:v>
      </x:c>
      <x:c r="BG682" s="22" t="n">
        <x:f>MAX(0,MIN('Activities'!L682,330)-MAX('Activities'!K682,324))</x:f>
        <x:v>0</x:v>
      </x:c>
      <x:c r="BH682" s="22" t="n">
        <x:f>MAX(0,MIN('Activities'!L682,336)-MAX('Activities'!K682,330))</x:f>
        <x:v>0</x:v>
      </x:c>
      <x:c r="BI682" s="22" t="n">
        <x:f>MAX(0,MIN('Activities'!L682,342)-MAX('Activities'!K682,336))</x:f>
        <x:v>0</x:v>
      </x:c>
      <x:c r="BJ682" s="22" t="n">
        <x:f>MAX(0,MIN('Activities'!L682,348)-MAX('Activities'!K682,342))</x:f>
        <x:v>0</x:v>
      </x:c>
      <x:c r="BK682" s="22" t="n">
        <x:f>MAX(0,MIN('Activities'!L682,354)-MAX('Activities'!K682,348))</x:f>
        <x:v>0</x:v>
      </x:c>
      <x:c r="BL682" s="22" t="n">
        <x:f>MAX(0,MIN('Activities'!L682,360)-MAX('Activities'!K682,354))</x:f>
        <x:v>0</x:v>
      </x:c>
      <x:c r="BM682" s="22" t="n">
        <x:f>MAX(0,MIN('Activities'!L682,366)-MAX('Activities'!K682,360))</x:f>
        <x:v>0</x:v>
      </x:c>
      <x:c r="BN682" s="22" t="n">
        <x:f>MAX(0,MIN('Activities'!L682,372)-MAX('Activities'!K682,366))</x:f>
        <x:v>0</x:v>
      </x:c>
      <x:c r="BO682" s="22" t="n">
        <x:f>MAX(0,MIN('Activities'!L682,378)-MAX('Activities'!K682,372))</x:f>
        <x:v>0</x:v>
      </x:c>
      <x:c r="BP682" s="22" t="n">
        <x:f>MAX(0,MIN('Activities'!L682,384)-MAX('Activities'!K682,378))</x:f>
        <x:v>0</x:v>
      </x:c>
      <x:c r="BQ682" s="22" t="n">
        <x:f>MAX(0,MIN('Activities'!L682,390)-MAX('Activities'!K682,384))</x:f>
        <x:v>0</x:v>
      </x:c>
      <x:c r="BR682" s="22" t="n">
        <x:f>MAX(0,MIN('Activities'!L682,396)-MAX('Activities'!K682,390))</x:f>
        <x:v>0</x:v>
      </x:c>
      <x:c r="BS682" s="22" t="n">
        <x:f>MAX(0,MIN('Activities'!L682,402)-MAX('Activities'!K682,396))</x:f>
        <x:v>0</x:v>
      </x:c>
      <x:c r="BT682" s="22" t="n">
        <x:f>MAX(0,MIN('Activities'!L682,408)-MAX('Activities'!K682,402))</x:f>
        <x:v>0</x:v>
      </x:c>
      <x:c r="BU682" s="22" t="n">
        <x:f>MAX(0,MIN('Activities'!L682,414)-MAX('Activities'!K682,408))</x:f>
        <x:v>0</x:v>
      </x:c>
      <x:c r="BV682" s="22" t="n">
        <x:f>MAX(0,MIN('Activities'!L682,420)-MAX('Activities'!K682,414))</x:f>
        <x:v>0</x:v>
      </x:c>
      <x:c r="BW682" s="22" t="n">
        <x:f>MAX(0,MIN('Activities'!L682,426)-MAX('Activities'!K682,420))</x:f>
        <x:v>0</x:v>
      </x:c>
      <x:c r="BX682" s="22" t="n">
        <x:f>MAX(0,MIN('Activities'!L682,432)-MAX('Activities'!K682,426))</x:f>
        <x:v>0</x:v>
      </x:c>
      <x:c r="BY682" s="22" t="n">
        <x:f>MAX(0,MIN('Activities'!L682,438)-MAX('Activities'!K682,432))</x:f>
        <x:v>0</x:v>
      </x:c>
      <x:c r="BZ682" s="22" t="n">
        <x:f>MAX(0,MIN('Activities'!L682,444)-MAX('Activities'!K682,438))</x:f>
        <x:v>0</x:v>
      </x:c>
      <x:c r="CA682" s="22" t="n">
        <x:f>MAX(0,MIN('Activities'!L682,450)-MAX('Activities'!K682,444))</x:f>
        <x:v>0</x:v>
      </x:c>
      <x:c r="CB682" s="22" t="n">
        <x:f>MAX(0,MIN('Activities'!L682,456)-MAX('Activities'!K682,450))</x:f>
        <x:v>0</x:v>
      </x:c>
      <x:c r="CC682" s="22" t="n">
        <x:f>MAX(0,MIN('Activities'!L682,462)-MAX('Activities'!K682,456))</x:f>
        <x:v>0</x:v>
      </x:c>
      <x:c r="CD682" s="22" t="n">
        <x:f>MAX(0,MIN('Activities'!L682,468)-MAX('Activities'!K682,462))</x:f>
        <x:v>0</x:v>
      </x:c>
      <x:c r="CE682" s="22" t="n">
        <x:f>MAX(0,MIN('Activities'!L682,474)-MAX('Activities'!K682,468))</x:f>
        <x:v>0</x:v>
      </x:c>
      <x:c r="CF682" s="22" t="n">
        <x:f>MAX(0,MIN('Activities'!L682,480)-MAX('Activities'!K682,474))</x:f>
        <x:v>0</x:v>
      </x:c>
      <x:c r="CG682" s="22" t="n">
        <x:f>MAX(0,MIN('Activities'!L682,486)-MAX('Activities'!K682,480))</x:f>
        <x:v>0</x:v>
      </x:c>
      <x:c r="CH682" s="22" t="n">
        <x:f>MAX(0,MIN('Activities'!L682,492)-MAX('Activities'!K682,486))</x:f>
        <x:v>0</x:v>
      </x:c>
      <x:c r="CI682" s="22" t="n">
        <x:f>MAX(0,MIN('Activities'!L682,498)-MAX('Activities'!K682,492))</x:f>
        <x:v>0</x:v>
      </x:c>
      <x:c r="CJ682" s="22" t="n">
        <x:f>MAX(0,MIN('Activities'!L682,504)-MAX('Activities'!K682,498))</x:f>
        <x:v>0</x:v>
      </x:c>
      <x:c r="CK682" s="22" t="n">
        <x:f>MAX(0,MIN('Activities'!L682,510)-MAX('Activities'!K682,504))</x:f>
        <x:v>0</x:v>
      </x:c>
      <x:c r="CL682" s="22" t="n">
        <x:f>MAX(0,MIN('Activities'!L682,516)-MAX('Activities'!K682,510))</x:f>
        <x:v>0</x:v>
      </x:c>
      <x:c r="CM682" s="22" t="n">
        <x:f>MAX(0,MIN('Activities'!L682,522)-MAX('Activities'!K682,516))</x:f>
        <x:v>0</x:v>
      </x:c>
      <x:c r="CN682" s="22" t="n">
        <x:f>MAX(0,MIN('Activities'!L682,528)-MAX('Activities'!K682,522))</x:f>
        <x:v>0</x:v>
      </x:c>
      <x:c r="CO682" s="22" t="n">
        <x:f>MAX(0,MIN('Activities'!L682,534)-MAX('Activities'!K682,528))</x:f>
        <x:v>0</x:v>
      </x:c>
      <x:c r="CP682" s="22" t="n">
        <x:f>MAX(0,MIN('Activities'!L682,540)-MAX('Activities'!K682,534))</x:f>
        <x:v>0</x:v>
      </x:c>
      <x:c r="CQ682" s="22" t="n">
        <x:f>MAX(0,MIN('Activities'!L682,546)-MAX('Activities'!K682,540))</x:f>
        <x:v>0</x:v>
      </x:c>
      <x:c r="CR682" s="22" t="n">
        <x:f>MAX(0,MIN('Activities'!L682,552)-MAX('Activities'!K682,546))</x:f>
        <x:v>0</x:v>
      </x:c>
      <x:c r="CS682" s="22" t="n">
        <x:f>MAX(0,MIN('Activities'!L682,558)-MAX('Activities'!K682,552))</x:f>
        <x:v>0</x:v>
      </x:c>
      <x:c r="CT682" s="22" t="n">
        <x:f>MAX(0,MIN('Activities'!L682,564)-MAX('Activities'!K682,558))</x:f>
        <x:v>0</x:v>
      </x:c>
      <x:c r="CU682" s="22" t="n">
        <x:f>MAX(0,MIN('Activities'!L682,570)-MAX('Activities'!K682,564))</x:f>
        <x:v>0</x:v>
      </x:c>
      <x:c r="CV682" s="22" t="n">
        <x:f>MAX(0,MIN('Activities'!L682,576)-MAX('Activities'!K682,570))</x:f>
        <x:v>0</x:v>
      </x:c>
      <x:c r="CW682" s="22" t="n">
        <x:f>MAX(0,MIN('Activities'!L682,582)-MAX('Activities'!K682,576))</x:f>
        <x:v>0</x:v>
      </x:c>
      <x:c r="CX682" s="22" t="n">
        <x:f>MAX(0,MIN('Activities'!L682,588)-MAX('Activities'!K682,582))</x:f>
        <x:v>0</x:v>
      </x:c>
      <x:c r="CY682" s="22" t="n">
        <x:f>MAX(0,MIN('Activities'!L682,594)-MAX('Activities'!K682,588))</x:f>
        <x:v>0</x:v>
      </x:c>
      <x:c r="CZ682" s="22" t="n">
        <x:f>MAX(0,MIN('Activities'!L682,600)-MAX('Activities'!K682,594))</x:f>
        <x:v>0</x:v>
      </x:c>
      <x:c r="DA682" s="22" t="n">
        <x:f>MAX(0,MIN('Activities'!L682,606)-MAX('Activities'!K682,600))</x:f>
        <x:v>0</x:v>
      </x:c>
      <x:c r="DB682" s="22" t="n">
        <x:f>MAX(0,MIN('Activities'!L682,612)-MAX('Activities'!K682,606))</x:f>
        <x:v>0</x:v>
      </x:c>
      <x:c r="DC682" s="22" t="n">
        <x:f>MAX(0,MIN('Activities'!L682,618)-MAX('Activities'!K682,612))</x:f>
        <x:v>0</x:v>
      </x:c>
      <x:c r="DD682" s="22" t="n">
        <x:f>MAX(0,MIN('Activities'!L682,624)-MAX('Activities'!K682,618))</x:f>
        <x:v>0</x:v>
      </x:c>
      <x:c r="DE682" s="22" t="n">
        <x:f>MAX(0,MIN('Activities'!L682,630)-MAX('Activities'!K682,624))</x:f>
        <x:v>0</x:v>
      </x:c>
      <x:c r="DF682" s="22" t="n">
        <x:f>MAX(0,MIN('Activities'!L682,636)-MAX('Activities'!K682,630))</x:f>
        <x:v>0</x:v>
      </x:c>
    </x:row>
    <x:row r="683" ht="23" customHeight="1">
      <x:c r="A683" s="1" t="str">
        <x:v>T6-L00-C</x:v>
      </x:c>
      <x:c r="B683" s="1" t="str">
        <x:v>T6</x:v>
      </x:c>
      <x:c r="C683" s="1" t="str">
        <x:v>Concrete placement and finishing</x:v>
      </x:c>
      <x:c r="D683" s="1" t="str">
        <x:v>Concrete</x:v>
      </x:c>
      <x:c r="E683" s="23" t="n">
        <x:f>MAX(0,MIN('Activities'!L683,6)-MAX('Activities'!K683,0))</x:f>
        <x:v>0</x:v>
      </x:c>
      <x:c r="F683" s="23" t="n">
        <x:f>MAX(0,MIN('Activities'!L683,12)-MAX('Activities'!K683,6))</x:f>
        <x:v>0</x:v>
      </x:c>
      <x:c r="G683" s="23" t="n">
        <x:f>MAX(0,MIN('Activities'!L683,18)-MAX('Activities'!K683,12))</x:f>
        <x:v>0</x:v>
      </x:c>
      <x:c r="H683" s="23" t="n">
        <x:f>MAX(0,MIN('Activities'!L683,24)-MAX('Activities'!K683,18))</x:f>
        <x:v>0</x:v>
      </x:c>
      <x:c r="I683" s="23" t="n">
        <x:f>MAX(0,MIN('Activities'!L683,30)-MAX('Activities'!K683,24))</x:f>
        <x:v>0</x:v>
      </x:c>
      <x:c r="J683" s="23" t="n">
        <x:f>MAX(0,MIN('Activities'!L683,36)-MAX('Activities'!K683,30))</x:f>
        <x:v>0</x:v>
      </x:c>
      <x:c r="K683" s="23" t="n">
        <x:f>MAX(0,MIN('Activities'!L683,42)-MAX('Activities'!K683,36))</x:f>
        <x:v>0</x:v>
      </x:c>
      <x:c r="L683" s="23" t="n">
        <x:f>MAX(0,MIN('Activities'!L683,48)-MAX('Activities'!K683,42))</x:f>
        <x:v>0</x:v>
      </x:c>
      <x:c r="M683" s="23" t="n">
        <x:f>MAX(0,MIN('Activities'!L683,54)-MAX('Activities'!K683,48))</x:f>
        <x:v>0</x:v>
      </x:c>
      <x:c r="N683" s="23" t="n">
        <x:f>MAX(0,MIN('Activities'!L683,60)-MAX('Activities'!K683,54))</x:f>
        <x:v>0</x:v>
      </x:c>
      <x:c r="O683" s="23" t="n">
        <x:f>MAX(0,MIN('Activities'!L683,66)-MAX('Activities'!K683,60))</x:f>
        <x:v>0</x:v>
      </x:c>
      <x:c r="P683" s="23" t="n">
        <x:f>MAX(0,MIN('Activities'!L683,72)-MAX('Activities'!K683,66))</x:f>
        <x:v>0</x:v>
      </x:c>
      <x:c r="Q683" s="23" t="n">
        <x:f>MAX(0,MIN('Activities'!L683,78)-MAX('Activities'!K683,72))</x:f>
        <x:v>0</x:v>
      </x:c>
      <x:c r="R683" s="23" t="n">
        <x:f>MAX(0,MIN('Activities'!L683,84)-MAX('Activities'!K683,78))</x:f>
        <x:v>0</x:v>
      </x:c>
      <x:c r="S683" s="23" t="n">
        <x:f>MAX(0,MIN('Activities'!L683,90)-MAX('Activities'!K683,84))</x:f>
        <x:v>0</x:v>
      </x:c>
      <x:c r="T683" s="23" t="n">
        <x:f>MAX(0,MIN('Activities'!L683,96)-MAX('Activities'!K683,90))</x:f>
        <x:v>0</x:v>
      </x:c>
      <x:c r="U683" s="23" t="n">
        <x:f>MAX(0,MIN('Activities'!L683,102)-MAX('Activities'!K683,96))</x:f>
        <x:v>0</x:v>
      </x:c>
      <x:c r="V683" s="23" t="n">
        <x:f>MAX(0,MIN('Activities'!L683,108)-MAX('Activities'!K683,102))</x:f>
        <x:v>0</x:v>
      </x:c>
      <x:c r="W683" s="23" t="n">
        <x:f>MAX(0,MIN('Activities'!L683,114)-MAX('Activities'!K683,108))</x:f>
        <x:v>0</x:v>
      </x:c>
      <x:c r="X683" s="23" t="n">
        <x:f>MAX(0,MIN('Activities'!L683,120)-MAX('Activities'!K683,114))</x:f>
        <x:v>0</x:v>
      </x:c>
      <x:c r="Y683" s="23" t="n">
        <x:f>MAX(0,MIN('Activities'!L683,126)-MAX('Activities'!K683,120))</x:f>
        <x:v>0</x:v>
      </x:c>
      <x:c r="Z683" s="23" t="n">
        <x:f>MAX(0,MIN('Activities'!L683,132)-MAX('Activities'!K683,126))</x:f>
        <x:v>0</x:v>
      </x:c>
      <x:c r="AA683" s="23" t="n">
        <x:f>MAX(0,MIN('Activities'!L683,138)-MAX('Activities'!K683,132))</x:f>
        <x:v>0</x:v>
      </x:c>
      <x:c r="AB683" s="23" t="n">
        <x:f>MAX(0,MIN('Activities'!L683,144)-MAX('Activities'!K683,138))</x:f>
        <x:v>0</x:v>
      </x:c>
      <x:c r="AC683" s="23" t="n">
        <x:f>MAX(0,MIN('Activities'!L683,150)-MAX('Activities'!K683,144))</x:f>
        <x:v>0</x:v>
      </x:c>
      <x:c r="AD683" s="23" t="n">
        <x:f>MAX(0,MIN('Activities'!L683,156)-MAX('Activities'!K683,150))</x:f>
        <x:v>0</x:v>
      </x:c>
      <x:c r="AE683" s="23" t="n">
        <x:f>MAX(0,MIN('Activities'!L683,162)-MAX('Activities'!K683,156))</x:f>
        <x:v>0</x:v>
      </x:c>
      <x:c r="AF683" s="23" t="n">
        <x:f>MAX(0,MIN('Activities'!L683,168)-MAX('Activities'!K683,162))</x:f>
        <x:v>0</x:v>
      </x:c>
      <x:c r="AG683" s="23" t="n">
        <x:f>MAX(0,MIN('Activities'!L683,174)-MAX('Activities'!K683,168))</x:f>
        <x:v>0</x:v>
      </x:c>
      <x:c r="AH683" s="23" t="n">
        <x:f>MAX(0,MIN('Activities'!L683,180)-MAX('Activities'!K683,174))</x:f>
        <x:v>0</x:v>
      </x:c>
      <x:c r="AI683" s="23" t="n">
        <x:f>MAX(0,MIN('Activities'!L683,186)-MAX('Activities'!K683,180))</x:f>
        <x:v>0</x:v>
      </x:c>
      <x:c r="AJ683" s="23" t="n">
        <x:f>MAX(0,MIN('Activities'!L683,192)-MAX('Activities'!K683,186))</x:f>
        <x:v>0</x:v>
      </x:c>
      <x:c r="AK683" s="23" t="n">
        <x:f>MAX(0,MIN('Activities'!L683,198)-MAX('Activities'!K683,192))</x:f>
        <x:v>0</x:v>
      </x:c>
      <x:c r="AL683" s="23" t="n">
        <x:f>MAX(0,MIN('Activities'!L683,204)-MAX('Activities'!K683,198))</x:f>
        <x:v>0</x:v>
      </x:c>
      <x:c r="AM683" s="23" t="n">
        <x:f>MAX(0,MIN('Activities'!L683,210)-MAX('Activities'!K683,204))</x:f>
        <x:v>2</x:v>
      </x:c>
      <x:c r="AN683" s="23" t="n">
        <x:f>MAX(0,MIN('Activities'!L683,216)-MAX('Activities'!K683,210))</x:f>
        <x:v>0</x:v>
      </x:c>
      <x:c r="AO683" s="23" t="n">
        <x:f>MAX(0,MIN('Activities'!L683,222)-MAX('Activities'!K683,216))</x:f>
        <x:v>0</x:v>
      </x:c>
      <x:c r="AP683" s="23" t="n">
        <x:f>MAX(0,MIN('Activities'!L683,228)-MAX('Activities'!K683,222))</x:f>
        <x:v>0</x:v>
      </x:c>
      <x:c r="AQ683" s="23" t="n">
        <x:f>MAX(0,MIN('Activities'!L683,234)-MAX('Activities'!K683,228))</x:f>
        <x:v>0</x:v>
      </x:c>
      <x:c r="AR683" s="23" t="n">
        <x:f>MAX(0,MIN('Activities'!L683,240)-MAX('Activities'!K683,234))</x:f>
        <x:v>0</x:v>
      </x:c>
      <x:c r="AS683" s="23" t="n">
        <x:f>MAX(0,MIN('Activities'!L683,246)-MAX('Activities'!K683,240))</x:f>
        <x:v>0</x:v>
      </x:c>
      <x:c r="AT683" s="23" t="n">
        <x:f>MAX(0,MIN('Activities'!L683,252)-MAX('Activities'!K683,246))</x:f>
        <x:v>0</x:v>
      </x:c>
      <x:c r="AU683" s="23" t="n">
        <x:f>MAX(0,MIN('Activities'!L683,258)-MAX('Activities'!K683,252))</x:f>
        <x:v>0</x:v>
      </x:c>
      <x:c r="AV683" s="23" t="n">
        <x:f>MAX(0,MIN('Activities'!L683,264)-MAX('Activities'!K683,258))</x:f>
        <x:v>0</x:v>
      </x:c>
      <x:c r="AW683" s="23" t="n">
        <x:f>MAX(0,MIN('Activities'!L683,270)-MAX('Activities'!K683,264))</x:f>
        <x:v>0</x:v>
      </x:c>
      <x:c r="AX683" s="23" t="n">
        <x:f>MAX(0,MIN('Activities'!L683,276)-MAX('Activities'!K683,270))</x:f>
        <x:v>0</x:v>
      </x:c>
      <x:c r="AY683" s="23" t="n">
        <x:f>MAX(0,MIN('Activities'!L683,282)-MAX('Activities'!K683,276))</x:f>
        <x:v>0</x:v>
      </x:c>
      <x:c r="AZ683" s="23" t="n">
        <x:f>MAX(0,MIN('Activities'!L683,288)-MAX('Activities'!K683,282))</x:f>
        <x:v>0</x:v>
      </x:c>
      <x:c r="BA683" s="23" t="n">
        <x:f>MAX(0,MIN('Activities'!L683,294)-MAX('Activities'!K683,288))</x:f>
        <x:v>0</x:v>
      </x:c>
      <x:c r="BB683" s="23" t="n">
        <x:f>MAX(0,MIN('Activities'!L683,300)-MAX('Activities'!K683,294))</x:f>
        <x:v>0</x:v>
      </x:c>
      <x:c r="BC683" s="23" t="n">
        <x:f>MAX(0,MIN('Activities'!L683,306)-MAX('Activities'!K683,300))</x:f>
        <x:v>0</x:v>
      </x:c>
      <x:c r="BD683" s="23" t="n">
        <x:f>MAX(0,MIN('Activities'!L683,312)-MAX('Activities'!K683,306))</x:f>
        <x:v>0</x:v>
      </x:c>
      <x:c r="BE683" s="23" t="n">
        <x:f>MAX(0,MIN('Activities'!L683,318)-MAX('Activities'!K683,312))</x:f>
        <x:v>0</x:v>
      </x:c>
      <x:c r="BF683" s="23" t="n">
        <x:f>MAX(0,MIN('Activities'!L683,324)-MAX('Activities'!K683,318))</x:f>
        <x:v>0</x:v>
      </x:c>
      <x:c r="BG683" s="23" t="n">
        <x:f>MAX(0,MIN('Activities'!L683,330)-MAX('Activities'!K683,324))</x:f>
        <x:v>0</x:v>
      </x:c>
      <x:c r="BH683" s="23" t="n">
        <x:f>MAX(0,MIN('Activities'!L683,336)-MAX('Activities'!K683,330))</x:f>
        <x:v>0</x:v>
      </x:c>
      <x:c r="BI683" s="23" t="n">
        <x:f>MAX(0,MIN('Activities'!L683,342)-MAX('Activities'!K683,336))</x:f>
        <x:v>0</x:v>
      </x:c>
      <x:c r="BJ683" s="23" t="n">
        <x:f>MAX(0,MIN('Activities'!L683,348)-MAX('Activities'!K683,342))</x:f>
        <x:v>0</x:v>
      </x:c>
      <x:c r="BK683" s="23" t="n">
        <x:f>MAX(0,MIN('Activities'!L683,354)-MAX('Activities'!K683,348))</x:f>
        <x:v>0</x:v>
      </x:c>
      <x:c r="BL683" s="23" t="n">
        <x:f>MAX(0,MIN('Activities'!L683,360)-MAX('Activities'!K683,354))</x:f>
        <x:v>0</x:v>
      </x:c>
      <x:c r="BM683" s="23" t="n">
        <x:f>MAX(0,MIN('Activities'!L683,366)-MAX('Activities'!K683,360))</x:f>
        <x:v>0</x:v>
      </x:c>
      <x:c r="BN683" s="23" t="n">
        <x:f>MAX(0,MIN('Activities'!L683,372)-MAX('Activities'!K683,366))</x:f>
        <x:v>0</x:v>
      </x:c>
      <x:c r="BO683" s="23" t="n">
        <x:f>MAX(0,MIN('Activities'!L683,378)-MAX('Activities'!K683,372))</x:f>
        <x:v>0</x:v>
      </x:c>
      <x:c r="BP683" s="23" t="n">
        <x:f>MAX(0,MIN('Activities'!L683,384)-MAX('Activities'!K683,378))</x:f>
        <x:v>0</x:v>
      </x:c>
      <x:c r="BQ683" s="23" t="n">
        <x:f>MAX(0,MIN('Activities'!L683,390)-MAX('Activities'!K683,384))</x:f>
        <x:v>0</x:v>
      </x:c>
      <x:c r="BR683" s="23" t="n">
        <x:f>MAX(0,MIN('Activities'!L683,396)-MAX('Activities'!K683,390))</x:f>
        <x:v>0</x:v>
      </x:c>
      <x:c r="BS683" s="23" t="n">
        <x:f>MAX(0,MIN('Activities'!L683,402)-MAX('Activities'!K683,396))</x:f>
        <x:v>0</x:v>
      </x:c>
      <x:c r="BT683" s="23" t="n">
        <x:f>MAX(0,MIN('Activities'!L683,408)-MAX('Activities'!K683,402))</x:f>
        <x:v>0</x:v>
      </x:c>
      <x:c r="BU683" s="23" t="n">
        <x:f>MAX(0,MIN('Activities'!L683,414)-MAX('Activities'!K683,408))</x:f>
        <x:v>0</x:v>
      </x:c>
      <x:c r="BV683" s="23" t="n">
        <x:f>MAX(0,MIN('Activities'!L683,420)-MAX('Activities'!K683,414))</x:f>
        <x:v>0</x:v>
      </x:c>
      <x:c r="BW683" s="23" t="n">
        <x:f>MAX(0,MIN('Activities'!L683,426)-MAX('Activities'!K683,420))</x:f>
        <x:v>0</x:v>
      </x:c>
      <x:c r="BX683" s="23" t="n">
        <x:f>MAX(0,MIN('Activities'!L683,432)-MAX('Activities'!K683,426))</x:f>
        <x:v>0</x:v>
      </x:c>
      <x:c r="BY683" s="23" t="n">
        <x:f>MAX(0,MIN('Activities'!L683,438)-MAX('Activities'!K683,432))</x:f>
        <x:v>0</x:v>
      </x:c>
      <x:c r="BZ683" s="23" t="n">
        <x:f>MAX(0,MIN('Activities'!L683,444)-MAX('Activities'!K683,438))</x:f>
        <x:v>0</x:v>
      </x:c>
      <x:c r="CA683" s="23" t="n">
        <x:f>MAX(0,MIN('Activities'!L683,450)-MAX('Activities'!K683,444))</x:f>
        <x:v>0</x:v>
      </x:c>
      <x:c r="CB683" s="23" t="n">
        <x:f>MAX(0,MIN('Activities'!L683,456)-MAX('Activities'!K683,450))</x:f>
        <x:v>0</x:v>
      </x:c>
      <x:c r="CC683" s="23" t="n">
        <x:f>MAX(0,MIN('Activities'!L683,462)-MAX('Activities'!K683,456))</x:f>
        <x:v>0</x:v>
      </x:c>
      <x:c r="CD683" s="23" t="n">
        <x:f>MAX(0,MIN('Activities'!L683,468)-MAX('Activities'!K683,462))</x:f>
        <x:v>0</x:v>
      </x:c>
      <x:c r="CE683" s="23" t="n">
        <x:f>MAX(0,MIN('Activities'!L683,474)-MAX('Activities'!K683,468))</x:f>
        <x:v>0</x:v>
      </x:c>
      <x:c r="CF683" s="23" t="n">
        <x:f>MAX(0,MIN('Activities'!L683,480)-MAX('Activities'!K683,474))</x:f>
        <x:v>0</x:v>
      </x:c>
      <x:c r="CG683" s="23" t="n">
        <x:f>MAX(0,MIN('Activities'!L683,486)-MAX('Activities'!K683,480))</x:f>
        <x:v>0</x:v>
      </x:c>
      <x:c r="CH683" s="23" t="n">
        <x:f>MAX(0,MIN('Activities'!L683,492)-MAX('Activities'!K683,486))</x:f>
        <x:v>0</x:v>
      </x:c>
      <x:c r="CI683" s="23" t="n">
        <x:f>MAX(0,MIN('Activities'!L683,498)-MAX('Activities'!K683,492))</x:f>
        <x:v>0</x:v>
      </x:c>
      <x:c r="CJ683" s="23" t="n">
        <x:f>MAX(0,MIN('Activities'!L683,504)-MAX('Activities'!K683,498))</x:f>
        <x:v>0</x:v>
      </x:c>
      <x:c r="CK683" s="23" t="n">
        <x:f>MAX(0,MIN('Activities'!L683,510)-MAX('Activities'!K683,504))</x:f>
        <x:v>0</x:v>
      </x:c>
      <x:c r="CL683" s="23" t="n">
        <x:f>MAX(0,MIN('Activities'!L683,516)-MAX('Activities'!K683,510))</x:f>
        <x:v>0</x:v>
      </x:c>
      <x:c r="CM683" s="23" t="n">
        <x:f>MAX(0,MIN('Activities'!L683,522)-MAX('Activities'!K683,516))</x:f>
        <x:v>0</x:v>
      </x:c>
      <x:c r="CN683" s="23" t="n">
        <x:f>MAX(0,MIN('Activities'!L683,528)-MAX('Activities'!K683,522))</x:f>
        <x:v>0</x:v>
      </x:c>
      <x:c r="CO683" s="23" t="n">
        <x:f>MAX(0,MIN('Activities'!L683,534)-MAX('Activities'!K683,528))</x:f>
        <x:v>0</x:v>
      </x:c>
      <x:c r="CP683" s="23" t="n">
        <x:f>MAX(0,MIN('Activities'!L683,540)-MAX('Activities'!K683,534))</x:f>
        <x:v>0</x:v>
      </x:c>
      <x:c r="CQ683" s="23" t="n">
        <x:f>MAX(0,MIN('Activities'!L683,546)-MAX('Activities'!K683,540))</x:f>
        <x:v>0</x:v>
      </x:c>
      <x:c r="CR683" s="23" t="n">
        <x:f>MAX(0,MIN('Activities'!L683,552)-MAX('Activities'!K683,546))</x:f>
        <x:v>0</x:v>
      </x:c>
      <x:c r="CS683" s="23" t="n">
        <x:f>MAX(0,MIN('Activities'!L683,558)-MAX('Activities'!K683,552))</x:f>
        <x:v>0</x:v>
      </x:c>
      <x:c r="CT683" s="23" t="n">
        <x:f>MAX(0,MIN('Activities'!L683,564)-MAX('Activities'!K683,558))</x:f>
        <x:v>0</x:v>
      </x:c>
      <x:c r="CU683" s="23" t="n">
        <x:f>MAX(0,MIN('Activities'!L683,570)-MAX('Activities'!K683,564))</x:f>
        <x:v>0</x:v>
      </x:c>
      <x:c r="CV683" s="23" t="n">
        <x:f>MAX(0,MIN('Activities'!L683,576)-MAX('Activities'!K683,570))</x:f>
        <x:v>0</x:v>
      </x:c>
      <x:c r="CW683" s="23" t="n">
        <x:f>MAX(0,MIN('Activities'!L683,582)-MAX('Activities'!K683,576))</x:f>
        <x:v>0</x:v>
      </x:c>
      <x:c r="CX683" s="23" t="n">
        <x:f>MAX(0,MIN('Activities'!L683,588)-MAX('Activities'!K683,582))</x:f>
        <x:v>0</x:v>
      </x:c>
      <x:c r="CY683" s="23" t="n">
        <x:f>MAX(0,MIN('Activities'!L683,594)-MAX('Activities'!K683,588))</x:f>
        <x:v>0</x:v>
      </x:c>
      <x:c r="CZ683" s="23" t="n">
        <x:f>MAX(0,MIN('Activities'!L683,600)-MAX('Activities'!K683,594))</x:f>
        <x:v>0</x:v>
      </x:c>
      <x:c r="DA683" s="23" t="n">
        <x:f>MAX(0,MIN('Activities'!L683,606)-MAX('Activities'!K683,600))</x:f>
        <x:v>0</x:v>
      </x:c>
      <x:c r="DB683" s="23" t="n">
        <x:f>MAX(0,MIN('Activities'!L683,612)-MAX('Activities'!K683,606))</x:f>
        <x:v>0</x:v>
      </x:c>
      <x:c r="DC683" s="23" t="n">
        <x:f>MAX(0,MIN('Activities'!L683,618)-MAX('Activities'!K683,612))</x:f>
        <x:v>0</x:v>
      </x:c>
      <x:c r="DD683" s="23" t="n">
        <x:f>MAX(0,MIN('Activities'!L683,624)-MAX('Activities'!K683,618))</x:f>
        <x:v>0</x:v>
      </x:c>
      <x:c r="DE683" s="23" t="n">
        <x:f>MAX(0,MIN('Activities'!L683,630)-MAX('Activities'!K683,624))</x:f>
        <x:v>0</x:v>
      </x:c>
      <x:c r="DF683" s="23" t="n">
        <x:f>MAX(0,MIN('Activities'!L683,636)-MAX('Activities'!K683,630))</x:f>
        <x:v>0</x:v>
      </x:c>
    </x:row>
    <x:row r="684" ht="23" customHeight="1">
      <x:c r="A684" s="6" t="str">
        <x:v>T6-L00-H</x:v>
      </x:c>
      <x:c r="B684" s="6" t="str">
        <x:v>T6</x:v>
      </x:c>
      <x:c r="C684" s="6" t="str">
        <x:v>Curing and release hold point</x:v>
      </x:c>
      <x:c r="D684" s="6" t="str">
        <x:v>Site</x:v>
      </x:c>
      <x:c r="E684" s="22" t="n">
        <x:f>MAX(0,MIN('Activities'!L684,6)-MAX('Activities'!K684,0))</x:f>
        <x:v>0</x:v>
      </x:c>
      <x:c r="F684" s="22" t="n">
        <x:f>MAX(0,MIN('Activities'!L684,12)-MAX('Activities'!K684,6))</x:f>
        <x:v>0</x:v>
      </x:c>
      <x:c r="G684" s="22" t="n">
        <x:f>MAX(0,MIN('Activities'!L684,18)-MAX('Activities'!K684,12))</x:f>
        <x:v>0</x:v>
      </x:c>
      <x:c r="H684" s="22" t="n">
        <x:f>MAX(0,MIN('Activities'!L684,24)-MAX('Activities'!K684,18))</x:f>
        <x:v>0</x:v>
      </x:c>
      <x:c r="I684" s="22" t="n">
        <x:f>MAX(0,MIN('Activities'!L684,30)-MAX('Activities'!K684,24))</x:f>
        <x:v>0</x:v>
      </x:c>
      <x:c r="J684" s="22" t="n">
        <x:f>MAX(0,MIN('Activities'!L684,36)-MAX('Activities'!K684,30))</x:f>
        <x:v>0</x:v>
      </x:c>
      <x:c r="K684" s="22" t="n">
        <x:f>MAX(0,MIN('Activities'!L684,42)-MAX('Activities'!K684,36))</x:f>
        <x:v>0</x:v>
      </x:c>
      <x:c r="L684" s="22" t="n">
        <x:f>MAX(0,MIN('Activities'!L684,48)-MAX('Activities'!K684,42))</x:f>
        <x:v>0</x:v>
      </x:c>
      <x:c r="M684" s="22" t="n">
        <x:f>MAX(0,MIN('Activities'!L684,54)-MAX('Activities'!K684,48))</x:f>
        <x:v>0</x:v>
      </x:c>
      <x:c r="N684" s="22" t="n">
        <x:f>MAX(0,MIN('Activities'!L684,60)-MAX('Activities'!K684,54))</x:f>
        <x:v>0</x:v>
      </x:c>
      <x:c r="O684" s="22" t="n">
        <x:f>MAX(0,MIN('Activities'!L684,66)-MAX('Activities'!K684,60))</x:f>
        <x:v>0</x:v>
      </x:c>
      <x:c r="P684" s="22" t="n">
        <x:f>MAX(0,MIN('Activities'!L684,72)-MAX('Activities'!K684,66))</x:f>
        <x:v>0</x:v>
      </x:c>
      <x:c r="Q684" s="22" t="n">
        <x:f>MAX(0,MIN('Activities'!L684,78)-MAX('Activities'!K684,72))</x:f>
        <x:v>0</x:v>
      </x:c>
      <x:c r="R684" s="22" t="n">
        <x:f>MAX(0,MIN('Activities'!L684,84)-MAX('Activities'!K684,78))</x:f>
        <x:v>0</x:v>
      </x:c>
      <x:c r="S684" s="22" t="n">
        <x:f>MAX(0,MIN('Activities'!L684,90)-MAX('Activities'!K684,84))</x:f>
        <x:v>0</x:v>
      </x:c>
      <x:c r="T684" s="22" t="n">
        <x:f>MAX(0,MIN('Activities'!L684,96)-MAX('Activities'!K684,90))</x:f>
        <x:v>0</x:v>
      </x:c>
      <x:c r="U684" s="22" t="n">
        <x:f>MAX(0,MIN('Activities'!L684,102)-MAX('Activities'!K684,96))</x:f>
        <x:v>0</x:v>
      </x:c>
      <x:c r="V684" s="22" t="n">
        <x:f>MAX(0,MIN('Activities'!L684,108)-MAX('Activities'!K684,102))</x:f>
        <x:v>0</x:v>
      </x:c>
      <x:c r="W684" s="22" t="n">
        <x:f>MAX(0,MIN('Activities'!L684,114)-MAX('Activities'!K684,108))</x:f>
        <x:v>0</x:v>
      </x:c>
      <x:c r="X684" s="22" t="n">
        <x:f>MAX(0,MIN('Activities'!L684,120)-MAX('Activities'!K684,114))</x:f>
        <x:v>0</x:v>
      </x:c>
      <x:c r="Y684" s="22" t="n">
        <x:f>MAX(0,MIN('Activities'!L684,126)-MAX('Activities'!K684,120))</x:f>
        <x:v>0</x:v>
      </x:c>
      <x:c r="Z684" s="22" t="n">
        <x:f>MAX(0,MIN('Activities'!L684,132)-MAX('Activities'!K684,126))</x:f>
        <x:v>0</x:v>
      </x:c>
      <x:c r="AA684" s="22" t="n">
        <x:f>MAX(0,MIN('Activities'!L684,138)-MAX('Activities'!K684,132))</x:f>
        <x:v>0</x:v>
      </x:c>
      <x:c r="AB684" s="22" t="n">
        <x:f>MAX(0,MIN('Activities'!L684,144)-MAX('Activities'!K684,138))</x:f>
        <x:v>0</x:v>
      </x:c>
      <x:c r="AC684" s="22" t="n">
        <x:f>MAX(0,MIN('Activities'!L684,150)-MAX('Activities'!K684,144))</x:f>
        <x:v>0</x:v>
      </x:c>
      <x:c r="AD684" s="22" t="n">
        <x:f>MAX(0,MIN('Activities'!L684,156)-MAX('Activities'!K684,150))</x:f>
        <x:v>0</x:v>
      </x:c>
      <x:c r="AE684" s="22" t="n">
        <x:f>MAX(0,MIN('Activities'!L684,162)-MAX('Activities'!K684,156))</x:f>
        <x:v>0</x:v>
      </x:c>
      <x:c r="AF684" s="22" t="n">
        <x:f>MAX(0,MIN('Activities'!L684,168)-MAX('Activities'!K684,162))</x:f>
        <x:v>0</x:v>
      </x:c>
      <x:c r="AG684" s="22" t="n">
        <x:f>MAX(0,MIN('Activities'!L684,174)-MAX('Activities'!K684,168))</x:f>
        <x:v>0</x:v>
      </x:c>
      <x:c r="AH684" s="22" t="n">
        <x:f>MAX(0,MIN('Activities'!L684,180)-MAX('Activities'!K684,174))</x:f>
        <x:v>0</x:v>
      </x:c>
      <x:c r="AI684" s="22" t="n">
        <x:f>MAX(0,MIN('Activities'!L684,186)-MAX('Activities'!K684,180))</x:f>
        <x:v>0</x:v>
      </x:c>
      <x:c r="AJ684" s="22" t="n">
        <x:f>MAX(0,MIN('Activities'!L684,192)-MAX('Activities'!K684,186))</x:f>
        <x:v>0</x:v>
      </x:c>
      <x:c r="AK684" s="22" t="n">
        <x:f>MAX(0,MIN('Activities'!L684,198)-MAX('Activities'!K684,192))</x:f>
        <x:v>0</x:v>
      </x:c>
      <x:c r="AL684" s="22" t="n">
        <x:f>MAX(0,MIN('Activities'!L684,204)-MAX('Activities'!K684,198))</x:f>
        <x:v>0</x:v>
      </x:c>
      <x:c r="AM684" s="22" t="n">
        <x:f>MAX(0,MIN('Activities'!L684,210)-MAX('Activities'!K684,204))</x:f>
        <x:v>3</x:v>
      </x:c>
      <x:c r="AN684" s="22" t="n">
        <x:f>MAX(0,MIN('Activities'!L684,216)-MAX('Activities'!K684,210))</x:f>
        <x:v>2</x:v>
      </x:c>
      <x:c r="AO684" s="22" t="n">
        <x:f>MAX(0,MIN('Activities'!L684,222)-MAX('Activities'!K684,216))</x:f>
        <x:v>0</x:v>
      </x:c>
      <x:c r="AP684" s="22" t="n">
        <x:f>MAX(0,MIN('Activities'!L684,228)-MAX('Activities'!K684,222))</x:f>
        <x:v>0</x:v>
      </x:c>
      <x:c r="AQ684" s="22" t="n">
        <x:f>MAX(0,MIN('Activities'!L684,234)-MAX('Activities'!K684,228))</x:f>
        <x:v>0</x:v>
      </x:c>
      <x:c r="AR684" s="22" t="n">
        <x:f>MAX(0,MIN('Activities'!L684,240)-MAX('Activities'!K684,234))</x:f>
        <x:v>0</x:v>
      </x:c>
      <x:c r="AS684" s="22" t="n">
        <x:f>MAX(0,MIN('Activities'!L684,246)-MAX('Activities'!K684,240))</x:f>
        <x:v>0</x:v>
      </x:c>
      <x:c r="AT684" s="22" t="n">
        <x:f>MAX(0,MIN('Activities'!L684,252)-MAX('Activities'!K684,246))</x:f>
        <x:v>0</x:v>
      </x:c>
      <x:c r="AU684" s="22" t="n">
        <x:f>MAX(0,MIN('Activities'!L684,258)-MAX('Activities'!K684,252))</x:f>
        <x:v>0</x:v>
      </x:c>
      <x:c r="AV684" s="22" t="n">
        <x:f>MAX(0,MIN('Activities'!L684,264)-MAX('Activities'!K684,258))</x:f>
        <x:v>0</x:v>
      </x:c>
      <x:c r="AW684" s="22" t="n">
        <x:f>MAX(0,MIN('Activities'!L684,270)-MAX('Activities'!K684,264))</x:f>
        <x:v>0</x:v>
      </x:c>
      <x:c r="AX684" s="22" t="n">
        <x:f>MAX(0,MIN('Activities'!L684,276)-MAX('Activities'!K684,270))</x:f>
        <x:v>0</x:v>
      </x:c>
      <x:c r="AY684" s="22" t="n">
        <x:f>MAX(0,MIN('Activities'!L684,282)-MAX('Activities'!K684,276))</x:f>
        <x:v>0</x:v>
      </x:c>
      <x:c r="AZ684" s="22" t="n">
        <x:f>MAX(0,MIN('Activities'!L684,288)-MAX('Activities'!K684,282))</x:f>
        <x:v>0</x:v>
      </x:c>
      <x:c r="BA684" s="22" t="n">
        <x:f>MAX(0,MIN('Activities'!L684,294)-MAX('Activities'!K684,288))</x:f>
        <x:v>0</x:v>
      </x:c>
      <x:c r="BB684" s="22" t="n">
        <x:f>MAX(0,MIN('Activities'!L684,300)-MAX('Activities'!K684,294))</x:f>
        <x:v>0</x:v>
      </x:c>
      <x:c r="BC684" s="22" t="n">
        <x:f>MAX(0,MIN('Activities'!L684,306)-MAX('Activities'!K684,300))</x:f>
        <x:v>0</x:v>
      </x:c>
      <x:c r="BD684" s="22" t="n">
        <x:f>MAX(0,MIN('Activities'!L684,312)-MAX('Activities'!K684,306))</x:f>
        <x:v>0</x:v>
      </x:c>
      <x:c r="BE684" s="22" t="n">
        <x:f>MAX(0,MIN('Activities'!L684,318)-MAX('Activities'!K684,312))</x:f>
        <x:v>0</x:v>
      </x:c>
      <x:c r="BF684" s="22" t="n">
        <x:f>MAX(0,MIN('Activities'!L684,324)-MAX('Activities'!K684,318))</x:f>
        <x:v>0</x:v>
      </x:c>
      <x:c r="BG684" s="22" t="n">
        <x:f>MAX(0,MIN('Activities'!L684,330)-MAX('Activities'!K684,324))</x:f>
        <x:v>0</x:v>
      </x:c>
      <x:c r="BH684" s="22" t="n">
        <x:f>MAX(0,MIN('Activities'!L684,336)-MAX('Activities'!K684,330))</x:f>
        <x:v>0</x:v>
      </x:c>
      <x:c r="BI684" s="22" t="n">
        <x:f>MAX(0,MIN('Activities'!L684,342)-MAX('Activities'!K684,336))</x:f>
        <x:v>0</x:v>
      </x:c>
      <x:c r="BJ684" s="22" t="n">
        <x:f>MAX(0,MIN('Activities'!L684,348)-MAX('Activities'!K684,342))</x:f>
        <x:v>0</x:v>
      </x:c>
      <x:c r="BK684" s="22" t="n">
        <x:f>MAX(0,MIN('Activities'!L684,354)-MAX('Activities'!K684,348))</x:f>
        <x:v>0</x:v>
      </x:c>
      <x:c r="BL684" s="22" t="n">
        <x:f>MAX(0,MIN('Activities'!L684,360)-MAX('Activities'!K684,354))</x:f>
        <x:v>0</x:v>
      </x:c>
      <x:c r="BM684" s="22" t="n">
        <x:f>MAX(0,MIN('Activities'!L684,366)-MAX('Activities'!K684,360))</x:f>
        <x:v>0</x:v>
      </x:c>
      <x:c r="BN684" s="22" t="n">
        <x:f>MAX(0,MIN('Activities'!L684,372)-MAX('Activities'!K684,366))</x:f>
        <x:v>0</x:v>
      </x:c>
      <x:c r="BO684" s="22" t="n">
        <x:f>MAX(0,MIN('Activities'!L684,378)-MAX('Activities'!K684,372))</x:f>
        <x:v>0</x:v>
      </x:c>
      <x:c r="BP684" s="22" t="n">
        <x:f>MAX(0,MIN('Activities'!L684,384)-MAX('Activities'!K684,378))</x:f>
        <x:v>0</x:v>
      </x:c>
      <x:c r="BQ684" s="22" t="n">
        <x:f>MAX(0,MIN('Activities'!L684,390)-MAX('Activities'!K684,384))</x:f>
        <x:v>0</x:v>
      </x:c>
      <x:c r="BR684" s="22" t="n">
        <x:f>MAX(0,MIN('Activities'!L684,396)-MAX('Activities'!K684,390))</x:f>
        <x:v>0</x:v>
      </x:c>
      <x:c r="BS684" s="22" t="n">
        <x:f>MAX(0,MIN('Activities'!L684,402)-MAX('Activities'!K684,396))</x:f>
        <x:v>0</x:v>
      </x:c>
      <x:c r="BT684" s="22" t="n">
        <x:f>MAX(0,MIN('Activities'!L684,408)-MAX('Activities'!K684,402))</x:f>
        <x:v>0</x:v>
      </x:c>
      <x:c r="BU684" s="22" t="n">
        <x:f>MAX(0,MIN('Activities'!L684,414)-MAX('Activities'!K684,408))</x:f>
        <x:v>0</x:v>
      </x:c>
      <x:c r="BV684" s="22" t="n">
        <x:f>MAX(0,MIN('Activities'!L684,420)-MAX('Activities'!K684,414))</x:f>
        <x:v>0</x:v>
      </x:c>
      <x:c r="BW684" s="22" t="n">
        <x:f>MAX(0,MIN('Activities'!L684,426)-MAX('Activities'!K684,420))</x:f>
        <x:v>0</x:v>
      </x:c>
      <x:c r="BX684" s="22" t="n">
        <x:f>MAX(0,MIN('Activities'!L684,432)-MAX('Activities'!K684,426))</x:f>
        <x:v>0</x:v>
      </x:c>
      <x:c r="BY684" s="22" t="n">
        <x:f>MAX(0,MIN('Activities'!L684,438)-MAX('Activities'!K684,432))</x:f>
        <x:v>0</x:v>
      </x:c>
      <x:c r="BZ684" s="22" t="n">
        <x:f>MAX(0,MIN('Activities'!L684,444)-MAX('Activities'!K684,438))</x:f>
        <x:v>0</x:v>
      </x:c>
      <x:c r="CA684" s="22" t="n">
        <x:f>MAX(0,MIN('Activities'!L684,450)-MAX('Activities'!K684,444))</x:f>
        <x:v>0</x:v>
      </x:c>
      <x:c r="CB684" s="22" t="n">
        <x:f>MAX(0,MIN('Activities'!L684,456)-MAX('Activities'!K684,450))</x:f>
        <x:v>0</x:v>
      </x:c>
      <x:c r="CC684" s="22" t="n">
        <x:f>MAX(0,MIN('Activities'!L684,462)-MAX('Activities'!K684,456))</x:f>
        <x:v>0</x:v>
      </x:c>
      <x:c r="CD684" s="22" t="n">
        <x:f>MAX(0,MIN('Activities'!L684,468)-MAX('Activities'!K684,462))</x:f>
        <x:v>0</x:v>
      </x:c>
      <x:c r="CE684" s="22" t="n">
        <x:f>MAX(0,MIN('Activities'!L684,474)-MAX('Activities'!K684,468))</x:f>
        <x:v>0</x:v>
      </x:c>
      <x:c r="CF684" s="22" t="n">
        <x:f>MAX(0,MIN('Activities'!L684,480)-MAX('Activities'!K684,474))</x:f>
        <x:v>0</x:v>
      </x:c>
      <x:c r="CG684" s="22" t="n">
        <x:f>MAX(0,MIN('Activities'!L684,486)-MAX('Activities'!K684,480))</x:f>
        <x:v>0</x:v>
      </x:c>
      <x:c r="CH684" s="22" t="n">
        <x:f>MAX(0,MIN('Activities'!L684,492)-MAX('Activities'!K684,486))</x:f>
        <x:v>0</x:v>
      </x:c>
      <x:c r="CI684" s="22" t="n">
        <x:f>MAX(0,MIN('Activities'!L684,498)-MAX('Activities'!K684,492))</x:f>
        <x:v>0</x:v>
      </x:c>
      <x:c r="CJ684" s="22" t="n">
        <x:f>MAX(0,MIN('Activities'!L684,504)-MAX('Activities'!K684,498))</x:f>
        <x:v>0</x:v>
      </x:c>
      <x:c r="CK684" s="22" t="n">
        <x:f>MAX(0,MIN('Activities'!L684,510)-MAX('Activities'!K684,504))</x:f>
        <x:v>0</x:v>
      </x:c>
      <x:c r="CL684" s="22" t="n">
        <x:f>MAX(0,MIN('Activities'!L684,516)-MAX('Activities'!K684,510))</x:f>
        <x:v>0</x:v>
      </x:c>
      <x:c r="CM684" s="22" t="n">
        <x:f>MAX(0,MIN('Activities'!L684,522)-MAX('Activities'!K684,516))</x:f>
        <x:v>0</x:v>
      </x:c>
      <x:c r="CN684" s="22" t="n">
        <x:f>MAX(0,MIN('Activities'!L684,528)-MAX('Activities'!K684,522))</x:f>
        <x:v>0</x:v>
      </x:c>
      <x:c r="CO684" s="22" t="n">
        <x:f>MAX(0,MIN('Activities'!L684,534)-MAX('Activities'!K684,528))</x:f>
        <x:v>0</x:v>
      </x:c>
      <x:c r="CP684" s="22" t="n">
        <x:f>MAX(0,MIN('Activities'!L684,540)-MAX('Activities'!K684,534))</x:f>
        <x:v>0</x:v>
      </x:c>
      <x:c r="CQ684" s="22" t="n">
        <x:f>MAX(0,MIN('Activities'!L684,546)-MAX('Activities'!K684,540))</x:f>
        <x:v>0</x:v>
      </x:c>
      <x:c r="CR684" s="22" t="n">
        <x:f>MAX(0,MIN('Activities'!L684,552)-MAX('Activities'!K684,546))</x:f>
        <x:v>0</x:v>
      </x:c>
      <x:c r="CS684" s="22" t="n">
        <x:f>MAX(0,MIN('Activities'!L684,558)-MAX('Activities'!K684,552))</x:f>
        <x:v>0</x:v>
      </x:c>
      <x:c r="CT684" s="22" t="n">
        <x:f>MAX(0,MIN('Activities'!L684,564)-MAX('Activities'!K684,558))</x:f>
        <x:v>0</x:v>
      </x:c>
      <x:c r="CU684" s="22" t="n">
        <x:f>MAX(0,MIN('Activities'!L684,570)-MAX('Activities'!K684,564))</x:f>
        <x:v>0</x:v>
      </x:c>
      <x:c r="CV684" s="22" t="n">
        <x:f>MAX(0,MIN('Activities'!L684,576)-MAX('Activities'!K684,570))</x:f>
        <x:v>0</x:v>
      </x:c>
      <x:c r="CW684" s="22" t="n">
        <x:f>MAX(0,MIN('Activities'!L684,582)-MAX('Activities'!K684,576))</x:f>
        <x:v>0</x:v>
      </x:c>
      <x:c r="CX684" s="22" t="n">
        <x:f>MAX(0,MIN('Activities'!L684,588)-MAX('Activities'!K684,582))</x:f>
        <x:v>0</x:v>
      </x:c>
      <x:c r="CY684" s="22" t="n">
        <x:f>MAX(0,MIN('Activities'!L684,594)-MAX('Activities'!K684,588))</x:f>
        <x:v>0</x:v>
      </x:c>
      <x:c r="CZ684" s="22" t="n">
        <x:f>MAX(0,MIN('Activities'!L684,600)-MAX('Activities'!K684,594))</x:f>
        <x:v>0</x:v>
      </x:c>
      <x:c r="DA684" s="22" t="n">
        <x:f>MAX(0,MIN('Activities'!L684,606)-MAX('Activities'!K684,600))</x:f>
        <x:v>0</x:v>
      </x:c>
      <x:c r="DB684" s="22" t="n">
        <x:f>MAX(0,MIN('Activities'!L684,612)-MAX('Activities'!K684,606))</x:f>
        <x:v>0</x:v>
      </x:c>
      <x:c r="DC684" s="22" t="n">
        <x:f>MAX(0,MIN('Activities'!L684,618)-MAX('Activities'!K684,612))</x:f>
        <x:v>0</x:v>
      </x:c>
      <x:c r="DD684" s="22" t="n">
        <x:f>MAX(0,MIN('Activities'!L684,624)-MAX('Activities'!K684,618))</x:f>
        <x:v>0</x:v>
      </x:c>
      <x:c r="DE684" s="22" t="n">
        <x:f>MAX(0,MIN('Activities'!L684,630)-MAX('Activities'!K684,624))</x:f>
        <x:v>0</x:v>
      </x:c>
      <x:c r="DF684" s="22" t="n">
        <x:f>MAX(0,MIN('Activities'!L684,636)-MAX('Activities'!K684,630))</x:f>
        <x:v>0</x:v>
      </x:c>
    </x:row>
    <x:row r="685" ht="23" customHeight="1">
      <x:c r="A685" s="1" t="str">
        <x:v>T6-L01-F</x:v>
      </x:c>
      <x:c r="B685" s="1" t="str">
        <x:v>T6</x:v>
      </x:c>
      <x:c r="C685" s="1" t="str">
        <x:v>Columns, core and deck formwork</x:v>
      </x:c>
      <x:c r="D685" s="1" t="str">
        <x:v>Formwork</x:v>
      </x:c>
      <x:c r="E685" s="23" t="n">
        <x:f>MAX(0,MIN('Activities'!L685,6)-MAX('Activities'!K685,0))</x:f>
        <x:v>0</x:v>
      </x:c>
      <x:c r="F685" s="23" t="n">
        <x:f>MAX(0,MIN('Activities'!L685,12)-MAX('Activities'!K685,6))</x:f>
        <x:v>0</x:v>
      </x:c>
      <x:c r="G685" s="23" t="n">
        <x:f>MAX(0,MIN('Activities'!L685,18)-MAX('Activities'!K685,12))</x:f>
        <x:v>0</x:v>
      </x:c>
      <x:c r="H685" s="23" t="n">
        <x:f>MAX(0,MIN('Activities'!L685,24)-MAX('Activities'!K685,18))</x:f>
        <x:v>0</x:v>
      </x:c>
      <x:c r="I685" s="23" t="n">
        <x:f>MAX(0,MIN('Activities'!L685,30)-MAX('Activities'!K685,24))</x:f>
        <x:v>0</x:v>
      </x:c>
      <x:c r="J685" s="23" t="n">
        <x:f>MAX(0,MIN('Activities'!L685,36)-MAX('Activities'!K685,30))</x:f>
        <x:v>0</x:v>
      </x:c>
      <x:c r="K685" s="23" t="n">
        <x:f>MAX(0,MIN('Activities'!L685,42)-MAX('Activities'!K685,36))</x:f>
        <x:v>0</x:v>
      </x:c>
      <x:c r="L685" s="23" t="n">
        <x:f>MAX(0,MIN('Activities'!L685,48)-MAX('Activities'!K685,42))</x:f>
        <x:v>0</x:v>
      </x:c>
      <x:c r="M685" s="23" t="n">
        <x:f>MAX(0,MIN('Activities'!L685,54)-MAX('Activities'!K685,48))</x:f>
        <x:v>0</x:v>
      </x:c>
      <x:c r="N685" s="23" t="n">
        <x:f>MAX(0,MIN('Activities'!L685,60)-MAX('Activities'!K685,54))</x:f>
        <x:v>0</x:v>
      </x:c>
      <x:c r="O685" s="23" t="n">
        <x:f>MAX(0,MIN('Activities'!L685,66)-MAX('Activities'!K685,60))</x:f>
        <x:v>0</x:v>
      </x:c>
      <x:c r="P685" s="23" t="n">
        <x:f>MAX(0,MIN('Activities'!L685,72)-MAX('Activities'!K685,66))</x:f>
        <x:v>0</x:v>
      </x:c>
      <x:c r="Q685" s="23" t="n">
        <x:f>MAX(0,MIN('Activities'!L685,78)-MAX('Activities'!K685,72))</x:f>
        <x:v>0</x:v>
      </x:c>
      <x:c r="R685" s="23" t="n">
        <x:f>MAX(0,MIN('Activities'!L685,84)-MAX('Activities'!K685,78))</x:f>
        <x:v>0</x:v>
      </x:c>
      <x:c r="S685" s="23" t="n">
        <x:f>MAX(0,MIN('Activities'!L685,90)-MAX('Activities'!K685,84))</x:f>
        <x:v>0</x:v>
      </x:c>
      <x:c r="T685" s="23" t="n">
        <x:f>MAX(0,MIN('Activities'!L685,96)-MAX('Activities'!K685,90))</x:f>
        <x:v>0</x:v>
      </x:c>
      <x:c r="U685" s="23" t="n">
        <x:f>MAX(0,MIN('Activities'!L685,102)-MAX('Activities'!K685,96))</x:f>
        <x:v>0</x:v>
      </x:c>
      <x:c r="V685" s="23" t="n">
        <x:f>MAX(0,MIN('Activities'!L685,108)-MAX('Activities'!K685,102))</x:f>
        <x:v>0</x:v>
      </x:c>
      <x:c r="W685" s="23" t="n">
        <x:f>MAX(0,MIN('Activities'!L685,114)-MAX('Activities'!K685,108))</x:f>
        <x:v>0</x:v>
      </x:c>
      <x:c r="X685" s="23" t="n">
        <x:f>MAX(0,MIN('Activities'!L685,120)-MAX('Activities'!K685,114))</x:f>
        <x:v>0</x:v>
      </x:c>
      <x:c r="Y685" s="23" t="n">
        <x:f>MAX(0,MIN('Activities'!L685,126)-MAX('Activities'!K685,120))</x:f>
        <x:v>0</x:v>
      </x:c>
      <x:c r="Z685" s="23" t="n">
        <x:f>MAX(0,MIN('Activities'!L685,132)-MAX('Activities'!K685,126))</x:f>
        <x:v>0</x:v>
      </x:c>
      <x:c r="AA685" s="23" t="n">
        <x:f>MAX(0,MIN('Activities'!L685,138)-MAX('Activities'!K685,132))</x:f>
        <x:v>0</x:v>
      </x:c>
      <x:c r="AB685" s="23" t="n">
        <x:f>MAX(0,MIN('Activities'!L685,144)-MAX('Activities'!K685,138))</x:f>
        <x:v>0</x:v>
      </x:c>
      <x:c r="AC685" s="23" t="n">
        <x:f>MAX(0,MIN('Activities'!L685,150)-MAX('Activities'!K685,144))</x:f>
        <x:v>0</x:v>
      </x:c>
      <x:c r="AD685" s="23" t="n">
        <x:f>MAX(0,MIN('Activities'!L685,156)-MAX('Activities'!K685,150))</x:f>
        <x:v>0</x:v>
      </x:c>
      <x:c r="AE685" s="23" t="n">
        <x:f>MAX(0,MIN('Activities'!L685,162)-MAX('Activities'!K685,156))</x:f>
        <x:v>0</x:v>
      </x:c>
      <x:c r="AF685" s="23" t="n">
        <x:f>MAX(0,MIN('Activities'!L685,168)-MAX('Activities'!K685,162))</x:f>
        <x:v>0</x:v>
      </x:c>
      <x:c r="AG685" s="23" t="n">
        <x:f>MAX(0,MIN('Activities'!L685,174)-MAX('Activities'!K685,168))</x:f>
        <x:v>0</x:v>
      </x:c>
      <x:c r="AH685" s="23" t="n">
        <x:f>MAX(0,MIN('Activities'!L685,180)-MAX('Activities'!K685,174))</x:f>
        <x:v>0</x:v>
      </x:c>
      <x:c r="AI685" s="23" t="n">
        <x:f>MAX(0,MIN('Activities'!L685,186)-MAX('Activities'!K685,180))</x:f>
        <x:v>0</x:v>
      </x:c>
      <x:c r="AJ685" s="23" t="n">
        <x:f>MAX(0,MIN('Activities'!L685,192)-MAX('Activities'!K685,186))</x:f>
        <x:v>0</x:v>
      </x:c>
      <x:c r="AK685" s="23" t="n">
        <x:f>MAX(0,MIN('Activities'!L685,198)-MAX('Activities'!K685,192))</x:f>
        <x:v>0</x:v>
      </x:c>
      <x:c r="AL685" s="23" t="n">
        <x:f>MAX(0,MIN('Activities'!L685,204)-MAX('Activities'!K685,198))</x:f>
        <x:v>0</x:v>
      </x:c>
      <x:c r="AM685" s="23" t="n">
        <x:f>MAX(0,MIN('Activities'!L685,210)-MAX('Activities'!K685,204))</x:f>
        <x:v>0</x:v>
      </x:c>
      <x:c r="AN685" s="23" t="n">
        <x:f>MAX(0,MIN('Activities'!L685,216)-MAX('Activities'!K685,210))</x:f>
        <x:v>4</x:v>
      </x:c>
      <x:c r="AO685" s="23" t="n">
        <x:f>MAX(0,MIN('Activities'!L685,222)-MAX('Activities'!K685,216))</x:f>
        <x:v>2</x:v>
      </x:c>
      <x:c r="AP685" s="23" t="n">
        <x:f>MAX(0,MIN('Activities'!L685,228)-MAX('Activities'!K685,222))</x:f>
        <x:v>0</x:v>
      </x:c>
      <x:c r="AQ685" s="23" t="n">
        <x:f>MAX(0,MIN('Activities'!L685,234)-MAX('Activities'!K685,228))</x:f>
        <x:v>0</x:v>
      </x:c>
      <x:c r="AR685" s="23" t="n">
        <x:f>MAX(0,MIN('Activities'!L685,240)-MAX('Activities'!K685,234))</x:f>
        <x:v>0</x:v>
      </x:c>
      <x:c r="AS685" s="23" t="n">
        <x:f>MAX(0,MIN('Activities'!L685,246)-MAX('Activities'!K685,240))</x:f>
        <x:v>0</x:v>
      </x:c>
      <x:c r="AT685" s="23" t="n">
        <x:f>MAX(0,MIN('Activities'!L685,252)-MAX('Activities'!K685,246))</x:f>
        <x:v>0</x:v>
      </x:c>
      <x:c r="AU685" s="23" t="n">
        <x:f>MAX(0,MIN('Activities'!L685,258)-MAX('Activities'!K685,252))</x:f>
        <x:v>0</x:v>
      </x:c>
      <x:c r="AV685" s="23" t="n">
        <x:f>MAX(0,MIN('Activities'!L685,264)-MAX('Activities'!K685,258))</x:f>
        <x:v>0</x:v>
      </x:c>
      <x:c r="AW685" s="23" t="n">
        <x:f>MAX(0,MIN('Activities'!L685,270)-MAX('Activities'!K685,264))</x:f>
        <x:v>0</x:v>
      </x:c>
      <x:c r="AX685" s="23" t="n">
        <x:f>MAX(0,MIN('Activities'!L685,276)-MAX('Activities'!K685,270))</x:f>
        <x:v>0</x:v>
      </x:c>
      <x:c r="AY685" s="23" t="n">
        <x:f>MAX(0,MIN('Activities'!L685,282)-MAX('Activities'!K685,276))</x:f>
        <x:v>0</x:v>
      </x:c>
      <x:c r="AZ685" s="23" t="n">
        <x:f>MAX(0,MIN('Activities'!L685,288)-MAX('Activities'!K685,282))</x:f>
        <x:v>0</x:v>
      </x:c>
      <x:c r="BA685" s="23" t="n">
        <x:f>MAX(0,MIN('Activities'!L685,294)-MAX('Activities'!K685,288))</x:f>
        <x:v>0</x:v>
      </x:c>
      <x:c r="BB685" s="23" t="n">
        <x:f>MAX(0,MIN('Activities'!L685,300)-MAX('Activities'!K685,294))</x:f>
        <x:v>0</x:v>
      </x:c>
      <x:c r="BC685" s="23" t="n">
        <x:f>MAX(0,MIN('Activities'!L685,306)-MAX('Activities'!K685,300))</x:f>
        <x:v>0</x:v>
      </x:c>
      <x:c r="BD685" s="23" t="n">
        <x:f>MAX(0,MIN('Activities'!L685,312)-MAX('Activities'!K685,306))</x:f>
        <x:v>0</x:v>
      </x:c>
      <x:c r="BE685" s="23" t="n">
        <x:f>MAX(0,MIN('Activities'!L685,318)-MAX('Activities'!K685,312))</x:f>
        <x:v>0</x:v>
      </x:c>
      <x:c r="BF685" s="23" t="n">
        <x:f>MAX(0,MIN('Activities'!L685,324)-MAX('Activities'!K685,318))</x:f>
        <x:v>0</x:v>
      </x:c>
      <x:c r="BG685" s="23" t="n">
        <x:f>MAX(0,MIN('Activities'!L685,330)-MAX('Activities'!K685,324))</x:f>
        <x:v>0</x:v>
      </x:c>
      <x:c r="BH685" s="23" t="n">
        <x:f>MAX(0,MIN('Activities'!L685,336)-MAX('Activities'!K685,330))</x:f>
        <x:v>0</x:v>
      </x:c>
      <x:c r="BI685" s="23" t="n">
        <x:f>MAX(0,MIN('Activities'!L685,342)-MAX('Activities'!K685,336))</x:f>
        <x:v>0</x:v>
      </x:c>
      <x:c r="BJ685" s="23" t="n">
        <x:f>MAX(0,MIN('Activities'!L685,348)-MAX('Activities'!K685,342))</x:f>
        <x:v>0</x:v>
      </x:c>
      <x:c r="BK685" s="23" t="n">
        <x:f>MAX(0,MIN('Activities'!L685,354)-MAX('Activities'!K685,348))</x:f>
        <x:v>0</x:v>
      </x:c>
      <x:c r="BL685" s="23" t="n">
        <x:f>MAX(0,MIN('Activities'!L685,360)-MAX('Activities'!K685,354))</x:f>
        <x:v>0</x:v>
      </x:c>
      <x:c r="BM685" s="23" t="n">
        <x:f>MAX(0,MIN('Activities'!L685,366)-MAX('Activities'!K685,360))</x:f>
        <x:v>0</x:v>
      </x:c>
      <x:c r="BN685" s="23" t="n">
        <x:f>MAX(0,MIN('Activities'!L685,372)-MAX('Activities'!K685,366))</x:f>
        <x:v>0</x:v>
      </x:c>
      <x:c r="BO685" s="23" t="n">
        <x:f>MAX(0,MIN('Activities'!L685,378)-MAX('Activities'!K685,372))</x:f>
        <x:v>0</x:v>
      </x:c>
      <x:c r="BP685" s="23" t="n">
        <x:f>MAX(0,MIN('Activities'!L685,384)-MAX('Activities'!K685,378))</x:f>
        <x:v>0</x:v>
      </x:c>
      <x:c r="BQ685" s="23" t="n">
        <x:f>MAX(0,MIN('Activities'!L685,390)-MAX('Activities'!K685,384))</x:f>
        <x:v>0</x:v>
      </x:c>
      <x:c r="BR685" s="23" t="n">
        <x:f>MAX(0,MIN('Activities'!L685,396)-MAX('Activities'!K685,390))</x:f>
        <x:v>0</x:v>
      </x:c>
      <x:c r="BS685" s="23" t="n">
        <x:f>MAX(0,MIN('Activities'!L685,402)-MAX('Activities'!K685,396))</x:f>
        <x:v>0</x:v>
      </x:c>
      <x:c r="BT685" s="23" t="n">
        <x:f>MAX(0,MIN('Activities'!L685,408)-MAX('Activities'!K685,402))</x:f>
        <x:v>0</x:v>
      </x:c>
      <x:c r="BU685" s="23" t="n">
        <x:f>MAX(0,MIN('Activities'!L685,414)-MAX('Activities'!K685,408))</x:f>
        <x:v>0</x:v>
      </x:c>
      <x:c r="BV685" s="23" t="n">
        <x:f>MAX(0,MIN('Activities'!L685,420)-MAX('Activities'!K685,414))</x:f>
        <x:v>0</x:v>
      </x:c>
      <x:c r="BW685" s="23" t="n">
        <x:f>MAX(0,MIN('Activities'!L685,426)-MAX('Activities'!K685,420))</x:f>
        <x:v>0</x:v>
      </x:c>
      <x:c r="BX685" s="23" t="n">
        <x:f>MAX(0,MIN('Activities'!L685,432)-MAX('Activities'!K685,426))</x:f>
        <x:v>0</x:v>
      </x:c>
      <x:c r="BY685" s="23" t="n">
        <x:f>MAX(0,MIN('Activities'!L685,438)-MAX('Activities'!K685,432))</x:f>
        <x:v>0</x:v>
      </x:c>
      <x:c r="BZ685" s="23" t="n">
        <x:f>MAX(0,MIN('Activities'!L685,444)-MAX('Activities'!K685,438))</x:f>
        <x:v>0</x:v>
      </x:c>
      <x:c r="CA685" s="23" t="n">
        <x:f>MAX(0,MIN('Activities'!L685,450)-MAX('Activities'!K685,444))</x:f>
        <x:v>0</x:v>
      </x:c>
      <x:c r="CB685" s="23" t="n">
        <x:f>MAX(0,MIN('Activities'!L685,456)-MAX('Activities'!K685,450))</x:f>
        <x:v>0</x:v>
      </x:c>
      <x:c r="CC685" s="23" t="n">
        <x:f>MAX(0,MIN('Activities'!L685,462)-MAX('Activities'!K685,456))</x:f>
        <x:v>0</x:v>
      </x:c>
      <x:c r="CD685" s="23" t="n">
        <x:f>MAX(0,MIN('Activities'!L685,468)-MAX('Activities'!K685,462))</x:f>
        <x:v>0</x:v>
      </x:c>
      <x:c r="CE685" s="23" t="n">
        <x:f>MAX(0,MIN('Activities'!L685,474)-MAX('Activities'!K685,468))</x:f>
        <x:v>0</x:v>
      </x:c>
      <x:c r="CF685" s="23" t="n">
        <x:f>MAX(0,MIN('Activities'!L685,480)-MAX('Activities'!K685,474))</x:f>
        <x:v>0</x:v>
      </x:c>
      <x:c r="CG685" s="23" t="n">
        <x:f>MAX(0,MIN('Activities'!L685,486)-MAX('Activities'!K685,480))</x:f>
        <x:v>0</x:v>
      </x:c>
      <x:c r="CH685" s="23" t="n">
        <x:f>MAX(0,MIN('Activities'!L685,492)-MAX('Activities'!K685,486))</x:f>
        <x:v>0</x:v>
      </x:c>
      <x:c r="CI685" s="23" t="n">
        <x:f>MAX(0,MIN('Activities'!L685,498)-MAX('Activities'!K685,492))</x:f>
        <x:v>0</x:v>
      </x:c>
      <x:c r="CJ685" s="23" t="n">
        <x:f>MAX(0,MIN('Activities'!L685,504)-MAX('Activities'!K685,498))</x:f>
        <x:v>0</x:v>
      </x:c>
      <x:c r="CK685" s="23" t="n">
        <x:f>MAX(0,MIN('Activities'!L685,510)-MAX('Activities'!K685,504))</x:f>
        <x:v>0</x:v>
      </x:c>
      <x:c r="CL685" s="23" t="n">
        <x:f>MAX(0,MIN('Activities'!L685,516)-MAX('Activities'!K685,510))</x:f>
        <x:v>0</x:v>
      </x:c>
      <x:c r="CM685" s="23" t="n">
        <x:f>MAX(0,MIN('Activities'!L685,522)-MAX('Activities'!K685,516))</x:f>
        <x:v>0</x:v>
      </x:c>
      <x:c r="CN685" s="23" t="n">
        <x:f>MAX(0,MIN('Activities'!L685,528)-MAX('Activities'!K685,522))</x:f>
        <x:v>0</x:v>
      </x:c>
      <x:c r="CO685" s="23" t="n">
        <x:f>MAX(0,MIN('Activities'!L685,534)-MAX('Activities'!K685,528))</x:f>
        <x:v>0</x:v>
      </x:c>
      <x:c r="CP685" s="23" t="n">
        <x:f>MAX(0,MIN('Activities'!L685,540)-MAX('Activities'!K685,534))</x:f>
        <x:v>0</x:v>
      </x:c>
      <x:c r="CQ685" s="23" t="n">
        <x:f>MAX(0,MIN('Activities'!L685,546)-MAX('Activities'!K685,540))</x:f>
        <x:v>0</x:v>
      </x:c>
      <x:c r="CR685" s="23" t="n">
        <x:f>MAX(0,MIN('Activities'!L685,552)-MAX('Activities'!K685,546))</x:f>
        <x:v>0</x:v>
      </x:c>
      <x:c r="CS685" s="23" t="n">
        <x:f>MAX(0,MIN('Activities'!L685,558)-MAX('Activities'!K685,552))</x:f>
        <x:v>0</x:v>
      </x:c>
      <x:c r="CT685" s="23" t="n">
        <x:f>MAX(0,MIN('Activities'!L685,564)-MAX('Activities'!K685,558))</x:f>
        <x:v>0</x:v>
      </x:c>
      <x:c r="CU685" s="23" t="n">
        <x:f>MAX(0,MIN('Activities'!L685,570)-MAX('Activities'!K685,564))</x:f>
        <x:v>0</x:v>
      </x:c>
      <x:c r="CV685" s="23" t="n">
        <x:f>MAX(0,MIN('Activities'!L685,576)-MAX('Activities'!K685,570))</x:f>
        <x:v>0</x:v>
      </x:c>
      <x:c r="CW685" s="23" t="n">
        <x:f>MAX(0,MIN('Activities'!L685,582)-MAX('Activities'!K685,576))</x:f>
        <x:v>0</x:v>
      </x:c>
      <x:c r="CX685" s="23" t="n">
        <x:f>MAX(0,MIN('Activities'!L685,588)-MAX('Activities'!K685,582))</x:f>
        <x:v>0</x:v>
      </x:c>
      <x:c r="CY685" s="23" t="n">
        <x:f>MAX(0,MIN('Activities'!L685,594)-MAX('Activities'!K685,588))</x:f>
        <x:v>0</x:v>
      </x:c>
      <x:c r="CZ685" s="23" t="n">
        <x:f>MAX(0,MIN('Activities'!L685,600)-MAX('Activities'!K685,594))</x:f>
        <x:v>0</x:v>
      </x:c>
      <x:c r="DA685" s="23" t="n">
        <x:f>MAX(0,MIN('Activities'!L685,606)-MAX('Activities'!K685,600))</x:f>
        <x:v>0</x:v>
      </x:c>
      <x:c r="DB685" s="23" t="n">
        <x:f>MAX(0,MIN('Activities'!L685,612)-MAX('Activities'!K685,606))</x:f>
        <x:v>0</x:v>
      </x:c>
      <x:c r="DC685" s="23" t="n">
        <x:f>MAX(0,MIN('Activities'!L685,618)-MAX('Activities'!K685,612))</x:f>
        <x:v>0</x:v>
      </x:c>
      <x:c r="DD685" s="23" t="n">
        <x:f>MAX(0,MIN('Activities'!L685,624)-MAX('Activities'!K685,618))</x:f>
        <x:v>0</x:v>
      </x:c>
      <x:c r="DE685" s="23" t="n">
        <x:f>MAX(0,MIN('Activities'!L685,630)-MAX('Activities'!K685,624))</x:f>
        <x:v>0</x:v>
      </x:c>
      <x:c r="DF685" s="23" t="n">
        <x:f>MAX(0,MIN('Activities'!L685,636)-MAX('Activities'!K685,630))</x:f>
        <x:v>0</x:v>
      </x:c>
    </x:row>
    <x:row r="686" ht="23" customHeight="1">
      <x:c r="A686" s="6" t="str">
        <x:v>T6-L01-R</x:v>
      </x:c>
      <x:c r="B686" s="6" t="str">
        <x:v>T6</x:v>
      </x:c>
      <x:c r="C686" s="6" t="str">
        <x:v>Column, wall, beam and slab reinforcement</x:v>
      </x:c>
      <x:c r="D686" s="6" t="str">
        <x:v>Rebar</x:v>
      </x:c>
      <x:c r="E686" s="22" t="n">
        <x:f>MAX(0,MIN('Activities'!L686,6)-MAX('Activities'!K686,0))</x:f>
        <x:v>0</x:v>
      </x:c>
      <x:c r="F686" s="22" t="n">
        <x:f>MAX(0,MIN('Activities'!L686,12)-MAX('Activities'!K686,6))</x:f>
        <x:v>0</x:v>
      </x:c>
      <x:c r="G686" s="22" t="n">
        <x:f>MAX(0,MIN('Activities'!L686,18)-MAX('Activities'!K686,12))</x:f>
        <x:v>0</x:v>
      </x:c>
      <x:c r="H686" s="22" t="n">
        <x:f>MAX(0,MIN('Activities'!L686,24)-MAX('Activities'!K686,18))</x:f>
        <x:v>0</x:v>
      </x:c>
      <x:c r="I686" s="22" t="n">
        <x:f>MAX(0,MIN('Activities'!L686,30)-MAX('Activities'!K686,24))</x:f>
        <x:v>0</x:v>
      </x:c>
      <x:c r="J686" s="22" t="n">
        <x:f>MAX(0,MIN('Activities'!L686,36)-MAX('Activities'!K686,30))</x:f>
        <x:v>0</x:v>
      </x:c>
      <x:c r="K686" s="22" t="n">
        <x:f>MAX(0,MIN('Activities'!L686,42)-MAX('Activities'!K686,36))</x:f>
        <x:v>0</x:v>
      </x:c>
      <x:c r="L686" s="22" t="n">
        <x:f>MAX(0,MIN('Activities'!L686,48)-MAX('Activities'!K686,42))</x:f>
        <x:v>0</x:v>
      </x:c>
      <x:c r="M686" s="22" t="n">
        <x:f>MAX(0,MIN('Activities'!L686,54)-MAX('Activities'!K686,48))</x:f>
        <x:v>0</x:v>
      </x:c>
      <x:c r="N686" s="22" t="n">
        <x:f>MAX(0,MIN('Activities'!L686,60)-MAX('Activities'!K686,54))</x:f>
        <x:v>0</x:v>
      </x:c>
      <x:c r="O686" s="22" t="n">
        <x:f>MAX(0,MIN('Activities'!L686,66)-MAX('Activities'!K686,60))</x:f>
        <x:v>0</x:v>
      </x:c>
      <x:c r="P686" s="22" t="n">
        <x:f>MAX(0,MIN('Activities'!L686,72)-MAX('Activities'!K686,66))</x:f>
        <x:v>0</x:v>
      </x:c>
      <x:c r="Q686" s="22" t="n">
        <x:f>MAX(0,MIN('Activities'!L686,78)-MAX('Activities'!K686,72))</x:f>
        <x:v>0</x:v>
      </x:c>
      <x:c r="R686" s="22" t="n">
        <x:f>MAX(0,MIN('Activities'!L686,84)-MAX('Activities'!K686,78))</x:f>
        <x:v>0</x:v>
      </x:c>
      <x:c r="S686" s="22" t="n">
        <x:f>MAX(0,MIN('Activities'!L686,90)-MAX('Activities'!K686,84))</x:f>
        <x:v>0</x:v>
      </x:c>
      <x:c r="T686" s="22" t="n">
        <x:f>MAX(0,MIN('Activities'!L686,96)-MAX('Activities'!K686,90))</x:f>
        <x:v>0</x:v>
      </x:c>
      <x:c r="U686" s="22" t="n">
        <x:f>MAX(0,MIN('Activities'!L686,102)-MAX('Activities'!K686,96))</x:f>
        <x:v>0</x:v>
      </x:c>
      <x:c r="V686" s="22" t="n">
        <x:f>MAX(0,MIN('Activities'!L686,108)-MAX('Activities'!K686,102))</x:f>
        <x:v>0</x:v>
      </x:c>
      <x:c r="W686" s="22" t="n">
        <x:f>MAX(0,MIN('Activities'!L686,114)-MAX('Activities'!K686,108))</x:f>
        <x:v>0</x:v>
      </x:c>
      <x:c r="X686" s="22" t="n">
        <x:f>MAX(0,MIN('Activities'!L686,120)-MAX('Activities'!K686,114))</x:f>
        <x:v>0</x:v>
      </x:c>
      <x:c r="Y686" s="22" t="n">
        <x:f>MAX(0,MIN('Activities'!L686,126)-MAX('Activities'!K686,120))</x:f>
        <x:v>0</x:v>
      </x:c>
      <x:c r="Z686" s="22" t="n">
        <x:f>MAX(0,MIN('Activities'!L686,132)-MAX('Activities'!K686,126))</x:f>
        <x:v>0</x:v>
      </x:c>
      <x:c r="AA686" s="22" t="n">
        <x:f>MAX(0,MIN('Activities'!L686,138)-MAX('Activities'!K686,132))</x:f>
        <x:v>0</x:v>
      </x:c>
      <x:c r="AB686" s="22" t="n">
        <x:f>MAX(0,MIN('Activities'!L686,144)-MAX('Activities'!K686,138))</x:f>
        <x:v>0</x:v>
      </x:c>
      <x:c r="AC686" s="22" t="n">
        <x:f>MAX(0,MIN('Activities'!L686,150)-MAX('Activities'!K686,144))</x:f>
        <x:v>0</x:v>
      </x:c>
      <x:c r="AD686" s="22" t="n">
        <x:f>MAX(0,MIN('Activities'!L686,156)-MAX('Activities'!K686,150))</x:f>
        <x:v>0</x:v>
      </x:c>
      <x:c r="AE686" s="22" t="n">
        <x:f>MAX(0,MIN('Activities'!L686,162)-MAX('Activities'!K686,156))</x:f>
        <x:v>0</x:v>
      </x:c>
      <x:c r="AF686" s="22" t="n">
        <x:f>MAX(0,MIN('Activities'!L686,168)-MAX('Activities'!K686,162))</x:f>
        <x:v>0</x:v>
      </x:c>
      <x:c r="AG686" s="22" t="n">
        <x:f>MAX(0,MIN('Activities'!L686,174)-MAX('Activities'!K686,168))</x:f>
        <x:v>0</x:v>
      </x:c>
      <x:c r="AH686" s="22" t="n">
        <x:f>MAX(0,MIN('Activities'!L686,180)-MAX('Activities'!K686,174))</x:f>
        <x:v>0</x:v>
      </x:c>
      <x:c r="AI686" s="22" t="n">
        <x:f>MAX(0,MIN('Activities'!L686,186)-MAX('Activities'!K686,180))</x:f>
        <x:v>0</x:v>
      </x:c>
      <x:c r="AJ686" s="22" t="n">
        <x:f>MAX(0,MIN('Activities'!L686,192)-MAX('Activities'!K686,186))</x:f>
        <x:v>0</x:v>
      </x:c>
      <x:c r="AK686" s="22" t="n">
        <x:f>MAX(0,MIN('Activities'!L686,198)-MAX('Activities'!K686,192))</x:f>
        <x:v>0</x:v>
      </x:c>
      <x:c r="AL686" s="22" t="n">
        <x:f>MAX(0,MIN('Activities'!L686,204)-MAX('Activities'!K686,198))</x:f>
        <x:v>0</x:v>
      </x:c>
      <x:c r="AM686" s="22" t="n">
        <x:f>MAX(0,MIN('Activities'!L686,210)-MAX('Activities'!K686,204))</x:f>
        <x:v>0</x:v>
      </x:c>
      <x:c r="AN686" s="22" t="n">
        <x:f>MAX(0,MIN('Activities'!L686,216)-MAX('Activities'!K686,210))</x:f>
        <x:v>0</x:v>
      </x:c>
      <x:c r="AO686" s="22" t="n">
        <x:f>MAX(0,MIN('Activities'!L686,222)-MAX('Activities'!K686,216))</x:f>
        <x:v>4</x:v>
      </x:c>
      <x:c r="AP686" s="22" t="n">
        <x:f>MAX(0,MIN('Activities'!L686,228)-MAX('Activities'!K686,222))</x:f>
        <x:v>1</x:v>
      </x:c>
      <x:c r="AQ686" s="22" t="n">
        <x:f>MAX(0,MIN('Activities'!L686,234)-MAX('Activities'!K686,228))</x:f>
        <x:v>0</x:v>
      </x:c>
      <x:c r="AR686" s="22" t="n">
        <x:f>MAX(0,MIN('Activities'!L686,240)-MAX('Activities'!K686,234))</x:f>
        <x:v>0</x:v>
      </x:c>
      <x:c r="AS686" s="22" t="n">
        <x:f>MAX(0,MIN('Activities'!L686,246)-MAX('Activities'!K686,240))</x:f>
        <x:v>0</x:v>
      </x:c>
      <x:c r="AT686" s="22" t="n">
        <x:f>MAX(0,MIN('Activities'!L686,252)-MAX('Activities'!K686,246))</x:f>
        <x:v>0</x:v>
      </x:c>
      <x:c r="AU686" s="22" t="n">
        <x:f>MAX(0,MIN('Activities'!L686,258)-MAX('Activities'!K686,252))</x:f>
        <x:v>0</x:v>
      </x:c>
      <x:c r="AV686" s="22" t="n">
        <x:f>MAX(0,MIN('Activities'!L686,264)-MAX('Activities'!K686,258))</x:f>
        <x:v>0</x:v>
      </x:c>
      <x:c r="AW686" s="22" t="n">
        <x:f>MAX(0,MIN('Activities'!L686,270)-MAX('Activities'!K686,264))</x:f>
        <x:v>0</x:v>
      </x:c>
      <x:c r="AX686" s="22" t="n">
        <x:f>MAX(0,MIN('Activities'!L686,276)-MAX('Activities'!K686,270))</x:f>
        <x:v>0</x:v>
      </x:c>
      <x:c r="AY686" s="22" t="n">
        <x:f>MAX(0,MIN('Activities'!L686,282)-MAX('Activities'!K686,276))</x:f>
        <x:v>0</x:v>
      </x:c>
      <x:c r="AZ686" s="22" t="n">
        <x:f>MAX(0,MIN('Activities'!L686,288)-MAX('Activities'!K686,282))</x:f>
        <x:v>0</x:v>
      </x:c>
      <x:c r="BA686" s="22" t="n">
        <x:f>MAX(0,MIN('Activities'!L686,294)-MAX('Activities'!K686,288))</x:f>
        <x:v>0</x:v>
      </x:c>
      <x:c r="BB686" s="22" t="n">
        <x:f>MAX(0,MIN('Activities'!L686,300)-MAX('Activities'!K686,294))</x:f>
        <x:v>0</x:v>
      </x:c>
      <x:c r="BC686" s="22" t="n">
        <x:f>MAX(0,MIN('Activities'!L686,306)-MAX('Activities'!K686,300))</x:f>
        <x:v>0</x:v>
      </x:c>
      <x:c r="BD686" s="22" t="n">
        <x:f>MAX(0,MIN('Activities'!L686,312)-MAX('Activities'!K686,306))</x:f>
        <x:v>0</x:v>
      </x:c>
      <x:c r="BE686" s="22" t="n">
        <x:f>MAX(0,MIN('Activities'!L686,318)-MAX('Activities'!K686,312))</x:f>
        <x:v>0</x:v>
      </x:c>
      <x:c r="BF686" s="22" t="n">
        <x:f>MAX(0,MIN('Activities'!L686,324)-MAX('Activities'!K686,318))</x:f>
        <x:v>0</x:v>
      </x:c>
      <x:c r="BG686" s="22" t="n">
        <x:f>MAX(0,MIN('Activities'!L686,330)-MAX('Activities'!K686,324))</x:f>
        <x:v>0</x:v>
      </x:c>
      <x:c r="BH686" s="22" t="n">
        <x:f>MAX(0,MIN('Activities'!L686,336)-MAX('Activities'!K686,330))</x:f>
        <x:v>0</x:v>
      </x:c>
      <x:c r="BI686" s="22" t="n">
        <x:f>MAX(0,MIN('Activities'!L686,342)-MAX('Activities'!K686,336))</x:f>
        <x:v>0</x:v>
      </x:c>
      <x:c r="BJ686" s="22" t="n">
        <x:f>MAX(0,MIN('Activities'!L686,348)-MAX('Activities'!K686,342))</x:f>
        <x:v>0</x:v>
      </x:c>
      <x:c r="BK686" s="22" t="n">
        <x:f>MAX(0,MIN('Activities'!L686,354)-MAX('Activities'!K686,348))</x:f>
        <x:v>0</x:v>
      </x:c>
      <x:c r="BL686" s="22" t="n">
        <x:f>MAX(0,MIN('Activities'!L686,360)-MAX('Activities'!K686,354))</x:f>
        <x:v>0</x:v>
      </x:c>
      <x:c r="BM686" s="22" t="n">
        <x:f>MAX(0,MIN('Activities'!L686,366)-MAX('Activities'!K686,360))</x:f>
        <x:v>0</x:v>
      </x:c>
      <x:c r="BN686" s="22" t="n">
        <x:f>MAX(0,MIN('Activities'!L686,372)-MAX('Activities'!K686,366))</x:f>
        <x:v>0</x:v>
      </x:c>
      <x:c r="BO686" s="22" t="n">
        <x:f>MAX(0,MIN('Activities'!L686,378)-MAX('Activities'!K686,372))</x:f>
        <x:v>0</x:v>
      </x:c>
      <x:c r="BP686" s="22" t="n">
        <x:f>MAX(0,MIN('Activities'!L686,384)-MAX('Activities'!K686,378))</x:f>
        <x:v>0</x:v>
      </x:c>
      <x:c r="BQ686" s="22" t="n">
        <x:f>MAX(0,MIN('Activities'!L686,390)-MAX('Activities'!K686,384))</x:f>
        <x:v>0</x:v>
      </x:c>
      <x:c r="BR686" s="22" t="n">
        <x:f>MAX(0,MIN('Activities'!L686,396)-MAX('Activities'!K686,390))</x:f>
        <x:v>0</x:v>
      </x:c>
      <x:c r="BS686" s="22" t="n">
        <x:f>MAX(0,MIN('Activities'!L686,402)-MAX('Activities'!K686,396))</x:f>
        <x:v>0</x:v>
      </x:c>
      <x:c r="BT686" s="22" t="n">
        <x:f>MAX(0,MIN('Activities'!L686,408)-MAX('Activities'!K686,402))</x:f>
        <x:v>0</x:v>
      </x:c>
      <x:c r="BU686" s="22" t="n">
        <x:f>MAX(0,MIN('Activities'!L686,414)-MAX('Activities'!K686,408))</x:f>
        <x:v>0</x:v>
      </x:c>
      <x:c r="BV686" s="22" t="n">
        <x:f>MAX(0,MIN('Activities'!L686,420)-MAX('Activities'!K686,414))</x:f>
        <x:v>0</x:v>
      </x:c>
      <x:c r="BW686" s="22" t="n">
        <x:f>MAX(0,MIN('Activities'!L686,426)-MAX('Activities'!K686,420))</x:f>
        <x:v>0</x:v>
      </x:c>
      <x:c r="BX686" s="22" t="n">
        <x:f>MAX(0,MIN('Activities'!L686,432)-MAX('Activities'!K686,426))</x:f>
        <x:v>0</x:v>
      </x:c>
      <x:c r="BY686" s="22" t="n">
        <x:f>MAX(0,MIN('Activities'!L686,438)-MAX('Activities'!K686,432))</x:f>
        <x:v>0</x:v>
      </x:c>
      <x:c r="BZ686" s="22" t="n">
        <x:f>MAX(0,MIN('Activities'!L686,444)-MAX('Activities'!K686,438))</x:f>
        <x:v>0</x:v>
      </x:c>
      <x:c r="CA686" s="22" t="n">
        <x:f>MAX(0,MIN('Activities'!L686,450)-MAX('Activities'!K686,444))</x:f>
        <x:v>0</x:v>
      </x:c>
      <x:c r="CB686" s="22" t="n">
        <x:f>MAX(0,MIN('Activities'!L686,456)-MAX('Activities'!K686,450))</x:f>
        <x:v>0</x:v>
      </x:c>
      <x:c r="CC686" s="22" t="n">
        <x:f>MAX(0,MIN('Activities'!L686,462)-MAX('Activities'!K686,456))</x:f>
        <x:v>0</x:v>
      </x:c>
      <x:c r="CD686" s="22" t="n">
        <x:f>MAX(0,MIN('Activities'!L686,468)-MAX('Activities'!K686,462))</x:f>
        <x:v>0</x:v>
      </x:c>
      <x:c r="CE686" s="22" t="n">
        <x:f>MAX(0,MIN('Activities'!L686,474)-MAX('Activities'!K686,468))</x:f>
        <x:v>0</x:v>
      </x:c>
      <x:c r="CF686" s="22" t="n">
        <x:f>MAX(0,MIN('Activities'!L686,480)-MAX('Activities'!K686,474))</x:f>
        <x:v>0</x:v>
      </x:c>
      <x:c r="CG686" s="22" t="n">
        <x:f>MAX(0,MIN('Activities'!L686,486)-MAX('Activities'!K686,480))</x:f>
        <x:v>0</x:v>
      </x:c>
      <x:c r="CH686" s="22" t="n">
        <x:f>MAX(0,MIN('Activities'!L686,492)-MAX('Activities'!K686,486))</x:f>
        <x:v>0</x:v>
      </x:c>
      <x:c r="CI686" s="22" t="n">
        <x:f>MAX(0,MIN('Activities'!L686,498)-MAX('Activities'!K686,492))</x:f>
        <x:v>0</x:v>
      </x:c>
      <x:c r="CJ686" s="22" t="n">
        <x:f>MAX(0,MIN('Activities'!L686,504)-MAX('Activities'!K686,498))</x:f>
        <x:v>0</x:v>
      </x:c>
      <x:c r="CK686" s="22" t="n">
        <x:f>MAX(0,MIN('Activities'!L686,510)-MAX('Activities'!K686,504))</x:f>
        <x:v>0</x:v>
      </x:c>
      <x:c r="CL686" s="22" t="n">
        <x:f>MAX(0,MIN('Activities'!L686,516)-MAX('Activities'!K686,510))</x:f>
        <x:v>0</x:v>
      </x:c>
      <x:c r="CM686" s="22" t="n">
        <x:f>MAX(0,MIN('Activities'!L686,522)-MAX('Activities'!K686,516))</x:f>
        <x:v>0</x:v>
      </x:c>
      <x:c r="CN686" s="22" t="n">
        <x:f>MAX(0,MIN('Activities'!L686,528)-MAX('Activities'!K686,522))</x:f>
        <x:v>0</x:v>
      </x:c>
      <x:c r="CO686" s="22" t="n">
        <x:f>MAX(0,MIN('Activities'!L686,534)-MAX('Activities'!K686,528))</x:f>
        <x:v>0</x:v>
      </x:c>
      <x:c r="CP686" s="22" t="n">
        <x:f>MAX(0,MIN('Activities'!L686,540)-MAX('Activities'!K686,534))</x:f>
        <x:v>0</x:v>
      </x:c>
      <x:c r="CQ686" s="22" t="n">
        <x:f>MAX(0,MIN('Activities'!L686,546)-MAX('Activities'!K686,540))</x:f>
        <x:v>0</x:v>
      </x:c>
      <x:c r="CR686" s="22" t="n">
        <x:f>MAX(0,MIN('Activities'!L686,552)-MAX('Activities'!K686,546))</x:f>
        <x:v>0</x:v>
      </x:c>
      <x:c r="CS686" s="22" t="n">
        <x:f>MAX(0,MIN('Activities'!L686,558)-MAX('Activities'!K686,552))</x:f>
        <x:v>0</x:v>
      </x:c>
      <x:c r="CT686" s="22" t="n">
        <x:f>MAX(0,MIN('Activities'!L686,564)-MAX('Activities'!K686,558))</x:f>
        <x:v>0</x:v>
      </x:c>
      <x:c r="CU686" s="22" t="n">
        <x:f>MAX(0,MIN('Activities'!L686,570)-MAX('Activities'!K686,564))</x:f>
        <x:v>0</x:v>
      </x:c>
      <x:c r="CV686" s="22" t="n">
        <x:f>MAX(0,MIN('Activities'!L686,576)-MAX('Activities'!K686,570))</x:f>
        <x:v>0</x:v>
      </x:c>
      <x:c r="CW686" s="22" t="n">
        <x:f>MAX(0,MIN('Activities'!L686,582)-MAX('Activities'!K686,576))</x:f>
        <x:v>0</x:v>
      </x:c>
      <x:c r="CX686" s="22" t="n">
        <x:f>MAX(0,MIN('Activities'!L686,588)-MAX('Activities'!K686,582))</x:f>
        <x:v>0</x:v>
      </x:c>
      <x:c r="CY686" s="22" t="n">
        <x:f>MAX(0,MIN('Activities'!L686,594)-MAX('Activities'!K686,588))</x:f>
        <x:v>0</x:v>
      </x:c>
      <x:c r="CZ686" s="22" t="n">
        <x:f>MAX(0,MIN('Activities'!L686,600)-MAX('Activities'!K686,594))</x:f>
        <x:v>0</x:v>
      </x:c>
      <x:c r="DA686" s="22" t="n">
        <x:f>MAX(0,MIN('Activities'!L686,606)-MAX('Activities'!K686,600))</x:f>
        <x:v>0</x:v>
      </x:c>
      <x:c r="DB686" s="22" t="n">
        <x:f>MAX(0,MIN('Activities'!L686,612)-MAX('Activities'!K686,606))</x:f>
        <x:v>0</x:v>
      </x:c>
      <x:c r="DC686" s="22" t="n">
        <x:f>MAX(0,MIN('Activities'!L686,618)-MAX('Activities'!K686,612))</x:f>
        <x:v>0</x:v>
      </x:c>
      <x:c r="DD686" s="22" t="n">
        <x:f>MAX(0,MIN('Activities'!L686,624)-MAX('Activities'!K686,618))</x:f>
        <x:v>0</x:v>
      </x:c>
      <x:c r="DE686" s="22" t="n">
        <x:f>MAX(0,MIN('Activities'!L686,630)-MAX('Activities'!K686,624))</x:f>
        <x:v>0</x:v>
      </x:c>
      <x:c r="DF686" s="22" t="n">
        <x:f>MAX(0,MIN('Activities'!L686,636)-MAX('Activities'!K686,630))</x:f>
        <x:v>0</x:v>
      </x:c>
    </x:row>
    <x:row r="687" ht="23" customHeight="1">
      <x:c r="A687" s="1" t="str">
        <x:v>T6-L01-C</x:v>
      </x:c>
      <x:c r="B687" s="1" t="str">
        <x:v>T6</x:v>
      </x:c>
      <x:c r="C687" s="1" t="str">
        <x:v>Concrete placement and finishing</x:v>
      </x:c>
      <x:c r="D687" s="1" t="str">
        <x:v>Concrete</x:v>
      </x:c>
      <x:c r="E687" s="23" t="n">
        <x:f>MAX(0,MIN('Activities'!L687,6)-MAX('Activities'!K687,0))</x:f>
        <x:v>0</x:v>
      </x:c>
      <x:c r="F687" s="23" t="n">
        <x:f>MAX(0,MIN('Activities'!L687,12)-MAX('Activities'!K687,6))</x:f>
        <x:v>0</x:v>
      </x:c>
      <x:c r="G687" s="23" t="n">
        <x:f>MAX(0,MIN('Activities'!L687,18)-MAX('Activities'!K687,12))</x:f>
        <x:v>0</x:v>
      </x:c>
      <x:c r="H687" s="23" t="n">
        <x:f>MAX(0,MIN('Activities'!L687,24)-MAX('Activities'!K687,18))</x:f>
        <x:v>0</x:v>
      </x:c>
      <x:c r="I687" s="23" t="n">
        <x:f>MAX(0,MIN('Activities'!L687,30)-MAX('Activities'!K687,24))</x:f>
        <x:v>0</x:v>
      </x:c>
      <x:c r="J687" s="23" t="n">
        <x:f>MAX(0,MIN('Activities'!L687,36)-MAX('Activities'!K687,30))</x:f>
        <x:v>0</x:v>
      </x:c>
      <x:c r="K687" s="23" t="n">
        <x:f>MAX(0,MIN('Activities'!L687,42)-MAX('Activities'!K687,36))</x:f>
        <x:v>0</x:v>
      </x:c>
      <x:c r="L687" s="23" t="n">
        <x:f>MAX(0,MIN('Activities'!L687,48)-MAX('Activities'!K687,42))</x:f>
        <x:v>0</x:v>
      </x:c>
      <x:c r="M687" s="23" t="n">
        <x:f>MAX(0,MIN('Activities'!L687,54)-MAX('Activities'!K687,48))</x:f>
        <x:v>0</x:v>
      </x:c>
      <x:c r="N687" s="23" t="n">
        <x:f>MAX(0,MIN('Activities'!L687,60)-MAX('Activities'!K687,54))</x:f>
        <x:v>0</x:v>
      </x:c>
      <x:c r="O687" s="23" t="n">
        <x:f>MAX(0,MIN('Activities'!L687,66)-MAX('Activities'!K687,60))</x:f>
        <x:v>0</x:v>
      </x:c>
      <x:c r="P687" s="23" t="n">
        <x:f>MAX(0,MIN('Activities'!L687,72)-MAX('Activities'!K687,66))</x:f>
        <x:v>0</x:v>
      </x:c>
      <x:c r="Q687" s="23" t="n">
        <x:f>MAX(0,MIN('Activities'!L687,78)-MAX('Activities'!K687,72))</x:f>
        <x:v>0</x:v>
      </x:c>
      <x:c r="R687" s="23" t="n">
        <x:f>MAX(0,MIN('Activities'!L687,84)-MAX('Activities'!K687,78))</x:f>
        <x:v>0</x:v>
      </x:c>
      <x:c r="S687" s="23" t="n">
        <x:f>MAX(0,MIN('Activities'!L687,90)-MAX('Activities'!K687,84))</x:f>
        <x:v>0</x:v>
      </x:c>
      <x:c r="T687" s="23" t="n">
        <x:f>MAX(0,MIN('Activities'!L687,96)-MAX('Activities'!K687,90))</x:f>
        <x:v>0</x:v>
      </x:c>
      <x:c r="U687" s="23" t="n">
        <x:f>MAX(0,MIN('Activities'!L687,102)-MAX('Activities'!K687,96))</x:f>
        <x:v>0</x:v>
      </x:c>
      <x:c r="V687" s="23" t="n">
        <x:f>MAX(0,MIN('Activities'!L687,108)-MAX('Activities'!K687,102))</x:f>
        <x:v>0</x:v>
      </x:c>
      <x:c r="W687" s="23" t="n">
        <x:f>MAX(0,MIN('Activities'!L687,114)-MAX('Activities'!K687,108))</x:f>
        <x:v>0</x:v>
      </x:c>
      <x:c r="X687" s="23" t="n">
        <x:f>MAX(0,MIN('Activities'!L687,120)-MAX('Activities'!K687,114))</x:f>
        <x:v>0</x:v>
      </x:c>
      <x:c r="Y687" s="23" t="n">
        <x:f>MAX(0,MIN('Activities'!L687,126)-MAX('Activities'!K687,120))</x:f>
        <x:v>0</x:v>
      </x:c>
      <x:c r="Z687" s="23" t="n">
        <x:f>MAX(0,MIN('Activities'!L687,132)-MAX('Activities'!K687,126))</x:f>
        <x:v>0</x:v>
      </x:c>
      <x:c r="AA687" s="23" t="n">
        <x:f>MAX(0,MIN('Activities'!L687,138)-MAX('Activities'!K687,132))</x:f>
        <x:v>0</x:v>
      </x:c>
      <x:c r="AB687" s="23" t="n">
        <x:f>MAX(0,MIN('Activities'!L687,144)-MAX('Activities'!K687,138))</x:f>
        <x:v>0</x:v>
      </x:c>
      <x:c r="AC687" s="23" t="n">
        <x:f>MAX(0,MIN('Activities'!L687,150)-MAX('Activities'!K687,144))</x:f>
        <x:v>0</x:v>
      </x:c>
      <x:c r="AD687" s="23" t="n">
        <x:f>MAX(0,MIN('Activities'!L687,156)-MAX('Activities'!K687,150))</x:f>
        <x:v>0</x:v>
      </x:c>
      <x:c r="AE687" s="23" t="n">
        <x:f>MAX(0,MIN('Activities'!L687,162)-MAX('Activities'!K687,156))</x:f>
        <x:v>0</x:v>
      </x:c>
      <x:c r="AF687" s="23" t="n">
        <x:f>MAX(0,MIN('Activities'!L687,168)-MAX('Activities'!K687,162))</x:f>
        <x:v>0</x:v>
      </x:c>
      <x:c r="AG687" s="23" t="n">
        <x:f>MAX(0,MIN('Activities'!L687,174)-MAX('Activities'!K687,168))</x:f>
        <x:v>0</x:v>
      </x:c>
      <x:c r="AH687" s="23" t="n">
        <x:f>MAX(0,MIN('Activities'!L687,180)-MAX('Activities'!K687,174))</x:f>
        <x:v>0</x:v>
      </x:c>
      <x:c r="AI687" s="23" t="n">
        <x:f>MAX(0,MIN('Activities'!L687,186)-MAX('Activities'!K687,180))</x:f>
        <x:v>0</x:v>
      </x:c>
      <x:c r="AJ687" s="23" t="n">
        <x:f>MAX(0,MIN('Activities'!L687,192)-MAX('Activities'!K687,186))</x:f>
        <x:v>0</x:v>
      </x:c>
      <x:c r="AK687" s="23" t="n">
        <x:f>MAX(0,MIN('Activities'!L687,198)-MAX('Activities'!K687,192))</x:f>
        <x:v>0</x:v>
      </x:c>
      <x:c r="AL687" s="23" t="n">
        <x:f>MAX(0,MIN('Activities'!L687,204)-MAX('Activities'!K687,198))</x:f>
        <x:v>0</x:v>
      </x:c>
      <x:c r="AM687" s="23" t="n">
        <x:f>MAX(0,MIN('Activities'!L687,210)-MAX('Activities'!K687,204))</x:f>
        <x:v>0</x:v>
      </x:c>
      <x:c r="AN687" s="23" t="n">
        <x:f>MAX(0,MIN('Activities'!L687,216)-MAX('Activities'!K687,210))</x:f>
        <x:v>0</x:v>
      </x:c>
      <x:c r="AO687" s="23" t="n">
        <x:f>MAX(0,MIN('Activities'!L687,222)-MAX('Activities'!K687,216))</x:f>
        <x:v>0</x:v>
      </x:c>
      <x:c r="AP687" s="23" t="n">
        <x:f>MAX(0,MIN('Activities'!L687,228)-MAX('Activities'!K687,222))</x:f>
        <x:v>2</x:v>
      </x:c>
      <x:c r="AQ687" s="23" t="n">
        <x:f>MAX(0,MIN('Activities'!L687,234)-MAX('Activities'!K687,228))</x:f>
        <x:v>0</x:v>
      </x:c>
      <x:c r="AR687" s="23" t="n">
        <x:f>MAX(0,MIN('Activities'!L687,240)-MAX('Activities'!K687,234))</x:f>
        <x:v>0</x:v>
      </x:c>
      <x:c r="AS687" s="23" t="n">
        <x:f>MAX(0,MIN('Activities'!L687,246)-MAX('Activities'!K687,240))</x:f>
        <x:v>0</x:v>
      </x:c>
      <x:c r="AT687" s="23" t="n">
        <x:f>MAX(0,MIN('Activities'!L687,252)-MAX('Activities'!K687,246))</x:f>
        <x:v>0</x:v>
      </x:c>
      <x:c r="AU687" s="23" t="n">
        <x:f>MAX(0,MIN('Activities'!L687,258)-MAX('Activities'!K687,252))</x:f>
        <x:v>0</x:v>
      </x:c>
      <x:c r="AV687" s="23" t="n">
        <x:f>MAX(0,MIN('Activities'!L687,264)-MAX('Activities'!K687,258))</x:f>
        <x:v>0</x:v>
      </x:c>
      <x:c r="AW687" s="23" t="n">
        <x:f>MAX(0,MIN('Activities'!L687,270)-MAX('Activities'!K687,264))</x:f>
        <x:v>0</x:v>
      </x:c>
      <x:c r="AX687" s="23" t="n">
        <x:f>MAX(0,MIN('Activities'!L687,276)-MAX('Activities'!K687,270))</x:f>
        <x:v>0</x:v>
      </x:c>
      <x:c r="AY687" s="23" t="n">
        <x:f>MAX(0,MIN('Activities'!L687,282)-MAX('Activities'!K687,276))</x:f>
        <x:v>0</x:v>
      </x:c>
      <x:c r="AZ687" s="23" t="n">
        <x:f>MAX(0,MIN('Activities'!L687,288)-MAX('Activities'!K687,282))</x:f>
        <x:v>0</x:v>
      </x:c>
      <x:c r="BA687" s="23" t="n">
        <x:f>MAX(0,MIN('Activities'!L687,294)-MAX('Activities'!K687,288))</x:f>
        <x:v>0</x:v>
      </x:c>
      <x:c r="BB687" s="23" t="n">
        <x:f>MAX(0,MIN('Activities'!L687,300)-MAX('Activities'!K687,294))</x:f>
        <x:v>0</x:v>
      </x:c>
      <x:c r="BC687" s="23" t="n">
        <x:f>MAX(0,MIN('Activities'!L687,306)-MAX('Activities'!K687,300))</x:f>
        <x:v>0</x:v>
      </x:c>
      <x:c r="BD687" s="23" t="n">
        <x:f>MAX(0,MIN('Activities'!L687,312)-MAX('Activities'!K687,306))</x:f>
        <x:v>0</x:v>
      </x:c>
      <x:c r="BE687" s="23" t="n">
        <x:f>MAX(0,MIN('Activities'!L687,318)-MAX('Activities'!K687,312))</x:f>
        <x:v>0</x:v>
      </x:c>
      <x:c r="BF687" s="23" t="n">
        <x:f>MAX(0,MIN('Activities'!L687,324)-MAX('Activities'!K687,318))</x:f>
        <x:v>0</x:v>
      </x:c>
      <x:c r="BG687" s="23" t="n">
        <x:f>MAX(0,MIN('Activities'!L687,330)-MAX('Activities'!K687,324))</x:f>
        <x:v>0</x:v>
      </x:c>
      <x:c r="BH687" s="23" t="n">
        <x:f>MAX(0,MIN('Activities'!L687,336)-MAX('Activities'!K687,330))</x:f>
        <x:v>0</x:v>
      </x:c>
      <x:c r="BI687" s="23" t="n">
        <x:f>MAX(0,MIN('Activities'!L687,342)-MAX('Activities'!K687,336))</x:f>
        <x:v>0</x:v>
      </x:c>
      <x:c r="BJ687" s="23" t="n">
        <x:f>MAX(0,MIN('Activities'!L687,348)-MAX('Activities'!K687,342))</x:f>
        <x:v>0</x:v>
      </x:c>
      <x:c r="BK687" s="23" t="n">
        <x:f>MAX(0,MIN('Activities'!L687,354)-MAX('Activities'!K687,348))</x:f>
        <x:v>0</x:v>
      </x:c>
      <x:c r="BL687" s="23" t="n">
        <x:f>MAX(0,MIN('Activities'!L687,360)-MAX('Activities'!K687,354))</x:f>
        <x:v>0</x:v>
      </x:c>
      <x:c r="BM687" s="23" t="n">
        <x:f>MAX(0,MIN('Activities'!L687,366)-MAX('Activities'!K687,360))</x:f>
        <x:v>0</x:v>
      </x:c>
      <x:c r="BN687" s="23" t="n">
        <x:f>MAX(0,MIN('Activities'!L687,372)-MAX('Activities'!K687,366))</x:f>
        <x:v>0</x:v>
      </x:c>
      <x:c r="BO687" s="23" t="n">
        <x:f>MAX(0,MIN('Activities'!L687,378)-MAX('Activities'!K687,372))</x:f>
        <x:v>0</x:v>
      </x:c>
      <x:c r="BP687" s="23" t="n">
        <x:f>MAX(0,MIN('Activities'!L687,384)-MAX('Activities'!K687,378))</x:f>
        <x:v>0</x:v>
      </x:c>
      <x:c r="BQ687" s="23" t="n">
        <x:f>MAX(0,MIN('Activities'!L687,390)-MAX('Activities'!K687,384))</x:f>
        <x:v>0</x:v>
      </x:c>
      <x:c r="BR687" s="23" t="n">
        <x:f>MAX(0,MIN('Activities'!L687,396)-MAX('Activities'!K687,390))</x:f>
        <x:v>0</x:v>
      </x:c>
      <x:c r="BS687" s="23" t="n">
        <x:f>MAX(0,MIN('Activities'!L687,402)-MAX('Activities'!K687,396))</x:f>
        <x:v>0</x:v>
      </x:c>
      <x:c r="BT687" s="23" t="n">
        <x:f>MAX(0,MIN('Activities'!L687,408)-MAX('Activities'!K687,402))</x:f>
        <x:v>0</x:v>
      </x:c>
      <x:c r="BU687" s="23" t="n">
        <x:f>MAX(0,MIN('Activities'!L687,414)-MAX('Activities'!K687,408))</x:f>
        <x:v>0</x:v>
      </x:c>
      <x:c r="BV687" s="23" t="n">
        <x:f>MAX(0,MIN('Activities'!L687,420)-MAX('Activities'!K687,414))</x:f>
        <x:v>0</x:v>
      </x:c>
      <x:c r="BW687" s="23" t="n">
        <x:f>MAX(0,MIN('Activities'!L687,426)-MAX('Activities'!K687,420))</x:f>
        <x:v>0</x:v>
      </x:c>
      <x:c r="BX687" s="23" t="n">
        <x:f>MAX(0,MIN('Activities'!L687,432)-MAX('Activities'!K687,426))</x:f>
        <x:v>0</x:v>
      </x:c>
      <x:c r="BY687" s="23" t="n">
        <x:f>MAX(0,MIN('Activities'!L687,438)-MAX('Activities'!K687,432))</x:f>
        <x:v>0</x:v>
      </x:c>
      <x:c r="BZ687" s="23" t="n">
        <x:f>MAX(0,MIN('Activities'!L687,444)-MAX('Activities'!K687,438))</x:f>
        <x:v>0</x:v>
      </x:c>
      <x:c r="CA687" s="23" t="n">
        <x:f>MAX(0,MIN('Activities'!L687,450)-MAX('Activities'!K687,444))</x:f>
        <x:v>0</x:v>
      </x:c>
      <x:c r="CB687" s="23" t="n">
        <x:f>MAX(0,MIN('Activities'!L687,456)-MAX('Activities'!K687,450))</x:f>
        <x:v>0</x:v>
      </x:c>
      <x:c r="CC687" s="23" t="n">
        <x:f>MAX(0,MIN('Activities'!L687,462)-MAX('Activities'!K687,456))</x:f>
        <x:v>0</x:v>
      </x:c>
      <x:c r="CD687" s="23" t="n">
        <x:f>MAX(0,MIN('Activities'!L687,468)-MAX('Activities'!K687,462))</x:f>
        <x:v>0</x:v>
      </x:c>
      <x:c r="CE687" s="23" t="n">
        <x:f>MAX(0,MIN('Activities'!L687,474)-MAX('Activities'!K687,468))</x:f>
        <x:v>0</x:v>
      </x:c>
      <x:c r="CF687" s="23" t="n">
        <x:f>MAX(0,MIN('Activities'!L687,480)-MAX('Activities'!K687,474))</x:f>
        <x:v>0</x:v>
      </x:c>
      <x:c r="CG687" s="23" t="n">
        <x:f>MAX(0,MIN('Activities'!L687,486)-MAX('Activities'!K687,480))</x:f>
        <x:v>0</x:v>
      </x:c>
      <x:c r="CH687" s="23" t="n">
        <x:f>MAX(0,MIN('Activities'!L687,492)-MAX('Activities'!K687,486))</x:f>
        <x:v>0</x:v>
      </x:c>
      <x:c r="CI687" s="23" t="n">
        <x:f>MAX(0,MIN('Activities'!L687,498)-MAX('Activities'!K687,492))</x:f>
        <x:v>0</x:v>
      </x:c>
      <x:c r="CJ687" s="23" t="n">
        <x:f>MAX(0,MIN('Activities'!L687,504)-MAX('Activities'!K687,498))</x:f>
        <x:v>0</x:v>
      </x:c>
      <x:c r="CK687" s="23" t="n">
        <x:f>MAX(0,MIN('Activities'!L687,510)-MAX('Activities'!K687,504))</x:f>
        <x:v>0</x:v>
      </x:c>
      <x:c r="CL687" s="23" t="n">
        <x:f>MAX(0,MIN('Activities'!L687,516)-MAX('Activities'!K687,510))</x:f>
        <x:v>0</x:v>
      </x:c>
      <x:c r="CM687" s="23" t="n">
        <x:f>MAX(0,MIN('Activities'!L687,522)-MAX('Activities'!K687,516))</x:f>
        <x:v>0</x:v>
      </x:c>
      <x:c r="CN687" s="23" t="n">
        <x:f>MAX(0,MIN('Activities'!L687,528)-MAX('Activities'!K687,522))</x:f>
        <x:v>0</x:v>
      </x:c>
      <x:c r="CO687" s="23" t="n">
        <x:f>MAX(0,MIN('Activities'!L687,534)-MAX('Activities'!K687,528))</x:f>
        <x:v>0</x:v>
      </x:c>
      <x:c r="CP687" s="23" t="n">
        <x:f>MAX(0,MIN('Activities'!L687,540)-MAX('Activities'!K687,534))</x:f>
        <x:v>0</x:v>
      </x:c>
      <x:c r="CQ687" s="23" t="n">
        <x:f>MAX(0,MIN('Activities'!L687,546)-MAX('Activities'!K687,540))</x:f>
        <x:v>0</x:v>
      </x:c>
      <x:c r="CR687" s="23" t="n">
        <x:f>MAX(0,MIN('Activities'!L687,552)-MAX('Activities'!K687,546))</x:f>
        <x:v>0</x:v>
      </x:c>
      <x:c r="CS687" s="23" t="n">
        <x:f>MAX(0,MIN('Activities'!L687,558)-MAX('Activities'!K687,552))</x:f>
        <x:v>0</x:v>
      </x:c>
      <x:c r="CT687" s="23" t="n">
        <x:f>MAX(0,MIN('Activities'!L687,564)-MAX('Activities'!K687,558))</x:f>
        <x:v>0</x:v>
      </x:c>
      <x:c r="CU687" s="23" t="n">
        <x:f>MAX(0,MIN('Activities'!L687,570)-MAX('Activities'!K687,564))</x:f>
        <x:v>0</x:v>
      </x:c>
      <x:c r="CV687" s="23" t="n">
        <x:f>MAX(0,MIN('Activities'!L687,576)-MAX('Activities'!K687,570))</x:f>
        <x:v>0</x:v>
      </x:c>
      <x:c r="CW687" s="23" t="n">
        <x:f>MAX(0,MIN('Activities'!L687,582)-MAX('Activities'!K687,576))</x:f>
        <x:v>0</x:v>
      </x:c>
      <x:c r="CX687" s="23" t="n">
        <x:f>MAX(0,MIN('Activities'!L687,588)-MAX('Activities'!K687,582))</x:f>
        <x:v>0</x:v>
      </x:c>
      <x:c r="CY687" s="23" t="n">
        <x:f>MAX(0,MIN('Activities'!L687,594)-MAX('Activities'!K687,588))</x:f>
        <x:v>0</x:v>
      </x:c>
      <x:c r="CZ687" s="23" t="n">
        <x:f>MAX(0,MIN('Activities'!L687,600)-MAX('Activities'!K687,594))</x:f>
        <x:v>0</x:v>
      </x:c>
      <x:c r="DA687" s="23" t="n">
        <x:f>MAX(0,MIN('Activities'!L687,606)-MAX('Activities'!K687,600))</x:f>
        <x:v>0</x:v>
      </x:c>
      <x:c r="DB687" s="23" t="n">
        <x:f>MAX(0,MIN('Activities'!L687,612)-MAX('Activities'!K687,606))</x:f>
        <x:v>0</x:v>
      </x:c>
      <x:c r="DC687" s="23" t="n">
        <x:f>MAX(0,MIN('Activities'!L687,618)-MAX('Activities'!K687,612))</x:f>
        <x:v>0</x:v>
      </x:c>
      <x:c r="DD687" s="23" t="n">
        <x:f>MAX(0,MIN('Activities'!L687,624)-MAX('Activities'!K687,618))</x:f>
        <x:v>0</x:v>
      </x:c>
      <x:c r="DE687" s="23" t="n">
        <x:f>MAX(0,MIN('Activities'!L687,630)-MAX('Activities'!K687,624))</x:f>
        <x:v>0</x:v>
      </x:c>
      <x:c r="DF687" s="23" t="n">
        <x:f>MAX(0,MIN('Activities'!L687,636)-MAX('Activities'!K687,630))</x:f>
        <x:v>0</x:v>
      </x:c>
    </x:row>
    <x:row r="688" ht="23" customHeight="1">
      <x:c r="A688" s="6" t="str">
        <x:v>T6-L01-H</x:v>
      </x:c>
      <x:c r="B688" s="6" t="str">
        <x:v>T6</x:v>
      </x:c>
      <x:c r="C688" s="6" t="str">
        <x:v>Curing and release hold point</x:v>
      </x:c>
      <x:c r="D688" s="6" t="str">
        <x:v>Site</x:v>
      </x:c>
      <x:c r="E688" s="22" t="n">
        <x:f>MAX(0,MIN('Activities'!L688,6)-MAX('Activities'!K688,0))</x:f>
        <x:v>0</x:v>
      </x:c>
      <x:c r="F688" s="22" t="n">
        <x:f>MAX(0,MIN('Activities'!L688,12)-MAX('Activities'!K688,6))</x:f>
        <x:v>0</x:v>
      </x:c>
      <x:c r="G688" s="22" t="n">
        <x:f>MAX(0,MIN('Activities'!L688,18)-MAX('Activities'!K688,12))</x:f>
        <x:v>0</x:v>
      </x:c>
      <x:c r="H688" s="22" t="n">
        <x:f>MAX(0,MIN('Activities'!L688,24)-MAX('Activities'!K688,18))</x:f>
        <x:v>0</x:v>
      </x:c>
      <x:c r="I688" s="22" t="n">
        <x:f>MAX(0,MIN('Activities'!L688,30)-MAX('Activities'!K688,24))</x:f>
        <x:v>0</x:v>
      </x:c>
      <x:c r="J688" s="22" t="n">
        <x:f>MAX(0,MIN('Activities'!L688,36)-MAX('Activities'!K688,30))</x:f>
        <x:v>0</x:v>
      </x:c>
      <x:c r="K688" s="22" t="n">
        <x:f>MAX(0,MIN('Activities'!L688,42)-MAX('Activities'!K688,36))</x:f>
        <x:v>0</x:v>
      </x:c>
      <x:c r="L688" s="22" t="n">
        <x:f>MAX(0,MIN('Activities'!L688,48)-MAX('Activities'!K688,42))</x:f>
        <x:v>0</x:v>
      </x:c>
      <x:c r="M688" s="22" t="n">
        <x:f>MAX(0,MIN('Activities'!L688,54)-MAX('Activities'!K688,48))</x:f>
        <x:v>0</x:v>
      </x:c>
      <x:c r="N688" s="22" t="n">
        <x:f>MAX(0,MIN('Activities'!L688,60)-MAX('Activities'!K688,54))</x:f>
        <x:v>0</x:v>
      </x:c>
      <x:c r="O688" s="22" t="n">
        <x:f>MAX(0,MIN('Activities'!L688,66)-MAX('Activities'!K688,60))</x:f>
        <x:v>0</x:v>
      </x:c>
      <x:c r="P688" s="22" t="n">
        <x:f>MAX(0,MIN('Activities'!L688,72)-MAX('Activities'!K688,66))</x:f>
        <x:v>0</x:v>
      </x:c>
      <x:c r="Q688" s="22" t="n">
        <x:f>MAX(0,MIN('Activities'!L688,78)-MAX('Activities'!K688,72))</x:f>
        <x:v>0</x:v>
      </x:c>
      <x:c r="R688" s="22" t="n">
        <x:f>MAX(0,MIN('Activities'!L688,84)-MAX('Activities'!K688,78))</x:f>
        <x:v>0</x:v>
      </x:c>
      <x:c r="S688" s="22" t="n">
        <x:f>MAX(0,MIN('Activities'!L688,90)-MAX('Activities'!K688,84))</x:f>
        <x:v>0</x:v>
      </x:c>
      <x:c r="T688" s="22" t="n">
        <x:f>MAX(0,MIN('Activities'!L688,96)-MAX('Activities'!K688,90))</x:f>
        <x:v>0</x:v>
      </x:c>
      <x:c r="U688" s="22" t="n">
        <x:f>MAX(0,MIN('Activities'!L688,102)-MAX('Activities'!K688,96))</x:f>
        <x:v>0</x:v>
      </x:c>
      <x:c r="V688" s="22" t="n">
        <x:f>MAX(0,MIN('Activities'!L688,108)-MAX('Activities'!K688,102))</x:f>
        <x:v>0</x:v>
      </x:c>
      <x:c r="W688" s="22" t="n">
        <x:f>MAX(0,MIN('Activities'!L688,114)-MAX('Activities'!K688,108))</x:f>
        <x:v>0</x:v>
      </x:c>
      <x:c r="X688" s="22" t="n">
        <x:f>MAX(0,MIN('Activities'!L688,120)-MAX('Activities'!K688,114))</x:f>
        <x:v>0</x:v>
      </x:c>
      <x:c r="Y688" s="22" t="n">
        <x:f>MAX(0,MIN('Activities'!L688,126)-MAX('Activities'!K688,120))</x:f>
        <x:v>0</x:v>
      </x:c>
      <x:c r="Z688" s="22" t="n">
        <x:f>MAX(0,MIN('Activities'!L688,132)-MAX('Activities'!K688,126))</x:f>
        <x:v>0</x:v>
      </x:c>
      <x:c r="AA688" s="22" t="n">
        <x:f>MAX(0,MIN('Activities'!L688,138)-MAX('Activities'!K688,132))</x:f>
        <x:v>0</x:v>
      </x:c>
      <x:c r="AB688" s="22" t="n">
        <x:f>MAX(0,MIN('Activities'!L688,144)-MAX('Activities'!K688,138))</x:f>
        <x:v>0</x:v>
      </x:c>
      <x:c r="AC688" s="22" t="n">
        <x:f>MAX(0,MIN('Activities'!L688,150)-MAX('Activities'!K688,144))</x:f>
        <x:v>0</x:v>
      </x:c>
      <x:c r="AD688" s="22" t="n">
        <x:f>MAX(0,MIN('Activities'!L688,156)-MAX('Activities'!K688,150))</x:f>
        <x:v>0</x:v>
      </x:c>
      <x:c r="AE688" s="22" t="n">
        <x:f>MAX(0,MIN('Activities'!L688,162)-MAX('Activities'!K688,156))</x:f>
        <x:v>0</x:v>
      </x:c>
      <x:c r="AF688" s="22" t="n">
        <x:f>MAX(0,MIN('Activities'!L688,168)-MAX('Activities'!K688,162))</x:f>
        <x:v>0</x:v>
      </x:c>
      <x:c r="AG688" s="22" t="n">
        <x:f>MAX(0,MIN('Activities'!L688,174)-MAX('Activities'!K688,168))</x:f>
        <x:v>0</x:v>
      </x:c>
      <x:c r="AH688" s="22" t="n">
        <x:f>MAX(0,MIN('Activities'!L688,180)-MAX('Activities'!K688,174))</x:f>
        <x:v>0</x:v>
      </x:c>
      <x:c r="AI688" s="22" t="n">
        <x:f>MAX(0,MIN('Activities'!L688,186)-MAX('Activities'!K688,180))</x:f>
        <x:v>0</x:v>
      </x:c>
      <x:c r="AJ688" s="22" t="n">
        <x:f>MAX(0,MIN('Activities'!L688,192)-MAX('Activities'!K688,186))</x:f>
        <x:v>0</x:v>
      </x:c>
      <x:c r="AK688" s="22" t="n">
        <x:f>MAX(0,MIN('Activities'!L688,198)-MAX('Activities'!K688,192))</x:f>
        <x:v>0</x:v>
      </x:c>
      <x:c r="AL688" s="22" t="n">
        <x:f>MAX(0,MIN('Activities'!L688,204)-MAX('Activities'!K688,198))</x:f>
        <x:v>0</x:v>
      </x:c>
      <x:c r="AM688" s="22" t="n">
        <x:f>MAX(0,MIN('Activities'!L688,210)-MAX('Activities'!K688,204))</x:f>
        <x:v>0</x:v>
      </x:c>
      <x:c r="AN688" s="22" t="n">
        <x:f>MAX(0,MIN('Activities'!L688,216)-MAX('Activities'!K688,210))</x:f>
        <x:v>0</x:v>
      </x:c>
      <x:c r="AO688" s="22" t="n">
        <x:f>MAX(0,MIN('Activities'!L688,222)-MAX('Activities'!K688,216))</x:f>
        <x:v>0</x:v>
      </x:c>
      <x:c r="AP688" s="22" t="n">
        <x:f>MAX(0,MIN('Activities'!L688,228)-MAX('Activities'!K688,222))</x:f>
        <x:v>3</x:v>
      </x:c>
      <x:c r="AQ688" s="22" t="n">
        <x:f>MAX(0,MIN('Activities'!L688,234)-MAX('Activities'!K688,228))</x:f>
        <x:v>2</x:v>
      </x:c>
      <x:c r="AR688" s="22" t="n">
        <x:f>MAX(0,MIN('Activities'!L688,240)-MAX('Activities'!K688,234))</x:f>
        <x:v>0</x:v>
      </x:c>
      <x:c r="AS688" s="22" t="n">
        <x:f>MAX(0,MIN('Activities'!L688,246)-MAX('Activities'!K688,240))</x:f>
        <x:v>0</x:v>
      </x:c>
      <x:c r="AT688" s="22" t="n">
        <x:f>MAX(0,MIN('Activities'!L688,252)-MAX('Activities'!K688,246))</x:f>
        <x:v>0</x:v>
      </x:c>
      <x:c r="AU688" s="22" t="n">
        <x:f>MAX(0,MIN('Activities'!L688,258)-MAX('Activities'!K688,252))</x:f>
        <x:v>0</x:v>
      </x:c>
      <x:c r="AV688" s="22" t="n">
        <x:f>MAX(0,MIN('Activities'!L688,264)-MAX('Activities'!K688,258))</x:f>
        <x:v>0</x:v>
      </x:c>
      <x:c r="AW688" s="22" t="n">
        <x:f>MAX(0,MIN('Activities'!L688,270)-MAX('Activities'!K688,264))</x:f>
        <x:v>0</x:v>
      </x:c>
      <x:c r="AX688" s="22" t="n">
        <x:f>MAX(0,MIN('Activities'!L688,276)-MAX('Activities'!K688,270))</x:f>
        <x:v>0</x:v>
      </x:c>
      <x:c r="AY688" s="22" t="n">
        <x:f>MAX(0,MIN('Activities'!L688,282)-MAX('Activities'!K688,276))</x:f>
        <x:v>0</x:v>
      </x:c>
      <x:c r="AZ688" s="22" t="n">
        <x:f>MAX(0,MIN('Activities'!L688,288)-MAX('Activities'!K688,282))</x:f>
        <x:v>0</x:v>
      </x:c>
      <x:c r="BA688" s="22" t="n">
        <x:f>MAX(0,MIN('Activities'!L688,294)-MAX('Activities'!K688,288))</x:f>
        <x:v>0</x:v>
      </x:c>
      <x:c r="BB688" s="22" t="n">
        <x:f>MAX(0,MIN('Activities'!L688,300)-MAX('Activities'!K688,294))</x:f>
        <x:v>0</x:v>
      </x:c>
      <x:c r="BC688" s="22" t="n">
        <x:f>MAX(0,MIN('Activities'!L688,306)-MAX('Activities'!K688,300))</x:f>
        <x:v>0</x:v>
      </x:c>
      <x:c r="BD688" s="22" t="n">
        <x:f>MAX(0,MIN('Activities'!L688,312)-MAX('Activities'!K688,306))</x:f>
        <x:v>0</x:v>
      </x:c>
      <x:c r="BE688" s="22" t="n">
        <x:f>MAX(0,MIN('Activities'!L688,318)-MAX('Activities'!K688,312))</x:f>
        <x:v>0</x:v>
      </x:c>
      <x:c r="BF688" s="22" t="n">
        <x:f>MAX(0,MIN('Activities'!L688,324)-MAX('Activities'!K688,318))</x:f>
        <x:v>0</x:v>
      </x:c>
      <x:c r="BG688" s="22" t="n">
        <x:f>MAX(0,MIN('Activities'!L688,330)-MAX('Activities'!K688,324))</x:f>
        <x:v>0</x:v>
      </x:c>
      <x:c r="BH688" s="22" t="n">
        <x:f>MAX(0,MIN('Activities'!L688,336)-MAX('Activities'!K688,330))</x:f>
        <x:v>0</x:v>
      </x:c>
      <x:c r="BI688" s="22" t="n">
        <x:f>MAX(0,MIN('Activities'!L688,342)-MAX('Activities'!K688,336))</x:f>
        <x:v>0</x:v>
      </x:c>
      <x:c r="BJ688" s="22" t="n">
        <x:f>MAX(0,MIN('Activities'!L688,348)-MAX('Activities'!K688,342))</x:f>
        <x:v>0</x:v>
      </x:c>
      <x:c r="BK688" s="22" t="n">
        <x:f>MAX(0,MIN('Activities'!L688,354)-MAX('Activities'!K688,348))</x:f>
        <x:v>0</x:v>
      </x:c>
      <x:c r="BL688" s="22" t="n">
        <x:f>MAX(0,MIN('Activities'!L688,360)-MAX('Activities'!K688,354))</x:f>
        <x:v>0</x:v>
      </x:c>
      <x:c r="BM688" s="22" t="n">
        <x:f>MAX(0,MIN('Activities'!L688,366)-MAX('Activities'!K688,360))</x:f>
        <x:v>0</x:v>
      </x:c>
      <x:c r="BN688" s="22" t="n">
        <x:f>MAX(0,MIN('Activities'!L688,372)-MAX('Activities'!K688,366))</x:f>
        <x:v>0</x:v>
      </x:c>
      <x:c r="BO688" s="22" t="n">
        <x:f>MAX(0,MIN('Activities'!L688,378)-MAX('Activities'!K688,372))</x:f>
        <x:v>0</x:v>
      </x:c>
      <x:c r="BP688" s="22" t="n">
        <x:f>MAX(0,MIN('Activities'!L688,384)-MAX('Activities'!K688,378))</x:f>
        <x:v>0</x:v>
      </x:c>
      <x:c r="BQ688" s="22" t="n">
        <x:f>MAX(0,MIN('Activities'!L688,390)-MAX('Activities'!K688,384))</x:f>
        <x:v>0</x:v>
      </x:c>
      <x:c r="BR688" s="22" t="n">
        <x:f>MAX(0,MIN('Activities'!L688,396)-MAX('Activities'!K688,390))</x:f>
        <x:v>0</x:v>
      </x:c>
      <x:c r="BS688" s="22" t="n">
        <x:f>MAX(0,MIN('Activities'!L688,402)-MAX('Activities'!K688,396))</x:f>
        <x:v>0</x:v>
      </x:c>
      <x:c r="BT688" s="22" t="n">
        <x:f>MAX(0,MIN('Activities'!L688,408)-MAX('Activities'!K688,402))</x:f>
        <x:v>0</x:v>
      </x:c>
      <x:c r="BU688" s="22" t="n">
        <x:f>MAX(0,MIN('Activities'!L688,414)-MAX('Activities'!K688,408))</x:f>
        <x:v>0</x:v>
      </x:c>
      <x:c r="BV688" s="22" t="n">
        <x:f>MAX(0,MIN('Activities'!L688,420)-MAX('Activities'!K688,414))</x:f>
        <x:v>0</x:v>
      </x:c>
      <x:c r="BW688" s="22" t="n">
        <x:f>MAX(0,MIN('Activities'!L688,426)-MAX('Activities'!K688,420))</x:f>
        <x:v>0</x:v>
      </x:c>
      <x:c r="BX688" s="22" t="n">
        <x:f>MAX(0,MIN('Activities'!L688,432)-MAX('Activities'!K688,426))</x:f>
        <x:v>0</x:v>
      </x:c>
      <x:c r="BY688" s="22" t="n">
        <x:f>MAX(0,MIN('Activities'!L688,438)-MAX('Activities'!K688,432))</x:f>
        <x:v>0</x:v>
      </x:c>
      <x:c r="BZ688" s="22" t="n">
        <x:f>MAX(0,MIN('Activities'!L688,444)-MAX('Activities'!K688,438))</x:f>
        <x:v>0</x:v>
      </x:c>
      <x:c r="CA688" s="22" t="n">
        <x:f>MAX(0,MIN('Activities'!L688,450)-MAX('Activities'!K688,444))</x:f>
        <x:v>0</x:v>
      </x:c>
      <x:c r="CB688" s="22" t="n">
        <x:f>MAX(0,MIN('Activities'!L688,456)-MAX('Activities'!K688,450))</x:f>
        <x:v>0</x:v>
      </x:c>
      <x:c r="CC688" s="22" t="n">
        <x:f>MAX(0,MIN('Activities'!L688,462)-MAX('Activities'!K688,456))</x:f>
        <x:v>0</x:v>
      </x:c>
      <x:c r="CD688" s="22" t="n">
        <x:f>MAX(0,MIN('Activities'!L688,468)-MAX('Activities'!K688,462))</x:f>
        <x:v>0</x:v>
      </x:c>
      <x:c r="CE688" s="22" t="n">
        <x:f>MAX(0,MIN('Activities'!L688,474)-MAX('Activities'!K688,468))</x:f>
        <x:v>0</x:v>
      </x:c>
      <x:c r="CF688" s="22" t="n">
        <x:f>MAX(0,MIN('Activities'!L688,480)-MAX('Activities'!K688,474))</x:f>
        <x:v>0</x:v>
      </x:c>
      <x:c r="CG688" s="22" t="n">
        <x:f>MAX(0,MIN('Activities'!L688,486)-MAX('Activities'!K688,480))</x:f>
        <x:v>0</x:v>
      </x:c>
      <x:c r="CH688" s="22" t="n">
        <x:f>MAX(0,MIN('Activities'!L688,492)-MAX('Activities'!K688,486))</x:f>
        <x:v>0</x:v>
      </x:c>
      <x:c r="CI688" s="22" t="n">
        <x:f>MAX(0,MIN('Activities'!L688,498)-MAX('Activities'!K688,492))</x:f>
        <x:v>0</x:v>
      </x:c>
      <x:c r="CJ688" s="22" t="n">
        <x:f>MAX(0,MIN('Activities'!L688,504)-MAX('Activities'!K688,498))</x:f>
        <x:v>0</x:v>
      </x:c>
      <x:c r="CK688" s="22" t="n">
        <x:f>MAX(0,MIN('Activities'!L688,510)-MAX('Activities'!K688,504))</x:f>
        <x:v>0</x:v>
      </x:c>
      <x:c r="CL688" s="22" t="n">
        <x:f>MAX(0,MIN('Activities'!L688,516)-MAX('Activities'!K688,510))</x:f>
        <x:v>0</x:v>
      </x:c>
      <x:c r="CM688" s="22" t="n">
        <x:f>MAX(0,MIN('Activities'!L688,522)-MAX('Activities'!K688,516))</x:f>
        <x:v>0</x:v>
      </x:c>
      <x:c r="CN688" s="22" t="n">
        <x:f>MAX(0,MIN('Activities'!L688,528)-MAX('Activities'!K688,522))</x:f>
        <x:v>0</x:v>
      </x:c>
      <x:c r="CO688" s="22" t="n">
        <x:f>MAX(0,MIN('Activities'!L688,534)-MAX('Activities'!K688,528))</x:f>
        <x:v>0</x:v>
      </x:c>
      <x:c r="CP688" s="22" t="n">
        <x:f>MAX(0,MIN('Activities'!L688,540)-MAX('Activities'!K688,534))</x:f>
        <x:v>0</x:v>
      </x:c>
      <x:c r="CQ688" s="22" t="n">
        <x:f>MAX(0,MIN('Activities'!L688,546)-MAX('Activities'!K688,540))</x:f>
        <x:v>0</x:v>
      </x:c>
      <x:c r="CR688" s="22" t="n">
        <x:f>MAX(0,MIN('Activities'!L688,552)-MAX('Activities'!K688,546))</x:f>
        <x:v>0</x:v>
      </x:c>
      <x:c r="CS688" s="22" t="n">
        <x:f>MAX(0,MIN('Activities'!L688,558)-MAX('Activities'!K688,552))</x:f>
        <x:v>0</x:v>
      </x:c>
      <x:c r="CT688" s="22" t="n">
        <x:f>MAX(0,MIN('Activities'!L688,564)-MAX('Activities'!K688,558))</x:f>
        <x:v>0</x:v>
      </x:c>
      <x:c r="CU688" s="22" t="n">
        <x:f>MAX(0,MIN('Activities'!L688,570)-MAX('Activities'!K688,564))</x:f>
        <x:v>0</x:v>
      </x:c>
      <x:c r="CV688" s="22" t="n">
        <x:f>MAX(0,MIN('Activities'!L688,576)-MAX('Activities'!K688,570))</x:f>
        <x:v>0</x:v>
      </x:c>
      <x:c r="CW688" s="22" t="n">
        <x:f>MAX(0,MIN('Activities'!L688,582)-MAX('Activities'!K688,576))</x:f>
        <x:v>0</x:v>
      </x:c>
      <x:c r="CX688" s="22" t="n">
        <x:f>MAX(0,MIN('Activities'!L688,588)-MAX('Activities'!K688,582))</x:f>
        <x:v>0</x:v>
      </x:c>
      <x:c r="CY688" s="22" t="n">
        <x:f>MAX(0,MIN('Activities'!L688,594)-MAX('Activities'!K688,588))</x:f>
        <x:v>0</x:v>
      </x:c>
      <x:c r="CZ688" s="22" t="n">
        <x:f>MAX(0,MIN('Activities'!L688,600)-MAX('Activities'!K688,594))</x:f>
        <x:v>0</x:v>
      </x:c>
      <x:c r="DA688" s="22" t="n">
        <x:f>MAX(0,MIN('Activities'!L688,606)-MAX('Activities'!K688,600))</x:f>
        <x:v>0</x:v>
      </x:c>
      <x:c r="DB688" s="22" t="n">
        <x:f>MAX(0,MIN('Activities'!L688,612)-MAX('Activities'!K688,606))</x:f>
        <x:v>0</x:v>
      </x:c>
      <x:c r="DC688" s="22" t="n">
        <x:f>MAX(0,MIN('Activities'!L688,618)-MAX('Activities'!K688,612))</x:f>
        <x:v>0</x:v>
      </x:c>
      <x:c r="DD688" s="22" t="n">
        <x:f>MAX(0,MIN('Activities'!L688,624)-MAX('Activities'!K688,618))</x:f>
        <x:v>0</x:v>
      </x:c>
      <x:c r="DE688" s="22" t="n">
        <x:f>MAX(0,MIN('Activities'!L688,630)-MAX('Activities'!K688,624))</x:f>
        <x:v>0</x:v>
      </x:c>
      <x:c r="DF688" s="22" t="n">
        <x:f>MAX(0,MIN('Activities'!L688,636)-MAX('Activities'!K688,630))</x:f>
        <x:v>0</x:v>
      </x:c>
    </x:row>
    <x:row r="689" ht="23" customHeight="1">
      <x:c r="A689" s="1" t="str">
        <x:v>T6-L02-F</x:v>
      </x:c>
      <x:c r="B689" s="1" t="str">
        <x:v>T6</x:v>
      </x:c>
      <x:c r="C689" s="1" t="str">
        <x:v>Columns, core and deck formwork</x:v>
      </x:c>
      <x:c r="D689" s="1" t="str">
        <x:v>Formwork</x:v>
      </x:c>
      <x:c r="E689" s="23" t="n">
        <x:f>MAX(0,MIN('Activities'!L689,6)-MAX('Activities'!K689,0))</x:f>
        <x:v>0</x:v>
      </x:c>
      <x:c r="F689" s="23" t="n">
        <x:f>MAX(0,MIN('Activities'!L689,12)-MAX('Activities'!K689,6))</x:f>
        <x:v>0</x:v>
      </x:c>
      <x:c r="G689" s="23" t="n">
        <x:f>MAX(0,MIN('Activities'!L689,18)-MAX('Activities'!K689,12))</x:f>
        <x:v>0</x:v>
      </x:c>
      <x:c r="H689" s="23" t="n">
        <x:f>MAX(0,MIN('Activities'!L689,24)-MAX('Activities'!K689,18))</x:f>
        <x:v>0</x:v>
      </x:c>
      <x:c r="I689" s="23" t="n">
        <x:f>MAX(0,MIN('Activities'!L689,30)-MAX('Activities'!K689,24))</x:f>
        <x:v>0</x:v>
      </x:c>
      <x:c r="J689" s="23" t="n">
        <x:f>MAX(0,MIN('Activities'!L689,36)-MAX('Activities'!K689,30))</x:f>
        <x:v>0</x:v>
      </x:c>
      <x:c r="K689" s="23" t="n">
        <x:f>MAX(0,MIN('Activities'!L689,42)-MAX('Activities'!K689,36))</x:f>
        <x:v>0</x:v>
      </x:c>
      <x:c r="L689" s="23" t="n">
        <x:f>MAX(0,MIN('Activities'!L689,48)-MAX('Activities'!K689,42))</x:f>
        <x:v>0</x:v>
      </x:c>
      <x:c r="M689" s="23" t="n">
        <x:f>MAX(0,MIN('Activities'!L689,54)-MAX('Activities'!K689,48))</x:f>
        <x:v>0</x:v>
      </x:c>
      <x:c r="N689" s="23" t="n">
        <x:f>MAX(0,MIN('Activities'!L689,60)-MAX('Activities'!K689,54))</x:f>
        <x:v>0</x:v>
      </x:c>
      <x:c r="O689" s="23" t="n">
        <x:f>MAX(0,MIN('Activities'!L689,66)-MAX('Activities'!K689,60))</x:f>
        <x:v>0</x:v>
      </x:c>
      <x:c r="P689" s="23" t="n">
        <x:f>MAX(0,MIN('Activities'!L689,72)-MAX('Activities'!K689,66))</x:f>
        <x:v>0</x:v>
      </x:c>
      <x:c r="Q689" s="23" t="n">
        <x:f>MAX(0,MIN('Activities'!L689,78)-MAX('Activities'!K689,72))</x:f>
        <x:v>0</x:v>
      </x:c>
      <x:c r="R689" s="23" t="n">
        <x:f>MAX(0,MIN('Activities'!L689,84)-MAX('Activities'!K689,78))</x:f>
        <x:v>0</x:v>
      </x:c>
      <x:c r="S689" s="23" t="n">
        <x:f>MAX(0,MIN('Activities'!L689,90)-MAX('Activities'!K689,84))</x:f>
        <x:v>0</x:v>
      </x:c>
      <x:c r="T689" s="23" t="n">
        <x:f>MAX(0,MIN('Activities'!L689,96)-MAX('Activities'!K689,90))</x:f>
        <x:v>0</x:v>
      </x:c>
      <x:c r="U689" s="23" t="n">
        <x:f>MAX(0,MIN('Activities'!L689,102)-MAX('Activities'!K689,96))</x:f>
        <x:v>0</x:v>
      </x:c>
      <x:c r="V689" s="23" t="n">
        <x:f>MAX(0,MIN('Activities'!L689,108)-MAX('Activities'!K689,102))</x:f>
        <x:v>0</x:v>
      </x:c>
      <x:c r="W689" s="23" t="n">
        <x:f>MAX(0,MIN('Activities'!L689,114)-MAX('Activities'!K689,108))</x:f>
        <x:v>0</x:v>
      </x:c>
      <x:c r="X689" s="23" t="n">
        <x:f>MAX(0,MIN('Activities'!L689,120)-MAX('Activities'!K689,114))</x:f>
        <x:v>0</x:v>
      </x:c>
      <x:c r="Y689" s="23" t="n">
        <x:f>MAX(0,MIN('Activities'!L689,126)-MAX('Activities'!K689,120))</x:f>
        <x:v>0</x:v>
      </x:c>
      <x:c r="Z689" s="23" t="n">
        <x:f>MAX(0,MIN('Activities'!L689,132)-MAX('Activities'!K689,126))</x:f>
        <x:v>0</x:v>
      </x:c>
      <x:c r="AA689" s="23" t="n">
        <x:f>MAX(0,MIN('Activities'!L689,138)-MAX('Activities'!K689,132))</x:f>
        <x:v>0</x:v>
      </x:c>
      <x:c r="AB689" s="23" t="n">
        <x:f>MAX(0,MIN('Activities'!L689,144)-MAX('Activities'!K689,138))</x:f>
        <x:v>0</x:v>
      </x:c>
      <x:c r="AC689" s="23" t="n">
        <x:f>MAX(0,MIN('Activities'!L689,150)-MAX('Activities'!K689,144))</x:f>
        <x:v>0</x:v>
      </x:c>
      <x:c r="AD689" s="23" t="n">
        <x:f>MAX(0,MIN('Activities'!L689,156)-MAX('Activities'!K689,150))</x:f>
        <x:v>0</x:v>
      </x:c>
      <x:c r="AE689" s="23" t="n">
        <x:f>MAX(0,MIN('Activities'!L689,162)-MAX('Activities'!K689,156))</x:f>
        <x:v>0</x:v>
      </x:c>
      <x:c r="AF689" s="23" t="n">
        <x:f>MAX(0,MIN('Activities'!L689,168)-MAX('Activities'!K689,162))</x:f>
        <x:v>0</x:v>
      </x:c>
      <x:c r="AG689" s="23" t="n">
        <x:f>MAX(0,MIN('Activities'!L689,174)-MAX('Activities'!K689,168))</x:f>
        <x:v>0</x:v>
      </x:c>
      <x:c r="AH689" s="23" t="n">
        <x:f>MAX(0,MIN('Activities'!L689,180)-MAX('Activities'!K689,174))</x:f>
        <x:v>0</x:v>
      </x:c>
      <x:c r="AI689" s="23" t="n">
        <x:f>MAX(0,MIN('Activities'!L689,186)-MAX('Activities'!K689,180))</x:f>
        <x:v>0</x:v>
      </x:c>
      <x:c r="AJ689" s="23" t="n">
        <x:f>MAX(0,MIN('Activities'!L689,192)-MAX('Activities'!K689,186))</x:f>
        <x:v>0</x:v>
      </x:c>
      <x:c r="AK689" s="23" t="n">
        <x:f>MAX(0,MIN('Activities'!L689,198)-MAX('Activities'!K689,192))</x:f>
        <x:v>0</x:v>
      </x:c>
      <x:c r="AL689" s="23" t="n">
        <x:f>MAX(0,MIN('Activities'!L689,204)-MAX('Activities'!K689,198))</x:f>
        <x:v>0</x:v>
      </x:c>
      <x:c r="AM689" s="23" t="n">
        <x:f>MAX(0,MIN('Activities'!L689,210)-MAX('Activities'!K689,204))</x:f>
        <x:v>0</x:v>
      </x:c>
      <x:c r="AN689" s="23" t="n">
        <x:f>MAX(0,MIN('Activities'!L689,216)-MAX('Activities'!K689,210))</x:f>
        <x:v>0</x:v>
      </x:c>
      <x:c r="AO689" s="23" t="n">
        <x:f>MAX(0,MIN('Activities'!L689,222)-MAX('Activities'!K689,216))</x:f>
        <x:v>0</x:v>
      </x:c>
      <x:c r="AP689" s="23" t="n">
        <x:f>MAX(0,MIN('Activities'!L689,228)-MAX('Activities'!K689,222))</x:f>
        <x:v>0</x:v>
      </x:c>
      <x:c r="AQ689" s="23" t="n">
        <x:f>MAX(0,MIN('Activities'!L689,234)-MAX('Activities'!K689,228))</x:f>
        <x:v>4</x:v>
      </x:c>
      <x:c r="AR689" s="23" t="n">
        <x:f>MAX(0,MIN('Activities'!L689,240)-MAX('Activities'!K689,234))</x:f>
        <x:v>2</x:v>
      </x:c>
      <x:c r="AS689" s="23" t="n">
        <x:f>MAX(0,MIN('Activities'!L689,246)-MAX('Activities'!K689,240))</x:f>
        <x:v>0</x:v>
      </x:c>
      <x:c r="AT689" s="23" t="n">
        <x:f>MAX(0,MIN('Activities'!L689,252)-MAX('Activities'!K689,246))</x:f>
        <x:v>0</x:v>
      </x:c>
      <x:c r="AU689" s="23" t="n">
        <x:f>MAX(0,MIN('Activities'!L689,258)-MAX('Activities'!K689,252))</x:f>
        <x:v>0</x:v>
      </x:c>
      <x:c r="AV689" s="23" t="n">
        <x:f>MAX(0,MIN('Activities'!L689,264)-MAX('Activities'!K689,258))</x:f>
        <x:v>0</x:v>
      </x:c>
      <x:c r="AW689" s="23" t="n">
        <x:f>MAX(0,MIN('Activities'!L689,270)-MAX('Activities'!K689,264))</x:f>
        <x:v>0</x:v>
      </x:c>
      <x:c r="AX689" s="23" t="n">
        <x:f>MAX(0,MIN('Activities'!L689,276)-MAX('Activities'!K689,270))</x:f>
        <x:v>0</x:v>
      </x:c>
      <x:c r="AY689" s="23" t="n">
        <x:f>MAX(0,MIN('Activities'!L689,282)-MAX('Activities'!K689,276))</x:f>
        <x:v>0</x:v>
      </x:c>
      <x:c r="AZ689" s="23" t="n">
        <x:f>MAX(0,MIN('Activities'!L689,288)-MAX('Activities'!K689,282))</x:f>
        <x:v>0</x:v>
      </x:c>
      <x:c r="BA689" s="23" t="n">
        <x:f>MAX(0,MIN('Activities'!L689,294)-MAX('Activities'!K689,288))</x:f>
        <x:v>0</x:v>
      </x:c>
      <x:c r="BB689" s="23" t="n">
        <x:f>MAX(0,MIN('Activities'!L689,300)-MAX('Activities'!K689,294))</x:f>
        <x:v>0</x:v>
      </x:c>
      <x:c r="BC689" s="23" t="n">
        <x:f>MAX(0,MIN('Activities'!L689,306)-MAX('Activities'!K689,300))</x:f>
        <x:v>0</x:v>
      </x:c>
      <x:c r="BD689" s="23" t="n">
        <x:f>MAX(0,MIN('Activities'!L689,312)-MAX('Activities'!K689,306))</x:f>
        <x:v>0</x:v>
      </x:c>
      <x:c r="BE689" s="23" t="n">
        <x:f>MAX(0,MIN('Activities'!L689,318)-MAX('Activities'!K689,312))</x:f>
        <x:v>0</x:v>
      </x:c>
      <x:c r="BF689" s="23" t="n">
        <x:f>MAX(0,MIN('Activities'!L689,324)-MAX('Activities'!K689,318))</x:f>
        <x:v>0</x:v>
      </x:c>
      <x:c r="BG689" s="23" t="n">
        <x:f>MAX(0,MIN('Activities'!L689,330)-MAX('Activities'!K689,324))</x:f>
        <x:v>0</x:v>
      </x:c>
      <x:c r="BH689" s="23" t="n">
        <x:f>MAX(0,MIN('Activities'!L689,336)-MAX('Activities'!K689,330))</x:f>
        <x:v>0</x:v>
      </x:c>
      <x:c r="BI689" s="23" t="n">
        <x:f>MAX(0,MIN('Activities'!L689,342)-MAX('Activities'!K689,336))</x:f>
        <x:v>0</x:v>
      </x:c>
      <x:c r="BJ689" s="23" t="n">
        <x:f>MAX(0,MIN('Activities'!L689,348)-MAX('Activities'!K689,342))</x:f>
        <x:v>0</x:v>
      </x:c>
      <x:c r="BK689" s="23" t="n">
        <x:f>MAX(0,MIN('Activities'!L689,354)-MAX('Activities'!K689,348))</x:f>
        <x:v>0</x:v>
      </x:c>
      <x:c r="BL689" s="23" t="n">
        <x:f>MAX(0,MIN('Activities'!L689,360)-MAX('Activities'!K689,354))</x:f>
        <x:v>0</x:v>
      </x:c>
      <x:c r="BM689" s="23" t="n">
        <x:f>MAX(0,MIN('Activities'!L689,366)-MAX('Activities'!K689,360))</x:f>
        <x:v>0</x:v>
      </x:c>
      <x:c r="BN689" s="23" t="n">
        <x:f>MAX(0,MIN('Activities'!L689,372)-MAX('Activities'!K689,366))</x:f>
        <x:v>0</x:v>
      </x:c>
      <x:c r="BO689" s="23" t="n">
        <x:f>MAX(0,MIN('Activities'!L689,378)-MAX('Activities'!K689,372))</x:f>
        <x:v>0</x:v>
      </x:c>
      <x:c r="BP689" s="23" t="n">
        <x:f>MAX(0,MIN('Activities'!L689,384)-MAX('Activities'!K689,378))</x:f>
        <x:v>0</x:v>
      </x:c>
      <x:c r="BQ689" s="23" t="n">
        <x:f>MAX(0,MIN('Activities'!L689,390)-MAX('Activities'!K689,384))</x:f>
        <x:v>0</x:v>
      </x:c>
      <x:c r="BR689" s="23" t="n">
        <x:f>MAX(0,MIN('Activities'!L689,396)-MAX('Activities'!K689,390))</x:f>
        <x:v>0</x:v>
      </x:c>
      <x:c r="BS689" s="23" t="n">
        <x:f>MAX(0,MIN('Activities'!L689,402)-MAX('Activities'!K689,396))</x:f>
        <x:v>0</x:v>
      </x:c>
      <x:c r="BT689" s="23" t="n">
        <x:f>MAX(0,MIN('Activities'!L689,408)-MAX('Activities'!K689,402))</x:f>
        <x:v>0</x:v>
      </x:c>
      <x:c r="BU689" s="23" t="n">
        <x:f>MAX(0,MIN('Activities'!L689,414)-MAX('Activities'!K689,408))</x:f>
        <x:v>0</x:v>
      </x:c>
      <x:c r="BV689" s="23" t="n">
        <x:f>MAX(0,MIN('Activities'!L689,420)-MAX('Activities'!K689,414))</x:f>
        <x:v>0</x:v>
      </x:c>
      <x:c r="BW689" s="23" t="n">
        <x:f>MAX(0,MIN('Activities'!L689,426)-MAX('Activities'!K689,420))</x:f>
        <x:v>0</x:v>
      </x:c>
      <x:c r="BX689" s="23" t="n">
        <x:f>MAX(0,MIN('Activities'!L689,432)-MAX('Activities'!K689,426))</x:f>
        <x:v>0</x:v>
      </x:c>
      <x:c r="BY689" s="23" t="n">
        <x:f>MAX(0,MIN('Activities'!L689,438)-MAX('Activities'!K689,432))</x:f>
        <x:v>0</x:v>
      </x:c>
      <x:c r="BZ689" s="23" t="n">
        <x:f>MAX(0,MIN('Activities'!L689,444)-MAX('Activities'!K689,438))</x:f>
        <x:v>0</x:v>
      </x:c>
      <x:c r="CA689" s="23" t="n">
        <x:f>MAX(0,MIN('Activities'!L689,450)-MAX('Activities'!K689,444))</x:f>
        <x:v>0</x:v>
      </x:c>
      <x:c r="CB689" s="23" t="n">
        <x:f>MAX(0,MIN('Activities'!L689,456)-MAX('Activities'!K689,450))</x:f>
        <x:v>0</x:v>
      </x:c>
      <x:c r="CC689" s="23" t="n">
        <x:f>MAX(0,MIN('Activities'!L689,462)-MAX('Activities'!K689,456))</x:f>
        <x:v>0</x:v>
      </x:c>
      <x:c r="CD689" s="23" t="n">
        <x:f>MAX(0,MIN('Activities'!L689,468)-MAX('Activities'!K689,462))</x:f>
        <x:v>0</x:v>
      </x:c>
      <x:c r="CE689" s="23" t="n">
        <x:f>MAX(0,MIN('Activities'!L689,474)-MAX('Activities'!K689,468))</x:f>
        <x:v>0</x:v>
      </x:c>
      <x:c r="CF689" s="23" t="n">
        <x:f>MAX(0,MIN('Activities'!L689,480)-MAX('Activities'!K689,474))</x:f>
        <x:v>0</x:v>
      </x:c>
      <x:c r="CG689" s="23" t="n">
        <x:f>MAX(0,MIN('Activities'!L689,486)-MAX('Activities'!K689,480))</x:f>
        <x:v>0</x:v>
      </x:c>
      <x:c r="CH689" s="23" t="n">
        <x:f>MAX(0,MIN('Activities'!L689,492)-MAX('Activities'!K689,486))</x:f>
        <x:v>0</x:v>
      </x:c>
      <x:c r="CI689" s="23" t="n">
        <x:f>MAX(0,MIN('Activities'!L689,498)-MAX('Activities'!K689,492))</x:f>
        <x:v>0</x:v>
      </x:c>
      <x:c r="CJ689" s="23" t="n">
        <x:f>MAX(0,MIN('Activities'!L689,504)-MAX('Activities'!K689,498))</x:f>
        <x:v>0</x:v>
      </x:c>
      <x:c r="CK689" s="23" t="n">
        <x:f>MAX(0,MIN('Activities'!L689,510)-MAX('Activities'!K689,504))</x:f>
        <x:v>0</x:v>
      </x:c>
      <x:c r="CL689" s="23" t="n">
        <x:f>MAX(0,MIN('Activities'!L689,516)-MAX('Activities'!K689,510))</x:f>
        <x:v>0</x:v>
      </x:c>
      <x:c r="CM689" s="23" t="n">
        <x:f>MAX(0,MIN('Activities'!L689,522)-MAX('Activities'!K689,516))</x:f>
        <x:v>0</x:v>
      </x:c>
      <x:c r="CN689" s="23" t="n">
        <x:f>MAX(0,MIN('Activities'!L689,528)-MAX('Activities'!K689,522))</x:f>
        <x:v>0</x:v>
      </x:c>
      <x:c r="CO689" s="23" t="n">
        <x:f>MAX(0,MIN('Activities'!L689,534)-MAX('Activities'!K689,528))</x:f>
        <x:v>0</x:v>
      </x:c>
      <x:c r="CP689" s="23" t="n">
        <x:f>MAX(0,MIN('Activities'!L689,540)-MAX('Activities'!K689,534))</x:f>
        <x:v>0</x:v>
      </x:c>
      <x:c r="CQ689" s="23" t="n">
        <x:f>MAX(0,MIN('Activities'!L689,546)-MAX('Activities'!K689,540))</x:f>
        <x:v>0</x:v>
      </x:c>
      <x:c r="CR689" s="23" t="n">
        <x:f>MAX(0,MIN('Activities'!L689,552)-MAX('Activities'!K689,546))</x:f>
        <x:v>0</x:v>
      </x:c>
      <x:c r="CS689" s="23" t="n">
        <x:f>MAX(0,MIN('Activities'!L689,558)-MAX('Activities'!K689,552))</x:f>
        <x:v>0</x:v>
      </x:c>
      <x:c r="CT689" s="23" t="n">
        <x:f>MAX(0,MIN('Activities'!L689,564)-MAX('Activities'!K689,558))</x:f>
        <x:v>0</x:v>
      </x:c>
      <x:c r="CU689" s="23" t="n">
        <x:f>MAX(0,MIN('Activities'!L689,570)-MAX('Activities'!K689,564))</x:f>
        <x:v>0</x:v>
      </x:c>
      <x:c r="CV689" s="23" t="n">
        <x:f>MAX(0,MIN('Activities'!L689,576)-MAX('Activities'!K689,570))</x:f>
        <x:v>0</x:v>
      </x:c>
      <x:c r="CW689" s="23" t="n">
        <x:f>MAX(0,MIN('Activities'!L689,582)-MAX('Activities'!K689,576))</x:f>
        <x:v>0</x:v>
      </x:c>
      <x:c r="CX689" s="23" t="n">
        <x:f>MAX(0,MIN('Activities'!L689,588)-MAX('Activities'!K689,582))</x:f>
        <x:v>0</x:v>
      </x:c>
      <x:c r="CY689" s="23" t="n">
        <x:f>MAX(0,MIN('Activities'!L689,594)-MAX('Activities'!K689,588))</x:f>
        <x:v>0</x:v>
      </x:c>
      <x:c r="CZ689" s="23" t="n">
        <x:f>MAX(0,MIN('Activities'!L689,600)-MAX('Activities'!K689,594))</x:f>
        <x:v>0</x:v>
      </x:c>
      <x:c r="DA689" s="23" t="n">
        <x:f>MAX(0,MIN('Activities'!L689,606)-MAX('Activities'!K689,600))</x:f>
        <x:v>0</x:v>
      </x:c>
      <x:c r="DB689" s="23" t="n">
        <x:f>MAX(0,MIN('Activities'!L689,612)-MAX('Activities'!K689,606))</x:f>
        <x:v>0</x:v>
      </x:c>
      <x:c r="DC689" s="23" t="n">
        <x:f>MAX(0,MIN('Activities'!L689,618)-MAX('Activities'!K689,612))</x:f>
        <x:v>0</x:v>
      </x:c>
      <x:c r="DD689" s="23" t="n">
        <x:f>MAX(0,MIN('Activities'!L689,624)-MAX('Activities'!K689,618))</x:f>
        <x:v>0</x:v>
      </x:c>
      <x:c r="DE689" s="23" t="n">
        <x:f>MAX(0,MIN('Activities'!L689,630)-MAX('Activities'!K689,624))</x:f>
        <x:v>0</x:v>
      </x:c>
      <x:c r="DF689" s="23" t="n">
        <x:f>MAX(0,MIN('Activities'!L689,636)-MAX('Activities'!K689,630))</x:f>
        <x:v>0</x:v>
      </x:c>
    </x:row>
    <x:row r="690" ht="23" customHeight="1">
      <x:c r="A690" s="6" t="str">
        <x:v>T6-L02-R</x:v>
      </x:c>
      <x:c r="B690" s="6" t="str">
        <x:v>T6</x:v>
      </x:c>
      <x:c r="C690" s="6" t="str">
        <x:v>Column, wall, beam and slab reinforcement</x:v>
      </x:c>
      <x:c r="D690" s="6" t="str">
        <x:v>Rebar</x:v>
      </x:c>
      <x:c r="E690" s="22" t="n">
        <x:f>MAX(0,MIN('Activities'!L690,6)-MAX('Activities'!K690,0))</x:f>
        <x:v>0</x:v>
      </x:c>
      <x:c r="F690" s="22" t="n">
        <x:f>MAX(0,MIN('Activities'!L690,12)-MAX('Activities'!K690,6))</x:f>
        <x:v>0</x:v>
      </x:c>
      <x:c r="G690" s="22" t="n">
        <x:f>MAX(0,MIN('Activities'!L690,18)-MAX('Activities'!K690,12))</x:f>
        <x:v>0</x:v>
      </x:c>
      <x:c r="H690" s="22" t="n">
        <x:f>MAX(0,MIN('Activities'!L690,24)-MAX('Activities'!K690,18))</x:f>
        <x:v>0</x:v>
      </x:c>
      <x:c r="I690" s="22" t="n">
        <x:f>MAX(0,MIN('Activities'!L690,30)-MAX('Activities'!K690,24))</x:f>
        <x:v>0</x:v>
      </x:c>
      <x:c r="J690" s="22" t="n">
        <x:f>MAX(0,MIN('Activities'!L690,36)-MAX('Activities'!K690,30))</x:f>
        <x:v>0</x:v>
      </x:c>
      <x:c r="K690" s="22" t="n">
        <x:f>MAX(0,MIN('Activities'!L690,42)-MAX('Activities'!K690,36))</x:f>
        <x:v>0</x:v>
      </x:c>
      <x:c r="L690" s="22" t="n">
        <x:f>MAX(0,MIN('Activities'!L690,48)-MAX('Activities'!K690,42))</x:f>
        <x:v>0</x:v>
      </x:c>
      <x:c r="M690" s="22" t="n">
        <x:f>MAX(0,MIN('Activities'!L690,54)-MAX('Activities'!K690,48))</x:f>
        <x:v>0</x:v>
      </x:c>
      <x:c r="N690" s="22" t="n">
        <x:f>MAX(0,MIN('Activities'!L690,60)-MAX('Activities'!K690,54))</x:f>
        <x:v>0</x:v>
      </x:c>
      <x:c r="O690" s="22" t="n">
        <x:f>MAX(0,MIN('Activities'!L690,66)-MAX('Activities'!K690,60))</x:f>
        <x:v>0</x:v>
      </x:c>
      <x:c r="P690" s="22" t="n">
        <x:f>MAX(0,MIN('Activities'!L690,72)-MAX('Activities'!K690,66))</x:f>
        <x:v>0</x:v>
      </x:c>
      <x:c r="Q690" s="22" t="n">
        <x:f>MAX(0,MIN('Activities'!L690,78)-MAX('Activities'!K690,72))</x:f>
        <x:v>0</x:v>
      </x:c>
      <x:c r="R690" s="22" t="n">
        <x:f>MAX(0,MIN('Activities'!L690,84)-MAX('Activities'!K690,78))</x:f>
        <x:v>0</x:v>
      </x:c>
      <x:c r="S690" s="22" t="n">
        <x:f>MAX(0,MIN('Activities'!L690,90)-MAX('Activities'!K690,84))</x:f>
        <x:v>0</x:v>
      </x:c>
      <x:c r="T690" s="22" t="n">
        <x:f>MAX(0,MIN('Activities'!L690,96)-MAX('Activities'!K690,90))</x:f>
        <x:v>0</x:v>
      </x:c>
      <x:c r="U690" s="22" t="n">
        <x:f>MAX(0,MIN('Activities'!L690,102)-MAX('Activities'!K690,96))</x:f>
        <x:v>0</x:v>
      </x:c>
      <x:c r="V690" s="22" t="n">
        <x:f>MAX(0,MIN('Activities'!L690,108)-MAX('Activities'!K690,102))</x:f>
        <x:v>0</x:v>
      </x:c>
      <x:c r="W690" s="22" t="n">
        <x:f>MAX(0,MIN('Activities'!L690,114)-MAX('Activities'!K690,108))</x:f>
        <x:v>0</x:v>
      </x:c>
      <x:c r="X690" s="22" t="n">
        <x:f>MAX(0,MIN('Activities'!L690,120)-MAX('Activities'!K690,114))</x:f>
        <x:v>0</x:v>
      </x:c>
      <x:c r="Y690" s="22" t="n">
        <x:f>MAX(0,MIN('Activities'!L690,126)-MAX('Activities'!K690,120))</x:f>
        <x:v>0</x:v>
      </x:c>
      <x:c r="Z690" s="22" t="n">
        <x:f>MAX(0,MIN('Activities'!L690,132)-MAX('Activities'!K690,126))</x:f>
        <x:v>0</x:v>
      </x:c>
      <x:c r="AA690" s="22" t="n">
        <x:f>MAX(0,MIN('Activities'!L690,138)-MAX('Activities'!K690,132))</x:f>
        <x:v>0</x:v>
      </x:c>
      <x:c r="AB690" s="22" t="n">
        <x:f>MAX(0,MIN('Activities'!L690,144)-MAX('Activities'!K690,138))</x:f>
        <x:v>0</x:v>
      </x:c>
      <x:c r="AC690" s="22" t="n">
        <x:f>MAX(0,MIN('Activities'!L690,150)-MAX('Activities'!K690,144))</x:f>
        <x:v>0</x:v>
      </x:c>
      <x:c r="AD690" s="22" t="n">
        <x:f>MAX(0,MIN('Activities'!L690,156)-MAX('Activities'!K690,150))</x:f>
        <x:v>0</x:v>
      </x:c>
      <x:c r="AE690" s="22" t="n">
        <x:f>MAX(0,MIN('Activities'!L690,162)-MAX('Activities'!K690,156))</x:f>
        <x:v>0</x:v>
      </x:c>
      <x:c r="AF690" s="22" t="n">
        <x:f>MAX(0,MIN('Activities'!L690,168)-MAX('Activities'!K690,162))</x:f>
        <x:v>0</x:v>
      </x:c>
      <x:c r="AG690" s="22" t="n">
        <x:f>MAX(0,MIN('Activities'!L690,174)-MAX('Activities'!K690,168))</x:f>
        <x:v>0</x:v>
      </x:c>
      <x:c r="AH690" s="22" t="n">
        <x:f>MAX(0,MIN('Activities'!L690,180)-MAX('Activities'!K690,174))</x:f>
        <x:v>0</x:v>
      </x:c>
      <x:c r="AI690" s="22" t="n">
        <x:f>MAX(0,MIN('Activities'!L690,186)-MAX('Activities'!K690,180))</x:f>
        <x:v>0</x:v>
      </x:c>
      <x:c r="AJ690" s="22" t="n">
        <x:f>MAX(0,MIN('Activities'!L690,192)-MAX('Activities'!K690,186))</x:f>
        <x:v>0</x:v>
      </x:c>
      <x:c r="AK690" s="22" t="n">
        <x:f>MAX(0,MIN('Activities'!L690,198)-MAX('Activities'!K690,192))</x:f>
        <x:v>0</x:v>
      </x:c>
      <x:c r="AL690" s="22" t="n">
        <x:f>MAX(0,MIN('Activities'!L690,204)-MAX('Activities'!K690,198))</x:f>
        <x:v>0</x:v>
      </x:c>
      <x:c r="AM690" s="22" t="n">
        <x:f>MAX(0,MIN('Activities'!L690,210)-MAX('Activities'!K690,204))</x:f>
        <x:v>0</x:v>
      </x:c>
      <x:c r="AN690" s="22" t="n">
        <x:f>MAX(0,MIN('Activities'!L690,216)-MAX('Activities'!K690,210))</x:f>
        <x:v>0</x:v>
      </x:c>
      <x:c r="AO690" s="22" t="n">
        <x:f>MAX(0,MIN('Activities'!L690,222)-MAX('Activities'!K690,216))</x:f>
        <x:v>0</x:v>
      </x:c>
      <x:c r="AP690" s="22" t="n">
        <x:f>MAX(0,MIN('Activities'!L690,228)-MAX('Activities'!K690,222))</x:f>
        <x:v>0</x:v>
      </x:c>
      <x:c r="AQ690" s="22" t="n">
        <x:f>MAX(0,MIN('Activities'!L690,234)-MAX('Activities'!K690,228))</x:f>
        <x:v>0</x:v>
      </x:c>
      <x:c r="AR690" s="22" t="n">
        <x:f>MAX(0,MIN('Activities'!L690,240)-MAX('Activities'!K690,234))</x:f>
        <x:v>4</x:v>
      </x:c>
      <x:c r="AS690" s="22" t="n">
        <x:f>MAX(0,MIN('Activities'!L690,246)-MAX('Activities'!K690,240))</x:f>
        <x:v>1</x:v>
      </x:c>
      <x:c r="AT690" s="22" t="n">
        <x:f>MAX(0,MIN('Activities'!L690,252)-MAX('Activities'!K690,246))</x:f>
        <x:v>0</x:v>
      </x:c>
      <x:c r="AU690" s="22" t="n">
        <x:f>MAX(0,MIN('Activities'!L690,258)-MAX('Activities'!K690,252))</x:f>
        <x:v>0</x:v>
      </x:c>
      <x:c r="AV690" s="22" t="n">
        <x:f>MAX(0,MIN('Activities'!L690,264)-MAX('Activities'!K690,258))</x:f>
        <x:v>0</x:v>
      </x:c>
      <x:c r="AW690" s="22" t="n">
        <x:f>MAX(0,MIN('Activities'!L690,270)-MAX('Activities'!K690,264))</x:f>
        <x:v>0</x:v>
      </x:c>
      <x:c r="AX690" s="22" t="n">
        <x:f>MAX(0,MIN('Activities'!L690,276)-MAX('Activities'!K690,270))</x:f>
        <x:v>0</x:v>
      </x:c>
      <x:c r="AY690" s="22" t="n">
        <x:f>MAX(0,MIN('Activities'!L690,282)-MAX('Activities'!K690,276))</x:f>
        <x:v>0</x:v>
      </x:c>
      <x:c r="AZ690" s="22" t="n">
        <x:f>MAX(0,MIN('Activities'!L690,288)-MAX('Activities'!K690,282))</x:f>
        <x:v>0</x:v>
      </x:c>
      <x:c r="BA690" s="22" t="n">
        <x:f>MAX(0,MIN('Activities'!L690,294)-MAX('Activities'!K690,288))</x:f>
        <x:v>0</x:v>
      </x:c>
      <x:c r="BB690" s="22" t="n">
        <x:f>MAX(0,MIN('Activities'!L690,300)-MAX('Activities'!K690,294))</x:f>
        <x:v>0</x:v>
      </x:c>
      <x:c r="BC690" s="22" t="n">
        <x:f>MAX(0,MIN('Activities'!L690,306)-MAX('Activities'!K690,300))</x:f>
        <x:v>0</x:v>
      </x:c>
      <x:c r="BD690" s="22" t="n">
        <x:f>MAX(0,MIN('Activities'!L690,312)-MAX('Activities'!K690,306))</x:f>
        <x:v>0</x:v>
      </x:c>
      <x:c r="BE690" s="22" t="n">
        <x:f>MAX(0,MIN('Activities'!L690,318)-MAX('Activities'!K690,312))</x:f>
        <x:v>0</x:v>
      </x:c>
      <x:c r="BF690" s="22" t="n">
        <x:f>MAX(0,MIN('Activities'!L690,324)-MAX('Activities'!K690,318))</x:f>
        <x:v>0</x:v>
      </x:c>
      <x:c r="BG690" s="22" t="n">
        <x:f>MAX(0,MIN('Activities'!L690,330)-MAX('Activities'!K690,324))</x:f>
        <x:v>0</x:v>
      </x:c>
      <x:c r="BH690" s="22" t="n">
        <x:f>MAX(0,MIN('Activities'!L690,336)-MAX('Activities'!K690,330))</x:f>
        <x:v>0</x:v>
      </x:c>
      <x:c r="BI690" s="22" t="n">
        <x:f>MAX(0,MIN('Activities'!L690,342)-MAX('Activities'!K690,336))</x:f>
        <x:v>0</x:v>
      </x:c>
      <x:c r="BJ690" s="22" t="n">
        <x:f>MAX(0,MIN('Activities'!L690,348)-MAX('Activities'!K690,342))</x:f>
        <x:v>0</x:v>
      </x:c>
      <x:c r="BK690" s="22" t="n">
        <x:f>MAX(0,MIN('Activities'!L690,354)-MAX('Activities'!K690,348))</x:f>
        <x:v>0</x:v>
      </x:c>
      <x:c r="BL690" s="22" t="n">
        <x:f>MAX(0,MIN('Activities'!L690,360)-MAX('Activities'!K690,354))</x:f>
        <x:v>0</x:v>
      </x:c>
      <x:c r="BM690" s="22" t="n">
        <x:f>MAX(0,MIN('Activities'!L690,366)-MAX('Activities'!K690,360))</x:f>
        <x:v>0</x:v>
      </x:c>
      <x:c r="BN690" s="22" t="n">
        <x:f>MAX(0,MIN('Activities'!L690,372)-MAX('Activities'!K690,366))</x:f>
        <x:v>0</x:v>
      </x:c>
      <x:c r="BO690" s="22" t="n">
        <x:f>MAX(0,MIN('Activities'!L690,378)-MAX('Activities'!K690,372))</x:f>
        <x:v>0</x:v>
      </x:c>
      <x:c r="BP690" s="22" t="n">
        <x:f>MAX(0,MIN('Activities'!L690,384)-MAX('Activities'!K690,378))</x:f>
        <x:v>0</x:v>
      </x:c>
      <x:c r="BQ690" s="22" t="n">
        <x:f>MAX(0,MIN('Activities'!L690,390)-MAX('Activities'!K690,384))</x:f>
        <x:v>0</x:v>
      </x:c>
      <x:c r="BR690" s="22" t="n">
        <x:f>MAX(0,MIN('Activities'!L690,396)-MAX('Activities'!K690,390))</x:f>
        <x:v>0</x:v>
      </x:c>
      <x:c r="BS690" s="22" t="n">
        <x:f>MAX(0,MIN('Activities'!L690,402)-MAX('Activities'!K690,396))</x:f>
        <x:v>0</x:v>
      </x:c>
      <x:c r="BT690" s="22" t="n">
        <x:f>MAX(0,MIN('Activities'!L690,408)-MAX('Activities'!K690,402))</x:f>
        <x:v>0</x:v>
      </x:c>
      <x:c r="BU690" s="22" t="n">
        <x:f>MAX(0,MIN('Activities'!L690,414)-MAX('Activities'!K690,408))</x:f>
        <x:v>0</x:v>
      </x:c>
      <x:c r="BV690" s="22" t="n">
        <x:f>MAX(0,MIN('Activities'!L690,420)-MAX('Activities'!K690,414))</x:f>
        <x:v>0</x:v>
      </x:c>
      <x:c r="BW690" s="22" t="n">
        <x:f>MAX(0,MIN('Activities'!L690,426)-MAX('Activities'!K690,420))</x:f>
        <x:v>0</x:v>
      </x:c>
      <x:c r="BX690" s="22" t="n">
        <x:f>MAX(0,MIN('Activities'!L690,432)-MAX('Activities'!K690,426))</x:f>
        <x:v>0</x:v>
      </x:c>
      <x:c r="BY690" s="22" t="n">
        <x:f>MAX(0,MIN('Activities'!L690,438)-MAX('Activities'!K690,432))</x:f>
        <x:v>0</x:v>
      </x:c>
      <x:c r="BZ690" s="22" t="n">
        <x:f>MAX(0,MIN('Activities'!L690,444)-MAX('Activities'!K690,438))</x:f>
        <x:v>0</x:v>
      </x:c>
      <x:c r="CA690" s="22" t="n">
        <x:f>MAX(0,MIN('Activities'!L690,450)-MAX('Activities'!K690,444))</x:f>
        <x:v>0</x:v>
      </x:c>
      <x:c r="CB690" s="22" t="n">
        <x:f>MAX(0,MIN('Activities'!L690,456)-MAX('Activities'!K690,450))</x:f>
        <x:v>0</x:v>
      </x:c>
      <x:c r="CC690" s="22" t="n">
        <x:f>MAX(0,MIN('Activities'!L690,462)-MAX('Activities'!K690,456))</x:f>
        <x:v>0</x:v>
      </x:c>
      <x:c r="CD690" s="22" t="n">
        <x:f>MAX(0,MIN('Activities'!L690,468)-MAX('Activities'!K690,462))</x:f>
        <x:v>0</x:v>
      </x:c>
      <x:c r="CE690" s="22" t="n">
        <x:f>MAX(0,MIN('Activities'!L690,474)-MAX('Activities'!K690,468))</x:f>
        <x:v>0</x:v>
      </x:c>
      <x:c r="CF690" s="22" t="n">
        <x:f>MAX(0,MIN('Activities'!L690,480)-MAX('Activities'!K690,474))</x:f>
        <x:v>0</x:v>
      </x:c>
      <x:c r="CG690" s="22" t="n">
        <x:f>MAX(0,MIN('Activities'!L690,486)-MAX('Activities'!K690,480))</x:f>
        <x:v>0</x:v>
      </x:c>
      <x:c r="CH690" s="22" t="n">
        <x:f>MAX(0,MIN('Activities'!L690,492)-MAX('Activities'!K690,486))</x:f>
        <x:v>0</x:v>
      </x:c>
      <x:c r="CI690" s="22" t="n">
        <x:f>MAX(0,MIN('Activities'!L690,498)-MAX('Activities'!K690,492))</x:f>
        <x:v>0</x:v>
      </x:c>
      <x:c r="CJ690" s="22" t="n">
        <x:f>MAX(0,MIN('Activities'!L690,504)-MAX('Activities'!K690,498))</x:f>
        <x:v>0</x:v>
      </x:c>
      <x:c r="CK690" s="22" t="n">
        <x:f>MAX(0,MIN('Activities'!L690,510)-MAX('Activities'!K690,504))</x:f>
        <x:v>0</x:v>
      </x:c>
      <x:c r="CL690" s="22" t="n">
        <x:f>MAX(0,MIN('Activities'!L690,516)-MAX('Activities'!K690,510))</x:f>
        <x:v>0</x:v>
      </x:c>
      <x:c r="CM690" s="22" t="n">
        <x:f>MAX(0,MIN('Activities'!L690,522)-MAX('Activities'!K690,516))</x:f>
        <x:v>0</x:v>
      </x:c>
      <x:c r="CN690" s="22" t="n">
        <x:f>MAX(0,MIN('Activities'!L690,528)-MAX('Activities'!K690,522))</x:f>
        <x:v>0</x:v>
      </x:c>
      <x:c r="CO690" s="22" t="n">
        <x:f>MAX(0,MIN('Activities'!L690,534)-MAX('Activities'!K690,528))</x:f>
        <x:v>0</x:v>
      </x:c>
      <x:c r="CP690" s="22" t="n">
        <x:f>MAX(0,MIN('Activities'!L690,540)-MAX('Activities'!K690,534))</x:f>
        <x:v>0</x:v>
      </x:c>
      <x:c r="CQ690" s="22" t="n">
        <x:f>MAX(0,MIN('Activities'!L690,546)-MAX('Activities'!K690,540))</x:f>
        <x:v>0</x:v>
      </x:c>
      <x:c r="CR690" s="22" t="n">
        <x:f>MAX(0,MIN('Activities'!L690,552)-MAX('Activities'!K690,546))</x:f>
        <x:v>0</x:v>
      </x:c>
      <x:c r="CS690" s="22" t="n">
        <x:f>MAX(0,MIN('Activities'!L690,558)-MAX('Activities'!K690,552))</x:f>
        <x:v>0</x:v>
      </x:c>
      <x:c r="CT690" s="22" t="n">
        <x:f>MAX(0,MIN('Activities'!L690,564)-MAX('Activities'!K690,558))</x:f>
        <x:v>0</x:v>
      </x:c>
      <x:c r="CU690" s="22" t="n">
        <x:f>MAX(0,MIN('Activities'!L690,570)-MAX('Activities'!K690,564))</x:f>
        <x:v>0</x:v>
      </x:c>
      <x:c r="CV690" s="22" t="n">
        <x:f>MAX(0,MIN('Activities'!L690,576)-MAX('Activities'!K690,570))</x:f>
        <x:v>0</x:v>
      </x:c>
      <x:c r="CW690" s="22" t="n">
        <x:f>MAX(0,MIN('Activities'!L690,582)-MAX('Activities'!K690,576))</x:f>
        <x:v>0</x:v>
      </x:c>
      <x:c r="CX690" s="22" t="n">
        <x:f>MAX(0,MIN('Activities'!L690,588)-MAX('Activities'!K690,582))</x:f>
        <x:v>0</x:v>
      </x:c>
      <x:c r="CY690" s="22" t="n">
        <x:f>MAX(0,MIN('Activities'!L690,594)-MAX('Activities'!K690,588))</x:f>
        <x:v>0</x:v>
      </x:c>
      <x:c r="CZ690" s="22" t="n">
        <x:f>MAX(0,MIN('Activities'!L690,600)-MAX('Activities'!K690,594))</x:f>
        <x:v>0</x:v>
      </x:c>
      <x:c r="DA690" s="22" t="n">
        <x:f>MAX(0,MIN('Activities'!L690,606)-MAX('Activities'!K690,600))</x:f>
        <x:v>0</x:v>
      </x:c>
      <x:c r="DB690" s="22" t="n">
        <x:f>MAX(0,MIN('Activities'!L690,612)-MAX('Activities'!K690,606))</x:f>
        <x:v>0</x:v>
      </x:c>
      <x:c r="DC690" s="22" t="n">
        <x:f>MAX(0,MIN('Activities'!L690,618)-MAX('Activities'!K690,612))</x:f>
        <x:v>0</x:v>
      </x:c>
      <x:c r="DD690" s="22" t="n">
        <x:f>MAX(0,MIN('Activities'!L690,624)-MAX('Activities'!K690,618))</x:f>
        <x:v>0</x:v>
      </x:c>
      <x:c r="DE690" s="22" t="n">
        <x:f>MAX(0,MIN('Activities'!L690,630)-MAX('Activities'!K690,624))</x:f>
        <x:v>0</x:v>
      </x:c>
      <x:c r="DF690" s="22" t="n">
        <x:f>MAX(0,MIN('Activities'!L690,636)-MAX('Activities'!K690,630))</x:f>
        <x:v>0</x:v>
      </x:c>
    </x:row>
    <x:row r="691" ht="23" customHeight="1">
      <x:c r="A691" s="1" t="str">
        <x:v>T6-L02-C</x:v>
      </x:c>
      <x:c r="B691" s="1" t="str">
        <x:v>T6</x:v>
      </x:c>
      <x:c r="C691" s="1" t="str">
        <x:v>Concrete placement and finishing</x:v>
      </x:c>
      <x:c r="D691" s="1" t="str">
        <x:v>Concrete</x:v>
      </x:c>
      <x:c r="E691" s="23" t="n">
        <x:f>MAX(0,MIN('Activities'!L691,6)-MAX('Activities'!K691,0))</x:f>
        <x:v>0</x:v>
      </x:c>
      <x:c r="F691" s="23" t="n">
        <x:f>MAX(0,MIN('Activities'!L691,12)-MAX('Activities'!K691,6))</x:f>
        <x:v>0</x:v>
      </x:c>
      <x:c r="G691" s="23" t="n">
        <x:f>MAX(0,MIN('Activities'!L691,18)-MAX('Activities'!K691,12))</x:f>
        <x:v>0</x:v>
      </x:c>
      <x:c r="H691" s="23" t="n">
        <x:f>MAX(0,MIN('Activities'!L691,24)-MAX('Activities'!K691,18))</x:f>
        <x:v>0</x:v>
      </x:c>
      <x:c r="I691" s="23" t="n">
        <x:f>MAX(0,MIN('Activities'!L691,30)-MAX('Activities'!K691,24))</x:f>
        <x:v>0</x:v>
      </x:c>
      <x:c r="J691" s="23" t="n">
        <x:f>MAX(0,MIN('Activities'!L691,36)-MAX('Activities'!K691,30))</x:f>
        <x:v>0</x:v>
      </x:c>
      <x:c r="K691" s="23" t="n">
        <x:f>MAX(0,MIN('Activities'!L691,42)-MAX('Activities'!K691,36))</x:f>
        <x:v>0</x:v>
      </x:c>
      <x:c r="L691" s="23" t="n">
        <x:f>MAX(0,MIN('Activities'!L691,48)-MAX('Activities'!K691,42))</x:f>
        <x:v>0</x:v>
      </x:c>
      <x:c r="M691" s="23" t="n">
        <x:f>MAX(0,MIN('Activities'!L691,54)-MAX('Activities'!K691,48))</x:f>
        <x:v>0</x:v>
      </x:c>
      <x:c r="N691" s="23" t="n">
        <x:f>MAX(0,MIN('Activities'!L691,60)-MAX('Activities'!K691,54))</x:f>
        <x:v>0</x:v>
      </x:c>
      <x:c r="O691" s="23" t="n">
        <x:f>MAX(0,MIN('Activities'!L691,66)-MAX('Activities'!K691,60))</x:f>
        <x:v>0</x:v>
      </x:c>
      <x:c r="P691" s="23" t="n">
        <x:f>MAX(0,MIN('Activities'!L691,72)-MAX('Activities'!K691,66))</x:f>
        <x:v>0</x:v>
      </x:c>
      <x:c r="Q691" s="23" t="n">
        <x:f>MAX(0,MIN('Activities'!L691,78)-MAX('Activities'!K691,72))</x:f>
        <x:v>0</x:v>
      </x:c>
      <x:c r="R691" s="23" t="n">
        <x:f>MAX(0,MIN('Activities'!L691,84)-MAX('Activities'!K691,78))</x:f>
        <x:v>0</x:v>
      </x:c>
      <x:c r="S691" s="23" t="n">
        <x:f>MAX(0,MIN('Activities'!L691,90)-MAX('Activities'!K691,84))</x:f>
        <x:v>0</x:v>
      </x:c>
      <x:c r="T691" s="23" t="n">
        <x:f>MAX(0,MIN('Activities'!L691,96)-MAX('Activities'!K691,90))</x:f>
        <x:v>0</x:v>
      </x:c>
      <x:c r="U691" s="23" t="n">
        <x:f>MAX(0,MIN('Activities'!L691,102)-MAX('Activities'!K691,96))</x:f>
        <x:v>0</x:v>
      </x:c>
      <x:c r="V691" s="23" t="n">
        <x:f>MAX(0,MIN('Activities'!L691,108)-MAX('Activities'!K691,102))</x:f>
        <x:v>0</x:v>
      </x:c>
      <x:c r="W691" s="23" t="n">
        <x:f>MAX(0,MIN('Activities'!L691,114)-MAX('Activities'!K691,108))</x:f>
        <x:v>0</x:v>
      </x:c>
      <x:c r="X691" s="23" t="n">
        <x:f>MAX(0,MIN('Activities'!L691,120)-MAX('Activities'!K691,114))</x:f>
        <x:v>0</x:v>
      </x:c>
      <x:c r="Y691" s="23" t="n">
        <x:f>MAX(0,MIN('Activities'!L691,126)-MAX('Activities'!K691,120))</x:f>
        <x:v>0</x:v>
      </x:c>
      <x:c r="Z691" s="23" t="n">
        <x:f>MAX(0,MIN('Activities'!L691,132)-MAX('Activities'!K691,126))</x:f>
        <x:v>0</x:v>
      </x:c>
      <x:c r="AA691" s="23" t="n">
        <x:f>MAX(0,MIN('Activities'!L691,138)-MAX('Activities'!K691,132))</x:f>
        <x:v>0</x:v>
      </x:c>
      <x:c r="AB691" s="23" t="n">
        <x:f>MAX(0,MIN('Activities'!L691,144)-MAX('Activities'!K691,138))</x:f>
        <x:v>0</x:v>
      </x:c>
      <x:c r="AC691" s="23" t="n">
        <x:f>MAX(0,MIN('Activities'!L691,150)-MAX('Activities'!K691,144))</x:f>
        <x:v>0</x:v>
      </x:c>
      <x:c r="AD691" s="23" t="n">
        <x:f>MAX(0,MIN('Activities'!L691,156)-MAX('Activities'!K691,150))</x:f>
        <x:v>0</x:v>
      </x:c>
      <x:c r="AE691" s="23" t="n">
        <x:f>MAX(0,MIN('Activities'!L691,162)-MAX('Activities'!K691,156))</x:f>
        <x:v>0</x:v>
      </x:c>
      <x:c r="AF691" s="23" t="n">
        <x:f>MAX(0,MIN('Activities'!L691,168)-MAX('Activities'!K691,162))</x:f>
        <x:v>0</x:v>
      </x:c>
      <x:c r="AG691" s="23" t="n">
        <x:f>MAX(0,MIN('Activities'!L691,174)-MAX('Activities'!K691,168))</x:f>
        <x:v>0</x:v>
      </x:c>
      <x:c r="AH691" s="23" t="n">
        <x:f>MAX(0,MIN('Activities'!L691,180)-MAX('Activities'!K691,174))</x:f>
        <x:v>0</x:v>
      </x:c>
      <x:c r="AI691" s="23" t="n">
        <x:f>MAX(0,MIN('Activities'!L691,186)-MAX('Activities'!K691,180))</x:f>
        <x:v>0</x:v>
      </x:c>
      <x:c r="AJ691" s="23" t="n">
        <x:f>MAX(0,MIN('Activities'!L691,192)-MAX('Activities'!K691,186))</x:f>
        <x:v>0</x:v>
      </x:c>
      <x:c r="AK691" s="23" t="n">
        <x:f>MAX(0,MIN('Activities'!L691,198)-MAX('Activities'!K691,192))</x:f>
        <x:v>0</x:v>
      </x:c>
      <x:c r="AL691" s="23" t="n">
        <x:f>MAX(0,MIN('Activities'!L691,204)-MAX('Activities'!K691,198))</x:f>
        <x:v>0</x:v>
      </x:c>
      <x:c r="AM691" s="23" t="n">
        <x:f>MAX(0,MIN('Activities'!L691,210)-MAX('Activities'!K691,204))</x:f>
        <x:v>0</x:v>
      </x:c>
      <x:c r="AN691" s="23" t="n">
        <x:f>MAX(0,MIN('Activities'!L691,216)-MAX('Activities'!K691,210))</x:f>
        <x:v>0</x:v>
      </x:c>
      <x:c r="AO691" s="23" t="n">
        <x:f>MAX(0,MIN('Activities'!L691,222)-MAX('Activities'!K691,216))</x:f>
        <x:v>0</x:v>
      </x:c>
      <x:c r="AP691" s="23" t="n">
        <x:f>MAX(0,MIN('Activities'!L691,228)-MAX('Activities'!K691,222))</x:f>
        <x:v>0</x:v>
      </x:c>
      <x:c r="AQ691" s="23" t="n">
        <x:f>MAX(0,MIN('Activities'!L691,234)-MAX('Activities'!K691,228))</x:f>
        <x:v>0</x:v>
      </x:c>
      <x:c r="AR691" s="23" t="n">
        <x:f>MAX(0,MIN('Activities'!L691,240)-MAX('Activities'!K691,234))</x:f>
        <x:v>0</x:v>
      </x:c>
      <x:c r="AS691" s="23" t="n">
        <x:f>MAX(0,MIN('Activities'!L691,246)-MAX('Activities'!K691,240))</x:f>
        <x:v>2</x:v>
      </x:c>
      <x:c r="AT691" s="23" t="n">
        <x:f>MAX(0,MIN('Activities'!L691,252)-MAX('Activities'!K691,246))</x:f>
        <x:v>0</x:v>
      </x:c>
      <x:c r="AU691" s="23" t="n">
        <x:f>MAX(0,MIN('Activities'!L691,258)-MAX('Activities'!K691,252))</x:f>
        <x:v>0</x:v>
      </x:c>
      <x:c r="AV691" s="23" t="n">
        <x:f>MAX(0,MIN('Activities'!L691,264)-MAX('Activities'!K691,258))</x:f>
        <x:v>0</x:v>
      </x:c>
      <x:c r="AW691" s="23" t="n">
        <x:f>MAX(0,MIN('Activities'!L691,270)-MAX('Activities'!K691,264))</x:f>
        <x:v>0</x:v>
      </x:c>
      <x:c r="AX691" s="23" t="n">
        <x:f>MAX(0,MIN('Activities'!L691,276)-MAX('Activities'!K691,270))</x:f>
        <x:v>0</x:v>
      </x:c>
      <x:c r="AY691" s="23" t="n">
        <x:f>MAX(0,MIN('Activities'!L691,282)-MAX('Activities'!K691,276))</x:f>
        <x:v>0</x:v>
      </x:c>
      <x:c r="AZ691" s="23" t="n">
        <x:f>MAX(0,MIN('Activities'!L691,288)-MAX('Activities'!K691,282))</x:f>
        <x:v>0</x:v>
      </x:c>
      <x:c r="BA691" s="23" t="n">
        <x:f>MAX(0,MIN('Activities'!L691,294)-MAX('Activities'!K691,288))</x:f>
        <x:v>0</x:v>
      </x:c>
      <x:c r="BB691" s="23" t="n">
        <x:f>MAX(0,MIN('Activities'!L691,300)-MAX('Activities'!K691,294))</x:f>
        <x:v>0</x:v>
      </x:c>
      <x:c r="BC691" s="23" t="n">
        <x:f>MAX(0,MIN('Activities'!L691,306)-MAX('Activities'!K691,300))</x:f>
        <x:v>0</x:v>
      </x:c>
      <x:c r="BD691" s="23" t="n">
        <x:f>MAX(0,MIN('Activities'!L691,312)-MAX('Activities'!K691,306))</x:f>
        <x:v>0</x:v>
      </x:c>
      <x:c r="BE691" s="23" t="n">
        <x:f>MAX(0,MIN('Activities'!L691,318)-MAX('Activities'!K691,312))</x:f>
        <x:v>0</x:v>
      </x:c>
      <x:c r="BF691" s="23" t="n">
        <x:f>MAX(0,MIN('Activities'!L691,324)-MAX('Activities'!K691,318))</x:f>
        <x:v>0</x:v>
      </x:c>
      <x:c r="BG691" s="23" t="n">
        <x:f>MAX(0,MIN('Activities'!L691,330)-MAX('Activities'!K691,324))</x:f>
        <x:v>0</x:v>
      </x:c>
      <x:c r="BH691" s="23" t="n">
        <x:f>MAX(0,MIN('Activities'!L691,336)-MAX('Activities'!K691,330))</x:f>
        <x:v>0</x:v>
      </x:c>
      <x:c r="BI691" s="23" t="n">
        <x:f>MAX(0,MIN('Activities'!L691,342)-MAX('Activities'!K691,336))</x:f>
        <x:v>0</x:v>
      </x:c>
      <x:c r="BJ691" s="23" t="n">
        <x:f>MAX(0,MIN('Activities'!L691,348)-MAX('Activities'!K691,342))</x:f>
        <x:v>0</x:v>
      </x:c>
      <x:c r="BK691" s="23" t="n">
        <x:f>MAX(0,MIN('Activities'!L691,354)-MAX('Activities'!K691,348))</x:f>
        <x:v>0</x:v>
      </x:c>
      <x:c r="BL691" s="23" t="n">
        <x:f>MAX(0,MIN('Activities'!L691,360)-MAX('Activities'!K691,354))</x:f>
        <x:v>0</x:v>
      </x:c>
      <x:c r="BM691" s="23" t="n">
        <x:f>MAX(0,MIN('Activities'!L691,366)-MAX('Activities'!K691,360))</x:f>
        <x:v>0</x:v>
      </x:c>
      <x:c r="BN691" s="23" t="n">
        <x:f>MAX(0,MIN('Activities'!L691,372)-MAX('Activities'!K691,366))</x:f>
        <x:v>0</x:v>
      </x:c>
      <x:c r="BO691" s="23" t="n">
        <x:f>MAX(0,MIN('Activities'!L691,378)-MAX('Activities'!K691,372))</x:f>
        <x:v>0</x:v>
      </x:c>
      <x:c r="BP691" s="23" t="n">
        <x:f>MAX(0,MIN('Activities'!L691,384)-MAX('Activities'!K691,378))</x:f>
        <x:v>0</x:v>
      </x:c>
      <x:c r="BQ691" s="23" t="n">
        <x:f>MAX(0,MIN('Activities'!L691,390)-MAX('Activities'!K691,384))</x:f>
        <x:v>0</x:v>
      </x:c>
      <x:c r="BR691" s="23" t="n">
        <x:f>MAX(0,MIN('Activities'!L691,396)-MAX('Activities'!K691,390))</x:f>
        <x:v>0</x:v>
      </x:c>
      <x:c r="BS691" s="23" t="n">
        <x:f>MAX(0,MIN('Activities'!L691,402)-MAX('Activities'!K691,396))</x:f>
        <x:v>0</x:v>
      </x:c>
      <x:c r="BT691" s="23" t="n">
        <x:f>MAX(0,MIN('Activities'!L691,408)-MAX('Activities'!K691,402))</x:f>
        <x:v>0</x:v>
      </x:c>
      <x:c r="BU691" s="23" t="n">
        <x:f>MAX(0,MIN('Activities'!L691,414)-MAX('Activities'!K691,408))</x:f>
        <x:v>0</x:v>
      </x:c>
      <x:c r="BV691" s="23" t="n">
        <x:f>MAX(0,MIN('Activities'!L691,420)-MAX('Activities'!K691,414))</x:f>
        <x:v>0</x:v>
      </x:c>
      <x:c r="BW691" s="23" t="n">
        <x:f>MAX(0,MIN('Activities'!L691,426)-MAX('Activities'!K691,420))</x:f>
        <x:v>0</x:v>
      </x:c>
      <x:c r="BX691" s="23" t="n">
        <x:f>MAX(0,MIN('Activities'!L691,432)-MAX('Activities'!K691,426))</x:f>
        <x:v>0</x:v>
      </x:c>
      <x:c r="BY691" s="23" t="n">
        <x:f>MAX(0,MIN('Activities'!L691,438)-MAX('Activities'!K691,432))</x:f>
        <x:v>0</x:v>
      </x:c>
      <x:c r="BZ691" s="23" t="n">
        <x:f>MAX(0,MIN('Activities'!L691,444)-MAX('Activities'!K691,438))</x:f>
        <x:v>0</x:v>
      </x:c>
      <x:c r="CA691" s="23" t="n">
        <x:f>MAX(0,MIN('Activities'!L691,450)-MAX('Activities'!K691,444))</x:f>
        <x:v>0</x:v>
      </x:c>
      <x:c r="CB691" s="23" t="n">
        <x:f>MAX(0,MIN('Activities'!L691,456)-MAX('Activities'!K691,450))</x:f>
        <x:v>0</x:v>
      </x:c>
      <x:c r="CC691" s="23" t="n">
        <x:f>MAX(0,MIN('Activities'!L691,462)-MAX('Activities'!K691,456))</x:f>
        <x:v>0</x:v>
      </x:c>
      <x:c r="CD691" s="23" t="n">
        <x:f>MAX(0,MIN('Activities'!L691,468)-MAX('Activities'!K691,462))</x:f>
        <x:v>0</x:v>
      </x:c>
      <x:c r="CE691" s="23" t="n">
        <x:f>MAX(0,MIN('Activities'!L691,474)-MAX('Activities'!K691,468))</x:f>
        <x:v>0</x:v>
      </x:c>
      <x:c r="CF691" s="23" t="n">
        <x:f>MAX(0,MIN('Activities'!L691,480)-MAX('Activities'!K691,474))</x:f>
        <x:v>0</x:v>
      </x:c>
      <x:c r="CG691" s="23" t="n">
        <x:f>MAX(0,MIN('Activities'!L691,486)-MAX('Activities'!K691,480))</x:f>
        <x:v>0</x:v>
      </x:c>
      <x:c r="CH691" s="23" t="n">
        <x:f>MAX(0,MIN('Activities'!L691,492)-MAX('Activities'!K691,486))</x:f>
        <x:v>0</x:v>
      </x:c>
      <x:c r="CI691" s="23" t="n">
        <x:f>MAX(0,MIN('Activities'!L691,498)-MAX('Activities'!K691,492))</x:f>
        <x:v>0</x:v>
      </x:c>
      <x:c r="CJ691" s="23" t="n">
        <x:f>MAX(0,MIN('Activities'!L691,504)-MAX('Activities'!K691,498))</x:f>
        <x:v>0</x:v>
      </x:c>
      <x:c r="CK691" s="23" t="n">
        <x:f>MAX(0,MIN('Activities'!L691,510)-MAX('Activities'!K691,504))</x:f>
        <x:v>0</x:v>
      </x:c>
      <x:c r="CL691" s="23" t="n">
        <x:f>MAX(0,MIN('Activities'!L691,516)-MAX('Activities'!K691,510))</x:f>
        <x:v>0</x:v>
      </x:c>
      <x:c r="CM691" s="23" t="n">
        <x:f>MAX(0,MIN('Activities'!L691,522)-MAX('Activities'!K691,516))</x:f>
        <x:v>0</x:v>
      </x:c>
      <x:c r="CN691" s="23" t="n">
        <x:f>MAX(0,MIN('Activities'!L691,528)-MAX('Activities'!K691,522))</x:f>
        <x:v>0</x:v>
      </x:c>
      <x:c r="CO691" s="23" t="n">
        <x:f>MAX(0,MIN('Activities'!L691,534)-MAX('Activities'!K691,528))</x:f>
        <x:v>0</x:v>
      </x:c>
      <x:c r="CP691" s="23" t="n">
        <x:f>MAX(0,MIN('Activities'!L691,540)-MAX('Activities'!K691,534))</x:f>
        <x:v>0</x:v>
      </x:c>
      <x:c r="CQ691" s="23" t="n">
        <x:f>MAX(0,MIN('Activities'!L691,546)-MAX('Activities'!K691,540))</x:f>
        <x:v>0</x:v>
      </x:c>
      <x:c r="CR691" s="23" t="n">
        <x:f>MAX(0,MIN('Activities'!L691,552)-MAX('Activities'!K691,546))</x:f>
        <x:v>0</x:v>
      </x:c>
      <x:c r="CS691" s="23" t="n">
        <x:f>MAX(0,MIN('Activities'!L691,558)-MAX('Activities'!K691,552))</x:f>
        <x:v>0</x:v>
      </x:c>
      <x:c r="CT691" s="23" t="n">
        <x:f>MAX(0,MIN('Activities'!L691,564)-MAX('Activities'!K691,558))</x:f>
        <x:v>0</x:v>
      </x:c>
      <x:c r="CU691" s="23" t="n">
        <x:f>MAX(0,MIN('Activities'!L691,570)-MAX('Activities'!K691,564))</x:f>
        <x:v>0</x:v>
      </x:c>
      <x:c r="CV691" s="23" t="n">
        <x:f>MAX(0,MIN('Activities'!L691,576)-MAX('Activities'!K691,570))</x:f>
        <x:v>0</x:v>
      </x:c>
      <x:c r="CW691" s="23" t="n">
        <x:f>MAX(0,MIN('Activities'!L691,582)-MAX('Activities'!K691,576))</x:f>
        <x:v>0</x:v>
      </x:c>
      <x:c r="CX691" s="23" t="n">
        <x:f>MAX(0,MIN('Activities'!L691,588)-MAX('Activities'!K691,582))</x:f>
        <x:v>0</x:v>
      </x:c>
      <x:c r="CY691" s="23" t="n">
        <x:f>MAX(0,MIN('Activities'!L691,594)-MAX('Activities'!K691,588))</x:f>
        <x:v>0</x:v>
      </x:c>
      <x:c r="CZ691" s="23" t="n">
        <x:f>MAX(0,MIN('Activities'!L691,600)-MAX('Activities'!K691,594))</x:f>
        <x:v>0</x:v>
      </x:c>
      <x:c r="DA691" s="23" t="n">
        <x:f>MAX(0,MIN('Activities'!L691,606)-MAX('Activities'!K691,600))</x:f>
        <x:v>0</x:v>
      </x:c>
      <x:c r="DB691" s="23" t="n">
        <x:f>MAX(0,MIN('Activities'!L691,612)-MAX('Activities'!K691,606))</x:f>
        <x:v>0</x:v>
      </x:c>
      <x:c r="DC691" s="23" t="n">
        <x:f>MAX(0,MIN('Activities'!L691,618)-MAX('Activities'!K691,612))</x:f>
        <x:v>0</x:v>
      </x:c>
      <x:c r="DD691" s="23" t="n">
        <x:f>MAX(0,MIN('Activities'!L691,624)-MAX('Activities'!K691,618))</x:f>
        <x:v>0</x:v>
      </x:c>
      <x:c r="DE691" s="23" t="n">
        <x:f>MAX(0,MIN('Activities'!L691,630)-MAX('Activities'!K691,624))</x:f>
        <x:v>0</x:v>
      </x:c>
      <x:c r="DF691" s="23" t="n">
        <x:f>MAX(0,MIN('Activities'!L691,636)-MAX('Activities'!K691,630))</x:f>
        <x:v>0</x:v>
      </x:c>
    </x:row>
    <x:row r="692" ht="23" customHeight="1">
      <x:c r="A692" s="6" t="str">
        <x:v>T6-L02-H</x:v>
      </x:c>
      <x:c r="B692" s="6" t="str">
        <x:v>T6</x:v>
      </x:c>
      <x:c r="C692" s="6" t="str">
        <x:v>Curing and release hold point</x:v>
      </x:c>
      <x:c r="D692" s="6" t="str">
        <x:v>Site</x:v>
      </x:c>
      <x:c r="E692" s="22" t="n">
        <x:f>MAX(0,MIN('Activities'!L692,6)-MAX('Activities'!K692,0))</x:f>
        <x:v>0</x:v>
      </x:c>
      <x:c r="F692" s="22" t="n">
        <x:f>MAX(0,MIN('Activities'!L692,12)-MAX('Activities'!K692,6))</x:f>
        <x:v>0</x:v>
      </x:c>
      <x:c r="G692" s="22" t="n">
        <x:f>MAX(0,MIN('Activities'!L692,18)-MAX('Activities'!K692,12))</x:f>
        <x:v>0</x:v>
      </x:c>
      <x:c r="H692" s="22" t="n">
        <x:f>MAX(0,MIN('Activities'!L692,24)-MAX('Activities'!K692,18))</x:f>
        <x:v>0</x:v>
      </x:c>
      <x:c r="I692" s="22" t="n">
        <x:f>MAX(0,MIN('Activities'!L692,30)-MAX('Activities'!K692,24))</x:f>
        <x:v>0</x:v>
      </x:c>
      <x:c r="J692" s="22" t="n">
        <x:f>MAX(0,MIN('Activities'!L692,36)-MAX('Activities'!K692,30))</x:f>
        <x:v>0</x:v>
      </x:c>
      <x:c r="K692" s="22" t="n">
        <x:f>MAX(0,MIN('Activities'!L692,42)-MAX('Activities'!K692,36))</x:f>
        <x:v>0</x:v>
      </x:c>
      <x:c r="L692" s="22" t="n">
        <x:f>MAX(0,MIN('Activities'!L692,48)-MAX('Activities'!K692,42))</x:f>
        <x:v>0</x:v>
      </x:c>
      <x:c r="M692" s="22" t="n">
        <x:f>MAX(0,MIN('Activities'!L692,54)-MAX('Activities'!K692,48))</x:f>
        <x:v>0</x:v>
      </x:c>
      <x:c r="N692" s="22" t="n">
        <x:f>MAX(0,MIN('Activities'!L692,60)-MAX('Activities'!K692,54))</x:f>
        <x:v>0</x:v>
      </x:c>
      <x:c r="O692" s="22" t="n">
        <x:f>MAX(0,MIN('Activities'!L692,66)-MAX('Activities'!K692,60))</x:f>
        <x:v>0</x:v>
      </x:c>
      <x:c r="P692" s="22" t="n">
        <x:f>MAX(0,MIN('Activities'!L692,72)-MAX('Activities'!K692,66))</x:f>
        <x:v>0</x:v>
      </x:c>
      <x:c r="Q692" s="22" t="n">
        <x:f>MAX(0,MIN('Activities'!L692,78)-MAX('Activities'!K692,72))</x:f>
        <x:v>0</x:v>
      </x:c>
      <x:c r="R692" s="22" t="n">
        <x:f>MAX(0,MIN('Activities'!L692,84)-MAX('Activities'!K692,78))</x:f>
        <x:v>0</x:v>
      </x:c>
      <x:c r="S692" s="22" t="n">
        <x:f>MAX(0,MIN('Activities'!L692,90)-MAX('Activities'!K692,84))</x:f>
        <x:v>0</x:v>
      </x:c>
      <x:c r="T692" s="22" t="n">
        <x:f>MAX(0,MIN('Activities'!L692,96)-MAX('Activities'!K692,90))</x:f>
        <x:v>0</x:v>
      </x:c>
      <x:c r="U692" s="22" t="n">
        <x:f>MAX(0,MIN('Activities'!L692,102)-MAX('Activities'!K692,96))</x:f>
        <x:v>0</x:v>
      </x:c>
      <x:c r="V692" s="22" t="n">
        <x:f>MAX(0,MIN('Activities'!L692,108)-MAX('Activities'!K692,102))</x:f>
        <x:v>0</x:v>
      </x:c>
      <x:c r="W692" s="22" t="n">
        <x:f>MAX(0,MIN('Activities'!L692,114)-MAX('Activities'!K692,108))</x:f>
        <x:v>0</x:v>
      </x:c>
      <x:c r="X692" s="22" t="n">
        <x:f>MAX(0,MIN('Activities'!L692,120)-MAX('Activities'!K692,114))</x:f>
        <x:v>0</x:v>
      </x:c>
      <x:c r="Y692" s="22" t="n">
        <x:f>MAX(0,MIN('Activities'!L692,126)-MAX('Activities'!K692,120))</x:f>
        <x:v>0</x:v>
      </x:c>
      <x:c r="Z692" s="22" t="n">
        <x:f>MAX(0,MIN('Activities'!L692,132)-MAX('Activities'!K692,126))</x:f>
        <x:v>0</x:v>
      </x:c>
      <x:c r="AA692" s="22" t="n">
        <x:f>MAX(0,MIN('Activities'!L692,138)-MAX('Activities'!K692,132))</x:f>
        <x:v>0</x:v>
      </x:c>
      <x:c r="AB692" s="22" t="n">
        <x:f>MAX(0,MIN('Activities'!L692,144)-MAX('Activities'!K692,138))</x:f>
        <x:v>0</x:v>
      </x:c>
      <x:c r="AC692" s="22" t="n">
        <x:f>MAX(0,MIN('Activities'!L692,150)-MAX('Activities'!K692,144))</x:f>
        <x:v>0</x:v>
      </x:c>
      <x:c r="AD692" s="22" t="n">
        <x:f>MAX(0,MIN('Activities'!L692,156)-MAX('Activities'!K692,150))</x:f>
        <x:v>0</x:v>
      </x:c>
      <x:c r="AE692" s="22" t="n">
        <x:f>MAX(0,MIN('Activities'!L692,162)-MAX('Activities'!K692,156))</x:f>
        <x:v>0</x:v>
      </x:c>
      <x:c r="AF692" s="22" t="n">
        <x:f>MAX(0,MIN('Activities'!L692,168)-MAX('Activities'!K692,162))</x:f>
        <x:v>0</x:v>
      </x:c>
      <x:c r="AG692" s="22" t="n">
        <x:f>MAX(0,MIN('Activities'!L692,174)-MAX('Activities'!K692,168))</x:f>
        <x:v>0</x:v>
      </x:c>
      <x:c r="AH692" s="22" t="n">
        <x:f>MAX(0,MIN('Activities'!L692,180)-MAX('Activities'!K692,174))</x:f>
        <x:v>0</x:v>
      </x:c>
      <x:c r="AI692" s="22" t="n">
        <x:f>MAX(0,MIN('Activities'!L692,186)-MAX('Activities'!K692,180))</x:f>
        <x:v>0</x:v>
      </x:c>
      <x:c r="AJ692" s="22" t="n">
        <x:f>MAX(0,MIN('Activities'!L692,192)-MAX('Activities'!K692,186))</x:f>
        <x:v>0</x:v>
      </x:c>
      <x:c r="AK692" s="22" t="n">
        <x:f>MAX(0,MIN('Activities'!L692,198)-MAX('Activities'!K692,192))</x:f>
        <x:v>0</x:v>
      </x:c>
      <x:c r="AL692" s="22" t="n">
        <x:f>MAX(0,MIN('Activities'!L692,204)-MAX('Activities'!K692,198))</x:f>
        <x:v>0</x:v>
      </x:c>
      <x:c r="AM692" s="22" t="n">
        <x:f>MAX(0,MIN('Activities'!L692,210)-MAX('Activities'!K692,204))</x:f>
        <x:v>0</x:v>
      </x:c>
      <x:c r="AN692" s="22" t="n">
        <x:f>MAX(0,MIN('Activities'!L692,216)-MAX('Activities'!K692,210))</x:f>
        <x:v>0</x:v>
      </x:c>
      <x:c r="AO692" s="22" t="n">
        <x:f>MAX(0,MIN('Activities'!L692,222)-MAX('Activities'!K692,216))</x:f>
        <x:v>0</x:v>
      </x:c>
      <x:c r="AP692" s="22" t="n">
        <x:f>MAX(0,MIN('Activities'!L692,228)-MAX('Activities'!K692,222))</x:f>
        <x:v>0</x:v>
      </x:c>
      <x:c r="AQ692" s="22" t="n">
        <x:f>MAX(0,MIN('Activities'!L692,234)-MAX('Activities'!K692,228))</x:f>
        <x:v>0</x:v>
      </x:c>
      <x:c r="AR692" s="22" t="n">
        <x:f>MAX(0,MIN('Activities'!L692,240)-MAX('Activities'!K692,234))</x:f>
        <x:v>0</x:v>
      </x:c>
      <x:c r="AS692" s="22" t="n">
        <x:f>MAX(0,MIN('Activities'!L692,246)-MAX('Activities'!K692,240))</x:f>
        <x:v>3</x:v>
      </x:c>
      <x:c r="AT692" s="22" t="n">
        <x:f>MAX(0,MIN('Activities'!L692,252)-MAX('Activities'!K692,246))</x:f>
        <x:v>2</x:v>
      </x:c>
      <x:c r="AU692" s="22" t="n">
        <x:f>MAX(0,MIN('Activities'!L692,258)-MAX('Activities'!K692,252))</x:f>
        <x:v>0</x:v>
      </x:c>
      <x:c r="AV692" s="22" t="n">
        <x:f>MAX(0,MIN('Activities'!L692,264)-MAX('Activities'!K692,258))</x:f>
        <x:v>0</x:v>
      </x:c>
      <x:c r="AW692" s="22" t="n">
        <x:f>MAX(0,MIN('Activities'!L692,270)-MAX('Activities'!K692,264))</x:f>
        <x:v>0</x:v>
      </x:c>
      <x:c r="AX692" s="22" t="n">
        <x:f>MAX(0,MIN('Activities'!L692,276)-MAX('Activities'!K692,270))</x:f>
        <x:v>0</x:v>
      </x:c>
      <x:c r="AY692" s="22" t="n">
        <x:f>MAX(0,MIN('Activities'!L692,282)-MAX('Activities'!K692,276))</x:f>
        <x:v>0</x:v>
      </x:c>
      <x:c r="AZ692" s="22" t="n">
        <x:f>MAX(0,MIN('Activities'!L692,288)-MAX('Activities'!K692,282))</x:f>
        <x:v>0</x:v>
      </x:c>
      <x:c r="BA692" s="22" t="n">
        <x:f>MAX(0,MIN('Activities'!L692,294)-MAX('Activities'!K692,288))</x:f>
        <x:v>0</x:v>
      </x:c>
      <x:c r="BB692" s="22" t="n">
        <x:f>MAX(0,MIN('Activities'!L692,300)-MAX('Activities'!K692,294))</x:f>
        <x:v>0</x:v>
      </x:c>
      <x:c r="BC692" s="22" t="n">
        <x:f>MAX(0,MIN('Activities'!L692,306)-MAX('Activities'!K692,300))</x:f>
        <x:v>0</x:v>
      </x:c>
      <x:c r="BD692" s="22" t="n">
        <x:f>MAX(0,MIN('Activities'!L692,312)-MAX('Activities'!K692,306))</x:f>
        <x:v>0</x:v>
      </x:c>
      <x:c r="BE692" s="22" t="n">
        <x:f>MAX(0,MIN('Activities'!L692,318)-MAX('Activities'!K692,312))</x:f>
        <x:v>0</x:v>
      </x:c>
      <x:c r="BF692" s="22" t="n">
        <x:f>MAX(0,MIN('Activities'!L692,324)-MAX('Activities'!K692,318))</x:f>
        <x:v>0</x:v>
      </x:c>
      <x:c r="BG692" s="22" t="n">
        <x:f>MAX(0,MIN('Activities'!L692,330)-MAX('Activities'!K692,324))</x:f>
        <x:v>0</x:v>
      </x:c>
      <x:c r="BH692" s="22" t="n">
        <x:f>MAX(0,MIN('Activities'!L692,336)-MAX('Activities'!K692,330))</x:f>
        <x:v>0</x:v>
      </x:c>
      <x:c r="BI692" s="22" t="n">
        <x:f>MAX(0,MIN('Activities'!L692,342)-MAX('Activities'!K692,336))</x:f>
        <x:v>0</x:v>
      </x:c>
      <x:c r="BJ692" s="22" t="n">
        <x:f>MAX(0,MIN('Activities'!L692,348)-MAX('Activities'!K692,342))</x:f>
        <x:v>0</x:v>
      </x:c>
      <x:c r="BK692" s="22" t="n">
        <x:f>MAX(0,MIN('Activities'!L692,354)-MAX('Activities'!K692,348))</x:f>
        <x:v>0</x:v>
      </x:c>
      <x:c r="BL692" s="22" t="n">
        <x:f>MAX(0,MIN('Activities'!L692,360)-MAX('Activities'!K692,354))</x:f>
        <x:v>0</x:v>
      </x:c>
      <x:c r="BM692" s="22" t="n">
        <x:f>MAX(0,MIN('Activities'!L692,366)-MAX('Activities'!K692,360))</x:f>
        <x:v>0</x:v>
      </x:c>
      <x:c r="BN692" s="22" t="n">
        <x:f>MAX(0,MIN('Activities'!L692,372)-MAX('Activities'!K692,366))</x:f>
        <x:v>0</x:v>
      </x:c>
      <x:c r="BO692" s="22" t="n">
        <x:f>MAX(0,MIN('Activities'!L692,378)-MAX('Activities'!K692,372))</x:f>
        <x:v>0</x:v>
      </x:c>
      <x:c r="BP692" s="22" t="n">
        <x:f>MAX(0,MIN('Activities'!L692,384)-MAX('Activities'!K692,378))</x:f>
        <x:v>0</x:v>
      </x:c>
      <x:c r="BQ692" s="22" t="n">
        <x:f>MAX(0,MIN('Activities'!L692,390)-MAX('Activities'!K692,384))</x:f>
        <x:v>0</x:v>
      </x:c>
      <x:c r="BR692" s="22" t="n">
        <x:f>MAX(0,MIN('Activities'!L692,396)-MAX('Activities'!K692,390))</x:f>
        <x:v>0</x:v>
      </x:c>
      <x:c r="BS692" s="22" t="n">
        <x:f>MAX(0,MIN('Activities'!L692,402)-MAX('Activities'!K692,396))</x:f>
        <x:v>0</x:v>
      </x:c>
      <x:c r="BT692" s="22" t="n">
        <x:f>MAX(0,MIN('Activities'!L692,408)-MAX('Activities'!K692,402))</x:f>
        <x:v>0</x:v>
      </x:c>
      <x:c r="BU692" s="22" t="n">
        <x:f>MAX(0,MIN('Activities'!L692,414)-MAX('Activities'!K692,408))</x:f>
        <x:v>0</x:v>
      </x:c>
      <x:c r="BV692" s="22" t="n">
        <x:f>MAX(0,MIN('Activities'!L692,420)-MAX('Activities'!K692,414))</x:f>
        <x:v>0</x:v>
      </x:c>
      <x:c r="BW692" s="22" t="n">
        <x:f>MAX(0,MIN('Activities'!L692,426)-MAX('Activities'!K692,420))</x:f>
        <x:v>0</x:v>
      </x:c>
      <x:c r="BX692" s="22" t="n">
        <x:f>MAX(0,MIN('Activities'!L692,432)-MAX('Activities'!K692,426))</x:f>
        <x:v>0</x:v>
      </x:c>
      <x:c r="BY692" s="22" t="n">
        <x:f>MAX(0,MIN('Activities'!L692,438)-MAX('Activities'!K692,432))</x:f>
        <x:v>0</x:v>
      </x:c>
      <x:c r="BZ692" s="22" t="n">
        <x:f>MAX(0,MIN('Activities'!L692,444)-MAX('Activities'!K692,438))</x:f>
        <x:v>0</x:v>
      </x:c>
      <x:c r="CA692" s="22" t="n">
        <x:f>MAX(0,MIN('Activities'!L692,450)-MAX('Activities'!K692,444))</x:f>
        <x:v>0</x:v>
      </x:c>
      <x:c r="CB692" s="22" t="n">
        <x:f>MAX(0,MIN('Activities'!L692,456)-MAX('Activities'!K692,450))</x:f>
        <x:v>0</x:v>
      </x:c>
      <x:c r="CC692" s="22" t="n">
        <x:f>MAX(0,MIN('Activities'!L692,462)-MAX('Activities'!K692,456))</x:f>
        <x:v>0</x:v>
      </x:c>
      <x:c r="CD692" s="22" t="n">
        <x:f>MAX(0,MIN('Activities'!L692,468)-MAX('Activities'!K692,462))</x:f>
        <x:v>0</x:v>
      </x:c>
      <x:c r="CE692" s="22" t="n">
        <x:f>MAX(0,MIN('Activities'!L692,474)-MAX('Activities'!K692,468))</x:f>
        <x:v>0</x:v>
      </x:c>
      <x:c r="CF692" s="22" t="n">
        <x:f>MAX(0,MIN('Activities'!L692,480)-MAX('Activities'!K692,474))</x:f>
        <x:v>0</x:v>
      </x:c>
      <x:c r="CG692" s="22" t="n">
        <x:f>MAX(0,MIN('Activities'!L692,486)-MAX('Activities'!K692,480))</x:f>
        <x:v>0</x:v>
      </x:c>
      <x:c r="CH692" s="22" t="n">
        <x:f>MAX(0,MIN('Activities'!L692,492)-MAX('Activities'!K692,486))</x:f>
        <x:v>0</x:v>
      </x:c>
      <x:c r="CI692" s="22" t="n">
        <x:f>MAX(0,MIN('Activities'!L692,498)-MAX('Activities'!K692,492))</x:f>
        <x:v>0</x:v>
      </x:c>
      <x:c r="CJ692" s="22" t="n">
        <x:f>MAX(0,MIN('Activities'!L692,504)-MAX('Activities'!K692,498))</x:f>
        <x:v>0</x:v>
      </x:c>
      <x:c r="CK692" s="22" t="n">
        <x:f>MAX(0,MIN('Activities'!L692,510)-MAX('Activities'!K692,504))</x:f>
        <x:v>0</x:v>
      </x:c>
      <x:c r="CL692" s="22" t="n">
        <x:f>MAX(0,MIN('Activities'!L692,516)-MAX('Activities'!K692,510))</x:f>
        <x:v>0</x:v>
      </x:c>
      <x:c r="CM692" s="22" t="n">
        <x:f>MAX(0,MIN('Activities'!L692,522)-MAX('Activities'!K692,516))</x:f>
        <x:v>0</x:v>
      </x:c>
      <x:c r="CN692" s="22" t="n">
        <x:f>MAX(0,MIN('Activities'!L692,528)-MAX('Activities'!K692,522))</x:f>
        <x:v>0</x:v>
      </x:c>
      <x:c r="CO692" s="22" t="n">
        <x:f>MAX(0,MIN('Activities'!L692,534)-MAX('Activities'!K692,528))</x:f>
        <x:v>0</x:v>
      </x:c>
      <x:c r="CP692" s="22" t="n">
        <x:f>MAX(0,MIN('Activities'!L692,540)-MAX('Activities'!K692,534))</x:f>
        <x:v>0</x:v>
      </x:c>
      <x:c r="CQ692" s="22" t="n">
        <x:f>MAX(0,MIN('Activities'!L692,546)-MAX('Activities'!K692,540))</x:f>
        <x:v>0</x:v>
      </x:c>
      <x:c r="CR692" s="22" t="n">
        <x:f>MAX(0,MIN('Activities'!L692,552)-MAX('Activities'!K692,546))</x:f>
        <x:v>0</x:v>
      </x:c>
      <x:c r="CS692" s="22" t="n">
        <x:f>MAX(0,MIN('Activities'!L692,558)-MAX('Activities'!K692,552))</x:f>
        <x:v>0</x:v>
      </x:c>
      <x:c r="CT692" s="22" t="n">
        <x:f>MAX(0,MIN('Activities'!L692,564)-MAX('Activities'!K692,558))</x:f>
        <x:v>0</x:v>
      </x:c>
      <x:c r="CU692" s="22" t="n">
        <x:f>MAX(0,MIN('Activities'!L692,570)-MAX('Activities'!K692,564))</x:f>
        <x:v>0</x:v>
      </x:c>
      <x:c r="CV692" s="22" t="n">
        <x:f>MAX(0,MIN('Activities'!L692,576)-MAX('Activities'!K692,570))</x:f>
        <x:v>0</x:v>
      </x:c>
      <x:c r="CW692" s="22" t="n">
        <x:f>MAX(0,MIN('Activities'!L692,582)-MAX('Activities'!K692,576))</x:f>
        <x:v>0</x:v>
      </x:c>
      <x:c r="CX692" s="22" t="n">
        <x:f>MAX(0,MIN('Activities'!L692,588)-MAX('Activities'!K692,582))</x:f>
        <x:v>0</x:v>
      </x:c>
      <x:c r="CY692" s="22" t="n">
        <x:f>MAX(0,MIN('Activities'!L692,594)-MAX('Activities'!K692,588))</x:f>
        <x:v>0</x:v>
      </x:c>
      <x:c r="CZ692" s="22" t="n">
        <x:f>MAX(0,MIN('Activities'!L692,600)-MAX('Activities'!K692,594))</x:f>
        <x:v>0</x:v>
      </x:c>
      <x:c r="DA692" s="22" t="n">
        <x:f>MAX(0,MIN('Activities'!L692,606)-MAX('Activities'!K692,600))</x:f>
        <x:v>0</x:v>
      </x:c>
      <x:c r="DB692" s="22" t="n">
        <x:f>MAX(0,MIN('Activities'!L692,612)-MAX('Activities'!K692,606))</x:f>
        <x:v>0</x:v>
      </x:c>
      <x:c r="DC692" s="22" t="n">
        <x:f>MAX(0,MIN('Activities'!L692,618)-MAX('Activities'!K692,612))</x:f>
        <x:v>0</x:v>
      </x:c>
      <x:c r="DD692" s="22" t="n">
        <x:f>MAX(0,MIN('Activities'!L692,624)-MAX('Activities'!K692,618))</x:f>
        <x:v>0</x:v>
      </x:c>
      <x:c r="DE692" s="22" t="n">
        <x:f>MAX(0,MIN('Activities'!L692,630)-MAX('Activities'!K692,624))</x:f>
        <x:v>0</x:v>
      </x:c>
      <x:c r="DF692" s="22" t="n">
        <x:f>MAX(0,MIN('Activities'!L692,636)-MAX('Activities'!K692,630))</x:f>
        <x:v>0</x:v>
      </x:c>
    </x:row>
    <x:row r="693" ht="23" customHeight="1">
      <x:c r="A693" s="1" t="str">
        <x:v>T6-L03-F</x:v>
      </x:c>
      <x:c r="B693" s="1" t="str">
        <x:v>T6</x:v>
      </x:c>
      <x:c r="C693" s="1" t="str">
        <x:v>Columns, core and deck formwork</x:v>
      </x:c>
      <x:c r="D693" s="1" t="str">
        <x:v>Formwork</x:v>
      </x:c>
      <x:c r="E693" s="23" t="n">
        <x:f>MAX(0,MIN('Activities'!L693,6)-MAX('Activities'!K693,0))</x:f>
        <x:v>0</x:v>
      </x:c>
      <x:c r="F693" s="23" t="n">
        <x:f>MAX(0,MIN('Activities'!L693,12)-MAX('Activities'!K693,6))</x:f>
        <x:v>0</x:v>
      </x:c>
      <x:c r="G693" s="23" t="n">
        <x:f>MAX(0,MIN('Activities'!L693,18)-MAX('Activities'!K693,12))</x:f>
        <x:v>0</x:v>
      </x:c>
      <x:c r="H693" s="23" t="n">
        <x:f>MAX(0,MIN('Activities'!L693,24)-MAX('Activities'!K693,18))</x:f>
        <x:v>0</x:v>
      </x:c>
      <x:c r="I693" s="23" t="n">
        <x:f>MAX(0,MIN('Activities'!L693,30)-MAX('Activities'!K693,24))</x:f>
        <x:v>0</x:v>
      </x:c>
      <x:c r="J693" s="23" t="n">
        <x:f>MAX(0,MIN('Activities'!L693,36)-MAX('Activities'!K693,30))</x:f>
        <x:v>0</x:v>
      </x:c>
      <x:c r="K693" s="23" t="n">
        <x:f>MAX(0,MIN('Activities'!L693,42)-MAX('Activities'!K693,36))</x:f>
        <x:v>0</x:v>
      </x:c>
      <x:c r="L693" s="23" t="n">
        <x:f>MAX(0,MIN('Activities'!L693,48)-MAX('Activities'!K693,42))</x:f>
        <x:v>0</x:v>
      </x:c>
      <x:c r="M693" s="23" t="n">
        <x:f>MAX(0,MIN('Activities'!L693,54)-MAX('Activities'!K693,48))</x:f>
        <x:v>0</x:v>
      </x:c>
      <x:c r="N693" s="23" t="n">
        <x:f>MAX(0,MIN('Activities'!L693,60)-MAX('Activities'!K693,54))</x:f>
        <x:v>0</x:v>
      </x:c>
      <x:c r="O693" s="23" t="n">
        <x:f>MAX(0,MIN('Activities'!L693,66)-MAX('Activities'!K693,60))</x:f>
        <x:v>0</x:v>
      </x:c>
      <x:c r="P693" s="23" t="n">
        <x:f>MAX(0,MIN('Activities'!L693,72)-MAX('Activities'!K693,66))</x:f>
        <x:v>0</x:v>
      </x:c>
      <x:c r="Q693" s="23" t="n">
        <x:f>MAX(0,MIN('Activities'!L693,78)-MAX('Activities'!K693,72))</x:f>
        <x:v>0</x:v>
      </x:c>
      <x:c r="R693" s="23" t="n">
        <x:f>MAX(0,MIN('Activities'!L693,84)-MAX('Activities'!K693,78))</x:f>
        <x:v>0</x:v>
      </x:c>
      <x:c r="S693" s="23" t="n">
        <x:f>MAX(0,MIN('Activities'!L693,90)-MAX('Activities'!K693,84))</x:f>
        <x:v>0</x:v>
      </x:c>
      <x:c r="T693" s="23" t="n">
        <x:f>MAX(0,MIN('Activities'!L693,96)-MAX('Activities'!K693,90))</x:f>
        <x:v>0</x:v>
      </x:c>
      <x:c r="U693" s="23" t="n">
        <x:f>MAX(0,MIN('Activities'!L693,102)-MAX('Activities'!K693,96))</x:f>
        <x:v>0</x:v>
      </x:c>
      <x:c r="V693" s="23" t="n">
        <x:f>MAX(0,MIN('Activities'!L693,108)-MAX('Activities'!K693,102))</x:f>
        <x:v>0</x:v>
      </x:c>
      <x:c r="W693" s="23" t="n">
        <x:f>MAX(0,MIN('Activities'!L693,114)-MAX('Activities'!K693,108))</x:f>
        <x:v>0</x:v>
      </x:c>
      <x:c r="X693" s="23" t="n">
        <x:f>MAX(0,MIN('Activities'!L693,120)-MAX('Activities'!K693,114))</x:f>
        <x:v>0</x:v>
      </x:c>
      <x:c r="Y693" s="23" t="n">
        <x:f>MAX(0,MIN('Activities'!L693,126)-MAX('Activities'!K693,120))</x:f>
        <x:v>0</x:v>
      </x:c>
      <x:c r="Z693" s="23" t="n">
        <x:f>MAX(0,MIN('Activities'!L693,132)-MAX('Activities'!K693,126))</x:f>
        <x:v>0</x:v>
      </x:c>
      <x:c r="AA693" s="23" t="n">
        <x:f>MAX(0,MIN('Activities'!L693,138)-MAX('Activities'!K693,132))</x:f>
        <x:v>0</x:v>
      </x:c>
      <x:c r="AB693" s="23" t="n">
        <x:f>MAX(0,MIN('Activities'!L693,144)-MAX('Activities'!K693,138))</x:f>
        <x:v>0</x:v>
      </x:c>
      <x:c r="AC693" s="23" t="n">
        <x:f>MAX(0,MIN('Activities'!L693,150)-MAX('Activities'!K693,144))</x:f>
        <x:v>0</x:v>
      </x:c>
      <x:c r="AD693" s="23" t="n">
        <x:f>MAX(0,MIN('Activities'!L693,156)-MAX('Activities'!K693,150))</x:f>
        <x:v>0</x:v>
      </x:c>
      <x:c r="AE693" s="23" t="n">
        <x:f>MAX(0,MIN('Activities'!L693,162)-MAX('Activities'!K693,156))</x:f>
        <x:v>0</x:v>
      </x:c>
      <x:c r="AF693" s="23" t="n">
        <x:f>MAX(0,MIN('Activities'!L693,168)-MAX('Activities'!K693,162))</x:f>
        <x:v>0</x:v>
      </x:c>
      <x:c r="AG693" s="23" t="n">
        <x:f>MAX(0,MIN('Activities'!L693,174)-MAX('Activities'!K693,168))</x:f>
        <x:v>0</x:v>
      </x:c>
      <x:c r="AH693" s="23" t="n">
        <x:f>MAX(0,MIN('Activities'!L693,180)-MAX('Activities'!K693,174))</x:f>
        <x:v>0</x:v>
      </x:c>
      <x:c r="AI693" s="23" t="n">
        <x:f>MAX(0,MIN('Activities'!L693,186)-MAX('Activities'!K693,180))</x:f>
        <x:v>0</x:v>
      </x:c>
      <x:c r="AJ693" s="23" t="n">
        <x:f>MAX(0,MIN('Activities'!L693,192)-MAX('Activities'!K693,186))</x:f>
        <x:v>0</x:v>
      </x:c>
      <x:c r="AK693" s="23" t="n">
        <x:f>MAX(0,MIN('Activities'!L693,198)-MAX('Activities'!K693,192))</x:f>
        <x:v>0</x:v>
      </x:c>
      <x:c r="AL693" s="23" t="n">
        <x:f>MAX(0,MIN('Activities'!L693,204)-MAX('Activities'!K693,198))</x:f>
        <x:v>0</x:v>
      </x:c>
      <x:c r="AM693" s="23" t="n">
        <x:f>MAX(0,MIN('Activities'!L693,210)-MAX('Activities'!K693,204))</x:f>
        <x:v>0</x:v>
      </x:c>
      <x:c r="AN693" s="23" t="n">
        <x:f>MAX(0,MIN('Activities'!L693,216)-MAX('Activities'!K693,210))</x:f>
        <x:v>0</x:v>
      </x:c>
      <x:c r="AO693" s="23" t="n">
        <x:f>MAX(0,MIN('Activities'!L693,222)-MAX('Activities'!K693,216))</x:f>
        <x:v>0</x:v>
      </x:c>
      <x:c r="AP693" s="23" t="n">
        <x:f>MAX(0,MIN('Activities'!L693,228)-MAX('Activities'!K693,222))</x:f>
        <x:v>0</x:v>
      </x:c>
      <x:c r="AQ693" s="23" t="n">
        <x:f>MAX(0,MIN('Activities'!L693,234)-MAX('Activities'!K693,228))</x:f>
        <x:v>0</x:v>
      </x:c>
      <x:c r="AR693" s="23" t="n">
        <x:f>MAX(0,MIN('Activities'!L693,240)-MAX('Activities'!K693,234))</x:f>
        <x:v>0</x:v>
      </x:c>
      <x:c r="AS693" s="23" t="n">
        <x:f>MAX(0,MIN('Activities'!L693,246)-MAX('Activities'!K693,240))</x:f>
        <x:v>0</x:v>
      </x:c>
      <x:c r="AT693" s="23" t="n">
        <x:f>MAX(0,MIN('Activities'!L693,252)-MAX('Activities'!K693,246))</x:f>
        <x:v>4</x:v>
      </x:c>
      <x:c r="AU693" s="23" t="n">
        <x:f>MAX(0,MIN('Activities'!L693,258)-MAX('Activities'!K693,252))</x:f>
        <x:v>2</x:v>
      </x:c>
      <x:c r="AV693" s="23" t="n">
        <x:f>MAX(0,MIN('Activities'!L693,264)-MAX('Activities'!K693,258))</x:f>
        <x:v>0</x:v>
      </x:c>
      <x:c r="AW693" s="23" t="n">
        <x:f>MAX(0,MIN('Activities'!L693,270)-MAX('Activities'!K693,264))</x:f>
        <x:v>0</x:v>
      </x:c>
      <x:c r="AX693" s="23" t="n">
        <x:f>MAX(0,MIN('Activities'!L693,276)-MAX('Activities'!K693,270))</x:f>
        <x:v>0</x:v>
      </x:c>
      <x:c r="AY693" s="23" t="n">
        <x:f>MAX(0,MIN('Activities'!L693,282)-MAX('Activities'!K693,276))</x:f>
        <x:v>0</x:v>
      </x:c>
      <x:c r="AZ693" s="23" t="n">
        <x:f>MAX(0,MIN('Activities'!L693,288)-MAX('Activities'!K693,282))</x:f>
        <x:v>0</x:v>
      </x:c>
      <x:c r="BA693" s="23" t="n">
        <x:f>MAX(0,MIN('Activities'!L693,294)-MAX('Activities'!K693,288))</x:f>
        <x:v>0</x:v>
      </x:c>
      <x:c r="BB693" s="23" t="n">
        <x:f>MAX(0,MIN('Activities'!L693,300)-MAX('Activities'!K693,294))</x:f>
        <x:v>0</x:v>
      </x:c>
      <x:c r="BC693" s="23" t="n">
        <x:f>MAX(0,MIN('Activities'!L693,306)-MAX('Activities'!K693,300))</x:f>
        <x:v>0</x:v>
      </x:c>
      <x:c r="BD693" s="23" t="n">
        <x:f>MAX(0,MIN('Activities'!L693,312)-MAX('Activities'!K693,306))</x:f>
        <x:v>0</x:v>
      </x:c>
      <x:c r="BE693" s="23" t="n">
        <x:f>MAX(0,MIN('Activities'!L693,318)-MAX('Activities'!K693,312))</x:f>
        <x:v>0</x:v>
      </x:c>
      <x:c r="BF693" s="23" t="n">
        <x:f>MAX(0,MIN('Activities'!L693,324)-MAX('Activities'!K693,318))</x:f>
        <x:v>0</x:v>
      </x:c>
      <x:c r="BG693" s="23" t="n">
        <x:f>MAX(0,MIN('Activities'!L693,330)-MAX('Activities'!K693,324))</x:f>
        <x:v>0</x:v>
      </x:c>
      <x:c r="BH693" s="23" t="n">
        <x:f>MAX(0,MIN('Activities'!L693,336)-MAX('Activities'!K693,330))</x:f>
        <x:v>0</x:v>
      </x:c>
      <x:c r="BI693" s="23" t="n">
        <x:f>MAX(0,MIN('Activities'!L693,342)-MAX('Activities'!K693,336))</x:f>
        <x:v>0</x:v>
      </x:c>
      <x:c r="BJ693" s="23" t="n">
        <x:f>MAX(0,MIN('Activities'!L693,348)-MAX('Activities'!K693,342))</x:f>
        <x:v>0</x:v>
      </x:c>
      <x:c r="BK693" s="23" t="n">
        <x:f>MAX(0,MIN('Activities'!L693,354)-MAX('Activities'!K693,348))</x:f>
        <x:v>0</x:v>
      </x:c>
      <x:c r="BL693" s="23" t="n">
        <x:f>MAX(0,MIN('Activities'!L693,360)-MAX('Activities'!K693,354))</x:f>
        <x:v>0</x:v>
      </x:c>
      <x:c r="BM693" s="23" t="n">
        <x:f>MAX(0,MIN('Activities'!L693,366)-MAX('Activities'!K693,360))</x:f>
        <x:v>0</x:v>
      </x:c>
      <x:c r="BN693" s="23" t="n">
        <x:f>MAX(0,MIN('Activities'!L693,372)-MAX('Activities'!K693,366))</x:f>
        <x:v>0</x:v>
      </x:c>
      <x:c r="BO693" s="23" t="n">
        <x:f>MAX(0,MIN('Activities'!L693,378)-MAX('Activities'!K693,372))</x:f>
        <x:v>0</x:v>
      </x:c>
      <x:c r="BP693" s="23" t="n">
        <x:f>MAX(0,MIN('Activities'!L693,384)-MAX('Activities'!K693,378))</x:f>
        <x:v>0</x:v>
      </x:c>
      <x:c r="BQ693" s="23" t="n">
        <x:f>MAX(0,MIN('Activities'!L693,390)-MAX('Activities'!K693,384))</x:f>
        <x:v>0</x:v>
      </x:c>
      <x:c r="BR693" s="23" t="n">
        <x:f>MAX(0,MIN('Activities'!L693,396)-MAX('Activities'!K693,390))</x:f>
        <x:v>0</x:v>
      </x:c>
      <x:c r="BS693" s="23" t="n">
        <x:f>MAX(0,MIN('Activities'!L693,402)-MAX('Activities'!K693,396))</x:f>
        <x:v>0</x:v>
      </x:c>
      <x:c r="BT693" s="23" t="n">
        <x:f>MAX(0,MIN('Activities'!L693,408)-MAX('Activities'!K693,402))</x:f>
        <x:v>0</x:v>
      </x:c>
      <x:c r="BU693" s="23" t="n">
        <x:f>MAX(0,MIN('Activities'!L693,414)-MAX('Activities'!K693,408))</x:f>
        <x:v>0</x:v>
      </x:c>
      <x:c r="BV693" s="23" t="n">
        <x:f>MAX(0,MIN('Activities'!L693,420)-MAX('Activities'!K693,414))</x:f>
        <x:v>0</x:v>
      </x:c>
      <x:c r="BW693" s="23" t="n">
        <x:f>MAX(0,MIN('Activities'!L693,426)-MAX('Activities'!K693,420))</x:f>
        <x:v>0</x:v>
      </x:c>
      <x:c r="BX693" s="23" t="n">
        <x:f>MAX(0,MIN('Activities'!L693,432)-MAX('Activities'!K693,426))</x:f>
        <x:v>0</x:v>
      </x:c>
      <x:c r="BY693" s="23" t="n">
        <x:f>MAX(0,MIN('Activities'!L693,438)-MAX('Activities'!K693,432))</x:f>
        <x:v>0</x:v>
      </x:c>
      <x:c r="BZ693" s="23" t="n">
        <x:f>MAX(0,MIN('Activities'!L693,444)-MAX('Activities'!K693,438))</x:f>
        <x:v>0</x:v>
      </x:c>
      <x:c r="CA693" s="23" t="n">
        <x:f>MAX(0,MIN('Activities'!L693,450)-MAX('Activities'!K693,444))</x:f>
        <x:v>0</x:v>
      </x:c>
      <x:c r="CB693" s="23" t="n">
        <x:f>MAX(0,MIN('Activities'!L693,456)-MAX('Activities'!K693,450))</x:f>
        <x:v>0</x:v>
      </x:c>
      <x:c r="CC693" s="23" t="n">
        <x:f>MAX(0,MIN('Activities'!L693,462)-MAX('Activities'!K693,456))</x:f>
        <x:v>0</x:v>
      </x:c>
      <x:c r="CD693" s="23" t="n">
        <x:f>MAX(0,MIN('Activities'!L693,468)-MAX('Activities'!K693,462))</x:f>
        <x:v>0</x:v>
      </x:c>
      <x:c r="CE693" s="23" t="n">
        <x:f>MAX(0,MIN('Activities'!L693,474)-MAX('Activities'!K693,468))</x:f>
        <x:v>0</x:v>
      </x:c>
      <x:c r="CF693" s="23" t="n">
        <x:f>MAX(0,MIN('Activities'!L693,480)-MAX('Activities'!K693,474))</x:f>
        <x:v>0</x:v>
      </x:c>
      <x:c r="CG693" s="23" t="n">
        <x:f>MAX(0,MIN('Activities'!L693,486)-MAX('Activities'!K693,480))</x:f>
        <x:v>0</x:v>
      </x:c>
      <x:c r="CH693" s="23" t="n">
        <x:f>MAX(0,MIN('Activities'!L693,492)-MAX('Activities'!K693,486))</x:f>
        <x:v>0</x:v>
      </x:c>
      <x:c r="CI693" s="23" t="n">
        <x:f>MAX(0,MIN('Activities'!L693,498)-MAX('Activities'!K693,492))</x:f>
        <x:v>0</x:v>
      </x:c>
      <x:c r="CJ693" s="23" t="n">
        <x:f>MAX(0,MIN('Activities'!L693,504)-MAX('Activities'!K693,498))</x:f>
        <x:v>0</x:v>
      </x:c>
      <x:c r="CK693" s="23" t="n">
        <x:f>MAX(0,MIN('Activities'!L693,510)-MAX('Activities'!K693,504))</x:f>
        <x:v>0</x:v>
      </x:c>
      <x:c r="CL693" s="23" t="n">
        <x:f>MAX(0,MIN('Activities'!L693,516)-MAX('Activities'!K693,510))</x:f>
        <x:v>0</x:v>
      </x:c>
      <x:c r="CM693" s="23" t="n">
        <x:f>MAX(0,MIN('Activities'!L693,522)-MAX('Activities'!K693,516))</x:f>
        <x:v>0</x:v>
      </x:c>
      <x:c r="CN693" s="23" t="n">
        <x:f>MAX(0,MIN('Activities'!L693,528)-MAX('Activities'!K693,522))</x:f>
        <x:v>0</x:v>
      </x:c>
      <x:c r="CO693" s="23" t="n">
        <x:f>MAX(0,MIN('Activities'!L693,534)-MAX('Activities'!K693,528))</x:f>
        <x:v>0</x:v>
      </x:c>
      <x:c r="CP693" s="23" t="n">
        <x:f>MAX(0,MIN('Activities'!L693,540)-MAX('Activities'!K693,534))</x:f>
        <x:v>0</x:v>
      </x:c>
      <x:c r="CQ693" s="23" t="n">
        <x:f>MAX(0,MIN('Activities'!L693,546)-MAX('Activities'!K693,540))</x:f>
        <x:v>0</x:v>
      </x:c>
      <x:c r="CR693" s="23" t="n">
        <x:f>MAX(0,MIN('Activities'!L693,552)-MAX('Activities'!K693,546))</x:f>
        <x:v>0</x:v>
      </x:c>
      <x:c r="CS693" s="23" t="n">
        <x:f>MAX(0,MIN('Activities'!L693,558)-MAX('Activities'!K693,552))</x:f>
        <x:v>0</x:v>
      </x:c>
      <x:c r="CT693" s="23" t="n">
        <x:f>MAX(0,MIN('Activities'!L693,564)-MAX('Activities'!K693,558))</x:f>
        <x:v>0</x:v>
      </x:c>
      <x:c r="CU693" s="23" t="n">
        <x:f>MAX(0,MIN('Activities'!L693,570)-MAX('Activities'!K693,564))</x:f>
        <x:v>0</x:v>
      </x:c>
      <x:c r="CV693" s="23" t="n">
        <x:f>MAX(0,MIN('Activities'!L693,576)-MAX('Activities'!K693,570))</x:f>
        <x:v>0</x:v>
      </x:c>
      <x:c r="CW693" s="23" t="n">
        <x:f>MAX(0,MIN('Activities'!L693,582)-MAX('Activities'!K693,576))</x:f>
        <x:v>0</x:v>
      </x:c>
      <x:c r="CX693" s="23" t="n">
        <x:f>MAX(0,MIN('Activities'!L693,588)-MAX('Activities'!K693,582))</x:f>
        <x:v>0</x:v>
      </x:c>
      <x:c r="CY693" s="23" t="n">
        <x:f>MAX(0,MIN('Activities'!L693,594)-MAX('Activities'!K693,588))</x:f>
        <x:v>0</x:v>
      </x:c>
      <x:c r="CZ693" s="23" t="n">
        <x:f>MAX(0,MIN('Activities'!L693,600)-MAX('Activities'!K693,594))</x:f>
        <x:v>0</x:v>
      </x:c>
      <x:c r="DA693" s="23" t="n">
        <x:f>MAX(0,MIN('Activities'!L693,606)-MAX('Activities'!K693,600))</x:f>
        <x:v>0</x:v>
      </x:c>
      <x:c r="DB693" s="23" t="n">
        <x:f>MAX(0,MIN('Activities'!L693,612)-MAX('Activities'!K693,606))</x:f>
        <x:v>0</x:v>
      </x:c>
      <x:c r="DC693" s="23" t="n">
        <x:f>MAX(0,MIN('Activities'!L693,618)-MAX('Activities'!K693,612))</x:f>
        <x:v>0</x:v>
      </x:c>
      <x:c r="DD693" s="23" t="n">
        <x:f>MAX(0,MIN('Activities'!L693,624)-MAX('Activities'!K693,618))</x:f>
        <x:v>0</x:v>
      </x:c>
      <x:c r="DE693" s="23" t="n">
        <x:f>MAX(0,MIN('Activities'!L693,630)-MAX('Activities'!K693,624))</x:f>
        <x:v>0</x:v>
      </x:c>
      <x:c r="DF693" s="23" t="n">
        <x:f>MAX(0,MIN('Activities'!L693,636)-MAX('Activities'!K693,630))</x:f>
        <x:v>0</x:v>
      </x:c>
    </x:row>
    <x:row r="694" ht="23" customHeight="1">
      <x:c r="A694" s="6" t="str">
        <x:v>T6-L03-R</x:v>
      </x:c>
      <x:c r="B694" s="6" t="str">
        <x:v>T6</x:v>
      </x:c>
      <x:c r="C694" s="6" t="str">
        <x:v>Column, wall, beam and slab reinforcement</x:v>
      </x:c>
      <x:c r="D694" s="6" t="str">
        <x:v>Rebar</x:v>
      </x:c>
      <x:c r="E694" s="22" t="n">
        <x:f>MAX(0,MIN('Activities'!L694,6)-MAX('Activities'!K694,0))</x:f>
        <x:v>0</x:v>
      </x:c>
      <x:c r="F694" s="22" t="n">
        <x:f>MAX(0,MIN('Activities'!L694,12)-MAX('Activities'!K694,6))</x:f>
        <x:v>0</x:v>
      </x:c>
      <x:c r="G694" s="22" t="n">
        <x:f>MAX(0,MIN('Activities'!L694,18)-MAX('Activities'!K694,12))</x:f>
        <x:v>0</x:v>
      </x:c>
      <x:c r="H694" s="22" t="n">
        <x:f>MAX(0,MIN('Activities'!L694,24)-MAX('Activities'!K694,18))</x:f>
        <x:v>0</x:v>
      </x:c>
      <x:c r="I694" s="22" t="n">
        <x:f>MAX(0,MIN('Activities'!L694,30)-MAX('Activities'!K694,24))</x:f>
        <x:v>0</x:v>
      </x:c>
      <x:c r="J694" s="22" t="n">
        <x:f>MAX(0,MIN('Activities'!L694,36)-MAX('Activities'!K694,30))</x:f>
        <x:v>0</x:v>
      </x:c>
      <x:c r="K694" s="22" t="n">
        <x:f>MAX(0,MIN('Activities'!L694,42)-MAX('Activities'!K694,36))</x:f>
        <x:v>0</x:v>
      </x:c>
      <x:c r="L694" s="22" t="n">
        <x:f>MAX(0,MIN('Activities'!L694,48)-MAX('Activities'!K694,42))</x:f>
        <x:v>0</x:v>
      </x:c>
      <x:c r="M694" s="22" t="n">
        <x:f>MAX(0,MIN('Activities'!L694,54)-MAX('Activities'!K694,48))</x:f>
        <x:v>0</x:v>
      </x:c>
      <x:c r="N694" s="22" t="n">
        <x:f>MAX(0,MIN('Activities'!L694,60)-MAX('Activities'!K694,54))</x:f>
        <x:v>0</x:v>
      </x:c>
      <x:c r="O694" s="22" t="n">
        <x:f>MAX(0,MIN('Activities'!L694,66)-MAX('Activities'!K694,60))</x:f>
        <x:v>0</x:v>
      </x:c>
      <x:c r="P694" s="22" t="n">
        <x:f>MAX(0,MIN('Activities'!L694,72)-MAX('Activities'!K694,66))</x:f>
        <x:v>0</x:v>
      </x:c>
      <x:c r="Q694" s="22" t="n">
        <x:f>MAX(0,MIN('Activities'!L694,78)-MAX('Activities'!K694,72))</x:f>
        <x:v>0</x:v>
      </x:c>
      <x:c r="R694" s="22" t="n">
        <x:f>MAX(0,MIN('Activities'!L694,84)-MAX('Activities'!K694,78))</x:f>
        <x:v>0</x:v>
      </x:c>
      <x:c r="S694" s="22" t="n">
        <x:f>MAX(0,MIN('Activities'!L694,90)-MAX('Activities'!K694,84))</x:f>
        <x:v>0</x:v>
      </x:c>
      <x:c r="T694" s="22" t="n">
        <x:f>MAX(0,MIN('Activities'!L694,96)-MAX('Activities'!K694,90))</x:f>
        <x:v>0</x:v>
      </x:c>
      <x:c r="U694" s="22" t="n">
        <x:f>MAX(0,MIN('Activities'!L694,102)-MAX('Activities'!K694,96))</x:f>
        <x:v>0</x:v>
      </x:c>
      <x:c r="V694" s="22" t="n">
        <x:f>MAX(0,MIN('Activities'!L694,108)-MAX('Activities'!K694,102))</x:f>
        <x:v>0</x:v>
      </x:c>
      <x:c r="W694" s="22" t="n">
        <x:f>MAX(0,MIN('Activities'!L694,114)-MAX('Activities'!K694,108))</x:f>
        <x:v>0</x:v>
      </x:c>
      <x:c r="X694" s="22" t="n">
        <x:f>MAX(0,MIN('Activities'!L694,120)-MAX('Activities'!K694,114))</x:f>
        <x:v>0</x:v>
      </x:c>
      <x:c r="Y694" s="22" t="n">
        <x:f>MAX(0,MIN('Activities'!L694,126)-MAX('Activities'!K694,120))</x:f>
        <x:v>0</x:v>
      </x:c>
      <x:c r="Z694" s="22" t="n">
        <x:f>MAX(0,MIN('Activities'!L694,132)-MAX('Activities'!K694,126))</x:f>
        <x:v>0</x:v>
      </x:c>
      <x:c r="AA694" s="22" t="n">
        <x:f>MAX(0,MIN('Activities'!L694,138)-MAX('Activities'!K694,132))</x:f>
        <x:v>0</x:v>
      </x:c>
      <x:c r="AB694" s="22" t="n">
        <x:f>MAX(0,MIN('Activities'!L694,144)-MAX('Activities'!K694,138))</x:f>
        <x:v>0</x:v>
      </x:c>
      <x:c r="AC694" s="22" t="n">
        <x:f>MAX(0,MIN('Activities'!L694,150)-MAX('Activities'!K694,144))</x:f>
        <x:v>0</x:v>
      </x:c>
      <x:c r="AD694" s="22" t="n">
        <x:f>MAX(0,MIN('Activities'!L694,156)-MAX('Activities'!K694,150))</x:f>
        <x:v>0</x:v>
      </x:c>
      <x:c r="AE694" s="22" t="n">
        <x:f>MAX(0,MIN('Activities'!L694,162)-MAX('Activities'!K694,156))</x:f>
        <x:v>0</x:v>
      </x:c>
      <x:c r="AF694" s="22" t="n">
        <x:f>MAX(0,MIN('Activities'!L694,168)-MAX('Activities'!K694,162))</x:f>
        <x:v>0</x:v>
      </x:c>
      <x:c r="AG694" s="22" t="n">
        <x:f>MAX(0,MIN('Activities'!L694,174)-MAX('Activities'!K694,168))</x:f>
        <x:v>0</x:v>
      </x:c>
      <x:c r="AH694" s="22" t="n">
        <x:f>MAX(0,MIN('Activities'!L694,180)-MAX('Activities'!K694,174))</x:f>
        <x:v>0</x:v>
      </x:c>
      <x:c r="AI694" s="22" t="n">
        <x:f>MAX(0,MIN('Activities'!L694,186)-MAX('Activities'!K694,180))</x:f>
        <x:v>0</x:v>
      </x:c>
      <x:c r="AJ694" s="22" t="n">
        <x:f>MAX(0,MIN('Activities'!L694,192)-MAX('Activities'!K694,186))</x:f>
        <x:v>0</x:v>
      </x:c>
      <x:c r="AK694" s="22" t="n">
        <x:f>MAX(0,MIN('Activities'!L694,198)-MAX('Activities'!K694,192))</x:f>
        <x:v>0</x:v>
      </x:c>
      <x:c r="AL694" s="22" t="n">
        <x:f>MAX(0,MIN('Activities'!L694,204)-MAX('Activities'!K694,198))</x:f>
        <x:v>0</x:v>
      </x:c>
      <x:c r="AM694" s="22" t="n">
        <x:f>MAX(0,MIN('Activities'!L694,210)-MAX('Activities'!K694,204))</x:f>
        <x:v>0</x:v>
      </x:c>
      <x:c r="AN694" s="22" t="n">
        <x:f>MAX(0,MIN('Activities'!L694,216)-MAX('Activities'!K694,210))</x:f>
        <x:v>0</x:v>
      </x:c>
      <x:c r="AO694" s="22" t="n">
        <x:f>MAX(0,MIN('Activities'!L694,222)-MAX('Activities'!K694,216))</x:f>
        <x:v>0</x:v>
      </x:c>
      <x:c r="AP694" s="22" t="n">
        <x:f>MAX(0,MIN('Activities'!L694,228)-MAX('Activities'!K694,222))</x:f>
        <x:v>0</x:v>
      </x:c>
      <x:c r="AQ694" s="22" t="n">
        <x:f>MAX(0,MIN('Activities'!L694,234)-MAX('Activities'!K694,228))</x:f>
        <x:v>0</x:v>
      </x:c>
      <x:c r="AR694" s="22" t="n">
        <x:f>MAX(0,MIN('Activities'!L694,240)-MAX('Activities'!K694,234))</x:f>
        <x:v>0</x:v>
      </x:c>
      <x:c r="AS694" s="22" t="n">
        <x:f>MAX(0,MIN('Activities'!L694,246)-MAX('Activities'!K694,240))</x:f>
        <x:v>0</x:v>
      </x:c>
      <x:c r="AT694" s="22" t="n">
        <x:f>MAX(0,MIN('Activities'!L694,252)-MAX('Activities'!K694,246))</x:f>
        <x:v>0</x:v>
      </x:c>
      <x:c r="AU694" s="22" t="n">
        <x:f>MAX(0,MIN('Activities'!L694,258)-MAX('Activities'!K694,252))</x:f>
        <x:v>4</x:v>
      </x:c>
      <x:c r="AV694" s="22" t="n">
        <x:f>MAX(0,MIN('Activities'!L694,264)-MAX('Activities'!K694,258))</x:f>
        <x:v>1</x:v>
      </x:c>
      <x:c r="AW694" s="22" t="n">
        <x:f>MAX(0,MIN('Activities'!L694,270)-MAX('Activities'!K694,264))</x:f>
        <x:v>0</x:v>
      </x:c>
      <x:c r="AX694" s="22" t="n">
        <x:f>MAX(0,MIN('Activities'!L694,276)-MAX('Activities'!K694,270))</x:f>
        <x:v>0</x:v>
      </x:c>
      <x:c r="AY694" s="22" t="n">
        <x:f>MAX(0,MIN('Activities'!L694,282)-MAX('Activities'!K694,276))</x:f>
        <x:v>0</x:v>
      </x:c>
      <x:c r="AZ694" s="22" t="n">
        <x:f>MAX(0,MIN('Activities'!L694,288)-MAX('Activities'!K694,282))</x:f>
        <x:v>0</x:v>
      </x:c>
      <x:c r="BA694" s="22" t="n">
        <x:f>MAX(0,MIN('Activities'!L694,294)-MAX('Activities'!K694,288))</x:f>
        <x:v>0</x:v>
      </x:c>
      <x:c r="BB694" s="22" t="n">
        <x:f>MAX(0,MIN('Activities'!L694,300)-MAX('Activities'!K694,294))</x:f>
        <x:v>0</x:v>
      </x:c>
      <x:c r="BC694" s="22" t="n">
        <x:f>MAX(0,MIN('Activities'!L694,306)-MAX('Activities'!K694,300))</x:f>
        <x:v>0</x:v>
      </x:c>
      <x:c r="BD694" s="22" t="n">
        <x:f>MAX(0,MIN('Activities'!L694,312)-MAX('Activities'!K694,306))</x:f>
        <x:v>0</x:v>
      </x:c>
      <x:c r="BE694" s="22" t="n">
        <x:f>MAX(0,MIN('Activities'!L694,318)-MAX('Activities'!K694,312))</x:f>
        <x:v>0</x:v>
      </x:c>
      <x:c r="BF694" s="22" t="n">
        <x:f>MAX(0,MIN('Activities'!L694,324)-MAX('Activities'!K694,318))</x:f>
        <x:v>0</x:v>
      </x:c>
      <x:c r="BG694" s="22" t="n">
        <x:f>MAX(0,MIN('Activities'!L694,330)-MAX('Activities'!K694,324))</x:f>
        <x:v>0</x:v>
      </x:c>
      <x:c r="BH694" s="22" t="n">
        <x:f>MAX(0,MIN('Activities'!L694,336)-MAX('Activities'!K694,330))</x:f>
        <x:v>0</x:v>
      </x:c>
      <x:c r="BI694" s="22" t="n">
        <x:f>MAX(0,MIN('Activities'!L694,342)-MAX('Activities'!K694,336))</x:f>
        <x:v>0</x:v>
      </x:c>
      <x:c r="BJ694" s="22" t="n">
        <x:f>MAX(0,MIN('Activities'!L694,348)-MAX('Activities'!K694,342))</x:f>
        <x:v>0</x:v>
      </x:c>
      <x:c r="BK694" s="22" t="n">
        <x:f>MAX(0,MIN('Activities'!L694,354)-MAX('Activities'!K694,348))</x:f>
        <x:v>0</x:v>
      </x:c>
      <x:c r="BL694" s="22" t="n">
        <x:f>MAX(0,MIN('Activities'!L694,360)-MAX('Activities'!K694,354))</x:f>
        <x:v>0</x:v>
      </x:c>
      <x:c r="BM694" s="22" t="n">
        <x:f>MAX(0,MIN('Activities'!L694,366)-MAX('Activities'!K694,360))</x:f>
        <x:v>0</x:v>
      </x:c>
      <x:c r="BN694" s="22" t="n">
        <x:f>MAX(0,MIN('Activities'!L694,372)-MAX('Activities'!K694,366))</x:f>
        <x:v>0</x:v>
      </x:c>
      <x:c r="BO694" s="22" t="n">
        <x:f>MAX(0,MIN('Activities'!L694,378)-MAX('Activities'!K694,372))</x:f>
        <x:v>0</x:v>
      </x:c>
      <x:c r="BP694" s="22" t="n">
        <x:f>MAX(0,MIN('Activities'!L694,384)-MAX('Activities'!K694,378))</x:f>
        <x:v>0</x:v>
      </x:c>
      <x:c r="BQ694" s="22" t="n">
        <x:f>MAX(0,MIN('Activities'!L694,390)-MAX('Activities'!K694,384))</x:f>
        <x:v>0</x:v>
      </x:c>
      <x:c r="BR694" s="22" t="n">
        <x:f>MAX(0,MIN('Activities'!L694,396)-MAX('Activities'!K694,390))</x:f>
        <x:v>0</x:v>
      </x:c>
      <x:c r="BS694" s="22" t="n">
        <x:f>MAX(0,MIN('Activities'!L694,402)-MAX('Activities'!K694,396))</x:f>
        <x:v>0</x:v>
      </x:c>
      <x:c r="BT694" s="22" t="n">
        <x:f>MAX(0,MIN('Activities'!L694,408)-MAX('Activities'!K694,402))</x:f>
        <x:v>0</x:v>
      </x:c>
      <x:c r="BU694" s="22" t="n">
        <x:f>MAX(0,MIN('Activities'!L694,414)-MAX('Activities'!K694,408))</x:f>
        <x:v>0</x:v>
      </x:c>
      <x:c r="BV694" s="22" t="n">
        <x:f>MAX(0,MIN('Activities'!L694,420)-MAX('Activities'!K694,414))</x:f>
        <x:v>0</x:v>
      </x:c>
      <x:c r="BW694" s="22" t="n">
        <x:f>MAX(0,MIN('Activities'!L694,426)-MAX('Activities'!K694,420))</x:f>
        <x:v>0</x:v>
      </x:c>
      <x:c r="BX694" s="22" t="n">
        <x:f>MAX(0,MIN('Activities'!L694,432)-MAX('Activities'!K694,426))</x:f>
        <x:v>0</x:v>
      </x:c>
      <x:c r="BY694" s="22" t="n">
        <x:f>MAX(0,MIN('Activities'!L694,438)-MAX('Activities'!K694,432))</x:f>
        <x:v>0</x:v>
      </x:c>
      <x:c r="BZ694" s="22" t="n">
        <x:f>MAX(0,MIN('Activities'!L694,444)-MAX('Activities'!K694,438))</x:f>
        <x:v>0</x:v>
      </x:c>
      <x:c r="CA694" s="22" t="n">
        <x:f>MAX(0,MIN('Activities'!L694,450)-MAX('Activities'!K694,444))</x:f>
        <x:v>0</x:v>
      </x:c>
      <x:c r="CB694" s="22" t="n">
        <x:f>MAX(0,MIN('Activities'!L694,456)-MAX('Activities'!K694,450))</x:f>
        <x:v>0</x:v>
      </x:c>
      <x:c r="CC694" s="22" t="n">
        <x:f>MAX(0,MIN('Activities'!L694,462)-MAX('Activities'!K694,456))</x:f>
        <x:v>0</x:v>
      </x:c>
      <x:c r="CD694" s="22" t="n">
        <x:f>MAX(0,MIN('Activities'!L694,468)-MAX('Activities'!K694,462))</x:f>
        <x:v>0</x:v>
      </x:c>
      <x:c r="CE694" s="22" t="n">
        <x:f>MAX(0,MIN('Activities'!L694,474)-MAX('Activities'!K694,468))</x:f>
        <x:v>0</x:v>
      </x:c>
      <x:c r="CF694" s="22" t="n">
        <x:f>MAX(0,MIN('Activities'!L694,480)-MAX('Activities'!K694,474))</x:f>
        <x:v>0</x:v>
      </x:c>
      <x:c r="CG694" s="22" t="n">
        <x:f>MAX(0,MIN('Activities'!L694,486)-MAX('Activities'!K694,480))</x:f>
        <x:v>0</x:v>
      </x:c>
      <x:c r="CH694" s="22" t="n">
        <x:f>MAX(0,MIN('Activities'!L694,492)-MAX('Activities'!K694,486))</x:f>
        <x:v>0</x:v>
      </x:c>
      <x:c r="CI694" s="22" t="n">
        <x:f>MAX(0,MIN('Activities'!L694,498)-MAX('Activities'!K694,492))</x:f>
        <x:v>0</x:v>
      </x:c>
      <x:c r="CJ694" s="22" t="n">
        <x:f>MAX(0,MIN('Activities'!L694,504)-MAX('Activities'!K694,498))</x:f>
        <x:v>0</x:v>
      </x:c>
      <x:c r="CK694" s="22" t="n">
        <x:f>MAX(0,MIN('Activities'!L694,510)-MAX('Activities'!K694,504))</x:f>
        <x:v>0</x:v>
      </x:c>
      <x:c r="CL694" s="22" t="n">
        <x:f>MAX(0,MIN('Activities'!L694,516)-MAX('Activities'!K694,510))</x:f>
        <x:v>0</x:v>
      </x:c>
      <x:c r="CM694" s="22" t="n">
        <x:f>MAX(0,MIN('Activities'!L694,522)-MAX('Activities'!K694,516))</x:f>
        <x:v>0</x:v>
      </x:c>
      <x:c r="CN694" s="22" t="n">
        <x:f>MAX(0,MIN('Activities'!L694,528)-MAX('Activities'!K694,522))</x:f>
        <x:v>0</x:v>
      </x:c>
      <x:c r="CO694" s="22" t="n">
        <x:f>MAX(0,MIN('Activities'!L694,534)-MAX('Activities'!K694,528))</x:f>
        <x:v>0</x:v>
      </x:c>
      <x:c r="CP694" s="22" t="n">
        <x:f>MAX(0,MIN('Activities'!L694,540)-MAX('Activities'!K694,534))</x:f>
        <x:v>0</x:v>
      </x:c>
      <x:c r="CQ694" s="22" t="n">
        <x:f>MAX(0,MIN('Activities'!L694,546)-MAX('Activities'!K694,540))</x:f>
        <x:v>0</x:v>
      </x:c>
      <x:c r="CR694" s="22" t="n">
        <x:f>MAX(0,MIN('Activities'!L694,552)-MAX('Activities'!K694,546))</x:f>
        <x:v>0</x:v>
      </x:c>
      <x:c r="CS694" s="22" t="n">
        <x:f>MAX(0,MIN('Activities'!L694,558)-MAX('Activities'!K694,552))</x:f>
        <x:v>0</x:v>
      </x:c>
      <x:c r="CT694" s="22" t="n">
        <x:f>MAX(0,MIN('Activities'!L694,564)-MAX('Activities'!K694,558))</x:f>
        <x:v>0</x:v>
      </x:c>
      <x:c r="CU694" s="22" t="n">
        <x:f>MAX(0,MIN('Activities'!L694,570)-MAX('Activities'!K694,564))</x:f>
        <x:v>0</x:v>
      </x:c>
      <x:c r="CV694" s="22" t="n">
        <x:f>MAX(0,MIN('Activities'!L694,576)-MAX('Activities'!K694,570))</x:f>
        <x:v>0</x:v>
      </x:c>
      <x:c r="CW694" s="22" t="n">
        <x:f>MAX(0,MIN('Activities'!L694,582)-MAX('Activities'!K694,576))</x:f>
        <x:v>0</x:v>
      </x:c>
      <x:c r="CX694" s="22" t="n">
        <x:f>MAX(0,MIN('Activities'!L694,588)-MAX('Activities'!K694,582))</x:f>
        <x:v>0</x:v>
      </x:c>
      <x:c r="CY694" s="22" t="n">
        <x:f>MAX(0,MIN('Activities'!L694,594)-MAX('Activities'!K694,588))</x:f>
        <x:v>0</x:v>
      </x:c>
      <x:c r="CZ694" s="22" t="n">
        <x:f>MAX(0,MIN('Activities'!L694,600)-MAX('Activities'!K694,594))</x:f>
        <x:v>0</x:v>
      </x:c>
      <x:c r="DA694" s="22" t="n">
        <x:f>MAX(0,MIN('Activities'!L694,606)-MAX('Activities'!K694,600))</x:f>
        <x:v>0</x:v>
      </x:c>
      <x:c r="DB694" s="22" t="n">
        <x:f>MAX(0,MIN('Activities'!L694,612)-MAX('Activities'!K694,606))</x:f>
        <x:v>0</x:v>
      </x:c>
      <x:c r="DC694" s="22" t="n">
        <x:f>MAX(0,MIN('Activities'!L694,618)-MAX('Activities'!K694,612))</x:f>
        <x:v>0</x:v>
      </x:c>
      <x:c r="DD694" s="22" t="n">
        <x:f>MAX(0,MIN('Activities'!L694,624)-MAX('Activities'!K694,618))</x:f>
        <x:v>0</x:v>
      </x:c>
      <x:c r="DE694" s="22" t="n">
        <x:f>MAX(0,MIN('Activities'!L694,630)-MAX('Activities'!K694,624))</x:f>
        <x:v>0</x:v>
      </x:c>
      <x:c r="DF694" s="22" t="n">
        <x:f>MAX(0,MIN('Activities'!L694,636)-MAX('Activities'!K694,630))</x:f>
        <x:v>0</x:v>
      </x:c>
    </x:row>
    <x:row r="695" ht="23" customHeight="1">
      <x:c r="A695" s="1" t="str">
        <x:v>T6-L03-C</x:v>
      </x:c>
      <x:c r="B695" s="1" t="str">
        <x:v>T6</x:v>
      </x:c>
      <x:c r="C695" s="1" t="str">
        <x:v>Concrete placement and finishing</x:v>
      </x:c>
      <x:c r="D695" s="1" t="str">
        <x:v>Concrete</x:v>
      </x:c>
      <x:c r="E695" s="23" t="n">
        <x:f>MAX(0,MIN('Activities'!L695,6)-MAX('Activities'!K695,0))</x:f>
        <x:v>0</x:v>
      </x:c>
      <x:c r="F695" s="23" t="n">
        <x:f>MAX(0,MIN('Activities'!L695,12)-MAX('Activities'!K695,6))</x:f>
        <x:v>0</x:v>
      </x:c>
      <x:c r="G695" s="23" t="n">
        <x:f>MAX(0,MIN('Activities'!L695,18)-MAX('Activities'!K695,12))</x:f>
        <x:v>0</x:v>
      </x:c>
      <x:c r="H695" s="23" t="n">
        <x:f>MAX(0,MIN('Activities'!L695,24)-MAX('Activities'!K695,18))</x:f>
        <x:v>0</x:v>
      </x:c>
      <x:c r="I695" s="23" t="n">
        <x:f>MAX(0,MIN('Activities'!L695,30)-MAX('Activities'!K695,24))</x:f>
        <x:v>0</x:v>
      </x:c>
      <x:c r="J695" s="23" t="n">
        <x:f>MAX(0,MIN('Activities'!L695,36)-MAX('Activities'!K695,30))</x:f>
        <x:v>0</x:v>
      </x:c>
      <x:c r="K695" s="23" t="n">
        <x:f>MAX(0,MIN('Activities'!L695,42)-MAX('Activities'!K695,36))</x:f>
        <x:v>0</x:v>
      </x:c>
      <x:c r="L695" s="23" t="n">
        <x:f>MAX(0,MIN('Activities'!L695,48)-MAX('Activities'!K695,42))</x:f>
        <x:v>0</x:v>
      </x:c>
      <x:c r="M695" s="23" t="n">
        <x:f>MAX(0,MIN('Activities'!L695,54)-MAX('Activities'!K695,48))</x:f>
        <x:v>0</x:v>
      </x:c>
      <x:c r="N695" s="23" t="n">
        <x:f>MAX(0,MIN('Activities'!L695,60)-MAX('Activities'!K695,54))</x:f>
        <x:v>0</x:v>
      </x:c>
      <x:c r="O695" s="23" t="n">
        <x:f>MAX(0,MIN('Activities'!L695,66)-MAX('Activities'!K695,60))</x:f>
        <x:v>0</x:v>
      </x:c>
      <x:c r="P695" s="23" t="n">
        <x:f>MAX(0,MIN('Activities'!L695,72)-MAX('Activities'!K695,66))</x:f>
        <x:v>0</x:v>
      </x:c>
      <x:c r="Q695" s="23" t="n">
        <x:f>MAX(0,MIN('Activities'!L695,78)-MAX('Activities'!K695,72))</x:f>
        <x:v>0</x:v>
      </x:c>
      <x:c r="R695" s="23" t="n">
        <x:f>MAX(0,MIN('Activities'!L695,84)-MAX('Activities'!K695,78))</x:f>
        <x:v>0</x:v>
      </x:c>
      <x:c r="S695" s="23" t="n">
        <x:f>MAX(0,MIN('Activities'!L695,90)-MAX('Activities'!K695,84))</x:f>
        <x:v>0</x:v>
      </x:c>
      <x:c r="T695" s="23" t="n">
        <x:f>MAX(0,MIN('Activities'!L695,96)-MAX('Activities'!K695,90))</x:f>
        <x:v>0</x:v>
      </x:c>
      <x:c r="U695" s="23" t="n">
        <x:f>MAX(0,MIN('Activities'!L695,102)-MAX('Activities'!K695,96))</x:f>
        <x:v>0</x:v>
      </x:c>
      <x:c r="V695" s="23" t="n">
        <x:f>MAX(0,MIN('Activities'!L695,108)-MAX('Activities'!K695,102))</x:f>
        <x:v>0</x:v>
      </x:c>
      <x:c r="W695" s="23" t="n">
        <x:f>MAX(0,MIN('Activities'!L695,114)-MAX('Activities'!K695,108))</x:f>
        <x:v>0</x:v>
      </x:c>
      <x:c r="X695" s="23" t="n">
        <x:f>MAX(0,MIN('Activities'!L695,120)-MAX('Activities'!K695,114))</x:f>
        <x:v>0</x:v>
      </x:c>
      <x:c r="Y695" s="23" t="n">
        <x:f>MAX(0,MIN('Activities'!L695,126)-MAX('Activities'!K695,120))</x:f>
        <x:v>0</x:v>
      </x:c>
      <x:c r="Z695" s="23" t="n">
        <x:f>MAX(0,MIN('Activities'!L695,132)-MAX('Activities'!K695,126))</x:f>
        <x:v>0</x:v>
      </x:c>
      <x:c r="AA695" s="23" t="n">
        <x:f>MAX(0,MIN('Activities'!L695,138)-MAX('Activities'!K695,132))</x:f>
        <x:v>0</x:v>
      </x:c>
      <x:c r="AB695" s="23" t="n">
        <x:f>MAX(0,MIN('Activities'!L695,144)-MAX('Activities'!K695,138))</x:f>
        <x:v>0</x:v>
      </x:c>
      <x:c r="AC695" s="23" t="n">
        <x:f>MAX(0,MIN('Activities'!L695,150)-MAX('Activities'!K695,144))</x:f>
        <x:v>0</x:v>
      </x:c>
      <x:c r="AD695" s="23" t="n">
        <x:f>MAX(0,MIN('Activities'!L695,156)-MAX('Activities'!K695,150))</x:f>
        <x:v>0</x:v>
      </x:c>
      <x:c r="AE695" s="23" t="n">
        <x:f>MAX(0,MIN('Activities'!L695,162)-MAX('Activities'!K695,156))</x:f>
        <x:v>0</x:v>
      </x:c>
      <x:c r="AF695" s="23" t="n">
        <x:f>MAX(0,MIN('Activities'!L695,168)-MAX('Activities'!K695,162))</x:f>
        <x:v>0</x:v>
      </x:c>
      <x:c r="AG695" s="23" t="n">
        <x:f>MAX(0,MIN('Activities'!L695,174)-MAX('Activities'!K695,168))</x:f>
        <x:v>0</x:v>
      </x:c>
      <x:c r="AH695" s="23" t="n">
        <x:f>MAX(0,MIN('Activities'!L695,180)-MAX('Activities'!K695,174))</x:f>
        <x:v>0</x:v>
      </x:c>
      <x:c r="AI695" s="23" t="n">
        <x:f>MAX(0,MIN('Activities'!L695,186)-MAX('Activities'!K695,180))</x:f>
        <x:v>0</x:v>
      </x:c>
      <x:c r="AJ695" s="23" t="n">
        <x:f>MAX(0,MIN('Activities'!L695,192)-MAX('Activities'!K695,186))</x:f>
        <x:v>0</x:v>
      </x:c>
      <x:c r="AK695" s="23" t="n">
        <x:f>MAX(0,MIN('Activities'!L695,198)-MAX('Activities'!K695,192))</x:f>
        <x:v>0</x:v>
      </x:c>
      <x:c r="AL695" s="23" t="n">
        <x:f>MAX(0,MIN('Activities'!L695,204)-MAX('Activities'!K695,198))</x:f>
        <x:v>0</x:v>
      </x:c>
      <x:c r="AM695" s="23" t="n">
        <x:f>MAX(0,MIN('Activities'!L695,210)-MAX('Activities'!K695,204))</x:f>
        <x:v>0</x:v>
      </x:c>
      <x:c r="AN695" s="23" t="n">
        <x:f>MAX(0,MIN('Activities'!L695,216)-MAX('Activities'!K695,210))</x:f>
        <x:v>0</x:v>
      </x:c>
      <x:c r="AO695" s="23" t="n">
        <x:f>MAX(0,MIN('Activities'!L695,222)-MAX('Activities'!K695,216))</x:f>
        <x:v>0</x:v>
      </x:c>
      <x:c r="AP695" s="23" t="n">
        <x:f>MAX(0,MIN('Activities'!L695,228)-MAX('Activities'!K695,222))</x:f>
        <x:v>0</x:v>
      </x:c>
      <x:c r="AQ695" s="23" t="n">
        <x:f>MAX(0,MIN('Activities'!L695,234)-MAX('Activities'!K695,228))</x:f>
        <x:v>0</x:v>
      </x:c>
      <x:c r="AR695" s="23" t="n">
        <x:f>MAX(0,MIN('Activities'!L695,240)-MAX('Activities'!K695,234))</x:f>
        <x:v>0</x:v>
      </x:c>
      <x:c r="AS695" s="23" t="n">
        <x:f>MAX(0,MIN('Activities'!L695,246)-MAX('Activities'!K695,240))</x:f>
        <x:v>0</x:v>
      </x:c>
      <x:c r="AT695" s="23" t="n">
        <x:f>MAX(0,MIN('Activities'!L695,252)-MAX('Activities'!K695,246))</x:f>
        <x:v>0</x:v>
      </x:c>
      <x:c r="AU695" s="23" t="n">
        <x:f>MAX(0,MIN('Activities'!L695,258)-MAX('Activities'!K695,252))</x:f>
        <x:v>0</x:v>
      </x:c>
      <x:c r="AV695" s="23" t="n">
        <x:f>MAX(0,MIN('Activities'!L695,264)-MAX('Activities'!K695,258))</x:f>
        <x:v>2</x:v>
      </x:c>
      <x:c r="AW695" s="23" t="n">
        <x:f>MAX(0,MIN('Activities'!L695,270)-MAX('Activities'!K695,264))</x:f>
        <x:v>0</x:v>
      </x:c>
      <x:c r="AX695" s="23" t="n">
        <x:f>MAX(0,MIN('Activities'!L695,276)-MAX('Activities'!K695,270))</x:f>
        <x:v>0</x:v>
      </x:c>
      <x:c r="AY695" s="23" t="n">
        <x:f>MAX(0,MIN('Activities'!L695,282)-MAX('Activities'!K695,276))</x:f>
        <x:v>0</x:v>
      </x:c>
      <x:c r="AZ695" s="23" t="n">
        <x:f>MAX(0,MIN('Activities'!L695,288)-MAX('Activities'!K695,282))</x:f>
        <x:v>0</x:v>
      </x:c>
      <x:c r="BA695" s="23" t="n">
        <x:f>MAX(0,MIN('Activities'!L695,294)-MAX('Activities'!K695,288))</x:f>
        <x:v>0</x:v>
      </x:c>
      <x:c r="BB695" s="23" t="n">
        <x:f>MAX(0,MIN('Activities'!L695,300)-MAX('Activities'!K695,294))</x:f>
        <x:v>0</x:v>
      </x:c>
      <x:c r="BC695" s="23" t="n">
        <x:f>MAX(0,MIN('Activities'!L695,306)-MAX('Activities'!K695,300))</x:f>
        <x:v>0</x:v>
      </x:c>
      <x:c r="BD695" s="23" t="n">
        <x:f>MAX(0,MIN('Activities'!L695,312)-MAX('Activities'!K695,306))</x:f>
        <x:v>0</x:v>
      </x:c>
      <x:c r="BE695" s="23" t="n">
        <x:f>MAX(0,MIN('Activities'!L695,318)-MAX('Activities'!K695,312))</x:f>
        <x:v>0</x:v>
      </x:c>
      <x:c r="BF695" s="23" t="n">
        <x:f>MAX(0,MIN('Activities'!L695,324)-MAX('Activities'!K695,318))</x:f>
        <x:v>0</x:v>
      </x:c>
      <x:c r="BG695" s="23" t="n">
        <x:f>MAX(0,MIN('Activities'!L695,330)-MAX('Activities'!K695,324))</x:f>
        <x:v>0</x:v>
      </x:c>
      <x:c r="BH695" s="23" t="n">
        <x:f>MAX(0,MIN('Activities'!L695,336)-MAX('Activities'!K695,330))</x:f>
        <x:v>0</x:v>
      </x:c>
      <x:c r="BI695" s="23" t="n">
        <x:f>MAX(0,MIN('Activities'!L695,342)-MAX('Activities'!K695,336))</x:f>
        <x:v>0</x:v>
      </x:c>
      <x:c r="BJ695" s="23" t="n">
        <x:f>MAX(0,MIN('Activities'!L695,348)-MAX('Activities'!K695,342))</x:f>
        <x:v>0</x:v>
      </x:c>
      <x:c r="BK695" s="23" t="n">
        <x:f>MAX(0,MIN('Activities'!L695,354)-MAX('Activities'!K695,348))</x:f>
        <x:v>0</x:v>
      </x:c>
      <x:c r="BL695" s="23" t="n">
        <x:f>MAX(0,MIN('Activities'!L695,360)-MAX('Activities'!K695,354))</x:f>
        <x:v>0</x:v>
      </x:c>
      <x:c r="BM695" s="23" t="n">
        <x:f>MAX(0,MIN('Activities'!L695,366)-MAX('Activities'!K695,360))</x:f>
        <x:v>0</x:v>
      </x:c>
      <x:c r="BN695" s="23" t="n">
        <x:f>MAX(0,MIN('Activities'!L695,372)-MAX('Activities'!K695,366))</x:f>
        <x:v>0</x:v>
      </x:c>
      <x:c r="BO695" s="23" t="n">
        <x:f>MAX(0,MIN('Activities'!L695,378)-MAX('Activities'!K695,372))</x:f>
        <x:v>0</x:v>
      </x:c>
      <x:c r="BP695" s="23" t="n">
        <x:f>MAX(0,MIN('Activities'!L695,384)-MAX('Activities'!K695,378))</x:f>
        <x:v>0</x:v>
      </x:c>
      <x:c r="BQ695" s="23" t="n">
        <x:f>MAX(0,MIN('Activities'!L695,390)-MAX('Activities'!K695,384))</x:f>
        <x:v>0</x:v>
      </x:c>
      <x:c r="BR695" s="23" t="n">
        <x:f>MAX(0,MIN('Activities'!L695,396)-MAX('Activities'!K695,390))</x:f>
        <x:v>0</x:v>
      </x:c>
      <x:c r="BS695" s="23" t="n">
        <x:f>MAX(0,MIN('Activities'!L695,402)-MAX('Activities'!K695,396))</x:f>
        <x:v>0</x:v>
      </x:c>
      <x:c r="BT695" s="23" t="n">
        <x:f>MAX(0,MIN('Activities'!L695,408)-MAX('Activities'!K695,402))</x:f>
        <x:v>0</x:v>
      </x:c>
      <x:c r="BU695" s="23" t="n">
        <x:f>MAX(0,MIN('Activities'!L695,414)-MAX('Activities'!K695,408))</x:f>
        <x:v>0</x:v>
      </x:c>
      <x:c r="BV695" s="23" t="n">
        <x:f>MAX(0,MIN('Activities'!L695,420)-MAX('Activities'!K695,414))</x:f>
        <x:v>0</x:v>
      </x:c>
      <x:c r="BW695" s="23" t="n">
        <x:f>MAX(0,MIN('Activities'!L695,426)-MAX('Activities'!K695,420))</x:f>
        <x:v>0</x:v>
      </x:c>
      <x:c r="BX695" s="23" t="n">
        <x:f>MAX(0,MIN('Activities'!L695,432)-MAX('Activities'!K695,426))</x:f>
        <x:v>0</x:v>
      </x:c>
      <x:c r="BY695" s="23" t="n">
        <x:f>MAX(0,MIN('Activities'!L695,438)-MAX('Activities'!K695,432))</x:f>
        <x:v>0</x:v>
      </x:c>
      <x:c r="BZ695" s="23" t="n">
        <x:f>MAX(0,MIN('Activities'!L695,444)-MAX('Activities'!K695,438))</x:f>
        <x:v>0</x:v>
      </x:c>
      <x:c r="CA695" s="23" t="n">
        <x:f>MAX(0,MIN('Activities'!L695,450)-MAX('Activities'!K695,444))</x:f>
        <x:v>0</x:v>
      </x:c>
      <x:c r="CB695" s="23" t="n">
        <x:f>MAX(0,MIN('Activities'!L695,456)-MAX('Activities'!K695,450))</x:f>
        <x:v>0</x:v>
      </x:c>
      <x:c r="CC695" s="23" t="n">
        <x:f>MAX(0,MIN('Activities'!L695,462)-MAX('Activities'!K695,456))</x:f>
        <x:v>0</x:v>
      </x:c>
      <x:c r="CD695" s="23" t="n">
        <x:f>MAX(0,MIN('Activities'!L695,468)-MAX('Activities'!K695,462))</x:f>
        <x:v>0</x:v>
      </x:c>
      <x:c r="CE695" s="23" t="n">
        <x:f>MAX(0,MIN('Activities'!L695,474)-MAX('Activities'!K695,468))</x:f>
        <x:v>0</x:v>
      </x:c>
      <x:c r="CF695" s="23" t="n">
        <x:f>MAX(0,MIN('Activities'!L695,480)-MAX('Activities'!K695,474))</x:f>
        <x:v>0</x:v>
      </x:c>
      <x:c r="CG695" s="23" t="n">
        <x:f>MAX(0,MIN('Activities'!L695,486)-MAX('Activities'!K695,480))</x:f>
        <x:v>0</x:v>
      </x:c>
      <x:c r="CH695" s="23" t="n">
        <x:f>MAX(0,MIN('Activities'!L695,492)-MAX('Activities'!K695,486))</x:f>
        <x:v>0</x:v>
      </x:c>
      <x:c r="CI695" s="23" t="n">
        <x:f>MAX(0,MIN('Activities'!L695,498)-MAX('Activities'!K695,492))</x:f>
        <x:v>0</x:v>
      </x:c>
      <x:c r="CJ695" s="23" t="n">
        <x:f>MAX(0,MIN('Activities'!L695,504)-MAX('Activities'!K695,498))</x:f>
        <x:v>0</x:v>
      </x:c>
      <x:c r="CK695" s="23" t="n">
        <x:f>MAX(0,MIN('Activities'!L695,510)-MAX('Activities'!K695,504))</x:f>
        <x:v>0</x:v>
      </x:c>
      <x:c r="CL695" s="23" t="n">
        <x:f>MAX(0,MIN('Activities'!L695,516)-MAX('Activities'!K695,510))</x:f>
        <x:v>0</x:v>
      </x:c>
      <x:c r="CM695" s="23" t="n">
        <x:f>MAX(0,MIN('Activities'!L695,522)-MAX('Activities'!K695,516))</x:f>
        <x:v>0</x:v>
      </x:c>
      <x:c r="CN695" s="23" t="n">
        <x:f>MAX(0,MIN('Activities'!L695,528)-MAX('Activities'!K695,522))</x:f>
        <x:v>0</x:v>
      </x:c>
      <x:c r="CO695" s="23" t="n">
        <x:f>MAX(0,MIN('Activities'!L695,534)-MAX('Activities'!K695,528))</x:f>
        <x:v>0</x:v>
      </x:c>
      <x:c r="CP695" s="23" t="n">
        <x:f>MAX(0,MIN('Activities'!L695,540)-MAX('Activities'!K695,534))</x:f>
        <x:v>0</x:v>
      </x:c>
      <x:c r="CQ695" s="23" t="n">
        <x:f>MAX(0,MIN('Activities'!L695,546)-MAX('Activities'!K695,540))</x:f>
        <x:v>0</x:v>
      </x:c>
      <x:c r="CR695" s="23" t="n">
        <x:f>MAX(0,MIN('Activities'!L695,552)-MAX('Activities'!K695,546))</x:f>
        <x:v>0</x:v>
      </x:c>
      <x:c r="CS695" s="23" t="n">
        <x:f>MAX(0,MIN('Activities'!L695,558)-MAX('Activities'!K695,552))</x:f>
        <x:v>0</x:v>
      </x:c>
      <x:c r="CT695" s="23" t="n">
        <x:f>MAX(0,MIN('Activities'!L695,564)-MAX('Activities'!K695,558))</x:f>
        <x:v>0</x:v>
      </x:c>
      <x:c r="CU695" s="23" t="n">
        <x:f>MAX(0,MIN('Activities'!L695,570)-MAX('Activities'!K695,564))</x:f>
        <x:v>0</x:v>
      </x:c>
      <x:c r="CV695" s="23" t="n">
        <x:f>MAX(0,MIN('Activities'!L695,576)-MAX('Activities'!K695,570))</x:f>
        <x:v>0</x:v>
      </x:c>
      <x:c r="CW695" s="23" t="n">
        <x:f>MAX(0,MIN('Activities'!L695,582)-MAX('Activities'!K695,576))</x:f>
        <x:v>0</x:v>
      </x:c>
      <x:c r="CX695" s="23" t="n">
        <x:f>MAX(0,MIN('Activities'!L695,588)-MAX('Activities'!K695,582))</x:f>
        <x:v>0</x:v>
      </x:c>
      <x:c r="CY695" s="23" t="n">
        <x:f>MAX(0,MIN('Activities'!L695,594)-MAX('Activities'!K695,588))</x:f>
        <x:v>0</x:v>
      </x:c>
      <x:c r="CZ695" s="23" t="n">
        <x:f>MAX(0,MIN('Activities'!L695,600)-MAX('Activities'!K695,594))</x:f>
        <x:v>0</x:v>
      </x:c>
      <x:c r="DA695" s="23" t="n">
        <x:f>MAX(0,MIN('Activities'!L695,606)-MAX('Activities'!K695,600))</x:f>
        <x:v>0</x:v>
      </x:c>
      <x:c r="DB695" s="23" t="n">
        <x:f>MAX(0,MIN('Activities'!L695,612)-MAX('Activities'!K695,606))</x:f>
        <x:v>0</x:v>
      </x:c>
      <x:c r="DC695" s="23" t="n">
        <x:f>MAX(0,MIN('Activities'!L695,618)-MAX('Activities'!K695,612))</x:f>
        <x:v>0</x:v>
      </x:c>
      <x:c r="DD695" s="23" t="n">
        <x:f>MAX(0,MIN('Activities'!L695,624)-MAX('Activities'!K695,618))</x:f>
        <x:v>0</x:v>
      </x:c>
      <x:c r="DE695" s="23" t="n">
        <x:f>MAX(0,MIN('Activities'!L695,630)-MAX('Activities'!K695,624))</x:f>
        <x:v>0</x:v>
      </x:c>
      <x:c r="DF695" s="23" t="n">
        <x:f>MAX(0,MIN('Activities'!L695,636)-MAX('Activities'!K695,630))</x:f>
        <x:v>0</x:v>
      </x:c>
    </x:row>
    <x:row r="696" ht="23" customHeight="1">
      <x:c r="A696" s="6" t="str">
        <x:v>T6-L03-H</x:v>
      </x:c>
      <x:c r="B696" s="6" t="str">
        <x:v>T6</x:v>
      </x:c>
      <x:c r="C696" s="6" t="str">
        <x:v>Curing and release hold point</x:v>
      </x:c>
      <x:c r="D696" s="6" t="str">
        <x:v>Site</x:v>
      </x:c>
      <x:c r="E696" s="22" t="n">
        <x:f>MAX(0,MIN('Activities'!L696,6)-MAX('Activities'!K696,0))</x:f>
        <x:v>0</x:v>
      </x:c>
      <x:c r="F696" s="22" t="n">
        <x:f>MAX(0,MIN('Activities'!L696,12)-MAX('Activities'!K696,6))</x:f>
        <x:v>0</x:v>
      </x:c>
      <x:c r="G696" s="22" t="n">
        <x:f>MAX(0,MIN('Activities'!L696,18)-MAX('Activities'!K696,12))</x:f>
        <x:v>0</x:v>
      </x:c>
      <x:c r="H696" s="22" t="n">
        <x:f>MAX(0,MIN('Activities'!L696,24)-MAX('Activities'!K696,18))</x:f>
        <x:v>0</x:v>
      </x:c>
      <x:c r="I696" s="22" t="n">
        <x:f>MAX(0,MIN('Activities'!L696,30)-MAX('Activities'!K696,24))</x:f>
        <x:v>0</x:v>
      </x:c>
      <x:c r="J696" s="22" t="n">
        <x:f>MAX(0,MIN('Activities'!L696,36)-MAX('Activities'!K696,30))</x:f>
        <x:v>0</x:v>
      </x:c>
      <x:c r="K696" s="22" t="n">
        <x:f>MAX(0,MIN('Activities'!L696,42)-MAX('Activities'!K696,36))</x:f>
        <x:v>0</x:v>
      </x:c>
      <x:c r="L696" s="22" t="n">
        <x:f>MAX(0,MIN('Activities'!L696,48)-MAX('Activities'!K696,42))</x:f>
        <x:v>0</x:v>
      </x:c>
      <x:c r="M696" s="22" t="n">
        <x:f>MAX(0,MIN('Activities'!L696,54)-MAX('Activities'!K696,48))</x:f>
        <x:v>0</x:v>
      </x:c>
      <x:c r="N696" s="22" t="n">
        <x:f>MAX(0,MIN('Activities'!L696,60)-MAX('Activities'!K696,54))</x:f>
        <x:v>0</x:v>
      </x:c>
      <x:c r="O696" s="22" t="n">
        <x:f>MAX(0,MIN('Activities'!L696,66)-MAX('Activities'!K696,60))</x:f>
        <x:v>0</x:v>
      </x:c>
      <x:c r="P696" s="22" t="n">
        <x:f>MAX(0,MIN('Activities'!L696,72)-MAX('Activities'!K696,66))</x:f>
        <x:v>0</x:v>
      </x:c>
      <x:c r="Q696" s="22" t="n">
        <x:f>MAX(0,MIN('Activities'!L696,78)-MAX('Activities'!K696,72))</x:f>
        <x:v>0</x:v>
      </x:c>
      <x:c r="R696" s="22" t="n">
        <x:f>MAX(0,MIN('Activities'!L696,84)-MAX('Activities'!K696,78))</x:f>
        <x:v>0</x:v>
      </x:c>
      <x:c r="S696" s="22" t="n">
        <x:f>MAX(0,MIN('Activities'!L696,90)-MAX('Activities'!K696,84))</x:f>
        <x:v>0</x:v>
      </x:c>
      <x:c r="T696" s="22" t="n">
        <x:f>MAX(0,MIN('Activities'!L696,96)-MAX('Activities'!K696,90))</x:f>
        <x:v>0</x:v>
      </x:c>
      <x:c r="U696" s="22" t="n">
        <x:f>MAX(0,MIN('Activities'!L696,102)-MAX('Activities'!K696,96))</x:f>
        <x:v>0</x:v>
      </x:c>
      <x:c r="V696" s="22" t="n">
        <x:f>MAX(0,MIN('Activities'!L696,108)-MAX('Activities'!K696,102))</x:f>
        <x:v>0</x:v>
      </x:c>
      <x:c r="W696" s="22" t="n">
        <x:f>MAX(0,MIN('Activities'!L696,114)-MAX('Activities'!K696,108))</x:f>
        <x:v>0</x:v>
      </x:c>
      <x:c r="X696" s="22" t="n">
        <x:f>MAX(0,MIN('Activities'!L696,120)-MAX('Activities'!K696,114))</x:f>
        <x:v>0</x:v>
      </x:c>
      <x:c r="Y696" s="22" t="n">
        <x:f>MAX(0,MIN('Activities'!L696,126)-MAX('Activities'!K696,120))</x:f>
        <x:v>0</x:v>
      </x:c>
      <x:c r="Z696" s="22" t="n">
        <x:f>MAX(0,MIN('Activities'!L696,132)-MAX('Activities'!K696,126))</x:f>
        <x:v>0</x:v>
      </x:c>
      <x:c r="AA696" s="22" t="n">
        <x:f>MAX(0,MIN('Activities'!L696,138)-MAX('Activities'!K696,132))</x:f>
        <x:v>0</x:v>
      </x:c>
      <x:c r="AB696" s="22" t="n">
        <x:f>MAX(0,MIN('Activities'!L696,144)-MAX('Activities'!K696,138))</x:f>
        <x:v>0</x:v>
      </x:c>
      <x:c r="AC696" s="22" t="n">
        <x:f>MAX(0,MIN('Activities'!L696,150)-MAX('Activities'!K696,144))</x:f>
        <x:v>0</x:v>
      </x:c>
      <x:c r="AD696" s="22" t="n">
        <x:f>MAX(0,MIN('Activities'!L696,156)-MAX('Activities'!K696,150))</x:f>
        <x:v>0</x:v>
      </x:c>
      <x:c r="AE696" s="22" t="n">
        <x:f>MAX(0,MIN('Activities'!L696,162)-MAX('Activities'!K696,156))</x:f>
        <x:v>0</x:v>
      </x:c>
      <x:c r="AF696" s="22" t="n">
        <x:f>MAX(0,MIN('Activities'!L696,168)-MAX('Activities'!K696,162))</x:f>
        <x:v>0</x:v>
      </x:c>
      <x:c r="AG696" s="22" t="n">
        <x:f>MAX(0,MIN('Activities'!L696,174)-MAX('Activities'!K696,168))</x:f>
        <x:v>0</x:v>
      </x:c>
      <x:c r="AH696" s="22" t="n">
        <x:f>MAX(0,MIN('Activities'!L696,180)-MAX('Activities'!K696,174))</x:f>
        <x:v>0</x:v>
      </x:c>
      <x:c r="AI696" s="22" t="n">
        <x:f>MAX(0,MIN('Activities'!L696,186)-MAX('Activities'!K696,180))</x:f>
        <x:v>0</x:v>
      </x:c>
      <x:c r="AJ696" s="22" t="n">
        <x:f>MAX(0,MIN('Activities'!L696,192)-MAX('Activities'!K696,186))</x:f>
        <x:v>0</x:v>
      </x:c>
      <x:c r="AK696" s="22" t="n">
        <x:f>MAX(0,MIN('Activities'!L696,198)-MAX('Activities'!K696,192))</x:f>
        <x:v>0</x:v>
      </x:c>
      <x:c r="AL696" s="22" t="n">
        <x:f>MAX(0,MIN('Activities'!L696,204)-MAX('Activities'!K696,198))</x:f>
        <x:v>0</x:v>
      </x:c>
      <x:c r="AM696" s="22" t="n">
        <x:f>MAX(0,MIN('Activities'!L696,210)-MAX('Activities'!K696,204))</x:f>
        <x:v>0</x:v>
      </x:c>
      <x:c r="AN696" s="22" t="n">
        <x:f>MAX(0,MIN('Activities'!L696,216)-MAX('Activities'!K696,210))</x:f>
        <x:v>0</x:v>
      </x:c>
      <x:c r="AO696" s="22" t="n">
        <x:f>MAX(0,MIN('Activities'!L696,222)-MAX('Activities'!K696,216))</x:f>
        <x:v>0</x:v>
      </x:c>
      <x:c r="AP696" s="22" t="n">
        <x:f>MAX(0,MIN('Activities'!L696,228)-MAX('Activities'!K696,222))</x:f>
        <x:v>0</x:v>
      </x:c>
      <x:c r="AQ696" s="22" t="n">
        <x:f>MAX(0,MIN('Activities'!L696,234)-MAX('Activities'!K696,228))</x:f>
        <x:v>0</x:v>
      </x:c>
      <x:c r="AR696" s="22" t="n">
        <x:f>MAX(0,MIN('Activities'!L696,240)-MAX('Activities'!K696,234))</x:f>
        <x:v>0</x:v>
      </x:c>
      <x:c r="AS696" s="22" t="n">
        <x:f>MAX(0,MIN('Activities'!L696,246)-MAX('Activities'!K696,240))</x:f>
        <x:v>0</x:v>
      </x:c>
      <x:c r="AT696" s="22" t="n">
        <x:f>MAX(0,MIN('Activities'!L696,252)-MAX('Activities'!K696,246))</x:f>
        <x:v>0</x:v>
      </x:c>
      <x:c r="AU696" s="22" t="n">
        <x:f>MAX(0,MIN('Activities'!L696,258)-MAX('Activities'!K696,252))</x:f>
        <x:v>0</x:v>
      </x:c>
      <x:c r="AV696" s="22" t="n">
        <x:f>MAX(0,MIN('Activities'!L696,264)-MAX('Activities'!K696,258))</x:f>
        <x:v>3</x:v>
      </x:c>
      <x:c r="AW696" s="22" t="n">
        <x:f>MAX(0,MIN('Activities'!L696,270)-MAX('Activities'!K696,264))</x:f>
        <x:v>2</x:v>
      </x:c>
      <x:c r="AX696" s="22" t="n">
        <x:f>MAX(0,MIN('Activities'!L696,276)-MAX('Activities'!K696,270))</x:f>
        <x:v>0</x:v>
      </x:c>
      <x:c r="AY696" s="22" t="n">
        <x:f>MAX(0,MIN('Activities'!L696,282)-MAX('Activities'!K696,276))</x:f>
        <x:v>0</x:v>
      </x:c>
      <x:c r="AZ696" s="22" t="n">
        <x:f>MAX(0,MIN('Activities'!L696,288)-MAX('Activities'!K696,282))</x:f>
        <x:v>0</x:v>
      </x:c>
      <x:c r="BA696" s="22" t="n">
        <x:f>MAX(0,MIN('Activities'!L696,294)-MAX('Activities'!K696,288))</x:f>
        <x:v>0</x:v>
      </x:c>
      <x:c r="BB696" s="22" t="n">
        <x:f>MAX(0,MIN('Activities'!L696,300)-MAX('Activities'!K696,294))</x:f>
        <x:v>0</x:v>
      </x:c>
      <x:c r="BC696" s="22" t="n">
        <x:f>MAX(0,MIN('Activities'!L696,306)-MAX('Activities'!K696,300))</x:f>
        <x:v>0</x:v>
      </x:c>
      <x:c r="BD696" s="22" t="n">
        <x:f>MAX(0,MIN('Activities'!L696,312)-MAX('Activities'!K696,306))</x:f>
        <x:v>0</x:v>
      </x:c>
      <x:c r="BE696" s="22" t="n">
        <x:f>MAX(0,MIN('Activities'!L696,318)-MAX('Activities'!K696,312))</x:f>
        <x:v>0</x:v>
      </x:c>
      <x:c r="BF696" s="22" t="n">
        <x:f>MAX(0,MIN('Activities'!L696,324)-MAX('Activities'!K696,318))</x:f>
        <x:v>0</x:v>
      </x:c>
      <x:c r="BG696" s="22" t="n">
        <x:f>MAX(0,MIN('Activities'!L696,330)-MAX('Activities'!K696,324))</x:f>
        <x:v>0</x:v>
      </x:c>
      <x:c r="BH696" s="22" t="n">
        <x:f>MAX(0,MIN('Activities'!L696,336)-MAX('Activities'!K696,330))</x:f>
        <x:v>0</x:v>
      </x:c>
      <x:c r="BI696" s="22" t="n">
        <x:f>MAX(0,MIN('Activities'!L696,342)-MAX('Activities'!K696,336))</x:f>
        <x:v>0</x:v>
      </x:c>
      <x:c r="BJ696" s="22" t="n">
        <x:f>MAX(0,MIN('Activities'!L696,348)-MAX('Activities'!K696,342))</x:f>
        <x:v>0</x:v>
      </x:c>
      <x:c r="BK696" s="22" t="n">
        <x:f>MAX(0,MIN('Activities'!L696,354)-MAX('Activities'!K696,348))</x:f>
        <x:v>0</x:v>
      </x:c>
      <x:c r="BL696" s="22" t="n">
        <x:f>MAX(0,MIN('Activities'!L696,360)-MAX('Activities'!K696,354))</x:f>
        <x:v>0</x:v>
      </x:c>
      <x:c r="BM696" s="22" t="n">
        <x:f>MAX(0,MIN('Activities'!L696,366)-MAX('Activities'!K696,360))</x:f>
        <x:v>0</x:v>
      </x:c>
      <x:c r="BN696" s="22" t="n">
        <x:f>MAX(0,MIN('Activities'!L696,372)-MAX('Activities'!K696,366))</x:f>
        <x:v>0</x:v>
      </x:c>
      <x:c r="BO696" s="22" t="n">
        <x:f>MAX(0,MIN('Activities'!L696,378)-MAX('Activities'!K696,372))</x:f>
        <x:v>0</x:v>
      </x:c>
      <x:c r="BP696" s="22" t="n">
        <x:f>MAX(0,MIN('Activities'!L696,384)-MAX('Activities'!K696,378))</x:f>
        <x:v>0</x:v>
      </x:c>
      <x:c r="BQ696" s="22" t="n">
        <x:f>MAX(0,MIN('Activities'!L696,390)-MAX('Activities'!K696,384))</x:f>
        <x:v>0</x:v>
      </x:c>
      <x:c r="BR696" s="22" t="n">
        <x:f>MAX(0,MIN('Activities'!L696,396)-MAX('Activities'!K696,390))</x:f>
        <x:v>0</x:v>
      </x:c>
      <x:c r="BS696" s="22" t="n">
        <x:f>MAX(0,MIN('Activities'!L696,402)-MAX('Activities'!K696,396))</x:f>
        <x:v>0</x:v>
      </x:c>
      <x:c r="BT696" s="22" t="n">
        <x:f>MAX(0,MIN('Activities'!L696,408)-MAX('Activities'!K696,402))</x:f>
        <x:v>0</x:v>
      </x:c>
      <x:c r="BU696" s="22" t="n">
        <x:f>MAX(0,MIN('Activities'!L696,414)-MAX('Activities'!K696,408))</x:f>
        <x:v>0</x:v>
      </x:c>
      <x:c r="BV696" s="22" t="n">
        <x:f>MAX(0,MIN('Activities'!L696,420)-MAX('Activities'!K696,414))</x:f>
        <x:v>0</x:v>
      </x:c>
      <x:c r="BW696" s="22" t="n">
        <x:f>MAX(0,MIN('Activities'!L696,426)-MAX('Activities'!K696,420))</x:f>
        <x:v>0</x:v>
      </x:c>
      <x:c r="BX696" s="22" t="n">
        <x:f>MAX(0,MIN('Activities'!L696,432)-MAX('Activities'!K696,426))</x:f>
        <x:v>0</x:v>
      </x:c>
      <x:c r="BY696" s="22" t="n">
        <x:f>MAX(0,MIN('Activities'!L696,438)-MAX('Activities'!K696,432))</x:f>
        <x:v>0</x:v>
      </x:c>
      <x:c r="BZ696" s="22" t="n">
        <x:f>MAX(0,MIN('Activities'!L696,444)-MAX('Activities'!K696,438))</x:f>
        <x:v>0</x:v>
      </x:c>
      <x:c r="CA696" s="22" t="n">
        <x:f>MAX(0,MIN('Activities'!L696,450)-MAX('Activities'!K696,444))</x:f>
        <x:v>0</x:v>
      </x:c>
      <x:c r="CB696" s="22" t="n">
        <x:f>MAX(0,MIN('Activities'!L696,456)-MAX('Activities'!K696,450))</x:f>
        <x:v>0</x:v>
      </x:c>
      <x:c r="CC696" s="22" t="n">
        <x:f>MAX(0,MIN('Activities'!L696,462)-MAX('Activities'!K696,456))</x:f>
        <x:v>0</x:v>
      </x:c>
      <x:c r="CD696" s="22" t="n">
        <x:f>MAX(0,MIN('Activities'!L696,468)-MAX('Activities'!K696,462))</x:f>
        <x:v>0</x:v>
      </x:c>
      <x:c r="CE696" s="22" t="n">
        <x:f>MAX(0,MIN('Activities'!L696,474)-MAX('Activities'!K696,468))</x:f>
        <x:v>0</x:v>
      </x:c>
      <x:c r="CF696" s="22" t="n">
        <x:f>MAX(0,MIN('Activities'!L696,480)-MAX('Activities'!K696,474))</x:f>
        <x:v>0</x:v>
      </x:c>
      <x:c r="CG696" s="22" t="n">
        <x:f>MAX(0,MIN('Activities'!L696,486)-MAX('Activities'!K696,480))</x:f>
        <x:v>0</x:v>
      </x:c>
      <x:c r="CH696" s="22" t="n">
        <x:f>MAX(0,MIN('Activities'!L696,492)-MAX('Activities'!K696,486))</x:f>
        <x:v>0</x:v>
      </x:c>
      <x:c r="CI696" s="22" t="n">
        <x:f>MAX(0,MIN('Activities'!L696,498)-MAX('Activities'!K696,492))</x:f>
        <x:v>0</x:v>
      </x:c>
      <x:c r="CJ696" s="22" t="n">
        <x:f>MAX(0,MIN('Activities'!L696,504)-MAX('Activities'!K696,498))</x:f>
        <x:v>0</x:v>
      </x:c>
      <x:c r="CK696" s="22" t="n">
        <x:f>MAX(0,MIN('Activities'!L696,510)-MAX('Activities'!K696,504))</x:f>
        <x:v>0</x:v>
      </x:c>
      <x:c r="CL696" s="22" t="n">
        <x:f>MAX(0,MIN('Activities'!L696,516)-MAX('Activities'!K696,510))</x:f>
        <x:v>0</x:v>
      </x:c>
      <x:c r="CM696" s="22" t="n">
        <x:f>MAX(0,MIN('Activities'!L696,522)-MAX('Activities'!K696,516))</x:f>
        <x:v>0</x:v>
      </x:c>
      <x:c r="CN696" s="22" t="n">
        <x:f>MAX(0,MIN('Activities'!L696,528)-MAX('Activities'!K696,522))</x:f>
        <x:v>0</x:v>
      </x:c>
      <x:c r="CO696" s="22" t="n">
        <x:f>MAX(0,MIN('Activities'!L696,534)-MAX('Activities'!K696,528))</x:f>
        <x:v>0</x:v>
      </x:c>
      <x:c r="CP696" s="22" t="n">
        <x:f>MAX(0,MIN('Activities'!L696,540)-MAX('Activities'!K696,534))</x:f>
        <x:v>0</x:v>
      </x:c>
      <x:c r="CQ696" s="22" t="n">
        <x:f>MAX(0,MIN('Activities'!L696,546)-MAX('Activities'!K696,540))</x:f>
        <x:v>0</x:v>
      </x:c>
      <x:c r="CR696" s="22" t="n">
        <x:f>MAX(0,MIN('Activities'!L696,552)-MAX('Activities'!K696,546))</x:f>
        <x:v>0</x:v>
      </x:c>
      <x:c r="CS696" s="22" t="n">
        <x:f>MAX(0,MIN('Activities'!L696,558)-MAX('Activities'!K696,552))</x:f>
        <x:v>0</x:v>
      </x:c>
      <x:c r="CT696" s="22" t="n">
        <x:f>MAX(0,MIN('Activities'!L696,564)-MAX('Activities'!K696,558))</x:f>
        <x:v>0</x:v>
      </x:c>
      <x:c r="CU696" s="22" t="n">
        <x:f>MAX(0,MIN('Activities'!L696,570)-MAX('Activities'!K696,564))</x:f>
        <x:v>0</x:v>
      </x:c>
      <x:c r="CV696" s="22" t="n">
        <x:f>MAX(0,MIN('Activities'!L696,576)-MAX('Activities'!K696,570))</x:f>
        <x:v>0</x:v>
      </x:c>
      <x:c r="CW696" s="22" t="n">
        <x:f>MAX(0,MIN('Activities'!L696,582)-MAX('Activities'!K696,576))</x:f>
        <x:v>0</x:v>
      </x:c>
      <x:c r="CX696" s="22" t="n">
        <x:f>MAX(0,MIN('Activities'!L696,588)-MAX('Activities'!K696,582))</x:f>
        <x:v>0</x:v>
      </x:c>
      <x:c r="CY696" s="22" t="n">
        <x:f>MAX(0,MIN('Activities'!L696,594)-MAX('Activities'!K696,588))</x:f>
        <x:v>0</x:v>
      </x:c>
      <x:c r="CZ696" s="22" t="n">
        <x:f>MAX(0,MIN('Activities'!L696,600)-MAX('Activities'!K696,594))</x:f>
        <x:v>0</x:v>
      </x:c>
      <x:c r="DA696" s="22" t="n">
        <x:f>MAX(0,MIN('Activities'!L696,606)-MAX('Activities'!K696,600))</x:f>
        <x:v>0</x:v>
      </x:c>
      <x:c r="DB696" s="22" t="n">
        <x:f>MAX(0,MIN('Activities'!L696,612)-MAX('Activities'!K696,606))</x:f>
        <x:v>0</x:v>
      </x:c>
      <x:c r="DC696" s="22" t="n">
        <x:f>MAX(0,MIN('Activities'!L696,618)-MAX('Activities'!K696,612))</x:f>
        <x:v>0</x:v>
      </x:c>
      <x:c r="DD696" s="22" t="n">
        <x:f>MAX(0,MIN('Activities'!L696,624)-MAX('Activities'!K696,618))</x:f>
        <x:v>0</x:v>
      </x:c>
      <x:c r="DE696" s="22" t="n">
        <x:f>MAX(0,MIN('Activities'!L696,630)-MAX('Activities'!K696,624))</x:f>
        <x:v>0</x:v>
      </x:c>
      <x:c r="DF696" s="22" t="n">
        <x:f>MAX(0,MIN('Activities'!L696,636)-MAX('Activities'!K696,630))</x:f>
        <x:v>0</x:v>
      </x:c>
    </x:row>
    <x:row r="697" ht="23" customHeight="1">
      <x:c r="A697" s="1" t="str">
        <x:v>T6-L04-F</x:v>
      </x:c>
      <x:c r="B697" s="1" t="str">
        <x:v>T6</x:v>
      </x:c>
      <x:c r="C697" s="1" t="str">
        <x:v>Columns, core and deck formwork</x:v>
      </x:c>
      <x:c r="D697" s="1" t="str">
        <x:v>Formwork</x:v>
      </x:c>
      <x:c r="E697" s="23" t="n">
        <x:f>MAX(0,MIN('Activities'!L697,6)-MAX('Activities'!K697,0))</x:f>
        <x:v>0</x:v>
      </x:c>
      <x:c r="F697" s="23" t="n">
        <x:f>MAX(0,MIN('Activities'!L697,12)-MAX('Activities'!K697,6))</x:f>
        <x:v>0</x:v>
      </x:c>
      <x:c r="G697" s="23" t="n">
        <x:f>MAX(0,MIN('Activities'!L697,18)-MAX('Activities'!K697,12))</x:f>
        <x:v>0</x:v>
      </x:c>
      <x:c r="H697" s="23" t="n">
        <x:f>MAX(0,MIN('Activities'!L697,24)-MAX('Activities'!K697,18))</x:f>
        <x:v>0</x:v>
      </x:c>
      <x:c r="I697" s="23" t="n">
        <x:f>MAX(0,MIN('Activities'!L697,30)-MAX('Activities'!K697,24))</x:f>
        <x:v>0</x:v>
      </x:c>
      <x:c r="J697" s="23" t="n">
        <x:f>MAX(0,MIN('Activities'!L697,36)-MAX('Activities'!K697,30))</x:f>
        <x:v>0</x:v>
      </x:c>
      <x:c r="K697" s="23" t="n">
        <x:f>MAX(0,MIN('Activities'!L697,42)-MAX('Activities'!K697,36))</x:f>
        <x:v>0</x:v>
      </x:c>
      <x:c r="L697" s="23" t="n">
        <x:f>MAX(0,MIN('Activities'!L697,48)-MAX('Activities'!K697,42))</x:f>
        <x:v>0</x:v>
      </x:c>
      <x:c r="M697" s="23" t="n">
        <x:f>MAX(0,MIN('Activities'!L697,54)-MAX('Activities'!K697,48))</x:f>
        <x:v>0</x:v>
      </x:c>
      <x:c r="N697" s="23" t="n">
        <x:f>MAX(0,MIN('Activities'!L697,60)-MAX('Activities'!K697,54))</x:f>
        <x:v>0</x:v>
      </x:c>
      <x:c r="O697" s="23" t="n">
        <x:f>MAX(0,MIN('Activities'!L697,66)-MAX('Activities'!K697,60))</x:f>
        <x:v>0</x:v>
      </x:c>
      <x:c r="P697" s="23" t="n">
        <x:f>MAX(0,MIN('Activities'!L697,72)-MAX('Activities'!K697,66))</x:f>
        <x:v>0</x:v>
      </x:c>
      <x:c r="Q697" s="23" t="n">
        <x:f>MAX(0,MIN('Activities'!L697,78)-MAX('Activities'!K697,72))</x:f>
        <x:v>0</x:v>
      </x:c>
      <x:c r="R697" s="23" t="n">
        <x:f>MAX(0,MIN('Activities'!L697,84)-MAX('Activities'!K697,78))</x:f>
        <x:v>0</x:v>
      </x:c>
      <x:c r="S697" s="23" t="n">
        <x:f>MAX(0,MIN('Activities'!L697,90)-MAX('Activities'!K697,84))</x:f>
        <x:v>0</x:v>
      </x:c>
      <x:c r="T697" s="23" t="n">
        <x:f>MAX(0,MIN('Activities'!L697,96)-MAX('Activities'!K697,90))</x:f>
        <x:v>0</x:v>
      </x:c>
      <x:c r="U697" s="23" t="n">
        <x:f>MAX(0,MIN('Activities'!L697,102)-MAX('Activities'!K697,96))</x:f>
        <x:v>0</x:v>
      </x:c>
      <x:c r="V697" s="23" t="n">
        <x:f>MAX(0,MIN('Activities'!L697,108)-MAX('Activities'!K697,102))</x:f>
        <x:v>0</x:v>
      </x:c>
      <x:c r="W697" s="23" t="n">
        <x:f>MAX(0,MIN('Activities'!L697,114)-MAX('Activities'!K697,108))</x:f>
        <x:v>0</x:v>
      </x:c>
      <x:c r="X697" s="23" t="n">
        <x:f>MAX(0,MIN('Activities'!L697,120)-MAX('Activities'!K697,114))</x:f>
        <x:v>0</x:v>
      </x:c>
      <x:c r="Y697" s="23" t="n">
        <x:f>MAX(0,MIN('Activities'!L697,126)-MAX('Activities'!K697,120))</x:f>
        <x:v>0</x:v>
      </x:c>
      <x:c r="Z697" s="23" t="n">
        <x:f>MAX(0,MIN('Activities'!L697,132)-MAX('Activities'!K697,126))</x:f>
        <x:v>0</x:v>
      </x:c>
      <x:c r="AA697" s="23" t="n">
        <x:f>MAX(0,MIN('Activities'!L697,138)-MAX('Activities'!K697,132))</x:f>
        <x:v>0</x:v>
      </x:c>
      <x:c r="AB697" s="23" t="n">
        <x:f>MAX(0,MIN('Activities'!L697,144)-MAX('Activities'!K697,138))</x:f>
        <x:v>0</x:v>
      </x:c>
      <x:c r="AC697" s="23" t="n">
        <x:f>MAX(0,MIN('Activities'!L697,150)-MAX('Activities'!K697,144))</x:f>
        <x:v>0</x:v>
      </x:c>
      <x:c r="AD697" s="23" t="n">
        <x:f>MAX(0,MIN('Activities'!L697,156)-MAX('Activities'!K697,150))</x:f>
        <x:v>0</x:v>
      </x:c>
      <x:c r="AE697" s="23" t="n">
        <x:f>MAX(0,MIN('Activities'!L697,162)-MAX('Activities'!K697,156))</x:f>
        <x:v>0</x:v>
      </x:c>
      <x:c r="AF697" s="23" t="n">
        <x:f>MAX(0,MIN('Activities'!L697,168)-MAX('Activities'!K697,162))</x:f>
        <x:v>0</x:v>
      </x:c>
      <x:c r="AG697" s="23" t="n">
        <x:f>MAX(0,MIN('Activities'!L697,174)-MAX('Activities'!K697,168))</x:f>
        <x:v>0</x:v>
      </x:c>
      <x:c r="AH697" s="23" t="n">
        <x:f>MAX(0,MIN('Activities'!L697,180)-MAX('Activities'!K697,174))</x:f>
        <x:v>0</x:v>
      </x:c>
      <x:c r="AI697" s="23" t="n">
        <x:f>MAX(0,MIN('Activities'!L697,186)-MAX('Activities'!K697,180))</x:f>
        <x:v>0</x:v>
      </x:c>
      <x:c r="AJ697" s="23" t="n">
        <x:f>MAX(0,MIN('Activities'!L697,192)-MAX('Activities'!K697,186))</x:f>
        <x:v>0</x:v>
      </x:c>
      <x:c r="AK697" s="23" t="n">
        <x:f>MAX(0,MIN('Activities'!L697,198)-MAX('Activities'!K697,192))</x:f>
        <x:v>0</x:v>
      </x:c>
      <x:c r="AL697" s="23" t="n">
        <x:f>MAX(0,MIN('Activities'!L697,204)-MAX('Activities'!K697,198))</x:f>
        <x:v>0</x:v>
      </x:c>
      <x:c r="AM697" s="23" t="n">
        <x:f>MAX(0,MIN('Activities'!L697,210)-MAX('Activities'!K697,204))</x:f>
        <x:v>0</x:v>
      </x:c>
      <x:c r="AN697" s="23" t="n">
        <x:f>MAX(0,MIN('Activities'!L697,216)-MAX('Activities'!K697,210))</x:f>
        <x:v>0</x:v>
      </x:c>
      <x:c r="AO697" s="23" t="n">
        <x:f>MAX(0,MIN('Activities'!L697,222)-MAX('Activities'!K697,216))</x:f>
        <x:v>0</x:v>
      </x:c>
      <x:c r="AP697" s="23" t="n">
        <x:f>MAX(0,MIN('Activities'!L697,228)-MAX('Activities'!K697,222))</x:f>
        <x:v>0</x:v>
      </x:c>
      <x:c r="AQ697" s="23" t="n">
        <x:f>MAX(0,MIN('Activities'!L697,234)-MAX('Activities'!K697,228))</x:f>
        <x:v>0</x:v>
      </x:c>
      <x:c r="AR697" s="23" t="n">
        <x:f>MAX(0,MIN('Activities'!L697,240)-MAX('Activities'!K697,234))</x:f>
        <x:v>0</x:v>
      </x:c>
      <x:c r="AS697" s="23" t="n">
        <x:f>MAX(0,MIN('Activities'!L697,246)-MAX('Activities'!K697,240))</x:f>
        <x:v>0</x:v>
      </x:c>
      <x:c r="AT697" s="23" t="n">
        <x:f>MAX(0,MIN('Activities'!L697,252)-MAX('Activities'!K697,246))</x:f>
        <x:v>0</x:v>
      </x:c>
      <x:c r="AU697" s="23" t="n">
        <x:f>MAX(0,MIN('Activities'!L697,258)-MAX('Activities'!K697,252))</x:f>
        <x:v>0</x:v>
      </x:c>
      <x:c r="AV697" s="23" t="n">
        <x:f>MAX(0,MIN('Activities'!L697,264)-MAX('Activities'!K697,258))</x:f>
        <x:v>0</x:v>
      </x:c>
      <x:c r="AW697" s="23" t="n">
        <x:f>MAX(0,MIN('Activities'!L697,270)-MAX('Activities'!K697,264))</x:f>
        <x:v>4</x:v>
      </x:c>
      <x:c r="AX697" s="23" t="n">
        <x:f>MAX(0,MIN('Activities'!L697,276)-MAX('Activities'!K697,270))</x:f>
        <x:v>2</x:v>
      </x:c>
      <x:c r="AY697" s="23" t="n">
        <x:f>MAX(0,MIN('Activities'!L697,282)-MAX('Activities'!K697,276))</x:f>
        <x:v>0</x:v>
      </x:c>
      <x:c r="AZ697" s="23" t="n">
        <x:f>MAX(0,MIN('Activities'!L697,288)-MAX('Activities'!K697,282))</x:f>
        <x:v>0</x:v>
      </x:c>
      <x:c r="BA697" s="23" t="n">
        <x:f>MAX(0,MIN('Activities'!L697,294)-MAX('Activities'!K697,288))</x:f>
        <x:v>0</x:v>
      </x:c>
      <x:c r="BB697" s="23" t="n">
        <x:f>MAX(0,MIN('Activities'!L697,300)-MAX('Activities'!K697,294))</x:f>
        <x:v>0</x:v>
      </x:c>
      <x:c r="BC697" s="23" t="n">
        <x:f>MAX(0,MIN('Activities'!L697,306)-MAX('Activities'!K697,300))</x:f>
        <x:v>0</x:v>
      </x:c>
      <x:c r="BD697" s="23" t="n">
        <x:f>MAX(0,MIN('Activities'!L697,312)-MAX('Activities'!K697,306))</x:f>
        <x:v>0</x:v>
      </x:c>
      <x:c r="BE697" s="23" t="n">
        <x:f>MAX(0,MIN('Activities'!L697,318)-MAX('Activities'!K697,312))</x:f>
        <x:v>0</x:v>
      </x:c>
      <x:c r="BF697" s="23" t="n">
        <x:f>MAX(0,MIN('Activities'!L697,324)-MAX('Activities'!K697,318))</x:f>
        <x:v>0</x:v>
      </x:c>
      <x:c r="BG697" s="23" t="n">
        <x:f>MAX(0,MIN('Activities'!L697,330)-MAX('Activities'!K697,324))</x:f>
        <x:v>0</x:v>
      </x:c>
      <x:c r="BH697" s="23" t="n">
        <x:f>MAX(0,MIN('Activities'!L697,336)-MAX('Activities'!K697,330))</x:f>
        <x:v>0</x:v>
      </x:c>
      <x:c r="BI697" s="23" t="n">
        <x:f>MAX(0,MIN('Activities'!L697,342)-MAX('Activities'!K697,336))</x:f>
        <x:v>0</x:v>
      </x:c>
      <x:c r="BJ697" s="23" t="n">
        <x:f>MAX(0,MIN('Activities'!L697,348)-MAX('Activities'!K697,342))</x:f>
        <x:v>0</x:v>
      </x:c>
      <x:c r="BK697" s="23" t="n">
        <x:f>MAX(0,MIN('Activities'!L697,354)-MAX('Activities'!K697,348))</x:f>
        <x:v>0</x:v>
      </x:c>
      <x:c r="BL697" s="23" t="n">
        <x:f>MAX(0,MIN('Activities'!L697,360)-MAX('Activities'!K697,354))</x:f>
        <x:v>0</x:v>
      </x:c>
      <x:c r="BM697" s="23" t="n">
        <x:f>MAX(0,MIN('Activities'!L697,366)-MAX('Activities'!K697,360))</x:f>
        <x:v>0</x:v>
      </x:c>
      <x:c r="BN697" s="23" t="n">
        <x:f>MAX(0,MIN('Activities'!L697,372)-MAX('Activities'!K697,366))</x:f>
        <x:v>0</x:v>
      </x:c>
      <x:c r="BO697" s="23" t="n">
        <x:f>MAX(0,MIN('Activities'!L697,378)-MAX('Activities'!K697,372))</x:f>
        <x:v>0</x:v>
      </x:c>
      <x:c r="BP697" s="23" t="n">
        <x:f>MAX(0,MIN('Activities'!L697,384)-MAX('Activities'!K697,378))</x:f>
        <x:v>0</x:v>
      </x:c>
      <x:c r="BQ697" s="23" t="n">
        <x:f>MAX(0,MIN('Activities'!L697,390)-MAX('Activities'!K697,384))</x:f>
        <x:v>0</x:v>
      </x:c>
      <x:c r="BR697" s="23" t="n">
        <x:f>MAX(0,MIN('Activities'!L697,396)-MAX('Activities'!K697,390))</x:f>
        <x:v>0</x:v>
      </x:c>
      <x:c r="BS697" s="23" t="n">
        <x:f>MAX(0,MIN('Activities'!L697,402)-MAX('Activities'!K697,396))</x:f>
        <x:v>0</x:v>
      </x:c>
      <x:c r="BT697" s="23" t="n">
        <x:f>MAX(0,MIN('Activities'!L697,408)-MAX('Activities'!K697,402))</x:f>
        <x:v>0</x:v>
      </x:c>
      <x:c r="BU697" s="23" t="n">
        <x:f>MAX(0,MIN('Activities'!L697,414)-MAX('Activities'!K697,408))</x:f>
        <x:v>0</x:v>
      </x:c>
      <x:c r="BV697" s="23" t="n">
        <x:f>MAX(0,MIN('Activities'!L697,420)-MAX('Activities'!K697,414))</x:f>
        <x:v>0</x:v>
      </x:c>
      <x:c r="BW697" s="23" t="n">
        <x:f>MAX(0,MIN('Activities'!L697,426)-MAX('Activities'!K697,420))</x:f>
        <x:v>0</x:v>
      </x:c>
      <x:c r="BX697" s="23" t="n">
        <x:f>MAX(0,MIN('Activities'!L697,432)-MAX('Activities'!K697,426))</x:f>
        <x:v>0</x:v>
      </x:c>
      <x:c r="BY697" s="23" t="n">
        <x:f>MAX(0,MIN('Activities'!L697,438)-MAX('Activities'!K697,432))</x:f>
        <x:v>0</x:v>
      </x:c>
      <x:c r="BZ697" s="23" t="n">
        <x:f>MAX(0,MIN('Activities'!L697,444)-MAX('Activities'!K697,438))</x:f>
        <x:v>0</x:v>
      </x:c>
      <x:c r="CA697" s="23" t="n">
        <x:f>MAX(0,MIN('Activities'!L697,450)-MAX('Activities'!K697,444))</x:f>
        <x:v>0</x:v>
      </x:c>
      <x:c r="CB697" s="23" t="n">
        <x:f>MAX(0,MIN('Activities'!L697,456)-MAX('Activities'!K697,450))</x:f>
        <x:v>0</x:v>
      </x:c>
      <x:c r="CC697" s="23" t="n">
        <x:f>MAX(0,MIN('Activities'!L697,462)-MAX('Activities'!K697,456))</x:f>
        <x:v>0</x:v>
      </x:c>
      <x:c r="CD697" s="23" t="n">
        <x:f>MAX(0,MIN('Activities'!L697,468)-MAX('Activities'!K697,462))</x:f>
        <x:v>0</x:v>
      </x:c>
      <x:c r="CE697" s="23" t="n">
        <x:f>MAX(0,MIN('Activities'!L697,474)-MAX('Activities'!K697,468))</x:f>
        <x:v>0</x:v>
      </x:c>
      <x:c r="CF697" s="23" t="n">
        <x:f>MAX(0,MIN('Activities'!L697,480)-MAX('Activities'!K697,474))</x:f>
        <x:v>0</x:v>
      </x:c>
      <x:c r="CG697" s="23" t="n">
        <x:f>MAX(0,MIN('Activities'!L697,486)-MAX('Activities'!K697,480))</x:f>
        <x:v>0</x:v>
      </x:c>
      <x:c r="CH697" s="23" t="n">
        <x:f>MAX(0,MIN('Activities'!L697,492)-MAX('Activities'!K697,486))</x:f>
        <x:v>0</x:v>
      </x:c>
      <x:c r="CI697" s="23" t="n">
        <x:f>MAX(0,MIN('Activities'!L697,498)-MAX('Activities'!K697,492))</x:f>
        <x:v>0</x:v>
      </x:c>
      <x:c r="CJ697" s="23" t="n">
        <x:f>MAX(0,MIN('Activities'!L697,504)-MAX('Activities'!K697,498))</x:f>
        <x:v>0</x:v>
      </x:c>
      <x:c r="CK697" s="23" t="n">
        <x:f>MAX(0,MIN('Activities'!L697,510)-MAX('Activities'!K697,504))</x:f>
        <x:v>0</x:v>
      </x:c>
      <x:c r="CL697" s="23" t="n">
        <x:f>MAX(0,MIN('Activities'!L697,516)-MAX('Activities'!K697,510))</x:f>
        <x:v>0</x:v>
      </x:c>
      <x:c r="CM697" s="23" t="n">
        <x:f>MAX(0,MIN('Activities'!L697,522)-MAX('Activities'!K697,516))</x:f>
        <x:v>0</x:v>
      </x:c>
      <x:c r="CN697" s="23" t="n">
        <x:f>MAX(0,MIN('Activities'!L697,528)-MAX('Activities'!K697,522))</x:f>
        <x:v>0</x:v>
      </x:c>
      <x:c r="CO697" s="23" t="n">
        <x:f>MAX(0,MIN('Activities'!L697,534)-MAX('Activities'!K697,528))</x:f>
        <x:v>0</x:v>
      </x:c>
      <x:c r="CP697" s="23" t="n">
        <x:f>MAX(0,MIN('Activities'!L697,540)-MAX('Activities'!K697,534))</x:f>
        <x:v>0</x:v>
      </x:c>
      <x:c r="CQ697" s="23" t="n">
        <x:f>MAX(0,MIN('Activities'!L697,546)-MAX('Activities'!K697,540))</x:f>
        <x:v>0</x:v>
      </x:c>
      <x:c r="CR697" s="23" t="n">
        <x:f>MAX(0,MIN('Activities'!L697,552)-MAX('Activities'!K697,546))</x:f>
        <x:v>0</x:v>
      </x:c>
      <x:c r="CS697" s="23" t="n">
        <x:f>MAX(0,MIN('Activities'!L697,558)-MAX('Activities'!K697,552))</x:f>
        <x:v>0</x:v>
      </x:c>
      <x:c r="CT697" s="23" t="n">
        <x:f>MAX(0,MIN('Activities'!L697,564)-MAX('Activities'!K697,558))</x:f>
        <x:v>0</x:v>
      </x:c>
      <x:c r="CU697" s="23" t="n">
        <x:f>MAX(0,MIN('Activities'!L697,570)-MAX('Activities'!K697,564))</x:f>
        <x:v>0</x:v>
      </x:c>
      <x:c r="CV697" s="23" t="n">
        <x:f>MAX(0,MIN('Activities'!L697,576)-MAX('Activities'!K697,570))</x:f>
        <x:v>0</x:v>
      </x:c>
      <x:c r="CW697" s="23" t="n">
        <x:f>MAX(0,MIN('Activities'!L697,582)-MAX('Activities'!K697,576))</x:f>
        <x:v>0</x:v>
      </x:c>
      <x:c r="CX697" s="23" t="n">
        <x:f>MAX(0,MIN('Activities'!L697,588)-MAX('Activities'!K697,582))</x:f>
        <x:v>0</x:v>
      </x:c>
      <x:c r="CY697" s="23" t="n">
        <x:f>MAX(0,MIN('Activities'!L697,594)-MAX('Activities'!K697,588))</x:f>
        <x:v>0</x:v>
      </x:c>
      <x:c r="CZ697" s="23" t="n">
        <x:f>MAX(0,MIN('Activities'!L697,600)-MAX('Activities'!K697,594))</x:f>
        <x:v>0</x:v>
      </x:c>
      <x:c r="DA697" s="23" t="n">
        <x:f>MAX(0,MIN('Activities'!L697,606)-MAX('Activities'!K697,600))</x:f>
        <x:v>0</x:v>
      </x:c>
      <x:c r="DB697" s="23" t="n">
        <x:f>MAX(0,MIN('Activities'!L697,612)-MAX('Activities'!K697,606))</x:f>
        <x:v>0</x:v>
      </x:c>
      <x:c r="DC697" s="23" t="n">
        <x:f>MAX(0,MIN('Activities'!L697,618)-MAX('Activities'!K697,612))</x:f>
        <x:v>0</x:v>
      </x:c>
      <x:c r="DD697" s="23" t="n">
        <x:f>MAX(0,MIN('Activities'!L697,624)-MAX('Activities'!K697,618))</x:f>
        <x:v>0</x:v>
      </x:c>
      <x:c r="DE697" s="23" t="n">
        <x:f>MAX(0,MIN('Activities'!L697,630)-MAX('Activities'!K697,624))</x:f>
        <x:v>0</x:v>
      </x:c>
      <x:c r="DF697" s="23" t="n">
        <x:f>MAX(0,MIN('Activities'!L697,636)-MAX('Activities'!K697,630))</x:f>
        <x:v>0</x:v>
      </x:c>
    </x:row>
    <x:row r="698" ht="23" customHeight="1">
      <x:c r="A698" s="6" t="str">
        <x:v>T6-L04-R</x:v>
      </x:c>
      <x:c r="B698" s="6" t="str">
        <x:v>T6</x:v>
      </x:c>
      <x:c r="C698" s="6" t="str">
        <x:v>Column, wall, beam and slab reinforcement</x:v>
      </x:c>
      <x:c r="D698" s="6" t="str">
        <x:v>Rebar</x:v>
      </x:c>
      <x:c r="E698" s="22" t="n">
        <x:f>MAX(0,MIN('Activities'!L698,6)-MAX('Activities'!K698,0))</x:f>
        <x:v>0</x:v>
      </x:c>
      <x:c r="F698" s="22" t="n">
        <x:f>MAX(0,MIN('Activities'!L698,12)-MAX('Activities'!K698,6))</x:f>
        <x:v>0</x:v>
      </x:c>
      <x:c r="G698" s="22" t="n">
        <x:f>MAX(0,MIN('Activities'!L698,18)-MAX('Activities'!K698,12))</x:f>
        <x:v>0</x:v>
      </x:c>
      <x:c r="H698" s="22" t="n">
        <x:f>MAX(0,MIN('Activities'!L698,24)-MAX('Activities'!K698,18))</x:f>
        <x:v>0</x:v>
      </x:c>
      <x:c r="I698" s="22" t="n">
        <x:f>MAX(0,MIN('Activities'!L698,30)-MAX('Activities'!K698,24))</x:f>
        <x:v>0</x:v>
      </x:c>
      <x:c r="J698" s="22" t="n">
        <x:f>MAX(0,MIN('Activities'!L698,36)-MAX('Activities'!K698,30))</x:f>
        <x:v>0</x:v>
      </x:c>
      <x:c r="K698" s="22" t="n">
        <x:f>MAX(0,MIN('Activities'!L698,42)-MAX('Activities'!K698,36))</x:f>
        <x:v>0</x:v>
      </x:c>
      <x:c r="L698" s="22" t="n">
        <x:f>MAX(0,MIN('Activities'!L698,48)-MAX('Activities'!K698,42))</x:f>
        <x:v>0</x:v>
      </x:c>
      <x:c r="M698" s="22" t="n">
        <x:f>MAX(0,MIN('Activities'!L698,54)-MAX('Activities'!K698,48))</x:f>
        <x:v>0</x:v>
      </x:c>
      <x:c r="N698" s="22" t="n">
        <x:f>MAX(0,MIN('Activities'!L698,60)-MAX('Activities'!K698,54))</x:f>
        <x:v>0</x:v>
      </x:c>
      <x:c r="O698" s="22" t="n">
        <x:f>MAX(0,MIN('Activities'!L698,66)-MAX('Activities'!K698,60))</x:f>
        <x:v>0</x:v>
      </x:c>
      <x:c r="P698" s="22" t="n">
        <x:f>MAX(0,MIN('Activities'!L698,72)-MAX('Activities'!K698,66))</x:f>
        <x:v>0</x:v>
      </x:c>
      <x:c r="Q698" s="22" t="n">
        <x:f>MAX(0,MIN('Activities'!L698,78)-MAX('Activities'!K698,72))</x:f>
        <x:v>0</x:v>
      </x:c>
      <x:c r="R698" s="22" t="n">
        <x:f>MAX(0,MIN('Activities'!L698,84)-MAX('Activities'!K698,78))</x:f>
        <x:v>0</x:v>
      </x:c>
      <x:c r="S698" s="22" t="n">
        <x:f>MAX(0,MIN('Activities'!L698,90)-MAX('Activities'!K698,84))</x:f>
        <x:v>0</x:v>
      </x:c>
      <x:c r="T698" s="22" t="n">
        <x:f>MAX(0,MIN('Activities'!L698,96)-MAX('Activities'!K698,90))</x:f>
        <x:v>0</x:v>
      </x:c>
      <x:c r="U698" s="22" t="n">
        <x:f>MAX(0,MIN('Activities'!L698,102)-MAX('Activities'!K698,96))</x:f>
        <x:v>0</x:v>
      </x:c>
      <x:c r="V698" s="22" t="n">
        <x:f>MAX(0,MIN('Activities'!L698,108)-MAX('Activities'!K698,102))</x:f>
        <x:v>0</x:v>
      </x:c>
      <x:c r="W698" s="22" t="n">
        <x:f>MAX(0,MIN('Activities'!L698,114)-MAX('Activities'!K698,108))</x:f>
        <x:v>0</x:v>
      </x:c>
      <x:c r="X698" s="22" t="n">
        <x:f>MAX(0,MIN('Activities'!L698,120)-MAX('Activities'!K698,114))</x:f>
        <x:v>0</x:v>
      </x:c>
      <x:c r="Y698" s="22" t="n">
        <x:f>MAX(0,MIN('Activities'!L698,126)-MAX('Activities'!K698,120))</x:f>
        <x:v>0</x:v>
      </x:c>
      <x:c r="Z698" s="22" t="n">
        <x:f>MAX(0,MIN('Activities'!L698,132)-MAX('Activities'!K698,126))</x:f>
        <x:v>0</x:v>
      </x:c>
      <x:c r="AA698" s="22" t="n">
        <x:f>MAX(0,MIN('Activities'!L698,138)-MAX('Activities'!K698,132))</x:f>
        <x:v>0</x:v>
      </x:c>
      <x:c r="AB698" s="22" t="n">
        <x:f>MAX(0,MIN('Activities'!L698,144)-MAX('Activities'!K698,138))</x:f>
        <x:v>0</x:v>
      </x:c>
      <x:c r="AC698" s="22" t="n">
        <x:f>MAX(0,MIN('Activities'!L698,150)-MAX('Activities'!K698,144))</x:f>
        <x:v>0</x:v>
      </x:c>
      <x:c r="AD698" s="22" t="n">
        <x:f>MAX(0,MIN('Activities'!L698,156)-MAX('Activities'!K698,150))</x:f>
        <x:v>0</x:v>
      </x:c>
      <x:c r="AE698" s="22" t="n">
        <x:f>MAX(0,MIN('Activities'!L698,162)-MAX('Activities'!K698,156))</x:f>
        <x:v>0</x:v>
      </x:c>
      <x:c r="AF698" s="22" t="n">
        <x:f>MAX(0,MIN('Activities'!L698,168)-MAX('Activities'!K698,162))</x:f>
        <x:v>0</x:v>
      </x:c>
      <x:c r="AG698" s="22" t="n">
        <x:f>MAX(0,MIN('Activities'!L698,174)-MAX('Activities'!K698,168))</x:f>
        <x:v>0</x:v>
      </x:c>
      <x:c r="AH698" s="22" t="n">
        <x:f>MAX(0,MIN('Activities'!L698,180)-MAX('Activities'!K698,174))</x:f>
        <x:v>0</x:v>
      </x:c>
      <x:c r="AI698" s="22" t="n">
        <x:f>MAX(0,MIN('Activities'!L698,186)-MAX('Activities'!K698,180))</x:f>
        <x:v>0</x:v>
      </x:c>
      <x:c r="AJ698" s="22" t="n">
        <x:f>MAX(0,MIN('Activities'!L698,192)-MAX('Activities'!K698,186))</x:f>
        <x:v>0</x:v>
      </x:c>
      <x:c r="AK698" s="22" t="n">
        <x:f>MAX(0,MIN('Activities'!L698,198)-MAX('Activities'!K698,192))</x:f>
        <x:v>0</x:v>
      </x:c>
      <x:c r="AL698" s="22" t="n">
        <x:f>MAX(0,MIN('Activities'!L698,204)-MAX('Activities'!K698,198))</x:f>
        <x:v>0</x:v>
      </x:c>
      <x:c r="AM698" s="22" t="n">
        <x:f>MAX(0,MIN('Activities'!L698,210)-MAX('Activities'!K698,204))</x:f>
        <x:v>0</x:v>
      </x:c>
      <x:c r="AN698" s="22" t="n">
        <x:f>MAX(0,MIN('Activities'!L698,216)-MAX('Activities'!K698,210))</x:f>
        <x:v>0</x:v>
      </x:c>
      <x:c r="AO698" s="22" t="n">
        <x:f>MAX(0,MIN('Activities'!L698,222)-MAX('Activities'!K698,216))</x:f>
        <x:v>0</x:v>
      </x:c>
      <x:c r="AP698" s="22" t="n">
        <x:f>MAX(0,MIN('Activities'!L698,228)-MAX('Activities'!K698,222))</x:f>
        <x:v>0</x:v>
      </x:c>
      <x:c r="AQ698" s="22" t="n">
        <x:f>MAX(0,MIN('Activities'!L698,234)-MAX('Activities'!K698,228))</x:f>
        <x:v>0</x:v>
      </x:c>
      <x:c r="AR698" s="22" t="n">
        <x:f>MAX(0,MIN('Activities'!L698,240)-MAX('Activities'!K698,234))</x:f>
        <x:v>0</x:v>
      </x:c>
      <x:c r="AS698" s="22" t="n">
        <x:f>MAX(0,MIN('Activities'!L698,246)-MAX('Activities'!K698,240))</x:f>
        <x:v>0</x:v>
      </x:c>
      <x:c r="AT698" s="22" t="n">
        <x:f>MAX(0,MIN('Activities'!L698,252)-MAX('Activities'!K698,246))</x:f>
        <x:v>0</x:v>
      </x:c>
      <x:c r="AU698" s="22" t="n">
        <x:f>MAX(0,MIN('Activities'!L698,258)-MAX('Activities'!K698,252))</x:f>
        <x:v>0</x:v>
      </x:c>
      <x:c r="AV698" s="22" t="n">
        <x:f>MAX(0,MIN('Activities'!L698,264)-MAX('Activities'!K698,258))</x:f>
        <x:v>0</x:v>
      </x:c>
      <x:c r="AW698" s="22" t="n">
        <x:f>MAX(0,MIN('Activities'!L698,270)-MAX('Activities'!K698,264))</x:f>
        <x:v>0</x:v>
      </x:c>
      <x:c r="AX698" s="22" t="n">
        <x:f>MAX(0,MIN('Activities'!L698,276)-MAX('Activities'!K698,270))</x:f>
        <x:v>4</x:v>
      </x:c>
      <x:c r="AY698" s="22" t="n">
        <x:f>MAX(0,MIN('Activities'!L698,282)-MAX('Activities'!K698,276))</x:f>
        <x:v>1</x:v>
      </x:c>
      <x:c r="AZ698" s="22" t="n">
        <x:f>MAX(0,MIN('Activities'!L698,288)-MAX('Activities'!K698,282))</x:f>
        <x:v>0</x:v>
      </x:c>
      <x:c r="BA698" s="22" t="n">
        <x:f>MAX(0,MIN('Activities'!L698,294)-MAX('Activities'!K698,288))</x:f>
        <x:v>0</x:v>
      </x:c>
      <x:c r="BB698" s="22" t="n">
        <x:f>MAX(0,MIN('Activities'!L698,300)-MAX('Activities'!K698,294))</x:f>
        <x:v>0</x:v>
      </x:c>
      <x:c r="BC698" s="22" t="n">
        <x:f>MAX(0,MIN('Activities'!L698,306)-MAX('Activities'!K698,300))</x:f>
        <x:v>0</x:v>
      </x:c>
      <x:c r="BD698" s="22" t="n">
        <x:f>MAX(0,MIN('Activities'!L698,312)-MAX('Activities'!K698,306))</x:f>
        <x:v>0</x:v>
      </x:c>
      <x:c r="BE698" s="22" t="n">
        <x:f>MAX(0,MIN('Activities'!L698,318)-MAX('Activities'!K698,312))</x:f>
        <x:v>0</x:v>
      </x:c>
      <x:c r="BF698" s="22" t="n">
        <x:f>MAX(0,MIN('Activities'!L698,324)-MAX('Activities'!K698,318))</x:f>
        <x:v>0</x:v>
      </x:c>
      <x:c r="BG698" s="22" t="n">
        <x:f>MAX(0,MIN('Activities'!L698,330)-MAX('Activities'!K698,324))</x:f>
        <x:v>0</x:v>
      </x:c>
      <x:c r="BH698" s="22" t="n">
        <x:f>MAX(0,MIN('Activities'!L698,336)-MAX('Activities'!K698,330))</x:f>
        <x:v>0</x:v>
      </x:c>
      <x:c r="BI698" s="22" t="n">
        <x:f>MAX(0,MIN('Activities'!L698,342)-MAX('Activities'!K698,336))</x:f>
        <x:v>0</x:v>
      </x:c>
      <x:c r="BJ698" s="22" t="n">
        <x:f>MAX(0,MIN('Activities'!L698,348)-MAX('Activities'!K698,342))</x:f>
        <x:v>0</x:v>
      </x:c>
      <x:c r="BK698" s="22" t="n">
        <x:f>MAX(0,MIN('Activities'!L698,354)-MAX('Activities'!K698,348))</x:f>
        <x:v>0</x:v>
      </x:c>
      <x:c r="BL698" s="22" t="n">
        <x:f>MAX(0,MIN('Activities'!L698,360)-MAX('Activities'!K698,354))</x:f>
        <x:v>0</x:v>
      </x:c>
      <x:c r="BM698" s="22" t="n">
        <x:f>MAX(0,MIN('Activities'!L698,366)-MAX('Activities'!K698,360))</x:f>
        <x:v>0</x:v>
      </x:c>
      <x:c r="BN698" s="22" t="n">
        <x:f>MAX(0,MIN('Activities'!L698,372)-MAX('Activities'!K698,366))</x:f>
        <x:v>0</x:v>
      </x:c>
      <x:c r="BO698" s="22" t="n">
        <x:f>MAX(0,MIN('Activities'!L698,378)-MAX('Activities'!K698,372))</x:f>
        <x:v>0</x:v>
      </x:c>
      <x:c r="BP698" s="22" t="n">
        <x:f>MAX(0,MIN('Activities'!L698,384)-MAX('Activities'!K698,378))</x:f>
        <x:v>0</x:v>
      </x:c>
      <x:c r="BQ698" s="22" t="n">
        <x:f>MAX(0,MIN('Activities'!L698,390)-MAX('Activities'!K698,384))</x:f>
        <x:v>0</x:v>
      </x:c>
      <x:c r="BR698" s="22" t="n">
        <x:f>MAX(0,MIN('Activities'!L698,396)-MAX('Activities'!K698,390))</x:f>
        <x:v>0</x:v>
      </x:c>
      <x:c r="BS698" s="22" t="n">
        <x:f>MAX(0,MIN('Activities'!L698,402)-MAX('Activities'!K698,396))</x:f>
        <x:v>0</x:v>
      </x:c>
      <x:c r="BT698" s="22" t="n">
        <x:f>MAX(0,MIN('Activities'!L698,408)-MAX('Activities'!K698,402))</x:f>
        <x:v>0</x:v>
      </x:c>
      <x:c r="BU698" s="22" t="n">
        <x:f>MAX(0,MIN('Activities'!L698,414)-MAX('Activities'!K698,408))</x:f>
        <x:v>0</x:v>
      </x:c>
      <x:c r="BV698" s="22" t="n">
        <x:f>MAX(0,MIN('Activities'!L698,420)-MAX('Activities'!K698,414))</x:f>
        <x:v>0</x:v>
      </x:c>
      <x:c r="BW698" s="22" t="n">
        <x:f>MAX(0,MIN('Activities'!L698,426)-MAX('Activities'!K698,420))</x:f>
        <x:v>0</x:v>
      </x:c>
      <x:c r="BX698" s="22" t="n">
        <x:f>MAX(0,MIN('Activities'!L698,432)-MAX('Activities'!K698,426))</x:f>
        <x:v>0</x:v>
      </x:c>
      <x:c r="BY698" s="22" t="n">
        <x:f>MAX(0,MIN('Activities'!L698,438)-MAX('Activities'!K698,432))</x:f>
        <x:v>0</x:v>
      </x:c>
      <x:c r="BZ698" s="22" t="n">
        <x:f>MAX(0,MIN('Activities'!L698,444)-MAX('Activities'!K698,438))</x:f>
        <x:v>0</x:v>
      </x:c>
      <x:c r="CA698" s="22" t="n">
        <x:f>MAX(0,MIN('Activities'!L698,450)-MAX('Activities'!K698,444))</x:f>
        <x:v>0</x:v>
      </x:c>
      <x:c r="CB698" s="22" t="n">
        <x:f>MAX(0,MIN('Activities'!L698,456)-MAX('Activities'!K698,450))</x:f>
        <x:v>0</x:v>
      </x:c>
      <x:c r="CC698" s="22" t="n">
        <x:f>MAX(0,MIN('Activities'!L698,462)-MAX('Activities'!K698,456))</x:f>
        <x:v>0</x:v>
      </x:c>
      <x:c r="CD698" s="22" t="n">
        <x:f>MAX(0,MIN('Activities'!L698,468)-MAX('Activities'!K698,462))</x:f>
        <x:v>0</x:v>
      </x:c>
      <x:c r="CE698" s="22" t="n">
        <x:f>MAX(0,MIN('Activities'!L698,474)-MAX('Activities'!K698,468))</x:f>
        <x:v>0</x:v>
      </x:c>
      <x:c r="CF698" s="22" t="n">
        <x:f>MAX(0,MIN('Activities'!L698,480)-MAX('Activities'!K698,474))</x:f>
        <x:v>0</x:v>
      </x:c>
      <x:c r="CG698" s="22" t="n">
        <x:f>MAX(0,MIN('Activities'!L698,486)-MAX('Activities'!K698,480))</x:f>
        <x:v>0</x:v>
      </x:c>
      <x:c r="CH698" s="22" t="n">
        <x:f>MAX(0,MIN('Activities'!L698,492)-MAX('Activities'!K698,486))</x:f>
        <x:v>0</x:v>
      </x:c>
      <x:c r="CI698" s="22" t="n">
        <x:f>MAX(0,MIN('Activities'!L698,498)-MAX('Activities'!K698,492))</x:f>
        <x:v>0</x:v>
      </x:c>
      <x:c r="CJ698" s="22" t="n">
        <x:f>MAX(0,MIN('Activities'!L698,504)-MAX('Activities'!K698,498))</x:f>
        <x:v>0</x:v>
      </x:c>
      <x:c r="CK698" s="22" t="n">
        <x:f>MAX(0,MIN('Activities'!L698,510)-MAX('Activities'!K698,504))</x:f>
        <x:v>0</x:v>
      </x:c>
      <x:c r="CL698" s="22" t="n">
        <x:f>MAX(0,MIN('Activities'!L698,516)-MAX('Activities'!K698,510))</x:f>
        <x:v>0</x:v>
      </x:c>
      <x:c r="CM698" s="22" t="n">
        <x:f>MAX(0,MIN('Activities'!L698,522)-MAX('Activities'!K698,516))</x:f>
        <x:v>0</x:v>
      </x:c>
      <x:c r="CN698" s="22" t="n">
        <x:f>MAX(0,MIN('Activities'!L698,528)-MAX('Activities'!K698,522))</x:f>
        <x:v>0</x:v>
      </x:c>
      <x:c r="CO698" s="22" t="n">
        <x:f>MAX(0,MIN('Activities'!L698,534)-MAX('Activities'!K698,528))</x:f>
        <x:v>0</x:v>
      </x:c>
      <x:c r="CP698" s="22" t="n">
        <x:f>MAX(0,MIN('Activities'!L698,540)-MAX('Activities'!K698,534))</x:f>
        <x:v>0</x:v>
      </x:c>
      <x:c r="CQ698" s="22" t="n">
        <x:f>MAX(0,MIN('Activities'!L698,546)-MAX('Activities'!K698,540))</x:f>
        <x:v>0</x:v>
      </x:c>
      <x:c r="CR698" s="22" t="n">
        <x:f>MAX(0,MIN('Activities'!L698,552)-MAX('Activities'!K698,546))</x:f>
        <x:v>0</x:v>
      </x:c>
      <x:c r="CS698" s="22" t="n">
        <x:f>MAX(0,MIN('Activities'!L698,558)-MAX('Activities'!K698,552))</x:f>
        <x:v>0</x:v>
      </x:c>
      <x:c r="CT698" s="22" t="n">
        <x:f>MAX(0,MIN('Activities'!L698,564)-MAX('Activities'!K698,558))</x:f>
        <x:v>0</x:v>
      </x:c>
      <x:c r="CU698" s="22" t="n">
        <x:f>MAX(0,MIN('Activities'!L698,570)-MAX('Activities'!K698,564))</x:f>
        <x:v>0</x:v>
      </x:c>
      <x:c r="CV698" s="22" t="n">
        <x:f>MAX(0,MIN('Activities'!L698,576)-MAX('Activities'!K698,570))</x:f>
        <x:v>0</x:v>
      </x:c>
      <x:c r="CW698" s="22" t="n">
        <x:f>MAX(0,MIN('Activities'!L698,582)-MAX('Activities'!K698,576))</x:f>
        <x:v>0</x:v>
      </x:c>
      <x:c r="CX698" s="22" t="n">
        <x:f>MAX(0,MIN('Activities'!L698,588)-MAX('Activities'!K698,582))</x:f>
        <x:v>0</x:v>
      </x:c>
      <x:c r="CY698" s="22" t="n">
        <x:f>MAX(0,MIN('Activities'!L698,594)-MAX('Activities'!K698,588))</x:f>
        <x:v>0</x:v>
      </x:c>
      <x:c r="CZ698" s="22" t="n">
        <x:f>MAX(0,MIN('Activities'!L698,600)-MAX('Activities'!K698,594))</x:f>
        <x:v>0</x:v>
      </x:c>
      <x:c r="DA698" s="22" t="n">
        <x:f>MAX(0,MIN('Activities'!L698,606)-MAX('Activities'!K698,600))</x:f>
        <x:v>0</x:v>
      </x:c>
      <x:c r="DB698" s="22" t="n">
        <x:f>MAX(0,MIN('Activities'!L698,612)-MAX('Activities'!K698,606))</x:f>
        <x:v>0</x:v>
      </x:c>
      <x:c r="DC698" s="22" t="n">
        <x:f>MAX(0,MIN('Activities'!L698,618)-MAX('Activities'!K698,612))</x:f>
        <x:v>0</x:v>
      </x:c>
      <x:c r="DD698" s="22" t="n">
        <x:f>MAX(0,MIN('Activities'!L698,624)-MAX('Activities'!K698,618))</x:f>
        <x:v>0</x:v>
      </x:c>
      <x:c r="DE698" s="22" t="n">
        <x:f>MAX(0,MIN('Activities'!L698,630)-MAX('Activities'!K698,624))</x:f>
        <x:v>0</x:v>
      </x:c>
      <x:c r="DF698" s="22" t="n">
        <x:f>MAX(0,MIN('Activities'!L698,636)-MAX('Activities'!K698,630))</x:f>
        <x:v>0</x:v>
      </x:c>
    </x:row>
    <x:row r="699" ht="23" customHeight="1">
      <x:c r="A699" s="1" t="str">
        <x:v>T6-L04-C</x:v>
      </x:c>
      <x:c r="B699" s="1" t="str">
        <x:v>T6</x:v>
      </x:c>
      <x:c r="C699" s="1" t="str">
        <x:v>Concrete placement and finishing</x:v>
      </x:c>
      <x:c r="D699" s="1" t="str">
        <x:v>Concrete</x:v>
      </x:c>
      <x:c r="E699" s="23" t="n">
        <x:f>MAX(0,MIN('Activities'!L699,6)-MAX('Activities'!K699,0))</x:f>
        <x:v>0</x:v>
      </x:c>
      <x:c r="F699" s="23" t="n">
        <x:f>MAX(0,MIN('Activities'!L699,12)-MAX('Activities'!K699,6))</x:f>
        <x:v>0</x:v>
      </x:c>
      <x:c r="G699" s="23" t="n">
        <x:f>MAX(0,MIN('Activities'!L699,18)-MAX('Activities'!K699,12))</x:f>
        <x:v>0</x:v>
      </x:c>
      <x:c r="H699" s="23" t="n">
        <x:f>MAX(0,MIN('Activities'!L699,24)-MAX('Activities'!K699,18))</x:f>
        <x:v>0</x:v>
      </x:c>
      <x:c r="I699" s="23" t="n">
        <x:f>MAX(0,MIN('Activities'!L699,30)-MAX('Activities'!K699,24))</x:f>
        <x:v>0</x:v>
      </x:c>
      <x:c r="J699" s="23" t="n">
        <x:f>MAX(0,MIN('Activities'!L699,36)-MAX('Activities'!K699,30))</x:f>
        <x:v>0</x:v>
      </x:c>
      <x:c r="K699" s="23" t="n">
        <x:f>MAX(0,MIN('Activities'!L699,42)-MAX('Activities'!K699,36))</x:f>
        <x:v>0</x:v>
      </x:c>
      <x:c r="L699" s="23" t="n">
        <x:f>MAX(0,MIN('Activities'!L699,48)-MAX('Activities'!K699,42))</x:f>
        <x:v>0</x:v>
      </x:c>
      <x:c r="M699" s="23" t="n">
        <x:f>MAX(0,MIN('Activities'!L699,54)-MAX('Activities'!K699,48))</x:f>
        <x:v>0</x:v>
      </x:c>
      <x:c r="N699" s="23" t="n">
        <x:f>MAX(0,MIN('Activities'!L699,60)-MAX('Activities'!K699,54))</x:f>
        <x:v>0</x:v>
      </x:c>
      <x:c r="O699" s="23" t="n">
        <x:f>MAX(0,MIN('Activities'!L699,66)-MAX('Activities'!K699,60))</x:f>
        <x:v>0</x:v>
      </x:c>
      <x:c r="P699" s="23" t="n">
        <x:f>MAX(0,MIN('Activities'!L699,72)-MAX('Activities'!K699,66))</x:f>
        <x:v>0</x:v>
      </x:c>
      <x:c r="Q699" s="23" t="n">
        <x:f>MAX(0,MIN('Activities'!L699,78)-MAX('Activities'!K699,72))</x:f>
        <x:v>0</x:v>
      </x:c>
      <x:c r="R699" s="23" t="n">
        <x:f>MAX(0,MIN('Activities'!L699,84)-MAX('Activities'!K699,78))</x:f>
        <x:v>0</x:v>
      </x:c>
      <x:c r="S699" s="23" t="n">
        <x:f>MAX(0,MIN('Activities'!L699,90)-MAX('Activities'!K699,84))</x:f>
        <x:v>0</x:v>
      </x:c>
      <x:c r="T699" s="23" t="n">
        <x:f>MAX(0,MIN('Activities'!L699,96)-MAX('Activities'!K699,90))</x:f>
        <x:v>0</x:v>
      </x:c>
      <x:c r="U699" s="23" t="n">
        <x:f>MAX(0,MIN('Activities'!L699,102)-MAX('Activities'!K699,96))</x:f>
        <x:v>0</x:v>
      </x:c>
      <x:c r="V699" s="23" t="n">
        <x:f>MAX(0,MIN('Activities'!L699,108)-MAX('Activities'!K699,102))</x:f>
        <x:v>0</x:v>
      </x:c>
      <x:c r="W699" s="23" t="n">
        <x:f>MAX(0,MIN('Activities'!L699,114)-MAX('Activities'!K699,108))</x:f>
        <x:v>0</x:v>
      </x:c>
      <x:c r="X699" s="23" t="n">
        <x:f>MAX(0,MIN('Activities'!L699,120)-MAX('Activities'!K699,114))</x:f>
        <x:v>0</x:v>
      </x:c>
      <x:c r="Y699" s="23" t="n">
        <x:f>MAX(0,MIN('Activities'!L699,126)-MAX('Activities'!K699,120))</x:f>
        <x:v>0</x:v>
      </x:c>
      <x:c r="Z699" s="23" t="n">
        <x:f>MAX(0,MIN('Activities'!L699,132)-MAX('Activities'!K699,126))</x:f>
        <x:v>0</x:v>
      </x:c>
      <x:c r="AA699" s="23" t="n">
        <x:f>MAX(0,MIN('Activities'!L699,138)-MAX('Activities'!K699,132))</x:f>
        <x:v>0</x:v>
      </x:c>
      <x:c r="AB699" s="23" t="n">
        <x:f>MAX(0,MIN('Activities'!L699,144)-MAX('Activities'!K699,138))</x:f>
        <x:v>0</x:v>
      </x:c>
      <x:c r="AC699" s="23" t="n">
        <x:f>MAX(0,MIN('Activities'!L699,150)-MAX('Activities'!K699,144))</x:f>
        <x:v>0</x:v>
      </x:c>
      <x:c r="AD699" s="23" t="n">
        <x:f>MAX(0,MIN('Activities'!L699,156)-MAX('Activities'!K699,150))</x:f>
        <x:v>0</x:v>
      </x:c>
      <x:c r="AE699" s="23" t="n">
        <x:f>MAX(0,MIN('Activities'!L699,162)-MAX('Activities'!K699,156))</x:f>
        <x:v>0</x:v>
      </x:c>
      <x:c r="AF699" s="23" t="n">
        <x:f>MAX(0,MIN('Activities'!L699,168)-MAX('Activities'!K699,162))</x:f>
        <x:v>0</x:v>
      </x:c>
      <x:c r="AG699" s="23" t="n">
        <x:f>MAX(0,MIN('Activities'!L699,174)-MAX('Activities'!K699,168))</x:f>
        <x:v>0</x:v>
      </x:c>
      <x:c r="AH699" s="23" t="n">
        <x:f>MAX(0,MIN('Activities'!L699,180)-MAX('Activities'!K699,174))</x:f>
        <x:v>0</x:v>
      </x:c>
      <x:c r="AI699" s="23" t="n">
        <x:f>MAX(0,MIN('Activities'!L699,186)-MAX('Activities'!K699,180))</x:f>
        <x:v>0</x:v>
      </x:c>
      <x:c r="AJ699" s="23" t="n">
        <x:f>MAX(0,MIN('Activities'!L699,192)-MAX('Activities'!K699,186))</x:f>
        <x:v>0</x:v>
      </x:c>
      <x:c r="AK699" s="23" t="n">
        <x:f>MAX(0,MIN('Activities'!L699,198)-MAX('Activities'!K699,192))</x:f>
        <x:v>0</x:v>
      </x:c>
      <x:c r="AL699" s="23" t="n">
        <x:f>MAX(0,MIN('Activities'!L699,204)-MAX('Activities'!K699,198))</x:f>
        <x:v>0</x:v>
      </x:c>
      <x:c r="AM699" s="23" t="n">
        <x:f>MAX(0,MIN('Activities'!L699,210)-MAX('Activities'!K699,204))</x:f>
        <x:v>0</x:v>
      </x:c>
      <x:c r="AN699" s="23" t="n">
        <x:f>MAX(0,MIN('Activities'!L699,216)-MAX('Activities'!K699,210))</x:f>
        <x:v>0</x:v>
      </x:c>
      <x:c r="AO699" s="23" t="n">
        <x:f>MAX(0,MIN('Activities'!L699,222)-MAX('Activities'!K699,216))</x:f>
        <x:v>0</x:v>
      </x:c>
      <x:c r="AP699" s="23" t="n">
        <x:f>MAX(0,MIN('Activities'!L699,228)-MAX('Activities'!K699,222))</x:f>
        <x:v>0</x:v>
      </x:c>
      <x:c r="AQ699" s="23" t="n">
        <x:f>MAX(0,MIN('Activities'!L699,234)-MAX('Activities'!K699,228))</x:f>
        <x:v>0</x:v>
      </x:c>
      <x:c r="AR699" s="23" t="n">
        <x:f>MAX(0,MIN('Activities'!L699,240)-MAX('Activities'!K699,234))</x:f>
        <x:v>0</x:v>
      </x:c>
      <x:c r="AS699" s="23" t="n">
        <x:f>MAX(0,MIN('Activities'!L699,246)-MAX('Activities'!K699,240))</x:f>
        <x:v>0</x:v>
      </x:c>
      <x:c r="AT699" s="23" t="n">
        <x:f>MAX(0,MIN('Activities'!L699,252)-MAX('Activities'!K699,246))</x:f>
        <x:v>0</x:v>
      </x:c>
      <x:c r="AU699" s="23" t="n">
        <x:f>MAX(0,MIN('Activities'!L699,258)-MAX('Activities'!K699,252))</x:f>
        <x:v>0</x:v>
      </x:c>
      <x:c r="AV699" s="23" t="n">
        <x:f>MAX(0,MIN('Activities'!L699,264)-MAX('Activities'!K699,258))</x:f>
        <x:v>0</x:v>
      </x:c>
      <x:c r="AW699" s="23" t="n">
        <x:f>MAX(0,MIN('Activities'!L699,270)-MAX('Activities'!K699,264))</x:f>
        <x:v>0</x:v>
      </x:c>
      <x:c r="AX699" s="23" t="n">
        <x:f>MAX(0,MIN('Activities'!L699,276)-MAX('Activities'!K699,270))</x:f>
        <x:v>0</x:v>
      </x:c>
      <x:c r="AY699" s="23" t="n">
        <x:f>MAX(0,MIN('Activities'!L699,282)-MAX('Activities'!K699,276))</x:f>
        <x:v>2</x:v>
      </x:c>
      <x:c r="AZ699" s="23" t="n">
        <x:f>MAX(0,MIN('Activities'!L699,288)-MAX('Activities'!K699,282))</x:f>
        <x:v>0</x:v>
      </x:c>
      <x:c r="BA699" s="23" t="n">
        <x:f>MAX(0,MIN('Activities'!L699,294)-MAX('Activities'!K699,288))</x:f>
        <x:v>0</x:v>
      </x:c>
      <x:c r="BB699" s="23" t="n">
        <x:f>MAX(0,MIN('Activities'!L699,300)-MAX('Activities'!K699,294))</x:f>
        <x:v>0</x:v>
      </x:c>
      <x:c r="BC699" s="23" t="n">
        <x:f>MAX(0,MIN('Activities'!L699,306)-MAX('Activities'!K699,300))</x:f>
        <x:v>0</x:v>
      </x:c>
      <x:c r="BD699" s="23" t="n">
        <x:f>MAX(0,MIN('Activities'!L699,312)-MAX('Activities'!K699,306))</x:f>
        <x:v>0</x:v>
      </x:c>
      <x:c r="BE699" s="23" t="n">
        <x:f>MAX(0,MIN('Activities'!L699,318)-MAX('Activities'!K699,312))</x:f>
        <x:v>0</x:v>
      </x:c>
      <x:c r="BF699" s="23" t="n">
        <x:f>MAX(0,MIN('Activities'!L699,324)-MAX('Activities'!K699,318))</x:f>
        <x:v>0</x:v>
      </x:c>
      <x:c r="BG699" s="23" t="n">
        <x:f>MAX(0,MIN('Activities'!L699,330)-MAX('Activities'!K699,324))</x:f>
        <x:v>0</x:v>
      </x:c>
      <x:c r="BH699" s="23" t="n">
        <x:f>MAX(0,MIN('Activities'!L699,336)-MAX('Activities'!K699,330))</x:f>
        <x:v>0</x:v>
      </x:c>
      <x:c r="BI699" s="23" t="n">
        <x:f>MAX(0,MIN('Activities'!L699,342)-MAX('Activities'!K699,336))</x:f>
        <x:v>0</x:v>
      </x:c>
      <x:c r="BJ699" s="23" t="n">
        <x:f>MAX(0,MIN('Activities'!L699,348)-MAX('Activities'!K699,342))</x:f>
        <x:v>0</x:v>
      </x:c>
      <x:c r="BK699" s="23" t="n">
        <x:f>MAX(0,MIN('Activities'!L699,354)-MAX('Activities'!K699,348))</x:f>
        <x:v>0</x:v>
      </x:c>
      <x:c r="BL699" s="23" t="n">
        <x:f>MAX(0,MIN('Activities'!L699,360)-MAX('Activities'!K699,354))</x:f>
        <x:v>0</x:v>
      </x:c>
      <x:c r="BM699" s="23" t="n">
        <x:f>MAX(0,MIN('Activities'!L699,366)-MAX('Activities'!K699,360))</x:f>
        <x:v>0</x:v>
      </x:c>
      <x:c r="BN699" s="23" t="n">
        <x:f>MAX(0,MIN('Activities'!L699,372)-MAX('Activities'!K699,366))</x:f>
        <x:v>0</x:v>
      </x:c>
      <x:c r="BO699" s="23" t="n">
        <x:f>MAX(0,MIN('Activities'!L699,378)-MAX('Activities'!K699,372))</x:f>
        <x:v>0</x:v>
      </x:c>
      <x:c r="BP699" s="23" t="n">
        <x:f>MAX(0,MIN('Activities'!L699,384)-MAX('Activities'!K699,378))</x:f>
        <x:v>0</x:v>
      </x:c>
      <x:c r="BQ699" s="23" t="n">
        <x:f>MAX(0,MIN('Activities'!L699,390)-MAX('Activities'!K699,384))</x:f>
        <x:v>0</x:v>
      </x:c>
      <x:c r="BR699" s="23" t="n">
        <x:f>MAX(0,MIN('Activities'!L699,396)-MAX('Activities'!K699,390))</x:f>
        <x:v>0</x:v>
      </x:c>
      <x:c r="BS699" s="23" t="n">
        <x:f>MAX(0,MIN('Activities'!L699,402)-MAX('Activities'!K699,396))</x:f>
        <x:v>0</x:v>
      </x:c>
      <x:c r="BT699" s="23" t="n">
        <x:f>MAX(0,MIN('Activities'!L699,408)-MAX('Activities'!K699,402))</x:f>
        <x:v>0</x:v>
      </x:c>
      <x:c r="BU699" s="23" t="n">
        <x:f>MAX(0,MIN('Activities'!L699,414)-MAX('Activities'!K699,408))</x:f>
        <x:v>0</x:v>
      </x:c>
      <x:c r="BV699" s="23" t="n">
        <x:f>MAX(0,MIN('Activities'!L699,420)-MAX('Activities'!K699,414))</x:f>
        <x:v>0</x:v>
      </x:c>
      <x:c r="BW699" s="23" t="n">
        <x:f>MAX(0,MIN('Activities'!L699,426)-MAX('Activities'!K699,420))</x:f>
        <x:v>0</x:v>
      </x:c>
      <x:c r="BX699" s="23" t="n">
        <x:f>MAX(0,MIN('Activities'!L699,432)-MAX('Activities'!K699,426))</x:f>
        <x:v>0</x:v>
      </x:c>
      <x:c r="BY699" s="23" t="n">
        <x:f>MAX(0,MIN('Activities'!L699,438)-MAX('Activities'!K699,432))</x:f>
        <x:v>0</x:v>
      </x:c>
      <x:c r="BZ699" s="23" t="n">
        <x:f>MAX(0,MIN('Activities'!L699,444)-MAX('Activities'!K699,438))</x:f>
        <x:v>0</x:v>
      </x:c>
      <x:c r="CA699" s="23" t="n">
        <x:f>MAX(0,MIN('Activities'!L699,450)-MAX('Activities'!K699,444))</x:f>
        <x:v>0</x:v>
      </x:c>
      <x:c r="CB699" s="23" t="n">
        <x:f>MAX(0,MIN('Activities'!L699,456)-MAX('Activities'!K699,450))</x:f>
        <x:v>0</x:v>
      </x:c>
      <x:c r="CC699" s="23" t="n">
        <x:f>MAX(0,MIN('Activities'!L699,462)-MAX('Activities'!K699,456))</x:f>
        <x:v>0</x:v>
      </x:c>
      <x:c r="CD699" s="23" t="n">
        <x:f>MAX(0,MIN('Activities'!L699,468)-MAX('Activities'!K699,462))</x:f>
        <x:v>0</x:v>
      </x:c>
      <x:c r="CE699" s="23" t="n">
        <x:f>MAX(0,MIN('Activities'!L699,474)-MAX('Activities'!K699,468))</x:f>
        <x:v>0</x:v>
      </x:c>
      <x:c r="CF699" s="23" t="n">
        <x:f>MAX(0,MIN('Activities'!L699,480)-MAX('Activities'!K699,474))</x:f>
        <x:v>0</x:v>
      </x:c>
      <x:c r="CG699" s="23" t="n">
        <x:f>MAX(0,MIN('Activities'!L699,486)-MAX('Activities'!K699,480))</x:f>
        <x:v>0</x:v>
      </x:c>
      <x:c r="CH699" s="23" t="n">
        <x:f>MAX(0,MIN('Activities'!L699,492)-MAX('Activities'!K699,486))</x:f>
        <x:v>0</x:v>
      </x:c>
      <x:c r="CI699" s="23" t="n">
        <x:f>MAX(0,MIN('Activities'!L699,498)-MAX('Activities'!K699,492))</x:f>
        <x:v>0</x:v>
      </x:c>
      <x:c r="CJ699" s="23" t="n">
        <x:f>MAX(0,MIN('Activities'!L699,504)-MAX('Activities'!K699,498))</x:f>
        <x:v>0</x:v>
      </x:c>
      <x:c r="CK699" s="23" t="n">
        <x:f>MAX(0,MIN('Activities'!L699,510)-MAX('Activities'!K699,504))</x:f>
        <x:v>0</x:v>
      </x:c>
      <x:c r="CL699" s="23" t="n">
        <x:f>MAX(0,MIN('Activities'!L699,516)-MAX('Activities'!K699,510))</x:f>
        <x:v>0</x:v>
      </x:c>
      <x:c r="CM699" s="23" t="n">
        <x:f>MAX(0,MIN('Activities'!L699,522)-MAX('Activities'!K699,516))</x:f>
        <x:v>0</x:v>
      </x:c>
      <x:c r="CN699" s="23" t="n">
        <x:f>MAX(0,MIN('Activities'!L699,528)-MAX('Activities'!K699,522))</x:f>
        <x:v>0</x:v>
      </x:c>
      <x:c r="CO699" s="23" t="n">
        <x:f>MAX(0,MIN('Activities'!L699,534)-MAX('Activities'!K699,528))</x:f>
        <x:v>0</x:v>
      </x:c>
      <x:c r="CP699" s="23" t="n">
        <x:f>MAX(0,MIN('Activities'!L699,540)-MAX('Activities'!K699,534))</x:f>
        <x:v>0</x:v>
      </x:c>
      <x:c r="CQ699" s="23" t="n">
        <x:f>MAX(0,MIN('Activities'!L699,546)-MAX('Activities'!K699,540))</x:f>
        <x:v>0</x:v>
      </x:c>
      <x:c r="CR699" s="23" t="n">
        <x:f>MAX(0,MIN('Activities'!L699,552)-MAX('Activities'!K699,546))</x:f>
        <x:v>0</x:v>
      </x:c>
      <x:c r="CS699" s="23" t="n">
        <x:f>MAX(0,MIN('Activities'!L699,558)-MAX('Activities'!K699,552))</x:f>
        <x:v>0</x:v>
      </x:c>
      <x:c r="CT699" s="23" t="n">
        <x:f>MAX(0,MIN('Activities'!L699,564)-MAX('Activities'!K699,558))</x:f>
        <x:v>0</x:v>
      </x:c>
      <x:c r="CU699" s="23" t="n">
        <x:f>MAX(0,MIN('Activities'!L699,570)-MAX('Activities'!K699,564))</x:f>
        <x:v>0</x:v>
      </x:c>
      <x:c r="CV699" s="23" t="n">
        <x:f>MAX(0,MIN('Activities'!L699,576)-MAX('Activities'!K699,570))</x:f>
        <x:v>0</x:v>
      </x:c>
      <x:c r="CW699" s="23" t="n">
        <x:f>MAX(0,MIN('Activities'!L699,582)-MAX('Activities'!K699,576))</x:f>
        <x:v>0</x:v>
      </x:c>
      <x:c r="CX699" s="23" t="n">
        <x:f>MAX(0,MIN('Activities'!L699,588)-MAX('Activities'!K699,582))</x:f>
        <x:v>0</x:v>
      </x:c>
      <x:c r="CY699" s="23" t="n">
        <x:f>MAX(0,MIN('Activities'!L699,594)-MAX('Activities'!K699,588))</x:f>
        <x:v>0</x:v>
      </x:c>
      <x:c r="CZ699" s="23" t="n">
        <x:f>MAX(0,MIN('Activities'!L699,600)-MAX('Activities'!K699,594))</x:f>
        <x:v>0</x:v>
      </x:c>
      <x:c r="DA699" s="23" t="n">
        <x:f>MAX(0,MIN('Activities'!L699,606)-MAX('Activities'!K699,600))</x:f>
        <x:v>0</x:v>
      </x:c>
      <x:c r="DB699" s="23" t="n">
        <x:f>MAX(0,MIN('Activities'!L699,612)-MAX('Activities'!K699,606))</x:f>
        <x:v>0</x:v>
      </x:c>
      <x:c r="DC699" s="23" t="n">
        <x:f>MAX(0,MIN('Activities'!L699,618)-MAX('Activities'!K699,612))</x:f>
        <x:v>0</x:v>
      </x:c>
      <x:c r="DD699" s="23" t="n">
        <x:f>MAX(0,MIN('Activities'!L699,624)-MAX('Activities'!K699,618))</x:f>
        <x:v>0</x:v>
      </x:c>
      <x:c r="DE699" s="23" t="n">
        <x:f>MAX(0,MIN('Activities'!L699,630)-MAX('Activities'!K699,624))</x:f>
        <x:v>0</x:v>
      </x:c>
      <x:c r="DF699" s="23" t="n">
        <x:f>MAX(0,MIN('Activities'!L699,636)-MAX('Activities'!K699,630))</x:f>
        <x:v>0</x:v>
      </x:c>
    </x:row>
    <x:row r="700" ht="23" customHeight="1">
      <x:c r="A700" s="6" t="str">
        <x:v>T6-L04-H</x:v>
      </x:c>
      <x:c r="B700" s="6" t="str">
        <x:v>T6</x:v>
      </x:c>
      <x:c r="C700" s="6" t="str">
        <x:v>Curing and release hold point</x:v>
      </x:c>
      <x:c r="D700" s="6" t="str">
        <x:v>Site</x:v>
      </x:c>
      <x:c r="E700" s="22" t="n">
        <x:f>MAX(0,MIN('Activities'!L700,6)-MAX('Activities'!K700,0))</x:f>
        <x:v>0</x:v>
      </x:c>
      <x:c r="F700" s="22" t="n">
        <x:f>MAX(0,MIN('Activities'!L700,12)-MAX('Activities'!K700,6))</x:f>
        <x:v>0</x:v>
      </x:c>
      <x:c r="G700" s="22" t="n">
        <x:f>MAX(0,MIN('Activities'!L700,18)-MAX('Activities'!K700,12))</x:f>
        <x:v>0</x:v>
      </x:c>
      <x:c r="H700" s="22" t="n">
        <x:f>MAX(0,MIN('Activities'!L700,24)-MAX('Activities'!K700,18))</x:f>
        <x:v>0</x:v>
      </x:c>
      <x:c r="I700" s="22" t="n">
        <x:f>MAX(0,MIN('Activities'!L700,30)-MAX('Activities'!K700,24))</x:f>
        <x:v>0</x:v>
      </x:c>
      <x:c r="J700" s="22" t="n">
        <x:f>MAX(0,MIN('Activities'!L700,36)-MAX('Activities'!K700,30))</x:f>
        <x:v>0</x:v>
      </x:c>
      <x:c r="K700" s="22" t="n">
        <x:f>MAX(0,MIN('Activities'!L700,42)-MAX('Activities'!K700,36))</x:f>
        <x:v>0</x:v>
      </x:c>
      <x:c r="L700" s="22" t="n">
        <x:f>MAX(0,MIN('Activities'!L700,48)-MAX('Activities'!K700,42))</x:f>
        <x:v>0</x:v>
      </x:c>
      <x:c r="M700" s="22" t="n">
        <x:f>MAX(0,MIN('Activities'!L700,54)-MAX('Activities'!K700,48))</x:f>
        <x:v>0</x:v>
      </x:c>
      <x:c r="N700" s="22" t="n">
        <x:f>MAX(0,MIN('Activities'!L700,60)-MAX('Activities'!K700,54))</x:f>
        <x:v>0</x:v>
      </x:c>
      <x:c r="O700" s="22" t="n">
        <x:f>MAX(0,MIN('Activities'!L700,66)-MAX('Activities'!K700,60))</x:f>
        <x:v>0</x:v>
      </x:c>
      <x:c r="P700" s="22" t="n">
        <x:f>MAX(0,MIN('Activities'!L700,72)-MAX('Activities'!K700,66))</x:f>
        <x:v>0</x:v>
      </x:c>
      <x:c r="Q700" s="22" t="n">
        <x:f>MAX(0,MIN('Activities'!L700,78)-MAX('Activities'!K700,72))</x:f>
        <x:v>0</x:v>
      </x:c>
      <x:c r="R700" s="22" t="n">
        <x:f>MAX(0,MIN('Activities'!L700,84)-MAX('Activities'!K700,78))</x:f>
        <x:v>0</x:v>
      </x:c>
      <x:c r="S700" s="22" t="n">
        <x:f>MAX(0,MIN('Activities'!L700,90)-MAX('Activities'!K700,84))</x:f>
        <x:v>0</x:v>
      </x:c>
      <x:c r="T700" s="22" t="n">
        <x:f>MAX(0,MIN('Activities'!L700,96)-MAX('Activities'!K700,90))</x:f>
        <x:v>0</x:v>
      </x:c>
      <x:c r="U700" s="22" t="n">
        <x:f>MAX(0,MIN('Activities'!L700,102)-MAX('Activities'!K700,96))</x:f>
        <x:v>0</x:v>
      </x:c>
      <x:c r="V700" s="22" t="n">
        <x:f>MAX(0,MIN('Activities'!L700,108)-MAX('Activities'!K700,102))</x:f>
        <x:v>0</x:v>
      </x:c>
      <x:c r="W700" s="22" t="n">
        <x:f>MAX(0,MIN('Activities'!L700,114)-MAX('Activities'!K700,108))</x:f>
        <x:v>0</x:v>
      </x:c>
      <x:c r="X700" s="22" t="n">
        <x:f>MAX(0,MIN('Activities'!L700,120)-MAX('Activities'!K700,114))</x:f>
        <x:v>0</x:v>
      </x:c>
      <x:c r="Y700" s="22" t="n">
        <x:f>MAX(0,MIN('Activities'!L700,126)-MAX('Activities'!K700,120))</x:f>
        <x:v>0</x:v>
      </x:c>
      <x:c r="Z700" s="22" t="n">
        <x:f>MAX(0,MIN('Activities'!L700,132)-MAX('Activities'!K700,126))</x:f>
        <x:v>0</x:v>
      </x:c>
      <x:c r="AA700" s="22" t="n">
        <x:f>MAX(0,MIN('Activities'!L700,138)-MAX('Activities'!K700,132))</x:f>
        <x:v>0</x:v>
      </x:c>
      <x:c r="AB700" s="22" t="n">
        <x:f>MAX(0,MIN('Activities'!L700,144)-MAX('Activities'!K700,138))</x:f>
        <x:v>0</x:v>
      </x:c>
      <x:c r="AC700" s="22" t="n">
        <x:f>MAX(0,MIN('Activities'!L700,150)-MAX('Activities'!K700,144))</x:f>
        <x:v>0</x:v>
      </x:c>
      <x:c r="AD700" s="22" t="n">
        <x:f>MAX(0,MIN('Activities'!L700,156)-MAX('Activities'!K700,150))</x:f>
        <x:v>0</x:v>
      </x:c>
      <x:c r="AE700" s="22" t="n">
        <x:f>MAX(0,MIN('Activities'!L700,162)-MAX('Activities'!K700,156))</x:f>
        <x:v>0</x:v>
      </x:c>
      <x:c r="AF700" s="22" t="n">
        <x:f>MAX(0,MIN('Activities'!L700,168)-MAX('Activities'!K700,162))</x:f>
        <x:v>0</x:v>
      </x:c>
      <x:c r="AG700" s="22" t="n">
        <x:f>MAX(0,MIN('Activities'!L700,174)-MAX('Activities'!K700,168))</x:f>
        <x:v>0</x:v>
      </x:c>
      <x:c r="AH700" s="22" t="n">
        <x:f>MAX(0,MIN('Activities'!L700,180)-MAX('Activities'!K700,174))</x:f>
        <x:v>0</x:v>
      </x:c>
      <x:c r="AI700" s="22" t="n">
        <x:f>MAX(0,MIN('Activities'!L700,186)-MAX('Activities'!K700,180))</x:f>
        <x:v>0</x:v>
      </x:c>
      <x:c r="AJ700" s="22" t="n">
        <x:f>MAX(0,MIN('Activities'!L700,192)-MAX('Activities'!K700,186))</x:f>
        <x:v>0</x:v>
      </x:c>
      <x:c r="AK700" s="22" t="n">
        <x:f>MAX(0,MIN('Activities'!L700,198)-MAX('Activities'!K700,192))</x:f>
        <x:v>0</x:v>
      </x:c>
      <x:c r="AL700" s="22" t="n">
        <x:f>MAX(0,MIN('Activities'!L700,204)-MAX('Activities'!K700,198))</x:f>
        <x:v>0</x:v>
      </x:c>
      <x:c r="AM700" s="22" t="n">
        <x:f>MAX(0,MIN('Activities'!L700,210)-MAX('Activities'!K700,204))</x:f>
        <x:v>0</x:v>
      </x:c>
      <x:c r="AN700" s="22" t="n">
        <x:f>MAX(0,MIN('Activities'!L700,216)-MAX('Activities'!K700,210))</x:f>
        <x:v>0</x:v>
      </x:c>
      <x:c r="AO700" s="22" t="n">
        <x:f>MAX(0,MIN('Activities'!L700,222)-MAX('Activities'!K700,216))</x:f>
        <x:v>0</x:v>
      </x:c>
      <x:c r="AP700" s="22" t="n">
        <x:f>MAX(0,MIN('Activities'!L700,228)-MAX('Activities'!K700,222))</x:f>
        <x:v>0</x:v>
      </x:c>
      <x:c r="AQ700" s="22" t="n">
        <x:f>MAX(0,MIN('Activities'!L700,234)-MAX('Activities'!K700,228))</x:f>
        <x:v>0</x:v>
      </x:c>
      <x:c r="AR700" s="22" t="n">
        <x:f>MAX(0,MIN('Activities'!L700,240)-MAX('Activities'!K700,234))</x:f>
        <x:v>0</x:v>
      </x:c>
      <x:c r="AS700" s="22" t="n">
        <x:f>MAX(0,MIN('Activities'!L700,246)-MAX('Activities'!K700,240))</x:f>
        <x:v>0</x:v>
      </x:c>
      <x:c r="AT700" s="22" t="n">
        <x:f>MAX(0,MIN('Activities'!L700,252)-MAX('Activities'!K700,246))</x:f>
        <x:v>0</x:v>
      </x:c>
      <x:c r="AU700" s="22" t="n">
        <x:f>MAX(0,MIN('Activities'!L700,258)-MAX('Activities'!K700,252))</x:f>
        <x:v>0</x:v>
      </x:c>
      <x:c r="AV700" s="22" t="n">
        <x:f>MAX(0,MIN('Activities'!L700,264)-MAX('Activities'!K700,258))</x:f>
        <x:v>0</x:v>
      </x:c>
      <x:c r="AW700" s="22" t="n">
        <x:f>MAX(0,MIN('Activities'!L700,270)-MAX('Activities'!K700,264))</x:f>
        <x:v>0</x:v>
      </x:c>
      <x:c r="AX700" s="22" t="n">
        <x:f>MAX(0,MIN('Activities'!L700,276)-MAX('Activities'!K700,270))</x:f>
        <x:v>0</x:v>
      </x:c>
      <x:c r="AY700" s="22" t="n">
        <x:f>MAX(0,MIN('Activities'!L700,282)-MAX('Activities'!K700,276))</x:f>
        <x:v>3</x:v>
      </x:c>
      <x:c r="AZ700" s="22" t="n">
        <x:f>MAX(0,MIN('Activities'!L700,288)-MAX('Activities'!K700,282))</x:f>
        <x:v>2</x:v>
      </x:c>
      <x:c r="BA700" s="22" t="n">
        <x:f>MAX(0,MIN('Activities'!L700,294)-MAX('Activities'!K700,288))</x:f>
        <x:v>0</x:v>
      </x:c>
      <x:c r="BB700" s="22" t="n">
        <x:f>MAX(0,MIN('Activities'!L700,300)-MAX('Activities'!K700,294))</x:f>
        <x:v>0</x:v>
      </x:c>
      <x:c r="BC700" s="22" t="n">
        <x:f>MAX(0,MIN('Activities'!L700,306)-MAX('Activities'!K700,300))</x:f>
        <x:v>0</x:v>
      </x:c>
      <x:c r="BD700" s="22" t="n">
        <x:f>MAX(0,MIN('Activities'!L700,312)-MAX('Activities'!K700,306))</x:f>
        <x:v>0</x:v>
      </x:c>
      <x:c r="BE700" s="22" t="n">
        <x:f>MAX(0,MIN('Activities'!L700,318)-MAX('Activities'!K700,312))</x:f>
        <x:v>0</x:v>
      </x:c>
      <x:c r="BF700" s="22" t="n">
        <x:f>MAX(0,MIN('Activities'!L700,324)-MAX('Activities'!K700,318))</x:f>
        <x:v>0</x:v>
      </x:c>
      <x:c r="BG700" s="22" t="n">
        <x:f>MAX(0,MIN('Activities'!L700,330)-MAX('Activities'!K700,324))</x:f>
        <x:v>0</x:v>
      </x:c>
      <x:c r="BH700" s="22" t="n">
        <x:f>MAX(0,MIN('Activities'!L700,336)-MAX('Activities'!K700,330))</x:f>
        <x:v>0</x:v>
      </x:c>
      <x:c r="BI700" s="22" t="n">
        <x:f>MAX(0,MIN('Activities'!L700,342)-MAX('Activities'!K700,336))</x:f>
        <x:v>0</x:v>
      </x:c>
      <x:c r="BJ700" s="22" t="n">
        <x:f>MAX(0,MIN('Activities'!L700,348)-MAX('Activities'!K700,342))</x:f>
        <x:v>0</x:v>
      </x:c>
      <x:c r="BK700" s="22" t="n">
        <x:f>MAX(0,MIN('Activities'!L700,354)-MAX('Activities'!K700,348))</x:f>
        <x:v>0</x:v>
      </x:c>
      <x:c r="BL700" s="22" t="n">
        <x:f>MAX(0,MIN('Activities'!L700,360)-MAX('Activities'!K700,354))</x:f>
        <x:v>0</x:v>
      </x:c>
      <x:c r="BM700" s="22" t="n">
        <x:f>MAX(0,MIN('Activities'!L700,366)-MAX('Activities'!K700,360))</x:f>
        <x:v>0</x:v>
      </x:c>
      <x:c r="BN700" s="22" t="n">
        <x:f>MAX(0,MIN('Activities'!L700,372)-MAX('Activities'!K700,366))</x:f>
        <x:v>0</x:v>
      </x:c>
      <x:c r="BO700" s="22" t="n">
        <x:f>MAX(0,MIN('Activities'!L700,378)-MAX('Activities'!K700,372))</x:f>
        <x:v>0</x:v>
      </x:c>
      <x:c r="BP700" s="22" t="n">
        <x:f>MAX(0,MIN('Activities'!L700,384)-MAX('Activities'!K700,378))</x:f>
        <x:v>0</x:v>
      </x:c>
      <x:c r="BQ700" s="22" t="n">
        <x:f>MAX(0,MIN('Activities'!L700,390)-MAX('Activities'!K700,384))</x:f>
        <x:v>0</x:v>
      </x:c>
      <x:c r="BR700" s="22" t="n">
        <x:f>MAX(0,MIN('Activities'!L700,396)-MAX('Activities'!K700,390))</x:f>
        <x:v>0</x:v>
      </x:c>
      <x:c r="BS700" s="22" t="n">
        <x:f>MAX(0,MIN('Activities'!L700,402)-MAX('Activities'!K700,396))</x:f>
        <x:v>0</x:v>
      </x:c>
      <x:c r="BT700" s="22" t="n">
        <x:f>MAX(0,MIN('Activities'!L700,408)-MAX('Activities'!K700,402))</x:f>
        <x:v>0</x:v>
      </x:c>
      <x:c r="BU700" s="22" t="n">
        <x:f>MAX(0,MIN('Activities'!L700,414)-MAX('Activities'!K700,408))</x:f>
        <x:v>0</x:v>
      </x:c>
      <x:c r="BV700" s="22" t="n">
        <x:f>MAX(0,MIN('Activities'!L700,420)-MAX('Activities'!K700,414))</x:f>
        <x:v>0</x:v>
      </x:c>
      <x:c r="BW700" s="22" t="n">
        <x:f>MAX(0,MIN('Activities'!L700,426)-MAX('Activities'!K700,420))</x:f>
        <x:v>0</x:v>
      </x:c>
      <x:c r="BX700" s="22" t="n">
        <x:f>MAX(0,MIN('Activities'!L700,432)-MAX('Activities'!K700,426))</x:f>
        <x:v>0</x:v>
      </x:c>
      <x:c r="BY700" s="22" t="n">
        <x:f>MAX(0,MIN('Activities'!L700,438)-MAX('Activities'!K700,432))</x:f>
        <x:v>0</x:v>
      </x:c>
      <x:c r="BZ700" s="22" t="n">
        <x:f>MAX(0,MIN('Activities'!L700,444)-MAX('Activities'!K700,438))</x:f>
        <x:v>0</x:v>
      </x:c>
      <x:c r="CA700" s="22" t="n">
        <x:f>MAX(0,MIN('Activities'!L700,450)-MAX('Activities'!K700,444))</x:f>
        <x:v>0</x:v>
      </x:c>
      <x:c r="CB700" s="22" t="n">
        <x:f>MAX(0,MIN('Activities'!L700,456)-MAX('Activities'!K700,450))</x:f>
        <x:v>0</x:v>
      </x:c>
      <x:c r="CC700" s="22" t="n">
        <x:f>MAX(0,MIN('Activities'!L700,462)-MAX('Activities'!K700,456))</x:f>
        <x:v>0</x:v>
      </x:c>
      <x:c r="CD700" s="22" t="n">
        <x:f>MAX(0,MIN('Activities'!L700,468)-MAX('Activities'!K700,462))</x:f>
        <x:v>0</x:v>
      </x:c>
      <x:c r="CE700" s="22" t="n">
        <x:f>MAX(0,MIN('Activities'!L700,474)-MAX('Activities'!K700,468))</x:f>
        <x:v>0</x:v>
      </x:c>
      <x:c r="CF700" s="22" t="n">
        <x:f>MAX(0,MIN('Activities'!L700,480)-MAX('Activities'!K700,474))</x:f>
        <x:v>0</x:v>
      </x:c>
      <x:c r="CG700" s="22" t="n">
        <x:f>MAX(0,MIN('Activities'!L700,486)-MAX('Activities'!K700,480))</x:f>
        <x:v>0</x:v>
      </x:c>
      <x:c r="CH700" s="22" t="n">
        <x:f>MAX(0,MIN('Activities'!L700,492)-MAX('Activities'!K700,486))</x:f>
        <x:v>0</x:v>
      </x:c>
      <x:c r="CI700" s="22" t="n">
        <x:f>MAX(0,MIN('Activities'!L700,498)-MAX('Activities'!K700,492))</x:f>
        <x:v>0</x:v>
      </x:c>
      <x:c r="CJ700" s="22" t="n">
        <x:f>MAX(0,MIN('Activities'!L700,504)-MAX('Activities'!K700,498))</x:f>
        <x:v>0</x:v>
      </x:c>
      <x:c r="CK700" s="22" t="n">
        <x:f>MAX(0,MIN('Activities'!L700,510)-MAX('Activities'!K700,504))</x:f>
        <x:v>0</x:v>
      </x:c>
      <x:c r="CL700" s="22" t="n">
        <x:f>MAX(0,MIN('Activities'!L700,516)-MAX('Activities'!K700,510))</x:f>
        <x:v>0</x:v>
      </x:c>
      <x:c r="CM700" s="22" t="n">
        <x:f>MAX(0,MIN('Activities'!L700,522)-MAX('Activities'!K700,516))</x:f>
        <x:v>0</x:v>
      </x:c>
      <x:c r="CN700" s="22" t="n">
        <x:f>MAX(0,MIN('Activities'!L700,528)-MAX('Activities'!K700,522))</x:f>
        <x:v>0</x:v>
      </x:c>
      <x:c r="CO700" s="22" t="n">
        <x:f>MAX(0,MIN('Activities'!L700,534)-MAX('Activities'!K700,528))</x:f>
        <x:v>0</x:v>
      </x:c>
      <x:c r="CP700" s="22" t="n">
        <x:f>MAX(0,MIN('Activities'!L700,540)-MAX('Activities'!K700,534))</x:f>
        <x:v>0</x:v>
      </x:c>
      <x:c r="CQ700" s="22" t="n">
        <x:f>MAX(0,MIN('Activities'!L700,546)-MAX('Activities'!K700,540))</x:f>
        <x:v>0</x:v>
      </x:c>
      <x:c r="CR700" s="22" t="n">
        <x:f>MAX(0,MIN('Activities'!L700,552)-MAX('Activities'!K700,546))</x:f>
        <x:v>0</x:v>
      </x:c>
      <x:c r="CS700" s="22" t="n">
        <x:f>MAX(0,MIN('Activities'!L700,558)-MAX('Activities'!K700,552))</x:f>
        <x:v>0</x:v>
      </x:c>
      <x:c r="CT700" s="22" t="n">
        <x:f>MAX(0,MIN('Activities'!L700,564)-MAX('Activities'!K700,558))</x:f>
        <x:v>0</x:v>
      </x:c>
      <x:c r="CU700" s="22" t="n">
        <x:f>MAX(0,MIN('Activities'!L700,570)-MAX('Activities'!K700,564))</x:f>
        <x:v>0</x:v>
      </x:c>
      <x:c r="CV700" s="22" t="n">
        <x:f>MAX(0,MIN('Activities'!L700,576)-MAX('Activities'!K700,570))</x:f>
        <x:v>0</x:v>
      </x:c>
      <x:c r="CW700" s="22" t="n">
        <x:f>MAX(0,MIN('Activities'!L700,582)-MAX('Activities'!K700,576))</x:f>
        <x:v>0</x:v>
      </x:c>
      <x:c r="CX700" s="22" t="n">
        <x:f>MAX(0,MIN('Activities'!L700,588)-MAX('Activities'!K700,582))</x:f>
        <x:v>0</x:v>
      </x:c>
      <x:c r="CY700" s="22" t="n">
        <x:f>MAX(0,MIN('Activities'!L700,594)-MAX('Activities'!K700,588))</x:f>
        <x:v>0</x:v>
      </x:c>
      <x:c r="CZ700" s="22" t="n">
        <x:f>MAX(0,MIN('Activities'!L700,600)-MAX('Activities'!K700,594))</x:f>
        <x:v>0</x:v>
      </x:c>
      <x:c r="DA700" s="22" t="n">
        <x:f>MAX(0,MIN('Activities'!L700,606)-MAX('Activities'!K700,600))</x:f>
        <x:v>0</x:v>
      </x:c>
      <x:c r="DB700" s="22" t="n">
        <x:f>MAX(0,MIN('Activities'!L700,612)-MAX('Activities'!K700,606))</x:f>
        <x:v>0</x:v>
      </x:c>
      <x:c r="DC700" s="22" t="n">
        <x:f>MAX(0,MIN('Activities'!L700,618)-MAX('Activities'!K700,612))</x:f>
        <x:v>0</x:v>
      </x:c>
      <x:c r="DD700" s="22" t="n">
        <x:f>MAX(0,MIN('Activities'!L700,624)-MAX('Activities'!K700,618))</x:f>
        <x:v>0</x:v>
      </x:c>
      <x:c r="DE700" s="22" t="n">
        <x:f>MAX(0,MIN('Activities'!L700,630)-MAX('Activities'!K700,624))</x:f>
        <x:v>0</x:v>
      </x:c>
      <x:c r="DF700" s="22" t="n">
        <x:f>MAX(0,MIN('Activities'!L700,636)-MAX('Activities'!K700,630))</x:f>
        <x:v>0</x:v>
      </x:c>
    </x:row>
    <x:row r="701" ht="23" customHeight="1">
      <x:c r="A701" s="1" t="str">
        <x:v>T6-L05-F</x:v>
      </x:c>
      <x:c r="B701" s="1" t="str">
        <x:v>T6</x:v>
      </x:c>
      <x:c r="C701" s="1" t="str">
        <x:v>Columns, core and deck formwork</x:v>
      </x:c>
      <x:c r="D701" s="1" t="str">
        <x:v>Formwork</x:v>
      </x:c>
      <x:c r="E701" s="23" t="n">
        <x:f>MAX(0,MIN('Activities'!L701,6)-MAX('Activities'!K701,0))</x:f>
        <x:v>0</x:v>
      </x:c>
      <x:c r="F701" s="23" t="n">
        <x:f>MAX(0,MIN('Activities'!L701,12)-MAX('Activities'!K701,6))</x:f>
        <x:v>0</x:v>
      </x:c>
      <x:c r="G701" s="23" t="n">
        <x:f>MAX(0,MIN('Activities'!L701,18)-MAX('Activities'!K701,12))</x:f>
        <x:v>0</x:v>
      </x:c>
      <x:c r="H701" s="23" t="n">
        <x:f>MAX(0,MIN('Activities'!L701,24)-MAX('Activities'!K701,18))</x:f>
        <x:v>0</x:v>
      </x:c>
      <x:c r="I701" s="23" t="n">
        <x:f>MAX(0,MIN('Activities'!L701,30)-MAX('Activities'!K701,24))</x:f>
        <x:v>0</x:v>
      </x:c>
      <x:c r="J701" s="23" t="n">
        <x:f>MAX(0,MIN('Activities'!L701,36)-MAX('Activities'!K701,30))</x:f>
        <x:v>0</x:v>
      </x:c>
      <x:c r="K701" s="23" t="n">
        <x:f>MAX(0,MIN('Activities'!L701,42)-MAX('Activities'!K701,36))</x:f>
        <x:v>0</x:v>
      </x:c>
      <x:c r="L701" s="23" t="n">
        <x:f>MAX(0,MIN('Activities'!L701,48)-MAX('Activities'!K701,42))</x:f>
        <x:v>0</x:v>
      </x:c>
      <x:c r="M701" s="23" t="n">
        <x:f>MAX(0,MIN('Activities'!L701,54)-MAX('Activities'!K701,48))</x:f>
        <x:v>0</x:v>
      </x:c>
      <x:c r="N701" s="23" t="n">
        <x:f>MAX(0,MIN('Activities'!L701,60)-MAX('Activities'!K701,54))</x:f>
        <x:v>0</x:v>
      </x:c>
      <x:c r="O701" s="23" t="n">
        <x:f>MAX(0,MIN('Activities'!L701,66)-MAX('Activities'!K701,60))</x:f>
        <x:v>0</x:v>
      </x:c>
      <x:c r="P701" s="23" t="n">
        <x:f>MAX(0,MIN('Activities'!L701,72)-MAX('Activities'!K701,66))</x:f>
        <x:v>0</x:v>
      </x:c>
      <x:c r="Q701" s="23" t="n">
        <x:f>MAX(0,MIN('Activities'!L701,78)-MAX('Activities'!K701,72))</x:f>
        <x:v>0</x:v>
      </x:c>
      <x:c r="R701" s="23" t="n">
        <x:f>MAX(0,MIN('Activities'!L701,84)-MAX('Activities'!K701,78))</x:f>
        <x:v>0</x:v>
      </x:c>
      <x:c r="S701" s="23" t="n">
        <x:f>MAX(0,MIN('Activities'!L701,90)-MAX('Activities'!K701,84))</x:f>
        <x:v>0</x:v>
      </x:c>
      <x:c r="T701" s="23" t="n">
        <x:f>MAX(0,MIN('Activities'!L701,96)-MAX('Activities'!K701,90))</x:f>
        <x:v>0</x:v>
      </x:c>
      <x:c r="U701" s="23" t="n">
        <x:f>MAX(0,MIN('Activities'!L701,102)-MAX('Activities'!K701,96))</x:f>
        <x:v>0</x:v>
      </x:c>
      <x:c r="V701" s="23" t="n">
        <x:f>MAX(0,MIN('Activities'!L701,108)-MAX('Activities'!K701,102))</x:f>
        <x:v>0</x:v>
      </x:c>
      <x:c r="W701" s="23" t="n">
        <x:f>MAX(0,MIN('Activities'!L701,114)-MAX('Activities'!K701,108))</x:f>
        <x:v>0</x:v>
      </x:c>
      <x:c r="X701" s="23" t="n">
        <x:f>MAX(0,MIN('Activities'!L701,120)-MAX('Activities'!K701,114))</x:f>
        <x:v>0</x:v>
      </x:c>
      <x:c r="Y701" s="23" t="n">
        <x:f>MAX(0,MIN('Activities'!L701,126)-MAX('Activities'!K701,120))</x:f>
        <x:v>0</x:v>
      </x:c>
      <x:c r="Z701" s="23" t="n">
        <x:f>MAX(0,MIN('Activities'!L701,132)-MAX('Activities'!K701,126))</x:f>
        <x:v>0</x:v>
      </x:c>
      <x:c r="AA701" s="23" t="n">
        <x:f>MAX(0,MIN('Activities'!L701,138)-MAX('Activities'!K701,132))</x:f>
        <x:v>0</x:v>
      </x:c>
      <x:c r="AB701" s="23" t="n">
        <x:f>MAX(0,MIN('Activities'!L701,144)-MAX('Activities'!K701,138))</x:f>
        <x:v>0</x:v>
      </x:c>
      <x:c r="AC701" s="23" t="n">
        <x:f>MAX(0,MIN('Activities'!L701,150)-MAX('Activities'!K701,144))</x:f>
        <x:v>0</x:v>
      </x:c>
      <x:c r="AD701" s="23" t="n">
        <x:f>MAX(0,MIN('Activities'!L701,156)-MAX('Activities'!K701,150))</x:f>
        <x:v>0</x:v>
      </x:c>
      <x:c r="AE701" s="23" t="n">
        <x:f>MAX(0,MIN('Activities'!L701,162)-MAX('Activities'!K701,156))</x:f>
        <x:v>0</x:v>
      </x:c>
      <x:c r="AF701" s="23" t="n">
        <x:f>MAX(0,MIN('Activities'!L701,168)-MAX('Activities'!K701,162))</x:f>
        <x:v>0</x:v>
      </x:c>
      <x:c r="AG701" s="23" t="n">
        <x:f>MAX(0,MIN('Activities'!L701,174)-MAX('Activities'!K701,168))</x:f>
        <x:v>0</x:v>
      </x:c>
      <x:c r="AH701" s="23" t="n">
        <x:f>MAX(0,MIN('Activities'!L701,180)-MAX('Activities'!K701,174))</x:f>
        <x:v>0</x:v>
      </x:c>
      <x:c r="AI701" s="23" t="n">
        <x:f>MAX(0,MIN('Activities'!L701,186)-MAX('Activities'!K701,180))</x:f>
        <x:v>0</x:v>
      </x:c>
      <x:c r="AJ701" s="23" t="n">
        <x:f>MAX(0,MIN('Activities'!L701,192)-MAX('Activities'!K701,186))</x:f>
        <x:v>0</x:v>
      </x:c>
      <x:c r="AK701" s="23" t="n">
        <x:f>MAX(0,MIN('Activities'!L701,198)-MAX('Activities'!K701,192))</x:f>
        <x:v>0</x:v>
      </x:c>
      <x:c r="AL701" s="23" t="n">
        <x:f>MAX(0,MIN('Activities'!L701,204)-MAX('Activities'!K701,198))</x:f>
        <x:v>0</x:v>
      </x:c>
      <x:c r="AM701" s="23" t="n">
        <x:f>MAX(0,MIN('Activities'!L701,210)-MAX('Activities'!K701,204))</x:f>
        <x:v>0</x:v>
      </x:c>
      <x:c r="AN701" s="23" t="n">
        <x:f>MAX(0,MIN('Activities'!L701,216)-MAX('Activities'!K701,210))</x:f>
        <x:v>0</x:v>
      </x:c>
      <x:c r="AO701" s="23" t="n">
        <x:f>MAX(0,MIN('Activities'!L701,222)-MAX('Activities'!K701,216))</x:f>
        <x:v>0</x:v>
      </x:c>
      <x:c r="AP701" s="23" t="n">
        <x:f>MAX(0,MIN('Activities'!L701,228)-MAX('Activities'!K701,222))</x:f>
        <x:v>0</x:v>
      </x:c>
      <x:c r="AQ701" s="23" t="n">
        <x:f>MAX(0,MIN('Activities'!L701,234)-MAX('Activities'!K701,228))</x:f>
        <x:v>0</x:v>
      </x:c>
      <x:c r="AR701" s="23" t="n">
        <x:f>MAX(0,MIN('Activities'!L701,240)-MAX('Activities'!K701,234))</x:f>
        <x:v>0</x:v>
      </x:c>
      <x:c r="AS701" s="23" t="n">
        <x:f>MAX(0,MIN('Activities'!L701,246)-MAX('Activities'!K701,240))</x:f>
        <x:v>0</x:v>
      </x:c>
      <x:c r="AT701" s="23" t="n">
        <x:f>MAX(0,MIN('Activities'!L701,252)-MAX('Activities'!K701,246))</x:f>
        <x:v>0</x:v>
      </x:c>
      <x:c r="AU701" s="23" t="n">
        <x:f>MAX(0,MIN('Activities'!L701,258)-MAX('Activities'!K701,252))</x:f>
        <x:v>0</x:v>
      </x:c>
      <x:c r="AV701" s="23" t="n">
        <x:f>MAX(0,MIN('Activities'!L701,264)-MAX('Activities'!K701,258))</x:f>
        <x:v>0</x:v>
      </x:c>
      <x:c r="AW701" s="23" t="n">
        <x:f>MAX(0,MIN('Activities'!L701,270)-MAX('Activities'!K701,264))</x:f>
        <x:v>0</x:v>
      </x:c>
      <x:c r="AX701" s="23" t="n">
        <x:f>MAX(0,MIN('Activities'!L701,276)-MAX('Activities'!K701,270))</x:f>
        <x:v>0</x:v>
      </x:c>
      <x:c r="AY701" s="23" t="n">
        <x:f>MAX(0,MIN('Activities'!L701,282)-MAX('Activities'!K701,276))</x:f>
        <x:v>0</x:v>
      </x:c>
      <x:c r="AZ701" s="23" t="n">
        <x:f>MAX(0,MIN('Activities'!L701,288)-MAX('Activities'!K701,282))</x:f>
        <x:v>4</x:v>
      </x:c>
      <x:c r="BA701" s="23" t="n">
        <x:f>MAX(0,MIN('Activities'!L701,294)-MAX('Activities'!K701,288))</x:f>
        <x:v>2</x:v>
      </x:c>
      <x:c r="BB701" s="23" t="n">
        <x:f>MAX(0,MIN('Activities'!L701,300)-MAX('Activities'!K701,294))</x:f>
        <x:v>0</x:v>
      </x:c>
      <x:c r="BC701" s="23" t="n">
        <x:f>MAX(0,MIN('Activities'!L701,306)-MAX('Activities'!K701,300))</x:f>
        <x:v>0</x:v>
      </x:c>
      <x:c r="BD701" s="23" t="n">
        <x:f>MAX(0,MIN('Activities'!L701,312)-MAX('Activities'!K701,306))</x:f>
        <x:v>0</x:v>
      </x:c>
      <x:c r="BE701" s="23" t="n">
        <x:f>MAX(0,MIN('Activities'!L701,318)-MAX('Activities'!K701,312))</x:f>
        <x:v>0</x:v>
      </x:c>
      <x:c r="BF701" s="23" t="n">
        <x:f>MAX(0,MIN('Activities'!L701,324)-MAX('Activities'!K701,318))</x:f>
        <x:v>0</x:v>
      </x:c>
      <x:c r="BG701" s="23" t="n">
        <x:f>MAX(0,MIN('Activities'!L701,330)-MAX('Activities'!K701,324))</x:f>
        <x:v>0</x:v>
      </x:c>
      <x:c r="BH701" s="23" t="n">
        <x:f>MAX(0,MIN('Activities'!L701,336)-MAX('Activities'!K701,330))</x:f>
        <x:v>0</x:v>
      </x:c>
      <x:c r="BI701" s="23" t="n">
        <x:f>MAX(0,MIN('Activities'!L701,342)-MAX('Activities'!K701,336))</x:f>
        <x:v>0</x:v>
      </x:c>
      <x:c r="BJ701" s="23" t="n">
        <x:f>MAX(0,MIN('Activities'!L701,348)-MAX('Activities'!K701,342))</x:f>
        <x:v>0</x:v>
      </x:c>
      <x:c r="BK701" s="23" t="n">
        <x:f>MAX(0,MIN('Activities'!L701,354)-MAX('Activities'!K701,348))</x:f>
        <x:v>0</x:v>
      </x:c>
      <x:c r="BL701" s="23" t="n">
        <x:f>MAX(0,MIN('Activities'!L701,360)-MAX('Activities'!K701,354))</x:f>
        <x:v>0</x:v>
      </x:c>
      <x:c r="BM701" s="23" t="n">
        <x:f>MAX(0,MIN('Activities'!L701,366)-MAX('Activities'!K701,360))</x:f>
        <x:v>0</x:v>
      </x:c>
      <x:c r="BN701" s="23" t="n">
        <x:f>MAX(0,MIN('Activities'!L701,372)-MAX('Activities'!K701,366))</x:f>
        <x:v>0</x:v>
      </x:c>
      <x:c r="BO701" s="23" t="n">
        <x:f>MAX(0,MIN('Activities'!L701,378)-MAX('Activities'!K701,372))</x:f>
        <x:v>0</x:v>
      </x:c>
      <x:c r="BP701" s="23" t="n">
        <x:f>MAX(0,MIN('Activities'!L701,384)-MAX('Activities'!K701,378))</x:f>
        <x:v>0</x:v>
      </x:c>
      <x:c r="BQ701" s="23" t="n">
        <x:f>MAX(0,MIN('Activities'!L701,390)-MAX('Activities'!K701,384))</x:f>
        <x:v>0</x:v>
      </x:c>
      <x:c r="BR701" s="23" t="n">
        <x:f>MAX(0,MIN('Activities'!L701,396)-MAX('Activities'!K701,390))</x:f>
        <x:v>0</x:v>
      </x:c>
      <x:c r="BS701" s="23" t="n">
        <x:f>MAX(0,MIN('Activities'!L701,402)-MAX('Activities'!K701,396))</x:f>
        <x:v>0</x:v>
      </x:c>
      <x:c r="BT701" s="23" t="n">
        <x:f>MAX(0,MIN('Activities'!L701,408)-MAX('Activities'!K701,402))</x:f>
        <x:v>0</x:v>
      </x:c>
      <x:c r="BU701" s="23" t="n">
        <x:f>MAX(0,MIN('Activities'!L701,414)-MAX('Activities'!K701,408))</x:f>
        <x:v>0</x:v>
      </x:c>
      <x:c r="BV701" s="23" t="n">
        <x:f>MAX(0,MIN('Activities'!L701,420)-MAX('Activities'!K701,414))</x:f>
        <x:v>0</x:v>
      </x:c>
      <x:c r="BW701" s="23" t="n">
        <x:f>MAX(0,MIN('Activities'!L701,426)-MAX('Activities'!K701,420))</x:f>
        <x:v>0</x:v>
      </x:c>
      <x:c r="BX701" s="23" t="n">
        <x:f>MAX(0,MIN('Activities'!L701,432)-MAX('Activities'!K701,426))</x:f>
        <x:v>0</x:v>
      </x:c>
      <x:c r="BY701" s="23" t="n">
        <x:f>MAX(0,MIN('Activities'!L701,438)-MAX('Activities'!K701,432))</x:f>
        <x:v>0</x:v>
      </x:c>
      <x:c r="BZ701" s="23" t="n">
        <x:f>MAX(0,MIN('Activities'!L701,444)-MAX('Activities'!K701,438))</x:f>
        <x:v>0</x:v>
      </x:c>
      <x:c r="CA701" s="23" t="n">
        <x:f>MAX(0,MIN('Activities'!L701,450)-MAX('Activities'!K701,444))</x:f>
        <x:v>0</x:v>
      </x:c>
      <x:c r="CB701" s="23" t="n">
        <x:f>MAX(0,MIN('Activities'!L701,456)-MAX('Activities'!K701,450))</x:f>
        <x:v>0</x:v>
      </x:c>
      <x:c r="CC701" s="23" t="n">
        <x:f>MAX(0,MIN('Activities'!L701,462)-MAX('Activities'!K701,456))</x:f>
        <x:v>0</x:v>
      </x:c>
      <x:c r="CD701" s="23" t="n">
        <x:f>MAX(0,MIN('Activities'!L701,468)-MAX('Activities'!K701,462))</x:f>
        <x:v>0</x:v>
      </x:c>
      <x:c r="CE701" s="23" t="n">
        <x:f>MAX(0,MIN('Activities'!L701,474)-MAX('Activities'!K701,468))</x:f>
        <x:v>0</x:v>
      </x:c>
      <x:c r="CF701" s="23" t="n">
        <x:f>MAX(0,MIN('Activities'!L701,480)-MAX('Activities'!K701,474))</x:f>
        <x:v>0</x:v>
      </x:c>
      <x:c r="CG701" s="23" t="n">
        <x:f>MAX(0,MIN('Activities'!L701,486)-MAX('Activities'!K701,480))</x:f>
        <x:v>0</x:v>
      </x:c>
      <x:c r="CH701" s="23" t="n">
        <x:f>MAX(0,MIN('Activities'!L701,492)-MAX('Activities'!K701,486))</x:f>
        <x:v>0</x:v>
      </x:c>
      <x:c r="CI701" s="23" t="n">
        <x:f>MAX(0,MIN('Activities'!L701,498)-MAX('Activities'!K701,492))</x:f>
        <x:v>0</x:v>
      </x:c>
      <x:c r="CJ701" s="23" t="n">
        <x:f>MAX(0,MIN('Activities'!L701,504)-MAX('Activities'!K701,498))</x:f>
        <x:v>0</x:v>
      </x:c>
      <x:c r="CK701" s="23" t="n">
        <x:f>MAX(0,MIN('Activities'!L701,510)-MAX('Activities'!K701,504))</x:f>
        <x:v>0</x:v>
      </x:c>
      <x:c r="CL701" s="23" t="n">
        <x:f>MAX(0,MIN('Activities'!L701,516)-MAX('Activities'!K701,510))</x:f>
        <x:v>0</x:v>
      </x:c>
      <x:c r="CM701" s="23" t="n">
        <x:f>MAX(0,MIN('Activities'!L701,522)-MAX('Activities'!K701,516))</x:f>
        <x:v>0</x:v>
      </x:c>
      <x:c r="CN701" s="23" t="n">
        <x:f>MAX(0,MIN('Activities'!L701,528)-MAX('Activities'!K701,522))</x:f>
        <x:v>0</x:v>
      </x:c>
      <x:c r="CO701" s="23" t="n">
        <x:f>MAX(0,MIN('Activities'!L701,534)-MAX('Activities'!K701,528))</x:f>
        <x:v>0</x:v>
      </x:c>
      <x:c r="CP701" s="23" t="n">
        <x:f>MAX(0,MIN('Activities'!L701,540)-MAX('Activities'!K701,534))</x:f>
        <x:v>0</x:v>
      </x:c>
      <x:c r="CQ701" s="23" t="n">
        <x:f>MAX(0,MIN('Activities'!L701,546)-MAX('Activities'!K701,540))</x:f>
        <x:v>0</x:v>
      </x:c>
      <x:c r="CR701" s="23" t="n">
        <x:f>MAX(0,MIN('Activities'!L701,552)-MAX('Activities'!K701,546))</x:f>
        <x:v>0</x:v>
      </x:c>
      <x:c r="CS701" s="23" t="n">
        <x:f>MAX(0,MIN('Activities'!L701,558)-MAX('Activities'!K701,552))</x:f>
        <x:v>0</x:v>
      </x:c>
      <x:c r="CT701" s="23" t="n">
        <x:f>MAX(0,MIN('Activities'!L701,564)-MAX('Activities'!K701,558))</x:f>
        <x:v>0</x:v>
      </x:c>
      <x:c r="CU701" s="23" t="n">
        <x:f>MAX(0,MIN('Activities'!L701,570)-MAX('Activities'!K701,564))</x:f>
        <x:v>0</x:v>
      </x:c>
      <x:c r="CV701" s="23" t="n">
        <x:f>MAX(0,MIN('Activities'!L701,576)-MAX('Activities'!K701,570))</x:f>
        <x:v>0</x:v>
      </x:c>
      <x:c r="CW701" s="23" t="n">
        <x:f>MAX(0,MIN('Activities'!L701,582)-MAX('Activities'!K701,576))</x:f>
        <x:v>0</x:v>
      </x:c>
      <x:c r="CX701" s="23" t="n">
        <x:f>MAX(0,MIN('Activities'!L701,588)-MAX('Activities'!K701,582))</x:f>
        <x:v>0</x:v>
      </x:c>
      <x:c r="CY701" s="23" t="n">
        <x:f>MAX(0,MIN('Activities'!L701,594)-MAX('Activities'!K701,588))</x:f>
        <x:v>0</x:v>
      </x:c>
      <x:c r="CZ701" s="23" t="n">
        <x:f>MAX(0,MIN('Activities'!L701,600)-MAX('Activities'!K701,594))</x:f>
        <x:v>0</x:v>
      </x:c>
      <x:c r="DA701" s="23" t="n">
        <x:f>MAX(0,MIN('Activities'!L701,606)-MAX('Activities'!K701,600))</x:f>
        <x:v>0</x:v>
      </x:c>
      <x:c r="DB701" s="23" t="n">
        <x:f>MAX(0,MIN('Activities'!L701,612)-MAX('Activities'!K701,606))</x:f>
        <x:v>0</x:v>
      </x:c>
      <x:c r="DC701" s="23" t="n">
        <x:f>MAX(0,MIN('Activities'!L701,618)-MAX('Activities'!K701,612))</x:f>
        <x:v>0</x:v>
      </x:c>
      <x:c r="DD701" s="23" t="n">
        <x:f>MAX(0,MIN('Activities'!L701,624)-MAX('Activities'!K701,618))</x:f>
        <x:v>0</x:v>
      </x:c>
      <x:c r="DE701" s="23" t="n">
        <x:f>MAX(0,MIN('Activities'!L701,630)-MAX('Activities'!K701,624))</x:f>
        <x:v>0</x:v>
      </x:c>
      <x:c r="DF701" s="23" t="n">
        <x:f>MAX(0,MIN('Activities'!L701,636)-MAX('Activities'!K701,630))</x:f>
        <x:v>0</x:v>
      </x:c>
    </x:row>
    <x:row r="702" ht="23" customHeight="1">
      <x:c r="A702" s="6" t="str">
        <x:v>T6-L05-R</x:v>
      </x:c>
      <x:c r="B702" s="6" t="str">
        <x:v>T6</x:v>
      </x:c>
      <x:c r="C702" s="6" t="str">
        <x:v>Column, wall, beam and slab reinforcement</x:v>
      </x:c>
      <x:c r="D702" s="6" t="str">
        <x:v>Rebar</x:v>
      </x:c>
      <x:c r="E702" s="22" t="n">
        <x:f>MAX(0,MIN('Activities'!L702,6)-MAX('Activities'!K702,0))</x:f>
        <x:v>0</x:v>
      </x:c>
      <x:c r="F702" s="22" t="n">
        <x:f>MAX(0,MIN('Activities'!L702,12)-MAX('Activities'!K702,6))</x:f>
        <x:v>0</x:v>
      </x:c>
      <x:c r="G702" s="22" t="n">
        <x:f>MAX(0,MIN('Activities'!L702,18)-MAX('Activities'!K702,12))</x:f>
        <x:v>0</x:v>
      </x:c>
      <x:c r="H702" s="22" t="n">
        <x:f>MAX(0,MIN('Activities'!L702,24)-MAX('Activities'!K702,18))</x:f>
        <x:v>0</x:v>
      </x:c>
      <x:c r="I702" s="22" t="n">
        <x:f>MAX(0,MIN('Activities'!L702,30)-MAX('Activities'!K702,24))</x:f>
        <x:v>0</x:v>
      </x:c>
      <x:c r="J702" s="22" t="n">
        <x:f>MAX(0,MIN('Activities'!L702,36)-MAX('Activities'!K702,30))</x:f>
        <x:v>0</x:v>
      </x:c>
      <x:c r="K702" s="22" t="n">
        <x:f>MAX(0,MIN('Activities'!L702,42)-MAX('Activities'!K702,36))</x:f>
        <x:v>0</x:v>
      </x:c>
      <x:c r="L702" s="22" t="n">
        <x:f>MAX(0,MIN('Activities'!L702,48)-MAX('Activities'!K702,42))</x:f>
        <x:v>0</x:v>
      </x:c>
      <x:c r="M702" s="22" t="n">
        <x:f>MAX(0,MIN('Activities'!L702,54)-MAX('Activities'!K702,48))</x:f>
        <x:v>0</x:v>
      </x:c>
      <x:c r="N702" s="22" t="n">
        <x:f>MAX(0,MIN('Activities'!L702,60)-MAX('Activities'!K702,54))</x:f>
        <x:v>0</x:v>
      </x:c>
      <x:c r="O702" s="22" t="n">
        <x:f>MAX(0,MIN('Activities'!L702,66)-MAX('Activities'!K702,60))</x:f>
        <x:v>0</x:v>
      </x:c>
      <x:c r="P702" s="22" t="n">
        <x:f>MAX(0,MIN('Activities'!L702,72)-MAX('Activities'!K702,66))</x:f>
        <x:v>0</x:v>
      </x:c>
      <x:c r="Q702" s="22" t="n">
        <x:f>MAX(0,MIN('Activities'!L702,78)-MAX('Activities'!K702,72))</x:f>
        <x:v>0</x:v>
      </x:c>
      <x:c r="R702" s="22" t="n">
        <x:f>MAX(0,MIN('Activities'!L702,84)-MAX('Activities'!K702,78))</x:f>
        <x:v>0</x:v>
      </x:c>
      <x:c r="S702" s="22" t="n">
        <x:f>MAX(0,MIN('Activities'!L702,90)-MAX('Activities'!K702,84))</x:f>
        <x:v>0</x:v>
      </x:c>
      <x:c r="T702" s="22" t="n">
        <x:f>MAX(0,MIN('Activities'!L702,96)-MAX('Activities'!K702,90))</x:f>
        <x:v>0</x:v>
      </x:c>
      <x:c r="U702" s="22" t="n">
        <x:f>MAX(0,MIN('Activities'!L702,102)-MAX('Activities'!K702,96))</x:f>
        <x:v>0</x:v>
      </x:c>
      <x:c r="V702" s="22" t="n">
        <x:f>MAX(0,MIN('Activities'!L702,108)-MAX('Activities'!K702,102))</x:f>
        <x:v>0</x:v>
      </x:c>
      <x:c r="W702" s="22" t="n">
        <x:f>MAX(0,MIN('Activities'!L702,114)-MAX('Activities'!K702,108))</x:f>
        <x:v>0</x:v>
      </x:c>
      <x:c r="X702" s="22" t="n">
        <x:f>MAX(0,MIN('Activities'!L702,120)-MAX('Activities'!K702,114))</x:f>
        <x:v>0</x:v>
      </x:c>
      <x:c r="Y702" s="22" t="n">
        <x:f>MAX(0,MIN('Activities'!L702,126)-MAX('Activities'!K702,120))</x:f>
        <x:v>0</x:v>
      </x:c>
      <x:c r="Z702" s="22" t="n">
        <x:f>MAX(0,MIN('Activities'!L702,132)-MAX('Activities'!K702,126))</x:f>
        <x:v>0</x:v>
      </x:c>
      <x:c r="AA702" s="22" t="n">
        <x:f>MAX(0,MIN('Activities'!L702,138)-MAX('Activities'!K702,132))</x:f>
        <x:v>0</x:v>
      </x:c>
      <x:c r="AB702" s="22" t="n">
        <x:f>MAX(0,MIN('Activities'!L702,144)-MAX('Activities'!K702,138))</x:f>
        <x:v>0</x:v>
      </x:c>
      <x:c r="AC702" s="22" t="n">
        <x:f>MAX(0,MIN('Activities'!L702,150)-MAX('Activities'!K702,144))</x:f>
        <x:v>0</x:v>
      </x:c>
      <x:c r="AD702" s="22" t="n">
        <x:f>MAX(0,MIN('Activities'!L702,156)-MAX('Activities'!K702,150))</x:f>
        <x:v>0</x:v>
      </x:c>
      <x:c r="AE702" s="22" t="n">
        <x:f>MAX(0,MIN('Activities'!L702,162)-MAX('Activities'!K702,156))</x:f>
        <x:v>0</x:v>
      </x:c>
      <x:c r="AF702" s="22" t="n">
        <x:f>MAX(0,MIN('Activities'!L702,168)-MAX('Activities'!K702,162))</x:f>
        <x:v>0</x:v>
      </x:c>
      <x:c r="AG702" s="22" t="n">
        <x:f>MAX(0,MIN('Activities'!L702,174)-MAX('Activities'!K702,168))</x:f>
        <x:v>0</x:v>
      </x:c>
      <x:c r="AH702" s="22" t="n">
        <x:f>MAX(0,MIN('Activities'!L702,180)-MAX('Activities'!K702,174))</x:f>
        <x:v>0</x:v>
      </x:c>
      <x:c r="AI702" s="22" t="n">
        <x:f>MAX(0,MIN('Activities'!L702,186)-MAX('Activities'!K702,180))</x:f>
        <x:v>0</x:v>
      </x:c>
      <x:c r="AJ702" s="22" t="n">
        <x:f>MAX(0,MIN('Activities'!L702,192)-MAX('Activities'!K702,186))</x:f>
        <x:v>0</x:v>
      </x:c>
      <x:c r="AK702" s="22" t="n">
        <x:f>MAX(0,MIN('Activities'!L702,198)-MAX('Activities'!K702,192))</x:f>
        <x:v>0</x:v>
      </x:c>
      <x:c r="AL702" s="22" t="n">
        <x:f>MAX(0,MIN('Activities'!L702,204)-MAX('Activities'!K702,198))</x:f>
        <x:v>0</x:v>
      </x:c>
      <x:c r="AM702" s="22" t="n">
        <x:f>MAX(0,MIN('Activities'!L702,210)-MAX('Activities'!K702,204))</x:f>
        <x:v>0</x:v>
      </x:c>
      <x:c r="AN702" s="22" t="n">
        <x:f>MAX(0,MIN('Activities'!L702,216)-MAX('Activities'!K702,210))</x:f>
        <x:v>0</x:v>
      </x:c>
      <x:c r="AO702" s="22" t="n">
        <x:f>MAX(0,MIN('Activities'!L702,222)-MAX('Activities'!K702,216))</x:f>
        <x:v>0</x:v>
      </x:c>
      <x:c r="AP702" s="22" t="n">
        <x:f>MAX(0,MIN('Activities'!L702,228)-MAX('Activities'!K702,222))</x:f>
        <x:v>0</x:v>
      </x:c>
      <x:c r="AQ702" s="22" t="n">
        <x:f>MAX(0,MIN('Activities'!L702,234)-MAX('Activities'!K702,228))</x:f>
        <x:v>0</x:v>
      </x:c>
      <x:c r="AR702" s="22" t="n">
        <x:f>MAX(0,MIN('Activities'!L702,240)-MAX('Activities'!K702,234))</x:f>
        <x:v>0</x:v>
      </x:c>
      <x:c r="AS702" s="22" t="n">
        <x:f>MAX(0,MIN('Activities'!L702,246)-MAX('Activities'!K702,240))</x:f>
        <x:v>0</x:v>
      </x:c>
      <x:c r="AT702" s="22" t="n">
        <x:f>MAX(0,MIN('Activities'!L702,252)-MAX('Activities'!K702,246))</x:f>
        <x:v>0</x:v>
      </x:c>
      <x:c r="AU702" s="22" t="n">
        <x:f>MAX(0,MIN('Activities'!L702,258)-MAX('Activities'!K702,252))</x:f>
        <x:v>0</x:v>
      </x:c>
      <x:c r="AV702" s="22" t="n">
        <x:f>MAX(0,MIN('Activities'!L702,264)-MAX('Activities'!K702,258))</x:f>
        <x:v>0</x:v>
      </x:c>
      <x:c r="AW702" s="22" t="n">
        <x:f>MAX(0,MIN('Activities'!L702,270)-MAX('Activities'!K702,264))</x:f>
        <x:v>0</x:v>
      </x:c>
      <x:c r="AX702" s="22" t="n">
        <x:f>MAX(0,MIN('Activities'!L702,276)-MAX('Activities'!K702,270))</x:f>
        <x:v>0</x:v>
      </x:c>
      <x:c r="AY702" s="22" t="n">
        <x:f>MAX(0,MIN('Activities'!L702,282)-MAX('Activities'!K702,276))</x:f>
        <x:v>0</x:v>
      </x:c>
      <x:c r="AZ702" s="22" t="n">
        <x:f>MAX(0,MIN('Activities'!L702,288)-MAX('Activities'!K702,282))</x:f>
        <x:v>0</x:v>
      </x:c>
      <x:c r="BA702" s="22" t="n">
        <x:f>MAX(0,MIN('Activities'!L702,294)-MAX('Activities'!K702,288))</x:f>
        <x:v>4</x:v>
      </x:c>
      <x:c r="BB702" s="22" t="n">
        <x:f>MAX(0,MIN('Activities'!L702,300)-MAX('Activities'!K702,294))</x:f>
        <x:v>1</x:v>
      </x:c>
      <x:c r="BC702" s="22" t="n">
        <x:f>MAX(0,MIN('Activities'!L702,306)-MAX('Activities'!K702,300))</x:f>
        <x:v>0</x:v>
      </x:c>
      <x:c r="BD702" s="22" t="n">
        <x:f>MAX(0,MIN('Activities'!L702,312)-MAX('Activities'!K702,306))</x:f>
        <x:v>0</x:v>
      </x:c>
      <x:c r="BE702" s="22" t="n">
        <x:f>MAX(0,MIN('Activities'!L702,318)-MAX('Activities'!K702,312))</x:f>
        <x:v>0</x:v>
      </x:c>
      <x:c r="BF702" s="22" t="n">
        <x:f>MAX(0,MIN('Activities'!L702,324)-MAX('Activities'!K702,318))</x:f>
        <x:v>0</x:v>
      </x:c>
      <x:c r="BG702" s="22" t="n">
        <x:f>MAX(0,MIN('Activities'!L702,330)-MAX('Activities'!K702,324))</x:f>
        <x:v>0</x:v>
      </x:c>
      <x:c r="BH702" s="22" t="n">
        <x:f>MAX(0,MIN('Activities'!L702,336)-MAX('Activities'!K702,330))</x:f>
        <x:v>0</x:v>
      </x:c>
      <x:c r="BI702" s="22" t="n">
        <x:f>MAX(0,MIN('Activities'!L702,342)-MAX('Activities'!K702,336))</x:f>
        <x:v>0</x:v>
      </x:c>
      <x:c r="BJ702" s="22" t="n">
        <x:f>MAX(0,MIN('Activities'!L702,348)-MAX('Activities'!K702,342))</x:f>
        <x:v>0</x:v>
      </x:c>
      <x:c r="BK702" s="22" t="n">
        <x:f>MAX(0,MIN('Activities'!L702,354)-MAX('Activities'!K702,348))</x:f>
        <x:v>0</x:v>
      </x:c>
      <x:c r="BL702" s="22" t="n">
        <x:f>MAX(0,MIN('Activities'!L702,360)-MAX('Activities'!K702,354))</x:f>
        <x:v>0</x:v>
      </x:c>
      <x:c r="BM702" s="22" t="n">
        <x:f>MAX(0,MIN('Activities'!L702,366)-MAX('Activities'!K702,360))</x:f>
        <x:v>0</x:v>
      </x:c>
      <x:c r="BN702" s="22" t="n">
        <x:f>MAX(0,MIN('Activities'!L702,372)-MAX('Activities'!K702,366))</x:f>
        <x:v>0</x:v>
      </x:c>
      <x:c r="BO702" s="22" t="n">
        <x:f>MAX(0,MIN('Activities'!L702,378)-MAX('Activities'!K702,372))</x:f>
        <x:v>0</x:v>
      </x:c>
      <x:c r="BP702" s="22" t="n">
        <x:f>MAX(0,MIN('Activities'!L702,384)-MAX('Activities'!K702,378))</x:f>
        <x:v>0</x:v>
      </x:c>
      <x:c r="BQ702" s="22" t="n">
        <x:f>MAX(0,MIN('Activities'!L702,390)-MAX('Activities'!K702,384))</x:f>
        <x:v>0</x:v>
      </x:c>
      <x:c r="BR702" s="22" t="n">
        <x:f>MAX(0,MIN('Activities'!L702,396)-MAX('Activities'!K702,390))</x:f>
        <x:v>0</x:v>
      </x:c>
      <x:c r="BS702" s="22" t="n">
        <x:f>MAX(0,MIN('Activities'!L702,402)-MAX('Activities'!K702,396))</x:f>
        <x:v>0</x:v>
      </x:c>
      <x:c r="BT702" s="22" t="n">
        <x:f>MAX(0,MIN('Activities'!L702,408)-MAX('Activities'!K702,402))</x:f>
        <x:v>0</x:v>
      </x:c>
      <x:c r="BU702" s="22" t="n">
        <x:f>MAX(0,MIN('Activities'!L702,414)-MAX('Activities'!K702,408))</x:f>
        <x:v>0</x:v>
      </x:c>
      <x:c r="BV702" s="22" t="n">
        <x:f>MAX(0,MIN('Activities'!L702,420)-MAX('Activities'!K702,414))</x:f>
        <x:v>0</x:v>
      </x:c>
      <x:c r="BW702" s="22" t="n">
        <x:f>MAX(0,MIN('Activities'!L702,426)-MAX('Activities'!K702,420))</x:f>
        <x:v>0</x:v>
      </x:c>
      <x:c r="BX702" s="22" t="n">
        <x:f>MAX(0,MIN('Activities'!L702,432)-MAX('Activities'!K702,426))</x:f>
        <x:v>0</x:v>
      </x:c>
      <x:c r="BY702" s="22" t="n">
        <x:f>MAX(0,MIN('Activities'!L702,438)-MAX('Activities'!K702,432))</x:f>
        <x:v>0</x:v>
      </x:c>
      <x:c r="BZ702" s="22" t="n">
        <x:f>MAX(0,MIN('Activities'!L702,444)-MAX('Activities'!K702,438))</x:f>
        <x:v>0</x:v>
      </x:c>
      <x:c r="CA702" s="22" t="n">
        <x:f>MAX(0,MIN('Activities'!L702,450)-MAX('Activities'!K702,444))</x:f>
        <x:v>0</x:v>
      </x:c>
      <x:c r="CB702" s="22" t="n">
        <x:f>MAX(0,MIN('Activities'!L702,456)-MAX('Activities'!K702,450))</x:f>
        <x:v>0</x:v>
      </x:c>
      <x:c r="CC702" s="22" t="n">
        <x:f>MAX(0,MIN('Activities'!L702,462)-MAX('Activities'!K702,456))</x:f>
        <x:v>0</x:v>
      </x:c>
      <x:c r="CD702" s="22" t="n">
        <x:f>MAX(0,MIN('Activities'!L702,468)-MAX('Activities'!K702,462))</x:f>
        <x:v>0</x:v>
      </x:c>
      <x:c r="CE702" s="22" t="n">
        <x:f>MAX(0,MIN('Activities'!L702,474)-MAX('Activities'!K702,468))</x:f>
        <x:v>0</x:v>
      </x:c>
      <x:c r="CF702" s="22" t="n">
        <x:f>MAX(0,MIN('Activities'!L702,480)-MAX('Activities'!K702,474))</x:f>
        <x:v>0</x:v>
      </x:c>
      <x:c r="CG702" s="22" t="n">
        <x:f>MAX(0,MIN('Activities'!L702,486)-MAX('Activities'!K702,480))</x:f>
        <x:v>0</x:v>
      </x:c>
      <x:c r="CH702" s="22" t="n">
        <x:f>MAX(0,MIN('Activities'!L702,492)-MAX('Activities'!K702,486))</x:f>
        <x:v>0</x:v>
      </x:c>
      <x:c r="CI702" s="22" t="n">
        <x:f>MAX(0,MIN('Activities'!L702,498)-MAX('Activities'!K702,492))</x:f>
        <x:v>0</x:v>
      </x:c>
      <x:c r="CJ702" s="22" t="n">
        <x:f>MAX(0,MIN('Activities'!L702,504)-MAX('Activities'!K702,498))</x:f>
        <x:v>0</x:v>
      </x:c>
      <x:c r="CK702" s="22" t="n">
        <x:f>MAX(0,MIN('Activities'!L702,510)-MAX('Activities'!K702,504))</x:f>
        <x:v>0</x:v>
      </x:c>
      <x:c r="CL702" s="22" t="n">
        <x:f>MAX(0,MIN('Activities'!L702,516)-MAX('Activities'!K702,510))</x:f>
        <x:v>0</x:v>
      </x:c>
      <x:c r="CM702" s="22" t="n">
        <x:f>MAX(0,MIN('Activities'!L702,522)-MAX('Activities'!K702,516))</x:f>
        <x:v>0</x:v>
      </x:c>
      <x:c r="CN702" s="22" t="n">
        <x:f>MAX(0,MIN('Activities'!L702,528)-MAX('Activities'!K702,522))</x:f>
        <x:v>0</x:v>
      </x:c>
      <x:c r="CO702" s="22" t="n">
        <x:f>MAX(0,MIN('Activities'!L702,534)-MAX('Activities'!K702,528))</x:f>
        <x:v>0</x:v>
      </x:c>
      <x:c r="CP702" s="22" t="n">
        <x:f>MAX(0,MIN('Activities'!L702,540)-MAX('Activities'!K702,534))</x:f>
        <x:v>0</x:v>
      </x:c>
      <x:c r="CQ702" s="22" t="n">
        <x:f>MAX(0,MIN('Activities'!L702,546)-MAX('Activities'!K702,540))</x:f>
        <x:v>0</x:v>
      </x:c>
      <x:c r="CR702" s="22" t="n">
        <x:f>MAX(0,MIN('Activities'!L702,552)-MAX('Activities'!K702,546))</x:f>
        <x:v>0</x:v>
      </x:c>
      <x:c r="CS702" s="22" t="n">
        <x:f>MAX(0,MIN('Activities'!L702,558)-MAX('Activities'!K702,552))</x:f>
        <x:v>0</x:v>
      </x:c>
      <x:c r="CT702" s="22" t="n">
        <x:f>MAX(0,MIN('Activities'!L702,564)-MAX('Activities'!K702,558))</x:f>
        <x:v>0</x:v>
      </x:c>
      <x:c r="CU702" s="22" t="n">
        <x:f>MAX(0,MIN('Activities'!L702,570)-MAX('Activities'!K702,564))</x:f>
        <x:v>0</x:v>
      </x:c>
      <x:c r="CV702" s="22" t="n">
        <x:f>MAX(0,MIN('Activities'!L702,576)-MAX('Activities'!K702,570))</x:f>
        <x:v>0</x:v>
      </x:c>
      <x:c r="CW702" s="22" t="n">
        <x:f>MAX(0,MIN('Activities'!L702,582)-MAX('Activities'!K702,576))</x:f>
        <x:v>0</x:v>
      </x:c>
      <x:c r="CX702" s="22" t="n">
        <x:f>MAX(0,MIN('Activities'!L702,588)-MAX('Activities'!K702,582))</x:f>
        <x:v>0</x:v>
      </x:c>
      <x:c r="CY702" s="22" t="n">
        <x:f>MAX(0,MIN('Activities'!L702,594)-MAX('Activities'!K702,588))</x:f>
        <x:v>0</x:v>
      </x:c>
      <x:c r="CZ702" s="22" t="n">
        <x:f>MAX(0,MIN('Activities'!L702,600)-MAX('Activities'!K702,594))</x:f>
        <x:v>0</x:v>
      </x:c>
      <x:c r="DA702" s="22" t="n">
        <x:f>MAX(0,MIN('Activities'!L702,606)-MAX('Activities'!K702,600))</x:f>
        <x:v>0</x:v>
      </x:c>
      <x:c r="DB702" s="22" t="n">
        <x:f>MAX(0,MIN('Activities'!L702,612)-MAX('Activities'!K702,606))</x:f>
        <x:v>0</x:v>
      </x:c>
      <x:c r="DC702" s="22" t="n">
        <x:f>MAX(0,MIN('Activities'!L702,618)-MAX('Activities'!K702,612))</x:f>
        <x:v>0</x:v>
      </x:c>
      <x:c r="DD702" s="22" t="n">
        <x:f>MAX(0,MIN('Activities'!L702,624)-MAX('Activities'!K702,618))</x:f>
        <x:v>0</x:v>
      </x:c>
      <x:c r="DE702" s="22" t="n">
        <x:f>MAX(0,MIN('Activities'!L702,630)-MAX('Activities'!K702,624))</x:f>
        <x:v>0</x:v>
      </x:c>
      <x:c r="DF702" s="22" t="n">
        <x:f>MAX(0,MIN('Activities'!L702,636)-MAX('Activities'!K702,630))</x:f>
        <x:v>0</x:v>
      </x:c>
    </x:row>
    <x:row r="703" ht="23" customHeight="1">
      <x:c r="A703" s="1" t="str">
        <x:v>T6-L05-C</x:v>
      </x:c>
      <x:c r="B703" s="1" t="str">
        <x:v>T6</x:v>
      </x:c>
      <x:c r="C703" s="1" t="str">
        <x:v>Concrete placement and finishing</x:v>
      </x:c>
      <x:c r="D703" s="1" t="str">
        <x:v>Concrete</x:v>
      </x:c>
      <x:c r="E703" s="23" t="n">
        <x:f>MAX(0,MIN('Activities'!L703,6)-MAX('Activities'!K703,0))</x:f>
        <x:v>0</x:v>
      </x:c>
      <x:c r="F703" s="23" t="n">
        <x:f>MAX(0,MIN('Activities'!L703,12)-MAX('Activities'!K703,6))</x:f>
        <x:v>0</x:v>
      </x:c>
      <x:c r="G703" s="23" t="n">
        <x:f>MAX(0,MIN('Activities'!L703,18)-MAX('Activities'!K703,12))</x:f>
        <x:v>0</x:v>
      </x:c>
      <x:c r="H703" s="23" t="n">
        <x:f>MAX(0,MIN('Activities'!L703,24)-MAX('Activities'!K703,18))</x:f>
        <x:v>0</x:v>
      </x:c>
      <x:c r="I703" s="23" t="n">
        <x:f>MAX(0,MIN('Activities'!L703,30)-MAX('Activities'!K703,24))</x:f>
        <x:v>0</x:v>
      </x:c>
      <x:c r="J703" s="23" t="n">
        <x:f>MAX(0,MIN('Activities'!L703,36)-MAX('Activities'!K703,30))</x:f>
        <x:v>0</x:v>
      </x:c>
      <x:c r="K703" s="23" t="n">
        <x:f>MAX(0,MIN('Activities'!L703,42)-MAX('Activities'!K703,36))</x:f>
        <x:v>0</x:v>
      </x:c>
      <x:c r="L703" s="23" t="n">
        <x:f>MAX(0,MIN('Activities'!L703,48)-MAX('Activities'!K703,42))</x:f>
        <x:v>0</x:v>
      </x:c>
      <x:c r="M703" s="23" t="n">
        <x:f>MAX(0,MIN('Activities'!L703,54)-MAX('Activities'!K703,48))</x:f>
        <x:v>0</x:v>
      </x:c>
      <x:c r="N703" s="23" t="n">
        <x:f>MAX(0,MIN('Activities'!L703,60)-MAX('Activities'!K703,54))</x:f>
        <x:v>0</x:v>
      </x:c>
      <x:c r="O703" s="23" t="n">
        <x:f>MAX(0,MIN('Activities'!L703,66)-MAX('Activities'!K703,60))</x:f>
        <x:v>0</x:v>
      </x:c>
      <x:c r="P703" s="23" t="n">
        <x:f>MAX(0,MIN('Activities'!L703,72)-MAX('Activities'!K703,66))</x:f>
        <x:v>0</x:v>
      </x:c>
      <x:c r="Q703" s="23" t="n">
        <x:f>MAX(0,MIN('Activities'!L703,78)-MAX('Activities'!K703,72))</x:f>
        <x:v>0</x:v>
      </x:c>
      <x:c r="R703" s="23" t="n">
        <x:f>MAX(0,MIN('Activities'!L703,84)-MAX('Activities'!K703,78))</x:f>
        <x:v>0</x:v>
      </x:c>
      <x:c r="S703" s="23" t="n">
        <x:f>MAX(0,MIN('Activities'!L703,90)-MAX('Activities'!K703,84))</x:f>
        <x:v>0</x:v>
      </x:c>
      <x:c r="T703" s="23" t="n">
        <x:f>MAX(0,MIN('Activities'!L703,96)-MAX('Activities'!K703,90))</x:f>
        <x:v>0</x:v>
      </x:c>
      <x:c r="U703" s="23" t="n">
        <x:f>MAX(0,MIN('Activities'!L703,102)-MAX('Activities'!K703,96))</x:f>
        <x:v>0</x:v>
      </x:c>
      <x:c r="V703" s="23" t="n">
        <x:f>MAX(0,MIN('Activities'!L703,108)-MAX('Activities'!K703,102))</x:f>
        <x:v>0</x:v>
      </x:c>
      <x:c r="W703" s="23" t="n">
        <x:f>MAX(0,MIN('Activities'!L703,114)-MAX('Activities'!K703,108))</x:f>
        <x:v>0</x:v>
      </x:c>
      <x:c r="X703" s="23" t="n">
        <x:f>MAX(0,MIN('Activities'!L703,120)-MAX('Activities'!K703,114))</x:f>
        <x:v>0</x:v>
      </x:c>
      <x:c r="Y703" s="23" t="n">
        <x:f>MAX(0,MIN('Activities'!L703,126)-MAX('Activities'!K703,120))</x:f>
        <x:v>0</x:v>
      </x:c>
      <x:c r="Z703" s="23" t="n">
        <x:f>MAX(0,MIN('Activities'!L703,132)-MAX('Activities'!K703,126))</x:f>
        <x:v>0</x:v>
      </x:c>
      <x:c r="AA703" s="23" t="n">
        <x:f>MAX(0,MIN('Activities'!L703,138)-MAX('Activities'!K703,132))</x:f>
        <x:v>0</x:v>
      </x:c>
      <x:c r="AB703" s="23" t="n">
        <x:f>MAX(0,MIN('Activities'!L703,144)-MAX('Activities'!K703,138))</x:f>
        <x:v>0</x:v>
      </x:c>
      <x:c r="AC703" s="23" t="n">
        <x:f>MAX(0,MIN('Activities'!L703,150)-MAX('Activities'!K703,144))</x:f>
        <x:v>0</x:v>
      </x:c>
      <x:c r="AD703" s="23" t="n">
        <x:f>MAX(0,MIN('Activities'!L703,156)-MAX('Activities'!K703,150))</x:f>
        <x:v>0</x:v>
      </x:c>
      <x:c r="AE703" s="23" t="n">
        <x:f>MAX(0,MIN('Activities'!L703,162)-MAX('Activities'!K703,156))</x:f>
        <x:v>0</x:v>
      </x:c>
      <x:c r="AF703" s="23" t="n">
        <x:f>MAX(0,MIN('Activities'!L703,168)-MAX('Activities'!K703,162))</x:f>
        <x:v>0</x:v>
      </x:c>
      <x:c r="AG703" s="23" t="n">
        <x:f>MAX(0,MIN('Activities'!L703,174)-MAX('Activities'!K703,168))</x:f>
        <x:v>0</x:v>
      </x:c>
      <x:c r="AH703" s="23" t="n">
        <x:f>MAX(0,MIN('Activities'!L703,180)-MAX('Activities'!K703,174))</x:f>
        <x:v>0</x:v>
      </x:c>
      <x:c r="AI703" s="23" t="n">
        <x:f>MAX(0,MIN('Activities'!L703,186)-MAX('Activities'!K703,180))</x:f>
        <x:v>0</x:v>
      </x:c>
      <x:c r="AJ703" s="23" t="n">
        <x:f>MAX(0,MIN('Activities'!L703,192)-MAX('Activities'!K703,186))</x:f>
        <x:v>0</x:v>
      </x:c>
      <x:c r="AK703" s="23" t="n">
        <x:f>MAX(0,MIN('Activities'!L703,198)-MAX('Activities'!K703,192))</x:f>
        <x:v>0</x:v>
      </x:c>
      <x:c r="AL703" s="23" t="n">
        <x:f>MAX(0,MIN('Activities'!L703,204)-MAX('Activities'!K703,198))</x:f>
        <x:v>0</x:v>
      </x:c>
      <x:c r="AM703" s="23" t="n">
        <x:f>MAX(0,MIN('Activities'!L703,210)-MAX('Activities'!K703,204))</x:f>
        <x:v>0</x:v>
      </x:c>
      <x:c r="AN703" s="23" t="n">
        <x:f>MAX(0,MIN('Activities'!L703,216)-MAX('Activities'!K703,210))</x:f>
        <x:v>0</x:v>
      </x:c>
      <x:c r="AO703" s="23" t="n">
        <x:f>MAX(0,MIN('Activities'!L703,222)-MAX('Activities'!K703,216))</x:f>
        <x:v>0</x:v>
      </x:c>
      <x:c r="AP703" s="23" t="n">
        <x:f>MAX(0,MIN('Activities'!L703,228)-MAX('Activities'!K703,222))</x:f>
        <x:v>0</x:v>
      </x:c>
      <x:c r="AQ703" s="23" t="n">
        <x:f>MAX(0,MIN('Activities'!L703,234)-MAX('Activities'!K703,228))</x:f>
        <x:v>0</x:v>
      </x:c>
      <x:c r="AR703" s="23" t="n">
        <x:f>MAX(0,MIN('Activities'!L703,240)-MAX('Activities'!K703,234))</x:f>
        <x:v>0</x:v>
      </x:c>
      <x:c r="AS703" s="23" t="n">
        <x:f>MAX(0,MIN('Activities'!L703,246)-MAX('Activities'!K703,240))</x:f>
        <x:v>0</x:v>
      </x:c>
      <x:c r="AT703" s="23" t="n">
        <x:f>MAX(0,MIN('Activities'!L703,252)-MAX('Activities'!K703,246))</x:f>
        <x:v>0</x:v>
      </x:c>
      <x:c r="AU703" s="23" t="n">
        <x:f>MAX(0,MIN('Activities'!L703,258)-MAX('Activities'!K703,252))</x:f>
        <x:v>0</x:v>
      </x:c>
      <x:c r="AV703" s="23" t="n">
        <x:f>MAX(0,MIN('Activities'!L703,264)-MAX('Activities'!K703,258))</x:f>
        <x:v>0</x:v>
      </x:c>
      <x:c r="AW703" s="23" t="n">
        <x:f>MAX(0,MIN('Activities'!L703,270)-MAX('Activities'!K703,264))</x:f>
        <x:v>0</x:v>
      </x:c>
      <x:c r="AX703" s="23" t="n">
        <x:f>MAX(0,MIN('Activities'!L703,276)-MAX('Activities'!K703,270))</x:f>
        <x:v>0</x:v>
      </x:c>
      <x:c r="AY703" s="23" t="n">
        <x:f>MAX(0,MIN('Activities'!L703,282)-MAX('Activities'!K703,276))</x:f>
        <x:v>0</x:v>
      </x:c>
      <x:c r="AZ703" s="23" t="n">
        <x:f>MAX(0,MIN('Activities'!L703,288)-MAX('Activities'!K703,282))</x:f>
        <x:v>0</x:v>
      </x:c>
      <x:c r="BA703" s="23" t="n">
        <x:f>MAX(0,MIN('Activities'!L703,294)-MAX('Activities'!K703,288))</x:f>
        <x:v>0</x:v>
      </x:c>
      <x:c r="BB703" s="23" t="n">
        <x:f>MAX(0,MIN('Activities'!L703,300)-MAX('Activities'!K703,294))</x:f>
        <x:v>2</x:v>
      </x:c>
      <x:c r="BC703" s="23" t="n">
        <x:f>MAX(0,MIN('Activities'!L703,306)-MAX('Activities'!K703,300))</x:f>
        <x:v>0</x:v>
      </x:c>
      <x:c r="BD703" s="23" t="n">
        <x:f>MAX(0,MIN('Activities'!L703,312)-MAX('Activities'!K703,306))</x:f>
        <x:v>0</x:v>
      </x:c>
      <x:c r="BE703" s="23" t="n">
        <x:f>MAX(0,MIN('Activities'!L703,318)-MAX('Activities'!K703,312))</x:f>
        <x:v>0</x:v>
      </x:c>
      <x:c r="BF703" s="23" t="n">
        <x:f>MAX(0,MIN('Activities'!L703,324)-MAX('Activities'!K703,318))</x:f>
        <x:v>0</x:v>
      </x:c>
      <x:c r="BG703" s="23" t="n">
        <x:f>MAX(0,MIN('Activities'!L703,330)-MAX('Activities'!K703,324))</x:f>
        <x:v>0</x:v>
      </x:c>
      <x:c r="BH703" s="23" t="n">
        <x:f>MAX(0,MIN('Activities'!L703,336)-MAX('Activities'!K703,330))</x:f>
        <x:v>0</x:v>
      </x:c>
      <x:c r="BI703" s="23" t="n">
        <x:f>MAX(0,MIN('Activities'!L703,342)-MAX('Activities'!K703,336))</x:f>
        <x:v>0</x:v>
      </x:c>
      <x:c r="BJ703" s="23" t="n">
        <x:f>MAX(0,MIN('Activities'!L703,348)-MAX('Activities'!K703,342))</x:f>
        <x:v>0</x:v>
      </x:c>
      <x:c r="BK703" s="23" t="n">
        <x:f>MAX(0,MIN('Activities'!L703,354)-MAX('Activities'!K703,348))</x:f>
        <x:v>0</x:v>
      </x:c>
      <x:c r="BL703" s="23" t="n">
        <x:f>MAX(0,MIN('Activities'!L703,360)-MAX('Activities'!K703,354))</x:f>
        <x:v>0</x:v>
      </x:c>
      <x:c r="BM703" s="23" t="n">
        <x:f>MAX(0,MIN('Activities'!L703,366)-MAX('Activities'!K703,360))</x:f>
        <x:v>0</x:v>
      </x:c>
      <x:c r="BN703" s="23" t="n">
        <x:f>MAX(0,MIN('Activities'!L703,372)-MAX('Activities'!K703,366))</x:f>
        <x:v>0</x:v>
      </x:c>
      <x:c r="BO703" s="23" t="n">
        <x:f>MAX(0,MIN('Activities'!L703,378)-MAX('Activities'!K703,372))</x:f>
        <x:v>0</x:v>
      </x:c>
      <x:c r="BP703" s="23" t="n">
        <x:f>MAX(0,MIN('Activities'!L703,384)-MAX('Activities'!K703,378))</x:f>
        <x:v>0</x:v>
      </x:c>
      <x:c r="BQ703" s="23" t="n">
        <x:f>MAX(0,MIN('Activities'!L703,390)-MAX('Activities'!K703,384))</x:f>
        <x:v>0</x:v>
      </x:c>
      <x:c r="BR703" s="23" t="n">
        <x:f>MAX(0,MIN('Activities'!L703,396)-MAX('Activities'!K703,390))</x:f>
        <x:v>0</x:v>
      </x:c>
      <x:c r="BS703" s="23" t="n">
        <x:f>MAX(0,MIN('Activities'!L703,402)-MAX('Activities'!K703,396))</x:f>
        <x:v>0</x:v>
      </x:c>
      <x:c r="BT703" s="23" t="n">
        <x:f>MAX(0,MIN('Activities'!L703,408)-MAX('Activities'!K703,402))</x:f>
        <x:v>0</x:v>
      </x:c>
      <x:c r="BU703" s="23" t="n">
        <x:f>MAX(0,MIN('Activities'!L703,414)-MAX('Activities'!K703,408))</x:f>
        <x:v>0</x:v>
      </x:c>
      <x:c r="BV703" s="23" t="n">
        <x:f>MAX(0,MIN('Activities'!L703,420)-MAX('Activities'!K703,414))</x:f>
        <x:v>0</x:v>
      </x:c>
      <x:c r="BW703" s="23" t="n">
        <x:f>MAX(0,MIN('Activities'!L703,426)-MAX('Activities'!K703,420))</x:f>
        <x:v>0</x:v>
      </x:c>
      <x:c r="BX703" s="23" t="n">
        <x:f>MAX(0,MIN('Activities'!L703,432)-MAX('Activities'!K703,426))</x:f>
        <x:v>0</x:v>
      </x:c>
      <x:c r="BY703" s="23" t="n">
        <x:f>MAX(0,MIN('Activities'!L703,438)-MAX('Activities'!K703,432))</x:f>
        <x:v>0</x:v>
      </x:c>
      <x:c r="BZ703" s="23" t="n">
        <x:f>MAX(0,MIN('Activities'!L703,444)-MAX('Activities'!K703,438))</x:f>
        <x:v>0</x:v>
      </x:c>
      <x:c r="CA703" s="23" t="n">
        <x:f>MAX(0,MIN('Activities'!L703,450)-MAX('Activities'!K703,444))</x:f>
        <x:v>0</x:v>
      </x:c>
      <x:c r="CB703" s="23" t="n">
        <x:f>MAX(0,MIN('Activities'!L703,456)-MAX('Activities'!K703,450))</x:f>
        <x:v>0</x:v>
      </x:c>
      <x:c r="CC703" s="23" t="n">
        <x:f>MAX(0,MIN('Activities'!L703,462)-MAX('Activities'!K703,456))</x:f>
        <x:v>0</x:v>
      </x:c>
      <x:c r="CD703" s="23" t="n">
        <x:f>MAX(0,MIN('Activities'!L703,468)-MAX('Activities'!K703,462))</x:f>
        <x:v>0</x:v>
      </x:c>
      <x:c r="CE703" s="23" t="n">
        <x:f>MAX(0,MIN('Activities'!L703,474)-MAX('Activities'!K703,468))</x:f>
        <x:v>0</x:v>
      </x:c>
      <x:c r="CF703" s="23" t="n">
        <x:f>MAX(0,MIN('Activities'!L703,480)-MAX('Activities'!K703,474))</x:f>
        <x:v>0</x:v>
      </x:c>
      <x:c r="CG703" s="23" t="n">
        <x:f>MAX(0,MIN('Activities'!L703,486)-MAX('Activities'!K703,480))</x:f>
        <x:v>0</x:v>
      </x:c>
      <x:c r="CH703" s="23" t="n">
        <x:f>MAX(0,MIN('Activities'!L703,492)-MAX('Activities'!K703,486))</x:f>
        <x:v>0</x:v>
      </x:c>
      <x:c r="CI703" s="23" t="n">
        <x:f>MAX(0,MIN('Activities'!L703,498)-MAX('Activities'!K703,492))</x:f>
        <x:v>0</x:v>
      </x:c>
      <x:c r="CJ703" s="23" t="n">
        <x:f>MAX(0,MIN('Activities'!L703,504)-MAX('Activities'!K703,498))</x:f>
        <x:v>0</x:v>
      </x:c>
      <x:c r="CK703" s="23" t="n">
        <x:f>MAX(0,MIN('Activities'!L703,510)-MAX('Activities'!K703,504))</x:f>
        <x:v>0</x:v>
      </x:c>
      <x:c r="CL703" s="23" t="n">
        <x:f>MAX(0,MIN('Activities'!L703,516)-MAX('Activities'!K703,510))</x:f>
        <x:v>0</x:v>
      </x:c>
      <x:c r="CM703" s="23" t="n">
        <x:f>MAX(0,MIN('Activities'!L703,522)-MAX('Activities'!K703,516))</x:f>
        <x:v>0</x:v>
      </x:c>
      <x:c r="CN703" s="23" t="n">
        <x:f>MAX(0,MIN('Activities'!L703,528)-MAX('Activities'!K703,522))</x:f>
        <x:v>0</x:v>
      </x:c>
      <x:c r="CO703" s="23" t="n">
        <x:f>MAX(0,MIN('Activities'!L703,534)-MAX('Activities'!K703,528))</x:f>
        <x:v>0</x:v>
      </x:c>
      <x:c r="CP703" s="23" t="n">
        <x:f>MAX(0,MIN('Activities'!L703,540)-MAX('Activities'!K703,534))</x:f>
        <x:v>0</x:v>
      </x:c>
      <x:c r="CQ703" s="23" t="n">
        <x:f>MAX(0,MIN('Activities'!L703,546)-MAX('Activities'!K703,540))</x:f>
        <x:v>0</x:v>
      </x:c>
      <x:c r="CR703" s="23" t="n">
        <x:f>MAX(0,MIN('Activities'!L703,552)-MAX('Activities'!K703,546))</x:f>
        <x:v>0</x:v>
      </x:c>
      <x:c r="CS703" s="23" t="n">
        <x:f>MAX(0,MIN('Activities'!L703,558)-MAX('Activities'!K703,552))</x:f>
        <x:v>0</x:v>
      </x:c>
      <x:c r="CT703" s="23" t="n">
        <x:f>MAX(0,MIN('Activities'!L703,564)-MAX('Activities'!K703,558))</x:f>
        <x:v>0</x:v>
      </x:c>
      <x:c r="CU703" s="23" t="n">
        <x:f>MAX(0,MIN('Activities'!L703,570)-MAX('Activities'!K703,564))</x:f>
        <x:v>0</x:v>
      </x:c>
      <x:c r="CV703" s="23" t="n">
        <x:f>MAX(0,MIN('Activities'!L703,576)-MAX('Activities'!K703,570))</x:f>
        <x:v>0</x:v>
      </x:c>
      <x:c r="CW703" s="23" t="n">
        <x:f>MAX(0,MIN('Activities'!L703,582)-MAX('Activities'!K703,576))</x:f>
        <x:v>0</x:v>
      </x:c>
      <x:c r="CX703" s="23" t="n">
        <x:f>MAX(0,MIN('Activities'!L703,588)-MAX('Activities'!K703,582))</x:f>
        <x:v>0</x:v>
      </x:c>
      <x:c r="CY703" s="23" t="n">
        <x:f>MAX(0,MIN('Activities'!L703,594)-MAX('Activities'!K703,588))</x:f>
        <x:v>0</x:v>
      </x:c>
      <x:c r="CZ703" s="23" t="n">
        <x:f>MAX(0,MIN('Activities'!L703,600)-MAX('Activities'!K703,594))</x:f>
        <x:v>0</x:v>
      </x:c>
      <x:c r="DA703" s="23" t="n">
        <x:f>MAX(0,MIN('Activities'!L703,606)-MAX('Activities'!K703,600))</x:f>
        <x:v>0</x:v>
      </x:c>
      <x:c r="DB703" s="23" t="n">
        <x:f>MAX(0,MIN('Activities'!L703,612)-MAX('Activities'!K703,606))</x:f>
        <x:v>0</x:v>
      </x:c>
      <x:c r="DC703" s="23" t="n">
        <x:f>MAX(0,MIN('Activities'!L703,618)-MAX('Activities'!K703,612))</x:f>
        <x:v>0</x:v>
      </x:c>
      <x:c r="DD703" s="23" t="n">
        <x:f>MAX(0,MIN('Activities'!L703,624)-MAX('Activities'!K703,618))</x:f>
        <x:v>0</x:v>
      </x:c>
      <x:c r="DE703" s="23" t="n">
        <x:f>MAX(0,MIN('Activities'!L703,630)-MAX('Activities'!K703,624))</x:f>
        <x:v>0</x:v>
      </x:c>
      <x:c r="DF703" s="23" t="n">
        <x:f>MAX(0,MIN('Activities'!L703,636)-MAX('Activities'!K703,630))</x:f>
        <x:v>0</x:v>
      </x:c>
    </x:row>
    <x:row r="704" ht="23" customHeight="1">
      <x:c r="A704" s="6" t="str">
        <x:v>T6-L05-H</x:v>
      </x:c>
      <x:c r="B704" s="6" t="str">
        <x:v>T6</x:v>
      </x:c>
      <x:c r="C704" s="6" t="str">
        <x:v>Curing and release hold point</x:v>
      </x:c>
      <x:c r="D704" s="6" t="str">
        <x:v>Site</x:v>
      </x:c>
      <x:c r="E704" s="22" t="n">
        <x:f>MAX(0,MIN('Activities'!L704,6)-MAX('Activities'!K704,0))</x:f>
        <x:v>0</x:v>
      </x:c>
      <x:c r="F704" s="22" t="n">
        <x:f>MAX(0,MIN('Activities'!L704,12)-MAX('Activities'!K704,6))</x:f>
        <x:v>0</x:v>
      </x:c>
      <x:c r="G704" s="22" t="n">
        <x:f>MAX(0,MIN('Activities'!L704,18)-MAX('Activities'!K704,12))</x:f>
        <x:v>0</x:v>
      </x:c>
      <x:c r="H704" s="22" t="n">
        <x:f>MAX(0,MIN('Activities'!L704,24)-MAX('Activities'!K704,18))</x:f>
        <x:v>0</x:v>
      </x:c>
      <x:c r="I704" s="22" t="n">
        <x:f>MAX(0,MIN('Activities'!L704,30)-MAX('Activities'!K704,24))</x:f>
        <x:v>0</x:v>
      </x:c>
      <x:c r="J704" s="22" t="n">
        <x:f>MAX(0,MIN('Activities'!L704,36)-MAX('Activities'!K704,30))</x:f>
        <x:v>0</x:v>
      </x:c>
      <x:c r="K704" s="22" t="n">
        <x:f>MAX(0,MIN('Activities'!L704,42)-MAX('Activities'!K704,36))</x:f>
        <x:v>0</x:v>
      </x:c>
      <x:c r="L704" s="22" t="n">
        <x:f>MAX(0,MIN('Activities'!L704,48)-MAX('Activities'!K704,42))</x:f>
        <x:v>0</x:v>
      </x:c>
      <x:c r="M704" s="22" t="n">
        <x:f>MAX(0,MIN('Activities'!L704,54)-MAX('Activities'!K704,48))</x:f>
        <x:v>0</x:v>
      </x:c>
      <x:c r="N704" s="22" t="n">
        <x:f>MAX(0,MIN('Activities'!L704,60)-MAX('Activities'!K704,54))</x:f>
        <x:v>0</x:v>
      </x:c>
      <x:c r="O704" s="22" t="n">
        <x:f>MAX(0,MIN('Activities'!L704,66)-MAX('Activities'!K704,60))</x:f>
        <x:v>0</x:v>
      </x:c>
      <x:c r="P704" s="22" t="n">
        <x:f>MAX(0,MIN('Activities'!L704,72)-MAX('Activities'!K704,66))</x:f>
        <x:v>0</x:v>
      </x:c>
      <x:c r="Q704" s="22" t="n">
        <x:f>MAX(0,MIN('Activities'!L704,78)-MAX('Activities'!K704,72))</x:f>
        <x:v>0</x:v>
      </x:c>
      <x:c r="R704" s="22" t="n">
        <x:f>MAX(0,MIN('Activities'!L704,84)-MAX('Activities'!K704,78))</x:f>
        <x:v>0</x:v>
      </x:c>
      <x:c r="S704" s="22" t="n">
        <x:f>MAX(0,MIN('Activities'!L704,90)-MAX('Activities'!K704,84))</x:f>
        <x:v>0</x:v>
      </x:c>
      <x:c r="T704" s="22" t="n">
        <x:f>MAX(0,MIN('Activities'!L704,96)-MAX('Activities'!K704,90))</x:f>
        <x:v>0</x:v>
      </x:c>
      <x:c r="U704" s="22" t="n">
        <x:f>MAX(0,MIN('Activities'!L704,102)-MAX('Activities'!K704,96))</x:f>
        <x:v>0</x:v>
      </x:c>
      <x:c r="V704" s="22" t="n">
        <x:f>MAX(0,MIN('Activities'!L704,108)-MAX('Activities'!K704,102))</x:f>
        <x:v>0</x:v>
      </x:c>
      <x:c r="W704" s="22" t="n">
        <x:f>MAX(0,MIN('Activities'!L704,114)-MAX('Activities'!K704,108))</x:f>
        <x:v>0</x:v>
      </x:c>
      <x:c r="X704" s="22" t="n">
        <x:f>MAX(0,MIN('Activities'!L704,120)-MAX('Activities'!K704,114))</x:f>
        <x:v>0</x:v>
      </x:c>
      <x:c r="Y704" s="22" t="n">
        <x:f>MAX(0,MIN('Activities'!L704,126)-MAX('Activities'!K704,120))</x:f>
        <x:v>0</x:v>
      </x:c>
      <x:c r="Z704" s="22" t="n">
        <x:f>MAX(0,MIN('Activities'!L704,132)-MAX('Activities'!K704,126))</x:f>
        <x:v>0</x:v>
      </x:c>
      <x:c r="AA704" s="22" t="n">
        <x:f>MAX(0,MIN('Activities'!L704,138)-MAX('Activities'!K704,132))</x:f>
        <x:v>0</x:v>
      </x:c>
      <x:c r="AB704" s="22" t="n">
        <x:f>MAX(0,MIN('Activities'!L704,144)-MAX('Activities'!K704,138))</x:f>
        <x:v>0</x:v>
      </x:c>
      <x:c r="AC704" s="22" t="n">
        <x:f>MAX(0,MIN('Activities'!L704,150)-MAX('Activities'!K704,144))</x:f>
        <x:v>0</x:v>
      </x:c>
      <x:c r="AD704" s="22" t="n">
        <x:f>MAX(0,MIN('Activities'!L704,156)-MAX('Activities'!K704,150))</x:f>
        <x:v>0</x:v>
      </x:c>
      <x:c r="AE704" s="22" t="n">
        <x:f>MAX(0,MIN('Activities'!L704,162)-MAX('Activities'!K704,156))</x:f>
        <x:v>0</x:v>
      </x:c>
      <x:c r="AF704" s="22" t="n">
        <x:f>MAX(0,MIN('Activities'!L704,168)-MAX('Activities'!K704,162))</x:f>
        <x:v>0</x:v>
      </x:c>
      <x:c r="AG704" s="22" t="n">
        <x:f>MAX(0,MIN('Activities'!L704,174)-MAX('Activities'!K704,168))</x:f>
        <x:v>0</x:v>
      </x:c>
      <x:c r="AH704" s="22" t="n">
        <x:f>MAX(0,MIN('Activities'!L704,180)-MAX('Activities'!K704,174))</x:f>
        <x:v>0</x:v>
      </x:c>
      <x:c r="AI704" s="22" t="n">
        <x:f>MAX(0,MIN('Activities'!L704,186)-MAX('Activities'!K704,180))</x:f>
        <x:v>0</x:v>
      </x:c>
      <x:c r="AJ704" s="22" t="n">
        <x:f>MAX(0,MIN('Activities'!L704,192)-MAX('Activities'!K704,186))</x:f>
        <x:v>0</x:v>
      </x:c>
      <x:c r="AK704" s="22" t="n">
        <x:f>MAX(0,MIN('Activities'!L704,198)-MAX('Activities'!K704,192))</x:f>
        <x:v>0</x:v>
      </x:c>
      <x:c r="AL704" s="22" t="n">
        <x:f>MAX(0,MIN('Activities'!L704,204)-MAX('Activities'!K704,198))</x:f>
        <x:v>0</x:v>
      </x:c>
      <x:c r="AM704" s="22" t="n">
        <x:f>MAX(0,MIN('Activities'!L704,210)-MAX('Activities'!K704,204))</x:f>
        <x:v>0</x:v>
      </x:c>
      <x:c r="AN704" s="22" t="n">
        <x:f>MAX(0,MIN('Activities'!L704,216)-MAX('Activities'!K704,210))</x:f>
        <x:v>0</x:v>
      </x:c>
      <x:c r="AO704" s="22" t="n">
        <x:f>MAX(0,MIN('Activities'!L704,222)-MAX('Activities'!K704,216))</x:f>
        <x:v>0</x:v>
      </x:c>
      <x:c r="AP704" s="22" t="n">
        <x:f>MAX(0,MIN('Activities'!L704,228)-MAX('Activities'!K704,222))</x:f>
        <x:v>0</x:v>
      </x:c>
      <x:c r="AQ704" s="22" t="n">
        <x:f>MAX(0,MIN('Activities'!L704,234)-MAX('Activities'!K704,228))</x:f>
        <x:v>0</x:v>
      </x:c>
      <x:c r="AR704" s="22" t="n">
        <x:f>MAX(0,MIN('Activities'!L704,240)-MAX('Activities'!K704,234))</x:f>
        <x:v>0</x:v>
      </x:c>
      <x:c r="AS704" s="22" t="n">
        <x:f>MAX(0,MIN('Activities'!L704,246)-MAX('Activities'!K704,240))</x:f>
        <x:v>0</x:v>
      </x:c>
      <x:c r="AT704" s="22" t="n">
        <x:f>MAX(0,MIN('Activities'!L704,252)-MAX('Activities'!K704,246))</x:f>
        <x:v>0</x:v>
      </x:c>
      <x:c r="AU704" s="22" t="n">
        <x:f>MAX(0,MIN('Activities'!L704,258)-MAX('Activities'!K704,252))</x:f>
        <x:v>0</x:v>
      </x:c>
      <x:c r="AV704" s="22" t="n">
        <x:f>MAX(0,MIN('Activities'!L704,264)-MAX('Activities'!K704,258))</x:f>
        <x:v>0</x:v>
      </x:c>
      <x:c r="AW704" s="22" t="n">
        <x:f>MAX(0,MIN('Activities'!L704,270)-MAX('Activities'!K704,264))</x:f>
        <x:v>0</x:v>
      </x:c>
      <x:c r="AX704" s="22" t="n">
        <x:f>MAX(0,MIN('Activities'!L704,276)-MAX('Activities'!K704,270))</x:f>
        <x:v>0</x:v>
      </x:c>
      <x:c r="AY704" s="22" t="n">
        <x:f>MAX(0,MIN('Activities'!L704,282)-MAX('Activities'!K704,276))</x:f>
        <x:v>0</x:v>
      </x:c>
      <x:c r="AZ704" s="22" t="n">
        <x:f>MAX(0,MIN('Activities'!L704,288)-MAX('Activities'!K704,282))</x:f>
        <x:v>0</x:v>
      </x:c>
      <x:c r="BA704" s="22" t="n">
        <x:f>MAX(0,MIN('Activities'!L704,294)-MAX('Activities'!K704,288))</x:f>
        <x:v>0</x:v>
      </x:c>
      <x:c r="BB704" s="22" t="n">
        <x:f>MAX(0,MIN('Activities'!L704,300)-MAX('Activities'!K704,294))</x:f>
        <x:v>3</x:v>
      </x:c>
      <x:c r="BC704" s="22" t="n">
        <x:f>MAX(0,MIN('Activities'!L704,306)-MAX('Activities'!K704,300))</x:f>
        <x:v>2</x:v>
      </x:c>
      <x:c r="BD704" s="22" t="n">
        <x:f>MAX(0,MIN('Activities'!L704,312)-MAX('Activities'!K704,306))</x:f>
        <x:v>0</x:v>
      </x:c>
      <x:c r="BE704" s="22" t="n">
        <x:f>MAX(0,MIN('Activities'!L704,318)-MAX('Activities'!K704,312))</x:f>
        <x:v>0</x:v>
      </x:c>
      <x:c r="BF704" s="22" t="n">
        <x:f>MAX(0,MIN('Activities'!L704,324)-MAX('Activities'!K704,318))</x:f>
        <x:v>0</x:v>
      </x:c>
      <x:c r="BG704" s="22" t="n">
        <x:f>MAX(0,MIN('Activities'!L704,330)-MAX('Activities'!K704,324))</x:f>
        <x:v>0</x:v>
      </x:c>
      <x:c r="BH704" s="22" t="n">
        <x:f>MAX(0,MIN('Activities'!L704,336)-MAX('Activities'!K704,330))</x:f>
        <x:v>0</x:v>
      </x:c>
      <x:c r="BI704" s="22" t="n">
        <x:f>MAX(0,MIN('Activities'!L704,342)-MAX('Activities'!K704,336))</x:f>
        <x:v>0</x:v>
      </x:c>
      <x:c r="BJ704" s="22" t="n">
        <x:f>MAX(0,MIN('Activities'!L704,348)-MAX('Activities'!K704,342))</x:f>
        <x:v>0</x:v>
      </x:c>
      <x:c r="BK704" s="22" t="n">
        <x:f>MAX(0,MIN('Activities'!L704,354)-MAX('Activities'!K704,348))</x:f>
        <x:v>0</x:v>
      </x:c>
      <x:c r="BL704" s="22" t="n">
        <x:f>MAX(0,MIN('Activities'!L704,360)-MAX('Activities'!K704,354))</x:f>
        <x:v>0</x:v>
      </x:c>
      <x:c r="BM704" s="22" t="n">
        <x:f>MAX(0,MIN('Activities'!L704,366)-MAX('Activities'!K704,360))</x:f>
        <x:v>0</x:v>
      </x:c>
      <x:c r="BN704" s="22" t="n">
        <x:f>MAX(0,MIN('Activities'!L704,372)-MAX('Activities'!K704,366))</x:f>
        <x:v>0</x:v>
      </x:c>
      <x:c r="BO704" s="22" t="n">
        <x:f>MAX(0,MIN('Activities'!L704,378)-MAX('Activities'!K704,372))</x:f>
        <x:v>0</x:v>
      </x:c>
      <x:c r="BP704" s="22" t="n">
        <x:f>MAX(0,MIN('Activities'!L704,384)-MAX('Activities'!K704,378))</x:f>
        <x:v>0</x:v>
      </x:c>
      <x:c r="BQ704" s="22" t="n">
        <x:f>MAX(0,MIN('Activities'!L704,390)-MAX('Activities'!K704,384))</x:f>
        <x:v>0</x:v>
      </x:c>
      <x:c r="BR704" s="22" t="n">
        <x:f>MAX(0,MIN('Activities'!L704,396)-MAX('Activities'!K704,390))</x:f>
        <x:v>0</x:v>
      </x:c>
      <x:c r="BS704" s="22" t="n">
        <x:f>MAX(0,MIN('Activities'!L704,402)-MAX('Activities'!K704,396))</x:f>
        <x:v>0</x:v>
      </x:c>
      <x:c r="BT704" s="22" t="n">
        <x:f>MAX(0,MIN('Activities'!L704,408)-MAX('Activities'!K704,402))</x:f>
        <x:v>0</x:v>
      </x:c>
      <x:c r="BU704" s="22" t="n">
        <x:f>MAX(0,MIN('Activities'!L704,414)-MAX('Activities'!K704,408))</x:f>
        <x:v>0</x:v>
      </x:c>
      <x:c r="BV704" s="22" t="n">
        <x:f>MAX(0,MIN('Activities'!L704,420)-MAX('Activities'!K704,414))</x:f>
        <x:v>0</x:v>
      </x:c>
      <x:c r="BW704" s="22" t="n">
        <x:f>MAX(0,MIN('Activities'!L704,426)-MAX('Activities'!K704,420))</x:f>
        <x:v>0</x:v>
      </x:c>
      <x:c r="BX704" s="22" t="n">
        <x:f>MAX(0,MIN('Activities'!L704,432)-MAX('Activities'!K704,426))</x:f>
        <x:v>0</x:v>
      </x:c>
      <x:c r="BY704" s="22" t="n">
        <x:f>MAX(0,MIN('Activities'!L704,438)-MAX('Activities'!K704,432))</x:f>
        <x:v>0</x:v>
      </x:c>
      <x:c r="BZ704" s="22" t="n">
        <x:f>MAX(0,MIN('Activities'!L704,444)-MAX('Activities'!K704,438))</x:f>
        <x:v>0</x:v>
      </x:c>
      <x:c r="CA704" s="22" t="n">
        <x:f>MAX(0,MIN('Activities'!L704,450)-MAX('Activities'!K704,444))</x:f>
        <x:v>0</x:v>
      </x:c>
      <x:c r="CB704" s="22" t="n">
        <x:f>MAX(0,MIN('Activities'!L704,456)-MAX('Activities'!K704,450))</x:f>
        <x:v>0</x:v>
      </x:c>
      <x:c r="CC704" s="22" t="n">
        <x:f>MAX(0,MIN('Activities'!L704,462)-MAX('Activities'!K704,456))</x:f>
        <x:v>0</x:v>
      </x:c>
      <x:c r="CD704" s="22" t="n">
        <x:f>MAX(0,MIN('Activities'!L704,468)-MAX('Activities'!K704,462))</x:f>
        <x:v>0</x:v>
      </x:c>
      <x:c r="CE704" s="22" t="n">
        <x:f>MAX(0,MIN('Activities'!L704,474)-MAX('Activities'!K704,468))</x:f>
        <x:v>0</x:v>
      </x:c>
      <x:c r="CF704" s="22" t="n">
        <x:f>MAX(0,MIN('Activities'!L704,480)-MAX('Activities'!K704,474))</x:f>
        <x:v>0</x:v>
      </x:c>
      <x:c r="CG704" s="22" t="n">
        <x:f>MAX(0,MIN('Activities'!L704,486)-MAX('Activities'!K704,480))</x:f>
        <x:v>0</x:v>
      </x:c>
      <x:c r="CH704" s="22" t="n">
        <x:f>MAX(0,MIN('Activities'!L704,492)-MAX('Activities'!K704,486))</x:f>
        <x:v>0</x:v>
      </x:c>
      <x:c r="CI704" s="22" t="n">
        <x:f>MAX(0,MIN('Activities'!L704,498)-MAX('Activities'!K704,492))</x:f>
        <x:v>0</x:v>
      </x:c>
      <x:c r="CJ704" s="22" t="n">
        <x:f>MAX(0,MIN('Activities'!L704,504)-MAX('Activities'!K704,498))</x:f>
        <x:v>0</x:v>
      </x:c>
      <x:c r="CK704" s="22" t="n">
        <x:f>MAX(0,MIN('Activities'!L704,510)-MAX('Activities'!K704,504))</x:f>
        <x:v>0</x:v>
      </x:c>
      <x:c r="CL704" s="22" t="n">
        <x:f>MAX(0,MIN('Activities'!L704,516)-MAX('Activities'!K704,510))</x:f>
        <x:v>0</x:v>
      </x:c>
      <x:c r="CM704" s="22" t="n">
        <x:f>MAX(0,MIN('Activities'!L704,522)-MAX('Activities'!K704,516))</x:f>
        <x:v>0</x:v>
      </x:c>
      <x:c r="CN704" s="22" t="n">
        <x:f>MAX(0,MIN('Activities'!L704,528)-MAX('Activities'!K704,522))</x:f>
        <x:v>0</x:v>
      </x:c>
      <x:c r="CO704" s="22" t="n">
        <x:f>MAX(0,MIN('Activities'!L704,534)-MAX('Activities'!K704,528))</x:f>
        <x:v>0</x:v>
      </x:c>
      <x:c r="CP704" s="22" t="n">
        <x:f>MAX(0,MIN('Activities'!L704,540)-MAX('Activities'!K704,534))</x:f>
        <x:v>0</x:v>
      </x:c>
      <x:c r="CQ704" s="22" t="n">
        <x:f>MAX(0,MIN('Activities'!L704,546)-MAX('Activities'!K704,540))</x:f>
        <x:v>0</x:v>
      </x:c>
      <x:c r="CR704" s="22" t="n">
        <x:f>MAX(0,MIN('Activities'!L704,552)-MAX('Activities'!K704,546))</x:f>
        <x:v>0</x:v>
      </x:c>
      <x:c r="CS704" s="22" t="n">
        <x:f>MAX(0,MIN('Activities'!L704,558)-MAX('Activities'!K704,552))</x:f>
        <x:v>0</x:v>
      </x:c>
      <x:c r="CT704" s="22" t="n">
        <x:f>MAX(0,MIN('Activities'!L704,564)-MAX('Activities'!K704,558))</x:f>
        <x:v>0</x:v>
      </x:c>
      <x:c r="CU704" s="22" t="n">
        <x:f>MAX(0,MIN('Activities'!L704,570)-MAX('Activities'!K704,564))</x:f>
        <x:v>0</x:v>
      </x:c>
      <x:c r="CV704" s="22" t="n">
        <x:f>MAX(0,MIN('Activities'!L704,576)-MAX('Activities'!K704,570))</x:f>
        <x:v>0</x:v>
      </x:c>
      <x:c r="CW704" s="22" t="n">
        <x:f>MAX(0,MIN('Activities'!L704,582)-MAX('Activities'!K704,576))</x:f>
        <x:v>0</x:v>
      </x:c>
      <x:c r="CX704" s="22" t="n">
        <x:f>MAX(0,MIN('Activities'!L704,588)-MAX('Activities'!K704,582))</x:f>
        <x:v>0</x:v>
      </x:c>
      <x:c r="CY704" s="22" t="n">
        <x:f>MAX(0,MIN('Activities'!L704,594)-MAX('Activities'!K704,588))</x:f>
        <x:v>0</x:v>
      </x:c>
      <x:c r="CZ704" s="22" t="n">
        <x:f>MAX(0,MIN('Activities'!L704,600)-MAX('Activities'!K704,594))</x:f>
        <x:v>0</x:v>
      </x:c>
      <x:c r="DA704" s="22" t="n">
        <x:f>MAX(0,MIN('Activities'!L704,606)-MAX('Activities'!K704,600))</x:f>
        <x:v>0</x:v>
      </x:c>
      <x:c r="DB704" s="22" t="n">
        <x:f>MAX(0,MIN('Activities'!L704,612)-MAX('Activities'!K704,606))</x:f>
        <x:v>0</x:v>
      </x:c>
      <x:c r="DC704" s="22" t="n">
        <x:f>MAX(0,MIN('Activities'!L704,618)-MAX('Activities'!K704,612))</x:f>
        <x:v>0</x:v>
      </x:c>
      <x:c r="DD704" s="22" t="n">
        <x:f>MAX(0,MIN('Activities'!L704,624)-MAX('Activities'!K704,618))</x:f>
        <x:v>0</x:v>
      </x:c>
      <x:c r="DE704" s="22" t="n">
        <x:f>MAX(0,MIN('Activities'!L704,630)-MAX('Activities'!K704,624))</x:f>
        <x:v>0</x:v>
      </x:c>
      <x:c r="DF704" s="22" t="n">
        <x:f>MAX(0,MIN('Activities'!L704,636)-MAX('Activities'!K704,630))</x:f>
        <x:v>0</x:v>
      </x:c>
    </x:row>
    <x:row r="705" ht="23" customHeight="1">
      <x:c r="A705" s="1" t="str">
        <x:v>T6-L06-F</x:v>
      </x:c>
      <x:c r="B705" s="1" t="str">
        <x:v>T6</x:v>
      </x:c>
      <x:c r="C705" s="1" t="str">
        <x:v>Columns, core and deck formwork</x:v>
      </x:c>
      <x:c r="D705" s="1" t="str">
        <x:v>Formwork</x:v>
      </x:c>
      <x:c r="E705" s="23" t="n">
        <x:f>MAX(0,MIN('Activities'!L705,6)-MAX('Activities'!K705,0))</x:f>
        <x:v>0</x:v>
      </x:c>
      <x:c r="F705" s="23" t="n">
        <x:f>MAX(0,MIN('Activities'!L705,12)-MAX('Activities'!K705,6))</x:f>
        <x:v>0</x:v>
      </x:c>
      <x:c r="G705" s="23" t="n">
        <x:f>MAX(0,MIN('Activities'!L705,18)-MAX('Activities'!K705,12))</x:f>
        <x:v>0</x:v>
      </x:c>
      <x:c r="H705" s="23" t="n">
        <x:f>MAX(0,MIN('Activities'!L705,24)-MAX('Activities'!K705,18))</x:f>
        <x:v>0</x:v>
      </x:c>
      <x:c r="I705" s="23" t="n">
        <x:f>MAX(0,MIN('Activities'!L705,30)-MAX('Activities'!K705,24))</x:f>
        <x:v>0</x:v>
      </x:c>
      <x:c r="J705" s="23" t="n">
        <x:f>MAX(0,MIN('Activities'!L705,36)-MAX('Activities'!K705,30))</x:f>
        <x:v>0</x:v>
      </x:c>
      <x:c r="K705" s="23" t="n">
        <x:f>MAX(0,MIN('Activities'!L705,42)-MAX('Activities'!K705,36))</x:f>
        <x:v>0</x:v>
      </x:c>
      <x:c r="L705" s="23" t="n">
        <x:f>MAX(0,MIN('Activities'!L705,48)-MAX('Activities'!K705,42))</x:f>
        <x:v>0</x:v>
      </x:c>
      <x:c r="M705" s="23" t="n">
        <x:f>MAX(0,MIN('Activities'!L705,54)-MAX('Activities'!K705,48))</x:f>
        <x:v>0</x:v>
      </x:c>
      <x:c r="N705" s="23" t="n">
        <x:f>MAX(0,MIN('Activities'!L705,60)-MAX('Activities'!K705,54))</x:f>
        <x:v>0</x:v>
      </x:c>
      <x:c r="O705" s="23" t="n">
        <x:f>MAX(0,MIN('Activities'!L705,66)-MAX('Activities'!K705,60))</x:f>
        <x:v>0</x:v>
      </x:c>
      <x:c r="P705" s="23" t="n">
        <x:f>MAX(0,MIN('Activities'!L705,72)-MAX('Activities'!K705,66))</x:f>
        <x:v>0</x:v>
      </x:c>
      <x:c r="Q705" s="23" t="n">
        <x:f>MAX(0,MIN('Activities'!L705,78)-MAX('Activities'!K705,72))</x:f>
        <x:v>0</x:v>
      </x:c>
      <x:c r="R705" s="23" t="n">
        <x:f>MAX(0,MIN('Activities'!L705,84)-MAX('Activities'!K705,78))</x:f>
        <x:v>0</x:v>
      </x:c>
      <x:c r="S705" s="23" t="n">
        <x:f>MAX(0,MIN('Activities'!L705,90)-MAX('Activities'!K705,84))</x:f>
        <x:v>0</x:v>
      </x:c>
      <x:c r="T705" s="23" t="n">
        <x:f>MAX(0,MIN('Activities'!L705,96)-MAX('Activities'!K705,90))</x:f>
        <x:v>0</x:v>
      </x:c>
      <x:c r="U705" s="23" t="n">
        <x:f>MAX(0,MIN('Activities'!L705,102)-MAX('Activities'!K705,96))</x:f>
        <x:v>0</x:v>
      </x:c>
      <x:c r="V705" s="23" t="n">
        <x:f>MAX(0,MIN('Activities'!L705,108)-MAX('Activities'!K705,102))</x:f>
        <x:v>0</x:v>
      </x:c>
      <x:c r="W705" s="23" t="n">
        <x:f>MAX(0,MIN('Activities'!L705,114)-MAX('Activities'!K705,108))</x:f>
        <x:v>0</x:v>
      </x:c>
      <x:c r="X705" s="23" t="n">
        <x:f>MAX(0,MIN('Activities'!L705,120)-MAX('Activities'!K705,114))</x:f>
        <x:v>0</x:v>
      </x:c>
      <x:c r="Y705" s="23" t="n">
        <x:f>MAX(0,MIN('Activities'!L705,126)-MAX('Activities'!K705,120))</x:f>
        <x:v>0</x:v>
      </x:c>
      <x:c r="Z705" s="23" t="n">
        <x:f>MAX(0,MIN('Activities'!L705,132)-MAX('Activities'!K705,126))</x:f>
        <x:v>0</x:v>
      </x:c>
      <x:c r="AA705" s="23" t="n">
        <x:f>MAX(0,MIN('Activities'!L705,138)-MAX('Activities'!K705,132))</x:f>
        <x:v>0</x:v>
      </x:c>
      <x:c r="AB705" s="23" t="n">
        <x:f>MAX(0,MIN('Activities'!L705,144)-MAX('Activities'!K705,138))</x:f>
        <x:v>0</x:v>
      </x:c>
      <x:c r="AC705" s="23" t="n">
        <x:f>MAX(0,MIN('Activities'!L705,150)-MAX('Activities'!K705,144))</x:f>
        <x:v>0</x:v>
      </x:c>
      <x:c r="AD705" s="23" t="n">
        <x:f>MAX(0,MIN('Activities'!L705,156)-MAX('Activities'!K705,150))</x:f>
        <x:v>0</x:v>
      </x:c>
      <x:c r="AE705" s="23" t="n">
        <x:f>MAX(0,MIN('Activities'!L705,162)-MAX('Activities'!K705,156))</x:f>
        <x:v>0</x:v>
      </x:c>
      <x:c r="AF705" s="23" t="n">
        <x:f>MAX(0,MIN('Activities'!L705,168)-MAX('Activities'!K705,162))</x:f>
        <x:v>0</x:v>
      </x:c>
      <x:c r="AG705" s="23" t="n">
        <x:f>MAX(0,MIN('Activities'!L705,174)-MAX('Activities'!K705,168))</x:f>
        <x:v>0</x:v>
      </x:c>
      <x:c r="AH705" s="23" t="n">
        <x:f>MAX(0,MIN('Activities'!L705,180)-MAX('Activities'!K705,174))</x:f>
        <x:v>0</x:v>
      </x:c>
      <x:c r="AI705" s="23" t="n">
        <x:f>MAX(0,MIN('Activities'!L705,186)-MAX('Activities'!K705,180))</x:f>
        <x:v>0</x:v>
      </x:c>
      <x:c r="AJ705" s="23" t="n">
        <x:f>MAX(0,MIN('Activities'!L705,192)-MAX('Activities'!K705,186))</x:f>
        <x:v>0</x:v>
      </x:c>
      <x:c r="AK705" s="23" t="n">
        <x:f>MAX(0,MIN('Activities'!L705,198)-MAX('Activities'!K705,192))</x:f>
        <x:v>0</x:v>
      </x:c>
      <x:c r="AL705" s="23" t="n">
        <x:f>MAX(0,MIN('Activities'!L705,204)-MAX('Activities'!K705,198))</x:f>
        <x:v>0</x:v>
      </x:c>
      <x:c r="AM705" s="23" t="n">
        <x:f>MAX(0,MIN('Activities'!L705,210)-MAX('Activities'!K705,204))</x:f>
        <x:v>0</x:v>
      </x:c>
      <x:c r="AN705" s="23" t="n">
        <x:f>MAX(0,MIN('Activities'!L705,216)-MAX('Activities'!K705,210))</x:f>
        <x:v>0</x:v>
      </x:c>
      <x:c r="AO705" s="23" t="n">
        <x:f>MAX(0,MIN('Activities'!L705,222)-MAX('Activities'!K705,216))</x:f>
        <x:v>0</x:v>
      </x:c>
      <x:c r="AP705" s="23" t="n">
        <x:f>MAX(0,MIN('Activities'!L705,228)-MAX('Activities'!K705,222))</x:f>
        <x:v>0</x:v>
      </x:c>
      <x:c r="AQ705" s="23" t="n">
        <x:f>MAX(0,MIN('Activities'!L705,234)-MAX('Activities'!K705,228))</x:f>
        <x:v>0</x:v>
      </x:c>
      <x:c r="AR705" s="23" t="n">
        <x:f>MAX(0,MIN('Activities'!L705,240)-MAX('Activities'!K705,234))</x:f>
        <x:v>0</x:v>
      </x:c>
      <x:c r="AS705" s="23" t="n">
        <x:f>MAX(0,MIN('Activities'!L705,246)-MAX('Activities'!K705,240))</x:f>
        <x:v>0</x:v>
      </x:c>
      <x:c r="AT705" s="23" t="n">
        <x:f>MAX(0,MIN('Activities'!L705,252)-MAX('Activities'!K705,246))</x:f>
        <x:v>0</x:v>
      </x:c>
      <x:c r="AU705" s="23" t="n">
        <x:f>MAX(0,MIN('Activities'!L705,258)-MAX('Activities'!K705,252))</x:f>
        <x:v>0</x:v>
      </x:c>
      <x:c r="AV705" s="23" t="n">
        <x:f>MAX(0,MIN('Activities'!L705,264)-MAX('Activities'!K705,258))</x:f>
        <x:v>0</x:v>
      </x:c>
      <x:c r="AW705" s="23" t="n">
        <x:f>MAX(0,MIN('Activities'!L705,270)-MAX('Activities'!K705,264))</x:f>
        <x:v>0</x:v>
      </x:c>
      <x:c r="AX705" s="23" t="n">
        <x:f>MAX(0,MIN('Activities'!L705,276)-MAX('Activities'!K705,270))</x:f>
        <x:v>0</x:v>
      </x:c>
      <x:c r="AY705" s="23" t="n">
        <x:f>MAX(0,MIN('Activities'!L705,282)-MAX('Activities'!K705,276))</x:f>
        <x:v>0</x:v>
      </x:c>
      <x:c r="AZ705" s="23" t="n">
        <x:f>MAX(0,MIN('Activities'!L705,288)-MAX('Activities'!K705,282))</x:f>
        <x:v>0</x:v>
      </x:c>
      <x:c r="BA705" s="23" t="n">
        <x:f>MAX(0,MIN('Activities'!L705,294)-MAX('Activities'!K705,288))</x:f>
        <x:v>0</x:v>
      </x:c>
      <x:c r="BB705" s="23" t="n">
        <x:f>MAX(0,MIN('Activities'!L705,300)-MAX('Activities'!K705,294))</x:f>
        <x:v>0</x:v>
      </x:c>
      <x:c r="BC705" s="23" t="n">
        <x:f>MAX(0,MIN('Activities'!L705,306)-MAX('Activities'!K705,300))</x:f>
        <x:v>4</x:v>
      </x:c>
      <x:c r="BD705" s="23" t="n">
        <x:f>MAX(0,MIN('Activities'!L705,312)-MAX('Activities'!K705,306))</x:f>
        <x:v>2</x:v>
      </x:c>
      <x:c r="BE705" s="23" t="n">
        <x:f>MAX(0,MIN('Activities'!L705,318)-MAX('Activities'!K705,312))</x:f>
        <x:v>0</x:v>
      </x:c>
      <x:c r="BF705" s="23" t="n">
        <x:f>MAX(0,MIN('Activities'!L705,324)-MAX('Activities'!K705,318))</x:f>
        <x:v>0</x:v>
      </x:c>
      <x:c r="BG705" s="23" t="n">
        <x:f>MAX(0,MIN('Activities'!L705,330)-MAX('Activities'!K705,324))</x:f>
        <x:v>0</x:v>
      </x:c>
      <x:c r="BH705" s="23" t="n">
        <x:f>MAX(0,MIN('Activities'!L705,336)-MAX('Activities'!K705,330))</x:f>
        <x:v>0</x:v>
      </x:c>
      <x:c r="BI705" s="23" t="n">
        <x:f>MAX(0,MIN('Activities'!L705,342)-MAX('Activities'!K705,336))</x:f>
        <x:v>0</x:v>
      </x:c>
      <x:c r="BJ705" s="23" t="n">
        <x:f>MAX(0,MIN('Activities'!L705,348)-MAX('Activities'!K705,342))</x:f>
        <x:v>0</x:v>
      </x:c>
      <x:c r="BK705" s="23" t="n">
        <x:f>MAX(0,MIN('Activities'!L705,354)-MAX('Activities'!K705,348))</x:f>
        <x:v>0</x:v>
      </x:c>
      <x:c r="BL705" s="23" t="n">
        <x:f>MAX(0,MIN('Activities'!L705,360)-MAX('Activities'!K705,354))</x:f>
        <x:v>0</x:v>
      </x:c>
      <x:c r="BM705" s="23" t="n">
        <x:f>MAX(0,MIN('Activities'!L705,366)-MAX('Activities'!K705,360))</x:f>
        <x:v>0</x:v>
      </x:c>
      <x:c r="BN705" s="23" t="n">
        <x:f>MAX(0,MIN('Activities'!L705,372)-MAX('Activities'!K705,366))</x:f>
        <x:v>0</x:v>
      </x:c>
      <x:c r="BO705" s="23" t="n">
        <x:f>MAX(0,MIN('Activities'!L705,378)-MAX('Activities'!K705,372))</x:f>
        <x:v>0</x:v>
      </x:c>
      <x:c r="BP705" s="23" t="n">
        <x:f>MAX(0,MIN('Activities'!L705,384)-MAX('Activities'!K705,378))</x:f>
        <x:v>0</x:v>
      </x:c>
      <x:c r="BQ705" s="23" t="n">
        <x:f>MAX(0,MIN('Activities'!L705,390)-MAX('Activities'!K705,384))</x:f>
        <x:v>0</x:v>
      </x:c>
      <x:c r="BR705" s="23" t="n">
        <x:f>MAX(0,MIN('Activities'!L705,396)-MAX('Activities'!K705,390))</x:f>
        <x:v>0</x:v>
      </x:c>
      <x:c r="BS705" s="23" t="n">
        <x:f>MAX(0,MIN('Activities'!L705,402)-MAX('Activities'!K705,396))</x:f>
        <x:v>0</x:v>
      </x:c>
      <x:c r="BT705" s="23" t="n">
        <x:f>MAX(0,MIN('Activities'!L705,408)-MAX('Activities'!K705,402))</x:f>
        <x:v>0</x:v>
      </x:c>
      <x:c r="BU705" s="23" t="n">
        <x:f>MAX(0,MIN('Activities'!L705,414)-MAX('Activities'!K705,408))</x:f>
        <x:v>0</x:v>
      </x:c>
      <x:c r="BV705" s="23" t="n">
        <x:f>MAX(0,MIN('Activities'!L705,420)-MAX('Activities'!K705,414))</x:f>
        <x:v>0</x:v>
      </x:c>
      <x:c r="BW705" s="23" t="n">
        <x:f>MAX(0,MIN('Activities'!L705,426)-MAX('Activities'!K705,420))</x:f>
        <x:v>0</x:v>
      </x:c>
      <x:c r="BX705" s="23" t="n">
        <x:f>MAX(0,MIN('Activities'!L705,432)-MAX('Activities'!K705,426))</x:f>
        <x:v>0</x:v>
      </x:c>
      <x:c r="BY705" s="23" t="n">
        <x:f>MAX(0,MIN('Activities'!L705,438)-MAX('Activities'!K705,432))</x:f>
        <x:v>0</x:v>
      </x:c>
      <x:c r="BZ705" s="23" t="n">
        <x:f>MAX(0,MIN('Activities'!L705,444)-MAX('Activities'!K705,438))</x:f>
        <x:v>0</x:v>
      </x:c>
      <x:c r="CA705" s="23" t="n">
        <x:f>MAX(0,MIN('Activities'!L705,450)-MAX('Activities'!K705,444))</x:f>
        <x:v>0</x:v>
      </x:c>
      <x:c r="CB705" s="23" t="n">
        <x:f>MAX(0,MIN('Activities'!L705,456)-MAX('Activities'!K705,450))</x:f>
        <x:v>0</x:v>
      </x:c>
      <x:c r="CC705" s="23" t="n">
        <x:f>MAX(0,MIN('Activities'!L705,462)-MAX('Activities'!K705,456))</x:f>
        <x:v>0</x:v>
      </x:c>
      <x:c r="CD705" s="23" t="n">
        <x:f>MAX(0,MIN('Activities'!L705,468)-MAX('Activities'!K705,462))</x:f>
        <x:v>0</x:v>
      </x:c>
      <x:c r="CE705" s="23" t="n">
        <x:f>MAX(0,MIN('Activities'!L705,474)-MAX('Activities'!K705,468))</x:f>
        <x:v>0</x:v>
      </x:c>
      <x:c r="CF705" s="23" t="n">
        <x:f>MAX(0,MIN('Activities'!L705,480)-MAX('Activities'!K705,474))</x:f>
        <x:v>0</x:v>
      </x:c>
      <x:c r="CG705" s="23" t="n">
        <x:f>MAX(0,MIN('Activities'!L705,486)-MAX('Activities'!K705,480))</x:f>
        <x:v>0</x:v>
      </x:c>
      <x:c r="CH705" s="23" t="n">
        <x:f>MAX(0,MIN('Activities'!L705,492)-MAX('Activities'!K705,486))</x:f>
        <x:v>0</x:v>
      </x:c>
      <x:c r="CI705" s="23" t="n">
        <x:f>MAX(0,MIN('Activities'!L705,498)-MAX('Activities'!K705,492))</x:f>
        <x:v>0</x:v>
      </x:c>
      <x:c r="CJ705" s="23" t="n">
        <x:f>MAX(0,MIN('Activities'!L705,504)-MAX('Activities'!K705,498))</x:f>
        <x:v>0</x:v>
      </x:c>
      <x:c r="CK705" s="23" t="n">
        <x:f>MAX(0,MIN('Activities'!L705,510)-MAX('Activities'!K705,504))</x:f>
        <x:v>0</x:v>
      </x:c>
      <x:c r="CL705" s="23" t="n">
        <x:f>MAX(0,MIN('Activities'!L705,516)-MAX('Activities'!K705,510))</x:f>
        <x:v>0</x:v>
      </x:c>
      <x:c r="CM705" s="23" t="n">
        <x:f>MAX(0,MIN('Activities'!L705,522)-MAX('Activities'!K705,516))</x:f>
        <x:v>0</x:v>
      </x:c>
      <x:c r="CN705" s="23" t="n">
        <x:f>MAX(0,MIN('Activities'!L705,528)-MAX('Activities'!K705,522))</x:f>
        <x:v>0</x:v>
      </x:c>
      <x:c r="CO705" s="23" t="n">
        <x:f>MAX(0,MIN('Activities'!L705,534)-MAX('Activities'!K705,528))</x:f>
        <x:v>0</x:v>
      </x:c>
      <x:c r="CP705" s="23" t="n">
        <x:f>MAX(0,MIN('Activities'!L705,540)-MAX('Activities'!K705,534))</x:f>
        <x:v>0</x:v>
      </x:c>
      <x:c r="CQ705" s="23" t="n">
        <x:f>MAX(0,MIN('Activities'!L705,546)-MAX('Activities'!K705,540))</x:f>
        <x:v>0</x:v>
      </x:c>
      <x:c r="CR705" s="23" t="n">
        <x:f>MAX(0,MIN('Activities'!L705,552)-MAX('Activities'!K705,546))</x:f>
        <x:v>0</x:v>
      </x:c>
      <x:c r="CS705" s="23" t="n">
        <x:f>MAX(0,MIN('Activities'!L705,558)-MAX('Activities'!K705,552))</x:f>
        <x:v>0</x:v>
      </x:c>
      <x:c r="CT705" s="23" t="n">
        <x:f>MAX(0,MIN('Activities'!L705,564)-MAX('Activities'!K705,558))</x:f>
        <x:v>0</x:v>
      </x:c>
      <x:c r="CU705" s="23" t="n">
        <x:f>MAX(0,MIN('Activities'!L705,570)-MAX('Activities'!K705,564))</x:f>
        <x:v>0</x:v>
      </x:c>
      <x:c r="CV705" s="23" t="n">
        <x:f>MAX(0,MIN('Activities'!L705,576)-MAX('Activities'!K705,570))</x:f>
        <x:v>0</x:v>
      </x:c>
      <x:c r="CW705" s="23" t="n">
        <x:f>MAX(0,MIN('Activities'!L705,582)-MAX('Activities'!K705,576))</x:f>
        <x:v>0</x:v>
      </x:c>
      <x:c r="CX705" s="23" t="n">
        <x:f>MAX(0,MIN('Activities'!L705,588)-MAX('Activities'!K705,582))</x:f>
        <x:v>0</x:v>
      </x:c>
      <x:c r="CY705" s="23" t="n">
        <x:f>MAX(0,MIN('Activities'!L705,594)-MAX('Activities'!K705,588))</x:f>
        <x:v>0</x:v>
      </x:c>
      <x:c r="CZ705" s="23" t="n">
        <x:f>MAX(0,MIN('Activities'!L705,600)-MAX('Activities'!K705,594))</x:f>
        <x:v>0</x:v>
      </x:c>
      <x:c r="DA705" s="23" t="n">
        <x:f>MAX(0,MIN('Activities'!L705,606)-MAX('Activities'!K705,600))</x:f>
        <x:v>0</x:v>
      </x:c>
      <x:c r="DB705" s="23" t="n">
        <x:f>MAX(0,MIN('Activities'!L705,612)-MAX('Activities'!K705,606))</x:f>
        <x:v>0</x:v>
      </x:c>
      <x:c r="DC705" s="23" t="n">
        <x:f>MAX(0,MIN('Activities'!L705,618)-MAX('Activities'!K705,612))</x:f>
        <x:v>0</x:v>
      </x:c>
      <x:c r="DD705" s="23" t="n">
        <x:f>MAX(0,MIN('Activities'!L705,624)-MAX('Activities'!K705,618))</x:f>
        <x:v>0</x:v>
      </x:c>
      <x:c r="DE705" s="23" t="n">
        <x:f>MAX(0,MIN('Activities'!L705,630)-MAX('Activities'!K705,624))</x:f>
        <x:v>0</x:v>
      </x:c>
      <x:c r="DF705" s="23" t="n">
        <x:f>MAX(0,MIN('Activities'!L705,636)-MAX('Activities'!K705,630))</x:f>
        <x:v>0</x:v>
      </x:c>
    </x:row>
    <x:row r="706" ht="23" customHeight="1">
      <x:c r="A706" s="6" t="str">
        <x:v>T6-L06-R</x:v>
      </x:c>
      <x:c r="B706" s="6" t="str">
        <x:v>T6</x:v>
      </x:c>
      <x:c r="C706" s="6" t="str">
        <x:v>Column, wall, beam and slab reinforcement</x:v>
      </x:c>
      <x:c r="D706" s="6" t="str">
        <x:v>Rebar</x:v>
      </x:c>
      <x:c r="E706" s="22" t="n">
        <x:f>MAX(0,MIN('Activities'!L706,6)-MAX('Activities'!K706,0))</x:f>
        <x:v>0</x:v>
      </x:c>
      <x:c r="F706" s="22" t="n">
        <x:f>MAX(0,MIN('Activities'!L706,12)-MAX('Activities'!K706,6))</x:f>
        <x:v>0</x:v>
      </x:c>
      <x:c r="G706" s="22" t="n">
        <x:f>MAX(0,MIN('Activities'!L706,18)-MAX('Activities'!K706,12))</x:f>
        <x:v>0</x:v>
      </x:c>
      <x:c r="H706" s="22" t="n">
        <x:f>MAX(0,MIN('Activities'!L706,24)-MAX('Activities'!K706,18))</x:f>
        <x:v>0</x:v>
      </x:c>
      <x:c r="I706" s="22" t="n">
        <x:f>MAX(0,MIN('Activities'!L706,30)-MAX('Activities'!K706,24))</x:f>
        <x:v>0</x:v>
      </x:c>
      <x:c r="J706" s="22" t="n">
        <x:f>MAX(0,MIN('Activities'!L706,36)-MAX('Activities'!K706,30))</x:f>
        <x:v>0</x:v>
      </x:c>
      <x:c r="K706" s="22" t="n">
        <x:f>MAX(0,MIN('Activities'!L706,42)-MAX('Activities'!K706,36))</x:f>
        <x:v>0</x:v>
      </x:c>
      <x:c r="L706" s="22" t="n">
        <x:f>MAX(0,MIN('Activities'!L706,48)-MAX('Activities'!K706,42))</x:f>
        <x:v>0</x:v>
      </x:c>
      <x:c r="M706" s="22" t="n">
        <x:f>MAX(0,MIN('Activities'!L706,54)-MAX('Activities'!K706,48))</x:f>
        <x:v>0</x:v>
      </x:c>
      <x:c r="N706" s="22" t="n">
        <x:f>MAX(0,MIN('Activities'!L706,60)-MAX('Activities'!K706,54))</x:f>
        <x:v>0</x:v>
      </x:c>
      <x:c r="O706" s="22" t="n">
        <x:f>MAX(0,MIN('Activities'!L706,66)-MAX('Activities'!K706,60))</x:f>
        <x:v>0</x:v>
      </x:c>
      <x:c r="P706" s="22" t="n">
        <x:f>MAX(0,MIN('Activities'!L706,72)-MAX('Activities'!K706,66))</x:f>
        <x:v>0</x:v>
      </x:c>
      <x:c r="Q706" s="22" t="n">
        <x:f>MAX(0,MIN('Activities'!L706,78)-MAX('Activities'!K706,72))</x:f>
        <x:v>0</x:v>
      </x:c>
      <x:c r="R706" s="22" t="n">
        <x:f>MAX(0,MIN('Activities'!L706,84)-MAX('Activities'!K706,78))</x:f>
        <x:v>0</x:v>
      </x:c>
      <x:c r="S706" s="22" t="n">
        <x:f>MAX(0,MIN('Activities'!L706,90)-MAX('Activities'!K706,84))</x:f>
        <x:v>0</x:v>
      </x:c>
      <x:c r="T706" s="22" t="n">
        <x:f>MAX(0,MIN('Activities'!L706,96)-MAX('Activities'!K706,90))</x:f>
        <x:v>0</x:v>
      </x:c>
      <x:c r="U706" s="22" t="n">
        <x:f>MAX(0,MIN('Activities'!L706,102)-MAX('Activities'!K706,96))</x:f>
        <x:v>0</x:v>
      </x:c>
      <x:c r="V706" s="22" t="n">
        <x:f>MAX(0,MIN('Activities'!L706,108)-MAX('Activities'!K706,102))</x:f>
        <x:v>0</x:v>
      </x:c>
      <x:c r="W706" s="22" t="n">
        <x:f>MAX(0,MIN('Activities'!L706,114)-MAX('Activities'!K706,108))</x:f>
        <x:v>0</x:v>
      </x:c>
      <x:c r="X706" s="22" t="n">
        <x:f>MAX(0,MIN('Activities'!L706,120)-MAX('Activities'!K706,114))</x:f>
        <x:v>0</x:v>
      </x:c>
      <x:c r="Y706" s="22" t="n">
        <x:f>MAX(0,MIN('Activities'!L706,126)-MAX('Activities'!K706,120))</x:f>
        <x:v>0</x:v>
      </x:c>
      <x:c r="Z706" s="22" t="n">
        <x:f>MAX(0,MIN('Activities'!L706,132)-MAX('Activities'!K706,126))</x:f>
        <x:v>0</x:v>
      </x:c>
      <x:c r="AA706" s="22" t="n">
        <x:f>MAX(0,MIN('Activities'!L706,138)-MAX('Activities'!K706,132))</x:f>
        <x:v>0</x:v>
      </x:c>
      <x:c r="AB706" s="22" t="n">
        <x:f>MAX(0,MIN('Activities'!L706,144)-MAX('Activities'!K706,138))</x:f>
        <x:v>0</x:v>
      </x:c>
      <x:c r="AC706" s="22" t="n">
        <x:f>MAX(0,MIN('Activities'!L706,150)-MAX('Activities'!K706,144))</x:f>
        <x:v>0</x:v>
      </x:c>
      <x:c r="AD706" s="22" t="n">
        <x:f>MAX(0,MIN('Activities'!L706,156)-MAX('Activities'!K706,150))</x:f>
        <x:v>0</x:v>
      </x:c>
      <x:c r="AE706" s="22" t="n">
        <x:f>MAX(0,MIN('Activities'!L706,162)-MAX('Activities'!K706,156))</x:f>
        <x:v>0</x:v>
      </x:c>
      <x:c r="AF706" s="22" t="n">
        <x:f>MAX(0,MIN('Activities'!L706,168)-MAX('Activities'!K706,162))</x:f>
        <x:v>0</x:v>
      </x:c>
      <x:c r="AG706" s="22" t="n">
        <x:f>MAX(0,MIN('Activities'!L706,174)-MAX('Activities'!K706,168))</x:f>
        <x:v>0</x:v>
      </x:c>
      <x:c r="AH706" s="22" t="n">
        <x:f>MAX(0,MIN('Activities'!L706,180)-MAX('Activities'!K706,174))</x:f>
        <x:v>0</x:v>
      </x:c>
      <x:c r="AI706" s="22" t="n">
        <x:f>MAX(0,MIN('Activities'!L706,186)-MAX('Activities'!K706,180))</x:f>
        <x:v>0</x:v>
      </x:c>
      <x:c r="AJ706" s="22" t="n">
        <x:f>MAX(0,MIN('Activities'!L706,192)-MAX('Activities'!K706,186))</x:f>
        <x:v>0</x:v>
      </x:c>
      <x:c r="AK706" s="22" t="n">
        <x:f>MAX(0,MIN('Activities'!L706,198)-MAX('Activities'!K706,192))</x:f>
        <x:v>0</x:v>
      </x:c>
      <x:c r="AL706" s="22" t="n">
        <x:f>MAX(0,MIN('Activities'!L706,204)-MAX('Activities'!K706,198))</x:f>
        <x:v>0</x:v>
      </x:c>
      <x:c r="AM706" s="22" t="n">
        <x:f>MAX(0,MIN('Activities'!L706,210)-MAX('Activities'!K706,204))</x:f>
        <x:v>0</x:v>
      </x:c>
      <x:c r="AN706" s="22" t="n">
        <x:f>MAX(0,MIN('Activities'!L706,216)-MAX('Activities'!K706,210))</x:f>
        <x:v>0</x:v>
      </x:c>
      <x:c r="AO706" s="22" t="n">
        <x:f>MAX(0,MIN('Activities'!L706,222)-MAX('Activities'!K706,216))</x:f>
        <x:v>0</x:v>
      </x:c>
      <x:c r="AP706" s="22" t="n">
        <x:f>MAX(0,MIN('Activities'!L706,228)-MAX('Activities'!K706,222))</x:f>
        <x:v>0</x:v>
      </x:c>
      <x:c r="AQ706" s="22" t="n">
        <x:f>MAX(0,MIN('Activities'!L706,234)-MAX('Activities'!K706,228))</x:f>
        <x:v>0</x:v>
      </x:c>
      <x:c r="AR706" s="22" t="n">
        <x:f>MAX(0,MIN('Activities'!L706,240)-MAX('Activities'!K706,234))</x:f>
        <x:v>0</x:v>
      </x:c>
      <x:c r="AS706" s="22" t="n">
        <x:f>MAX(0,MIN('Activities'!L706,246)-MAX('Activities'!K706,240))</x:f>
        <x:v>0</x:v>
      </x:c>
      <x:c r="AT706" s="22" t="n">
        <x:f>MAX(0,MIN('Activities'!L706,252)-MAX('Activities'!K706,246))</x:f>
        <x:v>0</x:v>
      </x:c>
      <x:c r="AU706" s="22" t="n">
        <x:f>MAX(0,MIN('Activities'!L706,258)-MAX('Activities'!K706,252))</x:f>
        <x:v>0</x:v>
      </x:c>
      <x:c r="AV706" s="22" t="n">
        <x:f>MAX(0,MIN('Activities'!L706,264)-MAX('Activities'!K706,258))</x:f>
        <x:v>0</x:v>
      </x:c>
      <x:c r="AW706" s="22" t="n">
        <x:f>MAX(0,MIN('Activities'!L706,270)-MAX('Activities'!K706,264))</x:f>
        <x:v>0</x:v>
      </x:c>
      <x:c r="AX706" s="22" t="n">
        <x:f>MAX(0,MIN('Activities'!L706,276)-MAX('Activities'!K706,270))</x:f>
        <x:v>0</x:v>
      </x:c>
      <x:c r="AY706" s="22" t="n">
        <x:f>MAX(0,MIN('Activities'!L706,282)-MAX('Activities'!K706,276))</x:f>
        <x:v>0</x:v>
      </x:c>
      <x:c r="AZ706" s="22" t="n">
        <x:f>MAX(0,MIN('Activities'!L706,288)-MAX('Activities'!K706,282))</x:f>
        <x:v>0</x:v>
      </x:c>
      <x:c r="BA706" s="22" t="n">
        <x:f>MAX(0,MIN('Activities'!L706,294)-MAX('Activities'!K706,288))</x:f>
        <x:v>0</x:v>
      </x:c>
      <x:c r="BB706" s="22" t="n">
        <x:f>MAX(0,MIN('Activities'!L706,300)-MAX('Activities'!K706,294))</x:f>
        <x:v>0</x:v>
      </x:c>
      <x:c r="BC706" s="22" t="n">
        <x:f>MAX(0,MIN('Activities'!L706,306)-MAX('Activities'!K706,300))</x:f>
        <x:v>0</x:v>
      </x:c>
      <x:c r="BD706" s="22" t="n">
        <x:f>MAX(0,MIN('Activities'!L706,312)-MAX('Activities'!K706,306))</x:f>
        <x:v>4</x:v>
      </x:c>
      <x:c r="BE706" s="22" t="n">
        <x:f>MAX(0,MIN('Activities'!L706,318)-MAX('Activities'!K706,312))</x:f>
        <x:v>1</x:v>
      </x:c>
      <x:c r="BF706" s="22" t="n">
        <x:f>MAX(0,MIN('Activities'!L706,324)-MAX('Activities'!K706,318))</x:f>
        <x:v>0</x:v>
      </x:c>
      <x:c r="BG706" s="22" t="n">
        <x:f>MAX(0,MIN('Activities'!L706,330)-MAX('Activities'!K706,324))</x:f>
        <x:v>0</x:v>
      </x:c>
      <x:c r="BH706" s="22" t="n">
        <x:f>MAX(0,MIN('Activities'!L706,336)-MAX('Activities'!K706,330))</x:f>
        <x:v>0</x:v>
      </x:c>
      <x:c r="BI706" s="22" t="n">
        <x:f>MAX(0,MIN('Activities'!L706,342)-MAX('Activities'!K706,336))</x:f>
        <x:v>0</x:v>
      </x:c>
      <x:c r="BJ706" s="22" t="n">
        <x:f>MAX(0,MIN('Activities'!L706,348)-MAX('Activities'!K706,342))</x:f>
        <x:v>0</x:v>
      </x:c>
      <x:c r="BK706" s="22" t="n">
        <x:f>MAX(0,MIN('Activities'!L706,354)-MAX('Activities'!K706,348))</x:f>
        <x:v>0</x:v>
      </x:c>
      <x:c r="BL706" s="22" t="n">
        <x:f>MAX(0,MIN('Activities'!L706,360)-MAX('Activities'!K706,354))</x:f>
        <x:v>0</x:v>
      </x:c>
      <x:c r="BM706" s="22" t="n">
        <x:f>MAX(0,MIN('Activities'!L706,366)-MAX('Activities'!K706,360))</x:f>
        <x:v>0</x:v>
      </x:c>
      <x:c r="BN706" s="22" t="n">
        <x:f>MAX(0,MIN('Activities'!L706,372)-MAX('Activities'!K706,366))</x:f>
        <x:v>0</x:v>
      </x:c>
      <x:c r="BO706" s="22" t="n">
        <x:f>MAX(0,MIN('Activities'!L706,378)-MAX('Activities'!K706,372))</x:f>
        <x:v>0</x:v>
      </x:c>
      <x:c r="BP706" s="22" t="n">
        <x:f>MAX(0,MIN('Activities'!L706,384)-MAX('Activities'!K706,378))</x:f>
        <x:v>0</x:v>
      </x:c>
      <x:c r="BQ706" s="22" t="n">
        <x:f>MAX(0,MIN('Activities'!L706,390)-MAX('Activities'!K706,384))</x:f>
        <x:v>0</x:v>
      </x:c>
      <x:c r="BR706" s="22" t="n">
        <x:f>MAX(0,MIN('Activities'!L706,396)-MAX('Activities'!K706,390))</x:f>
        <x:v>0</x:v>
      </x:c>
      <x:c r="BS706" s="22" t="n">
        <x:f>MAX(0,MIN('Activities'!L706,402)-MAX('Activities'!K706,396))</x:f>
        <x:v>0</x:v>
      </x:c>
      <x:c r="BT706" s="22" t="n">
        <x:f>MAX(0,MIN('Activities'!L706,408)-MAX('Activities'!K706,402))</x:f>
        <x:v>0</x:v>
      </x:c>
      <x:c r="BU706" s="22" t="n">
        <x:f>MAX(0,MIN('Activities'!L706,414)-MAX('Activities'!K706,408))</x:f>
        <x:v>0</x:v>
      </x:c>
      <x:c r="BV706" s="22" t="n">
        <x:f>MAX(0,MIN('Activities'!L706,420)-MAX('Activities'!K706,414))</x:f>
        <x:v>0</x:v>
      </x:c>
      <x:c r="BW706" s="22" t="n">
        <x:f>MAX(0,MIN('Activities'!L706,426)-MAX('Activities'!K706,420))</x:f>
        <x:v>0</x:v>
      </x:c>
      <x:c r="BX706" s="22" t="n">
        <x:f>MAX(0,MIN('Activities'!L706,432)-MAX('Activities'!K706,426))</x:f>
        <x:v>0</x:v>
      </x:c>
      <x:c r="BY706" s="22" t="n">
        <x:f>MAX(0,MIN('Activities'!L706,438)-MAX('Activities'!K706,432))</x:f>
        <x:v>0</x:v>
      </x:c>
      <x:c r="BZ706" s="22" t="n">
        <x:f>MAX(0,MIN('Activities'!L706,444)-MAX('Activities'!K706,438))</x:f>
        <x:v>0</x:v>
      </x:c>
      <x:c r="CA706" s="22" t="n">
        <x:f>MAX(0,MIN('Activities'!L706,450)-MAX('Activities'!K706,444))</x:f>
        <x:v>0</x:v>
      </x:c>
      <x:c r="CB706" s="22" t="n">
        <x:f>MAX(0,MIN('Activities'!L706,456)-MAX('Activities'!K706,450))</x:f>
        <x:v>0</x:v>
      </x:c>
      <x:c r="CC706" s="22" t="n">
        <x:f>MAX(0,MIN('Activities'!L706,462)-MAX('Activities'!K706,456))</x:f>
        <x:v>0</x:v>
      </x:c>
      <x:c r="CD706" s="22" t="n">
        <x:f>MAX(0,MIN('Activities'!L706,468)-MAX('Activities'!K706,462))</x:f>
        <x:v>0</x:v>
      </x:c>
      <x:c r="CE706" s="22" t="n">
        <x:f>MAX(0,MIN('Activities'!L706,474)-MAX('Activities'!K706,468))</x:f>
        <x:v>0</x:v>
      </x:c>
      <x:c r="CF706" s="22" t="n">
        <x:f>MAX(0,MIN('Activities'!L706,480)-MAX('Activities'!K706,474))</x:f>
        <x:v>0</x:v>
      </x:c>
      <x:c r="CG706" s="22" t="n">
        <x:f>MAX(0,MIN('Activities'!L706,486)-MAX('Activities'!K706,480))</x:f>
        <x:v>0</x:v>
      </x:c>
      <x:c r="CH706" s="22" t="n">
        <x:f>MAX(0,MIN('Activities'!L706,492)-MAX('Activities'!K706,486))</x:f>
        <x:v>0</x:v>
      </x:c>
      <x:c r="CI706" s="22" t="n">
        <x:f>MAX(0,MIN('Activities'!L706,498)-MAX('Activities'!K706,492))</x:f>
        <x:v>0</x:v>
      </x:c>
      <x:c r="CJ706" s="22" t="n">
        <x:f>MAX(0,MIN('Activities'!L706,504)-MAX('Activities'!K706,498))</x:f>
        <x:v>0</x:v>
      </x:c>
      <x:c r="CK706" s="22" t="n">
        <x:f>MAX(0,MIN('Activities'!L706,510)-MAX('Activities'!K706,504))</x:f>
        <x:v>0</x:v>
      </x:c>
      <x:c r="CL706" s="22" t="n">
        <x:f>MAX(0,MIN('Activities'!L706,516)-MAX('Activities'!K706,510))</x:f>
        <x:v>0</x:v>
      </x:c>
      <x:c r="CM706" s="22" t="n">
        <x:f>MAX(0,MIN('Activities'!L706,522)-MAX('Activities'!K706,516))</x:f>
        <x:v>0</x:v>
      </x:c>
      <x:c r="CN706" s="22" t="n">
        <x:f>MAX(0,MIN('Activities'!L706,528)-MAX('Activities'!K706,522))</x:f>
        <x:v>0</x:v>
      </x:c>
      <x:c r="CO706" s="22" t="n">
        <x:f>MAX(0,MIN('Activities'!L706,534)-MAX('Activities'!K706,528))</x:f>
        <x:v>0</x:v>
      </x:c>
      <x:c r="CP706" s="22" t="n">
        <x:f>MAX(0,MIN('Activities'!L706,540)-MAX('Activities'!K706,534))</x:f>
        <x:v>0</x:v>
      </x:c>
      <x:c r="CQ706" s="22" t="n">
        <x:f>MAX(0,MIN('Activities'!L706,546)-MAX('Activities'!K706,540))</x:f>
        <x:v>0</x:v>
      </x:c>
      <x:c r="CR706" s="22" t="n">
        <x:f>MAX(0,MIN('Activities'!L706,552)-MAX('Activities'!K706,546))</x:f>
        <x:v>0</x:v>
      </x:c>
      <x:c r="CS706" s="22" t="n">
        <x:f>MAX(0,MIN('Activities'!L706,558)-MAX('Activities'!K706,552))</x:f>
        <x:v>0</x:v>
      </x:c>
      <x:c r="CT706" s="22" t="n">
        <x:f>MAX(0,MIN('Activities'!L706,564)-MAX('Activities'!K706,558))</x:f>
        <x:v>0</x:v>
      </x:c>
      <x:c r="CU706" s="22" t="n">
        <x:f>MAX(0,MIN('Activities'!L706,570)-MAX('Activities'!K706,564))</x:f>
        <x:v>0</x:v>
      </x:c>
      <x:c r="CV706" s="22" t="n">
        <x:f>MAX(0,MIN('Activities'!L706,576)-MAX('Activities'!K706,570))</x:f>
        <x:v>0</x:v>
      </x:c>
      <x:c r="CW706" s="22" t="n">
        <x:f>MAX(0,MIN('Activities'!L706,582)-MAX('Activities'!K706,576))</x:f>
        <x:v>0</x:v>
      </x:c>
      <x:c r="CX706" s="22" t="n">
        <x:f>MAX(0,MIN('Activities'!L706,588)-MAX('Activities'!K706,582))</x:f>
        <x:v>0</x:v>
      </x:c>
      <x:c r="CY706" s="22" t="n">
        <x:f>MAX(0,MIN('Activities'!L706,594)-MAX('Activities'!K706,588))</x:f>
        <x:v>0</x:v>
      </x:c>
      <x:c r="CZ706" s="22" t="n">
        <x:f>MAX(0,MIN('Activities'!L706,600)-MAX('Activities'!K706,594))</x:f>
        <x:v>0</x:v>
      </x:c>
      <x:c r="DA706" s="22" t="n">
        <x:f>MAX(0,MIN('Activities'!L706,606)-MAX('Activities'!K706,600))</x:f>
        <x:v>0</x:v>
      </x:c>
      <x:c r="DB706" s="22" t="n">
        <x:f>MAX(0,MIN('Activities'!L706,612)-MAX('Activities'!K706,606))</x:f>
        <x:v>0</x:v>
      </x:c>
      <x:c r="DC706" s="22" t="n">
        <x:f>MAX(0,MIN('Activities'!L706,618)-MAX('Activities'!K706,612))</x:f>
        <x:v>0</x:v>
      </x:c>
      <x:c r="DD706" s="22" t="n">
        <x:f>MAX(0,MIN('Activities'!L706,624)-MAX('Activities'!K706,618))</x:f>
        <x:v>0</x:v>
      </x:c>
      <x:c r="DE706" s="22" t="n">
        <x:f>MAX(0,MIN('Activities'!L706,630)-MAX('Activities'!K706,624))</x:f>
        <x:v>0</x:v>
      </x:c>
      <x:c r="DF706" s="22" t="n">
        <x:f>MAX(0,MIN('Activities'!L706,636)-MAX('Activities'!K706,630))</x:f>
        <x:v>0</x:v>
      </x:c>
    </x:row>
    <x:row r="707" ht="23" customHeight="1">
      <x:c r="A707" s="1" t="str">
        <x:v>T6-L06-C</x:v>
      </x:c>
      <x:c r="B707" s="1" t="str">
        <x:v>T6</x:v>
      </x:c>
      <x:c r="C707" s="1" t="str">
        <x:v>Concrete placement and finishing</x:v>
      </x:c>
      <x:c r="D707" s="1" t="str">
        <x:v>Concrete</x:v>
      </x:c>
      <x:c r="E707" s="23" t="n">
        <x:f>MAX(0,MIN('Activities'!L707,6)-MAX('Activities'!K707,0))</x:f>
        <x:v>0</x:v>
      </x:c>
      <x:c r="F707" s="23" t="n">
        <x:f>MAX(0,MIN('Activities'!L707,12)-MAX('Activities'!K707,6))</x:f>
        <x:v>0</x:v>
      </x:c>
      <x:c r="G707" s="23" t="n">
        <x:f>MAX(0,MIN('Activities'!L707,18)-MAX('Activities'!K707,12))</x:f>
        <x:v>0</x:v>
      </x:c>
      <x:c r="H707" s="23" t="n">
        <x:f>MAX(0,MIN('Activities'!L707,24)-MAX('Activities'!K707,18))</x:f>
        <x:v>0</x:v>
      </x:c>
      <x:c r="I707" s="23" t="n">
        <x:f>MAX(0,MIN('Activities'!L707,30)-MAX('Activities'!K707,24))</x:f>
        <x:v>0</x:v>
      </x:c>
      <x:c r="J707" s="23" t="n">
        <x:f>MAX(0,MIN('Activities'!L707,36)-MAX('Activities'!K707,30))</x:f>
        <x:v>0</x:v>
      </x:c>
      <x:c r="K707" s="23" t="n">
        <x:f>MAX(0,MIN('Activities'!L707,42)-MAX('Activities'!K707,36))</x:f>
        <x:v>0</x:v>
      </x:c>
      <x:c r="L707" s="23" t="n">
        <x:f>MAX(0,MIN('Activities'!L707,48)-MAX('Activities'!K707,42))</x:f>
        <x:v>0</x:v>
      </x:c>
      <x:c r="M707" s="23" t="n">
        <x:f>MAX(0,MIN('Activities'!L707,54)-MAX('Activities'!K707,48))</x:f>
        <x:v>0</x:v>
      </x:c>
      <x:c r="N707" s="23" t="n">
        <x:f>MAX(0,MIN('Activities'!L707,60)-MAX('Activities'!K707,54))</x:f>
        <x:v>0</x:v>
      </x:c>
      <x:c r="O707" s="23" t="n">
        <x:f>MAX(0,MIN('Activities'!L707,66)-MAX('Activities'!K707,60))</x:f>
        <x:v>0</x:v>
      </x:c>
      <x:c r="P707" s="23" t="n">
        <x:f>MAX(0,MIN('Activities'!L707,72)-MAX('Activities'!K707,66))</x:f>
        <x:v>0</x:v>
      </x:c>
      <x:c r="Q707" s="23" t="n">
        <x:f>MAX(0,MIN('Activities'!L707,78)-MAX('Activities'!K707,72))</x:f>
        <x:v>0</x:v>
      </x:c>
      <x:c r="R707" s="23" t="n">
        <x:f>MAX(0,MIN('Activities'!L707,84)-MAX('Activities'!K707,78))</x:f>
        <x:v>0</x:v>
      </x:c>
      <x:c r="S707" s="23" t="n">
        <x:f>MAX(0,MIN('Activities'!L707,90)-MAX('Activities'!K707,84))</x:f>
        <x:v>0</x:v>
      </x:c>
      <x:c r="T707" s="23" t="n">
        <x:f>MAX(0,MIN('Activities'!L707,96)-MAX('Activities'!K707,90))</x:f>
        <x:v>0</x:v>
      </x:c>
      <x:c r="U707" s="23" t="n">
        <x:f>MAX(0,MIN('Activities'!L707,102)-MAX('Activities'!K707,96))</x:f>
        <x:v>0</x:v>
      </x:c>
      <x:c r="V707" s="23" t="n">
        <x:f>MAX(0,MIN('Activities'!L707,108)-MAX('Activities'!K707,102))</x:f>
        <x:v>0</x:v>
      </x:c>
      <x:c r="W707" s="23" t="n">
        <x:f>MAX(0,MIN('Activities'!L707,114)-MAX('Activities'!K707,108))</x:f>
        <x:v>0</x:v>
      </x:c>
      <x:c r="X707" s="23" t="n">
        <x:f>MAX(0,MIN('Activities'!L707,120)-MAX('Activities'!K707,114))</x:f>
        <x:v>0</x:v>
      </x:c>
      <x:c r="Y707" s="23" t="n">
        <x:f>MAX(0,MIN('Activities'!L707,126)-MAX('Activities'!K707,120))</x:f>
        <x:v>0</x:v>
      </x:c>
      <x:c r="Z707" s="23" t="n">
        <x:f>MAX(0,MIN('Activities'!L707,132)-MAX('Activities'!K707,126))</x:f>
        <x:v>0</x:v>
      </x:c>
      <x:c r="AA707" s="23" t="n">
        <x:f>MAX(0,MIN('Activities'!L707,138)-MAX('Activities'!K707,132))</x:f>
        <x:v>0</x:v>
      </x:c>
      <x:c r="AB707" s="23" t="n">
        <x:f>MAX(0,MIN('Activities'!L707,144)-MAX('Activities'!K707,138))</x:f>
        <x:v>0</x:v>
      </x:c>
      <x:c r="AC707" s="23" t="n">
        <x:f>MAX(0,MIN('Activities'!L707,150)-MAX('Activities'!K707,144))</x:f>
        <x:v>0</x:v>
      </x:c>
      <x:c r="AD707" s="23" t="n">
        <x:f>MAX(0,MIN('Activities'!L707,156)-MAX('Activities'!K707,150))</x:f>
        <x:v>0</x:v>
      </x:c>
      <x:c r="AE707" s="23" t="n">
        <x:f>MAX(0,MIN('Activities'!L707,162)-MAX('Activities'!K707,156))</x:f>
        <x:v>0</x:v>
      </x:c>
      <x:c r="AF707" s="23" t="n">
        <x:f>MAX(0,MIN('Activities'!L707,168)-MAX('Activities'!K707,162))</x:f>
        <x:v>0</x:v>
      </x:c>
      <x:c r="AG707" s="23" t="n">
        <x:f>MAX(0,MIN('Activities'!L707,174)-MAX('Activities'!K707,168))</x:f>
        <x:v>0</x:v>
      </x:c>
      <x:c r="AH707" s="23" t="n">
        <x:f>MAX(0,MIN('Activities'!L707,180)-MAX('Activities'!K707,174))</x:f>
        <x:v>0</x:v>
      </x:c>
      <x:c r="AI707" s="23" t="n">
        <x:f>MAX(0,MIN('Activities'!L707,186)-MAX('Activities'!K707,180))</x:f>
        <x:v>0</x:v>
      </x:c>
      <x:c r="AJ707" s="23" t="n">
        <x:f>MAX(0,MIN('Activities'!L707,192)-MAX('Activities'!K707,186))</x:f>
        <x:v>0</x:v>
      </x:c>
      <x:c r="AK707" s="23" t="n">
        <x:f>MAX(0,MIN('Activities'!L707,198)-MAX('Activities'!K707,192))</x:f>
        <x:v>0</x:v>
      </x:c>
      <x:c r="AL707" s="23" t="n">
        <x:f>MAX(0,MIN('Activities'!L707,204)-MAX('Activities'!K707,198))</x:f>
        <x:v>0</x:v>
      </x:c>
      <x:c r="AM707" s="23" t="n">
        <x:f>MAX(0,MIN('Activities'!L707,210)-MAX('Activities'!K707,204))</x:f>
        <x:v>0</x:v>
      </x:c>
      <x:c r="AN707" s="23" t="n">
        <x:f>MAX(0,MIN('Activities'!L707,216)-MAX('Activities'!K707,210))</x:f>
        <x:v>0</x:v>
      </x:c>
      <x:c r="AO707" s="23" t="n">
        <x:f>MAX(0,MIN('Activities'!L707,222)-MAX('Activities'!K707,216))</x:f>
        <x:v>0</x:v>
      </x:c>
      <x:c r="AP707" s="23" t="n">
        <x:f>MAX(0,MIN('Activities'!L707,228)-MAX('Activities'!K707,222))</x:f>
        <x:v>0</x:v>
      </x:c>
      <x:c r="AQ707" s="23" t="n">
        <x:f>MAX(0,MIN('Activities'!L707,234)-MAX('Activities'!K707,228))</x:f>
        <x:v>0</x:v>
      </x:c>
      <x:c r="AR707" s="23" t="n">
        <x:f>MAX(0,MIN('Activities'!L707,240)-MAX('Activities'!K707,234))</x:f>
        <x:v>0</x:v>
      </x:c>
      <x:c r="AS707" s="23" t="n">
        <x:f>MAX(0,MIN('Activities'!L707,246)-MAX('Activities'!K707,240))</x:f>
        <x:v>0</x:v>
      </x:c>
      <x:c r="AT707" s="23" t="n">
        <x:f>MAX(0,MIN('Activities'!L707,252)-MAX('Activities'!K707,246))</x:f>
        <x:v>0</x:v>
      </x:c>
      <x:c r="AU707" s="23" t="n">
        <x:f>MAX(0,MIN('Activities'!L707,258)-MAX('Activities'!K707,252))</x:f>
        <x:v>0</x:v>
      </x:c>
      <x:c r="AV707" s="23" t="n">
        <x:f>MAX(0,MIN('Activities'!L707,264)-MAX('Activities'!K707,258))</x:f>
        <x:v>0</x:v>
      </x:c>
      <x:c r="AW707" s="23" t="n">
        <x:f>MAX(0,MIN('Activities'!L707,270)-MAX('Activities'!K707,264))</x:f>
        <x:v>0</x:v>
      </x:c>
      <x:c r="AX707" s="23" t="n">
        <x:f>MAX(0,MIN('Activities'!L707,276)-MAX('Activities'!K707,270))</x:f>
        <x:v>0</x:v>
      </x:c>
      <x:c r="AY707" s="23" t="n">
        <x:f>MAX(0,MIN('Activities'!L707,282)-MAX('Activities'!K707,276))</x:f>
        <x:v>0</x:v>
      </x:c>
      <x:c r="AZ707" s="23" t="n">
        <x:f>MAX(0,MIN('Activities'!L707,288)-MAX('Activities'!K707,282))</x:f>
        <x:v>0</x:v>
      </x:c>
      <x:c r="BA707" s="23" t="n">
        <x:f>MAX(0,MIN('Activities'!L707,294)-MAX('Activities'!K707,288))</x:f>
        <x:v>0</x:v>
      </x:c>
      <x:c r="BB707" s="23" t="n">
        <x:f>MAX(0,MIN('Activities'!L707,300)-MAX('Activities'!K707,294))</x:f>
        <x:v>0</x:v>
      </x:c>
      <x:c r="BC707" s="23" t="n">
        <x:f>MAX(0,MIN('Activities'!L707,306)-MAX('Activities'!K707,300))</x:f>
        <x:v>0</x:v>
      </x:c>
      <x:c r="BD707" s="23" t="n">
        <x:f>MAX(0,MIN('Activities'!L707,312)-MAX('Activities'!K707,306))</x:f>
        <x:v>0</x:v>
      </x:c>
      <x:c r="BE707" s="23" t="n">
        <x:f>MAX(0,MIN('Activities'!L707,318)-MAX('Activities'!K707,312))</x:f>
        <x:v>2</x:v>
      </x:c>
      <x:c r="BF707" s="23" t="n">
        <x:f>MAX(0,MIN('Activities'!L707,324)-MAX('Activities'!K707,318))</x:f>
        <x:v>0</x:v>
      </x:c>
      <x:c r="BG707" s="23" t="n">
        <x:f>MAX(0,MIN('Activities'!L707,330)-MAX('Activities'!K707,324))</x:f>
        <x:v>0</x:v>
      </x:c>
      <x:c r="BH707" s="23" t="n">
        <x:f>MAX(0,MIN('Activities'!L707,336)-MAX('Activities'!K707,330))</x:f>
        <x:v>0</x:v>
      </x:c>
      <x:c r="BI707" s="23" t="n">
        <x:f>MAX(0,MIN('Activities'!L707,342)-MAX('Activities'!K707,336))</x:f>
        <x:v>0</x:v>
      </x:c>
      <x:c r="BJ707" s="23" t="n">
        <x:f>MAX(0,MIN('Activities'!L707,348)-MAX('Activities'!K707,342))</x:f>
        <x:v>0</x:v>
      </x:c>
      <x:c r="BK707" s="23" t="n">
        <x:f>MAX(0,MIN('Activities'!L707,354)-MAX('Activities'!K707,348))</x:f>
        <x:v>0</x:v>
      </x:c>
      <x:c r="BL707" s="23" t="n">
        <x:f>MAX(0,MIN('Activities'!L707,360)-MAX('Activities'!K707,354))</x:f>
        <x:v>0</x:v>
      </x:c>
      <x:c r="BM707" s="23" t="n">
        <x:f>MAX(0,MIN('Activities'!L707,366)-MAX('Activities'!K707,360))</x:f>
        <x:v>0</x:v>
      </x:c>
      <x:c r="BN707" s="23" t="n">
        <x:f>MAX(0,MIN('Activities'!L707,372)-MAX('Activities'!K707,366))</x:f>
        <x:v>0</x:v>
      </x:c>
      <x:c r="BO707" s="23" t="n">
        <x:f>MAX(0,MIN('Activities'!L707,378)-MAX('Activities'!K707,372))</x:f>
        <x:v>0</x:v>
      </x:c>
      <x:c r="BP707" s="23" t="n">
        <x:f>MAX(0,MIN('Activities'!L707,384)-MAX('Activities'!K707,378))</x:f>
        <x:v>0</x:v>
      </x:c>
      <x:c r="BQ707" s="23" t="n">
        <x:f>MAX(0,MIN('Activities'!L707,390)-MAX('Activities'!K707,384))</x:f>
        <x:v>0</x:v>
      </x:c>
      <x:c r="BR707" s="23" t="n">
        <x:f>MAX(0,MIN('Activities'!L707,396)-MAX('Activities'!K707,390))</x:f>
        <x:v>0</x:v>
      </x:c>
      <x:c r="BS707" s="23" t="n">
        <x:f>MAX(0,MIN('Activities'!L707,402)-MAX('Activities'!K707,396))</x:f>
        <x:v>0</x:v>
      </x:c>
      <x:c r="BT707" s="23" t="n">
        <x:f>MAX(0,MIN('Activities'!L707,408)-MAX('Activities'!K707,402))</x:f>
        <x:v>0</x:v>
      </x:c>
      <x:c r="BU707" s="23" t="n">
        <x:f>MAX(0,MIN('Activities'!L707,414)-MAX('Activities'!K707,408))</x:f>
        <x:v>0</x:v>
      </x:c>
      <x:c r="BV707" s="23" t="n">
        <x:f>MAX(0,MIN('Activities'!L707,420)-MAX('Activities'!K707,414))</x:f>
        <x:v>0</x:v>
      </x:c>
      <x:c r="BW707" s="23" t="n">
        <x:f>MAX(0,MIN('Activities'!L707,426)-MAX('Activities'!K707,420))</x:f>
        <x:v>0</x:v>
      </x:c>
      <x:c r="BX707" s="23" t="n">
        <x:f>MAX(0,MIN('Activities'!L707,432)-MAX('Activities'!K707,426))</x:f>
        <x:v>0</x:v>
      </x:c>
      <x:c r="BY707" s="23" t="n">
        <x:f>MAX(0,MIN('Activities'!L707,438)-MAX('Activities'!K707,432))</x:f>
        <x:v>0</x:v>
      </x:c>
      <x:c r="BZ707" s="23" t="n">
        <x:f>MAX(0,MIN('Activities'!L707,444)-MAX('Activities'!K707,438))</x:f>
        <x:v>0</x:v>
      </x:c>
      <x:c r="CA707" s="23" t="n">
        <x:f>MAX(0,MIN('Activities'!L707,450)-MAX('Activities'!K707,444))</x:f>
        <x:v>0</x:v>
      </x:c>
      <x:c r="CB707" s="23" t="n">
        <x:f>MAX(0,MIN('Activities'!L707,456)-MAX('Activities'!K707,450))</x:f>
        <x:v>0</x:v>
      </x:c>
      <x:c r="CC707" s="23" t="n">
        <x:f>MAX(0,MIN('Activities'!L707,462)-MAX('Activities'!K707,456))</x:f>
        <x:v>0</x:v>
      </x:c>
      <x:c r="CD707" s="23" t="n">
        <x:f>MAX(0,MIN('Activities'!L707,468)-MAX('Activities'!K707,462))</x:f>
        <x:v>0</x:v>
      </x:c>
      <x:c r="CE707" s="23" t="n">
        <x:f>MAX(0,MIN('Activities'!L707,474)-MAX('Activities'!K707,468))</x:f>
        <x:v>0</x:v>
      </x:c>
      <x:c r="CF707" s="23" t="n">
        <x:f>MAX(0,MIN('Activities'!L707,480)-MAX('Activities'!K707,474))</x:f>
        <x:v>0</x:v>
      </x:c>
      <x:c r="CG707" s="23" t="n">
        <x:f>MAX(0,MIN('Activities'!L707,486)-MAX('Activities'!K707,480))</x:f>
        <x:v>0</x:v>
      </x:c>
      <x:c r="CH707" s="23" t="n">
        <x:f>MAX(0,MIN('Activities'!L707,492)-MAX('Activities'!K707,486))</x:f>
        <x:v>0</x:v>
      </x:c>
      <x:c r="CI707" s="23" t="n">
        <x:f>MAX(0,MIN('Activities'!L707,498)-MAX('Activities'!K707,492))</x:f>
        <x:v>0</x:v>
      </x:c>
      <x:c r="CJ707" s="23" t="n">
        <x:f>MAX(0,MIN('Activities'!L707,504)-MAX('Activities'!K707,498))</x:f>
        <x:v>0</x:v>
      </x:c>
      <x:c r="CK707" s="23" t="n">
        <x:f>MAX(0,MIN('Activities'!L707,510)-MAX('Activities'!K707,504))</x:f>
        <x:v>0</x:v>
      </x:c>
      <x:c r="CL707" s="23" t="n">
        <x:f>MAX(0,MIN('Activities'!L707,516)-MAX('Activities'!K707,510))</x:f>
        <x:v>0</x:v>
      </x:c>
      <x:c r="CM707" s="23" t="n">
        <x:f>MAX(0,MIN('Activities'!L707,522)-MAX('Activities'!K707,516))</x:f>
        <x:v>0</x:v>
      </x:c>
      <x:c r="CN707" s="23" t="n">
        <x:f>MAX(0,MIN('Activities'!L707,528)-MAX('Activities'!K707,522))</x:f>
        <x:v>0</x:v>
      </x:c>
      <x:c r="CO707" s="23" t="n">
        <x:f>MAX(0,MIN('Activities'!L707,534)-MAX('Activities'!K707,528))</x:f>
        <x:v>0</x:v>
      </x:c>
      <x:c r="CP707" s="23" t="n">
        <x:f>MAX(0,MIN('Activities'!L707,540)-MAX('Activities'!K707,534))</x:f>
        <x:v>0</x:v>
      </x:c>
      <x:c r="CQ707" s="23" t="n">
        <x:f>MAX(0,MIN('Activities'!L707,546)-MAX('Activities'!K707,540))</x:f>
        <x:v>0</x:v>
      </x:c>
      <x:c r="CR707" s="23" t="n">
        <x:f>MAX(0,MIN('Activities'!L707,552)-MAX('Activities'!K707,546))</x:f>
        <x:v>0</x:v>
      </x:c>
      <x:c r="CS707" s="23" t="n">
        <x:f>MAX(0,MIN('Activities'!L707,558)-MAX('Activities'!K707,552))</x:f>
        <x:v>0</x:v>
      </x:c>
      <x:c r="CT707" s="23" t="n">
        <x:f>MAX(0,MIN('Activities'!L707,564)-MAX('Activities'!K707,558))</x:f>
        <x:v>0</x:v>
      </x:c>
      <x:c r="CU707" s="23" t="n">
        <x:f>MAX(0,MIN('Activities'!L707,570)-MAX('Activities'!K707,564))</x:f>
        <x:v>0</x:v>
      </x:c>
      <x:c r="CV707" s="23" t="n">
        <x:f>MAX(0,MIN('Activities'!L707,576)-MAX('Activities'!K707,570))</x:f>
        <x:v>0</x:v>
      </x:c>
      <x:c r="CW707" s="23" t="n">
        <x:f>MAX(0,MIN('Activities'!L707,582)-MAX('Activities'!K707,576))</x:f>
        <x:v>0</x:v>
      </x:c>
      <x:c r="CX707" s="23" t="n">
        <x:f>MAX(0,MIN('Activities'!L707,588)-MAX('Activities'!K707,582))</x:f>
        <x:v>0</x:v>
      </x:c>
      <x:c r="CY707" s="23" t="n">
        <x:f>MAX(0,MIN('Activities'!L707,594)-MAX('Activities'!K707,588))</x:f>
        <x:v>0</x:v>
      </x:c>
      <x:c r="CZ707" s="23" t="n">
        <x:f>MAX(0,MIN('Activities'!L707,600)-MAX('Activities'!K707,594))</x:f>
        <x:v>0</x:v>
      </x:c>
      <x:c r="DA707" s="23" t="n">
        <x:f>MAX(0,MIN('Activities'!L707,606)-MAX('Activities'!K707,600))</x:f>
        <x:v>0</x:v>
      </x:c>
      <x:c r="DB707" s="23" t="n">
        <x:f>MAX(0,MIN('Activities'!L707,612)-MAX('Activities'!K707,606))</x:f>
        <x:v>0</x:v>
      </x:c>
      <x:c r="DC707" s="23" t="n">
        <x:f>MAX(0,MIN('Activities'!L707,618)-MAX('Activities'!K707,612))</x:f>
        <x:v>0</x:v>
      </x:c>
      <x:c r="DD707" s="23" t="n">
        <x:f>MAX(0,MIN('Activities'!L707,624)-MAX('Activities'!K707,618))</x:f>
        <x:v>0</x:v>
      </x:c>
      <x:c r="DE707" s="23" t="n">
        <x:f>MAX(0,MIN('Activities'!L707,630)-MAX('Activities'!K707,624))</x:f>
        <x:v>0</x:v>
      </x:c>
      <x:c r="DF707" s="23" t="n">
        <x:f>MAX(0,MIN('Activities'!L707,636)-MAX('Activities'!K707,630))</x:f>
        <x:v>0</x:v>
      </x:c>
    </x:row>
    <x:row r="708" ht="23" customHeight="1">
      <x:c r="A708" s="6" t="str">
        <x:v>T6-L06-H</x:v>
      </x:c>
      <x:c r="B708" s="6" t="str">
        <x:v>T6</x:v>
      </x:c>
      <x:c r="C708" s="6" t="str">
        <x:v>Curing and release hold point</x:v>
      </x:c>
      <x:c r="D708" s="6" t="str">
        <x:v>Site</x:v>
      </x:c>
      <x:c r="E708" s="22" t="n">
        <x:f>MAX(0,MIN('Activities'!L708,6)-MAX('Activities'!K708,0))</x:f>
        <x:v>0</x:v>
      </x:c>
      <x:c r="F708" s="22" t="n">
        <x:f>MAX(0,MIN('Activities'!L708,12)-MAX('Activities'!K708,6))</x:f>
        <x:v>0</x:v>
      </x:c>
      <x:c r="G708" s="22" t="n">
        <x:f>MAX(0,MIN('Activities'!L708,18)-MAX('Activities'!K708,12))</x:f>
        <x:v>0</x:v>
      </x:c>
      <x:c r="H708" s="22" t="n">
        <x:f>MAX(0,MIN('Activities'!L708,24)-MAX('Activities'!K708,18))</x:f>
        <x:v>0</x:v>
      </x:c>
      <x:c r="I708" s="22" t="n">
        <x:f>MAX(0,MIN('Activities'!L708,30)-MAX('Activities'!K708,24))</x:f>
        <x:v>0</x:v>
      </x:c>
      <x:c r="J708" s="22" t="n">
        <x:f>MAX(0,MIN('Activities'!L708,36)-MAX('Activities'!K708,30))</x:f>
        <x:v>0</x:v>
      </x:c>
      <x:c r="K708" s="22" t="n">
        <x:f>MAX(0,MIN('Activities'!L708,42)-MAX('Activities'!K708,36))</x:f>
        <x:v>0</x:v>
      </x:c>
      <x:c r="L708" s="22" t="n">
        <x:f>MAX(0,MIN('Activities'!L708,48)-MAX('Activities'!K708,42))</x:f>
        <x:v>0</x:v>
      </x:c>
      <x:c r="M708" s="22" t="n">
        <x:f>MAX(0,MIN('Activities'!L708,54)-MAX('Activities'!K708,48))</x:f>
        <x:v>0</x:v>
      </x:c>
      <x:c r="N708" s="22" t="n">
        <x:f>MAX(0,MIN('Activities'!L708,60)-MAX('Activities'!K708,54))</x:f>
        <x:v>0</x:v>
      </x:c>
      <x:c r="O708" s="22" t="n">
        <x:f>MAX(0,MIN('Activities'!L708,66)-MAX('Activities'!K708,60))</x:f>
        <x:v>0</x:v>
      </x:c>
      <x:c r="P708" s="22" t="n">
        <x:f>MAX(0,MIN('Activities'!L708,72)-MAX('Activities'!K708,66))</x:f>
        <x:v>0</x:v>
      </x:c>
      <x:c r="Q708" s="22" t="n">
        <x:f>MAX(0,MIN('Activities'!L708,78)-MAX('Activities'!K708,72))</x:f>
        <x:v>0</x:v>
      </x:c>
      <x:c r="R708" s="22" t="n">
        <x:f>MAX(0,MIN('Activities'!L708,84)-MAX('Activities'!K708,78))</x:f>
        <x:v>0</x:v>
      </x:c>
      <x:c r="S708" s="22" t="n">
        <x:f>MAX(0,MIN('Activities'!L708,90)-MAX('Activities'!K708,84))</x:f>
        <x:v>0</x:v>
      </x:c>
      <x:c r="T708" s="22" t="n">
        <x:f>MAX(0,MIN('Activities'!L708,96)-MAX('Activities'!K708,90))</x:f>
        <x:v>0</x:v>
      </x:c>
      <x:c r="U708" s="22" t="n">
        <x:f>MAX(0,MIN('Activities'!L708,102)-MAX('Activities'!K708,96))</x:f>
        <x:v>0</x:v>
      </x:c>
      <x:c r="V708" s="22" t="n">
        <x:f>MAX(0,MIN('Activities'!L708,108)-MAX('Activities'!K708,102))</x:f>
        <x:v>0</x:v>
      </x:c>
      <x:c r="W708" s="22" t="n">
        <x:f>MAX(0,MIN('Activities'!L708,114)-MAX('Activities'!K708,108))</x:f>
        <x:v>0</x:v>
      </x:c>
      <x:c r="X708" s="22" t="n">
        <x:f>MAX(0,MIN('Activities'!L708,120)-MAX('Activities'!K708,114))</x:f>
        <x:v>0</x:v>
      </x:c>
      <x:c r="Y708" s="22" t="n">
        <x:f>MAX(0,MIN('Activities'!L708,126)-MAX('Activities'!K708,120))</x:f>
        <x:v>0</x:v>
      </x:c>
      <x:c r="Z708" s="22" t="n">
        <x:f>MAX(0,MIN('Activities'!L708,132)-MAX('Activities'!K708,126))</x:f>
        <x:v>0</x:v>
      </x:c>
      <x:c r="AA708" s="22" t="n">
        <x:f>MAX(0,MIN('Activities'!L708,138)-MAX('Activities'!K708,132))</x:f>
        <x:v>0</x:v>
      </x:c>
      <x:c r="AB708" s="22" t="n">
        <x:f>MAX(0,MIN('Activities'!L708,144)-MAX('Activities'!K708,138))</x:f>
        <x:v>0</x:v>
      </x:c>
      <x:c r="AC708" s="22" t="n">
        <x:f>MAX(0,MIN('Activities'!L708,150)-MAX('Activities'!K708,144))</x:f>
        <x:v>0</x:v>
      </x:c>
      <x:c r="AD708" s="22" t="n">
        <x:f>MAX(0,MIN('Activities'!L708,156)-MAX('Activities'!K708,150))</x:f>
        <x:v>0</x:v>
      </x:c>
      <x:c r="AE708" s="22" t="n">
        <x:f>MAX(0,MIN('Activities'!L708,162)-MAX('Activities'!K708,156))</x:f>
        <x:v>0</x:v>
      </x:c>
      <x:c r="AF708" s="22" t="n">
        <x:f>MAX(0,MIN('Activities'!L708,168)-MAX('Activities'!K708,162))</x:f>
        <x:v>0</x:v>
      </x:c>
      <x:c r="AG708" s="22" t="n">
        <x:f>MAX(0,MIN('Activities'!L708,174)-MAX('Activities'!K708,168))</x:f>
        <x:v>0</x:v>
      </x:c>
      <x:c r="AH708" s="22" t="n">
        <x:f>MAX(0,MIN('Activities'!L708,180)-MAX('Activities'!K708,174))</x:f>
        <x:v>0</x:v>
      </x:c>
      <x:c r="AI708" s="22" t="n">
        <x:f>MAX(0,MIN('Activities'!L708,186)-MAX('Activities'!K708,180))</x:f>
        <x:v>0</x:v>
      </x:c>
      <x:c r="AJ708" s="22" t="n">
        <x:f>MAX(0,MIN('Activities'!L708,192)-MAX('Activities'!K708,186))</x:f>
        <x:v>0</x:v>
      </x:c>
      <x:c r="AK708" s="22" t="n">
        <x:f>MAX(0,MIN('Activities'!L708,198)-MAX('Activities'!K708,192))</x:f>
        <x:v>0</x:v>
      </x:c>
      <x:c r="AL708" s="22" t="n">
        <x:f>MAX(0,MIN('Activities'!L708,204)-MAX('Activities'!K708,198))</x:f>
        <x:v>0</x:v>
      </x:c>
      <x:c r="AM708" s="22" t="n">
        <x:f>MAX(0,MIN('Activities'!L708,210)-MAX('Activities'!K708,204))</x:f>
        <x:v>0</x:v>
      </x:c>
      <x:c r="AN708" s="22" t="n">
        <x:f>MAX(0,MIN('Activities'!L708,216)-MAX('Activities'!K708,210))</x:f>
        <x:v>0</x:v>
      </x:c>
      <x:c r="AO708" s="22" t="n">
        <x:f>MAX(0,MIN('Activities'!L708,222)-MAX('Activities'!K708,216))</x:f>
        <x:v>0</x:v>
      </x:c>
      <x:c r="AP708" s="22" t="n">
        <x:f>MAX(0,MIN('Activities'!L708,228)-MAX('Activities'!K708,222))</x:f>
        <x:v>0</x:v>
      </x:c>
      <x:c r="AQ708" s="22" t="n">
        <x:f>MAX(0,MIN('Activities'!L708,234)-MAX('Activities'!K708,228))</x:f>
        <x:v>0</x:v>
      </x:c>
      <x:c r="AR708" s="22" t="n">
        <x:f>MAX(0,MIN('Activities'!L708,240)-MAX('Activities'!K708,234))</x:f>
        <x:v>0</x:v>
      </x:c>
      <x:c r="AS708" s="22" t="n">
        <x:f>MAX(0,MIN('Activities'!L708,246)-MAX('Activities'!K708,240))</x:f>
        <x:v>0</x:v>
      </x:c>
      <x:c r="AT708" s="22" t="n">
        <x:f>MAX(0,MIN('Activities'!L708,252)-MAX('Activities'!K708,246))</x:f>
        <x:v>0</x:v>
      </x:c>
      <x:c r="AU708" s="22" t="n">
        <x:f>MAX(0,MIN('Activities'!L708,258)-MAX('Activities'!K708,252))</x:f>
        <x:v>0</x:v>
      </x:c>
      <x:c r="AV708" s="22" t="n">
        <x:f>MAX(0,MIN('Activities'!L708,264)-MAX('Activities'!K708,258))</x:f>
        <x:v>0</x:v>
      </x:c>
      <x:c r="AW708" s="22" t="n">
        <x:f>MAX(0,MIN('Activities'!L708,270)-MAX('Activities'!K708,264))</x:f>
        <x:v>0</x:v>
      </x:c>
      <x:c r="AX708" s="22" t="n">
        <x:f>MAX(0,MIN('Activities'!L708,276)-MAX('Activities'!K708,270))</x:f>
        <x:v>0</x:v>
      </x:c>
      <x:c r="AY708" s="22" t="n">
        <x:f>MAX(0,MIN('Activities'!L708,282)-MAX('Activities'!K708,276))</x:f>
        <x:v>0</x:v>
      </x:c>
      <x:c r="AZ708" s="22" t="n">
        <x:f>MAX(0,MIN('Activities'!L708,288)-MAX('Activities'!K708,282))</x:f>
        <x:v>0</x:v>
      </x:c>
      <x:c r="BA708" s="22" t="n">
        <x:f>MAX(0,MIN('Activities'!L708,294)-MAX('Activities'!K708,288))</x:f>
        <x:v>0</x:v>
      </x:c>
      <x:c r="BB708" s="22" t="n">
        <x:f>MAX(0,MIN('Activities'!L708,300)-MAX('Activities'!K708,294))</x:f>
        <x:v>0</x:v>
      </x:c>
      <x:c r="BC708" s="22" t="n">
        <x:f>MAX(0,MIN('Activities'!L708,306)-MAX('Activities'!K708,300))</x:f>
        <x:v>0</x:v>
      </x:c>
      <x:c r="BD708" s="22" t="n">
        <x:f>MAX(0,MIN('Activities'!L708,312)-MAX('Activities'!K708,306))</x:f>
        <x:v>0</x:v>
      </x:c>
      <x:c r="BE708" s="22" t="n">
        <x:f>MAX(0,MIN('Activities'!L708,318)-MAX('Activities'!K708,312))</x:f>
        <x:v>3</x:v>
      </x:c>
      <x:c r="BF708" s="22" t="n">
        <x:f>MAX(0,MIN('Activities'!L708,324)-MAX('Activities'!K708,318))</x:f>
        <x:v>2</x:v>
      </x:c>
      <x:c r="BG708" s="22" t="n">
        <x:f>MAX(0,MIN('Activities'!L708,330)-MAX('Activities'!K708,324))</x:f>
        <x:v>0</x:v>
      </x:c>
      <x:c r="BH708" s="22" t="n">
        <x:f>MAX(0,MIN('Activities'!L708,336)-MAX('Activities'!K708,330))</x:f>
        <x:v>0</x:v>
      </x:c>
      <x:c r="BI708" s="22" t="n">
        <x:f>MAX(0,MIN('Activities'!L708,342)-MAX('Activities'!K708,336))</x:f>
        <x:v>0</x:v>
      </x:c>
      <x:c r="BJ708" s="22" t="n">
        <x:f>MAX(0,MIN('Activities'!L708,348)-MAX('Activities'!K708,342))</x:f>
        <x:v>0</x:v>
      </x:c>
      <x:c r="BK708" s="22" t="n">
        <x:f>MAX(0,MIN('Activities'!L708,354)-MAX('Activities'!K708,348))</x:f>
        <x:v>0</x:v>
      </x:c>
      <x:c r="BL708" s="22" t="n">
        <x:f>MAX(0,MIN('Activities'!L708,360)-MAX('Activities'!K708,354))</x:f>
        <x:v>0</x:v>
      </x:c>
      <x:c r="BM708" s="22" t="n">
        <x:f>MAX(0,MIN('Activities'!L708,366)-MAX('Activities'!K708,360))</x:f>
        <x:v>0</x:v>
      </x:c>
      <x:c r="BN708" s="22" t="n">
        <x:f>MAX(0,MIN('Activities'!L708,372)-MAX('Activities'!K708,366))</x:f>
        <x:v>0</x:v>
      </x:c>
      <x:c r="BO708" s="22" t="n">
        <x:f>MAX(0,MIN('Activities'!L708,378)-MAX('Activities'!K708,372))</x:f>
        <x:v>0</x:v>
      </x:c>
      <x:c r="BP708" s="22" t="n">
        <x:f>MAX(0,MIN('Activities'!L708,384)-MAX('Activities'!K708,378))</x:f>
        <x:v>0</x:v>
      </x:c>
      <x:c r="BQ708" s="22" t="n">
        <x:f>MAX(0,MIN('Activities'!L708,390)-MAX('Activities'!K708,384))</x:f>
        <x:v>0</x:v>
      </x:c>
      <x:c r="BR708" s="22" t="n">
        <x:f>MAX(0,MIN('Activities'!L708,396)-MAX('Activities'!K708,390))</x:f>
        <x:v>0</x:v>
      </x:c>
      <x:c r="BS708" s="22" t="n">
        <x:f>MAX(0,MIN('Activities'!L708,402)-MAX('Activities'!K708,396))</x:f>
        <x:v>0</x:v>
      </x:c>
      <x:c r="BT708" s="22" t="n">
        <x:f>MAX(0,MIN('Activities'!L708,408)-MAX('Activities'!K708,402))</x:f>
        <x:v>0</x:v>
      </x:c>
      <x:c r="BU708" s="22" t="n">
        <x:f>MAX(0,MIN('Activities'!L708,414)-MAX('Activities'!K708,408))</x:f>
        <x:v>0</x:v>
      </x:c>
      <x:c r="BV708" s="22" t="n">
        <x:f>MAX(0,MIN('Activities'!L708,420)-MAX('Activities'!K708,414))</x:f>
        <x:v>0</x:v>
      </x:c>
      <x:c r="BW708" s="22" t="n">
        <x:f>MAX(0,MIN('Activities'!L708,426)-MAX('Activities'!K708,420))</x:f>
        <x:v>0</x:v>
      </x:c>
      <x:c r="BX708" s="22" t="n">
        <x:f>MAX(0,MIN('Activities'!L708,432)-MAX('Activities'!K708,426))</x:f>
        <x:v>0</x:v>
      </x:c>
      <x:c r="BY708" s="22" t="n">
        <x:f>MAX(0,MIN('Activities'!L708,438)-MAX('Activities'!K708,432))</x:f>
        <x:v>0</x:v>
      </x:c>
      <x:c r="BZ708" s="22" t="n">
        <x:f>MAX(0,MIN('Activities'!L708,444)-MAX('Activities'!K708,438))</x:f>
        <x:v>0</x:v>
      </x:c>
      <x:c r="CA708" s="22" t="n">
        <x:f>MAX(0,MIN('Activities'!L708,450)-MAX('Activities'!K708,444))</x:f>
        <x:v>0</x:v>
      </x:c>
      <x:c r="CB708" s="22" t="n">
        <x:f>MAX(0,MIN('Activities'!L708,456)-MAX('Activities'!K708,450))</x:f>
        <x:v>0</x:v>
      </x:c>
      <x:c r="CC708" s="22" t="n">
        <x:f>MAX(0,MIN('Activities'!L708,462)-MAX('Activities'!K708,456))</x:f>
        <x:v>0</x:v>
      </x:c>
      <x:c r="CD708" s="22" t="n">
        <x:f>MAX(0,MIN('Activities'!L708,468)-MAX('Activities'!K708,462))</x:f>
        <x:v>0</x:v>
      </x:c>
      <x:c r="CE708" s="22" t="n">
        <x:f>MAX(0,MIN('Activities'!L708,474)-MAX('Activities'!K708,468))</x:f>
        <x:v>0</x:v>
      </x:c>
      <x:c r="CF708" s="22" t="n">
        <x:f>MAX(0,MIN('Activities'!L708,480)-MAX('Activities'!K708,474))</x:f>
        <x:v>0</x:v>
      </x:c>
      <x:c r="CG708" s="22" t="n">
        <x:f>MAX(0,MIN('Activities'!L708,486)-MAX('Activities'!K708,480))</x:f>
        <x:v>0</x:v>
      </x:c>
      <x:c r="CH708" s="22" t="n">
        <x:f>MAX(0,MIN('Activities'!L708,492)-MAX('Activities'!K708,486))</x:f>
        <x:v>0</x:v>
      </x:c>
      <x:c r="CI708" s="22" t="n">
        <x:f>MAX(0,MIN('Activities'!L708,498)-MAX('Activities'!K708,492))</x:f>
        <x:v>0</x:v>
      </x:c>
      <x:c r="CJ708" s="22" t="n">
        <x:f>MAX(0,MIN('Activities'!L708,504)-MAX('Activities'!K708,498))</x:f>
        <x:v>0</x:v>
      </x:c>
      <x:c r="CK708" s="22" t="n">
        <x:f>MAX(0,MIN('Activities'!L708,510)-MAX('Activities'!K708,504))</x:f>
        <x:v>0</x:v>
      </x:c>
      <x:c r="CL708" s="22" t="n">
        <x:f>MAX(0,MIN('Activities'!L708,516)-MAX('Activities'!K708,510))</x:f>
        <x:v>0</x:v>
      </x:c>
      <x:c r="CM708" s="22" t="n">
        <x:f>MAX(0,MIN('Activities'!L708,522)-MAX('Activities'!K708,516))</x:f>
        <x:v>0</x:v>
      </x:c>
      <x:c r="CN708" s="22" t="n">
        <x:f>MAX(0,MIN('Activities'!L708,528)-MAX('Activities'!K708,522))</x:f>
        <x:v>0</x:v>
      </x:c>
      <x:c r="CO708" s="22" t="n">
        <x:f>MAX(0,MIN('Activities'!L708,534)-MAX('Activities'!K708,528))</x:f>
        <x:v>0</x:v>
      </x:c>
      <x:c r="CP708" s="22" t="n">
        <x:f>MAX(0,MIN('Activities'!L708,540)-MAX('Activities'!K708,534))</x:f>
        <x:v>0</x:v>
      </x:c>
      <x:c r="CQ708" s="22" t="n">
        <x:f>MAX(0,MIN('Activities'!L708,546)-MAX('Activities'!K708,540))</x:f>
        <x:v>0</x:v>
      </x:c>
      <x:c r="CR708" s="22" t="n">
        <x:f>MAX(0,MIN('Activities'!L708,552)-MAX('Activities'!K708,546))</x:f>
        <x:v>0</x:v>
      </x:c>
      <x:c r="CS708" s="22" t="n">
        <x:f>MAX(0,MIN('Activities'!L708,558)-MAX('Activities'!K708,552))</x:f>
        <x:v>0</x:v>
      </x:c>
      <x:c r="CT708" s="22" t="n">
        <x:f>MAX(0,MIN('Activities'!L708,564)-MAX('Activities'!K708,558))</x:f>
        <x:v>0</x:v>
      </x:c>
      <x:c r="CU708" s="22" t="n">
        <x:f>MAX(0,MIN('Activities'!L708,570)-MAX('Activities'!K708,564))</x:f>
        <x:v>0</x:v>
      </x:c>
      <x:c r="CV708" s="22" t="n">
        <x:f>MAX(0,MIN('Activities'!L708,576)-MAX('Activities'!K708,570))</x:f>
        <x:v>0</x:v>
      </x:c>
      <x:c r="CW708" s="22" t="n">
        <x:f>MAX(0,MIN('Activities'!L708,582)-MAX('Activities'!K708,576))</x:f>
        <x:v>0</x:v>
      </x:c>
      <x:c r="CX708" s="22" t="n">
        <x:f>MAX(0,MIN('Activities'!L708,588)-MAX('Activities'!K708,582))</x:f>
        <x:v>0</x:v>
      </x:c>
      <x:c r="CY708" s="22" t="n">
        <x:f>MAX(0,MIN('Activities'!L708,594)-MAX('Activities'!K708,588))</x:f>
        <x:v>0</x:v>
      </x:c>
      <x:c r="CZ708" s="22" t="n">
        <x:f>MAX(0,MIN('Activities'!L708,600)-MAX('Activities'!K708,594))</x:f>
        <x:v>0</x:v>
      </x:c>
      <x:c r="DA708" s="22" t="n">
        <x:f>MAX(0,MIN('Activities'!L708,606)-MAX('Activities'!K708,600))</x:f>
        <x:v>0</x:v>
      </x:c>
      <x:c r="DB708" s="22" t="n">
        <x:f>MAX(0,MIN('Activities'!L708,612)-MAX('Activities'!K708,606))</x:f>
        <x:v>0</x:v>
      </x:c>
      <x:c r="DC708" s="22" t="n">
        <x:f>MAX(0,MIN('Activities'!L708,618)-MAX('Activities'!K708,612))</x:f>
        <x:v>0</x:v>
      </x:c>
      <x:c r="DD708" s="22" t="n">
        <x:f>MAX(0,MIN('Activities'!L708,624)-MAX('Activities'!K708,618))</x:f>
        <x:v>0</x:v>
      </x:c>
      <x:c r="DE708" s="22" t="n">
        <x:f>MAX(0,MIN('Activities'!L708,630)-MAX('Activities'!K708,624))</x:f>
        <x:v>0</x:v>
      </x:c>
      <x:c r="DF708" s="22" t="n">
        <x:f>MAX(0,MIN('Activities'!L708,636)-MAX('Activities'!K708,630))</x:f>
        <x:v>0</x:v>
      </x:c>
    </x:row>
    <x:row r="709" ht="23" customHeight="1">
      <x:c r="A709" s="1" t="str">
        <x:v>T6-L07-F</x:v>
      </x:c>
      <x:c r="B709" s="1" t="str">
        <x:v>T6</x:v>
      </x:c>
      <x:c r="C709" s="1" t="str">
        <x:v>Columns, core and deck formwork</x:v>
      </x:c>
      <x:c r="D709" s="1" t="str">
        <x:v>Formwork</x:v>
      </x:c>
      <x:c r="E709" s="23" t="n">
        <x:f>MAX(0,MIN('Activities'!L709,6)-MAX('Activities'!K709,0))</x:f>
        <x:v>0</x:v>
      </x:c>
      <x:c r="F709" s="23" t="n">
        <x:f>MAX(0,MIN('Activities'!L709,12)-MAX('Activities'!K709,6))</x:f>
        <x:v>0</x:v>
      </x:c>
      <x:c r="G709" s="23" t="n">
        <x:f>MAX(0,MIN('Activities'!L709,18)-MAX('Activities'!K709,12))</x:f>
        <x:v>0</x:v>
      </x:c>
      <x:c r="H709" s="23" t="n">
        <x:f>MAX(0,MIN('Activities'!L709,24)-MAX('Activities'!K709,18))</x:f>
        <x:v>0</x:v>
      </x:c>
      <x:c r="I709" s="23" t="n">
        <x:f>MAX(0,MIN('Activities'!L709,30)-MAX('Activities'!K709,24))</x:f>
        <x:v>0</x:v>
      </x:c>
      <x:c r="J709" s="23" t="n">
        <x:f>MAX(0,MIN('Activities'!L709,36)-MAX('Activities'!K709,30))</x:f>
        <x:v>0</x:v>
      </x:c>
      <x:c r="K709" s="23" t="n">
        <x:f>MAX(0,MIN('Activities'!L709,42)-MAX('Activities'!K709,36))</x:f>
        <x:v>0</x:v>
      </x:c>
      <x:c r="L709" s="23" t="n">
        <x:f>MAX(0,MIN('Activities'!L709,48)-MAX('Activities'!K709,42))</x:f>
        <x:v>0</x:v>
      </x:c>
      <x:c r="M709" s="23" t="n">
        <x:f>MAX(0,MIN('Activities'!L709,54)-MAX('Activities'!K709,48))</x:f>
        <x:v>0</x:v>
      </x:c>
      <x:c r="N709" s="23" t="n">
        <x:f>MAX(0,MIN('Activities'!L709,60)-MAX('Activities'!K709,54))</x:f>
        <x:v>0</x:v>
      </x:c>
      <x:c r="O709" s="23" t="n">
        <x:f>MAX(0,MIN('Activities'!L709,66)-MAX('Activities'!K709,60))</x:f>
        <x:v>0</x:v>
      </x:c>
      <x:c r="P709" s="23" t="n">
        <x:f>MAX(0,MIN('Activities'!L709,72)-MAX('Activities'!K709,66))</x:f>
        <x:v>0</x:v>
      </x:c>
      <x:c r="Q709" s="23" t="n">
        <x:f>MAX(0,MIN('Activities'!L709,78)-MAX('Activities'!K709,72))</x:f>
        <x:v>0</x:v>
      </x:c>
      <x:c r="R709" s="23" t="n">
        <x:f>MAX(0,MIN('Activities'!L709,84)-MAX('Activities'!K709,78))</x:f>
        <x:v>0</x:v>
      </x:c>
      <x:c r="S709" s="23" t="n">
        <x:f>MAX(0,MIN('Activities'!L709,90)-MAX('Activities'!K709,84))</x:f>
        <x:v>0</x:v>
      </x:c>
      <x:c r="T709" s="23" t="n">
        <x:f>MAX(0,MIN('Activities'!L709,96)-MAX('Activities'!K709,90))</x:f>
        <x:v>0</x:v>
      </x:c>
      <x:c r="U709" s="23" t="n">
        <x:f>MAX(0,MIN('Activities'!L709,102)-MAX('Activities'!K709,96))</x:f>
        <x:v>0</x:v>
      </x:c>
      <x:c r="V709" s="23" t="n">
        <x:f>MAX(0,MIN('Activities'!L709,108)-MAX('Activities'!K709,102))</x:f>
        <x:v>0</x:v>
      </x:c>
      <x:c r="W709" s="23" t="n">
        <x:f>MAX(0,MIN('Activities'!L709,114)-MAX('Activities'!K709,108))</x:f>
        <x:v>0</x:v>
      </x:c>
      <x:c r="X709" s="23" t="n">
        <x:f>MAX(0,MIN('Activities'!L709,120)-MAX('Activities'!K709,114))</x:f>
        <x:v>0</x:v>
      </x:c>
      <x:c r="Y709" s="23" t="n">
        <x:f>MAX(0,MIN('Activities'!L709,126)-MAX('Activities'!K709,120))</x:f>
        <x:v>0</x:v>
      </x:c>
      <x:c r="Z709" s="23" t="n">
        <x:f>MAX(0,MIN('Activities'!L709,132)-MAX('Activities'!K709,126))</x:f>
        <x:v>0</x:v>
      </x:c>
      <x:c r="AA709" s="23" t="n">
        <x:f>MAX(0,MIN('Activities'!L709,138)-MAX('Activities'!K709,132))</x:f>
        <x:v>0</x:v>
      </x:c>
      <x:c r="AB709" s="23" t="n">
        <x:f>MAX(0,MIN('Activities'!L709,144)-MAX('Activities'!K709,138))</x:f>
        <x:v>0</x:v>
      </x:c>
      <x:c r="AC709" s="23" t="n">
        <x:f>MAX(0,MIN('Activities'!L709,150)-MAX('Activities'!K709,144))</x:f>
        <x:v>0</x:v>
      </x:c>
      <x:c r="AD709" s="23" t="n">
        <x:f>MAX(0,MIN('Activities'!L709,156)-MAX('Activities'!K709,150))</x:f>
        <x:v>0</x:v>
      </x:c>
      <x:c r="AE709" s="23" t="n">
        <x:f>MAX(0,MIN('Activities'!L709,162)-MAX('Activities'!K709,156))</x:f>
        <x:v>0</x:v>
      </x:c>
      <x:c r="AF709" s="23" t="n">
        <x:f>MAX(0,MIN('Activities'!L709,168)-MAX('Activities'!K709,162))</x:f>
        <x:v>0</x:v>
      </x:c>
      <x:c r="AG709" s="23" t="n">
        <x:f>MAX(0,MIN('Activities'!L709,174)-MAX('Activities'!K709,168))</x:f>
        <x:v>0</x:v>
      </x:c>
      <x:c r="AH709" s="23" t="n">
        <x:f>MAX(0,MIN('Activities'!L709,180)-MAX('Activities'!K709,174))</x:f>
        <x:v>0</x:v>
      </x:c>
      <x:c r="AI709" s="23" t="n">
        <x:f>MAX(0,MIN('Activities'!L709,186)-MAX('Activities'!K709,180))</x:f>
        <x:v>0</x:v>
      </x:c>
      <x:c r="AJ709" s="23" t="n">
        <x:f>MAX(0,MIN('Activities'!L709,192)-MAX('Activities'!K709,186))</x:f>
        <x:v>0</x:v>
      </x:c>
      <x:c r="AK709" s="23" t="n">
        <x:f>MAX(0,MIN('Activities'!L709,198)-MAX('Activities'!K709,192))</x:f>
        <x:v>0</x:v>
      </x:c>
      <x:c r="AL709" s="23" t="n">
        <x:f>MAX(0,MIN('Activities'!L709,204)-MAX('Activities'!K709,198))</x:f>
        <x:v>0</x:v>
      </x:c>
      <x:c r="AM709" s="23" t="n">
        <x:f>MAX(0,MIN('Activities'!L709,210)-MAX('Activities'!K709,204))</x:f>
        <x:v>0</x:v>
      </x:c>
      <x:c r="AN709" s="23" t="n">
        <x:f>MAX(0,MIN('Activities'!L709,216)-MAX('Activities'!K709,210))</x:f>
        <x:v>0</x:v>
      </x:c>
      <x:c r="AO709" s="23" t="n">
        <x:f>MAX(0,MIN('Activities'!L709,222)-MAX('Activities'!K709,216))</x:f>
        <x:v>0</x:v>
      </x:c>
      <x:c r="AP709" s="23" t="n">
        <x:f>MAX(0,MIN('Activities'!L709,228)-MAX('Activities'!K709,222))</x:f>
        <x:v>0</x:v>
      </x:c>
      <x:c r="AQ709" s="23" t="n">
        <x:f>MAX(0,MIN('Activities'!L709,234)-MAX('Activities'!K709,228))</x:f>
        <x:v>0</x:v>
      </x:c>
      <x:c r="AR709" s="23" t="n">
        <x:f>MAX(0,MIN('Activities'!L709,240)-MAX('Activities'!K709,234))</x:f>
        <x:v>0</x:v>
      </x:c>
      <x:c r="AS709" s="23" t="n">
        <x:f>MAX(0,MIN('Activities'!L709,246)-MAX('Activities'!K709,240))</x:f>
        <x:v>0</x:v>
      </x:c>
      <x:c r="AT709" s="23" t="n">
        <x:f>MAX(0,MIN('Activities'!L709,252)-MAX('Activities'!K709,246))</x:f>
        <x:v>0</x:v>
      </x:c>
      <x:c r="AU709" s="23" t="n">
        <x:f>MAX(0,MIN('Activities'!L709,258)-MAX('Activities'!K709,252))</x:f>
        <x:v>0</x:v>
      </x:c>
      <x:c r="AV709" s="23" t="n">
        <x:f>MAX(0,MIN('Activities'!L709,264)-MAX('Activities'!K709,258))</x:f>
        <x:v>0</x:v>
      </x:c>
      <x:c r="AW709" s="23" t="n">
        <x:f>MAX(0,MIN('Activities'!L709,270)-MAX('Activities'!K709,264))</x:f>
        <x:v>0</x:v>
      </x:c>
      <x:c r="AX709" s="23" t="n">
        <x:f>MAX(0,MIN('Activities'!L709,276)-MAX('Activities'!K709,270))</x:f>
        <x:v>0</x:v>
      </x:c>
      <x:c r="AY709" s="23" t="n">
        <x:f>MAX(0,MIN('Activities'!L709,282)-MAX('Activities'!K709,276))</x:f>
        <x:v>0</x:v>
      </x:c>
      <x:c r="AZ709" s="23" t="n">
        <x:f>MAX(0,MIN('Activities'!L709,288)-MAX('Activities'!K709,282))</x:f>
        <x:v>0</x:v>
      </x:c>
      <x:c r="BA709" s="23" t="n">
        <x:f>MAX(0,MIN('Activities'!L709,294)-MAX('Activities'!K709,288))</x:f>
        <x:v>0</x:v>
      </x:c>
      <x:c r="BB709" s="23" t="n">
        <x:f>MAX(0,MIN('Activities'!L709,300)-MAX('Activities'!K709,294))</x:f>
        <x:v>0</x:v>
      </x:c>
      <x:c r="BC709" s="23" t="n">
        <x:f>MAX(0,MIN('Activities'!L709,306)-MAX('Activities'!K709,300))</x:f>
        <x:v>0</x:v>
      </x:c>
      <x:c r="BD709" s="23" t="n">
        <x:f>MAX(0,MIN('Activities'!L709,312)-MAX('Activities'!K709,306))</x:f>
        <x:v>0</x:v>
      </x:c>
      <x:c r="BE709" s="23" t="n">
        <x:f>MAX(0,MIN('Activities'!L709,318)-MAX('Activities'!K709,312))</x:f>
        <x:v>0</x:v>
      </x:c>
      <x:c r="BF709" s="23" t="n">
        <x:f>MAX(0,MIN('Activities'!L709,324)-MAX('Activities'!K709,318))</x:f>
        <x:v>4</x:v>
      </x:c>
      <x:c r="BG709" s="23" t="n">
        <x:f>MAX(0,MIN('Activities'!L709,330)-MAX('Activities'!K709,324))</x:f>
        <x:v>2</x:v>
      </x:c>
      <x:c r="BH709" s="23" t="n">
        <x:f>MAX(0,MIN('Activities'!L709,336)-MAX('Activities'!K709,330))</x:f>
        <x:v>0</x:v>
      </x:c>
      <x:c r="BI709" s="23" t="n">
        <x:f>MAX(0,MIN('Activities'!L709,342)-MAX('Activities'!K709,336))</x:f>
        <x:v>0</x:v>
      </x:c>
      <x:c r="BJ709" s="23" t="n">
        <x:f>MAX(0,MIN('Activities'!L709,348)-MAX('Activities'!K709,342))</x:f>
        <x:v>0</x:v>
      </x:c>
      <x:c r="BK709" s="23" t="n">
        <x:f>MAX(0,MIN('Activities'!L709,354)-MAX('Activities'!K709,348))</x:f>
        <x:v>0</x:v>
      </x:c>
      <x:c r="BL709" s="23" t="n">
        <x:f>MAX(0,MIN('Activities'!L709,360)-MAX('Activities'!K709,354))</x:f>
        <x:v>0</x:v>
      </x:c>
      <x:c r="BM709" s="23" t="n">
        <x:f>MAX(0,MIN('Activities'!L709,366)-MAX('Activities'!K709,360))</x:f>
        <x:v>0</x:v>
      </x:c>
      <x:c r="BN709" s="23" t="n">
        <x:f>MAX(0,MIN('Activities'!L709,372)-MAX('Activities'!K709,366))</x:f>
        <x:v>0</x:v>
      </x:c>
      <x:c r="BO709" s="23" t="n">
        <x:f>MAX(0,MIN('Activities'!L709,378)-MAX('Activities'!K709,372))</x:f>
        <x:v>0</x:v>
      </x:c>
      <x:c r="BP709" s="23" t="n">
        <x:f>MAX(0,MIN('Activities'!L709,384)-MAX('Activities'!K709,378))</x:f>
        <x:v>0</x:v>
      </x:c>
      <x:c r="BQ709" s="23" t="n">
        <x:f>MAX(0,MIN('Activities'!L709,390)-MAX('Activities'!K709,384))</x:f>
        <x:v>0</x:v>
      </x:c>
      <x:c r="BR709" s="23" t="n">
        <x:f>MAX(0,MIN('Activities'!L709,396)-MAX('Activities'!K709,390))</x:f>
        <x:v>0</x:v>
      </x:c>
      <x:c r="BS709" s="23" t="n">
        <x:f>MAX(0,MIN('Activities'!L709,402)-MAX('Activities'!K709,396))</x:f>
        <x:v>0</x:v>
      </x:c>
      <x:c r="BT709" s="23" t="n">
        <x:f>MAX(0,MIN('Activities'!L709,408)-MAX('Activities'!K709,402))</x:f>
        <x:v>0</x:v>
      </x:c>
      <x:c r="BU709" s="23" t="n">
        <x:f>MAX(0,MIN('Activities'!L709,414)-MAX('Activities'!K709,408))</x:f>
        <x:v>0</x:v>
      </x:c>
      <x:c r="BV709" s="23" t="n">
        <x:f>MAX(0,MIN('Activities'!L709,420)-MAX('Activities'!K709,414))</x:f>
        <x:v>0</x:v>
      </x:c>
      <x:c r="BW709" s="23" t="n">
        <x:f>MAX(0,MIN('Activities'!L709,426)-MAX('Activities'!K709,420))</x:f>
        <x:v>0</x:v>
      </x:c>
      <x:c r="BX709" s="23" t="n">
        <x:f>MAX(0,MIN('Activities'!L709,432)-MAX('Activities'!K709,426))</x:f>
        <x:v>0</x:v>
      </x:c>
      <x:c r="BY709" s="23" t="n">
        <x:f>MAX(0,MIN('Activities'!L709,438)-MAX('Activities'!K709,432))</x:f>
        <x:v>0</x:v>
      </x:c>
      <x:c r="BZ709" s="23" t="n">
        <x:f>MAX(0,MIN('Activities'!L709,444)-MAX('Activities'!K709,438))</x:f>
        <x:v>0</x:v>
      </x:c>
      <x:c r="CA709" s="23" t="n">
        <x:f>MAX(0,MIN('Activities'!L709,450)-MAX('Activities'!K709,444))</x:f>
        <x:v>0</x:v>
      </x:c>
      <x:c r="CB709" s="23" t="n">
        <x:f>MAX(0,MIN('Activities'!L709,456)-MAX('Activities'!K709,450))</x:f>
        <x:v>0</x:v>
      </x:c>
      <x:c r="CC709" s="23" t="n">
        <x:f>MAX(0,MIN('Activities'!L709,462)-MAX('Activities'!K709,456))</x:f>
        <x:v>0</x:v>
      </x:c>
      <x:c r="CD709" s="23" t="n">
        <x:f>MAX(0,MIN('Activities'!L709,468)-MAX('Activities'!K709,462))</x:f>
        <x:v>0</x:v>
      </x:c>
      <x:c r="CE709" s="23" t="n">
        <x:f>MAX(0,MIN('Activities'!L709,474)-MAX('Activities'!K709,468))</x:f>
        <x:v>0</x:v>
      </x:c>
      <x:c r="CF709" s="23" t="n">
        <x:f>MAX(0,MIN('Activities'!L709,480)-MAX('Activities'!K709,474))</x:f>
        <x:v>0</x:v>
      </x:c>
      <x:c r="CG709" s="23" t="n">
        <x:f>MAX(0,MIN('Activities'!L709,486)-MAX('Activities'!K709,480))</x:f>
        <x:v>0</x:v>
      </x:c>
      <x:c r="CH709" s="23" t="n">
        <x:f>MAX(0,MIN('Activities'!L709,492)-MAX('Activities'!K709,486))</x:f>
        <x:v>0</x:v>
      </x:c>
      <x:c r="CI709" s="23" t="n">
        <x:f>MAX(0,MIN('Activities'!L709,498)-MAX('Activities'!K709,492))</x:f>
        <x:v>0</x:v>
      </x:c>
      <x:c r="CJ709" s="23" t="n">
        <x:f>MAX(0,MIN('Activities'!L709,504)-MAX('Activities'!K709,498))</x:f>
        <x:v>0</x:v>
      </x:c>
      <x:c r="CK709" s="23" t="n">
        <x:f>MAX(0,MIN('Activities'!L709,510)-MAX('Activities'!K709,504))</x:f>
        <x:v>0</x:v>
      </x:c>
      <x:c r="CL709" s="23" t="n">
        <x:f>MAX(0,MIN('Activities'!L709,516)-MAX('Activities'!K709,510))</x:f>
        <x:v>0</x:v>
      </x:c>
      <x:c r="CM709" s="23" t="n">
        <x:f>MAX(0,MIN('Activities'!L709,522)-MAX('Activities'!K709,516))</x:f>
        <x:v>0</x:v>
      </x:c>
      <x:c r="CN709" s="23" t="n">
        <x:f>MAX(0,MIN('Activities'!L709,528)-MAX('Activities'!K709,522))</x:f>
        <x:v>0</x:v>
      </x:c>
      <x:c r="CO709" s="23" t="n">
        <x:f>MAX(0,MIN('Activities'!L709,534)-MAX('Activities'!K709,528))</x:f>
        <x:v>0</x:v>
      </x:c>
      <x:c r="CP709" s="23" t="n">
        <x:f>MAX(0,MIN('Activities'!L709,540)-MAX('Activities'!K709,534))</x:f>
        <x:v>0</x:v>
      </x:c>
      <x:c r="CQ709" s="23" t="n">
        <x:f>MAX(0,MIN('Activities'!L709,546)-MAX('Activities'!K709,540))</x:f>
        <x:v>0</x:v>
      </x:c>
      <x:c r="CR709" s="23" t="n">
        <x:f>MAX(0,MIN('Activities'!L709,552)-MAX('Activities'!K709,546))</x:f>
        <x:v>0</x:v>
      </x:c>
      <x:c r="CS709" s="23" t="n">
        <x:f>MAX(0,MIN('Activities'!L709,558)-MAX('Activities'!K709,552))</x:f>
        <x:v>0</x:v>
      </x:c>
      <x:c r="CT709" s="23" t="n">
        <x:f>MAX(0,MIN('Activities'!L709,564)-MAX('Activities'!K709,558))</x:f>
        <x:v>0</x:v>
      </x:c>
      <x:c r="CU709" s="23" t="n">
        <x:f>MAX(0,MIN('Activities'!L709,570)-MAX('Activities'!K709,564))</x:f>
        <x:v>0</x:v>
      </x:c>
      <x:c r="CV709" s="23" t="n">
        <x:f>MAX(0,MIN('Activities'!L709,576)-MAX('Activities'!K709,570))</x:f>
        <x:v>0</x:v>
      </x:c>
      <x:c r="CW709" s="23" t="n">
        <x:f>MAX(0,MIN('Activities'!L709,582)-MAX('Activities'!K709,576))</x:f>
        <x:v>0</x:v>
      </x:c>
      <x:c r="CX709" s="23" t="n">
        <x:f>MAX(0,MIN('Activities'!L709,588)-MAX('Activities'!K709,582))</x:f>
        <x:v>0</x:v>
      </x:c>
      <x:c r="CY709" s="23" t="n">
        <x:f>MAX(0,MIN('Activities'!L709,594)-MAX('Activities'!K709,588))</x:f>
        <x:v>0</x:v>
      </x:c>
      <x:c r="CZ709" s="23" t="n">
        <x:f>MAX(0,MIN('Activities'!L709,600)-MAX('Activities'!K709,594))</x:f>
        <x:v>0</x:v>
      </x:c>
      <x:c r="DA709" s="23" t="n">
        <x:f>MAX(0,MIN('Activities'!L709,606)-MAX('Activities'!K709,600))</x:f>
        <x:v>0</x:v>
      </x:c>
      <x:c r="DB709" s="23" t="n">
        <x:f>MAX(0,MIN('Activities'!L709,612)-MAX('Activities'!K709,606))</x:f>
        <x:v>0</x:v>
      </x:c>
      <x:c r="DC709" s="23" t="n">
        <x:f>MAX(0,MIN('Activities'!L709,618)-MAX('Activities'!K709,612))</x:f>
        <x:v>0</x:v>
      </x:c>
      <x:c r="DD709" s="23" t="n">
        <x:f>MAX(0,MIN('Activities'!L709,624)-MAX('Activities'!K709,618))</x:f>
        <x:v>0</x:v>
      </x:c>
      <x:c r="DE709" s="23" t="n">
        <x:f>MAX(0,MIN('Activities'!L709,630)-MAX('Activities'!K709,624))</x:f>
        <x:v>0</x:v>
      </x:c>
      <x:c r="DF709" s="23" t="n">
        <x:f>MAX(0,MIN('Activities'!L709,636)-MAX('Activities'!K709,630))</x:f>
        <x:v>0</x:v>
      </x:c>
    </x:row>
    <x:row r="710" ht="23" customHeight="1">
      <x:c r="A710" s="6" t="str">
        <x:v>T6-L07-R</x:v>
      </x:c>
      <x:c r="B710" s="6" t="str">
        <x:v>T6</x:v>
      </x:c>
      <x:c r="C710" s="6" t="str">
        <x:v>Column, wall, beam and slab reinforcement</x:v>
      </x:c>
      <x:c r="D710" s="6" t="str">
        <x:v>Rebar</x:v>
      </x:c>
      <x:c r="E710" s="22" t="n">
        <x:f>MAX(0,MIN('Activities'!L710,6)-MAX('Activities'!K710,0))</x:f>
        <x:v>0</x:v>
      </x:c>
      <x:c r="F710" s="22" t="n">
        <x:f>MAX(0,MIN('Activities'!L710,12)-MAX('Activities'!K710,6))</x:f>
        <x:v>0</x:v>
      </x:c>
      <x:c r="G710" s="22" t="n">
        <x:f>MAX(0,MIN('Activities'!L710,18)-MAX('Activities'!K710,12))</x:f>
        <x:v>0</x:v>
      </x:c>
      <x:c r="H710" s="22" t="n">
        <x:f>MAX(0,MIN('Activities'!L710,24)-MAX('Activities'!K710,18))</x:f>
        <x:v>0</x:v>
      </x:c>
      <x:c r="I710" s="22" t="n">
        <x:f>MAX(0,MIN('Activities'!L710,30)-MAX('Activities'!K710,24))</x:f>
        <x:v>0</x:v>
      </x:c>
      <x:c r="J710" s="22" t="n">
        <x:f>MAX(0,MIN('Activities'!L710,36)-MAX('Activities'!K710,30))</x:f>
        <x:v>0</x:v>
      </x:c>
      <x:c r="K710" s="22" t="n">
        <x:f>MAX(0,MIN('Activities'!L710,42)-MAX('Activities'!K710,36))</x:f>
        <x:v>0</x:v>
      </x:c>
      <x:c r="L710" s="22" t="n">
        <x:f>MAX(0,MIN('Activities'!L710,48)-MAX('Activities'!K710,42))</x:f>
        <x:v>0</x:v>
      </x:c>
      <x:c r="M710" s="22" t="n">
        <x:f>MAX(0,MIN('Activities'!L710,54)-MAX('Activities'!K710,48))</x:f>
        <x:v>0</x:v>
      </x:c>
      <x:c r="N710" s="22" t="n">
        <x:f>MAX(0,MIN('Activities'!L710,60)-MAX('Activities'!K710,54))</x:f>
        <x:v>0</x:v>
      </x:c>
      <x:c r="O710" s="22" t="n">
        <x:f>MAX(0,MIN('Activities'!L710,66)-MAX('Activities'!K710,60))</x:f>
        <x:v>0</x:v>
      </x:c>
      <x:c r="P710" s="22" t="n">
        <x:f>MAX(0,MIN('Activities'!L710,72)-MAX('Activities'!K710,66))</x:f>
        <x:v>0</x:v>
      </x:c>
      <x:c r="Q710" s="22" t="n">
        <x:f>MAX(0,MIN('Activities'!L710,78)-MAX('Activities'!K710,72))</x:f>
        <x:v>0</x:v>
      </x:c>
      <x:c r="R710" s="22" t="n">
        <x:f>MAX(0,MIN('Activities'!L710,84)-MAX('Activities'!K710,78))</x:f>
        <x:v>0</x:v>
      </x:c>
      <x:c r="S710" s="22" t="n">
        <x:f>MAX(0,MIN('Activities'!L710,90)-MAX('Activities'!K710,84))</x:f>
        <x:v>0</x:v>
      </x:c>
      <x:c r="T710" s="22" t="n">
        <x:f>MAX(0,MIN('Activities'!L710,96)-MAX('Activities'!K710,90))</x:f>
        <x:v>0</x:v>
      </x:c>
      <x:c r="U710" s="22" t="n">
        <x:f>MAX(0,MIN('Activities'!L710,102)-MAX('Activities'!K710,96))</x:f>
        <x:v>0</x:v>
      </x:c>
      <x:c r="V710" s="22" t="n">
        <x:f>MAX(0,MIN('Activities'!L710,108)-MAX('Activities'!K710,102))</x:f>
        <x:v>0</x:v>
      </x:c>
      <x:c r="W710" s="22" t="n">
        <x:f>MAX(0,MIN('Activities'!L710,114)-MAX('Activities'!K710,108))</x:f>
        <x:v>0</x:v>
      </x:c>
      <x:c r="X710" s="22" t="n">
        <x:f>MAX(0,MIN('Activities'!L710,120)-MAX('Activities'!K710,114))</x:f>
        <x:v>0</x:v>
      </x:c>
      <x:c r="Y710" s="22" t="n">
        <x:f>MAX(0,MIN('Activities'!L710,126)-MAX('Activities'!K710,120))</x:f>
        <x:v>0</x:v>
      </x:c>
      <x:c r="Z710" s="22" t="n">
        <x:f>MAX(0,MIN('Activities'!L710,132)-MAX('Activities'!K710,126))</x:f>
        <x:v>0</x:v>
      </x:c>
      <x:c r="AA710" s="22" t="n">
        <x:f>MAX(0,MIN('Activities'!L710,138)-MAX('Activities'!K710,132))</x:f>
        <x:v>0</x:v>
      </x:c>
      <x:c r="AB710" s="22" t="n">
        <x:f>MAX(0,MIN('Activities'!L710,144)-MAX('Activities'!K710,138))</x:f>
        <x:v>0</x:v>
      </x:c>
      <x:c r="AC710" s="22" t="n">
        <x:f>MAX(0,MIN('Activities'!L710,150)-MAX('Activities'!K710,144))</x:f>
        <x:v>0</x:v>
      </x:c>
      <x:c r="AD710" s="22" t="n">
        <x:f>MAX(0,MIN('Activities'!L710,156)-MAX('Activities'!K710,150))</x:f>
        <x:v>0</x:v>
      </x:c>
      <x:c r="AE710" s="22" t="n">
        <x:f>MAX(0,MIN('Activities'!L710,162)-MAX('Activities'!K710,156))</x:f>
        <x:v>0</x:v>
      </x:c>
      <x:c r="AF710" s="22" t="n">
        <x:f>MAX(0,MIN('Activities'!L710,168)-MAX('Activities'!K710,162))</x:f>
        <x:v>0</x:v>
      </x:c>
      <x:c r="AG710" s="22" t="n">
        <x:f>MAX(0,MIN('Activities'!L710,174)-MAX('Activities'!K710,168))</x:f>
        <x:v>0</x:v>
      </x:c>
      <x:c r="AH710" s="22" t="n">
        <x:f>MAX(0,MIN('Activities'!L710,180)-MAX('Activities'!K710,174))</x:f>
        <x:v>0</x:v>
      </x:c>
      <x:c r="AI710" s="22" t="n">
        <x:f>MAX(0,MIN('Activities'!L710,186)-MAX('Activities'!K710,180))</x:f>
        <x:v>0</x:v>
      </x:c>
      <x:c r="AJ710" s="22" t="n">
        <x:f>MAX(0,MIN('Activities'!L710,192)-MAX('Activities'!K710,186))</x:f>
        <x:v>0</x:v>
      </x:c>
      <x:c r="AK710" s="22" t="n">
        <x:f>MAX(0,MIN('Activities'!L710,198)-MAX('Activities'!K710,192))</x:f>
        <x:v>0</x:v>
      </x:c>
      <x:c r="AL710" s="22" t="n">
        <x:f>MAX(0,MIN('Activities'!L710,204)-MAX('Activities'!K710,198))</x:f>
        <x:v>0</x:v>
      </x:c>
      <x:c r="AM710" s="22" t="n">
        <x:f>MAX(0,MIN('Activities'!L710,210)-MAX('Activities'!K710,204))</x:f>
        <x:v>0</x:v>
      </x:c>
      <x:c r="AN710" s="22" t="n">
        <x:f>MAX(0,MIN('Activities'!L710,216)-MAX('Activities'!K710,210))</x:f>
        <x:v>0</x:v>
      </x:c>
      <x:c r="AO710" s="22" t="n">
        <x:f>MAX(0,MIN('Activities'!L710,222)-MAX('Activities'!K710,216))</x:f>
        <x:v>0</x:v>
      </x:c>
      <x:c r="AP710" s="22" t="n">
        <x:f>MAX(0,MIN('Activities'!L710,228)-MAX('Activities'!K710,222))</x:f>
        <x:v>0</x:v>
      </x:c>
      <x:c r="AQ710" s="22" t="n">
        <x:f>MAX(0,MIN('Activities'!L710,234)-MAX('Activities'!K710,228))</x:f>
        <x:v>0</x:v>
      </x:c>
      <x:c r="AR710" s="22" t="n">
        <x:f>MAX(0,MIN('Activities'!L710,240)-MAX('Activities'!K710,234))</x:f>
        <x:v>0</x:v>
      </x:c>
      <x:c r="AS710" s="22" t="n">
        <x:f>MAX(0,MIN('Activities'!L710,246)-MAX('Activities'!K710,240))</x:f>
        <x:v>0</x:v>
      </x:c>
      <x:c r="AT710" s="22" t="n">
        <x:f>MAX(0,MIN('Activities'!L710,252)-MAX('Activities'!K710,246))</x:f>
        <x:v>0</x:v>
      </x:c>
      <x:c r="AU710" s="22" t="n">
        <x:f>MAX(0,MIN('Activities'!L710,258)-MAX('Activities'!K710,252))</x:f>
        <x:v>0</x:v>
      </x:c>
      <x:c r="AV710" s="22" t="n">
        <x:f>MAX(0,MIN('Activities'!L710,264)-MAX('Activities'!K710,258))</x:f>
        <x:v>0</x:v>
      </x:c>
      <x:c r="AW710" s="22" t="n">
        <x:f>MAX(0,MIN('Activities'!L710,270)-MAX('Activities'!K710,264))</x:f>
        <x:v>0</x:v>
      </x:c>
      <x:c r="AX710" s="22" t="n">
        <x:f>MAX(0,MIN('Activities'!L710,276)-MAX('Activities'!K710,270))</x:f>
        <x:v>0</x:v>
      </x:c>
      <x:c r="AY710" s="22" t="n">
        <x:f>MAX(0,MIN('Activities'!L710,282)-MAX('Activities'!K710,276))</x:f>
        <x:v>0</x:v>
      </x:c>
      <x:c r="AZ710" s="22" t="n">
        <x:f>MAX(0,MIN('Activities'!L710,288)-MAX('Activities'!K710,282))</x:f>
        <x:v>0</x:v>
      </x:c>
      <x:c r="BA710" s="22" t="n">
        <x:f>MAX(0,MIN('Activities'!L710,294)-MAX('Activities'!K710,288))</x:f>
        <x:v>0</x:v>
      </x:c>
      <x:c r="BB710" s="22" t="n">
        <x:f>MAX(0,MIN('Activities'!L710,300)-MAX('Activities'!K710,294))</x:f>
        <x:v>0</x:v>
      </x:c>
      <x:c r="BC710" s="22" t="n">
        <x:f>MAX(0,MIN('Activities'!L710,306)-MAX('Activities'!K710,300))</x:f>
        <x:v>0</x:v>
      </x:c>
      <x:c r="BD710" s="22" t="n">
        <x:f>MAX(0,MIN('Activities'!L710,312)-MAX('Activities'!K710,306))</x:f>
        <x:v>0</x:v>
      </x:c>
      <x:c r="BE710" s="22" t="n">
        <x:f>MAX(0,MIN('Activities'!L710,318)-MAX('Activities'!K710,312))</x:f>
        <x:v>0</x:v>
      </x:c>
      <x:c r="BF710" s="22" t="n">
        <x:f>MAX(0,MIN('Activities'!L710,324)-MAX('Activities'!K710,318))</x:f>
        <x:v>0</x:v>
      </x:c>
      <x:c r="BG710" s="22" t="n">
        <x:f>MAX(0,MIN('Activities'!L710,330)-MAX('Activities'!K710,324))</x:f>
        <x:v>4</x:v>
      </x:c>
      <x:c r="BH710" s="22" t="n">
        <x:f>MAX(0,MIN('Activities'!L710,336)-MAX('Activities'!K710,330))</x:f>
        <x:v>1</x:v>
      </x:c>
      <x:c r="BI710" s="22" t="n">
        <x:f>MAX(0,MIN('Activities'!L710,342)-MAX('Activities'!K710,336))</x:f>
        <x:v>0</x:v>
      </x:c>
      <x:c r="BJ710" s="22" t="n">
        <x:f>MAX(0,MIN('Activities'!L710,348)-MAX('Activities'!K710,342))</x:f>
        <x:v>0</x:v>
      </x:c>
      <x:c r="BK710" s="22" t="n">
        <x:f>MAX(0,MIN('Activities'!L710,354)-MAX('Activities'!K710,348))</x:f>
        <x:v>0</x:v>
      </x:c>
      <x:c r="BL710" s="22" t="n">
        <x:f>MAX(0,MIN('Activities'!L710,360)-MAX('Activities'!K710,354))</x:f>
        <x:v>0</x:v>
      </x:c>
      <x:c r="BM710" s="22" t="n">
        <x:f>MAX(0,MIN('Activities'!L710,366)-MAX('Activities'!K710,360))</x:f>
        <x:v>0</x:v>
      </x:c>
      <x:c r="BN710" s="22" t="n">
        <x:f>MAX(0,MIN('Activities'!L710,372)-MAX('Activities'!K710,366))</x:f>
        <x:v>0</x:v>
      </x:c>
      <x:c r="BO710" s="22" t="n">
        <x:f>MAX(0,MIN('Activities'!L710,378)-MAX('Activities'!K710,372))</x:f>
        <x:v>0</x:v>
      </x:c>
      <x:c r="BP710" s="22" t="n">
        <x:f>MAX(0,MIN('Activities'!L710,384)-MAX('Activities'!K710,378))</x:f>
        <x:v>0</x:v>
      </x:c>
      <x:c r="BQ710" s="22" t="n">
        <x:f>MAX(0,MIN('Activities'!L710,390)-MAX('Activities'!K710,384))</x:f>
        <x:v>0</x:v>
      </x:c>
      <x:c r="BR710" s="22" t="n">
        <x:f>MAX(0,MIN('Activities'!L710,396)-MAX('Activities'!K710,390))</x:f>
        <x:v>0</x:v>
      </x:c>
      <x:c r="BS710" s="22" t="n">
        <x:f>MAX(0,MIN('Activities'!L710,402)-MAX('Activities'!K710,396))</x:f>
        <x:v>0</x:v>
      </x:c>
      <x:c r="BT710" s="22" t="n">
        <x:f>MAX(0,MIN('Activities'!L710,408)-MAX('Activities'!K710,402))</x:f>
        <x:v>0</x:v>
      </x:c>
      <x:c r="BU710" s="22" t="n">
        <x:f>MAX(0,MIN('Activities'!L710,414)-MAX('Activities'!K710,408))</x:f>
        <x:v>0</x:v>
      </x:c>
      <x:c r="BV710" s="22" t="n">
        <x:f>MAX(0,MIN('Activities'!L710,420)-MAX('Activities'!K710,414))</x:f>
        <x:v>0</x:v>
      </x:c>
      <x:c r="BW710" s="22" t="n">
        <x:f>MAX(0,MIN('Activities'!L710,426)-MAX('Activities'!K710,420))</x:f>
        <x:v>0</x:v>
      </x:c>
      <x:c r="BX710" s="22" t="n">
        <x:f>MAX(0,MIN('Activities'!L710,432)-MAX('Activities'!K710,426))</x:f>
        <x:v>0</x:v>
      </x:c>
      <x:c r="BY710" s="22" t="n">
        <x:f>MAX(0,MIN('Activities'!L710,438)-MAX('Activities'!K710,432))</x:f>
        <x:v>0</x:v>
      </x:c>
      <x:c r="BZ710" s="22" t="n">
        <x:f>MAX(0,MIN('Activities'!L710,444)-MAX('Activities'!K710,438))</x:f>
        <x:v>0</x:v>
      </x:c>
      <x:c r="CA710" s="22" t="n">
        <x:f>MAX(0,MIN('Activities'!L710,450)-MAX('Activities'!K710,444))</x:f>
        <x:v>0</x:v>
      </x:c>
      <x:c r="CB710" s="22" t="n">
        <x:f>MAX(0,MIN('Activities'!L710,456)-MAX('Activities'!K710,450))</x:f>
        <x:v>0</x:v>
      </x:c>
      <x:c r="CC710" s="22" t="n">
        <x:f>MAX(0,MIN('Activities'!L710,462)-MAX('Activities'!K710,456))</x:f>
        <x:v>0</x:v>
      </x:c>
      <x:c r="CD710" s="22" t="n">
        <x:f>MAX(0,MIN('Activities'!L710,468)-MAX('Activities'!K710,462))</x:f>
        <x:v>0</x:v>
      </x:c>
      <x:c r="CE710" s="22" t="n">
        <x:f>MAX(0,MIN('Activities'!L710,474)-MAX('Activities'!K710,468))</x:f>
        <x:v>0</x:v>
      </x:c>
      <x:c r="CF710" s="22" t="n">
        <x:f>MAX(0,MIN('Activities'!L710,480)-MAX('Activities'!K710,474))</x:f>
        <x:v>0</x:v>
      </x:c>
      <x:c r="CG710" s="22" t="n">
        <x:f>MAX(0,MIN('Activities'!L710,486)-MAX('Activities'!K710,480))</x:f>
        <x:v>0</x:v>
      </x:c>
      <x:c r="CH710" s="22" t="n">
        <x:f>MAX(0,MIN('Activities'!L710,492)-MAX('Activities'!K710,486))</x:f>
        <x:v>0</x:v>
      </x:c>
      <x:c r="CI710" s="22" t="n">
        <x:f>MAX(0,MIN('Activities'!L710,498)-MAX('Activities'!K710,492))</x:f>
        <x:v>0</x:v>
      </x:c>
      <x:c r="CJ710" s="22" t="n">
        <x:f>MAX(0,MIN('Activities'!L710,504)-MAX('Activities'!K710,498))</x:f>
        <x:v>0</x:v>
      </x:c>
      <x:c r="CK710" s="22" t="n">
        <x:f>MAX(0,MIN('Activities'!L710,510)-MAX('Activities'!K710,504))</x:f>
        <x:v>0</x:v>
      </x:c>
      <x:c r="CL710" s="22" t="n">
        <x:f>MAX(0,MIN('Activities'!L710,516)-MAX('Activities'!K710,510))</x:f>
        <x:v>0</x:v>
      </x:c>
      <x:c r="CM710" s="22" t="n">
        <x:f>MAX(0,MIN('Activities'!L710,522)-MAX('Activities'!K710,516))</x:f>
        <x:v>0</x:v>
      </x:c>
      <x:c r="CN710" s="22" t="n">
        <x:f>MAX(0,MIN('Activities'!L710,528)-MAX('Activities'!K710,522))</x:f>
        <x:v>0</x:v>
      </x:c>
      <x:c r="CO710" s="22" t="n">
        <x:f>MAX(0,MIN('Activities'!L710,534)-MAX('Activities'!K710,528))</x:f>
        <x:v>0</x:v>
      </x:c>
      <x:c r="CP710" s="22" t="n">
        <x:f>MAX(0,MIN('Activities'!L710,540)-MAX('Activities'!K710,534))</x:f>
        <x:v>0</x:v>
      </x:c>
      <x:c r="CQ710" s="22" t="n">
        <x:f>MAX(0,MIN('Activities'!L710,546)-MAX('Activities'!K710,540))</x:f>
        <x:v>0</x:v>
      </x:c>
      <x:c r="CR710" s="22" t="n">
        <x:f>MAX(0,MIN('Activities'!L710,552)-MAX('Activities'!K710,546))</x:f>
        <x:v>0</x:v>
      </x:c>
      <x:c r="CS710" s="22" t="n">
        <x:f>MAX(0,MIN('Activities'!L710,558)-MAX('Activities'!K710,552))</x:f>
        <x:v>0</x:v>
      </x:c>
      <x:c r="CT710" s="22" t="n">
        <x:f>MAX(0,MIN('Activities'!L710,564)-MAX('Activities'!K710,558))</x:f>
        <x:v>0</x:v>
      </x:c>
      <x:c r="CU710" s="22" t="n">
        <x:f>MAX(0,MIN('Activities'!L710,570)-MAX('Activities'!K710,564))</x:f>
        <x:v>0</x:v>
      </x:c>
      <x:c r="CV710" s="22" t="n">
        <x:f>MAX(0,MIN('Activities'!L710,576)-MAX('Activities'!K710,570))</x:f>
        <x:v>0</x:v>
      </x:c>
      <x:c r="CW710" s="22" t="n">
        <x:f>MAX(0,MIN('Activities'!L710,582)-MAX('Activities'!K710,576))</x:f>
        <x:v>0</x:v>
      </x:c>
      <x:c r="CX710" s="22" t="n">
        <x:f>MAX(0,MIN('Activities'!L710,588)-MAX('Activities'!K710,582))</x:f>
        <x:v>0</x:v>
      </x:c>
      <x:c r="CY710" s="22" t="n">
        <x:f>MAX(0,MIN('Activities'!L710,594)-MAX('Activities'!K710,588))</x:f>
        <x:v>0</x:v>
      </x:c>
      <x:c r="CZ710" s="22" t="n">
        <x:f>MAX(0,MIN('Activities'!L710,600)-MAX('Activities'!K710,594))</x:f>
        <x:v>0</x:v>
      </x:c>
      <x:c r="DA710" s="22" t="n">
        <x:f>MAX(0,MIN('Activities'!L710,606)-MAX('Activities'!K710,600))</x:f>
        <x:v>0</x:v>
      </x:c>
      <x:c r="DB710" s="22" t="n">
        <x:f>MAX(0,MIN('Activities'!L710,612)-MAX('Activities'!K710,606))</x:f>
        <x:v>0</x:v>
      </x:c>
      <x:c r="DC710" s="22" t="n">
        <x:f>MAX(0,MIN('Activities'!L710,618)-MAX('Activities'!K710,612))</x:f>
        <x:v>0</x:v>
      </x:c>
      <x:c r="DD710" s="22" t="n">
        <x:f>MAX(0,MIN('Activities'!L710,624)-MAX('Activities'!K710,618))</x:f>
        <x:v>0</x:v>
      </x:c>
      <x:c r="DE710" s="22" t="n">
        <x:f>MAX(0,MIN('Activities'!L710,630)-MAX('Activities'!K710,624))</x:f>
        <x:v>0</x:v>
      </x:c>
      <x:c r="DF710" s="22" t="n">
        <x:f>MAX(0,MIN('Activities'!L710,636)-MAX('Activities'!K710,630))</x:f>
        <x:v>0</x:v>
      </x:c>
    </x:row>
    <x:row r="711" ht="23" customHeight="1">
      <x:c r="A711" s="1" t="str">
        <x:v>T6-L07-C</x:v>
      </x:c>
      <x:c r="B711" s="1" t="str">
        <x:v>T6</x:v>
      </x:c>
      <x:c r="C711" s="1" t="str">
        <x:v>Concrete placement and finishing</x:v>
      </x:c>
      <x:c r="D711" s="1" t="str">
        <x:v>Concrete</x:v>
      </x:c>
      <x:c r="E711" s="23" t="n">
        <x:f>MAX(0,MIN('Activities'!L711,6)-MAX('Activities'!K711,0))</x:f>
        <x:v>0</x:v>
      </x:c>
      <x:c r="F711" s="23" t="n">
        <x:f>MAX(0,MIN('Activities'!L711,12)-MAX('Activities'!K711,6))</x:f>
        <x:v>0</x:v>
      </x:c>
      <x:c r="G711" s="23" t="n">
        <x:f>MAX(0,MIN('Activities'!L711,18)-MAX('Activities'!K711,12))</x:f>
        <x:v>0</x:v>
      </x:c>
      <x:c r="H711" s="23" t="n">
        <x:f>MAX(0,MIN('Activities'!L711,24)-MAX('Activities'!K711,18))</x:f>
        <x:v>0</x:v>
      </x:c>
      <x:c r="I711" s="23" t="n">
        <x:f>MAX(0,MIN('Activities'!L711,30)-MAX('Activities'!K711,24))</x:f>
        <x:v>0</x:v>
      </x:c>
      <x:c r="J711" s="23" t="n">
        <x:f>MAX(0,MIN('Activities'!L711,36)-MAX('Activities'!K711,30))</x:f>
        <x:v>0</x:v>
      </x:c>
      <x:c r="K711" s="23" t="n">
        <x:f>MAX(0,MIN('Activities'!L711,42)-MAX('Activities'!K711,36))</x:f>
        <x:v>0</x:v>
      </x:c>
      <x:c r="L711" s="23" t="n">
        <x:f>MAX(0,MIN('Activities'!L711,48)-MAX('Activities'!K711,42))</x:f>
        <x:v>0</x:v>
      </x:c>
      <x:c r="M711" s="23" t="n">
        <x:f>MAX(0,MIN('Activities'!L711,54)-MAX('Activities'!K711,48))</x:f>
        <x:v>0</x:v>
      </x:c>
      <x:c r="N711" s="23" t="n">
        <x:f>MAX(0,MIN('Activities'!L711,60)-MAX('Activities'!K711,54))</x:f>
        <x:v>0</x:v>
      </x:c>
      <x:c r="O711" s="23" t="n">
        <x:f>MAX(0,MIN('Activities'!L711,66)-MAX('Activities'!K711,60))</x:f>
        <x:v>0</x:v>
      </x:c>
      <x:c r="P711" s="23" t="n">
        <x:f>MAX(0,MIN('Activities'!L711,72)-MAX('Activities'!K711,66))</x:f>
        <x:v>0</x:v>
      </x:c>
      <x:c r="Q711" s="23" t="n">
        <x:f>MAX(0,MIN('Activities'!L711,78)-MAX('Activities'!K711,72))</x:f>
        <x:v>0</x:v>
      </x:c>
      <x:c r="R711" s="23" t="n">
        <x:f>MAX(0,MIN('Activities'!L711,84)-MAX('Activities'!K711,78))</x:f>
        <x:v>0</x:v>
      </x:c>
      <x:c r="S711" s="23" t="n">
        <x:f>MAX(0,MIN('Activities'!L711,90)-MAX('Activities'!K711,84))</x:f>
        <x:v>0</x:v>
      </x:c>
      <x:c r="T711" s="23" t="n">
        <x:f>MAX(0,MIN('Activities'!L711,96)-MAX('Activities'!K711,90))</x:f>
        <x:v>0</x:v>
      </x:c>
      <x:c r="U711" s="23" t="n">
        <x:f>MAX(0,MIN('Activities'!L711,102)-MAX('Activities'!K711,96))</x:f>
        <x:v>0</x:v>
      </x:c>
      <x:c r="V711" s="23" t="n">
        <x:f>MAX(0,MIN('Activities'!L711,108)-MAX('Activities'!K711,102))</x:f>
        <x:v>0</x:v>
      </x:c>
      <x:c r="W711" s="23" t="n">
        <x:f>MAX(0,MIN('Activities'!L711,114)-MAX('Activities'!K711,108))</x:f>
        <x:v>0</x:v>
      </x:c>
      <x:c r="X711" s="23" t="n">
        <x:f>MAX(0,MIN('Activities'!L711,120)-MAX('Activities'!K711,114))</x:f>
        <x:v>0</x:v>
      </x:c>
      <x:c r="Y711" s="23" t="n">
        <x:f>MAX(0,MIN('Activities'!L711,126)-MAX('Activities'!K711,120))</x:f>
        <x:v>0</x:v>
      </x:c>
      <x:c r="Z711" s="23" t="n">
        <x:f>MAX(0,MIN('Activities'!L711,132)-MAX('Activities'!K711,126))</x:f>
        <x:v>0</x:v>
      </x:c>
      <x:c r="AA711" s="23" t="n">
        <x:f>MAX(0,MIN('Activities'!L711,138)-MAX('Activities'!K711,132))</x:f>
        <x:v>0</x:v>
      </x:c>
      <x:c r="AB711" s="23" t="n">
        <x:f>MAX(0,MIN('Activities'!L711,144)-MAX('Activities'!K711,138))</x:f>
        <x:v>0</x:v>
      </x:c>
      <x:c r="AC711" s="23" t="n">
        <x:f>MAX(0,MIN('Activities'!L711,150)-MAX('Activities'!K711,144))</x:f>
        <x:v>0</x:v>
      </x:c>
      <x:c r="AD711" s="23" t="n">
        <x:f>MAX(0,MIN('Activities'!L711,156)-MAX('Activities'!K711,150))</x:f>
        <x:v>0</x:v>
      </x:c>
      <x:c r="AE711" s="23" t="n">
        <x:f>MAX(0,MIN('Activities'!L711,162)-MAX('Activities'!K711,156))</x:f>
        <x:v>0</x:v>
      </x:c>
      <x:c r="AF711" s="23" t="n">
        <x:f>MAX(0,MIN('Activities'!L711,168)-MAX('Activities'!K711,162))</x:f>
        <x:v>0</x:v>
      </x:c>
      <x:c r="AG711" s="23" t="n">
        <x:f>MAX(0,MIN('Activities'!L711,174)-MAX('Activities'!K711,168))</x:f>
        <x:v>0</x:v>
      </x:c>
      <x:c r="AH711" s="23" t="n">
        <x:f>MAX(0,MIN('Activities'!L711,180)-MAX('Activities'!K711,174))</x:f>
        <x:v>0</x:v>
      </x:c>
      <x:c r="AI711" s="23" t="n">
        <x:f>MAX(0,MIN('Activities'!L711,186)-MAX('Activities'!K711,180))</x:f>
        <x:v>0</x:v>
      </x:c>
      <x:c r="AJ711" s="23" t="n">
        <x:f>MAX(0,MIN('Activities'!L711,192)-MAX('Activities'!K711,186))</x:f>
        <x:v>0</x:v>
      </x:c>
      <x:c r="AK711" s="23" t="n">
        <x:f>MAX(0,MIN('Activities'!L711,198)-MAX('Activities'!K711,192))</x:f>
        <x:v>0</x:v>
      </x:c>
      <x:c r="AL711" s="23" t="n">
        <x:f>MAX(0,MIN('Activities'!L711,204)-MAX('Activities'!K711,198))</x:f>
        <x:v>0</x:v>
      </x:c>
      <x:c r="AM711" s="23" t="n">
        <x:f>MAX(0,MIN('Activities'!L711,210)-MAX('Activities'!K711,204))</x:f>
        <x:v>0</x:v>
      </x:c>
      <x:c r="AN711" s="23" t="n">
        <x:f>MAX(0,MIN('Activities'!L711,216)-MAX('Activities'!K711,210))</x:f>
        <x:v>0</x:v>
      </x:c>
      <x:c r="AO711" s="23" t="n">
        <x:f>MAX(0,MIN('Activities'!L711,222)-MAX('Activities'!K711,216))</x:f>
        <x:v>0</x:v>
      </x:c>
      <x:c r="AP711" s="23" t="n">
        <x:f>MAX(0,MIN('Activities'!L711,228)-MAX('Activities'!K711,222))</x:f>
        <x:v>0</x:v>
      </x:c>
      <x:c r="AQ711" s="23" t="n">
        <x:f>MAX(0,MIN('Activities'!L711,234)-MAX('Activities'!K711,228))</x:f>
        <x:v>0</x:v>
      </x:c>
      <x:c r="AR711" s="23" t="n">
        <x:f>MAX(0,MIN('Activities'!L711,240)-MAX('Activities'!K711,234))</x:f>
        <x:v>0</x:v>
      </x:c>
      <x:c r="AS711" s="23" t="n">
        <x:f>MAX(0,MIN('Activities'!L711,246)-MAX('Activities'!K711,240))</x:f>
        <x:v>0</x:v>
      </x:c>
      <x:c r="AT711" s="23" t="n">
        <x:f>MAX(0,MIN('Activities'!L711,252)-MAX('Activities'!K711,246))</x:f>
        <x:v>0</x:v>
      </x:c>
      <x:c r="AU711" s="23" t="n">
        <x:f>MAX(0,MIN('Activities'!L711,258)-MAX('Activities'!K711,252))</x:f>
        <x:v>0</x:v>
      </x:c>
      <x:c r="AV711" s="23" t="n">
        <x:f>MAX(0,MIN('Activities'!L711,264)-MAX('Activities'!K711,258))</x:f>
        <x:v>0</x:v>
      </x:c>
      <x:c r="AW711" s="23" t="n">
        <x:f>MAX(0,MIN('Activities'!L711,270)-MAX('Activities'!K711,264))</x:f>
        <x:v>0</x:v>
      </x:c>
      <x:c r="AX711" s="23" t="n">
        <x:f>MAX(0,MIN('Activities'!L711,276)-MAX('Activities'!K711,270))</x:f>
        <x:v>0</x:v>
      </x:c>
      <x:c r="AY711" s="23" t="n">
        <x:f>MAX(0,MIN('Activities'!L711,282)-MAX('Activities'!K711,276))</x:f>
        <x:v>0</x:v>
      </x:c>
      <x:c r="AZ711" s="23" t="n">
        <x:f>MAX(0,MIN('Activities'!L711,288)-MAX('Activities'!K711,282))</x:f>
        <x:v>0</x:v>
      </x:c>
      <x:c r="BA711" s="23" t="n">
        <x:f>MAX(0,MIN('Activities'!L711,294)-MAX('Activities'!K711,288))</x:f>
        <x:v>0</x:v>
      </x:c>
      <x:c r="BB711" s="23" t="n">
        <x:f>MAX(0,MIN('Activities'!L711,300)-MAX('Activities'!K711,294))</x:f>
        <x:v>0</x:v>
      </x:c>
      <x:c r="BC711" s="23" t="n">
        <x:f>MAX(0,MIN('Activities'!L711,306)-MAX('Activities'!K711,300))</x:f>
        <x:v>0</x:v>
      </x:c>
      <x:c r="BD711" s="23" t="n">
        <x:f>MAX(0,MIN('Activities'!L711,312)-MAX('Activities'!K711,306))</x:f>
        <x:v>0</x:v>
      </x:c>
      <x:c r="BE711" s="23" t="n">
        <x:f>MAX(0,MIN('Activities'!L711,318)-MAX('Activities'!K711,312))</x:f>
        <x:v>0</x:v>
      </x:c>
      <x:c r="BF711" s="23" t="n">
        <x:f>MAX(0,MIN('Activities'!L711,324)-MAX('Activities'!K711,318))</x:f>
        <x:v>0</x:v>
      </x:c>
      <x:c r="BG711" s="23" t="n">
        <x:f>MAX(0,MIN('Activities'!L711,330)-MAX('Activities'!K711,324))</x:f>
        <x:v>0</x:v>
      </x:c>
      <x:c r="BH711" s="23" t="n">
        <x:f>MAX(0,MIN('Activities'!L711,336)-MAX('Activities'!K711,330))</x:f>
        <x:v>2</x:v>
      </x:c>
      <x:c r="BI711" s="23" t="n">
        <x:f>MAX(0,MIN('Activities'!L711,342)-MAX('Activities'!K711,336))</x:f>
        <x:v>0</x:v>
      </x:c>
      <x:c r="BJ711" s="23" t="n">
        <x:f>MAX(0,MIN('Activities'!L711,348)-MAX('Activities'!K711,342))</x:f>
        <x:v>0</x:v>
      </x:c>
      <x:c r="BK711" s="23" t="n">
        <x:f>MAX(0,MIN('Activities'!L711,354)-MAX('Activities'!K711,348))</x:f>
        <x:v>0</x:v>
      </x:c>
      <x:c r="BL711" s="23" t="n">
        <x:f>MAX(0,MIN('Activities'!L711,360)-MAX('Activities'!K711,354))</x:f>
        <x:v>0</x:v>
      </x:c>
      <x:c r="BM711" s="23" t="n">
        <x:f>MAX(0,MIN('Activities'!L711,366)-MAX('Activities'!K711,360))</x:f>
        <x:v>0</x:v>
      </x:c>
      <x:c r="BN711" s="23" t="n">
        <x:f>MAX(0,MIN('Activities'!L711,372)-MAX('Activities'!K711,366))</x:f>
        <x:v>0</x:v>
      </x:c>
      <x:c r="BO711" s="23" t="n">
        <x:f>MAX(0,MIN('Activities'!L711,378)-MAX('Activities'!K711,372))</x:f>
        <x:v>0</x:v>
      </x:c>
      <x:c r="BP711" s="23" t="n">
        <x:f>MAX(0,MIN('Activities'!L711,384)-MAX('Activities'!K711,378))</x:f>
        <x:v>0</x:v>
      </x:c>
      <x:c r="BQ711" s="23" t="n">
        <x:f>MAX(0,MIN('Activities'!L711,390)-MAX('Activities'!K711,384))</x:f>
        <x:v>0</x:v>
      </x:c>
      <x:c r="BR711" s="23" t="n">
        <x:f>MAX(0,MIN('Activities'!L711,396)-MAX('Activities'!K711,390))</x:f>
        <x:v>0</x:v>
      </x:c>
      <x:c r="BS711" s="23" t="n">
        <x:f>MAX(0,MIN('Activities'!L711,402)-MAX('Activities'!K711,396))</x:f>
        <x:v>0</x:v>
      </x:c>
      <x:c r="BT711" s="23" t="n">
        <x:f>MAX(0,MIN('Activities'!L711,408)-MAX('Activities'!K711,402))</x:f>
        <x:v>0</x:v>
      </x:c>
      <x:c r="BU711" s="23" t="n">
        <x:f>MAX(0,MIN('Activities'!L711,414)-MAX('Activities'!K711,408))</x:f>
        <x:v>0</x:v>
      </x:c>
      <x:c r="BV711" s="23" t="n">
        <x:f>MAX(0,MIN('Activities'!L711,420)-MAX('Activities'!K711,414))</x:f>
        <x:v>0</x:v>
      </x:c>
      <x:c r="BW711" s="23" t="n">
        <x:f>MAX(0,MIN('Activities'!L711,426)-MAX('Activities'!K711,420))</x:f>
        <x:v>0</x:v>
      </x:c>
      <x:c r="BX711" s="23" t="n">
        <x:f>MAX(0,MIN('Activities'!L711,432)-MAX('Activities'!K711,426))</x:f>
        <x:v>0</x:v>
      </x:c>
      <x:c r="BY711" s="23" t="n">
        <x:f>MAX(0,MIN('Activities'!L711,438)-MAX('Activities'!K711,432))</x:f>
        <x:v>0</x:v>
      </x:c>
      <x:c r="BZ711" s="23" t="n">
        <x:f>MAX(0,MIN('Activities'!L711,444)-MAX('Activities'!K711,438))</x:f>
        <x:v>0</x:v>
      </x:c>
      <x:c r="CA711" s="23" t="n">
        <x:f>MAX(0,MIN('Activities'!L711,450)-MAX('Activities'!K711,444))</x:f>
        <x:v>0</x:v>
      </x:c>
      <x:c r="CB711" s="23" t="n">
        <x:f>MAX(0,MIN('Activities'!L711,456)-MAX('Activities'!K711,450))</x:f>
        <x:v>0</x:v>
      </x:c>
      <x:c r="CC711" s="23" t="n">
        <x:f>MAX(0,MIN('Activities'!L711,462)-MAX('Activities'!K711,456))</x:f>
        <x:v>0</x:v>
      </x:c>
      <x:c r="CD711" s="23" t="n">
        <x:f>MAX(0,MIN('Activities'!L711,468)-MAX('Activities'!K711,462))</x:f>
        <x:v>0</x:v>
      </x:c>
      <x:c r="CE711" s="23" t="n">
        <x:f>MAX(0,MIN('Activities'!L711,474)-MAX('Activities'!K711,468))</x:f>
        <x:v>0</x:v>
      </x:c>
      <x:c r="CF711" s="23" t="n">
        <x:f>MAX(0,MIN('Activities'!L711,480)-MAX('Activities'!K711,474))</x:f>
        <x:v>0</x:v>
      </x:c>
      <x:c r="CG711" s="23" t="n">
        <x:f>MAX(0,MIN('Activities'!L711,486)-MAX('Activities'!K711,480))</x:f>
        <x:v>0</x:v>
      </x:c>
      <x:c r="CH711" s="23" t="n">
        <x:f>MAX(0,MIN('Activities'!L711,492)-MAX('Activities'!K711,486))</x:f>
        <x:v>0</x:v>
      </x:c>
      <x:c r="CI711" s="23" t="n">
        <x:f>MAX(0,MIN('Activities'!L711,498)-MAX('Activities'!K711,492))</x:f>
        <x:v>0</x:v>
      </x:c>
      <x:c r="CJ711" s="23" t="n">
        <x:f>MAX(0,MIN('Activities'!L711,504)-MAX('Activities'!K711,498))</x:f>
        <x:v>0</x:v>
      </x:c>
      <x:c r="CK711" s="23" t="n">
        <x:f>MAX(0,MIN('Activities'!L711,510)-MAX('Activities'!K711,504))</x:f>
        <x:v>0</x:v>
      </x:c>
      <x:c r="CL711" s="23" t="n">
        <x:f>MAX(0,MIN('Activities'!L711,516)-MAX('Activities'!K711,510))</x:f>
        <x:v>0</x:v>
      </x:c>
      <x:c r="CM711" s="23" t="n">
        <x:f>MAX(0,MIN('Activities'!L711,522)-MAX('Activities'!K711,516))</x:f>
        <x:v>0</x:v>
      </x:c>
      <x:c r="CN711" s="23" t="n">
        <x:f>MAX(0,MIN('Activities'!L711,528)-MAX('Activities'!K711,522))</x:f>
        <x:v>0</x:v>
      </x:c>
      <x:c r="CO711" s="23" t="n">
        <x:f>MAX(0,MIN('Activities'!L711,534)-MAX('Activities'!K711,528))</x:f>
        <x:v>0</x:v>
      </x:c>
      <x:c r="CP711" s="23" t="n">
        <x:f>MAX(0,MIN('Activities'!L711,540)-MAX('Activities'!K711,534))</x:f>
        <x:v>0</x:v>
      </x:c>
      <x:c r="CQ711" s="23" t="n">
        <x:f>MAX(0,MIN('Activities'!L711,546)-MAX('Activities'!K711,540))</x:f>
        <x:v>0</x:v>
      </x:c>
      <x:c r="CR711" s="23" t="n">
        <x:f>MAX(0,MIN('Activities'!L711,552)-MAX('Activities'!K711,546))</x:f>
        <x:v>0</x:v>
      </x:c>
      <x:c r="CS711" s="23" t="n">
        <x:f>MAX(0,MIN('Activities'!L711,558)-MAX('Activities'!K711,552))</x:f>
        <x:v>0</x:v>
      </x:c>
      <x:c r="CT711" s="23" t="n">
        <x:f>MAX(0,MIN('Activities'!L711,564)-MAX('Activities'!K711,558))</x:f>
        <x:v>0</x:v>
      </x:c>
      <x:c r="CU711" s="23" t="n">
        <x:f>MAX(0,MIN('Activities'!L711,570)-MAX('Activities'!K711,564))</x:f>
        <x:v>0</x:v>
      </x:c>
      <x:c r="CV711" s="23" t="n">
        <x:f>MAX(0,MIN('Activities'!L711,576)-MAX('Activities'!K711,570))</x:f>
        <x:v>0</x:v>
      </x:c>
      <x:c r="CW711" s="23" t="n">
        <x:f>MAX(0,MIN('Activities'!L711,582)-MAX('Activities'!K711,576))</x:f>
        <x:v>0</x:v>
      </x:c>
      <x:c r="CX711" s="23" t="n">
        <x:f>MAX(0,MIN('Activities'!L711,588)-MAX('Activities'!K711,582))</x:f>
        <x:v>0</x:v>
      </x:c>
      <x:c r="CY711" s="23" t="n">
        <x:f>MAX(0,MIN('Activities'!L711,594)-MAX('Activities'!K711,588))</x:f>
        <x:v>0</x:v>
      </x:c>
      <x:c r="CZ711" s="23" t="n">
        <x:f>MAX(0,MIN('Activities'!L711,600)-MAX('Activities'!K711,594))</x:f>
        <x:v>0</x:v>
      </x:c>
      <x:c r="DA711" s="23" t="n">
        <x:f>MAX(0,MIN('Activities'!L711,606)-MAX('Activities'!K711,600))</x:f>
        <x:v>0</x:v>
      </x:c>
      <x:c r="DB711" s="23" t="n">
        <x:f>MAX(0,MIN('Activities'!L711,612)-MAX('Activities'!K711,606))</x:f>
        <x:v>0</x:v>
      </x:c>
      <x:c r="DC711" s="23" t="n">
        <x:f>MAX(0,MIN('Activities'!L711,618)-MAX('Activities'!K711,612))</x:f>
        <x:v>0</x:v>
      </x:c>
      <x:c r="DD711" s="23" t="n">
        <x:f>MAX(0,MIN('Activities'!L711,624)-MAX('Activities'!K711,618))</x:f>
        <x:v>0</x:v>
      </x:c>
      <x:c r="DE711" s="23" t="n">
        <x:f>MAX(0,MIN('Activities'!L711,630)-MAX('Activities'!K711,624))</x:f>
        <x:v>0</x:v>
      </x:c>
      <x:c r="DF711" s="23" t="n">
        <x:f>MAX(0,MIN('Activities'!L711,636)-MAX('Activities'!K711,630))</x:f>
        <x:v>0</x:v>
      </x:c>
    </x:row>
    <x:row r="712" ht="23" customHeight="1">
      <x:c r="A712" s="6" t="str">
        <x:v>T6-L07-H</x:v>
      </x:c>
      <x:c r="B712" s="6" t="str">
        <x:v>T6</x:v>
      </x:c>
      <x:c r="C712" s="6" t="str">
        <x:v>Curing and release hold point</x:v>
      </x:c>
      <x:c r="D712" s="6" t="str">
        <x:v>Site</x:v>
      </x:c>
      <x:c r="E712" s="22" t="n">
        <x:f>MAX(0,MIN('Activities'!L712,6)-MAX('Activities'!K712,0))</x:f>
        <x:v>0</x:v>
      </x:c>
      <x:c r="F712" s="22" t="n">
        <x:f>MAX(0,MIN('Activities'!L712,12)-MAX('Activities'!K712,6))</x:f>
        <x:v>0</x:v>
      </x:c>
      <x:c r="G712" s="22" t="n">
        <x:f>MAX(0,MIN('Activities'!L712,18)-MAX('Activities'!K712,12))</x:f>
        <x:v>0</x:v>
      </x:c>
      <x:c r="H712" s="22" t="n">
        <x:f>MAX(0,MIN('Activities'!L712,24)-MAX('Activities'!K712,18))</x:f>
        <x:v>0</x:v>
      </x:c>
      <x:c r="I712" s="22" t="n">
        <x:f>MAX(0,MIN('Activities'!L712,30)-MAX('Activities'!K712,24))</x:f>
        <x:v>0</x:v>
      </x:c>
      <x:c r="J712" s="22" t="n">
        <x:f>MAX(0,MIN('Activities'!L712,36)-MAX('Activities'!K712,30))</x:f>
        <x:v>0</x:v>
      </x:c>
      <x:c r="K712" s="22" t="n">
        <x:f>MAX(0,MIN('Activities'!L712,42)-MAX('Activities'!K712,36))</x:f>
        <x:v>0</x:v>
      </x:c>
      <x:c r="L712" s="22" t="n">
        <x:f>MAX(0,MIN('Activities'!L712,48)-MAX('Activities'!K712,42))</x:f>
        <x:v>0</x:v>
      </x:c>
      <x:c r="M712" s="22" t="n">
        <x:f>MAX(0,MIN('Activities'!L712,54)-MAX('Activities'!K712,48))</x:f>
        <x:v>0</x:v>
      </x:c>
      <x:c r="N712" s="22" t="n">
        <x:f>MAX(0,MIN('Activities'!L712,60)-MAX('Activities'!K712,54))</x:f>
        <x:v>0</x:v>
      </x:c>
      <x:c r="O712" s="22" t="n">
        <x:f>MAX(0,MIN('Activities'!L712,66)-MAX('Activities'!K712,60))</x:f>
        <x:v>0</x:v>
      </x:c>
      <x:c r="P712" s="22" t="n">
        <x:f>MAX(0,MIN('Activities'!L712,72)-MAX('Activities'!K712,66))</x:f>
        <x:v>0</x:v>
      </x:c>
      <x:c r="Q712" s="22" t="n">
        <x:f>MAX(0,MIN('Activities'!L712,78)-MAX('Activities'!K712,72))</x:f>
        <x:v>0</x:v>
      </x:c>
      <x:c r="R712" s="22" t="n">
        <x:f>MAX(0,MIN('Activities'!L712,84)-MAX('Activities'!K712,78))</x:f>
        <x:v>0</x:v>
      </x:c>
      <x:c r="S712" s="22" t="n">
        <x:f>MAX(0,MIN('Activities'!L712,90)-MAX('Activities'!K712,84))</x:f>
        <x:v>0</x:v>
      </x:c>
      <x:c r="T712" s="22" t="n">
        <x:f>MAX(0,MIN('Activities'!L712,96)-MAX('Activities'!K712,90))</x:f>
        <x:v>0</x:v>
      </x:c>
      <x:c r="U712" s="22" t="n">
        <x:f>MAX(0,MIN('Activities'!L712,102)-MAX('Activities'!K712,96))</x:f>
        <x:v>0</x:v>
      </x:c>
      <x:c r="V712" s="22" t="n">
        <x:f>MAX(0,MIN('Activities'!L712,108)-MAX('Activities'!K712,102))</x:f>
        <x:v>0</x:v>
      </x:c>
      <x:c r="W712" s="22" t="n">
        <x:f>MAX(0,MIN('Activities'!L712,114)-MAX('Activities'!K712,108))</x:f>
        <x:v>0</x:v>
      </x:c>
      <x:c r="X712" s="22" t="n">
        <x:f>MAX(0,MIN('Activities'!L712,120)-MAX('Activities'!K712,114))</x:f>
        <x:v>0</x:v>
      </x:c>
      <x:c r="Y712" s="22" t="n">
        <x:f>MAX(0,MIN('Activities'!L712,126)-MAX('Activities'!K712,120))</x:f>
        <x:v>0</x:v>
      </x:c>
      <x:c r="Z712" s="22" t="n">
        <x:f>MAX(0,MIN('Activities'!L712,132)-MAX('Activities'!K712,126))</x:f>
        <x:v>0</x:v>
      </x:c>
      <x:c r="AA712" s="22" t="n">
        <x:f>MAX(0,MIN('Activities'!L712,138)-MAX('Activities'!K712,132))</x:f>
        <x:v>0</x:v>
      </x:c>
      <x:c r="AB712" s="22" t="n">
        <x:f>MAX(0,MIN('Activities'!L712,144)-MAX('Activities'!K712,138))</x:f>
        <x:v>0</x:v>
      </x:c>
      <x:c r="AC712" s="22" t="n">
        <x:f>MAX(0,MIN('Activities'!L712,150)-MAX('Activities'!K712,144))</x:f>
        <x:v>0</x:v>
      </x:c>
      <x:c r="AD712" s="22" t="n">
        <x:f>MAX(0,MIN('Activities'!L712,156)-MAX('Activities'!K712,150))</x:f>
        <x:v>0</x:v>
      </x:c>
      <x:c r="AE712" s="22" t="n">
        <x:f>MAX(0,MIN('Activities'!L712,162)-MAX('Activities'!K712,156))</x:f>
        <x:v>0</x:v>
      </x:c>
      <x:c r="AF712" s="22" t="n">
        <x:f>MAX(0,MIN('Activities'!L712,168)-MAX('Activities'!K712,162))</x:f>
        <x:v>0</x:v>
      </x:c>
      <x:c r="AG712" s="22" t="n">
        <x:f>MAX(0,MIN('Activities'!L712,174)-MAX('Activities'!K712,168))</x:f>
        <x:v>0</x:v>
      </x:c>
      <x:c r="AH712" s="22" t="n">
        <x:f>MAX(0,MIN('Activities'!L712,180)-MAX('Activities'!K712,174))</x:f>
        <x:v>0</x:v>
      </x:c>
      <x:c r="AI712" s="22" t="n">
        <x:f>MAX(0,MIN('Activities'!L712,186)-MAX('Activities'!K712,180))</x:f>
        <x:v>0</x:v>
      </x:c>
      <x:c r="AJ712" s="22" t="n">
        <x:f>MAX(0,MIN('Activities'!L712,192)-MAX('Activities'!K712,186))</x:f>
        <x:v>0</x:v>
      </x:c>
      <x:c r="AK712" s="22" t="n">
        <x:f>MAX(0,MIN('Activities'!L712,198)-MAX('Activities'!K712,192))</x:f>
        <x:v>0</x:v>
      </x:c>
      <x:c r="AL712" s="22" t="n">
        <x:f>MAX(0,MIN('Activities'!L712,204)-MAX('Activities'!K712,198))</x:f>
        <x:v>0</x:v>
      </x:c>
      <x:c r="AM712" s="22" t="n">
        <x:f>MAX(0,MIN('Activities'!L712,210)-MAX('Activities'!K712,204))</x:f>
        <x:v>0</x:v>
      </x:c>
      <x:c r="AN712" s="22" t="n">
        <x:f>MAX(0,MIN('Activities'!L712,216)-MAX('Activities'!K712,210))</x:f>
        <x:v>0</x:v>
      </x:c>
      <x:c r="AO712" s="22" t="n">
        <x:f>MAX(0,MIN('Activities'!L712,222)-MAX('Activities'!K712,216))</x:f>
        <x:v>0</x:v>
      </x:c>
      <x:c r="AP712" s="22" t="n">
        <x:f>MAX(0,MIN('Activities'!L712,228)-MAX('Activities'!K712,222))</x:f>
        <x:v>0</x:v>
      </x:c>
      <x:c r="AQ712" s="22" t="n">
        <x:f>MAX(0,MIN('Activities'!L712,234)-MAX('Activities'!K712,228))</x:f>
        <x:v>0</x:v>
      </x:c>
      <x:c r="AR712" s="22" t="n">
        <x:f>MAX(0,MIN('Activities'!L712,240)-MAX('Activities'!K712,234))</x:f>
        <x:v>0</x:v>
      </x:c>
      <x:c r="AS712" s="22" t="n">
        <x:f>MAX(0,MIN('Activities'!L712,246)-MAX('Activities'!K712,240))</x:f>
        <x:v>0</x:v>
      </x:c>
      <x:c r="AT712" s="22" t="n">
        <x:f>MAX(0,MIN('Activities'!L712,252)-MAX('Activities'!K712,246))</x:f>
        <x:v>0</x:v>
      </x:c>
      <x:c r="AU712" s="22" t="n">
        <x:f>MAX(0,MIN('Activities'!L712,258)-MAX('Activities'!K712,252))</x:f>
        <x:v>0</x:v>
      </x:c>
      <x:c r="AV712" s="22" t="n">
        <x:f>MAX(0,MIN('Activities'!L712,264)-MAX('Activities'!K712,258))</x:f>
        <x:v>0</x:v>
      </x:c>
      <x:c r="AW712" s="22" t="n">
        <x:f>MAX(0,MIN('Activities'!L712,270)-MAX('Activities'!K712,264))</x:f>
        <x:v>0</x:v>
      </x:c>
      <x:c r="AX712" s="22" t="n">
        <x:f>MAX(0,MIN('Activities'!L712,276)-MAX('Activities'!K712,270))</x:f>
        <x:v>0</x:v>
      </x:c>
      <x:c r="AY712" s="22" t="n">
        <x:f>MAX(0,MIN('Activities'!L712,282)-MAX('Activities'!K712,276))</x:f>
        <x:v>0</x:v>
      </x:c>
      <x:c r="AZ712" s="22" t="n">
        <x:f>MAX(0,MIN('Activities'!L712,288)-MAX('Activities'!K712,282))</x:f>
        <x:v>0</x:v>
      </x:c>
      <x:c r="BA712" s="22" t="n">
        <x:f>MAX(0,MIN('Activities'!L712,294)-MAX('Activities'!K712,288))</x:f>
        <x:v>0</x:v>
      </x:c>
      <x:c r="BB712" s="22" t="n">
        <x:f>MAX(0,MIN('Activities'!L712,300)-MAX('Activities'!K712,294))</x:f>
        <x:v>0</x:v>
      </x:c>
      <x:c r="BC712" s="22" t="n">
        <x:f>MAX(0,MIN('Activities'!L712,306)-MAX('Activities'!K712,300))</x:f>
        <x:v>0</x:v>
      </x:c>
      <x:c r="BD712" s="22" t="n">
        <x:f>MAX(0,MIN('Activities'!L712,312)-MAX('Activities'!K712,306))</x:f>
        <x:v>0</x:v>
      </x:c>
      <x:c r="BE712" s="22" t="n">
        <x:f>MAX(0,MIN('Activities'!L712,318)-MAX('Activities'!K712,312))</x:f>
        <x:v>0</x:v>
      </x:c>
      <x:c r="BF712" s="22" t="n">
        <x:f>MAX(0,MIN('Activities'!L712,324)-MAX('Activities'!K712,318))</x:f>
        <x:v>0</x:v>
      </x:c>
      <x:c r="BG712" s="22" t="n">
        <x:f>MAX(0,MIN('Activities'!L712,330)-MAX('Activities'!K712,324))</x:f>
        <x:v>0</x:v>
      </x:c>
      <x:c r="BH712" s="22" t="n">
        <x:f>MAX(0,MIN('Activities'!L712,336)-MAX('Activities'!K712,330))</x:f>
        <x:v>3</x:v>
      </x:c>
      <x:c r="BI712" s="22" t="n">
        <x:f>MAX(0,MIN('Activities'!L712,342)-MAX('Activities'!K712,336))</x:f>
        <x:v>2</x:v>
      </x:c>
      <x:c r="BJ712" s="22" t="n">
        <x:f>MAX(0,MIN('Activities'!L712,348)-MAX('Activities'!K712,342))</x:f>
        <x:v>0</x:v>
      </x:c>
      <x:c r="BK712" s="22" t="n">
        <x:f>MAX(0,MIN('Activities'!L712,354)-MAX('Activities'!K712,348))</x:f>
        <x:v>0</x:v>
      </x:c>
      <x:c r="BL712" s="22" t="n">
        <x:f>MAX(0,MIN('Activities'!L712,360)-MAX('Activities'!K712,354))</x:f>
        <x:v>0</x:v>
      </x:c>
      <x:c r="BM712" s="22" t="n">
        <x:f>MAX(0,MIN('Activities'!L712,366)-MAX('Activities'!K712,360))</x:f>
        <x:v>0</x:v>
      </x:c>
      <x:c r="BN712" s="22" t="n">
        <x:f>MAX(0,MIN('Activities'!L712,372)-MAX('Activities'!K712,366))</x:f>
        <x:v>0</x:v>
      </x:c>
      <x:c r="BO712" s="22" t="n">
        <x:f>MAX(0,MIN('Activities'!L712,378)-MAX('Activities'!K712,372))</x:f>
        <x:v>0</x:v>
      </x:c>
      <x:c r="BP712" s="22" t="n">
        <x:f>MAX(0,MIN('Activities'!L712,384)-MAX('Activities'!K712,378))</x:f>
        <x:v>0</x:v>
      </x:c>
      <x:c r="BQ712" s="22" t="n">
        <x:f>MAX(0,MIN('Activities'!L712,390)-MAX('Activities'!K712,384))</x:f>
        <x:v>0</x:v>
      </x:c>
      <x:c r="BR712" s="22" t="n">
        <x:f>MAX(0,MIN('Activities'!L712,396)-MAX('Activities'!K712,390))</x:f>
        <x:v>0</x:v>
      </x:c>
      <x:c r="BS712" s="22" t="n">
        <x:f>MAX(0,MIN('Activities'!L712,402)-MAX('Activities'!K712,396))</x:f>
        <x:v>0</x:v>
      </x:c>
      <x:c r="BT712" s="22" t="n">
        <x:f>MAX(0,MIN('Activities'!L712,408)-MAX('Activities'!K712,402))</x:f>
        <x:v>0</x:v>
      </x:c>
      <x:c r="BU712" s="22" t="n">
        <x:f>MAX(0,MIN('Activities'!L712,414)-MAX('Activities'!K712,408))</x:f>
        <x:v>0</x:v>
      </x:c>
      <x:c r="BV712" s="22" t="n">
        <x:f>MAX(0,MIN('Activities'!L712,420)-MAX('Activities'!K712,414))</x:f>
        <x:v>0</x:v>
      </x:c>
      <x:c r="BW712" s="22" t="n">
        <x:f>MAX(0,MIN('Activities'!L712,426)-MAX('Activities'!K712,420))</x:f>
        <x:v>0</x:v>
      </x:c>
      <x:c r="BX712" s="22" t="n">
        <x:f>MAX(0,MIN('Activities'!L712,432)-MAX('Activities'!K712,426))</x:f>
        <x:v>0</x:v>
      </x:c>
      <x:c r="BY712" s="22" t="n">
        <x:f>MAX(0,MIN('Activities'!L712,438)-MAX('Activities'!K712,432))</x:f>
        <x:v>0</x:v>
      </x:c>
      <x:c r="BZ712" s="22" t="n">
        <x:f>MAX(0,MIN('Activities'!L712,444)-MAX('Activities'!K712,438))</x:f>
        <x:v>0</x:v>
      </x:c>
      <x:c r="CA712" s="22" t="n">
        <x:f>MAX(0,MIN('Activities'!L712,450)-MAX('Activities'!K712,444))</x:f>
        <x:v>0</x:v>
      </x:c>
      <x:c r="CB712" s="22" t="n">
        <x:f>MAX(0,MIN('Activities'!L712,456)-MAX('Activities'!K712,450))</x:f>
        <x:v>0</x:v>
      </x:c>
      <x:c r="CC712" s="22" t="n">
        <x:f>MAX(0,MIN('Activities'!L712,462)-MAX('Activities'!K712,456))</x:f>
        <x:v>0</x:v>
      </x:c>
      <x:c r="CD712" s="22" t="n">
        <x:f>MAX(0,MIN('Activities'!L712,468)-MAX('Activities'!K712,462))</x:f>
        <x:v>0</x:v>
      </x:c>
      <x:c r="CE712" s="22" t="n">
        <x:f>MAX(0,MIN('Activities'!L712,474)-MAX('Activities'!K712,468))</x:f>
        <x:v>0</x:v>
      </x:c>
      <x:c r="CF712" s="22" t="n">
        <x:f>MAX(0,MIN('Activities'!L712,480)-MAX('Activities'!K712,474))</x:f>
        <x:v>0</x:v>
      </x:c>
      <x:c r="CG712" s="22" t="n">
        <x:f>MAX(0,MIN('Activities'!L712,486)-MAX('Activities'!K712,480))</x:f>
        <x:v>0</x:v>
      </x:c>
      <x:c r="CH712" s="22" t="n">
        <x:f>MAX(0,MIN('Activities'!L712,492)-MAX('Activities'!K712,486))</x:f>
        <x:v>0</x:v>
      </x:c>
      <x:c r="CI712" s="22" t="n">
        <x:f>MAX(0,MIN('Activities'!L712,498)-MAX('Activities'!K712,492))</x:f>
        <x:v>0</x:v>
      </x:c>
      <x:c r="CJ712" s="22" t="n">
        <x:f>MAX(0,MIN('Activities'!L712,504)-MAX('Activities'!K712,498))</x:f>
        <x:v>0</x:v>
      </x:c>
      <x:c r="CK712" s="22" t="n">
        <x:f>MAX(0,MIN('Activities'!L712,510)-MAX('Activities'!K712,504))</x:f>
        <x:v>0</x:v>
      </x:c>
      <x:c r="CL712" s="22" t="n">
        <x:f>MAX(0,MIN('Activities'!L712,516)-MAX('Activities'!K712,510))</x:f>
        <x:v>0</x:v>
      </x:c>
      <x:c r="CM712" s="22" t="n">
        <x:f>MAX(0,MIN('Activities'!L712,522)-MAX('Activities'!K712,516))</x:f>
        <x:v>0</x:v>
      </x:c>
      <x:c r="CN712" s="22" t="n">
        <x:f>MAX(0,MIN('Activities'!L712,528)-MAX('Activities'!K712,522))</x:f>
        <x:v>0</x:v>
      </x:c>
      <x:c r="CO712" s="22" t="n">
        <x:f>MAX(0,MIN('Activities'!L712,534)-MAX('Activities'!K712,528))</x:f>
        <x:v>0</x:v>
      </x:c>
      <x:c r="CP712" s="22" t="n">
        <x:f>MAX(0,MIN('Activities'!L712,540)-MAX('Activities'!K712,534))</x:f>
        <x:v>0</x:v>
      </x:c>
      <x:c r="CQ712" s="22" t="n">
        <x:f>MAX(0,MIN('Activities'!L712,546)-MAX('Activities'!K712,540))</x:f>
        <x:v>0</x:v>
      </x:c>
      <x:c r="CR712" s="22" t="n">
        <x:f>MAX(0,MIN('Activities'!L712,552)-MAX('Activities'!K712,546))</x:f>
        <x:v>0</x:v>
      </x:c>
      <x:c r="CS712" s="22" t="n">
        <x:f>MAX(0,MIN('Activities'!L712,558)-MAX('Activities'!K712,552))</x:f>
        <x:v>0</x:v>
      </x:c>
      <x:c r="CT712" s="22" t="n">
        <x:f>MAX(0,MIN('Activities'!L712,564)-MAX('Activities'!K712,558))</x:f>
        <x:v>0</x:v>
      </x:c>
      <x:c r="CU712" s="22" t="n">
        <x:f>MAX(0,MIN('Activities'!L712,570)-MAX('Activities'!K712,564))</x:f>
        <x:v>0</x:v>
      </x:c>
      <x:c r="CV712" s="22" t="n">
        <x:f>MAX(0,MIN('Activities'!L712,576)-MAX('Activities'!K712,570))</x:f>
        <x:v>0</x:v>
      </x:c>
      <x:c r="CW712" s="22" t="n">
        <x:f>MAX(0,MIN('Activities'!L712,582)-MAX('Activities'!K712,576))</x:f>
        <x:v>0</x:v>
      </x:c>
      <x:c r="CX712" s="22" t="n">
        <x:f>MAX(0,MIN('Activities'!L712,588)-MAX('Activities'!K712,582))</x:f>
        <x:v>0</x:v>
      </x:c>
      <x:c r="CY712" s="22" t="n">
        <x:f>MAX(0,MIN('Activities'!L712,594)-MAX('Activities'!K712,588))</x:f>
        <x:v>0</x:v>
      </x:c>
      <x:c r="CZ712" s="22" t="n">
        <x:f>MAX(0,MIN('Activities'!L712,600)-MAX('Activities'!K712,594))</x:f>
        <x:v>0</x:v>
      </x:c>
      <x:c r="DA712" s="22" t="n">
        <x:f>MAX(0,MIN('Activities'!L712,606)-MAX('Activities'!K712,600))</x:f>
        <x:v>0</x:v>
      </x:c>
      <x:c r="DB712" s="22" t="n">
        <x:f>MAX(0,MIN('Activities'!L712,612)-MAX('Activities'!K712,606))</x:f>
        <x:v>0</x:v>
      </x:c>
      <x:c r="DC712" s="22" t="n">
        <x:f>MAX(0,MIN('Activities'!L712,618)-MAX('Activities'!K712,612))</x:f>
        <x:v>0</x:v>
      </x:c>
      <x:c r="DD712" s="22" t="n">
        <x:f>MAX(0,MIN('Activities'!L712,624)-MAX('Activities'!K712,618))</x:f>
        <x:v>0</x:v>
      </x:c>
      <x:c r="DE712" s="22" t="n">
        <x:f>MAX(0,MIN('Activities'!L712,630)-MAX('Activities'!K712,624))</x:f>
        <x:v>0</x:v>
      </x:c>
      <x:c r="DF712" s="22" t="n">
        <x:f>MAX(0,MIN('Activities'!L712,636)-MAX('Activities'!K712,630))</x:f>
        <x:v>0</x:v>
      </x:c>
    </x:row>
    <x:row r="713" ht="23" customHeight="1">
      <x:c r="A713" s="1" t="str">
        <x:v>T6-L08-F</x:v>
      </x:c>
      <x:c r="B713" s="1" t="str">
        <x:v>T6</x:v>
      </x:c>
      <x:c r="C713" s="1" t="str">
        <x:v>Columns, core and deck formwork</x:v>
      </x:c>
      <x:c r="D713" s="1" t="str">
        <x:v>Formwork</x:v>
      </x:c>
      <x:c r="E713" s="23" t="n">
        <x:f>MAX(0,MIN('Activities'!L713,6)-MAX('Activities'!K713,0))</x:f>
        <x:v>0</x:v>
      </x:c>
      <x:c r="F713" s="23" t="n">
        <x:f>MAX(0,MIN('Activities'!L713,12)-MAX('Activities'!K713,6))</x:f>
        <x:v>0</x:v>
      </x:c>
      <x:c r="G713" s="23" t="n">
        <x:f>MAX(0,MIN('Activities'!L713,18)-MAX('Activities'!K713,12))</x:f>
        <x:v>0</x:v>
      </x:c>
      <x:c r="H713" s="23" t="n">
        <x:f>MAX(0,MIN('Activities'!L713,24)-MAX('Activities'!K713,18))</x:f>
        <x:v>0</x:v>
      </x:c>
      <x:c r="I713" s="23" t="n">
        <x:f>MAX(0,MIN('Activities'!L713,30)-MAX('Activities'!K713,24))</x:f>
        <x:v>0</x:v>
      </x:c>
      <x:c r="J713" s="23" t="n">
        <x:f>MAX(0,MIN('Activities'!L713,36)-MAX('Activities'!K713,30))</x:f>
        <x:v>0</x:v>
      </x:c>
      <x:c r="K713" s="23" t="n">
        <x:f>MAX(0,MIN('Activities'!L713,42)-MAX('Activities'!K713,36))</x:f>
        <x:v>0</x:v>
      </x:c>
      <x:c r="L713" s="23" t="n">
        <x:f>MAX(0,MIN('Activities'!L713,48)-MAX('Activities'!K713,42))</x:f>
        <x:v>0</x:v>
      </x:c>
      <x:c r="M713" s="23" t="n">
        <x:f>MAX(0,MIN('Activities'!L713,54)-MAX('Activities'!K713,48))</x:f>
        <x:v>0</x:v>
      </x:c>
      <x:c r="N713" s="23" t="n">
        <x:f>MAX(0,MIN('Activities'!L713,60)-MAX('Activities'!K713,54))</x:f>
        <x:v>0</x:v>
      </x:c>
      <x:c r="O713" s="23" t="n">
        <x:f>MAX(0,MIN('Activities'!L713,66)-MAX('Activities'!K713,60))</x:f>
        <x:v>0</x:v>
      </x:c>
      <x:c r="P713" s="23" t="n">
        <x:f>MAX(0,MIN('Activities'!L713,72)-MAX('Activities'!K713,66))</x:f>
        <x:v>0</x:v>
      </x:c>
      <x:c r="Q713" s="23" t="n">
        <x:f>MAX(0,MIN('Activities'!L713,78)-MAX('Activities'!K713,72))</x:f>
        <x:v>0</x:v>
      </x:c>
      <x:c r="R713" s="23" t="n">
        <x:f>MAX(0,MIN('Activities'!L713,84)-MAX('Activities'!K713,78))</x:f>
        <x:v>0</x:v>
      </x:c>
      <x:c r="S713" s="23" t="n">
        <x:f>MAX(0,MIN('Activities'!L713,90)-MAX('Activities'!K713,84))</x:f>
        <x:v>0</x:v>
      </x:c>
      <x:c r="T713" s="23" t="n">
        <x:f>MAX(0,MIN('Activities'!L713,96)-MAX('Activities'!K713,90))</x:f>
        <x:v>0</x:v>
      </x:c>
      <x:c r="U713" s="23" t="n">
        <x:f>MAX(0,MIN('Activities'!L713,102)-MAX('Activities'!K713,96))</x:f>
        <x:v>0</x:v>
      </x:c>
      <x:c r="V713" s="23" t="n">
        <x:f>MAX(0,MIN('Activities'!L713,108)-MAX('Activities'!K713,102))</x:f>
        <x:v>0</x:v>
      </x:c>
      <x:c r="W713" s="23" t="n">
        <x:f>MAX(0,MIN('Activities'!L713,114)-MAX('Activities'!K713,108))</x:f>
        <x:v>0</x:v>
      </x:c>
      <x:c r="X713" s="23" t="n">
        <x:f>MAX(0,MIN('Activities'!L713,120)-MAX('Activities'!K713,114))</x:f>
        <x:v>0</x:v>
      </x:c>
      <x:c r="Y713" s="23" t="n">
        <x:f>MAX(0,MIN('Activities'!L713,126)-MAX('Activities'!K713,120))</x:f>
        <x:v>0</x:v>
      </x:c>
      <x:c r="Z713" s="23" t="n">
        <x:f>MAX(0,MIN('Activities'!L713,132)-MAX('Activities'!K713,126))</x:f>
        <x:v>0</x:v>
      </x:c>
      <x:c r="AA713" s="23" t="n">
        <x:f>MAX(0,MIN('Activities'!L713,138)-MAX('Activities'!K713,132))</x:f>
        <x:v>0</x:v>
      </x:c>
      <x:c r="AB713" s="23" t="n">
        <x:f>MAX(0,MIN('Activities'!L713,144)-MAX('Activities'!K713,138))</x:f>
        <x:v>0</x:v>
      </x:c>
      <x:c r="AC713" s="23" t="n">
        <x:f>MAX(0,MIN('Activities'!L713,150)-MAX('Activities'!K713,144))</x:f>
        <x:v>0</x:v>
      </x:c>
      <x:c r="AD713" s="23" t="n">
        <x:f>MAX(0,MIN('Activities'!L713,156)-MAX('Activities'!K713,150))</x:f>
        <x:v>0</x:v>
      </x:c>
      <x:c r="AE713" s="23" t="n">
        <x:f>MAX(0,MIN('Activities'!L713,162)-MAX('Activities'!K713,156))</x:f>
        <x:v>0</x:v>
      </x:c>
      <x:c r="AF713" s="23" t="n">
        <x:f>MAX(0,MIN('Activities'!L713,168)-MAX('Activities'!K713,162))</x:f>
        <x:v>0</x:v>
      </x:c>
      <x:c r="AG713" s="23" t="n">
        <x:f>MAX(0,MIN('Activities'!L713,174)-MAX('Activities'!K713,168))</x:f>
        <x:v>0</x:v>
      </x:c>
      <x:c r="AH713" s="23" t="n">
        <x:f>MAX(0,MIN('Activities'!L713,180)-MAX('Activities'!K713,174))</x:f>
        <x:v>0</x:v>
      </x:c>
      <x:c r="AI713" s="23" t="n">
        <x:f>MAX(0,MIN('Activities'!L713,186)-MAX('Activities'!K713,180))</x:f>
        <x:v>0</x:v>
      </x:c>
      <x:c r="AJ713" s="23" t="n">
        <x:f>MAX(0,MIN('Activities'!L713,192)-MAX('Activities'!K713,186))</x:f>
        <x:v>0</x:v>
      </x:c>
      <x:c r="AK713" s="23" t="n">
        <x:f>MAX(0,MIN('Activities'!L713,198)-MAX('Activities'!K713,192))</x:f>
        <x:v>0</x:v>
      </x:c>
      <x:c r="AL713" s="23" t="n">
        <x:f>MAX(0,MIN('Activities'!L713,204)-MAX('Activities'!K713,198))</x:f>
        <x:v>0</x:v>
      </x:c>
      <x:c r="AM713" s="23" t="n">
        <x:f>MAX(0,MIN('Activities'!L713,210)-MAX('Activities'!K713,204))</x:f>
        <x:v>0</x:v>
      </x:c>
      <x:c r="AN713" s="23" t="n">
        <x:f>MAX(0,MIN('Activities'!L713,216)-MAX('Activities'!K713,210))</x:f>
        <x:v>0</x:v>
      </x:c>
      <x:c r="AO713" s="23" t="n">
        <x:f>MAX(0,MIN('Activities'!L713,222)-MAX('Activities'!K713,216))</x:f>
        <x:v>0</x:v>
      </x:c>
      <x:c r="AP713" s="23" t="n">
        <x:f>MAX(0,MIN('Activities'!L713,228)-MAX('Activities'!K713,222))</x:f>
        <x:v>0</x:v>
      </x:c>
      <x:c r="AQ713" s="23" t="n">
        <x:f>MAX(0,MIN('Activities'!L713,234)-MAX('Activities'!K713,228))</x:f>
        <x:v>0</x:v>
      </x:c>
      <x:c r="AR713" s="23" t="n">
        <x:f>MAX(0,MIN('Activities'!L713,240)-MAX('Activities'!K713,234))</x:f>
        <x:v>0</x:v>
      </x:c>
      <x:c r="AS713" s="23" t="n">
        <x:f>MAX(0,MIN('Activities'!L713,246)-MAX('Activities'!K713,240))</x:f>
        <x:v>0</x:v>
      </x:c>
      <x:c r="AT713" s="23" t="n">
        <x:f>MAX(0,MIN('Activities'!L713,252)-MAX('Activities'!K713,246))</x:f>
        <x:v>0</x:v>
      </x:c>
      <x:c r="AU713" s="23" t="n">
        <x:f>MAX(0,MIN('Activities'!L713,258)-MAX('Activities'!K713,252))</x:f>
        <x:v>0</x:v>
      </x:c>
      <x:c r="AV713" s="23" t="n">
        <x:f>MAX(0,MIN('Activities'!L713,264)-MAX('Activities'!K713,258))</x:f>
        <x:v>0</x:v>
      </x:c>
      <x:c r="AW713" s="23" t="n">
        <x:f>MAX(0,MIN('Activities'!L713,270)-MAX('Activities'!K713,264))</x:f>
        <x:v>0</x:v>
      </x:c>
      <x:c r="AX713" s="23" t="n">
        <x:f>MAX(0,MIN('Activities'!L713,276)-MAX('Activities'!K713,270))</x:f>
        <x:v>0</x:v>
      </x:c>
      <x:c r="AY713" s="23" t="n">
        <x:f>MAX(0,MIN('Activities'!L713,282)-MAX('Activities'!K713,276))</x:f>
        <x:v>0</x:v>
      </x:c>
      <x:c r="AZ713" s="23" t="n">
        <x:f>MAX(0,MIN('Activities'!L713,288)-MAX('Activities'!K713,282))</x:f>
        <x:v>0</x:v>
      </x:c>
      <x:c r="BA713" s="23" t="n">
        <x:f>MAX(0,MIN('Activities'!L713,294)-MAX('Activities'!K713,288))</x:f>
        <x:v>0</x:v>
      </x:c>
      <x:c r="BB713" s="23" t="n">
        <x:f>MAX(0,MIN('Activities'!L713,300)-MAX('Activities'!K713,294))</x:f>
        <x:v>0</x:v>
      </x:c>
      <x:c r="BC713" s="23" t="n">
        <x:f>MAX(0,MIN('Activities'!L713,306)-MAX('Activities'!K713,300))</x:f>
        <x:v>0</x:v>
      </x:c>
      <x:c r="BD713" s="23" t="n">
        <x:f>MAX(0,MIN('Activities'!L713,312)-MAX('Activities'!K713,306))</x:f>
        <x:v>0</x:v>
      </x:c>
      <x:c r="BE713" s="23" t="n">
        <x:f>MAX(0,MIN('Activities'!L713,318)-MAX('Activities'!K713,312))</x:f>
        <x:v>0</x:v>
      </x:c>
      <x:c r="BF713" s="23" t="n">
        <x:f>MAX(0,MIN('Activities'!L713,324)-MAX('Activities'!K713,318))</x:f>
        <x:v>0</x:v>
      </x:c>
      <x:c r="BG713" s="23" t="n">
        <x:f>MAX(0,MIN('Activities'!L713,330)-MAX('Activities'!K713,324))</x:f>
        <x:v>0</x:v>
      </x:c>
      <x:c r="BH713" s="23" t="n">
        <x:f>MAX(0,MIN('Activities'!L713,336)-MAX('Activities'!K713,330))</x:f>
        <x:v>0</x:v>
      </x:c>
      <x:c r="BI713" s="23" t="n">
        <x:f>MAX(0,MIN('Activities'!L713,342)-MAX('Activities'!K713,336))</x:f>
        <x:v>4</x:v>
      </x:c>
      <x:c r="BJ713" s="23" t="n">
        <x:f>MAX(0,MIN('Activities'!L713,348)-MAX('Activities'!K713,342))</x:f>
        <x:v>2</x:v>
      </x:c>
      <x:c r="BK713" s="23" t="n">
        <x:f>MAX(0,MIN('Activities'!L713,354)-MAX('Activities'!K713,348))</x:f>
        <x:v>0</x:v>
      </x:c>
      <x:c r="BL713" s="23" t="n">
        <x:f>MAX(0,MIN('Activities'!L713,360)-MAX('Activities'!K713,354))</x:f>
        <x:v>0</x:v>
      </x:c>
      <x:c r="BM713" s="23" t="n">
        <x:f>MAX(0,MIN('Activities'!L713,366)-MAX('Activities'!K713,360))</x:f>
        <x:v>0</x:v>
      </x:c>
      <x:c r="BN713" s="23" t="n">
        <x:f>MAX(0,MIN('Activities'!L713,372)-MAX('Activities'!K713,366))</x:f>
        <x:v>0</x:v>
      </x:c>
      <x:c r="BO713" s="23" t="n">
        <x:f>MAX(0,MIN('Activities'!L713,378)-MAX('Activities'!K713,372))</x:f>
        <x:v>0</x:v>
      </x:c>
      <x:c r="BP713" s="23" t="n">
        <x:f>MAX(0,MIN('Activities'!L713,384)-MAX('Activities'!K713,378))</x:f>
        <x:v>0</x:v>
      </x:c>
      <x:c r="BQ713" s="23" t="n">
        <x:f>MAX(0,MIN('Activities'!L713,390)-MAX('Activities'!K713,384))</x:f>
        <x:v>0</x:v>
      </x:c>
      <x:c r="BR713" s="23" t="n">
        <x:f>MAX(0,MIN('Activities'!L713,396)-MAX('Activities'!K713,390))</x:f>
        <x:v>0</x:v>
      </x:c>
      <x:c r="BS713" s="23" t="n">
        <x:f>MAX(0,MIN('Activities'!L713,402)-MAX('Activities'!K713,396))</x:f>
        <x:v>0</x:v>
      </x:c>
      <x:c r="BT713" s="23" t="n">
        <x:f>MAX(0,MIN('Activities'!L713,408)-MAX('Activities'!K713,402))</x:f>
        <x:v>0</x:v>
      </x:c>
      <x:c r="BU713" s="23" t="n">
        <x:f>MAX(0,MIN('Activities'!L713,414)-MAX('Activities'!K713,408))</x:f>
        <x:v>0</x:v>
      </x:c>
      <x:c r="BV713" s="23" t="n">
        <x:f>MAX(0,MIN('Activities'!L713,420)-MAX('Activities'!K713,414))</x:f>
        <x:v>0</x:v>
      </x:c>
      <x:c r="BW713" s="23" t="n">
        <x:f>MAX(0,MIN('Activities'!L713,426)-MAX('Activities'!K713,420))</x:f>
        <x:v>0</x:v>
      </x:c>
      <x:c r="BX713" s="23" t="n">
        <x:f>MAX(0,MIN('Activities'!L713,432)-MAX('Activities'!K713,426))</x:f>
        <x:v>0</x:v>
      </x:c>
      <x:c r="BY713" s="23" t="n">
        <x:f>MAX(0,MIN('Activities'!L713,438)-MAX('Activities'!K713,432))</x:f>
        <x:v>0</x:v>
      </x:c>
      <x:c r="BZ713" s="23" t="n">
        <x:f>MAX(0,MIN('Activities'!L713,444)-MAX('Activities'!K713,438))</x:f>
        <x:v>0</x:v>
      </x:c>
      <x:c r="CA713" s="23" t="n">
        <x:f>MAX(0,MIN('Activities'!L713,450)-MAX('Activities'!K713,444))</x:f>
        <x:v>0</x:v>
      </x:c>
      <x:c r="CB713" s="23" t="n">
        <x:f>MAX(0,MIN('Activities'!L713,456)-MAX('Activities'!K713,450))</x:f>
        <x:v>0</x:v>
      </x:c>
      <x:c r="CC713" s="23" t="n">
        <x:f>MAX(0,MIN('Activities'!L713,462)-MAX('Activities'!K713,456))</x:f>
        <x:v>0</x:v>
      </x:c>
      <x:c r="CD713" s="23" t="n">
        <x:f>MAX(0,MIN('Activities'!L713,468)-MAX('Activities'!K713,462))</x:f>
        <x:v>0</x:v>
      </x:c>
      <x:c r="CE713" s="23" t="n">
        <x:f>MAX(0,MIN('Activities'!L713,474)-MAX('Activities'!K713,468))</x:f>
        <x:v>0</x:v>
      </x:c>
      <x:c r="CF713" s="23" t="n">
        <x:f>MAX(0,MIN('Activities'!L713,480)-MAX('Activities'!K713,474))</x:f>
        <x:v>0</x:v>
      </x:c>
      <x:c r="CG713" s="23" t="n">
        <x:f>MAX(0,MIN('Activities'!L713,486)-MAX('Activities'!K713,480))</x:f>
        <x:v>0</x:v>
      </x:c>
      <x:c r="CH713" s="23" t="n">
        <x:f>MAX(0,MIN('Activities'!L713,492)-MAX('Activities'!K713,486))</x:f>
        <x:v>0</x:v>
      </x:c>
      <x:c r="CI713" s="23" t="n">
        <x:f>MAX(0,MIN('Activities'!L713,498)-MAX('Activities'!K713,492))</x:f>
        <x:v>0</x:v>
      </x:c>
      <x:c r="CJ713" s="23" t="n">
        <x:f>MAX(0,MIN('Activities'!L713,504)-MAX('Activities'!K713,498))</x:f>
        <x:v>0</x:v>
      </x:c>
      <x:c r="CK713" s="23" t="n">
        <x:f>MAX(0,MIN('Activities'!L713,510)-MAX('Activities'!K713,504))</x:f>
        <x:v>0</x:v>
      </x:c>
      <x:c r="CL713" s="23" t="n">
        <x:f>MAX(0,MIN('Activities'!L713,516)-MAX('Activities'!K713,510))</x:f>
        <x:v>0</x:v>
      </x:c>
      <x:c r="CM713" s="23" t="n">
        <x:f>MAX(0,MIN('Activities'!L713,522)-MAX('Activities'!K713,516))</x:f>
        <x:v>0</x:v>
      </x:c>
      <x:c r="CN713" s="23" t="n">
        <x:f>MAX(0,MIN('Activities'!L713,528)-MAX('Activities'!K713,522))</x:f>
        <x:v>0</x:v>
      </x:c>
      <x:c r="CO713" s="23" t="n">
        <x:f>MAX(0,MIN('Activities'!L713,534)-MAX('Activities'!K713,528))</x:f>
        <x:v>0</x:v>
      </x:c>
      <x:c r="CP713" s="23" t="n">
        <x:f>MAX(0,MIN('Activities'!L713,540)-MAX('Activities'!K713,534))</x:f>
        <x:v>0</x:v>
      </x:c>
      <x:c r="CQ713" s="23" t="n">
        <x:f>MAX(0,MIN('Activities'!L713,546)-MAX('Activities'!K713,540))</x:f>
        <x:v>0</x:v>
      </x:c>
      <x:c r="CR713" s="23" t="n">
        <x:f>MAX(0,MIN('Activities'!L713,552)-MAX('Activities'!K713,546))</x:f>
        <x:v>0</x:v>
      </x:c>
      <x:c r="CS713" s="23" t="n">
        <x:f>MAX(0,MIN('Activities'!L713,558)-MAX('Activities'!K713,552))</x:f>
        <x:v>0</x:v>
      </x:c>
      <x:c r="CT713" s="23" t="n">
        <x:f>MAX(0,MIN('Activities'!L713,564)-MAX('Activities'!K713,558))</x:f>
        <x:v>0</x:v>
      </x:c>
      <x:c r="CU713" s="23" t="n">
        <x:f>MAX(0,MIN('Activities'!L713,570)-MAX('Activities'!K713,564))</x:f>
        <x:v>0</x:v>
      </x:c>
      <x:c r="CV713" s="23" t="n">
        <x:f>MAX(0,MIN('Activities'!L713,576)-MAX('Activities'!K713,570))</x:f>
        <x:v>0</x:v>
      </x:c>
      <x:c r="CW713" s="23" t="n">
        <x:f>MAX(0,MIN('Activities'!L713,582)-MAX('Activities'!K713,576))</x:f>
        <x:v>0</x:v>
      </x:c>
      <x:c r="CX713" s="23" t="n">
        <x:f>MAX(0,MIN('Activities'!L713,588)-MAX('Activities'!K713,582))</x:f>
        <x:v>0</x:v>
      </x:c>
      <x:c r="CY713" s="23" t="n">
        <x:f>MAX(0,MIN('Activities'!L713,594)-MAX('Activities'!K713,588))</x:f>
        <x:v>0</x:v>
      </x:c>
      <x:c r="CZ713" s="23" t="n">
        <x:f>MAX(0,MIN('Activities'!L713,600)-MAX('Activities'!K713,594))</x:f>
        <x:v>0</x:v>
      </x:c>
      <x:c r="DA713" s="23" t="n">
        <x:f>MAX(0,MIN('Activities'!L713,606)-MAX('Activities'!K713,600))</x:f>
        <x:v>0</x:v>
      </x:c>
      <x:c r="DB713" s="23" t="n">
        <x:f>MAX(0,MIN('Activities'!L713,612)-MAX('Activities'!K713,606))</x:f>
        <x:v>0</x:v>
      </x:c>
      <x:c r="DC713" s="23" t="n">
        <x:f>MAX(0,MIN('Activities'!L713,618)-MAX('Activities'!K713,612))</x:f>
        <x:v>0</x:v>
      </x:c>
      <x:c r="DD713" s="23" t="n">
        <x:f>MAX(0,MIN('Activities'!L713,624)-MAX('Activities'!K713,618))</x:f>
        <x:v>0</x:v>
      </x:c>
      <x:c r="DE713" s="23" t="n">
        <x:f>MAX(0,MIN('Activities'!L713,630)-MAX('Activities'!K713,624))</x:f>
        <x:v>0</x:v>
      </x:c>
      <x:c r="DF713" s="23" t="n">
        <x:f>MAX(0,MIN('Activities'!L713,636)-MAX('Activities'!K713,630))</x:f>
        <x:v>0</x:v>
      </x:c>
    </x:row>
    <x:row r="714" ht="23" customHeight="1">
      <x:c r="A714" s="6" t="str">
        <x:v>T6-L08-R</x:v>
      </x:c>
      <x:c r="B714" s="6" t="str">
        <x:v>T6</x:v>
      </x:c>
      <x:c r="C714" s="6" t="str">
        <x:v>Column, wall, beam and slab reinforcement</x:v>
      </x:c>
      <x:c r="D714" s="6" t="str">
        <x:v>Rebar</x:v>
      </x:c>
      <x:c r="E714" s="22" t="n">
        <x:f>MAX(0,MIN('Activities'!L714,6)-MAX('Activities'!K714,0))</x:f>
        <x:v>0</x:v>
      </x:c>
      <x:c r="F714" s="22" t="n">
        <x:f>MAX(0,MIN('Activities'!L714,12)-MAX('Activities'!K714,6))</x:f>
        <x:v>0</x:v>
      </x:c>
      <x:c r="G714" s="22" t="n">
        <x:f>MAX(0,MIN('Activities'!L714,18)-MAX('Activities'!K714,12))</x:f>
        <x:v>0</x:v>
      </x:c>
      <x:c r="H714" s="22" t="n">
        <x:f>MAX(0,MIN('Activities'!L714,24)-MAX('Activities'!K714,18))</x:f>
        <x:v>0</x:v>
      </x:c>
      <x:c r="I714" s="22" t="n">
        <x:f>MAX(0,MIN('Activities'!L714,30)-MAX('Activities'!K714,24))</x:f>
        <x:v>0</x:v>
      </x:c>
      <x:c r="J714" s="22" t="n">
        <x:f>MAX(0,MIN('Activities'!L714,36)-MAX('Activities'!K714,30))</x:f>
        <x:v>0</x:v>
      </x:c>
      <x:c r="K714" s="22" t="n">
        <x:f>MAX(0,MIN('Activities'!L714,42)-MAX('Activities'!K714,36))</x:f>
        <x:v>0</x:v>
      </x:c>
      <x:c r="L714" s="22" t="n">
        <x:f>MAX(0,MIN('Activities'!L714,48)-MAX('Activities'!K714,42))</x:f>
        <x:v>0</x:v>
      </x:c>
      <x:c r="M714" s="22" t="n">
        <x:f>MAX(0,MIN('Activities'!L714,54)-MAX('Activities'!K714,48))</x:f>
        <x:v>0</x:v>
      </x:c>
      <x:c r="N714" s="22" t="n">
        <x:f>MAX(0,MIN('Activities'!L714,60)-MAX('Activities'!K714,54))</x:f>
        <x:v>0</x:v>
      </x:c>
      <x:c r="O714" s="22" t="n">
        <x:f>MAX(0,MIN('Activities'!L714,66)-MAX('Activities'!K714,60))</x:f>
        <x:v>0</x:v>
      </x:c>
      <x:c r="P714" s="22" t="n">
        <x:f>MAX(0,MIN('Activities'!L714,72)-MAX('Activities'!K714,66))</x:f>
        <x:v>0</x:v>
      </x:c>
      <x:c r="Q714" s="22" t="n">
        <x:f>MAX(0,MIN('Activities'!L714,78)-MAX('Activities'!K714,72))</x:f>
        <x:v>0</x:v>
      </x:c>
      <x:c r="R714" s="22" t="n">
        <x:f>MAX(0,MIN('Activities'!L714,84)-MAX('Activities'!K714,78))</x:f>
        <x:v>0</x:v>
      </x:c>
      <x:c r="S714" s="22" t="n">
        <x:f>MAX(0,MIN('Activities'!L714,90)-MAX('Activities'!K714,84))</x:f>
        <x:v>0</x:v>
      </x:c>
      <x:c r="T714" s="22" t="n">
        <x:f>MAX(0,MIN('Activities'!L714,96)-MAX('Activities'!K714,90))</x:f>
        <x:v>0</x:v>
      </x:c>
      <x:c r="U714" s="22" t="n">
        <x:f>MAX(0,MIN('Activities'!L714,102)-MAX('Activities'!K714,96))</x:f>
        <x:v>0</x:v>
      </x:c>
      <x:c r="V714" s="22" t="n">
        <x:f>MAX(0,MIN('Activities'!L714,108)-MAX('Activities'!K714,102))</x:f>
        <x:v>0</x:v>
      </x:c>
      <x:c r="W714" s="22" t="n">
        <x:f>MAX(0,MIN('Activities'!L714,114)-MAX('Activities'!K714,108))</x:f>
        <x:v>0</x:v>
      </x:c>
      <x:c r="X714" s="22" t="n">
        <x:f>MAX(0,MIN('Activities'!L714,120)-MAX('Activities'!K714,114))</x:f>
        <x:v>0</x:v>
      </x:c>
      <x:c r="Y714" s="22" t="n">
        <x:f>MAX(0,MIN('Activities'!L714,126)-MAX('Activities'!K714,120))</x:f>
        <x:v>0</x:v>
      </x:c>
      <x:c r="Z714" s="22" t="n">
        <x:f>MAX(0,MIN('Activities'!L714,132)-MAX('Activities'!K714,126))</x:f>
        <x:v>0</x:v>
      </x:c>
      <x:c r="AA714" s="22" t="n">
        <x:f>MAX(0,MIN('Activities'!L714,138)-MAX('Activities'!K714,132))</x:f>
        <x:v>0</x:v>
      </x:c>
      <x:c r="AB714" s="22" t="n">
        <x:f>MAX(0,MIN('Activities'!L714,144)-MAX('Activities'!K714,138))</x:f>
        <x:v>0</x:v>
      </x:c>
      <x:c r="AC714" s="22" t="n">
        <x:f>MAX(0,MIN('Activities'!L714,150)-MAX('Activities'!K714,144))</x:f>
        <x:v>0</x:v>
      </x:c>
      <x:c r="AD714" s="22" t="n">
        <x:f>MAX(0,MIN('Activities'!L714,156)-MAX('Activities'!K714,150))</x:f>
        <x:v>0</x:v>
      </x:c>
      <x:c r="AE714" s="22" t="n">
        <x:f>MAX(0,MIN('Activities'!L714,162)-MAX('Activities'!K714,156))</x:f>
        <x:v>0</x:v>
      </x:c>
      <x:c r="AF714" s="22" t="n">
        <x:f>MAX(0,MIN('Activities'!L714,168)-MAX('Activities'!K714,162))</x:f>
        <x:v>0</x:v>
      </x:c>
      <x:c r="AG714" s="22" t="n">
        <x:f>MAX(0,MIN('Activities'!L714,174)-MAX('Activities'!K714,168))</x:f>
        <x:v>0</x:v>
      </x:c>
      <x:c r="AH714" s="22" t="n">
        <x:f>MAX(0,MIN('Activities'!L714,180)-MAX('Activities'!K714,174))</x:f>
        <x:v>0</x:v>
      </x:c>
      <x:c r="AI714" s="22" t="n">
        <x:f>MAX(0,MIN('Activities'!L714,186)-MAX('Activities'!K714,180))</x:f>
        <x:v>0</x:v>
      </x:c>
      <x:c r="AJ714" s="22" t="n">
        <x:f>MAX(0,MIN('Activities'!L714,192)-MAX('Activities'!K714,186))</x:f>
        <x:v>0</x:v>
      </x:c>
      <x:c r="AK714" s="22" t="n">
        <x:f>MAX(0,MIN('Activities'!L714,198)-MAX('Activities'!K714,192))</x:f>
        <x:v>0</x:v>
      </x:c>
      <x:c r="AL714" s="22" t="n">
        <x:f>MAX(0,MIN('Activities'!L714,204)-MAX('Activities'!K714,198))</x:f>
        <x:v>0</x:v>
      </x:c>
      <x:c r="AM714" s="22" t="n">
        <x:f>MAX(0,MIN('Activities'!L714,210)-MAX('Activities'!K714,204))</x:f>
        <x:v>0</x:v>
      </x:c>
      <x:c r="AN714" s="22" t="n">
        <x:f>MAX(0,MIN('Activities'!L714,216)-MAX('Activities'!K714,210))</x:f>
        <x:v>0</x:v>
      </x:c>
      <x:c r="AO714" s="22" t="n">
        <x:f>MAX(0,MIN('Activities'!L714,222)-MAX('Activities'!K714,216))</x:f>
        <x:v>0</x:v>
      </x:c>
      <x:c r="AP714" s="22" t="n">
        <x:f>MAX(0,MIN('Activities'!L714,228)-MAX('Activities'!K714,222))</x:f>
        <x:v>0</x:v>
      </x:c>
      <x:c r="AQ714" s="22" t="n">
        <x:f>MAX(0,MIN('Activities'!L714,234)-MAX('Activities'!K714,228))</x:f>
        <x:v>0</x:v>
      </x:c>
      <x:c r="AR714" s="22" t="n">
        <x:f>MAX(0,MIN('Activities'!L714,240)-MAX('Activities'!K714,234))</x:f>
        <x:v>0</x:v>
      </x:c>
      <x:c r="AS714" s="22" t="n">
        <x:f>MAX(0,MIN('Activities'!L714,246)-MAX('Activities'!K714,240))</x:f>
        <x:v>0</x:v>
      </x:c>
      <x:c r="AT714" s="22" t="n">
        <x:f>MAX(0,MIN('Activities'!L714,252)-MAX('Activities'!K714,246))</x:f>
        <x:v>0</x:v>
      </x:c>
      <x:c r="AU714" s="22" t="n">
        <x:f>MAX(0,MIN('Activities'!L714,258)-MAX('Activities'!K714,252))</x:f>
        <x:v>0</x:v>
      </x:c>
      <x:c r="AV714" s="22" t="n">
        <x:f>MAX(0,MIN('Activities'!L714,264)-MAX('Activities'!K714,258))</x:f>
        <x:v>0</x:v>
      </x:c>
      <x:c r="AW714" s="22" t="n">
        <x:f>MAX(0,MIN('Activities'!L714,270)-MAX('Activities'!K714,264))</x:f>
        <x:v>0</x:v>
      </x:c>
      <x:c r="AX714" s="22" t="n">
        <x:f>MAX(0,MIN('Activities'!L714,276)-MAX('Activities'!K714,270))</x:f>
        <x:v>0</x:v>
      </x:c>
      <x:c r="AY714" s="22" t="n">
        <x:f>MAX(0,MIN('Activities'!L714,282)-MAX('Activities'!K714,276))</x:f>
        <x:v>0</x:v>
      </x:c>
      <x:c r="AZ714" s="22" t="n">
        <x:f>MAX(0,MIN('Activities'!L714,288)-MAX('Activities'!K714,282))</x:f>
        <x:v>0</x:v>
      </x:c>
      <x:c r="BA714" s="22" t="n">
        <x:f>MAX(0,MIN('Activities'!L714,294)-MAX('Activities'!K714,288))</x:f>
        <x:v>0</x:v>
      </x:c>
      <x:c r="BB714" s="22" t="n">
        <x:f>MAX(0,MIN('Activities'!L714,300)-MAX('Activities'!K714,294))</x:f>
        <x:v>0</x:v>
      </x:c>
      <x:c r="BC714" s="22" t="n">
        <x:f>MAX(0,MIN('Activities'!L714,306)-MAX('Activities'!K714,300))</x:f>
        <x:v>0</x:v>
      </x:c>
      <x:c r="BD714" s="22" t="n">
        <x:f>MAX(0,MIN('Activities'!L714,312)-MAX('Activities'!K714,306))</x:f>
        <x:v>0</x:v>
      </x:c>
      <x:c r="BE714" s="22" t="n">
        <x:f>MAX(0,MIN('Activities'!L714,318)-MAX('Activities'!K714,312))</x:f>
        <x:v>0</x:v>
      </x:c>
      <x:c r="BF714" s="22" t="n">
        <x:f>MAX(0,MIN('Activities'!L714,324)-MAX('Activities'!K714,318))</x:f>
        <x:v>0</x:v>
      </x:c>
      <x:c r="BG714" s="22" t="n">
        <x:f>MAX(0,MIN('Activities'!L714,330)-MAX('Activities'!K714,324))</x:f>
        <x:v>0</x:v>
      </x:c>
      <x:c r="BH714" s="22" t="n">
        <x:f>MAX(0,MIN('Activities'!L714,336)-MAX('Activities'!K714,330))</x:f>
        <x:v>0</x:v>
      </x:c>
      <x:c r="BI714" s="22" t="n">
        <x:f>MAX(0,MIN('Activities'!L714,342)-MAX('Activities'!K714,336))</x:f>
        <x:v>0</x:v>
      </x:c>
      <x:c r="BJ714" s="22" t="n">
        <x:f>MAX(0,MIN('Activities'!L714,348)-MAX('Activities'!K714,342))</x:f>
        <x:v>4</x:v>
      </x:c>
      <x:c r="BK714" s="22" t="n">
        <x:f>MAX(0,MIN('Activities'!L714,354)-MAX('Activities'!K714,348))</x:f>
        <x:v>1</x:v>
      </x:c>
      <x:c r="BL714" s="22" t="n">
        <x:f>MAX(0,MIN('Activities'!L714,360)-MAX('Activities'!K714,354))</x:f>
        <x:v>0</x:v>
      </x:c>
      <x:c r="BM714" s="22" t="n">
        <x:f>MAX(0,MIN('Activities'!L714,366)-MAX('Activities'!K714,360))</x:f>
        <x:v>0</x:v>
      </x:c>
      <x:c r="BN714" s="22" t="n">
        <x:f>MAX(0,MIN('Activities'!L714,372)-MAX('Activities'!K714,366))</x:f>
        <x:v>0</x:v>
      </x:c>
      <x:c r="BO714" s="22" t="n">
        <x:f>MAX(0,MIN('Activities'!L714,378)-MAX('Activities'!K714,372))</x:f>
        <x:v>0</x:v>
      </x:c>
      <x:c r="BP714" s="22" t="n">
        <x:f>MAX(0,MIN('Activities'!L714,384)-MAX('Activities'!K714,378))</x:f>
        <x:v>0</x:v>
      </x:c>
      <x:c r="BQ714" s="22" t="n">
        <x:f>MAX(0,MIN('Activities'!L714,390)-MAX('Activities'!K714,384))</x:f>
        <x:v>0</x:v>
      </x:c>
      <x:c r="BR714" s="22" t="n">
        <x:f>MAX(0,MIN('Activities'!L714,396)-MAX('Activities'!K714,390))</x:f>
        <x:v>0</x:v>
      </x:c>
      <x:c r="BS714" s="22" t="n">
        <x:f>MAX(0,MIN('Activities'!L714,402)-MAX('Activities'!K714,396))</x:f>
        <x:v>0</x:v>
      </x:c>
      <x:c r="BT714" s="22" t="n">
        <x:f>MAX(0,MIN('Activities'!L714,408)-MAX('Activities'!K714,402))</x:f>
        <x:v>0</x:v>
      </x:c>
      <x:c r="BU714" s="22" t="n">
        <x:f>MAX(0,MIN('Activities'!L714,414)-MAX('Activities'!K714,408))</x:f>
        <x:v>0</x:v>
      </x:c>
      <x:c r="BV714" s="22" t="n">
        <x:f>MAX(0,MIN('Activities'!L714,420)-MAX('Activities'!K714,414))</x:f>
        <x:v>0</x:v>
      </x:c>
      <x:c r="BW714" s="22" t="n">
        <x:f>MAX(0,MIN('Activities'!L714,426)-MAX('Activities'!K714,420))</x:f>
        <x:v>0</x:v>
      </x:c>
      <x:c r="BX714" s="22" t="n">
        <x:f>MAX(0,MIN('Activities'!L714,432)-MAX('Activities'!K714,426))</x:f>
        <x:v>0</x:v>
      </x:c>
      <x:c r="BY714" s="22" t="n">
        <x:f>MAX(0,MIN('Activities'!L714,438)-MAX('Activities'!K714,432))</x:f>
        <x:v>0</x:v>
      </x:c>
      <x:c r="BZ714" s="22" t="n">
        <x:f>MAX(0,MIN('Activities'!L714,444)-MAX('Activities'!K714,438))</x:f>
        <x:v>0</x:v>
      </x:c>
      <x:c r="CA714" s="22" t="n">
        <x:f>MAX(0,MIN('Activities'!L714,450)-MAX('Activities'!K714,444))</x:f>
        <x:v>0</x:v>
      </x:c>
      <x:c r="CB714" s="22" t="n">
        <x:f>MAX(0,MIN('Activities'!L714,456)-MAX('Activities'!K714,450))</x:f>
        <x:v>0</x:v>
      </x:c>
      <x:c r="CC714" s="22" t="n">
        <x:f>MAX(0,MIN('Activities'!L714,462)-MAX('Activities'!K714,456))</x:f>
        <x:v>0</x:v>
      </x:c>
      <x:c r="CD714" s="22" t="n">
        <x:f>MAX(0,MIN('Activities'!L714,468)-MAX('Activities'!K714,462))</x:f>
        <x:v>0</x:v>
      </x:c>
      <x:c r="CE714" s="22" t="n">
        <x:f>MAX(0,MIN('Activities'!L714,474)-MAX('Activities'!K714,468))</x:f>
        <x:v>0</x:v>
      </x:c>
      <x:c r="CF714" s="22" t="n">
        <x:f>MAX(0,MIN('Activities'!L714,480)-MAX('Activities'!K714,474))</x:f>
        <x:v>0</x:v>
      </x:c>
      <x:c r="CG714" s="22" t="n">
        <x:f>MAX(0,MIN('Activities'!L714,486)-MAX('Activities'!K714,480))</x:f>
        <x:v>0</x:v>
      </x:c>
      <x:c r="CH714" s="22" t="n">
        <x:f>MAX(0,MIN('Activities'!L714,492)-MAX('Activities'!K714,486))</x:f>
        <x:v>0</x:v>
      </x:c>
      <x:c r="CI714" s="22" t="n">
        <x:f>MAX(0,MIN('Activities'!L714,498)-MAX('Activities'!K714,492))</x:f>
        <x:v>0</x:v>
      </x:c>
      <x:c r="CJ714" s="22" t="n">
        <x:f>MAX(0,MIN('Activities'!L714,504)-MAX('Activities'!K714,498))</x:f>
        <x:v>0</x:v>
      </x:c>
      <x:c r="CK714" s="22" t="n">
        <x:f>MAX(0,MIN('Activities'!L714,510)-MAX('Activities'!K714,504))</x:f>
        <x:v>0</x:v>
      </x:c>
      <x:c r="CL714" s="22" t="n">
        <x:f>MAX(0,MIN('Activities'!L714,516)-MAX('Activities'!K714,510))</x:f>
        <x:v>0</x:v>
      </x:c>
      <x:c r="CM714" s="22" t="n">
        <x:f>MAX(0,MIN('Activities'!L714,522)-MAX('Activities'!K714,516))</x:f>
        <x:v>0</x:v>
      </x:c>
      <x:c r="CN714" s="22" t="n">
        <x:f>MAX(0,MIN('Activities'!L714,528)-MAX('Activities'!K714,522))</x:f>
        <x:v>0</x:v>
      </x:c>
      <x:c r="CO714" s="22" t="n">
        <x:f>MAX(0,MIN('Activities'!L714,534)-MAX('Activities'!K714,528))</x:f>
        <x:v>0</x:v>
      </x:c>
      <x:c r="CP714" s="22" t="n">
        <x:f>MAX(0,MIN('Activities'!L714,540)-MAX('Activities'!K714,534))</x:f>
        <x:v>0</x:v>
      </x:c>
      <x:c r="CQ714" s="22" t="n">
        <x:f>MAX(0,MIN('Activities'!L714,546)-MAX('Activities'!K714,540))</x:f>
        <x:v>0</x:v>
      </x:c>
      <x:c r="CR714" s="22" t="n">
        <x:f>MAX(0,MIN('Activities'!L714,552)-MAX('Activities'!K714,546))</x:f>
        <x:v>0</x:v>
      </x:c>
      <x:c r="CS714" s="22" t="n">
        <x:f>MAX(0,MIN('Activities'!L714,558)-MAX('Activities'!K714,552))</x:f>
        <x:v>0</x:v>
      </x:c>
      <x:c r="CT714" s="22" t="n">
        <x:f>MAX(0,MIN('Activities'!L714,564)-MAX('Activities'!K714,558))</x:f>
        <x:v>0</x:v>
      </x:c>
      <x:c r="CU714" s="22" t="n">
        <x:f>MAX(0,MIN('Activities'!L714,570)-MAX('Activities'!K714,564))</x:f>
        <x:v>0</x:v>
      </x:c>
      <x:c r="CV714" s="22" t="n">
        <x:f>MAX(0,MIN('Activities'!L714,576)-MAX('Activities'!K714,570))</x:f>
        <x:v>0</x:v>
      </x:c>
      <x:c r="CW714" s="22" t="n">
        <x:f>MAX(0,MIN('Activities'!L714,582)-MAX('Activities'!K714,576))</x:f>
        <x:v>0</x:v>
      </x:c>
      <x:c r="CX714" s="22" t="n">
        <x:f>MAX(0,MIN('Activities'!L714,588)-MAX('Activities'!K714,582))</x:f>
        <x:v>0</x:v>
      </x:c>
      <x:c r="CY714" s="22" t="n">
        <x:f>MAX(0,MIN('Activities'!L714,594)-MAX('Activities'!K714,588))</x:f>
        <x:v>0</x:v>
      </x:c>
      <x:c r="CZ714" s="22" t="n">
        <x:f>MAX(0,MIN('Activities'!L714,600)-MAX('Activities'!K714,594))</x:f>
        <x:v>0</x:v>
      </x:c>
      <x:c r="DA714" s="22" t="n">
        <x:f>MAX(0,MIN('Activities'!L714,606)-MAX('Activities'!K714,600))</x:f>
        <x:v>0</x:v>
      </x:c>
      <x:c r="DB714" s="22" t="n">
        <x:f>MAX(0,MIN('Activities'!L714,612)-MAX('Activities'!K714,606))</x:f>
        <x:v>0</x:v>
      </x:c>
      <x:c r="DC714" s="22" t="n">
        <x:f>MAX(0,MIN('Activities'!L714,618)-MAX('Activities'!K714,612))</x:f>
        <x:v>0</x:v>
      </x:c>
      <x:c r="DD714" s="22" t="n">
        <x:f>MAX(0,MIN('Activities'!L714,624)-MAX('Activities'!K714,618))</x:f>
        <x:v>0</x:v>
      </x:c>
      <x:c r="DE714" s="22" t="n">
        <x:f>MAX(0,MIN('Activities'!L714,630)-MAX('Activities'!K714,624))</x:f>
        <x:v>0</x:v>
      </x:c>
      <x:c r="DF714" s="22" t="n">
        <x:f>MAX(0,MIN('Activities'!L714,636)-MAX('Activities'!K714,630))</x:f>
        <x:v>0</x:v>
      </x:c>
    </x:row>
    <x:row r="715" ht="23" customHeight="1">
      <x:c r="A715" s="1" t="str">
        <x:v>T6-L08-C</x:v>
      </x:c>
      <x:c r="B715" s="1" t="str">
        <x:v>T6</x:v>
      </x:c>
      <x:c r="C715" s="1" t="str">
        <x:v>Concrete placement and finishing</x:v>
      </x:c>
      <x:c r="D715" s="1" t="str">
        <x:v>Concrete</x:v>
      </x:c>
      <x:c r="E715" s="23" t="n">
        <x:f>MAX(0,MIN('Activities'!L715,6)-MAX('Activities'!K715,0))</x:f>
        <x:v>0</x:v>
      </x:c>
      <x:c r="F715" s="23" t="n">
        <x:f>MAX(0,MIN('Activities'!L715,12)-MAX('Activities'!K715,6))</x:f>
        <x:v>0</x:v>
      </x:c>
      <x:c r="G715" s="23" t="n">
        <x:f>MAX(0,MIN('Activities'!L715,18)-MAX('Activities'!K715,12))</x:f>
        <x:v>0</x:v>
      </x:c>
      <x:c r="H715" s="23" t="n">
        <x:f>MAX(0,MIN('Activities'!L715,24)-MAX('Activities'!K715,18))</x:f>
        <x:v>0</x:v>
      </x:c>
      <x:c r="I715" s="23" t="n">
        <x:f>MAX(0,MIN('Activities'!L715,30)-MAX('Activities'!K715,24))</x:f>
        <x:v>0</x:v>
      </x:c>
      <x:c r="J715" s="23" t="n">
        <x:f>MAX(0,MIN('Activities'!L715,36)-MAX('Activities'!K715,30))</x:f>
        <x:v>0</x:v>
      </x:c>
      <x:c r="K715" s="23" t="n">
        <x:f>MAX(0,MIN('Activities'!L715,42)-MAX('Activities'!K715,36))</x:f>
        <x:v>0</x:v>
      </x:c>
      <x:c r="L715" s="23" t="n">
        <x:f>MAX(0,MIN('Activities'!L715,48)-MAX('Activities'!K715,42))</x:f>
        <x:v>0</x:v>
      </x:c>
      <x:c r="M715" s="23" t="n">
        <x:f>MAX(0,MIN('Activities'!L715,54)-MAX('Activities'!K715,48))</x:f>
        <x:v>0</x:v>
      </x:c>
      <x:c r="N715" s="23" t="n">
        <x:f>MAX(0,MIN('Activities'!L715,60)-MAX('Activities'!K715,54))</x:f>
        <x:v>0</x:v>
      </x:c>
      <x:c r="O715" s="23" t="n">
        <x:f>MAX(0,MIN('Activities'!L715,66)-MAX('Activities'!K715,60))</x:f>
        <x:v>0</x:v>
      </x:c>
      <x:c r="P715" s="23" t="n">
        <x:f>MAX(0,MIN('Activities'!L715,72)-MAX('Activities'!K715,66))</x:f>
        <x:v>0</x:v>
      </x:c>
      <x:c r="Q715" s="23" t="n">
        <x:f>MAX(0,MIN('Activities'!L715,78)-MAX('Activities'!K715,72))</x:f>
        <x:v>0</x:v>
      </x:c>
      <x:c r="R715" s="23" t="n">
        <x:f>MAX(0,MIN('Activities'!L715,84)-MAX('Activities'!K715,78))</x:f>
        <x:v>0</x:v>
      </x:c>
      <x:c r="S715" s="23" t="n">
        <x:f>MAX(0,MIN('Activities'!L715,90)-MAX('Activities'!K715,84))</x:f>
        <x:v>0</x:v>
      </x:c>
      <x:c r="T715" s="23" t="n">
        <x:f>MAX(0,MIN('Activities'!L715,96)-MAX('Activities'!K715,90))</x:f>
        <x:v>0</x:v>
      </x:c>
      <x:c r="U715" s="23" t="n">
        <x:f>MAX(0,MIN('Activities'!L715,102)-MAX('Activities'!K715,96))</x:f>
        <x:v>0</x:v>
      </x:c>
      <x:c r="V715" s="23" t="n">
        <x:f>MAX(0,MIN('Activities'!L715,108)-MAX('Activities'!K715,102))</x:f>
        <x:v>0</x:v>
      </x:c>
      <x:c r="W715" s="23" t="n">
        <x:f>MAX(0,MIN('Activities'!L715,114)-MAX('Activities'!K715,108))</x:f>
        <x:v>0</x:v>
      </x:c>
      <x:c r="X715" s="23" t="n">
        <x:f>MAX(0,MIN('Activities'!L715,120)-MAX('Activities'!K715,114))</x:f>
        <x:v>0</x:v>
      </x:c>
      <x:c r="Y715" s="23" t="n">
        <x:f>MAX(0,MIN('Activities'!L715,126)-MAX('Activities'!K715,120))</x:f>
        <x:v>0</x:v>
      </x:c>
      <x:c r="Z715" s="23" t="n">
        <x:f>MAX(0,MIN('Activities'!L715,132)-MAX('Activities'!K715,126))</x:f>
        <x:v>0</x:v>
      </x:c>
      <x:c r="AA715" s="23" t="n">
        <x:f>MAX(0,MIN('Activities'!L715,138)-MAX('Activities'!K715,132))</x:f>
        <x:v>0</x:v>
      </x:c>
      <x:c r="AB715" s="23" t="n">
        <x:f>MAX(0,MIN('Activities'!L715,144)-MAX('Activities'!K715,138))</x:f>
        <x:v>0</x:v>
      </x:c>
      <x:c r="AC715" s="23" t="n">
        <x:f>MAX(0,MIN('Activities'!L715,150)-MAX('Activities'!K715,144))</x:f>
        <x:v>0</x:v>
      </x:c>
      <x:c r="AD715" s="23" t="n">
        <x:f>MAX(0,MIN('Activities'!L715,156)-MAX('Activities'!K715,150))</x:f>
        <x:v>0</x:v>
      </x:c>
      <x:c r="AE715" s="23" t="n">
        <x:f>MAX(0,MIN('Activities'!L715,162)-MAX('Activities'!K715,156))</x:f>
        <x:v>0</x:v>
      </x:c>
      <x:c r="AF715" s="23" t="n">
        <x:f>MAX(0,MIN('Activities'!L715,168)-MAX('Activities'!K715,162))</x:f>
        <x:v>0</x:v>
      </x:c>
      <x:c r="AG715" s="23" t="n">
        <x:f>MAX(0,MIN('Activities'!L715,174)-MAX('Activities'!K715,168))</x:f>
        <x:v>0</x:v>
      </x:c>
      <x:c r="AH715" s="23" t="n">
        <x:f>MAX(0,MIN('Activities'!L715,180)-MAX('Activities'!K715,174))</x:f>
        <x:v>0</x:v>
      </x:c>
      <x:c r="AI715" s="23" t="n">
        <x:f>MAX(0,MIN('Activities'!L715,186)-MAX('Activities'!K715,180))</x:f>
        <x:v>0</x:v>
      </x:c>
      <x:c r="AJ715" s="23" t="n">
        <x:f>MAX(0,MIN('Activities'!L715,192)-MAX('Activities'!K715,186))</x:f>
        <x:v>0</x:v>
      </x:c>
      <x:c r="AK715" s="23" t="n">
        <x:f>MAX(0,MIN('Activities'!L715,198)-MAX('Activities'!K715,192))</x:f>
        <x:v>0</x:v>
      </x:c>
      <x:c r="AL715" s="23" t="n">
        <x:f>MAX(0,MIN('Activities'!L715,204)-MAX('Activities'!K715,198))</x:f>
        <x:v>0</x:v>
      </x:c>
      <x:c r="AM715" s="23" t="n">
        <x:f>MAX(0,MIN('Activities'!L715,210)-MAX('Activities'!K715,204))</x:f>
        <x:v>0</x:v>
      </x:c>
      <x:c r="AN715" s="23" t="n">
        <x:f>MAX(0,MIN('Activities'!L715,216)-MAX('Activities'!K715,210))</x:f>
        <x:v>0</x:v>
      </x:c>
      <x:c r="AO715" s="23" t="n">
        <x:f>MAX(0,MIN('Activities'!L715,222)-MAX('Activities'!K715,216))</x:f>
        <x:v>0</x:v>
      </x:c>
      <x:c r="AP715" s="23" t="n">
        <x:f>MAX(0,MIN('Activities'!L715,228)-MAX('Activities'!K715,222))</x:f>
        <x:v>0</x:v>
      </x:c>
      <x:c r="AQ715" s="23" t="n">
        <x:f>MAX(0,MIN('Activities'!L715,234)-MAX('Activities'!K715,228))</x:f>
        <x:v>0</x:v>
      </x:c>
      <x:c r="AR715" s="23" t="n">
        <x:f>MAX(0,MIN('Activities'!L715,240)-MAX('Activities'!K715,234))</x:f>
        <x:v>0</x:v>
      </x:c>
      <x:c r="AS715" s="23" t="n">
        <x:f>MAX(0,MIN('Activities'!L715,246)-MAX('Activities'!K715,240))</x:f>
        <x:v>0</x:v>
      </x:c>
      <x:c r="AT715" s="23" t="n">
        <x:f>MAX(0,MIN('Activities'!L715,252)-MAX('Activities'!K715,246))</x:f>
        <x:v>0</x:v>
      </x:c>
      <x:c r="AU715" s="23" t="n">
        <x:f>MAX(0,MIN('Activities'!L715,258)-MAX('Activities'!K715,252))</x:f>
        <x:v>0</x:v>
      </x:c>
      <x:c r="AV715" s="23" t="n">
        <x:f>MAX(0,MIN('Activities'!L715,264)-MAX('Activities'!K715,258))</x:f>
        <x:v>0</x:v>
      </x:c>
      <x:c r="AW715" s="23" t="n">
        <x:f>MAX(0,MIN('Activities'!L715,270)-MAX('Activities'!K715,264))</x:f>
        <x:v>0</x:v>
      </x:c>
      <x:c r="AX715" s="23" t="n">
        <x:f>MAX(0,MIN('Activities'!L715,276)-MAX('Activities'!K715,270))</x:f>
        <x:v>0</x:v>
      </x:c>
      <x:c r="AY715" s="23" t="n">
        <x:f>MAX(0,MIN('Activities'!L715,282)-MAX('Activities'!K715,276))</x:f>
        <x:v>0</x:v>
      </x:c>
      <x:c r="AZ715" s="23" t="n">
        <x:f>MAX(0,MIN('Activities'!L715,288)-MAX('Activities'!K715,282))</x:f>
        <x:v>0</x:v>
      </x:c>
      <x:c r="BA715" s="23" t="n">
        <x:f>MAX(0,MIN('Activities'!L715,294)-MAX('Activities'!K715,288))</x:f>
        <x:v>0</x:v>
      </x:c>
      <x:c r="BB715" s="23" t="n">
        <x:f>MAX(0,MIN('Activities'!L715,300)-MAX('Activities'!K715,294))</x:f>
        <x:v>0</x:v>
      </x:c>
      <x:c r="BC715" s="23" t="n">
        <x:f>MAX(0,MIN('Activities'!L715,306)-MAX('Activities'!K715,300))</x:f>
        <x:v>0</x:v>
      </x:c>
      <x:c r="BD715" s="23" t="n">
        <x:f>MAX(0,MIN('Activities'!L715,312)-MAX('Activities'!K715,306))</x:f>
        <x:v>0</x:v>
      </x:c>
      <x:c r="BE715" s="23" t="n">
        <x:f>MAX(0,MIN('Activities'!L715,318)-MAX('Activities'!K715,312))</x:f>
        <x:v>0</x:v>
      </x:c>
      <x:c r="BF715" s="23" t="n">
        <x:f>MAX(0,MIN('Activities'!L715,324)-MAX('Activities'!K715,318))</x:f>
        <x:v>0</x:v>
      </x:c>
      <x:c r="BG715" s="23" t="n">
        <x:f>MAX(0,MIN('Activities'!L715,330)-MAX('Activities'!K715,324))</x:f>
        <x:v>0</x:v>
      </x:c>
      <x:c r="BH715" s="23" t="n">
        <x:f>MAX(0,MIN('Activities'!L715,336)-MAX('Activities'!K715,330))</x:f>
        <x:v>0</x:v>
      </x:c>
      <x:c r="BI715" s="23" t="n">
        <x:f>MAX(0,MIN('Activities'!L715,342)-MAX('Activities'!K715,336))</x:f>
        <x:v>0</x:v>
      </x:c>
      <x:c r="BJ715" s="23" t="n">
        <x:f>MAX(0,MIN('Activities'!L715,348)-MAX('Activities'!K715,342))</x:f>
        <x:v>0</x:v>
      </x:c>
      <x:c r="BK715" s="23" t="n">
        <x:f>MAX(0,MIN('Activities'!L715,354)-MAX('Activities'!K715,348))</x:f>
        <x:v>2</x:v>
      </x:c>
      <x:c r="BL715" s="23" t="n">
        <x:f>MAX(0,MIN('Activities'!L715,360)-MAX('Activities'!K715,354))</x:f>
        <x:v>0</x:v>
      </x:c>
      <x:c r="BM715" s="23" t="n">
        <x:f>MAX(0,MIN('Activities'!L715,366)-MAX('Activities'!K715,360))</x:f>
        <x:v>0</x:v>
      </x:c>
      <x:c r="BN715" s="23" t="n">
        <x:f>MAX(0,MIN('Activities'!L715,372)-MAX('Activities'!K715,366))</x:f>
        <x:v>0</x:v>
      </x:c>
      <x:c r="BO715" s="23" t="n">
        <x:f>MAX(0,MIN('Activities'!L715,378)-MAX('Activities'!K715,372))</x:f>
        <x:v>0</x:v>
      </x:c>
      <x:c r="BP715" s="23" t="n">
        <x:f>MAX(0,MIN('Activities'!L715,384)-MAX('Activities'!K715,378))</x:f>
        <x:v>0</x:v>
      </x:c>
      <x:c r="BQ715" s="23" t="n">
        <x:f>MAX(0,MIN('Activities'!L715,390)-MAX('Activities'!K715,384))</x:f>
        <x:v>0</x:v>
      </x:c>
      <x:c r="BR715" s="23" t="n">
        <x:f>MAX(0,MIN('Activities'!L715,396)-MAX('Activities'!K715,390))</x:f>
        <x:v>0</x:v>
      </x:c>
      <x:c r="BS715" s="23" t="n">
        <x:f>MAX(0,MIN('Activities'!L715,402)-MAX('Activities'!K715,396))</x:f>
        <x:v>0</x:v>
      </x:c>
      <x:c r="BT715" s="23" t="n">
        <x:f>MAX(0,MIN('Activities'!L715,408)-MAX('Activities'!K715,402))</x:f>
        <x:v>0</x:v>
      </x:c>
      <x:c r="BU715" s="23" t="n">
        <x:f>MAX(0,MIN('Activities'!L715,414)-MAX('Activities'!K715,408))</x:f>
        <x:v>0</x:v>
      </x:c>
      <x:c r="BV715" s="23" t="n">
        <x:f>MAX(0,MIN('Activities'!L715,420)-MAX('Activities'!K715,414))</x:f>
        <x:v>0</x:v>
      </x:c>
      <x:c r="BW715" s="23" t="n">
        <x:f>MAX(0,MIN('Activities'!L715,426)-MAX('Activities'!K715,420))</x:f>
        <x:v>0</x:v>
      </x:c>
      <x:c r="BX715" s="23" t="n">
        <x:f>MAX(0,MIN('Activities'!L715,432)-MAX('Activities'!K715,426))</x:f>
        <x:v>0</x:v>
      </x:c>
      <x:c r="BY715" s="23" t="n">
        <x:f>MAX(0,MIN('Activities'!L715,438)-MAX('Activities'!K715,432))</x:f>
        <x:v>0</x:v>
      </x:c>
      <x:c r="BZ715" s="23" t="n">
        <x:f>MAX(0,MIN('Activities'!L715,444)-MAX('Activities'!K715,438))</x:f>
        <x:v>0</x:v>
      </x:c>
      <x:c r="CA715" s="23" t="n">
        <x:f>MAX(0,MIN('Activities'!L715,450)-MAX('Activities'!K715,444))</x:f>
        <x:v>0</x:v>
      </x:c>
      <x:c r="CB715" s="23" t="n">
        <x:f>MAX(0,MIN('Activities'!L715,456)-MAX('Activities'!K715,450))</x:f>
        <x:v>0</x:v>
      </x:c>
      <x:c r="CC715" s="23" t="n">
        <x:f>MAX(0,MIN('Activities'!L715,462)-MAX('Activities'!K715,456))</x:f>
        <x:v>0</x:v>
      </x:c>
      <x:c r="CD715" s="23" t="n">
        <x:f>MAX(0,MIN('Activities'!L715,468)-MAX('Activities'!K715,462))</x:f>
        <x:v>0</x:v>
      </x:c>
      <x:c r="CE715" s="23" t="n">
        <x:f>MAX(0,MIN('Activities'!L715,474)-MAX('Activities'!K715,468))</x:f>
        <x:v>0</x:v>
      </x:c>
      <x:c r="CF715" s="23" t="n">
        <x:f>MAX(0,MIN('Activities'!L715,480)-MAX('Activities'!K715,474))</x:f>
        <x:v>0</x:v>
      </x:c>
      <x:c r="CG715" s="23" t="n">
        <x:f>MAX(0,MIN('Activities'!L715,486)-MAX('Activities'!K715,480))</x:f>
        <x:v>0</x:v>
      </x:c>
      <x:c r="CH715" s="23" t="n">
        <x:f>MAX(0,MIN('Activities'!L715,492)-MAX('Activities'!K715,486))</x:f>
        <x:v>0</x:v>
      </x:c>
      <x:c r="CI715" s="23" t="n">
        <x:f>MAX(0,MIN('Activities'!L715,498)-MAX('Activities'!K715,492))</x:f>
        <x:v>0</x:v>
      </x:c>
      <x:c r="CJ715" s="23" t="n">
        <x:f>MAX(0,MIN('Activities'!L715,504)-MAX('Activities'!K715,498))</x:f>
        <x:v>0</x:v>
      </x:c>
      <x:c r="CK715" s="23" t="n">
        <x:f>MAX(0,MIN('Activities'!L715,510)-MAX('Activities'!K715,504))</x:f>
        <x:v>0</x:v>
      </x:c>
      <x:c r="CL715" s="23" t="n">
        <x:f>MAX(0,MIN('Activities'!L715,516)-MAX('Activities'!K715,510))</x:f>
        <x:v>0</x:v>
      </x:c>
      <x:c r="CM715" s="23" t="n">
        <x:f>MAX(0,MIN('Activities'!L715,522)-MAX('Activities'!K715,516))</x:f>
        <x:v>0</x:v>
      </x:c>
      <x:c r="CN715" s="23" t="n">
        <x:f>MAX(0,MIN('Activities'!L715,528)-MAX('Activities'!K715,522))</x:f>
        <x:v>0</x:v>
      </x:c>
      <x:c r="CO715" s="23" t="n">
        <x:f>MAX(0,MIN('Activities'!L715,534)-MAX('Activities'!K715,528))</x:f>
        <x:v>0</x:v>
      </x:c>
      <x:c r="CP715" s="23" t="n">
        <x:f>MAX(0,MIN('Activities'!L715,540)-MAX('Activities'!K715,534))</x:f>
        <x:v>0</x:v>
      </x:c>
      <x:c r="CQ715" s="23" t="n">
        <x:f>MAX(0,MIN('Activities'!L715,546)-MAX('Activities'!K715,540))</x:f>
        <x:v>0</x:v>
      </x:c>
      <x:c r="CR715" s="23" t="n">
        <x:f>MAX(0,MIN('Activities'!L715,552)-MAX('Activities'!K715,546))</x:f>
        <x:v>0</x:v>
      </x:c>
      <x:c r="CS715" s="23" t="n">
        <x:f>MAX(0,MIN('Activities'!L715,558)-MAX('Activities'!K715,552))</x:f>
        <x:v>0</x:v>
      </x:c>
      <x:c r="CT715" s="23" t="n">
        <x:f>MAX(0,MIN('Activities'!L715,564)-MAX('Activities'!K715,558))</x:f>
        <x:v>0</x:v>
      </x:c>
      <x:c r="CU715" s="23" t="n">
        <x:f>MAX(0,MIN('Activities'!L715,570)-MAX('Activities'!K715,564))</x:f>
        <x:v>0</x:v>
      </x:c>
      <x:c r="CV715" s="23" t="n">
        <x:f>MAX(0,MIN('Activities'!L715,576)-MAX('Activities'!K715,570))</x:f>
        <x:v>0</x:v>
      </x:c>
      <x:c r="CW715" s="23" t="n">
        <x:f>MAX(0,MIN('Activities'!L715,582)-MAX('Activities'!K715,576))</x:f>
        <x:v>0</x:v>
      </x:c>
      <x:c r="CX715" s="23" t="n">
        <x:f>MAX(0,MIN('Activities'!L715,588)-MAX('Activities'!K715,582))</x:f>
        <x:v>0</x:v>
      </x:c>
      <x:c r="CY715" s="23" t="n">
        <x:f>MAX(0,MIN('Activities'!L715,594)-MAX('Activities'!K715,588))</x:f>
        <x:v>0</x:v>
      </x:c>
      <x:c r="CZ715" s="23" t="n">
        <x:f>MAX(0,MIN('Activities'!L715,600)-MAX('Activities'!K715,594))</x:f>
        <x:v>0</x:v>
      </x:c>
      <x:c r="DA715" s="23" t="n">
        <x:f>MAX(0,MIN('Activities'!L715,606)-MAX('Activities'!K715,600))</x:f>
        <x:v>0</x:v>
      </x:c>
      <x:c r="DB715" s="23" t="n">
        <x:f>MAX(0,MIN('Activities'!L715,612)-MAX('Activities'!K715,606))</x:f>
        <x:v>0</x:v>
      </x:c>
      <x:c r="DC715" s="23" t="n">
        <x:f>MAX(0,MIN('Activities'!L715,618)-MAX('Activities'!K715,612))</x:f>
        <x:v>0</x:v>
      </x:c>
      <x:c r="DD715" s="23" t="n">
        <x:f>MAX(0,MIN('Activities'!L715,624)-MAX('Activities'!K715,618))</x:f>
        <x:v>0</x:v>
      </x:c>
      <x:c r="DE715" s="23" t="n">
        <x:f>MAX(0,MIN('Activities'!L715,630)-MAX('Activities'!K715,624))</x:f>
        <x:v>0</x:v>
      </x:c>
      <x:c r="DF715" s="23" t="n">
        <x:f>MAX(0,MIN('Activities'!L715,636)-MAX('Activities'!K715,630))</x:f>
        <x:v>0</x:v>
      </x:c>
    </x:row>
    <x:row r="716" ht="23" customHeight="1">
      <x:c r="A716" s="6" t="str">
        <x:v>T6-L08-H</x:v>
      </x:c>
      <x:c r="B716" s="6" t="str">
        <x:v>T6</x:v>
      </x:c>
      <x:c r="C716" s="6" t="str">
        <x:v>Curing and release hold point</x:v>
      </x:c>
      <x:c r="D716" s="6" t="str">
        <x:v>Site</x:v>
      </x:c>
      <x:c r="E716" s="22" t="n">
        <x:f>MAX(0,MIN('Activities'!L716,6)-MAX('Activities'!K716,0))</x:f>
        <x:v>0</x:v>
      </x:c>
      <x:c r="F716" s="22" t="n">
        <x:f>MAX(0,MIN('Activities'!L716,12)-MAX('Activities'!K716,6))</x:f>
        <x:v>0</x:v>
      </x:c>
      <x:c r="G716" s="22" t="n">
        <x:f>MAX(0,MIN('Activities'!L716,18)-MAX('Activities'!K716,12))</x:f>
        <x:v>0</x:v>
      </x:c>
      <x:c r="H716" s="22" t="n">
        <x:f>MAX(0,MIN('Activities'!L716,24)-MAX('Activities'!K716,18))</x:f>
        <x:v>0</x:v>
      </x:c>
      <x:c r="I716" s="22" t="n">
        <x:f>MAX(0,MIN('Activities'!L716,30)-MAX('Activities'!K716,24))</x:f>
        <x:v>0</x:v>
      </x:c>
      <x:c r="J716" s="22" t="n">
        <x:f>MAX(0,MIN('Activities'!L716,36)-MAX('Activities'!K716,30))</x:f>
        <x:v>0</x:v>
      </x:c>
      <x:c r="K716" s="22" t="n">
        <x:f>MAX(0,MIN('Activities'!L716,42)-MAX('Activities'!K716,36))</x:f>
        <x:v>0</x:v>
      </x:c>
      <x:c r="L716" s="22" t="n">
        <x:f>MAX(0,MIN('Activities'!L716,48)-MAX('Activities'!K716,42))</x:f>
        <x:v>0</x:v>
      </x:c>
      <x:c r="M716" s="22" t="n">
        <x:f>MAX(0,MIN('Activities'!L716,54)-MAX('Activities'!K716,48))</x:f>
        <x:v>0</x:v>
      </x:c>
      <x:c r="N716" s="22" t="n">
        <x:f>MAX(0,MIN('Activities'!L716,60)-MAX('Activities'!K716,54))</x:f>
        <x:v>0</x:v>
      </x:c>
      <x:c r="O716" s="22" t="n">
        <x:f>MAX(0,MIN('Activities'!L716,66)-MAX('Activities'!K716,60))</x:f>
        <x:v>0</x:v>
      </x:c>
      <x:c r="P716" s="22" t="n">
        <x:f>MAX(0,MIN('Activities'!L716,72)-MAX('Activities'!K716,66))</x:f>
        <x:v>0</x:v>
      </x:c>
      <x:c r="Q716" s="22" t="n">
        <x:f>MAX(0,MIN('Activities'!L716,78)-MAX('Activities'!K716,72))</x:f>
        <x:v>0</x:v>
      </x:c>
      <x:c r="R716" s="22" t="n">
        <x:f>MAX(0,MIN('Activities'!L716,84)-MAX('Activities'!K716,78))</x:f>
        <x:v>0</x:v>
      </x:c>
      <x:c r="S716" s="22" t="n">
        <x:f>MAX(0,MIN('Activities'!L716,90)-MAX('Activities'!K716,84))</x:f>
        <x:v>0</x:v>
      </x:c>
      <x:c r="T716" s="22" t="n">
        <x:f>MAX(0,MIN('Activities'!L716,96)-MAX('Activities'!K716,90))</x:f>
        <x:v>0</x:v>
      </x:c>
      <x:c r="U716" s="22" t="n">
        <x:f>MAX(0,MIN('Activities'!L716,102)-MAX('Activities'!K716,96))</x:f>
        <x:v>0</x:v>
      </x:c>
      <x:c r="V716" s="22" t="n">
        <x:f>MAX(0,MIN('Activities'!L716,108)-MAX('Activities'!K716,102))</x:f>
        <x:v>0</x:v>
      </x:c>
      <x:c r="W716" s="22" t="n">
        <x:f>MAX(0,MIN('Activities'!L716,114)-MAX('Activities'!K716,108))</x:f>
        <x:v>0</x:v>
      </x:c>
      <x:c r="X716" s="22" t="n">
        <x:f>MAX(0,MIN('Activities'!L716,120)-MAX('Activities'!K716,114))</x:f>
        <x:v>0</x:v>
      </x:c>
      <x:c r="Y716" s="22" t="n">
        <x:f>MAX(0,MIN('Activities'!L716,126)-MAX('Activities'!K716,120))</x:f>
        <x:v>0</x:v>
      </x:c>
      <x:c r="Z716" s="22" t="n">
        <x:f>MAX(0,MIN('Activities'!L716,132)-MAX('Activities'!K716,126))</x:f>
        <x:v>0</x:v>
      </x:c>
      <x:c r="AA716" s="22" t="n">
        <x:f>MAX(0,MIN('Activities'!L716,138)-MAX('Activities'!K716,132))</x:f>
        <x:v>0</x:v>
      </x:c>
      <x:c r="AB716" s="22" t="n">
        <x:f>MAX(0,MIN('Activities'!L716,144)-MAX('Activities'!K716,138))</x:f>
        <x:v>0</x:v>
      </x:c>
      <x:c r="AC716" s="22" t="n">
        <x:f>MAX(0,MIN('Activities'!L716,150)-MAX('Activities'!K716,144))</x:f>
        <x:v>0</x:v>
      </x:c>
      <x:c r="AD716" s="22" t="n">
        <x:f>MAX(0,MIN('Activities'!L716,156)-MAX('Activities'!K716,150))</x:f>
        <x:v>0</x:v>
      </x:c>
      <x:c r="AE716" s="22" t="n">
        <x:f>MAX(0,MIN('Activities'!L716,162)-MAX('Activities'!K716,156))</x:f>
        <x:v>0</x:v>
      </x:c>
      <x:c r="AF716" s="22" t="n">
        <x:f>MAX(0,MIN('Activities'!L716,168)-MAX('Activities'!K716,162))</x:f>
        <x:v>0</x:v>
      </x:c>
      <x:c r="AG716" s="22" t="n">
        <x:f>MAX(0,MIN('Activities'!L716,174)-MAX('Activities'!K716,168))</x:f>
        <x:v>0</x:v>
      </x:c>
      <x:c r="AH716" s="22" t="n">
        <x:f>MAX(0,MIN('Activities'!L716,180)-MAX('Activities'!K716,174))</x:f>
        <x:v>0</x:v>
      </x:c>
      <x:c r="AI716" s="22" t="n">
        <x:f>MAX(0,MIN('Activities'!L716,186)-MAX('Activities'!K716,180))</x:f>
        <x:v>0</x:v>
      </x:c>
      <x:c r="AJ716" s="22" t="n">
        <x:f>MAX(0,MIN('Activities'!L716,192)-MAX('Activities'!K716,186))</x:f>
        <x:v>0</x:v>
      </x:c>
      <x:c r="AK716" s="22" t="n">
        <x:f>MAX(0,MIN('Activities'!L716,198)-MAX('Activities'!K716,192))</x:f>
        <x:v>0</x:v>
      </x:c>
      <x:c r="AL716" s="22" t="n">
        <x:f>MAX(0,MIN('Activities'!L716,204)-MAX('Activities'!K716,198))</x:f>
        <x:v>0</x:v>
      </x:c>
      <x:c r="AM716" s="22" t="n">
        <x:f>MAX(0,MIN('Activities'!L716,210)-MAX('Activities'!K716,204))</x:f>
        <x:v>0</x:v>
      </x:c>
      <x:c r="AN716" s="22" t="n">
        <x:f>MAX(0,MIN('Activities'!L716,216)-MAX('Activities'!K716,210))</x:f>
        <x:v>0</x:v>
      </x:c>
      <x:c r="AO716" s="22" t="n">
        <x:f>MAX(0,MIN('Activities'!L716,222)-MAX('Activities'!K716,216))</x:f>
        <x:v>0</x:v>
      </x:c>
      <x:c r="AP716" s="22" t="n">
        <x:f>MAX(0,MIN('Activities'!L716,228)-MAX('Activities'!K716,222))</x:f>
        <x:v>0</x:v>
      </x:c>
      <x:c r="AQ716" s="22" t="n">
        <x:f>MAX(0,MIN('Activities'!L716,234)-MAX('Activities'!K716,228))</x:f>
        <x:v>0</x:v>
      </x:c>
      <x:c r="AR716" s="22" t="n">
        <x:f>MAX(0,MIN('Activities'!L716,240)-MAX('Activities'!K716,234))</x:f>
        <x:v>0</x:v>
      </x:c>
      <x:c r="AS716" s="22" t="n">
        <x:f>MAX(0,MIN('Activities'!L716,246)-MAX('Activities'!K716,240))</x:f>
        <x:v>0</x:v>
      </x:c>
      <x:c r="AT716" s="22" t="n">
        <x:f>MAX(0,MIN('Activities'!L716,252)-MAX('Activities'!K716,246))</x:f>
        <x:v>0</x:v>
      </x:c>
      <x:c r="AU716" s="22" t="n">
        <x:f>MAX(0,MIN('Activities'!L716,258)-MAX('Activities'!K716,252))</x:f>
        <x:v>0</x:v>
      </x:c>
      <x:c r="AV716" s="22" t="n">
        <x:f>MAX(0,MIN('Activities'!L716,264)-MAX('Activities'!K716,258))</x:f>
        <x:v>0</x:v>
      </x:c>
      <x:c r="AW716" s="22" t="n">
        <x:f>MAX(0,MIN('Activities'!L716,270)-MAX('Activities'!K716,264))</x:f>
        <x:v>0</x:v>
      </x:c>
      <x:c r="AX716" s="22" t="n">
        <x:f>MAX(0,MIN('Activities'!L716,276)-MAX('Activities'!K716,270))</x:f>
        <x:v>0</x:v>
      </x:c>
      <x:c r="AY716" s="22" t="n">
        <x:f>MAX(0,MIN('Activities'!L716,282)-MAX('Activities'!K716,276))</x:f>
        <x:v>0</x:v>
      </x:c>
      <x:c r="AZ716" s="22" t="n">
        <x:f>MAX(0,MIN('Activities'!L716,288)-MAX('Activities'!K716,282))</x:f>
        <x:v>0</x:v>
      </x:c>
      <x:c r="BA716" s="22" t="n">
        <x:f>MAX(0,MIN('Activities'!L716,294)-MAX('Activities'!K716,288))</x:f>
        <x:v>0</x:v>
      </x:c>
      <x:c r="BB716" s="22" t="n">
        <x:f>MAX(0,MIN('Activities'!L716,300)-MAX('Activities'!K716,294))</x:f>
        <x:v>0</x:v>
      </x:c>
      <x:c r="BC716" s="22" t="n">
        <x:f>MAX(0,MIN('Activities'!L716,306)-MAX('Activities'!K716,300))</x:f>
        <x:v>0</x:v>
      </x:c>
      <x:c r="BD716" s="22" t="n">
        <x:f>MAX(0,MIN('Activities'!L716,312)-MAX('Activities'!K716,306))</x:f>
        <x:v>0</x:v>
      </x:c>
      <x:c r="BE716" s="22" t="n">
        <x:f>MAX(0,MIN('Activities'!L716,318)-MAX('Activities'!K716,312))</x:f>
        <x:v>0</x:v>
      </x:c>
      <x:c r="BF716" s="22" t="n">
        <x:f>MAX(0,MIN('Activities'!L716,324)-MAX('Activities'!K716,318))</x:f>
        <x:v>0</x:v>
      </x:c>
      <x:c r="BG716" s="22" t="n">
        <x:f>MAX(0,MIN('Activities'!L716,330)-MAX('Activities'!K716,324))</x:f>
        <x:v>0</x:v>
      </x:c>
      <x:c r="BH716" s="22" t="n">
        <x:f>MAX(0,MIN('Activities'!L716,336)-MAX('Activities'!K716,330))</x:f>
        <x:v>0</x:v>
      </x:c>
      <x:c r="BI716" s="22" t="n">
        <x:f>MAX(0,MIN('Activities'!L716,342)-MAX('Activities'!K716,336))</x:f>
        <x:v>0</x:v>
      </x:c>
      <x:c r="BJ716" s="22" t="n">
        <x:f>MAX(0,MIN('Activities'!L716,348)-MAX('Activities'!K716,342))</x:f>
        <x:v>0</x:v>
      </x:c>
      <x:c r="BK716" s="22" t="n">
        <x:f>MAX(0,MIN('Activities'!L716,354)-MAX('Activities'!K716,348))</x:f>
        <x:v>3</x:v>
      </x:c>
      <x:c r="BL716" s="22" t="n">
        <x:f>MAX(0,MIN('Activities'!L716,360)-MAX('Activities'!K716,354))</x:f>
        <x:v>2</x:v>
      </x:c>
      <x:c r="BM716" s="22" t="n">
        <x:f>MAX(0,MIN('Activities'!L716,366)-MAX('Activities'!K716,360))</x:f>
        <x:v>0</x:v>
      </x:c>
      <x:c r="BN716" s="22" t="n">
        <x:f>MAX(0,MIN('Activities'!L716,372)-MAX('Activities'!K716,366))</x:f>
        <x:v>0</x:v>
      </x:c>
      <x:c r="BO716" s="22" t="n">
        <x:f>MAX(0,MIN('Activities'!L716,378)-MAX('Activities'!K716,372))</x:f>
        <x:v>0</x:v>
      </x:c>
      <x:c r="BP716" s="22" t="n">
        <x:f>MAX(0,MIN('Activities'!L716,384)-MAX('Activities'!K716,378))</x:f>
        <x:v>0</x:v>
      </x:c>
      <x:c r="BQ716" s="22" t="n">
        <x:f>MAX(0,MIN('Activities'!L716,390)-MAX('Activities'!K716,384))</x:f>
        <x:v>0</x:v>
      </x:c>
      <x:c r="BR716" s="22" t="n">
        <x:f>MAX(0,MIN('Activities'!L716,396)-MAX('Activities'!K716,390))</x:f>
        <x:v>0</x:v>
      </x:c>
      <x:c r="BS716" s="22" t="n">
        <x:f>MAX(0,MIN('Activities'!L716,402)-MAX('Activities'!K716,396))</x:f>
        <x:v>0</x:v>
      </x:c>
      <x:c r="BT716" s="22" t="n">
        <x:f>MAX(0,MIN('Activities'!L716,408)-MAX('Activities'!K716,402))</x:f>
        <x:v>0</x:v>
      </x:c>
      <x:c r="BU716" s="22" t="n">
        <x:f>MAX(0,MIN('Activities'!L716,414)-MAX('Activities'!K716,408))</x:f>
        <x:v>0</x:v>
      </x:c>
      <x:c r="BV716" s="22" t="n">
        <x:f>MAX(0,MIN('Activities'!L716,420)-MAX('Activities'!K716,414))</x:f>
        <x:v>0</x:v>
      </x:c>
      <x:c r="BW716" s="22" t="n">
        <x:f>MAX(0,MIN('Activities'!L716,426)-MAX('Activities'!K716,420))</x:f>
        <x:v>0</x:v>
      </x:c>
      <x:c r="BX716" s="22" t="n">
        <x:f>MAX(0,MIN('Activities'!L716,432)-MAX('Activities'!K716,426))</x:f>
        <x:v>0</x:v>
      </x:c>
      <x:c r="BY716" s="22" t="n">
        <x:f>MAX(0,MIN('Activities'!L716,438)-MAX('Activities'!K716,432))</x:f>
        <x:v>0</x:v>
      </x:c>
      <x:c r="BZ716" s="22" t="n">
        <x:f>MAX(0,MIN('Activities'!L716,444)-MAX('Activities'!K716,438))</x:f>
        <x:v>0</x:v>
      </x:c>
      <x:c r="CA716" s="22" t="n">
        <x:f>MAX(0,MIN('Activities'!L716,450)-MAX('Activities'!K716,444))</x:f>
        <x:v>0</x:v>
      </x:c>
      <x:c r="CB716" s="22" t="n">
        <x:f>MAX(0,MIN('Activities'!L716,456)-MAX('Activities'!K716,450))</x:f>
        <x:v>0</x:v>
      </x:c>
      <x:c r="CC716" s="22" t="n">
        <x:f>MAX(0,MIN('Activities'!L716,462)-MAX('Activities'!K716,456))</x:f>
        <x:v>0</x:v>
      </x:c>
      <x:c r="CD716" s="22" t="n">
        <x:f>MAX(0,MIN('Activities'!L716,468)-MAX('Activities'!K716,462))</x:f>
        <x:v>0</x:v>
      </x:c>
      <x:c r="CE716" s="22" t="n">
        <x:f>MAX(0,MIN('Activities'!L716,474)-MAX('Activities'!K716,468))</x:f>
        <x:v>0</x:v>
      </x:c>
      <x:c r="CF716" s="22" t="n">
        <x:f>MAX(0,MIN('Activities'!L716,480)-MAX('Activities'!K716,474))</x:f>
        <x:v>0</x:v>
      </x:c>
      <x:c r="CG716" s="22" t="n">
        <x:f>MAX(0,MIN('Activities'!L716,486)-MAX('Activities'!K716,480))</x:f>
        <x:v>0</x:v>
      </x:c>
      <x:c r="CH716" s="22" t="n">
        <x:f>MAX(0,MIN('Activities'!L716,492)-MAX('Activities'!K716,486))</x:f>
        <x:v>0</x:v>
      </x:c>
      <x:c r="CI716" s="22" t="n">
        <x:f>MAX(0,MIN('Activities'!L716,498)-MAX('Activities'!K716,492))</x:f>
        <x:v>0</x:v>
      </x:c>
      <x:c r="CJ716" s="22" t="n">
        <x:f>MAX(0,MIN('Activities'!L716,504)-MAX('Activities'!K716,498))</x:f>
        <x:v>0</x:v>
      </x:c>
      <x:c r="CK716" s="22" t="n">
        <x:f>MAX(0,MIN('Activities'!L716,510)-MAX('Activities'!K716,504))</x:f>
        <x:v>0</x:v>
      </x:c>
      <x:c r="CL716" s="22" t="n">
        <x:f>MAX(0,MIN('Activities'!L716,516)-MAX('Activities'!K716,510))</x:f>
        <x:v>0</x:v>
      </x:c>
      <x:c r="CM716" s="22" t="n">
        <x:f>MAX(0,MIN('Activities'!L716,522)-MAX('Activities'!K716,516))</x:f>
        <x:v>0</x:v>
      </x:c>
      <x:c r="CN716" s="22" t="n">
        <x:f>MAX(0,MIN('Activities'!L716,528)-MAX('Activities'!K716,522))</x:f>
        <x:v>0</x:v>
      </x:c>
      <x:c r="CO716" s="22" t="n">
        <x:f>MAX(0,MIN('Activities'!L716,534)-MAX('Activities'!K716,528))</x:f>
        <x:v>0</x:v>
      </x:c>
      <x:c r="CP716" s="22" t="n">
        <x:f>MAX(0,MIN('Activities'!L716,540)-MAX('Activities'!K716,534))</x:f>
        <x:v>0</x:v>
      </x:c>
      <x:c r="CQ716" s="22" t="n">
        <x:f>MAX(0,MIN('Activities'!L716,546)-MAX('Activities'!K716,540))</x:f>
        <x:v>0</x:v>
      </x:c>
      <x:c r="CR716" s="22" t="n">
        <x:f>MAX(0,MIN('Activities'!L716,552)-MAX('Activities'!K716,546))</x:f>
        <x:v>0</x:v>
      </x:c>
      <x:c r="CS716" s="22" t="n">
        <x:f>MAX(0,MIN('Activities'!L716,558)-MAX('Activities'!K716,552))</x:f>
        <x:v>0</x:v>
      </x:c>
      <x:c r="CT716" s="22" t="n">
        <x:f>MAX(0,MIN('Activities'!L716,564)-MAX('Activities'!K716,558))</x:f>
        <x:v>0</x:v>
      </x:c>
      <x:c r="CU716" s="22" t="n">
        <x:f>MAX(0,MIN('Activities'!L716,570)-MAX('Activities'!K716,564))</x:f>
        <x:v>0</x:v>
      </x:c>
      <x:c r="CV716" s="22" t="n">
        <x:f>MAX(0,MIN('Activities'!L716,576)-MAX('Activities'!K716,570))</x:f>
        <x:v>0</x:v>
      </x:c>
      <x:c r="CW716" s="22" t="n">
        <x:f>MAX(0,MIN('Activities'!L716,582)-MAX('Activities'!K716,576))</x:f>
        <x:v>0</x:v>
      </x:c>
      <x:c r="CX716" s="22" t="n">
        <x:f>MAX(0,MIN('Activities'!L716,588)-MAX('Activities'!K716,582))</x:f>
        <x:v>0</x:v>
      </x:c>
      <x:c r="CY716" s="22" t="n">
        <x:f>MAX(0,MIN('Activities'!L716,594)-MAX('Activities'!K716,588))</x:f>
        <x:v>0</x:v>
      </x:c>
      <x:c r="CZ716" s="22" t="n">
        <x:f>MAX(0,MIN('Activities'!L716,600)-MAX('Activities'!K716,594))</x:f>
        <x:v>0</x:v>
      </x:c>
      <x:c r="DA716" s="22" t="n">
        <x:f>MAX(0,MIN('Activities'!L716,606)-MAX('Activities'!K716,600))</x:f>
        <x:v>0</x:v>
      </x:c>
      <x:c r="DB716" s="22" t="n">
        <x:f>MAX(0,MIN('Activities'!L716,612)-MAX('Activities'!K716,606))</x:f>
        <x:v>0</x:v>
      </x:c>
      <x:c r="DC716" s="22" t="n">
        <x:f>MAX(0,MIN('Activities'!L716,618)-MAX('Activities'!K716,612))</x:f>
        <x:v>0</x:v>
      </x:c>
      <x:c r="DD716" s="22" t="n">
        <x:f>MAX(0,MIN('Activities'!L716,624)-MAX('Activities'!K716,618))</x:f>
        <x:v>0</x:v>
      </x:c>
      <x:c r="DE716" s="22" t="n">
        <x:f>MAX(0,MIN('Activities'!L716,630)-MAX('Activities'!K716,624))</x:f>
        <x:v>0</x:v>
      </x:c>
      <x:c r="DF716" s="22" t="n">
        <x:f>MAX(0,MIN('Activities'!L716,636)-MAX('Activities'!K716,630))</x:f>
        <x:v>0</x:v>
      </x:c>
    </x:row>
    <x:row r="717" ht="23" customHeight="1">
      <x:c r="A717" s="1" t="str">
        <x:v>T6-L09-F</x:v>
      </x:c>
      <x:c r="B717" s="1" t="str">
        <x:v>T6</x:v>
      </x:c>
      <x:c r="C717" s="1" t="str">
        <x:v>Columns, core and deck formwork</x:v>
      </x:c>
      <x:c r="D717" s="1" t="str">
        <x:v>Formwork</x:v>
      </x:c>
      <x:c r="E717" s="23" t="n">
        <x:f>MAX(0,MIN('Activities'!L717,6)-MAX('Activities'!K717,0))</x:f>
        <x:v>0</x:v>
      </x:c>
      <x:c r="F717" s="23" t="n">
        <x:f>MAX(0,MIN('Activities'!L717,12)-MAX('Activities'!K717,6))</x:f>
        <x:v>0</x:v>
      </x:c>
      <x:c r="G717" s="23" t="n">
        <x:f>MAX(0,MIN('Activities'!L717,18)-MAX('Activities'!K717,12))</x:f>
        <x:v>0</x:v>
      </x:c>
      <x:c r="H717" s="23" t="n">
        <x:f>MAX(0,MIN('Activities'!L717,24)-MAX('Activities'!K717,18))</x:f>
        <x:v>0</x:v>
      </x:c>
      <x:c r="I717" s="23" t="n">
        <x:f>MAX(0,MIN('Activities'!L717,30)-MAX('Activities'!K717,24))</x:f>
        <x:v>0</x:v>
      </x:c>
      <x:c r="J717" s="23" t="n">
        <x:f>MAX(0,MIN('Activities'!L717,36)-MAX('Activities'!K717,30))</x:f>
        <x:v>0</x:v>
      </x:c>
      <x:c r="K717" s="23" t="n">
        <x:f>MAX(0,MIN('Activities'!L717,42)-MAX('Activities'!K717,36))</x:f>
        <x:v>0</x:v>
      </x:c>
      <x:c r="L717" s="23" t="n">
        <x:f>MAX(0,MIN('Activities'!L717,48)-MAX('Activities'!K717,42))</x:f>
        <x:v>0</x:v>
      </x:c>
      <x:c r="M717" s="23" t="n">
        <x:f>MAX(0,MIN('Activities'!L717,54)-MAX('Activities'!K717,48))</x:f>
        <x:v>0</x:v>
      </x:c>
      <x:c r="N717" s="23" t="n">
        <x:f>MAX(0,MIN('Activities'!L717,60)-MAX('Activities'!K717,54))</x:f>
        <x:v>0</x:v>
      </x:c>
      <x:c r="O717" s="23" t="n">
        <x:f>MAX(0,MIN('Activities'!L717,66)-MAX('Activities'!K717,60))</x:f>
        <x:v>0</x:v>
      </x:c>
      <x:c r="P717" s="23" t="n">
        <x:f>MAX(0,MIN('Activities'!L717,72)-MAX('Activities'!K717,66))</x:f>
        <x:v>0</x:v>
      </x:c>
      <x:c r="Q717" s="23" t="n">
        <x:f>MAX(0,MIN('Activities'!L717,78)-MAX('Activities'!K717,72))</x:f>
        <x:v>0</x:v>
      </x:c>
      <x:c r="R717" s="23" t="n">
        <x:f>MAX(0,MIN('Activities'!L717,84)-MAX('Activities'!K717,78))</x:f>
        <x:v>0</x:v>
      </x:c>
      <x:c r="S717" s="23" t="n">
        <x:f>MAX(0,MIN('Activities'!L717,90)-MAX('Activities'!K717,84))</x:f>
        <x:v>0</x:v>
      </x:c>
      <x:c r="T717" s="23" t="n">
        <x:f>MAX(0,MIN('Activities'!L717,96)-MAX('Activities'!K717,90))</x:f>
        <x:v>0</x:v>
      </x:c>
      <x:c r="U717" s="23" t="n">
        <x:f>MAX(0,MIN('Activities'!L717,102)-MAX('Activities'!K717,96))</x:f>
        <x:v>0</x:v>
      </x:c>
      <x:c r="V717" s="23" t="n">
        <x:f>MAX(0,MIN('Activities'!L717,108)-MAX('Activities'!K717,102))</x:f>
        <x:v>0</x:v>
      </x:c>
      <x:c r="W717" s="23" t="n">
        <x:f>MAX(0,MIN('Activities'!L717,114)-MAX('Activities'!K717,108))</x:f>
        <x:v>0</x:v>
      </x:c>
      <x:c r="X717" s="23" t="n">
        <x:f>MAX(0,MIN('Activities'!L717,120)-MAX('Activities'!K717,114))</x:f>
        <x:v>0</x:v>
      </x:c>
      <x:c r="Y717" s="23" t="n">
        <x:f>MAX(0,MIN('Activities'!L717,126)-MAX('Activities'!K717,120))</x:f>
        <x:v>0</x:v>
      </x:c>
      <x:c r="Z717" s="23" t="n">
        <x:f>MAX(0,MIN('Activities'!L717,132)-MAX('Activities'!K717,126))</x:f>
        <x:v>0</x:v>
      </x:c>
      <x:c r="AA717" s="23" t="n">
        <x:f>MAX(0,MIN('Activities'!L717,138)-MAX('Activities'!K717,132))</x:f>
        <x:v>0</x:v>
      </x:c>
      <x:c r="AB717" s="23" t="n">
        <x:f>MAX(0,MIN('Activities'!L717,144)-MAX('Activities'!K717,138))</x:f>
        <x:v>0</x:v>
      </x:c>
      <x:c r="AC717" s="23" t="n">
        <x:f>MAX(0,MIN('Activities'!L717,150)-MAX('Activities'!K717,144))</x:f>
        <x:v>0</x:v>
      </x:c>
      <x:c r="AD717" s="23" t="n">
        <x:f>MAX(0,MIN('Activities'!L717,156)-MAX('Activities'!K717,150))</x:f>
        <x:v>0</x:v>
      </x:c>
      <x:c r="AE717" s="23" t="n">
        <x:f>MAX(0,MIN('Activities'!L717,162)-MAX('Activities'!K717,156))</x:f>
        <x:v>0</x:v>
      </x:c>
      <x:c r="AF717" s="23" t="n">
        <x:f>MAX(0,MIN('Activities'!L717,168)-MAX('Activities'!K717,162))</x:f>
        <x:v>0</x:v>
      </x:c>
      <x:c r="AG717" s="23" t="n">
        <x:f>MAX(0,MIN('Activities'!L717,174)-MAX('Activities'!K717,168))</x:f>
        <x:v>0</x:v>
      </x:c>
      <x:c r="AH717" s="23" t="n">
        <x:f>MAX(0,MIN('Activities'!L717,180)-MAX('Activities'!K717,174))</x:f>
        <x:v>0</x:v>
      </x:c>
      <x:c r="AI717" s="23" t="n">
        <x:f>MAX(0,MIN('Activities'!L717,186)-MAX('Activities'!K717,180))</x:f>
        <x:v>0</x:v>
      </x:c>
      <x:c r="AJ717" s="23" t="n">
        <x:f>MAX(0,MIN('Activities'!L717,192)-MAX('Activities'!K717,186))</x:f>
        <x:v>0</x:v>
      </x:c>
      <x:c r="AK717" s="23" t="n">
        <x:f>MAX(0,MIN('Activities'!L717,198)-MAX('Activities'!K717,192))</x:f>
        <x:v>0</x:v>
      </x:c>
      <x:c r="AL717" s="23" t="n">
        <x:f>MAX(0,MIN('Activities'!L717,204)-MAX('Activities'!K717,198))</x:f>
        <x:v>0</x:v>
      </x:c>
      <x:c r="AM717" s="23" t="n">
        <x:f>MAX(0,MIN('Activities'!L717,210)-MAX('Activities'!K717,204))</x:f>
        <x:v>0</x:v>
      </x:c>
      <x:c r="AN717" s="23" t="n">
        <x:f>MAX(0,MIN('Activities'!L717,216)-MAX('Activities'!K717,210))</x:f>
        <x:v>0</x:v>
      </x:c>
      <x:c r="AO717" s="23" t="n">
        <x:f>MAX(0,MIN('Activities'!L717,222)-MAX('Activities'!K717,216))</x:f>
        <x:v>0</x:v>
      </x:c>
      <x:c r="AP717" s="23" t="n">
        <x:f>MAX(0,MIN('Activities'!L717,228)-MAX('Activities'!K717,222))</x:f>
        <x:v>0</x:v>
      </x:c>
      <x:c r="AQ717" s="23" t="n">
        <x:f>MAX(0,MIN('Activities'!L717,234)-MAX('Activities'!K717,228))</x:f>
        <x:v>0</x:v>
      </x:c>
      <x:c r="AR717" s="23" t="n">
        <x:f>MAX(0,MIN('Activities'!L717,240)-MAX('Activities'!K717,234))</x:f>
        <x:v>0</x:v>
      </x:c>
      <x:c r="AS717" s="23" t="n">
        <x:f>MAX(0,MIN('Activities'!L717,246)-MAX('Activities'!K717,240))</x:f>
        <x:v>0</x:v>
      </x:c>
      <x:c r="AT717" s="23" t="n">
        <x:f>MAX(0,MIN('Activities'!L717,252)-MAX('Activities'!K717,246))</x:f>
        <x:v>0</x:v>
      </x:c>
      <x:c r="AU717" s="23" t="n">
        <x:f>MAX(0,MIN('Activities'!L717,258)-MAX('Activities'!K717,252))</x:f>
        <x:v>0</x:v>
      </x:c>
      <x:c r="AV717" s="23" t="n">
        <x:f>MAX(0,MIN('Activities'!L717,264)-MAX('Activities'!K717,258))</x:f>
        <x:v>0</x:v>
      </x:c>
      <x:c r="AW717" s="23" t="n">
        <x:f>MAX(0,MIN('Activities'!L717,270)-MAX('Activities'!K717,264))</x:f>
        <x:v>0</x:v>
      </x:c>
      <x:c r="AX717" s="23" t="n">
        <x:f>MAX(0,MIN('Activities'!L717,276)-MAX('Activities'!K717,270))</x:f>
        <x:v>0</x:v>
      </x:c>
      <x:c r="AY717" s="23" t="n">
        <x:f>MAX(0,MIN('Activities'!L717,282)-MAX('Activities'!K717,276))</x:f>
        <x:v>0</x:v>
      </x:c>
      <x:c r="AZ717" s="23" t="n">
        <x:f>MAX(0,MIN('Activities'!L717,288)-MAX('Activities'!K717,282))</x:f>
        <x:v>0</x:v>
      </x:c>
      <x:c r="BA717" s="23" t="n">
        <x:f>MAX(0,MIN('Activities'!L717,294)-MAX('Activities'!K717,288))</x:f>
        <x:v>0</x:v>
      </x:c>
      <x:c r="BB717" s="23" t="n">
        <x:f>MAX(0,MIN('Activities'!L717,300)-MAX('Activities'!K717,294))</x:f>
        <x:v>0</x:v>
      </x:c>
      <x:c r="BC717" s="23" t="n">
        <x:f>MAX(0,MIN('Activities'!L717,306)-MAX('Activities'!K717,300))</x:f>
        <x:v>0</x:v>
      </x:c>
      <x:c r="BD717" s="23" t="n">
        <x:f>MAX(0,MIN('Activities'!L717,312)-MAX('Activities'!K717,306))</x:f>
        <x:v>0</x:v>
      </x:c>
      <x:c r="BE717" s="23" t="n">
        <x:f>MAX(0,MIN('Activities'!L717,318)-MAX('Activities'!K717,312))</x:f>
        <x:v>0</x:v>
      </x:c>
      <x:c r="BF717" s="23" t="n">
        <x:f>MAX(0,MIN('Activities'!L717,324)-MAX('Activities'!K717,318))</x:f>
        <x:v>0</x:v>
      </x:c>
      <x:c r="BG717" s="23" t="n">
        <x:f>MAX(0,MIN('Activities'!L717,330)-MAX('Activities'!K717,324))</x:f>
        <x:v>0</x:v>
      </x:c>
      <x:c r="BH717" s="23" t="n">
        <x:f>MAX(0,MIN('Activities'!L717,336)-MAX('Activities'!K717,330))</x:f>
        <x:v>0</x:v>
      </x:c>
      <x:c r="BI717" s="23" t="n">
        <x:f>MAX(0,MIN('Activities'!L717,342)-MAX('Activities'!K717,336))</x:f>
        <x:v>0</x:v>
      </x:c>
      <x:c r="BJ717" s="23" t="n">
        <x:f>MAX(0,MIN('Activities'!L717,348)-MAX('Activities'!K717,342))</x:f>
        <x:v>0</x:v>
      </x:c>
      <x:c r="BK717" s="23" t="n">
        <x:f>MAX(0,MIN('Activities'!L717,354)-MAX('Activities'!K717,348))</x:f>
        <x:v>0</x:v>
      </x:c>
      <x:c r="BL717" s="23" t="n">
        <x:f>MAX(0,MIN('Activities'!L717,360)-MAX('Activities'!K717,354))</x:f>
        <x:v>4</x:v>
      </x:c>
      <x:c r="BM717" s="23" t="n">
        <x:f>MAX(0,MIN('Activities'!L717,366)-MAX('Activities'!K717,360))</x:f>
        <x:v>2</x:v>
      </x:c>
      <x:c r="BN717" s="23" t="n">
        <x:f>MAX(0,MIN('Activities'!L717,372)-MAX('Activities'!K717,366))</x:f>
        <x:v>0</x:v>
      </x:c>
      <x:c r="BO717" s="23" t="n">
        <x:f>MAX(0,MIN('Activities'!L717,378)-MAX('Activities'!K717,372))</x:f>
        <x:v>0</x:v>
      </x:c>
      <x:c r="BP717" s="23" t="n">
        <x:f>MAX(0,MIN('Activities'!L717,384)-MAX('Activities'!K717,378))</x:f>
        <x:v>0</x:v>
      </x:c>
      <x:c r="BQ717" s="23" t="n">
        <x:f>MAX(0,MIN('Activities'!L717,390)-MAX('Activities'!K717,384))</x:f>
        <x:v>0</x:v>
      </x:c>
      <x:c r="BR717" s="23" t="n">
        <x:f>MAX(0,MIN('Activities'!L717,396)-MAX('Activities'!K717,390))</x:f>
        <x:v>0</x:v>
      </x:c>
      <x:c r="BS717" s="23" t="n">
        <x:f>MAX(0,MIN('Activities'!L717,402)-MAX('Activities'!K717,396))</x:f>
        <x:v>0</x:v>
      </x:c>
      <x:c r="BT717" s="23" t="n">
        <x:f>MAX(0,MIN('Activities'!L717,408)-MAX('Activities'!K717,402))</x:f>
        <x:v>0</x:v>
      </x:c>
      <x:c r="BU717" s="23" t="n">
        <x:f>MAX(0,MIN('Activities'!L717,414)-MAX('Activities'!K717,408))</x:f>
        <x:v>0</x:v>
      </x:c>
      <x:c r="BV717" s="23" t="n">
        <x:f>MAX(0,MIN('Activities'!L717,420)-MAX('Activities'!K717,414))</x:f>
        <x:v>0</x:v>
      </x:c>
      <x:c r="BW717" s="23" t="n">
        <x:f>MAX(0,MIN('Activities'!L717,426)-MAX('Activities'!K717,420))</x:f>
        <x:v>0</x:v>
      </x:c>
      <x:c r="BX717" s="23" t="n">
        <x:f>MAX(0,MIN('Activities'!L717,432)-MAX('Activities'!K717,426))</x:f>
        <x:v>0</x:v>
      </x:c>
      <x:c r="BY717" s="23" t="n">
        <x:f>MAX(0,MIN('Activities'!L717,438)-MAX('Activities'!K717,432))</x:f>
        <x:v>0</x:v>
      </x:c>
      <x:c r="BZ717" s="23" t="n">
        <x:f>MAX(0,MIN('Activities'!L717,444)-MAX('Activities'!K717,438))</x:f>
        <x:v>0</x:v>
      </x:c>
      <x:c r="CA717" s="23" t="n">
        <x:f>MAX(0,MIN('Activities'!L717,450)-MAX('Activities'!K717,444))</x:f>
        <x:v>0</x:v>
      </x:c>
      <x:c r="CB717" s="23" t="n">
        <x:f>MAX(0,MIN('Activities'!L717,456)-MAX('Activities'!K717,450))</x:f>
        <x:v>0</x:v>
      </x:c>
      <x:c r="CC717" s="23" t="n">
        <x:f>MAX(0,MIN('Activities'!L717,462)-MAX('Activities'!K717,456))</x:f>
        <x:v>0</x:v>
      </x:c>
      <x:c r="CD717" s="23" t="n">
        <x:f>MAX(0,MIN('Activities'!L717,468)-MAX('Activities'!K717,462))</x:f>
        <x:v>0</x:v>
      </x:c>
      <x:c r="CE717" s="23" t="n">
        <x:f>MAX(0,MIN('Activities'!L717,474)-MAX('Activities'!K717,468))</x:f>
        <x:v>0</x:v>
      </x:c>
      <x:c r="CF717" s="23" t="n">
        <x:f>MAX(0,MIN('Activities'!L717,480)-MAX('Activities'!K717,474))</x:f>
        <x:v>0</x:v>
      </x:c>
      <x:c r="CG717" s="23" t="n">
        <x:f>MAX(0,MIN('Activities'!L717,486)-MAX('Activities'!K717,480))</x:f>
        <x:v>0</x:v>
      </x:c>
      <x:c r="CH717" s="23" t="n">
        <x:f>MAX(0,MIN('Activities'!L717,492)-MAX('Activities'!K717,486))</x:f>
        <x:v>0</x:v>
      </x:c>
      <x:c r="CI717" s="23" t="n">
        <x:f>MAX(0,MIN('Activities'!L717,498)-MAX('Activities'!K717,492))</x:f>
        <x:v>0</x:v>
      </x:c>
      <x:c r="CJ717" s="23" t="n">
        <x:f>MAX(0,MIN('Activities'!L717,504)-MAX('Activities'!K717,498))</x:f>
        <x:v>0</x:v>
      </x:c>
      <x:c r="CK717" s="23" t="n">
        <x:f>MAX(0,MIN('Activities'!L717,510)-MAX('Activities'!K717,504))</x:f>
        <x:v>0</x:v>
      </x:c>
      <x:c r="CL717" s="23" t="n">
        <x:f>MAX(0,MIN('Activities'!L717,516)-MAX('Activities'!K717,510))</x:f>
        <x:v>0</x:v>
      </x:c>
      <x:c r="CM717" s="23" t="n">
        <x:f>MAX(0,MIN('Activities'!L717,522)-MAX('Activities'!K717,516))</x:f>
        <x:v>0</x:v>
      </x:c>
      <x:c r="CN717" s="23" t="n">
        <x:f>MAX(0,MIN('Activities'!L717,528)-MAX('Activities'!K717,522))</x:f>
        <x:v>0</x:v>
      </x:c>
      <x:c r="CO717" s="23" t="n">
        <x:f>MAX(0,MIN('Activities'!L717,534)-MAX('Activities'!K717,528))</x:f>
        <x:v>0</x:v>
      </x:c>
      <x:c r="CP717" s="23" t="n">
        <x:f>MAX(0,MIN('Activities'!L717,540)-MAX('Activities'!K717,534))</x:f>
        <x:v>0</x:v>
      </x:c>
      <x:c r="CQ717" s="23" t="n">
        <x:f>MAX(0,MIN('Activities'!L717,546)-MAX('Activities'!K717,540))</x:f>
        <x:v>0</x:v>
      </x:c>
      <x:c r="CR717" s="23" t="n">
        <x:f>MAX(0,MIN('Activities'!L717,552)-MAX('Activities'!K717,546))</x:f>
        <x:v>0</x:v>
      </x:c>
      <x:c r="CS717" s="23" t="n">
        <x:f>MAX(0,MIN('Activities'!L717,558)-MAX('Activities'!K717,552))</x:f>
        <x:v>0</x:v>
      </x:c>
      <x:c r="CT717" s="23" t="n">
        <x:f>MAX(0,MIN('Activities'!L717,564)-MAX('Activities'!K717,558))</x:f>
        <x:v>0</x:v>
      </x:c>
      <x:c r="CU717" s="23" t="n">
        <x:f>MAX(0,MIN('Activities'!L717,570)-MAX('Activities'!K717,564))</x:f>
        <x:v>0</x:v>
      </x:c>
      <x:c r="CV717" s="23" t="n">
        <x:f>MAX(0,MIN('Activities'!L717,576)-MAX('Activities'!K717,570))</x:f>
        <x:v>0</x:v>
      </x:c>
      <x:c r="CW717" s="23" t="n">
        <x:f>MAX(0,MIN('Activities'!L717,582)-MAX('Activities'!K717,576))</x:f>
        <x:v>0</x:v>
      </x:c>
      <x:c r="CX717" s="23" t="n">
        <x:f>MAX(0,MIN('Activities'!L717,588)-MAX('Activities'!K717,582))</x:f>
        <x:v>0</x:v>
      </x:c>
      <x:c r="CY717" s="23" t="n">
        <x:f>MAX(0,MIN('Activities'!L717,594)-MAX('Activities'!K717,588))</x:f>
        <x:v>0</x:v>
      </x:c>
      <x:c r="CZ717" s="23" t="n">
        <x:f>MAX(0,MIN('Activities'!L717,600)-MAX('Activities'!K717,594))</x:f>
        <x:v>0</x:v>
      </x:c>
      <x:c r="DA717" s="23" t="n">
        <x:f>MAX(0,MIN('Activities'!L717,606)-MAX('Activities'!K717,600))</x:f>
        <x:v>0</x:v>
      </x:c>
      <x:c r="DB717" s="23" t="n">
        <x:f>MAX(0,MIN('Activities'!L717,612)-MAX('Activities'!K717,606))</x:f>
        <x:v>0</x:v>
      </x:c>
      <x:c r="DC717" s="23" t="n">
        <x:f>MAX(0,MIN('Activities'!L717,618)-MAX('Activities'!K717,612))</x:f>
        <x:v>0</x:v>
      </x:c>
      <x:c r="DD717" s="23" t="n">
        <x:f>MAX(0,MIN('Activities'!L717,624)-MAX('Activities'!K717,618))</x:f>
        <x:v>0</x:v>
      </x:c>
      <x:c r="DE717" s="23" t="n">
        <x:f>MAX(0,MIN('Activities'!L717,630)-MAX('Activities'!K717,624))</x:f>
        <x:v>0</x:v>
      </x:c>
      <x:c r="DF717" s="23" t="n">
        <x:f>MAX(0,MIN('Activities'!L717,636)-MAX('Activities'!K717,630))</x:f>
        <x:v>0</x:v>
      </x:c>
    </x:row>
    <x:row r="718" ht="23" customHeight="1">
      <x:c r="A718" s="6" t="str">
        <x:v>T6-L09-R</x:v>
      </x:c>
      <x:c r="B718" s="6" t="str">
        <x:v>T6</x:v>
      </x:c>
      <x:c r="C718" s="6" t="str">
        <x:v>Column, wall, beam and slab reinforcement</x:v>
      </x:c>
      <x:c r="D718" s="6" t="str">
        <x:v>Rebar</x:v>
      </x:c>
      <x:c r="E718" s="22" t="n">
        <x:f>MAX(0,MIN('Activities'!L718,6)-MAX('Activities'!K718,0))</x:f>
        <x:v>0</x:v>
      </x:c>
      <x:c r="F718" s="22" t="n">
        <x:f>MAX(0,MIN('Activities'!L718,12)-MAX('Activities'!K718,6))</x:f>
        <x:v>0</x:v>
      </x:c>
      <x:c r="G718" s="22" t="n">
        <x:f>MAX(0,MIN('Activities'!L718,18)-MAX('Activities'!K718,12))</x:f>
        <x:v>0</x:v>
      </x:c>
      <x:c r="H718" s="22" t="n">
        <x:f>MAX(0,MIN('Activities'!L718,24)-MAX('Activities'!K718,18))</x:f>
        <x:v>0</x:v>
      </x:c>
      <x:c r="I718" s="22" t="n">
        <x:f>MAX(0,MIN('Activities'!L718,30)-MAX('Activities'!K718,24))</x:f>
        <x:v>0</x:v>
      </x:c>
      <x:c r="J718" s="22" t="n">
        <x:f>MAX(0,MIN('Activities'!L718,36)-MAX('Activities'!K718,30))</x:f>
        <x:v>0</x:v>
      </x:c>
      <x:c r="K718" s="22" t="n">
        <x:f>MAX(0,MIN('Activities'!L718,42)-MAX('Activities'!K718,36))</x:f>
        <x:v>0</x:v>
      </x:c>
      <x:c r="L718" s="22" t="n">
        <x:f>MAX(0,MIN('Activities'!L718,48)-MAX('Activities'!K718,42))</x:f>
        <x:v>0</x:v>
      </x:c>
      <x:c r="M718" s="22" t="n">
        <x:f>MAX(0,MIN('Activities'!L718,54)-MAX('Activities'!K718,48))</x:f>
        <x:v>0</x:v>
      </x:c>
      <x:c r="N718" s="22" t="n">
        <x:f>MAX(0,MIN('Activities'!L718,60)-MAX('Activities'!K718,54))</x:f>
        <x:v>0</x:v>
      </x:c>
      <x:c r="O718" s="22" t="n">
        <x:f>MAX(0,MIN('Activities'!L718,66)-MAX('Activities'!K718,60))</x:f>
        <x:v>0</x:v>
      </x:c>
      <x:c r="P718" s="22" t="n">
        <x:f>MAX(0,MIN('Activities'!L718,72)-MAX('Activities'!K718,66))</x:f>
        <x:v>0</x:v>
      </x:c>
      <x:c r="Q718" s="22" t="n">
        <x:f>MAX(0,MIN('Activities'!L718,78)-MAX('Activities'!K718,72))</x:f>
        <x:v>0</x:v>
      </x:c>
      <x:c r="R718" s="22" t="n">
        <x:f>MAX(0,MIN('Activities'!L718,84)-MAX('Activities'!K718,78))</x:f>
        <x:v>0</x:v>
      </x:c>
      <x:c r="S718" s="22" t="n">
        <x:f>MAX(0,MIN('Activities'!L718,90)-MAX('Activities'!K718,84))</x:f>
        <x:v>0</x:v>
      </x:c>
      <x:c r="T718" s="22" t="n">
        <x:f>MAX(0,MIN('Activities'!L718,96)-MAX('Activities'!K718,90))</x:f>
        <x:v>0</x:v>
      </x:c>
      <x:c r="U718" s="22" t="n">
        <x:f>MAX(0,MIN('Activities'!L718,102)-MAX('Activities'!K718,96))</x:f>
        <x:v>0</x:v>
      </x:c>
      <x:c r="V718" s="22" t="n">
        <x:f>MAX(0,MIN('Activities'!L718,108)-MAX('Activities'!K718,102))</x:f>
        <x:v>0</x:v>
      </x:c>
      <x:c r="W718" s="22" t="n">
        <x:f>MAX(0,MIN('Activities'!L718,114)-MAX('Activities'!K718,108))</x:f>
        <x:v>0</x:v>
      </x:c>
      <x:c r="X718" s="22" t="n">
        <x:f>MAX(0,MIN('Activities'!L718,120)-MAX('Activities'!K718,114))</x:f>
        <x:v>0</x:v>
      </x:c>
      <x:c r="Y718" s="22" t="n">
        <x:f>MAX(0,MIN('Activities'!L718,126)-MAX('Activities'!K718,120))</x:f>
        <x:v>0</x:v>
      </x:c>
      <x:c r="Z718" s="22" t="n">
        <x:f>MAX(0,MIN('Activities'!L718,132)-MAX('Activities'!K718,126))</x:f>
        <x:v>0</x:v>
      </x:c>
      <x:c r="AA718" s="22" t="n">
        <x:f>MAX(0,MIN('Activities'!L718,138)-MAX('Activities'!K718,132))</x:f>
        <x:v>0</x:v>
      </x:c>
      <x:c r="AB718" s="22" t="n">
        <x:f>MAX(0,MIN('Activities'!L718,144)-MAX('Activities'!K718,138))</x:f>
        <x:v>0</x:v>
      </x:c>
      <x:c r="AC718" s="22" t="n">
        <x:f>MAX(0,MIN('Activities'!L718,150)-MAX('Activities'!K718,144))</x:f>
        <x:v>0</x:v>
      </x:c>
      <x:c r="AD718" s="22" t="n">
        <x:f>MAX(0,MIN('Activities'!L718,156)-MAX('Activities'!K718,150))</x:f>
        <x:v>0</x:v>
      </x:c>
      <x:c r="AE718" s="22" t="n">
        <x:f>MAX(0,MIN('Activities'!L718,162)-MAX('Activities'!K718,156))</x:f>
        <x:v>0</x:v>
      </x:c>
      <x:c r="AF718" s="22" t="n">
        <x:f>MAX(0,MIN('Activities'!L718,168)-MAX('Activities'!K718,162))</x:f>
        <x:v>0</x:v>
      </x:c>
      <x:c r="AG718" s="22" t="n">
        <x:f>MAX(0,MIN('Activities'!L718,174)-MAX('Activities'!K718,168))</x:f>
        <x:v>0</x:v>
      </x:c>
      <x:c r="AH718" s="22" t="n">
        <x:f>MAX(0,MIN('Activities'!L718,180)-MAX('Activities'!K718,174))</x:f>
        <x:v>0</x:v>
      </x:c>
      <x:c r="AI718" s="22" t="n">
        <x:f>MAX(0,MIN('Activities'!L718,186)-MAX('Activities'!K718,180))</x:f>
        <x:v>0</x:v>
      </x:c>
      <x:c r="AJ718" s="22" t="n">
        <x:f>MAX(0,MIN('Activities'!L718,192)-MAX('Activities'!K718,186))</x:f>
        <x:v>0</x:v>
      </x:c>
      <x:c r="AK718" s="22" t="n">
        <x:f>MAX(0,MIN('Activities'!L718,198)-MAX('Activities'!K718,192))</x:f>
        <x:v>0</x:v>
      </x:c>
      <x:c r="AL718" s="22" t="n">
        <x:f>MAX(0,MIN('Activities'!L718,204)-MAX('Activities'!K718,198))</x:f>
        <x:v>0</x:v>
      </x:c>
      <x:c r="AM718" s="22" t="n">
        <x:f>MAX(0,MIN('Activities'!L718,210)-MAX('Activities'!K718,204))</x:f>
        <x:v>0</x:v>
      </x:c>
      <x:c r="AN718" s="22" t="n">
        <x:f>MAX(0,MIN('Activities'!L718,216)-MAX('Activities'!K718,210))</x:f>
        <x:v>0</x:v>
      </x:c>
      <x:c r="AO718" s="22" t="n">
        <x:f>MAX(0,MIN('Activities'!L718,222)-MAX('Activities'!K718,216))</x:f>
        <x:v>0</x:v>
      </x:c>
      <x:c r="AP718" s="22" t="n">
        <x:f>MAX(0,MIN('Activities'!L718,228)-MAX('Activities'!K718,222))</x:f>
        <x:v>0</x:v>
      </x:c>
      <x:c r="AQ718" s="22" t="n">
        <x:f>MAX(0,MIN('Activities'!L718,234)-MAX('Activities'!K718,228))</x:f>
        <x:v>0</x:v>
      </x:c>
      <x:c r="AR718" s="22" t="n">
        <x:f>MAX(0,MIN('Activities'!L718,240)-MAX('Activities'!K718,234))</x:f>
        <x:v>0</x:v>
      </x:c>
      <x:c r="AS718" s="22" t="n">
        <x:f>MAX(0,MIN('Activities'!L718,246)-MAX('Activities'!K718,240))</x:f>
        <x:v>0</x:v>
      </x:c>
      <x:c r="AT718" s="22" t="n">
        <x:f>MAX(0,MIN('Activities'!L718,252)-MAX('Activities'!K718,246))</x:f>
        <x:v>0</x:v>
      </x:c>
      <x:c r="AU718" s="22" t="n">
        <x:f>MAX(0,MIN('Activities'!L718,258)-MAX('Activities'!K718,252))</x:f>
        <x:v>0</x:v>
      </x:c>
      <x:c r="AV718" s="22" t="n">
        <x:f>MAX(0,MIN('Activities'!L718,264)-MAX('Activities'!K718,258))</x:f>
        <x:v>0</x:v>
      </x:c>
      <x:c r="AW718" s="22" t="n">
        <x:f>MAX(0,MIN('Activities'!L718,270)-MAX('Activities'!K718,264))</x:f>
        <x:v>0</x:v>
      </x:c>
      <x:c r="AX718" s="22" t="n">
        <x:f>MAX(0,MIN('Activities'!L718,276)-MAX('Activities'!K718,270))</x:f>
        <x:v>0</x:v>
      </x:c>
      <x:c r="AY718" s="22" t="n">
        <x:f>MAX(0,MIN('Activities'!L718,282)-MAX('Activities'!K718,276))</x:f>
        <x:v>0</x:v>
      </x:c>
      <x:c r="AZ718" s="22" t="n">
        <x:f>MAX(0,MIN('Activities'!L718,288)-MAX('Activities'!K718,282))</x:f>
        <x:v>0</x:v>
      </x:c>
      <x:c r="BA718" s="22" t="n">
        <x:f>MAX(0,MIN('Activities'!L718,294)-MAX('Activities'!K718,288))</x:f>
        <x:v>0</x:v>
      </x:c>
      <x:c r="BB718" s="22" t="n">
        <x:f>MAX(0,MIN('Activities'!L718,300)-MAX('Activities'!K718,294))</x:f>
        <x:v>0</x:v>
      </x:c>
      <x:c r="BC718" s="22" t="n">
        <x:f>MAX(0,MIN('Activities'!L718,306)-MAX('Activities'!K718,300))</x:f>
        <x:v>0</x:v>
      </x:c>
      <x:c r="BD718" s="22" t="n">
        <x:f>MAX(0,MIN('Activities'!L718,312)-MAX('Activities'!K718,306))</x:f>
        <x:v>0</x:v>
      </x:c>
      <x:c r="BE718" s="22" t="n">
        <x:f>MAX(0,MIN('Activities'!L718,318)-MAX('Activities'!K718,312))</x:f>
        <x:v>0</x:v>
      </x:c>
      <x:c r="BF718" s="22" t="n">
        <x:f>MAX(0,MIN('Activities'!L718,324)-MAX('Activities'!K718,318))</x:f>
        <x:v>0</x:v>
      </x:c>
      <x:c r="BG718" s="22" t="n">
        <x:f>MAX(0,MIN('Activities'!L718,330)-MAX('Activities'!K718,324))</x:f>
        <x:v>0</x:v>
      </x:c>
      <x:c r="BH718" s="22" t="n">
        <x:f>MAX(0,MIN('Activities'!L718,336)-MAX('Activities'!K718,330))</x:f>
        <x:v>0</x:v>
      </x:c>
      <x:c r="BI718" s="22" t="n">
        <x:f>MAX(0,MIN('Activities'!L718,342)-MAX('Activities'!K718,336))</x:f>
        <x:v>0</x:v>
      </x:c>
      <x:c r="BJ718" s="22" t="n">
        <x:f>MAX(0,MIN('Activities'!L718,348)-MAX('Activities'!K718,342))</x:f>
        <x:v>0</x:v>
      </x:c>
      <x:c r="BK718" s="22" t="n">
        <x:f>MAX(0,MIN('Activities'!L718,354)-MAX('Activities'!K718,348))</x:f>
        <x:v>0</x:v>
      </x:c>
      <x:c r="BL718" s="22" t="n">
        <x:f>MAX(0,MIN('Activities'!L718,360)-MAX('Activities'!K718,354))</x:f>
        <x:v>0</x:v>
      </x:c>
      <x:c r="BM718" s="22" t="n">
        <x:f>MAX(0,MIN('Activities'!L718,366)-MAX('Activities'!K718,360))</x:f>
        <x:v>4</x:v>
      </x:c>
      <x:c r="BN718" s="22" t="n">
        <x:f>MAX(0,MIN('Activities'!L718,372)-MAX('Activities'!K718,366))</x:f>
        <x:v>1</x:v>
      </x:c>
      <x:c r="BO718" s="22" t="n">
        <x:f>MAX(0,MIN('Activities'!L718,378)-MAX('Activities'!K718,372))</x:f>
        <x:v>0</x:v>
      </x:c>
      <x:c r="BP718" s="22" t="n">
        <x:f>MAX(0,MIN('Activities'!L718,384)-MAX('Activities'!K718,378))</x:f>
        <x:v>0</x:v>
      </x:c>
      <x:c r="BQ718" s="22" t="n">
        <x:f>MAX(0,MIN('Activities'!L718,390)-MAX('Activities'!K718,384))</x:f>
        <x:v>0</x:v>
      </x:c>
      <x:c r="BR718" s="22" t="n">
        <x:f>MAX(0,MIN('Activities'!L718,396)-MAX('Activities'!K718,390))</x:f>
        <x:v>0</x:v>
      </x:c>
      <x:c r="BS718" s="22" t="n">
        <x:f>MAX(0,MIN('Activities'!L718,402)-MAX('Activities'!K718,396))</x:f>
        <x:v>0</x:v>
      </x:c>
      <x:c r="BT718" s="22" t="n">
        <x:f>MAX(0,MIN('Activities'!L718,408)-MAX('Activities'!K718,402))</x:f>
        <x:v>0</x:v>
      </x:c>
      <x:c r="BU718" s="22" t="n">
        <x:f>MAX(0,MIN('Activities'!L718,414)-MAX('Activities'!K718,408))</x:f>
        <x:v>0</x:v>
      </x:c>
      <x:c r="BV718" s="22" t="n">
        <x:f>MAX(0,MIN('Activities'!L718,420)-MAX('Activities'!K718,414))</x:f>
        <x:v>0</x:v>
      </x:c>
      <x:c r="BW718" s="22" t="n">
        <x:f>MAX(0,MIN('Activities'!L718,426)-MAX('Activities'!K718,420))</x:f>
        <x:v>0</x:v>
      </x:c>
      <x:c r="BX718" s="22" t="n">
        <x:f>MAX(0,MIN('Activities'!L718,432)-MAX('Activities'!K718,426))</x:f>
        <x:v>0</x:v>
      </x:c>
      <x:c r="BY718" s="22" t="n">
        <x:f>MAX(0,MIN('Activities'!L718,438)-MAX('Activities'!K718,432))</x:f>
        <x:v>0</x:v>
      </x:c>
      <x:c r="BZ718" s="22" t="n">
        <x:f>MAX(0,MIN('Activities'!L718,444)-MAX('Activities'!K718,438))</x:f>
        <x:v>0</x:v>
      </x:c>
      <x:c r="CA718" s="22" t="n">
        <x:f>MAX(0,MIN('Activities'!L718,450)-MAX('Activities'!K718,444))</x:f>
        <x:v>0</x:v>
      </x:c>
      <x:c r="CB718" s="22" t="n">
        <x:f>MAX(0,MIN('Activities'!L718,456)-MAX('Activities'!K718,450))</x:f>
        <x:v>0</x:v>
      </x:c>
      <x:c r="CC718" s="22" t="n">
        <x:f>MAX(0,MIN('Activities'!L718,462)-MAX('Activities'!K718,456))</x:f>
        <x:v>0</x:v>
      </x:c>
      <x:c r="CD718" s="22" t="n">
        <x:f>MAX(0,MIN('Activities'!L718,468)-MAX('Activities'!K718,462))</x:f>
        <x:v>0</x:v>
      </x:c>
      <x:c r="CE718" s="22" t="n">
        <x:f>MAX(0,MIN('Activities'!L718,474)-MAX('Activities'!K718,468))</x:f>
        <x:v>0</x:v>
      </x:c>
      <x:c r="CF718" s="22" t="n">
        <x:f>MAX(0,MIN('Activities'!L718,480)-MAX('Activities'!K718,474))</x:f>
        <x:v>0</x:v>
      </x:c>
      <x:c r="CG718" s="22" t="n">
        <x:f>MAX(0,MIN('Activities'!L718,486)-MAX('Activities'!K718,480))</x:f>
        <x:v>0</x:v>
      </x:c>
      <x:c r="CH718" s="22" t="n">
        <x:f>MAX(0,MIN('Activities'!L718,492)-MAX('Activities'!K718,486))</x:f>
        <x:v>0</x:v>
      </x:c>
      <x:c r="CI718" s="22" t="n">
        <x:f>MAX(0,MIN('Activities'!L718,498)-MAX('Activities'!K718,492))</x:f>
        <x:v>0</x:v>
      </x:c>
      <x:c r="CJ718" s="22" t="n">
        <x:f>MAX(0,MIN('Activities'!L718,504)-MAX('Activities'!K718,498))</x:f>
        <x:v>0</x:v>
      </x:c>
      <x:c r="CK718" s="22" t="n">
        <x:f>MAX(0,MIN('Activities'!L718,510)-MAX('Activities'!K718,504))</x:f>
        <x:v>0</x:v>
      </x:c>
      <x:c r="CL718" s="22" t="n">
        <x:f>MAX(0,MIN('Activities'!L718,516)-MAX('Activities'!K718,510))</x:f>
        <x:v>0</x:v>
      </x:c>
      <x:c r="CM718" s="22" t="n">
        <x:f>MAX(0,MIN('Activities'!L718,522)-MAX('Activities'!K718,516))</x:f>
        <x:v>0</x:v>
      </x:c>
      <x:c r="CN718" s="22" t="n">
        <x:f>MAX(0,MIN('Activities'!L718,528)-MAX('Activities'!K718,522))</x:f>
        <x:v>0</x:v>
      </x:c>
      <x:c r="CO718" s="22" t="n">
        <x:f>MAX(0,MIN('Activities'!L718,534)-MAX('Activities'!K718,528))</x:f>
        <x:v>0</x:v>
      </x:c>
      <x:c r="CP718" s="22" t="n">
        <x:f>MAX(0,MIN('Activities'!L718,540)-MAX('Activities'!K718,534))</x:f>
        <x:v>0</x:v>
      </x:c>
      <x:c r="CQ718" s="22" t="n">
        <x:f>MAX(0,MIN('Activities'!L718,546)-MAX('Activities'!K718,540))</x:f>
        <x:v>0</x:v>
      </x:c>
      <x:c r="CR718" s="22" t="n">
        <x:f>MAX(0,MIN('Activities'!L718,552)-MAX('Activities'!K718,546))</x:f>
        <x:v>0</x:v>
      </x:c>
      <x:c r="CS718" s="22" t="n">
        <x:f>MAX(0,MIN('Activities'!L718,558)-MAX('Activities'!K718,552))</x:f>
        <x:v>0</x:v>
      </x:c>
      <x:c r="CT718" s="22" t="n">
        <x:f>MAX(0,MIN('Activities'!L718,564)-MAX('Activities'!K718,558))</x:f>
        <x:v>0</x:v>
      </x:c>
      <x:c r="CU718" s="22" t="n">
        <x:f>MAX(0,MIN('Activities'!L718,570)-MAX('Activities'!K718,564))</x:f>
        <x:v>0</x:v>
      </x:c>
      <x:c r="CV718" s="22" t="n">
        <x:f>MAX(0,MIN('Activities'!L718,576)-MAX('Activities'!K718,570))</x:f>
        <x:v>0</x:v>
      </x:c>
      <x:c r="CW718" s="22" t="n">
        <x:f>MAX(0,MIN('Activities'!L718,582)-MAX('Activities'!K718,576))</x:f>
        <x:v>0</x:v>
      </x:c>
      <x:c r="CX718" s="22" t="n">
        <x:f>MAX(0,MIN('Activities'!L718,588)-MAX('Activities'!K718,582))</x:f>
        <x:v>0</x:v>
      </x:c>
      <x:c r="CY718" s="22" t="n">
        <x:f>MAX(0,MIN('Activities'!L718,594)-MAX('Activities'!K718,588))</x:f>
        <x:v>0</x:v>
      </x:c>
      <x:c r="CZ718" s="22" t="n">
        <x:f>MAX(0,MIN('Activities'!L718,600)-MAX('Activities'!K718,594))</x:f>
        <x:v>0</x:v>
      </x:c>
      <x:c r="DA718" s="22" t="n">
        <x:f>MAX(0,MIN('Activities'!L718,606)-MAX('Activities'!K718,600))</x:f>
        <x:v>0</x:v>
      </x:c>
      <x:c r="DB718" s="22" t="n">
        <x:f>MAX(0,MIN('Activities'!L718,612)-MAX('Activities'!K718,606))</x:f>
        <x:v>0</x:v>
      </x:c>
      <x:c r="DC718" s="22" t="n">
        <x:f>MAX(0,MIN('Activities'!L718,618)-MAX('Activities'!K718,612))</x:f>
        <x:v>0</x:v>
      </x:c>
      <x:c r="DD718" s="22" t="n">
        <x:f>MAX(0,MIN('Activities'!L718,624)-MAX('Activities'!K718,618))</x:f>
        <x:v>0</x:v>
      </x:c>
      <x:c r="DE718" s="22" t="n">
        <x:f>MAX(0,MIN('Activities'!L718,630)-MAX('Activities'!K718,624))</x:f>
        <x:v>0</x:v>
      </x:c>
      <x:c r="DF718" s="22" t="n">
        <x:f>MAX(0,MIN('Activities'!L718,636)-MAX('Activities'!K718,630))</x:f>
        <x:v>0</x:v>
      </x:c>
    </x:row>
    <x:row r="719" ht="23" customHeight="1">
      <x:c r="A719" s="1" t="str">
        <x:v>T6-L09-C</x:v>
      </x:c>
      <x:c r="B719" s="1" t="str">
        <x:v>T6</x:v>
      </x:c>
      <x:c r="C719" s="1" t="str">
        <x:v>Concrete placement and finishing</x:v>
      </x:c>
      <x:c r="D719" s="1" t="str">
        <x:v>Concrete</x:v>
      </x:c>
      <x:c r="E719" s="23" t="n">
        <x:f>MAX(0,MIN('Activities'!L719,6)-MAX('Activities'!K719,0))</x:f>
        <x:v>0</x:v>
      </x:c>
      <x:c r="F719" s="23" t="n">
        <x:f>MAX(0,MIN('Activities'!L719,12)-MAX('Activities'!K719,6))</x:f>
        <x:v>0</x:v>
      </x:c>
      <x:c r="G719" s="23" t="n">
        <x:f>MAX(0,MIN('Activities'!L719,18)-MAX('Activities'!K719,12))</x:f>
        <x:v>0</x:v>
      </x:c>
      <x:c r="H719" s="23" t="n">
        <x:f>MAX(0,MIN('Activities'!L719,24)-MAX('Activities'!K719,18))</x:f>
        <x:v>0</x:v>
      </x:c>
      <x:c r="I719" s="23" t="n">
        <x:f>MAX(0,MIN('Activities'!L719,30)-MAX('Activities'!K719,24))</x:f>
        <x:v>0</x:v>
      </x:c>
      <x:c r="J719" s="23" t="n">
        <x:f>MAX(0,MIN('Activities'!L719,36)-MAX('Activities'!K719,30))</x:f>
        <x:v>0</x:v>
      </x:c>
      <x:c r="K719" s="23" t="n">
        <x:f>MAX(0,MIN('Activities'!L719,42)-MAX('Activities'!K719,36))</x:f>
        <x:v>0</x:v>
      </x:c>
      <x:c r="L719" s="23" t="n">
        <x:f>MAX(0,MIN('Activities'!L719,48)-MAX('Activities'!K719,42))</x:f>
        <x:v>0</x:v>
      </x:c>
      <x:c r="M719" s="23" t="n">
        <x:f>MAX(0,MIN('Activities'!L719,54)-MAX('Activities'!K719,48))</x:f>
        <x:v>0</x:v>
      </x:c>
      <x:c r="N719" s="23" t="n">
        <x:f>MAX(0,MIN('Activities'!L719,60)-MAX('Activities'!K719,54))</x:f>
        <x:v>0</x:v>
      </x:c>
      <x:c r="O719" s="23" t="n">
        <x:f>MAX(0,MIN('Activities'!L719,66)-MAX('Activities'!K719,60))</x:f>
        <x:v>0</x:v>
      </x:c>
      <x:c r="P719" s="23" t="n">
        <x:f>MAX(0,MIN('Activities'!L719,72)-MAX('Activities'!K719,66))</x:f>
        <x:v>0</x:v>
      </x:c>
      <x:c r="Q719" s="23" t="n">
        <x:f>MAX(0,MIN('Activities'!L719,78)-MAX('Activities'!K719,72))</x:f>
        <x:v>0</x:v>
      </x:c>
      <x:c r="R719" s="23" t="n">
        <x:f>MAX(0,MIN('Activities'!L719,84)-MAX('Activities'!K719,78))</x:f>
        <x:v>0</x:v>
      </x:c>
      <x:c r="S719" s="23" t="n">
        <x:f>MAX(0,MIN('Activities'!L719,90)-MAX('Activities'!K719,84))</x:f>
        <x:v>0</x:v>
      </x:c>
      <x:c r="T719" s="23" t="n">
        <x:f>MAX(0,MIN('Activities'!L719,96)-MAX('Activities'!K719,90))</x:f>
        <x:v>0</x:v>
      </x:c>
      <x:c r="U719" s="23" t="n">
        <x:f>MAX(0,MIN('Activities'!L719,102)-MAX('Activities'!K719,96))</x:f>
        <x:v>0</x:v>
      </x:c>
      <x:c r="V719" s="23" t="n">
        <x:f>MAX(0,MIN('Activities'!L719,108)-MAX('Activities'!K719,102))</x:f>
        <x:v>0</x:v>
      </x:c>
      <x:c r="W719" s="23" t="n">
        <x:f>MAX(0,MIN('Activities'!L719,114)-MAX('Activities'!K719,108))</x:f>
        <x:v>0</x:v>
      </x:c>
      <x:c r="X719" s="23" t="n">
        <x:f>MAX(0,MIN('Activities'!L719,120)-MAX('Activities'!K719,114))</x:f>
        <x:v>0</x:v>
      </x:c>
      <x:c r="Y719" s="23" t="n">
        <x:f>MAX(0,MIN('Activities'!L719,126)-MAX('Activities'!K719,120))</x:f>
        <x:v>0</x:v>
      </x:c>
      <x:c r="Z719" s="23" t="n">
        <x:f>MAX(0,MIN('Activities'!L719,132)-MAX('Activities'!K719,126))</x:f>
        <x:v>0</x:v>
      </x:c>
      <x:c r="AA719" s="23" t="n">
        <x:f>MAX(0,MIN('Activities'!L719,138)-MAX('Activities'!K719,132))</x:f>
        <x:v>0</x:v>
      </x:c>
      <x:c r="AB719" s="23" t="n">
        <x:f>MAX(0,MIN('Activities'!L719,144)-MAX('Activities'!K719,138))</x:f>
        <x:v>0</x:v>
      </x:c>
      <x:c r="AC719" s="23" t="n">
        <x:f>MAX(0,MIN('Activities'!L719,150)-MAX('Activities'!K719,144))</x:f>
        <x:v>0</x:v>
      </x:c>
      <x:c r="AD719" s="23" t="n">
        <x:f>MAX(0,MIN('Activities'!L719,156)-MAX('Activities'!K719,150))</x:f>
        <x:v>0</x:v>
      </x:c>
      <x:c r="AE719" s="23" t="n">
        <x:f>MAX(0,MIN('Activities'!L719,162)-MAX('Activities'!K719,156))</x:f>
        <x:v>0</x:v>
      </x:c>
      <x:c r="AF719" s="23" t="n">
        <x:f>MAX(0,MIN('Activities'!L719,168)-MAX('Activities'!K719,162))</x:f>
        <x:v>0</x:v>
      </x:c>
      <x:c r="AG719" s="23" t="n">
        <x:f>MAX(0,MIN('Activities'!L719,174)-MAX('Activities'!K719,168))</x:f>
        <x:v>0</x:v>
      </x:c>
      <x:c r="AH719" s="23" t="n">
        <x:f>MAX(0,MIN('Activities'!L719,180)-MAX('Activities'!K719,174))</x:f>
        <x:v>0</x:v>
      </x:c>
      <x:c r="AI719" s="23" t="n">
        <x:f>MAX(0,MIN('Activities'!L719,186)-MAX('Activities'!K719,180))</x:f>
        <x:v>0</x:v>
      </x:c>
      <x:c r="AJ719" s="23" t="n">
        <x:f>MAX(0,MIN('Activities'!L719,192)-MAX('Activities'!K719,186))</x:f>
        <x:v>0</x:v>
      </x:c>
      <x:c r="AK719" s="23" t="n">
        <x:f>MAX(0,MIN('Activities'!L719,198)-MAX('Activities'!K719,192))</x:f>
        <x:v>0</x:v>
      </x:c>
      <x:c r="AL719" s="23" t="n">
        <x:f>MAX(0,MIN('Activities'!L719,204)-MAX('Activities'!K719,198))</x:f>
        <x:v>0</x:v>
      </x:c>
      <x:c r="AM719" s="23" t="n">
        <x:f>MAX(0,MIN('Activities'!L719,210)-MAX('Activities'!K719,204))</x:f>
        <x:v>0</x:v>
      </x:c>
      <x:c r="AN719" s="23" t="n">
        <x:f>MAX(0,MIN('Activities'!L719,216)-MAX('Activities'!K719,210))</x:f>
        <x:v>0</x:v>
      </x:c>
      <x:c r="AO719" s="23" t="n">
        <x:f>MAX(0,MIN('Activities'!L719,222)-MAX('Activities'!K719,216))</x:f>
        <x:v>0</x:v>
      </x:c>
      <x:c r="AP719" s="23" t="n">
        <x:f>MAX(0,MIN('Activities'!L719,228)-MAX('Activities'!K719,222))</x:f>
        <x:v>0</x:v>
      </x:c>
      <x:c r="AQ719" s="23" t="n">
        <x:f>MAX(0,MIN('Activities'!L719,234)-MAX('Activities'!K719,228))</x:f>
        <x:v>0</x:v>
      </x:c>
      <x:c r="AR719" s="23" t="n">
        <x:f>MAX(0,MIN('Activities'!L719,240)-MAX('Activities'!K719,234))</x:f>
        <x:v>0</x:v>
      </x:c>
      <x:c r="AS719" s="23" t="n">
        <x:f>MAX(0,MIN('Activities'!L719,246)-MAX('Activities'!K719,240))</x:f>
        <x:v>0</x:v>
      </x:c>
      <x:c r="AT719" s="23" t="n">
        <x:f>MAX(0,MIN('Activities'!L719,252)-MAX('Activities'!K719,246))</x:f>
        <x:v>0</x:v>
      </x:c>
      <x:c r="AU719" s="23" t="n">
        <x:f>MAX(0,MIN('Activities'!L719,258)-MAX('Activities'!K719,252))</x:f>
        <x:v>0</x:v>
      </x:c>
      <x:c r="AV719" s="23" t="n">
        <x:f>MAX(0,MIN('Activities'!L719,264)-MAX('Activities'!K719,258))</x:f>
        <x:v>0</x:v>
      </x:c>
      <x:c r="AW719" s="23" t="n">
        <x:f>MAX(0,MIN('Activities'!L719,270)-MAX('Activities'!K719,264))</x:f>
        <x:v>0</x:v>
      </x:c>
      <x:c r="AX719" s="23" t="n">
        <x:f>MAX(0,MIN('Activities'!L719,276)-MAX('Activities'!K719,270))</x:f>
        <x:v>0</x:v>
      </x:c>
      <x:c r="AY719" s="23" t="n">
        <x:f>MAX(0,MIN('Activities'!L719,282)-MAX('Activities'!K719,276))</x:f>
        <x:v>0</x:v>
      </x:c>
      <x:c r="AZ719" s="23" t="n">
        <x:f>MAX(0,MIN('Activities'!L719,288)-MAX('Activities'!K719,282))</x:f>
        <x:v>0</x:v>
      </x:c>
      <x:c r="BA719" s="23" t="n">
        <x:f>MAX(0,MIN('Activities'!L719,294)-MAX('Activities'!K719,288))</x:f>
        <x:v>0</x:v>
      </x:c>
      <x:c r="BB719" s="23" t="n">
        <x:f>MAX(0,MIN('Activities'!L719,300)-MAX('Activities'!K719,294))</x:f>
        <x:v>0</x:v>
      </x:c>
      <x:c r="BC719" s="23" t="n">
        <x:f>MAX(0,MIN('Activities'!L719,306)-MAX('Activities'!K719,300))</x:f>
        <x:v>0</x:v>
      </x:c>
      <x:c r="BD719" s="23" t="n">
        <x:f>MAX(0,MIN('Activities'!L719,312)-MAX('Activities'!K719,306))</x:f>
        <x:v>0</x:v>
      </x:c>
      <x:c r="BE719" s="23" t="n">
        <x:f>MAX(0,MIN('Activities'!L719,318)-MAX('Activities'!K719,312))</x:f>
        <x:v>0</x:v>
      </x:c>
      <x:c r="BF719" s="23" t="n">
        <x:f>MAX(0,MIN('Activities'!L719,324)-MAX('Activities'!K719,318))</x:f>
        <x:v>0</x:v>
      </x:c>
      <x:c r="BG719" s="23" t="n">
        <x:f>MAX(0,MIN('Activities'!L719,330)-MAX('Activities'!K719,324))</x:f>
        <x:v>0</x:v>
      </x:c>
      <x:c r="BH719" s="23" t="n">
        <x:f>MAX(0,MIN('Activities'!L719,336)-MAX('Activities'!K719,330))</x:f>
        <x:v>0</x:v>
      </x:c>
      <x:c r="BI719" s="23" t="n">
        <x:f>MAX(0,MIN('Activities'!L719,342)-MAX('Activities'!K719,336))</x:f>
        <x:v>0</x:v>
      </x:c>
      <x:c r="BJ719" s="23" t="n">
        <x:f>MAX(0,MIN('Activities'!L719,348)-MAX('Activities'!K719,342))</x:f>
        <x:v>0</x:v>
      </x:c>
      <x:c r="BK719" s="23" t="n">
        <x:f>MAX(0,MIN('Activities'!L719,354)-MAX('Activities'!K719,348))</x:f>
        <x:v>0</x:v>
      </x:c>
      <x:c r="BL719" s="23" t="n">
        <x:f>MAX(0,MIN('Activities'!L719,360)-MAX('Activities'!K719,354))</x:f>
        <x:v>0</x:v>
      </x:c>
      <x:c r="BM719" s="23" t="n">
        <x:f>MAX(0,MIN('Activities'!L719,366)-MAX('Activities'!K719,360))</x:f>
        <x:v>0</x:v>
      </x:c>
      <x:c r="BN719" s="23" t="n">
        <x:f>MAX(0,MIN('Activities'!L719,372)-MAX('Activities'!K719,366))</x:f>
        <x:v>2</x:v>
      </x:c>
      <x:c r="BO719" s="23" t="n">
        <x:f>MAX(0,MIN('Activities'!L719,378)-MAX('Activities'!K719,372))</x:f>
        <x:v>0</x:v>
      </x:c>
      <x:c r="BP719" s="23" t="n">
        <x:f>MAX(0,MIN('Activities'!L719,384)-MAX('Activities'!K719,378))</x:f>
        <x:v>0</x:v>
      </x:c>
      <x:c r="BQ719" s="23" t="n">
        <x:f>MAX(0,MIN('Activities'!L719,390)-MAX('Activities'!K719,384))</x:f>
        <x:v>0</x:v>
      </x:c>
      <x:c r="BR719" s="23" t="n">
        <x:f>MAX(0,MIN('Activities'!L719,396)-MAX('Activities'!K719,390))</x:f>
        <x:v>0</x:v>
      </x:c>
      <x:c r="BS719" s="23" t="n">
        <x:f>MAX(0,MIN('Activities'!L719,402)-MAX('Activities'!K719,396))</x:f>
        <x:v>0</x:v>
      </x:c>
      <x:c r="BT719" s="23" t="n">
        <x:f>MAX(0,MIN('Activities'!L719,408)-MAX('Activities'!K719,402))</x:f>
        <x:v>0</x:v>
      </x:c>
      <x:c r="BU719" s="23" t="n">
        <x:f>MAX(0,MIN('Activities'!L719,414)-MAX('Activities'!K719,408))</x:f>
        <x:v>0</x:v>
      </x:c>
      <x:c r="BV719" s="23" t="n">
        <x:f>MAX(0,MIN('Activities'!L719,420)-MAX('Activities'!K719,414))</x:f>
        <x:v>0</x:v>
      </x:c>
      <x:c r="BW719" s="23" t="n">
        <x:f>MAX(0,MIN('Activities'!L719,426)-MAX('Activities'!K719,420))</x:f>
        <x:v>0</x:v>
      </x:c>
      <x:c r="BX719" s="23" t="n">
        <x:f>MAX(0,MIN('Activities'!L719,432)-MAX('Activities'!K719,426))</x:f>
        <x:v>0</x:v>
      </x:c>
      <x:c r="BY719" s="23" t="n">
        <x:f>MAX(0,MIN('Activities'!L719,438)-MAX('Activities'!K719,432))</x:f>
        <x:v>0</x:v>
      </x:c>
      <x:c r="BZ719" s="23" t="n">
        <x:f>MAX(0,MIN('Activities'!L719,444)-MAX('Activities'!K719,438))</x:f>
        <x:v>0</x:v>
      </x:c>
      <x:c r="CA719" s="23" t="n">
        <x:f>MAX(0,MIN('Activities'!L719,450)-MAX('Activities'!K719,444))</x:f>
        <x:v>0</x:v>
      </x:c>
      <x:c r="CB719" s="23" t="n">
        <x:f>MAX(0,MIN('Activities'!L719,456)-MAX('Activities'!K719,450))</x:f>
        <x:v>0</x:v>
      </x:c>
      <x:c r="CC719" s="23" t="n">
        <x:f>MAX(0,MIN('Activities'!L719,462)-MAX('Activities'!K719,456))</x:f>
        <x:v>0</x:v>
      </x:c>
      <x:c r="CD719" s="23" t="n">
        <x:f>MAX(0,MIN('Activities'!L719,468)-MAX('Activities'!K719,462))</x:f>
        <x:v>0</x:v>
      </x:c>
      <x:c r="CE719" s="23" t="n">
        <x:f>MAX(0,MIN('Activities'!L719,474)-MAX('Activities'!K719,468))</x:f>
        <x:v>0</x:v>
      </x:c>
      <x:c r="CF719" s="23" t="n">
        <x:f>MAX(0,MIN('Activities'!L719,480)-MAX('Activities'!K719,474))</x:f>
        <x:v>0</x:v>
      </x:c>
      <x:c r="CG719" s="23" t="n">
        <x:f>MAX(0,MIN('Activities'!L719,486)-MAX('Activities'!K719,480))</x:f>
        <x:v>0</x:v>
      </x:c>
      <x:c r="CH719" s="23" t="n">
        <x:f>MAX(0,MIN('Activities'!L719,492)-MAX('Activities'!K719,486))</x:f>
        <x:v>0</x:v>
      </x:c>
      <x:c r="CI719" s="23" t="n">
        <x:f>MAX(0,MIN('Activities'!L719,498)-MAX('Activities'!K719,492))</x:f>
        <x:v>0</x:v>
      </x:c>
      <x:c r="CJ719" s="23" t="n">
        <x:f>MAX(0,MIN('Activities'!L719,504)-MAX('Activities'!K719,498))</x:f>
        <x:v>0</x:v>
      </x:c>
      <x:c r="CK719" s="23" t="n">
        <x:f>MAX(0,MIN('Activities'!L719,510)-MAX('Activities'!K719,504))</x:f>
        <x:v>0</x:v>
      </x:c>
      <x:c r="CL719" s="23" t="n">
        <x:f>MAX(0,MIN('Activities'!L719,516)-MAX('Activities'!K719,510))</x:f>
        <x:v>0</x:v>
      </x:c>
      <x:c r="CM719" s="23" t="n">
        <x:f>MAX(0,MIN('Activities'!L719,522)-MAX('Activities'!K719,516))</x:f>
        <x:v>0</x:v>
      </x:c>
      <x:c r="CN719" s="23" t="n">
        <x:f>MAX(0,MIN('Activities'!L719,528)-MAX('Activities'!K719,522))</x:f>
        <x:v>0</x:v>
      </x:c>
      <x:c r="CO719" s="23" t="n">
        <x:f>MAX(0,MIN('Activities'!L719,534)-MAX('Activities'!K719,528))</x:f>
        <x:v>0</x:v>
      </x:c>
      <x:c r="CP719" s="23" t="n">
        <x:f>MAX(0,MIN('Activities'!L719,540)-MAX('Activities'!K719,534))</x:f>
        <x:v>0</x:v>
      </x:c>
      <x:c r="CQ719" s="23" t="n">
        <x:f>MAX(0,MIN('Activities'!L719,546)-MAX('Activities'!K719,540))</x:f>
        <x:v>0</x:v>
      </x:c>
      <x:c r="CR719" s="23" t="n">
        <x:f>MAX(0,MIN('Activities'!L719,552)-MAX('Activities'!K719,546))</x:f>
        <x:v>0</x:v>
      </x:c>
      <x:c r="CS719" s="23" t="n">
        <x:f>MAX(0,MIN('Activities'!L719,558)-MAX('Activities'!K719,552))</x:f>
        <x:v>0</x:v>
      </x:c>
      <x:c r="CT719" s="23" t="n">
        <x:f>MAX(0,MIN('Activities'!L719,564)-MAX('Activities'!K719,558))</x:f>
        <x:v>0</x:v>
      </x:c>
      <x:c r="CU719" s="23" t="n">
        <x:f>MAX(0,MIN('Activities'!L719,570)-MAX('Activities'!K719,564))</x:f>
        <x:v>0</x:v>
      </x:c>
      <x:c r="CV719" s="23" t="n">
        <x:f>MAX(0,MIN('Activities'!L719,576)-MAX('Activities'!K719,570))</x:f>
        <x:v>0</x:v>
      </x:c>
      <x:c r="CW719" s="23" t="n">
        <x:f>MAX(0,MIN('Activities'!L719,582)-MAX('Activities'!K719,576))</x:f>
        <x:v>0</x:v>
      </x:c>
      <x:c r="CX719" s="23" t="n">
        <x:f>MAX(0,MIN('Activities'!L719,588)-MAX('Activities'!K719,582))</x:f>
        <x:v>0</x:v>
      </x:c>
      <x:c r="CY719" s="23" t="n">
        <x:f>MAX(0,MIN('Activities'!L719,594)-MAX('Activities'!K719,588))</x:f>
        <x:v>0</x:v>
      </x:c>
      <x:c r="CZ719" s="23" t="n">
        <x:f>MAX(0,MIN('Activities'!L719,600)-MAX('Activities'!K719,594))</x:f>
        <x:v>0</x:v>
      </x:c>
      <x:c r="DA719" s="23" t="n">
        <x:f>MAX(0,MIN('Activities'!L719,606)-MAX('Activities'!K719,600))</x:f>
        <x:v>0</x:v>
      </x:c>
      <x:c r="DB719" s="23" t="n">
        <x:f>MAX(0,MIN('Activities'!L719,612)-MAX('Activities'!K719,606))</x:f>
        <x:v>0</x:v>
      </x:c>
      <x:c r="DC719" s="23" t="n">
        <x:f>MAX(0,MIN('Activities'!L719,618)-MAX('Activities'!K719,612))</x:f>
        <x:v>0</x:v>
      </x:c>
      <x:c r="DD719" s="23" t="n">
        <x:f>MAX(0,MIN('Activities'!L719,624)-MAX('Activities'!K719,618))</x:f>
        <x:v>0</x:v>
      </x:c>
      <x:c r="DE719" s="23" t="n">
        <x:f>MAX(0,MIN('Activities'!L719,630)-MAX('Activities'!K719,624))</x:f>
        <x:v>0</x:v>
      </x:c>
      <x:c r="DF719" s="23" t="n">
        <x:f>MAX(0,MIN('Activities'!L719,636)-MAX('Activities'!K719,630))</x:f>
        <x:v>0</x:v>
      </x:c>
    </x:row>
    <x:row r="720" ht="23" customHeight="1">
      <x:c r="A720" s="6" t="str">
        <x:v>T6-L09-H</x:v>
      </x:c>
      <x:c r="B720" s="6" t="str">
        <x:v>T6</x:v>
      </x:c>
      <x:c r="C720" s="6" t="str">
        <x:v>Curing and release hold point</x:v>
      </x:c>
      <x:c r="D720" s="6" t="str">
        <x:v>Site</x:v>
      </x:c>
      <x:c r="E720" s="22" t="n">
        <x:f>MAX(0,MIN('Activities'!L720,6)-MAX('Activities'!K720,0))</x:f>
        <x:v>0</x:v>
      </x:c>
      <x:c r="F720" s="22" t="n">
        <x:f>MAX(0,MIN('Activities'!L720,12)-MAX('Activities'!K720,6))</x:f>
        <x:v>0</x:v>
      </x:c>
      <x:c r="G720" s="22" t="n">
        <x:f>MAX(0,MIN('Activities'!L720,18)-MAX('Activities'!K720,12))</x:f>
        <x:v>0</x:v>
      </x:c>
      <x:c r="H720" s="22" t="n">
        <x:f>MAX(0,MIN('Activities'!L720,24)-MAX('Activities'!K720,18))</x:f>
        <x:v>0</x:v>
      </x:c>
      <x:c r="I720" s="22" t="n">
        <x:f>MAX(0,MIN('Activities'!L720,30)-MAX('Activities'!K720,24))</x:f>
        <x:v>0</x:v>
      </x:c>
      <x:c r="J720" s="22" t="n">
        <x:f>MAX(0,MIN('Activities'!L720,36)-MAX('Activities'!K720,30))</x:f>
        <x:v>0</x:v>
      </x:c>
      <x:c r="K720" s="22" t="n">
        <x:f>MAX(0,MIN('Activities'!L720,42)-MAX('Activities'!K720,36))</x:f>
        <x:v>0</x:v>
      </x:c>
      <x:c r="L720" s="22" t="n">
        <x:f>MAX(0,MIN('Activities'!L720,48)-MAX('Activities'!K720,42))</x:f>
        <x:v>0</x:v>
      </x:c>
      <x:c r="M720" s="22" t="n">
        <x:f>MAX(0,MIN('Activities'!L720,54)-MAX('Activities'!K720,48))</x:f>
        <x:v>0</x:v>
      </x:c>
      <x:c r="N720" s="22" t="n">
        <x:f>MAX(0,MIN('Activities'!L720,60)-MAX('Activities'!K720,54))</x:f>
        <x:v>0</x:v>
      </x:c>
      <x:c r="O720" s="22" t="n">
        <x:f>MAX(0,MIN('Activities'!L720,66)-MAX('Activities'!K720,60))</x:f>
        <x:v>0</x:v>
      </x:c>
      <x:c r="P720" s="22" t="n">
        <x:f>MAX(0,MIN('Activities'!L720,72)-MAX('Activities'!K720,66))</x:f>
        <x:v>0</x:v>
      </x:c>
      <x:c r="Q720" s="22" t="n">
        <x:f>MAX(0,MIN('Activities'!L720,78)-MAX('Activities'!K720,72))</x:f>
        <x:v>0</x:v>
      </x:c>
      <x:c r="R720" s="22" t="n">
        <x:f>MAX(0,MIN('Activities'!L720,84)-MAX('Activities'!K720,78))</x:f>
        <x:v>0</x:v>
      </x:c>
      <x:c r="S720" s="22" t="n">
        <x:f>MAX(0,MIN('Activities'!L720,90)-MAX('Activities'!K720,84))</x:f>
        <x:v>0</x:v>
      </x:c>
      <x:c r="T720" s="22" t="n">
        <x:f>MAX(0,MIN('Activities'!L720,96)-MAX('Activities'!K720,90))</x:f>
        <x:v>0</x:v>
      </x:c>
      <x:c r="U720" s="22" t="n">
        <x:f>MAX(0,MIN('Activities'!L720,102)-MAX('Activities'!K720,96))</x:f>
        <x:v>0</x:v>
      </x:c>
      <x:c r="V720" s="22" t="n">
        <x:f>MAX(0,MIN('Activities'!L720,108)-MAX('Activities'!K720,102))</x:f>
        <x:v>0</x:v>
      </x:c>
      <x:c r="W720" s="22" t="n">
        <x:f>MAX(0,MIN('Activities'!L720,114)-MAX('Activities'!K720,108))</x:f>
        <x:v>0</x:v>
      </x:c>
      <x:c r="X720" s="22" t="n">
        <x:f>MAX(0,MIN('Activities'!L720,120)-MAX('Activities'!K720,114))</x:f>
        <x:v>0</x:v>
      </x:c>
      <x:c r="Y720" s="22" t="n">
        <x:f>MAX(0,MIN('Activities'!L720,126)-MAX('Activities'!K720,120))</x:f>
        <x:v>0</x:v>
      </x:c>
      <x:c r="Z720" s="22" t="n">
        <x:f>MAX(0,MIN('Activities'!L720,132)-MAX('Activities'!K720,126))</x:f>
        <x:v>0</x:v>
      </x:c>
      <x:c r="AA720" s="22" t="n">
        <x:f>MAX(0,MIN('Activities'!L720,138)-MAX('Activities'!K720,132))</x:f>
        <x:v>0</x:v>
      </x:c>
      <x:c r="AB720" s="22" t="n">
        <x:f>MAX(0,MIN('Activities'!L720,144)-MAX('Activities'!K720,138))</x:f>
        <x:v>0</x:v>
      </x:c>
      <x:c r="AC720" s="22" t="n">
        <x:f>MAX(0,MIN('Activities'!L720,150)-MAX('Activities'!K720,144))</x:f>
        <x:v>0</x:v>
      </x:c>
      <x:c r="AD720" s="22" t="n">
        <x:f>MAX(0,MIN('Activities'!L720,156)-MAX('Activities'!K720,150))</x:f>
        <x:v>0</x:v>
      </x:c>
      <x:c r="AE720" s="22" t="n">
        <x:f>MAX(0,MIN('Activities'!L720,162)-MAX('Activities'!K720,156))</x:f>
        <x:v>0</x:v>
      </x:c>
      <x:c r="AF720" s="22" t="n">
        <x:f>MAX(0,MIN('Activities'!L720,168)-MAX('Activities'!K720,162))</x:f>
        <x:v>0</x:v>
      </x:c>
      <x:c r="AG720" s="22" t="n">
        <x:f>MAX(0,MIN('Activities'!L720,174)-MAX('Activities'!K720,168))</x:f>
        <x:v>0</x:v>
      </x:c>
      <x:c r="AH720" s="22" t="n">
        <x:f>MAX(0,MIN('Activities'!L720,180)-MAX('Activities'!K720,174))</x:f>
        <x:v>0</x:v>
      </x:c>
      <x:c r="AI720" s="22" t="n">
        <x:f>MAX(0,MIN('Activities'!L720,186)-MAX('Activities'!K720,180))</x:f>
        <x:v>0</x:v>
      </x:c>
      <x:c r="AJ720" s="22" t="n">
        <x:f>MAX(0,MIN('Activities'!L720,192)-MAX('Activities'!K720,186))</x:f>
        <x:v>0</x:v>
      </x:c>
      <x:c r="AK720" s="22" t="n">
        <x:f>MAX(0,MIN('Activities'!L720,198)-MAX('Activities'!K720,192))</x:f>
        <x:v>0</x:v>
      </x:c>
      <x:c r="AL720" s="22" t="n">
        <x:f>MAX(0,MIN('Activities'!L720,204)-MAX('Activities'!K720,198))</x:f>
        <x:v>0</x:v>
      </x:c>
      <x:c r="AM720" s="22" t="n">
        <x:f>MAX(0,MIN('Activities'!L720,210)-MAX('Activities'!K720,204))</x:f>
        <x:v>0</x:v>
      </x:c>
      <x:c r="AN720" s="22" t="n">
        <x:f>MAX(0,MIN('Activities'!L720,216)-MAX('Activities'!K720,210))</x:f>
        <x:v>0</x:v>
      </x:c>
      <x:c r="AO720" s="22" t="n">
        <x:f>MAX(0,MIN('Activities'!L720,222)-MAX('Activities'!K720,216))</x:f>
        <x:v>0</x:v>
      </x:c>
      <x:c r="AP720" s="22" t="n">
        <x:f>MAX(0,MIN('Activities'!L720,228)-MAX('Activities'!K720,222))</x:f>
        <x:v>0</x:v>
      </x:c>
      <x:c r="AQ720" s="22" t="n">
        <x:f>MAX(0,MIN('Activities'!L720,234)-MAX('Activities'!K720,228))</x:f>
        <x:v>0</x:v>
      </x:c>
      <x:c r="AR720" s="22" t="n">
        <x:f>MAX(0,MIN('Activities'!L720,240)-MAX('Activities'!K720,234))</x:f>
        <x:v>0</x:v>
      </x:c>
      <x:c r="AS720" s="22" t="n">
        <x:f>MAX(0,MIN('Activities'!L720,246)-MAX('Activities'!K720,240))</x:f>
        <x:v>0</x:v>
      </x:c>
      <x:c r="AT720" s="22" t="n">
        <x:f>MAX(0,MIN('Activities'!L720,252)-MAX('Activities'!K720,246))</x:f>
        <x:v>0</x:v>
      </x:c>
      <x:c r="AU720" s="22" t="n">
        <x:f>MAX(0,MIN('Activities'!L720,258)-MAX('Activities'!K720,252))</x:f>
        <x:v>0</x:v>
      </x:c>
      <x:c r="AV720" s="22" t="n">
        <x:f>MAX(0,MIN('Activities'!L720,264)-MAX('Activities'!K720,258))</x:f>
        <x:v>0</x:v>
      </x:c>
      <x:c r="AW720" s="22" t="n">
        <x:f>MAX(0,MIN('Activities'!L720,270)-MAX('Activities'!K720,264))</x:f>
        <x:v>0</x:v>
      </x:c>
      <x:c r="AX720" s="22" t="n">
        <x:f>MAX(0,MIN('Activities'!L720,276)-MAX('Activities'!K720,270))</x:f>
        <x:v>0</x:v>
      </x:c>
      <x:c r="AY720" s="22" t="n">
        <x:f>MAX(0,MIN('Activities'!L720,282)-MAX('Activities'!K720,276))</x:f>
        <x:v>0</x:v>
      </x:c>
      <x:c r="AZ720" s="22" t="n">
        <x:f>MAX(0,MIN('Activities'!L720,288)-MAX('Activities'!K720,282))</x:f>
        <x:v>0</x:v>
      </x:c>
      <x:c r="BA720" s="22" t="n">
        <x:f>MAX(0,MIN('Activities'!L720,294)-MAX('Activities'!K720,288))</x:f>
        <x:v>0</x:v>
      </x:c>
      <x:c r="BB720" s="22" t="n">
        <x:f>MAX(0,MIN('Activities'!L720,300)-MAX('Activities'!K720,294))</x:f>
        <x:v>0</x:v>
      </x:c>
      <x:c r="BC720" s="22" t="n">
        <x:f>MAX(0,MIN('Activities'!L720,306)-MAX('Activities'!K720,300))</x:f>
        <x:v>0</x:v>
      </x:c>
      <x:c r="BD720" s="22" t="n">
        <x:f>MAX(0,MIN('Activities'!L720,312)-MAX('Activities'!K720,306))</x:f>
        <x:v>0</x:v>
      </x:c>
      <x:c r="BE720" s="22" t="n">
        <x:f>MAX(0,MIN('Activities'!L720,318)-MAX('Activities'!K720,312))</x:f>
        <x:v>0</x:v>
      </x:c>
      <x:c r="BF720" s="22" t="n">
        <x:f>MAX(0,MIN('Activities'!L720,324)-MAX('Activities'!K720,318))</x:f>
        <x:v>0</x:v>
      </x:c>
      <x:c r="BG720" s="22" t="n">
        <x:f>MAX(0,MIN('Activities'!L720,330)-MAX('Activities'!K720,324))</x:f>
        <x:v>0</x:v>
      </x:c>
      <x:c r="BH720" s="22" t="n">
        <x:f>MAX(0,MIN('Activities'!L720,336)-MAX('Activities'!K720,330))</x:f>
        <x:v>0</x:v>
      </x:c>
      <x:c r="BI720" s="22" t="n">
        <x:f>MAX(0,MIN('Activities'!L720,342)-MAX('Activities'!K720,336))</x:f>
        <x:v>0</x:v>
      </x:c>
      <x:c r="BJ720" s="22" t="n">
        <x:f>MAX(0,MIN('Activities'!L720,348)-MAX('Activities'!K720,342))</x:f>
        <x:v>0</x:v>
      </x:c>
      <x:c r="BK720" s="22" t="n">
        <x:f>MAX(0,MIN('Activities'!L720,354)-MAX('Activities'!K720,348))</x:f>
        <x:v>0</x:v>
      </x:c>
      <x:c r="BL720" s="22" t="n">
        <x:f>MAX(0,MIN('Activities'!L720,360)-MAX('Activities'!K720,354))</x:f>
        <x:v>0</x:v>
      </x:c>
      <x:c r="BM720" s="22" t="n">
        <x:f>MAX(0,MIN('Activities'!L720,366)-MAX('Activities'!K720,360))</x:f>
        <x:v>0</x:v>
      </x:c>
      <x:c r="BN720" s="22" t="n">
        <x:f>MAX(0,MIN('Activities'!L720,372)-MAX('Activities'!K720,366))</x:f>
        <x:v>3</x:v>
      </x:c>
      <x:c r="BO720" s="22" t="n">
        <x:f>MAX(0,MIN('Activities'!L720,378)-MAX('Activities'!K720,372))</x:f>
        <x:v>2</x:v>
      </x:c>
      <x:c r="BP720" s="22" t="n">
        <x:f>MAX(0,MIN('Activities'!L720,384)-MAX('Activities'!K720,378))</x:f>
        <x:v>0</x:v>
      </x:c>
      <x:c r="BQ720" s="22" t="n">
        <x:f>MAX(0,MIN('Activities'!L720,390)-MAX('Activities'!K720,384))</x:f>
        <x:v>0</x:v>
      </x:c>
      <x:c r="BR720" s="22" t="n">
        <x:f>MAX(0,MIN('Activities'!L720,396)-MAX('Activities'!K720,390))</x:f>
        <x:v>0</x:v>
      </x:c>
      <x:c r="BS720" s="22" t="n">
        <x:f>MAX(0,MIN('Activities'!L720,402)-MAX('Activities'!K720,396))</x:f>
        <x:v>0</x:v>
      </x:c>
      <x:c r="BT720" s="22" t="n">
        <x:f>MAX(0,MIN('Activities'!L720,408)-MAX('Activities'!K720,402))</x:f>
        <x:v>0</x:v>
      </x:c>
      <x:c r="BU720" s="22" t="n">
        <x:f>MAX(0,MIN('Activities'!L720,414)-MAX('Activities'!K720,408))</x:f>
        <x:v>0</x:v>
      </x:c>
      <x:c r="BV720" s="22" t="n">
        <x:f>MAX(0,MIN('Activities'!L720,420)-MAX('Activities'!K720,414))</x:f>
        <x:v>0</x:v>
      </x:c>
      <x:c r="BW720" s="22" t="n">
        <x:f>MAX(0,MIN('Activities'!L720,426)-MAX('Activities'!K720,420))</x:f>
        <x:v>0</x:v>
      </x:c>
      <x:c r="BX720" s="22" t="n">
        <x:f>MAX(0,MIN('Activities'!L720,432)-MAX('Activities'!K720,426))</x:f>
        <x:v>0</x:v>
      </x:c>
      <x:c r="BY720" s="22" t="n">
        <x:f>MAX(0,MIN('Activities'!L720,438)-MAX('Activities'!K720,432))</x:f>
        <x:v>0</x:v>
      </x:c>
      <x:c r="BZ720" s="22" t="n">
        <x:f>MAX(0,MIN('Activities'!L720,444)-MAX('Activities'!K720,438))</x:f>
        <x:v>0</x:v>
      </x:c>
      <x:c r="CA720" s="22" t="n">
        <x:f>MAX(0,MIN('Activities'!L720,450)-MAX('Activities'!K720,444))</x:f>
        <x:v>0</x:v>
      </x:c>
      <x:c r="CB720" s="22" t="n">
        <x:f>MAX(0,MIN('Activities'!L720,456)-MAX('Activities'!K720,450))</x:f>
        <x:v>0</x:v>
      </x:c>
      <x:c r="CC720" s="22" t="n">
        <x:f>MAX(0,MIN('Activities'!L720,462)-MAX('Activities'!K720,456))</x:f>
        <x:v>0</x:v>
      </x:c>
      <x:c r="CD720" s="22" t="n">
        <x:f>MAX(0,MIN('Activities'!L720,468)-MAX('Activities'!K720,462))</x:f>
        <x:v>0</x:v>
      </x:c>
      <x:c r="CE720" s="22" t="n">
        <x:f>MAX(0,MIN('Activities'!L720,474)-MAX('Activities'!K720,468))</x:f>
        <x:v>0</x:v>
      </x:c>
      <x:c r="CF720" s="22" t="n">
        <x:f>MAX(0,MIN('Activities'!L720,480)-MAX('Activities'!K720,474))</x:f>
        <x:v>0</x:v>
      </x:c>
      <x:c r="CG720" s="22" t="n">
        <x:f>MAX(0,MIN('Activities'!L720,486)-MAX('Activities'!K720,480))</x:f>
        <x:v>0</x:v>
      </x:c>
      <x:c r="CH720" s="22" t="n">
        <x:f>MAX(0,MIN('Activities'!L720,492)-MAX('Activities'!K720,486))</x:f>
        <x:v>0</x:v>
      </x:c>
      <x:c r="CI720" s="22" t="n">
        <x:f>MAX(0,MIN('Activities'!L720,498)-MAX('Activities'!K720,492))</x:f>
        <x:v>0</x:v>
      </x:c>
      <x:c r="CJ720" s="22" t="n">
        <x:f>MAX(0,MIN('Activities'!L720,504)-MAX('Activities'!K720,498))</x:f>
        <x:v>0</x:v>
      </x:c>
      <x:c r="CK720" s="22" t="n">
        <x:f>MAX(0,MIN('Activities'!L720,510)-MAX('Activities'!K720,504))</x:f>
        <x:v>0</x:v>
      </x:c>
      <x:c r="CL720" s="22" t="n">
        <x:f>MAX(0,MIN('Activities'!L720,516)-MAX('Activities'!K720,510))</x:f>
        <x:v>0</x:v>
      </x:c>
      <x:c r="CM720" s="22" t="n">
        <x:f>MAX(0,MIN('Activities'!L720,522)-MAX('Activities'!K720,516))</x:f>
        <x:v>0</x:v>
      </x:c>
      <x:c r="CN720" s="22" t="n">
        <x:f>MAX(0,MIN('Activities'!L720,528)-MAX('Activities'!K720,522))</x:f>
        <x:v>0</x:v>
      </x:c>
      <x:c r="CO720" s="22" t="n">
        <x:f>MAX(0,MIN('Activities'!L720,534)-MAX('Activities'!K720,528))</x:f>
        <x:v>0</x:v>
      </x:c>
      <x:c r="CP720" s="22" t="n">
        <x:f>MAX(0,MIN('Activities'!L720,540)-MAX('Activities'!K720,534))</x:f>
        <x:v>0</x:v>
      </x:c>
      <x:c r="CQ720" s="22" t="n">
        <x:f>MAX(0,MIN('Activities'!L720,546)-MAX('Activities'!K720,540))</x:f>
        <x:v>0</x:v>
      </x:c>
      <x:c r="CR720" s="22" t="n">
        <x:f>MAX(0,MIN('Activities'!L720,552)-MAX('Activities'!K720,546))</x:f>
        <x:v>0</x:v>
      </x:c>
      <x:c r="CS720" s="22" t="n">
        <x:f>MAX(0,MIN('Activities'!L720,558)-MAX('Activities'!K720,552))</x:f>
        <x:v>0</x:v>
      </x:c>
      <x:c r="CT720" s="22" t="n">
        <x:f>MAX(0,MIN('Activities'!L720,564)-MAX('Activities'!K720,558))</x:f>
        <x:v>0</x:v>
      </x:c>
      <x:c r="CU720" s="22" t="n">
        <x:f>MAX(0,MIN('Activities'!L720,570)-MAX('Activities'!K720,564))</x:f>
        <x:v>0</x:v>
      </x:c>
      <x:c r="CV720" s="22" t="n">
        <x:f>MAX(0,MIN('Activities'!L720,576)-MAX('Activities'!K720,570))</x:f>
        <x:v>0</x:v>
      </x:c>
      <x:c r="CW720" s="22" t="n">
        <x:f>MAX(0,MIN('Activities'!L720,582)-MAX('Activities'!K720,576))</x:f>
        <x:v>0</x:v>
      </x:c>
      <x:c r="CX720" s="22" t="n">
        <x:f>MAX(0,MIN('Activities'!L720,588)-MAX('Activities'!K720,582))</x:f>
        <x:v>0</x:v>
      </x:c>
      <x:c r="CY720" s="22" t="n">
        <x:f>MAX(0,MIN('Activities'!L720,594)-MAX('Activities'!K720,588))</x:f>
        <x:v>0</x:v>
      </x:c>
      <x:c r="CZ720" s="22" t="n">
        <x:f>MAX(0,MIN('Activities'!L720,600)-MAX('Activities'!K720,594))</x:f>
        <x:v>0</x:v>
      </x:c>
      <x:c r="DA720" s="22" t="n">
        <x:f>MAX(0,MIN('Activities'!L720,606)-MAX('Activities'!K720,600))</x:f>
        <x:v>0</x:v>
      </x:c>
      <x:c r="DB720" s="22" t="n">
        <x:f>MAX(0,MIN('Activities'!L720,612)-MAX('Activities'!K720,606))</x:f>
        <x:v>0</x:v>
      </x:c>
      <x:c r="DC720" s="22" t="n">
        <x:f>MAX(0,MIN('Activities'!L720,618)-MAX('Activities'!K720,612))</x:f>
        <x:v>0</x:v>
      </x:c>
      <x:c r="DD720" s="22" t="n">
        <x:f>MAX(0,MIN('Activities'!L720,624)-MAX('Activities'!K720,618))</x:f>
        <x:v>0</x:v>
      </x:c>
      <x:c r="DE720" s="22" t="n">
        <x:f>MAX(0,MIN('Activities'!L720,630)-MAX('Activities'!K720,624))</x:f>
        <x:v>0</x:v>
      </x:c>
      <x:c r="DF720" s="22" t="n">
        <x:f>MAX(0,MIN('Activities'!L720,636)-MAX('Activities'!K720,630))</x:f>
        <x:v>0</x:v>
      </x:c>
    </x:row>
    <x:row r="721" ht="23" customHeight="1">
      <x:c r="A721" s="1" t="str">
        <x:v>T6-L10-F</x:v>
      </x:c>
      <x:c r="B721" s="1" t="str">
        <x:v>T6</x:v>
      </x:c>
      <x:c r="C721" s="1" t="str">
        <x:v>Columns, core and deck formwork</x:v>
      </x:c>
      <x:c r="D721" s="1" t="str">
        <x:v>Formwork</x:v>
      </x:c>
      <x:c r="E721" s="23" t="n">
        <x:f>MAX(0,MIN('Activities'!L721,6)-MAX('Activities'!K721,0))</x:f>
        <x:v>0</x:v>
      </x:c>
      <x:c r="F721" s="23" t="n">
        <x:f>MAX(0,MIN('Activities'!L721,12)-MAX('Activities'!K721,6))</x:f>
        <x:v>0</x:v>
      </x:c>
      <x:c r="G721" s="23" t="n">
        <x:f>MAX(0,MIN('Activities'!L721,18)-MAX('Activities'!K721,12))</x:f>
        <x:v>0</x:v>
      </x:c>
      <x:c r="H721" s="23" t="n">
        <x:f>MAX(0,MIN('Activities'!L721,24)-MAX('Activities'!K721,18))</x:f>
        <x:v>0</x:v>
      </x:c>
      <x:c r="I721" s="23" t="n">
        <x:f>MAX(0,MIN('Activities'!L721,30)-MAX('Activities'!K721,24))</x:f>
        <x:v>0</x:v>
      </x:c>
      <x:c r="J721" s="23" t="n">
        <x:f>MAX(0,MIN('Activities'!L721,36)-MAX('Activities'!K721,30))</x:f>
        <x:v>0</x:v>
      </x:c>
      <x:c r="K721" s="23" t="n">
        <x:f>MAX(0,MIN('Activities'!L721,42)-MAX('Activities'!K721,36))</x:f>
        <x:v>0</x:v>
      </x:c>
      <x:c r="L721" s="23" t="n">
        <x:f>MAX(0,MIN('Activities'!L721,48)-MAX('Activities'!K721,42))</x:f>
        <x:v>0</x:v>
      </x:c>
      <x:c r="M721" s="23" t="n">
        <x:f>MAX(0,MIN('Activities'!L721,54)-MAX('Activities'!K721,48))</x:f>
        <x:v>0</x:v>
      </x:c>
      <x:c r="N721" s="23" t="n">
        <x:f>MAX(0,MIN('Activities'!L721,60)-MAX('Activities'!K721,54))</x:f>
        <x:v>0</x:v>
      </x:c>
      <x:c r="O721" s="23" t="n">
        <x:f>MAX(0,MIN('Activities'!L721,66)-MAX('Activities'!K721,60))</x:f>
        <x:v>0</x:v>
      </x:c>
      <x:c r="P721" s="23" t="n">
        <x:f>MAX(0,MIN('Activities'!L721,72)-MAX('Activities'!K721,66))</x:f>
        <x:v>0</x:v>
      </x:c>
      <x:c r="Q721" s="23" t="n">
        <x:f>MAX(0,MIN('Activities'!L721,78)-MAX('Activities'!K721,72))</x:f>
        <x:v>0</x:v>
      </x:c>
      <x:c r="R721" s="23" t="n">
        <x:f>MAX(0,MIN('Activities'!L721,84)-MAX('Activities'!K721,78))</x:f>
        <x:v>0</x:v>
      </x:c>
      <x:c r="S721" s="23" t="n">
        <x:f>MAX(0,MIN('Activities'!L721,90)-MAX('Activities'!K721,84))</x:f>
        <x:v>0</x:v>
      </x:c>
      <x:c r="T721" s="23" t="n">
        <x:f>MAX(0,MIN('Activities'!L721,96)-MAX('Activities'!K721,90))</x:f>
        <x:v>0</x:v>
      </x:c>
      <x:c r="U721" s="23" t="n">
        <x:f>MAX(0,MIN('Activities'!L721,102)-MAX('Activities'!K721,96))</x:f>
        <x:v>0</x:v>
      </x:c>
      <x:c r="V721" s="23" t="n">
        <x:f>MAX(0,MIN('Activities'!L721,108)-MAX('Activities'!K721,102))</x:f>
        <x:v>0</x:v>
      </x:c>
      <x:c r="W721" s="23" t="n">
        <x:f>MAX(0,MIN('Activities'!L721,114)-MAX('Activities'!K721,108))</x:f>
        <x:v>0</x:v>
      </x:c>
      <x:c r="X721" s="23" t="n">
        <x:f>MAX(0,MIN('Activities'!L721,120)-MAX('Activities'!K721,114))</x:f>
        <x:v>0</x:v>
      </x:c>
      <x:c r="Y721" s="23" t="n">
        <x:f>MAX(0,MIN('Activities'!L721,126)-MAX('Activities'!K721,120))</x:f>
        <x:v>0</x:v>
      </x:c>
      <x:c r="Z721" s="23" t="n">
        <x:f>MAX(0,MIN('Activities'!L721,132)-MAX('Activities'!K721,126))</x:f>
        <x:v>0</x:v>
      </x:c>
      <x:c r="AA721" s="23" t="n">
        <x:f>MAX(0,MIN('Activities'!L721,138)-MAX('Activities'!K721,132))</x:f>
        <x:v>0</x:v>
      </x:c>
      <x:c r="AB721" s="23" t="n">
        <x:f>MAX(0,MIN('Activities'!L721,144)-MAX('Activities'!K721,138))</x:f>
        <x:v>0</x:v>
      </x:c>
      <x:c r="AC721" s="23" t="n">
        <x:f>MAX(0,MIN('Activities'!L721,150)-MAX('Activities'!K721,144))</x:f>
        <x:v>0</x:v>
      </x:c>
      <x:c r="AD721" s="23" t="n">
        <x:f>MAX(0,MIN('Activities'!L721,156)-MAX('Activities'!K721,150))</x:f>
        <x:v>0</x:v>
      </x:c>
      <x:c r="AE721" s="23" t="n">
        <x:f>MAX(0,MIN('Activities'!L721,162)-MAX('Activities'!K721,156))</x:f>
        <x:v>0</x:v>
      </x:c>
      <x:c r="AF721" s="23" t="n">
        <x:f>MAX(0,MIN('Activities'!L721,168)-MAX('Activities'!K721,162))</x:f>
        <x:v>0</x:v>
      </x:c>
      <x:c r="AG721" s="23" t="n">
        <x:f>MAX(0,MIN('Activities'!L721,174)-MAX('Activities'!K721,168))</x:f>
        <x:v>0</x:v>
      </x:c>
      <x:c r="AH721" s="23" t="n">
        <x:f>MAX(0,MIN('Activities'!L721,180)-MAX('Activities'!K721,174))</x:f>
        <x:v>0</x:v>
      </x:c>
      <x:c r="AI721" s="23" t="n">
        <x:f>MAX(0,MIN('Activities'!L721,186)-MAX('Activities'!K721,180))</x:f>
        <x:v>0</x:v>
      </x:c>
      <x:c r="AJ721" s="23" t="n">
        <x:f>MAX(0,MIN('Activities'!L721,192)-MAX('Activities'!K721,186))</x:f>
        <x:v>0</x:v>
      </x:c>
      <x:c r="AK721" s="23" t="n">
        <x:f>MAX(0,MIN('Activities'!L721,198)-MAX('Activities'!K721,192))</x:f>
        <x:v>0</x:v>
      </x:c>
      <x:c r="AL721" s="23" t="n">
        <x:f>MAX(0,MIN('Activities'!L721,204)-MAX('Activities'!K721,198))</x:f>
        <x:v>0</x:v>
      </x:c>
      <x:c r="AM721" s="23" t="n">
        <x:f>MAX(0,MIN('Activities'!L721,210)-MAX('Activities'!K721,204))</x:f>
        <x:v>0</x:v>
      </x:c>
      <x:c r="AN721" s="23" t="n">
        <x:f>MAX(0,MIN('Activities'!L721,216)-MAX('Activities'!K721,210))</x:f>
        <x:v>0</x:v>
      </x:c>
      <x:c r="AO721" s="23" t="n">
        <x:f>MAX(0,MIN('Activities'!L721,222)-MAX('Activities'!K721,216))</x:f>
        <x:v>0</x:v>
      </x:c>
      <x:c r="AP721" s="23" t="n">
        <x:f>MAX(0,MIN('Activities'!L721,228)-MAX('Activities'!K721,222))</x:f>
        <x:v>0</x:v>
      </x:c>
      <x:c r="AQ721" s="23" t="n">
        <x:f>MAX(0,MIN('Activities'!L721,234)-MAX('Activities'!K721,228))</x:f>
        <x:v>0</x:v>
      </x:c>
      <x:c r="AR721" s="23" t="n">
        <x:f>MAX(0,MIN('Activities'!L721,240)-MAX('Activities'!K721,234))</x:f>
        <x:v>0</x:v>
      </x:c>
      <x:c r="AS721" s="23" t="n">
        <x:f>MAX(0,MIN('Activities'!L721,246)-MAX('Activities'!K721,240))</x:f>
        <x:v>0</x:v>
      </x:c>
      <x:c r="AT721" s="23" t="n">
        <x:f>MAX(0,MIN('Activities'!L721,252)-MAX('Activities'!K721,246))</x:f>
        <x:v>0</x:v>
      </x:c>
      <x:c r="AU721" s="23" t="n">
        <x:f>MAX(0,MIN('Activities'!L721,258)-MAX('Activities'!K721,252))</x:f>
        <x:v>0</x:v>
      </x:c>
      <x:c r="AV721" s="23" t="n">
        <x:f>MAX(0,MIN('Activities'!L721,264)-MAX('Activities'!K721,258))</x:f>
        <x:v>0</x:v>
      </x:c>
      <x:c r="AW721" s="23" t="n">
        <x:f>MAX(0,MIN('Activities'!L721,270)-MAX('Activities'!K721,264))</x:f>
        <x:v>0</x:v>
      </x:c>
      <x:c r="AX721" s="23" t="n">
        <x:f>MAX(0,MIN('Activities'!L721,276)-MAX('Activities'!K721,270))</x:f>
        <x:v>0</x:v>
      </x:c>
      <x:c r="AY721" s="23" t="n">
        <x:f>MAX(0,MIN('Activities'!L721,282)-MAX('Activities'!K721,276))</x:f>
        <x:v>0</x:v>
      </x:c>
      <x:c r="AZ721" s="23" t="n">
        <x:f>MAX(0,MIN('Activities'!L721,288)-MAX('Activities'!K721,282))</x:f>
        <x:v>0</x:v>
      </x:c>
      <x:c r="BA721" s="23" t="n">
        <x:f>MAX(0,MIN('Activities'!L721,294)-MAX('Activities'!K721,288))</x:f>
        <x:v>0</x:v>
      </x:c>
      <x:c r="BB721" s="23" t="n">
        <x:f>MAX(0,MIN('Activities'!L721,300)-MAX('Activities'!K721,294))</x:f>
        <x:v>0</x:v>
      </x:c>
      <x:c r="BC721" s="23" t="n">
        <x:f>MAX(0,MIN('Activities'!L721,306)-MAX('Activities'!K721,300))</x:f>
        <x:v>0</x:v>
      </x:c>
      <x:c r="BD721" s="23" t="n">
        <x:f>MAX(0,MIN('Activities'!L721,312)-MAX('Activities'!K721,306))</x:f>
        <x:v>0</x:v>
      </x:c>
      <x:c r="BE721" s="23" t="n">
        <x:f>MAX(0,MIN('Activities'!L721,318)-MAX('Activities'!K721,312))</x:f>
        <x:v>0</x:v>
      </x:c>
      <x:c r="BF721" s="23" t="n">
        <x:f>MAX(0,MIN('Activities'!L721,324)-MAX('Activities'!K721,318))</x:f>
        <x:v>0</x:v>
      </x:c>
      <x:c r="BG721" s="23" t="n">
        <x:f>MAX(0,MIN('Activities'!L721,330)-MAX('Activities'!K721,324))</x:f>
        <x:v>0</x:v>
      </x:c>
      <x:c r="BH721" s="23" t="n">
        <x:f>MAX(0,MIN('Activities'!L721,336)-MAX('Activities'!K721,330))</x:f>
        <x:v>0</x:v>
      </x:c>
      <x:c r="BI721" s="23" t="n">
        <x:f>MAX(0,MIN('Activities'!L721,342)-MAX('Activities'!K721,336))</x:f>
        <x:v>0</x:v>
      </x:c>
      <x:c r="BJ721" s="23" t="n">
        <x:f>MAX(0,MIN('Activities'!L721,348)-MAX('Activities'!K721,342))</x:f>
        <x:v>0</x:v>
      </x:c>
      <x:c r="BK721" s="23" t="n">
        <x:f>MAX(0,MIN('Activities'!L721,354)-MAX('Activities'!K721,348))</x:f>
        <x:v>0</x:v>
      </x:c>
      <x:c r="BL721" s="23" t="n">
        <x:f>MAX(0,MIN('Activities'!L721,360)-MAX('Activities'!K721,354))</x:f>
        <x:v>0</x:v>
      </x:c>
      <x:c r="BM721" s="23" t="n">
        <x:f>MAX(0,MIN('Activities'!L721,366)-MAX('Activities'!K721,360))</x:f>
        <x:v>0</x:v>
      </x:c>
      <x:c r="BN721" s="23" t="n">
        <x:f>MAX(0,MIN('Activities'!L721,372)-MAX('Activities'!K721,366))</x:f>
        <x:v>0</x:v>
      </x:c>
      <x:c r="BO721" s="23" t="n">
        <x:f>MAX(0,MIN('Activities'!L721,378)-MAX('Activities'!K721,372))</x:f>
        <x:v>4</x:v>
      </x:c>
      <x:c r="BP721" s="23" t="n">
        <x:f>MAX(0,MIN('Activities'!L721,384)-MAX('Activities'!K721,378))</x:f>
        <x:v>2</x:v>
      </x:c>
      <x:c r="BQ721" s="23" t="n">
        <x:f>MAX(0,MIN('Activities'!L721,390)-MAX('Activities'!K721,384))</x:f>
        <x:v>0</x:v>
      </x:c>
      <x:c r="BR721" s="23" t="n">
        <x:f>MAX(0,MIN('Activities'!L721,396)-MAX('Activities'!K721,390))</x:f>
        <x:v>0</x:v>
      </x:c>
      <x:c r="BS721" s="23" t="n">
        <x:f>MAX(0,MIN('Activities'!L721,402)-MAX('Activities'!K721,396))</x:f>
        <x:v>0</x:v>
      </x:c>
      <x:c r="BT721" s="23" t="n">
        <x:f>MAX(0,MIN('Activities'!L721,408)-MAX('Activities'!K721,402))</x:f>
        <x:v>0</x:v>
      </x:c>
      <x:c r="BU721" s="23" t="n">
        <x:f>MAX(0,MIN('Activities'!L721,414)-MAX('Activities'!K721,408))</x:f>
        <x:v>0</x:v>
      </x:c>
      <x:c r="BV721" s="23" t="n">
        <x:f>MAX(0,MIN('Activities'!L721,420)-MAX('Activities'!K721,414))</x:f>
        <x:v>0</x:v>
      </x:c>
      <x:c r="BW721" s="23" t="n">
        <x:f>MAX(0,MIN('Activities'!L721,426)-MAX('Activities'!K721,420))</x:f>
        <x:v>0</x:v>
      </x:c>
      <x:c r="BX721" s="23" t="n">
        <x:f>MAX(0,MIN('Activities'!L721,432)-MAX('Activities'!K721,426))</x:f>
        <x:v>0</x:v>
      </x:c>
      <x:c r="BY721" s="23" t="n">
        <x:f>MAX(0,MIN('Activities'!L721,438)-MAX('Activities'!K721,432))</x:f>
        <x:v>0</x:v>
      </x:c>
      <x:c r="BZ721" s="23" t="n">
        <x:f>MAX(0,MIN('Activities'!L721,444)-MAX('Activities'!K721,438))</x:f>
        <x:v>0</x:v>
      </x:c>
      <x:c r="CA721" s="23" t="n">
        <x:f>MAX(0,MIN('Activities'!L721,450)-MAX('Activities'!K721,444))</x:f>
        <x:v>0</x:v>
      </x:c>
      <x:c r="CB721" s="23" t="n">
        <x:f>MAX(0,MIN('Activities'!L721,456)-MAX('Activities'!K721,450))</x:f>
        <x:v>0</x:v>
      </x:c>
      <x:c r="CC721" s="23" t="n">
        <x:f>MAX(0,MIN('Activities'!L721,462)-MAX('Activities'!K721,456))</x:f>
        <x:v>0</x:v>
      </x:c>
      <x:c r="CD721" s="23" t="n">
        <x:f>MAX(0,MIN('Activities'!L721,468)-MAX('Activities'!K721,462))</x:f>
        <x:v>0</x:v>
      </x:c>
      <x:c r="CE721" s="23" t="n">
        <x:f>MAX(0,MIN('Activities'!L721,474)-MAX('Activities'!K721,468))</x:f>
        <x:v>0</x:v>
      </x:c>
      <x:c r="CF721" s="23" t="n">
        <x:f>MAX(0,MIN('Activities'!L721,480)-MAX('Activities'!K721,474))</x:f>
        <x:v>0</x:v>
      </x:c>
      <x:c r="CG721" s="23" t="n">
        <x:f>MAX(0,MIN('Activities'!L721,486)-MAX('Activities'!K721,480))</x:f>
        <x:v>0</x:v>
      </x:c>
      <x:c r="CH721" s="23" t="n">
        <x:f>MAX(0,MIN('Activities'!L721,492)-MAX('Activities'!K721,486))</x:f>
        <x:v>0</x:v>
      </x:c>
      <x:c r="CI721" s="23" t="n">
        <x:f>MAX(0,MIN('Activities'!L721,498)-MAX('Activities'!K721,492))</x:f>
        <x:v>0</x:v>
      </x:c>
      <x:c r="CJ721" s="23" t="n">
        <x:f>MAX(0,MIN('Activities'!L721,504)-MAX('Activities'!K721,498))</x:f>
        <x:v>0</x:v>
      </x:c>
      <x:c r="CK721" s="23" t="n">
        <x:f>MAX(0,MIN('Activities'!L721,510)-MAX('Activities'!K721,504))</x:f>
        <x:v>0</x:v>
      </x:c>
      <x:c r="CL721" s="23" t="n">
        <x:f>MAX(0,MIN('Activities'!L721,516)-MAX('Activities'!K721,510))</x:f>
        <x:v>0</x:v>
      </x:c>
      <x:c r="CM721" s="23" t="n">
        <x:f>MAX(0,MIN('Activities'!L721,522)-MAX('Activities'!K721,516))</x:f>
        <x:v>0</x:v>
      </x:c>
      <x:c r="CN721" s="23" t="n">
        <x:f>MAX(0,MIN('Activities'!L721,528)-MAX('Activities'!K721,522))</x:f>
        <x:v>0</x:v>
      </x:c>
      <x:c r="CO721" s="23" t="n">
        <x:f>MAX(0,MIN('Activities'!L721,534)-MAX('Activities'!K721,528))</x:f>
        <x:v>0</x:v>
      </x:c>
      <x:c r="CP721" s="23" t="n">
        <x:f>MAX(0,MIN('Activities'!L721,540)-MAX('Activities'!K721,534))</x:f>
        <x:v>0</x:v>
      </x:c>
      <x:c r="CQ721" s="23" t="n">
        <x:f>MAX(0,MIN('Activities'!L721,546)-MAX('Activities'!K721,540))</x:f>
        <x:v>0</x:v>
      </x:c>
      <x:c r="CR721" s="23" t="n">
        <x:f>MAX(0,MIN('Activities'!L721,552)-MAX('Activities'!K721,546))</x:f>
        <x:v>0</x:v>
      </x:c>
      <x:c r="CS721" s="23" t="n">
        <x:f>MAX(0,MIN('Activities'!L721,558)-MAX('Activities'!K721,552))</x:f>
        <x:v>0</x:v>
      </x:c>
      <x:c r="CT721" s="23" t="n">
        <x:f>MAX(0,MIN('Activities'!L721,564)-MAX('Activities'!K721,558))</x:f>
        <x:v>0</x:v>
      </x:c>
      <x:c r="CU721" s="23" t="n">
        <x:f>MAX(0,MIN('Activities'!L721,570)-MAX('Activities'!K721,564))</x:f>
        <x:v>0</x:v>
      </x:c>
      <x:c r="CV721" s="23" t="n">
        <x:f>MAX(0,MIN('Activities'!L721,576)-MAX('Activities'!K721,570))</x:f>
        <x:v>0</x:v>
      </x:c>
      <x:c r="CW721" s="23" t="n">
        <x:f>MAX(0,MIN('Activities'!L721,582)-MAX('Activities'!K721,576))</x:f>
        <x:v>0</x:v>
      </x:c>
      <x:c r="CX721" s="23" t="n">
        <x:f>MAX(0,MIN('Activities'!L721,588)-MAX('Activities'!K721,582))</x:f>
        <x:v>0</x:v>
      </x:c>
      <x:c r="CY721" s="23" t="n">
        <x:f>MAX(0,MIN('Activities'!L721,594)-MAX('Activities'!K721,588))</x:f>
        <x:v>0</x:v>
      </x:c>
      <x:c r="CZ721" s="23" t="n">
        <x:f>MAX(0,MIN('Activities'!L721,600)-MAX('Activities'!K721,594))</x:f>
        <x:v>0</x:v>
      </x:c>
      <x:c r="DA721" s="23" t="n">
        <x:f>MAX(0,MIN('Activities'!L721,606)-MAX('Activities'!K721,600))</x:f>
        <x:v>0</x:v>
      </x:c>
      <x:c r="DB721" s="23" t="n">
        <x:f>MAX(0,MIN('Activities'!L721,612)-MAX('Activities'!K721,606))</x:f>
        <x:v>0</x:v>
      </x:c>
      <x:c r="DC721" s="23" t="n">
        <x:f>MAX(0,MIN('Activities'!L721,618)-MAX('Activities'!K721,612))</x:f>
        <x:v>0</x:v>
      </x:c>
      <x:c r="DD721" s="23" t="n">
        <x:f>MAX(0,MIN('Activities'!L721,624)-MAX('Activities'!K721,618))</x:f>
        <x:v>0</x:v>
      </x:c>
      <x:c r="DE721" s="23" t="n">
        <x:f>MAX(0,MIN('Activities'!L721,630)-MAX('Activities'!K721,624))</x:f>
        <x:v>0</x:v>
      </x:c>
      <x:c r="DF721" s="23" t="n">
        <x:f>MAX(0,MIN('Activities'!L721,636)-MAX('Activities'!K721,630))</x:f>
        <x:v>0</x:v>
      </x:c>
    </x:row>
    <x:row r="722" ht="23" customHeight="1">
      <x:c r="A722" s="6" t="str">
        <x:v>T6-L10-R</x:v>
      </x:c>
      <x:c r="B722" s="6" t="str">
        <x:v>T6</x:v>
      </x:c>
      <x:c r="C722" s="6" t="str">
        <x:v>Column, wall, beam and slab reinforcement</x:v>
      </x:c>
      <x:c r="D722" s="6" t="str">
        <x:v>Rebar</x:v>
      </x:c>
      <x:c r="E722" s="22" t="n">
        <x:f>MAX(0,MIN('Activities'!L722,6)-MAX('Activities'!K722,0))</x:f>
        <x:v>0</x:v>
      </x:c>
      <x:c r="F722" s="22" t="n">
        <x:f>MAX(0,MIN('Activities'!L722,12)-MAX('Activities'!K722,6))</x:f>
        <x:v>0</x:v>
      </x:c>
      <x:c r="G722" s="22" t="n">
        <x:f>MAX(0,MIN('Activities'!L722,18)-MAX('Activities'!K722,12))</x:f>
        <x:v>0</x:v>
      </x:c>
      <x:c r="H722" s="22" t="n">
        <x:f>MAX(0,MIN('Activities'!L722,24)-MAX('Activities'!K722,18))</x:f>
        <x:v>0</x:v>
      </x:c>
      <x:c r="I722" s="22" t="n">
        <x:f>MAX(0,MIN('Activities'!L722,30)-MAX('Activities'!K722,24))</x:f>
        <x:v>0</x:v>
      </x:c>
      <x:c r="J722" s="22" t="n">
        <x:f>MAX(0,MIN('Activities'!L722,36)-MAX('Activities'!K722,30))</x:f>
        <x:v>0</x:v>
      </x:c>
      <x:c r="K722" s="22" t="n">
        <x:f>MAX(0,MIN('Activities'!L722,42)-MAX('Activities'!K722,36))</x:f>
        <x:v>0</x:v>
      </x:c>
      <x:c r="L722" s="22" t="n">
        <x:f>MAX(0,MIN('Activities'!L722,48)-MAX('Activities'!K722,42))</x:f>
        <x:v>0</x:v>
      </x:c>
      <x:c r="M722" s="22" t="n">
        <x:f>MAX(0,MIN('Activities'!L722,54)-MAX('Activities'!K722,48))</x:f>
        <x:v>0</x:v>
      </x:c>
      <x:c r="N722" s="22" t="n">
        <x:f>MAX(0,MIN('Activities'!L722,60)-MAX('Activities'!K722,54))</x:f>
        <x:v>0</x:v>
      </x:c>
      <x:c r="O722" s="22" t="n">
        <x:f>MAX(0,MIN('Activities'!L722,66)-MAX('Activities'!K722,60))</x:f>
        <x:v>0</x:v>
      </x:c>
      <x:c r="P722" s="22" t="n">
        <x:f>MAX(0,MIN('Activities'!L722,72)-MAX('Activities'!K722,66))</x:f>
        <x:v>0</x:v>
      </x:c>
      <x:c r="Q722" s="22" t="n">
        <x:f>MAX(0,MIN('Activities'!L722,78)-MAX('Activities'!K722,72))</x:f>
        <x:v>0</x:v>
      </x:c>
      <x:c r="R722" s="22" t="n">
        <x:f>MAX(0,MIN('Activities'!L722,84)-MAX('Activities'!K722,78))</x:f>
        <x:v>0</x:v>
      </x:c>
      <x:c r="S722" s="22" t="n">
        <x:f>MAX(0,MIN('Activities'!L722,90)-MAX('Activities'!K722,84))</x:f>
        <x:v>0</x:v>
      </x:c>
      <x:c r="T722" s="22" t="n">
        <x:f>MAX(0,MIN('Activities'!L722,96)-MAX('Activities'!K722,90))</x:f>
        <x:v>0</x:v>
      </x:c>
      <x:c r="U722" s="22" t="n">
        <x:f>MAX(0,MIN('Activities'!L722,102)-MAX('Activities'!K722,96))</x:f>
        <x:v>0</x:v>
      </x:c>
      <x:c r="V722" s="22" t="n">
        <x:f>MAX(0,MIN('Activities'!L722,108)-MAX('Activities'!K722,102))</x:f>
        <x:v>0</x:v>
      </x:c>
      <x:c r="W722" s="22" t="n">
        <x:f>MAX(0,MIN('Activities'!L722,114)-MAX('Activities'!K722,108))</x:f>
        <x:v>0</x:v>
      </x:c>
      <x:c r="X722" s="22" t="n">
        <x:f>MAX(0,MIN('Activities'!L722,120)-MAX('Activities'!K722,114))</x:f>
        <x:v>0</x:v>
      </x:c>
      <x:c r="Y722" s="22" t="n">
        <x:f>MAX(0,MIN('Activities'!L722,126)-MAX('Activities'!K722,120))</x:f>
        <x:v>0</x:v>
      </x:c>
      <x:c r="Z722" s="22" t="n">
        <x:f>MAX(0,MIN('Activities'!L722,132)-MAX('Activities'!K722,126))</x:f>
        <x:v>0</x:v>
      </x:c>
      <x:c r="AA722" s="22" t="n">
        <x:f>MAX(0,MIN('Activities'!L722,138)-MAX('Activities'!K722,132))</x:f>
        <x:v>0</x:v>
      </x:c>
      <x:c r="AB722" s="22" t="n">
        <x:f>MAX(0,MIN('Activities'!L722,144)-MAX('Activities'!K722,138))</x:f>
        <x:v>0</x:v>
      </x:c>
      <x:c r="AC722" s="22" t="n">
        <x:f>MAX(0,MIN('Activities'!L722,150)-MAX('Activities'!K722,144))</x:f>
        <x:v>0</x:v>
      </x:c>
      <x:c r="AD722" s="22" t="n">
        <x:f>MAX(0,MIN('Activities'!L722,156)-MAX('Activities'!K722,150))</x:f>
        <x:v>0</x:v>
      </x:c>
      <x:c r="AE722" s="22" t="n">
        <x:f>MAX(0,MIN('Activities'!L722,162)-MAX('Activities'!K722,156))</x:f>
        <x:v>0</x:v>
      </x:c>
      <x:c r="AF722" s="22" t="n">
        <x:f>MAX(0,MIN('Activities'!L722,168)-MAX('Activities'!K722,162))</x:f>
        <x:v>0</x:v>
      </x:c>
      <x:c r="AG722" s="22" t="n">
        <x:f>MAX(0,MIN('Activities'!L722,174)-MAX('Activities'!K722,168))</x:f>
        <x:v>0</x:v>
      </x:c>
      <x:c r="AH722" s="22" t="n">
        <x:f>MAX(0,MIN('Activities'!L722,180)-MAX('Activities'!K722,174))</x:f>
        <x:v>0</x:v>
      </x:c>
      <x:c r="AI722" s="22" t="n">
        <x:f>MAX(0,MIN('Activities'!L722,186)-MAX('Activities'!K722,180))</x:f>
        <x:v>0</x:v>
      </x:c>
      <x:c r="AJ722" s="22" t="n">
        <x:f>MAX(0,MIN('Activities'!L722,192)-MAX('Activities'!K722,186))</x:f>
        <x:v>0</x:v>
      </x:c>
      <x:c r="AK722" s="22" t="n">
        <x:f>MAX(0,MIN('Activities'!L722,198)-MAX('Activities'!K722,192))</x:f>
        <x:v>0</x:v>
      </x:c>
      <x:c r="AL722" s="22" t="n">
        <x:f>MAX(0,MIN('Activities'!L722,204)-MAX('Activities'!K722,198))</x:f>
        <x:v>0</x:v>
      </x:c>
      <x:c r="AM722" s="22" t="n">
        <x:f>MAX(0,MIN('Activities'!L722,210)-MAX('Activities'!K722,204))</x:f>
        <x:v>0</x:v>
      </x:c>
      <x:c r="AN722" s="22" t="n">
        <x:f>MAX(0,MIN('Activities'!L722,216)-MAX('Activities'!K722,210))</x:f>
        <x:v>0</x:v>
      </x:c>
      <x:c r="AO722" s="22" t="n">
        <x:f>MAX(0,MIN('Activities'!L722,222)-MAX('Activities'!K722,216))</x:f>
        <x:v>0</x:v>
      </x:c>
      <x:c r="AP722" s="22" t="n">
        <x:f>MAX(0,MIN('Activities'!L722,228)-MAX('Activities'!K722,222))</x:f>
        <x:v>0</x:v>
      </x:c>
      <x:c r="AQ722" s="22" t="n">
        <x:f>MAX(0,MIN('Activities'!L722,234)-MAX('Activities'!K722,228))</x:f>
        <x:v>0</x:v>
      </x:c>
      <x:c r="AR722" s="22" t="n">
        <x:f>MAX(0,MIN('Activities'!L722,240)-MAX('Activities'!K722,234))</x:f>
        <x:v>0</x:v>
      </x:c>
      <x:c r="AS722" s="22" t="n">
        <x:f>MAX(0,MIN('Activities'!L722,246)-MAX('Activities'!K722,240))</x:f>
        <x:v>0</x:v>
      </x:c>
      <x:c r="AT722" s="22" t="n">
        <x:f>MAX(0,MIN('Activities'!L722,252)-MAX('Activities'!K722,246))</x:f>
        <x:v>0</x:v>
      </x:c>
      <x:c r="AU722" s="22" t="n">
        <x:f>MAX(0,MIN('Activities'!L722,258)-MAX('Activities'!K722,252))</x:f>
        <x:v>0</x:v>
      </x:c>
      <x:c r="AV722" s="22" t="n">
        <x:f>MAX(0,MIN('Activities'!L722,264)-MAX('Activities'!K722,258))</x:f>
        <x:v>0</x:v>
      </x:c>
      <x:c r="AW722" s="22" t="n">
        <x:f>MAX(0,MIN('Activities'!L722,270)-MAX('Activities'!K722,264))</x:f>
        <x:v>0</x:v>
      </x:c>
      <x:c r="AX722" s="22" t="n">
        <x:f>MAX(0,MIN('Activities'!L722,276)-MAX('Activities'!K722,270))</x:f>
        <x:v>0</x:v>
      </x:c>
      <x:c r="AY722" s="22" t="n">
        <x:f>MAX(0,MIN('Activities'!L722,282)-MAX('Activities'!K722,276))</x:f>
        <x:v>0</x:v>
      </x:c>
      <x:c r="AZ722" s="22" t="n">
        <x:f>MAX(0,MIN('Activities'!L722,288)-MAX('Activities'!K722,282))</x:f>
        <x:v>0</x:v>
      </x:c>
      <x:c r="BA722" s="22" t="n">
        <x:f>MAX(0,MIN('Activities'!L722,294)-MAX('Activities'!K722,288))</x:f>
        <x:v>0</x:v>
      </x:c>
      <x:c r="BB722" s="22" t="n">
        <x:f>MAX(0,MIN('Activities'!L722,300)-MAX('Activities'!K722,294))</x:f>
        <x:v>0</x:v>
      </x:c>
      <x:c r="BC722" s="22" t="n">
        <x:f>MAX(0,MIN('Activities'!L722,306)-MAX('Activities'!K722,300))</x:f>
        <x:v>0</x:v>
      </x:c>
      <x:c r="BD722" s="22" t="n">
        <x:f>MAX(0,MIN('Activities'!L722,312)-MAX('Activities'!K722,306))</x:f>
        <x:v>0</x:v>
      </x:c>
      <x:c r="BE722" s="22" t="n">
        <x:f>MAX(0,MIN('Activities'!L722,318)-MAX('Activities'!K722,312))</x:f>
        <x:v>0</x:v>
      </x:c>
      <x:c r="BF722" s="22" t="n">
        <x:f>MAX(0,MIN('Activities'!L722,324)-MAX('Activities'!K722,318))</x:f>
        <x:v>0</x:v>
      </x:c>
      <x:c r="BG722" s="22" t="n">
        <x:f>MAX(0,MIN('Activities'!L722,330)-MAX('Activities'!K722,324))</x:f>
        <x:v>0</x:v>
      </x:c>
      <x:c r="BH722" s="22" t="n">
        <x:f>MAX(0,MIN('Activities'!L722,336)-MAX('Activities'!K722,330))</x:f>
        <x:v>0</x:v>
      </x:c>
      <x:c r="BI722" s="22" t="n">
        <x:f>MAX(0,MIN('Activities'!L722,342)-MAX('Activities'!K722,336))</x:f>
        <x:v>0</x:v>
      </x:c>
      <x:c r="BJ722" s="22" t="n">
        <x:f>MAX(0,MIN('Activities'!L722,348)-MAX('Activities'!K722,342))</x:f>
        <x:v>0</x:v>
      </x:c>
      <x:c r="BK722" s="22" t="n">
        <x:f>MAX(0,MIN('Activities'!L722,354)-MAX('Activities'!K722,348))</x:f>
        <x:v>0</x:v>
      </x:c>
      <x:c r="BL722" s="22" t="n">
        <x:f>MAX(0,MIN('Activities'!L722,360)-MAX('Activities'!K722,354))</x:f>
        <x:v>0</x:v>
      </x:c>
      <x:c r="BM722" s="22" t="n">
        <x:f>MAX(0,MIN('Activities'!L722,366)-MAX('Activities'!K722,360))</x:f>
        <x:v>0</x:v>
      </x:c>
      <x:c r="BN722" s="22" t="n">
        <x:f>MAX(0,MIN('Activities'!L722,372)-MAX('Activities'!K722,366))</x:f>
        <x:v>0</x:v>
      </x:c>
      <x:c r="BO722" s="22" t="n">
        <x:f>MAX(0,MIN('Activities'!L722,378)-MAX('Activities'!K722,372))</x:f>
        <x:v>0</x:v>
      </x:c>
      <x:c r="BP722" s="22" t="n">
        <x:f>MAX(0,MIN('Activities'!L722,384)-MAX('Activities'!K722,378))</x:f>
        <x:v>4</x:v>
      </x:c>
      <x:c r="BQ722" s="22" t="n">
        <x:f>MAX(0,MIN('Activities'!L722,390)-MAX('Activities'!K722,384))</x:f>
        <x:v>1</x:v>
      </x:c>
      <x:c r="BR722" s="22" t="n">
        <x:f>MAX(0,MIN('Activities'!L722,396)-MAX('Activities'!K722,390))</x:f>
        <x:v>0</x:v>
      </x:c>
      <x:c r="BS722" s="22" t="n">
        <x:f>MAX(0,MIN('Activities'!L722,402)-MAX('Activities'!K722,396))</x:f>
        <x:v>0</x:v>
      </x:c>
      <x:c r="BT722" s="22" t="n">
        <x:f>MAX(0,MIN('Activities'!L722,408)-MAX('Activities'!K722,402))</x:f>
        <x:v>0</x:v>
      </x:c>
      <x:c r="BU722" s="22" t="n">
        <x:f>MAX(0,MIN('Activities'!L722,414)-MAX('Activities'!K722,408))</x:f>
        <x:v>0</x:v>
      </x:c>
      <x:c r="BV722" s="22" t="n">
        <x:f>MAX(0,MIN('Activities'!L722,420)-MAX('Activities'!K722,414))</x:f>
        <x:v>0</x:v>
      </x:c>
      <x:c r="BW722" s="22" t="n">
        <x:f>MAX(0,MIN('Activities'!L722,426)-MAX('Activities'!K722,420))</x:f>
        <x:v>0</x:v>
      </x:c>
      <x:c r="BX722" s="22" t="n">
        <x:f>MAX(0,MIN('Activities'!L722,432)-MAX('Activities'!K722,426))</x:f>
        <x:v>0</x:v>
      </x:c>
      <x:c r="BY722" s="22" t="n">
        <x:f>MAX(0,MIN('Activities'!L722,438)-MAX('Activities'!K722,432))</x:f>
        <x:v>0</x:v>
      </x:c>
      <x:c r="BZ722" s="22" t="n">
        <x:f>MAX(0,MIN('Activities'!L722,444)-MAX('Activities'!K722,438))</x:f>
        <x:v>0</x:v>
      </x:c>
      <x:c r="CA722" s="22" t="n">
        <x:f>MAX(0,MIN('Activities'!L722,450)-MAX('Activities'!K722,444))</x:f>
        <x:v>0</x:v>
      </x:c>
      <x:c r="CB722" s="22" t="n">
        <x:f>MAX(0,MIN('Activities'!L722,456)-MAX('Activities'!K722,450))</x:f>
        <x:v>0</x:v>
      </x:c>
      <x:c r="CC722" s="22" t="n">
        <x:f>MAX(0,MIN('Activities'!L722,462)-MAX('Activities'!K722,456))</x:f>
        <x:v>0</x:v>
      </x:c>
      <x:c r="CD722" s="22" t="n">
        <x:f>MAX(0,MIN('Activities'!L722,468)-MAX('Activities'!K722,462))</x:f>
        <x:v>0</x:v>
      </x:c>
      <x:c r="CE722" s="22" t="n">
        <x:f>MAX(0,MIN('Activities'!L722,474)-MAX('Activities'!K722,468))</x:f>
        <x:v>0</x:v>
      </x:c>
      <x:c r="CF722" s="22" t="n">
        <x:f>MAX(0,MIN('Activities'!L722,480)-MAX('Activities'!K722,474))</x:f>
        <x:v>0</x:v>
      </x:c>
      <x:c r="CG722" s="22" t="n">
        <x:f>MAX(0,MIN('Activities'!L722,486)-MAX('Activities'!K722,480))</x:f>
        <x:v>0</x:v>
      </x:c>
      <x:c r="CH722" s="22" t="n">
        <x:f>MAX(0,MIN('Activities'!L722,492)-MAX('Activities'!K722,486))</x:f>
        <x:v>0</x:v>
      </x:c>
      <x:c r="CI722" s="22" t="n">
        <x:f>MAX(0,MIN('Activities'!L722,498)-MAX('Activities'!K722,492))</x:f>
        <x:v>0</x:v>
      </x:c>
      <x:c r="CJ722" s="22" t="n">
        <x:f>MAX(0,MIN('Activities'!L722,504)-MAX('Activities'!K722,498))</x:f>
        <x:v>0</x:v>
      </x:c>
      <x:c r="CK722" s="22" t="n">
        <x:f>MAX(0,MIN('Activities'!L722,510)-MAX('Activities'!K722,504))</x:f>
        <x:v>0</x:v>
      </x:c>
      <x:c r="CL722" s="22" t="n">
        <x:f>MAX(0,MIN('Activities'!L722,516)-MAX('Activities'!K722,510))</x:f>
        <x:v>0</x:v>
      </x:c>
      <x:c r="CM722" s="22" t="n">
        <x:f>MAX(0,MIN('Activities'!L722,522)-MAX('Activities'!K722,516))</x:f>
        <x:v>0</x:v>
      </x:c>
      <x:c r="CN722" s="22" t="n">
        <x:f>MAX(0,MIN('Activities'!L722,528)-MAX('Activities'!K722,522))</x:f>
        <x:v>0</x:v>
      </x:c>
      <x:c r="CO722" s="22" t="n">
        <x:f>MAX(0,MIN('Activities'!L722,534)-MAX('Activities'!K722,528))</x:f>
        <x:v>0</x:v>
      </x:c>
      <x:c r="CP722" s="22" t="n">
        <x:f>MAX(0,MIN('Activities'!L722,540)-MAX('Activities'!K722,534))</x:f>
        <x:v>0</x:v>
      </x:c>
      <x:c r="CQ722" s="22" t="n">
        <x:f>MAX(0,MIN('Activities'!L722,546)-MAX('Activities'!K722,540))</x:f>
        <x:v>0</x:v>
      </x:c>
      <x:c r="CR722" s="22" t="n">
        <x:f>MAX(0,MIN('Activities'!L722,552)-MAX('Activities'!K722,546))</x:f>
        <x:v>0</x:v>
      </x:c>
      <x:c r="CS722" s="22" t="n">
        <x:f>MAX(0,MIN('Activities'!L722,558)-MAX('Activities'!K722,552))</x:f>
        <x:v>0</x:v>
      </x:c>
      <x:c r="CT722" s="22" t="n">
        <x:f>MAX(0,MIN('Activities'!L722,564)-MAX('Activities'!K722,558))</x:f>
        <x:v>0</x:v>
      </x:c>
      <x:c r="CU722" s="22" t="n">
        <x:f>MAX(0,MIN('Activities'!L722,570)-MAX('Activities'!K722,564))</x:f>
        <x:v>0</x:v>
      </x:c>
      <x:c r="CV722" s="22" t="n">
        <x:f>MAX(0,MIN('Activities'!L722,576)-MAX('Activities'!K722,570))</x:f>
        <x:v>0</x:v>
      </x:c>
      <x:c r="CW722" s="22" t="n">
        <x:f>MAX(0,MIN('Activities'!L722,582)-MAX('Activities'!K722,576))</x:f>
        <x:v>0</x:v>
      </x:c>
      <x:c r="CX722" s="22" t="n">
        <x:f>MAX(0,MIN('Activities'!L722,588)-MAX('Activities'!K722,582))</x:f>
        <x:v>0</x:v>
      </x:c>
      <x:c r="CY722" s="22" t="n">
        <x:f>MAX(0,MIN('Activities'!L722,594)-MAX('Activities'!K722,588))</x:f>
        <x:v>0</x:v>
      </x:c>
      <x:c r="CZ722" s="22" t="n">
        <x:f>MAX(0,MIN('Activities'!L722,600)-MAX('Activities'!K722,594))</x:f>
        <x:v>0</x:v>
      </x:c>
      <x:c r="DA722" s="22" t="n">
        <x:f>MAX(0,MIN('Activities'!L722,606)-MAX('Activities'!K722,600))</x:f>
        <x:v>0</x:v>
      </x:c>
      <x:c r="DB722" s="22" t="n">
        <x:f>MAX(0,MIN('Activities'!L722,612)-MAX('Activities'!K722,606))</x:f>
        <x:v>0</x:v>
      </x:c>
      <x:c r="DC722" s="22" t="n">
        <x:f>MAX(0,MIN('Activities'!L722,618)-MAX('Activities'!K722,612))</x:f>
        <x:v>0</x:v>
      </x:c>
      <x:c r="DD722" s="22" t="n">
        <x:f>MAX(0,MIN('Activities'!L722,624)-MAX('Activities'!K722,618))</x:f>
        <x:v>0</x:v>
      </x:c>
      <x:c r="DE722" s="22" t="n">
        <x:f>MAX(0,MIN('Activities'!L722,630)-MAX('Activities'!K722,624))</x:f>
        <x:v>0</x:v>
      </x:c>
      <x:c r="DF722" s="22" t="n">
        <x:f>MAX(0,MIN('Activities'!L722,636)-MAX('Activities'!K722,630))</x:f>
        <x:v>0</x:v>
      </x:c>
    </x:row>
    <x:row r="723" ht="23" customHeight="1">
      <x:c r="A723" s="1" t="str">
        <x:v>T6-L10-C</x:v>
      </x:c>
      <x:c r="B723" s="1" t="str">
        <x:v>T6</x:v>
      </x:c>
      <x:c r="C723" s="1" t="str">
        <x:v>Concrete placement and finishing</x:v>
      </x:c>
      <x:c r="D723" s="1" t="str">
        <x:v>Concrete</x:v>
      </x:c>
      <x:c r="E723" s="23" t="n">
        <x:f>MAX(0,MIN('Activities'!L723,6)-MAX('Activities'!K723,0))</x:f>
        <x:v>0</x:v>
      </x:c>
      <x:c r="F723" s="23" t="n">
        <x:f>MAX(0,MIN('Activities'!L723,12)-MAX('Activities'!K723,6))</x:f>
        <x:v>0</x:v>
      </x:c>
      <x:c r="G723" s="23" t="n">
        <x:f>MAX(0,MIN('Activities'!L723,18)-MAX('Activities'!K723,12))</x:f>
        <x:v>0</x:v>
      </x:c>
      <x:c r="H723" s="23" t="n">
        <x:f>MAX(0,MIN('Activities'!L723,24)-MAX('Activities'!K723,18))</x:f>
        <x:v>0</x:v>
      </x:c>
      <x:c r="I723" s="23" t="n">
        <x:f>MAX(0,MIN('Activities'!L723,30)-MAX('Activities'!K723,24))</x:f>
        <x:v>0</x:v>
      </x:c>
      <x:c r="J723" s="23" t="n">
        <x:f>MAX(0,MIN('Activities'!L723,36)-MAX('Activities'!K723,30))</x:f>
        <x:v>0</x:v>
      </x:c>
      <x:c r="K723" s="23" t="n">
        <x:f>MAX(0,MIN('Activities'!L723,42)-MAX('Activities'!K723,36))</x:f>
        <x:v>0</x:v>
      </x:c>
      <x:c r="L723" s="23" t="n">
        <x:f>MAX(0,MIN('Activities'!L723,48)-MAX('Activities'!K723,42))</x:f>
        <x:v>0</x:v>
      </x:c>
      <x:c r="M723" s="23" t="n">
        <x:f>MAX(0,MIN('Activities'!L723,54)-MAX('Activities'!K723,48))</x:f>
        <x:v>0</x:v>
      </x:c>
      <x:c r="N723" s="23" t="n">
        <x:f>MAX(0,MIN('Activities'!L723,60)-MAX('Activities'!K723,54))</x:f>
        <x:v>0</x:v>
      </x:c>
      <x:c r="O723" s="23" t="n">
        <x:f>MAX(0,MIN('Activities'!L723,66)-MAX('Activities'!K723,60))</x:f>
        <x:v>0</x:v>
      </x:c>
      <x:c r="P723" s="23" t="n">
        <x:f>MAX(0,MIN('Activities'!L723,72)-MAX('Activities'!K723,66))</x:f>
        <x:v>0</x:v>
      </x:c>
      <x:c r="Q723" s="23" t="n">
        <x:f>MAX(0,MIN('Activities'!L723,78)-MAX('Activities'!K723,72))</x:f>
        <x:v>0</x:v>
      </x:c>
      <x:c r="R723" s="23" t="n">
        <x:f>MAX(0,MIN('Activities'!L723,84)-MAX('Activities'!K723,78))</x:f>
        <x:v>0</x:v>
      </x:c>
      <x:c r="S723" s="23" t="n">
        <x:f>MAX(0,MIN('Activities'!L723,90)-MAX('Activities'!K723,84))</x:f>
        <x:v>0</x:v>
      </x:c>
      <x:c r="T723" s="23" t="n">
        <x:f>MAX(0,MIN('Activities'!L723,96)-MAX('Activities'!K723,90))</x:f>
        <x:v>0</x:v>
      </x:c>
      <x:c r="U723" s="23" t="n">
        <x:f>MAX(0,MIN('Activities'!L723,102)-MAX('Activities'!K723,96))</x:f>
        <x:v>0</x:v>
      </x:c>
      <x:c r="V723" s="23" t="n">
        <x:f>MAX(0,MIN('Activities'!L723,108)-MAX('Activities'!K723,102))</x:f>
        <x:v>0</x:v>
      </x:c>
      <x:c r="W723" s="23" t="n">
        <x:f>MAX(0,MIN('Activities'!L723,114)-MAX('Activities'!K723,108))</x:f>
        <x:v>0</x:v>
      </x:c>
      <x:c r="X723" s="23" t="n">
        <x:f>MAX(0,MIN('Activities'!L723,120)-MAX('Activities'!K723,114))</x:f>
        <x:v>0</x:v>
      </x:c>
      <x:c r="Y723" s="23" t="n">
        <x:f>MAX(0,MIN('Activities'!L723,126)-MAX('Activities'!K723,120))</x:f>
        <x:v>0</x:v>
      </x:c>
      <x:c r="Z723" s="23" t="n">
        <x:f>MAX(0,MIN('Activities'!L723,132)-MAX('Activities'!K723,126))</x:f>
        <x:v>0</x:v>
      </x:c>
      <x:c r="AA723" s="23" t="n">
        <x:f>MAX(0,MIN('Activities'!L723,138)-MAX('Activities'!K723,132))</x:f>
        <x:v>0</x:v>
      </x:c>
      <x:c r="AB723" s="23" t="n">
        <x:f>MAX(0,MIN('Activities'!L723,144)-MAX('Activities'!K723,138))</x:f>
        <x:v>0</x:v>
      </x:c>
      <x:c r="AC723" s="23" t="n">
        <x:f>MAX(0,MIN('Activities'!L723,150)-MAX('Activities'!K723,144))</x:f>
        <x:v>0</x:v>
      </x:c>
      <x:c r="AD723" s="23" t="n">
        <x:f>MAX(0,MIN('Activities'!L723,156)-MAX('Activities'!K723,150))</x:f>
        <x:v>0</x:v>
      </x:c>
      <x:c r="AE723" s="23" t="n">
        <x:f>MAX(0,MIN('Activities'!L723,162)-MAX('Activities'!K723,156))</x:f>
        <x:v>0</x:v>
      </x:c>
      <x:c r="AF723" s="23" t="n">
        <x:f>MAX(0,MIN('Activities'!L723,168)-MAX('Activities'!K723,162))</x:f>
        <x:v>0</x:v>
      </x:c>
      <x:c r="AG723" s="23" t="n">
        <x:f>MAX(0,MIN('Activities'!L723,174)-MAX('Activities'!K723,168))</x:f>
        <x:v>0</x:v>
      </x:c>
      <x:c r="AH723" s="23" t="n">
        <x:f>MAX(0,MIN('Activities'!L723,180)-MAX('Activities'!K723,174))</x:f>
        <x:v>0</x:v>
      </x:c>
      <x:c r="AI723" s="23" t="n">
        <x:f>MAX(0,MIN('Activities'!L723,186)-MAX('Activities'!K723,180))</x:f>
        <x:v>0</x:v>
      </x:c>
      <x:c r="AJ723" s="23" t="n">
        <x:f>MAX(0,MIN('Activities'!L723,192)-MAX('Activities'!K723,186))</x:f>
        <x:v>0</x:v>
      </x:c>
      <x:c r="AK723" s="23" t="n">
        <x:f>MAX(0,MIN('Activities'!L723,198)-MAX('Activities'!K723,192))</x:f>
        <x:v>0</x:v>
      </x:c>
      <x:c r="AL723" s="23" t="n">
        <x:f>MAX(0,MIN('Activities'!L723,204)-MAX('Activities'!K723,198))</x:f>
        <x:v>0</x:v>
      </x:c>
      <x:c r="AM723" s="23" t="n">
        <x:f>MAX(0,MIN('Activities'!L723,210)-MAX('Activities'!K723,204))</x:f>
        <x:v>0</x:v>
      </x:c>
      <x:c r="AN723" s="23" t="n">
        <x:f>MAX(0,MIN('Activities'!L723,216)-MAX('Activities'!K723,210))</x:f>
        <x:v>0</x:v>
      </x:c>
      <x:c r="AO723" s="23" t="n">
        <x:f>MAX(0,MIN('Activities'!L723,222)-MAX('Activities'!K723,216))</x:f>
        <x:v>0</x:v>
      </x:c>
      <x:c r="AP723" s="23" t="n">
        <x:f>MAX(0,MIN('Activities'!L723,228)-MAX('Activities'!K723,222))</x:f>
        <x:v>0</x:v>
      </x:c>
      <x:c r="AQ723" s="23" t="n">
        <x:f>MAX(0,MIN('Activities'!L723,234)-MAX('Activities'!K723,228))</x:f>
        <x:v>0</x:v>
      </x:c>
      <x:c r="AR723" s="23" t="n">
        <x:f>MAX(0,MIN('Activities'!L723,240)-MAX('Activities'!K723,234))</x:f>
        <x:v>0</x:v>
      </x:c>
      <x:c r="AS723" s="23" t="n">
        <x:f>MAX(0,MIN('Activities'!L723,246)-MAX('Activities'!K723,240))</x:f>
        <x:v>0</x:v>
      </x:c>
      <x:c r="AT723" s="23" t="n">
        <x:f>MAX(0,MIN('Activities'!L723,252)-MAX('Activities'!K723,246))</x:f>
        <x:v>0</x:v>
      </x:c>
      <x:c r="AU723" s="23" t="n">
        <x:f>MAX(0,MIN('Activities'!L723,258)-MAX('Activities'!K723,252))</x:f>
        <x:v>0</x:v>
      </x:c>
      <x:c r="AV723" s="23" t="n">
        <x:f>MAX(0,MIN('Activities'!L723,264)-MAX('Activities'!K723,258))</x:f>
        <x:v>0</x:v>
      </x:c>
      <x:c r="AW723" s="23" t="n">
        <x:f>MAX(0,MIN('Activities'!L723,270)-MAX('Activities'!K723,264))</x:f>
        <x:v>0</x:v>
      </x:c>
      <x:c r="AX723" s="23" t="n">
        <x:f>MAX(0,MIN('Activities'!L723,276)-MAX('Activities'!K723,270))</x:f>
        <x:v>0</x:v>
      </x:c>
      <x:c r="AY723" s="23" t="n">
        <x:f>MAX(0,MIN('Activities'!L723,282)-MAX('Activities'!K723,276))</x:f>
        <x:v>0</x:v>
      </x:c>
      <x:c r="AZ723" s="23" t="n">
        <x:f>MAX(0,MIN('Activities'!L723,288)-MAX('Activities'!K723,282))</x:f>
        <x:v>0</x:v>
      </x:c>
      <x:c r="BA723" s="23" t="n">
        <x:f>MAX(0,MIN('Activities'!L723,294)-MAX('Activities'!K723,288))</x:f>
        <x:v>0</x:v>
      </x:c>
      <x:c r="BB723" s="23" t="n">
        <x:f>MAX(0,MIN('Activities'!L723,300)-MAX('Activities'!K723,294))</x:f>
        <x:v>0</x:v>
      </x:c>
      <x:c r="BC723" s="23" t="n">
        <x:f>MAX(0,MIN('Activities'!L723,306)-MAX('Activities'!K723,300))</x:f>
        <x:v>0</x:v>
      </x:c>
      <x:c r="BD723" s="23" t="n">
        <x:f>MAX(0,MIN('Activities'!L723,312)-MAX('Activities'!K723,306))</x:f>
        <x:v>0</x:v>
      </x:c>
      <x:c r="BE723" s="23" t="n">
        <x:f>MAX(0,MIN('Activities'!L723,318)-MAX('Activities'!K723,312))</x:f>
        <x:v>0</x:v>
      </x:c>
      <x:c r="BF723" s="23" t="n">
        <x:f>MAX(0,MIN('Activities'!L723,324)-MAX('Activities'!K723,318))</x:f>
        <x:v>0</x:v>
      </x:c>
      <x:c r="BG723" s="23" t="n">
        <x:f>MAX(0,MIN('Activities'!L723,330)-MAX('Activities'!K723,324))</x:f>
        <x:v>0</x:v>
      </x:c>
      <x:c r="BH723" s="23" t="n">
        <x:f>MAX(0,MIN('Activities'!L723,336)-MAX('Activities'!K723,330))</x:f>
        <x:v>0</x:v>
      </x:c>
      <x:c r="BI723" s="23" t="n">
        <x:f>MAX(0,MIN('Activities'!L723,342)-MAX('Activities'!K723,336))</x:f>
        <x:v>0</x:v>
      </x:c>
      <x:c r="BJ723" s="23" t="n">
        <x:f>MAX(0,MIN('Activities'!L723,348)-MAX('Activities'!K723,342))</x:f>
        <x:v>0</x:v>
      </x:c>
      <x:c r="BK723" s="23" t="n">
        <x:f>MAX(0,MIN('Activities'!L723,354)-MAX('Activities'!K723,348))</x:f>
        <x:v>0</x:v>
      </x:c>
      <x:c r="BL723" s="23" t="n">
        <x:f>MAX(0,MIN('Activities'!L723,360)-MAX('Activities'!K723,354))</x:f>
        <x:v>0</x:v>
      </x:c>
      <x:c r="BM723" s="23" t="n">
        <x:f>MAX(0,MIN('Activities'!L723,366)-MAX('Activities'!K723,360))</x:f>
        <x:v>0</x:v>
      </x:c>
      <x:c r="BN723" s="23" t="n">
        <x:f>MAX(0,MIN('Activities'!L723,372)-MAX('Activities'!K723,366))</x:f>
        <x:v>0</x:v>
      </x:c>
      <x:c r="BO723" s="23" t="n">
        <x:f>MAX(0,MIN('Activities'!L723,378)-MAX('Activities'!K723,372))</x:f>
        <x:v>0</x:v>
      </x:c>
      <x:c r="BP723" s="23" t="n">
        <x:f>MAX(0,MIN('Activities'!L723,384)-MAX('Activities'!K723,378))</x:f>
        <x:v>0</x:v>
      </x:c>
      <x:c r="BQ723" s="23" t="n">
        <x:f>MAX(0,MIN('Activities'!L723,390)-MAX('Activities'!K723,384))</x:f>
        <x:v>2</x:v>
      </x:c>
      <x:c r="BR723" s="23" t="n">
        <x:f>MAX(0,MIN('Activities'!L723,396)-MAX('Activities'!K723,390))</x:f>
        <x:v>0</x:v>
      </x:c>
      <x:c r="BS723" s="23" t="n">
        <x:f>MAX(0,MIN('Activities'!L723,402)-MAX('Activities'!K723,396))</x:f>
        <x:v>0</x:v>
      </x:c>
      <x:c r="BT723" s="23" t="n">
        <x:f>MAX(0,MIN('Activities'!L723,408)-MAX('Activities'!K723,402))</x:f>
        <x:v>0</x:v>
      </x:c>
      <x:c r="BU723" s="23" t="n">
        <x:f>MAX(0,MIN('Activities'!L723,414)-MAX('Activities'!K723,408))</x:f>
        <x:v>0</x:v>
      </x:c>
      <x:c r="BV723" s="23" t="n">
        <x:f>MAX(0,MIN('Activities'!L723,420)-MAX('Activities'!K723,414))</x:f>
        <x:v>0</x:v>
      </x:c>
      <x:c r="BW723" s="23" t="n">
        <x:f>MAX(0,MIN('Activities'!L723,426)-MAX('Activities'!K723,420))</x:f>
        <x:v>0</x:v>
      </x:c>
      <x:c r="BX723" s="23" t="n">
        <x:f>MAX(0,MIN('Activities'!L723,432)-MAX('Activities'!K723,426))</x:f>
        <x:v>0</x:v>
      </x:c>
      <x:c r="BY723" s="23" t="n">
        <x:f>MAX(0,MIN('Activities'!L723,438)-MAX('Activities'!K723,432))</x:f>
        <x:v>0</x:v>
      </x:c>
      <x:c r="BZ723" s="23" t="n">
        <x:f>MAX(0,MIN('Activities'!L723,444)-MAX('Activities'!K723,438))</x:f>
        <x:v>0</x:v>
      </x:c>
      <x:c r="CA723" s="23" t="n">
        <x:f>MAX(0,MIN('Activities'!L723,450)-MAX('Activities'!K723,444))</x:f>
        <x:v>0</x:v>
      </x:c>
      <x:c r="CB723" s="23" t="n">
        <x:f>MAX(0,MIN('Activities'!L723,456)-MAX('Activities'!K723,450))</x:f>
        <x:v>0</x:v>
      </x:c>
      <x:c r="CC723" s="23" t="n">
        <x:f>MAX(0,MIN('Activities'!L723,462)-MAX('Activities'!K723,456))</x:f>
        <x:v>0</x:v>
      </x:c>
      <x:c r="CD723" s="23" t="n">
        <x:f>MAX(0,MIN('Activities'!L723,468)-MAX('Activities'!K723,462))</x:f>
        <x:v>0</x:v>
      </x:c>
      <x:c r="CE723" s="23" t="n">
        <x:f>MAX(0,MIN('Activities'!L723,474)-MAX('Activities'!K723,468))</x:f>
        <x:v>0</x:v>
      </x:c>
      <x:c r="CF723" s="23" t="n">
        <x:f>MAX(0,MIN('Activities'!L723,480)-MAX('Activities'!K723,474))</x:f>
        <x:v>0</x:v>
      </x:c>
      <x:c r="CG723" s="23" t="n">
        <x:f>MAX(0,MIN('Activities'!L723,486)-MAX('Activities'!K723,480))</x:f>
        <x:v>0</x:v>
      </x:c>
      <x:c r="CH723" s="23" t="n">
        <x:f>MAX(0,MIN('Activities'!L723,492)-MAX('Activities'!K723,486))</x:f>
        <x:v>0</x:v>
      </x:c>
      <x:c r="CI723" s="23" t="n">
        <x:f>MAX(0,MIN('Activities'!L723,498)-MAX('Activities'!K723,492))</x:f>
        <x:v>0</x:v>
      </x:c>
      <x:c r="CJ723" s="23" t="n">
        <x:f>MAX(0,MIN('Activities'!L723,504)-MAX('Activities'!K723,498))</x:f>
        <x:v>0</x:v>
      </x:c>
      <x:c r="CK723" s="23" t="n">
        <x:f>MAX(0,MIN('Activities'!L723,510)-MAX('Activities'!K723,504))</x:f>
        <x:v>0</x:v>
      </x:c>
      <x:c r="CL723" s="23" t="n">
        <x:f>MAX(0,MIN('Activities'!L723,516)-MAX('Activities'!K723,510))</x:f>
        <x:v>0</x:v>
      </x:c>
      <x:c r="CM723" s="23" t="n">
        <x:f>MAX(0,MIN('Activities'!L723,522)-MAX('Activities'!K723,516))</x:f>
        <x:v>0</x:v>
      </x:c>
      <x:c r="CN723" s="23" t="n">
        <x:f>MAX(0,MIN('Activities'!L723,528)-MAX('Activities'!K723,522))</x:f>
        <x:v>0</x:v>
      </x:c>
      <x:c r="CO723" s="23" t="n">
        <x:f>MAX(0,MIN('Activities'!L723,534)-MAX('Activities'!K723,528))</x:f>
        <x:v>0</x:v>
      </x:c>
      <x:c r="CP723" s="23" t="n">
        <x:f>MAX(0,MIN('Activities'!L723,540)-MAX('Activities'!K723,534))</x:f>
        <x:v>0</x:v>
      </x:c>
      <x:c r="CQ723" s="23" t="n">
        <x:f>MAX(0,MIN('Activities'!L723,546)-MAX('Activities'!K723,540))</x:f>
        <x:v>0</x:v>
      </x:c>
      <x:c r="CR723" s="23" t="n">
        <x:f>MAX(0,MIN('Activities'!L723,552)-MAX('Activities'!K723,546))</x:f>
        <x:v>0</x:v>
      </x:c>
      <x:c r="CS723" s="23" t="n">
        <x:f>MAX(0,MIN('Activities'!L723,558)-MAX('Activities'!K723,552))</x:f>
        <x:v>0</x:v>
      </x:c>
      <x:c r="CT723" s="23" t="n">
        <x:f>MAX(0,MIN('Activities'!L723,564)-MAX('Activities'!K723,558))</x:f>
        <x:v>0</x:v>
      </x:c>
      <x:c r="CU723" s="23" t="n">
        <x:f>MAX(0,MIN('Activities'!L723,570)-MAX('Activities'!K723,564))</x:f>
        <x:v>0</x:v>
      </x:c>
      <x:c r="CV723" s="23" t="n">
        <x:f>MAX(0,MIN('Activities'!L723,576)-MAX('Activities'!K723,570))</x:f>
        <x:v>0</x:v>
      </x:c>
      <x:c r="CW723" s="23" t="n">
        <x:f>MAX(0,MIN('Activities'!L723,582)-MAX('Activities'!K723,576))</x:f>
        <x:v>0</x:v>
      </x:c>
      <x:c r="CX723" s="23" t="n">
        <x:f>MAX(0,MIN('Activities'!L723,588)-MAX('Activities'!K723,582))</x:f>
        <x:v>0</x:v>
      </x:c>
      <x:c r="CY723" s="23" t="n">
        <x:f>MAX(0,MIN('Activities'!L723,594)-MAX('Activities'!K723,588))</x:f>
        <x:v>0</x:v>
      </x:c>
      <x:c r="CZ723" s="23" t="n">
        <x:f>MAX(0,MIN('Activities'!L723,600)-MAX('Activities'!K723,594))</x:f>
        <x:v>0</x:v>
      </x:c>
      <x:c r="DA723" s="23" t="n">
        <x:f>MAX(0,MIN('Activities'!L723,606)-MAX('Activities'!K723,600))</x:f>
        <x:v>0</x:v>
      </x:c>
      <x:c r="DB723" s="23" t="n">
        <x:f>MAX(0,MIN('Activities'!L723,612)-MAX('Activities'!K723,606))</x:f>
        <x:v>0</x:v>
      </x:c>
      <x:c r="DC723" s="23" t="n">
        <x:f>MAX(0,MIN('Activities'!L723,618)-MAX('Activities'!K723,612))</x:f>
        <x:v>0</x:v>
      </x:c>
      <x:c r="DD723" s="23" t="n">
        <x:f>MAX(0,MIN('Activities'!L723,624)-MAX('Activities'!K723,618))</x:f>
        <x:v>0</x:v>
      </x:c>
      <x:c r="DE723" s="23" t="n">
        <x:f>MAX(0,MIN('Activities'!L723,630)-MAX('Activities'!K723,624))</x:f>
        <x:v>0</x:v>
      </x:c>
      <x:c r="DF723" s="23" t="n">
        <x:f>MAX(0,MIN('Activities'!L723,636)-MAX('Activities'!K723,630))</x:f>
        <x:v>0</x:v>
      </x:c>
    </x:row>
    <x:row r="724" ht="23" customHeight="1">
      <x:c r="A724" s="6" t="str">
        <x:v>T6-L10-H</x:v>
      </x:c>
      <x:c r="B724" s="6" t="str">
        <x:v>T6</x:v>
      </x:c>
      <x:c r="C724" s="6" t="str">
        <x:v>Curing and release hold point</x:v>
      </x:c>
      <x:c r="D724" s="6" t="str">
        <x:v>Site</x:v>
      </x:c>
      <x:c r="E724" s="22" t="n">
        <x:f>MAX(0,MIN('Activities'!L724,6)-MAX('Activities'!K724,0))</x:f>
        <x:v>0</x:v>
      </x:c>
      <x:c r="F724" s="22" t="n">
        <x:f>MAX(0,MIN('Activities'!L724,12)-MAX('Activities'!K724,6))</x:f>
        <x:v>0</x:v>
      </x:c>
      <x:c r="G724" s="22" t="n">
        <x:f>MAX(0,MIN('Activities'!L724,18)-MAX('Activities'!K724,12))</x:f>
        <x:v>0</x:v>
      </x:c>
      <x:c r="H724" s="22" t="n">
        <x:f>MAX(0,MIN('Activities'!L724,24)-MAX('Activities'!K724,18))</x:f>
        <x:v>0</x:v>
      </x:c>
      <x:c r="I724" s="22" t="n">
        <x:f>MAX(0,MIN('Activities'!L724,30)-MAX('Activities'!K724,24))</x:f>
        <x:v>0</x:v>
      </x:c>
      <x:c r="J724" s="22" t="n">
        <x:f>MAX(0,MIN('Activities'!L724,36)-MAX('Activities'!K724,30))</x:f>
        <x:v>0</x:v>
      </x:c>
      <x:c r="K724" s="22" t="n">
        <x:f>MAX(0,MIN('Activities'!L724,42)-MAX('Activities'!K724,36))</x:f>
        <x:v>0</x:v>
      </x:c>
      <x:c r="L724" s="22" t="n">
        <x:f>MAX(0,MIN('Activities'!L724,48)-MAX('Activities'!K724,42))</x:f>
        <x:v>0</x:v>
      </x:c>
      <x:c r="M724" s="22" t="n">
        <x:f>MAX(0,MIN('Activities'!L724,54)-MAX('Activities'!K724,48))</x:f>
        <x:v>0</x:v>
      </x:c>
      <x:c r="N724" s="22" t="n">
        <x:f>MAX(0,MIN('Activities'!L724,60)-MAX('Activities'!K724,54))</x:f>
        <x:v>0</x:v>
      </x:c>
      <x:c r="O724" s="22" t="n">
        <x:f>MAX(0,MIN('Activities'!L724,66)-MAX('Activities'!K724,60))</x:f>
        <x:v>0</x:v>
      </x:c>
      <x:c r="P724" s="22" t="n">
        <x:f>MAX(0,MIN('Activities'!L724,72)-MAX('Activities'!K724,66))</x:f>
        <x:v>0</x:v>
      </x:c>
      <x:c r="Q724" s="22" t="n">
        <x:f>MAX(0,MIN('Activities'!L724,78)-MAX('Activities'!K724,72))</x:f>
        <x:v>0</x:v>
      </x:c>
      <x:c r="R724" s="22" t="n">
        <x:f>MAX(0,MIN('Activities'!L724,84)-MAX('Activities'!K724,78))</x:f>
        <x:v>0</x:v>
      </x:c>
      <x:c r="S724" s="22" t="n">
        <x:f>MAX(0,MIN('Activities'!L724,90)-MAX('Activities'!K724,84))</x:f>
        <x:v>0</x:v>
      </x:c>
      <x:c r="T724" s="22" t="n">
        <x:f>MAX(0,MIN('Activities'!L724,96)-MAX('Activities'!K724,90))</x:f>
        <x:v>0</x:v>
      </x:c>
      <x:c r="U724" s="22" t="n">
        <x:f>MAX(0,MIN('Activities'!L724,102)-MAX('Activities'!K724,96))</x:f>
        <x:v>0</x:v>
      </x:c>
      <x:c r="V724" s="22" t="n">
        <x:f>MAX(0,MIN('Activities'!L724,108)-MAX('Activities'!K724,102))</x:f>
        <x:v>0</x:v>
      </x:c>
      <x:c r="W724" s="22" t="n">
        <x:f>MAX(0,MIN('Activities'!L724,114)-MAX('Activities'!K724,108))</x:f>
        <x:v>0</x:v>
      </x:c>
      <x:c r="X724" s="22" t="n">
        <x:f>MAX(0,MIN('Activities'!L724,120)-MAX('Activities'!K724,114))</x:f>
        <x:v>0</x:v>
      </x:c>
      <x:c r="Y724" s="22" t="n">
        <x:f>MAX(0,MIN('Activities'!L724,126)-MAX('Activities'!K724,120))</x:f>
        <x:v>0</x:v>
      </x:c>
      <x:c r="Z724" s="22" t="n">
        <x:f>MAX(0,MIN('Activities'!L724,132)-MAX('Activities'!K724,126))</x:f>
        <x:v>0</x:v>
      </x:c>
      <x:c r="AA724" s="22" t="n">
        <x:f>MAX(0,MIN('Activities'!L724,138)-MAX('Activities'!K724,132))</x:f>
        <x:v>0</x:v>
      </x:c>
      <x:c r="AB724" s="22" t="n">
        <x:f>MAX(0,MIN('Activities'!L724,144)-MAX('Activities'!K724,138))</x:f>
        <x:v>0</x:v>
      </x:c>
      <x:c r="AC724" s="22" t="n">
        <x:f>MAX(0,MIN('Activities'!L724,150)-MAX('Activities'!K724,144))</x:f>
        <x:v>0</x:v>
      </x:c>
      <x:c r="AD724" s="22" t="n">
        <x:f>MAX(0,MIN('Activities'!L724,156)-MAX('Activities'!K724,150))</x:f>
        <x:v>0</x:v>
      </x:c>
      <x:c r="AE724" s="22" t="n">
        <x:f>MAX(0,MIN('Activities'!L724,162)-MAX('Activities'!K724,156))</x:f>
        <x:v>0</x:v>
      </x:c>
      <x:c r="AF724" s="22" t="n">
        <x:f>MAX(0,MIN('Activities'!L724,168)-MAX('Activities'!K724,162))</x:f>
        <x:v>0</x:v>
      </x:c>
      <x:c r="AG724" s="22" t="n">
        <x:f>MAX(0,MIN('Activities'!L724,174)-MAX('Activities'!K724,168))</x:f>
        <x:v>0</x:v>
      </x:c>
      <x:c r="AH724" s="22" t="n">
        <x:f>MAX(0,MIN('Activities'!L724,180)-MAX('Activities'!K724,174))</x:f>
        <x:v>0</x:v>
      </x:c>
      <x:c r="AI724" s="22" t="n">
        <x:f>MAX(0,MIN('Activities'!L724,186)-MAX('Activities'!K724,180))</x:f>
        <x:v>0</x:v>
      </x:c>
      <x:c r="AJ724" s="22" t="n">
        <x:f>MAX(0,MIN('Activities'!L724,192)-MAX('Activities'!K724,186))</x:f>
        <x:v>0</x:v>
      </x:c>
      <x:c r="AK724" s="22" t="n">
        <x:f>MAX(0,MIN('Activities'!L724,198)-MAX('Activities'!K724,192))</x:f>
        <x:v>0</x:v>
      </x:c>
      <x:c r="AL724" s="22" t="n">
        <x:f>MAX(0,MIN('Activities'!L724,204)-MAX('Activities'!K724,198))</x:f>
        <x:v>0</x:v>
      </x:c>
      <x:c r="AM724" s="22" t="n">
        <x:f>MAX(0,MIN('Activities'!L724,210)-MAX('Activities'!K724,204))</x:f>
        <x:v>0</x:v>
      </x:c>
      <x:c r="AN724" s="22" t="n">
        <x:f>MAX(0,MIN('Activities'!L724,216)-MAX('Activities'!K724,210))</x:f>
        <x:v>0</x:v>
      </x:c>
      <x:c r="AO724" s="22" t="n">
        <x:f>MAX(0,MIN('Activities'!L724,222)-MAX('Activities'!K724,216))</x:f>
        <x:v>0</x:v>
      </x:c>
      <x:c r="AP724" s="22" t="n">
        <x:f>MAX(0,MIN('Activities'!L724,228)-MAX('Activities'!K724,222))</x:f>
        <x:v>0</x:v>
      </x:c>
      <x:c r="AQ724" s="22" t="n">
        <x:f>MAX(0,MIN('Activities'!L724,234)-MAX('Activities'!K724,228))</x:f>
        <x:v>0</x:v>
      </x:c>
      <x:c r="AR724" s="22" t="n">
        <x:f>MAX(0,MIN('Activities'!L724,240)-MAX('Activities'!K724,234))</x:f>
        <x:v>0</x:v>
      </x:c>
      <x:c r="AS724" s="22" t="n">
        <x:f>MAX(0,MIN('Activities'!L724,246)-MAX('Activities'!K724,240))</x:f>
        <x:v>0</x:v>
      </x:c>
      <x:c r="AT724" s="22" t="n">
        <x:f>MAX(0,MIN('Activities'!L724,252)-MAX('Activities'!K724,246))</x:f>
        <x:v>0</x:v>
      </x:c>
      <x:c r="AU724" s="22" t="n">
        <x:f>MAX(0,MIN('Activities'!L724,258)-MAX('Activities'!K724,252))</x:f>
        <x:v>0</x:v>
      </x:c>
      <x:c r="AV724" s="22" t="n">
        <x:f>MAX(0,MIN('Activities'!L724,264)-MAX('Activities'!K724,258))</x:f>
        <x:v>0</x:v>
      </x:c>
      <x:c r="AW724" s="22" t="n">
        <x:f>MAX(0,MIN('Activities'!L724,270)-MAX('Activities'!K724,264))</x:f>
        <x:v>0</x:v>
      </x:c>
      <x:c r="AX724" s="22" t="n">
        <x:f>MAX(0,MIN('Activities'!L724,276)-MAX('Activities'!K724,270))</x:f>
        <x:v>0</x:v>
      </x:c>
      <x:c r="AY724" s="22" t="n">
        <x:f>MAX(0,MIN('Activities'!L724,282)-MAX('Activities'!K724,276))</x:f>
        <x:v>0</x:v>
      </x:c>
      <x:c r="AZ724" s="22" t="n">
        <x:f>MAX(0,MIN('Activities'!L724,288)-MAX('Activities'!K724,282))</x:f>
        <x:v>0</x:v>
      </x:c>
      <x:c r="BA724" s="22" t="n">
        <x:f>MAX(0,MIN('Activities'!L724,294)-MAX('Activities'!K724,288))</x:f>
        <x:v>0</x:v>
      </x:c>
      <x:c r="BB724" s="22" t="n">
        <x:f>MAX(0,MIN('Activities'!L724,300)-MAX('Activities'!K724,294))</x:f>
        <x:v>0</x:v>
      </x:c>
      <x:c r="BC724" s="22" t="n">
        <x:f>MAX(0,MIN('Activities'!L724,306)-MAX('Activities'!K724,300))</x:f>
        <x:v>0</x:v>
      </x:c>
      <x:c r="BD724" s="22" t="n">
        <x:f>MAX(0,MIN('Activities'!L724,312)-MAX('Activities'!K724,306))</x:f>
        <x:v>0</x:v>
      </x:c>
      <x:c r="BE724" s="22" t="n">
        <x:f>MAX(0,MIN('Activities'!L724,318)-MAX('Activities'!K724,312))</x:f>
        <x:v>0</x:v>
      </x:c>
      <x:c r="BF724" s="22" t="n">
        <x:f>MAX(0,MIN('Activities'!L724,324)-MAX('Activities'!K724,318))</x:f>
        <x:v>0</x:v>
      </x:c>
      <x:c r="BG724" s="22" t="n">
        <x:f>MAX(0,MIN('Activities'!L724,330)-MAX('Activities'!K724,324))</x:f>
        <x:v>0</x:v>
      </x:c>
      <x:c r="BH724" s="22" t="n">
        <x:f>MAX(0,MIN('Activities'!L724,336)-MAX('Activities'!K724,330))</x:f>
        <x:v>0</x:v>
      </x:c>
      <x:c r="BI724" s="22" t="n">
        <x:f>MAX(0,MIN('Activities'!L724,342)-MAX('Activities'!K724,336))</x:f>
        <x:v>0</x:v>
      </x:c>
      <x:c r="BJ724" s="22" t="n">
        <x:f>MAX(0,MIN('Activities'!L724,348)-MAX('Activities'!K724,342))</x:f>
        <x:v>0</x:v>
      </x:c>
      <x:c r="BK724" s="22" t="n">
        <x:f>MAX(0,MIN('Activities'!L724,354)-MAX('Activities'!K724,348))</x:f>
        <x:v>0</x:v>
      </x:c>
      <x:c r="BL724" s="22" t="n">
        <x:f>MAX(0,MIN('Activities'!L724,360)-MAX('Activities'!K724,354))</x:f>
        <x:v>0</x:v>
      </x:c>
      <x:c r="BM724" s="22" t="n">
        <x:f>MAX(0,MIN('Activities'!L724,366)-MAX('Activities'!K724,360))</x:f>
        <x:v>0</x:v>
      </x:c>
      <x:c r="BN724" s="22" t="n">
        <x:f>MAX(0,MIN('Activities'!L724,372)-MAX('Activities'!K724,366))</x:f>
        <x:v>0</x:v>
      </x:c>
      <x:c r="BO724" s="22" t="n">
        <x:f>MAX(0,MIN('Activities'!L724,378)-MAX('Activities'!K724,372))</x:f>
        <x:v>0</x:v>
      </x:c>
      <x:c r="BP724" s="22" t="n">
        <x:f>MAX(0,MIN('Activities'!L724,384)-MAX('Activities'!K724,378))</x:f>
        <x:v>0</x:v>
      </x:c>
      <x:c r="BQ724" s="22" t="n">
        <x:f>MAX(0,MIN('Activities'!L724,390)-MAX('Activities'!K724,384))</x:f>
        <x:v>3</x:v>
      </x:c>
      <x:c r="BR724" s="22" t="n">
        <x:f>MAX(0,MIN('Activities'!L724,396)-MAX('Activities'!K724,390))</x:f>
        <x:v>2</x:v>
      </x:c>
      <x:c r="BS724" s="22" t="n">
        <x:f>MAX(0,MIN('Activities'!L724,402)-MAX('Activities'!K724,396))</x:f>
        <x:v>0</x:v>
      </x:c>
      <x:c r="BT724" s="22" t="n">
        <x:f>MAX(0,MIN('Activities'!L724,408)-MAX('Activities'!K724,402))</x:f>
        <x:v>0</x:v>
      </x:c>
      <x:c r="BU724" s="22" t="n">
        <x:f>MAX(0,MIN('Activities'!L724,414)-MAX('Activities'!K724,408))</x:f>
        <x:v>0</x:v>
      </x:c>
      <x:c r="BV724" s="22" t="n">
        <x:f>MAX(0,MIN('Activities'!L724,420)-MAX('Activities'!K724,414))</x:f>
        <x:v>0</x:v>
      </x:c>
      <x:c r="BW724" s="22" t="n">
        <x:f>MAX(0,MIN('Activities'!L724,426)-MAX('Activities'!K724,420))</x:f>
        <x:v>0</x:v>
      </x:c>
      <x:c r="BX724" s="22" t="n">
        <x:f>MAX(0,MIN('Activities'!L724,432)-MAX('Activities'!K724,426))</x:f>
        <x:v>0</x:v>
      </x:c>
      <x:c r="BY724" s="22" t="n">
        <x:f>MAX(0,MIN('Activities'!L724,438)-MAX('Activities'!K724,432))</x:f>
        <x:v>0</x:v>
      </x:c>
      <x:c r="BZ724" s="22" t="n">
        <x:f>MAX(0,MIN('Activities'!L724,444)-MAX('Activities'!K724,438))</x:f>
        <x:v>0</x:v>
      </x:c>
      <x:c r="CA724" s="22" t="n">
        <x:f>MAX(0,MIN('Activities'!L724,450)-MAX('Activities'!K724,444))</x:f>
        <x:v>0</x:v>
      </x:c>
      <x:c r="CB724" s="22" t="n">
        <x:f>MAX(0,MIN('Activities'!L724,456)-MAX('Activities'!K724,450))</x:f>
        <x:v>0</x:v>
      </x:c>
      <x:c r="CC724" s="22" t="n">
        <x:f>MAX(0,MIN('Activities'!L724,462)-MAX('Activities'!K724,456))</x:f>
        <x:v>0</x:v>
      </x:c>
      <x:c r="CD724" s="22" t="n">
        <x:f>MAX(0,MIN('Activities'!L724,468)-MAX('Activities'!K724,462))</x:f>
        <x:v>0</x:v>
      </x:c>
      <x:c r="CE724" s="22" t="n">
        <x:f>MAX(0,MIN('Activities'!L724,474)-MAX('Activities'!K724,468))</x:f>
        <x:v>0</x:v>
      </x:c>
      <x:c r="CF724" s="22" t="n">
        <x:f>MAX(0,MIN('Activities'!L724,480)-MAX('Activities'!K724,474))</x:f>
        <x:v>0</x:v>
      </x:c>
      <x:c r="CG724" s="22" t="n">
        <x:f>MAX(0,MIN('Activities'!L724,486)-MAX('Activities'!K724,480))</x:f>
        <x:v>0</x:v>
      </x:c>
      <x:c r="CH724" s="22" t="n">
        <x:f>MAX(0,MIN('Activities'!L724,492)-MAX('Activities'!K724,486))</x:f>
        <x:v>0</x:v>
      </x:c>
      <x:c r="CI724" s="22" t="n">
        <x:f>MAX(0,MIN('Activities'!L724,498)-MAX('Activities'!K724,492))</x:f>
        <x:v>0</x:v>
      </x:c>
      <x:c r="CJ724" s="22" t="n">
        <x:f>MAX(0,MIN('Activities'!L724,504)-MAX('Activities'!K724,498))</x:f>
        <x:v>0</x:v>
      </x:c>
      <x:c r="CK724" s="22" t="n">
        <x:f>MAX(0,MIN('Activities'!L724,510)-MAX('Activities'!K724,504))</x:f>
        <x:v>0</x:v>
      </x:c>
      <x:c r="CL724" s="22" t="n">
        <x:f>MAX(0,MIN('Activities'!L724,516)-MAX('Activities'!K724,510))</x:f>
        <x:v>0</x:v>
      </x:c>
      <x:c r="CM724" s="22" t="n">
        <x:f>MAX(0,MIN('Activities'!L724,522)-MAX('Activities'!K724,516))</x:f>
        <x:v>0</x:v>
      </x:c>
      <x:c r="CN724" s="22" t="n">
        <x:f>MAX(0,MIN('Activities'!L724,528)-MAX('Activities'!K724,522))</x:f>
        <x:v>0</x:v>
      </x:c>
      <x:c r="CO724" s="22" t="n">
        <x:f>MAX(0,MIN('Activities'!L724,534)-MAX('Activities'!K724,528))</x:f>
        <x:v>0</x:v>
      </x:c>
      <x:c r="CP724" s="22" t="n">
        <x:f>MAX(0,MIN('Activities'!L724,540)-MAX('Activities'!K724,534))</x:f>
        <x:v>0</x:v>
      </x:c>
      <x:c r="CQ724" s="22" t="n">
        <x:f>MAX(0,MIN('Activities'!L724,546)-MAX('Activities'!K724,540))</x:f>
        <x:v>0</x:v>
      </x:c>
      <x:c r="CR724" s="22" t="n">
        <x:f>MAX(0,MIN('Activities'!L724,552)-MAX('Activities'!K724,546))</x:f>
        <x:v>0</x:v>
      </x:c>
      <x:c r="CS724" s="22" t="n">
        <x:f>MAX(0,MIN('Activities'!L724,558)-MAX('Activities'!K724,552))</x:f>
        <x:v>0</x:v>
      </x:c>
      <x:c r="CT724" s="22" t="n">
        <x:f>MAX(0,MIN('Activities'!L724,564)-MAX('Activities'!K724,558))</x:f>
        <x:v>0</x:v>
      </x:c>
      <x:c r="CU724" s="22" t="n">
        <x:f>MAX(0,MIN('Activities'!L724,570)-MAX('Activities'!K724,564))</x:f>
        <x:v>0</x:v>
      </x:c>
      <x:c r="CV724" s="22" t="n">
        <x:f>MAX(0,MIN('Activities'!L724,576)-MAX('Activities'!K724,570))</x:f>
        <x:v>0</x:v>
      </x:c>
      <x:c r="CW724" s="22" t="n">
        <x:f>MAX(0,MIN('Activities'!L724,582)-MAX('Activities'!K724,576))</x:f>
        <x:v>0</x:v>
      </x:c>
      <x:c r="CX724" s="22" t="n">
        <x:f>MAX(0,MIN('Activities'!L724,588)-MAX('Activities'!K724,582))</x:f>
        <x:v>0</x:v>
      </x:c>
      <x:c r="CY724" s="22" t="n">
        <x:f>MAX(0,MIN('Activities'!L724,594)-MAX('Activities'!K724,588))</x:f>
        <x:v>0</x:v>
      </x:c>
      <x:c r="CZ724" s="22" t="n">
        <x:f>MAX(0,MIN('Activities'!L724,600)-MAX('Activities'!K724,594))</x:f>
        <x:v>0</x:v>
      </x:c>
      <x:c r="DA724" s="22" t="n">
        <x:f>MAX(0,MIN('Activities'!L724,606)-MAX('Activities'!K724,600))</x:f>
        <x:v>0</x:v>
      </x:c>
      <x:c r="DB724" s="22" t="n">
        <x:f>MAX(0,MIN('Activities'!L724,612)-MAX('Activities'!K724,606))</x:f>
        <x:v>0</x:v>
      </x:c>
      <x:c r="DC724" s="22" t="n">
        <x:f>MAX(0,MIN('Activities'!L724,618)-MAX('Activities'!K724,612))</x:f>
        <x:v>0</x:v>
      </x:c>
      <x:c r="DD724" s="22" t="n">
        <x:f>MAX(0,MIN('Activities'!L724,624)-MAX('Activities'!K724,618))</x:f>
        <x:v>0</x:v>
      </x:c>
      <x:c r="DE724" s="22" t="n">
        <x:f>MAX(0,MIN('Activities'!L724,630)-MAX('Activities'!K724,624))</x:f>
        <x:v>0</x:v>
      </x:c>
      <x:c r="DF724" s="22" t="n">
        <x:f>MAX(0,MIN('Activities'!L724,636)-MAX('Activities'!K724,630))</x:f>
        <x:v>0</x:v>
      </x:c>
    </x:row>
    <x:row r="725" ht="23" customHeight="1">
      <x:c r="A725" s="1" t="str">
        <x:v>T6-L11-F</x:v>
      </x:c>
      <x:c r="B725" s="1" t="str">
        <x:v>T6</x:v>
      </x:c>
      <x:c r="C725" s="1" t="str">
        <x:v>Columns, core and deck formwork</x:v>
      </x:c>
      <x:c r="D725" s="1" t="str">
        <x:v>Formwork</x:v>
      </x:c>
      <x:c r="E725" s="23" t="n">
        <x:f>MAX(0,MIN('Activities'!L725,6)-MAX('Activities'!K725,0))</x:f>
        <x:v>0</x:v>
      </x:c>
      <x:c r="F725" s="23" t="n">
        <x:f>MAX(0,MIN('Activities'!L725,12)-MAX('Activities'!K725,6))</x:f>
        <x:v>0</x:v>
      </x:c>
      <x:c r="G725" s="23" t="n">
        <x:f>MAX(0,MIN('Activities'!L725,18)-MAX('Activities'!K725,12))</x:f>
        <x:v>0</x:v>
      </x:c>
      <x:c r="H725" s="23" t="n">
        <x:f>MAX(0,MIN('Activities'!L725,24)-MAX('Activities'!K725,18))</x:f>
        <x:v>0</x:v>
      </x:c>
      <x:c r="I725" s="23" t="n">
        <x:f>MAX(0,MIN('Activities'!L725,30)-MAX('Activities'!K725,24))</x:f>
        <x:v>0</x:v>
      </x:c>
      <x:c r="J725" s="23" t="n">
        <x:f>MAX(0,MIN('Activities'!L725,36)-MAX('Activities'!K725,30))</x:f>
        <x:v>0</x:v>
      </x:c>
      <x:c r="K725" s="23" t="n">
        <x:f>MAX(0,MIN('Activities'!L725,42)-MAX('Activities'!K725,36))</x:f>
        <x:v>0</x:v>
      </x:c>
      <x:c r="L725" s="23" t="n">
        <x:f>MAX(0,MIN('Activities'!L725,48)-MAX('Activities'!K725,42))</x:f>
        <x:v>0</x:v>
      </x:c>
      <x:c r="M725" s="23" t="n">
        <x:f>MAX(0,MIN('Activities'!L725,54)-MAX('Activities'!K725,48))</x:f>
        <x:v>0</x:v>
      </x:c>
      <x:c r="N725" s="23" t="n">
        <x:f>MAX(0,MIN('Activities'!L725,60)-MAX('Activities'!K725,54))</x:f>
        <x:v>0</x:v>
      </x:c>
      <x:c r="O725" s="23" t="n">
        <x:f>MAX(0,MIN('Activities'!L725,66)-MAX('Activities'!K725,60))</x:f>
        <x:v>0</x:v>
      </x:c>
      <x:c r="P725" s="23" t="n">
        <x:f>MAX(0,MIN('Activities'!L725,72)-MAX('Activities'!K725,66))</x:f>
        <x:v>0</x:v>
      </x:c>
      <x:c r="Q725" s="23" t="n">
        <x:f>MAX(0,MIN('Activities'!L725,78)-MAX('Activities'!K725,72))</x:f>
        <x:v>0</x:v>
      </x:c>
      <x:c r="R725" s="23" t="n">
        <x:f>MAX(0,MIN('Activities'!L725,84)-MAX('Activities'!K725,78))</x:f>
        <x:v>0</x:v>
      </x:c>
      <x:c r="S725" s="23" t="n">
        <x:f>MAX(0,MIN('Activities'!L725,90)-MAX('Activities'!K725,84))</x:f>
        <x:v>0</x:v>
      </x:c>
      <x:c r="T725" s="23" t="n">
        <x:f>MAX(0,MIN('Activities'!L725,96)-MAX('Activities'!K725,90))</x:f>
        <x:v>0</x:v>
      </x:c>
      <x:c r="U725" s="23" t="n">
        <x:f>MAX(0,MIN('Activities'!L725,102)-MAX('Activities'!K725,96))</x:f>
        <x:v>0</x:v>
      </x:c>
      <x:c r="V725" s="23" t="n">
        <x:f>MAX(0,MIN('Activities'!L725,108)-MAX('Activities'!K725,102))</x:f>
        <x:v>0</x:v>
      </x:c>
      <x:c r="W725" s="23" t="n">
        <x:f>MAX(0,MIN('Activities'!L725,114)-MAX('Activities'!K725,108))</x:f>
        <x:v>0</x:v>
      </x:c>
      <x:c r="X725" s="23" t="n">
        <x:f>MAX(0,MIN('Activities'!L725,120)-MAX('Activities'!K725,114))</x:f>
        <x:v>0</x:v>
      </x:c>
      <x:c r="Y725" s="23" t="n">
        <x:f>MAX(0,MIN('Activities'!L725,126)-MAX('Activities'!K725,120))</x:f>
        <x:v>0</x:v>
      </x:c>
      <x:c r="Z725" s="23" t="n">
        <x:f>MAX(0,MIN('Activities'!L725,132)-MAX('Activities'!K725,126))</x:f>
        <x:v>0</x:v>
      </x:c>
      <x:c r="AA725" s="23" t="n">
        <x:f>MAX(0,MIN('Activities'!L725,138)-MAX('Activities'!K725,132))</x:f>
        <x:v>0</x:v>
      </x:c>
      <x:c r="AB725" s="23" t="n">
        <x:f>MAX(0,MIN('Activities'!L725,144)-MAX('Activities'!K725,138))</x:f>
        <x:v>0</x:v>
      </x:c>
      <x:c r="AC725" s="23" t="n">
        <x:f>MAX(0,MIN('Activities'!L725,150)-MAX('Activities'!K725,144))</x:f>
        <x:v>0</x:v>
      </x:c>
      <x:c r="AD725" s="23" t="n">
        <x:f>MAX(0,MIN('Activities'!L725,156)-MAX('Activities'!K725,150))</x:f>
        <x:v>0</x:v>
      </x:c>
      <x:c r="AE725" s="23" t="n">
        <x:f>MAX(0,MIN('Activities'!L725,162)-MAX('Activities'!K725,156))</x:f>
        <x:v>0</x:v>
      </x:c>
      <x:c r="AF725" s="23" t="n">
        <x:f>MAX(0,MIN('Activities'!L725,168)-MAX('Activities'!K725,162))</x:f>
        <x:v>0</x:v>
      </x:c>
      <x:c r="AG725" s="23" t="n">
        <x:f>MAX(0,MIN('Activities'!L725,174)-MAX('Activities'!K725,168))</x:f>
        <x:v>0</x:v>
      </x:c>
      <x:c r="AH725" s="23" t="n">
        <x:f>MAX(0,MIN('Activities'!L725,180)-MAX('Activities'!K725,174))</x:f>
        <x:v>0</x:v>
      </x:c>
      <x:c r="AI725" s="23" t="n">
        <x:f>MAX(0,MIN('Activities'!L725,186)-MAX('Activities'!K725,180))</x:f>
        <x:v>0</x:v>
      </x:c>
      <x:c r="AJ725" s="23" t="n">
        <x:f>MAX(0,MIN('Activities'!L725,192)-MAX('Activities'!K725,186))</x:f>
        <x:v>0</x:v>
      </x:c>
      <x:c r="AK725" s="23" t="n">
        <x:f>MAX(0,MIN('Activities'!L725,198)-MAX('Activities'!K725,192))</x:f>
        <x:v>0</x:v>
      </x:c>
      <x:c r="AL725" s="23" t="n">
        <x:f>MAX(0,MIN('Activities'!L725,204)-MAX('Activities'!K725,198))</x:f>
        <x:v>0</x:v>
      </x:c>
      <x:c r="AM725" s="23" t="n">
        <x:f>MAX(0,MIN('Activities'!L725,210)-MAX('Activities'!K725,204))</x:f>
        <x:v>0</x:v>
      </x:c>
      <x:c r="AN725" s="23" t="n">
        <x:f>MAX(0,MIN('Activities'!L725,216)-MAX('Activities'!K725,210))</x:f>
        <x:v>0</x:v>
      </x:c>
      <x:c r="AO725" s="23" t="n">
        <x:f>MAX(0,MIN('Activities'!L725,222)-MAX('Activities'!K725,216))</x:f>
        <x:v>0</x:v>
      </x:c>
      <x:c r="AP725" s="23" t="n">
        <x:f>MAX(0,MIN('Activities'!L725,228)-MAX('Activities'!K725,222))</x:f>
        <x:v>0</x:v>
      </x:c>
      <x:c r="AQ725" s="23" t="n">
        <x:f>MAX(0,MIN('Activities'!L725,234)-MAX('Activities'!K725,228))</x:f>
        <x:v>0</x:v>
      </x:c>
      <x:c r="AR725" s="23" t="n">
        <x:f>MAX(0,MIN('Activities'!L725,240)-MAX('Activities'!K725,234))</x:f>
        <x:v>0</x:v>
      </x:c>
      <x:c r="AS725" s="23" t="n">
        <x:f>MAX(0,MIN('Activities'!L725,246)-MAX('Activities'!K725,240))</x:f>
        <x:v>0</x:v>
      </x:c>
      <x:c r="AT725" s="23" t="n">
        <x:f>MAX(0,MIN('Activities'!L725,252)-MAX('Activities'!K725,246))</x:f>
        <x:v>0</x:v>
      </x:c>
      <x:c r="AU725" s="23" t="n">
        <x:f>MAX(0,MIN('Activities'!L725,258)-MAX('Activities'!K725,252))</x:f>
        <x:v>0</x:v>
      </x:c>
      <x:c r="AV725" s="23" t="n">
        <x:f>MAX(0,MIN('Activities'!L725,264)-MAX('Activities'!K725,258))</x:f>
        <x:v>0</x:v>
      </x:c>
      <x:c r="AW725" s="23" t="n">
        <x:f>MAX(0,MIN('Activities'!L725,270)-MAX('Activities'!K725,264))</x:f>
        <x:v>0</x:v>
      </x:c>
      <x:c r="AX725" s="23" t="n">
        <x:f>MAX(0,MIN('Activities'!L725,276)-MAX('Activities'!K725,270))</x:f>
        <x:v>0</x:v>
      </x:c>
      <x:c r="AY725" s="23" t="n">
        <x:f>MAX(0,MIN('Activities'!L725,282)-MAX('Activities'!K725,276))</x:f>
        <x:v>0</x:v>
      </x:c>
      <x:c r="AZ725" s="23" t="n">
        <x:f>MAX(0,MIN('Activities'!L725,288)-MAX('Activities'!K725,282))</x:f>
        <x:v>0</x:v>
      </x:c>
      <x:c r="BA725" s="23" t="n">
        <x:f>MAX(0,MIN('Activities'!L725,294)-MAX('Activities'!K725,288))</x:f>
        <x:v>0</x:v>
      </x:c>
      <x:c r="BB725" s="23" t="n">
        <x:f>MAX(0,MIN('Activities'!L725,300)-MAX('Activities'!K725,294))</x:f>
        <x:v>0</x:v>
      </x:c>
      <x:c r="BC725" s="23" t="n">
        <x:f>MAX(0,MIN('Activities'!L725,306)-MAX('Activities'!K725,300))</x:f>
        <x:v>0</x:v>
      </x:c>
      <x:c r="BD725" s="23" t="n">
        <x:f>MAX(0,MIN('Activities'!L725,312)-MAX('Activities'!K725,306))</x:f>
        <x:v>0</x:v>
      </x:c>
      <x:c r="BE725" s="23" t="n">
        <x:f>MAX(0,MIN('Activities'!L725,318)-MAX('Activities'!K725,312))</x:f>
        <x:v>0</x:v>
      </x:c>
      <x:c r="BF725" s="23" t="n">
        <x:f>MAX(0,MIN('Activities'!L725,324)-MAX('Activities'!K725,318))</x:f>
        <x:v>0</x:v>
      </x:c>
      <x:c r="BG725" s="23" t="n">
        <x:f>MAX(0,MIN('Activities'!L725,330)-MAX('Activities'!K725,324))</x:f>
        <x:v>0</x:v>
      </x:c>
      <x:c r="BH725" s="23" t="n">
        <x:f>MAX(0,MIN('Activities'!L725,336)-MAX('Activities'!K725,330))</x:f>
        <x:v>0</x:v>
      </x:c>
      <x:c r="BI725" s="23" t="n">
        <x:f>MAX(0,MIN('Activities'!L725,342)-MAX('Activities'!K725,336))</x:f>
        <x:v>0</x:v>
      </x:c>
      <x:c r="BJ725" s="23" t="n">
        <x:f>MAX(0,MIN('Activities'!L725,348)-MAX('Activities'!K725,342))</x:f>
        <x:v>0</x:v>
      </x:c>
      <x:c r="BK725" s="23" t="n">
        <x:f>MAX(0,MIN('Activities'!L725,354)-MAX('Activities'!K725,348))</x:f>
        <x:v>0</x:v>
      </x:c>
      <x:c r="BL725" s="23" t="n">
        <x:f>MAX(0,MIN('Activities'!L725,360)-MAX('Activities'!K725,354))</x:f>
        <x:v>0</x:v>
      </x:c>
      <x:c r="BM725" s="23" t="n">
        <x:f>MAX(0,MIN('Activities'!L725,366)-MAX('Activities'!K725,360))</x:f>
        <x:v>0</x:v>
      </x:c>
      <x:c r="BN725" s="23" t="n">
        <x:f>MAX(0,MIN('Activities'!L725,372)-MAX('Activities'!K725,366))</x:f>
        <x:v>0</x:v>
      </x:c>
      <x:c r="BO725" s="23" t="n">
        <x:f>MAX(0,MIN('Activities'!L725,378)-MAX('Activities'!K725,372))</x:f>
        <x:v>0</x:v>
      </x:c>
      <x:c r="BP725" s="23" t="n">
        <x:f>MAX(0,MIN('Activities'!L725,384)-MAX('Activities'!K725,378))</x:f>
        <x:v>0</x:v>
      </x:c>
      <x:c r="BQ725" s="23" t="n">
        <x:f>MAX(0,MIN('Activities'!L725,390)-MAX('Activities'!K725,384))</x:f>
        <x:v>0</x:v>
      </x:c>
      <x:c r="BR725" s="23" t="n">
        <x:f>MAX(0,MIN('Activities'!L725,396)-MAX('Activities'!K725,390))</x:f>
        <x:v>4</x:v>
      </x:c>
      <x:c r="BS725" s="23" t="n">
        <x:f>MAX(0,MIN('Activities'!L725,402)-MAX('Activities'!K725,396))</x:f>
        <x:v>2</x:v>
      </x:c>
      <x:c r="BT725" s="23" t="n">
        <x:f>MAX(0,MIN('Activities'!L725,408)-MAX('Activities'!K725,402))</x:f>
        <x:v>0</x:v>
      </x:c>
      <x:c r="BU725" s="23" t="n">
        <x:f>MAX(0,MIN('Activities'!L725,414)-MAX('Activities'!K725,408))</x:f>
        <x:v>0</x:v>
      </x:c>
      <x:c r="BV725" s="23" t="n">
        <x:f>MAX(0,MIN('Activities'!L725,420)-MAX('Activities'!K725,414))</x:f>
        <x:v>0</x:v>
      </x:c>
      <x:c r="BW725" s="23" t="n">
        <x:f>MAX(0,MIN('Activities'!L725,426)-MAX('Activities'!K725,420))</x:f>
        <x:v>0</x:v>
      </x:c>
      <x:c r="BX725" s="23" t="n">
        <x:f>MAX(0,MIN('Activities'!L725,432)-MAX('Activities'!K725,426))</x:f>
        <x:v>0</x:v>
      </x:c>
      <x:c r="BY725" s="23" t="n">
        <x:f>MAX(0,MIN('Activities'!L725,438)-MAX('Activities'!K725,432))</x:f>
        <x:v>0</x:v>
      </x:c>
      <x:c r="BZ725" s="23" t="n">
        <x:f>MAX(0,MIN('Activities'!L725,444)-MAX('Activities'!K725,438))</x:f>
        <x:v>0</x:v>
      </x:c>
      <x:c r="CA725" s="23" t="n">
        <x:f>MAX(0,MIN('Activities'!L725,450)-MAX('Activities'!K725,444))</x:f>
        <x:v>0</x:v>
      </x:c>
      <x:c r="CB725" s="23" t="n">
        <x:f>MAX(0,MIN('Activities'!L725,456)-MAX('Activities'!K725,450))</x:f>
        <x:v>0</x:v>
      </x:c>
      <x:c r="CC725" s="23" t="n">
        <x:f>MAX(0,MIN('Activities'!L725,462)-MAX('Activities'!K725,456))</x:f>
        <x:v>0</x:v>
      </x:c>
      <x:c r="CD725" s="23" t="n">
        <x:f>MAX(0,MIN('Activities'!L725,468)-MAX('Activities'!K725,462))</x:f>
        <x:v>0</x:v>
      </x:c>
      <x:c r="CE725" s="23" t="n">
        <x:f>MAX(0,MIN('Activities'!L725,474)-MAX('Activities'!K725,468))</x:f>
        <x:v>0</x:v>
      </x:c>
      <x:c r="CF725" s="23" t="n">
        <x:f>MAX(0,MIN('Activities'!L725,480)-MAX('Activities'!K725,474))</x:f>
        <x:v>0</x:v>
      </x:c>
      <x:c r="CG725" s="23" t="n">
        <x:f>MAX(0,MIN('Activities'!L725,486)-MAX('Activities'!K725,480))</x:f>
        <x:v>0</x:v>
      </x:c>
      <x:c r="CH725" s="23" t="n">
        <x:f>MAX(0,MIN('Activities'!L725,492)-MAX('Activities'!K725,486))</x:f>
        <x:v>0</x:v>
      </x:c>
      <x:c r="CI725" s="23" t="n">
        <x:f>MAX(0,MIN('Activities'!L725,498)-MAX('Activities'!K725,492))</x:f>
        <x:v>0</x:v>
      </x:c>
      <x:c r="CJ725" s="23" t="n">
        <x:f>MAX(0,MIN('Activities'!L725,504)-MAX('Activities'!K725,498))</x:f>
        <x:v>0</x:v>
      </x:c>
      <x:c r="CK725" s="23" t="n">
        <x:f>MAX(0,MIN('Activities'!L725,510)-MAX('Activities'!K725,504))</x:f>
        <x:v>0</x:v>
      </x:c>
      <x:c r="CL725" s="23" t="n">
        <x:f>MAX(0,MIN('Activities'!L725,516)-MAX('Activities'!K725,510))</x:f>
        <x:v>0</x:v>
      </x:c>
      <x:c r="CM725" s="23" t="n">
        <x:f>MAX(0,MIN('Activities'!L725,522)-MAX('Activities'!K725,516))</x:f>
        <x:v>0</x:v>
      </x:c>
      <x:c r="CN725" s="23" t="n">
        <x:f>MAX(0,MIN('Activities'!L725,528)-MAX('Activities'!K725,522))</x:f>
        <x:v>0</x:v>
      </x:c>
      <x:c r="CO725" s="23" t="n">
        <x:f>MAX(0,MIN('Activities'!L725,534)-MAX('Activities'!K725,528))</x:f>
        <x:v>0</x:v>
      </x:c>
      <x:c r="CP725" s="23" t="n">
        <x:f>MAX(0,MIN('Activities'!L725,540)-MAX('Activities'!K725,534))</x:f>
        <x:v>0</x:v>
      </x:c>
      <x:c r="CQ725" s="23" t="n">
        <x:f>MAX(0,MIN('Activities'!L725,546)-MAX('Activities'!K725,540))</x:f>
        <x:v>0</x:v>
      </x:c>
      <x:c r="CR725" s="23" t="n">
        <x:f>MAX(0,MIN('Activities'!L725,552)-MAX('Activities'!K725,546))</x:f>
        <x:v>0</x:v>
      </x:c>
      <x:c r="CS725" s="23" t="n">
        <x:f>MAX(0,MIN('Activities'!L725,558)-MAX('Activities'!K725,552))</x:f>
        <x:v>0</x:v>
      </x:c>
      <x:c r="CT725" s="23" t="n">
        <x:f>MAX(0,MIN('Activities'!L725,564)-MAX('Activities'!K725,558))</x:f>
        <x:v>0</x:v>
      </x:c>
      <x:c r="CU725" s="23" t="n">
        <x:f>MAX(0,MIN('Activities'!L725,570)-MAX('Activities'!K725,564))</x:f>
        <x:v>0</x:v>
      </x:c>
      <x:c r="CV725" s="23" t="n">
        <x:f>MAX(0,MIN('Activities'!L725,576)-MAX('Activities'!K725,570))</x:f>
        <x:v>0</x:v>
      </x:c>
      <x:c r="CW725" s="23" t="n">
        <x:f>MAX(0,MIN('Activities'!L725,582)-MAX('Activities'!K725,576))</x:f>
        <x:v>0</x:v>
      </x:c>
      <x:c r="CX725" s="23" t="n">
        <x:f>MAX(0,MIN('Activities'!L725,588)-MAX('Activities'!K725,582))</x:f>
        <x:v>0</x:v>
      </x:c>
      <x:c r="CY725" s="23" t="n">
        <x:f>MAX(0,MIN('Activities'!L725,594)-MAX('Activities'!K725,588))</x:f>
        <x:v>0</x:v>
      </x:c>
      <x:c r="CZ725" s="23" t="n">
        <x:f>MAX(0,MIN('Activities'!L725,600)-MAX('Activities'!K725,594))</x:f>
        <x:v>0</x:v>
      </x:c>
      <x:c r="DA725" s="23" t="n">
        <x:f>MAX(0,MIN('Activities'!L725,606)-MAX('Activities'!K725,600))</x:f>
        <x:v>0</x:v>
      </x:c>
      <x:c r="DB725" s="23" t="n">
        <x:f>MAX(0,MIN('Activities'!L725,612)-MAX('Activities'!K725,606))</x:f>
        <x:v>0</x:v>
      </x:c>
      <x:c r="DC725" s="23" t="n">
        <x:f>MAX(0,MIN('Activities'!L725,618)-MAX('Activities'!K725,612))</x:f>
        <x:v>0</x:v>
      </x:c>
      <x:c r="DD725" s="23" t="n">
        <x:f>MAX(0,MIN('Activities'!L725,624)-MAX('Activities'!K725,618))</x:f>
        <x:v>0</x:v>
      </x:c>
      <x:c r="DE725" s="23" t="n">
        <x:f>MAX(0,MIN('Activities'!L725,630)-MAX('Activities'!K725,624))</x:f>
        <x:v>0</x:v>
      </x:c>
      <x:c r="DF725" s="23" t="n">
        <x:f>MAX(0,MIN('Activities'!L725,636)-MAX('Activities'!K725,630))</x:f>
        <x:v>0</x:v>
      </x:c>
    </x:row>
    <x:row r="726" ht="23" customHeight="1">
      <x:c r="A726" s="6" t="str">
        <x:v>T6-L11-R</x:v>
      </x:c>
      <x:c r="B726" s="6" t="str">
        <x:v>T6</x:v>
      </x:c>
      <x:c r="C726" s="6" t="str">
        <x:v>Column, wall, beam and slab reinforcement</x:v>
      </x:c>
      <x:c r="D726" s="6" t="str">
        <x:v>Rebar</x:v>
      </x:c>
      <x:c r="E726" s="22" t="n">
        <x:f>MAX(0,MIN('Activities'!L726,6)-MAX('Activities'!K726,0))</x:f>
        <x:v>0</x:v>
      </x:c>
      <x:c r="F726" s="22" t="n">
        <x:f>MAX(0,MIN('Activities'!L726,12)-MAX('Activities'!K726,6))</x:f>
        <x:v>0</x:v>
      </x:c>
      <x:c r="G726" s="22" t="n">
        <x:f>MAX(0,MIN('Activities'!L726,18)-MAX('Activities'!K726,12))</x:f>
        <x:v>0</x:v>
      </x:c>
      <x:c r="H726" s="22" t="n">
        <x:f>MAX(0,MIN('Activities'!L726,24)-MAX('Activities'!K726,18))</x:f>
        <x:v>0</x:v>
      </x:c>
      <x:c r="I726" s="22" t="n">
        <x:f>MAX(0,MIN('Activities'!L726,30)-MAX('Activities'!K726,24))</x:f>
        <x:v>0</x:v>
      </x:c>
      <x:c r="J726" s="22" t="n">
        <x:f>MAX(0,MIN('Activities'!L726,36)-MAX('Activities'!K726,30))</x:f>
        <x:v>0</x:v>
      </x:c>
      <x:c r="K726" s="22" t="n">
        <x:f>MAX(0,MIN('Activities'!L726,42)-MAX('Activities'!K726,36))</x:f>
        <x:v>0</x:v>
      </x:c>
      <x:c r="L726" s="22" t="n">
        <x:f>MAX(0,MIN('Activities'!L726,48)-MAX('Activities'!K726,42))</x:f>
        <x:v>0</x:v>
      </x:c>
      <x:c r="M726" s="22" t="n">
        <x:f>MAX(0,MIN('Activities'!L726,54)-MAX('Activities'!K726,48))</x:f>
        <x:v>0</x:v>
      </x:c>
      <x:c r="N726" s="22" t="n">
        <x:f>MAX(0,MIN('Activities'!L726,60)-MAX('Activities'!K726,54))</x:f>
        <x:v>0</x:v>
      </x:c>
      <x:c r="O726" s="22" t="n">
        <x:f>MAX(0,MIN('Activities'!L726,66)-MAX('Activities'!K726,60))</x:f>
        <x:v>0</x:v>
      </x:c>
      <x:c r="P726" s="22" t="n">
        <x:f>MAX(0,MIN('Activities'!L726,72)-MAX('Activities'!K726,66))</x:f>
        <x:v>0</x:v>
      </x:c>
      <x:c r="Q726" s="22" t="n">
        <x:f>MAX(0,MIN('Activities'!L726,78)-MAX('Activities'!K726,72))</x:f>
        <x:v>0</x:v>
      </x:c>
      <x:c r="R726" s="22" t="n">
        <x:f>MAX(0,MIN('Activities'!L726,84)-MAX('Activities'!K726,78))</x:f>
        <x:v>0</x:v>
      </x:c>
      <x:c r="S726" s="22" t="n">
        <x:f>MAX(0,MIN('Activities'!L726,90)-MAX('Activities'!K726,84))</x:f>
        <x:v>0</x:v>
      </x:c>
      <x:c r="T726" s="22" t="n">
        <x:f>MAX(0,MIN('Activities'!L726,96)-MAX('Activities'!K726,90))</x:f>
        <x:v>0</x:v>
      </x:c>
      <x:c r="U726" s="22" t="n">
        <x:f>MAX(0,MIN('Activities'!L726,102)-MAX('Activities'!K726,96))</x:f>
        <x:v>0</x:v>
      </x:c>
      <x:c r="V726" s="22" t="n">
        <x:f>MAX(0,MIN('Activities'!L726,108)-MAX('Activities'!K726,102))</x:f>
        <x:v>0</x:v>
      </x:c>
      <x:c r="W726" s="22" t="n">
        <x:f>MAX(0,MIN('Activities'!L726,114)-MAX('Activities'!K726,108))</x:f>
        <x:v>0</x:v>
      </x:c>
      <x:c r="X726" s="22" t="n">
        <x:f>MAX(0,MIN('Activities'!L726,120)-MAX('Activities'!K726,114))</x:f>
        <x:v>0</x:v>
      </x:c>
      <x:c r="Y726" s="22" t="n">
        <x:f>MAX(0,MIN('Activities'!L726,126)-MAX('Activities'!K726,120))</x:f>
        <x:v>0</x:v>
      </x:c>
      <x:c r="Z726" s="22" t="n">
        <x:f>MAX(0,MIN('Activities'!L726,132)-MAX('Activities'!K726,126))</x:f>
        <x:v>0</x:v>
      </x:c>
      <x:c r="AA726" s="22" t="n">
        <x:f>MAX(0,MIN('Activities'!L726,138)-MAX('Activities'!K726,132))</x:f>
        <x:v>0</x:v>
      </x:c>
      <x:c r="AB726" s="22" t="n">
        <x:f>MAX(0,MIN('Activities'!L726,144)-MAX('Activities'!K726,138))</x:f>
        <x:v>0</x:v>
      </x:c>
      <x:c r="AC726" s="22" t="n">
        <x:f>MAX(0,MIN('Activities'!L726,150)-MAX('Activities'!K726,144))</x:f>
        <x:v>0</x:v>
      </x:c>
      <x:c r="AD726" s="22" t="n">
        <x:f>MAX(0,MIN('Activities'!L726,156)-MAX('Activities'!K726,150))</x:f>
        <x:v>0</x:v>
      </x:c>
      <x:c r="AE726" s="22" t="n">
        <x:f>MAX(0,MIN('Activities'!L726,162)-MAX('Activities'!K726,156))</x:f>
        <x:v>0</x:v>
      </x:c>
      <x:c r="AF726" s="22" t="n">
        <x:f>MAX(0,MIN('Activities'!L726,168)-MAX('Activities'!K726,162))</x:f>
        <x:v>0</x:v>
      </x:c>
      <x:c r="AG726" s="22" t="n">
        <x:f>MAX(0,MIN('Activities'!L726,174)-MAX('Activities'!K726,168))</x:f>
        <x:v>0</x:v>
      </x:c>
      <x:c r="AH726" s="22" t="n">
        <x:f>MAX(0,MIN('Activities'!L726,180)-MAX('Activities'!K726,174))</x:f>
        <x:v>0</x:v>
      </x:c>
      <x:c r="AI726" s="22" t="n">
        <x:f>MAX(0,MIN('Activities'!L726,186)-MAX('Activities'!K726,180))</x:f>
        <x:v>0</x:v>
      </x:c>
      <x:c r="AJ726" s="22" t="n">
        <x:f>MAX(0,MIN('Activities'!L726,192)-MAX('Activities'!K726,186))</x:f>
        <x:v>0</x:v>
      </x:c>
      <x:c r="AK726" s="22" t="n">
        <x:f>MAX(0,MIN('Activities'!L726,198)-MAX('Activities'!K726,192))</x:f>
        <x:v>0</x:v>
      </x:c>
      <x:c r="AL726" s="22" t="n">
        <x:f>MAX(0,MIN('Activities'!L726,204)-MAX('Activities'!K726,198))</x:f>
        <x:v>0</x:v>
      </x:c>
      <x:c r="AM726" s="22" t="n">
        <x:f>MAX(0,MIN('Activities'!L726,210)-MAX('Activities'!K726,204))</x:f>
        <x:v>0</x:v>
      </x:c>
      <x:c r="AN726" s="22" t="n">
        <x:f>MAX(0,MIN('Activities'!L726,216)-MAX('Activities'!K726,210))</x:f>
        <x:v>0</x:v>
      </x:c>
      <x:c r="AO726" s="22" t="n">
        <x:f>MAX(0,MIN('Activities'!L726,222)-MAX('Activities'!K726,216))</x:f>
        <x:v>0</x:v>
      </x:c>
      <x:c r="AP726" s="22" t="n">
        <x:f>MAX(0,MIN('Activities'!L726,228)-MAX('Activities'!K726,222))</x:f>
        <x:v>0</x:v>
      </x:c>
      <x:c r="AQ726" s="22" t="n">
        <x:f>MAX(0,MIN('Activities'!L726,234)-MAX('Activities'!K726,228))</x:f>
        <x:v>0</x:v>
      </x:c>
      <x:c r="AR726" s="22" t="n">
        <x:f>MAX(0,MIN('Activities'!L726,240)-MAX('Activities'!K726,234))</x:f>
        <x:v>0</x:v>
      </x:c>
      <x:c r="AS726" s="22" t="n">
        <x:f>MAX(0,MIN('Activities'!L726,246)-MAX('Activities'!K726,240))</x:f>
        <x:v>0</x:v>
      </x:c>
      <x:c r="AT726" s="22" t="n">
        <x:f>MAX(0,MIN('Activities'!L726,252)-MAX('Activities'!K726,246))</x:f>
        <x:v>0</x:v>
      </x:c>
      <x:c r="AU726" s="22" t="n">
        <x:f>MAX(0,MIN('Activities'!L726,258)-MAX('Activities'!K726,252))</x:f>
        <x:v>0</x:v>
      </x:c>
      <x:c r="AV726" s="22" t="n">
        <x:f>MAX(0,MIN('Activities'!L726,264)-MAX('Activities'!K726,258))</x:f>
        <x:v>0</x:v>
      </x:c>
      <x:c r="AW726" s="22" t="n">
        <x:f>MAX(0,MIN('Activities'!L726,270)-MAX('Activities'!K726,264))</x:f>
        <x:v>0</x:v>
      </x:c>
      <x:c r="AX726" s="22" t="n">
        <x:f>MAX(0,MIN('Activities'!L726,276)-MAX('Activities'!K726,270))</x:f>
        <x:v>0</x:v>
      </x:c>
      <x:c r="AY726" s="22" t="n">
        <x:f>MAX(0,MIN('Activities'!L726,282)-MAX('Activities'!K726,276))</x:f>
        <x:v>0</x:v>
      </x:c>
      <x:c r="AZ726" s="22" t="n">
        <x:f>MAX(0,MIN('Activities'!L726,288)-MAX('Activities'!K726,282))</x:f>
        <x:v>0</x:v>
      </x:c>
      <x:c r="BA726" s="22" t="n">
        <x:f>MAX(0,MIN('Activities'!L726,294)-MAX('Activities'!K726,288))</x:f>
        <x:v>0</x:v>
      </x:c>
      <x:c r="BB726" s="22" t="n">
        <x:f>MAX(0,MIN('Activities'!L726,300)-MAX('Activities'!K726,294))</x:f>
        <x:v>0</x:v>
      </x:c>
      <x:c r="BC726" s="22" t="n">
        <x:f>MAX(0,MIN('Activities'!L726,306)-MAX('Activities'!K726,300))</x:f>
        <x:v>0</x:v>
      </x:c>
      <x:c r="BD726" s="22" t="n">
        <x:f>MAX(0,MIN('Activities'!L726,312)-MAX('Activities'!K726,306))</x:f>
        <x:v>0</x:v>
      </x:c>
      <x:c r="BE726" s="22" t="n">
        <x:f>MAX(0,MIN('Activities'!L726,318)-MAX('Activities'!K726,312))</x:f>
        <x:v>0</x:v>
      </x:c>
      <x:c r="BF726" s="22" t="n">
        <x:f>MAX(0,MIN('Activities'!L726,324)-MAX('Activities'!K726,318))</x:f>
        <x:v>0</x:v>
      </x:c>
      <x:c r="BG726" s="22" t="n">
        <x:f>MAX(0,MIN('Activities'!L726,330)-MAX('Activities'!K726,324))</x:f>
        <x:v>0</x:v>
      </x:c>
      <x:c r="BH726" s="22" t="n">
        <x:f>MAX(0,MIN('Activities'!L726,336)-MAX('Activities'!K726,330))</x:f>
        <x:v>0</x:v>
      </x:c>
      <x:c r="BI726" s="22" t="n">
        <x:f>MAX(0,MIN('Activities'!L726,342)-MAX('Activities'!K726,336))</x:f>
        <x:v>0</x:v>
      </x:c>
      <x:c r="BJ726" s="22" t="n">
        <x:f>MAX(0,MIN('Activities'!L726,348)-MAX('Activities'!K726,342))</x:f>
        <x:v>0</x:v>
      </x:c>
      <x:c r="BK726" s="22" t="n">
        <x:f>MAX(0,MIN('Activities'!L726,354)-MAX('Activities'!K726,348))</x:f>
        <x:v>0</x:v>
      </x:c>
      <x:c r="BL726" s="22" t="n">
        <x:f>MAX(0,MIN('Activities'!L726,360)-MAX('Activities'!K726,354))</x:f>
        <x:v>0</x:v>
      </x:c>
      <x:c r="BM726" s="22" t="n">
        <x:f>MAX(0,MIN('Activities'!L726,366)-MAX('Activities'!K726,360))</x:f>
        <x:v>0</x:v>
      </x:c>
      <x:c r="BN726" s="22" t="n">
        <x:f>MAX(0,MIN('Activities'!L726,372)-MAX('Activities'!K726,366))</x:f>
        <x:v>0</x:v>
      </x:c>
      <x:c r="BO726" s="22" t="n">
        <x:f>MAX(0,MIN('Activities'!L726,378)-MAX('Activities'!K726,372))</x:f>
        <x:v>0</x:v>
      </x:c>
      <x:c r="BP726" s="22" t="n">
        <x:f>MAX(0,MIN('Activities'!L726,384)-MAX('Activities'!K726,378))</x:f>
        <x:v>0</x:v>
      </x:c>
      <x:c r="BQ726" s="22" t="n">
        <x:f>MAX(0,MIN('Activities'!L726,390)-MAX('Activities'!K726,384))</x:f>
        <x:v>0</x:v>
      </x:c>
      <x:c r="BR726" s="22" t="n">
        <x:f>MAX(0,MIN('Activities'!L726,396)-MAX('Activities'!K726,390))</x:f>
        <x:v>0</x:v>
      </x:c>
      <x:c r="BS726" s="22" t="n">
        <x:f>MAX(0,MIN('Activities'!L726,402)-MAX('Activities'!K726,396))</x:f>
        <x:v>4</x:v>
      </x:c>
      <x:c r="BT726" s="22" t="n">
        <x:f>MAX(0,MIN('Activities'!L726,408)-MAX('Activities'!K726,402))</x:f>
        <x:v>1</x:v>
      </x:c>
      <x:c r="BU726" s="22" t="n">
        <x:f>MAX(0,MIN('Activities'!L726,414)-MAX('Activities'!K726,408))</x:f>
        <x:v>0</x:v>
      </x:c>
      <x:c r="BV726" s="22" t="n">
        <x:f>MAX(0,MIN('Activities'!L726,420)-MAX('Activities'!K726,414))</x:f>
        <x:v>0</x:v>
      </x:c>
      <x:c r="BW726" s="22" t="n">
        <x:f>MAX(0,MIN('Activities'!L726,426)-MAX('Activities'!K726,420))</x:f>
        <x:v>0</x:v>
      </x:c>
      <x:c r="BX726" s="22" t="n">
        <x:f>MAX(0,MIN('Activities'!L726,432)-MAX('Activities'!K726,426))</x:f>
        <x:v>0</x:v>
      </x:c>
      <x:c r="BY726" s="22" t="n">
        <x:f>MAX(0,MIN('Activities'!L726,438)-MAX('Activities'!K726,432))</x:f>
        <x:v>0</x:v>
      </x:c>
      <x:c r="BZ726" s="22" t="n">
        <x:f>MAX(0,MIN('Activities'!L726,444)-MAX('Activities'!K726,438))</x:f>
        <x:v>0</x:v>
      </x:c>
      <x:c r="CA726" s="22" t="n">
        <x:f>MAX(0,MIN('Activities'!L726,450)-MAX('Activities'!K726,444))</x:f>
        <x:v>0</x:v>
      </x:c>
      <x:c r="CB726" s="22" t="n">
        <x:f>MAX(0,MIN('Activities'!L726,456)-MAX('Activities'!K726,450))</x:f>
        <x:v>0</x:v>
      </x:c>
      <x:c r="CC726" s="22" t="n">
        <x:f>MAX(0,MIN('Activities'!L726,462)-MAX('Activities'!K726,456))</x:f>
        <x:v>0</x:v>
      </x:c>
      <x:c r="CD726" s="22" t="n">
        <x:f>MAX(0,MIN('Activities'!L726,468)-MAX('Activities'!K726,462))</x:f>
        <x:v>0</x:v>
      </x:c>
      <x:c r="CE726" s="22" t="n">
        <x:f>MAX(0,MIN('Activities'!L726,474)-MAX('Activities'!K726,468))</x:f>
        <x:v>0</x:v>
      </x:c>
      <x:c r="CF726" s="22" t="n">
        <x:f>MAX(0,MIN('Activities'!L726,480)-MAX('Activities'!K726,474))</x:f>
        <x:v>0</x:v>
      </x:c>
      <x:c r="CG726" s="22" t="n">
        <x:f>MAX(0,MIN('Activities'!L726,486)-MAX('Activities'!K726,480))</x:f>
        <x:v>0</x:v>
      </x:c>
      <x:c r="CH726" s="22" t="n">
        <x:f>MAX(0,MIN('Activities'!L726,492)-MAX('Activities'!K726,486))</x:f>
        <x:v>0</x:v>
      </x:c>
      <x:c r="CI726" s="22" t="n">
        <x:f>MAX(0,MIN('Activities'!L726,498)-MAX('Activities'!K726,492))</x:f>
        <x:v>0</x:v>
      </x:c>
      <x:c r="CJ726" s="22" t="n">
        <x:f>MAX(0,MIN('Activities'!L726,504)-MAX('Activities'!K726,498))</x:f>
        <x:v>0</x:v>
      </x:c>
      <x:c r="CK726" s="22" t="n">
        <x:f>MAX(0,MIN('Activities'!L726,510)-MAX('Activities'!K726,504))</x:f>
        <x:v>0</x:v>
      </x:c>
      <x:c r="CL726" s="22" t="n">
        <x:f>MAX(0,MIN('Activities'!L726,516)-MAX('Activities'!K726,510))</x:f>
        <x:v>0</x:v>
      </x:c>
      <x:c r="CM726" s="22" t="n">
        <x:f>MAX(0,MIN('Activities'!L726,522)-MAX('Activities'!K726,516))</x:f>
        <x:v>0</x:v>
      </x:c>
      <x:c r="CN726" s="22" t="n">
        <x:f>MAX(0,MIN('Activities'!L726,528)-MAX('Activities'!K726,522))</x:f>
        <x:v>0</x:v>
      </x:c>
      <x:c r="CO726" s="22" t="n">
        <x:f>MAX(0,MIN('Activities'!L726,534)-MAX('Activities'!K726,528))</x:f>
        <x:v>0</x:v>
      </x:c>
      <x:c r="CP726" s="22" t="n">
        <x:f>MAX(0,MIN('Activities'!L726,540)-MAX('Activities'!K726,534))</x:f>
        <x:v>0</x:v>
      </x:c>
      <x:c r="CQ726" s="22" t="n">
        <x:f>MAX(0,MIN('Activities'!L726,546)-MAX('Activities'!K726,540))</x:f>
        <x:v>0</x:v>
      </x:c>
      <x:c r="CR726" s="22" t="n">
        <x:f>MAX(0,MIN('Activities'!L726,552)-MAX('Activities'!K726,546))</x:f>
        <x:v>0</x:v>
      </x:c>
      <x:c r="CS726" s="22" t="n">
        <x:f>MAX(0,MIN('Activities'!L726,558)-MAX('Activities'!K726,552))</x:f>
        <x:v>0</x:v>
      </x:c>
      <x:c r="CT726" s="22" t="n">
        <x:f>MAX(0,MIN('Activities'!L726,564)-MAX('Activities'!K726,558))</x:f>
        <x:v>0</x:v>
      </x:c>
      <x:c r="CU726" s="22" t="n">
        <x:f>MAX(0,MIN('Activities'!L726,570)-MAX('Activities'!K726,564))</x:f>
        <x:v>0</x:v>
      </x:c>
      <x:c r="CV726" s="22" t="n">
        <x:f>MAX(0,MIN('Activities'!L726,576)-MAX('Activities'!K726,570))</x:f>
        <x:v>0</x:v>
      </x:c>
      <x:c r="CW726" s="22" t="n">
        <x:f>MAX(0,MIN('Activities'!L726,582)-MAX('Activities'!K726,576))</x:f>
        <x:v>0</x:v>
      </x:c>
      <x:c r="CX726" s="22" t="n">
        <x:f>MAX(0,MIN('Activities'!L726,588)-MAX('Activities'!K726,582))</x:f>
        <x:v>0</x:v>
      </x:c>
      <x:c r="CY726" s="22" t="n">
        <x:f>MAX(0,MIN('Activities'!L726,594)-MAX('Activities'!K726,588))</x:f>
        <x:v>0</x:v>
      </x:c>
      <x:c r="CZ726" s="22" t="n">
        <x:f>MAX(0,MIN('Activities'!L726,600)-MAX('Activities'!K726,594))</x:f>
        <x:v>0</x:v>
      </x:c>
      <x:c r="DA726" s="22" t="n">
        <x:f>MAX(0,MIN('Activities'!L726,606)-MAX('Activities'!K726,600))</x:f>
        <x:v>0</x:v>
      </x:c>
      <x:c r="DB726" s="22" t="n">
        <x:f>MAX(0,MIN('Activities'!L726,612)-MAX('Activities'!K726,606))</x:f>
        <x:v>0</x:v>
      </x:c>
      <x:c r="DC726" s="22" t="n">
        <x:f>MAX(0,MIN('Activities'!L726,618)-MAX('Activities'!K726,612))</x:f>
        <x:v>0</x:v>
      </x:c>
      <x:c r="DD726" s="22" t="n">
        <x:f>MAX(0,MIN('Activities'!L726,624)-MAX('Activities'!K726,618))</x:f>
        <x:v>0</x:v>
      </x:c>
      <x:c r="DE726" s="22" t="n">
        <x:f>MAX(0,MIN('Activities'!L726,630)-MAX('Activities'!K726,624))</x:f>
        <x:v>0</x:v>
      </x:c>
      <x:c r="DF726" s="22" t="n">
        <x:f>MAX(0,MIN('Activities'!L726,636)-MAX('Activities'!K726,630))</x:f>
        <x:v>0</x:v>
      </x:c>
    </x:row>
    <x:row r="727" ht="23" customHeight="1">
      <x:c r="A727" s="1" t="str">
        <x:v>T6-L11-C</x:v>
      </x:c>
      <x:c r="B727" s="1" t="str">
        <x:v>T6</x:v>
      </x:c>
      <x:c r="C727" s="1" t="str">
        <x:v>Concrete placement and finishing</x:v>
      </x:c>
      <x:c r="D727" s="1" t="str">
        <x:v>Concrete</x:v>
      </x:c>
      <x:c r="E727" s="23" t="n">
        <x:f>MAX(0,MIN('Activities'!L727,6)-MAX('Activities'!K727,0))</x:f>
        <x:v>0</x:v>
      </x:c>
      <x:c r="F727" s="23" t="n">
        <x:f>MAX(0,MIN('Activities'!L727,12)-MAX('Activities'!K727,6))</x:f>
        <x:v>0</x:v>
      </x:c>
      <x:c r="G727" s="23" t="n">
        <x:f>MAX(0,MIN('Activities'!L727,18)-MAX('Activities'!K727,12))</x:f>
        <x:v>0</x:v>
      </x:c>
      <x:c r="H727" s="23" t="n">
        <x:f>MAX(0,MIN('Activities'!L727,24)-MAX('Activities'!K727,18))</x:f>
        <x:v>0</x:v>
      </x:c>
      <x:c r="I727" s="23" t="n">
        <x:f>MAX(0,MIN('Activities'!L727,30)-MAX('Activities'!K727,24))</x:f>
        <x:v>0</x:v>
      </x:c>
      <x:c r="J727" s="23" t="n">
        <x:f>MAX(0,MIN('Activities'!L727,36)-MAX('Activities'!K727,30))</x:f>
        <x:v>0</x:v>
      </x:c>
      <x:c r="K727" s="23" t="n">
        <x:f>MAX(0,MIN('Activities'!L727,42)-MAX('Activities'!K727,36))</x:f>
        <x:v>0</x:v>
      </x:c>
      <x:c r="L727" s="23" t="n">
        <x:f>MAX(0,MIN('Activities'!L727,48)-MAX('Activities'!K727,42))</x:f>
        <x:v>0</x:v>
      </x:c>
      <x:c r="M727" s="23" t="n">
        <x:f>MAX(0,MIN('Activities'!L727,54)-MAX('Activities'!K727,48))</x:f>
        <x:v>0</x:v>
      </x:c>
      <x:c r="N727" s="23" t="n">
        <x:f>MAX(0,MIN('Activities'!L727,60)-MAX('Activities'!K727,54))</x:f>
        <x:v>0</x:v>
      </x:c>
      <x:c r="O727" s="23" t="n">
        <x:f>MAX(0,MIN('Activities'!L727,66)-MAX('Activities'!K727,60))</x:f>
        <x:v>0</x:v>
      </x:c>
      <x:c r="P727" s="23" t="n">
        <x:f>MAX(0,MIN('Activities'!L727,72)-MAX('Activities'!K727,66))</x:f>
        <x:v>0</x:v>
      </x:c>
      <x:c r="Q727" s="23" t="n">
        <x:f>MAX(0,MIN('Activities'!L727,78)-MAX('Activities'!K727,72))</x:f>
        <x:v>0</x:v>
      </x:c>
      <x:c r="R727" s="23" t="n">
        <x:f>MAX(0,MIN('Activities'!L727,84)-MAX('Activities'!K727,78))</x:f>
        <x:v>0</x:v>
      </x:c>
      <x:c r="S727" s="23" t="n">
        <x:f>MAX(0,MIN('Activities'!L727,90)-MAX('Activities'!K727,84))</x:f>
        <x:v>0</x:v>
      </x:c>
      <x:c r="T727" s="23" t="n">
        <x:f>MAX(0,MIN('Activities'!L727,96)-MAX('Activities'!K727,90))</x:f>
        <x:v>0</x:v>
      </x:c>
      <x:c r="U727" s="23" t="n">
        <x:f>MAX(0,MIN('Activities'!L727,102)-MAX('Activities'!K727,96))</x:f>
        <x:v>0</x:v>
      </x:c>
      <x:c r="V727" s="23" t="n">
        <x:f>MAX(0,MIN('Activities'!L727,108)-MAX('Activities'!K727,102))</x:f>
        <x:v>0</x:v>
      </x:c>
      <x:c r="W727" s="23" t="n">
        <x:f>MAX(0,MIN('Activities'!L727,114)-MAX('Activities'!K727,108))</x:f>
        <x:v>0</x:v>
      </x:c>
      <x:c r="X727" s="23" t="n">
        <x:f>MAX(0,MIN('Activities'!L727,120)-MAX('Activities'!K727,114))</x:f>
        <x:v>0</x:v>
      </x:c>
      <x:c r="Y727" s="23" t="n">
        <x:f>MAX(0,MIN('Activities'!L727,126)-MAX('Activities'!K727,120))</x:f>
        <x:v>0</x:v>
      </x:c>
      <x:c r="Z727" s="23" t="n">
        <x:f>MAX(0,MIN('Activities'!L727,132)-MAX('Activities'!K727,126))</x:f>
        <x:v>0</x:v>
      </x:c>
      <x:c r="AA727" s="23" t="n">
        <x:f>MAX(0,MIN('Activities'!L727,138)-MAX('Activities'!K727,132))</x:f>
        <x:v>0</x:v>
      </x:c>
      <x:c r="AB727" s="23" t="n">
        <x:f>MAX(0,MIN('Activities'!L727,144)-MAX('Activities'!K727,138))</x:f>
        <x:v>0</x:v>
      </x:c>
      <x:c r="AC727" s="23" t="n">
        <x:f>MAX(0,MIN('Activities'!L727,150)-MAX('Activities'!K727,144))</x:f>
        <x:v>0</x:v>
      </x:c>
      <x:c r="AD727" s="23" t="n">
        <x:f>MAX(0,MIN('Activities'!L727,156)-MAX('Activities'!K727,150))</x:f>
        <x:v>0</x:v>
      </x:c>
      <x:c r="AE727" s="23" t="n">
        <x:f>MAX(0,MIN('Activities'!L727,162)-MAX('Activities'!K727,156))</x:f>
        <x:v>0</x:v>
      </x:c>
      <x:c r="AF727" s="23" t="n">
        <x:f>MAX(0,MIN('Activities'!L727,168)-MAX('Activities'!K727,162))</x:f>
        <x:v>0</x:v>
      </x:c>
      <x:c r="AG727" s="23" t="n">
        <x:f>MAX(0,MIN('Activities'!L727,174)-MAX('Activities'!K727,168))</x:f>
        <x:v>0</x:v>
      </x:c>
      <x:c r="AH727" s="23" t="n">
        <x:f>MAX(0,MIN('Activities'!L727,180)-MAX('Activities'!K727,174))</x:f>
        <x:v>0</x:v>
      </x:c>
      <x:c r="AI727" s="23" t="n">
        <x:f>MAX(0,MIN('Activities'!L727,186)-MAX('Activities'!K727,180))</x:f>
        <x:v>0</x:v>
      </x:c>
      <x:c r="AJ727" s="23" t="n">
        <x:f>MAX(0,MIN('Activities'!L727,192)-MAX('Activities'!K727,186))</x:f>
        <x:v>0</x:v>
      </x:c>
      <x:c r="AK727" s="23" t="n">
        <x:f>MAX(0,MIN('Activities'!L727,198)-MAX('Activities'!K727,192))</x:f>
        <x:v>0</x:v>
      </x:c>
      <x:c r="AL727" s="23" t="n">
        <x:f>MAX(0,MIN('Activities'!L727,204)-MAX('Activities'!K727,198))</x:f>
        <x:v>0</x:v>
      </x:c>
      <x:c r="AM727" s="23" t="n">
        <x:f>MAX(0,MIN('Activities'!L727,210)-MAX('Activities'!K727,204))</x:f>
        <x:v>0</x:v>
      </x:c>
      <x:c r="AN727" s="23" t="n">
        <x:f>MAX(0,MIN('Activities'!L727,216)-MAX('Activities'!K727,210))</x:f>
        <x:v>0</x:v>
      </x:c>
      <x:c r="AO727" s="23" t="n">
        <x:f>MAX(0,MIN('Activities'!L727,222)-MAX('Activities'!K727,216))</x:f>
        <x:v>0</x:v>
      </x:c>
      <x:c r="AP727" s="23" t="n">
        <x:f>MAX(0,MIN('Activities'!L727,228)-MAX('Activities'!K727,222))</x:f>
        <x:v>0</x:v>
      </x:c>
      <x:c r="AQ727" s="23" t="n">
        <x:f>MAX(0,MIN('Activities'!L727,234)-MAX('Activities'!K727,228))</x:f>
        <x:v>0</x:v>
      </x:c>
      <x:c r="AR727" s="23" t="n">
        <x:f>MAX(0,MIN('Activities'!L727,240)-MAX('Activities'!K727,234))</x:f>
        <x:v>0</x:v>
      </x:c>
      <x:c r="AS727" s="23" t="n">
        <x:f>MAX(0,MIN('Activities'!L727,246)-MAX('Activities'!K727,240))</x:f>
        <x:v>0</x:v>
      </x:c>
      <x:c r="AT727" s="23" t="n">
        <x:f>MAX(0,MIN('Activities'!L727,252)-MAX('Activities'!K727,246))</x:f>
        <x:v>0</x:v>
      </x:c>
      <x:c r="AU727" s="23" t="n">
        <x:f>MAX(0,MIN('Activities'!L727,258)-MAX('Activities'!K727,252))</x:f>
        <x:v>0</x:v>
      </x:c>
      <x:c r="AV727" s="23" t="n">
        <x:f>MAX(0,MIN('Activities'!L727,264)-MAX('Activities'!K727,258))</x:f>
        <x:v>0</x:v>
      </x:c>
      <x:c r="AW727" s="23" t="n">
        <x:f>MAX(0,MIN('Activities'!L727,270)-MAX('Activities'!K727,264))</x:f>
        <x:v>0</x:v>
      </x:c>
      <x:c r="AX727" s="23" t="n">
        <x:f>MAX(0,MIN('Activities'!L727,276)-MAX('Activities'!K727,270))</x:f>
        <x:v>0</x:v>
      </x:c>
      <x:c r="AY727" s="23" t="n">
        <x:f>MAX(0,MIN('Activities'!L727,282)-MAX('Activities'!K727,276))</x:f>
        <x:v>0</x:v>
      </x:c>
      <x:c r="AZ727" s="23" t="n">
        <x:f>MAX(0,MIN('Activities'!L727,288)-MAX('Activities'!K727,282))</x:f>
        <x:v>0</x:v>
      </x:c>
      <x:c r="BA727" s="23" t="n">
        <x:f>MAX(0,MIN('Activities'!L727,294)-MAX('Activities'!K727,288))</x:f>
        <x:v>0</x:v>
      </x:c>
      <x:c r="BB727" s="23" t="n">
        <x:f>MAX(0,MIN('Activities'!L727,300)-MAX('Activities'!K727,294))</x:f>
        <x:v>0</x:v>
      </x:c>
      <x:c r="BC727" s="23" t="n">
        <x:f>MAX(0,MIN('Activities'!L727,306)-MAX('Activities'!K727,300))</x:f>
        <x:v>0</x:v>
      </x:c>
      <x:c r="BD727" s="23" t="n">
        <x:f>MAX(0,MIN('Activities'!L727,312)-MAX('Activities'!K727,306))</x:f>
        <x:v>0</x:v>
      </x:c>
      <x:c r="BE727" s="23" t="n">
        <x:f>MAX(0,MIN('Activities'!L727,318)-MAX('Activities'!K727,312))</x:f>
        <x:v>0</x:v>
      </x:c>
      <x:c r="BF727" s="23" t="n">
        <x:f>MAX(0,MIN('Activities'!L727,324)-MAX('Activities'!K727,318))</x:f>
        <x:v>0</x:v>
      </x:c>
      <x:c r="BG727" s="23" t="n">
        <x:f>MAX(0,MIN('Activities'!L727,330)-MAX('Activities'!K727,324))</x:f>
        <x:v>0</x:v>
      </x:c>
      <x:c r="BH727" s="23" t="n">
        <x:f>MAX(0,MIN('Activities'!L727,336)-MAX('Activities'!K727,330))</x:f>
        <x:v>0</x:v>
      </x:c>
      <x:c r="BI727" s="23" t="n">
        <x:f>MAX(0,MIN('Activities'!L727,342)-MAX('Activities'!K727,336))</x:f>
        <x:v>0</x:v>
      </x:c>
      <x:c r="BJ727" s="23" t="n">
        <x:f>MAX(0,MIN('Activities'!L727,348)-MAX('Activities'!K727,342))</x:f>
        <x:v>0</x:v>
      </x:c>
      <x:c r="BK727" s="23" t="n">
        <x:f>MAX(0,MIN('Activities'!L727,354)-MAX('Activities'!K727,348))</x:f>
        <x:v>0</x:v>
      </x:c>
      <x:c r="BL727" s="23" t="n">
        <x:f>MAX(0,MIN('Activities'!L727,360)-MAX('Activities'!K727,354))</x:f>
        <x:v>0</x:v>
      </x:c>
      <x:c r="BM727" s="23" t="n">
        <x:f>MAX(0,MIN('Activities'!L727,366)-MAX('Activities'!K727,360))</x:f>
        <x:v>0</x:v>
      </x:c>
      <x:c r="BN727" s="23" t="n">
        <x:f>MAX(0,MIN('Activities'!L727,372)-MAX('Activities'!K727,366))</x:f>
        <x:v>0</x:v>
      </x:c>
      <x:c r="BO727" s="23" t="n">
        <x:f>MAX(0,MIN('Activities'!L727,378)-MAX('Activities'!K727,372))</x:f>
        <x:v>0</x:v>
      </x:c>
      <x:c r="BP727" s="23" t="n">
        <x:f>MAX(0,MIN('Activities'!L727,384)-MAX('Activities'!K727,378))</x:f>
        <x:v>0</x:v>
      </x:c>
      <x:c r="BQ727" s="23" t="n">
        <x:f>MAX(0,MIN('Activities'!L727,390)-MAX('Activities'!K727,384))</x:f>
        <x:v>0</x:v>
      </x:c>
      <x:c r="BR727" s="23" t="n">
        <x:f>MAX(0,MIN('Activities'!L727,396)-MAX('Activities'!K727,390))</x:f>
        <x:v>0</x:v>
      </x:c>
      <x:c r="BS727" s="23" t="n">
        <x:f>MAX(0,MIN('Activities'!L727,402)-MAX('Activities'!K727,396))</x:f>
        <x:v>0</x:v>
      </x:c>
      <x:c r="BT727" s="23" t="n">
        <x:f>MAX(0,MIN('Activities'!L727,408)-MAX('Activities'!K727,402))</x:f>
        <x:v>2</x:v>
      </x:c>
      <x:c r="BU727" s="23" t="n">
        <x:f>MAX(0,MIN('Activities'!L727,414)-MAX('Activities'!K727,408))</x:f>
        <x:v>0</x:v>
      </x:c>
      <x:c r="BV727" s="23" t="n">
        <x:f>MAX(0,MIN('Activities'!L727,420)-MAX('Activities'!K727,414))</x:f>
        <x:v>0</x:v>
      </x:c>
      <x:c r="BW727" s="23" t="n">
        <x:f>MAX(0,MIN('Activities'!L727,426)-MAX('Activities'!K727,420))</x:f>
        <x:v>0</x:v>
      </x:c>
      <x:c r="BX727" s="23" t="n">
        <x:f>MAX(0,MIN('Activities'!L727,432)-MAX('Activities'!K727,426))</x:f>
        <x:v>0</x:v>
      </x:c>
      <x:c r="BY727" s="23" t="n">
        <x:f>MAX(0,MIN('Activities'!L727,438)-MAX('Activities'!K727,432))</x:f>
        <x:v>0</x:v>
      </x:c>
      <x:c r="BZ727" s="23" t="n">
        <x:f>MAX(0,MIN('Activities'!L727,444)-MAX('Activities'!K727,438))</x:f>
        <x:v>0</x:v>
      </x:c>
      <x:c r="CA727" s="23" t="n">
        <x:f>MAX(0,MIN('Activities'!L727,450)-MAX('Activities'!K727,444))</x:f>
        <x:v>0</x:v>
      </x:c>
      <x:c r="CB727" s="23" t="n">
        <x:f>MAX(0,MIN('Activities'!L727,456)-MAX('Activities'!K727,450))</x:f>
        <x:v>0</x:v>
      </x:c>
      <x:c r="CC727" s="23" t="n">
        <x:f>MAX(0,MIN('Activities'!L727,462)-MAX('Activities'!K727,456))</x:f>
        <x:v>0</x:v>
      </x:c>
      <x:c r="CD727" s="23" t="n">
        <x:f>MAX(0,MIN('Activities'!L727,468)-MAX('Activities'!K727,462))</x:f>
        <x:v>0</x:v>
      </x:c>
      <x:c r="CE727" s="23" t="n">
        <x:f>MAX(0,MIN('Activities'!L727,474)-MAX('Activities'!K727,468))</x:f>
        <x:v>0</x:v>
      </x:c>
      <x:c r="CF727" s="23" t="n">
        <x:f>MAX(0,MIN('Activities'!L727,480)-MAX('Activities'!K727,474))</x:f>
        <x:v>0</x:v>
      </x:c>
      <x:c r="CG727" s="23" t="n">
        <x:f>MAX(0,MIN('Activities'!L727,486)-MAX('Activities'!K727,480))</x:f>
        <x:v>0</x:v>
      </x:c>
      <x:c r="CH727" s="23" t="n">
        <x:f>MAX(0,MIN('Activities'!L727,492)-MAX('Activities'!K727,486))</x:f>
        <x:v>0</x:v>
      </x:c>
      <x:c r="CI727" s="23" t="n">
        <x:f>MAX(0,MIN('Activities'!L727,498)-MAX('Activities'!K727,492))</x:f>
        <x:v>0</x:v>
      </x:c>
      <x:c r="CJ727" s="23" t="n">
        <x:f>MAX(0,MIN('Activities'!L727,504)-MAX('Activities'!K727,498))</x:f>
        <x:v>0</x:v>
      </x:c>
      <x:c r="CK727" s="23" t="n">
        <x:f>MAX(0,MIN('Activities'!L727,510)-MAX('Activities'!K727,504))</x:f>
        <x:v>0</x:v>
      </x:c>
      <x:c r="CL727" s="23" t="n">
        <x:f>MAX(0,MIN('Activities'!L727,516)-MAX('Activities'!K727,510))</x:f>
        <x:v>0</x:v>
      </x:c>
      <x:c r="CM727" s="23" t="n">
        <x:f>MAX(0,MIN('Activities'!L727,522)-MAX('Activities'!K727,516))</x:f>
        <x:v>0</x:v>
      </x:c>
      <x:c r="CN727" s="23" t="n">
        <x:f>MAX(0,MIN('Activities'!L727,528)-MAX('Activities'!K727,522))</x:f>
        <x:v>0</x:v>
      </x:c>
      <x:c r="CO727" s="23" t="n">
        <x:f>MAX(0,MIN('Activities'!L727,534)-MAX('Activities'!K727,528))</x:f>
        <x:v>0</x:v>
      </x:c>
      <x:c r="CP727" s="23" t="n">
        <x:f>MAX(0,MIN('Activities'!L727,540)-MAX('Activities'!K727,534))</x:f>
        <x:v>0</x:v>
      </x:c>
      <x:c r="CQ727" s="23" t="n">
        <x:f>MAX(0,MIN('Activities'!L727,546)-MAX('Activities'!K727,540))</x:f>
        <x:v>0</x:v>
      </x:c>
      <x:c r="CR727" s="23" t="n">
        <x:f>MAX(0,MIN('Activities'!L727,552)-MAX('Activities'!K727,546))</x:f>
        <x:v>0</x:v>
      </x:c>
      <x:c r="CS727" s="23" t="n">
        <x:f>MAX(0,MIN('Activities'!L727,558)-MAX('Activities'!K727,552))</x:f>
        <x:v>0</x:v>
      </x:c>
      <x:c r="CT727" s="23" t="n">
        <x:f>MAX(0,MIN('Activities'!L727,564)-MAX('Activities'!K727,558))</x:f>
        <x:v>0</x:v>
      </x:c>
      <x:c r="CU727" s="23" t="n">
        <x:f>MAX(0,MIN('Activities'!L727,570)-MAX('Activities'!K727,564))</x:f>
        <x:v>0</x:v>
      </x:c>
      <x:c r="CV727" s="23" t="n">
        <x:f>MAX(0,MIN('Activities'!L727,576)-MAX('Activities'!K727,570))</x:f>
        <x:v>0</x:v>
      </x:c>
      <x:c r="CW727" s="23" t="n">
        <x:f>MAX(0,MIN('Activities'!L727,582)-MAX('Activities'!K727,576))</x:f>
        <x:v>0</x:v>
      </x:c>
      <x:c r="CX727" s="23" t="n">
        <x:f>MAX(0,MIN('Activities'!L727,588)-MAX('Activities'!K727,582))</x:f>
        <x:v>0</x:v>
      </x:c>
      <x:c r="CY727" s="23" t="n">
        <x:f>MAX(0,MIN('Activities'!L727,594)-MAX('Activities'!K727,588))</x:f>
        <x:v>0</x:v>
      </x:c>
      <x:c r="CZ727" s="23" t="n">
        <x:f>MAX(0,MIN('Activities'!L727,600)-MAX('Activities'!K727,594))</x:f>
        <x:v>0</x:v>
      </x:c>
      <x:c r="DA727" s="23" t="n">
        <x:f>MAX(0,MIN('Activities'!L727,606)-MAX('Activities'!K727,600))</x:f>
        <x:v>0</x:v>
      </x:c>
      <x:c r="DB727" s="23" t="n">
        <x:f>MAX(0,MIN('Activities'!L727,612)-MAX('Activities'!K727,606))</x:f>
        <x:v>0</x:v>
      </x:c>
      <x:c r="DC727" s="23" t="n">
        <x:f>MAX(0,MIN('Activities'!L727,618)-MAX('Activities'!K727,612))</x:f>
        <x:v>0</x:v>
      </x:c>
      <x:c r="DD727" s="23" t="n">
        <x:f>MAX(0,MIN('Activities'!L727,624)-MAX('Activities'!K727,618))</x:f>
        <x:v>0</x:v>
      </x:c>
      <x:c r="DE727" s="23" t="n">
        <x:f>MAX(0,MIN('Activities'!L727,630)-MAX('Activities'!K727,624))</x:f>
        <x:v>0</x:v>
      </x:c>
      <x:c r="DF727" s="23" t="n">
        <x:f>MAX(0,MIN('Activities'!L727,636)-MAX('Activities'!K727,630))</x:f>
        <x:v>0</x:v>
      </x:c>
    </x:row>
    <x:row r="728" ht="23" customHeight="1">
      <x:c r="A728" s="6" t="str">
        <x:v>T6-L11-H</x:v>
      </x:c>
      <x:c r="B728" s="6" t="str">
        <x:v>T6</x:v>
      </x:c>
      <x:c r="C728" s="6" t="str">
        <x:v>Curing and release hold point</x:v>
      </x:c>
      <x:c r="D728" s="6" t="str">
        <x:v>Site</x:v>
      </x:c>
      <x:c r="E728" s="22" t="n">
        <x:f>MAX(0,MIN('Activities'!L728,6)-MAX('Activities'!K728,0))</x:f>
        <x:v>0</x:v>
      </x:c>
      <x:c r="F728" s="22" t="n">
        <x:f>MAX(0,MIN('Activities'!L728,12)-MAX('Activities'!K728,6))</x:f>
        <x:v>0</x:v>
      </x:c>
      <x:c r="G728" s="22" t="n">
        <x:f>MAX(0,MIN('Activities'!L728,18)-MAX('Activities'!K728,12))</x:f>
        <x:v>0</x:v>
      </x:c>
      <x:c r="H728" s="22" t="n">
        <x:f>MAX(0,MIN('Activities'!L728,24)-MAX('Activities'!K728,18))</x:f>
        <x:v>0</x:v>
      </x:c>
      <x:c r="I728" s="22" t="n">
        <x:f>MAX(0,MIN('Activities'!L728,30)-MAX('Activities'!K728,24))</x:f>
        <x:v>0</x:v>
      </x:c>
      <x:c r="J728" s="22" t="n">
        <x:f>MAX(0,MIN('Activities'!L728,36)-MAX('Activities'!K728,30))</x:f>
        <x:v>0</x:v>
      </x:c>
      <x:c r="K728" s="22" t="n">
        <x:f>MAX(0,MIN('Activities'!L728,42)-MAX('Activities'!K728,36))</x:f>
        <x:v>0</x:v>
      </x:c>
      <x:c r="L728" s="22" t="n">
        <x:f>MAX(0,MIN('Activities'!L728,48)-MAX('Activities'!K728,42))</x:f>
        <x:v>0</x:v>
      </x:c>
      <x:c r="M728" s="22" t="n">
        <x:f>MAX(0,MIN('Activities'!L728,54)-MAX('Activities'!K728,48))</x:f>
        <x:v>0</x:v>
      </x:c>
      <x:c r="N728" s="22" t="n">
        <x:f>MAX(0,MIN('Activities'!L728,60)-MAX('Activities'!K728,54))</x:f>
        <x:v>0</x:v>
      </x:c>
      <x:c r="O728" s="22" t="n">
        <x:f>MAX(0,MIN('Activities'!L728,66)-MAX('Activities'!K728,60))</x:f>
        <x:v>0</x:v>
      </x:c>
      <x:c r="P728" s="22" t="n">
        <x:f>MAX(0,MIN('Activities'!L728,72)-MAX('Activities'!K728,66))</x:f>
        <x:v>0</x:v>
      </x:c>
      <x:c r="Q728" s="22" t="n">
        <x:f>MAX(0,MIN('Activities'!L728,78)-MAX('Activities'!K728,72))</x:f>
        <x:v>0</x:v>
      </x:c>
      <x:c r="R728" s="22" t="n">
        <x:f>MAX(0,MIN('Activities'!L728,84)-MAX('Activities'!K728,78))</x:f>
        <x:v>0</x:v>
      </x:c>
      <x:c r="S728" s="22" t="n">
        <x:f>MAX(0,MIN('Activities'!L728,90)-MAX('Activities'!K728,84))</x:f>
        <x:v>0</x:v>
      </x:c>
      <x:c r="T728" s="22" t="n">
        <x:f>MAX(0,MIN('Activities'!L728,96)-MAX('Activities'!K728,90))</x:f>
        <x:v>0</x:v>
      </x:c>
      <x:c r="U728" s="22" t="n">
        <x:f>MAX(0,MIN('Activities'!L728,102)-MAX('Activities'!K728,96))</x:f>
        <x:v>0</x:v>
      </x:c>
      <x:c r="V728" s="22" t="n">
        <x:f>MAX(0,MIN('Activities'!L728,108)-MAX('Activities'!K728,102))</x:f>
        <x:v>0</x:v>
      </x:c>
      <x:c r="W728" s="22" t="n">
        <x:f>MAX(0,MIN('Activities'!L728,114)-MAX('Activities'!K728,108))</x:f>
        <x:v>0</x:v>
      </x:c>
      <x:c r="X728" s="22" t="n">
        <x:f>MAX(0,MIN('Activities'!L728,120)-MAX('Activities'!K728,114))</x:f>
        <x:v>0</x:v>
      </x:c>
      <x:c r="Y728" s="22" t="n">
        <x:f>MAX(0,MIN('Activities'!L728,126)-MAX('Activities'!K728,120))</x:f>
        <x:v>0</x:v>
      </x:c>
      <x:c r="Z728" s="22" t="n">
        <x:f>MAX(0,MIN('Activities'!L728,132)-MAX('Activities'!K728,126))</x:f>
        <x:v>0</x:v>
      </x:c>
      <x:c r="AA728" s="22" t="n">
        <x:f>MAX(0,MIN('Activities'!L728,138)-MAX('Activities'!K728,132))</x:f>
        <x:v>0</x:v>
      </x:c>
      <x:c r="AB728" s="22" t="n">
        <x:f>MAX(0,MIN('Activities'!L728,144)-MAX('Activities'!K728,138))</x:f>
        <x:v>0</x:v>
      </x:c>
      <x:c r="AC728" s="22" t="n">
        <x:f>MAX(0,MIN('Activities'!L728,150)-MAX('Activities'!K728,144))</x:f>
        <x:v>0</x:v>
      </x:c>
      <x:c r="AD728" s="22" t="n">
        <x:f>MAX(0,MIN('Activities'!L728,156)-MAX('Activities'!K728,150))</x:f>
        <x:v>0</x:v>
      </x:c>
      <x:c r="AE728" s="22" t="n">
        <x:f>MAX(0,MIN('Activities'!L728,162)-MAX('Activities'!K728,156))</x:f>
        <x:v>0</x:v>
      </x:c>
      <x:c r="AF728" s="22" t="n">
        <x:f>MAX(0,MIN('Activities'!L728,168)-MAX('Activities'!K728,162))</x:f>
        <x:v>0</x:v>
      </x:c>
      <x:c r="AG728" s="22" t="n">
        <x:f>MAX(0,MIN('Activities'!L728,174)-MAX('Activities'!K728,168))</x:f>
        <x:v>0</x:v>
      </x:c>
      <x:c r="AH728" s="22" t="n">
        <x:f>MAX(0,MIN('Activities'!L728,180)-MAX('Activities'!K728,174))</x:f>
        <x:v>0</x:v>
      </x:c>
      <x:c r="AI728" s="22" t="n">
        <x:f>MAX(0,MIN('Activities'!L728,186)-MAX('Activities'!K728,180))</x:f>
        <x:v>0</x:v>
      </x:c>
      <x:c r="AJ728" s="22" t="n">
        <x:f>MAX(0,MIN('Activities'!L728,192)-MAX('Activities'!K728,186))</x:f>
        <x:v>0</x:v>
      </x:c>
      <x:c r="AK728" s="22" t="n">
        <x:f>MAX(0,MIN('Activities'!L728,198)-MAX('Activities'!K728,192))</x:f>
        <x:v>0</x:v>
      </x:c>
      <x:c r="AL728" s="22" t="n">
        <x:f>MAX(0,MIN('Activities'!L728,204)-MAX('Activities'!K728,198))</x:f>
        <x:v>0</x:v>
      </x:c>
      <x:c r="AM728" s="22" t="n">
        <x:f>MAX(0,MIN('Activities'!L728,210)-MAX('Activities'!K728,204))</x:f>
        <x:v>0</x:v>
      </x:c>
      <x:c r="AN728" s="22" t="n">
        <x:f>MAX(0,MIN('Activities'!L728,216)-MAX('Activities'!K728,210))</x:f>
        <x:v>0</x:v>
      </x:c>
      <x:c r="AO728" s="22" t="n">
        <x:f>MAX(0,MIN('Activities'!L728,222)-MAX('Activities'!K728,216))</x:f>
        <x:v>0</x:v>
      </x:c>
      <x:c r="AP728" s="22" t="n">
        <x:f>MAX(0,MIN('Activities'!L728,228)-MAX('Activities'!K728,222))</x:f>
        <x:v>0</x:v>
      </x:c>
      <x:c r="AQ728" s="22" t="n">
        <x:f>MAX(0,MIN('Activities'!L728,234)-MAX('Activities'!K728,228))</x:f>
        <x:v>0</x:v>
      </x:c>
      <x:c r="AR728" s="22" t="n">
        <x:f>MAX(0,MIN('Activities'!L728,240)-MAX('Activities'!K728,234))</x:f>
        <x:v>0</x:v>
      </x:c>
      <x:c r="AS728" s="22" t="n">
        <x:f>MAX(0,MIN('Activities'!L728,246)-MAX('Activities'!K728,240))</x:f>
        <x:v>0</x:v>
      </x:c>
      <x:c r="AT728" s="22" t="n">
        <x:f>MAX(0,MIN('Activities'!L728,252)-MAX('Activities'!K728,246))</x:f>
        <x:v>0</x:v>
      </x:c>
      <x:c r="AU728" s="22" t="n">
        <x:f>MAX(0,MIN('Activities'!L728,258)-MAX('Activities'!K728,252))</x:f>
        <x:v>0</x:v>
      </x:c>
      <x:c r="AV728" s="22" t="n">
        <x:f>MAX(0,MIN('Activities'!L728,264)-MAX('Activities'!K728,258))</x:f>
        <x:v>0</x:v>
      </x:c>
      <x:c r="AW728" s="22" t="n">
        <x:f>MAX(0,MIN('Activities'!L728,270)-MAX('Activities'!K728,264))</x:f>
        <x:v>0</x:v>
      </x:c>
      <x:c r="AX728" s="22" t="n">
        <x:f>MAX(0,MIN('Activities'!L728,276)-MAX('Activities'!K728,270))</x:f>
        <x:v>0</x:v>
      </x:c>
      <x:c r="AY728" s="22" t="n">
        <x:f>MAX(0,MIN('Activities'!L728,282)-MAX('Activities'!K728,276))</x:f>
        <x:v>0</x:v>
      </x:c>
      <x:c r="AZ728" s="22" t="n">
        <x:f>MAX(0,MIN('Activities'!L728,288)-MAX('Activities'!K728,282))</x:f>
        <x:v>0</x:v>
      </x:c>
      <x:c r="BA728" s="22" t="n">
        <x:f>MAX(0,MIN('Activities'!L728,294)-MAX('Activities'!K728,288))</x:f>
        <x:v>0</x:v>
      </x:c>
      <x:c r="BB728" s="22" t="n">
        <x:f>MAX(0,MIN('Activities'!L728,300)-MAX('Activities'!K728,294))</x:f>
        <x:v>0</x:v>
      </x:c>
      <x:c r="BC728" s="22" t="n">
        <x:f>MAX(0,MIN('Activities'!L728,306)-MAX('Activities'!K728,300))</x:f>
        <x:v>0</x:v>
      </x:c>
      <x:c r="BD728" s="22" t="n">
        <x:f>MAX(0,MIN('Activities'!L728,312)-MAX('Activities'!K728,306))</x:f>
        <x:v>0</x:v>
      </x:c>
      <x:c r="BE728" s="22" t="n">
        <x:f>MAX(0,MIN('Activities'!L728,318)-MAX('Activities'!K728,312))</x:f>
        <x:v>0</x:v>
      </x:c>
      <x:c r="BF728" s="22" t="n">
        <x:f>MAX(0,MIN('Activities'!L728,324)-MAX('Activities'!K728,318))</x:f>
        <x:v>0</x:v>
      </x:c>
      <x:c r="BG728" s="22" t="n">
        <x:f>MAX(0,MIN('Activities'!L728,330)-MAX('Activities'!K728,324))</x:f>
        <x:v>0</x:v>
      </x:c>
      <x:c r="BH728" s="22" t="n">
        <x:f>MAX(0,MIN('Activities'!L728,336)-MAX('Activities'!K728,330))</x:f>
        <x:v>0</x:v>
      </x:c>
      <x:c r="BI728" s="22" t="n">
        <x:f>MAX(0,MIN('Activities'!L728,342)-MAX('Activities'!K728,336))</x:f>
        <x:v>0</x:v>
      </x:c>
      <x:c r="BJ728" s="22" t="n">
        <x:f>MAX(0,MIN('Activities'!L728,348)-MAX('Activities'!K728,342))</x:f>
        <x:v>0</x:v>
      </x:c>
      <x:c r="BK728" s="22" t="n">
        <x:f>MAX(0,MIN('Activities'!L728,354)-MAX('Activities'!K728,348))</x:f>
        <x:v>0</x:v>
      </x:c>
      <x:c r="BL728" s="22" t="n">
        <x:f>MAX(0,MIN('Activities'!L728,360)-MAX('Activities'!K728,354))</x:f>
        <x:v>0</x:v>
      </x:c>
      <x:c r="BM728" s="22" t="n">
        <x:f>MAX(0,MIN('Activities'!L728,366)-MAX('Activities'!K728,360))</x:f>
        <x:v>0</x:v>
      </x:c>
      <x:c r="BN728" s="22" t="n">
        <x:f>MAX(0,MIN('Activities'!L728,372)-MAX('Activities'!K728,366))</x:f>
        <x:v>0</x:v>
      </x:c>
      <x:c r="BO728" s="22" t="n">
        <x:f>MAX(0,MIN('Activities'!L728,378)-MAX('Activities'!K728,372))</x:f>
        <x:v>0</x:v>
      </x:c>
      <x:c r="BP728" s="22" t="n">
        <x:f>MAX(0,MIN('Activities'!L728,384)-MAX('Activities'!K728,378))</x:f>
        <x:v>0</x:v>
      </x:c>
      <x:c r="BQ728" s="22" t="n">
        <x:f>MAX(0,MIN('Activities'!L728,390)-MAX('Activities'!K728,384))</x:f>
        <x:v>0</x:v>
      </x:c>
      <x:c r="BR728" s="22" t="n">
        <x:f>MAX(0,MIN('Activities'!L728,396)-MAX('Activities'!K728,390))</x:f>
        <x:v>0</x:v>
      </x:c>
      <x:c r="BS728" s="22" t="n">
        <x:f>MAX(0,MIN('Activities'!L728,402)-MAX('Activities'!K728,396))</x:f>
        <x:v>0</x:v>
      </x:c>
      <x:c r="BT728" s="22" t="n">
        <x:f>MAX(0,MIN('Activities'!L728,408)-MAX('Activities'!K728,402))</x:f>
        <x:v>3</x:v>
      </x:c>
      <x:c r="BU728" s="22" t="n">
        <x:f>MAX(0,MIN('Activities'!L728,414)-MAX('Activities'!K728,408))</x:f>
        <x:v>2</x:v>
      </x:c>
      <x:c r="BV728" s="22" t="n">
        <x:f>MAX(0,MIN('Activities'!L728,420)-MAX('Activities'!K728,414))</x:f>
        <x:v>0</x:v>
      </x:c>
      <x:c r="BW728" s="22" t="n">
        <x:f>MAX(0,MIN('Activities'!L728,426)-MAX('Activities'!K728,420))</x:f>
        <x:v>0</x:v>
      </x:c>
      <x:c r="BX728" s="22" t="n">
        <x:f>MAX(0,MIN('Activities'!L728,432)-MAX('Activities'!K728,426))</x:f>
        <x:v>0</x:v>
      </x:c>
      <x:c r="BY728" s="22" t="n">
        <x:f>MAX(0,MIN('Activities'!L728,438)-MAX('Activities'!K728,432))</x:f>
        <x:v>0</x:v>
      </x:c>
      <x:c r="BZ728" s="22" t="n">
        <x:f>MAX(0,MIN('Activities'!L728,444)-MAX('Activities'!K728,438))</x:f>
        <x:v>0</x:v>
      </x:c>
      <x:c r="CA728" s="22" t="n">
        <x:f>MAX(0,MIN('Activities'!L728,450)-MAX('Activities'!K728,444))</x:f>
        <x:v>0</x:v>
      </x:c>
      <x:c r="CB728" s="22" t="n">
        <x:f>MAX(0,MIN('Activities'!L728,456)-MAX('Activities'!K728,450))</x:f>
        <x:v>0</x:v>
      </x:c>
      <x:c r="CC728" s="22" t="n">
        <x:f>MAX(0,MIN('Activities'!L728,462)-MAX('Activities'!K728,456))</x:f>
        <x:v>0</x:v>
      </x:c>
      <x:c r="CD728" s="22" t="n">
        <x:f>MAX(0,MIN('Activities'!L728,468)-MAX('Activities'!K728,462))</x:f>
        <x:v>0</x:v>
      </x:c>
      <x:c r="CE728" s="22" t="n">
        <x:f>MAX(0,MIN('Activities'!L728,474)-MAX('Activities'!K728,468))</x:f>
        <x:v>0</x:v>
      </x:c>
      <x:c r="CF728" s="22" t="n">
        <x:f>MAX(0,MIN('Activities'!L728,480)-MAX('Activities'!K728,474))</x:f>
        <x:v>0</x:v>
      </x:c>
      <x:c r="CG728" s="22" t="n">
        <x:f>MAX(0,MIN('Activities'!L728,486)-MAX('Activities'!K728,480))</x:f>
        <x:v>0</x:v>
      </x:c>
      <x:c r="CH728" s="22" t="n">
        <x:f>MAX(0,MIN('Activities'!L728,492)-MAX('Activities'!K728,486))</x:f>
        <x:v>0</x:v>
      </x:c>
      <x:c r="CI728" s="22" t="n">
        <x:f>MAX(0,MIN('Activities'!L728,498)-MAX('Activities'!K728,492))</x:f>
        <x:v>0</x:v>
      </x:c>
      <x:c r="CJ728" s="22" t="n">
        <x:f>MAX(0,MIN('Activities'!L728,504)-MAX('Activities'!K728,498))</x:f>
        <x:v>0</x:v>
      </x:c>
      <x:c r="CK728" s="22" t="n">
        <x:f>MAX(0,MIN('Activities'!L728,510)-MAX('Activities'!K728,504))</x:f>
        <x:v>0</x:v>
      </x:c>
      <x:c r="CL728" s="22" t="n">
        <x:f>MAX(0,MIN('Activities'!L728,516)-MAX('Activities'!K728,510))</x:f>
        <x:v>0</x:v>
      </x:c>
      <x:c r="CM728" s="22" t="n">
        <x:f>MAX(0,MIN('Activities'!L728,522)-MAX('Activities'!K728,516))</x:f>
        <x:v>0</x:v>
      </x:c>
      <x:c r="CN728" s="22" t="n">
        <x:f>MAX(0,MIN('Activities'!L728,528)-MAX('Activities'!K728,522))</x:f>
        <x:v>0</x:v>
      </x:c>
      <x:c r="CO728" s="22" t="n">
        <x:f>MAX(0,MIN('Activities'!L728,534)-MAX('Activities'!K728,528))</x:f>
        <x:v>0</x:v>
      </x:c>
      <x:c r="CP728" s="22" t="n">
        <x:f>MAX(0,MIN('Activities'!L728,540)-MAX('Activities'!K728,534))</x:f>
        <x:v>0</x:v>
      </x:c>
      <x:c r="CQ728" s="22" t="n">
        <x:f>MAX(0,MIN('Activities'!L728,546)-MAX('Activities'!K728,540))</x:f>
        <x:v>0</x:v>
      </x:c>
      <x:c r="CR728" s="22" t="n">
        <x:f>MAX(0,MIN('Activities'!L728,552)-MAX('Activities'!K728,546))</x:f>
        <x:v>0</x:v>
      </x:c>
      <x:c r="CS728" s="22" t="n">
        <x:f>MAX(0,MIN('Activities'!L728,558)-MAX('Activities'!K728,552))</x:f>
        <x:v>0</x:v>
      </x:c>
      <x:c r="CT728" s="22" t="n">
        <x:f>MAX(0,MIN('Activities'!L728,564)-MAX('Activities'!K728,558))</x:f>
        <x:v>0</x:v>
      </x:c>
      <x:c r="CU728" s="22" t="n">
        <x:f>MAX(0,MIN('Activities'!L728,570)-MAX('Activities'!K728,564))</x:f>
        <x:v>0</x:v>
      </x:c>
      <x:c r="CV728" s="22" t="n">
        <x:f>MAX(0,MIN('Activities'!L728,576)-MAX('Activities'!K728,570))</x:f>
        <x:v>0</x:v>
      </x:c>
      <x:c r="CW728" s="22" t="n">
        <x:f>MAX(0,MIN('Activities'!L728,582)-MAX('Activities'!K728,576))</x:f>
        <x:v>0</x:v>
      </x:c>
      <x:c r="CX728" s="22" t="n">
        <x:f>MAX(0,MIN('Activities'!L728,588)-MAX('Activities'!K728,582))</x:f>
        <x:v>0</x:v>
      </x:c>
      <x:c r="CY728" s="22" t="n">
        <x:f>MAX(0,MIN('Activities'!L728,594)-MAX('Activities'!K728,588))</x:f>
        <x:v>0</x:v>
      </x:c>
      <x:c r="CZ728" s="22" t="n">
        <x:f>MAX(0,MIN('Activities'!L728,600)-MAX('Activities'!K728,594))</x:f>
        <x:v>0</x:v>
      </x:c>
      <x:c r="DA728" s="22" t="n">
        <x:f>MAX(0,MIN('Activities'!L728,606)-MAX('Activities'!K728,600))</x:f>
        <x:v>0</x:v>
      </x:c>
      <x:c r="DB728" s="22" t="n">
        <x:f>MAX(0,MIN('Activities'!L728,612)-MAX('Activities'!K728,606))</x:f>
        <x:v>0</x:v>
      </x:c>
      <x:c r="DC728" s="22" t="n">
        <x:f>MAX(0,MIN('Activities'!L728,618)-MAX('Activities'!K728,612))</x:f>
        <x:v>0</x:v>
      </x:c>
      <x:c r="DD728" s="22" t="n">
        <x:f>MAX(0,MIN('Activities'!L728,624)-MAX('Activities'!K728,618))</x:f>
        <x:v>0</x:v>
      </x:c>
      <x:c r="DE728" s="22" t="n">
        <x:f>MAX(0,MIN('Activities'!L728,630)-MAX('Activities'!K728,624))</x:f>
        <x:v>0</x:v>
      </x:c>
      <x:c r="DF728" s="22" t="n">
        <x:f>MAX(0,MIN('Activities'!L728,636)-MAX('Activities'!K728,630))</x:f>
        <x:v>0</x:v>
      </x:c>
    </x:row>
    <x:row r="729" ht="23" customHeight="1">
      <x:c r="A729" s="1" t="str">
        <x:v>T6-L12-F</x:v>
      </x:c>
      <x:c r="B729" s="1" t="str">
        <x:v>T6</x:v>
      </x:c>
      <x:c r="C729" s="1" t="str">
        <x:v>Columns, core and deck formwork</x:v>
      </x:c>
      <x:c r="D729" s="1" t="str">
        <x:v>Formwork</x:v>
      </x:c>
      <x:c r="E729" s="23" t="n">
        <x:f>MAX(0,MIN('Activities'!L729,6)-MAX('Activities'!K729,0))</x:f>
        <x:v>0</x:v>
      </x:c>
      <x:c r="F729" s="23" t="n">
        <x:f>MAX(0,MIN('Activities'!L729,12)-MAX('Activities'!K729,6))</x:f>
        <x:v>0</x:v>
      </x:c>
      <x:c r="G729" s="23" t="n">
        <x:f>MAX(0,MIN('Activities'!L729,18)-MAX('Activities'!K729,12))</x:f>
        <x:v>0</x:v>
      </x:c>
      <x:c r="H729" s="23" t="n">
        <x:f>MAX(0,MIN('Activities'!L729,24)-MAX('Activities'!K729,18))</x:f>
        <x:v>0</x:v>
      </x:c>
      <x:c r="I729" s="23" t="n">
        <x:f>MAX(0,MIN('Activities'!L729,30)-MAX('Activities'!K729,24))</x:f>
        <x:v>0</x:v>
      </x:c>
      <x:c r="J729" s="23" t="n">
        <x:f>MAX(0,MIN('Activities'!L729,36)-MAX('Activities'!K729,30))</x:f>
        <x:v>0</x:v>
      </x:c>
      <x:c r="K729" s="23" t="n">
        <x:f>MAX(0,MIN('Activities'!L729,42)-MAX('Activities'!K729,36))</x:f>
        <x:v>0</x:v>
      </x:c>
      <x:c r="L729" s="23" t="n">
        <x:f>MAX(0,MIN('Activities'!L729,48)-MAX('Activities'!K729,42))</x:f>
        <x:v>0</x:v>
      </x:c>
      <x:c r="M729" s="23" t="n">
        <x:f>MAX(0,MIN('Activities'!L729,54)-MAX('Activities'!K729,48))</x:f>
        <x:v>0</x:v>
      </x:c>
      <x:c r="N729" s="23" t="n">
        <x:f>MAX(0,MIN('Activities'!L729,60)-MAX('Activities'!K729,54))</x:f>
        <x:v>0</x:v>
      </x:c>
      <x:c r="O729" s="23" t="n">
        <x:f>MAX(0,MIN('Activities'!L729,66)-MAX('Activities'!K729,60))</x:f>
        <x:v>0</x:v>
      </x:c>
      <x:c r="P729" s="23" t="n">
        <x:f>MAX(0,MIN('Activities'!L729,72)-MAX('Activities'!K729,66))</x:f>
        <x:v>0</x:v>
      </x:c>
      <x:c r="Q729" s="23" t="n">
        <x:f>MAX(0,MIN('Activities'!L729,78)-MAX('Activities'!K729,72))</x:f>
        <x:v>0</x:v>
      </x:c>
      <x:c r="R729" s="23" t="n">
        <x:f>MAX(0,MIN('Activities'!L729,84)-MAX('Activities'!K729,78))</x:f>
        <x:v>0</x:v>
      </x:c>
      <x:c r="S729" s="23" t="n">
        <x:f>MAX(0,MIN('Activities'!L729,90)-MAX('Activities'!K729,84))</x:f>
        <x:v>0</x:v>
      </x:c>
      <x:c r="T729" s="23" t="n">
        <x:f>MAX(0,MIN('Activities'!L729,96)-MAX('Activities'!K729,90))</x:f>
        <x:v>0</x:v>
      </x:c>
      <x:c r="U729" s="23" t="n">
        <x:f>MAX(0,MIN('Activities'!L729,102)-MAX('Activities'!K729,96))</x:f>
        <x:v>0</x:v>
      </x:c>
      <x:c r="V729" s="23" t="n">
        <x:f>MAX(0,MIN('Activities'!L729,108)-MAX('Activities'!K729,102))</x:f>
        <x:v>0</x:v>
      </x:c>
      <x:c r="W729" s="23" t="n">
        <x:f>MAX(0,MIN('Activities'!L729,114)-MAX('Activities'!K729,108))</x:f>
        <x:v>0</x:v>
      </x:c>
      <x:c r="X729" s="23" t="n">
        <x:f>MAX(0,MIN('Activities'!L729,120)-MAX('Activities'!K729,114))</x:f>
        <x:v>0</x:v>
      </x:c>
      <x:c r="Y729" s="23" t="n">
        <x:f>MAX(0,MIN('Activities'!L729,126)-MAX('Activities'!K729,120))</x:f>
        <x:v>0</x:v>
      </x:c>
      <x:c r="Z729" s="23" t="n">
        <x:f>MAX(0,MIN('Activities'!L729,132)-MAX('Activities'!K729,126))</x:f>
        <x:v>0</x:v>
      </x:c>
      <x:c r="AA729" s="23" t="n">
        <x:f>MAX(0,MIN('Activities'!L729,138)-MAX('Activities'!K729,132))</x:f>
        <x:v>0</x:v>
      </x:c>
      <x:c r="AB729" s="23" t="n">
        <x:f>MAX(0,MIN('Activities'!L729,144)-MAX('Activities'!K729,138))</x:f>
        <x:v>0</x:v>
      </x:c>
      <x:c r="AC729" s="23" t="n">
        <x:f>MAX(0,MIN('Activities'!L729,150)-MAX('Activities'!K729,144))</x:f>
        <x:v>0</x:v>
      </x:c>
      <x:c r="AD729" s="23" t="n">
        <x:f>MAX(0,MIN('Activities'!L729,156)-MAX('Activities'!K729,150))</x:f>
        <x:v>0</x:v>
      </x:c>
      <x:c r="AE729" s="23" t="n">
        <x:f>MAX(0,MIN('Activities'!L729,162)-MAX('Activities'!K729,156))</x:f>
        <x:v>0</x:v>
      </x:c>
      <x:c r="AF729" s="23" t="n">
        <x:f>MAX(0,MIN('Activities'!L729,168)-MAX('Activities'!K729,162))</x:f>
        <x:v>0</x:v>
      </x:c>
      <x:c r="AG729" s="23" t="n">
        <x:f>MAX(0,MIN('Activities'!L729,174)-MAX('Activities'!K729,168))</x:f>
        <x:v>0</x:v>
      </x:c>
      <x:c r="AH729" s="23" t="n">
        <x:f>MAX(0,MIN('Activities'!L729,180)-MAX('Activities'!K729,174))</x:f>
        <x:v>0</x:v>
      </x:c>
      <x:c r="AI729" s="23" t="n">
        <x:f>MAX(0,MIN('Activities'!L729,186)-MAX('Activities'!K729,180))</x:f>
        <x:v>0</x:v>
      </x:c>
      <x:c r="AJ729" s="23" t="n">
        <x:f>MAX(0,MIN('Activities'!L729,192)-MAX('Activities'!K729,186))</x:f>
        <x:v>0</x:v>
      </x:c>
      <x:c r="AK729" s="23" t="n">
        <x:f>MAX(0,MIN('Activities'!L729,198)-MAX('Activities'!K729,192))</x:f>
        <x:v>0</x:v>
      </x:c>
      <x:c r="AL729" s="23" t="n">
        <x:f>MAX(0,MIN('Activities'!L729,204)-MAX('Activities'!K729,198))</x:f>
        <x:v>0</x:v>
      </x:c>
      <x:c r="AM729" s="23" t="n">
        <x:f>MAX(0,MIN('Activities'!L729,210)-MAX('Activities'!K729,204))</x:f>
        <x:v>0</x:v>
      </x:c>
      <x:c r="AN729" s="23" t="n">
        <x:f>MAX(0,MIN('Activities'!L729,216)-MAX('Activities'!K729,210))</x:f>
        <x:v>0</x:v>
      </x:c>
      <x:c r="AO729" s="23" t="n">
        <x:f>MAX(0,MIN('Activities'!L729,222)-MAX('Activities'!K729,216))</x:f>
        <x:v>0</x:v>
      </x:c>
      <x:c r="AP729" s="23" t="n">
        <x:f>MAX(0,MIN('Activities'!L729,228)-MAX('Activities'!K729,222))</x:f>
        <x:v>0</x:v>
      </x:c>
      <x:c r="AQ729" s="23" t="n">
        <x:f>MAX(0,MIN('Activities'!L729,234)-MAX('Activities'!K729,228))</x:f>
        <x:v>0</x:v>
      </x:c>
      <x:c r="AR729" s="23" t="n">
        <x:f>MAX(0,MIN('Activities'!L729,240)-MAX('Activities'!K729,234))</x:f>
        <x:v>0</x:v>
      </x:c>
      <x:c r="AS729" s="23" t="n">
        <x:f>MAX(0,MIN('Activities'!L729,246)-MAX('Activities'!K729,240))</x:f>
        <x:v>0</x:v>
      </x:c>
      <x:c r="AT729" s="23" t="n">
        <x:f>MAX(0,MIN('Activities'!L729,252)-MAX('Activities'!K729,246))</x:f>
        <x:v>0</x:v>
      </x:c>
      <x:c r="AU729" s="23" t="n">
        <x:f>MAX(0,MIN('Activities'!L729,258)-MAX('Activities'!K729,252))</x:f>
        <x:v>0</x:v>
      </x:c>
      <x:c r="AV729" s="23" t="n">
        <x:f>MAX(0,MIN('Activities'!L729,264)-MAX('Activities'!K729,258))</x:f>
        <x:v>0</x:v>
      </x:c>
      <x:c r="AW729" s="23" t="n">
        <x:f>MAX(0,MIN('Activities'!L729,270)-MAX('Activities'!K729,264))</x:f>
        <x:v>0</x:v>
      </x:c>
      <x:c r="AX729" s="23" t="n">
        <x:f>MAX(0,MIN('Activities'!L729,276)-MAX('Activities'!K729,270))</x:f>
        <x:v>0</x:v>
      </x:c>
      <x:c r="AY729" s="23" t="n">
        <x:f>MAX(0,MIN('Activities'!L729,282)-MAX('Activities'!K729,276))</x:f>
        <x:v>0</x:v>
      </x:c>
      <x:c r="AZ729" s="23" t="n">
        <x:f>MAX(0,MIN('Activities'!L729,288)-MAX('Activities'!K729,282))</x:f>
        <x:v>0</x:v>
      </x:c>
      <x:c r="BA729" s="23" t="n">
        <x:f>MAX(0,MIN('Activities'!L729,294)-MAX('Activities'!K729,288))</x:f>
        <x:v>0</x:v>
      </x:c>
      <x:c r="BB729" s="23" t="n">
        <x:f>MAX(0,MIN('Activities'!L729,300)-MAX('Activities'!K729,294))</x:f>
        <x:v>0</x:v>
      </x:c>
      <x:c r="BC729" s="23" t="n">
        <x:f>MAX(0,MIN('Activities'!L729,306)-MAX('Activities'!K729,300))</x:f>
        <x:v>0</x:v>
      </x:c>
      <x:c r="BD729" s="23" t="n">
        <x:f>MAX(0,MIN('Activities'!L729,312)-MAX('Activities'!K729,306))</x:f>
        <x:v>0</x:v>
      </x:c>
      <x:c r="BE729" s="23" t="n">
        <x:f>MAX(0,MIN('Activities'!L729,318)-MAX('Activities'!K729,312))</x:f>
        <x:v>0</x:v>
      </x:c>
      <x:c r="BF729" s="23" t="n">
        <x:f>MAX(0,MIN('Activities'!L729,324)-MAX('Activities'!K729,318))</x:f>
        <x:v>0</x:v>
      </x:c>
      <x:c r="BG729" s="23" t="n">
        <x:f>MAX(0,MIN('Activities'!L729,330)-MAX('Activities'!K729,324))</x:f>
        <x:v>0</x:v>
      </x:c>
      <x:c r="BH729" s="23" t="n">
        <x:f>MAX(0,MIN('Activities'!L729,336)-MAX('Activities'!K729,330))</x:f>
        <x:v>0</x:v>
      </x:c>
      <x:c r="BI729" s="23" t="n">
        <x:f>MAX(0,MIN('Activities'!L729,342)-MAX('Activities'!K729,336))</x:f>
        <x:v>0</x:v>
      </x:c>
      <x:c r="BJ729" s="23" t="n">
        <x:f>MAX(0,MIN('Activities'!L729,348)-MAX('Activities'!K729,342))</x:f>
        <x:v>0</x:v>
      </x:c>
      <x:c r="BK729" s="23" t="n">
        <x:f>MAX(0,MIN('Activities'!L729,354)-MAX('Activities'!K729,348))</x:f>
        <x:v>0</x:v>
      </x:c>
      <x:c r="BL729" s="23" t="n">
        <x:f>MAX(0,MIN('Activities'!L729,360)-MAX('Activities'!K729,354))</x:f>
        <x:v>0</x:v>
      </x:c>
      <x:c r="BM729" s="23" t="n">
        <x:f>MAX(0,MIN('Activities'!L729,366)-MAX('Activities'!K729,360))</x:f>
        <x:v>0</x:v>
      </x:c>
      <x:c r="BN729" s="23" t="n">
        <x:f>MAX(0,MIN('Activities'!L729,372)-MAX('Activities'!K729,366))</x:f>
        <x:v>0</x:v>
      </x:c>
      <x:c r="BO729" s="23" t="n">
        <x:f>MAX(0,MIN('Activities'!L729,378)-MAX('Activities'!K729,372))</x:f>
        <x:v>0</x:v>
      </x:c>
      <x:c r="BP729" s="23" t="n">
        <x:f>MAX(0,MIN('Activities'!L729,384)-MAX('Activities'!K729,378))</x:f>
        <x:v>0</x:v>
      </x:c>
      <x:c r="BQ729" s="23" t="n">
        <x:f>MAX(0,MIN('Activities'!L729,390)-MAX('Activities'!K729,384))</x:f>
        <x:v>0</x:v>
      </x:c>
      <x:c r="BR729" s="23" t="n">
        <x:f>MAX(0,MIN('Activities'!L729,396)-MAX('Activities'!K729,390))</x:f>
        <x:v>0</x:v>
      </x:c>
      <x:c r="BS729" s="23" t="n">
        <x:f>MAX(0,MIN('Activities'!L729,402)-MAX('Activities'!K729,396))</x:f>
        <x:v>0</x:v>
      </x:c>
      <x:c r="BT729" s="23" t="n">
        <x:f>MAX(0,MIN('Activities'!L729,408)-MAX('Activities'!K729,402))</x:f>
        <x:v>0</x:v>
      </x:c>
      <x:c r="BU729" s="23" t="n">
        <x:f>MAX(0,MIN('Activities'!L729,414)-MAX('Activities'!K729,408))</x:f>
        <x:v>4</x:v>
      </x:c>
      <x:c r="BV729" s="23" t="n">
        <x:f>MAX(0,MIN('Activities'!L729,420)-MAX('Activities'!K729,414))</x:f>
        <x:v>2</x:v>
      </x:c>
      <x:c r="BW729" s="23" t="n">
        <x:f>MAX(0,MIN('Activities'!L729,426)-MAX('Activities'!K729,420))</x:f>
        <x:v>0</x:v>
      </x:c>
      <x:c r="BX729" s="23" t="n">
        <x:f>MAX(0,MIN('Activities'!L729,432)-MAX('Activities'!K729,426))</x:f>
        <x:v>0</x:v>
      </x:c>
      <x:c r="BY729" s="23" t="n">
        <x:f>MAX(0,MIN('Activities'!L729,438)-MAX('Activities'!K729,432))</x:f>
        <x:v>0</x:v>
      </x:c>
      <x:c r="BZ729" s="23" t="n">
        <x:f>MAX(0,MIN('Activities'!L729,444)-MAX('Activities'!K729,438))</x:f>
        <x:v>0</x:v>
      </x:c>
      <x:c r="CA729" s="23" t="n">
        <x:f>MAX(0,MIN('Activities'!L729,450)-MAX('Activities'!K729,444))</x:f>
        <x:v>0</x:v>
      </x:c>
      <x:c r="CB729" s="23" t="n">
        <x:f>MAX(0,MIN('Activities'!L729,456)-MAX('Activities'!K729,450))</x:f>
        <x:v>0</x:v>
      </x:c>
      <x:c r="CC729" s="23" t="n">
        <x:f>MAX(0,MIN('Activities'!L729,462)-MAX('Activities'!K729,456))</x:f>
        <x:v>0</x:v>
      </x:c>
      <x:c r="CD729" s="23" t="n">
        <x:f>MAX(0,MIN('Activities'!L729,468)-MAX('Activities'!K729,462))</x:f>
        <x:v>0</x:v>
      </x:c>
      <x:c r="CE729" s="23" t="n">
        <x:f>MAX(0,MIN('Activities'!L729,474)-MAX('Activities'!K729,468))</x:f>
        <x:v>0</x:v>
      </x:c>
      <x:c r="CF729" s="23" t="n">
        <x:f>MAX(0,MIN('Activities'!L729,480)-MAX('Activities'!K729,474))</x:f>
        <x:v>0</x:v>
      </x:c>
      <x:c r="CG729" s="23" t="n">
        <x:f>MAX(0,MIN('Activities'!L729,486)-MAX('Activities'!K729,480))</x:f>
        <x:v>0</x:v>
      </x:c>
      <x:c r="CH729" s="23" t="n">
        <x:f>MAX(0,MIN('Activities'!L729,492)-MAX('Activities'!K729,486))</x:f>
        <x:v>0</x:v>
      </x:c>
      <x:c r="CI729" s="23" t="n">
        <x:f>MAX(0,MIN('Activities'!L729,498)-MAX('Activities'!K729,492))</x:f>
        <x:v>0</x:v>
      </x:c>
      <x:c r="CJ729" s="23" t="n">
        <x:f>MAX(0,MIN('Activities'!L729,504)-MAX('Activities'!K729,498))</x:f>
        <x:v>0</x:v>
      </x:c>
      <x:c r="CK729" s="23" t="n">
        <x:f>MAX(0,MIN('Activities'!L729,510)-MAX('Activities'!K729,504))</x:f>
        <x:v>0</x:v>
      </x:c>
      <x:c r="CL729" s="23" t="n">
        <x:f>MAX(0,MIN('Activities'!L729,516)-MAX('Activities'!K729,510))</x:f>
        <x:v>0</x:v>
      </x:c>
      <x:c r="CM729" s="23" t="n">
        <x:f>MAX(0,MIN('Activities'!L729,522)-MAX('Activities'!K729,516))</x:f>
        <x:v>0</x:v>
      </x:c>
      <x:c r="CN729" s="23" t="n">
        <x:f>MAX(0,MIN('Activities'!L729,528)-MAX('Activities'!K729,522))</x:f>
        <x:v>0</x:v>
      </x:c>
      <x:c r="CO729" s="23" t="n">
        <x:f>MAX(0,MIN('Activities'!L729,534)-MAX('Activities'!K729,528))</x:f>
        <x:v>0</x:v>
      </x:c>
      <x:c r="CP729" s="23" t="n">
        <x:f>MAX(0,MIN('Activities'!L729,540)-MAX('Activities'!K729,534))</x:f>
        <x:v>0</x:v>
      </x:c>
      <x:c r="CQ729" s="23" t="n">
        <x:f>MAX(0,MIN('Activities'!L729,546)-MAX('Activities'!K729,540))</x:f>
        <x:v>0</x:v>
      </x:c>
      <x:c r="CR729" s="23" t="n">
        <x:f>MAX(0,MIN('Activities'!L729,552)-MAX('Activities'!K729,546))</x:f>
        <x:v>0</x:v>
      </x:c>
      <x:c r="CS729" s="23" t="n">
        <x:f>MAX(0,MIN('Activities'!L729,558)-MAX('Activities'!K729,552))</x:f>
        <x:v>0</x:v>
      </x:c>
      <x:c r="CT729" s="23" t="n">
        <x:f>MAX(0,MIN('Activities'!L729,564)-MAX('Activities'!K729,558))</x:f>
        <x:v>0</x:v>
      </x:c>
      <x:c r="CU729" s="23" t="n">
        <x:f>MAX(0,MIN('Activities'!L729,570)-MAX('Activities'!K729,564))</x:f>
        <x:v>0</x:v>
      </x:c>
      <x:c r="CV729" s="23" t="n">
        <x:f>MAX(0,MIN('Activities'!L729,576)-MAX('Activities'!K729,570))</x:f>
        <x:v>0</x:v>
      </x:c>
      <x:c r="CW729" s="23" t="n">
        <x:f>MAX(0,MIN('Activities'!L729,582)-MAX('Activities'!K729,576))</x:f>
        <x:v>0</x:v>
      </x:c>
      <x:c r="CX729" s="23" t="n">
        <x:f>MAX(0,MIN('Activities'!L729,588)-MAX('Activities'!K729,582))</x:f>
        <x:v>0</x:v>
      </x:c>
      <x:c r="CY729" s="23" t="n">
        <x:f>MAX(0,MIN('Activities'!L729,594)-MAX('Activities'!K729,588))</x:f>
        <x:v>0</x:v>
      </x:c>
      <x:c r="CZ729" s="23" t="n">
        <x:f>MAX(0,MIN('Activities'!L729,600)-MAX('Activities'!K729,594))</x:f>
        <x:v>0</x:v>
      </x:c>
      <x:c r="DA729" s="23" t="n">
        <x:f>MAX(0,MIN('Activities'!L729,606)-MAX('Activities'!K729,600))</x:f>
        <x:v>0</x:v>
      </x:c>
      <x:c r="DB729" s="23" t="n">
        <x:f>MAX(0,MIN('Activities'!L729,612)-MAX('Activities'!K729,606))</x:f>
        <x:v>0</x:v>
      </x:c>
      <x:c r="DC729" s="23" t="n">
        <x:f>MAX(0,MIN('Activities'!L729,618)-MAX('Activities'!K729,612))</x:f>
        <x:v>0</x:v>
      </x:c>
      <x:c r="DD729" s="23" t="n">
        <x:f>MAX(0,MIN('Activities'!L729,624)-MAX('Activities'!K729,618))</x:f>
        <x:v>0</x:v>
      </x:c>
      <x:c r="DE729" s="23" t="n">
        <x:f>MAX(0,MIN('Activities'!L729,630)-MAX('Activities'!K729,624))</x:f>
        <x:v>0</x:v>
      </x:c>
      <x:c r="DF729" s="23" t="n">
        <x:f>MAX(0,MIN('Activities'!L729,636)-MAX('Activities'!K729,630))</x:f>
        <x:v>0</x:v>
      </x:c>
    </x:row>
    <x:row r="730" ht="23" customHeight="1">
      <x:c r="A730" s="6" t="str">
        <x:v>T6-L12-R</x:v>
      </x:c>
      <x:c r="B730" s="6" t="str">
        <x:v>T6</x:v>
      </x:c>
      <x:c r="C730" s="6" t="str">
        <x:v>Column, wall, beam and slab reinforcement</x:v>
      </x:c>
      <x:c r="D730" s="6" t="str">
        <x:v>Rebar</x:v>
      </x:c>
      <x:c r="E730" s="22" t="n">
        <x:f>MAX(0,MIN('Activities'!L730,6)-MAX('Activities'!K730,0))</x:f>
        <x:v>0</x:v>
      </x:c>
      <x:c r="F730" s="22" t="n">
        <x:f>MAX(0,MIN('Activities'!L730,12)-MAX('Activities'!K730,6))</x:f>
        <x:v>0</x:v>
      </x:c>
      <x:c r="G730" s="22" t="n">
        <x:f>MAX(0,MIN('Activities'!L730,18)-MAX('Activities'!K730,12))</x:f>
        <x:v>0</x:v>
      </x:c>
      <x:c r="H730" s="22" t="n">
        <x:f>MAX(0,MIN('Activities'!L730,24)-MAX('Activities'!K730,18))</x:f>
        <x:v>0</x:v>
      </x:c>
      <x:c r="I730" s="22" t="n">
        <x:f>MAX(0,MIN('Activities'!L730,30)-MAX('Activities'!K730,24))</x:f>
        <x:v>0</x:v>
      </x:c>
      <x:c r="J730" s="22" t="n">
        <x:f>MAX(0,MIN('Activities'!L730,36)-MAX('Activities'!K730,30))</x:f>
        <x:v>0</x:v>
      </x:c>
      <x:c r="K730" s="22" t="n">
        <x:f>MAX(0,MIN('Activities'!L730,42)-MAX('Activities'!K730,36))</x:f>
        <x:v>0</x:v>
      </x:c>
      <x:c r="L730" s="22" t="n">
        <x:f>MAX(0,MIN('Activities'!L730,48)-MAX('Activities'!K730,42))</x:f>
        <x:v>0</x:v>
      </x:c>
      <x:c r="M730" s="22" t="n">
        <x:f>MAX(0,MIN('Activities'!L730,54)-MAX('Activities'!K730,48))</x:f>
        <x:v>0</x:v>
      </x:c>
      <x:c r="N730" s="22" t="n">
        <x:f>MAX(0,MIN('Activities'!L730,60)-MAX('Activities'!K730,54))</x:f>
        <x:v>0</x:v>
      </x:c>
      <x:c r="O730" s="22" t="n">
        <x:f>MAX(0,MIN('Activities'!L730,66)-MAX('Activities'!K730,60))</x:f>
        <x:v>0</x:v>
      </x:c>
      <x:c r="P730" s="22" t="n">
        <x:f>MAX(0,MIN('Activities'!L730,72)-MAX('Activities'!K730,66))</x:f>
        <x:v>0</x:v>
      </x:c>
      <x:c r="Q730" s="22" t="n">
        <x:f>MAX(0,MIN('Activities'!L730,78)-MAX('Activities'!K730,72))</x:f>
        <x:v>0</x:v>
      </x:c>
      <x:c r="R730" s="22" t="n">
        <x:f>MAX(0,MIN('Activities'!L730,84)-MAX('Activities'!K730,78))</x:f>
        <x:v>0</x:v>
      </x:c>
      <x:c r="S730" s="22" t="n">
        <x:f>MAX(0,MIN('Activities'!L730,90)-MAX('Activities'!K730,84))</x:f>
        <x:v>0</x:v>
      </x:c>
      <x:c r="T730" s="22" t="n">
        <x:f>MAX(0,MIN('Activities'!L730,96)-MAX('Activities'!K730,90))</x:f>
        <x:v>0</x:v>
      </x:c>
      <x:c r="U730" s="22" t="n">
        <x:f>MAX(0,MIN('Activities'!L730,102)-MAX('Activities'!K730,96))</x:f>
        <x:v>0</x:v>
      </x:c>
      <x:c r="V730" s="22" t="n">
        <x:f>MAX(0,MIN('Activities'!L730,108)-MAX('Activities'!K730,102))</x:f>
        <x:v>0</x:v>
      </x:c>
      <x:c r="W730" s="22" t="n">
        <x:f>MAX(0,MIN('Activities'!L730,114)-MAX('Activities'!K730,108))</x:f>
        <x:v>0</x:v>
      </x:c>
      <x:c r="X730" s="22" t="n">
        <x:f>MAX(0,MIN('Activities'!L730,120)-MAX('Activities'!K730,114))</x:f>
        <x:v>0</x:v>
      </x:c>
      <x:c r="Y730" s="22" t="n">
        <x:f>MAX(0,MIN('Activities'!L730,126)-MAX('Activities'!K730,120))</x:f>
        <x:v>0</x:v>
      </x:c>
      <x:c r="Z730" s="22" t="n">
        <x:f>MAX(0,MIN('Activities'!L730,132)-MAX('Activities'!K730,126))</x:f>
        <x:v>0</x:v>
      </x:c>
      <x:c r="AA730" s="22" t="n">
        <x:f>MAX(0,MIN('Activities'!L730,138)-MAX('Activities'!K730,132))</x:f>
        <x:v>0</x:v>
      </x:c>
      <x:c r="AB730" s="22" t="n">
        <x:f>MAX(0,MIN('Activities'!L730,144)-MAX('Activities'!K730,138))</x:f>
        <x:v>0</x:v>
      </x:c>
      <x:c r="AC730" s="22" t="n">
        <x:f>MAX(0,MIN('Activities'!L730,150)-MAX('Activities'!K730,144))</x:f>
        <x:v>0</x:v>
      </x:c>
      <x:c r="AD730" s="22" t="n">
        <x:f>MAX(0,MIN('Activities'!L730,156)-MAX('Activities'!K730,150))</x:f>
        <x:v>0</x:v>
      </x:c>
      <x:c r="AE730" s="22" t="n">
        <x:f>MAX(0,MIN('Activities'!L730,162)-MAX('Activities'!K730,156))</x:f>
        <x:v>0</x:v>
      </x:c>
      <x:c r="AF730" s="22" t="n">
        <x:f>MAX(0,MIN('Activities'!L730,168)-MAX('Activities'!K730,162))</x:f>
        <x:v>0</x:v>
      </x:c>
      <x:c r="AG730" s="22" t="n">
        <x:f>MAX(0,MIN('Activities'!L730,174)-MAX('Activities'!K730,168))</x:f>
        <x:v>0</x:v>
      </x:c>
      <x:c r="AH730" s="22" t="n">
        <x:f>MAX(0,MIN('Activities'!L730,180)-MAX('Activities'!K730,174))</x:f>
        <x:v>0</x:v>
      </x:c>
      <x:c r="AI730" s="22" t="n">
        <x:f>MAX(0,MIN('Activities'!L730,186)-MAX('Activities'!K730,180))</x:f>
        <x:v>0</x:v>
      </x:c>
      <x:c r="AJ730" s="22" t="n">
        <x:f>MAX(0,MIN('Activities'!L730,192)-MAX('Activities'!K730,186))</x:f>
        <x:v>0</x:v>
      </x:c>
      <x:c r="AK730" s="22" t="n">
        <x:f>MAX(0,MIN('Activities'!L730,198)-MAX('Activities'!K730,192))</x:f>
        <x:v>0</x:v>
      </x:c>
      <x:c r="AL730" s="22" t="n">
        <x:f>MAX(0,MIN('Activities'!L730,204)-MAX('Activities'!K730,198))</x:f>
        <x:v>0</x:v>
      </x:c>
      <x:c r="AM730" s="22" t="n">
        <x:f>MAX(0,MIN('Activities'!L730,210)-MAX('Activities'!K730,204))</x:f>
        <x:v>0</x:v>
      </x:c>
      <x:c r="AN730" s="22" t="n">
        <x:f>MAX(0,MIN('Activities'!L730,216)-MAX('Activities'!K730,210))</x:f>
        <x:v>0</x:v>
      </x:c>
      <x:c r="AO730" s="22" t="n">
        <x:f>MAX(0,MIN('Activities'!L730,222)-MAX('Activities'!K730,216))</x:f>
        <x:v>0</x:v>
      </x:c>
      <x:c r="AP730" s="22" t="n">
        <x:f>MAX(0,MIN('Activities'!L730,228)-MAX('Activities'!K730,222))</x:f>
        <x:v>0</x:v>
      </x:c>
      <x:c r="AQ730" s="22" t="n">
        <x:f>MAX(0,MIN('Activities'!L730,234)-MAX('Activities'!K730,228))</x:f>
        <x:v>0</x:v>
      </x:c>
      <x:c r="AR730" s="22" t="n">
        <x:f>MAX(0,MIN('Activities'!L730,240)-MAX('Activities'!K730,234))</x:f>
        <x:v>0</x:v>
      </x:c>
      <x:c r="AS730" s="22" t="n">
        <x:f>MAX(0,MIN('Activities'!L730,246)-MAX('Activities'!K730,240))</x:f>
        <x:v>0</x:v>
      </x:c>
      <x:c r="AT730" s="22" t="n">
        <x:f>MAX(0,MIN('Activities'!L730,252)-MAX('Activities'!K730,246))</x:f>
        <x:v>0</x:v>
      </x:c>
      <x:c r="AU730" s="22" t="n">
        <x:f>MAX(0,MIN('Activities'!L730,258)-MAX('Activities'!K730,252))</x:f>
        <x:v>0</x:v>
      </x:c>
      <x:c r="AV730" s="22" t="n">
        <x:f>MAX(0,MIN('Activities'!L730,264)-MAX('Activities'!K730,258))</x:f>
        <x:v>0</x:v>
      </x:c>
      <x:c r="AW730" s="22" t="n">
        <x:f>MAX(0,MIN('Activities'!L730,270)-MAX('Activities'!K730,264))</x:f>
        <x:v>0</x:v>
      </x:c>
      <x:c r="AX730" s="22" t="n">
        <x:f>MAX(0,MIN('Activities'!L730,276)-MAX('Activities'!K730,270))</x:f>
        <x:v>0</x:v>
      </x:c>
      <x:c r="AY730" s="22" t="n">
        <x:f>MAX(0,MIN('Activities'!L730,282)-MAX('Activities'!K730,276))</x:f>
        <x:v>0</x:v>
      </x:c>
      <x:c r="AZ730" s="22" t="n">
        <x:f>MAX(0,MIN('Activities'!L730,288)-MAX('Activities'!K730,282))</x:f>
        <x:v>0</x:v>
      </x:c>
      <x:c r="BA730" s="22" t="n">
        <x:f>MAX(0,MIN('Activities'!L730,294)-MAX('Activities'!K730,288))</x:f>
        <x:v>0</x:v>
      </x:c>
      <x:c r="BB730" s="22" t="n">
        <x:f>MAX(0,MIN('Activities'!L730,300)-MAX('Activities'!K730,294))</x:f>
        <x:v>0</x:v>
      </x:c>
      <x:c r="BC730" s="22" t="n">
        <x:f>MAX(0,MIN('Activities'!L730,306)-MAX('Activities'!K730,300))</x:f>
        <x:v>0</x:v>
      </x:c>
      <x:c r="BD730" s="22" t="n">
        <x:f>MAX(0,MIN('Activities'!L730,312)-MAX('Activities'!K730,306))</x:f>
        <x:v>0</x:v>
      </x:c>
      <x:c r="BE730" s="22" t="n">
        <x:f>MAX(0,MIN('Activities'!L730,318)-MAX('Activities'!K730,312))</x:f>
        <x:v>0</x:v>
      </x:c>
      <x:c r="BF730" s="22" t="n">
        <x:f>MAX(0,MIN('Activities'!L730,324)-MAX('Activities'!K730,318))</x:f>
        <x:v>0</x:v>
      </x:c>
      <x:c r="BG730" s="22" t="n">
        <x:f>MAX(0,MIN('Activities'!L730,330)-MAX('Activities'!K730,324))</x:f>
        <x:v>0</x:v>
      </x:c>
      <x:c r="BH730" s="22" t="n">
        <x:f>MAX(0,MIN('Activities'!L730,336)-MAX('Activities'!K730,330))</x:f>
        <x:v>0</x:v>
      </x:c>
      <x:c r="BI730" s="22" t="n">
        <x:f>MAX(0,MIN('Activities'!L730,342)-MAX('Activities'!K730,336))</x:f>
        <x:v>0</x:v>
      </x:c>
      <x:c r="BJ730" s="22" t="n">
        <x:f>MAX(0,MIN('Activities'!L730,348)-MAX('Activities'!K730,342))</x:f>
        <x:v>0</x:v>
      </x:c>
      <x:c r="BK730" s="22" t="n">
        <x:f>MAX(0,MIN('Activities'!L730,354)-MAX('Activities'!K730,348))</x:f>
        <x:v>0</x:v>
      </x:c>
      <x:c r="BL730" s="22" t="n">
        <x:f>MAX(0,MIN('Activities'!L730,360)-MAX('Activities'!K730,354))</x:f>
        <x:v>0</x:v>
      </x:c>
      <x:c r="BM730" s="22" t="n">
        <x:f>MAX(0,MIN('Activities'!L730,366)-MAX('Activities'!K730,360))</x:f>
        <x:v>0</x:v>
      </x:c>
      <x:c r="BN730" s="22" t="n">
        <x:f>MAX(0,MIN('Activities'!L730,372)-MAX('Activities'!K730,366))</x:f>
        <x:v>0</x:v>
      </x:c>
      <x:c r="BO730" s="22" t="n">
        <x:f>MAX(0,MIN('Activities'!L730,378)-MAX('Activities'!K730,372))</x:f>
        <x:v>0</x:v>
      </x:c>
      <x:c r="BP730" s="22" t="n">
        <x:f>MAX(0,MIN('Activities'!L730,384)-MAX('Activities'!K730,378))</x:f>
        <x:v>0</x:v>
      </x:c>
      <x:c r="BQ730" s="22" t="n">
        <x:f>MAX(0,MIN('Activities'!L730,390)-MAX('Activities'!K730,384))</x:f>
        <x:v>0</x:v>
      </x:c>
      <x:c r="BR730" s="22" t="n">
        <x:f>MAX(0,MIN('Activities'!L730,396)-MAX('Activities'!K730,390))</x:f>
        <x:v>0</x:v>
      </x:c>
      <x:c r="BS730" s="22" t="n">
        <x:f>MAX(0,MIN('Activities'!L730,402)-MAX('Activities'!K730,396))</x:f>
        <x:v>0</x:v>
      </x:c>
      <x:c r="BT730" s="22" t="n">
        <x:f>MAX(0,MIN('Activities'!L730,408)-MAX('Activities'!K730,402))</x:f>
        <x:v>0</x:v>
      </x:c>
      <x:c r="BU730" s="22" t="n">
        <x:f>MAX(0,MIN('Activities'!L730,414)-MAX('Activities'!K730,408))</x:f>
        <x:v>0</x:v>
      </x:c>
      <x:c r="BV730" s="22" t="n">
        <x:f>MAX(0,MIN('Activities'!L730,420)-MAX('Activities'!K730,414))</x:f>
        <x:v>4</x:v>
      </x:c>
      <x:c r="BW730" s="22" t="n">
        <x:f>MAX(0,MIN('Activities'!L730,426)-MAX('Activities'!K730,420))</x:f>
        <x:v>1</x:v>
      </x:c>
      <x:c r="BX730" s="22" t="n">
        <x:f>MAX(0,MIN('Activities'!L730,432)-MAX('Activities'!K730,426))</x:f>
        <x:v>0</x:v>
      </x:c>
      <x:c r="BY730" s="22" t="n">
        <x:f>MAX(0,MIN('Activities'!L730,438)-MAX('Activities'!K730,432))</x:f>
        <x:v>0</x:v>
      </x:c>
      <x:c r="BZ730" s="22" t="n">
        <x:f>MAX(0,MIN('Activities'!L730,444)-MAX('Activities'!K730,438))</x:f>
        <x:v>0</x:v>
      </x:c>
      <x:c r="CA730" s="22" t="n">
        <x:f>MAX(0,MIN('Activities'!L730,450)-MAX('Activities'!K730,444))</x:f>
        <x:v>0</x:v>
      </x:c>
      <x:c r="CB730" s="22" t="n">
        <x:f>MAX(0,MIN('Activities'!L730,456)-MAX('Activities'!K730,450))</x:f>
        <x:v>0</x:v>
      </x:c>
      <x:c r="CC730" s="22" t="n">
        <x:f>MAX(0,MIN('Activities'!L730,462)-MAX('Activities'!K730,456))</x:f>
        <x:v>0</x:v>
      </x:c>
      <x:c r="CD730" s="22" t="n">
        <x:f>MAX(0,MIN('Activities'!L730,468)-MAX('Activities'!K730,462))</x:f>
        <x:v>0</x:v>
      </x:c>
      <x:c r="CE730" s="22" t="n">
        <x:f>MAX(0,MIN('Activities'!L730,474)-MAX('Activities'!K730,468))</x:f>
        <x:v>0</x:v>
      </x:c>
      <x:c r="CF730" s="22" t="n">
        <x:f>MAX(0,MIN('Activities'!L730,480)-MAX('Activities'!K730,474))</x:f>
        <x:v>0</x:v>
      </x:c>
      <x:c r="CG730" s="22" t="n">
        <x:f>MAX(0,MIN('Activities'!L730,486)-MAX('Activities'!K730,480))</x:f>
        <x:v>0</x:v>
      </x:c>
      <x:c r="CH730" s="22" t="n">
        <x:f>MAX(0,MIN('Activities'!L730,492)-MAX('Activities'!K730,486))</x:f>
        <x:v>0</x:v>
      </x:c>
      <x:c r="CI730" s="22" t="n">
        <x:f>MAX(0,MIN('Activities'!L730,498)-MAX('Activities'!K730,492))</x:f>
        <x:v>0</x:v>
      </x:c>
      <x:c r="CJ730" s="22" t="n">
        <x:f>MAX(0,MIN('Activities'!L730,504)-MAX('Activities'!K730,498))</x:f>
        <x:v>0</x:v>
      </x:c>
      <x:c r="CK730" s="22" t="n">
        <x:f>MAX(0,MIN('Activities'!L730,510)-MAX('Activities'!K730,504))</x:f>
        <x:v>0</x:v>
      </x:c>
      <x:c r="CL730" s="22" t="n">
        <x:f>MAX(0,MIN('Activities'!L730,516)-MAX('Activities'!K730,510))</x:f>
        <x:v>0</x:v>
      </x:c>
      <x:c r="CM730" s="22" t="n">
        <x:f>MAX(0,MIN('Activities'!L730,522)-MAX('Activities'!K730,516))</x:f>
        <x:v>0</x:v>
      </x:c>
      <x:c r="CN730" s="22" t="n">
        <x:f>MAX(0,MIN('Activities'!L730,528)-MAX('Activities'!K730,522))</x:f>
        <x:v>0</x:v>
      </x:c>
      <x:c r="CO730" s="22" t="n">
        <x:f>MAX(0,MIN('Activities'!L730,534)-MAX('Activities'!K730,528))</x:f>
        <x:v>0</x:v>
      </x:c>
      <x:c r="CP730" s="22" t="n">
        <x:f>MAX(0,MIN('Activities'!L730,540)-MAX('Activities'!K730,534))</x:f>
        <x:v>0</x:v>
      </x:c>
      <x:c r="CQ730" s="22" t="n">
        <x:f>MAX(0,MIN('Activities'!L730,546)-MAX('Activities'!K730,540))</x:f>
        <x:v>0</x:v>
      </x:c>
      <x:c r="CR730" s="22" t="n">
        <x:f>MAX(0,MIN('Activities'!L730,552)-MAX('Activities'!K730,546))</x:f>
        <x:v>0</x:v>
      </x:c>
      <x:c r="CS730" s="22" t="n">
        <x:f>MAX(0,MIN('Activities'!L730,558)-MAX('Activities'!K730,552))</x:f>
        <x:v>0</x:v>
      </x:c>
      <x:c r="CT730" s="22" t="n">
        <x:f>MAX(0,MIN('Activities'!L730,564)-MAX('Activities'!K730,558))</x:f>
        <x:v>0</x:v>
      </x:c>
      <x:c r="CU730" s="22" t="n">
        <x:f>MAX(0,MIN('Activities'!L730,570)-MAX('Activities'!K730,564))</x:f>
        <x:v>0</x:v>
      </x:c>
      <x:c r="CV730" s="22" t="n">
        <x:f>MAX(0,MIN('Activities'!L730,576)-MAX('Activities'!K730,570))</x:f>
        <x:v>0</x:v>
      </x:c>
      <x:c r="CW730" s="22" t="n">
        <x:f>MAX(0,MIN('Activities'!L730,582)-MAX('Activities'!K730,576))</x:f>
        <x:v>0</x:v>
      </x:c>
      <x:c r="CX730" s="22" t="n">
        <x:f>MAX(0,MIN('Activities'!L730,588)-MAX('Activities'!K730,582))</x:f>
        <x:v>0</x:v>
      </x:c>
      <x:c r="CY730" s="22" t="n">
        <x:f>MAX(0,MIN('Activities'!L730,594)-MAX('Activities'!K730,588))</x:f>
        <x:v>0</x:v>
      </x:c>
      <x:c r="CZ730" s="22" t="n">
        <x:f>MAX(0,MIN('Activities'!L730,600)-MAX('Activities'!K730,594))</x:f>
        <x:v>0</x:v>
      </x:c>
      <x:c r="DA730" s="22" t="n">
        <x:f>MAX(0,MIN('Activities'!L730,606)-MAX('Activities'!K730,600))</x:f>
        <x:v>0</x:v>
      </x:c>
      <x:c r="DB730" s="22" t="n">
        <x:f>MAX(0,MIN('Activities'!L730,612)-MAX('Activities'!K730,606))</x:f>
        <x:v>0</x:v>
      </x:c>
      <x:c r="DC730" s="22" t="n">
        <x:f>MAX(0,MIN('Activities'!L730,618)-MAX('Activities'!K730,612))</x:f>
        <x:v>0</x:v>
      </x:c>
      <x:c r="DD730" s="22" t="n">
        <x:f>MAX(0,MIN('Activities'!L730,624)-MAX('Activities'!K730,618))</x:f>
        <x:v>0</x:v>
      </x:c>
      <x:c r="DE730" s="22" t="n">
        <x:f>MAX(0,MIN('Activities'!L730,630)-MAX('Activities'!K730,624))</x:f>
        <x:v>0</x:v>
      </x:c>
      <x:c r="DF730" s="22" t="n">
        <x:f>MAX(0,MIN('Activities'!L730,636)-MAX('Activities'!K730,630))</x:f>
        <x:v>0</x:v>
      </x:c>
    </x:row>
    <x:row r="731" ht="23" customHeight="1">
      <x:c r="A731" s="1" t="str">
        <x:v>T6-L12-C</x:v>
      </x:c>
      <x:c r="B731" s="1" t="str">
        <x:v>T6</x:v>
      </x:c>
      <x:c r="C731" s="1" t="str">
        <x:v>Concrete placement and finishing</x:v>
      </x:c>
      <x:c r="D731" s="1" t="str">
        <x:v>Concrete</x:v>
      </x:c>
      <x:c r="E731" s="23" t="n">
        <x:f>MAX(0,MIN('Activities'!L731,6)-MAX('Activities'!K731,0))</x:f>
        <x:v>0</x:v>
      </x:c>
      <x:c r="F731" s="23" t="n">
        <x:f>MAX(0,MIN('Activities'!L731,12)-MAX('Activities'!K731,6))</x:f>
        <x:v>0</x:v>
      </x:c>
      <x:c r="G731" s="23" t="n">
        <x:f>MAX(0,MIN('Activities'!L731,18)-MAX('Activities'!K731,12))</x:f>
        <x:v>0</x:v>
      </x:c>
      <x:c r="H731" s="23" t="n">
        <x:f>MAX(0,MIN('Activities'!L731,24)-MAX('Activities'!K731,18))</x:f>
        <x:v>0</x:v>
      </x:c>
      <x:c r="I731" s="23" t="n">
        <x:f>MAX(0,MIN('Activities'!L731,30)-MAX('Activities'!K731,24))</x:f>
        <x:v>0</x:v>
      </x:c>
      <x:c r="J731" s="23" t="n">
        <x:f>MAX(0,MIN('Activities'!L731,36)-MAX('Activities'!K731,30))</x:f>
        <x:v>0</x:v>
      </x:c>
      <x:c r="K731" s="23" t="n">
        <x:f>MAX(0,MIN('Activities'!L731,42)-MAX('Activities'!K731,36))</x:f>
        <x:v>0</x:v>
      </x:c>
      <x:c r="L731" s="23" t="n">
        <x:f>MAX(0,MIN('Activities'!L731,48)-MAX('Activities'!K731,42))</x:f>
        <x:v>0</x:v>
      </x:c>
      <x:c r="M731" s="23" t="n">
        <x:f>MAX(0,MIN('Activities'!L731,54)-MAX('Activities'!K731,48))</x:f>
        <x:v>0</x:v>
      </x:c>
      <x:c r="N731" s="23" t="n">
        <x:f>MAX(0,MIN('Activities'!L731,60)-MAX('Activities'!K731,54))</x:f>
        <x:v>0</x:v>
      </x:c>
      <x:c r="O731" s="23" t="n">
        <x:f>MAX(0,MIN('Activities'!L731,66)-MAX('Activities'!K731,60))</x:f>
        <x:v>0</x:v>
      </x:c>
      <x:c r="P731" s="23" t="n">
        <x:f>MAX(0,MIN('Activities'!L731,72)-MAX('Activities'!K731,66))</x:f>
        <x:v>0</x:v>
      </x:c>
      <x:c r="Q731" s="23" t="n">
        <x:f>MAX(0,MIN('Activities'!L731,78)-MAX('Activities'!K731,72))</x:f>
        <x:v>0</x:v>
      </x:c>
      <x:c r="R731" s="23" t="n">
        <x:f>MAX(0,MIN('Activities'!L731,84)-MAX('Activities'!K731,78))</x:f>
        <x:v>0</x:v>
      </x:c>
      <x:c r="S731" s="23" t="n">
        <x:f>MAX(0,MIN('Activities'!L731,90)-MAX('Activities'!K731,84))</x:f>
        <x:v>0</x:v>
      </x:c>
      <x:c r="T731" s="23" t="n">
        <x:f>MAX(0,MIN('Activities'!L731,96)-MAX('Activities'!K731,90))</x:f>
        <x:v>0</x:v>
      </x:c>
      <x:c r="U731" s="23" t="n">
        <x:f>MAX(0,MIN('Activities'!L731,102)-MAX('Activities'!K731,96))</x:f>
        <x:v>0</x:v>
      </x:c>
      <x:c r="V731" s="23" t="n">
        <x:f>MAX(0,MIN('Activities'!L731,108)-MAX('Activities'!K731,102))</x:f>
        <x:v>0</x:v>
      </x:c>
      <x:c r="W731" s="23" t="n">
        <x:f>MAX(0,MIN('Activities'!L731,114)-MAX('Activities'!K731,108))</x:f>
        <x:v>0</x:v>
      </x:c>
      <x:c r="X731" s="23" t="n">
        <x:f>MAX(0,MIN('Activities'!L731,120)-MAX('Activities'!K731,114))</x:f>
        <x:v>0</x:v>
      </x:c>
      <x:c r="Y731" s="23" t="n">
        <x:f>MAX(0,MIN('Activities'!L731,126)-MAX('Activities'!K731,120))</x:f>
        <x:v>0</x:v>
      </x:c>
      <x:c r="Z731" s="23" t="n">
        <x:f>MAX(0,MIN('Activities'!L731,132)-MAX('Activities'!K731,126))</x:f>
        <x:v>0</x:v>
      </x:c>
      <x:c r="AA731" s="23" t="n">
        <x:f>MAX(0,MIN('Activities'!L731,138)-MAX('Activities'!K731,132))</x:f>
        <x:v>0</x:v>
      </x:c>
      <x:c r="AB731" s="23" t="n">
        <x:f>MAX(0,MIN('Activities'!L731,144)-MAX('Activities'!K731,138))</x:f>
        <x:v>0</x:v>
      </x:c>
      <x:c r="AC731" s="23" t="n">
        <x:f>MAX(0,MIN('Activities'!L731,150)-MAX('Activities'!K731,144))</x:f>
        <x:v>0</x:v>
      </x:c>
      <x:c r="AD731" s="23" t="n">
        <x:f>MAX(0,MIN('Activities'!L731,156)-MAX('Activities'!K731,150))</x:f>
        <x:v>0</x:v>
      </x:c>
      <x:c r="AE731" s="23" t="n">
        <x:f>MAX(0,MIN('Activities'!L731,162)-MAX('Activities'!K731,156))</x:f>
        <x:v>0</x:v>
      </x:c>
      <x:c r="AF731" s="23" t="n">
        <x:f>MAX(0,MIN('Activities'!L731,168)-MAX('Activities'!K731,162))</x:f>
        <x:v>0</x:v>
      </x:c>
      <x:c r="AG731" s="23" t="n">
        <x:f>MAX(0,MIN('Activities'!L731,174)-MAX('Activities'!K731,168))</x:f>
        <x:v>0</x:v>
      </x:c>
      <x:c r="AH731" s="23" t="n">
        <x:f>MAX(0,MIN('Activities'!L731,180)-MAX('Activities'!K731,174))</x:f>
        <x:v>0</x:v>
      </x:c>
      <x:c r="AI731" s="23" t="n">
        <x:f>MAX(0,MIN('Activities'!L731,186)-MAX('Activities'!K731,180))</x:f>
        <x:v>0</x:v>
      </x:c>
      <x:c r="AJ731" s="23" t="n">
        <x:f>MAX(0,MIN('Activities'!L731,192)-MAX('Activities'!K731,186))</x:f>
        <x:v>0</x:v>
      </x:c>
      <x:c r="AK731" s="23" t="n">
        <x:f>MAX(0,MIN('Activities'!L731,198)-MAX('Activities'!K731,192))</x:f>
        <x:v>0</x:v>
      </x:c>
      <x:c r="AL731" s="23" t="n">
        <x:f>MAX(0,MIN('Activities'!L731,204)-MAX('Activities'!K731,198))</x:f>
        <x:v>0</x:v>
      </x:c>
      <x:c r="AM731" s="23" t="n">
        <x:f>MAX(0,MIN('Activities'!L731,210)-MAX('Activities'!K731,204))</x:f>
        <x:v>0</x:v>
      </x:c>
      <x:c r="AN731" s="23" t="n">
        <x:f>MAX(0,MIN('Activities'!L731,216)-MAX('Activities'!K731,210))</x:f>
        <x:v>0</x:v>
      </x:c>
      <x:c r="AO731" s="23" t="n">
        <x:f>MAX(0,MIN('Activities'!L731,222)-MAX('Activities'!K731,216))</x:f>
        <x:v>0</x:v>
      </x:c>
      <x:c r="AP731" s="23" t="n">
        <x:f>MAX(0,MIN('Activities'!L731,228)-MAX('Activities'!K731,222))</x:f>
        <x:v>0</x:v>
      </x:c>
      <x:c r="AQ731" s="23" t="n">
        <x:f>MAX(0,MIN('Activities'!L731,234)-MAX('Activities'!K731,228))</x:f>
        <x:v>0</x:v>
      </x:c>
      <x:c r="AR731" s="23" t="n">
        <x:f>MAX(0,MIN('Activities'!L731,240)-MAX('Activities'!K731,234))</x:f>
        <x:v>0</x:v>
      </x:c>
      <x:c r="AS731" s="23" t="n">
        <x:f>MAX(0,MIN('Activities'!L731,246)-MAX('Activities'!K731,240))</x:f>
        <x:v>0</x:v>
      </x:c>
      <x:c r="AT731" s="23" t="n">
        <x:f>MAX(0,MIN('Activities'!L731,252)-MAX('Activities'!K731,246))</x:f>
        <x:v>0</x:v>
      </x:c>
      <x:c r="AU731" s="23" t="n">
        <x:f>MAX(0,MIN('Activities'!L731,258)-MAX('Activities'!K731,252))</x:f>
        <x:v>0</x:v>
      </x:c>
      <x:c r="AV731" s="23" t="n">
        <x:f>MAX(0,MIN('Activities'!L731,264)-MAX('Activities'!K731,258))</x:f>
        <x:v>0</x:v>
      </x:c>
      <x:c r="AW731" s="23" t="n">
        <x:f>MAX(0,MIN('Activities'!L731,270)-MAX('Activities'!K731,264))</x:f>
        <x:v>0</x:v>
      </x:c>
      <x:c r="AX731" s="23" t="n">
        <x:f>MAX(0,MIN('Activities'!L731,276)-MAX('Activities'!K731,270))</x:f>
        <x:v>0</x:v>
      </x:c>
      <x:c r="AY731" s="23" t="n">
        <x:f>MAX(0,MIN('Activities'!L731,282)-MAX('Activities'!K731,276))</x:f>
        <x:v>0</x:v>
      </x:c>
      <x:c r="AZ731" s="23" t="n">
        <x:f>MAX(0,MIN('Activities'!L731,288)-MAX('Activities'!K731,282))</x:f>
        <x:v>0</x:v>
      </x:c>
      <x:c r="BA731" s="23" t="n">
        <x:f>MAX(0,MIN('Activities'!L731,294)-MAX('Activities'!K731,288))</x:f>
        <x:v>0</x:v>
      </x:c>
      <x:c r="BB731" s="23" t="n">
        <x:f>MAX(0,MIN('Activities'!L731,300)-MAX('Activities'!K731,294))</x:f>
        <x:v>0</x:v>
      </x:c>
      <x:c r="BC731" s="23" t="n">
        <x:f>MAX(0,MIN('Activities'!L731,306)-MAX('Activities'!K731,300))</x:f>
        <x:v>0</x:v>
      </x:c>
      <x:c r="BD731" s="23" t="n">
        <x:f>MAX(0,MIN('Activities'!L731,312)-MAX('Activities'!K731,306))</x:f>
        <x:v>0</x:v>
      </x:c>
      <x:c r="BE731" s="23" t="n">
        <x:f>MAX(0,MIN('Activities'!L731,318)-MAX('Activities'!K731,312))</x:f>
        <x:v>0</x:v>
      </x:c>
      <x:c r="BF731" s="23" t="n">
        <x:f>MAX(0,MIN('Activities'!L731,324)-MAX('Activities'!K731,318))</x:f>
        <x:v>0</x:v>
      </x:c>
      <x:c r="BG731" s="23" t="n">
        <x:f>MAX(0,MIN('Activities'!L731,330)-MAX('Activities'!K731,324))</x:f>
        <x:v>0</x:v>
      </x:c>
      <x:c r="BH731" s="23" t="n">
        <x:f>MAX(0,MIN('Activities'!L731,336)-MAX('Activities'!K731,330))</x:f>
        <x:v>0</x:v>
      </x:c>
      <x:c r="BI731" s="23" t="n">
        <x:f>MAX(0,MIN('Activities'!L731,342)-MAX('Activities'!K731,336))</x:f>
        <x:v>0</x:v>
      </x:c>
      <x:c r="BJ731" s="23" t="n">
        <x:f>MAX(0,MIN('Activities'!L731,348)-MAX('Activities'!K731,342))</x:f>
        <x:v>0</x:v>
      </x:c>
      <x:c r="BK731" s="23" t="n">
        <x:f>MAX(0,MIN('Activities'!L731,354)-MAX('Activities'!K731,348))</x:f>
        <x:v>0</x:v>
      </x:c>
      <x:c r="BL731" s="23" t="n">
        <x:f>MAX(0,MIN('Activities'!L731,360)-MAX('Activities'!K731,354))</x:f>
        <x:v>0</x:v>
      </x:c>
      <x:c r="BM731" s="23" t="n">
        <x:f>MAX(0,MIN('Activities'!L731,366)-MAX('Activities'!K731,360))</x:f>
        <x:v>0</x:v>
      </x:c>
      <x:c r="BN731" s="23" t="n">
        <x:f>MAX(0,MIN('Activities'!L731,372)-MAX('Activities'!K731,366))</x:f>
        <x:v>0</x:v>
      </x:c>
      <x:c r="BO731" s="23" t="n">
        <x:f>MAX(0,MIN('Activities'!L731,378)-MAX('Activities'!K731,372))</x:f>
        <x:v>0</x:v>
      </x:c>
      <x:c r="BP731" s="23" t="n">
        <x:f>MAX(0,MIN('Activities'!L731,384)-MAX('Activities'!K731,378))</x:f>
        <x:v>0</x:v>
      </x:c>
      <x:c r="BQ731" s="23" t="n">
        <x:f>MAX(0,MIN('Activities'!L731,390)-MAX('Activities'!K731,384))</x:f>
        <x:v>0</x:v>
      </x:c>
      <x:c r="BR731" s="23" t="n">
        <x:f>MAX(0,MIN('Activities'!L731,396)-MAX('Activities'!K731,390))</x:f>
        <x:v>0</x:v>
      </x:c>
      <x:c r="BS731" s="23" t="n">
        <x:f>MAX(0,MIN('Activities'!L731,402)-MAX('Activities'!K731,396))</x:f>
        <x:v>0</x:v>
      </x:c>
      <x:c r="BT731" s="23" t="n">
        <x:f>MAX(0,MIN('Activities'!L731,408)-MAX('Activities'!K731,402))</x:f>
        <x:v>0</x:v>
      </x:c>
      <x:c r="BU731" s="23" t="n">
        <x:f>MAX(0,MIN('Activities'!L731,414)-MAX('Activities'!K731,408))</x:f>
        <x:v>0</x:v>
      </x:c>
      <x:c r="BV731" s="23" t="n">
        <x:f>MAX(0,MIN('Activities'!L731,420)-MAX('Activities'!K731,414))</x:f>
        <x:v>0</x:v>
      </x:c>
      <x:c r="BW731" s="23" t="n">
        <x:f>MAX(0,MIN('Activities'!L731,426)-MAX('Activities'!K731,420))</x:f>
        <x:v>2</x:v>
      </x:c>
      <x:c r="BX731" s="23" t="n">
        <x:f>MAX(0,MIN('Activities'!L731,432)-MAX('Activities'!K731,426))</x:f>
        <x:v>0</x:v>
      </x:c>
      <x:c r="BY731" s="23" t="n">
        <x:f>MAX(0,MIN('Activities'!L731,438)-MAX('Activities'!K731,432))</x:f>
        <x:v>0</x:v>
      </x:c>
      <x:c r="BZ731" s="23" t="n">
        <x:f>MAX(0,MIN('Activities'!L731,444)-MAX('Activities'!K731,438))</x:f>
        <x:v>0</x:v>
      </x:c>
      <x:c r="CA731" s="23" t="n">
        <x:f>MAX(0,MIN('Activities'!L731,450)-MAX('Activities'!K731,444))</x:f>
        <x:v>0</x:v>
      </x:c>
      <x:c r="CB731" s="23" t="n">
        <x:f>MAX(0,MIN('Activities'!L731,456)-MAX('Activities'!K731,450))</x:f>
        <x:v>0</x:v>
      </x:c>
      <x:c r="CC731" s="23" t="n">
        <x:f>MAX(0,MIN('Activities'!L731,462)-MAX('Activities'!K731,456))</x:f>
        <x:v>0</x:v>
      </x:c>
      <x:c r="CD731" s="23" t="n">
        <x:f>MAX(0,MIN('Activities'!L731,468)-MAX('Activities'!K731,462))</x:f>
        <x:v>0</x:v>
      </x:c>
      <x:c r="CE731" s="23" t="n">
        <x:f>MAX(0,MIN('Activities'!L731,474)-MAX('Activities'!K731,468))</x:f>
        <x:v>0</x:v>
      </x:c>
      <x:c r="CF731" s="23" t="n">
        <x:f>MAX(0,MIN('Activities'!L731,480)-MAX('Activities'!K731,474))</x:f>
        <x:v>0</x:v>
      </x:c>
      <x:c r="CG731" s="23" t="n">
        <x:f>MAX(0,MIN('Activities'!L731,486)-MAX('Activities'!K731,480))</x:f>
        <x:v>0</x:v>
      </x:c>
      <x:c r="CH731" s="23" t="n">
        <x:f>MAX(0,MIN('Activities'!L731,492)-MAX('Activities'!K731,486))</x:f>
        <x:v>0</x:v>
      </x:c>
      <x:c r="CI731" s="23" t="n">
        <x:f>MAX(0,MIN('Activities'!L731,498)-MAX('Activities'!K731,492))</x:f>
        <x:v>0</x:v>
      </x:c>
      <x:c r="CJ731" s="23" t="n">
        <x:f>MAX(0,MIN('Activities'!L731,504)-MAX('Activities'!K731,498))</x:f>
        <x:v>0</x:v>
      </x:c>
      <x:c r="CK731" s="23" t="n">
        <x:f>MAX(0,MIN('Activities'!L731,510)-MAX('Activities'!K731,504))</x:f>
        <x:v>0</x:v>
      </x:c>
      <x:c r="CL731" s="23" t="n">
        <x:f>MAX(0,MIN('Activities'!L731,516)-MAX('Activities'!K731,510))</x:f>
        <x:v>0</x:v>
      </x:c>
      <x:c r="CM731" s="23" t="n">
        <x:f>MAX(0,MIN('Activities'!L731,522)-MAX('Activities'!K731,516))</x:f>
        <x:v>0</x:v>
      </x:c>
      <x:c r="CN731" s="23" t="n">
        <x:f>MAX(0,MIN('Activities'!L731,528)-MAX('Activities'!K731,522))</x:f>
        <x:v>0</x:v>
      </x:c>
      <x:c r="CO731" s="23" t="n">
        <x:f>MAX(0,MIN('Activities'!L731,534)-MAX('Activities'!K731,528))</x:f>
        <x:v>0</x:v>
      </x:c>
      <x:c r="CP731" s="23" t="n">
        <x:f>MAX(0,MIN('Activities'!L731,540)-MAX('Activities'!K731,534))</x:f>
        <x:v>0</x:v>
      </x:c>
      <x:c r="CQ731" s="23" t="n">
        <x:f>MAX(0,MIN('Activities'!L731,546)-MAX('Activities'!K731,540))</x:f>
        <x:v>0</x:v>
      </x:c>
      <x:c r="CR731" s="23" t="n">
        <x:f>MAX(0,MIN('Activities'!L731,552)-MAX('Activities'!K731,546))</x:f>
        <x:v>0</x:v>
      </x:c>
      <x:c r="CS731" s="23" t="n">
        <x:f>MAX(0,MIN('Activities'!L731,558)-MAX('Activities'!K731,552))</x:f>
        <x:v>0</x:v>
      </x:c>
      <x:c r="CT731" s="23" t="n">
        <x:f>MAX(0,MIN('Activities'!L731,564)-MAX('Activities'!K731,558))</x:f>
        <x:v>0</x:v>
      </x:c>
      <x:c r="CU731" s="23" t="n">
        <x:f>MAX(0,MIN('Activities'!L731,570)-MAX('Activities'!K731,564))</x:f>
        <x:v>0</x:v>
      </x:c>
      <x:c r="CV731" s="23" t="n">
        <x:f>MAX(0,MIN('Activities'!L731,576)-MAX('Activities'!K731,570))</x:f>
        <x:v>0</x:v>
      </x:c>
      <x:c r="CW731" s="23" t="n">
        <x:f>MAX(0,MIN('Activities'!L731,582)-MAX('Activities'!K731,576))</x:f>
        <x:v>0</x:v>
      </x:c>
      <x:c r="CX731" s="23" t="n">
        <x:f>MAX(0,MIN('Activities'!L731,588)-MAX('Activities'!K731,582))</x:f>
        <x:v>0</x:v>
      </x:c>
      <x:c r="CY731" s="23" t="n">
        <x:f>MAX(0,MIN('Activities'!L731,594)-MAX('Activities'!K731,588))</x:f>
        <x:v>0</x:v>
      </x:c>
      <x:c r="CZ731" s="23" t="n">
        <x:f>MAX(0,MIN('Activities'!L731,600)-MAX('Activities'!K731,594))</x:f>
        <x:v>0</x:v>
      </x:c>
      <x:c r="DA731" s="23" t="n">
        <x:f>MAX(0,MIN('Activities'!L731,606)-MAX('Activities'!K731,600))</x:f>
        <x:v>0</x:v>
      </x:c>
      <x:c r="DB731" s="23" t="n">
        <x:f>MAX(0,MIN('Activities'!L731,612)-MAX('Activities'!K731,606))</x:f>
        <x:v>0</x:v>
      </x:c>
      <x:c r="DC731" s="23" t="n">
        <x:f>MAX(0,MIN('Activities'!L731,618)-MAX('Activities'!K731,612))</x:f>
        <x:v>0</x:v>
      </x:c>
      <x:c r="DD731" s="23" t="n">
        <x:f>MAX(0,MIN('Activities'!L731,624)-MAX('Activities'!K731,618))</x:f>
        <x:v>0</x:v>
      </x:c>
      <x:c r="DE731" s="23" t="n">
        <x:f>MAX(0,MIN('Activities'!L731,630)-MAX('Activities'!K731,624))</x:f>
        <x:v>0</x:v>
      </x:c>
      <x:c r="DF731" s="23" t="n">
        <x:f>MAX(0,MIN('Activities'!L731,636)-MAX('Activities'!K731,630))</x:f>
        <x:v>0</x:v>
      </x:c>
    </x:row>
    <x:row r="732" ht="23" customHeight="1">
      <x:c r="A732" s="6" t="str">
        <x:v>T6-L12-H</x:v>
      </x:c>
      <x:c r="B732" s="6" t="str">
        <x:v>T6</x:v>
      </x:c>
      <x:c r="C732" s="6" t="str">
        <x:v>Curing and release hold point</x:v>
      </x:c>
      <x:c r="D732" s="6" t="str">
        <x:v>Site</x:v>
      </x:c>
      <x:c r="E732" s="22" t="n">
        <x:f>MAX(0,MIN('Activities'!L732,6)-MAX('Activities'!K732,0))</x:f>
        <x:v>0</x:v>
      </x:c>
      <x:c r="F732" s="22" t="n">
        <x:f>MAX(0,MIN('Activities'!L732,12)-MAX('Activities'!K732,6))</x:f>
        <x:v>0</x:v>
      </x:c>
      <x:c r="G732" s="22" t="n">
        <x:f>MAX(0,MIN('Activities'!L732,18)-MAX('Activities'!K732,12))</x:f>
        <x:v>0</x:v>
      </x:c>
      <x:c r="H732" s="22" t="n">
        <x:f>MAX(0,MIN('Activities'!L732,24)-MAX('Activities'!K732,18))</x:f>
        <x:v>0</x:v>
      </x:c>
      <x:c r="I732" s="22" t="n">
        <x:f>MAX(0,MIN('Activities'!L732,30)-MAX('Activities'!K732,24))</x:f>
        <x:v>0</x:v>
      </x:c>
      <x:c r="J732" s="22" t="n">
        <x:f>MAX(0,MIN('Activities'!L732,36)-MAX('Activities'!K732,30))</x:f>
        <x:v>0</x:v>
      </x:c>
      <x:c r="K732" s="22" t="n">
        <x:f>MAX(0,MIN('Activities'!L732,42)-MAX('Activities'!K732,36))</x:f>
        <x:v>0</x:v>
      </x:c>
      <x:c r="L732" s="22" t="n">
        <x:f>MAX(0,MIN('Activities'!L732,48)-MAX('Activities'!K732,42))</x:f>
        <x:v>0</x:v>
      </x:c>
      <x:c r="M732" s="22" t="n">
        <x:f>MAX(0,MIN('Activities'!L732,54)-MAX('Activities'!K732,48))</x:f>
        <x:v>0</x:v>
      </x:c>
      <x:c r="N732" s="22" t="n">
        <x:f>MAX(0,MIN('Activities'!L732,60)-MAX('Activities'!K732,54))</x:f>
        <x:v>0</x:v>
      </x:c>
      <x:c r="O732" s="22" t="n">
        <x:f>MAX(0,MIN('Activities'!L732,66)-MAX('Activities'!K732,60))</x:f>
        <x:v>0</x:v>
      </x:c>
      <x:c r="P732" s="22" t="n">
        <x:f>MAX(0,MIN('Activities'!L732,72)-MAX('Activities'!K732,66))</x:f>
        <x:v>0</x:v>
      </x:c>
      <x:c r="Q732" s="22" t="n">
        <x:f>MAX(0,MIN('Activities'!L732,78)-MAX('Activities'!K732,72))</x:f>
        <x:v>0</x:v>
      </x:c>
      <x:c r="R732" s="22" t="n">
        <x:f>MAX(0,MIN('Activities'!L732,84)-MAX('Activities'!K732,78))</x:f>
        <x:v>0</x:v>
      </x:c>
      <x:c r="S732" s="22" t="n">
        <x:f>MAX(0,MIN('Activities'!L732,90)-MAX('Activities'!K732,84))</x:f>
        <x:v>0</x:v>
      </x:c>
      <x:c r="T732" s="22" t="n">
        <x:f>MAX(0,MIN('Activities'!L732,96)-MAX('Activities'!K732,90))</x:f>
        <x:v>0</x:v>
      </x:c>
      <x:c r="U732" s="22" t="n">
        <x:f>MAX(0,MIN('Activities'!L732,102)-MAX('Activities'!K732,96))</x:f>
        <x:v>0</x:v>
      </x:c>
      <x:c r="V732" s="22" t="n">
        <x:f>MAX(0,MIN('Activities'!L732,108)-MAX('Activities'!K732,102))</x:f>
        <x:v>0</x:v>
      </x:c>
      <x:c r="W732" s="22" t="n">
        <x:f>MAX(0,MIN('Activities'!L732,114)-MAX('Activities'!K732,108))</x:f>
        <x:v>0</x:v>
      </x:c>
      <x:c r="X732" s="22" t="n">
        <x:f>MAX(0,MIN('Activities'!L732,120)-MAX('Activities'!K732,114))</x:f>
        <x:v>0</x:v>
      </x:c>
      <x:c r="Y732" s="22" t="n">
        <x:f>MAX(0,MIN('Activities'!L732,126)-MAX('Activities'!K732,120))</x:f>
        <x:v>0</x:v>
      </x:c>
      <x:c r="Z732" s="22" t="n">
        <x:f>MAX(0,MIN('Activities'!L732,132)-MAX('Activities'!K732,126))</x:f>
        <x:v>0</x:v>
      </x:c>
      <x:c r="AA732" s="22" t="n">
        <x:f>MAX(0,MIN('Activities'!L732,138)-MAX('Activities'!K732,132))</x:f>
        <x:v>0</x:v>
      </x:c>
      <x:c r="AB732" s="22" t="n">
        <x:f>MAX(0,MIN('Activities'!L732,144)-MAX('Activities'!K732,138))</x:f>
        <x:v>0</x:v>
      </x:c>
      <x:c r="AC732" s="22" t="n">
        <x:f>MAX(0,MIN('Activities'!L732,150)-MAX('Activities'!K732,144))</x:f>
        <x:v>0</x:v>
      </x:c>
      <x:c r="AD732" s="22" t="n">
        <x:f>MAX(0,MIN('Activities'!L732,156)-MAX('Activities'!K732,150))</x:f>
        <x:v>0</x:v>
      </x:c>
      <x:c r="AE732" s="22" t="n">
        <x:f>MAX(0,MIN('Activities'!L732,162)-MAX('Activities'!K732,156))</x:f>
        <x:v>0</x:v>
      </x:c>
      <x:c r="AF732" s="22" t="n">
        <x:f>MAX(0,MIN('Activities'!L732,168)-MAX('Activities'!K732,162))</x:f>
        <x:v>0</x:v>
      </x:c>
      <x:c r="AG732" s="22" t="n">
        <x:f>MAX(0,MIN('Activities'!L732,174)-MAX('Activities'!K732,168))</x:f>
        <x:v>0</x:v>
      </x:c>
      <x:c r="AH732" s="22" t="n">
        <x:f>MAX(0,MIN('Activities'!L732,180)-MAX('Activities'!K732,174))</x:f>
        <x:v>0</x:v>
      </x:c>
      <x:c r="AI732" s="22" t="n">
        <x:f>MAX(0,MIN('Activities'!L732,186)-MAX('Activities'!K732,180))</x:f>
        <x:v>0</x:v>
      </x:c>
      <x:c r="AJ732" s="22" t="n">
        <x:f>MAX(0,MIN('Activities'!L732,192)-MAX('Activities'!K732,186))</x:f>
        <x:v>0</x:v>
      </x:c>
      <x:c r="AK732" s="22" t="n">
        <x:f>MAX(0,MIN('Activities'!L732,198)-MAX('Activities'!K732,192))</x:f>
        <x:v>0</x:v>
      </x:c>
      <x:c r="AL732" s="22" t="n">
        <x:f>MAX(0,MIN('Activities'!L732,204)-MAX('Activities'!K732,198))</x:f>
        <x:v>0</x:v>
      </x:c>
      <x:c r="AM732" s="22" t="n">
        <x:f>MAX(0,MIN('Activities'!L732,210)-MAX('Activities'!K732,204))</x:f>
        <x:v>0</x:v>
      </x:c>
      <x:c r="AN732" s="22" t="n">
        <x:f>MAX(0,MIN('Activities'!L732,216)-MAX('Activities'!K732,210))</x:f>
        <x:v>0</x:v>
      </x:c>
      <x:c r="AO732" s="22" t="n">
        <x:f>MAX(0,MIN('Activities'!L732,222)-MAX('Activities'!K732,216))</x:f>
        <x:v>0</x:v>
      </x:c>
      <x:c r="AP732" s="22" t="n">
        <x:f>MAX(0,MIN('Activities'!L732,228)-MAX('Activities'!K732,222))</x:f>
        <x:v>0</x:v>
      </x:c>
      <x:c r="AQ732" s="22" t="n">
        <x:f>MAX(0,MIN('Activities'!L732,234)-MAX('Activities'!K732,228))</x:f>
        <x:v>0</x:v>
      </x:c>
      <x:c r="AR732" s="22" t="n">
        <x:f>MAX(0,MIN('Activities'!L732,240)-MAX('Activities'!K732,234))</x:f>
        <x:v>0</x:v>
      </x:c>
      <x:c r="AS732" s="22" t="n">
        <x:f>MAX(0,MIN('Activities'!L732,246)-MAX('Activities'!K732,240))</x:f>
        <x:v>0</x:v>
      </x:c>
      <x:c r="AT732" s="22" t="n">
        <x:f>MAX(0,MIN('Activities'!L732,252)-MAX('Activities'!K732,246))</x:f>
        <x:v>0</x:v>
      </x:c>
      <x:c r="AU732" s="22" t="n">
        <x:f>MAX(0,MIN('Activities'!L732,258)-MAX('Activities'!K732,252))</x:f>
        <x:v>0</x:v>
      </x:c>
      <x:c r="AV732" s="22" t="n">
        <x:f>MAX(0,MIN('Activities'!L732,264)-MAX('Activities'!K732,258))</x:f>
        <x:v>0</x:v>
      </x:c>
      <x:c r="AW732" s="22" t="n">
        <x:f>MAX(0,MIN('Activities'!L732,270)-MAX('Activities'!K732,264))</x:f>
        <x:v>0</x:v>
      </x:c>
      <x:c r="AX732" s="22" t="n">
        <x:f>MAX(0,MIN('Activities'!L732,276)-MAX('Activities'!K732,270))</x:f>
        <x:v>0</x:v>
      </x:c>
      <x:c r="AY732" s="22" t="n">
        <x:f>MAX(0,MIN('Activities'!L732,282)-MAX('Activities'!K732,276))</x:f>
        <x:v>0</x:v>
      </x:c>
      <x:c r="AZ732" s="22" t="n">
        <x:f>MAX(0,MIN('Activities'!L732,288)-MAX('Activities'!K732,282))</x:f>
        <x:v>0</x:v>
      </x:c>
      <x:c r="BA732" s="22" t="n">
        <x:f>MAX(0,MIN('Activities'!L732,294)-MAX('Activities'!K732,288))</x:f>
        <x:v>0</x:v>
      </x:c>
      <x:c r="BB732" s="22" t="n">
        <x:f>MAX(0,MIN('Activities'!L732,300)-MAX('Activities'!K732,294))</x:f>
        <x:v>0</x:v>
      </x:c>
      <x:c r="BC732" s="22" t="n">
        <x:f>MAX(0,MIN('Activities'!L732,306)-MAX('Activities'!K732,300))</x:f>
        <x:v>0</x:v>
      </x:c>
      <x:c r="BD732" s="22" t="n">
        <x:f>MAX(0,MIN('Activities'!L732,312)-MAX('Activities'!K732,306))</x:f>
        <x:v>0</x:v>
      </x:c>
      <x:c r="BE732" s="22" t="n">
        <x:f>MAX(0,MIN('Activities'!L732,318)-MAX('Activities'!K732,312))</x:f>
        <x:v>0</x:v>
      </x:c>
      <x:c r="BF732" s="22" t="n">
        <x:f>MAX(0,MIN('Activities'!L732,324)-MAX('Activities'!K732,318))</x:f>
        <x:v>0</x:v>
      </x:c>
      <x:c r="BG732" s="22" t="n">
        <x:f>MAX(0,MIN('Activities'!L732,330)-MAX('Activities'!K732,324))</x:f>
        <x:v>0</x:v>
      </x:c>
      <x:c r="BH732" s="22" t="n">
        <x:f>MAX(0,MIN('Activities'!L732,336)-MAX('Activities'!K732,330))</x:f>
        <x:v>0</x:v>
      </x:c>
      <x:c r="BI732" s="22" t="n">
        <x:f>MAX(0,MIN('Activities'!L732,342)-MAX('Activities'!K732,336))</x:f>
        <x:v>0</x:v>
      </x:c>
      <x:c r="BJ732" s="22" t="n">
        <x:f>MAX(0,MIN('Activities'!L732,348)-MAX('Activities'!K732,342))</x:f>
        <x:v>0</x:v>
      </x:c>
      <x:c r="BK732" s="22" t="n">
        <x:f>MAX(0,MIN('Activities'!L732,354)-MAX('Activities'!K732,348))</x:f>
        <x:v>0</x:v>
      </x:c>
      <x:c r="BL732" s="22" t="n">
        <x:f>MAX(0,MIN('Activities'!L732,360)-MAX('Activities'!K732,354))</x:f>
        <x:v>0</x:v>
      </x:c>
      <x:c r="BM732" s="22" t="n">
        <x:f>MAX(0,MIN('Activities'!L732,366)-MAX('Activities'!K732,360))</x:f>
        <x:v>0</x:v>
      </x:c>
      <x:c r="BN732" s="22" t="n">
        <x:f>MAX(0,MIN('Activities'!L732,372)-MAX('Activities'!K732,366))</x:f>
        <x:v>0</x:v>
      </x:c>
      <x:c r="BO732" s="22" t="n">
        <x:f>MAX(0,MIN('Activities'!L732,378)-MAX('Activities'!K732,372))</x:f>
        <x:v>0</x:v>
      </x:c>
      <x:c r="BP732" s="22" t="n">
        <x:f>MAX(0,MIN('Activities'!L732,384)-MAX('Activities'!K732,378))</x:f>
        <x:v>0</x:v>
      </x:c>
      <x:c r="BQ732" s="22" t="n">
        <x:f>MAX(0,MIN('Activities'!L732,390)-MAX('Activities'!K732,384))</x:f>
        <x:v>0</x:v>
      </x:c>
      <x:c r="BR732" s="22" t="n">
        <x:f>MAX(0,MIN('Activities'!L732,396)-MAX('Activities'!K732,390))</x:f>
        <x:v>0</x:v>
      </x:c>
      <x:c r="BS732" s="22" t="n">
        <x:f>MAX(0,MIN('Activities'!L732,402)-MAX('Activities'!K732,396))</x:f>
        <x:v>0</x:v>
      </x:c>
      <x:c r="BT732" s="22" t="n">
        <x:f>MAX(0,MIN('Activities'!L732,408)-MAX('Activities'!K732,402))</x:f>
        <x:v>0</x:v>
      </x:c>
      <x:c r="BU732" s="22" t="n">
        <x:f>MAX(0,MIN('Activities'!L732,414)-MAX('Activities'!K732,408))</x:f>
        <x:v>0</x:v>
      </x:c>
      <x:c r="BV732" s="22" t="n">
        <x:f>MAX(0,MIN('Activities'!L732,420)-MAX('Activities'!K732,414))</x:f>
        <x:v>0</x:v>
      </x:c>
      <x:c r="BW732" s="22" t="n">
        <x:f>MAX(0,MIN('Activities'!L732,426)-MAX('Activities'!K732,420))</x:f>
        <x:v>3</x:v>
      </x:c>
      <x:c r="BX732" s="22" t="n">
        <x:f>MAX(0,MIN('Activities'!L732,432)-MAX('Activities'!K732,426))</x:f>
        <x:v>2</x:v>
      </x:c>
      <x:c r="BY732" s="22" t="n">
        <x:f>MAX(0,MIN('Activities'!L732,438)-MAX('Activities'!K732,432))</x:f>
        <x:v>0</x:v>
      </x:c>
      <x:c r="BZ732" s="22" t="n">
        <x:f>MAX(0,MIN('Activities'!L732,444)-MAX('Activities'!K732,438))</x:f>
        <x:v>0</x:v>
      </x:c>
      <x:c r="CA732" s="22" t="n">
        <x:f>MAX(0,MIN('Activities'!L732,450)-MAX('Activities'!K732,444))</x:f>
        <x:v>0</x:v>
      </x:c>
      <x:c r="CB732" s="22" t="n">
        <x:f>MAX(0,MIN('Activities'!L732,456)-MAX('Activities'!K732,450))</x:f>
        <x:v>0</x:v>
      </x:c>
      <x:c r="CC732" s="22" t="n">
        <x:f>MAX(0,MIN('Activities'!L732,462)-MAX('Activities'!K732,456))</x:f>
        <x:v>0</x:v>
      </x:c>
      <x:c r="CD732" s="22" t="n">
        <x:f>MAX(0,MIN('Activities'!L732,468)-MAX('Activities'!K732,462))</x:f>
        <x:v>0</x:v>
      </x:c>
      <x:c r="CE732" s="22" t="n">
        <x:f>MAX(0,MIN('Activities'!L732,474)-MAX('Activities'!K732,468))</x:f>
        <x:v>0</x:v>
      </x:c>
      <x:c r="CF732" s="22" t="n">
        <x:f>MAX(0,MIN('Activities'!L732,480)-MAX('Activities'!K732,474))</x:f>
        <x:v>0</x:v>
      </x:c>
      <x:c r="CG732" s="22" t="n">
        <x:f>MAX(0,MIN('Activities'!L732,486)-MAX('Activities'!K732,480))</x:f>
        <x:v>0</x:v>
      </x:c>
      <x:c r="CH732" s="22" t="n">
        <x:f>MAX(0,MIN('Activities'!L732,492)-MAX('Activities'!K732,486))</x:f>
        <x:v>0</x:v>
      </x:c>
      <x:c r="CI732" s="22" t="n">
        <x:f>MAX(0,MIN('Activities'!L732,498)-MAX('Activities'!K732,492))</x:f>
        <x:v>0</x:v>
      </x:c>
      <x:c r="CJ732" s="22" t="n">
        <x:f>MAX(0,MIN('Activities'!L732,504)-MAX('Activities'!K732,498))</x:f>
        <x:v>0</x:v>
      </x:c>
      <x:c r="CK732" s="22" t="n">
        <x:f>MAX(0,MIN('Activities'!L732,510)-MAX('Activities'!K732,504))</x:f>
        <x:v>0</x:v>
      </x:c>
      <x:c r="CL732" s="22" t="n">
        <x:f>MAX(0,MIN('Activities'!L732,516)-MAX('Activities'!K732,510))</x:f>
        <x:v>0</x:v>
      </x:c>
      <x:c r="CM732" s="22" t="n">
        <x:f>MAX(0,MIN('Activities'!L732,522)-MAX('Activities'!K732,516))</x:f>
        <x:v>0</x:v>
      </x:c>
      <x:c r="CN732" s="22" t="n">
        <x:f>MAX(0,MIN('Activities'!L732,528)-MAX('Activities'!K732,522))</x:f>
        <x:v>0</x:v>
      </x:c>
      <x:c r="CO732" s="22" t="n">
        <x:f>MAX(0,MIN('Activities'!L732,534)-MAX('Activities'!K732,528))</x:f>
        <x:v>0</x:v>
      </x:c>
      <x:c r="CP732" s="22" t="n">
        <x:f>MAX(0,MIN('Activities'!L732,540)-MAX('Activities'!K732,534))</x:f>
        <x:v>0</x:v>
      </x:c>
      <x:c r="CQ732" s="22" t="n">
        <x:f>MAX(0,MIN('Activities'!L732,546)-MAX('Activities'!K732,540))</x:f>
        <x:v>0</x:v>
      </x:c>
      <x:c r="CR732" s="22" t="n">
        <x:f>MAX(0,MIN('Activities'!L732,552)-MAX('Activities'!K732,546))</x:f>
        <x:v>0</x:v>
      </x:c>
      <x:c r="CS732" s="22" t="n">
        <x:f>MAX(0,MIN('Activities'!L732,558)-MAX('Activities'!K732,552))</x:f>
        <x:v>0</x:v>
      </x:c>
      <x:c r="CT732" s="22" t="n">
        <x:f>MAX(0,MIN('Activities'!L732,564)-MAX('Activities'!K732,558))</x:f>
        <x:v>0</x:v>
      </x:c>
      <x:c r="CU732" s="22" t="n">
        <x:f>MAX(0,MIN('Activities'!L732,570)-MAX('Activities'!K732,564))</x:f>
        <x:v>0</x:v>
      </x:c>
      <x:c r="CV732" s="22" t="n">
        <x:f>MAX(0,MIN('Activities'!L732,576)-MAX('Activities'!K732,570))</x:f>
        <x:v>0</x:v>
      </x:c>
      <x:c r="CW732" s="22" t="n">
        <x:f>MAX(0,MIN('Activities'!L732,582)-MAX('Activities'!K732,576))</x:f>
        <x:v>0</x:v>
      </x:c>
      <x:c r="CX732" s="22" t="n">
        <x:f>MAX(0,MIN('Activities'!L732,588)-MAX('Activities'!K732,582))</x:f>
        <x:v>0</x:v>
      </x:c>
      <x:c r="CY732" s="22" t="n">
        <x:f>MAX(0,MIN('Activities'!L732,594)-MAX('Activities'!K732,588))</x:f>
        <x:v>0</x:v>
      </x:c>
      <x:c r="CZ732" s="22" t="n">
        <x:f>MAX(0,MIN('Activities'!L732,600)-MAX('Activities'!K732,594))</x:f>
        <x:v>0</x:v>
      </x:c>
      <x:c r="DA732" s="22" t="n">
        <x:f>MAX(0,MIN('Activities'!L732,606)-MAX('Activities'!K732,600))</x:f>
        <x:v>0</x:v>
      </x:c>
      <x:c r="DB732" s="22" t="n">
        <x:f>MAX(0,MIN('Activities'!L732,612)-MAX('Activities'!K732,606))</x:f>
        <x:v>0</x:v>
      </x:c>
      <x:c r="DC732" s="22" t="n">
        <x:f>MAX(0,MIN('Activities'!L732,618)-MAX('Activities'!K732,612))</x:f>
        <x:v>0</x:v>
      </x:c>
      <x:c r="DD732" s="22" t="n">
        <x:f>MAX(0,MIN('Activities'!L732,624)-MAX('Activities'!K732,618))</x:f>
        <x:v>0</x:v>
      </x:c>
      <x:c r="DE732" s="22" t="n">
        <x:f>MAX(0,MIN('Activities'!L732,630)-MAX('Activities'!K732,624))</x:f>
        <x:v>0</x:v>
      </x:c>
      <x:c r="DF732" s="22" t="n">
        <x:f>MAX(0,MIN('Activities'!L732,636)-MAX('Activities'!K732,630))</x:f>
        <x:v>0</x:v>
      </x:c>
    </x:row>
    <x:row r="733" ht="23" customHeight="1">
      <x:c r="A733" s="1" t="str">
        <x:v>T6-RF</x:v>
      </x:c>
      <x:c r="B733" s="1" t="str">
        <x:v>T6</x:v>
      </x:c>
      <x:c r="C733" s="1" t="str">
        <x:v>Roof membrane and weatherproofing</x:v>
      </x:c>
      <x:c r="D733" s="1" t="str">
        <x:v>Envelope</x:v>
      </x:c>
      <x:c r="E733" s="23" t="n">
        <x:f>MAX(0,MIN('Activities'!L733,6)-MAX('Activities'!K733,0))</x:f>
        <x:v>0</x:v>
      </x:c>
      <x:c r="F733" s="23" t="n">
        <x:f>MAX(0,MIN('Activities'!L733,12)-MAX('Activities'!K733,6))</x:f>
        <x:v>0</x:v>
      </x:c>
      <x:c r="G733" s="23" t="n">
        <x:f>MAX(0,MIN('Activities'!L733,18)-MAX('Activities'!K733,12))</x:f>
        <x:v>0</x:v>
      </x:c>
      <x:c r="H733" s="23" t="n">
        <x:f>MAX(0,MIN('Activities'!L733,24)-MAX('Activities'!K733,18))</x:f>
        <x:v>0</x:v>
      </x:c>
      <x:c r="I733" s="23" t="n">
        <x:f>MAX(0,MIN('Activities'!L733,30)-MAX('Activities'!K733,24))</x:f>
        <x:v>0</x:v>
      </x:c>
      <x:c r="J733" s="23" t="n">
        <x:f>MAX(0,MIN('Activities'!L733,36)-MAX('Activities'!K733,30))</x:f>
        <x:v>0</x:v>
      </x:c>
      <x:c r="K733" s="23" t="n">
        <x:f>MAX(0,MIN('Activities'!L733,42)-MAX('Activities'!K733,36))</x:f>
        <x:v>0</x:v>
      </x:c>
      <x:c r="L733" s="23" t="n">
        <x:f>MAX(0,MIN('Activities'!L733,48)-MAX('Activities'!K733,42))</x:f>
        <x:v>0</x:v>
      </x:c>
      <x:c r="M733" s="23" t="n">
        <x:f>MAX(0,MIN('Activities'!L733,54)-MAX('Activities'!K733,48))</x:f>
        <x:v>0</x:v>
      </x:c>
      <x:c r="N733" s="23" t="n">
        <x:f>MAX(0,MIN('Activities'!L733,60)-MAX('Activities'!K733,54))</x:f>
        <x:v>0</x:v>
      </x:c>
      <x:c r="O733" s="23" t="n">
        <x:f>MAX(0,MIN('Activities'!L733,66)-MAX('Activities'!K733,60))</x:f>
        <x:v>0</x:v>
      </x:c>
      <x:c r="P733" s="23" t="n">
        <x:f>MAX(0,MIN('Activities'!L733,72)-MAX('Activities'!K733,66))</x:f>
        <x:v>0</x:v>
      </x:c>
      <x:c r="Q733" s="23" t="n">
        <x:f>MAX(0,MIN('Activities'!L733,78)-MAX('Activities'!K733,72))</x:f>
        <x:v>0</x:v>
      </x:c>
      <x:c r="R733" s="23" t="n">
        <x:f>MAX(0,MIN('Activities'!L733,84)-MAX('Activities'!K733,78))</x:f>
        <x:v>0</x:v>
      </x:c>
      <x:c r="S733" s="23" t="n">
        <x:f>MAX(0,MIN('Activities'!L733,90)-MAX('Activities'!K733,84))</x:f>
        <x:v>0</x:v>
      </x:c>
      <x:c r="T733" s="23" t="n">
        <x:f>MAX(0,MIN('Activities'!L733,96)-MAX('Activities'!K733,90))</x:f>
        <x:v>0</x:v>
      </x:c>
      <x:c r="U733" s="23" t="n">
        <x:f>MAX(0,MIN('Activities'!L733,102)-MAX('Activities'!K733,96))</x:f>
        <x:v>0</x:v>
      </x:c>
      <x:c r="V733" s="23" t="n">
        <x:f>MAX(0,MIN('Activities'!L733,108)-MAX('Activities'!K733,102))</x:f>
        <x:v>0</x:v>
      </x:c>
      <x:c r="W733" s="23" t="n">
        <x:f>MAX(0,MIN('Activities'!L733,114)-MAX('Activities'!K733,108))</x:f>
        <x:v>0</x:v>
      </x:c>
      <x:c r="X733" s="23" t="n">
        <x:f>MAX(0,MIN('Activities'!L733,120)-MAX('Activities'!K733,114))</x:f>
        <x:v>0</x:v>
      </x:c>
      <x:c r="Y733" s="23" t="n">
        <x:f>MAX(0,MIN('Activities'!L733,126)-MAX('Activities'!K733,120))</x:f>
        <x:v>0</x:v>
      </x:c>
      <x:c r="Z733" s="23" t="n">
        <x:f>MAX(0,MIN('Activities'!L733,132)-MAX('Activities'!K733,126))</x:f>
        <x:v>0</x:v>
      </x:c>
      <x:c r="AA733" s="23" t="n">
        <x:f>MAX(0,MIN('Activities'!L733,138)-MAX('Activities'!K733,132))</x:f>
        <x:v>0</x:v>
      </x:c>
      <x:c r="AB733" s="23" t="n">
        <x:f>MAX(0,MIN('Activities'!L733,144)-MAX('Activities'!K733,138))</x:f>
        <x:v>0</x:v>
      </x:c>
      <x:c r="AC733" s="23" t="n">
        <x:f>MAX(0,MIN('Activities'!L733,150)-MAX('Activities'!K733,144))</x:f>
        <x:v>0</x:v>
      </x:c>
      <x:c r="AD733" s="23" t="n">
        <x:f>MAX(0,MIN('Activities'!L733,156)-MAX('Activities'!K733,150))</x:f>
        <x:v>0</x:v>
      </x:c>
      <x:c r="AE733" s="23" t="n">
        <x:f>MAX(0,MIN('Activities'!L733,162)-MAX('Activities'!K733,156))</x:f>
        <x:v>0</x:v>
      </x:c>
      <x:c r="AF733" s="23" t="n">
        <x:f>MAX(0,MIN('Activities'!L733,168)-MAX('Activities'!K733,162))</x:f>
        <x:v>0</x:v>
      </x:c>
      <x:c r="AG733" s="23" t="n">
        <x:f>MAX(0,MIN('Activities'!L733,174)-MAX('Activities'!K733,168))</x:f>
        <x:v>0</x:v>
      </x:c>
      <x:c r="AH733" s="23" t="n">
        <x:f>MAX(0,MIN('Activities'!L733,180)-MAX('Activities'!K733,174))</x:f>
        <x:v>0</x:v>
      </x:c>
      <x:c r="AI733" s="23" t="n">
        <x:f>MAX(0,MIN('Activities'!L733,186)-MAX('Activities'!K733,180))</x:f>
        <x:v>0</x:v>
      </x:c>
      <x:c r="AJ733" s="23" t="n">
        <x:f>MAX(0,MIN('Activities'!L733,192)-MAX('Activities'!K733,186))</x:f>
        <x:v>0</x:v>
      </x:c>
      <x:c r="AK733" s="23" t="n">
        <x:f>MAX(0,MIN('Activities'!L733,198)-MAX('Activities'!K733,192))</x:f>
        <x:v>0</x:v>
      </x:c>
      <x:c r="AL733" s="23" t="n">
        <x:f>MAX(0,MIN('Activities'!L733,204)-MAX('Activities'!K733,198))</x:f>
        <x:v>0</x:v>
      </x:c>
      <x:c r="AM733" s="23" t="n">
        <x:f>MAX(0,MIN('Activities'!L733,210)-MAX('Activities'!K733,204))</x:f>
        <x:v>0</x:v>
      </x:c>
      <x:c r="AN733" s="23" t="n">
        <x:f>MAX(0,MIN('Activities'!L733,216)-MAX('Activities'!K733,210))</x:f>
        <x:v>0</x:v>
      </x:c>
      <x:c r="AO733" s="23" t="n">
        <x:f>MAX(0,MIN('Activities'!L733,222)-MAX('Activities'!K733,216))</x:f>
        <x:v>0</x:v>
      </x:c>
      <x:c r="AP733" s="23" t="n">
        <x:f>MAX(0,MIN('Activities'!L733,228)-MAX('Activities'!K733,222))</x:f>
        <x:v>0</x:v>
      </x:c>
      <x:c r="AQ733" s="23" t="n">
        <x:f>MAX(0,MIN('Activities'!L733,234)-MAX('Activities'!K733,228))</x:f>
        <x:v>0</x:v>
      </x:c>
      <x:c r="AR733" s="23" t="n">
        <x:f>MAX(0,MIN('Activities'!L733,240)-MAX('Activities'!K733,234))</x:f>
        <x:v>0</x:v>
      </x:c>
      <x:c r="AS733" s="23" t="n">
        <x:f>MAX(0,MIN('Activities'!L733,246)-MAX('Activities'!K733,240))</x:f>
        <x:v>0</x:v>
      </x:c>
      <x:c r="AT733" s="23" t="n">
        <x:f>MAX(0,MIN('Activities'!L733,252)-MAX('Activities'!K733,246))</x:f>
        <x:v>0</x:v>
      </x:c>
      <x:c r="AU733" s="23" t="n">
        <x:f>MAX(0,MIN('Activities'!L733,258)-MAX('Activities'!K733,252))</x:f>
        <x:v>0</x:v>
      </x:c>
      <x:c r="AV733" s="23" t="n">
        <x:f>MAX(0,MIN('Activities'!L733,264)-MAX('Activities'!K733,258))</x:f>
        <x:v>0</x:v>
      </x:c>
      <x:c r="AW733" s="23" t="n">
        <x:f>MAX(0,MIN('Activities'!L733,270)-MAX('Activities'!K733,264))</x:f>
        <x:v>0</x:v>
      </x:c>
      <x:c r="AX733" s="23" t="n">
        <x:f>MAX(0,MIN('Activities'!L733,276)-MAX('Activities'!K733,270))</x:f>
        <x:v>0</x:v>
      </x:c>
      <x:c r="AY733" s="23" t="n">
        <x:f>MAX(0,MIN('Activities'!L733,282)-MAX('Activities'!K733,276))</x:f>
        <x:v>0</x:v>
      </x:c>
      <x:c r="AZ733" s="23" t="n">
        <x:f>MAX(0,MIN('Activities'!L733,288)-MAX('Activities'!K733,282))</x:f>
        <x:v>0</x:v>
      </x:c>
      <x:c r="BA733" s="23" t="n">
        <x:f>MAX(0,MIN('Activities'!L733,294)-MAX('Activities'!K733,288))</x:f>
        <x:v>0</x:v>
      </x:c>
      <x:c r="BB733" s="23" t="n">
        <x:f>MAX(0,MIN('Activities'!L733,300)-MAX('Activities'!K733,294))</x:f>
        <x:v>0</x:v>
      </x:c>
      <x:c r="BC733" s="23" t="n">
        <x:f>MAX(0,MIN('Activities'!L733,306)-MAX('Activities'!K733,300))</x:f>
        <x:v>0</x:v>
      </x:c>
      <x:c r="BD733" s="23" t="n">
        <x:f>MAX(0,MIN('Activities'!L733,312)-MAX('Activities'!K733,306))</x:f>
        <x:v>0</x:v>
      </x:c>
      <x:c r="BE733" s="23" t="n">
        <x:f>MAX(0,MIN('Activities'!L733,318)-MAX('Activities'!K733,312))</x:f>
        <x:v>0</x:v>
      </x:c>
      <x:c r="BF733" s="23" t="n">
        <x:f>MAX(0,MIN('Activities'!L733,324)-MAX('Activities'!K733,318))</x:f>
        <x:v>0</x:v>
      </x:c>
      <x:c r="BG733" s="23" t="n">
        <x:f>MAX(0,MIN('Activities'!L733,330)-MAX('Activities'!K733,324))</x:f>
        <x:v>0</x:v>
      </x:c>
      <x:c r="BH733" s="23" t="n">
        <x:f>MAX(0,MIN('Activities'!L733,336)-MAX('Activities'!K733,330))</x:f>
        <x:v>0</x:v>
      </x:c>
      <x:c r="BI733" s="23" t="n">
        <x:f>MAX(0,MIN('Activities'!L733,342)-MAX('Activities'!K733,336))</x:f>
        <x:v>0</x:v>
      </x:c>
      <x:c r="BJ733" s="23" t="n">
        <x:f>MAX(0,MIN('Activities'!L733,348)-MAX('Activities'!K733,342))</x:f>
        <x:v>0</x:v>
      </x:c>
      <x:c r="BK733" s="23" t="n">
        <x:f>MAX(0,MIN('Activities'!L733,354)-MAX('Activities'!K733,348))</x:f>
        <x:v>0</x:v>
      </x:c>
      <x:c r="BL733" s="23" t="n">
        <x:f>MAX(0,MIN('Activities'!L733,360)-MAX('Activities'!K733,354))</x:f>
        <x:v>0</x:v>
      </x:c>
      <x:c r="BM733" s="23" t="n">
        <x:f>MAX(0,MIN('Activities'!L733,366)-MAX('Activities'!K733,360))</x:f>
        <x:v>0</x:v>
      </x:c>
      <x:c r="BN733" s="23" t="n">
        <x:f>MAX(0,MIN('Activities'!L733,372)-MAX('Activities'!K733,366))</x:f>
        <x:v>0</x:v>
      </x:c>
      <x:c r="BO733" s="23" t="n">
        <x:f>MAX(0,MIN('Activities'!L733,378)-MAX('Activities'!K733,372))</x:f>
        <x:v>0</x:v>
      </x:c>
      <x:c r="BP733" s="23" t="n">
        <x:f>MAX(0,MIN('Activities'!L733,384)-MAX('Activities'!K733,378))</x:f>
        <x:v>0</x:v>
      </x:c>
      <x:c r="BQ733" s="23" t="n">
        <x:f>MAX(0,MIN('Activities'!L733,390)-MAX('Activities'!K733,384))</x:f>
        <x:v>0</x:v>
      </x:c>
      <x:c r="BR733" s="23" t="n">
        <x:f>MAX(0,MIN('Activities'!L733,396)-MAX('Activities'!K733,390))</x:f>
        <x:v>0</x:v>
      </x:c>
      <x:c r="BS733" s="23" t="n">
        <x:f>MAX(0,MIN('Activities'!L733,402)-MAX('Activities'!K733,396))</x:f>
        <x:v>0</x:v>
      </x:c>
      <x:c r="BT733" s="23" t="n">
        <x:f>MAX(0,MIN('Activities'!L733,408)-MAX('Activities'!K733,402))</x:f>
        <x:v>0</x:v>
      </x:c>
      <x:c r="BU733" s="23" t="n">
        <x:f>MAX(0,MIN('Activities'!L733,414)-MAX('Activities'!K733,408))</x:f>
        <x:v>0</x:v>
      </x:c>
      <x:c r="BV733" s="23" t="n">
        <x:f>MAX(0,MIN('Activities'!L733,420)-MAX('Activities'!K733,414))</x:f>
        <x:v>0</x:v>
      </x:c>
      <x:c r="BW733" s="23" t="n">
        <x:f>MAX(0,MIN('Activities'!L733,426)-MAX('Activities'!K733,420))</x:f>
        <x:v>0</x:v>
      </x:c>
      <x:c r="BX733" s="23" t="n">
        <x:f>MAX(0,MIN('Activities'!L733,432)-MAX('Activities'!K733,426))</x:f>
        <x:v>0</x:v>
      </x:c>
      <x:c r="BY733" s="23" t="n">
        <x:f>MAX(0,MIN('Activities'!L733,438)-MAX('Activities'!K733,432))</x:f>
        <x:v>5</x:v>
      </x:c>
      <x:c r="BZ733" s="23" t="n">
        <x:f>MAX(0,MIN('Activities'!L733,444)-MAX('Activities'!K733,438))</x:f>
        <x:v>6</x:v>
      </x:c>
      <x:c r="CA733" s="23" t="n">
        <x:f>MAX(0,MIN('Activities'!L733,450)-MAX('Activities'!K733,444))</x:f>
        <x:v>3</x:v>
      </x:c>
      <x:c r="CB733" s="23" t="n">
        <x:f>MAX(0,MIN('Activities'!L733,456)-MAX('Activities'!K733,450))</x:f>
        <x:v>0</x:v>
      </x:c>
      <x:c r="CC733" s="23" t="n">
        <x:f>MAX(0,MIN('Activities'!L733,462)-MAX('Activities'!K733,456))</x:f>
        <x:v>0</x:v>
      </x:c>
      <x:c r="CD733" s="23" t="n">
        <x:f>MAX(0,MIN('Activities'!L733,468)-MAX('Activities'!K733,462))</x:f>
        <x:v>0</x:v>
      </x:c>
      <x:c r="CE733" s="23" t="n">
        <x:f>MAX(0,MIN('Activities'!L733,474)-MAX('Activities'!K733,468))</x:f>
        <x:v>0</x:v>
      </x:c>
      <x:c r="CF733" s="23" t="n">
        <x:f>MAX(0,MIN('Activities'!L733,480)-MAX('Activities'!K733,474))</x:f>
        <x:v>0</x:v>
      </x:c>
      <x:c r="CG733" s="23" t="n">
        <x:f>MAX(0,MIN('Activities'!L733,486)-MAX('Activities'!K733,480))</x:f>
        <x:v>0</x:v>
      </x:c>
      <x:c r="CH733" s="23" t="n">
        <x:f>MAX(0,MIN('Activities'!L733,492)-MAX('Activities'!K733,486))</x:f>
        <x:v>0</x:v>
      </x:c>
      <x:c r="CI733" s="23" t="n">
        <x:f>MAX(0,MIN('Activities'!L733,498)-MAX('Activities'!K733,492))</x:f>
        <x:v>0</x:v>
      </x:c>
      <x:c r="CJ733" s="23" t="n">
        <x:f>MAX(0,MIN('Activities'!L733,504)-MAX('Activities'!K733,498))</x:f>
        <x:v>0</x:v>
      </x:c>
      <x:c r="CK733" s="23" t="n">
        <x:f>MAX(0,MIN('Activities'!L733,510)-MAX('Activities'!K733,504))</x:f>
        <x:v>0</x:v>
      </x:c>
      <x:c r="CL733" s="23" t="n">
        <x:f>MAX(0,MIN('Activities'!L733,516)-MAX('Activities'!K733,510))</x:f>
        <x:v>0</x:v>
      </x:c>
      <x:c r="CM733" s="23" t="n">
        <x:f>MAX(0,MIN('Activities'!L733,522)-MAX('Activities'!K733,516))</x:f>
        <x:v>0</x:v>
      </x:c>
      <x:c r="CN733" s="23" t="n">
        <x:f>MAX(0,MIN('Activities'!L733,528)-MAX('Activities'!K733,522))</x:f>
        <x:v>0</x:v>
      </x:c>
      <x:c r="CO733" s="23" t="n">
        <x:f>MAX(0,MIN('Activities'!L733,534)-MAX('Activities'!K733,528))</x:f>
        <x:v>0</x:v>
      </x:c>
      <x:c r="CP733" s="23" t="n">
        <x:f>MAX(0,MIN('Activities'!L733,540)-MAX('Activities'!K733,534))</x:f>
        <x:v>0</x:v>
      </x:c>
      <x:c r="CQ733" s="23" t="n">
        <x:f>MAX(0,MIN('Activities'!L733,546)-MAX('Activities'!K733,540))</x:f>
        <x:v>0</x:v>
      </x:c>
      <x:c r="CR733" s="23" t="n">
        <x:f>MAX(0,MIN('Activities'!L733,552)-MAX('Activities'!K733,546))</x:f>
        <x:v>0</x:v>
      </x:c>
      <x:c r="CS733" s="23" t="n">
        <x:f>MAX(0,MIN('Activities'!L733,558)-MAX('Activities'!K733,552))</x:f>
        <x:v>0</x:v>
      </x:c>
      <x:c r="CT733" s="23" t="n">
        <x:f>MAX(0,MIN('Activities'!L733,564)-MAX('Activities'!K733,558))</x:f>
        <x:v>0</x:v>
      </x:c>
      <x:c r="CU733" s="23" t="n">
        <x:f>MAX(0,MIN('Activities'!L733,570)-MAX('Activities'!K733,564))</x:f>
        <x:v>0</x:v>
      </x:c>
      <x:c r="CV733" s="23" t="n">
        <x:f>MAX(0,MIN('Activities'!L733,576)-MAX('Activities'!K733,570))</x:f>
        <x:v>0</x:v>
      </x:c>
      <x:c r="CW733" s="23" t="n">
        <x:f>MAX(0,MIN('Activities'!L733,582)-MAX('Activities'!K733,576))</x:f>
        <x:v>0</x:v>
      </x:c>
      <x:c r="CX733" s="23" t="n">
        <x:f>MAX(0,MIN('Activities'!L733,588)-MAX('Activities'!K733,582))</x:f>
        <x:v>0</x:v>
      </x:c>
      <x:c r="CY733" s="23" t="n">
        <x:f>MAX(0,MIN('Activities'!L733,594)-MAX('Activities'!K733,588))</x:f>
        <x:v>0</x:v>
      </x:c>
      <x:c r="CZ733" s="23" t="n">
        <x:f>MAX(0,MIN('Activities'!L733,600)-MAX('Activities'!K733,594))</x:f>
        <x:v>0</x:v>
      </x:c>
      <x:c r="DA733" s="23" t="n">
        <x:f>MAX(0,MIN('Activities'!L733,606)-MAX('Activities'!K733,600))</x:f>
        <x:v>0</x:v>
      </x:c>
      <x:c r="DB733" s="23" t="n">
        <x:f>MAX(0,MIN('Activities'!L733,612)-MAX('Activities'!K733,606))</x:f>
        <x:v>0</x:v>
      </x:c>
      <x:c r="DC733" s="23" t="n">
        <x:f>MAX(0,MIN('Activities'!L733,618)-MAX('Activities'!K733,612))</x:f>
        <x:v>0</x:v>
      </x:c>
      <x:c r="DD733" s="23" t="n">
        <x:f>MAX(0,MIN('Activities'!L733,624)-MAX('Activities'!K733,618))</x:f>
        <x:v>0</x:v>
      </x:c>
      <x:c r="DE733" s="23" t="n">
        <x:f>MAX(0,MIN('Activities'!L733,630)-MAX('Activities'!K733,624))</x:f>
        <x:v>0</x:v>
      </x:c>
      <x:c r="DF733" s="23" t="n">
        <x:f>MAX(0,MIN('Activities'!L733,636)-MAX('Activities'!K733,630))</x:f>
        <x:v>0</x:v>
      </x:c>
    </x:row>
    <x:row r="734" ht="23" customHeight="1">
      <x:c r="A734" s="6" t="str">
        <x:v>T6-FA</x:v>
      </x:c>
      <x:c r="B734" s="6" t="str">
        <x:v>T6</x:v>
      </x:c>
      <x:c r="C734" s="6" t="str">
        <x:v>Insulated facade installation</x:v>
      </x:c>
      <x:c r="D734" s="6" t="str">
        <x:v>Envelope</x:v>
      </x:c>
      <x:c r="E734" s="22" t="n">
        <x:f>MAX(0,MIN('Activities'!L734,6)-MAX('Activities'!K734,0))</x:f>
        <x:v>0</x:v>
      </x:c>
      <x:c r="F734" s="22" t="n">
        <x:f>MAX(0,MIN('Activities'!L734,12)-MAX('Activities'!K734,6))</x:f>
        <x:v>0</x:v>
      </x:c>
      <x:c r="G734" s="22" t="n">
        <x:f>MAX(0,MIN('Activities'!L734,18)-MAX('Activities'!K734,12))</x:f>
        <x:v>0</x:v>
      </x:c>
      <x:c r="H734" s="22" t="n">
        <x:f>MAX(0,MIN('Activities'!L734,24)-MAX('Activities'!K734,18))</x:f>
        <x:v>0</x:v>
      </x:c>
      <x:c r="I734" s="22" t="n">
        <x:f>MAX(0,MIN('Activities'!L734,30)-MAX('Activities'!K734,24))</x:f>
        <x:v>0</x:v>
      </x:c>
      <x:c r="J734" s="22" t="n">
        <x:f>MAX(0,MIN('Activities'!L734,36)-MAX('Activities'!K734,30))</x:f>
        <x:v>0</x:v>
      </x:c>
      <x:c r="K734" s="22" t="n">
        <x:f>MAX(0,MIN('Activities'!L734,42)-MAX('Activities'!K734,36))</x:f>
        <x:v>0</x:v>
      </x:c>
      <x:c r="L734" s="22" t="n">
        <x:f>MAX(0,MIN('Activities'!L734,48)-MAX('Activities'!K734,42))</x:f>
        <x:v>0</x:v>
      </x:c>
      <x:c r="M734" s="22" t="n">
        <x:f>MAX(0,MIN('Activities'!L734,54)-MAX('Activities'!K734,48))</x:f>
        <x:v>0</x:v>
      </x:c>
      <x:c r="N734" s="22" t="n">
        <x:f>MAX(0,MIN('Activities'!L734,60)-MAX('Activities'!K734,54))</x:f>
        <x:v>0</x:v>
      </x:c>
      <x:c r="O734" s="22" t="n">
        <x:f>MAX(0,MIN('Activities'!L734,66)-MAX('Activities'!K734,60))</x:f>
        <x:v>0</x:v>
      </x:c>
      <x:c r="P734" s="22" t="n">
        <x:f>MAX(0,MIN('Activities'!L734,72)-MAX('Activities'!K734,66))</x:f>
        <x:v>0</x:v>
      </x:c>
      <x:c r="Q734" s="22" t="n">
        <x:f>MAX(0,MIN('Activities'!L734,78)-MAX('Activities'!K734,72))</x:f>
        <x:v>0</x:v>
      </x:c>
      <x:c r="R734" s="22" t="n">
        <x:f>MAX(0,MIN('Activities'!L734,84)-MAX('Activities'!K734,78))</x:f>
        <x:v>0</x:v>
      </x:c>
      <x:c r="S734" s="22" t="n">
        <x:f>MAX(0,MIN('Activities'!L734,90)-MAX('Activities'!K734,84))</x:f>
        <x:v>0</x:v>
      </x:c>
      <x:c r="T734" s="22" t="n">
        <x:f>MAX(0,MIN('Activities'!L734,96)-MAX('Activities'!K734,90))</x:f>
        <x:v>0</x:v>
      </x:c>
      <x:c r="U734" s="22" t="n">
        <x:f>MAX(0,MIN('Activities'!L734,102)-MAX('Activities'!K734,96))</x:f>
        <x:v>0</x:v>
      </x:c>
      <x:c r="V734" s="22" t="n">
        <x:f>MAX(0,MIN('Activities'!L734,108)-MAX('Activities'!K734,102))</x:f>
        <x:v>0</x:v>
      </x:c>
      <x:c r="W734" s="22" t="n">
        <x:f>MAX(0,MIN('Activities'!L734,114)-MAX('Activities'!K734,108))</x:f>
        <x:v>0</x:v>
      </x:c>
      <x:c r="X734" s="22" t="n">
        <x:f>MAX(0,MIN('Activities'!L734,120)-MAX('Activities'!K734,114))</x:f>
        <x:v>0</x:v>
      </x:c>
      <x:c r="Y734" s="22" t="n">
        <x:f>MAX(0,MIN('Activities'!L734,126)-MAX('Activities'!K734,120))</x:f>
        <x:v>0</x:v>
      </x:c>
      <x:c r="Z734" s="22" t="n">
        <x:f>MAX(0,MIN('Activities'!L734,132)-MAX('Activities'!K734,126))</x:f>
        <x:v>0</x:v>
      </x:c>
      <x:c r="AA734" s="22" t="n">
        <x:f>MAX(0,MIN('Activities'!L734,138)-MAX('Activities'!K734,132))</x:f>
        <x:v>0</x:v>
      </x:c>
      <x:c r="AB734" s="22" t="n">
        <x:f>MAX(0,MIN('Activities'!L734,144)-MAX('Activities'!K734,138))</x:f>
        <x:v>0</x:v>
      </x:c>
      <x:c r="AC734" s="22" t="n">
        <x:f>MAX(0,MIN('Activities'!L734,150)-MAX('Activities'!K734,144))</x:f>
        <x:v>0</x:v>
      </x:c>
      <x:c r="AD734" s="22" t="n">
        <x:f>MAX(0,MIN('Activities'!L734,156)-MAX('Activities'!K734,150))</x:f>
        <x:v>0</x:v>
      </x:c>
      <x:c r="AE734" s="22" t="n">
        <x:f>MAX(0,MIN('Activities'!L734,162)-MAX('Activities'!K734,156))</x:f>
        <x:v>0</x:v>
      </x:c>
      <x:c r="AF734" s="22" t="n">
        <x:f>MAX(0,MIN('Activities'!L734,168)-MAX('Activities'!K734,162))</x:f>
        <x:v>0</x:v>
      </x:c>
      <x:c r="AG734" s="22" t="n">
        <x:f>MAX(0,MIN('Activities'!L734,174)-MAX('Activities'!K734,168))</x:f>
        <x:v>0</x:v>
      </x:c>
      <x:c r="AH734" s="22" t="n">
        <x:f>MAX(0,MIN('Activities'!L734,180)-MAX('Activities'!K734,174))</x:f>
        <x:v>0</x:v>
      </x:c>
      <x:c r="AI734" s="22" t="n">
        <x:f>MAX(0,MIN('Activities'!L734,186)-MAX('Activities'!K734,180))</x:f>
        <x:v>0</x:v>
      </x:c>
      <x:c r="AJ734" s="22" t="n">
        <x:f>MAX(0,MIN('Activities'!L734,192)-MAX('Activities'!K734,186))</x:f>
        <x:v>0</x:v>
      </x:c>
      <x:c r="AK734" s="22" t="n">
        <x:f>MAX(0,MIN('Activities'!L734,198)-MAX('Activities'!K734,192))</x:f>
        <x:v>0</x:v>
      </x:c>
      <x:c r="AL734" s="22" t="n">
        <x:f>MAX(0,MIN('Activities'!L734,204)-MAX('Activities'!K734,198))</x:f>
        <x:v>0</x:v>
      </x:c>
      <x:c r="AM734" s="22" t="n">
        <x:f>MAX(0,MIN('Activities'!L734,210)-MAX('Activities'!K734,204))</x:f>
        <x:v>0</x:v>
      </x:c>
      <x:c r="AN734" s="22" t="n">
        <x:f>MAX(0,MIN('Activities'!L734,216)-MAX('Activities'!K734,210))</x:f>
        <x:v>0</x:v>
      </x:c>
      <x:c r="AO734" s="22" t="n">
        <x:f>MAX(0,MIN('Activities'!L734,222)-MAX('Activities'!K734,216))</x:f>
        <x:v>0</x:v>
      </x:c>
      <x:c r="AP734" s="22" t="n">
        <x:f>MAX(0,MIN('Activities'!L734,228)-MAX('Activities'!K734,222))</x:f>
        <x:v>0</x:v>
      </x:c>
      <x:c r="AQ734" s="22" t="n">
        <x:f>MAX(0,MIN('Activities'!L734,234)-MAX('Activities'!K734,228))</x:f>
        <x:v>0</x:v>
      </x:c>
      <x:c r="AR734" s="22" t="n">
        <x:f>MAX(0,MIN('Activities'!L734,240)-MAX('Activities'!K734,234))</x:f>
        <x:v>0</x:v>
      </x:c>
      <x:c r="AS734" s="22" t="n">
        <x:f>MAX(0,MIN('Activities'!L734,246)-MAX('Activities'!K734,240))</x:f>
        <x:v>0</x:v>
      </x:c>
      <x:c r="AT734" s="22" t="n">
        <x:f>MAX(0,MIN('Activities'!L734,252)-MAX('Activities'!K734,246))</x:f>
        <x:v>0</x:v>
      </x:c>
      <x:c r="AU734" s="22" t="n">
        <x:f>MAX(0,MIN('Activities'!L734,258)-MAX('Activities'!K734,252))</x:f>
        <x:v>0</x:v>
      </x:c>
      <x:c r="AV734" s="22" t="n">
        <x:f>MAX(0,MIN('Activities'!L734,264)-MAX('Activities'!K734,258))</x:f>
        <x:v>0</x:v>
      </x:c>
      <x:c r="AW734" s="22" t="n">
        <x:f>MAX(0,MIN('Activities'!L734,270)-MAX('Activities'!K734,264))</x:f>
        <x:v>0</x:v>
      </x:c>
      <x:c r="AX734" s="22" t="n">
        <x:f>MAX(0,MIN('Activities'!L734,276)-MAX('Activities'!K734,270))</x:f>
        <x:v>0</x:v>
      </x:c>
      <x:c r="AY734" s="22" t="n">
        <x:f>MAX(0,MIN('Activities'!L734,282)-MAX('Activities'!K734,276))</x:f>
        <x:v>0</x:v>
      </x:c>
      <x:c r="AZ734" s="22" t="n">
        <x:f>MAX(0,MIN('Activities'!L734,288)-MAX('Activities'!K734,282))</x:f>
        <x:v>0</x:v>
      </x:c>
      <x:c r="BA734" s="22" t="n">
        <x:f>MAX(0,MIN('Activities'!L734,294)-MAX('Activities'!K734,288))</x:f>
        <x:v>0</x:v>
      </x:c>
      <x:c r="BB734" s="22" t="n">
        <x:f>MAX(0,MIN('Activities'!L734,300)-MAX('Activities'!K734,294))</x:f>
        <x:v>0</x:v>
      </x:c>
      <x:c r="BC734" s="22" t="n">
        <x:f>MAX(0,MIN('Activities'!L734,306)-MAX('Activities'!K734,300))</x:f>
        <x:v>0</x:v>
      </x:c>
      <x:c r="BD734" s="22" t="n">
        <x:f>MAX(0,MIN('Activities'!L734,312)-MAX('Activities'!K734,306))</x:f>
        <x:v>0</x:v>
      </x:c>
      <x:c r="BE734" s="22" t="n">
        <x:f>MAX(0,MIN('Activities'!L734,318)-MAX('Activities'!K734,312))</x:f>
        <x:v>0</x:v>
      </x:c>
      <x:c r="BF734" s="22" t="n">
        <x:f>MAX(0,MIN('Activities'!L734,324)-MAX('Activities'!K734,318))</x:f>
        <x:v>0</x:v>
      </x:c>
      <x:c r="BG734" s="22" t="n">
        <x:f>MAX(0,MIN('Activities'!L734,330)-MAX('Activities'!K734,324))</x:f>
        <x:v>0</x:v>
      </x:c>
      <x:c r="BH734" s="22" t="n">
        <x:f>MAX(0,MIN('Activities'!L734,336)-MAX('Activities'!K734,330))</x:f>
        <x:v>0</x:v>
      </x:c>
      <x:c r="BI734" s="22" t="n">
        <x:f>MAX(0,MIN('Activities'!L734,342)-MAX('Activities'!K734,336))</x:f>
        <x:v>0</x:v>
      </x:c>
      <x:c r="BJ734" s="22" t="n">
        <x:f>MAX(0,MIN('Activities'!L734,348)-MAX('Activities'!K734,342))</x:f>
        <x:v>0</x:v>
      </x:c>
      <x:c r="BK734" s="22" t="n">
        <x:f>MAX(0,MIN('Activities'!L734,354)-MAX('Activities'!K734,348))</x:f>
        <x:v>0</x:v>
      </x:c>
      <x:c r="BL734" s="22" t="n">
        <x:f>MAX(0,MIN('Activities'!L734,360)-MAX('Activities'!K734,354))</x:f>
        <x:v>0</x:v>
      </x:c>
      <x:c r="BM734" s="22" t="n">
        <x:f>MAX(0,MIN('Activities'!L734,366)-MAX('Activities'!K734,360))</x:f>
        <x:v>0</x:v>
      </x:c>
      <x:c r="BN734" s="22" t="n">
        <x:f>MAX(0,MIN('Activities'!L734,372)-MAX('Activities'!K734,366))</x:f>
        <x:v>6</x:v>
      </x:c>
      <x:c r="BO734" s="22" t="n">
        <x:f>MAX(0,MIN('Activities'!L734,378)-MAX('Activities'!K734,372))</x:f>
        <x:v>6</x:v>
      </x:c>
      <x:c r="BP734" s="22" t="n">
        <x:f>MAX(0,MIN('Activities'!L734,384)-MAX('Activities'!K734,378))</x:f>
        <x:v>6</x:v>
      </x:c>
      <x:c r="BQ734" s="22" t="n">
        <x:f>MAX(0,MIN('Activities'!L734,390)-MAX('Activities'!K734,384))</x:f>
        <x:v>4</x:v>
      </x:c>
      <x:c r="BR734" s="22" t="n">
        <x:f>MAX(0,MIN('Activities'!L734,396)-MAX('Activities'!K734,390))</x:f>
        <x:v>0</x:v>
      </x:c>
      <x:c r="BS734" s="22" t="n">
        <x:f>MAX(0,MIN('Activities'!L734,402)-MAX('Activities'!K734,396))</x:f>
        <x:v>0</x:v>
      </x:c>
      <x:c r="BT734" s="22" t="n">
        <x:f>MAX(0,MIN('Activities'!L734,408)-MAX('Activities'!K734,402))</x:f>
        <x:v>0</x:v>
      </x:c>
      <x:c r="BU734" s="22" t="n">
        <x:f>MAX(0,MIN('Activities'!L734,414)-MAX('Activities'!K734,408))</x:f>
        <x:v>0</x:v>
      </x:c>
      <x:c r="BV734" s="22" t="n">
        <x:f>MAX(0,MIN('Activities'!L734,420)-MAX('Activities'!K734,414))</x:f>
        <x:v>0</x:v>
      </x:c>
      <x:c r="BW734" s="22" t="n">
        <x:f>MAX(0,MIN('Activities'!L734,426)-MAX('Activities'!K734,420))</x:f>
        <x:v>0</x:v>
      </x:c>
      <x:c r="BX734" s="22" t="n">
        <x:f>MAX(0,MIN('Activities'!L734,432)-MAX('Activities'!K734,426))</x:f>
        <x:v>0</x:v>
      </x:c>
      <x:c r="BY734" s="22" t="n">
        <x:f>MAX(0,MIN('Activities'!L734,438)-MAX('Activities'!K734,432))</x:f>
        <x:v>0</x:v>
      </x:c>
      <x:c r="BZ734" s="22" t="n">
        <x:f>MAX(0,MIN('Activities'!L734,444)-MAX('Activities'!K734,438))</x:f>
        <x:v>0</x:v>
      </x:c>
      <x:c r="CA734" s="22" t="n">
        <x:f>MAX(0,MIN('Activities'!L734,450)-MAX('Activities'!K734,444))</x:f>
        <x:v>0</x:v>
      </x:c>
      <x:c r="CB734" s="22" t="n">
        <x:f>MAX(0,MIN('Activities'!L734,456)-MAX('Activities'!K734,450))</x:f>
        <x:v>0</x:v>
      </x:c>
      <x:c r="CC734" s="22" t="n">
        <x:f>MAX(0,MIN('Activities'!L734,462)-MAX('Activities'!K734,456))</x:f>
        <x:v>0</x:v>
      </x:c>
      <x:c r="CD734" s="22" t="n">
        <x:f>MAX(0,MIN('Activities'!L734,468)-MAX('Activities'!K734,462))</x:f>
        <x:v>0</x:v>
      </x:c>
      <x:c r="CE734" s="22" t="n">
        <x:f>MAX(0,MIN('Activities'!L734,474)-MAX('Activities'!K734,468))</x:f>
        <x:v>0</x:v>
      </x:c>
      <x:c r="CF734" s="22" t="n">
        <x:f>MAX(0,MIN('Activities'!L734,480)-MAX('Activities'!K734,474))</x:f>
        <x:v>0</x:v>
      </x:c>
      <x:c r="CG734" s="22" t="n">
        <x:f>MAX(0,MIN('Activities'!L734,486)-MAX('Activities'!K734,480))</x:f>
        <x:v>0</x:v>
      </x:c>
      <x:c r="CH734" s="22" t="n">
        <x:f>MAX(0,MIN('Activities'!L734,492)-MAX('Activities'!K734,486))</x:f>
        <x:v>0</x:v>
      </x:c>
      <x:c r="CI734" s="22" t="n">
        <x:f>MAX(0,MIN('Activities'!L734,498)-MAX('Activities'!K734,492))</x:f>
        <x:v>0</x:v>
      </x:c>
      <x:c r="CJ734" s="22" t="n">
        <x:f>MAX(0,MIN('Activities'!L734,504)-MAX('Activities'!K734,498))</x:f>
        <x:v>0</x:v>
      </x:c>
      <x:c r="CK734" s="22" t="n">
        <x:f>MAX(0,MIN('Activities'!L734,510)-MAX('Activities'!K734,504))</x:f>
        <x:v>0</x:v>
      </x:c>
      <x:c r="CL734" s="22" t="n">
        <x:f>MAX(0,MIN('Activities'!L734,516)-MAX('Activities'!K734,510))</x:f>
        <x:v>0</x:v>
      </x:c>
      <x:c r="CM734" s="22" t="n">
        <x:f>MAX(0,MIN('Activities'!L734,522)-MAX('Activities'!K734,516))</x:f>
        <x:v>0</x:v>
      </x:c>
      <x:c r="CN734" s="22" t="n">
        <x:f>MAX(0,MIN('Activities'!L734,528)-MAX('Activities'!K734,522))</x:f>
        <x:v>0</x:v>
      </x:c>
      <x:c r="CO734" s="22" t="n">
        <x:f>MAX(0,MIN('Activities'!L734,534)-MAX('Activities'!K734,528))</x:f>
        <x:v>0</x:v>
      </x:c>
      <x:c r="CP734" s="22" t="n">
        <x:f>MAX(0,MIN('Activities'!L734,540)-MAX('Activities'!K734,534))</x:f>
        <x:v>0</x:v>
      </x:c>
      <x:c r="CQ734" s="22" t="n">
        <x:f>MAX(0,MIN('Activities'!L734,546)-MAX('Activities'!K734,540))</x:f>
        <x:v>0</x:v>
      </x:c>
      <x:c r="CR734" s="22" t="n">
        <x:f>MAX(0,MIN('Activities'!L734,552)-MAX('Activities'!K734,546))</x:f>
        <x:v>0</x:v>
      </x:c>
      <x:c r="CS734" s="22" t="n">
        <x:f>MAX(0,MIN('Activities'!L734,558)-MAX('Activities'!K734,552))</x:f>
        <x:v>0</x:v>
      </x:c>
      <x:c r="CT734" s="22" t="n">
        <x:f>MAX(0,MIN('Activities'!L734,564)-MAX('Activities'!K734,558))</x:f>
        <x:v>0</x:v>
      </x:c>
      <x:c r="CU734" s="22" t="n">
        <x:f>MAX(0,MIN('Activities'!L734,570)-MAX('Activities'!K734,564))</x:f>
        <x:v>0</x:v>
      </x:c>
      <x:c r="CV734" s="22" t="n">
        <x:f>MAX(0,MIN('Activities'!L734,576)-MAX('Activities'!K734,570))</x:f>
        <x:v>0</x:v>
      </x:c>
      <x:c r="CW734" s="22" t="n">
        <x:f>MAX(0,MIN('Activities'!L734,582)-MAX('Activities'!K734,576))</x:f>
        <x:v>0</x:v>
      </x:c>
      <x:c r="CX734" s="22" t="n">
        <x:f>MAX(0,MIN('Activities'!L734,588)-MAX('Activities'!K734,582))</x:f>
        <x:v>0</x:v>
      </x:c>
      <x:c r="CY734" s="22" t="n">
        <x:f>MAX(0,MIN('Activities'!L734,594)-MAX('Activities'!K734,588))</x:f>
        <x:v>0</x:v>
      </x:c>
      <x:c r="CZ734" s="22" t="n">
        <x:f>MAX(0,MIN('Activities'!L734,600)-MAX('Activities'!K734,594))</x:f>
        <x:v>0</x:v>
      </x:c>
      <x:c r="DA734" s="22" t="n">
        <x:f>MAX(0,MIN('Activities'!L734,606)-MAX('Activities'!K734,600))</x:f>
        <x:v>0</x:v>
      </x:c>
      <x:c r="DB734" s="22" t="n">
        <x:f>MAX(0,MIN('Activities'!L734,612)-MAX('Activities'!K734,606))</x:f>
        <x:v>0</x:v>
      </x:c>
      <x:c r="DC734" s="22" t="n">
        <x:f>MAX(0,MIN('Activities'!L734,618)-MAX('Activities'!K734,612))</x:f>
        <x:v>0</x:v>
      </x:c>
      <x:c r="DD734" s="22" t="n">
        <x:f>MAX(0,MIN('Activities'!L734,624)-MAX('Activities'!K734,618))</x:f>
        <x:v>0</x:v>
      </x:c>
      <x:c r="DE734" s="22" t="n">
        <x:f>MAX(0,MIN('Activities'!L734,630)-MAX('Activities'!K734,624))</x:f>
        <x:v>0</x:v>
      </x:c>
      <x:c r="DF734" s="22" t="n">
        <x:f>MAX(0,MIN('Activities'!L734,636)-MAX('Activities'!K734,630))</x:f>
        <x:v>0</x:v>
      </x:c>
    </x:row>
    <x:row r="735" ht="23" customHeight="1">
      <x:c r="A735" s="1" t="str">
        <x:v>T6-GL</x:v>
      </x:c>
      <x:c r="B735" s="1" t="str">
        <x:v>T6</x:v>
      </x:c>
      <x:c r="C735" s="1" t="str">
        <x:v>Glazing and frame installation</x:v>
      </x:c>
      <x:c r="D735" s="1" t="str">
        <x:v>Envelope</x:v>
      </x:c>
      <x:c r="E735" s="23" t="n">
        <x:f>MAX(0,MIN('Activities'!L735,6)-MAX('Activities'!K735,0))</x:f>
        <x:v>0</x:v>
      </x:c>
      <x:c r="F735" s="23" t="n">
        <x:f>MAX(0,MIN('Activities'!L735,12)-MAX('Activities'!K735,6))</x:f>
        <x:v>0</x:v>
      </x:c>
      <x:c r="G735" s="23" t="n">
        <x:f>MAX(0,MIN('Activities'!L735,18)-MAX('Activities'!K735,12))</x:f>
        <x:v>0</x:v>
      </x:c>
      <x:c r="H735" s="23" t="n">
        <x:f>MAX(0,MIN('Activities'!L735,24)-MAX('Activities'!K735,18))</x:f>
        <x:v>0</x:v>
      </x:c>
      <x:c r="I735" s="23" t="n">
        <x:f>MAX(0,MIN('Activities'!L735,30)-MAX('Activities'!K735,24))</x:f>
        <x:v>0</x:v>
      </x:c>
      <x:c r="J735" s="23" t="n">
        <x:f>MAX(0,MIN('Activities'!L735,36)-MAX('Activities'!K735,30))</x:f>
        <x:v>0</x:v>
      </x:c>
      <x:c r="K735" s="23" t="n">
        <x:f>MAX(0,MIN('Activities'!L735,42)-MAX('Activities'!K735,36))</x:f>
        <x:v>0</x:v>
      </x:c>
      <x:c r="L735" s="23" t="n">
        <x:f>MAX(0,MIN('Activities'!L735,48)-MAX('Activities'!K735,42))</x:f>
        <x:v>0</x:v>
      </x:c>
      <x:c r="M735" s="23" t="n">
        <x:f>MAX(0,MIN('Activities'!L735,54)-MAX('Activities'!K735,48))</x:f>
        <x:v>0</x:v>
      </x:c>
      <x:c r="N735" s="23" t="n">
        <x:f>MAX(0,MIN('Activities'!L735,60)-MAX('Activities'!K735,54))</x:f>
        <x:v>0</x:v>
      </x:c>
      <x:c r="O735" s="23" t="n">
        <x:f>MAX(0,MIN('Activities'!L735,66)-MAX('Activities'!K735,60))</x:f>
        <x:v>0</x:v>
      </x:c>
      <x:c r="P735" s="23" t="n">
        <x:f>MAX(0,MIN('Activities'!L735,72)-MAX('Activities'!K735,66))</x:f>
        <x:v>0</x:v>
      </x:c>
      <x:c r="Q735" s="23" t="n">
        <x:f>MAX(0,MIN('Activities'!L735,78)-MAX('Activities'!K735,72))</x:f>
        <x:v>0</x:v>
      </x:c>
      <x:c r="R735" s="23" t="n">
        <x:f>MAX(0,MIN('Activities'!L735,84)-MAX('Activities'!K735,78))</x:f>
        <x:v>0</x:v>
      </x:c>
      <x:c r="S735" s="23" t="n">
        <x:f>MAX(0,MIN('Activities'!L735,90)-MAX('Activities'!K735,84))</x:f>
        <x:v>0</x:v>
      </x:c>
      <x:c r="T735" s="23" t="n">
        <x:f>MAX(0,MIN('Activities'!L735,96)-MAX('Activities'!K735,90))</x:f>
        <x:v>0</x:v>
      </x:c>
      <x:c r="U735" s="23" t="n">
        <x:f>MAX(0,MIN('Activities'!L735,102)-MAX('Activities'!K735,96))</x:f>
        <x:v>0</x:v>
      </x:c>
      <x:c r="V735" s="23" t="n">
        <x:f>MAX(0,MIN('Activities'!L735,108)-MAX('Activities'!K735,102))</x:f>
        <x:v>0</x:v>
      </x:c>
      <x:c r="W735" s="23" t="n">
        <x:f>MAX(0,MIN('Activities'!L735,114)-MAX('Activities'!K735,108))</x:f>
        <x:v>0</x:v>
      </x:c>
      <x:c r="X735" s="23" t="n">
        <x:f>MAX(0,MIN('Activities'!L735,120)-MAX('Activities'!K735,114))</x:f>
        <x:v>0</x:v>
      </x:c>
      <x:c r="Y735" s="23" t="n">
        <x:f>MAX(0,MIN('Activities'!L735,126)-MAX('Activities'!K735,120))</x:f>
        <x:v>0</x:v>
      </x:c>
      <x:c r="Z735" s="23" t="n">
        <x:f>MAX(0,MIN('Activities'!L735,132)-MAX('Activities'!K735,126))</x:f>
        <x:v>0</x:v>
      </x:c>
      <x:c r="AA735" s="23" t="n">
        <x:f>MAX(0,MIN('Activities'!L735,138)-MAX('Activities'!K735,132))</x:f>
        <x:v>0</x:v>
      </x:c>
      <x:c r="AB735" s="23" t="n">
        <x:f>MAX(0,MIN('Activities'!L735,144)-MAX('Activities'!K735,138))</x:f>
        <x:v>0</x:v>
      </x:c>
      <x:c r="AC735" s="23" t="n">
        <x:f>MAX(0,MIN('Activities'!L735,150)-MAX('Activities'!K735,144))</x:f>
        <x:v>0</x:v>
      </x:c>
      <x:c r="AD735" s="23" t="n">
        <x:f>MAX(0,MIN('Activities'!L735,156)-MAX('Activities'!K735,150))</x:f>
        <x:v>0</x:v>
      </x:c>
      <x:c r="AE735" s="23" t="n">
        <x:f>MAX(0,MIN('Activities'!L735,162)-MAX('Activities'!K735,156))</x:f>
        <x:v>0</x:v>
      </x:c>
      <x:c r="AF735" s="23" t="n">
        <x:f>MAX(0,MIN('Activities'!L735,168)-MAX('Activities'!K735,162))</x:f>
        <x:v>0</x:v>
      </x:c>
      <x:c r="AG735" s="23" t="n">
        <x:f>MAX(0,MIN('Activities'!L735,174)-MAX('Activities'!K735,168))</x:f>
        <x:v>0</x:v>
      </x:c>
      <x:c r="AH735" s="23" t="n">
        <x:f>MAX(0,MIN('Activities'!L735,180)-MAX('Activities'!K735,174))</x:f>
        <x:v>0</x:v>
      </x:c>
      <x:c r="AI735" s="23" t="n">
        <x:f>MAX(0,MIN('Activities'!L735,186)-MAX('Activities'!K735,180))</x:f>
        <x:v>0</x:v>
      </x:c>
      <x:c r="AJ735" s="23" t="n">
        <x:f>MAX(0,MIN('Activities'!L735,192)-MAX('Activities'!K735,186))</x:f>
        <x:v>0</x:v>
      </x:c>
      <x:c r="AK735" s="23" t="n">
        <x:f>MAX(0,MIN('Activities'!L735,198)-MAX('Activities'!K735,192))</x:f>
        <x:v>0</x:v>
      </x:c>
      <x:c r="AL735" s="23" t="n">
        <x:f>MAX(0,MIN('Activities'!L735,204)-MAX('Activities'!K735,198))</x:f>
        <x:v>0</x:v>
      </x:c>
      <x:c r="AM735" s="23" t="n">
        <x:f>MAX(0,MIN('Activities'!L735,210)-MAX('Activities'!K735,204))</x:f>
        <x:v>0</x:v>
      </x:c>
      <x:c r="AN735" s="23" t="n">
        <x:f>MAX(0,MIN('Activities'!L735,216)-MAX('Activities'!K735,210))</x:f>
        <x:v>0</x:v>
      </x:c>
      <x:c r="AO735" s="23" t="n">
        <x:f>MAX(0,MIN('Activities'!L735,222)-MAX('Activities'!K735,216))</x:f>
        <x:v>0</x:v>
      </x:c>
      <x:c r="AP735" s="23" t="n">
        <x:f>MAX(0,MIN('Activities'!L735,228)-MAX('Activities'!K735,222))</x:f>
        <x:v>0</x:v>
      </x:c>
      <x:c r="AQ735" s="23" t="n">
        <x:f>MAX(0,MIN('Activities'!L735,234)-MAX('Activities'!K735,228))</x:f>
        <x:v>0</x:v>
      </x:c>
      <x:c r="AR735" s="23" t="n">
        <x:f>MAX(0,MIN('Activities'!L735,240)-MAX('Activities'!K735,234))</x:f>
        <x:v>0</x:v>
      </x:c>
      <x:c r="AS735" s="23" t="n">
        <x:f>MAX(0,MIN('Activities'!L735,246)-MAX('Activities'!K735,240))</x:f>
        <x:v>0</x:v>
      </x:c>
      <x:c r="AT735" s="23" t="n">
        <x:f>MAX(0,MIN('Activities'!L735,252)-MAX('Activities'!K735,246))</x:f>
        <x:v>0</x:v>
      </x:c>
      <x:c r="AU735" s="23" t="n">
        <x:f>MAX(0,MIN('Activities'!L735,258)-MAX('Activities'!K735,252))</x:f>
        <x:v>0</x:v>
      </x:c>
      <x:c r="AV735" s="23" t="n">
        <x:f>MAX(0,MIN('Activities'!L735,264)-MAX('Activities'!K735,258))</x:f>
        <x:v>0</x:v>
      </x:c>
      <x:c r="AW735" s="23" t="n">
        <x:f>MAX(0,MIN('Activities'!L735,270)-MAX('Activities'!K735,264))</x:f>
        <x:v>0</x:v>
      </x:c>
      <x:c r="AX735" s="23" t="n">
        <x:f>MAX(0,MIN('Activities'!L735,276)-MAX('Activities'!K735,270))</x:f>
        <x:v>0</x:v>
      </x:c>
      <x:c r="AY735" s="23" t="n">
        <x:f>MAX(0,MIN('Activities'!L735,282)-MAX('Activities'!K735,276))</x:f>
        <x:v>0</x:v>
      </x:c>
      <x:c r="AZ735" s="23" t="n">
        <x:f>MAX(0,MIN('Activities'!L735,288)-MAX('Activities'!K735,282))</x:f>
        <x:v>0</x:v>
      </x:c>
      <x:c r="BA735" s="23" t="n">
        <x:f>MAX(0,MIN('Activities'!L735,294)-MAX('Activities'!K735,288))</x:f>
        <x:v>0</x:v>
      </x:c>
      <x:c r="BB735" s="23" t="n">
        <x:f>MAX(0,MIN('Activities'!L735,300)-MAX('Activities'!K735,294))</x:f>
        <x:v>0</x:v>
      </x:c>
      <x:c r="BC735" s="23" t="n">
        <x:f>MAX(0,MIN('Activities'!L735,306)-MAX('Activities'!K735,300))</x:f>
        <x:v>0</x:v>
      </x:c>
      <x:c r="BD735" s="23" t="n">
        <x:f>MAX(0,MIN('Activities'!L735,312)-MAX('Activities'!K735,306))</x:f>
        <x:v>0</x:v>
      </x:c>
      <x:c r="BE735" s="23" t="n">
        <x:f>MAX(0,MIN('Activities'!L735,318)-MAX('Activities'!K735,312))</x:f>
        <x:v>0</x:v>
      </x:c>
      <x:c r="BF735" s="23" t="n">
        <x:f>MAX(0,MIN('Activities'!L735,324)-MAX('Activities'!K735,318))</x:f>
        <x:v>0</x:v>
      </x:c>
      <x:c r="BG735" s="23" t="n">
        <x:f>MAX(0,MIN('Activities'!L735,330)-MAX('Activities'!K735,324))</x:f>
        <x:v>0</x:v>
      </x:c>
      <x:c r="BH735" s="23" t="n">
        <x:f>MAX(0,MIN('Activities'!L735,336)-MAX('Activities'!K735,330))</x:f>
        <x:v>0</x:v>
      </x:c>
      <x:c r="BI735" s="23" t="n">
        <x:f>MAX(0,MIN('Activities'!L735,342)-MAX('Activities'!K735,336))</x:f>
        <x:v>0</x:v>
      </x:c>
      <x:c r="BJ735" s="23" t="n">
        <x:f>MAX(0,MIN('Activities'!L735,348)-MAX('Activities'!K735,342))</x:f>
        <x:v>0</x:v>
      </x:c>
      <x:c r="BK735" s="23" t="n">
        <x:f>MAX(0,MIN('Activities'!L735,354)-MAX('Activities'!K735,348))</x:f>
        <x:v>0</x:v>
      </x:c>
      <x:c r="BL735" s="23" t="n">
        <x:f>MAX(0,MIN('Activities'!L735,360)-MAX('Activities'!K735,354))</x:f>
        <x:v>0</x:v>
      </x:c>
      <x:c r="BM735" s="23" t="n">
        <x:f>MAX(0,MIN('Activities'!L735,366)-MAX('Activities'!K735,360))</x:f>
        <x:v>0</x:v>
      </x:c>
      <x:c r="BN735" s="23" t="n">
        <x:f>MAX(0,MIN('Activities'!L735,372)-MAX('Activities'!K735,366))</x:f>
        <x:v>0</x:v>
      </x:c>
      <x:c r="BO735" s="23" t="n">
        <x:f>MAX(0,MIN('Activities'!L735,378)-MAX('Activities'!K735,372))</x:f>
        <x:v>0</x:v>
      </x:c>
      <x:c r="BP735" s="23" t="n">
        <x:f>MAX(0,MIN('Activities'!L735,384)-MAX('Activities'!K735,378))</x:f>
        <x:v>0</x:v>
      </x:c>
      <x:c r="BQ735" s="23" t="n">
        <x:f>MAX(0,MIN('Activities'!L735,390)-MAX('Activities'!K735,384))</x:f>
        <x:v>0</x:v>
      </x:c>
      <x:c r="BR735" s="23" t="n">
        <x:f>MAX(0,MIN('Activities'!L735,396)-MAX('Activities'!K735,390))</x:f>
        <x:v>0</x:v>
      </x:c>
      <x:c r="BS735" s="23" t="n">
        <x:f>MAX(0,MIN('Activities'!L735,402)-MAX('Activities'!K735,396))</x:f>
        <x:v>0</x:v>
      </x:c>
      <x:c r="BT735" s="23" t="n">
        <x:f>MAX(0,MIN('Activities'!L735,408)-MAX('Activities'!K735,402))</x:f>
        <x:v>0</x:v>
      </x:c>
      <x:c r="BU735" s="23" t="n">
        <x:f>MAX(0,MIN('Activities'!L735,414)-MAX('Activities'!K735,408))</x:f>
        <x:v>0</x:v>
      </x:c>
      <x:c r="BV735" s="23" t="n">
        <x:f>MAX(0,MIN('Activities'!L735,420)-MAX('Activities'!K735,414))</x:f>
        <x:v>0</x:v>
      </x:c>
      <x:c r="BW735" s="23" t="n">
        <x:f>MAX(0,MIN('Activities'!L735,426)-MAX('Activities'!K735,420))</x:f>
        <x:v>0</x:v>
      </x:c>
      <x:c r="BX735" s="23" t="n">
        <x:f>MAX(0,MIN('Activities'!L735,432)-MAX('Activities'!K735,426))</x:f>
        <x:v>0</x:v>
      </x:c>
      <x:c r="BY735" s="23" t="n">
        <x:f>MAX(0,MIN('Activities'!L735,438)-MAX('Activities'!K735,432))</x:f>
        <x:v>0</x:v>
      </x:c>
      <x:c r="BZ735" s="23" t="n">
        <x:f>MAX(0,MIN('Activities'!L735,444)-MAX('Activities'!K735,438))</x:f>
        <x:v>0</x:v>
      </x:c>
      <x:c r="CA735" s="23" t="n">
        <x:f>MAX(0,MIN('Activities'!L735,450)-MAX('Activities'!K735,444))</x:f>
        <x:v>3</x:v>
      </x:c>
      <x:c r="CB735" s="23" t="n">
        <x:f>MAX(0,MIN('Activities'!L735,456)-MAX('Activities'!K735,450))</x:f>
        <x:v>6</x:v>
      </x:c>
      <x:c r="CC735" s="23" t="n">
        <x:f>MAX(0,MIN('Activities'!L735,462)-MAX('Activities'!K735,456))</x:f>
        <x:v>5</x:v>
      </x:c>
      <x:c r="CD735" s="23" t="n">
        <x:f>MAX(0,MIN('Activities'!L735,468)-MAX('Activities'!K735,462))</x:f>
        <x:v>0</x:v>
      </x:c>
      <x:c r="CE735" s="23" t="n">
        <x:f>MAX(0,MIN('Activities'!L735,474)-MAX('Activities'!K735,468))</x:f>
        <x:v>0</x:v>
      </x:c>
      <x:c r="CF735" s="23" t="n">
        <x:f>MAX(0,MIN('Activities'!L735,480)-MAX('Activities'!K735,474))</x:f>
        <x:v>0</x:v>
      </x:c>
      <x:c r="CG735" s="23" t="n">
        <x:f>MAX(0,MIN('Activities'!L735,486)-MAX('Activities'!K735,480))</x:f>
        <x:v>0</x:v>
      </x:c>
      <x:c r="CH735" s="23" t="n">
        <x:f>MAX(0,MIN('Activities'!L735,492)-MAX('Activities'!K735,486))</x:f>
        <x:v>0</x:v>
      </x:c>
      <x:c r="CI735" s="23" t="n">
        <x:f>MAX(0,MIN('Activities'!L735,498)-MAX('Activities'!K735,492))</x:f>
        <x:v>0</x:v>
      </x:c>
      <x:c r="CJ735" s="23" t="n">
        <x:f>MAX(0,MIN('Activities'!L735,504)-MAX('Activities'!K735,498))</x:f>
        <x:v>0</x:v>
      </x:c>
      <x:c r="CK735" s="23" t="n">
        <x:f>MAX(0,MIN('Activities'!L735,510)-MAX('Activities'!K735,504))</x:f>
        <x:v>0</x:v>
      </x:c>
      <x:c r="CL735" s="23" t="n">
        <x:f>MAX(0,MIN('Activities'!L735,516)-MAX('Activities'!K735,510))</x:f>
        <x:v>0</x:v>
      </x:c>
      <x:c r="CM735" s="23" t="n">
        <x:f>MAX(0,MIN('Activities'!L735,522)-MAX('Activities'!K735,516))</x:f>
        <x:v>0</x:v>
      </x:c>
      <x:c r="CN735" s="23" t="n">
        <x:f>MAX(0,MIN('Activities'!L735,528)-MAX('Activities'!K735,522))</x:f>
        <x:v>0</x:v>
      </x:c>
      <x:c r="CO735" s="23" t="n">
        <x:f>MAX(0,MIN('Activities'!L735,534)-MAX('Activities'!K735,528))</x:f>
        <x:v>0</x:v>
      </x:c>
      <x:c r="CP735" s="23" t="n">
        <x:f>MAX(0,MIN('Activities'!L735,540)-MAX('Activities'!K735,534))</x:f>
        <x:v>0</x:v>
      </x:c>
      <x:c r="CQ735" s="23" t="n">
        <x:f>MAX(0,MIN('Activities'!L735,546)-MAX('Activities'!K735,540))</x:f>
        <x:v>0</x:v>
      </x:c>
      <x:c r="CR735" s="23" t="n">
        <x:f>MAX(0,MIN('Activities'!L735,552)-MAX('Activities'!K735,546))</x:f>
        <x:v>0</x:v>
      </x:c>
      <x:c r="CS735" s="23" t="n">
        <x:f>MAX(0,MIN('Activities'!L735,558)-MAX('Activities'!K735,552))</x:f>
        <x:v>0</x:v>
      </x:c>
      <x:c r="CT735" s="23" t="n">
        <x:f>MAX(0,MIN('Activities'!L735,564)-MAX('Activities'!K735,558))</x:f>
        <x:v>0</x:v>
      </x:c>
      <x:c r="CU735" s="23" t="n">
        <x:f>MAX(0,MIN('Activities'!L735,570)-MAX('Activities'!K735,564))</x:f>
        <x:v>0</x:v>
      </x:c>
      <x:c r="CV735" s="23" t="n">
        <x:f>MAX(0,MIN('Activities'!L735,576)-MAX('Activities'!K735,570))</x:f>
        <x:v>0</x:v>
      </x:c>
      <x:c r="CW735" s="23" t="n">
        <x:f>MAX(0,MIN('Activities'!L735,582)-MAX('Activities'!K735,576))</x:f>
        <x:v>0</x:v>
      </x:c>
      <x:c r="CX735" s="23" t="n">
        <x:f>MAX(0,MIN('Activities'!L735,588)-MAX('Activities'!K735,582))</x:f>
        <x:v>0</x:v>
      </x:c>
      <x:c r="CY735" s="23" t="n">
        <x:f>MAX(0,MIN('Activities'!L735,594)-MAX('Activities'!K735,588))</x:f>
        <x:v>0</x:v>
      </x:c>
      <x:c r="CZ735" s="23" t="n">
        <x:f>MAX(0,MIN('Activities'!L735,600)-MAX('Activities'!K735,594))</x:f>
        <x:v>0</x:v>
      </x:c>
      <x:c r="DA735" s="23" t="n">
        <x:f>MAX(0,MIN('Activities'!L735,606)-MAX('Activities'!K735,600))</x:f>
        <x:v>0</x:v>
      </x:c>
      <x:c r="DB735" s="23" t="n">
        <x:f>MAX(0,MIN('Activities'!L735,612)-MAX('Activities'!K735,606))</x:f>
        <x:v>0</x:v>
      </x:c>
      <x:c r="DC735" s="23" t="n">
        <x:f>MAX(0,MIN('Activities'!L735,618)-MAX('Activities'!K735,612))</x:f>
        <x:v>0</x:v>
      </x:c>
      <x:c r="DD735" s="23" t="n">
        <x:f>MAX(0,MIN('Activities'!L735,624)-MAX('Activities'!K735,618))</x:f>
        <x:v>0</x:v>
      </x:c>
      <x:c r="DE735" s="23" t="n">
        <x:f>MAX(0,MIN('Activities'!L735,630)-MAX('Activities'!K735,624))</x:f>
        <x:v>0</x:v>
      </x:c>
      <x:c r="DF735" s="23" t="n">
        <x:f>MAX(0,MIN('Activities'!L735,636)-MAX('Activities'!K735,630))</x:f>
        <x:v>0</x:v>
      </x:c>
    </x:row>
    <x:row r="736" ht="23" customHeight="1">
      <x:c r="A736" s="6" t="str">
        <x:v>T6-L00-M</x:v>
      </x:c>
      <x:c r="B736" s="6" t="str">
        <x:v>T6</x:v>
      </x:c>
      <x:c r="C736" s="6" t="str">
        <x:v>Partition masonry</x:v>
      </x:c>
      <x:c r="D736" s="6" t="str">
        <x:v>Masonry</x:v>
      </x:c>
      <x:c r="E736" s="22" t="n">
        <x:f>MAX(0,MIN('Activities'!L736,6)-MAX('Activities'!K736,0))</x:f>
        <x:v>0</x:v>
      </x:c>
      <x:c r="F736" s="22" t="n">
        <x:f>MAX(0,MIN('Activities'!L736,12)-MAX('Activities'!K736,6))</x:f>
        <x:v>0</x:v>
      </x:c>
      <x:c r="G736" s="22" t="n">
        <x:f>MAX(0,MIN('Activities'!L736,18)-MAX('Activities'!K736,12))</x:f>
        <x:v>0</x:v>
      </x:c>
      <x:c r="H736" s="22" t="n">
        <x:f>MAX(0,MIN('Activities'!L736,24)-MAX('Activities'!K736,18))</x:f>
        <x:v>0</x:v>
      </x:c>
      <x:c r="I736" s="22" t="n">
        <x:f>MAX(0,MIN('Activities'!L736,30)-MAX('Activities'!K736,24))</x:f>
        <x:v>0</x:v>
      </x:c>
      <x:c r="J736" s="22" t="n">
        <x:f>MAX(0,MIN('Activities'!L736,36)-MAX('Activities'!K736,30))</x:f>
        <x:v>0</x:v>
      </x:c>
      <x:c r="K736" s="22" t="n">
        <x:f>MAX(0,MIN('Activities'!L736,42)-MAX('Activities'!K736,36))</x:f>
        <x:v>0</x:v>
      </x:c>
      <x:c r="L736" s="22" t="n">
        <x:f>MAX(0,MIN('Activities'!L736,48)-MAX('Activities'!K736,42))</x:f>
        <x:v>0</x:v>
      </x:c>
      <x:c r="M736" s="22" t="n">
        <x:f>MAX(0,MIN('Activities'!L736,54)-MAX('Activities'!K736,48))</x:f>
        <x:v>0</x:v>
      </x:c>
      <x:c r="N736" s="22" t="n">
        <x:f>MAX(0,MIN('Activities'!L736,60)-MAX('Activities'!K736,54))</x:f>
        <x:v>0</x:v>
      </x:c>
      <x:c r="O736" s="22" t="n">
        <x:f>MAX(0,MIN('Activities'!L736,66)-MAX('Activities'!K736,60))</x:f>
        <x:v>0</x:v>
      </x:c>
      <x:c r="P736" s="22" t="n">
        <x:f>MAX(0,MIN('Activities'!L736,72)-MAX('Activities'!K736,66))</x:f>
        <x:v>0</x:v>
      </x:c>
      <x:c r="Q736" s="22" t="n">
        <x:f>MAX(0,MIN('Activities'!L736,78)-MAX('Activities'!K736,72))</x:f>
        <x:v>0</x:v>
      </x:c>
      <x:c r="R736" s="22" t="n">
        <x:f>MAX(0,MIN('Activities'!L736,84)-MAX('Activities'!K736,78))</x:f>
        <x:v>0</x:v>
      </x:c>
      <x:c r="S736" s="22" t="n">
        <x:f>MAX(0,MIN('Activities'!L736,90)-MAX('Activities'!K736,84))</x:f>
        <x:v>0</x:v>
      </x:c>
      <x:c r="T736" s="22" t="n">
        <x:f>MAX(0,MIN('Activities'!L736,96)-MAX('Activities'!K736,90))</x:f>
        <x:v>0</x:v>
      </x:c>
      <x:c r="U736" s="22" t="n">
        <x:f>MAX(0,MIN('Activities'!L736,102)-MAX('Activities'!K736,96))</x:f>
        <x:v>0</x:v>
      </x:c>
      <x:c r="V736" s="22" t="n">
        <x:f>MAX(0,MIN('Activities'!L736,108)-MAX('Activities'!K736,102))</x:f>
        <x:v>0</x:v>
      </x:c>
      <x:c r="W736" s="22" t="n">
        <x:f>MAX(0,MIN('Activities'!L736,114)-MAX('Activities'!K736,108))</x:f>
        <x:v>0</x:v>
      </x:c>
      <x:c r="X736" s="22" t="n">
        <x:f>MAX(0,MIN('Activities'!L736,120)-MAX('Activities'!K736,114))</x:f>
        <x:v>0</x:v>
      </x:c>
      <x:c r="Y736" s="22" t="n">
        <x:f>MAX(0,MIN('Activities'!L736,126)-MAX('Activities'!K736,120))</x:f>
        <x:v>0</x:v>
      </x:c>
      <x:c r="Z736" s="22" t="n">
        <x:f>MAX(0,MIN('Activities'!L736,132)-MAX('Activities'!K736,126))</x:f>
        <x:v>0</x:v>
      </x:c>
      <x:c r="AA736" s="22" t="n">
        <x:f>MAX(0,MIN('Activities'!L736,138)-MAX('Activities'!K736,132))</x:f>
        <x:v>0</x:v>
      </x:c>
      <x:c r="AB736" s="22" t="n">
        <x:f>MAX(0,MIN('Activities'!L736,144)-MAX('Activities'!K736,138))</x:f>
        <x:v>0</x:v>
      </x:c>
      <x:c r="AC736" s="22" t="n">
        <x:f>MAX(0,MIN('Activities'!L736,150)-MAX('Activities'!K736,144))</x:f>
        <x:v>0</x:v>
      </x:c>
      <x:c r="AD736" s="22" t="n">
        <x:f>MAX(0,MIN('Activities'!L736,156)-MAX('Activities'!K736,150))</x:f>
        <x:v>0</x:v>
      </x:c>
      <x:c r="AE736" s="22" t="n">
        <x:f>MAX(0,MIN('Activities'!L736,162)-MAX('Activities'!K736,156))</x:f>
        <x:v>0</x:v>
      </x:c>
      <x:c r="AF736" s="22" t="n">
        <x:f>MAX(0,MIN('Activities'!L736,168)-MAX('Activities'!K736,162))</x:f>
        <x:v>0</x:v>
      </x:c>
      <x:c r="AG736" s="22" t="n">
        <x:f>MAX(0,MIN('Activities'!L736,174)-MAX('Activities'!K736,168))</x:f>
        <x:v>0</x:v>
      </x:c>
      <x:c r="AH736" s="22" t="n">
        <x:f>MAX(0,MIN('Activities'!L736,180)-MAX('Activities'!K736,174))</x:f>
        <x:v>0</x:v>
      </x:c>
      <x:c r="AI736" s="22" t="n">
        <x:f>MAX(0,MIN('Activities'!L736,186)-MAX('Activities'!K736,180))</x:f>
        <x:v>0</x:v>
      </x:c>
      <x:c r="AJ736" s="22" t="n">
        <x:f>MAX(0,MIN('Activities'!L736,192)-MAX('Activities'!K736,186))</x:f>
        <x:v>0</x:v>
      </x:c>
      <x:c r="AK736" s="22" t="n">
        <x:f>MAX(0,MIN('Activities'!L736,198)-MAX('Activities'!K736,192))</x:f>
        <x:v>0</x:v>
      </x:c>
      <x:c r="AL736" s="22" t="n">
        <x:f>MAX(0,MIN('Activities'!L736,204)-MAX('Activities'!K736,198))</x:f>
        <x:v>0</x:v>
      </x:c>
      <x:c r="AM736" s="22" t="n">
        <x:f>MAX(0,MIN('Activities'!L736,210)-MAX('Activities'!K736,204))</x:f>
        <x:v>0</x:v>
      </x:c>
      <x:c r="AN736" s="22" t="n">
        <x:f>MAX(0,MIN('Activities'!L736,216)-MAX('Activities'!K736,210))</x:f>
        <x:v>0</x:v>
      </x:c>
      <x:c r="AO736" s="22" t="n">
        <x:f>MAX(0,MIN('Activities'!L736,222)-MAX('Activities'!K736,216))</x:f>
        <x:v>0</x:v>
      </x:c>
      <x:c r="AP736" s="22" t="n">
        <x:f>MAX(0,MIN('Activities'!L736,228)-MAX('Activities'!K736,222))</x:f>
        <x:v>0</x:v>
      </x:c>
      <x:c r="AQ736" s="22" t="n">
        <x:f>MAX(0,MIN('Activities'!L736,234)-MAX('Activities'!K736,228))</x:f>
        <x:v>0</x:v>
      </x:c>
      <x:c r="AR736" s="22" t="n">
        <x:f>MAX(0,MIN('Activities'!L736,240)-MAX('Activities'!K736,234))</x:f>
        <x:v>0</x:v>
      </x:c>
      <x:c r="AS736" s="22" t="n">
        <x:f>MAX(0,MIN('Activities'!L736,246)-MAX('Activities'!K736,240))</x:f>
        <x:v>0</x:v>
      </x:c>
      <x:c r="AT736" s="22" t="n">
        <x:f>MAX(0,MIN('Activities'!L736,252)-MAX('Activities'!K736,246))</x:f>
        <x:v>0</x:v>
      </x:c>
      <x:c r="AU736" s="22" t="n">
        <x:f>MAX(0,MIN('Activities'!L736,258)-MAX('Activities'!K736,252))</x:f>
        <x:v>0</x:v>
      </x:c>
      <x:c r="AV736" s="22" t="n">
        <x:f>MAX(0,MIN('Activities'!L736,264)-MAX('Activities'!K736,258))</x:f>
        <x:v>0</x:v>
      </x:c>
      <x:c r="AW736" s="22" t="n">
        <x:f>MAX(0,MIN('Activities'!L736,270)-MAX('Activities'!K736,264))</x:f>
        <x:v>0</x:v>
      </x:c>
      <x:c r="AX736" s="22" t="n">
        <x:f>MAX(0,MIN('Activities'!L736,276)-MAX('Activities'!K736,270))</x:f>
        <x:v>5</x:v>
      </x:c>
      <x:c r="AY736" s="22" t="n">
        <x:f>MAX(0,MIN('Activities'!L736,282)-MAX('Activities'!K736,276))</x:f>
        <x:v>0</x:v>
      </x:c>
      <x:c r="AZ736" s="22" t="n">
        <x:f>MAX(0,MIN('Activities'!L736,288)-MAX('Activities'!K736,282))</x:f>
        <x:v>0</x:v>
      </x:c>
      <x:c r="BA736" s="22" t="n">
        <x:f>MAX(0,MIN('Activities'!L736,294)-MAX('Activities'!K736,288))</x:f>
        <x:v>0</x:v>
      </x:c>
      <x:c r="BB736" s="22" t="n">
        <x:f>MAX(0,MIN('Activities'!L736,300)-MAX('Activities'!K736,294))</x:f>
        <x:v>0</x:v>
      </x:c>
      <x:c r="BC736" s="22" t="n">
        <x:f>MAX(0,MIN('Activities'!L736,306)-MAX('Activities'!K736,300))</x:f>
        <x:v>0</x:v>
      </x:c>
      <x:c r="BD736" s="22" t="n">
        <x:f>MAX(0,MIN('Activities'!L736,312)-MAX('Activities'!K736,306))</x:f>
        <x:v>0</x:v>
      </x:c>
      <x:c r="BE736" s="22" t="n">
        <x:f>MAX(0,MIN('Activities'!L736,318)-MAX('Activities'!K736,312))</x:f>
        <x:v>0</x:v>
      </x:c>
      <x:c r="BF736" s="22" t="n">
        <x:f>MAX(0,MIN('Activities'!L736,324)-MAX('Activities'!K736,318))</x:f>
        <x:v>0</x:v>
      </x:c>
      <x:c r="BG736" s="22" t="n">
        <x:f>MAX(0,MIN('Activities'!L736,330)-MAX('Activities'!K736,324))</x:f>
        <x:v>0</x:v>
      </x:c>
      <x:c r="BH736" s="22" t="n">
        <x:f>MAX(0,MIN('Activities'!L736,336)-MAX('Activities'!K736,330))</x:f>
        <x:v>0</x:v>
      </x:c>
      <x:c r="BI736" s="22" t="n">
        <x:f>MAX(0,MIN('Activities'!L736,342)-MAX('Activities'!K736,336))</x:f>
        <x:v>0</x:v>
      </x:c>
      <x:c r="BJ736" s="22" t="n">
        <x:f>MAX(0,MIN('Activities'!L736,348)-MAX('Activities'!K736,342))</x:f>
        <x:v>0</x:v>
      </x:c>
      <x:c r="BK736" s="22" t="n">
        <x:f>MAX(0,MIN('Activities'!L736,354)-MAX('Activities'!K736,348))</x:f>
        <x:v>0</x:v>
      </x:c>
      <x:c r="BL736" s="22" t="n">
        <x:f>MAX(0,MIN('Activities'!L736,360)-MAX('Activities'!K736,354))</x:f>
        <x:v>0</x:v>
      </x:c>
      <x:c r="BM736" s="22" t="n">
        <x:f>MAX(0,MIN('Activities'!L736,366)-MAX('Activities'!K736,360))</x:f>
        <x:v>0</x:v>
      </x:c>
      <x:c r="BN736" s="22" t="n">
        <x:f>MAX(0,MIN('Activities'!L736,372)-MAX('Activities'!K736,366))</x:f>
        <x:v>0</x:v>
      </x:c>
      <x:c r="BO736" s="22" t="n">
        <x:f>MAX(0,MIN('Activities'!L736,378)-MAX('Activities'!K736,372))</x:f>
        <x:v>0</x:v>
      </x:c>
      <x:c r="BP736" s="22" t="n">
        <x:f>MAX(0,MIN('Activities'!L736,384)-MAX('Activities'!K736,378))</x:f>
        <x:v>0</x:v>
      </x:c>
      <x:c r="BQ736" s="22" t="n">
        <x:f>MAX(0,MIN('Activities'!L736,390)-MAX('Activities'!K736,384))</x:f>
        <x:v>0</x:v>
      </x:c>
      <x:c r="BR736" s="22" t="n">
        <x:f>MAX(0,MIN('Activities'!L736,396)-MAX('Activities'!K736,390))</x:f>
        <x:v>0</x:v>
      </x:c>
      <x:c r="BS736" s="22" t="n">
        <x:f>MAX(0,MIN('Activities'!L736,402)-MAX('Activities'!K736,396))</x:f>
        <x:v>0</x:v>
      </x:c>
      <x:c r="BT736" s="22" t="n">
        <x:f>MAX(0,MIN('Activities'!L736,408)-MAX('Activities'!K736,402))</x:f>
        <x:v>0</x:v>
      </x:c>
      <x:c r="BU736" s="22" t="n">
        <x:f>MAX(0,MIN('Activities'!L736,414)-MAX('Activities'!K736,408))</x:f>
        <x:v>0</x:v>
      </x:c>
      <x:c r="BV736" s="22" t="n">
        <x:f>MAX(0,MIN('Activities'!L736,420)-MAX('Activities'!K736,414))</x:f>
        <x:v>0</x:v>
      </x:c>
      <x:c r="BW736" s="22" t="n">
        <x:f>MAX(0,MIN('Activities'!L736,426)-MAX('Activities'!K736,420))</x:f>
        <x:v>0</x:v>
      </x:c>
      <x:c r="BX736" s="22" t="n">
        <x:f>MAX(0,MIN('Activities'!L736,432)-MAX('Activities'!K736,426))</x:f>
        <x:v>0</x:v>
      </x:c>
      <x:c r="BY736" s="22" t="n">
        <x:f>MAX(0,MIN('Activities'!L736,438)-MAX('Activities'!K736,432))</x:f>
        <x:v>0</x:v>
      </x:c>
      <x:c r="BZ736" s="22" t="n">
        <x:f>MAX(0,MIN('Activities'!L736,444)-MAX('Activities'!K736,438))</x:f>
        <x:v>0</x:v>
      </x:c>
      <x:c r="CA736" s="22" t="n">
        <x:f>MAX(0,MIN('Activities'!L736,450)-MAX('Activities'!K736,444))</x:f>
        <x:v>0</x:v>
      </x:c>
      <x:c r="CB736" s="22" t="n">
        <x:f>MAX(0,MIN('Activities'!L736,456)-MAX('Activities'!K736,450))</x:f>
        <x:v>0</x:v>
      </x:c>
      <x:c r="CC736" s="22" t="n">
        <x:f>MAX(0,MIN('Activities'!L736,462)-MAX('Activities'!K736,456))</x:f>
        <x:v>0</x:v>
      </x:c>
      <x:c r="CD736" s="22" t="n">
        <x:f>MAX(0,MIN('Activities'!L736,468)-MAX('Activities'!K736,462))</x:f>
        <x:v>0</x:v>
      </x:c>
      <x:c r="CE736" s="22" t="n">
        <x:f>MAX(0,MIN('Activities'!L736,474)-MAX('Activities'!K736,468))</x:f>
        <x:v>0</x:v>
      </x:c>
      <x:c r="CF736" s="22" t="n">
        <x:f>MAX(0,MIN('Activities'!L736,480)-MAX('Activities'!K736,474))</x:f>
        <x:v>0</x:v>
      </x:c>
      <x:c r="CG736" s="22" t="n">
        <x:f>MAX(0,MIN('Activities'!L736,486)-MAX('Activities'!K736,480))</x:f>
        <x:v>0</x:v>
      </x:c>
      <x:c r="CH736" s="22" t="n">
        <x:f>MAX(0,MIN('Activities'!L736,492)-MAX('Activities'!K736,486))</x:f>
        <x:v>0</x:v>
      </x:c>
      <x:c r="CI736" s="22" t="n">
        <x:f>MAX(0,MIN('Activities'!L736,498)-MAX('Activities'!K736,492))</x:f>
        <x:v>0</x:v>
      </x:c>
      <x:c r="CJ736" s="22" t="n">
        <x:f>MAX(0,MIN('Activities'!L736,504)-MAX('Activities'!K736,498))</x:f>
        <x:v>0</x:v>
      </x:c>
      <x:c r="CK736" s="22" t="n">
        <x:f>MAX(0,MIN('Activities'!L736,510)-MAX('Activities'!K736,504))</x:f>
        <x:v>0</x:v>
      </x:c>
      <x:c r="CL736" s="22" t="n">
        <x:f>MAX(0,MIN('Activities'!L736,516)-MAX('Activities'!K736,510))</x:f>
        <x:v>0</x:v>
      </x:c>
      <x:c r="CM736" s="22" t="n">
        <x:f>MAX(0,MIN('Activities'!L736,522)-MAX('Activities'!K736,516))</x:f>
        <x:v>0</x:v>
      </x:c>
      <x:c r="CN736" s="22" t="n">
        <x:f>MAX(0,MIN('Activities'!L736,528)-MAX('Activities'!K736,522))</x:f>
        <x:v>0</x:v>
      </x:c>
      <x:c r="CO736" s="22" t="n">
        <x:f>MAX(0,MIN('Activities'!L736,534)-MAX('Activities'!K736,528))</x:f>
        <x:v>0</x:v>
      </x:c>
      <x:c r="CP736" s="22" t="n">
        <x:f>MAX(0,MIN('Activities'!L736,540)-MAX('Activities'!K736,534))</x:f>
        <x:v>0</x:v>
      </x:c>
      <x:c r="CQ736" s="22" t="n">
        <x:f>MAX(0,MIN('Activities'!L736,546)-MAX('Activities'!K736,540))</x:f>
        <x:v>0</x:v>
      </x:c>
      <x:c r="CR736" s="22" t="n">
        <x:f>MAX(0,MIN('Activities'!L736,552)-MAX('Activities'!K736,546))</x:f>
        <x:v>0</x:v>
      </x:c>
      <x:c r="CS736" s="22" t="n">
        <x:f>MAX(0,MIN('Activities'!L736,558)-MAX('Activities'!K736,552))</x:f>
        <x:v>0</x:v>
      </x:c>
      <x:c r="CT736" s="22" t="n">
        <x:f>MAX(0,MIN('Activities'!L736,564)-MAX('Activities'!K736,558))</x:f>
        <x:v>0</x:v>
      </x:c>
      <x:c r="CU736" s="22" t="n">
        <x:f>MAX(0,MIN('Activities'!L736,570)-MAX('Activities'!K736,564))</x:f>
        <x:v>0</x:v>
      </x:c>
      <x:c r="CV736" s="22" t="n">
        <x:f>MAX(0,MIN('Activities'!L736,576)-MAX('Activities'!K736,570))</x:f>
        <x:v>0</x:v>
      </x:c>
      <x:c r="CW736" s="22" t="n">
        <x:f>MAX(0,MIN('Activities'!L736,582)-MAX('Activities'!K736,576))</x:f>
        <x:v>0</x:v>
      </x:c>
      <x:c r="CX736" s="22" t="n">
        <x:f>MAX(0,MIN('Activities'!L736,588)-MAX('Activities'!K736,582))</x:f>
        <x:v>0</x:v>
      </x:c>
      <x:c r="CY736" s="22" t="n">
        <x:f>MAX(0,MIN('Activities'!L736,594)-MAX('Activities'!K736,588))</x:f>
        <x:v>0</x:v>
      </x:c>
      <x:c r="CZ736" s="22" t="n">
        <x:f>MAX(0,MIN('Activities'!L736,600)-MAX('Activities'!K736,594))</x:f>
        <x:v>0</x:v>
      </x:c>
      <x:c r="DA736" s="22" t="n">
        <x:f>MAX(0,MIN('Activities'!L736,606)-MAX('Activities'!K736,600))</x:f>
        <x:v>0</x:v>
      </x:c>
      <x:c r="DB736" s="22" t="n">
        <x:f>MAX(0,MIN('Activities'!L736,612)-MAX('Activities'!K736,606))</x:f>
        <x:v>0</x:v>
      </x:c>
      <x:c r="DC736" s="22" t="n">
        <x:f>MAX(0,MIN('Activities'!L736,618)-MAX('Activities'!K736,612))</x:f>
        <x:v>0</x:v>
      </x:c>
      <x:c r="DD736" s="22" t="n">
        <x:f>MAX(0,MIN('Activities'!L736,624)-MAX('Activities'!K736,618))</x:f>
        <x:v>0</x:v>
      </x:c>
      <x:c r="DE736" s="22" t="n">
        <x:f>MAX(0,MIN('Activities'!L736,630)-MAX('Activities'!K736,624))</x:f>
        <x:v>0</x:v>
      </x:c>
      <x:c r="DF736" s="22" t="n">
        <x:f>MAX(0,MIN('Activities'!L736,636)-MAX('Activities'!K736,630))</x:f>
        <x:v>0</x:v>
      </x:c>
    </x:row>
    <x:row r="737" ht="23" customHeight="1">
      <x:c r="A737" s="1" t="str">
        <x:v>T6-L00-P</x:v>
      </x:c>
      <x:c r="B737" s="1" t="str">
        <x:v>T6</x:v>
      </x:c>
      <x:c r="C737" s="1" t="str">
        <x:v>Internal plaster</x:v>
      </x:c>
      <x:c r="D737" s="1" t="str">
        <x:v>Finishes</x:v>
      </x:c>
      <x:c r="E737" s="23" t="n">
        <x:f>MAX(0,MIN('Activities'!L737,6)-MAX('Activities'!K737,0))</x:f>
        <x:v>0</x:v>
      </x:c>
      <x:c r="F737" s="23" t="n">
        <x:f>MAX(0,MIN('Activities'!L737,12)-MAX('Activities'!K737,6))</x:f>
        <x:v>0</x:v>
      </x:c>
      <x:c r="G737" s="23" t="n">
        <x:f>MAX(0,MIN('Activities'!L737,18)-MAX('Activities'!K737,12))</x:f>
        <x:v>0</x:v>
      </x:c>
      <x:c r="H737" s="23" t="n">
        <x:f>MAX(0,MIN('Activities'!L737,24)-MAX('Activities'!K737,18))</x:f>
        <x:v>0</x:v>
      </x:c>
      <x:c r="I737" s="23" t="n">
        <x:f>MAX(0,MIN('Activities'!L737,30)-MAX('Activities'!K737,24))</x:f>
        <x:v>0</x:v>
      </x:c>
      <x:c r="J737" s="23" t="n">
        <x:f>MAX(0,MIN('Activities'!L737,36)-MAX('Activities'!K737,30))</x:f>
        <x:v>0</x:v>
      </x:c>
      <x:c r="K737" s="23" t="n">
        <x:f>MAX(0,MIN('Activities'!L737,42)-MAX('Activities'!K737,36))</x:f>
        <x:v>0</x:v>
      </x:c>
      <x:c r="L737" s="23" t="n">
        <x:f>MAX(0,MIN('Activities'!L737,48)-MAX('Activities'!K737,42))</x:f>
        <x:v>0</x:v>
      </x:c>
      <x:c r="M737" s="23" t="n">
        <x:f>MAX(0,MIN('Activities'!L737,54)-MAX('Activities'!K737,48))</x:f>
        <x:v>0</x:v>
      </x:c>
      <x:c r="N737" s="23" t="n">
        <x:f>MAX(0,MIN('Activities'!L737,60)-MAX('Activities'!K737,54))</x:f>
        <x:v>0</x:v>
      </x:c>
      <x:c r="O737" s="23" t="n">
        <x:f>MAX(0,MIN('Activities'!L737,66)-MAX('Activities'!K737,60))</x:f>
        <x:v>0</x:v>
      </x:c>
      <x:c r="P737" s="23" t="n">
        <x:f>MAX(0,MIN('Activities'!L737,72)-MAX('Activities'!K737,66))</x:f>
        <x:v>0</x:v>
      </x:c>
      <x:c r="Q737" s="23" t="n">
        <x:f>MAX(0,MIN('Activities'!L737,78)-MAX('Activities'!K737,72))</x:f>
        <x:v>0</x:v>
      </x:c>
      <x:c r="R737" s="23" t="n">
        <x:f>MAX(0,MIN('Activities'!L737,84)-MAX('Activities'!K737,78))</x:f>
        <x:v>0</x:v>
      </x:c>
      <x:c r="S737" s="23" t="n">
        <x:f>MAX(0,MIN('Activities'!L737,90)-MAX('Activities'!K737,84))</x:f>
        <x:v>0</x:v>
      </x:c>
      <x:c r="T737" s="23" t="n">
        <x:f>MAX(0,MIN('Activities'!L737,96)-MAX('Activities'!K737,90))</x:f>
        <x:v>0</x:v>
      </x:c>
      <x:c r="U737" s="23" t="n">
        <x:f>MAX(0,MIN('Activities'!L737,102)-MAX('Activities'!K737,96))</x:f>
        <x:v>0</x:v>
      </x:c>
      <x:c r="V737" s="23" t="n">
        <x:f>MAX(0,MIN('Activities'!L737,108)-MAX('Activities'!K737,102))</x:f>
        <x:v>0</x:v>
      </x:c>
      <x:c r="W737" s="23" t="n">
        <x:f>MAX(0,MIN('Activities'!L737,114)-MAX('Activities'!K737,108))</x:f>
        <x:v>0</x:v>
      </x:c>
      <x:c r="X737" s="23" t="n">
        <x:f>MAX(0,MIN('Activities'!L737,120)-MAX('Activities'!K737,114))</x:f>
        <x:v>0</x:v>
      </x:c>
      <x:c r="Y737" s="23" t="n">
        <x:f>MAX(0,MIN('Activities'!L737,126)-MAX('Activities'!K737,120))</x:f>
        <x:v>0</x:v>
      </x:c>
      <x:c r="Z737" s="23" t="n">
        <x:f>MAX(0,MIN('Activities'!L737,132)-MAX('Activities'!K737,126))</x:f>
        <x:v>0</x:v>
      </x:c>
      <x:c r="AA737" s="23" t="n">
        <x:f>MAX(0,MIN('Activities'!L737,138)-MAX('Activities'!K737,132))</x:f>
        <x:v>0</x:v>
      </x:c>
      <x:c r="AB737" s="23" t="n">
        <x:f>MAX(0,MIN('Activities'!L737,144)-MAX('Activities'!K737,138))</x:f>
        <x:v>0</x:v>
      </x:c>
      <x:c r="AC737" s="23" t="n">
        <x:f>MAX(0,MIN('Activities'!L737,150)-MAX('Activities'!K737,144))</x:f>
        <x:v>0</x:v>
      </x:c>
      <x:c r="AD737" s="23" t="n">
        <x:f>MAX(0,MIN('Activities'!L737,156)-MAX('Activities'!K737,150))</x:f>
        <x:v>0</x:v>
      </x:c>
      <x:c r="AE737" s="23" t="n">
        <x:f>MAX(0,MIN('Activities'!L737,162)-MAX('Activities'!K737,156))</x:f>
        <x:v>0</x:v>
      </x:c>
      <x:c r="AF737" s="23" t="n">
        <x:f>MAX(0,MIN('Activities'!L737,168)-MAX('Activities'!K737,162))</x:f>
        <x:v>0</x:v>
      </x:c>
      <x:c r="AG737" s="23" t="n">
        <x:f>MAX(0,MIN('Activities'!L737,174)-MAX('Activities'!K737,168))</x:f>
        <x:v>0</x:v>
      </x:c>
      <x:c r="AH737" s="23" t="n">
        <x:f>MAX(0,MIN('Activities'!L737,180)-MAX('Activities'!K737,174))</x:f>
        <x:v>0</x:v>
      </x:c>
      <x:c r="AI737" s="23" t="n">
        <x:f>MAX(0,MIN('Activities'!L737,186)-MAX('Activities'!K737,180))</x:f>
        <x:v>0</x:v>
      </x:c>
      <x:c r="AJ737" s="23" t="n">
        <x:f>MAX(0,MIN('Activities'!L737,192)-MAX('Activities'!K737,186))</x:f>
        <x:v>0</x:v>
      </x:c>
      <x:c r="AK737" s="23" t="n">
        <x:f>MAX(0,MIN('Activities'!L737,198)-MAX('Activities'!K737,192))</x:f>
        <x:v>0</x:v>
      </x:c>
      <x:c r="AL737" s="23" t="n">
        <x:f>MAX(0,MIN('Activities'!L737,204)-MAX('Activities'!K737,198))</x:f>
        <x:v>0</x:v>
      </x:c>
      <x:c r="AM737" s="23" t="n">
        <x:f>MAX(0,MIN('Activities'!L737,210)-MAX('Activities'!K737,204))</x:f>
        <x:v>0</x:v>
      </x:c>
      <x:c r="AN737" s="23" t="n">
        <x:f>MAX(0,MIN('Activities'!L737,216)-MAX('Activities'!K737,210))</x:f>
        <x:v>0</x:v>
      </x:c>
      <x:c r="AO737" s="23" t="n">
        <x:f>MAX(0,MIN('Activities'!L737,222)-MAX('Activities'!K737,216))</x:f>
        <x:v>0</x:v>
      </x:c>
      <x:c r="AP737" s="23" t="n">
        <x:f>MAX(0,MIN('Activities'!L737,228)-MAX('Activities'!K737,222))</x:f>
        <x:v>0</x:v>
      </x:c>
      <x:c r="AQ737" s="23" t="n">
        <x:f>MAX(0,MIN('Activities'!L737,234)-MAX('Activities'!K737,228))</x:f>
        <x:v>0</x:v>
      </x:c>
      <x:c r="AR737" s="23" t="n">
        <x:f>MAX(0,MIN('Activities'!L737,240)-MAX('Activities'!K737,234))</x:f>
        <x:v>0</x:v>
      </x:c>
      <x:c r="AS737" s="23" t="n">
        <x:f>MAX(0,MIN('Activities'!L737,246)-MAX('Activities'!K737,240))</x:f>
        <x:v>0</x:v>
      </x:c>
      <x:c r="AT737" s="23" t="n">
        <x:f>MAX(0,MIN('Activities'!L737,252)-MAX('Activities'!K737,246))</x:f>
        <x:v>0</x:v>
      </x:c>
      <x:c r="AU737" s="23" t="n">
        <x:f>MAX(0,MIN('Activities'!L737,258)-MAX('Activities'!K737,252))</x:f>
        <x:v>0</x:v>
      </x:c>
      <x:c r="AV737" s="23" t="n">
        <x:f>MAX(0,MIN('Activities'!L737,264)-MAX('Activities'!K737,258))</x:f>
        <x:v>0</x:v>
      </x:c>
      <x:c r="AW737" s="23" t="n">
        <x:f>MAX(0,MIN('Activities'!L737,270)-MAX('Activities'!K737,264))</x:f>
        <x:v>0</x:v>
      </x:c>
      <x:c r="AX737" s="23" t="n">
        <x:f>MAX(0,MIN('Activities'!L737,276)-MAX('Activities'!K737,270))</x:f>
        <x:v>0</x:v>
      </x:c>
      <x:c r="AY737" s="23" t="n">
        <x:f>MAX(0,MIN('Activities'!L737,282)-MAX('Activities'!K737,276))</x:f>
        <x:v>3</x:v>
      </x:c>
      <x:c r="AZ737" s="23" t="n">
        <x:f>MAX(0,MIN('Activities'!L737,288)-MAX('Activities'!K737,282))</x:f>
        <x:v>3</x:v>
      </x:c>
      <x:c r="BA737" s="23" t="n">
        <x:f>MAX(0,MIN('Activities'!L737,294)-MAX('Activities'!K737,288))</x:f>
        <x:v>0</x:v>
      </x:c>
      <x:c r="BB737" s="23" t="n">
        <x:f>MAX(0,MIN('Activities'!L737,300)-MAX('Activities'!K737,294))</x:f>
        <x:v>0</x:v>
      </x:c>
      <x:c r="BC737" s="23" t="n">
        <x:f>MAX(0,MIN('Activities'!L737,306)-MAX('Activities'!K737,300))</x:f>
        <x:v>0</x:v>
      </x:c>
      <x:c r="BD737" s="23" t="n">
        <x:f>MAX(0,MIN('Activities'!L737,312)-MAX('Activities'!K737,306))</x:f>
        <x:v>0</x:v>
      </x:c>
      <x:c r="BE737" s="23" t="n">
        <x:f>MAX(0,MIN('Activities'!L737,318)-MAX('Activities'!K737,312))</x:f>
        <x:v>0</x:v>
      </x:c>
      <x:c r="BF737" s="23" t="n">
        <x:f>MAX(0,MIN('Activities'!L737,324)-MAX('Activities'!K737,318))</x:f>
        <x:v>0</x:v>
      </x:c>
      <x:c r="BG737" s="23" t="n">
        <x:f>MAX(0,MIN('Activities'!L737,330)-MAX('Activities'!K737,324))</x:f>
        <x:v>0</x:v>
      </x:c>
      <x:c r="BH737" s="23" t="n">
        <x:f>MAX(0,MIN('Activities'!L737,336)-MAX('Activities'!K737,330))</x:f>
        <x:v>0</x:v>
      </x:c>
      <x:c r="BI737" s="23" t="n">
        <x:f>MAX(0,MIN('Activities'!L737,342)-MAX('Activities'!K737,336))</x:f>
        <x:v>0</x:v>
      </x:c>
      <x:c r="BJ737" s="23" t="n">
        <x:f>MAX(0,MIN('Activities'!L737,348)-MAX('Activities'!K737,342))</x:f>
        <x:v>0</x:v>
      </x:c>
      <x:c r="BK737" s="23" t="n">
        <x:f>MAX(0,MIN('Activities'!L737,354)-MAX('Activities'!K737,348))</x:f>
        <x:v>0</x:v>
      </x:c>
      <x:c r="BL737" s="23" t="n">
        <x:f>MAX(0,MIN('Activities'!L737,360)-MAX('Activities'!K737,354))</x:f>
        <x:v>0</x:v>
      </x:c>
      <x:c r="BM737" s="23" t="n">
        <x:f>MAX(0,MIN('Activities'!L737,366)-MAX('Activities'!K737,360))</x:f>
        <x:v>0</x:v>
      </x:c>
      <x:c r="BN737" s="23" t="n">
        <x:f>MAX(0,MIN('Activities'!L737,372)-MAX('Activities'!K737,366))</x:f>
        <x:v>0</x:v>
      </x:c>
      <x:c r="BO737" s="23" t="n">
        <x:f>MAX(0,MIN('Activities'!L737,378)-MAX('Activities'!K737,372))</x:f>
        <x:v>0</x:v>
      </x:c>
      <x:c r="BP737" s="23" t="n">
        <x:f>MAX(0,MIN('Activities'!L737,384)-MAX('Activities'!K737,378))</x:f>
        <x:v>0</x:v>
      </x:c>
      <x:c r="BQ737" s="23" t="n">
        <x:f>MAX(0,MIN('Activities'!L737,390)-MAX('Activities'!K737,384))</x:f>
        <x:v>0</x:v>
      </x:c>
      <x:c r="BR737" s="23" t="n">
        <x:f>MAX(0,MIN('Activities'!L737,396)-MAX('Activities'!K737,390))</x:f>
        <x:v>0</x:v>
      </x:c>
      <x:c r="BS737" s="23" t="n">
        <x:f>MAX(0,MIN('Activities'!L737,402)-MAX('Activities'!K737,396))</x:f>
        <x:v>0</x:v>
      </x:c>
      <x:c r="BT737" s="23" t="n">
        <x:f>MAX(0,MIN('Activities'!L737,408)-MAX('Activities'!K737,402))</x:f>
        <x:v>0</x:v>
      </x:c>
      <x:c r="BU737" s="23" t="n">
        <x:f>MAX(0,MIN('Activities'!L737,414)-MAX('Activities'!K737,408))</x:f>
        <x:v>0</x:v>
      </x:c>
      <x:c r="BV737" s="23" t="n">
        <x:f>MAX(0,MIN('Activities'!L737,420)-MAX('Activities'!K737,414))</x:f>
        <x:v>0</x:v>
      </x:c>
      <x:c r="BW737" s="23" t="n">
        <x:f>MAX(0,MIN('Activities'!L737,426)-MAX('Activities'!K737,420))</x:f>
        <x:v>0</x:v>
      </x:c>
      <x:c r="BX737" s="23" t="n">
        <x:f>MAX(0,MIN('Activities'!L737,432)-MAX('Activities'!K737,426))</x:f>
        <x:v>0</x:v>
      </x:c>
      <x:c r="BY737" s="23" t="n">
        <x:f>MAX(0,MIN('Activities'!L737,438)-MAX('Activities'!K737,432))</x:f>
        <x:v>0</x:v>
      </x:c>
      <x:c r="BZ737" s="23" t="n">
        <x:f>MAX(0,MIN('Activities'!L737,444)-MAX('Activities'!K737,438))</x:f>
        <x:v>0</x:v>
      </x:c>
      <x:c r="CA737" s="23" t="n">
        <x:f>MAX(0,MIN('Activities'!L737,450)-MAX('Activities'!K737,444))</x:f>
        <x:v>0</x:v>
      </x:c>
      <x:c r="CB737" s="23" t="n">
        <x:f>MAX(0,MIN('Activities'!L737,456)-MAX('Activities'!K737,450))</x:f>
        <x:v>0</x:v>
      </x:c>
      <x:c r="CC737" s="23" t="n">
        <x:f>MAX(0,MIN('Activities'!L737,462)-MAX('Activities'!K737,456))</x:f>
        <x:v>0</x:v>
      </x:c>
      <x:c r="CD737" s="23" t="n">
        <x:f>MAX(0,MIN('Activities'!L737,468)-MAX('Activities'!K737,462))</x:f>
        <x:v>0</x:v>
      </x:c>
      <x:c r="CE737" s="23" t="n">
        <x:f>MAX(0,MIN('Activities'!L737,474)-MAX('Activities'!K737,468))</x:f>
        <x:v>0</x:v>
      </x:c>
      <x:c r="CF737" s="23" t="n">
        <x:f>MAX(0,MIN('Activities'!L737,480)-MAX('Activities'!K737,474))</x:f>
        <x:v>0</x:v>
      </x:c>
      <x:c r="CG737" s="23" t="n">
        <x:f>MAX(0,MIN('Activities'!L737,486)-MAX('Activities'!K737,480))</x:f>
        <x:v>0</x:v>
      </x:c>
      <x:c r="CH737" s="23" t="n">
        <x:f>MAX(0,MIN('Activities'!L737,492)-MAX('Activities'!K737,486))</x:f>
        <x:v>0</x:v>
      </x:c>
      <x:c r="CI737" s="23" t="n">
        <x:f>MAX(0,MIN('Activities'!L737,498)-MAX('Activities'!K737,492))</x:f>
        <x:v>0</x:v>
      </x:c>
      <x:c r="CJ737" s="23" t="n">
        <x:f>MAX(0,MIN('Activities'!L737,504)-MAX('Activities'!K737,498))</x:f>
        <x:v>0</x:v>
      </x:c>
      <x:c r="CK737" s="23" t="n">
        <x:f>MAX(0,MIN('Activities'!L737,510)-MAX('Activities'!K737,504))</x:f>
        <x:v>0</x:v>
      </x:c>
      <x:c r="CL737" s="23" t="n">
        <x:f>MAX(0,MIN('Activities'!L737,516)-MAX('Activities'!K737,510))</x:f>
        <x:v>0</x:v>
      </x:c>
      <x:c r="CM737" s="23" t="n">
        <x:f>MAX(0,MIN('Activities'!L737,522)-MAX('Activities'!K737,516))</x:f>
        <x:v>0</x:v>
      </x:c>
      <x:c r="CN737" s="23" t="n">
        <x:f>MAX(0,MIN('Activities'!L737,528)-MAX('Activities'!K737,522))</x:f>
        <x:v>0</x:v>
      </x:c>
      <x:c r="CO737" s="23" t="n">
        <x:f>MAX(0,MIN('Activities'!L737,534)-MAX('Activities'!K737,528))</x:f>
        <x:v>0</x:v>
      </x:c>
      <x:c r="CP737" s="23" t="n">
        <x:f>MAX(0,MIN('Activities'!L737,540)-MAX('Activities'!K737,534))</x:f>
        <x:v>0</x:v>
      </x:c>
      <x:c r="CQ737" s="23" t="n">
        <x:f>MAX(0,MIN('Activities'!L737,546)-MAX('Activities'!K737,540))</x:f>
        <x:v>0</x:v>
      </x:c>
      <x:c r="CR737" s="23" t="n">
        <x:f>MAX(0,MIN('Activities'!L737,552)-MAX('Activities'!K737,546))</x:f>
        <x:v>0</x:v>
      </x:c>
      <x:c r="CS737" s="23" t="n">
        <x:f>MAX(0,MIN('Activities'!L737,558)-MAX('Activities'!K737,552))</x:f>
        <x:v>0</x:v>
      </x:c>
      <x:c r="CT737" s="23" t="n">
        <x:f>MAX(0,MIN('Activities'!L737,564)-MAX('Activities'!K737,558))</x:f>
        <x:v>0</x:v>
      </x:c>
      <x:c r="CU737" s="23" t="n">
        <x:f>MAX(0,MIN('Activities'!L737,570)-MAX('Activities'!K737,564))</x:f>
        <x:v>0</x:v>
      </x:c>
      <x:c r="CV737" s="23" t="n">
        <x:f>MAX(0,MIN('Activities'!L737,576)-MAX('Activities'!K737,570))</x:f>
        <x:v>0</x:v>
      </x:c>
      <x:c r="CW737" s="23" t="n">
        <x:f>MAX(0,MIN('Activities'!L737,582)-MAX('Activities'!K737,576))</x:f>
        <x:v>0</x:v>
      </x:c>
      <x:c r="CX737" s="23" t="n">
        <x:f>MAX(0,MIN('Activities'!L737,588)-MAX('Activities'!K737,582))</x:f>
        <x:v>0</x:v>
      </x:c>
      <x:c r="CY737" s="23" t="n">
        <x:f>MAX(0,MIN('Activities'!L737,594)-MAX('Activities'!K737,588))</x:f>
        <x:v>0</x:v>
      </x:c>
      <x:c r="CZ737" s="23" t="n">
        <x:f>MAX(0,MIN('Activities'!L737,600)-MAX('Activities'!K737,594))</x:f>
        <x:v>0</x:v>
      </x:c>
      <x:c r="DA737" s="23" t="n">
        <x:f>MAX(0,MIN('Activities'!L737,606)-MAX('Activities'!K737,600))</x:f>
        <x:v>0</x:v>
      </x:c>
      <x:c r="DB737" s="23" t="n">
        <x:f>MAX(0,MIN('Activities'!L737,612)-MAX('Activities'!K737,606))</x:f>
        <x:v>0</x:v>
      </x:c>
      <x:c r="DC737" s="23" t="n">
        <x:f>MAX(0,MIN('Activities'!L737,618)-MAX('Activities'!K737,612))</x:f>
        <x:v>0</x:v>
      </x:c>
      <x:c r="DD737" s="23" t="n">
        <x:f>MAX(0,MIN('Activities'!L737,624)-MAX('Activities'!K737,618))</x:f>
        <x:v>0</x:v>
      </x:c>
      <x:c r="DE737" s="23" t="n">
        <x:f>MAX(0,MIN('Activities'!L737,630)-MAX('Activities'!K737,624))</x:f>
        <x:v>0</x:v>
      </x:c>
      <x:c r="DF737" s="23" t="n">
        <x:f>MAX(0,MIN('Activities'!L737,636)-MAX('Activities'!K737,630))</x:f>
        <x:v>0</x:v>
      </x:c>
    </x:row>
    <x:row r="738" ht="23" customHeight="1">
      <x:c r="A738" s="6" t="str">
        <x:v>T6-L00-S</x:v>
      </x:c>
      <x:c r="B738" s="6" t="str">
        <x:v>T6</x:v>
      </x:c>
      <x:c r="C738" s="6" t="str">
        <x:v>Screed and substrate preparation</x:v>
      </x:c>
      <x:c r="D738" s="6" t="str">
        <x:v>Finishes</x:v>
      </x:c>
      <x:c r="E738" s="22" t="n">
        <x:f>MAX(0,MIN('Activities'!L738,6)-MAX('Activities'!K738,0))</x:f>
        <x:v>0</x:v>
      </x:c>
      <x:c r="F738" s="22" t="n">
        <x:f>MAX(0,MIN('Activities'!L738,12)-MAX('Activities'!K738,6))</x:f>
        <x:v>0</x:v>
      </x:c>
      <x:c r="G738" s="22" t="n">
        <x:f>MAX(0,MIN('Activities'!L738,18)-MAX('Activities'!K738,12))</x:f>
        <x:v>0</x:v>
      </x:c>
      <x:c r="H738" s="22" t="n">
        <x:f>MAX(0,MIN('Activities'!L738,24)-MAX('Activities'!K738,18))</x:f>
        <x:v>0</x:v>
      </x:c>
      <x:c r="I738" s="22" t="n">
        <x:f>MAX(0,MIN('Activities'!L738,30)-MAX('Activities'!K738,24))</x:f>
        <x:v>0</x:v>
      </x:c>
      <x:c r="J738" s="22" t="n">
        <x:f>MAX(0,MIN('Activities'!L738,36)-MAX('Activities'!K738,30))</x:f>
        <x:v>0</x:v>
      </x:c>
      <x:c r="K738" s="22" t="n">
        <x:f>MAX(0,MIN('Activities'!L738,42)-MAX('Activities'!K738,36))</x:f>
        <x:v>0</x:v>
      </x:c>
      <x:c r="L738" s="22" t="n">
        <x:f>MAX(0,MIN('Activities'!L738,48)-MAX('Activities'!K738,42))</x:f>
        <x:v>0</x:v>
      </x:c>
      <x:c r="M738" s="22" t="n">
        <x:f>MAX(0,MIN('Activities'!L738,54)-MAX('Activities'!K738,48))</x:f>
        <x:v>0</x:v>
      </x:c>
      <x:c r="N738" s="22" t="n">
        <x:f>MAX(0,MIN('Activities'!L738,60)-MAX('Activities'!K738,54))</x:f>
        <x:v>0</x:v>
      </x:c>
      <x:c r="O738" s="22" t="n">
        <x:f>MAX(0,MIN('Activities'!L738,66)-MAX('Activities'!K738,60))</x:f>
        <x:v>0</x:v>
      </x:c>
      <x:c r="P738" s="22" t="n">
        <x:f>MAX(0,MIN('Activities'!L738,72)-MAX('Activities'!K738,66))</x:f>
        <x:v>0</x:v>
      </x:c>
      <x:c r="Q738" s="22" t="n">
        <x:f>MAX(0,MIN('Activities'!L738,78)-MAX('Activities'!K738,72))</x:f>
        <x:v>0</x:v>
      </x:c>
      <x:c r="R738" s="22" t="n">
        <x:f>MAX(0,MIN('Activities'!L738,84)-MAX('Activities'!K738,78))</x:f>
        <x:v>0</x:v>
      </x:c>
      <x:c r="S738" s="22" t="n">
        <x:f>MAX(0,MIN('Activities'!L738,90)-MAX('Activities'!K738,84))</x:f>
        <x:v>0</x:v>
      </x:c>
      <x:c r="T738" s="22" t="n">
        <x:f>MAX(0,MIN('Activities'!L738,96)-MAX('Activities'!K738,90))</x:f>
        <x:v>0</x:v>
      </x:c>
      <x:c r="U738" s="22" t="n">
        <x:f>MAX(0,MIN('Activities'!L738,102)-MAX('Activities'!K738,96))</x:f>
        <x:v>0</x:v>
      </x:c>
      <x:c r="V738" s="22" t="n">
        <x:f>MAX(0,MIN('Activities'!L738,108)-MAX('Activities'!K738,102))</x:f>
        <x:v>0</x:v>
      </x:c>
      <x:c r="W738" s="22" t="n">
        <x:f>MAX(0,MIN('Activities'!L738,114)-MAX('Activities'!K738,108))</x:f>
        <x:v>0</x:v>
      </x:c>
      <x:c r="X738" s="22" t="n">
        <x:f>MAX(0,MIN('Activities'!L738,120)-MAX('Activities'!K738,114))</x:f>
        <x:v>0</x:v>
      </x:c>
      <x:c r="Y738" s="22" t="n">
        <x:f>MAX(0,MIN('Activities'!L738,126)-MAX('Activities'!K738,120))</x:f>
        <x:v>0</x:v>
      </x:c>
      <x:c r="Z738" s="22" t="n">
        <x:f>MAX(0,MIN('Activities'!L738,132)-MAX('Activities'!K738,126))</x:f>
        <x:v>0</x:v>
      </x:c>
      <x:c r="AA738" s="22" t="n">
        <x:f>MAX(0,MIN('Activities'!L738,138)-MAX('Activities'!K738,132))</x:f>
        <x:v>0</x:v>
      </x:c>
      <x:c r="AB738" s="22" t="n">
        <x:f>MAX(0,MIN('Activities'!L738,144)-MAX('Activities'!K738,138))</x:f>
        <x:v>0</x:v>
      </x:c>
      <x:c r="AC738" s="22" t="n">
        <x:f>MAX(0,MIN('Activities'!L738,150)-MAX('Activities'!K738,144))</x:f>
        <x:v>0</x:v>
      </x:c>
      <x:c r="AD738" s="22" t="n">
        <x:f>MAX(0,MIN('Activities'!L738,156)-MAX('Activities'!K738,150))</x:f>
        <x:v>0</x:v>
      </x:c>
      <x:c r="AE738" s="22" t="n">
        <x:f>MAX(0,MIN('Activities'!L738,162)-MAX('Activities'!K738,156))</x:f>
        <x:v>0</x:v>
      </x:c>
      <x:c r="AF738" s="22" t="n">
        <x:f>MAX(0,MIN('Activities'!L738,168)-MAX('Activities'!K738,162))</x:f>
        <x:v>0</x:v>
      </x:c>
      <x:c r="AG738" s="22" t="n">
        <x:f>MAX(0,MIN('Activities'!L738,174)-MAX('Activities'!K738,168))</x:f>
        <x:v>0</x:v>
      </x:c>
      <x:c r="AH738" s="22" t="n">
        <x:f>MAX(0,MIN('Activities'!L738,180)-MAX('Activities'!K738,174))</x:f>
        <x:v>0</x:v>
      </x:c>
      <x:c r="AI738" s="22" t="n">
        <x:f>MAX(0,MIN('Activities'!L738,186)-MAX('Activities'!K738,180))</x:f>
        <x:v>0</x:v>
      </x:c>
      <x:c r="AJ738" s="22" t="n">
        <x:f>MAX(0,MIN('Activities'!L738,192)-MAX('Activities'!K738,186))</x:f>
        <x:v>0</x:v>
      </x:c>
      <x:c r="AK738" s="22" t="n">
        <x:f>MAX(0,MIN('Activities'!L738,198)-MAX('Activities'!K738,192))</x:f>
        <x:v>0</x:v>
      </x:c>
      <x:c r="AL738" s="22" t="n">
        <x:f>MAX(0,MIN('Activities'!L738,204)-MAX('Activities'!K738,198))</x:f>
        <x:v>0</x:v>
      </x:c>
      <x:c r="AM738" s="22" t="n">
        <x:f>MAX(0,MIN('Activities'!L738,210)-MAX('Activities'!K738,204))</x:f>
        <x:v>0</x:v>
      </x:c>
      <x:c r="AN738" s="22" t="n">
        <x:f>MAX(0,MIN('Activities'!L738,216)-MAX('Activities'!K738,210))</x:f>
        <x:v>0</x:v>
      </x:c>
      <x:c r="AO738" s="22" t="n">
        <x:f>MAX(0,MIN('Activities'!L738,222)-MAX('Activities'!K738,216))</x:f>
        <x:v>0</x:v>
      </x:c>
      <x:c r="AP738" s="22" t="n">
        <x:f>MAX(0,MIN('Activities'!L738,228)-MAX('Activities'!K738,222))</x:f>
        <x:v>0</x:v>
      </x:c>
      <x:c r="AQ738" s="22" t="n">
        <x:f>MAX(0,MIN('Activities'!L738,234)-MAX('Activities'!K738,228))</x:f>
        <x:v>0</x:v>
      </x:c>
      <x:c r="AR738" s="22" t="n">
        <x:f>MAX(0,MIN('Activities'!L738,240)-MAX('Activities'!K738,234))</x:f>
        <x:v>0</x:v>
      </x:c>
      <x:c r="AS738" s="22" t="n">
        <x:f>MAX(0,MIN('Activities'!L738,246)-MAX('Activities'!K738,240))</x:f>
        <x:v>0</x:v>
      </x:c>
      <x:c r="AT738" s="22" t="n">
        <x:f>MAX(0,MIN('Activities'!L738,252)-MAX('Activities'!K738,246))</x:f>
        <x:v>0</x:v>
      </x:c>
      <x:c r="AU738" s="22" t="n">
        <x:f>MAX(0,MIN('Activities'!L738,258)-MAX('Activities'!K738,252))</x:f>
        <x:v>0</x:v>
      </x:c>
      <x:c r="AV738" s="22" t="n">
        <x:f>MAX(0,MIN('Activities'!L738,264)-MAX('Activities'!K738,258))</x:f>
        <x:v>0</x:v>
      </x:c>
      <x:c r="AW738" s="22" t="n">
        <x:f>MAX(0,MIN('Activities'!L738,270)-MAX('Activities'!K738,264))</x:f>
        <x:v>0</x:v>
      </x:c>
      <x:c r="AX738" s="22" t="n">
        <x:f>MAX(0,MIN('Activities'!L738,276)-MAX('Activities'!K738,270))</x:f>
        <x:v>0</x:v>
      </x:c>
      <x:c r="AY738" s="22" t="n">
        <x:f>MAX(0,MIN('Activities'!L738,282)-MAX('Activities'!K738,276))</x:f>
        <x:v>0</x:v>
      </x:c>
      <x:c r="AZ738" s="22" t="n">
        <x:f>MAX(0,MIN('Activities'!L738,288)-MAX('Activities'!K738,282))</x:f>
        <x:v>1</x:v>
      </x:c>
      <x:c r="BA738" s="22" t="n">
        <x:f>MAX(0,MIN('Activities'!L738,294)-MAX('Activities'!K738,288))</x:f>
        <x:v>2</x:v>
      </x:c>
      <x:c r="BB738" s="22" t="n">
        <x:f>MAX(0,MIN('Activities'!L738,300)-MAX('Activities'!K738,294))</x:f>
        <x:v>0</x:v>
      </x:c>
      <x:c r="BC738" s="22" t="n">
        <x:f>MAX(0,MIN('Activities'!L738,306)-MAX('Activities'!K738,300))</x:f>
        <x:v>0</x:v>
      </x:c>
      <x:c r="BD738" s="22" t="n">
        <x:f>MAX(0,MIN('Activities'!L738,312)-MAX('Activities'!K738,306))</x:f>
        <x:v>0</x:v>
      </x:c>
      <x:c r="BE738" s="22" t="n">
        <x:f>MAX(0,MIN('Activities'!L738,318)-MAX('Activities'!K738,312))</x:f>
        <x:v>0</x:v>
      </x:c>
      <x:c r="BF738" s="22" t="n">
        <x:f>MAX(0,MIN('Activities'!L738,324)-MAX('Activities'!K738,318))</x:f>
        <x:v>0</x:v>
      </x:c>
      <x:c r="BG738" s="22" t="n">
        <x:f>MAX(0,MIN('Activities'!L738,330)-MAX('Activities'!K738,324))</x:f>
        <x:v>0</x:v>
      </x:c>
      <x:c r="BH738" s="22" t="n">
        <x:f>MAX(0,MIN('Activities'!L738,336)-MAX('Activities'!K738,330))</x:f>
        <x:v>0</x:v>
      </x:c>
      <x:c r="BI738" s="22" t="n">
        <x:f>MAX(0,MIN('Activities'!L738,342)-MAX('Activities'!K738,336))</x:f>
        <x:v>0</x:v>
      </x:c>
      <x:c r="BJ738" s="22" t="n">
        <x:f>MAX(0,MIN('Activities'!L738,348)-MAX('Activities'!K738,342))</x:f>
        <x:v>0</x:v>
      </x:c>
      <x:c r="BK738" s="22" t="n">
        <x:f>MAX(0,MIN('Activities'!L738,354)-MAX('Activities'!K738,348))</x:f>
        <x:v>0</x:v>
      </x:c>
      <x:c r="BL738" s="22" t="n">
        <x:f>MAX(0,MIN('Activities'!L738,360)-MAX('Activities'!K738,354))</x:f>
        <x:v>0</x:v>
      </x:c>
      <x:c r="BM738" s="22" t="n">
        <x:f>MAX(0,MIN('Activities'!L738,366)-MAX('Activities'!K738,360))</x:f>
        <x:v>0</x:v>
      </x:c>
      <x:c r="BN738" s="22" t="n">
        <x:f>MAX(0,MIN('Activities'!L738,372)-MAX('Activities'!K738,366))</x:f>
        <x:v>0</x:v>
      </x:c>
      <x:c r="BO738" s="22" t="n">
        <x:f>MAX(0,MIN('Activities'!L738,378)-MAX('Activities'!K738,372))</x:f>
        <x:v>0</x:v>
      </x:c>
      <x:c r="BP738" s="22" t="n">
        <x:f>MAX(0,MIN('Activities'!L738,384)-MAX('Activities'!K738,378))</x:f>
        <x:v>0</x:v>
      </x:c>
      <x:c r="BQ738" s="22" t="n">
        <x:f>MAX(0,MIN('Activities'!L738,390)-MAX('Activities'!K738,384))</x:f>
        <x:v>0</x:v>
      </x:c>
      <x:c r="BR738" s="22" t="n">
        <x:f>MAX(0,MIN('Activities'!L738,396)-MAX('Activities'!K738,390))</x:f>
        <x:v>0</x:v>
      </x:c>
      <x:c r="BS738" s="22" t="n">
        <x:f>MAX(0,MIN('Activities'!L738,402)-MAX('Activities'!K738,396))</x:f>
        <x:v>0</x:v>
      </x:c>
      <x:c r="BT738" s="22" t="n">
        <x:f>MAX(0,MIN('Activities'!L738,408)-MAX('Activities'!K738,402))</x:f>
        <x:v>0</x:v>
      </x:c>
      <x:c r="BU738" s="22" t="n">
        <x:f>MAX(0,MIN('Activities'!L738,414)-MAX('Activities'!K738,408))</x:f>
        <x:v>0</x:v>
      </x:c>
      <x:c r="BV738" s="22" t="n">
        <x:f>MAX(0,MIN('Activities'!L738,420)-MAX('Activities'!K738,414))</x:f>
        <x:v>0</x:v>
      </x:c>
      <x:c r="BW738" s="22" t="n">
        <x:f>MAX(0,MIN('Activities'!L738,426)-MAX('Activities'!K738,420))</x:f>
        <x:v>0</x:v>
      </x:c>
      <x:c r="BX738" s="22" t="n">
        <x:f>MAX(0,MIN('Activities'!L738,432)-MAX('Activities'!K738,426))</x:f>
        <x:v>0</x:v>
      </x:c>
      <x:c r="BY738" s="22" t="n">
        <x:f>MAX(0,MIN('Activities'!L738,438)-MAX('Activities'!K738,432))</x:f>
        <x:v>0</x:v>
      </x:c>
      <x:c r="BZ738" s="22" t="n">
        <x:f>MAX(0,MIN('Activities'!L738,444)-MAX('Activities'!K738,438))</x:f>
        <x:v>0</x:v>
      </x:c>
      <x:c r="CA738" s="22" t="n">
        <x:f>MAX(0,MIN('Activities'!L738,450)-MAX('Activities'!K738,444))</x:f>
        <x:v>0</x:v>
      </x:c>
      <x:c r="CB738" s="22" t="n">
        <x:f>MAX(0,MIN('Activities'!L738,456)-MAX('Activities'!K738,450))</x:f>
        <x:v>0</x:v>
      </x:c>
      <x:c r="CC738" s="22" t="n">
        <x:f>MAX(0,MIN('Activities'!L738,462)-MAX('Activities'!K738,456))</x:f>
        <x:v>0</x:v>
      </x:c>
      <x:c r="CD738" s="22" t="n">
        <x:f>MAX(0,MIN('Activities'!L738,468)-MAX('Activities'!K738,462))</x:f>
        <x:v>0</x:v>
      </x:c>
      <x:c r="CE738" s="22" t="n">
        <x:f>MAX(0,MIN('Activities'!L738,474)-MAX('Activities'!K738,468))</x:f>
        <x:v>0</x:v>
      </x:c>
      <x:c r="CF738" s="22" t="n">
        <x:f>MAX(0,MIN('Activities'!L738,480)-MAX('Activities'!K738,474))</x:f>
        <x:v>0</x:v>
      </x:c>
      <x:c r="CG738" s="22" t="n">
        <x:f>MAX(0,MIN('Activities'!L738,486)-MAX('Activities'!K738,480))</x:f>
        <x:v>0</x:v>
      </x:c>
      <x:c r="CH738" s="22" t="n">
        <x:f>MAX(0,MIN('Activities'!L738,492)-MAX('Activities'!K738,486))</x:f>
        <x:v>0</x:v>
      </x:c>
      <x:c r="CI738" s="22" t="n">
        <x:f>MAX(0,MIN('Activities'!L738,498)-MAX('Activities'!K738,492))</x:f>
        <x:v>0</x:v>
      </x:c>
      <x:c r="CJ738" s="22" t="n">
        <x:f>MAX(0,MIN('Activities'!L738,504)-MAX('Activities'!K738,498))</x:f>
        <x:v>0</x:v>
      </x:c>
      <x:c r="CK738" s="22" t="n">
        <x:f>MAX(0,MIN('Activities'!L738,510)-MAX('Activities'!K738,504))</x:f>
        <x:v>0</x:v>
      </x:c>
      <x:c r="CL738" s="22" t="n">
        <x:f>MAX(0,MIN('Activities'!L738,516)-MAX('Activities'!K738,510))</x:f>
        <x:v>0</x:v>
      </x:c>
      <x:c r="CM738" s="22" t="n">
        <x:f>MAX(0,MIN('Activities'!L738,522)-MAX('Activities'!K738,516))</x:f>
        <x:v>0</x:v>
      </x:c>
      <x:c r="CN738" s="22" t="n">
        <x:f>MAX(0,MIN('Activities'!L738,528)-MAX('Activities'!K738,522))</x:f>
        <x:v>0</x:v>
      </x:c>
      <x:c r="CO738" s="22" t="n">
        <x:f>MAX(0,MIN('Activities'!L738,534)-MAX('Activities'!K738,528))</x:f>
        <x:v>0</x:v>
      </x:c>
      <x:c r="CP738" s="22" t="n">
        <x:f>MAX(0,MIN('Activities'!L738,540)-MAX('Activities'!K738,534))</x:f>
        <x:v>0</x:v>
      </x:c>
      <x:c r="CQ738" s="22" t="n">
        <x:f>MAX(0,MIN('Activities'!L738,546)-MAX('Activities'!K738,540))</x:f>
        <x:v>0</x:v>
      </x:c>
      <x:c r="CR738" s="22" t="n">
        <x:f>MAX(0,MIN('Activities'!L738,552)-MAX('Activities'!K738,546))</x:f>
        <x:v>0</x:v>
      </x:c>
      <x:c r="CS738" s="22" t="n">
        <x:f>MAX(0,MIN('Activities'!L738,558)-MAX('Activities'!K738,552))</x:f>
        <x:v>0</x:v>
      </x:c>
      <x:c r="CT738" s="22" t="n">
        <x:f>MAX(0,MIN('Activities'!L738,564)-MAX('Activities'!K738,558))</x:f>
        <x:v>0</x:v>
      </x:c>
      <x:c r="CU738" s="22" t="n">
        <x:f>MAX(0,MIN('Activities'!L738,570)-MAX('Activities'!K738,564))</x:f>
        <x:v>0</x:v>
      </x:c>
      <x:c r="CV738" s="22" t="n">
        <x:f>MAX(0,MIN('Activities'!L738,576)-MAX('Activities'!K738,570))</x:f>
        <x:v>0</x:v>
      </x:c>
      <x:c r="CW738" s="22" t="n">
        <x:f>MAX(0,MIN('Activities'!L738,582)-MAX('Activities'!K738,576))</x:f>
        <x:v>0</x:v>
      </x:c>
      <x:c r="CX738" s="22" t="n">
        <x:f>MAX(0,MIN('Activities'!L738,588)-MAX('Activities'!K738,582))</x:f>
        <x:v>0</x:v>
      </x:c>
      <x:c r="CY738" s="22" t="n">
        <x:f>MAX(0,MIN('Activities'!L738,594)-MAX('Activities'!K738,588))</x:f>
        <x:v>0</x:v>
      </x:c>
      <x:c r="CZ738" s="22" t="n">
        <x:f>MAX(0,MIN('Activities'!L738,600)-MAX('Activities'!K738,594))</x:f>
        <x:v>0</x:v>
      </x:c>
      <x:c r="DA738" s="22" t="n">
        <x:f>MAX(0,MIN('Activities'!L738,606)-MAX('Activities'!K738,600))</x:f>
        <x:v>0</x:v>
      </x:c>
      <x:c r="DB738" s="22" t="n">
        <x:f>MAX(0,MIN('Activities'!L738,612)-MAX('Activities'!K738,606))</x:f>
        <x:v>0</x:v>
      </x:c>
      <x:c r="DC738" s="22" t="n">
        <x:f>MAX(0,MIN('Activities'!L738,618)-MAX('Activities'!K738,612))</x:f>
        <x:v>0</x:v>
      </x:c>
      <x:c r="DD738" s="22" t="n">
        <x:f>MAX(0,MIN('Activities'!L738,624)-MAX('Activities'!K738,618))</x:f>
        <x:v>0</x:v>
      </x:c>
      <x:c r="DE738" s="22" t="n">
        <x:f>MAX(0,MIN('Activities'!L738,630)-MAX('Activities'!K738,624))</x:f>
        <x:v>0</x:v>
      </x:c>
      <x:c r="DF738" s="22" t="n">
        <x:f>MAX(0,MIN('Activities'!L738,636)-MAX('Activities'!K738,630))</x:f>
        <x:v>0</x:v>
      </x:c>
    </x:row>
    <x:row r="739" ht="23" customHeight="1">
      <x:c r="A739" s="1" t="str">
        <x:v>T6-L00-T</x:v>
      </x:c>
      <x:c r="B739" s="1" t="str">
        <x:v>T6</x:v>
      </x:c>
      <x:c r="C739" s="1" t="str">
        <x:v>Floor finishes and skirtings</x:v>
      </x:c>
      <x:c r="D739" s="1" t="str">
        <x:v>Finishes</x:v>
      </x:c>
      <x:c r="E739" s="23" t="n">
        <x:f>MAX(0,MIN('Activities'!L739,6)-MAX('Activities'!K739,0))</x:f>
        <x:v>0</x:v>
      </x:c>
      <x:c r="F739" s="23" t="n">
        <x:f>MAX(0,MIN('Activities'!L739,12)-MAX('Activities'!K739,6))</x:f>
        <x:v>0</x:v>
      </x:c>
      <x:c r="G739" s="23" t="n">
        <x:f>MAX(0,MIN('Activities'!L739,18)-MAX('Activities'!K739,12))</x:f>
        <x:v>0</x:v>
      </x:c>
      <x:c r="H739" s="23" t="n">
        <x:f>MAX(0,MIN('Activities'!L739,24)-MAX('Activities'!K739,18))</x:f>
        <x:v>0</x:v>
      </x:c>
      <x:c r="I739" s="23" t="n">
        <x:f>MAX(0,MIN('Activities'!L739,30)-MAX('Activities'!K739,24))</x:f>
        <x:v>0</x:v>
      </x:c>
      <x:c r="J739" s="23" t="n">
        <x:f>MAX(0,MIN('Activities'!L739,36)-MAX('Activities'!K739,30))</x:f>
        <x:v>0</x:v>
      </x:c>
      <x:c r="K739" s="23" t="n">
        <x:f>MAX(0,MIN('Activities'!L739,42)-MAX('Activities'!K739,36))</x:f>
        <x:v>0</x:v>
      </x:c>
      <x:c r="L739" s="23" t="n">
        <x:f>MAX(0,MIN('Activities'!L739,48)-MAX('Activities'!K739,42))</x:f>
        <x:v>0</x:v>
      </x:c>
      <x:c r="M739" s="23" t="n">
        <x:f>MAX(0,MIN('Activities'!L739,54)-MAX('Activities'!K739,48))</x:f>
        <x:v>0</x:v>
      </x:c>
      <x:c r="N739" s="23" t="n">
        <x:f>MAX(0,MIN('Activities'!L739,60)-MAX('Activities'!K739,54))</x:f>
        <x:v>0</x:v>
      </x:c>
      <x:c r="O739" s="23" t="n">
        <x:f>MAX(0,MIN('Activities'!L739,66)-MAX('Activities'!K739,60))</x:f>
        <x:v>0</x:v>
      </x:c>
      <x:c r="P739" s="23" t="n">
        <x:f>MAX(0,MIN('Activities'!L739,72)-MAX('Activities'!K739,66))</x:f>
        <x:v>0</x:v>
      </x:c>
      <x:c r="Q739" s="23" t="n">
        <x:f>MAX(0,MIN('Activities'!L739,78)-MAX('Activities'!K739,72))</x:f>
        <x:v>0</x:v>
      </x:c>
      <x:c r="R739" s="23" t="n">
        <x:f>MAX(0,MIN('Activities'!L739,84)-MAX('Activities'!K739,78))</x:f>
        <x:v>0</x:v>
      </x:c>
      <x:c r="S739" s="23" t="n">
        <x:f>MAX(0,MIN('Activities'!L739,90)-MAX('Activities'!K739,84))</x:f>
        <x:v>0</x:v>
      </x:c>
      <x:c r="T739" s="23" t="n">
        <x:f>MAX(0,MIN('Activities'!L739,96)-MAX('Activities'!K739,90))</x:f>
        <x:v>0</x:v>
      </x:c>
      <x:c r="U739" s="23" t="n">
        <x:f>MAX(0,MIN('Activities'!L739,102)-MAX('Activities'!K739,96))</x:f>
        <x:v>0</x:v>
      </x:c>
      <x:c r="V739" s="23" t="n">
        <x:f>MAX(0,MIN('Activities'!L739,108)-MAX('Activities'!K739,102))</x:f>
        <x:v>0</x:v>
      </x:c>
      <x:c r="W739" s="23" t="n">
        <x:f>MAX(0,MIN('Activities'!L739,114)-MAX('Activities'!K739,108))</x:f>
        <x:v>0</x:v>
      </x:c>
      <x:c r="X739" s="23" t="n">
        <x:f>MAX(0,MIN('Activities'!L739,120)-MAX('Activities'!K739,114))</x:f>
        <x:v>0</x:v>
      </x:c>
      <x:c r="Y739" s="23" t="n">
        <x:f>MAX(0,MIN('Activities'!L739,126)-MAX('Activities'!K739,120))</x:f>
        <x:v>0</x:v>
      </x:c>
      <x:c r="Z739" s="23" t="n">
        <x:f>MAX(0,MIN('Activities'!L739,132)-MAX('Activities'!K739,126))</x:f>
        <x:v>0</x:v>
      </x:c>
      <x:c r="AA739" s="23" t="n">
        <x:f>MAX(0,MIN('Activities'!L739,138)-MAX('Activities'!K739,132))</x:f>
        <x:v>0</x:v>
      </x:c>
      <x:c r="AB739" s="23" t="n">
        <x:f>MAX(0,MIN('Activities'!L739,144)-MAX('Activities'!K739,138))</x:f>
        <x:v>0</x:v>
      </x:c>
      <x:c r="AC739" s="23" t="n">
        <x:f>MAX(0,MIN('Activities'!L739,150)-MAX('Activities'!K739,144))</x:f>
        <x:v>0</x:v>
      </x:c>
      <x:c r="AD739" s="23" t="n">
        <x:f>MAX(0,MIN('Activities'!L739,156)-MAX('Activities'!K739,150))</x:f>
        <x:v>0</x:v>
      </x:c>
      <x:c r="AE739" s="23" t="n">
        <x:f>MAX(0,MIN('Activities'!L739,162)-MAX('Activities'!K739,156))</x:f>
        <x:v>0</x:v>
      </x:c>
      <x:c r="AF739" s="23" t="n">
        <x:f>MAX(0,MIN('Activities'!L739,168)-MAX('Activities'!K739,162))</x:f>
        <x:v>0</x:v>
      </x:c>
      <x:c r="AG739" s="23" t="n">
        <x:f>MAX(0,MIN('Activities'!L739,174)-MAX('Activities'!K739,168))</x:f>
        <x:v>0</x:v>
      </x:c>
      <x:c r="AH739" s="23" t="n">
        <x:f>MAX(0,MIN('Activities'!L739,180)-MAX('Activities'!K739,174))</x:f>
        <x:v>0</x:v>
      </x:c>
      <x:c r="AI739" s="23" t="n">
        <x:f>MAX(0,MIN('Activities'!L739,186)-MAX('Activities'!K739,180))</x:f>
        <x:v>0</x:v>
      </x:c>
      <x:c r="AJ739" s="23" t="n">
        <x:f>MAX(0,MIN('Activities'!L739,192)-MAX('Activities'!K739,186))</x:f>
        <x:v>0</x:v>
      </x:c>
      <x:c r="AK739" s="23" t="n">
        <x:f>MAX(0,MIN('Activities'!L739,198)-MAX('Activities'!K739,192))</x:f>
        <x:v>0</x:v>
      </x:c>
      <x:c r="AL739" s="23" t="n">
        <x:f>MAX(0,MIN('Activities'!L739,204)-MAX('Activities'!K739,198))</x:f>
        <x:v>0</x:v>
      </x:c>
      <x:c r="AM739" s="23" t="n">
        <x:f>MAX(0,MIN('Activities'!L739,210)-MAX('Activities'!K739,204))</x:f>
        <x:v>0</x:v>
      </x:c>
      <x:c r="AN739" s="23" t="n">
        <x:f>MAX(0,MIN('Activities'!L739,216)-MAX('Activities'!K739,210))</x:f>
        <x:v>0</x:v>
      </x:c>
      <x:c r="AO739" s="23" t="n">
        <x:f>MAX(0,MIN('Activities'!L739,222)-MAX('Activities'!K739,216))</x:f>
        <x:v>0</x:v>
      </x:c>
      <x:c r="AP739" s="23" t="n">
        <x:f>MAX(0,MIN('Activities'!L739,228)-MAX('Activities'!K739,222))</x:f>
        <x:v>0</x:v>
      </x:c>
      <x:c r="AQ739" s="23" t="n">
        <x:f>MAX(0,MIN('Activities'!L739,234)-MAX('Activities'!K739,228))</x:f>
        <x:v>0</x:v>
      </x:c>
      <x:c r="AR739" s="23" t="n">
        <x:f>MAX(0,MIN('Activities'!L739,240)-MAX('Activities'!K739,234))</x:f>
        <x:v>0</x:v>
      </x:c>
      <x:c r="AS739" s="23" t="n">
        <x:f>MAX(0,MIN('Activities'!L739,246)-MAX('Activities'!K739,240))</x:f>
        <x:v>0</x:v>
      </x:c>
      <x:c r="AT739" s="23" t="n">
        <x:f>MAX(0,MIN('Activities'!L739,252)-MAX('Activities'!K739,246))</x:f>
        <x:v>0</x:v>
      </x:c>
      <x:c r="AU739" s="23" t="n">
        <x:f>MAX(0,MIN('Activities'!L739,258)-MAX('Activities'!K739,252))</x:f>
        <x:v>0</x:v>
      </x:c>
      <x:c r="AV739" s="23" t="n">
        <x:f>MAX(0,MIN('Activities'!L739,264)-MAX('Activities'!K739,258))</x:f>
        <x:v>0</x:v>
      </x:c>
      <x:c r="AW739" s="23" t="n">
        <x:f>MAX(0,MIN('Activities'!L739,270)-MAX('Activities'!K739,264))</x:f>
        <x:v>0</x:v>
      </x:c>
      <x:c r="AX739" s="23" t="n">
        <x:f>MAX(0,MIN('Activities'!L739,276)-MAX('Activities'!K739,270))</x:f>
        <x:v>0</x:v>
      </x:c>
      <x:c r="AY739" s="23" t="n">
        <x:f>MAX(0,MIN('Activities'!L739,282)-MAX('Activities'!K739,276))</x:f>
        <x:v>0</x:v>
      </x:c>
      <x:c r="AZ739" s="23" t="n">
        <x:f>MAX(0,MIN('Activities'!L739,288)-MAX('Activities'!K739,282))</x:f>
        <x:v>0</x:v>
      </x:c>
      <x:c r="BA739" s="23" t="n">
        <x:f>MAX(0,MIN('Activities'!L739,294)-MAX('Activities'!K739,288))</x:f>
        <x:v>0</x:v>
      </x:c>
      <x:c r="BB739" s="23" t="n">
        <x:f>MAX(0,MIN('Activities'!L739,300)-MAX('Activities'!K739,294))</x:f>
        <x:v>0</x:v>
      </x:c>
      <x:c r="BC739" s="23" t="n">
        <x:f>MAX(0,MIN('Activities'!L739,306)-MAX('Activities'!K739,300))</x:f>
        <x:v>0</x:v>
      </x:c>
      <x:c r="BD739" s="23" t="n">
        <x:f>MAX(0,MIN('Activities'!L739,312)-MAX('Activities'!K739,306))</x:f>
        <x:v>0</x:v>
      </x:c>
      <x:c r="BE739" s="23" t="n">
        <x:f>MAX(0,MIN('Activities'!L739,318)-MAX('Activities'!K739,312))</x:f>
        <x:v>0</x:v>
      </x:c>
      <x:c r="BF739" s="23" t="n">
        <x:f>MAX(0,MIN('Activities'!L739,324)-MAX('Activities'!K739,318))</x:f>
        <x:v>0</x:v>
      </x:c>
      <x:c r="BG739" s="23" t="n">
        <x:f>MAX(0,MIN('Activities'!L739,330)-MAX('Activities'!K739,324))</x:f>
        <x:v>0</x:v>
      </x:c>
      <x:c r="BH739" s="23" t="n">
        <x:f>MAX(0,MIN('Activities'!L739,336)-MAX('Activities'!K739,330))</x:f>
        <x:v>0</x:v>
      </x:c>
      <x:c r="BI739" s="23" t="n">
        <x:f>MAX(0,MIN('Activities'!L739,342)-MAX('Activities'!K739,336))</x:f>
        <x:v>0</x:v>
      </x:c>
      <x:c r="BJ739" s="23" t="n">
        <x:f>MAX(0,MIN('Activities'!L739,348)-MAX('Activities'!K739,342))</x:f>
        <x:v>0</x:v>
      </x:c>
      <x:c r="BK739" s="23" t="n">
        <x:f>MAX(0,MIN('Activities'!L739,354)-MAX('Activities'!K739,348))</x:f>
        <x:v>0</x:v>
      </x:c>
      <x:c r="BL739" s="23" t="n">
        <x:f>MAX(0,MIN('Activities'!L739,360)-MAX('Activities'!K739,354))</x:f>
        <x:v>0</x:v>
      </x:c>
      <x:c r="BM739" s="23" t="n">
        <x:f>MAX(0,MIN('Activities'!L739,366)-MAX('Activities'!K739,360))</x:f>
        <x:v>0</x:v>
      </x:c>
      <x:c r="BN739" s="23" t="n">
        <x:f>MAX(0,MIN('Activities'!L739,372)-MAX('Activities'!K739,366))</x:f>
        <x:v>0</x:v>
      </x:c>
      <x:c r="BO739" s="23" t="n">
        <x:f>MAX(0,MIN('Activities'!L739,378)-MAX('Activities'!K739,372))</x:f>
        <x:v>0</x:v>
      </x:c>
      <x:c r="BP739" s="23" t="n">
        <x:f>MAX(0,MIN('Activities'!L739,384)-MAX('Activities'!K739,378))</x:f>
        <x:v>0</x:v>
      </x:c>
      <x:c r="BQ739" s="23" t="n">
        <x:f>MAX(0,MIN('Activities'!L739,390)-MAX('Activities'!K739,384))</x:f>
        <x:v>0</x:v>
      </x:c>
      <x:c r="BR739" s="23" t="n">
        <x:f>MAX(0,MIN('Activities'!L739,396)-MAX('Activities'!K739,390))</x:f>
        <x:v>0</x:v>
      </x:c>
      <x:c r="BS739" s="23" t="n">
        <x:f>MAX(0,MIN('Activities'!L739,402)-MAX('Activities'!K739,396))</x:f>
        <x:v>0</x:v>
      </x:c>
      <x:c r="BT739" s="23" t="n">
        <x:f>MAX(0,MIN('Activities'!L739,408)-MAX('Activities'!K739,402))</x:f>
        <x:v>0</x:v>
      </x:c>
      <x:c r="BU739" s="23" t="n">
        <x:f>MAX(0,MIN('Activities'!L739,414)-MAX('Activities'!K739,408))</x:f>
        <x:v>0</x:v>
      </x:c>
      <x:c r="BV739" s="23" t="n">
        <x:f>MAX(0,MIN('Activities'!L739,420)-MAX('Activities'!K739,414))</x:f>
        <x:v>0</x:v>
      </x:c>
      <x:c r="BW739" s="23" t="n">
        <x:f>MAX(0,MIN('Activities'!L739,426)-MAX('Activities'!K739,420))</x:f>
        <x:v>0</x:v>
      </x:c>
      <x:c r="BX739" s="23" t="n">
        <x:f>MAX(0,MIN('Activities'!L739,432)-MAX('Activities'!K739,426))</x:f>
        <x:v>0</x:v>
      </x:c>
      <x:c r="BY739" s="23" t="n">
        <x:f>MAX(0,MIN('Activities'!L739,438)-MAX('Activities'!K739,432))</x:f>
        <x:v>0</x:v>
      </x:c>
      <x:c r="BZ739" s="23" t="n">
        <x:f>MAX(0,MIN('Activities'!L739,444)-MAX('Activities'!K739,438))</x:f>
        <x:v>0</x:v>
      </x:c>
      <x:c r="CA739" s="23" t="n">
        <x:f>MAX(0,MIN('Activities'!L739,450)-MAX('Activities'!K739,444))</x:f>
        <x:v>0</x:v>
      </x:c>
      <x:c r="CB739" s="23" t="n">
        <x:f>MAX(0,MIN('Activities'!L739,456)-MAX('Activities'!K739,450))</x:f>
        <x:v>0</x:v>
      </x:c>
      <x:c r="CC739" s="23" t="n">
        <x:f>MAX(0,MIN('Activities'!L739,462)-MAX('Activities'!K739,456))</x:f>
        <x:v>1</x:v>
      </x:c>
      <x:c r="CD739" s="23" t="n">
        <x:f>MAX(0,MIN('Activities'!L739,468)-MAX('Activities'!K739,462))</x:f>
        <x:v>5</x:v>
      </x:c>
      <x:c r="CE739" s="23" t="n">
        <x:f>MAX(0,MIN('Activities'!L739,474)-MAX('Activities'!K739,468))</x:f>
        <x:v>0</x:v>
      </x:c>
      <x:c r="CF739" s="23" t="n">
        <x:f>MAX(0,MIN('Activities'!L739,480)-MAX('Activities'!K739,474))</x:f>
        <x:v>0</x:v>
      </x:c>
      <x:c r="CG739" s="23" t="n">
        <x:f>MAX(0,MIN('Activities'!L739,486)-MAX('Activities'!K739,480))</x:f>
        <x:v>0</x:v>
      </x:c>
      <x:c r="CH739" s="23" t="n">
        <x:f>MAX(0,MIN('Activities'!L739,492)-MAX('Activities'!K739,486))</x:f>
        <x:v>0</x:v>
      </x:c>
      <x:c r="CI739" s="23" t="n">
        <x:f>MAX(0,MIN('Activities'!L739,498)-MAX('Activities'!K739,492))</x:f>
        <x:v>0</x:v>
      </x:c>
      <x:c r="CJ739" s="23" t="n">
        <x:f>MAX(0,MIN('Activities'!L739,504)-MAX('Activities'!K739,498))</x:f>
        <x:v>0</x:v>
      </x:c>
      <x:c r="CK739" s="23" t="n">
        <x:f>MAX(0,MIN('Activities'!L739,510)-MAX('Activities'!K739,504))</x:f>
        <x:v>0</x:v>
      </x:c>
      <x:c r="CL739" s="23" t="n">
        <x:f>MAX(0,MIN('Activities'!L739,516)-MAX('Activities'!K739,510))</x:f>
        <x:v>0</x:v>
      </x:c>
      <x:c r="CM739" s="23" t="n">
        <x:f>MAX(0,MIN('Activities'!L739,522)-MAX('Activities'!K739,516))</x:f>
        <x:v>0</x:v>
      </x:c>
      <x:c r="CN739" s="23" t="n">
        <x:f>MAX(0,MIN('Activities'!L739,528)-MAX('Activities'!K739,522))</x:f>
        <x:v>0</x:v>
      </x:c>
      <x:c r="CO739" s="23" t="n">
        <x:f>MAX(0,MIN('Activities'!L739,534)-MAX('Activities'!K739,528))</x:f>
        <x:v>0</x:v>
      </x:c>
      <x:c r="CP739" s="23" t="n">
        <x:f>MAX(0,MIN('Activities'!L739,540)-MAX('Activities'!K739,534))</x:f>
        <x:v>0</x:v>
      </x:c>
      <x:c r="CQ739" s="23" t="n">
        <x:f>MAX(0,MIN('Activities'!L739,546)-MAX('Activities'!K739,540))</x:f>
        <x:v>0</x:v>
      </x:c>
      <x:c r="CR739" s="23" t="n">
        <x:f>MAX(0,MIN('Activities'!L739,552)-MAX('Activities'!K739,546))</x:f>
        <x:v>0</x:v>
      </x:c>
      <x:c r="CS739" s="23" t="n">
        <x:f>MAX(0,MIN('Activities'!L739,558)-MAX('Activities'!K739,552))</x:f>
        <x:v>0</x:v>
      </x:c>
      <x:c r="CT739" s="23" t="n">
        <x:f>MAX(0,MIN('Activities'!L739,564)-MAX('Activities'!K739,558))</x:f>
        <x:v>0</x:v>
      </x:c>
      <x:c r="CU739" s="23" t="n">
        <x:f>MAX(0,MIN('Activities'!L739,570)-MAX('Activities'!K739,564))</x:f>
        <x:v>0</x:v>
      </x:c>
      <x:c r="CV739" s="23" t="n">
        <x:f>MAX(0,MIN('Activities'!L739,576)-MAX('Activities'!K739,570))</x:f>
        <x:v>0</x:v>
      </x:c>
      <x:c r="CW739" s="23" t="n">
        <x:f>MAX(0,MIN('Activities'!L739,582)-MAX('Activities'!K739,576))</x:f>
        <x:v>0</x:v>
      </x:c>
      <x:c r="CX739" s="23" t="n">
        <x:f>MAX(0,MIN('Activities'!L739,588)-MAX('Activities'!K739,582))</x:f>
        <x:v>0</x:v>
      </x:c>
      <x:c r="CY739" s="23" t="n">
        <x:f>MAX(0,MIN('Activities'!L739,594)-MAX('Activities'!K739,588))</x:f>
        <x:v>0</x:v>
      </x:c>
      <x:c r="CZ739" s="23" t="n">
        <x:f>MAX(0,MIN('Activities'!L739,600)-MAX('Activities'!K739,594))</x:f>
        <x:v>0</x:v>
      </x:c>
      <x:c r="DA739" s="23" t="n">
        <x:f>MAX(0,MIN('Activities'!L739,606)-MAX('Activities'!K739,600))</x:f>
        <x:v>0</x:v>
      </x:c>
      <x:c r="DB739" s="23" t="n">
        <x:f>MAX(0,MIN('Activities'!L739,612)-MAX('Activities'!K739,606))</x:f>
        <x:v>0</x:v>
      </x:c>
      <x:c r="DC739" s="23" t="n">
        <x:f>MAX(0,MIN('Activities'!L739,618)-MAX('Activities'!K739,612))</x:f>
        <x:v>0</x:v>
      </x:c>
      <x:c r="DD739" s="23" t="n">
        <x:f>MAX(0,MIN('Activities'!L739,624)-MAX('Activities'!K739,618))</x:f>
        <x:v>0</x:v>
      </x:c>
      <x:c r="DE739" s="23" t="n">
        <x:f>MAX(0,MIN('Activities'!L739,630)-MAX('Activities'!K739,624))</x:f>
        <x:v>0</x:v>
      </x:c>
      <x:c r="DF739" s="23" t="n">
        <x:f>MAX(0,MIN('Activities'!L739,636)-MAX('Activities'!K739,630))</x:f>
        <x:v>0</x:v>
      </x:c>
    </x:row>
    <x:row r="740" ht="23" customHeight="1">
      <x:c r="A740" s="6" t="str">
        <x:v>T6-L00-A</x:v>
      </x:c>
      <x:c r="B740" s="6" t="str">
        <x:v>T6</x:v>
      </x:c>
      <x:c r="C740" s="6" t="str">
        <x:v>Paint and final decorations</x:v>
      </x:c>
      <x:c r="D740" s="6" t="str">
        <x:v>Finishes</x:v>
      </x:c>
      <x:c r="E740" s="22" t="n">
        <x:f>MAX(0,MIN('Activities'!L740,6)-MAX('Activities'!K740,0))</x:f>
        <x:v>0</x:v>
      </x:c>
      <x:c r="F740" s="22" t="n">
        <x:f>MAX(0,MIN('Activities'!L740,12)-MAX('Activities'!K740,6))</x:f>
        <x:v>0</x:v>
      </x:c>
      <x:c r="G740" s="22" t="n">
        <x:f>MAX(0,MIN('Activities'!L740,18)-MAX('Activities'!K740,12))</x:f>
        <x:v>0</x:v>
      </x:c>
      <x:c r="H740" s="22" t="n">
        <x:f>MAX(0,MIN('Activities'!L740,24)-MAX('Activities'!K740,18))</x:f>
        <x:v>0</x:v>
      </x:c>
      <x:c r="I740" s="22" t="n">
        <x:f>MAX(0,MIN('Activities'!L740,30)-MAX('Activities'!K740,24))</x:f>
        <x:v>0</x:v>
      </x:c>
      <x:c r="J740" s="22" t="n">
        <x:f>MAX(0,MIN('Activities'!L740,36)-MAX('Activities'!K740,30))</x:f>
        <x:v>0</x:v>
      </x:c>
      <x:c r="K740" s="22" t="n">
        <x:f>MAX(0,MIN('Activities'!L740,42)-MAX('Activities'!K740,36))</x:f>
        <x:v>0</x:v>
      </x:c>
      <x:c r="L740" s="22" t="n">
        <x:f>MAX(0,MIN('Activities'!L740,48)-MAX('Activities'!K740,42))</x:f>
        <x:v>0</x:v>
      </x:c>
      <x:c r="M740" s="22" t="n">
        <x:f>MAX(0,MIN('Activities'!L740,54)-MAX('Activities'!K740,48))</x:f>
        <x:v>0</x:v>
      </x:c>
      <x:c r="N740" s="22" t="n">
        <x:f>MAX(0,MIN('Activities'!L740,60)-MAX('Activities'!K740,54))</x:f>
        <x:v>0</x:v>
      </x:c>
      <x:c r="O740" s="22" t="n">
        <x:f>MAX(0,MIN('Activities'!L740,66)-MAX('Activities'!K740,60))</x:f>
        <x:v>0</x:v>
      </x:c>
      <x:c r="P740" s="22" t="n">
        <x:f>MAX(0,MIN('Activities'!L740,72)-MAX('Activities'!K740,66))</x:f>
        <x:v>0</x:v>
      </x:c>
      <x:c r="Q740" s="22" t="n">
        <x:f>MAX(0,MIN('Activities'!L740,78)-MAX('Activities'!K740,72))</x:f>
        <x:v>0</x:v>
      </x:c>
      <x:c r="R740" s="22" t="n">
        <x:f>MAX(0,MIN('Activities'!L740,84)-MAX('Activities'!K740,78))</x:f>
        <x:v>0</x:v>
      </x:c>
      <x:c r="S740" s="22" t="n">
        <x:f>MAX(0,MIN('Activities'!L740,90)-MAX('Activities'!K740,84))</x:f>
        <x:v>0</x:v>
      </x:c>
      <x:c r="T740" s="22" t="n">
        <x:f>MAX(0,MIN('Activities'!L740,96)-MAX('Activities'!K740,90))</x:f>
        <x:v>0</x:v>
      </x:c>
      <x:c r="U740" s="22" t="n">
        <x:f>MAX(0,MIN('Activities'!L740,102)-MAX('Activities'!K740,96))</x:f>
        <x:v>0</x:v>
      </x:c>
      <x:c r="V740" s="22" t="n">
        <x:f>MAX(0,MIN('Activities'!L740,108)-MAX('Activities'!K740,102))</x:f>
        <x:v>0</x:v>
      </x:c>
      <x:c r="W740" s="22" t="n">
        <x:f>MAX(0,MIN('Activities'!L740,114)-MAX('Activities'!K740,108))</x:f>
        <x:v>0</x:v>
      </x:c>
      <x:c r="X740" s="22" t="n">
        <x:f>MAX(0,MIN('Activities'!L740,120)-MAX('Activities'!K740,114))</x:f>
        <x:v>0</x:v>
      </x:c>
      <x:c r="Y740" s="22" t="n">
        <x:f>MAX(0,MIN('Activities'!L740,126)-MAX('Activities'!K740,120))</x:f>
        <x:v>0</x:v>
      </x:c>
      <x:c r="Z740" s="22" t="n">
        <x:f>MAX(0,MIN('Activities'!L740,132)-MAX('Activities'!K740,126))</x:f>
        <x:v>0</x:v>
      </x:c>
      <x:c r="AA740" s="22" t="n">
        <x:f>MAX(0,MIN('Activities'!L740,138)-MAX('Activities'!K740,132))</x:f>
        <x:v>0</x:v>
      </x:c>
      <x:c r="AB740" s="22" t="n">
        <x:f>MAX(0,MIN('Activities'!L740,144)-MAX('Activities'!K740,138))</x:f>
        <x:v>0</x:v>
      </x:c>
      <x:c r="AC740" s="22" t="n">
        <x:f>MAX(0,MIN('Activities'!L740,150)-MAX('Activities'!K740,144))</x:f>
        <x:v>0</x:v>
      </x:c>
      <x:c r="AD740" s="22" t="n">
        <x:f>MAX(0,MIN('Activities'!L740,156)-MAX('Activities'!K740,150))</x:f>
        <x:v>0</x:v>
      </x:c>
      <x:c r="AE740" s="22" t="n">
        <x:f>MAX(0,MIN('Activities'!L740,162)-MAX('Activities'!K740,156))</x:f>
        <x:v>0</x:v>
      </x:c>
      <x:c r="AF740" s="22" t="n">
        <x:f>MAX(0,MIN('Activities'!L740,168)-MAX('Activities'!K740,162))</x:f>
        <x:v>0</x:v>
      </x:c>
      <x:c r="AG740" s="22" t="n">
        <x:f>MAX(0,MIN('Activities'!L740,174)-MAX('Activities'!K740,168))</x:f>
        <x:v>0</x:v>
      </x:c>
      <x:c r="AH740" s="22" t="n">
        <x:f>MAX(0,MIN('Activities'!L740,180)-MAX('Activities'!K740,174))</x:f>
        <x:v>0</x:v>
      </x:c>
      <x:c r="AI740" s="22" t="n">
        <x:f>MAX(0,MIN('Activities'!L740,186)-MAX('Activities'!K740,180))</x:f>
        <x:v>0</x:v>
      </x:c>
      <x:c r="AJ740" s="22" t="n">
        <x:f>MAX(0,MIN('Activities'!L740,192)-MAX('Activities'!K740,186))</x:f>
        <x:v>0</x:v>
      </x:c>
      <x:c r="AK740" s="22" t="n">
        <x:f>MAX(0,MIN('Activities'!L740,198)-MAX('Activities'!K740,192))</x:f>
        <x:v>0</x:v>
      </x:c>
      <x:c r="AL740" s="22" t="n">
        <x:f>MAX(0,MIN('Activities'!L740,204)-MAX('Activities'!K740,198))</x:f>
        <x:v>0</x:v>
      </x:c>
      <x:c r="AM740" s="22" t="n">
        <x:f>MAX(0,MIN('Activities'!L740,210)-MAX('Activities'!K740,204))</x:f>
        <x:v>0</x:v>
      </x:c>
      <x:c r="AN740" s="22" t="n">
        <x:f>MAX(0,MIN('Activities'!L740,216)-MAX('Activities'!K740,210))</x:f>
        <x:v>0</x:v>
      </x:c>
      <x:c r="AO740" s="22" t="n">
        <x:f>MAX(0,MIN('Activities'!L740,222)-MAX('Activities'!K740,216))</x:f>
        <x:v>0</x:v>
      </x:c>
      <x:c r="AP740" s="22" t="n">
        <x:f>MAX(0,MIN('Activities'!L740,228)-MAX('Activities'!K740,222))</x:f>
        <x:v>0</x:v>
      </x:c>
      <x:c r="AQ740" s="22" t="n">
        <x:f>MAX(0,MIN('Activities'!L740,234)-MAX('Activities'!K740,228))</x:f>
        <x:v>0</x:v>
      </x:c>
      <x:c r="AR740" s="22" t="n">
        <x:f>MAX(0,MIN('Activities'!L740,240)-MAX('Activities'!K740,234))</x:f>
        <x:v>0</x:v>
      </x:c>
      <x:c r="AS740" s="22" t="n">
        <x:f>MAX(0,MIN('Activities'!L740,246)-MAX('Activities'!K740,240))</x:f>
        <x:v>0</x:v>
      </x:c>
      <x:c r="AT740" s="22" t="n">
        <x:f>MAX(0,MIN('Activities'!L740,252)-MAX('Activities'!K740,246))</x:f>
        <x:v>0</x:v>
      </x:c>
      <x:c r="AU740" s="22" t="n">
        <x:f>MAX(0,MIN('Activities'!L740,258)-MAX('Activities'!K740,252))</x:f>
        <x:v>0</x:v>
      </x:c>
      <x:c r="AV740" s="22" t="n">
        <x:f>MAX(0,MIN('Activities'!L740,264)-MAX('Activities'!K740,258))</x:f>
        <x:v>0</x:v>
      </x:c>
      <x:c r="AW740" s="22" t="n">
        <x:f>MAX(0,MIN('Activities'!L740,270)-MAX('Activities'!K740,264))</x:f>
        <x:v>0</x:v>
      </x:c>
      <x:c r="AX740" s="22" t="n">
        <x:f>MAX(0,MIN('Activities'!L740,276)-MAX('Activities'!K740,270))</x:f>
        <x:v>0</x:v>
      </x:c>
      <x:c r="AY740" s="22" t="n">
        <x:f>MAX(0,MIN('Activities'!L740,282)-MAX('Activities'!K740,276))</x:f>
        <x:v>0</x:v>
      </x:c>
      <x:c r="AZ740" s="22" t="n">
        <x:f>MAX(0,MIN('Activities'!L740,288)-MAX('Activities'!K740,282))</x:f>
        <x:v>0</x:v>
      </x:c>
      <x:c r="BA740" s="22" t="n">
        <x:f>MAX(0,MIN('Activities'!L740,294)-MAX('Activities'!K740,288))</x:f>
        <x:v>0</x:v>
      </x:c>
      <x:c r="BB740" s="22" t="n">
        <x:f>MAX(0,MIN('Activities'!L740,300)-MAX('Activities'!K740,294))</x:f>
        <x:v>0</x:v>
      </x:c>
      <x:c r="BC740" s="22" t="n">
        <x:f>MAX(0,MIN('Activities'!L740,306)-MAX('Activities'!K740,300))</x:f>
        <x:v>0</x:v>
      </x:c>
      <x:c r="BD740" s="22" t="n">
        <x:f>MAX(0,MIN('Activities'!L740,312)-MAX('Activities'!K740,306))</x:f>
        <x:v>0</x:v>
      </x:c>
      <x:c r="BE740" s="22" t="n">
        <x:f>MAX(0,MIN('Activities'!L740,318)-MAX('Activities'!K740,312))</x:f>
        <x:v>0</x:v>
      </x:c>
      <x:c r="BF740" s="22" t="n">
        <x:f>MAX(0,MIN('Activities'!L740,324)-MAX('Activities'!K740,318))</x:f>
        <x:v>0</x:v>
      </x:c>
      <x:c r="BG740" s="22" t="n">
        <x:f>MAX(0,MIN('Activities'!L740,330)-MAX('Activities'!K740,324))</x:f>
        <x:v>0</x:v>
      </x:c>
      <x:c r="BH740" s="22" t="n">
        <x:f>MAX(0,MIN('Activities'!L740,336)-MAX('Activities'!K740,330))</x:f>
        <x:v>0</x:v>
      </x:c>
      <x:c r="BI740" s="22" t="n">
        <x:f>MAX(0,MIN('Activities'!L740,342)-MAX('Activities'!K740,336))</x:f>
        <x:v>0</x:v>
      </x:c>
      <x:c r="BJ740" s="22" t="n">
        <x:f>MAX(0,MIN('Activities'!L740,348)-MAX('Activities'!K740,342))</x:f>
        <x:v>0</x:v>
      </x:c>
      <x:c r="BK740" s="22" t="n">
        <x:f>MAX(0,MIN('Activities'!L740,354)-MAX('Activities'!K740,348))</x:f>
        <x:v>0</x:v>
      </x:c>
      <x:c r="BL740" s="22" t="n">
        <x:f>MAX(0,MIN('Activities'!L740,360)-MAX('Activities'!K740,354))</x:f>
        <x:v>0</x:v>
      </x:c>
      <x:c r="BM740" s="22" t="n">
        <x:f>MAX(0,MIN('Activities'!L740,366)-MAX('Activities'!K740,360))</x:f>
        <x:v>0</x:v>
      </x:c>
      <x:c r="BN740" s="22" t="n">
        <x:f>MAX(0,MIN('Activities'!L740,372)-MAX('Activities'!K740,366))</x:f>
        <x:v>0</x:v>
      </x:c>
      <x:c r="BO740" s="22" t="n">
        <x:f>MAX(0,MIN('Activities'!L740,378)-MAX('Activities'!K740,372))</x:f>
        <x:v>0</x:v>
      </x:c>
      <x:c r="BP740" s="22" t="n">
        <x:f>MAX(0,MIN('Activities'!L740,384)-MAX('Activities'!K740,378))</x:f>
        <x:v>0</x:v>
      </x:c>
      <x:c r="BQ740" s="22" t="n">
        <x:f>MAX(0,MIN('Activities'!L740,390)-MAX('Activities'!K740,384))</x:f>
        <x:v>0</x:v>
      </x:c>
      <x:c r="BR740" s="22" t="n">
        <x:f>MAX(0,MIN('Activities'!L740,396)-MAX('Activities'!K740,390))</x:f>
        <x:v>0</x:v>
      </x:c>
      <x:c r="BS740" s="22" t="n">
        <x:f>MAX(0,MIN('Activities'!L740,402)-MAX('Activities'!K740,396))</x:f>
        <x:v>0</x:v>
      </x:c>
      <x:c r="BT740" s="22" t="n">
        <x:f>MAX(0,MIN('Activities'!L740,408)-MAX('Activities'!K740,402))</x:f>
        <x:v>0</x:v>
      </x:c>
      <x:c r="BU740" s="22" t="n">
        <x:f>MAX(0,MIN('Activities'!L740,414)-MAX('Activities'!K740,408))</x:f>
        <x:v>0</x:v>
      </x:c>
      <x:c r="BV740" s="22" t="n">
        <x:f>MAX(0,MIN('Activities'!L740,420)-MAX('Activities'!K740,414))</x:f>
        <x:v>0</x:v>
      </x:c>
      <x:c r="BW740" s="22" t="n">
        <x:f>MAX(0,MIN('Activities'!L740,426)-MAX('Activities'!K740,420))</x:f>
        <x:v>0</x:v>
      </x:c>
      <x:c r="BX740" s="22" t="n">
        <x:f>MAX(0,MIN('Activities'!L740,432)-MAX('Activities'!K740,426))</x:f>
        <x:v>0</x:v>
      </x:c>
      <x:c r="BY740" s="22" t="n">
        <x:f>MAX(0,MIN('Activities'!L740,438)-MAX('Activities'!K740,432))</x:f>
        <x:v>0</x:v>
      </x:c>
      <x:c r="BZ740" s="22" t="n">
        <x:f>MAX(0,MIN('Activities'!L740,444)-MAX('Activities'!K740,438))</x:f>
        <x:v>0</x:v>
      </x:c>
      <x:c r="CA740" s="22" t="n">
        <x:f>MAX(0,MIN('Activities'!L740,450)-MAX('Activities'!K740,444))</x:f>
        <x:v>0</x:v>
      </x:c>
      <x:c r="CB740" s="22" t="n">
        <x:f>MAX(0,MIN('Activities'!L740,456)-MAX('Activities'!K740,450))</x:f>
        <x:v>0</x:v>
      </x:c>
      <x:c r="CC740" s="22" t="n">
        <x:f>MAX(0,MIN('Activities'!L740,462)-MAX('Activities'!K740,456))</x:f>
        <x:v>0</x:v>
      </x:c>
      <x:c r="CD740" s="22" t="n">
        <x:f>MAX(0,MIN('Activities'!L740,468)-MAX('Activities'!K740,462))</x:f>
        <x:v>0</x:v>
      </x:c>
      <x:c r="CE740" s="22" t="n">
        <x:f>MAX(0,MIN('Activities'!L740,474)-MAX('Activities'!K740,468))</x:f>
        <x:v>5</x:v>
      </x:c>
      <x:c r="CF740" s="22" t="n">
        <x:f>MAX(0,MIN('Activities'!L740,480)-MAX('Activities'!K740,474))</x:f>
        <x:v>0</x:v>
      </x:c>
      <x:c r="CG740" s="22" t="n">
        <x:f>MAX(0,MIN('Activities'!L740,486)-MAX('Activities'!K740,480))</x:f>
        <x:v>0</x:v>
      </x:c>
      <x:c r="CH740" s="22" t="n">
        <x:f>MAX(0,MIN('Activities'!L740,492)-MAX('Activities'!K740,486))</x:f>
        <x:v>0</x:v>
      </x:c>
      <x:c r="CI740" s="22" t="n">
        <x:f>MAX(0,MIN('Activities'!L740,498)-MAX('Activities'!K740,492))</x:f>
        <x:v>0</x:v>
      </x:c>
      <x:c r="CJ740" s="22" t="n">
        <x:f>MAX(0,MIN('Activities'!L740,504)-MAX('Activities'!K740,498))</x:f>
        <x:v>0</x:v>
      </x:c>
      <x:c r="CK740" s="22" t="n">
        <x:f>MAX(0,MIN('Activities'!L740,510)-MAX('Activities'!K740,504))</x:f>
        <x:v>0</x:v>
      </x:c>
      <x:c r="CL740" s="22" t="n">
        <x:f>MAX(0,MIN('Activities'!L740,516)-MAX('Activities'!K740,510))</x:f>
        <x:v>0</x:v>
      </x:c>
      <x:c r="CM740" s="22" t="n">
        <x:f>MAX(0,MIN('Activities'!L740,522)-MAX('Activities'!K740,516))</x:f>
        <x:v>0</x:v>
      </x:c>
      <x:c r="CN740" s="22" t="n">
        <x:f>MAX(0,MIN('Activities'!L740,528)-MAX('Activities'!K740,522))</x:f>
        <x:v>0</x:v>
      </x:c>
      <x:c r="CO740" s="22" t="n">
        <x:f>MAX(0,MIN('Activities'!L740,534)-MAX('Activities'!K740,528))</x:f>
        <x:v>0</x:v>
      </x:c>
      <x:c r="CP740" s="22" t="n">
        <x:f>MAX(0,MIN('Activities'!L740,540)-MAX('Activities'!K740,534))</x:f>
        <x:v>0</x:v>
      </x:c>
      <x:c r="CQ740" s="22" t="n">
        <x:f>MAX(0,MIN('Activities'!L740,546)-MAX('Activities'!K740,540))</x:f>
        <x:v>0</x:v>
      </x:c>
      <x:c r="CR740" s="22" t="n">
        <x:f>MAX(0,MIN('Activities'!L740,552)-MAX('Activities'!K740,546))</x:f>
        <x:v>0</x:v>
      </x:c>
      <x:c r="CS740" s="22" t="n">
        <x:f>MAX(0,MIN('Activities'!L740,558)-MAX('Activities'!K740,552))</x:f>
        <x:v>0</x:v>
      </x:c>
      <x:c r="CT740" s="22" t="n">
        <x:f>MAX(0,MIN('Activities'!L740,564)-MAX('Activities'!K740,558))</x:f>
        <x:v>0</x:v>
      </x:c>
      <x:c r="CU740" s="22" t="n">
        <x:f>MAX(0,MIN('Activities'!L740,570)-MAX('Activities'!K740,564))</x:f>
        <x:v>0</x:v>
      </x:c>
      <x:c r="CV740" s="22" t="n">
        <x:f>MAX(0,MIN('Activities'!L740,576)-MAX('Activities'!K740,570))</x:f>
        <x:v>0</x:v>
      </x:c>
      <x:c r="CW740" s="22" t="n">
        <x:f>MAX(0,MIN('Activities'!L740,582)-MAX('Activities'!K740,576))</x:f>
        <x:v>0</x:v>
      </x:c>
      <x:c r="CX740" s="22" t="n">
        <x:f>MAX(0,MIN('Activities'!L740,588)-MAX('Activities'!K740,582))</x:f>
        <x:v>0</x:v>
      </x:c>
      <x:c r="CY740" s="22" t="n">
        <x:f>MAX(0,MIN('Activities'!L740,594)-MAX('Activities'!K740,588))</x:f>
        <x:v>0</x:v>
      </x:c>
      <x:c r="CZ740" s="22" t="n">
        <x:f>MAX(0,MIN('Activities'!L740,600)-MAX('Activities'!K740,594))</x:f>
        <x:v>0</x:v>
      </x:c>
      <x:c r="DA740" s="22" t="n">
        <x:f>MAX(0,MIN('Activities'!L740,606)-MAX('Activities'!K740,600))</x:f>
        <x:v>0</x:v>
      </x:c>
      <x:c r="DB740" s="22" t="n">
        <x:f>MAX(0,MIN('Activities'!L740,612)-MAX('Activities'!K740,606))</x:f>
        <x:v>0</x:v>
      </x:c>
      <x:c r="DC740" s="22" t="n">
        <x:f>MAX(0,MIN('Activities'!L740,618)-MAX('Activities'!K740,612))</x:f>
        <x:v>0</x:v>
      </x:c>
      <x:c r="DD740" s="22" t="n">
        <x:f>MAX(0,MIN('Activities'!L740,624)-MAX('Activities'!K740,618))</x:f>
        <x:v>0</x:v>
      </x:c>
      <x:c r="DE740" s="22" t="n">
        <x:f>MAX(0,MIN('Activities'!L740,630)-MAX('Activities'!K740,624))</x:f>
        <x:v>0</x:v>
      </x:c>
      <x:c r="DF740" s="22" t="n">
        <x:f>MAX(0,MIN('Activities'!L740,636)-MAX('Activities'!K740,630))</x:f>
        <x:v>0</x:v>
      </x:c>
    </x:row>
    <x:row r="741" ht="23" customHeight="1">
      <x:c r="A741" s="1" t="str">
        <x:v>T6-L00-D</x:v>
      </x:c>
      <x:c r="B741" s="1" t="str">
        <x:v>T6</x:v>
      </x:c>
      <x:c r="C741" s="1" t="str">
        <x:v>Door sets and ironmongery</x:v>
      </x:c>
      <x:c r="D741" s="1" t="str">
        <x:v>Finishes</x:v>
      </x:c>
      <x:c r="E741" s="23" t="n">
        <x:f>MAX(0,MIN('Activities'!L741,6)-MAX('Activities'!K741,0))</x:f>
        <x:v>0</x:v>
      </x:c>
      <x:c r="F741" s="23" t="n">
        <x:f>MAX(0,MIN('Activities'!L741,12)-MAX('Activities'!K741,6))</x:f>
        <x:v>0</x:v>
      </x:c>
      <x:c r="G741" s="23" t="n">
        <x:f>MAX(0,MIN('Activities'!L741,18)-MAX('Activities'!K741,12))</x:f>
        <x:v>0</x:v>
      </x:c>
      <x:c r="H741" s="23" t="n">
        <x:f>MAX(0,MIN('Activities'!L741,24)-MAX('Activities'!K741,18))</x:f>
        <x:v>0</x:v>
      </x:c>
      <x:c r="I741" s="23" t="n">
        <x:f>MAX(0,MIN('Activities'!L741,30)-MAX('Activities'!K741,24))</x:f>
        <x:v>0</x:v>
      </x:c>
      <x:c r="J741" s="23" t="n">
        <x:f>MAX(0,MIN('Activities'!L741,36)-MAX('Activities'!K741,30))</x:f>
        <x:v>0</x:v>
      </x:c>
      <x:c r="K741" s="23" t="n">
        <x:f>MAX(0,MIN('Activities'!L741,42)-MAX('Activities'!K741,36))</x:f>
        <x:v>0</x:v>
      </x:c>
      <x:c r="L741" s="23" t="n">
        <x:f>MAX(0,MIN('Activities'!L741,48)-MAX('Activities'!K741,42))</x:f>
        <x:v>0</x:v>
      </x:c>
      <x:c r="M741" s="23" t="n">
        <x:f>MAX(0,MIN('Activities'!L741,54)-MAX('Activities'!K741,48))</x:f>
        <x:v>0</x:v>
      </x:c>
      <x:c r="N741" s="23" t="n">
        <x:f>MAX(0,MIN('Activities'!L741,60)-MAX('Activities'!K741,54))</x:f>
        <x:v>0</x:v>
      </x:c>
      <x:c r="O741" s="23" t="n">
        <x:f>MAX(0,MIN('Activities'!L741,66)-MAX('Activities'!K741,60))</x:f>
        <x:v>0</x:v>
      </x:c>
      <x:c r="P741" s="23" t="n">
        <x:f>MAX(0,MIN('Activities'!L741,72)-MAX('Activities'!K741,66))</x:f>
        <x:v>0</x:v>
      </x:c>
      <x:c r="Q741" s="23" t="n">
        <x:f>MAX(0,MIN('Activities'!L741,78)-MAX('Activities'!K741,72))</x:f>
        <x:v>0</x:v>
      </x:c>
      <x:c r="R741" s="23" t="n">
        <x:f>MAX(0,MIN('Activities'!L741,84)-MAX('Activities'!K741,78))</x:f>
        <x:v>0</x:v>
      </x:c>
      <x:c r="S741" s="23" t="n">
        <x:f>MAX(0,MIN('Activities'!L741,90)-MAX('Activities'!K741,84))</x:f>
        <x:v>0</x:v>
      </x:c>
      <x:c r="T741" s="23" t="n">
        <x:f>MAX(0,MIN('Activities'!L741,96)-MAX('Activities'!K741,90))</x:f>
        <x:v>0</x:v>
      </x:c>
      <x:c r="U741" s="23" t="n">
        <x:f>MAX(0,MIN('Activities'!L741,102)-MAX('Activities'!K741,96))</x:f>
        <x:v>0</x:v>
      </x:c>
      <x:c r="V741" s="23" t="n">
        <x:f>MAX(0,MIN('Activities'!L741,108)-MAX('Activities'!K741,102))</x:f>
        <x:v>0</x:v>
      </x:c>
      <x:c r="W741" s="23" t="n">
        <x:f>MAX(0,MIN('Activities'!L741,114)-MAX('Activities'!K741,108))</x:f>
        <x:v>0</x:v>
      </x:c>
      <x:c r="X741" s="23" t="n">
        <x:f>MAX(0,MIN('Activities'!L741,120)-MAX('Activities'!K741,114))</x:f>
        <x:v>0</x:v>
      </x:c>
      <x:c r="Y741" s="23" t="n">
        <x:f>MAX(0,MIN('Activities'!L741,126)-MAX('Activities'!K741,120))</x:f>
        <x:v>0</x:v>
      </x:c>
      <x:c r="Z741" s="23" t="n">
        <x:f>MAX(0,MIN('Activities'!L741,132)-MAX('Activities'!K741,126))</x:f>
        <x:v>0</x:v>
      </x:c>
      <x:c r="AA741" s="23" t="n">
        <x:f>MAX(0,MIN('Activities'!L741,138)-MAX('Activities'!K741,132))</x:f>
        <x:v>0</x:v>
      </x:c>
      <x:c r="AB741" s="23" t="n">
        <x:f>MAX(0,MIN('Activities'!L741,144)-MAX('Activities'!K741,138))</x:f>
        <x:v>0</x:v>
      </x:c>
      <x:c r="AC741" s="23" t="n">
        <x:f>MAX(0,MIN('Activities'!L741,150)-MAX('Activities'!K741,144))</x:f>
        <x:v>0</x:v>
      </x:c>
      <x:c r="AD741" s="23" t="n">
        <x:f>MAX(0,MIN('Activities'!L741,156)-MAX('Activities'!K741,150))</x:f>
        <x:v>0</x:v>
      </x:c>
      <x:c r="AE741" s="23" t="n">
        <x:f>MAX(0,MIN('Activities'!L741,162)-MAX('Activities'!K741,156))</x:f>
        <x:v>0</x:v>
      </x:c>
      <x:c r="AF741" s="23" t="n">
        <x:f>MAX(0,MIN('Activities'!L741,168)-MAX('Activities'!K741,162))</x:f>
        <x:v>0</x:v>
      </x:c>
      <x:c r="AG741" s="23" t="n">
        <x:f>MAX(0,MIN('Activities'!L741,174)-MAX('Activities'!K741,168))</x:f>
        <x:v>0</x:v>
      </x:c>
      <x:c r="AH741" s="23" t="n">
        <x:f>MAX(0,MIN('Activities'!L741,180)-MAX('Activities'!K741,174))</x:f>
        <x:v>0</x:v>
      </x:c>
      <x:c r="AI741" s="23" t="n">
        <x:f>MAX(0,MIN('Activities'!L741,186)-MAX('Activities'!K741,180))</x:f>
        <x:v>0</x:v>
      </x:c>
      <x:c r="AJ741" s="23" t="n">
        <x:f>MAX(0,MIN('Activities'!L741,192)-MAX('Activities'!K741,186))</x:f>
        <x:v>0</x:v>
      </x:c>
      <x:c r="AK741" s="23" t="n">
        <x:f>MAX(0,MIN('Activities'!L741,198)-MAX('Activities'!K741,192))</x:f>
        <x:v>0</x:v>
      </x:c>
      <x:c r="AL741" s="23" t="n">
        <x:f>MAX(0,MIN('Activities'!L741,204)-MAX('Activities'!K741,198))</x:f>
        <x:v>0</x:v>
      </x:c>
      <x:c r="AM741" s="23" t="n">
        <x:f>MAX(0,MIN('Activities'!L741,210)-MAX('Activities'!K741,204))</x:f>
        <x:v>0</x:v>
      </x:c>
      <x:c r="AN741" s="23" t="n">
        <x:f>MAX(0,MIN('Activities'!L741,216)-MAX('Activities'!K741,210))</x:f>
        <x:v>0</x:v>
      </x:c>
      <x:c r="AO741" s="23" t="n">
        <x:f>MAX(0,MIN('Activities'!L741,222)-MAX('Activities'!K741,216))</x:f>
        <x:v>0</x:v>
      </x:c>
      <x:c r="AP741" s="23" t="n">
        <x:f>MAX(0,MIN('Activities'!L741,228)-MAX('Activities'!K741,222))</x:f>
        <x:v>0</x:v>
      </x:c>
      <x:c r="AQ741" s="23" t="n">
        <x:f>MAX(0,MIN('Activities'!L741,234)-MAX('Activities'!K741,228))</x:f>
        <x:v>0</x:v>
      </x:c>
      <x:c r="AR741" s="23" t="n">
        <x:f>MAX(0,MIN('Activities'!L741,240)-MAX('Activities'!K741,234))</x:f>
        <x:v>0</x:v>
      </x:c>
      <x:c r="AS741" s="23" t="n">
        <x:f>MAX(0,MIN('Activities'!L741,246)-MAX('Activities'!K741,240))</x:f>
        <x:v>0</x:v>
      </x:c>
      <x:c r="AT741" s="23" t="n">
        <x:f>MAX(0,MIN('Activities'!L741,252)-MAX('Activities'!K741,246))</x:f>
        <x:v>0</x:v>
      </x:c>
      <x:c r="AU741" s="23" t="n">
        <x:f>MAX(0,MIN('Activities'!L741,258)-MAX('Activities'!K741,252))</x:f>
        <x:v>0</x:v>
      </x:c>
      <x:c r="AV741" s="23" t="n">
        <x:f>MAX(0,MIN('Activities'!L741,264)-MAX('Activities'!K741,258))</x:f>
        <x:v>0</x:v>
      </x:c>
      <x:c r="AW741" s="23" t="n">
        <x:f>MAX(0,MIN('Activities'!L741,270)-MAX('Activities'!K741,264))</x:f>
        <x:v>0</x:v>
      </x:c>
      <x:c r="AX741" s="23" t="n">
        <x:f>MAX(0,MIN('Activities'!L741,276)-MAX('Activities'!K741,270))</x:f>
        <x:v>0</x:v>
      </x:c>
      <x:c r="AY741" s="23" t="n">
        <x:f>MAX(0,MIN('Activities'!L741,282)-MAX('Activities'!K741,276))</x:f>
        <x:v>0</x:v>
      </x:c>
      <x:c r="AZ741" s="23" t="n">
        <x:f>MAX(0,MIN('Activities'!L741,288)-MAX('Activities'!K741,282))</x:f>
        <x:v>0</x:v>
      </x:c>
      <x:c r="BA741" s="23" t="n">
        <x:f>MAX(0,MIN('Activities'!L741,294)-MAX('Activities'!K741,288))</x:f>
        <x:v>0</x:v>
      </x:c>
      <x:c r="BB741" s="23" t="n">
        <x:f>MAX(0,MIN('Activities'!L741,300)-MAX('Activities'!K741,294))</x:f>
        <x:v>0</x:v>
      </x:c>
      <x:c r="BC741" s="23" t="n">
        <x:f>MAX(0,MIN('Activities'!L741,306)-MAX('Activities'!K741,300))</x:f>
        <x:v>0</x:v>
      </x:c>
      <x:c r="BD741" s="23" t="n">
        <x:f>MAX(0,MIN('Activities'!L741,312)-MAX('Activities'!K741,306))</x:f>
        <x:v>0</x:v>
      </x:c>
      <x:c r="BE741" s="23" t="n">
        <x:f>MAX(0,MIN('Activities'!L741,318)-MAX('Activities'!K741,312))</x:f>
        <x:v>0</x:v>
      </x:c>
      <x:c r="BF741" s="23" t="n">
        <x:f>MAX(0,MIN('Activities'!L741,324)-MAX('Activities'!K741,318))</x:f>
        <x:v>0</x:v>
      </x:c>
      <x:c r="BG741" s="23" t="n">
        <x:f>MAX(0,MIN('Activities'!L741,330)-MAX('Activities'!K741,324))</x:f>
        <x:v>0</x:v>
      </x:c>
      <x:c r="BH741" s="23" t="n">
        <x:f>MAX(0,MIN('Activities'!L741,336)-MAX('Activities'!K741,330))</x:f>
        <x:v>0</x:v>
      </x:c>
      <x:c r="BI741" s="23" t="n">
        <x:f>MAX(0,MIN('Activities'!L741,342)-MAX('Activities'!K741,336))</x:f>
        <x:v>0</x:v>
      </x:c>
      <x:c r="BJ741" s="23" t="n">
        <x:f>MAX(0,MIN('Activities'!L741,348)-MAX('Activities'!K741,342))</x:f>
        <x:v>0</x:v>
      </x:c>
      <x:c r="BK741" s="23" t="n">
        <x:f>MAX(0,MIN('Activities'!L741,354)-MAX('Activities'!K741,348))</x:f>
        <x:v>0</x:v>
      </x:c>
      <x:c r="BL741" s="23" t="n">
        <x:f>MAX(0,MIN('Activities'!L741,360)-MAX('Activities'!K741,354))</x:f>
        <x:v>0</x:v>
      </x:c>
      <x:c r="BM741" s="23" t="n">
        <x:f>MAX(0,MIN('Activities'!L741,366)-MAX('Activities'!K741,360))</x:f>
        <x:v>0</x:v>
      </x:c>
      <x:c r="BN741" s="23" t="n">
        <x:f>MAX(0,MIN('Activities'!L741,372)-MAX('Activities'!K741,366))</x:f>
        <x:v>0</x:v>
      </x:c>
      <x:c r="BO741" s="23" t="n">
        <x:f>MAX(0,MIN('Activities'!L741,378)-MAX('Activities'!K741,372))</x:f>
        <x:v>0</x:v>
      </x:c>
      <x:c r="BP741" s="23" t="n">
        <x:f>MAX(0,MIN('Activities'!L741,384)-MAX('Activities'!K741,378))</x:f>
        <x:v>0</x:v>
      </x:c>
      <x:c r="BQ741" s="23" t="n">
        <x:f>MAX(0,MIN('Activities'!L741,390)-MAX('Activities'!K741,384))</x:f>
        <x:v>0</x:v>
      </x:c>
      <x:c r="BR741" s="23" t="n">
        <x:f>MAX(0,MIN('Activities'!L741,396)-MAX('Activities'!K741,390))</x:f>
        <x:v>0</x:v>
      </x:c>
      <x:c r="BS741" s="23" t="n">
        <x:f>MAX(0,MIN('Activities'!L741,402)-MAX('Activities'!K741,396))</x:f>
        <x:v>0</x:v>
      </x:c>
      <x:c r="BT741" s="23" t="n">
        <x:f>MAX(0,MIN('Activities'!L741,408)-MAX('Activities'!K741,402))</x:f>
        <x:v>0</x:v>
      </x:c>
      <x:c r="BU741" s="23" t="n">
        <x:f>MAX(0,MIN('Activities'!L741,414)-MAX('Activities'!K741,408))</x:f>
        <x:v>0</x:v>
      </x:c>
      <x:c r="BV741" s="23" t="n">
        <x:f>MAX(0,MIN('Activities'!L741,420)-MAX('Activities'!K741,414))</x:f>
        <x:v>0</x:v>
      </x:c>
      <x:c r="BW741" s="23" t="n">
        <x:f>MAX(0,MIN('Activities'!L741,426)-MAX('Activities'!K741,420))</x:f>
        <x:v>0</x:v>
      </x:c>
      <x:c r="BX741" s="23" t="n">
        <x:f>MAX(0,MIN('Activities'!L741,432)-MAX('Activities'!K741,426))</x:f>
        <x:v>0</x:v>
      </x:c>
      <x:c r="BY741" s="23" t="n">
        <x:f>MAX(0,MIN('Activities'!L741,438)-MAX('Activities'!K741,432))</x:f>
        <x:v>0</x:v>
      </x:c>
      <x:c r="BZ741" s="23" t="n">
        <x:f>MAX(0,MIN('Activities'!L741,444)-MAX('Activities'!K741,438))</x:f>
        <x:v>0</x:v>
      </x:c>
      <x:c r="CA741" s="23" t="n">
        <x:f>MAX(0,MIN('Activities'!L741,450)-MAX('Activities'!K741,444))</x:f>
        <x:v>0</x:v>
      </x:c>
      <x:c r="CB741" s="23" t="n">
        <x:f>MAX(0,MIN('Activities'!L741,456)-MAX('Activities'!K741,450))</x:f>
        <x:v>0</x:v>
      </x:c>
      <x:c r="CC741" s="23" t="n">
        <x:f>MAX(0,MIN('Activities'!L741,462)-MAX('Activities'!K741,456))</x:f>
        <x:v>0</x:v>
      </x:c>
      <x:c r="CD741" s="23" t="n">
        <x:f>MAX(0,MIN('Activities'!L741,468)-MAX('Activities'!K741,462))</x:f>
        <x:v>0</x:v>
      </x:c>
      <x:c r="CE741" s="23" t="n">
        <x:f>MAX(0,MIN('Activities'!L741,474)-MAX('Activities'!K741,468))</x:f>
        <x:v>0</x:v>
      </x:c>
      <x:c r="CF741" s="23" t="n">
        <x:f>MAX(0,MIN('Activities'!L741,480)-MAX('Activities'!K741,474))</x:f>
        <x:v>3</x:v>
      </x:c>
      <x:c r="CG741" s="23" t="n">
        <x:f>MAX(0,MIN('Activities'!L741,486)-MAX('Activities'!K741,480))</x:f>
        <x:v>0</x:v>
      </x:c>
      <x:c r="CH741" s="23" t="n">
        <x:f>MAX(0,MIN('Activities'!L741,492)-MAX('Activities'!K741,486))</x:f>
        <x:v>0</x:v>
      </x:c>
      <x:c r="CI741" s="23" t="n">
        <x:f>MAX(0,MIN('Activities'!L741,498)-MAX('Activities'!K741,492))</x:f>
        <x:v>0</x:v>
      </x:c>
      <x:c r="CJ741" s="23" t="n">
        <x:f>MAX(0,MIN('Activities'!L741,504)-MAX('Activities'!K741,498))</x:f>
        <x:v>0</x:v>
      </x:c>
      <x:c r="CK741" s="23" t="n">
        <x:f>MAX(0,MIN('Activities'!L741,510)-MAX('Activities'!K741,504))</x:f>
        <x:v>0</x:v>
      </x:c>
      <x:c r="CL741" s="23" t="n">
        <x:f>MAX(0,MIN('Activities'!L741,516)-MAX('Activities'!K741,510))</x:f>
        <x:v>0</x:v>
      </x:c>
      <x:c r="CM741" s="23" t="n">
        <x:f>MAX(0,MIN('Activities'!L741,522)-MAX('Activities'!K741,516))</x:f>
        <x:v>0</x:v>
      </x:c>
      <x:c r="CN741" s="23" t="n">
        <x:f>MAX(0,MIN('Activities'!L741,528)-MAX('Activities'!K741,522))</x:f>
        <x:v>0</x:v>
      </x:c>
      <x:c r="CO741" s="23" t="n">
        <x:f>MAX(0,MIN('Activities'!L741,534)-MAX('Activities'!K741,528))</x:f>
        <x:v>0</x:v>
      </x:c>
      <x:c r="CP741" s="23" t="n">
        <x:f>MAX(0,MIN('Activities'!L741,540)-MAX('Activities'!K741,534))</x:f>
        <x:v>0</x:v>
      </x:c>
      <x:c r="CQ741" s="23" t="n">
        <x:f>MAX(0,MIN('Activities'!L741,546)-MAX('Activities'!K741,540))</x:f>
        <x:v>0</x:v>
      </x:c>
      <x:c r="CR741" s="23" t="n">
        <x:f>MAX(0,MIN('Activities'!L741,552)-MAX('Activities'!K741,546))</x:f>
        <x:v>0</x:v>
      </x:c>
      <x:c r="CS741" s="23" t="n">
        <x:f>MAX(0,MIN('Activities'!L741,558)-MAX('Activities'!K741,552))</x:f>
        <x:v>0</x:v>
      </x:c>
      <x:c r="CT741" s="23" t="n">
        <x:f>MAX(0,MIN('Activities'!L741,564)-MAX('Activities'!K741,558))</x:f>
        <x:v>0</x:v>
      </x:c>
      <x:c r="CU741" s="23" t="n">
        <x:f>MAX(0,MIN('Activities'!L741,570)-MAX('Activities'!K741,564))</x:f>
        <x:v>0</x:v>
      </x:c>
      <x:c r="CV741" s="23" t="n">
        <x:f>MAX(0,MIN('Activities'!L741,576)-MAX('Activities'!K741,570))</x:f>
        <x:v>0</x:v>
      </x:c>
      <x:c r="CW741" s="23" t="n">
        <x:f>MAX(0,MIN('Activities'!L741,582)-MAX('Activities'!K741,576))</x:f>
        <x:v>0</x:v>
      </x:c>
      <x:c r="CX741" s="23" t="n">
        <x:f>MAX(0,MIN('Activities'!L741,588)-MAX('Activities'!K741,582))</x:f>
        <x:v>0</x:v>
      </x:c>
      <x:c r="CY741" s="23" t="n">
        <x:f>MAX(0,MIN('Activities'!L741,594)-MAX('Activities'!K741,588))</x:f>
        <x:v>0</x:v>
      </x:c>
      <x:c r="CZ741" s="23" t="n">
        <x:f>MAX(0,MIN('Activities'!L741,600)-MAX('Activities'!K741,594))</x:f>
        <x:v>0</x:v>
      </x:c>
      <x:c r="DA741" s="23" t="n">
        <x:f>MAX(0,MIN('Activities'!L741,606)-MAX('Activities'!K741,600))</x:f>
        <x:v>0</x:v>
      </x:c>
      <x:c r="DB741" s="23" t="n">
        <x:f>MAX(0,MIN('Activities'!L741,612)-MAX('Activities'!K741,606))</x:f>
        <x:v>0</x:v>
      </x:c>
      <x:c r="DC741" s="23" t="n">
        <x:f>MAX(0,MIN('Activities'!L741,618)-MAX('Activities'!K741,612))</x:f>
        <x:v>0</x:v>
      </x:c>
      <x:c r="DD741" s="23" t="n">
        <x:f>MAX(0,MIN('Activities'!L741,624)-MAX('Activities'!K741,618))</x:f>
        <x:v>0</x:v>
      </x:c>
      <x:c r="DE741" s="23" t="n">
        <x:f>MAX(0,MIN('Activities'!L741,630)-MAX('Activities'!K741,624))</x:f>
        <x:v>0</x:v>
      </x:c>
      <x:c r="DF741" s="23" t="n">
        <x:f>MAX(0,MIN('Activities'!L741,636)-MAX('Activities'!K741,630))</x:f>
        <x:v>0</x:v>
      </x:c>
    </x:row>
    <x:row r="742" ht="23" customHeight="1">
      <x:c r="A742" s="6" t="str">
        <x:v>T6-L01-M</x:v>
      </x:c>
      <x:c r="B742" s="6" t="str">
        <x:v>T6</x:v>
      </x:c>
      <x:c r="C742" s="6" t="str">
        <x:v>Partition masonry</x:v>
      </x:c>
      <x:c r="D742" s="6" t="str">
        <x:v>Masonry</x:v>
      </x:c>
      <x:c r="E742" s="22" t="n">
        <x:f>MAX(0,MIN('Activities'!L742,6)-MAX('Activities'!K742,0))</x:f>
        <x:v>0</x:v>
      </x:c>
      <x:c r="F742" s="22" t="n">
        <x:f>MAX(0,MIN('Activities'!L742,12)-MAX('Activities'!K742,6))</x:f>
        <x:v>0</x:v>
      </x:c>
      <x:c r="G742" s="22" t="n">
        <x:f>MAX(0,MIN('Activities'!L742,18)-MAX('Activities'!K742,12))</x:f>
        <x:v>0</x:v>
      </x:c>
      <x:c r="H742" s="22" t="n">
        <x:f>MAX(0,MIN('Activities'!L742,24)-MAX('Activities'!K742,18))</x:f>
        <x:v>0</x:v>
      </x:c>
      <x:c r="I742" s="22" t="n">
        <x:f>MAX(0,MIN('Activities'!L742,30)-MAX('Activities'!K742,24))</x:f>
        <x:v>0</x:v>
      </x:c>
      <x:c r="J742" s="22" t="n">
        <x:f>MAX(0,MIN('Activities'!L742,36)-MAX('Activities'!K742,30))</x:f>
        <x:v>0</x:v>
      </x:c>
      <x:c r="K742" s="22" t="n">
        <x:f>MAX(0,MIN('Activities'!L742,42)-MAX('Activities'!K742,36))</x:f>
        <x:v>0</x:v>
      </x:c>
      <x:c r="L742" s="22" t="n">
        <x:f>MAX(0,MIN('Activities'!L742,48)-MAX('Activities'!K742,42))</x:f>
        <x:v>0</x:v>
      </x:c>
      <x:c r="M742" s="22" t="n">
        <x:f>MAX(0,MIN('Activities'!L742,54)-MAX('Activities'!K742,48))</x:f>
        <x:v>0</x:v>
      </x:c>
      <x:c r="N742" s="22" t="n">
        <x:f>MAX(0,MIN('Activities'!L742,60)-MAX('Activities'!K742,54))</x:f>
        <x:v>0</x:v>
      </x:c>
      <x:c r="O742" s="22" t="n">
        <x:f>MAX(0,MIN('Activities'!L742,66)-MAX('Activities'!K742,60))</x:f>
        <x:v>0</x:v>
      </x:c>
      <x:c r="P742" s="22" t="n">
        <x:f>MAX(0,MIN('Activities'!L742,72)-MAX('Activities'!K742,66))</x:f>
        <x:v>0</x:v>
      </x:c>
      <x:c r="Q742" s="22" t="n">
        <x:f>MAX(0,MIN('Activities'!L742,78)-MAX('Activities'!K742,72))</x:f>
        <x:v>0</x:v>
      </x:c>
      <x:c r="R742" s="22" t="n">
        <x:f>MAX(0,MIN('Activities'!L742,84)-MAX('Activities'!K742,78))</x:f>
        <x:v>0</x:v>
      </x:c>
      <x:c r="S742" s="22" t="n">
        <x:f>MAX(0,MIN('Activities'!L742,90)-MAX('Activities'!K742,84))</x:f>
        <x:v>0</x:v>
      </x:c>
      <x:c r="T742" s="22" t="n">
        <x:f>MAX(0,MIN('Activities'!L742,96)-MAX('Activities'!K742,90))</x:f>
        <x:v>0</x:v>
      </x:c>
      <x:c r="U742" s="22" t="n">
        <x:f>MAX(0,MIN('Activities'!L742,102)-MAX('Activities'!K742,96))</x:f>
        <x:v>0</x:v>
      </x:c>
      <x:c r="V742" s="22" t="n">
        <x:f>MAX(0,MIN('Activities'!L742,108)-MAX('Activities'!K742,102))</x:f>
        <x:v>0</x:v>
      </x:c>
      <x:c r="W742" s="22" t="n">
        <x:f>MAX(0,MIN('Activities'!L742,114)-MAX('Activities'!K742,108))</x:f>
        <x:v>0</x:v>
      </x:c>
      <x:c r="X742" s="22" t="n">
        <x:f>MAX(0,MIN('Activities'!L742,120)-MAX('Activities'!K742,114))</x:f>
        <x:v>0</x:v>
      </x:c>
      <x:c r="Y742" s="22" t="n">
        <x:f>MAX(0,MIN('Activities'!L742,126)-MAX('Activities'!K742,120))</x:f>
        <x:v>0</x:v>
      </x:c>
      <x:c r="Z742" s="22" t="n">
        <x:f>MAX(0,MIN('Activities'!L742,132)-MAX('Activities'!K742,126))</x:f>
        <x:v>0</x:v>
      </x:c>
      <x:c r="AA742" s="22" t="n">
        <x:f>MAX(0,MIN('Activities'!L742,138)-MAX('Activities'!K742,132))</x:f>
        <x:v>0</x:v>
      </x:c>
      <x:c r="AB742" s="22" t="n">
        <x:f>MAX(0,MIN('Activities'!L742,144)-MAX('Activities'!K742,138))</x:f>
        <x:v>0</x:v>
      </x:c>
      <x:c r="AC742" s="22" t="n">
        <x:f>MAX(0,MIN('Activities'!L742,150)-MAX('Activities'!K742,144))</x:f>
        <x:v>0</x:v>
      </x:c>
      <x:c r="AD742" s="22" t="n">
        <x:f>MAX(0,MIN('Activities'!L742,156)-MAX('Activities'!K742,150))</x:f>
        <x:v>0</x:v>
      </x:c>
      <x:c r="AE742" s="22" t="n">
        <x:f>MAX(0,MIN('Activities'!L742,162)-MAX('Activities'!K742,156))</x:f>
        <x:v>0</x:v>
      </x:c>
      <x:c r="AF742" s="22" t="n">
        <x:f>MAX(0,MIN('Activities'!L742,168)-MAX('Activities'!K742,162))</x:f>
        <x:v>0</x:v>
      </x:c>
      <x:c r="AG742" s="22" t="n">
        <x:f>MAX(0,MIN('Activities'!L742,174)-MAX('Activities'!K742,168))</x:f>
        <x:v>0</x:v>
      </x:c>
      <x:c r="AH742" s="22" t="n">
        <x:f>MAX(0,MIN('Activities'!L742,180)-MAX('Activities'!K742,174))</x:f>
        <x:v>0</x:v>
      </x:c>
      <x:c r="AI742" s="22" t="n">
        <x:f>MAX(0,MIN('Activities'!L742,186)-MAX('Activities'!K742,180))</x:f>
        <x:v>0</x:v>
      </x:c>
      <x:c r="AJ742" s="22" t="n">
        <x:f>MAX(0,MIN('Activities'!L742,192)-MAX('Activities'!K742,186))</x:f>
        <x:v>0</x:v>
      </x:c>
      <x:c r="AK742" s="22" t="n">
        <x:f>MAX(0,MIN('Activities'!L742,198)-MAX('Activities'!K742,192))</x:f>
        <x:v>0</x:v>
      </x:c>
      <x:c r="AL742" s="22" t="n">
        <x:f>MAX(0,MIN('Activities'!L742,204)-MAX('Activities'!K742,198))</x:f>
        <x:v>0</x:v>
      </x:c>
      <x:c r="AM742" s="22" t="n">
        <x:f>MAX(0,MIN('Activities'!L742,210)-MAX('Activities'!K742,204))</x:f>
        <x:v>0</x:v>
      </x:c>
      <x:c r="AN742" s="22" t="n">
        <x:f>MAX(0,MIN('Activities'!L742,216)-MAX('Activities'!K742,210))</x:f>
        <x:v>0</x:v>
      </x:c>
      <x:c r="AO742" s="22" t="n">
        <x:f>MAX(0,MIN('Activities'!L742,222)-MAX('Activities'!K742,216))</x:f>
        <x:v>0</x:v>
      </x:c>
      <x:c r="AP742" s="22" t="n">
        <x:f>MAX(0,MIN('Activities'!L742,228)-MAX('Activities'!K742,222))</x:f>
        <x:v>0</x:v>
      </x:c>
      <x:c r="AQ742" s="22" t="n">
        <x:f>MAX(0,MIN('Activities'!L742,234)-MAX('Activities'!K742,228))</x:f>
        <x:v>0</x:v>
      </x:c>
      <x:c r="AR742" s="22" t="n">
        <x:f>MAX(0,MIN('Activities'!L742,240)-MAX('Activities'!K742,234))</x:f>
        <x:v>0</x:v>
      </x:c>
      <x:c r="AS742" s="22" t="n">
        <x:f>MAX(0,MIN('Activities'!L742,246)-MAX('Activities'!K742,240))</x:f>
        <x:v>0</x:v>
      </x:c>
      <x:c r="AT742" s="22" t="n">
        <x:f>MAX(0,MIN('Activities'!L742,252)-MAX('Activities'!K742,246))</x:f>
        <x:v>0</x:v>
      </x:c>
      <x:c r="AU742" s="22" t="n">
        <x:f>MAX(0,MIN('Activities'!L742,258)-MAX('Activities'!K742,252))</x:f>
        <x:v>0</x:v>
      </x:c>
      <x:c r="AV742" s="22" t="n">
        <x:f>MAX(0,MIN('Activities'!L742,264)-MAX('Activities'!K742,258))</x:f>
        <x:v>0</x:v>
      </x:c>
      <x:c r="AW742" s="22" t="n">
        <x:f>MAX(0,MIN('Activities'!L742,270)-MAX('Activities'!K742,264))</x:f>
        <x:v>0</x:v>
      </x:c>
      <x:c r="AX742" s="22" t="n">
        <x:f>MAX(0,MIN('Activities'!L742,276)-MAX('Activities'!K742,270))</x:f>
        <x:v>0</x:v>
      </x:c>
      <x:c r="AY742" s="22" t="n">
        <x:f>MAX(0,MIN('Activities'!L742,282)-MAX('Activities'!K742,276))</x:f>
        <x:v>0</x:v>
      </x:c>
      <x:c r="AZ742" s="22" t="n">
        <x:f>MAX(0,MIN('Activities'!L742,288)-MAX('Activities'!K742,282))</x:f>
        <x:v>0</x:v>
      </x:c>
      <x:c r="BA742" s="22" t="n">
        <x:f>MAX(0,MIN('Activities'!L742,294)-MAX('Activities'!K742,288))</x:f>
        <x:v>5</x:v>
      </x:c>
      <x:c r="BB742" s="22" t="n">
        <x:f>MAX(0,MIN('Activities'!L742,300)-MAX('Activities'!K742,294))</x:f>
        <x:v>0</x:v>
      </x:c>
      <x:c r="BC742" s="22" t="n">
        <x:f>MAX(0,MIN('Activities'!L742,306)-MAX('Activities'!K742,300))</x:f>
        <x:v>0</x:v>
      </x:c>
      <x:c r="BD742" s="22" t="n">
        <x:f>MAX(0,MIN('Activities'!L742,312)-MAX('Activities'!K742,306))</x:f>
        <x:v>0</x:v>
      </x:c>
      <x:c r="BE742" s="22" t="n">
        <x:f>MAX(0,MIN('Activities'!L742,318)-MAX('Activities'!K742,312))</x:f>
        <x:v>0</x:v>
      </x:c>
      <x:c r="BF742" s="22" t="n">
        <x:f>MAX(0,MIN('Activities'!L742,324)-MAX('Activities'!K742,318))</x:f>
        <x:v>0</x:v>
      </x:c>
      <x:c r="BG742" s="22" t="n">
        <x:f>MAX(0,MIN('Activities'!L742,330)-MAX('Activities'!K742,324))</x:f>
        <x:v>0</x:v>
      </x:c>
      <x:c r="BH742" s="22" t="n">
        <x:f>MAX(0,MIN('Activities'!L742,336)-MAX('Activities'!K742,330))</x:f>
        <x:v>0</x:v>
      </x:c>
      <x:c r="BI742" s="22" t="n">
        <x:f>MAX(0,MIN('Activities'!L742,342)-MAX('Activities'!K742,336))</x:f>
        <x:v>0</x:v>
      </x:c>
      <x:c r="BJ742" s="22" t="n">
        <x:f>MAX(0,MIN('Activities'!L742,348)-MAX('Activities'!K742,342))</x:f>
        <x:v>0</x:v>
      </x:c>
      <x:c r="BK742" s="22" t="n">
        <x:f>MAX(0,MIN('Activities'!L742,354)-MAX('Activities'!K742,348))</x:f>
        <x:v>0</x:v>
      </x:c>
      <x:c r="BL742" s="22" t="n">
        <x:f>MAX(0,MIN('Activities'!L742,360)-MAX('Activities'!K742,354))</x:f>
        <x:v>0</x:v>
      </x:c>
      <x:c r="BM742" s="22" t="n">
        <x:f>MAX(0,MIN('Activities'!L742,366)-MAX('Activities'!K742,360))</x:f>
        <x:v>0</x:v>
      </x:c>
      <x:c r="BN742" s="22" t="n">
        <x:f>MAX(0,MIN('Activities'!L742,372)-MAX('Activities'!K742,366))</x:f>
        <x:v>0</x:v>
      </x:c>
      <x:c r="BO742" s="22" t="n">
        <x:f>MAX(0,MIN('Activities'!L742,378)-MAX('Activities'!K742,372))</x:f>
        <x:v>0</x:v>
      </x:c>
      <x:c r="BP742" s="22" t="n">
        <x:f>MAX(0,MIN('Activities'!L742,384)-MAX('Activities'!K742,378))</x:f>
        <x:v>0</x:v>
      </x:c>
      <x:c r="BQ742" s="22" t="n">
        <x:f>MAX(0,MIN('Activities'!L742,390)-MAX('Activities'!K742,384))</x:f>
        <x:v>0</x:v>
      </x:c>
      <x:c r="BR742" s="22" t="n">
        <x:f>MAX(0,MIN('Activities'!L742,396)-MAX('Activities'!K742,390))</x:f>
        <x:v>0</x:v>
      </x:c>
      <x:c r="BS742" s="22" t="n">
        <x:f>MAX(0,MIN('Activities'!L742,402)-MAX('Activities'!K742,396))</x:f>
        <x:v>0</x:v>
      </x:c>
      <x:c r="BT742" s="22" t="n">
        <x:f>MAX(0,MIN('Activities'!L742,408)-MAX('Activities'!K742,402))</x:f>
        <x:v>0</x:v>
      </x:c>
      <x:c r="BU742" s="22" t="n">
        <x:f>MAX(0,MIN('Activities'!L742,414)-MAX('Activities'!K742,408))</x:f>
        <x:v>0</x:v>
      </x:c>
      <x:c r="BV742" s="22" t="n">
        <x:f>MAX(0,MIN('Activities'!L742,420)-MAX('Activities'!K742,414))</x:f>
        <x:v>0</x:v>
      </x:c>
      <x:c r="BW742" s="22" t="n">
        <x:f>MAX(0,MIN('Activities'!L742,426)-MAX('Activities'!K742,420))</x:f>
        <x:v>0</x:v>
      </x:c>
      <x:c r="BX742" s="22" t="n">
        <x:f>MAX(0,MIN('Activities'!L742,432)-MAX('Activities'!K742,426))</x:f>
        <x:v>0</x:v>
      </x:c>
      <x:c r="BY742" s="22" t="n">
        <x:f>MAX(0,MIN('Activities'!L742,438)-MAX('Activities'!K742,432))</x:f>
        <x:v>0</x:v>
      </x:c>
      <x:c r="BZ742" s="22" t="n">
        <x:f>MAX(0,MIN('Activities'!L742,444)-MAX('Activities'!K742,438))</x:f>
        <x:v>0</x:v>
      </x:c>
      <x:c r="CA742" s="22" t="n">
        <x:f>MAX(0,MIN('Activities'!L742,450)-MAX('Activities'!K742,444))</x:f>
        <x:v>0</x:v>
      </x:c>
      <x:c r="CB742" s="22" t="n">
        <x:f>MAX(0,MIN('Activities'!L742,456)-MAX('Activities'!K742,450))</x:f>
        <x:v>0</x:v>
      </x:c>
      <x:c r="CC742" s="22" t="n">
        <x:f>MAX(0,MIN('Activities'!L742,462)-MAX('Activities'!K742,456))</x:f>
        <x:v>0</x:v>
      </x:c>
      <x:c r="CD742" s="22" t="n">
        <x:f>MAX(0,MIN('Activities'!L742,468)-MAX('Activities'!K742,462))</x:f>
        <x:v>0</x:v>
      </x:c>
      <x:c r="CE742" s="22" t="n">
        <x:f>MAX(0,MIN('Activities'!L742,474)-MAX('Activities'!K742,468))</x:f>
        <x:v>0</x:v>
      </x:c>
      <x:c r="CF742" s="22" t="n">
        <x:f>MAX(0,MIN('Activities'!L742,480)-MAX('Activities'!K742,474))</x:f>
        <x:v>0</x:v>
      </x:c>
      <x:c r="CG742" s="22" t="n">
        <x:f>MAX(0,MIN('Activities'!L742,486)-MAX('Activities'!K742,480))</x:f>
        <x:v>0</x:v>
      </x:c>
      <x:c r="CH742" s="22" t="n">
        <x:f>MAX(0,MIN('Activities'!L742,492)-MAX('Activities'!K742,486))</x:f>
        <x:v>0</x:v>
      </x:c>
      <x:c r="CI742" s="22" t="n">
        <x:f>MAX(0,MIN('Activities'!L742,498)-MAX('Activities'!K742,492))</x:f>
        <x:v>0</x:v>
      </x:c>
      <x:c r="CJ742" s="22" t="n">
        <x:f>MAX(0,MIN('Activities'!L742,504)-MAX('Activities'!K742,498))</x:f>
        <x:v>0</x:v>
      </x:c>
      <x:c r="CK742" s="22" t="n">
        <x:f>MAX(0,MIN('Activities'!L742,510)-MAX('Activities'!K742,504))</x:f>
        <x:v>0</x:v>
      </x:c>
      <x:c r="CL742" s="22" t="n">
        <x:f>MAX(0,MIN('Activities'!L742,516)-MAX('Activities'!K742,510))</x:f>
        <x:v>0</x:v>
      </x:c>
      <x:c r="CM742" s="22" t="n">
        <x:f>MAX(0,MIN('Activities'!L742,522)-MAX('Activities'!K742,516))</x:f>
        <x:v>0</x:v>
      </x:c>
      <x:c r="CN742" s="22" t="n">
        <x:f>MAX(0,MIN('Activities'!L742,528)-MAX('Activities'!K742,522))</x:f>
        <x:v>0</x:v>
      </x:c>
      <x:c r="CO742" s="22" t="n">
        <x:f>MAX(0,MIN('Activities'!L742,534)-MAX('Activities'!K742,528))</x:f>
        <x:v>0</x:v>
      </x:c>
      <x:c r="CP742" s="22" t="n">
        <x:f>MAX(0,MIN('Activities'!L742,540)-MAX('Activities'!K742,534))</x:f>
        <x:v>0</x:v>
      </x:c>
      <x:c r="CQ742" s="22" t="n">
        <x:f>MAX(0,MIN('Activities'!L742,546)-MAX('Activities'!K742,540))</x:f>
        <x:v>0</x:v>
      </x:c>
      <x:c r="CR742" s="22" t="n">
        <x:f>MAX(0,MIN('Activities'!L742,552)-MAX('Activities'!K742,546))</x:f>
        <x:v>0</x:v>
      </x:c>
      <x:c r="CS742" s="22" t="n">
        <x:f>MAX(0,MIN('Activities'!L742,558)-MAX('Activities'!K742,552))</x:f>
        <x:v>0</x:v>
      </x:c>
      <x:c r="CT742" s="22" t="n">
        <x:f>MAX(0,MIN('Activities'!L742,564)-MAX('Activities'!K742,558))</x:f>
        <x:v>0</x:v>
      </x:c>
      <x:c r="CU742" s="22" t="n">
        <x:f>MAX(0,MIN('Activities'!L742,570)-MAX('Activities'!K742,564))</x:f>
        <x:v>0</x:v>
      </x:c>
      <x:c r="CV742" s="22" t="n">
        <x:f>MAX(0,MIN('Activities'!L742,576)-MAX('Activities'!K742,570))</x:f>
        <x:v>0</x:v>
      </x:c>
      <x:c r="CW742" s="22" t="n">
        <x:f>MAX(0,MIN('Activities'!L742,582)-MAX('Activities'!K742,576))</x:f>
        <x:v>0</x:v>
      </x:c>
      <x:c r="CX742" s="22" t="n">
        <x:f>MAX(0,MIN('Activities'!L742,588)-MAX('Activities'!K742,582))</x:f>
        <x:v>0</x:v>
      </x:c>
      <x:c r="CY742" s="22" t="n">
        <x:f>MAX(0,MIN('Activities'!L742,594)-MAX('Activities'!K742,588))</x:f>
        <x:v>0</x:v>
      </x:c>
      <x:c r="CZ742" s="22" t="n">
        <x:f>MAX(0,MIN('Activities'!L742,600)-MAX('Activities'!K742,594))</x:f>
        <x:v>0</x:v>
      </x:c>
      <x:c r="DA742" s="22" t="n">
        <x:f>MAX(0,MIN('Activities'!L742,606)-MAX('Activities'!K742,600))</x:f>
        <x:v>0</x:v>
      </x:c>
      <x:c r="DB742" s="22" t="n">
        <x:f>MAX(0,MIN('Activities'!L742,612)-MAX('Activities'!K742,606))</x:f>
        <x:v>0</x:v>
      </x:c>
      <x:c r="DC742" s="22" t="n">
        <x:f>MAX(0,MIN('Activities'!L742,618)-MAX('Activities'!K742,612))</x:f>
        <x:v>0</x:v>
      </x:c>
      <x:c r="DD742" s="22" t="n">
        <x:f>MAX(0,MIN('Activities'!L742,624)-MAX('Activities'!K742,618))</x:f>
        <x:v>0</x:v>
      </x:c>
      <x:c r="DE742" s="22" t="n">
        <x:f>MAX(0,MIN('Activities'!L742,630)-MAX('Activities'!K742,624))</x:f>
        <x:v>0</x:v>
      </x:c>
      <x:c r="DF742" s="22" t="n">
        <x:f>MAX(0,MIN('Activities'!L742,636)-MAX('Activities'!K742,630))</x:f>
        <x:v>0</x:v>
      </x:c>
    </x:row>
    <x:row r="743" ht="23" customHeight="1">
      <x:c r="A743" s="1" t="str">
        <x:v>T6-L01-P</x:v>
      </x:c>
      <x:c r="B743" s="1" t="str">
        <x:v>T6</x:v>
      </x:c>
      <x:c r="C743" s="1" t="str">
        <x:v>Internal plaster</x:v>
      </x:c>
      <x:c r="D743" s="1" t="str">
        <x:v>Finishes</x:v>
      </x:c>
      <x:c r="E743" s="23" t="n">
        <x:f>MAX(0,MIN('Activities'!L743,6)-MAX('Activities'!K743,0))</x:f>
        <x:v>0</x:v>
      </x:c>
      <x:c r="F743" s="23" t="n">
        <x:f>MAX(0,MIN('Activities'!L743,12)-MAX('Activities'!K743,6))</x:f>
        <x:v>0</x:v>
      </x:c>
      <x:c r="G743" s="23" t="n">
        <x:f>MAX(0,MIN('Activities'!L743,18)-MAX('Activities'!K743,12))</x:f>
        <x:v>0</x:v>
      </x:c>
      <x:c r="H743" s="23" t="n">
        <x:f>MAX(0,MIN('Activities'!L743,24)-MAX('Activities'!K743,18))</x:f>
        <x:v>0</x:v>
      </x:c>
      <x:c r="I743" s="23" t="n">
        <x:f>MAX(0,MIN('Activities'!L743,30)-MAX('Activities'!K743,24))</x:f>
        <x:v>0</x:v>
      </x:c>
      <x:c r="J743" s="23" t="n">
        <x:f>MAX(0,MIN('Activities'!L743,36)-MAX('Activities'!K743,30))</x:f>
        <x:v>0</x:v>
      </x:c>
      <x:c r="K743" s="23" t="n">
        <x:f>MAX(0,MIN('Activities'!L743,42)-MAX('Activities'!K743,36))</x:f>
        <x:v>0</x:v>
      </x:c>
      <x:c r="L743" s="23" t="n">
        <x:f>MAX(0,MIN('Activities'!L743,48)-MAX('Activities'!K743,42))</x:f>
        <x:v>0</x:v>
      </x:c>
      <x:c r="M743" s="23" t="n">
        <x:f>MAX(0,MIN('Activities'!L743,54)-MAX('Activities'!K743,48))</x:f>
        <x:v>0</x:v>
      </x:c>
      <x:c r="N743" s="23" t="n">
        <x:f>MAX(0,MIN('Activities'!L743,60)-MAX('Activities'!K743,54))</x:f>
        <x:v>0</x:v>
      </x:c>
      <x:c r="O743" s="23" t="n">
        <x:f>MAX(0,MIN('Activities'!L743,66)-MAX('Activities'!K743,60))</x:f>
        <x:v>0</x:v>
      </x:c>
      <x:c r="P743" s="23" t="n">
        <x:f>MAX(0,MIN('Activities'!L743,72)-MAX('Activities'!K743,66))</x:f>
        <x:v>0</x:v>
      </x:c>
      <x:c r="Q743" s="23" t="n">
        <x:f>MAX(0,MIN('Activities'!L743,78)-MAX('Activities'!K743,72))</x:f>
        <x:v>0</x:v>
      </x:c>
      <x:c r="R743" s="23" t="n">
        <x:f>MAX(0,MIN('Activities'!L743,84)-MAX('Activities'!K743,78))</x:f>
        <x:v>0</x:v>
      </x:c>
      <x:c r="S743" s="23" t="n">
        <x:f>MAX(0,MIN('Activities'!L743,90)-MAX('Activities'!K743,84))</x:f>
        <x:v>0</x:v>
      </x:c>
      <x:c r="T743" s="23" t="n">
        <x:f>MAX(0,MIN('Activities'!L743,96)-MAX('Activities'!K743,90))</x:f>
        <x:v>0</x:v>
      </x:c>
      <x:c r="U743" s="23" t="n">
        <x:f>MAX(0,MIN('Activities'!L743,102)-MAX('Activities'!K743,96))</x:f>
        <x:v>0</x:v>
      </x:c>
      <x:c r="V743" s="23" t="n">
        <x:f>MAX(0,MIN('Activities'!L743,108)-MAX('Activities'!K743,102))</x:f>
        <x:v>0</x:v>
      </x:c>
      <x:c r="W743" s="23" t="n">
        <x:f>MAX(0,MIN('Activities'!L743,114)-MAX('Activities'!K743,108))</x:f>
        <x:v>0</x:v>
      </x:c>
      <x:c r="X743" s="23" t="n">
        <x:f>MAX(0,MIN('Activities'!L743,120)-MAX('Activities'!K743,114))</x:f>
        <x:v>0</x:v>
      </x:c>
      <x:c r="Y743" s="23" t="n">
        <x:f>MAX(0,MIN('Activities'!L743,126)-MAX('Activities'!K743,120))</x:f>
        <x:v>0</x:v>
      </x:c>
      <x:c r="Z743" s="23" t="n">
        <x:f>MAX(0,MIN('Activities'!L743,132)-MAX('Activities'!K743,126))</x:f>
        <x:v>0</x:v>
      </x:c>
      <x:c r="AA743" s="23" t="n">
        <x:f>MAX(0,MIN('Activities'!L743,138)-MAX('Activities'!K743,132))</x:f>
        <x:v>0</x:v>
      </x:c>
      <x:c r="AB743" s="23" t="n">
        <x:f>MAX(0,MIN('Activities'!L743,144)-MAX('Activities'!K743,138))</x:f>
        <x:v>0</x:v>
      </x:c>
      <x:c r="AC743" s="23" t="n">
        <x:f>MAX(0,MIN('Activities'!L743,150)-MAX('Activities'!K743,144))</x:f>
        <x:v>0</x:v>
      </x:c>
      <x:c r="AD743" s="23" t="n">
        <x:f>MAX(0,MIN('Activities'!L743,156)-MAX('Activities'!K743,150))</x:f>
        <x:v>0</x:v>
      </x:c>
      <x:c r="AE743" s="23" t="n">
        <x:f>MAX(0,MIN('Activities'!L743,162)-MAX('Activities'!K743,156))</x:f>
        <x:v>0</x:v>
      </x:c>
      <x:c r="AF743" s="23" t="n">
        <x:f>MAX(0,MIN('Activities'!L743,168)-MAX('Activities'!K743,162))</x:f>
        <x:v>0</x:v>
      </x:c>
      <x:c r="AG743" s="23" t="n">
        <x:f>MAX(0,MIN('Activities'!L743,174)-MAX('Activities'!K743,168))</x:f>
        <x:v>0</x:v>
      </x:c>
      <x:c r="AH743" s="23" t="n">
        <x:f>MAX(0,MIN('Activities'!L743,180)-MAX('Activities'!K743,174))</x:f>
        <x:v>0</x:v>
      </x:c>
      <x:c r="AI743" s="23" t="n">
        <x:f>MAX(0,MIN('Activities'!L743,186)-MAX('Activities'!K743,180))</x:f>
        <x:v>0</x:v>
      </x:c>
      <x:c r="AJ743" s="23" t="n">
        <x:f>MAX(0,MIN('Activities'!L743,192)-MAX('Activities'!K743,186))</x:f>
        <x:v>0</x:v>
      </x:c>
      <x:c r="AK743" s="23" t="n">
        <x:f>MAX(0,MIN('Activities'!L743,198)-MAX('Activities'!K743,192))</x:f>
        <x:v>0</x:v>
      </x:c>
      <x:c r="AL743" s="23" t="n">
        <x:f>MAX(0,MIN('Activities'!L743,204)-MAX('Activities'!K743,198))</x:f>
        <x:v>0</x:v>
      </x:c>
      <x:c r="AM743" s="23" t="n">
        <x:f>MAX(0,MIN('Activities'!L743,210)-MAX('Activities'!K743,204))</x:f>
        <x:v>0</x:v>
      </x:c>
      <x:c r="AN743" s="23" t="n">
        <x:f>MAX(0,MIN('Activities'!L743,216)-MAX('Activities'!K743,210))</x:f>
        <x:v>0</x:v>
      </x:c>
      <x:c r="AO743" s="23" t="n">
        <x:f>MAX(0,MIN('Activities'!L743,222)-MAX('Activities'!K743,216))</x:f>
        <x:v>0</x:v>
      </x:c>
      <x:c r="AP743" s="23" t="n">
        <x:f>MAX(0,MIN('Activities'!L743,228)-MAX('Activities'!K743,222))</x:f>
        <x:v>0</x:v>
      </x:c>
      <x:c r="AQ743" s="23" t="n">
        <x:f>MAX(0,MIN('Activities'!L743,234)-MAX('Activities'!K743,228))</x:f>
        <x:v>0</x:v>
      </x:c>
      <x:c r="AR743" s="23" t="n">
        <x:f>MAX(0,MIN('Activities'!L743,240)-MAX('Activities'!K743,234))</x:f>
        <x:v>0</x:v>
      </x:c>
      <x:c r="AS743" s="23" t="n">
        <x:f>MAX(0,MIN('Activities'!L743,246)-MAX('Activities'!K743,240))</x:f>
        <x:v>0</x:v>
      </x:c>
      <x:c r="AT743" s="23" t="n">
        <x:f>MAX(0,MIN('Activities'!L743,252)-MAX('Activities'!K743,246))</x:f>
        <x:v>0</x:v>
      </x:c>
      <x:c r="AU743" s="23" t="n">
        <x:f>MAX(0,MIN('Activities'!L743,258)-MAX('Activities'!K743,252))</x:f>
        <x:v>0</x:v>
      </x:c>
      <x:c r="AV743" s="23" t="n">
        <x:f>MAX(0,MIN('Activities'!L743,264)-MAX('Activities'!K743,258))</x:f>
        <x:v>0</x:v>
      </x:c>
      <x:c r="AW743" s="23" t="n">
        <x:f>MAX(0,MIN('Activities'!L743,270)-MAX('Activities'!K743,264))</x:f>
        <x:v>0</x:v>
      </x:c>
      <x:c r="AX743" s="23" t="n">
        <x:f>MAX(0,MIN('Activities'!L743,276)-MAX('Activities'!K743,270))</x:f>
        <x:v>0</x:v>
      </x:c>
      <x:c r="AY743" s="23" t="n">
        <x:f>MAX(0,MIN('Activities'!L743,282)-MAX('Activities'!K743,276))</x:f>
        <x:v>0</x:v>
      </x:c>
      <x:c r="AZ743" s="23" t="n">
        <x:f>MAX(0,MIN('Activities'!L743,288)-MAX('Activities'!K743,282))</x:f>
        <x:v>0</x:v>
      </x:c>
      <x:c r="BA743" s="23" t="n">
        <x:f>MAX(0,MIN('Activities'!L743,294)-MAX('Activities'!K743,288))</x:f>
        <x:v>0</x:v>
      </x:c>
      <x:c r="BB743" s="23" t="n">
        <x:f>MAX(0,MIN('Activities'!L743,300)-MAX('Activities'!K743,294))</x:f>
        <x:v>3</x:v>
      </x:c>
      <x:c r="BC743" s="23" t="n">
        <x:f>MAX(0,MIN('Activities'!L743,306)-MAX('Activities'!K743,300))</x:f>
        <x:v>3</x:v>
      </x:c>
      <x:c r="BD743" s="23" t="n">
        <x:f>MAX(0,MIN('Activities'!L743,312)-MAX('Activities'!K743,306))</x:f>
        <x:v>0</x:v>
      </x:c>
      <x:c r="BE743" s="23" t="n">
        <x:f>MAX(0,MIN('Activities'!L743,318)-MAX('Activities'!K743,312))</x:f>
        <x:v>0</x:v>
      </x:c>
      <x:c r="BF743" s="23" t="n">
        <x:f>MAX(0,MIN('Activities'!L743,324)-MAX('Activities'!K743,318))</x:f>
        <x:v>0</x:v>
      </x:c>
      <x:c r="BG743" s="23" t="n">
        <x:f>MAX(0,MIN('Activities'!L743,330)-MAX('Activities'!K743,324))</x:f>
        <x:v>0</x:v>
      </x:c>
      <x:c r="BH743" s="23" t="n">
        <x:f>MAX(0,MIN('Activities'!L743,336)-MAX('Activities'!K743,330))</x:f>
        <x:v>0</x:v>
      </x:c>
      <x:c r="BI743" s="23" t="n">
        <x:f>MAX(0,MIN('Activities'!L743,342)-MAX('Activities'!K743,336))</x:f>
        <x:v>0</x:v>
      </x:c>
      <x:c r="BJ743" s="23" t="n">
        <x:f>MAX(0,MIN('Activities'!L743,348)-MAX('Activities'!K743,342))</x:f>
        <x:v>0</x:v>
      </x:c>
      <x:c r="BK743" s="23" t="n">
        <x:f>MAX(0,MIN('Activities'!L743,354)-MAX('Activities'!K743,348))</x:f>
        <x:v>0</x:v>
      </x:c>
      <x:c r="BL743" s="23" t="n">
        <x:f>MAX(0,MIN('Activities'!L743,360)-MAX('Activities'!K743,354))</x:f>
        <x:v>0</x:v>
      </x:c>
      <x:c r="BM743" s="23" t="n">
        <x:f>MAX(0,MIN('Activities'!L743,366)-MAX('Activities'!K743,360))</x:f>
        <x:v>0</x:v>
      </x:c>
      <x:c r="BN743" s="23" t="n">
        <x:f>MAX(0,MIN('Activities'!L743,372)-MAX('Activities'!K743,366))</x:f>
        <x:v>0</x:v>
      </x:c>
      <x:c r="BO743" s="23" t="n">
        <x:f>MAX(0,MIN('Activities'!L743,378)-MAX('Activities'!K743,372))</x:f>
        <x:v>0</x:v>
      </x:c>
      <x:c r="BP743" s="23" t="n">
        <x:f>MAX(0,MIN('Activities'!L743,384)-MAX('Activities'!K743,378))</x:f>
        <x:v>0</x:v>
      </x:c>
      <x:c r="BQ743" s="23" t="n">
        <x:f>MAX(0,MIN('Activities'!L743,390)-MAX('Activities'!K743,384))</x:f>
        <x:v>0</x:v>
      </x:c>
      <x:c r="BR743" s="23" t="n">
        <x:f>MAX(0,MIN('Activities'!L743,396)-MAX('Activities'!K743,390))</x:f>
        <x:v>0</x:v>
      </x:c>
      <x:c r="BS743" s="23" t="n">
        <x:f>MAX(0,MIN('Activities'!L743,402)-MAX('Activities'!K743,396))</x:f>
        <x:v>0</x:v>
      </x:c>
      <x:c r="BT743" s="23" t="n">
        <x:f>MAX(0,MIN('Activities'!L743,408)-MAX('Activities'!K743,402))</x:f>
        <x:v>0</x:v>
      </x:c>
      <x:c r="BU743" s="23" t="n">
        <x:f>MAX(0,MIN('Activities'!L743,414)-MAX('Activities'!K743,408))</x:f>
        <x:v>0</x:v>
      </x:c>
      <x:c r="BV743" s="23" t="n">
        <x:f>MAX(0,MIN('Activities'!L743,420)-MAX('Activities'!K743,414))</x:f>
        <x:v>0</x:v>
      </x:c>
      <x:c r="BW743" s="23" t="n">
        <x:f>MAX(0,MIN('Activities'!L743,426)-MAX('Activities'!K743,420))</x:f>
        <x:v>0</x:v>
      </x:c>
      <x:c r="BX743" s="23" t="n">
        <x:f>MAX(0,MIN('Activities'!L743,432)-MAX('Activities'!K743,426))</x:f>
        <x:v>0</x:v>
      </x:c>
      <x:c r="BY743" s="23" t="n">
        <x:f>MAX(0,MIN('Activities'!L743,438)-MAX('Activities'!K743,432))</x:f>
        <x:v>0</x:v>
      </x:c>
      <x:c r="BZ743" s="23" t="n">
        <x:f>MAX(0,MIN('Activities'!L743,444)-MAX('Activities'!K743,438))</x:f>
        <x:v>0</x:v>
      </x:c>
      <x:c r="CA743" s="23" t="n">
        <x:f>MAX(0,MIN('Activities'!L743,450)-MAX('Activities'!K743,444))</x:f>
        <x:v>0</x:v>
      </x:c>
      <x:c r="CB743" s="23" t="n">
        <x:f>MAX(0,MIN('Activities'!L743,456)-MAX('Activities'!K743,450))</x:f>
        <x:v>0</x:v>
      </x:c>
      <x:c r="CC743" s="23" t="n">
        <x:f>MAX(0,MIN('Activities'!L743,462)-MAX('Activities'!K743,456))</x:f>
        <x:v>0</x:v>
      </x:c>
      <x:c r="CD743" s="23" t="n">
        <x:f>MAX(0,MIN('Activities'!L743,468)-MAX('Activities'!K743,462))</x:f>
        <x:v>0</x:v>
      </x:c>
      <x:c r="CE743" s="23" t="n">
        <x:f>MAX(0,MIN('Activities'!L743,474)-MAX('Activities'!K743,468))</x:f>
        <x:v>0</x:v>
      </x:c>
      <x:c r="CF743" s="23" t="n">
        <x:f>MAX(0,MIN('Activities'!L743,480)-MAX('Activities'!K743,474))</x:f>
        <x:v>0</x:v>
      </x:c>
      <x:c r="CG743" s="23" t="n">
        <x:f>MAX(0,MIN('Activities'!L743,486)-MAX('Activities'!K743,480))</x:f>
        <x:v>0</x:v>
      </x:c>
      <x:c r="CH743" s="23" t="n">
        <x:f>MAX(0,MIN('Activities'!L743,492)-MAX('Activities'!K743,486))</x:f>
        <x:v>0</x:v>
      </x:c>
      <x:c r="CI743" s="23" t="n">
        <x:f>MAX(0,MIN('Activities'!L743,498)-MAX('Activities'!K743,492))</x:f>
        <x:v>0</x:v>
      </x:c>
      <x:c r="CJ743" s="23" t="n">
        <x:f>MAX(0,MIN('Activities'!L743,504)-MAX('Activities'!K743,498))</x:f>
        <x:v>0</x:v>
      </x:c>
      <x:c r="CK743" s="23" t="n">
        <x:f>MAX(0,MIN('Activities'!L743,510)-MAX('Activities'!K743,504))</x:f>
        <x:v>0</x:v>
      </x:c>
      <x:c r="CL743" s="23" t="n">
        <x:f>MAX(0,MIN('Activities'!L743,516)-MAX('Activities'!K743,510))</x:f>
        <x:v>0</x:v>
      </x:c>
      <x:c r="CM743" s="23" t="n">
        <x:f>MAX(0,MIN('Activities'!L743,522)-MAX('Activities'!K743,516))</x:f>
        <x:v>0</x:v>
      </x:c>
      <x:c r="CN743" s="23" t="n">
        <x:f>MAX(0,MIN('Activities'!L743,528)-MAX('Activities'!K743,522))</x:f>
        <x:v>0</x:v>
      </x:c>
      <x:c r="CO743" s="23" t="n">
        <x:f>MAX(0,MIN('Activities'!L743,534)-MAX('Activities'!K743,528))</x:f>
        <x:v>0</x:v>
      </x:c>
      <x:c r="CP743" s="23" t="n">
        <x:f>MAX(0,MIN('Activities'!L743,540)-MAX('Activities'!K743,534))</x:f>
        <x:v>0</x:v>
      </x:c>
      <x:c r="CQ743" s="23" t="n">
        <x:f>MAX(0,MIN('Activities'!L743,546)-MAX('Activities'!K743,540))</x:f>
        <x:v>0</x:v>
      </x:c>
      <x:c r="CR743" s="23" t="n">
        <x:f>MAX(0,MIN('Activities'!L743,552)-MAX('Activities'!K743,546))</x:f>
        <x:v>0</x:v>
      </x:c>
      <x:c r="CS743" s="23" t="n">
        <x:f>MAX(0,MIN('Activities'!L743,558)-MAX('Activities'!K743,552))</x:f>
        <x:v>0</x:v>
      </x:c>
      <x:c r="CT743" s="23" t="n">
        <x:f>MAX(0,MIN('Activities'!L743,564)-MAX('Activities'!K743,558))</x:f>
        <x:v>0</x:v>
      </x:c>
      <x:c r="CU743" s="23" t="n">
        <x:f>MAX(0,MIN('Activities'!L743,570)-MAX('Activities'!K743,564))</x:f>
        <x:v>0</x:v>
      </x:c>
      <x:c r="CV743" s="23" t="n">
        <x:f>MAX(0,MIN('Activities'!L743,576)-MAX('Activities'!K743,570))</x:f>
        <x:v>0</x:v>
      </x:c>
      <x:c r="CW743" s="23" t="n">
        <x:f>MAX(0,MIN('Activities'!L743,582)-MAX('Activities'!K743,576))</x:f>
        <x:v>0</x:v>
      </x:c>
      <x:c r="CX743" s="23" t="n">
        <x:f>MAX(0,MIN('Activities'!L743,588)-MAX('Activities'!K743,582))</x:f>
        <x:v>0</x:v>
      </x:c>
      <x:c r="CY743" s="23" t="n">
        <x:f>MAX(0,MIN('Activities'!L743,594)-MAX('Activities'!K743,588))</x:f>
        <x:v>0</x:v>
      </x:c>
      <x:c r="CZ743" s="23" t="n">
        <x:f>MAX(0,MIN('Activities'!L743,600)-MAX('Activities'!K743,594))</x:f>
        <x:v>0</x:v>
      </x:c>
      <x:c r="DA743" s="23" t="n">
        <x:f>MAX(0,MIN('Activities'!L743,606)-MAX('Activities'!K743,600))</x:f>
        <x:v>0</x:v>
      </x:c>
      <x:c r="DB743" s="23" t="n">
        <x:f>MAX(0,MIN('Activities'!L743,612)-MAX('Activities'!K743,606))</x:f>
        <x:v>0</x:v>
      </x:c>
      <x:c r="DC743" s="23" t="n">
        <x:f>MAX(0,MIN('Activities'!L743,618)-MAX('Activities'!K743,612))</x:f>
        <x:v>0</x:v>
      </x:c>
      <x:c r="DD743" s="23" t="n">
        <x:f>MAX(0,MIN('Activities'!L743,624)-MAX('Activities'!K743,618))</x:f>
        <x:v>0</x:v>
      </x:c>
      <x:c r="DE743" s="23" t="n">
        <x:f>MAX(0,MIN('Activities'!L743,630)-MAX('Activities'!K743,624))</x:f>
        <x:v>0</x:v>
      </x:c>
      <x:c r="DF743" s="23" t="n">
        <x:f>MAX(0,MIN('Activities'!L743,636)-MAX('Activities'!K743,630))</x:f>
        <x:v>0</x:v>
      </x:c>
    </x:row>
    <x:row r="744" ht="23" customHeight="1">
      <x:c r="A744" s="6" t="str">
        <x:v>T6-L01-S</x:v>
      </x:c>
      <x:c r="B744" s="6" t="str">
        <x:v>T6</x:v>
      </x:c>
      <x:c r="C744" s="6" t="str">
        <x:v>Screed and substrate preparation</x:v>
      </x:c>
      <x:c r="D744" s="6" t="str">
        <x:v>Finishes</x:v>
      </x:c>
      <x:c r="E744" s="22" t="n">
        <x:f>MAX(0,MIN('Activities'!L744,6)-MAX('Activities'!K744,0))</x:f>
        <x:v>0</x:v>
      </x:c>
      <x:c r="F744" s="22" t="n">
        <x:f>MAX(0,MIN('Activities'!L744,12)-MAX('Activities'!K744,6))</x:f>
        <x:v>0</x:v>
      </x:c>
      <x:c r="G744" s="22" t="n">
        <x:f>MAX(0,MIN('Activities'!L744,18)-MAX('Activities'!K744,12))</x:f>
        <x:v>0</x:v>
      </x:c>
      <x:c r="H744" s="22" t="n">
        <x:f>MAX(0,MIN('Activities'!L744,24)-MAX('Activities'!K744,18))</x:f>
        <x:v>0</x:v>
      </x:c>
      <x:c r="I744" s="22" t="n">
        <x:f>MAX(0,MIN('Activities'!L744,30)-MAX('Activities'!K744,24))</x:f>
        <x:v>0</x:v>
      </x:c>
      <x:c r="J744" s="22" t="n">
        <x:f>MAX(0,MIN('Activities'!L744,36)-MAX('Activities'!K744,30))</x:f>
        <x:v>0</x:v>
      </x:c>
      <x:c r="K744" s="22" t="n">
        <x:f>MAX(0,MIN('Activities'!L744,42)-MAX('Activities'!K744,36))</x:f>
        <x:v>0</x:v>
      </x:c>
      <x:c r="L744" s="22" t="n">
        <x:f>MAX(0,MIN('Activities'!L744,48)-MAX('Activities'!K744,42))</x:f>
        <x:v>0</x:v>
      </x:c>
      <x:c r="M744" s="22" t="n">
        <x:f>MAX(0,MIN('Activities'!L744,54)-MAX('Activities'!K744,48))</x:f>
        <x:v>0</x:v>
      </x:c>
      <x:c r="N744" s="22" t="n">
        <x:f>MAX(0,MIN('Activities'!L744,60)-MAX('Activities'!K744,54))</x:f>
        <x:v>0</x:v>
      </x:c>
      <x:c r="O744" s="22" t="n">
        <x:f>MAX(0,MIN('Activities'!L744,66)-MAX('Activities'!K744,60))</x:f>
        <x:v>0</x:v>
      </x:c>
      <x:c r="P744" s="22" t="n">
        <x:f>MAX(0,MIN('Activities'!L744,72)-MAX('Activities'!K744,66))</x:f>
        <x:v>0</x:v>
      </x:c>
      <x:c r="Q744" s="22" t="n">
        <x:f>MAX(0,MIN('Activities'!L744,78)-MAX('Activities'!K744,72))</x:f>
        <x:v>0</x:v>
      </x:c>
      <x:c r="R744" s="22" t="n">
        <x:f>MAX(0,MIN('Activities'!L744,84)-MAX('Activities'!K744,78))</x:f>
        <x:v>0</x:v>
      </x:c>
      <x:c r="S744" s="22" t="n">
        <x:f>MAX(0,MIN('Activities'!L744,90)-MAX('Activities'!K744,84))</x:f>
        <x:v>0</x:v>
      </x:c>
      <x:c r="T744" s="22" t="n">
        <x:f>MAX(0,MIN('Activities'!L744,96)-MAX('Activities'!K744,90))</x:f>
        <x:v>0</x:v>
      </x:c>
      <x:c r="U744" s="22" t="n">
        <x:f>MAX(0,MIN('Activities'!L744,102)-MAX('Activities'!K744,96))</x:f>
        <x:v>0</x:v>
      </x:c>
      <x:c r="V744" s="22" t="n">
        <x:f>MAX(0,MIN('Activities'!L744,108)-MAX('Activities'!K744,102))</x:f>
        <x:v>0</x:v>
      </x:c>
      <x:c r="W744" s="22" t="n">
        <x:f>MAX(0,MIN('Activities'!L744,114)-MAX('Activities'!K744,108))</x:f>
        <x:v>0</x:v>
      </x:c>
      <x:c r="X744" s="22" t="n">
        <x:f>MAX(0,MIN('Activities'!L744,120)-MAX('Activities'!K744,114))</x:f>
        <x:v>0</x:v>
      </x:c>
      <x:c r="Y744" s="22" t="n">
        <x:f>MAX(0,MIN('Activities'!L744,126)-MAX('Activities'!K744,120))</x:f>
        <x:v>0</x:v>
      </x:c>
      <x:c r="Z744" s="22" t="n">
        <x:f>MAX(0,MIN('Activities'!L744,132)-MAX('Activities'!K744,126))</x:f>
        <x:v>0</x:v>
      </x:c>
      <x:c r="AA744" s="22" t="n">
        <x:f>MAX(0,MIN('Activities'!L744,138)-MAX('Activities'!K744,132))</x:f>
        <x:v>0</x:v>
      </x:c>
      <x:c r="AB744" s="22" t="n">
        <x:f>MAX(0,MIN('Activities'!L744,144)-MAX('Activities'!K744,138))</x:f>
        <x:v>0</x:v>
      </x:c>
      <x:c r="AC744" s="22" t="n">
        <x:f>MAX(0,MIN('Activities'!L744,150)-MAX('Activities'!K744,144))</x:f>
        <x:v>0</x:v>
      </x:c>
      <x:c r="AD744" s="22" t="n">
        <x:f>MAX(0,MIN('Activities'!L744,156)-MAX('Activities'!K744,150))</x:f>
        <x:v>0</x:v>
      </x:c>
      <x:c r="AE744" s="22" t="n">
        <x:f>MAX(0,MIN('Activities'!L744,162)-MAX('Activities'!K744,156))</x:f>
        <x:v>0</x:v>
      </x:c>
      <x:c r="AF744" s="22" t="n">
        <x:f>MAX(0,MIN('Activities'!L744,168)-MAX('Activities'!K744,162))</x:f>
        <x:v>0</x:v>
      </x:c>
      <x:c r="AG744" s="22" t="n">
        <x:f>MAX(0,MIN('Activities'!L744,174)-MAX('Activities'!K744,168))</x:f>
        <x:v>0</x:v>
      </x:c>
      <x:c r="AH744" s="22" t="n">
        <x:f>MAX(0,MIN('Activities'!L744,180)-MAX('Activities'!K744,174))</x:f>
        <x:v>0</x:v>
      </x:c>
      <x:c r="AI744" s="22" t="n">
        <x:f>MAX(0,MIN('Activities'!L744,186)-MAX('Activities'!K744,180))</x:f>
        <x:v>0</x:v>
      </x:c>
      <x:c r="AJ744" s="22" t="n">
        <x:f>MAX(0,MIN('Activities'!L744,192)-MAX('Activities'!K744,186))</x:f>
        <x:v>0</x:v>
      </x:c>
      <x:c r="AK744" s="22" t="n">
        <x:f>MAX(0,MIN('Activities'!L744,198)-MAX('Activities'!K744,192))</x:f>
        <x:v>0</x:v>
      </x:c>
      <x:c r="AL744" s="22" t="n">
        <x:f>MAX(0,MIN('Activities'!L744,204)-MAX('Activities'!K744,198))</x:f>
        <x:v>0</x:v>
      </x:c>
      <x:c r="AM744" s="22" t="n">
        <x:f>MAX(0,MIN('Activities'!L744,210)-MAX('Activities'!K744,204))</x:f>
        <x:v>0</x:v>
      </x:c>
      <x:c r="AN744" s="22" t="n">
        <x:f>MAX(0,MIN('Activities'!L744,216)-MAX('Activities'!K744,210))</x:f>
        <x:v>0</x:v>
      </x:c>
      <x:c r="AO744" s="22" t="n">
        <x:f>MAX(0,MIN('Activities'!L744,222)-MAX('Activities'!K744,216))</x:f>
        <x:v>0</x:v>
      </x:c>
      <x:c r="AP744" s="22" t="n">
        <x:f>MAX(0,MIN('Activities'!L744,228)-MAX('Activities'!K744,222))</x:f>
        <x:v>0</x:v>
      </x:c>
      <x:c r="AQ744" s="22" t="n">
        <x:f>MAX(0,MIN('Activities'!L744,234)-MAX('Activities'!K744,228))</x:f>
        <x:v>0</x:v>
      </x:c>
      <x:c r="AR744" s="22" t="n">
        <x:f>MAX(0,MIN('Activities'!L744,240)-MAX('Activities'!K744,234))</x:f>
        <x:v>0</x:v>
      </x:c>
      <x:c r="AS744" s="22" t="n">
        <x:f>MAX(0,MIN('Activities'!L744,246)-MAX('Activities'!K744,240))</x:f>
        <x:v>0</x:v>
      </x:c>
      <x:c r="AT744" s="22" t="n">
        <x:f>MAX(0,MIN('Activities'!L744,252)-MAX('Activities'!K744,246))</x:f>
        <x:v>0</x:v>
      </x:c>
      <x:c r="AU744" s="22" t="n">
        <x:f>MAX(0,MIN('Activities'!L744,258)-MAX('Activities'!K744,252))</x:f>
        <x:v>0</x:v>
      </x:c>
      <x:c r="AV744" s="22" t="n">
        <x:f>MAX(0,MIN('Activities'!L744,264)-MAX('Activities'!K744,258))</x:f>
        <x:v>0</x:v>
      </x:c>
      <x:c r="AW744" s="22" t="n">
        <x:f>MAX(0,MIN('Activities'!L744,270)-MAX('Activities'!K744,264))</x:f>
        <x:v>0</x:v>
      </x:c>
      <x:c r="AX744" s="22" t="n">
        <x:f>MAX(0,MIN('Activities'!L744,276)-MAX('Activities'!K744,270))</x:f>
        <x:v>0</x:v>
      </x:c>
      <x:c r="AY744" s="22" t="n">
        <x:f>MAX(0,MIN('Activities'!L744,282)-MAX('Activities'!K744,276))</x:f>
        <x:v>0</x:v>
      </x:c>
      <x:c r="AZ744" s="22" t="n">
        <x:f>MAX(0,MIN('Activities'!L744,288)-MAX('Activities'!K744,282))</x:f>
        <x:v>0</x:v>
      </x:c>
      <x:c r="BA744" s="22" t="n">
        <x:f>MAX(0,MIN('Activities'!L744,294)-MAX('Activities'!K744,288))</x:f>
        <x:v>0</x:v>
      </x:c>
      <x:c r="BB744" s="22" t="n">
        <x:f>MAX(0,MIN('Activities'!L744,300)-MAX('Activities'!K744,294))</x:f>
        <x:v>0</x:v>
      </x:c>
      <x:c r="BC744" s="22" t="n">
        <x:f>MAX(0,MIN('Activities'!L744,306)-MAX('Activities'!K744,300))</x:f>
        <x:v>1</x:v>
      </x:c>
      <x:c r="BD744" s="22" t="n">
        <x:f>MAX(0,MIN('Activities'!L744,312)-MAX('Activities'!K744,306))</x:f>
        <x:v>2</x:v>
      </x:c>
      <x:c r="BE744" s="22" t="n">
        <x:f>MAX(0,MIN('Activities'!L744,318)-MAX('Activities'!K744,312))</x:f>
        <x:v>0</x:v>
      </x:c>
      <x:c r="BF744" s="22" t="n">
        <x:f>MAX(0,MIN('Activities'!L744,324)-MAX('Activities'!K744,318))</x:f>
        <x:v>0</x:v>
      </x:c>
      <x:c r="BG744" s="22" t="n">
        <x:f>MAX(0,MIN('Activities'!L744,330)-MAX('Activities'!K744,324))</x:f>
        <x:v>0</x:v>
      </x:c>
      <x:c r="BH744" s="22" t="n">
        <x:f>MAX(0,MIN('Activities'!L744,336)-MAX('Activities'!K744,330))</x:f>
        <x:v>0</x:v>
      </x:c>
      <x:c r="BI744" s="22" t="n">
        <x:f>MAX(0,MIN('Activities'!L744,342)-MAX('Activities'!K744,336))</x:f>
        <x:v>0</x:v>
      </x:c>
      <x:c r="BJ744" s="22" t="n">
        <x:f>MAX(0,MIN('Activities'!L744,348)-MAX('Activities'!K744,342))</x:f>
        <x:v>0</x:v>
      </x:c>
      <x:c r="BK744" s="22" t="n">
        <x:f>MAX(0,MIN('Activities'!L744,354)-MAX('Activities'!K744,348))</x:f>
        <x:v>0</x:v>
      </x:c>
      <x:c r="BL744" s="22" t="n">
        <x:f>MAX(0,MIN('Activities'!L744,360)-MAX('Activities'!K744,354))</x:f>
        <x:v>0</x:v>
      </x:c>
      <x:c r="BM744" s="22" t="n">
        <x:f>MAX(0,MIN('Activities'!L744,366)-MAX('Activities'!K744,360))</x:f>
        <x:v>0</x:v>
      </x:c>
      <x:c r="BN744" s="22" t="n">
        <x:f>MAX(0,MIN('Activities'!L744,372)-MAX('Activities'!K744,366))</x:f>
        <x:v>0</x:v>
      </x:c>
      <x:c r="BO744" s="22" t="n">
        <x:f>MAX(0,MIN('Activities'!L744,378)-MAX('Activities'!K744,372))</x:f>
        <x:v>0</x:v>
      </x:c>
      <x:c r="BP744" s="22" t="n">
        <x:f>MAX(0,MIN('Activities'!L744,384)-MAX('Activities'!K744,378))</x:f>
        <x:v>0</x:v>
      </x:c>
      <x:c r="BQ744" s="22" t="n">
        <x:f>MAX(0,MIN('Activities'!L744,390)-MAX('Activities'!K744,384))</x:f>
        <x:v>0</x:v>
      </x:c>
      <x:c r="BR744" s="22" t="n">
        <x:f>MAX(0,MIN('Activities'!L744,396)-MAX('Activities'!K744,390))</x:f>
        <x:v>0</x:v>
      </x:c>
      <x:c r="BS744" s="22" t="n">
        <x:f>MAX(0,MIN('Activities'!L744,402)-MAX('Activities'!K744,396))</x:f>
        <x:v>0</x:v>
      </x:c>
      <x:c r="BT744" s="22" t="n">
        <x:f>MAX(0,MIN('Activities'!L744,408)-MAX('Activities'!K744,402))</x:f>
        <x:v>0</x:v>
      </x:c>
      <x:c r="BU744" s="22" t="n">
        <x:f>MAX(0,MIN('Activities'!L744,414)-MAX('Activities'!K744,408))</x:f>
        <x:v>0</x:v>
      </x:c>
      <x:c r="BV744" s="22" t="n">
        <x:f>MAX(0,MIN('Activities'!L744,420)-MAX('Activities'!K744,414))</x:f>
        <x:v>0</x:v>
      </x:c>
      <x:c r="BW744" s="22" t="n">
        <x:f>MAX(0,MIN('Activities'!L744,426)-MAX('Activities'!K744,420))</x:f>
        <x:v>0</x:v>
      </x:c>
      <x:c r="BX744" s="22" t="n">
        <x:f>MAX(0,MIN('Activities'!L744,432)-MAX('Activities'!K744,426))</x:f>
        <x:v>0</x:v>
      </x:c>
      <x:c r="BY744" s="22" t="n">
        <x:f>MAX(0,MIN('Activities'!L744,438)-MAX('Activities'!K744,432))</x:f>
        <x:v>0</x:v>
      </x:c>
      <x:c r="BZ744" s="22" t="n">
        <x:f>MAX(0,MIN('Activities'!L744,444)-MAX('Activities'!K744,438))</x:f>
        <x:v>0</x:v>
      </x:c>
      <x:c r="CA744" s="22" t="n">
        <x:f>MAX(0,MIN('Activities'!L744,450)-MAX('Activities'!K744,444))</x:f>
        <x:v>0</x:v>
      </x:c>
      <x:c r="CB744" s="22" t="n">
        <x:f>MAX(0,MIN('Activities'!L744,456)-MAX('Activities'!K744,450))</x:f>
        <x:v>0</x:v>
      </x:c>
      <x:c r="CC744" s="22" t="n">
        <x:f>MAX(0,MIN('Activities'!L744,462)-MAX('Activities'!K744,456))</x:f>
        <x:v>0</x:v>
      </x:c>
      <x:c r="CD744" s="22" t="n">
        <x:f>MAX(0,MIN('Activities'!L744,468)-MAX('Activities'!K744,462))</x:f>
        <x:v>0</x:v>
      </x:c>
      <x:c r="CE744" s="22" t="n">
        <x:f>MAX(0,MIN('Activities'!L744,474)-MAX('Activities'!K744,468))</x:f>
        <x:v>0</x:v>
      </x:c>
      <x:c r="CF744" s="22" t="n">
        <x:f>MAX(0,MIN('Activities'!L744,480)-MAX('Activities'!K744,474))</x:f>
        <x:v>0</x:v>
      </x:c>
      <x:c r="CG744" s="22" t="n">
        <x:f>MAX(0,MIN('Activities'!L744,486)-MAX('Activities'!K744,480))</x:f>
        <x:v>0</x:v>
      </x:c>
      <x:c r="CH744" s="22" t="n">
        <x:f>MAX(0,MIN('Activities'!L744,492)-MAX('Activities'!K744,486))</x:f>
        <x:v>0</x:v>
      </x:c>
      <x:c r="CI744" s="22" t="n">
        <x:f>MAX(0,MIN('Activities'!L744,498)-MAX('Activities'!K744,492))</x:f>
        <x:v>0</x:v>
      </x:c>
      <x:c r="CJ744" s="22" t="n">
        <x:f>MAX(0,MIN('Activities'!L744,504)-MAX('Activities'!K744,498))</x:f>
        <x:v>0</x:v>
      </x:c>
      <x:c r="CK744" s="22" t="n">
        <x:f>MAX(0,MIN('Activities'!L744,510)-MAX('Activities'!K744,504))</x:f>
        <x:v>0</x:v>
      </x:c>
      <x:c r="CL744" s="22" t="n">
        <x:f>MAX(0,MIN('Activities'!L744,516)-MAX('Activities'!K744,510))</x:f>
        <x:v>0</x:v>
      </x:c>
      <x:c r="CM744" s="22" t="n">
        <x:f>MAX(0,MIN('Activities'!L744,522)-MAX('Activities'!K744,516))</x:f>
        <x:v>0</x:v>
      </x:c>
      <x:c r="CN744" s="22" t="n">
        <x:f>MAX(0,MIN('Activities'!L744,528)-MAX('Activities'!K744,522))</x:f>
        <x:v>0</x:v>
      </x:c>
      <x:c r="CO744" s="22" t="n">
        <x:f>MAX(0,MIN('Activities'!L744,534)-MAX('Activities'!K744,528))</x:f>
        <x:v>0</x:v>
      </x:c>
      <x:c r="CP744" s="22" t="n">
        <x:f>MAX(0,MIN('Activities'!L744,540)-MAX('Activities'!K744,534))</x:f>
        <x:v>0</x:v>
      </x:c>
      <x:c r="CQ744" s="22" t="n">
        <x:f>MAX(0,MIN('Activities'!L744,546)-MAX('Activities'!K744,540))</x:f>
        <x:v>0</x:v>
      </x:c>
      <x:c r="CR744" s="22" t="n">
        <x:f>MAX(0,MIN('Activities'!L744,552)-MAX('Activities'!K744,546))</x:f>
        <x:v>0</x:v>
      </x:c>
      <x:c r="CS744" s="22" t="n">
        <x:f>MAX(0,MIN('Activities'!L744,558)-MAX('Activities'!K744,552))</x:f>
        <x:v>0</x:v>
      </x:c>
      <x:c r="CT744" s="22" t="n">
        <x:f>MAX(0,MIN('Activities'!L744,564)-MAX('Activities'!K744,558))</x:f>
        <x:v>0</x:v>
      </x:c>
      <x:c r="CU744" s="22" t="n">
        <x:f>MAX(0,MIN('Activities'!L744,570)-MAX('Activities'!K744,564))</x:f>
        <x:v>0</x:v>
      </x:c>
      <x:c r="CV744" s="22" t="n">
        <x:f>MAX(0,MIN('Activities'!L744,576)-MAX('Activities'!K744,570))</x:f>
        <x:v>0</x:v>
      </x:c>
      <x:c r="CW744" s="22" t="n">
        <x:f>MAX(0,MIN('Activities'!L744,582)-MAX('Activities'!K744,576))</x:f>
        <x:v>0</x:v>
      </x:c>
      <x:c r="CX744" s="22" t="n">
        <x:f>MAX(0,MIN('Activities'!L744,588)-MAX('Activities'!K744,582))</x:f>
        <x:v>0</x:v>
      </x:c>
      <x:c r="CY744" s="22" t="n">
        <x:f>MAX(0,MIN('Activities'!L744,594)-MAX('Activities'!K744,588))</x:f>
        <x:v>0</x:v>
      </x:c>
      <x:c r="CZ744" s="22" t="n">
        <x:f>MAX(0,MIN('Activities'!L744,600)-MAX('Activities'!K744,594))</x:f>
        <x:v>0</x:v>
      </x:c>
      <x:c r="DA744" s="22" t="n">
        <x:f>MAX(0,MIN('Activities'!L744,606)-MAX('Activities'!K744,600))</x:f>
        <x:v>0</x:v>
      </x:c>
      <x:c r="DB744" s="22" t="n">
        <x:f>MAX(0,MIN('Activities'!L744,612)-MAX('Activities'!K744,606))</x:f>
        <x:v>0</x:v>
      </x:c>
      <x:c r="DC744" s="22" t="n">
        <x:f>MAX(0,MIN('Activities'!L744,618)-MAX('Activities'!K744,612))</x:f>
        <x:v>0</x:v>
      </x:c>
      <x:c r="DD744" s="22" t="n">
        <x:f>MAX(0,MIN('Activities'!L744,624)-MAX('Activities'!K744,618))</x:f>
        <x:v>0</x:v>
      </x:c>
      <x:c r="DE744" s="22" t="n">
        <x:f>MAX(0,MIN('Activities'!L744,630)-MAX('Activities'!K744,624))</x:f>
        <x:v>0</x:v>
      </x:c>
      <x:c r="DF744" s="22" t="n">
        <x:f>MAX(0,MIN('Activities'!L744,636)-MAX('Activities'!K744,630))</x:f>
        <x:v>0</x:v>
      </x:c>
    </x:row>
    <x:row r="745" ht="23" customHeight="1">
      <x:c r="A745" s="1" t="str">
        <x:v>T6-L01-T</x:v>
      </x:c>
      <x:c r="B745" s="1" t="str">
        <x:v>T6</x:v>
      </x:c>
      <x:c r="C745" s="1" t="str">
        <x:v>Floor finishes and skirtings</x:v>
      </x:c>
      <x:c r="D745" s="1" t="str">
        <x:v>Finishes</x:v>
      </x:c>
      <x:c r="E745" s="23" t="n">
        <x:f>MAX(0,MIN('Activities'!L745,6)-MAX('Activities'!K745,0))</x:f>
        <x:v>0</x:v>
      </x:c>
      <x:c r="F745" s="23" t="n">
        <x:f>MAX(0,MIN('Activities'!L745,12)-MAX('Activities'!K745,6))</x:f>
        <x:v>0</x:v>
      </x:c>
      <x:c r="G745" s="23" t="n">
        <x:f>MAX(0,MIN('Activities'!L745,18)-MAX('Activities'!K745,12))</x:f>
        <x:v>0</x:v>
      </x:c>
      <x:c r="H745" s="23" t="n">
        <x:f>MAX(0,MIN('Activities'!L745,24)-MAX('Activities'!K745,18))</x:f>
        <x:v>0</x:v>
      </x:c>
      <x:c r="I745" s="23" t="n">
        <x:f>MAX(0,MIN('Activities'!L745,30)-MAX('Activities'!K745,24))</x:f>
        <x:v>0</x:v>
      </x:c>
      <x:c r="J745" s="23" t="n">
        <x:f>MAX(0,MIN('Activities'!L745,36)-MAX('Activities'!K745,30))</x:f>
        <x:v>0</x:v>
      </x:c>
      <x:c r="K745" s="23" t="n">
        <x:f>MAX(0,MIN('Activities'!L745,42)-MAX('Activities'!K745,36))</x:f>
        <x:v>0</x:v>
      </x:c>
      <x:c r="L745" s="23" t="n">
        <x:f>MAX(0,MIN('Activities'!L745,48)-MAX('Activities'!K745,42))</x:f>
        <x:v>0</x:v>
      </x:c>
      <x:c r="M745" s="23" t="n">
        <x:f>MAX(0,MIN('Activities'!L745,54)-MAX('Activities'!K745,48))</x:f>
        <x:v>0</x:v>
      </x:c>
      <x:c r="N745" s="23" t="n">
        <x:f>MAX(0,MIN('Activities'!L745,60)-MAX('Activities'!K745,54))</x:f>
        <x:v>0</x:v>
      </x:c>
      <x:c r="O745" s="23" t="n">
        <x:f>MAX(0,MIN('Activities'!L745,66)-MAX('Activities'!K745,60))</x:f>
        <x:v>0</x:v>
      </x:c>
      <x:c r="P745" s="23" t="n">
        <x:f>MAX(0,MIN('Activities'!L745,72)-MAX('Activities'!K745,66))</x:f>
        <x:v>0</x:v>
      </x:c>
      <x:c r="Q745" s="23" t="n">
        <x:f>MAX(0,MIN('Activities'!L745,78)-MAX('Activities'!K745,72))</x:f>
        <x:v>0</x:v>
      </x:c>
      <x:c r="R745" s="23" t="n">
        <x:f>MAX(0,MIN('Activities'!L745,84)-MAX('Activities'!K745,78))</x:f>
        <x:v>0</x:v>
      </x:c>
      <x:c r="S745" s="23" t="n">
        <x:f>MAX(0,MIN('Activities'!L745,90)-MAX('Activities'!K745,84))</x:f>
        <x:v>0</x:v>
      </x:c>
      <x:c r="T745" s="23" t="n">
        <x:f>MAX(0,MIN('Activities'!L745,96)-MAX('Activities'!K745,90))</x:f>
        <x:v>0</x:v>
      </x:c>
      <x:c r="U745" s="23" t="n">
        <x:f>MAX(0,MIN('Activities'!L745,102)-MAX('Activities'!K745,96))</x:f>
        <x:v>0</x:v>
      </x:c>
      <x:c r="V745" s="23" t="n">
        <x:f>MAX(0,MIN('Activities'!L745,108)-MAX('Activities'!K745,102))</x:f>
        <x:v>0</x:v>
      </x:c>
      <x:c r="W745" s="23" t="n">
        <x:f>MAX(0,MIN('Activities'!L745,114)-MAX('Activities'!K745,108))</x:f>
        <x:v>0</x:v>
      </x:c>
      <x:c r="X745" s="23" t="n">
        <x:f>MAX(0,MIN('Activities'!L745,120)-MAX('Activities'!K745,114))</x:f>
        <x:v>0</x:v>
      </x:c>
      <x:c r="Y745" s="23" t="n">
        <x:f>MAX(0,MIN('Activities'!L745,126)-MAX('Activities'!K745,120))</x:f>
        <x:v>0</x:v>
      </x:c>
      <x:c r="Z745" s="23" t="n">
        <x:f>MAX(0,MIN('Activities'!L745,132)-MAX('Activities'!K745,126))</x:f>
        <x:v>0</x:v>
      </x:c>
      <x:c r="AA745" s="23" t="n">
        <x:f>MAX(0,MIN('Activities'!L745,138)-MAX('Activities'!K745,132))</x:f>
        <x:v>0</x:v>
      </x:c>
      <x:c r="AB745" s="23" t="n">
        <x:f>MAX(0,MIN('Activities'!L745,144)-MAX('Activities'!K745,138))</x:f>
        <x:v>0</x:v>
      </x:c>
      <x:c r="AC745" s="23" t="n">
        <x:f>MAX(0,MIN('Activities'!L745,150)-MAX('Activities'!K745,144))</x:f>
        <x:v>0</x:v>
      </x:c>
      <x:c r="AD745" s="23" t="n">
        <x:f>MAX(0,MIN('Activities'!L745,156)-MAX('Activities'!K745,150))</x:f>
        <x:v>0</x:v>
      </x:c>
      <x:c r="AE745" s="23" t="n">
        <x:f>MAX(0,MIN('Activities'!L745,162)-MAX('Activities'!K745,156))</x:f>
        <x:v>0</x:v>
      </x:c>
      <x:c r="AF745" s="23" t="n">
        <x:f>MAX(0,MIN('Activities'!L745,168)-MAX('Activities'!K745,162))</x:f>
        <x:v>0</x:v>
      </x:c>
      <x:c r="AG745" s="23" t="n">
        <x:f>MAX(0,MIN('Activities'!L745,174)-MAX('Activities'!K745,168))</x:f>
        <x:v>0</x:v>
      </x:c>
      <x:c r="AH745" s="23" t="n">
        <x:f>MAX(0,MIN('Activities'!L745,180)-MAX('Activities'!K745,174))</x:f>
        <x:v>0</x:v>
      </x:c>
      <x:c r="AI745" s="23" t="n">
        <x:f>MAX(0,MIN('Activities'!L745,186)-MAX('Activities'!K745,180))</x:f>
        <x:v>0</x:v>
      </x:c>
      <x:c r="AJ745" s="23" t="n">
        <x:f>MAX(0,MIN('Activities'!L745,192)-MAX('Activities'!K745,186))</x:f>
        <x:v>0</x:v>
      </x:c>
      <x:c r="AK745" s="23" t="n">
        <x:f>MAX(0,MIN('Activities'!L745,198)-MAX('Activities'!K745,192))</x:f>
        <x:v>0</x:v>
      </x:c>
      <x:c r="AL745" s="23" t="n">
        <x:f>MAX(0,MIN('Activities'!L745,204)-MAX('Activities'!K745,198))</x:f>
        <x:v>0</x:v>
      </x:c>
      <x:c r="AM745" s="23" t="n">
        <x:f>MAX(0,MIN('Activities'!L745,210)-MAX('Activities'!K745,204))</x:f>
        <x:v>0</x:v>
      </x:c>
      <x:c r="AN745" s="23" t="n">
        <x:f>MAX(0,MIN('Activities'!L745,216)-MAX('Activities'!K745,210))</x:f>
        <x:v>0</x:v>
      </x:c>
      <x:c r="AO745" s="23" t="n">
        <x:f>MAX(0,MIN('Activities'!L745,222)-MAX('Activities'!K745,216))</x:f>
        <x:v>0</x:v>
      </x:c>
      <x:c r="AP745" s="23" t="n">
        <x:f>MAX(0,MIN('Activities'!L745,228)-MAX('Activities'!K745,222))</x:f>
        <x:v>0</x:v>
      </x:c>
      <x:c r="AQ745" s="23" t="n">
        <x:f>MAX(0,MIN('Activities'!L745,234)-MAX('Activities'!K745,228))</x:f>
        <x:v>0</x:v>
      </x:c>
      <x:c r="AR745" s="23" t="n">
        <x:f>MAX(0,MIN('Activities'!L745,240)-MAX('Activities'!K745,234))</x:f>
        <x:v>0</x:v>
      </x:c>
      <x:c r="AS745" s="23" t="n">
        <x:f>MAX(0,MIN('Activities'!L745,246)-MAX('Activities'!K745,240))</x:f>
        <x:v>0</x:v>
      </x:c>
      <x:c r="AT745" s="23" t="n">
        <x:f>MAX(0,MIN('Activities'!L745,252)-MAX('Activities'!K745,246))</x:f>
        <x:v>0</x:v>
      </x:c>
      <x:c r="AU745" s="23" t="n">
        <x:f>MAX(0,MIN('Activities'!L745,258)-MAX('Activities'!K745,252))</x:f>
        <x:v>0</x:v>
      </x:c>
      <x:c r="AV745" s="23" t="n">
        <x:f>MAX(0,MIN('Activities'!L745,264)-MAX('Activities'!K745,258))</x:f>
        <x:v>0</x:v>
      </x:c>
      <x:c r="AW745" s="23" t="n">
        <x:f>MAX(0,MIN('Activities'!L745,270)-MAX('Activities'!K745,264))</x:f>
        <x:v>0</x:v>
      </x:c>
      <x:c r="AX745" s="23" t="n">
        <x:f>MAX(0,MIN('Activities'!L745,276)-MAX('Activities'!K745,270))</x:f>
        <x:v>0</x:v>
      </x:c>
      <x:c r="AY745" s="23" t="n">
        <x:f>MAX(0,MIN('Activities'!L745,282)-MAX('Activities'!K745,276))</x:f>
        <x:v>0</x:v>
      </x:c>
      <x:c r="AZ745" s="23" t="n">
        <x:f>MAX(0,MIN('Activities'!L745,288)-MAX('Activities'!K745,282))</x:f>
        <x:v>0</x:v>
      </x:c>
      <x:c r="BA745" s="23" t="n">
        <x:f>MAX(0,MIN('Activities'!L745,294)-MAX('Activities'!K745,288))</x:f>
        <x:v>0</x:v>
      </x:c>
      <x:c r="BB745" s="23" t="n">
        <x:f>MAX(0,MIN('Activities'!L745,300)-MAX('Activities'!K745,294))</x:f>
        <x:v>0</x:v>
      </x:c>
      <x:c r="BC745" s="23" t="n">
        <x:f>MAX(0,MIN('Activities'!L745,306)-MAX('Activities'!K745,300))</x:f>
        <x:v>0</x:v>
      </x:c>
      <x:c r="BD745" s="23" t="n">
        <x:f>MAX(0,MIN('Activities'!L745,312)-MAX('Activities'!K745,306))</x:f>
        <x:v>0</x:v>
      </x:c>
      <x:c r="BE745" s="23" t="n">
        <x:f>MAX(0,MIN('Activities'!L745,318)-MAX('Activities'!K745,312))</x:f>
        <x:v>0</x:v>
      </x:c>
      <x:c r="BF745" s="23" t="n">
        <x:f>MAX(0,MIN('Activities'!L745,324)-MAX('Activities'!K745,318))</x:f>
        <x:v>0</x:v>
      </x:c>
      <x:c r="BG745" s="23" t="n">
        <x:f>MAX(0,MIN('Activities'!L745,330)-MAX('Activities'!K745,324))</x:f>
        <x:v>0</x:v>
      </x:c>
      <x:c r="BH745" s="23" t="n">
        <x:f>MAX(0,MIN('Activities'!L745,336)-MAX('Activities'!K745,330))</x:f>
        <x:v>0</x:v>
      </x:c>
      <x:c r="BI745" s="23" t="n">
        <x:f>MAX(0,MIN('Activities'!L745,342)-MAX('Activities'!K745,336))</x:f>
        <x:v>0</x:v>
      </x:c>
      <x:c r="BJ745" s="23" t="n">
        <x:f>MAX(0,MIN('Activities'!L745,348)-MAX('Activities'!K745,342))</x:f>
        <x:v>0</x:v>
      </x:c>
      <x:c r="BK745" s="23" t="n">
        <x:f>MAX(0,MIN('Activities'!L745,354)-MAX('Activities'!K745,348))</x:f>
        <x:v>0</x:v>
      </x:c>
      <x:c r="BL745" s="23" t="n">
        <x:f>MAX(0,MIN('Activities'!L745,360)-MAX('Activities'!K745,354))</x:f>
        <x:v>0</x:v>
      </x:c>
      <x:c r="BM745" s="23" t="n">
        <x:f>MAX(0,MIN('Activities'!L745,366)-MAX('Activities'!K745,360))</x:f>
        <x:v>0</x:v>
      </x:c>
      <x:c r="BN745" s="23" t="n">
        <x:f>MAX(0,MIN('Activities'!L745,372)-MAX('Activities'!K745,366))</x:f>
        <x:v>0</x:v>
      </x:c>
      <x:c r="BO745" s="23" t="n">
        <x:f>MAX(0,MIN('Activities'!L745,378)-MAX('Activities'!K745,372))</x:f>
        <x:v>0</x:v>
      </x:c>
      <x:c r="BP745" s="23" t="n">
        <x:f>MAX(0,MIN('Activities'!L745,384)-MAX('Activities'!K745,378))</x:f>
        <x:v>0</x:v>
      </x:c>
      <x:c r="BQ745" s="23" t="n">
        <x:f>MAX(0,MIN('Activities'!L745,390)-MAX('Activities'!K745,384))</x:f>
        <x:v>0</x:v>
      </x:c>
      <x:c r="BR745" s="23" t="n">
        <x:f>MAX(0,MIN('Activities'!L745,396)-MAX('Activities'!K745,390))</x:f>
        <x:v>0</x:v>
      </x:c>
      <x:c r="BS745" s="23" t="n">
        <x:f>MAX(0,MIN('Activities'!L745,402)-MAX('Activities'!K745,396))</x:f>
        <x:v>0</x:v>
      </x:c>
      <x:c r="BT745" s="23" t="n">
        <x:f>MAX(0,MIN('Activities'!L745,408)-MAX('Activities'!K745,402))</x:f>
        <x:v>0</x:v>
      </x:c>
      <x:c r="BU745" s="23" t="n">
        <x:f>MAX(0,MIN('Activities'!L745,414)-MAX('Activities'!K745,408))</x:f>
        <x:v>0</x:v>
      </x:c>
      <x:c r="BV745" s="23" t="n">
        <x:f>MAX(0,MIN('Activities'!L745,420)-MAX('Activities'!K745,414))</x:f>
        <x:v>0</x:v>
      </x:c>
      <x:c r="BW745" s="23" t="n">
        <x:f>MAX(0,MIN('Activities'!L745,426)-MAX('Activities'!K745,420))</x:f>
        <x:v>0</x:v>
      </x:c>
      <x:c r="BX745" s="23" t="n">
        <x:f>MAX(0,MIN('Activities'!L745,432)-MAX('Activities'!K745,426))</x:f>
        <x:v>0</x:v>
      </x:c>
      <x:c r="BY745" s="23" t="n">
        <x:f>MAX(0,MIN('Activities'!L745,438)-MAX('Activities'!K745,432))</x:f>
        <x:v>0</x:v>
      </x:c>
      <x:c r="BZ745" s="23" t="n">
        <x:f>MAX(0,MIN('Activities'!L745,444)-MAX('Activities'!K745,438))</x:f>
        <x:v>0</x:v>
      </x:c>
      <x:c r="CA745" s="23" t="n">
        <x:f>MAX(0,MIN('Activities'!L745,450)-MAX('Activities'!K745,444))</x:f>
        <x:v>0</x:v>
      </x:c>
      <x:c r="CB745" s="23" t="n">
        <x:f>MAX(0,MIN('Activities'!L745,456)-MAX('Activities'!K745,450))</x:f>
        <x:v>0</x:v>
      </x:c>
      <x:c r="CC745" s="23" t="n">
        <x:f>MAX(0,MIN('Activities'!L745,462)-MAX('Activities'!K745,456))</x:f>
        <x:v>1</x:v>
      </x:c>
      <x:c r="CD745" s="23" t="n">
        <x:f>MAX(0,MIN('Activities'!L745,468)-MAX('Activities'!K745,462))</x:f>
        <x:v>5</x:v>
      </x:c>
      <x:c r="CE745" s="23" t="n">
        <x:f>MAX(0,MIN('Activities'!L745,474)-MAX('Activities'!K745,468))</x:f>
        <x:v>0</x:v>
      </x:c>
      <x:c r="CF745" s="23" t="n">
        <x:f>MAX(0,MIN('Activities'!L745,480)-MAX('Activities'!K745,474))</x:f>
        <x:v>0</x:v>
      </x:c>
      <x:c r="CG745" s="23" t="n">
        <x:f>MAX(0,MIN('Activities'!L745,486)-MAX('Activities'!K745,480))</x:f>
        <x:v>0</x:v>
      </x:c>
      <x:c r="CH745" s="23" t="n">
        <x:f>MAX(0,MIN('Activities'!L745,492)-MAX('Activities'!K745,486))</x:f>
        <x:v>0</x:v>
      </x:c>
      <x:c r="CI745" s="23" t="n">
        <x:f>MAX(0,MIN('Activities'!L745,498)-MAX('Activities'!K745,492))</x:f>
        <x:v>0</x:v>
      </x:c>
      <x:c r="CJ745" s="23" t="n">
        <x:f>MAX(0,MIN('Activities'!L745,504)-MAX('Activities'!K745,498))</x:f>
        <x:v>0</x:v>
      </x:c>
      <x:c r="CK745" s="23" t="n">
        <x:f>MAX(0,MIN('Activities'!L745,510)-MAX('Activities'!K745,504))</x:f>
        <x:v>0</x:v>
      </x:c>
      <x:c r="CL745" s="23" t="n">
        <x:f>MAX(0,MIN('Activities'!L745,516)-MAX('Activities'!K745,510))</x:f>
        <x:v>0</x:v>
      </x:c>
      <x:c r="CM745" s="23" t="n">
        <x:f>MAX(0,MIN('Activities'!L745,522)-MAX('Activities'!K745,516))</x:f>
        <x:v>0</x:v>
      </x:c>
      <x:c r="CN745" s="23" t="n">
        <x:f>MAX(0,MIN('Activities'!L745,528)-MAX('Activities'!K745,522))</x:f>
        <x:v>0</x:v>
      </x:c>
      <x:c r="CO745" s="23" t="n">
        <x:f>MAX(0,MIN('Activities'!L745,534)-MAX('Activities'!K745,528))</x:f>
        <x:v>0</x:v>
      </x:c>
      <x:c r="CP745" s="23" t="n">
        <x:f>MAX(0,MIN('Activities'!L745,540)-MAX('Activities'!K745,534))</x:f>
        <x:v>0</x:v>
      </x:c>
      <x:c r="CQ745" s="23" t="n">
        <x:f>MAX(0,MIN('Activities'!L745,546)-MAX('Activities'!K745,540))</x:f>
        <x:v>0</x:v>
      </x:c>
      <x:c r="CR745" s="23" t="n">
        <x:f>MAX(0,MIN('Activities'!L745,552)-MAX('Activities'!K745,546))</x:f>
        <x:v>0</x:v>
      </x:c>
      <x:c r="CS745" s="23" t="n">
        <x:f>MAX(0,MIN('Activities'!L745,558)-MAX('Activities'!K745,552))</x:f>
        <x:v>0</x:v>
      </x:c>
      <x:c r="CT745" s="23" t="n">
        <x:f>MAX(0,MIN('Activities'!L745,564)-MAX('Activities'!K745,558))</x:f>
        <x:v>0</x:v>
      </x:c>
      <x:c r="CU745" s="23" t="n">
        <x:f>MAX(0,MIN('Activities'!L745,570)-MAX('Activities'!K745,564))</x:f>
        <x:v>0</x:v>
      </x:c>
      <x:c r="CV745" s="23" t="n">
        <x:f>MAX(0,MIN('Activities'!L745,576)-MAX('Activities'!K745,570))</x:f>
        <x:v>0</x:v>
      </x:c>
      <x:c r="CW745" s="23" t="n">
        <x:f>MAX(0,MIN('Activities'!L745,582)-MAX('Activities'!K745,576))</x:f>
        <x:v>0</x:v>
      </x:c>
      <x:c r="CX745" s="23" t="n">
        <x:f>MAX(0,MIN('Activities'!L745,588)-MAX('Activities'!K745,582))</x:f>
        <x:v>0</x:v>
      </x:c>
      <x:c r="CY745" s="23" t="n">
        <x:f>MAX(0,MIN('Activities'!L745,594)-MAX('Activities'!K745,588))</x:f>
        <x:v>0</x:v>
      </x:c>
      <x:c r="CZ745" s="23" t="n">
        <x:f>MAX(0,MIN('Activities'!L745,600)-MAX('Activities'!K745,594))</x:f>
        <x:v>0</x:v>
      </x:c>
      <x:c r="DA745" s="23" t="n">
        <x:f>MAX(0,MIN('Activities'!L745,606)-MAX('Activities'!K745,600))</x:f>
        <x:v>0</x:v>
      </x:c>
      <x:c r="DB745" s="23" t="n">
        <x:f>MAX(0,MIN('Activities'!L745,612)-MAX('Activities'!K745,606))</x:f>
        <x:v>0</x:v>
      </x:c>
      <x:c r="DC745" s="23" t="n">
        <x:f>MAX(0,MIN('Activities'!L745,618)-MAX('Activities'!K745,612))</x:f>
        <x:v>0</x:v>
      </x:c>
      <x:c r="DD745" s="23" t="n">
        <x:f>MAX(0,MIN('Activities'!L745,624)-MAX('Activities'!K745,618))</x:f>
        <x:v>0</x:v>
      </x:c>
      <x:c r="DE745" s="23" t="n">
        <x:f>MAX(0,MIN('Activities'!L745,630)-MAX('Activities'!K745,624))</x:f>
        <x:v>0</x:v>
      </x:c>
      <x:c r="DF745" s="23" t="n">
        <x:f>MAX(0,MIN('Activities'!L745,636)-MAX('Activities'!K745,630))</x:f>
        <x:v>0</x:v>
      </x:c>
    </x:row>
    <x:row r="746" ht="23" customHeight="1">
      <x:c r="A746" s="6" t="str">
        <x:v>T6-L01-A</x:v>
      </x:c>
      <x:c r="B746" s="6" t="str">
        <x:v>T6</x:v>
      </x:c>
      <x:c r="C746" s="6" t="str">
        <x:v>Paint and final decorations</x:v>
      </x:c>
      <x:c r="D746" s="6" t="str">
        <x:v>Finishes</x:v>
      </x:c>
      <x:c r="E746" s="22" t="n">
        <x:f>MAX(0,MIN('Activities'!L746,6)-MAX('Activities'!K746,0))</x:f>
        <x:v>0</x:v>
      </x:c>
      <x:c r="F746" s="22" t="n">
        <x:f>MAX(0,MIN('Activities'!L746,12)-MAX('Activities'!K746,6))</x:f>
        <x:v>0</x:v>
      </x:c>
      <x:c r="G746" s="22" t="n">
        <x:f>MAX(0,MIN('Activities'!L746,18)-MAX('Activities'!K746,12))</x:f>
        <x:v>0</x:v>
      </x:c>
      <x:c r="H746" s="22" t="n">
        <x:f>MAX(0,MIN('Activities'!L746,24)-MAX('Activities'!K746,18))</x:f>
        <x:v>0</x:v>
      </x:c>
      <x:c r="I746" s="22" t="n">
        <x:f>MAX(0,MIN('Activities'!L746,30)-MAX('Activities'!K746,24))</x:f>
        <x:v>0</x:v>
      </x:c>
      <x:c r="J746" s="22" t="n">
        <x:f>MAX(0,MIN('Activities'!L746,36)-MAX('Activities'!K746,30))</x:f>
        <x:v>0</x:v>
      </x:c>
      <x:c r="K746" s="22" t="n">
        <x:f>MAX(0,MIN('Activities'!L746,42)-MAX('Activities'!K746,36))</x:f>
        <x:v>0</x:v>
      </x:c>
      <x:c r="L746" s="22" t="n">
        <x:f>MAX(0,MIN('Activities'!L746,48)-MAX('Activities'!K746,42))</x:f>
        <x:v>0</x:v>
      </x:c>
      <x:c r="M746" s="22" t="n">
        <x:f>MAX(0,MIN('Activities'!L746,54)-MAX('Activities'!K746,48))</x:f>
        <x:v>0</x:v>
      </x:c>
      <x:c r="N746" s="22" t="n">
        <x:f>MAX(0,MIN('Activities'!L746,60)-MAX('Activities'!K746,54))</x:f>
        <x:v>0</x:v>
      </x:c>
      <x:c r="O746" s="22" t="n">
        <x:f>MAX(0,MIN('Activities'!L746,66)-MAX('Activities'!K746,60))</x:f>
        <x:v>0</x:v>
      </x:c>
      <x:c r="P746" s="22" t="n">
        <x:f>MAX(0,MIN('Activities'!L746,72)-MAX('Activities'!K746,66))</x:f>
        <x:v>0</x:v>
      </x:c>
      <x:c r="Q746" s="22" t="n">
        <x:f>MAX(0,MIN('Activities'!L746,78)-MAX('Activities'!K746,72))</x:f>
        <x:v>0</x:v>
      </x:c>
      <x:c r="R746" s="22" t="n">
        <x:f>MAX(0,MIN('Activities'!L746,84)-MAX('Activities'!K746,78))</x:f>
        <x:v>0</x:v>
      </x:c>
      <x:c r="S746" s="22" t="n">
        <x:f>MAX(0,MIN('Activities'!L746,90)-MAX('Activities'!K746,84))</x:f>
        <x:v>0</x:v>
      </x:c>
      <x:c r="T746" s="22" t="n">
        <x:f>MAX(0,MIN('Activities'!L746,96)-MAX('Activities'!K746,90))</x:f>
        <x:v>0</x:v>
      </x:c>
      <x:c r="U746" s="22" t="n">
        <x:f>MAX(0,MIN('Activities'!L746,102)-MAX('Activities'!K746,96))</x:f>
        <x:v>0</x:v>
      </x:c>
      <x:c r="V746" s="22" t="n">
        <x:f>MAX(0,MIN('Activities'!L746,108)-MAX('Activities'!K746,102))</x:f>
        <x:v>0</x:v>
      </x:c>
      <x:c r="W746" s="22" t="n">
        <x:f>MAX(0,MIN('Activities'!L746,114)-MAX('Activities'!K746,108))</x:f>
        <x:v>0</x:v>
      </x:c>
      <x:c r="X746" s="22" t="n">
        <x:f>MAX(0,MIN('Activities'!L746,120)-MAX('Activities'!K746,114))</x:f>
        <x:v>0</x:v>
      </x:c>
      <x:c r="Y746" s="22" t="n">
        <x:f>MAX(0,MIN('Activities'!L746,126)-MAX('Activities'!K746,120))</x:f>
        <x:v>0</x:v>
      </x:c>
      <x:c r="Z746" s="22" t="n">
        <x:f>MAX(0,MIN('Activities'!L746,132)-MAX('Activities'!K746,126))</x:f>
        <x:v>0</x:v>
      </x:c>
      <x:c r="AA746" s="22" t="n">
        <x:f>MAX(0,MIN('Activities'!L746,138)-MAX('Activities'!K746,132))</x:f>
        <x:v>0</x:v>
      </x:c>
      <x:c r="AB746" s="22" t="n">
        <x:f>MAX(0,MIN('Activities'!L746,144)-MAX('Activities'!K746,138))</x:f>
        <x:v>0</x:v>
      </x:c>
      <x:c r="AC746" s="22" t="n">
        <x:f>MAX(0,MIN('Activities'!L746,150)-MAX('Activities'!K746,144))</x:f>
        <x:v>0</x:v>
      </x:c>
      <x:c r="AD746" s="22" t="n">
        <x:f>MAX(0,MIN('Activities'!L746,156)-MAX('Activities'!K746,150))</x:f>
        <x:v>0</x:v>
      </x:c>
      <x:c r="AE746" s="22" t="n">
        <x:f>MAX(0,MIN('Activities'!L746,162)-MAX('Activities'!K746,156))</x:f>
        <x:v>0</x:v>
      </x:c>
      <x:c r="AF746" s="22" t="n">
        <x:f>MAX(0,MIN('Activities'!L746,168)-MAX('Activities'!K746,162))</x:f>
        <x:v>0</x:v>
      </x:c>
      <x:c r="AG746" s="22" t="n">
        <x:f>MAX(0,MIN('Activities'!L746,174)-MAX('Activities'!K746,168))</x:f>
        <x:v>0</x:v>
      </x:c>
      <x:c r="AH746" s="22" t="n">
        <x:f>MAX(0,MIN('Activities'!L746,180)-MAX('Activities'!K746,174))</x:f>
        <x:v>0</x:v>
      </x:c>
      <x:c r="AI746" s="22" t="n">
        <x:f>MAX(0,MIN('Activities'!L746,186)-MAX('Activities'!K746,180))</x:f>
        <x:v>0</x:v>
      </x:c>
      <x:c r="AJ746" s="22" t="n">
        <x:f>MAX(0,MIN('Activities'!L746,192)-MAX('Activities'!K746,186))</x:f>
        <x:v>0</x:v>
      </x:c>
      <x:c r="AK746" s="22" t="n">
        <x:f>MAX(0,MIN('Activities'!L746,198)-MAX('Activities'!K746,192))</x:f>
        <x:v>0</x:v>
      </x:c>
      <x:c r="AL746" s="22" t="n">
        <x:f>MAX(0,MIN('Activities'!L746,204)-MAX('Activities'!K746,198))</x:f>
        <x:v>0</x:v>
      </x:c>
      <x:c r="AM746" s="22" t="n">
        <x:f>MAX(0,MIN('Activities'!L746,210)-MAX('Activities'!K746,204))</x:f>
        <x:v>0</x:v>
      </x:c>
      <x:c r="AN746" s="22" t="n">
        <x:f>MAX(0,MIN('Activities'!L746,216)-MAX('Activities'!K746,210))</x:f>
        <x:v>0</x:v>
      </x:c>
      <x:c r="AO746" s="22" t="n">
        <x:f>MAX(0,MIN('Activities'!L746,222)-MAX('Activities'!K746,216))</x:f>
        <x:v>0</x:v>
      </x:c>
      <x:c r="AP746" s="22" t="n">
        <x:f>MAX(0,MIN('Activities'!L746,228)-MAX('Activities'!K746,222))</x:f>
        <x:v>0</x:v>
      </x:c>
      <x:c r="AQ746" s="22" t="n">
        <x:f>MAX(0,MIN('Activities'!L746,234)-MAX('Activities'!K746,228))</x:f>
        <x:v>0</x:v>
      </x:c>
      <x:c r="AR746" s="22" t="n">
        <x:f>MAX(0,MIN('Activities'!L746,240)-MAX('Activities'!K746,234))</x:f>
        <x:v>0</x:v>
      </x:c>
      <x:c r="AS746" s="22" t="n">
        <x:f>MAX(0,MIN('Activities'!L746,246)-MAX('Activities'!K746,240))</x:f>
        <x:v>0</x:v>
      </x:c>
      <x:c r="AT746" s="22" t="n">
        <x:f>MAX(0,MIN('Activities'!L746,252)-MAX('Activities'!K746,246))</x:f>
        <x:v>0</x:v>
      </x:c>
      <x:c r="AU746" s="22" t="n">
        <x:f>MAX(0,MIN('Activities'!L746,258)-MAX('Activities'!K746,252))</x:f>
        <x:v>0</x:v>
      </x:c>
      <x:c r="AV746" s="22" t="n">
        <x:f>MAX(0,MIN('Activities'!L746,264)-MAX('Activities'!K746,258))</x:f>
        <x:v>0</x:v>
      </x:c>
      <x:c r="AW746" s="22" t="n">
        <x:f>MAX(0,MIN('Activities'!L746,270)-MAX('Activities'!K746,264))</x:f>
        <x:v>0</x:v>
      </x:c>
      <x:c r="AX746" s="22" t="n">
        <x:f>MAX(0,MIN('Activities'!L746,276)-MAX('Activities'!K746,270))</x:f>
        <x:v>0</x:v>
      </x:c>
      <x:c r="AY746" s="22" t="n">
        <x:f>MAX(0,MIN('Activities'!L746,282)-MAX('Activities'!K746,276))</x:f>
        <x:v>0</x:v>
      </x:c>
      <x:c r="AZ746" s="22" t="n">
        <x:f>MAX(0,MIN('Activities'!L746,288)-MAX('Activities'!K746,282))</x:f>
        <x:v>0</x:v>
      </x:c>
      <x:c r="BA746" s="22" t="n">
        <x:f>MAX(0,MIN('Activities'!L746,294)-MAX('Activities'!K746,288))</x:f>
        <x:v>0</x:v>
      </x:c>
      <x:c r="BB746" s="22" t="n">
        <x:f>MAX(0,MIN('Activities'!L746,300)-MAX('Activities'!K746,294))</x:f>
        <x:v>0</x:v>
      </x:c>
      <x:c r="BC746" s="22" t="n">
        <x:f>MAX(0,MIN('Activities'!L746,306)-MAX('Activities'!K746,300))</x:f>
        <x:v>0</x:v>
      </x:c>
      <x:c r="BD746" s="22" t="n">
        <x:f>MAX(0,MIN('Activities'!L746,312)-MAX('Activities'!K746,306))</x:f>
        <x:v>0</x:v>
      </x:c>
      <x:c r="BE746" s="22" t="n">
        <x:f>MAX(0,MIN('Activities'!L746,318)-MAX('Activities'!K746,312))</x:f>
        <x:v>0</x:v>
      </x:c>
      <x:c r="BF746" s="22" t="n">
        <x:f>MAX(0,MIN('Activities'!L746,324)-MAX('Activities'!K746,318))</x:f>
        <x:v>0</x:v>
      </x:c>
      <x:c r="BG746" s="22" t="n">
        <x:f>MAX(0,MIN('Activities'!L746,330)-MAX('Activities'!K746,324))</x:f>
        <x:v>0</x:v>
      </x:c>
      <x:c r="BH746" s="22" t="n">
        <x:f>MAX(0,MIN('Activities'!L746,336)-MAX('Activities'!K746,330))</x:f>
        <x:v>0</x:v>
      </x:c>
      <x:c r="BI746" s="22" t="n">
        <x:f>MAX(0,MIN('Activities'!L746,342)-MAX('Activities'!K746,336))</x:f>
        <x:v>0</x:v>
      </x:c>
      <x:c r="BJ746" s="22" t="n">
        <x:f>MAX(0,MIN('Activities'!L746,348)-MAX('Activities'!K746,342))</x:f>
        <x:v>0</x:v>
      </x:c>
      <x:c r="BK746" s="22" t="n">
        <x:f>MAX(0,MIN('Activities'!L746,354)-MAX('Activities'!K746,348))</x:f>
        <x:v>0</x:v>
      </x:c>
      <x:c r="BL746" s="22" t="n">
        <x:f>MAX(0,MIN('Activities'!L746,360)-MAX('Activities'!K746,354))</x:f>
        <x:v>0</x:v>
      </x:c>
      <x:c r="BM746" s="22" t="n">
        <x:f>MAX(0,MIN('Activities'!L746,366)-MAX('Activities'!K746,360))</x:f>
        <x:v>0</x:v>
      </x:c>
      <x:c r="BN746" s="22" t="n">
        <x:f>MAX(0,MIN('Activities'!L746,372)-MAX('Activities'!K746,366))</x:f>
        <x:v>0</x:v>
      </x:c>
      <x:c r="BO746" s="22" t="n">
        <x:f>MAX(0,MIN('Activities'!L746,378)-MAX('Activities'!K746,372))</x:f>
        <x:v>0</x:v>
      </x:c>
      <x:c r="BP746" s="22" t="n">
        <x:f>MAX(0,MIN('Activities'!L746,384)-MAX('Activities'!K746,378))</x:f>
        <x:v>0</x:v>
      </x:c>
      <x:c r="BQ746" s="22" t="n">
        <x:f>MAX(0,MIN('Activities'!L746,390)-MAX('Activities'!K746,384))</x:f>
        <x:v>0</x:v>
      </x:c>
      <x:c r="BR746" s="22" t="n">
        <x:f>MAX(0,MIN('Activities'!L746,396)-MAX('Activities'!K746,390))</x:f>
        <x:v>0</x:v>
      </x:c>
      <x:c r="BS746" s="22" t="n">
        <x:f>MAX(0,MIN('Activities'!L746,402)-MAX('Activities'!K746,396))</x:f>
        <x:v>0</x:v>
      </x:c>
      <x:c r="BT746" s="22" t="n">
        <x:f>MAX(0,MIN('Activities'!L746,408)-MAX('Activities'!K746,402))</x:f>
        <x:v>0</x:v>
      </x:c>
      <x:c r="BU746" s="22" t="n">
        <x:f>MAX(0,MIN('Activities'!L746,414)-MAX('Activities'!K746,408))</x:f>
        <x:v>0</x:v>
      </x:c>
      <x:c r="BV746" s="22" t="n">
        <x:f>MAX(0,MIN('Activities'!L746,420)-MAX('Activities'!K746,414))</x:f>
        <x:v>0</x:v>
      </x:c>
      <x:c r="BW746" s="22" t="n">
        <x:f>MAX(0,MIN('Activities'!L746,426)-MAX('Activities'!K746,420))</x:f>
        <x:v>0</x:v>
      </x:c>
      <x:c r="BX746" s="22" t="n">
        <x:f>MAX(0,MIN('Activities'!L746,432)-MAX('Activities'!K746,426))</x:f>
        <x:v>0</x:v>
      </x:c>
      <x:c r="BY746" s="22" t="n">
        <x:f>MAX(0,MIN('Activities'!L746,438)-MAX('Activities'!K746,432))</x:f>
        <x:v>0</x:v>
      </x:c>
      <x:c r="BZ746" s="22" t="n">
        <x:f>MAX(0,MIN('Activities'!L746,444)-MAX('Activities'!K746,438))</x:f>
        <x:v>0</x:v>
      </x:c>
      <x:c r="CA746" s="22" t="n">
        <x:f>MAX(0,MIN('Activities'!L746,450)-MAX('Activities'!K746,444))</x:f>
        <x:v>0</x:v>
      </x:c>
      <x:c r="CB746" s="22" t="n">
        <x:f>MAX(0,MIN('Activities'!L746,456)-MAX('Activities'!K746,450))</x:f>
        <x:v>0</x:v>
      </x:c>
      <x:c r="CC746" s="22" t="n">
        <x:f>MAX(0,MIN('Activities'!L746,462)-MAX('Activities'!K746,456))</x:f>
        <x:v>0</x:v>
      </x:c>
      <x:c r="CD746" s="22" t="n">
        <x:f>MAX(0,MIN('Activities'!L746,468)-MAX('Activities'!K746,462))</x:f>
        <x:v>0</x:v>
      </x:c>
      <x:c r="CE746" s="22" t="n">
        <x:f>MAX(0,MIN('Activities'!L746,474)-MAX('Activities'!K746,468))</x:f>
        <x:v>5</x:v>
      </x:c>
      <x:c r="CF746" s="22" t="n">
        <x:f>MAX(0,MIN('Activities'!L746,480)-MAX('Activities'!K746,474))</x:f>
        <x:v>0</x:v>
      </x:c>
      <x:c r="CG746" s="22" t="n">
        <x:f>MAX(0,MIN('Activities'!L746,486)-MAX('Activities'!K746,480))</x:f>
        <x:v>0</x:v>
      </x:c>
      <x:c r="CH746" s="22" t="n">
        <x:f>MAX(0,MIN('Activities'!L746,492)-MAX('Activities'!K746,486))</x:f>
        <x:v>0</x:v>
      </x:c>
      <x:c r="CI746" s="22" t="n">
        <x:f>MAX(0,MIN('Activities'!L746,498)-MAX('Activities'!K746,492))</x:f>
        <x:v>0</x:v>
      </x:c>
      <x:c r="CJ746" s="22" t="n">
        <x:f>MAX(0,MIN('Activities'!L746,504)-MAX('Activities'!K746,498))</x:f>
        <x:v>0</x:v>
      </x:c>
      <x:c r="CK746" s="22" t="n">
        <x:f>MAX(0,MIN('Activities'!L746,510)-MAX('Activities'!K746,504))</x:f>
        <x:v>0</x:v>
      </x:c>
      <x:c r="CL746" s="22" t="n">
        <x:f>MAX(0,MIN('Activities'!L746,516)-MAX('Activities'!K746,510))</x:f>
        <x:v>0</x:v>
      </x:c>
      <x:c r="CM746" s="22" t="n">
        <x:f>MAX(0,MIN('Activities'!L746,522)-MAX('Activities'!K746,516))</x:f>
        <x:v>0</x:v>
      </x:c>
      <x:c r="CN746" s="22" t="n">
        <x:f>MAX(0,MIN('Activities'!L746,528)-MAX('Activities'!K746,522))</x:f>
        <x:v>0</x:v>
      </x:c>
      <x:c r="CO746" s="22" t="n">
        <x:f>MAX(0,MIN('Activities'!L746,534)-MAX('Activities'!K746,528))</x:f>
        <x:v>0</x:v>
      </x:c>
      <x:c r="CP746" s="22" t="n">
        <x:f>MAX(0,MIN('Activities'!L746,540)-MAX('Activities'!K746,534))</x:f>
        <x:v>0</x:v>
      </x:c>
      <x:c r="CQ746" s="22" t="n">
        <x:f>MAX(0,MIN('Activities'!L746,546)-MAX('Activities'!K746,540))</x:f>
        <x:v>0</x:v>
      </x:c>
      <x:c r="CR746" s="22" t="n">
        <x:f>MAX(0,MIN('Activities'!L746,552)-MAX('Activities'!K746,546))</x:f>
        <x:v>0</x:v>
      </x:c>
      <x:c r="CS746" s="22" t="n">
        <x:f>MAX(0,MIN('Activities'!L746,558)-MAX('Activities'!K746,552))</x:f>
        <x:v>0</x:v>
      </x:c>
      <x:c r="CT746" s="22" t="n">
        <x:f>MAX(0,MIN('Activities'!L746,564)-MAX('Activities'!K746,558))</x:f>
        <x:v>0</x:v>
      </x:c>
      <x:c r="CU746" s="22" t="n">
        <x:f>MAX(0,MIN('Activities'!L746,570)-MAX('Activities'!K746,564))</x:f>
        <x:v>0</x:v>
      </x:c>
      <x:c r="CV746" s="22" t="n">
        <x:f>MAX(0,MIN('Activities'!L746,576)-MAX('Activities'!K746,570))</x:f>
        <x:v>0</x:v>
      </x:c>
      <x:c r="CW746" s="22" t="n">
        <x:f>MAX(0,MIN('Activities'!L746,582)-MAX('Activities'!K746,576))</x:f>
        <x:v>0</x:v>
      </x:c>
      <x:c r="CX746" s="22" t="n">
        <x:f>MAX(0,MIN('Activities'!L746,588)-MAX('Activities'!K746,582))</x:f>
        <x:v>0</x:v>
      </x:c>
      <x:c r="CY746" s="22" t="n">
        <x:f>MAX(0,MIN('Activities'!L746,594)-MAX('Activities'!K746,588))</x:f>
        <x:v>0</x:v>
      </x:c>
      <x:c r="CZ746" s="22" t="n">
        <x:f>MAX(0,MIN('Activities'!L746,600)-MAX('Activities'!K746,594))</x:f>
        <x:v>0</x:v>
      </x:c>
      <x:c r="DA746" s="22" t="n">
        <x:f>MAX(0,MIN('Activities'!L746,606)-MAX('Activities'!K746,600))</x:f>
        <x:v>0</x:v>
      </x:c>
      <x:c r="DB746" s="22" t="n">
        <x:f>MAX(0,MIN('Activities'!L746,612)-MAX('Activities'!K746,606))</x:f>
        <x:v>0</x:v>
      </x:c>
      <x:c r="DC746" s="22" t="n">
        <x:f>MAX(0,MIN('Activities'!L746,618)-MAX('Activities'!K746,612))</x:f>
        <x:v>0</x:v>
      </x:c>
      <x:c r="DD746" s="22" t="n">
        <x:f>MAX(0,MIN('Activities'!L746,624)-MAX('Activities'!K746,618))</x:f>
        <x:v>0</x:v>
      </x:c>
      <x:c r="DE746" s="22" t="n">
        <x:f>MAX(0,MIN('Activities'!L746,630)-MAX('Activities'!K746,624))</x:f>
        <x:v>0</x:v>
      </x:c>
      <x:c r="DF746" s="22" t="n">
        <x:f>MAX(0,MIN('Activities'!L746,636)-MAX('Activities'!K746,630))</x:f>
        <x:v>0</x:v>
      </x:c>
    </x:row>
    <x:row r="747" ht="23" customHeight="1">
      <x:c r="A747" s="1" t="str">
        <x:v>T6-L01-D</x:v>
      </x:c>
      <x:c r="B747" s="1" t="str">
        <x:v>T6</x:v>
      </x:c>
      <x:c r="C747" s="1" t="str">
        <x:v>Door sets and ironmongery</x:v>
      </x:c>
      <x:c r="D747" s="1" t="str">
        <x:v>Finishes</x:v>
      </x:c>
      <x:c r="E747" s="23" t="n">
        <x:f>MAX(0,MIN('Activities'!L747,6)-MAX('Activities'!K747,0))</x:f>
        <x:v>0</x:v>
      </x:c>
      <x:c r="F747" s="23" t="n">
        <x:f>MAX(0,MIN('Activities'!L747,12)-MAX('Activities'!K747,6))</x:f>
        <x:v>0</x:v>
      </x:c>
      <x:c r="G747" s="23" t="n">
        <x:f>MAX(0,MIN('Activities'!L747,18)-MAX('Activities'!K747,12))</x:f>
        <x:v>0</x:v>
      </x:c>
      <x:c r="H747" s="23" t="n">
        <x:f>MAX(0,MIN('Activities'!L747,24)-MAX('Activities'!K747,18))</x:f>
        <x:v>0</x:v>
      </x:c>
      <x:c r="I747" s="23" t="n">
        <x:f>MAX(0,MIN('Activities'!L747,30)-MAX('Activities'!K747,24))</x:f>
        <x:v>0</x:v>
      </x:c>
      <x:c r="J747" s="23" t="n">
        <x:f>MAX(0,MIN('Activities'!L747,36)-MAX('Activities'!K747,30))</x:f>
        <x:v>0</x:v>
      </x:c>
      <x:c r="K747" s="23" t="n">
        <x:f>MAX(0,MIN('Activities'!L747,42)-MAX('Activities'!K747,36))</x:f>
        <x:v>0</x:v>
      </x:c>
      <x:c r="L747" s="23" t="n">
        <x:f>MAX(0,MIN('Activities'!L747,48)-MAX('Activities'!K747,42))</x:f>
        <x:v>0</x:v>
      </x:c>
      <x:c r="M747" s="23" t="n">
        <x:f>MAX(0,MIN('Activities'!L747,54)-MAX('Activities'!K747,48))</x:f>
        <x:v>0</x:v>
      </x:c>
      <x:c r="N747" s="23" t="n">
        <x:f>MAX(0,MIN('Activities'!L747,60)-MAX('Activities'!K747,54))</x:f>
        <x:v>0</x:v>
      </x:c>
      <x:c r="O747" s="23" t="n">
        <x:f>MAX(0,MIN('Activities'!L747,66)-MAX('Activities'!K747,60))</x:f>
        <x:v>0</x:v>
      </x:c>
      <x:c r="P747" s="23" t="n">
        <x:f>MAX(0,MIN('Activities'!L747,72)-MAX('Activities'!K747,66))</x:f>
        <x:v>0</x:v>
      </x:c>
      <x:c r="Q747" s="23" t="n">
        <x:f>MAX(0,MIN('Activities'!L747,78)-MAX('Activities'!K747,72))</x:f>
        <x:v>0</x:v>
      </x:c>
      <x:c r="R747" s="23" t="n">
        <x:f>MAX(0,MIN('Activities'!L747,84)-MAX('Activities'!K747,78))</x:f>
        <x:v>0</x:v>
      </x:c>
      <x:c r="S747" s="23" t="n">
        <x:f>MAX(0,MIN('Activities'!L747,90)-MAX('Activities'!K747,84))</x:f>
        <x:v>0</x:v>
      </x:c>
      <x:c r="T747" s="23" t="n">
        <x:f>MAX(0,MIN('Activities'!L747,96)-MAX('Activities'!K747,90))</x:f>
        <x:v>0</x:v>
      </x:c>
      <x:c r="U747" s="23" t="n">
        <x:f>MAX(0,MIN('Activities'!L747,102)-MAX('Activities'!K747,96))</x:f>
        <x:v>0</x:v>
      </x:c>
      <x:c r="V747" s="23" t="n">
        <x:f>MAX(0,MIN('Activities'!L747,108)-MAX('Activities'!K747,102))</x:f>
        <x:v>0</x:v>
      </x:c>
      <x:c r="W747" s="23" t="n">
        <x:f>MAX(0,MIN('Activities'!L747,114)-MAX('Activities'!K747,108))</x:f>
        <x:v>0</x:v>
      </x:c>
      <x:c r="X747" s="23" t="n">
        <x:f>MAX(0,MIN('Activities'!L747,120)-MAX('Activities'!K747,114))</x:f>
        <x:v>0</x:v>
      </x:c>
      <x:c r="Y747" s="23" t="n">
        <x:f>MAX(0,MIN('Activities'!L747,126)-MAX('Activities'!K747,120))</x:f>
        <x:v>0</x:v>
      </x:c>
      <x:c r="Z747" s="23" t="n">
        <x:f>MAX(0,MIN('Activities'!L747,132)-MAX('Activities'!K747,126))</x:f>
        <x:v>0</x:v>
      </x:c>
      <x:c r="AA747" s="23" t="n">
        <x:f>MAX(0,MIN('Activities'!L747,138)-MAX('Activities'!K747,132))</x:f>
        <x:v>0</x:v>
      </x:c>
      <x:c r="AB747" s="23" t="n">
        <x:f>MAX(0,MIN('Activities'!L747,144)-MAX('Activities'!K747,138))</x:f>
        <x:v>0</x:v>
      </x:c>
      <x:c r="AC747" s="23" t="n">
        <x:f>MAX(0,MIN('Activities'!L747,150)-MAX('Activities'!K747,144))</x:f>
        <x:v>0</x:v>
      </x:c>
      <x:c r="AD747" s="23" t="n">
        <x:f>MAX(0,MIN('Activities'!L747,156)-MAX('Activities'!K747,150))</x:f>
        <x:v>0</x:v>
      </x:c>
      <x:c r="AE747" s="23" t="n">
        <x:f>MAX(0,MIN('Activities'!L747,162)-MAX('Activities'!K747,156))</x:f>
        <x:v>0</x:v>
      </x:c>
      <x:c r="AF747" s="23" t="n">
        <x:f>MAX(0,MIN('Activities'!L747,168)-MAX('Activities'!K747,162))</x:f>
        <x:v>0</x:v>
      </x:c>
      <x:c r="AG747" s="23" t="n">
        <x:f>MAX(0,MIN('Activities'!L747,174)-MAX('Activities'!K747,168))</x:f>
        <x:v>0</x:v>
      </x:c>
      <x:c r="AH747" s="23" t="n">
        <x:f>MAX(0,MIN('Activities'!L747,180)-MAX('Activities'!K747,174))</x:f>
        <x:v>0</x:v>
      </x:c>
      <x:c r="AI747" s="23" t="n">
        <x:f>MAX(0,MIN('Activities'!L747,186)-MAX('Activities'!K747,180))</x:f>
        <x:v>0</x:v>
      </x:c>
      <x:c r="AJ747" s="23" t="n">
        <x:f>MAX(0,MIN('Activities'!L747,192)-MAX('Activities'!K747,186))</x:f>
        <x:v>0</x:v>
      </x:c>
      <x:c r="AK747" s="23" t="n">
        <x:f>MAX(0,MIN('Activities'!L747,198)-MAX('Activities'!K747,192))</x:f>
        <x:v>0</x:v>
      </x:c>
      <x:c r="AL747" s="23" t="n">
        <x:f>MAX(0,MIN('Activities'!L747,204)-MAX('Activities'!K747,198))</x:f>
        <x:v>0</x:v>
      </x:c>
      <x:c r="AM747" s="23" t="n">
        <x:f>MAX(0,MIN('Activities'!L747,210)-MAX('Activities'!K747,204))</x:f>
        <x:v>0</x:v>
      </x:c>
      <x:c r="AN747" s="23" t="n">
        <x:f>MAX(0,MIN('Activities'!L747,216)-MAX('Activities'!K747,210))</x:f>
        <x:v>0</x:v>
      </x:c>
      <x:c r="AO747" s="23" t="n">
        <x:f>MAX(0,MIN('Activities'!L747,222)-MAX('Activities'!K747,216))</x:f>
        <x:v>0</x:v>
      </x:c>
      <x:c r="AP747" s="23" t="n">
        <x:f>MAX(0,MIN('Activities'!L747,228)-MAX('Activities'!K747,222))</x:f>
        <x:v>0</x:v>
      </x:c>
      <x:c r="AQ747" s="23" t="n">
        <x:f>MAX(0,MIN('Activities'!L747,234)-MAX('Activities'!K747,228))</x:f>
        <x:v>0</x:v>
      </x:c>
      <x:c r="AR747" s="23" t="n">
        <x:f>MAX(0,MIN('Activities'!L747,240)-MAX('Activities'!K747,234))</x:f>
        <x:v>0</x:v>
      </x:c>
      <x:c r="AS747" s="23" t="n">
        <x:f>MAX(0,MIN('Activities'!L747,246)-MAX('Activities'!K747,240))</x:f>
        <x:v>0</x:v>
      </x:c>
      <x:c r="AT747" s="23" t="n">
        <x:f>MAX(0,MIN('Activities'!L747,252)-MAX('Activities'!K747,246))</x:f>
        <x:v>0</x:v>
      </x:c>
      <x:c r="AU747" s="23" t="n">
        <x:f>MAX(0,MIN('Activities'!L747,258)-MAX('Activities'!K747,252))</x:f>
        <x:v>0</x:v>
      </x:c>
      <x:c r="AV747" s="23" t="n">
        <x:f>MAX(0,MIN('Activities'!L747,264)-MAX('Activities'!K747,258))</x:f>
        <x:v>0</x:v>
      </x:c>
      <x:c r="AW747" s="23" t="n">
        <x:f>MAX(0,MIN('Activities'!L747,270)-MAX('Activities'!K747,264))</x:f>
        <x:v>0</x:v>
      </x:c>
      <x:c r="AX747" s="23" t="n">
        <x:f>MAX(0,MIN('Activities'!L747,276)-MAX('Activities'!K747,270))</x:f>
        <x:v>0</x:v>
      </x:c>
      <x:c r="AY747" s="23" t="n">
        <x:f>MAX(0,MIN('Activities'!L747,282)-MAX('Activities'!K747,276))</x:f>
        <x:v>0</x:v>
      </x:c>
      <x:c r="AZ747" s="23" t="n">
        <x:f>MAX(0,MIN('Activities'!L747,288)-MAX('Activities'!K747,282))</x:f>
        <x:v>0</x:v>
      </x:c>
      <x:c r="BA747" s="23" t="n">
        <x:f>MAX(0,MIN('Activities'!L747,294)-MAX('Activities'!K747,288))</x:f>
        <x:v>0</x:v>
      </x:c>
      <x:c r="BB747" s="23" t="n">
        <x:f>MAX(0,MIN('Activities'!L747,300)-MAX('Activities'!K747,294))</x:f>
        <x:v>0</x:v>
      </x:c>
      <x:c r="BC747" s="23" t="n">
        <x:f>MAX(0,MIN('Activities'!L747,306)-MAX('Activities'!K747,300))</x:f>
        <x:v>0</x:v>
      </x:c>
      <x:c r="BD747" s="23" t="n">
        <x:f>MAX(0,MIN('Activities'!L747,312)-MAX('Activities'!K747,306))</x:f>
        <x:v>0</x:v>
      </x:c>
      <x:c r="BE747" s="23" t="n">
        <x:f>MAX(0,MIN('Activities'!L747,318)-MAX('Activities'!K747,312))</x:f>
        <x:v>0</x:v>
      </x:c>
      <x:c r="BF747" s="23" t="n">
        <x:f>MAX(0,MIN('Activities'!L747,324)-MAX('Activities'!K747,318))</x:f>
        <x:v>0</x:v>
      </x:c>
      <x:c r="BG747" s="23" t="n">
        <x:f>MAX(0,MIN('Activities'!L747,330)-MAX('Activities'!K747,324))</x:f>
        <x:v>0</x:v>
      </x:c>
      <x:c r="BH747" s="23" t="n">
        <x:f>MAX(0,MIN('Activities'!L747,336)-MAX('Activities'!K747,330))</x:f>
        <x:v>0</x:v>
      </x:c>
      <x:c r="BI747" s="23" t="n">
        <x:f>MAX(0,MIN('Activities'!L747,342)-MAX('Activities'!K747,336))</x:f>
        <x:v>0</x:v>
      </x:c>
      <x:c r="BJ747" s="23" t="n">
        <x:f>MAX(0,MIN('Activities'!L747,348)-MAX('Activities'!K747,342))</x:f>
        <x:v>0</x:v>
      </x:c>
      <x:c r="BK747" s="23" t="n">
        <x:f>MAX(0,MIN('Activities'!L747,354)-MAX('Activities'!K747,348))</x:f>
        <x:v>0</x:v>
      </x:c>
      <x:c r="BL747" s="23" t="n">
        <x:f>MAX(0,MIN('Activities'!L747,360)-MAX('Activities'!K747,354))</x:f>
        <x:v>0</x:v>
      </x:c>
      <x:c r="BM747" s="23" t="n">
        <x:f>MAX(0,MIN('Activities'!L747,366)-MAX('Activities'!K747,360))</x:f>
        <x:v>0</x:v>
      </x:c>
      <x:c r="BN747" s="23" t="n">
        <x:f>MAX(0,MIN('Activities'!L747,372)-MAX('Activities'!K747,366))</x:f>
        <x:v>0</x:v>
      </x:c>
      <x:c r="BO747" s="23" t="n">
        <x:f>MAX(0,MIN('Activities'!L747,378)-MAX('Activities'!K747,372))</x:f>
        <x:v>0</x:v>
      </x:c>
      <x:c r="BP747" s="23" t="n">
        <x:f>MAX(0,MIN('Activities'!L747,384)-MAX('Activities'!K747,378))</x:f>
        <x:v>0</x:v>
      </x:c>
      <x:c r="BQ747" s="23" t="n">
        <x:f>MAX(0,MIN('Activities'!L747,390)-MAX('Activities'!K747,384))</x:f>
        <x:v>0</x:v>
      </x:c>
      <x:c r="BR747" s="23" t="n">
        <x:f>MAX(0,MIN('Activities'!L747,396)-MAX('Activities'!K747,390))</x:f>
        <x:v>0</x:v>
      </x:c>
      <x:c r="BS747" s="23" t="n">
        <x:f>MAX(0,MIN('Activities'!L747,402)-MAX('Activities'!K747,396))</x:f>
        <x:v>0</x:v>
      </x:c>
      <x:c r="BT747" s="23" t="n">
        <x:f>MAX(0,MIN('Activities'!L747,408)-MAX('Activities'!K747,402))</x:f>
        <x:v>0</x:v>
      </x:c>
      <x:c r="BU747" s="23" t="n">
        <x:f>MAX(0,MIN('Activities'!L747,414)-MAX('Activities'!K747,408))</x:f>
        <x:v>0</x:v>
      </x:c>
      <x:c r="BV747" s="23" t="n">
        <x:f>MAX(0,MIN('Activities'!L747,420)-MAX('Activities'!K747,414))</x:f>
        <x:v>0</x:v>
      </x:c>
      <x:c r="BW747" s="23" t="n">
        <x:f>MAX(0,MIN('Activities'!L747,426)-MAX('Activities'!K747,420))</x:f>
        <x:v>0</x:v>
      </x:c>
      <x:c r="BX747" s="23" t="n">
        <x:f>MAX(0,MIN('Activities'!L747,432)-MAX('Activities'!K747,426))</x:f>
        <x:v>0</x:v>
      </x:c>
      <x:c r="BY747" s="23" t="n">
        <x:f>MAX(0,MIN('Activities'!L747,438)-MAX('Activities'!K747,432))</x:f>
        <x:v>0</x:v>
      </x:c>
      <x:c r="BZ747" s="23" t="n">
        <x:f>MAX(0,MIN('Activities'!L747,444)-MAX('Activities'!K747,438))</x:f>
        <x:v>0</x:v>
      </x:c>
      <x:c r="CA747" s="23" t="n">
        <x:f>MAX(0,MIN('Activities'!L747,450)-MAX('Activities'!K747,444))</x:f>
        <x:v>0</x:v>
      </x:c>
      <x:c r="CB747" s="23" t="n">
        <x:f>MAX(0,MIN('Activities'!L747,456)-MAX('Activities'!K747,450))</x:f>
        <x:v>0</x:v>
      </x:c>
      <x:c r="CC747" s="23" t="n">
        <x:f>MAX(0,MIN('Activities'!L747,462)-MAX('Activities'!K747,456))</x:f>
        <x:v>0</x:v>
      </x:c>
      <x:c r="CD747" s="23" t="n">
        <x:f>MAX(0,MIN('Activities'!L747,468)-MAX('Activities'!K747,462))</x:f>
        <x:v>0</x:v>
      </x:c>
      <x:c r="CE747" s="23" t="n">
        <x:f>MAX(0,MIN('Activities'!L747,474)-MAX('Activities'!K747,468))</x:f>
        <x:v>0</x:v>
      </x:c>
      <x:c r="CF747" s="23" t="n">
        <x:f>MAX(0,MIN('Activities'!L747,480)-MAX('Activities'!K747,474))</x:f>
        <x:v>3</x:v>
      </x:c>
      <x:c r="CG747" s="23" t="n">
        <x:f>MAX(0,MIN('Activities'!L747,486)-MAX('Activities'!K747,480))</x:f>
        <x:v>0</x:v>
      </x:c>
      <x:c r="CH747" s="23" t="n">
        <x:f>MAX(0,MIN('Activities'!L747,492)-MAX('Activities'!K747,486))</x:f>
        <x:v>0</x:v>
      </x:c>
      <x:c r="CI747" s="23" t="n">
        <x:f>MAX(0,MIN('Activities'!L747,498)-MAX('Activities'!K747,492))</x:f>
        <x:v>0</x:v>
      </x:c>
      <x:c r="CJ747" s="23" t="n">
        <x:f>MAX(0,MIN('Activities'!L747,504)-MAX('Activities'!K747,498))</x:f>
        <x:v>0</x:v>
      </x:c>
      <x:c r="CK747" s="23" t="n">
        <x:f>MAX(0,MIN('Activities'!L747,510)-MAX('Activities'!K747,504))</x:f>
        <x:v>0</x:v>
      </x:c>
      <x:c r="CL747" s="23" t="n">
        <x:f>MAX(0,MIN('Activities'!L747,516)-MAX('Activities'!K747,510))</x:f>
        <x:v>0</x:v>
      </x:c>
      <x:c r="CM747" s="23" t="n">
        <x:f>MAX(0,MIN('Activities'!L747,522)-MAX('Activities'!K747,516))</x:f>
        <x:v>0</x:v>
      </x:c>
      <x:c r="CN747" s="23" t="n">
        <x:f>MAX(0,MIN('Activities'!L747,528)-MAX('Activities'!K747,522))</x:f>
        <x:v>0</x:v>
      </x:c>
      <x:c r="CO747" s="23" t="n">
        <x:f>MAX(0,MIN('Activities'!L747,534)-MAX('Activities'!K747,528))</x:f>
        <x:v>0</x:v>
      </x:c>
      <x:c r="CP747" s="23" t="n">
        <x:f>MAX(0,MIN('Activities'!L747,540)-MAX('Activities'!K747,534))</x:f>
        <x:v>0</x:v>
      </x:c>
      <x:c r="CQ747" s="23" t="n">
        <x:f>MAX(0,MIN('Activities'!L747,546)-MAX('Activities'!K747,540))</x:f>
        <x:v>0</x:v>
      </x:c>
      <x:c r="CR747" s="23" t="n">
        <x:f>MAX(0,MIN('Activities'!L747,552)-MAX('Activities'!K747,546))</x:f>
        <x:v>0</x:v>
      </x:c>
      <x:c r="CS747" s="23" t="n">
        <x:f>MAX(0,MIN('Activities'!L747,558)-MAX('Activities'!K747,552))</x:f>
        <x:v>0</x:v>
      </x:c>
      <x:c r="CT747" s="23" t="n">
        <x:f>MAX(0,MIN('Activities'!L747,564)-MAX('Activities'!K747,558))</x:f>
        <x:v>0</x:v>
      </x:c>
      <x:c r="CU747" s="23" t="n">
        <x:f>MAX(0,MIN('Activities'!L747,570)-MAX('Activities'!K747,564))</x:f>
        <x:v>0</x:v>
      </x:c>
      <x:c r="CV747" s="23" t="n">
        <x:f>MAX(0,MIN('Activities'!L747,576)-MAX('Activities'!K747,570))</x:f>
        <x:v>0</x:v>
      </x:c>
      <x:c r="CW747" s="23" t="n">
        <x:f>MAX(0,MIN('Activities'!L747,582)-MAX('Activities'!K747,576))</x:f>
        <x:v>0</x:v>
      </x:c>
      <x:c r="CX747" s="23" t="n">
        <x:f>MAX(0,MIN('Activities'!L747,588)-MAX('Activities'!K747,582))</x:f>
        <x:v>0</x:v>
      </x:c>
      <x:c r="CY747" s="23" t="n">
        <x:f>MAX(0,MIN('Activities'!L747,594)-MAX('Activities'!K747,588))</x:f>
        <x:v>0</x:v>
      </x:c>
      <x:c r="CZ747" s="23" t="n">
        <x:f>MAX(0,MIN('Activities'!L747,600)-MAX('Activities'!K747,594))</x:f>
        <x:v>0</x:v>
      </x:c>
      <x:c r="DA747" s="23" t="n">
        <x:f>MAX(0,MIN('Activities'!L747,606)-MAX('Activities'!K747,600))</x:f>
        <x:v>0</x:v>
      </x:c>
      <x:c r="DB747" s="23" t="n">
        <x:f>MAX(0,MIN('Activities'!L747,612)-MAX('Activities'!K747,606))</x:f>
        <x:v>0</x:v>
      </x:c>
      <x:c r="DC747" s="23" t="n">
        <x:f>MAX(0,MIN('Activities'!L747,618)-MAX('Activities'!K747,612))</x:f>
        <x:v>0</x:v>
      </x:c>
      <x:c r="DD747" s="23" t="n">
        <x:f>MAX(0,MIN('Activities'!L747,624)-MAX('Activities'!K747,618))</x:f>
        <x:v>0</x:v>
      </x:c>
      <x:c r="DE747" s="23" t="n">
        <x:f>MAX(0,MIN('Activities'!L747,630)-MAX('Activities'!K747,624))</x:f>
        <x:v>0</x:v>
      </x:c>
      <x:c r="DF747" s="23" t="n">
        <x:f>MAX(0,MIN('Activities'!L747,636)-MAX('Activities'!K747,630))</x:f>
        <x:v>0</x:v>
      </x:c>
    </x:row>
    <x:row r="748" ht="23" customHeight="1">
      <x:c r="A748" s="6" t="str">
        <x:v>T6-L02-M</x:v>
      </x:c>
      <x:c r="B748" s="6" t="str">
        <x:v>T6</x:v>
      </x:c>
      <x:c r="C748" s="6" t="str">
        <x:v>Partition masonry</x:v>
      </x:c>
      <x:c r="D748" s="6" t="str">
        <x:v>Masonry</x:v>
      </x:c>
      <x:c r="E748" s="22" t="n">
        <x:f>MAX(0,MIN('Activities'!L748,6)-MAX('Activities'!K748,0))</x:f>
        <x:v>0</x:v>
      </x:c>
      <x:c r="F748" s="22" t="n">
        <x:f>MAX(0,MIN('Activities'!L748,12)-MAX('Activities'!K748,6))</x:f>
        <x:v>0</x:v>
      </x:c>
      <x:c r="G748" s="22" t="n">
        <x:f>MAX(0,MIN('Activities'!L748,18)-MAX('Activities'!K748,12))</x:f>
        <x:v>0</x:v>
      </x:c>
      <x:c r="H748" s="22" t="n">
        <x:f>MAX(0,MIN('Activities'!L748,24)-MAX('Activities'!K748,18))</x:f>
        <x:v>0</x:v>
      </x:c>
      <x:c r="I748" s="22" t="n">
        <x:f>MAX(0,MIN('Activities'!L748,30)-MAX('Activities'!K748,24))</x:f>
        <x:v>0</x:v>
      </x:c>
      <x:c r="J748" s="22" t="n">
        <x:f>MAX(0,MIN('Activities'!L748,36)-MAX('Activities'!K748,30))</x:f>
        <x:v>0</x:v>
      </x:c>
      <x:c r="K748" s="22" t="n">
        <x:f>MAX(0,MIN('Activities'!L748,42)-MAX('Activities'!K748,36))</x:f>
        <x:v>0</x:v>
      </x:c>
      <x:c r="L748" s="22" t="n">
        <x:f>MAX(0,MIN('Activities'!L748,48)-MAX('Activities'!K748,42))</x:f>
        <x:v>0</x:v>
      </x:c>
      <x:c r="M748" s="22" t="n">
        <x:f>MAX(0,MIN('Activities'!L748,54)-MAX('Activities'!K748,48))</x:f>
        <x:v>0</x:v>
      </x:c>
      <x:c r="N748" s="22" t="n">
        <x:f>MAX(0,MIN('Activities'!L748,60)-MAX('Activities'!K748,54))</x:f>
        <x:v>0</x:v>
      </x:c>
      <x:c r="O748" s="22" t="n">
        <x:f>MAX(0,MIN('Activities'!L748,66)-MAX('Activities'!K748,60))</x:f>
        <x:v>0</x:v>
      </x:c>
      <x:c r="P748" s="22" t="n">
        <x:f>MAX(0,MIN('Activities'!L748,72)-MAX('Activities'!K748,66))</x:f>
        <x:v>0</x:v>
      </x:c>
      <x:c r="Q748" s="22" t="n">
        <x:f>MAX(0,MIN('Activities'!L748,78)-MAX('Activities'!K748,72))</x:f>
        <x:v>0</x:v>
      </x:c>
      <x:c r="R748" s="22" t="n">
        <x:f>MAX(0,MIN('Activities'!L748,84)-MAX('Activities'!K748,78))</x:f>
        <x:v>0</x:v>
      </x:c>
      <x:c r="S748" s="22" t="n">
        <x:f>MAX(0,MIN('Activities'!L748,90)-MAX('Activities'!K748,84))</x:f>
        <x:v>0</x:v>
      </x:c>
      <x:c r="T748" s="22" t="n">
        <x:f>MAX(0,MIN('Activities'!L748,96)-MAX('Activities'!K748,90))</x:f>
        <x:v>0</x:v>
      </x:c>
      <x:c r="U748" s="22" t="n">
        <x:f>MAX(0,MIN('Activities'!L748,102)-MAX('Activities'!K748,96))</x:f>
        <x:v>0</x:v>
      </x:c>
      <x:c r="V748" s="22" t="n">
        <x:f>MAX(0,MIN('Activities'!L748,108)-MAX('Activities'!K748,102))</x:f>
        <x:v>0</x:v>
      </x:c>
      <x:c r="W748" s="22" t="n">
        <x:f>MAX(0,MIN('Activities'!L748,114)-MAX('Activities'!K748,108))</x:f>
        <x:v>0</x:v>
      </x:c>
      <x:c r="X748" s="22" t="n">
        <x:f>MAX(0,MIN('Activities'!L748,120)-MAX('Activities'!K748,114))</x:f>
        <x:v>0</x:v>
      </x:c>
      <x:c r="Y748" s="22" t="n">
        <x:f>MAX(0,MIN('Activities'!L748,126)-MAX('Activities'!K748,120))</x:f>
        <x:v>0</x:v>
      </x:c>
      <x:c r="Z748" s="22" t="n">
        <x:f>MAX(0,MIN('Activities'!L748,132)-MAX('Activities'!K748,126))</x:f>
        <x:v>0</x:v>
      </x:c>
      <x:c r="AA748" s="22" t="n">
        <x:f>MAX(0,MIN('Activities'!L748,138)-MAX('Activities'!K748,132))</x:f>
        <x:v>0</x:v>
      </x:c>
      <x:c r="AB748" s="22" t="n">
        <x:f>MAX(0,MIN('Activities'!L748,144)-MAX('Activities'!K748,138))</x:f>
        <x:v>0</x:v>
      </x:c>
      <x:c r="AC748" s="22" t="n">
        <x:f>MAX(0,MIN('Activities'!L748,150)-MAX('Activities'!K748,144))</x:f>
        <x:v>0</x:v>
      </x:c>
      <x:c r="AD748" s="22" t="n">
        <x:f>MAX(0,MIN('Activities'!L748,156)-MAX('Activities'!K748,150))</x:f>
        <x:v>0</x:v>
      </x:c>
      <x:c r="AE748" s="22" t="n">
        <x:f>MAX(0,MIN('Activities'!L748,162)-MAX('Activities'!K748,156))</x:f>
        <x:v>0</x:v>
      </x:c>
      <x:c r="AF748" s="22" t="n">
        <x:f>MAX(0,MIN('Activities'!L748,168)-MAX('Activities'!K748,162))</x:f>
        <x:v>0</x:v>
      </x:c>
      <x:c r="AG748" s="22" t="n">
        <x:f>MAX(0,MIN('Activities'!L748,174)-MAX('Activities'!K748,168))</x:f>
        <x:v>0</x:v>
      </x:c>
      <x:c r="AH748" s="22" t="n">
        <x:f>MAX(0,MIN('Activities'!L748,180)-MAX('Activities'!K748,174))</x:f>
        <x:v>0</x:v>
      </x:c>
      <x:c r="AI748" s="22" t="n">
        <x:f>MAX(0,MIN('Activities'!L748,186)-MAX('Activities'!K748,180))</x:f>
        <x:v>0</x:v>
      </x:c>
      <x:c r="AJ748" s="22" t="n">
        <x:f>MAX(0,MIN('Activities'!L748,192)-MAX('Activities'!K748,186))</x:f>
        <x:v>0</x:v>
      </x:c>
      <x:c r="AK748" s="22" t="n">
        <x:f>MAX(0,MIN('Activities'!L748,198)-MAX('Activities'!K748,192))</x:f>
        <x:v>0</x:v>
      </x:c>
      <x:c r="AL748" s="22" t="n">
        <x:f>MAX(0,MIN('Activities'!L748,204)-MAX('Activities'!K748,198))</x:f>
        <x:v>0</x:v>
      </x:c>
      <x:c r="AM748" s="22" t="n">
        <x:f>MAX(0,MIN('Activities'!L748,210)-MAX('Activities'!K748,204))</x:f>
        <x:v>0</x:v>
      </x:c>
      <x:c r="AN748" s="22" t="n">
        <x:f>MAX(0,MIN('Activities'!L748,216)-MAX('Activities'!K748,210))</x:f>
        <x:v>0</x:v>
      </x:c>
      <x:c r="AO748" s="22" t="n">
        <x:f>MAX(0,MIN('Activities'!L748,222)-MAX('Activities'!K748,216))</x:f>
        <x:v>0</x:v>
      </x:c>
      <x:c r="AP748" s="22" t="n">
        <x:f>MAX(0,MIN('Activities'!L748,228)-MAX('Activities'!K748,222))</x:f>
        <x:v>0</x:v>
      </x:c>
      <x:c r="AQ748" s="22" t="n">
        <x:f>MAX(0,MIN('Activities'!L748,234)-MAX('Activities'!K748,228))</x:f>
        <x:v>0</x:v>
      </x:c>
      <x:c r="AR748" s="22" t="n">
        <x:f>MAX(0,MIN('Activities'!L748,240)-MAX('Activities'!K748,234))</x:f>
        <x:v>0</x:v>
      </x:c>
      <x:c r="AS748" s="22" t="n">
        <x:f>MAX(0,MIN('Activities'!L748,246)-MAX('Activities'!K748,240))</x:f>
        <x:v>0</x:v>
      </x:c>
      <x:c r="AT748" s="22" t="n">
        <x:f>MAX(0,MIN('Activities'!L748,252)-MAX('Activities'!K748,246))</x:f>
        <x:v>0</x:v>
      </x:c>
      <x:c r="AU748" s="22" t="n">
        <x:f>MAX(0,MIN('Activities'!L748,258)-MAX('Activities'!K748,252))</x:f>
        <x:v>0</x:v>
      </x:c>
      <x:c r="AV748" s="22" t="n">
        <x:f>MAX(0,MIN('Activities'!L748,264)-MAX('Activities'!K748,258))</x:f>
        <x:v>0</x:v>
      </x:c>
      <x:c r="AW748" s="22" t="n">
        <x:f>MAX(0,MIN('Activities'!L748,270)-MAX('Activities'!K748,264))</x:f>
        <x:v>0</x:v>
      </x:c>
      <x:c r="AX748" s="22" t="n">
        <x:f>MAX(0,MIN('Activities'!L748,276)-MAX('Activities'!K748,270))</x:f>
        <x:v>0</x:v>
      </x:c>
      <x:c r="AY748" s="22" t="n">
        <x:f>MAX(0,MIN('Activities'!L748,282)-MAX('Activities'!K748,276))</x:f>
        <x:v>0</x:v>
      </x:c>
      <x:c r="AZ748" s="22" t="n">
        <x:f>MAX(0,MIN('Activities'!L748,288)-MAX('Activities'!K748,282))</x:f>
        <x:v>0</x:v>
      </x:c>
      <x:c r="BA748" s="22" t="n">
        <x:f>MAX(0,MIN('Activities'!L748,294)-MAX('Activities'!K748,288))</x:f>
        <x:v>0</x:v>
      </x:c>
      <x:c r="BB748" s="22" t="n">
        <x:f>MAX(0,MIN('Activities'!L748,300)-MAX('Activities'!K748,294))</x:f>
        <x:v>0</x:v>
      </x:c>
      <x:c r="BC748" s="22" t="n">
        <x:f>MAX(0,MIN('Activities'!L748,306)-MAX('Activities'!K748,300))</x:f>
        <x:v>0</x:v>
      </x:c>
      <x:c r="BD748" s="22" t="n">
        <x:f>MAX(0,MIN('Activities'!L748,312)-MAX('Activities'!K748,306))</x:f>
        <x:v>5</x:v>
      </x:c>
      <x:c r="BE748" s="22" t="n">
        <x:f>MAX(0,MIN('Activities'!L748,318)-MAX('Activities'!K748,312))</x:f>
        <x:v>0</x:v>
      </x:c>
      <x:c r="BF748" s="22" t="n">
        <x:f>MAX(0,MIN('Activities'!L748,324)-MAX('Activities'!K748,318))</x:f>
        <x:v>0</x:v>
      </x:c>
      <x:c r="BG748" s="22" t="n">
        <x:f>MAX(0,MIN('Activities'!L748,330)-MAX('Activities'!K748,324))</x:f>
        <x:v>0</x:v>
      </x:c>
      <x:c r="BH748" s="22" t="n">
        <x:f>MAX(0,MIN('Activities'!L748,336)-MAX('Activities'!K748,330))</x:f>
        <x:v>0</x:v>
      </x:c>
      <x:c r="BI748" s="22" t="n">
        <x:f>MAX(0,MIN('Activities'!L748,342)-MAX('Activities'!K748,336))</x:f>
        <x:v>0</x:v>
      </x:c>
      <x:c r="BJ748" s="22" t="n">
        <x:f>MAX(0,MIN('Activities'!L748,348)-MAX('Activities'!K748,342))</x:f>
        <x:v>0</x:v>
      </x:c>
      <x:c r="BK748" s="22" t="n">
        <x:f>MAX(0,MIN('Activities'!L748,354)-MAX('Activities'!K748,348))</x:f>
        <x:v>0</x:v>
      </x:c>
      <x:c r="BL748" s="22" t="n">
        <x:f>MAX(0,MIN('Activities'!L748,360)-MAX('Activities'!K748,354))</x:f>
        <x:v>0</x:v>
      </x:c>
      <x:c r="BM748" s="22" t="n">
        <x:f>MAX(0,MIN('Activities'!L748,366)-MAX('Activities'!K748,360))</x:f>
        <x:v>0</x:v>
      </x:c>
      <x:c r="BN748" s="22" t="n">
        <x:f>MAX(0,MIN('Activities'!L748,372)-MAX('Activities'!K748,366))</x:f>
        <x:v>0</x:v>
      </x:c>
      <x:c r="BO748" s="22" t="n">
        <x:f>MAX(0,MIN('Activities'!L748,378)-MAX('Activities'!K748,372))</x:f>
        <x:v>0</x:v>
      </x:c>
      <x:c r="BP748" s="22" t="n">
        <x:f>MAX(0,MIN('Activities'!L748,384)-MAX('Activities'!K748,378))</x:f>
        <x:v>0</x:v>
      </x:c>
      <x:c r="BQ748" s="22" t="n">
        <x:f>MAX(0,MIN('Activities'!L748,390)-MAX('Activities'!K748,384))</x:f>
        <x:v>0</x:v>
      </x:c>
      <x:c r="BR748" s="22" t="n">
        <x:f>MAX(0,MIN('Activities'!L748,396)-MAX('Activities'!K748,390))</x:f>
        <x:v>0</x:v>
      </x:c>
      <x:c r="BS748" s="22" t="n">
        <x:f>MAX(0,MIN('Activities'!L748,402)-MAX('Activities'!K748,396))</x:f>
        <x:v>0</x:v>
      </x:c>
      <x:c r="BT748" s="22" t="n">
        <x:f>MAX(0,MIN('Activities'!L748,408)-MAX('Activities'!K748,402))</x:f>
        <x:v>0</x:v>
      </x:c>
      <x:c r="BU748" s="22" t="n">
        <x:f>MAX(0,MIN('Activities'!L748,414)-MAX('Activities'!K748,408))</x:f>
        <x:v>0</x:v>
      </x:c>
      <x:c r="BV748" s="22" t="n">
        <x:f>MAX(0,MIN('Activities'!L748,420)-MAX('Activities'!K748,414))</x:f>
        <x:v>0</x:v>
      </x:c>
      <x:c r="BW748" s="22" t="n">
        <x:f>MAX(0,MIN('Activities'!L748,426)-MAX('Activities'!K748,420))</x:f>
        <x:v>0</x:v>
      </x:c>
      <x:c r="BX748" s="22" t="n">
        <x:f>MAX(0,MIN('Activities'!L748,432)-MAX('Activities'!K748,426))</x:f>
        <x:v>0</x:v>
      </x:c>
      <x:c r="BY748" s="22" t="n">
        <x:f>MAX(0,MIN('Activities'!L748,438)-MAX('Activities'!K748,432))</x:f>
        <x:v>0</x:v>
      </x:c>
      <x:c r="BZ748" s="22" t="n">
        <x:f>MAX(0,MIN('Activities'!L748,444)-MAX('Activities'!K748,438))</x:f>
        <x:v>0</x:v>
      </x:c>
      <x:c r="CA748" s="22" t="n">
        <x:f>MAX(0,MIN('Activities'!L748,450)-MAX('Activities'!K748,444))</x:f>
        <x:v>0</x:v>
      </x:c>
      <x:c r="CB748" s="22" t="n">
        <x:f>MAX(0,MIN('Activities'!L748,456)-MAX('Activities'!K748,450))</x:f>
        <x:v>0</x:v>
      </x:c>
      <x:c r="CC748" s="22" t="n">
        <x:f>MAX(0,MIN('Activities'!L748,462)-MAX('Activities'!K748,456))</x:f>
        <x:v>0</x:v>
      </x:c>
      <x:c r="CD748" s="22" t="n">
        <x:f>MAX(0,MIN('Activities'!L748,468)-MAX('Activities'!K748,462))</x:f>
        <x:v>0</x:v>
      </x:c>
      <x:c r="CE748" s="22" t="n">
        <x:f>MAX(0,MIN('Activities'!L748,474)-MAX('Activities'!K748,468))</x:f>
        <x:v>0</x:v>
      </x:c>
      <x:c r="CF748" s="22" t="n">
        <x:f>MAX(0,MIN('Activities'!L748,480)-MAX('Activities'!K748,474))</x:f>
        <x:v>0</x:v>
      </x:c>
      <x:c r="CG748" s="22" t="n">
        <x:f>MAX(0,MIN('Activities'!L748,486)-MAX('Activities'!K748,480))</x:f>
        <x:v>0</x:v>
      </x:c>
      <x:c r="CH748" s="22" t="n">
        <x:f>MAX(0,MIN('Activities'!L748,492)-MAX('Activities'!K748,486))</x:f>
        <x:v>0</x:v>
      </x:c>
      <x:c r="CI748" s="22" t="n">
        <x:f>MAX(0,MIN('Activities'!L748,498)-MAX('Activities'!K748,492))</x:f>
        <x:v>0</x:v>
      </x:c>
      <x:c r="CJ748" s="22" t="n">
        <x:f>MAX(0,MIN('Activities'!L748,504)-MAX('Activities'!K748,498))</x:f>
        <x:v>0</x:v>
      </x:c>
      <x:c r="CK748" s="22" t="n">
        <x:f>MAX(0,MIN('Activities'!L748,510)-MAX('Activities'!K748,504))</x:f>
        <x:v>0</x:v>
      </x:c>
      <x:c r="CL748" s="22" t="n">
        <x:f>MAX(0,MIN('Activities'!L748,516)-MAX('Activities'!K748,510))</x:f>
        <x:v>0</x:v>
      </x:c>
      <x:c r="CM748" s="22" t="n">
        <x:f>MAX(0,MIN('Activities'!L748,522)-MAX('Activities'!K748,516))</x:f>
        <x:v>0</x:v>
      </x:c>
      <x:c r="CN748" s="22" t="n">
        <x:f>MAX(0,MIN('Activities'!L748,528)-MAX('Activities'!K748,522))</x:f>
        <x:v>0</x:v>
      </x:c>
      <x:c r="CO748" s="22" t="n">
        <x:f>MAX(0,MIN('Activities'!L748,534)-MAX('Activities'!K748,528))</x:f>
        <x:v>0</x:v>
      </x:c>
      <x:c r="CP748" s="22" t="n">
        <x:f>MAX(0,MIN('Activities'!L748,540)-MAX('Activities'!K748,534))</x:f>
        <x:v>0</x:v>
      </x:c>
      <x:c r="CQ748" s="22" t="n">
        <x:f>MAX(0,MIN('Activities'!L748,546)-MAX('Activities'!K748,540))</x:f>
        <x:v>0</x:v>
      </x:c>
      <x:c r="CR748" s="22" t="n">
        <x:f>MAX(0,MIN('Activities'!L748,552)-MAX('Activities'!K748,546))</x:f>
        <x:v>0</x:v>
      </x:c>
      <x:c r="CS748" s="22" t="n">
        <x:f>MAX(0,MIN('Activities'!L748,558)-MAX('Activities'!K748,552))</x:f>
        <x:v>0</x:v>
      </x:c>
      <x:c r="CT748" s="22" t="n">
        <x:f>MAX(0,MIN('Activities'!L748,564)-MAX('Activities'!K748,558))</x:f>
        <x:v>0</x:v>
      </x:c>
      <x:c r="CU748" s="22" t="n">
        <x:f>MAX(0,MIN('Activities'!L748,570)-MAX('Activities'!K748,564))</x:f>
        <x:v>0</x:v>
      </x:c>
      <x:c r="CV748" s="22" t="n">
        <x:f>MAX(0,MIN('Activities'!L748,576)-MAX('Activities'!K748,570))</x:f>
        <x:v>0</x:v>
      </x:c>
      <x:c r="CW748" s="22" t="n">
        <x:f>MAX(0,MIN('Activities'!L748,582)-MAX('Activities'!K748,576))</x:f>
        <x:v>0</x:v>
      </x:c>
      <x:c r="CX748" s="22" t="n">
        <x:f>MAX(0,MIN('Activities'!L748,588)-MAX('Activities'!K748,582))</x:f>
        <x:v>0</x:v>
      </x:c>
      <x:c r="CY748" s="22" t="n">
        <x:f>MAX(0,MIN('Activities'!L748,594)-MAX('Activities'!K748,588))</x:f>
        <x:v>0</x:v>
      </x:c>
      <x:c r="CZ748" s="22" t="n">
        <x:f>MAX(0,MIN('Activities'!L748,600)-MAX('Activities'!K748,594))</x:f>
        <x:v>0</x:v>
      </x:c>
      <x:c r="DA748" s="22" t="n">
        <x:f>MAX(0,MIN('Activities'!L748,606)-MAX('Activities'!K748,600))</x:f>
        <x:v>0</x:v>
      </x:c>
      <x:c r="DB748" s="22" t="n">
        <x:f>MAX(0,MIN('Activities'!L748,612)-MAX('Activities'!K748,606))</x:f>
        <x:v>0</x:v>
      </x:c>
      <x:c r="DC748" s="22" t="n">
        <x:f>MAX(0,MIN('Activities'!L748,618)-MAX('Activities'!K748,612))</x:f>
        <x:v>0</x:v>
      </x:c>
      <x:c r="DD748" s="22" t="n">
        <x:f>MAX(0,MIN('Activities'!L748,624)-MAX('Activities'!K748,618))</x:f>
        <x:v>0</x:v>
      </x:c>
      <x:c r="DE748" s="22" t="n">
        <x:f>MAX(0,MIN('Activities'!L748,630)-MAX('Activities'!K748,624))</x:f>
        <x:v>0</x:v>
      </x:c>
      <x:c r="DF748" s="22" t="n">
        <x:f>MAX(0,MIN('Activities'!L748,636)-MAX('Activities'!K748,630))</x:f>
        <x:v>0</x:v>
      </x:c>
    </x:row>
    <x:row r="749" ht="23" customHeight="1">
      <x:c r="A749" s="1" t="str">
        <x:v>T6-L02-P</x:v>
      </x:c>
      <x:c r="B749" s="1" t="str">
        <x:v>T6</x:v>
      </x:c>
      <x:c r="C749" s="1" t="str">
        <x:v>Internal plaster</x:v>
      </x:c>
      <x:c r="D749" s="1" t="str">
        <x:v>Finishes</x:v>
      </x:c>
      <x:c r="E749" s="23" t="n">
        <x:f>MAX(0,MIN('Activities'!L749,6)-MAX('Activities'!K749,0))</x:f>
        <x:v>0</x:v>
      </x:c>
      <x:c r="F749" s="23" t="n">
        <x:f>MAX(0,MIN('Activities'!L749,12)-MAX('Activities'!K749,6))</x:f>
        <x:v>0</x:v>
      </x:c>
      <x:c r="G749" s="23" t="n">
        <x:f>MAX(0,MIN('Activities'!L749,18)-MAX('Activities'!K749,12))</x:f>
        <x:v>0</x:v>
      </x:c>
      <x:c r="H749" s="23" t="n">
        <x:f>MAX(0,MIN('Activities'!L749,24)-MAX('Activities'!K749,18))</x:f>
        <x:v>0</x:v>
      </x:c>
      <x:c r="I749" s="23" t="n">
        <x:f>MAX(0,MIN('Activities'!L749,30)-MAX('Activities'!K749,24))</x:f>
        <x:v>0</x:v>
      </x:c>
      <x:c r="J749" s="23" t="n">
        <x:f>MAX(0,MIN('Activities'!L749,36)-MAX('Activities'!K749,30))</x:f>
        <x:v>0</x:v>
      </x:c>
      <x:c r="K749" s="23" t="n">
        <x:f>MAX(0,MIN('Activities'!L749,42)-MAX('Activities'!K749,36))</x:f>
        <x:v>0</x:v>
      </x:c>
      <x:c r="L749" s="23" t="n">
        <x:f>MAX(0,MIN('Activities'!L749,48)-MAX('Activities'!K749,42))</x:f>
        <x:v>0</x:v>
      </x:c>
      <x:c r="M749" s="23" t="n">
        <x:f>MAX(0,MIN('Activities'!L749,54)-MAX('Activities'!K749,48))</x:f>
        <x:v>0</x:v>
      </x:c>
      <x:c r="N749" s="23" t="n">
        <x:f>MAX(0,MIN('Activities'!L749,60)-MAX('Activities'!K749,54))</x:f>
        <x:v>0</x:v>
      </x:c>
      <x:c r="O749" s="23" t="n">
        <x:f>MAX(0,MIN('Activities'!L749,66)-MAX('Activities'!K749,60))</x:f>
        <x:v>0</x:v>
      </x:c>
      <x:c r="P749" s="23" t="n">
        <x:f>MAX(0,MIN('Activities'!L749,72)-MAX('Activities'!K749,66))</x:f>
        <x:v>0</x:v>
      </x:c>
      <x:c r="Q749" s="23" t="n">
        <x:f>MAX(0,MIN('Activities'!L749,78)-MAX('Activities'!K749,72))</x:f>
        <x:v>0</x:v>
      </x:c>
      <x:c r="R749" s="23" t="n">
        <x:f>MAX(0,MIN('Activities'!L749,84)-MAX('Activities'!K749,78))</x:f>
        <x:v>0</x:v>
      </x:c>
      <x:c r="S749" s="23" t="n">
        <x:f>MAX(0,MIN('Activities'!L749,90)-MAX('Activities'!K749,84))</x:f>
        <x:v>0</x:v>
      </x:c>
      <x:c r="T749" s="23" t="n">
        <x:f>MAX(0,MIN('Activities'!L749,96)-MAX('Activities'!K749,90))</x:f>
        <x:v>0</x:v>
      </x:c>
      <x:c r="U749" s="23" t="n">
        <x:f>MAX(0,MIN('Activities'!L749,102)-MAX('Activities'!K749,96))</x:f>
        <x:v>0</x:v>
      </x:c>
      <x:c r="V749" s="23" t="n">
        <x:f>MAX(0,MIN('Activities'!L749,108)-MAX('Activities'!K749,102))</x:f>
        <x:v>0</x:v>
      </x:c>
      <x:c r="W749" s="23" t="n">
        <x:f>MAX(0,MIN('Activities'!L749,114)-MAX('Activities'!K749,108))</x:f>
        <x:v>0</x:v>
      </x:c>
      <x:c r="X749" s="23" t="n">
        <x:f>MAX(0,MIN('Activities'!L749,120)-MAX('Activities'!K749,114))</x:f>
        <x:v>0</x:v>
      </x:c>
      <x:c r="Y749" s="23" t="n">
        <x:f>MAX(0,MIN('Activities'!L749,126)-MAX('Activities'!K749,120))</x:f>
        <x:v>0</x:v>
      </x:c>
      <x:c r="Z749" s="23" t="n">
        <x:f>MAX(0,MIN('Activities'!L749,132)-MAX('Activities'!K749,126))</x:f>
        <x:v>0</x:v>
      </x:c>
      <x:c r="AA749" s="23" t="n">
        <x:f>MAX(0,MIN('Activities'!L749,138)-MAX('Activities'!K749,132))</x:f>
        <x:v>0</x:v>
      </x:c>
      <x:c r="AB749" s="23" t="n">
        <x:f>MAX(0,MIN('Activities'!L749,144)-MAX('Activities'!K749,138))</x:f>
        <x:v>0</x:v>
      </x:c>
      <x:c r="AC749" s="23" t="n">
        <x:f>MAX(0,MIN('Activities'!L749,150)-MAX('Activities'!K749,144))</x:f>
        <x:v>0</x:v>
      </x:c>
      <x:c r="AD749" s="23" t="n">
        <x:f>MAX(0,MIN('Activities'!L749,156)-MAX('Activities'!K749,150))</x:f>
        <x:v>0</x:v>
      </x:c>
      <x:c r="AE749" s="23" t="n">
        <x:f>MAX(0,MIN('Activities'!L749,162)-MAX('Activities'!K749,156))</x:f>
        <x:v>0</x:v>
      </x:c>
      <x:c r="AF749" s="23" t="n">
        <x:f>MAX(0,MIN('Activities'!L749,168)-MAX('Activities'!K749,162))</x:f>
        <x:v>0</x:v>
      </x:c>
      <x:c r="AG749" s="23" t="n">
        <x:f>MAX(0,MIN('Activities'!L749,174)-MAX('Activities'!K749,168))</x:f>
        <x:v>0</x:v>
      </x:c>
      <x:c r="AH749" s="23" t="n">
        <x:f>MAX(0,MIN('Activities'!L749,180)-MAX('Activities'!K749,174))</x:f>
        <x:v>0</x:v>
      </x:c>
      <x:c r="AI749" s="23" t="n">
        <x:f>MAX(0,MIN('Activities'!L749,186)-MAX('Activities'!K749,180))</x:f>
        <x:v>0</x:v>
      </x:c>
      <x:c r="AJ749" s="23" t="n">
        <x:f>MAX(0,MIN('Activities'!L749,192)-MAX('Activities'!K749,186))</x:f>
        <x:v>0</x:v>
      </x:c>
      <x:c r="AK749" s="23" t="n">
        <x:f>MAX(0,MIN('Activities'!L749,198)-MAX('Activities'!K749,192))</x:f>
        <x:v>0</x:v>
      </x:c>
      <x:c r="AL749" s="23" t="n">
        <x:f>MAX(0,MIN('Activities'!L749,204)-MAX('Activities'!K749,198))</x:f>
        <x:v>0</x:v>
      </x:c>
      <x:c r="AM749" s="23" t="n">
        <x:f>MAX(0,MIN('Activities'!L749,210)-MAX('Activities'!K749,204))</x:f>
        <x:v>0</x:v>
      </x:c>
      <x:c r="AN749" s="23" t="n">
        <x:f>MAX(0,MIN('Activities'!L749,216)-MAX('Activities'!K749,210))</x:f>
        <x:v>0</x:v>
      </x:c>
      <x:c r="AO749" s="23" t="n">
        <x:f>MAX(0,MIN('Activities'!L749,222)-MAX('Activities'!K749,216))</x:f>
        <x:v>0</x:v>
      </x:c>
      <x:c r="AP749" s="23" t="n">
        <x:f>MAX(0,MIN('Activities'!L749,228)-MAX('Activities'!K749,222))</x:f>
        <x:v>0</x:v>
      </x:c>
      <x:c r="AQ749" s="23" t="n">
        <x:f>MAX(0,MIN('Activities'!L749,234)-MAX('Activities'!K749,228))</x:f>
        <x:v>0</x:v>
      </x:c>
      <x:c r="AR749" s="23" t="n">
        <x:f>MAX(0,MIN('Activities'!L749,240)-MAX('Activities'!K749,234))</x:f>
        <x:v>0</x:v>
      </x:c>
      <x:c r="AS749" s="23" t="n">
        <x:f>MAX(0,MIN('Activities'!L749,246)-MAX('Activities'!K749,240))</x:f>
        <x:v>0</x:v>
      </x:c>
      <x:c r="AT749" s="23" t="n">
        <x:f>MAX(0,MIN('Activities'!L749,252)-MAX('Activities'!K749,246))</x:f>
        <x:v>0</x:v>
      </x:c>
      <x:c r="AU749" s="23" t="n">
        <x:f>MAX(0,MIN('Activities'!L749,258)-MAX('Activities'!K749,252))</x:f>
        <x:v>0</x:v>
      </x:c>
      <x:c r="AV749" s="23" t="n">
        <x:f>MAX(0,MIN('Activities'!L749,264)-MAX('Activities'!K749,258))</x:f>
        <x:v>0</x:v>
      </x:c>
      <x:c r="AW749" s="23" t="n">
        <x:f>MAX(0,MIN('Activities'!L749,270)-MAX('Activities'!K749,264))</x:f>
        <x:v>0</x:v>
      </x:c>
      <x:c r="AX749" s="23" t="n">
        <x:f>MAX(0,MIN('Activities'!L749,276)-MAX('Activities'!K749,270))</x:f>
        <x:v>0</x:v>
      </x:c>
      <x:c r="AY749" s="23" t="n">
        <x:f>MAX(0,MIN('Activities'!L749,282)-MAX('Activities'!K749,276))</x:f>
        <x:v>0</x:v>
      </x:c>
      <x:c r="AZ749" s="23" t="n">
        <x:f>MAX(0,MIN('Activities'!L749,288)-MAX('Activities'!K749,282))</x:f>
        <x:v>0</x:v>
      </x:c>
      <x:c r="BA749" s="23" t="n">
        <x:f>MAX(0,MIN('Activities'!L749,294)-MAX('Activities'!K749,288))</x:f>
        <x:v>0</x:v>
      </x:c>
      <x:c r="BB749" s="23" t="n">
        <x:f>MAX(0,MIN('Activities'!L749,300)-MAX('Activities'!K749,294))</x:f>
        <x:v>0</x:v>
      </x:c>
      <x:c r="BC749" s="23" t="n">
        <x:f>MAX(0,MIN('Activities'!L749,306)-MAX('Activities'!K749,300))</x:f>
        <x:v>0</x:v>
      </x:c>
      <x:c r="BD749" s="23" t="n">
        <x:f>MAX(0,MIN('Activities'!L749,312)-MAX('Activities'!K749,306))</x:f>
        <x:v>0</x:v>
      </x:c>
      <x:c r="BE749" s="23" t="n">
        <x:f>MAX(0,MIN('Activities'!L749,318)-MAX('Activities'!K749,312))</x:f>
        <x:v>3</x:v>
      </x:c>
      <x:c r="BF749" s="23" t="n">
        <x:f>MAX(0,MIN('Activities'!L749,324)-MAX('Activities'!K749,318))</x:f>
        <x:v>3</x:v>
      </x:c>
      <x:c r="BG749" s="23" t="n">
        <x:f>MAX(0,MIN('Activities'!L749,330)-MAX('Activities'!K749,324))</x:f>
        <x:v>0</x:v>
      </x:c>
      <x:c r="BH749" s="23" t="n">
        <x:f>MAX(0,MIN('Activities'!L749,336)-MAX('Activities'!K749,330))</x:f>
        <x:v>0</x:v>
      </x:c>
      <x:c r="BI749" s="23" t="n">
        <x:f>MAX(0,MIN('Activities'!L749,342)-MAX('Activities'!K749,336))</x:f>
        <x:v>0</x:v>
      </x:c>
      <x:c r="BJ749" s="23" t="n">
        <x:f>MAX(0,MIN('Activities'!L749,348)-MAX('Activities'!K749,342))</x:f>
        <x:v>0</x:v>
      </x:c>
      <x:c r="BK749" s="23" t="n">
        <x:f>MAX(0,MIN('Activities'!L749,354)-MAX('Activities'!K749,348))</x:f>
        <x:v>0</x:v>
      </x:c>
      <x:c r="BL749" s="23" t="n">
        <x:f>MAX(0,MIN('Activities'!L749,360)-MAX('Activities'!K749,354))</x:f>
        <x:v>0</x:v>
      </x:c>
      <x:c r="BM749" s="23" t="n">
        <x:f>MAX(0,MIN('Activities'!L749,366)-MAX('Activities'!K749,360))</x:f>
        <x:v>0</x:v>
      </x:c>
      <x:c r="BN749" s="23" t="n">
        <x:f>MAX(0,MIN('Activities'!L749,372)-MAX('Activities'!K749,366))</x:f>
        <x:v>0</x:v>
      </x:c>
      <x:c r="BO749" s="23" t="n">
        <x:f>MAX(0,MIN('Activities'!L749,378)-MAX('Activities'!K749,372))</x:f>
        <x:v>0</x:v>
      </x:c>
      <x:c r="BP749" s="23" t="n">
        <x:f>MAX(0,MIN('Activities'!L749,384)-MAX('Activities'!K749,378))</x:f>
        <x:v>0</x:v>
      </x:c>
      <x:c r="BQ749" s="23" t="n">
        <x:f>MAX(0,MIN('Activities'!L749,390)-MAX('Activities'!K749,384))</x:f>
        <x:v>0</x:v>
      </x:c>
      <x:c r="BR749" s="23" t="n">
        <x:f>MAX(0,MIN('Activities'!L749,396)-MAX('Activities'!K749,390))</x:f>
        <x:v>0</x:v>
      </x:c>
      <x:c r="BS749" s="23" t="n">
        <x:f>MAX(0,MIN('Activities'!L749,402)-MAX('Activities'!K749,396))</x:f>
        <x:v>0</x:v>
      </x:c>
      <x:c r="BT749" s="23" t="n">
        <x:f>MAX(0,MIN('Activities'!L749,408)-MAX('Activities'!K749,402))</x:f>
        <x:v>0</x:v>
      </x:c>
      <x:c r="BU749" s="23" t="n">
        <x:f>MAX(0,MIN('Activities'!L749,414)-MAX('Activities'!K749,408))</x:f>
        <x:v>0</x:v>
      </x:c>
      <x:c r="BV749" s="23" t="n">
        <x:f>MAX(0,MIN('Activities'!L749,420)-MAX('Activities'!K749,414))</x:f>
        <x:v>0</x:v>
      </x:c>
      <x:c r="BW749" s="23" t="n">
        <x:f>MAX(0,MIN('Activities'!L749,426)-MAX('Activities'!K749,420))</x:f>
        <x:v>0</x:v>
      </x:c>
      <x:c r="BX749" s="23" t="n">
        <x:f>MAX(0,MIN('Activities'!L749,432)-MAX('Activities'!K749,426))</x:f>
        <x:v>0</x:v>
      </x:c>
      <x:c r="BY749" s="23" t="n">
        <x:f>MAX(0,MIN('Activities'!L749,438)-MAX('Activities'!K749,432))</x:f>
        <x:v>0</x:v>
      </x:c>
      <x:c r="BZ749" s="23" t="n">
        <x:f>MAX(0,MIN('Activities'!L749,444)-MAX('Activities'!K749,438))</x:f>
        <x:v>0</x:v>
      </x:c>
      <x:c r="CA749" s="23" t="n">
        <x:f>MAX(0,MIN('Activities'!L749,450)-MAX('Activities'!K749,444))</x:f>
        <x:v>0</x:v>
      </x:c>
      <x:c r="CB749" s="23" t="n">
        <x:f>MAX(0,MIN('Activities'!L749,456)-MAX('Activities'!K749,450))</x:f>
        <x:v>0</x:v>
      </x:c>
      <x:c r="CC749" s="23" t="n">
        <x:f>MAX(0,MIN('Activities'!L749,462)-MAX('Activities'!K749,456))</x:f>
        <x:v>0</x:v>
      </x:c>
      <x:c r="CD749" s="23" t="n">
        <x:f>MAX(0,MIN('Activities'!L749,468)-MAX('Activities'!K749,462))</x:f>
        <x:v>0</x:v>
      </x:c>
      <x:c r="CE749" s="23" t="n">
        <x:f>MAX(0,MIN('Activities'!L749,474)-MAX('Activities'!K749,468))</x:f>
        <x:v>0</x:v>
      </x:c>
      <x:c r="CF749" s="23" t="n">
        <x:f>MAX(0,MIN('Activities'!L749,480)-MAX('Activities'!K749,474))</x:f>
        <x:v>0</x:v>
      </x:c>
      <x:c r="CG749" s="23" t="n">
        <x:f>MAX(0,MIN('Activities'!L749,486)-MAX('Activities'!K749,480))</x:f>
        <x:v>0</x:v>
      </x:c>
      <x:c r="CH749" s="23" t="n">
        <x:f>MAX(0,MIN('Activities'!L749,492)-MAX('Activities'!K749,486))</x:f>
        <x:v>0</x:v>
      </x:c>
      <x:c r="CI749" s="23" t="n">
        <x:f>MAX(0,MIN('Activities'!L749,498)-MAX('Activities'!K749,492))</x:f>
        <x:v>0</x:v>
      </x:c>
      <x:c r="CJ749" s="23" t="n">
        <x:f>MAX(0,MIN('Activities'!L749,504)-MAX('Activities'!K749,498))</x:f>
        <x:v>0</x:v>
      </x:c>
      <x:c r="CK749" s="23" t="n">
        <x:f>MAX(0,MIN('Activities'!L749,510)-MAX('Activities'!K749,504))</x:f>
        <x:v>0</x:v>
      </x:c>
      <x:c r="CL749" s="23" t="n">
        <x:f>MAX(0,MIN('Activities'!L749,516)-MAX('Activities'!K749,510))</x:f>
        <x:v>0</x:v>
      </x:c>
      <x:c r="CM749" s="23" t="n">
        <x:f>MAX(0,MIN('Activities'!L749,522)-MAX('Activities'!K749,516))</x:f>
        <x:v>0</x:v>
      </x:c>
      <x:c r="CN749" s="23" t="n">
        <x:f>MAX(0,MIN('Activities'!L749,528)-MAX('Activities'!K749,522))</x:f>
        <x:v>0</x:v>
      </x:c>
      <x:c r="CO749" s="23" t="n">
        <x:f>MAX(0,MIN('Activities'!L749,534)-MAX('Activities'!K749,528))</x:f>
        <x:v>0</x:v>
      </x:c>
      <x:c r="CP749" s="23" t="n">
        <x:f>MAX(0,MIN('Activities'!L749,540)-MAX('Activities'!K749,534))</x:f>
        <x:v>0</x:v>
      </x:c>
      <x:c r="CQ749" s="23" t="n">
        <x:f>MAX(0,MIN('Activities'!L749,546)-MAX('Activities'!K749,540))</x:f>
        <x:v>0</x:v>
      </x:c>
      <x:c r="CR749" s="23" t="n">
        <x:f>MAX(0,MIN('Activities'!L749,552)-MAX('Activities'!K749,546))</x:f>
        <x:v>0</x:v>
      </x:c>
      <x:c r="CS749" s="23" t="n">
        <x:f>MAX(0,MIN('Activities'!L749,558)-MAX('Activities'!K749,552))</x:f>
        <x:v>0</x:v>
      </x:c>
      <x:c r="CT749" s="23" t="n">
        <x:f>MAX(0,MIN('Activities'!L749,564)-MAX('Activities'!K749,558))</x:f>
        <x:v>0</x:v>
      </x:c>
      <x:c r="CU749" s="23" t="n">
        <x:f>MAX(0,MIN('Activities'!L749,570)-MAX('Activities'!K749,564))</x:f>
        <x:v>0</x:v>
      </x:c>
      <x:c r="CV749" s="23" t="n">
        <x:f>MAX(0,MIN('Activities'!L749,576)-MAX('Activities'!K749,570))</x:f>
        <x:v>0</x:v>
      </x:c>
      <x:c r="CW749" s="23" t="n">
        <x:f>MAX(0,MIN('Activities'!L749,582)-MAX('Activities'!K749,576))</x:f>
        <x:v>0</x:v>
      </x:c>
      <x:c r="CX749" s="23" t="n">
        <x:f>MAX(0,MIN('Activities'!L749,588)-MAX('Activities'!K749,582))</x:f>
        <x:v>0</x:v>
      </x:c>
      <x:c r="CY749" s="23" t="n">
        <x:f>MAX(0,MIN('Activities'!L749,594)-MAX('Activities'!K749,588))</x:f>
        <x:v>0</x:v>
      </x:c>
      <x:c r="CZ749" s="23" t="n">
        <x:f>MAX(0,MIN('Activities'!L749,600)-MAX('Activities'!K749,594))</x:f>
        <x:v>0</x:v>
      </x:c>
      <x:c r="DA749" s="23" t="n">
        <x:f>MAX(0,MIN('Activities'!L749,606)-MAX('Activities'!K749,600))</x:f>
        <x:v>0</x:v>
      </x:c>
      <x:c r="DB749" s="23" t="n">
        <x:f>MAX(0,MIN('Activities'!L749,612)-MAX('Activities'!K749,606))</x:f>
        <x:v>0</x:v>
      </x:c>
      <x:c r="DC749" s="23" t="n">
        <x:f>MAX(0,MIN('Activities'!L749,618)-MAX('Activities'!K749,612))</x:f>
        <x:v>0</x:v>
      </x:c>
      <x:c r="DD749" s="23" t="n">
        <x:f>MAX(0,MIN('Activities'!L749,624)-MAX('Activities'!K749,618))</x:f>
        <x:v>0</x:v>
      </x:c>
      <x:c r="DE749" s="23" t="n">
        <x:f>MAX(0,MIN('Activities'!L749,630)-MAX('Activities'!K749,624))</x:f>
        <x:v>0</x:v>
      </x:c>
      <x:c r="DF749" s="23" t="n">
        <x:f>MAX(0,MIN('Activities'!L749,636)-MAX('Activities'!K749,630))</x:f>
        <x:v>0</x:v>
      </x:c>
    </x:row>
    <x:row r="750" ht="23" customHeight="1">
      <x:c r="A750" s="6" t="str">
        <x:v>T6-L02-S</x:v>
      </x:c>
      <x:c r="B750" s="6" t="str">
        <x:v>T6</x:v>
      </x:c>
      <x:c r="C750" s="6" t="str">
        <x:v>Screed and substrate preparation</x:v>
      </x:c>
      <x:c r="D750" s="6" t="str">
        <x:v>Finishes</x:v>
      </x:c>
      <x:c r="E750" s="22" t="n">
        <x:f>MAX(0,MIN('Activities'!L750,6)-MAX('Activities'!K750,0))</x:f>
        <x:v>0</x:v>
      </x:c>
      <x:c r="F750" s="22" t="n">
        <x:f>MAX(0,MIN('Activities'!L750,12)-MAX('Activities'!K750,6))</x:f>
        <x:v>0</x:v>
      </x:c>
      <x:c r="G750" s="22" t="n">
        <x:f>MAX(0,MIN('Activities'!L750,18)-MAX('Activities'!K750,12))</x:f>
        <x:v>0</x:v>
      </x:c>
      <x:c r="H750" s="22" t="n">
        <x:f>MAX(0,MIN('Activities'!L750,24)-MAX('Activities'!K750,18))</x:f>
        <x:v>0</x:v>
      </x:c>
      <x:c r="I750" s="22" t="n">
        <x:f>MAX(0,MIN('Activities'!L750,30)-MAX('Activities'!K750,24))</x:f>
        <x:v>0</x:v>
      </x:c>
      <x:c r="J750" s="22" t="n">
        <x:f>MAX(0,MIN('Activities'!L750,36)-MAX('Activities'!K750,30))</x:f>
        <x:v>0</x:v>
      </x:c>
      <x:c r="K750" s="22" t="n">
        <x:f>MAX(0,MIN('Activities'!L750,42)-MAX('Activities'!K750,36))</x:f>
        <x:v>0</x:v>
      </x:c>
      <x:c r="L750" s="22" t="n">
        <x:f>MAX(0,MIN('Activities'!L750,48)-MAX('Activities'!K750,42))</x:f>
        <x:v>0</x:v>
      </x:c>
      <x:c r="M750" s="22" t="n">
        <x:f>MAX(0,MIN('Activities'!L750,54)-MAX('Activities'!K750,48))</x:f>
        <x:v>0</x:v>
      </x:c>
      <x:c r="N750" s="22" t="n">
        <x:f>MAX(0,MIN('Activities'!L750,60)-MAX('Activities'!K750,54))</x:f>
        <x:v>0</x:v>
      </x:c>
      <x:c r="O750" s="22" t="n">
        <x:f>MAX(0,MIN('Activities'!L750,66)-MAX('Activities'!K750,60))</x:f>
        <x:v>0</x:v>
      </x:c>
      <x:c r="P750" s="22" t="n">
        <x:f>MAX(0,MIN('Activities'!L750,72)-MAX('Activities'!K750,66))</x:f>
        <x:v>0</x:v>
      </x:c>
      <x:c r="Q750" s="22" t="n">
        <x:f>MAX(0,MIN('Activities'!L750,78)-MAX('Activities'!K750,72))</x:f>
        <x:v>0</x:v>
      </x:c>
      <x:c r="R750" s="22" t="n">
        <x:f>MAX(0,MIN('Activities'!L750,84)-MAX('Activities'!K750,78))</x:f>
        <x:v>0</x:v>
      </x:c>
      <x:c r="S750" s="22" t="n">
        <x:f>MAX(0,MIN('Activities'!L750,90)-MAX('Activities'!K750,84))</x:f>
        <x:v>0</x:v>
      </x:c>
      <x:c r="T750" s="22" t="n">
        <x:f>MAX(0,MIN('Activities'!L750,96)-MAX('Activities'!K750,90))</x:f>
        <x:v>0</x:v>
      </x:c>
      <x:c r="U750" s="22" t="n">
        <x:f>MAX(0,MIN('Activities'!L750,102)-MAX('Activities'!K750,96))</x:f>
        <x:v>0</x:v>
      </x:c>
      <x:c r="V750" s="22" t="n">
        <x:f>MAX(0,MIN('Activities'!L750,108)-MAX('Activities'!K750,102))</x:f>
        <x:v>0</x:v>
      </x:c>
      <x:c r="W750" s="22" t="n">
        <x:f>MAX(0,MIN('Activities'!L750,114)-MAX('Activities'!K750,108))</x:f>
        <x:v>0</x:v>
      </x:c>
      <x:c r="X750" s="22" t="n">
        <x:f>MAX(0,MIN('Activities'!L750,120)-MAX('Activities'!K750,114))</x:f>
        <x:v>0</x:v>
      </x:c>
      <x:c r="Y750" s="22" t="n">
        <x:f>MAX(0,MIN('Activities'!L750,126)-MAX('Activities'!K750,120))</x:f>
        <x:v>0</x:v>
      </x:c>
      <x:c r="Z750" s="22" t="n">
        <x:f>MAX(0,MIN('Activities'!L750,132)-MAX('Activities'!K750,126))</x:f>
        <x:v>0</x:v>
      </x:c>
      <x:c r="AA750" s="22" t="n">
        <x:f>MAX(0,MIN('Activities'!L750,138)-MAX('Activities'!K750,132))</x:f>
        <x:v>0</x:v>
      </x:c>
      <x:c r="AB750" s="22" t="n">
        <x:f>MAX(0,MIN('Activities'!L750,144)-MAX('Activities'!K750,138))</x:f>
        <x:v>0</x:v>
      </x:c>
      <x:c r="AC750" s="22" t="n">
        <x:f>MAX(0,MIN('Activities'!L750,150)-MAX('Activities'!K750,144))</x:f>
        <x:v>0</x:v>
      </x:c>
      <x:c r="AD750" s="22" t="n">
        <x:f>MAX(0,MIN('Activities'!L750,156)-MAX('Activities'!K750,150))</x:f>
        <x:v>0</x:v>
      </x:c>
      <x:c r="AE750" s="22" t="n">
        <x:f>MAX(0,MIN('Activities'!L750,162)-MAX('Activities'!K750,156))</x:f>
        <x:v>0</x:v>
      </x:c>
      <x:c r="AF750" s="22" t="n">
        <x:f>MAX(0,MIN('Activities'!L750,168)-MAX('Activities'!K750,162))</x:f>
        <x:v>0</x:v>
      </x:c>
      <x:c r="AG750" s="22" t="n">
        <x:f>MAX(0,MIN('Activities'!L750,174)-MAX('Activities'!K750,168))</x:f>
        <x:v>0</x:v>
      </x:c>
      <x:c r="AH750" s="22" t="n">
        <x:f>MAX(0,MIN('Activities'!L750,180)-MAX('Activities'!K750,174))</x:f>
        <x:v>0</x:v>
      </x:c>
      <x:c r="AI750" s="22" t="n">
        <x:f>MAX(0,MIN('Activities'!L750,186)-MAX('Activities'!K750,180))</x:f>
        <x:v>0</x:v>
      </x:c>
      <x:c r="AJ750" s="22" t="n">
        <x:f>MAX(0,MIN('Activities'!L750,192)-MAX('Activities'!K750,186))</x:f>
        <x:v>0</x:v>
      </x:c>
      <x:c r="AK750" s="22" t="n">
        <x:f>MAX(0,MIN('Activities'!L750,198)-MAX('Activities'!K750,192))</x:f>
        <x:v>0</x:v>
      </x:c>
      <x:c r="AL750" s="22" t="n">
        <x:f>MAX(0,MIN('Activities'!L750,204)-MAX('Activities'!K750,198))</x:f>
        <x:v>0</x:v>
      </x:c>
      <x:c r="AM750" s="22" t="n">
        <x:f>MAX(0,MIN('Activities'!L750,210)-MAX('Activities'!K750,204))</x:f>
        <x:v>0</x:v>
      </x:c>
      <x:c r="AN750" s="22" t="n">
        <x:f>MAX(0,MIN('Activities'!L750,216)-MAX('Activities'!K750,210))</x:f>
        <x:v>0</x:v>
      </x:c>
      <x:c r="AO750" s="22" t="n">
        <x:f>MAX(0,MIN('Activities'!L750,222)-MAX('Activities'!K750,216))</x:f>
        <x:v>0</x:v>
      </x:c>
      <x:c r="AP750" s="22" t="n">
        <x:f>MAX(0,MIN('Activities'!L750,228)-MAX('Activities'!K750,222))</x:f>
        <x:v>0</x:v>
      </x:c>
      <x:c r="AQ750" s="22" t="n">
        <x:f>MAX(0,MIN('Activities'!L750,234)-MAX('Activities'!K750,228))</x:f>
        <x:v>0</x:v>
      </x:c>
      <x:c r="AR750" s="22" t="n">
        <x:f>MAX(0,MIN('Activities'!L750,240)-MAX('Activities'!K750,234))</x:f>
        <x:v>0</x:v>
      </x:c>
      <x:c r="AS750" s="22" t="n">
        <x:f>MAX(0,MIN('Activities'!L750,246)-MAX('Activities'!K750,240))</x:f>
        <x:v>0</x:v>
      </x:c>
      <x:c r="AT750" s="22" t="n">
        <x:f>MAX(0,MIN('Activities'!L750,252)-MAX('Activities'!K750,246))</x:f>
        <x:v>0</x:v>
      </x:c>
      <x:c r="AU750" s="22" t="n">
        <x:f>MAX(0,MIN('Activities'!L750,258)-MAX('Activities'!K750,252))</x:f>
        <x:v>0</x:v>
      </x:c>
      <x:c r="AV750" s="22" t="n">
        <x:f>MAX(0,MIN('Activities'!L750,264)-MAX('Activities'!K750,258))</x:f>
        <x:v>0</x:v>
      </x:c>
      <x:c r="AW750" s="22" t="n">
        <x:f>MAX(0,MIN('Activities'!L750,270)-MAX('Activities'!K750,264))</x:f>
        <x:v>0</x:v>
      </x:c>
      <x:c r="AX750" s="22" t="n">
        <x:f>MAX(0,MIN('Activities'!L750,276)-MAX('Activities'!K750,270))</x:f>
        <x:v>0</x:v>
      </x:c>
      <x:c r="AY750" s="22" t="n">
        <x:f>MAX(0,MIN('Activities'!L750,282)-MAX('Activities'!K750,276))</x:f>
        <x:v>0</x:v>
      </x:c>
      <x:c r="AZ750" s="22" t="n">
        <x:f>MAX(0,MIN('Activities'!L750,288)-MAX('Activities'!K750,282))</x:f>
        <x:v>0</x:v>
      </x:c>
      <x:c r="BA750" s="22" t="n">
        <x:f>MAX(0,MIN('Activities'!L750,294)-MAX('Activities'!K750,288))</x:f>
        <x:v>0</x:v>
      </x:c>
      <x:c r="BB750" s="22" t="n">
        <x:f>MAX(0,MIN('Activities'!L750,300)-MAX('Activities'!K750,294))</x:f>
        <x:v>0</x:v>
      </x:c>
      <x:c r="BC750" s="22" t="n">
        <x:f>MAX(0,MIN('Activities'!L750,306)-MAX('Activities'!K750,300))</x:f>
        <x:v>0</x:v>
      </x:c>
      <x:c r="BD750" s="22" t="n">
        <x:f>MAX(0,MIN('Activities'!L750,312)-MAX('Activities'!K750,306))</x:f>
        <x:v>0</x:v>
      </x:c>
      <x:c r="BE750" s="22" t="n">
        <x:f>MAX(0,MIN('Activities'!L750,318)-MAX('Activities'!K750,312))</x:f>
        <x:v>0</x:v>
      </x:c>
      <x:c r="BF750" s="22" t="n">
        <x:f>MAX(0,MIN('Activities'!L750,324)-MAX('Activities'!K750,318))</x:f>
        <x:v>1</x:v>
      </x:c>
      <x:c r="BG750" s="22" t="n">
        <x:f>MAX(0,MIN('Activities'!L750,330)-MAX('Activities'!K750,324))</x:f>
        <x:v>2</x:v>
      </x:c>
      <x:c r="BH750" s="22" t="n">
        <x:f>MAX(0,MIN('Activities'!L750,336)-MAX('Activities'!K750,330))</x:f>
        <x:v>0</x:v>
      </x:c>
      <x:c r="BI750" s="22" t="n">
        <x:f>MAX(0,MIN('Activities'!L750,342)-MAX('Activities'!K750,336))</x:f>
        <x:v>0</x:v>
      </x:c>
      <x:c r="BJ750" s="22" t="n">
        <x:f>MAX(0,MIN('Activities'!L750,348)-MAX('Activities'!K750,342))</x:f>
        <x:v>0</x:v>
      </x:c>
      <x:c r="BK750" s="22" t="n">
        <x:f>MAX(0,MIN('Activities'!L750,354)-MAX('Activities'!K750,348))</x:f>
        <x:v>0</x:v>
      </x:c>
      <x:c r="BL750" s="22" t="n">
        <x:f>MAX(0,MIN('Activities'!L750,360)-MAX('Activities'!K750,354))</x:f>
        <x:v>0</x:v>
      </x:c>
      <x:c r="BM750" s="22" t="n">
        <x:f>MAX(0,MIN('Activities'!L750,366)-MAX('Activities'!K750,360))</x:f>
        <x:v>0</x:v>
      </x:c>
      <x:c r="BN750" s="22" t="n">
        <x:f>MAX(0,MIN('Activities'!L750,372)-MAX('Activities'!K750,366))</x:f>
        <x:v>0</x:v>
      </x:c>
      <x:c r="BO750" s="22" t="n">
        <x:f>MAX(0,MIN('Activities'!L750,378)-MAX('Activities'!K750,372))</x:f>
        <x:v>0</x:v>
      </x:c>
      <x:c r="BP750" s="22" t="n">
        <x:f>MAX(0,MIN('Activities'!L750,384)-MAX('Activities'!K750,378))</x:f>
        <x:v>0</x:v>
      </x:c>
      <x:c r="BQ750" s="22" t="n">
        <x:f>MAX(0,MIN('Activities'!L750,390)-MAX('Activities'!K750,384))</x:f>
        <x:v>0</x:v>
      </x:c>
      <x:c r="BR750" s="22" t="n">
        <x:f>MAX(0,MIN('Activities'!L750,396)-MAX('Activities'!K750,390))</x:f>
        <x:v>0</x:v>
      </x:c>
      <x:c r="BS750" s="22" t="n">
        <x:f>MAX(0,MIN('Activities'!L750,402)-MAX('Activities'!K750,396))</x:f>
        <x:v>0</x:v>
      </x:c>
      <x:c r="BT750" s="22" t="n">
        <x:f>MAX(0,MIN('Activities'!L750,408)-MAX('Activities'!K750,402))</x:f>
        <x:v>0</x:v>
      </x:c>
      <x:c r="BU750" s="22" t="n">
        <x:f>MAX(0,MIN('Activities'!L750,414)-MAX('Activities'!K750,408))</x:f>
        <x:v>0</x:v>
      </x:c>
      <x:c r="BV750" s="22" t="n">
        <x:f>MAX(0,MIN('Activities'!L750,420)-MAX('Activities'!K750,414))</x:f>
        <x:v>0</x:v>
      </x:c>
      <x:c r="BW750" s="22" t="n">
        <x:f>MAX(0,MIN('Activities'!L750,426)-MAX('Activities'!K750,420))</x:f>
        <x:v>0</x:v>
      </x:c>
      <x:c r="BX750" s="22" t="n">
        <x:f>MAX(0,MIN('Activities'!L750,432)-MAX('Activities'!K750,426))</x:f>
        <x:v>0</x:v>
      </x:c>
      <x:c r="BY750" s="22" t="n">
        <x:f>MAX(0,MIN('Activities'!L750,438)-MAX('Activities'!K750,432))</x:f>
        <x:v>0</x:v>
      </x:c>
      <x:c r="BZ750" s="22" t="n">
        <x:f>MAX(0,MIN('Activities'!L750,444)-MAX('Activities'!K750,438))</x:f>
        <x:v>0</x:v>
      </x:c>
      <x:c r="CA750" s="22" t="n">
        <x:f>MAX(0,MIN('Activities'!L750,450)-MAX('Activities'!K750,444))</x:f>
        <x:v>0</x:v>
      </x:c>
      <x:c r="CB750" s="22" t="n">
        <x:f>MAX(0,MIN('Activities'!L750,456)-MAX('Activities'!K750,450))</x:f>
        <x:v>0</x:v>
      </x:c>
      <x:c r="CC750" s="22" t="n">
        <x:f>MAX(0,MIN('Activities'!L750,462)-MAX('Activities'!K750,456))</x:f>
        <x:v>0</x:v>
      </x:c>
      <x:c r="CD750" s="22" t="n">
        <x:f>MAX(0,MIN('Activities'!L750,468)-MAX('Activities'!K750,462))</x:f>
        <x:v>0</x:v>
      </x:c>
      <x:c r="CE750" s="22" t="n">
        <x:f>MAX(0,MIN('Activities'!L750,474)-MAX('Activities'!K750,468))</x:f>
        <x:v>0</x:v>
      </x:c>
      <x:c r="CF750" s="22" t="n">
        <x:f>MAX(0,MIN('Activities'!L750,480)-MAX('Activities'!K750,474))</x:f>
        <x:v>0</x:v>
      </x:c>
      <x:c r="CG750" s="22" t="n">
        <x:f>MAX(0,MIN('Activities'!L750,486)-MAX('Activities'!K750,480))</x:f>
        <x:v>0</x:v>
      </x:c>
      <x:c r="CH750" s="22" t="n">
        <x:f>MAX(0,MIN('Activities'!L750,492)-MAX('Activities'!K750,486))</x:f>
        <x:v>0</x:v>
      </x:c>
      <x:c r="CI750" s="22" t="n">
        <x:f>MAX(0,MIN('Activities'!L750,498)-MAX('Activities'!K750,492))</x:f>
        <x:v>0</x:v>
      </x:c>
      <x:c r="CJ750" s="22" t="n">
        <x:f>MAX(0,MIN('Activities'!L750,504)-MAX('Activities'!K750,498))</x:f>
        <x:v>0</x:v>
      </x:c>
      <x:c r="CK750" s="22" t="n">
        <x:f>MAX(0,MIN('Activities'!L750,510)-MAX('Activities'!K750,504))</x:f>
        <x:v>0</x:v>
      </x:c>
      <x:c r="CL750" s="22" t="n">
        <x:f>MAX(0,MIN('Activities'!L750,516)-MAX('Activities'!K750,510))</x:f>
        <x:v>0</x:v>
      </x:c>
      <x:c r="CM750" s="22" t="n">
        <x:f>MAX(0,MIN('Activities'!L750,522)-MAX('Activities'!K750,516))</x:f>
        <x:v>0</x:v>
      </x:c>
      <x:c r="CN750" s="22" t="n">
        <x:f>MAX(0,MIN('Activities'!L750,528)-MAX('Activities'!K750,522))</x:f>
        <x:v>0</x:v>
      </x:c>
      <x:c r="CO750" s="22" t="n">
        <x:f>MAX(0,MIN('Activities'!L750,534)-MAX('Activities'!K750,528))</x:f>
        <x:v>0</x:v>
      </x:c>
      <x:c r="CP750" s="22" t="n">
        <x:f>MAX(0,MIN('Activities'!L750,540)-MAX('Activities'!K750,534))</x:f>
        <x:v>0</x:v>
      </x:c>
      <x:c r="CQ750" s="22" t="n">
        <x:f>MAX(0,MIN('Activities'!L750,546)-MAX('Activities'!K750,540))</x:f>
        <x:v>0</x:v>
      </x:c>
      <x:c r="CR750" s="22" t="n">
        <x:f>MAX(0,MIN('Activities'!L750,552)-MAX('Activities'!K750,546))</x:f>
        <x:v>0</x:v>
      </x:c>
      <x:c r="CS750" s="22" t="n">
        <x:f>MAX(0,MIN('Activities'!L750,558)-MAX('Activities'!K750,552))</x:f>
        <x:v>0</x:v>
      </x:c>
      <x:c r="CT750" s="22" t="n">
        <x:f>MAX(0,MIN('Activities'!L750,564)-MAX('Activities'!K750,558))</x:f>
        <x:v>0</x:v>
      </x:c>
      <x:c r="CU750" s="22" t="n">
        <x:f>MAX(0,MIN('Activities'!L750,570)-MAX('Activities'!K750,564))</x:f>
        <x:v>0</x:v>
      </x:c>
      <x:c r="CV750" s="22" t="n">
        <x:f>MAX(0,MIN('Activities'!L750,576)-MAX('Activities'!K750,570))</x:f>
        <x:v>0</x:v>
      </x:c>
      <x:c r="CW750" s="22" t="n">
        <x:f>MAX(0,MIN('Activities'!L750,582)-MAX('Activities'!K750,576))</x:f>
        <x:v>0</x:v>
      </x:c>
      <x:c r="CX750" s="22" t="n">
        <x:f>MAX(0,MIN('Activities'!L750,588)-MAX('Activities'!K750,582))</x:f>
        <x:v>0</x:v>
      </x:c>
      <x:c r="CY750" s="22" t="n">
        <x:f>MAX(0,MIN('Activities'!L750,594)-MAX('Activities'!K750,588))</x:f>
        <x:v>0</x:v>
      </x:c>
      <x:c r="CZ750" s="22" t="n">
        <x:f>MAX(0,MIN('Activities'!L750,600)-MAX('Activities'!K750,594))</x:f>
        <x:v>0</x:v>
      </x:c>
      <x:c r="DA750" s="22" t="n">
        <x:f>MAX(0,MIN('Activities'!L750,606)-MAX('Activities'!K750,600))</x:f>
        <x:v>0</x:v>
      </x:c>
      <x:c r="DB750" s="22" t="n">
        <x:f>MAX(0,MIN('Activities'!L750,612)-MAX('Activities'!K750,606))</x:f>
        <x:v>0</x:v>
      </x:c>
      <x:c r="DC750" s="22" t="n">
        <x:f>MAX(0,MIN('Activities'!L750,618)-MAX('Activities'!K750,612))</x:f>
        <x:v>0</x:v>
      </x:c>
      <x:c r="DD750" s="22" t="n">
        <x:f>MAX(0,MIN('Activities'!L750,624)-MAX('Activities'!K750,618))</x:f>
        <x:v>0</x:v>
      </x:c>
      <x:c r="DE750" s="22" t="n">
        <x:f>MAX(0,MIN('Activities'!L750,630)-MAX('Activities'!K750,624))</x:f>
        <x:v>0</x:v>
      </x:c>
      <x:c r="DF750" s="22" t="n">
        <x:f>MAX(0,MIN('Activities'!L750,636)-MAX('Activities'!K750,630))</x:f>
        <x:v>0</x:v>
      </x:c>
    </x:row>
    <x:row r="751" ht="23" customHeight="1">
      <x:c r="A751" s="1" t="str">
        <x:v>T6-L02-T</x:v>
      </x:c>
      <x:c r="B751" s="1" t="str">
        <x:v>T6</x:v>
      </x:c>
      <x:c r="C751" s="1" t="str">
        <x:v>Floor finishes and skirtings</x:v>
      </x:c>
      <x:c r="D751" s="1" t="str">
        <x:v>Finishes</x:v>
      </x:c>
      <x:c r="E751" s="23" t="n">
        <x:f>MAX(0,MIN('Activities'!L751,6)-MAX('Activities'!K751,0))</x:f>
        <x:v>0</x:v>
      </x:c>
      <x:c r="F751" s="23" t="n">
        <x:f>MAX(0,MIN('Activities'!L751,12)-MAX('Activities'!K751,6))</x:f>
        <x:v>0</x:v>
      </x:c>
      <x:c r="G751" s="23" t="n">
        <x:f>MAX(0,MIN('Activities'!L751,18)-MAX('Activities'!K751,12))</x:f>
        <x:v>0</x:v>
      </x:c>
      <x:c r="H751" s="23" t="n">
        <x:f>MAX(0,MIN('Activities'!L751,24)-MAX('Activities'!K751,18))</x:f>
        <x:v>0</x:v>
      </x:c>
      <x:c r="I751" s="23" t="n">
        <x:f>MAX(0,MIN('Activities'!L751,30)-MAX('Activities'!K751,24))</x:f>
        <x:v>0</x:v>
      </x:c>
      <x:c r="J751" s="23" t="n">
        <x:f>MAX(0,MIN('Activities'!L751,36)-MAX('Activities'!K751,30))</x:f>
        <x:v>0</x:v>
      </x:c>
      <x:c r="K751" s="23" t="n">
        <x:f>MAX(0,MIN('Activities'!L751,42)-MAX('Activities'!K751,36))</x:f>
        <x:v>0</x:v>
      </x:c>
      <x:c r="L751" s="23" t="n">
        <x:f>MAX(0,MIN('Activities'!L751,48)-MAX('Activities'!K751,42))</x:f>
        <x:v>0</x:v>
      </x:c>
      <x:c r="M751" s="23" t="n">
        <x:f>MAX(0,MIN('Activities'!L751,54)-MAX('Activities'!K751,48))</x:f>
        <x:v>0</x:v>
      </x:c>
      <x:c r="N751" s="23" t="n">
        <x:f>MAX(0,MIN('Activities'!L751,60)-MAX('Activities'!K751,54))</x:f>
        <x:v>0</x:v>
      </x:c>
      <x:c r="O751" s="23" t="n">
        <x:f>MAX(0,MIN('Activities'!L751,66)-MAX('Activities'!K751,60))</x:f>
        <x:v>0</x:v>
      </x:c>
      <x:c r="P751" s="23" t="n">
        <x:f>MAX(0,MIN('Activities'!L751,72)-MAX('Activities'!K751,66))</x:f>
        <x:v>0</x:v>
      </x:c>
      <x:c r="Q751" s="23" t="n">
        <x:f>MAX(0,MIN('Activities'!L751,78)-MAX('Activities'!K751,72))</x:f>
        <x:v>0</x:v>
      </x:c>
      <x:c r="R751" s="23" t="n">
        <x:f>MAX(0,MIN('Activities'!L751,84)-MAX('Activities'!K751,78))</x:f>
        <x:v>0</x:v>
      </x:c>
      <x:c r="S751" s="23" t="n">
        <x:f>MAX(0,MIN('Activities'!L751,90)-MAX('Activities'!K751,84))</x:f>
        <x:v>0</x:v>
      </x:c>
      <x:c r="T751" s="23" t="n">
        <x:f>MAX(0,MIN('Activities'!L751,96)-MAX('Activities'!K751,90))</x:f>
        <x:v>0</x:v>
      </x:c>
      <x:c r="U751" s="23" t="n">
        <x:f>MAX(0,MIN('Activities'!L751,102)-MAX('Activities'!K751,96))</x:f>
        <x:v>0</x:v>
      </x:c>
      <x:c r="V751" s="23" t="n">
        <x:f>MAX(0,MIN('Activities'!L751,108)-MAX('Activities'!K751,102))</x:f>
        <x:v>0</x:v>
      </x:c>
      <x:c r="W751" s="23" t="n">
        <x:f>MAX(0,MIN('Activities'!L751,114)-MAX('Activities'!K751,108))</x:f>
        <x:v>0</x:v>
      </x:c>
      <x:c r="X751" s="23" t="n">
        <x:f>MAX(0,MIN('Activities'!L751,120)-MAX('Activities'!K751,114))</x:f>
        <x:v>0</x:v>
      </x:c>
      <x:c r="Y751" s="23" t="n">
        <x:f>MAX(0,MIN('Activities'!L751,126)-MAX('Activities'!K751,120))</x:f>
        <x:v>0</x:v>
      </x:c>
      <x:c r="Z751" s="23" t="n">
        <x:f>MAX(0,MIN('Activities'!L751,132)-MAX('Activities'!K751,126))</x:f>
        <x:v>0</x:v>
      </x:c>
      <x:c r="AA751" s="23" t="n">
        <x:f>MAX(0,MIN('Activities'!L751,138)-MAX('Activities'!K751,132))</x:f>
        <x:v>0</x:v>
      </x:c>
      <x:c r="AB751" s="23" t="n">
        <x:f>MAX(0,MIN('Activities'!L751,144)-MAX('Activities'!K751,138))</x:f>
        <x:v>0</x:v>
      </x:c>
      <x:c r="AC751" s="23" t="n">
        <x:f>MAX(0,MIN('Activities'!L751,150)-MAX('Activities'!K751,144))</x:f>
        <x:v>0</x:v>
      </x:c>
      <x:c r="AD751" s="23" t="n">
        <x:f>MAX(0,MIN('Activities'!L751,156)-MAX('Activities'!K751,150))</x:f>
        <x:v>0</x:v>
      </x:c>
      <x:c r="AE751" s="23" t="n">
        <x:f>MAX(0,MIN('Activities'!L751,162)-MAX('Activities'!K751,156))</x:f>
        <x:v>0</x:v>
      </x:c>
      <x:c r="AF751" s="23" t="n">
        <x:f>MAX(0,MIN('Activities'!L751,168)-MAX('Activities'!K751,162))</x:f>
        <x:v>0</x:v>
      </x:c>
      <x:c r="AG751" s="23" t="n">
        <x:f>MAX(0,MIN('Activities'!L751,174)-MAX('Activities'!K751,168))</x:f>
        <x:v>0</x:v>
      </x:c>
      <x:c r="AH751" s="23" t="n">
        <x:f>MAX(0,MIN('Activities'!L751,180)-MAX('Activities'!K751,174))</x:f>
        <x:v>0</x:v>
      </x:c>
      <x:c r="AI751" s="23" t="n">
        <x:f>MAX(0,MIN('Activities'!L751,186)-MAX('Activities'!K751,180))</x:f>
        <x:v>0</x:v>
      </x:c>
      <x:c r="AJ751" s="23" t="n">
        <x:f>MAX(0,MIN('Activities'!L751,192)-MAX('Activities'!K751,186))</x:f>
        <x:v>0</x:v>
      </x:c>
      <x:c r="AK751" s="23" t="n">
        <x:f>MAX(0,MIN('Activities'!L751,198)-MAX('Activities'!K751,192))</x:f>
        <x:v>0</x:v>
      </x:c>
      <x:c r="AL751" s="23" t="n">
        <x:f>MAX(0,MIN('Activities'!L751,204)-MAX('Activities'!K751,198))</x:f>
        <x:v>0</x:v>
      </x:c>
      <x:c r="AM751" s="23" t="n">
        <x:f>MAX(0,MIN('Activities'!L751,210)-MAX('Activities'!K751,204))</x:f>
        <x:v>0</x:v>
      </x:c>
      <x:c r="AN751" s="23" t="n">
        <x:f>MAX(0,MIN('Activities'!L751,216)-MAX('Activities'!K751,210))</x:f>
        <x:v>0</x:v>
      </x:c>
      <x:c r="AO751" s="23" t="n">
        <x:f>MAX(0,MIN('Activities'!L751,222)-MAX('Activities'!K751,216))</x:f>
        <x:v>0</x:v>
      </x:c>
      <x:c r="AP751" s="23" t="n">
        <x:f>MAX(0,MIN('Activities'!L751,228)-MAX('Activities'!K751,222))</x:f>
        <x:v>0</x:v>
      </x:c>
      <x:c r="AQ751" s="23" t="n">
        <x:f>MAX(0,MIN('Activities'!L751,234)-MAX('Activities'!K751,228))</x:f>
        <x:v>0</x:v>
      </x:c>
      <x:c r="AR751" s="23" t="n">
        <x:f>MAX(0,MIN('Activities'!L751,240)-MAX('Activities'!K751,234))</x:f>
        <x:v>0</x:v>
      </x:c>
      <x:c r="AS751" s="23" t="n">
        <x:f>MAX(0,MIN('Activities'!L751,246)-MAX('Activities'!K751,240))</x:f>
        <x:v>0</x:v>
      </x:c>
      <x:c r="AT751" s="23" t="n">
        <x:f>MAX(0,MIN('Activities'!L751,252)-MAX('Activities'!K751,246))</x:f>
        <x:v>0</x:v>
      </x:c>
      <x:c r="AU751" s="23" t="n">
        <x:f>MAX(0,MIN('Activities'!L751,258)-MAX('Activities'!K751,252))</x:f>
        <x:v>0</x:v>
      </x:c>
      <x:c r="AV751" s="23" t="n">
        <x:f>MAX(0,MIN('Activities'!L751,264)-MAX('Activities'!K751,258))</x:f>
        <x:v>0</x:v>
      </x:c>
      <x:c r="AW751" s="23" t="n">
        <x:f>MAX(0,MIN('Activities'!L751,270)-MAX('Activities'!K751,264))</x:f>
        <x:v>0</x:v>
      </x:c>
      <x:c r="AX751" s="23" t="n">
        <x:f>MAX(0,MIN('Activities'!L751,276)-MAX('Activities'!K751,270))</x:f>
        <x:v>0</x:v>
      </x:c>
      <x:c r="AY751" s="23" t="n">
        <x:f>MAX(0,MIN('Activities'!L751,282)-MAX('Activities'!K751,276))</x:f>
        <x:v>0</x:v>
      </x:c>
      <x:c r="AZ751" s="23" t="n">
        <x:f>MAX(0,MIN('Activities'!L751,288)-MAX('Activities'!K751,282))</x:f>
        <x:v>0</x:v>
      </x:c>
      <x:c r="BA751" s="23" t="n">
        <x:f>MAX(0,MIN('Activities'!L751,294)-MAX('Activities'!K751,288))</x:f>
        <x:v>0</x:v>
      </x:c>
      <x:c r="BB751" s="23" t="n">
        <x:f>MAX(0,MIN('Activities'!L751,300)-MAX('Activities'!K751,294))</x:f>
        <x:v>0</x:v>
      </x:c>
      <x:c r="BC751" s="23" t="n">
        <x:f>MAX(0,MIN('Activities'!L751,306)-MAX('Activities'!K751,300))</x:f>
        <x:v>0</x:v>
      </x:c>
      <x:c r="BD751" s="23" t="n">
        <x:f>MAX(0,MIN('Activities'!L751,312)-MAX('Activities'!K751,306))</x:f>
        <x:v>0</x:v>
      </x:c>
      <x:c r="BE751" s="23" t="n">
        <x:f>MAX(0,MIN('Activities'!L751,318)-MAX('Activities'!K751,312))</x:f>
        <x:v>0</x:v>
      </x:c>
      <x:c r="BF751" s="23" t="n">
        <x:f>MAX(0,MIN('Activities'!L751,324)-MAX('Activities'!K751,318))</x:f>
        <x:v>0</x:v>
      </x:c>
      <x:c r="BG751" s="23" t="n">
        <x:f>MAX(0,MIN('Activities'!L751,330)-MAX('Activities'!K751,324))</x:f>
        <x:v>0</x:v>
      </x:c>
      <x:c r="BH751" s="23" t="n">
        <x:f>MAX(0,MIN('Activities'!L751,336)-MAX('Activities'!K751,330))</x:f>
        <x:v>0</x:v>
      </x:c>
      <x:c r="BI751" s="23" t="n">
        <x:f>MAX(0,MIN('Activities'!L751,342)-MAX('Activities'!K751,336))</x:f>
        <x:v>0</x:v>
      </x:c>
      <x:c r="BJ751" s="23" t="n">
        <x:f>MAX(0,MIN('Activities'!L751,348)-MAX('Activities'!K751,342))</x:f>
        <x:v>0</x:v>
      </x:c>
      <x:c r="BK751" s="23" t="n">
        <x:f>MAX(0,MIN('Activities'!L751,354)-MAX('Activities'!K751,348))</x:f>
        <x:v>0</x:v>
      </x:c>
      <x:c r="BL751" s="23" t="n">
        <x:f>MAX(0,MIN('Activities'!L751,360)-MAX('Activities'!K751,354))</x:f>
        <x:v>0</x:v>
      </x:c>
      <x:c r="BM751" s="23" t="n">
        <x:f>MAX(0,MIN('Activities'!L751,366)-MAX('Activities'!K751,360))</x:f>
        <x:v>0</x:v>
      </x:c>
      <x:c r="BN751" s="23" t="n">
        <x:f>MAX(0,MIN('Activities'!L751,372)-MAX('Activities'!K751,366))</x:f>
        <x:v>0</x:v>
      </x:c>
      <x:c r="BO751" s="23" t="n">
        <x:f>MAX(0,MIN('Activities'!L751,378)-MAX('Activities'!K751,372))</x:f>
        <x:v>0</x:v>
      </x:c>
      <x:c r="BP751" s="23" t="n">
        <x:f>MAX(0,MIN('Activities'!L751,384)-MAX('Activities'!K751,378))</x:f>
        <x:v>0</x:v>
      </x:c>
      <x:c r="BQ751" s="23" t="n">
        <x:f>MAX(0,MIN('Activities'!L751,390)-MAX('Activities'!K751,384))</x:f>
        <x:v>0</x:v>
      </x:c>
      <x:c r="BR751" s="23" t="n">
        <x:f>MAX(0,MIN('Activities'!L751,396)-MAX('Activities'!K751,390))</x:f>
        <x:v>0</x:v>
      </x:c>
      <x:c r="BS751" s="23" t="n">
        <x:f>MAX(0,MIN('Activities'!L751,402)-MAX('Activities'!K751,396))</x:f>
        <x:v>0</x:v>
      </x:c>
      <x:c r="BT751" s="23" t="n">
        <x:f>MAX(0,MIN('Activities'!L751,408)-MAX('Activities'!K751,402))</x:f>
        <x:v>0</x:v>
      </x:c>
      <x:c r="BU751" s="23" t="n">
        <x:f>MAX(0,MIN('Activities'!L751,414)-MAX('Activities'!K751,408))</x:f>
        <x:v>0</x:v>
      </x:c>
      <x:c r="BV751" s="23" t="n">
        <x:f>MAX(0,MIN('Activities'!L751,420)-MAX('Activities'!K751,414))</x:f>
        <x:v>0</x:v>
      </x:c>
      <x:c r="BW751" s="23" t="n">
        <x:f>MAX(0,MIN('Activities'!L751,426)-MAX('Activities'!K751,420))</x:f>
        <x:v>0</x:v>
      </x:c>
      <x:c r="BX751" s="23" t="n">
        <x:f>MAX(0,MIN('Activities'!L751,432)-MAX('Activities'!K751,426))</x:f>
        <x:v>0</x:v>
      </x:c>
      <x:c r="BY751" s="23" t="n">
        <x:f>MAX(0,MIN('Activities'!L751,438)-MAX('Activities'!K751,432))</x:f>
        <x:v>0</x:v>
      </x:c>
      <x:c r="BZ751" s="23" t="n">
        <x:f>MAX(0,MIN('Activities'!L751,444)-MAX('Activities'!K751,438))</x:f>
        <x:v>0</x:v>
      </x:c>
      <x:c r="CA751" s="23" t="n">
        <x:f>MAX(0,MIN('Activities'!L751,450)-MAX('Activities'!K751,444))</x:f>
        <x:v>0</x:v>
      </x:c>
      <x:c r="CB751" s="23" t="n">
        <x:f>MAX(0,MIN('Activities'!L751,456)-MAX('Activities'!K751,450))</x:f>
        <x:v>0</x:v>
      </x:c>
      <x:c r="CC751" s="23" t="n">
        <x:f>MAX(0,MIN('Activities'!L751,462)-MAX('Activities'!K751,456))</x:f>
        <x:v>1</x:v>
      </x:c>
      <x:c r="CD751" s="23" t="n">
        <x:f>MAX(0,MIN('Activities'!L751,468)-MAX('Activities'!K751,462))</x:f>
        <x:v>5</x:v>
      </x:c>
      <x:c r="CE751" s="23" t="n">
        <x:f>MAX(0,MIN('Activities'!L751,474)-MAX('Activities'!K751,468))</x:f>
        <x:v>0</x:v>
      </x:c>
      <x:c r="CF751" s="23" t="n">
        <x:f>MAX(0,MIN('Activities'!L751,480)-MAX('Activities'!K751,474))</x:f>
        <x:v>0</x:v>
      </x:c>
      <x:c r="CG751" s="23" t="n">
        <x:f>MAX(0,MIN('Activities'!L751,486)-MAX('Activities'!K751,480))</x:f>
        <x:v>0</x:v>
      </x:c>
      <x:c r="CH751" s="23" t="n">
        <x:f>MAX(0,MIN('Activities'!L751,492)-MAX('Activities'!K751,486))</x:f>
        <x:v>0</x:v>
      </x:c>
      <x:c r="CI751" s="23" t="n">
        <x:f>MAX(0,MIN('Activities'!L751,498)-MAX('Activities'!K751,492))</x:f>
        <x:v>0</x:v>
      </x:c>
      <x:c r="CJ751" s="23" t="n">
        <x:f>MAX(0,MIN('Activities'!L751,504)-MAX('Activities'!K751,498))</x:f>
        <x:v>0</x:v>
      </x:c>
      <x:c r="CK751" s="23" t="n">
        <x:f>MAX(0,MIN('Activities'!L751,510)-MAX('Activities'!K751,504))</x:f>
        <x:v>0</x:v>
      </x:c>
      <x:c r="CL751" s="23" t="n">
        <x:f>MAX(0,MIN('Activities'!L751,516)-MAX('Activities'!K751,510))</x:f>
        <x:v>0</x:v>
      </x:c>
      <x:c r="CM751" s="23" t="n">
        <x:f>MAX(0,MIN('Activities'!L751,522)-MAX('Activities'!K751,516))</x:f>
        <x:v>0</x:v>
      </x:c>
      <x:c r="CN751" s="23" t="n">
        <x:f>MAX(0,MIN('Activities'!L751,528)-MAX('Activities'!K751,522))</x:f>
        <x:v>0</x:v>
      </x:c>
      <x:c r="CO751" s="23" t="n">
        <x:f>MAX(0,MIN('Activities'!L751,534)-MAX('Activities'!K751,528))</x:f>
        <x:v>0</x:v>
      </x:c>
      <x:c r="CP751" s="23" t="n">
        <x:f>MAX(0,MIN('Activities'!L751,540)-MAX('Activities'!K751,534))</x:f>
        <x:v>0</x:v>
      </x:c>
      <x:c r="CQ751" s="23" t="n">
        <x:f>MAX(0,MIN('Activities'!L751,546)-MAX('Activities'!K751,540))</x:f>
        <x:v>0</x:v>
      </x:c>
      <x:c r="CR751" s="23" t="n">
        <x:f>MAX(0,MIN('Activities'!L751,552)-MAX('Activities'!K751,546))</x:f>
        <x:v>0</x:v>
      </x:c>
      <x:c r="CS751" s="23" t="n">
        <x:f>MAX(0,MIN('Activities'!L751,558)-MAX('Activities'!K751,552))</x:f>
        <x:v>0</x:v>
      </x:c>
      <x:c r="CT751" s="23" t="n">
        <x:f>MAX(0,MIN('Activities'!L751,564)-MAX('Activities'!K751,558))</x:f>
        <x:v>0</x:v>
      </x:c>
      <x:c r="CU751" s="23" t="n">
        <x:f>MAX(0,MIN('Activities'!L751,570)-MAX('Activities'!K751,564))</x:f>
        <x:v>0</x:v>
      </x:c>
      <x:c r="CV751" s="23" t="n">
        <x:f>MAX(0,MIN('Activities'!L751,576)-MAX('Activities'!K751,570))</x:f>
        <x:v>0</x:v>
      </x:c>
      <x:c r="CW751" s="23" t="n">
        <x:f>MAX(0,MIN('Activities'!L751,582)-MAX('Activities'!K751,576))</x:f>
        <x:v>0</x:v>
      </x:c>
      <x:c r="CX751" s="23" t="n">
        <x:f>MAX(0,MIN('Activities'!L751,588)-MAX('Activities'!K751,582))</x:f>
        <x:v>0</x:v>
      </x:c>
      <x:c r="CY751" s="23" t="n">
        <x:f>MAX(0,MIN('Activities'!L751,594)-MAX('Activities'!K751,588))</x:f>
        <x:v>0</x:v>
      </x:c>
      <x:c r="CZ751" s="23" t="n">
        <x:f>MAX(0,MIN('Activities'!L751,600)-MAX('Activities'!K751,594))</x:f>
        <x:v>0</x:v>
      </x:c>
      <x:c r="DA751" s="23" t="n">
        <x:f>MAX(0,MIN('Activities'!L751,606)-MAX('Activities'!K751,600))</x:f>
        <x:v>0</x:v>
      </x:c>
      <x:c r="DB751" s="23" t="n">
        <x:f>MAX(0,MIN('Activities'!L751,612)-MAX('Activities'!K751,606))</x:f>
        <x:v>0</x:v>
      </x:c>
      <x:c r="DC751" s="23" t="n">
        <x:f>MAX(0,MIN('Activities'!L751,618)-MAX('Activities'!K751,612))</x:f>
        <x:v>0</x:v>
      </x:c>
      <x:c r="DD751" s="23" t="n">
        <x:f>MAX(0,MIN('Activities'!L751,624)-MAX('Activities'!K751,618))</x:f>
        <x:v>0</x:v>
      </x:c>
      <x:c r="DE751" s="23" t="n">
        <x:f>MAX(0,MIN('Activities'!L751,630)-MAX('Activities'!K751,624))</x:f>
        <x:v>0</x:v>
      </x:c>
      <x:c r="DF751" s="23" t="n">
        <x:f>MAX(0,MIN('Activities'!L751,636)-MAX('Activities'!K751,630))</x:f>
        <x:v>0</x:v>
      </x:c>
    </x:row>
    <x:row r="752" ht="23" customHeight="1">
      <x:c r="A752" s="6" t="str">
        <x:v>T6-L02-A</x:v>
      </x:c>
      <x:c r="B752" s="6" t="str">
        <x:v>T6</x:v>
      </x:c>
      <x:c r="C752" s="6" t="str">
        <x:v>Paint and final decorations</x:v>
      </x:c>
      <x:c r="D752" s="6" t="str">
        <x:v>Finishes</x:v>
      </x:c>
      <x:c r="E752" s="22" t="n">
        <x:f>MAX(0,MIN('Activities'!L752,6)-MAX('Activities'!K752,0))</x:f>
        <x:v>0</x:v>
      </x:c>
      <x:c r="F752" s="22" t="n">
        <x:f>MAX(0,MIN('Activities'!L752,12)-MAX('Activities'!K752,6))</x:f>
        <x:v>0</x:v>
      </x:c>
      <x:c r="G752" s="22" t="n">
        <x:f>MAX(0,MIN('Activities'!L752,18)-MAX('Activities'!K752,12))</x:f>
        <x:v>0</x:v>
      </x:c>
      <x:c r="H752" s="22" t="n">
        <x:f>MAX(0,MIN('Activities'!L752,24)-MAX('Activities'!K752,18))</x:f>
        <x:v>0</x:v>
      </x:c>
      <x:c r="I752" s="22" t="n">
        <x:f>MAX(0,MIN('Activities'!L752,30)-MAX('Activities'!K752,24))</x:f>
        <x:v>0</x:v>
      </x:c>
      <x:c r="J752" s="22" t="n">
        <x:f>MAX(0,MIN('Activities'!L752,36)-MAX('Activities'!K752,30))</x:f>
        <x:v>0</x:v>
      </x:c>
      <x:c r="K752" s="22" t="n">
        <x:f>MAX(0,MIN('Activities'!L752,42)-MAX('Activities'!K752,36))</x:f>
        <x:v>0</x:v>
      </x:c>
      <x:c r="L752" s="22" t="n">
        <x:f>MAX(0,MIN('Activities'!L752,48)-MAX('Activities'!K752,42))</x:f>
        <x:v>0</x:v>
      </x:c>
      <x:c r="M752" s="22" t="n">
        <x:f>MAX(0,MIN('Activities'!L752,54)-MAX('Activities'!K752,48))</x:f>
        <x:v>0</x:v>
      </x:c>
      <x:c r="N752" s="22" t="n">
        <x:f>MAX(0,MIN('Activities'!L752,60)-MAX('Activities'!K752,54))</x:f>
        <x:v>0</x:v>
      </x:c>
      <x:c r="O752" s="22" t="n">
        <x:f>MAX(0,MIN('Activities'!L752,66)-MAX('Activities'!K752,60))</x:f>
        <x:v>0</x:v>
      </x:c>
      <x:c r="P752" s="22" t="n">
        <x:f>MAX(0,MIN('Activities'!L752,72)-MAX('Activities'!K752,66))</x:f>
        <x:v>0</x:v>
      </x:c>
      <x:c r="Q752" s="22" t="n">
        <x:f>MAX(0,MIN('Activities'!L752,78)-MAX('Activities'!K752,72))</x:f>
        <x:v>0</x:v>
      </x:c>
      <x:c r="R752" s="22" t="n">
        <x:f>MAX(0,MIN('Activities'!L752,84)-MAX('Activities'!K752,78))</x:f>
        <x:v>0</x:v>
      </x:c>
      <x:c r="S752" s="22" t="n">
        <x:f>MAX(0,MIN('Activities'!L752,90)-MAX('Activities'!K752,84))</x:f>
        <x:v>0</x:v>
      </x:c>
      <x:c r="T752" s="22" t="n">
        <x:f>MAX(0,MIN('Activities'!L752,96)-MAX('Activities'!K752,90))</x:f>
        <x:v>0</x:v>
      </x:c>
      <x:c r="U752" s="22" t="n">
        <x:f>MAX(0,MIN('Activities'!L752,102)-MAX('Activities'!K752,96))</x:f>
        <x:v>0</x:v>
      </x:c>
      <x:c r="V752" s="22" t="n">
        <x:f>MAX(0,MIN('Activities'!L752,108)-MAX('Activities'!K752,102))</x:f>
        <x:v>0</x:v>
      </x:c>
      <x:c r="W752" s="22" t="n">
        <x:f>MAX(0,MIN('Activities'!L752,114)-MAX('Activities'!K752,108))</x:f>
        <x:v>0</x:v>
      </x:c>
      <x:c r="X752" s="22" t="n">
        <x:f>MAX(0,MIN('Activities'!L752,120)-MAX('Activities'!K752,114))</x:f>
        <x:v>0</x:v>
      </x:c>
      <x:c r="Y752" s="22" t="n">
        <x:f>MAX(0,MIN('Activities'!L752,126)-MAX('Activities'!K752,120))</x:f>
        <x:v>0</x:v>
      </x:c>
      <x:c r="Z752" s="22" t="n">
        <x:f>MAX(0,MIN('Activities'!L752,132)-MAX('Activities'!K752,126))</x:f>
        <x:v>0</x:v>
      </x:c>
      <x:c r="AA752" s="22" t="n">
        <x:f>MAX(0,MIN('Activities'!L752,138)-MAX('Activities'!K752,132))</x:f>
        <x:v>0</x:v>
      </x:c>
      <x:c r="AB752" s="22" t="n">
        <x:f>MAX(0,MIN('Activities'!L752,144)-MAX('Activities'!K752,138))</x:f>
        <x:v>0</x:v>
      </x:c>
      <x:c r="AC752" s="22" t="n">
        <x:f>MAX(0,MIN('Activities'!L752,150)-MAX('Activities'!K752,144))</x:f>
        <x:v>0</x:v>
      </x:c>
      <x:c r="AD752" s="22" t="n">
        <x:f>MAX(0,MIN('Activities'!L752,156)-MAX('Activities'!K752,150))</x:f>
        <x:v>0</x:v>
      </x:c>
      <x:c r="AE752" s="22" t="n">
        <x:f>MAX(0,MIN('Activities'!L752,162)-MAX('Activities'!K752,156))</x:f>
        <x:v>0</x:v>
      </x:c>
      <x:c r="AF752" s="22" t="n">
        <x:f>MAX(0,MIN('Activities'!L752,168)-MAX('Activities'!K752,162))</x:f>
        <x:v>0</x:v>
      </x:c>
      <x:c r="AG752" s="22" t="n">
        <x:f>MAX(0,MIN('Activities'!L752,174)-MAX('Activities'!K752,168))</x:f>
        <x:v>0</x:v>
      </x:c>
      <x:c r="AH752" s="22" t="n">
        <x:f>MAX(0,MIN('Activities'!L752,180)-MAX('Activities'!K752,174))</x:f>
        <x:v>0</x:v>
      </x:c>
      <x:c r="AI752" s="22" t="n">
        <x:f>MAX(0,MIN('Activities'!L752,186)-MAX('Activities'!K752,180))</x:f>
        <x:v>0</x:v>
      </x:c>
      <x:c r="AJ752" s="22" t="n">
        <x:f>MAX(0,MIN('Activities'!L752,192)-MAX('Activities'!K752,186))</x:f>
        <x:v>0</x:v>
      </x:c>
      <x:c r="AK752" s="22" t="n">
        <x:f>MAX(0,MIN('Activities'!L752,198)-MAX('Activities'!K752,192))</x:f>
        <x:v>0</x:v>
      </x:c>
      <x:c r="AL752" s="22" t="n">
        <x:f>MAX(0,MIN('Activities'!L752,204)-MAX('Activities'!K752,198))</x:f>
        <x:v>0</x:v>
      </x:c>
      <x:c r="AM752" s="22" t="n">
        <x:f>MAX(0,MIN('Activities'!L752,210)-MAX('Activities'!K752,204))</x:f>
        <x:v>0</x:v>
      </x:c>
      <x:c r="AN752" s="22" t="n">
        <x:f>MAX(0,MIN('Activities'!L752,216)-MAX('Activities'!K752,210))</x:f>
        <x:v>0</x:v>
      </x:c>
      <x:c r="AO752" s="22" t="n">
        <x:f>MAX(0,MIN('Activities'!L752,222)-MAX('Activities'!K752,216))</x:f>
        <x:v>0</x:v>
      </x:c>
      <x:c r="AP752" s="22" t="n">
        <x:f>MAX(0,MIN('Activities'!L752,228)-MAX('Activities'!K752,222))</x:f>
        <x:v>0</x:v>
      </x:c>
      <x:c r="AQ752" s="22" t="n">
        <x:f>MAX(0,MIN('Activities'!L752,234)-MAX('Activities'!K752,228))</x:f>
        <x:v>0</x:v>
      </x:c>
      <x:c r="AR752" s="22" t="n">
        <x:f>MAX(0,MIN('Activities'!L752,240)-MAX('Activities'!K752,234))</x:f>
        <x:v>0</x:v>
      </x:c>
      <x:c r="AS752" s="22" t="n">
        <x:f>MAX(0,MIN('Activities'!L752,246)-MAX('Activities'!K752,240))</x:f>
        <x:v>0</x:v>
      </x:c>
      <x:c r="AT752" s="22" t="n">
        <x:f>MAX(0,MIN('Activities'!L752,252)-MAX('Activities'!K752,246))</x:f>
        <x:v>0</x:v>
      </x:c>
      <x:c r="AU752" s="22" t="n">
        <x:f>MAX(0,MIN('Activities'!L752,258)-MAX('Activities'!K752,252))</x:f>
        <x:v>0</x:v>
      </x:c>
      <x:c r="AV752" s="22" t="n">
        <x:f>MAX(0,MIN('Activities'!L752,264)-MAX('Activities'!K752,258))</x:f>
        <x:v>0</x:v>
      </x:c>
      <x:c r="AW752" s="22" t="n">
        <x:f>MAX(0,MIN('Activities'!L752,270)-MAX('Activities'!K752,264))</x:f>
        <x:v>0</x:v>
      </x:c>
      <x:c r="AX752" s="22" t="n">
        <x:f>MAX(0,MIN('Activities'!L752,276)-MAX('Activities'!K752,270))</x:f>
        <x:v>0</x:v>
      </x:c>
      <x:c r="AY752" s="22" t="n">
        <x:f>MAX(0,MIN('Activities'!L752,282)-MAX('Activities'!K752,276))</x:f>
        <x:v>0</x:v>
      </x:c>
      <x:c r="AZ752" s="22" t="n">
        <x:f>MAX(0,MIN('Activities'!L752,288)-MAX('Activities'!K752,282))</x:f>
        <x:v>0</x:v>
      </x:c>
      <x:c r="BA752" s="22" t="n">
        <x:f>MAX(0,MIN('Activities'!L752,294)-MAX('Activities'!K752,288))</x:f>
        <x:v>0</x:v>
      </x:c>
      <x:c r="BB752" s="22" t="n">
        <x:f>MAX(0,MIN('Activities'!L752,300)-MAX('Activities'!K752,294))</x:f>
        <x:v>0</x:v>
      </x:c>
      <x:c r="BC752" s="22" t="n">
        <x:f>MAX(0,MIN('Activities'!L752,306)-MAX('Activities'!K752,300))</x:f>
        <x:v>0</x:v>
      </x:c>
      <x:c r="BD752" s="22" t="n">
        <x:f>MAX(0,MIN('Activities'!L752,312)-MAX('Activities'!K752,306))</x:f>
        <x:v>0</x:v>
      </x:c>
      <x:c r="BE752" s="22" t="n">
        <x:f>MAX(0,MIN('Activities'!L752,318)-MAX('Activities'!K752,312))</x:f>
        <x:v>0</x:v>
      </x:c>
      <x:c r="BF752" s="22" t="n">
        <x:f>MAX(0,MIN('Activities'!L752,324)-MAX('Activities'!K752,318))</x:f>
        <x:v>0</x:v>
      </x:c>
      <x:c r="BG752" s="22" t="n">
        <x:f>MAX(0,MIN('Activities'!L752,330)-MAX('Activities'!K752,324))</x:f>
        <x:v>0</x:v>
      </x:c>
      <x:c r="BH752" s="22" t="n">
        <x:f>MAX(0,MIN('Activities'!L752,336)-MAX('Activities'!K752,330))</x:f>
        <x:v>0</x:v>
      </x:c>
      <x:c r="BI752" s="22" t="n">
        <x:f>MAX(0,MIN('Activities'!L752,342)-MAX('Activities'!K752,336))</x:f>
        <x:v>0</x:v>
      </x:c>
      <x:c r="BJ752" s="22" t="n">
        <x:f>MAX(0,MIN('Activities'!L752,348)-MAX('Activities'!K752,342))</x:f>
        <x:v>0</x:v>
      </x:c>
      <x:c r="BK752" s="22" t="n">
        <x:f>MAX(0,MIN('Activities'!L752,354)-MAX('Activities'!K752,348))</x:f>
        <x:v>0</x:v>
      </x:c>
      <x:c r="BL752" s="22" t="n">
        <x:f>MAX(0,MIN('Activities'!L752,360)-MAX('Activities'!K752,354))</x:f>
        <x:v>0</x:v>
      </x:c>
      <x:c r="BM752" s="22" t="n">
        <x:f>MAX(0,MIN('Activities'!L752,366)-MAX('Activities'!K752,360))</x:f>
        <x:v>0</x:v>
      </x:c>
      <x:c r="BN752" s="22" t="n">
        <x:f>MAX(0,MIN('Activities'!L752,372)-MAX('Activities'!K752,366))</x:f>
        <x:v>0</x:v>
      </x:c>
      <x:c r="BO752" s="22" t="n">
        <x:f>MAX(0,MIN('Activities'!L752,378)-MAX('Activities'!K752,372))</x:f>
        <x:v>0</x:v>
      </x:c>
      <x:c r="BP752" s="22" t="n">
        <x:f>MAX(0,MIN('Activities'!L752,384)-MAX('Activities'!K752,378))</x:f>
        <x:v>0</x:v>
      </x:c>
      <x:c r="BQ752" s="22" t="n">
        <x:f>MAX(0,MIN('Activities'!L752,390)-MAX('Activities'!K752,384))</x:f>
        <x:v>0</x:v>
      </x:c>
      <x:c r="BR752" s="22" t="n">
        <x:f>MAX(0,MIN('Activities'!L752,396)-MAX('Activities'!K752,390))</x:f>
        <x:v>0</x:v>
      </x:c>
      <x:c r="BS752" s="22" t="n">
        <x:f>MAX(0,MIN('Activities'!L752,402)-MAX('Activities'!K752,396))</x:f>
        <x:v>0</x:v>
      </x:c>
      <x:c r="BT752" s="22" t="n">
        <x:f>MAX(0,MIN('Activities'!L752,408)-MAX('Activities'!K752,402))</x:f>
        <x:v>0</x:v>
      </x:c>
      <x:c r="BU752" s="22" t="n">
        <x:f>MAX(0,MIN('Activities'!L752,414)-MAX('Activities'!K752,408))</x:f>
        <x:v>0</x:v>
      </x:c>
      <x:c r="BV752" s="22" t="n">
        <x:f>MAX(0,MIN('Activities'!L752,420)-MAX('Activities'!K752,414))</x:f>
        <x:v>0</x:v>
      </x:c>
      <x:c r="BW752" s="22" t="n">
        <x:f>MAX(0,MIN('Activities'!L752,426)-MAX('Activities'!K752,420))</x:f>
        <x:v>0</x:v>
      </x:c>
      <x:c r="BX752" s="22" t="n">
        <x:f>MAX(0,MIN('Activities'!L752,432)-MAX('Activities'!K752,426))</x:f>
        <x:v>0</x:v>
      </x:c>
      <x:c r="BY752" s="22" t="n">
        <x:f>MAX(0,MIN('Activities'!L752,438)-MAX('Activities'!K752,432))</x:f>
        <x:v>0</x:v>
      </x:c>
      <x:c r="BZ752" s="22" t="n">
        <x:f>MAX(0,MIN('Activities'!L752,444)-MAX('Activities'!K752,438))</x:f>
        <x:v>0</x:v>
      </x:c>
      <x:c r="CA752" s="22" t="n">
        <x:f>MAX(0,MIN('Activities'!L752,450)-MAX('Activities'!K752,444))</x:f>
        <x:v>0</x:v>
      </x:c>
      <x:c r="CB752" s="22" t="n">
        <x:f>MAX(0,MIN('Activities'!L752,456)-MAX('Activities'!K752,450))</x:f>
        <x:v>0</x:v>
      </x:c>
      <x:c r="CC752" s="22" t="n">
        <x:f>MAX(0,MIN('Activities'!L752,462)-MAX('Activities'!K752,456))</x:f>
        <x:v>0</x:v>
      </x:c>
      <x:c r="CD752" s="22" t="n">
        <x:f>MAX(0,MIN('Activities'!L752,468)-MAX('Activities'!K752,462))</x:f>
        <x:v>0</x:v>
      </x:c>
      <x:c r="CE752" s="22" t="n">
        <x:f>MAX(0,MIN('Activities'!L752,474)-MAX('Activities'!K752,468))</x:f>
        <x:v>5</x:v>
      </x:c>
      <x:c r="CF752" s="22" t="n">
        <x:f>MAX(0,MIN('Activities'!L752,480)-MAX('Activities'!K752,474))</x:f>
        <x:v>0</x:v>
      </x:c>
      <x:c r="CG752" s="22" t="n">
        <x:f>MAX(0,MIN('Activities'!L752,486)-MAX('Activities'!K752,480))</x:f>
        <x:v>0</x:v>
      </x:c>
      <x:c r="CH752" s="22" t="n">
        <x:f>MAX(0,MIN('Activities'!L752,492)-MAX('Activities'!K752,486))</x:f>
        <x:v>0</x:v>
      </x:c>
      <x:c r="CI752" s="22" t="n">
        <x:f>MAX(0,MIN('Activities'!L752,498)-MAX('Activities'!K752,492))</x:f>
        <x:v>0</x:v>
      </x:c>
      <x:c r="CJ752" s="22" t="n">
        <x:f>MAX(0,MIN('Activities'!L752,504)-MAX('Activities'!K752,498))</x:f>
        <x:v>0</x:v>
      </x:c>
      <x:c r="CK752" s="22" t="n">
        <x:f>MAX(0,MIN('Activities'!L752,510)-MAX('Activities'!K752,504))</x:f>
        <x:v>0</x:v>
      </x:c>
      <x:c r="CL752" s="22" t="n">
        <x:f>MAX(0,MIN('Activities'!L752,516)-MAX('Activities'!K752,510))</x:f>
        <x:v>0</x:v>
      </x:c>
      <x:c r="CM752" s="22" t="n">
        <x:f>MAX(0,MIN('Activities'!L752,522)-MAX('Activities'!K752,516))</x:f>
        <x:v>0</x:v>
      </x:c>
      <x:c r="CN752" s="22" t="n">
        <x:f>MAX(0,MIN('Activities'!L752,528)-MAX('Activities'!K752,522))</x:f>
        <x:v>0</x:v>
      </x:c>
      <x:c r="CO752" s="22" t="n">
        <x:f>MAX(0,MIN('Activities'!L752,534)-MAX('Activities'!K752,528))</x:f>
        <x:v>0</x:v>
      </x:c>
      <x:c r="CP752" s="22" t="n">
        <x:f>MAX(0,MIN('Activities'!L752,540)-MAX('Activities'!K752,534))</x:f>
        <x:v>0</x:v>
      </x:c>
      <x:c r="CQ752" s="22" t="n">
        <x:f>MAX(0,MIN('Activities'!L752,546)-MAX('Activities'!K752,540))</x:f>
        <x:v>0</x:v>
      </x:c>
      <x:c r="CR752" s="22" t="n">
        <x:f>MAX(0,MIN('Activities'!L752,552)-MAX('Activities'!K752,546))</x:f>
        <x:v>0</x:v>
      </x:c>
      <x:c r="CS752" s="22" t="n">
        <x:f>MAX(0,MIN('Activities'!L752,558)-MAX('Activities'!K752,552))</x:f>
        <x:v>0</x:v>
      </x:c>
      <x:c r="CT752" s="22" t="n">
        <x:f>MAX(0,MIN('Activities'!L752,564)-MAX('Activities'!K752,558))</x:f>
        <x:v>0</x:v>
      </x:c>
      <x:c r="CU752" s="22" t="n">
        <x:f>MAX(0,MIN('Activities'!L752,570)-MAX('Activities'!K752,564))</x:f>
        <x:v>0</x:v>
      </x:c>
      <x:c r="CV752" s="22" t="n">
        <x:f>MAX(0,MIN('Activities'!L752,576)-MAX('Activities'!K752,570))</x:f>
        <x:v>0</x:v>
      </x:c>
      <x:c r="CW752" s="22" t="n">
        <x:f>MAX(0,MIN('Activities'!L752,582)-MAX('Activities'!K752,576))</x:f>
        <x:v>0</x:v>
      </x:c>
      <x:c r="CX752" s="22" t="n">
        <x:f>MAX(0,MIN('Activities'!L752,588)-MAX('Activities'!K752,582))</x:f>
        <x:v>0</x:v>
      </x:c>
      <x:c r="CY752" s="22" t="n">
        <x:f>MAX(0,MIN('Activities'!L752,594)-MAX('Activities'!K752,588))</x:f>
        <x:v>0</x:v>
      </x:c>
      <x:c r="CZ752" s="22" t="n">
        <x:f>MAX(0,MIN('Activities'!L752,600)-MAX('Activities'!K752,594))</x:f>
        <x:v>0</x:v>
      </x:c>
      <x:c r="DA752" s="22" t="n">
        <x:f>MAX(0,MIN('Activities'!L752,606)-MAX('Activities'!K752,600))</x:f>
        <x:v>0</x:v>
      </x:c>
      <x:c r="DB752" s="22" t="n">
        <x:f>MAX(0,MIN('Activities'!L752,612)-MAX('Activities'!K752,606))</x:f>
        <x:v>0</x:v>
      </x:c>
      <x:c r="DC752" s="22" t="n">
        <x:f>MAX(0,MIN('Activities'!L752,618)-MAX('Activities'!K752,612))</x:f>
        <x:v>0</x:v>
      </x:c>
      <x:c r="DD752" s="22" t="n">
        <x:f>MAX(0,MIN('Activities'!L752,624)-MAX('Activities'!K752,618))</x:f>
        <x:v>0</x:v>
      </x:c>
      <x:c r="DE752" s="22" t="n">
        <x:f>MAX(0,MIN('Activities'!L752,630)-MAX('Activities'!K752,624))</x:f>
        <x:v>0</x:v>
      </x:c>
      <x:c r="DF752" s="22" t="n">
        <x:f>MAX(0,MIN('Activities'!L752,636)-MAX('Activities'!K752,630))</x:f>
        <x:v>0</x:v>
      </x:c>
    </x:row>
    <x:row r="753" ht="23" customHeight="1">
      <x:c r="A753" s="1" t="str">
        <x:v>T6-L02-D</x:v>
      </x:c>
      <x:c r="B753" s="1" t="str">
        <x:v>T6</x:v>
      </x:c>
      <x:c r="C753" s="1" t="str">
        <x:v>Door sets and ironmongery</x:v>
      </x:c>
      <x:c r="D753" s="1" t="str">
        <x:v>Finishes</x:v>
      </x:c>
      <x:c r="E753" s="23" t="n">
        <x:f>MAX(0,MIN('Activities'!L753,6)-MAX('Activities'!K753,0))</x:f>
        <x:v>0</x:v>
      </x:c>
      <x:c r="F753" s="23" t="n">
        <x:f>MAX(0,MIN('Activities'!L753,12)-MAX('Activities'!K753,6))</x:f>
        <x:v>0</x:v>
      </x:c>
      <x:c r="G753" s="23" t="n">
        <x:f>MAX(0,MIN('Activities'!L753,18)-MAX('Activities'!K753,12))</x:f>
        <x:v>0</x:v>
      </x:c>
      <x:c r="H753" s="23" t="n">
        <x:f>MAX(0,MIN('Activities'!L753,24)-MAX('Activities'!K753,18))</x:f>
        <x:v>0</x:v>
      </x:c>
      <x:c r="I753" s="23" t="n">
        <x:f>MAX(0,MIN('Activities'!L753,30)-MAX('Activities'!K753,24))</x:f>
        <x:v>0</x:v>
      </x:c>
      <x:c r="J753" s="23" t="n">
        <x:f>MAX(0,MIN('Activities'!L753,36)-MAX('Activities'!K753,30))</x:f>
        <x:v>0</x:v>
      </x:c>
      <x:c r="K753" s="23" t="n">
        <x:f>MAX(0,MIN('Activities'!L753,42)-MAX('Activities'!K753,36))</x:f>
        <x:v>0</x:v>
      </x:c>
      <x:c r="L753" s="23" t="n">
        <x:f>MAX(0,MIN('Activities'!L753,48)-MAX('Activities'!K753,42))</x:f>
        <x:v>0</x:v>
      </x:c>
      <x:c r="M753" s="23" t="n">
        <x:f>MAX(0,MIN('Activities'!L753,54)-MAX('Activities'!K753,48))</x:f>
        <x:v>0</x:v>
      </x:c>
      <x:c r="N753" s="23" t="n">
        <x:f>MAX(0,MIN('Activities'!L753,60)-MAX('Activities'!K753,54))</x:f>
        <x:v>0</x:v>
      </x:c>
      <x:c r="O753" s="23" t="n">
        <x:f>MAX(0,MIN('Activities'!L753,66)-MAX('Activities'!K753,60))</x:f>
        <x:v>0</x:v>
      </x:c>
      <x:c r="P753" s="23" t="n">
        <x:f>MAX(0,MIN('Activities'!L753,72)-MAX('Activities'!K753,66))</x:f>
        <x:v>0</x:v>
      </x:c>
      <x:c r="Q753" s="23" t="n">
        <x:f>MAX(0,MIN('Activities'!L753,78)-MAX('Activities'!K753,72))</x:f>
        <x:v>0</x:v>
      </x:c>
      <x:c r="R753" s="23" t="n">
        <x:f>MAX(0,MIN('Activities'!L753,84)-MAX('Activities'!K753,78))</x:f>
        <x:v>0</x:v>
      </x:c>
      <x:c r="S753" s="23" t="n">
        <x:f>MAX(0,MIN('Activities'!L753,90)-MAX('Activities'!K753,84))</x:f>
        <x:v>0</x:v>
      </x:c>
      <x:c r="T753" s="23" t="n">
        <x:f>MAX(0,MIN('Activities'!L753,96)-MAX('Activities'!K753,90))</x:f>
        <x:v>0</x:v>
      </x:c>
      <x:c r="U753" s="23" t="n">
        <x:f>MAX(0,MIN('Activities'!L753,102)-MAX('Activities'!K753,96))</x:f>
        <x:v>0</x:v>
      </x:c>
      <x:c r="V753" s="23" t="n">
        <x:f>MAX(0,MIN('Activities'!L753,108)-MAX('Activities'!K753,102))</x:f>
        <x:v>0</x:v>
      </x:c>
      <x:c r="W753" s="23" t="n">
        <x:f>MAX(0,MIN('Activities'!L753,114)-MAX('Activities'!K753,108))</x:f>
        <x:v>0</x:v>
      </x:c>
      <x:c r="X753" s="23" t="n">
        <x:f>MAX(0,MIN('Activities'!L753,120)-MAX('Activities'!K753,114))</x:f>
        <x:v>0</x:v>
      </x:c>
      <x:c r="Y753" s="23" t="n">
        <x:f>MAX(0,MIN('Activities'!L753,126)-MAX('Activities'!K753,120))</x:f>
        <x:v>0</x:v>
      </x:c>
      <x:c r="Z753" s="23" t="n">
        <x:f>MAX(0,MIN('Activities'!L753,132)-MAX('Activities'!K753,126))</x:f>
        <x:v>0</x:v>
      </x:c>
      <x:c r="AA753" s="23" t="n">
        <x:f>MAX(0,MIN('Activities'!L753,138)-MAX('Activities'!K753,132))</x:f>
        <x:v>0</x:v>
      </x:c>
      <x:c r="AB753" s="23" t="n">
        <x:f>MAX(0,MIN('Activities'!L753,144)-MAX('Activities'!K753,138))</x:f>
        <x:v>0</x:v>
      </x:c>
      <x:c r="AC753" s="23" t="n">
        <x:f>MAX(0,MIN('Activities'!L753,150)-MAX('Activities'!K753,144))</x:f>
        <x:v>0</x:v>
      </x:c>
      <x:c r="AD753" s="23" t="n">
        <x:f>MAX(0,MIN('Activities'!L753,156)-MAX('Activities'!K753,150))</x:f>
        <x:v>0</x:v>
      </x:c>
      <x:c r="AE753" s="23" t="n">
        <x:f>MAX(0,MIN('Activities'!L753,162)-MAX('Activities'!K753,156))</x:f>
        <x:v>0</x:v>
      </x:c>
      <x:c r="AF753" s="23" t="n">
        <x:f>MAX(0,MIN('Activities'!L753,168)-MAX('Activities'!K753,162))</x:f>
        <x:v>0</x:v>
      </x:c>
      <x:c r="AG753" s="23" t="n">
        <x:f>MAX(0,MIN('Activities'!L753,174)-MAX('Activities'!K753,168))</x:f>
        <x:v>0</x:v>
      </x:c>
      <x:c r="AH753" s="23" t="n">
        <x:f>MAX(0,MIN('Activities'!L753,180)-MAX('Activities'!K753,174))</x:f>
        <x:v>0</x:v>
      </x:c>
      <x:c r="AI753" s="23" t="n">
        <x:f>MAX(0,MIN('Activities'!L753,186)-MAX('Activities'!K753,180))</x:f>
        <x:v>0</x:v>
      </x:c>
      <x:c r="AJ753" s="23" t="n">
        <x:f>MAX(0,MIN('Activities'!L753,192)-MAX('Activities'!K753,186))</x:f>
        <x:v>0</x:v>
      </x:c>
      <x:c r="AK753" s="23" t="n">
        <x:f>MAX(0,MIN('Activities'!L753,198)-MAX('Activities'!K753,192))</x:f>
        <x:v>0</x:v>
      </x:c>
      <x:c r="AL753" s="23" t="n">
        <x:f>MAX(0,MIN('Activities'!L753,204)-MAX('Activities'!K753,198))</x:f>
        <x:v>0</x:v>
      </x:c>
      <x:c r="AM753" s="23" t="n">
        <x:f>MAX(0,MIN('Activities'!L753,210)-MAX('Activities'!K753,204))</x:f>
        <x:v>0</x:v>
      </x:c>
      <x:c r="AN753" s="23" t="n">
        <x:f>MAX(0,MIN('Activities'!L753,216)-MAX('Activities'!K753,210))</x:f>
        <x:v>0</x:v>
      </x:c>
      <x:c r="AO753" s="23" t="n">
        <x:f>MAX(0,MIN('Activities'!L753,222)-MAX('Activities'!K753,216))</x:f>
        <x:v>0</x:v>
      </x:c>
      <x:c r="AP753" s="23" t="n">
        <x:f>MAX(0,MIN('Activities'!L753,228)-MAX('Activities'!K753,222))</x:f>
        <x:v>0</x:v>
      </x:c>
      <x:c r="AQ753" s="23" t="n">
        <x:f>MAX(0,MIN('Activities'!L753,234)-MAX('Activities'!K753,228))</x:f>
        <x:v>0</x:v>
      </x:c>
      <x:c r="AR753" s="23" t="n">
        <x:f>MAX(0,MIN('Activities'!L753,240)-MAX('Activities'!K753,234))</x:f>
        <x:v>0</x:v>
      </x:c>
      <x:c r="AS753" s="23" t="n">
        <x:f>MAX(0,MIN('Activities'!L753,246)-MAX('Activities'!K753,240))</x:f>
        <x:v>0</x:v>
      </x:c>
      <x:c r="AT753" s="23" t="n">
        <x:f>MAX(0,MIN('Activities'!L753,252)-MAX('Activities'!K753,246))</x:f>
        <x:v>0</x:v>
      </x:c>
      <x:c r="AU753" s="23" t="n">
        <x:f>MAX(0,MIN('Activities'!L753,258)-MAX('Activities'!K753,252))</x:f>
        <x:v>0</x:v>
      </x:c>
      <x:c r="AV753" s="23" t="n">
        <x:f>MAX(0,MIN('Activities'!L753,264)-MAX('Activities'!K753,258))</x:f>
        <x:v>0</x:v>
      </x:c>
      <x:c r="AW753" s="23" t="n">
        <x:f>MAX(0,MIN('Activities'!L753,270)-MAX('Activities'!K753,264))</x:f>
        <x:v>0</x:v>
      </x:c>
      <x:c r="AX753" s="23" t="n">
        <x:f>MAX(0,MIN('Activities'!L753,276)-MAX('Activities'!K753,270))</x:f>
        <x:v>0</x:v>
      </x:c>
      <x:c r="AY753" s="23" t="n">
        <x:f>MAX(0,MIN('Activities'!L753,282)-MAX('Activities'!K753,276))</x:f>
        <x:v>0</x:v>
      </x:c>
      <x:c r="AZ753" s="23" t="n">
        <x:f>MAX(0,MIN('Activities'!L753,288)-MAX('Activities'!K753,282))</x:f>
        <x:v>0</x:v>
      </x:c>
      <x:c r="BA753" s="23" t="n">
        <x:f>MAX(0,MIN('Activities'!L753,294)-MAX('Activities'!K753,288))</x:f>
        <x:v>0</x:v>
      </x:c>
      <x:c r="BB753" s="23" t="n">
        <x:f>MAX(0,MIN('Activities'!L753,300)-MAX('Activities'!K753,294))</x:f>
        <x:v>0</x:v>
      </x:c>
      <x:c r="BC753" s="23" t="n">
        <x:f>MAX(0,MIN('Activities'!L753,306)-MAX('Activities'!K753,300))</x:f>
        <x:v>0</x:v>
      </x:c>
      <x:c r="BD753" s="23" t="n">
        <x:f>MAX(0,MIN('Activities'!L753,312)-MAX('Activities'!K753,306))</x:f>
        <x:v>0</x:v>
      </x:c>
      <x:c r="BE753" s="23" t="n">
        <x:f>MAX(0,MIN('Activities'!L753,318)-MAX('Activities'!K753,312))</x:f>
        <x:v>0</x:v>
      </x:c>
      <x:c r="BF753" s="23" t="n">
        <x:f>MAX(0,MIN('Activities'!L753,324)-MAX('Activities'!K753,318))</x:f>
        <x:v>0</x:v>
      </x:c>
      <x:c r="BG753" s="23" t="n">
        <x:f>MAX(0,MIN('Activities'!L753,330)-MAX('Activities'!K753,324))</x:f>
        <x:v>0</x:v>
      </x:c>
      <x:c r="BH753" s="23" t="n">
        <x:f>MAX(0,MIN('Activities'!L753,336)-MAX('Activities'!K753,330))</x:f>
        <x:v>0</x:v>
      </x:c>
      <x:c r="BI753" s="23" t="n">
        <x:f>MAX(0,MIN('Activities'!L753,342)-MAX('Activities'!K753,336))</x:f>
        <x:v>0</x:v>
      </x:c>
      <x:c r="BJ753" s="23" t="n">
        <x:f>MAX(0,MIN('Activities'!L753,348)-MAX('Activities'!K753,342))</x:f>
        <x:v>0</x:v>
      </x:c>
      <x:c r="BK753" s="23" t="n">
        <x:f>MAX(0,MIN('Activities'!L753,354)-MAX('Activities'!K753,348))</x:f>
        <x:v>0</x:v>
      </x:c>
      <x:c r="BL753" s="23" t="n">
        <x:f>MAX(0,MIN('Activities'!L753,360)-MAX('Activities'!K753,354))</x:f>
        <x:v>0</x:v>
      </x:c>
      <x:c r="BM753" s="23" t="n">
        <x:f>MAX(0,MIN('Activities'!L753,366)-MAX('Activities'!K753,360))</x:f>
        <x:v>0</x:v>
      </x:c>
      <x:c r="BN753" s="23" t="n">
        <x:f>MAX(0,MIN('Activities'!L753,372)-MAX('Activities'!K753,366))</x:f>
        <x:v>0</x:v>
      </x:c>
      <x:c r="BO753" s="23" t="n">
        <x:f>MAX(0,MIN('Activities'!L753,378)-MAX('Activities'!K753,372))</x:f>
        <x:v>0</x:v>
      </x:c>
      <x:c r="BP753" s="23" t="n">
        <x:f>MAX(0,MIN('Activities'!L753,384)-MAX('Activities'!K753,378))</x:f>
        <x:v>0</x:v>
      </x:c>
      <x:c r="BQ753" s="23" t="n">
        <x:f>MAX(0,MIN('Activities'!L753,390)-MAX('Activities'!K753,384))</x:f>
        <x:v>0</x:v>
      </x:c>
      <x:c r="BR753" s="23" t="n">
        <x:f>MAX(0,MIN('Activities'!L753,396)-MAX('Activities'!K753,390))</x:f>
        <x:v>0</x:v>
      </x:c>
      <x:c r="BS753" s="23" t="n">
        <x:f>MAX(0,MIN('Activities'!L753,402)-MAX('Activities'!K753,396))</x:f>
        <x:v>0</x:v>
      </x:c>
      <x:c r="BT753" s="23" t="n">
        <x:f>MAX(0,MIN('Activities'!L753,408)-MAX('Activities'!K753,402))</x:f>
        <x:v>0</x:v>
      </x:c>
      <x:c r="BU753" s="23" t="n">
        <x:f>MAX(0,MIN('Activities'!L753,414)-MAX('Activities'!K753,408))</x:f>
        <x:v>0</x:v>
      </x:c>
      <x:c r="BV753" s="23" t="n">
        <x:f>MAX(0,MIN('Activities'!L753,420)-MAX('Activities'!K753,414))</x:f>
        <x:v>0</x:v>
      </x:c>
      <x:c r="BW753" s="23" t="n">
        <x:f>MAX(0,MIN('Activities'!L753,426)-MAX('Activities'!K753,420))</x:f>
        <x:v>0</x:v>
      </x:c>
      <x:c r="BX753" s="23" t="n">
        <x:f>MAX(0,MIN('Activities'!L753,432)-MAX('Activities'!K753,426))</x:f>
        <x:v>0</x:v>
      </x:c>
      <x:c r="BY753" s="23" t="n">
        <x:f>MAX(0,MIN('Activities'!L753,438)-MAX('Activities'!K753,432))</x:f>
        <x:v>0</x:v>
      </x:c>
      <x:c r="BZ753" s="23" t="n">
        <x:f>MAX(0,MIN('Activities'!L753,444)-MAX('Activities'!K753,438))</x:f>
        <x:v>0</x:v>
      </x:c>
      <x:c r="CA753" s="23" t="n">
        <x:f>MAX(0,MIN('Activities'!L753,450)-MAX('Activities'!K753,444))</x:f>
        <x:v>0</x:v>
      </x:c>
      <x:c r="CB753" s="23" t="n">
        <x:f>MAX(0,MIN('Activities'!L753,456)-MAX('Activities'!K753,450))</x:f>
        <x:v>0</x:v>
      </x:c>
      <x:c r="CC753" s="23" t="n">
        <x:f>MAX(0,MIN('Activities'!L753,462)-MAX('Activities'!K753,456))</x:f>
        <x:v>0</x:v>
      </x:c>
      <x:c r="CD753" s="23" t="n">
        <x:f>MAX(0,MIN('Activities'!L753,468)-MAX('Activities'!K753,462))</x:f>
        <x:v>0</x:v>
      </x:c>
      <x:c r="CE753" s="23" t="n">
        <x:f>MAX(0,MIN('Activities'!L753,474)-MAX('Activities'!K753,468))</x:f>
        <x:v>0</x:v>
      </x:c>
      <x:c r="CF753" s="23" t="n">
        <x:f>MAX(0,MIN('Activities'!L753,480)-MAX('Activities'!K753,474))</x:f>
        <x:v>3</x:v>
      </x:c>
      <x:c r="CG753" s="23" t="n">
        <x:f>MAX(0,MIN('Activities'!L753,486)-MAX('Activities'!K753,480))</x:f>
        <x:v>0</x:v>
      </x:c>
      <x:c r="CH753" s="23" t="n">
        <x:f>MAX(0,MIN('Activities'!L753,492)-MAX('Activities'!K753,486))</x:f>
        <x:v>0</x:v>
      </x:c>
      <x:c r="CI753" s="23" t="n">
        <x:f>MAX(0,MIN('Activities'!L753,498)-MAX('Activities'!K753,492))</x:f>
        <x:v>0</x:v>
      </x:c>
      <x:c r="CJ753" s="23" t="n">
        <x:f>MAX(0,MIN('Activities'!L753,504)-MAX('Activities'!K753,498))</x:f>
        <x:v>0</x:v>
      </x:c>
      <x:c r="CK753" s="23" t="n">
        <x:f>MAX(0,MIN('Activities'!L753,510)-MAX('Activities'!K753,504))</x:f>
        <x:v>0</x:v>
      </x:c>
      <x:c r="CL753" s="23" t="n">
        <x:f>MAX(0,MIN('Activities'!L753,516)-MAX('Activities'!K753,510))</x:f>
        <x:v>0</x:v>
      </x:c>
      <x:c r="CM753" s="23" t="n">
        <x:f>MAX(0,MIN('Activities'!L753,522)-MAX('Activities'!K753,516))</x:f>
        <x:v>0</x:v>
      </x:c>
      <x:c r="CN753" s="23" t="n">
        <x:f>MAX(0,MIN('Activities'!L753,528)-MAX('Activities'!K753,522))</x:f>
        <x:v>0</x:v>
      </x:c>
      <x:c r="CO753" s="23" t="n">
        <x:f>MAX(0,MIN('Activities'!L753,534)-MAX('Activities'!K753,528))</x:f>
        <x:v>0</x:v>
      </x:c>
      <x:c r="CP753" s="23" t="n">
        <x:f>MAX(0,MIN('Activities'!L753,540)-MAX('Activities'!K753,534))</x:f>
        <x:v>0</x:v>
      </x:c>
      <x:c r="CQ753" s="23" t="n">
        <x:f>MAX(0,MIN('Activities'!L753,546)-MAX('Activities'!K753,540))</x:f>
        <x:v>0</x:v>
      </x:c>
      <x:c r="CR753" s="23" t="n">
        <x:f>MAX(0,MIN('Activities'!L753,552)-MAX('Activities'!K753,546))</x:f>
        <x:v>0</x:v>
      </x:c>
      <x:c r="CS753" s="23" t="n">
        <x:f>MAX(0,MIN('Activities'!L753,558)-MAX('Activities'!K753,552))</x:f>
        <x:v>0</x:v>
      </x:c>
      <x:c r="CT753" s="23" t="n">
        <x:f>MAX(0,MIN('Activities'!L753,564)-MAX('Activities'!K753,558))</x:f>
        <x:v>0</x:v>
      </x:c>
      <x:c r="CU753" s="23" t="n">
        <x:f>MAX(0,MIN('Activities'!L753,570)-MAX('Activities'!K753,564))</x:f>
        <x:v>0</x:v>
      </x:c>
      <x:c r="CV753" s="23" t="n">
        <x:f>MAX(0,MIN('Activities'!L753,576)-MAX('Activities'!K753,570))</x:f>
        <x:v>0</x:v>
      </x:c>
      <x:c r="CW753" s="23" t="n">
        <x:f>MAX(0,MIN('Activities'!L753,582)-MAX('Activities'!K753,576))</x:f>
        <x:v>0</x:v>
      </x:c>
      <x:c r="CX753" s="23" t="n">
        <x:f>MAX(0,MIN('Activities'!L753,588)-MAX('Activities'!K753,582))</x:f>
        <x:v>0</x:v>
      </x:c>
      <x:c r="CY753" s="23" t="n">
        <x:f>MAX(0,MIN('Activities'!L753,594)-MAX('Activities'!K753,588))</x:f>
        <x:v>0</x:v>
      </x:c>
      <x:c r="CZ753" s="23" t="n">
        <x:f>MAX(0,MIN('Activities'!L753,600)-MAX('Activities'!K753,594))</x:f>
        <x:v>0</x:v>
      </x:c>
      <x:c r="DA753" s="23" t="n">
        <x:f>MAX(0,MIN('Activities'!L753,606)-MAX('Activities'!K753,600))</x:f>
        <x:v>0</x:v>
      </x:c>
      <x:c r="DB753" s="23" t="n">
        <x:f>MAX(0,MIN('Activities'!L753,612)-MAX('Activities'!K753,606))</x:f>
        <x:v>0</x:v>
      </x:c>
      <x:c r="DC753" s="23" t="n">
        <x:f>MAX(0,MIN('Activities'!L753,618)-MAX('Activities'!K753,612))</x:f>
        <x:v>0</x:v>
      </x:c>
      <x:c r="DD753" s="23" t="n">
        <x:f>MAX(0,MIN('Activities'!L753,624)-MAX('Activities'!K753,618))</x:f>
        <x:v>0</x:v>
      </x:c>
      <x:c r="DE753" s="23" t="n">
        <x:f>MAX(0,MIN('Activities'!L753,630)-MAX('Activities'!K753,624))</x:f>
        <x:v>0</x:v>
      </x:c>
      <x:c r="DF753" s="23" t="n">
        <x:f>MAX(0,MIN('Activities'!L753,636)-MAX('Activities'!K753,630))</x:f>
        <x:v>0</x:v>
      </x:c>
    </x:row>
    <x:row r="754" ht="23" customHeight="1">
      <x:c r="A754" s="6" t="str">
        <x:v>T6-L03-M</x:v>
      </x:c>
      <x:c r="B754" s="6" t="str">
        <x:v>T6</x:v>
      </x:c>
      <x:c r="C754" s="6" t="str">
        <x:v>Partition masonry</x:v>
      </x:c>
      <x:c r="D754" s="6" t="str">
        <x:v>Masonry</x:v>
      </x:c>
      <x:c r="E754" s="22" t="n">
        <x:f>MAX(0,MIN('Activities'!L754,6)-MAX('Activities'!K754,0))</x:f>
        <x:v>0</x:v>
      </x:c>
      <x:c r="F754" s="22" t="n">
        <x:f>MAX(0,MIN('Activities'!L754,12)-MAX('Activities'!K754,6))</x:f>
        <x:v>0</x:v>
      </x:c>
      <x:c r="G754" s="22" t="n">
        <x:f>MAX(0,MIN('Activities'!L754,18)-MAX('Activities'!K754,12))</x:f>
        <x:v>0</x:v>
      </x:c>
      <x:c r="H754" s="22" t="n">
        <x:f>MAX(0,MIN('Activities'!L754,24)-MAX('Activities'!K754,18))</x:f>
        <x:v>0</x:v>
      </x:c>
      <x:c r="I754" s="22" t="n">
        <x:f>MAX(0,MIN('Activities'!L754,30)-MAX('Activities'!K754,24))</x:f>
        <x:v>0</x:v>
      </x:c>
      <x:c r="J754" s="22" t="n">
        <x:f>MAX(0,MIN('Activities'!L754,36)-MAX('Activities'!K754,30))</x:f>
        <x:v>0</x:v>
      </x:c>
      <x:c r="K754" s="22" t="n">
        <x:f>MAX(0,MIN('Activities'!L754,42)-MAX('Activities'!K754,36))</x:f>
        <x:v>0</x:v>
      </x:c>
      <x:c r="L754" s="22" t="n">
        <x:f>MAX(0,MIN('Activities'!L754,48)-MAX('Activities'!K754,42))</x:f>
        <x:v>0</x:v>
      </x:c>
      <x:c r="M754" s="22" t="n">
        <x:f>MAX(0,MIN('Activities'!L754,54)-MAX('Activities'!K754,48))</x:f>
        <x:v>0</x:v>
      </x:c>
      <x:c r="N754" s="22" t="n">
        <x:f>MAX(0,MIN('Activities'!L754,60)-MAX('Activities'!K754,54))</x:f>
        <x:v>0</x:v>
      </x:c>
      <x:c r="O754" s="22" t="n">
        <x:f>MAX(0,MIN('Activities'!L754,66)-MAX('Activities'!K754,60))</x:f>
        <x:v>0</x:v>
      </x:c>
      <x:c r="P754" s="22" t="n">
        <x:f>MAX(0,MIN('Activities'!L754,72)-MAX('Activities'!K754,66))</x:f>
        <x:v>0</x:v>
      </x:c>
      <x:c r="Q754" s="22" t="n">
        <x:f>MAX(0,MIN('Activities'!L754,78)-MAX('Activities'!K754,72))</x:f>
        <x:v>0</x:v>
      </x:c>
      <x:c r="R754" s="22" t="n">
        <x:f>MAX(0,MIN('Activities'!L754,84)-MAX('Activities'!K754,78))</x:f>
        <x:v>0</x:v>
      </x:c>
      <x:c r="S754" s="22" t="n">
        <x:f>MAX(0,MIN('Activities'!L754,90)-MAX('Activities'!K754,84))</x:f>
        <x:v>0</x:v>
      </x:c>
      <x:c r="T754" s="22" t="n">
        <x:f>MAX(0,MIN('Activities'!L754,96)-MAX('Activities'!K754,90))</x:f>
        <x:v>0</x:v>
      </x:c>
      <x:c r="U754" s="22" t="n">
        <x:f>MAX(0,MIN('Activities'!L754,102)-MAX('Activities'!K754,96))</x:f>
        <x:v>0</x:v>
      </x:c>
      <x:c r="V754" s="22" t="n">
        <x:f>MAX(0,MIN('Activities'!L754,108)-MAX('Activities'!K754,102))</x:f>
        <x:v>0</x:v>
      </x:c>
      <x:c r="W754" s="22" t="n">
        <x:f>MAX(0,MIN('Activities'!L754,114)-MAX('Activities'!K754,108))</x:f>
        <x:v>0</x:v>
      </x:c>
      <x:c r="X754" s="22" t="n">
        <x:f>MAX(0,MIN('Activities'!L754,120)-MAX('Activities'!K754,114))</x:f>
        <x:v>0</x:v>
      </x:c>
      <x:c r="Y754" s="22" t="n">
        <x:f>MAX(0,MIN('Activities'!L754,126)-MAX('Activities'!K754,120))</x:f>
        <x:v>0</x:v>
      </x:c>
      <x:c r="Z754" s="22" t="n">
        <x:f>MAX(0,MIN('Activities'!L754,132)-MAX('Activities'!K754,126))</x:f>
        <x:v>0</x:v>
      </x:c>
      <x:c r="AA754" s="22" t="n">
        <x:f>MAX(0,MIN('Activities'!L754,138)-MAX('Activities'!K754,132))</x:f>
        <x:v>0</x:v>
      </x:c>
      <x:c r="AB754" s="22" t="n">
        <x:f>MAX(0,MIN('Activities'!L754,144)-MAX('Activities'!K754,138))</x:f>
        <x:v>0</x:v>
      </x:c>
      <x:c r="AC754" s="22" t="n">
        <x:f>MAX(0,MIN('Activities'!L754,150)-MAX('Activities'!K754,144))</x:f>
        <x:v>0</x:v>
      </x:c>
      <x:c r="AD754" s="22" t="n">
        <x:f>MAX(0,MIN('Activities'!L754,156)-MAX('Activities'!K754,150))</x:f>
        <x:v>0</x:v>
      </x:c>
      <x:c r="AE754" s="22" t="n">
        <x:f>MAX(0,MIN('Activities'!L754,162)-MAX('Activities'!K754,156))</x:f>
        <x:v>0</x:v>
      </x:c>
      <x:c r="AF754" s="22" t="n">
        <x:f>MAX(0,MIN('Activities'!L754,168)-MAX('Activities'!K754,162))</x:f>
        <x:v>0</x:v>
      </x:c>
      <x:c r="AG754" s="22" t="n">
        <x:f>MAX(0,MIN('Activities'!L754,174)-MAX('Activities'!K754,168))</x:f>
        <x:v>0</x:v>
      </x:c>
      <x:c r="AH754" s="22" t="n">
        <x:f>MAX(0,MIN('Activities'!L754,180)-MAX('Activities'!K754,174))</x:f>
        <x:v>0</x:v>
      </x:c>
      <x:c r="AI754" s="22" t="n">
        <x:f>MAX(0,MIN('Activities'!L754,186)-MAX('Activities'!K754,180))</x:f>
        <x:v>0</x:v>
      </x:c>
      <x:c r="AJ754" s="22" t="n">
        <x:f>MAX(0,MIN('Activities'!L754,192)-MAX('Activities'!K754,186))</x:f>
        <x:v>0</x:v>
      </x:c>
      <x:c r="AK754" s="22" t="n">
        <x:f>MAX(0,MIN('Activities'!L754,198)-MAX('Activities'!K754,192))</x:f>
        <x:v>0</x:v>
      </x:c>
      <x:c r="AL754" s="22" t="n">
        <x:f>MAX(0,MIN('Activities'!L754,204)-MAX('Activities'!K754,198))</x:f>
        <x:v>0</x:v>
      </x:c>
      <x:c r="AM754" s="22" t="n">
        <x:f>MAX(0,MIN('Activities'!L754,210)-MAX('Activities'!K754,204))</x:f>
        <x:v>0</x:v>
      </x:c>
      <x:c r="AN754" s="22" t="n">
        <x:f>MAX(0,MIN('Activities'!L754,216)-MAX('Activities'!K754,210))</x:f>
        <x:v>0</x:v>
      </x:c>
      <x:c r="AO754" s="22" t="n">
        <x:f>MAX(0,MIN('Activities'!L754,222)-MAX('Activities'!K754,216))</x:f>
        <x:v>0</x:v>
      </x:c>
      <x:c r="AP754" s="22" t="n">
        <x:f>MAX(0,MIN('Activities'!L754,228)-MAX('Activities'!K754,222))</x:f>
        <x:v>0</x:v>
      </x:c>
      <x:c r="AQ754" s="22" t="n">
        <x:f>MAX(0,MIN('Activities'!L754,234)-MAX('Activities'!K754,228))</x:f>
        <x:v>0</x:v>
      </x:c>
      <x:c r="AR754" s="22" t="n">
        <x:f>MAX(0,MIN('Activities'!L754,240)-MAX('Activities'!K754,234))</x:f>
        <x:v>0</x:v>
      </x:c>
      <x:c r="AS754" s="22" t="n">
        <x:f>MAX(0,MIN('Activities'!L754,246)-MAX('Activities'!K754,240))</x:f>
        <x:v>0</x:v>
      </x:c>
      <x:c r="AT754" s="22" t="n">
        <x:f>MAX(0,MIN('Activities'!L754,252)-MAX('Activities'!K754,246))</x:f>
        <x:v>0</x:v>
      </x:c>
      <x:c r="AU754" s="22" t="n">
        <x:f>MAX(0,MIN('Activities'!L754,258)-MAX('Activities'!K754,252))</x:f>
        <x:v>0</x:v>
      </x:c>
      <x:c r="AV754" s="22" t="n">
        <x:f>MAX(0,MIN('Activities'!L754,264)-MAX('Activities'!K754,258))</x:f>
        <x:v>0</x:v>
      </x:c>
      <x:c r="AW754" s="22" t="n">
        <x:f>MAX(0,MIN('Activities'!L754,270)-MAX('Activities'!K754,264))</x:f>
        <x:v>0</x:v>
      </x:c>
      <x:c r="AX754" s="22" t="n">
        <x:f>MAX(0,MIN('Activities'!L754,276)-MAX('Activities'!K754,270))</x:f>
        <x:v>0</x:v>
      </x:c>
      <x:c r="AY754" s="22" t="n">
        <x:f>MAX(0,MIN('Activities'!L754,282)-MAX('Activities'!K754,276))</x:f>
        <x:v>0</x:v>
      </x:c>
      <x:c r="AZ754" s="22" t="n">
        <x:f>MAX(0,MIN('Activities'!L754,288)-MAX('Activities'!K754,282))</x:f>
        <x:v>0</x:v>
      </x:c>
      <x:c r="BA754" s="22" t="n">
        <x:f>MAX(0,MIN('Activities'!L754,294)-MAX('Activities'!K754,288))</x:f>
        <x:v>0</x:v>
      </x:c>
      <x:c r="BB754" s="22" t="n">
        <x:f>MAX(0,MIN('Activities'!L754,300)-MAX('Activities'!K754,294))</x:f>
        <x:v>0</x:v>
      </x:c>
      <x:c r="BC754" s="22" t="n">
        <x:f>MAX(0,MIN('Activities'!L754,306)-MAX('Activities'!K754,300))</x:f>
        <x:v>0</x:v>
      </x:c>
      <x:c r="BD754" s="22" t="n">
        <x:f>MAX(0,MIN('Activities'!L754,312)-MAX('Activities'!K754,306))</x:f>
        <x:v>0</x:v>
      </x:c>
      <x:c r="BE754" s="22" t="n">
        <x:f>MAX(0,MIN('Activities'!L754,318)-MAX('Activities'!K754,312))</x:f>
        <x:v>0</x:v>
      </x:c>
      <x:c r="BF754" s="22" t="n">
        <x:f>MAX(0,MIN('Activities'!L754,324)-MAX('Activities'!K754,318))</x:f>
        <x:v>0</x:v>
      </x:c>
      <x:c r="BG754" s="22" t="n">
        <x:f>MAX(0,MIN('Activities'!L754,330)-MAX('Activities'!K754,324))</x:f>
        <x:v>5</x:v>
      </x:c>
      <x:c r="BH754" s="22" t="n">
        <x:f>MAX(0,MIN('Activities'!L754,336)-MAX('Activities'!K754,330))</x:f>
        <x:v>0</x:v>
      </x:c>
      <x:c r="BI754" s="22" t="n">
        <x:f>MAX(0,MIN('Activities'!L754,342)-MAX('Activities'!K754,336))</x:f>
        <x:v>0</x:v>
      </x:c>
      <x:c r="BJ754" s="22" t="n">
        <x:f>MAX(0,MIN('Activities'!L754,348)-MAX('Activities'!K754,342))</x:f>
        <x:v>0</x:v>
      </x:c>
      <x:c r="BK754" s="22" t="n">
        <x:f>MAX(0,MIN('Activities'!L754,354)-MAX('Activities'!K754,348))</x:f>
        <x:v>0</x:v>
      </x:c>
      <x:c r="BL754" s="22" t="n">
        <x:f>MAX(0,MIN('Activities'!L754,360)-MAX('Activities'!K754,354))</x:f>
        <x:v>0</x:v>
      </x:c>
      <x:c r="BM754" s="22" t="n">
        <x:f>MAX(0,MIN('Activities'!L754,366)-MAX('Activities'!K754,360))</x:f>
        <x:v>0</x:v>
      </x:c>
      <x:c r="BN754" s="22" t="n">
        <x:f>MAX(0,MIN('Activities'!L754,372)-MAX('Activities'!K754,366))</x:f>
        <x:v>0</x:v>
      </x:c>
      <x:c r="BO754" s="22" t="n">
        <x:f>MAX(0,MIN('Activities'!L754,378)-MAX('Activities'!K754,372))</x:f>
        <x:v>0</x:v>
      </x:c>
      <x:c r="BP754" s="22" t="n">
        <x:f>MAX(0,MIN('Activities'!L754,384)-MAX('Activities'!K754,378))</x:f>
        <x:v>0</x:v>
      </x:c>
      <x:c r="BQ754" s="22" t="n">
        <x:f>MAX(0,MIN('Activities'!L754,390)-MAX('Activities'!K754,384))</x:f>
        <x:v>0</x:v>
      </x:c>
      <x:c r="BR754" s="22" t="n">
        <x:f>MAX(0,MIN('Activities'!L754,396)-MAX('Activities'!K754,390))</x:f>
        <x:v>0</x:v>
      </x:c>
      <x:c r="BS754" s="22" t="n">
        <x:f>MAX(0,MIN('Activities'!L754,402)-MAX('Activities'!K754,396))</x:f>
        <x:v>0</x:v>
      </x:c>
      <x:c r="BT754" s="22" t="n">
        <x:f>MAX(0,MIN('Activities'!L754,408)-MAX('Activities'!K754,402))</x:f>
        <x:v>0</x:v>
      </x:c>
      <x:c r="BU754" s="22" t="n">
        <x:f>MAX(0,MIN('Activities'!L754,414)-MAX('Activities'!K754,408))</x:f>
        <x:v>0</x:v>
      </x:c>
      <x:c r="BV754" s="22" t="n">
        <x:f>MAX(0,MIN('Activities'!L754,420)-MAX('Activities'!K754,414))</x:f>
        <x:v>0</x:v>
      </x:c>
      <x:c r="BW754" s="22" t="n">
        <x:f>MAX(0,MIN('Activities'!L754,426)-MAX('Activities'!K754,420))</x:f>
        <x:v>0</x:v>
      </x:c>
      <x:c r="BX754" s="22" t="n">
        <x:f>MAX(0,MIN('Activities'!L754,432)-MAX('Activities'!K754,426))</x:f>
        <x:v>0</x:v>
      </x:c>
      <x:c r="BY754" s="22" t="n">
        <x:f>MAX(0,MIN('Activities'!L754,438)-MAX('Activities'!K754,432))</x:f>
        <x:v>0</x:v>
      </x:c>
      <x:c r="BZ754" s="22" t="n">
        <x:f>MAX(0,MIN('Activities'!L754,444)-MAX('Activities'!K754,438))</x:f>
        <x:v>0</x:v>
      </x:c>
      <x:c r="CA754" s="22" t="n">
        <x:f>MAX(0,MIN('Activities'!L754,450)-MAX('Activities'!K754,444))</x:f>
        <x:v>0</x:v>
      </x:c>
      <x:c r="CB754" s="22" t="n">
        <x:f>MAX(0,MIN('Activities'!L754,456)-MAX('Activities'!K754,450))</x:f>
        <x:v>0</x:v>
      </x:c>
      <x:c r="CC754" s="22" t="n">
        <x:f>MAX(0,MIN('Activities'!L754,462)-MAX('Activities'!K754,456))</x:f>
        <x:v>0</x:v>
      </x:c>
      <x:c r="CD754" s="22" t="n">
        <x:f>MAX(0,MIN('Activities'!L754,468)-MAX('Activities'!K754,462))</x:f>
        <x:v>0</x:v>
      </x:c>
      <x:c r="CE754" s="22" t="n">
        <x:f>MAX(0,MIN('Activities'!L754,474)-MAX('Activities'!K754,468))</x:f>
        <x:v>0</x:v>
      </x:c>
      <x:c r="CF754" s="22" t="n">
        <x:f>MAX(0,MIN('Activities'!L754,480)-MAX('Activities'!K754,474))</x:f>
        <x:v>0</x:v>
      </x:c>
      <x:c r="CG754" s="22" t="n">
        <x:f>MAX(0,MIN('Activities'!L754,486)-MAX('Activities'!K754,480))</x:f>
        <x:v>0</x:v>
      </x:c>
      <x:c r="CH754" s="22" t="n">
        <x:f>MAX(0,MIN('Activities'!L754,492)-MAX('Activities'!K754,486))</x:f>
        <x:v>0</x:v>
      </x:c>
      <x:c r="CI754" s="22" t="n">
        <x:f>MAX(0,MIN('Activities'!L754,498)-MAX('Activities'!K754,492))</x:f>
        <x:v>0</x:v>
      </x:c>
      <x:c r="CJ754" s="22" t="n">
        <x:f>MAX(0,MIN('Activities'!L754,504)-MAX('Activities'!K754,498))</x:f>
        <x:v>0</x:v>
      </x:c>
      <x:c r="CK754" s="22" t="n">
        <x:f>MAX(0,MIN('Activities'!L754,510)-MAX('Activities'!K754,504))</x:f>
        <x:v>0</x:v>
      </x:c>
      <x:c r="CL754" s="22" t="n">
        <x:f>MAX(0,MIN('Activities'!L754,516)-MAX('Activities'!K754,510))</x:f>
        <x:v>0</x:v>
      </x:c>
      <x:c r="CM754" s="22" t="n">
        <x:f>MAX(0,MIN('Activities'!L754,522)-MAX('Activities'!K754,516))</x:f>
        <x:v>0</x:v>
      </x:c>
      <x:c r="CN754" s="22" t="n">
        <x:f>MAX(0,MIN('Activities'!L754,528)-MAX('Activities'!K754,522))</x:f>
        <x:v>0</x:v>
      </x:c>
      <x:c r="CO754" s="22" t="n">
        <x:f>MAX(0,MIN('Activities'!L754,534)-MAX('Activities'!K754,528))</x:f>
        <x:v>0</x:v>
      </x:c>
      <x:c r="CP754" s="22" t="n">
        <x:f>MAX(0,MIN('Activities'!L754,540)-MAX('Activities'!K754,534))</x:f>
        <x:v>0</x:v>
      </x:c>
      <x:c r="CQ754" s="22" t="n">
        <x:f>MAX(0,MIN('Activities'!L754,546)-MAX('Activities'!K754,540))</x:f>
        <x:v>0</x:v>
      </x:c>
      <x:c r="CR754" s="22" t="n">
        <x:f>MAX(0,MIN('Activities'!L754,552)-MAX('Activities'!K754,546))</x:f>
        <x:v>0</x:v>
      </x:c>
      <x:c r="CS754" s="22" t="n">
        <x:f>MAX(0,MIN('Activities'!L754,558)-MAX('Activities'!K754,552))</x:f>
        <x:v>0</x:v>
      </x:c>
      <x:c r="CT754" s="22" t="n">
        <x:f>MAX(0,MIN('Activities'!L754,564)-MAX('Activities'!K754,558))</x:f>
        <x:v>0</x:v>
      </x:c>
      <x:c r="CU754" s="22" t="n">
        <x:f>MAX(0,MIN('Activities'!L754,570)-MAX('Activities'!K754,564))</x:f>
        <x:v>0</x:v>
      </x:c>
      <x:c r="CV754" s="22" t="n">
        <x:f>MAX(0,MIN('Activities'!L754,576)-MAX('Activities'!K754,570))</x:f>
        <x:v>0</x:v>
      </x:c>
      <x:c r="CW754" s="22" t="n">
        <x:f>MAX(0,MIN('Activities'!L754,582)-MAX('Activities'!K754,576))</x:f>
        <x:v>0</x:v>
      </x:c>
      <x:c r="CX754" s="22" t="n">
        <x:f>MAX(0,MIN('Activities'!L754,588)-MAX('Activities'!K754,582))</x:f>
        <x:v>0</x:v>
      </x:c>
      <x:c r="CY754" s="22" t="n">
        <x:f>MAX(0,MIN('Activities'!L754,594)-MAX('Activities'!K754,588))</x:f>
        <x:v>0</x:v>
      </x:c>
      <x:c r="CZ754" s="22" t="n">
        <x:f>MAX(0,MIN('Activities'!L754,600)-MAX('Activities'!K754,594))</x:f>
        <x:v>0</x:v>
      </x:c>
      <x:c r="DA754" s="22" t="n">
        <x:f>MAX(0,MIN('Activities'!L754,606)-MAX('Activities'!K754,600))</x:f>
        <x:v>0</x:v>
      </x:c>
      <x:c r="DB754" s="22" t="n">
        <x:f>MAX(0,MIN('Activities'!L754,612)-MAX('Activities'!K754,606))</x:f>
        <x:v>0</x:v>
      </x:c>
      <x:c r="DC754" s="22" t="n">
        <x:f>MAX(0,MIN('Activities'!L754,618)-MAX('Activities'!K754,612))</x:f>
        <x:v>0</x:v>
      </x:c>
      <x:c r="DD754" s="22" t="n">
        <x:f>MAX(0,MIN('Activities'!L754,624)-MAX('Activities'!K754,618))</x:f>
        <x:v>0</x:v>
      </x:c>
      <x:c r="DE754" s="22" t="n">
        <x:f>MAX(0,MIN('Activities'!L754,630)-MAX('Activities'!K754,624))</x:f>
        <x:v>0</x:v>
      </x:c>
      <x:c r="DF754" s="22" t="n">
        <x:f>MAX(0,MIN('Activities'!L754,636)-MAX('Activities'!K754,630))</x:f>
        <x:v>0</x:v>
      </x:c>
    </x:row>
    <x:row r="755" ht="23" customHeight="1">
      <x:c r="A755" s="1" t="str">
        <x:v>T6-L03-P</x:v>
      </x:c>
      <x:c r="B755" s="1" t="str">
        <x:v>T6</x:v>
      </x:c>
      <x:c r="C755" s="1" t="str">
        <x:v>Internal plaster</x:v>
      </x:c>
      <x:c r="D755" s="1" t="str">
        <x:v>Finishes</x:v>
      </x:c>
      <x:c r="E755" s="23" t="n">
        <x:f>MAX(0,MIN('Activities'!L755,6)-MAX('Activities'!K755,0))</x:f>
        <x:v>0</x:v>
      </x:c>
      <x:c r="F755" s="23" t="n">
        <x:f>MAX(0,MIN('Activities'!L755,12)-MAX('Activities'!K755,6))</x:f>
        <x:v>0</x:v>
      </x:c>
      <x:c r="G755" s="23" t="n">
        <x:f>MAX(0,MIN('Activities'!L755,18)-MAX('Activities'!K755,12))</x:f>
        <x:v>0</x:v>
      </x:c>
      <x:c r="H755" s="23" t="n">
        <x:f>MAX(0,MIN('Activities'!L755,24)-MAX('Activities'!K755,18))</x:f>
        <x:v>0</x:v>
      </x:c>
      <x:c r="I755" s="23" t="n">
        <x:f>MAX(0,MIN('Activities'!L755,30)-MAX('Activities'!K755,24))</x:f>
        <x:v>0</x:v>
      </x:c>
      <x:c r="J755" s="23" t="n">
        <x:f>MAX(0,MIN('Activities'!L755,36)-MAX('Activities'!K755,30))</x:f>
        <x:v>0</x:v>
      </x:c>
      <x:c r="K755" s="23" t="n">
        <x:f>MAX(0,MIN('Activities'!L755,42)-MAX('Activities'!K755,36))</x:f>
        <x:v>0</x:v>
      </x:c>
      <x:c r="L755" s="23" t="n">
        <x:f>MAX(0,MIN('Activities'!L755,48)-MAX('Activities'!K755,42))</x:f>
        <x:v>0</x:v>
      </x:c>
      <x:c r="M755" s="23" t="n">
        <x:f>MAX(0,MIN('Activities'!L755,54)-MAX('Activities'!K755,48))</x:f>
        <x:v>0</x:v>
      </x:c>
      <x:c r="N755" s="23" t="n">
        <x:f>MAX(0,MIN('Activities'!L755,60)-MAX('Activities'!K755,54))</x:f>
        <x:v>0</x:v>
      </x:c>
      <x:c r="O755" s="23" t="n">
        <x:f>MAX(0,MIN('Activities'!L755,66)-MAX('Activities'!K755,60))</x:f>
        <x:v>0</x:v>
      </x:c>
      <x:c r="P755" s="23" t="n">
        <x:f>MAX(0,MIN('Activities'!L755,72)-MAX('Activities'!K755,66))</x:f>
        <x:v>0</x:v>
      </x:c>
      <x:c r="Q755" s="23" t="n">
        <x:f>MAX(0,MIN('Activities'!L755,78)-MAX('Activities'!K755,72))</x:f>
        <x:v>0</x:v>
      </x:c>
      <x:c r="R755" s="23" t="n">
        <x:f>MAX(0,MIN('Activities'!L755,84)-MAX('Activities'!K755,78))</x:f>
        <x:v>0</x:v>
      </x:c>
      <x:c r="S755" s="23" t="n">
        <x:f>MAX(0,MIN('Activities'!L755,90)-MAX('Activities'!K755,84))</x:f>
        <x:v>0</x:v>
      </x:c>
      <x:c r="T755" s="23" t="n">
        <x:f>MAX(0,MIN('Activities'!L755,96)-MAX('Activities'!K755,90))</x:f>
        <x:v>0</x:v>
      </x:c>
      <x:c r="U755" s="23" t="n">
        <x:f>MAX(0,MIN('Activities'!L755,102)-MAX('Activities'!K755,96))</x:f>
        <x:v>0</x:v>
      </x:c>
      <x:c r="V755" s="23" t="n">
        <x:f>MAX(0,MIN('Activities'!L755,108)-MAX('Activities'!K755,102))</x:f>
        <x:v>0</x:v>
      </x:c>
      <x:c r="W755" s="23" t="n">
        <x:f>MAX(0,MIN('Activities'!L755,114)-MAX('Activities'!K755,108))</x:f>
        <x:v>0</x:v>
      </x:c>
      <x:c r="X755" s="23" t="n">
        <x:f>MAX(0,MIN('Activities'!L755,120)-MAX('Activities'!K755,114))</x:f>
        <x:v>0</x:v>
      </x:c>
      <x:c r="Y755" s="23" t="n">
        <x:f>MAX(0,MIN('Activities'!L755,126)-MAX('Activities'!K755,120))</x:f>
        <x:v>0</x:v>
      </x:c>
      <x:c r="Z755" s="23" t="n">
        <x:f>MAX(0,MIN('Activities'!L755,132)-MAX('Activities'!K755,126))</x:f>
        <x:v>0</x:v>
      </x:c>
      <x:c r="AA755" s="23" t="n">
        <x:f>MAX(0,MIN('Activities'!L755,138)-MAX('Activities'!K755,132))</x:f>
        <x:v>0</x:v>
      </x:c>
      <x:c r="AB755" s="23" t="n">
        <x:f>MAX(0,MIN('Activities'!L755,144)-MAX('Activities'!K755,138))</x:f>
        <x:v>0</x:v>
      </x:c>
      <x:c r="AC755" s="23" t="n">
        <x:f>MAX(0,MIN('Activities'!L755,150)-MAX('Activities'!K755,144))</x:f>
        <x:v>0</x:v>
      </x:c>
      <x:c r="AD755" s="23" t="n">
        <x:f>MAX(0,MIN('Activities'!L755,156)-MAX('Activities'!K755,150))</x:f>
        <x:v>0</x:v>
      </x:c>
      <x:c r="AE755" s="23" t="n">
        <x:f>MAX(0,MIN('Activities'!L755,162)-MAX('Activities'!K755,156))</x:f>
        <x:v>0</x:v>
      </x:c>
      <x:c r="AF755" s="23" t="n">
        <x:f>MAX(0,MIN('Activities'!L755,168)-MAX('Activities'!K755,162))</x:f>
        <x:v>0</x:v>
      </x:c>
      <x:c r="AG755" s="23" t="n">
        <x:f>MAX(0,MIN('Activities'!L755,174)-MAX('Activities'!K755,168))</x:f>
        <x:v>0</x:v>
      </x:c>
      <x:c r="AH755" s="23" t="n">
        <x:f>MAX(0,MIN('Activities'!L755,180)-MAX('Activities'!K755,174))</x:f>
        <x:v>0</x:v>
      </x:c>
      <x:c r="AI755" s="23" t="n">
        <x:f>MAX(0,MIN('Activities'!L755,186)-MAX('Activities'!K755,180))</x:f>
        <x:v>0</x:v>
      </x:c>
      <x:c r="AJ755" s="23" t="n">
        <x:f>MAX(0,MIN('Activities'!L755,192)-MAX('Activities'!K755,186))</x:f>
        <x:v>0</x:v>
      </x:c>
      <x:c r="AK755" s="23" t="n">
        <x:f>MAX(0,MIN('Activities'!L755,198)-MAX('Activities'!K755,192))</x:f>
        <x:v>0</x:v>
      </x:c>
      <x:c r="AL755" s="23" t="n">
        <x:f>MAX(0,MIN('Activities'!L755,204)-MAX('Activities'!K755,198))</x:f>
        <x:v>0</x:v>
      </x:c>
      <x:c r="AM755" s="23" t="n">
        <x:f>MAX(0,MIN('Activities'!L755,210)-MAX('Activities'!K755,204))</x:f>
        <x:v>0</x:v>
      </x:c>
      <x:c r="AN755" s="23" t="n">
        <x:f>MAX(0,MIN('Activities'!L755,216)-MAX('Activities'!K755,210))</x:f>
        <x:v>0</x:v>
      </x:c>
      <x:c r="AO755" s="23" t="n">
        <x:f>MAX(0,MIN('Activities'!L755,222)-MAX('Activities'!K755,216))</x:f>
        <x:v>0</x:v>
      </x:c>
      <x:c r="AP755" s="23" t="n">
        <x:f>MAX(0,MIN('Activities'!L755,228)-MAX('Activities'!K755,222))</x:f>
        <x:v>0</x:v>
      </x:c>
      <x:c r="AQ755" s="23" t="n">
        <x:f>MAX(0,MIN('Activities'!L755,234)-MAX('Activities'!K755,228))</x:f>
        <x:v>0</x:v>
      </x:c>
      <x:c r="AR755" s="23" t="n">
        <x:f>MAX(0,MIN('Activities'!L755,240)-MAX('Activities'!K755,234))</x:f>
        <x:v>0</x:v>
      </x:c>
      <x:c r="AS755" s="23" t="n">
        <x:f>MAX(0,MIN('Activities'!L755,246)-MAX('Activities'!K755,240))</x:f>
        <x:v>0</x:v>
      </x:c>
      <x:c r="AT755" s="23" t="n">
        <x:f>MAX(0,MIN('Activities'!L755,252)-MAX('Activities'!K755,246))</x:f>
        <x:v>0</x:v>
      </x:c>
      <x:c r="AU755" s="23" t="n">
        <x:f>MAX(0,MIN('Activities'!L755,258)-MAX('Activities'!K755,252))</x:f>
        <x:v>0</x:v>
      </x:c>
      <x:c r="AV755" s="23" t="n">
        <x:f>MAX(0,MIN('Activities'!L755,264)-MAX('Activities'!K755,258))</x:f>
        <x:v>0</x:v>
      </x:c>
      <x:c r="AW755" s="23" t="n">
        <x:f>MAX(0,MIN('Activities'!L755,270)-MAX('Activities'!K755,264))</x:f>
        <x:v>0</x:v>
      </x:c>
      <x:c r="AX755" s="23" t="n">
        <x:f>MAX(0,MIN('Activities'!L755,276)-MAX('Activities'!K755,270))</x:f>
        <x:v>0</x:v>
      </x:c>
      <x:c r="AY755" s="23" t="n">
        <x:f>MAX(0,MIN('Activities'!L755,282)-MAX('Activities'!K755,276))</x:f>
        <x:v>0</x:v>
      </x:c>
      <x:c r="AZ755" s="23" t="n">
        <x:f>MAX(0,MIN('Activities'!L755,288)-MAX('Activities'!K755,282))</x:f>
        <x:v>0</x:v>
      </x:c>
      <x:c r="BA755" s="23" t="n">
        <x:f>MAX(0,MIN('Activities'!L755,294)-MAX('Activities'!K755,288))</x:f>
        <x:v>0</x:v>
      </x:c>
      <x:c r="BB755" s="23" t="n">
        <x:f>MAX(0,MIN('Activities'!L755,300)-MAX('Activities'!K755,294))</x:f>
        <x:v>0</x:v>
      </x:c>
      <x:c r="BC755" s="23" t="n">
        <x:f>MAX(0,MIN('Activities'!L755,306)-MAX('Activities'!K755,300))</x:f>
        <x:v>0</x:v>
      </x:c>
      <x:c r="BD755" s="23" t="n">
        <x:f>MAX(0,MIN('Activities'!L755,312)-MAX('Activities'!K755,306))</x:f>
        <x:v>0</x:v>
      </x:c>
      <x:c r="BE755" s="23" t="n">
        <x:f>MAX(0,MIN('Activities'!L755,318)-MAX('Activities'!K755,312))</x:f>
        <x:v>0</x:v>
      </x:c>
      <x:c r="BF755" s="23" t="n">
        <x:f>MAX(0,MIN('Activities'!L755,324)-MAX('Activities'!K755,318))</x:f>
        <x:v>0</x:v>
      </x:c>
      <x:c r="BG755" s="23" t="n">
        <x:f>MAX(0,MIN('Activities'!L755,330)-MAX('Activities'!K755,324))</x:f>
        <x:v>0</x:v>
      </x:c>
      <x:c r="BH755" s="23" t="n">
        <x:f>MAX(0,MIN('Activities'!L755,336)-MAX('Activities'!K755,330))</x:f>
        <x:v>3</x:v>
      </x:c>
      <x:c r="BI755" s="23" t="n">
        <x:f>MAX(0,MIN('Activities'!L755,342)-MAX('Activities'!K755,336))</x:f>
        <x:v>3</x:v>
      </x:c>
      <x:c r="BJ755" s="23" t="n">
        <x:f>MAX(0,MIN('Activities'!L755,348)-MAX('Activities'!K755,342))</x:f>
        <x:v>0</x:v>
      </x:c>
      <x:c r="BK755" s="23" t="n">
        <x:f>MAX(0,MIN('Activities'!L755,354)-MAX('Activities'!K755,348))</x:f>
        <x:v>0</x:v>
      </x:c>
      <x:c r="BL755" s="23" t="n">
        <x:f>MAX(0,MIN('Activities'!L755,360)-MAX('Activities'!K755,354))</x:f>
        <x:v>0</x:v>
      </x:c>
      <x:c r="BM755" s="23" t="n">
        <x:f>MAX(0,MIN('Activities'!L755,366)-MAX('Activities'!K755,360))</x:f>
        <x:v>0</x:v>
      </x:c>
      <x:c r="BN755" s="23" t="n">
        <x:f>MAX(0,MIN('Activities'!L755,372)-MAX('Activities'!K755,366))</x:f>
        <x:v>0</x:v>
      </x:c>
      <x:c r="BO755" s="23" t="n">
        <x:f>MAX(0,MIN('Activities'!L755,378)-MAX('Activities'!K755,372))</x:f>
        <x:v>0</x:v>
      </x:c>
      <x:c r="BP755" s="23" t="n">
        <x:f>MAX(0,MIN('Activities'!L755,384)-MAX('Activities'!K755,378))</x:f>
        <x:v>0</x:v>
      </x:c>
      <x:c r="BQ755" s="23" t="n">
        <x:f>MAX(0,MIN('Activities'!L755,390)-MAX('Activities'!K755,384))</x:f>
        <x:v>0</x:v>
      </x:c>
      <x:c r="BR755" s="23" t="n">
        <x:f>MAX(0,MIN('Activities'!L755,396)-MAX('Activities'!K755,390))</x:f>
        <x:v>0</x:v>
      </x:c>
      <x:c r="BS755" s="23" t="n">
        <x:f>MAX(0,MIN('Activities'!L755,402)-MAX('Activities'!K755,396))</x:f>
        <x:v>0</x:v>
      </x:c>
      <x:c r="BT755" s="23" t="n">
        <x:f>MAX(0,MIN('Activities'!L755,408)-MAX('Activities'!K755,402))</x:f>
        <x:v>0</x:v>
      </x:c>
      <x:c r="BU755" s="23" t="n">
        <x:f>MAX(0,MIN('Activities'!L755,414)-MAX('Activities'!K755,408))</x:f>
        <x:v>0</x:v>
      </x:c>
      <x:c r="BV755" s="23" t="n">
        <x:f>MAX(0,MIN('Activities'!L755,420)-MAX('Activities'!K755,414))</x:f>
        <x:v>0</x:v>
      </x:c>
      <x:c r="BW755" s="23" t="n">
        <x:f>MAX(0,MIN('Activities'!L755,426)-MAX('Activities'!K755,420))</x:f>
        <x:v>0</x:v>
      </x:c>
      <x:c r="BX755" s="23" t="n">
        <x:f>MAX(0,MIN('Activities'!L755,432)-MAX('Activities'!K755,426))</x:f>
        <x:v>0</x:v>
      </x:c>
      <x:c r="BY755" s="23" t="n">
        <x:f>MAX(0,MIN('Activities'!L755,438)-MAX('Activities'!K755,432))</x:f>
        <x:v>0</x:v>
      </x:c>
      <x:c r="BZ755" s="23" t="n">
        <x:f>MAX(0,MIN('Activities'!L755,444)-MAX('Activities'!K755,438))</x:f>
        <x:v>0</x:v>
      </x:c>
      <x:c r="CA755" s="23" t="n">
        <x:f>MAX(0,MIN('Activities'!L755,450)-MAX('Activities'!K755,444))</x:f>
        <x:v>0</x:v>
      </x:c>
      <x:c r="CB755" s="23" t="n">
        <x:f>MAX(0,MIN('Activities'!L755,456)-MAX('Activities'!K755,450))</x:f>
        <x:v>0</x:v>
      </x:c>
      <x:c r="CC755" s="23" t="n">
        <x:f>MAX(0,MIN('Activities'!L755,462)-MAX('Activities'!K755,456))</x:f>
        <x:v>0</x:v>
      </x:c>
      <x:c r="CD755" s="23" t="n">
        <x:f>MAX(0,MIN('Activities'!L755,468)-MAX('Activities'!K755,462))</x:f>
        <x:v>0</x:v>
      </x:c>
      <x:c r="CE755" s="23" t="n">
        <x:f>MAX(0,MIN('Activities'!L755,474)-MAX('Activities'!K755,468))</x:f>
        <x:v>0</x:v>
      </x:c>
      <x:c r="CF755" s="23" t="n">
        <x:f>MAX(0,MIN('Activities'!L755,480)-MAX('Activities'!K755,474))</x:f>
        <x:v>0</x:v>
      </x:c>
      <x:c r="CG755" s="23" t="n">
        <x:f>MAX(0,MIN('Activities'!L755,486)-MAX('Activities'!K755,480))</x:f>
        <x:v>0</x:v>
      </x:c>
      <x:c r="CH755" s="23" t="n">
        <x:f>MAX(0,MIN('Activities'!L755,492)-MAX('Activities'!K755,486))</x:f>
        <x:v>0</x:v>
      </x:c>
      <x:c r="CI755" s="23" t="n">
        <x:f>MAX(0,MIN('Activities'!L755,498)-MAX('Activities'!K755,492))</x:f>
        <x:v>0</x:v>
      </x:c>
      <x:c r="CJ755" s="23" t="n">
        <x:f>MAX(0,MIN('Activities'!L755,504)-MAX('Activities'!K755,498))</x:f>
        <x:v>0</x:v>
      </x:c>
      <x:c r="CK755" s="23" t="n">
        <x:f>MAX(0,MIN('Activities'!L755,510)-MAX('Activities'!K755,504))</x:f>
        <x:v>0</x:v>
      </x:c>
      <x:c r="CL755" s="23" t="n">
        <x:f>MAX(0,MIN('Activities'!L755,516)-MAX('Activities'!K755,510))</x:f>
        <x:v>0</x:v>
      </x:c>
      <x:c r="CM755" s="23" t="n">
        <x:f>MAX(0,MIN('Activities'!L755,522)-MAX('Activities'!K755,516))</x:f>
        <x:v>0</x:v>
      </x:c>
      <x:c r="CN755" s="23" t="n">
        <x:f>MAX(0,MIN('Activities'!L755,528)-MAX('Activities'!K755,522))</x:f>
        <x:v>0</x:v>
      </x:c>
      <x:c r="CO755" s="23" t="n">
        <x:f>MAX(0,MIN('Activities'!L755,534)-MAX('Activities'!K755,528))</x:f>
        <x:v>0</x:v>
      </x:c>
      <x:c r="CP755" s="23" t="n">
        <x:f>MAX(0,MIN('Activities'!L755,540)-MAX('Activities'!K755,534))</x:f>
        <x:v>0</x:v>
      </x:c>
      <x:c r="CQ755" s="23" t="n">
        <x:f>MAX(0,MIN('Activities'!L755,546)-MAX('Activities'!K755,540))</x:f>
        <x:v>0</x:v>
      </x:c>
      <x:c r="CR755" s="23" t="n">
        <x:f>MAX(0,MIN('Activities'!L755,552)-MAX('Activities'!K755,546))</x:f>
        <x:v>0</x:v>
      </x:c>
      <x:c r="CS755" s="23" t="n">
        <x:f>MAX(0,MIN('Activities'!L755,558)-MAX('Activities'!K755,552))</x:f>
        <x:v>0</x:v>
      </x:c>
      <x:c r="CT755" s="23" t="n">
        <x:f>MAX(0,MIN('Activities'!L755,564)-MAX('Activities'!K755,558))</x:f>
        <x:v>0</x:v>
      </x:c>
      <x:c r="CU755" s="23" t="n">
        <x:f>MAX(0,MIN('Activities'!L755,570)-MAX('Activities'!K755,564))</x:f>
        <x:v>0</x:v>
      </x:c>
      <x:c r="CV755" s="23" t="n">
        <x:f>MAX(0,MIN('Activities'!L755,576)-MAX('Activities'!K755,570))</x:f>
        <x:v>0</x:v>
      </x:c>
      <x:c r="CW755" s="23" t="n">
        <x:f>MAX(0,MIN('Activities'!L755,582)-MAX('Activities'!K755,576))</x:f>
        <x:v>0</x:v>
      </x:c>
      <x:c r="CX755" s="23" t="n">
        <x:f>MAX(0,MIN('Activities'!L755,588)-MAX('Activities'!K755,582))</x:f>
        <x:v>0</x:v>
      </x:c>
      <x:c r="CY755" s="23" t="n">
        <x:f>MAX(0,MIN('Activities'!L755,594)-MAX('Activities'!K755,588))</x:f>
        <x:v>0</x:v>
      </x:c>
      <x:c r="CZ755" s="23" t="n">
        <x:f>MAX(0,MIN('Activities'!L755,600)-MAX('Activities'!K755,594))</x:f>
        <x:v>0</x:v>
      </x:c>
      <x:c r="DA755" s="23" t="n">
        <x:f>MAX(0,MIN('Activities'!L755,606)-MAX('Activities'!K755,600))</x:f>
        <x:v>0</x:v>
      </x:c>
      <x:c r="DB755" s="23" t="n">
        <x:f>MAX(0,MIN('Activities'!L755,612)-MAX('Activities'!K755,606))</x:f>
        <x:v>0</x:v>
      </x:c>
      <x:c r="DC755" s="23" t="n">
        <x:f>MAX(0,MIN('Activities'!L755,618)-MAX('Activities'!K755,612))</x:f>
        <x:v>0</x:v>
      </x:c>
      <x:c r="DD755" s="23" t="n">
        <x:f>MAX(0,MIN('Activities'!L755,624)-MAX('Activities'!K755,618))</x:f>
        <x:v>0</x:v>
      </x:c>
      <x:c r="DE755" s="23" t="n">
        <x:f>MAX(0,MIN('Activities'!L755,630)-MAX('Activities'!K755,624))</x:f>
        <x:v>0</x:v>
      </x:c>
      <x:c r="DF755" s="23" t="n">
        <x:f>MAX(0,MIN('Activities'!L755,636)-MAX('Activities'!K755,630))</x:f>
        <x:v>0</x:v>
      </x:c>
    </x:row>
    <x:row r="756" ht="23" customHeight="1">
      <x:c r="A756" s="6" t="str">
        <x:v>T6-L03-S</x:v>
      </x:c>
      <x:c r="B756" s="6" t="str">
        <x:v>T6</x:v>
      </x:c>
      <x:c r="C756" s="6" t="str">
        <x:v>Screed and substrate preparation</x:v>
      </x:c>
      <x:c r="D756" s="6" t="str">
        <x:v>Finishes</x:v>
      </x:c>
      <x:c r="E756" s="22" t="n">
        <x:f>MAX(0,MIN('Activities'!L756,6)-MAX('Activities'!K756,0))</x:f>
        <x:v>0</x:v>
      </x:c>
      <x:c r="F756" s="22" t="n">
        <x:f>MAX(0,MIN('Activities'!L756,12)-MAX('Activities'!K756,6))</x:f>
        <x:v>0</x:v>
      </x:c>
      <x:c r="G756" s="22" t="n">
        <x:f>MAX(0,MIN('Activities'!L756,18)-MAX('Activities'!K756,12))</x:f>
        <x:v>0</x:v>
      </x:c>
      <x:c r="H756" s="22" t="n">
        <x:f>MAX(0,MIN('Activities'!L756,24)-MAX('Activities'!K756,18))</x:f>
        <x:v>0</x:v>
      </x:c>
      <x:c r="I756" s="22" t="n">
        <x:f>MAX(0,MIN('Activities'!L756,30)-MAX('Activities'!K756,24))</x:f>
        <x:v>0</x:v>
      </x:c>
      <x:c r="J756" s="22" t="n">
        <x:f>MAX(0,MIN('Activities'!L756,36)-MAX('Activities'!K756,30))</x:f>
        <x:v>0</x:v>
      </x:c>
      <x:c r="K756" s="22" t="n">
        <x:f>MAX(0,MIN('Activities'!L756,42)-MAX('Activities'!K756,36))</x:f>
        <x:v>0</x:v>
      </x:c>
      <x:c r="L756" s="22" t="n">
        <x:f>MAX(0,MIN('Activities'!L756,48)-MAX('Activities'!K756,42))</x:f>
        <x:v>0</x:v>
      </x:c>
      <x:c r="M756" s="22" t="n">
        <x:f>MAX(0,MIN('Activities'!L756,54)-MAX('Activities'!K756,48))</x:f>
        <x:v>0</x:v>
      </x:c>
      <x:c r="N756" s="22" t="n">
        <x:f>MAX(0,MIN('Activities'!L756,60)-MAX('Activities'!K756,54))</x:f>
        <x:v>0</x:v>
      </x:c>
      <x:c r="O756" s="22" t="n">
        <x:f>MAX(0,MIN('Activities'!L756,66)-MAX('Activities'!K756,60))</x:f>
        <x:v>0</x:v>
      </x:c>
      <x:c r="P756" s="22" t="n">
        <x:f>MAX(0,MIN('Activities'!L756,72)-MAX('Activities'!K756,66))</x:f>
        <x:v>0</x:v>
      </x:c>
      <x:c r="Q756" s="22" t="n">
        <x:f>MAX(0,MIN('Activities'!L756,78)-MAX('Activities'!K756,72))</x:f>
        <x:v>0</x:v>
      </x:c>
      <x:c r="R756" s="22" t="n">
        <x:f>MAX(0,MIN('Activities'!L756,84)-MAX('Activities'!K756,78))</x:f>
        <x:v>0</x:v>
      </x:c>
      <x:c r="S756" s="22" t="n">
        <x:f>MAX(0,MIN('Activities'!L756,90)-MAX('Activities'!K756,84))</x:f>
        <x:v>0</x:v>
      </x:c>
      <x:c r="T756" s="22" t="n">
        <x:f>MAX(0,MIN('Activities'!L756,96)-MAX('Activities'!K756,90))</x:f>
        <x:v>0</x:v>
      </x:c>
      <x:c r="U756" s="22" t="n">
        <x:f>MAX(0,MIN('Activities'!L756,102)-MAX('Activities'!K756,96))</x:f>
        <x:v>0</x:v>
      </x:c>
      <x:c r="V756" s="22" t="n">
        <x:f>MAX(0,MIN('Activities'!L756,108)-MAX('Activities'!K756,102))</x:f>
        <x:v>0</x:v>
      </x:c>
      <x:c r="W756" s="22" t="n">
        <x:f>MAX(0,MIN('Activities'!L756,114)-MAX('Activities'!K756,108))</x:f>
        <x:v>0</x:v>
      </x:c>
      <x:c r="X756" s="22" t="n">
        <x:f>MAX(0,MIN('Activities'!L756,120)-MAX('Activities'!K756,114))</x:f>
        <x:v>0</x:v>
      </x:c>
      <x:c r="Y756" s="22" t="n">
        <x:f>MAX(0,MIN('Activities'!L756,126)-MAX('Activities'!K756,120))</x:f>
        <x:v>0</x:v>
      </x:c>
      <x:c r="Z756" s="22" t="n">
        <x:f>MAX(0,MIN('Activities'!L756,132)-MAX('Activities'!K756,126))</x:f>
        <x:v>0</x:v>
      </x:c>
      <x:c r="AA756" s="22" t="n">
        <x:f>MAX(0,MIN('Activities'!L756,138)-MAX('Activities'!K756,132))</x:f>
        <x:v>0</x:v>
      </x:c>
      <x:c r="AB756" s="22" t="n">
        <x:f>MAX(0,MIN('Activities'!L756,144)-MAX('Activities'!K756,138))</x:f>
        <x:v>0</x:v>
      </x:c>
      <x:c r="AC756" s="22" t="n">
        <x:f>MAX(0,MIN('Activities'!L756,150)-MAX('Activities'!K756,144))</x:f>
        <x:v>0</x:v>
      </x:c>
      <x:c r="AD756" s="22" t="n">
        <x:f>MAX(0,MIN('Activities'!L756,156)-MAX('Activities'!K756,150))</x:f>
        <x:v>0</x:v>
      </x:c>
      <x:c r="AE756" s="22" t="n">
        <x:f>MAX(0,MIN('Activities'!L756,162)-MAX('Activities'!K756,156))</x:f>
        <x:v>0</x:v>
      </x:c>
      <x:c r="AF756" s="22" t="n">
        <x:f>MAX(0,MIN('Activities'!L756,168)-MAX('Activities'!K756,162))</x:f>
        <x:v>0</x:v>
      </x:c>
      <x:c r="AG756" s="22" t="n">
        <x:f>MAX(0,MIN('Activities'!L756,174)-MAX('Activities'!K756,168))</x:f>
        <x:v>0</x:v>
      </x:c>
      <x:c r="AH756" s="22" t="n">
        <x:f>MAX(0,MIN('Activities'!L756,180)-MAX('Activities'!K756,174))</x:f>
        <x:v>0</x:v>
      </x:c>
      <x:c r="AI756" s="22" t="n">
        <x:f>MAX(0,MIN('Activities'!L756,186)-MAX('Activities'!K756,180))</x:f>
        <x:v>0</x:v>
      </x:c>
      <x:c r="AJ756" s="22" t="n">
        <x:f>MAX(0,MIN('Activities'!L756,192)-MAX('Activities'!K756,186))</x:f>
        <x:v>0</x:v>
      </x:c>
      <x:c r="AK756" s="22" t="n">
        <x:f>MAX(0,MIN('Activities'!L756,198)-MAX('Activities'!K756,192))</x:f>
        <x:v>0</x:v>
      </x:c>
      <x:c r="AL756" s="22" t="n">
        <x:f>MAX(0,MIN('Activities'!L756,204)-MAX('Activities'!K756,198))</x:f>
        <x:v>0</x:v>
      </x:c>
      <x:c r="AM756" s="22" t="n">
        <x:f>MAX(0,MIN('Activities'!L756,210)-MAX('Activities'!K756,204))</x:f>
        <x:v>0</x:v>
      </x:c>
      <x:c r="AN756" s="22" t="n">
        <x:f>MAX(0,MIN('Activities'!L756,216)-MAX('Activities'!K756,210))</x:f>
        <x:v>0</x:v>
      </x:c>
      <x:c r="AO756" s="22" t="n">
        <x:f>MAX(0,MIN('Activities'!L756,222)-MAX('Activities'!K756,216))</x:f>
        <x:v>0</x:v>
      </x:c>
      <x:c r="AP756" s="22" t="n">
        <x:f>MAX(0,MIN('Activities'!L756,228)-MAX('Activities'!K756,222))</x:f>
        <x:v>0</x:v>
      </x:c>
      <x:c r="AQ756" s="22" t="n">
        <x:f>MAX(0,MIN('Activities'!L756,234)-MAX('Activities'!K756,228))</x:f>
        <x:v>0</x:v>
      </x:c>
      <x:c r="AR756" s="22" t="n">
        <x:f>MAX(0,MIN('Activities'!L756,240)-MAX('Activities'!K756,234))</x:f>
        <x:v>0</x:v>
      </x:c>
      <x:c r="AS756" s="22" t="n">
        <x:f>MAX(0,MIN('Activities'!L756,246)-MAX('Activities'!K756,240))</x:f>
        <x:v>0</x:v>
      </x:c>
      <x:c r="AT756" s="22" t="n">
        <x:f>MAX(0,MIN('Activities'!L756,252)-MAX('Activities'!K756,246))</x:f>
        <x:v>0</x:v>
      </x:c>
      <x:c r="AU756" s="22" t="n">
        <x:f>MAX(0,MIN('Activities'!L756,258)-MAX('Activities'!K756,252))</x:f>
        <x:v>0</x:v>
      </x:c>
      <x:c r="AV756" s="22" t="n">
        <x:f>MAX(0,MIN('Activities'!L756,264)-MAX('Activities'!K756,258))</x:f>
        <x:v>0</x:v>
      </x:c>
      <x:c r="AW756" s="22" t="n">
        <x:f>MAX(0,MIN('Activities'!L756,270)-MAX('Activities'!K756,264))</x:f>
        <x:v>0</x:v>
      </x:c>
      <x:c r="AX756" s="22" t="n">
        <x:f>MAX(0,MIN('Activities'!L756,276)-MAX('Activities'!K756,270))</x:f>
        <x:v>0</x:v>
      </x:c>
      <x:c r="AY756" s="22" t="n">
        <x:f>MAX(0,MIN('Activities'!L756,282)-MAX('Activities'!K756,276))</x:f>
        <x:v>0</x:v>
      </x:c>
      <x:c r="AZ756" s="22" t="n">
        <x:f>MAX(0,MIN('Activities'!L756,288)-MAX('Activities'!K756,282))</x:f>
        <x:v>0</x:v>
      </x:c>
      <x:c r="BA756" s="22" t="n">
        <x:f>MAX(0,MIN('Activities'!L756,294)-MAX('Activities'!K756,288))</x:f>
        <x:v>0</x:v>
      </x:c>
      <x:c r="BB756" s="22" t="n">
        <x:f>MAX(0,MIN('Activities'!L756,300)-MAX('Activities'!K756,294))</x:f>
        <x:v>0</x:v>
      </x:c>
      <x:c r="BC756" s="22" t="n">
        <x:f>MAX(0,MIN('Activities'!L756,306)-MAX('Activities'!K756,300))</x:f>
        <x:v>0</x:v>
      </x:c>
      <x:c r="BD756" s="22" t="n">
        <x:f>MAX(0,MIN('Activities'!L756,312)-MAX('Activities'!K756,306))</x:f>
        <x:v>0</x:v>
      </x:c>
      <x:c r="BE756" s="22" t="n">
        <x:f>MAX(0,MIN('Activities'!L756,318)-MAX('Activities'!K756,312))</x:f>
        <x:v>0</x:v>
      </x:c>
      <x:c r="BF756" s="22" t="n">
        <x:f>MAX(0,MIN('Activities'!L756,324)-MAX('Activities'!K756,318))</x:f>
        <x:v>0</x:v>
      </x:c>
      <x:c r="BG756" s="22" t="n">
        <x:f>MAX(0,MIN('Activities'!L756,330)-MAX('Activities'!K756,324))</x:f>
        <x:v>0</x:v>
      </x:c>
      <x:c r="BH756" s="22" t="n">
        <x:f>MAX(0,MIN('Activities'!L756,336)-MAX('Activities'!K756,330))</x:f>
        <x:v>0</x:v>
      </x:c>
      <x:c r="BI756" s="22" t="n">
        <x:f>MAX(0,MIN('Activities'!L756,342)-MAX('Activities'!K756,336))</x:f>
        <x:v>1</x:v>
      </x:c>
      <x:c r="BJ756" s="22" t="n">
        <x:f>MAX(0,MIN('Activities'!L756,348)-MAX('Activities'!K756,342))</x:f>
        <x:v>2</x:v>
      </x:c>
      <x:c r="BK756" s="22" t="n">
        <x:f>MAX(0,MIN('Activities'!L756,354)-MAX('Activities'!K756,348))</x:f>
        <x:v>0</x:v>
      </x:c>
      <x:c r="BL756" s="22" t="n">
        <x:f>MAX(0,MIN('Activities'!L756,360)-MAX('Activities'!K756,354))</x:f>
        <x:v>0</x:v>
      </x:c>
      <x:c r="BM756" s="22" t="n">
        <x:f>MAX(0,MIN('Activities'!L756,366)-MAX('Activities'!K756,360))</x:f>
        <x:v>0</x:v>
      </x:c>
      <x:c r="BN756" s="22" t="n">
        <x:f>MAX(0,MIN('Activities'!L756,372)-MAX('Activities'!K756,366))</x:f>
        <x:v>0</x:v>
      </x:c>
      <x:c r="BO756" s="22" t="n">
        <x:f>MAX(0,MIN('Activities'!L756,378)-MAX('Activities'!K756,372))</x:f>
        <x:v>0</x:v>
      </x:c>
      <x:c r="BP756" s="22" t="n">
        <x:f>MAX(0,MIN('Activities'!L756,384)-MAX('Activities'!K756,378))</x:f>
        <x:v>0</x:v>
      </x:c>
      <x:c r="BQ756" s="22" t="n">
        <x:f>MAX(0,MIN('Activities'!L756,390)-MAX('Activities'!K756,384))</x:f>
        <x:v>0</x:v>
      </x:c>
      <x:c r="BR756" s="22" t="n">
        <x:f>MAX(0,MIN('Activities'!L756,396)-MAX('Activities'!K756,390))</x:f>
        <x:v>0</x:v>
      </x:c>
      <x:c r="BS756" s="22" t="n">
        <x:f>MAX(0,MIN('Activities'!L756,402)-MAX('Activities'!K756,396))</x:f>
        <x:v>0</x:v>
      </x:c>
      <x:c r="BT756" s="22" t="n">
        <x:f>MAX(0,MIN('Activities'!L756,408)-MAX('Activities'!K756,402))</x:f>
        <x:v>0</x:v>
      </x:c>
      <x:c r="BU756" s="22" t="n">
        <x:f>MAX(0,MIN('Activities'!L756,414)-MAX('Activities'!K756,408))</x:f>
        <x:v>0</x:v>
      </x:c>
      <x:c r="BV756" s="22" t="n">
        <x:f>MAX(0,MIN('Activities'!L756,420)-MAX('Activities'!K756,414))</x:f>
        <x:v>0</x:v>
      </x:c>
      <x:c r="BW756" s="22" t="n">
        <x:f>MAX(0,MIN('Activities'!L756,426)-MAX('Activities'!K756,420))</x:f>
        <x:v>0</x:v>
      </x:c>
      <x:c r="BX756" s="22" t="n">
        <x:f>MAX(0,MIN('Activities'!L756,432)-MAX('Activities'!K756,426))</x:f>
        <x:v>0</x:v>
      </x:c>
      <x:c r="BY756" s="22" t="n">
        <x:f>MAX(0,MIN('Activities'!L756,438)-MAX('Activities'!K756,432))</x:f>
        <x:v>0</x:v>
      </x:c>
      <x:c r="BZ756" s="22" t="n">
        <x:f>MAX(0,MIN('Activities'!L756,444)-MAX('Activities'!K756,438))</x:f>
        <x:v>0</x:v>
      </x:c>
      <x:c r="CA756" s="22" t="n">
        <x:f>MAX(0,MIN('Activities'!L756,450)-MAX('Activities'!K756,444))</x:f>
        <x:v>0</x:v>
      </x:c>
      <x:c r="CB756" s="22" t="n">
        <x:f>MAX(0,MIN('Activities'!L756,456)-MAX('Activities'!K756,450))</x:f>
        <x:v>0</x:v>
      </x:c>
      <x:c r="CC756" s="22" t="n">
        <x:f>MAX(0,MIN('Activities'!L756,462)-MAX('Activities'!K756,456))</x:f>
        <x:v>0</x:v>
      </x:c>
      <x:c r="CD756" s="22" t="n">
        <x:f>MAX(0,MIN('Activities'!L756,468)-MAX('Activities'!K756,462))</x:f>
        <x:v>0</x:v>
      </x:c>
      <x:c r="CE756" s="22" t="n">
        <x:f>MAX(0,MIN('Activities'!L756,474)-MAX('Activities'!K756,468))</x:f>
        <x:v>0</x:v>
      </x:c>
      <x:c r="CF756" s="22" t="n">
        <x:f>MAX(0,MIN('Activities'!L756,480)-MAX('Activities'!K756,474))</x:f>
        <x:v>0</x:v>
      </x:c>
      <x:c r="CG756" s="22" t="n">
        <x:f>MAX(0,MIN('Activities'!L756,486)-MAX('Activities'!K756,480))</x:f>
        <x:v>0</x:v>
      </x:c>
      <x:c r="CH756" s="22" t="n">
        <x:f>MAX(0,MIN('Activities'!L756,492)-MAX('Activities'!K756,486))</x:f>
        <x:v>0</x:v>
      </x:c>
      <x:c r="CI756" s="22" t="n">
        <x:f>MAX(0,MIN('Activities'!L756,498)-MAX('Activities'!K756,492))</x:f>
        <x:v>0</x:v>
      </x:c>
      <x:c r="CJ756" s="22" t="n">
        <x:f>MAX(0,MIN('Activities'!L756,504)-MAX('Activities'!K756,498))</x:f>
        <x:v>0</x:v>
      </x:c>
      <x:c r="CK756" s="22" t="n">
        <x:f>MAX(0,MIN('Activities'!L756,510)-MAX('Activities'!K756,504))</x:f>
        <x:v>0</x:v>
      </x:c>
      <x:c r="CL756" s="22" t="n">
        <x:f>MAX(0,MIN('Activities'!L756,516)-MAX('Activities'!K756,510))</x:f>
        <x:v>0</x:v>
      </x:c>
      <x:c r="CM756" s="22" t="n">
        <x:f>MAX(0,MIN('Activities'!L756,522)-MAX('Activities'!K756,516))</x:f>
        <x:v>0</x:v>
      </x:c>
      <x:c r="CN756" s="22" t="n">
        <x:f>MAX(0,MIN('Activities'!L756,528)-MAX('Activities'!K756,522))</x:f>
        <x:v>0</x:v>
      </x:c>
      <x:c r="CO756" s="22" t="n">
        <x:f>MAX(0,MIN('Activities'!L756,534)-MAX('Activities'!K756,528))</x:f>
        <x:v>0</x:v>
      </x:c>
      <x:c r="CP756" s="22" t="n">
        <x:f>MAX(0,MIN('Activities'!L756,540)-MAX('Activities'!K756,534))</x:f>
        <x:v>0</x:v>
      </x:c>
      <x:c r="CQ756" s="22" t="n">
        <x:f>MAX(0,MIN('Activities'!L756,546)-MAX('Activities'!K756,540))</x:f>
        <x:v>0</x:v>
      </x:c>
      <x:c r="CR756" s="22" t="n">
        <x:f>MAX(0,MIN('Activities'!L756,552)-MAX('Activities'!K756,546))</x:f>
        <x:v>0</x:v>
      </x:c>
      <x:c r="CS756" s="22" t="n">
        <x:f>MAX(0,MIN('Activities'!L756,558)-MAX('Activities'!K756,552))</x:f>
        <x:v>0</x:v>
      </x:c>
      <x:c r="CT756" s="22" t="n">
        <x:f>MAX(0,MIN('Activities'!L756,564)-MAX('Activities'!K756,558))</x:f>
        <x:v>0</x:v>
      </x:c>
      <x:c r="CU756" s="22" t="n">
        <x:f>MAX(0,MIN('Activities'!L756,570)-MAX('Activities'!K756,564))</x:f>
        <x:v>0</x:v>
      </x:c>
      <x:c r="CV756" s="22" t="n">
        <x:f>MAX(0,MIN('Activities'!L756,576)-MAX('Activities'!K756,570))</x:f>
        <x:v>0</x:v>
      </x:c>
      <x:c r="CW756" s="22" t="n">
        <x:f>MAX(0,MIN('Activities'!L756,582)-MAX('Activities'!K756,576))</x:f>
        <x:v>0</x:v>
      </x:c>
      <x:c r="CX756" s="22" t="n">
        <x:f>MAX(0,MIN('Activities'!L756,588)-MAX('Activities'!K756,582))</x:f>
        <x:v>0</x:v>
      </x:c>
      <x:c r="CY756" s="22" t="n">
        <x:f>MAX(0,MIN('Activities'!L756,594)-MAX('Activities'!K756,588))</x:f>
        <x:v>0</x:v>
      </x:c>
      <x:c r="CZ756" s="22" t="n">
        <x:f>MAX(0,MIN('Activities'!L756,600)-MAX('Activities'!K756,594))</x:f>
        <x:v>0</x:v>
      </x:c>
      <x:c r="DA756" s="22" t="n">
        <x:f>MAX(0,MIN('Activities'!L756,606)-MAX('Activities'!K756,600))</x:f>
        <x:v>0</x:v>
      </x:c>
      <x:c r="DB756" s="22" t="n">
        <x:f>MAX(0,MIN('Activities'!L756,612)-MAX('Activities'!K756,606))</x:f>
        <x:v>0</x:v>
      </x:c>
      <x:c r="DC756" s="22" t="n">
        <x:f>MAX(0,MIN('Activities'!L756,618)-MAX('Activities'!K756,612))</x:f>
        <x:v>0</x:v>
      </x:c>
      <x:c r="DD756" s="22" t="n">
        <x:f>MAX(0,MIN('Activities'!L756,624)-MAX('Activities'!K756,618))</x:f>
        <x:v>0</x:v>
      </x:c>
      <x:c r="DE756" s="22" t="n">
        <x:f>MAX(0,MIN('Activities'!L756,630)-MAX('Activities'!K756,624))</x:f>
        <x:v>0</x:v>
      </x:c>
      <x:c r="DF756" s="22" t="n">
        <x:f>MAX(0,MIN('Activities'!L756,636)-MAX('Activities'!K756,630))</x:f>
        <x:v>0</x:v>
      </x:c>
    </x:row>
    <x:row r="757" ht="23" customHeight="1">
      <x:c r="A757" s="1" t="str">
        <x:v>T6-L03-T</x:v>
      </x:c>
      <x:c r="B757" s="1" t="str">
        <x:v>T6</x:v>
      </x:c>
      <x:c r="C757" s="1" t="str">
        <x:v>Floor finishes and skirtings</x:v>
      </x:c>
      <x:c r="D757" s="1" t="str">
        <x:v>Finishes</x:v>
      </x:c>
      <x:c r="E757" s="23" t="n">
        <x:f>MAX(0,MIN('Activities'!L757,6)-MAX('Activities'!K757,0))</x:f>
        <x:v>0</x:v>
      </x:c>
      <x:c r="F757" s="23" t="n">
        <x:f>MAX(0,MIN('Activities'!L757,12)-MAX('Activities'!K757,6))</x:f>
        <x:v>0</x:v>
      </x:c>
      <x:c r="G757" s="23" t="n">
        <x:f>MAX(0,MIN('Activities'!L757,18)-MAX('Activities'!K757,12))</x:f>
        <x:v>0</x:v>
      </x:c>
      <x:c r="H757" s="23" t="n">
        <x:f>MAX(0,MIN('Activities'!L757,24)-MAX('Activities'!K757,18))</x:f>
        <x:v>0</x:v>
      </x:c>
      <x:c r="I757" s="23" t="n">
        <x:f>MAX(0,MIN('Activities'!L757,30)-MAX('Activities'!K757,24))</x:f>
        <x:v>0</x:v>
      </x:c>
      <x:c r="J757" s="23" t="n">
        <x:f>MAX(0,MIN('Activities'!L757,36)-MAX('Activities'!K757,30))</x:f>
        <x:v>0</x:v>
      </x:c>
      <x:c r="K757" s="23" t="n">
        <x:f>MAX(0,MIN('Activities'!L757,42)-MAX('Activities'!K757,36))</x:f>
        <x:v>0</x:v>
      </x:c>
      <x:c r="L757" s="23" t="n">
        <x:f>MAX(0,MIN('Activities'!L757,48)-MAX('Activities'!K757,42))</x:f>
        <x:v>0</x:v>
      </x:c>
      <x:c r="M757" s="23" t="n">
        <x:f>MAX(0,MIN('Activities'!L757,54)-MAX('Activities'!K757,48))</x:f>
        <x:v>0</x:v>
      </x:c>
      <x:c r="N757" s="23" t="n">
        <x:f>MAX(0,MIN('Activities'!L757,60)-MAX('Activities'!K757,54))</x:f>
        <x:v>0</x:v>
      </x:c>
      <x:c r="O757" s="23" t="n">
        <x:f>MAX(0,MIN('Activities'!L757,66)-MAX('Activities'!K757,60))</x:f>
        <x:v>0</x:v>
      </x:c>
      <x:c r="P757" s="23" t="n">
        <x:f>MAX(0,MIN('Activities'!L757,72)-MAX('Activities'!K757,66))</x:f>
        <x:v>0</x:v>
      </x:c>
      <x:c r="Q757" s="23" t="n">
        <x:f>MAX(0,MIN('Activities'!L757,78)-MAX('Activities'!K757,72))</x:f>
        <x:v>0</x:v>
      </x:c>
      <x:c r="R757" s="23" t="n">
        <x:f>MAX(0,MIN('Activities'!L757,84)-MAX('Activities'!K757,78))</x:f>
        <x:v>0</x:v>
      </x:c>
      <x:c r="S757" s="23" t="n">
        <x:f>MAX(0,MIN('Activities'!L757,90)-MAX('Activities'!K757,84))</x:f>
        <x:v>0</x:v>
      </x:c>
      <x:c r="T757" s="23" t="n">
        <x:f>MAX(0,MIN('Activities'!L757,96)-MAX('Activities'!K757,90))</x:f>
        <x:v>0</x:v>
      </x:c>
      <x:c r="U757" s="23" t="n">
        <x:f>MAX(0,MIN('Activities'!L757,102)-MAX('Activities'!K757,96))</x:f>
        <x:v>0</x:v>
      </x:c>
      <x:c r="V757" s="23" t="n">
        <x:f>MAX(0,MIN('Activities'!L757,108)-MAX('Activities'!K757,102))</x:f>
        <x:v>0</x:v>
      </x:c>
      <x:c r="W757" s="23" t="n">
        <x:f>MAX(0,MIN('Activities'!L757,114)-MAX('Activities'!K757,108))</x:f>
        <x:v>0</x:v>
      </x:c>
      <x:c r="X757" s="23" t="n">
        <x:f>MAX(0,MIN('Activities'!L757,120)-MAX('Activities'!K757,114))</x:f>
        <x:v>0</x:v>
      </x:c>
      <x:c r="Y757" s="23" t="n">
        <x:f>MAX(0,MIN('Activities'!L757,126)-MAX('Activities'!K757,120))</x:f>
        <x:v>0</x:v>
      </x:c>
      <x:c r="Z757" s="23" t="n">
        <x:f>MAX(0,MIN('Activities'!L757,132)-MAX('Activities'!K757,126))</x:f>
        <x:v>0</x:v>
      </x:c>
      <x:c r="AA757" s="23" t="n">
        <x:f>MAX(0,MIN('Activities'!L757,138)-MAX('Activities'!K757,132))</x:f>
        <x:v>0</x:v>
      </x:c>
      <x:c r="AB757" s="23" t="n">
        <x:f>MAX(0,MIN('Activities'!L757,144)-MAX('Activities'!K757,138))</x:f>
        <x:v>0</x:v>
      </x:c>
      <x:c r="AC757" s="23" t="n">
        <x:f>MAX(0,MIN('Activities'!L757,150)-MAX('Activities'!K757,144))</x:f>
        <x:v>0</x:v>
      </x:c>
      <x:c r="AD757" s="23" t="n">
        <x:f>MAX(0,MIN('Activities'!L757,156)-MAX('Activities'!K757,150))</x:f>
        <x:v>0</x:v>
      </x:c>
      <x:c r="AE757" s="23" t="n">
        <x:f>MAX(0,MIN('Activities'!L757,162)-MAX('Activities'!K757,156))</x:f>
        <x:v>0</x:v>
      </x:c>
      <x:c r="AF757" s="23" t="n">
        <x:f>MAX(0,MIN('Activities'!L757,168)-MAX('Activities'!K757,162))</x:f>
        <x:v>0</x:v>
      </x:c>
      <x:c r="AG757" s="23" t="n">
        <x:f>MAX(0,MIN('Activities'!L757,174)-MAX('Activities'!K757,168))</x:f>
        <x:v>0</x:v>
      </x:c>
      <x:c r="AH757" s="23" t="n">
        <x:f>MAX(0,MIN('Activities'!L757,180)-MAX('Activities'!K757,174))</x:f>
        <x:v>0</x:v>
      </x:c>
      <x:c r="AI757" s="23" t="n">
        <x:f>MAX(0,MIN('Activities'!L757,186)-MAX('Activities'!K757,180))</x:f>
        <x:v>0</x:v>
      </x:c>
      <x:c r="AJ757" s="23" t="n">
        <x:f>MAX(0,MIN('Activities'!L757,192)-MAX('Activities'!K757,186))</x:f>
        <x:v>0</x:v>
      </x:c>
      <x:c r="AK757" s="23" t="n">
        <x:f>MAX(0,MIN('Activities'!L757,198)-MAX('Activities'!K757,192))</x:f>
        <x:v>0</x:v>
      </x:c>
      <x:c r="AL757" s="23" t="n">
        <x:f>MAX(0,MIN('Activities'!L757,204)-MAX('Activities'!K757,198))</x:f>
        <x:v>0</x:v>
      </x:c>
      <x:c r="AM757" s="23" t="n">
        <x:f>MAX(0,MIN('Activities'!L757,210)-MAX('Activities'!K757,204))</x:f>
        <x:v>0</x:v>
      </x:c>
      <x:c r="AN757" s="23" t="n">
        <x:f>MAX(0,MIN('Activities'!L757,216)-MAX('Activities'!K757,210))</x:f>
        <x:v>0</x:v>
      </x:c>
      <x:c r="AO757" s="23" t="n">
        <x:f>MAX(0,MIN('Activities'!L757,222)-MAX('Activities'!K757,216))</x:f>
        <x:v>0</x:v>
      </x:c>
      <x:c r="AP757" s="23" t="n">
        <x:f>MAX(0,MIN('Activities'!L757,228)-MAX('Activities'!K757,222))</x:f>
        <x:v>0</x:v>
      </x:c>
      <x:c r="AQ757" s="23" t="n">
        <x:f>MAX(0,MIN('Activities'!L757,234)-MAX('Activities'!K757,228))</x:f>
        <x:v>0</x:v>
      </x:c>
      <x:c r="AR757" s="23" t="n">
        <x:f>MAX(0,MIN('Activities'!L757,240)-MAX('Activities'!K757,234))</x:f>
        <x:v>0</x:v>
      </x:c>
      <x:c r="AS757" s="23" t="n">
        <x:f>MAX(0,MIN('Activities'!L757,246)-MAX('Activities'!K757,240))</x:f>
        <x:v>0</x:v>
      </x:c>
      <x:c r="AT757" s="23" t="n">
        <x:f>MAX(0,MIN('Activities'!L757,252)-MAX('Activities'!K757,246))</x:f>
        <x:v>0</x:v>
      </x:c>
      <x:c r="AU757" s="23" t="n">
        <x:f>MAX(0,MIN('Activities'!L757,258)-MAX('Activities'!K757,252))</x:f>
        <x:v>0</x:v>
      </x:c>
      <x:c r="AV757" s="23" t="n">
        <x:f>MAX(0,MIN('Activities'!L757,264)-MAX('Activities'!K757,258))</x:f>
        <x:v>0</x:v>
      </x:c>
      <x:c r="AW757" s="23" t="n">
        <x:f>MAX(0,MIN('Activities'!L757,270)-MAX('Activities'!K757,264))</x:f>
        <x:v>0</x:v>
      </x:c>
      <x:c r="AX757" s="23" t="n">
        <x:f>MAX(0,MIN('Activities'!L757,276)-MAX('Activities'!K757,270))</x:f>
        <x:v>0</x:v>
      </x:c>
      <x:c r="AY757" s="23" t="n">
        <x:f>MAX(0,MIN('Activities'!L757,282)-MAX('Activities'!K757,276))</x:f>
        <x:v>0</x:v>
      </x:c>
      <x:c r="AZ757" s="23" t="n">
        <x:f>MAX(0,MIN('Activities'!L757,288)-MAX('Activities'!K757,282))</x:f>
        <x:v>0</x:v>
      </x:c>
      <x:c r="BA757" s="23" t="n">
        <x:f>MAX(0,MIN('Activities'!L757,294)-MAX('Activities'!K757,288))</x:f>
        <x:v>0</x:v>
      </x:c>
      <x:c r="BB757" s="23" t="n">
        <x:f>MAX(0,MIN('Activities'!L757,300)-MAX('Activities'!K757,294))</x:f>
        <x:v>0</x:v>
      </x:c>
      <x:c r="BC757" s="23" t="n">
        <x:f>MAX(0,MIN('Activities'!L757,306)-MAX('Activities'!K757,300))</x:f>
        <x:v>0</x:v>
      </x:c>
      <x:c r="BD757" s="23" t="n">
        <x:f>MAX(0,MIN('Activities'!L757,312)-MAX('Activities'!K757,306))</x:f>
        <x:v>0</x:v>
      </x:c>
      <x:c r="BE757" s="23" t="n">
        <x:f>MAX(0,MIN('Activities'!L757,318)-MAX('Activities'!K757,312))</x:f>
        <x:v>0</x:v>
      </x:c>
      <x:c r="BF757" s="23" t="n">
        <x:f>MAX(0,MIN('Activities'!L757,324)-MAX('Activities'!K757,318))</x:f>
        <x:v>0</x:v>
      </x:c>
      <x:c r="BG757" s="23" t="n">
        <x:f>MAX(0,MIN('Activities'!L757,330)-MAX('Activities'!K757,324))</x:f>
        <x:v>0</x:v>
      </x:c>
      <x:c r="BH757" s="23" t="n">
        <x:f>MAX(0,MIN('Activities'!L757,336)-MAX('Activities'!K757,330))</x:f>
        <x:v>0</x:v>
      </x:c>
      <x:c r="BI757" s="23" t="n">
        <x:f>MAX(0,MIN('Activities'!L757,342)-MAX('Activities'!K757,336))</x:f>
        <x:v>0</x:v>
      </x:c>
      <x:c r="BJ757" s="23" t="n">
        <x:f>MAX(0,MIN('Activities'!L757,348)-MAX('Activities'!K757,342))</x:f>
        <x:v>0</x:v>
      </x:c>
      <x:c r="BK757" s="23" t="n">
        <x:f>MAX(0,MIN('Activities'!L757,354)-MAX('Activities'!K757,348))</x:f>
        <x:v>0</x:v>
      </x:c>
      <x:c r="BL757" s="23" t="n">
        <x:f>MAX(0,MIN('Activities'!L757,360)-MAX('Activities'!K757,354))</x:f>
        <x:v>0</x:v>
      </x:c>
      <x:c r="BM757" s="23" t="n">
        <x:f>MAX(0,MIN('Activities'!L757,366)-MAX('Activities'!K757,360))</x:f>
        <x:v>0</x:v>
      </x:c>
      <x:c r="BN757" s="23" t="n">
        <x:f>MAX(0,MIN('Activities'!L757,372)-MAX('Activities'!K757,366))</x:f>
        <x:v>0</x:v>
      </x:c>
      <x:c r="BO757" s="23" t="n">
        <x:f>MAX(0,MIN('Activities'!L757,378)-MAX('Activities'!K757,372))</x:f>
        <x:v>0</x:v>
      </x:c>
      <x:c r="BP757" s="23" t="n">
        <x:f>MAX(0,MIN('Activities'!L757,384)-MAX('Activities'!K757,378))</x:f>
        <x:v>0</x:v>
      </x:c>
      <x:c r="BQ757" s="23" t="n">
        <x:f>MAX(0,MIN('Activities'!L757,390)-MAX('Activities'!K757,384))</x:f>
        <x:v>0</x:v>
      </x:c>
      <x:c r="BR757" s="23" t="n">
        <x:f>MAX(0,MIN('Activities'!L757,396)-MAX('Activities'!K757,390))</x:f>
        <x:v>0</x:v>
      </x:c>
      <x:c r="BS757" s="23" t="n">
        <x:f>MAX(0,MIN('Activities'!L757,402)-MAX('Activities'!K757,396))</x:f>
        <x:v>0</x:v>
      </x:c>
      <x:c r="BT757" s="23" t="n">
        <x:f>MAX(0,MIN('Activities'!L757,408)-MAX('Activities'!K757,402))</x:f>
        <x:v>0</x:v>
      </x:c>
      <x:c r="BU757" s="23" t="n">
        <x:f>MAX(0,MIN('Activities'!L757,414)-MAX('Activities'!K757,408))</x:f>
        <x:v>0</x:v>
      </x:c>
      <x:c r="BV757" s="23" t="n">
        <x:f>MAX(0,MIN('Activities'!L757,420)-MAX('Activities'!K757,414))</x:f>
        <x:v>0</x:v>
      </x:c>
      <x:c r="BW757" s="23" t="n">
        <x:f>MAX(0,MIN('Activities'!L757,426)-MAX('Activities'!K757,420))</x:f>
        <x:v>0</x:v>
      </x:c>
      <x:c r="BX757" s="23" t="n">
        <x:f>MAX(0,MIN('Activities'!L757,432)-MAX('Activities'!K757,426))</x:f>
        <x:v>0</x:v>
      </x:c>
      <x:c r="BY757" s="23" t="n">
        <x:f>MAX(0,MIN('Activities'!L757,438)-MAX('Activities'!K757,432))</x:f>
        <x:v>0</x:v>
      </x:c>
      <x:c r="BZ757" s="23" t="n">
        <x:f>MAX(0,MIN('Activities'!L757,444)-MAX('Activities'!K757,438))</x:f>
        <x:v>0</x:v>
      </x:c>
      <x:c r="CA757" s="23" t="n">
        <x:f>MAX(0,MIN('Activities'!L757,450)-MAX('Activities'!K757,444))</x:f>
        <x:v>0</x:v>
      </x:c>
      <x:c r="CB757" s="23" t="n">
        <x:f>MAX(0,MIN('Activities'!L757,456)-MAX('Activities'!K757,450))</x:f>
        <x:v>0</x:v>
      </x:c>
      <x:c r="CC757" s="23" t="n">
        <x:f>MAX(0,MIN('Activities'!L757,462)-MAX('Activities'!K757,456))</x:f>
        <x:v>1</x:v>
      </x:c>
      <x:c r="CD757" s="23" t="n">
        <x:f>MAX(0,MIN('Activities'!L757,468)-MAX('Activities'!K757,462))</x:f>
        <x:v>5</x:v>
      </x:c>
      <x:c r="CE757" s="23" t="n">
        <x:f>MAX(0,MIN('Activities'!L757,474)-MAX('Activities'!K757,468))</x:f>
        <x:v>0</x:v>
      </x:c>
      <x:c r="CF757" s="23" t="n">
        <x:f>MAX(0,MIN('Activities'!L757,480)-MAX('Activities'!K757,474))</x:f>
        <x:v>0</x:v>
      </x:c>
      <x:c r="CG757" s="23" t="n">
        <x:f>MAX(0,MIN('Activities'!L757,486)-MAX('Activities'!K757,480))</x:f>
        <x:v>0</x:v>
      </x:c>
      <x:c r="CH757" s="23" t="n">
        <x:f>MAX(0,MIN('Activities'!L757,492)-MAX('Activities'!K757,486))</x:f>
        <x:v>0</x:v>
      </x:c>
      <x:c r="CI757" s="23" t="n">
        <x:f>MAX(0,MIN('Activities'!L757,498)-MAX('Activities'!K757,492))</x:f>
        <x:v>0</x:v>
      </x:c>
      <x:c r="CJ757" s="23" t="n">
        <x:f>MAX(0,MIN('Activities'!L757,504)-MAX('Activities'!K757,498))</x:f>
        <x:v>0</x:v>
      </x:c>
      <x:c r="CK757" s="23" t="n">
        <x:f>MAX(0,MIN('Activities'!L757,510)-MAX('Activities'!K757,504))</x:f>
        <x:v>0</x:v>
      </x:c>
      <x:c r="CL757" s="23" t="n">
        <x:f>MAX(0,MIN('Activities'!L757,516)-MAX('Activities'!K757,510))</x:f>
        <x:v>0</x:v>
      </x:c>
      <x:c r="CM757" s="23" t="n">
        <x:f>MAX(0,MIN('Activities'!L757,522)-MAX('Activities'!K757,516))</x:f>
        <x:v>0</x:v>
      </x:c>
      <x:c r="CN757" s="23" t="n">
        <x:f>MAX(0,MIN('Activities'!L757,528)-MAX('Activities'!K757,522))</x:f>
        <x:v>0</x:v>
      </x:c>
      <x:c r="CO757" s="23" t="n">
        <x:f>MAX(0,MIN('Activities'!L757,534)-MAX('Activities'!K757,528))</x:f>
        <x:v>0</x:v>
      </x:c>
      <x:c r="CP757" s="23" t="n">
        <x:f>MAX(0,MIN('Activities'!L757,540)-MAX('Activities'!K757,534))</x:f>
        <x:v>0</x:v>
      </x:c>
      <x:c r="CQ757" s="23" t="n">
        <x:f>MAX(0,MIN('Activities'!L757,546)-MAX('Activities'!K757,540))</x:f>
        <x:v>0</x:v>
      </x:c>
      <x:c r="CR757" s="23" t="n">
        <x:f>MAX(0,MIN('Activities'!L757,552)-MAX('Activities'!K757,546))</x:f>
        <x:v>0</x:v>
      </x:c>
      <x:c r="CS757" s="23" t="n">
        <x:f>MAX(0,MIN('Activities'!L757,558)-MAX('Activities'!K757,552))</x:f>
        <x:v>0</x:v>
      </x:c>
      <x:c r="CT757" s="23" t="n">
        <x:f>MAX(0,MIN('Activities'!L757,564)-MAX('Activities'!K757,558))</x:f>
        <x:v>0</x:v>
      </x:c>
      <x:c r="CU757" s="23" t="n">
        <x:f>MAX(0,MIN('Activities'!L757,570)-MAX('Activities'!K757,564))</x:f>
        <x:v>0</x:v>
      </x:c>
      <x:c r="CV757" s="23" t="n">
        <x:f>MAX(0,MIN('Activities'!L757,576)-MAX('Activities'!K757,570))</x:f>
        <x:v>0</x:v>
      </x:c>
      <x:c r="CW757" s="23" t="n">
        <x:f>MAX(0,MIN('Activities'!L757,582)-MAX('Activities'!K757,576))</x:f>
        <x:v>0</x:v>
      </x:c>
      <x:c r="CX757" s="23" t="n">
        <x:f>MAX(0,MIN('Activities'!L757,588)-MAX('Activities'!K757,582))</x:f>
        <x:v>0</x:v>
      </x:c>
      <x:c r="CY757" s="23" t="n">
        <x:f>MAX(0,MIN('Activities'!L757,594)-MAX('Activities'!K757,588))</x:f>
        <x:v>0</x:v>
      </x:c>
      <x:c r="CZ757" s="23" t="n">
        <x:f>MAX(0,MIN('Activities'!L757,600)-MAX('Activities'!K757,594))</x:f>
        <x:v>0</x:v>
      </x:c>
      <x:c r="DA757" s="23" t="n">
        <x:f>MAX(0,MIN('Activities'!L757,606)-MAX('Activities'!K757,600))</x:f>
        <x:v>0</x:v>
      </x:c>
      <x:c r="DB757" s="23" t="n">
        <x:f>MAX(0,MIN('Activities'!L757,612)-MAX('Activities'!K757,606))</x:f>
        <x:v>0</x:v>
      </x:c>
      <x:c r="DC757" s="23" t="n">
        <x:f>MAX(0,MIN('Activities'!L757,618)-MAX('Activities'!K757,612))</x:f>
        <x:v>0</x:v>
      </x:c>
      <x:c r="DD757" s="23" t="n">
        <x:f>MAX(0,MIN('Activities'!L757,624)-MAX('Activities'!K757,618))</x:f>
        <x:v>0</x:v>
      </x:c>
      <x:c r="DE757" s="23" t="n">
        <x:f>MAX(0,MIN('Activities'!L757,630)-MAX('Activities'!K757,624))</x:f>
        <x:v>0</x:v>
      </x:c>
      <x:c r="DF757" s="23" t="n">
        <x:f>MAX(0,MIN('Activities'!L757,636)-MAX('Activities'!K757,630))</x:f>
        <x:v>0</x:v>
      </x:c>
    </x:row>
    <x:row r="758" ht="23" customHeight="1">
      <x:c r="A758" s="6" t="str">
        <x:v>T6-L03-A</x:v>
      </x:c>
      <x:c r="B758" s="6" t="str">
        <x:v>T6</x:v>
      </x:c>
      <x:c r="C758" s="6" t="str">
        <x:v>Paint and final decorations</x:v>
      </x:c>
      <x:c r="D758" s="6" t="str">
        <x:v>Finishes</x:v>
      </x:c>
      <x:c r="E758" s="22" t="n">
        <x:f>MAX(0,MIN('Activities'!L758,6)-MAX('Activities'!K758,0))</x:f>
        <x:v>0</x:v>
      </x:c>
      <x:c r="F758" s="22" t="n">
        <x:f>MAX(0,MIN('Activities'!L758,12)-MAX('Activities'!K758,6))</x:f>
        <x:v>0</x:v>
      </x:c>
      <x:c r="G758" s="22" t="n">
        <x:f>MAX(0,MIN('Activities'!L758,18)-MAX('Activities'!K758,12))</x:f>
        <x:v>0</x:v>
      </x:c>
      <x:c r="H758" s="22" t="n">
        <x:f>MAX(0,MIN('Activities'!L758,24)-MAX('Activities'!K758,18))</x:f>
        <x:v>0</x:v>
      </x:c>
      <x:c r="I758" s="22" t="n">
        <x:f>MAX(0,MIN('Activities'!L758,30)-MAX('Activities'!K758,24))</x:f>
        <x:v>0</x:v>
      </x:c>
      <x:c r="J758" s="22" t="n">
        <x:f>MAX(0,MIN('Activities'!L758,36)-MAX('Activities'!K758,30))</x:f>
        <x:v>0</x:v>
      </x:c>
      <x:c r="K758" s="22" t="n">
        <x:f>MAX(0,MIN('Activities'!L758,42)-MAX('Activities'!K758,36))</x:f>
        <x:v>0</x:v>
      </x:c>
      <x:c r="L758" s="22" t="n">
        <x:f>MAX(0,MIN('Activities'!L758,48)-MAX('Activities'!K758,42))</x:f>
        <x:v>0</x:v>
      </x:c>
      <x:c r="M758" s="22" t="n">
        <x:f>MAX(0,MIN('Activities'!L758,54)-MAX('Activities'!K758,48))</x:f>
        <x:v>0</x:v>
      </x:c>
      <x:c r="N758" s="22" t="n">
        <x:f>MAX(0,MIN('Activities'!L758,60)-MAX('Activities'!K758,54))</x:f>
        <x:v>0</x:v>
      </x:c>
      <x:c r="O758" s="22" t="n">
        <x:f>MAX(0,MIN('Activities'!L758,66)-MAX('Activities'!K758,60))</x:f>
        <x:v>0</x:v>
      </x:c>
      <x:c r="P758" s="22" t="n">
        <x:f>MAX(0,MIN('Activities'!L758,72)-MAX('Activities'!K758,66))</x:f>
        <x:v>0</x:v>
      </x:c>
      <x:c r="Q758" s="22" t="n">
        <x:f>MAX(0,MIN('Activities'!L758,78)-MAX('Activities'!K758,72))</x:f>
        <x:v>0</x:v>
      </x:c>
      <x:c r="R758" s="22" t="n">
        <x:f>MAX(0,MIN('Activities'!L758,84)-MAX('Activities'!K758,78))</x:f>
        <x:v>0</x:v>
      </x:c>
      <x:c r="S758" s="22" t="n">
        <x:f>MAX(0,MIN('Activities'!L758,90)-MAX('Activities'!K758,84))</x:f>
        <x:v>0</x:v>
      </x:c>
      <x:c r="T758" s="22" t="n">
        <x:f>MAX(0,MIN('Activities'!L758,96)-MAX('Activities'!K758,90))</x:f>
        <x:v>0</x:v>
      </x:c>
      <x:c r="U758" s="22" t="n">
        <x:f>MAX(0,MIN('Activities'!L758,102)-MAX('Activities'!K758,96))</x:f>
        <x:v>0</x:v>
      </x:c>
      <x:c r="V758" s="22" t="n">
        <x:f>MAX(0,MIN('Activities'!L758,108)-MAX('Activities'!K758,102))</x:f>
        <x:v>0</x:v>
      </x:c>
      <x:c r="W758" s="22" t="n">
        <x:f>MAX(0,MIN('Activities'!L758,114)-MAX('Activities'!K758,108))</x:f>
        <x:v>0</x:v>
      </x:c>
      <x:c r="X758" s="22" t="n">
        <x:f>MAX(0,MIN('Activities'!L758,120)-MAX('Activities'!K758,114))</x:f>
        <x:v>0</x:v>
      </x:c>
      <x:c r="Y758" s="22" t="n">
        <x:f>MAX(0,MIN('Activities'!L758,126)-MAX('Activities'!K758,120))</x:f>
        <x:v>0</x:v>
      </x:c>
      <x:c r="Z758" s="22" t="n">
        <x:f>MAX(0,MIN('Activities'!L758,132)-MAX('Activities'!K758,126))</x:f>
        <x:v>0</x:v>
      </x:c>
      <x:c r="AA758" s="22" t="n">
        <x:f>MAX(0,MIN('Activities'!L758,138)-MAX('Activities'!K758,132))</x:f>
        <x:v>0</x:v>
      </x:c>
      <x:c r="AB758" s="22" t="n">
        <x:f>MAX(0,MIN('Activities'!L758,144)-MAX('Activities'!K758,138))</x:f>
        <x:v>0</x:v>
      </x:c>
      <x:c r="AC758" s="22" t="n">
        <x:f>MAX(0,MIN('Activities'!L758,150)-MAX('Activities'!K758,144))</x:f>
        <x:v>0</x:v>
      </x:c>
      <x:c r="AD758" s="22" t="n">
        <x:f>MAX(0,MIN('Activities'!L758,156)-MAX('Activities'!K758,150))</x:f>
        <x:v>0</x:v>
      </x:c>
      <x:c r="AE758" s="22" t="n">
        <x:f>MAX(0,MIN('Activities'!L758,162)-MAX('Activities'!K758,156))</x:f>
        <x:v>0</x:v>
      </x:c>
      <x:c r="AF758" s="22" t="n">
        <x:f>MAX(0,MIN('Activities'!L758,168)-MAX('Activities'!K758,162))</x:f>
        <x:v>0</x:v>
      </x:c>
      <x:c r="AG758" s="22" t="n">
        <x:f>MAX(0,MIN('Activities'!L758,174)-MAX('Activities'!K758,168))</x:f>
        <x:v>0</x:v>
      </x:c>
      <x:c r="AH758" s="22" t="n">
        <x:f>MAX(0,MIN('Activities'!L758,180)-MAX('Activities'!K758,174))</x:f>
        <x:v>0</x:v>
      </x:c>
      <x:c r="AI758" s="22" t="n">
        <x:f>MAX(0,MIN('Activities'!L758,186)-MAX('Activities'!K758,180))</x:f>
        <x:v>0</x:v>
      </x:c>
      <x:c r="AJ758" s="22" t="n">
        <x:f>MAX(0,MIN('Activities'!L758,192)-MAX('Activities'!K758,186))</x:f>
        <x:v>0</x:v>
      </x:c>
      <x:c r="AK758" s="22" t="n">
        <x:f>MAX(0,MIN('Activities'!L758,198)-MAX('Activities'!K758,192))</x:f>
        <x:v>0</x:v>
      </x:c>
      <x:c r="AL758" s="22" t="n">
        <x:f>MAX(0,MIN('Activities'!L758,204)-MAX('Activities'!K758,198))</x:f>
        <x:v>0</x:v>
      </x:c>
      <x:c r="AM758" s="22" t="n">
        <x:f>MAX(0,MIN('Activities'!L758,210)-MAX('Activities'!K758,204))</x:f>
        <x:v>0</x:v>
      </x:c>
      <x:c r="AN758" s="22" t="n">
        <x:f>MAX(0,MIN('Activities'!L758,216)-MAX('Activities'!K758,210))</x:f>
        <x:v>0</x:v>
      </x:c>
      <x:c r="AO758" s="22" t="n">
        <x:f>MAX(0,MIN('Activities'!L758,222)-MAX('Activities'!K758,216))</x:f>
        <x:v>0</x:v>
      </x:c>
      <x:c r="AP758" s="22" t="n">
        <x:f>MAX(0,MIN('Activities'!L758,228)-MAX('Activities'!K758,222))</x:f>
        <x:v>0</x:v>
      </x:c>
      <x:c r="AQ758" s="22" t="n">
        <x:f>MAX(0,MIN('Activities'!L758,234)-MAX('Activities'!K758,228))</x:f>
        <x:v>0</x:v>
      </x:c>
      <x:c r="AR758" s="22" t="n">
        <x:f>MAX(0,MIN('Activities'!L758,240)-MAX('Activities'!K758,234))</x:f>
        <x:v>0</x:v>
      </x:c>
      <x:c r="AS758" s="22" t="n">
        <x:f>MAX(0,MIN('Activities'!L758,246)-MAX('Activities'!K758,240))</x:f>
        <x:v>0</x:v>
      </x:c>
      <x:c r="AT758" s="22" t="n">
        <x:f>MAX(0,MIN('Activities'!L758,252)-MAX('Activities'!K758,246))</x:f>
        <x:v>0</x:v>
      </x:c>
      <x:c r="AU758" s="22" t="n">
        <x:f>MAX(0,MIN('Activities'!L758,258)-MAX('Activities'!K758,252))</x:f>
        <x:v>0</x:v>
      </x:c>
      <x:c r="AV758" s="22" t="n">
        <x:f>MAX(0,MIN('Activities'!L758,264)-MAX('Activities'!K758,258))</x:f>
        <x:v>0</x:v>
      </x:c>
      <x:c r="AW758" s="22" t="n">
        <x:f>MAX(0,MIN('Activities'!L758,270)-MAX('Activities'!K758,264))</x:f>
        <x:v>0</x:v>
      </x:c>
      <x:c r="AX758" s="22" t="n">
        <x:f>MAX(0,MIN('Activities'!L758,276)-MAX('Activities'!K758,270))</x:f>
        <x:v>0</x:v>
      </x:c>
      <x:c r="AY758" s="22" t="n">
        <x:f>MAX(0,MIN('Activities'!L758,282)-MAX('Activities'!K758,276))</x:f>
        <x:v>0</x:v>
      </x:c>
      <x:c r="AZ758" s="22" t="n">
        <x:f>MAX(0,MIN('Activities'!L758,288)-MAX('Activities'!K758,282))</x:f>
        <x:v>0</x:v>
      </x:c>
      <x:c r="BA758" s="22" t="n">
        <x:f>MAX(0,MIN('Activities'!L758,294)-MAX('Activities'!K758,288))</x:f>
        <x:v>0</x:v>
      </x:c>
      <x:c r="BB758" s="22" t="n">
        <x:f>MAX(0,MIN('Activities'!L758,300)-MAX('Activities'!K758,294))</x:f>
        <x:v>0</x:v>
      </x:c>
      <x:c r="BC758" s="22" t="n">
        <x:f>MAX(0,MIN('Activities'!L758,306)-MAX('Activities'!K758,300))</x:f>
        <x:v>0</x:v>
      </x:c>
      <x:c r="BD758" s="22" t="n">
        <x:f>MAX(0,MIN('Activities'!L758,312)-MAX('Activities'!K758,306))</x:f>
        <x:v>0</x:v>
      </x:c>
      <x:c r="BE758" s="22" t="n">
        <x:f>MAX(0,MIN('Activities'!L758,318)-MAX('Activities'!K758,312))</x:f>
        <x:v>0</x:v>
      </x:c>
      <x:c r="BF758" s="22" t="n">
        <x:f>MAX(0,MIN('Activities'!L758,324)-MAX('Activities'!K758,318))</x:f>
        <x:v>0</x:v>
      </x:c>
      <x:c r="BG758" s="22" t="n">
        <x:f>MAX(0,MIN('Activities'!L758,330)-MAX('Activities'!K758,324))</x:f>
        <x:v>0</x:v>
      </x:c>
      <x:c r="BH758" s="22" t="n">
        <x:f>MAX(0,MIN('Activities'!L758,336)-MAX('Activities'!K758,330))</x:f>
        <x:v>0</x:v>
      </x:c>
      <x:c r="BI758" s="22" t="n">
        <x:f>MAX(0,MIN('Activities'!L758,342)-MAX('Activities'!K758,336))</x:f>
        <x:v>0</x:v>
      </x:c>
      <x:c r="BJ758" s="22" t="n">
        <x:f>MAX(0,MIN('Activities'!L758,348)-MAX('Activities'!K758,342))</x:f>
        <x:v>0</x:v>
      </x:c>
      <x:c r="BK758" s="22" t="n">
        <x:f>MAX(0,MIN('Activities'!L758,354)-MAX('Activities'!K758,348))</x:f>
        <x:v>0</x:v>
      </x:c>
      <x:c r="BL758" s="22" t="n">
        <x:f>MAX(0,MIN('Activities'!L758,360)-MAX('Activities'!K758,354))</x:f>
        <x:v>0</x:v>
      </x:c>
      <x:c r="BM758" s="22" t="n">
        <x:f>MAX(0,MIN('Activities'!L758,366)-MAX('Activities'!K758,360))</x:f>
        <x:v>0</x:v>
      </x:c>
      <x:c r="BN758" s="22" t="n">
        <x:f>MAX(0,MIN('Activities'!L758,372)-MAX('Activities'!K758,366))</x:f>
        <x:v>0</x:v>
      </x:c>
      <x:c r="BO758" s="22" t="n">
        <x:f>MAX(0,MIN('Activities'!L758,378)-MAX('Activities'!K758,372))</x:f>
        <x:v>0</x:v>
      </x:c>
      <x:c r="BP758" s="22" t="n">
        <x:f>MAX(0,MIN('Activities'!L758,384)-MAX('Activities'!K758,378))</x:f>
        <x:v>0</x:v>
      </x:c>
      <x:c r="BQ758" s="22" t="n">
        <x:f>MAX(0,MIN('Activities'!L758,390)-MAX('Activities'!K758,384))</x:f>
        <x:v>0</x:v>
      </x:c>
      <x:c r="BR758" s="22" t="n">
        <x:f>MAX(0,MIN('Activities'!L758,396)-MAX('Activities'!K758,390))</x:f>
        <x:v>0</x:v>
      </x:c>
      <x:c r="BS758" s="22" t="n">
        <x:f>MAX(0,MIN('Activities'!L758,402)-MAX('Activities'!K758,396))</x:f>
        <x:v>0</x:v>
      </x:c>
      <x:c r="BT758" s="22" t="n">
        <x:f>MAX(0,MIN('Activities'!L758,408)-MAX('Activities'!K758,402))</x:f>
        <x:v>0</x:v>
      </x:c>
      <x:c r="BU758" s="22" t="n">
        <x:f>MAX(0,MIN('Activities'!L758,414)-MAX('Activities'!K758,408))</x:f>
        <x:v>0</x:v>
      </x:c>
      <x:c r="BV758" s="22" t="n">
        <x:f>MAX(0,MIN('Activities'!L758,420)-MAX('Activities'!K758,414))</x:f>
        <x:v>0</x:v>
      </x:c>
      <x:c r="BW758" s="22" t="n">
        <x:f>MAX(0,MIN('Activities'!L758,426)-MAX('Activities'!K758,420))</x:f>
        <x:v>0</x:v>
      </x:c>
      <x:c r="BX758" s="22" t="n">
        <x:f>MAX(0,MIN('Activities'!L758,432)-MAX('Activities'!K758,426))</x:f>
        <x:v>0</x:v>
      </x:c>
      <x:c r="BY758" s="22" t="n">
        <x:f>MAX(0,MIN('Activities'!L758,438)-MAX('Activities'!K758,432))</x:f>
        <x:v>0</x:v>
      </x:c>
      <x:c r="BZ758" s="22" t="n">
        <x:f>MAX(0,MIN('Activities'!L758,444)-MAX('Activities'!K758,438))</x:f>
        <x:v>0</x:v>
      </x:c>
      <x:c r="CA758" s="22" t="n">
        <x:f>MAX(0,MIN('Activities'!L758,450)-MAX('Activities'!K758,444))</x:f>
        <x:v>0</x:v>
      </x:c>
      <x:c r="CB758" s="22" t="n">
        <x:f>MAX(0,MIN('Activities'!L758,456)-MAX('Activities'!K758,450))</x:f>
        <x:v>0</x:v>
      </x:c>
      <x:c r="CC758" s="22" t="n">
        <x:f>MAX(0,MIN('Activities'!L758,462)-MAX('Activities'!K758,456))</x:f>
        <x:v>0</x:v>
      </x:c>
      <x:c r="CD758" s="22" t="n">
        <x:f>MAX(0,MIN('Activities'!L758,468)-MAX('Activities'!K758,462))</x:f>
        <x:v>0</x:v>
      </x:c>
      <x:c r="CE758" s="22" t="n">
        <x:f>MAX(0,MIN('Activities'!L758,474)-MAX('Activities'!K758,468))</x:f>
        <x:v>5</x:v>
      </x:c>
      <x:c r="CF758" s="22" t="n">
        <x:f>MAX(0,MIN('Activities'!L758,480)-MAX('Activities'!K758,474))</x:f>
        <x:v>0</x:v>
      </x:c>
      <x:c r="CG758" s="22" t="n">
        <x:f>MAX(0,MIN('Activities'!L758,486)-MAX('Activities'!K758,480))</x:f>
        <x:v>0</x:v>
      </x:c>
      <x:c r="CH758" s="22" t="n">
        <x:f>MAX(0,MIN('Activities'!L758,492)-MAX('Activities'!K758,486))</x:f>
        <x:v>0</x:v>
      </x:c>
      <x:c r="CI758" s="22" t="n">
        <x:f>MAX(0,MIN('Activities'!L758,498)-MAX('Activities'!K758,492))</x:f>
        <x:v>0</x:v>
      </x:c>
      <x:c r="CJ758" s="22" t="n">
        <x:f>MAX(0,MIN('Activities'!L758,504)-MAX('Activities'!K758,498))</x:f>
        <x:v>0</x:v>
      </x:c>
      <x:c r="CK758" s="22" t="n">
        <x:f>MAX(0,MIN('Activities'!L758,510)-MAX('Activities'!K758,504))</x:f>
        <x:v>0</x:v>
      </x:c>
      <x:c r="CL758" s="22" t="n">
        <x:f>MAX(0,MIN('Activities'!L758,516)-MAX('Activities'!K758,510))</x:f>
        <x:v>0</x:v>
      </x:c>
      <x:c r="CM758" s="22" t="n">
        <x:f>MAX(0,MIN('Activities'!L758,522)-MAX('Activities'!K758,516))</x:f>
        <x:v>0</x:v>
      </x:c>
      <x:c r="CN758" s="22" t="n">
        <x:f>MAX(0,MIN('Activities'!L758,528)-MAX('Activities'!K758,522))</x:f>
        <x:v>0</x:v>
      </x:c>
      <x:c r="CO758" s="22" t="n">
        <x:f>MAX(0,MIN('Activities'!L758,534)-MAX('Activities'!K758,528))</x:f>
        <x:v>0</x:v>
      </x:c>
      <x:c r="CP758" s="22" t="n">
        <x:f>MAX(0,MIN('Activities'!L758,540)-MAX('Activities'!K758,534))</x:f>
        <x:v>0</x:v>
      </x:c>
      <x:c r="CQ758" s="22" t="n">
        <x:f>MAX(0,MIN('Activities'!L758,546)-MAX('Activities'!K758,540))</x:f>
        <x:v>0</x:v>
      </x:c>
      <x:c r="CR758" s="22" t="n">
        <x:f>MAX(0,MIN('Activities'!L758,552)-MAX('Activities'!K758,546))</x:f>
        <x:v>0</x:v>
      </x:c>
      <x:c r="CS758" s="22" t="n">
        <x:f>MAX(0,MIN('Activities'!L758,558)-MAX('Activities'!K758,552))</x:f>
        <x:v>0</x:v>
      </x:c>
      <x:c r="CT758" s="22" t="n">
        <x:f>MAX(0,MIN('Activities'!L758,564)-MAX('Activities'!K758,558))</x:f>
        <x:v>0</x:v>
      </x:c>
      <x:c r="CU758" s="22" t="n">
        <x:f>MAX(0,MIN('Activities'!L758,570)-MAX('Activities'!K758,564))</x:f>
        <x:v>0</x:v>
      </x:c>
      <x:c r="CV758" s="22" t="n">
        <x:f>MAX(0,MIN('Activities'!L758,576)-MAX('Activities'!K758,570))</x:f>
        <x:v>0</x:v>
      </x:c>
      <x:c r="CW758" s="22" t="n">
        <x:f>MAX(0,MIN('Activities'!L758,582)-MAX('Activities'!K758,576))</x:f>
        <x:v>0</x:v>
      </x:c>
      <x:c r="CX758" s="22" t="n">
        <x:f>MAX(0,MIN('Activities'!L758,588)-MAX('Activities'!K758,582))</x:f>
        <x:v>0</x:v>
      </x:c>
      <x:c r="CY758" s="22" t="n">
        <x:f>MAX(0,MIN('Activities'!L758,594)-MAX('Activities'!K758,588))</x:f>
        <x:v>0</x:v>
      </x:c>
      <x:c r="CZ758" s="22" t="n">
        <x:f>MAX(0,MIN('Activities'!L758,600)-MAX('Activities'!K758,594))</x:f>
        <x:v>0</x:v>
      </x:c>
      <x:c r="DA758" s="22" t="n">
        <x:f>MAX(0,MIN('Activities'!L758,606)-MAX('Activities'!K758,600))</x:f>
        <x:v>0</x:v>
      </x:c>
      <x:c r="DB758" s="22" t="n">
        <x:f>MAX(0,MIN('Activities'!L758,612)-MAX('Activities'!K758,606))</x:f>
        <x:v>0</x:v>
      </x:c>
      <x:c r="DC758" s="22" t="n">
        <x:f>MAX(0,MIN('Activities'!L758,618)-MAX('Activities'!K758,612))</x:f>
        <x:v>0</x:v>
      </x:c>
      <x:c r="DD758" s="22" t="n">
        <x:f>MAX(0,MIN('Activities'!L758,624)-MAX('Activities'!K758,618))</x:f>
        <x:v>0</x:v>
      </x:c>
      <x:c r="DE758" s="22" t="n">
        <x:f>MAX(0,MIN('Activities'!L758,630)-MAX('Activities'!K758,624))</x:f>
        <x:v>0</x:v>
      </x:c>
      <x:c r="DF758" s="22" t="n">
        <x:f>MAX(0,MIN('Activities'!L758,636)-MAX('Activities'!K758,630))</x:f>
        <x:v>0</x:v>
      </x:c>
    </x:row>
    <x:row r="759" ht="23" customHeight="1">
      <x:c r="A759" s="1" t="str">
        <x:v>T6-L03-D</x:v>
      </x:c>
      <x:c r="B759" s="1" t="str">
        <x:v>T6</x:v>
      </x:c>
      <x:c r="C759" s="1" t="str">
        <x:v>Door sets and ironmongery</x:v>
      </x:c>
      <x:c r="D759" s="1" t="str">
        <x:v>Finishes</x:v>
      </x:c>
      <x:c r="E759" s="23" t="n">
        <x:f>MAX(0,MIN('Activities'!L759,6)-MAX('Activities'!K759,0))</x:f>
        <x:v>0</x:v>
      </x:c>
      <x:c r="F759" s="23" t="n">
        <x:f>MAX(0,MIN('Activities'!L759,12)-MAX('Activities'!K759,6))</x:f>
        <x:v>0</x:v>
      </x:c>
      <x:c r="G759" s="23" t="n">
        <x:f>MAX(0,MIN('Activities'!L759,18)-MAX('Activities'!K759,12))</x:f>
        <x:v>0</x:v>
      </x:c>
      <x:c r="H759" s="23" t="n">
        <x:f>MAX(0,MIN('Activities'!L759,24)-MAX('Activities'!K759,18))</x:f>
        <x:v>0</x:v>
      </x:c>
      <x:c r="I759" s="23" t="n">
        <x:f>MAX(0,MIN('Activities'!L759,30)-MAX('Activities'!K759,24))</x:f>
        <x:v>0</x:v>
      </x:c>
      <x:c r="J759" s="23" t="n">
        <x:f>MAX(0,MIN('Activities'!L759,36)-MAX('Activities'!K759,30))</x:f>
        <x:v>0</x:v>
      </x:c>
      <x:c r="K759" s="23" t="n">
        <x:f>MAX(0,MIN('Activities'!L759,42)-MAX('Activities'!K759,36))</x:f>
        <x:v>0</x:v>
      </x:c>
      <x:c r="L759" s="23" t="n">
        <x:f>MAX(0,MIN('Activities'!L759,48)-MAX('Activities'!K759,42))</x:f>
        <x:v>0</x:v>
      </x:c>
      <x:c r="M759" s="23" t="n">
        <x:f>MAX(0,MIN('Activities'!L759,54)-MAX('Activities'!K759,48))</x:f>
        <x:v>0</x:v>
      </x:c>
      <x:c r="N759" s="23" t="n">
        <x:f>MAX(0,MIN('Activities'!L759,60)-MAX('Activities'!K759,54))</x:f>
        <x:v>0</x:v>
      </x:c>
      <x:c r="O759" s="23" t="n">
        <x:f>MAX(0,MIN('Activities'!L759,66)-MAX('Activities'!K759,60))</x:f>
        <x:v>0</x:v>
      </x:c>
      <x:c r="P759" s="23" t="n">
        <x:f>MAX(0,MIN('Activities'!L759,72)-MAX('Activities'!K759,66))</x:f>
        <x:v>0</x:v>
      </x:c>
      <x:c r="Q759" s="23" t="n">
        <x:f>MAX(0,MIN('Activities'!L759,78)-MAX('Activities'!K759,72))</x:f>
        <x:v>0</x:v>
      </x:c>
      <x:c r="R759" s="23" t="n">
        <x:f>MAX(0,MIN('Activities'!L759,84)-MAX('Activities'!K759,78))</x:f>
        <x:v>0</x:v>
      </x:c>
      <x:c r="S759" s="23" t="n">
        <x:f>MAX(0,MIN('Activities'!L759,90)-MAX('Activities'!K759,84))</x:f>
        <x:v>0</x:v>
      </x:c>
      <x:c r="T759" s="23" t="n">
        <x:f>MAX(0,MIN('Activities'!L759,96)-MAX('Activities'!K759,90))</x:f>
        <x:v>0</x:v>
      </x:c>
      <x:c r="U759" s="23" t="n">
        <x:f>MAX(0,MIN('Activities'!L759,102)-MAX('Activities'!K759,96))</x:f>
        <x:v>0</x:v>
      </x:c>
      <x:c r="V759" s="23" t="n">
        <x:f>MAX(0,MIN('Activities'!L759,108)-MAX('Activities'!K759,102))</x:f>
        <x:v>0</x:v>
      </x:c>
      <x:c r="W759" s="23" t="n">
        <x:f>MAX(0,MIN('Activities'!L759,114)-MAX('Activities'!K759,108))</x:f>
        <x:v>0</x:v>
      </x:c>
      <x:c r="X759" s="23" t="n">
        <x:f>MAX(0,MIN('Activities'!L759,120)-MAX('Activities'!K759,114))</x:f>
        <x:v>0</x:v>
      </x:c>
      <x:c r="Y759" s="23" t="n">
        <x:f>MAX(0,MIN('Activities'!L759,126)-MAX('Activities'!K759,120))</x:f>
        <x:v>0</x:v>
      </x:c>
      <x:c r="Z759" s="23" t="n">
        <x:f>MAX(0,MIN('Activities'!L759,132)-MAX('Activities'!K759,126))</x:f>
        <x:v>0</x:v>
      </x:c>
      <x:c r="AA759" s="23" t="n">
        <x:f>MAX(0,MIN('Activities'!L759,138)-MAX('Activities'!K759,132))</x:f>
        <x:v>0</x:v>
      </x:c>
      <x:c r="AB759" s="23" t="n">
        <x:f>MAX(0,MIN('Activities'!L759,144)-MAX('Activities'!K759,138))</x:f>
        <x:v>0</x:v>
      </x:c>
      <x:c r="AC759" s="23" t="n">
        <x:f>MAX(0,MIN('Activities'!L759,150)-MAX('Activities'!K759,144))</x:f>
        <x:v>0</x:v>
      </x:c>
      <x:c r="AD759" s="23" t="n">
        <x:f>MAX(0,MIN('Activities'!L759,156)-MAX('Activities'!K759,150))</x:f>
        <x:v>0</x:v>
      </x:c>
      <x:c r="AE759" s="23" t="n">
        <x:f>MAX(0,MIN('Activities'!L759,162)-MAX('Activities'!K759,156))</x:f>
        <x:v>0</x:v>
      </x:c>
      <x:c r="AF759" s="23" t="n">
        <x:f>MAX(0,MIN('Activities'!L759,168)-MAX('Activities'!K759,162))</x:f>
        <x:v>0</x:v>
      </x:c>
      <x:c r="AG759" s="23" t="n">
        <x:f>MAX(0,MIN('Activities'!L759,174)-MAX('Activities'!K759,168))</x:f>
        <x:v>0</x:v>
      </x:c>
      <x:c r="AH759" s="23" t="n">
        <x:f>MAX(0,MIN('Activities'!L759,180)-MAX('Activities'!K759,174))</x:f>
        <x:v>0</x:v>
      </x:c>
      <x:c r="AI759" s="23" t="n">
        <x:f>MAX(0,MIN('Activities'!L759,186)-MAX('Activities'!K759,180))</x:f>
        <x:v>0</x:v>
      </x:c>
      <x:c r="AJ759" s="23" t="n">
        <x:f>MAX(0,MIN('Activities'!L759,192)-MAX('Activities'!K759,186))</x:f>
        <x:v>0</x:v>
      </x:c>
      <x:c r="AK759" s="23" t="n">
        <x:f>MAX(0,MIN('Activities'!L759,198)-MAX('Activities'!K759,192))</x:f>
        <x:v>0</x:v>
      </x:c>
      <x:c r="AL759" s="23" t="n">
        <x:f>MAX(0,MIN('Activities'!L759,204)-MAX('Activities'!K759,198))</x:f>
        <x:v>0</x:v>
      </x:c>
      <x:c r="AM759" s="23" t="n">
        <x:f>MAX(0,MIN('Activities'!L759,210)-MAX('Activities'!K759,204))</x:f>
        <x:v>0</x:v>
      </x:c>
      <x:c r="AN759" s="23" t="n">
        <x:f>MAX(0,MIN('Activities'!L759,216)-MAX('Activities'!K759,210))</x:f>
        <x:v>0</x:v>
      </x:c>
      <x:c r="AO759" s="23" t="n">
        <x:f>MAX(0,MIN('Activities'!L759,222)-MAX('Activities'!K759,216))</x:f>
        <x:v>0</x:v>
      </x:c>
      <x:c r="AP759" s="23" t="n">
        <x:f>MAX(0,MIN('Activities'!L759,228)-MAX('Activities'!K759,222))</x:f>
        <x:v>0</x:v>
      </x:c>
      <x:c r="AQ759" s="23" t="n">
        <x:f>MAX(0,MIN('Activities'!L759,234)-MAX('Activities'!K759,228))</x:f>
        <x:v>0</x:v>
      </x:c>
      <x:c r="AR759" s="23" t="n">
        <x:f>MAX(0,MIN('Activities'!L759,240)-MAX('Activities'!K759,234))</x:f>
        <x:v>0</x:v>
      </x:c>
      <x:c r="AS759" s="23" t="n">
        <x:f>MAX(0,MIN('Activities'!L759,246)-MAX('Activities'!K759,240))</x:f>
        <x:v>0</x:v>
      </x:c>
      <x:c r="AT759" s="23" t="n">
        <x:f>MAX(0,MIN('Activities'!L759,252)-MAX('Activities'!K759,246))</x:f>
        <x:v>0</x:v>
      </x:c>
      <x:c r="AU759" s="23" t="n">
        <x:f>MAX(0,MIN('Activities'!L759,258)-MAX('Activities'!K759,252))</x:f>
        <x:v>0</x:v>
      </x:c>
      <x:c r="AV759" s="23" t="n">
        <x:f>MAX(0,MIN('Activities'!L759,264)-MAX('Activities'!K759,258))</x:f>
        <x:v>0</x:v>
      </x:c>
      <x:c r="AW759" s="23" t="n">
        <x:f>MAX(0,MIN('Activities'!L759,270)-MAX('Activities'!K759,264))</x:f>
        <x:v>0</x:v>
      </x:c>
      <x:c r="AX759" s="23" t="n">
        <x:f>MAX(0,MIN('Activities'!L759,276)-MAX('Activities'!K759,270))</x:f>
        <x:v>0</x:v>
      </x:c>
      <x:c r="AY759" s="23" t="n">
        <x:f>MAX(0,MIN('Activities'!L759,282)-MAX('Activities'!K759,276))</x:f>
        <x:v>0</x:v>
      </x:c>
      <x:c r="AZ759" s="23" t="n">
        <x:f>MAX(0,MIN('Activities'!L759,288)-MAX('Activities'!K759,282))</x:f>
        <x:v>0</x:v>
      </x:c>
      <x:c r="BA759" s="23" t="n">
        <x:f>MAX(0,MIN('Activities'!L759,294)-MAX('Activities'!K759,288))</x:f>
        <x:v>0</x:v>
      </x:c>
      <x:c r="BB759" s="23" t="n">
        <x:f>MAX(0,MIN('Activities'!L759,300)-MAX('Activities'!K759,294))</x:f>
        <x:v>0</x:v>
      </x:c>
      <x:c r="BC759" s="23" t="n">
        <x:f>MAX(0,MIN('Activities'!L759,306)-MAX('Activities'!K759,300))</x:f>
        <x:v>0</x:v>
      </x:c>
      <x:c r="BD759" s="23" t="n">
        <x:f>MAX(0,MIN('Activities'!L759,312)-MAX('Activities'!K759,306))</x:f>
        <x:v>0</x:v>
      </x:c>
      <x:c r="BE759" s="23" t="n">
        <x:f>MAX(0,MIN('Activities'!L759,318)-MAX('Activities'!K759,312))</x:f>
        <x:v>0</x:v>
      </x:c>
      <x:c r="BF759" s="23" t="n">
        <x:f>MAX(0,MIN('Activities'!L759,324)-MAX('Activities'!K759,318))</x:f>
        <x:v>0</x:v>
      </x:c>
      <x:c r="BG759" s="23" t="n">
        <x:f>MAX(0,MIN('Activities'!L759,330)-MAX('Activities'!K759,324))</x:f>
        <x:v>0</x:v>
      </x:c>
      <x:c r="BH759" s="23" t="n">
        <x:f>MAX(0,MIN('Activities'!L759,336)-MAX('Activities'!K759,330))</x:f>
        <x:v>0</x:v>
      </x:c>
      <x:c r="BI759" s="23" t="n">
        <x:f>MAX(0,MIN('Activities'!L759,342)-MAX('Activities'!K759,336))</x:f>
        <x:v>0</x:v>
      </x:c>
      <x:c r="BJ759" s="23" t="n">
        <x:f>MAX(0,MIN('Activities'!L759,348)-MAX('Activities'!K759,342))</x:f>
        <x:v>0</x:v>
      </x:c>
      <x:c r="BK759" s="23" t="n">
        <x:f>MAX(0,MIN('Activities'!L759,354)-MAX('Activities'!K759,348))</x:f>
        <x:v>0</x:v>
      </x:c>
      <x:c r="BL759" s="23" t="n">
        <x:f>MAX(0,MIN('Activities'!L759,360)-MAX('Activities'!K759,354))</x:f>
        <x:v>0</x:v>
      </x:c>
      <x:c r="BM759" s="23" t="n">
        <x:f>MAX(0,MIN('Activities'!L759,366)-MAX('Activities'!K759,360))</x:f>
        <x:v>0</x:v>
      </x:c>
      <x:c r="BN759" s="23" t="n">
        <x:f>MAX(0,MIN('Activities'!L759,372)-MAX('Activities'!K759,366))</x:f>
        <x:v>0</x:v>
      </x:c>
      <x:c r="BO759" s="23" t="n">
        <x:f>MAX(0,MIN('Activities'!L759,378)-MAX('Activities'!K759,372))</x:f>
        <x:v>0</x:v>
      </x:c>
      <x:c r="BP759" s="23" t="n">
        <x:f>MAX(0,MIN('Activities'!L759,384)-MAX('Activities'!K759,378))</x:f>
        <x:v>0</x:v>
      </x:c>
      <x:c r="BQ759" s="23" t="n">
        <x:f>MAX(0,MIN('Activities'!L759,390)-MAX('Activities'!K759,384))</x:f>
        <x:v>0</x:v>
      </x:c>
      <x:c r="BR759" s="23" t="n">
        <x:f>MAX(0,MIN('Activities'!L759,396)-MAX('Activities'!K759,390))</x:f>
        <x:v>0</x:v>
      </x:c>
      <x:c r="BS759" s="23" t="n">
        <x:f>MAX(0,MIN('Activities'!L759,402)-MAX('Activities'!K759,396))</x:f>
        <x:v>0</x:v>
      </x:c>
      <x:c r="BT759" s="23" t="n">
        <x:f>MAX(0,MIN('Activities'!L759,408)-MAX('Activities'!K759,402))</x:f>
        <x:v>0</x:v>
      </x:c>
      <x:c r="BU759" s="23" t="n">
        <x:f>MAX(0,MIN('Activities'!L759,414)-MAX('Activities'!K759,408))</x:f>
        <x:v>0</x:v>
      </x:c>
      <x:c r="BV759" s="23" t="n">
        <x:f>MAX(0,MIN('Activities'!L759,420)-MAX('Activities'!K759,414))</x:f>
        <x:v>0</x:v>
      </x:c>
      <x:c r="BW759" s="23" t="n">
        <x:f>MAX(0,MIN('Activities'!L759,426)-MAX('Activities'!K759,420))</x:f>
        <x:v>0</x:v>
      </x:c>
      <x:c r="BX759" s="23" t="n">
        <x:f>MAX(0,MIN('Activities'!L759,432)-MAX('Activities'!K759,426))</x:f>
        <x:v>0</x:v>
      </x:c>
      <x:c r="BY759" s="23" t="n">
        <x:f>MAX(0,MIN('Activities'!L759,438)-MAX('Activities'!K759,432))</x:f>
        <x:v>0</x:v>
      </x:c>
      <x:c r="BZ759" s="23" t="n">
        <x:f>MAX(0,MIN('Activities'!L759,444)-MAX('Activities'!K759,438))</x:f>
        <x:v>0</x:v>
      </x:c>
      <x:c r="CA759" s="23" t="n">
        <x:f>MAX(0,MIN('Activities'!L759,450)-MAX('Activities'!K759,444))</x:f>
        <x:v>0</x:v>
      </x:c>
      <x:c r="CB759" s="23" t="n">
        <x:f>MAX(0,MIN('Activities'!L759,456)-MAX('Activities'!K759,450))</x:f>
        <x:v>0</x:v>
      </x:c>
      <x:c r="CC759" s="23" t="n">
        <x:f>MAX(0,MIN('Activities'!L759,462)-MAX('Activities'!K759,456))</x:f>
        <x:v>0</x:v>
      </x:c>
      <x:c r="CD759" s="23" t="n">
        <x:f>MAX(0,MIN('Activities'!L759,468)-MAX('Activities'!K759,462))</x:f>
        <x:v>0</x:v>
      </x:c>
      <x:c r="CE759" s="23" t="n">
        <x:f>MAX(0,MIN('Activities'!L759,474)-MAX('Activities'!K759,468))</x:f>
        <x:v>0</x:v>
      </x:c>
      <x:c r="CF759" s="23" t="n">
        <x:f>MAX(0,MIN('Activities'!L759,480)-MAX('Activities'!K759,474))</x:f>
        <x:v>3</x:v>
      </x:c>
      <x:c r="CG759" s="23" t="n">
        <x:f>MAX(0,MIN('Activities'!L759,486)-MAX('Activities'!K759,480))</x:f>
        <x:v>0</x:v>
      </x:c>
      <x:c r="CH759" s="23" t="n">
        <x:f>MAX(0,MIN('Activities'!L759,492)-MAX('Activities'!K759,486))</x:f>
        <x:v>0</x:v>
      </x:c>
      <x:c r="CI759" s="23" t="n">
        <x:f>MAX(0,MIN('Activities'!L759,498)-MAX('Activities'!K759,492))</x:f>
        <x:v>0</x:v>
      </x:c>
      <x:c r="CJ759" s="23" t="n">
        <x:f>MAX(0,MIN('Activities'!L759,504)-MAX('Activities'!K759,498))</x:f>
        <x:v>0</x:v>
      </x:c>
      <x:c r="CK759" s="23" t="n">
        <x:f>MAX(0,MIN('Activities'!L759,510)-MAX('Activities'!K759,504))</x:f>
        <x:v>0</x:v>
      </x:c>
      <x:c r="CL759" s="23" t="n">
        <x:f>MAX(0,MIN('Activities'!L759,516)-MAX('Activities'!K759,510))</x:f>
        <x:v>0</x:v>
      </x:c>
      <x:c r="CM759" s="23" t="n">
        <x:f>MAX(0,MIN('Activities'!L759,522)-MAX('Activities'!K759,516))</x:f>
        <x:v>0</x:v>
      </x:c>
      <x:c r="CN759" s="23" t="n">
        <x:f>MAX(0,MIN('Activities'!L759,528)-MAX('Activities'!K759,522))</x:f>
        <x:v>0</x:v>
      </x:c>
      <x:c r="CO759" s="23" t="n">
        <x:f>MAX(0,MIN('Activities'!L759,534)-MAX('Activities'!K759,528))</x:f>
        <x:v>0</x:v>
      </x:c>
      <x:c r="CP759" s="23" t="n">
        <x:f>MAX(0,MIN('Activities'!L759,540)-MAX('Activities'!K759,534))</x:f>
        <x:v>0</x:v>
      </x:c>
      <x:c r="CQ759" s="23" t="n">
        <x:f>MAX(0,MIN('Activities'!L759,546)-MAX('Activities'!K759,540))</x:f>
        <x:v>0</x:v>
      </x:c>
      <x:c r="CR759" s="23" t="n">
        <x:f>MAX(0,MIN('Activities'!L759,552)-MAX('Activities'!K759,546))</x:f>
        <x:v>0</x:v>
      </x:c>
      <x:c r="CS759" s="23" t="n">
        <x:f>MAX(0,MIN('Activities'!L759,558)-MAX('Activities'!K759,552))</x:f>
        <x:v>0</x:v>
      </x:c>
      <x:c r="CT759" s="23" t="n">
        <x:f>MAX(0,MIN('Activities'!L759,564)-MAX('Activities'!K759,558))</x:f>
        <x:v>0</x:v>
      </x:c>
      <x:c r="CU759" s="23" t="n">
        <x:f>MAX(0,MIN('Activities'!L759,570)-MAX('Activities'!K759,564))</x:f>
        <x:v>0</x:v>
      </x:c>
      <x:c r="CV759" s="23" t="n">
        <x:f>MAX(0,MIN('Activities'!L759,576)-MAX('Activities'!K759,570))</x:f>
        <x:v>0</x:v>
      </x:c>
      <x:c r="CW759" s="23" t="n">
        <x:f>MAX(0,MIN('Activities'!L759,582)-MAX('Activities'!K759,576))</x:f>
        <x:v>0</x:v>
      </x:c>
      <x:c r="CX759" s="23" t="n">
        <x:f>MAX(0,MIN('Activities'!L759,588)-MAX('Activities'!K759,582))</x:f>
        <x:v>0</x:v>
      </x:c>
      <x:c r="CY759" s="23" t="n">
        <x:f>MAX(0,MIN('Activities'!L759,594)-MAX('Activities'!K759,588))</x:f>
        <x:v>0</x:v>
      </x:c>
      <x:c r="CZ759" s="23" t="n">
        <x:f>MAX(0,MIN('Activities'!L759,600)-MAX('Activities'!K759,594))</x:f>
        <x:v>0</x:v>
      </x:c>
      <x:c r="DA759" s="23" t="n">
        <x:f>MAX(0,MIN('Activities'!L759,606)-MAX('Activities'!K759,600))</x:f>
        <x:v>0</x:v>
      </x:c>
      <x:c r="DB759" s="23" t="n">
        <x:f>MAX(0,MIN('Activities'!L759,612)-MAX('Activities'!K759,606))</x:f>
        <x:v>0</x:v>
      </x:c>
      <x:c r="DC759" s="23" t="n">
        <x:f>MAX(0,MIN('Activities'!L759,618)-MAX('Activities'!K759,612))</x:f>
        <x:v>0</x:v>
      </x:c>
      <x:c r="DD759" s="23" t="n">
        <x:f>MAX(0,MIN('Activities'!L759,624)-MAX('Activities'!K759,618))</x:f>
        <x:v>0</x:v>
      </x:c>
      <x:c r="DE759" s="23" t="n">
        <x:f>MAX(0,MIN('Activities'!L759,630)-MAX('Activities'!K759,624))</x:f>
        <x:v>0</x:v>
      </x:c>
      <x:c r="DF759" s="23" t="n">
        <x:f>MAX(0,MIN('Activities'!L759,636)-MAX('Activities'!K759,630))</x:f>
        <x:v>0</x:v>
      </x:c>
    </x:row>
    <x:row r="760" ht="23" customHeight="1">
      <x:c r="A760" s="6" t="str">
        <x:v>T6-L04-M</x:v>
      </x:c>
      <x:c r="B760" s="6" t="str">
        <x:v>T6</x:v>
      </x:c>
      <x:c r="C760" s="6" t="str">
        <x:v>Partition masonry</x:v>
      </x:c>
      <x:c r="D760" s="6" t="str">
        <x:v>Masonry</x:v>
      </x:c>
      <x:c r="E760" s="22" t="n">
        <x:f>MAX(0,MIN('Activities'!L760,6)-MAX('Activities'!K760,0))</x:f>
        <x:v>0</x:v>
      </x:c>
      <x:c r="F760" s="22" t="n">
        <x:f>MAX(0,MIN('Activities'!L760,12)-MAX('Activities'!K760,6))</x:f>
        <x:v>0</x:v>
      </x:c>
      <x:c r="G760" s="22" t="n">
        <x:f>MAX(0,MIN('Activities'!L760,18)-MAX('Activities'!K760,12))</x:f>
        <x:v>0</x:v>
      </x:c>
      <x:c r="H760" s="22" t="n">
        <x:f>MAX(0,MIN('Activities'!L760,24)-MAX('Activities'!K760,18))</x:f>
        <x:v>0</x:v>
      </x:c>
      <x:c r="I760" s="22" t="n">
        <x:f>MAX(0,MIN('Activities'!L760,30)-MAX('Activities'!K760,24))</x:f>
        <x:v>0</x:v>
      </x:c>
      <x:c r="J760" s="22" t="n">
        <x:f>MAX(0,MIN('Activities'!L760,36)-MAX('Activities'!K760,30))</x:f>
        <x:v>0</x:v>
      </x:c>
      <x:c r="K760" s="22" t="n">
        <x:f>MAX(0,MIN('Activities'!L760,42)-MAX('Activities'!K760,36))</x:f>
        <x:v>0</x:v>
      </x:c>
      <x:c r="L760" s="22" t="n">
        <x:f>MAX(0,MIN('Activities'!L760,48)-MAX('Activities'!K760,42))</x:f>
        <x:v>0</x:v>
      </x:c>
      <x:c r="M760" s="22" t="n">
        <x:f>MAX(0,MIN('Activities'!L760,54)-MAX('Activities'!K760,48))</x:f>
        <x:v>0</x:v>
      </x:c>
      <x:c r="N760" s="22" t="n">
        <x:f>MAX(0,MIN('Activities'!L760,60)-MAX('Activities'!K760,54))</x:f>
        <x:v>0</x:v>
      </x:c>
      <x:c r="O760" s="22" t="n">
        <x:f>MAX(0,MIN('Activities'!L760,66)-MAX('Activities'!K760,60))</x:f>
        <x:v>0</x:v>
      </x:c>
      <x:c r="P760" s="22" t="n">
        <x:f>MAX(0,MIN('Activities'!L760,72)-MAX('Activities'!K760,66))</x:f>
        <x:v>0</x:v>
      </x:c>
      <x:c r="Q760" s="22" t="n">
        <x:f>MAX(0,MIN('Activities'!L760,78)-MAX('Activities'!K760,72))</x:f>
        <x:v>0</x:v>
      </x:c>
      <x:c r="R760" s="22" t="n">
        <x:f>MAX(0,MIN('Activities'!L760,84)-MAX('Activities'!K760,78))</x:f>
        <x:v>0</x:v>
      </x:c>
      <x:c r="S760" s="22" t="n">
        <x:f>MAX(0,MIN('Activities'!L760,90)-MAX('Activities'!K760,84))</x:f>
        <x:v>0</x:v>
      </x:c>
      <x:c r="T760" s="22" t="n">
        <x:f>MAX(0,MIN('Activities'!L760,96)-MAX('Activities'!K760,90))</x:f>
        <x:v>0</x:v>
      </x:c>
      <x:c r="U760" s="22" t="n">
        <x:f>MAX(0,MIN('Activities'!L760,102)-MAX('Activities'!K760,96))</x:f>
        <x:v>0</x:v>
      </x:c>
      <x:c r="V760" s="22" t="n">
        <x:f>MAX(0,MIN('Activities'!L760,108)-MAX('Activities'!K760,102))</x:f>
        <x:v>0</x:v>
      </x:c>
      <x:c r="W760" s="22" t="n">
        <x:f>MAX(0,MIN('Activities'!L760,114)-MAX('Activities'!K760,108))</x:f>
        <x:v>0</x:v>
      </x:c>
      <x:c r="X760" s="22" t="n">
        <x:f>MAX(0,MIN('Activities'!L760,120)-MAX('Activities'!K760,114))</x:f>
        <x:v>0</x:v>
      </x:c>
      <x:c r="Y760" s="22" t="n">
        <x:f>MAX(0,MIN('Activities'!L760,126)-MAX('Activities'!K760,120))</x:f>
        <x:v>0</x:v>
      </x:c>
      <x:c r="Z760" s="22" t="n">
        <x:f>MAX(0,MIN('Activities'!L760,132)-MAX('Activities'!K760,126))</x:f>
        <x:v>0</x:v>
      </x:c>
      <x:c r="AA760" s="22" t="n">
        <x:f>MAX(0,MIN('Activities'!L760,138)-MAX('Activities'!K760,132))</x:f>
        <x:v>0</x:v>
      </x:c>
      <x:c r="AB760" s="22" t="n">
        <x:f>MAX(0,MIN('Activities'!L760,144)-MAX('Activities'!K760,138))</x:f>
        <x:v>0</x:v>
      </x:c>
      <x:c r="AC760" s="22" t="n">
        <x:f>MAX(0,MIN('Activities'!L760,150)-MAX('Activities'!K760,144))</x:f>
        <x:v>0</x:v>
      </x:c>
      <x:c r="AD760" s="22" t="n">
        <x:f>MAX(0,MIN('Activities'!L760,156)-MAX('Activities'!K760,150))</x:f>
        <x:v>0</x:v>
      </x:c>
      <x:c r="AE760" s="22" t="n">
        <x:f>MAX(0,MIN('Activities'!L760,162)-MAX('Activities'!K760,156))</x:f>
        <x:v>0</x:v>
      </x:c>
      <x:c r="AF760" s="22" t="n">
        <x:f>MAX(0,MIN('Activities'!L760,168)-MAX('Activities'!K760,162))</x:f>
        <x:v>0</x:v>
      </x:c>
      <x:c r="AG760" s="22" t="n">
        <x:f>MAX(0,MIN('Activities'!L760,174)-MAX('Activities'!K760,168))</x:f>
        <x:v>0</x:v>
      </x:c>
      <x:c r="AH760" s="22" t="n">
        <x:f>MAX(0,MIN('Activities'!L760,180)-MAX('Activities'!K760,174))</x:f>
        <x:v>0</x:v>
      </x:c>
      <x:c r="AI760" s="22" t="n">
        <x:f>MAX(0,MIN('Activities'!L760,186)-MAX('Activities'!K760,180))</x:f>
        <x:v>0</x:v>
      </x:c>
      <x:c r="AJ760" s="22" t="n">
        <x:f>MAX(0,MIN('Activities'!L760,192)-MAX('Activities'!K760,186))</x:f>
        <x:v>0</x:v>
      </x:c>
      <x:c r="AK760" s="22" t="n">
        <x:f>MAX(0,MIN('Activities'!L760,198)-MAX('Activities'!K760,192))</x:f>
        <x:v>0</x:v>
      </x:c>
      <x:c r="AL760" s="22" t="n">
        <x:f>MAX(0,MIN('Activities'!L760,204)-MAX('Activities'!K760,198))</x:f>
        <x:v>0</x:v>
      </x:c>
      <x:c r="AM760" s="22" t="n">
        <x:f>MAX(0,MIN('Activities'!L760,210)-MAX('Activities'!K760,204))</x:f>
        <x:v>0</x:v>
      </x:c>
      <x:c r="AN760" s="22" t="n">
        <x:f>MAX(0,MIN('Activities'!L760,216)-MAX('Activities'!K760,210))</x:f>
        <x:v>0</x:v>
      </x:c>
      <x:c r="AO760" s="22" t="n">
        <x:f>MAX(0,MIN('Activities'!L760,222)-MAX('Activities'!K760,216))</x:f>
        <x:v>0</x:v>
      </x:c>
      <x:c r="AP760" s="22" t="n">
        <x:f>MAX(0,MIN('Activities'!L760,228)-MAX('Activities'!K760,222))</x:f>
        <x:v>0</x:v>
      </x:c>
      <x:c r="AQ760" s="22" t="n">
        <x:f>MAX(0,MIN('Activities'!L760,234)-MAX('Activities'!K760,228))</x:f>
        <x:v>0</x:v>
      </x:c>
      <x:c r="AR760" s="22" t="n">
        <x:f>MAX(0,MIN('Activities'!L760,240)-MAX('Activities'!K760,234))</x:f>
        <x:v>0</x:v>
      </x:c>
      <x:c r="AS760" s="22" t="n">
        <x:f>MAX(0,MIN('Activities'!L760,246)-MAX('Activities'!K760,240))</x:f>
        <x:v>0</x:v>
      </x:c>
      <x:c r="AT760" s="22" t="n">
        <x:f>MAX(0,MIN('Activities'!L760,252)-MAX('Activities'!K760,246))</x:f>
        <x:v>0</x:v>
      </x:c>
      <x:c r="AU760" s="22" t="n">
        <x:f>MAX(0,MIN('Activities'!L760,258)-MAX('Activities'!K760,252))</x:f>
        <x:v>0</x:v>
      </x:c>
      <x:c r="AV760" s="22" t="n">
        <x:f>MAX(0,MIN('Activities'!L760,264)-MAX('Activities'!K760,258))</x:f>
        <x:v>0</x:v>
      </x:c>
      <x:c r="AW760" s="22" t="n">
        <x:f>MAX(0,MIN('Activities'!L760,270)-MAX('Activities'!K760,264))</x:f>
        <x:v>0</x:v>
      </x:c>
      <x:c r="AX760" s="22" t="n">
        <x:f>MAX(0,MIN('Activities'!L760,276)-MAX('Activities'!K760,270))</x:f>
        <x:v>0</x:v>
      </x:c>
      <x:c r="AY760" s="22" t="n">
        <x:f>MAX(0,MIN('Activities'!L760,282)-MAX('Activities'!K760,276))</x:f>
        <x:v>0</x:v>
      </x:c>
      <x:c r="AZ760" s="22" t="n">
        <x:f>MAX(0,MIN('Activities'!L760,288)-MAX('Activities'!K760,282))</x:f>
        <x:v>0</x:v>
      </x:c>
      <x:c r="BA760" s="22" t="n">
        <x:f>MAX(0,MIN('Activities'!L760,294)-MAX('Activities'!K760,288))</x:f>
        <x:v>0</x:v>
      </x:c>
      <x:c r="BB760" s="22" t="n">
        <x:f>MAX(0,MIN('Activities'!L760,300)-MAX('Activities'!K760,294))</x:f>
        <x:v>0</x:v>
      </x:c>
      <x:c r="BC760" s="22" t="n">
        <x:f>MAX(0,MIN('Activities'!L760,306)-MAX('Activities'!K760,300))</x:f>
        <x:v>0</x:v>
      </x:c>
      <x:c r="BD760" s="22" t="n">
        <x:f>MAX(0,MIN('Activities'!L760,312)-MAX('Activities'!K760,306))</x:f>
        <x:v>0</x:v>
      </x:c>
      <x:c r="BE760" s="22" t="n">
        <x:f>MAX(0,MIN('Activities'!L760,318)-MAX('Activities'!K760,312))</x:f>
        <x:v>0</x:v>
      </x:c>
      <x:c r="BF760" s="22" t="n">
        <x:f>MAX(0,MIN('Activities'!L760,324)-MAX('Activities'!K760,318))</x:f>
        <x:v>0</x:v>
      </x:c>
      <x:c r="BG760" s="22" t="n">
        <x:f>MAX(0,MIN('Activities'!L760,330)-MAX('Activities'!K760,324))</x:f>
        <x:v>0</x:v>
      </x:c>
      <x:c r="BH760" s="22" t="n">
        <x:f>MAX(0,MIN('Activities'!L760,336)-MAX('Activities'!K760,330))</x:f>
        <x:v>0</x:v>
      </x:c>
      <x:c r="BI760" s="22" t="n">
        <x:f>MAX(0,MIN('Activities'!L760,342)-MAX('Activities'!K760,336))</x:f>
        <x:v>0</x:v>
      </x:c>
      <x:c r="BJ760" s="22" t="n">
        <x:f>MAX(0,MIN('Activities'!L760,348)-MAX('Activities'!K760,342))</x:f>
        <x:v>5</x:v>
      </x:c>
      <x:c r="BK760" s="22" t="n">
        <x:f>MAX(0,MIN('Activities'!L760,354)-MAX('Activities'!K760,348))</x:f>
        <x:v>0</x:v>
      </x:c>
      <x:c r="BL760" s="22" t="n">
        <x:f>MAX(0,MIN('Activities'!L760,360)-MAX('Activities'!K760,354))</x:f>
        <x:v>0</x:v>
      </x:c>
      <x:c r="BM760" s="22" t="n">
        <x:f>MAX(0,MIN('Activities'!L760,366)-MAX('Activities'!K760,360))</x:f>
        <x:v>0</x:v>
      </x:c>
      <x:c r="BN760" s="22" t="n">
        <x:f>MAX(0,MIN('Activities'!L760,372)-MAX('Activities'!K760,366))</x:f>
        <x:v>0</x:v>
      </x:c>
      <x:c r="BO760" s="22" t="n">
        <x:f>MAX(0,MIN('Activities'!L760,378)-MAX('Activities'!K760,372))</x:f>
        <x:v>0</x:v>
      </x:c>
      <x:c r="BP760" s="22" t="n">
        <x:f>MAX(0,MIN('Activities'!L760,384)-MAX('Activities'!K760,378))</x:f>
        <x:v>0</x:v>
      </x:c>
      <x:c r="BQ760" s="22" t="n">
        <x:f>MAX(0,MIN('Activities'!L760,390)-MAX('Activities'!K760,384))</x:f>
        <x:v>0</x:v>
      </x:c>
      <x:c r="BR760" s="22" t="n">
        <x:f>MAX(0,MIN('Activities'!L760,396)-MAX('Activities'!K760,390))</x:f>
        <x:v>0</x:v>
      </x:c>
      <x:c r="BS760" s="22" t="n">
        <x:f>MAX(0,MIN('Activities'!L760,402)-MAX('Activities'!K760,396))</x:f>
        <x:v>0</x:v>
      </x:c>
      <x:c r="BT760" s="22" t="n">
        <x:f>MAX(0,MIN('Activities'!L760,408)-MAX('Activities'!K760,402))</x:f>
        <x:v>0</x:v>
      </x:c>
      <x:c r="BU760" s="22" t="n">
        <x:f>MAX(0,MIN('Activities'!L760,414)-MAX('Activities'!K760,408))</x:f>
        <x:v>0</x:v>
      </x:c>
      <x:c r="BV760" s="22" t="n">
        <x:f>MAX(0,MIN('Activities'!L760,420)-MAX('Activities'!K760,414))</x:f>
        <x:v>0</x:v>
      </x:c>
      <x:c r="BW760" s="22" t="n">
        <x:f>MAX(0,MIN('Activities'!L760,426)-MAX('Activities'!K760,420))</x:f>
        <x:v>0</x:v>
      </x:c>
      <x:c r="BX760" s="22" t="n">
        <x:f>MAX(0,MIN('Activities'!L760,432)-MAX('Activities'!K760,426))</x:f>
        <x:v>0</x:v>
      </x:c>
      <x:c r="BY760" s="22" t="n">
        <x:f>MAX(0,MIN('Activities'!L760,438)-MAX('Activities'!K760,432))</x:f>
        <x:v>0</x:v>
      </x:c>
      <x:c r="BZ760" s="22" t="n">
        <x:f>MAX(0,MIN('Activities'!L760,444)-MAX('Activities'!K760,438))</x:f>
        <x:v>0</x:v>
      </x:c>
      <x:c r="CA760" s="22" t="n">
        <x:f>MAX(0,MIN('Activities'!L760,450)-MAX('Activities'!K760,444))</x:f>
        <x:v>0</x:v>
      </x:c>
      <x:c r="CB760" s="22" t="n">
        <x:f>MAX(0,MIN('Activities'!L760,456)-MAX('Activities'!K760,450))</x:f>
        <x:v>0</x:v>
      </x:c>
      <x:c r="CC760" s="22" t="n">
        <x:f>MAX(0,MIN('Activities'!L760,462)-MAX('Activities'!K760,456))</x:f>
        <x:v>0</x:v>
      </x:c>
      <x:c r="CD760" s="22" t="n">
        <x:f>MAX(0,MIN('Activities'!L760,468)-MAX('Activities'!K760,462))</x:f>
        <x:v>0</x:v>
      </x:c>
      <x:c r="CE760" s="22" t="n">
        <x:f>MAX(0,MIN('Activities'!L760,474)-MAX('Activities'!K760,468))</x:f>
        <x:v>0</x:v>
      </x:c>
      <x:c r="CF760" s="22" t="n">
        <x:f>MAX(0,MIN('Activities'!L760,480)-MAX('Activities'!K760,474))</x:f>
        <x:v>0</x:v>
      </x:c>
      <x:c r="CG760" s="22" t="n">
        <x:f>MAX(0,MIN('Activities'!L760,486)-MAX('Activities'!K760,480))</x:f>
        <x:v>0</x:v>
      </x:c>
      <x:c r="CH760" s="22" t="n">
        <x:f>MAX(0,MIN('Activities'!L760,492)-MAX('Activities'!K760,486))</x:f>
        <x:v>0</x:v>
      </x:c>
      <x:c r="CI760" s="22" t="n">
        <x:f>MAX(0,MIN('Activities'!L760,498)-MAX('Activities'!K760,492))</x:f>
        <x:v>0</x:v>
      </x:c>
      <x:c r="CJ760" s="22" t="n">
        <x:f>MAX(0,MIN('Activities'!L760,504)-MAX('Activities'!K760,498))</x:f>
        <x:v>0</x:v>
      </x:c>
      <x:c r="CK760" s="22" t="n">
        <x:f>MAX(0,MIN('Activities'!L760,510)-MAX('Activities'!K760,504))</x:f>
        <x:v>0</x:v>
      </x:c>
      <x:c r="CL760" s="22" t="n">
        <x:f>MAX(0,MIN('Activities'!L760,516)-MAX('Activities'!K760,510))</x:f>
        <x:v>0</x:v>
      </x:c>
      <x:c r="CM760" s="22" t="n">
        <x:f>MAX(0,MIN('Activities'!L760,522)-MAX('Activities'!K760,516))</x:f>
        <x:v>0</x:v>
      </x:c>
      <x:c r="CN760" s="22" t="n">
        <x:f>MAX(0,MIN('Activities'!L760,528)-MAX('Activities'!K760,522))</x:f>
        <x:v>0</x:v>
      </x:c>
      <x:c r="CO760" s="22" t="n">
        <x:f>MAX(0,MIN('Activities'!L760,534)-MAX('Activities'!K760,528))</x:f>
        <x:v>0</x:v>
      </x:c>
      <x:c r="CP760" s="22" t="n">
        <x:f>MAX(0,MIN('Activities'!L760,540)-MAX('Activities'!K760,534))</x:f>
        <x:v>0</x:v>
      </x:c>
      <x:c r="CQ760" s="22" t="n">
        <x:f>MAX(0,MIN('Activities'!L760,546)-MAX('Activities'!K760,540))</x:f>
        <x:v>0</x:v>
      </x:c>
      <x:c r="CR760" s="22" t="n">
        <x:f>MAX(0,MIN('Activities'!L760,552)-MAX('Activities'!K760,546))</x:f>
        <x:v>0</x:v>
      </x:c>
      <x:c r="CS760" s="22" t="n">
        <x:f>MAX(0,MIN('Activities'!L760,558)-MAX('Activities'!K760,552))</x:f>
        <x:v>0</x:v>
      </x:c>
      <x:c r="CT760" s="22" t="n">
        <x:f>MAX(0,MIN('Activities'!L760,564)-MAX('Activities'!K760,558))</x:f>
        <x:v>0</x:v>
      </x:c>
      <x:c r="CU760" s="22" t="n">
        <x:f>MAX(0,MIN('Activities'!L760,570)-MAX('Activities'!K760,564))</x:f>
        <x:v>0</x:v>
      </x:c>
      <x:c r="CV760" s="22" t="n">
        <x:f>MAX(0,MIN('Activities'!L760,576)-MAX('Activities'!K760,570))</x:f>
        <x:v>0</x:v>
      </x:c>
      <x:c r="CW760" s="22" t="n">
        <x:f>MAX(0,MIN('Activities'!L760,582)-MAX('Activities'!K760,576))</x:f>
        <x:v>0</x:v>
      </x:c>
      <x:c r="CX760" s="22" t="n">
        <x:f>MAX(0,MIN('Activities'!L760,588)-MAX('Activities'!K760,582))</x:f>
        <x:v>0</x:v>
      </x:c>
      <x:c r="CY760" s="22" t="n">
        <x:f>MAX(0,MIN('Activities'!L760,594)-MAX('Activities'!K760,588))</x:f>
        <x:v>0</x:v>
      </x:c>
      <x:c r="CZ760" s="22" t="n">
        <x:f>MAX(0,MIN('Activities'!L760,600)-MAX('Activities'!K760,594))</x:f>
        <x:v>0</x:v>
      </x:c>
      <x:c r="DA760" s="22" t="n">
        <x:f>MAX(0,MIN('Activities'!L760,606)-MAX('Activities'!K760,600))</x:f>
        <x:v>0</x:v>
      </x:c>
      <x:c r="DB760" s="22" t="n">
        <x:f>MAX(0,MIN('Activities'!L760,612)-MAX('Activities'!K760,606))</x:f>
        <x:v>0</x:v>
      </x:c>
      <x:c r="DC760" s="22" t="n">
        <x:f>MAX(0,MIN('Activities'!L760,618)-MAX('Activities'!K760,612))</x:f>
        <x:v>0</x:v>
      </x:c>
      <x:c r="DD760" s="22" t="n">
        <x:f>MAX(0,MIN('Activities'!L760,624)-MAX('Activities'!K760,618))</x:f>
        <x:v>0</x:v>
      </x:c>
      <x:c r="DE760" s="22" t="n">
        <x:f>MAX(0,MIN('Activities'!L760,630)-MAX('Activities'!K760,624))</x:f>
        <x:v>0</x:v>
      </x:c>
      <x:c r="DF760" s="22" t="n">
        <x:f>MAX(0,MIN('Activities'!L760,636)-MAX('Activities'!K760,630))</x:f>
        <x:v>0</x:v>
      </x:c>
    </x:row>
    <x:row r="761" ht="23" customHeight="1">
      <x:c r="A761" s="1" t="str">
        <x:v>T6-L04-P</x:v>
      </x:c>
      <x:c r="B761" s="1" t="str">
        <x:v>T6</x:v>
      </x:c>
      <x:c r="C761" s="1" t="str">
        <x:v>Internal plaster</x:v>
      </x:c>
      <x:c r="D761" s="1" t="str">
        <x:v>Finishes</x:v>
      </x:c>
      <x:c r="E761" s="23" t="n">
        <x:f>MAX(0,MIN('Activities'!L761,6)-MAX('Activities'!K761,0))</x:f>
        <x:v>0</x:v>
      </x:c>
      <x:c r="F761" s="23" t="n">
        <x:f>MAX(0,MIN('Activities'!L761,12)-MAX('Activities'!K761,6))</x:f>
        <x:v>0</x:v>
      </x:c>
      <x:c r="G761" s="23" t="n">
        <x:f>MAX(0,MIN('Activities'!L761,18)-MAX('Activities'!K761,12))</x:f>
        <x:v>0</x:v>
      </x:c>
      <x:c r="H761" s="23" t="n">
        <x:f>MAX(0,MIN('Activities'!L761,24)-MAX('Activities'!K761,18))</x:f>
        <x:v>0</x:v>
      </x:c>
      <x:c r="I761" s="23" t="n">
        <x:f>MAX(0,MIN('Activities'!L761,30)-MAX('Activities'!K761,24))</x:f>
        <x:v>0</x:v>
      </x:c>
      <x:c r="J761" s="23" t="n">
        <x:f>MAX(0,MIN('Activities'!L761,36)-MAX('Activities'!K761,30))</x:f>
        <x:v>0</x:v>
      </x:c>
      <x:c r="K761" s="23" t="n">
        <x:f>MAX(0,MIN('Activities'!L761,42)-MAX('Activities'!K761,36))</x:f>
        <x:v>0</x:v>
      </x:c>
      <x:c r="L761" s="23" t="n">
        <x:f>MAX(0,MIN('Activities'!L761,48)-MAX('Activities'!K761,42))</x:f>
        <x:v>0</x:v>
      </x:c>
      <x:c r="M761" s="23" t="n">
        <x:f>MAX(0,MIN('Activities'!L761,54)-MAX('Activities'!K761,48))</x:f>
        <x:v>0</x:v>
      </x:c>
      <x:c r="N761" s="23" t="n">
        <x:f>MAX(0,MIN('Activities'!L761,60)-MAX('Activities'!K761,54))</x:f>
        <x:v>0</x:v>
      </x:c>
      <x:c r="O761" s="23" t="n">
        <x:f>MAX(0,MIN('Activities'!L761,66)-MAX('Activities'!K761,60))</x:f>
        <x:v>0</x:v>
      </x:c>
      <x:c r="P761" s="23" t="n">
        <x:f>MAX(0,MIN('Activities'!L761,72)-MAX('Activities'!K761,66))</x:f>
        <x:v>0</x:v>
      </x:c>
      <x:c r="Q761" s="23" t="n">
        <x:f>MAX(0,MIN('Activities'!L761,78)-MAX('Activities'!K761,72))</x:f>
        <x:v>0</x:v>
      </x:c>
      <x:c r="R761" s="23" t="n">
        <x:f>MAX(0,MIN('Activities'!L761,84)-MAX('Activities'!K761,78))</x:f>
        <x:v>0</x:v>
      </x:c>
      <x:c r="S761" s="23" t="n">
        <x:f>MAX(0,MIN('Activities'!L761,90)-MAX('Activities'!K761,84))</x:f>
        <x:v>0</x:v>
      </x:c>
      <x:c r="T761" s="23" t="n">
        <x:f>MAX(0,MIN('Activities'!L761,96)-MAX('Activities'!K761,90))</x:f>
        <x:v>0</x:v>
      </x:c>
      <x:c r="U761" s="23" t="n">
        <x:f>MAX(0,MIN('Activities'!L761,102)-MAX('Activities'!K761,96))</x:f>
        <x:v>0</x:v>
      </x:c>
      <x:c r="V761" s="23" t="n">
        <x:f>MAX(0,MIN('Activities'!L761,108)-MAX('Activities'!K761,102))</x:f>
        <x:v>0</x:v>
      </x:c>
      <x:c r="W761" s="23" t="n">
        <x:f>MAX(0,MIN('Activities'!L761,114)-MAX('Activities'!K761,108))</x:f>
        <x:v>0</x:v>
      </x:c>
      <x:c r="X761" s="23" t="n">
        <x:f>MAX(0,MIN('Activities'!L761,120)-MAX('Activities'!K761,114))</x:f>
        <x:v>0</x:v>
      </x:c>
      <x:c r="Y761" s="23" t="n">
        <x:f>MAX(0,MIN('Activities'!L761,126)-MAX('Activities'!K761,120))</x:f>
        <x:v>0</x:v>
      </x:c>
      <x:c r="Z761" s="23" t="n">
        <x:f>MAX(0,MIN('Activities'!L761,132)-MAX('Activities'!K761,126))</x:f>
        <x:v>0</x:v>
      </x:c>
      <x:c r="AA761" s="23" t="n">
        <x:f>MAX(0,MIN('Activities'!L761,138)-MAX('Activities'!K761,132))</x:f>
        <x:v>0</x:v>
      </x:c>
      <x:c r="AB761" s="23" t="n">
        <x:f>MAX(0,MIN('Activities'!L761,144)-MAX('Activities'!K761,138))</x:f>
        <x:v>0</x:v>
      </x:c>
      <x:c r="AC761" s="23" t="n">
        <x:f>MAX(0,MIN('Activities'!L761,150)-MAX('Activities'!K761,144))</x:f>
        <x:v>0</x:v>
      </x:c>
      <x:c r="AD761" s="23" t="n">
        <x:f>MAX(0,MIN('Activities'!L761,156)-MAX('Activities'!K761,150))</x:f>
        <x:v>0</x:v>
      </x:c>
      <x:c r="AE761" s="23" t="n">
        <x:f>MAX(0,MIN('Activities'!L761,162)-MAX('Activities'!K761,156))</x:f>
        <x:v>0</x:v>
      </x:c>
      <x:c r="AF761" s="23" t="n">
        <x:f>MAX(0,MIN('Activities'!L761,168)-MAX('Activities'!K761,162))</x:f>
        <x:v>0</x:v>
      </x:c>
      <x:c r="AG761" s="23" t="n">
        <x:f>MAX(0,MIN('Activities'!L761,174)-MAX('Activities'!K761,168))</x:f>
        <x:v>0</x:v>
      </x:c>
      <x:c r="AH761" s="23" t="n">
        <x:f>MAX(0,MIN('Activities'!L761,180)-MAX('Activities'!K761,174))</x:f>
        <x:v>0</x:v>
      </x:c>
      <x:c r="AI761" s="23" t="n">
        <x:f>MAX(0,MIN('Activities'!L761,186)-MAX('Activities'!K761,180))</x:f>
        <x:v>0</x:v>
      </x:c>
      <x:c r="AJ761" s="23" t="n">
        <x:f>MAX(0,MIN('Activities'!L761,192)-MAX('Activities'!K761,186))</x:f>
        <x:v>0</x:v>
      </x:c>
      <x:c r="AK761" s="23" t="n">
        <x:f>MAX(0,MIN('Activities'!L761,198)-MAX('Activities'!K761,192))</x:f>
        <x:v>0</x:v>
      </x:c>
      <x:c r="AL761" s="23" t="n">
        <x:f>MAX(0,MIN('Activities'!L761,204)-MAX('Activities'!K761,198))</x:f>
        <x:v>0</x:v>
      </x:c>
      <x:c r="AM761" s="23" t="n">
        <x:f>MAX(0,MIN('Activities'!L761,210)-MAX('Activities'!K761,204))</x:f>
        <x:v>0</x:v>
      </x:c>
      <x:c r="AN761" s="23" t="n">
        <x:f>MAX(0,MIN('Activities'!L761,216)-MAX('Activities'!K761,210))</x:f>
        <x:v>0</x:v>
      </x:c>
      <x:c r="AO761" s="23" t="n">
        <x:f>MAX(0,MIN('Activities'!L761,222)-MAX('Activities'!K761,216))</x:f>
        <x:v>0</x:v>
      </x:c>
      <x:c r="AP761" s="23" t="n">
        <x:f>MAX(0,MIN('Activities'!L761,228)-MAX('Activities'!K761,222))</x:f>
        <x:v>0</x:v>
      </x:c>
      <x:c r="AQ761" s="23" t="n">
        <x:f>MAX(0,MIN('Activities'!L761,234)-MAX('Activities'!K761,228))</x:f>
        <x:v>0</x:v>
      </x:c>
      <x:c r="AR761" s="23" t="n">
        <x:f>MAX(0,MIN('Activities'!L761,240)-MAX('Activities'!K761,234))</x:f>
        <x:v>0</x:v>
      </x:c>
      <x:c r="AS761" s="23" t="n">
        <x:f>MAX(0,MIN('Activities'!L761,246)-MAX('Activities'!K761,240))</x:f>
        <x:v>0</x:v>
      </x:c>
      <x:c r="AT761" s="23" t="n">
        <x:f>MAX(0,MIN('Activities'!L761,252)-MAX('Activities'!K761,246))</x:f>
        <x:v>0</x:v>
      </x:c>
      <x:c r="AU761" s="23" t="n">
        <x:f>MAX(0,MIN('Activities'!L761,258)-MAX('Activities'!K761,252))</x:f>
        <x:v>0</x:v>
      </x:c>
      <x:c r="AV761" s="23" t="n">
        <x:f>MAX(0,MIN('Activities'!L761,264)-MAX('Activities'!K761,258))</x:f>
        <x:v>0</x:v>
      </x:c>
      <x:c r="AW761" s="23" t="n">
        <x:f>MAX(0,MIN('Activities'!L761,270)-MAX('Activities'!K761,264))</x:f>
        <x:v>0</x:v>
      </x:c>
      <x:c r="AX761" s="23" t="n">
        <x:f>MAX(0,MIN('Activities'!L761,276)-MAX('Activities'!K761,270))</x:f>
        <x:v>0</x:v>
      </x:c>
      <x:c r="AY761" s="23" t="n">
        <x:f>MAX(0,MIN('Activities'!L761,282)-MAX('Activities'!K761,276))</x:f>
        <x:v>0</x:v>
      </x:c>
      <x:c r="AZ761" s="23" t="n">
        <x:f>MAX(0,MIN('Activities'!L761,288)-MAX('Activities'!K761,282))</x:f>
        <x:v>0</x:v>
      </x:c>
      <x:c r="BA761" s="23" t="n">
        <x:f>MAX(0,MIN('Activities'!L761,294)-MAX('Activities'!K761,288))</x:f>
        <x:v>0</x:v>
      </x:c>
      <x:c r="BB761" s="23" t="n">
        <x:f>MAX(0,MIN('Activities'!L761,300)-MAX('Activities'!K761,294))</x:f>
        <x:v>0</x:v>
      </x:c>
      <x:c r="BC761" s="23" t="n">
        <x:f>MAX(0,MIN('Activities'!L761,306)-MAX('Activities'!K761,300))</x:f>
        <x:v>0</x:v>
      </x:c>
      <x:c r="BD761" s="23" t="n">
        <x:f>MAX(0,MIN('Activities'!L761,312)-MAX('Activities'!K761,306))</x:f>
        <x:v>0</x:v>
      </x:c>
      <x:c r="BE761" s="23" t="n">
        <x:f>MAX(0,MIN('Activities'!L761,318)-MAX('Activities'!K761,312))</x:f>
        <x:v>0</x:v>
      </x:c>
      <x:c r="BF761" s="23" t="n">
        <x:f>MAX(0,MIN('Activities'!L761,324)-MAX('Activities'!K761,318))</x:f>
        <x:v>0</x:v>
      </x:c>
      <x:c r="BG761" s="23" t="n">
        <x:f>MAX(0,MIN('Activities'!L761,330)-MAX('Activities'!K761,324))</x:f>
        <x:v>0</x:v>
      </x:c>
      <x:c r="BH761" s="23" t="n">
        <x:f>MAX(0,MIN('Activities'!L761,336)-MAX('Activities'!K761,330))</x:f>
        <x:v>0</x:v>
      </x:c>
      <x:c r="BI761" s="23" t="n">
        <x:f>MAX(0,MIN('Activities'!L761,342)-MAX('Activities'!K761,336))</x:f>
        <x:v>0</x:v>
      </x:c>
      <x:c r="BJ761" s="23" t="n">
        <x:f>MAX(0,MIN('Activities'!L761,348)-MAX('Activities'!K761,342))</x:f>
        <x:v>0</x:v>
      </x:c>
      <x:c r="BK761" s="23" t="n">
        <x:f>MAX(0,MIN('Activities'!L761,354)-MAX('Activities'!K761,348))</x:f>
        <x:v>3</x:v>
      </x:c>
      <x:c r="BL761" s="23" t="n">
        <x:f>MAX(0,MIN('Activities'!L761,360)-MAX('Activities'!K761,354))</x:f>
        <x:v>3</x:v>
      </x:c>
      <x:c r="BM761" s="23" t="n">
        <x:f>MAX(0,MIN('Activities'!L761,366)-MAX('Activities'!K761,360))</x:f>
        <x:v>0</x:v>
      </x:c>
      <x:c r="BN761" s="23" t="n">
        <x:f>MAX(0,MIN('Activities'!L761,372)-MAX('Activities'!K761,366))</x:f>
        <x:v>0</x:v>
      </x:c>
      <x:c r="BO761" s="23" t="n">
        <x:f>MAX(0,MIN('Activities'!L761,378)-MAX('Activities'!K761,372))</x:f>
        <x:v>0</x:v>
      </x:c>
      <x:c r="BP761" s="23" t="n">
        <x:f>MAX(0,MIN('Activities'!L761,384)-MAX('Activities'!K761,378))</x:f>
        <x:v>0</x:v>
      </x:c>
      <x:c r="BQ761" s="23" t="n">
        <x:f>MAX(0,MIN('Activities'!L761,390)-MAX('Activities'!K761,384))</x:f>
        <x:v>0</x:v>
      </x:c>
      <x:c r="BR761" s="23" t="n">
        <x:f>MAX(0,MIN('Activities'!L761,396)-MAX('Activities'!K761,390))</x:f>
        <x:v>0</x:v>
      </x:c>
      <x:c r="BS761" s="23" t="n">
        <x:f>MAX(0,MIN('Activities'!L761,402)-MAX('Activities'!K761,396))</x:f>
        <x:v>0</x:v>
      </x:c>
      <x:c r="BT761" s="23" t="n">
        <x:f>MAX(0,MIN('Activities'!L761,408)-MAX('Activities'!K761,402))</x:f>
        <x:v>0</x:v>
      </x:c>
      <x:c r="BU761" s="23" t="n">
        <x:f>MAX(0,MIN('Activities'!L761,414)-MAX('Activities'!K761,408))</x:f>
        <x:v>0</x:v>
      </x:c>
      <x:c r="BV761" s="23" t="n">
        <x:f>MAX(0,MIN('Activities'!L761,420)-MAX('Activities'!K761,414))</x:f>
        <x:v>0</x:v>
      </x:c>
      <x:c r="BW761" s="23" t="n">
        <x:f>MAX(0,MIN('Activities'!L761,426)-MAX('Activities'!K761,420))</x:f>
        <x:v>0</x:v>
      </x:c>
      <x:c r="BX761" s="23" t="n">
        <x:f>MAX(0,MIN('Activities'!L761,432)-MAX('Activities'!K761,426))</x:f>
        <x:v>0</x:v>
      </x:c>
      <x:c r="BY761" s="23" t="n">
        <x:f>MAX(0,MIN('Activities'!L761,438)-MAX('Activities'!K761,432))</x:f>
        <x:v>0</x:v>
      </x:c>
      <x:c r="BZ761" s="23" t="n">
        <x:f>MAX(0,MIN('Activities'!L761,444)-MAX('Activities'!K761,438))</x:f>
        <x:v>0</x:v>
      </x:c>
      <x:c r="CA761" s="23" t="n">
        <x:f>MAX(0,MIN('Activities'!L761,450)-MAX('Activities'!K761,444))</x:f>
        <x:v>0</x:v>
      </x:c>
      <x:c r="CB761" s="23" t="n">
        <x:f>MAX(0,MIN('Activities'!L761,456)-MAX('Activities'!K761,450))</x:f>
        <x:v>0</x:v>
      </x:c>
      <x:c r="CC761" s="23" t="n">
        <x:f>MAX(0,MIN('Activities'!L761,462)-MAX('Activities'!K761,456))</x:f>
        <x:v>0</x:v>
      </x:c>
      <x:c r="CD761" s="23" t="n">
        <x:f>MAX(0,MIN('Activities'!L761,468)-MAX('Activities'!K761,462))</x:f>
        <x:v>0</x:v>
      </x:c>
      <x:c r="CE761" s="23" t="n">
        <x:f>MAX(0,MIN('Activities'!L761,474)-MAX('Activities'!K761,468))</x:f>
        <x:v>0</x:v>
      </x:c>
      <x:c r="CF761" s="23" t="n">
        <x:f>MAX(0,MIN('Activities'!L761,480)-MAX('Activities'!K761,474))</x:f>
        <x:v>0</x:v>
      </x:c>
      <x:c r="CG761" s="23" t="n">
        <x:f>MAX(0,MIN('Activities'!L761,486)-MAX('Activities'!K761,480))</x:f>
        <x:v>0</x:v>
      </x:c>
      <x:c r="CH761" s="23" t="n">
        <x:f>MAX(0,MIN('Activities'!L761,492)-MAX('Activities'!K761,486))</x:f>
        <x:v>0</x:v>
      </x:c>
      <x:c r="CI761" s="23" t="n">
        <x:f>MAX(0,MIN('Activities'!L761,498)-MAX('Activities'!K761,492))</x:f>
        <x:v>0</x:v>
      </x:c>
      <x:c r="CJ761" s="23" t="n">
        <x:f>MAX(0,MIN('Activities'!L761,504)-MAX('Activities'!K761,498))</x:f>
        <x:v>0</x:v>
      </x:c>
      <x:c r="CK761" s="23" t="n">
        <x:f>MAX(0,MIN('Activities'!L761,510)-MAX('Activities'!K761,504))</x:f>
        <x:v>0</x:v>
      </x:c>
      <x:c r="CL761" s="23" t="n">
        <x:f>MAX(0,MIN('Activities'!L761,516)-MAX('Activities'!K761,510))</x:f>
        <x:v>0</x:v>
      </x:c>
      <x:c r="CM761" s="23" t="n">
        <x:f>MAX(0,MIN('Activities'!L761,522)-MAX('Activities'!K761,516))</x:f>
        <x:v>0</x:v>
      </x:c>
      <x:c r="CN761" s="23" t="n">
        <x:f>MAX(0,MIN('Activities'!L761,528)-MAX('Activities'!K761,522))</x:f>
        <x:v>0</x:v>
      </x:c>
      <x:c r="CO761" s="23" t="n">
        <x:f>MAX(0,MIN('Activities'!L761,534)-MAX('Activities'!K761,528))</x:f>
        <x:v>0</x:v>
      </x:c>
      <x:c r="CP761" s="23" t="n">
        <x:f>MAX(0,MIN('Activities'!L761,540)-MAX('Activities'!K761,534))</x:f>
        <x:v>0</x:v>
      </x:c>
      <x:c r="CQ761" s="23" t="n">
        <x:f>MAX(0,MIN('Activities'!L761,546)-MAX('Activities'!K761,540))</x:f>
        <x:v>0</x:v>
      </x:c>
      <x:c r="CR761" s="23" t="n">
        <x:f>MAX(0,MIN('Activities'!L761,552)-MAX('Activities'!K761,546))</x:f>
        <x:v>0</x:v>
      </x:c>
      <x:c r="CS761" s="23" t="n">
        <x:f>MAX(0,MIN('Activities'!L761,558)-MAX('Activities'!K761,552))</x:f>
        <x:v>0</x:v>
      </x:c>
      <x:c r="CT761" s="23" t="n">
        <x:f>MAX(0,MIN('Activities'!L761,564)-MAX('Activities'!K761,558))</x:f>
        <x:v>0</x:v>
      </x:c>
      <x:c r="CU761" s="23" t="n">
        <x:f>MAX(0,MIN('Activities'!L761,570)-MAX('Activities'!K761,564))</x:f>
        <x:v>0</x:v>
      </x:c>
      <x:c r="CV761" s="23" t="n">
        <x:f>MAX(0,MIN('Activities'!L761,576)-MAX('Activities'!K761,570))</x:f>
        <x:v>0</x:v>
      </x:c>
      <x:c r="CW761" s="23" t="n">
        <x:f>MAX(0,MIN('Activities'!L761,582)-MAX('Activities'!K761,576))</x:f>
        <x:v>0</x:v>
      </x:c>
      <x:c r="CX761" s="23" t="n">
        <x:f>MAX(0,MIN('Activities'!L761,588)-MAX('Activities'!K761,582))</x:f>
        <x:v>0</x:v>
      </x:c>
      <x:c r="CY761" s="23" t="n">
        <x:f>MAX(0,MIN('Activities'!L761,594)-MAX('Activities'!K761,588))</x:f>
        <x:v>0</x:v>
      </x:c>
      <x:c r="CZ761" s="23" t="n">
        <x:f>MAX(0,MIN('Activities'!L761,600)-MAX('Activities'!K761,594))</x:f>
        <x:v>0</x:v>
      </x:c>
      <x:c r="DA761" s="23" t="n">
        <x:f>MAX(0,MIN('Activities'!L761,606)-MAX('Activities'!K761,600))</x:f>
        <x:v>0</x:v>
      </x:c>
      <x:c r="DB761" s="23" t="n">
        <x:f>MAX(0,MIN('Activities'!L761,612)-MAX('Activities'!K761,606))</x:f>
        <x:v>0</x:v>
      </x:c>
      <x:c r="DC761" s="23" t="n">
        <x:f>MAX(0,MIN('Activities'!L761,618)-MAX('Activities'!K761,612))</x:f>
        <x:v>0</x:v>
      </x:c>
      <x:c r="DD761" s="23" t="n">
        <x:f>MAX(0,MIN('Activities'!L761,624)-MAX('Activities'!K761,618))</x:f>
        <x:v>0</x:v>
      </x:c>
      <x:c r="DE761" s="23" t="n">
        <x:f>MAX(0,MIN('Activities'!L761,630)-MAX('Activities'!K761,624))</x:f>
        <x:v>0</x:v>
      </x:c>
      <x:c r="DF761" s="23" t="n">
        <x:f>MAX(0,MIN('Activities'!L761,636)-MAX('Activities'!K761,630))</x:f>
        <x:v>0</x:v>
      </x:c>
    </x:row>
    <x:row r="762" ht="23" customHeight="1">
      <x:c r="A762" s="6" t="str">
        <x:v>T6-L04-S</x:v>
      </x:c>
      <x:c r="B762" s="6" t="str">
        <x:v>T6</x:v>
      </x:c>
      <x:c r="C762" s="6" t="str">
        <x:v>Screed and substrate preparation</x:v>
      </x:c>
      <x:c r="D762" s="6" t="str">
        <x:v>Finishes</x:v>
      </x:c>
      <x:c r="E762" s="22" t="n">
        <x:f>MAX(0,MIN('Activities'!L762,6)-MAX('Activities'!K762,0))</x:f>
        <x:v>0</x:v>
      </x:c>
      <x:c r="F762" s="22" t="n">
        <x:f>MAX(0,MIN('Activities'!L762,12)-MAX('Activities'!K762,6))</x:f>
        <x:v>0</x:v>
      </x:c>
      <x:c r="G762" s="22" t="n">
        <x:f>MAX(0,MIN('Activities'!L762,18)-MAX('Activities'!K762,12))</x:f>
        <x:v>0</x:v>
      </x:c>
      <x:c r="H762" s="22" t="n">
        <x:f>MAX(0,MIN('Activities'!L762,24)-MAX('Activities'!K762,18))</x:f>
        <x:v>0</x:v>
      </x:c>
      <x:c r="I762" s="22" t="n">
        <x:f>MAX(0,MIN('Activities'!L762,30)-MAX('Activities'!K762,24))</x:f>
        <x:v>0</x:v>
      </x:c>
      <x:c r="J762" s="22" t="n">
        <x:f>MAX(0,MIN('Activities'!L762,36)-MAX('Activities'!K762,30))</x:f>
        <x:v>0</x:v>
      </x:c>
      <x:c r="K762" s="22" t="n">
        <x:f>MAX(0,MIN('Activities'!L762,42)-MAX('Activities'!K762,36))</x:f>
        <x:v>0</x:v>
      </x:c>
      <x:c r="L762" s="22" t="n">
        <x:f>MAX(0,MIN('Activities'!L762,48)-MAX('Activities'!K762,42))</x:f>
        <x:v>0</x:v>
      </x:c>
      <x:c r="M762" s="22" t="n">
        <x:f>MAX(0,MIN('Activities'!L762,54)-MAX('Activities'!K762,48))</x:f>
        <x:v>0</x:v>
      </x:c>
      <x:c r="N762" s="22" t="n">
        <x:f>MAX(0,MIN('Activities'!L762,60)-MAX('Activities'!K762,54))</x:f>
        <x:v>0</x:v>
      </x:c>
      <x:c r="O762" s="22" t="n">
        <x:f>MAX(0,MIN('Activities'!L762,66)-MAX('Activities'!K762,60))</x:f>
        <x:v>0</x:v>
      </x:c>
      <x:c r="P762" s="22" t="n">
        <x:f>MAX(0,MIN('Activities'!L762,72)-MAX('Activities'!K762,66))</x:f>
        <x:v>0</x:v>
      </x:c>
      <x:c r="Q762" s="22" t="n">
        <x:f>MAX(0,MIN('Activities'!L762,78)-MAX('Activities'!K762,72))</x:f>
        <x:v>0</x:v>
      </x:c>
      <x:c r="R762" s="22" t="n">
        <x:f>MAX(0,MIN('Activities'!L762,84)-MAX('Activities'!K762,78))</x:f>
        <x:v>0</x:v>
      </x:c>
      <x:c r="S762" s="22" t="n">
        <x:f>MAX(0,MIN('Activities'!L762,90)-MAX('Activities'!K762,84))</x:f>
        <x:v>0</x:v>
      </x:c>
      <x:c r="T762" s="22" t="n">
        <x:f>MAX(0,MIN('Activities'!L762,96)-MAX('Activities'!K762,90))</x:f>
        <x:v>0</x:v>
      </x:c>
      <x:c r="U762" s="22" t="n">
        <x:f>MAX(0,MIN('Activities'!L762,102)-MAX('Activities'!K762,96))</x:f>
        <x:v>0</x:v>
      </x:c>
      <x:c r="V762" s="22" t="n">
        <x:f>MAX(0,MIN('Activities'!L762,108)-MAX('Activities'!K762,102))</x:f>
        <x:v>0</x:v>
      </x:c>
      <x:c r="W762" s="22" t="n">
        <x:f>MAX(0,MIN('Activities'!L762,114)-MAX('Activities'!K762,108))</x:f>
        <x:v>0</x:v>
      </x:c>
      <x:c r="X762" s="22" t="n">
        <x:f>MAX(0,MIN('Activities'!L762,120)-MAX('Activities'!K762,114))</x:f>
        <x:v>0</x:v>
      </x:c>
      <x:c r="Y762" s="22" t="n">
        <x:f>MAX(0,MIN('Activities'!L762,126)-MAX('Activities'!K762,120))</x:f>
        <x:v>0</x:v>
      </x:c>
      <x:c r="Z762" s="22" t="n">
        <x:f>MAX(0,MIN('Activities'!L762,132)-MAX('Activities'!K762,126))</x:f>
        <x:v>0</x:v>
      </x:c>
      <x:c r="AA762" s="22" t="n">
        <x:f>MAX(0,MIN('Activities'!L762,138)-MAX('Activities'!K762,132))</x:f>
        <x:v>0</x:v>
      </x:c>
      <x:c r="AB762" s="22" t="n">
        <x:f>MAX(0,MIN('Activities'!L762,144)-MAX('Activities'!K762,138))</x:f>
        <x:v>0</x:v>
      </x:c>
      <x:c r="AC762" s="22" t="n">
        <x:f>MAX(0,MIN('Activities'!L762,150)-MAX('Activities'!K762,144))</x:f>
        <x:v>0</x:v>
      </x:c>
      <x:c r="AD762" s="22" t="n">
        <x:f>MAX(0,MIN('Activities'!L762,156)-MAX('Activities'!K762,150))</x:f>
        <x:v>0</x:v>
      </x:c>
      <x:c r="AE762" s="22" t="n">
        <x:f>MAX(0,MIN('Activities'!L762,162)-MAX('Activities'!K762,156))</x:f>
        <x:v>0</x:v>
      </x:c>
      <x:c r="AF762" s="22" t="n">
        <x:f>MAX(0,MIN('Activities'!L762,168)-MAX('Activities'!K762,162))</x:f>
        <x:v>0</x:v>
      </x:c>
      <x:c r="AG762" s="22" t="n">
        <x:f>MAX(0,MIN('Activities'!L762,174)-MAX('Activities'!K762,168))</x:f>
        <x:v>0</x:v>
      </x:c>
      <x:c r="AH762" s="22" t="n">
        <x:f>MAX(0,MIN('Activities'!L762,180)-MAX('Activities'!K762,174))</x:f>
        <x:v>0</x:v>
      </x:c>
      <x:c r="AI762" s="22" t="n">
        <x:f>MAX(0,MIN('Activities'!L762,186)-MAX('Activities'!K762,180))</x:f>
        <x:v>0</x:v>
      </x:c>
      <x:c r="AJ762" s="22" t="n">
        <x:f>MAX(0,MIN('Activities'!L762,192)-MAX('Activities'!K762,186))</x:f>
        <x:v>0</x:v>
      </x:c>
      <x:c r="AK762" s="22" t="n">
        <x:f>MAX(0,MIN('Activities'!L762,198)-MAX('Activities'!K762,192))</x:f>
        <x:v>0</x:v>
      </x:c>
      <x:c r="AL762" s="22" t="n">
        <x:f>MAX(0,MIN('Activities'!L762,204)-MAX('Activities'!K762,198))</x:f>
        <x:v>0</x:v>
      </x:c>
      <x:c r="AM762" s="22" t="n">
        <x:f>MAX(0,MIN('Activities'!L762,210)-MAX('Activities'!K762,204))</x:f>
        <x:v>0</x:v>
      </x:c>
      <x:c r="AN762" s="22" t="n">
        <x:f>MAX(0,MIN('Activities'!L762,216)-MAX('Activities'!K762,210))</x:f>
        <x:v>0</x:v>
      </x:c>
      <x:c r="AO762" s="22" t="n">
        <x:f>MAX(0,MIN('Activities'!L762,222)-MAX('Activities'!K762,216))</x:f>
        <x:v>0</x:v>
      </x:c>
      <x:c r="AP762" s="22" t="n">
        <x:f>MAX(0,MIN('Activities'!L762,228)-MAX('Activities'!K762,222))</x:f>
        <x:v>0</x:v>
      </x:c>
      <x:c r="AQ762" s="22" t="n">
        <x:f>MAX(0,MIN('Activities'!L762,234)-MAX('Activities'!K762,228))</x:f>
        <x:v>0</x:v>
      </x:c>
      <x:c r="AR762" s="22" t="n">
        <x:f>MAX(0,MIN('Activities'!L762,240)-MAX('Activities'!K762,234))</x:f>
        <x:v>0</x:v>
      </x:c>
      <x:c r="AS762" s="22" t="n">
        <x:f>MAX(0,MIN('Activities'!L762,246)-MAX('Activities'!K762,240))</x:f>
        <x:v>0</x:v>
      </x:c>
      <x:c r="AT762" s="22" t="n">
        <x:f>MAX(0,MIN('Activities'!L762,252)-MAX('Activities'!K762,246))</x:f>
        <x:v>0</x:v>
      </x:c>
      <x:c r="AU762" s="22" t="n">
        <x:f>MAX(0,MIN('Activities'!L762,258)-MAX('Activities'!K762,252))</x:f>
        <x:v>0</x:v>
      </x:c>
      <x:c r="AV762" s="22" t="n">
        <x:f>MAX(0,MIN('Activities'!L762,264)-MAX('Activities'!K762,258))</x:f>
        <x:v>0</x:v>
      </x:c>
      <x:c r="AW762" s="22" t="n">
        <x:f>MAX(0,MIN('Activities'!L762,270)-MAX('Activities'!K762,264))</x:f>
        <x:v>0</x:v>
      </x:c>
      <x:c r="AX762" s="22" t="n">
        <x:f>MAX(0,MIN('Activities'!L762,276)-MAX('Activities'!K762,270))</x:f>
        <x:v>0</x:v>
      </x:c>
      <x:c r="AY762" s="22" t="n">
        <x:f>MAX(0,MIN('Activities'!L762,282)-MAX('Activities'!K762,276))</x:f>
        <x:v>0</x:v>
      </x:c>
      <x:c r="AZ762" s="22" t="n">
        <x:f>MAX(0,MIN('Activities'!L762,288)-MAX('Activities'!K762,282))</x:f>
        <x:v>0</x:v>
      </x:c>
      <x:c r="BA762" s="22" t="n">
        <x:f>MAX(0,MIN('Activities'!L762,294)-MAX('Activities'!K762,288))</x:f>
        <x:v>0</x:v>
      </x:c>
      <x:c r="BB762" s="22" t="n">
        <x:f>MAX(0,MIN('Activities'!L762,300)-MAX('Activities'!K762,294))</x:f>
        <x:v>0</x:v>
      </x:c>
      <x:c r="BC762" s="22" t="n">
        <x:f>MAX(0,MIN('Activities'!L762,306)-MAX('Activities'!K762,300))</x:f>
        <x:v>0</x:v>
      </x:c>
      <x:c r="BD762" s="22" t="n">
        <x:f>MAX(0,MIN('Activities'!L762,312)-MAX('Activities'!K762,306))</x:f>
        <x:v>0</x:v>
      </x:c>
      <x:c r="BE762" s="22" t="n">
        <x:f>MAX(0,MIN('Activities'!L762,318)-MAX('Activities'!K762,312))</x:f>
        <x:v>0</x:v>
      </x:c>
      <x:c r="BF762" s="22" t="n">
        <x:f>MAX(0,MIN('Activities'!L762,324)-MAX('Activities'!K762,318))</x:f>
        <x:v>0</x:v>
      </x:c>
      <x:c r="BG762" s="22" t="n">
        <x:f>MAX(0,MIN('Activities'!L762,330)-MAX('Activities'!K762,324))</x:f>
        <x:v>0</x:v>
      </x:c>
      <x:c r="BH762" s="22" t="n">
        <x:f>MAX(0,MIN('Activities'!L762,336)-MAX('Activities'!K762,330))</x:f>
        <x:v>0</x:v>
      </x:c>
      <x:c r="BI762" s="22" t="n">
        <x:f>MAX(0,MIN('Activities'!L762,342)-MAX('Activities'!K762,336))</x:f>
        <x:v>0</x:v>
      </x:c>
      <x:c r="BJ762" s="22" t="n">
        <x:f>MAX(0,MIN('Activities'!L762,348)-MAX('Activities'!K762,342))</x:f>
        <x:v>0</x:v>
      </x:c>
      <x:c r="BK762" s="22" t="n">
        <x:f>MAX(0,MIN('Activities'!L762,354)-MAX('Activities'!K762,348))</x:f>
        <x:v>0</x:v>
      </x:c>
      <x:c r="BL762" s="22" t="n">
        <x:f>MAX(0,MIN('Activities'!L762,360)-MAX('Activities'!K762,354))</x:f>
        <x:v>1</x:v>
      </x:c>
      <x:c r="BM762" s="22" t="n">
        <x:f>MAX(0,MIN('Activities'!L762,366)-MAX('Activities'!K762,360))</x:f>
        <x:v>2</x:v>
      </x:c>
      <x:c r="BN762" s="22" t="n">
        <x:f>MAX(0,MIN('Activities'!L762,372)-MAX('Activities'!K762,366))</x:f>
        <x:v>0</x:v>
      </x:c>
      <x:c r="BO762" s="22" t="n">
        <x:f>MAX(0,MIN('Activities'!L762,378)-MAX('Activities'!K762,372))</x:f>
        <x:v>0</x:v>
      </x:c>
      <x:c r="BP762" s="22" t="n">
        <x:f>MAX(0,MIN('Activities'!L762,384)-MAX('Activities'!K762,378))</x:f>
        <x:v>0</x:v>
      </x:c>
      <x:c r="BQ762" s="22" t="n">
        <x:f>MAX(0,MIN('Activities'!L762,390)-MAX('Activities'!K762,384))</x:f>
        <x:v>0</x:v>
      </x:c>
      <x:c r="BR762" s="22" t="n">
        <x:f>MAX(0,MIN('Activities'!L762,396)-MAX('Activities'!K762,390))</x:f>
        <x:v>0</x:v>
      </x:c>
      <x:c r="BS762" s="22" t="n">
        <x:f>MAX(0,MIN('Activities'!L762,402)-MAX('Activities'!K762,396))</x:f>
        <x:v>0</x:v>
      </x:c>
      <x:c r="BT762" s="22" t="n">
        <x:f>MAX(0,MIN('Activities'!L762,408)-MAX('Activities'!K762,402))</x:f>
        <x:v>0</x:v>
      </x:c>
      <x:c r="BU762" s="22" t="n">
        <x:f>MAX(0,MIN('Activities'!L762,414)-MAX('Activities'!K762,408))</x:f>
        <x:v>0</x:v>
      </x:c>
      <x:c r="BV762" s="22" t="n">
        <x:f>MAX(0,MIN('Activities'!L762,420)-MAX('Activities'!K762,414))</x:f>
        <x:v>0</x:v>
      </x:c>
      <x:c r="BW762" s="22" t="n">
        <x:f>MAX(0,MIN('Activities'!L762,426)-MAX('Activities'!K762,420))</x:f>
        <x:v>0</x:v>
      </x:c>
      <x:c r="BX762" s="22" t="n">
        <x:f>MAX(0,MIN('Activities'!L762,432)-MAX('Activities'!K762,426))</x:f>
        <x:v>0</x:v>
      </x:c>
      <x:c r="BY762" s="22" t="n">
        <x:f>MAX(0,MIN('Activities'!L762,438)-MAX('Activities'!K762,432))</x:f>
        <x:v>0</x:v>
      </x:c>
      <x:c r="BZ762" s="22" t="n">
        <x:f>MAX(0,MIN('Activities'!L762,444)-MAX('Activities'!K762,438))</x:f>
        <x:v>0</x:v>
      </x:c>
      <x:c r="CA762" s="22" t="n">
        <x:f>MAX(0,MIN('Activities'!L762,450)-MAX('Activities'!K762,444))</x:f>
        <x:v>0</x:v>
      </x:c>
      <x:c r="CB762" s="22" t="n">
        <x:f>MAX(0,MIN('Activities'!L762,456)-MAX('Activities'!K762,450))</x:f>
        <x:v>0</x:v>
      </x:c>
      <x:c r="CC762" s="22" t="n">
        <x:f>MAX(0,MIN('Activities'!L762,462)-MAX('Activities'!K762,456))</x:f>
        <x:v>0</x:v>
      </x:c>
      <x:c r="CD762" s="22" t="n">
        <x:f>MAX(0,MIN('Activities'!L762,468)-MAX('Activities'!K762,462))</x:f>
        <x:v>0</x:v>
      </x:c>
      <x:c r="CE762" s="22" t="n">
        <x:f>MAX(0,MIN('Activities'!L762,474)-MAX('Activities'!K762,468))</x:f>
        <x:v>0</x:v>
      </x:c>
      <x:c r="CF762" s="22" t="n">
        <x:f>MAX(0,MIN('Activities'!L762,480)-MAX('Activities'!K762,474))</x:f>
        <x:v>0</x:v>
      </x:c>
      <x:c r="CG762" s="22" t="n">
        <x:f>MAX(0,MIN('Activities'!L762,486)-MAX('Activities'!K762,480))</x:f>
        <x:v>0</x:v>
      </x:c>
      <x:c r="CH762" s="22" t="n">
        <x:f>MAX(0,MIN('Activities'!L762,492)-MAX('Activities'!K762,486))</x:f>
        <x:v>0</x:v>
      </x:c>
      <x:c r="CI762" s="22" t="n">
        <x:f>MAX(0,MIN('Activities'!L762,498)-MAX('Activities'!K762,492))</x:f>
        <x:v>0</x:v>
      </x:c>
      <x:c r="CJ762" s="22" t="n">
        <x:f>MAX(0,MIN('Activities'!L762,504)-MAX('Activities'!K762,498))</x:f>
        <x:v>0</x:v>
      </x:c>
      <x:c r="CK762" s="22" t="n">
        <x:f>MAX(0,MIN('Activities'!L762,510)-MAX('Activities'!K762,504))</x:f>
        <x:v>0</x:v>
      </x:c>
      <x:c r="CL762" s="22" t="n">
        <x:f>MAX(0,MIN('Activities'!L762,516)-MAX('Activities'!K762,510))</x:f>
        <x:v>0</x:v>
      </x:c>
      <x:c r="CM762" s="22" t="n">
        <x:f>MAX(0,MIN('Activities'!L762,522)-MAX('Activities'!K762,516))</x:f>
        <x:v>0</x:v>
      </x:c>
      <x:c r="CN762" s="22" t="n">
        <x:f>MAX(0,MIN('Activities'!L762,528)-MAX('Activities'!K762,522))</x:f>
        <x:v>0</x:v>
      </x:c>
      <x:c r="CO762" s="22" t="n">
        <x:f>MAX(0,MIN('Activities'!L762,534)-MAX('Activities'!K762,528))</x:f>
        <x:v>0</x:v>
      </x:c>
      <x:c r="CP762" s="22" t="n">
        <x:f>MAX(0,MIN('Activities'!L762,540)-MAX('Activities'!K762,534))</x:f>
        <x:v>0</x:v>
      </x:c>
      <x:c r="CQ762" s="22" t="n">
        <x:f>MAX(0,MIN('Activities'!L762,546)-MAX('Activities'!K762,540))</x:f>
        <x:v>0</x:v>
      </x:c>
      <x:c r="CR762" s="22" t="n">
        <x:f>MAX(0,MIN('Activities'!L762,552)-MAX('Activities'!K762,546))</x:f>
        <x:v>0</x:v>
      </x:c>
      <x:c r="CS762" s="22" t="n">
        <x:f>MAX(0,MIN('Activities'!L762,558)-MAX('Activities'!K762,552))</x:f>
        <x:v>0</x:v>
      </x:c>
      <x:c r="CT762" s="22" t="n">
        <x:f>MAX(0,MIN('Activities'!L762,564)-MAX('Activities'!K762,558))</x:f>
        <x:v>0</x:v>
      </x:c>
      <x:c r="CU762" s="22" t="n">
        <x:f>MAX(0,MIN('Activities'!L762,570)-MAX('Activities'!K762,564))</x:f>
        <x:v>0</x:v>
      </x:c>
      <x:c r="CV762" s="22" t="n">
        <x:f>MAX(0,MIN('Activities'!L762,576)-MAX('Activities'!K762,570))</x:f>
        <x:v>0</x:v>
      </x:c>
      <x:c r="CW762" s="22" t="n">
        <x:f>MAX(0,MIN('Activities'!L762,582)-MAX('Activities'!K762,576))</x:f>
        <x:v>0</x:v>
      </x:c>
      <x:c r="CX762" s="22" t="n">
        <x:f>MAX(0,MIN('Activities'!L762,588)-MAX('Activities'!K762,582))</x:f>
        <x:v>0</x:v>
      </x:c>
      <x:c r="CY762" s="22" t="n">
        <x:f>MAX(0,MIN('Activities'!L762,594)-MAX('Activities'!K762,588))</x:f>
        <x:v>0</x:v>
      </x:c>
      <x:c r="CZ762" s="22" t="n">
        <x:f>MAX(0,MIN('Activities'!L762,600)-MAX('Activities'!K762,594))</x:f>
        <x:v>0</x:v>
      </x:c>
      <x:c r="DA762" s="22" t="n">
        <x:f>MAX(0,MIN('Activities'!L762,606)-MAX('Activities'!K762,600))</x:f>
        <x:v>0</x:v>
      </x:c>
      <x:c r="DB762" s="22" t="n">
        <x:f>MAX(0,MIN('Activities'!L762,612)-MAX('Activities'!K762,606))</x:f>
        <x:v>0</x:v>
      </x:c>
      <x:c r="DC762" s="22" t="n">
        <x:f>MAX(0,MIN('Activities'!L762,618)-MAX('Activities'!K762,612))</x:f>
        <x:v>0</x:v>
      </x:c>
      <x:c r="DD762" s="22" t="n">
        <x:f>MAX(0,MIN('Activities'!L762,624)-MAX('Activities'!K762,618))</x:f>
        <x:v>0</x:v>
      </x:c>
      <x:c r="DE762" s="22" t="n">
        <x:f>MAX(0,MIN('Activities'!L762,630)-MAX('Activities'!K762,624))</x:f>
        <x:v>0</x:v>
      </x:c>
      <x:c r="DF762" s="22" t="n">
        <x:f>MAX(0,MIN('Activities'!L762,636)-MAX('Activities'!K762,630))</x:f>
        <x:v>0</x:v>
      </x:c>
    </x:row>
    <x:row r="763" ht="23" customHeight="1">
      <x:c r="A763" s="1" t="str">
        <x:v>T6-L04-T</x:v>
      </x:c>
      <x:c r="B763" s="1" t="str">
        <x:v>T6</x:v>
      </x:c>
      <x:c r="C763" s="1" t="str">
        <x:v>Floor finishes and skirtings</x:v>
      </x:c>
      <x:c r="D763" s="1" t="str">
        <x:v>Finishes</x:v>
      </x:c>
      <x:c r="E763" s="23" t="n">
        <x:f>MAX(0,MIN('Activities'!L763,6)-MAX('Activities'!K763,0))</x:f>
        <x:v>0</x:v>
      </x:c>
      <x:c r="F763" s="23" t="n">
        <x:f>MAX(0,MIN('Activities'!L763,12)-MAX('Activities'!K763,6))</x:f>
        <x:v>0</x:v>
      </x:c>
      <x:c r="G763" s="23" t="n">
        <x:f>MAX(0,MIN('Activities'!L763,18)-MAX('Activities'!K763,12))</x:f>
        <x:v>0</x:v>
      </x:c>
      <x:c r="H763" s="23" t="n">
        <x:f>MAX(0,MIN('Activities'!L763,24)-MAX('Activities'!K763,18))</x:f>
        <x:v>0</x:v>
      </x:c>
      <x:c r="I763" s="23" t="n">
        <x:f>MAX(0,MIN('Activities'!L763,30)-MAX('Activities'!K763,24))</x:f>
        <x:v>0</x:v>
      </x:c>
      <x:c r="J763" s="23" t="n">
        <x:f>MAX(0,MIN('Activities'!L763,36)-MAX('Activities'!K763,30))</x:f>
        <x:v>0</x:v>
      </x:c>
      <x:c r="K763" s="23" t="n">
        <x:f>MAX(0,MIN('Activities'!L763,42)-MAX('Activities'!K763,36))</x:f>
        <x:v>0</x:v>
      </x:c>
      <x:c r="L763" s="23" t="n">
        <x:f>MAX(0,MIN('Activities'!L763,48)-MAX('Activities'!K763,42))</x:f>
        <x:v>0</x:v>
      </x:c>
      <x:c r="M763" s="23" t="n">
        <x:f>MAX(0,MIN('Activities'!L763,54)-MAX('Activities'!K763,48))</x:f>
        <x:v>0</x:v>
      </x:c>
      <x:c r="N763" s="23" t="n">
        <x:f>MAX(0,MIN('Activities'!L763,60)-MAX('Activities'!K763,54))</x:f>
        <x:v>0</x:v>
      </x:c>
      <x:c r="O763" s="23" t="n">
        <x:f>MAX(0,MIN('Activities'!L763,66)-MAX('Activities'!K763,60))</x:f>
        <x:v>0</x:v>
      </x:c>
      <x:c r="P763" s="23" t="n">
        <x:f>MAX(0,MIN('Activities'!L763,72)-MAX('Activities'!K763,66))</x:f>
        <x:v>0</x:v>
      </x:c>
      <x:c r="Q763" s="23" t="n">
        <x:f>MAX(0,MIN('Activities'!L763,78)-MAX('Activities'!K763,72))</x:f>
        <x:v>0</x:v>
      </x:c>
      <x:c r="R763" s="23" t="n">
        <x:f>MAX(0,MIN('Activities'!L763,84)-MAX('Activities'!K763,78))</x:f>
        <x:v>0</x:v>
      </x:c>
      <x:c r="S763" s="23" t="n">
        <x:f>MAX(0,MIN('Activities'!L763,90)-MAX('Activities'!K763,84))</x:f>
        <x:v>0</x:v>
      </x:c>
      <x:c r="T763" s="23" t="n">
        <x:f>MAX(0,MIN('Activities'!L763,96)-MAX('Activities'!K763,90))</x:f>
        <x:v>0</x:v>
      </x:c>
      <x:c r="U763" s="23" t="n">
        <x:f>MAX(0,MIN('Activities'!L763,102)-MAX('Activities'!K763,96))</x:f>
        <x:v>0</x:v>
      </x:c>
      <x:c r="V763" s="23" t="n">
        <x:f>MAX(0,MIN('Activities'!L763,108)-MAX('Activities'!K763,102))</x:f>
        <x:v>0</x:v>
      </x:c>
      <x:c r="W763" s="23" t="n">
        <x:f>MAX(0,MIN('Activities'!L763,114)-MAX('Activities'!K763,108))</x:f>
        <x:v>0</x:v>
      </x:c>
      <x:c r="X763" s="23" t="n">
        <x:f>MAX(0,MIN('Activities'!L763,120)-MAX('Activities'!K763,114))</x:f>
        <x:v>0</x:v>
      </x:c>
      <x:c r="Y763" s="23" t="n">
        <x:f>MAX(0,MIN('Activities'!L763,126)-MAX('Activities'!K763,120))</x:f>
        <x:v>0</x:v>
      </x:c>
      <x:c r="Z763" s="23" t="n">
        <x:f>MAX(0,MIN('Activities'!L763,132)-MAX('Activities'!K763,126))</x:f>
        <x:v>0</x:v>
      </x:c>
      <x:c r="AA763" s="23" t="n">
        <x:f>MAX(0,MIN('Activities'!L763,138)-MAX('Activities'!K763,132))</x:f>
        <x:v>0</x:v>
      </x:c>
      <x:c r="AB763" s="23" t="n">
        <x:f>MAX(0,MIN('Activities'!L763,144)-MAX('Activities'!K763,138))</x:f>
        <x:v>0</x:v>
      </x:c>
      <x:c r="AC763" s="23" t="n">
        <x:f>MAX(0,MIN('Activities'!L763,150)-MAX('Activities'!K763,144))</x:f>
        <x:v>0</x:v>
      </x:c>
      <x:c r="AD763" s="23" t="n">
        <x:f>MAX(0,MIN('Activities'!L763,156)-MAX('Activities'!K763,150))</x:f>
        <x:v>0</x:v>
      </x:c>
      <x:c r="AE763" s="23" t="n">
        <x:f>MAX(0,MIN('Activities'!L763,162)-MAX('Activities'!K763,156))</x:f>
        <x:v>0</x:v>
      </x:c>
      <x:c r="AF763" s="23" t="n">
        <x:f>MAX(0,MIN('Activities'!L763,168)-MAX('Activities'!K763,162))</x:f>
        <x:v>0</x:v>
      </x:c>
      <x:c r="AG763" s="23" t="n">
        <x:f>MAX(0,MIN('Activities'!L763,174)-MAX('Activities'!K763,168))</x:f>
        <x:v>0</x:v>
      </x:c>
      <x:c r="AH763" s="23" t="n">
        <x:f>MAX(0,MIN('Activities'!L763,180)-MAX('Activities'!K763,174))</x:f>
        <x:v>0</x:v>
      </x:c>
      <x:c r="AI763" s="23" t="n">
        <x:f>MAX(0,MIN('Activities'!L763,186)-MAX('Activities'!K763,180))</x:f>
        <x:v>0</x:v>
      </x:c>
      <x:c r="AJ763" s="23" t="n">
        <x:f>MAX(0,MIN('Activities'!L763,192)-MAX('Activities'!K763,186))</x:f>
        <x:v>0</x:v>
      </x:c>
      <x:c r="AK763" s="23" t="n">
        <x:f>MAX(0,MIN('Activities'!L763,198)-MAX('Activities'!K763,192))</x:f>
        <x:v>0</x:v>
      </x:c>
      <x:c r="AL763" s="23" t="n">
        <x:f>MAX(0,MIN('Activities'!L763,204)-MAX('Activities'!K763,198))</x:f>
        <x:v>0</x:v>
      </x:c>
      <x:c r="AM763" s="23" t="n">
        <x:f>MAX(0,MIN('Activities'!L763,210)-MAX('Activities'!K763,204))</x:f>
        <x:v>0</x:v>
      </x:c>
      <x:c r="AN763" s="23" t="n">
        <x:f>MAX(0,MIN('Activities'!L763,216)-MAX('Activities'!K763,210))</x:f>
        <x:v>0</x:v>
      </x:c>
      <x:c r="AO763" s="23" t="n">
        <x:f>MAX(0,MIN('Activities'!L763,222)-MAX('Activities'!K763,216))</x:f>
        <x:v>0</x:v>
      </x:c>
      <x:c r="AP763" s="23" t="n">
        <x:f>MAX(0,MIN('Activities'!L763,228)-MAX('Activities'!K763,222))</x:f>
        <x:v>0</x:v>
      </x:c>
      <x:c r="AQ763" s="23" t="n">
        <x:f>MAX(0,MIN('Activities'!L763,234)-MAX('Activities'!K763,228))</x:f>
        <x:v>0</x:v>
      </x:c>
      <x:c r="AR763" s="23" t="n">
        <x:f>MAX(0,MIN('Activities'!L763,240)-MAX('Activities'!K763,234))</x:f>
        <x:v>0</x:v>
      </x:c>
      <x:c r="AS763" s="23" t="n">
        <x:f>MAX(0,MIN('Activities'!L763,246)-MAX('Activities'!K763,240))</x:f>
        <x:v>0</x:v>
      </x:c>
      <x:c r="AT763" s="23" t="n">
        <x:f>MAX(0,MIN('Activities'!L763,252)-MAX('Activities'!K763,246))</x:f>
        <x:v>0</x:v>
      </x:c>
      <x:c r="AU763" s="23" t="n">
        <x:f>MAX(0,MIN('Activities'!L763,258)-MAX('Activities'!K763,252))</x:f>
        <x:v>0</x:v>
      </x:c>
      <x:c r="AV763" s="23" t="n">
        <x:f>MAX(0,MIN('Activities'!L763,264)-MAX('Activities'!K763,258))</x:f>
        <x:v>0</x:v>
      </x:c>
      <x:c r="AW763" s="23" t="n">
        <x:f>MAX(0,MIN('Activities'!L763,270)-MAX('Activities'!K763,264))</x:f>
        <x:v>0</x:v>
      </x:c>
      <x:c r="AX763" s="23" t="n">
        <x:f>MAX(0,MIN('Activities'!L763,276)-MAX('Activities'!K763,270))</x:f>
        <x:v>0</x:v>
      </x:c>
      <x:c r="AY763" s="23" t="n">
        <x:f>MAX(0,MIN('Activities'!L763,282)-MAX('Activities'!K763,276))</x:f>
        <x:v>0</x:v>
      </x:c>
      <x:c r="AZ763" s="23" t="n">
        <x:f>MAX(0,MIN('Activities'!L763,288)-MAX('Activities'!K763,282))</x:f>
        <x:v>0</x:v>
      </x:c>
      <x:c r="BA763" s="23" t="n">
        <x:f>MAX(0,MIN('Activities'!L763,294)-MAX('Activities'!K763,288))</x:f>
        <x:v>0</x:v>
      </x:c>
      <x:c r="BB763" s="23" t="n">
        <x:f>MAX(0,MIN('Activities'!L763,300)-MAX('Activities'!K763,294))</x:f>
        <x:v>0</x:v>
      </x:c>
      <x:c r="BC763" s="23" t="n">
        <x:f>MAX(0,MIN('Activities'!L763,306)-MAX('Activities'!K763,300))</x:f>
        <x:v>0</x:v>
      </x:c>
      <x:c r="BD763" s="23" t="n">
        <x:f>MAX(0,MIN('Activities'!L763,312)-MAX('Activities'!K763,306))</x:f>
        <x:v>0</x:v>
      </x:c>
      <x:c r="BE763" s="23" t="n">
        <x:f>MAX(0,MIN('Activities'!L763,318)-MAX('Activities'!K763,312))</x:f>
        <x:v>0</x:v>
      </x:c>
      <x:c r="BF763" s="23" t="n">
        <x:f>MAX(0,MIN('Activities'!L763,324)-MAX('Activities'!K763,318))</x:f>
        <x:v>0</x:v>
      </x:c>
      <x:c r="BG763" s="23" t="n">
        <x:f>MAX(0,MIN('Activities'!L763,330)-MAX('Activities'!K763,324))</x:f>
        <x:v>0</x:v>
      </x:c>
      <x:c r="BH763" s="23" t="n">
        <x:f>MAX(0,MIN('Activities'!L763,336)-MAX('Activities'!K763,330))</x:f>
        <x:v>0</x:v>
      </x:c>
      <x:c r="BI763" s="23" t="n">
        <x:f>MAX(0,MIN('Activities'!L763,342)-MAX('Activities'!K763,336))</x:f>
        <x:v>0</x:v>
      </x:c>
      <x:c r="BJ763" s="23" t="n">
        <x:f>MAX(0,MIN('Activities'!L763,348)-MAX('Activities'!K763,342))</x:f>
        <x:v>0</x:v>
      </x:c>
      <x:c r="BK763" s="23" t="n">
        <x:f>MAX(0,MIN('Activities'!L763,354)-MAX('Activities'!K763,348))</x:f>
        <x:v>0</x:v>
      </x:c>
      <x:c r="BL763" s="23" t="n">
        <x:f>MAX(0,MIN('Activities'!L763,360)-MAX('Activities'!K763,354))</x:f>
        <x:v>0</x:v>
      </x:c>
      <x:c r="BM763" s="23" t="n">
        <x:f>MAX(0,MIN('Activities'!L763,366)-MAX('Activities'!K763,360))</x:f>
        <x:v>0</x:v>
      </x:c>
      <x:c r="BN763" s="23" t="n">
        <x:f>MAX(0,MIN('Activities'!L763,372)-MAX('Activities'!K763,366))</x:f>
        <x:v>0</x:v>
      </x:c>
      <x:c r="BO763" s="23" t="n">
        <x:f>MAX(0,MIN('Activities'!L763,378)-MAX('Activities'!K763,372))</x:f>
        <x:v>0</x:v>
      </x:c>
      <x:c r="BP763" s="23" t="n">
        <x:f>MAX(0,MIN('Activities'!L763,384)-MAX('Activities'!K763,378))</x:f>
        <x:v>0</x:v>
      </x:c>
      <x:c r="BQ763" s="23" t="n">
        <x:f>MAX(0,MIN('Activities'!L763,390)-MAX('Activities'!K763,384))</x:f>
        <x:v>0</x:v>
      </x:c>
      <x:c r="BR763" s="23" t="n">
        <x:f>MAX(0,MIN('Activities'!L763,396)-MAX('Activities'!K763,390))</x:f>
        <x:v>0</x:v>
      </x:c>
      <x:c r="BS763" s="23" t="n">
        <x:f>MAX(0,MIN('Activities'!L763,402)-MAX('Activities'!K763,396))</x:f>
        <x:v>0</x:v>
      </x:c>
      <x:c r="BT763" s="23" t="n">
        <x:f>MAX(0,MIN('Activities'!L763,408)-MAX('Activities'!K763,402))</x:f>
        <x:v>0</x:v>
      </x:c>
      <x:c r="BU763" s="23" t="n">
        <x:f>MAX(0,MIN('Activities'!L763,414)-MAX('Activities'!K763,408))</x:f>
        <x:v>0</x:v>
      </x:c>
      <x:c r="BV763" s="23" t="n">
        <x:f>MAX(0,MIN('Activities'!L763,420)-MAX('Activities'!K763,414))</x:f>
        <x:v>0</x:v>
      </x:c>
      <x:c r="BW763" s="23" t="n">
        <x:f>MAX(0,MIN('Activities'!L763,426)-MAX('Activities'!K763,420))</x:f>
        <x:v>0</x:v>
      </x:c>
      <x:c r="BX763" s="23" t="n">
        <x:f>MAX(0,MIN('Activities'!L763,432)-MAX('Activities'!K763,426))</x:f>
        <x:v>0</x:v>
      </x:c>
      <x:c r="BY763" s="23" t="n">
        <x:f>MAX(0,MIN('Activities'!L763,438)-MAX('Activities'!K763,432))</x:f>
        <x:v>0</x:v>
      </x:c>
      <x:c r="BZ763" s="23" t="n">
        <x:f>MAX(0,MIN('Activities'!L763,444)-MAX('Activities'!K763,438))</x:f>
        <x:v>0</x:v>
      </x:c>
      <x:c r="CA763" s="23" t="n">
        <x:f>MAX(0,MIN('Activities'!L763,450)-MAX('Activities'!K763,444))</x:f>
        <x:v>0</x:v>
      </x:c>
      <x:c r="CB763" s="23" t="n">
        <x:f>MAX(0,MIN('Activities'!L763,456)-MAX('Activities'!K763,450))</x:f>
        <x:v>0</x:v>
      </x:c>
      <x:c r="CC763" s="23" t="n">
        <x:f>MAX(0,MIN('Activities'!L763,462)-MAX('Activities'!K763,456))</x:f>
        <x:v>1</x:v>
      </x:c>
      <x:c r="CD763" s="23" t="n">
        <x:f>MAX(0,MIN('Activities'!L763,468)-MAX('Activities'!K763,462))</x:f>
        <x:v>5</x:v>
      </x:c>
      <x:c r="CE763" s="23" t="n">
        <x:f>MAX(0,MIN('Activities'!L763,474)-MAX('Activities'!K763,468))</x:f>
        <x:v>0</x:v>
      </x:c>
      <x:c r="CF763" s="23" t="n">
        <x:f>MAX(0,MIN('Activities'!L763,480)-MAX('Activities'!K763,474))</x:f>
        <x:v>0</x:v>
      </x:c>
      <x:c r="CG763" s="23" t="n">
        <x:f>MAX(0,MIN('Activities'!L763,486)-MAX('Activities'!K763,480))</x:f>
        <x:v>0</x:v>
      </x:c>
      <x:c r="CH763" s="23" t="n">
        <x:f>MAX(0,MIN('Activities'!L763,492)-MAX('Activities'!K763,486))</x:f>
        <x:v>0</x:v>
      </x:c>
      <x:c r="CI763" s="23" t="n">
        <x:f>MAX(0,MIN('Activities'!L763,498)-MAX('Activities'!K763,492))</x:f>
        <x:v>0</x:v>
      </x:c>
      <x:c r="CJ763" s="23" t="n">
        <x:f>MAX(0,MIN('Activities'!L763,504)-MAX('Activities'!K763,498))</x:f>
        <x:v>0</x:v>
      </x:c>
      <x:c r="CK763" s="23" t="n">
        <x:f>MAX(0,MIN('Activities'!L763,510)-MAX('Activities'!K763,504))</x:f>
        <x:v>0</x:v>
      </x:c>
      <x:c r="CL763" s="23" t="n">
        <x:f>MAX(0,MIN('Activities'!L763,516)-MAX('Activities'!K763,510))</x:f>
        <x:v>0</x:v>
      </x:c>
      <x:c r="CM763" s="23" t="n">
        <x:f>MAX(0,MIN('Activities'!L763,522)-MAX('Activities'!K763,516))</x:f>
        <x:v>0</x:v>
      </x:c>
      <x:c r="CN763" s="23" t="n">
        <x:f>MAX(0,MIN('Activities'!L763,528)-MAX('Activities'!K763,522))</x:f>
        <x:v>0</x:v>
      </x:c>
      <x:c r="CO763" s="23" t="n">
        <x:f>MAX(0,MIN('Activities'!L763,534)-MAX('Activities'!K763,528))</x:f>
        <x:v>0</x:v>
      </x:c>
      <x:c r="CP763" s="23" t="n">
        <x:f>MAX(0,MIN('Activities'!L763,540)-MAX('Activities'!K763,534))</x:f>
        <x:v>0</x:v>
      </x:c>
      <x:c r="CQ763" s="23" t="n">
        <x:f>MAX(0,MIN('Activities'!L763,546)-MAX('Activities'!K763,540))</x:f>
        <x:v>0</x:v>
      </x:c>
      <x:c r="CR763" s="23" t="n">
        <x:f>MAX(0,MIN('Activities'!L763,552)-MAX('Activities'!K763,546))</x:f>
        <x:v>0</x:v>
      </x:c>
      <x:c r="CS763" s="23" t="n">
        <x:f>MAX(0,MIN('Activities'!L763,558)-MAX('Activities'!K763,552))</x:f>
        <x:v>0</x:v>
      </x:c>
      <x:c r="CT763" s="23" t="n">
        <x:f>MAX(0,MIN('Activities'!L763,564)-MAX('Activities'!K763,558))</x:f>
        <x:v>0</x:v>
      </x:c>
      <x:c r="CU763" s="23" t="n">
        <x:f>MAX(0,MIN('Activities'!L763,570)-MAX('Activities'!K763,564))</x:f>
        <x:v>0</x:v>
      </x:c>
      <x:c r="CV763" s="23" t="n">
        <x:f>MAX(0,MIN('Activities'!L763,576)-MAX('Activities'!K763,570))</x:f>
        <x:v>0</x:v>
      </x:c>
      <x:c r="CW763" s="23" t="n">
        <x:f>MAX(0,MIN('Activities'!L763,582)-MAX('Activities'!K763,576))</x:f>
        <x:v>0</x:v>
      </x:c>
      <x:c r="CX763" s="23" t="n">
        <x:f>MAX(0,MIN('Activities'!L763,588)-MAX('Activities'!K763,582))</x:f>
        <x:v>0</x:v>
      </x:c>
      <x:c r="CY763" s="23" t="n">
        <x:f>MAX(0,MIN('Activities'!L763,594)-MAX('Activities'!K763,588))</x:f>
        <x:v>0</x:v>
      </x:c>
      <x:c r="CZ763" s="23" t="n">
        <x:f>MAX(0,MIN('Activities'!L763,600)-MAX('Activities'!K763,594))</x:f>
        <x:v>0</x:v>
      </x:c>
      <x:c r="DA763" s="23" t="n">
        <x:f>MAX(0,MIN('Activities'!L763,606)-MAX('Activities'!K763,600))</x:f>
        <x:v>0</x:v>
      </x:c>
      <x:c r="DB763" s="23" t="n">
        <x:f>MAX(0,MIN('Activities'!L763,612)-MAX('Activities'!K763,606))</x:f>
        <x:v>0</x:v>
      </x:c>
      <x:c r="DC763" s="23" t="n">
        <x:f>MAX(0,MIN('Activities'!L763,618)-MAX('Activities'!K763,612))</x:f>
        <x:v>0</x:v>
      </x:c>
      <x:c r="DD763" s="23" t="n">
        <x:f>MAX(0,MIN('Activities'!L763,624)-MAX('Activities'!K763,618))</x:f>
        <x:v>0</x:v>
      </x:c>
      <x:c r="DE763" s="23" t="n">
        <x:f>MAX(0,MIN('Activities'!L763,630)-MAX('Activities'!K763,624))</x:f>
        <x:v>0</x:v>
      </x:c>
      <x:c r="DF763" s="23" t="n">
        <x:f>MAX(0,MIN('Activities'!L763,636)-MAX('Activities'!K763,630))</x:f>
        <x:v>0</x:v>
      </x:c>
    </x:row>
    <x:row r="764" ht="23" customHeight="1">
      <x:c r="A764" s="6" t="str">
        <x:v>T6-L04-A</x:v>
      </x:c>
      <x:c r="B764" s="6" t="str">
        <x:v>T6</x:v>
      </x:c>
      <x:c r="C764" s="6" t="str">
        <x:v>Paint and final decorations</x:v>
      </x:c>
      <x:c r="D764" s="6" t="str">
        <x:v>Finishes</x:v>
      </x:c>
      <x:c r="E764" s="22" t="n">
        <x:f>MAX(0,MIN('Activities'!L764,6)-MAX('Activities'!K764,0))</x:f>
        <x:v>0</x:v>
      </x:c>
      <x:c r="F764" s="22" t="n">
        <x:f>MAX(0,MIN('Activities'!L764,12)-MAX('Activities'!K764,6))</x:f>
        <x:v>0</x:v>
      </x:c>
      <x:c r="G764" s="22" t="n">
        <x:f>MAX(0,MIN('Activities'!L764,18)-MAX('Activities'!K764,12))</x:f>
        <x:v>0</x:v>
      </x:c>
      <x:c r="H764" s="22" t="n">
        <x:f>MAX(0,MIN('Activities'!L764,24)-MAX('Activities'!K764,18))</x:f>
        <x:v>0</x:v>
      </x:c>
      <x:c r="I764" s="22" t="n">
        <x:f>MAX(0,MIN('Activities'!L764,30)-MAX('Activities'!K764,24))</x:f>
        <x:v>0</x:v>
      </x:c>
      <x:c r="J764" s="22" t="n">
        <x:f>MAX(0,MIN('Activities'!L764,36)-MAX('Activities'!K764,30))</x:f>
        <x:v>0</x:v>
      </x:c>
      <x:c r="K764" s="22" t="n">
        <x:f>MAX(0,MIN('Activities'!L764,42)-MAX('Activities'!K764,36))</x:f>
        <x:v>0</x:v>
      </x:c>
      <x:c r="L764" s="22" t="n">
        <x:f>MAX(0,MIN('Activities'!L764,48)-MAX('Activities'!K764,42))</x:f>
        <x:v>0</x:v>
      </x:c>
      <x:c r="M764" s="22" t="n">
        <x:f>MAX(0,MIN('Activities'!L764,54)-MAX('Activities'!K764,48))</x:f>
        <x:v>0</x:v>
      </x:c>
      <x:c r="N764" s="22" t="n">
        <x:f>MAX(0,MIN('Activities'!L764,60)-MAX('Activities'!K764,54))</x:f>
        <x:v>0</x:v>
      </x:c>
      <x:c r="O764" s="22" t="n">
        <x:f>MAX(0,MIN('Activities'!L764,66)-MAX('Activities'!K764,60))</x:f>
        <x:v>0</x:v>
      </x:c>
      <x:c r="P764" s="22" t="n">
        <x:f>MAX(0,MIN('Activities'!L764,72)-MAX('Activities'!K764,66))</x:f>
        <x:v>0</x:v>
      </x:c>
      <x:c r="Q764" s="22" t="n">
        <x:f>MAX(0,MIN('Activities'!L764,78)-MAX('Activities'!K764,72))</x:f>
        <x:v>0</x:v>
      </x:c>
      <x:c r="R764" s="22" t="n">
        <x:f>MAX(0,MIN('Activities'!L764,84)-MAX('Activities'!K764,78))</x:f>
        <x:v>0</x:v>
      </x:c>
      <x:c r="S764" s="22" t="n">
        <x:f>MAX(0,MIN('Activities'!L764,90)-MAX('Activities'!K764,84))</x:f>
        <x:v>0</x:v>
      </x:c>
      <x:c r="T764" s="22" t="n">
        <x:f>MAX(0,MIN('Activities'!L764,96)-MAX('Activities'!K764,90))</x:f>
        <x:v>0</x:v>
      </x:c>
      <x:c r="U764" s="22" t="n">
        <x:f>MAX(0,MIN('Activities'!L764,102)-MAX('Activities'!K764,96))</x:f>
        <x:v>0</x:v>
      </x:c>
      <x:c r="V764" s="22" t="n">
        <x:f>MAX(0,MIN('Activities'!L764,108)-MAX('Activities'!K764,102))</x:f>
        <x:v>0</x:v>
      </x:c>
      <x:c r="W764" s="22" t="n">
        <x:f>MAX(0,MIN('Activities'!L764,114)-MAX('Activities'!K764,108))</x:f>
        <x:v>0</x:v>
      </x:c>
      <x:c r="X764" s="22" t="n">
        <x:f>MAX(0,MIN('Activities'!L764,120)-MAX('Activities'!K764,114))</x:f>
        <x:v>0</x:v>
      </x:c>
      <x:c r="Y764" s="22" t="n">
        <x:f>MAX(0,MIN('Activities'!L764,126)-MAX('Activities'!K764,120))</x:f>
        <x:v>0</x:v>
      </x:c>
      <x:c r="Z764" s="22" t="n">
        <x:f>MAX(0,MIN('Activities'!L764,132)-MAX('Activities'!K764,126))</x:f>
        <x:v>0</x:v>
      </x:c>
      <x:c r="AA764" s="22" t="n">
        <x:f>MAX(0,MIN('Activities'!L764,138)-MAX('Activities'!K764,132))</x:f>
        <x:v>0</x:v>
      </x:c>
      <x:c r="AB764" s="22" t="n">
        <x:f>MAX(0,MIN('Activities'!L764,144)-MAX('Activities'!K764,138))</x:f>
        <x:v>0</x:v>
      </x:c>
      <x:c r="AC764" s="22" t="n">
        <x:f>MAX(0,MIN('Activities'!L764,150)-MAX('Activities'!K764,144))</x:f>
        <x:v>0</x:v>
      </x:c>
      <x:c r="AD764" s="22" t="n">
        <x:f>MAX(0,MIN('Activities'!L764,156)-MAX('Activities'!K764,150))</x:f>
        <x:v>0</x:v>
      </x:c>
      <x:c r="AE764" s="22" t="n">
        <x:f>MAX(0,MIN('Activities'!L764,162)-MAX('Activities'!K764,156))</x:f>
        <x:v>0</x:v>
      </x:c>
      <x:c r="AF764" s="22" t="n">
        <x:f>MAX(0,MIN('Activities'!L764,168)-MAX('Activities'!K764,162))</x:f>
        <x:v>0</x:v>
      </x:c>
      <x:c r="AG764" s="22" t="n">
        <x:f>MAX(0,MIN('Activities'!L764,174)-MAX('Activities'!K764,168))</x:f>
        <x:v>0</x:v>
      </x:c>
      <x:c r="AH764" s="22" t="n">
        <x:f>MAX(0,MIN('Activities'!L764,180)-MAX('Activities'!K764,174))</x:f>
        <x:v>0</x:v>
      </x:c>
      <x:c r="AI764" s="22" t="n">
        <x:f>MAX(0,MIN('Activities'!L764,186)-MAX('Activities'!K764,180))</x:f>
        <x:v>0</x:v>
      </x:c>
      <x:c r="AJ764" s="22" t="n">
        <x:f>MAX(0,MIN('Activities'!L764,192)-MAX('Activities'!K764,186))</x:f>
        <x:v>0</x:v>
      </x:c>
      <x:c r="AK764" s="22" t="n">
        <x:f>MAX(0,MIN('Activities'!L764,198)-MAX('Activities'!K764,192))</x:f>
        <x:v>0</x:v>
      </x:c>
      <x:c r="AL764" s="22" t="n">
        <x:f>MAX(0,MIN('Activities'!L764,204)-MAX('Activities'!K764,198))</x:f>
        <x:v>0</x:v>
      </x:c>
      <x:c r="AM764" s="22" t="n">
        <x:f>MAX(0,MIN('Activities'!L764,210)-MAX('Activities'!K764,204))</x:f>
        <x:v>0</x:v>
      </x:c>
      <x:c r="AN764" s="22" t="n">
        <x:f>MAX(0,MIN('Activities'!L764,216)-MAX('Activities'!K764,210))</x:f>
        <x:v>0</x:v>
      </x:c>
      <x:c r="AO764" s="22" t="n">
        <x:f>MAX(0,MIN('Activities'!L764,222)-MAX('Activities'!K764,216))</x:f>
        <x:v>0</x:v>
      </x:c>
      <x:c r="AP764" s="22" t="n">
        <x:f>MAX(0,MIN('Activities'!L764,228)-MAX('Activities'!K764,222))</x:f>
        <x:v>0</x:v>
      </x:c>
      <x:c r="AQ764" s="22" t="n">
        <x:f>MAX(0,MIN('Activities'!L764,234)-MAX('Activities'!K764,228))</x:f>
        <x:v>0</x:v>
      </x:c>
      <x:c r="AR764" s="22" t="n">
        <x:f>MAX(0,MIN('Activities'!L764,240)-MAX('Activities'!K764,234))</x:f>
        <x:v>0</x:v>
      </x:c>
      <x:c r="AS764" s="22" t="n">
        <x:f>MAX(0,MIN('Activities'!L764,246)-MAX('Activities'!K764,240))</x:f>
        <x:v>0</x:v>
      </x:c>
      <x:c r="AT764" s="22" t="n">
        <x:f>MAX(0,MIN('Activities'!L764,252)-MAX('Activities'!K764,246))</x:f>
        <x:v>0</x:v>
      </x:c>
      <x:c r="AU764" s="22" t="n">
        <x:f>MAX(0,MIN('Activities'!L764,258)-MAX('Activities'!K764,252))</x:f>
        <x:v>0</x:v>
      </x:c>
      <x:c r="AV764" s="22" t="n">
        <x:f>MAX(0,MIN('Activities'!L764,264)-MAX('Activities'!K764,258))</x:f>
        <x:v>0</x:v>
      </x:c>
      <x:c r="AW764" s="22" t="n">
        <x:f>MAX(0,MIN('Activities'!L764,270)-MAX('Activities'!K764,264))</x:f>
        <x:v>0</x:v>
      </x:c>
      <x:c r="AX764" s="22" t="n">
        <x:f>MAX(0,MIN('Activities'!L764,276)-MAX('Activities'!K764,270))</x:f>
        <x:v>0</x:v>
      </x:c>
      <x:c r="AY764" s="22" t="n">
        <x:f>MAX(0,MIN('Activities'!L764,282)-MAX('Activities'!K764,276))</x:f>
        <x:v>0</x:v>
      </x:c>
      <x:c r="AZ764" s="22" t="n">
        <x:f>MAX(0,MIN('Activities'!L764,288)-MAX('Activities'!K764,282))</x:f>
        <x:v>0</x:v>
      </x:c>
      <x:c r="BA764" s="22" t="n">
        <x:f>MAX(0,MIN('Activities'!L764,294)-MAX('Activities'!K764,288))</x:f>
        <x:v>0</x:v>
      </x:c>
      <x:c r="BB764" s="22" t="n">
        <x:f>MAX(0,MIN('Activities'!L764,300)-MAX('Activities'!K764,294))</x:f>
        <x:v>0</x:v>
      </x:c>
      <x:c r="BC764" s="22" t="n">
        <x:f>MAX(0,MIN('Activities'!L764,306)-MAX('Activities'!K764,300))</x:f>
        <x:v>0</x:v>
      </x:c>
      <x:c r="BD764" s="22" t="n">
        <x:f>MAX(0,MIN('Activities'!L764,312)-MAX('Activities'!K764,306))</x:f>
        <x:v>0</x:v>
      </x:c>
      <x:c r="BE764" s="22" t="n">
        <x:f>MAX(0,MIN('Activities'!L764,318)-MAX('Activities'!K764,312))</x:f>
        <x:v>0</x:v>
      </x:c>
      <x:c r="BF764" s="22" t="n">
        <x:f>MAX(0,MIN('Activities'!L764,324)-MAX('Activities'!K764,318))</x:f>
        <x:v>0</x:v>
      </x:c>
      <x:c r="BG764" s="22" t="n">
        <x:f>MAX(0,MIN('Activities'!L764,330)-MAX('Activities'!K764,324))</x:f>
        <x:v>0</x:v>
      </x:c>
      <x:c r="BH764" s="22" t="n">
        <x:f>MAX(0,MIN('Activities'!L764,336)-MAX('Activities'!K764,330))</x:f>
        <x:v>0</x:v>
      </x:c>
      <x:c r="BI764" s="22" t="n">
        <x:f>MAX(0,MIN('Activities'!L764,342)-MAX('Activities'!K764,336))</x:f>
        <x:v>0</x:v>
      </x:c>
      <x:c r="BJ764" s="22" t="n">
        <x:f>MAX(0,MIN('Activities'!L764,348)-MAX('Activities'!K764,342))</x:f>
        <x:v>0</x:v>
      </x:c>
      <x:c r="BK764" s="22" t="n">
        <x:f>MAX(0,MIN('Activities'!L764,354)-MAX('Activities'!K764,348))</x:f>
        <x:v>0</x:v>
      </x:c>
      <x:c r="BL764" s="22" t="n">
        <x:f>MAX(0,MIN('Activities'!L764,360)-MAX('Activities'!K764,354))</x:f>
        <x:v>0</x:v>
      </x:c>
      <x:c r="BM764" s="22" t="n">
        <x:f>MAX(0,MIN('Activities'!L764,366)-MAX('Activities'!K764,360))</x:f>
        <x:v>0</x:v>
      </x:c>
      <x:c r="BN764" s="22" t="n">
        <x:f>MAX(0,MIN('Activities'!L764,372)-MAX('Activities'!K764,366))</x:f>
        <x:v>0</x:v>
      </x:c>
      <x:c r="BO764" s="22" t="n">
        <x:f>MAX(0,MIN('Activities'!L764,378)-MAX('Activities'!K764,372))</x:f>
        <x:v>0</x:v>
      </x:c>
      <x:c r="BP764" s="22" t="n">
        <x:f>MAX(0,MIN('Activities'!L764,384)-MAX('Activities'!K764,378))</x:f>
        <x:v>0</x:v>
      </x:c>
      <x:c r="BQ764" s="22" t="n">
        <x:f>MAX(0,MIN('Activities'!L764,390)-MAX('Activities'!K764,384))</x:f>
        <x:v>0</x:v>
      </x:c>
      <x:c r="BR764" s="22" t="n">
        <x:f>MAX(0,MIN('Activities'!L764,396)-MAX('Activities'!K764,390))</x:f>
        <x:v>0</x:v>
      </x:c>
      <x:c r="BS764" s="22" t="n">
        <x:f>MAX(0,MIN('Activities'!L764,402)-MAX('Activities'!K764,396))</x:f>
        <x:v>0</x:v>
      </x:c>
      <x:c r="BT764" s="22" t="n">
        <x:f>MAX(0,MIN('Activities'!L764,408)-MAX('Activities'!K764,402))</x:f>
        <x:v>0</x:v>
      </x:c>
      <x:c r="BU764" s="22" t="n">
        <x:f>MAX(0,MIN('Activities'!L764,414)-MAX('Activities'!K764,408))</x:f>
        <x:v>0</x:v>
      </x:c>
      <x:c r="BV764" s="22" t="n">
        <x:f>MAX(0,MIN('Activities'!L764,420)-MAX('Activities'!K764,414))</x:f>
        <x:v>0</x:v>
      </x:c>
      <x:c r="BW764" s="22" t="n">
        <x:f>MAX(0,MIN('Activities'!L764,426)-MAX('Activities'!K764,420))</x:f>
        <x:v>0</x:v>
      </x:c>
      <x:c r="BX764" s="22" t="n">
        <x:f>MAX(0,MIN('Activities'!L764,432)-MAX('Activities'!K764,426))</x:f>
        <x:v>0</x:v>
      </x:c>
      <x:c r="BY764" s="22" t="n">
        <x:f>MAX(0,MIN('Activities'!L764,438)-MAX('Activities'!K764,432))</x:f>
        <x:v>0</x:v>
      </x:c>
      <x:c r="BZ764" s="22" t="n">
        <x:f>MAX(0,MIN('Activities'!L764,444)-MAX('Activities'!K764,438))</x:f>
        <x:v>0</x:v>
      </x:c>
      <x:c r="CA764" s="22" t="n">
        <x:f>MAX(0,MIN('Activities'!L764,450)-MAX('Activities'!K764,444))</x:f>
        <x:v>0</x:v>
      </x:c>
      <x:c r="CB764" s="22" t="n">
        <x:f>MAX(0,MIN('Activities'!L764,456)-MAX('Activities'!K764,450))</x:f>
        <x:v>0</x:v>
      </x:c>
      <x:c r="CC764" s="22" t="n">
        <x:f>MAX(0,MIN('Activities'!L764,462)-MAX('Activities'!K764,456))</x:f>
        <x:v>0</x:v>
      </x:c>
      <x:c r="CD764" s="22" t="n">
        <x:f>MAX(0,MIN('Activities'!L764,468)-MAX('Activities'!K764,462))</x:f>
        <x:v>0</x:v>
      </x:c>
      <x:c r="CE764" s="22" t="n">
        <x:f>MAX(0,MIN('Activities'!L764,474)-MAX('Activities'!K764,468))</x:f>
        <x:v>5</x:v>
      </x:c>
      <x:c r="CF764" s="22" t="n">
        <x:f>MAX(0,MIN('Activities'!L764,480)-MAX('Activities'!K764,474))</x:f>
        <x:v>0</x:v>
      </x:c>
      <x:c r="CG764" s="22" t="n">
        <x:f>MAX(0,MIN('Activities'!L764,486)-MAX('Activities'!K764,480))</x:f>
        <x:v>0</x:v>
      </x:c>
      <x:c r="CH764" s="22" t="n">
        <x:f>MAX(0,MIN('Activities'!L764,492)-MAX('Activities'!K764,486))</x:f>
        <x:v>0</x:v>
      </x:c>
      <x:c r="CI764" s="22" t="n">
        <x:f>MAX(0,MIN('Activities'!L764,498)-MAX('Activities'!K764,492))</x:f>
        <x:v>0</x:v>
      </x:c>
      <x:c r="CJ764" s="22" t="n">
        <x:f>MAX(0,MIN('Activities'!L764,504)-MAX('Activities'!K764,498))</x:f>
        <x:v>0</x:v>
      </x:c>
      <x:c r="CK764" s="22" t="n">
        <x:f>MAX(0,MIN('Activities'!L764,510)-MAX('Activities'!K764,504))</x:f>
        <x:v>0</x:v>
      </x:c>
      <x:c r="CL764" s="22" t="n">
        <x:f>MAX(0,MIN('Activities'!L764,516)-MAX('Activities'!K764,510))</x:f>
        <x:v>0</x:v>
      </x:c>
      <x:c r="CM764" s="22" t="n">
        <x:f>MAX(0,MIN('Activities'!L764,522)-MAX('Activities'!K764,516))</x:f>
        <x:v>0</x:v>
      </x:c>
      <x:c r="CN764" s="22" t="n">
        <x:f>MAX(0,MIN('Activities'!L764,528)-MAX('Activities'!K764,522))</x:f>
        <x:v>0</x:v>
      </x:c>
      <x:c r="CO764" s="22" t="n">
        <x:f>MAX(0,MIN('Activities'!L764,534)-MAX('Activities'!K764,528))</x:f>
        <x:v>0</x:v>
      </x:c>
      <x:c r="CP764" s="22" t="n">
        <x:f>MAX(0,MIN('Activities'!L764,540)-MAX('Activities'!K764,534))</x:f>
        <x:v>0</x:v>
      </x:c>
      <x:c r="CQ764" s="22" t="n">
        <x:f>MAX(0,MIN('Activities'!L764,546)-MAX('Activities'!K764,540))</x:f>
        <x:v>0</x:v>
      </x:c>
      <x:c r="CR764" s="22" t="n">
        <x:f>MAX(0,MIN('Activities'!L764,552)-MAX('Activities'!K764,546))</x:f>
        <x:v>0</x:v>
      </x:c>
      <x:c r="CS764" s="22" t="n">
        <x:f>MAX(0,MIN('Activities'!L764,558)-MAX('Activities'!K764,552))</x:f>
        <x:v>0</x:v>
      </x:c>
      <x:c r="CT764" s="22" t="n">
        <x:f>MAX(0,MIN('Activities'!L764,564)-MAX('Activities'!K764,558))</x:f>
        <x:v>0</x:v>
      </x:c>
      <x:c r="CU764" s="22" t="n">
        <x:f>MAX(0,MIN('Activities'!L764,570)-MAX('Activities'!K764,564))</x:f>
        <x:v>0</x:v>
      </x:c>
      <x:c r="CV764" s="22" t="n">
        <x:f>MAX(0,MIN('Activities'!L764,576)-MAX('Activities'!K764,570))</x:f>
        <x:v>0</x:v>
      </x:c>
      <x:c r="CW764" s="22" t="n">
        <x:f>MAX(0,MIN('Activities'!L764,582)-MAX('Activities'!K764,576))</x:f>
        <x:v>0</x:v>
      </x:c>
      <x:c r="CX764" s="22" t="n">
        <x:f>MAX(0,MIN('Activities'!L764,588)-MAX('Activities'!K764,582))</x:f>
        <x:v>0</x:v>
      </x:c>
      <x:c r="CY764" s="22" t="n">
        <x:f>MAX(0,MIN('Activities'!L764,594)-MAX('Activities'!K764,588))</x:f>
        <x:v>0</x:v>
      </x:c>
      <x:c r="CZ764" s="22" t="n">
        <x:f>MAX(0,MIN('Activities'!L764,600)-MAX('Activities'!K764,594))</x:f>
        <x:v>0</x:v>
      </x:c>
      <x:c r="DA764" s="22" t="n">
        <x:f>MAX(0,MIN('Activities'!L764,606)-MAX('Activities'!K764,600))</x:f>
        <x:v>0</x:v>
      </x:c>
      <x:c r="DB764" s="22" t="n">
        <x:f>MAX(0,MIN('Activities'!L764,612)-MAX('Activities'!K764,606))</x:f>
        <x:v>0</x:v>
      </x:c>
      <x:c r="DC764" s="22" t="n">
        <x:f>MAX(0,MIN('Activities'!L764,618)-MAX('Activities'!K764,612))</x:f>
        <x:v>0</x:v>
      </x:c>
      <x:c r="DD764" s="22" t="n">
        <x:f>MAX(0,MIN('Activities'!L764,624)-MAX('Activities'!K764,618))</x:f>
        <x:v>0</x:v>
      </x:c>
      <x:c r="DE764" s="22" t="n">
        <x:f>MAX(0,MIN('Activities'!L764,630)-MAX('Activities'!K764,624))</x:f>
        <x:v>0</x:v>
      </x:c>
      <x:c r="DF764" s="22" t="n">
        <x:f>MAX(0,MIN('Activities'!L764,636)-MAX('Activities'!K764,630))</x:f>
        <x:v>0</x:v>
      </x:c>
    </x:row>
    <x:row r="765" ht="23" customHeight="1">
      <x:c r="A765" s="1" t="str">
        <x:v>T6-L04-D</x:v>
      </x:c>
      <x:c r="B765" s="1" t="str">
        <x:v>T6</x:v>
      </x:c>
      <x:c r="C765" s="1" t="str">
        <x:v>Door sets and ironmongery</x:v>
      </x:c>
      <x:c r="D765" s="1" t="str">
        <x:v>Finishes</x:v>
      </x:c>
      <x:c r="E765" s="23" t="n">
        <x:f>MAX(0,MIN('Activities'!L765,6)-MAX('Activities'!K765,0))</x:f>
        <x:v>0</x:v>
      </x:c>
      <x:c r="F765" s="23" t="n">
        <x:f>MAX(0,MIN('Activities'!L765,12)-MAX('Activities'!K765,6))</x:f>
        <x:v>0</x:v>
      </x:c>
      <x:c r="G765" s="23" t="n">
        <x:f>MAX(0,MIN('Activities'!L765,18)-MAX('Activities'!K765,12))</x:f>
        <x:v>0</x:v>
      </x:c>
      <x:c r="H765" s="23" t="n">
        <x:f>MAX(0,MIN('Activities'!L765,24)-MAX('Activities'!K765,18))</x:f>
        <x:v>0</x:v>
      </x:c>
      <x:c r="I765" s="23" t="n">
        <x:f>MAX(0,MIN('Activities'!L765,30)-MAX('Activities'!K765,24))</x:f>
        <x:v>0</x:v>
      </x:c>
      <x:c r="J765" s="23" t="n">
        <x:f>MAX(0,MIN('Activities'!L765,36)-MAX('Activities'!K765,30))</x:f>
        <x:v>0</x:v>
      </x:c>
      <x:c r="K765" s="23" t="n">
        <x:f>MAX(0,MIN('Activities'!L765,42)-MAX('Activities'!K765,36))</x:f>
        <x:v>0</x:v>
      </x:c>
      <x:c r="L765" s="23" t="n">
        <x:f>MAX(0,MIN('Activities'!L765,48)-MAX('Activities'!K765,42))</x:f>
        <x:v>0</x:v>
      </x:c>
      <x:c r="M765" s="23" t="n">
        <x:f>MAX(0,MIN('Activities'!L765,54)-MAX('Activities'!K765,48))</x:f>
        <x:v>0</x:v>
      </x:c>
      <x:c r="N765" s="23" t="n">
        <x:f>MAX(0,MIN('Activities'!L765,60)-MAX('Activities'!K765,54))</x:f>
        <x:v>0</x:v>
      </x:c>
      <x:c r="O765" s="23" t="n">
        <x:f>MAX(0,MIN('Activities'!L765,66)-MAX('Activities'!K765,60))</x:f>
        <x:v>0</x:v>
      </x:c>
      <x:c r="P765" s="23" t="n">
        <x:f>MAX(0,MIN('Activities'!L765,72)-MAX('Activities'!K765,66))</x:f>
        <x:v>0</x:v>
      </x:c>
      <x:c r="Q765" s="23" t="n">
        <x:f>MAX(0,MIN('Activities'!L765,78)-MAX('Activities'!K765,72))</x:f>
        <x:v>0</x:v>
      </x:c>
      <x:c r="R765" s="23" t="n">
        <x:f>MAX(0,MIN('Activities'!L765,84)-MAX('Activities'!K765,78))</x:f>
        <x:v>0</x:v>
      </x:c>
      <x:c r="S765" s="23" t="n">
        <x:f>MAX(0,MIN('Activities'!L765,90)-MAX('Activities'!K765,84))</x:f>
        <x:v>0</x:v>
      </x:c>
      <x:c r="T765" s="23" t="n">
        <x:f>MAX(0,MIN('Activities'!L765,96)-MAX('Activities'!K765,90))</x:f>
        <x:v>0</x:v>
      </x:c>
      <x:c r="U765" s="23" t="n">
        <x:f>MAX(0,MIN('Activities'!L765,102)-MAX('Activities'!K765,96))</x:f>
        <x:v>0</x:v>
      </x:c>
      <x:c r="V765" s="23" t="n">
        <x:f>MAX(0,MIN('Activities'!L765,108)-MAX('Activities'!K765,102))</x:f>
        <x:v>0</x:v>
      </x:c>
      <x:c r="W765" s="23" t="n">
        <x:f>MAX(0,MIN('Activities'!L765,114)-MAX('Activities'!K765,108))</x:f>
        <x:v>0</x:v>
      </x:c>
      <x:c r="X765" s="23" t="n">
        <x:f>MAX(0,MIN('Activities'!L765,120)-MAX('Activities'!K765,114))</x:f>
        <x:v>0</x:v>
      </x:c>
      <x:c r="Y765" s="23" t="n">
        <x:f>MAX(0,MIN('Activities'!L765,126)-MAX('Activities'!K765,120))</x:f>
        <x:v>0</x:v>
      </x:c>
      <x:c r="Z765" s="23" t="n">
        <x:f>MAX(0,MIN('Activities'!L765,132)-MAX('Activities'!K765,126))</x:f>
        <x:v>0</x:v>
      </x:c>
      <x:c r="AA765" s="23" t="n">
        <x:f>MAX(0,MIN('Activities'!L765,138)-MAX('Activities'!K765,132))</x:f>
        <x:v>0</x:v>
      </x:c>
      <x:c r="AB765" s="23" t="n">
        <x:f>MAX(0,MIN('Activities'!L765,144)-MAX('Activities'!K765,138))</x:f>
        <x:v>0</x:v>
      </x:c>
      <x:c r="AC765" s="23" t="n">
        <x:f>MAX(0,MIN('Activities'!L765,150)-MAX('Activities'!K765,144))</x:f>
        <x:v>0</x:v>
      </x:c>
      <x:c r="AD765" s="23" t="n">
        <x:f>MAX(0,MIN('Activities'!L765,156)-MAX('Activities'!K765,150))</x:f>
        <x:v>0</x:v>
      </x:c>
      <x:c r="AE765" s="23" t="n">
        <x:f>MAX(0,MIN('Activities'!L765,162)-MAX('Activities'!K765,156))</x:f>
        <x:v>0</x:v>
      </x:c>
      <x:c r="AF765" s="23" t="n">
        <x:f>MAX(0,MIN('Activities'!L765,168)-MAX('Activities'!K765,162))</x:f>
        <x:v>0</x:v>
      </x:c>
      <x:c r="AG765" s="23" t="n">
        <x:f>MAX(0,MIN('Activities'!L765,174)-MAX('Activities'!K765,168))</x:f>
        <x:v>0</x:v>
      </x:c>
      <x:c r="AH765" s="23" t="n">
        <x:f>MAX(0,MIN('Activities'!L765,180)-MAX('Activities'!K765,174))</x:f>
        <x:v>0</x:v>
      </x:c>
      <x:c r="AI765" s="23" t="n">
        <x:f>MAX(0,MIN('Activities'!L765,186)-MAX('Activities'!K765,180))</x:f>
        <x:v>0</x:v>
      </x:c>
      <x:c r="AJ765" s="23" t="n">
        <x:f>MAX(0,MIN('Activities'!L765,192)-MAX('Activities'!K765,186))</x:f>
        <x:v>0</x:v>
      </x:c>
      <x:c r="AK765" s="23" t="n">
        <x:f>MAX(0,MIN('Activities'!L765,198)-MAX('Activities'!K765,192))</x:f>
        <x:v>0</x:v>
      </x:c>
      <x:c r="AL765" s="23" t="n">
        <x:f>MAX(0,MIN('Activities'!L765,204)-MAX('Activities'!K765,198))</x:f>
        <x:v>0</x:v>
      </x:c>
      <x:c r="AM765" s="23" t="n">
        <x:f>MAX(0,MIN('Activities'!L765,210)-MAX('Activities'!K765,204))</x:f>
        <x:v>0</x:v>
      </x:c>
      <x:c r="AN765" s="23" t="n">
        <x:f>MAX(0,MIN('Activities'!L765,216)-MAX('Activities'!K765,210))</x:f>
        <x:v>0</x:v>
      </x:c>
      <x:c r="AO765" s="23" t="n">
        <x:f>MAX(0,MIN('Activities'!L765,222)-MAX('Activities'!K765,216))</x:f>
        <x:v>0</x:v>
      </x:c>
      <x:c r="AP765" s="23" t="n">
        <x:f>MAX(0,MIN('Activities'!L765,228)-MAX('Activities'!K765,222))</x:f>
        <x:v>0</x:v>
      </x:c>
      <x:c r="AQ765" s="23" t="n">
        <x:f>MAX(0,MIN('Activities'!L765,234)-MAX('Activities'!K765,228))</x:f>
        <x:v>0</x:v>
      </x:c>
      <x:c r="AR765" s="23" t="n">
        <x:f>MAX(0,MIN('Activities'!L765,240)-MAX('Activities'!K765,234))</x:f>
        <x:v>0</x:v>
      </x:c>
      <x:c r="AS765" s="23" t="n">
        <x:f>MAX(0,MIN('Activities'!L765,246)-MAX('Activities'!K765,240))</x:f>
        <x:v>0</x:v>
      </x:c>
      <x:c r="AT765" s="23" t="n">
        <x:f>MAX(0,MIN('Activities'!L765,252)-MAX('Activities'!K765,246))</x:f>
        <x:v>0</x:v>
      </x:c>
      <x:c r="AU765" s="23" t="n">
        <x:f>MAX(0,MIN('Activities'!L765,258)-MAX('Activities'!K765,252))</x:f>
        <x:v>0</x:v>
      </x:c>
      <x:c r="AV765" s="23" t="n">
        <x:f>MAX(0,MIN('Activities'!L765,264)-MAX('Activities'!K765,258))</x:f>
        <x:v>0</x:v>
      </x:c>
      <x:c r="AW765" s="23" t="n">
        <x:f>MAX(0,MIN('Activities'!L765,270)-MAX('Activities'!K765,264))</x:f>
        <x:v>0</x:v>
      </x:c>
      <x:c r="AX765" s="23" t="n">
        <x:f>MAX(0,MIN('Activities'!L765,276)-MAX('Activities'!K765,270))</x:f>
        <x:v>0</x:v>
      </x:c>
      <x:c r="AY765" s="23" t="n">
        <x:f>MAX(0,MIN('Activities'!L765,282)-MAX('Activities'!K765,276))</x:f>
        <x:v>0</x:v>
      </x:c>
      <x:c r="AZ765" s="23" t="n">
        <x:f>MAX(0,MIN('Activities'!L765,288)-MAX('Activities'!K765,282))</x:f>
        <x:v>0</x:v>
      </x:c>
      <x:c r="BA765" s="23" t="n">
        <x:f>MAX(0,MIN('Activities'!L765,294)-MAX('Activities'!K765,288))</x:f>
        <x:v>0</x:v>
      </x:c>
      <x:c r="BB765" s="23" t="n">
        <x:f>MAX(0,MIN('Activities'!L765,300)-MAX('Activities'!K765,294))</x:f>
        <x:v>0</x:v>
      </x:c>
      <x:c r="BC765" s="23" t="n">
        <x:f>MAX(0,MIN('Activities'!L765,306)-MAX('Activities'!K765,300))</x:f>
        <x:v>0</x:v>
      </x:c>
      <x:c r="BD765" s="23" t="n">
        <x:f>MAX(0,MIN('Activities'!L765,312)-MAX('Activities'!K765,306))</x:f>
        <x:v>0</x:v>
      </x:c>
      <x:c r="BE765" s="23" t="n">
        <x:f>MAX(0,MIN('Activities'!L765,318)-MAX('Activities'!K765,312))</x:f>
        <x:v>0</x:v>
      </x:c>
      <x:c r="BF765" s="23" t="n">
        <x:f>MAX(0,MIN('Activities'!L765,324)-MAX('Activities'!K765,318))</x:f>
        <x:v>0</x:v>
      </x:c>
      <x:c r="BG765" s="23" t="n">
        <x:f>MAX(0,MIN('Activities'!L765,330)-MAX('Activities'!K765,324))</x:f>
        <x:v>0</x:v>
      </x:c>
      <x:c r="BH765" s="23" t="n">
        <x:f>MAX(0,MIN('Activities'!L765,336)-MAX('Activities'!K765,330))</x:f>
        <x:v>0</x:v>
      </x:c>
      <x:c r="BI765" s="23" t="n">
        <x:f>MAX(0,MIN('Activities'!L765,342)-MAX('Activities'!K765,336))</x:f>
        <x:v>0</x:v>
      </x:c>
      <x:c r="BJ765" s="23" t="n">
        <x:f>MAX(0,MIN('Activities'!L765,348)-MAX('Activities'!K765,342))</x:f>
        <x:v>0</x:v>
      </x:c>
      <x:c r="BK765" s="23" t="n">
        <x:f>MAX(0,MIN('Activities'!L765,354)-MAX('Activities'!K765,348))</x:f>
        <x:v>0</x:v>
      </x:c>
      <x:c r="BL765" s="23" t="n">
        <x:f>MAX(0,MIN('Activities'!L765,360)-MAX('Activities'!K765,354))</x:f>
        <x:v>0</x:v>
      </x:c>
      <x:c r="BM765" s="23" t="n">
        <x:f>MAX(0,MIN('Activities'!L765,366)-MAX('Activities'!K765,360))</x:f>
        <x:v>0</x:v>
      </x:c>
      <x:c r="BN765" s="23" t="n">
        <x:f>MAX(0,MIN('Activities'!L765,372)-MAX('Activities'!K765,366))</x:f>
        <x:v>0</x:v>
      </x:c>
      <x:c r="BO765" s="23" t="n">
        <x:f>MAX(0,MIN('Activities'!L765,378)-MAX('Activities'!K765,372))</x:f>
        <x:v>0</x:v>
      </x:c>
      <x:c r="BP765" s="23" t="n">
        <x:f>MAX(0,MIN('Activities'!L765,384)-MAX('Activities'!K765,378))</x:f>
        <x:v>0</x:v>
      </x:c>
      <x:c r="BQ765" s="23" t="n">
        <x:f>MAX(0,MIN('Activities'!L765,390)-MAX('Activities'!K765,384))</x:f>
        <x:v>0</x:v>
      </x:c>
      <x:c r="BR765" s="23" t="n">
        <x:f>MAX(0,MIN('Activities'!L765,396)-MAX('Activities'!K765,390))</x:f>
        <x:v>0</x:v>
      </x:c>
      <x:c r="BS765" s="23" t="n">
        <x:f>MAX(0,MIN('Activities'!L765,402)-MAX('Activities'!K765,396))</x:f>
        <x:v>0</x:v>
      </x:c>
      <x:c r="BT765" s="23" t="n">
        <x:f>MAX(0,MIN('Activities'!L765,408)-MAX('Activities'!K765,402))</x:f>
        <x:v>0</x:v>
      </x:c>
      <x:c r="BU765" s="23" t="n">
        <x:f>MAX(0,MIN('Activities'!L765,414)-MAX('Activities'!K765,408))</x:f>
        <x:v>0</x:v>
      </x:c>
      <x:c r="BV765" s="23" t="n">
        <x:f>MAX(0,MIN('Activities'!L765,420)-MAX('Activities'!K765,414))</x:f>
        <x:v>0</x:v>
      </x:c>
      <x:c r="BW765" s="23" t="n">
        <x:f>MAX(0,MIN('Activities'!L765,426)-MAX('Activities'!K765,420))</x:f>
        <x:v>0</x:v>
      </x:c>
      <x:c r="BX765" s="23" t="n">
        <x:f>MAX(0,MIN('Activities'!L765,432)-MAX('Activities'!K765,426))</x:f>
        <x:v>0</x:v>
      </x:c>
      <x:c r="BY765" s="23" t="n">
        <x:f>MAX(0,MIN('Activities'!L765,438)-MAX('Activities'!K765,432))</x:f>
        <x:v>0</x:v>
      </x:c>
      <x:c r="BZ765" s="23" t="n">
        <x:f>MAX(0,MIN('Activities'!L765,444)-MAX('Activities'!K765,438))</x:f>
        <x:v>0</x:v>
      </x:c>
      <x:c r="CA765" s="23" t="n">
        <x:f>MAX(0,MIN('Activities'!L765,450)-MAX('Activities'!K765,444))</x:f>
        <x:v>0</x:v>
      </x:c>
      <x:c r="CB765" s="23" t="n">
        <x:f>MAX(0,MIN('Activities'!L765,456)-MAX('Activities'!K765,450))</x:f>
        <x:v>0</x:v>
      </x:c>
      <x:c r="CC765" s="23" t="n">
        <x:f>MAX(0,MIN('Activities'!L765,462)-MAX('Activities'!K765,456))</x:f>
        <x:v>0</x:v>
      </x:c>
      <x:c r="CD765" s="23" t="n">
        <x:f>MAX(0,MIN('Activities'!L765,468)-MAX('Activities'!K765,462))</x:f>
        <x:v>0</x:v>
      </x:c>
      <x:c r="CE765" s="23" t="n">
        <x:f>MAX(0,MIN('Activities'!L765,474)-MAX('Activities'!K765,468))</x:f>
        <x:v>0</x:v>
      </x:c>
      <x:c r="CF765" s="23" t="n">
        <x:f>MAX(0,MIN('Activities'!L765,480)-MAX('Activities'!K765,474))</x:f>
        <x:v>3</x:v>
      </x:c>
      <x:c r="CG765" s="23" t="n">
        <x:f>MAX(0,MIN('Activities'!L765,486)-MAX('Activities'!K765,480))</x:f>
        <x:v>0</x:v>
      </x:c>
      <x:c r="CH765" s="23" t="n">
        <x:f>MAX(0,MIN('Activities'!L765,492)-MAX('Activities'!K765,486))</x:f>
        <x:v>0</x:v>
      </x:c>
      <x:c r="CI765" s="23" t="n">
        <x:f>MAX(0,MIN('Activities'!L765,498)-MAX('Activities'!K765,492))</x:f>
        <x:v>0</x:v>
      </x:c>
      <x:c r="CJ765" s="23" t="n">
        <x:f>MAX(0,MIN('Activities'!L765,504)-MAX('Activities'!K765,498))</x:f>
        <x:v>0</x:v>
      </x:c>
      <x:c r="CK765" s="23" t="n">
        <x:f>MAX(0,MIN('Activities'!L765,510)-MAX('Activities'!K765,504))</x:f>
        <x:v>0</x:v>
      </x:c>
      <x:c r="CL765" s="23" t="n">
        <x:f>MAX(0,MIN('Activities'!L765,516)-MAX('Activities'!K765,510))</x:f>
        <x:v>0</x:v>
      </x:c>
      <x:c r="CM765" s="23" t="n">
        <x:f>MAX(0,MIN('Activities'!L765,522)-MAX('Activities'!K765,516))</x:f>
        <x:v>0</x:v>
      </x:c>
      <x:c r="CN765" s="23" t="n">
        <x:f>MAX(0,MIN('Activities'!L765,528)-MAX('Activities'!K765,522))</x:f>
        <x:v>0</x:v>
      </x:c>
      <x:c r="CO765" s="23" t="n">
        <x:f>MAX(0,MIN('Activities'!L765,534)-MAX('Activities'!K765,528))</x:f>
        <x:v>0</x:v>
      </x:c>
      <x:c r="CP765" s="23" t="n">
        <x:f>MAX(0,MIN('Activities'!L765,540)-MAX('Activities'!K765,534))</x:f>
        <x:v>0</x:v>
      </x:c>
      <x:c r="CQ765" s="23" t="n">
        <x:f>MAX(0,MIN('Activities'!L765,546)-MAX('Activities'!K765,540))</x:f>
        <x:v>0</x:v>
      </x:c>
      <x:c r="CR765" s="23" t="n">
        <x:f>MAX(0,MIN('Activities'!L765,552)-MAX('Activities'!K765,546))</x:f>
        <x:v>0</x:v>
      </x:c>
      <x:c r="CS765" s="23" t="n">
        <x:f>MAX(0,MIN('Activities'!L765,558)-MAX('Activities'!K765,552))</x:f>
        <x:v>0</x:v>
      </x:c>
      <x:c r="CT765" s="23" t="n">
        <x:f>MAX(0,MIN('Activities'!L765,564)-MAX('Activities'!K765,558))</x:f>
        <x:v>0</x:v>
      </x:c>
      <x:c r="CU765" s="23" t="n">
        <x:f>MAX(0,MIN('Activities'!L765,570)-MAX('Activities'!K765,564))</x:f>
        <x:v>0</x:v>
      </x:c>
      <x:c r="CV765" s="23" t="n">
        <x:f>MAX(0,MIN('Activities'!L765,576)-MAX('Activities'!K765,570))</x:f>
        <x:v>0</x:v>
      </x:c>
      <x:c r="CW765" s="23" t="n">
        <x:f>MAX(0,MIN('Activities'!L765,582)-MAX('Activities'!K765,576))</x:f>
        <x:v>0</x:v>
      </x:c>
      <x:c r="CX765" s="23" t="n">
        <x:f>MAX(0,MIN('Activities'!L765,588)-MAX('Activities'!K765,582))</x:f>
        <x:v>0</x:v>
      </x:c>
      <x:c r="CY765" s="23" t="n">
        <x:f>MAX(0,MIN('Activities'!L765,594)-MAX('Activities'!K765,588))</x:f>
        <x:v>0</x:v>
      </x:c>
      <x:c r="CZ765" s="23" t="n">
        <x:f>MAX(0,MIN('Activities'!L765,600)-MAX('Activities'!K765,594))</x:f>
        <x:v>0</x:v>
      </x:c>
      <x:c r="DA765" s="23" t="n">
        <x:f>MAX(0,MIN('Activities'!L765,606)-MAX('Activities'!K765,600))</x:f>
        <x:v>0</x:v>
      </x:c>
      <x:c r="DB765" s="23" t="n">
        <x:f>MAX(0,MIN('Activities'!L765,612)-MAX('Activities'!K765,606))</x:f>
        <x:v>0</x:v>
      </x:c>
      <x:c r="DC765" s="23" t="n">
        <x:f>MAX(0,MIN('Activities'!L765,618)-MAX('Activities'!K765,612))</x:f>
        <x:v>0</x:v>
      </x:c>
      <x:c r="DD765" s="23" t="n">
        <x:f>MAX(0,MIN('Activities'!L765,624)-MAX('Activities'!K765,618))</x:f>
        <x:v>0</x:v>
      </x:c>
      <x:c r="DE765" s="23" t="n">
        <x:f>MAX(0,MIN('Activities'!L765,630)-MAX('Activities'!K765,624))</x:f>
        <x:v>0</x:v>
      </x:c>
      <x:c r="DF765" s="23" t="n">
        <x:f>MAX(0,MIN('Activities'!L765,636)-MAX('Activities'!K765,630))</x:f>
        <x:v>0</x:v>
      </x:c>
    </x:row>
    <x:row r="766" ht="23" customHeight="1">
      <x:c r="A766" s="6" t="str">
        <x:v>T6-L05-M</x:v>
      </x:c>
      <x:c r="B766" s="6" t="str">
        <x:v>T6</x:v>
      </x:c>
      <x:c r="C766" s="6" t="str">
        <x:v>Partition masonry</x:v>
      </x:c>
      <x:c r="D766" s="6" t="str">
        <x:v>Masonry</x:v>
      </x:c>
      <x:c r="E766" s="22" t="n">
        <x:f>MAX(0,MIN('Activities'!L766,6)-MAX('Activities'!K766,0))</x:f>
        <x:v>0</x:v>
      </x:c>
      <x:c r="F766" s="22" t="n">
        <x:f>MAX(0,MIN('Activities'!L766,12)-MAX('Activities'!K766,6))</x:f>
        <x:v>0</x:v>
      </x:c>
      <x:c r="G766" s="22" t="n">
        <x:f>MAX(0,MIN('Activities'!L766,18)-MAX('Activities'!K766,12))</x:f>
        <x:v>0</x:v>
      </x:c>
      <x:c r="H766" s="22" t="n">
        <x:f>MAX(0,MIN('Activities'!L766,24)-MAX('Activities'!K766,18))</x:f>
        <x:v>0</x:v>
      </x:c>
      <x:c r="I766" s="22" t="n">
        <x:f>MAX(0,MIN('Activities'!L766,30)-MAX('Activities'!K766,24))</x:f>
        <x:v>0</x:v>
      </x:c>
      <x:c r="J766" s="22" t="n">
        <x:f>MAX(0,MIN('Activities'!L766,36)-MAX('Activities'!K766,30))</x:f>
        <x:v>0</x:v>
      </x:c>
      <x:c r="K766" s="22" t="n">
        <x:f>MAX(0,MIN('Activities'!L766,42)-MAX('Activities'!K766,36))</x:f>
        <x:v>0</x:v>
      </x:c>
      <x:c r="L766" s="22" t="n">
        <x:f>MAX(0,MIN('Activities'!L766,48)-MAX('Activities'!K766,42))</x:f>
        <x:v>0</x:v>
      </x:c>
      <x:c r="M766" s="22" t="n">
        <x:f>MAX(0,MIN('Activities'!L766,54)-MAX('Activities'!K766,48))</x:f>
        <x:v>0</x:v>
      </x:c>
      <x:c r="N766" s="22" t="n">
        <x:f>MAX(0,MIN('Activities'!L766,60)-MAX('Activities'!K766,54))</x:f>
        <x:v>0</x:v>
      </x:c>
      <x:c r="O766" s="22" t="n">
        <x:f>MAX(0,MIN('Activities'!L766,66)-MAX('Activities'!K766,60))</x:f>
        <x:v>0</x:v>
      </x:c>
      <x:c r="P766" s="22" t="n">
        <x:f>MAX(0,MIN('Activities'!L766,72)-MAX('Activities'!K766,66))</x:f>
        <x:v>0</x:v>
      </x:c>
      <x:c r="Q766" s="22" t="n">
        <x:f>MAX(0,MIN('Activities'!L766,78)-MAX('Activities'!K766,72))</x:f>
        <x:v>0</x:v>
      </x:c>
      <x:c r="R766" s="22" t="n">
        <x:f>MAX(0,MIN('Activities'!L766,84)-MAX('Activities'!K766,78))</x:f>
        <x:v>0</x:v>
      </x:c>
      <x:c r="S766" s="22" t="n">
        <x:f>MAX(0,MIN('Activities'!L766,90)-MAX('Activities'!K766,84))</x:f>
        <x:v>0</x:v>
      </x:c>
      <x:c r="T766" s="22" t="n">
        <x:f>MAX(0,MIN('Activities'!L766,96)-MAX('Activities'!K766,90))</x:f>
        <x:v>0</x:v>
      </x:c>
      <x:c r="U766" s="22" t="n">
        <x:f>MAX(0,MIN('Activities'!L766,102)-MAX('Activities'!K766,96))</x:f>
        <x:v>0</x:v>
      </x:c>
      <x:c r="V766" s="22" t="n">
        <x:f>MAX(0,MIN('Activities'!L766,108)-MAX('Activities'!K766,102))</x:f>
        <x:v>0</x:v>
      </x:c>
      <x:c r="W766" s="22" t="n">
        <x:f>MAX(0,MIN('Activities'!L766,114)-MAX('Activities'!K766,108))</x:f>
        <x:v>0</x:v>
      </x:c>
      <x:c r="X766" s="22" t="n">
        <x:f>MAX(0,MIN('Activities'!L766,120)-MAX('Activities'!K766,114))</x:f>
        <x:v>0</x:v>
      </x:c>
      <x:c r="Y766" s="22" t="n">
        <x:f>MAX(0,MIN('Activities'!L766,126)-MAX('Activities'!K766,120))</x:f>
        <x:v>0</x:v>
      </x:c>
      <x:c r="Z766" s="22" t="n">
        <x:f>MAX(0,MIN('Activities'!L766,132)-MAX('Activities'!K766,126))</x:f>
        <x:v>0</x:v>
      </x:c>
      <x:c r="AA766" s="22" t="n">
        <x:f>MAX(0,MIN('Activities'!L766,138)-MAX('Activities'!K766,132))</x:f>
        <x:v>0</x:v>
      </x:c>
      <x:c r="AB766" s="22" t="n">
        <x:f>MAX(0,MIN('Activities'!L766,144)-MAX('Activities'!K766,138))</x:f>
        <x:v>0</x:v>
      </x:c>
      <x:c r="AC766" s="22" t="n">
        <x:f>MAX(0,MIN('Activities'!L766,150)-MAX('Activities'!K766,144))</x:f>
        <x:v>0</x:v>
      </x:c>
      <x:c r="AD766" s="22" t="n">
        <x:f>MAX(0,MIN('Activities'!L766,156)-MAX('Activities'!K766,150))</x:f>
        <x:v>0</x:v>
      </x:c>
      <x:c r="AE766" s="22" t="n">
        <x:f>MAX(0,MIN('Activities'!L766,162)-MAX('Activities'!K766,156))</x:f>
        <x:v>0</x:v>
      </x:c>
      <x:c r="AF766" s="22" t="n">
        <x:f>MAX(0,MIN('Activities'!L766,168)-MAX('Activities'!K766,162))</x:f>
        <x:v>0</x:v>
      </x:c>
      <x:c r="AG766" s="22" t="n">
        <x:f>MAX(0,MIN('Activities'!L766,174)-MAX('Activities'!K766,168))</x:f>
        <x:v>0</x:v>
      </x:c>
      <x:c r="AH766" s="22" t="n">
        <x:f>MAX(0,MIN('Activities'!L766,180)-MAX('Activities'!K766,174))</x:f>
        <x:v>0</x:v>
      </x:c>
      <x:c r="AI766" s="22" t="n">
        <x:f>MAX(0,MIN('Activities'!L766,186)-MAX('Activities'!K766,180))</x:f>
        <x:v>0</x:v>
      </x:c>
      <x:c r="AJ766" s="22" t="n">
        <x:f>MAX(0,MIN('Activities'!L766,192)-MAX('Activities'!K766,186))</x:f>
        <x:v>0</x:v>
      </x:c>
      <x:c r="AK766" s="22" t="n">
        <x:f>MAX(0,MIN('Activities'!L766,198)-MAX('Activities'!K766,192))</x:f>
        <x:v>0</x:v>
      </x:c>
      <x:c r="AL766" s="22" t="n">
        <x:f>MAX(0,MIN('Activities'!L766,204)-MAX('Activities'!K766,198))</x:f>
        <x:v>0</x:v>
      </x:c>
      <x:c r="AM766" s="22" t="n">
        <x:f>MAX(0,MIN('Activities'!L766,210)-MAX('Activities'!K766,204))</x:f>
        <x:v>0</x:v>
      </x:c>
      <x:c r="AN766" s="22" t="n">
        <x:f>MAX(0,MIN('Activities'!L766,216)-MAX('Activities'!K766,210))</x:f>
        <x:v>0</x:v>
      </x:c>
      <x:c r="AO766" s="22" t="n">
        <x:f>MAX(0,MIN('Activities'!L766,222)-MAX('Activities'!K766,216))</x:f>
        <x:v>0</x:v>
      </x:c>
      <x:c r="AP766" s="22" t="n">
        <x:f>MAX(0,MIN('Activities'!L766,228)-MAX('Activities'!K766,222))</x:f>
        <x:v>0</x:v>
      </x:c>
      <x:c r="AQ766" s="22" t="n">
        <x:f>MAX(0,MIN('Activities'!L766,234)-MAX('Activities'!K766,228))</x:f>
        <x:v>0</x:v>
      </x:c>
      <x:c r="AR766" s="22" t="n">
        <x:f>MAX(0,MIN('Activities'!L766,240)-MAX('Activities'!K766,234))</x:f>
        <x:v>0</x:v>
      </x:c>
      <x:c r="AS766" s="22" t="n">
        <x:f>MAX(0,MIN('Activities'!L766,246)-MAX('Activities'!K766,240))</x:f>
        <x:v>0</x:v>
      </x:c>
      <x:c r="AT766" s="22" t="n">
        <x:f>MAX(0,MIN('Activities'!L766,252)-MAX('Activities'!K766,246))</x:f>
        <x:v>0</x:v>
      </x:c>
      <x:c r="AU766" s="22" t="n">
        <x:f>MAX(0,MIN('Activities'!L766,258)-MAX('Activities'!K766,252))</x:f>
        <x:v>0</x:v>
      </x:c>
      <x:c r="AV766" s="22" t="n">
        <x:f>MAX(0,MIN('Activities'!L766,264)-MAX('Activities'!K766,258))</x:f>
        <x:v>0</x:v>
      </x:c>
      <x:c r="AW766" s="22" t="n">
        <x:f>MAX(0,MIN('Activities'!L766,270)-MAX('Activities'!K766,264))</x:f>
        <x:v>0</x:v>
      </x:c>
      <x:c r="AX766" s="22" t="n">
        <x:f>MAX(0,MIN('Activities'!L766,276)-MAX('Activities'!K766,270))</x:f>
        <x:v>0</x:v>
      </x:c>
      <x:c r="AY766" s="22" t="n">
        <x:f>MAX(0,MIN('Activities'!L766,282)-MAX('Activities'!K766,276))</x:f>
        <x:v>0</x:v>
      </x:c>
      <x:c r="AZ766" s="22" t="n">
        <x:f>MAX(0,MIN('Activities'!L766,288)-MAX('Activities'!K766,282))</x:f>
        <x:v>0</x:v>
      </x:c>
      <x:c r="BA766" s="22" t="n">
        <x:f>MAX(0,MIN('Activities'!L766,294)-MAX('Activities'!K766,288))</x:f>
        <x:v>0</x:v>
      </x:c>
      <x:c r="BB766" s="22" t="n">
        <x:f>MAX(0,MIN('Activities'!L766,300)-MAX('Activities'!K766,294))</x:f>
        <x:v>0</x:v>
      </x:c>
      <x:c r="BC766" s="22" t="n">
        <x:f>MAX(0,MIN('Activities'!L766,306)-MAX('Activities'!K766,300))</x:f>
        <x:v>0</x:v>
      </x:c>
      <x:c r="BD766" s="22" t="n">
        <x:f>MAX(0,MIN('Activities'!L766,312)-MAX('Activities'!K766,306))</x:f>
        <x:v>0</x:v>
      </x:c>
      <x:c r="BE766" s="22" t="n">
        <x:f>MAX(0,MIN('Activities'!L766,318)-MAX('Activities'!K766,312))</x:f>
        <x:v>0</x:v>
      </x:c>
      <x:c r="BF766" s="22" t="n">
        <x:f>MAX(0,MIN('Activities'!L766,324)-MAX('Activities'!K766,318))</x:f>
        <x:v>0</x:v>
      </x:c>
      <x:c r="BG766" s="22" t="n">
        <x:f>MAX(0,MIN('Activities'!L766,330)-MAX('Activities'!K766,324))</x:f>
        <x:v>0</x:v>
      </x:c>
      <x:c r="BH766" s="22" t="n">
        <x:f>MAX(0,MIN('Activities'!L766,336)-MAX('Activities'!K766,330))</x:f>
        <x:v>0</x:v>
      </x:c>
      <x:c r="BI766" s="22" t="n">
        <x:f>MAX(0,MIN('Activities'!L766,342)-MAX('Activities'!K766,336))</x:f>
        <x:v>0</x:v>
      </x:c>
      <x:c r="BJ766" s="22" t="n">
        <x:f>MAX(0,MIN('Activities'!L766,348)-MAX('Activities'!K766,342))</x:f>
        <x:v>0</x:v>
      </x:c>
      <x:c r="BK766" s="22" t="n">
        <x:f>MAX(0,MIN('Activities'!L766,354)-MAX('Activities'!K766,348))</x:f>
        <x:v>0</x:v>
      </x:c>
      <x:c r="BL766" s="22" t="n">
        <x:f>MAX(0,MIN('Activities'!L766,360)-MAX('Activities'!K766,354))</x:f>
        <x:v>0</x:v>
      </x:c>
      <x:c r="BM766" s="22" t="n">
        <x:f>MAX(0,MIN('Activities'!L766,366)-MAX('Activities'!K766,360))</x:f>
        <x:v>5</x:v>
      </x:c>
      <x:c r="BN766" s="22" t="n">
        <x:f>MAX(0,MIN('Activities'!L766,372)-MAX('Activities'!K766,366))</x:f>
        <x:v>0</x:v>
      </x:c>
      <x:c r="BO766" s="22" t="n">
        <x:f>MAX(0,MIN('Activities'!L766,378)-MAX('Activities'!K766,372))</x:f>
        <x:v>0</x:v>
      </x:c>
      <x:c r="BP766" s="22" t="n">
        <x:f>MAX(0,MIN('Activities'!L766,384)-MAX('Activities'!K766,378))</x:f>
        <x:v>0</x:v>
      </x:c>
      <x:c r="BQ766" s="22" t="n">
        <x:f>MAX(0,MIN('Activities'!L766,390)-MAX('Activities'!K766,384))</x:f>
        <x:v>0</x:v>
      </x:c>
      <x:c r="BR766" s="22" t="n">
        <x:f>MAX(0,MIN('Activities'!L766,396)-MAX('Activities'!K766,390))</x:f>
        <x:v>0</x:v>
      </x:c>
      <x:c r="BS766" s="22" t="n">
        <x:f>MAX(0,MIN('Activities'!L766,402)-MAX('Activities'!K766,396))</x:f>
        <x:v>0</x:v>
      </x:c>
      <x:c r="BT766" s="22" t="n">
        <x:f>MAX(0,MIN('Activities'!L766,408)-MAX('Activities'!K766,402))</x:f>
        <x:v>0</x:v>
      </x:c>
      <x:c r="BU766" s="22" t="n">
        <x:f>MAX(0,MIN('Activities'!L766,414)-MAX('Activities'!K766,408))</x:f>
        <x:v>0</x:v>
      </x:c>
      <x:c r="BV766" s="22" t="n">
        <x:f>MAX(0,MIN('Activities'!L766,420)-MAX('Activities'!K766,414))</x:f>
        <x:v>0</x:v>
      </x:c>
      <x:c r="BW766" s="22" t="n">
        <x:f>MAX(0,MIN('Activities'!L766,426)-MAX('Activities'!K766,420))</x:f>
        <x:v>0</x:v>
      </x:c>
      <x:c r="BX766" s="22" t="n">
        <x:f>MAX(0,MIN('Activities'!L766,432)-MAX('Activities'!K766,426))</x:f>
        <x:v>0</x:v>
      </x:c>
      <x:c r="BY766" s="22" t="n">
        <x:f>MAX(0,MIN('Activities'!L766,438)-MAX('Activities'!K766,432))</x:f>
        <x:v>0</x:v>
      </x:c>
      <x:c r="BZ766" s="22" t="n">
        <x:f>MAX(0,MIN('Activities'!L766,444)-MAX('Activities'!K766,438))</x:f>
        <x:v>0</x:v>
      </x:c>
      <x:c r="CA766" s="22" t="n">
        <x:f>MAX(0,MIN('Activities'!L766,450)-MAX('Activities'!K766,444))</x:f>
        <x:v>0</x:v>
      </x:c>
      <x:c r="CB766" s="22" t="n">
        <x:f>MAX(0,MIN('Activities'!L766,456)-MAX('Activities'!K766,450))</x:f>
        <x:v>0</x:v>
      </x:c>
      <x:c r="CC766" s="22" t="n">
        <x:f>MAX(0,MIN('Activities'!L766,462)-MAX('Activities'!K766,456))</x:f>
        <x:v>0</x:v>
      </x:c>
      <x:c r="CD766" s="22" t="n">
        <x:f>MAX(0,MIN('Activities'!L766,468)-MAX('Activities'!K766,462))</x:f>
        <x:v>0</x:v>
      </x:c>
      <x:c r="CE766" s="22" t="n">
        <x:f>MAX(0,MIN('Activities'!L766,474)-MAX('Activities'!K766,468))</x:f>
        <x:v>0</x:v>
      </x:c>
      <x:c r="CF766" s="22" t="n">
        <x:f>MAX(0,MIN('Activities'!L766,480)-MAX('Activities'!K766,474))</x:f>
        <x:v>0</x:v>
      </x:c>
      <x:c r="CG766" s="22" t="n">
        <x:f>MAX(0,MIN('Activities'!L766,486)-MAX('Activities'!K766,480))</x:f>
        <x:v>0</x:v>
      </x:c>
      <x:c r="CH766" s="22" t="n">
        <x:f>MAX(0,MIN('Activities'!L766,492)-MAX('Activities'!K766,486))</x:f>
        <x:v>0</x:v>
      </x:c>
      <x:c r="CI766" s="22" t="n">
        <x:f>MAX(0,MIN('Activities'!L766,498)-MAX('Activities'!K766,492))</x:f>
        <x:v>0</x:v>
      </x:c>
      <x:c r="CJ766" s="22" t="n">
        <x:f>MAX(0,MIN('Activities'!L766,504)-MAX('Activities'!K766,498))</x:f>
        <x:v>0</x:v>
      </x:c>
      <x:c r="CK766" s="22" t="n">
        <x:f>MAX(0,MIN('Activities'!L766,510)-MAX('Activities'!K766,504))</x:f>
        <x:v>0</x:v>
      </x:c>
      <x:c r="CL766" s="22" t="n">
        <x:f>MAX(0,MIN('Activities'!L766,516)-MAX('Activities'!K766,510))</x:f>
        <x:v>0</x:v>
      </x:c>
      <x:c r="CM766" s="22" t="n">
        <x:f>MAX(0,MIN('Activities'!L766,522)-MAX('Activities'!K766,516))</x:f>
        <x:v>0</x:v>
      </x:c>
      <x:c r="CN766" s="22" t="n">
        <x:f>MAX(0,MIN('Activities'!L766,528)-MAX('Activities'!K766,522))</x:f>
        <x:v>0</x:v>
      </x:c>
      <x:c r="CO766" s="22" t="n">
        <x:f>MAX(0,MIN('Activities'!L766,534)-MAX('Activities'!K766,528))</x:f>
        <x:v>0</x:v>
      </x:c>
      <x:c r="CP766" s="22" t="n">
        <x:f>MAX(0,MIN('Activities'!L766,540)-MAX('Activities'!K766,534))</x:f>
        <x:v>0</x:v>
      </x:c>
      <x:c r="CQ766" s="22" t="n">
        <x:f>MAX(0,MIN('Activities'!L766,546)-MAX('Activities'!K766,540))</x:f>
        <x:v>0</x:v>
      </x:c>
      <x:c r="CR766" s="22" t="n">
        <x:f>MAX(0,MIN('Activities'!L766,552)-MAX('Activities'!K766,546))</x:f>
        <x:v>0</x:v>
      </x:c>
      <x:c r="CS766" s="22" t="n">
        <x:f>MAX(0,MIN('Activities'!L766,558)-MAX('Activities'!K766,552))</x:f>
        <x:v>0</x:v>
      </x:c>
      <x:c r="CT766" s="22" t="n">
        <x:f>MAX(0,MIN('Activities'!L766,564)-MAX('Activities'!K766,558))</x:f>
        <x:v>0</x:v>
      </x:c>
      <x:c r="CU766" s="22" t="n">
        <x:f>MAX(0,MIN('Activities'!L766,570)-MAX('Activities'!K766,564))</x:f>
        <x:v>0</x:v>
      </x:c>
      <x:c r="CV766" s="22" t="n">
        <x:f>MAX(0,MIN('Activities'!L766,576)-MAX('Activities'!K766,570))</x:f>
        <x:v>0</x:v>
      </x:c>
      <x:c r="CW766" s="22" t="n">
        <x:f>MAX(0,MIN('Activities'!L766,582)-MAX('Activities'!K766,576))</x:f>
        <x:v>0</x:v>
      </x:c>
      <x:c r="CX766" s="22" t="n">
        <x:f>MAX(0,MIN('Activities'!L766,588)-MAX('Activities'!K766,582))</x:f>
        <x:v>0</x:v>
      </x:c>
      <x:c r="CY766" s="22" t="n">
        <x:f>MAX(0,MIN('Activities'!L766,594)-MAX('Activities'!K766,588))</x:f>
        <x:v>0</x:v>
      </x:c>
      <x:c r="CZ766" s="22" t="n">
        <x:f>MAX(0,MIN('Activities'!L766,600)-MAX('Activities'!K766,594))</x:f>
        <x:v>0</x:v>
      </x:c>
      <x:c r="DA766" s="22" t="n">
        <x:f>MAX(0,MIN('Activities'!L766,606)-MAX('Activities'!K766,600))</x:f>
        <x:v>0</x:v>
      </x:c>
      <x:c r="DB766" s="22" t="n">
        <x:f>MAX(0,MIN('Activities'!L766,612)-MAX('Activities'!K766,606))</x:f>
        <x:v>0</x:v>
      </x:c>
      <x:c r="DC766" s="22" t="n">
        <x:f>MAX(0,MIN('Activities'!L766,618)-MAX('Activities'!K766,612))</x:f>
        <x:v>0</x:v>
      </x:c>
      <x:c r="DD766" s="22" t="n">
        <x:f>MAX(0,MIN('Activities'!L766,624)-MAX('Activities'!K766,618))</x:f>
        <x:v>0</x:v>
      </x:c>
      <x:c r="DE766" s="22" t="n">
        <x:f>MAX(0,MIN('Activities'!L766,630)-MAX('Activities'!K766,624))</x:f>
        <x:v>0</x:v>
      </x:c>
      <x:c r="DF766" s="22" t="n">
        <x:f>MAX(0,MIN('Activities'!L766,636)-MAX('Activities'!K766,630))</x:f>
        <x:v>0</x:v>
      </x:c>
    </x:row>
    <x:row r="767" ht="23" customHeight="1">
      <x:c r="A767" s="1" t="str">
        <x:v>T6-L05-P</x:v>
      </x:c>
      <x:c r="B767" s="1" t="str">
        <x:v>T6</x:v>
      </x:c>
      <x:c r="C767" s="1" t="str">
        <x:v>Internal plaster</x:v>
      </x:c>
      <x:c r="D767" s="1" t="str">
        <x:v>Finishes</x:v>
      </x:c>
      <x:c r="E767" s="23" t="n">
        <x:f>MAX(0,MIN('Activities'!L767,6)-MAX('Activities'!K767,0))</x:f>
        <x:v>0</x:v>
      </x:c>
      <x:c r="F767" s="23" t="n">
        <x:f>MAX(0,MIN('Activities'!L767,12)-MAX('Activities'!K767,6))</x:f>
        <x:v>0</x:v>
      </x:c>
      <x:c r="G767" s="23" t="n">
        <x:f>MAX(0,MIN('Activities'!L767,18)-MAX('Activities'!K767,12))</x:f>
        <x:v>0</x:v>
      </x:c>
      <x:c r="H767" s="23" t="n">
        <x:f>MAX(0,MIN('Activities'!L767,24)-MAX('Activities'!K767,18))</x:f>
        <x:v>0</x:v>
      </x:c>
      <x:c r="I767" s="23" t="n">
        <x:f>MAX(0,MIN('Activities'!L767,30)-MAX('Activities'!K767,24))</x:f>
        <x:v>0</x:v>
      </x:c>
      <x:c r="J767" s="23" t="n">
        <x:f>MAX(0,MIN('Activities'!L767,36)-MAX('Activities'!K767,30))</x:f>
        <x:v>0</x:v>
      </x:c>
      <x:c r="K767" s="23" t="n">
        <x:f>MAX(0,MIN('Activities'!L767,42)-MAX('Activities'!K767,36))</x:f>
        <x:v>0</x:v>
      </x:c>
      <x:c r="L767" s="23" t="n">
        <x:f>MAX(0,MIN('Activities'!L767,48)-MAX('Activities'!K767,42))</x:f>
        <x:v>0</x:v>
      </x:c>
      <x:c r="M767" s="23" t="n">
        <x:f>MAX(0,MIN('Activities'!L767,54)-MAX('Activities'!K767,48))</x:f>
        <x:v>0</x:v>
      </x:c>
      <x:c r="N767" s="23" t="n">
        <x:f>MAX(0,MIN('Activities'!L767,60)-MAX('Activities'!K767,54))</x:f>
        <x:v>0</x:v>
      </x:c>
      <x:c r="O767" s="23" t="n">
        <x:f>MAX(0,MIN('Activities'!L767,66)-MAX('Activities'!K767,60))</x:f>
        <x:v>0</x:v>
      </x:c>
      <x:c r="P767" s="23" t="n">
        <x:f>MAX(0,MIN('Activities'!L767,72)-MAX('Activities'!K767,66))</x:f>
        <x:v>0</x:v>
      </x:c>
      <x:c r="Q767" s="23" t="n">
        <x:f>MAX(0,MIN('Activities'!L767,78)-MAX('Activities'!K767,72))</x:f>
        <x:v>0</x:v>
      </x:c>
      <x:c r="R767" s="23" t="n">
        <x:f>MAX(0,MIN('Activities'!L767,84)-MAX('Activities'!K767,78))</x:f>
        <x:v>0</x:v>
      </x:c>
      <x:c r="S767" s="23" t="n">
        <x:f>MAX(0,MIN('Activities'!L767,90)-MAX('Activities'!K767,84))</x:f>
        <x:v>0</x:v>
      </x:c>
      <x:c r="T767" s="23" t="n">
        <x:f>MAX(0,MIN('Activities'!L767,96)-MAX('Activities'!K767,90))</x:f>
        <x:v>0</x:v>
      </x:c>
      <x:c r="U767" s="23" t="n">
        <x:f>MAX(0,MIN('Activities'!L767,102)-MAX('Activities'!K767,96))</x:f>
        <x:v>0</x:v>
      </x:c>
      <x:c r="V767" s="23" t="n">
        <x:f>MAX(0,MIN('Activities'!L767,108)-MAX('Activities'!K767,102))</x:f>
        <x:v>0</x:v>
      </x:c>
      <x:c r="W767" s="23" t="n">
        <x:f>MAX(0,MIN('Activities'!L767,114)-MAX('Activities'!K767,108))</x:f>
        <x:v>0</x:v>
      </x:c>
      <x:c r="X767" s="23" t="n">
        <x:f>MAX(0,MIN('Activities'!L767,120)-MAX('Activities'!K767,114))</x:f>
        <x:v>0</x:v>
      </x:c>
      <x:c r="Y767" s="23" t="n">
        <x:f>MAX(0,MIN('Activities'!L767,126)-MAX('Activities'!K767,120))</x:f>
        <x:v>0</x:v>
      </x:c>
      <x:c r="Z767" s="23" t="n">
        <x:f>MAX(0,MIN('Activities'!L767,132)-MAX('Activities'!K767,126))</x:f>
        <x:v>0</x:v>
      </x:c>
      <x:c r="AA767" s="23" t="n">
        <x:f>MAX(0,MIN('Activities'!L767,138)-MAX('Activities'!K767,132))</x:f>
        <x:v>0</x:v>
      </x:c>
      <x:c r="AB767" s="23" t="n">
        <x:f>MAX(0,MIN('Activities'!L767,144)-MAX('Activities'!K767,138))</x:f>
        <x:v>0</x:v>
      </x:c>
      <x:c r="AC767" s="23" t="n">
        <x:f>MAX(0,MIN('Activities'!L767,150)-MAX('Activities'!K767,144))</x:f>
        <x:v>0</x:v>
      </x:c>
      <x:c r="AD767" s="23" t="n">
        <x:f>MAX(0,MIN('Activities'!L767,156)-MAX('Activities'!K767,150))</x:f>
        <x:v>0</x:v>
      </x:c>
      <x:c r="AE767" s="23" t="n">
        <x:f>MAX(0,MIN('Activities'!L767,162)-MAX('Activities'!K767,156))</x:f>
        <x:v>0</x:v>
      </x:c>
      <x:c r="AF767" s="23" t="n">
        <x:f>MAX(0,MIN('Activities'!L767,168)-MAX('Activities'!K767,162))</x:f>
        <x:v>0</x:v>
      </x:c>
      <x:c r="AG767" s="23" t="n">
        <x:f>MAX(0,MIN('Activities'!L767,174)-MAX('Activities'!K767,168))</x:f>
        <x:v>0</x:v>
      </x:c>
      <x:c r="AH767" s="23" t="n">
        <x:f>MAX(0,MIN('Activities'!L767,180)-MAX('Activities'!K767,174))</x:f>
        <x:v>0</x:v>
      </x:c>
      <x:c r="AI767" s="23" t="n">
        <x:f>MAX(0,MIN('Activities'!L767,186)-MAX('Activities'!K767,180))</x:f>
        <x:v>0</x:v>
      </x:c>
      <x:c r="AJ767" s="23" t="n">
        <x:f>MAX(0,MIN('Activities'!L767,192)-MAX('Activities'!K767,186))</x:f>
        <x:v>0</x:v>
      </x:c>
      <x:c r="AK767" s="23" t="n">
        <x:f>MAX(0,MIN('Activities'!L767,198)-MAX('Activities'!K767,192))</x:f>
        <x:v>0</x:v>
      </x:c>
      <x:c r="AL767" s="23" t="n">
        <x:f>MAX(0,MIN('Activities'!L767,204)-MAX('Activities'!K767,198))</x:f>
        <x:v>0</x:v>
      </x:c>
      <x:c r="AM767" s="23" t="n">
        <x:f>MAX(0,MIN('Activities'!L767,210)-MAX('Activities'!K767,204))</x:f>
        <x:v>0</x:v>
      </x:c>
      <x:c r="AN767" s="23" t="n">
        <x:f>MAX(0,MIN('Activities'!L767,216)-MAX('Activities'!K767,210))</x:f>
        <x:v>0</x:v>
      </x:c>
      <x:c r="AO767" s="23" t="n">
        <x:f>MAX(0,MIN('Activities'!L767,222)-MAX('Activities'!K767,216))</x:f>
        <x:v>0</x:v>
      </x:c>
      <x:c r="AP767" s="23" t="n">
        <x:f>MAX(0,MIN('Activities'!L767,228)-MAX('Activities'!K767,222))</x:f>
        <x:v>0</x:v>
      </x:c>
      <x:c r="AQ767" s="23" t="n">
        <x:f>MAX(0,MIN('Activities'!L767,234)-MAX('Activities'!K767,228))</x:f>
        <x:v>0</x:v>
      </x:c>
      <x:c r="AR767" s="23" t="n">
        <x:f>MAX(0,MIN('Activities'!L767,240)-MAX('Activities'!K767,234))</x:f>
        <x:v>0</x:v>
      </x:c>
      <x:c r="AS767" s="23" t="n">
        <x:f>MAX(0,MIN('Activities'!L767,246)-MAX('Activities'!K767,240))</x:f>
        <x:v>0</x:v>
      </x:c>
      <x:c r="AT767" s="23" t="n">
        <x:f>MAX(0,MIN('Activities'!L767,252)-MAX('Activities'!K767,246))</x:f>
        <x:v>0</x:v>
      </x:c>
      <x:c r="AU767" s="23" t="n">
        <x:f>MAX(0,MIN('Activities'!L767,258)-MAX('Activities'!K767,252))</x:f>
        <x:v>0</x:v>
      </x:c>
      <x:c r="AV767" s="23" t="n">
        <x:f>MAX(0,MIN('Activities'!L767,264)-MAX('Activities'!K767,258))</x:f>
        <x:v>0</x:v>
      </x:c>
      <x:c r="AW767" s="23" t="n">
        <x:f>MAX(0,MIN('Activities'!L767,270)-MAX('Activities'!K767,264))</x:f>
        <x:v>0</x:v>
      </x:c>
      <x:c r="AX767" s="23" t="n">
        <x:f>MAX(0,MIN('Activities'!L767,276)-MAX('Activities'!K767,270))</x:f>
        <x:v>0</x:v>
      </x:c>
      <x:c r="AY767" s="23" t="n">
        <x:f>MAX(0,MIN('Activities'!L767,282)-MAX('Activities'!K767,276))</x:f>
        <x:v>0</x:v>
      </x:c>
      <x:c r="AZ767" s="23" t="n">
        <x:f>MAX(0,MIN('Activities'!L767,288)-MAX('Activities'!K767,282))</x:f>
        <x:v>0</x:v>
      </x:c>
      <x:c r="BA767" s="23" t="n">
        <x:f>MAX(0,MIN('Activities'!L767,294)-MAX('Activities'!K767,288))</x:f>
        <x:v>0</x:v>
      </x:c>
      <x:c r="BB767" s="23" t="n">
        <x:f>MAX(0,MIN('Activities'!L767,300)-MAX('Activities'!K767,294))</x:f>
        <x:v>0</x:v>
      </x:c>
      <x:c r="BC767" s="23" t="n">
        <x:f>MAX(0,MIN('Activities'!L767,306)-MAX('Activities'!K767,300))</x:f>
        <x:v>0</x:v>
      </x:c>
      <x:c r="BD767" s="23" t="n">
        <x:f>MAX(0,MIN('Activities'!L767,312)-MAX('Activities'!K767,306))</x:f>
        <x:v>0</x:v>
      </x:c>
      <x:c r="BE767" s="23" t="n">
        <x:f>MAX(0,MIN('Activities'!L767,318)-MAX('Activities'!K767,312))</x:f>
        <x:v>0</x:v>
      </x:c>
      <x:c r="BF767" s="23" t="n">
        <x:f>MAX(0,MIN('Activities'!L767,324)-MAX('Activities'!K767,318))</x:f>
        <x:v>0</x:v>
      </x:c>
      <x:c r="BG767" s="23" t="n">
        <x:f>MAX(0,MIN('Activities'!L767,330)-MAX('Activities'!K767,324))</x:f>
        <x:v>0</x:v>
      </x:c>
      <x:c r="BH767" s="23" t="n">
        <x:f>MAX(0,MIN('Activities'!L767,336)-MAX('Activities'!K767,330))</x:f>
        <x:v>0</x:v>
      </x:c>
      <x:c r="BI767" s="23" t="n">
        <x:f>MAX(0,MIN('Activities'!L767,342)-MAX('Activities'!K767,336))</x:f>
        <x:v>0</x:v>
      </x:c>
      <x:c r="BJ767" s="23" t="n">
        <x:f>MAX(0,MIN('Activities'!L767,348)-MAX('Activities'!K767,342))</x:f>
        <x:v>0</x:v>
      </x:c>
      <x:c r="BK767" s="23" t="n">
        <x:f>MAX(0,MIN('Activities'!L767,354)-MAX('Activities'!K767,348))</x:f>
        <x:v>0</x:v>
      </x:c>
      <x:c r="BL767" s="23" t="n">
        <x:f>MAX(0,MIN('Activities'!L767,360)-MAX('Activities'!K767,354))</x:f>
        <x:v>0</x:v>
      </x:c>
      <x:c r="BM767" s="23" t="n">
        <x:f>MAX(0,MIN('Activities'!L767,366)-MAX('Activities'!K767,360))</x:f>
        <x:v>0</x:v>
      </x:c>
      <x:c r="BN767" s="23" t="n">
        <x:f>MAX(0,MIN('Activities'!L767,372)-MAX('Activities'!K767,366))</x:f>
        <x:v>3</x:v>
      </x:c>
      <x:c r="BO767" s="23" t="n">
        <x:f>MAX(0,MIN('Activities'!L767,378)-MAX('Activities'!K767,372))</x:f>
        <x:v>3</x:v>
      </x:c>
      <x:c r="BP767" s="23" t="n">
        <x:f>MAX(0,MIN('Activities'!L767,384)-MAX('Activities'!K767,378))</x:f>
        <x:v>0</x:v>
      </x:c>
      <x:c r="BQ767" s="23" t="n">
        <x:f>MAX(0,MIN('Activities'!L767,390)-MAX('Activities'!K767,384))</x:f>
        <x:v>0</x:v>
      </x:c>
      <x:c r="BR767" s="23" t="n">
        <x:f>MAX(0,MIN('Activities'!L767,396)-MAX('Activities'!K767,390))</x:f>
        <x:v>0</x:v>
      </x:c>
      <x:c r="BS767" s="23" t="n">
        <x:f>MAX(0,MIN('Activities'!L767,402)-MAX('Activities'!K767,396))</x:f>
        <x:v>0</x:v>
      </x:c>
      <x:c r="BT767" s="23" t="n">
        <x:f>MAX(0,MIN('Activities'!L767,408)-MAX('Activities'!K767,402))</x:f>
        <x:v>0</x:v>
      </x:c>
      <x:c r="BU767" s="23" t="n">
        <x:f>MAX(0,MIN('Activities'!L767,414)-MAX('Activities'!K767,408))</x:f>
        <x:v>0</x:v>
      </x:c>
      <x:c r="BV767" s="23" t="n">
        <x:f>MAX(0,MIN('Activities'!L767,420)-MAX('Activities'!K767,414))</x:f>
        <x:v>0</x:v>
      </x:c>
      <x:c r="BW767" s="23" t="n">
        <x:f>MAX(0,MIN('Activities'!L767,426)-MAX('Activities'!K767,420))</x:f>
        <x:v>0</x:v>
      </x:c>
      <x:c r="BX767" s="23" t="n">
        <x:f>MAX(0,MIN('Activities'!L767,432)-MAX('Activities'!K767,426))</x:f>
        <x:v>0</x:v>
      </x:c>
      <x:c r="BY767" s="23" t="n">
        <x:f>MAX(0,MIN('Activities'!L767,438)-MAX('Activities'!K767,432))</x:f>
        <x:v>0</x:v>
      </x:c>
      <x:c r="BZ767" s="23" t="n">
        <x:f>MAX(0,MIN('Activities'!L767,444)-MAX('Activities'!K767,438))</x:f>
        <x:v>0</x:v>
      </x:c>
      <x:c r="CA767" s="23" t="n">
        <x:f>MAX(0,MIN('Activities'!L767,450)-MAX('Activities'!K767,444))</x:f>
        <x:v>0</x:v>
      </x:c>
      <x:c r="CB767" s="23" t="n">
        <x:f>MAX(0,MIN('Activities'!L767,456)-MAX('Activities'!K767,450))</x:f>
        <x:v>0</x:v>
      </x:c>
      <x:c r="CC767" s="23" t="n">
        <x:f>MAX(0,MIN('Activities'!L767,462)-MAX('Activities'!K767,456))</x:f>
        <x:v>0</x:v>
      </x:c>
      <x:c r="CD767" s="23" t="n">
        <x:f>MAX(0,MIN('Activities'!L767,468)-MAX('Activities'!K767,462))</x:f>
        <x:v>0</x:v>
      </x:c>
      <x:c r="CE767" s="23" t="n">
        <x:f>MAX(0,MIN('Activities'!L767,474)-MAX('Activities'!K767,468))</x:f>
        <x:v>0</x:v>
      </x:c>
      <x:c r="CF767" s="23" t="n">
        <x:f>MAX(0,MIN('Activities'!L767,480)-MAX('Activities'!K767,474))</x:f>
        <x:v>0</x:v>
      </x:c>
      <x:c r="CG767" s="23" t="n">
        <x:f>MAX(0,MIN('Activities'!L767,486)-MAX('Activities'!K767,480))</x:f>
        <x:v>0</x:v>
      </x:c>
      <x:c r="CH767" s="23" t="n">
        <x:f>MAX(0,MIN('Activities'!L767,492)-MAX('Activities'!K767,486))</x:f>
        <x:v>0</x:v>
      </x:c>
      <x:c r="CI767" s="23" t="n">
        <x:f>MAX(0,MIN('Activities'!L767,498)-MAX('Activities'!K767,492))</x:f>
        <x:v>0</x:v>
      </x:c>
      <x:c r="CJ767" s="23" t="n">
        <x:f>MAX(0,MIN('Activities'!L767,504)-MAX('Activities'!K767,498))</x:f>
        <x:v>0</x:v>
      </x:c>
      <x:c r="CK767" s="23" t="n">
        <x:f>MAX(0,MIN('Activities'!L767,510)-MAX('Activities'!K767,504))</x:f>
        <x:v>0</x:v>
      </x:c>
      <x:c r="CL767" s="23" t="n">
        <x:f>MAX(0,MIN('Activities'!L767,516)-MAX('Activities'!K767,510))</x:f>
        <x:v>0</x:v>
      </x:c>
      <x:c r="CM767" s="23" t="n">
        <x:f>MAX(0,MIN('Activities'!L767,522)-MAX('Activities'!K767,516))</x:f>
        <x:v>0</x:v>
      </x:c>
      <x:c r="CN767" s="23" t="n">
        <x:f>MAX(0,MIN('Activities'!L767,528)-MAX('Activities'!K767,522))</x:f>
        <x:v>0</x:v>
      </x:c>
      <x:c r="CO767" s="23" t="n">
        <x:f>MAX(0,MIN('Activities'!L767,534)-MAX('Activities'!K767,528))</x:f>
        <x:v>0</x:v>
      </x:c>
      <x:c r="CP767" s="23" t="n">
        <x:f>MAX(0,MIN('Activities'!L767,540)-MAX('Activities'!K767,534))</x:f>
        <x:v>0</x:v>
      </x:c>
      <x:c r="CQ767" s="23" t="n">
        <x:f>MAX(0,MIN('Activities'!L767,546)-MAX('Activities'!K767,540))</x:f>
        <x:v>0</x:v>
      </x:c>
      <x:c r="CR767" s="23" t="n">
        <x:f>MAX(0,MIN('Activities'!L767,552)-MAX('Activities'!K767,546))</x:f>
        <x:v>0</x:v>
      </x:c>
      <x:c r="CS767" s="23" t="n">
        <x:f>MAX(0,MIN('Activities'!L767,558)-MAX('Activities'!K767,552))</x:f>
        <x:v>0</x:v>
      </x:c>
      <x:c r="CT767" s="23" t="n">
        <x:f>MAX(0,MIN('Activities'!L767,564)-MAX('Activities'!K767,558))</x:f>
        <x:v>0</x:v>
      </x:c>
      <x:c r="CU767" s="23" t="n">
        <x:f>MAX(0,MIN('Activities'!L767,570)-MAX('Activities'!K767,564))</x:f>
        <x:v>0</x:v>
      </x:c>
      <x:c r="CV767" s="23" t="n">
        <x:f>MAX(0,MIN('Activities'!L767,576)-MAX('Activities'!K767,570))</x:f>
        <x:v>0</x:v>
      </x:c>
      <x:c r="CW767" s="23" t="n">
        <x:f>MAX(0,MIN('Activities'!L767,582)-MAX('Activities'!K767,576))</x:f>
        <x:v>0</x:v>
      </x:c>
      <x:c r="CX767" s="23" t="n">
        <x:f>MAX(0,MIN('Activities'!L767,588)-MAX('Activities'!K767,582))</x:f>
        <x:v>0</x:v>
      </x:c>
      <x:c r="CY767" s="23" t="n">
        <x:f>MAX(0,MIN('Activities'!L767,594)-MAX('Activities'!K767,588))</x:f>
        <x:v>0</x:v>
      </x:c>
      <x:c r="CZ767" s="23" t="n">
        <x:f>MAX(0,MIN('Activities'!L767,600)-MAX('Activities'!K767,594))</x:f>
        <x:v>0</x:v>
      </x:c>
      <x:c r="DA767" s="23" t="n">
        <x:f>MAX(0,MIN('Activities'!L767,606)-MAX('Activities'!K767,600))</x:f>
        <x:v>0</x:v>
      </x:c>
      <x:c r="DB767" s="23" t="n">
        <x:f>MAX(0,MIN('Activities'!L767,612)-MAX('Activities'!K767,606))</x:f>
        <x:v>0</x:v>
      </x:c>
      <x:c r="DC767" s="23" t="n">
        <x:f>MAX(0,MIN('Activities'!L767,618)-MAX('Activities'!K767,612))</x:f>
        <x:v>0</x:v>
      </x:c>
      <x:c r="DD767" s="23" t="n">
        <x:f>MAX(0,MIN('Activities'!L767,624)-MAX('Activities'!K767,618))</x:f>
        <x:v>0</x:v>
      </x:c>
      <x:c r="DE767" s="23" t="n">
        <x:f>MAX(0,MIN('Activities'!L767,630)-MAX('Activities'!K767,624))</x:f>
        <x:v>0</x:v>
      </x:c>
      <x:c r="DF767" s="23" t="n">
        <x:f>MAX(0,MIN('Activities'!L767,636)-MAX('Activities'!K767,630))</x:f>
        <x:v>0</x:v>
      </x:c>
    </x:row>
    <x:row r="768" ht="23" customHeight="1">
      <x:c r="A768" s="6" t="str">
        <x:v>T6-L05-S</x:v>
      </x:c>
      <x:c r="B768" s="6" t="str">
        <x:v>T6</x:v>
      </x:c>
      <x:c r="C768" s="6" t="str">
        <x:v>Screed and substrate preparation</x:v>
      </x:c>
      <x:c r="D768" s="6" t="str">
        <x:v>Finishes</x:v>
      </x:c>
      <x:c r="E768" s="22" t="n">
        <x:f>MAX(0,MIN('Activities'!L768,6)-MAX('Activities'!K768,0))</x:f>
        <x:v>0</x:v>
      </x:c>
      <x:c r="F768" s="22" t="n">
        <x:f>MAX(0,MIN('Activities'!L768,12)-MAX('Activities'!K768,6))</x:f>
        <x:v>0</x:v>
      </x:c>
      <x:c r="G768" s="22" t="n">
        <x:f>MAX(0,MIN('Activities'!L768,18)-MAX('Activities'!K768,12))</x:f>
        <x:v>0</x:v>
      </x:c>
      <x:c r="H768" s="22" t="n">
        <x:f>MAX(0,MIN('Activities'!L768,24)-MAX('Activities'!K768,18))</x:f>
        <x:v>0</x:v>
      </x:c>
      <x:c r="I768" s="22" t="n">
        <x:f>MAX(0,MIN('Activities'!L768,30)-MAX('Activities'!K768,24))</x:f>
        <x:v>0</x:v>
      </x:c>
      <x:c r="J768" s="22" t="n">
        <x:f>MAX(0,MIN('Activities'!L768,36)-MAX('Activities'!K768,30))</x:f>
        <x:v>0</x:v>
      </x:c>
      <x:c r="K768" s="22" t="n">
        <x:f>MAX(0,MIN('Activities'!L768,42)-MAX('Activities'!K768,36))</x:f>
        <x:v>0</x:v>
      </x:c>
      <x:c r="L768" s="22" t="n">
        <x:f>MAX(0,MIN('Activities'!L768,48)-MAX('Activities'!K768,42))</x:f>
        <x:v>0</x:v>
      </x:c>
      <x:c r="M768" s="22" t="n">
        <x:f>MAX(0,MIN('Activities'!L768,54)-MAX('Activities'!K768,48))</x:f>
        <x:v>0</x:v>
      </x:c>
      <x:c r="N768" s="22" t="n">
        <x:f>MAX(0,MIN('Activities'!L768,60)-MAX('Activities'!K768,54))</x:f>
        <x:v>0</x:v>
      </x:c>
      <x:c r="O768" s="22" t="n">
        <x:f>MAX(0,MIN('Activities'!L768,66)-MAX('Activities'!K768,60))</x:f>
        <x:v>0</x:v>
      </x:c>
      <x:c r="P768" s="22" t="n">
        <x:f>MAX(0,MIN('Activities'!L768,72)-MAX('Activities'!K768,66))</x:f>
        <x:v>0</x:v>
      </x:c>
      <x:c r="Q768" s="22" t="n">
        <x:f>MAX(0,MIN('Activities'!L768,78)-MAX('Activities'!K768,72))</x:f>
        <x:v>0</x:v>
      </x:c>
      <x:c r="R768" s="22" t="n">
        <x:f>MAX(0,MIN('Activities'!L768,84)-MAX('Activities'!K768,78))</x:f>
        <x:v>0</x:v>
      </x:c>
      <x:c r="S768" s="22" t="n">
        <x:f>MAX(0,MIN('Activities'!L768,90)-MAX('Activities'!K768,84))</x:f>
        <x:v>0</x:v>
      </x:c>
      <x:c r="T768" s="22" t="n">
        <x:f>MAX(0,MIN('Activities'!L768,96)-MAX('Activities'!K768,90))</x:f>
        <x:v>0</x:v>
      </x:c>
      <x:c r="U768" s="22" t="n">
        <x:f>MAX(0,MIN('Activities'!L768,102)-MAX('Activities'!K768,96))</x:f>
        <x:v>0</x:v>
      </x:c>
      <x:c r="V768" s="22" t="n">
        <x:f>MAX(0,MIN('Activities'!L768,108)-MAX('Activities'!K768,102))</x:f>
        <x:v>0</x:v>
      </x:c>
      <x:c r="W768" s="22" t="n">
        <x:f>MAX(0,MIN('Activities'!L768,114)-MAX('Activities'!K768,108))</x:f>
        <x:v>0</x:v>
      </x:c>
      <x:c r="X768" s="22" t="n">
        <x:f>MAX(0,MIN('Activities'!L768,120)-MAX('Activities'!K768,114))</x:f>
        <x:v>0</x:v>
      </x:c>
      <x:c r="Y768" s="22" t="n">
        <x:f>MAX(0,MIN('Activities'!L768,126)-MAX('Activities'!K768,120))</x:f>
        <x:v>0</x:v>
      </x:c>
      <x:c r="Z768" s="22" t="n">
        <x:f>MAX(0,MIN('Activities'!L768,132)-MAX('Activities'!K768,126))</x:f>
        <x:v>0</x:v>
      </x:c>
      <x:c r="AA768" s="22" t="n">
        <x:f>MAX(0,MIN('Activities'!L768,138)-MAX('Activities'!K768,132))</x:f>
        <x:v>0</x:v>
      </x:c>
      <x:c r="AB768" s="22" t="n">
        <x:f>MAX(0,MIN('Activities'!L768,144)-MAX('Activities'!K768,138))</x:f>
        <x:v>0</x:v>
      </x:c>
      <x:c r="AC768" s="22" t="n">
        <x:f>MAX(0,MIN('Activities'!L768,150)-MAX('Activities'!K768,144))</x:f>
        <x:v>0</x:v>
      </x:c>
      <x:c r="AD768" s="22" t="n">
        <x:f>MAX(0,MIN('Activities'!L768,156)-MAX('Activities'!K768,150))</x:f>
        <x:v>0</x:v>
      </x:c>
      <x:c r="AE768" s="22" t="n">
        <x:f>MAX(0,MIN('Activities'!L768,162)-MAX('Activities'!K768,156))</x:f>
        <x:v>0</x:v>
      </x:c>
      <x:c r="AF768" s="22" t="n">
        <x:f>MAX(0,MIN('Activities'!L768,168)-MAX('Activities'!K768,162))</x:f>
        <x:v>0</x:v>
      </x:c>
      <x:c r="AG768" s="22" t="n">
        <x:f>MAX(0,MIN('Activities'!L768,174)-MAX('Activities'!K768,168))</x:f>
        <x:v>0</x:v>
      </x:c>
      <x:c r="AH768" s="22" t="n">
        <x:f>MAX(0,MIN('Activities'!L768,180)-MAX('Activities'!K768,174))</x:f>
        <x:v>0</x:v>
      </x:c>
      <x:c r="AI768" s="22" t="n">
        <x:f>MAX(0,MIN('Activities'!L768,186)-MAX('Activities'!K768,180))</x:f>
        <x:v>0</x:v>
      </x:c>
      <x:c r="AJ768" s="22" t="n">
        <x:f>MAX(0,MIN('Activities'!L768,192)-MAX('Activities'!K768,186))</x:f>
        <x:v>0</x:v>
      </x:c>
      <x:c r="AK768" s="22" t="n">
        <x:f>MAX(0,MIN('Activities'!L768,198)-MAX('Activities'!K768,192))</x:f>
        <x:v>0</x:v>
      </x:c>
      <x:c r="AL768" s="22" t="n">
        <x:f>MAX(0,MIN('Activities'!L768,204)-MAX('Activities'!K768,198))</x:f>
        <x:v>0</x:v>
      </x:c>
      <x:c r="AM768" s="22" t="n">
        <x:f>MAX(0,MIN('Activities'!L768,210)-MAX('Activities'!K768,204))</x:f>
        <x:v>0</x:v>
      </x:c>
      <x:c r="AN768" s="22" t="n">
        <x:f>MAX(0,MIN('Activities'!L768,216)-MAX('Activities'!K768,210))</x:f>
        <x:v>0</x:v>
      </x:c>
      <x:c r="AO768" s="22" t="n">
        <x:f>MAX(0,MIN('Activities'!L768,222)-MAX('Activities'!K768,216))</x:f>
        <x:v>0</x:v>
      </x:c>
      <x:c r="AP768" s="22" t="n">
        <x:f>MAX(0,MIN('Activities'!L768,228)-MAX('Activities'!K768,222))</x:f>
        <x:v>0</x:v>
      </x:c>
      <x:c r="AQ768" s="22" t="n">
        <x:f>MAX(0,MIN('Activities'!L768,234)-MAX('Activities'!K768,228))</x:f>
        <x:v>0</x:v>
      </x:c>
      <x:c r="AR768" s="22" t="n">
        <x:f>MAX(0,MIN('Activities'!L768,240)-MAX('Activities'!K768,234))</x:f>
        <x:v>0</x:v>
      </x:c>
      <x:c r="AS768" s="22" t="n">
        <x:f>MAX(0,MIN('Activities'!L768,246)-MAX('Activities'!K768,240))</x:f>
        <x:v>0</x:v>
      </x:c>
      <x:c r="AT768" s="22" t="n">
        <x:f>MAX(0,MIN('Activities'!L768,252)-MAX('Activities'!K768,246))</x:f>
        <x:v>0</x:v>
      </x:c>
      <x:c r="AU768" s="22" t="n">
        <x:f>MAX(0,MIN('Activities'!L768,258)-MAX('Activities'!K768,252))</x:f>
        <x:v>0</x:v>
      </x:c>
      <x:c r="AV768" s="22" t="n">
        <x:f>MAX(0,MIN('Activities'!L768,264)-MAX('Activities'!K768,258))</x:f>
        <x:v>0</x:v>
      </x:c>
      <x:c r="AW768" s="22" t="n">
        <x:f>MAX(0,MIN('Activities'!L768,270)-MAX('Activities'!K768,264))</x:f>
        <x:v>0</x:v>
      </x:c>
      <x:c r="AX768" s="22" t="n">
        <x:f>MAX(0,MIN('Activities'!L768,276)-MAX('Activities'!K768,270))</x:f>
        <x:v>0</x:v>
      </x:c>
      <x:c r="AY768" s="22" t="n">
        <x:f>MAX(0,MIN('Activities'!L768,282)-MAX('Activities'!K768,276))</x:f>
        <x:v>0</x:v>
      </x:c>
      <x:c r="AZ768" s="22" t="n">
        <x:f>MAX(0,MIN('Activities'!L768,288)-MAX('Activities'!K768,282))</x:f>
        <x:v>0</x:v>
      </x:c>
      <x:c r="BA768" s="22" t="n">
        <x:f>MAX(0,MIN('Activities'!L768,294)-MAX('Activities'!K768,288))</x:f>
        <x:v>0</x:v>
      </x:c>
      <x:c r="BB768" s="22" t="n">
        <x:f>MAX(0,MIN('Activities'!L768,300)-MAX('Activities'!K768,294))</x:f>
        <x:v>0</x:v>
      </x:c>
      <x:c r="BC768" s="22" t="n">
        <x:f>MAX(0,MIN('Activities'!L768,306)-MAX('Activities'!K768,300))</x:f>
        <x:v>0</x:v>
      </x:c>
      <x:c r="BD768" s="22" t="n">
        <x:f>MAX(0,MIN('Activities'!L768,312)-MAX('Activities'!K768,306))</x:f>
        <x:v>0</x:v>
      </x:c>
      <x:c r="BE768" s="22" t="n">
        <x:f>MAX(0,MIN('Activities'!L768,318)-MAX('Activities'!K768,312))</x:f>
        <x:v>0</x:v>
      </x:c>
      <x:c r="BF768" s="22" t="n">
        <x:f>MAX(0,MIN('Activities'!L768,324)-MAX('Activities'!K768,318))</x:f>
        <x:v>0</x:v>
      </x:c>
      <x:c r="BG768" s="22" t="n">
        <x:f>MAX(0,MIN('Activities'!L768,330)-MAX('Activities'!K768,324))</x:f>
        <x:v>0</x:v>
      </x:c>
      <x:c r="BH768" s="22" t="n">
        <x:f>MAX(0,MIN('Activities'!L768,336)-MAX('Activities'!K768,330))</x:f>
        <x:v>0</x:v>
      </x:c>
      <x:c r="BI768" s="22" t="n">
        <x:f>MAX(0,MIN('Activities'!L768,342)-MAX('Activities'!K768,336))</x:f>
        <x:v>0</x:v>
      </x:c>
      <x:c r="BJ768" s="22" t="n">
        <x:f>MAX(0,MIN('Activities'!L768,348)-MAX('Activities'!K768,342))</x:f>
        <x:v>0</x:v>
      </x:c>
      <x:c r="BK768" s="22" t="n">
        <x:f>MAX(0,MIN('Activities'!L768,354)-MAX('Activities'!K768,348))</x:f>
        <x:v>0</x:v>
      </x:c>
      <x:c r="BL768" s="22" t="n">
        <x:f>MAX(0,MIN('Activities'!L768,360)-MAX('Activities'!K768,354))</x:f>
        <x:v>0</x:v>
      </x:c>
      <x:c r="BM768" s="22" t="n">
        <x:f>MAX(0,MIN('Activities'!L768,366)-MAX('Activities'!K768,360))</x:f>
        <x:v>0</x:v>
      </x:c>
      <x:c r="BN768" s="22" t="n">
        <x:f>MAX(0,MIN('Activities'!L768,372)-MAX('Activities'!K768,366))</x:f>
        <x:v>0</x:v>
      </x:c>
      <x:c r="BO768" s="22" t="n">
        <x:f>MAX(0,MIN('Activities'!L768,378)-MAX('Activities'!K768,372))</x:f>
        <x:v>1</x:v>
      </x:c>
      <x:c r="BP768" s="22" t="n">
        <x:f>MAX(0,MIN('Activities'!L768,384)-MAX('Activities'!K768,378))</x:f>
        <x:v>2</x:v>
      </x:c>
      <x:c r="BQ768" s="22" t="n">
        <x:f>MAX(0,MIN('Activities'!L768,390)-MAX('Activities'!K768,384))</x:f>
        <x:v>0</x:v>
      </x:c>
      <x:c r="BR768" s="22" t="n">
        <x:f>MAX(0,MIN('Activities'!L768,396)-MAX('Activities'!K768,390))</x:f>
        <x:v>0</x:v>
      </x:c>
      <x:c r="BS768" s="22" t="n">
        <x:f>MAX(0,MIN('Activities'!L768,402)-MAX('Activities'!K768,396))</x:f>
        <x:v>0</x:v>
      </x:c>
      <x:c r="BT768" s="22" t="n">
        <x:f>MAX(0,MIN('Activities'!L768,408)-MAX('Activities'!K768,402))</x:f>
        <x:v>0</x:v>
      </x:c>
      <x:c r="BU768" s="22" t="n">
        <x:f>MAX(0,MIN('Activities'!L768,414)-MAX('Activities'!K768,408))</x:f>
        <x:v>0</x:v>
      </x:c>
      <x:c r="BV768" s="22" t="n">
        <x:f>MAX(0,MIN('Activities'!L768,420)-MAX('Activities'!K768,414))</x:f>
        <x:v>0</x:v>
      </x:c>
      <x:c r="BW768" s="22" t="n">
        <x:f>MAX(0,MIN('Activities'!L768,426)-MAX('Activities'!K768,420))</x:f>
        <x:v>0</x:v>
      </x:c>
      <x:c r="BX768" s="22" t="n">
        <x:f>MAX(0,MIN('Activities'!L768,432)-MAX('Activities'!K768,426))</x:f>
        <x:v>0</x:v>
      </x:c>
      <x:c r="BY768" s="22" t="n">
        <x:f>MAX(0,MIN('Activities'!L768,438)-MAX('Activities'!K768,432))</x:f>
        <x:v>0</x:v>
      </x:c>
      <x:c r="BZ768" s="22" t="n">
        <x:f>MAX(0,MIN('Activities'!L768,444)-MAX('Activities'!K768,438))</x:f>
        <x:v>0</x:v>
      </x:c>
      <x:c r="CA768" s="22" t="n">
        <x:f>MAX(0,MIN('Activities'!L768,450)-MAX('Activities'!K768,444))</x:f>
        <x:v>0</x:v>
      </x:c>
      <x:c r="CB768" s="22" t="n">
        <x:f>MAX(0,MIN('Activities'!L768,456)-MAX('Activities'!K768,450))</x:f>
        <x:v>0</x:v>
      </x:c>
      <x:c r="CC768" s="22" t="n">
        <x:f>MAX(0,MIN('Activities'!L768,462)-MAX('Activities'!K768,456))</x:f>
        <x:v>0</x:v>
      </x:c>
      <x:c r="CD768" s="22" t="n">
        <x:f>MAX(0,MIN('Activities'!L768,468)-MAX('Activities'!K768,462))</x:f>
        <x:v>0</x:v>
      </x:c>
      <x:c r="CE768" s="22" t="n">
        <x:f>MAX(0,MIN('Activities'!L768,474)-MAX('Activities'!K768,468))</x:f>
        <x:v>0</x:v>
      </x:c>
      <x:c r="CF768" s="22" t="n">
        <x:f>MAX(0,MIN('Activities'!L768,480)-MAX('Activities'!K768,474))</x:f>
        <x:v>0</x:v>
      </x:c>
      <x:c r="CG768" s="22" t="n">
        <x:f>MAX(0,MIN('Activities'!L768,486)-MAX('Activities'!K768,480))</x:f>
        <x:v>0</x:v>
      </x:c>
      <x:c r="CH768" s="22" t="n">
        <x:f>MAX(0,MIN('Activities'!L768,492)-MAX('Activities'!K768,486))</x:f>
        <x:v>0</x:v>
      </x:c>
      <x:c r="CI768" s="22" t="n">
        <x:f>MAX(0,MIN('Activities'!L768,498)-MAX('Activities'!K768,492))</x:f>
        <x:v>0</x:v>
      </x:c>
      <x:c r="CJ768" s="22" t="n">
        <x:f>MAX(0,MIN('Activities'!L768,504)-MAX('Activities'!K768,498))</x:f>
        <x:v>0</x:v>
      </x:c>
      <x:c r="CK768" s="22" t="n">
        <x:f>MAX(0,MIN('Activities'!L768,510)-MAX('Activities'!K768,504))</x:f>
        <x:v>0</x:v>
      </x:c>
      <x:c r="CL768" s="22" t="n">
        <x:f>MAX(0,MIN('Activities'!L768,516)-MAX('Activities'!K768,510))</x:f>
        <x:v>0</x:v>
      </x:c>
      <x:c r="CM768" s="22" t="n">
        <x:f>MAX(0,MIN('Activities'!L768,522)-MAX('Activities'!K768,516))</x:f>
        <x:v>0</x:v>
      </x:c>
      <x:c r="CN768" s="22" t="n">
        <x:f>MAX(0,MIN('Activities'!L768,528)-MAX('Activities'!K768,522))</x:f>
        <x:v>0</x:v>
      </x:c>
      <x:c r="CO768" s="22" t="n">
        <x:f>MAX(0,MIN('Activities'!L768,534)-MAX('Activities'!K768,528))</x:f>
        <x:v>0</x:v>
      </x:c>
      <x:c r="CP768" s="22" t="n">
        <x:f>MAX(0,MIN('Activities'!L768,540)-MAX('Activities'!K768,534))</x:f>
        <x:v>0</x:v>
      </x:c>
      <x:c r="CQ768" s="22" t="n">
        <x:f>MAX(0,MIN('Activities'!L768,546)-MAX('Activities'!K768,540))</x:f>
        <x:v>0</x:v>
      </x:c>
      <x:c r="CR768" s="22" t="n">
        <x:f>MAX(0,MIN('Activities'!L768,552)-MAX('Activities'!K768,546))</x:f>
        <x:v>0</x:v>
      </x:c>
      <x:c r="CS768" s="22" t="n">
        <x:f>MAX(0,MIN('Activities'!L768,558)-MAX('Activities'!K768,552))</x:f>
        <x:v>0</x:v>
      </x:c>
      <x:c r="CT768" s="22" t="n">
        <x:f>MAX(0,MIN('Activities'!L768,564)-MAX('Activities'!K768,558))</x:f>
        <x:v>0</x:v>
      </x:c>
      <x:c r="CU768" s="22" t="n">
        <x:f>MAX(0,MIN('Activities'!L768,570)-MAX('Activities'!K768,564))</x:f>
        <x:v>0</x:v>
      </x:c>
      <x:c r="CV768" s="22" t="n">
        <x:f>MAX(0,MIN('Activities'!L768,576)-MAX('Activities'!K768,570))</x:f>
        <x:v>0</x:v>
      </x:c>
      <x:c r="CW768" s="22" t="n">
        <x:f>MAX(0,MIN('Activities'!L768,582)-MAX('Activities'!K768,576))</x:f>
        <x:v>0</x:v>
      </x:c>
      <x:c r="CX768" s="22" t="n">
        <x:f>MAX(0,MIN('Activities'!L768,588)-MAX('Activities'!K768,582))</x:f>
        <x:v>0</x:v>
      </x:c>
      <x:c r="CY768" s="22" t="n">
        <x:f>MAX(0,MIN('Activities'!L768,594)-MAX('Activities'!K768,588))</x:f>
        <x:v>0</x:v>
      </x:c>
      <x:c r="CZ768" s="22" t="n">
        <x:f>MAX(0,MIN('Activities'!L768,600)-MAX('Activities'!K768,594))</x:f>
        <x:v>0</x:v>
      </x:c>
      <x:c r="DA768" s="22" t="n">
        <x:f>MAX(0,MIN('Activities'!L768,606)-MAX('Activities'!K768,600))</x:f>
        <x:v>0</x:v>
      </x:c>
      <x:c r="DB768" s="22" t="n">
        <x:f>MAX(0,MIN('Activities'!L768,612)-MAX('Activities'!K768,606))</x:f>
        <x:v>0</x:v>
      </x:c>
      <x:c r="DC768" s="22" t="n">
        <x:f>MAX(0,MIN('Activities'!L768,618)-MAX('Activities'!K768,612))</x:f>
        <x:v>0</x:v>
      </x:c>
      <x:c r="DD768" s="22" t="n">
        <x:f>MAX(0,MIN('Activities'!L768,624)-MAX('Activities'!K768,618))</x:f>
        <x:v>0</x:v>
      </x:c>
      <x:c r="DE768" s="22" t="n">
        <x:f>MAX(0,MIN('Activities'!L768,630)-MAX('Activities'!K768,624))</x:f>
        <x:v>0</x:v>
      </x:c>
      <x:c r="DF768" s="22" t="n">
        <x:f>MAX(0,MIN('Activities'!L768,636)-MAX('Activities'!K768,630))</x:f>
        <x:v>0</x:v>
      </x:c>
    </x:row>
    <x:row r="769" ht="23" customHeight="1">
      <x:c r="A769" s="1" t="str">
        <x:v>T6-L05-T</x:v>
      </x:c>
      <x:c r="B769" s="1" t="str">
        <x:v>T6</x:v>
      </x:c>
      <x:c r="C769" s="1" t="str">
        <x:v>Floor finishes and skirtings</x:v>
      </x:c>
      <x:c r="D769" s="1" t="str">
        <x:v>Finishes</x:v>
      </x:c>
      <x:c r="E769" s="23" t="n">
        <x:f>MAX(0,MIN('Activities'!L769,6)-MAX('Activities'!K769,0))</x:f>
        <x:v>0</x:v>
      </x:c>
      <x:c r="F769" s="23" t="n">
        <x:f>MAX(0,MIN('Activities'!L769,12)-MAX('Activities'!K769,6))</x:f>
        <x:v>0</x:v>
      </x:c>
      <x:c r="G769" s="23" t="n">
        <x:f>MAX(0,MIN('Activities'!L769,18)-MAX('Activities'!K769,12))</x:f>
        <x:v>0</x:v>
      </x:c>
      <x:c r="H769" s="23" t="n">
        <x:f>MAX(0,MIN('Activities'!L769,24)-MAX('Activities'!K769,18))</x:f>
        <x:v>0</x:v>
      </x:c>
      <x:c r="I769" s="23" t="n">
        <x:f>MAX(0,MIN('Activities'!L769,30)-MAX('Activities'!K769,24))</x:f>
        <x:v>0</x:v>
      </x:c>
      <x:c r="J769" s="23" t="n">
        <x:f>MAX(0,MIN('Activities'!L769,36)-MAX('Activities'!K769,30))</x:f>
        <x:v>0</x:v>
      </x:c>
      <x:c r="K769" s="23" t="n">
        <x:f>MAX(0,MIN('Activities'!L769,42)-MAX('Activities'!K769,36))</x:f>
        <x:v>0</x:v>
      </x:c>
      <x:c r="L769" s="23" t="n">
        <x:f>MAX(0,MIN('Activities'!L769,48)-MAX('Activities'!K769,42))</x:f>
        <x:v>0</x:v>
      </x:c>
      <x:c r="M769" s="23" t="n">
        <x:f>MAX(0,MIN('Activities'!L769,54)-MAX('Activities'!K769,48))</x:f>
        <x:v>0</x:v>
      </x:c>
      <x:c r="N769" s="23" t="n">
        <x:f>MAX(0,MIN('Activities'!L769,60)-MAX('Activities'!K769,54))</x:f>
        <x:v>0</x:v>
      </x:c>
      <x:c r="O769" s="23" t="n">
        <x:f>MAX(0,MIN('Activities'!L769,66)-MAX('Activities'!K769,60))</x:f>
        <x:v>0</x:v>
      </x:c>
      <x:c r="P769" s="23" t="n">
        <x:f>MAX(0,MIN('Activities'!L769,72)-MAX('Activities'!K769,66))</x:f>
        <x:v>0</x:v>
      </x:c>
      <x:c r="Q769" s="23" t="n">
        <x:f>MAX(0,MIN('Activities'!L769,78)-MAX('Activities'!K769,72))</x:f>
        <x:v>0</x:v>
      </x:c>
      <x:c r="R769" s="23" t="n">
        <x:f>MAX(0,MIN('Activities'!L769,84)-MAX('Activities'!K769,78))</x:f>
        <x:v>0</x:v>
      </x:c>
      <x:c r="S769" s="23" t="n">
        <x:f>MAX(0,MIN('Activities'!L769,90)-MAX('Activities'!K769,84))</x:f>
        <x:v>0</x:v>
      </x:c>
      <x:c r="T769" s="23" t="n">
        <x:f>MAX(0,MIN('Activities'!L769,96)-MAX('Activities'!K769,90))</x:f>
        <x:v>0</x:v>
      </x:c>
      <x:c r="U769" s="23" t="n">
        <x:f>MAX(0,MIN('Activities'!L769,102)-MAX('Activities'!K769,96))</x:f>
        <x:v>0</x:v>
      </x:c>
      <x:c r="V769" s="23" t="n">
        <x:f>MAX(0,MIN('Activities'!L769,108)-MAX('Activities'!K769,102))</x:f>
        <x:v>0</x:v>
      </x:c>
      <x:c r="W769" s="23" t="n">
        <x:f>MAX(0,MIN('Activities'!L769,114)-MAX('Activities'!K769,108))</x:f>
        <x:v>0</x:v>
      </x:c>
      <x:c r="X769" s="23" t="n">
        <x:f>MAX(0,MIN('Activities'!L769,120)-MAX('Activities'!K769,114))</x:f>
        <x:v>0</x:v>
      </x:c>
      <x:c r="Y769" s="23" t="n">
        <x:f>MAX(0,MIN('Activities'!L769,126)-MAX('Activities'!K769,120))</x:f>
        <x:v>0</x:v>
      </x:c>
      <x:c r="Z769" s="23" t="n">
        <x:f>MAX(0,MIN('Activities'!L769,132)-MAX('Activities'!K769,126))</x:f>
        <x:v>0</x:v>
      </x:c>
      <x:c r="AA769" s="23" t="n">
        <x:f>MAX(0,MIN('Activities'!L769,138)-MAX('Activities'!K769,132))</x:f>
        <x:v>0</x:v>
      </x:c>
      <x:c r="AB769" s="23" t="n">
        <x:f>MAX(0,MIN('Activities'!L769,144)-MAX('Activities'!K769,138))</x:f>
        <x:v>0</x:v>
      </x:c>
      <x:c r="AC769" s="23" t="n">
        <x:f>MAX(0,MIN('Activities'!L769,150)-MAX('Activities'!K769,144))</x:f>
        <x:v>0</x:v>
      </x:c>
      <x:c r="AD769" s="23" t="n">
        <x:f>MAX(0,MIN('Activities'!L769,156)-MAX('Activities'!K769,150))</x:f>
        <x:v>0</x:v>
      </x:c>
      <x:c r="AE769" s="23" t="n">
        <x:f>MAX(0,MIN('Activities'!L769,162)-MAX('Activities'!K769,156))</x:f>
        <x:v>0</x:v>
      </x:c>
      <x:c r="AF769" s="23" t="n">
        <x:f>MAX(0,MIN('Activities'!L769,168)-MAX('Activities'!K769,162))</x:f>
        <x:v>0</x:v>
      </x:c>
      <x:c r="AG769" s="23" t="n">
        <x:f>MAX(0,MIN('Activities'!L769,174)-MAX('Activities'!K769,168))</x:f>
        <x:v>0</x:v>
      </x:c>
      <x:c r="AH769" s="23" t="n">
        <x:f>MAX(0,MIN('Activities'!L769,180)-MAX('Activities'!K769,174))</x:f>
        <x:v>0</x:v>
      </x:c>
      <x:c r="AI769" s="23" t="n">
        <x:f>MAX(0,MIN('Activities'!L769,186)-MAX('Activities'!K769,180))</x:f>
        <x:v>0</x:v>
      </x:c>
      <x:c r="AJ769" s="23" t="n">
        <x:f>MAX(0,MIN('Activities'!L769,192)-MAX('Activities'!K769,186))</x:f>
        <x:v>0</x:v>
      </x:c>
      <x:c r="AK769" s="23" t="n">
        <x:f>MAX(0,MIN('Activities'!L769,198)-MAX('Activities'!K769,192))</x:f>
        <x:v>0</x:v>
      </x:c>
      <x:c r="AL769" s="23" t="n">
        <x:f>MAX(0,MIN('Activities'!L769,204)-MAX('Activities'!K769,198))</x:f>
        <x:v>0</x:v>
      </x:c>
      <x:c r="AM769" s="23" t="n">
        <x:f>MAX(0,MIN('Activities'!L769,210)-MAX('Activities'!K769,204))</x:f>
        <x:v>0</x:v>
      </x:c>
      <x:c r="AN769" s="23" t="n">
        <x:f>MAX(0,MIN('Activities'!L769,216)-MAX('Activities'!K769,210))</x:f>
        <x:v>0</x:v>
      </x:c>
      <x:c r="AO769" s="23" t="n">
        <x:f>MAX(0,MIN('Activities'!L769,222)-MAX('Activities'!K769,216))</x:f>
        <x:v>0</x:v>
      </x:c>
      <x:c r="AP769" s="23" t="n">
        <x:f>MAX(0,MIN('Activities'!L769,228)-MAX('Activities'!K769,222))</x:f>
        <x:v>0</x:v>
      </x:c>
      <x:c r="AQ769" s="23" t="n">
        <x:f>MAX(0,MIN('Activities'!L769,234)-MAX('Activities'!K769,228))</x:f>
        <x:v>0</x:v>
      </x:c>
      <x:c r="AR769" s="23" t="n">
        <x:f>MAX(0,MIN('Activities'!L769,240)-MAX('Activities'!K769,234))</x:f>
        <x:v>0</x:v>
      </x:c>
      <x:c r="AS769" s="23" t="n">
        <x:f>MAX(0,MIN('Activities'!L769,246)-MAX('Activities'!K769,240))</x:f>
        <x:v>0</x:v>
      </x:c>
      <x:c r="AT769" s="23" t="n">
        <x:f>MAX(0,MIN('Activities'!L769,252)-MAX('Activities'!K769,246))</x:f>
        <x:v>0</x:v>
      </x:c>
      <x:c r="AU769" s="23" t="n">
        <x:f>MAX(0,MIN('Activities'!L769,258)-MAX('Activities'!K769,252))</x:f>
        <x:v>0</x:v>
      </x:c>
      <x:c r="AV769" s="23" t="n">
        <x:f>MAX(0,MIN('Activities'!L769,264)-MAX('Activities'!K769,258))</x:f>
        <x:v>0</x:v>
      </x:c>
      <x:c r="AW769" s="23" t="n">
        <x:f>MAX(0,MIN('Activities'!L769,270)-MAX('Activities'!K769,264))</x:f>
        <x:v>0</x:v>
      </x:c>
      <x:c r="AX769" s="23" t="n">
        <x:f>MAX(0,MIN('Activities'!L769,276)-MAX('Activities'!K769,270))</x:f>
        <x:v>0</x:v>
      </x:c>
      <x:c r="AY769" s="23" t="n">
        <x:f>MAX(0,MIN('Activities'!L769,282)-MAX('Activities'!K769,276))</x:f>
        <x:v>0</x:v>
      </x:c>
      <x:c r="AZ769" s="23" t="n">
        <x:f>MAX(0,MIN('Activities'!L769,288)-MAX('Activities'!K769,282))</x:f>
        <x:v>0</x:v>
      </x:c>
      <x:c r="BA769" s="23" t="n">
        <x:f>MAX(0,MIN('Activities'!L769,294)-MAX('Activities'!K769,288))</x:f>
        <x:v>0</x:v>
      </x:c>
      <x:c r="BB769" s="23" t="n">
        <x:f>MAX(0,MIN('Activities'!L769,300)-MAX('Activities'!K769,294))</x:f>
        <x:v>0</x:v>
      </x:c>
      <x:c r="BC769" s="23" t="n">
        <x:f>MAX(0,MIN('Activities'!L769,306)-MAX('Activities'!K769,300))</x:f>
        <x:v>0</x:v>
      </x:c>
      <x:c r="BD769" s="23" t="n">
        <x:f>MAX(0,MIN('Activities'!L769,312)-MAX('Activities'!K769,306))</x:f>
        <x:v>0</x:v>
      </x:c>
      <x:c r="BE769" s="23" t="n">
        <x:f>MAX(0,MIN('Activities'!L769,318)-MAX('Activities'!K769,312))</x:f>
        <x:v>0</x:v>
      </x:c>
      <x:c r="BF769" s="23" t="n">
        <x:f>MAX(0,MIN('Activities'!L769,324)-MAX('Activities'!K769,318))</x:f>
        <x:v>0</x:v>
      </x:c>
      <x:c r="BG769" s="23" t="n">
        <x:f>MAX(0,MIN('Activities'!L769,330)-MAX('Activities'!K769,324))</x:f>
        <x:v>0</x:v>
      </x:c>
      <x:c r="BH769" s="23" t="n">
        <x:f>MAX(0,MIN('Activities'!L769,336)-MAX('Activities'!K769,330))</x:f>
        <x:v>0</x:v>
      </x:c>
      <x:c r="BI769" s="23" t="n">
        <x:f>MAX(0,MIN('Activities'!L769,342)-MAX('Activities'!K769,336))</x:f>
        <x:v>0</x:v>
      </x:c>
      <x:c r="BJ769" s="23" t="n">
        <x:f>MAX(0,MIN('Activities'!L769,348)-MAX('Activities'!K769,342))</x:f>
        <x:v>0</x:v>
      </x:c>
      <x:c r="BK769" s="23" t="n">
        <x:f>MAX(0,MIN('Activities'!L769,354)-MAX('Activities'!K769,348))</x:f>
        <x:v>0</x:v>
      </x:c>
      <x:c r="BL769" s="23" t="n">
        <x:f>MAX(0,MIN('Activities'!L769,360)-MAX('Activities'!K769,354))</x:f>
        <x:v>0</x:v>
      </x:c>
      <x:c r="BM769" s="23" t="n">
        <x:f>MAX(0,MIN('Activities'!L769,366)-MAX('Activities'!K769,360))</x:f>
        <x:v>0</x:v>
      </x:c>
      <x:c r="BN769" s="23" t="n">
        <x:f>MAX(0,MIN('Activities'!L769,372)-MAX('Activities'!K769,366))</x:f>
        <x:v>0</x:v>
      </x:c>
      <x:c r="BO769" s="23" t="n">
        <x:f>MAX(0,MIN('Activities'!L769,378)-MAX('Activities'!K769,372))</x:f>
        <x:v>0</x:v>
      </x:c>
      <x:c r="BP769" s="23" t="n">
        <x:f>MAX(0,MIN('Activities'!L769,384)-MAX('Activities'!K769,378))</x:f>
        <x:v>0</x:v>
      </x:c>
      <x:c r="BQ769" s="23" t="n">
        <x:f>MAX(0,MIN('Activities'!L769,390)-MAX('Activities'!K769,384))</x:f>
        <x:v>0</x:v>
      </x:c>
      <x:c r="BR769" s="23" t="n">
        <x:f>MAX(0,MIN('Activities'!L769,396)-MAX('Activities'!K769,390))</x:f>
        <x:v>0</x:v>
      </x:c>
      <x:c r="BS769" s="23" t="n">
        <x:f>MAX(0,MIN('Activities'!L769,402)-MAX('Activities'!K769,396))</x:f>
        <x:v>0</x:v>
      </x:c>
      <x:c r="BT769" s="23" t="n">
        <x:f>MAX(0,MIN('Activities'!L769,408)-MAX('Activities'!K769,402))</x:f>
        <x:v>0</x:v>
      </x:c>
      <x:c r="BU769" s="23" t="n">
        <x:f>MAX(0,MIN('Activities'!L769,414)-MAX('Activities'!K769,408))</x:f>
        <x:v>0</x:v>
      </x:c>
      <x:c r="BV769" s="23" t="n">
        <x:f>MAX(0,MIN('Activities'!L769,420)-MAX('Activities'!K769,414))</x:f>
        <x:v>0</x:v>
      </x:c>
      <x:c r="BW769" s="23" t="n">
        <x:f>MAX(0,MIN('Activities'!L769,426)-MAX('Activities'!K769,420))</x:f>
        <x:v>0</x:v>
      </x:c>
      <x:c r="BX769" s="23" t="n">
        <x:f>MAX(0,MIN('Activities'!L769,432)-MAX('Activities'!K769,426))</x:f>
        <x:v>0</x:v>
      </x:c>
      <x:c r="BY769" s="23" t="n">
        <x:f>MAX(0,MIN('Activities'!L769,438)-MAX('Activities'!K769,432))</x:f>
        <x:v>0</x:v>
      </x:c>
      <x:c r="BZ769" s="23" t="n">
        <x:f>MAX(0,MIN('Activities'!L769,444)-MAX('Activities'!K769,438))</x:f>
        <x:v>0</x:v>
      </x:c>
      <x:c r="CA769" s="23" t="n">
        <x:f>MAX(0,MIN('Activities'!L769,450)-MAX('Activities'!K769,444))</x:f>
        <x:v>0</x:v>
      </x:c>
      <x:c r="CB769" s="23" t="n">
        <x:f>MAX(0,MIN('Activities'!L769,456)-MAX('Activities'!K769,450))</x:f>
        <x:v>0</x:v>
      </x:c>
      <x:c r="CC769" s="23" t="n">
        <x:f>MAX(0,MIN('Activities'!L769,462)-MAX('Activities'!K769,456))</x:f>
        <x:v>1</x:v>
      </x:c>
      <x:c r="CD769" s="23" t="n">
        <x:f>MAX(0,MIN('Activities'!L769,468)-MAX('Activities'!K769,462))</x:f>
        <x:v>5</x:v>
      </x:c>
      <x:c r="CE769" s="23" t="n">
        <x:f>MAX(0,MIN('Activities'!L769,474)-MAX('Activities'!K769,468))</x:f>
        <x:v>0</x:v>
      </x:c>
      <x:c r="CF769" s="23" t="n">
        <x:f>MAX(0,MIN('Activities'!L769,480)-MAX('Activities'!K769,474))</x:f>
        <x:v>0</x:v>
      </x:c>
      <x:c r="CG769" s="23" t="n">
        <x:f>MAX(0,MIN('Activities'!L769,486)-MAX('Activities'!K769,480))</x:f>
        <x:v>0</x:v>
      </x:c>
      <x:c r="CH769" s="23" t="n">
        <x:f>MAX(0,MIN('Activities'!L769,492)-MAX('Activities'!K769,486))</x:f>
        <x:v>0</x:v>
      </x:c>
      <x:c r="CI769" s="23" t="n">
        <x:f>MAX(0,MIN('Activities'!L769,498)-MAX('Activities'!K769,492))</x:f>
        <x:v>0</x:v>
      </x:c>
      <x:c r="CJ769" s="23" t="n">
        <x:f>MAX(0,MIN('Activities'!L769,504)-MAX('Activities'!K769,498))</x:f>
        <x:v>0</x:v>
      </x:c>
      <x:c r="CK769" s="23" t="n">
        <x:f>MAX(0,MIN('Activities'!L769,510)-MAX('Activities'!K769,504))</x:f>
        <x:v>0</x:v>
      </x:c>
      <x:c r="CL769" s="23" t="n">
        <x:f>MAX(0,MIN('Activities'!L769,516)-MAX('Activities'!K769,510))</x:f>
        <x:v>0</x:v>
      </x:c>
      <x:c r="CM769" s="23" t="n">
        <x:f>MAX(0,MIN('Activities'!L769,522)-MAX('Activities'!K769,516))</x:f>
        <x:v>0</x:v>
      </x:c>
      <x:c r="CN769" s="23" t="n">
        <x:f>MAX(0,MIN('Activities'!L769,528)-MAX('Activities'!K769,522))</x:f>
        <x:v>0</x:v>
      </x:c>
      <x:c r="CO769" s="23" t="n">
        <x:f>MAX(0,MIN('Activities'!L769,534)-MAX('Activities'!K769,528))</x:f>
        <x:v>0</x:v>
      </x:c>
      <x:c r="CP769" s="23" t="n">
        <x:f>MAX(0,MIN('Activities'!L769,540)-MAX('Activities'!K769,534))</x:f>
        <x:v>0</x:v>
      </x:c>
      <x:c r="CQ769" s="23" t="n">
        <x:f>MAX(0,MIN('Activities'!L769,546)-MAX('Activities'!K769,540))</x:f>
        <x:v>0</x:v>
      </x:c>
      <x:c r="CR769" s="23" t="n">
        <x:f>MAX(0,MIN('Activities'!L769,552)-MAX('Activities'!K769,546))</x:f>
        <x:v>0</x:v>
      </x:c>
      <x:c r="CS769" s="23" t="n">
        <x:f>MAX(0,MIN('Activities'!L769,558)-MAX('Activities'!K769,552))</x:f>
        <x:v>0</x:v>
      </x:c>
      <x:c r="CT769" s="23" t="n">
        <x:f>MAX(0,MIN('Activities'!L769,564)-MAX('Activities'!K769,558))</x:f>
        <x:v>0</x:v>
      </x:c>
      <x:c r="CU769" s="23" t="n">
        <x:f>MAX(0,MIN('Activities'!L769,570)-MAX('Activities'!K769,564))</x:f>
        <x:v>0</x:v>
      </x:c>
      <x:c r="CV769" s="23" t="n">
        <x:f>MAX(0,MIN('Activities'!L769,576)-MAX('Activities'!K769,570))</x:f>
        <x:v>0</x:v>
      </x:c>
      <x:c r="CW769" s="23" t="n">
        <x:f>MAX(0,MIN('Activities'!L769,582)-MAX('Activities'!K769,576))</x:f>
        <x:v>0</x:v>
      </x:c>
      <x:c r="CX769" s="23" t="n">
        <x:f>MAX(0,MIN('Activities'!L769,588)-MAX('Activities'!K769,582))</x:f>
        <x:v>0</x:v>
      </x:c>
      <x:c r="CY769" s="23" t="n">
        <x:f>MAX(0,MIN('Activities'!L769,594)-MAX('Activities'!K769,588))</x:f>
        <x:v>0</x:v>
      </x:c>
      <x:c r="CZ769" s="23" t="n">
        <x:f>MAX(0,MIN('Activities'!L769,600)-MAX('Activities'!K769,594))</x:f>
        <x:v>0</x:v>
      </x:c>
      <x:c r="DA769" s="23" t="n">
        <x:f>MAX(0,MIN('Activities'!L769,606)-MAX('Activities'!K769,600))</x:f>
        <x:v>0</x:v>
      </x:c>
      <x:c r="DB769" s="23" t="n">
        <x:f>MAX(0,MIN('Activities'!L769,612)-MAX('Activities'!K769,606))</x:f>
        <x:v>0</x:v>
      </x:c>
      <x:c r="DC769" s="23" t="n">
        <x:f>MAX(0,MIN('Activities'!L769,618)-MAX('Activities'!K769,612))</x:f>
        <x:v>0</x:v>
      </x:c>
      <x:c r="DD769" s="23" t="n">
        <x:f>MAX(0,MIN('Activities'!L769,624)-MAX('Activities'!K769,618))</x:f>
        <x:v>0</x:v>
      </x:c>
      <x:c r="DE769" s="23" t="n">
        <x:f>MAX(0,MIN('Activities'!L769,630)-MAX('Activities'!K769,624))</x:f>
        <x:v>0</x:v>
      </x:c>
      <x:c r="DF769" s="23" t="n">
        <x:f>MAX(0,MIN('Activities'!L769,636)-MAX('Activities'!K769,630))</x:f>
        <x:v>0</x:v>
      </x:c>
    </x:row>
    <x:row r="770" ht="23" customHeight="1">
      <x:c r="A770" s="6" t="str">
        <x:v>T6-L05-A</x:v>
      </x:c>
      <x:c r="B770" s="6" t="str">
        <x:v>T6</x:v>
      </x:c>
      <x:c r="C770" s="6" t="str">
        <x:v>Paint and final decorations</x:v>
      </x:c>
      <x:c r="D770" s="6" t="str">
        <x:v>Finishes</x:v>
      </x:c>
      <x:c r="E770" s="22" t="n">
        <x:f>MAX(0,MIN('Activities'!L770,6)-MAX('Activities'!K770,0))</x:f>
        <x:v>0</x:v>
      </x:c>
      <x:c r="F770" s="22" t="n">
        <x:f>MAX(0,MIN('Activities'!L770,12)-MAX('Activities'!K770,6))</x:f>
        <x:v>0</x:v>
      </x:c>
      <x:c r="G770" s="22" t="n">
        <x:f>MAX(0,MIN('Activities'!L770,18)-MAX('Activities'!K770,12))</x:f>
        <x:v>0</x:v>
      </x:c>
      <x:c r="H770" s="22" t="n">
        <x:f>MAX(0,MIN('Activities'!L770,24)-MAX('Activities'!K770,18))</x:f>
        <x:v>0</x:v>
      </x:c>
      <x:c r="I770" s="22" t="n">
        <x:f>MAX(0,MIN('Activities'!L770,30)-MAX('Activities'!K770,24))</x:f>
        <x:v>0</x:v>
      </x:c>
      <x:c r="J770" s="22" t="n">
        <x:f>MAX(0,MIN('Activities'!L770,36)-MAX('Activities'!K770,30))</x:f>
        <x:v>0</x:v>
      </x:c>
      <x:c r="K770" s="22" t="n">
        <x:f>MAX(0,MIN('Activities'!L770,42)-MAX('Activities'!K770,36))</x:f>
        <x:v>0</x:v>
      </x:c>
      <x:c r="L770" s="22" t="n">
        <x:f>MAX(0,MIN('Activities'!L770,48)-MAX('Activities'!K770,42))</x:f>
        <x:v>0</x:v>
      </x:c>
      <x:c r="M770" s="22" t="n">
        <x:f>MAX(0,MIN('Activities'!L770,54)-MAX('Activities'!K770,48))</x:f>
        <x:v>0</x:v>
      </x:c>
      <x:c r="N770" s="22" t="n">
        <x:f>MAX(0,MIN('Activities'!L770,60)-MAX('Activities'!K770,54))</x:f>
        <x:v>0</x:v>
      </x:c>
      <x:c r="O770" s="22" t="n">
        <x:f>MAX(0,MIN('Activities'!L770,66)-MAX('Activities'!K770,60))</x:f>
        <x:v>0</x:v>
      </x:c>
      <x:c r="P770" s="22" t="n">
        <x:f>MAX(0,MIN('Activities'!L770,72)-MAX('Activities'!K770,66))</x:f>
        <x:v>0</x:v>
      </x:c>
      <x:c r="Q770" s="22" t="n">
        <x:f>MAX(0,MIN('Activities'!L770,78)-MAX('Activities'!K770,72))</x:f>
        <x:v>0</x:v>
      </x:c>
      <x:c r="R770" s="22" t="n">
        <x:f>MAX(0,MIN('Activities'!L770,84)-MAX('Activities'!K770,78))</x:f>
        <x:v>0</x:v>
      </x:c>
      <x:c r="S770" s="22" t="n">
        <x:f>MAX(0,MIN('Activities'!L770,90)-MAX('Activities'!K770,84))</x:f>
        <x:v>0</x:v>
      </x:c>
      <x:c r="T770" s="22" t="n">
        <x:f>MAX(0,MIN('Activities'!L770,96)-MAX('Activities'!K770,90))</x:f>
        <x:v>0</x:v>
      </x:c>
      <x:c r="U770" s="22" t="n">
        <x:f>MAX(0,MIN('Activities'!L770,102)-MAX('Activities'!K770,96))</x:f>
        <x:v>0</x:v>
      </x:c>
      <x:c r="V770" s="22" t="n">
        <x:f>MAX(0,MIN('Activities'!L770,108)-MAX('Activities'!K770,102))</x:f>
        <x:v>0</x:v>
      </x:c>
      <x:c r="W770" s="22" t="n">
        <x:f>MAX(0,MIN('Activities'!L770,114)-MAX('Activities'!K770,108))</x:f>
        <x:v>0</x:v>
      </x:c>
      <x:c r="X770" s="22" t="n">
        <x:f>MAX(0,MIN('Activities'!L770,120)-MAX('Activities'!K770,114))</x:f>
        <x:v>0</x:v>
      </x:c>
      <x:c r="Y770" s="22" t="n">
        <x:f>MAX(0,MIN('Activities'!L770,126)-MAX('Activities'!K770,120))</x:f>
        <x:v>0</x:v>
      </x:c>
      <x:c r="Z770" s="22" t="n">
        <x:f>MAX(0,MIN('Activities'!L770,132)-MAX('Activities'!K770,126))</x:f>
        <x:v>0</x:v>
      </x:c>
      <x:c r="AA770" s="22" t="n">
        <x:f>MAX(0,MIN('Activities'!L770,138)-MAX('Activities'!K770,132))</x:f>
        <x:v>0</x:v>
      </x:c>
      <x:c r="AB770" s="22" t="n">
        <x:f>MAX(0,MIN('Activities'!L770,144)-MAX('Activities'!K770,138))</x:f>
        <x:v>0</x:v>
      </x:c>
      <x:c r="AC770" s="22" t="n">
        <x:f>MAX(0,MIN('Activities'!L770,150)-MAX('Activities'!K770,144))</x:f>
        <x:v>0</x:v>
      </x:c>
      <x:c r="AD770" s="22" t="n">
        <x:f>MAX(0,MIN('Activities'!L770,156)-MAX('Activities'!K770,150))</x:f>
        <x:v>0</x:v>
      </x:c>
      <x:c r="AE770" s="22" t="n">
        <x:f>MAX(0,MIN('Activities'!L770,162)-MAX('Activities'!K770,156))</x:f>
        <x:v>0</x:v>
      </x:c>
      <x:c r="AF770" s="22" t="n">
        <x:f>MAX(0,MIN('Activities'!L770,168)-MAX('Activities'!K770,162))</x:f>
        <x:v>0</x:v>
      </x:c>
      <x:c r="AG770" s="22" t="n">
        <x:f>MAX(0,MIN('Activities'!L770,174)-MAX('Activities'!K770,168))</x:f>
        <x:v>0</x:v>
      </x:c>
      <x:c r="AH770" s="22" t="n">
        <x:f>MAX(0,MIN('Activities'!L770,180)-MAX('Activities'!K770,174))</x:f>
        <x:v>0</x:v>
      </x:c>
      <x:c r="AI770" s="22" t="n">
        <x:f>MAX(0,MIN('Activities'!L770,186)-MAX('Activities'!K770,180))</x:f>
        <x:v>0</x:v>
      </x:c>
      <x:c r="AJ770" s="22" t="n">
        <x:f>MAX(0,MIN('Activities'!L770,192)-MAX('Activities'!K770,186))</x:f>
        <x:v>0</x:v>
      </x:c>
      <x:c r="AK770" s="22" t="n">
        <x:f>MAX(0,MIN('Activities'!L770,198)-MAX('Activities'!K770,192))</x:f>
        <x:v>0</x:v>
      </x:c>
      <x:c r="AL770" s="22" t="n">
        <x:f>MAX(0,MIN('Activities'!L770,204)-MAX('Activities'!K770,198))</x:f>
        <x:v>0</x:v>
      </x:c>
      <x:c r="AM770" s="22" t="n">
        <x:f>MAX(0,MIN('Activities'!L770,210)-MAX('Activities'!K770,204))</x:f>
        <x:v>0</x:v>
      </x:c>
      <x:c r="AN770" s="22" t="n">
        <x:f>MAX(0,MIN('Activities'!L770,216)-MAX('Activities'!K770,210))</x:f>
        <x:v>0</x:v>
      </x:c>
      <x:c r="AO770" s="22" t="n">
        <x:f>MAX(0,MIN('Activities'!L770,222)-MAX('Activities'!K770,216))</x:f>
        <x:v>0</x:v>
      </x:c>
      <x:c r="AP770" s="22" t="n">
        <x:f>MAX(0,MIN('Activities'!L770,228)-MAX('Activities'!K770,222))</x:f>
        <x:v>0</x:v>
      </x:c>
      <x:c r="AQ770" s="22" t="n">
        <x:f>MAX(0,MIN('Activities'!L770,234)-MAX('Activities'!K770,228))</x:f>
        <x:v>0</x:v>
      </x:c>
      <x:c r="AR770" s="22" t="n">
        <x:f>MAX(0,MIN('Activities'!L770,240)-MAX('Activities'!K770,234))</x:f>
        <x:v>0</x:v>
      </x:c>
      <x:c r="AS770" s="22" t="n">
        <x:f>MAX(0,MIN('Activities'!L770,246)-MAX('Activities'!K770,240))</x:f>
        <x:v>0</x:v>
      </x:c>
      <x:c r="AT770" s="22" t="n">
        <x:f>MAX(0,MIN('Activities'!L770,252)-MAX('Activities'!K770,246))</x:f>
        <x:v>0</x:v>
      </x:c>
      <x:c r="AU770" s="22" t="n">
        <x:f>MAX(0,MIN('Activities'!L770,258)-MAX('Activities'!K770,252))</x:f>
        <x:v>0</x:v>
      </x:c>
      <x:c r="AV770" s="22" t="n">
        <x:f>MAX(0,MIN('Activities'!L770,264)-MAX('Activities'!K770,258))</x:f>
        <x:v>0</x:v>
      </x:c>
      <x:c r="AW770" s="22" t="n">
        <x:f>MAX(0,MIN('Activities'!L770,270)-MAX('Activities'!K770,264))</x:f>
        <x:v>0</x:v>
      </x:c>
      <x:c r="AX770" s="22" t="n">
        <x:f>MAX(0,MIN('Activities'!L770,276)-MAX('Activities'!K770,270))</x:f>
        <x:v>0</x:v>
      </x:c>
      <x:c r="AY770" s="22" t="n">
        <x:f>MAX(0,MIN('Activities'!L770,282)-MAX('Activities'!K770,276))</x:f>
        <x:v>0</x:v>
      </x:c>
      <x:c r="AZ770" s="22" t="n">
        <x:f>MAX(0,MIN('Activities'!L770,288)-MAX('Activities'!K770,282))</x:f>
        <x:v>0</x:v>
      </x:c>
      <x:c r="BA770" s="22" t="n">
        <x:f>MAX(0,MIN('Activities'!L770,294)-MAX('Activities'!K770,288))</x:f>
        <x:v>0</x:v>
      </x:c>
      <x:c r="BB770" s="22" t="n">
        <x:f>MAX(0,MIN('Activities'!L770,300)-MAX('Activities'!K770,294))</x:f>
        <x:v>0</x:v>
      </x:c>
      <x:c r="BC770" s="22" t="n">
        <x:f>MAX(0,MIN('Activities'!L770,306)-MAX('Activities'!K770,300))</x:f>
        <x:v>0</x:v>
      </x:c>
      <x:c r="BD770" s="22" t="n">
        <x:f>MAX(0,MIN('Activities'!L770,312)-MAX('Activities'!K770,306))</x:f>
        <x:v>0</x:v>
      </x:c>
      <x:c r="BE770" s="22" t="n">
        <x:f>MAX(0,MIN('Activities'!L770,318)-MAX('Activities'!K770,312))</x:f>
        <x:v>0</x:v>
      </x:c>
      <x:c r="BF770" s="22" t="n">
        <x:f>MAX(0,MIN('Activities'!L770,324)-MAX('Activities'!K770,318))</x:f>
        <x:v>0</x:v>
      </x:c>
      <x:c r="BG770" s="22" t="n">
        <x:f>MAX(0,MIN('Activities'!L770,330)-MAX('Activities'!K770,324))</x:f>
        <x:v>0</x:v>
      </x:c>
      <x:c r="BH770" s="22" t="n">
        <x:f>MAX(0,MIN('Activities'!L770,336)-MAX('Activities'!K770,330))</x:f>
        <x:v>0</x:v>
      </x:c>
      <x:c r="BI770" s="22" t="n">
        <x:f>MAX(0,MIN('Activities'!L770,342)-MAX('Activities'!K770,336))</x:f>
        <x:v>0</x:v>
      </x:c>
      <x:c r="BJ770" s="22" t="n">
        <x:f>MAX(0,MIN('Activities'!L770,348)-MAX('Activities'!K770,342))</x:f>
        <x:v>0</x:v>
      </x:c>
      <x:c r="BK770" s="22" t="n">
        <x:f>MAX(0,MIN('Activities'!L770,354)-MAX('Activities'!K770,348))</x:f>
        <x:v>0</x:v>
      </x:c>
      <x:c r="BL770" s="22" t="n">
        <x:f>MAX(0,MIN('Activities'!L770,360)-MAX('Activities'!K770,354))</x:f>
        <x:v>0</x:v>
      </x:c>
      <x:c r="BM770" s="22" t="n">
        <x:f>MAX(0,MIN('Activities'!L770,366)-MAX('Activities'!K770,360))</x:f>
        <x:v>0</x:v>
      </x:c>
      <x:c r="BN770" s="22" t="n">
        <x:f>MAX(0,MIN('Activities'!L770,372)-MAX('Activities'!K770,366))</x:f>
        <x:v>0</x:v>
      </x:c>
      <x:c r="BO770" s="22" t="n">
        <x:f>MAX(0,MIN('Activities'!L770,378)-MAX('Activities'!K770,372))</x:f>
        <x:v>0</x:v>
      </x:c>
      <x:c r="BP770" s="22" t="n">
        <x:f>MAX(0,MIN('Activities'!L770,384)-MAX('Activities'!K770,378))</x:f>
        <x:v>0</x:v>
      </x:c>
      <x:c r="BQ770" s="22" t="n">
        <x:f>MAX(0,MIN('Activities'!L770,390)-MAX('Activities'!K770,384))</x:f>
        <x:v>0</x:v>
      </x:c>
      <x:c r="BR770" s="22" t="n">
        <x:f>MAX(0,MIN('Activities'!L770,396)-MAX('Activities'!K770,390))</x:f>
        <x:v>0</x:v>
      </x:c>
      <x:c r="BS770" s="22" t="n">
        <x:f>MAX(0,MIN('Activities'!L770,402)-MAX('Activities'!K770,396))</x:f>
        <x:v>0</x:v>
      </x:c>
      <x:c r="BT770" s="22" t="n">
        <x:f>MAX(0,MIN('Activities'!L770,408)-MAX('Activities'!K770,402))</x:f>
        <x:v>0</x:v>
      </x:c>
      <x:c r="BU770" s="22" t="n">
        <x:f>MAX(0,MIN('Activities'!L770,414)-MAX('Activities'!K770,408))</x:f>
        <x:v>0</x:v>
      </x:c>
      <x:c r="BV770" s="22" t="n">
        <x:f>MAX(0,MIN('Activities'!L770,420)-MAX('Activities'!K770,414))</x:f>
        <x:v>0</x:v>
      </x:c>
      <x:c r="BW770" s="22" t="n">
        <x:f>MAX(0,MIN('Activities'!L770,426)-MAX('Activities'!K770,420))</x:f>
        <x:v>0</x:v>
      </x:c>
      <x:c r="BX770" s="22" t="n">
        <x:f>MAX(0,MIN('Activities'!L770,432)-MAX('Activities'!K770,426))</x:f>
        <x:v>0</x:v>
      </x:c>
      <x:c r="BY770" s="22" t="n">
        <x:f>MAX(0,MIN('Activities'!L770,438)-MAX('Activities'!K770,432))</x:f>
        <x:v>0</x:v>
      </x:c>
      <x:c r="BZ770" s="22" t="n">
        <x:f>MAX(0,MIN('Activities'!L770,444)-MAX('Activities'!K770,438))</x:f>
        <x:v>0</x:v>
      </x:c>
      <x:c r="CA770" s="22" t="n">
        <x:f>MAX(0,MIN('Activities'!L770,450)-MAX('Activities'!K770,444))</x:f>
        <x:v>0</x:v>
      </x:c>
      <x:c r="CB770" s="22" t="n">
        <x:f>MAX(0,MIN('Activities'!L770,456)-MAX('Activities'!K770,450))</x:f>
        <x:v>0</x:v>
      </x:c>
      <x:c r="CC770" s="22" t="n">
        <x:f>MAX(0,MIN('Activities'!L770,462)-MAX('Activities'!K770,456))</x:f>
        <x:v>0</x:v>
      </x:c>
      <x:c r="CD770" s="22" t="n">
        <x:f>MAX(0,MIN('Activities'!L770,468)-MAX('Activities'!K770,462))</x:f>
        <x:v>0</x:v>
      </x:c>
      <x:c r="CE770" s="22" t="n">
        <x:f>MAX(0,MIN('Activities'!L770,474)-MAX('Activities'!K770,468))</x:f>
        <x:v>5</x:v>
      </x:c>
      <x:c r="CF770" s="22" t="n">
        <x:f>MAX(0,MIN('Activities'!L770,480)-MAX('Activities'!K770,474))</x:f>
        <x:v>0</x:v>
      </x:c>
      <x:c r="CG770" s="22" t="n">
        <x:f>MAX(0,MIN('Activities'!L770,486)-MAX('Activities'!K770,480))</x:f>
        <x:v>0</x:v>
      </x:c>
      <x:c r="CH770" s="22" t="n">
        <x:f>MAX(0,MIN('Activities'!L770,492)-MAX('Activities'!K770,486))</x:f>
        <x:v>0</x:v>
      </x:c>
      <x:c r="CI770" s="22" t="n">
        <x:f>MAX(0,MIN('Activities'!L770,498)-MAX('Activities'!K770,492))</x:f>
        <x:v>0</x:v>
      </x:c>
      <x:c r="CJ770" s="22" t="n">
        <x:f>MAX(0,MIN('Activities'!L770,504)-MAX('Activities'!K770,498))</x:f>
        <x:v>0</x:v>
      </x:c>
      <x:c r="CK770" s="22" t="n">
        <x:f>MAX(0,MIN('Activities'!L770,510)-MAX('Activities'!K770,504))</x:f>
        <x:v>0</x:v>
      </x:c>
      <x:c r="CL770" s="22" t="n">
        <x:f>MAX(0,MIN('Activities'!L770,516)-MAX('Activities'!K770,510))</x:f>
        <x:v>0</x:v>
      </x:c>
      <x:c r="CM770" s="22" t="n">
        <x:f>MAX(0,MIN('Activities'!L770,522)-MAX('Activities'!K770,516))</x:f>
        <x:v>0</x:v>
      </x:c>
      <x:c r="CN770" s="22" t="n">
        <x:f>MAX(0,MIN('Activities'!L770,528)-MAX('Activities'!K770,522))</x:f>
        <x:v>0</x:v>
      </x:c>
      <x:c r="CO770" s="22" t="n">
        <x:f>MAX(0,MIN('Activities'!L770,534)-MAX('Activities'!K770,528))</x:f>
        <x:v>0</x:v>
      </x:c>
      <x:c r="CP770" s="22" t="n">
        <x:f>MAX(0,MIN('Activities'!L770,540)-MAX('Activities'!K770,534))</x:f>
        <x:v>0</x:v>
      </x:c>
      <x:c r="CQ770" s="22" t="n">
        <x:f>MAX(0,MIN('Activities'!L770,546)-MAX('Activities'!K770,540))</x:f>
        <x:v>0</x:v>
      </x:c>
      <x:c r="CR770" s="22" t="n">
        <x:f>MAX(0,MIN('Activities'!L770,552)-MAX('Activities'!K770,546))</x:f>
        <x:v>0</x:v>
      </x:c>
      <x:c r="CS770" s="22" t="n">
        <x:f>MAX(0,MIN('Activities'!L770,558)-MAX('Activities'!K770,552))</x:f>
        <x:v>0</x:v>
      </x:c>
      <x:c r="CT770" s="22" t="n">
        <x:f>MAX(0,MIN('Activities'!L770,564)-MAX('Activities'!K770,558))</x:f>
        <x:v>0</x:v>
      </x:c>
      <x:c r="CU770" s="22" t="n">
        <x:f>MAX(0,MIN('Activities'!L770,570)-MAX('Activities'!K770,564))</x:f>
        <x:v>0</x:v>
      </x:c>
      <x:c r="CV770" s="22" t="n">
        <x:f>MAX(0,MIN('Activities'!L770,576)-MAX('Activities'!K770,570))</x:f>
        <x:v>0</x:v>
      </x:c>
      <x:c r="CW770" s="22" t="n">
        <x:f>MAX(0,MIN('Activities'!L770,582)-MAX('Activities'!K770,576))</x:f>
        <x:v>0</x:v>
      </x:c>
      <x:c r="CX770" s="22" t="n">
        <x:f>MAX(0,MIN('Activities'!L770,588)-MAX('Activities'!K770,582))</x:f>
        <x:v>0</x:v>
      </x:c>
      <x:c r="CY770" s="22" t="n">
        <x:f>MAX(0,MIN('Activities'!L770,594)-MAX('Activities'!K770,588))</x:f>
        <x:v>0</x:v>
      </x:c>
      <x:c r="CZ770" s="22" t="n">
        <x:f>MAX(0,MIN('Activities'!L770,600)-MAX('Activities'!K770,594))</x:f>
        <x:v>0</x:v>
      </x:c>
      <x:c r="DA770" s="22" t="n">
        <x:f>MAX(0,MIN('Activities'!L770,606)-MAX('Activities'!K770,600))</x:f>
        <x:v>0</x:v>
      </x:c>
      <x:c r="DB770" s="22" t="n">
        <x:f>MAX(0,MIN('Activities'!L770,612)-MAX('Activities'!K770,606))</x:f>
        <x:v>0</x:v>
      </x:c>
      <x:c r="DC770" s="22" t="n">
        <x:f>MAX(0,MIN('Activities'!L770,618)-MAX('Activities'!K770,612))</x:f>
        <x:v>0</x:v>
      </x:c>
      <x:c r="DD770" s="22" t="n">
        <x:f>MAX(0,MIN('Activities'!L770,624)-MAX('Activities'!K770,618))</x:f>
        <x:v>0</x:v>
      </x:c>
      <x:c r="DE770" s="22" t="n">
        <x:f>MAX(0,MIN('Activities'!L770,630)-MAX('Activities'!K770,624))</x:f>
        <x:v>0</x:v>
      </x:c>
      <x:c r="DF770" s="22" t="n">
        <x:f>MAX(0,MIN('Activities'!L770,636)-MAX('Activities'!K770,630))</x:f>
        <x:v>0</x:v>
      </x:c>
    </x:row>
    <x:row r="771" ht="23" customHeight="1">
      <x:c r="A771" s="1" t="str">
        <x:v>T6-L05-D</x:v>
      </x:c>
      <x:c r="B771" s="1" t="str">
        <x:v>T6</x:v>
      </x:c>
      <x:c r="C771" s="1" t="str">
        <x:v>Door sets and ironmongery</x:v>
      </x:c>
      <x:c r="D771" s="1" t="str">
        <x:v>Finishes</x:v>
      </x:c>
      <x:c r="E771" s="23" t="n">
        <x:f>MAX(0,MIN('Activities'!L771,6)-MAX('Activities'!K771,0))</x:f>
        <x:v>0</x:v>
      </x:c>
      <x:c r="F771" s="23" t="n">
        <x:f>MAX(0,MIN('Activities'!L771,12)-MAX('Activities'!K771,6))</x:f>
        <x:v>0</x:v>
      </x:c>
      <x:c r="G771" s="23" t="n">
        <x:f>MAX(0,MIN('Activities'!L771,18)-MAX('Activities'!K771,12))</x:f>
        <x:v>0</x:v>
      </x:c>
      <x:c r="H771" s="23" t="n">
        <x:f>MAX(0,MIN('Activities'!L771,24)-MAX('Activities'!K771,18))</x:f>
        <x:v>0</x:v>
      </x:c>
      <x:c r="I771" s="23" t="n">
        <x:f>MAX(0,MIN('Activities'!L771,30)-MAX('Activities'!K771,24))</x:f>
        <x:v>0</x:v>
      </x:c>
      <x:c r="J771" s="23" t="n">
        <x:f>MAX(0,MIN('Activities'!L771,36)-MAX('Activities'!K771,30))</x:f>
        <x:v>0</x:v>
      </x:c>
      <x:c r="K771" s="23" t="n">
        <x:f>MAX(0,MIN('Activities'!L771,42)-MAX('Activities'!K771,36))</x:f>
        <x:v>0</x:v>
      </x:c>
      <x:c r="L771" s="23" t="n">
        <x:f>MAX(0,MIN('Activities'!L771,48)-MAX('Activities'!K771,42))</x:f>
        <x:v>0</x:v>
      </x:c>
      <x:c r="M771" s="23" t="n">
        <x:f>MAX(0,MIN('Activities'!L771,54)-MAX('Activities'!K771,48))</x:f>
        <x:v>0</x:v>
      </x:c>
      <x:c r="N771" s="23" t="n">
        <x:f>MAX(0,MIN('Activities'!L771,60)-MAX('Activities'!K771,54))</x:f>
        <x:v>0</x:v>
      </x:c>
      <x:c r="O771" s="23" t="n">
        <x:f>MAX(0,MIN('Activities'!L771,66)-MAX('Activities'!K771,60))</x:f>
        <x:v>0</x:v>
      </x:c>
      <x:c r="P771" s="23" t="n">
        <x:f>MAX(0,MIN('Activities'!L771,72)-MAX('Activities'!K771,66))</x:f>
        <x:v>0</x:v>
      </x:c>
      <x:c r="Q771" s="23" t="n">
        <x:f>MAX(0,MIN('Activities'!L771,78)-MAX('Activities'!K771,72))</x:f>
        <x:v>0</x:v>
      </x:c>
      <x:c r="R771" s="23" t="n">
        <x:f>MAX(0,MIN('Activities'!L771,84)-MAX('Activities'!K771,78))</x:f>
        <x:v>0</x:v>
      </x:c>
      <x:c r="S771" s="23" t="n">
        <x:f>MAX(0,MIN('Activities'!L771,90)-MAX('Activities'!K771,84))</x:f>
        <x:v>0</x:v>
      </x:c>
      <x:c r="T771" s="23" t="n">
        <x:f>MAX(0,MIN('Activities'!L771,96)-MAX('Activities'!K771,90))</x:f>
        <x:v>0</x:v>
      </x:c>
      <x:c r="U771" s="23" t="n">
        <x:f>MAX(0,MIN('Activities'!L771,102)-MAX('Activities'!K771,96))</x:f>
        <x:v>0</x:v>
      </x:c>
      <x:c r="V771" s="23" t="n">
        <x:f>MAX(0,MIN('Activities'!L771,108)-MAX('Activities'!K771,102))</x:f>
        <x:v>0</x:v>
      </x:c>
      <x:c r="W771" s="23" t="n">
        <x:f>MAX(0,MIN('Activities'!L771,114)-MAX('Activities'!K771,108))</x:f>
        <x:v>0</x:v>
      </x:c>
      <x:c r="X771" s="23" t="n">
        <x:f>MAX(0,MIN('Activities'!L771,120)-MAX('Activities'!K771,114))</x:f>
        <x:v>0</x:v>
      </x:c>
      <x:c r="Y771" s="23" t="n">
        <x:f>MAX(0,MIN('Activities'!L771,126)-MAX('Activities'!K771,120))</x:f>
        <x:v>0</x:v>
      </x:c>
      <x:c r="Z771" s="23" t="n">
        <x:f>MAX(0,MIN('Activities'!L771,132)-MAX('Activities'!K771,126))</x:f>
        <x:v>0</x:v>
      </x:c>
      <x:c r="AA771" s="23" t="n">
        <x:f>MAX(0,MIN('Activities'!L771,138)-MAX('Activities'!K771,132))</x:f>
        <x:v>0</x:v>
      </x:c>
      <x:c r="AB771" s="23" t="n">
        <x:f>MAX(0,MIN('Activities'!L771,144)-MAX('Activities'!K771,138))</x:f>
        <x:v>0</x:v>
      </x:c>
      <x:c r="AC771" s="23" t="n">
        <x:f>MAX(0,MIN('Activities'!L771,150)-MAX('Activities'!K771,144))</x:f>
        <x:v>0</x:v>
      </x:c>
      <x:c r="AD771" s="23" t="n">
        <x:f>MAX(0,MIN('Activities'!L771,156)-MAX('Activities'!K771,150))</x:f>
        <x:v>0</x:v>
      </x:c>
      <x:c r="AE771" s="23" t="n">
        <x:f>MAX(0,MIN('Activities'!L771,162)-MAX('Activities'!K771,156))</x:f>
        <x:v>0</x:v>
      </x:c>
      <x:c r="AF771" s="23" t="n">
        <x:f>MAX(0,MIN('Activities'!L771,168)-MAX('Activities'!K771,162))</x:f>
        <x:v>0</x:v>
      </x:c>
      <x:c r="AG771" s="23" t="n">
        <x:f>MAX(0,MIN('Activities'!L771,174)-MAX('Activities'!K771,168))</x:f>
        <x:v>0</x:v>
      </x:c>
      <x:c r="AH771" s="23" t="n">
        <x:f>MAX(0,MIN('Activities'!L771,180)-MAX('Activities'!K771,174))</x:f>
        <x:v>0</x:v>
      </x:c>
      <x:c r="AI771" s="23" t="n">
        <x:f>MAX(0,MIN('Activities'!L771,186)-MAX('Activities'!K771,180))</x:f>
        <x:v>0</x:v>
      </x:c>
      <x:c r="AJ771" s="23" t="n">
        <x:f>MAX(0,MIN('Activities'!L771,192)-MAX('Activities'!K771,186))</x:f>
        <x:v>0</x:v>
      </x:c>
      <x:c r="AK771" s="23" t="n">
        <x:f>MAX(0,MIN('Activities'!L771,198)-MAX('Activities'!K771,192))</x:f>
        <x:v>0</x:v>
      </x:c>
      <x:c r="AL771" s="23" t="n">
        <x:f>MAX(0,MIN('Activities'!L771,204)-MAX('Activities'!K771,198))</x:f>
        <x:v>0</x:v>
      </x:c>
      <x:c r="AM771" s="23" t="n">
        <x:f>MAX(0,MIN('Activities'!L771,210)-MAX('Activities'!K771,204))</x:f>
        <x:v>0</x:v>
      </x:c>
      <x:c r="AN771" s="23" t="n">
        <x:f>MAX(0,MIN('Activities'!L771,216)-MAX('Activities'!K771,210))</x:f>
        <x:v>0</x:v>
      </x:c>
      <x:c r="AO771" s="23" t="n">
        <x:f>MAX(0,MIN('Activities'!L771,222)-MAX('Activities'!K771,216))</x:f>
        <x:v>0</x:v>
      </x:c>
      <x:c r="AP771" s="23" t="n">
        <x:f>MAX(0,MIN('Activities'!L771,228)-MAX('Activities'!K771,222))</x:f>
        <x:v>0</x:v>
      </x:c>
      <x:c r="AQ771" s="23" t="n">
        <x:f>MAX(0,MIN('Activities'!L771,234)-MAX('Activities'!K771,228))</x:f>
        <x:v>0</x:v>
      </x:c>
      <x:c r="AR771" s="23" t="n">
        <x:f>MAX(0,MIN('Activities'!L771,240)-MAX('Activities'!K771,234))</x:f>
        <x:v>0</x:v>
      </x:c>
      <x:c r="AS771" s="23" t="n">
        <x:f>MAX(0,MIN('Activities'!L771,246)-MAX('Activities'!K771,240))</x:f>
        <x:v>0</x:v>
      </x:c>
      <x:c r="AT771" s="23" t="n">
        <x:f>MAX(0,MIN('Activities'!L771,252)-MAX('Activities'!K771,246))</x:f>
        <x:v>0</x:v>
      </x:c>
      <x:c r="AU771" s="23" t="n">
        <x:f>MAX(0,MIN('Activities'!L771,258)-MAX('Activities'!K771,252))</x:f>
        <x:v>0</x:v>
      </x:c>
      <x:c r="AV771" s="23" t="n">
        <x:f>MAX(0,MIN('Activities'!L771,264)-MAX('Activities'!K771,258))</x:f>
        <x:v>0</x:v>
      </x:c>
      <x:c r="AW771" s="23" t="n">
        <x:f>MAX(0,MIN('Activities'!L771,270)-MAX('Activities'!K771,264))</x:f>
        <x:v>0</x:v>
      </x:c>
      <x:c r="AX771" s="23" t="n">
        <x:f>MAX(0,MIN('Activities'!L771,276)-MAX('Activities'!K771,270))</x:f>
        <x:v>0</x:v>
      </x:c>
      <x:c r="AY771" s="23" t="n">
        <x:f>MAX(0,MIN('Activities'!L771,282)-MAX('Activities'!K771,276))</x:f>
        <x:v>0</x:v>
      </x:c>
      <x:c r="AZ771" s="23" t="n">
        <x:f>MAX(0,MIN('Activities'!L771,288)-MAX('Activities'!K771,282))</x:f>
        <x:v>0</x:v>
      </x:c>
      <x:c r="BA771" s="23" t="n">
        <x:f>MAX(0,MIN('Activities'!L771,294)-MAX('Activities'!K771,288))</x:f>
        <x:v>0</x:v>
      </x:c>
      <x:c r="BB771" s="23" t="n">
        <x:f>MAX(0,MIN('Activities'!L771,300)-MAX('Activities'!K771,294))</x:f>
        <x:v>0</x:v>
      </x:c>
      <x:c r="BC771" s="23" t="n">
        <x:f>MAX(0,MIN('Activities'!L771,306)-MAX('Activities'!K771,300))</x:f>
        <x:v>0</x:v>
      </x:c>
      <x:c r="BD771" s="23" t="n">
        <x:f>MAX(0,MIN('Activities'!L771,312)-MAX('Activities'!K771,306))</x:f>
        <x:v>0</x:v>
      </x:c>
      <x:c r="BE771" s="23" t="n">
        <x:f>MAX(0,MIN('Activities'!L771,318)-MAX('Activities'!K771,312))</x:f>
        <x:v>0</x:v>
      </x:c>
      <x:c r="BF771" s="23" t="n">
        <x:f>MAX(0,MIN('Activities'!L771,324)-MAX('Activities'!K771,318))</x:f>
        <x:v>0</x:v>
      </x:c>
      <x:c r="BG771" s="23" t="n">
        <x:f>MAX(0,MIN('Activities'!L771,330)-MAX('Activities'!K771,324))</x:f>
        <x:v>0</x:v>
      </x:c>
      <x:c r="BH771" s="23" t="n">
        <x:f>MAX(0,MIN('Activities'!L771,336)-MAX('Activities'!K771,330))</x:f>
        <x:v>0</x:v>
      </x:c>
      <x:c r="BI771" s="23" t="n">
        <x:f>MAX(0,MIN('Activities'!L771,342)-MAX('Activities'!K771,336))</x:f>
        <x:v>0</x:v>
      </x:c>
      <x:c r="BJ771" s="23" t="n">
        <x:f>MAX(0,MIN('Activities'!L771,348)-MAX('Activities'!K771,342))</x:f>
        <x:v>0</x:v>
      </x:c>
      <x:c r="BK771" s="23" t="n">
        <x:f>MAX(0,MIN('Activities'!L771,354)-MAX('Activities'!K771,348))</x:f>
        <x:v>0</x:v>
      </x:c>
      <x:c r="BL771" s="23" t="n">
        <x:f>MAX(0,MIN('Activities'!L771,360)-MAX('Activities'!K771,354))</x:f>
        <x:v>0</x:v>
      </x:c>
      <x:c r="BM771" s="23" t="n">
        <x:f>MAX(0,MIN('Activities'!L771,366)-MAX('Activities'!K771,360))</x:f>
        <x:v>0</x:v>
      </x:c>
      <x:c r="BN771" s="23" t="n">
        <x:f>MAX(0,MIN('Activities'!L771,372)-MAX('Activities'!K771,366))</x:f>
        <x:v>0</x:v>
      </x:c>
      <x:c r="BO771" s="23" t="n">
        <x:f>MAX(0,MIN('Activities'!L771,378)-MAX('Activities'!K771,372))</x:f>
        <x:v>0</x:v>
      </x:c>
      <x:c r="BP771" s="23" t="n">
        <x:f>MAX(0,MIN('Activities'!L771,384)-MAX('Activities'!K771,378))</x:f>
        <x:v>0</x:v>
      </x:c>
      <x:c r="BQ771" s="23" t="n">
        <x:f>MAX(0,MIN('Activities'!L771,390)-MAX('Activities'!K771,384))</x:f>
        <x:v>0</x:v>
      </x:c>
      <x:c r="BR771" s="23" t="n">
        <x:f>MAX(0,MIN('Activities'!L771,396)-MAX('Activities'!K771,390))</x:f>
        <x:v>0</x:v>
      </x:c>
      <x:c r="BS771" s="23" t="n">
        <x:f>MAX(0,MIN('Activities'!L771,402)-MAX('Activities'!K771,396))</x:f>
        <x:v>0</x:v>
      </x:c>
      <x:c r="BT771" s="23" t="n">
        <x:f>MAX(0,MIN('Activities'!L771,408)-MAX('Activities'!K771,402))</x:f>
        <x:v>0</x:v>
      </x:c>
      <x:c r="BU771" s="23" t="n">
        <x:f>MAX(0,MIN('Activities'!L771,414)-MAX('Activities'!K771,408))</x:f>
        <x:v>0</x:v>
      </x:c>
      <x:c r="BV771" s="23" t="n">
        <x:f>MAX(0,MIN('Activities'!L771,420)-MAX('Activities'!K771,414))</x:f>
        <x:v>0</x:v>
      </x:c>
      <x:c r="BW771" s="23" t="n">
        <x:f>MAX(0,MIN('Activities'!L771,426)-MAX('Activities'!K771,420))</x:f>
        <x:v>0</x:v>
      </x:c>
      <x:c r="BX771" s="23" t="n">
        <x:f>MAX(0,MIN('Activities'!L771,432)-MAX('Activities'!K771,426))</x:f>
        <x:v>0</x:v>
      </x:c>
      <x:c r="BY771" s="23" t="n">
        <x:f>MAX(0,MIN('Activities'!L771,438)-MAX('Activities'!K771,432))</x:f>
        <x:v>0</x:v>
      </x:c>
      <x:c r="BZ771" s="23" t="n">
        <x:f>MAX(0,MIN('Activities'!L771,444)-MAX('Activities'!K771,438))</x:f>
        <x:v>0</x:v>
      </x:c>
      <x:c r="CA771" s="23" t="n">
        <x:f>MAX(0,MIN('Activities'!L771,450)-MAX('Activities'!K771,444))</x:f>
        <x:v>0</x:v>
      </x:c>
      <x:c r="CB771" s="23" t="n">
        <x:f>MAX(0,MIN('Activities'!L771,456)-MAX('Activities'!K771,450))</x:f>
        <x:v>0</x:v>
      </x:c>
      <x:c r="CC771" s="23" t="n">
        <x:f>MAX(0,MIN('Activities'!L771,462)-MAX('Activities'!K771,456))</x:f>
        <x:v>0</x:v>
      </x:c>
      <x:c r="CD771" s="23" t="n">
        <x:f>MAX(0,MIN('Activities'!L771,468)-MAX('Activities'!K771,462))</x:f>
        <x:v>0</x:v>
      </x:c>
      <x:c r="CE771" s="23" t="n">
        <x:f>MAX(0,MIN('Activities'!L771,474)-MAX('Activities'!K771,468))</x:f>
        <x:v>0</x:v>
      </x:c>
      <x:c r="CF771" s="23" t="n">
        <x:f>MAX(0,MIN('Activities'!L771,480)-MAX('Activities'!K771,474))</x:f>
        <x:v>3</x:v>
      </x:c>
      <x:c r="CG771" s="23" t="n">
        <x:f>MAX(0,MIN('Activities'!L771,486)-MAX('Activities'!K771,480))</x:f>
        <x:v>0</x:v>
      </x:c>
      <x:c r="CH771" s="23" t="n">
        <x:f>MAX(0,MIN('Activities'!L771,492)-MAX('Activities'!K771,486))</x:f>
        <x:v>0</x:v>
      </x:c>
      <x:c r="CI771" s="23" t="n">
        <x:f>MAX(0,MIN('Activities'!L771,498)-MAX('Activities'!K771,492))</x:f>
        <x:v>0</x:v>
      </x:c>
      <x:c r="CJ771" s="23" t="n">
        <x:f>MAX(0,MIN('Activities'!L771,504)-MAX('Activities'!K771,498))</x:f>
        <x:v>0</x:v>
      </x:c>
      <x:c r="CK771" s="23" t="n">
        <x:f>MAX(0,MIN('Activities'!L771,510)-MAX('Activities'!K771,504))</x:f>
        <x:v>0</x:v>
      </x:c>
      <x:c r="CL771" s="23" t="n">
        <x:f>MAX(0,MIN('Activities'!L771,516)-MAX('Activities'!K771,510))</x:f>
        <x:v>0</x:v>
      </x:c>
      <x:c r="CM771" s="23" t="n">
        <x:f>MAX(0,MIN('Activities'!L771,522)-MAX('Activities'!K771,516))</x:f>
        <x:v>0</x:v>
      </x:c>
      <x:c r="CN771" s="23" t="n">
        <x:f>MAX(0,MIN('Activities'!L771,528)-MAX('Activities'!K771,522))</x:f>
        <x:v>0</x:v>
      </x:c>
      <x:c r="CO771" s="23" t="n">
        <x:f>MAX(0,MIN('Activities'!L771,534)-MAX('Activities'!K771,528))</x:f>
        <x:v>0</x:v>
      </x:c>
      <x:c r="CP771" s="23" t="n">
        <x:f>MAX(0,MIN('Activities'!L771,540)-MAX('Activities'!K771,534))</x:f>
        <x:v>0</x:v>
      </x:c>
      <x:c r="CQ771" s="23" t="n">
        <x:f>MAX(0,MIN('Activities'!L771,546)-MAX('Activities'!K771,540))</x:f>
        <x:v>0</x:v>
      </x:c>
      <x:c r="CR771" s="23" t="n">
        <x:f>MAX(0,MIN('Activities'!L771,552)-MAX('Activities'!K771,546))</x:f>
        <x:v>0</x:v>
      </x:c>
      <x:c r="CS771" s="23" t="n">
        <x:f>MAX(0,MIN('Activities'!L771,558)-MAX('Activities'!K771,552))</x:f>
        <x:v>0</x:v>
      </x:c>
      <x:c r="CT771" s="23" t="n">
        <x:f>MAX(0,MIN('Activities'!L771,564)-MAX('Activities'!K771,558))</x:f>
        <x:v>0</x:v>
      </x:c>
      <x:c r="CU771" s="23" t="n">
        <x:f>MAX(0,MIN('Activities'!L771,570)-MAX('Activities'!K771,564))</x:f>
        <x:v>0</x:v>
      </x:c>
      <x:c r="CV771" s="23" t="n">
        <x:f>MAX(0,MIN('Activities'!L771,576)-MAX('Activities'!K771,570))</x:f>
        <x:v>0</x:v>
      </x:c>
      <x:c r="CW771" s="23" t="n">
        <x:f>MAX(0,MIN('Activities'!L771,582)-MAX('Activities'!K771,576))</x:f>
        <x:v>0</x:v>
      </x:c>
      <x:c r="CX771" s="23" t="n">
        <x:f>MAX(0,MIN('Activities'!L771,588)-MAX('Activities'!K771,582))</x:f>
        <x:v>0</x:v>
      </x:c>
      <x:c r="CY771" s="23" t="n">
        <x:f>MAX(0,MIN('Activities'!L771,594)-MAX('Activities'!K771,588))</x:f>
        <x:v>0</x:v>
      </x:c>
      <x:c r="CZ771" s="23" t="n">
        <x:f>MAX(0,MIN('Activities'!L771,600)-MAX('Activities'!K771,594))</x:f>
        <x:v>0</x:v>
      </x:c>
      <x:c r="DA771" s="23" t="n">
        <x:f>MAX(0,MIN('Activities'!L771,606)-MAX('Activities'!K771,600))</x:f>
        <x:v>0</x:v>
      </x:c>
      <x:c r="DB771" s="23" t="n">
        <x:f>MAX(0,MIN('Activities'!L771,612)-MAX('Activities'!K771,606))</x:f>
        <x:v>0</x:v>
      </x:c>
      <x:c r="DC771" s="23" t="n">
        <x:f>MAX(0,MIN('Activities'!L771,618)-MAX('Activities'!K771,612))</x:f>
        <x:v>0</x:v>
      </x:c>
      <x:c r="DD771" s="23" t="n">
        <x:f>MAX(0,MIN('Activities'!L771,624)-MAX('Activities'!K771,618))</x:f>
        <x:v>0</x:v>
      </x:c>
      <x:c r="DE771" s="23" t="n">
        <x:f>MAX(0,MIN('Activities'!L771,630)-MAX('Activities'!K771,624))</x:f>
        <x:v>0</x:v>
      </x:c>
      <x:c r="DF771" s="23" t="n">
        <x:f>MAX(0,MIN('Activities'!L771,636)-MAX('Activities'!K771,630))</x:f>
        <x:v>0</x:v>
      </x:c>
    </x:row>
    <x:row r="772" ht="23" customHeight="1">
      <x:c r="A772" s="6" t="str">
        <x:v>T6-L06-M</x:v>
      </x:c>
      <x:c r="B772" s="6" t="str">
        <x:v>T6</x:v>
      </x:c>
      <x:c r="C772" s="6" t="str">
        <x:v>Partition masonry</x:v>
      </x:c>
      <x:c r="D772" s="6" t="str">
        <x:v>Masonry</x:v>
      </x:c>
      <x:c r="E772" s="22" t="n">
        <x:f>MAX(0,MIN('Activities'!L772,6)-MAX('Activities'!K772,0))</x:f>
        <x:v>0</x:v>
      </x:c>
      <x:c r="F772" s="22" t="n">
        <x:f>MAX(0,MIN('Activities'!L772,12)-MAX('Activities'!K772,6))</x:f>
        <x:v>0</x:v>
      </x:c>
      <x:c r="G772" s="22" t="n">
        <x:f>MAX(0,MIN('Activities'!L772,18)-MAX('Activities'!K772,12))</x:f>
        <x:v>0</x:v>
      </x:c>
      <x:c r="H772" s="22" t="n">
        <x:f>MAX(0,MIN('Activities'!L772,24)-MAX('Activities'!K772,18))</x:f>
        <x:v>0</x:v>
      </x:c>
      <x:c r="I772" s="22" t="n">
        <x:f>MAX(0,MIN('Activities'!L772,30)-MAX('Activities'!K772,24))</x:f>
        <x:v>0</x:v>
      </x:c>
      <x:c r="J772" s="22" t="n">
        <x:f>MAX(0,MIN('Activities'!L772,36)-MAX('Activities'!K772,30))</x:f>
        <x:v>0</x:v>
      </x:c>
      <x:c r="K772" s="22" t="n">
        <x:f>MAX(0,MIN('Activities'!L772,42)-MAX('Activities'!K772,36))</x:f>
        <x:v>0</x:v>
      </x:c>
      <x:c r="L772" s="22" t="n">
        <x:f>MAX(0,MIN('Activities'!L772,48)-MAX('Activities'!K772,42))</x:f>
        <x:v>0</x:v>
      </x:c>
      <x:c r="M772" s="22" t="n">
        <x:f>MAX(0,MIN('Activities'!L772,54)-MAX('Activities'!K772,48))</x:f>
        <x:v>0</x:v>
      </x:c>
      <x:c r="N772" s="22" t="n">
        <x:f>MAX(0,MIN('Activities'!L772,60)-MAX('Activities'!K772,54))</x:f>
        <x:v>0</x:v>
      </x:c>
      <x:c r="O772" s="22" t="n">
        <x:f>MAX(0,MIN('Activities'!L772,66)-MAX('Activities'!K772,60))</x:f>
        <x:v>0</x:v>
      </x:c>
      <x:c r="P772" s="22" t="n">
        <x:f>MAX(0,MIN('Activities'!L772,72)-MAX('Activities'!K772,66))</x:f>
        <x:v>0</x:v>
      </x:c>
      <x:c r="Q772" s="22" t="n">
        <x:f>MAX(0,MIN('Activities'!L772,78)-MAX('Activities'!K772,72))</x:f>
        <x:v>0</x:v>
      </x:c>
      <x:c r="R772" s="22" t="n">
        <x:f>MAX(0,MIN('Activities'!L772,84)-MAX('Activities'!K772,78))</x:f>
        <x:v>0</x:v>
      </x:c>
      <x:c r="S772" s="22" t="n">
        <x:f>MAX(0,MIN('Activities'!L772,90)-MAX('Activities'!K772,84))</x:f>
        <x:v>0</x:v>
      </x:c>
      <x:c r="T772" s="22" t="n">
        <x:f>MAX(0,MIN('Activities'!L772,96)-MAX('Activities'!K772,90))</x:f>
        <x:v>0</x:v>
      </x:c>
      <x:c r="U772" s="22" t="n">
        <x:f>MAX(0,MIN('Activities'!L772,102)-MAX('Activities'!K772,96))</x:f>
        <x:v>0</x:v>
      </x:c>
      <x:c r="V772" s="22" t="n">
        <x:f>MAX(0,MIN('Activities'!L772,108)-MAX('Activities'!K772,102))</x:f>
        <x:v>0</x:v>
      </x:c>
      <x:c r="W772" s="22" t="n">
        <x:f>MAX(0,MIN('Activities'!L772,114)-MAX('Activities'!K772,108))</x:f>
        <x:v>0</x:v>
      </x:c>
      <x:c r="X772" s="22" t="n">
        <x:f>MAX(0,MIN('Activities'!L772,120)-MAX('Activities'!K772,114))</x:f>
        <x:v>0</x:v>
      </x:c>
      <x:c r="Y772" s="22" t="n">
        <x:f>MAX(0,MIN('Activities'!L772,126)-MAX('Activities'!K772,120))</x:f>
        <x:v>0</x:v>
      </x:c>
      <x:c r="Z772" s="22" t="n">
        <x:f>MAX(0,MIN('Activities'!L772,132)-MAX('Activities'!K772,126))</x:f>
        <x:v>0</x:v>
      </x:c>
      <x:c r="AA772" s="22" t="n">
        <x:f>MAX(0,MIN('Activities'!L772,138)-MAX('Activities'!K772,132))</x:f>
        <x:v>0</x:v>
      </x:c>
      <x:c r="AB772" s="22" t="n">
        <x:f>MAX(0,MIN('Activities'!L772,144)-MAX('Activities'!K772,138))</x:f>
        <x:v>0</x:v>
      </x:c>
      <x:c r="AC772" s="22" t="n">
        <x:f>MAX(0,MIN('Activities'!L772,150)-MAX('Activities'!K772,144))</x:f>
        <x:v>0</x:v>
      </x:c>
      <x:c r="AD772" s="22" t="n">
        <x:f>MAX(0,MIN('Activities'!L772,156)-MAX('Activities'!K772,150))</x:f>
        <x:v>0</x:v>
      </x:c>
      <x:c r="AE772" s="22" t="n">
        <x:f>MAX(0,MIN('Activities'!L772,162)-MAX('Activities'!K772,156))</x:f>
        <x:v>0</x:v>
      </x:c>
      <x:c r="AF772" s="22" t="n">
        <x:f>MAX(0,MIN('Activities'!L772,168)-MAX('Activities'!K772,162))</x:f>
        <x:v>0</x:v>
      </x:c>
      <x:c r="AG772" s="22" t="n">
        <x:f>MAX(0,MIN('Activities'!L772,174)-MAX('Activities'!K772,168))</x:f>
        <x:v>0</x:v>
      </x:c>
      <x:c r="AH772" s="22" t="n">
        <x:f>MAX(0,MIN('Activities'!L772,180)-MAX('Activities'!K772,174))</x:f>
        <x:v>0</x:v>
      </x:c>
      <x:c r="AI772" s="22" t="n">
        <x:f>MAX(0,MIN('Activities'!L772,186)-MAX('Activities'!K772,180))</x:f>
        <x:v>0</x:v>
      </x:c>
      <x:c r="AJ772" s="22" t="n">
        <x:f>MAX(0,MIN('Activities'!L772,192)-MAX('Activities'!K772,186))</x:f>
        <x:v>0</x:v>
      </x:c>
      <x:c r="AK772" s="22" t="n">
        <x:f>MAX(0,MIN('Activities'!L772,198)-MAX('Activities'!K772,192))</x:f>
        <x:v>0</x:v>
      </x:c>
      <x:c r="AL772" s="22" t="n">
        <x:f>MAX(0,MIN('Activities'!L772,204)-MAX('Activities'!K772,198))</x:f>
        <x:v>0</x:v>
      </x:c>
      <x:c r="AM772" s="22" t="n">
        <x:f>MAX(0,MIN('Activities'!L772,210)-MAX('Activities'!K772,204))</x:f>
        <x:v>0</x:v>
      </x:c>
      <x:c r="AN772" s="22" t="n">
        <x:f>MAX(0,MIN('Activities'!L772,216)-MAX('Activities'!K772,210))</x:f>
        <x:v>0</x:v>
      </x:c>
      <x:c r="AO772" s="22" t="n">
        <x:f>MAX(0,MIN('Activities'!L772,222)-MAX('Activities'!K772,216))</x:f>
        <x:v>0</x:v>
      </x:c>
      <x:c r="AP772" s="22" t="n">
        <x:f>MAX(0,MIN('Activities'!L772,228)-MAX('Activities'!K772,222))</x:f>
        <x:v>0</x:v>
      </x:c>
      <x:c r="AQ772" s="22" t="n">
        <x:f>MAX(0,MIN('Activities'!L772,234)-MAX('Activities'!K772,228))</x:f>
        <x:v>0</x:v>
      </x:c>
      <x:c r="AR772" s="22" t="n">
        <x:f>MAX(0,MIN('Activities'!L772,240)-MAX('Activities'!K772,234))</x:f>
        <x:v>0</x:v>
      </x:c>
      <x:c r="AS772" s="22" t="n">
        <x:f>MAX(0,MIN('Activities'!L772,246)-MAX('Activities'!K772,240))</x:f>
        <x:v>0</x:v>
      </x:c>
      <x:c r="AT772" s="22" t="n">
        <x:f>MAX(0,MIN('Activities'!L772,252)-MAX('Activities'!K772,246))</x:f>
        <x:v>0</x:v>
      </x:c>
      <x:c r="AU772" s="22" t="n">
        <x:f>MAX(0,MIN('Activities'!L772,258)-MAX('Activities'!K772,252))</x:f>
        <x:v>0</x:v>
      </x:c>
      <x:c r="AV772" s="22" t="n">
        <x:f>MAX(0,MIN('Activities'!L772,264)-MAX('Activities'!K772,258))</x:f>
        <x:v>0</x:v>
      </x:c>
      <x:c r="AW772" s="22" t="n">
        <x:f>MAX(0,MIN('Activities'!L772,270)-MAX('Activities'!K772,264))</x:f>
        <x:v>0</x:v>
      </x:c>
      <x:c r="AX772" s="22" t="n">
        <x:f>MAX(0,MIN('Activities'!L772,276)-MAX('Activities'!K772,270))</x:f>
        <x:v>0</x:v>
      </x:c>
      <x:c r="AY772" s="22" t="n">
        <x:f>MAX(0,MIN('Activities'!L772,282)-MAX('Activities'!K772,276))</x:f>
        <x:v>0</x:v>
      </x:c>
      <x:c r="AZ772" s="22" t="n">
        <x:f>MAX(0,MIN('Activities'!L772,288)-MAX('Activities'!K772,282))</x:f>
        <x:v>0</x:v>
      </x:c>
      <x:c r="BA772" s="22" t="n">
        <x:f>MAX(0,MIN('Activities'!L772,294)-MAX('Activities'!K772,288))</x:f>
        <x:v>0</x:v>
      </x:c>
      <x:c r="BB772" s="22" t="n">
        <x:f>MAX(0,MIN('Activities'!L772,300)-MAX('Activities'!K772,294))</x:f>
        <x:v>0</x:v>
      </x:c>
      <x:c r="BC772" s="22" t="n">
        <x:f>MAX(0,MIN('Activities'!L772,306)-MAX('Activities'!K772,300))</x:f>
        <x:v>0</x:v>
      </x:c>
      <x:c r="BD772" s="22" t="n">
        <x:f>MAX(0,MIN('Activities'!L772,312)-MAX('Activities'!K772,306))</x:f>
        <x:v>0</x:v>
      </x:c>
      <x:c r="BE772" s="22" t="n">
        <x:f>MAX(0,MIN('Activities'!L772,318)-MAX('Activities'!K772,312))</x:f>
        <x:v>0</x:v>
      </x:c>
      <x:c r="BF772" s="22" t="n">
        <x:f>MAX(0,MIN('Activities'!L772,324)-MAX('Activities'!K772,318))</x:f>
        <x:v>0</x:v>
      </x:c>
      <x:c r="BG772" s="22" t="n">
        <x:f>MAX(0,MIN('Activities'!L772,330)-MAX('Activities'!K772,324))</x:f>
        <x:v>0</x:v>
      </x:c>
      <x:c r="BH772" s="22" t="n">
        <x:f>MAX(0,MIN('Activities'!L772,336)-MAX('Activities'!K772,330))</x:f>
        <x:v>0</x:v>
      </x:c>
      <x:c r="BI772" s="22" t="n">
        <x:f>MAX(0,MIN('Activities'!L772,342)-MAX('Activities'!K772,336))</x:f>
        <x:v>0</x:v>
      </x:c>
      <x:c r="BJ772" s="22" t="n">
        <x:f>MAX(0,MIN('Activities'!L772,348)-MAX('Activities'!K772,342))</x:f>
        <x:v>0</x:v>
      </x:c>
      <x:c r="BK772" s="22" t="n">
        <x:f>MAX(0,MIN('Activities'!L772,354)-MAX('Activities'!K772,348))</x:f>
        <x:v>0</x:v>
      </x:c>
      <x:c r="BL772" s="22" t="n">
        <x:f>MAX(0,MIN('Activities'!L772,360)-MAX('Activities'!K772,354))</x:f>
        <x:v>0</x:v>
      </x:c>
      <x:c r="BM772" s="22" t="n">
        <x:f>MAX(0,MIN('Activities'!L772,366)-MAX('Activities'!K772,360))</x:f>
        <x:v>0</x:v>
      </x:c>
      <x:c r="BN772" s="22" t="n">
        <x:f>MAX(0,MIN('Activities'!L772,372)-MAX('Activities'!K772,366))</x:f>
        <x:v>0</x:v>
      </x:c>
      <x:c r="BO772" s="22" t="n">
        <x:f>MAX(0,MIN('Activities'!L772,378)-MAX('Activities'!K772,372))</x:f>
        <x:v>0</x:v>
      </x:c>
      <x:c r="BP772" s="22" t="n">
        <x:f>MAX(0,MIN('Activities'!L772,384)-MAX('Activities'!K772,378))</x:f>
        <x:v>5</x:v>
      </x:c>
      <x:c r="BQ772" s="22" t="n">
        <x:f>MAX(0,MIN('Activities'!L772,390)-MAX('Activities'!K772,384))</x:f>
        <x:v>0</x:v>
      </x:c>
      <x:c r="BR772" s="22" t="n">
        <x:f>MAX(0,MIN('Activities'!L772,396)-MAX('Activities'!K772,390))</x:f>
        <x:v>0</x:v>
      </x:c>
      <x:c r="BS772" s="22" t="n">
        <x:f>MAX(0,MIN('Activities'!L772,402)-MAX('Activities'!K772,396))</x:f>
        <x:v>0</x:v>
      </x:c>
      <x:c r="BT772" s="22" t="n">
        <x:f>MAX(0,MIN('Activities'!L772,408)-MAX('Activities'!K772,402))</x:f>
        <x:v>0</x:v>
      </x:c>
      <x:c r="BU772" s="22" t="n">
        <x:f>MAX(0,MIN('Activities'!L772,414)-MAX('Activities'!K772,408))</x:f>
        <x:v>0</x:v>
      </x:c>
      <x:c r="BV772" s="22" t="n">
        <x:f>MAX(0,MIN('Activities'!L772,420)-MAX('Activities'!K772,414))</x:f>
        <x:v>0</x:v>
      </x:c>
      <x:c r="BW772" s="22" t="n">
        <x:f>MAX(0,MIN('Activities'!L772,426)-MAX('Activities'!K772,420))</x:f>
        <x:v>0</x:v>
      </x:c>
      <x:c r="BX772" s="22" t="n">
        <x:f>MAX(0,MIN('Activities'!L772,432)-MAX('Activities'!K772,426))</x:f>
        <x:v>0</x:v>
      </x:c>
      <x:c r="BY772" s="22" t="n">
        <x:f>MAX(0,MIN('Activities'!L772,438)-MAX('Activities'!K772,432))</x:f>
        <x:v>0</x:v>
      </x:c>
      <x:c r="BZ772" s="22" t="n">
        <x:f>MAX(0,MIN('Activities'!L772,444)-MAX('Activities'!K772,438))</x:f>
        <x:v>0</x:v>
      </x:c>
      <x:c r="CA772" s="22" t="n">
        <x:f>MAX(0,MIN('Activities'!L772,450)-MAX('Activities'!K772,444))</x:f>
        <x:v>0</x:v>
      </x:c>
      <x:c r="CB772" s="22" t="n">
        <x:f>MAX(0,MIN('Activities'!L772,456)-MAX('Activities'!K772,450))</x:f>
        <x:v>0</x:v>
      </x:c>
      <x:c r="CC772" s="22" t="n">
        <x:f>MAX(0,MIN('Activities'!L772,462)-MAX('Activities'!K772,456))</x:f>
        <x:v>0</x:v>
      </x:c>
      <x:c r="CD772" s="22" t="n">
        <x:f>MAX(0,MIN('Activities'!L772,468)-MAX('Activities'!K772,462))</x:f>
        <x:v>0</x:v>
      </x:c>
      <x:c r="CE772" s="22" t="n">
        <x:f>MAX(0,MIN('Activities'!L772,474)-MAX('Activities'!K772,468))</x:f>
        <x:v>0</x:v>
      </x:c>
      <x:c r="CF772" s="22" t="n">
        <x:f>MAX(0,MIN('Activities'!L772,480)-MAX('Activities'!K772,474))</x:f>
        <x:v>0</x:v>
      </x:c>
      <x:c r="CG772" s="22" t="n">
        <x:f>MAX(0,MIN('Activities'!L772,486)-MAX('Activities'!K772,480))</x:f>
        <x:v>0</x:v>
      </x:c>
      <x:c r="CH772" s="22" t="n">
        <x:f>MAX(0,MIN('Activities'!L772,492)-MAX('Activities'!K772,486))</x:f>
        <x:v>0</x:v>
      </x:c>
      <x:c r="CI772" s="22" t="n">
        <x:f>MAX(0,MIN('Activities'!L772,498)-MAX('Activities'!K772,492))</x:f>
        <x:v>0</x:v>
      </x:c>
      <x:c r="CJ772" s="22" t="n">
        <x:f>MAX(0,MIN('Activities'!L772,504)-MAX('Activities'!K772,498))</x:f>
        <x:v>0</x:v>
      </x:c>
      <x:c r="CK772" s="22" t="n">
        <x:f>MAX(0,MIN('Activities'!L772,510)-MAX('Activities'!K772,504))</x:f>
        <x:v>0</x:v>
      </x:c>
      <x:c r="CL772" s="22" t="n">
        <x:f>MAX(0,MIN('Activities'!L772,516)-MAX('Activities'!K772,510))</x:f>
        <x:v>0</x:v>
      </x:c>
      <x:c r="CM772" s="22" t="n">
        <x:f>MAX(0,MIN('Activities'!L772,522)-MAX('Activities'!K772,516))</x:f>
        <x:v>0</x:v>
      </x:c>
      <x:c r="CN772" s="22" t="n">
        <x:f>MAX(0,MIN('Activities'!L772,528)-MAX('Activities'!K772,522))</x:f>
        <x:v>0</x:v>
      </x:c>
      <x:c r="CO772" s="22" t="n">
        <x:f>MAX(0,MIN('Activities'!L772,534)-MAX('Activities'!K772,528))</x:f>
        <x:v>0</x:v>
      </x:c>
      <x:c r="CP772" s="22" t="n">
        <x:f>MAX(0,MIN('Activities'!L772,540)-MAX('Activities'!K772,534))</x:f>
        <x:v>0</x:v>
      </x:c>
      <x:c r="CQ772" s="22" t="n">
        <x:f>MAX(0,MIN('Activities'!L772,546)-MAX('Activities'!K772,540))</x:f>
        <x:v>0</x:v>
      </x:c>
      <x:c r="CR772" s="22" t="n">
        <x:f>MAX(0,MIN('Activities'!L772,552)-MAX('Activities'!K772,546))</x:f>
        <x:v>0</x:v>
      </x:c>
      <x:c r="CS772" s="22" t="n">
        <x:f>MAX(0,MIN('Activities'!L772,558)-MAX('Activities'!K772,552))</x:f>
        <x:v>0</x:v>
      </x:c>
      <x:c r="CT772" s="22" t="n">
        <x:f>MAX(0,MIN('Activities'!L772,564)-MAX('Activities'!K772,558))</x:f>
        <x:v>0</x:v>
      </x:c>
      <x:c r="CU772" s="22" t="n">
        <x:f>MAX(0,MIN('Activities'!L772,570)-MAX('Activities'!K772,564))</x:f>
        <x:v>0</x:v>
      </x:c>
      <x:c r="CV772" s="22" t="n">
        <x:f>MAX(0,MIN('Activities'!L772,576)-MAX('Activities'!K772,570))</x:f>
        <x:v>0</x:v>
      </x:c>
      <x:c r="CW772" s="22" t="n">
        <x:f>MAX(0,MIN('Activities'!L772,582)-MAX('Activities'!K772,576))</x:f>
        <x:v>0</x:v>
      </x:c>
      <x:c r="CX772" s="22" t="n">
        <x:f>MAX(0,MIN('Activities'!L772,588)-MAX('Activities'!K772,582))</x:f>
        <x:v>0</x:v>
      </x:c>
      <x:c r="CY772" s="22" t="n">
        <x:f>MAX(0,MIN('Activities'!L772,594)-MAX('Activities'!K772,588))</x:f>
        <x:v>0</x:v>
      </x:c>
      <x:c r="CZ772" s="22" t="n">
        <x:f>MAX(0,MIN('Activities'!L772,600)-MAX('Activities'!K772,594))</x:f>
        <x:v>0</x:v>
      </x:c>
      <x:c r="DA772" s="22" t="n">
        <x:f>MAX(0,MIN('Activities'!L772,606)-MAX('Activities'!K772,600))</x:f>
        <x:v>0</x:v>
      </x:c>
      <x:c r="DB772" s="22" t="n">
        <x:f>MAX(0,MIN('Activities'!L772,612)-MAX('Activities'!K772,606))</x:f>
        <x:v>0</x:v>
      </x:c>
      <x:c r="DC772" s="22" t="n">
        <x:f>MAX(0,MIN('Activities'!L772,618)-MAX('Activities'!K772,612))</x:f>
        <x:v>0</x:v>
      </x:c>
      <x:c r="DD772" s="22" t="n">
        <x:f>MAX(0,MIN('Activities'!L772,624)-MAX('Activities'!K772,618))</x:f>
        <x:v>0</x:v>
      </x:c>
      <x:c r="DE772" s="22" t="n">
        <x:f>MAX(0,MIN('Activities'!L772,630)-MAX('Activities'!K772,624))</x:f>
        <x:v>0</x:v>
      </x:c>
      <x:c r="DF772" s="22" t="n">
        <x:f>MAX(0,MIN('Activities'!L772,636)-MAX('Activities'!K772,630))</x:f>
        <x:v>0</x:v>
      </x:c>
    </x:row>
    <x:row r="773" ht="23" customHeight="1">
      <x:c r="A773" s="1" t="str">
        <x:v>T6-L06-P</x:v>
      </x:c>
      <x:c r="B773" s="1" t="str">
        <x:v>T6</x:v>
      </x:c>
      <x:c r="C773" s="1" t="str">
        <x:v>Internal plaster</x:v>
      </x:c>
      <x:c r="D773" s="1" t="str">
        <x:v>Finishes</x:v>
      </x:c>
      <x:c r="E773" s="23" t="n">
        <x:f>MAX(0,MIN('Activities'!L773,6)-MAX('Activities'!K773,0))</x:f>
        <x:v>0</x:v>
      </x:c>
      <x:c r="F773" s="23" t="n">
        <x:f>MAX(0,MIN('Activities'!L773,12)-MAX('Activities'!K773,6))</x:f>
        <x:v>0</x:v>
      </x:c>
      <x:c r="G773" s="23" t="n">
        <x:f>MAX(0,MIN('Activities'!L773,18)-MAX('Activities'!K773,12))</x:f>
        <x:v>0</x:v>
      </x:c>
      <x:c r="H773" s="23" t="n">
        <x:f>MAX(0,MIN('Activities'!L773,24)-MAX('Activities'!K773,18))</x:f>
        <x:v>0</x:v>
      </x:c>
      <x:c r="I773" s="23" t="n">
        <x:f>MAX(0,MIN('Activities'!L773,30)-MAX('Activities'!K773,24))</x:f>
        <x:v>0</x:v>
      </x:c>
      <x:c r="J773" s="23" t="n">
        <x:f>MAX(0,MIN('Activities'!L773,36)-MAX('Activities'!K773,30))</x:f>
        <x:v>0</x:v>
      </x:c>
      <x:c r="K773" s="23" t="n">
        <x:f>MAX(0,MIN('Activities'!L773,42)-MAX('Activities'!K773,36))</x:f>
        <x:v>0</x:v>
      </x:c>
      <x:c r="L773" s="23" t="n">
        <x:f>MAX(0,MIN('Activities'!L773,48)-MAX('Activities'!K773,42))</x:f>
        <x:v>0</x:v>
      </x:c>
      <x:c r="M773" s="23" t="n">
        <x:f>MAX(0,MIN('Activities'!L773,54)-MAX('Activities'!K773,48))</x:f>
        <x:v>0</x:v>
      </x:c>
      <x:c r="N773" s="23" t="n">
        <x:f>MAX(0,MIN('Activities'!L773,60)-MAX('Activities'!K773,54))</x:f>
        <x:v>0</x:v>
      </x:c>
      <x:c r="O773" s="23" t="n">
        <x:f>MAX(0,MIN('Activities'!L773,66)-MAX('Activities'!K773,60))</x:f>
        <x:v>0</x:v>
      </x:c>
      <x:c r="P773" s="23" t="n">
        <x:f>MAX(0,MIN('Activities'!L773,72)-MAX('Activities'!K773,66))</x:f>
        <x:v>0</x:v>
      </x:c>
      <x:c r="Q773" s="23" t="n">
        <x:f>MAX(0,MIN('Activities'!L773,78)-MAX('Activities'!K773,72))</x:f>
        <x:v>0</x:v>
      </x:c>
      <x:c r="R773" s="23" t="n">
        <x:f>MAX(0,MIN('Activities'!L773,84)-MAX('Activities'!K773,78))</x:f>
        <x:v>0</x:v>
      </x:c>
      <x:c r="S773" s="23" t="n">
        <x:f>MAX(0,MIN('Activities'!L773,90)-MAX('Activities'!K773,84))</x:f>
        <x:v>0</x:v>
      </x:c>
      <x:c r="T773" s="23" t="n">
        <x:f>MAX(0,MIN('Activities'!L773,96)-MAX('Activities'!K773,90))</x:f>
        <x:v>0</x:v>
      </x:c>
      <x:c r="U773" s="23" t="n">
        <x:f>MAX(0,MIN('Activities'!L773,102)-MAX('Activities'!K773,96))</x:f>
        <x:v>0</x:v>
      </x:c>
      <x:c r="V773" s="23" t="n">
        <x:f>MAX(0,MIN('Activities'!L773,108)-MAX('Activities'!K773,102))</x:f>
        <x:v>0</x:v>
      </x:c>
      <x:c r="W773" s="23" t="n">
        <x:f>MAX(0,MIN('Activities'!L773,114)-MAX('Activities'!K773,108))</x:f>
        <x:v>0</x:v>
      </x:c>
      <x:c r="X773" s="23" t="n">
        <x:f>MAX(0,MIN('Activities'!L773,120)-MAX('Activities'!K773,114))</x:f>
        <x:v>0</x:v>
      </x:c>
      <x:c r="Y773" s="23" t="n">
        <x:f>MAX(0,MIN('Activities'!L773,126)-MAX('Activities'!K773,120))</x:f>
        <x:v>0</x:v>
      </x:c>
      <x:c r="Z773" s="23" t="n">
        <x:f>MAX(0,MIN('Activities'!L773,132)-MAX('Activities'!K773,126))</x:f>
        <x:v>0</x:v>
      </x:c>
      <x:c r="AA773" s="23" t="n">
        <x:f>MAX(0,MIN('Activities'!L773,138)-MAX('Activities'!K773,132))</x:f>
        <x:v>0</x:v>
      </x:c>
      <x:c r="AB773" s="23" t="n">
        <x:f>MAX(0,MIN('Activities'!L773,144)-MAX('Activities'!K773,138))</x:f>
        <x:v>0</x:v>
      </x:c>
      <x:c r="AC773" s="23" t="n">
        <x:f>MAX(0,MIN('Activities'!L773,150)-MAX('Activities'!K773,144))</x:f>
        <x:v>0</x:v>
      </x:c>
      <x:c r="AD773" s="23" t="n">
        <x:f>MAX(0,MIN('Activities'!L773,156)-MAX('Activities'!K773,150))</x:f>
        <x:v>0</x:v>
      </x:c>
      <x:c r="AE773" s="23" t="n">
        <x:f>MAX(0,MIN('Activities'!L773,162)-MAX('Activities'!K773,156))</x:f>
        <x:v>0</x:v>
      </x:c>
      <x:c r="AF773" s="23" t="n">
        <x:f>MAX(0,MIN('Activities'!L773,168)-MAX('Activities'!K773,162))</x:f>
        <x:v>0</x:v>
      </x:c>
      <x:c r="AG773" s="23" t="n">
        <x:f>MAX(0,MIN('Activities'!L773,174)-MAX('Activities'!K773,168))</x:f>
        <x:v>0</x:v>
      </x:c>
      <x:c r="AH773" s="23" t="n">
        <x:f>MAX(0,MIN('Activities'!L773,180)-MAX('Activities'!K773,174))</x:f>
        <x:v>0</x:v>
      </x:c>
      <x:c r="AI773" s="23" t="n">
        <x:f>MAX(0,MIN('Activities'!L773,186)-MAX('Activities'!K773,180))</x:f>
        <x:v>0</x:v>
      </x:c>
      <x:c r="AJ773" s="23" t="n">
        <x:f>MAX(0,MIN('Activities'!L773,192)-MAX('Activities'!K773,186))</x:f>
        <x:v>0</x:v>
      </x:c>
      <x:c r="AK773" s="23" t="n">
        <x:f>MAX(0,MIN('Activities'!L773,198)-MAX('Activities'!K773,192))</x:f>
        <x:v>0</x:v>
      </x:c>
      <x:c r="AL773" s="23" t="n">
        <x:f>MAX(0,MIN('Activities'!L773,204)-MAX('Activities'!K773,198))</x:f>
        <x:v>0</x:v>
      </x:c>
      <x:c r="AM773" s="23" t="n">
        <x:f>MAX(0,MIN('Activities'!L773,210)-MAX('Activities'!K773,204))</x:f>
        <x:v>0</x:v>
      </x:c>
      <x:c r="AN773" s="23" t="n">
        <x:f>MAX(0,MIN('Activities'!L773,216)-MAX('Activities'!K773,210))</x:f>
        <x:v>0</x:v>
      </x:c>
      <x:c r="AO773" s="23" t="n">
        <x:f>MAX(0,MIN('Activities'!L773,222)-MAX('Activities'!K773,216))</x:f>
        <x:v>0</x:v>
      </x:c>
      <x:c r="AP773" s="23" t="n">
        <x:f>MAX(0,MIN('Activities'!L773,228)-MAX('Activities'!K773,222))</x:f>
        <x:v>0</x:v>
      </x:c>
      <x:c r="AQ773" s="23" t="n">
        <x:f>MAX(0,MIN('Activities'!L773,234)-MAX('Activities'!K773,228))</x:f>
        <x:v>0</x:v>
      </x:c>
      <x:c r="AR773" s="23" t="n">
        <x:f>MAX(0,MIN('Activities'!L773,240)-MAX('Activities'!K773,234))</x:f>
        <x:v>0</x:v>
      </x:c>
      <x:c r="AS773" s="23" t="n">
        <x:f>MAX(0,MIN('Activities'!L773,246)-MAX('Activities'!K773,240))</x:f>
        <x:v>0</x:v>
      </x:c>
      <x:c r="AT773" s="23" t="n">
        <x:f>MAX(0,MIN('Activities'!L773,252)-MAX('Activities'!K773,246))</x:f>
        <x:v>0</x:v>
      </x:c>
      <x:c r="AU773" s="23" t="n">
        <x:f>MAX(0,MIN('Activities'!L773,258)-MAX('Activities'!K773,252))</x:f>
        <x:v>0</x:v>
      </x:c>
      <x:c r="AV773" s="23" t="n">
        <x:f>MAX(0,MIN('Activities'!L773,264)-MAX('Activities'!K773,258))</x:f>
        <x:v>0</x:v>
      </x:c>
      <x:c r="AW773" s="23" t="n">
        <x:f>MAX(0,MIN('Activities'!L773,270)-MAX('Activities'!K773,264))</x:f>
        <x:v>0</x:v>
      </x:c>
      <x:c r="AX773" s="23" t="n">
        <x:f>MAX(0,MIN('Activities'!L773,276)-MAX('Activities'!K773,270))</x:f>
        <x:v>0</x:v>
      </x:c>
      <x:c r="AY773" s="23" t="n">
        <x:f>MAX(0,MIN('Activities'!L773,282)-MAX('Activities'!K773,276))</x:f>
        <x:v>0</x:v>
      </x:c>
      <x:c r="AZ773" s="23" t="n">
        <x:f>MAX(0,MIN('Activities'!L773,288)-MAX('Activities'!K773,282))</x:f>
        <x:v>0</x:v>
      </x:c>
      <x:c r="BA773" s="23" t="n">
        <x:f>MAX(0,MIN('Activities'!L773,294)-MAX('Activities'!K773,288))</x:f>
        <x:v>0</x:v>
      </x:c>
      <x:c r="BB773" s="23" t="n">
        <x:f>MAX(0,MIN('Activities'!L773,300)-MAX('Activities'!K773,294))</x:f>
        <x:v>0</x:v>
      </x:c>
      <x:c r="BC773" s="23" t="n">
        <x:f>MAX(0,MIN('Activities'!L773,306)-MAX('Activities'!K773,300))</x:f>
        <x:v>0</x:v>
      </x:c>
      <x:c r="BD773" s="23" t="n">
        <x:f>MAX(0,MIN('Activities'!L773,312)-MAX('Activities'!K773,306))</x:f>
        <x:v>0</x:v>
      </x:c>
      <x:c r="BE773" s="23" t="n">
        <x:f>MAX(0,MIN('Activities'!L773,318)-MAX('Activities'!K773,312))</x:f>
        <x:v>0</x:v>
      </x:c>
      <x:c r="BF773" s="23" t="n">
        <x:f>MAX(0,MIN('Activities'!L773,324)-MAX('Activities'!K773,318))</x:f>
        <x:v>0</x:v>
      </x:c>
      <x:c r="BG773" s="23" t="n">
        <x:f>MAX(0,MIN('Activities'!L773,330)-MAX('Activities'!K773,324))</x:f>
        <x:v>0</x:v>
      </x:c>
      <x:c r="BH773" s="23" t="n">
        <x:f>MAX(0,MIN('Activities'!L773,336)-MAX('Activities'!K773,330))</x:f>
        <x:v>0</x:v>
      </x:c>
      <x:c r="BI773" s="23" t="n">
        <x:f>MAX(0,MIN('Activities'!L773,342)-MAX('Activities'!K773,336))</x:f>
        <x:v>0</x:v>
      </x:c>
      <x:c r="BJ773" s="23" t="n">
        <x:f>MAX(0,MIN('Activities'!L773,348)-MAX('Activities'!K773,342))</x:f>
        <x:v>0</x:v>
      </x:c>
      <x:c r="BK773" s="23" t="n">
        <x:f>MAX(0,MIN('Activities'!L773,354)-MAX('Activities'!K773,348))</x:f>
        <x:v>0</x:v>
      </x:c>
      <x:c r="BL773" s="23" t="n">
        <x:f>MAX(0,MIN('Activities'!L773,360)-MAX('Activities'!K773,354))</x:f>
        <x:v>0</x:v>
      </x:c>
      <x:c r="BM773" s="23" t="n">
        <x:f>MAX(0,MIN('Activities'!L773,366)-MAX('Activities'!K773,360))</x:f>
        <x:v>0</x:v>
      </x:c>
      <x:c r="BN773" s="23" t="n">
        <x:f>MAX(0,MIN('Activities'!L773,372)-MAX('Activities'!K773,366))</x:f>
        <x:v>0</x:v>
      </x:c>
      <x:c r="BO773" s="23" t="n">
        <x:f>MAX(0,MIN('Activities'!L773,378)-MAX('Activities'!K773,372))</x:f>
        <x:v>0</x:v>
      </x:c>
      <x:c r="BP773" s="23" t="n">
        <x:f>MAX(0,MIN('Activities'!L773,384)-MAX('Activities'!K773,378))</x:f>
        <x:v>0</x:v>
      </x:c>
      <x:c r="BQ773" s="23" t="n">
        <x:f>MAX(0,MIN('Activities'!L773,390)-MAX('Activities'!K773,384))</x:f>
        <x:v>3</x:v>
      </x:c>
      <x:c r="BR773" s="23" t="n">
        <x:f>MAX(0,MIN('Activities'!L773,396)-MAX('Activities'!K773,390))</x:f>
        <x:v>3</x:v>
      </x:c>
      <x:c r="BS773" s="23" t="n">
        <x:f>MAX(0,MIN('Activities'!L773,402)-MAX('Activities'!K773,396))</x:f>
        <x:v>0</x:v>
      </x:c>
      <x:c r="BT773" s="23" t="n">
        <x:f>MAX(0,MIN('Activities'!L773,408)-MAX('Activities'!K773,402))</x:f>
        <x:v>0</x:v>
      </x:c>
      <x:c r="BU773" s="23" t="n">
        <x:f>MAX(0,MIN('Activities'!L773,414)-MAX('Activities'!K773,408))</x:f>
        <x:v>0</x:v>
      </x:c>
      <x:c r="BV773" s="23" t="n">
        <x:f>MAX(0,MIN('Activities'!L773,420)-MAX('Activities'!K773,414))</x:f>
        <x:v>0</x:v>
      </x:c>
      <x:c r="BW773" s="23" t="n">
        <x:f>MAX(0,MIN('Activities'!L773,426)-MAX('Activities'!K773,420))</x:f>
        <x:v>0</x:v>
      </x:c>
      <x:c r="BX773" s="23" t="n">
        <x:f>MAX(0,MIN('Activities'!L773,432)-MAX('Activities'!K773,426))</x:f>
        <x:v>0</x:v>
      </x:c>
      <x:c r="BY773" s="23" t="n">
        <x:f>MAX(0,MIN('Activities'!L773,438)-MAX('Activities'!K773,432))</x:f>
        <x:v>0</x:v>
      </x:c>
      <x:c r="BZ773" s="23" t="n">
        <x:f>MAX(0,MIN('Activities'!L773,444)-MAX('Activities'!K773,438))</x:f>
        <x:v>0</x:v>
      </x:c>
      <x:c r="CA773" s="23" t="n">
        <x:f>MAX(0,MIN('Activities'!L773,450)-MAX('Activities'!K773,444))</x:f>
        <x:v>0</x:v>
      </x:c>
      <x:c r="CB773" s="23" t="n">
        <x:f>MAX(0,MIN('Activities'!L773,456)-MAX('Activities'!K773,450))</x:f>
        <x:v>0</x:v>
      </x:c>
      <x:c r="CC773" s="23" t="n">
        <x:f>MAX(0,MIN('Activities'!L773,462)-MAX('Activities'!K773,456))</x:f>
        <x:v>0</x:v>
      </x:c>
      <x:c r="CD773" s="23" t="n">
        <x:f>MAX(0,MIN('Activities'!L773,468)-MAX('Activities'!K773,462))</x:f>
        <x:v>0</x:v>
      </x:c>
      <x:c r="CE773" s="23" t="n">
        <x:f>MAX(0,MIN('Activities'!L773,474)-MAX('Activities'!K773,468))</x:f>
        <x:v>0</x:v>
      </x:c>
      <x:c r="CF773" s="23" t="n">
        <x:f>MAX(0,MIN('Activities'!L773,480)-MAX('Activities'!K773,474))</x:f>
        <x:v>0</x:v>
      </x:c>
      <x:c r="CG773" s="23" t="n">
        <x:f>MAX(0,MIN('Activities'!L773,486)-MAX('Activities'!K773,480))</x:f>
        <x:v>0</x:v>
      </x:c>
      <x:c r="CH773" s="23" t="n">
        <x:f>MAX(0,MIN('Activities'!L773,492)-MAX('Activities'!K773,486))</x:f>
        <x:v>0</x:v>
      </x:c>
      <x:c r="CI773" s="23" t="n">
        <x:f>MAX(0,MIN('Activities'!L773,498)-MAX('Activities'!K773,492))</x:f>
        <x:v>0</x:v>
      </x:c>
      <x:c r="CJ773" s="23" t="n">
        <x:f>MAX(0,MIN('Activities'!L773,504)-MAX('Activities'!K773,498))</x:f>
        <x:v>0</x:v>
      </x:c>
      <x:c r="CK773" s="23" t="n">
        <x:f>MAX(0,MIN('Activities'!L773,510)-MAX('Activities'!K773,504))</x:f>
        <x:v>0</x:v>
      </x:c>
      <x:c r="CL773" s="23" t="n">
        <x:f>MAX(0,MIN('Activities'!L773,516)-MAX('Activities'!K773,510))</x:f>
        <x:v>0</x:v>
      </x:c>
      <x:c r="CM773" s="23" t="n">
        <x:f>MAX(0,MIN('Activities'!L773,522)-MAX('Activities'!K773,516))</x:f>
        <x:v>0</x:v>
      </x:c>
      <x:c r="CN773" s="23" t="n">
        <x:f>MAX(0,MIN('Activities'!L773,528)-MAX('Activities'!K773,522))</x:f>
        <x:v>0</x:v>
      </x:c>
      <x:c r="CO773" s="23" t="n">
        <x:f>MAX(0,MIN('Activities'!L773,534)-MAX('Activities'!K773,528))</x:f>
        <x:v>0</x:v>
      </x:c>
      <x:c r="CP773" s="23" t="n">
        <x:f>MAX(0,MIN('Activities'!L773,540)-MAX('Activities'!K773,534))</x:f>
        <x:v>0</x:v>
      </x:c>
      <x:c r="CQ773" s="23" t="n">
        <x:f>MAX(0,MIN('Activities'!L773,546)-MAX('Activities'!K773,540))</x:f>
        <x:v>0</x:v>
      </x:c>
      <x:c r="CR773" s="23" t="n">
        <x:f>MAX(0,MIN('Activities'!L773,552)-MAX('Activities'!K773,546))</x:f>
        <x:v>0</x:v>
      </x:c>
      <x:c r="CS773" s="23" t="n">
        <x:f>MAX(0,MIN('Activities'!L773,558)-MAX('Activities'!K773,552))</x:f>
        <x:v>0</x:v>
      </x:c>
      <x:c r="CT773" s="23" t="n">
        <x:f>MAX(0,MIN('Activities'!L773,564)-MAX('Activities'!K773,558))</x:f>
        <x:v>0</x:v>
      </x:c>
      <x:c r="CU773" s="23" t="n">
        <x:f>MAX(0,MIN('Activities'!L773,570)-MAX('Activities'!K773,564))</x:f>
        <x:v>0</x:v>
      </x:c>
      <x:c r="CV773" s="23" t="n">
        <x:f>MAX(0,MIN('Activities'!L773,576)-MAX('Activities'!K773,570))</x:f>
        <x:v>0</x:v>
      </x:c>
      <x:c r="CW773" s="23" t="n">
        <x:f>MAX(0,MIN('Activities'!L773,582)-MAX('Activities'!K773,576))</x:f>
        <x:v>0</x:v>
      </x:c>
      <x:c r="CX773" s="23" t="n">
        <x:f>MAX(0,MIN('Activities'!L773,588)-MAX('Activities'!K773,582))</x:f>
        <x:v>0</x:v>
      </x:c>
      <x:c r="CY773" s="23" t="n">
        <x:f>MAX(0,MIN('Activities'!L773,594)-MAX('Activities'!K773,588))</x:f>
        <x:v>0</x:v>
      </x:c>
      <x:c r="CZ773" s="23" t="n">
        <x:f>MAX(0,MIN('Activities'!L773,600)-MAX('Activities'!K773,594))</x:f>
        <x:v>0</x:v>
      </x:c>
      <x:c r="DA773" s="23" t="n">
        <x:f>MAX(0,MIN('Activities'!L773,606)-MAX('Activities'!K773,600))</x:f>
        <x:v>0</x:v>
      </x:c>
      <x:c r="DB773" s="23" t="n">
        <x:f>MAX(0,MIN('Activities'!L773,612)-MAX('Activities'!K773,606))</x:f>
        <x:v>0</x:v>
      </x:c>
      <x:c r="DC773" s="23" t="n">
        <x:f>MAX(0,MIN('Activities'!L773,618)-MAX('Activities'!K773,612))</x:f>
        <x:v>0</x:v>
      </x:c>
      <x:c r="DD773" s="23" t="n">
        <x:f>MAX(0,MIN('Activities'!L773,624)-MAX('Activities'!K773,618))</x:f>
        <x:v>0</x:v>
      </x:c>
      <x:c r="DE773" s="23" t="n">
        <x:f>MAX(0,MIN('Activities'!L773,630)-MAX('Activities'!K773,624))</x:f>
        <x:v>0</x:v>
      </x:c>
      <x:c r="DF773" s="23" t="n">
        <x:f>MAX(0,MIN('Activities'!L773,636)-MAX('Activities'!K773,630))</x:f>
        <x:v>0</x:v>
      </x:c>
    </x:row>
    <x:row r="774" ht="23" customHeight="1">
      <x:c r="A774" s="6" t="str">
        <x:v>T6-L06-S</x:v>
      </x:c>
      <x:c r="B774" s="6" t="str">
        <x:v>T6</x:v>
      </x:c>
      <x:c r="C774" s="6" t="str">
        <x:v>Screed and substrate preparation</x:v>
      </x:c>
      <x:c r="D774" s="6" t="str">
        <x:v>Finishes</x:v>
      </x:c>
      <x:c r="E774" s="22" t="n">
        <x:f>MAX(0,MIN('Activities'!L774,6)-MAX('Activities'!K774,0))</x:f>
        <x:v>0</x:v>
      </x:c>
      <x:c r="F774" s="22" t="n">
        <x:f>MAX(0,MIN('Activities'!L774,12)-MAX('Activities'!K774,6))</x:f>
        <x:v>0</x:v>
      </x:c>
      <x:c r="G774" s="22" t="n">
        <x:f>MAX(0,MIN('Activities'!L774,18)-MAX('Activities'!K774,12))</x:f>
        <x:v>0</x:v>
      </x:c>
      <x:c r="H774" s="22" t="n">
        <x:f>MAX(0,MIN('Activities'!L774,24)-MAX('Activities'!K774,18))</x:f>
        <x:v>0</x:v>
      </x:c>
      <x:c r="I774" s="22" t="n">
        <x:f>MAX(0,MIN('Activities'!L774,30)-MAX('Activities'!K774,24))</x:f>
        <x:v>0</x:v>
      </x:c>
      <x:c r="J774" s="22" t="n">
        <x:f>MAX(0,MIN('Activities'!L774,36)-MAX('Activities'!K774,30))</x:f>
        <x:v>0</x:v>
      </x:c>
      <x:c r="K774" s="22" t="n">
        <x:f>MAX(0,MIN('Activities'!L774,42)-MAX('Activities'!K774,36))</x:f>
        <x:v>0</x:v>
      </x:c>
      <x:c r="L774" s="22" t="n">
        <x:f>MAX(0,MIN('Activities'!L774,48)-MAX('Activities'!K774,42))</x:f>
        <x:v>0</x:v>
      </x:c>
      <x:c r="M774" s="22" t="n">
        <x:f>MAX(0,MIN('Activities'!L774,54)-MAX('Activities'!K774,48))</x:f>
        <x:v>0</x:v>
      </x:c>
      <x:c r="N774" s="22" t="n">
        <x:f>MAX(0,MIN('Activities'!L774,60)-MAX('Activities'!K774,54))</x:f>
        <x:v>0</x:v>
      </x:c>
      <x:c r="O774" s="22" t="n">
        <x:f>MAX(0,MIN('Activities'!L774,66)-MAX('Activities'!K774,60))</x:f>
        <x:v>0</x:v>
      </x:c>
      <x:c r="P774" s="22" t="n">
        <x:f>MAX(0,MIN('Activities'!L774,72)-MAX('Activities'!K774,66))</x:f>
        <x:v>0</x:v>
      </x:c>
      <x:c r="Q774" s="22" t="n">
        <x:f>MAX(0,MIN('Activities'!L774,78)-MAX('Activities'!K774,72))</x:f>
        <x:v>0</x:v>
      </x:c>
      <x:c r="R774" s="22" t="n">
        <x:f>MAX(0,MIN('Activities'!L774,84)-MAX('Activities'!K774,78))</x:f>
        <x:v>0</x:v>
      </x:c>
      <x:c r="S774" s="22" t="n">
        <x:f>MAX(0,MIN('Activities'!L774,90)-MAX('Activities'!K774,84))</x:f>
        <x:v>0</x:v>
      </x:c>
      <x:c r="T774" s="22" t="n">
        <x:f>MAX(0,MIN('Activities'!L774,96)-MAX('Activities'!K774,90))</x:f>
        <x:v>0</x:v>
      </x:c>
      <x:c r="U774" s="22" t="n">
        <x:f>MAX(0,MIN('Activities'!L774,102)-MAX('Activities'!K774,96))</x:f>
        <x:v>0</x:v>
      </x:c>
      <x:c r="V774" s="22" t="n">
        <x:f>MAX(0,MIN('Activities'!L774,108)-MAX('Activities'!K774,102))</x:f>
        <x:v>0</x:v>
      </x:c>
      <x:c r="W774" s="22" t="n">
        <x:f>MAX(0,MIN('Activities'!L774,114)-MAX('Activities'!K774,108))</x:f>
        <x:v>0</x:v>
      </x:c>
      <x:c r="X774" s="22" t="n">
        <x:f>MAX(0,MIN('Activities'!L774,120)-MAX('Activities'!K774,114))</x:f>
        <x:v>0</x:v>
      </x:c>
      <x:c r="Y774" s="22" t="n">
        <x:f>MAX(0,MIN('Activities'!L774,126)-MAX('Activities'!K774,120))</x:f>
        <x:v>0</x:v>
      </x:c>
      <x:c r="Z774" s="22" t="n">
        <x:f>MAX(0,MIN('Activities'!L774,132)-MAX('Activities'!K774,126))</x:f>
        <x:v>0</x:v>
      </x:c>
      <x:c r="AA774" s="22" t="n">
        <x:f>MAX(0,MIN('Activities'!L774,138)-MAX('Activities'!K774,132))</x:f>
        <x:v>0</x:v>
      </x:c>
      <x:c r="AB774" s="22" t="n">
        <x:f>MAX(0,MIN('Activities'!L774,144)-MAX('Activities'!K774,138))</x:f>
        <x:v>0</x:v>
      </x:c>
      <x:c r="AC774" s="22" t="n">
        <x:f>MAX(0,MIN('Activities'!L774,150)-MAX('Activities'!K774,144))</x:f>
        <x:v>0</x:v>
      </x:c>
      <x:c r="AD774" s="22" t="n">
        <x:f>MAX(0,MIN('Activities'!L774,156)-MAX('Activities'!K774,150))</x:f>
        <x:v>0</x:v>
      </x:c>
      <x:c r="AE774" s="22" t="n">
        <x:f>MAX(0,MIN('Activities'!L774,162)-MAX('Activities'!K774,156))</x:f>
        <x:v>0</x:v>
      </x:c>
      <x:c r="AF774" s="22" t="n">
        <x:f>MAX(0,MIN('Activities'!L774,168)-MAX('Activities'!K774,162))</x:f>
        <x:v>0</x:v>
      </x:c>
      <x:c r="AG774" s="22" t="n">
        <x:f>MAX(0,MIN('Activities'!L774,174)-MAX('Activities'!K774,168))</x:f>
        <x:v>0</x:v>
      </x:c>
      <x:c r="AH774" s="22" t="n">
        <x:f>MAX(0,MIN('Activities'!L774,180)-MAX('Activities'!K774,174))</x:f>
        <x:v>0</x:v>
      </x:c>
      <x:c r="AI774" s="22" t="n">
        <x:f>MAX(0,MIN('Activities'!L774,186)-MAX('Activities'!K774,180))</x:f>
        <x:v>0</x:v>
      </x:c>
      <x:c r="AJ774" s="22" t="n">
        <x:f>MAX(0,MIN('Activities'!L774,192)-MAX('Activities'!K774,186))</x:f>
        <x:v>0</x:v>
      </x:c>
      <x:c r="AK774" s="22" t="n">
        <x:f>MAX(0,MIN('Activities'!L774,198)-MAX('Activities'!K774,192))</x:f>
        <x:v>0</x:v>
      </x:c>
      <x:c r="AL774" s="22" t="n">
        <x:f>MAX(0,MIN('Activities'!L774,204)-MAX('Activities'!K774,198))</x:f>
        <x:v>0</x:v>
      </x:c>
      <x:c r="AM774" s="22" t="n">
        <x:f>MAX(0,MIN('Activities'!L774,210)-MAX('Activities'!K774,204))</x:f>
        <x:v>0</x:v>
      </x:c>
      <x:c r="AN774" s="22" t="n">
        <x:f>MAX(0,MIN('Activities'!L774,216)-MAX('Activities'!K774,210))</x:f>
        <x:v>0</x:v>
      </x:c>
      <x:c r="AO774" s="22" t="n">
        <x:f>MAX(0,MIN('Activities'!L774,222)-MAX('Activities'!K774,216))</x:f>
        <x:v>0</x:v>
      </x:c>
      <x:c r="AP774" s="22" t="n">
        <x:f>MAX(0,MIN('Activities'!L774,228)-MAX('Activities'!K774,222))</x:f>
        <x:v>0</x:v>
      </x:c>
      <x:c r="AQ774" s="22" t="n">
        <x:f>MAX(0,MIN('Activities'!L774,234)-MAX('Activities'!K774,228))</x:f>
        <x:v>0</x:v>
      </x:c>
      <x:c r="AR774" s="22" t="n">
        <x:f>MAX(0,MIN('Activities'!L774,240)-MAX('Activities'!K774,234))</x:f>
        <x:v>0</x:v>
      </x:c>
      <x:c r="AS774" s="22" t="n">
        <x:f>MAX(0,MIN('Activities'!L774,246)-MAX('Activities'!K774,240))</x:f>
        <x:v>0</x:v>
      </x:c>
      <x:c r="AT774" s="22" t="n">
        <x:f>MAX(0,MIN('Activities'!L774,252)-MAX('Activities'!K774,246))</x:f>
        <x:v>0</x:v>
      </x:c>
      <x:c r="AU774" s="22" t="n">
        <x:f>MAX(0,MIN('Activities'!L774,258)-MAX('Activities'!K774,252))</x:f>
        <x:v>0</x:v>
      </x:c>
      <x:c r="AV774" s="22" t="n">
        <x:f>MAX(0,MIN('Activities'!L774,264)-MAX('Activities'!K774,258))</x:f>
        <x:v>0</x:v>
      </x:c>
      <x:c r="AW774" s="22" t="n">
        <x:f>MAX(0,MIN('Activities'!L774,270)-MAX('Activities'!K774,264))</x:f>
        <x:v>0</x:v>
      </x:c>
      <x:c r="AX774" s="22" t="n">
        <x:f>MAX(0,MIN('Activities'!L774,276)-MAX('Activities'!K774,270))</x:f>
        <x:v>0</x:v>
      </x:c>
      <x:c r="AY774" s="22" t="n">
        <x:f>MAX(0,MIN('Activities'!L774,282)-MAX('Activities'!K774,276))</x:f>
        <x:v>0</x:v>
      </x:c>
      <x:c r="AZ774" s="22" t="n">
        <x:f>MAX(0,MIN('Activities'!L774,288)-MAX('Activities'!K774,282))</x:f>
        <x:v>0</x:v>
      </x:c>
      <x:c r="BA774" s="22" t="n">
        <x:f>MAX(0,MIN('Activities'!L774,294)-MAX('Activities'!K774,288))</x:f>
        <x:v>0</x:v>
      </x:c>
      <x:c r="BB774" s="22" t="n">
        <x:f>MAX(0,MIN('Activities'!L774,300)-MAX('Activities'!K774,294))</x:f>
        <x:v>0</x:v>
      </x:c>
      <x:c r="BC774" s="22" t="n">
        <x:f>MAX(0,MIN('Activities'!L774,306)-MAX('Activities'!K774,300))</x:f>
        <x:v>0</x:v>
      </x:c>
      <x:c r="BD774" s="22" t="n">
        <x:f>MAX(0,MIN('Activities'!L774,312)-MAX('Activities'!K774,306))</x:f>
        <x:v>0</x:v>
      </x:c>
      <x:c r="BE774" s="22" t="n">
        <x:f>MAX(0,MIN('Activities'!L774,318)-MAX('Activities'!K774,312))</x:f>
        <x:v>0</x:v>
      </x:c>
      <x:c r="BF774" s="22" t="n">
        <x:f>MAX(0,MIN('Activities'!L774,324)-MAX('Activities'!K774,318))</x:f>
        <x:v>0</x:v>
      </x:c>
      <x:c r="BG774" s="22" t="n">
        <x:f>MAX(0,MIN('Activities'!L774,330)-MAX('Activities'!K774,324))</x:f>
        <x:v>0</x:v>
      </x:c>
      <x:c r="BH774" s="22" t="n">
        <x:f>MAX(0,MIN('Activities'!L774,336)-MAX('Activities'!K774,330))</x:f>
        <x:v>0</x:v>
      </x:c>
      <x:c r="BI774" s="22" t="n">
        <x:f>MAX(0,MIN('Activities'!L774,342)-MAX('Activities'!K774,336))</x:f>
        <x:v>0</x:v>
      </x:c>
      <x:c r="BJ774" s="22" t="n">
        <x:f>MAX(0,MIN('Activities'!L774,348)-MAX('Activities'!K774,342))</x:f>
        <x:v>0</x:v>
      </x:c>
      <x:c r="BK774" s="22" t="n">
        <x:f>MAX(0,MIN('Activities'!L774,354)-MAX('Activities'!K774,348))</x:f>
        <x:v>0</x:v>
      </x:c>
      <x:c r="BL774" s="22" t="n">
        <x:f>MAX(0,MIN('Activities'!L774,360)-MAX('Activities'!K774,354))</x:f>
        <x:v>0</x:v>
      </x:c>
      <x:c r="BM774" s="22" t="n">
        <x:f>MAX(0,MIN('Activities'!L774,366)-MAX('Activities'!K774,360))</x:f>
        <x:v>0</x:v>
      </x:c>
      <x:c r="BN774" s="22" t="n">
        <x:f>MAX(0,MIN('Activities'!L774,372)-MAX('Activities'!K774,366))</x:f>
        <x:v>0</x:v>
      </x:c>
      <x:c r="BO774" s="22" t="n">
        <x:f>MAX(0,MIN('Activities'!L774,378)-MAX('Activities'!K774,372))</x:f>
        <x:v>0</x:v>
      </x:c>
      <x:c r="BP774" s="22" t="n">
        <x:f>MAX(0,MIN('Activities'!L774,384)-MAX('Activities'!K774,378))</x:f>
        <x:v>0</x:v>
      </x:c>
      <x:c r="BQ774" s="22" t="n">
        <x:f>MAX(0,MIN('Activities'!L774,390)-MAX('Activities'!K774,384))</x:f>
        <x:v>0</x:v>
      </x:c>
      <x:c r="BR774" s="22" t="n">
        <x:f>MAX(0,MIN('Activities'!L774,396)-MAX('Activities'!K774,390))</x:f>
        <x:v>1</x:v>
      </x:c>
      <x:c r="BS774" s="22" t="n">
        <x:f>MAX(0,MIN('Activities'!L774,402)-MAX('Activities'!K774,396))</x:f>
        <x:v>2</x:v>
      </x:c>
      <x:c r="BT774" s="22" t="n">
        <x:f>MAX(0,MIN('Activities'!L774,408)-MAX('Activities'!K774,402))</x:f>
        <x:v>0</x:v>
      </x:c>
      <x:c r="BU774" s="22" t="n">
        <x:f>MAX(0,MIN('Activities'!L774,414)-MAX('Activities'!K774,408))</x:f>
        <x:v>0</x:v>
      </x:c>
      <x:c r="BV774" s="22" t="n">
        <x:f>MAX(0,MIN('Activities'!L774,420)-MAX('Activities'!K774,414))</x:f>
        <x:v>0</x:v>
      </x:c>
      <x:c r="BW774" s="22" t="n">
        <x:f>MAX(0,MIN('Activities'!L774,426)-MAX('Activities'!K774,420))</x:f>
        <x:v>0</x:v>
      </x:c>
      <x:c r="BX774" s="22" t="n">
        <x:f>MAX(0,MIN('Activities'!L774,432)-MAX('Activities'!K774,426))</x:f>
        <x:v>0</x:v>
      </x:c>
      <x:c r="BY774" s="22" t="n">
        <x:f>MAX(0,MIN('Activities'!L774,438)-MAX('Activities'!K774,432))</x:f>
        <x:v>0</x:v>
      </x:c>
      <x:c r="BZ774" s="22" t="n">
        <x:f>MAX(0,MIN('Activities'!L774,444)-MAX('Activities'!K774,438))</x:f>
        <x:v>0</x:v>
      </x:c>
      <x:c r="CA774" s="22" t="n">
        <x:f>MAX(0,MIN('Activities'!L774,450)-MAX('Activities'!K774,444))</x:f>
        <x:v>0</x:v>
      </x:c>
      <x:c r="CB774" s="22" t="n">
        <x:f>MAX(0,MIN('Activities'!L774,456)-MAX('Activities'!K774,450))</x:f>
        <x:v>0</x:v>
      </x:c>
      <x:c r="CC774" s="22" t="n">
        <x:f>MAX(0,MIN('Activities'!L774,462)-MAX('Activities'!K774,456))</x:f>
        <x:v>0</x:v>
      </x:c>
      <x:c r="CD774" s="22" t="n">
        <x:f>MAX(0,MIN('Activities'!L774,468)-MAX('Activities'!K774,462))</x:f>
        <x:v>0</x:v>
      </x:c>
      <x:c r="CE774" s="22" t="n">
        <x:f>MAX(0,MIN('Activities'!L774,474)-MAX('Activities'!K774,468))</x:f>
        <x:v>0</x:v>
      </x:c>
      <x:c r="CF774" s="22" t="n">
        <x:f>MAX(0,MIN('Activities'!L774,480)-MAX('Activities'!K774,474))</x:f>
        <x:v>0</x:v>
      </x:c>
      <x:c r="CG774" s="22" t="n">
        <x:f>MAX(0,MIN('Activities'!L774,486)-MAX('Activities'!K774,480))</x:f>
        <x:v>0</x:v>
      </x:c>
      <x:c r="CH774" s="22" t="n">
        <x:f>MAX(0,MIN('Activities'!L774,492)-MAX('Activities'!K774,486))</x:f>
        <x:v>0</x:v>
      </x:c>
      <x:c r="CI774" s="22" t="n">
        <x:f>MAX(0,MIN('Activities'!L774,498)-MAX('Activities'!K774,492))</x:f>
        <x:v>0</x:v>
      </x:c>
      <x:c r="CJ774" s="22" t="n">
        <x:f>MAX(0,MIN('Activities'!L774,504)-MAX('Activities'!K774,498))</x:f>
        <x:v>0</x:v>
      </x:c>
      <x:c r="CK774" s="22" t="n">
        <x:f>MAX(0,MIN('Activities'!L774,510)-MAX('Activities'!K774,504))</x:f>
        <x:v>0</x:v>
      </x:c>
      <x:c r="CL774" s="22" t="n">
        <x:f>MAX(0,MIN('Activities'!L774,516)-MAX('Activities'!K774,510))</x:f>
        <x:v>0</x:v>
      </x:c>
      <x:c r="CM774" s="22" t="n">
        <x:f>MAX(0,MIN('Activities'!L774,522)-MAX('Activities'!K774,516))</x:f>
        <x:v>0</x:v>
      </x:c>
      <x:c r="CN774" s="22" t="n">
        <x:f>MAX(0,MIN('Activities'!L774,528)-MAX('Activities'!K774,522))</x:f>
        <x:v>0</x:v>
      </x:c>
      <x:c r="CO774" s="22" t="n">
        <x:f>MAX(0,MIN('Activities'!L774,534)-MAX('Activities'!K774,528))</x:f>
        <x:v>0</x:v>
      </x:c>
      <x:c r="CP774" s="22" t="n">
        <x:f>MAX(0,MIN('Activities'!L774,540)-MAX('Activities'!K774,534))</x:f>
        <x:v>0</x:v>
      </x:c>
      <x:c r="CQ774" s="22" t="n">
        <x:f>MAX(0,MIN('Activities'!L774,546)-MAX('Activities'!K774,540))</x:f>
        <x:v>0</x:v>
      </x:c>
      <x:c r="CR774" s="22" t="n">
        <x:f>MAX(0,MIN('Activities'!L774,552)-MAX('Activities'!K774,546))</x:f>
        <x:v>0</x:v>
      </x:c>
      <x:c r="CS774" s="22" t="n">
        <x:f>MAX(0,MIN('Activities'!L774,558)-MAX('Activities'!K774,552))</x:f>
        <x:v>0</x:v>
      </x:c>
      <x:c r="CT774" s="22" t="n">
        <x:f>MAX(0,MIN('Activities'!L774,564)-MAX('Activities'!K774,558))</x:f>
        <x:v>0</x:v>
      </x:c>
      <x:c r="CU774" s="22" t="n">
        <x:f>MAX(0,MIN('Activities'!L774,570)-MAX('Activities'!K774,564))</x:f>
        <x:v>0</x:v>
      </x:c>
      <x:c r="CV774" s="22" t="n">
        <x:f>MAX(0,MIN('Activities'!L774,576)-MAX('Activities'!K774,570))</x:f>
        <x:v>0</x:v>
      </x:c>
      <x:c r="CW774" s="22" t="n">
        <x:f>MAX(0,MIN('Activities'!L774,582)-MAX('Activities'!K774,576))</x:f>
        <x:v>0</x:v>
      </x:c>
      <x:c r="CX774" s="22" t="n">
        <x:f>MAX(0,MIN('Activities'!L774,588)-MAX('Activities'!K774,582))</x:f>
        <x:v>0</x:v>
      </x:c>
      <x:c r="CY774" s="22" t="n">
        <x:f>MAX(0,MIN('Activities'!L774,594)-MAX('Activities'!K774,588))</x:f>
        <x:v>0</x:v>
      </x:c>
      <x:c r="CZ774" s="22" t="n">
        <x:f>MAX(0,MIN('Activities'!L774,600)-MAX('Activities'!K774,594))</x:f>
        <x:v>0</x:v>
      </x:c>
      <x:c r="DA774" s="22" t="n">
        <x:f>MAX(0,MIN('Activities'!L774,606)-MAX('Activities'!K774,600))</x:f>
        <x:v>0</x:v>
      </x:c>
      <x:c r="DB774" s="22" t="n">
        <x:f>MAX(0,MIN('Activities'!L774,612)-MAX('Activities'!K774,606))</x:f>
        <x:v>0</x:v>
      </x:c>
      <x:c r="DC774" s="22" t="n">
        <x:f>MAX(0,MIN('Activities'!L774,618)-MAX('Activities'!K774,612))</x:f>
        <x:v>0</x:v>
      </x:c>
      <x:c r="DD774" s="22" t="n">
        <x:f>MAX(0,MIN('Activities'!L774,624)-MAX('Activities'!K774,618))</x:f>
        <x:v>0</x:v>
      </x:c>
      <x:c r="DE774" s="22" t="n">
        <x:f>MAX(0,MIN('Activities'!L774,630)-MAX('Activities'!K774,624))</x:f>
        <x:v>0</x:v>
      </x:c>
      <x:c r="DF774" s="22" t="n">
        <x:f>MAX(0,MIN('Activities'!L774,636)-MAX('Activities'!K774,630))</x:f>
        <x:v>0</x:v>
      </x:c>
    </x:row>
    <x:row r="775" ht="23" customHeight="1">
      <x:c r="A775" s="1" t="str">
        <x:v>T6-L06-T</x:v>
      </x:c>
      <x:c r="B775" s="1" t="str">
        <x:v>T6</x:v>
      </x:c>
      <x:c r="C775" s="1" t="str">
        <x:v>Floor finishes and skirtings</x:v>
      </x:c>
      <x:c r="D775" s="1" t="str">
        <x:v>Finishes</x:v>
      </x:c>
      <x:c r="E775" s="23" t="n">
        <x:f>MAX(0,MIN('Activities'!L775,6)-MAX('Activities'!K775,0))</x:f>
        <x:v>0</x:v>
      </x:c>
      <x:c r="F775" s="23" t="n">
        <x:f>MAX(0,MIN('Activities'!L775,12)-MAX('Activities'!K775,6))</x:f>
        <x:v>0</x:v>
      </x:c>
      <x:c r="G775" s="23" t="n">
        <x:f>MAX(0,MIN('Activities'!L775,18)-MAX('Activities'!K775,12))</x:f>
        <x:v>0</x:v>
      </x:c>
      <x:c r="H775" s="23" t="n">
        <x:f>MAX(0,MIN('Activities'!L775,24)-MAX('Activities'!K775,18))</x:f>
        <x:v>0</x:v>
      </x:c>
      <x:c r="I775" s="23" t="n">
        <x:f>MAX(0,MIN('Activities'!L775,30)-MAX('Activities'!K775,24))</x:f>
        <x:v>0</x:v>
      </x:c>
      <x:c r="J775" s="23" t="n">
        <x:f>MAX(0,MIN('Activities'!L775,36)-MAX('Activities'!K775,30))</x:f>
        <x:v>0</x:v>
      </x:c>
      <x:c r="K775" s="23" t="n">
        <x:f>MAX(0,MIN('Activities'!L775,42)-MAX('Activities'!K775,36))</x:f>
        <x:v>0</x:v>
      </x:c>
      <x:c r="L775" s="23" t="n">
        <x:f>MAX(0,MIN('Activities'!L775,48)-MAX('Activities'!K775,42))</x:f>
        <x:v>0</x:v>
      </x:c>
      <x:c r="M775" s="23" t="n">
        <x:f>MAX(0,MIN('Activities'!L775,54)-MAX('Activities'!K775,48))</x:f>
        <x:v>0</x:v>
      </x:c>
      <x:c r="N775" s="23" t="n">
        <x:f>MAX(0,MIN('Activities'!L775,60)-MAX('Activities'!K775,54))</x:f>
        <x:v>0</x:v>
      </x:c>
      <x:c r="O775" s="23" t="n">
        <x:f>MAX(0,MIN('Activities'!L775,66)-MAX('Activities'!K775,60))</x:f>
        <x:v>0</x:v>
      </x:c>
      <x:c r="P775" s="23" t="n">
        <x:f>MAX(0,MIN('Activities'!L775,72)-MAX('Activities'!K775,66))</x:f>
        <x:v>0</x:v>
      </x:c>
      <x:c r="Q775" s="23" t="n">
        <x:f>MAX(0,MIN('Activities'!L775,78)-MAX('Activities'!K775,72))</x:f>
        <x:v>0</x:v>
      </x:c>
      <x:c r="R775" s="23" t="n">
        <x:f>MAX(0,MIN('Activities'!L775,84)-MAX('Activities'!K775,78))</x:f>
        <x:v>0</x:v>
      </x:c>
      <x:c r="S775" s="23" t="n">
        <x:f>MAX(0,MIN('Activities'!L775,90)-MAX('Activities'!K775,84))</x:f>
        <x:v>0</x:v>
      </x:c>
      <x:c r="T775" s="23" t="n">
        <x:f>MAX(0,MIN('Activities'!L775,96)-MAX('Activities'!K775,90))</x:f>
        <x:v>0</x:v>
      </x:c>
      <x:c r="U775" s="23" t="n">
        <x:f>MAX(0,MIN('Activities'!L775,102)-MAX('Activities'!K775,96))</x:f>
        <x:v>0</x:v>
      </x:c>
      <x:c r="V775" s="23" t="n">
        <x:f>MAX(0,MIN('Activities'!L775,108)-MAX('Activities'!K775,102))</x:f>
        <x:v>0</x:v>
      </x:c>
      <x:c r="W775" s="23" t="n">
        <x:f>MAX(0,MIN('Activities'!L775,114)-MAX('Activities'!K775,108))</x:f>
        <x:v>0</x:v>
      </x:c>
      <x:c r="X775" s="23" t="n">
        <x:f>MAX(0,MIN('Activities'!L775,120)-MAX('Activities'!K775,114))</x:f>
        <x:v>0</x:v>
      </x:c>
      <x:c r="Y775" s="23" t="n">
        <x:f>MAX(0,MIN('Activities'!L775,126)-MAX('Activities'!K775,120))</x:f>
        <x:v>0</x:v>
      </x:c>
      <x:c r="Z775" s="23" t="n">
        <x:f>MAX(0,MIN('Activities'!L775,132)-MAX('Activities'!K775,126))</x:f>
        <x:v>0</x:v>
      </x:c>
      <x:c r="AA775" s="23" t="n">
        <x:f>MAX(0,MIN('Activities'!L775,138)-MAX('Activities'!K775,132))</x:f>
        <x:v>0</x:v>
      </x:c>
      <x:c r="AB775" s="23" t="n">
        <x:f>MAX(0,MIN('Activities'!L775,144)-MAX('Activities'!K775,138))</x:f>
        <x:v>0</x:v>
      </x:c>
      <x:c r="AC775" s="23" t="n">
        <x:f>MAX(0,MIN('Activities'!L775,150)-MAX('Activities'!K775,144))</x:f>
        <x:v>0</x:v>
      </x:c>
      <x:c r="AD775" s="23" t="n">
        <x:f>MAX(0,MIN('Activities'!L775,156)-MAX('Activities'!K775,150))</x:f>
        <x:v>0</x:v>
      </x:c>
      <x:c r="AE775" s="23" t="n">
        <x:f>MAX(0,MIN('Activities'!L775,162)-MAX('Activities'!K775,156))</x:f>
        <x:v>0</x:v>
      </x:c>
      <x:c r="AF775" s="23" t="n">
        <x:f>MAX(0,MIN('Activities'!L775,168)-MAX('Activities'!K775,162))</x:f>
        <x:v>0</x:v>
      </x:c>
      <x:c r="AG775" s="23" t="n">
        <x:f>MAX(0,MIN('Activities'!L775,174)-MAX('Activities'!K775,168))</x:f>
        <x:v>0</x:v>
      </x:c>
      <x:c r="AH775" s="23" t="n">
        <x:f>MAX(0,MIN('Activities'!L775,180)-MAX('Activities'!K775,174))</x:f>
        <x:v>0</x:v>
      </x:c>
      <x:c r="AI775" s="23" t="n">
        <x:f>MAX(0,MIN('Activities'!L775,186)-MAX('Activities'!K775,180))</x:f>
        <x:v>0</x:v>
      </x:c>
      <x:c r="AJ775" s="23" t="n">
        <x:f>MAX(0,MIN('Activities'!L775,192)-MAX('Activities'!K775,186))</x:f>
        <x:v>0</x:v>
      </x:c>
      <x:c r="AK775" s="23" t="n">
        <x:f>MAX(0,MIN('Activities'!L775,198)-MAX('Activities'!K775,192))</x:f>
        <x:v>0</x:v>
      </x:c>
      <x:c r="AL775" s="23" t="n">
        <x:f>MAX(0,MIN('Activities'!L775,204)-MAX('Activities'!K775,198))</x:f>
        <x:v>0</x:v>
      </x:c>
      <x:c r="AM775" s="23" t="n">
        <x:f>MAX(0,MIN('Activities'!L775,210)-MAX('Activities'!K775,204))</x:f>
        <x:v>0</x:v>
      </x:c>
      <x:c r="AN775" s="23" t="n">
        <x:f>MAX(0,MIN('Activities'!L775,216)-MAX('Activities'!K775,210))</x:f>
        <x:v>0</x:v>
      </x:c>
      <x:c r="AO775" s="23" t="n">
        <x:f>MAX(0,MIN('Activities'!L775,222)-MAX('Activities'!K775,216))</x:f>
        <x:v>0</x:v>
      </x:c>
      <x:c r="AP775" s="23" t="n">
        <x:f>MAX(0,MIN('Activities'!L775,228)-MAX('Activities'!K775,222))</x:f>
        <x:v>0</x:v>
      </x:c>
      <x:c r="AQ775" s="23" t="n">
        <x:f>MAX(0,MIN('Activities'!L775,234)-MAX('Activities'!K775,228))</x:f>
        <x:v>0</x:v>
      </x:c>
      <x:c r="AR775" s="23" t="n">
        <x:f>MAX(0,MIN('Activities'!L775,240)-MAX('Activities'!K775,234))</x:f>
        <x:v>0</x:v>
      </x:c>
      <x:c r="AS775" s="23" t="n">
        <x:f>MAX(0,MIN('Activities'!L775,246)-MAX('Activities'!K775,240))</x:f>
        <x:v>0</x:v>
      </x:c>
      <x:c r="AT775" s="23" t="n">
        <x:f>MAX(0,MIN('Activities'!L775,252)-MAX('Activities'!K775,246))</x:f>
        <x:v>0</x:v>
      </x:c>
      <x:c r="AU775" s="23" t="n">
        <x:f>MAX(0,MIN('Activities'!L775,258)-MAX('Activities'!K775,252))</x:f>
        <x:v>0</x:v>
      </x:c>
      <x:c r="AV775" s="23" t="n">
        <x:f>MAX(0,MIN('Activities'!L775,264)-MAX('Activities'!K775,258))</x:f>
        <x:v>0</x:v>
      </x:c>
      <x:c r="AW775" s="23" t="n">
        <x:f>MAX(0,MIN('Activities'!L775,270)-MAX('Activities'!K775,264))</x:f>
        <x:v>0</x:v>
      </x:c>
      <x:c r="AX775" s="23" t="n">
        <x:f>MAX(0,MIN('Activities'!L775,276)-MAX('Activities'!K775,270))</x:f>
        <x:v>0</x:v>
      </x:c>
      <x:c r="AY775" s="23" t="n">
        <x:f>MAX(0,MIN('Activities'!L775,282)-MAX('Activities'!K775,276))</x:f>
        <x:v>0</x:v>
      </x:c>
      <x:c r="AZ775" s="23" t="n">
        <x:f>MAX(0,MIN('Activities'!L775,288)-MAX('Activities'!K775,282))</x:f>
        <x:v>0</x:v>
      </x:c>
      <x:c r="BA775" s="23" t="n">
        <x:f>MAX(0,MIN('Activities'!L775,294)-MAX('Activities'!K775,288))</x:f>
        <x:v>0</x:v>
      </x:c>
      <x:c r="BB775" s="23" t="n">
        <x:f>MAX(0,MIN('Activities'!L775,300)-MAX('Activities'!K775,294))</x:f>
        <x:v>0</x:v>
      </x:c>
      <x:c r="BC775" s="23" t="n">
        <x:f>MAX(0,MIN('Activities'!L775,306)-MAX('Activities'!K775,300))</x:f>
        <x:v>0</x:v>
      </x:c>
      <x:c r="BD775" s="23" t="n">
        <x:f>MAX(0,MIN('Activities'!L775,312)-MAX('Activities'!K775,306))</x:f>
        <x:v>0</x:v>
      </x:c>
      <x:c r="BE775" s="23" t="n">
        <x:f>MAX(0,MIN('Activities'!L775,318)-MAX('Activities'!K775,312))</x:f>
        <x:v>0</x:v>
      </x:c>
      <x:c r="BF775" s="23" t="n">
        <x:f>MAX(0,MIN('Activities'!L775,324)-MAX('Activities'!K775,318))</x:f>
        <x:v>0</x:v>
      </x:c>
      <x:c r="BG775" s="23" t="n">
        <x:f>MAX(0,MIN('Activities'!L775,330)-MAX('Activities'!K775,324))</x:f>
        <x:v>0</x:v>
      </x:c>
      <x:c r="BH775" s="23" t="n">
        <x:f>MAX(0,MIN('Activities'!L775,336)-MAX('Activities'!K775,330))</x:f>
        <x:v>0</x:v>
      </x:c>
      <x:c r="BI775" s="23" t="n">
        <x:f>MAX(0,MIN('Activities'!L775,342)-MAX('Activities'!K775,336))</x:f>
        <x:v>0</x:v>
      </x:c>
      <x:c r="BJ775" s="23" t="n">
        <x:f>MAX(0,MIN('Activities'!L775,348)-MAX('Activities'!K775,342))</x:f>
        <x:v>0</x:v>
      </x:c>
      <x:c r="BK775" s="23" t="n">
        <x:f>MAX(0,MIN('Activities'!L775,354)-MAX('Activities'!K775,348))</x:f>
        <x:v>0</x:v>
      </x:c>
      <x:c r="BL775" s="23" t="n">
        <x:f>MAX(0,MIN('Activities'!L775,360)-MAX('Activities'!K775,354))</x:f>
        <x:v>0</x:v>
      </x:c>
      <x:c r="BM775" s="23" t="n">
        <x:f>MAX(0,MIN('Activities'!L775,366)-MAX('Activities'!K775,360))</x:f>
        <x:v>0</x:v>
      </x:c>
      <x:c r="BN775" s="23" t="n">
        <x:f>MAX(0,MIN('Activities'!L775,372)-MAX('Activities'!K775,366))</x:f>
        <x:v>0</x:v>
      </x:c>
      <x:c r="BO775" s="23" t="n">
        <x:f>MAX(0,MIN('Activities'!L775,378)-MAX('Activities'!K775,372))</x:f>
        <x:v>0</x:v>
      </x:c>
      <x:c r="BP775" s="23" t="n">
        <x:f>MAX(0,MIN('Activities'!L775,384)-MAX('Activities'!K775,378))</x:f>
        <x:v>0</x:v>
      </x:c>
      <x:c r="BQ775" s="23" t="n">
        <x:f>MAX(0,MIN('Activities'!L775,390)-MAX('Activities'!K775,384))</x:f>
        <x:v>0</x:v>
      </x:c>
      <x:c r="BR775" s="23" t="n">
        <x:f>MAX(0,MIN('Activities'!L775,396)-MAX('Activities'!K775,390))</x:f>
        <x:v>0</x:v>
      </x:c>
      <x:c r="BS775" s="23" t="n">
        <x:f>MAX(0,MIN('Activities'!L775,402)-MAX('Activities'!K775,396))</x:f>
        <x:v>0</x:v>
      </x:c>
      <x:c r="BT775" s="23" t="n">
        <x:f>MAX(0,MIN('Activities'!L775,408)-MAX('Activities'!K775,402))</x:f>
        <x:v>0</x:v>
      </x:c>
      <x:c r="BU775" s="23" t="n">
        <x:f>MAX(0,MIN('Activities'!L775,414)-MAX('Activities'!K775,408))</x:f>
        <x:v>0</x:v>
      </x:c>
      <x:c r="BV775" s="23" t="n">
        <x:f>MAX(0,MIN('Activities'!L775,420)-MAX('Activities'!K775,414))</x:f>
        <x:v>0</x:v>
      </x:c>
      <x:c r="BW775" s="23" t="n">
        <x:f>MAX(0,MIN('Activities'!L775,426)-MAX('Activities'!K775,420))</x:f>
        <x:v>0</x:v>
      </x:c>
      <x:c r="BX775" s="23" t="n">
        <x:f>MAX(0,MIN('Activities'!L775,432)-MAX('Activities'!K775,426))</x:f>
        <x:v>0</x:v>
      </x:c>
      <x:c r="BY775" s="23" t="n">
        <x:f>MAX(0,MIN('Activities'!L775,438)-MAX('Activities'!K775,432))</x:f>
        <x:v>0</x:v>
      </x:c>
      <x:c r="BZ775" s="23" t="n">
        <x:f>MAX(0,MIN('Activities'!L775,444)-MAX('Activities'!K775,438))</x:f>
        <x:v>0</x:v>
      </x:c>
      <x:c r="CA775" s="23" t="n">
        <x:f>MAX(0,MIN('Activities'!L775,450)-MAX('Activities'!K775,444))</x:f>
        <x:v>0</x:v>
      </x:c>
      <x:c r="CB775" s="23" t="n">
        <x:f>MAX(0,MIN('Activities'!L775,456)-MAX('Activities'!K775,450))</x:f>
        <x:v>0</x:v>
      </x:c>
      <x:c r="CC775" s="23" t="n">
        <x:f>MAX(0,MIN('Activities'!L775,462)-MAX('Activities'!K775,456))</x:f>
        <x:v>1</x:v>
      </x:c>
      <x:c r="CD775" s="23" t="n">
        <x:f>MAX(0,MIN('Activities'!L775,468)-MAX('Activities'!K775,462))</x:f>
        <x:v>5</x:v>
      </x:c>
      <x:c r="CE775" s="23" t="n">
        <x:f>MAX(0,MIN('Activities'!L775,474)-MAX('Activities'!K775,468))</x:f>
        <x:v>0</x:v>
      </x:c>
      <x:c r="CF775" s="23" t="n">
        <x:f>MAX(0,MIN('Activities'!L775,480)-MAX('Activities'!K775,474))</x:f>
        <x:v>0</x:v>
      </x:c>
      <x:c r="CG775" s="23" t="n">
        <x:f>MAX(0,MIN('Activities'!L775,486)-MAX('Activities'!K775,480))</x:f>
        <x:v>0</x:v>
      </x:c>
      <x:c r="CH775" s="23" t="n">
        <x:f>MAX(0,MIN('Activities'!L775,492)-MAX('Activities'!K775,486))</x:f>
        <x:v>0</x:v>
      </x:c>
      <x:c r="CI775" s="23" t="n">
        <x:f>MAX(0,MIN('Activities'!L775,498)-MAX('Activities'!K775,492))</x:f>
        <x:v>0</x:v>
      </x:c>
      <x:c r="CJ775" s="23" t="n">
        <x:f>MAX(0,MIN('Activities'!L775,504)-MAX('Activities'!K775,498))</x:f>
        <x:v>0</x:v>
      </x:c>
      <x:c r="CK775" s="23" t="n">
        <x:f>MAX(0,MIN('Activities'!L775,510)-MAX('Activities'!K775,504))</x:f>
        <x:v>0</x:v>
      </x:c>
      <x:c r="CL775" s="23" t="n">
        <x:f>MAX(0,MIN('Activities'!L775,516)-MAX('Activities'!K775,510))</x:f>
        <x:v>0</x:v>
      </x:c>
      <x:c r="CM775" s="23" t="n">
        <x:f>MAX(0,MIN('Activities'!L775,522)-MAX('Activities'!K775,516))</x:f>
        <x:v>0</x:v>
      </x:c>
      <x:c r="CN775" s="23" t="n">
        <x:f>MAX(0,MIN('Activities'!L775,528)-MAX('Activities'!K775,522))</x:f>
        <x:v>0</x:v>
      </x:c>
      <x:c r="CO775" s="23" t="n">
        <x:f>MAX(0,MIN('Activities'!L775,534)-MAX('Activities'!K775,528))</x:f>
        <x:v>0</x:v>
      </x:c>
      <x:c r="CP775" s="23" t="n">
        <x:f>MAX(0,MIN('Activities'!L775,540)-MAX('Activities'!K775,534))</x:f>
        <x:v>0</x:v>
      </x:c>
      <x:c r="CQ775" s="23" t="n">
        <x:f>MAX(0,MIN('Activities'!L775,546)-MAX('Activities'!K775,540))</x:f>
        <x:v>0</x:v>
      </x:c>
      <x:c r="CR775" s="23" t="n">
        <x:f>MAX(0,MIN('Activities'!L775,552)-MAX('Activities'!K775,546))</x:f>
        <x:v>0</x:v>
      </x:c>
      <x:c r="CS775" s="23" t="n">
        <x:f>MAX(0,MIN('Activities'!L775,558)-MAX('Activities'!K775,552))</x:f>
        <x:v>0</x:v>
      </x:c>
      <x:c r="CT775" s="23" t="n">
        <x:f>MAX(0,MIN('Activities'!L775,564)-MAX('Activities'!K775,558))</x:f>
        <x:v>0</x:v>
      </x:c>
      <x:c r="CU775" s="23" t="n">
        <x:f>MAX(0,MIN('Activities'!L775,570)-MAX('Activities'!K775,564))</x:f>
        <x:v>0</x:v>
      </x:c>
      <x:c r="CV775" s="23" t="n">
        <x:f>MAX(0,MIN('Activities'!L775,576)-MAX('Activities'!K775,570))</x:f>
        <x:v>0</x:v>
      </x:c>
      <x:c r="CW775" s="23" t="n">
        <x:f>MAX(0,MIN('Activities'!L775,582)-MAX('Activities'!K775,576))</x:f>
        <x:v>0</x:v>
      </x:c>
      <x:c r="CX775" s="23" t="n">
        <x:f>MAX(0,MIN('Activities'!L775,588)-MAX('Activities'!K775,582))</x:f>
        <x:v>0</x:v>
      </x:c>
      <x:c r="CY775" s="23" t="n">
        <x:f>MAX(0,MIN('Activities'!L775,594)-MAX('Activities'!K775,588))</x:f>
        <x:v>0</x:v>
      </x:c>
      <x:c r="CZ775" s="23" t="n">
        <x:f>MAX(0,MIN('Activities'!L775,600)-MAX('Activities'!K775,594))</x:f>
        <x:v>0</x:v>
      </x:c>
      <x:c r="DA775" s="23" t="n">
        <x:f>MAX(0,MIN('Activities'!L775,606)-MAX('Activities'!K775,600))</x:f>
        <x:v>0</x:v>
      </x:c>
      <x:c r="DB775" s="23" t="n">
        <x:f>MAX(0,MIN('Activities'!L775,612)-MAX('Activities'!K775,606))</x:f>
        <x:v>0</x:v>
      </x:c>
      <x:c r="DC775" s="23" t="n">
        <x:f>MAX(0,MIN('Activities'!L775,618)-MAX('Activities'!K775,612))</x:f>
        <x:v>0</x:v>
      </x:c>
      <x:c r="DD775" s="23" t="n">
        <x:f>MAX(0,MIN('Activities'!L775,624)-MAX('Activities'!K775,618))</x:f>
        <x:v>0</x:v>
      </x:c>
      <x:c r="DE775" s="23" t="n">
        <x:f>MAX(0,MIN('Activities'!L775,630)-MAX('Activities'!K775,624))</x:f>
        <x:v>0</x:v>
      </x:c>
      <x:c r="DF775" s="23" t="n">
        <x:f>MAX(0,MIN('Activities'!L775,636)-MAX('Activities'!K775,630))</x:f>
        <x:v>0</x:v>
      </x:c>
    </x:row>
    <x:row r="776" ht="23" customHeight="1">
      <x:c r="A776" s="6" t="str">
        <x:v>T6-L06-A</x:v>
      </x:c>
      <x:c r="B776" s="6" t="str">
        <x:v>T6</x:v>
      </x:c>
      <x:c r="C776" s="6" t="str">
        <x:v>Paint and final decorations</x:v>
      </x:c>
      <x:c r="D776" s="6" t="str">
        <x:v>Finishes</x:v>
      </x:c>
      <x:c r="E776" s="22" t="n">
        <x:f>MAX(0,MIN('Activities'!L776,6)-MAX('Activities'!K776,0))</x:f>
        <x:v>0</x:v>
      </x:c>
      <x:c r="F776" s="22" t="n">
        <x:f>MAX(0,MIN('Activities'!L776,12)-MAX('Activities'!K776,6))</x:f>
        <x:v>0</x:v>
      </x:c>
      <x:c r="G776" s="22" t="n">
        <x:f>MAX(0,MIN('Activities'!L776,18)-MAX('Activities'!K776,12))</x:f>
        <x:v>0</x:v>
      </x:c>
      <x:c r="H776" s="22" t="n">
        <x:f>MAX(0,MIN('Activities'!L776,24)-MAX('Activities'!K776,18))</x:f>
        <x:v>0</x:v>
      </x:c>
      <x:c r="I776" s="22" t="n">
        <x:f>MAX(0,MIN('Activities'!L776,30)-MAX('Activities'!K776,24))</x:f>
        <x:v>0</x:v>
      </x:c>
      <x:c r="J776" s="22" t="n">
        <x:f>MAX(0,MIN('Activities'!L776,36)-MAX('Activities'!K776,30))</x:f>
        <x:v>0</x:v>
      </x:c>
      <x:c r="K776" s="22" t="n">
        <x:f>MAX(0,MIN('Activities'!L776,42)-MAX('Activities'!K776,36))</x:f>
        <x:v>0</x:v>
      </x:c>
      <x:c r="L776" s="22" t="n">
        <x:f>MAX(0,MIN('Activities'!L776,48)-MAX('Activities'!K776,42))</x:f>
        <x:v>0</x:v>
      </x:c>
      <x:c r="M776" s="22" t="n">
        <x:f>MAX(0,MIN('Activities'!L776,54)-MAX('Activities'!K776,48))</x:f>
        <x:v>0</x:v>
      </x:c>
      <x:c r="N776" s="22" t="n">
        <x:f>MAX(0,MIN('Activities'!L776,60)-MAX('Activities'!K776,54))</x:f>
        <x:v>0</x:v>
      </x:c>
      <x:c r="O776" s="22" t="n">
        <x:f>MAX(0,MIN('Activities'!L776,66)-MAX('Activities'!K776,60))</x:f>
        <x:v>0</x:v>
      </x:c>
      <x:c r="P776" s="22" t="n">
        <x:f>MAX(0,MIN('Activities'!L776,72)-MAX('Activities'!K776,66))</x:f>
        <x:v>0</x:v>
      </x:c>
      <x:c r="Q776" s="22" t="n">
        <x:f>MAX(0,MIN('Activities'!L776,78)-MAX('Activities'!K776,72))</x:f>
        <x:v>0</x:v>
      </x:c>
      <x:c r="R776" s="22" t="n">
        <x:f>MAX(0,MIN('Activities'!L776,84)-MAX('Activities'!K776,78))</x:f>
        <x:v>0</x:v>
      </x:c>
      <x:c r="S776" s="22" t="n">
        <x:f>MAX(0,MIN('Activities'!L776,90)-MAX('Activities'!K776,84))</x:f>
        <x:v>0</x:v>
      </x:c>
      <x:c r="T776" s="22" t="n">
        <x:f>MAX(0,MIN('Activities'!L776,96)-MAX('Activities'!K776,90))</x:f>
        <x:v>0</x:v>
      </x:c>
      <x:c r="U776" s="22" t="n">
        <x:f>MAX(0,MIN('Activities'!L776,102)-MAX('Activities'!K776,96))</x:f>
        <x:v>0</x:v>
      </x:c>
      <x:c r="V776" s="22" t="n">
        <x:f>MAX(0,MIN('Activities'!L776,108)-MAX('Activities'!K776,102))</x:f>
        <x:v>0</x:v>
      </x:c>
      <x:c r="W776" s="22" t="n">
        <x:f>MAX(0,MIN('Activities'!L776,114)-MAX('Activities'!K776,108))</x:f>
        <x:v>0</x:v>
      </x:c>
      <x:c r="X776" s="22" t="n">
        <x:f>MAX(0,MIN('Activities'!L776,120)-MAX('Activities'!K776,114))</x:f>
        <x:v>0</x:v>
      </x:c>
      <x:c r="Y776" s="22" t="n">
        <x:f>MAX(0,MIN('Activities'!L776,126)-MAX('Activities'!K776,120))</x:f>
        <x:v>0</x:v>
      </x:c>
      <x:c r="Z776" s="22" t="n">
        <x:f>MAX(0,MIN('Activities'!L776,132)-MAX('Activities'!K776,126))</x:f>
        <x:v>0</x:v>
      </x:c>
      <x:c r="AA776" s="22" t="n">
        <x:f>MAX(0,MIN('Activities'!L776,138)-MAX('Activities'!K776,132))</x:f>
        <x:v>0</x:v>
      </x:c>
      <x:c r="AB776" s="22" t="n">
        <x:f>MAX(0,MIN('Activities'!L776,144)-MAX('Activities'!K776,138))</x:f>
        <x:v>0</x:v>
      </x:c>
      <x:c r="AC776" s="22" t="n">
        <x:f>MAX(0,MIN('Activities'!L776,150)-MAX('Activities'!K776,144))</x:f>
        <x:v>0</x:v>
      </x:c>
      <x:c r="AD776" s="22" t="n">
        <x:f>MAX(0,MIN('Activities'!L776,156)-MAX('Activities'!K776,150))</x:f>
        <x:v>0</x:v>
      </x:c>
      <x:c r="AE776" s="22" t="n">
        <x:f>MAX(0,MIN('Activities'!L776,162)-MAX('Activities'!K776,156))</x:f>
        <x:v>0</x:v>
      </x:c>
      <x:c r="AF776" s="22" t="n">
        <x:f>MAX(0,MIN('Activities'!L776,168)-MAX('Activities'!K776,162))</x:f>
        <x:v>0</x:v>
      </x:c>
      <x:c r="AG776" s="22" t="n">
        <x:f>MAX(0,MIN('Activities'!L776,174)-MAX('Activities'!K776,168))</x:f>
        <x:v>0</x:v>
      </x:c>
      <x:c r="AH776" s="22" t="n">
        <x:f>MAX(0,MIN('Activities'!L776,180)-MAX('Activities'!K776,174))</x:f>
        <x:v>0</x:v>
      </x:c>
      <x:c r="AI776" s="22" t="n">
        <x:f>MAX(0,MIN('Activities'!L776,186)-MAX('Activities'!K776,180))</x:f>
        <x:v>0</x:v>
      </x:c>
      <x:c r="AJ776" s="22" t="n">
        <x:f>MAX(0,MIN('Activities'!L776,192)-MAX('Activities'!K776,186))</x:f>
        <x:v>0</x:v>
      </x:c>
      <x:c r="AK776" s="22" t="n">
        <x:f>MAX(0,MIN('Activities'!L776,198)-MAX('Activities'!K776,192))</x:f>
        <x:v>0</x:v>
      </x:c>
      <x:c r="AL776" s="22" t="n">
        <x:f>MAX(0,MIN('Activities'!L776,204)-MAX('Activities'!K776,198))</x:f>
        <x:v>0</x:v>
      </x:c>
      <x:c r="AM776" s="22" t="n">
        <x:f>MAX(0,MIN('Activities'!L776,210)-MAX('Activities'!K776,204))</x:f>
        <x:v>0</x:v>
      </x:c>
      <x:c r="AN776" s="22" t="n">
        <x:f>MAX(0,MIN('Activities'!L776,216)-MAX('Activities'!K776,210))</x:f>
        <x:v>0</x:v>
      </x:c>
      <x:c r="AO776" s="22" t="n">
        <x:f>MAX(0,MIN('Activities'!L776,222)-MAX('Activities'!K776,216))</x:f>
        <x:v>0</x:v>
      </x:c>
      <x:c r="AP776" s="22" t="n">
        <x:f>MAX(0,MIN('Activities'!L776,228)-MAX('Activities'!K776,222))</x:f>
        <x:v>0</x:v>
      </x:c>
      <x:c r="AQ776" s="22" t="n">
        <x:f>MAX(0,MIN('Activities'!L776,234)-MAX('Activities'!K776,228))</x:f>
        <x:v>0</x:v>
      </x:c>
      <x:c r="AR776" s="22" t="n">
        <x:f>MAX(0,MIN('Activities'!L776,240)-MAX('Activities'!K776,234))</x:f>
        <x:v>0</x:v>
      </x:c>
      <x:c r="AS776" s="22" t="n">
        <x:f>MAX(0,MIN('Activities'!L776,246)-MAX('Activities'!K776,240))</x:f>
        <x:v>0</x:v>
      </x:c>
      <x:c r="AT776" s="22" t="n">
        <x:f>MAX(0,MIN('Activities'!L776,252)-MAX('Activities'!K776,246))</x:f>
        <x:v>0</x:v>
      </x:c>
      <x:c r="AU776" s="22" t="n">
        <x:f>MAX(0,MIN('Activities'!L776,258)-MAX('Activities'!K776,252))</x:f>
        <x:v>0</x:v>
      </x:c>
      <x:c r="AV776" s="22" t="n">
        <x:f>MAX(0,MIN('Activities'!L776,264)-MAX('Activities'!K776,258))</x:f>
        <x:v>0</x:v>
      </x:c>
      <x:c r="AW776" s="22" t="n">
        <x:f>MAX(0,MIN('Activities'!L776,270)-MAX('Activities'!K776,264))</x:f>
        <x:v>0</x:v>
      </x:c>
      <x:c r="AX776" s="22" t="n">
        <x:f>MAX(0,MIN('Activities'!L776,276)-MAX('Activities'!K776,270))</x:f>
        <x:v>0</x:v>
      </x:c>
      <x:c r="AY776" s="22" t="n">
        <x:f>MAX(0,MIN('Activities'!L776,282)-MAX('Activities'!K776,276))</x:f>
        <x:v>0</x:v>
      </x:c>
      <x:c r="AZ776" s="22" t="n">
        <x:f>MAX(0,MIN('Activities'!L776,288)-MAX('Activities'!K776,282))</x:f>
        <x:v>0</x:v>
      </x:c>
      <x:c r="BA776" s="22" t="n">
        <x:f>MAX(0,MIN('Activities'!L776,294)-MAX('Activities'!K776,288))</x:f>
        <x:v>0</x:v>
      </x:c>
      <x:c r="BB776" s="22" t="n">
        <x:f>MAX(0,MIN('Activities'!L776,300)-MAX('Activities'!K776,294))</x:f>
        <x:v>0</x:v>
      </x:c>
      <x:c r="BC776" s="22" t="n">
        <x:f>MAX(0,MIN('Activities'!L776,306)-MAX('Activities'!K776,300))</x:f>
        <x:v>0</x:v>
      </x:c>
      <x:c r="BD776" s="22" t="n">
        <x:f>MAX(0,MIN('Activities'!L776,312)-MAX('Activities'!K776,306))</x:f>
        <x:v>0</x:v>
      </x:c>
      <x:c r="BE776" s="22" t="n">
        <x:f>MAX(0,MIN('Activities'!L776,318)-MAX('Activities'!K776,312))</x:f>
        <x:v>0</x:v>
      </x:c>
      <x:c r="BF776" s="22" t="n">
        <x:f>MAX(0,MIN('Activities'!L776,324)-MAX('Activities'!K776,318))</x:f>
        <x:v>0</x:v>
      </x:c>
      <x:c r="BG776" s="22" t="n">
        <x:f>MAX(0,MIN('Activities'!L776,330)-MAX('Activities'!K776,324))</x:f>
        <x:v>0</x:v>
      </x:c>
      <x:c r="BH776" s="22" t="n">
        <x:f>MAX(0,MIN('Activities'!L776,336)-MAX('Activities'!K776,330))</x:f>
        <x:v>0</x:v>
      </x:c>
      <x:c r="BI776" s="22" t="n">
        <x:f>MAX(0,MIN('Activities'!L776,342)-MAX('Activities'!K776,336))</x:f>
        <x:v>0</x:v>
      </x:c>
      <x:c r="BJ776" s="22" t="n">
        <x:f>MAX(0,MIN('Activities'!L776,348)-MAX('Activities'!K776,342))</x:f>
        <x:v>0</x:v>
      </x:c>
      <x:c r="BK776" s="22" t="n">
        <x:f>MAX(0,MIN('Activities'!L776,354)-MAX('Activities'!K776,348))</x:f>
        <x:v>0</x:v>
      </x:c>
      <x:c r="BL776" s="22" t="n">
        <x:f>MAX(0,MIN('Activities'!L776,360)-MAX('Activities'!K776,354))</x:f>
        <x:v>0</x:v>
      </x:c>
      <x:c r="BM776" s="22" t="n">
        <x:f>MAX(0,MIN('Activities'!L776,366)-MAX('Activities'!K776,360))</x:f>
        <x:v>0</x:v>
      </x:c>
      <x:c r="BN776" s="22" t="n">
        <x:f>MAX(0,MIN('Activities'!L776,372)-MAX('Activities'!K776,366))</x:f>
        <x:v>0</x:v>
      </x:c>
      <x:c r="BO776" s="22" t="n">
        <x:f>MAX(0,MIN('Activities'!L776,378)-MAX('Activities'!K776,372))</x:f>
        <x:v>0</x:v>
      </x:c>
      <x:c r="BP776" s="22" t="n">
        <x:f>MAX(0,MIN('Activities'!L776,384)-MAX('Activities'!K776,378))</x:f>
        <x:v>0</x:v>
      </x:c>
      <x:c r="BQ776" s="22" t="n">
        <x:f>MAX(0,MIN('Activities'!L776,390)-MAX('Activities'!K776,384))</x:f>
        <x:v>0</x:v>
      </x:c>
      <x:c r="BR776" s="22" t="n">
        <x:f>MAX(0,MIN('Activities'!L776,396)-MAX('Activities'!K776,390))</x:f>
        <x:v>0</x:v>
      </x:c>
      <x:c r="BS776" s="22" t="n">
        <x:f>MAX(0,MIN('Activities'!L776,402)-MAX('Activities'!K776,396))</x:f>
        <x:v>0</x:v>
      </x:c>
      <x:c r="BT776" s="22" t="n">
        <x:f>MAX(0,MIN('Activities'!L776,408)-MAX('Activities'!K776,402))</x:f>
        <x:v>0</x:v>
      </x:c>
      <x:c r="BU776" s="22" t="n">
        <x:f>MAX(0,MIN('Activities'!L776,414)-MAX('Activities'!K776,408))</x:f>
        <x:v>0</x:v>
      </x:c>
      <x:c r="BV776" s="22" t="n">
        <x:f>MAX(0,MIN('Activities'!L776,420)-MAX('Activities'!K776,414))</x:f>
        <x:v>0</x:v>
      </x:c>
      <x:c r="BW776" s="22" t="n">
        <x:f>MAX(0,MIN('Activities'!L776,426)-MAX('Activities'!K776,420))</x:f>
        <x:v>0</x:v>
      </x:c>
      <x:c r="BX776" s="22" t="n">
        <x:f>MAX(0,MIN('Activities'!L776,432)-MAX('Activities'!K776,426))</x:f>
        <x:v>0</x:v>
      </x:c>
      <x:c r="BY776" s="22" t="n">
        <x:f>MAX(0,MIN('Activities'!L776,438)-MAX('Activities'!K776,432))</x:f>
        <x:v>0</x:v>
      </x:c>
      <x:c r="BZ776" s="22" t="n">
        <x:f>MAX(0,MIN('Activities'!L776,444)-MAX('Activities'!K776,438))</x:f>
        <x:v>0</x:v>
      </x:c>
      <x:c r="CA776" s="22" t="n">
        <x:f>MAX(0,MIN('Activities'!L776,450)-MAX('Activities'!K776,444))</x:f>
        <x:v>0</x:v>
      </x:c>
      <x:c r="CB776" s="22" t="n">
        <x:f>MAX(0,MIN('Activities'!L776,456)-MAX('Activities'!K776,450))</x:f>
        <x:v>0</x:v>
      </x:c>
      <x:c r="CC776" s="22" t="n">
        <x:f>MAX(0,MIN('Activities'!L776,462)-MAX('Activities'!K776,456))</x:f>
        <x:v>0</x:v>
      </x:c>
      <x:c r="CD776" s="22" t="n">
        <x:f>MAX(0,MIN('Activities'!L776,468)-MAX('Activities'!K776,462))</x:f>
        <x:v>0</x:v>
      </x:c>
      <x:c r="CE776" s="22" t="n">
        <x:f>MAX(0,MIN('Activities'!L776,474)-MAX('Activities'!K776,468))</x:f>
        <x:v>5</x:v>
      </x:c>
      <x:c r="CF776" s="22" t="n">
        <x:f>MAX(0,MIN('Activities'!L776,480)-MAX('Activities'!K776,474))</x:f>
        <x:v>0</x:v>
      </x:c>
      <x:c r="CG776" s="22" t="n">
        <x:f>MAX(0,MIN('Activities'!L776,486)-MAX('Activities'!K776,480))</x:f>
        <x:v>0</x:v>
      </x:c>
      <x:c r="CH776" s="22" t="n">
        <x:f>MAX(0,MIN('Activities'!L776,492)-MAX('Activities'!K776,486))</x:f>
        <x:v>0</x:v>
      </x:c>
      <x:c r="CI776" s="22" t="n">
        <x:f>MAX(0,MIN('Activities'!L776,498)-MAX('Activities'!K776,492))</x:f>
        <x:v>0</x:v>
      </x:c>
      <x:c r="CJ776" s="22" t="n">
        <x:f>MAX(0,MIN('Activities'!L776,504)-MAX('Activities'!K776,498))</x:f>
        <x:v>0</x:v>
      </x:c>
      <x:c r="CK776" s="22" t="n">
        <x:f>MAX(0,MIN('Activities'!L776,510)-MAX('Activities'!K776,504))</x:f>
        <x:v>0</x:v>
      </x:c>
      <x:c r="CL776" s="22" t="n">
        <x:f>MAX(0,MIN('Activities'!L776,516)-MAX('Activities'!K776,510))</x:f>
        <x:v>0</x:v>
      </x:c>
      <x:c r="CM776" s="22" t="n">
        <x:f>MAX(0,MIN('Activities'!L776,522)-MAX('Activities'!K776,516))</x:f>
        <x:v>0</x:v>
      </x:c>
      <x:c r="CN776" s="22" t="n">
        <x:f>MAX(0,MIN('Activities'!L776,528)-MAX('Activities'!K776,522))</x:f>
        <x:v>0</x:v>
      </x:c>
      <x:c r="CO776" s="22" t="n">
        <x:f>MAX(0,MIN('Activities'!L776,534)-MAX('Activities'!K776,528))</x:f>
        <x:v>0</x:v>
      </x:c>
      <x:c r="CP776" s="22" t="n">
        <x:f>MAX(0,MIN('Activities'!L776,540)-MAX('Activities'!K776,534))</x:f>
        <x:v>0</x:v>
      </x:c>
      <x:c r="CQ776" s="22" t="n">
        <x:f>MAX(0,MIN('Activities'!L776,546)-MAX('Activities'!K776,540))</x:f>
        <x:v>0</x:v>
      </x:c>
      <x:c r="CR776" s="22" t="n">
        <x:f>MAX(0,MIN('Activities'!L776,552)-MAX('Activities'!K776,546))</x:f>
        <x:v>0</x:v>
      </x:c>
      <x:c r="CS776" s="22" t="n">
        <x:f>MAX(0,MIN('Activities'!L776,558)-MAX('Activities'!K776,552))</x:f>
        <x:v>0</x:v>
      </x:c>
      <x:c r="CT776" s="22" t="n">
        <x:f>MAX(0,MIN('Activities'!L776,564)-MAX('Activities'!K776,558))</x:f>
        <x:v>0</x:v>
      </x:c>
      <x:c r="CU776" s="22" t="n">
        <x:f>MAX(0,MIN('Activities'!L776,570)-MAX('Activities'!K776,564))</x:f>
        <x:v>0</x:v>
      </x:c>
      <x:c r="CV776" s="22" t="n">
        <x:f>MAX(0,MIN('Activities'!L776,576)-MAX('Activities'!K776,570))</x:f>
        <x:v>0</x:v>
      </x:c>
      <x:c r="CW776" s="22" t="n">
        <x:f>MAX(0,MIN('Activities'!L776,582)-MAX('Activities'!K776,576))</x:f>
        <x:v>0</x:v>
      </x:c>
      <x:c r="CX776" s="22" t="n">
        <x:f>MAX(0,MIN('Activities'!L776,588)-MAX('Activities'!K776,582))</x:f>
        <x:v>0</x:v>
      </x:c>
      <x:c r="CY776" s="22" t="n">
        <x:f>MAX(0,MIN('Activities'!L776,594)-MAX('Activities'!K776,588))</x:f>
        <x:v>0</x:v>
      </x:c>
      <x:c r="CZ776" s="22" t="n">
        <x:f>MAX(0,MIN('Activities'!L776,600)-MAX('Activities'!K776,594))</x:f>
        <x:v>0</x:v>
      </x:c>
      <x:c r="DA776" s="22" t="n">
        <x:f>MAX(0,MIN('Activities'!L776,606)-MAX('Activities'!K776,600))</x:f>
        <x:v>0</x:v>
      </x:c>
      <x:c r="DB776" s="22" t="n">
        <x:f>MAX(0,MIN('Activities'!L776,612)-MAX('Activities'!K776,606))</x:f>
        <x:v>0</x:v>
      </x:c>
      <x:c r="DC776" s="22" t="n">
        <x:f>MAX(0,MIN('Activities'!L776,618)-MAX('Activities'!K776,612))</x:f>
        <x:v>0</x:v>
      </x:c>
      <x:c r="DD776" s="22" t="n">
        <x:f>MAX(0,MIN('Activities'!L776,624)-MAX('Activities'!K776,618))</x:f>
        <x:v>0</x:v>
      </x:c>
      <x:c r="DE776" s="22" t="n">
        <x:f>MAX(0,MIN('Activities'!L776,630)-MAX('Activities'!K776,624))</x:f>
        <x:v>0</x:v>
      </x:c>
      <x:c r="DF776" s="22" t="n">
        <x:f>MAX(0,MIN('Activities'!L776,636)-MAX('Activities'!K776,630))</x:f>
        <x:v>0</x:v>
      </x:c>
    </x:row>
    <x:row r="777" ht="23" customHeight="1">
      <x:c r="A777" s="1" t="str">
        <x:v>T6-L06-D</x:v>
      </x:c>
      <x:c r="B777" s="1" t="str">
        <x:v>T6</x:v>
      </x:c>
      <x:c r="C777" s="1" t="str">
        <x:v>Door sets and ironmongery</x:v>
      </x:c>
      <x:c r="D777" s="1" t="str">
        <x:v>Finishes</x:v>
      </x:c>
      <x:c r="E777" s="23" t="n">
        <x:f>MAX(0,MIN('Activities'!L777,6)-MAX('Activities'!K777,0))</x:f>
        <x:v>0</x:v>
      </x:c>
      <x:c r="F777" s="23" t="n">
        <x:f>MAX(0,MIN('Activities'!L777,12)-MAX('Activities'!K777,6))</x:f>
        <x:v>0</x:v>
      </x:c>
      <x:c r="G777" s="23" t="n">
        <x:f>MAX(0,MIN('Activities'!L777,18)-MAX('Activities'!K777,12))</x:f>
        <x:v>0</x:v>
      </x:c>
      <x:c r="H777" s="23" t="n">
        <x:f>MAX(0,MIN('Activities'!L777,24)-MAX('Activities'!K777,18))</x:f>
        <x:v>0</x:v>
      </x:c>
      <x:c r="I777" s="23" t="n">
        <x:f>MAX(0,MIN('Activities'!L777,30)-MAX('Activities'!K777,24))</x:f>
        <x:v>0</x:v>
      </x:c>
      <x:c r="J777" s="23" t="n">
        <x:f>MAX(0,MIN('Activities'!L777,36)-MAX('Activities'!K777,30))</x:f>
        <x:v>0</x:v>
      </x:c>
      <x:c r="K777" s="23" t="n">
        <x:f>MAX(0,MIN('Activities'!L777,42)-MAX('Activities'!K777,36))</x:f>
        <x:v>0</x:v>
      </x:c>
      <x:c r="L777" s="23" t="n">
        <x:f>MAX(0,MIN('Activities'!L777,48)-MAX('Activities'!K777,42))</x:f>
        <x:v>0</x:v>
      </x:c>
      <x:c r="M777" s="23" t="n">
        <x:f>MAX(0,MIN('Activities'!L777,54)-MAX('Activities'!K777,48))</x:f>
        <x:v>0</x:v>
      </x:c>
      <x:c r="N777" s="23" t="n">
        <x:f>MAX(0,MIN('Activities'!L777,60)-MAX('Activities'!K777,54))</x:f>
        <x:v>0</x:v>
      </x:c>
      <x:c r="O777" s="23" t="n">
        <x:f>MAX(0,MIN('Activities'!L777,66)-MAX('Activities'!K777,60))</x:f>
        <x:v>0</x:v>
      </x:c>
      <x:c r="P777" s="23" t="n">
        <x:f>MAX(0,MIN('Activities'!L777,72)-MAX('Activities'!K777,66))</x:f>
        <x:v>0</x:v>
      </x:c>
      <x:c r="Q777" s="23" t="n">
        <x:f>MAX(0,MIN('Activities'!L777,78)-MAX('Activities'!K777,72))</x:f>
        <x:v>0</x:v>
      </x:c>
      <x:c r="R777" s="23" t="n">
        <x:f>MAX(0,MIN('Activities'!L777,84)-MAX('Activities'!K777,78))</x:f>
        <x:v>0</x:v>
      </x:c>
      <x:c r="S777" s="23" t="n">
        <x:f>MAX(0,MIN('Activities'!L777,90)-MAX('Activities'!K777,84))</x:f>
        <x:v>0</x:v>
      </x:c>
      <x:c r="T777" s="23" t="n">
        <x:f>MAX(0,MIN('Activities'!L777,96)-MAX('Activities'!K777,90))</x:f>
        <x:v>0</x:v>
      </x:c>
      <x:c r="U777" s="23" t="n">
        <x:f>MAX(0,MIN('Activities'!L777,102)-MAX('Activities'!K777,96))</x:f>
        <x:v>0</x:v>
      </x:c>
      <x:c r="V777" s="23" t="n">
        <x:f>MAX(0,MIN('Activities'!L777,108)-MAX('Activities'!K777,102))</x:f>
        <x:v>0</x:v>
      </x:c>
      <x:c r="W777" s="23" t="n">
        <x:f>MAX(0,MIN('Activities'!L777,114)-MAX('Activities'!K777,108))</x:f>
        <x:v>0</x:v>
      </x:c>
      <x:c r="X777" s="23" t="n">
        <x:f>MAX(0,MIN('Activities'!L777,120)-MAX('Activities'!K777,114))</x:f>
        <x:v>0</x:v>
      </x:c>
      <x:c r="Y777" s="23" t="n">
        <x:f>MAX(0,MIN('Activities'!L777,126)-MAX('Activities'!K777,120))</x:f>
        <x:v>0</x:v>
      </x:c>
      <x:c r="Z777" s="23" t="n">
        <x:f>MAX(0,MIN('Activities'!L777,132)-MAX('Activities'!K777,126))</x:f>
        <x:v>0</x:v>
      </x:c>
      <x:c r="AA777" s="23" t="n">
        <x:f>MAX(0,MIN('Activities'!L777,138)-MAX('Activities'!K777,132))</x:f>
        <x:v>0</x:v>
      </x:c>
      <x:c r="AB777" s="23" t="n">
        <x:f>MAX(0,MIN('Activities'!L777,144)-MAX('Activities'!K777,138))</x:f>
        <x:v>0</x:v>
      </x:c>
      <x:c r="AC777" s="23" t="n">
        <x:f>MAX(0,MIN('Activities'!L777,150)-MAX('Activities'!K777,144))</x:f>
        <x:v>0</x:v>
      </x:c>
      <x:c r="AD777" s="23" t="n">
        <x:f>MAX(0,MIN('Activities'!L777,156)-MAX('Activities'!K777,150))</x:f>
        <x:v>0</x:v>
      </x:c>
      <x:c r="AE777" s="23" t="n">
        <x:f>MAX(0,MIN('Activities'!L777,162)-MAX('Activities'!K777,156))</x:f>
        <x:v>0</x:v>
      </x:c>
      <x:c r="AF777" s="23" t="n">
        <x:f>MAX(0,MIN('Activities'!L777,168)-MAX('Activities'!K777,162))</x:f>
        <x:v>0</x:v>
      </x:c>
      <x:c r="AG777" s="23" t="n">
        <x:f>MAX(0,MIN('Activities'!L777,174)-MAX('Activities'!K777,168))</x:f>
        <x:v>0</x:v>
      </x:c>
      <x:c r="AH777" s="23" t="n">
        <x:f>MAX(0,MIN('Activities'!L777,180)-MAX('Activities'!K777,174))</x:f>
        <x:v>0</x:v>
      </x:c>
      <x:c r="AI777" s="23" t="n">
        <x:f>MAX(0,MIN('Activities'!L777,186)-MAX('Activities'!K777,180))</x:f>
        <x:v>0</x:v>
      </x:c>
      <x:c r="AJ777" s="23" t="n">
        <x:f>MAX(0,MIN('Activities'!L777,192)-MAX('Activities'!K777,186))</x:f>
        <x:v>0</x:v>
      </x:c>
      <x:c r="AK777" s="23" t="n">
        <x:f>MAX(0,MIN('Activities'!L777,198)-MAX('Activities'!K777,192))</x:f>
        <x:v>0</x:v>
      </x:c>
      <x:c r="AL777" s="23" t="n">
        <x:f>MAX(0,MIN('Activities'!L777,204)-MAX('Activities'!K777,198))</x:f>
        <x:v>0</x:v>
      </x:c>
      <x:c r="AM777" s="23" t="n">
        <x:f>MAX(0,MIN('Activities'!L777,210)-MAX('Activities'!K777,204))</x:f>
        <x:v>0</x:v>
      </x:c>
      <x:c r="AN777" s="23" t="n">
        <x:f>MAX(0,MIN('Activities'!L777,216)-MAX('Activities'!K777,210))</x:f>
        <x:v>0</x:v>
      </x:c>
      <x:c r="AO777" s="23" t="n">
        <x:f>MAX(0,MIN('Activities'!L777,222)-MAX('Activities'!K777,216))</x:f>
        <x:v>0</x:v>
      </x:c>
      <x:c r="AP777" s="23" t="n">
        <x:f>MAX(0,MIN('Activities'!L777,228)-MAX('Activities'!K777,222))</x:f>
        <x:v>0</x:v>
      </x:c>
      <x:c r="AQ777" s="23" t="n">
        <x:f>MAX(0,MIN('Activities'!L777,234)-MAX('Activities'!K777,228))</x:f>
        <x:v>0</x:v>
      </x:c>
      <x:c r="AR777" s="23" t="n">
        <x:f>MAX(0,MIN('Activities'!L777,240)-MAX('Activities'!K777,234))</x:f>
        <x:v>0</x:v>
      </x:c>
      <x:c r="AS777" s="23" t="n">
        <x:f>MAX(0,MIN('Activities'!L777,246)-MAX('Activities'!K777,240))</x:f>
        <x:v>0</x:v>
      </x:c>
      <x:c r="AT777" s="23" t="n">
        <x:f>MAX(0,MIN('Activities'!L777,252)-MAX('Activities'!K777,246))</x:f>
        <x:v>0</x:v>
      </x:c>
      <x:c r="AU777" s="23" t="n">
        <x:f>MAX(0,MIN('Activities'!L777,258)-MAX('Activities'!K777,252))</x:f>
        <x:v>0</x:v>
      </x:c>
      <x:c r="AV777" s="23" t="n">
        <x:f>MAX(0,MIN('Activities'!L777,264)-MAX('Activities'!K777,258))</x:f>
        <x:v>0</x:v>
      </x:c>
      <x:c r="AW777" s="23" t="n">
        <x:f>MAX(0,MIN('Activities'!L777,270)-MAX('Activities'!K777,264))</x:f>
        <x:v>0</x:v>
      </x:c>
      <x:c r="AX777" s="23" t="n">
        <x:f>MAX(0,MIN('Activities'!L777,276)-MAX('Activities'!K777,270))</x:f>
        <x:v>0</x:v>
      </x:c>
      <x:c r="AY777" s="23" t="n">
        <x:f>MAX(0,MIN('Activities'!L777,282)-MAX('Activities'!K777,276))</x:f>
        <x:v>0</x:v>
      </x:c>
      <x:c r="AZ777" s="23" t="n">
        <x:f>MAX(0,MIN('Activities'!L777,288)-MAX('Activities'!K777,282))</x:f>
        <x:v>0</x:v>
      </x:c>
      <x:c r="BA777" s="23" t="n">
        <x:f>MAX(0,MIN('Activities'!L777,294)-MAX('Activities'!K777,288))</x:f>
        <x:v>0</x:v>
      </x:c>
      <x:c r="BB777" s="23" t="n">
        <x:f>MAX(0,MIN('Activities'!L777,300)-MAX('Activities'!K777,294))</x:f>
        <x:v>0</x:v>
      </x:c>
      <x:c r="BC777" s="23" t="n">
        <x:f>MAX(0,MIN('Activities'!L777,306)-MAX('Activities'!K777,300))</x:f>
        <x:v>0</x:v>
      </x:c>
      <x:c r="BD777" s="23" t="n">
        <x:f>MAX(0,MIN('Activities'!L777,312)-MAX('Activities'!K777,306))</x:f>
        <x:v>0</x:v>
      </x:c>
      <x:c r="BE777" s="23" t="n">
        <x:f>MAX(0,MIN('Activities'!L777,318)-MAX('Activities'!K777,312))</x:f>
        <x:v>0</x:v>
      </x:c>
      <x:c r="BF777" s="23" t="n">
        <x:f>MAX(0,MIN('Activities'!L777,324)-MAX('Activities'!K777,318))</x:f>
        <x:v>0</x:v>
      </x:c>
      <x:c r="BG777" s="23" t="n">
        <x:f>MAX(0,MIN('Activities'!L777,330)-MAX('Activities'!K777,324))</x:f>
        <x:v>0</x:v>
      </x:c>
      <x:c r="BH777" s="23" t="n">
        <x:f>MAX(0,MIN('Activities'!L777,336)-MAX('Activities'!K777,330))</x:f>
        <x:v>0</x:v>
      </x:c>
      <x:c r="BI777" s="23" t="n">
        <x:f>MAX(0,MIN('Activities'!L777,342)-MAX('Activities'!K777,336))</x:f>
        <x:v>0</x:v>
      </x:c>
      <x:c r="BJ777" s="23" t="n">
        <x:f>MAX(0,MIN('Activities'!L777,348)-MAX('Activities'!K777,342))</x:f>
        <x:v>0</x:v>
      </x:c>
      <x:c r="BK777" s="23" t="n">
        <x:f>MAX(0,MIN('Activities'!L777,354)-MAX('Activities'!K777,348))</x:f>
        <x:v>0</x:v>
      </x:c>
      <x:c r="BL777" s="23" t="n">
        <x:f>MAX(0,MIN('Activities'!L777,360)-MAX('Activities'!K777,354))</x:f>
        <x:v>0</x:v>
      </x:c>
      <x:c r="BM777" s="23" t="n">
        <x:f>MAX(0,MIN('Activities'!L777,366)-MAX('Activities'!K777,360))</x:f>
        <x:v>0</x:v>
      </x:c>
      <x:c r="BN777" s="23" t="n">
        <x:f>MAX(0,MIN('Activities'!L777,372)-MAX('Activities'!K777,366))</x:f>
        <x:v>0</x:v>
      </x:c>
      <x:c r="BO777" s="23" t="n">
        <x:f>MAX(0,MIN('Activities'!L777,378)-MAX('Activities'!K777,372))</x:f>
        <x:v>0</x:v>
      </x:c>
      <x:c r="BP777" s="23" t="n">
        <x:f>MAX(0,MIN('Activities'!L777,384)-MAX('Activities'!K777,378))</x:f>
        <x:v>0</x:v>
      </x:c>
      <x:c r="BQ777" s="23" t="n">
        <x:f>MAX(0,MIN('Activities'!L777,390)-MAX('Activities'!K777,384))</x:f>
        <x:v>0</x:v>
      </x:c>
      <x:c r="BR777" s="23" t="n">
        <x:f>MAX(0,MIN('Activities'!L777,396)-MAX('Activities'!K777,390))</x:f>
        <x:v>0</x:v>
      </x:c>
      <x:c r="BS777" s="23" t="n">
        <x:f>MAX(0,MIN('Activities'!L777,402)-MAX('Activities'!K777,396))</x:f>
        <x:v>0</x:v>
      </x:c>
      <x:c r="BT777" s="23" t="n">
        <x:f>MAX(0,MIN('Activities'!L777,408)-MAX('Activities'!K777,402))</x:f>
        <x:v>0</x:v>
      </x:c>
      <x:c r="BU777" s="23" t="n">
        <x:f>MAX(0,MIN('Activities'!L777,414)-MAX('Activities'!K777,408))</x:f>
        <x:v>0</x:v>
      </x:c>
      <x:c r="BV777" s="23" t="n">
        <x:f>MAX(0,MIN('Activities'!L777,420)-MAX('Activities'!K777,414))</x:f>
        <x:v>0</x:v>
      </x:c>
      <x:c r="BW777" s="23" t="n">
        <x:f>MAX(0,MIN('Activities'!L777,426)-MAX('Activities'!K777,420))</x:f>
        <x:v>0</x:v>
      </x:c>
      <x:c r="BX777" s="23" t="n">
        <x:f>MAX(0,MIN('Activities'!L777,432)-MAX('Activities'!K777,426))</x:f>
        <x:v>0</x:v>
      </x:c>
      <x:c r="BY777" s="23" t="n">
        <x:f>MAX(0,MIN('Activities'!L777,438)-MAX('Activities'!K777,432))</x:f>
        <x:v>0</x:v>
      </x:c>
      <x:c r="BZ777" s="23" t="n">
        <x:f>MAX(0,MIN('Activities'!L777,444)-MAX('Activities'!K777,438))</x:f>
        <x:v>0</x:v>
      </x:c>
      <x:c r="CA777" s="23" t="n">
        <x:f>MAX(0,MIN('Activities'!L777,450)-MAX('Activities'!K777,444))</x:f>
        <x:v>0</x:v>
      </x:c>
      <x:c r="CB777" s="23" t="n">
        <x:f>MAX(0,MIN('Activities'!L777,456)-MAX('Activities'!K777,450))</x:f>
        <x:v>0</x:v>
      </x:c>
      <x:c r="CC777" s="23" t="n">
        <x:f>MAX(0,MIN('Activities'!L777,462)-MAX('Activities'!K777,456))</x:f>
        <x:v>0</x:v>
      </x:c>
      <x:c r="CD777" s="23" t="n">
        <x:f>MAX(0,MIN('Activities'!L777,468)-MAX('Activities'!K777,462))</x:f>
        <x:v>0</x:v>
      </x:c>
      <x:c r="CE777" s="23" t="n">
        <x:f>MAX(0,MIN('Activities'!L777,474)-MAX('Activities'!K777,468))</x:f>
        <x:v>0</x:v>
      </x:c>
      <x:c r="CF777" s="23" t="n">
        <x:f>MAX(0,MIN('Activities'!L777,480)-MAX('Activities'!K777,474))</x:f>
        <x:v>3</x:v>
      </x:c>
      <x:c r="CG777" s="23" t="n">
        <x:f>MAX(0,MIN('Activities'!L777,486)-MAX('Activities'!K777,480))</x:f>
        <x:v>0</x:v>
      </x:c>
      <x:c r="CH777" s="23" t="n">
        <x:f>MAX(0,MIN('Activities'!L777,492)-MAX('Activities'!K777,486))</x:f>
        <x:v>0</x:v>
      </x:c>
      <x:c r="CI777" s="23" t="n">
        <x:f>MAX(0,MIN('Activities'!L777,498)-MAX('Activities'!K777,492))</x:f>
        <x:v>0</x:v>
      </x:c>
      <x:c r="CJ777" s="23" t="n">
        <x:f>MAX(0,MIN('Activities'!L777,504)-MAX('Activities'!K777,498))</x:f>
        <x:v>0</x:v>
      </x:c>
      <x:c r="CK777" s="23" t="n">
        <x:f>MAX(0,MIN('Activities'!L777,510)-MAX('Activities'!K777,504))</x:f>
        <x:v>0</x:v>
      </x:c>
      <x:c r="CL777" s="23" t="n">
        <x:f>MAX(0,MIN('Activities'!L777,516)-MAX('Activities'!K777,510))</x:f>
        <x:v>0</x:v>
      </x:c>
      <x:c r="CM777" s="23" t="n">
        <x:f>MAX(0,MIN('Activities'!L777,522)-MAX('Activities'!K777,516))</x:f>
        <x:v>0</x:v>
      </x:c>
      <x:c r="CN777" s="23" t="n">
        <x:f>MAX(0,MIN('Activities'!L777,528)-MAX('Activities'!K777,522))</x:f>
        <x:v>0</x:v>
      </x:c>
      <x:c r="CO777" s="23" t="n">
        <x:f>MAX(0,MIN('Activities'!L777,534)-MAX('Activities'!K777,528))</x:f>
        <x:v>0</x:v>
      </x:c>
      <x:c r="CP777" s="23" t="n">
        <x:f>MAX(0,MIN('Activities'!L777,540)-MAX('Activities'!K777,534))</x:f>
        <x:v>0</x:v>
      </x:c>
      <x:c r="CQ777" s="23" t="n">
        <x:f>MAX(0,MIN('Activities'!L777,546)-MAX('Activities'!K777,540))</x:f>
        <x:v>0</x:v>
      </x:c>
      <x:c r="CR777" s="23" t="n">
        <x:f>MAX(0,MIN('Activities'!L777,552)-MAX('Activities'!K777,546))</x:f>
        <x:v>0</x:v>
      </x:c>
      <x:c r="CS777" s="23" t="n">
        <x:f>MAX(0,MIN('Activities'!L777,558)-MAX('Activities'!K777,552))</x:f>
        <x:v>0</x:v>
      </x:c>
      <x:c r="CT777" s="23" t="n">
        <x:f>MAX(0,MIN('Activities'!L777,564)-MAX('Activities'!K777,558))</x:f>
        <x:v>0</x:v>
      </x:c>
      <x:c r="CU777" s="23" t="n">
        <x:f>MAX(0,MIN('Activities'!L777,570)-MAX('Activities'!K777,564))</x:f>
        <x:v>0</x:v>
      </x:c>
      <x:c r="CV777" s="23" t="n">
        <x:f>MAX(0,MIN('Activities'!L777,576)-MAX('Activities'!K777,570))</x:f>
        <x:v>0</x:v>
      </x:c>
      <x:c r="CW777" s="23" t="n">
        <x:f>MAX(0,MIN('Activities'!L777,582)-MAX('Activities'!K777,576))</x:f>
        <x:v>0</x:v>
      </x:c>
      <x:c r="CX777" s="23" t="n">
        <x:f>MAX(0,MIN('Activities'!L777,588)-MAX('Activities'!K777,582))</x:f>
        <x:v>0</x:v>
      </x:c>
      <x:c r="CY777" s="23" t="n">
        <x:f>MAX(0,MIN('Activities'!L777,594)-MAX('Activities'!K777,588))</x:f>
        <x:v>0</x:v>
      </x:c>
      <x:c r="CZ777" s="23" t="n">
        <x:f>MAX(0,MIN('Activities'!L777,600)-MAX('Activities'!K777,594))</x:f>
        <x:v>0</x:v>
      </x:c>
      <x:c r="DA777" s="23" t="n">
        <x:f>MAX(0,MIN('Activities'!L777,606)-MAX('Activities'!K777,600))</x:f>
        <x:v>0</x:v>
      </x:c>
      <x:c r="DB777" s="23" t="n">
        <x:f>MAX(0,MIN('Activities'!L777,612)-MAX('Activities'!K777,606))</x:f>
        <x:v>0</x:v>
      </x:c>
      <x:c r="DC777" s="23" t="n">
        <x:f>MAX(0,MIN('Activities'!L777,618)-MAX('Activities'!K777,612))</x:f>
        <x:v>0</x:v>
      </x:c>
      <x:c r="DD777" s="23" t="n">
        <x:f>MAX(0,MIN('Activities'!L777,624)-MAX('Activities'!K777,618))</x:f>
        <x:v>0</x:v>
      </x:c>
      <x:c r="DE777" s="23" t="n">
        <x:f>MAX(0,MIN('Activities'!L777,630)-MAX('Activities'!K777,624))</x:f>
        <x:v>0</x:v>
      </x:c>
      <x:c r="DF777" s="23" t="n">
        <x:f>MAX(0,MIN('Activities'!L777,636)-MAX('Activities'!K777,630))</x:f>
        <x:v>0</x:v>
      </x:c>
    </x:row>
    <x:row r="778" ht="23" customHeight="1">
      <x:c r="A778" s="6" t="str">
        <x:v>T6-L07-M</x:v>
      </x:c>
      <x:c r="B778" s="6" t="str">
        <x:v>T6</x:v>
      </x:c>
      <x:c r="C778" s="6" t="str">
        <x:v>Partition masonry</x:v>
      </x:c>
      <x:c r="D778" s="6" t="str">
        <x:v>Masonry</x:v>
      </x:c>
      <x:c r="E778" s="22" t="n">
        <x:f>MAX(0,MIN('Activities'!L778,6)-MAX('Activities'!K778,0))</x:f>
        <x:v>0</x:v>
      </x:c>
      <x:c r="F778" s="22" t="n">
        <x:f>MAX(0,MIN('Activities'!L778,12)-MAX('Activities'!K778,6))</x:f>
        <x:v>0</x:v>
      </x:c>
      <x:c r="G778" s="22" t="n">
        <x:f>MAX(0,MIN('Activities'!L778,18)-MAX('Activities'!K778,12))</x:f>
        <x:v>0</x:v>
      </x:c>
      <x:c r="H778" s="22" t="n">
        <x:f>MAX(0,MIN('Activities'!L778,24)-MAX('Activities'!K778,18))</x:f>
        <x:v>0</x:v>
      </x:c>
      <x:c r="I778" s="22" t="n">
        <x:f>MAX(0,MIN('Activities'!L778,30)-MAX('Activities'!K778,24))</x:f>
        <x:v>0</x:v>
      </x:c>
      <x:c r="J778" s="22" t="n">
        <x:f>MAX(0,MIN('Activities'!L778,36)-MAX('Activities'!K778,30))</x:f>
        <x:v>0</x:v>
      </x:c>
      <x:c r="K778" s="22" t="n">
        <x:f>MAX(0,MIN('Activities'!L778,42)-MAX('Activities'!K778,36))</x:f>
        <x:v>0</x:v>
      </x:c>
      <x:c r="L778" s="22" t="n">
        <x:f>MAX(0,MIN('Activities'!L778,48)-MAX('Activities'!K778,42))</x:f>
        <x:v>0</x:v>
      </x:c>
      <x:c r="M778" s="22" t="n">
        <x:f>MAX(0,MIN('Activities'!L778,54)-MAX('Activities'!K778,48))</x:f>
        <x:v>0</x:v>
      </x:c>
      <x:c r="N778" s="22" t="n">
        <x:f>MAX(0,MIN('Activities'!L778,60)-MAX('Activities'!K778,54))</x:f>
        <x:v>0</x:v>
      </x:c>
      <x:c r="O778" s="22" t="n">
        <x:f>MAX(0,MIN('Activities'!L778,66)-MAX('Activities'!K778,60))</x:f>
        <x:v>0</x:v>
      </x:c>
      <x:c r="P778" s="22" t="n">
        <x:f>MAX(0,MIN('Activities'!L778,72)-MAX('Activities'!K778,66))</x:f>
        <x:v>0</x:v>
      </x:c>
      <x:c r="Q778" s="22" t="n">
        <x:f>MAX(0,MIN('Activities'!L778,78)-MAX('Activities'!K778,72))</x:f>
        <x:v>0</x:v>
      </x:c>
      <x:c r="R778" s="22" t="n">
        <x:f>MAX(0,MIN('Activities'!L778,84)-MAX('Activities'!K778,78))</x:f>
        <x:v>0</x:v>
      </x:c>
      <x:c r="S778" s="22" t="n">
        <x:f>MAX(0,MIN('Activities'!L778,90)-MAX('Activities'!K778,84))</x:f>
        <x:v>0</x:v>
      </x:c>
      <x:c r="T778" s="22" t="n">
        <x:f>MAX(0,MIN('Activities'!L778,96)-MAX('Activities'!K778,90))</x:f>
        <x:v>0</x:v>
      </x:c>
      <x:c r="U778" s="22" t="n">
        <x:f>MAX(0,MIN('Activities'!L778,102)-MAX('Activities'!K778,96))</x:f>
        <x:v>0</x:v>
      </x:c>
      <x:c r="V778" s="22" t="n">
        <x:f>MAX(0,MIN('Activities'!L778,108)-MAX('Activities'!K778,102))</x:f>
        <x:v>0</x:v>
      </x:c>
      <x:c r="W778" s="22" t="n">
        <x:f>MAX(0,MIN('Activities'!L778,114)-MAX('Activities'!K778,108))</x:f>
        <x:v>0</x:v>
      </x:c>
      <x:c r="X778" s="22" t="n">
        <x:f>MAX(0,MIN('Activities'!L778,120)-MAX('Activities'!K778,114))</x:f>
        <x:v>0</x:v>
      </x:c>
      <x:c r="Y778" s="22" t="n">
        <x:f>MAX(0,MIN('Activities'!L778,126)-MAX('Activities'!K778,120))</x:f>
        <x:v>0</x:v>
      </x:c>
      <x:c r="Z778" s="22" t="n">
        <x:f>MAX(0,MIN('Activities'!L778,132)-MAX('Activities'!K778,126))</x:f>
        <x:v>0</x:v>
      </x:c>
      <x:c r="AA778" s="22" t="n">
        <x:f>MAX(0,MIN('Activities'!L778,138)-MAX('Activities'!K778,132))</x:f>
        <x:v>0</x:v>
      </x:c>
      <x:c r="AB778" s="22" t="n">
        <x:f>MAX(0,MIN('Activities'!L778,144)-MAX('Activities'!K778,138))</x:f>
        <x:v>0</x:v>
      </x:c>
      <x:c r="AC778" s="22" t="n">
        <x:f>MAX(0,MIN('Activities'!L778,150)-MAX('Activities'!K778,144))</x:f>
        <x:v>0</x:v>
      </x:c>
      <x:c r="AD778" s="22" t="n">
        <x:f>MAX(0,MIN('Activities'!L778,156)-MAX('Activities'!K778,150))</x:f>
        <x:v>0</x:v>
      </x:c>
      <x:c r="AE778" s="22" t="n">
        <x:f>MAX(0,MIN('Activities'!L778,162)-MAX('Activities'!K778,156))</x:f>
        <x:v>0</x:v>
      </x:c>
      <x:c r="AF778" s="22" t="n">
        <x:f>MAX(0,MIN('Activities'!L778,168)-MAX('Activities'!K778,162))</x:f>
        <x:v>0</x:v>
      </x:c>
      <x:c r="AG778" s="22" t="n">
        <x:f>MAX(0,MIN('Activities'!L778,174)-MAX('Activities'!K778,168))</x:f>
        <x:v>0</x:v>
      </x:c>
      <x:c r="AH778" s="22" t="n">
        <x:f>MAX(0,MIN('Activities'!L778,180)-MAX('Activities'!K778,174))</x:f>
        <x:v>0</x:v>
      </x:c>
      <x:c r="AI778" s="22" t="n">
        <x:f>MAX(0,MIN('Activities'!L778,186)-MAX('Activities'!K778,180))</x:f>
        <x:v>0</x:v>
      </x:c>
      <x:c r="AJ778" s="22" t="n">
        <x:f>MAX(0,MIN('Activities'!L778,192)-MAX('Activities'!K778,186))</x:f>
        <x:v>0</x:v>
      </x:c>
      <x:c r="AK778" s="22" t="n">
        <x:f>MAX(0,MIN('Activities'!L778,198)-MAX('Activities'!K778,192))</x:f>
        <x:v>0</x:v>
      </x:c>
      <x:c r="AL778" s="22" t="n">
        <x:f>MAX(0,MIN('Activities'!L778,204)-MAX('Activities'!K778,198))</x:f>
        <x:v>0</x:v>
      </x:c>
      <x:c r="AM778" s="22" t="n">
        <x:f>MAX(0,MIN('Activities'!L778,210)-MAX('Activities'!K778,204))</x:f>
        <x:v>0</x:v>
      </x:c>
      <x:c r="AN778" s="22" t="n">
        <x:f>MAX(0,MIN('Activities'!L778,216)-MAX('Activities'!K778,210))</x:f>
        <x:v>0</x:v>
      </x:c>
      <x:c r="AO778" s="22" t="n">
        <x:f>MAX(0,MIN('Activities'!L778,222)-MAX('Activities'!K778,216))</x:f>
        <x:v>0</x:v>
      </x:c>
      <x:c r="AP778" s="22" t="n">
        <x:f>MAX(0,MIN('Activities'!L778,228)-MAX('Activities'!K778,222))</x:f>
        <x:v>0</x:v>
      </x:c>
      <x:c r="AQ778" s="22" t="n">
        <x:f>MAX(0,MIN('Activities'!L778,234)-MAX('Activities'!K778,228))</x:f>
        <x:v>0</x:v>
      </x:c>
      <x:c r="AR778" s="22" t="n">
        <x:f>MAX(0,MIN('Activities'!L778,240)-MAX('Activities'!K778,234))</x:f>
        <x:v>0</x:v>
      </x:c>
      <x:c r="AS778" s="22" t="n">
        <x:f>MAX(0,MIN('Activities'!L778,246)-MAX('Activities'!K778,240))</x:f>
        <x:v>0</x:v>
      </x:c>
      <x:c r="AT778" s="22" t="n">
        <x:f>MAX(0,MIN('Activities'!L778,252)-MAX('Activities'!K778,246))</x:f>
        <x:v>0</x:v>
      </x:c>
      <x:c r="AU778" s="22" t="n">
        <x:f>MAX(0,MIN('Activities'!L778,258)-MAX('Activities'!K778,252))</x:f>
        <x:v>0</x:v>
      </x:c>
      <x:c r="AV778" s="22" t="n">
        <x:f>MAX(0,MIN('Activities'!L778,264)-MAX('Activities'!K778,258))</x:f>
        <x:v>0</x:v>
      </x:c>
      <x:c r="AW778" s="22" t="n">
        <x:f>MAX(0,MIN('Activities'!L778,270)-MAX('Activities'!K778,264))</x:f>
        <x:v>0</x:v>
      </x:c>
      <x:c r="AX778" s="22" t="n">
        <x:f>MAX(0,MIN('Activities'!L778,276)-MAX('Activities'!K778,270))</x:f>
        <x:v>0</x:v>
      </x:c>
      <x:c r="AY778" s="22" t="n">
        <x:f>MAX(0,MIN('Activities'!L778,282)-MAX('Activities'!K778,276))</x:f>
        <x:v>0</x:v>
      </x:c>
      <x:c r="AZ778" s="22" t="n">
        <x:f>MAX(0,MIN('Activities'!L778,288)-MAX('Activities'!K778,282))</x:f>
        <x:v>0</x:v>
      </x:c>
      <x:c r="BA778" s="22" t="n">
        <x:f>MAX(0,MIN('Activities'!L778,294)-MAX('Activities'!K778,288))</x:f>
        <x:v>0</x:v>
      </x:c>
      <x:c r="BB778" s="22" t="n">
        <x:f>MAX(0,MIN('Activities'!L778,300)-MAX('Activities'!K778,294))</x:f>
        <x:v>0</x:v>
      </x:c>
      <x:c r="BC778" s="22" t="n">
        <x:f>MAX(0,MIN('Activities'!L778,306)-MAX('Activities'!K778,300))</x:f>
        <x:v>0</x:v>
      </x:c>
      <x:c r="BD778" s="22" t="n">
        <x:f>MAX(0,MIN('Activities'!L778,312)-MAX('Activities'!K778,306))</x:f>
        <x:v>0</x:v>
      </x:c>
      <x:c r="BE778" s="22" t="n">
        <x:f>MAX(0,MIN('Activities'!L778,318)-MAX('Activities'!K778,312))</x:f>
        <x:v>0</x:v>
      </x:c>
      <x:c r="BF778" s="22" t="n">
        <x:f>MAX(0,MIN('Activities'!L778,324)-MAX('Activities'!K778,318))</x:f>
        <x:v>0</x:v>
      </x:c>
      <x:c r="BG778" s="22" t="n">
        <x:f>MAX(0,MIN('Activities'!L778,330)-MAX('Activities'!K778,324))</x:f>
        <x:v>0</x:v>
      </x:c>
      <x:c r="BH778" s="22" t="n">
        <x:f>MAX(0,MIN('Activities'!L778,336)-MAX('Activities'!K778,330))</x:f>
        <x:v>0</x:v>
      </x:c>
      <x:c r="BI778" s="22" t="n">
        <x:f>MAX(0,MIN('Activities'!L778,342)-MAX('Activities'!K778,336))</x:f>
        <x:v>0</x:v>
      </x:c>
      <x:c r="BJ778" s="22" t="n">
        <x:f>MAX(0,MIN('Activities'!L778,348)-MAX('Activities'!K778,342))</x:f>
        <x:v>0</x:v>
      </x:c>
      <x:c r="BK778" s="22" t="n">
        <x:f>MAX(0,MIN('Activities'!L778,354)-MAX('Activities'!K778,348))</x:f>
        <x:v>0</x:v>
      </x:c>
      <x:c r="BL778" s="22" t="n">
        <x:f>MAX(0,MIN('Activities'!L778,360)-MAX('Activities'!K778,354))</x:f>
        <x:v>0</x:v>
      </x:c>
      <x:c r="BM778" s="22" t="n">
        <x:f>MAX(0,MIN('Activities'!L778,366)-MAX('Activities'!K778,360))</x:f>
        <x:v>0</x:v>
      </x:c>
      <x:c r="BN778" s="22" t="n">
        <x:f>MAX(0,MIN('Activities'!L778,372)-MAX('Activities'!K778,366))</x:f>
        <x:v>0</x:v>
      </x:c>
      <x:c r="BO778" s="22" t="n">
        <x:f>MAX(0,MIN('Activities'!L778,378)-MAX('Activities'!K778,372))</x:f>
        <x:v>0</x:v>
      </x:c>
      <x:c r="BP778" s="22" t="n">
        <x:f>MAX(0,MIN('Activities'!L778,384)-MAX('Activities'!K778,378))</x:f>
        <x:v>0</x:v>
      </x:c>
      <x:c r="BQ778" s="22" t="n">
        <x:f>MAX(0,MIN('Activities'!L778,390)-MAX('Activities'!K778,384))</x:f>
        <x:v>0</x:v>
      </x:c>
      <x:c r="BR778" s="22" t="n">
        <x:f>MAX(0,MIN('Activities'!L778,396)-MAX('Activities'!K778,390))</x:f>
        <x:v>0</x:v>
      </x:c>
      <x:c r="BS778" s="22" t="n">
        <x:f>MAX(0,MIN('Activities'!L778,402)-MAX('Activities'!K778,396))</x:f>
        <x:v>5</x:v>
      </x:c>
      <x:c r="BT778" s="22" t="n">
        <x:f>MAX(0,MIN('Activities'!L778,408)-MAX('Activities'!K778,402))</x:f>
        <x:v>0</x:v>
      </x:c>
      <x:c r="BU778" s="22" t="n">
        <x:f>MAX(0,MIN('Activities'!L778,414)-MAX('Activities'!K778,408))</x:f>
        <x:v>0</x:v>
      </x:c>
      <x:c r="BV778" s="22" t="n">
        <x:f>MAX(0,MIN('Activities'!L778,420)-MAX('Activities'!K778,414))</x:f>
        <x:v>0</x:v>
      </x:c>
      <x:c r="BW778" s="22" t="n">
        <x:f>MAX(0,MIN('Activities'!L778,426)-MAX('Activities'!K778,420))</x:f>
        <x:v>0</x:v>
      </x:c>
      <x:c r="BX778" s="22" t="n">
        <x:f>MAX(0,MIN('Activities'!L778,432)-MAX('Activities'!K778,426))</x:f>
        <x:v>0</x:v>
      </x:c>
      <x:c r="BY778" s="22" t="n">
        <x:f>MAX(0,MIN('Activities'!L778,438)-MAX('Activities'!K778,432))</x:f>
        <x:v>0</x:v>
      </x:c>
      <x:c r="BZ778" s="22" t="n">
        <x:f>MAX(0,MIN('Activities'!L778,444)-MAX('Activities'!K778,438))</x:f>
        <x:v>0</x:v>
      </x:c>
      <x:c r="CA778" s="22" t="n">
        <x:f>MAX(0,MIN('Activities'!L778,450)-MAX('Activities'!K778,444))</x:f>
        <x:v>0</x:v>
      </x:c>
      <x:c r="CB778" s="22" t="n">
        <x:f>MAX(0,MIN('Activities'!L778,456)-MAX('Activities'!K778,450))</x:f>
        <x:v>0</x:v>
      </x:c>
      <x:c r="CC778" s="22" t="n">
        <x:f>MAX(0,MIN('Activities'!L778,462)-MAX('Activities'!K778,456))</x:f>
        <x:v>0</x:v>
      </x:c>
      <x:c r="CD778" s="22" t="n">
        <x:f>MAX(0,MIN('Activities'!L778,468)-MAX('Activities'!K778,462))</x:f>
        <x:v>0</x:v>
      </x:c>
      <x:c r="CE778" s="22" t="n">
        <x:f>MAX(0,MIN('Activities'!L778,474)-MAX('Activities'!K778,468))</x:f>
        <x:v>0</x:v>
      </x:c>
      <x:c r="CF778" s="22" t="n">
        <x:f>MAX(0,MIN('Activities'!L778,480)-MAX('Activities'!K778,474))</x:f>
        <x:v>0</x:v>
      </x:c>
      <x:c r="CG778" s="22" t="n">
        <x:f>MAX(0,MIN('Activities'!L778,486)-MAX('Activities'!K778,480))</x:f>
        <x:v>0</x:v>
      </x:c>
      <x:c r="CH778" s="22" t="n">
        <x:f>MAX(0,MIN('Activities'!L778,492)-MAX('Activities'!K778,486))</x:f>
        <x:v>0</x:v>
      </x:c>
      <x:c r="CI778" s="22" t="n">
        <x:f>MAX(0,MIN('Activities'!L778,498)-MAX('Activities'!K778,492))</x:f>
        <x:v>0</x:v>
      </x:c>
      <x:c r="CJ778" s="22" t="n">
        <x:f>MAX(0,MIN('Activities'!L778,504)-MAX('Activities'!K778,498))</x:f>
        <x:v>0</x:v>
      </x:c>
      <x:c r="CK778" s="22" t="n">
        <x:f>MAX(0,MIN('Activities'!L778,510)-MAX('Activities'!K778,504))</x:f>
        <x:v>0</x:v>
      </x:c>
      <x:c r="CL778" s="22" t="n">
        <x:f>MAX(0,MIN('Activities'!L778,516)-MAX('Activities'!K778,510))</x:f>
        <x:v>0</x:v>
      </x:c>
      <x:c r="CM778" s="22" t="n">
        <x:f>MAX(0,MIN('Activities'!L778,522)-MAX('Activities'!K778,516))</x:f>
        <x:v>0</x:v>
      </x:c>
      <x:c r="CN778" s="22" t="n">
        <x:f>MAX(0,MIN('Activities'!L778,528)-MAX('Activities'!K778,522))</x:f>
        <x:v>0</x:v>
      </x:c>
      <x:c r="CO778" s="22" t="n">
        <x:f>MAX(0,MIN('Activities'!L778,534)-MAX('Activities'!K778,528))</x:f>
        <x:v>0</x:v>
      </x:c>
      <x:c r="CP778" s="22" t="n">
        <x:f>MAX(0,MIN('Activities'!L778,540)-MAX('Activities'!K778,534))</x:f>
        <x:v>0</x:v>
      </x:c>
      <x:c r="CQ778" s="22" t="n">
        <x:f>MAX(0,MIN('Activities'!L778,546)-MAX('Activities'!K778,540))</x:f>
        <x:v>0</x:v>
      </x:c>
      <x:c r="CR778" s="22" t="n">
        <x:f>MAX(0,MIN('Activities'!L778,552)-MAX('Activities'!K778,546))</x:f>
        <x:v>0</x:v>
      </x:c>
      <x:c r="CS778" s="22" t="n">
        <x:f>MAX(0,MIN('Activities'!L778,558)-MAX('Activities'!K778,552))</x:f>
        <x:v>0</x:v>
      </x:c>
      <x:c r="CT778" s="22" t="n">
        <x:f>MAX(0,MIN('Activities'!L778,564)-MAX('Activities'!K778,558))</x:f>
        <x:v>0</x:v>
      </x:c>
      <x:c r="CU778" s="22" t="n">
        <x:f>MAX(0,MIN('Activities'!L778,570)-MAX('Activities'!K778,564))</x:f>
        <x:v>0</x:v>
      </x:c>
      <x:c r="CV778" s="22" t="n">
        <x:f>MAX(0,MIN('Activities'!L778,576)-MAX('Activities'!K778,570))</x:f>
        <x:v>0</x:v>
      </x:c>
      <x:c r="CW778" s="22" t="n">
        <x:f>MAX(0,MIN('Activities'!L778,582)-MAX('Activities'!K778,576))</x:f>
        <x:v>0</x:v>
      </x:c>
      <x:c r="CX778" s="22" t="n">
        <x:f>MAX(0,MIN('Activities'!L778,588)-MAX('Activities'!K778,582))</x:f>
        <x:v>0</x:v>
      </x:c>
      <x:c r="CY778" s="22" t="n">
        <x:f>MAX(0,MIN('Activities'!L778,594)-MAX('Activities'!K778,588))</x:f>
        <x:v>0</x:v>
      </x:c>
      <x:c r="CZ778" s="22" t="n">
        <x:f>MAX(0,MIN('Activities'!L778,600)-MAX('Activities'!K778,594))</x:f>
        <x:v>0</x:v>
      </x:c>
      <x:c r="DA778" s="22" t="n">
        <x:f>MAX(0,MIN('Activities'!L778,606)-MAX('Activities'!K778,600))</x:f>
        <x:v>0</x:v>
      </x:c>
      <x:c r="DB778" s="22" t="n">
        <x:f>MAX(0,MIN('Activities'!L778,612)-MAX('Activities'!K778,606))</x:f>
        <x:v>0</x:v>
      </x:c>
      <x:c r="DC778" s="22" t="n">
        <x:f>MAX(0,MIN('Activities'!L778,618)-MAX('Activities'!K778,612))</x:f>
        <x:v>0</x:v>
      </x:c>
      <x:c r="DD778" s="22" t="n">
        <x:f>MAX(0,MIN('Activities'!L778,624)-MAX('Activities'!K778,618))</x:f>
        <x:v>0</x:v>
      </x:c>
      <x:c r="DE778" s="22" t="n">
        <x:f>MAX(0,MIN('Activities'!L778,630)-MAX('Activities'!K778,624))</x:f>
        <x:v>0</x:v>
      </x:c>
      <x:c r="DF778" s="22" t="n">
        <x:f>MAX(0,MIN('Activities'!L778,636)-MAX('Activities'!K778,630))</x:f>
        <x:v>0</x:v>
      </x:c>
    </x:row>
    <x:row r="779" ht="23" customHeight="1">
      <x:c r="A779" s="1" t="str">
        <x:v>T6-L07-P</x:v>
      </x:c>
      <x:c r="B779" s="1" t="str">
        <x:v>T6</x:v>
      </x:c>
      <x:c r="C779" s="1" t="str">
        <x:v>Internal plaster</x:v>
      </x:c>
      <x:c r="D779" s="1" t="str">
        <x:v>Finishes</x:v>
      </x:c>
      <x:c r="E779" s="23" t="n">
        <x:f>MAX(0,MIN('Activities'!L779,6)-MAX('Activities'!K779,0))</x:f>
        <x:v>0</x:v>
      </x:c>
      <x:c r="F779" s="23" t="n">
        <x:f>MAX(0,MIN('Activities'!L779,12)-MAX('Activities'!K779,6))</x:f>
        <x:v>0</x:v>
      </x:c>
      <x:c r="G779" s="23" t="n">
        <x:f>MAX(0,MIN('Activities'!L779,18)-MAX('Activities'!K779,12))</x:f>
        <x:v>0</x:v>
      </x:c>
      <x:c r="H779" s="23" t="n">
        <x:f>MAX(0,MIN('Activities'!L779,24)-MAX('Activities'!K779,18))</x:f>
        <x:v>0</x:v>
      </x:c>
      <x:c r="I779" s="23" t="n">
        <x:f>MAX(0,MIN('Activities'!L779,30)-MAX('Activities'!K779,24))</x:f>
        <x:v>0</x:v>
      </x:c>
      <x:c r="J779" s="23" t="n">
        <x:f>MAX(0,MIN('Activities'!L779,36)-MAX('Activities'!K779,30))</x:f>
        <x:v>0</x:v>
      </x:c>
      <x:c r="K779" s="23" t="n">
        <x:f>MAX(0,MIN('Activities'!L779,42)-MAX('Activities'!K779,36))</x:f>
        <x:v>0</x:v>
      </x:c>
      <x:c r="L779" s="23" t="n">
        <x:f>MAX(0,MIN('Activities'!L779,48)-MAX('Activities'!K779,42))</x:f>
        <x:v>0</x:v>
      </x:c>
      <x:c r="M779" s="23" t="n">
        <x:f>MAX(0,MIN('Activities'!L779,54)-MAX('Activities'!K779,48))</x:f>
        <x:v>0</x:v>
      </x:c>
      <x:c r="N779" s="23" t="n">
        <x:f>MAX(0,MIN('Activities'!L779,60)-MAX('Activities'!K779,54))</x:f>
        <x:v>0</x:v>
      </x:c>
      <x:c r="O779" s="23" t="n">
        <x:f>MAX(0,MIN('Activities'!L779,66)-MAX('Activities'!K779,60))</x:f>
        <x:v>0</x:v>
      </x:c>
      <x:c r="P779" s="23" t="n">
        <x:f>MAX(0,MIN('Activities'!L779,72)-MAX('Activities'!K779,66))</x:f>
        <x:v>0</x:v>
      </x:c>
      <x:c r="Q779" s="23" t="n">
        <x:f>MAX(0,MIN('Activities'!L779,78)-MAX('Activities'!K779,72))</x:f>
        <x:v>0</x:v>
      </x:c>
      <x:c r="R779" s="23" t="n">
        <x:f>MAX(0,MIN('Activities'!L779,84)-MAX('Activities'!K779,78))</x:f>
        <x:v>0</x:v>
      </x:c>
      <x:c r="S779" s="23" t="n">
        <x:f>MAX(0,MIN('Activities'!L779,90)-MAX('Activities'!K779,84))</x:f>
        <x:v>0</x:v>
      </x:c>
      <x:c r="T779" s="23" t="n">
        <x:f>MAX(0,MIN('Activities'!L779,96)-MAX('Activities'!K779,90))</x:f>
        <x:v>0</x:v>
      </x:c>
      <x:c r="U779" s="23" t="n">
        <x:f>MAX(0,MIN('Activities'!L779,102)-MAX('Activities'!K779,96))</x:f>
        <x:v>0</x:v>
      </x:c>
      <x:c r="V779" s="23" t="n">
        <x:f>MAX(0,MIN('Activities'!L779,108)-MAX('Activities'!K779,102))</x:f>
        <x:v>0</x:v>
      </x:c>
      <x:c r="W779" s="23" t="n">
        <x:f>MAX(0,MIN('Activities'!L779,114)-MAX('Activities'!K779,108))</x:f>
        <x:v>0</x:v>
      </x:c>
      <x:c r="X779" s="23" t="n">
        <x:f>MAX(0,MIN('Activities'!L779,120)-MAX('Activities'!K779,114))</x:f>
        <x:v>0</x:v>
      </x:c>
      <x:c r="Y779" s="23" t="n">
        <x:f>MAX(0,MIN('Activities'!L779,126)-MAX('Activities'!K779,120))</x:f>
        <x:v>0</x:v>
      </x:c>
      <x:c r="Z779" s="23" t="n">
        <x:f>MAX(0,MIN('Activities'!L779,132)-MAX('Activities'!K779,126))</x:f>
        <x:v>0</x:v>
      </x:c>
      <x:c r="AA779" s="23" t="n">
        <x:f>MAX(0,MIN('Activities'!L779,138)-MAX('Activities'!K779,132))</x:f>
        <x:v>0</x:v>
      </x:c>
      <x:c r="AB779" s="23" t="n">
        <x:f>MAX(0,MIN('Activities'!L779,144)-MAX('Activities'!K779,138))</x:f>
        <x:v>0</x:v>
      </x:c>
      <x:c r="AC779" s="23" t="n">
        <x:f>MAX(0,MIN('Activities'!L779,150)-MAX('Activities'!K779,144))</x:f>
        <x:v>0</x:v>
      </x:c>
      <x:c r="AD779" s="23" t="n">
        <x:f>MAX(0,MIN('Activities'!L779,156)-MAX('Activities'!K779,150))</x:f>
        <x:v>0</x:v>
      </x:c>
      <x:c r="AE779" s="23" t="n">
        <x:f>MAX(0,MIN('Activities'!L779,162)-MAX('Activities'!K779,156))</x:f>
        <x:v>0</x:v>
      </x:c>
      <x:c r="AF779" s="23" t="n">
        <x:f>MAX(0,MIN('Activities'!L779,168)-MAX('Activities'!K779,162))</x:f>
        <x:v>0</x:v>
      </x:c>
      <x:c r="AG779" s="23" t="n">
        <x:f>MAX(0,MIN('Activities'!L779,174)-MAX('Activities'!K779,168))</x:f>
        <x:v>0</x:v>
      </x:c>
      <x:c r="AH779" s="23" t="n">
        <x:f>MAX(0,MIN('Activities'!L779,180)-MAX('Activities'!K779,174))</x:f>
        <x:v>0</x:v>
      </x:c>
      <x:c r="AI779" s="23" t="n">
        <x:f>MAX(0,MIN('Activities'!L779,186)-MAX('Activities'!K779,180))</x:f>
        <x:v>0</x:v>
      </x:c>
      <x:c r="AJ779" s="23" t="n">
        <x:f>MAX(0,MIN('Activities'!L779,192)-MAX('Activities'!K779,186))</x:f>
        <x:v>0</x:v>
      </x:c>
      <x:c r="AK779" s="23" t="n">
        <x:f>MAX(0,MIN('Activities'!L779,198)-MAX('Activities'!K779,192))</x:f>
        <x:v>0</x:v>
      </x:c>
      <x:c r="AL779" s="23" t="n">
        <x:f>MAX(0,MIN('Activities'!L779,204)-MAX('Activities'!K779,198))</x:f>
        <x:v>0</x:v>
      </x:c>
      <x:c r="AM779" s="23" t="n">
        <x:f>MAX(0,MIN('Activities'!L779,210)-MAX('Activities'!K779,204))</x:f>
        <x:v>0</x:v>
      </x:c>
      <x:c r="AN779" s="23" t="n">
        <x:f>MAX(0,MIN('Activities'!L779,216)-MAX('Activities'!K779,210))</x:f>
        <x:v>0</x:v>
      </x:c>
      <x:c r="AO779" s="23" t="n">
        <x:f>MAX(0,MIN('Activities'!L779,222)-MAX('Activities'!K779,216))</x:f>
        <x:v>0</x:v>
      </x:c>
      <x:c r="AP779" s="23" t="n">
        <x:f>MAX(0,MIN('Activities'!L779,228)-MAX('Activities'!K779,222))</x:f>
        <x:v>0</x:v>
      </x:c>
      <x:c r="AQ779" s="23" t="n">
        <x:f>MAX(0,MIN('Activities'!L779,234)-MAX('Activities'!K779,228))</x:f>
        <x:v>0</x:v>
      </x:c>
      <x:c r="AR779" s="23" t="n">
        <x:f>MAX(0,MIN('Activities'!L779,240)-MAX('Activities'!K779,234))</x:f>
        <x:v>0</x:v>
      </x:c>
      <x:c r="AS779" s="23" t="n">
        <x:f>MAX(0,MIN('Activities'!L779,246)-MAX('Activities'!K779,240))</x:f>
        <x:v>0</x:v>
      </x:c>
      <x:c r="AT779" s="23" t="n">
        <x:f>MAX(0,MIN('Activities'!L779,252)-MAX('Activities'!K779,246))</x:f>
        <x:v>0</x:v>
      </x:c>
      <x:c r="AU779" s="23" t="n">
        <x:f>MAX(0,MIN('Activities'!L779,258)-MAX('Activities'!K779,252))</x:f>
        <x:v>0</x:v>
      </x:c>
      <x:c r="AV779" s="23" t="n">
        <x:f>MAX(0,MIN('Activities'!L779,264)-MAX('Activities'!K779,258))</x:f>
        <x:v>0</x:v>
      </x:c>
      <x:c r="AW779" s="23" t="n">
        <x:f>MAX(0,MIN('Activities'!L779,270)-MAX('Activities'!K779,264))</x:f>
        <x:v>0</x:v>
      </x:c>
      <x:c r="AX779" s="23" t="n">
        <x:f>MAX(0,MIN('Activities'!L779,276)-MAX('Activities'!K779,270))</x:f>
        <x:v>0</x:v>
      </x:c>
      <x:c r="AY779" s="23" t="n">
        <x:f>MAX(0,MIN('Activities'!L779,282)-MAX('Activities'!K779,276))</x:f>
        <x:v>0</x:v>
      </x:c>
      <x:c r="AZ779" s="23" t="n">
        <x:f>MAX(0,MIN('Activities'!L779,288)-MAX('Activities'!K779,282))</x:f>
        <x:v>0</x:v>
      </x:c>
      <x:c r="BA779" s="23" t="n">
        <x:f>MAX(0,MIN('Activities'!L779,294)-MAX('Activities'!K779,288))</x:f>
        <x:v>0</x:v>
      </x:c>
      <x:c r="BB779" s="23" t="n">
        <x:f>MAX(0,MIN('Activities'!L779,300)-MAX('Activities'!K779,294))</x:f>
        <x:v>0</x:v>
      </x:c>
      <x:c r="BC779" s="23" t="n">
        <x:f>MAX(0,MIN('Activities'!L779,306)-MAX('Activities'!K779,300))</x:f>
        <x:v>0</x:v>
      </x:c>
      <x:c r="BD779" s="23" t="n">
        <x:f>MAX(0,MIN('Activities'!L779,312)-MAX('Activities'!K779,306))</x:f>
        <x:v>0</x:v>
      </x:c>
      <x:c r="BE779" s="23" t="n">
        <x:f>MAX(0,MIN('Activities'!L779,318)-MAX('Activities'!K779,312))</x:f>
        <x:v>0</x:v>
      </x:c>
      <x:c r="BF779" s="23" t="n">
        <x:f>MAX(0,MIN('Activities'!L779,324)-MAX('Activities'!K779,318))</x:f>
        <x:v>0</x:v>
      </x:c>
      <x:c r="BG779" s="23" t="n">
        <x:f>MAX(0,MIN('Activities'!L779,330)-MAX('Activities'!K779,324))</x:f>
        <x:v>0</x:v>
      </x:c>
      <x:c r="BH779" s="23" t="n">
        <x:f>MAX(0,MIN('Activities'!L779,336)-MAX('Activities'!K779,330))</x:f>
        <x:v>0</x:v>
      </x:c>
      <x:c r="BI779" s="23" t="n">
        <x:f>MAX(0,MIN('Activities'!L779,342)-MAX('Activities'!K779,336))</x:f>
        <x:v>0</x:v>
      </x:c>
      <x:c r="BJ779" s="23" t="n">
        <x:f>MAX(0,MIN('Activities'!L779,348)-MAX('Activities'!K779,342))</x:f>
        <x:v>0</x:v>
      </x:c>
      <x:c r="BK779" s="23" t="n">
        <x:f>MAX(0,MIN('Activities'!L779,354)-MAX('Activities'!K779,348))</x:f>
        <x:v>0</x:v>
      </x:c>
      <x:c r="BL779" s="23" t="n">
        <x:f>MAX(0,MIN('Activities'!L779,360)-MAX('Activities'!K779,354))</x:f>
        <x:v>0</x:v>
      </x:c>
      <x:c r="BM779" s="23" t="n">
        <x:f>MAX(0,MIN('Activities'!L779,366)-MAX('Activities'!K779,360))</x:f>
        <x:v>0</x:v>
      </x:c>
      <x:c r="BN779" s="23" t="n">
        <x:f>MAX(0,MIN('Activities'!L779,372)-MAX('Activities'!K779,366))</x:f>
        <x:v>0</x:v>
      </x:c>
      <x:c r="BO779" s="23" t="n">
        <x:f>MAX(0,MIN('Activities'!L779,378)-MAX('Activities'!K779,372))</x:f>
        <x:v>0</x:v>
      </x:c>
      <x:c r="BP779" s="23" t="n">
        <x:f>MAX(0,MIN('Activities'!L779,384)-MAX('Activities'!K779,378))</x:f>
        <x:v>0</x:v>
      </x:c>
      <x:c r="BQ779" s="23" t="n">
        <x:f>MAX(0,MIN('Activities'!L779,390)-MAX('Activities'!K779,384))</x:f>
        <x:v>0</x:v>
      </x:c>
      <x:c r="BR779" s="23" t="n">
        <x:f>MAX(0,MIN('Activities'!L779,396)-MAX('Activities'!K779,390))</x:f>
        <x:v>0</x:v>
      </x:c>
      <x:c r="BS779" s="23" t="n">
        <x:f>MAX(0,MIN('Activities'!L779,402)-MAX('Activities'!K779,396))</x:f>
        <x:v>0</x:v>
      </x:c>
      <x:c r="BT779" s="23" t="n">
        <x:f>MAX(0,MIN('Activities'!L779,408)-MAX('Activities'!K779,402))</x:f>
        <x:v>3</x:v>
      </x:c>
      <x:c r="BU779" s="23" t="n">
        <x:f>MAX(0,MIN('Activities'!L779,414)-MAX('Activities'!K779,408))</x:f>
        <x:v>3</x:v>
      </x:c>
      <x:c r="BV779" s="23" t="n">
        <x:f>MAX(0,MIN('Activities'!L779,420)-MAX('Activities'!K779,414))</x:f>
        <x:v>0</x:v>
      </x:c>
      <x:c r="BW779" s="23" t="n">
        <x:f>MAX(0,MIN('Activities'!L779,426)-MAX('Activities'!K779,420))</x:f>
        <x:v>0</x:v>
      </x:c>
      <x:c r="BX779" s="23" t="n">
        <x:f>MAX(0,MIN('Activities'!L779,432)-MAX('Activities'!K779,426))</x:f>
        <x:v>0</x:v>
      </x:c>
      <x:c r="BY779" s="23" t="n">
        <x:f>MAX(0,MIN('Activities'!L779,438)-MAX('Activities'!K779,432))</x:f>
        <x:v>0</x:v>
      </x:c>
      <x:c r="BZ779" s="23" t="n">
        <x:f>MAX(0,MIN('Activities'!L779,444)-MAX('Activities'!K779,438))</x:f>
        <x:v>0</x:v>
      </x:c>
      <x:c r="CA779" s="23" t="n">
        <x:f>MAX(0,MIN('Activities'!L779,450)-MAX('Activities'!K779,444))</x:f>
        <x:v>0</x:v>
      </x:c>
      <x:c r="CB779" s="23" t="n">
        <x:f>MAX(0,MIN('Activities'!L779,456)-MAX('Activities'!K779,450))</x:f>
        <x:v>0</x:v>
      </x:c>
      <x:c r="CC779" s="23" t="n">
        <x:f>MAX(0,MIN('Activities'!L779,462)-MAX('Activities'!K779,456))</x:f>
        <x:v>0</x:v>
      </x:c>
      <x:c r="CD779" s="23" t="n">
        <x:f>MAX(0,MIN('Activities'!L779,468)-MAX('Activities'!K779,462))</x:f>
        <x:v>0</x:v>
      </x:c>
      <x:c r="CE779" s="23" t="n">
        <x:f>MAX(0,MIN('Activities'!L779,474)-MAX('Activities'!K779,468))</x:f>
        <x:v>0</x:v>
      </x:c>
      <x:c r="CF779" s="23" t="n">
        <x:f>MAX(0,MIN('Activities'!L779,480)-MAX('Activities'!K779,474))</x:f>
        <x:v>0</x:v>
      </x:c>
      <x:c r="CG779" s="23" t="n">
        <x:f>MAX(0,MIN('Activities'!L779,486)-MAX('Activities'!K779,480))</x:f>
        <x:v>0</x:v>
      </x:c>
      <x:c r="CH779" s="23" t="n">
        <x:f>MAX(0,MIN('Activities'!L779,492)-MAX('Activities'!K779,486))</x:f>
        <x:v>0</x:v>
      </x:c>
      <x:c r="CI779" s="23" t="n">
        <x:f>MAX(0,MIN('Activities'!L779,498)-MAX('Activities'!K779,492))</x:f>
        <x:v>0</x:v>
      </x:c>
      <x:c r="CJ779" s="23" t="n">
        <x:f>MAX(0,MIN('Activities'!L779,504)-MAX('Activities'!K779,498))</x:f>
        <x:v>0</x:v>
      </x:c>
      <x:c r="CK779" s="23" t="n">
        <x:f>MAX(0,MIN('Activities'!L779,510)-MAX('Activities'!K779,504))</x:f>
        <x:v>0</x:v>
      </x:c>
      <x:c r="CL779" s="23" t="n">
        <x:f>MAX(0,MIN('Activities'!L779,516)-MAX('Activities'!K779,510))</x:f>
        <x:v>0</x:v>
      </x:c>
      <x:c r="CM779" s="23" t="n">
        <x:f>MAX(0,MIN('Activities'!L779,522)-MAX('Activities'!K779,516))</x:f>
        <x:v>0</x:v>
      </x:c>
      <x:c r="CN779" s="23" t="n">
        <x:f>MAX(0,MIN('Activities'!L779,528)-MAX('Activities'!K779,522))</x:f>
        <x:v>0</x:v>
      </x:c>
      <x:c r="CO779" s="23" t="n">
        <x:f>MAX(0,MIN('Activities'!L779,534)-MAX('Activities'!K779,528))</x:f>
        <x:v>0</x:v>
      </x:c>
      <x:c r="CP779" s="23" t="n">
        <x:f>MAX(0,MIN('Activities'!L779,540)-MAX('Activities'!K779,534))</x:f>
        <x:v>0</x:v>
      </x:c>
      <x:c r="CQ779" s="23" t="n">
        <x:f>MAX(0,MIN('Activities'!L779,546)-MAX('Activities'!K779,540))</x:f>
        <x:v>0</x:v>
      </x:c>
      <x:c r="CR779" s="23" t="n">
        <x:f>MAX(0,MIN('Activities'!L779,552)-MAX('Activities'!K779,546))</x:f>
        <x:v>0</x:v>
      </x:c>
      <x:c r="CS779" s="23" t="n">
        <x:f>MAX(0,MIN('Activities'!L779,558)-MAX('Activities'!K779,552))</x:f>
        <x:v>0</x:v>
      </x:c>
      <x:c r="CT779" s="23" t="n">
        <x:f>MAX(0,MIN('Activities'!L779,564)-MAX('Activities'!K779,558))</x:f>
        <x:v>0</x:v>
      </x:c>
      <x:c r="CU779" s="23" t="n">
        <x:f>MAX(0,MIN('Activities'!L779,570)-MAX('Activities'!K779,564))</x:f>
        <x:v>0</x:v>
      </x:c>
      <x:c r="CV779" s="23" t="n">
        <x:f>MAX(0,MIN('Activities'!L779,576)-MAX('Activities'!K779,570))</x:f>
        <x:v>0</x:v>
      </x:c>
      <x:c r="CW779" s="23" t="n">
        <x:f>MAX(0,MIN('Activities'!L779,582)-MAX('Activities'!K779,576))</x:f>
        <x:v>0</x:v>
      </x:c>
      <x:c r="CX779" s="23" t="n">
        <x:f>MAX(0,MIN('Activities'!L779,588)-MAX('Activities'!K779,582))</x:f>
        <x:v>0</x:v>
      </x:c>
      <x:c r="CY779" s="23" t="n">
        <x:f>MAX(0,MIN('Activities'!L779,594)-MAX('Activities'!K779,588))</x:f>
        <x:v>0</x:v>
      </x:c>
      <x:c r="CZ779" s="23" t="n">
        <x:f>MAX(0,MIN('Activities'!L779,600)-MAX('Activities'!K779,594))</x:f>
        <x:v>0</x:v>
      </x:c>
      <x:c r="DA779" s="23" t="n">
        <x:f>MAX(0,MIN('Activities'!L779,606)-MAX('Activities'!K779,600))</x:f>
        <x:v>0</x:v>
      </x:c>
      <x:c r="DB779" s="23" t="n">
        <x:f>MAX(0,MIN('Activities'!L779,612)-MAX('Activities'!K779,606))</x:f>
        <x:v>0</x:v>
      </x:c>
      <x:c r="DC779" s="23" t="n">
        <x:f>MAX(0,MIN('Activities'!L779,618)-MAX('Activities'!K779,612))</x:f>
        <x:v>0</x:v>
      </x:c>
      <x:c r="DD779" s="23" t="n">
        <x:f>MAX(0,MIN('Activities'!L779,624)-MAX('Activities'!K779,618))</x:f>
        <x:v>0</x:v>
      </x:c>
      <x:c r="DE779" s="23" t="n">
        <x:f>MAX(0,MIN('Activities'!L779,630)-MAX('Activities'!K779,624))</x:f>
        <x:v>0</x:v>
      </x:c>
      <x:c r="DF779" s="23" t="n">
        <x:f>MAX(0,MIN('Activities'!L779,636)-MAX('Activities'!K779,630))</x:f>
        <x:v>0</x:v>
      </x:c>
    </x:row>
    <x:row r="780" ht="23" customHeight="1">
      <x:c r="A780" s="6" t="str">
        <x:v>T6-L07-S</x:v>
      </x:c>
      <x:c r="B780" s="6" t="str">
        <x:v>T6</x:v>
      </x:c>
      <x:c r="C780" s="6" t="str">
        <x:v>Screed and substrate preparation</x:v>
      </x:c>
      <x:c r="D780" s="6" t="str">
        <x:v>Finishes</x:v>
      </x:c>
      <x:c r="E780" s="22" t="n">
        <x:f>MAX(0,MIN('Activities'!L780,6)-MAX('Activities'!K780,0))</x:f>
        <x:v>0</x:v>
      </x:c>
      <x:c r="F780" s="22" t="n">
        <x:f>MAX(0,MIN('Activities'!L780,12)-MAX('Activities'!K780,6))</x:f>
        <x:v>0</x:v>
      </x:c>
      <x:c r="G780" s="22" t="n">
        <x:f>MAX(0,MIN('Activities'!L780,18)-MAX('Activities'!K780,12))</x:f>
        <x:v>0</x:v>
      </x:c>
      <x:c r="H780" s="22" t="n">
        <x:f>MAX(0,MIN('Activities'!L780,24)-MAX('Activities'!K780,18))</x:f>
        <x:v>0</x:v>
      </x:c>
      <x:c r="I780" s="22" t="n">
        <x:f>MAX(0,MIN('Activities'!L780,30)-MAX('Activities'!K780,24))</x:f>
        <x:v>0</x:v>
      </x:c>
      <x:c r="J780" s="22" t="n">
        <x:f>MAX(0,MIN('Activities'!L780,36)-MAX('Activities'!K780,30))</x:f>
        <x:v>0</x:v>
      </x:c>
      <x:c r="K780" s="22" t="n">
        <x:f>MAX(0,MIN('Activities'!L780,42)-MAX('Activities'!K780,36))</x:f>
        <x:v>0</x:v>
      </x:c>
      <x:c r="L780" s="22" t="n">
        <x:f>MAX(0,MIN('Activities'!L780,48)-MAX('Activities'!K780,42))</x:f>
        <x:v>0</x:v>
      </x:c>
      <x:c r="M780" s="22" t="n">
        <x:f>MAX(0,MIN('Activities'!L780,54)-MAX('Activities'!K780,48))</x:f>
        <x:v>0</x:v>
      </x:c>
      <x:c r="N780" s="22" t="n">
        <x:f>MAX(0,MIN('Activities'!L780,60)-MAX('Activities'!K780,54))</x:f>
        <x:v>0</x:v>
      </x:c>
      <x:c r="O780" s="22" t="n">
        <x:f>MAX(0,MIN('Activities'!L780,66)-MAX('Activities'!K780,60))</x:f>
        <x:v>0</x:v>
      </x:c>
      <x:c r="P780" s="22" t="n">
        <x:f>MAX(0,MIN('Activities'!L780,72)-MAX('Activities'!K780,66))</x:f>
        <x:v>0</x:v>
      </x:c>
      <x:c r="Q780" s="22" t="n">
        <x:f>MAX(0,MIN('Activities'!L780,78)-MAX('Activities'!K780,72))</x:f>
        <x:v>0</x:v>
      </x:c>
      <x:c r="R780" s="22" t="n">
        <x:f>MAX(0,MIN('Activities'!L780,84)-MAX('Activities'!K780,78))</x:f>
        <x:v>0</x:v>
      </x:c>
      <x:c r="S780" s="22" t="n">
        <x:f>MAX(0,MIN('Activities'!L780,90)-MAX('Activities'!K780,84))</x:f>
        <x:v>0</x:v>
      </x:c>
      <x:c r="T780" s="22" t="n">
        <x:f>MAX(0,MIN('Activities'!L780,96)-MAX('Activities'!K780,90))</x:f>
        <x:v>0</x:v>
      </x:c>
      <x:c r="U780" s="22" t="n">
        <x:f>MAX(0,MIN('Activities'!L780,102)-MAX('Activities'!K780,96))</x:f>
        <x:v>0</x:v>
      </x:c>
      <x:c r="V780" s="22" t="n">
        <x:f>MAX(0,MIN('Activities'!L780,108)-MAX('Activities'!K780,102))</x:f>
        <x:v>0</x:v>
      </x:c>
      <x:c r="W780" s="22" t="n">
        <x:f>MAX(0,MIN('Activities'!L780,114)-MAX('Activities'!K780,108))</x:f>
        <x:v>0</x:v>
      </x:c>
      <x:c r="X780" s="22" t="n">
        <x:f>MAX(0,MIN('Activities'!L780,120)-MAX('Activities'!K780,114))</x:f>
        <x:v>0</x:v>
      </x:c>
      <x:c r="Y780" s="22" t="n">
        <x:f>MAX(0,MIN('Activities'!L780,126)-MAX('Activities'!K780,120))</x:f>
        <x:v>0</x:v>
      </x:c>
      <x:c r="Z780" s="22" t="n">
        <x:f>MAX(0,MIN('Activities'!L780,132)-MAX('Activities'!K780,126))</x:f>
        <x:v>0</x:v>
      </x:c>
      <x:c r="AA780" s="22" t="n">
        <x:f>MAX(0,MIN('Activities'!L780,138)-MAX('Activities'!K780,132))</x:f>
        <x:v>0</x:v>
      </x:c>
      <x:c r="AB780" s="22" t="n">
        <x:f>MAX(0,MIN('Activities'!L780,144)-MAX('Activities'!K780,138))</x:f>
        <x:v>0</x:v>
      </x:c>
      <x:c r="AC780" s="22" t="n">
        <x:f>MAX(0,MIN('Activities'!L780,150)-MAX('Activities'!K780,144))</x:f>
        <x:v>0</x:v>
      </x:c>
      <x:c r="AD780" s="22" t="n">
        <x:f>MAX(0,MIN('Activities'!L780,156)-MAX('Activities'!K780,150))</x:f>
        <x:v>0</x:v>
      </x:c>
      <x:c r="AE780" s="22" t="n">
        <x:f>MAX(0,MIN('Activities'!L780,162)-MAX('Activities'!K780,156))</x:f>
        <x:v>0</x:v>
      </x:c>
      <x:c r="AF780" s="22" t="n">
        <x:f>MAX(0,MIN('Activities'!L780,168)-MAX('Activities'!K780,162))</x:f>
        <x:v>0</x:v>
      </x:c>
      <x:c r="AG780" s="22" t="n">
        <x:f>MAX(0,MIN('Activities'!L780,174)-MAX('Activities'!K780,168))</x:f>
        <x:v>0</x:v>
      </x:c>
      <x:c r="AH780" s="22" t="n">
        <x:f>MAX(0,MIN('Activities'!L780,180)-MAX('Activities'!K780,174))</x:f>
        <x:v>0</x:v>
      </x:c>
      <x:c r="AI780" s="22" t="n">
        <x:f>MAX(0,MIN('Activities'!L780,186)-MAX('Activities'!K780,180))</x:f>
        <x:v>0</x:v>
      </x:c>
      <x:c r="AJ780" s="22" t="n">
        <x:f>MAX(0,MIN('Activities'!L780,192)-MAX('Activities'!K780,186))</x:f>
        <x:v>0</x:v>
      </x:c>
      <x:c r="AK780" s="22" t="n">
        <x:f>MAX(0,MIN('Activities'!L780,198)-MAX('Activities'!K780,192))</x:f>
        <x:v>0</x:v>
      </x:c>
      <x:c r="AL780" s="22" t="n">
        <x:f>MAX(0,MIN('Activities'!L780,204)-MAX('Activities'!K780,198))</x:f>
        <x:v>0</x:v>
      </x:c>
      <x:c r="AM780" s="22" t="n">
        <x:f>MAX(0,MIN('Activities'!L780,210)-MAX('Activities'!K780,204))</x:f>
        <x:v>0</x:v>
      </x:c>
      <x:c r="AN780" s="22" t="n">
        <x:f>MAX(0,MIN('Activities'!L780,216)-MAX('Activities'!K780,210))</x:f>
        <x:v>0</x:v>
      </x:c>
      <x:c r="AO780" s="22" t="n">
        <x:f>MAX(0,MIN('Activities'!L780,222)-MAX('Activities'!K780,216))</x:f>
        <x:v>0</x:v>
      </x:c>
      <x:c r="AP780" s="22" t="n">
        <x:f>MAX(0,MIN('Activities'!L780,228)-MAX('Activities'!K780,222))</x:f>
        <x:v>0</x:v>
      </x:c>
      <x:c r="AQ780" s="22" t="n">
        <x:f>MAX(0,MIN('Activities'!L780,234)-MAX('Activities'!K780,228))</x:f>
        <x:v>0</x:v>
      </x:c>
      <x:c r="AR780" s="22" t="n">
        <x:f>MAX(0,MIN('Activities'!L780,240)-MAX('Activities'!K780,234))</x:f>
        <x:v>0</x:v>
      </x:c>
      <x:c r="AS780" s="22" t="n">
        <x:f>MAX(0,MIN('Activities'!L780,246)-MAX('Activities'!K780,240))</x:f>
        <x:v>0</x:v>
      </x:c>
      <x:c r="AT780" s="22" t="n">
        <x:f>MAX(0,MIN('Activities'!L780,252)-MAX('Activities'!K780,246))</x:f>
        <x:v>0</x:v>
      </x:c>
      <x:c r="AU780" s="22" t="n">
        <x:f>MAX(0,MIN('Activities'!L780,258)-MAX('Activities'!K780,252))</x:f>
        <x:v>0</x:v>
      </x:c>
      <x:c r="AV780" s="22" t="n">
        <x:f>MAX(0,MIN('Activities'!L780,264)-MAX('Activities'!K780,258))</x:f>
        <x:v>0</x:v>
      </x:c>
      <x:c r="AW780" s="22" t="n">
        <x:f>MAX(0,MIN('Activities'!L780,270)-MAX('Activities'!K780,264))</x:f>
        <x:v>0</x:v>
      </x:c>
      <x:c r="AX780" s="22" t="n">
        <x:f>MAX(0,MIN('Activities'!L780,276)-MAX('Activities'!K780,270))</x:f>
        <x:v>0</x:v>
      </x:c>
      <x:c r="AY780" s="22" t="n">
        <x:f>MAX(0,MIN('Activities'!L780,282)-MAX('Activities'!K780,276))</x:f>
        <x:v>0</x:v>
      </x:c>
      <x:c r="AZ780" s="22" t="n">
        <x:f>MAX(0,MIN('Activities'!L780,288)-MAX('Activities'!K780,282))</x:f>
        <x:v>0</x:v>
      </x:c>
      <x:c r="BA780" s="22" t="n">
        <x:f>MAX(0,MIN('Activities'!L780,294)-MAX('Activities'!K780,288))</x:f>
        <x:v>0</x:v>
      </x:c>
      <x:c r="BB780" s="22" t="n">
        <x:f>MAX(0,MIN('Activities'!L780,300)-MAX('Activities'!K780,294))</x:f>
        <x:v>0</x:v>
      </x:c>
      <x:c r="BC780" s="22" t="n">
        <x:f>MAX(0,MIN('Activities'!L780,306)-MAX('Activities'!K780,300))</x:f>
        <x:v>0</x:v>
      </x:c>
      <x:c r="BD780" s="22" t="n">
        <x:f>MAX(0,MIN('Activities'!L780,312)-MAX('Activities'!K780,306))</x:f>
        <x:v>0</x:v>
      </x:c>
      <x:c r="BE780" s="22" t="n">
        <x:f>MAX(0,MIN('Activities'!L780,318)-MAX('Activities'!K780,312))</x:f>
        <x:v>0</x:v>
      </x:c>
      <x:c r="BF780" s="22" t="n">
        <x:f>MAX(0,MIN('Activities'!L780,324)-MAX('Activities'!K780,318))</x:f>
        <x:v>0</x:v>
      </x:c>
      <x:c r="BG780" s="22" t="n">
        <x:f>MAX(0,MIN('Activities'!L780,330)-MAX('Activities'!K780,324))</x:f>
        <x:v>0</x:v>
      </x:c>
      <x:c r="BH780" s="22" t="n">
        <x:f>MAX(0,MIN('Activities'!L780,336)-MAX('Activities'!K780,330))</x:f>
        <x:v>0</x:v>
      </x:c>
      <x:c r="BI780" s="22" t="n">
        <x:f>MAX(0,MIN('Activities'!L780,342)-MAX('Activities'!K780,336))</x:f>
        <x:v>0</x:v>
      </x:c>
      <x:c r="BJ780" s="22" t="n">
        <x:f>MAX(0,MIN('Activities'!L780,348)-MAX('Activities'!K780,342))</x:f>
        <x:v>0</x:v>
      </x:c>
      <x:c r="BK780" s="22" t="n">
        <x:f>MAX(0,MIN('Activities'!L780,354)-MAX('Activities'!K780,348))</x:f>
        <x:v>0</x:v>
      </x:c>
      <x:c r="BL780" s="22" t="n">
        <x:f>MAX(0,MIN('Activities'!L780,360)-MAX('Activities'!K780,354))</x:f>
        <x:v>0</x:v>
      </x:c>
      <x:c r="BM780" s="22" t="n">
        <x:f>MAX(0,MIN('Activities'!L780,366)-MAX('Activities'!K780,360))</x:f>
        <x:v>0</x:v>
      </x:c>
      <x:c r="BN780" s="22" t="n">
        <x:f>MAX(0,MIN('Activities'!L780,372)-MAX('Activities'!K780,366))</x:f>
        <x:v>0</x:v>
      </x:c>
      <x:c r="BO780" s="22" t="n">
        <x:f>MAX(0,MIN('Activities'!L780,378)-MAX('Activities'!K780,372))</x:f>
        <x:v>0</x:v>
      </x:c>
      <x:c r="BP780" s="22" t="n">
        <x:f>MAX(0,MIN('Activities'!L780,384)-MAX('Activities'!K780,378))</x:f>
        <x:v>0</x:v>
      </x:c>
      <x:c r="BQ780" s="22" t="n">
        <x:f>MAX(0,MIN('Activities'!L780,390)-MAX('Activities'!K780,384))</x:f>
        <x:v>0</x:v>
      </x:c>
      <x:c r="BR780" s="22" t="n">
        <x:f>MAX(0,MIN('Activities'!L780,396)-MAX('Activities'!K780,390))</x:f>
        <x:v>0</x:v>
      </x:c>
      <x:c r="BS780" s="22" t="n">
        <x:f>MAX(0,MIN('Activities'!L780,402)-MAX('Activities'!K780,396))</x:f>
        <x:v>0</x:v>
      </x:c>
      <x:c r="BT780" s="22" t="n">
        <x:f>MAX(0,MIN('Activities'!L780,408)-MAX('Activities'!K780,402))</x:f>
        <x:v>0</x:v>
      </x:c>
      <x:c r="BU780" s="22" t="n">
        <x:f>MAX(0,MIN('Activities'!L780,414)-MAX('Activities'!K780,408))</x:f>
        <x:v>1</x:v>
      </x:c>
      <x:c r="BV780" s="22" t="n">
        <x:f>MAX(0,MIN('Activities'!L780,420)-MAX('Activities'!K780,414))</x:f>
        <x:v>2</x:v>
      </x:c>
      <x:c r="BW780" s="22" t="n">
        <x:f>MAX(0,MIN('Activities'!L780,426)-MAX('Activities'!K780,420))</x:f>
        <x:v>0</x:v>
      </x:c>
      <x:c r="BX780" s="22" t="n">
        <x:f>MAX(0,MIN('Activities'!L780,432)-MAX('Activities'!K780,426))</x:f>
        <x:v>0</x:v>
      </x:c>
      <x:c r="BY780" s="22" t="n">
        <x:f>MAX(0,MIN('Activities'!L780,438)-MAX('Activities'!K780,432))</x:f>
        <x:v>0</x:v>
      </x:c>
      <x:c r="BZ780" s="22" t="n">
        <x:f>MAX(0,MIN('Activities'!L780,444)-MAX('Activities'!K780,438))</x:f>
        <x:v>0</x:v>
      </x:c>
      <x:c r="CA780" s="22" t="n">
        <x:f>MAX(0,MIN('Activities'!L780,450)-MAX('Activities'!K780,444))</x:f>
        <x:v>0</x:v>
      </x:c>
      <x:c r="CB780" s="22" t="n">
        <x:f>MAX(0,MIN('Activities'!L780,456)-MAX('Activities'!K780,450))</x:f>
        <x:v>0</x:v>
      </x:c>
      <x:c r="CC780" s="22" t="n">
        <x:f>MAX(0,MIN('Activities'!L780,462)-MAX('Activities'!K780,456))</x:f>
        <x:v>0</x:v>
      </x:c>
      <x:c r="CD780" s="22" t="n">
        <x:f>MAX(0,MIN('Activities'!L780,468)-MAX('Activities'!K780,462))</x:f>
        <x:v>0</x:v>
      </x:c>
      <x:c r="CE780" s="22" t="n">
        <x:f>MAX(0,MIN('Activities'!L780,474)-MAX('Activities'!K780,468))</x:f>
        <x:v>0</x:v>
      </x:c>
      <x:c r="CF780" s="22" t="n">
        <x:f>MAX(0,MIN('Activities'!L780,480)-MAX('Activities'!K780,474))</x:f>
        <x:v>0</x:v>
      </x:c>
      <x:c r="CG780" s="22" t="n">
        <x:f>MAX(0,MIN('Activities'!L780,486)-MAX('Activities'!K780,480))</x:f>
        <x:v>0</x:v>
      </x:c>
      <x:c r="CH780" s="22" t="n">
        <x:f>MAX(0,MIN('Activities'!L780,492)-MAX('Activities'!K780,486))</x:f>
        <x:v>0</x:v>
      </x:c>
      <x:c r="CI780" s="22" t="n">
        <x:f>MAX(0,MIN('Activities'!L780,498)-MAX('Activities'!K780,492))</x:f>
        <x:v>0</x:v>
      </x:c>
      <x:c r="CJ780" s="22" t="n">
        <x:f>MAX(0,MIN('Activities'!L780,504)-MAX('Activities'!K780,498))</x:f>
        <x:v>0</x:v>
      </x:c>
      <x:c r="CK780" s="22" t="n">
        <x:f>MAX(0,MIN('Activities'!L780,510)-MAX('Activities'!K780,504))</x:f>
        <x:v>0</x:v>
      </x:c>
      <x:c r="CL780" s="22" t="n">
        <x:f>MAX(0,MIN('Activities'!L780,516)-MAX('Activities'!K780,510))</x:f>
        <x:v>0</x:v>
      </x:c>
      <x:c r="CM780" s="22" t="n">
        <x:f>MAX(0,MIN('Activities'!L780,522)-MAX('Activities'!K780,516))</x:f>
        <x:v>0</x:v>
      </x:c>
      <x:c r="CN780" s="22" t="n">
        <x:f>MAX(0,MIN('Activities'!L780,528)-MAX('Activities'!K780,522))</x:f>
        <x:v>0</x:v>
      </x:c>
      <x:c r="CO780" s="22" t="n">
        <x:f>MAX(0,MIN('Activities'!L780,534)-MAX('Activities'!K780,528))</x:f>
        <x:v>0</x:v>
      </x:c>
      <x:c r="CP780" s="22" t="n">
        <x:f>MAX(0,MIN('Activities'!L780,540)-MAX('Activities'!K780,534))</x:f>
        <x:v>0</x:v>
      </x:c>
      <x:c r="CQ780" s="22" t="n">
        <x:f>MAX(0,MIN('Activities'!L780,546)-MAX('Activities'!K780,540))</x:f>
        <x:v>0</x:v>
      </x:c>
      <x:c r="CR780" s="22" t="n">
        <x:f>MAX(0,MIN('Activities'!L780,552)-MAX('Activities'!K780,546))</x:f>
        <x:v>0</x:v>
      </x:c>
      <x:c r="CS780" s="22" t="n">
        <x:f>MAX(0,MIN('Activities'!L780,558)-MAX('Activities'!K780,552))</x:f>
        <x:v>0</x:v>
      </x:c>
      <x:c r="CT780" s="22" t="n">
        <x:f>MAX(0,MIN('Activities'!L780,564)-MAX('Activities'!K780,558))</x:f>
        <x:v>0</x:v>
      </x:c>
      <x:c r="CU780" s="22" t="n">
        <x:f>MAX(0,MIN('Activities'!L780,570)-MAX('Activities'!K780,564))</x:f>
        <x:v>0</x:v>
      </x:c>
      <x:c r="CV780" s="22" t="n">
        <x:f>MAX(0,MIN('Activities'!L780,576)-MAX('Activities'!K780,570))</x:f>
        <x:v>0</x:v>
      </x:c>
      <x:c r="CW780" s="22" t="n">
        <x:f>MAX(0,MIN('Activities'!L780,582)-MAX('Activities'!K780,576))</x:f>
        <x:v>0</x:v>
      </x:c>
      <x:c r="CX780" s="22" t="n">
        <x:f>MAX(0,MIN('Activities'!L780,588)-MAX('Activities'!K780,582))</x:f>
        <x:v>0</x:v>
      </x:c>
      <x:c r="CY780" s="22" t="n">
        <x:f>MAX(0,MIN('Activities'!L780,594)-MAX('Activities'!K780,588))</x:f>
        <x:v>0</x:v>
      </x:c>
      <x:c r="CZ780" s="22" t="n">
        <x:f>MAX(0,MIN('Activities'!L780,600)-MAX('Activities'!K780,594))</x:f>
        <x:v>0</x:v>
      </x:c>
      <x:c r="DA780" s="22" t="n">
        <x:f>MAX(0,MIN('Activities'!L780,606)-MAX('Activities'!K780,600))</x:f>
        <x:v>0</x:v>
      </x:c>
      <x:c r="DB780" s="22" t="n">
        <x:f>MAX(0,MIN('Activities'!L780,612)-MAX('Activities'!K780,606))</x:f>
        <x:v>0</x:v>
      </x:c>
      <x:c r="DC780" s="22" t="n">
        <x:f>MAX(0,MIN('Activities'!L780,618)-MAX('Activities'!K780,612))</x:f>
        <x:v>0</x:v>
      </x:c>
      <x:c r="DD780" s="22" t="n">
        <x:f>MAX(0,MIN('Activities'!L780,624)-MAX('Activities'!K780,618))</x:f>
        <x:v>0</x:v>
      </x:c>
      <x:c r="DE780" s="22" t="n">
        <x:f>MAX(0,MIN('Activities'!L780,630)-MAX('Activities'!K780,624))</x:f>
        <x:v>0</x:v>
      </x:c>
      <x:c r="DF780" s="22" t="n">
        <x:f>MAX(0,MIN('Activities'!L780,636)-MAX('Activities'!K780,630))</x:f>
        <x:v>0</x:v>
      </x:c>
    </x:row>
    <x:row r="781" ht="23" customHeight="1">
      <x:c r="A781" s="1" t="str">
        <x:v>T6-L07-T</x:v>
      </x:c>
      <x:c r="B781" s="1" t="str">
        <x:v>T6</x:v>
      </x:c>
      <x:c r="C781" s="1" t="str">
        <x:v>Floor finishes and skirtings</x:v>
      </x:c>
      <x:c r="D781" s="1" t="str">
        <x:v>Finishes</x:v>
      </x:c>
      <x:c r="E781" s="23" t="n">
        <x:f>MAX(0,MIN('Activities'!L781,6)-MAX('Activities'!K781,0))</x:f>
        <x:v>0</x:v>
      </x:c>
      <x:c r="F781" s="23" t="n">
        <x:f>MAX(0,MIN('Activities'!L781,12)-MAX('Activities'!K781,6))</x:f>
        <x:v>0</x:v>
      </x:c>
      <x:c r="G781" s="23" t="n">
        <x:f>MAX(0,MIN('Activities'!L781,18)-MAX('Activities'!K781,12))</x:f>
        <x:v>0</x:v>
      </x:c>
      <x:c r="H781" s="23" t="n">
        <x:f>MAX(0,MIN('Activities'!L781,24)-MAX('Activities'!K781,18))</x:f>
        <x:v>0</x:v>
      </x:c>
      <x:c r="I781" s="23" t="n">
        <x:f>MAX(0,MIN('Activities'!L781,30)-MAX('Activities'!K781,24))</x:f>
        <x:v>0</x:v>
      </x:c>
      <x:c r="J781" s="23" t="n">
        <x:f>MAX(0,MIN('Activities'!L781,36)-MAX('Activities'!K781,30))</x:f>
        <x:v>0</x:v>
      </x:c>
      <x:c r="K781" s="23" t="n">
        <x:f>MAX(0,MIN('Activities'!L781,42)-MAX('Activities'!K781,36))</x:f>
        <x:v>0</x:v>
      </x:c>
      <x:c r="L781" s="23" t="n">
        <x:f>MAX(0,MIN('Activities'!L781,48)-MAX('Activities'!K781,42))</x:f>
        <x:v>0</x:v>
      </x:c>
      <x:c r="M781" s="23" t="n">
        <x:f>MAX(0,MIN('Activities'!L781,54)-MAX('Activities'!K781,48))</x:f>
        <x:v>0</x:v>
      </x:c>
      <x:c r="N781" s="23" t="n">
        <x:f>MAX(0,MIN('Activities'!L781,60)-MAX('Activities'!K781,54))</x:f>
        <x:v>0</x:v>
      </x:c>
      <x:c r="O781" s="23" t="n">
        <x:f>MAX(0,MIN('Activities'!L781,66)-MAX('Activities'!K781,60))</x:f>
        <x:v>0</x:v>
      </x:c>
      <x:c r="P781" s="23" t="n">
        <x:f>MAX(0,MIN('Activities'!L781,72)-MAX('Activities'!K781,66))</x:f>
        <x:v>0</x:v>
      </x:c>
      <x:c r="Q781" s="23" t="n">
        <x:f>MAX(0,MIN('Activities'!L781,78)-MAX('Activities'!K781,72))</x:f>
        <x:v>0</x:v>
      </x:c>
      <x:c r="R781" s="23" t="n">
        <x:f>MAX(0,MIN('Activities'!L781,84)-MAX('Activities'!K781,78))</x:f>
        <x:v>0</x:v>
      </x:c>
      <x:c r="S781" s="23" t="n">
        <x:f>MAX(0,MIN('Activities'!L781,90)-MAX('Activities'!K781,84))</x:f>
        <x:v>0</x:v>
      </x:c>
      <x:c r="T781" s="23" t="n">
        <x:f>MAX(0,MIN('Activities'!L781,96)-MAX('Activities'!K781,90))</x:f>
        <x:v>0</x:v>
      </x:c>
      <x:c r="U781" s="23" t="n">
        <x:f>MAX(0,MIN('Activities'!L781,102)-MAX('Activities'!K781,96))</x:f>
        <x:v>0</x:v>
      </x:c>
      <x:c r="V781" s="23" t="n">
        <x:f>MAX(0,MIN('Activities'!L781,108)-MAX('Activities'!K781,102))</x:f>
        <x:v>0</x:v>
      </x:c>
      <x:c r="W781" s="23" t="n">
        <x:f>MAX(0,MIN('Activities'!L781,114)-MAX('Activities'!K781,108))</x:f>
        <x:v>0</x:v>
      </x:c>
      <x:c r="X781" s="23" t="n">
        <x:f>MAX(0,MIN('Activities'!L781,120)-MAX('Activities'!K781,114))</x:f>
        <x:v>0</x:v>
      </x:c>
      <x:c r="Y781" s="23" t="n">
        <x:f>MAX(0,MIN('Activities'!L781,126)-MAX('Activities'!K781,120))</x:f>
        <x:v>0</x:v>
      </x:c>
      <x:c r="Z781" s="23" t="n">
        <x:f>MAX(0,MIN('Activities'!L781,132)-MAX('Activities'!K781,126))</x:f>
        <x:v>0</x:v>
      </x:c>
      <x:c r="AA781" s="23" t="n">
        <x:f>MAX(0,MIN('Activities'!L781,138)-MAX('Activities'!K781,132))</x:f>
        <x:v>0</x:v>
      </x:c>
      <x:c r="AB781" s="23" t="n">
        <x:f>MAX(0,MIN('Activities'!L781,144)-MAX('Activities'!K781,138))</x:f>
        <x:v>0</x:v>
      </x:c>
      <x:c r="AC781" s="23" t="n">
        <x:f>MAX(0,MIN('Activities'!L781,150)-MAX('Activities'!K781,144))</x:f>
        <x:v>0</x:v>
      </x:c>
      <x:c r="AD781" s="23" t="n">
        <x:f>MAX(0,MIN('Activities'!L781,156)-MAX('Activities'!K781,150))</x:f>
        <x:v>0</x:v>
      </x:c>
      <x:c r="AE781" s="23" t="n">
        <x:f>MAX(0,MIN('Activities'!L781,162)-MAX('Activities'!K781,156))</x:f>
        <x:v>0</x:v>
      </x:c>
      <x:c r="AF781" s="23" t="n">
        <x:f>MAX(0,MIN('Activities'!L781,168)-MAX('Activities'!K781,162))</x:f>
        <x:v>0</x:v>
      </x:c>
      <x:c r="AG781" s="23" t="n">
        <x:f>MAX(0,MIN('Activities'!L781,174)-MAX('Activities'!K781,168))</x:f>
        <x:v>0</x:v>
      </x:c>
      <x:c r="AH781" s="23" t="n">
        <x:f>MAX(0,MIN('Activities'!L781,180)-MAX('Activities'!K781,174))</x:f>
        <x:v>0</x:v>
      </x:c>
      <x:c r="AI781" s="23" t="n">
        <x:f>MAX(0,MIN('Activities'!L781,186)-MAX('Activities'!K781,180))</x:f>
        <x:v>0</x:v>
      </x:c>
      <x:c r="AJ781" s="23" t="n">
        <x:f>MAX(0,MIN('Activities'!L781,192)-MAX('Activities'!K781,186))</x:f>
        <x:v>0</x:v>
      </x:c>
      <x:c r="AK781" s="23" t="n">
        <x:f>MAX(0,MIN('Activities'!L781,198)-MAX('Activities'!K781,192))</x:f>
        <x:v>0</x:v>
      </x:c>
      <x:c r="AL781" s="23" t="n">
        <x:f>MAX(0,MIN('Activities'!L781,204)-MAX('Activities'!K781,198))</x:f>
        <x:v>0</x:v>
      </x:c>
      <x:c r="AM781" s="23" t="n">
        <x:f>MAX(0,MIN('Activities'!L781,210)-MAX('Activities'!K781,204))</x:f>
        <x:v>0</x:v>
      </x:c>
      <x:c r="AN781" s="23" t="n">
        <x:f>MAX(0,MIN('Activities'!L781,216)-MAX('Activities'!K781,210))</x:f>
        <x:v>0</x:v>
      </x:c>
      <x:c r="AO781" s="23" t="n">
        <x:f>MAX(0,MIN('Activities'!L781,222)-MAX('Activities'!K781,216))</x:f>
        <x:v>0</x:v>
      </x:c>
      <x:c r="AP781" s="23" t="n">
        <x:f>MAX(0,MIN('Activities'!L781,228)-MAX('Activities'!K781,222))</x:f>
        <x:v>0</x:v>
      </x:c>
      <x:c r="AQ781" s="23" t="n">
        <x:f>MAX(0,MIN('Activities'!L781,234)-MAX('Activities'!K781,228))</x:f>
        <x:v>0</x:v>
      </x:c>
      <x:c r="AR781" s="23" t="n">
        <x:f>MAX(0,MIN('Activities'!L781,240)-MAX('Activities'!K781,234))</x:f>
        <x:v>0</x:v>
      </x:c>
      <x:c r="AS781" s="23" t="n">
        <x:f>MAX(0,MIN('Activities'!L781,246)-MAX('Activities'!K781,240))</x:f>
        <x:v>0</x:v>
      </x:c>
      <x:c r="AT781" s="23" t="n">
        <x:f>MAX(0,MIN('Activities'!L781,252)-MAX('Activities'!K781,246))</x:f>
        <x:v>0</x:v>
      </x:c>
      <x:c r="AU781" s="23" t="n">
        <x:f>MAX(0,MIN('Activities'!L781,258)-MAX('Activities'!K781,252))</x:f>
        <x:v>0</x:v>
      </x:c>
      <x:c r="AV781" s="23" t="n">
        <x:f>MAX(0,MIN('Activities'!L781,264)-MAX('Activities'!K781,258))</x:f>
        <x:v>0</x:v>
      </x:c>
      <x:c r="AW781" s="23" t="n">
        <x:f>MAX(0,MIN('Activities'!L781,270)-MAX('Activities'!K781,264))</x:f>
        <x:v>0</x:v>
      </x:c>
      <x:c r="AX781" s="23" t="n">
        <x:f>MAX(0,MIN('Activities'!L781,276)-MAX('Activities'!K781,270))</x:f>
        <x:v>0</x:v>
      </x:c>
      <x:c r="AY781" s="23" t="n">
        <x:f>MAX(0,MIN('Activities'!L781,282)-MAX('Activities'!K781,276))</x:f>
        <x:v>0</x:v>
      </x:c>
      <x:c r="AZ781" s="23" t="n">
        <x:f>MAX(0,MIN('Activities'!L781,288)-MAX('Activities'!K781,282))</x:f>
        <x:v>0</x:v>
      </x:c>
      <x:c r="BA781" s="23" t="n">
        <x:f>MAX(0,MIN('Activities'!L781,294)-MAX('Activities'!K781,288))</x:f>
        <x:v>0</x:v>
      </x:c>
      <x:c r="BB781" s="23" t="n">
        <x:f>MAX(0,MIN('Activities'!L781,300)-MAX('Activities'!K781,294))</x:f>
        <x:v>0</x:v>
      </x:c>
      <x:c r="BC781" s="23" t="n">
        <x:f>MAX(0,MIN('Activities'!L781,306)-MAX('Activities'!K781,300))</x:f>
        <x:v>0</x:v>
      </x:c>
      <x:c r="BD781" s="23" t="n">
        <x:f>MAX(0,MIN('Activities'!L781,312)-MAX('Activities'!K781,306))</x:f>
        <x:v>0</x:v>
      </x:c>
      <x:c r="BE781" s="23" t="n">
        <x:f>MAX(0,MIN('Activities'!L781,318)-MAX('Activities'!K781,312))</x:f>
        <x:v>0</x:v>
      </x:c>
      <x:c r="BF781" s="23" t="n">
        <x:f>MAX(0,MIN('Activities'!L781,324)-MAX('Activities'!K781,318))</x:f>
        <x:v>0</x:v>
      </x:c>
      <x:c r="BG781" s="23" t="n">
        <x:f>MAX(0,MIN('Activities'!L781,330)-MAX('Activities'!K781,324))</x:f>
        <x:v>0</x:v>
      </x:c>
      <x:c r="BH781" s="23" t="n">
        <x:f>MAX(0,MIN('Activities'!L781,336)-MAX('Activities'!K781,330))</x:f>
        <x:v>0</x:v>
      </x:c>
      <x:c r="BI781" s="23" t="n">
        <x:f>MAX(0,MIN('Activities'!L781,342)-MAX('Activities'!K781,336))</x:f>
        <x:v>0</x:v>
      </x:c>
      <x:c r="BJ781" s="23" t="n">
        <x:f>MAX(0,MIN('Activities'!L781,348)-MAX('Activities'!K781,342))</x:f>
        <x:v>0</x:v>
      </x:c>
      <x:c r="BK781" s="23" t="n">
        <x:f>MAX(0,MIN('Activities'!L781,354)-MAX('Activities'!K781,348))</x:f>
        <x:v>0</x:v>
      </x:c>
      <x:c r="BL781" s="23" t="n">
        <x:f>MAX(0,MIN('Activities'!L781,360)-MAX('Activities'!K781,354))</x:f>
        <x:v>0</x:v>
      </x:c>
      <x:c r="BM781" s="23" t="n">
        <x:f>MAX(0,MIN('Activities'!L781,366)-MAX('Activities'!K781,360))</x:f>
        <x:v>0</x:v>
      </x:c>
      <x:c r="BN781" s="23" t="n">
        <x:f>MAX(0,MIN('Activities'!L781,372)-MAX('Activities'!K781,366))</x:f>
        <x:v>0</x:v>
      </x:c>
      <x:c r="BO781" s="23" t="n">
        <x:f>MAX(0,MIN('Activities'!L781,378)-MAX('Activities'!K781,372))</x:f>
        <x:v>0</x:v>
      </x:c>
      <x:c r="BP781" s="23" t="n">
        <x:f>MAX(0,MIN('Activities'!L781,384)-MAX('Activities'!K781,378))</x:f>
        <x:v>0</x:v>
      </x:c>
      <x:c r="BQ781" s="23" t="n">
        <x:f>MAX(0,MIN('Activities'!L781,390)-MAX('Activities'!K781,384))</x:f>
        <x:v>0</x:v>
      </x:c>
      <x:c r="BR781" s="23" t="n">
        <x:f>MAX(0,MIN('Activities'!L781,396)-MAX('Activities'!K781,390))</x:f>
        <x:v>0</x:v>
      </x:c>
      <x:c r="BS781" s="23" t="n">
        <x:f>MAX(0,MIN('Activities'!L781,402)-MAX('Activities'!K781,396))</x:f>
        <x:v>0</x:v>
      </x:c>
      <x:c r="BT781" s="23" t="n">
        <x:f>MAX(0,MIN('Activities'!L781,408)-MAX('Activities'!K781,402))</x:f>
        <x:v>0</x:v>
      </x:c>
      <x:c r="BU781" s="23" t="n">
        <x:f>MAX(0,MIN('Activities'!L781,414)-MAX('Activities'!K781,408))</x:f>
        <x:v>0</x:v>
      </x:c>
      <x:c r="BV781" s="23" t="n">
        <x:f>MAX(0,MIN('Activities'!L781,420)-MAX('Activities'!K781,414))</x:f>
        <x:v>0</x:v>
      </x:c>
      <x:c r="BW781" s="23" t="n">
        <x:f>MAX(0,MIN('Activities'!L781,426)-MAX('Activities'!K781,420))</x:f>
        <x:v>0</x:v>
      </x:c>
      <x:c r="BX781" s="23" t="n">
        <x:f>MAX(0,MIN('Activities'!L781,432)-MAX('Activities'!K781,426))</x:f>
        <x:v>0</x:v>
      </x:c>
      <x:c r="BY781" s="23" t="n">
        <x:f>MAX(0,MIN('Activities'!L781,438)-MAX('Activities'!K781,432))</x:f>
        <x:v>0</x:v>
      </x:c>
      <x:c r="BZ781" s="23" t="n">
        <x:f>MAX(0,MIN('Activities'!L781,444)-MAX('Activities'!K781,438))</x:f>
        <x:v>0</x:v>
      </x:c>
      <x:c r="CA781" s="23" t="n">
        <x:f>MAX(0,MIN('Activities'!L781,450)-MAX('Activities'!K781,444))</x:f>
        <x:v>0</x:v>
      </x:c>
      <x:c r="CB781" s="23" t="n">
        <x:f>MAX(0,MIN('Activities'!L781,456)-MAX('Activities'!K781,450))</x:f>
        <x:v>0</x:v>
      </x:c>
      <x:c r="CC781" s="23" t="n">
        <x:f>MAX(0,MIN('Activities'!L781,462)-MAX('Activities'!K781,456))</x:f>
        <x:v>1</x:v>
      </x:c>
      <x:c r="CD781" s="23" t="n">
        <x:f>MAX(0,MIN('Activities'!L781,468)-MAX('Activities'!K781,462))</x:f>
        <x:v>5</x:v>
      </x:c>
      <x:c r="CE781" s="23" t="n">
        <x:f>MAX(0,MIN('Activities'!L781,474)-MAX('Activities'!K781,468))</x:f>
        <x:v>0</x:v>
      </x:c>
      <x:c r="CF781" s="23" t="n">
        <x:f>MAX(0,MIN('Activities'!L781,480)-MAX('Activities'!K781,474))</x:f>
        <x:v>0</x:v>
      </x:c>
      <x:c r="CG781" s="23" t="n">
        <x:f>MAX(0,MIN('Activities'!L781,486)-MAX('Activities'!K781,480))</x:f>
        <x:v>0</x:v>
      </x:c>
      <x:c r="CH781" s="23" t="n">
        <x:f>MAX(0,MIN('Activities'!L781,492)-MAX('Activities'!K781,486))</x:f>
        <x:v>0</x:v>
      </x:c>
      <x:c r="CI781" s="23" t="n">
        <x:f>MAX(0,MIN('Activities'!L781,498)-MAX('Activities'!K781,492))</x:f>
        <x:v>0</x:v>
      </x:c>
      <x:c r="CJ781" s="23" t="n">
        <x:f>MAX(0,MIN('Activities'!L781,504)-MAX('Activities'!K781,498))</x:f>
        <x:v>0</x:v>
      </x:c>
      <x:c r="CK781" s="23" t="n">
        <x:f>MAX(0,MIN('Activities'!L781,510)-MAX('Activities'!K781,504))</x:f>
        <x:v>0</x:v>
      </x:c>
      <x:c r="CL781" s="23" t="n">
        <x:f>MAX(0,MIN('Activities'!L781,516)-MAX('Activities'!K781,510))</x:f>
        <x:v>0</x:v>
      </x:c>
      <x:c r="CM781" s="23" t="n">
        <x:f>MAX(0,MIN('Activities'!L781,522)-MAX('Activities'!K781,516))</x:f>
        <x:v>0</x:v>
      </x:c>
      <x:c r="CN781" s="23" t="n">
        <x:f>MAX(0,MIN('Activities'!L781,528)-MAX('Activities'!K781,522))</x:f>
        <x:v>0</x:v>
      </x:c>
      <x:c r="CO781" s="23" t="n">
        <x:f>MAX(0,MIN('Activities'!L781,534)-MAX('Activities'!K781,528))</x:f>
        <x:v>0</x:v>
      </x:c>
      <x:c r="CP781" s="23" t="n">
        <x:f>MAX(0,MIN('Activities'!L781,540)-MAX('Activities'!K781,534))</x:f>
        <x:v>0</x:v>
      </x:c>
      <x:c r="CQ781" s="23" t="n">
        <x:f>MAX(0,MIN('Activities'!L781,546)-MAX('Activities'!K781,540))</x:f>
        <x:v>0</x:v>
      </x:c>
      <x:c r="CR781" s="23" t="n">
        <x:f>MAX(0,MIN('Activities'!L781,552)-MAX('Activities'!K781,546))</x:f>
        <x:v>0</x:v>
      </x:c>
      <x:c r="CS781" s="23" t="n">
        <x:f>MAX(0,MIN('Activities'!L781,558)-MAX('Activities'!K781,552))</x:f>
        <x:v>0</x:v>
      </x:c>
      <x:c r="CT781" s="23" t="n">
        <x:f>MAX(0,MIN('Activities'!L781,564)-MAX('Activities'!K781,558))</x:f>
        <x:v>0</x:v>
      </x:c>
      <x:c r="CU781" s="23" t="n">
        <x:f>MAX(0,MIN('Activities'!L781,570)-MAX('Activities'!K781,564))</x:f>
        <x:v>0</x:v>
      </x:c>
      <x:c r="CV781" s="23" t="n">
        <x:f>MAX(0,MIN('Activities'!L781,576)-MAX('Activities'!K781,570))</x:f>
        <x:v>0</x:v>
      </x:c>
      <x:c r="CW781" s="23" t="n">
        <x:f>MAX(0,MIN('Activities'!L781,582)-MAX('Activities'!K781,576))</x:f>
        <x:v>0</x:v>
      </x:c>
      <x:c r="CX781" s="23" t="n">
        <x:f>MAX(0,MIN('Activities'!L781,588)-MAX('Activities'!K781,582))</x:f>
        <x:v>0</x:v>
      </x:c>
      <x:c r="CY781" s="23" t="n">
        <x:f>MAX(0,MIN('Activities'!L781,594)-MAX('Activities'!K781,588))</x:f>
        <x:v>0</x:v>
      </x:c>
      <x:c r="CZ781" s="23" t="n">
        <x:f>MAX(0,MIN('Activities'!L781,600)-MAX('Activities'!K781,594))</x:f>
        <x:v>0</x:v>
      </x:c>
      <x:c r="DA781" s="23" t="n">
        <x:f>MAX(0,MIN('Activities'!L781,606)-MAX('Activities'!K781,600))</x:f>
        <x:v>0</x:v>
      </x:c>
      <x:c r="DB781" s="23" t="n">
        <x:f>MAX(0,MIN('Activities'!L781,612)-MAX('Activities'!K781,606))</x:f>
        <x:v>0</x:v>
      </x:c>
      <x:c r="DC781" s="23" t="n">
        <x:f>MAX(0,MIN('Activities'!L781,618)-MAX('Activities'!K781,612))</x:f>
        <x:v>0</x:v>
      </x:c>
      <x:c r="DD781" s="23" t="n">
        <x:f>MAX(0,MIN('Activities'!L781,624)-MAX('Activities'!K781,618))</x:f>
        <x:v>0</x:v>
      </x:c>
      <x:c r="DE781" s="23" t="n">
        <x:f>MAX(0,MIN('Activities'!L781,630)-MAX('Activities'!K781,624))</x:f>
        <x:v>0</x:v>
      </x:c>
      <x:c r="DF781" s="23" t="n">
        <x:f>MAX(0,MIN('Activities'!L781,636)-MAX('Activities'!K781,630))</x:f>
        <x:v>0</x:v>
      </x:c>
    </x:row>
    <x:row r="782" ht="23" customHeight="1">
      <x:c r="A782" s="6" t="str">
        <x:v>T6-L07-A</x:v>
      </x:c>
      <x:c r="B782" s="6" t="str">
        <x:v>T6</x:v>
      </x:c>
      <x:c r="C782" s="6" t="str">
        <x:v>Paint and final decorations</x:v>
      </x:c>
      <x:c r="D782" s="6" t="str">
        <x:v>Finishes</x:v>
      </x:c>
      <x:c r="E782" s="22" t="n">
        <x:f>MAX(0,MIN('Activities'!L782,6)-MAX('Activities'!K782,0))</x:f>
        <x:v>0</x:v>
      </x:c>
      <x:c r="F782" s="22" t="n">
        <x:f>MAX(0,MIN('Activities'!L782,12)-MAX('Activities'!K782,6))</x:f>
        <x:v>0</x:v>
      </x:c>
      <x:c r="G782" s="22" t="n">
        <x:f>MAX(0,MIN('Activities'!L782,18)-MAX('Activities'!K782,12))</x:f>
        <x:v>0</x:v>
      </x:c>
      <x:c r="H782" s="22" t="n">
        <x:f>MAX(0,MIN('Activities'!L782,24)-MAX('Activities'!K782,18))</x:f>
        <x:v>0</x:v>
      </x:c>
      <x:c r="I782" s="22" t="n">
        <x:f>MAX(0,MIN('Activities'!L782,30)-MAX('Activities'!K782,24))</x:f>
        <x:v>0</x:v>
      </x:c>
      <x:c r="J782" s="22" t="n">
        <x:f>MAX(0,MIN('Activities'!L782,36)-MAX('Activities'!K782,30))</x:f>
        <x:v>0</x:v>
      </x:c>
      <x:c r="K782" s="22" t="n">
        <x:f>MAX(0,MIN('Activities'!L782,42)-MAX('Activities'!K782,36))</x:f>
        <x:v>0</x:v>
      </x:c>
      <x:c r="L782" s="22" t="n">
        <x:f>MAX(0,MIN('Activities'!L782,48)-MAX('Activities'!K782,42))</x:f>
        <x:v>0</x:v>
      </x:c>
      <x:c r="M782" s="22" t="n">
        <x:f>MAX(0,MIN('Activities'!L782,54)-MAX('Activities'!K782,48))</x:f>
        <x:v>0</x:v>
      </x:c>
      <x:c r="N782" s="22" t="n">
        <x:f>MAX(0,MIN('Activities'!L782,60)-MAX('Activities'!K782,54))</x:f>
        <x:v>0</x:v>
      </x:c>
      <x:c r="O782" s="22" t="n">
        <x:f>MAX(0,MIN('Activities'!L782,66)-MAX('Activities'!K782,60))</x:f>
        <x:v>0</x:v>
      </x:c>
      <x:c r="P782" s="22" t="n">
        <x:f>MAX(0,MIN('Activities'!L782,72)-MAX('Activities'!K782,66))</x:f>
        <x:v>0</x:v>
      </x:c>
      <x:c r="Q782" s="22" t="n">
        <x:f>MAX(0,MIN('Activities'!L782,78)-MAX('Activities'!K782,72))</x:f>
        <x:v>0</x:v>
      </x:c>
      <x:c r="R782" s="22" t="n">
        <x:f>MAX(0,MIN('Activities'!L782,84)-MAX('Activities'!K782,78))</x:f>
        <x:v>0</x:v>
      </x:c>
      <x:c r="S782" s="22" t="n">
        <x:f>MAX(0,MIN('Activities'!L782,90)-MAX('Activities'!K782,84))</x:f>
        <x:v>0</x:v>
      </x:c>
      <x:c r="T782" s="22" t="n">
        <x:f>MAX(0,MIN('Activities'!L782,96)-MAX('Activities'!K782,90))</x:f>
        <x:v>0</x:v>
      </x:c>
      <x:c r="U782" s="22" t="n">
        <x:f>MAX(0,MIN('Activities'!L782,102)-MAX('Activities'!K782,96))</x:f>
        <x:v>0</x:v>
      </x:c>
      <x:c r="V782" s="22" t="n">
        <x:f>MAX(0,MIN('Activities'!L782,108)-MAX('Activities'!K782,102))</x:f>
        <x:v>0</x:v>
      </x:c>
      <x:c r="W782" s="22" t="n">
        <x:f>MAX(0,MIN('Activities'!L782,114)-MAX('Activities'!K782,108))</x:f>
        <x:v>0</x:v>
      </x:c>
      <x:c r="X782" s="22" t="n">
        <x:f>MAX(0,MIN('Activities'!L782,120)-MAX('Activities'!K782,114))</x:f>
        <x:v>0</x:v>
      </x:c>
      <x:c r="Y782" s="22" t="n">
        <x:f>MAX(0,MIN('Activities'!L782,126)-MAX('Activities'!K782,120))</x:f>
        <x:v>0</x:v>
      </x:c>
      <x:c r="Z782" s="22" t="n">
        <x:f>MAX(0,MIN('Activities'!L782,132)-MAX('Activities'!K782,126))</x:f>
        <x:v>0</x:v>
      </x:c>
      <x:c r="AA782" s="22" t="n">
        <x:f>MAX(0,MIN('Activities'!L782,138)-MAX('Activities'!K782,132))</x:f>
        <x:v>0</x:v>
      </x:c>
      <x:c r="AB782" s="22" t="n">
        <x:f>MAX(0,MIN('Activities'!L782,144)-MAX('Activities'!K782,138))</x:f>
        <x:v>0</x:v>
      </x:c>
      <x:c r="AC782" s="22" t="n">
        <x:f>MAX(0,MIN('Activities'!L782,150)-MAX('Activities'!K782,144))</x:f>
        <x:v>0</x:v>
      </x:c>
      <x:c r="AD782" s="22" t="n">
        <x:f>MAX(0,MIN('Activities'!L782,156)-MAX('Activities'!K782,150))</x:f>
        <x:v>0</x:v>
      </x:c>
      <x:c r="AE782" s="22" t="n">
        <x:f>MAX(0,MIN('Activities'!L782,162)-MAX('Activities'!K782,156))</x:f>
        <x:v>0</x:v>
      </x:c>
      <x:c r="AF782" s="22" t="n">
        <x:f>MAX(0,MIN('Activities'!L782,168)-MAX('Activities'!K782,162))</x:f>
        <x:v>0</x:v>
      </x:c>
      <x:c r="AG782" s="22" t="n">
        <x:f>MAX(0,MIN('Activities'!L782,174)-MAX('Activities'!K782,168))</x:f>
        <x:v>0</x:v>
      </x:c>
      <x:c r="AH782" s="22" t="n">
        <x:f>MAX(0,MIN('Activities'!L782,180)-MAX('Activities'!K782,174))</x:f>
        <x:v>0</x:v>
      </x:c>
      <x:c r="AI782" s="22" t="n">
        <x:f>MAX(0,MIN('Activities'!L782,186)-MAX('Activities'!K782,180))</x:f>
        <x:v>0</x:v>
      </x:c>
      <x:c r="AJ782" s="22" t="n">
        <x:f>MAX(0,MIN('Activities'!L782,192)-MAX('Activities'!K782,186))</x:f>
        <x:v>0</x:v>
      </x:c>
      <x:c r="AK782" s="22" t="n">
        <x:f>MAX(0,MIN('Activities'!L782,198)-MAX('Activities'!K782,192))</x:f>
        <x:v>0</x:v>
      </x:c>
      <x:c r="AL782" s="22" t="n">
        <x:f>MAX(0,MIN('Activities'!L782,204)-MAX('Activities'!K782,198))</x:f>
        <x:v>0</x:v>
      </x:c>
      <x:c r="AM782" s="22" t="n">
        <x:f>MAX(0,MIN('Activities'!L782,210)-MAX('Activities'!K782,204))</x:f>
        <x:v>0</x:v>
      </x:c>
      <x:c r="AN782" s="22" t="n">
        <x:f>MAX(0,MIN('Activities'!L782,216)-MAX('Activities'!K782,210))</x:f>
        <x:v>0</x:v>
      </x:c>
      <x:c r="AO782" s="22" t="n">
        <x:f>MAX(0,MIN('Activities'!L782,222)-MAX('Activities'!K782,216))</x:f>
        <x:v>0</x:v>
      </x:c>
      <x:c r="AP782" s="22" t="n">
        <x:f>MAX(0,MIN('Activities'!L782,228)-MAX('Activities'!K782,222))</x:f>
        <x:v>0</x:v>
      </x:c>
      <x:c r="AQ782" s="22" t="n">
        <x:f>MAX(0,MIN('Activities'!L782,234)-MAX('Activities'!K782,228))</x:f>
        <x:v>0</x:v>
      </x:c>
      <x:c r="AR782" s="22" t="n">
        <x:f>MAX(0,MIN('Activities'!L782,240)-MAX('Activities'!K782,234))</x:f>
        <x:v>0</x:v>
      </x:c>
      <x:c r="AS782" s="22" t="n">
        <x:f>MAX(0,MIN('Activities'!L782,246)-MAX('Activities'!K782,240))</x:f>
        <x:v>0</x:v>
      </x:c>
      <x:c r="AT782" s="22" t="n">
        <x:f>MAX(0,MIN('Activities'!L782,252)-MAX('Activities'!K782,246))</x:f>
        <x:v>0</x:v>
      </x:c>
      <x:c r="AU782" s="22" t="n">
        <x:f>MAX(0,MIN('Activities'!L782,258)-MAX('Activities'!K782,252))</x:f>
        <x:v>0</x:v>
      </x:c>
      <x:c r="AV782" s="22" t="n">
        <x:f>MAX(0,MIN('Activities'!L782,264)-MAX('Activities'!K782,258))</x:f>
        <x:v>0</x:v>
      </x:c>
      <x:c r="AW782" s="22" t="n">
        <x:f>MAX(0,MIN('Activities'!L782,270)-MAX('Activities'!K782,264))</x:f>
        <x:v>0</x:v>
      </x:c>
      <x:c r="AX782" s="22" t="n">
        <x:f>MAX(0,MIN('Activities'!L782,276)-MAX('Activities'!K782,270))</x:f>
        <x:v>0</x:v>
      </x:c>
      <x:c r="AY782" s="22" t="n">
        <x:f>MAX(0,MIN('Activities'!L782,282)-MAX('Activities'!K782,276))</x:f>
        <x:v>0</x:v>
      </x:c>
      <x:c r="AZ782" s="22" t="n">
        <x:f>MAX(0,MIN('Activities'!L782,288)-MAX('Activities'!K782,282))</x:f>
        <x:v>0</x:v>
      </x:c>
      <x:c r="BA782" s="22" t="n">
        <x:f>MAX(0,MIN('Activities'!L782,294)-MAX('Activities'!K782,288))</x:f>
        <x:v>0</x:v>
      </x:c>
      <x:c r="BB782" s="22" t="n">
        <x:f>MAX(0,MIN('Activities'!L782,300)-MAX('Activities'!K782,294))</x:f>
        <x:v>0</x:v>
      </x:c>
      <x:c r="BC782" s="22" t="n">
        <x:f>MAX(0,MIN('Activities'!L782,306)-MAX('Activities'!K782,300))</x:f>
        <x:v>0</x:v>
      </x:c>
      <x:c r="BD782" s="22" t="n">
        <x:f>MAX(0,MIN('Activities'!L782,312)-MAX('Activities'!K782,306))</x:f>
        <x:v>0</x:v>
      </x:c>
      <x:c r="BE782" s="22" t="n">
        <x:f>MAX(0,MIN('Activities'!L782,318)-MAX('Activities'!K782,312))</x:f>
        <x:v>0</x:v>
      </x:c>
      <x:c r="BF782" s="22" t="n">
        <x:f>MAX(0,MIN('Activities'!L782,324)-MAX('Activities'!K782,318))</x:f>
        <x:v>0</x:v>
      </x:c>
      <x:c r="BG782" s="22" t="n">
        <x:f>MAX(0,MIN('Activities'!L782,330)-MAX('Activities'!K782,324))</x:f>
        <x:v>0</x:v>
      </x:c>
      <x:c r="BH782" s="22" t="n">
        <x:f>MAX(0,MIN('Activities'!L782,336)-MAX('Activities'!K782,330))</x:f>
        <x:v>0</x:v>
      </x:c>
      <x:c r="BI782" s="22" t="n">
        <x:f>MAX(0,MIN('Activities'!L782,342)-MAX('Activities'!K782,336))</x:f>
        <x:v>0</x:v>
      </x:c>
      <x:c r="BJ782" s="22" t="n">
        <x:f>MAX(0,MIN('Activities'!L782,348)-MAX('Activities'!K782,342))</x:f>
        <x:v>0</x:v>
      </x:c>
      <x:c r="BK782" s="22" t="n">
        <x:f>MAX(0,MIN('Activities'!L782,354)-MAX('Activities'!K782,348))</x:f>
        <x:v>0</x:v>
      </x:c>
      <x:c r="BL782" s="22" t="n">
        <x:f>MAX(0,MIN('Activities'!L782,360)-MAX('Activities'!K782,354))</x:f>
        <x:v>0</x:v>
      </x:c>
      <x:c r="BM782" s="22" t="n">
        <x:f>MAX(0,MIN('Activities'!L782,366)-MAX('Activities'!K782,360))</x:f>
        <x:v>0</x:v>
      </x:c>
      <x:c r="BN782" s="22" t="n">
        <x:f>MAX(0,MIN('Activities'!L782,372)-MAX('Activities'!K782,366))</x:f>
        <x:v>0</x:v>
      </x:c>
      <x:c r="BO782" s="22" t="n">
        <x:f>MAX(0,MIN('Activities'!L782,378)-MAX('Activities'!K782,372))</x:f>
        <x:v>0</x:v>
      </x:c>
      <x:c r="BP782" s="22" t="n">
        <x:f>MAX(0,MIN('Activities'!L782,384)-MAX('Activities'!K782,378))</x:f>
        <x:v>0</x:v>
      </x:c>
      <x:c r="BQ782" s="22" t="n">
        <x:f>MAX(0,MIN('Activities'!L782,390)-MAX('Activities'!K782,384))</x:f>
        <x:v>0</x:v>
      </x:c>
      <x:c r="BR782" s="22" t="n">
        <x:f>MAX(0,MIN('Activities'!L782,396)-MAX('Activities'!K782,390))</x:f>
        <x:v>0</x:v>
      </x:c>
      <x:c r="BS782" s="22" t="n">
        <x:f>MAX(0,MIN('Activities'!L782,402)-MAX('Activities'!K782,396))</x:f>
        <x:v>0</x:v>
      </x:c>
      <x:c r="BT782" s="22" t="n">
        <x:f>MAX(0,MIN('Activities'!L782,408)-MAX('Activities'!K782,402))</x:f>
        <x:v>0</x:v>
      </x:c>
      <x:c r="BU782" s="22" t="n">
        <x:f>MAX(0,MIN('Activities'!L782,414)-MAX('Activities'!K782,408))</x:f>
        <x:v>0</x:v>
      </x:c>
      <x:c r="BV782" s="22" t="n">
        <x:f>MAX(0,MIN('Activities'!L782,420)-MAX('Activities'!K782,414))</x:f>
        <x:v>0</x:v>
      </x:c>
      <x:c r="BW782" s="22" t="n">
        <x:f>MAX(0,MIN('Activities'!L782,426)-MAX('Activities'!K782,420))</x:f>
        <x:v>0</x:v>
      </x:c>
      <x:c r="BX782" s="22" t="n">
        <x:f>MAX(0,MIN('Activities'!L782,432)-MAX('Activities'!K782,426))</x:f>
        <x:v>0</x:v>
      </x:c>
      <x:c r="BY782" s="22" t="n">
        <x:f>MAX(0,MIN('Activities'!L782,438)-MAX('Activities'!K782,432))</x:f>
        <x:v>0</x:v>
      </x:c>
      <x:c r="BZ782" s="22" t="n">
        <x:f>MAX(0,MIN('Activities'!L782,444)-MAX('Activities'!K782,438))</x:f>
        <x:v>0</x:v>
      </x:c>
      <x:c r="CA782" s="22" t="n">
        <x:f>MAX(0,MIN('Activities'!L782,450)-MAX('Activities'!K782,444))</x:f>
        <x:v>0</x:v>
      </x:c>
      <x:c r="CB782" s="22" t="n">
        <x:f>MAX(0,MIN('Activities'!L782,456)-MAX('Activities'!K782,450))</x:f>
        <x:v>0</x:v>
      </x:c>
      <x:c r="CC782" s="22" t="n">
        <x:f>MAX(0,MIN('Activities'!L782,462)-MAX('Activities'!K782,456))</x:f>
        <x:v>0</x:v>
      </x:c>
      <x:c r="CD782" s="22" t="n">
        <x:f>MAX(0,MIN('Activities'!L782,468)-MAX('Activities'!K782,462))</x:f>
        <x:v>0</x:v>
      </x:c>
      <x:c r="CE782" s="22" t="n">
        <x:f>MAX(0,MIN('Activities'!L782,474)-MAX('Activities'!K782,468))</x:f>
        <x:v>5</x:v>
      </x:c>
      <x:c r="CF782" s="22" t="n">
        <x:f>MAX(0,MIN('Activities'!L782,480)-MAX('Activities'!K782,474))</x:f>
        <x:v>0</x:v>
      </x:c>
      <x:c r="CG782" s="22" t="n">
        <x:f>MAX(0,MIN('Activities'!L782,486)-MAX('Activities'!K782,480))</x:f>
        <x:v>0</x:v>
      </x:c>
      <x:c r="CH782" s="22" t="n">
        <x:f>MAX(0,MIN('Activities'!L782,492)-MAX('Activities'!K782,486))</x:f>
        <x:v>0</x:v>
      </x:c>
      <x:c r="CI782" s="22" t="n">
        <x:f>MAX(0,MIN('Activities'!L782,498)-MAX('Activities'!K782,492))</x:f>
        <x:v>0</x:v>
      </x:c>
      <x:c r="CJ782" s="22" t="n">
        <x:f>MAX(0,MIN('Activities'!L782,504)-MAX('Activities'!K782,498))</x:f>
        <x:v>0</x:v>
      </x:c>
      <x:c r="CK782" s="22" t="n">
        <x:f>MAX(0,MIN('Activities'!L782,510)-MAX('Activities'!K782,504))</x:f>
        <x:v>0</x:v>
      </x:c>
      <x:c r="CL782" s="22" t="n">
        <x:f>MAX(0,MIN('Activities'!L782,516)-MAX('Activities'!K782,510))</x:f>
        <x:v>0</x:v>
      </x:c>
      <x:c r="CM782" s="22" t="n">
        <x:f>MAX(0,MIN('Activities'!L782,522)-MAX('Activities'!K782,516))</x:f>
        <x:v>0</x:v>
      </x:c>
      <x:c r="CN782" s="22" t="n">
        <x:f>MAX(0,MIN('Activities'!L782,528)-MAX('Activities'!K782,522))</x:f>
        <x:v>0</x:v>
      </x:c>
      <x:c r="CO782" s="22" t="n">
        <x:f>MAX(0,MIN('Activities'!L782,534)-MAX('Activities'!K782,528))</x:f>
        <x:v>0</x:v>
      </x:c>
      <x:c r="CP782" s="22" t="n">
        <x:f>MAX(0,MIN('Activities'!L782,540)-MAX('Activities'!K782,534))</x:f>
        <x:v>0</x:v>
      </x:c>
      <x:c r="CQ782" s="22" t="n">
        <x:f>MAX(0,MIN('Activities'!L782,546)-MAX('Activities'!K782,540))</x:f>
        <x:v>0</x:v>
      </x:c>
      <x:c r="CR782" s="22" t="n">
        <x:f>MAX(0,MIN('Activities'!L782,552)-MAX('Activities'!K782,546))</x:f>
        <x:v>0</x:v>
      </x:c>
      <x:c r="CS782" s="22" t="n">
        <x:f>MAX(0,MIN('Activities'!L782,558)-MAX('Activities'!K782,552))</x:f>
        <x:v>0</x:v>
      </x:c>
      <x:c r="CT782" s="22" t="n">
        <x:f>MAX(0,MIN('Activities'!L782,564)-MAX('Activities'!K782,558))</x:f>
        <x:v>0</x:v>
      </x:c>
      <x:c r="CU782" s="22" t="n">
        <x:f>MAX(0,MIN('Activities'!L782,570)-MAX('Activities'!K782,564))</x:f>
        <x:v>0</x:v>
      </x:c>
      <x:c r="CV782" s="22" t="n">
        <x:f>MAX(0,MIN('Activities'!L782,576)-MAX('Activities'!K782,570))</x:f>
        <x:v>0</x:v>
      </x:c>
      <x:c r="CW782" s="22" t="n">
        <x:f>MAX(0,MIN('Activities'!L782,582)-MAX('Activities'!K782,576))</x:f>
        <x:v>0</x:v>
      </x:c>
      <x:c r="CX782" s="22" t="n">
        <x:f>MAX(0,MIN('Activities'!L782,588)-MAX('Activities'!K782,582))</x:f>
        <x:v>0</x:v>
      </x:c>
      <x:c r="CY782" s="22" t="n">
        <x:f>MAX(0,MIN('Activities'!L782,594)-MAX('Activities'!K782,588))</x:f>
        <x:v>0</x:v>
      </x:c>
      <x:c r="CZ782" s="22" t="n">
        <x:f>MAX(0,MIN('Activities'!L782,600)-MAX('Activities'!K782,594))</x:f>
        <x:v>0</x:v>
      </x:c>
      <x:c r="DA782" s="22" t="n">
        <x:f>MAX(0,MIN('Activities'!L782,606)-MAX('Activities'!K782,600))</x:f>
        <x:v>0</x:v>
      </x:c>
      <x:c r="DB782" s="22" t="n">
        <x:f>MAX(0,MIN('Activities'!L782,612)-MAX('Activities'!K782,606))</x:f>
        <x:v>0</x:v>
      </x:c>
      <x:c r="DC782" s="22" t="n">
        <x:f>MAX(0,MIN('Activities'!L782,618)-MAX('Activities'!K782,612))</x:f>
        <x:v>0</x:v>
      </x:c>
      <x:c r="DD782" s="22" t="n">
        <x:f>MAX(0,MIN('Activities'!L782,624)-MAX('Activities'!K782,618))</x:f>
        <x:v>0</x:v>
      </x:c>
      <x:c r="DE782" s="22" t="n">
        <x:f>MAX(0,MIN('Activities'!L782,630)-MAX('Activities'!K782,624))</x:f>
        <x:v>0</x:v>
      </x:c>
      <x:c r="DF782" s="22" t="n">
        <x:f>MAX(0,MIN('Activities'!L782,636)-MAX('Activities'!K782,630))</x:f>
        <x:v>0</x:v>
      </x:c>
    </x:row>
    <x:row r="783" ht="23" customHeight="1">
      <x:c r="A783" s="1" t="str">
        <x:v>T6-L07-D</x:v>
      </x:c>
      <x:c r="B783" s="1" t="str">
        <x:v>T6</x:v>
      </x:c>
      <x:c r="C783" s="1" t="str">
        <x:v>Door sets and ironmongery</x:v>
      </x:c>
      <x:c r="D783" s="1" t="str">
        <x:v>Finishes</x:v>
      </x:c>
      <x:c r="E783" s="23" t="n">
        <x:f>MAX(0,MIN('Activities'!L783,6)-MAX('Activities'!K783,0))</x:f>
        <x:v>0</x:v>
      </x:c>
      <x:c r="F783" s="23" t="n">
        <x:f>MAX(0,MIN('Activities'!L783,12)-MAX('Activities'!K783,6))</x:f>
        <x:v>0</x:v>
      </x:c>
      <x:c r="G783" s="23" t="n">
        <x:f>MAX(0,MIN('Activities'!L783,18)-MAX('Activities'!K783,12))</x:f>
        <x:v>0</x:v>
      </x:c>
      <x:c r="H783" s="23" t="n">
        <x:f>MAX(0,MIN('Activities'!L783,24)-MAX('Activities'!K783,18))</x:f>
        <x:v>0</x:v>
      </x:c>
      <x:c r="I783" s="23" t="n">
        <x:f>MAX(0,MIN('Activities'!L783,30)-MAX('Activities'!K783,24))</x:f>
        <x:v>0</x:v>
      </x:c>
      <x:c r="J783" s="23" t="n">
        <x:f>MAX(0,MIN('Activities'!L783,36)-MAX('Activities'!K783,30))</x:f>
        <x:v>0</x:v>
      </x:c>
      <x:c r="K783" s="23" t="n">
        <x:f>MAX(0,MIN('Activities'!L783,42)-MAX('Activities'!K783,36))</x:f>
        <x:v>0</x:v>
      </x:c>
      <x:c r="L783" s="23" t="n">
        <x:f>MAX(0,MIN('Activities'!L783,48)-MAX('Activities'!K783,42))</x:f>
        <x:v>0</x:v>
      </x:c>
      <x:c r="M783" s="23" t="n">
        <x:f>MAX(0,MIN('Activities'!L783,54)-MAX('Activities'!K783,48))</x:f>
        <x:v>0</x:v>
      </x:c>
      <x:c r="N783" s="23" t="n">
        <x:f>MAX(0,MIN('Activities'!L783,60)-MAX('Activities'!K783,54))</x:f>
        <x:v>0</x:v>
      </x:c>
      <x:c r="O783" s="23" t="n">
        <x:f>MAX(0,MIN('Activities'!L783,66)-MAX('Activities'!K783,60))</x:f>
        <x:v>0</x:v>
      </x:c>
      <x:c r="P783" s="23" t="n">
        <x:f>MAX(0,MIN('Activities'!L783,72)-MAX('Activities'!K783,66))</x:f>
        <x:v>0</x:v>
      </x:c>
      <x:c r="Q783" s="23" t="n">
        <x:f>MAX(0,MIN('Activities'!L783,78)-MAX('Activities'!K783,72))</x:f>
        <x:v>0</x:v>
      </x:c>
      <x:c r="R783" s="23" t="n">
        <x:f>MAX(0,MIN('Activities'!L783,84)-MAX('Activities'!K783,78))</x:f>
        <x:v>0</x:v>
      </x:c>
      <x:c r="S783" s="23" t="n">
        <x:f>MAX(0,MIN('Activities'!L783,90)-MAX('Activities'!K783,84))</x:f>
        <x:v>0</x:v>
      </x:c>
      <x:c r="T783" s="23" t="n">
        <x:f>MAX(0,MIN('Activities'!L783,96)-MAX('Activities'!K783,90))</x:f>
        <x:v>0</x:v>
      </x:c>
      <x:c r="U783" s="23" t="n">
        <x:f>MAX(0,MIN('Activities'!L783,102)-MAX('Activities'!K783,96))</x:f>
        <x:v>0</x:v>
      </x:c>
      <x:c r="V783" s="23" t="n">
        <x:f>MAX(0,MIN('Activities'!L783,108)-MAX('Activities'!K783,102))</x:f>
        <x:v>0</x:v>
      </x:c>
      <x:c r="W783" s="23" t="n">
        <x:f>MAX(0,MIN('Activities'!L783,114)-MAX('Activities'!K783,108))</x:f>
        <x:v>0</x:v>
      </x:c>
      <x:c r="X783" s="23" t="n">
        <x:f>MAX(0,MIN('Activities'!L783,120)-MAX('Activities'!K783,114))</x:f>
        <x:v>0</x:v>
      </x:c>
      <x:c r="Y783" s="23" t="n">
        <x:f>MAX(0,MIN('Activities'!L783,126)-MAX('Activities'!K783,120))</x:f>
        <x:v>0</x:v>
      </x:c>
      <x:c r="Z783" s="23" t="n">
        <x:f>MAX(0,MIN('Activities'!L783,132)-MAX('Activities'!K783,126))</x:f>
        <x:v>0</x:v>
      </x:c>
      <x:c r="AA783" s="23" t="n">
        <x:f>MAX(0,MIN('Activities'!L783,138)-MAX('Activities'!K783,132))</x:f>
        <x:v>0</x:v>
      </x:c>
      <x:c r="AB783" s="23" t="n">
        <x:f>MAX(0,MIN('Activities'!L783,144)-MAX('Activities'!K783,138))</x:f>
        <x:v>0</x:v>
      </x:c>
      <x:c r="AC783" s="23" t="n">
        <x:f>MAX(0,MIN('Activities'!L783,150)-MAX('Activities'!K783,144))</x:f>
        <x:v>0</x:v>
      </x:c>
      <x:c r="AD783" s="23" t="n">
        <x:f>MAX(0,MIN('Activities'!L783,156)-MAX('Activities'!K783,150))</x:f>
        <x:v>0</x:v>
      </x:c>
      <x:c r="AE783" s="23" t="n">
        <x:f>MAX(0,MIN('Activities'!L783,162)-MAX('Activities'!K783,156))</x:f>
        <x:v>0</x:v>
      </x:c>
      <x:c r="AF783" s="23" t="n">
        <x:f>MAX(0,MIN('Activities'!L783,168)-MAX('Activities'!K783,162))</x:f>
        <x:v>0</x:v>
      </x:c>
      <x:c r="AG783" s="23" t="n">
        <x:f>MAX(0,MIN('Activities'!L783,174)-MAX('Activities'!K783,168))</x:f>
        <x:v>0</x:v>
      </x:c>
      <x:c r="AH783" s="23" t="n">
        <x:f>MAX(0,MIN('Activities'!L783,180)-MAX('Activities'!K783,174))</x:f>
        <x:v>0</x:v>
      </x:c>
      <x:c r="AI783" s="23" t="n">
        <x:f>MAX(0,MIN('Activities'!L783,186)-MAX('Activities'!K783,180))</x:f>
        <x:v>0</x:v>
      </x:c>
      <x:c r="AJ783" s="23" t="n">
        <x:f>MAX(0,MIN('Activities'!L783,192)-MAX('Activities'!K783,186))</x:f>
        <x:v>0</x:v>
      </x:c>
      <x:c r="AK783" s="23" t="n">
        <x:f>MAX(0,MIN('Activities'!L783,198)-MAX('Activities'!K783,192))</x:f>
        <x:v>0</x:v>
      </x:c>
      <x:c r="AL783" s="23" t="n">
        <x:f>MAX(0,MIN('Activities'!L783,204)-MAX('Activities'!K783,198))</x:f>
        <x:v>0</x:v>
      </x:c>
      <x:c r="AM783" s="23" t="n">
        <x:f>MAX(0,MIN('Activities'!L783,210)-MAX('Activities'!K783,204))</x:f>
        <x:v>0</x:v>
      </x:c>
      <x:c r="AN783" s="23" t="n">
        <x:f>MAX(0,MIN('Activities'!L783,216)-MAX('Activities'!K783,210))</x:f>
        <x:v>0</x:v>
      </x:c>
      <x:c r="AO783" s="23" t="n">
        <x:f>MAX(0,MIN('Activities'!L783,222)-MAX('Activities'!K783,216))</x:f>
        <x:v>0</x:v>
      </x:c>
      <x:c r="AP783" s="23" t="n">
        <x:f>MAX(0,MIN('Activities'!L783,228)-MAX('Activities'!K783,222))</x:f>
        <x:v>0</x:v>
      </x:c>
      <x:c r="AQ783" s="23" t="n">
        <x:f>MAX(0,MIN('Activities'!L783,234)-MAX('Activities'!K783,228))</x:f>
        <x:v>0</x:v>
      </x:c>
      <x:c r="AR783" s="23" t="n">
        <x:f>MAX(0,MIN('Activities'!L783,240)-MAX('Activities'!K783,234))</x:f>
        <x:v>0</x:v>
      </x:c>
      <x:c r="AS783" s="23" t="n">
        <x:f>MAX(0,MIN('Activities'!L783,246)-MAX('Activities'!K783,240))</x:f>
        <x:v>0</x:v>
      </x:c>
      <x:c r="AT783" s="23" t="n">
        <x:f>MAX(0,MIN('Activities'!L783,252)-MAX('Activities'!K783,246))</x:f>
        <x:v>0</x:v>
      </x:c>
      <x:c r="AU783" s="23" t="n">
        <x:f>MAX(0,MIN('Activities'!L783,258)-MAX('Activities'!K783,252))</x:f>
        <x:v>0</x:v>
      </x:c>
      <x:c r="AV783" s="23" t="n">
        <x:f>MAX(0,MIN('Activities'!L783,264)-MAX('Activities'!K783,258))</x:f>
        <x:v>0</x:v>
      </x:c>
      <x:c r="AW783" s="23" t="n">
        <x:f>MAX(0,MIN('Activities'!L783,270)-MAX('Activities'!K783,264))</x:f>
        <x:v>0</x:v>
      </x:c>
      <x:c r="AX783" s="23" t="n">
        <x:f>MAX(0,MIN('Activities'!L783,276)-MAX('Activities'!K783,270))</x:f>
        <x:v>0</x:v>
      </x:c>
      <x:c r="AY783" s="23" t="n">
        <x:f>MAX(0,MIN('Activities'!L783,282)-MAX('Activities'!K783,276))</x:f>
        <x:v>0</x:v>
      </x:c>
      <x:c r="AZ783" s="23" t="n">
        <x:f>MAX(0,MIN('Activities'!L783,288)-MAX('Activities'!K783,282))</x:f>
        <x:v>0</x:v>
      </x:c>
      <x:c r="BA783" s="23" t="n">
        <x:f>MAX(0,MIN('Activities'!L783,294)-MAX('Activities'!K783,288))</x:f>
        <x:v>0</x:v>
      </x:c>
      <x:c r="BB783" s="23" t="n">
        <x:f>MAX(0,MIN('Activities'!L783,300)-MAX('Activities'!K783,294))</x:f>
        <x:v>0</x:v>
      </x:c>
      <x:c r="BC783" s="23" t="n">
        <x:f>MAX(0,MIN('Activities'!L783,306)-MAX('Activities'!K783,300))</x:f>
        <x:v>0</x:v>
      </x:c>
      <x:c r="BD783" s="23" t="n">
        <x:f>MAX(0,MIN('Activities'!L783,312)-MAX('Activities'!K783,306))</x:f>
        <x:v>0</x:v>
      </x:c>
      <x:c r="BE783" s="23" t="n">
        <x:f>MAX(0,MIN('Activities'!L783,318)-MAX('Activities'!K783,312))</x:f>
        <x:v>0</x:v>
      </x:c>
      <x:c r="BF783" s="23" t="n">
        <x:f>MAX(0,MIN('Activities'!L783,324)-MAX('Activities'!K783,318))</x:f>
        <x:v>0</x:v>
      </x:c>
      <x:c r="BG783" s="23" t="n">
        <x:f>MAX(0,MIN('Activities'!L783,330)-MAX('Activities'!K783,324))</x:f>
        <x:v>0</x:v>
      </x:c>
      <x:c r="BH783" s="23" t="n">
        <x:f>MAX(0,MIN('Activities'!L783,336)-MAX('Activities'!K783,330))</x:f>
        <x:v>0</x:v>
      </x:c>
      <x:c r="BI783" s="23" t="n">
        <x:f>MAX(0,MIN('Activities'!L783,342)-MAX('Activities'!K783,336))</x:f>
        <x:v>0</x:v>
      </x:c>
      <x:c r="BJ783" s="23" t="n">
        <x:f>MAX(0,MIN('Activities'!L783,348)-MAX('Activities'!K783,342))</x:f>
        <x:v>0</x:v>
      </x:c>
      <x:c r="BK783" s="23" t="n">
        <x:f>MAX(0,MIN('Activities'!L783,354)-MAX('Activities'!K783,348))</x:f>
        <x:v>0</x:v>
      </x:c>
      <x:c r="BL783" s="23" t="n">
        <x:f>MAX(0,MIN('Activities'!L783,360)-MAX('Activities'!K783,354))</x:f>
        <x:v>0</x:v>
      </x:c>
      <x:c r="BM783" s="23" t="n">
        <x:f>MAX(0,MIN('Activities'!L783,366)-MAX('Activities'!K783,360))</x:f>
        <x:v>0</x:v>
      </x:c>
      <x:c r="BN783" s="23" t="n">
        <x:f>MAX(0,MIN('Activities'!L783,372)-MAX('Activities'!K783,366))</x:f>
        <x:v>0</x:v>
      </x:c>
      <x:c r="BO783" s="23" t="n">
        <x:f>MAX(0,MIN('Activities'!L783,378)-MAX('Activities'!K783,372))</x:f>
        <x:v>0</x:v>
      </x:c>
      <x:c r="BP783" s="23" t="n">
        <x:f>MAX(0,MIN('Activities'!L783,384)-MAX('Activities'!K783,378))</x:f>
        <x:v>0</x:v>
      </x:c>
      <x:c r="BQ783" s="23" t="n">
        <x:f>MAX(0,MIN('Activities'!L783,390)-MAX('Activities'!K783,384))</x:f>
        <x:v>0</x:v>
      </x:c>
      <x:c r="BR783" s="23" t="n">
        <x:f>MAX(0,MIN('Activities'!L783,396)-MAX('Activities'!K783,390))</x:f>
        <x:v>0</x:v>
      </x:c>
      <x:c r="BS783" s="23" t="n">
        <x:f>MAX(0,MIN('Activities'!L783,402)-MAX('Activities'!K783,396))</x:f>
        <x:v>0</x:v>
      </x:c>
      <x:c r="BT783" s="23" t="n">
        <x:f>MAX(0,MIN('Activities'!L783,408)-MAX('Activities'!K783,402))</x:f>
        <x:v>0</x:v>
      </x:c>
      <x:c r="BU783" s="23" t="n">
        <x:f>MAX(0,MIN('Activities'!L783,414)-MAX('Activities'!K783,408))</x:f>
        <x:v>0</x:v>
      </x:c>
      <x:c r="BV783" s="23" t="n">
        <x:f>MAX(0,MIN('Activities'!L783,420)-MAX('Activities'!K783,414))</x:f>
        <x:v>0</x:v>
      </x:c>
      <x:c r="BW783" s="23" t="n">
        <x:f>MAX(0,MIN('Activities'!L783,426)-MAX('Activities'!K783,420))</x:f>
        <x:v>0</x:v>
      </x:c>
      <x:c r="BX783" s="23" t="n">
        <x:f>MAX(0,MIN('Activities'!L783,432)-MAX('Activities'!K783,426))</x:f>
        <x:v>0</x:v>
      </x:c>
      <x:c r="BY783" s="23" t="n">
        <x:f>MAX(0,MIN('Activities'!L783,438)-MAX('Activities'!K783,432))</x:f>
        <x:v>0</x:v>
      </x:c>
      <x:c r="BZ783" s="23" t="n">
        <x:f>MAX(0,MIN('Activities'!L783,444)-MAX('Activities'!K783,438))</x:f>
        <x:v>0</x:v>
      </x:c>
      <x:c r="CA783" s="23" t="n">
        <x:f>MAX(0,MIN('Activities'!L783,450)-MAX('Activities'!K783,444))</x:f>
        <x:v>0</x:v>
      </x:c>
      <x:c r="CB783" s="23" t="n">
        <x:f>MAX(0,MIN('Activities'!L783,456)-MAX('Activities'!K783,450))</x:f>
        <x:v>0</x:v>
      </x:c>
      <x:c r="CC783" s="23" t="n">
        <x:f>MAX(0,MIN('Activities'!L783,462)-MAX('Activities'!K783,456))</x:f>
        <x:v>0</x:v>
      </x:c>
      <x:c r="CD783" s="23" t="n">
        <x:f>MAX(0,MIN('Activities'!L783,468)-MAX('Activities'!K783,462))</x:f>
        <x:v>0</x:v>
      </x:c>
      <x:c r="CE783" s="23" t="n">
        <x:f>MAX(0,MIN('Activities'!L783,474)-MAX('Activities'!K783,468))</x:f>
        <x:v>0</x:v>
      </x:c>
      <x:c r="CF783" s="23" t="n">
        <x:f>MAX(0,MIN('Activities'!L783,480)-MAX('Activities'!K783,474))</x:f>
        <x:v>3</x:v>
      </x:c>
      <x:c r="CG783" s="23" t="n">
        <x:f>MAX(0,MIN('Activities'!L783,486)-MAX('Activities'!K783,480))</x:f>
        <x:v>0</x:v>
      </x:c>
      <x:c r="CH783" s="23" t="n">
        <x:f>MAX(0,MIN('Activities'!L783,492)-MAX('Activities'!K783,486))</x:f>
        <x:v>0</x:v>
      </x:c>
      <x:c r="CI783" s="23" t="n">
        <x:f>MAX(0,MIN('Activities'!L783,498)-MAX('Activities'!K783,492))</x:f>
        <x:v>0</x:v>
      </x:c>
      <x:c r="CJ783" s="23" t="n">
        <x:f>MAX(0,MIN('Activities'!L783,504)-MAX('Activities'!K783,498))</x:f>
        <x:v>0</x:v>
      </x:c>
      <x:c r="CK783" s="23" t="n">
        <x:f>MAX(0,MIN('Activities'!L783,510)-MAX('Activities'!K783,504))</x:f>
        <x:v>0</x:v>
      </x:c>
      <x:c r="CL783" s="23" t="n">
        <x:f>MAX(0,MIN('Activities'!L783,516)-MAX('Activities'!K783,510))</x:f>
        <x:v>0</x:v>
      </x:c>
      <x:c r="CM783" s="23" t="n">
        <x:f>MAX(0,MIN('Activities'!L783,522)-MAX('Activities'!K783,516))</x:f>
        <x:v>0</x:v>
      </x:c>
      <x:c r="CN783" s="23" t="n">
        <x:f>MAX(0,MIN('Activities'!L783,528)-MAX('Activities'!K783,522))</x:f>
        <x:v>0</x:v>
      </x:c>
      <x:c r="CO783" s="23" t="n">
        <x:f>MAX(0,MIN('Activities'!L783,534)-MAX('Activities'!K783,528))</x:f>
        <x:v>0</x:v>
      </x:c>
      <x:c r="CP783" s="23" t="n">
        <x:f>MAX(0,MIN('Activities'!L783,540)-MAX('Activities'!K783,534))</x:f>
        <x:v>0</x:v>
      </x:c>
      <x:c r="CQ783" s="23" t="n">
        <x:f>MAX(0,MIN('Activities'!L783,546)-MAX('Activities'!K783,540))</x:f>
        <x:v>0</x:v>
      </x:c>
      <x:c r="CR783" s="23" t="n">
        <x:f>MAX(0,MIN('Activities'!L783,552)-MAX('Activities'!K783,546))</x:f>
        <x:v>0</x:v>
      </x:c>
      <x:c r="CS783" s="23" t="n">
        <x:f>MAX(0,MIN('Activities'!L783,558)-MAX('Activities'!K783,552))</x:f>
        <x:v>0</x:v>
      </x:c>
      <x:c r="CT783" s="23" t="n">
        <x:f>MAX(0,MIN('Activities'!L783,564)-MAX('Activities'!K783,558))</x:f>
        <x:v>0</x:v>
      </x:c>
      <x:c r="CU783" s="23" t="n">
        <x:f>MAX(0,MIN('Activities'!L783,570)-MAX('Activities'!K783,564))</x:f>
        <x:v>0</x:v>
      </x:c>
      <x:c r="CV783" s="23" t="n">
        <x:f>MAX(0,MIN('Activities'!L783,576)-MAX('Activities'!K783,570))</x:f>
        <x:v>0</x:v>
      </x:c>
      <x:c r="CW783" s="23" t="n">
        <x:f>MAX(0,MIN('Activities'!L783,582)-MAX('Activities'!K783,576))</x:f>
        <x:v>0</x:v>
      </x:c>
      <x:c r="CX783" s="23" t="n">
        <x:f>MAX(0,MIN('Activities'!L783,588)-MAX('Activities'!K783,582))</x:f>
        <x:v>0</x:v>
      </x:c>
      <x:c r="CY783" s="23" t="n">
        <x:f>MAX(0,MIN('Activities'!L783,594)-MAX('Activities'!K783,588))</x:f>
        <x:v>0</x:v>
      </x:c>
      <x:c r="CZ783" s="23" t="n">
        <x:f>MAX(0,MIN('Activities'!L783,600)-MAX('Activities'!K783,594))</x:f>
        <x:v>0</x:v>
      </x:c>
      <x:c r="DA783" s="23" t="n">
        <x:f>MAX(0,MIN('Activities'!L783,606)-MAX('Activities'!K783,600))</x:f>
        <x:v>0</x:v>
      </x:c>
      <x:c r="DB783" s="23" t="n">
        <x:f>MAX(0,MIN('Activities'!L783,612)-MAX('Activities'!K783,606))</x:f>
        <x:v>0</x:v>
      </x:c>
      <x:c r="DC783" s="23" t="n">
        <x:f>MAX(0,MIN('Activities'!L783,618)-MAX('Activities'!K783,612))</x:f>
        <x:v>0</x:v>
      </x:c>
      <x:c r="DD783" s="23" t="n">
        <x:f>MAX(0,MIN('Activities'!L783,624)-MAX('Activities'!K783,618))</x:f>
        <x:v>0</x:v>
      </x:c>
      <x:c r="DE783" s="23" t="n">
        <x:f>MAX(0,MIN('Activities'!L783,630)-MAX('Activities'!K783,624))</x:f>
        <x:v>0</x:v>
      </x:c>
      <x:c r="DF783" s="23" t="n">
        <x:f>MAX(0,MIN('Activities'!L783,636)-MAX('Activities'!K783,630))</x:f>
        <x:v>0</x:v>
      </x:c>
    </x:row>
    <x:row r="784" ht="23" customHeight="1">
      <x:c r="A784" s="6" t="str">
        <x:v>T6-L08-M</x:v>
      </x:c>
      <x:c r="B784" s="6" t="str">
        <x:v>T6</x:v>
      </x:c>
      <x:c r="C784" s="6" t="str">
        <x:v>Partition masonry</x:v>
      </x:c>
      <x:c r="D784" s="6" t="str">
        <x:v>Masonry</x:v>
      </x:c>
      <x:c r="E784" s="22" t="n">
        <x:f>MAX(0,MIN('Activities'!L784,6)-MAX('Activities'!K784,0))</x:f>
        <x:v>0</x:v>
      </x:c>
      <x:c r="F784" s="22" t="n">
        <x:f>MAX(0,MIN('Activities'!L784,12)-MAX('Activities'!K784,6))</x:f>
        <x:v>0</x:v>
      </x:c>
      <x:c r="G784" s="22" t="n">
        <x:f>MAX(0,MIN('Activities'!L784,18)-MAX('Activities'!K784,12))</x:f>
        <x:v>0</x:v>
      </x:c>
      <x:c r="H784" s="22" t="n">
        <x:f>MAX(0,MIN('Activities'!L784,24)-MAX('Activities'!K784,18))</x:f>
        <x:v>0</x:v>
      </x:c>
      <x:c r="I784" s="22" t="n">
        <x:f>MAX(0,MIN('Activities'!L784,30)-MAX('Activities'!K784,24))</x:f>
        <x:v>0</x:v>
      </x:c>
      <x:c r="J784" s="22" t="n">
        <x:f>MAX(0,MIN('Activities'!L784,36)-MAX('Activities'!K784,30))</x:f>
        <x:v>0</x:v>
      </x:c>
      <x:c r="K784" s="22" t="n">
        <x:f>MAX(0,MIN('Activities'!L784,42)-MAX('Activities'!K784,36))</x:f>
        <x:v>0</x:v>
      </x:c>
      <x:c r="L784" s="22" t="n">
        <x:f>MAX(0,MIN('Activities'!L784,48)-MAX('Activities'!K784,42))</x:f>
        <x:v>0</x:v>
      </x:c>
      <x:c r="M784" s="22" t="n">
        <x:f>MAX(0,MIN('Activities'!L784,54)-MAX('Activities'!K784,48))</x:f>
        <x:v>0</x:v>
      </x:c>
      <x:c r="N784" s="22" t="n">
        <x:f>MAX(0,MIN('Activities'!L784,60)-MAX('Activities'!K784,54))</x:f>
        <x:v>0</x:v>
      </x:c>
      <x:c r="O784" s="22" t="n">
        <x:f>MAX(0,MIN('Activities'!L784,66)-MAX('Activities'!K784,60))</x:f>
        <x:v>0</x:v>
      </x:c>
      <x:c r="P784" s="22" t="n">
        <x:f>MAX(0,MIN('Activities'!L784,72)-MAX('Activities'!K784,66))</x:f>
        <x:v>0</x:v>
      </x:c>
      <x:c r="Q784" s="22" t="n">
        <x:f>MAX(0,MIN('Activities'!L784,78)-MAX('Activities'!K784,72))</x:f>
        <x:v>0</x:v>
      </x:c>
      <x:c r="R784" s="22" t="n">
        <x:f>MAX(0,MIN('Activities'!L784,84)-MAX('Activities'!K784,78))</x:f>
        <x:v>0</x:v>
      </x:c>
      <x:c r="S784" s="22" t="n">
        <x:f>MAX(0,MIN('Activities'!L784,90)-MAX('Activities'!K784,84))</x:f>
        <x:v>0</x:v>
      </x:c>
      <x:c r="T784" s="22" t="n">
        <x:f>MAX(0,MIN('Activities'!L784,96)-MAX('Activities'!K784,90))</x:f>
        <x:v>0</x:v>
      </x:c>
      <x:c r="U784" s="22" t="n">
        <x:f>MAX(0,MIN('Activities'!L784,102)-MAX('Activities'!K784,96))</x:f>
        <x:v>0</x:v>
      </x:c>
      <x:c r="V784" s="22" t="n">
        <x:f>MAX(0,MIN('Activities'!L784,108)-MAX('Activities'!K784,102))</x:f>
        <x:v>0</x:v>
      </x:c>
      <x:c r="W784" s="22" t="n">
        <x:f>MAX(0,MIN('Activities'!L784,114)-MAX('Activities'!K784,108))</x:f>
        <x:v>0</x:v>
      </x:c>
      <x:c r="X784" s="22" t="n">
        <x:f>MAX(0,MIN('Activities'!L784,120)-MAX('Activities'!K784,114))</x:f>
        <x:v>0</x:v>
      </x:c>
      <x:c r="Y784" s="22" t="n">
        <x:f>MAX(0,MIN('Activities'!L784,126)-MAX('Activities'!K784,120))</x:f>
        <x:v>0</x:v>
      </x:c>
      <x:c r="Z784" s="22" t="n">
        <x:f>MAX(0,MIN('Activities'!L784,132)-MAX('Activities'!K784,126))</x:f>
        <x:v>0</x:v>
      </x:c>
      <x:c r="AA784" s="22" t="n">
        <x:f>MAX(0,MIN('Activities'!L784,138)-MAX('Activities'!K784,132))</x:f>
        <x:v>0</x:v>
      </x:c>
      <x:c r="AB784" s="22" t="n">
        <x:f>MAX(0,MIN('Activities'!L784,144)-MAX('Activities'!K784,138))</x:f>
        <x:v>0</x:v>
      </x:c>
      <x:c r="AC784" s="22" t="n">
        <x:f>MAX(0,MIN('Activities'!L784,150)-MAX('Activities'!K784,144))</x:f>
        <x:v>0</x:v>
      </x:c>
      <x:c r="AD784" s="22" t="n">
        <x:f>MAX(0,MIN('Activities'!L784,156)-MAX('Activities'!K784,150))</x:f>
        <x:v>0</x:v>
      </x:c>
      <x:c r="AE784" s="22" t="n">
        <x:f>MAX(0,MIN('Activities'!L784,162)-MAX('Activities'!K784,156))</x:f>
        <x:v>0</x:v>
      </x:c>
      <x:c r="AF784" s="22" t="n">
        <x:f>MAX(0,MIN('Activities'!L784,168)-MAX('Activities'!K784,162))</x:f>
        <x:v>0</x:v>
      </x:c>
      <x:c r="AG784" s="22" t="n">
        <x:f>MAX(0,MIN('Activities'!L784,174)-MAX('Activities'!K784,168))</x:f>
        <x:v>0</x:v>
      </x:c>
      <x:c r="AH784" s="22" t="n">
        <x:f>MAX(0,MIN('Activities'!L784,180)-MAX('Activities'!K784,174))</x:f>
        <x:v>0</x:v>
      </x:c>
      <x:c r="AI784" s="22" t="n">
        <x:f>MAX(0,MIN('Activities'!L784,186)-MAX('Activities'!K784,180))</x:f>
        <x:v>0</x:v>
      </x:c>
      <x:c r="AJ784" s="22" t="n">
        <x:f>MAX(0,MIN('Activities'!L784,192)-MAX('Activities'!K784,186))</x:f>
        <x:v>0</x:v>
      </x:c>
      <x:c r="AK784" s="22" t="n">
        <x:f>MAX(0,MIN('Activities'!L784,198)-MAX('Activities'!K784,192))</x:f>
        <x:v>0</x:v>
      </x:c>
      <x:c r="AL784" s="22" t="n">
        <x:f>MAX(0,MIN('Activities'!L784,204)-MAX('Activities'!K784,198))</x:f>
        <x:v>0</x:v>
      </x:c>
      <x:c r="AM784" s="22" t="n">
        <x:f>MAX(0,MIN('Activities'!L784,210)-MAX('Activities'!K784,204))</x:f>
        <x:v>0</x:v>
      </x:c>
      <x:c r="AN784" s="22" t="n">
        <x:f>MAX(0,MIN('Activities'!L784,216)-MAX('Activities'!K784,210))</x:f>
        <x:v>0</x:v>
      </x:c>
      <x:c r="AO784" s="22" t="n">
        <x:f>MAX(0,MIN('Activities'!L784,222)-MAX('Activities'!K784,216))</x:f>
        <x:v>0</x:v>
      </x:c>
      <x:c r="AP784" s="22" t="n">
        <x:f>MAX(0,MIN('Activities'!L784,228)-MAX('Activities'!K784,222))</x:f>
        <x:v>0</x:v>
      </x:c>
      <x:c r="AQ784" s="22" t="n">
        <x:f>MAX(0,MIN('Activities'!L784,234)-MAX('Activities'!K784,228))</x:f>
        <x:v>0</x:v>
      </x:c>
      <x:c r="AR784" s="22" t="n">
        <x:f>MAX(0,MIN('Activities'!L784,240)-MAX('Activities'!K784,234))</x:f>
        <x:v>0</x:v>
      </x:c>
      <x:c r="AS784" s="22" t="n">
        <x:f>MAX(0,MIN('Activities'!L784,246)-MAX('Activities'!K784,240))</x:f>
        <x:v>0</x:v>
      </x:c>
      <x:c r="AT784" s="22" t="n">
        <x:f>MAX(0,MIN('Activities'!L784,252)-MAX('Activities'!K784,246))</x:f>
        <x:v>0</x:v>
      </x:c>
      <x:c r="AU784" s="22" t="n">
        <x:f>MAX(0,MIN('Activities'!L784,258)-MAX('Activities'!K784,252))</x:f>
        <x:v>0</x:v>
      </x:c>
      <x:c r="AV784" s="22" t="n">
        <x:f>MAX(0,MIN('Activities'!L784,264)-MAX('Activities'!K784,258))</x:f>
        <x:v>0</x:v>
      </x:c>
      <x:c r="AW784" s="22" t="n">
        <x:f>MAX(0,MIN('Activities'!L784,270)-MAX('Activities'!K784,264))</x:f>
        <x:v>0</x:v>
      </x:c>
      <x:c r="AX784" s="22" t="n">
        <x:f>MAX(0,MIN('Activities'!L784,276)-MAX('Activities'!K784,270))</x:f>
        <x:v>0</x:v>
      </x:c>
      <x:c r="AY784" s="22" t="n">
        <x:f>MAX(0,MIN('Activities'!L784,282)-MAX('Activities'!K784,276))</x:f>
        <x:v>0</x:v>
      </x:c>
      <x:c r="AZ784" s="22" t="n">
        <x:f>MAX(0,MIN('Activities'!L784,288)-MAX('Activities'!K784,282))</x:f>
        <x:v>0</x:v>
      </x:c>
      <x:c r="BA784" s="22" t="n">
        <x:f>MAX(0,MIN('Activities'!L784,294)-MAX('Activities'!K784,288))</x:f>
        <x:v>0</x:v>
      </x:c>
      <x:c r="BB784" s="22" t="n">
        <x:f>MAX(0,MIN('Activities'!L784,300)-MAX('Activities'!K784,294))</x:f>
        <x:v>0</x:v>
      </x:c>
      <x:c r="BC784" s="22" t="n">
        <x:f>MAX(0,MIN('Activities'!L784,306)-MAX('Activities'!K784,300))</x:f>
        <x:v>0</x:v>
      </x:c>
      <x:c r="BD784" s="22" t="n">
        <x:f>MAX(0,MIN('Activities'!L784,312)-MAX('Activities'!K784,306))</x:f>
        <x:v>0</x:v>
      </x:c>
      <x:c r="BE784" s="22" t="n">
        <x:f>MAX(0,MIN('Activities'!L784,318)-MAX('Activities'!K784,312))</x:f>
        <x:v>0</x:v>
      </x:c>
      <x:c r="BF784" s="22" t="n">
        <x:f>MAX(0,MIN('Activities'!L784,324)-MAX('Activities'!K784,318))</x:f>
        <x:v>0</x:v>
      </x:c>
      <x:c r="BG784" s="22" t="n">
        <x:f>MAX(0,MIN('Activities'!L784,330)-MAX('Activities'!K784,324))</x:f>
        <x:v>0</x:v>
      </x:c>
      <x:c r="BH784" s="22" t="n">
        <x:f>MAX(0,MIN('Activities'!L784,336)-MAX('Activities'!K784,330))</x:f>
        <x:v>0</x:v>
      </x:c>
      <x:c r="BI784" s="22" t="n">
        <x:f>MAX(0,MIN('Activities'!L784,342)-MAX('Activities'!K784,336))</x:f>
        <x:v>0</x:v>
      </x:c>
      <x:c r="BJ784" s="22" t="n">
        <x:f>MAX(0,MIN('Activities'!L784,348)-MAX('Activities'!K784,342))</x:f>
        <x:v>0</x:v>
      </x:c>
      <x:c r="BK784" s="22" t="n">
        <x:f>MAX(0,MIN('Activities'!L784,354)-MAX('Activities'!K784,348))</x:f>
        <x:v>0</x:v>
      </x:c>
      <x:c r="BL784" s="22" t="n">
        <x:f>MAX(0,MIN('Activities'!L784,360)-MAX('Activities'!K784,354))</x:f>
        <x:v>0</x:v>
      </x:c>
      <x:c r="BM784" s="22" t="n">
        <x:f>MAX(0,MIN('Activities'!L784,366)-MAX('Activities'!K784,360))</x:f>
        <x:v>0</x:v>
      </x:c>
      <x:c r="BN784" s="22" t="n">
        <x:f>MAX(0,MIN('Activities'!L784,372)-MAX('Activities'!K784,366))</x:f>
        <x:v>0</x:v>
      </x:c>
      <x:c r="BO784" s="22" t="n">
        <x:f>MAX(0,MIN('Activities'!L784,378)-MAX('Activities'!K784,372))</x:f>
        <x:v>0</x:v>
      </x:c>
      <x:c r="BP784" s="22" t="n">
        <x:f>MAX(0,MIN('Activities'!L784,384)-MAX('Activities'!K784,378))</x:f>
        <x:v>0</x:v>
      </x:c>
      <x:c r="BQ784" s="22" t="n">
        <x:f>MAX(0,MIN('Activities'!L784,390)-MAX('Activities'!K784,384))</x:f>
        <x:v>0</x:v>
      </x:c>
      <x:c r="BR784" s="22" t="n">
        <x:f>MAX(0,MIN('Activities'!L784,396)-MAX('Activities'!K784,390))</x:f>
        <x:v>0</x:v>
      </x:c>
      <x:c r="BS784" s="22" t="n">
        <x:f>MAX(0,MIN('Activities'!L784,402)-MAX('Activities'!K784,396))</x:f>
        <x:v>0</x:v>
      </x:c>
      <x:c r="BT784" s="22" t="n">
        <x:f>MAX(0,MIN('Activities'!L784,408)-MAX('Activities'!K784,402))</x:f>
        <x:v>0</x:v>
      </x:c>
      <x:c r="BU784" s="22" t="n">
        <x:f>MAX(0,MIN('Activities'!L784,414)-MAX('Activities'!K784,408))</x:f>
        <x:v>0</x:v>
      </x:c>
      <x:c r="BV784" s="22" t="n">
        <x:f>MAX(0,MIN('Activities'!L784,420)-MAX('Activities'!K784,414))</x:f>
        <x:v>5</x:v>
      </x:c>
      <x:c r="BW784" s="22" t="n">
        <x:f>MAX(0,MIN('Activities'!L784,426)-MAX('Activities'!K784,420))</x:f>
        <x:v>0</x:v>
      </x:c>
      <x:c r="BX784" s="22" t="n">
        <x:f>MAX(0,MIN('Activities'!L784,432)-MAX('Activities'!K784,426))</x:f>
        <x:v>0</x:v>
      </x:c>
      <x:c r="BY784" s="22" t="n">
        <x:f>MAX(0,MIN('Activities'!L784,438)-MAX('Activities'!K784,432))</x:f>
        <x:v>0</x:v>
      </x:c>
      <x:c r="BZ784" s="22" t="n">
        <x:f>MAX(0,MIN('Activities'!L784,444)-MAX('Activities'!K784,438))</x:f>
        <x:v>0</x:v>
      </x:c>
      <x:c r="CA784" s="22" t="n">
        <x:f>MAX(0,MIN('Activities'!L784,450)-MAX('Activities'!K784,444))</x:f>
        <x:v>0</x:v>
      </x:c>
      <x:c r="CB784" s="22" t="n">
        <x:f>MAX(0,MIN('Activities'!L784,456)-MAX('Activities'!K784,450))</x:f>
        <x:v>0</x:v>
      </x:c>
      <x:c r="CC784" s="22" t="n">
        <x:f>MAX(0,MIN('Activities'!L784,462)-MAX('Activities'!K784,456))</x:f>
        <x:v>0</x:v>
      </x:c>
      <x:c r="CD784" s="22" t="n">
        <x:f>MAX(0,MIN('Activities'!L784,468)-MAX('Activities'!K784,462))</x:f>
        <x:v>0</x:v>
      </x:c>
      <x:c r="CE784" s="22" t="n">
        <x:f>MAX(0,MIN('Activities'!L784,474)-MAX('Activities'!K784,468))</x:f>
        <x:v>0</x:v>
      </x:c>
      <x:c r="CF784" s="22" t="n">
        <x:f>MAX(0,MIN('Activities'!L784,480)-MAX('Activities'!K784,474))</x:f>
        <x:v>0</x:v>
      </x:c>
      <x:c r="CG784" s="22" t="n">
        <x:f>MAX(0,MIN('Activities'!L784,486)-MAX('Activities'!K784,480))</x:f>
        <x:v>0</x:v>
      </x:c>
      <x:c r="CH784" s="22" t="n">
        <x:f>MAX(0,MIN('Activities'!L784,492)-MAX('Activities'!K784,486))</x:f>
        <x:v>0</x:v>
      </x:c>
      <x:c r="CI784" s="22" t="n">
        <x:f>MAX(0,MIN('Activities'!L784,498)-MAX('Activities'!K784,492))</x:f>
        <x:v>0</x:v>
      </x:c>
      <x:c r="CJ784" s="22" t="n">
        <x:f>MAX(0,MIN('Activities'!L784,504)-MAX('Activities'!K784,498))</x:f>
        <x:v>0</x:v>
      </x:c>
      <x:c r="CK784" s="22" t="n">
        <x:f>MAX(0,MIN('Activities'!L784,510)-MAX('Activities'!K784,504))</x:f>
        <x:v>0</x:v>
      </x:c>
      <x:c r="CL784" s="22" t="n">
        <x:f>MAX(0,MIN('Activities'!L784,516)-MAX('Activities'!K784,510))</x:f>
        <x:v>0</x:v>
      </x:c>
      <x:c r="CM784" s="22" t="n">
        <x:f>MAX(0,MIN('Activities'!L784,522)-MAX('Activities'!K784,516))</x:f>
        <x:v>0</x:v>
      </x:c>
      <x:c r="CN784" s="22" t="n">
        <x:f>MAX(0,MIN('Activities'!L784,528)-MAX('Activities'!K784,522))</x:f>
        <x:v>0</x:v>
      </x:c>
      <x:c r="CO784" s="22" t="n">
        <x:f>MAX(0,MIN('Activities'!L784,534)-MAX('Activities'!K784,528))</x:f>
        <x:v>0</x:v>
      </x:c>
      <x:c r="CP784" s="22" t="n">
        <x:f>MAX(0,MIN('Activities'!L784,540)-MAX('Activities'!K784,534))</x:f>
        <x:v>0</x:v>
      </x:c>
      <x:c r="CQ784" s="22" t="n">
        <x:f>MAX(0,MIN('Activities'!L784,546)-MAX('Activities'!K784,540))</x:f>
        <x:v>0</x:v>
      </x:c>
      <x:c r="CR784" s="22" t="n">
        <x:f>MAX(0,MIN('Activities'!L784,552)-MAX('Activities'!K784,546))</x:f>
        <x:v>0</x:v>
      </x:c>
      <x:c r="CS784" s="22" t="n">
        <x:f>MAX(0,MIN('Activities'!L784,558)-MAX('Activities'!K784,552))</x:f>
        <x:v>0</x:v>
      </x:c>
      <x:c r="CT784" s="22" t="n">
        <x:f>MAX(0,MIN('Activities'!L784,564)-MAX('Activities'!K784,558))</x:f>
        <x:v>0</x:v>
      </x:c>
      <x:c r="CU784" s="22" t="n">
        <x:f>MAX(0,MIN('Activities'!L784,570)-MAX('Activities'!K784,564))</x:f>
        <x:v>0</x:v>
      </x:c>
      <x:c r="CV784" s="22" t="n">
        <x:f>MAX(0,MIN('Activities'!L784,576)-MAX('Activities'!K784,570))</x:f>
        <x:v>0</x:v>
      </x:c>
      <x:c r="CW784" s="22" t="n">
        <x:f>MAX(0,MIN('Activities'!L784,582)-MAX('Activities'!K784,576))</x:f>
        <x:v>0</x:v>
      </x:c>
      <x:c r="CX784" s="22" t="n">
        <x:f>MAX(0,MIN('Activities'!L784,588)-MAX('Activities'!K784,582))</x:f>
        <x:v>0</x:v>
      </x:c>
      <x:c r="CY784" s="22" t="n">
        <x:f>MAX(0,MIN('Activities'!L784,594)-MAX('Activities'!K784,588))</x:f>
        <x:v>0</x:v>
      </x:c>
      <x:c r="CZ784" s="22" t="n">
        <x:f>MAX(0,MIN('Activities'!L784,600)-MAX('Activities'!K784,594))</x:f>
        <x:v>0</x:v>
      </x:c>
      <x:c r="DA784" s="22" t="n">
        <x:f>MAX(0,MIN('Activities'!L784,606)-MAX('Activities'!K784,600))</x:f>
        <x:v>0</x:v>
      </x:c>
      <x:c r="DB784" s="22" t="n">
        <x:f>MAX(0,MIN('Activities'!L784,612)-MAX('Activities'!K784,606))</x:f>
        <x:v>0</x:v>
      </x:c>
      <x:c r="DC784" s="22" t="n">
        <x:f>MAX(0,MIN('Activities'!L784,618)-MAX('Activities'!K784,612))</x:f>
        <x:v>0</x:v>
      </x:c>
      <x:c r="DD784" s="22" t="n">
        <x:f>MAX(0,MIN('Activities'!L784,624)-MAX('Activities'!K784,618))</x:f>
        <x:v>0</x:v>
      </x:c>
      <x:c r="DE784" s="22" t="n">
        <x:f>MAX(0,MIN('Activities'!L784,630)-MAX('Activities'!K784,624))</x:f>
        <x:v>0</x:v>
      </x:c>
      <x:c r="DF784" s="22" t="n">
        <x:f>MAX(0,MIN('Activities'!L784,636)-MAX('Activities'!K784,630))</x:f>
        <x:v>0</x:v>
      </x:c>
    </x:row>
    <x:row r="785" ht="23" customHeight="1">
      <x:c r="A785" s="1" t="str">
        <x:v>T6-L08-P</x:v>
      </x:c>
      <x:c r="B785" s="1" t="str">
        <x:v>T6</x:v>
      </x:c>
      <x:c r="C785" s="1" t="str">
        <x:v>Internal plaster</x:v>
      </x:c>
      <x:c r="D785" s="1" t="str">
        <x:v>Finishes</x:v>
      </x:c>
      <x:c r="E785" s="23" t="n">
        <x:f>MAX(0,MIN('Activities'!L785,6)-MAX('Activities'!K785,0))</x:f>
        <x:v>0</x:v>
      </x:c>
      <x:c r="F785" s="23" t="n">
        <x:f>MAX(0,MIN('Activities'!L785,12)-MAX('Activities'!K785,6))</x:f>
        <x:v>0</x:v>
      </x:c>
      <x:c r="G785" s="23" t="n">
        <x:f>MAX(0,MIN('Activities'!L785,18)-MAX('Activities'!K785,12))</x:f>
        <x:v>0</x:v>
      </x:c>
      <x:c r="H785" s="23" t="n">
        <x:f>MAX(0,MIN('Activities'!L785,24)-MAX('Activities'!K785,18))</x:f>
        <x:v>0</x:v>
      </x:c>
      <x:c r="I785" s="23" t="n">
        <x:f>MAX(0,MIN('Activities'!L785,30)-MAX('Activities'!K785,24))</x:f>
        <x:v>0</x:v>
      </x:c>
      <x:c r="J785" s="23" t="n">
        <x:f>MAX(0,MIN('Activities'!L785,36)-MAX('Activities'!K785,30))</x:f>
        <x:v>0</x:v>
      </x:c>
      <x:c r="K785" s="23" t="n">
        <x:f>MAX(0,MIN('Activities'!L785,42)-MAX('Activities'!K785,36))</x:f>
        <x:v>0</x:v>
      </x:c>
      <x:c r="L785" s="23" t="n">
        <x:f>MAX(0,MIN('Activities'!L785,48)-MAX('Activities'!K785,42))</x:f>
        <x:v>0</x:v>
      </x:c>
      <x:c r="M785" s="23" t="n">
        <x:f>MAX(0,MIN('Activities'!L785,54)-MAX('Activities'!K785,48))</x:f>
        <x:v>0</x:v>
      </x:c>
      <x:c r="N785" s="23" t="n">
        <x:f>MAX(0,MIN('Activities'!L785,60)-MAX('Activities'!K785,54))</x:f>
        <x:v>0</x:v>
      </x:c>
      <x:c r="O785" s="23" t="n">
        <x:f>MAX(0,MIN('Activities'!L785,66)-MAX('Activities'!K785,60))</x:f>
        <x:v>0</x:v>
      </x:c>
      <x:c r="P785" s="23" t="n">
        <x:f>MAX(0,MIN('Activities'!L785,72)-MAX('Activities'!K785,66))</x:f>
        <x:v>0</x:v>
      </x:c>
      <x:c r="Q785" s="23" t="n">
        <x:f>MAX(0,MIN('Activities'!L785,78)-MAX('Activities'!K785,72))</x:f>
        <x:v>0</x:v>
      </x:c>
      <x:c r="R785" s="23" t="n">
        <x:f>MAX(0,MIN('Activities'!L785,84)-MAX('Activities'!K785,78))</x:f>
        <x:v>0</x:v>
      </x:c>
      <x:c r="S785" s="23" t="n">
        <x:f>MAX(0,MIN('Activities'!L785,90)-MAX('Activities'!K785,84))</x:f>
        <x:v>0</x:v>
      </x:c>
      <x:c r="T785" s="23" t="n">
        <x:f>MAX(0,MIN('Activities'!L785,96)-MAX('Activities'!K785,90))</x:f>
        <x:v>0</x:v>
      </x:c>
      <x:c r="U785" s="23" t="n">
        <x:f>MAX(0,MIN('Activities'!L785,102)-MAX('Activities'!K785,96))</x:f>
        <x:v>0</x:v>
      </x:c>
      <x:c r="V785" s="23" t="n">
        <x:f>MAX(0,MIN('Activities'!L785,108)-MAX('Activities'!K785,102))</x:f>
        <x:v>0</x:v>
      </x:c>
      <x:c r="W785" s="23" t="n">
        <x:f>MAX(0,MIN('Activities'!L785,114)-MAX('Activities'!K785,108))</x:f>
        <x:v>0</x:v>
      </x:c>
      <x:c r="X785" s="23" t="n">
        <x:f>MAX(0,MIN('Activities'!L785,120)-MAX('Activities'!K785,114))</x:f>
        <x:v>0</x:v>
      </x:c>
      <x:c r="Y785" s="23" t="n">
        <x:f>MAX(0,MIN('Activities'!L785,126)-MAX('Activities'!K785,120))</x:f>
        <x:v>0</x:v>
      </x:c>
      <x:c r="Z785" s="23" t="n">
        <x:f>MAX(0,MIN('Activities'!L785,132)-MAX('Activities'!K785,126))</x:f>
        <x:v>0</x:v>
      </x:c>
      <x:c r="AA785" s="23" t="n">
        <x:f>MAX(0,MIN('Activities'!L785,138)-MAX('Activities'!K785,132))</x:f>
        <x:v>0</x:v>
      </x:c>
      <x:c r="AB785" s="23" t="n">
        <x:f>MAX(0,MIN('Activities'!L785,144)-MAX('Activities'!K785,138))</x:f>
        <x:v>0</x:v>
      </x:c>
      <x:c r="AC785" s="23" t="n">
        <x:f>MAX(0,MIN('Activities'!L785,150)-MAX('Activities'!K785,144))</x:f>
        <x:v>0</x:v>
      </x:c>
      <x:c r="AD785" s="23" t="n">
        <x:f>MAX(0,MIN('Activities'!L785,156)-MAX('Activities'!K785,150))</x:f>
        <x:v>0</x:v>
      </x:c>
      <x:c r="AE785" s="23" t="n">
        <x:f>MAX(0,MIN('Activities'!L785,162)-MAX('Activities'!K785,156))</x:f>
        <x:v>0</x:v>
      </x:c>
      <x:c r="AF785" s="23" t="n">
        <x:f>MAX(0,MIN('Activities'!L785,168)-MAX('Activities'!K785,162))</x:f>
        <x:v>0</x:v>
      </x:c>
      <x:c r="AG785" s="23" t="n">
        <x:f>MAX(0,MIN('Activities'!L785,174)-MAX('Activities'!K785,168))</x:f>
        <x:v>0</x:v>
      </x:c>
      <x:c r="AH785" s="23" t="n">
        <x:f>MAX(0,MIN('Activities'!L785,180)-MAX('Activities'!K785,174))</x:f>
        <x:v>0</x:v>
      </x:c>
      <x:c r="AI785" s="23" t="n">
        <x:f>MAX(0,MIN('Activities'!L785,186)-MAX('Activities'!K785,180))</x:f>
        <x:v>0</x:v>
      </x:c>
      <x:c r="AJ785" s="23" t="n">
        <x:f>MAX(0,MIN('Activities'!L785,192)-MAX('Activities'!K785,186))</x:f>
        <x:v>0</x:v>
      </x:c>
      <x:c r="AK785" s="23" t="n">
        <x:f>MAX(0,MIN('Activities'!L785,198)-MAX('Activities'!K785,192))</x:f>
        <x:v>0</x:v>
      </x:c>
      <x:c r="AL785" s="23" t="n">
        <x:f>MAX(0,MIN('Activities'!L785,204)-MAX('Activities'!K785,198))</x:f>
        <x:v>0</x:v>
      </x:c>
      <x:c r="AM785" s="23" t="n">
        <x:f>MAX(0,MIN('Activities'!L785,210)-MAX('Activities'!K785,204))</x:f>
        <x:v>0</x:v>
      </x:c>
      <x:c r="AN785" s="23" t="n">
        <x:f>MAX(0,MIN('Activities'!L785,216)-MAX('Activities'!K785,210))</x:f>
        <x:v>0</x:v>
      </x:c>
      <x:c r="AO785" s="23" t="n">
        <x:f>MAX(0,MIN('Activities'!L785,222)-MAX('Activities'!K785,216))</x:f>
        <x:v>0</x:v>
      </x:c>
      <x:c r="AP785" s="23" t="n">
        <x:f>MAX(0,MIN('Activities'!L785,228)-MAX('Activities'!K785,222))</x:f>
        <x:v>0</x:v>
      </x:c>
      <x:c r="AQ785" s="23" t="n">
        <x:f>MAX(0,MIN('Activities'!L785,234)-MAX('Activities'!K785,228))</x:f>
        <x:v>0</x:v>
      </x:c>
      <x:c r="AR785" s="23" t="n">
        <x:f>MAX(0,MIN('Activities'!L785,240)-MAX('Activities'!K785,234))</x:f>
        <x:v>0</x:v>
      </x:c>
      <x:c r="AS785" s="23" t="n">
        <x:f>MAX(0,MIN('Activities'!L785,246)-MAX('Activities'!K785,240))</x:f>
        <x:v>0</x:v>
      </x:c>
      <x:c r="AT785" s="23" t="n">
        <x:f>MAX(0,MIN('Activities'!L785,252)-MAX('Activities'!K785,246))</x:f>
        <x:v>0</x:v>
      </x:c>
      <x:c r="AU785" s="23" t="n">
        <x:f>MAX(0,MIN('Activities'!L785,258)-MAX('Activities'!K785,252))</x:f>
        <x:v>0</x:v>
      </x:c>
      <x:c r="AV785" s="23" t="n">
        <x:f>MAX(0,MIN('Activities'!L785,264)-MAX('Activities'!K785,258))</x:f>
        <x:v>0</x:v>
      </x:c>
      <x:c r="AW785" s="23" t="n">
        <x:f>MAX(0,MIN('Activities'!L785,270)-MAX('Activities'!K785,264))</x:f>
        <x:v>0</x:v>
      </x:c>
      <x:c r="AX785" s="23" t="n">
        <x:f>MAX(0,MIN('Activities'!L785,276)-MAX('Activities'!K785,270))</x:f>
        <x:v>0</x:v>
      </x:c>
      <x:c r="AY785" s="23" t="n">
        <x:f>MAX(0,MIN('Activities'!L785,282)-MAX('Activities'!K785,276))</x:f>
        <x:v>0</x:v>
      </x:c>
      <x:c r="AZ785" s="23" t="n">
        <x:f>MAX(0,MIN('Activities'!L785,288)-MAX('Activities'!K785,282))</x:f>
        <x:v>0</x:v>
      </x:c>
      <x:c r="BA785" s="23" t="n">
        <x:f>MAX(0,MIN('Activities'!L785,294)-MAX('Activities'!K785,288))</x:f>
        <x:v>0</x:v>
      </x:c>
      <x:c r="BB785" s="23" t="n">
        <x:f>MAX(0,MIN('Activities'!L785,300)-MAX('Activities'!K785,294))</x:f>
        <x:v>0</x:v>
      </x:c>
      <x:c r="BC785" s="23" t="n">
        <x:f>MAX(0,MIN('Activities'!L785,306)-MAX('Activities'!K785,300))</x:f>
        <x:v>0</x:v>
      </x:c>
      <x:c r="BD785" s="23" t="n">
        <x:f>MAX(0,MIN('Activities'!L785,312)-MAX('Activities'!K785,306))</x:f>
        <x:v>0</x:v>
      </x:c>
      <x:c r="BE785" s="23" t="n">
        <x:f>MAX(0,MIN('Activities'!L785,318)-MAX('Activities'!K785,312))</x:f>
        <x:v>0</x:v>
      </x:c>
      <x:c r="BF785" s="23" t="n">
        <x:f>MAX(0,MIN('Activities'!L785,324)-MAX('Activities'!K785,318))</x:f>
        <x:v>0</x:v>
      </x:c>
      <x:c r="BG785" s="23" t="n">
        <x:f>MAX(0,MIN('Activities'!L785,330)-MAX('Activities'!K785,324))</x:f>
        <x:v>0</x:v>
      </x:c>
      <x:c r="BH785" s="23" t="n">
        <x:f>MAX(0,MIN('Activities'!L785,336)-MAX('Activities'!K785,330))</x:f>
        <x:v>0</x:v>
      </x:c>
      <x:c r="BI785" s="23" t="n">
        <x:f>MAX(0,MIN('Activities'!L785,342)-MAX('Activities'!K785,336))</x:f>
        <x:v>0</x:v>
      </x:c>
      <x:c r="BJ785" s="23" t="n">
        <x:f>MAX(0,MIN('Activities'!L785,348)-MAX('Activities'!K785,342))</x:f>
        <x:v>0</x:v>
      </x:c>
      <x:c r="BK785" s="23" t="n">
        <x:f>MAX(0,MIN('Activities'!L785,354)-MAX('Activities'!K785,348))</x:f>
        <x:v>0</x:v>
      </x:c>
      <x:c r="BL785" s="23" t="n">
        <x:f>MAX(0,MIN('Activities'!L785,360)-MAX('Activities'!K785,354))</x:f>
        <x:v>0</x:v>
      </x:c>
      <x:c r="BM785" s="23" t="n">
        <x:f>MAX(0,MIN('Activities'!L785,366)-MAX('Activities'!K785,360))</x:f>
        <x:v>0</x:v>
      </x:c>
      <x:c r="BN785" s="23" t="n">
        <x:f>MAX(0,MIN('Activities'!L785,372)-MAX('Activities'!K785,366))</x:f>
        <x:v>0</x:v>
      </x:c>
      <x:c r="BO785" s="23" t="n">
        <x:f>MAX(0,MIN('Activities'!L785,378)-MAX('Activities'!K785,372))</x:f>
        <x:v>0</x:v>
      </x:c>
      <x:c r="BP785" s="23" t="n">
        <x:f>MAX(0,MIN('Activities'!L785,384)-MAX('Activities'!K785,378))</x:f>
        <x:v>0</x:v>
      </x:c>
      <x:c r="BQ785" s="23" t="n">
        <x:f>MAX(0,MIN('Activities'!L785,390)-MAX('Activities'!K785,384))</x:f>
        <x:v>0</x:v>
      </x:c>
      <x:c r="BR785" s="23" t="n">
        <x:f>MAX(0,MIN('Activities'!L785,396)-MAX('Activities'!K785,390))</x:f>
        <x:v>0</x:v>
      </x:c>
      <x:c r="BS785" s="23" t="n">
        <x:f>MAX(0,MIN('Activities'!L785,402)-MAX('Activities'!K785,396))</x:f>
        <x:v>0</x:v>
      </x:c>
      <x:c r="BT785" s="23" t="n">
        <x:f>MAX(0,MIN('Activities'!L785,408)-MAX('Activities'!K785,402))</x:f>
        <x:v>0</x:v>
      </x:c>
      <x:c r="BU785" s="23" t="n">
        <x:f>MAX(0,MIN('Activities'!L785,414)-MAX('Activities'!K785,408))</x:f>
        <x:v>0</x:v>
      </x:c>
      <x:c r="BV785" s="23" t="n">
        <x:f>MAX(0,MIN('Activities'!L785,420)-MAX('Activities'!K785,414))</x:f>
        <x:v>0</x:v>
      </x:c>
      <x:c r="BW785" s="23" t="n">
        <x:f>MAX(0,MIN('Activities'!L785,426)-MAX('Activities'!K785,420))</x:f>
        <x:v>3</x:v>
      </x:c>
      <x:c r="BX785" s="23" t="n">
        <x:f>MAX(0,MIN('Activities'!L785,432)-MAX('Activities'!K785,426))</x:f>
        <x:v>3</x:v>
      </x:c>
      <x:c r="BY785" s="23" t="n">
        <x:f>MAX(0,MIN('Activities'!L785,438)-MAX('Activities'!K785,432))</x:f>
        <x:v>0</x:v>
      </x:c>
      <x:c r="BZ785" s="23" t="n">
        <x:f>MAX(0,MIN('Activities'!L785,444)-MAX('Activities'!K785,438))</x:f>
        <x:v>0</x:v>
      </x:c>
      <x:c r="CA785" s="23" t="n">
        <x:f>MAX(0,MIN('Activities'!L785,450)-MAX('Activities'!K785,444))</x:f>
        <x:v>0</x:v>
      </x:c>
      <x:c r="CB785" s="23" t="n">
        <x:f>MAX(0,MIN('Activities'!L785,456)-MAX('Activities'!K785,450))</x:f>
        <x:v>0</x:v>
      </x:c>
      <x:c r="CC785" s="23" t="n">
        <x:f>MAX(0,MIN('Activities'!L785,462)-MAX('Activities'!K785,456))</x:f>
        <x:v>0</x:v>
      </x:c>
      <x:c r="CD785" s="23" t="n">
        <x:f>MAX(0,MIN('Activities'!L785,468)-MAX('Activities'!K785,462))</x:f>
        <x:v>0</x:v>
      </x:c>
      <x:c r="CE785" s="23" t="n">
        <x:f>MAX(0,MIN('Activities'!L785,474)-MAX('Activities'!K785,468))</x:f>
        <x:v>0</x:v>
      </x:c>
      <x:c r="CF785" s="23" t="n">
        <x:f>MAX(0,MIN('Activities'!L785,480)-MAX('Activities'!K785,474))</x:f>
        <x:v>0</x:v>
      </x:c>
      <x:c r="CG785" s="23" t="n">
        <x:f>MAX(0,MIN('Activities'!L785,486)-MAX('Activities'!K785,480))</x:f>
        <x:v>0</x:v>
      </x:c>
      <x:c r="CH785" s="23" t="n">
        <x:f>MAX(0,MIN('Activities'!L785,492)-MAX('Activities'!K785,486))</x:f>
        <x:v>0</x:v>
      </x:c>
      <x:c r="CI785" s="23" t="n">
        <x:f>MAX(0,MIN('Activities'!L785,498)-MAX('Activities'!K785,492))</x:f>
        <x:v>0</x:v>
      </x:c>
      <x:c r="CJ785" s="23" t="n">
        <x:f>MAX(0,MIN('Activities'!L785,504)-MAX('Activities'!K785,498))</x:f>
        <x:v>0</x:v>
      </x:c>
      <x:c r="CK785" s="23" t="n">
        <x:f>MAX(0,MIN('Activities'!L785,510)-MAX('Activities'!K785,504))</x:f>
        <x:v>0</x:v>
      </x:c>
      <x:c r="CL785" s="23" t="n">
        <x:f>MAX(0,MIN('Activities'!L785,516)-MAX('Activities'!K785,510))</x:f>
        <x:v>0</x:v>
      </x:c>
      <x:c r="CM785" s="23" t="n">
        <x:f>MAX(0,MIN('Activities'!L785,522)-MAX('Activities'!K785,516))</x:f>
        <x:v>0</x:v>
      </x:c>
      <x:c r="CN785" s="23" t="n">
        <x:f>MAX(0,MIN('Activities'!L785,528)-MAX('Activities'!K785,522))</x:f>
        <x:v>0</x:v>
      </x:c>
      <x:c r="CO785" s="23" t="n">
        <x:f>MAX(0,MIN('Activities'!L785,534)-MAX('Activities'!K785,528))</x:f>
        <x:v>0</x:v>
      </x:c>
      <x:c r="CP785" s="23" t="n">
        <x:f>MAX(0,MIN('Activities'!L785,540)-MAX('Activities'!K785,534))</x:f>
        <x:v>0</x:v>
      </x:c>
      <x:c r="CQ785" s="23" t="n">
        <x:f>MAX(0,MIN('Activities'!L785,546)-MAX('Activities'!K785,540))</x:f>
        <x:v>0</x:v>
      </x:c>
      <x:c r="CR785" s="23" t="n">
        <x:f>MAX(0,MIN('Activities'!L785,552)-MAX('Activities'!K785,546))</x:f>
        <x:v>0</x:v>
      </x:c>
      <x:c r="CS785" s="23" t="n">
        <x:f>MAX(0,MIN('Activities'!L785,558)-MAX('Activities'!K785,552))</x:f>
        <x:v>0</x:v>
      </x:c>
      <x:c r="CT785" s="23" t="n">
        <x:f>MAX(0,MIN('Activities'!L785,564)-MAX('Activities'!K785,558))</x:f>
        <x:v>0</x:v>
      </x:c>
      <x:c r="CU785" s="23" t="n">
        <x:f>MAX(0,MIN('Activities'!L785,570)-MAX('Activities'!K785,564))</x:f>
        <x:v>0</x:v>
      </x:c>
      <x:c r="CV785" s="23" t="n">
        <x:f>MAX(0,MIN('Activities'!L785,576)-MAX('Activities'!K785,570))</x:f>
        <x:v>0</x:v>
      </x:c>
      <x:c r="CW785" s="23" t="n">
        <x:f>MAX(0,MIN('Activities'!L785,582)-MAX('Activities'!K785,576))</x:f>
        <x:v>0</x:v>
      </x:c>
      <x:c r="CX785" s="23" t="n">
        <x:f>MAX(0,MIN('Activities'!L785,588)-MAX('Activities'!K785,582))</x:f>
        <x:v>0</x:v>
      </x:c>
      <x:c r="CY785" s="23" t="n">
        <x:f>MAX(0,MIN('Activities'!L785,594)-MAX('Activities'!K785,588))</x:f>
        <x:v>0</x:v>
      </x:c>
      <x:c r="CZ785" s="23" t="n">
        <x:f>MAX(0,MIN('Activities'!L785,600)-MAX('Activities'!K785,594))</x:f>
        <x:v>0</x:v>
      </x:c>
      <x:c r="DA785" s="23" t="n">
        <x:f>MAX(0,MIN('Activities'!L785,606)-MAX('Activities'!K785,600))</x:f>
        <x:v>0</x:v>
      </x:c>
      <x:c r="DB785" s="23" t="n">
        <x:f>MAX(0,MIN('Activities'!L785,612)-MAX('Activities'!K785,606))</x:f>
        <x:v>0</x:v>
      </x:c>
      <x:c r="DC785" s="23" t="n">
        <x:f>MAX(0,MIN('Activities'!L785,618)-MAX('Activities'!K785,612))</x:f>
        <x:v>0</x:v>
      </x:c>
      <x:c r="DD785" s="23" t="n">
        <x:f>MAX(0,MIN('Activities'!L785,624)-MAX('Activities'!K785,618))</x:f>
        <x:v>0</x:v>
      </x:c>
      <x:c r="DE785" s="23" t="n">
        <x:f>MAX(0,MIN('Activities'!L785,630)-MAX('Activities'!K785,624))</x:f>
        <x:v>0</x:v>
      </x:c>
      <x:c r="DF785" s="23" t="n">
        <x:f>MAX(0,MIN('Activities'!L785,636)-MAX('Activities'!K785,630))</x:f>
        <x:v>0</x:v>
      </x:c>
    </x:row>
    <x:row r="786" ht="23" customHeight="1">
      <x:c r="A786" s="6" t="str">
        <x:v>T6-L08-S</x:v>
      </x:c>
      <x:c r="B786" s="6" t="str">
        <x:v>T6</x:v>
      </x:c>
      <x:c r="C786" s="6" t="str">
        <x:v>Screed and substrate preparation</x:v>
      </x:c>
      <x:c r="D786" s="6" t="str">
        <x:v>Finishes</x:v>
      </x:c>
      <x:c r="E786" s="22" t="n">
        <x:f>MAX(0,MIN('Activities'!L786,6)-MAX('Activities'!K786,0))</x:f>
        <x:v>0</x:v>
      </x:c>
      <x:c r="F786" s="22" t="n">
        <x:f>MAX(0,MIN('Activities'!L786,12)-MAX('Activities'!K786,6))</x:f>
        <x:v>0</x:v>
      </x:c>
      <x:c r="G786" s="22" t="n">
        <x:f>MAX(0,MIN('Activities'!L786,18)-MAX('Activities'!K786,12))</x:f>
        <x:v>0</x:v>
      </x:c>
      <x:c r="H786" s="22" t="n">
        <x:f>MAX(0,MIN('Activities'!L786,24)-MAX('Activities'!K786,18))</x:f>
        <x:v>0</x:v>
      </x:c>
      <x:c r="I786" s="22" t="n">
        <x:f>MAX(0,MIN('Activities'!L786,30)-MAX('Activities'!K786,24))</x:f>
        <x:v>0</x:v>
      </x:c>
      <x:c r="J786" s="22" t="n">
        <x:f>MAX(0,MIN('Activities'!L786,36)-MAX('Activities'!K786,30))</x:f>
        <x:v>0</x:v>
      </x:c>
      <x:c r="K786" s="22" t="n">
        <x:f>MAX(0,MIN('Activities'!L786,42)-MAX('Activities'!K786,36))</x:f>
        <x:v>0</x:v>
      </x:c>
      <x:c r="L786" s="22" t="n">
        <x:f>MAX(0,MIN('Activities'!L786,48)-MAX('Activities'!K786,42))</x:f>
        <x:v>0</x:v>
      </x:c>
      <x:c r="M786" s="22" t="n">
        <x:f>MAX(0,MIN('Activities'!L786,54)-MAX('Activities'!K786,48))</x:f>
        <x:v>0</x:v>
      </x:c>
      <x:c r="N786" s="22" t="n">
        <x:f>MAX(0,MIN('Activities'!L786,60)-MAX('Activities'!K786,54))</x:f>
        <x:v>0</x:v>
      </x:c>
      <x:c r="O786" s="22" t="n">
        <x:f>MAX(0,MIN('Activities'!L786,66)-MAX('Activities'!K786,60))</x:f>
        <x:v>0</x:v>
      </x:c>
      <x:c r="P786" s="22" t="n">
        <x:f>MAX(0,MIN('Activities'!L786,72)-MAX('Activities'!K786,66))</x:f>
        <x:v>0</x:v>
      </x:c>
      <x:c r="Q786" s="22" t="n">
        <x:f>MAX(0,MIN('Activities'!L786,78)-MAX('Activities'!K786,72))</x:f>
        <x:v>0</x:v>
      </x:c>
      <x:c r="R786" s="22" t="n">
        <x:f>MAX(0,MIN('Activities'!L786,84)-MAX('Activities'!K786,78))</x:f>
        <x:v>0</x:v>
      </x:c>
      <x:c r="S786" s="22" t="n">
        <x:f>MAX(0,MIN('Activities'!L786,90)-MAX('Activities'!K786,84))</x:f>
        <x:v>0</x:v>
      </x:c>
      <x:c r="T786" s="22" t="n">
        <x:f>MAX(0,MIN('Activities'!L786,96)-MAX('Activities'!K786,90))</x:f>
        <x:v>0</x:v>
      </x:c>
      <x:c r="U786" s="22" t="n">
        <x:f>MAX(0,MIN('Activities'!L786,102)-MAX('Activities'!K786,96))</x:f>
        <x:v>0</x:v>
      </x:c>
      <x:c r="V786" s="22" t="n">
        <x:f>MAX(0,MIN('Activities'!L786,108)-MAX('Activities'!K786,102))</x:f>
        <x:v>0</x:v>
      </x:c>
      <x:c r="W786" s="22" t="n">
        <x:f>MAX(0,MIN('Activities'!L786,114)-MAX('Activities'!K786,108))</x:f>
        <x:v>0</x:v>
      </x:c>
      <x:c r="X786" s="22" t="n">
        <x:f>MAX(0,MIN('Activities'!L786,120)-MAX('Activities'!K786,114))</x:f>
        <x:v>0</x:v>
      </x:c>
      <x:c r="Y786" s="22" t="n">
        <x:f>MAX(0,MIN('Activities'!L786,126)-MAX('Activities'!K786,120))</x:f>
        <x:v>0</x:v>
      </x:c>
      <x:c r="Z786" s="22" t="n">
        <x:f>MAX(0,MIN('Activities'!L786,132)-MAX('Activities'!K786,126))</x:f>
        <x:v>0</x:v>
      </x:c>
      <x:c r="AA786" s="22" t="n">
        <x:f>MAX(0,MIN('Activities'!L786,138)-MAX('Activities'!K786,132))</x:f>
        <x:v>0</x:v>
      </x:c>
      <x:c r="AB786" s="22" t="n">
        <x:f>MAX(0,MIN('Activities'!L786,144)-MAX('Activities'!K786,138))</x:f>
        <x:v>0</x:v>
      </x:c>
      <x:c r="AC786" s="22" t="n">
        <x:f>MAX(0,MIN('Activities'!L786,150)-MAX('Activities'!K786,144))</x:f>
        <x:v>0</x:v>
      </x:c>
      <x:c r="AD786" s="22" t="n">
        <x:f>MAX(0,MIN('Activities'!L786,156)-MAX('Activities'!K786,150))</x:f>
        <x:v>0</x:v>
      </x:c>
      <x:c r="AE786" s="22" t="n">
        <x:f>MAX(0,MIN('Activities'!L786,162)-MAX('Activities'!K786,156))</x:f>
        <x:v>0</x:v>
      </x:c>
      <x:c r="AF786" s="22" t="n">
        <x:f>MAX(0,MIN('Activities'!L786,168)-MAX('Activities'!K786,162))</x:f>
        <x:v>0</x:v>
      </x:c>
      <x:c r="AG786" s="22" t="n">
        <x:f>MAX(0,MIN('Activities'!L786,174)-MAX('Activities'!K786,168))</x:f>
        <x:v>0</x:v>
      </x:c>
      <x:c r="AH786" s="22" t="n">
        <x:f>MAX(0,MIN('Activities'!L786,180)-MAX('Activities'!K786,174))</x:f>
        <x:v>0</x:v>
      </x:c>
      <x:c r="AI786" s="22" t="n">
        <x:f>MAX(0,MIN('Activities'!L786,186)-MAX('Activities'!K786,180))</x:f>
        <x:v>0</x:v>
      </x:c>
      <x:c r="AJ786" s="22" t="n">
        <x:f>MAX(0,MIN('Activities'!L786,192)-MAX('Activities'!K786,186))</x:f>
        <x:v>0</x:v>
      </x:c>
      <x:c r="AK786" s="22" t="n">
        <x:f>MAX(0,MIN('Activities'!L786,198)-MAX('Activities'!K786,192))</x:f>
        <x:v>0</x:v>
      </x:c>
      <x:c r="AL786" s="22" t="n">
        <x:f>MAX(0,MIN('Activities'!L786,204)-MAX('Activities'!K786,198))</x:f>
        <x:v>0</x:v>
      </x:c>
      <x:c r="AM786" s="22" t="n">
        <x:f>MAX(0,MIN('Activities'!L786,210)-MAX('Activities'!K786,204))</x:f>
        <x:v>0</x:v>
      </x:c>
      <x:c r="AN786" s="22" t="n">
        <x:f>MAX(0,MIN('Activities'!L786,216)-MAX('Activities'!K786,210))</x:f>
        <x:v>0</x:v>
      </x:c>
      <x:c r="AO786" s="22" t="n">
        <x:f>MAX(0,MIN('Activities'!L786,222)-MAX('Activities'!K786,216))</x:f>
        <x:v>0</x:v>
      </x:c>
      <x:c r="AP786" s="22" t="n">
        <x:f>MAX(0,MIN('Activities'!L786,228)-MAX('Activities'!K786,222))</x:f>
        <x:v>0</x:v>
      </x:c>
      <x:c r="AQ786" s="22" t="n">
        <x:f>MAX(0,MIN('Activities'!L786,234)-MAX('Activities'!K786,228))</x:f>
        <x:v>0</x:v>
      </x:c>
      <x:c r="AR786" s="22" t="n">
        <x:f>MAX(0,MIN('Activities'!L786,240)-MAX('Activities'!K786,234))</x:f>
        <x:v>0</x:v>
      </x:c>
      <x:c r="AS786" s="22" t="n">
        <x:f>MAX(0,MIN('Activities'!L786,246)-MAX('Activities'!K786,240))</x:f>
        <x:v>0</x:v>
      </x:c>
      <x:c r="AT786" s="22" t="n">
        <x:f>MAX(0,MIN('Activities'!L786,252)-MAX('Activities'!K786,246))</x:f>
        <x:v>0</x:v>
      </x:c>
      <x:c r="AU786" s="22" t="n">
        <x:f>MAX(0,MIN('Activities'!L786,258)-MAX('Activities'!K786,252))</x:f>
        <x:v>0</x:v>
      </x:c>
      <x:c r="AV786" s="22" t="n">
        <x:f>MAX(0,MIN('Activities'!L786,264)-MAX('Activities'!K786,258))</x:f>
        <x:v>0</x:v>
      </x:c>
      <x:c r="AW786" s="22" t="n">
        <x:f>MAX(0,MIN('Activities'!L786,270)-MAX('Activities'!K786,264))</x:f>
        <x:v>0</x:v>
      </x:c>
      <x:c r="AX786" s="22" t="n">
        <x:f>MAX(0,MIN('Activities'!L786,276)-MAX('Activities'!K786,270))</x:f>
        <x:v>0</x:v>
      </x:c>
      <x:c r="AY786" s="22" t="n">
        <x:f>MAX(0,MIN('Activities'!L786,282)-MAX('Activities'!K786,276))</x:f>
        <x:v>0</x:v>
      </x:c>
      <x:c r="AZ786" s="22" t="n">
        <x:f>MAX(0,MIN('Activities'!L786,288)-MAX('Activities'!K786,282))</x:f>
        <x:v>0</x:v>
      </x:c>
      <x:c r="BA786" s="22" t="n">
        <x:f>MAX(0,MIN('Activities'!L786,294)-MAX('Activities'!K786,288))</x:f>
        <x:v>0</x:v>
      </x:c>
      <x:c r="BB786" s="22" t="n">
        <x:f>MAX(0,MIN('Activities'!L786,300)-MAX('Activities'!K786,294))</x:f>
        <x:v>0</x:v>
      </x:c>
      <x:c r="BC786" s="22" t="n">
        <x:f>MAX(0,MIN('Activities'!L786,306)-MAX('Activities'!K786,300))</x:f>
        <x:v>0</x:v>
      </x:c>
      <x:c r="BD786" s="22" t="n">
        <x:f>MAX(0,MIN('Activities'!L786,312)-MAX('Activities'!K786,306))</x:f>
        <x:v>0</x:v>
      </x:c>
      <x:c r="BE786" s="22" t="n">
        <x:f>MAX(0,MIN('Activities'!L786,318)-MAX('Activities'!K786,312))</x:f>
        <x:v>0</x:v>
      </x:c>
      <x:c r="BF786" s="22" t="n">
        <x:f>MAX(0,MIN('Activities'!L786,324)-MAX('Activities'!K786,318))</x:f>
        <x:v>0</x:v>
      </x:c>
      <x:c r="BG786" s="22" t="n">
        <x:f>MAX(0,MIN('Activities'!L786,330)-MAX('Activities'!K786,324))</x:f>
        <x:v>0</x:v>
      </x:c>
      <x:c r="BH786" s="22" t="n">
        <x:f>MAX(0,MIN('Activities'!L786,336)-MAX('Activities'!K786,330))</x:f>
        <x:v>0</x:v>
      </x:c>
      <x:c r="BI786" s="22" t="n">
        <x:f>MAX(0,MIN('Activities'!L786,342)-MAX('Activities'!K786,336))</x:f>
        <x:v>0</x:v>
      </x:c>
      <x:c r="BJ786" s="22" t="n">
        <x:f>MAX(0,MIN('Activities'!L786,348)-MAX('Activities'!K786,342))</x:f>
        <x:v>0</x:v>
      </x:c>
      <x:c r="BK786" s="22" t="n">
        <x:f>MAX(0,MIN('Activities'!L786,354)-MAX('Activities'!K786,348))</x:f>
        <x:v>0</x:v>
      </x:c>
      <x:c r="BL786" s="22" t="n">
        <x:f>MAX(0,MIN('Activities'!L786,360)-MAX('Activities'!K786,354))</x:f>
        <x:v>0</x:v>
      </x:c>
      <x:c r="BM786" s="22" t="n">
        <x:f>MAX(0,MIN('Activities'!L786,366)-MAX('Activities'!K786,360))</x:f>
        <x:v>0</x:v>
      </x:c>
      <x:c r="BN786" s="22" t="n">
        <x:f>MAX(0,MIN('Activities'!L786,372)-MAX('Activities'!K786,366))</x:f>
        <x:v>0</x:v>
      </x:c>
      <x:c r="BO786" s="22" t="n">
        <x:f>MAX(0,MIN('Activities'!L786,378)-MAX('Activities'!K786,372))</x:f>
        <x:v>0</x:v>
      </x:c>
      <x:c r="BP786" s="22" t="n">
        <x:f>MAX(0,MIN('Activities'!L786,384)-MAX('Activities'!K786,378))</x:f>
        <x:v>0</x:v>
      </x:c>
      <x:c r="BQ786" s="22" t="n">
        <x:f>MAX(0,MIN('Activities'!L786,390)-MAX('Activities'!K786,384))</x:f>
        <x:v>0</x:v>
      </x:c>
      <x:c r="BR786" s="22" t="n">
        <x:f>MAX(0,MIN('Activities'!L786,396)-MAX('Activities'!K786,390))</x:f>
        <x:v>0</x:v>
      </x:c>
      <x:c r="BS786" s="22" t="n">
        <x:f>MAX(0,MIN('Activities'!L786,402)-MAX('Activities'!K786,396))</x:f>
        <x:v>0</x:v>
      </x:c>
      <x:c r="BT786" s="22" t="n">
        <x:f>MAX(0,MIN('Activities'!L786,408)-MAX('Activities'!K786,402))</x:f>
        <x:v>0</x:v>
      </x:c>
      <x:c r="BU786" s="22" t="n">
        <x:f>MAX(0,MIN('Activities'!L786,414)-MAX('Activities'!K786,408))</x:f>
        <x:v>0</x:v>
      </x:c>
      <x:c r="BV786" s="22" t="n">
        <x:f>MAX(0,MIN('Activities'!L786,420)-MAX('Activities'!K786,414))</x:f>
        <x:v>0</x:v>
      </x:c>
      <x:c r="BW786" s="22" t="n">
        <x:f>MAX(0,MIN('Activities'!L786,426)-MAX('Activities'!K786,420))</x:f>
        <x:v>0</x:v>
      </x:c>
      <x:c r="BX786" s="22" t="n">
        <x:f>MAX(0,MIN('Activities'!L786,432)-MAX('Activities'!K786,426))</x:f>
        <x:v>1</x:v>
      </x:c>
      <x:c r="BY786" s="22" t="n">
        <x:f>MAX(0,MIN('Activities'!L786,438)-MAX('Activities'!K786,432))</x:f>
        <x:v>2</x:v>
      </x:c>
      <x:c r="BZ786" s="22" t="n">
        <x:f>MAX(0,MIN('Activities'!L786,444)-MAX('Activities'!K786,438))</x:f>
        <x:v>0</x:v>
      </x:c>
      <x:c r="CA786" s="22" t="n">
        <x:f>MAX(0,MIN('Activities'!L786,450)-MAX('Activities'!K786,444))</x:f>
        <x:v>0</x:v>
      </x:c>
      <x:c r="CB786" s="22" t="n">
        <x:f>MAX(0,MIN('Activities'!L786,456)-MAX('Activities'!K786,450))</x:f>
        <x:v>0</x:v>
      </x:c>
      <x:c r="CC786" s="22" t="n">
        <x:f>MAX(0,MIN('Activities'!L786,462)-MAX('Activities'!K786,456))</x:f>
        <x:v>0</x:v>
      </x:c>
      <x:c r="CD786" s="22" t="n">
        <x:f>MAX(0,MIN('Activities'!L786,468)-MAX('Activities'!K786,462))</x:f>
        <x:v>0</x:v>
      </x:c>
      <x:c r="CE786" s="22" t="n">
        <x:f>MAX(0,MIN('Activities'!L786,474)-MAX('Activities'!K786,468))</x:f>
        <x:v>0</x:v>
      </x:c>
      <x:c r="CF786" s="22" t="n">
        <x:f>MAX(0,MIN('Activities'!L786,480)-MAX('Activities'!K786,474))</x:f>
        <x:v>0</x:v>
      </x:c>
      <x:c r="CG786" s="22" t="n">
        <x:f>MAX(0,MIN('Activities'!L786,486)-MAX('Activities'!K786,480))</x:f>
        <x:v>0</x:v>
      </x:c>
      <x:c r="CH786" s="22" t="n">
        <x:f>MAX(0,MIN('Activities'!L786,492)-MAX('Activities'!K786,486))</x:f>
        <x:v>0</x:v>
      </x:c>
      <x:c r="CI786" s="22" t="n">
        <x:f>MAX(0,MIN('Activities'!L786,498)-MAX('Activities'!K786,492))</x:f>
        <x:v>0</x:v>
      </x:c>
      <x:c r="CJ786" s="22" t="n">
        <x:f>MAX(0,MIN('Activities'!L786,504)-MAX('Activities'!K786,498))</x:f>
        <x:v>0</x:v>
      </x:c>
      <x:c r="CK786" s="22" t="n">
        <x:f>MAX(0,MIN('Activities'!L786,510)-MAX('Activities'!K786,504))</x:f>
        <x:v>0</x:v>
      </x:c>
      <x:c r="CL786" s="22" t="n">
        <x:f>MAX(0,MIN('Activities'!L786,516)-MAX('Activities'!K786,510))</x:f>
        <x:v>0</x:v>
      </x:c>
      <x:c r="CM786" s="22" t="n">
        <x:f>MAX(0,MIN('Activities'!L786,522)-MAX('Activities'!K786,516))</x:f>
        <x:v>0</x:v>
      </x:c>
      <x:c r="CN786" s="22" t="n">
        <x:f>MAX(0,MIN('Activities'!L786,528)-MAX('Activities'!K786,522))</x:f>
        <x:v>0</x:v>
      </x:c>
      <x:c r="CO786" s="22" t="n">
        <x:f>MAX(0,MIN('Activities'!L786,534)-MAX('Activities'!K786,528))</x:f>
        <x:v>0</x:v>
      </x:c>
      <x:c r="CP786" s="22" t="n">
        <x:f>MAX(0,MIN('Activities'!L786,540)-MAX('Activities'!K786,534))</x:f>
        <x:v>0</x:v>
      </x:c>
      <x:c r="CQ786" s="22" t="n">
        <x:f>MAX(0,MIN('Activities'!L786,546)-MAX('Activities'!K786,540))</x:f>
        <x:v>0</x:v>
      </x:c>
      <x:c r="CR786" s="22" t="n">
        <x:f>MAX(0,MIN('Activities'!L786,552)-MAX('Activities'!K786,546))</x:f>
        <x:v>0</x:v>
      </x:c>
      <x:c r="CS786" s="22" t="n">
        <x:f>MAX(0,MIN('Activities'!L786,558)-MAX('Activities'!K786,552))</x:f>
        <x:v>0</x:v>
      </x:c>
      <x:c r="CT786" s="22" t="n">
        <x:f>MAX(0,MIN('Activities'!L786,564)-MAX('Activities'!K786,558))</x:f>
        <x:v>0</x:v>
      </x:c>
      <x:c r="CU786" s="22" t="n">
        <x:f>MAX(0,MIN('Activities'!L786,570)-MAX('Activities'!K786,564))</x:f>
        <x:v>0</x:v>
      </x:c>
      <x:c r="CV786" s="22" t="n">
        <x:f>MAX(0,MIN('Activities'!L786,576)-MAX('Activities'!K786,570))</x:f>
        <x:v>0</x:v>
      </x:c>
      <x:c r="CW786" s="22" t="n">
        <x:f>MAX(0,MIN('Activities'!L786,582)-MAX('Activities'!K786,576))</x:f>
        <x:v>0</x:v>
      </x:c>
      <x:c r="CX786" s="22" t="n">
        <x:f>MAX(0,MIN('Activities'!L786,588)-MAX('Activities'!K786,582))</x:f>
        <x:v>0</x:v>
      </x:c>
      <x:c r="CY786" s="22" t="n">
        <x:f>MAX(0,MIN('Activities'!L786,594)-MAX('Activities'!K786,588))</x:f>
        <x:v>0</x:v>
      </x:c>
      <x:c r="CZ786" s="22" t="n">
        <x:f>MAX(0,MIN('Activities'!L786,600)-MAX('Activities'!K786,594))</x:f>
        <x:v>0</x:v>
      </x:c>
      <x:c r="DA786" s="22" t="n">
        <x:f>MAX(0,MIN('Activities'!L786,606)-MAX('Activities'!K786,600))</x:f>
        <x:v>0</x:v>
      </x:c>
      <x:c r="DB786" s="22" t="n">
        <x:f>MAX(0,MIN('Activities'!L786,612)-MAX('Activities'!K786,606))</x:f>
        <x:v>0</x:v>
      </x:c>
      <x:c r="DC786" s="22" t="n">
        <x:f>MAX(0,MIN('Activities'!L786,618)-MAX('Activities'!K786,612))</x:f>
        <x:v>0</x:v>
      </x:c>
      <x:c r="DD786" s="22" t="n">
        <x:f>MAX(0,MIN('Activities'!L786,624)-MAX('Activities'!K786,618))</x:f>
        <x:v>0</x:v>
      </x:c>
      <x:c r="DE786" s="22" t="n">
        <x:f>MAX(0,MIN('Activities'!L786,630)-MAX('Activities'!K786,624))</x:f>
        <x:v>0</x:v>
      </x:c>
      <x:c r="DF786" s="22" t="n">
        <x:f>MAX(0,MIN('Activities'!L786,636)-MAX('Activities'!K786,630))</x:f>
        <x:v>0</x:v>
      </x:c>
    </x:row>
    <x:row r="787" ht="23" customHeight="1">
      <x:c r="A787" s="1" t="str">
        <x:v>T6-L08-T</x:v>
      </x:c>
      <x:c r="B787" s="1" t="str">
        <x:v>T6</x:v>
      </x:c>
      <x:c r="C787" s="1" t="str">
        <x:v>Floor finishes and skirtings</x:v>
      </x:c>
      <x:c r="D787" s="1" t="str">
        <x:v>Finishes</x:v>
      </x:c>
      <x:c r="E787" s="23" t="n">
        <x:f>MAX(0,MIN('Activities'!L787,6)-MAX('Activities'!K787,0))</x:f>
        <x:v>0</x:v>
      </x:c>
      <x:c r="F787" s="23" t="n">
        <x:f>MAX(0,MIN('Activities'!L787,12)-MAX('Activities'!K787,6))</x:f>
        <x:v>0</x:v>
      </x:c>
      <x:c r="G787" s="23" t="n">
        <x:f>MAX(0,MIN('Activities'!L787,18)-MAX('Activities'!K787,12))</x:f>
        <x:v>0</x:v>
      </x:c>
      <x:c r="H787" s="23" t="n">
        <x:f>MAX(0,MIN('Activities'!L787,24)-MAX('Activities'!K787,18))</x:f>
        <x:v>0</x:v>
      </x:c>
      <x:c r="I787" s="23" t="n">
        <x:f>MAX(0,MIN('Activities'!L787,30)-MAX('Activities'!K787,24))</x:f>
        <x:v>0</x:v>
      </x:c>
      <x:c r="J787" s="23" t="n">
        <x:f>MAX(0,MIN('Activities'!L787,36)-MAX('Activities'!K787,30))</x:f>
        <x:v>0</x:v>
      </x:c>
      <x:c r="K787" s="23" t="n">
        <x:f>MAX(0,MIN('Activities'!L787,42)-MAX('Activities'!K787,36))</x:f>
        <x:v>0</x:v>
      </x:c>
      <x:c r="L787" s="23" t="n">
        <x:f>MAX(0,MIN('Activities'!L787,48)-MAX('Activities'!K787,42))</x:f>
        <x:v>0</x:v>
      </x:c>
      <x:c r="M787" s="23" t="n">
        <x:f>MAX(0,MIN('Activities'!L787,54)-MAX('Activities'!K787,48))</x:f>
        <x:v>0</x:v>
      </x:c>
      <x:c r="N787" s="23" t="n">
        <x:f>MAX(0,MIN('Activities'!L787,60)-MAX('Activities'!K787,54))</x:f>
        <x:v>0</x:v>
      </x:c>
      <x:c r="O787" s="23" t="n">
        <x:f>MAX(0,MIN('Activities'!L787,66)-MAX('Activities'!K787,60))</x:f>
        <x:v>0</x:v>
      </x:c>
      <x:c r="P787" s="23" t="n">
        <x:f>MAX(0,MIN('Activities'!L787,72)-MAX('Activities'!K787,66))</x:f>
        <x:v>0</x:v>
      </x:c>
      <x:c r="Q787" s="23" t="n">
        <x:f>MAX(0,MIN('Activities'!L787,78)-MAX('Activities'!K787,72))</x:f>
        <x:v>0</x:v>
      </x:c>
      <x:c r="R787" s="23" t="n">
        <x:f>MAX(0,MIN('Activities'!L787,84)-MAX('Activities'!K787,78))</x:f>
        <x:v>0</x:v>
      </x:c>
      <x:c r="S787" s="23" t="n">
        <x:f>MAX(0,MIN('Activities'!L787,90)-MAX('Activities'!K787,84))</x:f>
        <x:v>0</x:v>
      </x:c>
      <x:c r="T787" s="23" t="n">
        <x:f>MAX(0,MIN('Activities'!L787,96)-MAX('Activities'!K787,90))</x:f>
        <x:v>0</x:v>
      </x:c>
      <x:c r="U787" s="23" t="n">
        <x:f>MAX(0,MIN('Activities'!L787,102)-MAX('Activities'!K787,96))</x:f>
        <x:v>0</x:v>
      </x:c>
      <x:c r="V787" s="23" t="n">
        <x:f>MAX(0,MIN('Activities'!L787,108)-MAX('Activities'!K787,102))</x:f>
        <x:v>0</x:v>
      </x:c>
      <x:c r="W787" s="23" t="n">
        <x:f>MAX(0,MIN('Activities'!L787,114)-MAX('Activities'!K787,108))</x:f>
        <x:v>0</x:v>
      </x:c>
      <x:c r="X787" s="23" t="n">
        <x:f>MAX(0,MIN('Activities'!L787,120)-MAX('Activities'!K787,114))</x:f>
        <x:v>0</x:v>
      </x:c>
      <x:c r="Y787" s="23" t="n">
        <x:f>MAX(0,MIN('Activities'!L787,126)-MAX('Activities'!K787,120))</x:f>
        <x:v>0</x:v>
      </x:c>
      <x:c r="Z787" s="23" t="n">
        <x:f>MAX(0,MIN('Activities'!L787,132)-MAX('Activities'!K787,126))</x:f>
        <x:v>0</x:v>
      </x:c>
      <x:c r="AA787" s="23" t="n">
        <x:f>MAX(0,MIN('Activities'!L787,138)-MAX('Activities'!K787,132))</x:f>
        <x:v>0</x:v>
      </x:c>
      <x:c r="AB787" s="23" t="n">
        <x:f>MAX(0,MIN('Activities'!L787,144)-MAX('Activities'!K787,138))</x:f>
        <x:v>0</x:v>
      </x:c>
      <x:c r="AC787" s="23" t="n">
        <x:f>MAX(0,MIN('Activities'!L787,150)-MAX('Activities'!K787,144))</x:f>
        <x:v>0</x:v>
      </x:c>
      <x:c r="AD787" s="23" t="n">
        <x:f>MAX(0,MIN('Activities'!L787,156)-MAX('Activities'!K787,150))</x:f>
        <x:v>0</x:v>
      </x:c>
      <x:c r="AE787" s="23" t="n">
        <x:f>MAX(0,MIN('Activities'!L787,162)-MAX('Activities'!K787,156))</x:f>
        <x:v>0</x:v>
      </x:c>
      <x:c r="AF787" s="23" t="n">
        <x:f>MAX(0,MIN('Activities'!L787,168)-MAX('Activities'!K787,162))</x:f>
        <x:v>0</x:v>
      </x:c>
      <x:c r="AG787" s="23" t="n">
        <x:f>MAX(0,MIN('Activities'!L787,174)-MAX('Activities'!K787,168))</x:f>
        <x:v>0</x:v>
      </x:c>
      <x:c r="AH787" s="23" t="n">
        <x:f>MAX(0,MIN('Activities'!L787,180)-MAX('Activities'!K787,174))</x:f>
        <x:v>0</x:v>
      </x:c>
      <x:c r="AI787" s="23" t="n">
        <x:f>MAX(0,MIN('Activities'!L787,186)-MAX('Activities'!K787,180))</x:f>
        <x:v>0</x:v>
      </x:c>
      <x:c r="AJ787" s="23" t="n">
        <x:f>MAX(0,MIN('Activities'!L787,192)-MAX('Activities'!K787,186))</x:f>
        <x:v>0</x:v>
      </x:c>
      <x:c r="AK787" s="23" t="n">
        <x:f>MAX(0,MIN('Activities'!L787,198)-MAX('Activities'!K787,192))</x:f>
        <x:v>0</x:v>
      </x:c>
      <x:c r="AL787" s="23" t="n">
        <x:f>MAX(0,MIN('Activities'!L787,204)-MAX('Activities'!K787,198))</x:f>
        <x:v>0</x:v>
      </x:c>
      <x:c r="AM787" s="23" t="n">
        <x:f>MAX(0,MIN('Activities'!L787,210)-MAX('Activities'!K787,204))</x:f>
        <x:v>0</x:v>
      </x:c>
      <x:c r="AN787" s="23" t="n">
        <x:f>MAX(0,MIN('Activities'!L787,216)-MAX('Activities'!K787,210))</x:f>
        <x:v>0</x:v>
      </x:c>
      <x:c r="AO787" s="23" t="n">
        <x:f>MAX(0,MIN('Activities'!L787,222)-MAX('Activities'!K787,216))</x:f>
        <x:v>0</x:v>
      </x:c>
      <x:c r="AP787" s="23" t="n">
        <x:f>MAX(0,MIN('Activities'!L787,228)-MAX('Activities'!K787,222))</x:f>
        <x:v>0</x:v>
      </x:c>
      <x:c r="AQ787" s="23" t="n">
        <x:f>MAX(0,MIN('Activities'!L787,234)-MAX('Activities'!K787,228))</x:f>
        <x:v>0</x:v>
      </x:c>
      <x:c r="AR787" s="23" t="n">
        <x:f>MAX(0,MIN('Activities'!L787,240)-MAX('Activities'!K787,234))</x:f>
        <x:v>0</x:v>
      </x:c>
      <x:c r="AS787" s="23" t="n">
        <x:f>MAX(0,MIN('Activities'!L787,246)-MAX('Activities'!K787,240))</x:f>
        <x:v>0</x:v>
      </x:c>
      <x:c r="AT787" s="23" t="n">
        <x:f>MAX(0,MIN('Activities'!L787,252)-MAX('Activities'!K787,246))</x:f>
        <x:v>0</x:v>
      </x:c>
      <x:c r="AU787" s="23" t="n">
        <x:f>MAX(0,MIN('Activities'!L787,258)-MAX('Activities'!K787,252))</x:f>
        <x:v>0</x:v>
      </x:c>
      <x:c r="AV787" s="23" t="n">
        <x:f>MAX(0,MIN('Activities'!L787,264)-MAX('Activities'!K787,258))</x:f>
        <x:v>0</x:v>
      </x:c>
      <x:c r="AW787" s="23" t="n">
        <x:f>MAX(0,MIN('Activities'!L787,270)-MAX('Activities'!K787,264))</x:f>
        <x:v>0</x:v>
      </x:c>
      <x:c r="AX787" s="23" t="n">
        <x:f>MAX(0,MIN('Activities'!L787,276)-MAX('Activities'!K787,270))</x:f>
        <x:v>0</x:v>
      </x:c>
      <x:c r="AY787" s="23" t="n">
        <x:f>MAX(0,MIN('Activities'!L787,282)-MAX('Activities'!K787,276))</x:f>
        <x:v>0</x:v>
      </x:c>
      <x:c r="AZ787" s="23" t="n">
        <x:f>MAX(0,MIN('Activities'!L787,288)-MAX('Activities'!K787,282))</x:f>
        <x:v>0</x:v>
      </x:c>
      <x:c r="BA787" s="23" t="n">
        <x:f>MAX(0,MIN('Activities'!L787,294)-MAX('Activities'!K787,288))</x:f>
        <x:v>0</x:v>
      </x:c>
      <x:c r="BB787" s="23" t="n">
        <x:f>MAX(0,MIN('Activities'!L787,300)-MAX('Activities'!K787,294))</x:f>
        <x:v>0</x:v>
      </x:c>
      <x:c r="BC787" s="23" t="n">
        <x:f>MAX(0,MIN('Activities'!L787,306)-MAX('Activities'!K787,300))</x:f>
        <x:v>0</x:v>
      </x:c>
      <x:c r="BD787" s="23" t="n">
        <x:f>MAX(0,MIN('Activities'!L787,312)-MAX('Activities'!K787,306))</x:f>
        <x:v>0</x:v>
      </x:c>
      <x:c r="BE787" s="23" t="n">
        <x:f>MAX(0,MIN('Activities'!L787,318)-MAX('Activities'!K787,312))</x:f>
        <x:v>0</x:v>
      </x:c>
      <x:c r="BF787" s="23" t="n">
        <x:f>MAX(0,MIN('Activities'!L787,324)-MAX('Activities'!K787,318))</x:f>
        <x:v>0</x:v>
      </x:c>
      <x:c r="BG787" s="23" t="n">
        <x:f>MAX(0,MIN('Activities'!L787,330)-MAX('Activities'!K787,324))</x:f>
        <x:v>0</x:v>
      </x:c>
      <x:c r="BH787" s="23" t="n">
        <x:f>MAX(0,MIN('Activities'!L787,336)-MAX('Activities'!K787,330))</x:f>
        <x:v>0</x:v>
      </x:c>
      <x:c r="BI787" s="23" t="n">
        <x:f>MAX(0,MIN('Activities'!L787,342)-MAX('Activities'!K787,336))</x:f>
        <x:v>0</x:v>
      </x:c>
      <x:c r="BJ787" s="23" t="n">
        <x:f>MAX(0,MIN('Activities'!L787,348)-MAX('Activities'!K787,342))</x:f>
        <x:v>0</x:v>
      </x:c>
      <x:c r="BK787" s="23" t="n">
        <x:f>MAX(0,MIN('Activities'!L787,354)-MAX('Activities'!K787,348))</x:f>
        <x:v>0</x:v>
      </x:c>
      <x:c r="BL787" s="23" t="n">
        <x:f>MAX(0,MIN('Activities'!L787,360)-MAX('Activities'!K787,354))</x:f>
        <x:v>0</x:v>
      </x:c>
      <x:c r="BM787" s="23" t="n">
        <x:f>MAX(0,MIN('Activities'!L787,366)-MAX('Activities'!K787,360))</x:f>
        <x:v>0</x:v>
      </x:c>
      <x:c r="BN787" s="23" t="n">
        <x:f>MAX(0,MIN('Activities'!L787,372)-MAX('Activities'!K787,366))</x:f>
        <x:v>0</x:v>
      </x:c>
      <x:c r="BO787" s="23" t="n">
        <x:f>MAX(0,MIN('Activities'!L787,378)-MAX('Activities'!K787,372))</x:f>
        <x:v>0</x:v>
      </x:c>
      <x:c r="BP787" s="23" t="n">
        <x:f>MAX(0,MIN('Activities'!L787,384)-MAX('Activities'!K787,378))</x:f>
        <x:v>0</x:v>
      </x:c>
      <x:c r="BQ787" s="23" t="n">
        <x:f>MAX(0,MIN('Activities'!L787,390)-MAX('Activities'!K787,384))</x:f>
        <x:v>0</x:v>
      </x:c>
      <x:c r="BR787" s="23" t="n">
        <x:f>MAX(0,MIN('Activities'!L787,396)-MAX('Activities'!K787,390))</x:f>
        <x:v>0</x:v>
      </x:c>
      <x:c r="BS787" s="23" t="n">
        <x:f>MAX(0,MIN('Activities'!L787,402)-MAX('Activities'!K787,396))</x:f>
        <x:v>0</x:v>
      </x:c>
      <x:c r="BT787" s="23" t="n">
        <x:f>MAX(0,MIN('Activities'!L787,408)-MAX('Activities'!K787,402))</x:f>
        <x:v>0</x:v>
      </x:c>
      <x:c r="BU787" s="23" t="n">
        <x:f>MAX(0,MIN('Activities'!L787,414)-MAX('Activities'!K787,408))</x:f>
        <x:v>0</x:v>
      </x:c>
      <x:c r="BV787" s="23" t="n">
        <x:f>MAX(0,MIN('Activities'!L787,420)-MAX('Activities'!K787,414))</x:f>
        <x:v>0</x:v>
      </x:c>
      <x:c r="BW787" s="23" t="n">
        <x:f>MAX(0,MIN('Activities'!L787,426)-MAX('Activities'!K787,420))</x:f>
        <x:v>0</x:v>
      </x:c>
      <x:c r="BX787" s="23" t="n">
        <x:f>MAX(0,MIN('Activities'!L787,432)-MAX('Activities'!K787,426))</x:f>
        <x:v>0</x:v>
      </x:c>
      <x:c r="BY787" s="23" t="n">
        <x:f>MAX(0,MIN('Activities'!L787,438)-MAX('Activities'!K787,432))</x:f>
        <x:v>0</x:v>
      </x:c>
      <x:c r="BZ787" s="23" t="n">
        <x:f>MAX(0,MIN('Activities'!L787,444)-MAX('Activities'!K787,438))</x:f>
        <x:v>0</x:v>
      </x:c>
      <x:c r="CA787" s="23" t="n">
        <x:f>MAX(0,MIN('Activities'!L787,450)-MAX('Activities'!K787,444))</x:f>
        <x:v>0</x:v>
      </x:c>
      <x:c r="CB787" s="23" t="n">
        <x:f>MAX(0,MIN('Activities'!L787,456)-MAX('Activities'!K787,450))</x:f>
        <x:v>0</x:v>
      </x:c>
      <x:c r="CC787" s="23" t="n">
        <x:f>MAX(0,MIN('Activities'!L787,462)-MAX('Activities'!K787,456))</x:f>
        <x:v>1</x:v>
      </x:c>
      <x:c r="CD787" s="23" t="n">
        <x:f>MAX(0,MIN('Activities'!L787,468)-MAX('Activities'!K787,462))</x:f>
        <x:v>5</x:v>
      </x:c>
      <x:c r="CE787" s="23" t="n">
        <x:f>MAX(0,MIN('Activities'!L787,474)-MAX('Activities'!K787,468))</x:f>
        <x:v>0</x:v>
      </x:c>
      <x:c r="CF787" s="23" t="n">
        <x:f>MAX(0,MIN('Activities'!L787,480)-MAX('Activities'!K787,474))</x:f>
        <x:v>0</x:v>
      </x:c>
      <x:c r="CG787" s="23" t="n">
        <x:f>MAX(0,MIN('Activities'!L787,486)-MAX('Activities'!K787,480))</x:f>
        <x:v>0</x:v>
      </x:c>
      <x:c r="CH787" s="23" t="n">
        <x:f>MAX(0,MIN('Activities'!L787,492)-MAX('Activities'!K787,486))</x:f>
        <x:v>0</x:v>
      </x:c>
      <x:c r="CI787" s="23" t="n">
        <x:f>MAX(0,MIN('Activities'!L787,498)-MAX('Activities'!K787,492))</x:f>
        <x:v>0</x:v>
      </x:c>
      <x:c r="CJ787" s="23" t="n">
        <x:f>MAX(0,MIN('Activities'!L787,504)-MAX('Activities'!K787,498))</x:f>
        <x:v>0</x:v>
      </x:c>
      <x:c r="CK787" s="23" t="n">
        <x:f>MAX(0,MIN('Activities'!L787,510)-MAX('Activities'!K787,504))</x:f>
        <x:v>0</x:v>
      </x:c>
      <x:c r="CL787" s="23" t="n">
        <x:f>MAX(0,MIN('Activities'!L787,516)-MAX('Activities'!K787,510))</x:f>
        <x:v>0</x:v>
      </x:c>
      <x:c r="CM787" s="23" t="n">
        <x:f>MAX(0,MIN('Activities'!L787,522)-MAX('Activities'!K787,516))</x:f>
        <x:v>0</x:v>
      </x:c>
      <x:c r="CN787" s="23" t="n">
        <x:f>MAX(0,MIN('Activities'!L787,528)-MAX('Activities'!K787,522))</x:f>
        <x:v>0</x:v>
      </x:c>
      <x:c r="CO787" s="23" t="n">
        <x:f>MAX(0,MIN('Activities'!L787,534)-MAX('Activities'!K787,528))</x:f>
        <x:v>0</x:v>
      </x:c>
      <x:c r="CP787" s="23" t="n">
        <x:f>MAX(0,MIN('Activities'!L787,540)-MAX('Activities'!K787,534))</x:f>
        <x:v>0</x:v>
      </x:c>
      <x:c r="CQ787" s="23" t="n">
        <x:f>MAX(0,MIN('Activities'!L787,546)-MAX('Activities'!K787,540))</x:f>
        <x:v>0</x:v>
      </x:c>
      <x:c r="CR787" s="23" t="n">
        <x:f>MAX(0,MIN('Activities'!L787,552)-MAX('Activities'!K787,546))</x:f>
        <x:v>0</x:v>
      </x:c>
      <x:c r="CS787" s="23" t="n">
        <x:f>MAX(0,MIN('Activities'!L787,558)-MAX('Activities'!K787,552))</x:f>
        <x:v>0</x:v>
      </x:c>
      <x:c r="CT787" s="23" t="n">
        <x:f>MAX(0,MIN('Activities'!L787,564)-MAX('Activities'!K787,558))</x:f>
        <x:v>0</x:v>
      </x:c>
      <x:c r="CU787" s="23" t="n">
        <x:f>MAX(0,MIN('Activities'!L787,570)-MAX('Activities'!K787,564))</x:f>
        <x:v>0</x:v>
      </x:c>
      <x:c r="CV787" s="23" t="n">
        <x:f>MAX(0,MIN('Activities'!L787,576)-MAX('Activities'!K787,570))</x:f>
        <x:v>0</x:v>
      </x:c>
      <x:c r="CW787" s="23" t="n">
        <x:f>MAX(0,MIN('Activities'!L787,582)-MAX('Activities'!K787,576))</x:f>
        <x:v>0</x:v>
      </x:c>
      <x:c r="CX787" s="23" t="n">
        <x:f>MAX(0,MIN('Activities'!L787,588)-MAX('Activities'!K787,582))</x:f>
        <x:v>0</x:v>
      </x:c>
      <x:c r="CY787" s="23" t="n">
        <x:f>MAX(0,MIN('Activities'!L787,594)-MAX('Activities'!K787,588))</x:f>
        <x:v>0</x:v>
      </x:c>
      <x:c r="CZ787" s="23" t="n">
        <x:f>MAX(0,MIN('Activities'!L787,600)-MAX('Activities'!K787,594))</x:f>
        <x:v>0</x:v>
      </x:c>
      <x:c r="DA787" s="23" t="n">
        <x:f>MAX(0,MIN('Activities'!L787,606)-MAX('Activities'!K787,600))</x:f>
        <x:v>0</x:v>
      </x:c>
      <x:c r="DB787" s="23" t="n">
        <x:f>MAX(0,MIN('Activities'!L787,612)-MAX('Activities'!K787,606))</x:f>
        <x:v>0</x:v>
      </x:c>
      <x:c r="DC787" s="23" t="n">
        <x:f>MAX(0,MIN('Activities'!L787,618)-MAX('Activities'!K787,612))</x:f>
        <x:v>0</x:v>
      </x:c>
      <x:c r="DD787" s="23" t="n">
        <x:f>MAX(0,MIN('Activities'!L787,624)-MAX('Activities'!K787,618))</x:f>
        <x:v>0</x:v>
      </x:c>
      <x:c r="DE787" s="23" t="n">
        <x:f>MAX(0,MIN('Activities'!L787,630)-MAX('Activities'!K787,624))</x:f>
        <x:v>0</x:v>
      </x:c>
      <x:c r="DF787" s="23" t="n">
        <x:f>MAX(0,MIN('Activities'!L787,636)-MAX('Activities'!K787,630))</x:f>
        <x:v>0</x:v>
      </x:c>
    </x:row>
    <x:row r="788" ht="23" customHeight="1">
      <x:c r="A788" s="6" t="str">
        <x:v>T6-L08-A</x:v>
      </x:c>
      <x:c r="B788" s="6" t="str">
        <x:v>T6</x:v>
      </x:c>
      <x:c r="C788" s="6" t="str">
        <x:v>Paint and final decorations</x:v>
      </x:c>
      <x:c r="D788" s="6" t="str">
        <x:v>Finishes</x:v>
      </x:c>
      <x:c r="E788" s="22" t="n">
        <x:f>MAX(0,MIN('Activities'!L788,6)-MAX('Activities'!K788,0))</x:f>
        <x:v>0</x:v>
      </x:c>
      <x:c r="F788" s="22" t="n">
        <x:f>MAX(0,MIN('Activities'!L788,12)-MAX('Activities'!K788,6))</x:f>
        <x:v>0</x:v>
      </x:c>
      <x:c r="G788" s="22" t="n">
        <x:f>MAX(0,MIN('Activities'!L788,18)-MAX('Activities'!K788,12))</x:f>
        <x:v>0</x:v>
      </x:c>
      <x:c r="H788" s="22" t="n">
        <x:f>MAX(0,MIN('Activities'!L788,24)-MAX('Activities'!K788,18))</x:f>
        <x:v>0</x:v>
      </x:c>
      <x:c r="I788" s="22" t="n">
        <x:f>MAX(0,MIN('Activities'!L788,30)-MAX('Activities'!K788,24))</x:f>
        <x:v>0</x:v>
      </x:c>
      <x:c r="J788" s="22" t="n">
        <x:f>MAX(0,MIN('Activities'!L788,36)-MAX('Activities'!K788,30))</x:f>
        <x:v>0</x:v>
      </x:c>
      <x:c r="K788" s="22" t="n">
        <x:f>MAX(0,MIN('Activities'!L788,42)-MAX('Activities'!K788,36))</x:f>
        <x:v>0</x:v>
      </x:c>
      <x:c r="L788" s="22" t="n">
        <x:f>MAX(0,MIN('Activities'!L788,48)-MAX('Activities'!K788,42))</x:f>
        <x:v>0</x:v>
      </x:c>
      <x:c r="M788" s="22" t="n">
        <x:f>MAX(0,MIN('Activities'!L788,54)-MAX('Activities'!K788,48))</x:f>
        <x:v>0</x:v>
      </x:c>
      <x:c r="N788" s="22" t="n">
        <x:f>MAX(0,MIN('Activities'!L788,60)-MAX('Activities'!K788,54))</x:f>
        <x:v>0</x:v>
      </x:c>
      <x:c r="O788" s="22" t="n">
        <x:f>MAX(0,MIN('Activities'!L788,66)-MAX('Activities'!K788,60))</x:f>
        <x:v>0</x:v>
      </x:c>
      <x:c r="P788" s="22" t="n">
        <x:f>MAX(0,MIN('Activities'!L788,72)-MAX('Activities'!K788,66))</x:f>
        <x:v>0</x:v>
      </x:c>
      <x:c r="Q788" s="22" t="n">
        <x:f>MAX(0,MIN('Activities'!L788,78)-MAX('Activities'!K788,72))</x:f>
        <x:v>0</x:v>
      </x:c>
      <x:c r="R788" s="22" t="n">
        <x:f>MAX(0,MIN('Activities'!L788,84)-MAX('Activities'!K788,78))</x:f>
        <x:v>0</x:v>
      </x:c>
      <x:c r="S788" s="22" t="n">
        <x:f>MAX(0,MIN('Activities'!L788,90)-MAX('Activities'!K788,84))</x:f>
        <x:v>0</x:v>
      </x:c>
      <x:c r="T788" s="22" t="n">
        <x:f>MAX(0,MIN('Activities'!L788,96)-MAX('Activities'!K788,90))</x:f>
        <x:v>0</x:v>
      </x:c>
      <x:c r="U788" s="22" t="n">
        <x:f>MAX(0,MIN('Activities'!L788,102)-MAX('Activities'!K788,96))</x:f>
        <x:v>0</x:v>
      </x:c>
      <x:c r="V788" s="22" t="n">
        <x:f>MAX(0,MIN('Activities'!L788,108)-MAX('Activities'!K788,102))</x:f>
        <x:v>0</x:v>
      </x:c>
      <x:c r="W788" s="22" t="n">
        <x:f>MAX(0,MIN('Activities'!L788,114)-MAX('Activities'!K788,108))</x:f>
        <x:v>0</x:v>
      </x:c>
      <x:c r="X788" s="22" t="n">
        <x:f>MAX(0,MIN('Activities'!L788,120)-MAX('Activities'!K788,114))</x:f>
        <x:v>0</x:v>
      </x:c>
      <x:c r="Y788" s="22" t="n">
        <x:f>MAX(0,MIN('Activities'!L788,126)-MAX('Activities'!K788,120))</x:f>
        <x:v>0</x:v>
      </x:c>
      <x:c r="Z788" s="22" t="n">
        <x:f>MAX(0,MIN('Activities'!L788,132)-MAX('Activities'!K788,126))</x:f>
        <x:v>0</x:v>
      </x:c>
      <x:c r="AA788" s="22" t="n">
        <x:f>MAX(0,MIN('Activities'!L788,138)-MAX('Activities'!K788,132))</x:f>
        <x:v>0</x:v>
      </x:c>
      <x:c r="AB788" s="22" t="n">
        <x:f>MAX(0,MIN('Activities'!L788,144)-MAX('Activities'!K788,138))</x:f>
        <x:v>0</x:v>
      </x:c>
      <x:c r="AC788" s="22" t="n">
        <x:f>MAX(0,MIN('Activities'!L788,150)-MAX('Activities'!K788,144))</x:f>
        <x:v>0</x:v>
      </x:c>
      <x:c r="AD788" s="22" t="n">
        <x:f>MAX(0,MIN('Activities'!L788,156)-MAX('Activities'!K788,150))</x:f>
        <x:v>0</x:v>
      </x:c>
      <x:c r="AE788" s="22" t="n">
        <x:f>MAX(0,MIN('Activities'!L788,162)-MAX('Activities'!K788,156))</x:f>
        <x:v>0</x:v>
      </x:c>
      <x:c r="AF788" s="22" t="n">
        <x:f>MAX(0,MIN('Activities'!L788,168)-MAX('Activities'!K788,162))</x:f>
        <x:v>0</x:v>
      </x:c>
      <x:c r="AG788" s="22" t="n">
        <x:f>MAX(0,MIN('Activities'!L788,174)-MAX('Activities'!K788,168))</x:f>
        <x:v>0</x:v>
      </x:c>
      <x:c r="AH788" s="22" t="n">
        <x:f>MAX(0,MIN('Activities'!L788,180)-MAX('Activities'!K788,174))</x:f>
        <x:v>0</x:v>
      </x:c>
      <x:c r="AI788" s="22" t="n">
        <x:f>MAX(0,MIN('Activities'!L788,186)-MAX('Activities'!K788,180))</x:f>
        <x:v>0</x:v>
      </x:c>
      <x:c r="AJ788" s="22" t="n">
        <x:f>MAX(0,MIN('Activities'!L788,192)-MAX('Activities'!K788,186))</x:f>
        <x:v>0</x:v>
      </x:c>
      <x:c r="AK788" s="22" t="n">
        <x:f>MAX(0,MIN('Activities'!L788,198)-MAX('Activities'!K788,192))</x:f>
        <x:v>0</x:v>
      </x:c>
      <x:c r="AL788" s="22" t="n">
        <x:f>MAX(0,MIN('Activities'!L788,204)-MAX('Activities'!K788,198))</x:f>
        <x:v>0</x:v>
      </x:c>
      <x:c r="AM788" s="22" t="n">
        <x:f>MAX(0,MIN('Activities'!L788,210)-MAX('Activities'!K788,204))</x:f>
        <x:v>0</x:v>
      </x:c>
      <x:c r="AN788" s="22" t="n">
        <x:f>MAX(0,MIN('Activities'!L788,216)-MAX('Activities'!K788,210))</x:f>
        <x:v>0</x:v>
      </x:c>
      <x:c r="AO788" s="22" t="n">
        <x:f>MAX(0,MIN('Activities'!L788,222)-MAX('Activities'!K788,216))</x:f>
        <x:v>0</x:v>
      </x:c>
      <x:c r="AP788" s="22" t="n">
        <x:f>MAX(0,MIN('Activities'!L788,228)-MAX('Activities'!K788,222))</x:f>
        <x:v>0</x:v>
      </x:c>
      <x:c r="AQ788" s="22" t="n">
        <x:f>MAX(0,MIN('Activities'!L788,234)-MAX('Activities'!K788,228))</x:f>
        <x:v>0</x:v>
      </x:c>
      <x:c r="AR788" s="22" t="n">
        <x:f>MAX(0,MIN('Activities'!L788,240)-MAX('Activities'!K788,234))</x:f>
        <x:v>0</x:v>
      </x:c>
      <x:c r="AS788" s="22" t="n">
        <x:f>MAX(0,MIN('Activities'!L788,246)-MAX('Activities'!K788,240))</x:f>
        <x:v>0</x:v>
      </x:c>
      <x:c r="AT788" s="22" t="n">
        <x:f>MAX(0,MIN('Activities'!L788,252)-MAX('Activities'!K788,246))</x:f>
        <x:v>0</x:v>
      </x:c>
      <x:c r="AU788" s="22" t="n">
        <x:f>MAX(0,MIN('Activities'!L788,258)-MAX('Activities'!K788,252))</x:f>
        <x:v>0</x:v>
      </x:c>
      <x:c r="AV788" s="22" t="n">
        <x:f>MAX(0,MIN('Activities'!L788,264)-MAX('Activities'!K788,258))</x:f>
        <x:v>0</x:v>
      </x:c>
      <x:c r="AW788" s="22" t="n">
        <x:f>MAX(0,MIN('Activities'!L788,270)-MAX('Activities'!K788,264))</x:f>
        <x:v>0</x:v>
      </x:c>
      <x:c r="AX788" s="22" t="n">
        <x:f>MAX(0,MIN('Activities'!L788,276)-MAX('Activities'!K788,270))</x:f>
        <x:v>0</x:v>
      </x:c>
      <x:c r="AY788" s="22" t="n">
        <x:f>MAX(0,MIN('Activities'!L788,282)-MAX('Activities'!K788,276))</x:f>
        <x:v>0</x:v>
      </x:c>
      <x:c r="AZ788" s="22" t="n">
        <x:f>MAX(0,MIN('Activities'!L788,288)-MAX('Activities'!K788,282))</x:f>
        <x:v>0</x:v>
      </x:c>
      <x:c r="BA788" s="22" t="n">
        <x:f>MAX(0,MIN('Activities'!L788,294)-MAX('Activities'!K788,288))</x:f>
        <x:v>0</x:v>
      </x:c>
      <x:c r="BB788" s="22" t="n">
        <x:f>MAX(0,MIN('Activities'!L788,300)-MAX('Activities'!K788,294))</x:f>
        <x:v>0</x:v>
      </x:c>
      <x:c r="BC788" s="22" t="n">
        <x:f>MAX(0,MIN('Activities'!L788,306)-MAX('Activities'!K788,300))</x:f>
        <x:v>0</x:v>
      </x:c>
      <x:c r="BD788" s="22" t="n">
        <x:f>MAX(0,MIN('Activities'!L788,312)-MAX('Activities'!K788,306))</x:f>
        <x:v>0</x:v>
      </x:c>
      <x:c r="BE788" s="22" t="n">
        <x:f>MAX(0,MIN('Activities'!L788,318)-MAX('Activities'!K788,312))</x:f>
        <x:v>0</x:v>
      </x:c>
      <x:c r="BF788" s="22" t="n">
        <x:f>MAX(0,MIN('Activities'!L788,324)-MAX('Activities'!K788,318))</x:f>
        <x:v>0</x:v>
      </x:c>
      <x:c r="BG788" s="22" t="n">
        <x:f>MAX(0,MIN('Activities'!L788,330)-MAX('Activities'!K788,324))</x:f>
        <x:v>0</x:v>
      </x:c>
      <x:c r="BH788" s="22" t="n">
        <x:f>MAX(0,MIN('Activities'!L788,336)-MAX('Activities'!K788,330))</x:f>
        <x:v>0</x:v>
      </x:c>
      <x:c r="BI788" s="22" t="n">
        <x:f>MAX(0,MIN('Activities'!L788,342)-MAX('Activities'!K788,336))</x:f>
        <x:v>0</x:v>
      </x:c>
      <x:c r="BJ788" s="22" t="n">
        <x:f>MAX(0,MIN('Activities'!L788,348)-MAX('Activities'!K788,342))</x:f>
        <x:v>0</x:v>
      </x:c>
      <x:c r="BK788" s="22" t="n">
        <x:f>MAX(0,MIN('Activities'!L788,354)-MAX('Activities'!K788,348))</x:f>
        <x:v>0</x:v>
      </x:c>
      <x:c r="BL788" s="22" t="n">
        <x:f>MAX(0,MIN('Activities'!L788,360)-MAX('Activities'!K788,354))</x:f>
        <x:v>0</x:v>
      </x:c>
      <x:c r="BM788" s="22" t="n">
        <x:f>MAX(0,MIN('Activities'!L788,366)-MAX('Activities'!K788,360))</x:f>
        <x:v>0</x:v>
      </x:c>
      <x:c r="BN788" s="22" t="n">
        <x:f>MAX(0,MIN('Activities'!L788,372)-MAX('Activities'!K788,366))</x:f>
        <x:v>0</x:v>
      </x:c>
      <x:c r="BO788" s="22" t="n">
        <x:f>MAX(0,MIN('Activities'!L788,378)-MAX('Activities'!K788,372))</x:f>
        <x:v>0</x:v>
      </x:c>
      <x:c r="BP788" s="22" t="n">
        <x:f>MAX(0,MIN('Activities'!L788,384)-MAX('Activities'!K788,378))</x:f>
        <x:v>0</x:v>
      </x:c>
      <x:c r="BQ788" s="22" t="n">
        <x:f>MAX(0,MIN('Activities'!L788,390)-MAX('Activities'!K788,384))</x:f>
        <x:v>0</x:v>
      </x:c>
      <x:c r="BR788" s="22" t="n">
        <x:f>MAX(0,MIN('Activities'!L788,396)-MAX('Activities'!K788,390))</x:f>
        <x:v>0</x:v>
      </x:c>
      <x:c r="BS788" s="22" t="n">
        <x:f>MAX(0,MIN('Activities'!L788,402)-MAX('Activities'!K788,396))</x:f>
        <x:v>0</x:v>
      </x:c>
      <x:c r="BT788" s="22" t="n">
        <x:f>MAX(0,MIN('Activities'!L788,408)-MAX('Activities'!K788,402))</x:f>
        <x:v>0</x:v>
      </x:c>
      <x:c r="BU788" s="22" t="n">
        <x:f>MAX(0,MIN('Activities'!L788,414)-MAX('Activities'!K788,408))</x:f>
        <x:v>0</x:v>
      </x:c>
      <x:c r="BV788" s="22" t="n">
        <x:f>MAX(0,MIN('Activities'!L788,420)-MAX('Activities'!K788,414))</x:f>
        <x:v>0</x:v>
      </x:c>
      <x:c r="BW788" s="22" t="n">
        <x:f>MAX(0,MIN('Activities'!L788,426)-MAX('Activities'!K788,420))</x:f>
        <x:v>0</x:v>
      </x:c>
      <x:c r="BX788" s="22" t="n">
        <x:f>MAX(0,MIN('Activities'!L788,432)-MAX('Activities'!K788,426))</x:f>
        <x:v>0</x:v>
      </x:c>
      <x:c r="BY788" s="22" t="n">
        <x:f>MAX(0,MIN('Activities'!L788,438)-MAX('Activities'!K788,432))</x:f>
        <x:v>0</x:v>
      </x:c>
      <x:c r="BZ788" s="22" t="n">
        <x:f>MAX(0,MIN('Activities'!L788,444)-MAX('Activities'!K788,438))</x:f>
        <x:v>0</x:v>
      </x:c>
      <x:c r="CA788" s="22" t="n">
        <x:f>MAX(0,MIN('Activities'!L788,450)-MAX('Activities'!K788,444))</x:f>
        <x:v>0</x:v>
      </x:c>
      <x:c r="CB788" s="22" t="n">
        <x:f>MAX(0,MIN('Activities'!L788,456)-MAX('Activities'!K788,450))</x:f>
        <x:v>0</x:v>
      </x:c>
      <x:c r="CC788" s="22" t="n">
        <x:f>MAX(0,MIN('Activities'!L788,462)-MAX('Activities'!K788,456))</x:f>
        <x:v>0</x:v>
      </x:c>
      <x:c r="CD788" s="22" t="n">
        <x:f>MAX(0,MIN('Activities'!L788,468)-MAX('Activities'!K788,462))</x:f>
        <x:v>0</x:v>
      </x:c>
      <x:c r="CE788" s="22" t="n">
        <x:f>MAX(0,MIN('Activities'!L788,474)-MAX('Activities'!K788,468))</x:f>
        <x:v>5</x:v>
      </x:c>
      <x:c r="CF788" s="22" t="n">
        <x:f>MAX(0,MIN('Activities'!L788,480)-MAX('Activities'!K788,474))</x:f>
        <x:v>0</x:v>
      </x:c>
      <x:c r="CG788" s="22" t="n">
        <x:f>MAX(0,MIN('Activities'!L788,486)-MAX('Activities'!K788,480))</x:f>
        <x:v>0</x:v>
      </x:c>
      <x:c r="CH788" s="22" t="n">
        <x:f>MAX(0,MIN('Activities'!L788,492)-MAX('Activities'!K788,486))</x:f>
        <x:v>0</x:v>
      </x:c>
      <x:c r="CI788" s="22" t="n">
        <x:f>MAX(0,MIN('Activities'!L788,498)-MAX('Activities'!K788,492))</x:f>
        <x:v>0</x:v>
      </x:c>
      <x:c r="CJ788" s="22" t="n">
        <x:f>MAX(0,MIN('Activities'!L788,504)-MAX('Activities'!K788,498))</x:f>
        <x:v>0</x:v>
      </x:c>
      <x:c r="CK788" s="22" t="n">
        <x:f>MAX(0,MIN('Activities'!L788,510)-MAX('Activities'!K788,504))</x:f>
        <x:v>0</x:v>
      </x:c>
      <x:c r="CL788" s="22" t="n">
        <x:f>MAX(0,MIN('Activities'!L788,516)-MAX('Activities'!K788,510))</x:f>
        <x:v>0</x:v>
      </x:c>
      <x:c r="CM788" s="22" t="n">
        <x:f>MAX(0,MIN('Activities'!L788,522)-MAX('Activities'!K788,516))</x:f>
        <x:v>0</x:v>
      </x:c>
      <x:c r="CN788" s="22" t="n">
        <x:f>MAX(0,MIN('Activities'!L788,528)-MAX('Activities'!K788,522))</x:f>
        <x:v>0</x:v>
      </x:c>
      <x:c r="CO788" s="22" t="n">
        <x:f>MAX(0,MIN('Activities'!L788,534)-MAX('Activities'!K788,528))</x:f>
        <x:v>0</x:v>
      </x:c>
      <x:c r="CP788" s="22" t="n">
        <x:f>MAX(0,MIN('Activities'!L788,540)-MAX('Activities'!K788,534))</x:f>
        <x:v>0</x:v>
      </x:c>
      <x:c r="CQ788" s="22" t="n">
        <x:f>MAX(0,MIN('Activities'!L788,546)-MAX('Activities'!K788,540))</x:f>
        <x:v>0</x:v>
      </x:c>
      <x:c r="CR788" s="22" t="n">
        <x:f>MAX(0,MIN('Activities'!L788,552)-MAX('Activities'!K788,546))</x:f>
        <x:v>0</x:v>
      </x:c>
      <x:c r="CS788" s="22" t="n">
        <x:f>MAX(0,MIN('Activities'!L788,558)-MAX('Activities'!K788,552))</x:f>
        <x:v>0</x:v>
      </x:c>
      <x:c r="CT788" s="22" t="n">
        <x:f>MAX(0,MIN('Activities'!L788,564)-MAX('Activities'!K788,558))</x:f>
        <x:v>0</x:v>
      </x:c>
      <x:c r="CU788" s="22" t="n">
        <x:f>MAX(0,MIN('Activities'!L788,570)-MAX('Activities'!K788,564))</x:f>
        <x:v>0</x:v>
      </x:c>
      <x:c r="CV788" s="22" t="n">
        <x:f>MAX(0,MIN('Activities'!L788,576)-MAX('Activities'!K788,570))</x:f>
        <x:v>0</x:v>
      </x:c>
      <x:c r="CW788" s="22" t="n">
        <x:f>MAX(0,MIN('Activities'!L788,582)-MAX('Activities'!K788,576))</x:f>
        <x:v>0</x:v>
      </x:c>
      <x:c r="CX788" s="22" t="n">
        <x:f>MAX(0,MIN('Activities'!L788,588)-MAX('Activities'!K788,582))</x:f>
        <x:v>0</x:v>
      </x:c>
      <x:c r="CY788" s="22" t="n">
        <x:f>MAX(0,MIN('Activities'!L788,594)-MAX('Activities'!K788,588))</x:f>
        <x:v>0</x:v>
      </x:c>
      <x:c r="CZ788" s="22" t="n">
        <x:f>MAX(0,MIN('Activities'!L788,600)-MAX('Activities'!K788,594))</x:f>
        <x:v>0</x:v>
      </x:c>
      <x:c r="DA788" s="22" t="n">
        <x:f>MAX(0,MIN('Activities'!L788,606)-MAX('Activities'!K788,600))</x:f>
        <x:v>0</x:v>
      </x:c>
      <x:c r="DB788" s="22" t="n">
        <x:f>MAX(0,MIN('Activities'!L788,612)-MAX('Activities'!K788,606))</x:f>
        <x:v>0</x:v>
      </x:c>
      <x:c r="DC788" s="22" t="n">
        <x:f>MAX(0,MIN('Activities'!L788,618)-MAX('Activities'!K788,612))</x:f>
        <x:v>0</x:v>
      </x:c>
      <x:c r="DD788" s="22" t="n">
        <x:f>MAX(0,MIN('Activities'!L788,624)-MAX('Activities'!K788,618))</x:f>
        <x:v>0</x:v>
      </x:c>
      <x:c r="DE788" s="22" t="n">
        <x:f>MAX(0,MIN('Activities'!L788,630)-MAX('Activities'!K788,624))</x:f>
        <x:v>0</x:v>
      </x:c>
      <x:c r="DF788" s="22" t="n">
        <x:f>MAX(0,MIN('Activities'!L788,636)-MAX('Activities'!K788,630))</x:f>
        <x:v>0</x:v>
      </x:c>
    </x:row>
    <x:row r="789" ht="23" customHeight="1">
      <x:c r="A789" s="1" t="str">
        <x:v>T6-L08-D</x:v>
      </x:c>
      <x:c r="B789" s="1" t="str">
        <x:v>T6</x:v>
      </x:c>
      <x:c r="C789" s="1" t="str">
        <x:v>Door sets and ironmongery</x:v>
      </x:c>
      <x:c r="D789" s="1" t="str">
        <x:v>Finishes</x:v>
      </x:c>
      <x:c r="E789" s="23" t="n">
        <x:f>MAX(0,MIN('Activities'!L789,6)-MAX('Activities'!K789,0))</x:f>
        <x:v>0</x:v>
      </x:c>
      <x:c r="F789" s="23" t="n">
        <x:f>MAX(0,MIN('Activities'!L789,12)-MAX('Activities'!K789,6))</x:f>
        <x:v>0</x:v>
      </x:c>
      <x:c r="G789" s="23" t="n">
        <x:f>MAX(0,MIN('Activities'!L789,18)-MAX('Activities'!K789,12))</x:f>
        <x:v>0</x:v>
      </x:c>
      <x:c r="H789" s="23" t="n">
        <x:f>MAX(0,MIN('Activities'!L789,24)-MAX('Activities'!K789,18))</x:f>
        <x:v>0</x:v>
      </x:c>
      <x:c r="I789" s="23" t="n">
        <x:f>MAX(0,MIN('Activities'!L789,30)-MAX('Activities'!K789,24))</x:f>
        <x:v>0</x:v>
      </x:c>
      <x:c r="J789" s="23" t="n">
        <x:f>MAX(0,MIN('Activities'!L789,36)-MAX('Activities'!K789,30))</x:f>
        <x:v>0</x:v>
      </x:c>
      <x:c r="K789" s="23" t="n">
        <x:f>MAX(0,MIN('Activities'!L789,42)-MAX('Activities'!K789,36))</x:f>
        <x:v>0</x:v>
      </x:c>
      <x:c r="L789" s="23" t="n">
        <x:f>MAX(0,MIN('Activities'!L789,48)-MAX('Activities'!K789,42))</x:f>
        <x:v>0</x:v>
      </x:c>
      <x:c r="M789" s="23" t="n">
        <x:f>MAX(0,MIN('Activities'!L789,54)-MAX('Activities'!K789,48))</x:f>
        <x:v>0</x:v>
      </x:c>
      <x:c r="N789" s="23" t="n">
        <x:f>MAX(0,MIN('Activities'!L789,60)-MAX('Activities'!K789,54))</x:f>
        <x:v>0</x:v>
      </x:c>
      <x:c r="O789" s="23" t="n">
        <x:f>MAX(0,MIN('Activities'!L789,66)-MAX('Activities'!K789,60))</x:f>
        <x:v>0</x:v>
      </x:c>
      <x:c r="P789" s="23" t="n">
        <x:f>MAX(0,MIN('Activities'!L789,72)-MAX('Activities'!K789,66))</x:f>
        <x:v>0</x:v>
      </x:c>
      <x:c r="Q789" s="23" t="n">
        <x:f>MAX(0,MIN('Activities'!L789,78)-MAX('Activities'!K789,72))</x:f>
        <x:v>0</x:v>
      </x:c>
      <x:c r="R789" s="23" t="n">
        <x:f>MAX(0,MIN('Activities'!L789,84)-MAX('Activities'!K789,78))</x:f>
        <x:v>0</x:v>
      </x:c>
      <x:c r="S789" s="23" t="n">
        <x:f>MAX(0,MIN('Activities'!L789,90)-MAX('Activities'!K789,84))</x:f>
        <x:v>0</x:v>
      </x:c>
      <x:c r="T789" s="23" t="n">
        <x:f>MAX(0,MIN('Activities'!L789,96)-MAX('Activities'!K789,90))</x:f>
        <x:v>0</x:v>
      </x:c>
      <x:c r="U789" s="23" t="n">
        <x:f>MAX(0,MIN('Activities'!L789,102)-MAX('Activities'!K789,96))</x:f>
        <x:v>0</x:v>
      </x:c>
      <x:c r="V789" s="23" t="n">
        <x:f>MAX(0,MIN('Activities'!L789,108)-MAX('Activities'!K789,102))</x:f>
        <x:v>0</x:v>
      </x:c>
      <x:c r="W789" s="23" t="n">
        <x:f>MAX(0,MIN('Activities'!L789,114)-MAX('Activities'!K789,108))</x:f>
        <x:v>0</x:v>
      </x:c>
      <x:c r="X789" s="23" t="n">
        <x:f>MAX(0,MIN('Activities'!L789,120)-MAX('Activities'!K789,114))</x:f>
        <x:v>0</x:v>
      </x:c>
      <x:c r="Y789" s="23" t="n">
        <x:f>MAX(0,MIN('Activities'!L789,126)-MAX('Activities'!K789,120))</x:f>
        <x:v>0</x:v>
      </x:c>
      <x:c r="Z789" s="23" t="n">
        <x:f>MAX(0,MIN('Activities'!L789,132)-MAX('Activities'!K789,126))</x:f>
        <x:v>0</x:v>
      </x:c>
      <x:c r="AA789" s="23" t="n">
        <x:f>MAX(0,MIN('Activities'!L789,138)-MAX('Activities'!K789,132))</x:f>
        <x:v>0</x:v>
      </x:c>
      <x:c r="AB789" s="23" t="n">
        <x:f>MAX(0,MIN('Activities'!L789,144)-MAX('Activities'!K789,138))</x:f>
        <x:v>0</x:v>
      </x:c>
      <x:c r="AC789" s="23" t="n">
        <x:f>MAX(0,MIN('Activities'!L789,150)-MAX('Activities'!K789,144))</x:f>
        <x:v>0</x:v>
      </x:c>
      <x:c r="AD789" s="23" t="n">
        <x:f>MAX(0,MIN('Activities'!L789,156)-MAX('Activities'!K789,150))</x:f>
        <x:v>0</x:v>
      </x:c>
      <x:c r="AE789" s="23" t="n">
        <x:f>MAX(0,MIN('Activities'!L789,162)-MAX('Activities'!K789,156))</x:f>
        <x:v>0</x:v>
      </x:c>
      <x:c r="AF789" s="23" t="n">
        <x:f>MAX(0,MIN('Activities'!L789,168)-MAX('Activities'!K789,162))</x:f>
        <x:v>0</x:v>
      </x:c>
      <x:c r="AG789" s="23" t="n">
        <x:f>MAX(0,MIN('Activities'!L789,174)-MAX('Activities'!K789,168))</x:f>
        <x:v>0</x:v>
      </x:c>
      <x:c r="AH789" s="23" t="n">
        <x:f>MAX(0,MIN('Activities'!L789,180)-MAX('Activities'!K789,174))</x:f>
        <x:v>0</x:v>
      </x:c>
      <x:c r="AI789" s="23" t="n">
        <x:f>MAX(0,MIN('Activities'!L789,186)-MAX('Activities'!K789,180))</x:f>
        <x:v>0</x:v>
      </x:c>
      <x:c r="AJ789" s="23" t="n">
        <x:f>MAX(0,MIN('Activities'!L789,192)-MAX('Activities'!K789,186))</x:f>
        <x:v>0</x:v>
      </x:c>
      <x:c r="AK789" s="23" t="n">
        <x:f>MAX(0,MIN('Activities'!L789,198)-MAX('Activities'!K789,192))</x:f>
        <x:v>0</x:v>
      </x:c>
      <x:c r="AL789" s="23" t="n">
        <x:f>MAX(0,MIN('Activities'!L789,204)-MAX('Activities'!K789,198))</x:f>
        <x:v>0</x:v>
      </x:c>
      <x:c r="AM789" s="23" t="n">
        <x:f>MAX(0,MIN('Activities'!L789,210)-MAX('Activities'!K789,204))</x:f>
        <x:v>0</x:v>
      </x:c>
      <x:c r="AN789" s="23" t="n">
        <x:f>MAX(0,MIN('Activities'!L789,216)-MAX('Activities'!K789,210))</x:f>
        <x:v>0</x:v>
      </x:c>
      <x:c r="AO789" s="23" t="n">
        <x:f>MAX(0,MIN('Activities'!L789,222)-MAX('Activities'!K789,216))</x:f>
        <x:v>0</x:v>
      </x:c>
      <x:c r="AP789" s="23" t="n">
        <x:f>MAX(0,MIN('Activities'!L789,228)-MAX('Activities'!K789,222))</x:f>
        <x:v>0</x:v>
      </x:c>
      <x:c r="AQ789" s="23" t="n">
        <x:f>MAX(0,MIN('Activities'!L789,234)-MAX('Activities'!K789,228))</x:f>
        <x:v>0</x:v>
      </x:c>
      <x:c r="AR789" s="23" t="n">
        <x:f>MAX(0,MIN('Activities'!L789,240)-MAX('Activities'!K789,234))</x:f>
        <x:v>0</x:v>
      </x:c>
      <x:c r="AS789" s="23" t="n">
        <x:f>MAX(0,MIN('Activities'!L789,246)-MAX('Activities'!K789,240))</x:f>
        <x:v>0</x:v>
      </x:c>
      <x:c r="AT789" s="23" t="n">
        <x:f>MAX(0,MIN('Activities'!L789,252)-MAX('Activities'!K789,246))</x:f>
        <x:v>0</x:v>
      </x:c>
      <x:c r="AU789" s="23" t="n">
        <x:f>MAX(0,MIN('Activities'!L789,258)-MAX('Activities'!K789,252))</x:f>
        <x:v>0</x:v>
      </x:c>
      <x:c r="AV789" s="23" t="n">
        <x:f>MAX(0,MIN('Activities'!L789,264)-MAX('Activities'!K789,258))</x:f>
        <x:v>0</x:v>
      </x:c>
      <x:c r="AW789" s="23" t="n">
        <x:f>MAX(0,MIN('Activities'!L789,270)-MAX('Activities'!K789,264))</x:f>
        <x:v>0</x:v>
      </x:c>
      <x:c r="AX789" s="23" t="n">
        <x:f>MAX(0,MIN('Activities'!L789,276)-MAX('Activities'!K789,270))</x:f>
        <x:v>0</x:v>
      </x:c>
      <x:c r="AY789" s="23" t="n">
        <x:f>MAX(0,MIN('Activities'!L789,282)-MAX('Activities'!K789,276))</x:f>
        <x:v>0</x:v>
      </x:c>
      <x:c r="AZ789" s="23" t="n">
        <x:f>MAX(0,MIN('Activities'!L789,288)-MAX('Activities'!K789,282))</x:f>
        <x:v>0</x:v>
      </x:c>
      <x:c r="BA789" s="23" t="n">
        <x:f>MAX(0,MIN('Activities'!L789,294)-MAX('Activities'!K789,288))</x:f>
        <x:v>0</x:v>
      </x:c>
      <x:c r="BB789" s="23" t="n">
        <x:f>MAX(0,MIN('Activities'!L789,300)-MAX('Activities'!K789,294))</x:f>
        <x:v>0</x:v>
      </x:c>
      <x:c r="BC789" s="23" t="n">
        <x:f>MAX(0,MIN('Activities'!L789,306)-MAX('Activities'!K789,300))</x:f>
        <x:v>0</x:v>
      </x:c>
      <x:c r="BD789" s="23" t="n">
        <x:f>MAX(0,MIN('Activities'!L789,312)-MAX('Activities'!K789,306))</x:f>
        <x:v>0</x:v>
      </x:c>
      <x:c r="BE789" s="23" t="n">
        <x:f>MAX(0,MIN('Activities'!L789,318)-MAX('Activities'!K789,312))</x:f>
        <x:v>0</x:v>
      </x:c>
      <x:c r="BF789" s="23" t="n">
        <x:f>MAX(0,MIN('Activities'!L789,324)-MAX('Activities'!K789,318))</x:f>
        <x:v>0</x:v>
      </x:c>
      <x:c r="BG789" s="23" t="n">
        <x:f>MAX(0,MIN('Activities'!L789,330)-MAX('Activities'!K789,324))</x:f>
        <x:v>0</x:v>
      </x:c>
      <x:c r="BH789" s="23" t="n">
        <x:f>MAX(0,MIN('Activities'!L789,336)-MAX('Activities'!K789,330))</x:f>
        <x:v>0</x:v>
      </x:c>
      <x:c r="BI789" s="23" t="n">
        <x:f>MAX(0,MIN('Activities'!L789,342)-MAX('Activities'!K789,336))</x:f>
        <x:v>0</x:v>
      </x:c>
      <x:c r="BJ789" s="23" t="n">
        <x:f>MAX(0,MIN('Activities'!L789,348)-MAX('Activities'!K789,342))</x:f>
        <x:v>0</x:v>
      </x:c>
      <x:c r="BK789" s="23" t="n">
        <x:f>MAX(0,MIN('Activities'!L789,354)-MAX('Activities'!K789,348))</x:f>
        <x:v>0</x:v>
      </x:c>
      <x:c r="BL789" s="23" t="n">
        <x:f>MAX(0,MIN('Activities'!L789,360)-MAX('Activities'!K789,354))</x:f>
        <x:v>0</x:v>
      </x:c>
      <x:c r="BM789" s="23" t="n">
        <x:f>MAX(0,MIN('Activities'!L789,366)-MAX('Activities'!K789,360))</x:f>
        <x:v>0</x:v>
      </x:c>
      <x:c r="BN789" s="23" t="n">
        <x:f>MAX(0,MIN('Activities'!L789,372)-MAX('Activities'!K789,366))</x:f>
        <x:v>0</x:v>
      </x:c>
      <x:c r="BO789" s="23" t="n">
        <x:f>MAX(0,MIN('Activities'!L789,378)-MAX('Activities'!K789,372))</x:f>
        <x:v>0</x:v>
      </x:c>
      <x:c r="BP789" s="23" t="n">
        <x:f>MAX(0,MIN('Activities'!L789,384)-MAX('Activities'!K789,378))</x:f>
        <x:v>0</x:v>
      </x:c>
      <x:c r="BQ789" s="23" t="n">
        <x:f>MAX(0,MIN('Activities'!L789,390)-MAX('Activities'!K789,384))</x:f>
        <x:v>0</x:v>
      </x:c>
      <x:c r="BR789" s="23" t="n">
        <x:f>MAX(0,MIN('Activities'!L789,396)-MAX('Activities'!K789,390))</x:f>
        <x:v>0</x:v>
      </x:c>
      <x:c r="BS789" s="23" t="n">
        <x:f>MAX(0,MIN('Activities'!L789,402)-MAX('Activities'!K789,396))</x:f>
        <x:v>0</x:v>
      </x:c>
      <x:c r="BT789" s="23" t="n">
        <x:f>MAX(0,MIN('Activities'!L789,408)-MAX('Activities'!K789,402))</x:f>
        <x:v>0</x:v>
      </x:c>
      <x:c r="BU789" s="23" t="n">
        <x:f>MAX(0,MIN('Activities'!L789,414)-MAX('Activities'!K789,408))</x:f>
        <x:v>0</x:v>
      </x:c>
      <x:c r="BV789" s="23" t="n">
        <x:f>MAX(0,MIN('Activities'!L789,420)-MAX('Activities'!K789,414))</x:f>
        <x:v>0</x:v>
      </x:c>
      <x:c r="BW789" s="23" t="n">
        <x:f>MAX(0,MIN('Activities'!L789,426)-MAX('Activities'!K789,420))</x:f>
        <x:v>0</x:v>
      </x:c>
      <x:c r="BX789" s="23" t="n">
        <x:f>MAX(0,MIN('Activities'!L789,432)-MAX('Activities'!K789,426))</x:f>
        <x:v>0</x:v>
      </x:c>
      <x:c r="BY789" s="23" t="n">
        <x:f>MAX(0,MIN('Activities'!L789,438)-MAX('Activities'!K789,432))</x:f>
        <x:v>0</x:v>
      </x:c>
      <x:c r="BZ789" s="23" t="n">
        <x:f>MAX(0,MIN('Activities'!L789,444)-MAX('Activities'!K789,438))</x:f>
        <x:v>0</x:v>
      </x:c>
      <x:c r="CA789" s="23" t="n">
        <x:f>MAX(0,MIN('Activities'!L789,450)-MAX('Activities'!K789,444))</x:f>
        <x:v>0</x:v>
      </x:c>
      <x:c r="CB789" s="23" t="n">
        <x:f>MAX(0,MIN('Activities'!L789,456)-MAX('Activities'!K789,450))</x:f>
        <x:v>0</x:v>
      </x:c>
      <x:c r="CC789" s="23" t="n">
        <x:f>MAX(0,MIN('Activities'!L789,462)-MAX('Activities'!K789,456))</x:f>
        <x:v>0</x:v>
      </x:c>
      <x:c r="CD789" s="23" t="n">
        <x:f>MAX(0,MIN('Activities'!L789,468)-MAX('Activities'!K789,462))</x:f>
        <x:v>0</x:v>
      </x:c>
      <x:c r="CE789" s="23" t="n">
        <x:f>MAX(0,MIN('Activities'!L789,474)-MAX('Activities'!K789,468))</x:f>
        <x:v>0</x:v>
      </x:c>
      <x:c r="CF789" s="23" t="n">
        <x:f>MAX(0,MIN('Activities'!L789,480)-MAX('Activities'!K789,474))</x:f>
        <x:v>3</x:v>
      </x:c>
      <x:c r="CG789" s="23" t="n">
        <x:f>MAX(0,MIN('Activities'!L789,486)-MAX('Activities'!K789,480))</x:f>
        <x:v>0</x:v>
      </x:c>
      <x:c r="CH789" s="23" t="n">
        <x:f>MAX(0,MIN('Activities'!L789,492)-MAX('Activities'!K789,486))</x:f>
        <x:v>0</x:v>
      </x:c>
      <x:c r="CI789" s="23" t="n">
        <x:f>MAX(0,MIN('Activities'!L789,498)-MAX('Activities'!K789,492))</x:f>
        <x:v>0</x:v>
      </x:c>
      <x:c r="CJ789" s="23" t="n">
        <x:f>MAX(0,MIN('Activities'!L789,504)-MAX('Activities'!K789,498))</x:f>
        <x:v>0</x:v>
      </x:c>
      <x:c r="CK789" s="23" t="n">
        <x:f>MAX(0,MIN('Activities'!L789,510)-MAX('Activities'!K789,504))</x:f>
        <x:v>0</x:v>
      </x:c>
      <x:c r="CL789" s="23" t="n">
        <x:f>MAX(0,MIN('Activities'!L789,516)-MAX('Activities'!K789,510))</x:f>
        <x:v>0</x:v>
      </x:c>
      <x:c r="CM789" s="23" t="n">
        <x:f>MAX(0,MIN('Activities'!L789,522)-MAX('Activities'!K789,516))</x:f>
        <x:v>0</x:v>
      </x:c>
      <x:c r="CN789" s="23" t="n">
        <x:f>MAX(0,MIN('Activities'!L789,528)-MAX('Activities'!K789,522))</x:f>
        <x:v>0</x:v>
      </x:c>
      <x:c r="CO789" s="23" t="n">
        <x:f>MAX(0,MIN('Activities'!L789,534)-MAX('Activities'!K789,528))</x:f>
        <x:v>0</x:v>
      </x:c>
      <x:c r="CP789" s="23" t="n">
        <x:f>MAX(0,MIN('Activities'!L789,540)-MAX('Activities'!K789,534))</x:f>
        <x:v>0</x:v>
      </x:c>
      <x:c r="CQ789" s="23" t="n">
        <x:f>MAX(0,MIN('Activities'!L789,546)-MAX('Activities'!K789,540))</x:f>
        <x:v>0</x:v>
      </x:c>
      <x:c r="CR789" s="23" t="n">
        <x:f>MAX(0,MIN('Activities'!L789,552)-MAX('Activities'!K789,546))</x:f>
        <x:v>0</x:v>
      </x:c>
      <x:c r="CS789" s="23" t="n">
        <x:f>MAX(0,MIN('Activities'!L789,558)-MAX('Activities'!K789,552))</x:f>
        <x:v>0</x:v>
      </x:c>
      <x:c r="CT789" s="23" t="n">
        <x:f>MAX(0,MIN('Activities'!L789,564)-MAX('Activities'!K789,558))</x:f>
        <x:v>0</x:v>
      </x:c>
      <x:c r="CU789" s="23" t="n">
        <x:f>MAX(0,MIN('Activities'!L789,570)-MAX('Activities'!K789,564))</x:f>
        <x:v>0</x:v>
      </x:c>
      <x:c r="CV789" s="23" t="n">
        <x:f>MAX(0,MIN('Activities'!L789,576)-MAX('Activities'!K789,570))</x:f>
        <x:v>0</x:v>
      </x:c>
      <x:c r="CW789" s="23" t="n">
        <x:f>MAX(0,MIN('Activities'!L789,582)-MAX('Activities'!K789,576))</x:f>
        <x:v>0</x:v>
      </x:c>
      <x:c r="CX789" s="23" t="n">
        <x:f>MAX(0,MIN('Activities'!L789,588)-MAX('Activities'!K789,582))</x:f>
        <x:v>0</x:v>
      </x:c>
      <x:c r="CY789" s="23" t="n">
        <x:f>MAX(0,MIN('Activities'!L789,594)-MAX('Activities'!K789,588))</x:f>
        <x:v>0</x:v>
      </x:c>
      <x:c r="CZ789" s="23" t="n">
        <x:f>MAX(0,MIN('Activities'!L789,600)-MAX('Activities'!K789,594))</x:f>
        <x:v>0</x:v>
      </x:c>
      <x:c r="DA789" s="23" t="n">
        <x:f>MAX(0,MIN('Activities'!L789,606)-MAX('Activities'!K789,600))</x:f>
        <x:v>0</x:v>
      </x:c>
      <x:c r="DB789" s="23" t="n">
        <x:f>MAX(0,MIN('Activities'!L789,612)-MAX('Activities'!K789,606))</x:f>
        <x:v>0</x:v>
      </x:c>
      <x:c r="DC789" s="23" t="n">
        <x:f>MAX(0,MIN('Activities'!L789,618)-MAX('Activities'!K789,612))</x:f>
        <x:v>0</x:v>
      </x:c>
      <x:c r="DD789" s="23" t="n">
        <x:f>MAX(0,MIN('Activities'!L789,624)-MAX('Activities'!K789,618))</x:f>
        <x:v>0</x:v>
      </x:c>
      <x:c r="DE789" s="23" t="n">
        <x:f>MAX(0,MIN('Activities'!L789,630)-MAX('Activities'!K789,624))</x:f>
        <x:v>0</x:v>
      </x:c>
      <x:c r="DF789" s="23" t="n">
        <x:f>MAX(0,MIN('Activities'!L789,636)-MAX('Activities'!K789,630))</x:f>
        <x:v>0</x:v>
      </x:c>
    </x:row>
    <x:row r="790" ht="23" customHeight="1">
      <x:c r="A790" s="6" t="str">
        <x:v>T6-L09-M</x:v>
      </x:c>
      <x:c r="B790" s="6" t="str">
        <x:v>T6</x:v>
      </x:c>
      <x:c r="C790" s="6" t="str">
        <x:v>Partition masonry</x:v>
      </x:c>
      <x:c r="D790" s="6" t="str">
        <x:v>Masonry</x:v>
      </x:c>
      <x:c r="E790" s="22" t="n">
        <x:f>MAX(0,MIN('Activities'!L790,6)-MAX('Activities'!K790,0))</x:f>
        <x:v>0</x:v>
      </x:c>
      <x:c r="F790" s="22" t="n">
        <x:f>MAX(0,MIN('Activities'!L790,12)-MAX('Activities'!K790,6))</x:f>
        <x:v>0</x:v>
      </x:c>
      <x:c r="G790" s="22" t="n">
        <x:f>MAX(0,MIN('Activities'!L790,18)-MAX('Activities'!K790,12))</x:f>
        <x:v>0</x:v>
      </x:c>
      <x:c r="H790" s="22" t="n">
        <x:f>MAX(0,MIN('Activities'!L790,24)-MAX('Activities'!K790,18))</x:f>
        <x:v>0</x:v>
      </x:c>
      <x:c r="I790" s="22" t="n">
        <x:f>MAX(0,MIN('Activities'!L790,30)-MAX('Activities'!K790,24))</x:f>
        <x:v>0</x:v>
      </x:c>
      <x:c r="J790" s="22" t="n">
        <x:f>MAX(0,MIN('Activities'!L790,36)-MAX('Activities'!K790,30))</x:f>
        <x:v>0</x:v>
      </x:c>
      <x:c r="K790" s="22" t="n">
        <x:f>MAX(0,MIN('Activities'!L790,42)-MAX('Activities'!K790,36))</x:f>
        <x:v>0</x:v>
      </x:c>
      <x:c r="L790" s="22" t="n">
        <x:f>MAX(0,MIN('Activities'!L790,48)-MAX('Activities'!K790,42))</x:f>
        <x:v>0</x:v>
      </x:c>
      <x:c r="M790" s="22" t="n">
        <x:f>MAX(0,MIN('Activities'!L790,54)-MAX('Activities'!K790,48))</x:f>
        <x:v>0</x:v>
      </x:c>
      <x:c r="N790" s="22" t="n">
        <x:f>MAX(0,MIN('Activities'!L790,60)-MAX('Activities'!K790,54))</x:f>
        <x:v>0</x:v>
      </x:c>
      <x:c r="O790" s="22" t="n">
        <x:f>MAX(0,MIN('Activities'!L790,66)-MAX('Activities'!K790,60))</x:f>
        <x:v>0</x:v>
      </x:c>
      <x:c r="P790" s="22" t="n">
        <x:f>MAX(0,MIN('Activities'!L790,72)-MAX('Activities'!K790,66))</x:f>
        <x:v>0</x:v>
      </x:c>
      <x:c r="Q790" s="22" t="n">
        <x:f>MAX(0,MIN('Activities'!L790,78)-MAX('Activities'!K790,72))</x:f>
        <x:v>0</x:v>
      </x:c>
      <x:c r="R790" s="22" t="n">
        <x:f>MAX(0,MIN('Activities'!L790,84)-MAX('Activities'!K790,78))</x:f>
        <x:v>0</x:v>
      </x:c>
      <x:c r="S790" s="22" t="n">
        <x:f>MAX(0,MIN('Activities'!L790,90)-MAX('Activities'!K790,84))</x:f>
        <x:v>0</x:v>
      </x:c>
      <x:c r="T790" s="22" t="n">
        <x:f>MAX(0,MIN('Activities'!L790,96)-MAX('Activities'!K790,90))</x:f>
        <x:v>0</x:v>
      </x:c>
      <x:c r="U790" s="22" t="n">
        <x:f>MAX(0,MIN('Activities'!L790,102)-MAX('Activities'!K790,96))</x:f>
        <x:v>0</x:v>
      </x:c>
      <x:c r="V790" s="22" t="n">
        <x:f>MAX(0,MIN('Activities'!L790,108)-MAX('Activities'!K790,102))</x:f>
        <x:v>0</x:v>
      </x:c>
      <x:c r="W790" s="22" t="n">
        <x:f>MAX(0,MIN('Activities'!L790,114)-MAX('Activities'!K790,108))</x:f>
        <x:v>0</x:v>
      </x:c>
      <x:c r="X790" s="22" t="n">
        <x:f>MAX(0,MIN('Activities'!L790,120)-MAX('Activities'!K790,114))</x:f>
        <x:v>0</x:v>
      </x:c>
      <x:c r="Y790" s="22" t="n">
        <x:f>MAX(0,MIN('Activities'!L790,126)-MAX('Activities'!K790,120))</x:f>
        <x:v>0</x:v>
      </x:c>
      <x:c r="Z790" s="22" t="n">
        <x:f>MAX(0,MIN('Activities'!L790,132)-MAX('Activities'!K790,126))</x:f>
        <x:v>0</x:v>
      </x:c>
      <x:c r="AA790" s="22" t="n">
        <x:f>MAX(0,MIN('Activities'!L790,138)-MAX('Activities'!K790,132))</x:f>
        <x:v>0</x:v>
      </x:c>
      <x:c r="AB790" s="22" t="n">
        <x:f>MAX(0,MIN('Activities'!L790,144)-MAX('Activities'!K790,138))</x:f>
        <x:v>0</x:v>
      </x:c>
      <x:c r="AC790" s="22" t="n">
        <x:f>MAX(0,MIN('Activities'!L790,150)-MAX('Activities'!K790,144))</x:f>
        <x:v>0</x:v>
      </x:c>
      <x:c r="AD790" s="22" t="n">
        <x:f>MAX(0,MIN('Activities'!L790,156)-MAX('Activities'!K790,150))</x:f>
        <x:v>0</x:v>
      </x:c>
      <x:c r="AE790" s="22" t="n">
        <x:f>MAX(0,MIN('Activities'!L790,162)-MAX('Activities'!K790,156))</x:f>
        <x:v>0</x:v>
      </x:c>
      <x:c r="AF790" s="22" t="n">
        <x:f>MAX(0,MIN('Activities'!L790,168)-MAX('Activities'!K790,162))</x:f>
        <x:v>0</x:v>
      </x:c>
      <x:c r="AG790" s="22" t="n">
        <x:f>MAX(0,MIN('Activities'!L790,174)-MAX('Activities'!K790,168))</x:f>
        <x:v>0</x:v>
      </x:c>
      <x:c r="AH790" s="22" t="n">
        <x:f>MAX(0,MIN('Activities'!L790,180)-MAX('Activities'!K790,174))</x:f>
        <x:v>0</x:v>
      </x:c>
      <x:c r="AI790" s="22" t="n">
        <x:f>MAX(0,MIN('Activities'!L790,186)-MAX('Activities'!K790,180))</x:f>
        <x:v>0</x:v>
      </x:c>
      <x:c r="AJ790" s="22" t="n">
        <x:f>MAX(0,MIN('Activities'!L790,192)-MAX('Activities'!K790,186))</x:f>
        <x:v>0</x:v>
      </x:c>
      <x:c r="AK790" s="22" t="n">
        <x:f>MAX(0,MIN('Activities'!L790,198)-MAX('Activities'!K790,192))</x:f>
        <x:v>0</x:v>
      </x:c>
      <x:c r="AL790" s="22" t="n">
        <x:f>MAX(0,MIN('Activities'!L790,204)-MAX('Activities'!K790,198))</x:f>
        <x:v>0</x:v>
      </x:c>
      <x:c r="AM790" s="22" t="n">
        <x:f>MAX(0,MIN('Activities'!L790,210)-MAX('Activities'!K790,204))</x:f>
        <x:v>0</x:v>
      </x:c>
      <x:c r="AN790" s="22" t="n">
        <x:f>MAX(0,MIN('Activities'!L790,216)-MAX('Activities'!K790,210))</x:f>
        <x:v>0</x:v>
      </x:c>
      <x:c r="AO790" s="22" t="n">
        <x:f>MAX(0,MIN('Activities'!L790,222)-MAX('Activities'!K790,216))</x:f>
        <x:v>0</x:v>
      </x:c>
      <x:c r="AP790" s="22" t="n">
        <x:f>MAX(0,MIN('Activities'!L790,228)-MAX('Activities'!K790,222))</x:f>
        <x:v>0</x:v>
      </x:c>
      <x:c r="AQ790" s="22" t="n">
        <x:f>MAX(0,MIN('Activities'!L790,234)-MAX('Activities'!K790,228))</x:f>
        <x:v>0</x:v>
      </x:c>
      <x:c r="AR790" s="22" t="n">
        <x:f>MAX(0,MIN('Activities'!L790,240)-MAX('Activities'!K790,234))</x:f>
        <x:v>0</x:v>
      </x:c>
      <x:c r="AS790" s="22" t="n">
        <x:f>MAX(0,MIN('Activities'!L790,246)-MAX('Activities'!K790,240))</x:f>
        <x:v>0</x:v>
      </x:c>
      <x:c r="AT790" s="22" t="n">
        <x:f>MAX(0,MIN('Activities'!L790,252)-MAX('Activities'!K790,246))</x:f>
        <x:v>0</x:v>
      </x:c>
      <x:c r="AU790" s="22" t="n">
        <x:f>MAX(0,MIN('Activities'!L790,258)-MAX('Activities'!K790,252))</x:f>
        <x:v>0</x:v>
      </x:c>
      <x:c r="AV790" s="22" t="n">
        <x:f>MAX(0,MIN('Activities'!L790,264)-MAX('Activities'!K790,258))</x:f>
        <x:v>0</x:v>
      </x:c>
      <x:c r="AW790" s="22" t="n">
        <x:f>MAX(0,MIN('Activities'!L790,270)-MAX('Activities'!K790,264))</x:f>
        <x:v>0</x:v>
      </x:c>
      <x:c r="AX790" s="22" t="n">
        <x:f>MAX(0,MIN('Activities'!L790,276)-MAX('Activities'!K790,270))</x:f>
        <x:v>0</x:v>
      </x:c>
      <x:c r="AY790" s="22" t="n">
        <x:f>MAX(0,MIN('Activities'!L790,282)-MAX('Activities'!K790,276))</x:f>
        <x:v>0</x:v>
      </x:c>
      <x:c r="AZ790" s="22" t="n">
        <x:f>MAX(0,MIN('Activities'!L790,288)-MAX('Activities'!K790,282))</x:f>
        <x:v>0</x:v>
      </x:c>
      <x:c r="BA790" s="22" t="n">
        <x:f>MAX(0,MIN('Activities'!L790,294)-MAX('Activities'!K790,288))</x:f>
        <x:v>0</x:v>
      </x:c>
      <x:c r="BB790" s="22" t="n">
        <x:f>MAX(0,MIN('Activities'!L790,300)-MAX('Activities'!K790,294))</x:f>
        <x:v>0</x:v>
      </x:c>
      <x:c r="BC790" s="22" t="n">
        <x:f>MAX(0,MIN('Activities'!L790,306)-MAX('Activities'!K790,300))</x:f>
        <x:v>0</x:v>
      </x:c>
      <x:c r="BD790" s="22" t="n">
        <x:f>MAX(0,MIN('Activities'!L790,312)-MAX('Activities'!K790,306))</x:f>
        <x:v>0</x:v>
      </x:c>
      <x:c r="BE790" s="22" t="n">
        <x:f>MAX(0,MIN('Activities'!L790,318)-MAX('Activities'!K790,312))</x:f>
        <x:v>0</x:v>
      </x:c>
      <x:c r="BF790" s="22" t="n">
        <x:f>MAX(0,MIN('Activities'!L790,324)-MAX('Activities'!K790,318))</x:f>
        <x:v>0</x:v>
      </x:c>
      <x:c r="BG790" s="22" t="n">
        <x:f>MAX(0,MIN('Activities'!L790,330)-MAX('Activities'!K790,324))</x:f>
        <x:v>0</x:v>
      </x:c>
      <x:c r="BH790" s="22" t="n">
        <x:f>MAX(0,MIN('Activities'!L790,336)-MAX('Activities'!K790,330))</x:f>
        <x:v>0</x:v>
      </x:c>
      <x:c r="BI790" s="22" t="n">
        <x:f>MAX(0,MIN('Activities'!L790,342)-MAX('Activities'!K790,336))</x:f>
        <x:v>0</x:v>
      </x:c>
      <x:c r="BJ790" s="22" t="n">
        <x:f>MAX(0,MIN('Activities'!L790,348)-MAX('Activities'!K790,342))</x:f>
        <x:v>0</x:v>
      </x:c>
      <x:c r="BK790" s="22" t="n">
        <x:f>MAX(0,MIN('Activities'!L790,354)-MAX('Activities'!K790,348))</x:f>
        <x:v>0</x:v>
      </x:c>
      <x:c r="BL790" s="22" t="n">
        <x:f>MAX(0,MIN('Activities'!L790,360)-MAX('Activities'!K790,354))</x:f>
        <x:v>0</x:v>
      </x:c>
      <x:c r="BM790" s="22" t="n">
        <x:f>MAX(0,MIN('Activities'!L790,366)-MAX('Activities'!K790,360))</x:f>
        <x:v>0</x:v>
      </x:c>
      <x:c r="BN790" s="22" t="n">
        <x:f>MAX(0,MIN('Activities'!L790,372)-MAX('Activities'!K790,366))</x:f>
        <x:v>0</x:v>
      </x:c>
      <x:c r="BO790" s="22" t="n">
        <x:f>MAX(0,MIN('Activities'!L790,378)-MAX('Activities'!K790,372))</x:f>
        <x:v>0</x:v>
      </x:c>
      <x:c r="BP790" s="22" t="n">
        <x:f>MAX(0,MIN('Activities'!L790,384)-MAX('Activities'!K790,378))</x:f>
        <x:v>0</x:v>
      </x:c>
      <x:c r="BQ790" s="22" t="n">
        <x:f>MAX(0,MIN('Activities'!L790,390)-MAX('Activities'!K790,384))</x:f>
        <x:v>0</x:v>
      </x:c>
      <x:c r="BR790" s="22" t="n">
        <x:f>MAX(0,MIN('Activities'!L790,396)-MAX('Activities'!K790,390))</x:f>
        <x:v>0</x:v>
      </x:c>
      <x:c r="BS790" s="22" t="n">
        <x:f>MAX(0,MIN('Activities'!L790,402)-MAX('Activities'!K790,396))</x:f>
        <x:v>0</x:v>
      </x:c>
      <x:c r="BT790" s="22" t="n">
        <x:f>MAX(0,MIN('Activities'!L790,408)-MAX('Activities'!K790,402))</x:f>
        <x:v>0</x:v>
      </x:c>
      <x:c r="BU790" s="22" t="n">
        <x:f>MAX(0,MIN('Activities'!L790,414)-MAX('Activities'!K790,408))</x:f>
        <x:v>0</x:v>
      </x:c>
      <x:c r="BV790" s="22" t="n">
        <x:f>MAX(0,MIN('Activities'!L790,420)-MAX('Activities'!K790,414))</x:f>
        <x:v>0</x:v>
      </x:c>
      <x:c r="BW790" s="22" t="n">
        <x:f>MAX(0,MIN('Activities'!L790,426)-MAX('Activities'!K790,420))</x:f>
        <x:v>0</x:v>
      </x:c>
      <x:c r="BX790" s="22" t="n">
        <x:f>MAX(0,MIN('Activities'!L790,432)-MAX('Activities'!K790,426))</x:f>
        <x:v>0</x:v>
      </x:c>
      <x:c r="BY790" s="22" t="n">
        <x:f>MAX(0,MIN('Activities'!L790,438)-MAX('Activities'!K790,432))</x:f>
        <x:v>5</x:v>
      </x:c>
      <x:c r="BZ790" s="22" t="n">
        <x:f>MAX(0,MIN('Activities'!L790,444)-MAX('Activities'!K790,438))</x:f>
        <x:v>0</x:v>
      </x:c>
      <x:c r="CA790" s="22" t="n">
        <x:f>MAX(0,MIN('Activities'!L790,450)-MAX('Activities'!K790,444))</x:f>
        <x:v>0</x:v>
      </x:c>
      <x:c r="CB790" s="22" t="n">
        <x:f>MAX(0,MIN('Activities'!L790,456)-MAX('Activities'!K790,450))</x:f>
        <x:v>0</x:v>
      </x:c>
      <x:c r="CC790" s="22" t="n">
        <x:f>MAX(0,MIN('Activities'!L790,462)-MAX('Activities'!K790,456))</x:f>
        <x:v>0</x:v>
      </x:c>
      <x:c r="CD790" s="22" t="n">
        <x:f>MAX(0,MIN('Activities'!L790,468)-MAX('Activities'!K790,462))</x:f>
        <x:v>0</x:v>
      </x:c>
      <x:c r="CE790" s="22" t="n">
        <x:f>MAX(0,MIN('Activities'!L790,474)-MAX('Activities'!K790,468))</x:f>
        <x:v>0</x:v>
      </x:c>
      <x:c r="CF790" s="22" t="n">
        <x:f>MAX(0,MIN('Activities'!L790,480)-MAX('Activities'!K790,474))</x:f>
        <x:v>0</x:v>
      </x:c>
      <x:c r="CG790" s="22" t="n">
        <x:f>MAX(0,MIN('Activities'!L790,486)-MAX('Activities'!K790,480))</x:f>
        <x:v>0</x:v>
      </x:c>
      <x:c r="CH790" s="22" t="n">
        <x:f>MAX(0,MIN('Activities'!L790,492)-MAX('Activities'!K790,486))</x:f>
        <x:v>0</x:v>
      </x:c>
      <x:c r="CI790" s="22" t="n">
        <x:f>MAX(0,MIN('Activities'!L790,498)-MAX('Activities'!K790,492))</x:f>
        <x:v>0</x:v>
      </x:c>
      <x:c r="CJ790" s="22" t="n">
        <x:f>MAX(0,MIN('Activities'!L790,504)-MAX('Activities'!K790,498))</x:f>
        <x:v>0</x:v>
      </x:c>
      <x:c r="CK790" s="22" t="n">
        <x:f>MAX(0,MIN('Activities'!L790,510)-MAX('Activities'!K790,504))</x:f>
        <x:v>0</x:v>
      </x:c>
      <x:c r="CL790" s="22" t="n">
        <x:f>MAX(0,MIN('Activities'!L790,516)-MAX('Activities'!K790,510))</x:f>
        <x:v>0</x:v>
      </x:c>
      <x:c r="CM790" s="22" t="n">
        <x:f>MAX(0,MIN('Activities'!L790,522)-MAX('Activities'!K790,516))</x:f>
        <x:v>0</x:v>
      </x:c>
      <x:c r="CN790" s="22" t="n">
        <x:f>MAX(0,MIN('Activities'!L790,528)-MAX('Activities'!K790,522))</x:f>
        <x:v>0</x:v>
      </x:c>
      <x:c r="CO790" s="22" t="n">
        <x:f>MAX(0,MIN('Activities'!L790,534)-MAX('Activities'!K790,528))</x:f>
        <x:v>0</x:v>
      </x:c>
      <x:c r="CP790" s="22" t="n">
        <x:f>MAX(0,MIN('Activities'!L790,540)-MAX('Activities'!K790,534))</x:f>
        <x:v>0</x:v>
      </x:c>
      <x:c r="CQ790" s="22" t="n">
        <x:f>MAX(0,MIN('Activities'!L790,546)-MAX('Activities'!K790,540))</x:f>
        <x:v>0</x:v>
      </x:c>
      <x:c r="CR790" s="22" t="n">
        <x:f>MAX(0,MIN('Activities'!L790,552)-MAX('Activities'!K790,546))</x:f>
        <x:v>0</x:v>
      </x:c>
      <x:c r="CS790" s="22" t="n">
        <x:f>MAX(0,MIN('Activities'!L790,558)-MAX('Activities'!K790,552))</x:f>
        <x:v>0</x:v>
      </x:c>
      <x:c r="CT790" s="22" t="n">
        <x:f>MAX(0,MIN('Activities'!L790,564)-MAX('Activities'!K790,558))</x:f>
        <x:v>0</x:v>
      </x:c>
      <x:c r="CU790" s="22" t="n">
        <x:f>MAX(0,MIN('Activities'!L790,570)-MAX('Activities'!K790,564))</x:f>
        <x:v>0</x:v>
      </x:c>
      <x:c r="CV790" s="22" t="n">
        <x:f>MAX(0,MIN('Activities'!L790,576)-MAX('Activities'!K790,570))</x:f>
        <x:v>0</x:v>
      </x:c>
      <x:c r="CW790" s="22" t="n">
        <x:f>MAX(0,MIN('Activities'!L790,582)-MAX('Activities'!K790,576))</x:f>
        <x:v>0</x:v>
      </x:c>
      <x:c r="CX790" s="22" t="n">
        <x:f>MAX(0,MIN('Activities'!L790,588)-MAX('Activities'!K790,582))</x:f>
        <x:v>0</x:v>
      </x:c>
      <x:c r="CY790" s="22" t="n">
        <x:f>MAX(0,MIN('Activities'!L790,594)-MAX('Activities'!K790,588))</x:f>
        <x:v>0</x:v>
      </x:c>
      <x:c r="CZ790" s="22" t="n">
        <x:f>MAX(0,MIN('Activities'!L790,600)-MAX('Activities'!K790,594))</x:f>
        <x:v>0</x:v>
      </x:c>
      <x:c r="DA790" s="22" t="n">
        <x:f>MAX(0,MIN('Activities'!L790,606)-MAX('Activities'!K790,600))</x:f>
        <x:v>0</x:v>
      </x:c>
      <x:c r="DB790" s="22" t="n">
        <x:f>MAX(0,MIN('Activities'!L790,612)-MAX('Activities'!K790,606))</x:f>
        <x:v>0</x:v>
      </x:c>
      <x:c r="DC790" s="22" t="n">
        <x:f>MAX(0,MIN('Activities'!L790,618)-MAX('Activities'!K790,612))</x:f>
        <x:v>0</x:v>
      </x:c>
      <x:c r="DD790" s="22" t="n">
        <x:f>MAX(0,MIN('Activities'!L790,624)-MAX('Activities'!K790,618))</x:f>
        <x:v>0</x:v>
      </x:c>
      <x:c r="DE790" s="22" t="n">
        <x:f>MAX(0,MIN('Activities'!L790,630)-MAX('Activities'!K790,624))</x:f>
        <x:v>0</x:v>
      </x:c>
      <x:c r="DF790" s="22" t="n">
        <x:f>MAX(0,MIN('Activities'!L790,636)-MAX('Activities'!K790,630))</x:f>
        <x:v>0</x:v>
      </x:c>
    </x:row>
    <x:row r="791" ht="23" customHeight="1">
      <x:c r="A791" s="1" t="str">
        <x:v>T6-L09-P</x:v>
      </x:c>
      <x:c r="B791" s="1" t="str">
        <x:v>T6</x:v>
      </x:c>
      <x:c r="C791" s="1" t="str">
        <x:v>Internal plaster</x:v>
      </x:c>
      <x:c r="D791" s="1" t="str">
        <x:v>Finishes</x:v>
      </x:c>
      <x:c r="E791" s="23" t="n">
        <x:f>MAX(0,MIN('Activities'!L791,6)-MAX('Activities'!K791,0))</x:f>
        <x:v>0</x:v>
      </x:c>
      <x:c r="F791" s="23" t="n">
        <x:f>MAX(0,MIN('Activities'!L791,12)-MAX('Activities'!K791,6))</x:f>
        <x:v>0</x:v>
      </x:c>
      <x:c r="G791" s="23" t="n">
        <x:f>MAX(0,MIN('Activities'!L791,18)-MAX('Activities'!K791,12))</x:f>
        <x:v>0</x:v>
      </x:c>
      <x:c r="H791" s="23" t="n">
        <x:f>MAX(0,MIN('Activities'!L791,24)-MAX('Activities'!K791,18))</x:f>
        <x:v>0</x:v>
      </x:c>
      <x:c r="I791" s="23" t="n">
        <x:f>MAX(0,MIN('Activities'!L791,30)-MAX('Activities'!K791,24))</x:f>
        <x:v>0</x:v>
      </x:c>
      <x:c r="J791" s="23" t="n">
        <x:f>MAX(0,MIN('Activities'!L791,36)-MAX('Activities'!K791,30))</x:f>
        <x:v>0</x:v>
      </x:c>
      <x:c r="K791" s="23" t="n">
        <x:f>MAX(0,MIN('Activities'!L791,42)-MAX('Activities'!K791,36))</x:f>
        <x:v>0</x:v>
      </x:c>
      <x:c r="L791" s="23" t="n">
        <x:f>MAX(0,MIN('Activities'!L791,48)-MAX('Activities'!K791,42))</x:f>
        <x:v>0</x:v>
      </x:c>
      <x:c r="M791" s="23" t="n">
        <x:f>MAX(0,MIN('Activities'!L791,54)-MAX('Activities'!K791,48))</x:f>
        <x:v>0</x:v>
      </x:c>
      <x:c r="N791" s="23" t="n">
        <x:f>MAX(0,MIN('Activities'!L791,60)-MAX('Activities'!K791,54))</x:f>
        <x:v>0</x:v>
      </x:c>
      <x:c r="O791" s="23" t="n">
        <x:f>MAX(0,MIN('Activities'!L791,66)-MAX('Activities'!K791,60))</x:f>
        <x:v>0</x:v>
      </x:c>
      <x:c r="P791" s="23" t="n">
        <x:f>MAX(0,MIN('Activities'!L791,72)-MAX('Activities'!K791,66))</x:f>
        <x:v>0</x:v>
      </x:c>
      <x:c r="Q791" s="23" t="n">
        <x:f>MAX(0,MIN('Activities'!L791,78)-MAX('Activities'!K791,72))</x:f>
        <x:v>0</x:v>
      </x:c>
      <x:c r="R791" s="23" t="n">
        <x:f>MAX(0,MIN('Activities'!L791,84)-MAX('Activities'!K791,78))</x:f>
        <x:v>0</x:v>
      </x:c>
      <x:c r="S791" s="23" t="n">
        <x:f>MAX(0,MIN('Activities'!L791,90)-MAX('Activities'!K791,84))</x:f>
        <x:v>0</x:v>
      </x:c>
      <x:c r="T791" s="23" t="n">
        <x:f>MAX(0,MIN('Activities'!L791,96)-MAX('Activities'!K791,90))</x:f>
        <x:v>0</x:v>
      </x:c>
      <x:c r="U791" s="23" t="n">
        <x:f>MAX(0,MIN('Activities'!L791,102)-MAX('Activities'!K791,96))</x:f>
        <x:v>0</x:v>
      </x:c>
      <x:c r="V791" s="23" t="n">
        <x:f>MAX(0,MIN('Activities'!L791,108)-MAX('Activities'!K791,102))</x:f>
        <x:v>0</x:v>
      </x:c>
      <x:c r="W791" s="23" t="n">
        <x:f>MAX(0,MIN('Activities'!L791,114)-MAX('Activities'!K791,108))</x:f>
        <x:v>0</x:v>
      </x:c>
      <x:c r="X791" s="23" t="n">
        <x:f>MAX(0,MIN('Activities'!L791,120)-MAX('Activities'!K791,114))</x:f>
        <x:v>0</x:v>
      </x:c>
      <x:c r="Y791" s="23" t="n">
        <x:f>MAX(0,MIN('Activities'!L791,126)-MAX('Activities'!K791,120))</x:f>
        <x:v>0</x:v>
      </x:c>
      <x:c r="Z791" s="23" t="n">
        <x:f>MAX(0,MIN('Activities'!L791,132)-MAX('Activities'!K791,126))</x:f>
        <x:v>0</x:v>
      </x:c>
      <x:c r="AA791" s="23" t="n">
        <x:f>MAX(0,MIN('Activities'!L791,138)-MAX('Activities'!K791,132))</x:f>
        <x:v>0</x:v>
      </x:c>
      <x:c r="AB791" s="23" t="n">
        <x:f>MAX(0,MIN('Activities'!L791,144)-MAX('Activities'!K791,138))</x:f>
        <x:v>0</x:v>
      </x:c>
      <x:c r="AC791" s="23" t="n">
        <x:f>MAX(0,MIN('Activities'!L791,150)-MAX('Activities'!K791,144))</x:f>
        <x:v>0</x:v>
      </x:c>
      <x:c r="AD791" s="23" t="n">
        <x:f>MAX(0,MIN('Activities'!L791,156)-MAX('Activities'!K791,150))</x:f>
        <x:v>0</x:v>
      </x:c>
      <x:c r="AE791" s="23" t="n">
        <x:f>MAX(0,MIN('Activities'!L791,162)-MAX('Activities'!K791,156))</x:f>
        <x:v>0</x:v>
      </x:c>
      <x:c r="AF791" s="23" t="n">
        <x:f>MAX(0,MIN('Activities'!L791,168)-MAX('Activities'!K791,162))</x:f>
        <x:v>0</x:v>
      </x:c>
      <x:c r="AG791" s="23" t="n">
        <x:f>MAX(0,MIN('Activities'!L791,174)-MAX('Activities'!K791,168))</x:f>
        <x:v>0</x:v>
      </x:c>
      <x:c r="AH791" s="23" t="n">
        <x:f>MAX(0,MIN('Activities'!L791,180)-MAX('Activities'!K791,174))</x:f>
        <x:v>0</x:v>
      </x:c>
      <x:c r="AI791" s="23" t="n">
        <x:f>MAX(0,MIN('Activities'!L791,186)-MAX('Activities'!K791,180))</x:f>
        <x:v>0</x:v>
      </x:c>
      <x:c r="AJ791" s="23" t="n">
        <x:f>MAX(0,MIN('Activities'!L791,192)-MAX('Activities'!K791,186))</x:f>
        <x:v>0</x:v>
      </x:c>
      <x:c r="AK791" s="23" t="n">
        <x:f>MAX(0,MIN('Activities'!L791,198)-MAX('Activities'!K791,192))</x:f>
        <x:v>0</x:v>
      </x:c>
      <x:c r="AL791" s="23" t="n">
        <x:f>MAX(0,MIN('Activities'!L791,204)-MAX('Activities'!K791,198))</x:f>
        <x:v>0</x:v>
      </x:c>
      <x:c r="AM791" s="23" t="n">
        <x:f>MAX(0,MIN('Activities'!L791,210)-MAX('Activities'!K791,204))</x:f>
        <x:v>0</x:v>
      </x:c>
      <x:c r="AN791" s="23" t="n">
        <x:f>MAX(0,MIN('Activities'!L791,216)-MAX('Activities'!K791,210))</x:f>
        <x:v>0</x:v>
      </x:c>
      <x:c r="AO791" s="23" t="n">
        <x:f>MAX(0,MIN('Activities'!L791,222)-MAX('Activities'!K791,216))</x:f>
        <x:v>0</x:v>
      </x:c>
      <x:c r="AP791" s="23" t="n">
        <x:f>MAX(0,MIN('Activities'!L791,228)-MAX('Activities'!K791,222))</x:f>
        <x:v>0</x:v>
      </x:c>
      <x:c r="AQ791" s="23" t="n">
        <x:f>MAX(0,MIN('Activities'!L791,234)-MAX('Activities'!K791,228))</x:f>
        <x:v>0</x:v>
      </x:c>
      <x:c r="AR791" s="23" t="n">
        <x:f>MAX(0,MIN('Activities'!L791,240)-MAX('Activities'!K791,234))</x:f>
        <x:v>0</x:v>
      </x:c>
      <x:c r="AS791" s="23" t="n">
        <x:f>MAX(0,MIN('Activities'!L791,246)-MAX('Activities'!K791,240))</x:f>
        <x:v>0</x:v>
      </x:c>
      <x:c r="AT791" s="23" t="n">
        <x:f>MAX(0,MIN('Activities'!L791,252)-MAX('Activities'!K791,246))</x:f>
        <x:v>0</x:v>
      </x:c>
      <x:c r="AU791" s="23" t="n">
        <x:f>MAX(0,MIN('Activities'!L791,258)-MAX('Activities'!K791,252))</x:f>
        <x:v>0</x:v>
      </x:c>
      <x:c r="AV791" s="23" t="n">
        <x:f>MAX(0,MIN('Activities'!L791,264)-MAX('Activities'!K791,258))</x:f>
        <x:v>0</x:v>
      </x:c>
      <x:c r="AW791" s="23" t="n">
        <x:f>MAX(0,MIN('Activities'!L791,270)-MAX('Activities'!K791,264))</x:f>
        <x:v>0</x:v>
      </x:c>
      <x:c r="AX791" s="23" t="n">
        <x:f>MAX(0,MIN('Activities'!L791,276)-MAX('Activities'!K791,270))</x:f>
        <x:v>0</x:v>
      </x:c>
      <x:c r="AY791" s="23" t="n">
        <x:f>MAX(0,MIN('Activities'!L791,282)-MAX('Activities'!K791,276))</x:f>
        <x:v>0</x:v>
      </x:c>
      <x:c r="AZ791" s="23" t="n">
        <x:f>MAX(0,MIN('Activities'!L791,288)-MAX('Activities'!K791,282))</x:f>
        <x:v>0</x:v>
      </x:c>
      <x:c r="BA791" s="23" t="n">
        <x:f>MAX(0,MIN('Activities'!L791,294)-MAX('Activities'!K791,288))</x:f>
        <x:v>0</x:v>
      </x:c>
      <x:c r="BB791" s="23" t="n">
        <x:f>MAX(0,MIN('Activities'!L791,300)-MAX('Activities'!K791,294))</x:f>
        <x:v>0</x:v>
      </x:c>
      <x:c r="BC791" s="23" t="n">
        <x:f>MAX(0,MIN('Activities'!L791,306)-MAX('Activities'!K791,300))</x:f>
        <x:v>0</x:v>
      </x:c>
      <x:c r="BD791" s="23" t="n">
        <x:f>MAX(0,MIN('Activities'!L791,312)-MAX('Activities'!K791,306))</x:f>
        <x:v>0</x:v>
      </x:c>
      <x:c r="BE791" s="23" t="n">
        <x:f>MAX(0,MIN('Activities'!L791,318)-MAX('Activities'!K791,312))</x:f>
        <x:v>0</x:v>
      </x:c>
      <x:c r="BF791" s="23" t="n">
        <x:f>MAX(0,MIN('Activities'!L791,324)-MAX('Activities'!K791,318))</x:f>
        <x:v>0</x:v>
      </x:c>
      <x:c r="BG791" s="23" t="n">
        <x:f>MAX(0,MIN('Activities'!L791,330)-MAX('Activities'!K791,324))</x:f>
        <x:v>0</x:v>
      </x:c>
      <x:c r="BH791" s="23" t="n">
        <x:f>MAX(0,MIN('Activities'!L791,336)-MAX('Activities'!K791,330))</x:f>
        <x:v>0</x:v>
      </x:c>
      <x:c r="BI791" s="23" t="n">
        <x:f>MAX(0,MIN('Activities'!L791,342)-MAX('Activities'!K791,336))</x:f>
        <x:v>0</x:v>
      </x:c>
      <x:c r="BJ791" s="23" t="n">
        <x:f>MAX(0,MIN('Activities'!L791,348)-MAX('Activities'!K791,342))</x:f>
        <x:v>0</x:v>
      </x:c>
      <x:c r="BK791" s="23" t="n">
        <x:f>MAX(0,MIN('Activities'!L791,354)-MAX('Activities'!K791,348))</x:f>
        <x:v>0</x:v>
      </x:c>
      <x:c r="BL791" s="23" t="n">
        <x:f>MAX(0,MIN('Activities'!L791,360)-MAX('Activities'!K791,354))</x:f>
        <x:v>0</x:v>
      </x:c>
      <x:c r="BM791" s="23" t="n">
        <x:f>MAX(0,MIN('Activities'!L791,366)-MAX('Activities'!K791,360))</x:f>
        <x:v>0</x:v>
      </x:c>
      <x:c r="BN791" s="23" t="n">
        <x:f>MAX(0,MIN('Activities'!L791,372)-MAX('Activities'!K791,366))</x:f>
        <x:v>0</x:v>
      </x:c>
      <x:c r="BO791" s="23" t="n">
        <x:f>MAX(0,MIN('Activities'!L791,378)-MAX('Activities'!K791,372))</x:f>
        <x:v>0</x:v>
      </x:c>
      <x:c r="BP791" s="23" t="n">
        <x:f>MAX(0,MIN('Activities'!L791,384)-MAX('Activities'!K791,378))</x:f>
        <x:v>0</x:v>
      </x:c>
      <x:c r="BQ791" s="23" t="n">
        <x:f>MAX(0,MIN('Activities'!L791,390)-MAX('Activities'!K791,384))</x:f>
        <x:v>0</x:v>
      </x:c>
      <x:c r="BR791" s="23" t="n">
        <x:f>MAX(0,MIN('Activities'!L791,396)-MAX('Activities'!K791,390))</x:f>
        <x:v>0</x:v>
      </x:c>
      <x:c r="BS791" s="23" t="n">
        <x:f>MAX(0,MIN('Activities'!L791,402)-MAX('Activities'!K791,396))</x:f>
        <x:v>0</x:v>
      </x:c>
      <x:c r="BT791" s="23" t="n">
        <x:f>MAX(0,MIN('Activities'!L791,408)-MAX('Activities'!K791,402))</x:f>
        <x:v>0</x:v>
      </x:c>
      <x:c r="BU791" s="23" t="n">
        <x:f>MAX(0,MIN('Activities'!L791,414)-MAX('Activities'!K791,408))</x:f>
        <x:v>0</x:v>
      </x:c>
      <x:c r="BV791" s="23" t="n">
        <x:f>MAX(0,MIN('Activities'!L791,420)-MAX('Activities'!K791,414))</x:f>
        <x:v>0</x:v>
      </x:c>
      <x:c r="BW791" s="23" t="n">
        <x:f>MAX(0,MIN('Activities'!L791,426)-MAX('Activities'!K791,420))</x:f>
        <x:v>0</x:v>
      </x:c>
      <x:c r="BX791" s="23" t="n">
        <x:f>MAX(0,MIN('Activities'!L791,432)-MAX('Activities'!K791,426))</x:f>
        <x:v>0</x:v>
      </x:c>
      <x:c r="BY791" s="23" t="n">
        <x:f>MAX(0,MIN('Activities'!L791,438)-MAX('Activities'!K791,432))</x:f>
        <x:v>0</x:v>
      </x:c>
      <x:c r="BZ791" s="23" t="n">
        <x:f>MAX(0,MIN('Activities'!L791,444)-MAX('Activities'!K791,438))</x:f>
        <x:v>3</x:v>
      </x:c>
      <x:c r="CA791" s="23" t="n">
        <x:f>MAX(0,MIN('Activities'!L791,450)-MAX('Activities'!K791,444))</x:f>
        <x:v>3</x:v>
      </x:c>
      <x:c r="CB791" s="23" t="n">
        <x:f>MAX(0,MIN('Activities'!L791,456)-MAX('Activities'!K791,450))</x:f>
        <x:v>0</x:v>
      </x:c>
      <x:c r="CC791" s="23" t="n">
        <x:f>MAX(0,MIN('Activities'!L791,462)-MAX('Activities'!K791,456))</x:f>
        <x:v>0</x:v>
      </x:c>
      <x:c r="CD791" s="23" t="n">
        <x:f>MAX(0,MIN('Activities'!L791,468)-MAX('Activities'!K791,462))</x:f>
        <x:v>0</x:v>
      </x:c>
      <x:c r="CE791" s="23" t="n">
        <x:f>MAX(0,MIN('Activities'!L791,474)-MAX('Activities'!K791,468))</x:f>
        <x:v>0</x:v>
      </x:c>
      <x:c r="CF791" s="23" t="n">
        <x:f>MAX(0,MIN('Activities'!L791,480)-MAX('Activities'!K791,474))</x:f>
        <x:v>0</x:v>
      </x:c>
      <x:c r="CG791" s="23" t="n">
        <x:f>MAX(0,MIN('Activities'!L791,486)-MAX('Activities'!K791,480))</x:f>
        <x:v>0</x:v>
      </x:c>
      <x:c r="CH791" s="23" t="n">
        <x:f>MAX(0,MIN('Activities'!L791,492)-MAX('Activities'!K791,486))</x:f>
        <x:v>0</x:v>
      </x:c>
      <x:c r="CI791" s="23" t="n">
        <x:f>MAX(0,MIN('Activities'!L791,498)-MAX('Activities'!K791,492))</x:f>
        <x:v>0</x:v>
      </x:c>
      <x:c r="CJ791" s="23" t="n">
        <x:f>MAX(0,MIN('Activities'!L791,504)-MAX('Activities'!K791,498))</x:f>
        <x:v>0</x:v>
      </x:c>
      <x:c r="CK791" s="23" t="n">
        <x:f>MAX(0,MIN('Activities'!L791,510)-MAX('Activities'!K791,504))</x:f>
        <x:v>0</x:v>
      </x:c>
      <x:c r="CL791" s="23" t="n">
        <x:f>MAX(0,MIN('Activities'!L791,516)-MAX('Activities'!K791,510))</x:f>
        <x:v>0</x:v>
      </x:c>
      <x:c r="CM791" s="23" t="n">
        <x:f>MAX(0,MIN('Activities'!L791,522)-MAX('Activities'!K791,516))</x:f>
        <x:v>0</x:v>
      </x:c>
      <x:c r="CN791" s="23" t="n">
        <x:f>MAX(0,MIN('Activities'!L791,528)-MAX('Activities'!K791,522))</x:f>
        <x:v>0</x:v>
      </x:c>
      <x:c r="CO791" s="23" t="n">
        <x:f>MAX(0,MIN('Activities'!L791,534)-MAX('Activities'!K791,528))</x:f>
        <x:v>0</x:v>
      </x:c>
      <x:c r="CP791" s="23" t="n">
        <x:f>MAX(0,MIN('Activities'!L791,540)-MAX('Activities'!K791,534))</x:f>
        <x:v>0</x:v>
      </x:c>
      <x:c r="CQ791" s="23" t="n">
        <x:f>MAX(0,MIN('Activities'!L791,546)-MAX('Activities'!K791,540))</x:f>
        <x:v>0</x:v>
      </x:c>
      <x:c r="CR791" s="23" t="n">
        <x:f>MAX(0,MIN('Activities'!L791,552)-MAX('Activities'!K791,546))</x:f>
        <x:v>0</x:v>
      </x:c>
      <x:c r="CS791" s="23" t="n">
        <x:f>MAX(0,MIN('Activities'!L791,558)-MAX('Activities'!K791,552))</x:f>
        <x:v>0</x:v>
      </x:c>
      <x:c r="CT791" s="23" t="n">
        <x:f>MAX(0,MIN('Activities'!L791,564)-MAX('Activities'!K791,558))</x:f>
        <x:v>0</x:v>
      </x:c>
      <x:c r="CU791" s="23" t="n">
        <x:f>MAX(0,MIN('Activities'!L791,570)-MAX('Activities'!K791,564))</x:f>
        <x:v>0</x:v>
      </x:c>
      <x:c r="CV791" s="23" t="n">
        <x:f>MAX(0,MIN('Activities'!L791,576)-MAX('Activities'!K791,570))</x:f>
        <x:v>0</x:v>
      </x:c>
      <x:c r="CW791" s="23" t="n">
        <x:f>MAX(0,MIN('Activities'!L791,582)-MAX('Activities'!K791,576))</x:f>
        <x:v>0</x:v>
      </x:c>
      <x:c r="CX791" s="23" t="n">
        <x:f>MAX(0,MIN('Activities'!L791,588)-MAX('Activities'!K791,582))</x:f>
        <x:v>0</x:v>
      </x:c>
      <x:c r="CY791" s="23" t="n">
        <x:f>MAX(0,MIN('Activities'!L791,594)-MAX('Activities'!K791,588))</x:f>
        <x:v>0</x:v>
      </x:c>
      <x:c r="CZ791" s="23" t="n">
        <x:f>MAX(0,MIN('Activities'!L791,600)-MAX('Activities'!K791,594))</x:f>
        <x:v>0</x:v>
      </x:c>
      <x:c r="DA791" s="23" t="n">
        <x:f>MAX(0,MIN('Activities'!L791,606)-MAX('Activities'!K791,600))</x:f>
        <x:v>0</x:v>
      </x:c>
      <x:c r="DB791" s="23" t="n">
        <x:f>MAX(0,MIN('Activities'!L791,612)-MAX('Activities'!K791,606))</x:f>
        <x:v>0</x:v>
      </x:c>
      <x:c r="DC791" s="23" t="n">
        <x:f>MAX(0,MIN('Activities'!L791,618)-MAX('Activities'!K791,612))</x:f>
        <x:v>0</x:v>
      </x:c>
      <x:c r="DD791" s="23" t="n">
        <x:f>MAX(0,MIN('Activities'!L791,624)-MAX('Activities'!K791,618))</x:f>
        <x:v>0</x:v>
      </x:c>
      <x:c r="DE791" s="23" t="n">
        <x:f>MAX(0,MIN('Activities'!L791,630)-MAX('Activities'!K791,624))</x:f>
        <x:v>0</x:v>
      </x:c>
      <x:c r="DF791" s="23" t="n">
        <x:f>MAX(0,MIN('Activities'!L791,636)-MAX('Activities'!K791,630))</x:f>
        <x:v>0</x:v>
      </x:c>
    </x:row>
    <x:row r="792" ht="23" customHeight="1">
      <x:c r="A792" s="6" t="str">
        <x:v>T6-L09-S</x:v>
      </x:c>
      <x:c r="B792" s="6" t="str">
        <x:v>T6</x:v>
      </x:c>
      <x:c r="C792" s="6" t="str">
        <x:v>Screed and substrate preparation</x:v>
      </x:c>
      <x:c r="D792" s="6" t="str">
        <x:v>Finishes</x:v>
      </x:c>
      <x:c r="E792" s="22" t="n">
        <x:f>MAX(0,MIN('Activities'!L792,6)-MAX('Activities'!K792,0))</x:f>
        <x:v>0</x:v>
      </x:c>
      <x:c r="F792" s="22" t="n">
        <x:f>MAX(0,MIN('Activities'!L792,12)-MAX('Activities'!K792,6))</x:f>
        <x:v>0</x:v>
      </x:c>
      <x:c r="G792" s="22" t="n">
        <x:f>MAX(0,MIN('Activities'!L792,18)-MAX('Activities'!K792,12))</x:f>
        <x:v>0</x:v>
      </x:c>
      <x:c r="H792" s="22" t="n">
        <x:f>MAX(0,MIN('Activities'!L792,24)-MAX('Activities'!K792,18))</x:f>
        <x:v>0</x:v>
      </x:c>
      <x:c r="I792" s="22" t="n">
        <x:f>MAX(0,MIN('Activities'!L792,30)-MAX('Activities'!K792,24))</x:f>
        <x:v>0</x:v>
      </x:c>
      <x:c r="J792" s="22" t="n">
        <x:f>MAX(0,MIN('Activities'!L792,36)-MAX('Activities'!K792,30))</x:f>
        <x:v>0</x:v>
      </x:c>
      <x:c r="K792" s="22" t="n">
        <x:f>MAX(0,MIN('Activities'!L792,42)-MAX('Activities'!K792,36))</x:f>
        <x:v>0</x:v>
      </x:c>
      <x:c r="L792" s="22" t="n">
        <x:f>MAX(0,MIN('Activities'!L792,48)-MAX('Activities'!K792,42))</x:f>
        <x:v>0</x:v>
      </x:c>
      <x:c r="M792" s="22" t="n">
        <x:f>MAX(0,MIN('Activities'!L792,54)-MAX('Activities'!K792,48))</x:f>
        <x:v>0</x:v>
      </x:c>
      <x:c r="N792" s="22" t="n">
        <x:f>MAX(0,MIN('Activities'!L792,60)-MAX('Activities'!K792,54))</x:f>
        <x:v>0</x:v>
      </x:c>
      <x:c r="O792" s="22" t="n">
        <x:f>MAX(0,MIN('Activities'!L792,66)-MAX('Activities'!K792,60))</x:f>
        <x:v>0</x:v>
      </x:c>
      <x:c r="P792" s="22" t="n">
        <x:f>MAX(0,MIN('Activities'!L792,72)-MAX('Activities'!K792,66))</x:f>
        <x:v>0</x:v>
      </x:c>
      <x:c r="Q792" s="22" t="n">
        <x:f>MAX(0,MIN('Activities'!L792,78)-MAX('Activities'!K792,72))</x:f>
        <x:v>0</x:v>
      </x:c>
      <x:c r="R792" s="22" t="n">
        <x:f>MAX(0,MIN('Activities'!L792,84)-MAX('Activities'!K792,78))</x:f>
        <x:v>0</x:v>
      </x:c>
      <x:c r="S792" s="22" t="n">
        <x:f>MAX(0,MIN('Activities'!L792,90)-MAX('Activities'!K792,84))</x:f>
        <x:v>0</x:v>
      </x:c>
      <x:c r="T792" s="22" t="n">
        <x:f>MAX(0,MIN('Activities'!L792,96)-MAX('Activities'!K792,90))</x:f>
        <x:v>0</x:v>
      </x:c>
      <x:c r="U792" s="22" t="n">
        <x:f>MAX(0,MIN('Activities'!L792,102)-MAX('Activities'!K792,96))</x:f>
        <x:v>0</x:v>
      </x:c>
      <x:c r="V792" s="22" t="n">
        <x:f>MAX(0,MIN('Activities'!L792,108)-MAX('Activities'!K792,102))</x:f>
        <x:v>0</x:v>
      </x:c>
      <x:c r="W792" s="22" t="n">
        <x:f>MAX(0,MIN('Activities'!L792,114)-MAX('Activities'!K792,108))</x:f>
        <x:v>0</x:v>
      </x:c>
      <x:c r="X792" s="22" t="n">
        <x:f>MAX(0,MIN('Activities'!L792,120)-MAX('Activities'!K792,114))</x:f>
        <x:v>0</x:v>
      </x:c>
      <x:c r="Y792" s="22" t="n">
        <x:f>MAX(0,MIN('Activities'!L792,126)-MAX('Activities'!K792,120))</x:f>
        <x:v>0</x:v>
      </x:c>
      <x:c r="Z792" s="22" t="n">
        <x:f>MAX(0,MIN('Activities'!L792,132)-MAX('Activities'!K792,126))</x:f>
        <x:v>0</x:v>
      </x:c>
      <x:c r="AA792" s="22" t="n">
        <x:f>MAX(0,MIN('Activities'!L792,138)-MAX('Activities'!K792,132))</x:f>
        <x:v>0</x:v>
      </x:c>
      <x:c r="AB792" s="22" t="n">
        <x:f>MAX(0,MIN('Activities'!L792,144)-MAX('Activities'!K792,138))</x:f>
        <x:v>0</x:v>
      </x:c>
      <x:c r="AC792" s="22" t="n">
        <x:f>MAX(0,MIN('Activities'!L792,150)-MAX('Activities'!K792,144))</x:f>
        <x:v>0</x:v>
      </x:c>
      <x:c r="AD792" s="22" t="n">
        <x:f>MAX(0,MIN('Activities'!L792,156)-MAX('Activities'!K792,150))</x:f>
        <x:v>0</x:v>
      </x:c>
      <x:c r="AE792" s="22" t="n">
        <x:f>MAX(0,MIN('Activities'!L792,162)-MAX('Activities'!K792,156))</x:f>
        <x:v>0</x:v>
      </x:c>
      <x:c r="AF792" s="22" t="n">
        <x:f>MAX(0,MIN('Activities'!L792,168)-MAX('Activities'!K792,162))</x:f>
        <x:v>0</x:v>
      </x:c>
      <x:c r="AG792" s="22" t="n">
        <x:f>MAX(0,MIN('Activities'!L792,174)-MAX('Activities'!K792,168))</x:f>
        <x:v>0</x:v>
      </x:c>
      <x:c r="AH792" s="22" t="n">
        <x:f>MAX(0,MIN('Activities'!L792,180)-MAX('Activities'!K792,174))</x:f>
        <x:v>0</x:v>
      </x:c>
      <x:c r="AI792" s="22" t="n">
        <x:f>MAX(0,MIN('Activities'!L792,186)-MAX('Activities'!K792,180))</x:f>
        <x:v>0</x:v>
      </x:c>
      <x:c r="AJ792" s="22" t="n">
        <x:f>MAX(0,MIN('Activities'!L792,192)-MAX('Activities'!K792,186))</x:f>
        <x:v>0</x:v>
      </x:c>
      <x:c r="AK792" s="22" t="n">
        <x:f>MAX(0,MIN('Activities'!L792,198)-MAX('Activities'!K792,192))</x:f>
        <x:v>0</x:v>
      </x:c>
      <x:c r="AL792" s="22" t="n">
        <x:f>MAX(0,MIN('Activities'!L792,204)-MAX('Activities'!K792,198))</x:f>
        <x:v>0</x:v>
      </x:c>
      <x:c r="AM792" s="22" t="n">
        <x:f>MAX(0,MIN('Activities'!L792,210)-MAX('Activities'!K792,204))</x:f>
        <x:v>0</x:v>
      </x:c>
      <x:c r="AN792" s="22" t="n">
        <x:f>MAX(0,MIN('Activities'!L792,216)-MAX('Activities'!K792,210))</x:f>
        <x:v>0</x:v>
      </x:c>
      <x:c r="AO792" s="22" t="n">
        <x:f>MAX(0,MIN('Activities'!L792,222)-MAX('Activities'!K792,216))</x:f>
        <x:v>0</x:v>
      </x:c>
      <x:c r="AP792" s="22" t="n">
        <x:f>MAX(0,MIN('Activities'!L792,228)-MAX('Activities'!K792,222))</x:f>
        <x:v>0</x:v>
      </x:c>
      <x:c r="AQ792" s="22" t="n">
        <x:f>MAX(0,MIN('Activities'!L792,234)-MAX('Activities'!K792,228))</x:f>
        <x:v>0</x:v>
      </x:c>
      <x:c r="AR792" s="22" t="n">
        <x:f>MAX(0,MIN('Activities'!L792,240)-MAX('Activities'!K792,234))</x:f>
        <x:v>0</x:v>
      </x:c>
      <x:c r="AS792" s="22" t="n">
        <x:f>MAX(0,MIN('Activities'!L792,246)-MAX('Activities'!K792,240))</x:f>
        <x:v>0</x:v>
      </x:c>
      <x:c r="AT792" s="22" t="n">
        <x:f>MAX(0,MIN('Activities'!L792,252)-MAX('Activities'!K792,246))</x:f>
        <x:v>0</x:v>
      </x:c>
      <x:c r="AU792" s="22" t="n">
        <x:f>MAX(0,MIN('Activities'!L792,258)-MAX('Activities'!K792,252))</x:f>
        <x:v>0</x:v>
      </x:c>
      <x:c r="AV792" s="22" t="n">
        <x:f>MAX(0,MIN('Activities'!L792,264)-MAX('Activities'!K792,258))</x:f>
        <x:v>0</x:v>
      </x:c>
      <x:c r="AW792" s="22" t="n">
        <x:f>MAX(0,MIN('Activities'!L792,270)-MAX('Activities'!K792,264))</x:f>
        <x:v>0</x:v>
      </x:c>
      <x:c r="AX792" s="22" t="n">
        <x:f>MAX(0,MIN('Activities'!L792,276)-MAX('Activities'!K792,270))</x:f>
        <x:v>0</x:v>
      </x:c>
      <x:c r="AY792" s="22" t="n">
        <x:f>MAX(0,MIN('Activities'!L792,282)-MAX('Activities'!K792,276))</x:f>
        <x:v>0</x:v>
      </x:c>
      <x:c r="AZ792" s="22" t="n">
        <x:f>MAX(0,MIN('Activities'!L792,288)-MAX('Activities'!K792,282))</x:f>
        <x:v>0</x:v>
      </x:c>
      <x:c r="BA792" s="22" t="n">
        <x:f>MAX(0,MIN('Activities'!L792,294)-MAX('Activities'!K792,288))</x:f>
        <x:v>0</x:v>
      </x:c>
      <x:c r="BB792" s="22" t="n">
        <x:f>MAX(0,MIN('Activities'!L792,300)-MAX('Activities'!K792,294))</x:f>
        <x:v>0</x:v>
      </x:c>
      <x:c r="BC792" s="22" t="n">
        <x:f>MAX(0,MIN('Activities'!L792,306)-MAX('Activities'!K792,300))</x:f>
        <x:v>0</x:v>
      </x:c>
      <x:c r="BD792" s="22" t="n">
        <x:f>MAX(0,MIN('Activities'!L792,312)-MAX('Activities'!K792,306))</x:f>
        <x:v>0</x:v>
      </x:c>
      <x:c r="BE792" s="22" t="n">
        <x:f>MAX(0,MIN('Activities'!L792,318)-MAX('Activities'!K792,312))</x:f>
        <x:v>0</x:v>
      </x:c>
      <x:c r="BF792" s="22" t="n">
        <x:f>MAX(0,MIN('Activities'!L792,324)-MAX('Activities'!K792,318))</x:f>
        <x:v>0</x:v>
      </x:c>
      <x:c r="BG792" s="22" t="n">
        <x:f>MAX(0,MIN('Activities'!L792,330)-MAX('Activities'!K792,324))</x:f>
        <x:v>0</x:v>
      </x:c>
      <x:c r="BH792" s="22" t="n">
        <x:f>MAX(0,MIN('Activities'!L792,336)-MAX('Activities'!K792,330))</x:f>
        <x:v>0</x:v>
      </x:c>
      <x:c r="BI792" s="22" t="n">
        <x:f>MAX(0,MIN('Activities'!L792,342)-MAX('Activities'!K792,336))</x:f>
        <x:v>0</x:v>
      </x:c>
      <x:c r="BJ792" s="22" t="n">
        <x:f>MAX(0,MIN('Activities'!L792,348)-MAX('Activities'!K792,342))</x:f>
        <x:v>0</x:v>
      </x:c>
      <x:c r="BK792" s="22" t="n">
        <x:f>MAX(0,MIN('Activities'!L792,354)-MAX('Activities'!K792,348))</x:f>
        <x:v>0</x:v>
      </x:c>
      <x:c r="BL792" s="22" t="n">
        <x:f>MAX(0,MIN('Activities'!L792,360)-MAX('Activities'!K792,354))</x:f>
        <x:v>0</x:v>
      </x:c>
      <x:c r="BM792" s="22" t="n">
        <x:f>MAX(0,MIN('Activities'!L792,366)-MAX('Activities'!K792,360))</x:f>
        <x:v>0</x:v>
      </x:c>
      <x:c r="BN792" s="22" t="n">
        <x:f>MAX(0,MIN('Activities'!L792,372)-MAX('Activities'!K792,366))</x:f>
        <x:v>0</x:v>
      </x:c>
      <x:c r="BO792" s="22" t="n">
        <x:f>MAX(0,MIN('Activities'!L792,378)-MAX('Activities'!K792,372))</x:f>
        <x:v>0</x:v>
      </x:c>
      <x:c r="BP792" s="22" t="n">
        <x:f>MAX(0,MIN('Activities'!L792,384)-MAX('Activities'!K792,378))</x:f>
        <x:v>0</x:v>
      </x:c>
      <x:c r="BQ792" s="22" t="n">
        <x:f>MAX(0,MIN('Activities'!L792,390)-MAX('Activities'!K792,384))</x:f>
        <x:v>0</x:v>
      </x:c>
      <x:c r="BR792" s="22" t="n">
        <x:f>MAX(0,MIN('Activities'!L792,396)-MAX('Activities'!K792,390))</x:f>
        <x:v>0</x:v>
      </x:c>
      <x:c r="BS792" s="22" t="n">
        <x:f>MAX(0,MIN('Activities'!L792,402)-MAX('Activities'!K792,396))</x:f>
        <x:v>0</x:v>
      </x:c>
      <x:c r="BT792" s="22" t="n">
        <x:f>MAX(0,MIN('Activities'!L792,408)-MAX('Activities'!K792,402))</x:f>
        <x:v>0</x:v>
      </x:c>
      <x:c r="BU792" s="22" t="n">
        <x:f>MAX(0,MIN('Activities'!L792,414)-MAX('Activities'!K792,408))</x:f>
        <x:v>0</x:v>
      </x:c>
      <x:c r="BV792" s="22" t="n">
        <x:f>MAX(0,MIN('Activities'!L792,420)-MAX('Activities'!K792,414))</x:f>
        <x:v>0</x:v>
      </x:c>
      <x:c r="BW792" s="22" t="n">
        <x:f>MAX(0,MIN('Activities'!L792,426)-MAX('Activities'!K792,420))</x:f>
        <x:v>0</x:v>
      </x:c>
      <x:c r="BX792" s="22" t="n">
        <x:f>MAX(0,MIN('Activities'!L792,432)-MAX('Activities'!K792,426))</x:f>
        <x:v>0</x:v>
      </x:c>
      <x:c r="BY792" s="22" t="n">
        <x:f>MAX(0,MIN('Activities'!L792,438)-MAX('Activities'!K792,432))</x:f>
        <x:v>0</x:v>
      </x:c>
      <x:c r="BZ792" s="22" t="n">
        <x:f>MAX(0,MIN('Activities'!L792,444)-MAX('Activities'!K792,438))</x:f>
        <x:v>0</x:v>
      </x:c>
      <x:c r="CA792" s="22" t="n">
        <x:f>MAX(0,MIN('Activities'!L792,450)-MAX('Activities'!K792,444))</x:f>
        <x:v>1</x:v>
      </x:c>
      <x:c r="CB792" s="22" t="n">
        <x:f>MAX(0,MIN('Activities'!L792,456)-MAX('Activities'!K792,450))</x:f>
        <x:v>2</x:v>
      </x:c>
      <x:c r="CC792" s="22" t="n">
        <x:f>MAX(0,MIN('Activities'!L792,462)-MAX('Activities'!K792,456))</x:f>
        <x:v>0</x:v>
      </x:c>
      <x:c r="CD792" s="22" t="n">
        <x:f>MAX(0,MIN('Activities'!L792,468)-MAX('Activities'!K792,462))</x:f>
        <x:v>0</x:v>
      </x:c>
      <x:c r="CE792" s="22" t="n">
        <x:f>MAX(0,MIN('Activities'!L792,474)-MAX('Activities'!K792,468))</x:f>
        <x:v>0</x:v>
      </x:c>
      <x:c r="CF792" s="22" t="n">
        <x:f>MAX(0,MIN('Activities'!L792,480)-MAX('Activities'!K792,474))</x:f>
        <x:v>0</x:v>
      </x:c>
      <x:c r="CG792" s="22" t="n">
        <x:f>MAX(0,MIN('Activities'!L792,486)-MAX('Activities'!K792,480))</x:f>
        <x:v>0</x:v>
      </x:c>
      <x:c r="CH792" s="22" t="n">
        <x:f>MAX(0,MIN('Activities'!L792,492)-MAX('Activities'!K792,486))</x:f>
        <x:v>0</x:v>
      </x:c>
      <x:c r="CI792" s="22" t="n">
        <x:f>MAX(0,MIN('Activities'!L792,498)-MAX('Activities'!K792,492))</x:f>
        <x:v>0</x:v>
      </x:c>
      <x:c r="CJ792" s="22" t="n">
        <x:f>MAX(0,MIN('Activities'!L792,504)-MAX('Activities'!K792,498))</x:f>
        <x:v>0</x:v>
      </x:c>
      <x:c r="CK792" s="22" t="n">
        <x:f>MAX(0,MIN('Activities'!L792,510)-MAX('Activities'!K792,504))</x:f>
        <x:v>0</x:v>
      </x:c>
      <x:c r="CL792" s="22" t="n">
        <x:f>MAX(0,MIN('Activities'!L792,516)-MAX('Activities'!K792,510))</x:f>
        <x:v>0</x:v>
      </x:c>
      <x:c r="CM792" s="22" t="n">
        <x:f>MAX(0,MIN('Activities'!L792,522)-MAX('Activities'!K792,516))</x:f>
        <x:v>0</x:v>
      </x:c>
      <x:c r="CN792" s="22" t="n">
        <x:f>MAX(0,MIN('Activities'!L792,528)-MAX('Activities'!K792,522))</x:f>
        <x:v>0</x:v>
      </x:c>
      <x:c r="CO792" s="22" t="n">
        <x:f>MAX(0,MIN('Activities'!L792,534)-MAX('Activities'!K792,528))</x:f>
        <x:v>0</x:v>
      </x:c>
      <x:c r="CP792" s="22" t="n">
        <x:f>MAX(0,MIN('Activities'!L792,540)-MAX('Activities'!K792,534))</x:f>
        <x:v>0</x:v>
      </x:c>
      <x:c r="CQ792" s="22" t="n">
        <x:f>MAX(0,MIN('Activities'!L792,546)-MAX('Activities'!K792,540))</x:f>
        <x:v>0</x:v>
      </x:c>
      <x:c r="CR792" s="22" t="n">
        <x:f>MAX(0,MIN('Activities'!L792,552)-MAX('Activities'!K792,546))</x:f>
        <x:v>0</x:v>
      </x:c>
      <x:c r="CS792" s="22" t="n">
        <x:f>MAX(0,MIN('Activities'!L792,558)-MAX('Activities'!K792,552))</x:f>
        <x:v>0</x:v>
      </x:c>
      <x:c r="CT792" s="22" t="n">
        <x:f>MAX(0,MIN('Activities'!L792,564)-MAX('Activities'!K792,558))</x:f>
        <x:v>0</x:v>
      </x:c>
      <x:c r="CU792" s="22" t="n">
        <x:f>MAX(0,MIN('Activities'!L792,570)-MAX('Activities'!K792,564))</x:f>
        <x:v>0</x:v>
      </x:c>
      <x:c r="CV792" s="22" t="n">
        <x:f>MAX(0,MIN('Activities'!L792,576)-MAX('Activities'!K792,570))</x:f>
        <x:v>0</x:v>
      </x:c>
      <x:c r="CW792" s="22" t="n">
        <x:f>MAX(0,MIN('Activities'!L792,582)-MAX('Activities'!K792,576))</x:f>
        <x:v>0</x:v>
      </x:c>
      <x:c r="CX792" s="22" t="n">
        <x:f>MAX(0,MIN('Activities'!L792,588)-MAX('Activities'!K792,582))</x:f>
        <x:v>0</x:v>
      </x:c>
      <x:c r="CY792" s="22" t="n">
        <x:f>MAX(0,MIN('Activities'!L792,594)-MAX('Activities'!K792,588))</x:f>
        <x:v>0</x:v>
      </x:c>
      <x:c r="CZ792" s="22" t="n">
        <x:f>MAX(0,MIN('Activities'!L792,600)-MAX('Activities'!K792,594))</x:f>
        <x:v>0</x:v>
      </x:c>
      <x:c r="DA792" s="22" t="n">
        <x:f>MAX(0,MIN('Activities'!L792,606)-MAX('Activities'!K792,600))</x:f>
        <x:v>0</x:v>
      </x:c>
      <x:c r="DB792" s="22" t="n">
        <x:f>MAX(0,MIN('Activities'!L792,612)-MAX('Activities'!K792,606))</x:f>
        <x:v>0</x:v>
      </x:c>
      <x:c r="DC792" s="22" t="n">
        <x:f>MAX(0,MIN('Activities'!L792,618)-MAX('Activities'!K792,612))</x:f>
        <x:v>0</x:v>
      </x:c>
      <x:c r="DD792" s="22" t="n">
        <x:f>MAX(0,MIN('Activities'!L792,624)-MAX('Activities'!K792,618))</x:f>
        <x:v>0</x:v>
      </x:c>
      <x:c r="DE792" s="22" t="n">
        <x:f>MAX(0,MIN('Activities'!L792,630)-MAX('Activities'!K792,624))</x:f>
        <x:v>0</x:v>
      </x:c>
      <x:c r="DF792" s="22" t="n">
        <x:f>MAX(0,MIN('Activities'!L792,636)-MAX('Activities'!K792,630))</x:f>
        <x:v>0</x:v>
      </x:c>
    </x:row>
    <x:row r="793" ht="23" customHeight="1">
      <x:c r="A793" s="1" t="str">
        <x:v>T6-L09-T</x:v>
      </x:c>
      <x:c r="B793" s="1" t="str">
        <x:v>T6</x:v>
      </x:c>
      <x:c r="C793" s="1" t="str">
        <x:v>Floor finishes and skirtings</x:v>
      </x:c>
      <x:c r="D793" s="1" t="str">
        <x:v>Finishes</x:v>
      </x:c>
      <x:c r="E793" s="23" t="n">
        <x:f>MAX(0,MIN('Activities'!L793,6)-MAX('Activities'!K793,0))</x:f>
        <x:v>0</x:v>
      </x:c>
      <x:c r="F793" s="23" t="n">
        <x:f>MAX(0,MIN('Activities'!L793,12)-MAX('Activities'!K793,6))</x:f>
        <x:v>0</x:v>
      </x:c>
      <x:c r="G793" s="23" t="n">
        <x:f>MAX(0,MIN('Activities'!L793,18)-MAX('Activities'!K793,12))</x:f>
        <x:v>0</x:v>
      </x:c>
      <x:c r="H793" s="23" t="n">
        <x:f>MAX(0,MIN('Activities'!L793,24)-MAX('Activities'!K793,18))</x:f>
        <x:v>0</x:v>
      </x:c>
      <x:c r="I793" s="23" t="n">
        <x:f>MAX(0,MIN('Activities'!L793,30)-MAX('Activities'!K793,24))</x:f>
        <x:v>0</x:v>
      </x:c>
      <x:c r="J793" s="23" t="n">
        <x:f>MAX(0,MIN('Activities'!L793,36)-MAX('Activities'!K793,30))</x:f>
        <x:v>0</x:v>
      </x:c>
      <x:c r="K793" s="23" t="n">
        <x:f>MAX(0,MIN('Activities'!L793,42)-MAX('Activities'!K793,36))</x:f>
        <x:v>0</x:v>
      </x:c>
      <x:c r="L793" s="23" t="n">
        <x:f>MAX(0,MIN('Activities'!L793,48)-MAX('Activities'!K793,42))</x:f>
        <x:v>0</x:v>
      </x:c>
      <x:c r="M793" s="23" t="n">
        <x:f>MAX(0,MIN('Activities'!L793,54)-MAX('Activities'!K793,48))</x:f>
        <x:v>0</x:v>
      </x:c>
      <x:c r="N793" s="23" t="n">
        <x:f>MAX(0,MIN('Activities'!L793,60)-MAX('Activities'!K793,54))</x:f>
        <x:v>0</x:v>
      </x:c>
      <x:c r="O793" s="23" t="n">
        <x:f>MAX(0,MIN('Activities'!L793,66)-MAX('Activities'!K793,60))</x:f>
        <x:v>0</x:v>
      </x:c>
      <x:c r="P793" s="23" t="n">
        <x:f>MAX(0,MIN('Activities'!L793,72)-MAX('Activities'!K793,66))</x:f>
        <x:v>0</x:v>
      </x:c>
      <x:c r="Q793" s="23" t="n">
        <x:f>MAX(0,MIN('Activities'!L793,78)-MAX('Activities'!K793,72))</x:f>
        <x:v>0</x:v>
      </x:c>
      <x:c r="R793" s="23" t="n">
        <x:f>MAX(0,MIN('Activities'!L793,84)-MAX('Activities'!K793,78))</x:f>
        <x:v>0</x:v>
      </x:c>
      <x:c r="S793" s="23" t="n">
        <x:f>MAX(0,MIN('Activities'!L793,90)-MAX('Activities'!K793,84))</x:f>
        <x:v>0</x:v>
      </x:c>
      <x:c r="T793" s="23" t="n">
        <x:f>MAX(0,MIN('Activities'!L793,96)-MAX('Activities'!K793,90))</x:f>
        <x:v>0</x:v>
      </x:c>
      <x:c r="U793" s="23" t="n">
        <x:f>MAX(0,MIN('Activities'!L793,102)-MAX('Activities'!K793,96))</x:f>
        <x:v>0</x:v>
      </x:c>
      <x:c r="V793" s="23" t="n">
        <x:f>MAX(0,MIN('Activities'!L793,108)-MAX('Activities'!K793,102))</x:f>
        <x:v>0</x:v>
      </x:c>
      <x:c r="W793" s="23" t="n">
        <x:f>MAX(0,MIN('Activities'!L793,114)-MAX('Activities'!K793,108))</x:f>
        <x:v>0</x:v>
      </x:c>
      <x:c r="X793" s="23" t="n">
        <x:f>MAX(0,MIN('Activities'!L793,120)-MAX('Activities'!K793,114))</x:f>
        <x:v>0</x:v>
      </x:c>
      <x:c r="Y793" s="23" t="n">
        <x:f>MAX(0,MIN('Activities'!L793,126)-MAX('Activities'!K793,120))</x:f>
        <x:v>0</x:v>
      </x:c>
      <x:c r="Z793" s="23" t="n">
        <x:f>MAX(0,MIN('Activities'!L793,132)-MAX('Activities'!K793,126))</x:f>
        <x:v>0</x:v>
      </x:c>
      <x:c r="AA793" s="23" t="n">
        <x:f>MAX(0,MIN('Activities'!L793,138)-MAX('Activities'!K793,132))</x:f>
        <x:v>0</x:v>
      </x:c>
      <x:c r="AB793" s="23" t="n">
        <x:f>MAX(0,MIN('Activities'!L793,144)-MAX('Activities'!K793,138))</x:f>
        <x:v>0</x:v>
      </x:c>
      <x:c r="AC793" s="23" t="n">
        <x:f>MAX(0,MIN('Activities'!L793,150)-MAX('Activities'!K793,144))</x:f>
        <x:v>0</x:v>
      </x:c>
      <x:c r="AD793" s="23" t="n">
        <x:f>MAX(0,MIN('Activities'!L793,156)-MAX('Activities'!K793,150))</x:f>
        <x:v>0</x:v>
      </x:c>
      <x:c r="AE793" s="23" t="n">
        <x:f>MAX(0,MIN('Activities'!L793,162)-MAX('Activities'!K793,156))</x:f>
        <x:v>0</x:v>
      </x:c>
      <x:c r="AF793" s="23" t="n">
        <x:f>MAX(0,MIN('Activities'!L793,168)-MAX('Activities'!K793,162))</x:f>
        <x:v>0</x:v>
      </x:c>
      <x:c r="AG793" s="23" t="n">
        <x:f>MAX(0,MIN('Activities'!L793,174)-MAX('Activities'!K793,168))</x:f>
        <x:v>0</x:v>
      </x:c>
      <x:c r="AH793" s="23" t="n">
        <x:f>MAX(0,MIN('Activities'!L793,180)-MAX('Activities'!K793,174))</x:f>
        <x:v>0</x:v>
      </x:c>
      <x:c r="AI793" s="23" t="n">
        <x:f>MAX(0,MIN('Activities'!L793,186)-MAX('Activities'!K793,180))</x:f>
        <x:v>0</x:v>
      </x:c>
      <x:c r="AJ793" s="23" t="n">
        <x:f>MAX(0,MIN('Activities'!L793,192)-MAX('Activities'!K793,186))</x:f>
        <x:v>0</x:v>
      </x:c>
      <x:c r="AK793" s="23" t="n">
        <x:f>MAX(0,MIN('Activities'!L793,198)-MAX('Activities'!K793,192))</x:f>
        <x:v>0</x:v>
      </x:c>
      <x:c r="AL793" s="23" t="n">
        <x:f>MAX(0,MIN('Activities'!L793,204)-MAX('Activities'!K793,198))</x:f>
        <x:v>0</x:v>
      </x:c>
      <x:c r="AM793" s="23" t="n">
        <x:f>MAX(0,MIN('Activities'!L793,210)-MAX('Activities'!K793,204))</x:f>
        <x:v>0</x:v>
      </x:c>
      <x:c r="AN793" s="23" t="n">
        <x:f>MAX(0,MIN('Activities'!L793,216)-MAX('Activities'!K793,210))</x:f>
        <x:v>0</x:v>
      </x:c>
      <x:c r="AO793" s="23" t="n">
        <x:f>MAX(0,MIN('Activities'!L793,222)-MAX('Activities'!K793,216))</x:f>
        <x:v>0</x:v>
      </x:c>
      <x:c r="AP793" s="23" t="n">
        <x:f>MAX(0,MIN('Activities'!L793,228)-MAX('Activities'!K793,222))</x:f>
        <x:v>0</x:v>
      </x:c>
      <x:c r="AQ793" s="23" t="n">
        <x:f>MAX(0,MIN('Activities'!L793,234)-MAX('Activities'!K793,228))</x:f>
        <x:v>0</x:v>
      </x:c>
      <x:c r="AR793" s="23" t="n">
        <x:f>MAX(0,MIN('Activities'!L793,240)-MAX('Activities'!K793,234))</x:f>
        <x:v>0</x:v>
      </x:c>
      <x:c r="AS793" s="23" t="n">
        <x:f>MAX(0,MIN('Activities'!L793,246)-MAX('Activities'!K793,240))</x:f>
        <x:v>0</x:v>
      </x:c>
      <x:c r="AT793" s="23" t="n">
        <x:f>MAX(0,MIN('Activities'!L793,252)-MAX('Activities'!K793,246))</x:f>
        <x:v>0</x:v>
      </x:c>
      <x:c r="AU793" s="23" t="n">
        <x:f>MAX(0,MIN('Activities'!L793,258)-MAX('Activities'!K793,252))</x:f>
        <x:v>0</x:v>
      </x:c>
      <x:c r="AV793" s="23" t="n">
        <x:f>MAX(0,MIN('Activities'!L793,264)-MAX('Activities'!K793,258))</x:f>
        <x:v>0</x:v>
      </x:c>
      <x:c r="AW793" s="23" t="n">
        <x:f>MAX(0,MIN('Activities'!L793,270)-MAX('Activities'!K793,264))</x:f>
        <x:v>0</x:v>
      </x:c>
      <x:c r="AX793" s="23" t="n">
        <x:f>MAX(0,MIN('Activities'!L793,276)-MAX('Activities'!K793,270))</x:f>
        <x:v>0</x:v>
      </x:c>
      <x:c r="AY793" s="23" t="n">
        <x:f>MAX(0,MIN('Activities'!L793,282)-MAX('Activities'!K793,276))</x:f>
        <x:v>0</x:v>
      </x:c>
      <x:c r="AZ793" s="23" t="n">
        <x:f>MAX(0,MIN('Activities'!L793,288)-MAX('Activities'!K793,282))</x:f>
        <x:v>0</x:v>
      </x:c>
      <x:c r="BA793" s="23" t="n">
        <x:f>MAX(0,MIN('Activities'!L793,294)-MAX('Activities'!K793,288))</x:f>
        <x:v>0</x:v>
      </x:c>
      <x:c r="BB793" s="23" t="n">
        <x:f>MAX(0,MIN('Activities'!L793,300)-MAX('Activities'!K793,294))</x:f>
        <x:v>0</x:v>
      </x:c>
      <x:c r="BC793" s="23" t="n">
        <x:f>MAX(0,MIN('Activities'!L793,306)-MAX('Activities'!K793,300))</x:f>
        <x:v>0</x:v>
      </x:c>
      <x:c r="BD793" s="23" t="n">
        <x:f>MAX(0,MIN('Activities'!L793,312)-MAX('Activities'!K793,306))</x:f>
        <x:v>0</x:v>
      </x:c>
      <x:c r="BE793" s="23" t="n">
        <x:f>MAX(0,MIN('Activities'!L793,318)-MAX('Activities'!K793,312))</x:f>
        <x:v>0</x:v>
      </x:c>
      <x:c r="BF793" s="23" t="n">
        <x:f>MAX(0,MIN('Activities'!L793,324)-MAX('Activities'!K793,318))</x:f>
        <x:v>0</x:v>
      </x:c>
      <x:c r="BG793" s="23" t="n">
        <x:f>MAX(0,MIN('Activities'!L793,330)-MAX('Activities'!K793,324))</x:f>
        <x:v>0</x:v>
      </x:c>
      <x:c r="BH793" s="23" t="n">
        <x:f>MAX(0,MIN('Activities'!L793,336)-MAX('Activities'!K793,330))</x:f>
        <x:v>0</x:v>
      </x:c>
      <x:c r="BI793" s="23" t="n">
        <x:f>MAX(0,MIN('Activities'!L793,342)-MAX('Activities'!K793,336))</x:f>
        <x:v>0</x:v>
      </x:c>
      <x:c r="BJ793" s="23" t="n">
        <x:f>MAX(0,MIN('Activities'!L793,348)-MAX('Activities'!K793,342))</x:f>
        <x:v>0</x:v>
      </x:c>
      <x:c r="BK793" s="23" t="n">
        <x:f>MAX(0,MIN('Activities'!L793,354)-MAX('Activities'!K793,348))</x:f>
        <x:v>0</x:v>
      </x:c>
      <x:c r="BL793" s="23" t="n">
        <x:f>MAX(0,MIN('Activities'!L793,360)-MAX('Activities'!K793,354))</x:f>
        <x:v>0</x:v>
      </x:c>
      <x:c r="BM793" s="23" t="n">
        <x:f>MAX(0,MIN('Activities'!L793,366)-MAX('Activities'!K793,360))</x:f>
        <x:v>0</x:v>
      </x:c>
      <x:c r="BN793" s="23" t="n">
        <x:f>MAX(0,MIN('Activities'!L793,372)-MAX('Activities'!K793,366))</x:f>
        <x:v>0</x:v>
      </x:c>
      <x:c r="BO793" s="23" t="n">
        <x:f>MAX(0,MIN('Activities'!L793,378)-MAX('Activities'!K793,372))</x:f>
        <x:v>0</x:v>
      </x:c>
      <x:c r="BP793" s="23" t="n">
        <x:f>MAX(0,MIN('Activities'!L793,384)-MAX('Activities'!K793,378))</x:f>
        <x:v>0</x:v>
      </x:c>
      <x:c r="BQ793" s="23" t="n">
        <x:f>MAX(0,MIN('Activities'!L793,390)-MAX('Activities'!K793,384))</x:f>
        <x:v>0</x:v>
      </x:c>
      <x:c r="BR793" s="23" t="n">
        <x:f>MAX(0,MIN('Activities'!L793,396)-MAX('Activities'!K793,390))</x:f>
        <x:v>0</x:v>
      </x:c>
      <x:c r="BS793" s="23" t="n">
        <x:f>MAX(0,MIN('Activities'!L793,402)-MAX('Activities'!K793,396))</x:f>
        <x:v>0</x:v>
      </x:c>
      <x:c r="BT793" s="23" t="n">
        <x:f>MAX(0,MIN('Activities'!L793,408)-MAX('Activities'!K793,402))</x:f>
        <x:v>0</x:v>
      </x:c>
      <x:c r="BU793" s="23" t="n">
        <x:f>MAX(0,MIN('Activities'!L793,414)-MAX('Activities'!K793,408))</x:f>
        <x:v>0</x:v>
      </x:c>
      <x:c r="BV793" s="23" t="n">
        <x:f>MAX(0,MIN('Activities'!L793,420)-MAX('Activities'!K793,414))</x:f>
        <x:v>0</x:v>
      </x:c>
      <x:c r="BW793" s="23" t="n">
        <x:f>MAX(0,MIN('Activities'!L793,426)-MAX('Activities'!K793,420))</x:f>
        <x:v>0</x:v>
      </x:c>
      <x:c r="BX793" s="23" t="n">
        <x:f>MAX(0,MIN('Activities'!L793,432)-MAX('Activities'!K793,426))</x:f>
        <x:v>0</x:v>
      </x:c>
      <x:c r="BY793" s="23" t="n">
        <x:f>MAX(0,MIN('Activities'!L793,438)-MAX('Activities'!K793,432))</x:f>
        <x:v>0</x:v>
      </x:c>
      <x:c r="BZ793" s="23" t="n">
        <x:f>MAX(0,MIN('Activities'!L793,444)-MAX('Activities'!K793,438))</x:f>
        <x:v>0</x:v>
      </x:c>
      <x:c r="CA793" s="23" t="n">
        <x:f>MAX(0,MIN('Activities'!L793,450)-MAX('Activities'!K793,444))</x:f>
        <x:v>0</x:v>
      </x:c>
      <x:c r="CB793" s="23" t="n">
        <x:f>MAX(0,MIN('Activities'!L793,456)-MAX('Activities'!K793,450))</x:f>
        <x:v>0</x:v>
      </x:c>
      <x:c r="CC793" s="23" t="n">
        <x:f>MAX(0,MIN('Activities'!L793,462)-MAX('Activities'!K793,456))</x:f>
        <x:v>0</x:v>
      </x:c>
      <x:c r="CD793" s="23" t="n">
        <x:f>MAX(0,MIN('Activities'!L793,468)-MAX('Activities'!K793,462))</x:f>
        <x:v>2</x:v>
      </x:c>
      <x:c r="CE793" s="23" t="n">
        <x:f>MAX(0,MIN('Activities'!L793,474)-MAX('Activities'!K793,468))</x:f>
        <x:v>4</x:v>
      </x:c>
      <x:c r="CF793" s="23" t="n">
        <x:f>MAX(0,MIN('Activities'!L793,480)-MAX('Activities'!K793,474))</x:f>
        <x:v>0</x:v>
      </x:c>
      <x:c r="CG793" s="23" t="n">
        <x:f>MAX(0,MIN('Activities'!L793,486)-MAX('Activities'!K793,480))</x:f>
        <x:v>0</x:v>
      </x:c>
      <x:c r="CH793" s="23" t="n">
        <x:f>MAX(0,MIN('Activities'!L793,492)-MAX('Activities'!K793,486))</x:f>
        <x:v>0</x:v>
      </x:c>
      <x:c r="CI793" s="23" t="n">
        <x:f>MAX(0,MIN('Activities'!L793,498)-MAX('Activities'!K793,492))</x:f>
        <x:v>0</x:v>
      </x:c>
      <x:c r="CJ793" s="23" t="n">
        <x:f>MAX(0,MIN('Activities'!L793,504)-MAX('Activities'!K793,498))</x:f>
        <x:v>0</x:v>
      </x:c>
      <x:c r="CK793" s="23" t="n">
        <x:f>MAX(0,MIN('Activities'!L793,510)-MAX('Activities'!K793,504))</x:f>
        <x:v>0</x:v>
      </x:c>
      <x:c r="CL793" s="23" t="n">
        <x:f>MAX(0,MIN('Activities'!L793,516)-MAX('Activities'!K793,510))</x:f>
        <x:v>0</x:v>
      </x:c>
      <x:c r="CM793" s="23" t="n">
        <x:f>MAX(0,MIN('Activities'!L793,522)-MAX('Activities'!K793,516))</x:f>
        <x:v>0</x:v>
      </x:c>
      <x:c r="CN793" s="23" t="n">
        <x:f>MAX(0,MIN('Activities'!L793,528)-MAX('Activities'!K793,522))</x:f>
        <x:v>0</x:v>
      </x:c>
      <x:c r="CO793" s="23" t="n">
        <x:f>MAX(0,MIN('Activities'!L793,534)-MAX('Activities'!K793,528))</x:f>
        <x:v>0</x:v>
      </x:c>
      <x:c r="CP793" s="23" t="n">
        <x:f>MAX(0,MIN('Activities'!L793,540)-MAX('Activities'!K793,534))</x:f>
        <x:v>0</x:v>
      </x:c>
      <x:c r="CQ793" s="23" t="n">
        <x:f>MAX(0,MIN('Activities'!L793,546)-MAX('Activities'!K793,540))</x:f>
        <x:v>0</x:v>
      </x:c>
      <x:c r="CR793" s="23" t="n">
        <x:f>MAX(0,MIN('Activities'!L793,552)-MAX('Activities'!K793,546))</x:f>
        <x:v>0</x:v>
      </x:c>
      <x:c r="CS793" s="23" t="n">
        <x:f>MAX(0,MIN('Activities'!L793,558)-MAX('Activities'!K793,552))</x:f>
        <x:v>0</x:v>
      </x:c>
      <x:c r="CT793" s="23" t="n">
        <x:f>MAX(0,MIN('Activities'!L793,564)-MAX('Activities'!K793,558))</x:f>
        <x:v>0</x:v>
      </x:c>
      <x:c r="CU793" s="23" t="n">
        <x:f>MAX(0,MIN('Activities'!L793,570)-MAX('Activities'!K793,564))</x:f>
        <x:v>0</x:v>
      </x:c>
      <x:c r="CV793" s="23" t="n">
        <x:f>MAX(0,MIN('Activities'!L793,576)-MAX('Activities'!K793,570))</x:f>
        <x:v>0</x:v>
      </x:c>
      <x:c r="CW793" s="23" t="n">
        <x:f>MAX(0,MIN('Activities'!L793,582)-MAX('Activities'!K793,576))</x:f>
        <x:v>0</x:v>
      </x:c>
      <x:c r="CX793" s="23" t="n">
        <x:f>MAX(0,MIN('Activities'!L793,588)-MAX('Activities'!K793,582))</x:f>
        <x:v>0</x:v>
      </x:c>
      <x:c r="CY793" s="23" t="n">
        <x:f>MAX(0,MIN('Activities'!L793,594)-MAX('Activities'!K793,588))</x:f>
        <x:v>0</x:v>
      </x:c>
      <x:c r="CZ793" s="23" t="n">
        <x:f>MAX(0,MIN('Activities'!L793,600)-MAX('Activities'!K793,594))</x:f>
        <x:v>0</x:v>
      </x:c>
      <x:c r="DA793" s="23" t="n">
        <x:f>MAX(0,MIN('Activities'!L793,606)-MAX('Activities'!K793,600))</x:f>
        <x:v>0</x:v>
      </x:c>
      <x:c r="DB793" s="23" t="n">
        <x:f>MAX(0,MIN('Activities'!L793,612)-MAX('Activities'!K793,606))</x:f>
        <x:v>0</x:v>
      </x:c>
      <x:c r="DC793" s="23" t="n">
        <x:f>MAX(0,MIN('Activities'!L793,618)-MAX('Activities'!K793,612))</x:f>
        <x:v>0</x:v>
      </x:c>
      <x:c r="DD793" s="23" t="n">
        <x:f>MAX(0,MIN('Activities'!L793,624)-MAX('Activities'!K793,618))</x:f>
        <x:v>0</x:v>
      </x:c>
      <x:c r="DE793" s="23" t="n">
        <x:f>MAX(0,MIN('Activities'!L793,630)-MAX('Activities'!K793,624))</x:f>
        <x:v>0</x:v>
      </x:c>
      <x:c r="DF793" s="23" t="n">
        <x:f>MAX(0,MIN('Activities'!L793,636)-MAX('Activities'!K793,630))</x:f>
        <x:v>0</x:v>
      </x:c>
    </x:row>
    <x:row r="794" ht="23" customHeight="1">
      <x:c r="A794" s="6" t="str">
        <x:v>T6-L09-A</x:v>
      </x:c>
      <x:c r="B794" s="6" t="str">
        <x:v>T6</x:v>
      </x:c>
      <x:c r="C794" s="6" t="str">
        <x:v>Paint and final decorations</x:v>
      </x:c>
      <x:c r="D794" s="6" t="str">
        <x:v>Finishes</x:v>
      </x:c>
      <x:c r="E794" s="22" t="n">
        <x:f>MAX(0,MIN('Activities'!L794,6)-MAX('Activities'!K794,0))</x:f>
        <x:v>0</x:v>
      </x:c>
      <x:c r="F794" s="22" t="n">
        <x:f>MAX(0,MIN('Activities'!L794,12)-MAX('Activities'!K794,6))</x:f>
        <x:v>0</x:v>
      </x:c>
      <x:c r="G794" s="22" t="n">
        <x:f>MAX(0,MIN('Activities'!L794,18)-MAX('Activities'!K794,12))</x:f>
        <x:v>0</x:v>
      </x:c>
      <x:c r="H794" s="22" t="n">
        <x:f>MAX(0,MIN('Activities'!L794,24)-MAX('Activities'!K794,18))</x:f>
        <x:v>0</x:v>
      </x:c>
      <x:c r="I794" s="22" t="n">
        <x:f>MAX(0,MIN('Activities'!L794,30)-MAX('Activities'!K794,24))</x:f>
        <x:v>0</x:v>
      </x:c>
      <x:c r="J794" s="22" t="n">
        <x:f>MAX(0,MIN('Activities'!L794,36)-MAX('Activities'!K794,30))</x:f>
        <x:v>0</x:v>
      </x:c>
      <x:c r="K794" s="22" t="n">
        <x:f>MAX(0,MIN('Activities'!L794,42)-MAX('Activities'!K794,36))</x:f>
        <x:v>0</x:v>
      </x:c>
      <x:c r="L794" s="22" t="n">
        <x:f>MAX(0,MIN('Activities'!L794,48)-MAX('Activities'!K794,42))</x:f>
        <x:v>0</x:v>
      </x:c>
      <x:c r="M794" s="22" t="n">
        <x:f>MAX(0,MIN('Activities'!L794,54)-MAX('Activities'!K794,48))</x:f>
        <x:v>0</x:v>
      </x:c>
      <x:c r="N794" s="22" t="n">
        <x:f>MAX(0,MIN('Activities'!L794,60)-MAX('Activities'!K794,54))</x:f>
        <x:v>0</x:v>
      </x:c>
      <x:c r="O794" s="22" t="n">
        <x:f>MAX(0,MIN('Activities'!L794,66)-MAX('Activities'!K794,60))</x:f>
        <x:v>0</x:v>
      </x:c>
      <x:c r="P794" s="22" t="n">
        <x:f>MAX(0,MIN('Activities'!L794,72)-MAX('Activities'!K794,66))</x:f>
        <x:v>0</x:v>
      </x:c>
      <x:c r="Q794" s="22" t="n">
        <x:f>MAX(0,MIN('Activities'!L794,78)-MAX('Activities'!K794,72))</x:f>
        <x:v>0</x:v>
      </x:c>
      <x:c r="R794" s="22" t="n">
        <x:f>MAX(0,MIN('Activities'!L794,84)-MAX('Activities'!K794,78))</x:f>
        <x:v>0</x:v>
      </x:c>
      <x:c r="S794" s="22" t="n">
        <x:f>MAX(0,MIN('Activities'!L794,90)-MAX('Activities'!K794,84))</x:f>
        <x:v>0</x:v>
      </x:c>
      <x:c r="T794" s="22" t="n">
        <x:f>MAX(0,MIN('Activities'!L794,96)-MAX('Activities'!K794,90))</x:f>
        <x:v>0</x:v>
      </x:c>
      <x:c r="U794" s="22" t="n">
        <x:f>MAX(0,MIN('Activities'!L794,102)-MAX('Activities'!K794,96))</x:f>
        <x:v>0</x:v>
      </x:c>
      <x:c r="V794" s="22" t="n">
        <x:f>MAX(0,MIN('Activities'!L794,108)-MAX('Activities'!K794,102))</x:f>
        <x:v>0</x:v>
      </x:c>
      <x:c r="W794" s="22" t="n">
        <x:f>MAX(0,MIN('Activities'!L794,114)-MAX('Activities'!K794,108))</x:f>
        <x:v>0</x:v>
      </x:c>
      <x:c r="X794" s="22" t="n">
        <x:f>MAX(0,MIN('Activities'!L794,120)-MAX('Activities'!K794,114))</x:f>
        <x:v>0</x:v>
      </x:c>
      <x:c r="Y794" s="22" t="n">
        <x:f>MAX(0,MIN('Activities'!L794,126)-MAX('Activities'!K794,120))</x:f>
        <x:v>0</x:v>
      </x:c>
      <x:c r="Z794" s="22" t="n">
        <x:f>MAX(0,MIN('Activities'!L794,132)-MAX('Activities'!K794,126))</x:f>
        <x:v>0</x:v>
      </x:c>
      <x:c r="AA794" s="22" t="n">
        <x:f>MAX(0,MIN('Activities'!L794,138)-MAX('Activities'!K794,132))</x:f>
        <x:v>0</x:v>
      </x:c>
      <x:c r="AB794" s="22" t="n">
        <x:f>MAX(0,MIN('Activities'!L794,144)-MAX('Activities'!K794,138))</x:f>
        <x:v>0</x:v>
      </x:c>
      <x:c r="AC794" s="22" t="n">
        <x:f>MAX(0,MIN('Activities'!L794,150)-MAX('Activities'!K794,144))</x:f>
        <x:v>0</x:v>
      </x:c>
      <x:c r="AD794" s="22" t="n">
        <x:f>MAX(0,MIN('Activities'!L794,156)-MAX('Activities'!K794,150))</x:f>
        <x:v>0</x:v>
      </x:c>
      <x:c r="AE794" s="22" t="n">
        <x:f>MAX(0,MIN('Activities'!L794,162)-MAX('Activities'!K794,156))</x:f>
        <x:v>0</x:v>
      </x:c>
      <x:c r="AF794" s="22" t="n">
        <x:f>MAX(0,MIN('Activities'!L794,168)-MAX('Activities'!K794,162))</x:f>
        <x:v>0</x:v>
      </x:c>
      <x:c r="AG794" s="22" t="n">
        <x:f>MAX(0,MIN('Activities'!L794,174)-MAX('Activities'!K794,168))</x:f>
        <x:v>0</x:v>
      </x:c>
      <x:c r="AH794" s="22" t="n">
        <x:f>MAX(0,MIN('Activities'!L794,180)-MAX('Activities'!K794,174))</x:f>
        <x:v>0</x:v>
      </x:c>
      <x:c r="AI794" s="22" t="n">
        <x:f>MAX(0,MIN('Activities'!L794,186)-MAX('Activities'!K794,180))</x:f>
        <x:v>0</x:v>
      </x:c>
      <x:c r="AJ794" s="22" t="n">
        <x:f>MAX(0,MIN('Activities'!L794,192)-MAX('Activities'!K794,186))</x:f>
        <x:v>0</x:v>
      </x:c>
      <x:c r="AK794" s="22" t="n">
        <x:f>MAX(0,MIN('Activities'!L794,198)-MAX('Activities'!K794,192))</x:f>
        <x:v>0</x:v>
      </x:c>
      <x:c r="AL794" s="22" t="n">
        <x:f>MAX(0,MIN('Activities'!L794,204)-MAX('Activities'!K794,198))</x:f>
        <x:v>0</x:v>
      </x:c>
      <x:c r="AM794" s="22" t="n">
        <x:f>MAX(0,MIN('Activities'!L794,210)-MAX('Activities'!K794,204))</x:f>
        <x:v>0</x:v>
      </x:c>
      <x:c r="AN794" s="22" t="n">
        <x:f>MAX(0,MIN('Activities'!L794,216)-MAX('Activities'!K794,210))</x:f>
        <x:v>0</x:v>
      </x:c>
      <x:c r="AO794" s="22" t="n">
        <x:f>MAX(0,MIN('Activities'!L794,222)-MAX('Activities'!K794,216))</x:f>
        <x:v>0</x:v>
      </x:c>
      <x:c r="AP794" s="22" t="n">
        <x:f>MAX(0,MIN('Activities'!L794,228)-MAX('Activities'!K794,222))</x:f>
        <x:v>0</x:v>
      </x:c>
      <x:c r="AQ794" s="22" t="n">
        <x:f>MAX(0,MIN('Activities'!L794,234)-MAX('Activities'!K794,228))</x:f>
        <x:v>0</x:v>
      </x:c>
      <x:c r="AR794" s="22" t="n">
        <x:f>MAX(0,MIN('Activities'!L794,240)-MAX('Activities'!K794,234))</x:f>
        <x:v>0</x:v>
      </x:c>
      <x:c r="AS794" s="22" t="n">
        <x:f>MAX(0,MIN('Activities'!L794,246)-MAX('Activities'!K794,240))</x:f>
        <x:v>0</x:v>
      </x:c>
      <x:c r="AT794" s="22" t="n">
        <x:f>MAX(0,MIN('Activities'!L794,252)-MAX('Activities'!K794,246))</x:f>
        <x:v>0</x:v>
      </x:c>
      <x:c r="AU794" s="22" t="n">
        <x:f>MAX(0,MIN('Activities'!L794,258)-MAX('Activities'!K794,252))</x:f>
        <x:v>0</x:v>
      </x:c>
      <x:c r="AV794" s="22" t="n">
        <x:f>MAX(0,MIN('Activities'!L794,264)-MAX('Activities'!K794,258))</x:f>
        <x:v>0</x:v>
      </x:c>
      <x:c r="AW794" s="22" t="n">
        <x:f>MAX(0,MIN('Activities'!L794,270)-MAX('Activities'!K794,264))</x:f>
        <x:v>0</x:v>
      </x:c>
      <x:c r="AX794" s="22" t="n">
        <x:f>MAX(0,MIN('Activities'!L794,276)-MAX('Activities'!K794,270))</x:f>
        <x:v>0</x:v>
      </x:c>
      <x:c r="AY794" s="22" t="n">
        <x:f>MAX(0,MIN('Activities'!L794,282)-MAX('Activities'!K794,276))</x:f>
        <x:v>0</x:v>
      </x:c>
      <x:c r="AZ794" s="22" t="n">
        <x:f>MAX(0,MIN('Activities'!L794,288)-MAX('Activities'!K794,282))</x:f>
        <x:v>0</x:v>
      </x:c>
      <x:c r="BA794" s="22" t="n">
        <x:f>MAX(0,MIN('Activities'!L794,294)-MAX('Activities'!K794,288))</x:f>
        <x:v>0</x:v>
      </x:c>
      <x:c r="BB794" s="22" t="n">
        <x:f>MAX(0,MIN('Activities'!L794,300)-MAX('Activities'!K794,294))</x:f>
        <x:v>0</x:v>
      </x:c>
      <x:c r="BC794" s="22" t="n">
        <x:f>MAX(0,MIN('Activities'!L794,306)-MAX('Activities'!K794,300))</x:f>
        <x:v>0</x:v>
      </x:c>
      <x:c r="BD794" s="22" t="n">
        <x:f>MAX(0,MIN('Activities'!L794,312)-MAX('Activities'!K794,306))</x:f>
        <x:v>0</x:v>
      </x:c>
      <x:c r="BE794" s="22" t="n">
        <x:f>MAX(0,MIN('Activities'!L794,318)-MAX('Activities'!K794,312))</x:f>
        <x:v>0</x:v>
      </x:c>
      <x:c r="BF794" s="22" t="n">
        <x:f>MAX(0,MIN('Activities'!L794,324)-MAX('Activities'!K794,318))</x:f>
        <x:v>0</x:v>
      </x:c>
      <x:c r="BG794" s="22" t="n">
        <x:f>MAX(0,MIN('Activities'!L794,330)-MAX('Activities'!K794,324))</x:f>
        <x:v>0</x:v>
      </x:c>
      <x:c r="BH794" s="22" t="n">
        <x:f>MAX(0,MIN('Activities'!L794,336)-MAX('Activities'!K794,330))</x:f>
        <x:v>0</x:v>
      </x:c>
      <x:c r="BI794" s="22" t="n">
        <x:f>MAX(0,MIN('Activities'!L794,342)-MAX('Activities'!K794,336))</x:f>
        <x:v>0</x:v>
      </x:c>
      <x:c r="BJ794" s="22" t="n">
        <x:f>MAX(0,MIN('Activities'!L794,348)-MAX('Activities'!K794,342))</x:f>
        <x:v>0</x:v>
      </x:c>
      <x:c r="BK794" s="22" t="n">
        <x:f>MAX(0,MIN('Activities'!L794,354)-MAX('Activities'!K794,348))</x:f>
        <x:v>0</x:v>
      </x:c>
      <x:c r="BL794" s="22" t="n">
        <x:f>MAX(0,MIN('Activities'!L794,360)-MAX('Activities'!K794,354))</x:f>
        <x:v>0</x:v>
      </x:c>
      <x:c r="BM794" s="22" t="n">
        <x:f>MAX(0,MIN('Activities'!L794,366)-MAX('Activities'!K794,360))</x:f>
        <x:v>0</x:v>
      </x:c>
      <x:c r="BN794" s="22" t="n">
        <x:f>MAX(0,MIN('Activities'!L794,372)-MAX('Activities'!K794,366))</x:f>
        <x:v>0</x:v>
      </x:c>
      <x:c r="BO794" s="22" t="n">
        <x:f>MAX(0,MIN('Activities'!L794,378)-MAX('Activities'!K794,372))</x:f>
        <x:v>0</x:v>
      </x:c>
      <x:c r="BP794" s="22" t="n">
        <x:f>MAX(0,MIN('Activities'!L794,384)-MAX('Activities'!K794,378))</x:f>
        <x:v>0</x:v>
      </x:c>
      <x:c r="BQ794" s="22" t="n">
        <x:f>MAX(0,MIN('Activities'!L794,390)-MAX('Activities'!K794,384))</x:f>
        <x:v>0</x:v>
      </x:c>
      <x:c r="BR794" s="22" t="n">
        <x:f>MAX(0,MIN('Activities'!L794,396)-MAX('Activities'!K794,390))</x:f>
        <x:v>0</x:v>
      </x:c>
      <x:c r="BS794" s="22" t="n">
        <x:f>MAX(0,MIN('Activities'!L794,402)-MAX('Activities'!K794,396))</x:f>
        <x:v>0</x:v>
      </x:c>
      <x:c r="BT794" s="22" t="n">
        <x:f>MAX(0,MIN('Activities'!L794,408)-MAX('Activities'!K794,402))</x:f>
        <x:v>0</x:v>
      </x:c>
      <x:c r="BU794" s="22" t="n">
        <x:f>MAX(0,MIN('Activities'!L794,414)-MAX('Activities'!K794,408))</x:f>
        <x:v>0</x:v>
      </x:c>
      <x:c r="BV794" s="22" t="n">
        <x:f>MAX(0,MIN('Activities'!L794,420)-MAX('Activities'!K794,414))</x:f>
        <x:v>0</x:v>
      </x:c>
      <x:c r="BW794" s="22" t="n">
        <x:f>MAX(0,MIN('Activities'!L794,426)-MAX('Activities'!K794,420))</x:f>
        <x:v>0</x:v>
      </x:c>
      <x:c r="BX794" s="22" t="n">
        <x:f>MAX(0,MIN('Activities'!L794,432)-MAX('Activities'!K794,426))</x:f>
        <x:v>0</x:v>
      </x:c>
      <x:c r="BY794" s="22" t="n">
        <x:f>MAX(0,MIN('Activities'!L794,438)-MAX('Activities'!K794,432))</x:f>
        <x:v>0</x:v>
      </x:c>
      <x:c r="BZ794" s="22" t="n">
        <x:f>MAX(0,MIN('Activities'!L794,444)-MAX('Activities'!K794,438))</x:f>
        <x:v>0</x:v>
      </x:c>
      <x:c r="CA794" s="22" t="n">
        <x:f>MAX(0,MIN('Activities'!L794,450)-MAX('Activities'!K794,444))</x:f>
        <x:v>0</x:v>
      </x:c>
      <x:c r="CB794" s="22" t="n">
        <x:f>MAX(0,MIN('Activities'!L794,456)-MAX('Activities'!K794,450))</x:f>
        <x:v>0</x:v>
      </x:c>
      <x:c r="CC794" s="22" t="n">
        <x:f>MAX(0,MIN('Activities'!L794,462)-MAX('Activities'!K794,456))</x:f>
        <x:v>0</x:v>
      </x:c>
      <x:c r="CD794" s="22" t="n">
        <x:f>MAX(0,MIN('Activities'!L794,468)-MAX('Activities'!K794,462))</x:f>
        <x:v>0</x:v>
      </x:c>
      <x:c r="CE794" s="22" t="n">
        <x:f>MAX(0,MIN('Activities'!L794,474)-MAX('Activities'!K794,468))</x:f>
        <x:v>0</x:v>
      </x:c>
      <x:c r="CF794" s="22" t="n">
        <x:f>MAX(0,MIN('Activities'!L794,480)-MAX('Activities'!K794,474))</x:f>
        <x:v>5</x:v>
      </x:c>
      <x:c r="CG794" s="22" t="n">
        <x:f>MAX(0,MIN('Activities'!L794,486)-MAX('Activities'!K794,480))</x:f>
        <x:v>0</x:v>
      </x:c>
      <x:c r="CH794" s="22" t="n">
        <x:f>MAX(0,MIN('Activities'!L794,492)-MAX('Activities'!K794,486))</x:f>
        <x:v>0</x:v>
      </x:c>
      <x:c r="CI794" s="22" t="n">
        <x:f>MAX(0,MIN('Activities'!L794,498)-MAX('Activities'!K794,492))</x:f>
        <x:v>0</x:v>
      </x:c>
      <x:c r="CJ794" s="22" t="n">
        <x:f>MAX(0,MIN('Activities'!L794,504)-MAX('Activities'!K794,498))</x:f>
        <x:v>0</x:v>
      </x:c>
      <x:c r="CK794" s="22" t="n">
        <x:f>MAX(0,MIN('Activities'!L794,510)-MAX('Activities'!K794,504))</x:f>
        <x:v>0</x:v>
      </x:c>
      <x:c r="CL794" s="22" t="n">
        <x:f>MAX(0,MIN('Activities'!L794,516)-MAX('Activities'!K794,510))</x:f>
        <x:v>0</x:v>
      </x:c>
      <x:c r="CM794" s="22" t="n">
        <x:f>MAX(0,MIN('Activities'!L794,522)-MAX('Activities'!K794,516))</x:f>
        <x:v>0</x:v>
      </x:c>
      <x:c r="CN794" s="22" t="n">
        <x:f>MAX(0,MIN('Activities'!L794,528)-MAX('Activities'!K794,522))</x:f>
        <x:v>0</x:v>
      </x:c>
      <x:c r="CO794" s="22" t="n">
        <x:f>MAX(0,MIN('Activities'!L794,534)-MAX('Activities'!K794,528))</x:f>
        <x:v>0</x:v>
      </x:c>
      <x:c r="CP794" s="22" t="n">
        <x:f>MAX(0,MIN('Activities'!L794,540)-MAX('Activities'!K794,534))</x:f>
        <x:v>0</x:v>
      </x:c>
      <x:c r="CQ794" s="22" t="n">
        <x:f>MAX(0,MIN('Activities'!L794,546)-MAX('Activities'!K794,540))</x:f>
        <x:v>0</x:v>
      </x:c>
      <x:c r="CR794" s="22" t="n">
        <x:f>MAX(0,MIN('Activities'!L794,552)-MAX('Activities'!K794,546))</x:f>
        <x:v>0</x:v>
      </x:c>
      <x:c r="CS794" s="22" t="n">
        <x:f>MAX(0,MIN('Activities'!L794,558)-MAX('Activities'!K794,552))</x:f>
        <x:v>0</x:v>
      </x:c>
      <x:c r="CT794" s="22" t="n">
        <x:f>MAX(0,MIN('Activities'!L794,564)-MAX('Activities'!K794,558))</x:f>
        <x:v>0</x:v>
      </x:c>
      <x:c r="CU794" s="22" t="n">
        <x:f>MAX(0,MIN('Activities'!L794,570)-MAX('Activities'!K794,564))</x:f>
        <x:v>0</x:v>
      </x:c>
      <x:c r="CV794" s="22" t="n">
        <x:f>MAX(0,MIN('Activities'!L794,576)-MAX('Activities'!K794,570))</x:f>
        <x:v>0</x:v>
      </x:c>
      <x:c r="CW794" s="22" t="n">
        <x:f>MAX(0,MIN('Activities'!L794,582)-MAX('Activities'!K794,576))</x:f>
        <x:v>0</x:v>
      </x:c>
      <x:c r="CX794" s="22" t="n">
        <x:f>MAX(0,MIN('Activities'!L794,588)-MAX('Activities'!K794,582))</x:f>
        <x:v>0</x:v>
      </x:c>
      <x:c r="CY794" s="22" t="n">
        <x:f>MAX(0,MIN('Activities'!L794,594)-MAX('Activities'!K794,588))</x:f>
        <x:v>0</x:v>
      </x:c>
      <x:c r="CZ794" s="22" t="n">
        <x:f>MAX(0,MIN('Activities'!L794,600)-MAX('Activities'!K794,594))</x:f>
        <x:v>0</x:v>
      </x:c>
      <x:c r="DA794" s="22" t="n">
        <x:f>MAX(0,MIN('Activities'!L794,606)-MAX('Activities'!K794,600))</x:f>
        <x:v>0</x:v>
      </x:c>
      <x:c r="DB794" s="22" t="n">
        <x:f>MAX(0,MIN('Activities'!L794,612)-MAX('Activities'!K794,606))</x:f>
        <x:v>0</x:v>
      </x:c>
      <x:c r="DC794" s="22" t="n">
        <x:f>MAX(0,MIN('Activities'!L794,618)-MAX('Activities'!K794,612))</x:f>
        <x:v>0</x:v>
      </x:c>
      <x:c r="DD794" s="22" t="n">
        <x:f>MAX(0,MIN('Activities'!L794,624)-MAX('Activities'!K794,618))</x:f>
        <x:v>0</x:v>
      </x:c>
      <x:c r="DE794" s="22" t="n">
        <x:f>MAX(0,MIN('Activities'!L794,630)-MAX('Activities'!K794,624))</x:f>
        <x:v>0</x:v>
      </x:c>
      <x:c r="DF794" s="22" t="n">
        <x:f>MAX(0,MIN('Activities'!L794,636)-MAX('Activities'!K794,630))</x:f>
        <x:v>0</x:v>
      </x:c>
    </x:row>
    <x:row r="795" ht="23" customHeight="1">
      <x:c r="A795" s="1" t="str">
        <x:v>T6-L09-D</x:v>
      </x:c>
      <x:c r="B795" s="1" t="str">
        <x:v>T6</x:v>
      </x:c>
      <x:c r="C795" s="1" t="str">
        <x:v>Door sets and ironmongery</x:v>
      </x:c>
      <x:c r="D795" s="1" t="str">
        <x:v>Finishes</x:v>
      </x:c>
      <x:c r="E795" s="23" t="n">
        <x:f>MAX(0,MIN('Activities'!L795,6)-MAX('Activities'!K795,0))</x:f>
        <x:v>0</x:v>
      </x:c>
      <x:c r="F795" s="23" t="n">
        <x:f>MAX(0,MIN('Activities'!L795,12)-MAX('Activities'!K795,6))</x:f>
        <x:v>0</x:v>
      </x:c>
      <x:c r="G795" s="23" t="n">
        <x:f>MAX(0,MIN('Activities'!L795,18)-MAX('Activities'!K795,12))</x:f>
        <x:v>0</x:v>
      </x:c>
      <x:c r="H795" s="23" t="n">
        <x:f>MAX(0,MIN('Activities'!L795,24)-MAX('Activities'!K795,18))</x:f>
        <x:v>0</x:v>
      </x:c>
      <x:c r="I795" s="23" t="n">
        <x:f>MAX(0,MIN('Activities'!L795,30)-MAX('Activities'!K795,24))</x:f>
        <x:v>0</x:v>
      </x:c>
      <x:c r="J795" s="23" t="n">
        <x:f>MAX(0,MIN('Activities'!L795,36)-MAX('Activities'!K795,30))</x:f>
        <x:v>0</x:v>
      </x:c>
      <x:c r="K795" s="23" t="n">
        <x:f>MAX(0,MIN('Activities'!L795,42)-MAX('Activities'!K795,36))</x:f>
        <x:v>0</x:v>
      </x:c>
      <x:c r="L795" s="23" t="n">
        <x:f>MAX(0,MIN('Activities'!L795,48)-MAX('Activities'!K795,42))</x:f>
        <x:v>0</x:v>
      </x:c>
      <x:c r="M795" s="23" t="n">
        <x:f>MAX(0,MIN('Activities'!L795,54)-MAX('Activities'!K795,48))</x:f>
        <x:v>0</x:v>
      </x:c>
      <x:c r="N795" s="23" t="n">
        <x:f>MAX(0,MIN('Activities'!L795,60)-MAX('Activities'!K795,54))</x:f>
        <x:v>0</x:v>
      </x:c>
      <x:c r="O795" s="23" t="n">
        <x:f>MAX(0,MIN('Activities'!L795,66)-MAX('Activities'!K795,60))</x:f>
        <x:v>0</x:v>
      </x:c>
      <x:c r="P795" s="23" t="n">
        <x:f>MAX(0,MIN('Activities'!L795,72)-MAX('Activities'!K795,66))</x:f>
        <x:v>0</x:v>
      </x:c>
      <x:c r="Q795" s="23" t="n">
        <x:f>MAX(0,MIN('Activities'!L795,78)-MAX('Activities'!K795,72))</x:f>
        <x:v>0</x:v>
      </x:c>
      <x:c r="R795" s="23" t="n">
        <x:f>MAX(0,MIN('Activities'!L795,84)-MAX('Activities'!K795,78))</x:f>
        <x:v>0</x:v>
      </x:c>
      <x:c r="S795" s="23" t="n">
        <x:f>MAX(0,MIN('Activities'!L795,90)-MAX('Activities'!K795,84))</x:f>
        <x:v>0</x:v>
      </x:c>
      <x:c r="T795" s="23" t="n">
        <x:f>MAX(0,MIN('Activities'!L795,96)-MAX('Activities'!K795,90))</x:f>
        <x:v>0</x:v>
      </x:c>
      <x:c r="U795" s="23" t="n">
        <x:f>MAX(0,MIN('Activities'!L795,102)-MAX('Activities'!K795,96))</x:f>
        <x:v>0</x:v>
      </x:c>
      <x:c r="V795" s="23" t="n">
        <x:f>MAX(0,MIN('Activities'!L795,108)-MAX('Activities'!K795,102))</x:f>
        <x:v>0</x:v>
      </x:c>
      <x:c r="W795" s="23" t="n">
        <x:f>MAX(0,MIN('Activities'!L795,114)-MAX('Activities'!K795,108))</x:f>
        <x:v>0</x:v>
      </x:c>
      <x:c r="X795" s="23" t="n">
        <x:f>MAX(0,MIN('Activities'!L795,120)-MAX('Activities'!K795,114))</x:f>
        <x:v>0</x:v>
      </x:c>
      <x:c r="Y795" s="23" t="n">
        <x:f>MAX(0,MIN('Activities'!L795,126)-MAX('Activities'!K795,120))</x:f>
        <x:v>0</x:v>
      </x:c>
      <x:c r="Z795" s="23" t="n">
        <x:f>MAX(0,MIN('Activities'!L795,132)-MAX('Activities'!K795,126))</x:f>
        <x:v>0</x:v>
      </x:c>
      <x:c r="AA795" s="23" t="n">
        <x:f>MAX(0,MIN('Activities'!L795,138)-MAX('Activities'!K795,132))</x:f>
        <x:v>0</x:v>
      </x:c>
      <x:c r="AB795" s="23" t="n">
        <x:f>MAX(0,MIN('Activities'!L795,144)-MAX('Activities'!K795,138))</x:f>
        <x:v>0</x:v>
      </x:c>
      <x:c r="AC795" s="23" t="n">
        <x:f>MAX(0,MIN('Activities'!L795,150)-MAX('Activities'!K795,144))</x:f>
        <x:v>0</x:v>
      </x:c>
      <x:c r="AD795" s="23" t="n">
        <x:f>MAX(0,MIN('Activities'!L795,156)-MAX('Activities'!K795,150))</x:f>
        <x:v>0</x:v>
      </x:c>
      <x:c r="AE795" s="23" t="n">
        <x:f>MAX(0,MIN('Activities'!L795,162)-MAX('Activities'!K795,156))</x:f>
        <x:v>0</x:v>
      </x:c>
      <x:c r="AF795" s="23" t="n">
        <x:f>MAX(0,MIN('Activities'!L795,168)-MAX('Activities'!K795,162))</x:f>
        <x:v>0</x:v>
      </x:c>
      <x:c r="AG795" s="23" t="n">
        <x:f>MAX(0,MIN('Activities'!L795,174)-MAX('Activities'!K795,168))</x:f>
        <x:v>0</x:v>
      </x:c>
      <x:c r="AH795" s="23" t="n">
        <x:f>MAX(0,MIN('Activities'!L795,180)-MAX('Activities'!K795,174))</x:f>
        <x:v>0</x:v>
      </x:c>
      <x:c r="AI795" s="23" t="n">
        <x:f>MAX(0,MIN('Activities'!L795,186)-MAX('Activities'!K795,180))</x:f>
        <x:v>0</x:v>
      </x:c>
      <x:c r="AJ795" s="23" t="n">
        <x:f>MAX(0,MIN('Activities'!L795,192)-MAX('Activities'!K795,186))</x:f>
        <x:v>0</x:v>
      </x:c>
      <x:c r="AK795" s="23" t="n">
        <x:f>MAX(0,MIN('Activities'!L795,198)-MAX('Activities'!K795,192))</x:f>
        <x:v>0</x:v>
      </x:c>
      <x:c r="AL795" s="23" t="n">
        <x:f>MAX(0,MIN('Activities'!L795,204)-MAX('Activities'!K795,198))</x:f>
        <x:v>0</x:v>
      </x:c>
      <x:c r="AM795" s="23" t="n">
        <x:f>MAX(0,MIN('Activities'!L795,210)-MAX('Activities'!K795,204))</x:f>
        <x:v>0</x:v>
      </x:c>
      <x:c r="AN795" s="23" t="n">
        <x:f>MAX(0,MIN('Activities'!L795,216)-MAX('Activities'!K795,210))</x:f>
        <x:v>0</x:v>
      </x:c>
      <x:c r="AO795" s="23" t="n">
        <x:f>MAX(0,MIN('Activities'!L795,222)-MAX('Activities'!K795,216))</x:f>
        <x:v>0</x:v>
      </x:c>
      <x:c r="AP795" s="23" t="n">
        <x:f>MAX(0,MIN('Activities'!L795,228)-MAX('Activities'!K795,222))</x:f>
        <x:v>0</x:v>
      </x:c>
      <x:c r="AQ795" s="23" t="n">
        <x:f>MAX(0,MIN('Activities'!L795,234)-MAX('Activities'!K795,228))</x:f>
        <x:v>0</x:v>
      </x:c>
      <x:c r="AR795" s="23" t="n">
        <x:f>MAX(0,MIN('Activities'!L795,240)-MAX('Activities'!K795,234))</x:f>
        <x:v>0</x:v>
      </x:c>
      <x:c r="AS795" s="23" t="n">
        <x:f>MAX(0,MIN('Activities'!L795,246)-MAX('Activities'!K795,240))</x:f>
        <x:v>0</x:v>
      </x:c>
      <x:c r="AT795" s="23" t="n">
        <x:f>MAX(0,MIN('Activities'!L795,252)-MAX('Activities'!K795,246))</x:f>
        <x:v>0</x:v>
      </x:c>
      <x:c r="AU795" s="23" t="n">
        <x:f>MAX(0,MIN('Activities'!L795,258)-MAX('Activities'!K795,252))</x:f>
        <x:v>0</x:v>
      </x:c>
      <x:c r="AV795" s="23" t="n">
        <x:f>MAX(0,MIN('Activities'!L795,264)-MAX('Activities'!K795,258))</x:f>
        <x:v>0</x:v>
      </x:c>
      <x:c r="AW795" s="23" t="n">
        <x:f>MAX(0,MIN('Activities'!L795,270)-MAX('Activities'!K795,264))</x:f>
        <x:v>0</x:v>
      </x:c>
      <x:c r="AX795" s="23" t="n">
        <x:f>MAX(0,MIN('Activities'!L795,276)-MAX('Activities'!K795,270))</x:f>
        <x:v>0</x:v>
      </x:c>
      <x:c r="AY795" s="23" t="n">
        <x:f>MAX(0,MIN('Activities'!L795,282)-MAX('Activities'!K795,276))</x:f>
        <x:v>0</x:v>
      </x:c>
      <x:c r="AZ795" s="23" t="n">
        <x:f>MAX(0,MIN('Activities'!L795,288)-MAX('Activities'!K795,282))</x:f>
        <x:v>0</x:v>
      </x:c>
      <x:c r="BA795" s="23" t="n">
        <x:f>MAX(0,MIN('Activities'!L795,294)-MAX('Activities'!K795,288))</x:f>
        <x:v>0</x:v>
      </x:c>
      <x:c r="BB795" s="23" t="n">
        <x:f>MAX(0,MIN('Activities'!L795,300)-MAX('Activities'!K795,294))</x:f>
        <x:v>0</x:v>
      </x:c>
      <x:c r="BC795" s="23" t="n">
        <x:f>MAX(0,MIN('Activities'!L795,306)-MAX('Activities'!K795,300))</x:f>
        <x:v>0</x:v>
      </x:c>
      <x:c r="BD795" s="23" t="n">
        <x:f>MAX(0,MIN('Activities'!L795,312)-MAX('Activities'!K795,306))</x:f>
        <x:v>0</x:v>
      </x:c>
      <x:c r="BE795" s="23" t="n">
        <x:f>MAX(0,MIN('Activities'!L795,318)-MAX('Activities'!K795,312))</x:f>
        <x:v>0</x:v>
      </x:c>
      <x:c r="BF795" s="23" t="n">
        <x:f>MAX(0,MIN('Activities'!L795,324)-MAX('Activities'!K795,318))</x:f>
        <x:v>0</x:v>
      </x:c>
      <x:c r="BG795" s="23" t="n">
        <x:f>MAX(0,MIN('Activities'!L795,330)-MAX('Activities'!K795,324))</x:f>
        <x:v>0</x:v>
      </x:c>
      <x:c r="BH795" s="23" t="n">
        <x:f>MAX(0,MIN('Activities'!L795,336)-MAX('Activities'!K795,330))</x:f>
        <x:v>0</x:v>
      </x:c>
      <x:c r="BI795" s="23" t="n">
        <x:f>MAX(0,MIN('Activities'!L795,342)-MAX('Activities'!K795,336))</x:f>
        <x:v>0</x:v>
      </x:c>
      <x:c r="BJ795" s="23" t="n">
        <x:f>MAX(0,MIN('Activities'!L795,348)-MAX('Activities'!K795,342))</x:f>
        <x:v>0</x:v>
      </x:c>
      <x:c r="BK795" s="23" t="n">
        <x:f>MAX(0,MIN('Activities'!L795,354)-MAX('Activities'!K795,348))</x:f>
        <x:v>0</x:v>
      </x:c>
      <x:c r="BL795" s="23" t="n">
        <x:f>MAX(0,MIN('Activities'!L795,360)-MAX('Activities'!K795,354))</x:f>
        <x:v>0</x:v>
      </x:c>
      <x:c r="BM795" s="23" t="n">
        <x:f>MAX(0,MIN('Activities'!L795,366)-MAX('Activities'!K795,360))</x:f>
        <x:v>0</x:v>
      </x:c>
      <x:c r="BN795" s="23" t="n">
        <x:f>MAX(0,MIN('Activities'!L795,372)-MAX('Activities'!K795,366))</x:f>
        <x:v>0</x:v>
      </x:c>
      <x:c r="BO795" s="23" t="n">
        <x:f>MAX(0,MIN('Activities'!L795,378)-MAX('Activities'!K795,372))</x:f>
        <x:v>0</x:v>
      </x:c>
      <x:c r="BP795" s="23" t="n">
        <x:f>MAX(0,MIN('Activities'!L795,384)-MAX('Activities'!K795,378))</x:f>
        <x:v>0</x:v>
      </x:c>
      <x:c r="BQ795" s="23" t="n">
        <x:f>MAX(0,MIN('Activities'!L795,390)-MAX('Activities'!K795,384))</x:f>
        <x:v>0</x:v>
      </x:c>
      <x:c r="BR795" s="23" t="n">
        <x:f>MAX(0,MIN('Activities'!L795,396)-MAX('Activities'!K795,390))</x:f>
        <x:v>0</x:v>
      </x:c>
      <x:c r="BS795" s="23" t="n">
        <x:f>MAX(0,MIN('Activities'!L795,402)-MAX('Activities'!K795,396))</x:f>
        <x:v>0</x:v>
      </x:c>
      <x:c r="BT795" s="23" t="n">
        <x:f>MAX(0,MIN('Activities'!L795,408)-MAX('Activities'!K795,402))</x:f>
        <x:v>0</x:v>
      </x:c>
      <x:c r="BU795" s="23" t="n">
        <x:f>MAX(0,MIN('Activities'!L795,414)-MAX('Activities'!K795,408))</x:f>
        <x:v>0</x:v>
      </x:c>
      <x:c r="BV795" s="23" t="n">
        <x:f>MAX(0,MIN('Activities'!L795,420)-MAX('Activities'!K795,414))</x:f>
        <x:v>0</x:v>
      </x:c>
      <x:c r="BW795" s="23" t="n">
        <x:f>MAX(0,MIN('Activities'!L795,426)-MAX('Activities'!K795,420))</x:f>
        <x:v>0</x:v>
      </x:c>
      <x:c r="BX795" s="23" t="n">
        <x:f>MAX(0,MIN('Activities'!L795,432)-MAX('Activities'!K795,426))</x:f>
        <x:v>0</x:v>
      </x:c>
      <x:c r="BY795" s="23" t="n">
        <x:f>MAX(0,MIN('Activities'!L795,438)-MAX('Activities'!K795,432))</x:f>
        <x:v>0</x:v>
      </x:c>
      <x:c r="BZ795" s="23" t="n">
        <x:f>MAX(0,MIN('Activities'!L795,444)-MAX('Activities'!K795,438))</x:f>
        <x:v>0</x:v>
      </x:c>
      <x:c r="CA795" s="23" t="n">
        <x:f>MAX(0,MIN('Activities'!L795,450)-MAX('Activities'!K795,444))</x:f>
        <x:v>0</x:v>
      </x:c>
      <x:c r="CB795" s="23" t="n">
        <x:f>MAX(0,MIN('Activities'!L795,456)-MAX('Activities'!K795,450))</x:f>
        <x:v>0</x:v>
      </x:c>
      <x:c r="CC795" s="23" t="n">
        <x:f>MAX(0,MIN('Activities'!L795,462)-MAX('Activities'!K795,456))</x:f>
        <x:v>0</x:v>
      </x:c>
      <x:c r="CD795" s="23" t="n">
        <x:f>MAX(0,MIN('Activities'!L795,468)-MAX('Activities'!K795,462))</x:f>
        <x:v>0</x:v>
      </x:c>
      <x:c r="CE795" s="23" t="n">
        <x:f>MAX(0,MIN('Activities'!L795,474)-MAX('Activities'!K795,468))</x:f>
        <x:v>0</x:v>
      </x:c>
      <x:c r="CF795" s="23" t="n">
        <x:f>MAX(0,MIN('Activities'!L795,480)-MAX('Activities'!K795,474))</x:f>
        <x:v>1</x:v>
      </x:c>
      <x:c r="CG795" s="23" t="n">
        <x:f>MAX(0,MIN('Activities'!L795,486)-MAX('Activities'!K795,480))</x:f>
        <x:v>2</x:v>
      </x:c>
      <x:c r="CH795" s="23" t="n">
        <x:f>MAX(0,MIN('Activities'!L795,492)-MAX('Activities'!K795,486))</x:f>
        <x:v>0</x:v>
      </x:c>
      <x:c r="CI795" s="23" t="n">
        <x:f>MAX(0,MIN('Activities'!L795,498)-MAX('Activities'!K795,492))</x:f>
        <x:v>0</x:v>
      </x:c>
      <x:c r="CJ795" s="23" t="n">
        <x:f>MAX(0,MIN('Activities'!L795,504)-MAX('Activities'!K795,498))</x:f>
        <x:v>0</x:v>
      </x:c>
      <x:c r="CK795" s="23" t="n">
        <x:f>MAX(0,MIN('Activities'!L795,510)-MAX('Activities'!K795,504))</x:f>
        <x:v>0</x:v>
      </x:c>
      <x:c r="CL795" s="23" t="n">
        <x:f>MAX(0,MIN('Activities'!L795,516)-MAX('Activities'!K795,510))</x:f>
        <x:v>0</x:v>
      </x:c>
      <x:c r="CM795" s="23" t="n">
        <x:f>MAX(0,MIN('Activities'!L795,522)-MAX('Activities'!K795,516))</x:f>
        <x:v>0</x:v>
      </x:c>
      <x:c r="CN795" s="23" t="n">
        <x:f>MAX(0,MIN('Activities'!L795,528)-MAX('Activities'!K795,522))</x:f>
        <x:v>0</x:v>
      </x:c>
      <x:c r="CO795" s="23" t="n">
        <x:f>MAX(0,MIN('Activities'!L795,534)-MAX('Activities'!K795,528))</x:f>
        <x:v>0</x:v>
      </x:c>
      <x:c r="CP795" s="23" t="n">
        <x:f>MAX(0,MIN('Activities'!L795,540)-MAX('Activities'!K795,534))</x:f>
        <x:v>0</x:v>
      </x:c>
      <x:c r="CQ795" s="23" t="n">
        <x:f>MAX(0,MIN('Activities'!L795,546)-MAX('Activities'!K795,540))</x:f>
        <x:v>0</x:v>
      </x:c>
      <x:c r="CR795" s="23" t="n">
        <x:f>MAX(0,MIN('Activities'!L795,552)-MAX('Activities'!K795,546))</x:f>
        <x:v>0</x:v>
      </x:c>
      <x:c r="CS795" s="23" t="n">
        <x:f>MAX(0,MIN('Activities'!L795,558)-MAX('Activities'!K795,552))</x:f>
        <x:v>0</x:v>
      </x:c>
      <x:c r="CT795" s="23" t="n">
        <x:f>MAX(0,MIN('Activities'!L795,564)-MAX('Activities'!K795,558))</x:f>
        <x:v>0</x:v>
      </x:c>
      <x:c r="CU795" s="23" t="n">
        <x:f>MAX(0,MIN('Activities'!L795,570)-MAX('Activities'!K795,564))</x:f>
        <x:v>0</x:v>
      </x:c>
      <x:c r="CV795" s="23" t="n">
        <x:f>MAX(0,MIN('Activities'!L795,576)-MAX('Activities'!K795,570))</x:f>
        <x:v>0</x:v>
      </x:c>
      <x:c r="CW795" s="23" t="n">
        <x:f>MAX(0,MIN('Activities'!L795,582)-MAX('Activities'!K795,576))</x:f>
        <x:v>0</x:v>
      </x:c>
      <x:c r="CX795" s="23" t="n">
        <x:f>MAX(0,MIN('Activities'!L795,588)-MAX('Activities'!K795,582))</x:f>
        <x:v>0</x:v>
      </x:c>
      <x:c r="CY795" s="23" t="n">
        <x:f>MAX(0,MIN('Activities'!L795,594)-MAX('Activities'!K795,588))</x:f>
        <x:v>0</x:v>
      </x:c>
      <x:c r="CZ795" s="23" t="n">
        <x:f>MAX(0,MIN('Activities'!L795,600)-MAX('Activities'!K795,594))</x:f>
        <x:v>0</x:v>
      </x:c>
      <x:c r="DA795" s="23" t="n">
        <x:f>MAX(0,MIN('Activities'!L795,606)-MAX('Activities'!K795,600))</x:f>
        <x:v>0</x:v>
      </x:c>
      <x:c r="DB795" s="23" t="n">
        <x:f>MAX(0,MIN('Activities'!L795,612)-MAX('Activities'!K795,606))</x:f>
        <x:v>0</x:v>
      </x:c>
      <x:c r="DC795" s="23" t="n">
        <x:f>MAX(0,MIN('Activities'!L795,618)-MAX('Activities'!K795,612))</x:f>
        <x:v>0</x:v>
      </x:c>
      <x:c r="DD795" s="23" t="n">
        <x:f>MAX(0,MIN('Activities'!L795,624)-MAX('Activities'!K795,618))</x:f>
        <x:v>0</x:v>
      </x:c>
      <x:c r="DE795" s="23" t="n">
        <x:f>MAX(0,MIN('Activities'!L795,630)-MAX('Activities'!K795,624))</x:f>
        <x:v>0</x:v>
      </x:c>
      <x:c r="DF795" s="23" t="n">
        <x:f>MAX(0,MIN('Activities'!L795,636)-MAX('Activities'!K795,630))</x:f>
        <x:v>0</x:v>
      </x:c>
    </x:row>
    <x:row r="796" ht="23" customHeight="1">
      <x:c r="A796" s="6" t="str">
        <x:v>T6-L10-M</x:v>
      </x:c>
      <x:c r="B796" s="6" t="str">
        <x:v>T6</x:v>
      </x:c>
      <x:c r="C796" s="6" t="str">
        <x:v>Partition masonry</x:v>
      </x:c>
      <x:c r="D796" s="6" t="str">
        <x:v>Masonry</x:v>
      </x:c>
      <x:c r="E796" s="22" t="n">
        <x:f>MAX(0,MIN('Activities'!L796,6)-MAX('Activities'!K796,0))</x:f>
        <x:v>0</x:v>
      </x:c>
      <x:c r="F796" s="22" t="n">
        <x:f>MAX(0,MIN('Activities'!L796,12)-MAX('Activities'!K796,6))</x:f>
        <x:v>0</x:v>
      </x:c>
      <x:c r="G796" s="22" t="n">
        <x:f>MAX(0,MIN('Activities'!L796,18)-MAX('Activities'!K796,12))</x:f>
        <x:v>0</x:v>
      </x:c>
      <x:c r="H796" s="22" t="n">
        <x:f>MAX(0,MIN('Activities'!L796,24)-MAX('Activities'!K796,18))</x:f>
        <x:v>0</x:v>
      </x:c>
      <x:c r="I796" s="22" t="n">
        <x:f>MAX(0,MIN('Activities'!L796,30)-MAX('Activities'!K796,24))</x:f>
        <x:v>0</x:v>
      </x:c>
      <x:c r="J796" s="22" t="n">
        <x:f>MAX(0,MIN('Activities'!L796,36)-MAX('Activities'!K796,30))</x:f>
        <x:v>0</x:v>
      </x:c>
      <x:c r="K796" s="22" t="n">
        <x:f>MAX(0,MIN('Activities'!L796,42)-MAX('Activities'!K796,36))</x:f>
        <x:v>0</x:v>
      </x:c>
      <x:c r="L796" s="22" t="n">
        <x:f>MAX(0,MIN('Activities'!L796,48)-MAX('Activities'!K796,42))</x:f>
        <x:v>0</x:v>
      </x:c>
      <x:c r="M796" s="22" t="n">
        <x:f>MAX(0,MIN('Activities'!L796,54)-MAX('Activities'!K796,48))</x:f>
        <x:v>0</x:v>
      </x:c>
      <x:c r="N796" s="22" t="n">
        <x:f>MAX(0,MIN('Activities'!L796,60)-MAX('Activities'!K796,54))</x:f>
        <x:v>0</x:v>
      </x:c>
      <x:c r="O796" s="22" t="n">
        <x:f>MAX(0,MIN('Activities'!L796,66)-MAX('Activities'!K796,60))</x:f>
        <x:v>0</x:v>
      </x:c>
      <x:c r="P796" s="22" t="n">
        <x:f>MAX(0,MIN('Activities'!L796,72)-MAX('Activities'!K796,66))</x:f>
        <x:v>0</x:v>
      </x:c>
      <x:c r="Q796" s="22" t="n">
        <x:f>MAX(0,MIN('Activities'!L796,78)-MAX('Activities'!K796,72))</x:f>
        <x:v>0</x:v>
      </x:c>
      <x:c r="R796" s="22" t="n">
        <x:f>MAX(0,MIN('Activities'!L796,84)-MAX('Activities'!K796,78))</x:f>
        <x:v>0</x:v>
      </x:c>
      <x:c r="S796" s="22" t="n">
        <x:f>MAX(0,MIN('Activities'!L796,90)-MAX('Activities'!K796,84))</x:f>
        <x:v>0</x:v>
      </x:c>
      <x:c r="T796" s="22" t="n">
        <x:f>MAX(0,MIN('Activities'!L796,96)-MAX('Activities'!K796,90))</x:f>
        <x:v>0</x:v>
      </x:c>
      <x:c r="U796" s="22" t="n">
        <x:f>MAX(0,MIN('Activities'!L796,102)-MAX('Activities'!K796,96))</x:f>
        <x:v>0</x:v>
      </x:c>
      <x:c r="V796" s="22" t="n">
        <x:f>MAX(0,MIN('Activities'!L796,108)-MAX('Activities'!K796,102))</x:f>
        <x:v>0</x:v>
      </x:c>
      <x:c r="W796" s="22" t="n">
        <x:f>MAX(0,MIN('Activities'!L796,114)-MAX('Activities'!K796,108))</x:f>
        <x:v>0</x:v>
      </x:c>
      <x:c r="X796" s="22" t="n">
        <x:f>MAX(0,MIN('Activities'!L796,120)-MAX('Activities'!K796,114))</x:f>
        <x:v>0</x:v>
      </x:c>
      <x:c r="Y796" s="22" t="n">
        <x:f>MAX(0,MIN('Activities'!L796,126)-MAX('Activities'!K796,120))</x:f>
        <x:v>0</x:v>
      </x:c>
      <x:c r="Z796" s="22" t="n">
        <x:f>MAX(0,MIN('Activities'!L796,132)-MAX('Activities'!K796,126))</x:f>
        <x:v>0</x:v>
      </x:c>
      <x:c r="AA796" s="22" t="n">
        <x:f>MAX(0,MIN('Activities'!L796,138)-MAX('Activities'!K796,132))</x:f>
        <x:v>0</x:v>
      </x:c>
      <x:c r="AB796" s="22" t="n">
        <x:f>MAX(0,MIN('Activities'!L796,144)-MAX('Activities'!K796,138))</x:f>
        <x:v>0</x:v>
      </x:c>
      <x:c r="AC796" s="22" t="n">
        <x:f>MAX(0,MIN('Activities'!L796,150)-MAX('Activities'!K796,144))</x:f>
        <x:v>0</x:v>
      </x:c>
      <x:c r="AD796" s="22" t="n">
        <x:f>MAX(0,MIN('Activities'!L796,156)-MAX('Activities'!K796,150))</x:f>
        <x:v>0</x:v>
      </x:c>
      <x:c r="AE796" s="22" t="n">
        <x:f>MAX(0,MIN('Activities'!L796,162)-MAX('Activities'!K796,156))</x:f>
        <x:v>0</x:v>
      </x:c>
      <x:c r="AF796" s="22" t="n">
        <x:f>MAX(0,MIN('Activities'!L796,168)-MAX('Activities'!K796,162))</x:f>
        <x:v>0</x:v>
      </x:c>
      <x:c r="AG796" s="22" t="n">
        <x:f>MAX(0,MIN('Activities'!L796,174)-MAX('Activities'!K796,168))</x:f>
        <x:v>0</x:v>
      </x:c>
      <x:c r="AH796" s="22" t="n">
        <x:f>MAX(0,MIN('Activities'!L796,180)-MAX('Activities'!K796,174))</x:f>
        <x:v>0</x:v>
      </x:c>
      <x:c r="AI796" s="22" t="n">
        <x:f>MAX(0,MIN('Activities'!L796,186)-MAX('Activities'!K796,180))</x:f>
        <x:v>0</x:v>
      </x:c>
      <x:c r="AJ796" s="22" t="n">
        <x:f>MAX(0,MIN('Activities'!L796,192)-MAX('Activities'!K796,186))</x:f>
        <x:v>0</x:v>
      </x:c>
      <x:c r="AK796" s="22" t="n">
        <x:f>MAX(0,MIN('Activities'!L796,198)-MAX('Activities'!K796,192))</x:f>
        <x:v>0</x:v>
      </x:c>
      <x:c r="AL796" s="22" t="n">
        <x:f>MAX(0,MIN('Activities'!L796,204)-MAX('Activities'!K796,198))</x:f>
        <x:v>0</x:v>
      </x:c>
      <x:c r="AM796" s="22" t="n">
        <x:f>MAX(0,MIN('Activities'!L796,210)-MAX('Activities'!K796,204))</x:f>
        <x:v>0</x:v>
      </x:c>
      <x:c r="AN796" s="22" t="n">
        <x:f>MAX(0,MIN('Activities'!L796,216)-MAX('Activities'!K796,210))</x:f>
        <x:v>0</x:v>
      </x:c>
      <x:c r="AO796" s="22" t="n">
        <x:f>MAX(0,MIN('Activities'!L796,222)-MAX('Activities'!K796,216))</x:f>
        <x:v>0</x:v>
      </x:c>
      <x:c r="AP796" s="22" t="n">
        <x:f>MAX(0,MIN('Activities'!L796,228)-MAX('Activities'!K796,222))</x:f>
        <x:v>0</x:v>
      </x:c>
      <x:c r="AQ796" s="22" t="n">
        <x:f>MAX(0,MIN('Activities'!L796,234)-MAX('Activities'!K796,228))</x:f>
        <x:v>0</x:v>
      </x:c>
      <x:c r="AR796" s="22" t="n">
        <x:f>MAX(0,MIN('Activities'!L796,240)-MAX('Activities'!K796,234))</x:f>
        <x:v>0</x:v>
      </x:c>
      <x:c r="AS796" s="22" t="n">
        <x:f>MAX(0,MIN('Activities'!L796,246)-MAX('Activities'!K796,240))</x:f>
        <x:v>0</x:v>
      </x:c>
      <x:c r="AT796" s="22" t="n">
        <x:f>MAX(0,MIN('Activities'!L796,252)-MAX('Activities'!K796,246))</x:f>
        <x:v>0</x:v>
      </x:c>
      <x:c r="AU796" s="22" t="n">
        <x:f>MAX(0,MIN('Activities'!L796,258)-MAX('Activities'!K796,252))</x:f>
        <x:v>0</x:v>
      </x:c>
      <x:c r="AV796" s="22" t="n">
        <x:f>MAX(0,MIN('Activities'!L796,264)-MAX('Activities'!K796,258))</x:f>
        <x:v>0</x:v>
      </x:c>
      <x:c r="AW796" s="22" t="n">
        <x:f>MAX(0,MIN('Activities'!L796,270)-MAX('Activities'!K796,264))</x:f>
        <x:v>0</x:v>
      </x:c>
      <x:c r="AX796" s="22" t="n">
        <x:f>MAX(0,MIN('Activities'!L796,276)-MAX('Activities'!K796,270))</x:f>
        <x:v>0</x:v>
      </x:c>
      <x:c r="AY796" s="22" t="n">
        <x:f>MAX(0,MIN('Activities'!L796,282)-MAX('Activities'!K796,276))</x:f>
        <x:v>0</x:v>
      </x:c>
      <x:c r="AZ796" s="22" t="n">
        <x:f>MAX(0,MIN('Activities'!L796,288)-MAX('Activities'!K796,282))</x:f>
        <x:v>0</x:v>
      </x:c>
      <x:c r="BA796" s="22" t="n">
        <x:f>MAX(0,MIN('Activities'!L796,294)-MAX('Activities'!K796,288))</x:f>
        <x:v>0</x:v>
      </x:c>
      <x:c r="BB796" s="22" t="n">
        <x:f>MAX(0,MIN('Activities'!L796,300)-MAX('Activities'!K796,294))</x:f>
        <x:v>0</x:v>
      </x:c>
      <x:c r="BC796" s="22" t="n">
        <x:f>MAX(0,MIN('Activities'!L796,306)-MAX('Activities'!K796,300))</x:f>
        <x:v>0</x:v>
      </x:c>
      <x:c r="BD796" s="22" t="n">
        <x:f>MAX(0,MIN('Activities'!L796,312)-MAX('Activities'!K796,306))</x:f>
        <x:v>0</x:v>
      </x:c>
      <x:c r="BE796" s="22" t="n">
        <x:f>MAX(0,MIN('Activities'!L796,318)-MAX('Activities'!K796,312))</x:f>
        <x:v>0</x:v>
      </x:c>
      <x:c r="BF796" s="22" t="n">
        <x:f>MAX(0,MIN('Activities'!L796,324)-MAX('Activities'!K796,318))</x:f>
        <x:v>0</x:v>
      </x:c>
      <x:c r="BG796" s="22" t="n">
        <x:f>MAX(0,MIN('Activities'!L796,330)-MAX('Activities'!K796,324))</x:f>
        <x:v>0</x:v>
      </x:c>
      <x:c r="BH796" s="22" t="n">
        <x:f>MAX(0,MIN('Activities'!L796,336)-MAX('Activities'!K796,330))</x:f>
        <x:v>0</x:v>
      </x:c>
      <x:c r="BI796" s="22" t="n">
        <x:f>MAX(0,MIN('Activities'!L796,342)-MAX('Activities'!K796,336))</x:f>
        <x:v>0</x:v>
      </x:c>
      <x:c r="BJ796" s="22" t="n">
        <x:f>MAX(0,MIN('Activities'!L796,348)-MAX('Activities'!K796,342))</x:f>
        <x:v>0</x:v>
      </x:c>
      <x:c r="BK796" s="22" t="n">
        <x:f>MAX(0,MIN('Activities'!L796,354)-MAX('Activities'!K796,348))</x:f>
        <x:v>0</x:v>
      </x:c>
      <x:c r="BL796" s="22" t="n">
        <x:f>MAX(0,MIN('Activities'!L796,360)-MAX('Activities'!K796,354))</x:f>
        <x:v>0</x:v>
      </x:c>
      <x:c r="BM796" s="22" t="n">
        <x:f>MAX(0,MIN('Activities'!L796,366)-MAX('Activities'!K796,360))</x:f>
        <x:v>0</x:v>
      </x:c>
      <x:c r="BN796" s="22" t="n">
        <x:f>MAX(0,MIN('Activities'!L796,372)-MAX('Activities'!K796,366))</x:f>
        <x:v>0</x:v>
      </x:c>
      <x:c r="BO796" s="22" t="n">
        <x:f>MAX(0,MIN('Activities'!L796,378)-MAX('Activities'!K796,372))</x:f>
        <x:v>0</x:v>
      </x:c>
      <x:c r="BP796" s="22" t="n">
        <x:f>MAX(0,MIN('Activities'!L796,384)-MAX('Activities'!K796,378))</x:f>
        <x:v>0</x:v>
      </x:c>
      <x:c r="BQ796" s="22" t="n">
        <x:f>MAX(0,MIN('Activities'!L796,390)-MAX('Activities'!K796,384))</x:f>
        <x:v>0</x:v>
      </x:c>
      <x:c r="BR796" s="22" t="n">
        <x:f>MAX(0,MIN('Activities'!L796,396)-MAX('Activities'!K796,390))</x:f>
        <x:v>0</x:v>
      </x:c>
      <x:c r="BS796" s="22" t="n">
        <x:f>MAX(0,MIN('Activities'!L796,402)-MAX('Activities'!K796,396))</x:f>
        <x:v>0</x:v>
      </x:c>
      <x:c r="BT796" s="22" t="n">
        <x:f>MAX(0,MIN('Activities'!L796,408)-MAX('Activities'!K796,402))</x:f>
        <x:v>0</x:v>
      </x:c>
      <x:c r="BU796" s="22" t="n">
        <x:f>MAX(0,MIN('Activities'!L796,414)-MAX('Activities'!K796,408))</x:f>
        <x:v>0</x:v>
      </x:c>
      <x:c r="BV796" s="22" t="n">
        <x:f>MAX(0,MIN('Activities'!L796,420)-MAX('Activities'!K796,414))</x:f>
        <x:v>0</x:v>
      </x:c>
      <x:c r="BW796" s="22" t="n">
        <x:f>MAX(0,MIN('Activities'!L796,426)-MAX('Activities'!K796,420))</x:f>
        <x:v>0</x:v>
      </x:c>
      <x:c r="BX796" s="22" t="n">
        <x:f>MAX(0,MIN('Activities'!L796,432)-MAX('Activities'!K796,426))</x:f>
        <x:v>0</x:v>
      </x:c>
      <x:c r="BY796" s="22" t="n">
        <x:f>MAX(0,MIN('Activities'!L796,438)-MAX('Activities'!K796,432))</x:f>
        <x:v>5</x:v>
      </x:c>
      <x:c r="BZ796" s="22" t="n">
        <x:f>MAX(0,MIN('Activities'!L796,444)-MAX('Activities'!K796,438))</x:f>
        <x:v>0</x:v>
      </x:c>
      <x:c r="CA796" s="22" t="n">
        <x:f>MAX(0,MIN('Activities'!L796,450)-MAX('Activities'!K796,444))</x:f>
        <x:v>0</x:v>
      </x:c>
      <x:c r="CB796" s="22" t="n">
        <x:f>MAX(0,MIN('Activities'!L796,456)-MAX('Activities'!K796,450))</x:f>
        <x:v>0</x:v>
      </x:c>
      <x:c r="CC796" s="22" t="n">
        <x:f>MAX(0,MIN('Activities'!L796,462)-MAX('Activities'!K796,456))</x:f>
        <x:v>0</x:v>
      </x:c>
      <x:c r="CD796" s="22" t="n">
        <x:f>MAX(0,MIN('Activities'!L796,468)-MAX('Activities'!K796,462))</x:f>
        <x:v>0</x:v>
      </x:c>
      <x:c r="CE796" s="22" t="n">
        <x:f>MAX(0,MIN('Activities'!L796,474)-MAX('Activities'!K796,468))</x:f>
        <x:v>0</x:v>
      </x:c>
      <x:c r="CF796" s="22" t="n">
        <x:f>MAX(0,MIN('Activities'!L796,480)-MAX('Activities'!K796,474))</x:f>
        <x:v>0</x:v>
      </x:c>
      <x:c r="CG796" s="22" t="n">
        <x:f>MAX(0,MIN('Activities'!L796,486)-MAX('Activities'!K796,480))</x:f>
        <x:v>0</x:v>
      </x:c>
      <x:c r="CH796" s="22" t="n">
        <x:f>MAX(0,MIN('Activities'!L796,492)-MAX('Activities'!K796,486))</x:f>
        <x:v>0</x:v>
      </x:c>
      <x:c r="CI796" s="22" t="n">
        <x:f>MAX(0,MIN('Activities'!L796,498)-MAX('Activities'!K796,492))</x:f>
        <x:v>0</x:v>
      </x:c>
      <x:c r="CJ796" s="22" t="n">
        <x:f>MAX(0,MIN('Activities'!L796,504)-MAX('Activities'!K796,498))</x:f>
        <x:v>0</x:v>
      </x:c>
      <x:c r="CK796" s="22" t="n">
        <x:f>MAX(0,MIN('Activities'!L796,510)-MAX('Activities'!K796,504))</x:f>
        <x:v>0</x:v>
      </x:c>
      <x:c r="CL796" s="22" t="n">
        <x:f>MAX(0,MIN('Activities'!L796,516)-MAX('Activities'!K796,510))</x:f>
        <x:v>0</x:v>
      </x:c>
      <x:c r="CM796" s="22" t="n">
        <x:f>MAX(0,MIN('Activities'!L796,522)-MAX('Activities'!K796,516))</x:f>
        <x:v>0</x:v>
      </x:c>
      <x:c r="CN796" s="22" t="n">
        <x:f>MAX(0,MIN('Activities'!L796,528)-MAX('Activities'!K796,522))</x:f>
        <x:v>0</x:v>
      </x:c>
      <x:c r="CO796" s="22" t="n">
        <x:f>MAX(0,MIN('Activities'!L796,534)-MAX('Activities'!K796,528))</x:f>
        <x:v>0</x:v>
      </x:c>
      <x:c r="CP796" s="22" t="n">
        <x:f>MAX(0,MIN('Activities'!L796,540)-MAX('Activities'!K796,534))</x:f>
        <x:v>0</x:v>
      </x:c>
      <x:c r="CQ796" s="22" t="n">
        <x:f>MAX(0,MIN('Activities'!L796,546)-MAX('Activities'!K796,540))</x:f>
        <x:v>0</x:v>
      </x:c>
      <x:c r="CR796" s="22" t="n">
        <x:f>MAX(0,MIN('Activities'!L796,552)-MAX('Activities'!K796,546))</x:f>
        <x:v>0</x:v>
      </x:c>
      <x:c r="CS796" s="22" t="n">
        <x:f>MAX(0,MIN('Activities'!L796,558)-MAX('Activities'!K796,552))</x:f>
        <x:v>0</x:v>
      </x:c>
      <x:c r="CT796" s="22" t="n">
        <x:f>MAX(0,MIN('Activities'!L796,564)-MAX('Activities'!K796,558))</x:f>
        <x:v>0</x:v>
      </x:c>
      <x:c r="CU796" s="22" t="n">
        <x:f>MAX(0,MIN('Activities'!L796,570)-MAX('Activities'!K796,564))</x:f>
        <x:v>0</x:v>
      </x:c>
      <x:c r="CV796" s="22" t="n">
        <x:f>MAX(0,MIN('Activities'!L796,576)-MAX('Activities'!K796,570))</x:f>
        <x:v>0</x:v>
      </x:c>
      <x:c r="CW796" s="22" t="n">
        <x:f>MAX(0,MIN('Activities'!L796,582)-MAX('Activities'!K796,576))</x:f>
        <x:v>0</x:v>
      </x:c>
      <x:c r="CX796" s="22" t="n">
        <x:f>MAX(0,MIN('Activities'!L796,588)-MAX('Activities'!K796,582))</x:f>
        <x:v>0</x:v>
      </x:c>
      <x:c r="CY796" s="22" t="n">
        <x:f>MAX(0,MIN('Activities'!L796,594)-MAX('Activities'!K796,588))</x:f>
        <x:v>0</x:v>
      </x:c>
      <x:c r="CZ796" s="22" t="n">
        <x:f>MAX(0,MIN('Activities'!L796,600)-MAX('Activities'!K796,594))</x:f>
        <x:v>0</x:v>
      </x:c>
      <x:c r="DA796" s="22" t="n">
        <x:f>MAX(0,MIN('Activities'!L796,606)-MAX('Activities'!K796,600))</x:f>
        <x:v>0</x:v>
      </x:c>
      <x:c r="DB796" s="22" t="n">
        <x:f>MAX(0,MIN('Activities'!L796,612)-MAX('Activities'!K796,606))</x:f>
        <x:v>0</x:v>
      </x:c>
      <x:c r="DC796" s="22" t="n">
        <x:f>MAX(0,MIN('Activities'!L796,618)-MAX('Activities'!K796,612))</x:f>
        <x:v>0</x:v>
      </x:c>
      <x:c r="DD796" s="22" t="n">
        <x:f>MAX(0,MIN('Activities'!L796,624)-MAX('Activities'!K796,618))</x:f>
        <x:v>0</x:v>
      </x:c>
      <x:c r="DE796" s="22" t="n">
        <x:f>MAX(0,MIN('Activities'!L796,630)-MAX('Activities'!K796,624))</x:f>
        <x:v>0</x:v>
      </x:c>
      <x:c r="DF796" s="22" t="n">
        <x:f>MAX(0,MIN('Activities'!L796,636)-MAX('Activities'!K796,630))</x:f>
        <x:v>0</x:v>
      </x:c>
    </x:row>
    <x:row r="797" ht="23" customHeight="1">
      <x:c r="A797" s="1" t="str">
        <x:v>T6-L10-P</x:v>
      </x:c>
      <x:c r="B797" s="1" t="str">
        <x:v>T6</x:v>
      </x:c>
      <x:c r="C797" s="1" t="str">
        <x:v>Internal plaster</x:v>
      </x:c>
      <x:c r="D797" s="1" t="str">
        <x:v>Finishes</x:v>
      </x:c>
      <x:c r="E797" s="23" t="n">
        <x:f>MAX(0,MIN('Activities'!L797,6)-MAX('Activities'!K797,0))</x:f>
        <x:v>0</x:v>
      </x:c>
      <x:c r="F797" s="23" t="n">
        <x:f>MAX(0,MIN('Activities'!L797,12)-MAX('Activities'!K797,6))</x:f>
        <x:v>0</x:v>
      </x:c>
      <x:c r="G797" s="23" t="n">
        <x:f>MAX(0,MIN('Activities'!L797,18)-MAX('Activities'!K797,12))</x:f>
        <x:v>0</x:v>
      </x:c>
      <x:c r="H797" s="23" t="n">
        <x:f>MAX(0,MIN('Activities'!L797,24)-MAX('Activities'!K797,18))</x:f>
        <x:v>0</x:v>
      </x:c>
      <x:c r="I797" s="23" t="n">
        <x:f>MAX(0,MIN('Activities'!L797,30)-MAX('Activities'!K797,24))</x:f>
        <x:v>0</x:v>
      </x:c>
      <x:c r="J797" s="23" t="n">
        <x:f>MAX(0,MIN('Activities'!L797,36)-MAX('Activities'!K797,30))</x:f>
        <x:v>0</x:v>
      </x:c>
      <x:c r="K797" s="23" t="n">
        <x:f>MAX(0,MIN('Activities'!L797,42)-MAX('Activities'!K797,36))</x:f>
        <x:v>0</x:v>
      </x:c>
      <x:c r="L797" s="23" t="n">
        <x:f>MAX(0,MIN('Activities'!L797,48)-MAX('Activities'!K797,42))</x:f>
        <x:v>0</x:v>
      </x:c>
      <x:c r="M797" s="23" t="n">
        <x:f>MAX(0,MIN('Activities'!L797,54)-MAX('Activities'!K797,48))</x:f>
        <x:v>0</x:v>
      </x:c>
      <x:c r="N797" s="23" t="n">
        <x:f>MAX(0,MIN('Activities'!L797,60)-MAX('Activities'!K797,54))</x:f>
        <x:v>0</x:v>
      </x:c>
      <x:c r="O797" s="23" t="n">
        <x:f>MAX(0,MIN('Activities'!L797,66)-MAX('Activities'!K797,60))</x:f>
        <x:v>0</x:v>
      </x:c>
      <x:c r="P797" s="23" t="n">
        <x:f>MAX(0,MIN('Activities'!L797,72)-MAX('Activities'!K797,66))</x:f>
        <x:v>0</x:v>
      </x:c>
      <x:c r="Q797" s="23" t="n">
        <x:f>MAX(0,MIN('Activities'!L797,78)-MAX('Activities'!K797,72))</x:f>
        <x:v>0</x:v>
      </x:c>
      <x:c r="R797" s="23" t="n">
        <x:f>MAX(0,MIN('Activities'!L797,84)-MAX('Activities'!K797,78))</x:f>
        <x:v>0</x:v>
      </x:c>
      <x:c r="S797" s="23" t="n">
        <x:f>MAX(0,MIN('Activities'!L797,90)-MAX('Activities'!K797,84))</x:f>
        <x:v>0</x:v>
      </x:c>
      <x:c r="T797" s="23" t="n">
        <x:f>MAX(0,MIN('Activities'!L797,96)-MAX('Activities'!K797,90))</x:f>
        <x:v>0</x:v>
      </x:c>
      <x:c r="U797" s="23" t="n">
        <x:f>MAX(0,MIN('Activities'!L797,102)-MAX('Activities'!K797,96))</x:f>
        <x:v>0</x:v>
      </x:c>
      <x:c r="V797" s="23" t="n">
        <x:f>MAX(0,MIN('Activities'!L797,108)-MAX('Activities'!K797,102))</x:f>
        <x:v>0</x:v>
      </x:c>
      <x:c r="W797" s="23" t="n">
        <x:f>MAX(0,MIN('Activities'!L797,114)-MAX('Activities'!K797,108))</x:f>
        <x:v>0</x:v>
      </x:c>
      <x:c r="X797" s="23" t="n">
        <x:f>MAX(0,MIN('Activities'!L797,120)-MAX('Activities'!K797,114))</x:f>
        <x:v>0</x:v>
      </x:c>
      <x:c r="Y797" s="23" t="n">
        <x:f>MAX(0,MIN('Activities'!L797,126)-MAX('Activities'!K797,120))</x:f>
        <x:v>0</x:v>
      </x:c>
      <x:c r="Z797" s="23" t="n">
        <x:f>MAX(0,MIN('Activities'!L797,132)-MAX('Activities'!K797,126))</x:f>
        <x:v>0</x:v>
      </x:c>
      <x:c r="AA797" s="23" t="n">
        <x:f>MAX(0,MIN('Activities'!L797,138)-MAX('Activities'!K797,132))</x:f>
        <x:v>0</x:v>
      </x:c>
      <x:c r="AB797" s="23" t="n">
        <x:f>MAX(0,MIN('Activities'!L797,144)-MAX('Activities'!K797,138))</x:f>
        <x:v>0</x:v>
      </x:c>
      <x:c r="AC797" s="23" t="n">
        <x:f>MAX(0,MIN('Activities'!L797,150)-MAX('Activities'!K797,144))</x:f>
        <x:v>0</x:v>
      </x:c>
      <x:c r="AD797" s="23" t="n">
        <x:f>MAX(0,MIN('Activities'!L797,156)-MAX('Activities'!K797,150))</x:f>
        <x:v>0</x:v>
      </x:c>
      <x:c r="AE797" s="23" t="n">
        <x:f>MAX(0,MIN('Activities'!L797,162)-MAX('Activities'!K797,156))</x:f>
        <x:v>0</x:v>
      </x:c>
      <x:c r="AF797" s="23" t="n">
        <x:f>MAX(0,MIN('Activities'!L797,168)-MAX('Activities'!K797,162))</x:f>
        <x:v>0</x:v>
      </x:c>
      <x:c r="AG797" s="23" t="n">
        <x:f>MAX(0,MIN('Activities'!L797,174)-MAX('Activities'!K797,168))</x:f>
        <x:v>0</x:v>
      </x:c>
      <x:c r="AH797" s="23" t="n">
        <x:f>MAX(0,MIN('Activities'!L797,180)-MAX('Activities'!K797,174))</x:f>
        <x:v>0</x:v>
      </x:c>
      <x:c r="AI797" s="23" t="n">
        <x:f>MAX(0,MIN('Activities'!L797,186)-MAX('Activities'!K797,180))</x:f>
        <x:v>0</x:v>
      </x:c>
      <x:c r="AJ797" s="23" t="n">
        <x:f>MAX(0,MIN('Activities'!L797,192)-MAX('Activities'!K797,186))</x:f>
        <x:v>0</x:v>
      </x:c>
      <x:c r="AK797" s="23" t="n">
        <x:f>MAX(0,MIN('Activities'!L797,198)-MAX('Activities'!K797,192))</x:f>
        <x:v>0</x:v>
      </x:c>
      <x:c r="AL797" s="23" t="n">
        <x:f>MAX(0,MIN('Activities'!L797,204)-MAX('Activities'!K797,198))</x:f>
        <x:v>0</x:v>
      </x:c>
      <x:c r="AM797" s="23" t="n">
        <x:f>MAX(0,MIN('Activities'!L797,210)-MAX('Activities'!K797,204))</x:f>
        <x:v>0</x:v>
      </x:c>
      <x:c r="AN797" s="23" t="n">
        <x:f>MAX(0,MIN('Activities'!L797,216)-MAX('Activities'!K797,210))</x:f>
        <x:v>0</x:v>
      </x:c>
      <x:c r="AO797" s="23" t="n">
        <x:f>MAX(0,MIN('Activities'!L797,222)-MAX('Activities'!K797,216))</x:f>
        <x:v>0</x:v>
      </x:c>
      <x:c r="AP797" s="23" t="n">
        <x:f>MAX(0,MIN('Activities'!L797,228)-MAX('Activities'!K797,222))</x:f>
        <x:v>0</x:v>
      </x:c>
      <x:c r="AQ797" s="23" t="n">
        <x:f>MAX(0,MIN('Activities'!L797,234)-MAX('Activities'!K797,228))</x:f>
        <x:v>0</x:v>
      </x:c>
      <x:c r="AR797" s="23" t="n">
        <x:f>MAX(0,MIN('Activities'!L797,240)-MAX('Activities'!K797,234))</x:f>
        <x:v>0</x:v>
      </x:c>
      <x:c r="AS797" s="23" t="n">
        <x:f>MAX(0,MIN('Activities'!L797,246)-MAX('Activities'!K797,240))</x:f>
        <x:v>0</x:v>
      </x:c>
      <x:c r="AT797" s="23" t="n">
        <x:f>MAX(0,MIN('Activities'!L797,252)-MAX('Activities'!K797,246))</x:f>
        <x:v>0</x:v>
      </x:c>
      <x:c r="AU797" s="23" t="n">
        <x:f>MAX(0,MIN('Activities'!L797,258)-MAX('Activities'!K797,252))</x:f>
        <x:v>0</x:v>
      </x:c>
      <x:c r="AV797" s="23" t="n">
        <x:f>MAX(0,MIN('Activities'!L797,264)-MAX('Activities'!K797,258))</x:f>
        <x:v>0</x:v>
      </x:c>
      <x:c r="AW797" s="23" t="n">
        <x:f>MAX(0,MIN('Activities'!L797,270)-MAX('Activities'!K797,264))</x:f>
        <x:v>0</x:v>
      </x:c>
      <x:c r="AX797" s="23" t="n">
        <x:f>MAX(0,MIN('Activities'!L797,276)-MAX('Activities'!K797,270))</x:f>
        <x:v>0</x:v>
      </x:c>
      <x:c r="AY797" s="23" t="n">
        <x:f>MAX(0,MIN('Activities'!L797,282)-MAX('Activities'!K797,276))</x:f>
        <x:v>0</x:v>
      </x:c>
      <x:c r="AZ797" s="23" t="n">
        <x:f>MAX(0,MIN('Activities'!L797,288)-MAX('Activities'!K797,282))</x:f>
        <x:v>0</x:v>
      </x:c>
      <x:c r="BA797" s="23" t="n">
        <x:f>MAX(0,MIN('Activities'!L797,294)-MAX('Activities'!K797,288))</x:f>
        <x:v>0</x:v>
      </x:c>
      <x:c r="BB797" s="23" t="n">
        <x:f>MAX(0,MIN('Activities'!L797,300)-MAX('Activities'!K797,294))</x:f>
        <x:v>0</x:v>
      </x:c>
      <x:c r="BC797" s="23" t="n">
        <x:f>MAX(0,MIN('Activities'!L797,306)-MAX('Activities'!K797,300))</x:f>
        <x:v>0</x:v>
      </x:c>
      <x:c r="BD797" s="23" t="n">
        <x:f>MAX(0,MIN('Activities'!L797,312)-MAX('Activities'!K797,306))</x:f>
        <x:v>0</x:v>
      </x:c>
      <x:c r="BE797" s="23" t="n">
        <x:f>MAX(0,MIN('Activities'!L797,318)-MAX('Activities'!K797,312))</x:f>
        <x:v>0</x:v>
      </x:c>
      <x:c r="BF797" s="23" t="n">
        <x:f>MAX(0,MIN('Activities'!L797,324)-MAX('Activities'!K797,318))</x:f>
        <x:v>0</x:v>
      </x:c>
      <x:c r="BG797" s="23" t="n">
        <x:f>MAX(0,MIN('Activities'!L797,330)-MAX('Activities'!K797,324))</x:f>
        <x:v>0</x:v>
      </x:c>
      <x:c r="BH797" s="23" t="n">
        <x:f>MAX(0,MIN('Activities'!L797,336)-MAX('Activities'!K797,330))</x:f>
        <x:v>0</x:v>
      </x:c>
      <x:c r="BI797" s="23" t="n">
        <x:f>MAX(0,MIN('Activities'!L797,342)-MAX('Activities'!K797,336))</x:f>
        <x:v>0</x:v>
      </x:c>
      <x:c r="BJ797" s="23" t="n">
        <x:f>MAX(0,MIN('Activities'!L797,348)-MAX('Activities'!K797,342))</x:f>
        <x:v>0</x:v>
      </x:c>
      <x:c r="BK797" s="23" t="n">
        <x:f>MAX(0,MIN('Activities'!L797,354)-MAX('Activities'!K797,348))</x:f>
        <x:v>0</x:v>
      </x:c>
      <x:c r="BL797" s="23" t="n">
        <x:f>MAX(0,MIN('Activities'!L797,360)-MAX('Activities'!K797,354))</x:f>
        <x:v>0</x:v>
      </x:c>
      <x:c r="BM797" s="23" t="n">
        <x:f>MAX(0,MIN('Activities'!L797,366)-MAX('Activities'!K797,360))</x:f>
        <x:v>0</x:v>
      </x:c>
      <x:c r="BN797" s="23" t="n">
        <x:f>MAX(0,MIN('Activities'!L797,372)-MAX('Activities'!K797,366))</x:f>
        <x:v>0</x:v>
      </x:c>
      <x:c r="BO797" s="23" t="n">
        <x:f>MAX(0,MIN('Activities'!L797,378)-MAX('Activities'!K797,372))</x:f>
        <x:v>0</x:v>
      </x:c>
      <x:c r="BP797" s="23" t="n">
        <x:f>MAX(0,MIN('Activities'!L797,384)-MAX('Activities'!K797,378))</x:f>
        <x:v>0</x:v>
      </x:c>
      <x:c r="BQ797" s="23" t="n">
        <x:f>MAX(0,MIN('Activities'!L797,390)-MAX('Activities'!K797,384))</x:f>
        <x:v>0</x:v>
      </x:c>
      <x:c r="BR797" s="23" t="n">
        <x:f>MAX(0,MIN('Activities'!L797,396)-MAX('Activities'!K797,390))</x:f>
        <x:v>0</x:v>
      </x:c>
      <x:c r="BS797" s="23" t="n">
        <x:f>MAX(0,MIN('Activities'!L797,402)-MAX('Activities'!K797,396))</x:f>
        <x:v>0</x:v>
      </x:c>
      <x:c r="BT797" s="23" t="n">
        <x:f>MAX(0,MIN('Activities'!L797,408)-MAX('Activities'!K797,402))</x:f>
        <x:v>0</x:v>
      </x:c>
      <x:c r="BU797" s="23" t="n">
        <x:f>MAX(0,MIN('Activities'!L797,414)-MAX('Activities'!K797,408))</x:f>
        <x:v>0</x:v>
      </x:c>
      <x:c r="BV797" s="23" t="n">
        <x:f>MAX(0,MIN('Activities'!L797,420)-MAX('Activities'!K797,414))</x:f>
        <x:v>0</x:v>
      </x:c>
      <x:c r="BW797" s="23" t="n">
        <x:f>MAX(0,MIN('Activities'!L797,426)-MAX('Activities'!K797,420))</x:f>
        <x:v>0</x:v>
      </x:c>
      <x:c r="BX797" s="23" t="n">
        <x:f>MAX(0,MIN('Activities'!L797,432)-MAX('Activities'!K797,426))</x:f>
        <x:v>0</x:v>
      </x:c>
      <x:c r="BY797" s="23" t="n">
        <x:f>MAX(0,MIN('Activities'!L797,438)-MAX('Activities'!K797,432))</x:f>
        <x:v>0</x:v>
      </x:c>
      <x:c r="BZ797" s="23" t="n">
        <x:f>MAX(0,MIN('Activities'!L797,444)-MAX('Activities'!K797,438))</x:f>
        <x:v>3</x:v>
      </x:c>
      <x:c r="CA797" s="23" t="n">
        <x:f>MAX(0,MIN('Activities'!L797,450)-MAX('Activities'!K797,444))</x:f>
        <x:v>3</x:v>
      </x:c>
      <x:c r="CB797" s="23" t="n">
        <x:f>MAX(0,MIN('Activities'!L797,456)-MAX('Activities'!K797,450))</x:f>
        <x:v>0</x:v>
      </x:c>
      <x:c r="CC797" s="23" t="n">
        <x:f>MAX(0,MIN('Activities'!L797,462)-MAX('Activities'!K797,456))</x:f>
        <x:v>0</x:v>
      </x:c>
      <x:c r="CD797" s="23" t="n">
        <x:f>MAX(0,MIN('Activities'!L797,468)-MAX('Activities'!K797,462))</x:f>
        <x:v>0</x:v>
      </x:c>
      <x:c r="CE797" s="23" t="n">
        <x:f>MAX(0,MIN('Activities'!L797,474)-MAX('Activities'!K797,468))</x:f>
        <x:v>0</x:v>
      </x:c>
      <x:c r="CF797" s="23" t="n">
        <x:f>MAX(0,MIN('Activities'!L797,480)-MAX('Activities'!K797,474))</x:f>
        <x:v>0</x:v>
      </x:c>
      <x:c r="CG797" s="23" t="n">
        <x:f>MAX(0,MIN('Activities'!L797,486)-MAX('Activities'!K797,480))</x:f>
        <x:v>0</x:v>
      </x:c>
      <x:c r="CH797" s="23" t="n">
        <x:f>MAX(0,MIN('Activities'!L797,492)-MAX('Activities'!K797,486))</x:f>
        <x:v>0</x:v>
      </x:c>
      <x:c r="CI797" s="23" t="n">
        <x:f>MAX(0,MIN('Activities'!L797,498)-MAX('Activities'!K797,492))</x:f>
        <x:v>0</x:v>
      </x:c>
      <x:c r="CJ797" s="23" t="n">
        <x:f>MAX(0,MIN('Activities'!L797,504)-MAX('Activities'!K797,498))</x:f>
        <x:v>0</x:v>
      </x:c>
      <x:c r="CK797" s="23" t="n">
        <x:f>MAX(0,MIN('Activities'!L797,510)-MAX('Activities'!K797,504))</x:f>
        <x:v>0</x:v>
      </x:c>
      <x:c r="CL797" s="23" t="n">
        <x:f>MAX(0,MIN('Activities'!L797,516)-MAX('Activities'!K797,510))</x:f>
        <x:v>0</x:v>
      </x:c>
      <x:c r="CM797" s="23" t="n">
        <x:f>MAX(0,MIN('Activities'!L797,522)-MAX('Activities'!K797,516))</x:f>
        <x:v>0</x:v>
      </x:c>
      <x:c r="CN797" s="23" t="n">
        <x:f>MAX(0,MIN('Activities'!L797,528)-MAX('Activities'!K797,522))</x:f>
        <x:v>0</x:v>
      </x:c>
      <x:c r="CO797" s="23" t="n">
        <x:f>MAX(0,MIN('Activities'!L797,534)-MAX('Activities'!K797,528))</x:f>
        <x:v>0</x:v>
      </x:c>
      <x:c r="CP797" s="23" t="n">
        <x:f>MAX(0,MIN('Activities'!L797,540)-MAX('Activities'!K797,534))</x:f>
        <x:v>0</x:v>
      </x:c>
      <x:c r="CQ797" s="23" t="n">
        <x:f>MAX(0,MIN('Activities'!L797,546)-MAX('Activities'!K797,540))</x:f>
        <x:v>0</x:v>
      </x:c>
      <x:c r="CR797" s="23" t="n">
        <x:f>MAX(0,MIN('Activities'!L797,552)-MAX('Activities'!K797,546))</x:f>
        <x:v>0</x:v>
      </x:c>
      <x:c r="CS797" s="23" t="n">
        <x:f>MAX(0,MIN('Activities'!L797,558)-MAX('Activities'!K797,552))</x:f>
        <x:v>0</x:v>
      </x:c>
      <x:c r="CT797" s="23" t="n">
        <x:f>MAX(0,MIN('Activities'!L797,564)-MAX('Activities'!K797,558))</x:f>
        <x:v>0</x:v>
      </x:c>
      <x:c r="CU797" s="23" t="n">
        <x:f>MAX(0,MIN('Activities'!L797,570)-MAX('Activities'!K797,564))</x:f>
        <x:v>0</x:v>
      </x:c>
      <x:c r="CV797" s="23" t="n">
        <x:f>MAX(0,MIN('Activities'!L797,576)-MAX('Activities'!K797,570))</x:f>
        <x:v>0</x:v>
      </x:c>
      <x:c r="CW797" s="23" t="n">
        <x:f>MAX(0,MIN('Activities'!L797,582)-MAX('Activities'!K797,576))</x:f>
        <x:v>0</x:v>
      </x:c>
      <x:c r="CX797" s="23" t="n">
        <x:f>MAX(0,MIN('Activities'!L797,588)-MAX('Activities'!K797,582))</x:f>
        <x:v>0</x:v>
      </x:c>
      <x:c r="CY797" s="23" t="n">
        <x:f>MAX(0,MIN('Activities'!L797,594)-MAX('Activities'!K797,588))</x:f>
        <x:v>0</x:v>
      </x:c>
      <x:c r="CZ797" s="23" t="n">
        <x:f>MAX(0,MIN('Activities'!L797,600)-MAX('Activities'!K797,594))</x:f>
        <x:v>0</x:v>
      </x:c>
      <x:c r="DA797" s="23" t="n">
        <x:f>MAX(0,MIN('Activities'!L797,606)-MAX('Activities'!K797,600))</x:f>
        <x:v>0</x:v>
      </x:c>
      <x:c r="DB797" s="23" t="n">
        <x:f>MAX(0,MIN('Activities'!L797,612)-MAX('Activities'!K797,606))</x:f>
        <x:v>0</x:v>
      </x:c>
      <x:c r="DC797" s="23" t="n">
        <x:f>MAX(0,MIN('Activities'!L797,618)-MAX('Activities'!K797,612))</x:f>
        <x:v>0</x:v>
      </x:c>
      <x:c r="DD797" s="23" t="n">
        <x:f>MAX(0,MIN('Activities'!L797,624)-MAX('Activities'!K797,618))</x:f>
        <x:v>0</x:v>
      </x:c>
      <x:c r="DE797" s="23" t="n">
        <x:f>MAX(0,MIN('Activities'!L797,630)-MAX('Activities'!K797,624))</x:f>
        <x:v>0</x:v>
      </x:c>
      <x:c r="DF797" s="23" t="n">
        <x:f>MAX(0,MIN('Activities'!L797,636)-MAX('Activities'!K797,630))</x:f>
        <x:v>0</x:v>
      </x:c>
    </x:row>
    <x:row r="798" ht="23" customHeight="1">
      <x:c r="A798" s="6" t="str">
        <x:v>T6-L10-S</x:v>
      </x:c>
      <x:c r="B798" s="6" t="str">
        <x:v>T6</x:v>
      </x:c>
      <x:c r="C798" s="6" t="str">
        <x:v>Screed and substrate preparation</x:v>
      </x:c>
      <x:c r="D798" s="6" t="str">
        <x:v>Finishes</x:v>
      </x:c>
      <x:c r="E798" s="22" t="n">
        <x:f>MAX(0,MIN('Activities'!L798,6)-MAX('Activities'!K798,0))</x:f>
        <x:v>0</x:v>
      </x:c>
      <x:c r="F798" s="22" t="n">
        <x:f>MAX(0,MIN('Activities'!L798,12)-MAX('Activities'!K798,6))</x:f>
        <x:v>0</x:v>
      </x:c>
      <x:c r="G798" s="22" t="n">
        <x:f>MAX(0,MIN('Activities'!L798,18)-MAX('Activities'!K798,12))</x:f>
        <x:v>0</x:v>
      </x:c>
      <x:c r="H798" s="22" t="n">
        <x:f>MAX(0,MIN('Activities'!L798,24)-MAX('Activities'!K798,18))</x:f>
        <x:v>0</x:v>
      </x:c>
      <x:c r="I798" s="22" t="n">
        <x:f>MAX(0,MIN('Activities'!L798,30)-MAX('Activities'!K798,24))</x:f>
        <x:v>0</x:v>
      </x:c>
      <x:c r="J798" s="22" t="n">
        <x:f>MAX(0,MIN('Activities'!L798,36)-MAX('Activities'!K798,30))</x:f>
        <x:v>0</x:v>
      </x:c>
      <x:c r="K798" s="22" t="n">
        <x:f>MAX(0,MIN('Activities'!L798,42)-MAX('Activities'!K798,36))</x:f>
        <x:v>0</x:v>
      </x:c>
      <x:c r="L798" s="22" t="n">
        <x:f>MAX(0,MIN('Activities'!L798,48)-MAX('Activities'!K798,42))</x:f>
        <x:v>0</x:v>
      </x:c>
      <x:c r="M798" s="22" t="n">
        <x:f>MAX(0,MIN('Activities'!L798,54)-MAX('Activities'!K798,48))</x:f>
        <x:v>0</x:v>
      </x:c>
      <x:c r="N798" s="22" t="n">
        <x:f>MAX(0,MIN('Activities'!L798,60)-MAX('Activities'!K798,54))</x:f>
        <x:v>0</x:v>
      </x:c>
      <x:c r="O798" s="22" t="n">
        <x:f>MAX(0,MIN('Activities'!L798,66)-MAX('Activities'!K798,60))</x:f>
        <x:v>0</x:v>
      </x:c>
      <x:c r="P798" s="22" t="n">
        <x:f>MAX(0,MIN('Activities'!L798,72)-MAX('Activities'!K798,66))</x:f>
        <x:v>0</x:v>
      </x:c>
      <x:c r="Q798" s="22" t="n">
        <x:f>MAX(0,MIN('Activities'!L798,78)-MAX('Activities'!K798,72))</x:f>
        <x:v>0</x:v>
      </x:c>
      <x:c r="R798" s="22" t="n">
        <x:f>MAX(0,MIN('Activities'!L798,84)-MAX('Activities'!K798,78))</x:f>
        <x:v>0</x:v>
      </x:c>
      <x:c r="S798" s="22" t="n">
        <x:f>MAX(0,MIN('Activities'!L798,90)-MAX('Activities'!K798,84))</x:f>
        <x:v>0</x:v>
      </x:c>
      <x:c r="T798" s="22" t="n">
        <x:f>MAX(0,MIN('Activities'!L798,96)-MAX('Activities'!K798,90))</x:f>
        <x:v>0</x:v>
      </x:c>
      <x:c r="U798" s="22" t="n">
        <x:f>MAX(0,MIN('Activities'!L798,102)-MAX('Activities'!K798,96))</x:f>
        <x:v>0</x:v>
      </x:c>
      <x:c r="V798" s="22" t="n">
        <x:f>MAX(0,MIN('Activities'!L798,108)-MAX('Activities'!K798,102))</x:f>
        <x:v>0</x:v>
      </x:c>
      <x:c r="W798" s="22" t="n">
        <x:f>MAX(0,MIN('Activities'!L798,114)-MAX('Activities'!K798,108))</x:f>
        <x:v>0</x:v>
      </x:c>
      <x:c r="X798" s="22" t="n">
        <x:f>MAX(0,MIN('Activities'!L798,120)-MAX('Activities'!K798,114))</x:f>
        <x:v>0</x:v>
      </x:c>
      <x:c r="Y798" s="22" t="n">
        <x:f>MAX(0,MIN('Activities'!L798,126)-MAX('Activities'!K798,120))</x:f>
        <x:v>0</x:v>
      </x:c>
      <x:c r="Z798" s="22" t="n">
        <x:f>MAX(0,MIN('Activities'!L798,132)-MAX('Activities'!K798,126))</x:f>
        <x:v>0</x:v>
      </x:c>
      <x:c r="AA798" s="22" t="n">
        <x:f>MAX(0,MIN('Activities'!L798,138)-MAX('Activities'!K798,132))</x:f>
        <x:v>0</x:v>
      </x:c>
      <x:c r="AB798" s="22" t="n">
        <x:f>MAX(0,MIN('Activities'!L798,144)-MAX('Activities'!K798,138))</x:f>
        <x:v>0</x:v>
      </x:c>
      <x:c r="AC798" s="22" t="n">
        <x:f>MAX(0,MIN('Activities'!L798,150)-MAX('Activities'!K798,144))</x:f>
        <x:v>0</x:v>
      </x:c>
      <x:c r="AD798" s="22" t="n">
        <x:f>MAX(0,MIN('Activities'!L798,156)-MAX('Activities'!K798,150))</x:f>
        <x:v>0</x:v>
      </x:c>
      <x:c r="AE798" s="22" t="n">
        <x:f>MAX(0,MIN('Activities'!L798,162)-MAX('Activities'!K798,156))</x:f>
        <x:v>0</x:v>
      </x:c>
      <x:c r="AF798" s="22" t="n">
        <x:f>MAX(0,MIN('Activities'!L798,168)-MAX('Activities'!K798,162))</x:f>
        <x:v>0</x:v>
      </x:c>
      <x:c r="AG798" s="22" t="n">
        <x:f>MAX(0,MIN('Activities'!L798,174)-MAX('Activities'!K798,168))</x:f>
        <x:v>0</x:v>
      </x:c>
      <x:c r="AH798" s="22" t="n">
        <x:f>MAX(0,MIN('Activities'!L798,180)-MAX('Activities'!K798,174))</x:f>
        <x:v>0</x:v>
      </x:c>
      <x:c r="AI798" s="22" t="n">
        <x:f>MAX(0,MIN('Activities'!L798,186)-MAX('Activities'!K798,180))</x:f>
        <x:v>0</x:v>
      </x:c>
      <x:c r="AJ798" s="22" t="n">
        <x:f>MAX(0,MIN('Activities'!L798,192)-MAX('Activities'!K798,186))</x:f>
        <x:v>0</x:v>
      </x:c>
      <x:c r="AK798" s="22" t="n">
        <x:f>MAX(0,MIN('Activities'!L798,198)-MAX('Activities'!K798,192))</x:f>
        <x:v>0</x:v>
      </x:c>
      <x:c r="AL798" s="22" t="n">
        <x:f>MAX(0,MIN('Activities'!L798,204)-MAX('Activities'!K798,198))</x:f>
        <x:v>0</x:v>
      </x:c>
      <x:c r="AM798" s="22" t="n">
        <x:f>MAX(0,MIN('Activities'!L798,210)-MAX('Activities'!K798,204))</x:f>
        <x:v>0</x:v>
      </x:c>
      <x:c r="AN798" s="22" t="n">
        <x:f>MAX(0,MIN('Activities'!L798,216)-MAX('Activities'!K798,210))</x:f>
        <x:v>0</x:v>
      </x:c>
      <x:c r="AO798" s="22" t="n">
        <x:f>MAX(0,MIN('Activities'!L798,222)-MAX('Activities'!K798,216))</x:f>
        <x:v>0</x:v>
      </x:c>
      <x:c r="AP798" s="22" t="n">
        <x:f>MAX(0,MIN('Activities'!L798,228)-MAX('Activities'!K798,222))</x:f>
        <x:v>0</x:v>
      </x:c>
      <x:c r="AQ798" s="22" t="n">
        <x:f>MAX(0,MIN('Activities'!L798,234)-MAX('Activities'!K798,228))</x:f>
        <x:v>0</x:v>
      </x:c>
      <x:c r="AR798" s="22" t="n">
        <x:f>MAX(0,MIN('Activities'!L798,240)-MAX('Activities'!K798,234))</x:f>
        <x:v>0</x:v>
      </x:c>
      <x:c r="AS798" s="22" t="n">
        <x:f>MAX(0,MIN('Activities'!L798,246)-MAX('Activities'!K798,240))</x:f>
        <x:v>0</x:v>
      </x:c>
      <x:c r="AT798" s="22" t="n">
        <x:f>MAX(0,MIN('Activities'!L798,252)-MAX('Activities'!K798,246))</x:f>
        <x:v>0</x:v>
      </x:c>
      <x:c r="AU798" s="22" t="n">
        <x:f>MAX(0,MIN('Activities'!L798,258)-MAX('Activities'!K798,252))</x:f>
        <x:v>0</x:v>
      </x:c>
      <x:c r="AV798" s="22" t="n">
        <x:f>MAX(0,MIN('Activities'!L798,264)-MAX('Activities'!K798,258))</x:f>
        <x:v>0</x:v>
      </x:c>
      <x:c r="AW798" s="22" t="n">
        <x:f>MAX(0,MIN('Activities'!L798,270)-MAX('Activities'!K798,264))</x:f>
        <x:v>0</x:v>
      </x:c>
      <x:c r="AX798" s="22" t="n">
        <x:f>MAX(0,MIN('Activities'!L798,276)-MAX('Activities'!K798,270))</x:f>
        <x:v>0</x:v>
      </x:c>
      <x:c r="AY798" s="22" t="n">
        <x:f>MAX(0,MIN('Activities'!L798,282)-MAX('Activities'!K798,276))</x:f>
        <x:v>0</x:v>
      </x:c>
      <x:c r="AZ798" s="22" t="n">
        <x:f>MAX(0,MIN('Activities'!L798,288)-MAX('Activities'!K798,282))</x:f>
        <x:v>0</x:v>
      </x:c>
      <x:c r="BA798" s="22" t="n">
        <x:f>MAX(0,MIN('Activities'!L798,294)-MAX('Activities'!K798,288))</x:f>
        <x:v>0</x:v>
      </x:c>
      <x:c r="BB798" s="22" t="n">
        <x:f>MAX(0,MIN('Activities'!L798,300)-MAX('Activities'!K798,294))</x:f>
        <x:v>0</x:v>
      </x:c>
      <x:c r="BC798" s="22" t="n">
        <x:f>MAX(0,MIN('Activities'!L798,306)-MAX('Activities'!K798,300))</x:f>
        <x:v>0</x:v>
      </x:c>
      <x:c r="BD798" s="22" t="n">
        <x:f>MAX(0,MIN('Activities'!L798,312)-MAX('Activities'!K798,306))</x:f>
        <x:v>0</x:v>
      </x:c>
      <x:c r="BE798" s="22" t="n">
        <x:f>MAX(0,MIN('Activities'!L798,318)-MAX('Activities'!K798,312))</x:f>
        <x:v>0</x:v>
      </x:c>
      <x:c r="BF798" s="22" t="n">
        <x:f>MAX(0,MIN('Activities'!L798,324)-MAX('Activities'!K798,318))</x:f>
        <x:v>0</x:v>
      </x:c>
      <x:c r="BG798" s="22" t="n">
        <x:f>MAX(0,MIN('Activities'!L798,330)-MAX('Activities'!K798,324))</x:f>
        <x:v>0</x:v>
      </x:c>
      <x:c r="BH798" s="22" t="n">
        <x:f>MAX(0,MIN('Activities'!L798,336)-MAX('Activities'!K798,330))</x:f>
        <x:v>0</x:v>
      </x:c>
      <x:c r="BI798" s="22" t="n">
        <x:f>MAX(0,MIN('Activities'!L798,342)-MAX('Activities'!K798,336))</x:f>
        <x:v>0</x:v>
      </x:c>
      <x:c r="BJ798" s="22" t="n">
        <x:f>MAX(0,MIN('Activities'!L798,348)-MAX('Activities'!K798,342))</x:f>
        <x:v>0</x:v>
      </x:c>
      <x:c r="BK798" s="22" t="n">
        <x:f>MAX(0,MIN('Activities'!L798,354)-MAX('Activities'!K798,348))</x:f>
        <x:v>0</x:v>
      </x:c>
      <x:c r="BL798" s="22" t="n">
        <x:f>MAX(0,MIN('Activities'!L798,360)-MAX('Activities'!K798,354))</x:f>
        <x:v>0</x:v>
      </x:c>
      <x:c r="BM798" s="22" t="n">
        <x:f>MAX(0,MIN('Activities'!L798,366)-MAX('Activities'!K798,360))</x:f>
        <x:v>0</x:v>
      </x:c>
      <x:c r="BN798" s="22" t="n">
        <x:f>MAX(0,MIN('Activities'!L798,372)-MAX('Activities'!K798,366))</x:f>
        <x:v>0</x:v>
      </x:c>
      <x:c r="BO798" s="22" t="n">
        <x:f>MAX(0,MIN('Activities'!L798,378)-MAX('Activities'!K798,372))</x:f>
        <x:v>0</x:v>
      </x:c>
      <x:c r="BP798" s="22" t="n">
        <x:f>MAX(0,MIN('Activities'!L798,384)-MAX('Activities'!K798,378))</x:f>
        <x:v>0</x:v>
      </x:c>
      <x:c r="BQ798" s="22" t="n">
        <x:f>MAX(0,MIN('Activities'!L798,390)-MAX('Activities'!K798,384))</x:f>
        <x:v>0</x:v>
      </x:c>
      <x:c r="BR798" s="22" t="n">
        <x:f>MAX(0,MIN('Activities'!L798,396)-MAX('Activities'!K798,390))</x:f>
        <x:v>0</x:v>
      </x:c>
      <x:c r="BS798" s="22" t="n">
        <x:f>MAX(0,MIN('Activities'!L798,402)-MAX('Activities'!K798,396))</x:f>
        <x:v>0</x:v>
      </x:c>
      <x:c r="BT798" s="22" t="n">
        <x:f>MAX(0,MIN('Activities'!L798,408)-MAX('Activities'!K798,402))</x:f>
        <x:v>0</x:v>
      </x:c>
      <x:c r="BU798" s="22" t="n">
        <x:f>MAX(0,MIN('Activities'!L798,414)-MAX('Activities'!K798,408))</x:f>
        <x:v>0</x:v>
      </x:c>
      <x:c r="BV798" s="22" t="n">
        <x:f>MAX(0,MIN('Activities'!L798,420)-MAX('Activities'!K798,414))</x:f>
        <x:v>0</x:v>
      </x:c>
      <x:c r="BW798" s="22" t="n">
        <x:f>MAX(0,MIN('Activities'!L798,426)-MAX('Activities'!K798,420))</x:f>
        <x:v>0</x:v>
      </x:c>
      <x:c r="BX798" s="22" t="n">
        <x:f>MAX(0,MIN('Activities'!L798,432)-MAX('Activities'!K798,426))</x:f>
        <x:v>0</x:v>
      </x:c>
      <x:c r="BY798" s="22" t="n">
        <x:f>MAX(0,MIN('Activities'!L798,438)-MAX('Activities'!K798,432))</x:f>
        <x:v>0</x:v>
      </x:c>
      <x:c r="BZ798" s="22" t="n">
        <x:f>MAX(0,MIN('Activities'!L798,444)-MAX('Activities'!K798,438))</x:f>
        <x:v>0</x:v>
      </x:c>
      <x:c r="CA798" s="22" t="n">
        <x:f>MAX(0,MIN('Activities'!L798,450)-MAX('Activities'!K798,444))</x:f>
        <x:v>1</x:v>
      </x:c>
      <x:c r="CB798" s="22" t="n">
        <x:f>MAX(0,MIN('Activities'!L798,456)-MAX('Activities'!K798,450))</x:f>
        <x:v>2</x:v>
      </x:c>
      <x:c r="CC798" s="22" t="n">
        <x:f>MAX(0,MIN('Activities'!L798,462)-MAX('Activities'!K798,456))</x:f>
        <x:v>0</x:v>
      </x:c>
      <x:c r="CD798" s="22" t="n">
        <x:f>MAX(0,MIN('Activities'!L798,468)-MAX('Activities'!K798,462))</x:f>
        <x:v>0</x:v>
      </x:c>
      <x:c r="CE798" s="22" t="n">
        <x:f>MAX(0,MIN('Activities'!L798,474)-MAX('Activities'!K798,468))</x:f>
        <x:v>0</x:v>
      </x:c>
      <x:c r="CF798" s="22" t="n">
        <x:f>MAX(0,MIN('Activities'!L798,480)-MAX('Activities'!K798,474))</x:f>
        <x:v>0</x:v>
      </x:c>
      <x:c r="CG798" s="22" t="n">
        <x:f>MAX(0,MIN('Activities'!L798,486)-MAX('Activities'!K798,480))</x:f>
        <x:v>0</x:v>
      </x:c>
      <x:c r="CH798" s="22" t="n">
        <x:f>MAX(0,MIN('Activities'!L798,492)-MAX('Activities'!K798,486))</x:f>
        <x:v>0</x:v>
      </x:c>
      <x:c r="CI798" s="22" t="n">
        <x:f>MAX(0,MIN('Activities'!L798,498)-MAX('Activities'!K798,492))</x:f>
        <x:v>0</x:v>
      </x:c>
      <x:c r="CJ798" s="22" t="n">
        <x:f>MAX(0,MIN('Activities'!L798,504)-MAX('Activities'!K798,498))</x:f>
        <x:v>0</x:v>
      </x:c>
      <x:c r="CK798" s="22" t="n">
        <x:f>MAX(0,MIN('Activities'!L798,510)-MAX('Activities'!K798,504))</x:f>
        <x:v>0</x:v>
      </x:c>
      <x:c r="CL798" s="22" t="n">
        <x:f>MAX(0,MIN('Activities'!L798,516)-MAX('Activities'!K798,510))</x:f>
        <x:v>0</x:v>
      </x:c>
      <x:c r="CM798" s="22" t="n">
        <x:f>MAX(0,MIN('Activities'!L798,522)-MAX('Activities'!K798,516))</x:f>
        <x:v>0</x:v>
      </x:c>
      <x:c r="CN798" s="22" t="n">
        <x:f>MAX(0,MIN('Activities'!L798,528)-MAX('Activities'!K798,522))</x:f>
        <x:v>0</x:v>
      </x:c>
      <x:c r="CO798" s="22" t="n">
        <x:f>MAX(0,MIN('Activities'!L798,534)-MAX('Activities'!K798,528))</x:f>
        <x:v>0</x:v>
      </x:c>
      <x:c r="CP798" s="22" t="n">
        <x:f>MAX(0,MIN('Activities'!L798,540)-MAX('Activities'!K798,534))</x:f>
        <x:v>0</x:v>
      </x:c>
      <x:c r="CQ798" s="22" t="n">
        <x:f>MAX(0,MIN('Activities'!L798,546)-MAX('Activities'!K798,540))</x:f>
        <x:v>0</x:v>
      </x:c>
      <x:c r="CR798" s="22" t="n">
        <x:f>MAX(0,MIN('Activities'!L798,552)-MAX('Activities'!K798,546))</x:f>
        <x:v>0</x:v>
      </x:c>
      <x:c r="CS798" s="22" t="n">
        <x:f>MAX(0,MIN('Activities'!L798,558)-MAX('Activities'!K798,552))</x:f>
        <x:v>0</x:v>
      </x:c>
      <x:c r="CT798" s="22" t="n">
        <x:f>MAX(0,MIN('Activities'!L798,564)-MAX('Activities'!K798,558))</x:f>
        <x:v>0</x:v>
      </x:c>
      <x:c r="CU798" s="22" t="n">
        <x:f>MAX(0,MIN('Activities'!L798,570)-MAX('Activities'!K798,564))</x:f>
        <x:v>0</x:v>
      </x:c>
      <x:c r="CV798" s="22" t="n">
        <x:f>MAX(0,MIN('Activities'!L798,576)-MAX('Activities'!K798,570))</x:f>
        <x:v>0</x:v>
      </x:c>
      <x:c r="CW798" s="22" t="n">
        <x:f>MAX(0,MIN('Activities'!L798,582)-MAX('Activities'!K798,576))</x:f>
        <x:v>0</x:v>
      </x:c>
      <x:c r="CX798" s="22" t="n">
        <x:f>MAX(0,MIN('Activities'!L798,588)-MAX('Activities'!K798,582))</x:f>
        <x:v>0</x:v>
      </x:c>
      <x:c r="CY798" s="22" t="n">
        <x:f>MAX(0,MIN('Activities'!L798,594)-MAX('Activities'!K798,588))</x:f>
        <x:v>0</x:v>
      </x:c>
      <x:c r="CZ798" s="22" t="n">
        <x:f>MAX(0,MIN('Activities'!L798,600)-MAX('Activities'!K798,594))</x:f>
        <x:v>0</x:v>
      </x:c>
      <x:c r="DA798" s="22" t="n">
        <x:f>MAX(0,MIN('Activities'!L798,606)-MAX('Activities'!K798,600))</x:f>
        <x:v>0</x:v>
      </x:c>
      <x:c r="DB798" s="22" t="n">
        <x:f>MAX(0,MIN('Activities'!L798,612)-MAX('Activities'!K798,606))</x:f>
        <x:v>0</x:v>
      </x:c>
      <x:c r="DC798" s="22" t="n">
        <x:f>MAX(0,MIN('Activities'!L798,618)-MAX('Activities'!K798,612))</x:f>
        <x:v>0</x:v>
      </x:c>
      <x:c r="DD798" s="22" t="n">
        <x:f>MAX(0,MIN('Activities'!L798,624)-MAX('Activities'!K798,618))</x:f>
        <x:v>0</x:v>
      </x:c>
      <x:c r="DE798" s="22" t="n">
        <x:f>MAX(0,MIN('Activities'!L798,630)-MAX('Activities'!K798,624))</x:f>
        <x:v>0</x:v>
      </x:c>
      <x:c r="DF798" s="22" t="n">
        <x:f>MAX(0,MIN('Activities'!L798,636)-MAX('Activities'!K798,630))</x:f>
        <x:v>0</x:v>
      </x:c>
    </x:row>
    <x:row r="799" ht="23" customHeight="1">
      <x:c r="A799" s="1" t="str">
        <x:v>T6-L10-T</x:v>
      </x:c>
      <x:c r="B799" s="1" t="str">
        <x:v>T6</x:v>
      </x:c>
      <x:c r="C799" s="1" t="str">
        <x:v>Floor finishes and skirtings</x:v>
      </x:c>
      <x:c r="D799" s="1" t="str">
        <x:v>Finishes</x:v>
      </x:c>
      <x:c r="E799" s="23" t="n">
        <x:f>MAX(0,MIN('Activities'!L799,6)-MAX('Activities'!K799,0))</x:f>
        <x:v>0</x:v>
      </x:c>
      <x:c r="F799" s="23" t="n">
        <x:f>MAX(0,MIN('Activities'!L799,12)-MAX('Activities'!K799,6))</x:f>
        <x:v>0</x:v>
      </x:c>
      <x:c r="G799" s="23" t="n">
        <x:f>MAX(0,MIN('Activities'!L799,18)-MAX('Activities'!K799,12))</x:f>
        <x:v>0</x:v>
      </x:c>
      <x:c r="H799" s="23" t="n">
        <x:f>MAX(0,MIN('Activities'!L799,24)-MAX('Activities'!K799,18))</x:f>
        <x:v>0</x:v>
      </x:c>
      <x:c r="I799" s="23" t="n">
        <x:f>MAX(0,MIN('Activities'!L799,30)-MAX('Activities'!K799,24))</x:f>
        <x:v>0</x:v>
      </x:c>
      <x:c r="J799" s="23" t="n">
        <x:f>MAX(0,MIN('Activities'!L799,36)-MAX('Activities'!K799,30))</x:f>
        <x:v>0</x:v>
      </x:c>
      <x:c r="K799" s="23" t="n">
        <x:f>MAX(0,MIN('Activities'!L799,42)-MAX('Activities'!K799,36))</x:f>
        <x:v>0</x:v>
      </x:c>
      <x:c r="L799" s="23" t="n">
        <x:f>MAX(0,MIN('Activities'!L799,48)-MAX('Activities'!K799,42))</x:f>
        <x:v>0</x:v>
      </x:c>
      <x:c r="M799" s="23" t="n">
        <x:f>MAX(0,MIN('Activities'!L799,54)-MAX('Activities'!K799,48))</x:f>
        <x:v>0</x:v>
      </x:c>
      <x:c r="N799" s="23" t="n">
        <x:f>MAX(0,MIN('Activities'!L799,60)-MAX('Activities'!K799,54))</x:f>
        <x:v>0</x:v>
      </x:c>
      <x:c r="O799" s="23" t="n">
        <x:f>MAX(0,MIN('Activities'!L799,66)-MAX('Activities'!K799,60))</x:f>
        <x:v>0</x:v>
      </x:c>
      <x:c r="P799" s="23" t="n">
        <x:f>MAX(0,MIN('Activities'!L799,72)-MAX('Activities'!K799,66))</x:f>
        <x:v>0</x:v>
      </x:c>
      <x:c r="Q799" s="23" t="n">
        <x:f>MAX(0,MIN('Activities'!L799,78)-MAX('Activities'!K799,72))</x:f>
        <x:v>0</x:v>
      </x:c>
      <x:c r="R799" s="23" t="n">
        <x:f>MAX(0,MIN('Activities'!L799,84)-MAX('Activities'!K799,78))</x:f>
        <x:v>0</x:v>
      </x:c>
      <x:c r="S799" s="23" t="n">
        <x:f>MAX(0,MIN('Activities'!L799,90)-MAX('Activities'!K799,84))</x:f>
        <x:v>0</x:v>
      </x:c>
      <x:c r="T799" s="23" t="n">
        <x:f>MAX(0,MIN('Activities'!L799,96)-MAX('Activities'!K799,90))</x:f>
        <x:v>0</x:v>
      </x:c>
      <x:c r="U799" s="23" t="n">
        <x:f>MAX(0,MIN('Activities'!L799,102)-MAX('Activities'!K799,96))</x:f>
        <x:v>0</x:v>
      </x:c>
      <x:c r="V799" s="23" t="n">
        <x:f>MAX(0,MIN('Activities'!L799,108)-MAX('Activities'!K799,102))</x:f>
        <x:v>0</x:v>
      </x:c>
      <x:c r="W799" s="23" t="n">
        <x:f>MAX(0,MIN('Activities'!L799,114)-MAX('Activities'!K799,108))</x:f>
        <x:v>0</x:v>
      </x:c>
      <x:c r="X799" s="23" t="n">
        <x:f>MAX(0,MIN('Activities'!L799,120)-MAX('Activities'!K799,114))</x:f>
        <x:v>0</x:v>
      </x:c>
      <x:c r="Y799" s="23" t="n">
        <x:f>MAX(0,MIN('Activities'!L799,126)-MAX('Activities'!K799,120))</x:f>
        <x:v>0</x:v>
      </x:c>
      <x:c r="Z799" s="23" t="n">
        <x:f>MAX(0,MIN('Activities'!L799,132)-MAX('Activities'!K799,126))</x:f>
        <x:v>0</x:v>
      </x:c>
      <x:c r="AA799" s="23" t="n">
        <x:f>MAX(0,MIN('Activities'!L799,138)-MAX('Activities'!K799,132))</x:f>
        <x:v>0</x:v>
      </x:c>
      <x:c r="AB799" s="23" t="n">
        <x:f>MAX(0,MIN('Activities'!L799,144)-MAX('Activities'!K799,138))</x:f>
        <x:v>0</x:v>
      </x:c>
      <x:c r="AC799" s="23" t="n">
        <x:f>MAX(0,MIN('Activities'!L799,150)-MAX('Activities'!K799,144))</x:f>
        <x:v>0</x:v>
      </x:c>
      <x:c r="AD799" s="23" t="n">
        <x:f>MAX(0,MIN('Activities'!L799,156)-MAX('Activities'!K799,150))</x:f>
        <x:v>0</x:v>
      </x:c>
      <x:c r="AE799" s="23" t="n">
        <x:f>MAX(0,MIN('Activities'!L799,162)-MAX('Activities'!K799,156))</x:f>
        <x:v>0</x:v>
      </x:c>
      <x:c r="AF799" s="23" t="n">
        <x:f>MAX(0,MIN('Activities'!L799,168)-MAX('Activities'!K799,162))</x:f>
        <x:v>0</x:v>
      </x:c>
      <x:c r="AG799" s="23" t="n">
        <x:f>MAX(0,MIN('Activities'!L799,174)-MAX('Activities'!K799,168))</x:f>
        <x:v>0</x:v>
      </x:c>
      <x:c r="AH799" s="23" t="n">
        <x:f>MAX(0,MIN('Activities'!L799,180)-MAX('Activities'!K799,174))</x:f>
        <x:v>0</x:v>
      </x:c>
      <x:c r="AI799" s="23" t="n">
        <x:f>MAX(0,MIN('Activities'!L799,186)-MAX('Activities'!K799,180))</x:f>
        <x:v>0</x:v>
      </x:c>
      <x:c r="AJ799" s="23" t="n">
        <x:f>MAX(0,MIN('Activities'!L799,192)-MAX('Activities'!K799,186))</x:f>
        <x:v>0</x:v>
      </x:c>
      <x:c r="AK799" s="23" t="n">
        <x:f>MAX(0,MIN('Activities'!L799,198)-MAX('Activities'!K799,192))</x:f>
        <x:v>0</x:v>
      </x:c>
      <x:c r="AL799" s="23" t="n">
        <x:f>MAX(0,MIN('Activities'!L799,204)-MAX('Activities'!K799,198))</x:f>
        <x:v>0</x:v>
      </x:c>
      <x:c r="AM799" s="23" t="n">
        <x:f>MAX(0,MIN('Activities'!L799,210)-MAX('Activities'!K799,204))</x:f>
        <x:v>0</x:v>
      </x:c>
      <x:c r="AN799" s="23" t="n">
        <x:f>MAX(0,MIN('Activities'!L799,216)-MAX('Activities'!K799,210))</x:f>
        <x:v>0</x:v>
      </x:c>
      <x:c r="AO799" s="23" t="n">
        <x:f>MAX(0,MIN('Activities'!L799,222)-MAX('Activities'!K799,216))</x:f>
        <x:v>0</x:v>
      </x:c>
      <x:c r="AP799" s="23" t="n">
        <x:f>MAX(0,MIN('Activities'!L799,228)-MAX('Activities'!K799,222))</x:f>
        <x:v>0</x:v>
      </x:c>
      <x:c r="AQ799" s="23" t="n">
        <x:f>MAX(0,MIN('Activities'!L799,234)-MAX('Activities'!K799,228))</x:f>
        <x:v>0</x:v>
      </x:c>
      <x:c r="AR799" s="23" t="n">
        <x:f>MAX(0,MIN('Activities'!L799,240)-MAX('Activities'!K799,234))</x:f>
        <x:v>0</x:v>
      </x:c>
      <x:c r="AS799" s="23" t="n">
        <x:f>MAX(0,MIN('Activities'!L799,246)-MAX('Activities'!K799,240))</x:f>
        <x:v>0</x:v>
      </x:c>
      <x:c r="AT799" s="23" t="n">
        <x:f>MAX(0,MIN('Activities'!L799,252)-MAX('Activities'!K799,246))</x:f>
        <x:v>0</x:v>
      </x:c>
      <x:c r="AU799" s="23" t="n">
        <x:f>MAX(0,MIN('Activities'!L799,258)-MAX('Activities'!K799,252))</x:f>
        <x:v>0</x:v>
      </x:c>
      <x:c r="AV799" s="23" t="n">
        <x:f>MAX(0,MIN('Activities'!L799,264)-MAX('Activities'!K799,258))</x:f>
        <x:v>0</x:v>
      </x:c>
      <x:c r="AW799" s="23" t="n">
        <x:f>MAX(0,MIN('Activities'!L799,270)-MAX('Activities'!K799,264))</x:f>
        <x:v>0</x:v>
      </x:c>
      <x:c r="AX799" s="23" t="n">
        <x:f>MAX(0,MIN('Activities'!L799,276)-MAX('Activities'!K799,270))</x:f>
        <x:v>0</x:v>
      </x:c>
      <x:c r="AY799" s="23" t="n">
        <x:f>MAX(0,MIN('Activities'!L799,282)-MAX('Activities'!K799,276))</x:f>
        <x:v>0</x:v>
      </x:c>
      <x:c r="AZ799" s="23" t="n">
        <x:f>MAX(0,MIN('Activities'!L799,288)-MAX('Activities'!K799,282))</x:f>
        <x:v>0</x:v>
      </x:c>
      <x:c r="BA799" s="23" t="n">
        <x:f>MAX(0,MIN('Activities'!L799,294)-MAX('Activities'!K799,288))</x:f>
        <x:v>0</x:v>
      </x:c>
      <x:c r="BB799" s="23" t="n">
        <x:f>MAX(0,MIN('Activities'!L799,300)-MAX('Activities'!K799,294))</x:f>
        <x:v>0</x:v>
      </x:c>
      <x:c r="BC799" s="23" t="n">
        <x:f>MAX(0,MIN('Activities'!L799,306)-MAX('Activities'!K799,300))</x:f>
        <x:v>0</x:v>
      </x:c>
      <x:c r="BD799" s="23" t="n">
        <x:f>MAX(0,MIN('Activities'!L799,312)-MAX('Activities'!K799,306))</x:f>
        <x:v>0</x:v>
      </x:c>
      <x:c r="BE799" s="23" t="n">
        <x:f>MAX(0,MIN('Activities'!L799,318)-MAX('Activities'!K799,312))</x:f>
        <x:v>0</x:v>
      </x:c>
      <x:c r="BF799" s="23" t="n">
        <x:f>MAX(0,MIN('Activities'!L799,324)-MAX('Activities'!K799,318))</x:f>
        <x:v>0</x:v>
      </x:c>
      <x:c r="BG799" s="23" t="n">
        <x:f>MAX(0,MIN('Activities'!L799,330)-MAX('Activities'!K799,324))</x:f>
        <x:v>0</x:v>
      </x:c>
      <x:c r="BH799" s="23" t="n">
        <x:f>MAX(0,MIN('Activities'!L799,336)-MAX('Activities'!K799,330))</x:f>
        <x:v>0</x:v>
      </x:c>
      <x:c r="BI799" s="23" t="n">
        <x:f>MAX(0,MIN('Activities'!L799,342)-MAX('Activities'!K799,336))</x:f>
        <x:v>0</x:v>
      </x:c>
      <x:c r="BJ799" s="23" t="n">
        <x:f>MAX(0,MIN('Activities'!L799,348)-MAX('Activities'!K799,342))</x:f>
        <x:v>0</x:v>
      </x:c>
      <x:c r="BK799" s="23" t="n">
        <x:f>MAX(0,MIN('Activities'!L799,354)-MAX('Activities'!K799,348))</x:f>
        <x:v>0</x:v>
      </x:c>
      <x:c r="BL799" s="23" t="n">
        <x:f>MAX(0,MIN('Activities'!L799,360)-MAX('Activities'!K799,354))</x:f>
        <x:v>0</x:v>
      </x:c>
      <x:c r="BM799" s="23" t="n">
        <x:f>MAX(0,MIN('Activities'!L799,366)-MAX('Activities'!K799,360))</x:f>
        <x:v>0</x:v>
      </x:c>
      <x:c r="BN799" s="23" t="n">
        <x:f>MAX(0,MIN('Activities'!L799,372)-MAX('Activities'!K799,366))</x:f>
        <x:v>0</x:v>
      </x:c>
      <x:c r="BO799" s="23" t="n">
        <x:f>MAX(0,MIN('Activities'!L799,378)-MAX('Activities'!K799,372))</x:f>
        <x:v>0</x:v>
      </x:c>
      <x:c r="BP799" s="23" t="n">
        <x:f>MAX(0,MIN('Activities'!L799,384)-MAX('Activities'!K799,378))</x:f>
        <x:v>0</x:v>
      </x:c>
      <x:c r="BQ799" s="23" t="n">
        <x:f>MAX(0,MIN('Activities'!L799,390)-MAX('Activities'!K799,384))</x:f>
        <x:v>0</x:v>
      </x:c>
      <x:c r="BR799" s="23" t="n">
        <x:f>MAX(0,MIN('Activities'!L799,396)-MAX('Activities'!K799,390))</x:f>
        <x:v>0</x:v>
      </x:c>
      <x:c r="BS799" s="23" t="n">
        <x:f>MAX(0,MIN('Activities'!L799,402)-MAX('Activities'!K799,396))</x:f>
        <x:v>0</x:v>
      </x:c>
      <x:c r="BT799" s="23" t="n">
        <x:f>MAX(0,MIN('Activities'!L799,408)-MAX('Activities'!K799,402))</x:f>
        <x:v>0</x:v>
      </x:c>
      <x:c r="BU799" s="23" t="n">
        <x:f>MAX(0,MIN('Activities'!L799,414)-MAX('Activities'!K799,408))</x:f>
        <x:v>0</x:v>
      </x:c>
      <x:c r="BV799" s="23" t="n">
        <x:f>MAX(0,MIN('Activities'!L799,420)-MAX('Activities'!K799,414))</x:f>
        <x:v>0</x:v>
      </x:c>
      <x:c r="BW799" s="23" t="n">
        <x:f>MAX(0,MIN('Activities'!L799,426)-MAX('Activities'!K799,420))</x:f>
        <x:v>0</x:v>
      </x:c>
      <x:c r="BX799" s="23" t="n">
        <x:f>MAX(0,MIN('Activities'!L799,432)-MAX('Activities'!K799,426))</x:f>
        <x:v>0</x:v>
      </x:c>
      <x:c r="BY799" s="23" t="n">
        <x:f>MAX(0,MIN('Activities'!L799,438)-MAX('Activities'!K799,432))</x:f>
        <x:v>0</x:v>
      </x:c>
      <x:c r="BZ799" s="23" t="n">
        <x:f>MAX(0,MIN('Activities'!L799,444)-MAX('Activities'!K799,438))</x:f>
        <x:v>0</x:v>
      </x:c>
      <x:c r="CA799" s="23" t="n">
        <x:f>MAX(0,MIN('Activities'!L799,450)-MAX('Activities'!K799,444))</x:f>
        <x:v>0</x:v>
      </x:c>
      <x:c r="CB799" s="23" t="n">
        <x:f>MAX(0,MIN('Activities'!L799,456)-MAX('Activities'!K799,450))</x:f>
        <x:v>0</x:v>
      </x:c>
      <x:c r="CC799" s="23" t="n">
        <x:f>MAX(0,MIN('Activities'!L799,462)-MAX('Activities'!K799,456))</x:f>
        <x:v>0</x:v>
      </x:c>
      <x:c r="CD799" s="23" t="n">
        <x:f>MAX(0,MIN('Activities'!L799,468)-MAX('Activities'!K799,462))</x:f>
        <x:v>2</x:v>
      </x:c>
      <x:c r="CE799" s="23" t="n">
        <x:f>MAX(0,MIN('Activities'!L799,474)-MAX('Activities'!K799,468))</x:f>
        <x:v>4</x:v>
      </x:c>
      <x:c r="CF799" s="23" t="n">
        <x:f>MAX(0,MIN('Activities'!L799,480)-MAX('Activities'!K799,474))</x:f>
        <x:v>0</x:v>
      </x:c>
      <x:c r="CG799" s="23" t="n">
        <x:f>MAX(0,MIN('Activities'!L799,486)-MAX('Activities'!K799,480))</x:f>
        <x:v>0</x:v>
      </x:c>
      <x:c r="CH799" s="23" t="n">
        <x:f>MAX(0,MIN('Activities'!L799,492)-MAX('Activities'!K799,486))</x:f>
        <x:v>0</x:v>
      </x:c>
      <x:c r="CI799" s="23" t="n">
        <x:f>MAX(0,MIN('Activities'!L799,498)-MAX('Activities'!K799,492))</x:f>
        <x:v>0</x:v>
      </x:c>
      <x:c r="CJ799" s="23" t="n">
        <x:f>MAX(0,MIN('Activities'!L799,504)-MAX('Activities'!K799,498))</x:f>
        <x:v>0</x:v>
      </x:c>
      <x:c r="CK799" s="23" t="n">
        <x:f>MAX(0,MIN('Activities'!L799,510)-MAX('Activities'!K799,504))</x:f>
        <x:v>0</x:v>
      </x:c>
      <x:c r="CL799" s="23" t="n">
        <x:f>MAX(0,MIN('Activities'!L799,516)-MAX('Activities'!K799,510))</x:f>
        <x:v>0</x:v>
      </x:c>
      <x:c r="CM799" s="23" t="n">
        <x:f>MAX(0,MIN('Activities'!L799,522)-MAX('Activities'!K799,516))</x:f>
        <x:v>0</x:v>
      </x:c>
      <x:c r="CN799" s="23" t="n">
        <x:f>MAX(0,MIN('Activities'!L799,528)-MAX('Activities'!K799,522))</x:f>
        <x:v>0</x:v>
      </x:c>
      <x:c r="CO799" s="23" t="n">
        <x:f>MAX(0,MIN('Activities'!L799,534)-MAX('Activities'!K799,528))</x:f>
        <x:v>0</x:v>
      </x:c>
      <x:c r="CP799" s="23" t="n">
        <x:f>MAX(0,MIN('Activities'!L799,540)-MAX('Activities'!K799,534))</x:f>
        <x:v>0</x:v>
      </x:c>
      <x:c r="CQ799" s="23" t="n">
        <x:f>MAX(0,MIN('Activities'!L799,546)-MAX('Activities'!K799,540))</x:f>
        <x:v>0</x:v>
      </x:c>
      <x:c r="CR799" s="23" t="n">
        <x:f>MAX(0,MIN('Activities'!L799,552)-MAX('Activities'!K799,546))</x:f>
        <x:v>0</x:v>
      </x:c>
      <x:c r="CS799" s="23" t="n">
        <x:f>MAX(0,MIN('Activities'!L799,558)-MAX('Activities'!K799,552))</x:f>
        <x:v>0</x:v>
      </x:c>
      <x:c r="CT799" s="23" t="n">
        <x:f>MAX(0,MIN('Activities'!L799,564)-MAX('Activities'!K799,558))</x:f>
        <x:v>0</x:v>
      </x:c>
      <x:c r="CU799" s="23" t="n">
        <x:f>MAX(0,MIN('Activities'!L799,570)-MAX('Activities'!K799,564))</x:f>
        <x:v>0</x:v>
      </x:c>
      <x:c r="CV799" s="23" t="n">
        <x:f>MAX(0,MIN('Activities'!L799,576)-MAX('Activities'!K799,570))</x:f>
        <x:v>0</x:v>
      </x:c>
      <x:c r="CW799" s="23" t="n">
        <x:f>MAX(0,MIN('Activities'!L799,582)-MAX('Activities'!K799,576))</x:f>
        <x:v>0</x:v>
      </x:c>
      <x:c r="CX799" s="23" t="n">
        <x:f>MAX(0,MIN('Activities'!L799,588)-MAX('Activities'!K799,582))</x:f>
        <x:v>0</x:v>
      </x:c>
      <x:c r="CY799" s="23" t="n">
        <x:f>MAX(0,MIN('Activities'!L799,594)-MAX('Activities'!K799,588))</x:f>
        <x:v>0</x:v>
      </x:c>
      <x:c r="CZ799" s="23" t="n">
        <x:f>MAX(0,MIN('Activities'!L799,600)-MAX('Activities'!K799,594))</x:f>
        <x:v>0</x:v>
      </x:c>
      <x:c r="DA799" s="23" t="n">
        <x:f>MAX(0,MIN('Activities'!L799,606)-MAX('Activities'!K799,600))</x:f>
        <x:v>0</x:v>
      </x:c>
      <x:c r="DB799" s="23" t="n">
        <x:f>MAX(0,MIN('Activities'!L799,612)-MAX('Activities'!K799,606))</x:f>
        <x:v>0</x:v>
      </x:c>
      <x:c r="DC799" s="23" t="n">
        <x:f>MAX(0,MIN('Activities'!L799,618)-MAX('Activities'!K799,612))</x:f>
        <x:v>0</x:v>
      </x:c>
      <x:c r="DD799" s="23" t="n">
        <x:f>MAX(0,MIN('Activities'!L799,624)-MAX('Activities'!K799,618))</x:f>
        <x:v>0</x:v>
      </x:c>
      <x:c r="DE799" s="23" t="n">
        <x:f>MAX(0,MIN('Activities'!L799,630)-MAX('Activities'!K799,624))</x:f>
        <x:v>0</x:v>
      </x:c>
      <x:c r="DF799" s="23" t="n">
        <x:f>MAX(0,MIN('Activities'!L799,636)-MAX('Activities'!K799,630))</x:f>
        <x:v>0</x:v>
      </x:c>
    </x:row>
    <x:row r="800" ht="23" customHeight="1">
      <x:c r="A800" s="6" t="str">
        <x:v>T6-L10-A</x:v>
      </x:c>
      <x:c r="B800" s="6" t="str">
        <x:v>T6</x:v>
      </x:c>
      <x:c r="C800" s="6" t="str">
        <x:v>Paint and final decorations</x:v>
      </x:c>
      <x:c r="D800" s="6" t="str">
        <x:v>Finishes</x:v>
      </x:c>
      <x:c r="E800" s="22" t="n">
        <x:f>MAX(0,MIN('Activities'!L800,6)-MAX('Activities'!K800,0))</x:f>
        <x:v>0</x:v>
      </x:c>
      <x:c r="F800" s="22" t="n">
        <x:f>MAX(0,MIN('Activities'!L800,12)-MAX('Activities'!K800,6))</x:f>
        <x:v>0</x:v>
      </x:c>
      <x:c r="G800" s="22" t="n">
        <x:f>MAX(0,MIN('Activities'!L800,18)-MAX('Activities'!K800,12))</x:f>
        <x:v>0</x:v>
      </x:c>
      <x:c r="H800" s="22" t="n">
        <x:f>MAX(0,MIN('Activities'!L800,24)-MAX('Activities'!K800,18))</x:f>
        <x:v>0</x:v>
      </x:c>
      <x:c r="I800" s="22" t="n">
        <x:f>MAX(0,MIN('Activities'!L800,30)-MAX('Activities'!K800,24))</x:f>
        <x:v>0</x:v>
      </x:c>
      <x:c r="J800" s="22" t="n">
        <x:f>MAX(0,MIN('Activities'!L800,36)-MAX('Activities'!K800,30))</x:f>
        <x:v>0</x:v>
      </x:c>
      <x:c r="K800" s="22" t="n">
        <x:f>MAX(0,MIN('Activities'!L800,42)-MAX('Activities'!K800,36))</x:f>
        <x:v>0</x:v>
      </x:c>
      <x:c r="L800" s="22" t="n">
        <x:f>MAX(0,MIN('Activities'!L800,48)-MAX('Activities'!K800,42))</x:f>
        <x:v>0</x:v>
      </x:c>
      <x:c r="M800" s="22" t="n">
        <x:f>MAX(0,MIN('Activities'!L800,54)-MAX('Activities'!K800,48))</x:f>
        <x:v>0</x:v>
      </x:c>
      <x:c r="N800" s="22" t="n">
        <x:f>MAX(0,MIN('Activities'!L800,60)-MAX('Activities'!K800,54))</x:f>
        <x:v>0</x:v>
      </x:c>
      <x:c r="O800" s="22" t="n">
        <x:f>MAX(0,MIN('Activities'!L800,66)-MAX('Activities'!K800,60))</x:f>
        <x:v>0</x:v>
      </x:c>
      <x:c r="P800" s="22" t="n">
        <x:f>MAX(0,MIN('Activities'!L800,72)-MAX('Activities'!K800,66))</x:f>
        <x:v>0</x:v>
      </x:c>
      <x:c r="Q800" s="22" t="n">
        <x:f>MAX(0,MIN('Activities'!L800,78)-MAX('Activities'!K800,72))</x:f>
        <x:v>0</x:v>
      </x:c>
      <x:c r="R800" s="22" t="n">
        <x:f>MAX(0,MIN('Activities'!L800,84)-MAX('Activities'!K800,78))</x:f>
        <x:v>0</x:v>
      </x:c>
      <x:c r="S800" s="22" t="n">
        <x:f>MAX(0,MIN('Activities'!L800,90)-MAX('Activities'!K800,84))</x:f>
        <x:v>0</x:v>
      </x:c>
      <x:c r="T800" s="22" t="n">
        <x:f>MAX(0,MIN('Activities'!L800,96)-MAX('Activities'!K800,90))</x:f>
        <x:v>0</x:v>
      </x:c>
      <x:c r="U800" s="22" t="n">
        <x:f>MAX(0,MIN('Activities'!L800,102)-MAX('Activities'!K800,96))</x:f>
        <x:v>0</x:v>
      </x:c>
      <x:c r="V800" s="22" t="n">
        <x:f>MAX(0,MIN('Activities'!L800,108)-MAX('Activities'!K800,102))</x:f>
        <x:v>0</x:v>
      </x:c>
      <x:c r="W800" s="22" t="n">
        <x:f>MAX(0,MIN('Activities'!L800,114)-MAX('Activities'!K800,108))</x:f>
        <x:v>0</x:v>
      </x:c>
      <x:c r="X800" s="22" t="n">
        <x:f>MAX(0,MIN('Activities'!L800,120)-MAX('Activities'!K800,114))</x:f>
        <x:v>0</x:v>
      </x:c>
      <x:c r="Y800" s="22" t="n">
        <x:f>MAX(0,MIN('Activities'!L800,126)-MAX('Activities'!K800,120))</x:f>
        <x:v>0</x:v>
      </x:c>
      <x:c r="Z800" s="22" t="n">
        <x:f>MAX(0,MIN('Activities'!L800,132)-MAX('Activities'!K800,126))</x:f>
        <x:v>0</x:v>
      </x:c>
      <x:c r="AA800" s="22" t="n">
        <x:f>MAX(0,MIN('Activities'!L800,138)-MAX('Activities'!K800,132))</x:f>
        <x:v>0</x:v>
      </x:c>
      <x:c r="AB800" s="22" t="n">
        <x:f>MAX(0,MIN('Activities'!L800,144)-MAX('Activities'!K800,138))</x:f>
        <x:v>0</x:v>
      </x:c>
      <x:c r="AC800" s="22" t="n">
        <x:f>MAX(0,MIN('Activities'!L800,150)-MAX('Activities'!K800,144))</x:f>
        <x:v>0</x:v>
      </x:c>
      <x:c r="AD800" s="22" t="n">
        <x:f>MAX(0,MIN('Activities'!L800,156)-MAX('Activities'!K800,150))</x:f>
        <x:v>0</x:v>
      </x:c>
      <x:c r="AE800" s="22" t="n">
        <x:f>MAX(0,MIN('Activities'!L800,162)-MAX('Activities'!K800,156))</x:f>
        <x:v>0</x:v>
      </x:c>
      <x:c r="AF800" s="22" t="n">
        <x:f>MAX(0,MIN('Activities'!L800,168)-MAX('Activities'!K800,162))</x:f>
        <x:v>0</x:v>
      </x:c>
      <x:c r="AG800" s="22" t="n">
        <x:f>MAX(0,MIN('Activities'!L800,174)-MAX('Activities'!K800,168))</x:f>
        <x:v>0</x:v>
      </x:c>
      <x:c r="AH800" s="22" t="n">
        <x:f>MAX(0,MIN('Activities'!L800,180)-MAX('Activities'!K800,174))</x:f>
        <x:v>0</x:v>
      </x:c>
      <x:c r="AI800" s="22" t="n">
        <x:f>MAX(0,MIN('Activities'!L800,186)-MAX('Activities'!K800,180))</x:f>
        <x:v>0</x:v>
      </x:c>
      <x:c r="AJ800" s="22" t="n">
        <x:f>MAX(0,MIN('Activities'!L800,192)-MAX('Activities'!K800,186))</x:f>
        <x:v>0</x:v>
      </x:c>
      <x:c r="AK800" s="22" t="n">
        <x:f>MAX(0,MIN('Activities'!L800,198)-MAX('Activities'!K800,192))</x:f>
        <x:v>0</x:v>
      </x:c>
      <x:c r="AL800" s="22" t="n">
        <x:f>MAX(0,MIN('Activities'!L800,204)-MAX('Activities'!K800,198))</x:f>
        <x:v>0</x:v>
      </x:c>
      <x:c r="AM800" s="22" t="n">
        <x:f>MAX(0,MIN('Activities'!L800,210)-MAX('Activities'!K800,204))</x:f>
        <x:v>0</x:v>
      </x:c>
      <x:c r="AN800" s="22" t="n">
        <x:f>MAX(0,MIN('Activities'!L800,216)-MAX('Activities'!K800,210))</x:f>
        <x:v>0</x:v>
      </x:c>
      <x:c r="AO800" s="22" t="n">
        <x:f>MAX(0,MIN('Activities'!L800,222)-MAX('Activities'!K800,216))</x:f>
        <x:v>0</x:v>
      </x:c>
      <x:c r="AP800" s="22" t="n">
        <x:f>MAX(0,MIN('Activities'!L800,228)-MAX('Activities'!K800,222))</x:f>
        <x:v>0</x:v>
      </x:c>
      <x:c r="AQ800" s="22" t="n">
        <x:f>MAX(0,MIN('Activities'!L800,234)-MAX('Activities'!K800,228))</x:f>
        <x:v>0</x:v>
      </x:c>
      <x:c r="AR800" s="22" t="n">
        <x:f>MAX(0,MIN('Activities'!L800,240)-MAX('Activities'!K800,234))</x:f>
        <x:v>0</x:v>
      </x:c>
      <x:c r="AS800" s="22" t="n">
        <x:f>MAX(0,MIN('Activities'!L800,246)-MAX('Activities'!K800,240))</x:f>
        <x:v>0</x:v>
      </x:c>
      <x:c r="AT800" s="22" t="n">
        <x:f>MAX(0,MIN('Activities'!L800,252)-MAX('Activities'!K800,246))</x:f>
        <x:v>0</x:v>
      </x:c>
      <x:c r="AU800" s="22" t="n">
        <x:f>MAX(0,MIN('Activities'!L800,258)-MAX('Activities'!K800,252))</x:f>
        <x:v>0</x:v>
      </x:c>
      <x:c r="AV800" s="22" t="n">
        <x:f>MAX(0,MIN('Activities'!L800,264)-MAX('Activities'!K800,258))</x:f>
        <x:v>0</x:v>
      </x:c>
      <x:c r="AW800" s="22" t="n">
        <x:f>MAX(0,MIN('Activities'!L800,270)-MAX('Activities'!K800,264))</x:f>
        <x:v>0</x:v>
      </x:c>
      <x:c r="AX800" s="22" t="n">
        <x:f>MAX(0,MIN('Activities'!L800,276)-MAX('Activities'!K800,270))</x:f>
        <x:v>0</x:v>
      </x:c>
      <x:c r="AY800" s="22" t="n">
        <x:f>MAX(0,MIN('Activities'!L800,282)-MAX('Activities'!K800,276))</x:f>
        <x:v>0</x:v>
      </x:c>
      <x:c r="AZ800" s="22" t="n">
        <x:f>MAX(0,MIN('Activities'!L800,288)-MAX('Activities'!K800,282))</x:f>
        <x:v>0</x:v>
      </x:c>
      <x:c r="BA800" s="22" t="n">
        <x:f>MAX(0,MIN('Activities'!L800,294)-MAX('Activities'!K800,288))</x:f>
        <x:v>0</x:v>
      </x:c>
      <x:c r="BB800" s="22" t="n">
        <x:f>MAX(0,MIN('Activities'!L800,300)-MAX('Activities'!K800,294))</x:f>
        <x:v>0</x:v>
      </x:c>
      <x:c r="BC800" s="22" t="n">
        <x:f>MAX(0,MIN('Activities'!L800,306)-MAX('Activities'!K800,300))</x:f>
        <x:v>0</x:v>
      </x:c>
      <x:c r="BD800" s="22" t="n">
        <x:f>MAX(0,MIN('Activities'!L800,312)-MAX('Activities'!K800,306))</x:f>
        <x:v>0</x:v>
      </x:c>
      <x:c r="BE800" s="22" t="n">
        <x:f>MAX(0,MIN('Activities'!L800,318)-MAX('Activities'!K800,312))</x:f>
        <x:v>0</x:v>
      </x:c>
      <x:c r="BF800" s="22" t="n">
        <x:f>MAX(0,MIN('Activities'!L800,324)-MAX('Activities'!K800,318))</x:f>
        <x:v>0</x:v>
      </x:c>
      <x:c r="BG800" s="22" t="n">
        <x:f>MAX(0,MIN('Activities'!L800,330)-MAX('Activities'!K800,324))</x:f>
        <x:v>0</x:v>
      </x:c>
      <x:c r="BH800" s="22" t="n">
        <x:f>MAX(0,MIN('Activities'!L800,336)-MAX('Activities'!K800,330))</x:f>
        <x:v>0</x:v>
      </x:c>
      <x:c r="BI800" s="22" t="n">
        <x:f>MAX(0,MIN('Activities'!L800,342)-MAX('Activities'!K800,336))</x:f>
        <x:v>0</x:v>
      </x:c>
      <x:c r="BJ800" s="22" t="n">
        <x:f>MAX(0,MIN('Activities'!L800,348)-MAX('Activities'!K800,342))</x:f>
        <x:v>0</x:v>
      </x:c>
      <x:c r="BK800" s="22" t="n">
        <x:f>MAX(0,MIN('Activities'!L800,354)-MAX('Activities'!K800,348))</x:f>
        <x:v>0</x:v>
      </x:c>
      <x:c r="BL800" s="22" t="n">
        <x:f>MAX(0,MIN('Activities'!L800,360)-MAX('Activities'!K800,354))</x:f>
        <x:v>0</x:v>
      </x:c>
      <x:c r="BM800" s="22" t="n">
        <x:f>MAX(0,MIN('Activities'!L800,366)-MAX('Activities'!K800,360))</x:f>
        <x:v>0</x:v>
      </x:c>
      <x:c r="BN800" s="22" t="n">
        <x:f>MAX(0,MIN('Activities'!L800,372)-MAX('Activities'!K800,366))</x:f>
        <x:v>0</x:v>
      </x:c>
      <x:c r="BO800" s="22" t="n">
        <x:f>MAX(0,MIN('Activities'!L800,378)-MAX('Activities'!K800,372))</x:f>
        <x:v>0</x:v>
      </x:c>
      <x:c r="BP800" s="22" t="n">
        <x:f>MAX(0,MIN('Activities'!L800,384)-MAX('Activities'!K800,378))</x:f>
        <x:v>0</x:v>
      </x:c>
      <x:c r="BQ800" s="22" t="n">
        <x:f>MAX(0,MIN('Activities'!L800,390)-MAX('Activities'!K800,384))</x:f>
        <x:v>0</x:v>
      </x:c>
      <x:c r="BR800" s="22" t="n">
        <x:f>MAX(0,MIN('Activities'!L800,396)-MAX('Activities'!K800,390))</x:f>
        <x:v>0</x:v>
      </x:c>
      <x:c r="BS800" s="22" t="n">
        <x:f>MAX(0,MIN('Activities'!L800,402)-MAX('Activities'!K800,396))</x:f>
        <x:v>0</x:v>
      </x:c>
      <x:c r="BT800" s="22" t="n">
        <x:f>MAX(0,MIN('Activities'!L800,408)-MAX('Activities'!K800,402))</x:f>
        <x:v>0</x:v>
      </x:c>
      <x:c r="BU800" s="22" t="n">
        <x:f>MAX(0,MIN('Activities'!L800,414)-MAX('Activities'!K800,408))</x:f>
        <x:v>0</x:v>
      </x:c>
      <x:c r="BV800" s="22" t="n">
        <x:f>MAX(0,MIN('Activities'!L800,420)-MAX('Activities'!K800,414))</x:f>
        <x:v>0</x:v>
      </x:c>
      <x:c r="BW800" s="22" t="n">
        <x:f>MAX(0,MIN('Activities'!L800,426)-MAX('Activities'!K800,420))</x:f>
        <x:v>0</x:v>
      </x:c>
      <x:c r="BX800" s="22" t="n">
        <x:f>MAX(0,MIN('Activities'!L800,432)-MAX('Activities'!K800,426))</x:f>
        <x:v>0</x:v>
      </x:c>
      <x:c r="BY800" s="22" t="n">
        <x:f>MAX(0,MIN('Activities'!L800,438)-MAX('Activities'!K800,432))</x:f>
        <x:v>0</x:v>
      </x:c>
      <x:c r="BZ800" s="22" t="n">
        <x:f>MAX(0,MIN('Activities'!L800,444)-MAX('Activities'!K800,438))</x:f>
        <x:v>0</x:v>
      </x:c>
      <x:c r="CA800" s="22" t="n">
        <x:f>MAX(0,MIN('Activities'!L800,450)-MAX('Activities'!K800,444))</x:f>
        <x:v>0</x:v>
      </x:c>
      <x:c r="CB800" s="22" t="n">
        <x:f>MAX(0,MIN('Activities'!L800,456)-MAX('Activities'!K800,450))</x:f>
        <x:v>0</x:v>
      </x:c>
      <x:c r="CC800" s="22" t="n">
        <x:f>MAX(0,MIN('Activities'!L800,462)-MAX('Activities'!K800,456))</x:f>
        <x:v>0</x:v>
      </x:c>
      <x:c r="CD800" s="22" t="n">
        <x:f>MAX(0,MIN('Activities'!L800,468)-MAX('Activities'!K800,462))</x:f>
        <x:v>0</x:v>
      </x:c>
      <x:c r="CE800" s="22" t="n">
        <x:f>MAX(0,MIN('Activities'!L800,474)-MAX('Activities'!K800,468))</x:f>
        <x:v>0</x:v>
      </x:c>
      <x:c r="CF800" s="22" t="n">
        <x:f>MAX(0,MIN('Activities'!L800,480)-MAX('Activities'!K800,474))</x:f>
        <x:v>5</x:v>
      </x:c>
      <x:c r="CG800" s="22" t="n">
        <x:f>MAX(0,MIN('Activities'!L800,486)-MAX('Activities'!K800,480))</x:f>
        <x:v>0</x:v>
      </x:c>
      <x:c r="CH800" s="22" t="n">
        <x:f>MAX(0,MIN('Activities'!L800,492)-MAX('Activities'!K800,486))</x:f>
        <x:v>0</x:v>
      </x:c>
      <x:c r="CI800" s="22" t="n">
        <x:f>MAX(0,MIN('Activities'!L800,498)-MAX('Activities'!K800,492))</x:f>
        <x:v>0</x:v>
      </x:c>
      <x:c r="CJ800" s="22" t="n">
        <x:f>MAX(0,MIN('Activities'!L800,504)-MAX('Activities'!K800,498))</x:f>
        <x:v>0</x:v>
      </x:c>
      <x:c r="CK800" s="22" t="n">
        <x:f>MAX(0,MIN('Activities'!L800,510)-MAX('Activities'!K800,504))</x:f>
        <x:v>0</x:v>
      </x:c>
      <x:c r="CL800" s="22" t="n">
        <x:f>MAX(0,MIN('Activities'!L800,516)-MAX('Activities'!K800,510))</x:f>
        <x:v>0</x:v>
      </x:c>
      <x:c r="CM800" s="22" t="n">
        <x:f>MAX(0,MIN('Activities'!L800,522)-MAX('Activities'!K800,516))</x:f>
        <x:v>0</x:v>
      </x:c>
      <x:c r="CN800" s="22" t="n">
        <x:f>MAX(0,MIN('Activities'!L800,528)-MAX('Activities'!K800,522))</x:f>
        <x:v>0</x:v>
      </x:c>
      <x:c r="CO800" s="22" t="n">
        <x:f>MAX(0,MIN('Activities'!L800,534)-MAX('Activities'!K800,528))</x:f>
        <x:v>0</x:v>
      </x:c>
      <x:c r="CP800" s="22" t="n">
        <x:f>MAX(0,MIN('Activities'!L800,540)-MAX('Activities'!K800,534))</x:f>
        <x:v>0</x:v>
      </x:c>
      <x:c r="CQ800" s="22" t="n">
        <x:f>MAX(0,MIN('Activities'!L800,546)-MAX('Activities'!K800,540))</x:f>
        <x:v>0</x:v>
      </x:c>
      <x:c r="CR800" s="22" t="n">
        <x:f>MAX(0,MIN('Activities'!L800,552)-MAX('Activities'!K800,546))</x:f>
        <x:v>0</x:v>
      </x:c>
      <x:c r="CS800" s="22" t="n">
        <x:f>MAX(0,MIN('Activities'!L800,558)-MAX('Activities'!K800,552))</x:f>
        <x:v>0</x:v>
      </x:c>
      <x:c r="CT800" s="22" t="n">
        <x:f>MAX(0,MIN('Activities'!L800,564)-MAX('Activities'!K800,558))</x:f>
        <x:v>0</x:v>
      </x:c>
      <x:c r="CU800" s="22" t="n">
        <x:f>MAX(0,MIN('Activities'!L800,570)-MAX('Activities'!K800,564))</x:f>
        <x:v>0</x:v>
      </x:c>
      <x:c r="CV800" s="22" t="n">
        <x:f>MAX(0,MIN('Activities'!L800,576)-MAX('Activities'!K800,570))</x:f>
        <x:v>0</x:v>
      </x:c>
      <x:c r="CW800" s="22" t="n">
        <x:f>MAX(0,MIN('Activities'!L800,582)-MAX('Activities'!K800,576))</x:f>
        <x:v>0</x:v>
      </x:c>
      <x:c r="CX800" s="22" t="n">
        <x:f>MAX(0,MIN('Activities'!L800,588)-MAX('Activities'!K800,582))</x:f>
        <x:v>0</x:v>
      </x:c>
      <x:c r="CY800" s="22" t="n">
        <x:f>MAX(0,MIN('Activities'!L800,594)-MAX('Activities'!K800,588))</x:f>
        <x:v>0</x:v>
      </x:c>
      <x:c r="CZ800" s="22" t="n">
        <x:f>MAX(0,MIN('Activities'!L800,600)-MAX('Activities'!K800,594))</x:f>
        <x:v>0</x:v>
      </x:c>
      <x:c r="DA800" s="22" t="n">
        <x:f>MAX(0,MIN('Activities'!L800,606)-MAX('Activities'!K800,600))</x:f>
        <x:v>0</x:v>
      </x:c>
      <x:c r="DB800" s="22" t="n">
        <x:f>MAX(0,MIN('Activities'!L800,612)-MAX('Activities'!K800,606))</x:f>
        <x:v>0</x:v>
      </x:c>
      <x:c r="DC800" s="22" t="n">
        <x:f>MAX(0,MIN('Activities'!L800,618)-MAX('Activities'!K800,612))</x:f>
        <x:v>0</x:v>
      </x:c>
      <x:c r="DD800" s="22" t="n">
        <x:f>MAX(0,MIN('Activities'!L800,624)-MAX('Activities'!K800,618))</x:f>
        <x:v>0</x:v>
      </x:c>
      <x:c r="DE800" s="22" t="n">
        <x:f>MAX(0,MIN('Activities'!L800,630)-MAX('Activities'!K800,624))</x:f>
        <x:v>0</x:v>
      </x:c>
      <x:c r="DF800" s="22" t="n">
        <x:f>MAX(0,MIN('Activities'!L800,636)-MAX('Activities'!K800,630))</x:f>
        <x:v>0</x:v>
      </x:c>
    </x:row>
    <x:row r="801" ht="23" customHeight="1">
      <x:c r="A801" s="1" t="str">
        <x:v>T6-L10-D</x:v>
      </x:c>
      <x:c r="B801" s="1" t="str">
        <x:v>T6</x:v>
      </x:c>
      <x:c r="C801" s="1" t="str">
        <x:v>Door sets and ironmongery</x:v>
      </x:c>
      <x:c r="D801" s="1" t="str">
        <x:v>Finishes</x:v>
      </x:c>
      <x:c r="E801" s="23" t="n">
        <x:f>MAX(0,MIN('Activities'!L801,6)-MAX('Activities'!K801,0))</x:f>
        <x:v>0</x:v>
      </x:c>
      <x:c r="F801" s="23" t="n">
        <x:f>MAX(0,MIN('Activities'!L801,12)-MAX('Activities'!K801,6))</x:f>
        <x:v>0</x:v>
      </x:c>
      <x:c r="G801" s="23" t="n">
        <x:f>MAX(0,MIN('Activities'!L801,18)-MAX('Activities'!K801,12))</x:f>
        <x:v>0</x:v>
      </x:c>
      <x:c r="H801" s="23" t="n">
        <x:f>MAX(0,MIN('Activities'!L801,24)-MAX('Activities'!K801,18))</x:f>
        <x:v>0</x:v>
      </x:c>
      <x:c r="I801" s="23" t="n">
        <x:f>MAX(0,MIN('Activities'!L801,30)-MAX('Activities'!K801,24))</x:f>
        <x:v>0</x:v>
      </x:c>
      <x:c r="J801" s="23" t="n">
        <x:f>MAX(0,MIN('Activities'!L801,36)-MAX('Activities'!K801,30))</x:f>
        <x:v>0</x:v>
      </x:c>
      <x:c r="K801" s="23" t="n">
        <x:f>MAX(0,MIN('Activities'!L801,42)-MAX('Activities'!K801,36))</x:f>
        <x:v>0</x:v>
      </x:c>
      <x:c r="L801" s="23" t="n">
        <x:f>MAX(0,MIN('Activities'!L801,48)-MAX('Activities'!K801,42))</x:f>
        <x:v>0</x:v>
      </x:c>
      <x:c r="M801" s="23" t="n">
        <x:f>MAX(0,MIN('Activities'!L801,54)-MAX('Activities'!K801,48))</x:f>
        <x:v>0</x:v>
      </x:c>
      <x:c r="N801" s="23" t="n">
        <x:f>MAX(0,MIN('Activities'!L801,60)-MAX('Activities'!K801,54))</x:f>
        <x:v>0</x:v>
      </x:c>
      <x:c r="O801" s="23" t="n">
        <x:f>MAX(0,MIN('Activities'!L801,66)-MAX('Activities'!K801,60))</x:f>
        <x:v>0</x:v>
      </x:c>
      <x:c r="P801" s="23" t="n">
        <x:f>MAX(0,MIN('Activities'!L801,72)-MAX('Activities'!K801,66))</x:f>
        <x:v>0</x:v>
      </x:c>
      <x:c r="Q801" s="23" t="n">
        <x:f>MAX(0,MIN('Activities'!L801,78)-MAX('Activities'!K801,72))</x:f>
        <x:v>0</x:v>
      </x:c>
      <x:c r="R801" s="23" t="n">
        <x:f>MAX(0,MIN('Activities'!L801,84)-MAX('Activities'!K801,78))</x:f>
        <x:v>0</x:v>
      </x:c>
      <x:c r="S801" s="23" t="n">
        <x:f>MAX(0,MIN('Activities'!L801,90)-MAX('Activities'!K801,84))</x:f>
        <x:v>0</x:v>
      </x:c>
      <x:c r="T801" s="23" t="n">
        <x:f>MAX(0,MIN('Activities'!L801,96)-MAX('Activities'!K801,90))</x:f>
        <x:v>0</x:v>
      </x:c>
      <x:c r="U801" s="23" t="n">
        <x:f>MAX(0,MIN('Activities'!L801,102)-MAX('Activities'!K801,96))</x:f>
        <x:v>0</x:v>
      </x:c>
      <x:c r="V801" s="23" t="n">
        <x:f>MAX(0,MIN('Activities'!L801,108)-MAX('Activities'!K801,102))</x:f>
        <x:v>0</x:v>
      </x:c>
      <x:c r="W801" s="23" t="n">
        <x:f>MAX(0,MIN('Activities'!L801,114)-MAX('Activities'!K801,108))</x:f>
        <x:v>0</x:v>
      </x:c>
      <x:c r="X801" s="23" t="n">
        <x:f>MAX(0,MIN('Activities'!L801,120)-MAX('Activities'!K801,114))</x:f>
        <x:v>0</x:v>
      </x:c>
      <x:c r="Y801" s="23" t="n">
        <x:f>MAX(0,MIN('Activities'!L801,126)-MAX('Activities'!K801,120))</x:f>
        <x:v>0</x:v>
      </x:c>
      <x:c r="Z801" s="23" t="n">
        <x:f>MAX(0,MIN('Activities'!L801,132)-MAX('Activities'!K801,126))</x:f>
        <x:v>0</x:v>
      </x:c>
      <x:c r="AA801" s="23" t="n">
        <x:f>MAX(0,MIN('Activities'!L801,138)-MAX('Activities'!K801,132))</x:f>
        <x:v>0</x:v>
      </x:c>
      <x:c r="AB801" s="23" t="n">
        <x:f>MAX(0,MIN('Activities'!L801,144)-MAX('Activities'!K801,138))</x:f>
        <x:v>0</x:v>
      </x:c>
      <x:c r="AC801" s="23" t="n">
        <x:f>MAX(0,MIN('Activities'!L801,150)-MAX('Activities'!K801,144))</x:f>
        <x:v>0</x:v>
      </x:c>
      <x:c r="AD801" s="23" t="n">
        <x:f>MAX(0,MIN('Activities'!L801,156)-MAX('Activities'!K801,150))</x:f>
        <x:v>0</x:v>
      </x:c>
      <x:c r="AE801" s="23" t="n">
        <x:f>MAX(0,MIN('Activities'!L801,162)-MAX('Activities'!K801,156))</x:f>
        <x:v>0</x:v>
      </x:c>
      <x:c r="AF801" s="23" t="n">
        <x:f>MAX(0,MIN('Activities'!L801,168)-MAX('Activities'!K801,162))</x:f>
        <x:v>0</x:v>
      </x:c>
      <x:c r="AG801" s="23" t="n">
        <x:f>MAX(0,MIN('Activities'!L801,174)-MAX('Activities'!K801,168))</x:f>
        <x:v>0</x:v>
      </x:c>
      <x:c r="AH801" s="23" t="n">
        <x:f>MAX(0,MIN('Activities'!L801,180)-MAX('Activities'!K801,174))</x:f>
        <x:v>0</x:v>
      </x:c>
      <x:c r="AI801" s="23" t="n">
        <x:f>MAX(0,MIN('Activities'!L801,186)-MAX('Activities'!K801,180))</x:f>
        <x:v>0</x:v>
      </x:c>
      <x:c r="AJ801" s="23" t="n">
        <x:f>MAX(0,MIN('Activities'!L801,192)-MAX('Activities'!K801,186))</x:f>
        <x:v>0</x:v>
      </x:c>
      <x:c r="AK801" s="23" t="n">
        <x:f>MAX(0,MIN('Activities'!L801,198)-MAX('Activities'!K801,192))</x:f>
        <x:v>0</x:v>
      </x:c>
      <x:c r="AL801" s="23" t="n">
        <x:f>MAX(0,MIN('Activities'!L801,204)-MAX('Activities'!K801,198))</x:f>
        <x:v>0</x:v>
      </x:c>
      <x:c r="AM801" s="23" t="n">
        <x:f>MAX(0,MIN('Activities'!L801,210)-MAX('Activities'!K801,204))</x:f>
        <x:v>0</x:v>
      </x:c>
      <x:c r="AN801" s="23" t="n">
        <x:f>MAX(0,MIN('Activities'!L801,216)-MAX('Activities'!K801,210))</x:f>
        <x:v>0</x:v>
      </x:c>
      <x:c r="AO801" s="23" t="n">
        <x:f>MAX(0,MIN('Activities'!L801,222)-MAX('Activities'!K801,216))</x:f>
        <x:v>0</x:v>
      </x:c>
      <x:c r="AP801" s="23" t="n">
        <x:f>MAX(0,MIN('Activities'!L801,228)-MAX('Activities'!K801,222))</x:f>
        <x:v>0</x:v>
      </x:c>
      <x:c r="AQ801" s="23" t="n">
        <x:f>MAX(0,MIN('Activities'!L801,234)-MAX('Activities'!K801,228))</x:f>
        <x:v>0</x:v>
      </x:c>
      <x:c r="AR801" s="23" t="n">
        <x:f>MAX(0,MIN('Activities'!L801,240)-MAX('Activities'!K801,234))</x:f>
        <x:v>0</x:v>
      </x:c>
      <x:c r="AS801" s="23" t="n">
        <x:f>MAX(0,MIN('Activities'!L801,246)-MAX('Activities'!K801,240))</x:f>
        <x:v>0</x:v>
      </x:c>
      <x:c r="AT801" s="23" t="n">
        <x:f>MAX(0,MIN('Activities'!L801,252)-MAX('Activities'!K801,246))</x:f>
        <x:v>0</x:v>
      </x:c>
      <x:c r="AU801" s="23" t="n">
        <x:f>MAX(0,MIN('Activities'!L801,258)-MAX('Activities'!K801,252))</x:f>
        <x:v>0</x:v>
      </x:c>
      <x:c r="AV801" s="23" t="n">
        <x:f>MAX(0,MIN('Activities'!L801,264)-MAX('Activities'!K801,258))</x:f>
        <x:v>0</x:v>
      </x:c>
      <x:c r="AW801" s="23" t="n">
        <x:f>MAX(0,MIN('Activities'!L801,270)-MAX('Activities'!K801,264))</x:f>
        <x:v>0</x:v>
      </x:c>
      <x:c r="AX801" s="23" t="n">
        <x:f>MAX(0,MIN('Activities'!L801,276)-MAX('Activities'!K801,270))</x:f>
        <x:v>0</x:v>
      </x:c>
      <x:c r="AY801" s="23" t="n">
        <x:f>MAX(0,MIN('Activities'!L801,282)-MAX('Activities'!K801,276))</x:f>
        <x:v>0</x:v>
      </x:c>
      <x:c r="AZ801" s="23" t="n">
        <x:f>MAX(0,MIN('Activities'!L801,288)-MAX('Activities'!K801,282))</x:f>
        <x:v>0</x:v>
      </x:c>
      <x:c r="BA801" s="23" t="n">
        <x:f>MAX(0,MIN('Activities'!L801,294)-MAX('Activities'!K801,288))</x:f>
        <x:v>0</x:v>
      </x:c>
      <x:c r="BB801" s="23" t="n">
        <x:f>MAX(0,MIN('Activities'!L801,300)-MAX('Activities'!K801,294))</x:f>
        <x:v>0</x:v>
      </x:c>
      <x:c r="BC801" s="23" t="n">
        <x:f>MAX(0,MIN('Activities'!L801,306)-MAX('Activities'!K801,300))</x:f>
        <x:v>0</x:v>
      </x:c>
      <x:c r="BD801" s="23" t="n">
        <x:f>MAX(0,MIN('Activities'!L801,312)-MAX('Activities'!K801,306))</x:f>
        <x:v>0</x:v>
      </x:c>
      <x:c r="BE801" s="23" t="n">
        <x:f>MAX(0,MIN('Activities'!L801,318)-MAX('Activities'!K801,312))</x:f>
        <x:v>0</x:v>
      </x:c>
      <x:c r="BF801" s="23" t="n">
        <x:f>MAX(0,MIN('Activities'!L801,324)-MAX('Activities'!K801,318))</x:f>
        <x:v>0</x:v>
      </x:c>
      <x:c r="BG801" s="23" t="n">
        <x:f>MAX(0,MIN('Activities'!L801,330)-MAX('Activities'!K801,324))</x:f>
        <x:v>0</x:v>
      </x:c>
      <x:c r="BH801" s="23" t="n">
        <x:f>MAX(0,MIN('Activities'!L801,336)-MAX('Activities'!K801,330))</x:f>
        <x:v>0</x:v>
      </x:c>
      <x:c r="BI801" s="23" t="n">
        <x:f>MAX(0,MIN('Activities'!L801,342)-MAX('Activities'!K801,336))</x:f>
        <x:v>0</x:v>
      </x:c>
      <x:c r="BJ801" s="23" t="n">
        <x:f>MAX(0,MIN('Activities'!L801,348)-MAX('Activities'!K801,342))</x:f>
        <x:v>0</x:v>
      </x:c>
      <x:c r="BK801" s="23" t="n">
        <x:f>MAX(0,MIN('Activities'!L801,354)-MAX('Activities'!K801,348))</x:f>
        <x:v>0</x:v>
      </x:c>
      <x:c r="BL801" s="23" t="n">
        <x:f>MAX(0,MIN('Activities'!L801,360)-MAX('Activities'!K801,354))</x:f>
        <x:v>0</x:v>
      </x:c>
      <x:c r="BM801" s="23" t="n">
        <x:f>MAX(0,MIN('Activities'!L801,366)-MAX('Activities'!K801,360))</x:f>
        <x:v>0</x:v>
      </x:c>
      <x:c r="BN801" s="23" t="n">
        <x:f>MAX(0,MIN('Activities'!L801,372)-MAX('Activities'!K801,366))</x:f>
        <x:v>0</x:v>
      </x:c>
      <x:c r="BO801" s="23" t="n">
        <x:f>MAX(0,MIN('Activities'!L801,378)-MAX('Activities'!K801,372))</x:f>
        <x:v>0</x:v>
      </x:c>
      <x:c r="BP801" s="23" t="n">
        <x:f>MAX(0,MIN('Activities'!L801,384)-MAX('Activities'!K801,378))</x:f>
        <x:v>0</x:v>
      </x:c>
      <x:c r="BQ801" s="23" t="n">
        <x:f>MAX(0,MIN('Activities'!L801,390)-MAX('Activities'!K801,384))</x:f>
        <x:v>0</x:v>
      </x:c>
      <x:c r="BR801" s="23" t="n">
        <x:f>MAX(0,MIN('Activities'!L801,396)-MAX('Activities'!K801,390))</x:f>
        <x:v>0</x:v>
      </x:c>
      <x:c r="BS801" s="23" t="n">
        <x:f>MAX(0,MIN('Activities'!L801,402)-MAX('Activities'!K801,396))</x:f>
        <x:v>0</x:v>
      </x:c>
      <x:c r="BT801" s="23" t="n">
        <x:f>MAX(0,MIN('Activities'!L801,408)-MAX('Activities'!K801,402))</x:f>
        <x:v>0</x:v>
      </x:c>
      <x:c r="BU801" s="23" t="n">
        <x:f>MAX(0,MIN('Activities'!L801,414)-MAX('Activities'!K801,408))</x:f>
        <x:v>0</x:v>
      </x:c>
      <x:c r="BV801" s="23" t="n">
        <x:f>MAX(0,MIN('Activities'!L801,420)-MAX('Activities'!K801,414))</x:f>
        <x:v>0</x:v>
      </x:c>
      <x:c r="BW801" s="23" t="n">
        <x:f>MAX(0,MIN('Activities'!L801,426)-MAX('Activities'!K801,420))</x:f>
        <x:v>0</x:v>
      </x:c>
      <x:c r="BX801" s="23" t="n">
        <x:f>MAX(0,MIN('Activities'!L801,432)-MAX('Activities'!K801,426))</x:f>
        <x:v>0</x:v>
      </x:c>
      <x:c r="BY801" s="23" t="n">
        <x:f>MAX(0,MIN('Activities'!L801,438)-MAX('Activities'!K801,432))</x:f>
        <x:v>0</x:v>
      </x:c>
      <x:c r="BZ801" s="23" t="n">
        <x:f>MAX(0,MIN('Activities'!L801,444)-MAX('Activities'!K801,438))</x:f>
        <x:v>0</x:v>
      </x:c>
      <x:c r="CA801" s="23" t="n">
        <x:f>MAX(0,MIN('Activities'!L801,450)-MAX('Activities'!K801,444))</x:f>
        <x:v>0</x:v>
      </x:c>
      <x:c r="CB801" s="23" t="n">
        <x:f>MAX(0,MIN('Activities'!L801,456)-MAX('Activities'!K801,450))</x:f>
        <x:v>0</x:v>
      </x:c>
      <x:c r="CC801" s="23" t="n">
        <x:f>MAX(0,MIN('Activities'!L801,462)-MAX('Activities'!K801,456))</x:f>
        <x:v>0</x:v>
      </x:c>
      <x:c r="CD801" s="23" t="n">
        <x:f>MAX(0,MIN('Activities'!L801,468)-MAX('Activities'!K801,462))</x:f>
        <x:v>0</x:v>
      </x:c>
      <x:c r="CE801" s="23" t="n">
        <x:f>MAX(0,MIN('Activities'!L801,474)-MAX('Activities'!K801,468))</x:f>
        <x:v>0</x:v>
      </x:c>
      <x:c r="CF801" s="23" t="n">
        <x:f>MAX(0,MIN('Activities'!L801,480)-MAX('Activities'!K801,474))</x:f>
        <x:v>1</x:v>
      </x:c>
      <x:c r="CG801" s="23" t="n">
        <x:f>MAX(0,MIN('Activities'!L801,486)-MAX('Activities'!K801,480))</x:f>
        <x:v>2</x:v>
      </x:c>
      <x:c r="CH801" s="23" t="n">
        <x:f>MAX(0,MIN('Activities'!L801,492)-MAX('Activities'!K801,486))</x:f>
        <x:v>0</x:v>
      </x:c>
      <x:c r="CI801" s="23" t="n">
        <x:f>MAX(0,MIN('Activities'!L801,498)-MAX('Activities'!K801,492))</x:f>
        <x:v>0</x:v>
      </x:c>
      <x:c r="CJ801" s="23" t="n">
        <x:f>MAX(0,MIN('Activities'!L801,504)-MAX('Activities'!K801,498))</x:f>
        <x:v>0</x:v>
      </x:c>
      <x:c r="CK801" s="23" t="n">
        <x:f>MAX(0,MIN('Activities'!L801,510)-MAX('Activities'!K801,504))</x:f>
        <x:v>0</x:v>
      </x:c>
      <x:c r="CL801" s="23" t="n">
        <x:f>MAX(0,MIN('Activities'!L801,516)-MAX('Activities'!K801,510))</x:f>
        <x:v>0</x:v>
      </x:c>
      <x:c r="CM801" s="23" t="n">
        <x:f>MAX(0,MIN('Activities'!L801,522)-MAX('Activities'!K801,516))</x:f>
        <x:v>0</x:v>
      </x:c>
      <x:c r="CN801" s="23" t="n">
        <x:f>MAX(0,MIN('Activities'!L801,528)-MAX('Activities'!K801,522))</x:f>
        <x:v>0</x:v>
      </x:c>
      <x:c r="CO801" s="23" t="n">
        <x:f>MAX(0,MIN('Activities'!L801,534)-MAX('Activities'!K801,528))</x:f>
        <x:v>0</x:v>
      </x:c>
      <x:c r="CP801" s="23" t="n">
        <x:f>MAX(0,MIN('Activities'!L801,540)-MAX('Activities'!K801,534))</x:f>
        <x:v>0</x:v>
      </x:c>
      <x:c r="CQ801" s="23" t="n">
        <x:f>MAX(0,MIN('Activities'!L801,546)-MAX('Activities'!K801,540))</x:f>
        <x:v>0</x:v>
      </x:c>
      <x:c r="CR801" s="23" t="n">
        <x:f>MAX(0,MIN('Activities'!L801,552)-MAX('Activities'!K801,546))</x:f>
        <x:v>0</x:v>
      </x:c>
      <x:c r="CS801" s="23" t="n">
        <x:f>MAX(0,MIN('Activities'!L801,558)-MAX('Activities'!K801,552))</x:f>
        <x:v>0</x:v>
      </x:c>
      <x:c r="CT801" s="23" t="n">
        <x:f>MAX(0,MIN('Activities'!L801,564)-MAX('Activities'!K801,558))</x:f>
        <x:v>0</x:v>
      </x:c>
      <x:c r="CU801" s="23" t="n">
        <x:f>MAX(0,MIN('Activities'!L801,570)-MAX('Activities'!K801,564))</x:f>
        <x:v>0</x:v>
      </x:c>
      <x:c r="CV801" s="23" t="n">
        <x:f>MAX(0,MIN('Activities'!L801,576)-MAX('Activities'!K801,570))</x:f>
        <x:v>0</x:v>
      </x:c>
      <x:c r="CW801" s="23" t="n">
        <x:f>MAX(0,MIN('Activities'!L801,582)-MAX('Activities'!K801,576))</x:f>
        <x:v>0</x:v>
      </x:c>
      <x:c r="CX801" s="23" t="n">
        <x:f>MAX(0,MIN('Activities'!L801,588)-MAX('Activities'!K801,582))</x:f>
        <x:v>0</x:v>
      </x:c>
      <x:c r="CY801" s="23" t="n">
        <x:f>MAX(0,MIN('Activities'!L801,594)-MAX('Activities'!K801,588))</x:f>
        <x:v>0</x:v>
      </x:c>
      <x:c r="CZ801" s="23" t="n">
        <x:f>MAX(0,MIN('Activities'!L801,600)-MAX('Activities'!K801,594))</x:f>
        <x:v>0</x:v>
      </x:c>
      <x:c r="DA801" s="23" t="n">
        <x:f>MAX(0,MIN('Activities'!L801,606)-MAX('Activities'!K801,600))</x:f>
        <x:v>0</x:v>
      </x:c>
      <x:c r="DB801" s="23" t="n">
        <x:f>MAX(0,MIN('Activities'!L801,612)-MAX('Activities'!K801,606))</x:f>
        <x:v>0</x:v>
      </x:c>
      <x:c r="DC801" s="23" t="n">
        <x:f>MAX(0,MIN('Activities'!L801,618)-MAX('Activities'!K801,612))</x:f>
        <x:v>0</x:v>
      </x:c>
      <x:c r="DD801" s="23" t="n">
        <x:f>MAX(0,MIN('Activities'!L801,624)-MAX('Activities'!K801,618))</x:f>
        <x:v>0</x:v>
      </x:c>
      <x:c r="DE801" s="23" t="n">
        <x:f>MAX(0,MIN('Activities'!L801,630)-MAX('Activities'!K801,624))</x:f>
        <x:v>0</x:v>
      </x:c>
      <x:c r="DF801" s="23" t="n">
        <x:f>MAX(0,MIN('Activities'!L801,636)-MAX('Activities'!K801,630))</x:f>
        <x:v>0</x:v>
      </x:c>
    </x:row>
    <x:row r="802" ht="23" customHeight="1">
      <x:c r="A802" s="6" t="str">
        <x:v>T6-L11-M</x:v>
      </x:c>
      <x:c r="B802" s="6" t="str">
        <x:v>T6</x:v>
      </x:c>
      <x:c r="C802" s="6" t="str">
        <x:v>Partition masonry</x:v>
      </x:c>
      <x:c r="D802" s="6" t="str">
        <x:v>Masonry</x:v>
      </x:c>
      <x:c r="E802" s="22" t="n">
        <x:f>MAX(0,MIN('Activities'!L802,6)-MAX('Activities'!K802,0))</x:f>
        <x:v>0</x:v>
      </x:c>
      <x:c r="F802" s="22" t="n">
        <x:f>MAX(0,MIN('Activities'!L802,12)-MAX('Activities'!K802,6))</x:f>
        <x:v>0</x:v>
      </x:c>
      <x:c r="G802" s="22" t="n">
        <x:f>MAX(0,MIN('Activities'!L802,18)-MAX('Activities'!K802,12))</x:f>
        <x:v>0</x:v>
      </x:c>
      <x:c r="H802" s="22" t="n">
        <x:f>MAX(0,MIN('Activities'!L802,24)-MAX('Activities'!K802,18))</x:f>
        <x:v>0</x:v>
      </x:c>
      <x:c r="I802" s="22" t="n">
        <x:f>MAX(0,MIN('Activities'!L802,30)-MAX('Activities'!K802,24))</x:f>
        <x:v>0</x:v>
      </x:c>
      <x:c r="J802" s="22" t="n">
        <x:f>MAX(0,MIN('Activities'!L802,36)-MAX('Activities'!K802,30))</x:f>
        <x:v>0</x:v>
      </x:c>
      <x:c r="K802" s="22" t="n">
        <x:f>MAX(0,MIN('Activities'!L802,42)-MAX('Activities'!K802,36))</x:f>
        <x:v>0</x:v>
      </x:c>
      <x:c r="L802" s="22" t="n">
        <x:f>MAX(0,MIN('Activities'!L802,48)-MAX('Activities'!K802,42))</x:f>
        <x:v>0</x:v>
      </x:c>
      <x:c r="M802" s="22" t="n">
        <x:f>MAX(0,MIN('Activities'!L802,54)-MAX('Activities'!K802,48))</x:f>
        <x:v>0</x:v>
      </x:c>
      <x:c r="N802" s="22" t="n">
        <x:f>MAX(0,MIN('Activities'!L802,60)-MAX('Activities'!K802,54))</x:f>
        <x:v>0</x:v>
      </x:c>
      <x:c r="O802" s="22" t="n">
        <x:f>MAX(0,MIN('Activities'!L802,66)-MAX('Activities'!K802,60))</x:f>
        <x:v>0</x:v>
      </x:c>
      <x:c r="P802" s="22" t="n">
        <x:f>MAX(0,MIN('Activities'!L802,72)-MAX('Activities'!K802,66))</x:f>
        <x:v>0</x:v>
      </x:c>
      <x:c r="Q802" s="22" t="n">
        <x:f>MAX(0,MIN('Activities'!L802,78)-MAX('Activities'!K802,72))</x:f>
        <x:v>0</x:v>
      </x:c>
      <x:c r="R802" s="22" t="n">
        <x:f>MAX(0,MIN('Activities'!L802,84)-MAX('Activities'!K802,78))</x:f>
        <x:v>0</x:v>
      </x:c>
      <x:c r="S802" s="22" t="n">
        <x:f>MAX(0,MIN('Activities'!L802,90)-MAX('Activities'!K802,84))</x:f>
        <x:v>0</x:v>
      </x:c>
      <x:c r="T802" s="22" t="n">
        <x:f>MAX(0,MIN('Activities'!L802,96)-MAX('Activities'!K802,90))</x:f>
        <x:v>0</x:v>
      </x:c>
      <x:c r="U802" s="22" t="n">
        <x:f>MAX(0,MIN('Activities'!L802,102)-MAX('Activities'!K802,96))</x:f>
        <x:v>0</x:v>
      </x:c>
      <x:c r="V802" s="22" t="n">
        <x:f>MAX(0,MIN('Activities'!L802,108)-MAX('Activities'!K802,102))</x:f>
        <x:v>0</x:v>
      </x:c>
      <x:c r="W802" s="22" t="n">
        <x:f>MAX(0,MIN('Activities'!L802,114)-MAX('Activities'!K802,108))</x:f>
        <x:v>0</x:v>
      </x:c>
      <x:c r="X802" s="22" t="n">
        <x:f>MAX(0,MIN('Activities'!L802,120)-MAX('Activities'!K802,114))</x:f>
        <x:v>0</x:v>
      </x:c>
      <x:c r="Y802" s="22" t="n">
        <x:f>MAX(0,MIN('Activities'!L802,126)-MAX('Activities'!K802,120))</x:f>
        <x:v>0</x:v>
      </x:c>
      <x:c r="Z802" s="22" t="n">
        <x:f>MAX(0,MIN('Activities'!L802,132)-MAX('Activities'!K802,126))</x:f>
        <x:v>0</x:v>
      </x:c>
      <x:c r="AA802" s="22" t="n">
        <x:f>MAX(0,MIN('Activities'!L802,138)-MAX('Activities'!K802,132))</x:f>
        <x:v>0</x:v>
      </x:c>
      <x:c r="AB802" s="22" t="n">
        <x:f>MAX(0,MIN('Activities'!L802,144)-MAX('Activities'!K802,138))</x:f>
        <x:v>0</x:v>
      </x:c>
      <x:c r="AC802" s="22" t="n">
        <x:f>MAX(0,MIN('Activities'!L802,150)-MAX('Activities'!K802,144))</x:f>
        <x:v>0</x:v>
      </x:c>
      <x:c r="AD802" s="22" t="n">
        <x:f>MAX(0,MIN('Activities'!L802,156)-MAX('Activities'!K802,150))</x:f>
        <x:v>0</x:v>
      </x:c>
      <x:c r="AE802" s="22" t="n">
        <x:f>MAX(0,MIN('Activities'!L802,162)-MAX('Activities'!K802,156))</x:f>
        <x:v>0</x:v>
      </x:c>
      <x:c r="AF802" s="22" t="n">
        <x:f>MAX(0,MIN('Activities'!L802,168)-MAX('Activities'!K802,162))</x:f>
        <x:v>0</x:v>
      </x:c>
      <x:c r="AG802" s="22" t="n">
        <x:f>MAX(0,MIN('Activities'!L802,174)-MAX('Activities'!K802,168))</x:f>
        <x:v>0</x:v>
      </x:c>
      <x:c r="AH802" s="22" t="n">
        <x:f>MAX(0,MIN('Activities'!L802,180)-MAX('Activities'!K802,174))</x:f>
        <x:v>0</x:v>
      </x:c>
      <x:c r="AI802" s="22" t="n">
        <x:f>MAX(0,MIN('Activities'!L802,186)-MAX('Activities'!K802,180))</x:f>
        <x:v>0</x:v>
      </x:c>
      <x:c r="AJ802" s="22" t="n">
        <x:f>MAX(0,MIN('Activities'!L802,192)-MAX('Activities'!K802,186))</x:f>
        <x:v>0</x:v>
      </x:c>
      <x:c r="AK802" s="22" t="n">
        <x:f>MAX(0,MIN('Activities'!L802,198)-MAX('Activities'!K802,192))</x:f>
        <x:v>0</x:v>
      </x:c>
      <x:c r="AL802" s="22" t="n">
        <x:f>MAX(0,MIN('Activities'!L802,204)-MAX('Activities'!K802,198))</x:f>
        <x:v>0</x:v>
      </x:c>
      <x:c r="AM802" s="22" t="n">
        <x:f>MAX(0,MIN('Activities'!L802,210)-MAX('Activities'!K802,204))</x:f>
        <x:v>0</x:v>
      </x:c>
      <x:c r="AN802" s="22" t="n">
        <x:f>MAX(0,MIN('Activities'!L802,216)-MAX('Activities'!K802,210))</x:f>
        <x:v>0</x:v>
      </x:c>
      <x:c r="AO802" s="22" t="n">
        <x:f>MAX(0,MIN('Activities'!L802,222)-MAX('Activities'!K802,216))</x:f>
        <x:v>0</x:v>
      </x:c>
      <x:c r="AP802" s="22" t="n">
        <x:f>MAX(0,MIN('Activities'!L802,228)-MAX('Activities'!K802,222))</x:f>
        <x:v>0</x:v>
      </x:c>
      <x:c r="AQ802" s="22" t="n">
        <x:f>MAX(0,MIN('Activities'!L802,234)-MAX('Activities'!K802,228))</x:f>
        <x:v>0</x:v>
      </x:c>
      <x:c r="AR802" s="22" t="n">
        <x:f>MAX(0,MIN('Activities'!L802,240)-MAX('Activities'!K802,234))</x:f>
        <x:v>0</x:v>
      </x:c>
      <x:c r="AS802" s="22" t="n">
        <x:f>MAX(0,MIN('Activities'!L802,246)-MAX('Activities'!K802,240))</x:f>
        <x:v>0</x:v>
      </x:c>
      <x:c r="AT802" s="22" t="n">
        <x:f>MAX(0,MIN('Activities'!L802,252)-MAX('Activities'!K802,246))</x:f>
        <x:v>0</x:v>
      </x:c>
      <x:c r="AU802" s="22" t="n">
        <x:f>MAX(0,MIN('Activities'!L802,258)-MAX('Activities'!K802,252))</x:f>
        <x:v>0</x:v>
      </x:c>
      <x:c r="AV802" s="22" t="n">
        <x:f>MAX(0,MIN('Activities'!L802,264)-MAX('Activities'!K802,258))</x:f>
        <x:v>0</x:v>
      </x:c>
      <x:c r="AW802" s="22" t="n">
        <x:f>MAX(0,MIN('Activities'!L802,270)-MAX('Activities'!K802,264))</x:f>
        <x:v>0</x:v>
      </x:c>
      <x:c r="AX802" s="22" t="n">
        <x:f>MAX(0,MIN('Activities'!L802,276)-MAX('Activities'!K802,270))</x:f>
        <x:v>0</x:v>
      </x:c>
      <x:c r="AY802" s="22" t="n">
        <x:f>MAX(0,MIN('Activities'!L802,282)-MAX('Activities'!K802,276))</x:f>
        <x:v>0</x:v>
      </x:c>
      <x:c r="AZ802" s="22" t="n">
        <x:f>MAX(0,MIN('Activities'!L802,288)-MAX('Activities'!K802,282))</x:f>
        <x:v>0</x:v>
      </x:c>
      <x:c r="BA802" s="22" t="n">
        <x:f>MAX(0,MIN('Activities'!L802,294)-MAX('Activities'!K802,288))</x:f>
        <x:v>0</x:v>
      </x:c>
      <x:c r="BB802" s="22" t="n">
        <x:f>MAX(0,MIN('Activities'!L802,300)-MAX('Activities'!K802,294))</x:f>
        <x:v>0</x:v>
      </x:c>
      <x:c r="BC802" s="22" t="n">
        <x:f>MAX(0,MIN('Activities'!L802,306)-MAX('Activities'!K802,300))</x:f>
        <x:v>0</x:v>
      </x:c>
      <x:c r="BD802" s="22" t="n">
        <x:f>MAX(0,MIN('Activities'!L802,312)-MAX('Activities'!K802,306))</x:f>
        <x:v>0</x:v>
      </x:c>
      <x:c r="BE802" s="22" t="n">
        <x:f>MAX(0,MIN('Activities'!L802,318)-MAX('Activities'!K802,312))</x:f>
        <x:v>0</x:v>
      </x:c>
      <x:c r="BF802" s="22" t="n">
        <x:f>MAX(0,MIN('Activities'!L802,324)-MAX('Activities'!K802,318))</x:f>
        <x:v>0</x:v>
      </x:c>
      <x:c r="BG802" s="22" t="n">
        <x:f>MAX(0,MIN('Activities'!L802,330)-MAX('Activities'!K802,324))</x:f>
        <x:v>0</x:v>
      </x:c>
      <x:c r="BH802" s="22" t="n">
        <x:f>MAX(0,MIN('Activities'!L802,336)-MAX('Activities'!K802,330))</x:f>
        <x:v>0</x:v>
      </x:c>
      <x:c r="BI802" s="22" t="n">
        <x:f>MAX(0,MIN('Activities'!L802,342)-MAX('Activities'!K802,336))</x:f>
        <x:v>0</x:v>
      </x:c>
      <x:c r="BJ802" s="22" t="n">
        <x:f>MAX(0,MIN('Activities'!L802,348)-MAX('Activities'!K802,342))</x:f>
        <x:v>0</x:v>
      </x:c>
      <x:c r="BK802" s="22" t="n">
        <x:f>MAX(0,MIN('Activities'!L802,354)-MAX('Activities'!K802,348))</x:f>
        <x:v>0</x:v>
      </x:c>
      <x:c r="BL802" s="22" t="n">
        <x:f>MAX(0,MIN('Activities'!L802,360)-MAX('Activities'!K802,354))</x:f>
        <x:v>0</x:v>
      </x:c>
      <x:c r="BM802" s="22" t="n">
        <x:f>MAX(0,MIN('Activities'!L802,366)-MAX('Activities'!K802,360))</x:f>
        <x:v>0</x:v>
      </x:c>
      <x:c r="BN802" s="22" t="n">
        <x:f>MAX(0,MIN('Activities'!L802,372)-MAX('Activities'!K802,366))</x:f>
        <x:v>0</x:v>
      </x:c>
      <x:c r="BO802" s="22" t="n">
        <x:f>MAX(0,MIN('Activities'!L802,378)-MAX('Activities'!K802,372))</x:f>
        <x:v>0</x:v>
      </x:c>
      <x:c r="BP802" s="22" t="n">
        <x:f>MAX(0,MIN('Activities'!L802,384)-MAX('Activities'!K802,378))</x:f>
        <x:v>0</x:v>
      </x:c>
      <x:c r="BQ802" s="22" t="n">
        <x:f>MAX(0,MIN('Activities'!L802,390)-MAX('Activities'!K802,384))</x:f>
        <x:v>0</x:v>
      </x:c>
      <x:c r="BR802" s="22" t="n">
        <x:f>MAX(0,MIN('Activities'!L802,396)-MAX('Activities'!K802,390))</x:f>
        <x:v>0</x:v>
      </x:c>
      <x:c r="BS802" s="22" t="n">
        <x:f>MAX(0,MIN('Activities'!L802,402)-MAX('Activities'!K802,396))</x:f>
        <x:v>0</x:v>
      </x:c>
      <x:c r="BT802" s="22" t="n">
        <x:f>MAX(0,MIN('Activities'!L802,408)-MAX('Activities'!K802,402))</x:f>
        <x:v>0</x:v>
      </x:c>
      <x:c r="BU802" s="22" t="n">
        <x:f>MAX(0,MIN('Activities'!L802,414)-MAX('Activities'!K802,408))</x:f>
        <x:v>0</x:v>
      </x:c>
      <x:c r="BV802" s="22" t="n">
        <x:f>MAX(0,MIN('Activities'!L802,420)-MAX('Activities'!K802,414))</x:f>
        <x:v>0</x:v>
      </x:c>
      <x:c r="BW802" s="22" t="n">
        <x:f>MAX(0,MIN('Activities'!L802,426)-MAX('Activities'!K802,420))</x:f>
        <x:v>0</x:v>
      </x:c>
      <x:c r="BX802" s="22" t="n">
        <x:f>MAX(0,MIN('Activities'!L802,432)-MAX('Activities'!K802,426))</x:f>
        <x:v>0</x:v>
      </x:c>
      <x:c r="BY802" s="22" t="n">
        <x:f>MAX(0,MIN('Activities'!L802,438)-MAX('Activities'!K802,432))</x:f>
        <x:v>5</x:v>
      </x:c>
      <x:c r="BZ802" s="22" t="n">
        <x:f>MAX(0,MIN('Activities'!L802,444)-MAX('Activities'!K802,438))</x:f>
        <x:v>0</x:v>
      </x:c>
      <x:c r="CA802" s="22" t="n">
        <x:f>MAX(0,MIN('Activities'!L802,450)-MAX('Activities'!K802,444))</x:f>
        <x:v>0</x:v>
      </x:c>
      <x:c r="CB802" s="22" t="n">
        <x:f>MAX(0,MIN('Activities'!L802,456)-MAX('Activities'!K802,450))</x:f>
        <x:v>0</x:v>
      </x:c>
      <x:c r="CC802" s="22" t="n">
        <x:f>MAX(0,MIN('Activities'!L802,462)-MAX('Activities'!K802,456))</x:f>
        <x:v>0</x:v>
      </x:c>
      <x:c r="CD802" s="22" t="n">
        <x:f>MAX(0,MIN('Activities'!L802,468)-MAX('Activities'!K802,462))</x:f>
        <x:v>0</x:v>
      </x:c>
      <x:c r="CE802" s="22" t="n">
        <x:f>MAX(0,MIN('Activities'!L802,474)-MAX('Activities'!K802,468))</x:f>
        <x:v>0</x:v>
      </x:c>
      <x:c r="CF802" s="22" t="n">
        <x:f>MAX(0,MIN('Activities'!L802,480)-MAX('Activities'!K802,474))</x:f>
        <x:v>0</x:v>
      </x:c>
      <x:c r="CG802" s="22" t="n">
        <x:f>MAX(0,MIN('Activities'!L802,486)-MAX('Activities'!K802,480))</x:f>
        <x:v>0</x:v>
      </x:c>
      <x:c r="CH802" s="22" t="n">
        <x:f>MAX(0,MIN('Activities'!L802,492)-MAX('Activities'!K802,486))</x:f>
        <x:v>0</x:v>
      </x:c>
      <x:c r="CI802" s="22" t="n">
        <x:f>MAX(0,MIN('Activities'!L802,498)-MAX('Activities'!K802,492))</x:f>
        <x:v>0</x:v>
      </x:c>
      <x:c r="CJ802" s="22" t="n">
        <x:f>MAX(0,MIN('Activities'!L802,504)-MAX('Activities'!K802,498))</x:f>
        <x:v>0</x:v>
      </x:c>
      <x:c r="CK802" s="22" t="n">
        <x:f>MAX(0,MIN('Activities'!L802,510)-MAX('Activities'!K802,504))</x:f>
        <x:v>0</x:v>
      </x:c>
      <x:c r="CL802" s="22" t="n">
        <x:f>MAX(0,MIN('Activities'!L802,516)-MAX('Activities'!K802,510))</x:f>
        <x:v>0</x:v>
      </x:c>
      <x:c r="CM802" s="22" t="n">
        <x:f>MAX(0,MIN('Activities'!L802,522)-MAX('Activities'!K802,516))</x:f>
        <x:v>0</x:v>
      </x:c>
      <x:c r="CN802" s="22" t="n">
        <x:f>MAX(0,MIN('Activities'!L802,528)-MAX('Activities'!K802,522))</x:f>
        <x:v>0</x:v>
      </x:c>
      <x:c r="CO802" s="22" t="n">
        <x:f>MAX(0,MIN('Activities'!L802,534)-MAX('Activities'!K802,528))</x:f>
        <x:v>0</x:v>
      </x:c>
      <x:c r="CP802" s="22" t="n">
        <x:f>MAX(0,MIN('Activities'!L802,540)-MAX('Activities'!K802,534))</x:f>
        <x:v>0</x:v>
      </x:c>
      <x:c r="CQ802" s="22" t="n">
        <x:f>MAX(0,MIN('Activities'!L802,546)-MAX('Activities'!K802,540))</x:f>
        <x:v>0</x:v>
      </x:c>
      <x:c r="CR802" s="22" t="n">
        <x:f>MAX(0,MIN('Activities'!L802,552)-MAX('Activities'!K802,546))</x:f>
        <x:v>0</x:v>
      </x:c>
      <x:c r="CS802" s="22" t="n">
        <x:f>MAX(0,MIN('Activities'!L802,558)-MAX('Activities'!K802,552))</x:f>
        <x:v>0</x:v>
      </x:c>
      <x:c r="CT802" s="22" t="n">
        <x:f>MAX(0,MIN('Activities'!L802,564)-MAX('Activities'!K802,558))</x:f>
        <x:v>0</x:v>
      </x:c>
      <x:c r="CU802" s="22" t="n">
        <x:f>MAX(0,MIN('Activities'!L802,570)-MAX('Activities'!K802,564))</x:f>
        <x:v>0</x:v>
      </x:c>
      <x:c r="CV802" s="22" t="n">
        <x:f>MAX(0,MIN('Activities'!L802,576)-MAX('Activities'!K802,570))</x:f>
        <x:v>0</x:v>
      </x:c>
      <x:c r="CW802" s="22" t="n">
        <x:f>MAX(0,MIN('Activities'!L802,582)-MAX('Activities'!K802,576))</x:f>
        <x:v>0</x:v>
      </x:c>
      <x:c r="CX802" s="22" t="n">
        <x:f>MAX(0,MIN('Activities'!L802,588)-MAX('Activities'!K802,582))</x:f>
        <x:v>0</x:v>
      </x:c>
      <x:c r="CY802" s="22" t="n">
        <x:f>MAX(0,MIN('Activities'!L802,594)-MAX('Activities'!K802,588))</x:f>
        <x:v>0</x:v>
      </x:c>
      <x:c r="CZ802" s="22" t="n">
        <x:f>MAX(0,MIN('Activities'!L802,600)-MAX('Activities'!K802,594))</x:f>
        <x:v>0</x:v>
      </x:c>
      <x:c r="DA802" s="22" t="n">
        <x:f>MAX(0,MIN('Activities'!L802,606)-MAX('Activities'!K802,600))</x:f>
        <x:v>0</x:v>
      </x:c>
      <x:c r="DB802" s="22" t="n">
        <x:f>MAX(0,MIN('Activities'!L802,612)-MAX('Activities'!K802,606))</x:f>
        <x:v>0</x:v>
      </x:c>
      <x:c r="DC802" s="22" t="n">
        <x:f>MAX(0,MIN('Activities'!L802,618)-MAX('Activities'!K802,612))</x:f>
        <x:v>0</x:v>
      </x:c>
      <x:c r="DD802" s="22" t="n">
        <x:f>MAX(0,MIN('Activities'!L802,624)-MAX('Activities'!K802,618))</x:f>
        <x:v>0</x:v>
      </x:c>
      <x:c r="DE802" s="22" t="n">
        <x:f>MAX(0,MIN('Activities'!L802,630)-MAX('Activities'!K802,624))</x:f>
        <x:v>0</x:v>
      </x:c>
      <x:c r="DF802" s="22" t="n">
        <x:f>MAX(0,MIN('Activities'!L802,636)-MAX('Activities'!K802,630))</x:f>
        <x:v>0</x:v>
      </x:c>
    </x:row>
    <x:row r="803" ht="23" customHeight="1">
      <x:c r="A803" s="1" t="str">
        <x:v>T6-L11-P</x:v>
      </x:c>
      <x:c r="B803" s="1" t="str">
        <x:v>T6</x:v>
      </x:c>
      <x:c r="C803" s="1" t="str">
        <x:v>Internal plaster</x:v>
      </x:c>
      <x:c r="D803" s="1" t="str">
        <x:v>Finishes</x:v>
      </x:c>
      <x:c r="E803" s="23" t="n">
        <x:f>MAX(0,MIN('Activities'!L803,6)-MAX('Activities'!K803,0))</x:f>
        <x:v>0</x:v>
      </x:c>
      <x:c r="F803" s="23" t="n">
        <x:f>MAX(0,MIN('Activities'!L803,12)-MAX('Activities'!K803,6))</x:f>
        <x:v>0</x:v>
      </x:c>
      <x:c r="G803" s="23" t="n">
        <x:f>MAX(0,MIN('Activities'!L803,18)-MAX('Activities'!K803,12))</x:f>
        <x:v>0</x:v>
      </x:c>
      <x:c r="H803" s="23" t="n">
        <x:f>MAX(0,MIN('Activities'!L803,24)-MAX('Activities'!K803,18))</x:f>
        <x:v>0</x:v>
      </x:c>
      <x:c r="I803" s="23" t="n">
        <x:f>MAX(0,MIN('Activities'!L803,30)-MAX('Activities'!K803,24))</x:f>
        <x:v>0</x:v>
      </x:c>
      <x:c r="J803" s="23" t="n">
        <x:f>MAX(0,MIN('Activities'!L803,36)-MAX('Activities'!K803,30))</x:f>
        <x:v>0</x:v>
      </x:c>
      <x:c r="K803" s="23" t="n">
        <x:f>MAX(0,MIN('Activities'!L803,42)-MAX('Activities'!K803,36))</x:f>
        <x:v>0</x:v>
      </x:c>
      <x:c r="L803" s="23" t="n">
        <x:f>MAX(0,MIN('Activities'!L803,48)-MAX('Activities'!K803,42))</x:f>
        <x:v>0</x:v>
      </x:c>
      <x:c r="M803" s="23" t="n">
        <x:f>MAX(0,MIN('Activities'!L803,54)-MAX('Activities'!K803,48))</x:f>
        <x:v>0</x:v>
      </x:c>
      <x:c r="N803" s="23" t="n">
        <x:f>MAX(0,MIN('Activities'!L803,60)-MAX('Activities'!K803,54))</x:f>
        <x:v>0</x:v>
      </x:c>
      <x:c r="O803" s="23" t="n">
        <x:f>MAX(0,MIN('Activities'!L803,66)-MAX('Activities'!K803,60))</x:f>
        <x:v>0</x:v>
      </x:c>
      <x:c r="P803" s="23" t="n">
        <x:f>MAX(0,MIN('Activities'!L803,72)-MAX('Activities'!K803,66))</x:f>
        <x:v>0</x:v>
      </x:c>
      <x:c r="Q803" s="23" t="n">
        <x:f>MAX(0,MIN('Activities'!L803,78)-MAX('Activities'!K803,72))</x:f>
        <x:v>0</x:v>
      </x:c>
      <x:c r="R803" s="23" t="n">
        <x:f>MAX(0,MIN('Activities'!L803,84)-MAX('Activities'!K803,78))</x:f>
        <x:v>0</x:v>
      </x:c>
      <x:c r="S803" s="23" t="n">
        <x:f>MAX(0,MIN('Activities'!L803,90)-MAX('Activities'!K803,84))</x:f>
        <x:v>0</x:v>
      </x:c>
      <x:c r="T803" s="23" t="n">
        <x:f>MAX(0,MIN('Activities'!L803,96)-MAX('Activities'!K803,90))</x:f>
        <x:v>0</x:v>
      </x:c>
      <x:c r="U803" s="23" t="n">
        <x:f>MAX(0,MIN('Activities'!L803,102)-MAX('Activities'!K803,96))</x:f>
        <x:v>0</x:v>
      </x:c>
      <x:c r="V803" s="23" t="n">
        <x:f>MAX(0,MIN('Activities'!L803,108)-MAX('Activities'!K803,102))</x:f>
        <x:v>0</x:v>
      </x:c>
      <x:c r="W803" s="23" t="n">
        <x:f>MAX(0,MIN('Activities'!L803,114)-MAX('Activities'!K803,108))</x:f>
        <x:v>0</x:v>
      </x:c>
      <x:c r="X803" s="23" t="n">
        <x:f>MAX(0,MIN('Activities'!L803,120)-MAX('Activities'!K803,114))</x:f>
        <x:v>0</x:v>
      </x:c>
      <x:c r="Y803" s="23" t="n">
        <x:f>MAX(0,MIN('Activities'!L803,126)-MAX('Activities'!K803,120))</x:f>
        <x:v>0</x:v>
      </x:c>
      <x:c r="Z803" s="23" t="n">
        <x:f>MAX(0,MIN('Activities'!L803,132)-MAX('Activities'!K803,126))</x:f>
        <x:v>0</x:v>
      </x:c>
      <x:c r="AA803" s="23" t="n">
        <x:f>MAX(0,MIN('Activities'!L803,138)-MAX('Activities'!K803,132))</x:f>
        <x:v>0</x:v>
      </x:c>
      <x:c r="AB803" s="23" t="n">
        <x:f>MAX(0,MIN('Activities'!L803,144)-MAX('Activities'!K803,138))</x:f>
        <x:v>0</x:v>
      </x:c>
      <x:c r="AC803" s="23" t="n">
        <x:f>MAX(0,MIN('Activities'!L803,150)-MAX('Activities'!K803,144))</x:f>
        <x:v>0</x:v>
      </x:c>
      <x:c r="AD803" s="23" t="n">
        <x:f>MAX(0,MIN('Activities'!L803,156)-MAX('Activities'!K803,150))</x:f>
        <x:v>0</x:v>
      </x:c>
      <x:c r="AE803" s="23" t="n">
        <x:f>MAX(0,MIN('Activities'!L803,162)-MAX('Activities'!K803,156))</x:f>
        <x:v>0</x:v>
      </x:c>
      <x:c r="AF803" s="23" t="n">
        <x:f>MAX(0,MIN('Activities'!L803,168)-MAX('Activities'!K803,162))</x:f>
        <x:v>0</x:v>
      </x:c>
      <x:c r="AG803" s="23" t="n">
        <x:f>MAX(0,MIN('Activities'!L803,174)-MAX('Activities'!K803,168))</x:f>
        <x:v>0</x:v>
      </x:c>
      <x:c r="AH803" s="23" t="n">
        <x:f>MAX(0,MIN('Activities'!L803,180)-MAX('Activities'!K803,174))</x:f>
        <x:v>0</x:v>
      </x:c>
      <x:c r="AI803" s="23" t="n">
        <x:f>MAX(0,MIN('Activities'!L803,186)-MAX('Activities'!K803,180))</x:f>
        <x:v>0</x:v>
      </x:c>
      <x:c r="AJ803" s="23" t="n">
        <x:f>MAX(0,MIN('Activities'!L803,192)-MAX('Activities'!K803,186))</x:f>
        <x:v>0</x:v>
      </x:c>
      <x:c r="AK803" s="23" t="n">
        <x:f>MAX(0,MIN('Activities'!L803,198)-MAX('Activities'!K803,192))</x:f>
        <x:v>0</x:v>
      </x:c>
      <x:c r="AL803" s="23" t="n">
        <x:f>MAX(0,MIN('Activities'!L803,204)-MAX('Activities'!K803,198))</x:f>
        <x:v>0</x:v>
      </x:c>
      <x:c r="AM803" s="23" t="n">
        <x:f>MAX(0,MIN('Activities'!L803,210)-MAX('Activities'!K803,204))</x:f>
        <x:v>0</x:v>
      </x:c>
      <x:c r="AN803" s="23" t="n">
        <x:f>MAX(0,MIN('Activities'!L803,216)-MAX('Activities'!K803,210))</x:f>
        <x:v>0</x:v>
      </x:c>
      <x:c r="AO803" s="23" t="n">
        <x:f>MAX(0,MIN('Activities'!L803,222)-MAX('Activities'!K803,216))</x:f>
        <x:v>0</x:v>
      </x:c>
      <x:c r="AP803" s="23" t="n">
        <x:f>MAX(0,MIN('Activities'!L803,228)-MAX('Activities'!K803,222))</x:f>
        <x:v>0</x:v>
      </x:c>
      <x:c r="AQ803" s="23" t="n">
        <x:f>MAX(0,MIN('Activities'!L803,234)-MAX('Activities'!K803,228))</x:f>
        <x:v>0</x:v>
      </x:c>
      <x:c r="AR803" s="23" t="n">
        <x:f>MAX(0,MIN('Activities'!L803,240)-MAX('Activities'!K803,234))</x:f>
        <x:v>0</x:v>
      </x:c>
      <x:c r="AS803" s="23" t="n">
        <x:f>MAX(0,MIN('Activities'!L803,246)-MAX('Activities'!K803,240))</x:f>
        <x:v>0</x:v>
      </x:c>
      <x:c r="AT803" s="23" t="n">
        <x:f>MAX(0,MIN('Activities'!L803,252)-MAX('Activities'!K803,246))</x:f>
        <x:v>0</x:v>
      </x:c>
      <x:c r="AU803" s="23" t="n">
        <x:f>MAX(0,MIN('Activities'!L803,258)-MAX('Activities'!K803,252))</x:f>
        <x:v>0</x:v>
      </x:c>
      <x:c r="AV803" s="23" t="n">
        <x:f>MAX(0,MIN('Activities'!L803,264)-MAX('Activities'!K803,258))</x:f>
        <x:v>0</x:v>
      </x:c>
      <x:c r="AW803" s="23" t="n">
        <x:f>MAX(0,MIN('Activities'!L803,270)-MAX('Activities'!K803,264))</x:f>
        <x:v>0</x:v>
      </x:c>
      <x:c r="AX803" s="23" t="n">
        <x:f>MAX(0,MIN('Activities'!L803,276)-MAX('Activities'!K803,270))</x:f>
        <x:v>0</x:v>
      </x:c>
      <x:c r="AY803" s="23" t="n">
        <x:f>MAX(0,MIN('Activities'!L803,282)-MAX('Activities'!K803,276))</x:f>
        <x:v>0</x:v>
      </x:c>
      <x:c r="AZ803" s="23" t="n">
        <x:f>MAX(0,MIN('Activities'!L803,288)-MAX('Activities'!K803,282))</x:f>
        <x:v>0</x:v>
      </x:c>
      <x:c r="BA803" s="23" t="n">
        <x:f>MAX(0,MIN('Activities'!L803,294)-MAX('Activities'!K803,288))</x:f>
        <x:v>0</x:v>
      </x:c>
      <x:c r="BB803" s="23" t="n">
        <x:f>MAX(0,MIN('Activities'!L803,300)-MAX('Activities'!K803,294))</x:f>
        <x:v>0</x:v>
      </x:c>
      <x:c r="BC803" s="23" t="n">
        <x:f>MAX(0,MIN('Activities'!L803,306)-MAX('Activities'!K803,300))</x:f>
        <x:v>0</x:v>
      </x:c>
      <x:c r="BD803" s="23" t="n">
        <x:f>MAX(0,MIN('Activities'!L803,312)-MAX('Activities'!K803,306))</x:f>
        <x:v>0</x:v>
      </x:c>
      <x:c r="BE803" s="23" t="n">
        <x:f>MAX(0,MIN('Activities'!L803,318)-MAX('Activities'!K803,312))</x:f>
        <x:v>0</x:v>
      </x:c>
      <x:c r="BF803" s="23" t="n">
        <x:f>MAX(0,MIN('Activities'!L803,324)-MAX('Activities'!K803,318))</x:f>
        <x:v>0</x:v>
      </x:c>
      <x:c r="BG803" s="23" t="n">
        <x:f>MAX(0,MIN('Activities'!L803,330)-MAX('Activities'!K803,324))</x:f>
        <x:v>0</x:v>
      </x:c>
      <x:c r="BH803" s="23" t="n">
        <x:f>MAX(0,MIN('Activities'!L803,336)-MAX('Activities'!K803,330))</x:f>
        <x:v>0</x:v>
      </x:c>
      <x:c r="BI803" s="23" t="n">
        <x:f>MAX(0,MIN('Activities'!L803,342)-MAX('Activities'!K803,336))</x:f>
        <x:v>0</x:v>
      </x:c>
      <x:c r="BJ803" s="23" t="n">
        <x:f>MAX(0,MIN('Activities'!L803,348)-MAX('Activities'!K803,342))</x:f>
        <x:v>0</x:v>
      </x:c>
      <x:c r="BK803" s="23" t="n">
        <x:f>MAX(0,MIN('Activities'!L803,354)-MAX('Activities'!K803,348))</x:f>
        <x:v>0</x:v>
      </x:c>
      <x:c r="BL803" s="23" t="n">
        <x:f>MAX(0,MIN('Activities'!L803,360)-MAX('Activities'!K803,354))</x:f>
        <x:v>0</x:v>
      </x:c>
      <x:c r="BM803" s="23" t="n">
        <x:f>MAX(0,MIN('Activities'!L803,366)-MAX('Activities'!K803,360))</x:f>
        <x:v>0</x:v>
      </x:c>
      <x:c r="BN803" s="23" t="n">
        <x:f>MAX(0,MIN('Activities'!L803,372)-MAX('Activities'!K803,366))</x:f>
        <x:v>0</x:v>
      </x:c>
      <x:c r="BO803" s="23" t="n">
        <x:f>MAX(0,MIN('Activities'!L803,378)-MAX('Activities'!K803,372))</x:f>
        <x:v>0</x:v>
      </x:c>
      <x:c r="BP803" s="23" t="n">
        <x:f>MAX(0,MIN('Activities'!L803,384)-MAX('Activities'!K803,378))</x:f>
        <x:v>0</x:v>
      </x:c>
      <x:c r="BQ803" s="23" t="n">
        <x:f>MAX(0,MIN('Activities'!L803,390)-MAX('Activities'!K803,384))</x:f>
        <x:v>0</x:v>
      </x:c>
      <x:c r="BR803" s="23" t="n">
        <x:f>MAX(0,MIN('Activities'!L803,396)-MAX('Activities'!K803,390))</x:f>
        <x:v>0</x:v>
      </x:c>
      <x:c r="BS803" s="23" t="n">
        <x:f>MAX(0,MIN('Activities'!L803,402)-MAX('Activities'!K803,396))</x:f>
        <x:v>0</x:v>
      </x:c>
      <x:c r="BT803" s="23" t="n">
        <x:f>MAX(0,MIN('Activities'!L803,408)-MAX('Activities'!K803,402))</x:f>
        <x:v>0</x:v>
      </x:c>
      <x:c r="BU803" s="23" t="n">
        <x:f>MAX(0,MIN('Activities'!L803,414)-MAX('Activities'!K803,408))</x:f>
        <x:v>0</x:v>
      </x:c>
      <x:c r="BV803" s="23" t="n">
        <x:f>MAX(0,MIN('Activities'!L803,420)-MAX('Activities'!K803,414))</x:f>
        <x:v>0</x:v>
      </x:c>
      <x:c r="BW803" s="23" t="n">
        <x:f>MAX(0,MIN('Activities'!L803,426)-MAX('Activities'!K803,420))</x:f>
        <x:v>0</x:v>
      </x:c>
      <x:c r="BX803" s="23" t="n">
        <x:f>MAX(0,MIN('Activities'!L803,432)-MAX('Activities'!K803,426))</x:f>
        <x:v>0</x:v>
      </x:c>
      <x:c r="BY803" s="23" t="n">
        <x:f>MAX(0,MIN('Activities'!L803,438)-MAX('Activities'!K803,432))</x:f>
        <x:v>0</x:v>
      </x:c>
      <x:c r="BZ803" s="23" t="n">
        <x:f>MAX(0,MIN('Activities'!L803,444)-MAX('Activities'!K803,438))</x:f>
        <x:v>3</x:v>
      </x:c>
      <x:c r="CA803" s="23" t="n">
        <x:f>MAX(0,MIN('Activities'!L803,450)-MAX('Activities'!K803,444))</x:f>
        <x:v>3</x:v>
      </x:c>
      <x:c r="CB803" s="23" t="n">
        <x:f>MAX(0,MIN('Activities'!L803,456)-MAX('Activities'!K803,450))</x:f>
        <x:v>0</x:v>
      </x:c>
      <x:c r="CC803" s="23" t="n">
        <x:f>MAX(0,MIN('Activities'!L803,462)-MAX('Activities'!K803,456))</x:f>
        <x:v>0</x:v>
      </x:c>
      <x:c r="CD803" s="23" t="n">
        <x:f>MAX(0,MIN('Activities'!L803,468)-MAX('Activities'!K803,462))</x:f>
        <x:v>0</x:v>
      </x:c>
      <x:c r="CE803" s="23" t="n">
        <x:f>MAX(0,MIN('Activities'!L803,474)-MAX('Activities'!K803,468))</x:f>
        <x:v>0</x:v>
      </x:c>
      <x:c r="CF803" s="23" t="n">
        <x:f>MAX(0,MIN('Activities'!L803,480)-MAX('Activities'!K803,474))</x:f>
        <x:v>0</x:v>
      </x:c>
      <x:c r="CG803" s="23" t="n">
        <x:f>MAX(0,MIN('Activities'!L803,486)-MAX('Activities'!K803,480))</x:f>
        <x:v>0</x:v>
      </x:c>
      <x:c r="CH803" s="23" t="n">
        <x:f>MAX(0,MIN('Activities'!L803,492)-MAX('Activities'!K803,486))</x:f>
        <x:v>0</x:v>
      </x:c>
      <x:c r="CI803" s="23" t="n">
        <x:f>MAX(0,MIN('Activities'!L803,498)-MAX('Activities'!K803,492))</x:f>
        <x:v>0</x:v>
      </x:c>
      <x:c r="CJ803" s="23" t="n">
        <x:f>MAX(0,MIN('Activities'!L803,504)-MAX('Activities'!K803,498))</x:f>
        <x:v>0</x:v>
      </x:c>
      <x:c r="CK803" s="23" t="n">
        <x:f>MAX(0,MIN('Activities'!L803,510)-MAX('Activities'!K803,504))</x:f>
        <x:v>0</x:v>
      </x:c>
      <x:c r="CL803" s="23" t="n">
        <x:f>MAX(0,MIN('Activities'!L803,516)-MAX('Activities'!K803,510))</x:f>
        <x:v>0</x:v>
      </x:c>
      <x:c r="CM803" s="23" t="n">
        <x:f>MAX(0,MIN('Activities'!L803,522)-MAX('Activities'!K803,516))</x:f>
        <x:v>0</x:v>
      </x:c>
      <x:c r="CN803" s="23" t="n">
        <x:f>MAX(0,MIN('Activities'!L803,528)-MAX('Activities'!K803,522))</x:f>
        <x:v>0</x:v>
      </x:c>
      <x:c r="CO803" s="23" t="n">
        <x:f>MAX(0,MIN('Activities'!L803,534)-MAX('Activities'!K803,528))</x:f>
        <x:v>0</x:v>
      </x:c>
      <x:c r="CP803" s="23" t="n">
        <x:f>MAX(0,MIN('Activities'!L803,540)-MAX('Activities'!K803,534))</x:f>
        <x:v>0</x:v>
      </x:c>
      <x:c r="CQ803" s="23" t="n">
        <x:f>MAX(0,MIN('Activities'!L803,546)-MAX('Activities'!K803,540))</x:f>
        <x:v>0</x:v>
      </x:c>
      <x:c r="CR803" s="23" t="n">
        <x:f>MAX(0,MIN('Activities'!L803,552)-MAX('Activities'!K803,546))</x:f>
        <x:v>0</x:v>
      </x:c>
      <x:c r="CS803" s="23" t="n">
        <x:f>MAX(0,MIN('Activities'!L803,558)-MAX('Activities'!K803,552))</x:f>
        <x:v>0</x:v>
      </x:c>
      <x:c r="CT803" s="23" t="n">
        <x:f>MAX(0,MIN('Activities'!L803,564)-MAX('Activities'!K803,558))</x:f>
        <x:v>0</x:v>
      </x:c>
      <x:c r="CU803" s="23" t="n">
        <x:f>MAX(0,MIN('Activities'!L803,570)-MAX('Activities'!K803,564))</x:f>
        <x:v>0</x:v>
      </x:c>
      <x:c r="CV803" s="23" t="n">
        <x:f>MAX(0,MIN('Activities'!L803,576)-MAX('Activities'!K803,570))</x:f>
        <x:v>0</x:v>
      </x:c>
      <x:c r="CW803" s="23" t="n">
        <x:f>MAX(0,MIN('Activities'!L803,582)-MAX('Activities'!K803,576))</x:f>
        <x:v>0</x:v>
      </x:c>
      <x:c r="CX803" s="23" t="n">
        <x:f>MAX(0,MIN('Activities'!L803,588)-MAX('Activities'!K803,582))</x:f>
        <x:v>0</x:v>
      </x:c>
      <x:c r="CY803" s="23" t="n">
        <x:f>MAX(0,MIN('Activities'!L803,594)-MAX('Activities'!K803,588))</x:f>
        <x:v>0</x:v>
      </x:c>
      <x:c r="CZ803" s="23" t="n">
        <x:f>MAX(0,MIN('Activities'!L803,600)-MAX('Activities'!K803,594))</x:f>
        <x:v>0</x:v>
      </x:c>
      <x:c r="DA803" s="23" t="n">
        <x:f>MAX(0,MIN('Activities'!L803,606)-MAX('Activities'!K803,600))</x:f>
        <x:v>0</x:v>
      </x:c>
      <x:c r="DB803" s="23" t="n">
        <x:f>MAX(0,MIN('Activities'!L803,612)-MAX('Activities'!K803,606))</x:f>
        <x:v>0</x:v>
      </x:c>
      <x:c r="DC803" s="23" t="n">
        <x:f>MAX(0,MIN('Activities'!L803,618)-MAX('Activities'!K803,612))</x:f>
        <x:v>0</x:v>
      </x:c>
      <x:c r="DD803" s="23" t="n">
        <x:f>MAX(0,MIN('Activities'!L803,624)-MAX('Activities'!K803,618))</x:f>
        <x:v>0</x:v>
      </x:c>
      <x:c r="DE803" s="23" t="n">
        <x:f>MAX(0,MIN('Activities'!L803,630)-MAX('Activities'!K803,624))</x:f>
        <x:v>0</x:v>
      </x:c>
      <x:c r="DF803" s="23" t="n">
        <x:f>MAX(0,MIN('Activities'!L803,636)-MAX('Activities'!K803,630))</x:f>
        <x:v>0</x:v>
      </x:c>
    </x:row>
    <x:row r="804" ht="23" customHeight="1">
      <x:c r="A804" s="6" t="str">
        <x:v>T6-L11-S</x:v>
      </x:c>
      <x:c r="B804" s="6" t="str">
        <x:v>T6</x:v>
      </x:c>
      <x:c r="C804" s="6" t="str">
        <x:v>Screed and substrate preparation</x:v>
      </x:c>
      <x:c r="D804" s="6" t="str">
        <x:v>Finishes</x:v>
      </x:c>
      <x:c r="E804" s="22" t="n">
        <x:f>MAX(0,MIN('Activities'!L804,6)-MAX('Activities'!K804,0))</x:f>
        <x:v>0</x:v>
      </x:c>
      <x:c r="F804" s="22" t="n">
        <x:f>MAX(0,MIN('Activities'!L804,12)-MAX('Activities'!K804,6))</x:f>
        <x:v>0</x:v>
      </x:c>
      <x:c r="G804" s="22" t="n">
        <x:f>MAX(0,MIN('Activities'!L804,18)-MAX('Activities'!K804,12))</x:f>
        <x:v>0</x:v>
      </x:c>
      <x:c r="H804" s="22" t="n">
        <x:f>MAX(0,MIN('Activities'!L804,24)-MAX('Activities'!K804,18))</x:f>
        <x:v>0</x:v>
      </x:c>
      <x:c r="I804" s="22" t="n">
        <x:f>MAX(0,MIN('Activities'!L804,30)-MAX('Activities'!K804,24))</x:f>
        <x:v>0</x:v>
      </x:c>
      <x:c r="J804" s="22" t="n">
        <x:f>MAX(0,MIN('Activities'!L804,36)-MAX('Activities'!K804,30))</x:f>
        <x:v>0</x:v>
      </x:c>
      <x:c r="K804" s="22" t="n">
        <x:f>MAX(0,MIN('Activities'!L804,42)-MAX('Activities'!K804,36))</x:f>
        <x:v>0</x:v>
      </x:c>
      <x:c r="L804" s="22" t="n">
        <x:f>MAX(0,MIN('Activities'!L804,48)-MAX('Activities'!K804,42))</x:f>
        <x:v>0</x:v>
      </x:c>
      <x:c r="M804" s="22" t="n">
        <x:f>MAX(0,MIN('Activities'!L804,54)-MAX('Activities'!K804,48))</x:f>
        <x:v>0</x:v>
      </x:c>
      <x:c r="N804" s="22" t="n">
        <x:f>MAX(0,MIN('Activities'!L804,60)-MAX('Activities'!K804,54))</x:f>
        <x:v>0</x:v>
      </x:c>
      <x:c r="O804" s="22" t="n">
        <x:f>MAX(0,MIN('Activities'!L804,66)-MAX('Activities'!K804,60))</x:f>
        <x:v>0</x:v>
      </x:c>
      <x:c r="P804" s="22" t="n">
        <x:f>MAX(0,MIN('Activities'!L804,72)-MAX('Activities'!K804,66))</x:f>
        <x:v>0</x:v>
      </x:c>
      <x:c r="Q804" s="22" t="n">
        <x:f>MAX(0,MIN('Activities'!L804,78)-MAX('Activities'!K804,72))</x:f>
        <x:v>0</x:v>
      </x:c>
      <x:c r="R804" s="22" t="n">
        <x:f>MAX(0,MIN('Activities'!L804,84)-MAX('Activities'!K804,78))</x:f>
        <x:v>0</x:v>
      </x:c>
      <x:c r="S804" s="22" t="n">
        <x:f>MAX(0,MIN('Activities'!L804,90)-MAX('Activities'!K804,84))</x:f>
        <x:v>0</x:v>
      </x:c>
      <x:c r="T804" s="22" t="n">
        <x:f>MAX(0,MIN('Activities'!L804,96)-MAX('Activities'!K804,90))</x:f>
        <x:v>0</x:v>
      </x:c>
      <x:c r="U804" s="22" t="n">
        <x:f>MAX(0,MIN('Activities'!L804,102)-MAX('Activities'!K804,96))</x:f>
        <x:v>0</x:v>
      </x:c>
      <x:c r="V804" s="22" t="n">
        <x:f>MAX(0,MIN('Activities'!L804,108)-MAX('Activities'!K804,102))</x:f>
        <x:v>0</x:v>
      </x:c>
      <x:c r="W804" s="22" t="n">
        <x:f>MAX(0,MIN('Activities'!L804,114)-MAX('Activities'!K804,108))</x:f>
        <x:v>0</x:v>
      </x:c>
      <x:c r="X804" s="22" t="n">
        <x:f>MAX(0,MIN('Activities'!L804,120)-MAX('Activities'!K804,114))</x:f>
        <x:v>0</x:v>
      </x:c>
      <x:c r="Y804" s="22" t="n">
        <x:f>MAX(0,MIN('Activities'!L804,126)-MAX('Activities'!K804,120))</x:f>
        <x:v>0</x:v>
      </x:c>
      <x:c r="Z804" s="22" t="n">
        <x:f>MAX(0,MIN('Activities'!L804,132)-MAX('Activities'!K804,126))</x:f>
        <x:v>0</x:v>
      </x:c>
      <x:c r="AA804" s="22" t="n">
        <x:f>MAX(0,MIN('Activities'!L804,138)-MAX('Activities'!K804,132))</x:f>
        <x:v>0</x:v>
      </x:c>
      <x:c r="AB804" s="22" t="n">
        <x:f>MAX(0,MIN('Activities'!L804,144)-MAX('Activities'!K804,138))</x:f>
        <x:v>0</x:v>
      </x:c>
      <x:c r="AC804" s="22" t="n">
        <x:f>MAX(0,MIN('Activities'!L804,150)-MAX('Activities'!K804,144))</x:f>
        <x:v>0</x:v>
      </x:c>
      <x:c r="AD804" s="22" t="n">
        <x:f>MAX(0,MIN('Activities'!L804,156)-MAX('Activities'!K804,150))</x:f>
        <x:v>0</x:v>
      </x:c>
      <x:c r="AE804" s="22" t="n">
        <x:f>MAX(0,MIN('Activities'!L804,162)-MAX('Activities'!K804,156))</x:f>
        <x:v>0</x:v>
      </x:c>
      <x:c r="AF804" s="22" t="n">
        <x:f>MAX(0,MIN('Activities'!L804,168)-MAX('Activities'!K804,162))</x:f>
        <x:v>0</x:v>
      </x:c>
      <x:c r="AG804" s="22" t="n">
        <x:f>MAX(0,MIN('Activities'!L804,174)-MAX('Activities'!K804,168))</x:f>
        <x:v>0</x:v>
      </x:c>
      <x:c r="AH804" s="22" t="n">
        <x:f>MAX(0,MIN('Activities'!L804,180)-MAX('Activities'!K804,174))</x:f>
        <x:v>0</x:v>
      </x:c>
      <x:c r="AI804" s="22" t="n">
        <x:f>MAX(0,MIN('Activities'!L804,186)-MAX('Activities'!K804,180))</x:f>
        <x:v>0</x:v>
      </x:c>
      <x:c r="AJ804" s="22" t="n">
        <x:f>MAX(0,MIN('Activities'!L804,192)-MAX('Activities'!K804,186))</x:f>
        <x:v>0</x:v>
      </x:c>
      <x:c r="AK804" s="22" t="n">
        <x:f>MAX(0,MIN('Activities'!L804,198)-MAX('Activities'!K804,192))</x:f>
        <x:v>0</x:v>
      </x:c>
      <x:c r="AL804" s="22" t="n">
        <x:f>MAX(0,MIN('Activities'!L804,204)-MAX('Activities'!K804,198))</x:f>
        <x:v>0</x:v>
      </x:c>
      <x:c r="AM804" s="22" t="n">
        <x:f>MAX(0,MIN('Activities'!L804,210)-MAX('Activities'!K804,204))</x:f>
        <x:v>0</x:v>
      </x:c>
      <x:c r="AN804" s="22" t="n">
        <x:f>MAX(0,MIN('Activities'!L804,216)-MAX('Activities'!K804,210))</x:f>
        <x:v>0</x:v>
      </x:c>
      <x:c r="AO804" s="22" t="n">
        <x:f>MAX(0,MIN('Activities'!L804,222)-MAX('Activities'!K804,216))</x:f>
        <x:v>0</x:v>
      </x:c>
      <x:c r="AP804" s="22" t="n">
        <x:f>MAX(0,MIN('Activities'!L804,228)-MAX('Activities'!K804,222))</x:f>
        <x:v>0</x:v>
      </x:c>
      <x:c r="AQ804" s="22" t="n">
        <x:f>MAX(0,MIN('Activities'!L804,234)-MAX('Activities'!K804,228))</x:f>
        <x:v>0</x:v>
      </x:c>
      <x:c r="AR804" s="22" t="n">
        <x:f>MAX(0,MIN('Activities'!L804,240)-MAX('Activities'!K804,234))</x:f>
        <x:v>0</x:v>
      </x:c>
      <x:c r="AS804" s="22" t="n">
        <x:f>MAX(0,MIN('Activities'!L804,246)-MAX('Activities'!K804,240))</x:f>
        <x:v>0</x:v>
      </x:c>
      <x:c r="AT804" s="22" t="n">
        <x:f>MAX(0,MIN('Activities'!L804,252)-MAX('Activities'!K804,246))</x:f>
        <x:v>0</x:v>
      </x:c>
      <x:c r="AU804" s="22" t="n">
        <x:f>MAX(0,MIN('Activities'!L804,258)-MAX('Activities'!K804,252))</x:f>
        <x:v>0</x:v>
      </x:c>
      <x:c r="AV804" s="22" t="n">
        <x:f>MAX(0,MIN('Activities'!L804,264)-MAX('Activities'!K804,258))</x:f>
        <x:v>0</x:v>
      </x:c>
      <x:c r="AW804" s="22" t="n">
        <x:f>MAX(0,MIN('Activities'!L804,270)-MAX('Activities'!K804,264))</x:f>
        <x:v>0</x:v>
      </x:c>
      <x:c r="AX804" s="22" t="n">
        <x:f>MAX(0,MIN('Activities'!L804,276)-MAX('Activities'!K804,270))</x:f>
        <x:v>0</x:v>
      </x:c>
      <x:c r="AY804" s="22" t="n">
        <x:f>MAX(0,MIN('Activities'!L804,282)-MAX('Activities'!K804,276))</x:f>
        <x:v>0</x:v>
      </x:c>
      <x:c r="AZ804" s="22" t="n">
        <x:f>MAX(0,MIN('Activities'!L804,288)-MAX('Activities'!K804,282))</x:f>
        <x:v>0</x:v>
      </x:c>
      <x:c r="BA804" s="22" t="n">
        <x:f>MAX(0,MIN('Activities'!L804,294)-MAX('Activities'!K804,288))</x:f>
        <x:v>0</x:v>
      </x:c>
      <x:c r="BB804" s="22" t="n">
        <x:f>MAX(0,MIN('Activities'!L804,300)-MAX('Activities'!K804,294))</x:f>
        <x:v>0</x:v>
      </x:c>
      <x:c r="BC804" s="22" t="n">
        <x:f>MAX(0,MIN('Activities'!L804,306)-MAX('Activities'!K804,300))</x:f>
        <x:v>0</x:v>
      </x:c>
      <x:c r="BD804" s="22" t="n">
        <x:f>MAX(0,MIN('Activities'!L804,312)-MAX('Activities'!K804,306))</x:f>
        <x:v>0</x:v>
      </x:c>
      <x:c r="BE804" s="22" t="n">
        <x:f>MAX(0,MIN('Activities'!L804,318)-MAX('Activities'!K804,312))</x:f>
        <x:v>0</x:v>
      </x:c>
      <x:c r="BF804" s="22" t="n">
        <x:f>MAX(0,MIN('Activities'!L804,324)-MAX('Activities'!K804,318))</x:f>
        <x:v>0</x:v>
      </x:c>
      <x:c r="BG804" s="22" t="n">
        <x:f>MAX(0,MIN('Activities'!L804,330)-MAX('Activities'!K804,324))</x:f>
        <x:v>0</x:v>
      </x:c>
      <x:c r="BH804" s="22" t="n">
        <x:f>MAX(0,MIN('Activities'!L804,336)-MAX('Activities'!K804,330))</x:f>
        <x:v>0</x:v>
      </x:c>
      <x:c r="BI804" s="22" t="n">
        <x:f>MAX(0,MIN('Activities'!L804,342)-MAX('Activities'!K804,336))</x:f>
        <x:v>0</x:v>
      </x:c>
      <x:c r="BJ804" s="22" t="n">
        <x:f>MAX(0,MIN('Activities'!L804,348)-MAX('Activities'!K804,342))</x:f>
        <x:v>0</x:v>
      </x:c>
      <x:c r="BK804" s="22" t="n">
        <x:f>MAX(0,MIN('Activities'!L804,354)-MAX('Activities'!K804,348))</x:f>
        <x:v>0</x:v>
      </x:c>
      <x:c r="BL804" s="22" t="n">
        <x:f>MAX(0,MIN('Activities'!L804,360)-MAX('Activities'!K804,354))</x:f>
        <x:v>0</x:v>
      </x:c>
      <x:c r="BM804" s="22" t="n">
        <x:f>MAX(0,MIN('Activities'!L804,366)-MAX('Activities'!K804,360))</x:f>
        <x:v>0</x:v>
      </x:c>
      <x:c r="BN804" s="22" t="n">
        <x:f>MAX(0,MIN('Activities'!L804,372)-MAX('Activities'!K804,366))</x:f>
        <x:v>0</x:v>
      </x:c>
      <x:c r="BO804" s="22" t="n">
        <x:f>MAX(0,MIN('Activities'!L804,378)-MAX('Activities'!K804,372))</x:f>
        <x:v>0</x:v>
      </x:c>
      <x:c r="BP804" s="22" t="n">
        <x:f>MAX(0,MIN('Activities'!L804,384)-MAX('Activities'!K804,378))</x:f>
        <x:v>0</x:v>
      </x:c>
      <x:c r="BQ804" s="22" t="n">
        <x:f>MAX(0,MIN('Activities'!L804,390)-MAX('Activities'!K804,384))</x:f>
        <x:v>0</x:v>
      </x:c>
      <x:c r="BR804" s="22" t="n">
        <x:f>MAX(0,MIN('Activities'!L804,396)-MAX('Activities'!K804,390))</x:f>
        <x:v>0</x:v>
      </x:c>
      <x:c r="BS804" s="22" t="n">
        <x:f>MAX(0,MIN('Activities'!L804,402)-MAX('Activities'!K804,396))</x:f>
        <x:v>0</x:v>
      </x:c>
      <x:c r="BT804" s="22" t="n">
        <x:f>MAX(0,MIN('Activities'!L804,408)-MAX('Activities'!K804,402))</x:f>
        <x:v>0</x:v>
      </x:c>
      <x:c r="BU804" s="22" t="n">
        <x:f>MAX(0,MIN('Activities'!L804,414)-MAX('Activities'!K804,408))</x:f>
        <x:v>0</x:v>
      </x:c>
      <x:c r="BV804" s="22" t="n">
        <x:f>MAX(0,MIN('Activities'!L804,420)-MAX('Activities'!K804,414))</x:f>
        <x:v>0</x:v>
      </x:c>
      <x:c r="BW804" s="22" t="n">
        <x:f>MAX(0,MIN('Activities'!L804,426)-MAX('Activities'!K804,420))</x:f>
        <x:v>0</x:v>
      </x:c>
      <x:c r="BX804" s="22" t="n">
        <x:f>MAX(0,MIN('Activities'!L804,432)-MAX('Activities'!K804,426))</x:f>
        <x:v>0</x:v>
      </x:c>
      <x:c r="BY804" s="22" t="n">
        <x:f>MAX(0,MIN('Activities'!L804,438)-MAX('Activities'!K804,432))</x:f>
        <x:v>0</x:v>
      </x:c>
      <x:c r="BZ804" s="22" t="n">
        <x:f>MAX(0,MIN('Activities'!L804,444)-MAX('Activities'!K804,438))</x:f>
        <x:v>0</x:v>
      </x:c>
      <x:c r="CA804" s="22" t="n">
        <x:f>MAX(0,MIN('Activities'!L804,450)-MAX('Activities'!K804,444))</x:f>
        <x:v>1</x:v>
      </x:c>
      <x:c r="CB804" s="22" t="n">
        <x:f>MAX(0,MIN('Activities'!L804,456)-MAX('Activities'!K804,450))</x:f>
        <x:v>2</x:v>
      </x:c>
      <x:c r="CC804" s="22" t="n">
        <x:f>MAX(0,MIN('Activities'!L804,462)-MAX('Activities'!K804,456))</x:f>
        <x:v>0</x:v>
      </x:c>
      <x:c r="CD804" s="22" t="n">
        <x:f>MAX(0,MIN('Activities'!L804,468)-MAX('Activities'!K804,462))</x:f>
        <x:v>0</x:v>
      </x:c>
      <x:c r="CE804" s="22" t="n">
        <x:f>MAX(0,MIN('Activities'!L804,474)-MAX('Activities'!K804,468))</x:f>
        <x:v>0</x:v>
      </x:c>
      <x:c r="CF804" s="22" t="n">
        <x:f>MAX(0,MIN('Activities'!L804,480)-MAX('Activities'!K804,474))</x:f>
        <x:v>0</x:v>
      </x:c>
      <x:c r="CG804" s="22" t="n">
        <x:f>MAX(0,MIN('Activities'!L804,486)-MAX('Activities'!K804,480))</x:f>
        <x:v>0</x:v>
      </x:c>
      <x:c r="CH804" s="22" t="n">
        <x:f>MAX(0,MIN('Activities'!L804,492)-MAX('Activities'!K804,486))</x:f>
        <x:v>0</x:v>
      </x:c>
      <x:c r="CI804" s="22" t="n">
        <x:f>MAX(0,MIN('Activities'!L804,498)-MAX('Activities'!K804,492))</x:f>
        <x:v>0</x:v>
      </x:c>
      <x:c r="CJ804" s="22" t="n">
        <x:f>MAX(0,MIN('Activities'!L804,504)-MAX('Activities'!K804,498))</x:f>
        <x:v>0</x:v>
      </x:c>
      <x:c r="CK804" s="22" t="n">
        <x:f>MAX(0,MIN('Activities'!L804,510)-MAX('Activities'!K804,504))</x:f>
        <x:v>0</x:v>
      </x:c>
      <x:c r="CL804" s="22" t="n">
        <x:f>MAX(0,MIN('Activities'!L804,516)-MAX('Activities'!K804,510))</x:f>
        <x:v>0</x:v>
      </x:c>
      <x:c r="CM804" s="22" t="n">
        <x:f>MAX(0,MIN('Activities'!L804,522)-MAX('Activities'!K804,516))</x:f>
        <x:v>0</x:v>
      </x:c>
      <x:c r="CN804" s="22" t="n">
        <x:f>MAX(0,MIN('Activities'!L804,528)-MAX('Activities'!K804,522))</x:f>
        <x:v>0</x:v>
      </x:c>
      <x:c r="CO804" s="22" t="n">
        <x:f>MAX(0,MIN('Activities'!L804,534)-MAX('Activities'!K804,528))</x:f>
        <x:v>0</x:v>
      </x:c>
      <x:c r="CP804" s="22" t="n">
        <x:f>MAX(0,MIN('Activities'!L804,540)-MAX('Activities'!K804,534))</x:f>
        <x:v>0</x:v>
      </x:c>
      <x:c r="CQ804" s="22" t="n">
        <x:f>MAX(0,MIN('Activities'!L804,546)-MAX('Activities'!K804,540))</x:f>
        <x:v>0</x:v>
      </x:c>
      <x:c r="CR804" s="22" t="n">
        <x:f>MAX(0,MIN('Activities'!L804,552)-MAX('Activities'!K804,546))</x:f>
        <x:v>0</x:v>
      </x:c>
      <x:c r="CS804" s="22" t="n">
        <x:f>MAX(0,MIN('Activities'!L804,558)-MAX('Activities'!K804,552))</x:f>
        <x:v>0</x:v>
      </x:c>
      <x:c r="CT804" s="22" t="n">
        <x:f>MAX(0,MIN('Activities'!L804,564)-MAX('Activities'!K804,558))</x:f>
        <x:v>0</x:v>
      </x:c>
      <x:c r="CU804" s="22" t="n">
        <x:f>MAX(0,MIN('Activities'!L804,570)-MAX('Activities'!K804,564))</x:f>
        <x:v>0</x:v>
      </x:c>
      <x:c r="CV804" s="22" t="n">
        <x:f>MAX(0,MIN('Activities'!L804,576)-MAX('Activities'!K804,570))</x:f>
        <x:v>0</x:v>
      </x:c>
      <x:c r="CW804" s="22" t="n">
        <x:f>MAX(0,MIN('Activities'!L804,582)-MAX('Activities'!K804,576))</x:f>
        <x:v>0</x:v>
      </x:c>
      <x:c r="CX804" s="22" t="n">
        <x:f>MAX(0,MIN('Activities'!L804,588)-MAX('Activities'!K804,582))</x:f>
        <x:v>0</x:v>
      </x:c>
      <x:c r="CY804" s="22" t="n">
        <x:f>MAX(0,MIN('Activities'!L804,594)-MAX('Activities'!K804,588))</x:f>
        <x:v>0</x:v>
      </x:c>
      <x:c r="CZ804" s="22" t="n">
        <x:f>MAX(0,MIN('Activities'!L804,600)-MAX('Activities'!K804,594))</x:f>
        <x:v>0</x:v>
      </x:c>
      <x:c r="DA804" s="22" t="n">
        <x:f>MAX(0,MIN('Activities'!L804,606)-MAX('Activities'!K804,600))</x:f>
        <x:v>0</x:v>
      </x:c>
      <x:c r="DB804" s="22" t="n">
        <x:f>MAX(0,MIN('Activities'!L804,612)-MAX('Activities'!K804,606))</x:f>
        <x:v>0</x:v>
      </x:c>
      <x:c r="DC804" s="22" t="n">
        <x:f>MAX(0,MIN('Activities'!L804,618)-MAX('Activities'!K804,612))</x:f>
        <x:v>0</x:v>
      </x:c>
      <x:c r="DD804" s="22" t="n">
        <x:f>MAX(0,MIN('Activities'!L804,624)-MAX('Activities'!K804,618))</x:f>
        <x:v>0</x:v>
      </x:c>
      <x:c r="DE804" s="22" t="n">
        <x:f>MAX(0,MIN('Activities'!L804,630)-MAX('Activities'!K804,624))</x:f>
        <x:v>0</x:v>
      </x:c>
      <x:c r="DF804" s="22" t="n">
        <x:f>MAX(0,MIN('Activities'!L804,636)-MAX('Activities'!K804,630))</x:f>
        <x:v>0</x:v>
      </x:c>
    </x:row>
    <x:row r="805" ht="23" customHeight="1">
      <x:c r="A805" s="1" t="str">
        <x:v>T6-L11-T</x:v>
      </x:c>
      <x:c r="B805" s="1" t="str">
        <x:v>T6</x:v>
      </x:c>
      <x:c r="C805" s="1" t="str">
        <x:v>Floor finishes and skirtings</x:v>
      </x:c>
      <x:c r="D805" s="1" t="str">
        <x:v>Finishes</x:v>
      </x:c>
      <x:c r="E805" s="23" t="n">
        <x:f>MAX(0,MIN('Activities'!L805,6)-MAX('Activities'!K805,0))</x:f>
        <x:v>0</x:v>
      </x:c>
      <x:c r="F805" s="23" t="n">
        <x:f>MAX(0,MIN('Activities'!L805,12)-MAX('Activities'!K805,6))</x:f>
        <x:v>0</x:v>
      </x:c>
      <x:c r="G805" s="23" t="n">
        <x:f>MAX(0,MIN('Activities'!L805,18)-MAX('Activities'!K805,12))</x:f>
        <x:v>0</x:v>
      </x:c>
      <x:c r="H805" s="23" t="n">
        <x:f>MAX(0,MIN('Activities'!L805,24)-MAX('Activities'!K805,18))</x:f>
        <x:v>0</x:v>
      </x:c>
      <x:c r="I805" s="23" t="n">
        <x:f>MAX(0,MIN('Activities'!L805,30)-MAX('Activities'!K805,24))</x:f>
        <x:v>0</x:v>
      </x:c>
      <x:c r="J805" s="23" t="n">
        <x:f>MAX(0,MIN('Activities'!L805,36)-MAX('Activities'!K805,30))</x:f>
        <x:v>0</x:v>
      </x:c>
      <x:c r="K805" s="23" t="n">
        <x:f>MAX(0,MIN('Activities'!L805,42)-MAX('Activities'!K805,36))</x:f>
        <x:v>0</x:v>
      </x:c>
      <x:c r="L805" s="23" t="n">
        <x:f>MAX(0,MIN('Activities'!L805,48)-MAX('Activities'!K805,42))</x:f>
        <x:v>0</x:v>
      </x:c>
      <x:c r="M805" s="23" t="n">
        <x:f>MAX(0,MIN('Activities'!L805,54)-MAX('Activities'!K805,48))</x:f>
        <x:v>0</x:v>
      </x:c>
      <x:c r="N805" s="23" t="n">
        <x:f>MAX(0,MIN('Activities'!L805,60)-MAX('Activities'!K805,54))</x:f>
        <x:v>0</x:v>
      </x:c>
      <x:c r="O805" s="23" t="n">
        <x:f>MAX(0,MIN('Activities'!L805,66)-MAX('Activities'!K805,60))</x:f>
        <x:v>0</x:v>
      </x:c>
      <x:c r="P805" s="23" t="n">
        <x:f>MAX(0,MIN('Activities'!L805,72)-MAX('Activities'!K805,66))</x:f>
        <x:v>0</x:v>
      </x:c>
      <x:c r="Q805" s="23" t="n">
        <x:f>MAX(0,MIN('Activities'!L805,78)-MAX('Activities'!K805,72))</x:f>
        <x:v>0</x:v>
      </x:c>
      <x:c r="R805" s="23" t="n">
        <x:f>MAX(0,MIN('Activities'!L805,84)-MAX('Activities'!K805,78))</x:f>
        <x:v>0</x:v>
      </x:c>
      <x:c r="S805" s="23" t="n">
        <x:f>MAX(0,MIN('Activities'!L805,90)-MAX('Activities'!K805,84))</x:f>
        <x:v>0</x:v>
      </x:c>
      <x:c r="T805" s="23" t="n">
        <x:f>MAX(0,MIN('Activities'!L805,96)-MAX('Activities'!K805,90))</x:f>
        <x:v>0</x:v>
      </x:c>
      <x:c r="U805" s="23" t="n">
        <x:f>MAX(0,MIN('Activities'!L805,102)-MAX('Activities'!K805,96))</x:f>
        <x:v>0</x:v>
      </x:c>
      <x:c r="V805" s="23" t="n">
        <x:f>MAX(0,MIN('Activities'!L805,108)-MAX('Activities'!K805,102))</x:f>
        <x:v>0</x:v>
      </x:c>
      <x:c r="W805" s="23" t="n">
        <x:f>MAX(0,MIN('Activities'!L805,114)-MAX('Activities'!K805,108))</x:f>
        <x:v>0</x:v>
      </x:c>
      <x:c r="X805" s="23" t="n">
        <x:f>MAX(0,MIN('Activities'!L805,120)-MAX('Activities'!K805,114))</x:f>
        <x:v>0</x:v>
      </x:c>
      <x:c r="Y805" s="23" t="n">
        <x:f>MAX(0,MIN('Activities'!L805,126)-MAX('Activities'!K805,120))</x:f>
        <x:v>0</x:v>
      </x:c>
      <x:c r="Z805" s="23" t="n">
        <x:f>MAX(0,MIN('Activities'!L805,132)-MAX('Activities'!K805,126))</x:f>
        <x:v>0</x:v>
      </x:c>
      <x:c r="AA805" s="23" t="n">
        <x:f>MAX(0,MIN('Activities'!L805,138)-MAX('Activities'!K805,132))</x:f>
        <x:v>0</x:v>
      </x:c>
      <x:c r="AB805" s="23" t="n">
        <x:f>MAX(0,MIN('Activities'!L805,144)-MAX('Activities'!K805,138))</x:f>
        <x:v>0</x:v>
      </x:c>
      <x:c r="AC805" s="23" t="n">
        <x:f>MAX(0,MIN('Activities'!L805,150)-MAX('Activities'!K805,144))</x:f>
        <x:v>0</x:v>
      </x:c>
      <x:c r="AD805" s="23" t="n">
        <x:f>MAX(0,MIN('Activities'!L805,156)-MAX('Activities'!K805,150))</x:f>
        <x:v>0</x:v>
      </x:c>
      <x:c r="AE805" s="23" t="n">
        <x:f>MAX(0,MIN('Activities'!L805,162)-MAX('Activities'!K805,156))</x:f>
        <x:v>0</x:v>
      </x:c>
      <x:c r="AF805" s="23" t="n">
        <x:f>MAX(0,MIN('Activities'!L805,168)-MAX('Activities'!K805,162))</x:f>
        <x:v>0</x:v>
      </x:c>
      <x:c r="AG805" s="23" t="n">
        <x:f>MAX(0,MIN('Activities'!L805,174)-MAX('Activities'!K805,168))</x:f>
        <x:v>0</x:v>
      </x:c>
      <x:c r="AH805" s="23" t="n">
        <x:f>MAX(0,MIN('Activities'!L805,180)-MAX('Activities'!K805,174))</x:f>
        <x:v>0</x:v>
      </x:c>
      <x:c r="AI805" s="23" t="n">
        <x:f>MAX(0,MIN('Activities'!L805,186)-MAX('Activities'!K805,180))</x:f>
        <x:v>0</x:v>
      </x:c>
      <x:c r="AJ805" s="23" t="n">
        <x:f>MAX(0,MIN('Activities'!L805,192)-MAX('Activities'!K805,186))</x:f>
        <x:v>0</x:v>
      </x:c>
      <x:c r="AK805" s="23" t="n">
        <x:f>MAX(0,MIN('Activities'!L805,198)-MAX('Activities'!K805,192))</x:f>
        <x:v>0</x:v>
      </x:c>
      <x:c r="AL805" s="23" t="n">
        <x:f>MAX(0,MIN('Activities'!L805,204)-MAX('Activities'!K805,198))</x:f>
        <x:v>0</x:v>
      </x:c>
      <x:c r="AM805" s="23" t="n">
        <x:f>MAX(0,MIN('Activities'!L805,210)-MAX('Activities'!K805,204))</x:f>
        <x:v>0</x:v>
      </x:c>
      <x:c r="AN805" s="23" t="n">
        <x:f>MAX(0,MIN('Activities'!L805,216)-MAX('Activities'!K805,210))</x:f>
        <x:v>0</x:v>
      </x:c>
      <x:c r="AO805" s="23" t="n">
        <x:f>MAX(0,MIN('Activities'!L805,222)-MAX('Activities'!K805,216))</x:f>
        <x:v>0</x:v>
      </x:c>
      <x:c r="AP805" s="23" t="n">
        <x:f>MAX(0,MIN('Activities'!L805,228)-MAX('Activities'!K805,222))</x:f>
        <x:v>0</x:v>
      </x:c>
      <x:c r="AQ805" s="23" t="n">
        <x:f>MAX(0,MIN('Activities'!L805,234)-MAX('Activities'!K805,228))</x:f>
        <x:v>0</x:v>
      </x:c>
      <x:c r="AR805" s="23" t="n">
        <x:f>MAX(0,MIN('Activities'!L805,240)-MAX('Activities'!K805,234))</x:f>
        <x:v>0</x:v>
      </x:c>
      <x:c r="AS805" s="23" t="n">
        <x:f>MAX(0,MIN('Activities'!L805,246)-MAX('Activities'!K805,240))</x:f>
        <x:v>0</x:v>
      </x:c>
      <x:c r="AT805" s="23" t="n">
        <x:f>MAX(0,MIN('Activities'!L805,252)-MAX('Activities'!K805,246))</x:f>
        <x:v>0</x:v>
      </x:c>
      <x:c r="AU805" s="23" t="n">
        <x:f>MAX(0,MIN('Activities'!L805,258)-MAX('Activities'!K805,252))</x:f>
        <x:v>0</x:v>
      </x:c>
      <x:c r="AV805" s="23" t="n">
        <x:f>MAX(0,MIN('Activities'!L805,264)-MAX('Activities'!K805,258))</x:f>
        <x:v>0</x:v>
      </x:c>
      <x:c r="AW805" s="23" t="n">
        <x:f>MAX(0,MIN('Activities'!L805,270)-MAX('Activities'!K805,264))</x:f>
        <x:v>0</x:v>
      </x:c>
      <x:c r="AX805" s="23" t="n">
        <x:f>MAX(0,MIN('Activities'!L805,276)-MAX('Activities'!K805,270))</x:f>
        <x:v>0</x:v>
      </x:c>
      <x:c r="AY805" s="23" t="n">
        <x:f>MAX(0,MIN('Activities'!L805,282)-MAX('Activities'!K805,276))</x:f>
        <x:v>0</x:v>
      </x:c>
      <x:c r="AZ805" s="23" t="n">
        <x:f>MAX(0,MIN('Activities'!L805,288)-MAX('Activities'!K805,282))</x:f>
        <x:v>0</x:v>
      </x:c>
      <x:c r="BA805" s="23" t="n">
        <x:f>MAX(0,MIN('Activities'!L805,294)-MAX('Activities'!K805,288))</x:f>
        <x:v>0</x:v>
      </x:c>
      <x:c r="BB805" s="23" t="n">
        <x:f>MAX(0,MIN('Activities'!L805,300)-MAX('Activities'!K805,294))</x:f>
        <x:v>0</x:v>
      </x:c>
      <x:c r="BC805" s="23" t="n">
        <x:f>MAX(0,MIN('Activities'!L805,306)-MAX('Activities'!K805,300))</x:f>
        <x:v>0</x:v>
      </x:c>
      <x:c r="BD805" s="23" t="n">
        <x:f>MAX(0,MIN('Activities'!L805,312)-MAX('Activities'!K805,306))</x:f>
        <x:v>0</x:v>
      </x:c>
      <x:c r="BE805" s="23" t="n">
        <x:f>MAX(0,MIN('Activities'!L805,318)-MAX('Activities'!K805,312))</x:f>
        <x:v>0</x:v>
      </x:c>
      <x:c r="BF805" s="23" t="n">
        <x:f>MAX(0,MIN('Activities'!L805,324)-MAX('Activities'!K805,318))</x:f>
        <x:v>0</x:v>
      </x:c>
      <x:c r="BG805" s="23" t="n">
        <x:f>MAX(0,MIN('Activities'!L805,330)-MAX('Activities'!K805,324))</x:f>
        <x:v>0</x:v>
      </x:c>
      <x:c r="BH805" s="23" t="n">
        <x:f>MAX(0,MIN('Activities'!L805,336)-MAX('Activities'!K805,330))</x:f>
        <x:v>0</x:v>
      </x:c>
      <x:c r="BI805" s="23" t="n">
        <x:f>MAX(0,MIN('Activities'!L805,342)-MAX('Activities'!K805,336))</x:f>
        <x:v>0</x:v>
      </x:c>
      <x:c r="BJ805" s="23" t="n">
        <x:f>MAX(0,MIN('Activities'!L805,348)-MAX('Activities'!K805,342))</x:f>
        <x:v>0</x:v>
      </x:c>
      <x:c r="BK805" s="23" t="n">
        <x:f>MAX(0,MIN('Activities'!L805,354)-MAX('Activities'!K805,348))</x:f>
        <x:v>0</x:v>
      </x:c>
      <x:c r="BL805" s="23" t="n">
        <x:f>MAX(0,MIN('Activities'!L805,360)-MAX('Activities'!K805,354))</x:f>
        <x:v>0</x:v>
      </x:c>
      <x:c r="BM805" s="23" t="n">
        <x:f>MAX(0,MIN('Activities'!L805,366)-MAX('Activities'!K805,360))</x:f>
        <x:v>0</x:v>
      </x:c>
      <x:c r="BN805" s="23" t="n">
        <x:f>MAX(0,MIN('Activities'!L805,372)-MAX('Activities'!K805,366))</x:f>
        <x:v>0</x:v>
      </x:c>
      <x:c r="BO805" s="23" t="n">
        <x:f>MAX(0,MIN('Activities'!L805,378)-MAX('Activities'!K805,372))</x:f>
        <x:v>0</x:v>
      </x:c>
      <x:c r="BP805" s="23" t="n">
        <x:f>MAX(0,MIN('Activities'!L805,384)-MAX('Activities'!K805,378))</x:f>
        <x:v>0</x:v>
      </x:c>
      <x:c r="BQ805" s="23" t="n">
        <x:f>MAX(0,MIN('Activities'!L805,390)-MAX('Activities'!K805,384))</x:f>
        <x:v>0</x:v>
      </x:c>
      <x:c r="BR805" s="23" t="n">
        <x:f>MAX(0,MIN('Activities'!L805,396)-MAX('Activities'!K805,390))</x:f>
        <x:v>0</x:v>
      </x:c>
      <x:c r="BS805" s="23" t="n">
        <x:f>MAX(0,MIN('Activities'!L805,402)-MAX('Activities'!K805,396))</x:f>
        <x:v>0</x:v>
      </x:c>
      <x:c r="BT805" s="23" t="n">
        <x:f>MAX(0,MIN('Activities'!L805,408)-MAX('Activities'!K805,402))</x:f>
        <x:v>0</x:v>
      </x:c>
      <x:c r="BU805" s="23" t="n">
        <x:f>MAX(0,MIN('Activities'!L805,414)-MAX('Activities'!K805,408))</x:f>
        <x:v>0</x:v>
      </x:c>
      <x:c r="BV805" s="23" t="n">
        <x:f>MAX(0,MIN('Activities'!L805,420)-MAX('Activities'!K805,414))</x:f>
        <x:v>0</x:v>
      </x:c>
      <x:c r="BW805" s="23" t="n">
        <x:f>MAX(0,MIN('Activities'!L805,426)-MAX('Activities'!K805,420))</x:f>
        <x:v>0</x:v>
      </x:c>
      <x:c r="BX805" s="23" t="n">
        <x:f>MAX(0,MIN('Activities'!L805,432)-MAX('Activities'!K805,426))</x:f>
        <x:v>0</x:v>
      </x:c>
      <x:c r="BY805" s="23" t="n">
        <x:f>MAX(0,MIN('Activities'!L805,438)-MAX('Activities'!K805,432))</x:f>
        <x:v>0</x:v>
      </x:c>
      <x:c r="BZ805" s="23" t="n">
        <x:f>MAX(0,MIN('Activities'!L805,444)-MAX('Activities'!K805,438))</x:f>
        <x:v>0</x:v>
      </x:c>
      <x:c r="CA805" s="23" t="n">
        <x:f>MAX(0,MIN('Activities'!L805,450)-MAX('Activities'!K805,444))</x:f>
        <x:v>0</x:v>
      </x:c>
      <x:c r="CB805" s="23" t="n">
        <x:f>MAX(0,MIN('Activities'!L805,456)-MAX('Activities'!K805,450))</x:f>
        <x:v>0</x:v>
      </x:c>
      <x:c r="CC805" s="23" t="n">
        <x:f>MAX(0,MIN('Activities'!L805,462)-MAX('Activities'!K805,456))</x:f>
        <x:v>0</x:v>
      </x:c>
      <x:c r="CD805" s="23" t="n">
        <x:f>MAX(0,MIN('Activities'!L805,468)-MAX('Activities'!K805,462))</x:f>
        <x:v>2</x:v>
      </x:c>
      <x:c r="CE805" s="23" t="n">
        <x:f>MAX(0,MIN('Activities'!L805,474)-MAX('Activities'!K805,468))</x:f>
        <x:v>4</x:v>
      </x:c>
      <x:c r="CF805" s="23" t="n">
        <x:f>MAX(0,MIN('Activities'!L805,480)-MAX('Activities'!K805,474))</x:f>
        <x:v>0</x:v>
      </x:c>
      <x:c r="CG805" s="23" t="n">
        <x:f>MAX(0,MIN('Activities'!L805,486)-MAX('Activities'!K805,480))</x:f>
        <x:v>0</x:v>
      </x:c>
      <x:c r="CH805" s="23" t="n">
        <x:f>MAX(0,MIN('Activities'!L805,492)-MAX('Activities'!K805,486))</x:f>
        <x:v>0</x:v>
      </x:c>
      <x:c r="CI805" s="23" t="n">
        <x:f>MAX(0,MIN('Activities'!L805,498)-MAX('Activities'!K805,492))</x:f>
        <x:v>0</x:v>
      </x:c>
      <x:c r="CJ805" s="23" t="n">
        <x:f>MAX(0,MIN('Activities'!L805,504)-MAX('Activities'!K805,498))</x:f>
        <x:v>0</x:v>
      </x:c>
      <x:c r="CK805" s="23" t="n">
        <x:f>MAX(0,MIN('Activities'!L805,510)-MAX('Activities'!K805,504))</x:f>
        <x:v>0</x:v>
      </x:c>
      <x:c r="CL805" s="23" t="n">
        <x:f>MAX(0,MIN('Activities'!L805,516)-MAX('Activities'!K805,510))</x:f>
        <x:v>0</x:v>
      </x:c>
      <x:c r="CM805" s="23" t="n">
        <x:f>MAX(0,MIN('Activities'!L805,522)-MAX('Activities'!K805,516))</x:f>
        <x:v>0</x:v>
      </x:c>
      <x:c r="CN805" s="23" t="n">
        <x:f>MAX(0,MIN('Activities'!L805,528)-MAX('Activities'!K805,522))</x:f>
        <x:v>0</x:v>
      </x:c>
      <x:c r="CO805" s="23" t="n">
        <x:f>MAX(0,MIN('Activities'!L805,534)-MAX('Activities'!K805,528))</x:f>
        <x:v>0</x:v>
      </x:c>
      <x:c r="CP805" s="23" t="n">
        <x:f>MAX(0,MIN('Activities'!L805,540)-MAX('Activities'!K805,534))</x:f>
        <x:v>0</x:v>
      </x:c>
      <x:c r="CQ805" s="23" t="n">
        <x:f>MAX(0,MIN('Activities'!L805,546)-MAX('Activities'!K805,540))</x:f>
        <x:v>0</x:v>
      </x:c>
      <x:c r="CR805" s="23" t="n">
        <x:f>MAX(0,MIN('Activities'!L805,552)-MAX('Activities'!K805,546))</x:f>
        <x:v>0</x:v>
      </x:c>
      <x:c r="CS805" s="23" t="n">
        <x:f>MAX(0,MIN('Activities'!L805,558)-MAX('Activities'!K805,552))</x:f>
        <x:v>0</x:v>
      </x:c>
      <x:c r="CT805" s="23" t="n">
        <x:f>MAX(0,MIN('Activities'!L805,564)-MAX('Activities'!K805,558))</x:f>
        <x:v>0</x:v>
      </x:c>
      <x:c r="CU805" s="23" t="n">
        <x:f>MAX(0,MIN('Activities'!L805,570)-MAX('Activities'!K805,564))</x:f>
        <x:v>0</x:v>
      </x:c>
      <x:c r="CV805" s="23" t="n">
        <x:f>MAX(0,MIN('Activities'!L805,576)-MAX('Activities'!K805,570))</x:f>
        <x:v>0</x:v>
      </x:c>
      <x:c r="CW805" s="23" t="n">
        <x:f>MAX(0,MIN('Activities'!L805,582)-MAX('Activities'!K805,576))</x:f>
        <x:v>0</x:v>
      </x:c>
      <x:c r="CX805" s="23" t="n">
        <x:f>MAX(0,MIN('Activities'!L805,588)-MAX('Activities'!K805,582))</x:f>
        <x:v>0</x:v>
      </x:c>
      <x:c r="CY805" s="23" t="n">
        <x:f>MAX(0,MIN('Activities'!L805,594)-MAX('Activities'!K805,588))</x:f>
        <x:v>0</x:v>
      </x:c>
      <x:c r="CZ805" s="23" t="n">
        <x:f>MAX(0,MIN('Activities'!L805,600)-MAX('Activities'!K805,594))</x:f>
        <x:v>0</x:v>
      </x:c>
      <x:c r="DA805" s="23" t="n">
        <x:f>MAX(0,MIN('Activities'!L805,606)-MAX('Activities'!K805,600))</x:f>
        <x:v>0</x:v>
      </x:c>
      <x:c r="DB805" s="23" t="n">
        <x:f>MAX(0,MIN('Activities'!L805,612)-MAX('Activities'!K805,606))</x:f>
        <x:v>0</x:v>
      </x:c>
      <x:c r="DC805" s="23" t="n">
        <x:f>MAX(0,MIN('Activities'!L805,618)-MAX('Activities'!K805,612))</x:f>
        <x:v>0</x:v>
      </x:c>
      <x:c r="DD805" s="23" t="n">
        <x:f>MAX(0,MIN('Activities'!L805,624)-MAX('Activities'!K805,618))</x:f>
        <x:v>0</x:v>
      </x:c>
      <x:c r="DE805" s="23" t="n">
        <x:f>MAX(0,MIN('Activities'!L805,630)-MAX('Activities'!K805,624))</x:f>
        <x:v>0</x:v>
      </x:c>
      <x:c r="DF805" s="23" t="n">
        <x:f>MAX(0,MIN('Activities'!L805,636)-MAX('Activities'!K805,630))</x:f>
        <x:v>0</x:v>
      </x:c>
    </x:row>
    <x:row r="806" ht="23" customHeight="1">
      <x:c r="A806" s="6" t="str">
        <x:v>T6-L11-A</x:v>
      </x:c>
      <x:c r="B806" s="6" t="str">
        <x:v>T6</x:v>
      </x:c>
      <x:c r="C806" s="6" t="str">
        <x:v>Paint and final decorations</x:v>
      </x:c>
      <x:c r="D806" s="6" t="str">
        <x:v>Finishes</x:v>
      </x:c>
      <x:c r="E806" s="22" t="n">
        <x:f>MAX(0,MIN('Activities'!L806,6)-MAX('Activities'!K806,0))</x:f>
        <x:v>0</x:v>
      </x:c>
      <x:c r="F806" s="22" t="n">
        <x:f>MAX(0,MIN('Activities'!L806,12)-MAX('Activities'!K806,6))</x:f>
        <x:v>0</x:v>
      </x:c>
      <x:c r="G806" s="22" t="n">
        <x:f>MAX(0,MIN('Activities'!L806,18)-MAX('Activities'!K806,12))</x:f>
        <x:v>0</x:v>
      </x:c>
      <x:c r="H806" s="22" t="n">
        <x:f>MAX(0,MIN('Activities'!L806,24)-MAX('Activities'!K806,18))</x:f>
        <x:v>0</x:v>
      </x:c>
      <x:c r="I806" s="22" t="n">
        <x:f>MAX(0,MIN('Activities'!L806,30)-MAX('Activities'!K806,24))</x:f>
        <x:v>0</x:v>
      </x:c>
      <x:c r="J806" s="22" t="n">
        <x:f>MAX(0,MIN('Activities'!L806,36)-MAX('Activities'!K806,30))</x:f>
        <x:v>0</x:v>
      </x:c>
      <x:c r="K806" s="22" t="n">
        <x:f>MAX(0,MIN('Activities'!L806,42)-MAX('Activities'!K806,36))</x:f>
        <x:v>0</x:v>
      </x:c>
      <x:c r="L806" s="22" t="n">
        <x:f>MAX(0,MIN('Activities'!L806,48)-MAX('Activities'!K806,42))</x:f>
        <x:v>0</x:v>
      </x:c>
      <x:c r="M806" s="22" t="n">
        <x:f>MAX(0,MIN('Activities'!L806,54)-MAX('Activities'!K806,48))</x:f>
        <x:v>0</x:v>
      </x:c>
      <x:c r="N806" s="22" t="n">
        <x:f>MAX(0,MIN('Activities'!L806,60)-MAX('Activities'!K806,54))</x:f>
        <x:v>0</x:v>
      </x:c>
      <x:c r="O806" s="22" t="n">
        <x:f>MAX(0,MIN('Activities'!L806,66)-MAX('Activities'!K806,60))</x:f>
        <x:v>0</x:v>
      </x:c>
      <x:c r="P806" s="22" t="n">
        <x:f>MAX(0,MIN('Activities'!L806,72)-MAX('Activities'!K806,66))</x:f>
        <x:v>0</x:v>
      </x:c>
      <x:c r="Q806" s="22" t="n">
        <x:f>MAX(0,MIN('Activities'!L806,78)-MAX('Activities'!K806,72))</x:f>
        <x:v>0</x:v>
      </x:c>
      <x:c r="R806" s="22" t="n">
        <x:f>MAX(0,MIN('Activities'!L806,84)-MAX('Activities'!K806,78))</x:f>
        <x:v>0</x:v>
      </x:c>
      <x:c r="S806" s="22" t="n">
        <x:f>MAX(0,MIN('Activities'!L806,90)-MAX('Activities'!K806,84))</x:f>
        <x:v>0</x:v>
      </x:c>
      <x:c r="T806" s="22" t="n">
        <x:f>MAX(0,MIN('Activities'!L806,96)-MAX('Activities'!K806,90))</x:f>
        <x:v>0</x:v>
      </x:c>
      <x:c r="U806" s="22" t="n">
        <x:f>MAX(0,MIN('Activities'!L806,102)-MAX('Activities'!K806,96))</x:f>
        <x:v>0</x:v>
      </x:c>
      <x:c r="V806" s="22" t="n">
        <x:f>MAX(0,MIN('Activities'!L806,108)-MAX('Activities'!K806,102))</x:f>
        <x:v>0</x:v>
      </x:c>
      <x:c r="W806" s="22" t="n">
        <x:f>MAX(0,MIN('Activities'!L806,114)-MAX('Activities'!K806,108))</x:f>
        <x:v>0</x:v>
      </x:c>
      <x:c r="X806" s="22" t="n">
        <x:f>MAX(0,MIN('Activities'!L806,120)-MAX('Activities'!K806,114))</x:f>
        <x:v>0</x:v>
      </x:c>
      <x:c r="Y806" s="22" t="n">
        <x:f>MAX(0,MIN('Activities'!L806,126)-MAX('Activities'!K806,120))</x:f>
        <x:v>0</x:v>
      </x:c>
      <x:c r="Z806" s="22" t="n">
        <x:f>MAX(0,MIN('Activities'!L806,132)-MAX('Activities'!K806,126))</x:f>
        <x:v>0</x:v>
      </x:c>
      <x:c r="AA806" s="22" t="n">
        <x:f>MAX(0,MIN('Activities'!L806,138)-MAX('Activities'!K806,132))</x:f>
        <x:v>0</x:v>
      </x:c>
      <x:c r="AB806" s="22" t="n">
        <x:f>MAX(0,MIN('Activities'!L806,144)-MAX('Activities'!K806,138))</x:f>
        <x:v>0</x:v>
      </x:c>
      <x:c r="AC806" s="22" t="n">
        <x:f>MAX(0,MIN('Activities'!L806,150)-MAX('Activities'!K806,144))</x:f>
        <x:v>0</x:v>
      </x:c>
      <x:c r="AD806" s="22" t="n">
        <x:f>MAX(0,MIN('Activities'!L806,156)-MAX('Activities'!K806,150))</x:f>
        <x:v>0</x:v>
      </x:c>
      <x:c r="AE806" s="22" t="n">
        <x:f>MAX(0,MIN('Activities'!L806,162)-MAX('Activities'!K806,156))</x:f>
        <x:v>0</x:v>
      </x:c>
      <x:c r="AF806" s="22" t="n">
        <x:f>MAX(0,MIN('Activities'!L806,168)-MAX('Activities'!K806,162))</x:f>
        <x:v>0</x:v>
      </x:c>
      <x:c r="AG806" s="22" t="n">
        <x:f>MAX(0,MIN('Activities'!L806,174)-MAX('Activities'!K806,168))</x:f>
        <x:v>0</x:v>
      </x:c>
      <x:c r="AH806" s="22" t="n">
        <x:f>MAX(0,MIN('Activities'!L806,180)-MAX('Activities'!K806,174))</x:f>
        <x:v>0</x:v>
      </x:c>
      <x:c r="AI806" s="22" t="n">
        <x:f>MAX(0,MIN('Activities'!L806,186)-MAX('Activities'!K806,180))</x:f>
        <x:v>0</x:v>
      </x:c>
      <x:c r="AJ806" s="22" t="n">
        <x:f>MAX(0,MIN('Activities'!L806,192)-MAX('Activities'!K806,186))</x:f>
        <x:v>0</x:v>
      </x:c>
      <x:c r="AK806" s="22" t="n">
        <x:f>MAX(0,MIN('Activities'!L806,198)-MAX('Activities'!K806,192))</x:f>
        <x:v>0</x:v>
      </x:c>
      <x:c r="AL806" s="22" t="n">
        <x:f>MAX(0,MIN('Activities'!L806,204)-MAX('Activities'!K806,198))</x:f>
        <x:v>0</x:v>
      </x:c>
      <x:c r="AM806" s="22" t="n">
        <x:f>MAX(0,MIN('Activities'!L806,210)-MAX('Activities'!K806,204))</x:f>
        <x:v>0</x:v>
      </x:c>
      <x:c r="AN806" s="22" t="n">
        <x:f>MAX(0,MIN('Activities'!L806,216)-MAX('Activities'!K806,210))</x:f>
        <x:v>0</x:v>
      </x:c>
      <x:c r="AO806" s="22" t="n">
        <x:f>MAX(0,MIN('Activities'!L806,222)-MAX('Activities'!K806,216))</x:f>
        <x:v>0</x:v>
      </x:c>
      <x:c r="AP806" s="22" t="n">
        <x:f>MAX(0,MIN('Activities'!L806,228)-MAX('Activities'!K806,222))</x:f>
        <x:v>0</x:v>
      </x:c>
      <x:c r="AQ806" s="22" t="n">
        <x:f>MAX(0,MIN('Activities'!L806,234)-MAX('Activities'!K806,228))</x:f>
        <x:v>0</x:v>
      </x:c>
      <x:c r="AR806" s="22" t="n">
        <x:f>MAX(0,MIN('Activities'!L806,240)-MAX('Activities'!K806,234))</x:f>
        <x:v>0</x:v>
      </x:c>
      <x:c r="AS806" s="22" t="n">
        <x:f>MAX(0,MIN('Activities'!L806,246)-MAX('Activities'!K806,240))</x:f>
        <x:v>0</x:v>
      </x:c>
      <x:c r="AT806" s="22" t="n">
        <x:f>MAX(0,MIN('Activities'!L806,252)-MAX('Activities'!K806,246))</x:f>
        <x:v>0</x:v>
      </x:c>
      <x:c r="AU806" s="22" t="n">
        <x:f>MAX(0,MIN('Activities'!L806,258)-MAX('Activities'!K806,252))</x:f>
        <x:v>0</x:v>
      </x:c>
      <x:c r="AV806" s="22" t="n">
        <x:f>MAX(0,MIN('Activities'!L806,264)-MAX('Activities'!K806,258))</x:f>
        <x:v>0</x:v>
      </x:c>
      <x:c r="AW806" s="22" t="n">
        <x:f>MAX(0,MIN('Activities'!L806,270)-MAX('Activities'!K806,264))</x:f>
        <x:v>0</x:v>
      </x:c>
      <x:c r="AX806" s="22" t="n">
        <x:f>MAX(0,MIN('Activities'!L806,276)-MAX('Activities'!K806,270))</x:f>
        <x:v>0</x:v>
      </x:c>
      <x:c r="AY806" s="22" t="n">
        <x:f>MAX(0,MIN('Activities'!L806,282)-MAX('Activities'!K806,276))</x:f>
        <x:v>0</x:v>
      </x:c>
      <x:c r="AZ806" s="22" t="n">
        <x:f>MAX(0,MIN('Activities'!L806,288)-MAX('Activities'!K806,282))</x:f>
        <x:v>0</x:v>
      </x:c>
      <x:c r="BA806" s="22" t="n">
        <x:f>MAX(0,MIN('Activities'!L806,294)-MAX('Activities'!K806,288))</x:f>
        <x:v>0</x:v>
      </x:c>
      <x:c r="BB806" s="22" t="n">
        <x:f>MAX(0,MIN('Activities'!L806,300)-MAX('Activities'!K806,294))</x:f>
        <x:v>0</x:v>
      </x:c>
      <x:c r="BC806" s="22" t="n">
        <x:f>MAX(0,MIN('Activities'!L806,306)-MAX('Activities'!K806,300))</x:f>
        <x:v>0</x:v>
      </x:c>
      <x:c r="BD806" s="22" t="n">
        <x:f>MAX(0,MIN('Activities'!L806,312)-MAX('Activities'!K806,306))</x:f>
        <x:v>0</x:v>
      </x:c>
      <x:c r="BE806" s="22" t="n">
        <x:f>MAX(0,MIN('Activities'!L806,318)-MAX('Activities'!K806,312))</x:f>
        <x:v>0</x:v>
      </x:c>
      <x:c r="BF806" s="22" t="n">
        <x:f>MAX(0,MIN('Activities'!L806,324)-MAX('Activities'!K806,318))</x:f>
        <x:v>0</x:v>
      </x:c>
      <x:c r="BG806" s="22" t="n">
        <x:f>MAX(0,MIN('Activities'!L806,330)-MAX('Activities'!K806,324))</x:f>
        <x:v>0</x:v>
      </x:c>
      <x:c r="BH806" s="22" t="n">
        <x:f>MAX(0,MIN('Activities'!L806,336)-MAX('Activities'!K806,330))</x:f>
        <x:v>0</x:v>
      </x:c>
      <x:c r="BI806" s="22" t="n">
        <x:f>MAX(0,MIN('Activities'!L806,342)-MAX('Activities'!K806,336))</x:f>
        <x:v>0</x:v>
      </x:c>
      <x:c r="BJ806" s="22" t="n">
        <x:f>MAX(0,MIN('Activities'!L806,348)-MAX('Activities'!K806,342))</x:f>
        <x:v>0</x:v>
      </x:c>
      <x:c r="BK806" s="22" t="n">
        <x:f>MAX(0,MIN('Activities'!L806,354)-MAX('Activities'!K806,348))</x:f>
        <x:v>0</x:v>
      </x:c>
      <x:c r="BL806" s="22" t="n">
        <x:f>MAX(0,MIN('Activities'!L806,360)-MAX('Activities'!K806,354))</x:f>
        <x:v>0</x:v>
      </x:c>
      <x:c r="BM806" s="22" t="n">
        <x:f>MAX(0,MIN('Activities'!L806,366)-MAX('Activities'!K806,360))</x:f>
        <x:v>0</x:v>
      </x:c>
      <x:c r="BN806" s="22" t="n">
        <x:f>MAX(0,MIN('Activities'!L806,372)-MAX('Activities'!K806,366))</x:f>
        <x:v>0</x:v>
      </x:c>
      <x:c r="BO806" s="22" t="n">
        <x:f>MAX(0,MIN('Activities'!L806,378)-MAX('Activities'!K806,372))</x:f>
        <x:v>0</x:v>
      </x:c>
      <x:c r="BP806" s="22" t="n">
        <x:f>MAX(0,MIN('Activities'!L806,384)-MAX('Activities'!K806,378))</x:f>
        <x:v>0</x:v>
      </x:c>
      <x:c r="BQ806" s="22" t="n">
        <x:f>MAX(0,MIN('Activities'!L806,390)-MAX('Activities'!K806,384))</x:f>
        <x:v>0</x:v>
      </x:c>
      <x:c r="BR806" s="22" t="n">
        <x:f>MAX(0,MIN('Activities'!L806,396)-MAX('Activities'!K806,390))</x:f>
        <x:v>0</x:v>
      </x:c>
      <x:c r="BS806" s="22" t="n">
        <x:f>MAX(0,MIN('Activities'!L806,402)-MAX('Activities'!K806,396))</x:f>
        <x:v>0</x:v>
      </x:c>
      <x:c r="BT806" s="22" t="n">
        <x:f>MAX(0,MIN('Activities'!L806,408)-MAX('Activities'!K806,402))</x:f>
        <x:v>0</x:v>
      </x:c>
      <x:c r="BU806" s="22" t="n">
        <x:f>MAX(0,MIN('Activities'!L806,414)-MAX('Activities'!K806,408))</x:f>
        <x:v>0</x:v>
      </x:c>
      <x:c r="BV806" s="22" t="n">
        <x:f>MAX(0,MIN('Activities'!L806,420)-MAX('Activities'!K806,414))</x:f>
        <x:v>0</x:v>
      </x:c>
      <x:c r="BW806" s="22" t="n">
        <x:f>MAX(0,MIN('Activities'!L806,426)-MAX('Activities'!K806,420))</x:f>
        <x:v>0</x:v>
      </x:c>
      <x:c r="BX806" s="22" t="n">
        <x:f>MAX(0,MIN('Activities'!L806,432)-MAX('Activities'!K806,426))</x:f>
        <x:v>0</x:v>
      </x:c>
      <x:c r="BY806" s="22" t="n">
        <x:f>MAX(0,MIN('Activities'!L806,438)-MAX('Activities'!K806,432))</x:f>
        <x:v>0</x:v>
      </x:c>
      <x:c r="BZ806" s="22" t="n">
        <x:f>MAX(0,MIN('Activities'!L806,444)-MAX('Activities'!K806,438))</x:f>
        <x:v>0</x:v>
      </x:c>
      <x:c r="CA806" s="22" t="n">
        <x:f>MAX(0,MIN('Activities'!L806,450)-MAX('Activities'!K806,444))</x:f>
        <x:v>0</x:v>
      </x:c>
      <x:c r="CB806" s="22" t="n">
        <x:f>MAX(0,MIN('Activities'!L806,456)-MAX('Activities'!K806,450))</x:f>
        <x:v>0</x:v>
      </x:c>
      <x:c r="CC806" s="22" t="n">
        <x:f>MAX(0,MIN('Activities'!L806,462)-MAX('Activities'!K806,456))</x:f>
        <x:v>0</x:v>
      </x:c>
      <x:c r="CD806" s="22" t="n">
        <x:f>MAX(0,MIN('Activities'!L806,468)-MAX('Activities'!K806,462))</x:f>
        <x:v>0</x:v>
      </x:c>
      <x:c r="CE806" s="22" t="n">
        <x:f>MAX(0,MIN('Activities'!L806,474)-MAX('Activities'!K806,468))</x:f>
        <x:v>0</x:v>
      </x:c>
      <x:c r="CF806" s="22" t="n">
        <x:f>MAX(0,MIN('Activities'!L806,480)-MAX('Activities'!K806,474))</x:f>
        <x:v>5</x:v>
      </x:c>
      <x:c r="CG806" s="22" t="n">
        <x:f>MAX(0,MIN('Activities'!L806,486)-MAX('Activities'!K806,480))</x:f>
        <x:v>0</x:v>
      </x:c>
      <x:c r="CH806" s="22" t="n">
        <x:f>MAX(0,MIN('Activities'!L806,492)-MAX('Activities'!K806,486))</x:f>
        <x:v>0</x:v>
      </x:c>
      <x:c r="CI806" s="22" t="n">
        <x:f>MAX(0,MIN('Activities'!L806,498)-MAX('Activities'!K806,492))</x:f>
        <x:v>0</x:v>
      </x:c>
      <x:c r="CJ806" s="22" t="n">
        <x:f>MAX(0,MIN('Activities'!L806,504)-MAX('Activities'!K806,498))</x:f>
        <x:v>0</x:v>
      </x:c>
      <x:c r="CK806" s="22" t="n">
        <x:f>MAX(0,MIN('Activities'!L806,510)-MAX('Activities'!K806,504))</x:f>
        <x:v>0</x:v>
      </x:c>
      <x:c r="CL806" s="22" t="n">
        <x:f>MAX(0,MIN('Activities'!L806,516)-MAX('Activities'!K806,510))</x:f>
        <x:v>0</x:v>
      </x:c>
      <x:c r="CM806" s="22" t="n">
        <x:f>MAX(0,MIN('Activities'!L806,522)-MAX('Activities'!K806,516))</x:f>
        <x:v>0</x:v>
      </x:c>
      <x:c r="CN806" s="22" t="n">
        <x:f>MAX(0,MIN('Activities'!L806,528)-MAX('Activities'!K806,522))</x:f>
        <x:v>0</x:v>
      </x:c>
      <x:c r="CO806" s="22" t="n">
        <x:f>MAX(0,MIN('Activities'!L806,534)-MAX('Activities'!K806,528))</x:f>
        <x:v>0</x:v>
      </x:c>
      <x:c r="CP806" s="22" t="n">
        <x:f>MAX(0,MIN('Activities'!L806,540)-MAX('Activities'!K806,534))</x:f>
        <x:v>0</x:v>
      </x:c>
      <x:c r="CQ806" s="22" t="n">
        <x:f>MAX(0,MIN('Activities'!L806,546)-MAX('Activities'!K806,540))</x:f>
        <x:v>0</x:v>
      </x:c>
      <x:c r="CR806" s="22" t="n">
        <x:f>MAX(0,MIN('Activities'!L806,552)-MAX('Activities'!K806,546))</x:f>
        <x:v>0</x:v>
      </x:c>
      <x:c r="CS806" s="22" t="n">
        <x:f>MAX(0,MIN('Activities'!L806,558)-MAX('Activities'!K806,552))</x:f>
        <x:v>0</x:v>
      </x:c>
      <x:c r="CT806" s="22" t="n">
        <x:f>MAX(0,MIN('Activities'!L806,564)-MAX('Activities'!K806,558))</x:f>
        <x:v>0</x:v>
      </x:c>
      <x:c r="CU806" s="22" t="n">
        <x:f>MAX(0,MIN('Activities'!L806,570)-MAX('Activities'!K806,564))</x:f>
        <x:v>0</x:v>
      </x:c>
      <x:c r="CV806" s="22" t="n">
        <x:f>MAX(0,MIN('Activities'!L806,576)-MAX('Activities'!K806,570))</x:f>
        <x:v>0</x:v>
      </x:c>
      <x:c r="CW806" s="22" t="n">
        <x:f>MAX(0,MIN('Activities'!L806,582)-MAX('Activities'!K806,576))</x:f>
        <x:v>0</x:v>
      </x:c>
      <x:c r="CX806" s="22" t="n">
        <x:f>MAX(0,MIN('Activities'!L806,588)-MAX('Activities'!K806,582))</x:f>
        <x:v>0</x:v>
      </x:c>
      <x:c r="CY806" s="22" t="n">
        <x:f>MAX(0,MIN('Activities'!L806,594)-MAX('Activities'!K806,588))</x:f>
        <x:v>0</x:v>
      </x:c>
      <x:c r="CZ806" s="22" t="n">
        <x:f>MAX(0,MIN('Activities'!L806,600)-MAX('Activities'!K806,594))</x:f>
        <x:v>0</x:v>
      </x:c>
      <x:c r="DA806" s="22" t="n">
        <x:f>MAX(0,MIN('Activities'!L806,606)-MAX('Activities'!K806,600))</x:f>
        <x:v>0</x:v>
      </x:c>
      <x:c r="DB806" s="22" t="n">
        <x:f>MAX(0,MIN('Activities'!L806,612)-MAX('Activities'!K806,606))</x:f>
        <x:v>0</x:v>
      </x:c>
      <x:c r="DC806" s="22" t="n">
        <x:f>MAX(0,MIN('Activities'!L806,618)-MAX('Activities'!K806,612))</x:f>
        <x:v>0</x:v>
      </x:c>
      <x:c r="DD806" s="22" t="n">
        <x:f>MAX(0,MIN('Activities'!L806,624)-MAX('Activities'!K806,618))</x:f>
        <x:v>0</x:v>
      </x:c>
      <x:c r="DE806" s="22" t="n">
        <x:f>MAX(0,MIN('Activities'!L806,630)-MAX('Activities'!K806,624))</x:f>
        <x:v>0</x:v>
      </x:c>
      <x:c r="DF806" s="22" t="n">
        <x:f>MAX(0,MIN('Activities'!L806,636)-MAX('Activities'!K806,630))</x:f>
        <x:v>0</x:v>
      </x:c>
    </x:row>
    <x:row r="807" ht="23" customHeight="1">
      <x:c r="A807" s="1" t="str">
        <x:v>T6-L11-D</x:v>
      </x:c>
      <x:c r="B807" s="1" t="str">
        <x:v>T6</x:v>
      </x:c>
      <x:c r="C807" s="1" t="str">
        <x:v>Door sets and ironmongery</x:v>
      </x:c>
      <x:c r="D807" s="1" t="str">
        <x:v>Finishes</x:v>
      </x:c>
      <x:c r="E807" s="23" t="n">
        <x:f>MAX(0,MIN('Activities'!L807,6)-MAX('Activities'!K807,0))</x:f>
        <x:v>0</x:v>
      </x:c>
      <x:c r="F807" s="23" t="n">
        <x:f>MAX(0,MIN('Activities'!L807,12)-MAX('Activities'!K807,6))</x:f>
        <x:v>0</x:v>
      </x:c>
      <x:c r="G807" s="23" t="n">
        <x:f>MAX(0,MIN('Activities'!L807,18)-MAX('Activities'!K807,12))</x:f>
        <x:v>0</x:v>
      </x:c>
      <x:c r="H807" s="23" t="n">
        <x:f>MAX(0,MIN('Activities'!L807,24)-MAX('Activities'!K807,18))</x:f>
        <x:v>0</x:v>
      </x:c>
      <x:c r="I807" s="23" t="n">
        <x:f>MAX(0,MIN('Activities'!L807,30)-MAX('Activities'!K807,24))</x:f>
        <x:v>0</x:v>
      </x:c>
      <x:c r="J807" s="23" t="n">
        <x:f>MAX(0,MIN('Activities'!L807,36)-MAX('Activities'!K807,30))</x:f>
        <x:v>0</x:v>
      </x:c>
      <x:c r="K807" s="23" t="n">
        <x:f>MAX(0,MIN('Activities'!L807,42)-MAX('Activities'!K807,36))</x:f>
        <x:v>0</x:v>
      </x:c>
      <x:c r="L807" s="23" t="n">
        <x:f>MAX(0,MIN('Activities'!L807,48)-MAX('Activities'!K807,42))</x:f>
        <x:v>0</x:v>
      </x:c>
      <x:c r="M807" s="23" t="n">
        <x:f>MAX(0,MIN('Activities'!L807,54)-MAX('Activities'!K807,48))</x:f>
        <x:v>0</x:v>
      </x:c>
      <x:c r="N807" s="23" t="n">
        <x:f>MAX(0,MIN('Activities'!L807,60)-MAX('Activities'!K807,54))</x:f>
        <x:v>0</x:v>
      </x:c>
      <x:c r="O807" s="23" t="n">
        <x:f>MAX(0,MIN('Activities'!L807,66)-MAX('Activities'!K807,60))</x:f>
        <x:v>0</x:v>
      </x:c>
      <x:c r="P807" s="23" t="n">
        <x:f>MAX(0,MIN('Activities'!L807,72)-MAX('Activities'!K807,66))</x:f>
        <x:v>0</x:v>
      </x:c>
      <x:c r="Q807" s="23" t="n">
        <x:f>MAX(0,MIN('Activities'!L807,78)-MAX('Activities'!K807,72))</x:f>
        <x:v>0</x:v>
      </x:c>
      <x:c r="R807" s="23" t="n">
        <x:f>MAX(0,MIN('Activities'!L807,84)-MAX('Activities'!K807,78))</x:f>
        <x:v>0</x:v>
      </x:c>
      <x:c r="S807" s="23" t="n">
        <x:f>MAX(0,MIN('Activities'!L807,90)-MAX('Activities'!K807,84))</x:f>
        <x:v>0</x:v>
      </x:c>
      <x:c r="T807" s="23" t="n">
        <x:f>MAX(0,MIN('Activities'!L807,96)-MAX('Activities'!K807,90))</x:f>
        <x:v>0</x:v>
      </x:c>
      <x:c r="U807" s="23" t="n">
        <x:f>MAX(0,MIN('Activities'!L807,102)-MAX('Activities'!K807,96))</x:f>
        <x:v>0</x:v>
      </x:c>
      <x:c r="V807" s="23" t="n">
        <x:f>MAX(0,MIN('Activities'!L807,108)-MAX('Activities'!K807,102))</x:f>
        <x:v>0</x:v>
      </x:c>
      <x:c r="W807" s="23" t="n">
        <x:f>MAX(0,MIN('Activities'!L807,114)-MAX('Activities'!K807,108))</x:f>
        <x:v>0</x:v>
      </x:c>
      <x:c r="X807" s="23" t="n">
        <x:f>MAX(0,MIN('Activities'!L807,120)-MAX('Activities'!K807,114))</x:f>
        <x:v>0</x:v>
      </x:c>
      <x:c r="Y807" s="23" t="n">
        <x:f>MAX(0,MIN('Activities'!L807,126)-MAX('Activities'!K807,120))</x:f>
        <x:v>0</x:v>
      </x:c>
      <x:c r="Z807" s="23" t="n">
        <x:f>MAX(0,MIN('Activities'!L807,132)-MAX('Activities'!K807,126))</x:f>
        <x:v>0</x:v>
      </x:c>
      <x:c r="AA807" s="23" t="n">
        <x:f>MAX(0,MIN('Activities'!L807,138)-MAX('Activities'!K807,132))</x:f>
        <x:v>0</x:v>
      </x:c>
      <x:c r="AB807" s="23" t="n">
        <x:f>MAX(0,MIN('Activities'!L807,144)-MAX('Activities'!K807,138))</x:f>
        <x:v>0</x:v>
      </x:c>
      <x:c r="AC807" s="23" t="n">
        <x:f>MAX(0,MIN('Activities'!L807,150)-MAX('Activities'!K807,144))</x:f>
        <x:v>0</x:v>
      </x:c>
      <x:c r="AD807" s="23" t="n">
        <x:f>MAX(0,MIN('Activities'!L807,156)-MAX('Activities'!K807,150))</x:f>
        <x:v>0</x:v>
      </x:c>
      <x:c r="AE807" s="23" t="n">
        <x:f>MAX(0,MIN('Activities'!L807,162)-MAX('Activities'!K807,156))</x:f>
        <x:v>0</x:v>
      </x:c>
      <x:c r="AF807" s="23" t="n">
        <x:f>MAX(0,MIN('Activities'!L807,168)-MAX('Activities'!K807,162))</x:f>
        <x:v>0</x:v>
      </x:c>
      <x:c r="AG807" s="23" t="n">
        <x:f>MAX(0,MIN('Activities'!L807,174)-MAX('Activities'!K807,168))</x:f>
        <x:v>0</x:v>
      </x:c>
      <x:c r="AH807" s="23" t="n">
        <x:f>MAX(0,MIN('Activities'!L807,180)-MAX('Activities'!K807,174))</x:f>
        <x:v>0</x:v>
      </x:c>
      <x:c r="AI807" s="23" t="n">
        <x:f>MAX(0,MIN('Activities'!L807,186)-MAX('Activities'!K807,180))</x:f>
        <x:v>0</x:v>
      </x:c>
      <x:c r="AJ807" s="23" t="n">
        <x:f>MAX(0,MIN('Activities'!L807,192)-MAX('Activities'!K807,186))</x:f>
        <x:v>0</x:v>
      </x:c>
      <x:c r="AK807" s="23" t="n">
        <x:f>MAX(0,MIN('Activities'!L807,198)-MAX('Activities'!K807,192))</x:f>
        <x:v>0</x:v>
      </x:c>
      <x:c r="AL807" s="23" t="n">
        <x:f>MAX(0,MIN('Activities'!L807,204)-MAX('Activities'!K807,198))</x:f>
        <x:v>0</x:v>
      </x:c>
      <x:c r="AM807" s="23" t="n">
        <x:f>MAX(0,MIN('Activities'!L807,210)-MAX('Activities'!K807,204))</x:f>
        <x:v>0</x:v>
      </x:c>
      <x:c r="AN807" s="23" t="n">
        <x:f>MAX(0,MIN('Activities'!L807,216)-MAX('Activities'!K807,210))</x:f>
        <x:v>0</x:v>
      </x:c>
      <x:c r="AO807" s="23" t="n">
        <x:f>MAX(0,MIN('Activities'!L807,222)-MAX('Activities'!K807,216))</x:f>
        <x:v>0</x:v>
      </x:c>
      <x:c r="AP807" s="23" t="n">
        <x:f>MAX(0,MIN('Activities'!L807,228)-MAX('Activities'!K807,222))</x:f>
        <x:v>0</x:v>
      </x:c>
      <x:c r="AQ807" s="23" t="n">
        <x:f>MAX(0,MIN('Activities'!L807,234)-MAX('Activities'!K807,228))</x:f>
        <x:v>0</x:v>
      </x:c>
      <x:c r="AR807" s="23" t="n">
        <x:f>MAX(0,MIN('Activities'!L807,240)-MAX('Activities'!K807,234))</x:f>
        <x:v>0</x:v>
      </x:c>
      <x:c r="AS807" s="23" t="n">
        <x:f>MAX(0,MIN('Activities'!L807,246)-MAX('Activities'!K807,240))</x:f>
        <x:v>0</x:v>
      </x:c>
      <x:c r="AT807" s="23" t="n">
        <x:f>MAX(0,MIN('Activities'!L807,252)-MAX('Activities'!K807,246))</x:f>
        <x:v>0</x:v>
      </x:c>
      <x:c r="AU807" s="23" t="n">
        <x:f>MAX(0,MIN('Activities'!L807,258)-MAX('Activities'!K807,252))</x:f>
        <x:v>0</x:v>
      </x:c>
      <x:c r="AV807" s="23" t="n">
        <x:f>MAX(0,MIN('Activities'!L807,264)-MAX('Activities'!K807,258))</x:f>
        <x:v>0</x:v>
      </x:c>
      <x:c r="AW807" s="23" t="n">
        <x:f>MAX(0,MIN('Activities'!L807,270)-MAX('Activities'!K807,264))</x:f>
        <x:v>0</x:v>
      </x:c>
      <x:c r="AX807" s="23" t="n">
        <x:f>MAX(0,MIN('Activities'!L807,276)-MAX('Activities'!K807,270))</x:f>
        <x:v>0</x:v>
      </x:c>
      <x:c r="AY807" s="23" t="n">
        <x:f>MAX(0,MIN('Activities'!L807,282)-MAX('Activities'!K807,276))</x:f>
        <x:v>0</x:v>
      </x:c>
      <x:c r="AZ807" s="23" t="n">
        <x:f>MAX(0,MIN('Activities'!L807,288)-MAX('Activities'!K807,282))</x:f>
        <x:v>0</x:v>
      </x:c>
      <x:c r="BA807" s="23" t="n">
        <x:f>MAX(0,MIN('Activities'!L807,294)-MAX('Activities'!K807,288))</x:f>
        <x:v>0</x:v>
      </x:c>
      <x:c r="BB807" s="23" t="n">
        <x:f>MAX(0,MIN('Activities'!L807,300)-MAX('Activities'!K807,294))</x:f>
        <x:v>0</x:v>
      </x:c>
      <x:c r="BC807" s="23" t="n">
        <x:f>MAX(0,MIN('Activities'!L807,306)-MAX('Activities'!K807,300))</x:f>
        <x:v>0</x:v>
      </x:c>
      <x:c r="BD807" s="23" t="n">
        <x:f>MAX(0,MIN('Activities'!L807,312)-MAX('Activities'!K807,306))</x:f>
        <x:v>0</x:v>
      </x:c>
      <x:c r="BE807" s="23" t="n">
        <x:f>MAX(0,MIN('Activities'!L807,318)-MAX('Activities'!K807,312))</x:f>
        <x:v>0</x:v>
      </x:c>
      <x:c r="BF807" s="23" t="n">
        <x:f>MAX(0,MIN('Activities'!L807,324)-MAX('Activities'!K807,318))</x:f>
        <x:v>0</x:v>
      </x:c>
      <x:c r="BG807" s="23" t="n">
        <x:f>MAX(0,MIN('Activities'!L807,330)-MAX('Activities'!K807,324))</x:f>
        <x:v>0</x:v>
      </x:c>
      <x:c r="BH807" s="23" t="n">
        <x:f>MAX(0,MIN('Activities'!L807,336)-MAX('Activities'!K807,330))</x:f>
        <x:v>0</x:v>
      </x:c>
      <x:c r="BI807" s="23" t="n">
        <x:f>MAX(0,MIN('Activities'!L807,342)-MAX('Activities'!K807,336))</x:f>
        <x:v>0</x:v>
      </x:c>
      <x:c r="BJ807" s="23" t="n">
        <x:f>MAX(0,MIN('Activities'!L807,348)-MAX('Activities'!K807,342))</x:f>
        <x:v>0</x:v>
      </x:c>
      <x:c r="BK807" s="23" t="n">
        <x:f>MAX(0,MIN('Activities'!L807,354)-MAX('Activities'!K807,348))</x:f>
        <x:v>0</x:v>
      </x:c>
      <x:c r="BL807" s="23" t="n">
        <x:f>MAX(0,MIN('Activities'!L807,360)-MAX('Activities'!K807,354))</x:f>
        <x:v>0</x:v>
      </x:c>
      <x:c r="BM807" s="23" t="n">
        <x:f>MAX(0,MIN('Activities'!L807,366)-MAX('Activities'!K807,360))</x:f>
        <x:v>0</x:v>
      </x:c>
      <x:c r="BN807" s="23" t="n">
        <x:f>MAX(0,MIN('Activities'!L807,372)-MAX('Activities'!K807,366))</x:f>
        <x:v>0</x:v>
      </x:c>
      <x:c r="BO807" s="23" t="n">
        <x:f>MAX(0,MIN('Activities'!L807,378)-MAX('Activities'!K807,372))</x:f>
        <x:v>0</x:v>
      </x:c>
      <x:c r="BP807" s="23" t="n">
        <x:f>MAX(0,MIN('Activities'!L807,384)-MAX('Activities'!K807,378))</x:f>
        <x:v>0</x:v>
      </x:c>
      <x:c r="BQ807" s="23" t="n">
        <x:f>MAX(0,MIN('Activities'!L807,390)-MAX('Activities'!K807,384))</x:f>
        <x:v>0</x:v>
      </x:c>
      <x:c r="BR807" s="23" t="n">
        <x:f>MAX(0,MIN('Activities'!L807,396)-MAX('Activities'!K807,390))</x:f>
        <x:v>0</x:v>
      </x:c>
      <x:c r="BS807" s="23" t="n">
        <x:f>MAX(0,MIN('Activities'!L807,402)-MAX('Activities'!K807,396))</x:f>
        <x:v>0</x:v>
      </x:c>
      <x:c r="BT807" s="23" t="n">
        <x:f>MAX(0,MIN('Activities'!L807,408)-MAX('Activities'!K807,402))</x:f>
        <x:v>0</x:v>
      </x:c>
      <x:c r="BU807" s="23" t="n">
        <x:f>MAX(0,MIN('Activities'!L807,414)-MAX('Activities'!K807,408))</x:f>
        <x:v>0</x:v>
      </x:c>
      <x:c r="BV807" s="23" t="n">
        <x:f>MAX(0,MIN('Activities'!L807,420)-MAX('Activities'!K807,414))</x:f>
        <x:v>0</x:v>
      </x:c>
      <x:c r="BW807" s="23" t="n">
        <x:f>MAX(0,MIN('Activities'!L807,426)-MAX('Activities'!K807,420))</x:f>
        <x:v>0</x:v>
      </x:c>
      <x:c r="BX807" s="23" t="n">
        <x:f>MAX(0,MIN('Activities'!L807,432)-MAX('Activities'!K807,426))</x:f>
        <x:v>0</x:v>
      </x:c>
      <x:c r="BY807" s="23" t="n">
        <x:f>MAX(0,MIN('Activities'!L807,438)-MAX('Activities'!K807,432))</x:f>
        <x:v>0</x:v>
      </x:c>
      <x:c r="BZ807" s="23" t="n">
        <x:f>MAX(0,MIN('Activities'!L807,444)-MAX('Activities'!K807,438))</x:f>
        <x:v>0</x:v>
      </x:c>
      <x:c r="CA807" s="23" t="n">
        <x:f>MAX(0,MIN('Activities'!L807,450)-MAX('Activities'!K807,444))</x:f>
        <x:v>0</x:v>
      </x:c>
      <x:c r="CB807" s="23" t="n">
        <x:f>MAX(0,MIN('Activities'!L807,456)-MAX('Activities'!K807,450))</x:f>
        <x:v>0</x:v>
      </x:c>
      <x:c r="CC807" s="23" t="n">
        <x:f>MAX(0,MIN('Activities'!L807,462)-MAX('Activities'!K807,456))</x:f>
        <x:v>0</x:v>
      </x:c>
      <x:c r="CD807" s="23" t="n">
        <x:f>MAX(0,MIN('Activities'!L807,468)-MAX('Activities'!K807,462))</x:f>
        <x:v>0</x:v>
      </x:c>
      <x:c r="CE807" s="23" t="n">
        <x:f>MAX(0,MIN('Activities'!L807,474)-MAX('Activities'!K807,468))</x:f>
        <x:v>0</x:v>
      </x:c>
      <x:c r="CF807" s="23" t="n">
        <x:f>MAX(0,MIN('Activities'!L807,480)-MAX('Activities'!K807,474))</x:f>
        <x:v>1</x:v>
      </x:c>
      <x:c r="CG807" s="23" t="n">
        <x:f>MAX(0,MIN('Activities'!L807,486)-MAX('Activities'!K807,480))</x:f>
        <x:v>2</x:v>
      </x:c>
      <x:c r="CH807" s="23" t="n">
        <x:f>MAX(0,MIN('Activities'!L807,492)-MAX('Activities'!K807,486))</x:f>
        <x:v>0</x:v>
      </x:c>
      <x:c r="CI807" s="23" t="n">
        <x:f>MAX(0,MIN('Activities'!L807,498)-MAX('Activities'!K807,492))</x:f>
        <x:v>0</x:v>
      </x:c>
      <x:c r="CJ807" s="23" t="n">
        <x:f>MAX(0,MIN('Activities'!L807,504)-MAX('Activities'!K807,498))</x:f>
        <x:v>0</x:v>
      </x:c>
      <x:c r="CK807" s="23" t="n">
        <x:f>MAX(0,MIN('Activities'!L807,510)-MAX('Activities'!K807,504))</x:f>
        <x:v>0</x:v>
      </x:c>
      <x:c r="CL807" s="23" t="n">
        <x:f>MAX(0,MIN('Activities'!L807,516)-MAX('Activities'!K807,510))</x:f>
        <x:v>0</x:v>
      </x:c>
      <x:c r="CM807" s="23" t="n">
        <x:f>MAX(0,MIN('Activities'!L807,522)-MAX('Activities'!K807,516))</x:f>
        <x:v>0</x:v>
      </x:c>
      <x:c r="CN807" s="23" t="n">
        <x:f>MAX(0,MIN('Activities'!L807,528)-MAX('Activities'!K807,522))</x:f>
        <x:v>0</x:v>
      </x:c>
      <x:c r="CO807" s="23" t="n">
        <x:f>MAX(0,MIN('Activities'!L807,534)-MAX('Activities'!K807,528))</x:f>
        <x:v>0</x:v>
      </x:c>
      <x:c r="CP807" s="23" t="n">
        <x:f>MAX(0,MIN('Activities'!L807,540)-MAX('Activities'!K807,534))</x:f>
        <x:v>0</x:v>
      </x:c>
      <x:c r="CQ807" s="23" t="n">
        <x:f>MAX(0,MIN('Activities'!L807,546)-MAX('Activities'!K807,540))</x:f>
        <x:v>0</x:v>
      </x:c>
      <x:c r="CR807" s="23" t="n">
        <x:f>MAX(0,MIN('Activities'!L807,552)-MAX('Activities'!K807,546))</x:f>
        <x:v>0</x:v>
      </x:c>
      <x:c r="CS807" s="23" t="n">
        <x:f>MAX(0,MIN('Activities'!L807,558)-MAX('Activities'!K807,552))</x:f>
        <x:v>0</x:v>
      </x:c>
      <x:c r="CT807" s="23" t="n">
        <x:f>MAX(0,MIN('Activities'!L807,564)-MAX('Activities'!K807,558))</x:f>
        <x:v>0</x:v>
      </x:c>
      <x:c r="CU807" s="23" t="n">
        <x:f>MAX(0,MIN('Activities'!L807,570)-MAX('Activities'!K807,564))</x:f>
        <x:v>0</x:v>
      </x:c>
      <x:c r="CV807" s="23" t="n">
        <x:f>MAX(0,MIN('Activities'!L807,576)-MAX('Activities'!K807,570))</x:f>
        <x:v>0</x:v>
      </x:c>
      <x:c r="CW807" s="23" t="n">
        <x:f>MAX(0,MIN('Activities'!L807,582)-MAX('Activities'!K807,576))</x:f>
        <x:v>0</x:v>
      </x:c>
      <x:c r="CX807" s="23" t="n">
        <x:f>MAX(0,MIN('Activities'!L807,588)-MAX('Activities'!K807,582))</x:f>
        <x:v>0</x:v>
      </x:c>
      <x:c r="CY807" s="23" t="n">
        <x:f>MAX(0,MIN('Activities'!L807,594)-MAX('Activities'!K807,588))</x:f>
        <x:v>0</x:v>
      </x:c>
      <x:c r="CZ807" s="23" t="n">
        <x:f>MAX(0,MIN('Activities'!L807,600)-MAX('Activities'!K807,594))</x:f>
        <x:v>0</x:v>
      </x:c>
      <x:c r="DA807" s="23" t="n">
        <x:f>MAX(0,MIN('Activities'!L807,606)-MAX('Activities'!K807,600))</x:f>
        <x:v>0</x:v>
      </x:c>
      <x:c r="DB807" s="23" t="n">
        <x:f>MAX(0,MIN('Activities'!L807,612)-MAX('Activities'!K807,606))</x:f>
        <x:v>0</x:v>
      </x:c>
      <x:c r="DC807" s="23" t="n">
        <x:f>MAX(0,MIN('Activities'!L807,618)-MAX('Activities'!K807,612))</x:f>
        <x:v>0</x:v>
      </x:c>
      <x:c r="DD807" s="23" t="n">
        <x:f>MAX(0,MIN('Activities'!L807,624)-MAX('Activities'!K807,618))</x:f>
        <x:v>0</x:v>
      </x:c>
      <x:c r="DE807" s="23" t="n">
        <x:f>MAX(0,MIN('Activities'!L807,630)-MAX('Activities'!K807,624))</x:f>
        <x:v>0</x:v>
      </x:c>
      <x:c r="DF807" s="23" t="n">
        <x:f>MAX(0,MIN('Activities'!L807,636)-MAX('Activities'!K807,630))</x:f>
        <x:v>0</x:v>
      </x:c>
    </x:row>
    <x:row r="808" ht="23" customHeight="1">
      <x:c r="A808" s="6" t="str">
        <x:v>T6-L12-M</x:v>
      </x:c>
      <x:c r="B808" s="6" t="str">
        <x:v>T6</x:v>
      </x:c>
      <x:c r="C808" s="6" t="str">
        <x:v>Partition masonry</x:v>
      </x:c>
      <x:c r="D808" s="6" t="str">
        <x:v>Masonry</x:v>
      </x:c>
      <x:c r="E808" s="22" t="n">
        <x:f>MAX(0,MIN('Activities'!L808,6)-MAX('Activities'!K808,0))</x:f>
        <x:v>0</x:v>
      </x:c>
      <x:c r="F808" s="22" t="n">
        <x:f>MAX(0,MIN('Activities'!L808,12)-MAX('Activities'!K808,6))</x:f>
        <x:v>0</x:v>
      </x:c>
      <x:c r="G808" s="22" t="n">
        <x:f>MAX(0,MIN('Activities'!L808,18)-MAX('Activities'!K808,12))</x:f>
        <x:v>0</x:v>
      </x:c>
      <x:c r="H808" s="22" t="n">
        <x:f>MAX(0,MIN('Activities'!L808,24)-MAX('Activities'!K808,18))</x:f>
        <x:v>0</x:v>
      </x:c>
      <x:c r="I808" s="22" t="n">
        <x:f>MAX(0,MIN('Activities'!L808,30)-MAX('Activities'!K808,24))</x:f>
        <x:v>0</x:v>
      </x:c>
      <x:c r="J808" s="22" t="n">
        <x:f>MAX(0,MIN('Activities'!L808,36)-MAX('Activities'!K808,30))</x:f>
        <x:v>0</x:v>
      </x:c>
      <x:c r="K808" s="22" t="n">
        <x:f>MAX(0,MIN('Activities'!L808,42)-MAX('Activities'!K808,36))</x:f>
        <x:v>0</x:v>
      </x:c>
      <x:c r="L808" s="22" t="n">
        <x:f>MAX(0,MIN('Activities'!L808,48)-MAX('Activities'!K808,42))</x:f>
        <x:v>0</x:v>
      </x:c>
      <x:c r="M808" s="22" t="n">
        <x:f>MAX(0,MIN('Activities'!L808,54)-MAX('Activities'!K808,48))</x:f>
        <x:v>0</x:v>
      </x:c>
      <x:c r="N808" s="22" t="n">
        <x:f>MAX(0,MIN('Activities'!L808,60)-MAX('Activities'!K808,54))</x:f>
        <x:v>0</x:v>
      </x:c>
      <x:c r="O808" s="22" t="n">
        <x:f>MAX(0,MIN('Activities'!L808,66)-MAX('Activities'!K808,60))</x:f>
        <x:v>0</x:v>
      </x:c>
      <x:c r="P808" s="22" t="n">
        <x:f>MAX(0,MIN('Activities'!L808,72)-MAX('Activities'!K808,66))</x:f>
        <x:v>0</x:v>
      </x:c>
      <x:c r="Q808" s="22" t="n">
        <x:f>MAX(0,MIN('Activities'!L808,78)-MAX('Activities'!K808,72))</x:f>
        <x:v>0</x:v>
      </x:c>
      <x:c r="R808" s="22" t="n">
        <x:f>MAX(0,MIN('Activities'!L808,84)-MAX('Activities'!K808,78))</x:f>
        <x:v>0</x:v>
      </x:c>
      <x:c r="S808" s="22" t="n">
        <x:f>MAX(0,MIN('Activities'!L808,90)-MAX('Activities'!K808,84))</x:f>
        <x:v>0</x:v>
      </x:c>
      <x:c r="T808" s="22" t="n">
        <x:f>MAX(0,MIN('Activities'!L808,96)-MAX('Activities'!K808,90))</x:f>
        <x:v>0</x:v>
      </x:c>
      <x:c r="U808" s="22" t="n">
        <x:f>MAX(0,MIN('Activities'!L808,102)-MAX('Activities'!K808,96))</x:f>
        <x:v>0</x:v>
      </x:c>
      <x:c r="V808" s="22" t="n">
        <x:f>MAX(0,MIN('Activities'!L808,108)-MAX('Activities'!K808,102))</x:f>
        <x:v>0</x:v>
      </x:c>
      <x:c r="W808" s="22" t="n">
        <x:f>MAX(0,MIN('Activities'!L808,114)-MAX('Activities'!K808,108))</x:f>
        <x:v>0</x:v>
      </x:c>
      <x:c r="X808" s="22" t="n">
        <x:f>MAX(0,MIN('Activities'!L808,120)-MAX('Activities'!K808,114))</x:f>
        <x:v>0</x:v>
      </x:c>
      <x:c r="Y808" s="22" t="n">
        <x:f>MAX(0,MIN('Activities'!L808,126)-MAX('Activities'!K808,120))</x:f>
        <x:v>0</x:v>
      </x:c>
      <x:c r="Z808" s="22" t="n">
        <x:f>MAX(0,MIN('Activities'!L808,132)-MAX('Activities'!K808,126))</x:f>
        <x:v>0</x:v>
      </x:c>
      <x:c r="AA808" s="22" t="n">
        <x:f>MAX(0,MIN('Activities'!L808,138)-MAX('Activities'!K808,132))</x:f>
        <x:v>0</x:v>
      </x:c>
      <x:c r="AB808" s="22" t="n">
        <x:f>MAX(0,MIN('Activities'!L808,144)-MAX('Activities'!K808,138))</x:f>
        <x:v>0</x:v>
      </x:c>
      <x:c r="AC808" s="22" t="n">
        <x:f>MAX(0,MIN('Activities'!L808,150)-MAX('Activities'!K808,144))</x:f>
        <x:v>0</x:v>
      </x:c>
      <x:c r="AD808" s="22" t="n">
        <x:f>MAX(0,MIN('Activities'!L808,156)-MAX('Activities'!K808,150))</x:f>
        <x:v>0</x:v>
      </x:c>
      <x:c r="AE808" s="22" t="n">
        <x:f>MAX(0,MIN('Activities'!L808,162)-MAX('Activities'!K808,156))</x:f>
        <x:v>0</x:v>
      </x:c>
      <x:c r="AF808" s="22" t="n">
        <x:f>MAX(0,MIN('Activities'!L808,168)-MAX('Activities'!K808,162))</x:f>
        <x:v>0</x:v>
      </x:c>
      <x:c r="AG808" s="22" t="n">
        <x:f>MAX(0,MIN('Activities'!L808,174)-MAX('Activities'!K808,168))</x:f>
        <x:v>0</x:v>
      </x:c>
      <x:c r="AH808" s="22" t="n">
        <x:f>MAX(0,MIN('Activities'!L808,180)-MAX('Activities'!K808,174))</x:f>
        <x:v>0</x:v>
      </x:c>
      <x:c r="AI808" s="22" t="n">
        <x:f>MAX(0,MIN('Activities'!L808,186)-MAX('Activities'!K808,180))</x:f>
        <x:v>0</x:v>
      </x:c>
      <x:c r="AJ808" s="22" t="n">
        <x:f>MAX(0,MIN('Activities'!L808,192)-MAX('Activities'!K808,186))</x:f>
        <x:v>0</x:v>
      </x:c>
      <x:c r="AK808" s="22" t="n">
        <x:f>MAX(0,MIN('Activities'!L808,198)-MAX('Activities'!K808,192))</x:f>
        <x:v>0</x:v>
      </x:c>
      <x:c r="AL808" s="22" t="n">
        <x:f>MAX(0,MIN('Activities'!L808,204)-MAX('Activities'!K808,198))</x:f>
        <x:v>0</x:v>
      </x:c>
      <x:c r="AM808" s="22" t="n">
        <x:f>MAX(0,MIN('Activities'!L808,210)-MAX('Activities'!K808,204))</x:f>
        <x:v>0</x:v>
      </x:c>
      <x:c r="AN808" s="22" t="n">
        <x:f>MAX(0,MIN('Activities'!L808,216)-MAX('Activities'!K808,210))</x:f>
        <x:v>0</x:v>
      </x:c>
      <x:c r="AO808" s="22" t="n">
        <x:f>MAX(0,MIN('Activities'!L808,222)-MAX('Activities'!K808,216))</x:f>
        <x:v>0</x:v>
      </x:c>
      <x:c r="AP808" s="22" t="n">
        <x:f>MAX(0,MIN('Activities'!L808,228)-MAX('Activities'!K808,222))</x:f>
        <x:v>0</x:v>
      </x:c>
      <x:c r="AQ808" s="22" t="n">
        <x:f>MAX(0,MIN('Activities'!L808,234)-MAX('Activities'!K808,228))</x:f>
        <x:v>0</x:v>
      </x:c>
      <x:c r="AR808" s="22" t="n">
        <x:f>MAX(0,MIN('Activities'!L808,240)-MAX('Activities'!K808,234))</x:f>
        <x:v>0</x:v>
      </x:c>
      <x:c r="AS808" s="22" t="n">
        <x:f>MAX(0,MIN('Activities'!L808,246)-MAX('Activities'!K808,240))</x:f>
        <x:v>0</x:v>
      </x:c>
      <x:c r="AT808" s="22" t="n">
        <x:f>MAX(0,MIN('Activities'!L808,252)-MAX('Activities'!K808,246))</x:f>
        <x:v>0</x:v>
      </x:c>
      <x:c r="AU808" s="22" t="n">
        <x:f>MAX(0,MIN('Activities'!L808,258)-MAX('Activities'!K808,252))</x:f>
        <x:v>0</x:v>
      </x:c>
      <x:c r="AV808" s="22" t="n">
        <x:f>MAX(0,MIN('Activities'!L808,264)-MAX('Activities'!K808,258))</x:f>
        <x:v>0</x:v>
      </x:c>
      <x:c r="AW808" s="22" t="n">
        <x:f>MAX(0,MIN('Activities'!L808,270)-MAX('Activities'!K808,264))</x:f>
        <x:v>0</x:v>
      </x:c>
      <x:c r="AX808" s="22" t="n">
        <x:f>MAX(0,MIN('Activities'!L808,276)-MAX('Activities'!K808,270))</x:f>
        <x:v>0</x:v>
      </x:c>
      <x:c r="AY808" s="22" t="n">
        <x:f>MAX(0,MIN('Activities'!L808,282)-MAX('Activities'!K808,276))</x:f>
        <x:v>0</x:v>
      </x:c>
      <x:c r="AZ808" s="22" t="n">
        <x:f>MAX(0,MIN('Activities'!L808,288)-MAX('Activities'!K808,282))</x:f>
        <x:v>0</x:v>
      </x:c>
      <x:c r="BA808" s="22" t="n">
        <x:f>MAX(0,MIN('Activities'!L808,294)-MAX('Activities'!K808,288))</x:f>
        <x:v>0</x:v>
      </x:c>
      <x:c r="BB808" s="22" t="n">
        <x:f>MAX(0,MIN('Activities'!L808,300)-MAX('Activities'!K808,294))</x:f>
        <x:v>0</x:v>
      </x:c>
      <x:c r="BC808" s="22" t="n">
        <x:f>MAX(0,MIN('Activities'!L808,306)-MAX('Activities'!K808,300))</x:f>
        <x:v>0</x:v>
      </x:c>
      <x:c r="BD808" s="22" t="n">
        <x:f>MAX(0,MIN('Activities'!L808,312)-MAX('Activities'!K808,306))</x:f>
        <x:v>0</x:v>
      </x:c>
      <x:c r="BE808" s="22" t="n">
        <x:f>MAX(0,MIN('Activities'!L808,318)-MAX('Activities'!K808,312))</x:f>
        <x:v>0</x:v>
      </x:c>
      <x:c r="BF808" s="22" t="n">
        <x:f>MAX(0,MIN('Activities'!L808,324)-MAX('Activities'!K808,318))</x:f>
        <x:v>0</x:v>
      </x:c>
      <x:c r="BG808" s="22" t="n">
        <x:f>MAX(0,MIN('Activities'!L808,330)-MAX('Activities'!K808,324))</x:f>
        <x:v>0</x:v>
      </x:c>
      <x:c r="BH808" s="22" t="n">
        <x:f>MAX(0,MIN('Activities'!L808,336)-MAX('Activities'!K808,330))</x:f>
        <x:v>0</x:v>
      </x:c>
      <x:c r="BI808" s="22" t="n">
        <x:f>MAX(0,MIN('Activities'!L808,342)-MAX('Activities'!K808,336))</x:f>
        <x:v>0</x:v>
      </x:c>
      <x:c r="BJ808" s="22" t="n">
        <x:f>MAX(0,MIN('Activities'!L808,348)-MAX('Activities'!K808,342))</x:f>
        <x:v>0</x:v>
      </x:c>
      <x:c r="BK808" s="22" t="n">
        <x:f>MAX(0,MIN('Activities'!L808,354)-MAX('Activities'!K808,348))</x:f>
        <x:v>0</x:v>
      </x:c>
      <x:c r="BL808" s="22" t="n">
        <x:f>MAX(0,MIN('Activities'!L808,360)-MAX('Activities'!K808,354))</x:f>
        <x:v>0</x:v>
      </x:c>
      <x:c r="BM808" s="22" t="n">
        <x:f>MAX(0,MIN('Activities'!L808,366)-MAX('Activities'!K808,360))</x:f>
        <x:v>0</x:v>
      </x:c>
      <x:c r="BN808" s="22" t="n">
        <x:f>MAX(0,MIN('Activities'!L808,372)-MAX('Activities'!K808,366))</x:f>
        <x:v>0</x:v>
      </x:c>
      <x:c r="BO808" s="22" t="n">
        <x:f>MAX(0,MIN('Activities'!L808,378)-MAX('Activities'!K808,372))</x:f>
        <x:v>0</x:v>
      </x:c>
      <x:c r="BP808" s="22" t="n">
        <x:f>MAX(0,MIN('Activities'!L808,384)-MAX('Activities'!K808,378))</x:f>
        <x:v>0</x:v>
      </x:c>
      <x:c r="BQ808" s="22" t="n">
        <x:f>MAX(0,MIN('Activities'!L808,390)-MAX('Activities'!K808,384))</x:f>
        <x:v>0</x:v>
      </x:c>
      <x:c r="BR808" s="22" t="n">
        <x:f>MAX(0,MIN('Activities'!L808,396)-MAX('Activities'!K808,390))</x:f>
        <x:v>0</x:v>
      </x:c>
      <x:c r="BS808" s="22" t="n">
        <x:f>MAX(0,MIN('Activities'!L808,402)-MAX('Activities'!K808,396))</x:f>
        <x:v>0</x:v>
      </x:c>
      <x:c r="BT808" s="22" t="n">
        <x:f>MAX(0,MIN('Activities'!L808,408)-MAX('Activities'!K808,402))</x:f>
        <x:v>0</x:v>
      </x:c>
      <x:c r="BU808" s="22" t="n">
        <x:f>MAX(0,MIN('Activities'!L808,414)-MAX('Activities'!K808,408))</x:f>
        <x:v>0</x:v>
      </x:c>
      <x:c r="BV808" s="22" t="n">
        <x:f>MAX(0,MIN('Activities'!L808,420)-MAX('Activities'!K808,414))</x:f>
        <x:v>0</x:v>
      </x:c>
      <x:c r="BW808" s="22" t="n">
        <x:f>MAX(0,MIN('Activities'!L808,426)-MAX('Activities'!K808,420))</x:f>
        <x:v>0</x:v>
      </x:c>
      <x:c r="BX808" s="22" t="n">
        <x:f>MAX(0,MIN('Activities'!L808,432)-MAX('Activities'!K808,426))</x:f>
        <x:v>0</x:v>
      </x:c>
      <x:c r="BY808" s="22" t="n">
        <x:f>MAX(0,MIN('Activities'!L808,438)-MAX('Activities'!K808,432))</x:f>
        <x:v>5</x:v>
      </x:c>
      <x:c r="BZ808" s="22" t="n">
        <x:f>MAX(0,MIN('Activities'!L808,444)-MAX('Activities'!K808,438))</x:f>
        <x:v>0</x:v>
      </x:c>
      <x:c r="CA808" s="22" t="n">
        <x:f>MAX(0,MIN('Activities'!L808,450)-MAX('Activities'!K808,444))</x:f>
        <x:v>0</x:v>
      </x:c>
      <x:c r="CB808" s="22" t="n">
        <x:f>MAX(0,MIN('Activities'!L808,456)-MAX('Activities'!K808,450))</x:f>
        <x:v>0</x:v>
      </x:c>
      <x:c r="CC808" s="22" t="n">
        <x:f>MAX(0,MIN('Activities'!L808,462)-MAX('Activities'!K808,456))</x:f>
        <x:v>0</x:v>
      </x:c>
      <x:c r="CD808" s="22" t="n">
        <x:f>MAX(0,MIN('Activities'!L808,468)-MAX('Activities'!K808,462))</x:f>
        <x:v>0</x:v>
      </x:c>
      <x:c r="CE808" s="22" t="n">
        <x:f>MAX(0,MIN('Activities'!L808,474)-MAX('Activities'!K808,468))</x:f>
        <x:v>0</x:v>
      </x:c>
      <x:c r="CF808" s="22" t="n">
        <x:f>MAX(0,MIN('Activities'!L808,480)-MAX('Activities'!K808,474))</x:f>
        <x:v>0</x:v>
      </x:c>
      <x:c r="CG808" s="22" t="n">
        <x:f>MAX(0,MIN('Activities'!L808,486)-MAX('Activities'!K808,480))</x:f>
        <x:v>0</x:v>
      </x:c>
      <x:c r="CH808" s="22" t="n">
        <x:f>MAX(0,MIN('Activities'!L808,492)-MAX('Activities'!K808,486))</x:f>
        <x:v>0</x:v>
      </x:c>
      <x:c r="CI808" s="22" t="n">
        <x:f>MAX(0,MIN('Activities'!L808,498)-MAX('Activities'!K808,492))</x:f>
        <x:v>0</x:v>
      </x:c>
      <x:c r="CJ808" s="22" t="n">
        <x:f>MAX(0,MIN('Activities'!L808,504)-MAX('Activities'!K808,498))</x:f>
        <x:v>0</x:v>
      </x:c>
      <x:c r="CK808" s="22" t="n">
        <x:f>MAX(0,MIN('Activities'!L808,510)-MAX('Activities'!K808,504))</x:f>
        <x:v>0</x:v>
      </x:c>
      <x:c r="CL808" s="22" t="n">
        <x:f>MAX(0,MIN('Activities'!L808,516)-MAX('Activities'!K808,510))</x:f>
        <x:v>0</x:v>
      </x:c>
      <x:c r="CM808" s="22" t="n">
        <x:f>MAX(0,MIN('Activities'!L808,522)-MAX('Activities'!K808,516))</x:f>
        <x:v>0</x:v>
      </x:c>
      <x:c r="CN808" s="22" t="n">
        <x:f>MAX(0,MIN('Activities'!L808,528)-MAX('Activities'!K808,522))</x:f>
        <x:v>0</x:v>
      </x:c>
      <x:c r="CO808" s="22" t="n">
        <x:f>MAX(0,MIN('Activities'!L808,534)-MAX('Activities'!K808,528))</x:f>
        <x:v>0</x:v>
      </x:c>
      <x:c r="CP808" s="22" t="n">
        <x:f>MAX(0,MIN('Activities'!L808,540)-MAX('Activities'!K808,534))</x:f>
        <x:v>0</x:v>
      </x:c>
      <x:c r="CQ808" s="22" t="n">
        <x:f>MAX(0,MIN('Activities'!L808,546)-MAX('Activities'!K808,540))</x:f>
        <x:v>0</x:v>
      </x:c>
      <x:c r="CR808" s="22" t="n">
        <x:f>MAX(0,MIN('Activities'!L808,552)-MAX('Activities'!K808,546))</x:f>
        <x:v>0</x:v>
      </x:c>
      <x:c r="CS808" s="22" t="n">
        <x:f>MAX(0,MIN('Activities'!L808,558)-MAX('Activities'!K808,552))</x:f>
        <x:v>0</x:v>
      </x:c>
      <x:c r="CT808" s="22" t="n">
        <x:f>MAX(0,MIN('Activities'!L808,564)-MAX('Activities'!K808,558))</x:f>
        <x:v>0</x:v>
      </x:c>
      <x:c r="CU808" s="22" t="n">
        <x:f>MAX(0,MIN('Activities'!L808,570)-MAX('Activities'!K808,564))</x:f>
        <x:v>0</x:v>
      </x:c>
      <x:c r="CV808" s="22" t="n">
        <x:f>MAX(0,MIN('Activities'!L808,576)-MAX('Activities'!K808,570))</x:f>
        <x:v>0</x:v>
      </x:c>
      <x:c r="CW808" s="22" t="n">
        <x:f>MAX(0,MIN('Activities'!L808,582)-MAX('Activities'!K808,576))</x:f>
        <x:v>0</x:v>
      </x:c>
      <x:c r="CX808" s="22" t="n">
        <x:f>MAX(0,MIN('Activities'!L808,588)-MAX('Activities'!K808,582))</x:f>
        <x:v>0</x:v>
      </x:c>
      <x:c r="CY808" s="22" t="n">
        <x:f>MAX(0,MIN('Activities'!L808,594)-MAX('Activities'!K808,588))</x:f>
        <x:v>0</x:v>
      </x:c>
      <x:c r="CZ808" s="22" t="n">
        <x:f>MAX(0,MIN('Activities'!L808,600)-MAX('Activities'!K808,594))</x:f>
        <x:v>0</x:v>
      </x:c>
      <x:c r="DA808" s="22" t="n">
        <x:f>MAX(0,MIN('Activities'!L808,606)-MAX('Activities'!K808,600))</x:f>
        <x:v>0</x:v>
      </x:c>
      <x:c r="DB808" s="22" t="n">
        <x:f>MAX(0,MIN('Activities'!L808,612)-MAX('Activities'!K808,606))</x:f>
        <x:v>0</x:v>
      </x:c>
      <x:c r="DC808" s="22" t="n">
        <x:f>MAX(0,MIN('Activities'!L808,618)-MAX('Activities'!K808,612))</x:f>
        <x:v>0</x:v>
      </x:c>
      <x:c r="DD808" s="22" t="n">
        <x:f>MAX(0,MIN('Activities'!L808,624)-MAX('Activities'!K808,618))</x:f>
        <x:v>0</x:v>
      </x:c>
      <x:c r="DE808" s="22" t="n">
        <x:f>MAX(0,MIN('Activities'!L808,630)-MAX('Activities'!K808,624))</x:f>
        <x:v>0</x:v>
      </x:c>
      <x:c r="DF808" s="22" t="n">
        <x:f>MAX(0,MIN('Activities'!L808,636)-MAX('Activities'!K808,630))</x:f>
        <x:v>0</x:v>
      </x:c>
    </x:row>
    <x:row r="809" ht="23" customHeight="1">
      <x:c r="A809" s="1" t="str">
        <x:v>T6-L12-P</x:v>
      </x:c>
      <x:c r="B809" s="1" t="str">
        <x:v>T6</x:v>
      </x:c>
      <x:c r="C809" s="1" t="str">
        <x:v>Internal plaster</x:v>
      </x:c>
      <x:c r="D809" s="1" t="str">
        <x:v>Finishes</x:v>
      </x:c>
      <x:c r="E809" s="23" t="n">
        <x:f>MAX(0,MIN('Activities'!L809,6)-MAX('Activities'!K809,0))</x:f>
        <x:v>0</x:v>
      </x:c>
      <x:c r="F809" s="23" t="n">
        <x:f>MAX(0,MIN('Activities'!L809,12)-MAX('Activities'!K809,6))</x:f>
        <x:v>0</x:v>
      </x:c>
      <x:c r="G809" s="23" t="n">
        <x:f>MAX(0,MIN('Activities'!L809,18)-MAX('Activities'!K809,12))</x:f>
        <x:v>0</x:v>
      </x:c>
      <x:c r="H809" s="23" t="n">
        <x:f>MAX(0,MIN('Activities'!L809,24)-MAX('Activities'!K809,18))</x:f>
        <x:v>0</x:v>
      </x:c>
      <x:c r="I809" s="23" t="n">
        <x:f>MAX(0,MIN('Activities'!L809,30)-MAX('Activities'!K809,24))</x:f>
        <x:v>0</x:v>
      </x:c>
      <x:c r="J809" s="23" t="n">
        <x:f>MAX(0,MIN('Activities'!L809,36)-MAX('Activities'!K809,30))</x:f>
        <x:v>0</x:v>
      </x:c>
      <x:c r="K809" s="23" t="n">
        <x:f>MAX(0,MIN('Activities'!L809,42)-MAX('Activities'!K809,36))</x:f>
        <x:v>0</x:v>
      </x:c>
      <x:c r="L809" s="23" t="n">
        <x:f>MAX(0,MIN('Activities'!L809,48)-MAX('Activities'!K809,42))</x:f>
        <x:v>0</x:v>
      </x:c>
      <x:c r="M809" s="23" t="n">
        <x:f>MAX(0,MIN('Activities'!L809,54)-MAX('Activities'!K809,48))</x:f>
        <x:v>0</x:v>
      </x:c>
      <x:c r="N809" s="23" t="n">
        <x:f>MAX(0,MIN('Activities'!L809,60)-MAX('Activities'!K809,54))</x:f>
        <x:v>0</x:v>
      </x:c>
      <x:c r="O809" s="23" t="n">
        <x:f>MAX(0,MIN('Activities'!L809,66)-MAX('Activities'!K809,60))</x:f>
        <x:v>0</x:v>
      </x:c>
      <x:c r="P809" s="23" t="n">
        <x:f>MAX(0,MIN('Activities'!L809,72)-MAX('Activities'!K809,66))</x:f>
        <x:v>0</x:v>
      </x:c>
      <x:c r="Q809" s="23" t="n">
        <x:f>MAX(0,MIN('Activities'!L809,78)-MAX('Activities'!K809,72))</x:f>
        <x:v>0</x:v>
      </x:c>
      <x:c r="R809" s="23" t="n">
        <x:f>MAX(0,MIN('Activities'!L809,84)-MAX('Activities'!K809,78))</x:f>
        <x:v>0</x:v>
      </x:c>
      <x:c r="S809" s="23" t="n">
        <x:f>MAX(0,MIN('Activities'!L809,90)-MAX('Activities'!K809,84))</x:f>
        <x:v>0</x:v>
      </x:c>
      <x:c r="T809" s="23" t="n">
        <x:f>MAX(0,MIN('Activities'!L809,96)-MAX('Activities'!K809,90))</x:f>
        <x:v>0</x:v>
      </x:c>
      <x:c r="U809" s="23" t="n">
        <x:f>MAX(0,MIN('Activities'!L809,102)-MAX('Activities'!K809,96))</x:f>
        <x:v>0</x:v>
      </x:c>
      <x:c r="V809" s="23" t="n">
        <x:f>MAX(0,MIN('Activities'!L809,108)-MAX('Activities'!K809,102))</x:f>
        <x:v>0</x:v>
      </x:c>
      <x:c r="W809" s="23" t="n">
        <x:f>MAX(0,MIN('Activities'!L809,114)-MAX('Activities'!K809,108))</x:f>
        <x:v>0</x:v>
      </x:c>
      <x:c r="X809" s="23" t="n">
        <x:f>MAX(0,MIN('Activities'!L809,120)-MAX('Activities'!K809,114))</x:f>
        <x:v>0</x:v>
      </x:c>
      <x:c r="Y809" s="23" t="n">
        <x:f>MAX(0,MIN('Activities'!L809,126)-MAX('Activities'!K809,120))</x:f>
        <x:v>0</x:v>
      </x:c>
      <x:c r="Z809" s="23" t="n">
        <x:f>MAX(0,MIN('Activities'!L809,132)-MAX('Activities'!K809,126))</x:f>
        <x:v>0</x:v>
      </x:c>
      <x:c r="AA809" s="23" t="n">
        <x:f>MAX(0,MIN('Activities'!L809,138)-MAX('Activities'!K809,132))</x:f>
        <x:v>0</x:v>
      </x:c>
      <x:c r="AB809" s="23" t="n">
        <x:f>MAX(0,MIN('Activities'!L809,144)-MAX('Activities'!K809,138))</x:f>
        <x:v>0</x:v>
      </x:c>
      <x:c r="AC809" s="23" t="n">
        <x:f>MAX(0,MIN('Activities'!L809,150)-MAX('Activities'!K809,144))</x:f>
        <x:v>0</x:v>
      </x:c>
      <x:c r="AD809" s="23" t="n">
        <x:f>MAX(0,MIN('Activities'!L809,156)-MAX('Activities'!K809,150))</x:f>
        <x:v>0</x:v>
      </x:c>
      <x:c r="AE809" s="23" t="n">
        <x:f>MAX(0,MIN('Activities'!L809,162)-MAX('Activities'!K809,156))</x:f>
        <x:v>0</x:v>
      </x:c>
      <x:c r="AF809" s="23" t="n">
        <x:f>MAX(0,MIN('Activities'!L809,168)-MAX('Activities'!K809,162))</x:f>
        <x:v>0</x:v>
      </x:c>
      <x:c r="AG809" s="23" t="n">
        <x:f>MAX(0,MIN('Activities'!L809,174)-MAX('Activities'!K809,168))</x:f>
        <x:v>0</x:v>
      </x:c>
      <x:c r="AH809" s="23" t="n">
        <x:f>MAX(0,MIN('Activities'!L809,180)-MAX('Activities'!K809,174))</x:f>
        <x:v>0</x:v>
      </x:c>
      <x:c r="AI809" s="23" t="n">
        <x:f>MAX(0,MIN('Activities'!L809,186)-MAX('Activities'!K809,180))</x:f>
        <x:v>0</x:v>
      </x:c>
      <x:c r="AJ809" s="23" t="n">
        <x:f>MAX(0,MIN('Activities'!L809,192)-MAX('Activities'!K809,186))</x:f>
        <x:v>0</x:v>
      </x:c>
      <x:c r="AK809" s="23" t="n">
        <x:f>MAX(0,MIN('Activities'!L809,198)-MAX('Activities'!K809,192))</x:f>
        <x:v>0</x:v>
      </x:c>
      <x:c r="AL809" s="23" t="n">
        <x:f>MAX(0,MIN('Activities'!L809,204)-MAX('Activities'!K809,198))</x:f>
        <x:v>0</x:v>
      </x:c>
      <x:c r="AM809" s="23" t="n">
        <x:f>MAX(0,MIN('Activities'!L809,210)-MAX('Activities'!K809,204))</x:f>
        <x:v>0</x:v>
      </x:c>
      <x:c r="AN809" s="23" t="n">
        <x:f>MAX(0,MIN('Activities'!L809,216)-MAX('Activities'!K809,210))</x:f>
        <x:v>0</x:v>
      </x:c>
      <x:c r="AO809" s="23" t="n">
        <x:f>MAX(0,MIN('Activities'!L809,222)-MAX('Activities'!K809,216))</x:f>
        <x:v>0</x:v>
      </x:c>
      <x:c r="AP809" s="23" t="n">
        <x:f>MAX(0,MIN('Activities'!L809,228)-MAX('Activities'!K809,222))</x:f>
        <x:v>0</x:v>
      </x:c>
      <x:c r="AQ809" s="23" t="n">
        <x:f>MAX(0,MIN('Activities'!L809,234)-MAX('Activities'!K809,228))</x:f>
        <x:v>0</x:v>
      </x:c>
      <x:c r="AR809" s="23" t="n">
        <x:f>MAX(0,MIN('Activities'!L809,240)-MAX('Activities'!K809,234))</x:f>
        <x:v>0</x:v>
      </x:c>
      <x:c r="AS809" s="23" t="n">
        <x:f>MAX(0,MIN('Activities'!L809,246)-MAX('Activities'!K809,240))</x:f>
        <x:v>0</x:v>
      </x:c>
      <x:c r="AT809" s="23" t="n">
        <x:f>MAX(0,MIN('Activities'!L809,252)-MAX('Activities'!K809,246))</x:f>
        <x:v>0</x:v>
      </x:c>
      <x:c r="AU809" s="23" t="n">
        <x:f>MAX(0,MIN('Activities'!L809,258)-MAX('Activities'!K809,252))</x:f>
        <x:v>0</x:v>
      </x:c>
      <x:c r="AV809" s="23" t="n">
        <x:f>MAX(0,MIN('Activities'!L809,264)-MAX('Activities'!K809,258))</x:f>
        <x:v>0</x:v>
      </x:c>
      <x:c r="AW809" s="23" t="n">
        <x:f>MAX(0,MIN('Activities'!L809,270)-MAX('Activities'!K809,264))</x:f>
        <x:v>0</x:v>
      </x:c>
      <x:c r="AX809" s="23" t="n">
        <x:f>MAX(0,MIN('Activities'!L809,276)-MAX('Activities'!K809,270))</x:f>
        <x:v>0</x:v>
      </x:c>
      <x:c r="AY809" s="23" t="n">
        <x:f>MAX(0,MIN('Activities'!L809,282)-MAX('Activities'!K809,276))</x:f>
        <x:v>0</x:v>
      </x:c>
      <x:c r="AZ809" s="23" t="n">
        <x:f>MAX(0,MIN('Activities'!L809,288)-MAX('Activities'!K809,282))</x:f>
        <x:v>0</x:v>
      </x:c>
      <x:c r="BA809" s="23" t="n">
        <x:f>MAX(0,MIN('Activities'!L809,294)-MAX('Activities'!K809,288))</x:f>
        <x:v>0</x:v>
      </x:c>
      <x:c r="BB809" s="23" t="n">
        <x:f>MAX(0,MIN('Activities'!L809,300)-MAX('Activities'!K809,294))</x:f>
        <x:v>0</x:v>
      </x:c>
      <x:c r="BC809" s="23" t="n">
        <x:f>MAX(0,MIN('Activities'!L809,306)-MAX('Activities'!K809,300))</x:f>
        <x:v>0</x:v>
      </x:c>
      <x:c r="BD809" s="23" t="n">
        <x:f>MAX(0,MIN('Activities'!L809,312)-MAX('Activities'!K809,306))</x:f>
        <x:v>0</x:v>
      </x:c>
      <x:c r="BE809" s="23" t="n">
        <x:f>MAX(0,MIN('Activities'!L809,318)-MAX('Activities'!K809,312))</x:f>
        <x:v>0</x:v>
      </x:c>
      <x:c r="BF809" s="23" t="n">
        <x:f>MAX(0,MIN('Activities'!L809,324)-MAX('Activities'!K809,318))</x:f>
        <x:v>0</x:v>
      </x:c>
      <x:c r="BG809" s="23" t="n">
        <x:f>MAX(0,MIN('Activities'!L809,330)-MAX('Activities'!K809,324))</x:f>
        <x:v>0</x:v>
      </x:c>
      <x:c r="BH809" s="23" t="n">
        <x:f>MAX(0,MIN('Activities'!L809,336)-MAX('Activities'!K809,330))</x:f>
        <x:v>0</x:v>
      </x:c>
      <x:c r="BI809" s="23" t="n">
        <x:f>MAX(0,MIN('Activities'!L809,342)-MAX('Activities'!K809,336))</x:f>
        <x:v>0</x:v>
      </x:c>
      <x:c r="BJ809" s="23" t="n">
        <x:f>MAX(0,MIN('Activities'!L809,348)-MAX('Activities'!K809,342))</x:f>
        <x:v>0</x:v>
      </x:c>
      <x:c r="BK809" s="23" t="n">
        <x:f>MAX(0,MIN('Activities'!L809,354)-MAX('Activities'!K809,348))</x:f>
        <x:v>0</x:v>
      </x:c>
      <x:c r="BL809" s="23" t="n">
        <x:f>MAX(0,MIN('Activities'!L809,360)-MAX('Activities'!K809,354))</x:f>
        <x:v>0</x:v>
      </x:c>
      <x:c r="BM809" s="23" t="n">
        <x:f>MAX(0,MIN('Activities'!L809,366)-MAX('Activities'!K809,360))</x:f>
        <x:v>0</x:v>
      </x:c>
      <x:c r="BN809" s="23" t="n">
        <x:f>MAX(0,MIN('Activities'!L809,372)-MAX('Activities'!K809,366))</x:f>
        <x:v>0</x:v>
      </x:c>
      <x:c r="BO809" s="23" t="n">
        <x:f>MAX(0,MIN('Activities'!L809,378)-MAX('Activities'!K809,372))</x:f>
        <x:v>0</x:v>
      </x:c>
      <x:c r="BP809" s="23" t="n">
        <x:f>MAX(0,MIN('Activities'!L809,384)-MAX('Activities'!K809,378))</x:f>
        <x:v>0</x:v>
      </x:c>
      <x:c r="BQ809" s="23" t="n">
        <x:f>MAX(0,MIN('Activities'!L809,390)-MAX('Activities'!K809,384))</x:f>
        <x:v>0</x:v>
      </x:c>
      <x:c r="BR809" s="23" t="n">
        <x:f>MAX(0,MIN('Activities'!L809,396)-MAX('Activities'!K809,390))</x:f>
        <x:v>0</x:v>
      </x:c>
      <x:c r="BS809" s="23" t="n">
        <x:f>MAX(0,MIN('Activities'!L809,402)-MAX('Activities'!K809,396))</x:f>
        <x:v>0</x:v>
      </x:c>
      <x:c r="BT809" s="23" t="n">
        <x:f>MAX(0,MIN('Activities'!L809,408)-MAX('Activities'!K809,402))</x:f>
        <x:v>0</x:v>
      </x:c>
      <x:c r="BU809" s="23" t="n">
        <x:f>MAX(0,MIN('Activities'!L809,414)-MAX('Activities'!K809,408))</x:f>
        <x:v>0</x:v>
      </x:c>
      <x:c r="BV809" s="23" t="n">
        <x:f>MAX(0,MIN('Activities'!L809,420)-MAX('Activities'!K809,414))</x:f>
        <x:v>0</x:v>
      </x:c>
      <x:c r="BW809" s="23" t="n">
        <x:f>MAX(0,MIN('Activities'!L809,426)-MAX('Activities'!K809,420))</x:f>
        <x:v>0</x:v>
      </x:c>
      <x:c r="BX809" s="23" t="n">
        <x:f>MAX(0,MIN('Activities'!L809,432)-MAX('Activities'!K809,426))</x:f>
        <x:v>0</x:v>
      </x:c>
      <x:c r="BY809" s="23" t="n">
        <x:f>MAX(0,MIN('Activities'!L809,438)-MAX('Activities'!K809,432))</x:f>
        <x:v>0</x:v>
      </x:c>
      <x:c r="BZ809" s="23" t="n">
        <x:f>MAX(0,MIN('Activities'!L809,444)-MAX('Activities'!K809,438))</x:f>
        <x:v>3</x:v>
      </x:c>
      <x:c r="CA809" s="23" t="n">
        <x:f>MAX(0,MIN('Activities'!L809,450)-MAX('Activities'!K809,444))</x:f>
        <x:v>3</x:v>
      </x:c>
      <x:c r="CB809" s="23" t="n">
        <x:f>MAX(0,MIN('Activities'!L809,456)-MAX('Activities'!K809,450))</x:f>
        <x:v>0</x:v>
      </x:c>
      <x:c r="CC809" s="23" t="n">
        <x:f>MAX(0,MIN('Activities'!L809,462)-MAX('Activities'!K809,456))</x:f>
        <x:v>0</x:v>
      </x:c>
      <x:c r="CD809" s="23" t="n">
        <x:f>MAX(0,MIN('Activities'!L809,468)-MAX('Activities'!K809,462))</x:f>
        <x:v>0</x:v>
      </x:c>
      <x:c r="CE809" s="23" t="n">
        <x:f>MAX(0,MIN('Activities'!L809,474)-MAX('Activities'!K809,468))</x:f>
        <x:v>0</x:v>
      </x:c>
      <x:c r="CF809" s="23" t="n">
        <x:f>MAX(0,MIN('Activities'!L809,480)-MAX('Activities'!K809,474))</x:f>
        <x:v>0</x:v>
      </x:c>
      <x:c r="CG809" s="23" t="n">
        <x:f>MAX(0,MIN('Activities'!L809,486)-MAX('Activities'!K809,480))</x:f>
        <x:v>0</x:v>
      </x:c>
      <x:c r="CH809" s="23" t="n">
        <x:f>MAX(0,MIN('Activities'!L809,492)-MAX('Activities'!K809,486))</x:f>
        <x:v>0</x:v>
      </x:c>
      <x:c r="CI809" s="23" t="n">
        <x:f>MAX(0,MIN('Activities'!L809,498)-MAX('Activities'!K809,492))</x:f>
        <x:v>0</x:v>
      </x:c>
      <x:c r="CJ809" s="23" t="n">
        <x:f>MAX(0,MIN('Activities'!L809,504)-MAX('Activities'!K809,498))</x:f>
        <x:v>0</x:v>
      </x:c>
      <x:c r="CK809" s="23" t="n">
        <x:f>MAX(0,MIN('Activities'!L809,510)-MAX('Activities'!K809,504))</x:f>
        <x:v>0</x:v>
      </x:c>
      <x:c r="CL809" s="23" t="n">
        <x:f>MAX(0,MIN('Activities'!L809,516)-MAX('Activities'!K809,510))</x:f>
        <x:v>0</x:v>
      </x:c>
      <x:c r="CM809" s="23" t="n">
        <x:f>MAX(0,MIN('Activities'!L809,522)-MAX('Activities'!K809,516))</x:f>
        <x:v>0</x:v>
      </x:c>
      <x:c r="CN809" s="23" t="n">
        <x:f>MAX(0,MIN('Activities'!L809,528)-MAX('Activities'!K809,522))</x:f>
        <x:v>0</x:v>
      </x:c>
      <x:c r="CO809" s="23" t="n">
        <x:f>MAX(0,MIN('Activities'!L809,534)-MAX('Activities'!K809,528))</x:f>
        <x:v>0</x:v>
      </x:c>
      <x:c r="CP809" s="23" t="n">
        <x:f>MAX(0,MIN('Activities'!L809,540)-MAX('Activities'!K809,534))</x:f>
        <x:v>0</x:v>
      </x:c>
      <x:c r="CQ809" s="23" t="n">
        <x:f>MAX(0,MIN('Activities'!L809,546)-MAX('Activities'!K809,540))</x:f>
        <x:v>0</x:v>
      </x:c>
      <x:c r="CR809" s="23" t="n">
        <x:f>MAX(0,MIN('Activities'!L809,552)-MAX('Activities'!K809,546))</x:f>
        <x:v>0</x:v>
      </x:c>
      <x:c r="CS809" s="23" t="n">
        <x:f>MAX(0,MIN('Activities'!L809,558)-MAX('Activities'!K809,552))</x:f>
        <x:v>0</x:v>
      </x:c>
      <x:c r="CT809" s="23" t="n">
        <x:f>MAX(0,MIN('Activities'!L809,564)-MAX('Activities'!K809,558))</x:f>
        <x:v>0</x:v>
      </x:c>
      <x:c r="CU809" s="23" t="n">
        <x:f>MAX(0,MIN('Activities'!L809,570)-MAX('Activities'!K809,564))</x:f>
        <x:v>0</x:v>
      </x:c>
      <x:c r="CV809" s="23" t="n">
        <x:f>MAX(0,MIN('Activities'!L809,576)-MAX('Activities'!K809,570))</x:f>
        <x:v>0</x:v>
      </x:c>
      <x:c r="CW809" s="23" t="n">
        <x:f>MAX(0,MIN('Activities'!L809,582)-MAX('Activities'!K809,576))</x:f>
        <x:v>0</x:v>
      </x:c>
      <x:c r="CX809" s="23" t="n">
        <x:f>MAX(0,MIN('Activities'!L809,588)-MAX('Activities'!K809,582))</x:f>
        <x:v>0</x:v>
      </x:c>
      <x:c r="CY809" s="23" t="n">
        <x:f>MAX(0,MIN('Activities'!L809,594)-MAX('Activities'!K809,588))</x:f>
        <x:v>0</x:v>
      </x:c>
      <x:c r="CZ809" s="23" t="n">
        <x:f>MAX(0,MIN('Activities'!L809,600)-MAX('Activities'!K809,594))</x:f>
        <x:v>0</x:v>
      </x:c>
      <x:c r="DA809" s="23" t="n">
        <x:f>MAX(0,MIN('Activities'!L809,606)-MAX('Activities'!K809,600))</x:f>
        <x:v>0</x:v>
      </x:c>
      <x:c r="DB809" s="23" t="n">
        <x:f>MAX(0,MIN('Activities'!L809,612)-MAX('Activities'!K809,606))</x:f>
        <x:v>0</x:v>
      </x:c>
      <x:c r="DC809" s="23" t="n">
        <x:f>MAX(0,MIN('Activities'!L809,618)-MAX('Activities'!K809,612))</x:f>
        <x:v>0</x:v>
      </x:c>
      <x:c r="DD809" s="23" t="n">
        <x:f>MAX(0,MIN('Activities'!L809,624)-MAX('Activities'!K809,618))</x:f>
        <x:v>0</x:v>
      </x:c>
      <x:c r="DE809" s="23" t="n">
        <x:f>MAX(0,MIN('Activities'!L809,630)-MAX('Activities'!K809,624))</x:f>
        <x:v>0</x:v>
      </x:c>
      <x:c r="DF809" s="23" t="n">
        <x:f>MAX(0,MIN('Activities'!L809,636)-MAX('Activities'!K809,630))</x:f>
        <x:v>0</x:v>
      </x:c>
    </x:row>
    <x:row r="810" ht="23" customHeight="1">
      <x:c r="A810" s="6" t="str">
        <x:v>T6-L12-S</x:v>
      </x:c>
      <x:c r="B810" s="6" t="str">
        <x:v>T6</x:v>
      </x:c>
      <x:c r="C810" s="6" t="str">
        <x:v>Screed and substrate preparation</x:v>
      </x:c>
      <x:c r="D810" s="6" t="str">
        <x:v>Finishes</x:v>
      </x:c>
      <x:c r="E810" s="22" t="n">
        <x:f>MAX(0,MIN('Activities'!L810,6)-MAX('Activities'!K810,0))</x:f>
        <x:v>0</x:v>
      </x:c>
      <x:c r="F810" s="22" t="n">
        <x:f>MAX(0,MIN('Activities'!L810,12)-MAX('Activities'!K810,6))</x:f>
        <x:v>0</x:v>
      </x:c>
      <x:c r="G810" s="22" t="n">
        <x:f>MAX(0,MIN('Activities'!L810,18)-MAX('Activities'!K810,12))</x:f>
        <x:v>0</x:v>
      </x:c>
      <x:c r="H810" s="22" t="n">
        <x:f>MAX(0,MIN('Activities'!L810,24)-MAX('Activities'!K810,18))</x:f>
        <x:v>0</x:v>
      </x:c>
      <x:c r="I810" s="22" t="n">
        <x:f>MAX(0,MIN('Activities'!L810,30)-MAX('Activities'!K810,24))</x:f>
        <x:v>0</x:v>
      </x:c>
      <x:c r="J810" s="22" t="n">
        <x:f>MAX(0,MIN('Activities'!L810,36)-MAX('Activities'!K810,30))</x:f>
        <x:v>0</x:v>
      </x:c>
      <x:c r="K810" s="22" t="n">
        <x:f>MAX(0,MIN('Activities'!L810,42)-MAX('Activities'!K810,36))</x:f>
        <x:v>0</x:v>
      </x:c>
      <x:c r="L810" s="22" t="n">
        <x:f>MAX(0,MIN('Activities'!L810,48)-MAX('Activities'!K810,42))</x:f>
        <x:v>0</x:v>
      </x:c>
      <x:c r="M810" s="22" t="n">
        <x:f>MAX(0,MIN('Activities'!L810,54)-MAX('Activities'!K810,48))</x:f>
        <x:v>0</x:v>
      </x:c>
      <x:c r="N810" s="22" t="n">
        <x:f>MAX(0,MIN('Activities'!L810,60)-MAX('Activities'!K810,54))</x:f>
        <x:v>0</x:v>
      </x:c>
      <x:c r="O810" s="22" t="n">
        <x:f>MAX(0,MIN('Activities'!L810,66)-MAX('Activities'!K810,60))</x:f>
        <x:v>0</x:v>
      </x:c>
      <x:c r="P810" s="22" t="n">
        <x:f>MAX(0,MIN('Activities'!L810,72)-MAX('Activities'!K810,66))</x:f>
        <x:v>0</x:v>
      </x:c>
      <x:c r="Q810" s="22" t="n">
        <x:f>MAX(0,MIN('Activities'!L810,78)-MAX('Activities'!K810,72))</x:f>
        <x:v>0</x:v>
      </x:c>
      <x:c r="R810" s="22" t="n">
        <x:f>MAX(0,MIN('Activities'!L810,84)-MAX('Activities'!K810,78))</x:f>
        <x:v>0</x:v>
      </x:c>
      <x:c r="S810" s="22" t="n">
        <x:f>MAX(0,MIN('Activities'!L810,90)-MAX('Activities'!K810,84))</x:f>
        <x:v>0</x:v>
      </x:c>
      <x:c r="T810" s="22" t="n">
        <x:f>MAX(0,MIN('Activities'!L810,96)-MAX('Activities'!K810,90))</x:f>
        <x:v>0</x:v>
      </x:c>
      <x:c r="U810" s="22" t="n">
        <x:f>MAX(0,MIN('Activities'!L810,102)-MAX('Activities'!K810,96))</x:f>
        <x:v>0</x:v>
      </x:c>
      <x:c r="V810" s="22" t="n">
        <x:f>MAX(0,MIN('Activities'!L810,108)-MAX('Activities'!K810,102))</x:f>
        <x:v>0</x:v>
      </x:c>
      <x:c r="W810" s="22" t="n">
        <x:f>MAX(0,MIN('Activities'!L810,114)-MAX('Activities'!K810,108))</x:f>
        <x:v>0</x:v>
      </x:c>
      <x:c r="X810" s="22" t="n">
        <x:f>MAX(0,MIN('Activities'!L810,120)-MAX('Activities'!K810,114))</x:f>
        <x:v>0</x:v>
      </x:c>
      <x:c r="Y810" s="22" t="n">
        <x:f>MAX(0,MIN('Activities'!L810,126)-MAX('Activities'!K810,120))</x:f>
        <x:v>0</x:v>
      </x:c>
      <x:c r="Z810" s="22" t="n">
        <x:f>MAX(0,MIN('Activities'!L810,132)-MAX('Activities'!K810,126))</x:f>
        <x:v>0</x:v>
      </x:c>
      <x:c r="AA810" s="22" t="n">
        <x:f>MAX(0,MIN('Activities'!L810,138)-MAX('Activities'!K810,132))</x:f>
        <x:v>0</x:v>
      </x:c>
      <x:c r="AB810" s="22" t="n">
        <x:f>MAX(0,MIN('Activities'!L810,144)-MAX('Activities'!K810,138))</x:f>
        <x:v>0</x:v>
      </x:c>
      <x:c r="AC810" s="22" t="n">
        <x:f>MAX(0,MIN('Activities'!L810,150)-MAX('Activities'!K810,144))</x:f>
        <x:v>0</x:v>
      </x:c>
      <x:c r="AD810" s="22" t="n">
        <x:f>MAX(0,MIN('Activities'!L810,156)-MAX('Activities'!K810,150))</x:f>
        <x:v>0</x:v>
      </x:c>
      <x:c r="AE810" s="22" t="n">
        <x:f>MAX(0,MIN('Activities'!L810,162)-MAX('Activities'!K810,156))</x:f>
        <x:v>0</x:v>
      </x:c>
      <x:c r="AF810" s="22" t="n">
        <x:f>MAX(0,MIN('Activities'!L810,168)-MAX('Activities'!K810,162))</x:f>
        <x:v>0</x:v>
      </x:c>
      <x:c r="AG810" s="22" t="n">
        <x:f>MAX(0,MIN('Activities'!L810,174)-MAX('Activities'!K810,168))</x:f>
        <x:v>0</x:v>
      </x:c>
      <x:c r="AH810" s="22" t="n">
        <x:f>MAX(0,MIN('Activities'!L810,180)-MAX('Activities'!K810,174))</x:f>
        <x:v>0</x:v>
      </x:c>
      <x:c r="AI810" s="22" t="n">
        <x:f>MAX(0,MIN('Activities'!L810,186)-MAX('Activities'!K810,180))</x:f>
        <x:v>0</x:v>
      </x:c>
      <x:c r="AJ810" s="22" t="n">
        <x:f>MAX(0,MIN('Activities'!L810,192)-MAX('Activities'!K810,186))</x:f>
        <x:v>0</x:v>
      </x:c>
      <x:c r="AK810" s="22" t="n">
        <x:f>MAX(0,MIN('Activities'!L810,198)-MAX('Activities'!K810,192))</x:f>
        <x:v>0</x:v>
      </x:c>
      <x:c r="AL810" s="22" t="n">
        <x:f>MAX(0,MIN('Activities'!L810,204)-MAX('Activities'!K810,198))</x:f>
        <x:v>0</x:v>
      </x:c>
      <x:c r="AM810" s="22" t="n">
        <x:f>MAX(0,MIN('Activities'!L810,210)-MAX('Activities'!K810,204))</x:f>
        <x:v>0</x:v>
      </x:c>
      <x:c r="AN810" s="22" t="n">
        <x:f>MAX(0,MIN('Activities'!L810,216)-MAX('Activities'!K810,210))</x:f>
        <x:v>0</x:v>
      </x:c>
      <x:c r="AO810" s="22" t="n">
        <x:f>MAX(0,MIN('Activities'!L810,222)-MAX('Activities'!K810,216))</x:f>
        <x:v>0</x:v>
      </x:c>
      <x:c r="AP810" s="22" t="n">
        <x:f>MAX(0,MIN('Activities'!L810,228)-MAX('Activities'!K810,222))</x:f>
        <x:v>0</x:v>
      </x:c>
      <x:c r="AQ810" s="22" t="n">
        <x:f>MAX(0,MIN('Activities'!L810,234)-MAX('Activities'!K810,228))</x:f>
        <x:v>0</x:v>
      </x:c>
      <x:c r="AR810" s="22" t="n">
        <x:f>MAX(0,MIN('Activities'!L810,240)-MAX('Activities'!K810,234))</x:f>
        <x:v>0</x:v>
      </x:c>
      <x:c r="AS810" s="22" t="n">
        <x:f>MAX(0,MIN('Activities'!L810,246)-MAX('Activities'!K810,240))</x:f>
        <x:v>0</x:v>
      </x:c>
      <x:c r="AT810" s="22" t="n">
        <x:f>MAX(0,MIN('Activities'!L810,252)-MAX('Activities'!K810,246))</x:f>
        <x:v>0</x:v>
      </x:c>
      <x:c r="AU810" s="22" t="n">
        <x:f>MAX(0,MIN('Activities'!L810,258)-MAX('Activities'!K810,252))</x:f>
        <x:v>0</x:v>
      </x:c>
      <x:c r="AV810" s="22" t="n">
        <x:f>MAX(0,MIN('Activities'!L810,264)-MAX('Activities'!K810,258))</x:f>
        <x:v>0</x:v>
      </x:c>
      <x:c r="AW810" s="22" t="n">
        <x:f>MAX(0,MIN('Activities'!L810,270)-MAX('Activities'!K810,264))</x:f>
        <x:v>0</x:v>
      </x:c>
      <x:c r="AX810" s="22" t="n">
        <x:f>MAX(0,MIN('Activities'!L810,276)-MAX('Activities'!K810,270))</x:f>
        <x:v>0</x:v>
      </x:c>
      <x:c r="AY810" s="22" t="n">
        <x:f>MAX(0,MIN('Activities'!L810,282)-MAX('Activities'!K810,276))</x:f>
        <x:v>0</x:v>
      </x:c>
      <x:c r="AZ810" s="22" t="n">
        <x:f>MAX(0,MIN('Activities'!L810,288)-MAX('Activities'!K810,282))</x:f>
        <x:v>0</x:v>
      </x:c>
      <x:c r="BA810" s="22" t="n">
        <x:f>MAX(0,MIN('Activities'!L810,294)-MAX('Activities'!K810,288))</x:f>
        <x:v>0</x:v>
      </x:c>
      <x:c r="BB810" s="22" t="n">
        <x:f>MAX(0,MIN('Activities'!L810,300)-MAX('Activities'!K810,294))</x:f>
        <x:v>0</x:v>
      </x:c>
      <x:c r="BC810" s="22" t="n">
        <x:f>MAX(0,MIN('Activities'!L810,306)-MAX('Activities'!K810,300))</x:f>
        <x:v>0</x:v>
      </x:c>
      <x:c r="BD810" s="22" t="n">
        <x:f>MAX(0,MIN('Activities'!L810,312)-MAX('Activities'!K810,306))</x:f>
        <x:v>0</x:v>
      </x:c>
      <x:c r="BE810" s="22" t="n">
        <x:f>MAX(0,MIN('Activities'!L810,318)-MAX('Activities'!K810,312))</x:f>
        <x:v>0</x:v>
      </x:c>
      <x:c r="BF810" s="22" t="n">
        <x:f>MAX(0,MIN('Activities'!L810,324)-MAX('Activities'!K810,318))</x:f>
        <x:v>0</x:v>
      </x:c>
      <x:c r="BG810" s="22" t="n">
        <x:f>MAX(0,MIN('Activities'!L810,330)-MAX('Activities'!K810,324))</x:f>
        <x:v>0</x:v>
      </x:c>
      <x:c r="BH810" s="22" t="n">
        <x:f>MAX(0,MIN('Activities'!L810,336)-MAX('Activities'!K810,330))</x:f>
        <x:v>0</x:v>
      </x:c>
      <x:c r="BI810" s="22" t="n">
        <x:f>MAX(0,MIN('Activities'!L810,342)-MAX('Activities'!K810,336))</x:f>
        <x:v>0</x:v>
      </x:c>
      <x:c r="BJ810" s="22" t="n">
        <x:f>MAX(0,MIN('Activities'!L810,348)-MAX('Activities'!K810,342))</x:f>
        <x:v>0</x:v>
      </x:c>
      <x:c r="BK810" s="22" t="n">
        <x:f>MAX(0,MIN('Activities'!L810,354)-MAX('Activities'!K810,348))</x:f>
        <x:v>0</x:v>
      </x:c>
      <x:c r="BL810" s="22" t="n">
        <x:f>MAX(0,MIN('Activities'!L810,360)-MAX('Activities'!K810,354))</x:f>
        <x:v>0</x:v>
      </x:c>
      <x:c r="BM810" s="22" t="n">
        <x:f>MAX(0,MIN('Activities'!L810,366)-MAX('Activities'!K810,360))</x:f>
        <x:v>0</x:v>
      </x:c>
      <x:c r="BN810" s="22" t="n">
        <x:f>MAX(0,MIN('Activities'!L810,372)-MAX('Activities'!K810,366))</x:f>
        <x:v>0</x:v>
      </x:c>
      <x:c r="BO810" s="22" t="n">
        <x:f>MAX(0,MIN('Activities'!L810,378)-MAX('Activities'!K810,372))</x:f>
        <x:v>0</x:v>
      </x:c>
      <x:c r="BP810" s="22" t="n">
        <x:f>MAX(0,MIN('Activities'!L810,384)-MAX('Activities'!K810,378))</x:f>
        <x:v>0</x:v>
      </x:c>
      <x:c r="BQ810" s="22" t="n">
        <x:f>MAX(0,MIN('Activities'!L810,390)-MAX('Activities'!K810,384))</x:f>
        <x:v>0</x:v>
      </x:c>
      <x:c r="BR810" s="22" t="n">
        <x:f>MAX(0,MIN('Activities'!L810,396)-MAX('Activities'!K810,390))</x:f>
        <x:v>0</x:v>
      </x:c>
      <x:c r="BS810" s="22" t="n">
        <x:f>MAX(0,MIN('Activities'!L810,402)-MAX('Activities'!K810,396))</x:f>
        <x:v>0</x:v>
      </x:c>
      <x:c r="BT810" s="22" t="n">
        <x:f>MAX(0,MIN('Activities'!L810,408)-MAX('Activities'!K810,402))</x:f>
        <x:v>0</x:v>
      </x:c>
      <x:c r="BU810" s="22" t="n">
        <x:f>MAX(0,MIN('Activities'!L810,414)-MAX('Activities'!K810,408))</x:f>
        <x:v>0</x:v>
      </x:c>
      <x:c r="BV810" s="22" t="n">
        <x:f>MAX(0,MIN('Activities'!L810,420)-MAX('Activities'!K810,414))</x:f>
        <x:v>0</x:v>
      </x:c>
      <x:c r="BW810" s="22" t="n">
        <x:f>MAX(0,MIN('Activities'!L810,426)-MAX('Activities'!K810,420))</x:f>
        <x:v>0</x:v>
      </x:c>
      <x:c r="BX810" s="22" t="n">
        <x:f>MAX(0,MIN('Activities'!L810,432)-MAX('Activities'!K810,426))</x:f>
        <x:v>0</x:v>
      </x:c>
      <x:c r="BY810" s="22" t="n">
        <x:f>MAX(0,MIN('Activities'!L810,438)-MAX('Activities'!K810,432))</x:f>
        <x:v>0</x:v>
      </x:c>
      <x:c r="BZ810" s="22" t="n">
        <x:f>MAX(0,MIN('Activities'!L810,444)-MAX('Activities'!K810,438))</x:f>
        <x:v>0</x:v>
      </x:c>
      <x:c r="CA810" s="22" t="n">
        <x:f>MAX(0,MIN('Activities'!L810,450)-MAX('Activities'!K810,444))</x:f>
        <x:v>1</x:v>
      </x:c>
      <x:c r="CB810" s="22" t="n">
        <x:f>MAX(0,MIN('Activities'!L810,456)-MAX('Activities'!K810,450))</x:f>
        <x:v>2</x:v>
      </x:c>
      <x:c r="CC810" s="22" t="n">
        <x:f>MAX(0,MIN('Activities'!L810,462)-MAX('Activities'!K810,456))</x:f>
        <x:v>0</x:v>
      </x:c>
      <x:c r="CD810" s="22" t="n">
        <x:f>MAX(0,MIN('Activities'!L810,468)-MAX('Activities'!K810,462))</x:f>
        <x:v>0</x:v>
      </x:c>
      <x:c r="CE810" s="22" t="n">
        <x:f>MAX(0,MIN('Activities'!L810,474)-MAX('Activities'!K810,468))</x:f>
        <x:v>0</x:v>
      </x:c>
      <x:c r="CF810" s="22" t="n">
        <x:f>MAX(0,MIN('Activities'!L810,480)-MAX('Activities'!K810,474))</x:f>
        <x:v>0</x:v>
      </x:c>
      <x:c r="CG810" s="22" t="n">
        <x:f>MAX(0,MIN('Activities'!L810,486)-MAX('Activities'!K810,480))</x:f>
        <x:v>0</x:v>
      </x:c>
      <x:c r="CH810" s="22" t="n">
        <x:f>MAX(0,MIN('Activities'!L810,492)-MAX('Activities'!K810,486))</x:f>
        <x:v>0</x:v>
      </x:c>
      <x:c r="CI810" s="22" t="n">
        <x:f>MAX(0,MIN('Activities'!L810,498)-MAX('Activities'!K810,492))</x:f>
        <x:v>0</x:v>
      </x:c>
      <x:c r="CJ810" s="22" t="n">
        <x:f>MAX(0,MIN('Activities'!L810,504)-MAX('Activities'!K810,498))</x:f>
        <x:v>0</x:v>
      </x:c>
      <x:c r="CK810" s="22" t="n">
        <x:f>MAX(0,MIN('Activities'!L810,510)-MAX('Activities'!K810,504))</x:f>
        <x:v>0</x:v>
      </x:c>
      <x:c r="CL810" s="22" t="n">
        <x:f>MAX(0,MIN('Activities'!L810,516)-MAX('Activities'!K810,510))</x:f>
        <x:v>0</x:v>
      </x:c>
      <x:c r="CM810" s="22" t="n">
        <x:f>MAX(0,MIN('Activities'!L810,522)-MAX('Activities'!K810,516))</x:f>
        <x:v>0</x:v>
      </x:c>
      <x:c r="CN810" s="22" t="n">
        <x:f>MAX(0,MIN('Activities'!L810,528)-MAX('Activities'!K810,522))</x:f>
        <x:v>0</x:v>
      </x:c>
      <x:c r="CO810" s="22" t="n">
        <x:f>MAX(0,MIN('Activities'!L810,534)-MAX('Activities'!K810,528))</x:f>
        <x:v>0</x:v>
      </x:c>
      <x:c r="CP810" s="22" t="n">
        <x:f>MAX(0,MIN('Activities'!L810,540)-MAX('Activities'!K810,534))</x:f>
        <x:v>0</x:v>
      </x:c>
      <x:c r="CQ810" s="22" t="n">
        <x:f>MAX(0,MIN('Activities'!L810,546)-MAX('Activities'!K810,540))</x:f>
        <x:v>0</x:v>
      </x:c>
      <x:c r="CR810" s="22" t="n">
        <x:f>MAX(0,MIN('Activities'!L810,552)-MAX('Activities'!K810,546))</x:f>
        <x:v>0</x:v>
      </x:c>
      <x:c r="CS810" s="22" t="n">
        <x:f>MAX(0,MIN('Activities'!L810,558)-MAX('Activities'!K810,552))</x:f>
        <x:v>0</x:v>
      </x:c>
      <x:c r="CT810" s="22" t="n">
        <x:f>MAX(0,MIN('Activities'!L810,564)-MAX('Activities'!K810,558))</x:f>
        <x:v>0</x:v>
      </x:c>
      <x:c r="CU810" s="22" t="n">
        <x:f>MAX(0,MIN('Activities'!L810,570)-MAX('Activities'!K810,564))</x:f>
        <x:v>0</x:v>
      </x:c>
      <x:c r="CV810" s="22" t="n">
        <x:f>MAX(0,MIN('Activities'!L810,576)-MAX('Activities'!K810,570))</x:f>
        <x:v>0</x:v>
      </x:c>
      <x:c r="CW810" s="22" t="n">
        <x:f>MAX(0,MIN('Activities'!L810,582)-MAX('Activities'!K810,576))</x:f>
        <x:v>0</x:v>
      </x:c>
      <x:c r="CX810" s="22" t="n">
        <x:f>MAX(0,MIN('Activities'!L810,588)-MAX('Activities'!K810,582))</x:f>
        <x:v>0</x:v>
      </x:c>
      <x:c r="CY810" s="22" t="n">
        <x:f>MAX(0,MIN('Activities'!L810,594)-MAX('Activities'!K810,588))</x:f>
        <x:v>0</x:v>
      </x:c>
      <x:c r="CZ810" s="22" t="n">
        <x:f>MAX(0,MIN('Activities'!L810,600)-MAX('Activities'!K810,594))</x:f>
        <x:v>0</x:v>
      </x:c>
      <x:c r="DA810" s="22" t="n">
        <x:f>MAX(0,MIN('Activities'!L810,606)-MAX('Activities'!K810,600))</x:f>
        <x:v>0</x:v>
      </x:c>
      <x:c r="DB810" s="22" t="n">
        <x:f>MAX(0,MIN('Activities'!L810,612)-MAX('Activities'!K810,606))</x:f>
        <x:v>0</x:v>
      </x:c>
      <x:c r="DC810" s="22" t="n">
        <x:f>MAX(0,MIN('Activities'!L810,618)-MAX('Activities'!K810,612))</x:f>
        <x:v>0</x:v>
      </x:c>
      <x:c r="DD810" s="22" t="n">
        <x:f>MAX(0,MIN('Activities'!L810,624)-MAX('Activities'!K810,618))</x:f>
        <x:v>0</x:v>
      </x:c>
      <x:c r="DE810" s="22" t="n">
        <x:f>MAX(0,MIN('Activities'!L810,630)-MAX('Activities'!K810,624))</x:f>
        <x:v>0</x:v>
      </x:c>
      <x:c r="DF810" s="22" t="n">
        <x:f>MAX(0,MIN('Activities'!L810,636)-MAX('Activities'!K810,630))</x:f>
        <x:v>0</x:v>
      </x:c>
    </x:row>
    <x:row r="811" ht="23" customHeight="1">
      <x:c r="A811" s="1" t="str">
        <x:v>T6-L12-T</x:v>
      </x:c>
      <x:c r="B811" s="1" t="str">
        <x:v>T6</x:v>
      </x:c>
      <x:c r="C811" s="1" t="str">
        <x:v>Floor finishes and skirtings</x:v>
      </x:c>
      <x:c r="D811" s="1" t="str">
        <x:v>Finishes</x:v>
      </x:c>
      <x:c r="E811" s="23" t="n">
        <x:f>MAX(0,MIN('Activities'!L811,6)-MAX('Activities'!K811,0))</x:f>
        <x:v>0</x:v>
      </x:c>
      <x:c r="F811" s="23" t="n">
        <x:f>MAX(0,MIN('Activities'!L811,12)-MAX('Activities'!K811,6))</x:f>
        <x:v>0</x:v>
      </x:c>
      <x:c r="G811" s="23" t="n">
        <x:f>MAX(0,MIN('Activities'!L811,18)-MAX('Activities'!K811,12))</x:f>
        <x:v>0</x:v>
      </x:c>
      <x:c r="H811" s="23" t="n">
        <x:f>MAX(0,MIN('Activities'!L811,24)-MAX('Activities'!K811,18))</x:f>
        <x:v>0</x:v>
      </x:c>
      <x:c r="I811" s="23" t="n">
        <x:f>MAX(0,MIN('Activities'!L811,30)-MAX('Activities'!K811,24))</x:f>
        <x:v>0</x:v>
      </x:c>
      <x:c r="J811" s="23" t="n">
        <x:f>MAX(0,MIN('Activities'!L811,36)-MAX('Activities'!K811,30))</x:f>
        <x:v>0</x:v>
      </x:c>
      <x:c r="K811" s="23" t="n">
        <x:f>MAX(0,MIN('Activities'!L811,42)-MAX('Activities'!K811,36))</x:f>
        <x:v>0</x:v>
      </x:c>
      <x:c r="L811" s="23" t="n">
        <x:f>MAX(0,MIN('Activities'!L811,48)-MAX('Activities'!K811,42))</x:f>
        <x:v>0</x:v>
      </x:c>
      <x:c r="M811" s="23" t="n">
        <x:f>MAX(0,MIN('Activities'!L811,54)-MAX('Activities'!K811,48))</x:f>
        <x:v>0</x:v>
      </x:c>
      <x:c r="N811" s="23" t="n">
        <x:f>MAX(0,MIN('Activities'!L811,60)-MAX('Activities'!K811,54))</x:f>
        <x:v>0</x:v>
      </x:c>
      <x:c r="O811" s="23" t="n">
        <x:f>MAX(0,MIN('Activities'!L811,66)-MAX('Activities'!K811,60))</x:f>
        <x:v>0</x:v>
      </x:c>
      <x:c r="P811" s="23" t="n">
        <x:f>MAX(0,MIN('Activities'!L811,72)-MAX('Activities'!K811,66))</x:f>
        <x:v>0</x:v>
      </x:c>
      <x:c r="Q811" s="23" t="n">
        <x:f>MAX(0,MIN('Activities'!L811,78)-MAX('Activities'!K811,72))</x:f>
        <x:v>0</x:v>
      </x:c>
      <x:c r="R811" s="23" t="n">
        <x:f>MAX(0,MIN('Activities'!L811,84)-MAX('Activities'!K811,78))</x:f>
        <x:v>0</x:v>
      </x:c>
      <x:c r="S811" s="23" t="n">
        <x:f>MAX(0,MIN('Activities'!L811,90)-MAX('Activities'!K811,84))</x:f>
        <x:v>0</x:v>
      </x:c>
      <x:c r="T811" s="23" t="n">
        <x:f>MAX(0,MIN('Activities'!L811,96)-MAX('Activities'!K811,90))</x:f>
        <x:v>0</x:v>
      </x:c>
      <x:c r="U811" s="23" t="n">
        <x:f>MAX(0,MIN('Activities'!L811,102)-MAX('Activities'!K811,96))</x:f>
        <x:v>0</x:v>
      </x:c>
      <x:c r="V811" s="23" t="n">
        <x:f>MAX(0,MIN('Activities'!L811,108)-MAX('Activities'!K811,102))</x:f>
        <x:v>0</x:v>
      </x:c>
      <x:c r="W811" s="23" t="n">
        <x:f>MAX(0,MIN('Activities'!L811,114)-MAX('Activities'!K811,108))</x:f>
        <x:v>0</x:v>
      </x:c>
      <x:c r="X811" s="23" t="n">
        <x:f>MAX(0,MIN('Activities'!L811,120)-MAX('Activities'!K811,114))</x:f>
        <x:v>0</x:v>
      </x:c>
      <x:c r="Y811" s="23" t="n">
        <x:f>MAX(0,MIN('Activities'!L811,126)-MAX('Activities'!K811,120))</x:f>
        <x:v>0</x:v>
      </x:c>
      <x:c r="Z811" s="23" t="n">
        <x:f>MAX(0,MIN('Activities'!L811,132)-MAX('Activities'!K811,126))</x:f>
        <x:v>0</x:v>
      </x:c>
      <x:c r="AA811" s="23" t="n">
        <x:f>MAX(0,MIN('Activities'!L811,138)-MAX('Activities'!K811,132))</x:f>
        <x:v>0</x:v>
      </x:c>
      <x:c r="AB811" s="23" t="n">
        <x:f>MAX(0,MIN('Activities'!L811,144)-MAX('Activities'!K811,138))</x:f>
        <x:v>0</x:v>
      </x:c>
      <x:c r="AC811" s="23" t="n">
        <x:f>MAX(0,MIN('Activities'!L811,150)-MAX('Activities'!K811,144))</x:f>
        <x:v>0</x:v>
      </x:c>
      <x:c r="AD811" s="23" t="n">
        <x:f>MAX(0,MIN('Activities'!L811,156)-MAX('Activities'!K811,150))</x:f>
        <x:v>0</x:v>
      </x:c>
      <x:c r="AE811" s="23" t="n">
        <x:f>MAX(0,MIN('Activities'!L811,162)-MAX('Activities'!K811,156))</x:f>
        <x:v>0</x:v>
      </x:c>
      <x:c r="AF811" s="23" t="n">
        <x:f>MAX(0,MIN('Activities'!L811,168)-MAX('Activities'!K811,162))</x:f>
        <x:v>0</x:v>
      </x:c>
      <x:c r="AG811" s="23" t="n">
        <x:f>MAX(0,MIN('Activities'!L811,174)-MAX('Activities'!K811,168))</x:f>
        <x:v>0</x:v>
      </x:c>
      <x:c r="AH811" s="23" t="n">
        <x:f>MAX(0,MIN('Activities'!L811,180)-MAX('Activities'!K811,174))</x:f>
        <x:v>0</x:v>
      </x:c>
      <x:c r="AI811" s="23" t="n">
        <x:f>MAX(0,MIN('Activities'!L811,186)-MAX('Activities'!K811,180))</x:f>
        <x:v>0</x:v>
      </x:c>
      <x:c r="AJ811" s="23" t="n">
        <x:f>MAX(0,MIN('Activities'!L811,192)-MAX('Activities'!K811,186))</x:f>
        <x:v>0</x:v>
      </x:c>
      <x:c r="AK811" s="23" t="n">
        <x:f>MAX(0,MIN('Activities'!L811,198)-MAX('Activities'!K811,192))</x:f>
        <x:v>0</x:v>
      </x:c>
      <x:c r="AL811" s="23" t="n">
        <x:f>MAX(0,MIN('Activities'!L811,204)-MAX('Activities'!K811,198))</x:f>
        <x:v>0</x:v>
      </x:c>
      <x:c r="AM811" s="23" t="n">
        <x:f>MAX(0,MIN('Activities'!L811,210)-MAX('Activities'!K811,204))</x:f>
        <x:v>0</x:v>
      </x:c>
      <x:c r="AN811" s="23" t="n">
        <x:f>MAX(0,MIN('Activities'!L811,216)-MAX('Activities'!K811,210))</x:f>
        <x:v>0</x:v>
      </x:c>
      <x:c r="AO811" s="23" t="n">
        <x:f>MAX(0,MIN('Activities'!L811,222)-MAX('Activities'!K811,216))</x:f>
        <x:v>0</x:v>
      </x:c>
      <x:c r="AP811" s="23" t="n">
        <x:f>MAX(0,MIN('Activities'!L811,228)-MAX('Activities'!K811,222))</x:f>
        <x:v>0</x:v>
      </x:c>
      <x:c r="AQ811" s="23" t="n">
        <x:f>MAX(0,MIN('Activities'!L811,234)-MAX('Activities'!K811,228))</x:f>
        <x:v>0</x:v>
      </x:c>
      <x:c r="AR811" s="23" t="n">
        <x:f>MAX(0,MIN('Activities'!L811,240)-MAX('Activities'!K811,234))</x:f>
        <x:v>0</x:v>
      </x:c>
      <x:c r="AS811" s="23" t="n">
        <x:f>MAX(0,MIN('Activities'!L811,246)-MAX('Activities'!K811,240))</x:f>
        <x:v>0</x:v>
      </x:c>
      <x:c r="AT811" s="23" t="n">
        <x:f>MAX(0,MIN('Activities'!L811,252)-MAX('Activities'!K811,246))</x:f>
        <x:v>0</x:v>
      </x:c>
      <x:c r="AU811" s="23" t="n">
        <x:f>MAX(0,MIN('Activities'!L811,258)-MAX('Activities'!K811,252))</x:f>
        <x:v>0</x:v>
      </x:c>
      <x:c r="AV811" s="23" t="n">
        <x:f>MAX(0,MIN('Activities'!L811,264)-MAX('Activities'!K811,258))</x:f>
        <x:v>0</x:v>
      </x:c>
      <x:c r="AW811" s="23" t="n">
        <x:f>MAX(0,MIN('Activities'!L811,270)-MAX('Activities'!K811,264))</x:f>
        <x:v>0</x:v>
      </x:c>
      <x:c r="AX811" s="23" t="n">
        <x:f>MAX(0,MIN('Activities'!L811,276)-MAX('Activities'!K811,270))</x:f>
        <x:v>0</x:v>
      </x:c>
      <x:c r="AY811" s="23" t="n">
        <x:f>MAX(0,MIN('Activities'!L811,282)-MAX('Activities'!K811,276))</x:f>
        <x:v>0</x:v>
      </x:c>
      <x:c r="AZ811" s="23" t="n">
        <x:f>MAX(0,MIN('Activities'!L811,288)-MAX('Activities'!K811,282))</x:f>
        <x:v>0</x:v>
      </x:c>
      <x:c r="BA811" s="23" t="n">
        <x:f>MAX(0,MIN('Activities'!L811,294)-MAX('Activities'!K811,288))</x:f>
        <x:v>0</x:v>
      </x:c>
      <x:c r="BB811" s="23" t="n">
        <x:f>MAX(0,MIN('Activities'!L811,300)-MAX('Activities'!K811,294))</x:f>
        <x:v>0</x:v>
      </x:c>
      <x:c r="BC811" s="23" t="n">
        <x:f>MAX(0,MIN('Activities'!L811,306)-MAX('Activities'!K811,300))</x:f>
        <x:v>0</x:v>
      </x:c>
      <x:c r="BD811" s="23" t="n">
        <x:f>MAX(0,MIN('Activities'!L811,312)-MAX('Activities'!K811,306))</x:f>
        <x:v>0</x:v>
      </x:c>
      <x:c r="BE811" s="23" t="n">
        <x:f>MAX(0,MIN('Activities'!L811,318)-MAX('Activities'!K811,312))</x:f>
        <x:v>0</x:v>
      </x:c>
      <x:c r="BF811" s="23" t="n">
        <x:f>MAX(0,MIN('Activities'!L811,324)-MAX('Activities'!K811,318))</x:f>
        <x:v>0</x:v>
      </x:c>
      <x:c r="BG811" s="23" t="n">
        <x:f>MAX(0,MIN('Activities'!L811,330)-MAX('Activities'!K811,324))</x:f>
        <x:v>0</x:v>
      </x:c>
      <x:c r="BH811" s="23" t="n">
        <x:f>MAX(0,MIN('Activities'!L811,336)-MAX('Activities'!K811,330))</x:f>
        <x:v>0</x:v>
      </x:c>
      <x:c r="BI811" s="23" t="n">
        <x:f>MAX(0,MIN('Activities'!L811,342)-MAX('Activities'!K811,336))</x:f>
        <x:v>0</x:v>
      </x:c>
      <x:c r="BJ811" s="23" t="n">
        <x:f>MAX(0,MIN('Activities'!L811,348)-MAX('Activities'!K811,342))</x:f>
        <x:v>0</x:v>
      </x:c>
      <x:c r="BK811" s="23" t="n">
        <x:f>MAX(0,MIN('Activities'!L811,354)-MAX('Activities'!K811,348))</x:f>
        <x:v>0</x:v>
      </x:c>
      <x:c r="BL811" s="23" t="n">
        <x:f>MAX(0,MIN('Activities'!L811,360)-MAX('Activities'!K811,354))</x:f>
        <x:v>0</x:v>
      </x:c>
      <x:c r="BM811" s="23" t="n">
        <x:f>MAX(0,MIN('Activities'!L811,366)-MAX('Activities'!K811,360))</x:f>
        <x:v>0</x:v>
      </x:c>
      <x:c r="BN811" s="23" t="n">
        <x:f>MAX(0,MIN('Activities'!L811,372)-MAX('Activities'!K811,366))</x:f>
        <x:v>0</x:v>
      </x:c>
      <x:c r="BO811" s="23" t="n">
        <x:f>MAX(0,MIN('Activities'!L811,378)-MAX('Activities'!K811,372))</x:f>
        <x:v>0</x:v>
      </x:c>
      <x:c r="BP811" s="23" t="n">
        <x:f>MAX(0,MIN('Activities'!L811,384)-MAX('Activities'!K811,378))</x:f>
        <x:v>0</x:v>
      </x:c>
      <x:c r="BQ811" s="23" t="n">
        <x:f>MAX(0,MIN('Activities'!L811,390)-MAX('Activities'!K811,384))</x:f>
        <x:v>0</x:v>
      </x:c>
      <x:c r="BR811" s="23" t="n">
        <x:f>MAX(0,MIN('Activities'!L811,396)-MAX('Activities'!K811,390))</x:f>
        <x:v>0</x:v>
      </x:c>
      <x:c r="BS811" s="23" t="n">
        <x:f>MAX(0,MIN('Activities'!L811,402)-MAX('Activities'!K811,396))</x:f>
        <x:v>0</x:v>
      </x:c>
      <x:c r="BT811" s="23" t="n">
        <x:f>MAX(0,MIN('Activities'!L811,408)-MAX('Activities'!K811,402))</x:f>
        <x:v>0</x:v>
      </x:c>
      <x:c r="BU811" s="23" t="n">
        <x:f>MAX(0,MIN('Activities'!L811,414)-MAX('Activities'!K811,408))</x:f>
        <x:v>0</x:v>
      </x:c>
      <x:c r="BV811" s="23" t="n">
        <x:f>MAX(0,MIN('Activities'!L811,420)-MAX('Activities'!K811,414))</x:f>
        <x:v>0</x:v>
      </x:c>
      <x:c r="BW811" s="23" t="n">
        <x:f>MAX(0,MIN('Activities'!L811,426)-MAX('Activities'!K811,420))</x:f>
        <x:v>0</x:v>
      </x:c>
      <x:c r="BX811" s="23" t="n">
        <x:f>MAX(0,MIN('Activities'!L811,432)-MAX('Activities'!K811,426))</x:f>
        <x:v>0</x:v>
      </x:c>
      <x:c r="BY811" s="23" t="n">
        <x:f>MAX(0,MIN('Activities'!L811,438)-MAX('Activities'!K811,432))</x:f>
        <x:v>0</x:v>
      </x:c>
      <x:c r="BZ811" s="23" t="n">
        <x:f>MAX(0,MIN('Activities'!L811,444)-MAX('Activities'!K811,438))</x:f>
        <x:v>0</x:v>
      </x:c>
      <x:c r="CA811" s="23" t="n">
        <x:f>MAX(0,MIN('Activities'!L811,450)-MAX('Activities'!K811,444))</x:f>
        <x:v>0</x:v>
      </x:c>
      <x:c r="CB811" s="23" t="n">
        <x:f>MAX(0,MIN('Activities'!L811,456)-MAX('Activities'!K811,450))</x:f>
        <x:v>0</x:v>
      </x:c>
      <x:c r="CC811" s="23" t="n">
        <x:f>MAX(0,MIN('Activities'!L811,462)-MAX('Activities'!K811,456))</x:f>
        <x:v>0</x:v>
      </x:c>
      <x:c r="CD811" s="23" t="n">
        <x:f>MAX(0,MIN('Activities'!L811,468)-MAX('Activities'!K811,462))</x:f>
        <x:v>2</x:v>
      </x:c>
      <x:c r="CE811" s="23" t="n">
        <x:f>MAX(0,MIN('Activities'!L811,474)-MAX('Activities'!K811,468))</x:f>
        <x:v>4</x:v>
      </x:c>
      <x:c r="CF811" s="23" t="n">
        <x:f>MAX(0,MIN('Activities'!L811,480)-MAX('Activities'!K811,474))</x:f>
        <x:v>0</x:v>
      </x:c>
      <x:c r="CG811" s="23" t="n">
        <x:f>MAX(0,MIN('Activities'!L811,486)-MAX('Activities'!K811,480))</x:f>
        <x:v>0</x:v>
      </x:c>
      <x:c r="CH811" s="23" t="n">
        <x:f>MAX(0,MIN('Activities'!L811,492)-MAX('Activities'!K811,486))</x:f>
        <x:v>0</x:v>
      </x:c>
      <x:c r="CI811" s="23" t="n">
        <x:f>MAX(0,MIN('Activities'!L811,498)-MAX('Activities'!K811,492))</x:f>
        <x:v>0</x:v>
      </x:c>
      <x:c r="CJ811" s="23" t="n">
        <x:f>MAX(0,MIN('Activities'!L811,504)-MAX('Activities'!K811,498))</x:f>
        <x:v>0</x:v>
      </x:c>
      <x:c r="CK811" s="23" t="n">
        <x:f>MAX(0,MIN('Activities'!L811,510)-MAX('Activities'!K811,504))</x:f>
        <x:v>0</x:v>
      </x:c>
      <x:c r="CL811" s="23" t="n">
        <x:f>MAX(0,MIN('Activities'!L811,516)-MAX('Activities'!K811,510))</x:f>
        <x:v>0</x:v>
      </x:c>
      <x:c r="CM811" s="23" t="n">
        <x:f>MAX(0,MIN('Activities'!L811,522)-MAX('Activities'!K811,516))</x:f>
        <x:v>0</x:v>
      </x:c>
      <x:c r="CN811" s="23" t="n">
        <x:f>MAX(0,MIN('Activities'!L811,528)-MAX('Activities'!K811,522))</x:f>
        <x:v>0</x:v>
      </x:c>
      <x:c r="CO811" s="23" t="n">
        <x:f>MAX(0,MIN('Activities'!L811,534)-MAX('Activities'!K811,528))</x:f>
        <x:v>0</x:v>
      </x:c>
      <x:c r="CP811" s="23" t="n">
        <x:f>MAX(0,MIN('Activities'!L811,540)-MAX('Activities'!K811,534))</x:f>
        <x:v>0</x:v>
      </x:c>
      <x:c r="CQ811" s="23" t="n">
        <x:f>MAX(0,MIN('Activities'!L811,546)-MAX('Activities'!K811,540))</x:f>
        <x:v>0</x:v>
      </x:c>
      <x:c r="CR811" s="23" t="n">
        <x:f>MAX(0,MIN('Activities'!L811,552)-MAX('Activities'!K811,546))</x:f>
        <x:v>0</x:v>
      </x:c>
      <x:c r="CS811" s="23" t="n">
        <x:f>MAX(0,MIN('Activities'!L811,558)-MAX('Activities'!K811,552))</x:f>
        <x:v>0</x:v>
      </x:c>
      <x:c r="CT811" s="23" t="n">
        <x:f>MAX(0,MIN('Activities'!L811,564)-MAX('Activities'!K811,558))</x:f>
        <x:v>0</x:v>
      </x:c>
      <x:c r="CU811" s="23" t="n">
        <x:f>MAX(0,MIN('Activities'!L811,570)-MAX('Activities'!K811,564))</x:f>
        <x:v>0</x:v>
      </x:c>
      <x:c r="CV811" s="23" t="n">
        <x:f>MAX(0,MIN('Activities'!L811,576)-MAX('Activities'!K811,570))</x:f>
        <x:v>0</x:v>
      </x:c>
      <x:c r="CW811" s="23" t="n">
        <x:f>MAX(0,MIN('Activities'!L811,582)-MAX('Activities'!K811,576))</x:f>
        <x:v>0</x:v>
      </x:c>
      <x:c r="CX811" s="23" t="n">
        <x:f>MAX(0,MIN('Activities'!L811,588)-MAX('Activities'!K811,582))</x:f>
        <x:v>0</x:v>
      </x:c>
      <x:c r="CY811" s="23" t="n">
        <x:f>MAX(0,MIN('Activities'!L811,594)-MAX('Activities'!K811,588))</x:f>
        <x:v>0</x:v>
      </x:c>
      <x:c r="CZ811" s="23" t="n">
        <x:f>MAX(0,MIN('Activities'!L811,600)-MAX('Activities'!K811,594))</x:f>
        <x:v>0</x:v>
      </x:c>
      <x:c r="DA811" s="23" t="n">
        <x:f>MAX(0,MIN('Activities'!L811,606)-MAX('Activities'!K811,600))</x:f>
        <x:v>0</x:v>
      </x:c>
      <x:c r="DB811" s="23" t="n">
        <x:f>MAX(0,MIN('Activities'!L811,612)-MAX('Activities'!K811,606))</x:f>
        <x:v>0</x:v>
      </x:c>
      <x:c r="DC811" s="23" t="n">
        <x:f>MAX(0,MIN('Activities'!L811,618)-MAX('Activities'!K811,612))</x:f>
        <x:v>0</x:v>
      </x:c>
      <x:c r="DD811" s="23" t="n">
        <x:f>MAX(0,MIN('Activities'!L811,624)-MAX('Activities'!K811,618))</x:f>
        <x:v>0</x:v>
      </x:c>
      <x:c r="DE811" s="23" t="n">
        <x:f>MAX(0,MIN('Activities'!L811,630)-MAX('Activities'!K811,624))</x:f>
        <x:v>0</x:v>
      </x:c>
      <x:c r="DF811" s="23" t="n">
        <x:f>MAX(0,MIN('Activities'!L811,636)-MAX('Activities'!K811,630))</x:f>
        <x:v>0</x:v>
      </x:c>
    </x:row>
    <x:row r="812" ht="23" customHeight="1">
      <x:c r="A812" s="6" t="str">
        <x:v>T6-L12-A</x:v>
      </x:c>
      <x:c r="B812" s="6" t="str">
        <x:v>T6</x:v>
      </x:c>
      <x:c r="C812" s="6" t="str">
        <x:v>Paint and final decorations</x:v>
      </x:c>
      <x:c r="D812" s="6" t="str">
        <x:v>Finishes</x:v>
      </x:c>
      <x:c r="E812" s="22" t="n">
        <x:f>MAX(0,MIN('Activities'!L812,6)-MAX('Activities'!K812,0))</x:f>
        <x:v>0</x:v>
      </x:c>
      <x:c r="F812" s="22" t="n">
        <x:f>MAX(0,MIN('Activities'!L812,12)-MAX('Activities'!K812,6))</x:f>
        <x:v>0</x:v>
      </x:c>
      <x:c r="G812" s="22" t="n">
        <x:f>MAX(0,MIN('Activities'!L812,18)-MAX('Activities'!K812,12))</x:f>
        <x:v>0</x:v>
      </x:c>
      <x:c r="H812" s="22" t="n">
        <x:f>MAX(0,MIN('Activities'!L812,24)-MAX('Activities'!K812,18))</x:f>
        <x:v>0</x:v>
      </x:c>
      <x:c r="I812" s="22" t="n">
        <x:f>MAX(0,MIN('Activities'!L812,30)-MAX('Activities'!K812,24))</x:f>
        <x:v>0</x:v>
      </x:c>
      <x:c r="J812" s="22" t="n">
        <x:f>MAX(0,MIN('Activities'!L812,36)-MAX('Activities'!K812,30))</x:f>
        <x:v>0</x:v>
      </x:c>
      <x:c r="K812" s="22" t="n">
        <x:f>MAX(0,MIN('Activities'!L812,42)-MAX('Activities'!K812,36))</x:f>
        <x:v>0</x:v>
      </x:c>
      <x:c r="L812" s="22" t="n">
        <x:f>MAX(0,MIN('Activities'!L812,48)-MAX('Activities'!K812,42))</x:f>
        <x:v>0</x:v>
      </x:c>
      <x:c r="M812" s="22" t="n">
        <x:f>MAX(0,MIN('Activities'!L812,54)-MAX('Activities'!K812,48))</x:f>
        <x:v>0</x:v>
      </x:c>
      <x:c r="N812" s="22" t="n">
        <x:f>MAX(0,MIN('Activities'!L812,60)-MAX('Activities'!K812,54))</x:f>
        <x:v>0</x:v>
      </x:c>
      <x:c r="O812" s="22" t="n">
        <x:f>MAX(0,MIN('Activities'!L812,66)-MAX('Activities'!K812,60))</x:f>
        <x:v>0</x:v>
      </x:c>
      <x:c r="P812" s="22" t="n">
        <x:f>MAX(0,MIN('Activities'!L812,72)-MAX('Activities'!K812,66))</x:f>
        <x:v>0</x:v>
      </x:c>
      <x:c r="Q812" s="22" t="n">
        <x:f>MAX(0,MIN('Activities'!L812,78)-MAX('Activities'!K812,72))</x:f>
        <x:v>0</x:v>
      </x:c>
      <x:c r="R812" s="22" t="n">
        <x:f>MAX(0,MIN('Activities'!L812,84)-MAX('Activities'!K812,78))</x:f>
        <x:v>0</x:v>
      </x:c>
      <x:c r="S812" s="22" t="n">
        <x:f>MAX(0,MIN('Activities'!L812,90)-MAX('Activities'!K812,84))</x:f>
        <x:v>0</x:v>
      </x:c>
      <x:c r="T812" s="22" t="n">
        <x:f>MAX(0,MIN('Activities'!L812,96)-MAX('Activities'!K812,90))</x:f>
        <x:v>0</x:v>
      </x:c>
      <x:c r="U812" s="22" t="n">
        <x:f>MAX(0,MIN('Activities'!L812,102)-MAX('Activities'!K812,96))</x:f>
        <x:v>0</x:v>
      </x:c>
      <x:c r="V812" s="22" t="n">
        <x:f>MAX(0,MIN('Activities'!L812,108)-MAX('Activities'!K812,102))</x:f>
        <x:v>0</x:v>
      </x:c>
      <x:c r="W812" s="22" t="n">
        <x:f>MAX(0,MIN('Activities'!L812,114)-MAX('Activities'!K812,108))</x:f>
        <x:v>0</x:v>
      </x:c>
      <x:c r="X812" s="22" t="n">
        <x:f>MAX(0,MIN('Activities'!L812,120)-MAX('Activities'!K812,114))</x:f>
        <x:v>0</x:v>
      </x:c>
      <x:c r="Y812" s="22" t="n">
        <x:f>MAX(0,MIN('Activities'!L812,126)-MAX('Activities'!K812,120))</x:f>
        <x:v>0</x:v>
      </x:c>
      <x:c r="Z812" s="22" t="n">
        <x:f>MAX(0,MIN('Activities'!L812,132)-MAX('Activities'!K812,126))</x:f>
        <x:v>0</x:v>
      </x:c>
      <x:c r="AA812" s="22" t="n">
        <x:f>MAX(0,MIN('Activities'!L812,138)-MAX('Activities'!K812,132))</x:f>
        <x:v>0</x:v>
      </x:c>
      <x:c r="AB812" s="22" t="n">
        <x:f>MAX(0,MIN('Activities'!L812,144)-MAX('Activities'!K812,138))</x:f>
        <x:v>0</x:v>
      </x:c>
      <x:c r="AC812" s="22" t="n">
        <x:f>MAX(0,MIN('Activities'!L812,150)-MAX('Activities'!K812,144))</x:f>
        <x:v>0</x:v>
      </x:c>
      <x:c r="AD812" s="22" t="n">
        <x:f>MAX(0,MIN('Activities'!L812,156)-MAX('Activities'!K812,150))</x:f>
        <x:v>0</x:v>
      </x:c>
      <x:c r="AE812" s="22" t="n">
        <x:f>MAX(0,MIN('Activities'!L812,162)-MAX('Activities'!K812,156))</x:f>
        <x:v>0</x:v>
      </x:c>
      <x:c r="AF812" s="22" t="n">
        <x:f>MAX(0,MIN('Activities'!L812,168)-MAX('Activities'!K812,162))</x:f>
        <x:v>0</x:v>
      </x:c>
      <x:c r="AG812" s="22" t="n">
        <x:f>MAX(0,MIN('Activities'!L812,174)-MAX('Activities'!K812,168))</x:f>
        <x:v>0</x:v>
      </x:c>
      <x:c r="AH812" s="22" t="n">
        <x:f>MAX(0,MIN('Activities'!L812,180)-MAX('Activities'!K812,174))</x:f>
        <x:v>0</x:v>
      </x:c>
      <x:c r="AI812" s="22" t="n">
        <x:f>MAX(0,MIN('Activities'!L812,186)-MAX('Activities'!K812,180))</x:f>
        <x:v>0</x:v>
      </x:c>
      <x:c r="AJ812" s="22" t="n">
        <x:f>MAX(0,MIN('Activities'!L812,192)-MAX('Activities'!K812,186))</x:f>
        <x:v>0</x:v>
      </x:c>
      <x:c r="AK812" s="22" t="n">
        <x:f>MAX(0,MIN('Activities'!L812,198)-MAX('Activities'!K812,192))</x:f>
        <x:v>0</x:v>
      </x:c>
      <x:c r="AL812" s="22" t="n">
        <x:f>MAX(0,MIN('Activities'!L812,204)-MAX('Activities'!K812,198))</x:f>
        <x:v>0</x:v>
      </x:c>
      <x:c r="AM812" s="22" t="n">
        <x:f>MAX(0,MIN('Activities'!L812,210)-MAX('Activities'!K812,204))</x:f>
        <x:v>0</x:v>
      </x:c>
      <x:c r="AN812" s="22" t="n">
        <x:f>MAX(0,MIN('Activities'!L812,216)-MAX('Activities'!K812,210))</x:f>
        <x:v>0</x:v>
      </x:c>
      <x:c r="AO812" s="22" t="n">
        <x:f>MAX(0,MIN('Activities'!L812,222)-MAX('Activities'!K812,216))</x:f>
        <x:v>0</x:v>
      </x:c>
      <x:c r="AP812" s="22" t="n">
        <x:f>MAX(0,MIN('Activities'!L812,228)-MAX('Activities'!K812,222))</x:f>
        <x:v>0</x:v>
      </x:c>
      <x:c r="AQ812" s="22" t="n">
        <x:f>MAX(0,MIN('Activities'!L812,234)-MAX('Activities'!K812,228))</x:f>
        <x:v>0</x:v>
      </x:c>
      <x:c r="AR812" s="22" t="n">
        <x:f>MAX(0,MIN('Activities'!L812,240)-MAX('Activities'!K812,234))</x:f>
        <x:v>0</x:v>
      </x:c>
      <x:c r="AS812" s="22" t="n">
        <x:f>MAX(0,MIN('Activities'!L812,246)-MAX('Activities'!K812,240))</x:f>
        <x:v>0</x:v>
      </x:c>
      <x:c r="AT812" s="22" t="n">
        <x:f>MAX(0,MIN('Activities'!L812,252)-MAX('Activities'!K812,246))</x:f>
        <x:v>0</x:v>
      </x:c>
      <x:c r="AU812" s="22" t="n">
        <x:f>MAX(0,MIN('Activities'!L812,258)-MAX('Activities'!K812,252))</x:f>
        <x:v>0</x:v>
      </x:c>
      <x:c r="AV812" s="22" t="n">
        <x:f>MAX(0,MIN('Activities'!L812,264)-MAX('Activities'!K812,258))</x:f>
        <x:v>0</x:v>
      </x:c>
      <x:c r="AW812" s="22" t="n">
        <x:f>MAX(0,MIN('Activities'!L812,270)-MAX('Activities'!K812,264))</x:f>
        <x:v>0</x:v>
      </x:c>
      <x:c r="AX812" s="22" t="n">
        <x:f>MAX(0,MIN('Activities'!L812,276)-MAX('Activities'!K812,270))</x:f>
        <x:v>0</x:v>
      </x:c>
      <x:c r="AY812" s="22" t="n">
        <x:f>MAX(0,MIN('Activities'!L812,282)-MAX('Activities'!K812,276))</x:f>
        <x:v>0</x:v>
      </x:c>
      <x:c r="AZ812" s="22" t="n">
        <x:f>MAX(0,MIN('Activities'!L812,288)-MAX('Activities'!K812,282))</x:f>
        <x:v>0</x:v>
      </x:c>
      <x:c r="BA812" s="22" t="n">
        <x:f>MAX(0,MIN('Activities'!L812,294)-MAX('Activities'!K812,288))</x:f>
        <x:v>0</x:v>
      </x:c>
      <x:c r="BB812" s="22" t="n">
        <x:f>MAX(0,MIN('Activities'!L812,300)-MAX('Activities'!K812,294))</x:f>
        <x:v>0</x:v>
      </x:c>
      <x:c r="BC812" s="22" t="n">
        <x:f>MAX(0,MIN('Activities'!L812,306)-MAX('Activities'!K812,300))</x:f>
        <x:v>0</x:v>
      </x:c>
      <x:c r="BD812" s="22" t="n">
        <x:f>MAX(0,MIN('Activities'!L812,312)-MAX('Activities'!K812,306))</x:f>
        <x:v>0</x:v>
      </x:c>
      <x:c r="BE812" s="22" t="n">
        <x:f>MAX(0,MIN('Activities'!L812,318)-MAX('Activities'!K812,312))</x:f>
        <x:v>0</x:v>
      </x:c>
      <x:c r="BF812" s="22" t="n">
        <x:f>MAX(0,MIN('Activities'!L812,324)-MAX('Activities'!K812,318))</x:f>
        <x:v>0</x:v>
      </x:c>
      <x:c r="BG812" s="22" t="n">
        <x:f>MAX(0,MIN('Activities'!L812,330)-MAX('Activities'!K812,324))</x:f>
        <x:v>0</x:v>
      </x:c>
      <x:c r="BH812" s="22" t="n">
        <x:f>MAX(0,MIN('Activities'!L812,336)-MAX('Activities'!K812,330))</x:f>
        <x:v>0</x:v>
      </x:c>
      <x:c r="BI812" s="22" t="n">
        <x:f>MAX(0,MIN('Activities'!L812,342)-MAX('Activities'!K812,336))</x:f>
        <x:v>0</x:v>
      </x:c>
      <x:c r="BJ812" s="22" t="n">
        <x:f>MAX(0,MIN('Activities'!L812,348)-MAX('Activities'!K812,342))</x:f>
        <x:v>0</x:v>
      </x:c>
      <x:c r="BK812" s="22" t="n">
        <x:f>MAX(0,MIN('Activities'!L812,354)-MAX('Activities'!K812,348))</x:f>
        <x:v>0</x:v>
      </x:c>
      <x:c r="BL812" s="22" t="n">
        <x:f>MAX(0,MIN('Activities'!L812,360)-MAX('Activities'!K812,354))</x:f>
        <x:v>0</x:v>
      </x:c>
      <x:c r="BM812" s="22" t="n">
        <x:f>MAX(0,MIN('Activities'!L812,366)-MAX('Activities'!K812,360))</x:f>
        <x:v>0</x:v>
      </x:c>
      <x:c r="BN812" s="22" t="n">
        <x:f>MAX(0,MIN('Activities'!L812,372)-MAX('Activities'!K812,366))</x:f>
        <x:v>0</x:v>
      </x:c>
      <x:c r="BO812" s="22" t="n">
        <x:f>MAX(0,MIN('Activities'!L812,378)-MAX('Activities'!K812,372))</x:f>
        <x:v>0</x:v>
      </x:c>
      <x:c r="BP812" s="22" t="n">
        <x:f>MAX(0,MIN('Activities'!L812,384)-MAX('Activities'!K812,378))</x:f>
        <x:v>0</x:v>
      </x:c>
      <x:c r="BQ812" s="22" t="n">
        <x:f>MAX(0,MIN('Activities'!L812,390)-MAX('Activities'!K812,384))</x:f>
        <x:v>0</x:v>
      </x:c>
      <x:c r="BR812" s="22" t="n">
        <x:f>MAX(0,MIN('Activities'!L812,396)-MAX('Activities'!K812,390))</x:f>
        <x:v>0</x:v>
      </x:c>
      <x:c r="BS812" s="22" t="n">
        <x:f>MAX(0,MIN('Activities'!L812,402)-MAX('Activities'!K812,396))</x:f>
        <x:v>0</x:v>
      </x:c>
      <x:c r="BT812" s="22" t="n">
        <x:f>MAX(0,MIN('Activities'!L812,408)-MAX('Activities'!K812,402))</x:f>
        <x:v>0</x:v>
      </x:c>
      <x:c r="BU812" s="22" t="n">
        <x:f>MAX(0,MIN('Activities'!L812,414)-MAX('Activities'!K812,408))</x:f>
        <x:v>0</x:v>
      </x:c>
      <x:c r="BV812" s="22" t="n">
        <x:f>MAX(0,MIN('Activities'!L812,420)-MAX('Activities'!K812,414))</x:f>
        <x:v>0</x:v>
      </x:c>
      <x:c r="BW812" s="22" t="n">
        <x:f>MAX(0,MIN('Activities'!L812,426)-MAX('Activities'!K812,420))</x:f>
        <x:v>0</x:v>
      </x:c>
      <x:c r="BX812" s="22" t="n">
        <x:f>MAX(0,MIN('Activities'!L812,432)-MAX('Activities'!K812,426))</x:f>
        <x:v>0</x:v>
      </x:c>
      <x:c r="BY812" s="22" t="n">
        <x:f>MAX(0,MIN('Activities'!L812,438)-MAX('Activities'!K812,432))</x:f>
        <x:v>0</x:v>
      </x:c>
      <x:c r="BZ812" s="22" t="n">
        <x:f>MAX(0,MIN('Activities'!L812,444)-MAX('Activities'!K812,438))</x:f>
        <x:v>0</x:v>
      </x:c>
      <x:c r="CA812" s="22" t="n">
        <x:f>MAX(0,MIN('Activities'!L812,450)-MAX('Activities'!K812,444))</x:f>
        <x:v>0</x:v>
      </x:c>
      <x:c r="CB812" s="22" t="n">
        <x:f>MAX(0,MIN('Activities'!L812,456)-MAX('Activities'!K812,450))</x:f>
        <x:v>0</x:v>
      </x:c>
      <x:c r="CC812" s="22" t="n">
        <x:f>MAX(0,MIN('Activities'!L812,462)-MAX('Activities'!K812,456))</x:f>
        <x:v>0</x:v>
      </x:c>
      <x:c r="CD812" s="22" t="n">
        <x:f>MAX(0,MIN('Activities'!L812,468)-MAX('Activities'!K812,462))</x:f>
        <x:v>0</x:v>
      </x:c>
      <x:c r="CE812" s="22" t="n">
        <x:f>MAX(0,MIN('Activities'!L812,474)-MAX('Activities'!K812,468))</x:f>
        <x:v>0</x:v>
      </x:c>
      <x:c r="CF812" s="22" t="n">
        <x:f>MAX(0,MIN('Activities'!L812,480)-MAX('Activities'!K812,474))</x:f>
        <x:v>5</x:v>
      </x:c>
      <x:c r="CG812" s="22" t="n">
        <x:f>MAX(0,MIN('Activities'!L812,486)-MAX('Activities'!K812,480))</x:f>
        <x:v>0</x:v>
      </x:c>
      <x:c r="CH812" s="22" t="n">
        <x:f>MAX(0,MIN('Activities'!L812,492)-MAX('Activities'!K812,486))</x:f>
        <x:v>0</x:v>
      </x:c>
      <x:c r="CI812" s="22" t="n">
        <x:f>MAX(0,MIN('Activities'!L812,498)-MAX('Activities'!K812,492))</x:f>
        <x:v>0</x:v>
      </x:c>
      <x:c r="CJ812" s="22" t="n">
        <x:f>MAX(0,MIN('Activities'!L812,504)-MAX('Activities'!K812,498))</x:f>
        <x:v>0</x:v>
      </x:c>
      <x:c r="CK812" s="22" t="n">
        <x:f>MAX(0,MIN('Activities'!L812,510)-MAX('Activities'!K812,504))</x:f>
        <x:v>0</x:v>
      </x:c>
      <x:c r="CL812" s="22" t="n">
        <x:f>MAX(0,MIN('Activities'!L812,516)-MAX('Activities'!K812,510))</x:f>
        <x:v>0</x:v>
      </x:c>
      <x:c r="CM812" s="22" t="n">
        <x:f>MAX(0,MIN('Activities'!L812,522)-MAX('Activities'!K812,516))</x:f>
        <x:v>0</x:v>
      </x:c>
      <x:c r="CN812" s="22" t="n">
        <x:f>MAX(0,MIN('Activities'!L812,528)-MAX('Activities'!K812,522))</x:f>
        <x:v>0</x:v>
      </x:c>
      <x:c r="CO812" s="22" t="n">
        <x:f>MAX(0,MIN('Activities'!L812,534)-MAX('Activities'!K812,528))</x:f>
        <x:v>0</x:v>
      </x:c>
      <x:c r="CP812" s="22" t="n">
        <x:f>MAX(0,MIN('Activities'!L812,540)-MAX('Activities'!K812,534))</x:f>
        <x:v>0</x:v>
      </x:c>
      <x:c r="CQ812" s="22" t="n">
        <x:f>MAX(0,MIN('Activities'!L812,546)-MAX('Activities'!K812,540))</x:f>
        <x:v>0</x:v>
      </x:c>
      <x:c r="CR812" s="22" t="n">
        <x:f>MAX(0,MIN('Activities'!L812,552)-MAX('Activities'!K812,546))</x:f>
        <x:v>0</x:v>
      </x:c>
      <x:c r="CS812" s="22" t="n">
        <x:f>MAX(0,MIN('Activities'!L812,558)-MAX('Activities'!K812,552))</x:f>
        <x:v>0</x:v>
      </x:c>
      <x:c r="CT812" s="22" t="n">
        <x:f>MAX(0,MIN('Activities'!L812,564)-MAX('Activities'!K812,558))</x:f>
        <x:v>0</x:v>
      </x:c>
      <x:c r="CU812" s="22" t="n">
        <x:f>MAX(0,MIN('Activities'!L812,570)-MAX('Activities'!K812,564))</x:f>
        <x:v>0</x:v>
      </x:c>
      <x:c r="CV812" s="22" t="n">
        <x:f>MAX(0,MIN('Activities'!L812,576)-MAX('Activities'!K812,570))</x:f>
        <x:v>0</x:v>
      </x:c>
      <x:c r="CW812" s="22" t="n">
        <x:f>MAX(0,MIN('Activities'!L812,582)-MAX('Activities'!K812,576))</x:f>
        <x:v>0</x:v>
      </x:c>
      <x:c r="CX812" s="22" t="n">
        <x:f>MAX(0,MIN('Activities'!L812,588)-MAX('Activities'!K812,582))</x:f>
        <x:v>0</x:v>
      </x:c>
      <x:c r="CY812" s="22" t="n">
        <x:f>MAX(0,MIN('Activities'!L812,594)-MAX('Activities'!K812,588))</x:f>
        <x:v>0</x:v>
      </x:c>
      <x:c r="CZ812" s="22" t="n">
        <x:f>MAX(0,MIN('Activities'!L812,600)-MAX('Activities'!K812,594))</x:f>
        <x:v>0</x:v>
      </x:c>
      <x:c r="DA812" s="22" t="n">
        <x:f>MAX(0,MIN('Activities'!L812,606)-MAX('Activities'!K812,600))</x:f>
        <x:v>0</x:v>
      </x:c>
      <x:c r="DB812" s="22" t="n">
        <x:f>MAX(0,MIN('Activities'!L812,612)-MAX('Activities'!K812,606))</x:f>
        <x:v>0</x:v>
      </x:c>
      <x:c r="DC812" s="22" t="n">
        <x:f>MAX(0,MIN('Activities'!L812,618)-MAX('Activities'!K812,612))</x:f>
        <x:v>0</x:v>
      </x:c>
      <x:c r="DD812" s="22" t="n">
        <x:f>MAX(0,MIN('Activities'!L812,624)-MAX('Activities'!K812,618))</x:f>
        <x:v>0</x:v>
      </x:c>
      <x:c r="DE812" s="22" t="n">
        <x:f>MAX(0,MIN('Activities'!L812,630)-MAX('Activities'!K812,624))</x:f>
        <x:v>0</x:v>
      </x:c>
      <x:c r="DF812" s="22" t="n">
        <x:f>MAX(0,MIN('Activities'!L812,636)-MAX('Activities'!K812,630))</x:f>
        <x:v>0</x:v>
      </x:c>
    </x:row>
    <x:row r="813" ht="23" customHeight="1">
      <x:c r="A813" s="1" t="str">
        <x:v>T6-L12-D</x:v>
      </x:c>
      <x:c r="B813" s="1" t="str">
        <x:v>T6</x:v>
      </x:c>
      <x:c r="C813" s="1" t="str">
        <x:v>Door sets and ironmongery</x:v>
      </x:c>
      <x:c r="D813" s="1" t="str">
        <x:v>Finishes</x:v>
      </x:c>
      <x:c r="E813" s="23" t="n">
        <x:f>MAX(0,MIN('Activities'!L813,6)-MAX('Activities'!K813,0))</x:f>
        <x:v>0</x:v>
      </x:c>
      <x:c r="F813" s="23" t="n">
        <x:f>MAX(0,MIN('Activities'!L813,12)-MAX('Activities'!K813,6))</x:f>
        <x:v>0</x:v>
      </x:c>
      <x:c r="G813" s="23" t="n">
        <x:f>MAX(0,MIN('Activities'!L813,18)-MAX('Activities'!K813,12))</x:f>
        <x:v>0</x:v>
      </x:c>
      <x:c r="H813" s="23" t="n">
        <x:f>MAX(0,MIN('Activities'!L813,24)-MAX('Activities'!K813,18))</x:f>
        <x:v>0</x:v>
      </x:c>
      <x:c r="I813" s="23" t="n">
        <x:f>MAX(0,MIN('Activities'!L813,30)-MAX('Activities'!K813,24))</x:f>
        <x:v>0</x:v>
      </x:c>
      <x:c r="J813" s="23" t="n">
        <x:f>MAX(0,MIN('Activities'!L813,36)-MAX('Activities'!K813,30))</x:f>
        <x:v>0</x:v>
      </x:c>
      <x:c r="K813" s="23" t="n">
        <x:f>MAX(0,MIN('Activities'!L813,42)-MAX('Activities'!K813,36))</x:f>
        <x:v>0</x:v>
      </x:c>
      <x:c r="L813" s="23" t="n">
        <x:f>MAX(0,MIN('Activities'!L813,48)-MAX('Activities'!K813,42))</x:f>
        <x:v>0</x:v>
      </x:c>
      <x:c r="M813" s="23" t="n">
        <x:f>MAX(0,MIN('Activities'!L813,54)-MAX('Activities'!K813,48))</x:f>
        <x:v>0</x:v>
      </x:c>
      <x:c r="N813" s="23" t="n">
        <x:f>MAX(0,MIN('Activities'!L813,60)-MAX('Activities'!K813,54))</x:f>
        <x:v>0</x:v>
      </x:c>
      <x:c r="O813" s="23" t="n">
        <x:f>MAX(0,MIN('Activities'!L813,66)-MAX('Activities'!K813,60))</x:f>
        <x:v>0</x:v>
      </x:c>
      <x:c r="P813" s="23" t="n">
        <x:f>MAX(0,MIN('Activities'!L813,72)-MAX('Activities'!K813,66))</x:f>
        <x:v>0</x:v>
      </x:c>
      <x:c r="Q813" s="23" t="n">
        <x:f>MAX(0,MIN('Activities'!L813,78)-MAX('Activities'!K813,72))</x:f>
        <x:v>0</x:v>
      </x:c>
      <x:c r="R813" s="23" t="n">
        <x:f>MAX(0,MIN('Activities'!L813,84)-MAX('Activities'!K813,78))</x:f>
        <x:v>0</x:v>
      </x:c>
      <x:c r="S813" s="23" t="n">
        <x:f>MAX(0,MIN('Activities'!L813,90)-MAX('Activities'!K813,84))</x:f>
        <x:v>0</x:v>
      </x:c>
      <x:c r="T813" s="23" t="n">
        <x:f>MAX(0,MIN('Activities'!L813,96)-MAX('Activities'!K813,90))</x:f>
        <x:v>0</x:v>
      </x:c>
      <x:c r="U813" s="23" t="n">
        <x:f>MAX(0,MIN('Activities'!L813,102)-MAX('Activities'!K813,96))</x:f>
        <x:v>0</x:v>
      </x:c>
      <x:c r="V813" s="23" t="n">
        <x:f>MAX(0,MIN('Activities'!L813,108)-MAX('Activities'!K813,102))</x:f>
        <x:v>0</x:v>
      </x:c>
      <x:c r="W813" s="23" t="n">
        <x:f>MAX(0,MIN('Activities'!L813,114)-MAX('Activities'!K813,108))</x:f>
        <x:v>0</x:v>
      </x:c>
      <x:c r="X813" s="23" t="n">
        <x:f>MAX(0,MIN('Activities'!L813,120)-MAX('Activities'!K813,114))</x:f>
        <x:v>0</x:v>
      </x:c>
      <x:c r="Y813" s="23" t="n">
        <x:f>MAX(0,MIN('Activities'!L813,126)-MAX('Activities'!K813,120))</x:f>
        <x:v>0</x:v>
      </x:c>
      <x:c r="Z813" s="23" t="n">
        <x:f>MAX(0,MIN('Activities'!L813,132)-MAX('Activities'!K813,126))</x:f>
        <x:v>0</x:v>
      </x:c>
      <x:c r="AA813" s="23" t="n">
        <x:f>MAX(0,MIN('Activities'!L813,138)-MAX('Activities'!K813,132))</x:f>
        <x:v>0</x:v>
      </x:c>
      <x:c r="AB813" s="23" t="n">
        <x:f>MAX(0,MIN('Activities'!L813,144)-MAX('Activities'!K813,138))</x:f>
        <x:v>0</x:v>
      </x:c>
      <x:c r="AC813" s="23" t="n">
        <x:f>MAX(0,MIN('Activities'!L813,150)-MAX('Activities'!K813,144))</x:f>
        <x:v>0</x:v>
      </x:c>
      <x:c r="AD813" s="23" t="n">
        <x:f>MAX(0,MIN('Activities'!L813,156)-MAX('Activities'!K813,150))</x:f>
        <x:v>0</x:v>
      </x:c>
      <x:c r="AE813" s="23" t="n">
        <x:f>MAX(0,MIN('Activities'!L813,162)-MAX('Activities'!K813,156))</x:f>
        <x:v>0</x:v>
      </x:c>
      <x:c r="AF813" s="23" t="n">
        <x:f>MAX(0,MIN('Activities'!L813,168)-MAX('Activities'!K813,162))</x:f>
        <x:v>0</x:v>
      </x:c>
      <x:c r="AG813" s="23" t="n">
        <x:f>MAX(0,MIN('Activities'!L813,174)-MAX('Activities'!K813,168))</x:f>
        <x:v>0</x:v>
      </x:c>
      <x:c r="AH813" s="23" t="n">
        <x:f>MAX(0,MIN('Activities'!L813,180)-MAX('Activities'!K813,174))</x:f>
        <x:v>0</x:v>
      </x:c>
      <x:c r="AI813" s="23" t="n">
        <x:f>MAX(0,MIN('Activities'!L813,186)-MAX('Activities'!K813,180))</x:f>
        <x:v>0</x:v>
      </x:c>
      <x:c r="AJ813" s="23" t="n">
        <x:f>MAX(0,MIN('Activities'!L813,192)-MAX('Activities'!K813,186))</x:f>
        <x:v>0</x:v>
      </x:c>
      <x:c r="AK813" s="23" t="n">
        <x:f>MAX(0,MIN('Activities'!L813,198)-MAX('Activities'!K813,192))</x:f>
        <x:v>0</x:v>
      </x:c>
      <x:c r="AL813" s="23" t="n">
        <x:f>MAX(0,MIN('Activities'!L813,204)-MAX('Activities'!K813,198))</x:f>
        <x:v>0</x:v>
      </x:c>
      <x:c r="AM813" s="23" t="n">
        <x:f>MAX(0,MIN('Activities'!L813,210)-MAX('Activities'!K813,204))</x:f>
        <x:v>0</x:v>
      </x:c>
      <x:c r="AN813" s="23" t="n">
        <x:f>MAX(0,MIN('Activities'!L813,216)-MAX('Activities'!K813,210))</x:f>
        <x:v>0</x:v>
      </x:c>
      <x:c r="AO813" s="23" t="n">
        <x:f>MAX(0,MIN('Activities'!L813,222)-MAX('Activities'!K813,216))</x:f>
        <x:v>0</x:v>
      </x:c>
      <x:c r="AP813" s="23" t="n">
        <x:f>MAX(0,MIN('Activities'!L813,228)-MAX('Activities'!K813,222))</x:f>
        <x:v>0</x:v>
      </x:c>
      <x:c r="AQ813" s="23" t="n">
        <x:f>MAX(0,MIN('Activities'!L813,234)-MAX('Activities'!K813,228))</x:f>
        <x:v>0</x:v>
      </x:c>
      <x:c r="AR813" s="23" t="n">
        <x:f>MAX(0,MIN('Activities'!L813,240)-MAX('Activities'!K813,234))</x:f>
        <x:v>0</x:v>
      </x:c>
      <x:c r="AS813" s="23" t="n">
        <x:f>MAX(0,MIN('Activities'!L813,246)-MAX('Activities'!K813,240))</x:f>
        <x:v>0</x:v>
      </x:c>
      <x:c r="AT813" s="23" t="n">
        <x:f>MAX(0,MIN('Activities'!L813,252)-MAX('Activities'!K813,246))</x:f>
        <x:v>0</x:v>
      </x:c>
      <x:c r="AU813" s="23" t="n">
        <x:f>MAX(0,MIN('Activities'!L813,258)-MAX('Activities'!K813,252))</x:f>
        <x:v>0</x:v>
      </x:c>
      <x:c r="AV813" s="23" t="n">
        <x:f>MAX(0,MIN('Activities'!L813,264)-MAX('Activities'!K813,258))</x:f>
        <x:v>0</x:v>
      </x:c>
      <x:c r="AW813" s="23" t="n">
        <x:f>MAX(0,MIN('Activities'!L813,270)-MAX('Activities'!K813,264))</x:f>
        <x:v>0</x:v>
      </x:c>
      <x:c r="AX813" s="23" t="n">
        <x:f>MAX(0,MIN('Activities'!L813,276)-MAX('Activities'!K813,270))</x:f>
        <x:v>0</x:v>
      </x:c>
      <x:c r="AY813" s="23" t="n">
        <x:f>MAX(0,MIN('Activities'!L813,282)-MAX('Activities'!K813,276))</x:f>
        <x:v>0</x:v>
      </x:c>
      <x:c r="AZ813" s="23" t="n">
        <x:f>MAX(0,MIN('Activities'!L813,288)-MAX('Activities'!K813,282))</x:f>
        <x:v>0</x:v>
      </x:c>
      <x:c r="BA813" s="23" t="n">
        <x:f>MAX(0,MIN('Activities'!L813,294)-MAX('Activities'!K813,288))</x:f>
        <x:v>0</x:v>
      </x:c>
      <x:c r="BB813" s="23" t="n">
        <x:f>MAX(0,MIN('Activities'!L813,300)-MAX('Activities'!K813,294))</x:f>
        <x:v>0</x:v>
      </x:c>
      <x:c r="BC813" s="23" t="n">
        <x:f>MAX(0,MIN('Activities'!L813,306)-MAX('Activities'!K813,300))</x:f>
        <x:v>0</x:v>
      </x:c>
      <x:c r="BD813" s="23" t="n">
        <x:f>MAX(0,MIN('Activities'!L813,312)-MAX('Activities'!K813,306))</x:f>
        <x:v>0</x:v>
      </x:c>
      <x:c r="BE813" s="23" t="n">
        <x:f>MAX(0,MIN('Activities'!L813,318)-MAX('Activities'!K813,312))</x:f>
        <x:v>0</x:v>
      </x:c>
      <x:c r="BF813" s="23" t="n">
        <x:f>MAX(0,MIN('Activities'!L813,324)-MAX('Activities'!K813,318))</x:f>
        <x:v>0</x:v>
      </x:c>
      <x:c r="BG813" s="23" t="n">
        <x:f>MAX(0,MIN('Activities'!L813,330)-MAX('Activities'!K813,324))</x:f>
        <x:v>0</x:v>
      </x:c>
      <x:c r="BH813" s="23" t="n">
        <x:f>MAX(0,MIN('Activities'!L813,336)-MAX('Activities'!K813,330))</x:f>
        <x:v>0</x:v>
      </x:c>
      <x:c r="BI813" s="23" t="n">
        <x:f>MAX(0,MIN('Activities'!L813,342)-MAX('Activities'!K813,336))</x:f>
        <x:v>0</x:v>
      </x:c>
      <x:c r="BJ813" s="23" t="n">
        <x:f>MAX(0,MIN('Activities'!L813,348)-MAX('Activities'!K813,342))</x:f>
        <x:v>0</x:v>
      </x:c>
      <x:c r="BK813" s="23" t="n">
        <x:f>MAX(0,MIN('Activities'!L813,354)-MAX('Activities'!K813,348))</x:f>
        <x:v>0</x:v>
      </x:c>
      <x:c r="BL813" s="23" t="n">
        <x:f>MAX(0,MIN('Activities'!L813,360)-MAX('Activities'!K813,354))</x:f>
        <x:v>0</x:v>
      </x:c>
      <x:c r="BM813" s="23" t="n">
        <x:f>MAX(0,MIN('Activities'!L813,366)-MAX('Activities'!K813,360))</x:f>
        <x:v>0</x:v>
      </x:c>
      <x:c r="BN813" s="23" t="n">
        <x:f>MAX(0,MIN('Activities'!L813,372)-MAX('Activities'!K813,366))</x:f>
        <x:v>0</x:v>
      </x:c>
      <x:c r="BO813" s="23" t="n">
        <x:f>MAX(0,MIN('Activities'!L813,378)-MAX('Activities'!K813,372))</x:f>
        <x:v>0</x:v>
      </x:c>
      <x:c r="BP813" s="23" t="n">
        <x:f>MAX(0,MIN('Activities'!L813,384)-MAX('Activities'!K813,378))</x:f>
        <x:v>0</x:v>
      </x:c>
      <x:c r="BQ813" s="23" t="n">
        <x:f>MAX(0,MIN('Activities'!L813,390)-MAX('Activities'!K813,384))</x:f>
        <x:v>0</x:v>
      </x:c>
      <x:c r="BR813" s="23" t="n">
        <x:f>MAX(0,MIN('Activities'!L813,396)-MAX('Activities'!K813,390))</x:f>
        <x:v>0</x:v>
      </x:c>
      <x:c r="BS813" s="23" t="n">
        <x:f>MAX(0,MIN('Activities'!L813,402)-MAX('Activities'!K813,396))</x:f>
        <x:v>0</x:v>
      </x:c>
      <x:c r="BT813" s="23" t="n">
        <x:f>MAX(0,MIN('Activities'!L813,408)-MAX('Activities'!K813,402))</x:f>
        <x:v>0</x:v>
      </x:c>
      <x:c r="BU813" s="23" t="n">
        <x:f>MAX(0,MIN('Activities'!L813,414)-MAX('Activities'!K813,408))</x:f>
        <x:v>0</x:v>
      </x:c>
      <x:c r="BV813" s="23" t="n">
        <x:f>MAX(0,MIN('Activities'!L813,420)-MAX('Activities'!K813,414))</x:f>
        <x:v>0</x:v>
      </x:c>
      <x:c r="BW813" s="23" t="n">
        <x:f>MAX(0,MIN('Activities'!L813,426)-MAX('Activities'!K813,420))</x:f>
        <x:v>0</x:v>
      </x:c>
      <x:c r="BX813" s="23" t="n">
        <x:f>MAX(0,MIN('Activities'!L813,432)-MAX('Activities'!K813,426))</x:f>
        <x:v>0</x:v>
      </x:c>
      <x:c r="BY813" s="23" t="n">
        <x:f>MAX(0,MIN('Activities'!L813,438)-MAX('Activities'!K813,432))</x:f>
        <x:v>0</x:v>
      </x:c>
      <x:c r="BZ813" s="23" t="n">
        <x:f>MAX(0,MIN('Activities'!L813,444)-MAX('Activities'!K813,438))</x:f>
        <x:v>0</x:v>
      </x:c>
      <x:c r="CA813" s="23" t="n">
        <x:f>MAX(0,MIN('Activities'!L813,450)-MAX('Activities'!K813,444))</x:f>
        <x:v>0</x:v>
      </x:c>
      <x:c r="CB813" s="23" t="n">
        <x:f>MAX(0,MIN('Activities'!L813,456)-MAX('Activities'!K813,450))</x:f>
        <x:v>0</x:v>
      </x:c>
      <x:c r="CC813" s="23" t="n">
        <x:f>MAX(0,MIN('Activities'!L813,462)-MAX('Activities'!K813,456))</x:f>
        <x:v>0</x:v>
      </x:c>
      <x:c r="CD813" s="23" t="n">
        <x:f>MAX(0,MIN('Activities'!L813,468)-MAX('Activities'!K813,462))</x:f>
        <x:v>0</x:v>
      </x:c>
      <x:c r="CE813" s="23" t="n">
        <x:f>MAX(0,MIN('Activities'!L813,474)-MAX('Activities'!K813,468))</x:f>
        <x:v>0</x:v>
      </x:c>
      <x:c r="CF813" s="23" t="n">
        <x:f>MAX(0,MIN('Activities'!L813,480)-MAX('Activities'!K813,474))</x:f>
        <x:v>1</x:v>
      </x:c>
      <x:c r="CG813" s="23" t="n">
        <x:f>MAX(0,MIN('Activities'!L813,486)-MAX('Activities'!K813,480))</x:f>
        <x:v>2</x:v>
      </x:c>
      <x:c r="CH813" s="23" t="n">
        <x:f>MAX(0,MIN('Activities'!L813,492)-MAX('Activities'!K813,486))</x:f>
        <x:v>0</x:v>
      </x:c>
      <x:c r="CI813" s="23" t="n">
        <x:f>MAX(0,MIN('Activities'!L813,498)-MAX('Activities'!K813,492))</x:f>
        <x:v>0</x:v>
      </x:c>
      <x:c r="CJ813" s="23" t="n">
        <x:f>MAX(0,MIN('Activities'!L813,504)-MAX('Activities'!K813,498))</x:f>
        <x:v>0</x:v>
      </x:c>
      <x:c r="CK813" s="23" t="n">
        <x:f>MAX(0,MIN('Activities'!L813,510)-MAX('Activities'!K813,504))</x:f>
        <x:v>0</x:v>
      </x:c>
      <x:c r="CL813" s="23" t="n">
        <x:f>MAX(0,MIN('Activities'!L813,516)-MAX('Activities'!K813,510))</x:f>
        <x:v>0</x:v>
      </x:c>
      <x:c r="CM813" s="23" t="n">
        <x:f>MAX(0,MIN('Activities'!L813,522)-MAX('Activities'!K813,516))</x:f>
        <x:v>0</x:v>
      </x:c>
      <x:c r="CN813" s="23" t="n">
        <x:f>MAX(0,MIN('Activities'!L813,528)-MAX('Activities'!K813,522))</x:f>
        <x:v>0</x:v>
      </x:c>
      <x:c r="CO813" s="23" t="n">
        <x:f>MAX(0,MIN('Activities'!L813,534)-MAX('Activities'!K813,528))</x:f>
        <x:v>0</x:v>
      </x:c>
      <x:c r="CP813" s="23" t="n">
        <x:f>MAX(0,MIN('Activities'!L813,540)-MAX('Activities'!K813,534))</x:f>
        <x:v>0</x:v>
      </x:c>
      <x:c r="CQ813" s="23" t="n">
        <x:f>MAX(0,MIN('Activities'!L813,546)-MAX('Activities'!K813,540))</x:f>
        <x:v>0</x:v>
      </x:c>
      <x:c r="CR813" s="23" t="n">
        <x:f>MAX(0,MIN('Activities'!L813,552)-MAX('Activities'!K813,546))</x:f>
        <x:v>0</x:v>
      </x:c>
      <x:c r="CS813" s="23" t="n">
        <x:f>MAX(0,MIN('Activities'!L813,558)-MAX('Activities'!K813,552))</x:f>
        <x:v>0</x:v>
      </x:c>
      <x:c r="CT813" s="23" t="n">
        <x:f>MAX(0,MIN('Activities'!L813,564)-MAX('Activities'!K813,558))</x:f>
        <x:v>0</x:v>
      </x:c>
      <x:c r="CU813" s="23" t="n">
        <x:f>MAX(0,MIN('Activities'!L813,570)-MAX('Activities'!K813,564))</x:f>
        <x:v>0</x:v>
      </x:c>
      <x:c r="CV813" s="23" t="n">
        <x:f>MAX(0,MIN('Activities'!L813,576)-MAX('Activities'!K813,570))</x:f>
        <x:v>0</x:v>
      </x:c>
      <x:c r="CW813" s="23" t="n">
        <x:f>MAX(0,MIN('Activities'!L813,582)-MAX('Activities'!K813,576))</x:f>
        <x:v>0</x:v>
      </x:c>
      <x:c r="CX813" s="23" t="n">
        <x:f>MAX(0,MIN('Activities'!L813,588)-MAX('Activities'!K813,582))</x:f>
        <x:v>0</x:v>
      </x:c>
      <x:c r="CY813" s="23" t="n">
        <x:f>MAX(0,MIN('Activities'!L813,594)-MAX('Activities'!K813,588))</x:f>
        <x:v>0</x:v>
      </x:c>
      <x:c r="CZ813" s="23" t="n">
        <x:f>MAX(0,MIN('Activities'!L813,600)-MAX('Activities'!K813,594))</x:f>
        <x:v>0</x:v>
      </x:c>
      <x:c r="DA813" s="23" t="n">
        <x:f>MAX(0,MIN('Activities'!L813,606)-MAX('Activities'!K813,600))</x:f>
        <x:v>0</x:v>
      </x:c>
      <x:c r="DB813" s="23" t="n">
        <x:f>MAX(0,MIN('Activities'!L813,612)-MAX('Activities'!K813,606))</x:f>
        <x:v>0</x:v>
      </x:c>
      <x:c r="DC813" s="23" t="n">
        <x:f>MAX(0,MIN('Activities'!L813,618)-MAX('Activities'!K813,612))</x:f>
        <x:v>0</x:v>
      </x:c>
      <x:c r="DD813" s="23" t="n">
        <x:f>MAX(0,MIN('Activities'!L813,624)-MAX('Activities'!K813,618))</x:f>
        <x:v>0</x:v>
      </x:c>
      <x:c r="DE813" s="23" t="n">
        <x:f>MAX(0,MIN('Activities'!L813,630)-MAX('Activities'!K813,624))</x:f>
        <x:v>0</x:v>
      </x:c>
      <x:c r="DF813" s="23" t="n">
        <x:f>MAX(0,MIN('Activities'!L813,636)-MAX('Activities'!K813,630))</x:f>
        <x:v>0</x:v>
      </x:c>
    </x:row>
    <x:row r="814" ht="23" customHeight="1">
      <x:c r="A814" s="6" t="str">
        <x:v>X-010</x:v>
      </x:c>
      <x:c r="B814" s="6" t="str">
        <x:v>SITE</x:v>
      </x:c>
      <x:c r="C814" s="6" t="str">
        <x:v>Stormwater pipes and chambers</x:v>
      </x:c>
      <x:c r="D814" s="6" t="str">
        <x:v>External</x:v>
      </x:c>
      <x:c r="E814" s="22" t="n">
        <x:f>MAX(0,MIN('Activities'!L814,6)-MAX('Activities'!K814,0))</x:f>
        <x:v>0</x:v>
      </x:c>
      <x:c r="F814" s="22" t="n">
        <x:f>MAX(0,MIN('Activities'!L814,12)-MAX('Activities'!K814,6))</x:f>
        <x:v>0</x:v>
      </x:c>
      <x:c r="G814" s="22" t="n">
        <x:f>MAX(0,MIN('Activities'!L814,18)-MAX('Activities'!K814,12))</x:f>
        <x:v>0</x:v>
      </x:c>
      <x:c r="H814" s="22" t="n">
        <x:f>MAX(0,MIN('Activities'!L814,24)-MAX('Activities'!K814,18))</x:f>
        <x:v>0</x:v>
      </x:c>
      <x:c r="I814" s="22" t="n">
        <x:f>MAX(0,MIN('Activities'!L814,30)-MAX('Activities'!K814,24))</x:f>
        <x:v>0</x:v>
      </x:c>
      <x:c r="J814" s="22" t="n">
        <x:f>MAX(0,MIN('Activities'!L814,36)-MAX('Activities'!K814,30))</x:f>
        <x:v>0</x:v>
      </x:c>
      <x:c r="K814" s="22" t="n">
        <x:f>MAX(0,MIN('Activities'!L814,42)-MAX('Activities'!K814,36))</x:f>
        <x:v>0</x:v>
      </x:c>
      <x:c r="L814" s="22" t="n">
        <x:f>MAX(0,MIN('Activities'!L814,48)-MAX('Activities'!K814,42))</x:f>
        <x:v>0</x:v>
      </x:c>
      <x:c r="M814" s="22" t="n">
        <x:f>MAX(0,MIN('Activities'!L814,54)-MAX('Activities'!K814,48))</x:f>
        <x:v>0</x:v>
      </x:c>
      <x:c r="N814" s="22" t="n">
        <x:f>MAX(0,MIN('Activities'!L814,60)-MAX('Activities'!K814,54))</x:f>
        <x:v>0</x:v>
      </x:c>
      <x:c r="O814" s="22" t="n">
        <x:f>MAX(0,MIN('Activities'!L814,66)-MAX('Activities'!K814,60))</x:f>
        <x:v>0</x:v>
      </x:c>
      <x:c r="P814" s="22" t="n">
        <x:f>MAX(0,MIN('Activities'!L814,72)-MAX('Activities'!K814,66))</x:f>
        <x:v>0</x:v>
      </x:c>
      <x:c r="Q814" s="22" t="n">
        <x:f>MAX(0,MIN('Activities'!L814,78)-MAX('Activities'!K814,72))</x:f>
        <x:v>0</x:v>
      </x:c>
      <x:c r="R814" s="22" t="n">
        <x:f>MAX(0,MIN('Activities'!L814,84)-MAX('Activities'!K814,78))</x:f>
        <x:v>0</x:v>
      </x:c>
      <x:c r="S814" s="22" t="n">
        <x:f>MAX(0,MIN('Activities'!L814,90)-MAX('Activities'!K814,84))</x:f>
        <x:v>0</x:v>
      </x:c>
      <x:c r="T814" s="22" t="n">
        <x:f>MAX(0,MIN('Activities'!L814,96)-MAX('Activities'!K814,90))</x:f>
        <x:v>0</x:v>
      </x:c>
      <x:c r="U814" s="22" t="n">
        <x:f>MAX(0,MIN('Activities'!L814,102)-MAX('Activities'!K814,96))</x:f>
        <x:v>0</x:v>
      </x:c>
      <x:c r="V814" s="22" t="n">
        <x:f>MAX(0,MIN('Activities'!L814,108)-MAX('Activities'!K814,102))</x:f>
        <x:v>0</x:v>
      </x:c>
      <x:c r="W814" s="22" t="n">
        <x:f>MAX(0,MIN('Activities'!L814,114)-MAX('Activities'!K814,108))</x:f>
        <x:v>0</x:v>
      </x:c>
      <x:c r="X814" s="22" t="n">
        <x:f>MAX(0,MIN('Activities'!L814,120)-MAX('Activities'!K814,114))</x:f>
        <x:v>0</x:v>
      </x:c>
      <x:c r="Y814" s="22" t="n">
        <x:f>MAX(0,MIN('Activities'!L814,126)-MAX('Activities'!K814,120))</x:f>
        <x:v>0</x:v>
      </x:c>
      <x:c r="Z814" s="22" t="n">
        <x:f>MAX(0,MIN('Activities'!L814,132)-MAX('Activities'!K814,126))</x:f>
        <x:v>0</x:v>
      </x:c>
      <x:c r="AA814" s="22" t="n">
        <x:f>MAX(0,MIN('Activities'!L814,138)-MAX('Activities'!K814,132))</x:f>
        <x:v>0</x:v>
      </x:c>
      <x:c r="AB814" s="22" t="n">
        <x:f>MAX(0,MIN('Activities'!L814,144)-MAX('Activities'!K814,138))</x:f>
        <x:v>0</x:v>
      </x:c>
      <x:c r="AC814" s="22" t="n">
        <x:f>MAX(0,MIN('Activities'!L814,150)-MAX('Activities'!K814,144))</x:f>
        <x:v>0</x:v>
      </x:c>
      <x:c r="AD814" s="22" t="n">
        <x:f>MAX(0,MIN('Activities'!L814,156)-MAX('Activities'!K814,150))</x:f>
        <x:v>0</x:v>
      </x:c>
      <x:c r="AE814" s="22" t="n">
        <x:f>MAX(0,MIN('Activities'!L814,162)-MAX('Activities'!K814,156))</x:f>
        <x:v>0</x:v>
      </x:c>
      <x:c r="AF814" s="22" t="n">
        <x:f>MAX(0,MIN('Activities'!L814,168)-MAX('Activities'!K814,162))</x:f>
        <x:v>5</x:v>
      </x:c>
      <x:c r="AG814" s="22" t="n">
        <x:f>MAX(0,MIN('Activities'!L814,174)-MAX('Activities'!K814,168))</x:f>
        <x:v>6</x:v>
      </x:c>
      <x:c r="AH814" s="22" t="n">
        <x:f>MAX(0,MIN('Activities'!L814,180)-MAX('Activities'!K814,174))</x:f>
        <x:v>6</x:v>
      </x:c>
      <x:c r="AI814" s="22" t="n">
        <x:f>MAX(0,MIN('Activities'!L814,186)-MAX('Activities'!K814,180))</x:f>
        <x:v>1</x:v>
      </x:c>
      <x:c r="AJ814" s="22" t="n">
        <x:f>MAX(0,MIN('Activities'!L814,192)-MAX('Activities'!K814,186))</x:f>
        <x:v>0</x:v>
      </x:c>
      <x:c r="AK814" s="22" t="n">
        <x:f>MAX(0,MIN('Activities'!L814,198)-MAX('Activities'!K814,192))</x:f>
        <x:v>0</x:v>
      </x:c>
      <x:c r="AL814" s="22" t="n">
        <x:f>MAX(0,MIN('Activities'!L814,204)-MAX('Activities'!K814,198))</x:f>
        <x:v>0</x:v>
      </x:c>
      <x:c r="AM814" s="22" t="n">
        <x:f>MAX(0,MIN('Activities'!L814,210)-MAX('Activities'!K814,204))</x:f>
        <x:v>0</x:v>
      </x:c>
      <x:c r="AN814" s="22" t="n">
        <x:f>MAX(0,MIN('Activities'!L814,216)-MAX('Activities'!K814,210))</x:f>
        <x:v>0</x:v>
      </x:c>
      <x:c r="AO814" s="22" t="n">
        <x:f>MAX(0,MIN('Activities'!L814,222)-MAX('Activities'!K814,216))</x:f>
        <x:v>0</x:v>
      </x:c>
      <x:c r="AP814" s="22" t="n">
        <x:f>MAX(0,MIN('Activities'!L814,228)-MAX('Activities'!K814,222))</x:f>
        <x:v>0</x:v>
      </x:c>
      <x:c r="AQ814" s="22" t="n">
        <x:f>MAX(0,MIN('Activities'!L814,234)-MAX('Activities'!K814,228))</x:f>
        <x:v>0</x:v>
      </x:c>
      <x:c r="AR814" s="22" t="n">
        <x:f>MAX(0,MIN('Activities'!L814,240)-MAX('Activities'!K814,234))</x:f>
        <x:v>0</x:v>
      </x:c>
      <x:c r="AS814" s="22" t="n">
        <x:f>MAX(0,MIN('Activities'!L814,246)-MAX('Activities'!K814,240))</x:f>
        <x:v>0</x:v>
      </x:c>
      <x:c r="AT814" s="22" t="n">
        <x:f>MAX(0,MIN('Activities'!L814,252)-MAX('Activities'!K814,246))</x:f>
        <x:v>0</x:v>
      </x:c>
      <x:c r="AU814" s="22" t="n">
        <x:f>MAX(0,MIN('Activities'!L814,258)-MAX('Activities'!K814,252))</x:f>
        <x:v>0</x:v>
      </x:c>
      <x:c r="AV814" s="22" t="n">
        <x:f>MAX(0,MIN('Activities'!L814,264)-MAX('Activities'!K814,258))</x:f>
        <x:v>0</x:v>
      </x:c>
      <x:c r="AW814" s="22" t="n">
        <x:f>MAX(0,MIN('Activities'!L814,270)-MAX('Activities'!K814,264))</x:f>
        <x:v>0</x:v>
      </x:c>
      <x:c r="AX814" s="22" t="n">
        <x:f>MAX(0,MIN('Activities'!L814,276)-MAX('Activities'!K814,270))</x:f>
        <x:v>0</x:v>
      </x:c>
      <x:c r="AY814" s="22" t="n">
        <x:f>MAX(0,MIN('Activities'!L814,282)-MAX('Activities'!K814,276))</x:f>
        <x:v>0</x:v>
      </x:c>
      <x:c r="AZ814" s="22" t="n">
        <x:f>MAX(0,MIN('Activities'!L814,288)-MAX('Activities'!K814,282))</x:f>
        <x:v>0</x:v>
      </x:c>
      <x:c r="BA814" s="22" t="n">
        <x:f>MAX(0,MIN('Activities'!L814,294)-MAX('Activities'!K814,288))</x:f>
        <x:v>0</x:v>
      </x:c>
      <x:c r="BB814" s="22" t="n">
        <x:f>MAX(0,MIN('Activities'!L814,300)-MAX('Activities'!K814,294))</x:f>
        <x:v>0</x:v>
      </x:c>
      <x:c r="BC814" s="22" t="n">
        <x:f>MAX(0,MIN('Activities'!L814,306)-MAX('Activities'!K814,300))</x:f>
        <x:v>0</x:v>
      </x:c>
      <x:c r="BD814" s="22" t="n">
        <x:f>MAX(0,MIN('Activities'!L814,312)-MAX('Activities'!K814,306))</x:f>
        <x:v>0</x:v>
      </x:c>
      <x:c r="BE814" s="22" t="n">
        <x:f>MAX(0,MIN('Activities'!L814,318)-MAX('Activities'!K814,312))</x:f>
        <x:v>0</x:v>
      </x:c>
      <x:c r="BF814" s="22" t="n">
        <x:f>MAX(0,MIN('Activities'!L814,324)-MAX('Activities'!K814,318))</x:f>
        <x:v>0</x:v>
      </x:c>
      <x:c r="BG814" s="22" t="n">
        <x:f>MAX(0,MIN('Activities'!L814,330)-MAX('Activities'!K814,324))</x:f>
        <x:v>0</x:v>
      </x:c>
      <x:c r="BH814" s="22" t="n">
        <x:f>MAX(0,MIN('Activities'!L814,336)-MAX('Activities'!K814,330))</x:f>
        <x:v>0</x:v>
      </x:c>
      <x:c r="BI814" s="22" t="n">
        <x:f>MAX(0,MIN('Activities'!L814,342)-MAX('Activities'!K814,336))</x:f>
        <x:v>0</x:v>
      </x:c>
      <x:c r="BJ814" s="22" t="n">
        <x:f>MAX(0,MIN('Activities'!L814,348)-MAX('Activities'!K814,342))</x:f>
        <x:v>0</x:v>
      </x:c>
      <x:c r="BK814" s="22" t="n">
        <x:f>MAX(0,MIN('Activities'!L814,354)-MAX('Activities'!K814,348))</x:f>
        <x:v>0</x:v>
      </x:c>
      <x:c r="BL814" s="22" t="n">
        <x:f>MAX(0,MIN('Activities'!L814,360)-MAX('Activities'!K814,354))</x:f>
        <x:v>0</x:v>
      </x:c>
      <x:c r="BM814" s="22" t="n">
        <x:f>MAX(0,MIN('Activities'!L814,366)-MAX('Activities'!K814,360))</x:f>
        <x:v>0</x:v>
      </x:c>
      <x:c r="BN814" s="22" t="n">
        <x:f>MAX(0,MIN('Activities'!L814,372)-MAX('Activities'!K814,366))</x:f>
        <x:v>0</x:v>
      </x:c>
      <x:c r="BO814" s="22" t="n">
        <x:f>MAX(0,MIN('Activities'!L814,378)-MAX('Activities'!K814,372))</x:f>
        <x:v>0</x:v>
      </x:c>
      <x:c r="BP814" s="22" t="n">
        <x:f>MAX(0,MIN('Activities'!L814,384)-MAX('Activities'!K814,378))</x:f>
        <x:v>0</x:v>
      </x:c>
      <x:c r="BQ814" s="22" t="n">
        <x:f>MAX(0,MIN('Activities'!L814,390)-MAX('Activities'!K814,384))</x:f>
        <x:v>0</x:v>
      </x:c>
      <x:c r="BR814" s="22" t="n">
        <x:f>MAX(0,MIN('Activities'!L814,396)-MAX('Activities'!K814,390))</x:f>
        <x:v>0</x:v>
      </x:c>
      <x:c r="BS814" s="22" t="n">
        <x:f>MAX(0,MIN('Activities'!L814,402)-MAX('Activities'!K814,396))</x:f>
        <x:v>0</x:v>
      </x:c>
      <x:c r="BT814" s="22" t="n">
        <x:f>MAX(0,MIN('Activities'!L814,408)-MAX('Activities'!K814,402))</x:f>
        <x:v>0</x:v>
      </x:c>
      <x:c r="BU814" s="22" t="n">
        <x:f>MAX(0,MIN('Activities'!L814,414)-MAX('Activities'!K814,408))</x:f>
        <x:v>0</x:v>
      </x:c>
      <x:c r="BV814" s="22" t="n">
        <x:f>MAX(0,MIN('Activities'!L814,420)-MAX('Activities'!K814,414))</x:f>
        <x:v>0</x:v>
      </x:c>
      <x:c r="BW814" s="22" t="n">
        <x:f>MAX(0,MIN('Activities'!L814,426)-MAX('Activities'!K814,420))</x:f>
        <x:v>0</x:v>
      </x:c>
      <x:c r="BX814" s="22" t="n">
        <x:f>MAX(0,MIN('Activities'!L814,432)-MAX('Activities'!K814,426))</x:f>
        <x:v>0</x:v>
      </x:c>
      <x:c r="BY814" s="22" t="n">
        <x:f>MAX(0,MIN('Activities'!L814,438)-MAX('Activities'!K814,432))</x:f>
        <x:v>0</x:v>
      </x:c>
      <x:c r="BZ814" s="22" t="n">
        <x:f>MAX(0,MIN('Activities'!L814,444)-MAX('Activities'!K814,438))</x:f>
        <x:v>0</x:v>
      </x:c>
      <x:c r="CA814" s="22" t="n">
        <x:f>MAX(0,MIN('Activities'!L814,450)-MAX('Activities'!K814,444))</x:f>
        <x:v>0</x:v>
      </x:c>
      <x:c r="CB814" s="22" t="n">
        <x:f>MAX(0,MIN('Activities'!L814,456)-MAX('Activities'!K814,450))</x:f>
        <x:v>0</x:v>
      </x:c>
      <x:c r="CC814" s="22" t="n">
        <x:f>MAX(0,MIN('Activities'!L814,462)-MAX('Activities'!K814,456))</x:f>
        <x:v>0</x:v>
      </x:c>
      <x:c r="CD814" s="22" t="n">
        <x:f>MAX(0,MIN('Activities'!L814,468)-MAX('Activities'!K814,462))</x:f>
        <x:v>0</x:v>
      </x:c>
      <x:c r="CE814" s="22" t="n">
        <x:f>MAX(0,MIN('Activities'!L814,474)-MAX('Activities'!K814,468))</x:f>
        <x:v>0</x:v>
      </x:c>
      <x:c r="CF814" s="22" t="n">
        <x:f>MAX(0,MIN('Activities'!L814,480)-MAX('Activities'!K814,474))</x:f>
        <x:v>0</x:v>
      </x:c>
      <x:c r="CG814" s="22" t="n">
        <x:f>MAX(0,MIN('Activities'!L814,486)-MAX('Activities'!K814,480))</x:f>
        <x:v>0</x:v>
      </x:c>
      <x:c r="CH814" s="22" t="n">
        <x:f>MAX(0,MIN('Activities'!L814,492)-MAX('Activities'!K814,486))</x:f>
        <x:v>0</x:v>
      </x:c>
      <x:c r="CI814" s="22" t="n">
        <x:f>MAX(0,MIN('Activities'!L814,498)-MAX('Activities'!K814,492))</x:f>
        <x:v>0</x:v>
      </x:c>
      <x:c r="CJ814" s="22" t="n">
        <x:f>MAX(0,MIN('Activities'!L814,504)-MAX('Activities'!K814,498))</x:f>
        <x:v>0</x:v>
      </x:c>
      <x:c r="CK814" s="22" t="n">
        <x:f>MAX(0,MIN('Activities'!L814,510)-MAX('Activities'!K814,504))</x:f>
        <x:v>0</x:v>
      </x:c>
      <x:c r="CL814" s="22" t="n">
        <x:f>MAX(0,MIN('Activities'!L814,516)-MAX('Activities'!K814,510))</x:f>
        <x:v>0</x:v>
      </x:c>
      <x:c r="CM814" s="22" t="n">
        <x:f>MAX(0,MIN('Activities'!L814,522)-MAX('Activities'!K814,516))</x:f>
        <x:v>0</x:v>
      </x:c>
      <x:c r="CN814" s="22" t="n">
        <x:f>MAX(0,MIN('Activities'!L814,528)-MAX('Activities'!K814,522))</x:f>
        <x:v>0</x:v>
      </x:c>
      <x:c r="CO814" s="22" t="n">
        <x:f>MAX(0,MIN('Activities'!L814,534)-MAX('Activities'!K814,528))</x:f>
        <x:v>0</x:v>
      </x:c>
      <x:c r="CP814" s="22" t="n">
        <x:f>MAX(0,MIN('Activities'!L814,540)-MAX('Activities'!K814,534))</x:f>
        <x:v>0</x:v>
      </x:c>
      <x:c r="CQ814" s="22" t="n">
        <x:f>MAX(0,MIN('Activities'!L814,546)-MAX('Activities'!K814,540))</x:f>
        <x:v>0</x:v>
      </x:c>
      <x:c r="CR814" s="22" t="n">
        <x:f>MAX(0,MIN('Activities'!L814,552)-MAX('Activities'!K814,546))</x:f>
        <x:v>0</x:v>
      </x:c>
      <x:c r="CS814" s="22" t="n">
        <x:f>MAX(0,MIN('Activities'!L814,558)-MAX('Activities'!K814,552))</x:f>
        <x:v>0</x:v>
      </x:c>
      <x:c r="CT814" s="22" t="n">
        <x:f>MAX(0,MIN('Activities'!L814,564)-MAX('Activities'!K814,558))</x:f>
        <x:v>0</x:v>
      </x:c>
      <x:c r="CU814" s="22" t="n">
        <x:f>MAX(0,MIN('Activities'!L814,570)-MAX('Activities'!K814,564))</x:f>
        <x:v>0</x:v>
      </x:c>
      <x:c r="CV814" s="22" t="n">
        <x:f>MAX(0,MIN('Activities'!L814,576)-MAX('Activities'!K814,570))</x:f>
        <x:v>0</x:v>
      </x:c>
      <x:c r="CW814" s="22" t="n">
        <x:f>MAX(0,MIN('Activities'!L814,582)-MAX('Activities'!K814,576))</x:f>
        <x:v>0</x:v>
      </x:c>
      <x:c r="CX814" s="22" t="n">
        <x:f>MAX(0,MIN('Activities'!L814,588)-MAX('Activities'!K814,582))</x:f>
        <x:v>0</x:v>
      </x:c>
      <x:c r="CY814" s="22" t="n">
        <x:f>MAX(0,MIN('Activities'!L814,594)-MAX('Activities'!K814,588))</x:f>
        <x:v>0</x:v>
      </x:c>
      <x:c r="CZ814" s="22" t="n">
        <x:f>MAX(0,MIN('Activities'!L814,600)-MAX('Activities'!K814,594))</x:f>
        <x:v>0</x:v>
      </x:c>
      <x:c r="DA814" s="22" t="n">
        <x:f>MAX(0,MIN('Activities'!L814,606)-MAX('Activities'!K814,600))</x:f>
        <x:v>0</x:v>
      </x:c>
      <x:c r="DB814" s="22" t="n">
        <x:f>MAX(0,MIN('Activities'!L814,612)-MAX('Activities'!K814,606))</x:f>
        <x:v>0</x:v>
      </x:c>
      <x:c r="DC814" s="22" t="n">
        <x:f>MAX(0,MIN('Activities'!L814,618)-MAX('Activities'!K814,612))</x:f>
        <x:v>0</x:v>
      </x:c>
      <x:c r="DD814" s="22" t="n">
        <x:f>MAX(0,MIN('Activities'!L814,624)-MAX('Activities'!K814,618))</x:f>
        <x:v>0</x:v>
      </x:c>
      <x:c r="DE814" s="22" t="n">
        <x:f>MAX(0,MIN('Activities'!L814,630)-MAX('Activities'!K814,624))</x:f>
        <x:v>0</x:v>
      </x:c>
      <x:c r="DF814" s="22" t="n">
        <x:f>MAX(0,MIN('Activities'!L814,636)-MAX('Activities'!K814,630))</x:f>
        <x:v>0</x:v>
      </x:c>
    </x:row>
    <x:row r="815" ht="23" customHeight="1">
      <x:c r="A815" s="1" t="str">
        <x:v>X-020</x:v>
      </x:c>
      <x:c r="B815" s="1" t="str">
        <x:v>SITE</x:v>
      </x:c>
      <x:c r="C815" s="1" t="str">
        <x:v>External paving and final levels</x:v>
      </x:c>
      <x:c r="D815" s="1" t="str">
        <x:v>External</x:v>
      </x:c>
      <x:c r="E815" s="23" t="n">
        <x:f>MAX(0,MIN('Activities'!L815,6)-MAX('Activities'!K815,0))</x:f>
        <x:v>0</x:v>
      </x:c>
      <x:c r="F815" s="23" t="n">
        <x:f>MAX(0,MIN('Activities'!L815,12)-MAX('Activities'!K815,6))</x:f>
        <x:v>0</x:v>
      </x:c>
      <x:c r="G815" s="23" t="n">
        <x:f>MAX(0,MIN('Activities'!L815,18)-MAX('Activities'!K815,12))</x:f>
        <x:v>0</x:v>
      </x:c>
      <x:c r="H815" s="23" t="n">
        <x:f>MAX(0,MIN('Activities'!L815,24)-MAX('Activities'!K815,18))</x:f>
        <x:v>0</x:v>
      </x:c>
      <x:c r="I815" s="23" t="n">
        <x:f>MAX(0,MIN('Activities'!L815,30)-MAX('Activities'!K815,24))</x:f>
        <x:v>0</x:v>
      </x:c>
      <x:c r="J815" s="23" t="n">
        <x:f>MAX(0,MIN('Activities'!L815,36)-MAX('Activities'!K815,30))</x:f>
        <x:v>0</x:v>
      </x:c>
      <x:c r="K815" s="23" t="n">
        <x:f>MAX(0,MIN('Activities'!L815,42)-MAX('Activities'!K815,36))</x:f>
        <x:v>0</x:v>
      </x:c>
      <x:c r="L815" s="23" t="n">
        <x:f>MAX(0,MIN('Activities'!L815,48)-MAX('Activities'!K815,42))</x:f>
        <x:v>0</x:v>
      </x:c>
      <x:c r="M815" s="23" t="n">
        <x:f>MAX(0,MIN('Activities'!L815,54)-MAX('Activities'!K815,48))</x:f>
        <x:v>0</x:v>
      </x:c>
      <x:c r="N815" s="23" t="n">
        <x:f>MAX(0,MIN('Activities'!L815,60)-MAX('Activities'!K815,54))</x:f>
        <x:v>0</x:v>
      </x:c>
      <x:c r="O815" s="23" t="n">
        <x:f>MAX(0,MIN('Activities'!L815,66)-MAX('Activities'!K815,60))</x:f>
        <x:v>0</x:v>
      </x:c>
      <x:c r="P815" s="23" t="n">
        <x:f>MAX(0,MIN('Activities'!L815,72)-MAX('Activities'!K815,66))</x:f>
        <x:v>0</x:v>
      </x:c>
      <x:c r="Q815" s="23" t="n">
        <x:f>MAX(0,MIN('Activities'!L815,78)-MAX('Activities'!K815,72))</x:f>
        <x:v>0</x:v>
      </x:c>
      <x:c r="R815" s="23" t="n">
        <x:f>MAX(0,MIN('Activities'!L815,84)-MAX('Activities'!K815,78))</x:f>
        <x:v>0</x:v>
      </x:c>
      <x:c r="S815" s="23" t="n">
        <x:f>MAX(0,MIN('Activities'!L815,90)-MAX('Activities'!K815,84))</x:f>
        <x:v>0</x:v>
      </x:c>
      <x:c r="T815" s="23" t="n">
        <x:f>MAX(0,MIN('Activities'!L815,96)-MAX('Activities'!K815,90))</x:f>
        <x:v>0</x:v>
      </x:c>
      <x:c r="U815" s="23" t="n">
        <x:f>MAX(0,MIN('Activities'!L815,102)-MAX('Activities'!K815,96))</x:f>
        <x:v>0</x:v>
      </x:c>
      <x:c r="V815" s="23" t="n">
        <x:f>MAX(0,MIN('Activities'!L815,108)-MAX('Activities'!K815,102))</x:f>
        <x:v>0</x:v>
      </x:c>
      <x:c r="W815" s="23" t="n">
        <x:f>MAX(0,MIN('Activities'!L815,114)-MAX('Activities'!K815,108))</x:f>
        <x:v>0</x:v>
      </x:c>
      <x:c r="X815" s="23" t="n">
        <x:f>MAX(0,MIN('Activities'!L815,120)-MAX('Activities'!K815,114))</x:f>
        <x:v>0</x:v>
      </x:c>
      <x:c r="Y815" s="23" t="n">
        <x:f>MAX(0,MIN('Activities'!L815,126)-MAX('Activities'!K815,120))</x:f>
        <x:v>0</x:v>
      </x:c>
      <x:c r="Z815" s="23" t="n">
        <x:f>MAX(0,MIN('Activities'!L815,132)-MAX('Activities'!K815,126))</x:f>
        <x:v>0</x:v>
      </x:c>
      <x:c r="AA815" s="23" t="n">
        <x:f>MAX(0,MIN('Activities'!L815,138)-MAX('Activities'!K815,132))</x:f>
        <x:v>0</x:v>
      </x:c>
      <x:c r="AB815" s="23" t="n">
        <x:f>MAX(0,MIN('Activities'!L815,144)-MAX('Activities'!K815,138))</x:f>
        <x:v>0</x:v>
      </x:c>
      <x:c r="AC815" s="23" t="n">
        <x:f>MAX(0,MIN('Activities'!L815,150)-MAX('Activities'!K815,144))</x:f>
        <x:v>0</x:v>
      </x:c>
      <x:c r="AD815" s="23" t="n">
        <x:f>MAX(0,MIN('Activities'!L815,156)-MAX('Activities'!K815,150))</x:f>
        <x:v>0</x:v>
      </x:c>
      <x:c r="AE815" s="23" t="n">
        <x:f>MAX(0,MIN('Activities'!L815,162)-MAX('Activities'!K815,156))</x:f>
        <x:v>0</x:v>
      </x:c>
      <x:c r="AF815" s="23" t="n">
        <x:f>MAX(0,MIN('Activities'!L815,168)-MAX('Activities'!K815,162))</x:f>
        <x:v>0</x:v>
      </x:c>
      <x:c r="AG815" s="23" t="n">
        <x:f>MAX(0,MIN('Activities'!L815,174)-MAX('Activities'!K815,168))</x:f>
        <x:v>0</x:v>
      </x:c>
      <x:c r="AH815" s="23" t="n">
        <x:f>MAX(0,MIN('Activities'!L815,180)-MAX('Activities'!K815,174))</x:f>
        <x:v>0</x:v>
      </x:c>
      <x:c r="AI815" s="23" t="n">
        <x:f>MAX(0,MIN('Activities'!L815,186)-MAX('Activities'!K815,180))</x:f>
        <x:v>0</x:v>
      </x:c>
      <x:c r="AJ815" s="23" t="n">
        <x:f>MAX(0,MIN('Activities'!L815,192)-MAX('Activities'!K815,186))</x:f>
        <x:v>0</x:v>
      </x:c>
      <x:c r="AK815" s="23" t="n">
        <x:f>MAX(0,MIN('Activities'!L815,198)-MAX('Activities'!K815,192))</x:f>
        <x:v>0</x:v>
      </x:c>
      <x:c r="AL815" s="23" t="n">
        <x:f>MAX(0,MIN('Activities'!L815,204)-MAX('Activities'!K815,198))</x:f>
        <x:v>0</x:v>
      </x:c>
      <x:c r="AM815" s="23" t="n">
        <x:f>MAX(0,MIN('Activities'!L815,210)-MAX('Activities'!K815,204))</x:f>
        <x:v>0</x:v>
      </x:c>
      <x:c r="AN815" s="23" t="n">
        <x:f>MAX(0,MIN('Activities'!L815,216)-MAX('Activities'!K815,210))</x:f>
        <x:v>0</x:v>
      </x:c>
      <x:c r="AO815" s="23" t="n">
        <x:f>MAX(0,MIN('Activities'!L815,222)-MAX('Activities'!K815,216))</x:f>
        <x:v>0</x:v>
      </x:c>
      <x:c r="AP815" s="23" t="n">
        <x:f>MAX(0,MIN('Activities'!L815,228)-MAX('Activities'!K815,222))</x:f>
        <x:v>0</x:v>
      </x:c>
      <x:c r="AQ815" s="23" t="n">
        <x:f>MAX(0,MIN('Activities'!L815,234)-MAX('Activities'!K815,228))</x:f>
        <x:v>0</x:v>
      </x:c>
      <x:c r="AR815" s="23" t="n">
        <x:f>MAX(0,MIN('Activities'!L815,240)-MAX('Activities'!K815,234))</x:f>
        <x:v>0</x:v>
      </x:c>
      <x:c r="AS815" s="23" t="n">
        <x:f>MAX(0,MIN('Activities'!L815,246)-MAX('Activities'!K815,240))</x:f>
        <x:v>0</x:v>
      </x:c>
      <x:c r="AT815" s="23" t="n">
        <x:f>MAX(0,MIN('Activities'!L815,252)-MAX('Activities'!K815,246))</x:f>
        <x:v>0</x:v>
      </x:c>
      <x:c r="AU815" s="23" t="n">
        <x:f>MAX(0,MIN('Activities'!L815,258)-MAX('Activities'!K815,252))</x:f>
        <x:v>0</x:v>
      </x:c>
      <x:c r="AV815" s="23" t="n">
        <x:f>MAX(0,MIN('Activities'!L815,264)-MAX('Activities'!K815,258))</x:f>
        <x:v>0</x:v>
      </x:c>
      <x:c r="AW815" s="23" t="n">
        <x:f>MAX(0,MIN('Activities'!L815,270)-MAX('Activities'!K815,264))</x:f>
        <x:v>0</x:v>
      </x:c>
      <x:c r="AX815" s="23" t="n">
        <x:f>MAX(0,MIN('Activities'!L815,276)-MAX('Activities'!K815,270))</x:f>
        <x:v>0</x:v>
      </x:c>
      <x:c r="AY815" s="23" t="n">
        <x:f>MAX(0,MIN('Activities'!L815,282)-MAX('Activities'!K815,276))</x:f>
        <x:v>0</x:v>
      </x:c>
      <x:c r="AZ815" s="23" t="n">
        <x:f>MAX(0,MIN('Activities'!L815,288)-MAX('Activities'!K815,282))</x:f>
        <x:v>0</x:v>
      </x:c>
      <x:c r="BA815" s="23" t="n">
        <x:f>MAX(0,MIN('Activities'!L815,294)-MAX('Activities'!K815,288))</x:f>
        <x:v>0</x:v>
      </x:c>
      <x:c r="BB815" s="23" t="n">
        <x:f>MAX(0,MIN('Activities'!L815,300)-MAX('Activities'!K815,294))</x:f>
        <x:v>0</x:v>
      </x:c>
      <x:c r="BC815" s="23" t="n">
        <x:f>MAX(0,MIN('Activities'!L815,306)-MAX('Activities'!K815,300))</x:f>
        <x:v>0</x:v>
      </x:c>
      <x:c r="BD815" s="23" t="n">
        <x:f>MAX(0,MIN('Activities'!L815,312)-MAX('Activities'!K815,306))</x:f>
        <x:v>0</x:v>
      </x:c>
      <x:c r="BE815" s="23" t="n">
        <x:f>MAX(0,MIN('Activities'!L815,318)-MAX('Activities'!K815,312))</x:f>
        <x:v>0</x:v>
      </x:c>
      <x:c r="BF815" s="23" t="n">
        <x:f>MAX(0,MIN('Activities'!L815,324)-MAX('Activities'!K815,318))</x:f>
        <x:v>0</x:v>
      </x:c>
      <x:c r="BG815" s="23" t="n">
        <x:f>MAX(0,MIN('Activities'!L815,330)-MAX('Activities'!K815,324))</x:f>
        <x:v>0</x:v>
      </x:c>
      <x:c r="BH815" s="23" t="n">
        <x:f>MAX(0,MIN('Activities'!L815,336)-MAX('Activities'!K815,330))</x:f>
        <x:v>0</x:v>
      </x:c>
      <x:c r="BI815" s="23" t="n">
        <x:f>MAX(0,MIN('Activities'!L815,342)-MAX('Activities'!K815,336))</x:f>
        <x:v>0</x:v>
      </x:c>
      <x:c r="BJ815" s="23" t="n">
        <x:f>MAX(0,MIN('Activities'!L815,348)-MAX('Activities'!K815,342))</x:f>
        <x:v>0</x:v>
      </x:c>
      <x:c r="BK815" s="23" t="n">
        <x:f>MAX(0,MIN('Activities'!L815,354)-MAX('Activities'!K815,348))</x:f>
        <x:v>0</x:v>
      </x:c>
      <x:c r="BL815" s="23" t="n">
        <x:f>MAX(0,MIN('Activities'!L815,360)-MAX('Activities'!K815,354))</x:f>
        <x:v>0</x:v>
      </x:c>
      <x:c r="BM815" s="23" t="n">
        <x:f>MAX(0,MIN('Activities'!L815,366)-MAX('Activities'!K815,360))</x:f>
        <x:v>0</x:v>
      </x:c>
      <x:c r="BN815" s="23" t="n">
        <x:f>MAX(0,MIN('Activities'!L815,372)-MAX('Activities'!K815,366))</x:f>
        <x:v>0</x:v>
      </x:c>
      <x:c r="BO815" s="23" t="n">
        <x:f>MAX(0,MIN('Activities'!L815,378)-MAX('Activities'!K815,372))</x:f>
        <x:v>0</x:v>
      </x:c>
      <x:c r="BP815" s="23" t="n">
        <x:f>MAX(0,MIN('Activities'!L815,384)-MAX('Activities'!K815,378))</x:f>
        <x:v>0</x:v>
      </x:c>
      <x:c r="BQ815" s="23" t="n">
        <x:f>MAX(0,MIN('Activities'!L815,390)-MAX('Activities'!K815,384))</x:f>
        <x:v>0</x:v>
      </x:c>
      <x:c r="BR815" s="23" t="n">
        <x:f>MAX(0,MIN('Activities'!L815,396)-MAX('Activities'!K815,390))</x:f>
        <x:v>0</x:v>
      </x:c>
      <x:c r="BS815" s="23" t="n">
        <x:f>MAX(0,MIN('Activities'!L815,402)-MAX('Activities'!K815,396))</x:f>
        <x:v>0</x:v>
      </x:c>
      <x:c r="BT815" s="23" t="n">
        <x:f>MAX(0,MIN('Activities'!L815,408)-MAX('Activities'!K815,402))</x:f>
        <x:v>0</x:v>
      </x:c>
      <x:c r="BU815" s="23" t="n">
        <x:f>MAX(0,MIN('Activities'!L815,414)-MAX('Activities'!K815,408))</x:f>
        <x:v>0</x:v>
      </x:c>
      <x:c r="BV815" s="23" t="n">
        <x:f>MAX(0,MIN('Activities'!L815,420)-MAX('Activities'!K815,414))</x:f>
        <x:v>0</x:v>
      </x:c>
      <x:c r="BW815" s="23" t="n">
        <x:f>MAX(0,MIN('Activities'!L815,426)-MAX('Activities'!K815,420))</x:f>
        <x:v>0</x:v>
      </x:c>
      <x:c r="BX815" s="23" t="n">
        <x:f>MAX(0,MIN('Activities'!L815,432)-MAX('Activities'!K815,426))</x:f>
        <x:v>4</x:v>
      </x:c>
      <x:c r="BY815" s="23" t="n">
        <x:f>MAX(0,MIN('Activities'!L815,438)-MAX('Activities'!K815,432))</x:f>
        <x:v>6</x:v>
      </x:c>
      <x:c r="BZ815" s="23" t="n">
        <x:f>MAX(0,MIN('Activities'!L815,444)-MAX('Activities'!K815,438))</x:f>
        <x:v>6</x:v>
      </x:c>
      <x:c r="CA815" s="23" t="n">
        <x:f>MAX(0,MIN('Activities'!L815,450)-MAX('Activities'!K815,444))</x:f>
        <x:v>6</x:v>
      </x:c>
      <x:c r="CB815" s="23" t="n">
        <x:f>MAX(0,MIN('Activities'!L815,456)-MAX('Activities'!K815,450))</x:f>
        <x:v>1</x:v>
      </x:c>
      <x:c r="CC815" s="23" t="n">
        <x:f>MAX(0,MIN('Activities'!L815,462)-MAX('Activities'!K815,456))</x:f>
        <x:v>0</x:v>
      </x:c>
      <x:c r="CD815" s="23" t="n">
        <x:f>MAX(0,MIN('Activities'!L815,468)-MAX('Activities'!K815,462))</x:f>
        <x:v>0</x:v>
      </x:c>
      <x:c r="CE815" s="23" t="n">
        <x:f>MAX(0,MIN('Activities'!L815,474)-MAX('Activities'!K815,468))</x:f>
        <x:v>0</x:v>
      </x:c>
      <x:c r="CF815" s="23" t="n">
        <x:f>MAX(0,MIN('Activities'!L815,480)-MAX('Activities'!K815,474))</x:f>
        <x:v>0</x:v>
      </x:c>
      <x:c r="CG815" s="23" t="n">
        <x:f>MAX(0,MIN('Activities'!L815,486)-MAX('Activities'!K815,480))</x:f>
        <x:v>0</x:v>
      </x:c>
      <x:c r="CH815" s="23" t="n">
        <x:f>MAX(0,MIN('Activities'!L815,492)-MAX('Activities'!K815,486))</x:f>
        <x:v>0</x:v>
      </x:c>
      <x:c r="CI815" s="23" t="n">
        <x:f>MAX(0,MIN('Activities'!L815,498)-MAX('Activities'!K815,492))</x:f>
        <x:v>0</x:v>
      </x:c>
      <x:c r="CJ815" s="23" t="n">
        <x:f>MAX(0,MIN('Activities'!L815,504)-MAX('Activities'!K815,498))</x:f>
        <x:v>0</x:v>
      </x:c>
      <x:c r="CK815" s="23" t="n">
        <x:f>MAX(0,MIN('Activities'!L815,510)-MAX('Activities'!K815,504))</x:f>
        <x:v>0</x:v>
      </x:c>
      <x:c r="CL815" s="23" t="n">
        <x:f>MAX(0,MIN('Activities'!L815,516)-MAX('Activities'!K815,510))</x:f>
        <x:v>0</x:v>
      </x:c>
      <x:c r="CM815" s="23" t="n">
        <x:f>MAX(0,MIN('Activities'!L815,522)-MAX('Activities'!K815,516))</x:f>
        <x:v>0</x:v>
      </x:c>
      <x:c r="CN815" s="23" t="n">
        <x:f>MAX(0,MIN('Activities'!L815,528)-MAX('Activities'!K815,522))</x:f>
        <x:v>0</x:v>
      </x:c>
      <x:c r="CO815" s="23" t="n">
        <x:f>MAX(0,MIN('Activities'!L815,534)-MAX('Activities'!K815,528))</x:f>
        <x:v>0</x:v>
      </x:c>
      <x:c r="CP815" s="23" t="n">
        <x:f>MAX(0,MIN('Activities'!L815,540)-MAX('Activities'!K815,534))</x:f>
        <x:v>0</x:v>
      </x:c>
      <x:c r="CQ815" s="23" t="n">
        <x:f>MAX(0,MIN('Activities'!L815,546)-MAX('Activities'!K815,540))</x:f>
        <x:v>0</x:v>
      </x:c>
      <x:c r="CR815" s="23" t="n">
        <x:f>MAX(0,MIN('Activities'!L815,552)-MAX('Activities'!K815,546))</x:f>
        <x:v>0</x:v>
      </x:c>
      <x:c r="CS815" s="23" t="n">
        <x:f>MAX(0,MIN('Activities'!L815,558)-MAX('Activities'!K815,552))</x:f>
        <x:v>0</x:v>
      </x:c>
      <x:c r="CT815" s="23" t="n">
        <x:f>MAX(0,MIN('Activities'!L815,564)-MAX('Activities'!K815,558))</x:f>
        <x:v>0</x:v>
      </x:c>
      <x:c r="CU815" s="23" t="n">
        <x:f>MAX(0,MIN('Activities'!L815,570)-MAX('Activities'!K815,564))</x:f>
        <x:v>0</x:v>
      </x:c>
      <x:c r="CV815" s="23" t="n">
        <x:f>MAX(0,MIN('Activities'!L815,576)-MAX('Activities'!K815,570))</x:f>
        <x:v>0</x:v>
      </x:c>
      <x:c r="CW815" s="23" t="n">
        <x:f>MAX(0,MIN('Activities'!L815,582)-MAX('Activities'!K815,576))</x:f>
        <x:v>0</x:v>
      </x:c>
      <x:c r="CX815" s="23" t="n">
        <x:f>MAX(0,MIN('Activities'!L815,588)-MAX('Activities'!K815,582))</x:f>
        <x:v>0</x:v>
      </x:c>
      <x:c r="CY815" s="23" t="n">
        <x:f>MAX(0,MIN('Activities'!L815,594)-MAX('Activities'!K815,588))</x:f>
        <x:v>0</x:v>
      </x:c>
      <x:c r="CZ815" s="23" t="n">
        <x:f>MAX(0,MIN('Activities'!L815,600)-MAX('Activities'!K815,594))</x:f>
        <x:v>0</x:v>
      </x:c>
      <x:c r="DA815" s="23" t="n">
        <x:f>MAX(0,MIN('Activities'!L815,606)-MAX('Activities'!K815,600))</x:f>
        <x:v>0</x:v>
      </x:c>
      <x:c r="DB815" s="23" t="n">
        <x:f>MAX(0,MIN('Activities'!L815,612)-MAX('Activities'!K815,606))</x:f>
        <x:v>0</x:v>
      </x:c>
      <x:c r="DC815" s="23" t="n">
        <x:f>MAX(0,MIN('Activities'!L815,618)-MAX('Activities'!K815,612))</x:f>
        <x:v>0</x:v>
      </x:c>
      <x:c r="DD815" s="23" t="n">
        <x:f>MAX(0,MIN('Activities'!L815,624)-MAX('Activities'!K815,618))</x:f>
        <x:v>0</x:v>
      </x:c>
      <x:c r="DE815" s="23" t="n">
        <x:f>MAX(0,MIN('Activities'!L815,630)-MAX('Activities'!K815,624))</x:f>
        <x:v>0</x:v>
      </x:c>
      <x:c r="DF815" s="23" t="n">
        <x:f>MAX(0,MIN('Activities'!L815,636)-MAX('Activities'!K815,630))</x:f>
        <x:v>0</x:v>
      </x:c>
    </x:row>
    <x:row r="816" ht="23" customHeight="1">
      <x:c r="A816" s="6" t="str">
        <x:v>PC-001</x:v>
      </x:c>
      <x:c r="B816" s="6" t="str">
        <x:v>PROJECT</x:v>
      </x:c>
      <x:c r="C816" s="6" t="str">
        <x:v>Inspection, snagging and handover</x:v>
      </x:c>
      <x:c r="D816" s="6" t="str">
        <x:v>Site</x:v>
      </x:c>
      <x:c r="E816" s="22" t="n">
        <x:f>MAX(0,MIN('Activities'!L816,6)-MAX('Activities'!K816,0))</x:f>
        <x:v>0</x:v>
      </x:c>
      <x:c r="F816" s="22" t="n">
        <x:f>MAX(0,MIN('Activities'!L816,12)-MAX('Activities'!K816,6))</x:f>
        <x:v>0</x:v>
      </x:c>
      <x:c r="G816" s="22" t="n">
        <x:f>MAX(0,MIN('Activities'!L816,18)-MAX('Activities'!K816,12))</x:f>
        <x:v>0</x:v>
      </x:c>
      <x:c r="H816" s="22" t="n">
        <x:f>MAX(0,MIN('Activities'!L816,24)-MAX('Activities'!K816,18))</x:f>
        <x:v>0</x:v>
      </x:c>
      <x:c r="I816" s="22" t="n">
        <x:f>MAX(0,MIN('Activities'!L816,30)-MAX('Activities'!K816,24))</x:f>
        <x:v>0</x:v>
      </x:c>
      <x:c r="J816" s="22" t="n">
        <x:f>MAX(0,MIN('Activities'!L816,36)-MAX('Activities'!K816,30))</x:f>
        <x:v>0</x:v>
      </x:c>
      <x:c r="K816" s="22" t="n">
        <x:f>MAX(0,MIN('Activities'!L816,42)-MAX('Activities'!K816,36))</x:f>
        <x:v>0</x:v>
      </x:c>
      <x:c r="L816" s="22" t="n">
        <x:f>MAX(0,MIN('Activities'!L816,48)-MAX('Activities'!K816,42))</x:f>
        <x:v>0</x:v>
      </x:c>
      <x:c r="M816" s="22" t="n">
        <x:f>MAX(0,MIN('Activities'!L816,54)-MAX('Activities'!K816,48))</x:f>
        <x:v>0</x:v>
      </x:c>
      <x:c r="N816" s="22" t="n">
        <x:f>MAX(0,MIN('Activities'!L816,60)-MAX('Activities'!K816,54))</x:f>
        <x:v>0</x:v>
      </x:c>
      <x:c r="O816" s="22" t="n">
        <x:f>MAX(0,MIN('Activities'!L816,66)-MAX('Activities'!K816,60))</x:f>
        <x:v>0</x:v>
      </x:c>
      <x:c r="P816" s="22" t="n">
        <x:f>MAX(0,MIN('Activities'!L816,72)-MAX('Activities'!K816,66))</x:f>
        <x:v>0</x:v>
      </x:c>
      <x:c r="Q816" s="22" t="n">
        <x:f>MAX(0,MIN('Activities'!L816,78)-MAX('Activities'!K816,72))</x:f>
        <x:v>0</x:v>
      </x:c>
      <x:c r="R816" s="22" t="n">
        <x:f>MAX(0,MIN('Activities'!L816,84)-MAX('Activities'!K816,78))</x:f>
        <x:v>0</x:v>
      </x:c>
      <x:c r="S816" s="22" t="n">
        <x:f>MAX(0,MIN('Activities'!L816,90)-MAX('Activities'!K816,84))</x:f>
        <x:v>0</x:v>
      </x:c>
      <x:c r="T816" s="22" t="n">
        <x:f>MAX(0,MIN('Activities'!L816,96)-MAX('Activities'!K816,90))</x:f>
        <x:v>0</x:v>
      </x:c>
      <x:c r="U816" s="22" t="n">
        <x:f>MAX(0,MIN('Activities'!L816,102)-MAX('Activities'!K816,96))</x:f>
        <x:v>0</x:v>
      </x:c>
      <x:c r="V816" s="22" t="n">
        <x:f>MAX(0,MIN('Activities'!L816,108)-MAX('Activities'!K816,102))</x:f>
        <x:v>0</x:v>
      </x:c>
      <x:c r="W816" s="22" t="n">
        <x:f>MAX(0,MIN('Activities'!L816,114)-MAX('Activities'!K816,108))</x:f>
        <x:v>0</x:v>
      </x:c>
      <x:c r="X816" s="22" t="n">
        <x:f>MAX(0,MIN('Activities'!L816,120)-MAX('Activities'!K816,114))</x:f>
        <x:v>0</x:v>
      </x:c>
      <x:c r="Y816" s="22" t="n">
        <x:f>MAX(0,MIN('Activities'!L816,126)-MAX('Activities'!K816,120))</x:f>
        <x:v>0</x:v>
      </x:c>
      <x:c r="Z816" s="22" t="n">
        <x:f>MAX(0,MIN('Activities'!L816,132)-MAX('Activities'!K816,126))</x:f>
        <x:v>0</x:v>
      </x:c>
      <x:c r="AA816" s="22" t="n">
        <x:f>MAX(0,MIN('Activities'!L816,138)-MAX('Activities'!K816,132))</x:f>
        <x:v>0</x:v>
      </x:c>
      <x:c r="AB816" s="22" t="n">
        <x:f>MAX(0,MIN('Activities'!L816,144)-MAX('Activities'!K816,138))</x:f>
        <x:v>0</x:v>
      </x:c>
      <x:c r="AC816" s="22" t="n">
        <x:f>MAX(0,MIN('Activities'!L816,150)-MAX('Activities'!K816,144))</x:f>
        <x:v>0</x:v>
      </x:c>
      <x:c r="AD816" s="22" t="n">
        <x:f>MAX(0,MIN('Activities'!L816,156)-MAX('Activities'!K816,150))</x:f>
        <x:v>0</x:v>
      </x:c>
      <x:c r="AE816" s="22" t="n">
        <x:f>MAX(0,MIN('Activities'!L816,162)-MAX('Activities'!K816,156))</x:f>
        <x:v>0</x:v>
      </x:c>
      <x:c r="AF816" s="22" t="n">
        <x:f>MAX(0,MIN('Activities'!L816,168)-MAX('Activities'!K816,162))</x:f>
        <x:v>0</x:v>
      </x:c>
      <x:c r="AG816" s="22" t="n">
        <x:f>MAX(0,MIN('Activities'!L816,174)-MAX('Activities'!K816,168))</x:f>
        <x:v>0</x:v>
      </x:c>
      <x:c r="AH816" s="22" t="n">
        <x:f>MAX(0,MIN('Activities'!L816,180)-MAX('Activities'!K816,174))</x:f>
        <x:v>0</x:v>
      </x:c>
      <x:c r="AI816" s="22" t="n">
        <x:f>MAX(0,MIN('Activities'!L816,186)-MAX('Activities'!K816,180))</x:f>
        <x:v>0</x:v>
      </x:c>
      <x:c r="AJ816" s="22" t="n">
        <x:f>MAX(0,MIN('Activities'!L816,192)-MAX('Activities'!K816,186))</x:f>
        <x:v>0</x:v>
      </x:c>
      <x:c r="AK816" s="22" t="n">
        <x:f>MAX(0,MIN('Activities'!L816,198)-MAX('Activities'!K816,192))</x:f>
        <x:v>0</x:v>
      </x:c>
      <x:c r="AL816" s="22" t="n">
        <x:f>MAX(0,MIN('Activities'!L816,204)-MAX('Activities'!K816,198))</x:f>
        <x:v>0</x:v>
      </x:c>
      <x:c r="AM816" s="22" t="n">
        <x:f>MAX(0,MIN('Activities'!L816,210)-MAX('Activities'!K816,204))</x:f>
        <x:v>0</x:v>
      </x:c>
      <x:c r="AN816" s="22" t="n">
        <x:f>MAX(0,MIN('Activities'!L816,216)-MAX('Activities'!K816,210))</x:f>
        <x:v>0</x:v>
      </x:c>
      <x:c r="AO816" s="22" t="n">
        <x:f>MAX(0,MIN('Activities'!L816,222)-MAX('Activities'!K816,216))</x:f>
        <x:v>0</x:v>
      </x:c>
      <x:c r="AP816" s="22" t="n">
        <x:f>MAX(0,MIN('Activities'!L816,228)-MAX('Activities'!K816,222))</x:f>
        <x:v>0</x:v>
      </x:c>
      <x:c r="AQ816" s="22" t="n">
        <x:f>MAX(0,MIN('Activities'!L816,234)-MAX('Activities'!K816,228))</x:f>
        <x:v>0</x:v>
      </x:c>
      <x:c r="AR816" s="22" t="n">
        <x:f>MAX(0,MIN('Activities'!L816,240)-MAX('Activities'!K816,234))</x:f>
        <x:v>0</x:v>
      </x:c>
      <x:c r="AS816" s="22" t="n">
        <x:f>MAX(0,MIN('Activities'!L816,246)-MAX('Activities'!K816,240))</x:f>
        <x:v>0</x:v>
      </x:c>
      <x:c r="AT816" s="22" t="n">
        <x:f>MAX(0,MIN('Activities'!L816,252)-MAX('Activities'!K816,246))</x:f>
        <x:v>0</x:v>
      </x:c>
      <x:c r="AU816" s="22" t="n">
        <x:f>MAX(0,MIN('Activities'!L816,258)-MAX('Activities'!K816,252))</x:f>
        <x:v>0</x:v>
      </x:c>
      <x:c r="AV816" s="22" t="n">
        <x:f>MAX(0,MIN('Activities'!L816,264)-MAX('Activities'!K816,258))</x:f>
        <x:v>0</x:v>
      </x:c>
      <x:c r="AW816" s="22" t="n">
        <x:f>MAX(0,MIN('Activities'!L816,270)-MAX('Activities'!K816,264))</x:f>
        <x:v>0</x:v>
      </x:c>
      <x:c r="AX816" s="22" t="n">
        <x:f>MAX(0,MIN('Activities'!L816,276)-MAX('Activities'!K816,270))</x:f>
        <x:v>0</x:v>
      </x:c>
      <x:c r="AY816" s="22" t="n">
        <x:f>MAX(0,MIN('Activities'!L816,282)-MAX('Activities'!K816,276))</x:f>
        <x:v>0</x:v>
      </x:c>
      <x:c r="AZ816" s="22" t="n">
        <x:f>MAX(0,MIN('Activities'!L816,288)-MAX('Activities'!K816,282))</x:f>
        <x:v>0</x:v>
      </x:c>
      <x:c r="BA816" s="22" t="n">
        <x:f>MAX(0,MIN('Activities'!L816,294)-MAX('Activities'!K816,288))</x:f>
        <x:v>0</x:v>
      </x:c>
      <x:c r="BB816" s="22" t="n">
        <x:f>MAX(0,MIN('Activities'!L816,300)-MAX('Activities'!K816,294))</x:f>
        <x:v>0</x:v>
      </x:c>
      <x:c r="BC816" s="22" t="n">
        <x:f>MAX(0,MIN('Activities'!L816,306)-MAX('Activities'!K816,300))</x:f>
        <x:v>0</x:v>
      </x:c>
      <x:c r="BD816" s="22" t="n">
        <x:f>MAX(0,MIN('Activities'!L816,312)-MAX('Activities'!K816,306))</x:f>
        <x:v>0</x:v>
      </x:c>
      <x:c r="BE816" s="22" t="n">
        <x:f>MAX(0,MIN('Activities'!L816,318)-MAX('Activities'!K816,312))</x:f>
        <x:v>0</x:v>
      </x:c>
      <x:c r="BF816" s="22" t="n">
        <x:f>MAX(0,MIN('Activities'!L816,324)-MAX('Activities'!K816,318))</x:f>
        <x:v>0</x:v>
      </x:c>
      <x:c r="BG816" s="22" t="n">
        <x:f>MAX(0,MIN('Activities'!L816,330)-MAX('Activities'!K816,324))</x:f>
        <x:v>0</x:v>
      </x:c>
      <x:c r="BH816" s="22" t="n">
        <x:f>MAX(0,MIN('Activities'!L816,336)-MAX('Activities'!K816,330))</x:f>
        <x:v>0</x:v>
      </x:c>
      <x:c r="BI816" s="22" t="n">
        <x:f>MAX(0,MIN('Activities'!L816,342)-MAX('Activities'!K816,336))</x:f>
        <x:v>0</x:v>
      </x:c>
      <x:c r="BJ816" s="22" t="n">
        <x:f>MAX(0,MIN('Activities'!L816,348)-MAX('Activities'!K816,342))</x:f>
        <x:v>0</x:v>
      </x:c>
      <x:c r="BK816" s="22" t="n">
        <x:f>MAX(0,MIN('Activities'!L816,354)-MAX('Activities'!K816,348))</x:f>
        <x:v>0</x:v>
      </x:c>
      <x:c r="BL816" s="22" t="n">
        <x:f>MAX(0,MIN('Activities'!L816,360)-MAX('Activities'!K816,354))</x:f>
        <x:v>0</x:v>
      </x:c>
      <x:c r="BM816" s="22" t="n">
        <x:f>MAX(0,MIN('Activities'!L816,366)-MAX('Activities'!K816,360))</x:f>
        <x:v>0</x:v>
      </x:c>
      <x:c r="BN816" s="22" t="n">
        <x:f>MAX(0,MIN('Activities'!L816,372)-MAX('Activities'!K816,366))</x:f>
        <x:v>0</x:v>
      </x:c>
      <x:c r="BO816" s="22" t="n">
        <x:f>MAX(0,MIN('Activities'!L816,378)-MAX('Activities'!K816,372))</x:f>
        <x:v>0</x:v>
      </x:c>
      <x:c r="BP816" s="22" t="n">
        <x:f>MAX(0,MIN('Activities'!L816,384)-MAX('Activities'!K816,378))</x:f>
        <x:v>0</x:v>
      </x:c>
      <x:c r="BQ816" s="22" t="n">
        <x:f>MAX(0,MIN('Activities'!L816,390)-MAX('Activities'!K816,384))</x:f>
        <x:v>0</x:v>
      </x:c>
      <x:c r="BR816" s="22" t="n">
        <x:f>MAX(0,MIN('Activities'!L816,396)-MAX('Activities'!K816,390))</x:f>
        <x:v>0</x:v>
      </x:c>
      <x:c r="BS816" s="22" t="n">
        <x:f>MAX(0,MIN('Activities'!L816,402)-MAX('Activities'!K816,396))</x:f>
        <x:v>0</x:v>
      </x:c>
      <x:c r="BT816" s="22" t="n">
        <x:f>MAX(0,MIN('Activities'!L816,408)-MAX('Activities'!K816,402))</x:f>
        <x:v>0</x:v>
      </x:c>
      <x:c r="BU816" s="22" t="n">
        <x:f>MAX(0,MIN('Activities'!L816,414)-MAX('Activities'!K816,408))</x:f>
        <x:v>0</x:v>
      </x:c>
      <x:c r="BV816" s="22" t="n">
        <x:f>MAX(0,MIN('Activities'!L816,420)-MAX('Activities'!K816,414))</x:f>
        <x:v>0</x:v>
      </x:c>
      <x:c r="BW816" s="22" t="n">
        <x:f>MAX(0,MIN('Activities'!L816,426)-MAX('Activities'!K816,420))</x:f>
        <x:v>0</x:v>
      </x:c>
      <x:c r="BX816" s="22" t="n">
        <x:f>MAX(0,MIN('Activities'!L816,432)-MAX('Activities'!K816,426))</x:f>
        <x:v>0</x:v>
      </x:c>
      <x:c r="BY816" s="22" t="n">
        <x:f>MAX(0,MIN('Activities'!L816,438)-MAX('Activities'!K816,432))</x:f>
        <x:v>0</x:v>
      </x:c>
      <x:c r="BZ816" s="22" t="n">
        <x:f>MAX(0,MIN('Activities'!L816,444)-MAX('Activities'!K816,438))</x:f>
        <x:v>0</x:v>
      </x:c>
      <x:c r="CA816" s="22" t="n">
        <x:f>MAX(0,MIN('Activities'!L816,450)-MAX('Activities'!K816,444))</x:f>
        <x:v>0</x:v>
      </x:c>
      <x:c r="CB816" s="22" t="n">
        <x:f>MAX(0,MIN('Activities'!L816,456)-MAX('Activities'!K816,450))</x:f>
        <x:v>0</x:v>
      </x:c>
      <x:c r="CC816" s="22" t="n">
        <x:f>MAX(0,MIN('Activities'!L816,462)-MAX('Activities'!K816,456))</x:f>
        <x:v>0</x:v>
      </x:c>
      <x:c r="CD816" s="22" t="n">
        <x:f>MAX(0,MIN('Activities'!L816,468)-MAX('Activities'!K816,462))</x:f>
        <x:v>0</x:v>
      </x:c>
      <x:c r="CE816" s="22" t="n">
        <x:f>MAX(0,MIN('Activities'!L816,474)-MAX('Activities'!K816,468))</x:f>
        <x:v>0</x:v>
      </x:c>
      <x:c r="CF816" s="22" t="n">
        <x:f>MAX(0,MIN('Activities'!L816,480)-MAX('Activities'!K816,474))</x:f>
        <x:v>0</x:v>
      </x:c>
      <x:c r="CG816" s="22" t="n">
        <x:f>MAX(0,MIN('Activities'!L816,486)-MAX('Activities'!K816,480))</x:f>
        <x:v>4</x:v>
      </x:c>
      <x:c r="CH816" s="22" t="n">
        <x:f>MAX(0,MIN('Activities'!L816,492)-MAX('Activities'!K816,486))</x:f>
        <x:v>6</x:v>
      </x:c>
      <x:c r="CI816" s="22" t="n">
        <x:f>MAX(0,MIN('Activities'!L816,498)-MAX('Activities'!K816,492))</x:f>
        <x:v>6</x:v>
      </x:c>
      <x:c r="CJ816" s="22" t="n">
        <x:f>MAX(0,MIN('Activities'!L816,504)-MAX('Activities'!K816,498))</x:f>
        <x:v>4</x:v>
      </x:c>
      <x:c r="CK816" s="22" t="n">
        <x:f>MAX(0,MIN('Activities'!L816,510)-MAX('Activities'!K816,504))</x:f>
        <x:v>0</x:v>
      </x:c>
      <x:c r="CL816" s="22" t="n">
        <x:f>MAX(0,MIN('Activities'!L816,516)-MAX('Activities'!K816,510))</x:f>
        <x:v>0</x:v>
      </x:c>
      <x:c r="CM816" s="22" t="n">
        <x:f>MAX(0,MIN('Activities'!L816,522)-MAX('Activities'!K816,516))</x:f>
        <x:v>0</x:v>
      </x:c>
      <x:c r="CN816" s="22" t="n">
        <x:f>MAX(0,MIN('Activities'!L816,528)-MAX('Activities'!K816,522))</x:f>
        <x:v>0</x:v>
      </x:c>
      <x:c r="CO816" s="22" t="n">
        <x:f>MAX(0,MIN('Activities'!L816,534)-MAX('Activities'!K816,528))</x:f>
        <x:v>0</x:v>
      </x:c>
      <x:c r="CP816" s="22" t="n">
        <x:f>MAX(0,MIN('Activities'!L816,540)-MAX('Activities'!K816,534))</x:f>
        <x:v>0</x:v>
      </x:c>
      <x:c r="CQ816" s="22" t="n">
        <x:f>MAX(0,MIN('Activities'!L816,546)-MAX('Activities'!K816,540))</x:f>
        <x:v>0</x:v>
      </x:c>
      <x:c r="CR816" s="22" t="n">
        <x:f>MAX(0,MIN('Activities'!L816,552)-MAX('Activities'!K816,546))</x:f>
        <x:v>0</x:v>
      </x:c>
      <x:c r="CS816" s="22" t="n">
        <x:f>MAX(0,MIN('Activities'!L816,558)-MAX('Activities'!K816,552))</x:f>
        <x:v>0</x:v>
      </x:c>
      <x:c r="CT816" s="22" t="n">
        <x:f>MAX(0,MIN('Activities'!L816,564)-MAX('Activities'!K816,558))</x:f>
        <x:v>0</x:v>
      </x:c>
      <x:c r="CU816" s="22" t="n">
        <x:f>MAX(0,MIN('Activities'!L816,570)-MAX('Activities'!K816,564))</x:f>
        <x:v>0</x:v>
      </x:c>
      <x:c r="CV816" s="22" t="n">
        <x:f>MAX(0,MIN('Activities'!L816,576)-MAX('Activities'!K816,570))</x:f>
        <x:v>0</x:v>
      </x:c>
      <x:c r="CW816" s="22" t="n">
        <x:f>MAX(0,MIN('Activities'!L816,582)-MAX('Activities'!K816,576))</x:f>
        <x:v>0</x:v>
      </x:c>
      <x:c r="CX816" s="22" t="n">
        <x:f>MAX(0,MIN('Activities'!L816,588)-MAX('Activities'!K816,582))</x:f>
        <x:v>0</x:v>
      </x:c>
      <x:c r="CY816" s="22" t="n">
        <x:f>MAX(0,MIN('Activities'!L816,594)-MAX('Activities'!K816,588))</x:f>
        <x:v>0</x:v>
      </x:c>
      <x:c r="CZ816" s="22" t="n">
        <x:f>MAX(0,MIN('Activities'!L816,600)-MAX('Activities'!K816,594))</x:f>
        <x:v>0</x:v>
      </x:c>
      <x:c r="DA816" s="22" t="n">
        <x:f>MAX(0,MIN('Activities'!L816,606)-MAX('Activities'!K816,600))</x:f>
        <x:v>0</x:v>
      </x:c>
      <x:c r="DB816" s="22" t="n">
        <x:f>MAX(0,MIN('Activities'!L816,612)-MAX('Activities'!K816,606))</x:f>
        <x:v>0</x:v>
      </x:c>
      <x:c r="DC816" s="22" t="n">
        <x:f>MAX(0,MIN('Activities'!L816,618)-MAX('Activities'!K816,612))</x:f>
        <x:v>0</x:v>
      </x:c>
      <x:c r="DD816" s="22" t="n">
        <x:f>MAX(0,MIN('Activities'!L816,624)-MAX('Activities'!K816,618))</x:f>
        <x:v>0</x:v>
      </x:c>
      <x:c r="DE816" s="22" t="n">
        <x:f>MAX(0,MIN('Activities'!L816,630)-MAX('Activities'!K816,624))</x:f>
        <x:v>0</x:v>
      </x:c>
      <x:c r="DF816" s="22" t="n">
        <x:f>MAX(0,MIN('Activities'!L816,636)-MAX('Activities'!K816,630))</x:f>
        <x:v>0</x:v>
      </x:c>
    </x:row>
  </x:sheetData>
  <x:conditionalFormatting sqref="E8:DF816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23" hidden="0" customWidth="1"/>
  </x:cols>
  <x:sheetData>
    <x:row r="2">
      <x:c r="A2" s="7" t="str">
        <x:v>Weekly average workforce demand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Worker-days / six-day week. Baseline is not resource-levelled; thresholds flag crew congestion.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Week</x:v>
      </x:c>
      <x:c r="B7" s="5" t="str">
        <x:v>Week start</x:v>
      </x:c>
      <x:c r="C7" s="5" t="str">
        <x:v>Earthworks</x:v>
      </x:c>
      <x:c r="D7" s="5" t="str">
        <x:v>Formwork</x:v>
      </x:c>
      <x:c r="E7" s="5" t="str">
        <x:v>Rebar</x:v>
      </x:c>
      <x:c r="F7" s="5" t="str">
        <x:v>Concrete</x:v>
      </x:c>
      <x:c r="G7" s="5" t="str">
        <x:v>Masonry</x:v>
      </x:c>
      <x:c r="H7" s="5" t="str">
        <x:v>Finishes</x:v>
      </x:c>
      <x:c r="I7" s="5" t="str">
        <x:v>Envelope</x:v>
      </x:c>
      <x:c r="J7" s="5" t="str">
        <x:v>External</x:v>
      </x:c>
      <x:c r="K7" s="5" t="str">
        <x:v>Site</x:v>
      </x:c>
      <x:c r="L7" s="5" t="str">
        <x:v>Total avg people</x:v>
      </x:c>
      <x:c r="M7" s="5" t="str">
        <x:v>Capacity breaches</x:v>
      </x:c>
    </x:row>
    <x:row r="8" ht="23" customHeight="1">
      <x:c r="A8" s="6" t="n">
        <x:v>1</x:v>
      </x:c>
      <x:c r="B8" s="18" t="n">
        <x:f>INDEX('Calendar'!$C$8:$C$907,1)</x:f>
        <x:v>46328</x:v>
      </x:c>
      <x:c r="C8" s="24" t="n">
        <x:f>SUMPRODUCT(('Activities'!$E$8:$E$816="Earthworks")*'Activities'!$I$8:$I$816,'Weekly Gantt'!E8:E816)/6</x:f>
        <x:v>0</x:v>
      </x:c>
      <x:c r="D8" s="24" t="n">
        <x:f>SUMPRODUCT(('Activities'!$E$8:$E$816="Formwork")*'Activities'!$I$8:$I$816,'Weekly Gantt'!E8:E816)/6</x:f>
        <x:v>0</x:v>
      </x:c>
      <x:c r="E8" s="24" t="n">
        <x:f>SUMPRODUCT(('Activities'!$E$8:$E$816="Rebar")*'Activities'!$I$8:$I$816,'Weekly Gantt'!E8:E816)/6</x:f>
        <x:v>0</x:v>
      </x:c>
      <x:c r="F8" s="24" t="n">
        <x:f>SUMPRODUCT(('Activities'!$E$8:$E$816="Concrete")*'Activities'!$I$8:$I$816,'Weekly Gantt'!E8:E816)/6</x:f>
        <x:v>0</x:v>
      </x:c>
      <x:c r="G8" s="24" t="n">
        <x:f>SUMPRODUCT(('Activities'!$E$8:$E$816="Masonry")*'Activities'!$I$8:$I$816,'Weekly Gantt'!E8:E816)/6</x:f>
        <x:v>0</x:v>
      </x:c>
      <x:c r="H8" s="24" t="n">
        <x:f>SUMPRODUCT(('Activities'!$E$8:$E$816="Finishes")*'Activities'!$I$8:$I$816,'Weekly Gantt'!E8:E816)/6</x:f>
        <x:v>0</x:v>
      </x:c>
      <x:c r="I8" s="24" t="n">
        <x:f>SUMPRODUCT(('Activities'!$E$8:$E$816="Envelope")*'Activities'!$I$8:$I$816,'Weekly Gantt'!E8:E816)/6</x:f>
        <x:v>0</x:v>
      </x:c>
      <x:c r="J8" s="24" t="n">
        <x:f>SUMPRODUCT(('Activities'!$E$8:$E$816="External")*'Activities'!$I$8:$I$816,'Weekly Gantt'!E8:E816)/6</x:f>
        <x:v>0</x:v>
      </x:c>
      <x:c r="K8" s="24" t="n">
        <x:f>SUMPRODUCT(('Activities'!$E$8:$E$816="Site")*'Activities'!$I$8:$I$816,'Weekly Gantt'!E8:E816)/6</x:f>
        <x:v>20</x:v>
      </x:c>
      <x:c r="L8" s="24" t="n">
        <x:f>SUM(C8:K8)</x:f>
        <x:v>20</x:v>
      </x:c>
      <x:c r="M8" s="6" t="n">
        <x:f>IF(C8&gt;'Controls'!$B$12,1,0)+IF(D8&gt;'Controls'!$B$13,1,0)+IF(E8&gt;'Controls'!$B$14,1,0)+IF(F8&gt;'Controls'!$B$15,1,0)+IF(G8&gt;'Controls'!$B$16,1,0)+IF(H8&gt;'Controls'!$B$17,1,0)+IF(I8&gt;'Controls'!$B$18,1,0)+IF(J8&gt;'Controls'!$B$19,1,0)+IF(K8&gt;'Controls'!$B$20,1,0)</x:f>
        <x:v>0</x:v>
      </x:c>
    </x:row>
    <x:row r="9" ht="23" customHeight="1">
      <x:c r="A9" s="1" t="n">
        <x:v>2</x:v>
      </x:c>
      <x:c r="B9" s="19" t="n">
        <x:f>INDEX('Calendar'!$C$8:$C$907,7)</x:f>
        <x:v>46335</x:v>
      </x:c>
      <x:c r="C9" s="25" t="n">
        <x:f>SUMPRODUCT(('Activities'!$E$8:$E$816="Earthworks")*'Activities'!$I$8:$I$816,'Weekly Gantt'!F8:F816)/6</x:f>
        <x:v>0</x:v>
      </x:c>
      <x:c r="D9" s="25" t="n">
        <x:f>SUMPRODUCT(('Activities'!$E$8:$E$816="Formwork")*'Activities'!$I$8:$I$816,'Weekly Gantt'!F8:F816)/6</x:f>
        <x:v>0</x:v>
      </x:c>
      <x:c r="E9" s="25" t="n">
        <x:f>SUMPRODUCT(('Activities'!$E$8:$E$816="Rebar")*'Activities'!$I$8:$I$816,'Weekly Gantt'!F8:F816)/6</x:f>
        <x:v>0</x:v>
      </x:c>
      <x:c r="F9" s="25" t="n">
        <x:f>SUMPRODUCT(('Activities'!$E$8:$E$816="Concrete")*'Activities'!$I$8:$I$816,'Weekly Gantt'!F8:F816)/6</x:f>
        <x:v>0</x:v>
      </x:c>
      <x:c r="G9" s="25" t="n">
        <x:f>SUMPRODUCT(('Activities'!$E$8:$E$816="Masonry")*'Activities'!$I$8:$I$816,'Weekly Gantt'!F8:F816)/6</x:f>
        <x:v>0</x:v>
      </x:c>
      <x:c r="H9" s="25" t="n">
        <x:f>SUMPRODUCT(('Activities'!$E$8:$E$816="Finishes")*'Activities'!$I$8:$I$816,'Weekly Gantt'!F8:F816)/6</x:f>
        <x:v>0</x:v>
      </x:c>
      <x:c r="I9" s="25" t="n">
        <x:f>SUMPRODUCT(('Activities'!$E$8:$E$816="Envelope")*'Activities'!$I$8:$I$816,'Weekly Gantt'!F8:F816)/6</x:f>
        <x:v>0</x:v>
      </x:c>
      <x:c r="J9" s="25" t="n">
        <x:f>SUMPRODUCT(('Activities'!$E$8:$E$816="External")*'Activities'!$I$8:$I$816,'Weekly Gantt'!F8:F816)/6</x:f>
        <x:v>0</x:v>
      </x:c>
      <x:c r="K9" s="25" t="n">
        <x:f>SUMPRODUCT(('Activities'!$E$8:$E$816="Site")*'Activities'!$I$8:$I$816,'Weekly Gantt'!F8:F816)/6</x:f>
        <x:v>20</x:v>
      </x:c>
      <x:c r="L9" s="25" t="n">
        <x:f>SUM(C9:K9)</x:f>
        <x:v>20</x:v>
      </x:c>
      <x:c r="M9" s="1" t="n">
        <x:f>IF(C9&gt;'Controls'!$B$12,1,0)+IF(D9&gt;'Controls'!$B$13,1,0)+IF(E9&gt;'Controls'!$B$14,1,0)+IF(F9&gt;'Controls'!$B$15,1,0)+IF(G9&gt;'Controls'!$B$16,1,0)+IF(H9&gt;'Controls'!$B$17,1,0)+IF(I9&gt;'Controls'!$B$18,1,0)+IF(J9&gt;'Controls'!$B$19,1,0)+IF(K9&gt;'Controls'!$B$20,1,0)</x:f>
        <x:v>0</x:v>
      </x:c>
    </x:row>
    <x:row r="10" ht="23" customHeight="1">
      <x:c r="A10" s="6" t="n">
        <x:v>3</x:v>
      </x:c>
      <x:c r="B10" s="18" t="n">
        <x:f>INDEX('Calendar'!$C$8:$C$907,13)</x:f>
        <x:v>46342</x:v>
      </x:c>
      <x:c r="C10" s="24" t="n">
        <x:f>SUMPRODUCT(('Activities'!$E$8:$E$816="Earthworks")*'Activities'!$I$8:$I$816,'Weekly Gantt'!G8:G816)/6</x:f>
        <x:v>0</x:v>
      </x:c>
      <x:c r="D10" s="24" t="n">
        <x:f>SUMPRODUCT(('Activities'!$E$8:$E$816="Formwork")*'Activities'!$I$8:$I$816,'Weekly Gantt'!G8:G816)/6</x:f>
        <x:v>0</x:v>
      </x:c>
      <x:c r="E10" s="24" t="n">
        <x:f>SUMPRODUCT(('Activities'!$E$8:$E$816="Rebar")*'Activities'!$I$8:$I$816,'Weekly Gantt'!G8:G816)/6</x:f>
        <x:v>0</x:v>
      </x:c>
      <x:c r="F10" s="24" t="n">
        <x:f>SUMPRODUCT(('Activities'!$E$8:$E$816="Concrete")*'Activities'!$I$8:$I$816,'Weekly Gantt'!G8:G816)/6</x:f>
        <x:v>0</x:v>
      </x:c>
      <x:c r="G10" s="24" t="n">
        <x:f>SUMPRODUCT(('Activities'!$E$8:$E$816="Masonry")*'Activities'!$I$8:$I$816,'Weekly Gantt'!G8:G816)/6</x:f>
        <x:v>0</x:v>
      </x:c>
      <x:c r="H10" s="24" t="n">
        <x:f>SUMPRODUCT(('Activities'!$E$8:$E$816="Finishes")*'Activities'!$I$8:$I$816,'Weekly Gantt'!G8:G816)/6</x:f>
        <x:v>0</x:v>
      </x:c>
      <x:c r="I10" s="24" t="n">
        <x:f>SUMPRODUCT(('Activities'!$E$8:$E$816="Envelope")*'Activities'!$I$8:$I$816,'Weekly Gantt'!G8:G816)/6</x:f>
        <x:v>0</x:v>
      </x:c>
      <x:c r="J10" s="24" t="n">
        <x:f>SUMPRODUCT(('Activities'!$E$8:$E$816="External")*'Activities'!$I$8:$I$816,'Weekly Gantt'!G8:G816)/6</x:f>
        <x:v>0</x:v>
      </x:c>
      <x:c r="K10" s="24" t="n">
        <x:f>SUMPRODUCT(('Activities'!$E$8:$E$816="Site")*'Activities'!$I$8:$I$816,'Weekly Gantt'!G8:G816)/6</x:f>
        <x:v>20</x:v>
      </x:c>
      <x:c r="L10" s="24" t="n">
        <x:f>SUM(C10:K10)</x:f>
        <x:v>20</x:v>
      </x:c>
      <x:c r="M10" s="6" t="n">
        <x:f>IF(C10&gt;'Controls'!$B$12,1,0)+IF(D10&gt;'Controls'!$B$13,1,0)+IF(E10&gt;'Controls'!$B$14,1,0)+IF(F10&gt;'Controls'!$B$15,1,0)+IF(G10&gt;'Controls'!$B$16,1,0)+IF(H10&gt;'Controls'!$B$17,1,0)+IF(I10&gt;'Controls'!$B$18,1,0)+IF(J10&gt;'Controls'!$B$19,1,0)+IF(K10&gt;'Controls'!$B$20,1,0)</x:f>
        <x:v>0</x:v>
      </x:c>
    </x:row>
    <x:row r="11" ht="23" customHeight="1">
      <x:c r="A11" s="1" t="n">
        <x:v>4</x:v>
      </x:c>
      <x:c r="B11" s="19" t="n">
        <x:f>INDEX('Calendar'!$C$8:$C$907,19)</x:f>
        <x:v>46349</x:v>
      </x:c>
      <x:c r="C11" s="25" t="n">
        <x:f>SUMPRODUCT(('Activities'!$E$8:$E$816="Earthworks")*'Activities'!$I$8:$I$816,'Weekly Gantt'!H8:H816)/6</x:f>
        <x:v>24</x:v>
      </x:c>
      <x:c r="D11" s="25" t="n">
        <x:f>SUMPRODUCT(('Activities'!$E$8:$E$816="Formwork")*'Activities'!$I$8:$I$816,'Weekly Gantt'!H8:H816)/6</x:f>
        <x:v>0</x:v>
      </x:c>
      <x:c r="E11" s="25" t="n">
        <x:f>SUMPRODUCT(('Activities'!$E$8:$E$816="Rebar")*'Activities'!$I$8:$I$816,'Weekly Gantt'!H8:H816)/6</x:f>
        <x:v>0</x:v>
      </x:c>
      <x:c r="F11" s="25" t="n">
        <x:f>SUMPRODUCT(('Activities'!$E$8:$E$816="Concrete")*'Activities'!$I$8:$I$816,'Weekly Gantt'!H8:H816)/6</x:f>
        <x:v>0</x:v>
      </x:c>
      <x:c r="G11" s="25" t="n">
        <x:f>SUMPRODUCT(('Activities'!$E$8:$E$816="Masonry")*'Activities'!$I$8:$I$816,'Weekly Gantt'!H8:H816)/6</x:f>
        <x:v>0</x:v>
      </x:c>
      <x:c r="H11" s="25" t="n">
        <x:f>SUMPRODUCT(('Activities'!$E$8:$E$816="Finishes")*'Activities'!$I$8:$I$816,'Weekly Gantt'!H8:H816)/6</x:f>
        <x:v>0</x:v>
      </x:c>
      <x:c r="I11" s="25" t="n">
        <x:f>SUMPRODUCT(('Activities'!$E$8:$E$816="Envelope")*'Activities'!$I$8:$I$816,'Weekly Gantt'!H8:H816)/6</x:f>
        <x:v>0</x:v>
      </x:c>
      <x:c r="J11" s="25" t="n">
        <x:f>SUMPRODUCT(('Activities'!$E$8:$E$816="External")*'Activities'!$I$8:$I$816,'Weekly Gantt'!H8:H816)/6</x:f>
        <x:v>0</x:v>
      </x:c>
      <x:c r="K11" s="25" t="n">
        <x:f>SUMPRODUCT(('Activities'!$E$8:$E$816="Site")*'Activities'!$I$8:$I$816,'Weekly Gantt'!H8:H816)/6</x:f>
        <x:v>0</x:v>
      </x:c>
      <x:c r="L11" s="25" t="n">
        <x:f>SUM(C11:K11)</x:f>
        <x:v>24</x:v>
      </x:c>
      <x:c r="M11" s="1" t="n">
        <x:f>IF(C11&gt;'Controls'!$B$12,1,0)+IF(D11&gt;'Controls'!$B$13,1,0)+IF(E11&gt;'Controls'!$B$14,1,0)+IF(F11&gt;'Controls'!$B$15,1,0)+IF(G11&gt;'Controls'!$B$16,1,0)+IF(H11&gt;'Controls'!$B$17,1,0)+IF(I11&gt;'Controls'!$B$18,1,0)+IF(J11&gt;'Controls'!$B$19,1,0)+IF(K11&gt;'Controls'!$B$20,1,0)</x:f>
        <x:v>0</x:v>
      </x:c>
    </x:row>
    <x:row r="12" ht="23" customHeight="1">
      <x:c r="A12" s="6" t="n">
        <x:v>5</x:v>
      </x:c>
      <x:c r="B12" s="18" t="n">
        <x:f>INDEX('Calendar'!$C$8:$C$907,25)</x:f>
        <x:v>46356</x:v>
      </x:c>
      <x:c r="C12" s="24" t="n">
        <x:f>SUMPRODUCT(('Activities'!$E$8:$E$816="Earthworks")*'Activities'!$I$8:$I$816,'Weekly Gantt'!I8:I816)/6</x:f>
        <x:v>24</x:v>
      </x:c>
      <x:c r="D12" s="24" t="n">
        <x:f>SUMPRODUCT(('Activities'!$E$8:$E$816="Formwork")*'Activities'!$I$8:$I$816,'Weekly Gantt'!I8:I816)/6</x:f>
        <x:v>0</x:v>
      </x:c>
      <x:c r="E12" s="24" t="n">
        <x:f>SUMPRODUCT(('Activities'!$E$8:$E$816="Rebar")*'Activities'!$I$8:$I$816,'Weekly Gantt'!I8:I816)/6</x:f>
        <x:v>0</x:v>
      </x:c>
      <x:c r="F12" s="24" t="n">
        <x:f>SUMPRODUCT(('Activities'!$E$8:$E$816="Concrete")*'Activities'!$I$8:$I$816,'Weekly Gantt'!I8:I816)/6</x:f>
        <x:v>0</x:v>
      </x:c>
      <x:c r="G12" s="24" t="n">
        <x:f>SUMPRODUCT(('Activities'!$E$8:$E$816="Masonry")*'Activities'!$I$8:$I$816,'Weekly Gantt'!I8:I816)/6</x:f>
        <x:v>0</x:v>
      </x:c>
      <x:c r="H12" s="24" t="n">
        <x:f>SUMPRODUCT(('Activities'!$E$8:$E$816="Finishes")*'Activities'!$I$8:$I$816,'Weekly Gantt'!I8:I816)/6</x:f>
        <x:v>0</x:v>
      </x:c>
      <x:c r="I12" s="24" t="n">
        <x:f>SUMPRODUCT(('Activities'!$E$8:$E$816="Envelope")*'Activities'!$I$8:$I$816,'Weekly Gantt'!I8:I816)/6</x:f>
        <x:v>0</x:v>
      </x:c>
      <x:c r="J12" s="24" t="n">
        <x:f>SUMPRODUCT(('Activities'!$E$8:$E$816="External")*'Activities'!$I$8:$I$816,'Weekly Gantt'!I8:I816)/6</x:f>
        <x:v>0</x:v>
      </x:c>
      <x:c r="K12" s="24" t="n">
        <x:f>SUMPRODUCT(('Activities'!$E$8:$E$816="Site")*'Activities'!$I$8:$I$816,'Weekly Gantt'!I8:I816)/6</x:f>
        <x:v>0</x:v>
      </x:c>
      <x:c r="L12" s="24" t="n">
        <x:f>SUM(C12:K12)</x:f>
        <x:v>24</x:v>
      </x:c>
      <x:c r="M12" s="6" t="n">
        <x:f>IF(C12&gt;'Controls'!$B$12,1,0)+IF(D12&gt;'Controls'!$B$13,1,0)+IF(E12&gt;'Controls'!$B$14,1,0)+IF(F12&gt;'Controls'!$B$15,1,0)+IF(G12&gt;'Controls'!$B$16,1,0)+IF(H12&gt;'Controls'!$B$17,1,0)+IF(I12&gt;'Controls'!$B$18,1,0)+IF(J12&gt;'Controls'!$B$19,1,0)+IF(K12&gt;'Controls'!$B$20,1,0)</x:f>
        <x:v>0</x:v>
      </x:c>
    </x:row>
    <x:row r="13" ht="23" customHeight="1">
      <x:c r="A13" s="1" t="n">
        <x:v>6</x:v>
      </x:c>
      <x:c r="B13" s="19" t="n">
        <x:f>INDEX('Calendar'!$C$8:$C$907,31)</x:f>
        <x:v>46363</x:v>
      </x:c>
      <x:c r="C13" s="25" t="n">
        <x:f>SUMPRODUCT(('Activities'!$E$8:$E$816="Earthworks")*'Activities'!$I$8:$I$816,'Weekly Gantt'!J8:J816)/6</x:f>
        <x:v>24</x:v>
      </x:c>
      <x:c r="D13" s="25" t="n">
        <x:f>SUMPRODUCT(('Activities'!$E$8:$E$816="Formwork")*'Activities'!$I$8:$I$816,'Weekly Gantt'!J8:J816)/6</x:f>
        <x:v>0</x:v>
      </x:c>
      <x:c r="E13" s="25" t="n">
        <x:f>SUMPRODUCT(('Activities'!$E$8:$E$816="Rebar")*'Activities'!$I$8:$I$816,'Weekly Gantt'!J8:J816)/6</x:f>
        <x:v>0</x:v>
      </x:c>
      <x:c r="F13" s="25" t="n">
        <x:f>SUMPRODUCT(('Activities'!$E$8:$E$816="Concrete")*'Activities'!$I$8:$I$816,'Weekly Gantt'!J8:J816)/6</x:f>
        <x:v>0</x:v>
      </x:c>
      <x:c r="G13" s="25" t="n">
        <x:f>SUMPRODUCT(('Activities'!$E$8:$E$816="Masonry")*'Activities'!$I$8:$I$816,'Weekly Gantt'!J8:J816)/6</x:f>
        <x:v>0</x:v>
      </x:c>
      <x:c r="H13" s="25" t="n">
        <x:f>SUMPRODUCT(('Activities'!$E$8:$E$816="Finishes")*'Activities'!$I$8:$I$816,'Weekly Gantt'!J8:J816)/6</x:f>
        <x:v>0</x:v>
      </x:c>
      <x:c r="I13" s="25" t="n">
        <x:f>SUMPRODUCT(('Activities'!$E$8:$E$816="Envelope")*'Activities'!$I$8:$I$816,'Weekly Gantt'!J8:J816)/6</x:f>
        <x:v>0</x:v>
      </x:c>
      <x:c r="J13" s="25" t="n">
        <x:f>SUMPRODUCT(('Activities'!$E$8:$E$816="External")*'Activities'!$I$8:$I$816,'Weekly Gantt'!J8:J816)/6</x:f>
        <x:v>0</x:v>
      </x:c>
      <x:c r="K13" s="25" t="n">
        <x:f>SUMPRODUCT(('Activities'!$E$8:$E$816="Site")*'Activities'!$I$8:$I$816,'Weekly Gantt'!J8:J816)/6</x:f>
        <x:v>0</x:v>
      </x:c>
      <x:c r="L13" s="25" t="n">
        <x:f>SUM(C13:K13)</x:f>
        <x:v>24</x:v>
      </x:c>
      <x:c r="M13" s="1" t="n">
        <x:f>IF(C13&gt;'Controls'!$B$12,1,0)+IF(D13&gt;'Controls'!$B$13,1,0)+IF(E13&gt;'Controls'!$B$14,1,0)+IF(F13&gt;'Controls'!$B$15,1,0)+IF(G13&gt;'Controls'!$B$16,1,0)+IF(H13&gt;'Controls'!$B$17,1,0)+IF(I13&gt;'Controls'!$B$18,1,0)+IF(J13&gt;'Controls'!$B$19,1,0)+IF(K13&gt;'Controls'!$B$20,1,0)</x:f>
        <x:v>0</x:v>
      </x:c>
    </x:row>
    <x:row r="14" ht="23" customHeight="1">
      <x:c r="A14" s="6" t="n">
        <x:v>7</x:v>
      </x:c>
      <x:c r="B14" s="18" t="n">
        <x:f>INDEX('Calendar'!$C$8:$C$907,37)</x:f>
        <x:v>46370</x:v>
      </x:c>
      <x:c r="C14" s="24" t="n">
        <x:f>SUMPRODUCT(('Activities'!$E$8:$E$816="Earthworks")*'Activities'!$I$8:$I$816,'Weekly Gantt'!K8:K816)/6</x:f>
        <x:v>24</x:v>
      </x:c>
      <x:c r="D14" s="24" t="n">
        <x:f>SUMPRODUCT(('Activities'!$E$8:$E$816="Formwork")*'Activities'!$I$8:$I$816,'Weekly Gantt'!K8:K816)/6</x:f>
        <x:v>0</x:v>
      </x:c>
      <x:c r="E14" s="24" t="n">
        <x:f>SUMPRODUCT(('Activities'!$E$8:$E$816="Rebar")*'Activities'!$I$8:$I$816,'Weekly Gantt'!K8:K816)/6</x:f>
        <x:v>0</x:v>
      </x:c>
      <x:c r="F14" s="24" t="n">
        <x:f>SUMPRODUCT(('Activities'!$E$8:$E$816="Concrete")*'Activities'!$I$8:$I$816,'Weekly Gantt'!K8:K816)/6</x:f>
        <x:v>0</x:v>
      </x:c>
      <x:c r="G14" s="24" t="n">
        <x:f>SUMPRODUCT(('Activities'!$E$8:$E$816="Masonry")*'Activities'!$I$8:$I$816,'Weekly Gantt'!K8:K816)/6</x:f>
        <x:v>0</x:v>
      </x:c>
      <x:c r="H14" s="24" t="n">
        <x:f>SUMPRODUCT(('Activities'!$E$8:$E$816="Finishes")*'Activities'!$I$8:$I$816,'Weekly Gantt'!K8:K816)/6</x:f>
        <x:v>0</x:v>
      </x:c>
      <x:c r="I14" s="24" t="n">
        <x:f>SUMPRODUCT(('Activities'!$E$8:$E$816="Envelope")*'Activities'!$I$8:$I$816,'Weekly Gantt'!K8:K816)/6</x:f>
        <x:v>0</x:v>
      </x:c>
      <x:c r="J14" s="24" t="n">
        <x:f>SUMPRODUCT(('Activities'!$E$8:$E$816="External")*'Activities'!$I$8:$I$816,'Weekly Gantt'!K8:K816)/6</x:f>
        <x:v>0</x:v>
      </x:c>
      <x:c r="K14" s="24" t="n">
        <x:f>SUMPRODUCT(('Activities'!$E$8:$E$816="Site")*'Activities'!$I$8:$I$816,'Weekly Gantt'!K8:K816)/6</x:f>
        <x:v>0</x:v>
      </x:c>
      <x:c r="L14" s="24" t="n">
        <x:f>SUM(C14:K14)</x:f>
        <x:v>24</x:v>
      </x:c>
      <x:c r="M14" s="6" t="n">
        <x:f>IF(C14&gt;'Controls'!$B$12,1,0)+IF(D14&gt;'Controls'!$B$13,1,0)+IF(E14&gt;'Controls'!$B$14,1,0)+IF(F14&gt;'Controls'!$B$15,1,0)+IF(G14&gt;'Controls'!$B$16,1,0)+IF(H14&gt;'Controls'!$B$17,1,0)+IF(I14&gt;'Controls'!$B$18,1,0)+IF(J14&gt;'Controls'!$B$19,1,0)+IF(K14&gt;'Controls'!$B$20,1,0)</x:f>
        <x:v>0</x:v>
      </x:c>
    </x:row>
    <x:row r="15" ht="23" customHeight="1">
      <x:c r="A15" s="1" t="n">
        <x:v>8</x:v>
      </x:c>
      <x:c r="B15" s="19" t="n">
        <x:f>INDEX('Calendar'!$C$8:$C$907,43)</x:f>
        <x:v>46377</x:v>
      </x:c>
      <x:c r="C15" s="25" t="n">
        <x:f>SUMPRODUCT(('Activities'!$E$8:$E$816="Earthworks")*'Activities'!$I$8:$I$816,'Weekly Gantt'!L8:L816)/6</x:f>
        <x:v>24</x:v>
      </x:c>
      <x:c r="D15" s="25" t="n">
        <x:f>SUMPRODUCT(('Activities'!$E$8:$E$816="Formwork")*'Activities'!$I$8:$I$816,'Weekly Gantt'!L8:L816)/6</x:f>
        <x:v>0</x:v>
      </x:c>
      <x:c r="E15" s="25" t="n">
        <x:f>SUMPRODUCT(('Activities'!$E$8:$E$816="Rebar")*'Activities'!$I$8:$I$816,'Weekly Gantt'!L8:L816)/6</x:f>
        <x:v>0</x:v>
      </x:c>
      <x:c r="F15" s="25" t="n">
        <x:f>SUMPRODUCT(('Activities'!$E$8:$E$816="Concrete")*'Activities'!$I$8:$I$816,'Weekly Gantt'!L8:L816)/6</x:f>
        <x:v>0</x:v>
      </x:c>
      <x:c r="G15" s="25" t="n">
        <x:f>SUMPRODUCT(('Activities'!$E$8:$E$816="Masonry")*'Activities'!$I$8:$I$816,'Weekly Gantt'!L8:L816)/6</x:f>
        <x:v>0</x:v>
      </x:c>
      <x:c r="H15" s="25" t="n">
        <x:f>SUMPRODUCT(('Activities'!$E$8:$E$816="Finishes")*'Activities'!$I$8:$I$816,'Weekly Gantt'!L8:L816)/6</x:f>
        <x:v>0</x:v>
      </x:c>
      <x:c r="I15" s="25" t="n">
        <x:f>SUMPRODUCT(('Activities'!$E$8:$E$816="Envelope")*'Activities'!$I$8:$I$816,'Weekly Gantt'!L8:L816)/6</x:f>
        <x:v>0</x:v>
      </x:c>
      <x:c r="J15" s="25" t="n">
        <x:f>SUMPRODUCT(('Activities'!$E$8:$E$816="External")*'Activities'!$I$8:$I$816,'Weekly Gantt'!L8:L816)/6</x:f>
        <x:v>0</x:v>
      </x:c>
      <x:c r="K15" s="25" t="n">
        <x:f>SUMPRODUCT(('Activities'!$E$8:$E$816="Site")*'Activities'!$I$8:$I$816,'Weekly Gantt'!L8:L816)/6</x:f>
        <x:v>0</x:v>
      </x:c>
      <x:c r="L15" s="25" t="n">
        <x:f>SUM(C15:K15)</x:f>
        <x:v>24</x:v>
      </x:c>
      <x:c r="M15" s="1" t="n">
        <x:f>IF(C15&gt;'Controls'!$B$12,1,0)+IF(D15&gt;'Controls'!$B$13,1,0)+IF(E15&gt;'Controls'!$B$14,1,0)+IF(F15&gt;'Controls'!$B$15,1,0)+IF(G15&gt;'Controls'!$B$16,1,0)+IF(H15&gt;'Controls'!$B$17,1,0)+IF(I15&gt;'Controls'!$B$18,1,0)+IF(J15&gt;'Controls'!$B$19,1,0)+IF(K15&gt;'Controls'!$B$20,1,0)</x:f>
        <x:v>0</x:v>
      </x:c>
    </x:row>
    <x:row r="16" ht="23" customHeight="1">
      <x:c r="A16" s="6" t="n">
        <x:v>9</x:v>
      </x:c>
      <x:c r="B16" s="18" t="n">
        <x:f>INDEX('Calendar'!$C$8:$C$907,49)</x:f>
        <x:v>46384</x:v>
      </x:c>
      <x:c r="C16" s="24" t="n">
        <x:f>SUMPRODUCT(('Activities'!$E$8:$E$816="Earthworks")*'Activities'!$I$8:$I$816,'Weekly Gantt'!M8:M816)/6</x:f>
        <x:v>24</x:v>
      </x:c>
      <x:c r="D16" s="24" t="n">
        <x:f>SUMPRODUCT(('Activities'!$E$8:$E$816="Formwork")*'Activities'!$I$8:$I$816,'Weekly Gantt'!M8:M816)/6</x:f>
        <x:v>0</x:v>
      </x:c>
      <x:c r="E16" s="24" t="n">
        <x:f>SUMPRODUCT(('Activities'!$E$8:$E$816="Rebar")*'Activities'!$I$8:$I$816,'Weekly Gantt'!M8:M816)/6</x:f>
        <x:v>0</x:v>
      </x:c>
      <x:c r="F16" s="24" t="n">
        <x:f>SUMPRODUCT(('Activities'!$E$8:$E$816="Concrete")*'Activities'!$I$8:$I$816,'Weekly Gantt'!M8:M816)/6</x:f>
        <x:v>0</x:v>
      </x:c>
      <x:c r="G16" s="24" t="n">
        <x:f>SUMPRODUCT(('Activities'!$E$8:$E$816="Masonry")*'Activities'!$I$8:$I$816,'Weekly Gantt'!M8:M816)/6</x:f>
        <x:v>0</x:v>
      </x:c>
      <x:c r="H16" s="24" t="n">
        <x:f>SUMPRODUCT(('Activities'!$E$8:$E$816="Finishes")*'Activities'!$I$8:$I$816,'Weekly Gantt'!M8:M816)/6</x:f>
        <x:v>0</x:v>
      </x:c>
      <x:c r="I16" s="24" t="n">
        <x:f>SUMPRODUCT(('Activities'!$E$8:$E$816="Envelope")*'Activities'!$I$8:$I$816,'Weekly Gantt'!M8:M816)/6</x:f>
        <x:v>0</x:v>
      </x:c>
      <x:c r="J16" s="24" t="n">
        <x:f>SUMPRODUCT(('Activities'!$E$8:$E$816="External")*'Activities'!$I$8:$I$816,'Weekly Gantt'!M8:M816)/6</x:f>
        <x:v>0</x:v>
      </x:c>
      <x:c r="K16" s="24" t="n">
        <x:f>SUMPRODUCT(('Activities'!$E$8:$E$816="Site")*'Activities'!$I$8:$I$816,'Weekly Gantt'!M8:M816)/6</x:f>
        <x:v>0</x:v>
      </x:c>
      <x:c r="L16" s="24" t="n">
        <x:f>SUM(C16:K16)</x:f>
        <x:v>24</x:v>
      </x:c>
      <x:c r="M16" s="6" t="n">
        <x:f>IF(C16&gt;'Controls'!$B$12,1,0)+IF(D16&gt;'Controls'!$B$13,1,0)+IF(E16&gt;'Controls'!$B$14,1,0)+IF(F16&gt;'Controls'!$B$15,1,0)+IF(G16&gt;'Controls'!$B$16,1,0)+IF(H16&gt;'Controls'!$B$17,1,0)+IF(I16&gt;'Controls'!$B$18,1,0)+IF(J16&gt;'Controls'!$B$19,1,0)+IF(K16&gt;'Controls'!$B$20,1,0)</x:f>
        <x:v>0</x:v>
      </x:c>
    </x:row>
    <x:row r="17" ht="23" customHeight="1">
      <x:c r="A17" s="1" t="n">
        <x:v>10</x:v>
      </x:c>
      <x:c r="B17" s="19" t="n">
        <x:f>INDEX('Calendar'!$C$8:$C$907,55)</x:f>
        <x:v>46391</x:v>
      </x:c>
      <x:c r="C17" s="25" t="n">
        <x:f>SUMPRODUCT(('Activities'!$E$8:$E$816="Earthworks")*'Activities'!$I$8:$I$816,'Weekly Gantt'!N8:N816)/6</x:f>
        <x:v>12</x:v>
      </x:c>
      <x:c r="D17" s="25" t="n">
        <x:f>SUMPRODUCT(('Activities'!$E$8:$E$816="Formwork")*'Activities'!$I$8:$I$816,'Weekly Gantt'!N8:N816)/6</x:f>
        <x:v>0</x:v>
      </x:c>
      <x:c r="E17" s="25" t="n">
        <x:f>SUMPRODUCT(('Activities'!$E$8:$E$816="Rebar")*'Activities'!$I$8:$I$816,'Weekly Gantt'!N8:N816)/6</x:f>
        <x:v>0</x:v>
      </x:c>
      <x:c r="F17" s="25" t="n">
        <x:f>SUMPRODUCT(('Activities'!$E$8:$E$816="Concrete")*'Activities'!$I$8:$I$816,'Weekly Gantt'!N8:N816)/6</x:f>
        <x:v>9</x:v>
      </x:c>
      <x:c r="G17" s="25" t="n">
        <x:f>SUMPRODUCT(('Activities'!$E$8:$E$816="Masonry")*'Activities'!$I$8:$I$816,'Weekly Gantt'!N8:N816)/6</x:f>
        <x:v>0</x:v>
      </x:c>
      <x:c r="H17" s="25" t="n">
        <x:f>SUMPRODUCT(('Activities'!$E$8:$E$816="Finishes")*'Activities'!$I$8:$I$816,'Weekly Gantt'!N8:N816)/6</x:f>
        <x:v>0</x:v>
      </x:c>
      <x:c r="I17" s="25" t="n">
        <x:f>SUMPRODUCT(('Activities'!$E$8:$E$816="Envelope")*'Activities'!$I$8:$I$816,'Weekly Gantt'!N8:N816)/6</x:f>
        <x:v>0</x:v>
      </x:c>
      <x:c r="J17" s="25" t="n">
        <x:f>SUMPRODUCT(('Activities'!$E$8:$E$816="External")*'Activities'!$I$8:$I$816,'Weekly Gantt'!N8:N816)/6</x:f>
        <x:v>0</x:v>
      </x:c>
      <x:c r="K17" s="25" t="n">
        <x:f>SUMPRODUCT(('Activities'!$E$8:$E$816="Site")*'Activities'!$I$8:$I$816,'Weekly Gantt'!N8:N816)/6</x:f>
        <x:v>0</x:v>
      </x:c>
      <x:c r="L17" s="25" t="n">
        <x:f>SUM(C17:K17)</x:f>
        <x:v>21</x:v>
      </x:c>
      <x:c r="M17" s="1" t="n">
        <x:f>IF(C17&gt;'Controls'!$B$12,1,0)+IF(D17&gt;'Controls'!$B$13,1,0)+IF(E17&gt;'Controls'!$B$14,1,0)+IF(F17&gt;'Controls'!$B$15,1,0)+IF(G17&gt;'Controls'!$B$16,1,0)+IF(H17&gt;'Controls'!$B$17,1,0)+IF(I17&gt;'Controls'!$B$18,1,0)+IF(J17&gt;'Controls'!$B$19,1,0)+IF(K17&gt;'Controls'!$B$20,1,0)</x:f>
        <x:v>0</x:v>
      </x:c>
    </x:row>
    <x:row r="18" ht="23" customHeight="1">
      <x:c r="A18" s="6" t="n">
        <x:v>11</x:v>
      </x:c>
      <x:c r="B18" s="18" t="n">
        <x:f>INDEX('Calendar'!$C$8:$C$907,61)</x:f>
        <x:v>46398</x:v>
      </x:c>
      <x:c r="C18" s="24" t="n">
        <x:f>SUMPRODUCT(('Activities'!$E$8:$E$816="Earthworks")*'Activities'!$I$8:$I$816,'Weekly Gantt'!O8:O816)/6</x:f>
        <x:v>0</x:v>
      </x:c>
      <x:c r="D18" s="24" t="n">
        <x:f>SUMPRODUCT(('Activities'!$E$8:$E$816="Formwork")*'Activities'!$I$8:$I$816,'Weekly Gantt'!O8:O816)/6</x:f>
        <x:v>0</x:v>
      </x:c>
      <x:c r="E18" s="24" t="n">
        <x:f>SUMPRODUCT(('Activities'!$E$8:$E$816="Rebar")*'Activities'!$I$8:$I$816,'Weekly Gantt'!O8:O816)/6</x:f>
        <x:v>0</x:v>
      </x:c>
      <x:c r="F18" s="24" t="n">
        <x:f>SUMPRODUCT(('Activities'!$E$8:$E$816="Concrete")*'Activities'!$I$8:$I$816,'Weekly Gantt'!O8:O816)/6</x:f>
        <x:v>18</x:v>
      </x:c>
      <x:c r="G18" s="24" t="n">
        <x:f>SUMPRODUCT(('Activities'!$E$8:$E$816="Masonry")*'Activities'!$I$8:$I$816,'Weekly Gantt'!O8:O816)/6</x:f>
        <x:v>0</x:v>
      </x:c>
      <x:c r="H18" s="24" t="n">
        <x:f>SUMPRODUCT(('Activities'!$E$8:$E$816="Finishes")*'Activities'!$I$8:$I$816,'Weekly Gantt'!O8:O816)/6</x:f>
        <x:v>0</x:v>
      </x:c>
      <x:c r="I18" s="24" t="n">
        <x:f>SUMPRODUCT(('Activities'!$E$8:$E$816="Envelope")*'Activities'!$I$8:$I$816,'Weekly Gantt'!O8:O816)/6</x:f>
        <x:v>0</x:v>
      </x:c>
      <x:c r="J18" s="24" t="n">
        <x:f>SUMPRODUCT(('Activities'!$E$8:$E$816="External")*'Activities'!$I$8:$I$816,'Weekly Gantt'!O8:O816)/6</x:f>
        <x:v>0</x:v>
      </x:c>
      <x:c r="K18" s="24" t="n">
        <x:f>SUMPRODUCT(('Activities'!$E$8:$E$816="Site")*'Activities'!$I$8:$I$816,'Weekly Gantt'!O8:O816)/6</x:f>
        <x:v>0</x:v>
      </x:c>
      <x:c r="L18" s="24" t="n">
        <x:f>SUM(C18:K18)</x:f>
        <x:v>18</x:v>
      </x:c>
      <x:c r="M18" s="6" t="n">
        <x:f>IF(C18&gt;'Controls'!$B$12,1,0)+IF(D18&gt;'Controls'!$B$13,1,0)+IF(E18&gt;'Controls'!$B$14,1,0)+IF(F18&gt;'Controls'!$B$15,1,0)+IF(G18&gt;'Controls'!$B$16,1,0)+IF(H18&gt;'Controls'!$B$17,1,0)+IF(I18&gt;'Controls'!$B$18,1,0)+IF(J18&gt;'Controls'!$B$19,1,0)+IF(K18&gt;'Controls'!$B$20,1,0)</x:f>
        <x:v>0</x:v>
      </x:c>
    </x:row>
    <x:row r="19" ht="23" customHeight="1">
      <x:c r="A19" s="1" t="n">
        <x:v>12</x:v>
      </x:c>
      <x:c r="B19" s="19" t="n">
        <x:f>INDEX('Calendar'!$C$8:$C$907,67)</x:f>
        <x:v>46405</x:v>
      </x:c>
      <x:c r="C19" s="25" t="n">
        <x:f>SUMPRODUCT(('Activities'!$E$8:$E$816="Earthworks")*'Activities'!$I$8:$I$816,'Weekly Gantt'!P8:P816)/6</x:f>
        <x:v>0</x:v>
      </x:c>
      <x:c r="D19" s="25" t="n">
        <x:f>SUMPRODUCT(('Activities'!$E$8:$E$816="Formwork")*'Activities'!$I$8:$I$816,'Weekly Gantt'!P8:P816)/6</x:f>
        <x:v>0</x:v>
      </x:c>
      <x:c r="E19" s="25" t="n">
        <x:f>SUMPRODUCT(('Activities'!$E$8:$E$816="Rebar")*'Activities'!$I$8:$I$816,'Weekly Gantt'!P8:P816)/6</x:f>
        <x:v>55</x:v>
      </x:c>
      <x:c r="F19" s="25" t="n">
        <x:f>SUMPRODUCT(('Activities'!$E$8:$E$816="Concrete")*'Activities'!$I$8:$I$816,'Weekly Gantt'!P8:P816)/6</x:f>
        <x:v>0</x:v>
      </x:c>
      <x:c r="G19" s="25" t="n">
        <x:f>SUMPRODUCT(('Activities'!$E$8:$E$816="Masonry")*'Activities'!$I$8:$I$816,'Weekly Gantt'!P8:P816)/6</x:f>
        <x:v>0</x:v>
      </x:c>
      <x:c r="H19" s="25" t="n">
        <x:f>SUMPRODUCT(('Activities'!$E$8:$E$816="Finishes")*'Activities'!$I$8:$I$816,'Weekly Gantt'!P8:P816)/6</x:f>
        <x:v>0</x:v>
      </x:c>
      <x:c r="I19" s="25" t="n">
        <x:f>SUMPRODUCT(('Activities'!$E$8:$E$816="Envelope")*'Activities'!$I$8:$I$816,'Weekly Gantt'!P8:P816)/6</x:f>
        <x:v>0</x:v>
      </x:c>
      <x:c r="J19" s="25" t="n">
        <x:f>SUMPRODUCT(('Activities'!$E$8:$E$816="External")*'Activities'!$I$8:$I$816,'Weekly Gantt'!P8:P816)/6</x:f>
        <x:v>0</x:v>
      </x:c>
      <x:c r="K19" s="25" t="n">
        <x:f>SUMPRODUCT(('Activities'!$E$8:$E$816="Site")*'Activities'!$I$8:$I$816,'Weekly Gantt'!P8:P816)/6</x:f>
        <x:v>0</x:v>
      </x:c>
      <x:c r="L19" s="25" t="n">
        <x:f>SUM(C19:K19)</x:f>
        <x:v>55</x:v>
      </x:c>
      <x:c r="M19" s="1" t="n">
        <x:f>IF(C19&gt;'Controls'!$B$12,1,0)+IF(D19&gt;'Controls'!$B$13,1,0)+IF(E19&gt;'Controls'!$B$14,1,0)+IF(F19&gt;'Controls'!$B$15,1,0)+IF(G19&gt;'Controls'!$B$16,1,0)+IF(H19&gt;'Controls'!$B$17,1,0)+IF(I19&gt;'Controls'!$B$18,1,0)+IF(J19&gt;'Controls'!$B$19,1,0)+IF(K19&gt;'Controls'!$B$20,1,0)</x:f>
        <x:v>0</x:v>
      </x:c>
    </x:row>
    <x:row r="20" ht="23" customHeight="1">
      <x:c r="A20" s="6" t="n">
        <x:v>13</x:v>
      </x:c>
      <x:c r="B20" s="18" t="n">
        <x:f>INDEX('Calendar'!$C$8:$C$907,73)</x:f>
        <x:v>46412</x:v>
      </x:c>
      <x:c r="C20" s="24" t="n">
        <x:f>SUMPRODUCT(('Activities'!$E$8:$E$816="Earthworks")*'Activities'!$I$8:$I$816,'Weekly Gantt'!Q8:Q816)/6</x:f>
        <x:v>0</x:v>
      </x:c>
      <x:c r="D20" s="24" t="n">
        <x:f>SUMPRODUCT(('Activities'!$E$8:$E$816="Formwork")*'Activities'!$I$8:$I$816,'Weekly Gantt'!Q8:Q816)/6</x:f>
        <x:v>0</x:v>
      </x:c>
      <x:c r="E20" s="24" t="n">
        <x:f>SUMPRODUCT(('Activities'!$E$8:$E$816="Rebar")*'Activities'!$I$8:$I$816,'Weekly Gantt'!Q8:Q816)/6</x:f>
        <x:v>55</x:v>
      </x:c>
      <x:c r="F20" s="24" t="n">
        <x:f>SUMPRODUCT(('Activities'!$E$8:$E$816="Concrete")*'Activities'!$I$8:$I$816,'Weekly Gantt'!Q8:Q816)/6</x:f>
        <x:v>0</x:v>
      </x:c>
      <x:c r="G20" s="24" t="n">
        <x:f>SUMPRODUCT(('Activities'!$E$8:$E$816="Masonry")*'Activities'!$I$8:$I$816,'Weekly Gantt'!Q8:Q816)/6</x:f>
        <x:v>0</x:v>
      </x:c>
      <x:c r="H20" s="24" t="n">
        <x:f>SUMPRODUCT(('Activities'!$E$8:$E$816="Finishes")*'Activities'!$I$8:$I$816,'Weekly Gantt'!Q8:Q816)/6</x:f>
        <x:v>0</x:v>
      </x:c>
      <x:c r="I20" s="24" t="n">
        <x:f>SUMPRODUCT(('Activities'!$E$8:$E$816="Envelope")*'Activities'!$I$8:$I$816,'Weekly Gantt'!Q8:Q816)/6</x:f>
        <x:v>0</x:v>
      </x:c>
      <x:c r="J20" s="24" t="n">
        <x:f>SUMPRODUCT(('Activities'!$E$8:$E$816="External")*'Activities'!$I$8:$I$816,'Weekly Gantt'!Q8:Q816)/6</x:f>
        <x:v>0</x:v>
      </x:c>
      <x:c r="K20" s="24" t="n">
        <x:f>SUMPRODUCT(('Activities'!$E$8:$E$816="Site")*'Activities'!$I$8:$I$816,'Weekly Gantt'!Q8:Q816)/6</x:f>
        <x:v>0</x:v>
      </x:c>
      <x:c r="L20" s="24" t="n">
        <x:f>SUM(C20:K20)</x:f>
        <x:v>55</x:v>
      </x:c>
      <x:c r="M20" s="6" t="n">
        <x:f>IF(C20&gt;'Controls'!$B$12,1,0)+IF(D20&gt;'Controls'!$B$13,1,0)+IF(E20&gt;'Controls'!$B$14,1,0)+IF(F20&gt;'Controls'!$B$15,1,0)+IF(G20&gt;'Controls'!$B$16,1,0)+IF(H20&gt;'Controls'!$B$17,1,0)+IF(I20&gt;'Controls'!$B$18,1,0)+IF(J20&gt;'Controls'!$B$19,1,0)+IF(K20&gt;'Controls'!$B$20,1,0)</x:f>
        <x:v>0</x:v>
      </x:c>
    </x:row>
    <x:row r="21" ht="23" customHeight="1">
      <x:c r="A21" s="1" t="n">
        <x:v>14</x:v>
      </x:c>
      <x:c r="B21" s="19" t="n">
        <x:f>INDEX('Calendar'!$C$8:$C$907,79)</x:f>
        <x:v>46419</x:v>
      </x:c>
      <x:c r="C21" s="25" t="n">
        <x:f>SUMPRODUCT(('Activities'!$E$8:$E$816="Earthworks")*'Activities'!$I$8:$I$816,'Weekly Gantt'!R8:R816)/6</x:f>
        <x:v>0</x:v>
      </x:c>
      <x:c r="D21" s="25" t="n">
        <x:f>SUMPRODUCT(('Activities'!$E$8:$E$816="Formwork")*'Activities'!$I$8:$I$816,'Weekly Gantt'!R8:R816)/6</x:f>
        <x:v>0</x:v>
      </x:c>
      <x:c r="E21" s="25" t="n">
        <x:f>SUMPRODUCT(('Activities'!$E$8:$E$816="Rebar")*'Activities'!$I$8:$I$816,'Weekly Gantt'!R8:R816)/6</x:f>
        <x:v>55</x:v>
      </x:c>
      <x:c r="F21" s="25" t="n">
        <x:f>SUMPRODUCT(('Activities'!$E$8:$E$816="Concrete")*'Activities'!$I$8:$I$816,'Weekly Gantt'!R8:R816)/6</x:f>
        <x:v>0</x:v>
      </x:c>
      <x:c r="G21" s="25" t="n">
        <x:f>SUMPRODUCT(('Activities'!$E$8:$E$816="Masonry")*'Activities'!$I$8:$I$816,'Weekly Gantt'!R8:R816)/6</x:f>
        <x:v>0</x:v>
      </x:c>
      <x:c r="H21" s="25" t="n">
        <x:f>SUMPRODUCT(('Activities'!$E$8:$E$816="Finishes")*'Activities'!$I$8:$I$816,'Weekly Gantt'!R8:R816)/6</x:f>
        <x:v>0</x:v>
      </x:c>
      <x:c r="I21" s="25" t="n">
        <x:f>SUMPRODUCT(('Activities'!$E$8:$E$816="Envelope")*'Activities'!$I$8:$I$816,'Weekly Gantt'!R8:R816)/6</x:f>
        <x:v>0</x:v>
      </x:c>
      <x:c r="J21" s="25" t="n">
        <x:f>SUMPRODUCT(('Activities'!$E$8:$E$816="External")*'Activities'!$I$8:$I$816,'Weekly Gantt'!R8:R816)/6</x:f>
        <x:v>0</x:v>
      </x:c>
      <x:c r="K21" s="25" t="n">
        <x:f>SUMPRODUCT(('Activities'!$E$8:$E$816="Site")*'Activities'!$I$8:$I$816,'Weekly Gantt'!R8:R816)/6</x:f>
        <x:v>0</x:v>
      </x:c>
      <x:c r="L21" s="25" t="n">
        <x:f>SUM(C21:K21)</x:f>
        <x:v>55</x:v>
      </x:c>
      <x:c r="M21" s="1" t="n">
        <x:f>IF(C21&gt;'Controls'!$B$12,1,0)+IF(D21&gt;'Controls'!$B$13,1,0)+IF(E21&gt;'Controls'!$B$14,1,0)+IF(F21&gt;'Controls'!$B$15,1,0)+IF(G21&gt;'Controls'!$B$16,1,0)+IF(H21&gt;'Controls'!$B$17,1,0)+IF(I21&gt;'Controls'!$B$18,1,0)+IF(J21&gt;'Controls'!$B$19,1,0)+IF(K21&gt;'Controls'!$B$20,1,0)</x:f>
        <x:v>0</x:v>
      </x:c>
    </x:row>
    <x:row r="22" ht="23" customHeight="1">
      <x:c r="A22" s="6" t="n">
        <x:v>15</x:v>
      </x:c>
      <x:c r="B22" s="18" t="n">
        <x:f>INDEX('Calendar'!$C$8:$C$907,85)</x:f>
        <x:v>46426</x:v>
      </x:c>
      <x:c r="C22" s="24" t="n">
        <x:f>SUMPRODUCT(('Activities'!$E$8:$E$816="Earthworks")*'Activities'!$I$8:$I$816,'Weekly Gantt'!S8:S816)/6</x:f>
        <x:v>0</x:v>
      </x:c>
      <x:c r="D22" s="24" t="n">
        <x:f>SUMPRODUCT(('Activities'!$E$8:$E$816="Formwork")*'Activities'!$I$8:$I$816,'Weekly Gantt'!S8:S816)/6</x:f>
        <x:v>0</x:v>
      </x:c>
      <x:c r="E22" s="24" t="n">
        <x:f>SUMPRODUCT(('Activities'!$E$8:$E$816="Rebar")*'Activities'!$I$8:$I$816,'Weekly Gantt'!S8:S816)/6</x:f>
        <x:v>55</x:v>
      </x:c>
      <x:c r="F22" s="24" t="n">
        <x:f>SUMPRODUCT(('Activities'!$E$8:$E$816="Concrete")*'Activities'!$I$8:$I$816,'Weekly Gantt'!S8:S816)/6</x:f>
        <x:v>0</x:v>
      </x:c>
      <x:c r="G22" s="24" t="n">
        <x:f>SUMPRODUCT(('Activities'!$E$8:$E$816="Masonry")*'Activities'!$I$8:$I$816,'Weekly Gantt'!S8:S816)/6</x:f>
        <x:v>0</x:v>
      </x:c>
      <x:c r="H22" s="24" t="n">
        <x:f>SUMPRODUCT(('Activities'!$E$8:$E$816="Finishes")*'Activities'!$I$8:$I$816,'Weekly Gantt'!S8:S816)/6</x:f>
        <x:v>0</x:v>
      </x:c>
      <x:c r="I22" s="24" t="n">
        <x:f>SUMPRODUCT(('Activities'!$E$8:$E$816="Envelope")*'Activities'!$I$8:$I$816,'Weekly Gantt'!S8:S816)/6</x:f>
        <x:v>0</x:v>
      </x:c>
      <x:c r="J22" s="24" t="n">
        <x:f>SUMPRODUCT(('Activities'!$E$8:$E$816="External")*'Activities'!$I$8:$I$816,'Weekly Gantt'!S8:S816)/6</x:f>
        <x:v>0</x:v>
      </x:c>
      <x:c r="K22" s="24" t="n">
        <x:f>SUMPRODUCT(('Activities'!$E$8:$E$816="Site")*'Activities'!$I$8:$I$816,'Weekly Gantt'!S8:S816)/6</x:f>
        <x:v>0</x:v>
      </x:c>
      <x:c r="L22" s="24" t="n">
        <x:f>SUM(C22:K22)</x:f>
        <x:v>55</x:v>
      </x:c>
      <x:c r="M22" s="6" t="n">
        <x:f>IF(C22&gt;'Controls'!$B$12,1,0)+IF(D22&gt;'Controls'!$B$13,1,0)+IF(E22&gt;'Controls'!$B$14,1,0)+IF(F22&gt;'Controls'!$B$15,1,0)+IF(G22&gt;'Controls'!$B$16,1,0)+IF(H22&gt;'Controls'!$B$17,1,0)+IF(I22&gt;'Controls'!$B$18,1,0)+IF(J22&gt;'Controls'!$B$19,1,0)+IF(K22&gt;'Controls'!$B$20,1,0)</x:f>
        <x:v>0</x:v>
      </x:c>
    </x:row>
    <x:row r="23" ht="23" customHeight="1">
      <x:c r="A23" s="1" t="n">
        <x:v>16</x:v>
      </x:c>
      <x:c r="B23" s="19" t="n">
        <x:f>INDEX('Calendar'!$C$8:$C$907,91)</x:f>
        <x:v>46433</x:v>
      </x:c>
      <x:c r="C23" s="25" t="n">
        <x:f>SUMPRODUCT(('Activities'!$E$8:$E$816="Earthworks")*'Activities'!$I$8:$I$816,'Weekly Gantt'!T8:T816)/6</x:f>
        <x:v>0</x:v>
      </x:c>
      <x:c r="D23" s="25" t="n">
        <x:f>SUMPRODUCT(('Activities'!$E$8:$E$816="Formwork")*'Activities'!$I$8:$I$816,'Weekly Gantt'!T8:T816)/6</x:f>
        <x:v>0</x:v>
      </x:c>
      <x:c r="E23" s="25" t="n">
        <x:f>SUMPRODUCT(('Activities'!$E$8:$E$816="Rebar")*'Activities'!$I$8:$I$816,'Weekly Gantt'!T8:T816)/6</x:f>
        <x:v>55</x:v>
      </x:c>
      <x:c r="F23" s="25" t="n">
        <x:f>SUMPRODUCT(('Activities'!$E$8:$E$816="Concrete")*'Activities'!$I$8:$I$816,'Weekly Gantt'!T8:T816)/6</x:f>
        <x:v>0</x:v>
      </x:c>
      <x:c r="G23" s="25" t="n">
        <x:f>SUMPRODUCT(('Activities'!$E$8:$E$816="Masonry")*'Activities'!$I$8:$I$816,'Weekly Gantt'!T8:T816)/6</x:f>
        <x:v>0</x:v>
      </x:c>
      <x:c r="H23" s="25" t="n">
        <x:f>SUMPRODUCT(('Activities'!$E$8:$E$816="Finishes")*'Activities'!$I$8:$I$816,'Weekly Gantt'!T8:T816)/6</x:f>
        <x:v>0</x:v>
      </x:c>
      <x:c r="I23" s="25" t="n">
        <x:f>SUMPRODUCT(('Activities'!$E$8:$E$816="Envelope")*'Activities'!$I$8:$I$816,'Weekly Gantt'!T8:T816)/6</x:f>
        <x:v>0</x:v>
      </x:c>
      <x:c r="J23" s="25" t="n">
        <x:f>SUMPRODUCT(('Activities'!$E$8:$E$816="External")*'Activities'!$I$8:$I$816,'Weekly Gantt'!T8:T816)/6</x:f>
        <x:v>0</x:v>
      </x:c>
      <x:c r="K23" s="25" t="n">
        <x:f>SUMPRODUCT(('Activities'!$E$8:$E$816="Site")*'Activities'!$I$8:$I$816,'Weekly Gantt'!T8:T816)/6</x:f>
        <x:v>0</x:v>
      </x:c>
      <x:c r="L23" s="25" t="n">
        <x:f>SUM(C23:K23)</x:f>
        <x:v>55</x:v>
      </x:c>
      <x:c r="M23" s="1" t="n">
        <x:f>IF(C23&gt;'Controls'!$B$12,1,0)+IF(D23&gt;'Controls'!$B$13,1,0)+IF(E23&gt;'Controls'!$B$14,1,0)+IF(F23&gt;'Controls'!$B$15,1,0)+IF(G23&gt;'Controls'!$B$16,1,0)+IF(H23&gt;'Controls'!$B$17,1,0)+IF(I23&gt;'Controls'!$B$18,1,0)+IF(J23&gt;'Controls'!$B$19,1,0)+IF(K23&gt;'Controls'!$B$20,1,0)</x:f>
        <x:v>0</x:v>
      </x:c>
    </x:row>
    <x:row r="24" ht="23" customHeight="1">
      <x:c r="A24" s="6" t="n">
        <x:v>17</x:v>
      </x:c>
      <x:c r="B24" s="18" t="n">
        <x:f>INDEX('Calendar'!$C$8:$C$907,97)</x:f>
        <x:v>46440</x:v>
      </x:c>
      <x:c r="C24" s="24" t="n">
        <x:f>SUMPRODUCT(('Activities'!$E$8:$E$816="Earthworks")*'Activities'!$I$8:$I$816,'Weekly Gantt'!U8:U816)/6</x:f>
        <x:v>0</x:v>
      </x:c>
      <x:c r="D24" s="24" t="n">
        <x:f>SUMPRODUCT(('Activities'!$E$8:$E$816="Formwork")*'Activities'!$I$8:$I$816,'Weekly Gantt'!U8:U816)/6</x:f>
        <x:v>0</x:v>
      </x:c>
      <x:c r="E24" s="24" t="n">
        <x:f>SUMPRODUCT(('Activities'!$E$8:$E$816="Rebar")*'Activities'!$I$8:$I$816,'Weekly Gantt'!U8:U816)/6</x:f>
        <x:v>55</x:v>
      </x:c>
      <x:c r="F24" s="24" t="n">
        <x:f>SUMPRODUCT(('Activities'!$E$8:$E$816="Concrete")*'Activities'!$I$8:$I$816,'Weekly Gantt'!U8:U816)/6</x:f>
        <x:v>0</x:v>
      </x:c>
      <x:c r="G24" s="24" t="n">
        <x:f>SUMPRODUCT(('Activities'!$E$8:$E$816="Masonry")*'Activities'!$I$8:$I$816,'Weekly Gantt'!U8:U816)/6</x:f>
        <x:v>0</x:v>
      </x:c>
      <x:c r="H24" s="24" t="n">
        <x:f>SUMPRODUCT(('Activities'!$E$8:$E$816="Finishes")*'Activities'!$I$8:$I$816,'Weekly Gantt'!U8:U816)/6</x:f>
        <x:v>0</x:v>
      </x:c>
      <x:c r="I24" s="24" t="n">
        <x:f>SUMPRODUCT(('Activities'!$E$8:$E$816="Envelope")*'Activities'!$I$8:$I$816,'Weekly Gantt'!U8:U816)/6</x:f>
        <x:v>0</x:v>
      </x:c>
      <x:c r="J24" s="24" t="n">
        <x:f>SUMPRODUCT(('Activities'!$E$8:$E$816="External")*'Activities'!$I$8:$I$816,'Weekly Gantt'!U8:U816)/6</x:f>
        <x:v>0</x:v>
      </x:c>
      <x:c r="K24" s="24" t="n">
        <x:f>SUMPRODUCT(('Activities'!$E$8:$E$816="Site")*'Activities'!$I$8:$I$816,'Weekly Gantt'!U8:U816)/6</x:f>
        <x:v>0</x:v>
      </x:c>
      <x:c r="L24" s="24" t="n">
        <x:f>SUM(C24:K24)</x:f>
        <x:v>55</x:v>
      </x:c>
      <x:c r="M24" s="6" t="n">
        <x:f>IF(C24&gt;'Controls'!$B$12,1,0)+IF(D24&gt;'Controls'!$B$13,1,0)+IF(E24&gt;'Controls'!$B$14,1,0)+IF(F24&gt;'Controls'!$B$15,1,0)+IF(G24&gt;'Controls'!$B$16,1,0)+IF(H24&gt;'Controls'!$B$17,1,0)+IF(I24&gt;'Controls'!$B$18,1,0)+IF(J24&gt;'Controls'!$B$19,1,0)+IF(K24&gt;'Controls'!$B$20,1,0)</x:f>
        <x:v>0</x:v>
      </x:c>
    </x:row>
    <x:row r="25" ht="23" customHeight="1">
      <x:c r="A25" s="1" t="n">
        <x:v>18</x:v>
      </x:c>
      <x:c r="B25" s="19" t="n">
        <x:f>INDEX('Calendar'!$C$8:$C$907,103)</x:f>
        <x:v>46447</x:v>
      </x:c>
      <x:c r="C25" s="25" t="n">
        <x:f>SUMPRODUCT(('Activities'!$E$8:$E$816="Earthworks")*'Activities'!$I$8:$I$816,'Weekly Gantt'!V8:V816)/6</x:f>
        <x:v>0</x:v>
      </x:c>
      <x:c r="D25" s="25" t="n">
        <x:f>SUMPRODUCT(('Activities'!$E$8:$E$816="Formwork")*'Activities'!$I$8:$I$816,'Weekly Gantt'!V8:V816)/6</x:f>
        <x:v>0</x:v>
      </x:c>
      <x:c r="E25" s="25" t="n">
        <x:f>SUMPRODUCT(('Activities'!$E$8:$E$816="Rebar")*'Activities'!$I$8:$I$816,'Weekly Gantt'!V8:V816)/6</x:f>
        <x:v>55</x:v>
      </x:c>
      <x:c r="F25" s="25" t="n">
        <x:f>SUMPRODUCT(('Activities'!$E$8:$E$816="Concrete")*'Activities'!$I$8:$I$816,'Weekly Gantt'!V8:V816)/6</x:f>
        <x:v>0</x:v>
      </x:c>
      <x:c r="G25" s="25" t="n">
        <x:f>SUMPRODUCT(('Activities'!$E$8:$E$816="Masonry")*'Activities'!$I$8:$I$816,'Weekly Gantt'!V8:V816)/6</x:f>
        <x:v>0</x:v>
      </x:c>
      <x:c r="H25" s="25" t="n">
        <x:f>SUMPRODUCT(('Activities'!$E$8:$E$816="Finishes")*'Activities'!$I$8:$I$816,'Weekly Gantt'!V8:V816)/6</x:f>
        <x:v>0</x:v>
      </x:c>
      <x:c r="I25" s="25" t="n">
        <x:f>SUMPRODUCT(('Activities'!$E$8:$E$816="Envelope")*'Activities'!$I$8:$I$816,'Weekly Gantt'!V8:V816)/6</x:f>
        <x:v>0</x:v>
      </x:c>
      <x:c r="J25" s="25" t="n">
        <x:f>SUMPRODUCT(('Activities'!$E$8:$E$816="External")*'Activities'!$I$8:$I$816,'Weekly Gantt'!V8:V816)/6</x:f>
        <x:v>0</x:v>
      </x:c>
      <x:c r="K25" s="25" t="n">
        <x:f>SUMPRODUCT(('Activities'!$E$8:$E$816="Site")*'Activities'!$I$8:$I$816,'Weekly Gantt'!V8:V816)/6</x:f>
        <x:v>0</x:v>
      </x:c>
      <x:c r="L25" s="25" t="n">
        <x:f>SUM(C25:K25)</x:f>
        <x:v>55</x:v>
      </x:c>
      <x:c r="M25" s="1" t="n">
        <x:f>IF(C25&gt;'Controls'!$B$12,1,0)+IF(D25&gt;'Controls'!$B$13,1,0)+IF(E25&gt;'Controls'!$B$14,1,0)+IF(F25&gt;'Controls'!$B$15,1,0)+IF(G25&gt;'Controls'!$B$16,1,0)+IF(H25&gt;'Controls'!$B$17,1,0)+IF(I25&gt;'Controls'!$B$18,1,0)+IF(J25&gt;'Controls'!$B$19,1,0)+IF(K25&gt;'Controls'!$B$20,1,0)</x:f>
        <x:v>0</x:v>
      </x:c>
    </x:row>
    <x:row r="26" ht="23" customHeight="1">
      <x:c r="A26" s="6" t="n">
        <x:v>19</x:v>
      </x:c>
      <x:c r="B26" s="18" t="n">
        <x:f>INDEX('Calendar'!$C$8:$C$907,109)</x:f>
        <x:v>46454</x:v>
      </x:c>
      <x:c r="C26" s="24" t="n">
        <x:f>SUMPRODUCT(('Activities'!$E$8:$E$816="Earthworks")*'Activities'!$I$8:$I$816,'Weekly Gantt'!W8:W816)/6</x:f>
        <x:v>0</x:v>
      </x:c>
      <x:c r="D26" s="24" t="n">
        <x:f>SUMPRODUCT(('Activities'!$E$8:$E$816="Formwork")*'Activities'!$I$8:$I$816,'Weekly Gantt'!W8:W816)/6</x:f>
        <x:v>0</x:v>
      </x:c>
      <x:c r="E26" s="24" t="n">
        <x:f>SUMPRODUCT(('Activities'!$E$8:$E$816="Rebar")*'Activities'!$I$8:$I$816,'Weekly Gantt'!W8:W816)/6</x:f>
        <x:v>9.166666666666666</x:v>
      </x:c>
      <x:c r="F26" s="24" t="n">
        <x:f>SUMPRODUCT(('Activities'!$E$8:$E$816="Concrete")*'Activities'!$I$8:$I$816,'Weekly Gantt'!W8:W816)/6</x:f>
        <x:v>23.333333333333332</x:v>
      </x:c>
      <x:c r="G26" s="24" t="n">
        <x:f>SUMPRODUCT(('Activities'!$E$8:$E$816="Masonry")*'Activities'!$I$8:$I$816,'Weekly Gantt'!W8:W816)/6</x:f>
        <x:v>0</x:v>
      </x:c>
      <x:c r="H26" s="24" t="n">
        <x:f>SUMPRODUCT(('Activities'!$E$8:$E$816="Finishes")*'Activities'!$I$8:$I$816,'Weekly Gantt'!W8:W816)/6</x:f>
        <x:v>0</x:v>
      </x:c>
      <x:c r="I26" s="24" t="n">
        <x:f>SUMPRODUCT(('Activities'!$E$8:$E$816="Envelope")*'Activities'!$I$8:$I$816,'Weekly Gantt'!W8:W816)/6</x:f>
        <x:v>0</x:v>
      </x:c>
      <x:c r="J26" s="24" t="n">
        <x:f>SUMPRODUCT(('Activities'!$E$8:$E$816="External")*'Activities'!$I$8:$I$816,'Weekly Gantt'!W8:W816)/6</x:f>
        <x:v>0</x:v>
      </x:c>
      <x:c r="K26" s="24" t="n">
        <x:f>SUMPRODUCT(('Activities'!$E$8:$E$816="Site")*'Activities'!$I$8:$I$816,'Weekly Gantt'!W8:W816)/6</x:f>
        <x:v>0</x:v>
      </x:c>
      <x:c r="L26" s="24" t="n">
        <x:f>SUM(C26:K26)</x:f>
        <x:v>32.5</x:v>
      </x:c>
      <x:c r="M26" s="6" t="n">
        <x:f>IF(C26&gt;'Controls'!$B$12,1,0)+IF(D26&gt;'Controls'!$B$13,1,0)+IF(E26&gt;'Controls'!$B$14,1,0)+IF(F26&gt;'Controls'!$B$15,1,0)+IF(G26&gt;'Controls'!$B$16,1,0)+IF(H26&gt;'Controls'!$B$17,1,0)+IF(I26&gt;'Controls'!$B$18,1,0)+IF(J26&gt;'Controls'!$B$19,1,0)+IF(K26&gt;'Controls'!$B$20,1,0)</x:f>
        <x:v>0</x:v>
      </x:c>
    </x:row>
    <x:row r="27" ht="23" customHeight="1">
      <x:c r="A27" s="1" t="n">
        <x:v>20</x:v>
      </x:c>
      <x:c r="B27" s="19" t="n">
        <x:f>INDEX('Calendar'!$C$8:$C$907,115)</x:f>
        <x:v>46461</x:v>
      </x:c>
      <x:c r="C27" s="25" t="n">
        <x:f>SUMPRODUCT(('Activities'!$E$8:$E$816="Earthworks")*'Activities'!$I$8:$I$816,'Weekly Gantt'!X8:X816)/6</x:f>
        <x:v>0</x:v>
      </x:c>
      <x:c r="D27" s="25" t="n">
        <x:f>SUMPRODUCT(('Activities'!$E$8:$E$816="Formwork")*'Activities'!$I$8:$I$816,'Weekly Gantt'!X8:X816)/6</x:f>
        <x:v>0</x:v>
      </x:c>
      <x:c r="E27" s="25" t="n">
        <x:f>SUMPRODUCT(('Activities'!$E$8:$E$816="Rebar")*'Activities'!$I$8:$I$816,'Weekly Gantt'!X8:X816)/6</x:f>
        <x:v>0</x:v>
      </x:c>
      <x:c r="F27" s="25" t="n">
        <x:f>SUMPRODUCT(('Activities'!$E$8:$E$816="Concrete")*'Activities'!$I$8:$I$816,'Weekly Gantt'!X8:X816)/6</x:f>
        <x:v>28</x:v>
      </x:c>
      <x:c r="G27" s="25" t="n">
        <x:f>SUMPRODUCT(('Activities'!$E$8:$E$816="Masonry")*'Activities'!$I$8:$I$816,'Weekly Gantt'!X8:X816)/6</x:f>
        <x:v>0</x:v>
      </x:c>
      <x:c r="H27" s="25" t="n">
        <x:f>SUMPRODUCT(('Activities'!$E$8:$E$816="Finishes")*'Activities'!$I$8:$I$816,'Weekly Gantt'!X8:X816)/6</x:f>
        <x:v>0</x:v>
      </x:c>
      <x:c r="I27" s="25" t="n">
        <x:f>SUMPRODUCT(('Activities'!$E$8:$E$816="Envelope")*'Activities'!$I$8:$I$816,'Weekly Gantt'!X8:X816)/6</x:f>
        <x:v>0</x:v>
      </x:c>
      <x:c r="J27" s="25" t="n">
        <x:f>SUMPRODUCT(('Activities'!$E$8:$E$816="External")*'Activities'!$I$8:$I$816,'Weekly Gantt'!X8:X816)/6</x:f>
        <x:v>0</x:v>
      </x:c>
      <x:c r="K27" s="25" t="n">
        <x:f>SUMPRODUCT(('Activities'!$E$8:$E$816="Site")*'Activities'!$I$8:$I$816,'Weekly Gantt'!X8:X816)/6</x:f>
        <x:v>0</x:v>
      </x:c>
      <x:c r="L27" s="25" t="n">
        <x:f>SUM(C27:K27)</x:f>
        <x:v>28</x:v>
      </x:c>
      <x:c r="M27" s="1" t="n">
        <x:f>IF(C27&gt;'Controls'!$B$12,1,0)+IF(D27&gt;'Controls'!$B$13,1,0)+IF(E27&gt;'Controls'!$B$14,1,0)+IF(F27&gt;'Controls'!$B$15,1,0)+IF(G27&gt;'Controls'!$B$16,1,0)+IF(H27&gt;'Controls'!$B$17,1,0)+IF(I27&gt;'Controls'!$B$18,1,0)+IF(J27&gt;'Controls'!$B$19,1,0)+IF(K27&gt;'Controls'!$B$20,1,0)</x:f>
        <x:v>0</x:v>
      </x:c>
    </x:row>
    <x:row r="28" ht="23" customHeight="1">
      <x:c r="A28" s="6" t="n">
        <x:v>21</x:v>
      </x:c>
      <x:c r="B28" s="18" t="n">
        <x:f>INDEX('Calendar'!$C$8:$C$907,121)</x:f>
        <x:v>46468</x:v>
      </x:c>
      <x:c r="C28" s="24" t="n">
        <x:f>SUMPRODUCT(('Activities'!$E$8:$E$816="Earthworks")*'Activities'!$I$8:$I$816,'Weekly Gantt'!Y8:Y816)/6</x:f>
        <x:v>0</x:v>
      </x:c>
      <x:c r="D28" s="24" t="n">
        <x:f>SUMPRODUCT(('Activities'!$E$8:$E$816="Formwork")*'Activities'!$I$8:$I$816,'Weekly Gantt'!Y8:Y816)/6</x:f>
        <x:v>0</x:v>
      </x:c>
      <x:c r="E28" s="24" t="n">
        <x:f>SUMPRODUCT(('Activities'!$E$8:$E$816="Rebar")*'Activities'!$I$8:$I$816,'Weekly Gantt'!Y8:Y816)/6</x:f>
        <x:v>0</x:v>
      </x:c>
      <x:c r="F28" s="24" t="n">
        <x:f>SUMPRODUCT(('Activities'!$E$8:$E$816="Concrete")*'Activities'!$I$8:$I$816,'Weekly Gantt'!Y8:Y816)/6</x:f>
        <x:v>28</x:v>
      </x:c>
      <x:c r="G28" s="24" t="n">
        <x:f>SUMPRODUCT(('Activities'!$E$8:$E$816="Masonry")*'Activities'!$I$8:$I$816,'Weekly Gantt'!Y8:Y816)/6</x:f>
        <x:v>0</x:v>
      </x:c>
      <x:c r="H28" s="24" t="n">
        <x:f>SUMPRODUCT(('Activities'!$E$8:$E$816="Finishes")*'Activities'!$I$8:$I$816,'Weekly Gantt'!Y8:Y816)/6</x:f>
        <x:v>0</x:v>
      </x:c>
      <x:c r="I28" s="24" t="n">
        <x:f>SUMPRODUCT(('Activities'!$E$8:$E$816="Envelope")*'Activities'!$I$8:$I$816,'Weekly Gantt'!Y8:Y816)/6</x:f>
        <x:v>0</x:v>
      </x:c>
      <x:c r="J28" s="24" t="n">
        <x:f>SUMPRODUCT(('Activities'!$E$8:$E$816="External")*'Activities'!$I$8:$I$816,'Weekly Gantt'!Y8:Y816)/6</x:f>
        <x:v>0</x:v>
      </x:c>
      <x:c r="K28" s="24" t="n">
        <x:f>SUMPRODUCT(('Activities'!$E$8:$E$816="Site")*'Activities'!$I$8:$I$816,'Weekly Gantt'!Y8:Y816)/6</x:f>
        <x:v>0</x:v>
      </x:c>
      <x:c r="L28" s="24" t="n">
        <x:f>SUM(C28:K28)</x:f>
        <x:v>28</x:v>
      </x:c>
      <x:c r="M28" s="6" t="n">
        <x:f>IF(C28&gt;'Controls'!$B$12,1,0)+IF(D28&gt;'Controls'!$B$13,1,0)+IF(E28&gt;'Controls'!$B$14,1,0)+IF(F28&gt;'Controls'!$B$15,1,0)+IF(G28&gt;'Controls'!$B$16,1,0)+IF(H28&gt;'Controls'!$B$17,1,0)+IF(I28&gt;'Controls'!$B$18,1,0)+IF(J28&gt;'Controls'!$B$19,1,0)+IF(K28&gt;'Controls'!$B$20,1,0)</x:f>
        <x:v>0</x:v>
      </x:c>
    </x:row>
    <x:row r="29" ht="23" customHeight="1">
      <x:c r="A29" s="1" t="n">
        <x:v>22</x:v>
      </x:c>
      <x:c r="B29" s="19" t="n">
        <x:f>INDEX('Calendar'!$C$8:$C$907,127)</x:f>
        <x:v>46475</x:v>
      </x:c>
      <x:c r="C29" s="25" t="n">
        <x:f>SUMPRODUCT(('Activities'!$E$8:$E$816="Earthworks")*'Activities'!$I$8:$I$816,'Weekly Gantt'!Z8:Z816)/6</x:f>
        <x:v>0</x:v>
      </x:c>
      <x:c r="D29" s="25" t="n">
        <x:f>SUMPRODUCT(('Activities'!$E$8:$E$816="Formwork")*'Activities'!$I$8:$I$816,'Weekly Gantt'!Z8:Z816)/6</x:f>
        <x:v>0</x:v>
      </x:c>
      <x:c r="E29" s="25" t="n">
        <x:f>SUMPRODUCT(('Activities'!$E$8:$E$816="Rebar")*'Activities'!$I$8:$I$816,'Weekly Gantt'!Z8:Z816)/6</x:f>
        <x:v>0</x:v>
      </x:c>
      <x:c r="F29" s="25" t="n">
        <x:f>SUMPRODUCT(('Activities'!$E$8:$E$816="Concrete")*'Activities'!$I$8:$I$816,'Weekly Gantt'!Z8:Z816)/6</x:f>
        <x:v>4.666666666666667</x:v>
      </x:c>
      <x:c r="G29" s="25" t="n">
        <x:f>SUMPRODUCT(('Activities'!$E$8:$E$816="Masonry")*'Activities'!$I$8:$I$816,'Weekly Gantt'!Z8:Z816)/6</x:f>
        <x:v>0</x:v>
      </x:c>
      <x:c r="H29" s="25" t="n">
        <x:f>SUMPRODUCT(('Activities'!$E$8:$E$816="Finishes")*'Activities'!$I$8:$I$816,'Weekly Gantt'!Z8:Z816)/6</x:f>
        <x:v>0</x:v>
      </x:c>
      <x:c r="I29" s="25" t="n">
        <x:f>SUMPRODUCT(('Activities'!$E$8:$E$816="Envelope")*'Activities'!$I$8:$I$816,'Weekly Gantt'!Z8:Z816)/6</x:f>
        <x:v>0</x:v>
      </x:c>
      <x:c r="J29" s="25" t="n">
        <x:f>SUMPRODUCT(('Activities'!$E$8:$E$816="External")*'Activities'!$I$8:$I$816,'Weekly Gantt'!Z8:Z816)/6</x:f>
        <x:v>0</x:v>
      </x:c>
      <x:c r="K29" s="25" t="n">
        <x:f>SUMPRODUCT(('Activities'!$E$8:$E$816="Site")*'Activities'!$I$8:$I$816,'Weekly Gantt'!Z8:Z816)/6</x:f>
        <x:v>0</x:v>
      </x:c>
      <x:c r="L29" s="25" t="n">
        <x:f>SUM(C29:K29)</x:f>
        <x:v>4.666666666666667</x:v>
      </x:c>
      <x:c r="M29" s="1" t="n">
        <x:f>IF(C29&gt;'Controls'!$B$12,1,0)+IF(D29&gt;'Controls'!$B$13,1,0)+IF(E29&gt;'Controls'!$B$14,1,0)+IF(F29&gt;'Controls'!$B$15,1,0)+IF(G29&gt;'Controls'!$B$16,1,0)+IF(H29&gt;'Controls'!$B$17,1,0)+IF(I29&gt;'Controls'!$B$18,1,0)+IF(J29&gt;'Controls'!$B$19,1,0)+IF(K29&gt;'Controls'!$B$20,1,0)</x:f>
        <x:v>0</x:v>
      </x:c>
    </x:row>
    <x:row r="30" ht="23" customHeight="1">
      <x:c r="A30" s="6" t="n">
        <x:v>23</x:v>
      </x:c>
      <x:c r="B30" s="18" t="n">
        <x:f>INDEX('Calendar'!$C$8:$C$907,133)</x:f>
        <x:v>46482</x:v>
      </x:c>
      <x:c r="C30" s="24" t="n">
        <x:f>SUMPRODUCT(('Activities'!$E$8:$E$816="Earthworks")*'Activities'!$I$8:$I$816,'Weekly Gantt'!AA8:AA816)/6</x:f>
        <x:v>0</x:v>
      </x:c>
      <x:c r="D30" s="24" t="n">
        <x:f>SUMPRODUCT(('Activities'!$E$8:$E$816="Formwork")*'Activities'!$I$8:$I$816,'Weekly Gantt'!AA8:AA816)/6</x:f>
        <x:v>28</x:v>
      </x:c>
      <x:c r="E30" s="24" t="n">
        <x:f>SUMPRODUCT(('Activities'!$E$8:$E$816="Rebar")*'Activities'!$I$8:$I$816,'Weekly Gantt'!AA8:AA816)/6</x:f>
        <x:v>0</x:v>
      </x:c>
      <x:c r="F30" s="24" t="n">
        <x:f>SUMPRODUCT(('Activities'!$E$8:$E$816="Concrete")*'Activities'!$I$8:$I$816,'Weekly Gantt'!AA8:AA816)/6</x:f>
        <x:v>0</x:v>
      </x:c>
      <x:c r="G30" s="24" t="n">
        <x:f>SUMPRODUCT(('Activities'!$E$8:$E$816="Masonry")*'Activities'!$I$8:$I$816,'Weekly Gantt'!AA8:AA816)/6</x:f>
        <x:v>0</x:v>
      </x:c>
      <x:c r="H30" s="24" t="n">
        <x:f>SUMPRODUCT(('Activities'!$E$8:$E$816="Finishes")*'Activities'!$I$8:$I$816,'Weekly Gantt'!AA8:AA816)/6</x:f>
        <x:v>0</x:v>
      </x:c>
      <x:c r="I30" s="24" t="n">
        <x:f>SUMPRODUCT(('Activities'!$E$8:$E$816="Envelope")*'Activities'!$I$8:$I$816,'Weekly Gantt'!AA8:AA816)/6</x:f>
        <x:v>0</x:v>
      </x:c>
      <x:c r="J30" s="24" t="n">
        <x:f>SUMPRODUCT(('Activities'!$E$8:$E$816="External")*'Activities'!$I$8:$I$816,'Weekly Gantt'!AA8:AA816)/6</x:f>
        <x:v>0</x:v>
      </x:c>
      <x:c r="K30" s="24" t="n">
        <x:f>SUMPRODUCT(('Activities'!$E$8:$E$816="Site")*'Activities'!$I$8:$I$816,'Weekly Gantt'!AA8:AA816)/6</x:f>
        <x:v>0</x:v>
      </x:c>
      <x:c r="L30" s="24" t="n">
        <x:f>SUM(C30:K30)</x:f>
        <x:v>28</x:v>
      </x:c>
      <x:c r="M30" s="6" t="n">
        <x:f>IF(C30&gt;'Controls'!$B$12,1,0)+IF(D30&gt;'Controls'!$B$13,1,0)+IF(E30&gt;'Controls'!$B$14,1,0)+IF(F30&gt;'Controls'!$B$15,1,0)+IF(G30&gt;'Controls'!$B$16,1,0)+IF(H30&gt;'Controls'!$B$17,1,0)+IF(I30&gt;'Controls'!$B$18,1,0)+IF(J30&gt;'Controls'!$B$19,1,0)+IF(K30&gt;'Controls'!$B$20,1,0)</x:f>
        <x:v>0</x:v>
      </x:c>
    </x:row>
    <x:row r="31" ht="23" customHeight="1">
      <x:c r="A31" s="1" t="n">
        <x:v>24</x:v>
      </x:c>
      <x:c r="B31" s="19" t="n">
        <x:f>INDEX('Calendar'!$C$8:$C$907,139)</x:f>
        <x:v>46489</x:v>
      </x:c>
      <x:c r="C31" s="25" t="n">
        <x:f>SUMPRODUCT(('Activities'!$E$8:$E$816="Earthworks")*'Activities'!$I$8:$I$816,'Weekly Gantt'!AB8:AB816)/6</x:f>
        <x:v>0</x:v>
      </x:c>
      <x:c r="D31" s="25" t="n">
        <x:f>SUMPRODUCT(('Activities'!$E$8:$E$816="Formwork")*'Activities'!$I$8:$I$816,'Weekly Gantt'!AB8:AB816)/6</x:f>
        <x:v>30</x:v>
      </x:c>
      <x:c r="E31" s="25" t="n">
        <x:f>SUMPRODUCT(('Activities'!$E$8:$E$816="Rebar")*'Activities'!$I$8:$I$816,'Weekly Gantt'!AB8:AB816)/6</x:f>
        <x:v>9.333333333333334</x:v>
      </x:c>
      <x:c r="F31" s="25" t="n">
        <x:f>SUMPRODUCT(('Activities'!$E$8:$E$816="Concrete")*'Activities'!$I$8:$I$816,'Weekly Gantt'!AB8:AB816)/6</x:f>
        <x:v>0</x:v>
      </x:c>
      <x:c r="G31" s="25" t="n">
        <x:f>SUMPRODUCT(('Activities'!$E$8:$E$816="Masonry")*'Activities'!$I$8:$I$816,'Weekly Gantt'!AB8:AB816)/6</x:f>
        <x:v>0</x:v>
      </x:c>
      <x:c r="H31" s="25" t="n">
        <x:f>SUMPRODUCT(('Activities'!$E$8:$E$816="Finishes")*'Activities'!$I$8:$I$816,'Weekly Gantt'!AB8:AB816)/6</x:f>
        <x:v>0</x:v>
      </x:c>
      <x:c r="I31" s="25" t="n">
        <x:f>SUMPRODUCT(('Activities'!$E$8:$E$816="Envelope")*'Activities'!$I$8:$I$816,'Weekly Gantt'!AB8:AB816)/6</x:f>
        <x:v>0</x:v>
      </x:c>
      <x:c r="J31" s="25" t="n">
        <x:f>SUMPRODUCT(('Activities'!$E$8:$E$816="External")*'Activities'!$I$8:$I$816,'Weekly Gantt'!AB8:AB816)/6</x:f>
        <x:v>0</x:v>
      </x:c>
      <x:c r="K31" s="25" t="n">
        <x:f>SUMPRODUCT(('Activities'!$E$8:$E$816="Site")*'Activities'!$I$8:$I$816,'Weekly Gantt'!AB8:AB816)/6</x:f>
        <x:v>0</x:v>
      </x:c>
      <x:c r="L31" s="25" t="n">
        <x:f>SUM(C31:K31)</x:f>
        <x:v>39.333333333333336</x:v>
      </x:c>
      <x:c r="M31" s="1" t="n">
        <x:f>IF(C31&gt;'Controls'!$B$12,1,0)+IF(D31&gt;'Controls'!$B$13,1,0)+IF(E31&gt;'Controls'!$B$14,1,0)+IF(F31&gt;'Controls'!$B$15,1,0)+IF(G31&gt;'Controls'!$B$16,1,0)+IF(H31&gt;'Controls'!$B$17,1,0)+IF(I31&gt;'Controls'!$B$18,1,0)+IF(J31&gt;'Controls'!$B$19,1,0)+IF(K31&gt;'Controls'!$B$20,1,0)</x:f>
        <x:v>0</x:v>
      </x:c>
    </x:row>
    <x:row r="32" ht="23" customHeight="1">
      <x:c r="A32" s="6" t="n">
        <x:v>25</x:v>
      </x:c>
      <x:c r="B32" s="18" t="n">
        <x:f>INDEX('Calendar'!$C$8:$C$907,145)</x:f>
        <x:v>46496</x:v>
      </x:c>
      <x:c r="C32" s="24" t="n">
        <x:f>SUMPRODUCT(('Activities'!$E$8:$E$816="Earthworks")*'Activities'!$I$8:$I$816,'Weekly Gantt'!AC8:AC816)/6</x:f>
        <x:v>0</x:v>
      </x:c>
      <x:c r="D32" s="24" t="n">
        <x:f>SUMPRODUCT(('Activities'!$E$8:$E$816="Formwork")*'Activities'!$I$8:$I$816,'Weekly Gantt'!AC8:AC816)/6</x:f>
        <x:v>39</x:v>
      </x:c>
      <x:c r="E32" s="24" t="n">
        <x:f>SUMPRODUCT(('Activities'!$E$8:$E$816="Rebar")*'Activities'!$I$8:$I$816,'Weekly Gantt'!AC8:AC816)/6</x:f>
        <x:v>2.3333333333333335</x:v>
      </x:c>
      <x:c r="F32" s="24" t="n">
        <x:f>SUMPRODUCT(('Activities'!$E$8:$E$816="Concrete")*'Activities'!$I$8:$I$816,'Weekly Gantt'!AC8:AC816)/6</x:f>
        <x:v>4</x:v>
      </x:c>
      <x:c r="G32" s="24" t="n">
        <x:f>SUMPRODUCT(('Activities'!$E$8:$E$816="Masonry")*'Activities'!$I$8:$I$816,'Weekly Gantt'!AC8:AC816)/6</x:f>
        <x:v>0</x:v>
      </x:c>
      <x:c r="H32" s="24" t="n">
        <x:f>SUMPRODUCT(('Activities'!$E$8:$E$816="Finishes")*'Activities'!$I$8:$I$816,'Weekly Gantt'!AC8:AC816)/6</x:f>
        <x:v>0</x:v>
      </x:c>
      <x:c r="I32" s="24" t="n">
        <x:f>SUMPRODUCT(('Activities'!$E$8:$E$816="Envelope")*'Activities'!$I$8:$I$816,'Weekly Gantt'!AC8:AC816)/6</x:f>
        <x:v>0</x:v>
      </x:c>
      <x:c r="J32" s="24" t="n">
        <x:f>SUMPRODUCT(('Activities'!$E$8:$E$816="External")*'Activities'!$I$8:$I$816,'Weekly Gantt'!AC8:AC816)/6</x:f>
        <x:v>0</x:v>
      </x:c>
      <x:c r="K32" s="24" t="n">
        <x:f>SUMPRODUCT(('Activities'!$E$8:$E$816="Site")*'Activities'!$I$8:$I$816,'Weekly Gantt'!AC8:AC816)/6</x:f>
        <x:v>0</x:v>
      </x:c>
      <x:c r="L32" s="24" t="n">
        <x:f>SUM(C32:K32)</x:f>
        <x:v>45.333333333333336</x:v>
      </x:c>
      <x:c r="M32" s="6" t="n">
        <x:f>IF(C32&gt;'Controls'!$B$12,1,0)+IF(D32&gt;'Controls'!$B$13,1,0)+IF(E32&gt;'Controls'!$B$14,1,0)+IF(F32&gt;'Controls'!$B$15,1,0)+IF(G32&gt;'Controls'!$B$16,1,0)+IF(H32&gt;'Controls'!$B$17,1,0)+IF(I32&gt;'Controls'!$B$18,1,0)+IF(J32&gt;'Controls'!$B$19,1,0)+IF(K32&gt;'Controls'!$B$20,1,0)</x:f>
        <x:v>0</x:v>
      </x:c>
    </x:row>
    <x:row r="33" ht="23" customHeight="1">
      <x:c r="A33" s="1" t="n">
        <x:v>26</x:v>
      </x:c>
      <x:c r="B33" s="19" t="n">
        <x:f>INDEX('Calendar'!$C$8:$C$907,151)</x:f>
        <x:v>46503</x:v>
      </x:c>
      <x:c r="C33" s="25" t="n">
        <x:f>SUMPRODUCT(('Activities'!$E$8:$E$816="Earthworks")*'Activities'!$I$8:$I$816,'Weekly Gantt'!AD8:AD816)/6</x:f>
        <x:v>5.333333333333333</x:v>
      </x:c>
      <x:c r="D33" s="25" t="n">
        <x:f>SUMPRODUCT(('Activities'!$E$8:$E$816="Formwork")*'Activities'!$I$8:$I$816,'Weekly Gantt'!AD8:AD816)/6</x:f>
        <x:v>48</x:v>
      </x:c>
      <x:c r="E33" s="25" t="n">
        <x:f>SUMPRODUCT(('Activities'!$E$8:$E$816="Rebar")*'Activities'!$I$8:$I$816,'Weekly Gantt'!AD8:AD816)/6</x:f>
        <x:v>9.333333333333334</x:v>
      </x:c>
      <x:c r="F33" s="25" t="n">
        <x:f>SUMPRODUCT(('Activities'!$E$8:$E$816="Concrete")*'Activities'!$I$8:$I$816,'Weekly Gantt'!AD8:AD816)/6</x:f>
        <x:v>0</x:v>
      </x:c>
      <x:c r="G33" s="25" t="n">
        <x:f>SUMPRODUCT(('Activities'!$E$8:$E$816="Masonry")*'Activities'!$I$8:$I$816,'Weekly Gantt'!AD8:AD816)/6</x:f>
        <x:v>0</x:v>
      </x:c>
      <x:c r="H33" s="25" t="n">
        <x:f>SUMPRODUCT(('Activities'!$E$8:$E$816="Finishes")*'Activities'!$I$8:$I$816,'Weekly Gantt'!AD8:AD816)/6</x:f>
        <x:v>0</x:v>
      </x:c>
      <x:c r="I33" s="25" t="n">
        <x:f>SUMPRODUCT(('Activities'!$E$8:$E$816="Envelope")*'Activities'!$I$8:$I$816,'Weekly Gantt'!AD8:AD816)/6</x:f>
        <x:v>0</x:v>
      </x:c>
      <x:c r="J33" s="25" t="n">
        <x:f>SUMPRODUCT(('Activities'!$E$8:$E$816="External")*'Activities'!$I$8:$I$816,'Weekly Gantt'!AD8:AD816)/6</x:f>
        <x:v>0</x:v>
      </x:c>
      <x:c r="K33" s="25" t="n">
        <x:f>SUMPRODUCT(('Activities'!$E$8:$E$816="Site")*'Activities'!$I$8:$I$816,'Weekly Gantt'!AD8:AD816)/6</x:f>
        <x:v>0</x:v>
      </x:c>
      <x:c r="L33" s="25" t="n">
        <x:f>SUM(C33:K33)</x:f>
        <x:v>62.66666666666667</x:v>
      </x:c>
      <x:c r="M33" s="1" t="n">
        <x:f>IF(C33&gt;'Controls'!$B$12,1,0)+IF(D33&gt;'Controls'!$B$13,1,0)+IF(E33&gt;'Controls'!$B$14,1,0)+IF(F33&gt;'Controls'!$B$15,1,0)+IF(G33&gt;'Controls'!$B$16,1,0)+IF(H33&gt;'Controls'!$B$17,1,0)+IF(I33&gt;'Controls'!$B$18,1,0)+IF(J33&gt;'Controls'!$B$19,1,0)+IF(K33&gt;'Controls'!$B$20,1,0)</x:f>
        <x:v>0</x:v>
      </x:c>
    </x:row>
    <x:row r="34" ht="23" customHeight="1">
      <x:c r="A34" s="6" t="n">
        <x:v>27</x:v>
      </x:c>
      <x:c r="B34" s="18" t="n">
        <x:f>INDEX('Calendar'!$C$8:$C$907,157)</x:f>
        <x:v>46510</x:v>
      </x:c>
      <x:c r="C34" s="24" t="n">
        <x:f>SUMPRODUCT(('Activities'!$E$8:$E$816="Earthworks")*'Activities'!$I$8:$I$816,'Weekly Gantt'!AE8:AE816)/6</x:f>
        <x:v>16</x:v>
      </x:c>
      <x:c r="D34" s="24" t="n">
        <x:f>SUMPRODUCT(('Activities'!$E$8:$E$816="Formwork")*'Activities'!$I$8:$I$816,'Weekly Gantt'!AE8:AE816)/6</x:f>
        <x:v>43</x:v>
      </x:c>
      <x:c r="E34" s="24" t="n">
        <x:f>SUMPRODUCT(('Activities'!$E$8:$E$816="Rebar")*'Activities'!$I$8:$I$816,'Weekly Gantt'!AE8:AE816)/6</x:f>
        <x:v>11.666666666666666</x:v>
      </x:c>
      <x:c r="F34" s="24" t="n">
        <x:f>SUMPRODUCT(('Activities'!$E$8:$E$816="Concrete")*'Activities'!$I$8:$I$816,'Weekly Gantt'!AE8:AE816)/6</x:f>
        <x:v>4</x:v>
      </x:c>
      <x:c r="G34" s="24" t="n">
        <x:f>SUMPRODUCT(('Activities'!$E$8:$E$816="Masonry")*'Activities'!$I$8:$I$816,'Weekly Gantt'!AE8:AE816)/6</x:f>
        <x:v>0</x:v>
      </x:c>
      <x:c r="H34" s="24" t="n">
        <x:f>SUMPRODUCT(('Activities'!$E$8:$E$816="Finishes")*'Activities'!$I$8:$I$816,'Weekly Gantt'!AE8:AE816)/6</x:f>
        <x:v>0</x:v>
      </x:c>
      <x:c r="I34" s="24" t="n">
        <x:f>SUMPRODUCT(('Activities'!$E$8:$E$816="Envelope")*'Activities'!$I$8:$I$816,'Weekly Gantt'!AE8:AE816)/6</x:f>
        <x:v>0</x:v>
      </x:c>
      <x:c r="J34" s="24" t="n">
        <x:f>SUMPRODUCT(('Activities'!$E$8:$E$816="External")*'Activities'!$I$8:$I$816,'Weekly Gantt'!AE8:AE816)/6</x:f>
        <x:v>0</x:v>
      </x:c>
      <x:c r="K34" s="24" t="n">
        <x:f>SUMPRODUCT(('Activities'!$E$8:$E$816="Site")*'Activities'!$I$8:$I$816,'Weekly Gantt'!AE8:AE816)/6</x:f>
        <x:v>0</x:v>
      </x:c>
      <x:c r="L34" s="24" t="n">
        <x:f>SUM(C34:K34)</x:f>
        <x:v>74.66666666666667</x:v>
      </x:c>
      <x:c r="M34" s="6" t="n">
        <x:f>IF(C34&gt;'Controls'!$B$12,1,0)+IF(D34&gt;'Controls'!$B$13,1,0)+IF(E34&gt;'Controls'!$B$14,1,0)+IF(F34&gt;'Controls'!$B$15,1,0)+IF(G34&gt;'Controls'!$B$16,1,0)+IF(H34&gt;'Controls'!$B$17,1,0)+IF(I34&gt;'Controls'!$B$18,1,0)+IF(J34&gt;'Controls'!$B$19,1,0)+IF(K34&gt;'Controls'!$B$20,1,0)</x:f>
        <x:v>0</x:v>
      </x:c>
    </x:row>
    <x:row r="35" ht="23" customHeight="1">
      <x:c r="A35" s="1" t="n">
        <x:v>28</x:v>
      </x:c>
      <x:c r="B35" s="19" t="n">
        <x:f>INDEX('Calendar'!$C$8:$C$907,163)</x:f>
        <x:v>46517</x:v>
      </x:c>
      <x:c r="C35" s="25" t="n">
        <x:f>SUMPRODUCT(('Activities'!$E$8:$E$816="Earthworks")*'Activities'!$I$8:$I$816,'Weekly Gantt'!AF8:AF816)/6</x:f>
        <x:v>2.6666666666666665</x:v>
      </x:c>
      <x:c r="D35" s="25" t="n">
        <x:f>SUMPRODUCT(('Activities'!$E$8:$E$816="Formwork")*'Activities'!$I$8:$I$816,'Weekly Gantt'!AF8:AF816)/6</x:f>
        <x:v>18</x:v>
      </x:c>
      <x:c r="E35" s="25" t="n">
        <x:f>SUMPRODUCT(('Activities'!$E$8:$E$816="Rebar")*'Activities'!$I$8:$I$816,'Weekly Gantt'!AF8:AF816)/6</x:f>
        <x:v>11.666666666666666</x:v>
      </x:c>
      <x:c r="F35" s="25" t="n">
        <x:f>SUMPRODUCT(('Activities'!$E$8:$E$816="Concrete")*'Activities'!$I$8:$I$816,'Weekly Gantt'!AF8:AF816)/6</x:f>
        <x:v>4</x:v>
      </x:c>
      <x:c r="G35" s="25" t="n">
        <x:f>SUMPRODUCT(('Activities'!$E$8:$E$816="Masonry")*'Activities'!$I$8:$I$816,'Weekly Gantt'!AF8:AF816)/6</x:f>
        <x:v>0</x:v>
      </x:c>
      <x:c r="H35" s="25" t="n">
        <x:f>SUMPRODUCT(('Activities'!$E$8:$E$816="Finishes")*'Activities'!$I$8:$I$816,'Weekly Gantt'!AF8:AF816)/6</x:f>
        <x:v>0</x:v>
      </x:c>
      <x:c r="I35" s="25" t="n">
        <x:f>SUMPRODUCT(('Activities'!$E$8:$E$816="Envelope")*'Activities'!$I$8:$I$816,'Weekly Gantt'!AF8:AF816)/6</x:f>
        <x:v>0</x:v>
      </x:c>
      <x:c r="J35" s="25" t="n">
        <x:f>SUMPRODUCT(('Activities'!$E$8:$E$816="External")*'Activities'!$I$8:$I$816,'Weekly Gantt'!AF8:AF816)/6</x:f>
        <x:v>10</x:v>
      </x:c>
      <x:c r="K35" s="25" t="n">
        <x:f>SUMPRODUCT(('Activities'!$E$8:$E$816="Site")*'Activities'!$I$8:$I$816,'Weekly Gantt'!AF8:AF816)/6</x:f>
        <x:v>0</x:v>
      </x:c>
      <x:c r="L35" s="25" t="n">
        <x:f>SUM(C35:K35)</x:f>
        <x:v>46.333333333333336</x:v>
      </x:c>
      <x:c r="M35" s="1" t="n">
        <x:f>IF(C35&gt;'Controls'!$B$12,1,0)+IF(D35&gt;'Controls'!$B$13,1,0)+IF(E35&gt;'Controls'!$B$14,1,0)+IF(F35&gt;'Controls'!$B$15,1,0)+IF(G35&gt;'Controls'!$B$16,1,0)+IF(H35&gt;'Controls'!$B$17,1,0)+IF(I35&gt;'Controls'!$B$18,1,0)+IF(J35&gt;'Controls'!$B$19,1,0)+IF(K35&gt;'Controls'!$B$20,1,0)</x:f>
        <x:v>0</x:v>
      </x:c>
    </x:row>
    <x:row r="36" ht="23" customHeight="1">
      <x:c r="A36" s="6" t="n">
        <x:v>29</x:v>
      </x:c>
      <x:c r="B36" s="18" t="n">
        <x:f>INDEX('Calendar'!$C$8:$C$907,169)</x:f>
        <x:v>46524</x:v>
      </x:c>
      <x:c r="C36" s="24" t="n">
        <x:f>SUMPRODUCT(('Activities'!$E$8:$E$816="Earthworks")*'Activities'!$I$8:$I$816,'Weekly Gantt'!AG8:AG816)/6</x:f>
        <x:v>0</x:v>
      </x:c>
      <x:c r="D36" s="24" t="n">
        <x:f>SUMPRODUCT(('Activities'!$E$8:$E$816="Formwork")*'Activities'!$I$8:$I$816,'Weekly Gantt'!AG8:AG816)/6</x:f>
        <x:v>30</x:v>
      </x:c>
      <x:c r="E36" s="24" t="n">
        <x:f>SUMPRODUCT(('Activities'!$E$8:$E$816="Rebar")*'Activities'!$I$8:$I$816,'Weekly Gantt'!AG8:AG816)/6</x:f>
        <x:v>11.666666666666666</x:v>
      </x:c>
      <x:c r="F36" s="24" t="n">
        <x:f>SUMPRODUCT(('Activities'!$E$8:$E$816="Concrete")*'Activities'!$I$8:$I$816,'Weekly Gantt'!AG8:AG816)/6</x:f>
        <x:v>4</x:v>
      </x:c>
      <x:c r="G36" s="24" t="n">
        <x:f>SUMPRODUCT(('Activities'!$E$8:$E$816="Masonry")*'Activities'!$I$8:$I$816,'Weekly Gantt'!AG8:AG816)/6</x:f>
        <x:v>0</x:v>
      </x:c>
      <x:c r="H36" s="24" t="n">
        <x:f>SUMPRODUCT(('Activities'!$E$8:$E$816="Finishes")*'Activities'!$I$8:$I$816,'Weekly Gantt'!AG8:AG816)/6</x:f>
        <x:v>0</x:v>
      </x:c>
      <x:c r="I36" s="24" t="n">
        <x:f>SUMPRODUCT(('Activities'!$E$8:$E$816="Envelope")*'Activities'!$I$8:$I$816,'Weekly Gantt'!AG8:AG816)/6</x:f>
        <x:v>0</x:v>
      </x:c>
      <x:c r="J36" s="24" t="n">
        <x:f>SUMPRODUCT(('Activities'!$E$8:$E$816="External")*'Activities'!$I$8:$I$816,'Weekly Gantt'!AG8:AG816)/6</x:f>
        <x:v>12</x:v>
      </x:c>
      <x:c r="K36" s="24" t="n">
        <x:f>SUMPRODUCT(('Activities'!$E$8:$E$816="Site")*'Activities'!$I$8:$I$816,'Weekly Gantt'!AG8:AG816)/6</x:f>
        <x:v>0</x:v>
      </x:c>
      <x:c r="L36" s="24" t="n">
        <x:f>SUM(C36:K36)</x:f>
        <x:v>57.666666666666664</x:v>
      </x:c>
      <x:c r="M36" s="6" t="n">
        <x:f>IF(C36&gt;'Controls'!$B$12,1,0)+IF(D36&gt;'Controls'!$B$13,1,0)+IF(E36&gt;'Controls'!$B$14,1,0)+IF(F36&gt;'Controls'!$B$15,1,0)+IF(G36&gt;'Controls'!$B$16,1,0)+IF(H36&gt;'Controls'!$B$17,1,0)+IF(I36&gt;'Controls'!$B$18,1,0)+IF(J36&gt;'Controls'!$B$19,1,0)+IF(K36&gt;'Controls'!$B$20,1,0)</x:f>
        <x:v>0</x:v>
      </x:c>
    </x:row>
    <x:row r="37" ht="23" customHeight="1">
      <x:c r="A37" s="1" t="n">
        <x:v>30</x:v>
      </x:c>
      <x:c r="B37" s="19" t="n">
        <x:f>INDEX('Calendar'!$C$8:$C$907,175)</x:f>
        <x:v>46531</x:v>
      </x:c>
      <x:c r="C37" s="25" t="n">
        <x:f>SUMPRODUCT(('Activities'!$E$8:$E$816="Earthworks")*'Activities'!$I$8:$I$816,'Weekly Gantt'!AH8:AH816)/6</x:f>
        <x:v>0</x:v>
      </x:c>
      <x:c r="D37" s="25" t="n">
        <x:f>SUMPRODUCT(('Activities'!$E$8:$E$816="Formwork")*'Activities'!$I$8:$I$816,'Weekly Gantt'!AH8:AH816)/6</x:f>
        <x:v>24</x:v>
      </x:c>
      <x:c r="E37" s="25" t="n">
        <x:f>SUMPRODUCT(('Activities'!$E$8:$E$816="Rebar")*'Activities'!$I$8:$I$816,'Weekly Gantt'!AH8:AH816)/6</x:f>
        <x:v>21</x:v>
      </x:c>
      <x:c r="F37" s="25" t="n">
        <x:f>SUMPRODUCT(('Activities'!$E$8:$E$816="Concrete")*'Activities'!$I$8:$I$816,'Weekly Gantt'!AH8:AH816)/6</x:f>
        <x:v>4</x:v>
      </x:c>
      <x:c r="G37" s="25" t="n">
        <x:f>SUMPRODUCT(('Activities'!$E$8:$E$816="Masonry")*'Activities'!$I$8:$I$816,'Weekly Gantt'!AH8:AH816)/6</x:f>
        <x:v>0</x:v>
      </x:c>
      <x:c r="H37" s="25" t="n">
        <x:f>SUMPRODUCT(('Activities'!$E$8:$E$816="Finishes")*'Activities'!$I$8:$I$816,'Weekly Gantt'!AH8:AH816)/6</x:f>
        <x:v>0</x:v>
      </x:c>
      <x:c r="I37" s="25" t="n">
        <x:f>SUMPRODUCT(('Activities'!$E$8:$E$816="Envelope")*'Activities'!$I$8:$I$816,'Weekly Gantt'!AH8:AH816)/6</x:f>
        <x:v>0</x:v>
      </x:c>
      <x:c r="J37" s="25" t="n">
        <x:f>SUMPRODUCT(('Activities'!$E$8:$E$816="External")*'Activities'!$I$8:$I$816,'Weekly Gantt'!AH8:AH816)/6</x:f>
        <x:v>12</x:v>
      </x:c>
      <x:c r="K37" s="25" t="n">
        <x:f>SUMPRODUCT(('Activities'!$E$8:$E$816="Site")*'Activities'!$I$8:$I$816,'Weekly Gantt'!AH8:AH816)/6</x:f>
        <x:v>0</x:v>
      </x:c>
      <x:c r="L37" s="25" t="n">
        <x:f>SUM(C37:K37)</x:f>
        <x:v>61</x:v>
      </x:c>
      <x:c r="M37" s="1" t="n">
        <x:f>IF(C37&gt;'Controls'!$B$12,1,0)+IF(D37&gt;'Controls'!$B$13,1,0)+IF(E37&gt;'Controls'!$B$14,1,0)+IF(F37&gt;'Controls'!$B$15,1,0)+IF(G37&gt;'Controls'!$B$16,1,0)+IF(H37&gt;'Controls'!$B$17,1,0)+IF(I37&gt;'Controls'!$B$18,1,0)+IF(J37&gt;'Controls'!$B$19,1,0)+IF(K37&gt;'Controls'!$B$20,1,0)</x:f>
        <x:v>0</x:v>
      </x:c>
    </x:row>
    <x:row r="38" ht="23" customHeight="1">
      <x:c r="A38" s="6" t="n">
        <x:v>31</x:v>
      </x:c>
      <x:c r="B38" s="18" t="n">
        <x:f>INDEX('Calendar'!$C$8:$C$907,181)</x:f>
        <x:v>46538</x:v>
      </x:c>
      <x:c r="C38" s="24" t="n">
        <x:f>SUMPRODUCT(('Activities'!$E$8:$E$816="Earthworks")*'Activities'!$I$8:$I$816,'Weekly Gantt'!AI8:AI816)/6</x:f>
        <x:v>0</x:v>
      </x:c>
      <x:c r="D38" s="24" t="n">
        <x:f>SUMPRODUCT(('Activities'!$E$8:$E$816="Formwork")*'Activities'!$I$8:$I$816,'Weekly Gantt'!AI8:AI816)/6</x:f>
        <x:v>30</x:v>
      </x:c>
      <x:c r="E38" s="24" t="n">
        <x:f>SUMPRODUCT(('Activities'!$E$8:$E$816="Rebar")*'Activities'!$I$8:$I$816,'Weekly Gantt'!AI8:AI816)/6</x:f>
        <x:v>14</x:v>
      </x:c>
      <x:c r="F38" s="24" t="n">
        <x:f>SUMPRODUCT(('Activities'!$E$8:$E$816="Concrete")*'Activities'!$I$8:$I$816,'Weekly Gantt'!AI8:AI816)/6</x:f>
        <x:v>8</x:v>
      </x:c>
      <x:c r="G38" s="24" t="n">
        <x:f>SUMPRODUCT(('Activities'!$E$8:$E$816="Masonry")*'Activities'!$I$8:$I$816,'Weekly Gantt'!AI8:AI816)/6</x:f>
        <x:v>0</x:v>
      </x:c>
      <x:c r="H38" s="24" t="n">
        <x:f>SUMPRODUCT(('Activities'!$E$8:$E$816="Finishes")*'Activities'!$I$8:$I$816,'Weekly Gantt'!AI8:AI816)/6</x:f>
        <x:v>0</x:v>
      </x:c>
      <x:c r="I38" s="24" t="n">
        <x:f>SUMPRODUCT(('Activities'!$E$8:$E$816="Envelope")*'Activities'!$I$8:$I$816,'Weekly Gantt'!AI8:AI816)/6</x:f>
        <x:v>0</x:v>
      </x:c>
      <x:c r="J38" s="24" t="n">
        <x:f>SUMPRODUCT(('Activities'!$E$8:$E$816="External")*'Activities'!$I$8:$I$816,'Weekly Gantt'!AI8:AI816)/6</x:f>
        <x:v>2</x:v>
      </x:c>
      <x:c r="K38" s="24" t="n">
        <x:f>SUMPRODUCT(('Activities'!$E$8:$E$816="Site")*'Activities'!$I$8:$I$816,'Weekly Gantt'!AI8:AI816)/6</x:f>
        <x:v>0</x:v>
      </x:c>
      <x:c r="L38" s="24" t="n">
        <x:f>SUM(C38:K38)</x:f>
        <x:v>54</x:v>
      </x:c>
      <x:c r="M38" s="6" t="n">
        <x:f>IF(C38&gt;'Controls'!$B$12,1,0)+IF(D38&gt;'Controls'!$B$13,1,0)+IF(E38&gt;'Controls'!$B$14,1,0)+IF(F38&gt;'Controls'!$B$15,1,0)+IF(G38&gt;'Controls'!$B$16,1,0)+IF(H38&gt;'Controls'!$B$17,1,0)+IF(I38&gt;'Controls'!$B$18,1,0)+IF(J38&gt;'Controls'!$B$19,1,0)+IF(K38&gt;'Controls'!$B$20,1,0)</x:f>
        <x:v>0</x:v>
      </x:c>
    </x:row>
    <x:row r="39" ht="23" customHeight="1">
      <x:c r="A39" s="1" t="n">
        <x:v>32</x:v>
      </x:c>
      <x:c r="B39" s="19" t="n">
        <x:f>INDEX('Calendar'!$C$8:$C$907,187)</x:f>
        <x:v>46545</x:v>
      </x:c>
      <x:c r="C39" s="25" t="n">
        <x:f>SUMPRODUCT(('Activities'!$E$8:$E$816="Earthworks")*'Activities'!$I$8:$I$816,'Weekly Gantt'!AJ8:AJ816)/6</x:f>
        <x:v>0</x:v>
      </x:c>
      <x:c r="D39" s="25" t="n">
        <x:f>SUMPRODUCT(('Activities'!$E$8:$E$816="Formwork")*'Activities'!$I$8:$I$816,'Weekly Gantt'!AJ8:AJ816)/6</x:f>
        <x:v>36</x:v>
      </x:c>
      <x:c r="E39" s="25" t="n">
        <x:f>SUMPRODUCT(('Activities'!$E$8:$E$816="Rebar")*'Activities'!$I$8:$I$816,'Weekly Gantt'!AJ8:AJ816)/6</x:f>
        <x:v>21</x:v>
      </x:c>
      <x:c r="F39" s="25" t="n">
        <x:f>SUMPRODUCT(('Activities'!$E$8:$E$816="Concrete")*'Activities'!$I$8:$I$816,'Weekly Gantt'!AJ8:AJ816)/6</x:f>
        <x:v>4</x:v>
      </x:c>
      <x:c r="G39" s="25" t="n">
        <x:f>SUMPRODUCT(('Activities'!$E$8:$E$816="Masonry")*'Activities'!$I$8:$I$816,'Weekly Gantt'!AJ8:AJ816)/6</x:f>
        <x:v>0</x:v>
      </x:c>
      <x:c r="H39" s="25" t="n">
        <x:f>SUMPRODUCT(('Activities'!$E$8:$E$816="Finishes")*'Activities'!$I$8:$I$816,'Weekly Gantt'!AJ8:AJ816)/6</x:f>
        <x:v>0</x:v>
      </x:c>
      <x:c r="I39" s="25" t="n">
        <x:f>SUMPRODUCT(('Activities'!$E$8:$E$816="Envelope")*'Activities'!$I$8:$I$816,'Weekly Gantt'!AJ8:AJ816)/6</x:f>
        <x:v>0</x:v>
      </x:c>
      <x:c r="J39" s="25" t="n">
        <x:f>SUMPRODUCT(('Activities'!$E$8:$E$816="External")*'Activities'!$I$8:$I$816,'Weekly Gantt'!AJ8:AJ816)/6</x:f>
        <x:v>0</x:v>
      </x:c>
      <x:c r="K39" s="25" t="n">
        <x:f>SUMPRODUCT(('Activities'!$E$8:$E$816="Site")*'Activities'!$I$8:$I$816,'Weekly Gantt'!AJ8:AJ816)/6</x:f>
        <x:v>0</x:v>
      </x:c>
      <x:c r="L39" s="25" t="n">
        <x:f>SUM(C39:K39)</x:f>
        <x:v>61</x:v>
      </x:c>
      <x:c r="M39" s="1" t="n">
        <x:f>IF(C39&gt;'Controls'!$B$12,1,0)+IF(D39&gt;'Controls'!$B$13,1,0)+IF(E39&gt;'Controls'!$B$14,1,0)+IF(F39&gt;'Controls'!$B$15,1,0)+IF(G39&gt;'Controls'!$B$16,1,0)+IF(H39&gt;'Controls'!$B$17,1,0)+IF(I39&gt;'Controls'!$B$18,1,0)+IF(J39&gt;'Controls'!$B$19,1,0)+IF(K39&gt;'Controls'!$B$20,1,0)</x:f>
        <x:v>0</x:v>
      </x:c>
    </x:row>
    <x:row r="40" ht="23" customHeight="1">
      <x:c r="A40" s="6" t="n">
        <x:v>33</x:v>
      </x:c>
      <x:c r="B40" s="18" t="n">
        <x:f>INDEX('Calendar'!$C$8:$C$907,193)</x:f>
        <x:v>46552</x:v>
      </x:c>
      <x:c r="C40" s="24" t="n">
        <x:f>SUMPRODUCT(('Activities'!$E$8:$E$816="Earthworks")*'Activities'!$I$8:$I$816,'Weekly Gantt'!AK8:AK816)/6</x:f>
        <x:v>0</x:v>
      </x:c>
      <x:c r="D40" s="24" t="n">
        <x:f>SUMPRODUCT(('Activities'!$E$8:$E$816="Formwork")*'Activities'!$I$8:$I$816,'Weekly Gantt'!AK8:AK816)/6</x:f>
        <x:v>36</x:v>
      </x:c>
      <x:c r="E40" s="24" t="n">
        <x:f>SUMPRODUCT(('Activities'!$E$8:$E$816="Rebar")*'Activities'!$I$8:$I$816,'Weekly Gantt'!AK8:AK816)/6</x:f>
        <x:v>23.333333333333332</x:v>
      </x:c>
      <x:c r="F40" s="24" t="n">
        <x:f>SUMPRODUCT(('Activities'!$E$8:$E$816="Concrete")*'Activities'!$I$8:$I$816,'Weekly Gantt'!AK8:AK816)/6</x:f>
        <x:v>8</x:v>
      </x:c>
      <x:c r="G40" s="24" t="n">
        <x:f>SUMPRODUCT(('Activities'!$E$8:$E$816="Masonry")*'Activities'!$I$8:$I$816,'Weekly Gantt'!AK8:AK816)/6</x:f>
        <x:v>0</x:v>
      </x:c>
      <x:c r="H40" s="24" t="n">
        <x:f>SUMPRODUCT(('Activities'!$E$8:$E$816="Finishes")*'Activities'!$I$8:$I$816,'Weekly Gantt'!AK8:AK816)/6</x:f>
        <x:v>0</x:v>
      </x:c>
      <x:c r="I40" s="24" t="n">
        <x:f>SUMPRODUCT(('Activities'!$E$8:$E$816="Envelope")*'Activities'!$I$8:$I$816,'Weekly Gantt'!AK8:AK816)/6</x:f>
        <x:v>0</x:v>
      </x:c>
      <x:c r="J40" s="24" t="n">
        <x:f>SUMPRODUCT(('Activities'!$E$8:$E$816="External")*'Activities'!$I$8:$I$816,'Weekly Gantt'!AK8:AK816)/6</x:f>
        <x:v>0</x:v>
      </x:c>
      <x:c r="K40" s="24" t="n">
        <x:f>SUMPRODUCT(('Activities'!$E$8:$E$816="Site")*'Activities'!$I$8:$I$816,'Weekly Gantt'!AK8:AK816)/6</x:f>
        <x:v>0</x:v>
      </x:c>
      <x:c r="L40" s="24" t="n">
        <x:f>SUM(C40:K40)</x:f>
        <x:v>67.33333333333333</x:v>
      </x:c>
      <x:c r="M40" s="6" t="n">
        <x:f>IF(C40&gt;'Controls'!$B$12,1,0)+IF(D40&gt;'Controls'!$B$13,1,0)+IF(E40&gt;'Controls'!$B$14,1,0)+IF(F40&gt;'Controls'!$B$15,1,0)+IF(G40&gt;'Controls'!$B$16,1,0)+IF(H40&gt;'Controls'!$B$17,1,0)+IF(I40&gt;'Controls'!$B$18,1,0)+IF(J40&gt;'Controls'!$B$19,1,0)+IF(K40&gt;'Controls'!$B$20,1,0)</x:f>
        <x:v>0</x:v>
      </x:c>
    </x:row>
    <x:row r="41" ht="23" customHeight="1">
      <x:c r="A41" s="1" t="n">
        <x:v>34</x:v>
      </x:c>
      <x:c r="B41" s="19" t="n">
        <x:f>INDEX('Calendar'!$C$8:$C$907,199)</x:f>
        <x:v>46559</x:v>
      </x:c>
      <x:c r="C41" s="25" t="n">
        <x:f>SUMPRODUCT(('Activities'!$E$8:$E$816="Earthworks")*'Activities'!$I$8:$I$816,'Weekly Gantt'!AL8:AL816)/6</x:f>
        <x:v>0</x:v>
      </x:c>
      <x:c r="D41" s="25" t="n">
        <x:f>SUMPRODUCT(('Activities'!$E$8:$E$816="Formwork")*'Activities'!$I$8:$I$816,'Weekly Gantt'!AL8:AL816)/6</x:f>
        <x:v>36</x:v>
      </x:c>
      <x:c r="E41" s="25" t="n">
        <x:f>SUMPRODUCT(('Activities'!$E$8:$E$816="Rebar")*'Activities'!$I$8:$I$816,'Weekly Gantt'!AL8:AL816)/6</x:f>
        <x:v>23.333333333333332</x:v>
      </x:c>
      <x:c r="F41" s="25" t="n">
        <x:f>SUMPRODUCT(('Activities'!$E$8:$E$816="Concrete")*'Activities'!$I$8:$I$816,'Weekly Gantt'!AL8:AL816)/6</x:f>
        <x:v>8</x:v>
      </x:c>
      <x:c r="G41" s="25" t="n">
        <x:f>SUMPRODUCT(('Activities'!$E$8:$E$816="Masonry")*'Activities'!$I$8:$I$816,'Weekly Gantt'!AL8:AL816)/6</x:f>
        <x:v>0</x:v>
      </x:c>
      <x:c r="H41" s="25" t="n">
        <x:f>SUMPRODUCT(('Activities'!$E$8:$E$816="Finishes")*'Activities'!$I$8:$I$816,'Weekly Gantt'!AL8:AL816)/6</x:f>
        <x:v>0</x:v>
      </x:c>
      <x:c r="I41" s="25" t="n">
        <x:f>SUMPRODUCT(('Activities'!$E$8:$E$816="Envelope")*'Activities'!$I$8:$I$816,'Weekly Gantt'!AL8:AL816)/6</x:f>
        <x:v>0</x:v>
      </x:c>
      <x:c r="J41" s="25" t="n">
        <x:f>SUMPRODUCT(('Activities'!$E$8:$E$816="External")*'Activities'!$I$8:$I$816,'Weekly Gantt'!AL8:AL816)/6</x:f>
        <x:v>0</x:v>
      </x:c>
      <x:c r="K41" s="25" t="n">
        <x:f>SUMPRODUCT(('Activities'!$E$8:$E$816="Site")*'Activities'!$I$8:$I$816,'Weekly Gantt'!AL8:AL816)/6</x:f>
        <x:v>0</x:v>
      </x:c>
      <x:c r="L41" s="25" t="n">
        <x:f>SUM(C41:K41)</x:f>
        <x:v>67.33333333333333</x:v>
      </x:c>
      <x:c r="M41" s="1" t="n">
        <x:f>IF(C41&gt;'Controls'!$B$12,1,0)+IF(D41&gt;'Controls'!$B$13,1,0)+IF(E41&gt;'Controls'!$B$14,1,0)+IF(F41&gt;'Controls'!$B$15,1,0)+IF(G41&gt;'Controls'!$B$16,1,0)+IF(H41&gt;'Controls'!$B$17,1,0)+IF(I41&gt;'Controls'!$B$18,1,0)+IF(J41&gt;'Controls'!$B$19,1,0)+IF(K41&gt;'Controls'!$B$20,1,0)</x:f>
        <x:v>0</x:v>
      </x:c>
    </x:row>
    <x:row r="42" ht="23" customHeight="1">
      <x:c r="A42" s="6" t="n">
        <x:v>35</x:v>
      </x:c>
      <x:c r="B42" s="18" t="n">
        <x:f>INDEX('Calendar'!$C$8:$C$907,205)</x:f>
        <x:v>46566</x:v>
      </x:c>
      <x:c r="C42" s="24" t="n">
        <x:f>SUMPRODUCT(('Activities'!$E$8:$E$816="Earthworks")*'Activities'!$I$8:$I$816,'Weekly Gantt'!AM8:AM816)/6</x:f>
        <x:v>0</x:v>
      </x:c>
      <x:c r="D42" s="24" t="n">
        <x:f>SUMPRODUCT(('Activities'!$E$8:$E$816="Formwork")*'Activities'!$I$8:$I$816,'Weekly Gantt'!AM8:AM816)/6</x:f>
        <x:v>36</x:v>
      </x:c>
      <x:c r="E42" s="24" t="n">
        <x:f>SUMPRODUCT(('Activities'!$E$8:$E$816="Rebar")*'Activities'!$I$8:$I$816,'Weekly Gantt'!AM8:AM816)/6</x:f>
        <x:v>23.333333333333332</x:v>
      </x:c>
      <x:c r="F42" s="24" t="n">
        <x:f>SUMPRODUCT(('Activities'!$E$8:$E$816="Concrete")*'Activities'!$I$8:$I$816,'Weekly Gantt'!AM8:AM816)/6</x:f>
        <x:v>8</x:v>
      </x:c>
      <x:c r="G42" s="24" t="n">
        <x:f>SUMPRODUCT(('Activities'!$E$8:$E$816="Masonry")*'Activities'!$I$8:$I$816,'Weekly Gantt'!AM8:AM816)/6</x:f>
        <x:v>0</x:v>
      </x:c>
      <x:c r="H42" s="24" t="n">
        <x:f>SUMPRODUCT(('Activities'!$E$8:$E$816="Finishes")*'Activities'!$I$8:$I$816,'Weekly Gantt'!AM8:AM816)/6</x:f>
        <x:v>0</x:v>
      </x:c>
      <x:c r="I42" s="24" t="n">
        <x:f>SUMPRODUCT(('Activities'!$E$8:$E$816="Envelope")*'Activities'!$I$8:$I$816,'Weekly Gantt'!AM8:AM816)/6</x:f>
        <x:v>0</x:v>
      </x:c>
      <x:c r="J42" s="24" t="n">
        <x:f>SUMPRODUCT(('Activities'!$E$8:$E$816="External")*'Activities'!$I$8:$I$816,'Weekly Gantt'!AM8:AM816)/6</x:f>
        <x:v>0</x:v>
      </x:c>
      <x:c r="K42" s="24" t="n">
        <x:f>SUMPRODUCT(('Activities'!$E$8:$E$816="Site")*'Activities'!$I$8:$I$816,'Weekly Gantt'!AM8:AM816)/6</x:f>
        <x:v>0</x:v>
      </x:c>
      <x:c r="L42" s="24" t="n">
        <x:f>SUM(C42:K42)</x:f>
        <x:v>67.33333333333333</x:v>
      </x:c>
      <x:c r="M42" s="6" t="n">
        <x:f>IF(C42&gt;'Controls'!$B$12,1,0)+IF(D42&gt;'Controls'!$B$13,1,0)+IF(E42&gt;'Controls'!$B$14,1,0)+IF(F42&gt;'Controls'!$B$15,1,0)+IF(G42&gt;'Controls'!$B$16,1,0)+IF(H42&gt;'Controls'!$B$17,1,0)+IF(I42&gt;'Controls'!$B$18,1,0)+IF(J42&gt;'Controls'!$B$19,1,0)+IF(K42&gt;'Controls'!$B$20,1,0)</x:f>
        <x:v>0</x:v>
      </x:c>
    </x:row>
    <x:row r="43" ht="23" customHeight="1">
      <x:c r="A43" s="1" t="n">
        <x:v>36</x:v>
      </x:c>
      <x:c r="B43" s="19" t="n">
        <x:f>INDEX('Calendar'!$C$8:$C$907,211)</x:f>
        <x:v>46573</x:v>
      </x:c>
      <x:c r="C43" s="25" t="n">
        <x:f>SUMPRODUCT(('Activities'!$E$8:$E$816="Earthworks")*'Activities'!$I$8:$I$816,'Weekly Gantt'!AN8:AN816)/6</x:f>
        <x:v>0</x:v>
      </x:c>
      <x:c r="D43" s="25" t="n">
        <x:f>SUMPRODUCT(('Activities'!$E$8:$E$816="Formwork")*'Activities'!$I$8:$I$816,'Weekly Gantt'!AN8:AN816)/6</x:f>
        <x:v>36</x:v>
      </x:c>
      <x:c r="E43" s="25" t="n">
        <x:f>SUMPRODUCT(('Activities'!$E$8:$E$816="Rebar")*'Activities'!$I$8:$I$816,'Weekly Gantt'!AN8:AN816)/6</x:f>
        <x:v>23.333333333333332</x:v>
      </x:c>
      <x:c r="F43" s="25" t="n">
        <x:f>SUMPRODUCT(('Activities'!$E$8:$E$816="Concrete")*'Activities'!$I$8:$I$816,'Weekly Gantt'!AN8:AN816)/6</x:f>
        <x:v>8</x:v>
      </x:c>
      <x:c r="G43" s="25" t="n">
        <x:f>SUMPRODUCT(('Activities'!$E$8:$E$816="Masonry")*'Activities'!$I$8:$I$816,'Weekly Gantt'!AN8:AN816)/6</x:f>
        <x:v>8.333333333333334</x:v>
      </x:c>
      <x:c r="H43" s="25" t="n">
        <x:f>SUMPRODUCT(('Activities'!$E$8:$E$816="Finishes")*'Activities'!$I$8:$I$816,'Weekly Gantt'!AN8:AN816)/6</x:f>
        <x:v>0</x:v>
      </x:c>
      <x:c r="I43" s="25" t="n">
        <x:f>SUMPRODUCT(('Activities'!$E$8:$E$816="Envelope")*'Activities'!$I$8:$I$816,'Weekly Gantt'!AN8:AN816)/6</x:f>
        <x:v>0</x:v>
      </x:c>
      <x:c r="J43" s="25" t="n">
        <x:f>SUMPRODUCT(('Activities'!$E$8:$E$816="External")*'Activities'!$I$8:$I$816,'Weekly Gantt'!AN8:AN816)/6</x:f>
        <x:v>0</x:v>
      </x:c>
      <x:c r="K43" s="25" t="n">
        <x:f>SUMPRODUCT(('Activities'!$E$8:$E$816="Site")*'Activities'!$I$8:$I$816,'Weekly Gantt'!AN8:AN816)/6</x:f>
        <x:v>0</x:v>
      </x:c>
      <x:c r="L43" s="25" t="n">
        <x:f>SUM(C43:K43)</x:f>
        <x:v>75.66666666666666</x:v>
      </x:c>
      <x:c r="M43" s="1" t="n">
        <x:f>IF(C43&gt;'Controls'!$B$12,1,0)+IF(D43&gt;'Controls'!$B$13,1,0)+IF(E43&gt;'Controls'!$B$14,1,0)+IF(F43&gt;'Controls'!$B$15,1,0)+IF(G43&gt;'Controls'!$B$16,1,0)+IF(H43&gt;'Controls'!$B$17,1,0)+IF(I43&gt;'Controls'!$B$18,1,0)+IF(J43&gt;'Controls'!$B$19,1,0)+IF(K43&gt;'Controls'!$B$20,1,0)</x:f>
        <x:v>0</x:v>
      </x:c>
    </x:row>
    <x:row r="44" ht="23" customHeight="1">
      <x:c r="A44" s="6" t="n">
        <x:v>37</x:v>
      </x:c>
      <x:c r="B44" s="18" t="n">
        <x:f>INDEX('Calendar'!$C$8:$C$907,217)</x:f>
        <x:v>46580</x:v>
      </x:c>
      <x:c r="C44" s="24" t="n">
        <x:f>SUMPRODUCT(('Activities'!$E$8:$E$816="Earthworks")*'Activities'!$I$8:$I$816,'Weekly Gantt'!AO8:AO816)/6</x:f>
        <x:v>0</x:v>
      </x:c>
      <x:c r="D44" s="24" t="n">
        <x:f>SUMPRODUCT(('Activities'!$E$8:$E$816="Formwork")*'Activities'!$I$8:$I$816,'Weekly Gantt'!AO8:AO816)/6</x:f>
        <x:v>36</x:v>
      </x:c>
      <x:c r="E44" s="24" t="n">
        <x:f>SUMPRODUCT(('Activities'!$E$8:$E$816="Rebar")*'Activities'!$I$8:$I$816,'Weekly Gantt'!AO8:AO816)/6</x:f>
        <x:v>23.333333333333332</x:v>
      </x:c>
      <x:c r="F44" s="24" t="n">
        <x:f>SUMPRODUCT(('Activities'!$E$8:$E$816="Concrete")*'Activities'!$I$8:$I$816,'Weekly Gantt'!AO8:AO816)/6</x:f>
        <x:v>8</x:v>
      </x:c>
      <x:c r="G44" s="24" t="n">
        <x:f>SUMPRODUCT(('Activities'!$E$8:$E$816="Masonry")*'Activities'!$I$8:$I$816,'Weekly Gantt'!AO8:AO816)/6</x:f>
        <x:v>0</x:v>
      </x:c>
      <x:c r="H44" s="24" t="n">
        <x:f>SUMPRODUCT(('Activities'!$E$8:$E$816="Finishes")*'Activities'!$I$8:$I$816,'Weekly Gantt'!AO8:AO816)/6</x:f>
        <x:v>5</x:v>
      </x:c>
      <x:c r="I44" s="24" t="n">
        <x:f>SUMPRODUCT(('Activities'!$E$8:$E$816="Envelope")*'Activities'!$I$8:$I$816,'Weekly Gantt'!AO8:AO816)/6</x:f>
        <x:v>0</x:v>
      </x:c>
      <x:c r="J44" s="24" t="n">
        <x:f>SUMPRODUCT(('Activities'!$E$8:$E$816="External")*'Activities'!$I$8:$I$816,'Weekly Gantt'!AO8:AO816)/6</x:f>
        <x:v>0</x:v>
      </x:c>
      <x:c r="K44" s="24" t="n">
        <x:f>SUMPRODUCT(('Activities'!$E$8:$E$816="Site")*'Activities'!$I$8:$I$816,'Weekly Gantt'!AO8:AO816)/6</x:f>
        <x:v>0</x:v>
      </x:c>
      <x:c r="L44" s="24" t="n">
        <x:f>SUM(C44:K44)</x:f>
        <x:v>72.33333333333333</x:v>
      </x:c>
      <x:c r="M44" s="6" t="n">
        <x:f>IF(C44&gt;'Controls'!$B$12,1,0)+IF(D44&gt;'Controls'!$B$13,1,0)+IF(E44&gt;'Controls'!$B$14,1,0)+IF(F44&gt;'Controls'!$B$15,1,0)+IF(G44&gt;'Controls'!$B$16,1,0)+IF(H44&gt;'Controls'!$B$17,1,0)+IF(I44&gt;'Controls'!$B$18,1,0)+IF(J44&gt;'Controls'!$B$19,1,0)+IF(K44&gt;'Controls'!$B$20,1,0)</x:f>
        <x:v>0</x:v>
      </x:c>
    </x:row>
    <x:row r="45" ht="23" customHeight="1">
      <x:c r="A45" s="1" t="n">
        <x:v>38</x:v>
      </x:c>
      <x:c r="B45" s="19" t="n">
        <x:f>INDEX('Calendar'!$C$8:$C$907,223)</x:f>
        <x:v>46587</x:v>
      </x:c>
      <x:c r="C45" s="25" t="n">
        <x:f>SUMPRODUCT(('Activities'!$E$8:$E$816="Earthworks")*'Activities'!$I$8:$I$816,'Weekly Gantt'!AP8:AP816)/6</x:f>
        <x:v>0</x:v>
      </x:c>
      <x:c r="D45" s="25" t="n">
        <x:f>SUMPRODUCT(('Activities'!$E$8:$E$816="Formwork")*'Activities'!$I$8:$I$816,'Weekly Gantt'!AP8:AP816)/6</x:f>
        <x:v>36</x:v>
      </x:c>
      <x:c r="E45" s="25" t="n">
        <x:f>SUMPRODUCT(('Activities'!$E$8:$E$816="Rebar")*'Activities'!$I$8:$I$816,'Weekly Gantt'!AP8:AP816)/6</x:f>
        <x:v>23.333333333333332</x:v>
      </x:c>
      <x:c r="F45" s="25" t="n">
        <x:f>SUMPRODUCT(('Activities'!$E$8:$E$816="Concrete")*'Activities'!$I$8:$I$816,'Weekly Gantt'!AP8:AP816)/6</x:f>
        <x:v>8</x:v>
      </x:c>
      <x:c r="G45" s="25" t="n">
        <x:f>SUMPRODUCT(('Activities'!$E$8:$E$816="Masonry")*'Activities'!$I$8:$I$816,'Weekly Gantt'!AP8:AP816)/6</x:f>
        <x:v>8.333333333333334</x:v>
      </x:c>
      <x:c r="H45" s="25" t="n">
        <x:f>SUMPRODUCT(('Activities'!$E$8:$E$816="Finishes")*'Activities'!$I$8:$I$816,'Weekly Gantt'!AP8:AP816)/6</x:f>
        <x:v>6.333333333333333</x:v>
      </x:c>
      <x:c r="I45" s="25" t="n">
        <x:f>SUMPRODUCT(('Activities'!$E$8:$E$816="Envelope")*'Activities'!$I$8:$I$816,'Weekly Gantt'!AP8:AP816)/6</x:f>
        <x:v>0</x:v>
      </x:c>
      <x:c r="J45" s="25" t="n">
        <x:f>SUMPRODUCT(('Activities'!$E$8:$E$816="External")*'Activities'!$I$8:$I$816,'Weekly Gantt'!AP8:AP816)/6</x:f>
        <x:v>0</x:v>
      </x:c>
      <x:c r="K45" s="25" t="n">
        <x:f>SUMPRODUCT(('Activities'!$E$8:$E$816="Site")*'Activities'!$I$8:$I$816,'Weekly Gantt'!AP8:AP816)/6</x:f>
        <x:v>0</x:v>
      </x:c>
      <x:c r="L45" s="25" t="n">
        <x:f>SUM(C45:K45)</x:f>
        <x:v>81.99999999999999</x:v>
      </x:c>
      <x:c r="M45" s="1" t="n">
        <x:f>IF(C45&gt;'Controls'!$B$12,1,0)+IF(D45&gt;'Controls'!$B$13,1,0)+IF(E45&gt;'Controls'!$B$14,1,0)+IF(F45&gt;'Controls'!$B$15,1,0)+IF(G45&gt;'Controls'!$B$16,1,0)+IF(H45&gt;'Controls'!$B$17,1,0)+IF(I45&gt;'Controls'!$B$18,1,0)+IF(J45&gt;'Controls'!$B$19,1,0)+IF(K45&gt;'Controls'!$B$20,1,0)</x:f>
        <x:v>0</x:v>
      </x:c>
    </x:row>
    <x:row r="46" ht="23" customHeight="1">
      <x:c r="A46" s="6" t="n">
        <x:v>39</x:v>
      </x:c>
      <x:c r="B46" s="18" t="n">
        <x:f>INDEX('Calendar'!$C$8:$C$907,229)</x:f>
        <x:v>46594</x:v>
      </x:c>
      <x:c r="C46" s="24" t="n">
        <x:f>SUMPRODUCT(('Activities'!$E$8:$E$816="Earthworks")*'Activities'!$I$8:$I$816,'Weekly Gantt'!AQ8:AQ816)/6</x:f>
        <x:v>0</x:v>
      </x:c>
      <x:c r="D46" s="24" t="n">
        <x:f>SUMPRODUCT(('Activities'!$E$8:$E$816="Formwork")*'Activities'!$I$8:$I$816,'Weekly Gantt'!AQ8:AQ816)/6</x:f>
        <x:v>36</x:v>
      </x:c>
      <x:c r="E46" s="24" t="n">
        <x:f>SUMPRODUCT(('Activities'!$E$8:$E$816="Rebar")*'Activities'!$I$8:$I$816,'Weekly Gantt'!AQ8:AQ816)/6</x:f>
        <x:v>23.333333333333332</x:v>
      </x:c>
      <x:c r="F46" s="24" t="n">
        <x:f>SUMPRODUCT(('Activities'!$E$8:$E$816="Concrete")*'Activities'!$I$8:$I$816,'Weekly Gantt'!AQ8:AQ816)/6</x:f>
        <x:v>8</x:v>
      </x:c>
      <x:c r="G46" s="24" t="n">
        <x:f>SUMPRODUCT(('Activities'!$E$8:$E$816="Masonry")*'Activities'!$I$8:$I$816,'Weekly Gantt'!AQ8:AQ816)/6</x:f>
        <x:v>8.333333333333334</x:v>
      </x:c>
      <x:c r="H46" s="24" t="n">
        <x:f>SUMPRODUCT(('Activities'!$E$8:$E$816="Finishes")*'Activities'!$I$8:$I$816,'Weekly Gantt'!AQ8:AQ816)/6</x:f>
        <x:v>7.666666666666667</x:v>
      </x:c>
      <x:c r="I46" s="24" t="n">
        <x:f>SUMPRODUCT(('Activities'!$E$8:$E$816="Envelope")*'Activities'!$I$8:$I$816,'Weekly Gantt'!AQ8:AQ816)/6</x:f>
        <x:v>0</x:v>
      </x:c>
      <x:c r="J46" s="24" t="n">
        <x:f>SUMPRODUCT(('Activities'!$E$8:$E$816="External")*'Activities'!$I$8:$I$816,'Weekly Gantt'!AQ8:AQ816)/6</x:f>
        <x:v>0</x:v>
      </x:c>
      <x:c r="K46" s="24" t="n">
        <x:f>SUMPRODUCT(('Activities'!$E$8:$E$816="Site")*'Activities'!$I$8:$I$816,'Weekly Gantt'!AQ8:AQ816)/6</x:f>
        <x:v>0</x:v>
      </x:c>
      <x:c r="L46" s="24" t="n">
        <x:f>SUM(C46:K46)</x:f>
        <x:v>83.33333333333333</x:v>
      </x:c>
      <x:c r="M46" s="6" t="n">
        <x:f>IF(C46&gt;'Controls'!$B$12,1,0)+IF(D46&gt;'Controls'!$B$13,1,0)+IF(E46&gt;'Controls'!$B$14,1,0)+IF(F46&gt;'Controls'!$B$15,1,0)+IF(G46&gt;'Controls'!$B$16,1,0)+IF(H46&gt;'Controls'!$B$17,1,0)+IF(I46&gt;'Controls'!$B$18,1,0)+IF(J46&gt;'Controls'!$B$19,1,0)+IF(K46&gt;'Controls'!$B$20,1,0)</x:f>
        <x:v>0</x:v>
      </x:c>
    </x:row>
    <x:row r="47" ht="23" customHeight="1">
      <x:c r="A47" s="1" t="n">
        <x:v>40</x:v>
      </x:c>
      <x:c r="B47" s="19" t="n">
        <x:f>INDEX('Calendar'!$C$8:$C$907,235)</x:f>
        <x:v>46601</x:v>
      </x:c>
      <x:c r="C47" s="25" t="n">
        <x:f>SUMPRODUCT(('Activities'!$E$8:$E$816="Earthworks")*'Activities'!$I$8:$I$816,'Weekly Gantt'!AR8:AR816)/6</x:f>
        <x:v>0</x:v>
      </x:c>
      <x:c r="D47" s="25" t="n">
        <x:f>SUMPRODUCT(('Activities'!$E$8:$E$816="Formwork")*'Activities'!$I$8:$I$816,'Weekly Gantt'!AR8:AR816)/6</x:f>
        <x:v>36</x:v>
      </x:c>
      <x:c r="E47" s="25" t="n">
        <x:f>SUMPRODUCT(('Activities'!$E$8:$E$816="Rebar")*'Activities'!$I$8:$I$816,'Weekly Gantt'!AR8:AR816)/6</x:f>
        <x:v>23.333333333333332</x:v>
      </x:c>
      <x:c r="F47" s="25" t="n">
        <x:f>SUMPRODUCT(('Activities'!$E$8:$E$816="Concrete")*'Activities'!$I$8:$I$816,'Weekly Gantt'!AR8:AR816)/6</x:f>
        <x:v>8</x:v>
      </x:c>
      <x:c r="G47" s="25" t="n">
        <x:f>SUMPRODUCT(('Activities'!$E$8:$E$816="Masonry")*'Activities'!$I$8:$I$816,'Weekly Gantt'!AR8:AR816)/6</x:f>
        <x:v>8.333333333333334</x:v>
      </x:c>
      <x:c r="H47" s="25" t="n">
        <x:f>SUMPRODUCT(('Activities'!$E$8:$E$816="Finishes")*'Activities'!$I$8:$I$816,'Weekly Gantt'!AR8:AR816)/6</x:f>
        <x:v>11.333333333333334</x:v>
      </x:c>
      <x:c r="I47" s="25" t="n">
        <x:f>SUMPRODUCT(('Activities'!$E$8:$E$816="Envelope")*'Activities'!$I$8:$I$816,'Weekly Gantt'!AR8:AR816)/6</x:f>
        <x:v>0</x:v>
      </x:c>
      <x:c r="J47" s="25" t="n">
        <x:f>SUMPRODUCT(('Activities'!$E$8:$E$816="External")*'Activities'!$I$8:$I$816,'Weekly Gantt'!AR8:AR816)/6</x:f>
        <x:v>0</x:v>
      </x:c>
      <x:c r="K47" s="25" t="n">
        <x:f>SUMPRODUCT(('Activities'!$E$8:$E$816="Site")*'Activities'!$I$8:$I$816,'Weekly Gantt'!AR8:AR816)/6</x:f>
        <x:v>0</x:v>
      </x:c>
      <x:c r="L47" s="25" t="n">
        <x:f>SUM(C47:K47)</x:f>
        <x:v>86.99999999999999</x:v>
      </x:c>
      <x:c r="M47" s="1" t="n">
        <x:f>IF(C47&gt;'Controls'!$B$12,1,0)+IF(D47&gt;'Controls'!$B$13,1,0)+IF(E47&gt;'Controls'!$B$14,1,0)+IF(F47&gt;'Controls'!$B$15,1,0)+IF(G47&gt;'Controls'!$B$16,1,0)+IF(H47&gt;'Controls'!$B$17,1,0)+IF(I47&gt;'Controls'!$B$18,1,0)+IF(J47&gt;'Controls'!$B$19,1,0)+IF(K47&gt;'Controls'!$B$20,1,0)</x:f>
        <x:v>0</x:v>
      </x:c>
    </x:row>
    <x:row r="48" ht="23" customHeight="1">
      <x:c r="A48" s="6" t="n">
        <x:v>41</x:v>
      </x:c>
      <x:c r="B48" s="18" t="n">
        <x:f>INDEX('Calendar'!$C$8:$C$907,241)</x:f>
        <x:v>46608</x:v>
      </x:c>
      <x:c r="C48" s="24" t="n">
        <x:f>SUMPRODUCT(('Activities'!$E$8:$E$816="Earthworks")*'Activities'!$I$8:$I$816,'Weekly Gantt'!AS8:AS816)/6</x:f>
        <x:v>0</x:v>
      </x:c>
      <x:c r="D48" s="24" t="n">
        <x:f>SUMPRODUCT(('Activities'!$E$8:$E$816="Formwork")*'Activities'!$I$8:$I$816,'Weekly Gantt'!AS8:AS816)/6</x:f>
        <x:v>36</x:v>
      </x:c>
      <x:c r="E48" s="24" t="n">
        <x:f>SUMPRODUCT(('Activities'!$E$8:$E$816="Rebar")*'Activities'!$I$8:$I$816,'Weekly Gantt'!AS8:AS816)/6</x:f>
        <x:v>23.333333333333332</x:v>
      </x:c>
      <x:c r="F48" s="24" t="n">
        <x:f>SUMPRODUCT(('Activities'!$E$8:$E$816="Concrete")*'Activities'!$I$8:$I$816,'Weekly Gantt'!AS8:AS816)/6</x:f>
        <x:v>8</x:v>
      </x:c>
      <x:c r="G48" s="24" t="n">
        <x:f>SUMPRODUCT(('Activities'!$E$8:$E$816="Masonry")*'Activities'!$I$8:$I$816,'Weekly Gantt'!AS8:AS816)/6</x:f>
        <x:v>8.333333333333334</x:v>
      </x:c>
      <x:c r="H48" s="24" t="n">
        <x:f>SUMPRODUCT(('Activities'!$E$8:$E$816="Finishes")*'Activities'!$I$8:$I$816,'Weekly Gantt'!AS8:AS816)/6</x:f>
        <x:v>14</x:v>
      </x:c>
      <x:c r="I48" s="24" t="n">
        <x:f>SUMPRODUCT(('Activities'!$E$8:$E$816="Envelope")*'Activities'!$I$8:$I$816,'Weekly Gantt'!AS8:AS816)/6</x:f>
        <x:v>0</x:v>
      </x:c>
      <x:c r="J48" s="24" t="n">
        <x:f>SUMPRODUCT(('Activities'!$E$8:$E$816="External")*'Activities'!$I$8:$I$816,'Weekly Gantt'!AS8:AS816)/6</x:f>
        <x:v>0</x:v>
      </x:c>
      <x:c r="K48" s="24" t="n">
        <x:f>SUMPRODUCT(('Activities'!$E$8:$E$816="Site")*'Activities'!$I$8:$I$816,'Weekly Gantt'!AS8:AS816)/6</x:f>
        <x:v>0</x:v>
      </x:c>
      <x:c r="L48" s="24" t="n">
        <x:f>SUM(C48:K48)</x:f>
        <x:v>89.66666666666666</x:v>
      </x:c>
      <x:c r="M48" s="6" t="n">
        <x:f>IF(C48&gt;'Controls'!$B$12,1,0)+IF(D48&gt;'Controls'!$B$13,1,0)+IF(E48&gt;'Controls'!$B$14,1,0)+IF(F48&gt;'Controls'!$B$15,1,0)+IF(G48&gt;'Controls'!$B$16,1,0)+IF(H48&gt;'Controls'!$B$17,1,0)+IF(I48&gt;'Controls'!$B$18,1,0)+IF(J48&gt;'Controls'!$B$19,1,0)+IF(K48&gt;'Controls'!$B$20,1,0)</x:f>
        <x:v>0</x:v>
      </x:c>
    </x:row>
    <x:row r="49" ht="23" customHeight="1">
      <x:c r="A49" s="1" t="n">
        <x:v>42</x:v>
      </x:c>
      <x:c r="B49" s="19" t="n">
        <x:f>INDEX('Calendar'!$C$8:$C$907,247)</x:f>
        <x:v>46615</x:v>
      </x:c>
      <x:c r="C49" s="25" t="n">
        <x:f>SUMPRODUCT(('Activities'!$E$8:$E$816="Earthworks")*'Activities'!$I$8:$I$816,'Weekly Gantt'!AT8:AT816)/6</x:f>
        <x:v>0</x:v>
      </x:c>
      <x:c r="D49" s="25" t="n">
        <x:f>SUMPRODUCT(('Activities'!$E$8:$E$816="Formwork")*'Activities'!$I$8:$I$816,'Weekly Gantt'!AT8:AT816)/6</x:f>
        <x:v>36</x:v>
      </x:c>
      <x:c r="E49" s="25" t="n">
        <x:f>SUMPRODUCT(('Activities'!$E$8:$E$816="Rebar")*'Activities'!$I$8:$I$816,'Weekly Gantt'!AT8:AT816)/6</x:f>
        <x:v>23.333333333333332</x:v>
      </x:c>
      <x:c r="F49" s="25" t="n">
        <x:f>SUMPRODUCT(('Activities'!$E$8:$E$816="Concrete")*'Activities'!$I$8:$I$816,'Weekly Gantt'!AT8:AT816)/6</x:f>
        <x:v>8</x:v>
      </x:c>
      <x:c r="G49" s="25" t="n">
        <x:f>SUMPRODUCT(('Activities'!$E$8:$E$816="Masonry")*'Activities'!$I$8:$I$816,'Weekly Gantt'!AT8:AT816)/6</x:f>
        <x:v>16.666666666666668</x:v>
      </x:c>
      <x:c r="H49" s="25" t="n">
        <x:f>SUMPRODUCT(('Activities'!$E$8:$E$816="Finishes")*'Activities'!$I$8:$I$816,'Weekly Gantt'!AT8:AT816)/6</x:f>
        <x:v>14</x:v>
      </x:c>
      <x:c r="I49" s="25" t="n">
        <x:f>SUMPRODUCT(('Activities'!$E$8:$E$816="Envelope")*'Activities'!$I$8:$I$816,'Weekly Gantt'!AT8:AT816)/6</x:f>
        <x:v>0</x:v>
      </x:c>
      <x:c r="J49" s="25" t="n">
        <x:f>SUMPRODUCT(('Activities'!$E$8:$E$816="External")*'Activities'!$I$8:$I$816,'Weekly Gantt'!AT8:AT816)/6</x:f>
        <x:v>0</x:v>
      </x:c>
      <x:c r="K49" s="25" t="n">
        <x:f>SUMPRODUCT(('Activities'!$E$8:$E$816="Site")*'Activities'!$I$8:$I$816,'Weekly Gantt'!AT8:AT816)/6</x:f>
        <x:v>0</x:v>
      </x:c>
      <x:c r="L49" s="25" t="n">
        <x:f>SUM(C49:K49)</x:f>
        <x:v>98</x:v>
      </x:c>
      <x:c r="M49" s="1" t="n">
        <x:f>IF(C49&gt;'Controls'!$B$12,1,0)+IF(D49&gt;'Controls'!$B$13,1,0)+IF(E49&gt;'Controls'!$B$14,1,0)+IF(F49&gt;'Controls'!$B$15,1,0)+IF(G49&gt;'Controls'!$B$16,1,0)+IF(H49&gt;'Controls'!$B$17,1,0)+IF(I49&gt;'Controls'!$B$18,1,0)+IF(J49&gt;'Controls'!$B$19,1,0)+IF(K49&gt;'Controls'!$B$20,1,0)</x:f>
        <x:v>0</x:v>
      </x:c>
    </x:row>
    <x:row r="50" ht="23" customHeight="1">
      <x:c r="A50" s="6" t="n">
        <x:v>43</x:v>
      </x:c>
      <x:c r="B50" s="18" t="n">
        <x:f>INDEX('Calendar'!$C$8:$C$907,253)</x:f>
        <x:v>46622</x:v>
      </x:c>
      <x:c r="C50" s="24" t="n">
        <x:f>SUMPRODUCT(('Activities'!$E$8:$E$816="Earthworks")*'Activities'!$I$8:$I$816,'Weekly Gantt'!AU8:AU816)/6</x:f>
        <x:v>0</x:v>
      </x:c>
      <x:c r="D50" s="24" t="n">
        <x:f>SUMPRODUCT(('Activities'!$E$8:$E$816="Formwork")*'Activities'!$I$8:$I$816,'Weekly Gantt'!AU8:AU816)/6</x:f>
        <x:v>36</x:v>
      </x:c>
      <x:c r="E50" s="24" t="n">
        <x:f>SUMPRODUCT(('Activities'!$E$8:$E$816="Rebar")*'Activities'!$I$8:$I$816,'Weekly Gantt'!AU8:AU816)/6</x:f>
        <x:v>23.333333333333332</x:v>
      </x:c>
      <x:c r="F50" s="24" t="n">
        <x:f>SUMPRODUCT(('Activities'!$E$8:$E$816="Concrete")*'Activities'!$I$8:$I$816,'Weekly Gantt'!AU8:AU816)/6</x:f>
        <x:v>8</x:v>
      </x:c>
      <x:c r="G50" s="24" t="n">
        <x:f>SUMPRODUCT(('Activities'!$E$8:$E$816="Masonry")*'Activities'!$I$8:$I$816,'Weekly Gantt'!AU8:AU816)/6</x:f>
        <x:v>8.333333333333334</x:v>
      </x:c>
      <x:c r="H50" s="24" t="n">
        <x:f>SUMPRODUCT(('Activities'!$E$8:$E$816="Finishes")*'Activities'!$I$8:$I$816,'Weekly Gantt'!AU8:AU816)/6</x:f>
        <x:v>19</x:v>
      </x:c>
      <x:c r="I50" s="24" t="n">
        <x:f>SUMPRODUCT(('Activities'!$E$8:$E$816="Envelope")*'Activities'!$I$8:$I$816,'Weekly Gantt'!AU8:AU816)/6</x:f>
        <x:v>0</x:v>
      </x:c>
      <x:c r="J50" s="24" t="n">
        <x:f>SUMPRODUCT(('Activities'!$E$8:$E$816="External")*'Activities'!$I$8:$I$816,'Weekly Gantt'!AU8:AU816)/6</x:f>
        <x:v>0</x:v>
      </x:c>
      <x:c r="K50" s="24" t="n">
        <x:f>SUMPRODUCT(('Activities'!$E$8:$E$816="Site")*'Activities'!$I$8:$I$816,'Weekly Gantt'!AU8:AU816)/6</x:f>
        <x:v>0</x:v>
      </x:c>
      <x:c r="L50" s="24" t="n">
        <x:f>SUM(C50:K50)</x:f>
        <x:v>94.66666666666666</x:v>
      </x:c>
      <x:c r="M50" s="6" t="n">
        <x:f>IF(C50&gt;'Controls'!$B$12,1,0)+IF(D50&gt;'Controls'!$B$13,1,0)+IF(E50&gt;'Controls'!$B$14,1,0)+IF(F50&gt;'Controls'!$B$15,1,0)+IF(G50&gt;'Controls'!$B$16,1,0)+IF(H50&gt;'Controls'!$B$17,1,0)+IF(I50&gt;'Controls'!$B$18,1,0)+IF(J50&gt;'Controls'!$B$19,1,0)+IF(K50&gt;'Controls'!$B$20,1,0)</x:f>
        <x:v>0</x:v>
      </x:c>
    </x:row>
    <x:row r="51" ht="23" customHeight="1">
      <x:c r="A51" s="1" t="n">
        <x:v>44</x:v>
      </x:c>
      <x:c r="B51" s="19" t="n">
        <x:f>INDEX('Calendar'!$C$8:$C$907,259)</x:f>
        <x:v>46629</x:v>
      </x:c>
      <x:c r="C51" s="25" t="n">
        <x:f>SUMPRODUCT(('Activities'!$E$8:$E$816="Earthworks")*'Activities'!$I$8:$I$816,'Weekly Gantt'!AV8:AV816)/6</x:f>
        <x:v>0</x:v>
      </x:c>
      <x:c r="D51" s="25" t="n">
        <x:f>SUMPRODUCT(('Activities'!$E$8:$E$816="Formwork")*'Activities'!$I$8:$I$816,'Weekly Gantt'!AV8:AV816)/6</x:f>
        <x:v>36</x:v>
      </x:c>
      <x:c r="E51" s="25" t="n">
        <x:f>SUMPRODUCT(('Activities'!$E$8:$E$816="Rebar")*'Activities'!$I$8:$I$816,'Weekly Gantt'!AV8:AV816)/6</x:f>
        <x:v>23.333333333333332</x:v>
      </x:c>
      <x:c r="F51" s="25" t="n">
        <x:f>SUMPRODUCT(('Activities'!$E$8:$E$816="Concrete")*'Activities'!$I$8:$I$816,'Weekly Gantt'!AV8:AV816)/6</x:f>
        <x:v>8</x:v>
      </x:c>
      <x:c r="G51" s="25" t="n">
        <x:f>SUMPRODUCT(('Activities'!$E$8:$E$816="Masonry")*'Activities'!$I$8:$I$816,'Weekly Gantt'!AV8:AV816)/6</x:f>
        <x:v>16.666666666666668</x:v>
      </x:c>
      <x:c r="H51" s="25" t="n">
        <x:f>SUMPRODUCT(('Activities'!$E$8:$E$816="Finishes")*'Activities'!$I$8:$I$816,'Weekly Gantt'!AV8:AV816)/6</x:f>
        <x:v>20.333333333333332</x:v>
      </x:c>
      <x:c r="I51" s="25" t="n">
        <x:f>SUMPRODUCT(('Activities'!$E$8:$E$816="Envelope")*'Activities'!$I$8:$I$816,'Weekly Gantt'!AV8:AV816)/6</x:f>
        <x:v>0</x:v>
      </x:c>
      <x:c r="J51" s="25" t="n">
        <x:f>SUMPRODUCT(('Activities'!$E$8:$E$816="External")*'Activities'!$I$8:$I$816,'Weekly Gantt'!AV8:AV816)/6</x:f>
        <x:v>0</x:v>
      </x:c>
      <x:c r="K51" s="25" t="n">
        <x:f>SUMPRODUCT(('Activities'!$E$8:$E$816="Site")*'Activities'!$I$8:$I$816,'Weekly Gantt'!AV8:AV816)/6</x:f>
        <x:v>0</x:v>
      </x:c>
      <x:c r="L51" s="25" t="n">
        <x:f>SUM(C51:K51)</x:f>
        <x:v>104.33333333333333</x:v>
      </x:c>
      <x:c r="M51" s="1" t="n">
        <x:f>IF(C51&gt;'Controls'!$B$12,1,0)+IF(D51&gt;'Controls'!$B$13,1,0)+IF(E51&gt;'Controls'!$B$14,1,0)+IF(F51&gt;'Controls'!$B$15,1,0)+IF(G51&gt;'Controls'!$B$16,1,0)+IF(H51&gt;'Controls'!$B$17,1,0)+IF(I51&gt;'Controls'!$B$18,1,0)+IF(J51&gt;'Controls'!$B$19,1,0)+IF(K51&gt;'Controls'!$B$20,1,0)</x:f>
        <x:v>0</x:v>
      </x:c>
    </x:row>
    <x:row r="52" ht="23" customHeight="1">
      <x:c r="A52" s="6" t="n">
        <x:v>45</x:v>
      </x:c>
      <x:c r="B52" s="18" t="n">
        <x:f>INDEX('Calendar'!$C$8:$C$907,265)</x:f>
        <x:v>46636</x:v>
      </x:c>
      <x:c r="C52" s="24" t="n">
        <x:f>SUMPRODUCT(('Activities'!$E$8:$E$816="Earthworks")*'Activities'!$I$8:$I$816,'Weekly Gantt'!AW8:AW816)/6</x:f>
        <x:v>0</x:v>
      </x:c>
      <x:c r="D52" s="24" t="n">
        <x:f>SUMPRODUCT(('Activities'!$E$8:$E$816="Formwork")*'Activities'!$I$8:$I$816,'Weekly Gantt'!AW8:AW816)/6</x:f>
        <x:v>36</x:v>
      </x:c>
      <x:c r="E52" s="24" t="n">
        <x:f>SUMPRODUCT(('Activities'!$E$8:$E$816="Rebar")*'Activities'!$I$8:$I$816,'Weekly Gantt'!AW8:AW816)/6</x:f>
        <x:v>23.333333333333332</x:v>
      </x:c>
      <x:c r="F52" s="24" t="n">
        <x:f>SUMPRODUCT(('Activities'!$E$8:$E$816="Concrete")*'Activities'!$I$8:$I$816,'Weekly Gantt'!AW8:AW816)/6</x:f>
        <x:v>8</x:v>
      </x:c>
      <x:c r="G52" s="24" t="n">
        <x:f>SUMPRODUCT(('Activities'!$E$8:$E$816="Masonry")*'Activities'!$I$8:$I$816,'Weekly Gantt'!AW8:AW816)/6</x:f>
        <x:v>16.666666666666668</x:v>
      </x:c>
      <x:c r="H52" s="24" t="n">
        <x:f>SUMPRODUCT(('Activities'!$E$8:$E$816="Finishes")*'Activities'!$I$8:$I$816,'Weekly Gantt'!AW8:AW816)/6</x:f>
        <x:v>21.666666666666668</x:v>
      </x:c>
      <x:c r="I52" s="24" t="n">
        <x:f>SUMPRODUCT(('Activities'!$E$8:$E$816="Envelope")*'Activities'!$I$8:$I$816,'Weekly Gantt'!AW8:AW816)/6</x:f>
        <x:v>0</x:v>
      </x:c>
      <x:c r="J52" s="24" t="n">
        <x:f>SUMPRODUCT(('Activities'!$E$8:$E$816="External")*'Activities'!$I$8:$I$816,'Weekly Gantt'!AW8:AW816)/6</x:f>
        <x:v>0</x:v>
      </x:c>
      <x:c r="K52" s="24" t="n">
        <x:f>SUMPRODUCT(('Activities'!$E$8:$E$816="Site")*'Activities'!$I$8:$I$816,'Weekly Gantt'!AW8:AW816)/6</x:f>
        <x:v>0</x:v>
      </x:c>
      <x:c r="L52" s="24" t="n">
        <x:f>SUM(C52:K52)</x:f>
        <x:v>105.66666666666667</x:v>
      </x:c>
      <x:c r="M52" s="6" t="n">
        <x:f>IF(C52&gt;'Controls'!$B$12,1,0)+IF(D52&gt;'Controls'!$B$13,1,0)+IF(E52&gt;'Controls'!$B$14,1,0)+IF(F52&gt;'Controls'!$B$15,1,0)+IF(G52&gt;'Controls'!$B$16,1,0)+IF(H52&gt;'Controls'!$B$17,1,0)+IF(I52&gt;'Controls'!$B$18,1,0)+IF(J52&gt;'Controls'!$B$19,1,0)+IF(K52&gt;'Controls'!$B$20,1,0)</x:f>
        <x:v>0</x:v>
      </x:c>
    </x:row>
    <x:row r="53" ht="23" customHeight="1">
      <x:c r="A53" s="1" t="n">
        <x:v>46</x:v>
      </x:c>
      <x:c r="B53" s="19" t="n">
        <x:f>INDEX('Calendar'!$C$8:$C$907,271)</x:f>
        <x:v>46643</x:v>
      </x:c>
      <x:c r="C53" s="25" t="n">
        <x:f>SUMPRODUCT(('Activities'!$E$8:$E$816="Earthworks")*'Activities'!$I$8:$I$816,'Weekly Gantt'!AX8:AX816)/6</x:f>
        <x:v>0</x:v>
      </x:c>
      <x:c r="D53" s="25" t="n">
        <x:f>SUMPRODUCT(('Activities'!$E$8:$E$816="Formwork")*'Activities'!$I$8:$I$816,'Weekly Gantt'!AX8:AX816)/6</x:f>
        <x:v>36</x:v>
      </x:c>
      <x:c r="E53" s="25" t="n">
        <x:f>SUMPRODUCT(('Activities'!$E$8:$E$816="Rebar")*'Activities'!$I$8:$I$816,'Weekly Gantt'!AX8:AX816)/6</x:f>
        <x:v>23.333333333333332</x:v>
      </x:c>
      <x:c r="F53" s="25" t="n">
        <x:f>SUMPRODUCT(('Activities'!$E$8:$E$816="Concrete")*'Activities'!$I$8:$I$816,'Weekly Gantt'!AX8:AX816)/6</x:f>
        <x:v>8</x:v>
      </x:c>
      <x:c r="G53" s="25" t="n">
        <x:f>SUMPRODUCT(('Activities'!$E$8:$E$816="Masonry")*'Activities'!$I$8:$I$816,'Weekly Gantt'!AX8:AX816)/6</x:f>
        <x:v>16.666666666666668</x:v>
      </x:c>
      <x:c r="H53" s="25" t="n">
        <x:f>SUMPRODUCT(('Activities'!$E$8:$E$816="Finishes")*'Activities'!$I$8:$I$816,'Weekly Gantt'!AX8:AX816)/6</x:f>
        <x:v>25.333333333333332</x:v>
      </x:c>
      <x:c r="I53" s="25" t="n">
        <x:f>SUMPRODUCT(('Activities'!$E$8:$E$816="Envelope")*'Activities'!$I$8:$I$816,'Weekly Gantt'!AX8:AX816)/6</x:f>
        <x:v>0</x:v>
      </x:c>
      <x:c r="J53" s="25" t="n">
        <x:f>SUMPRODUCT(('Activities'!$E$8:$E$816="External")*'Activities'!$I$8:$I$816,'Weekly Gantt'!AX8:AX816)/6</x:f>
        <x:v>0</x:v>
      </x:c>
      <x:c r="K53" s="25" t="n">
        <x:f>SUMPRODUCT(('Activities'!$E$8:$E$816="Site")*'Activities'!$I$8:$I$816,'Weekly Gantt'!AX8:AX816)/6</x:f>
        <x:v>0</x:v>
      </x:c>
      <x:c r="L53" s="25" t="n">
        <x:f>SUM(C53:K53)</x:f>
        <x:v>109.33333333333333</x:v>
      </x:c>
      <x:c r="M53" s="1" t="n">
        <x:f>IF(C53&gt;'Controls'!$B$12,1,0)+IF(D53&gt;'Controls'!$B$13,1,0)+IF(E53&gt;'Controls'!$B$14,1,0)+IF(F53&gt;'Controls'!$B$15,1,0)+IF(G53&gt;'Controls'!$B$16,1,0)+IF(H53&gt;'Controls'!$B$17,1,0)+IF(I53&gt;'Controls'!$B$18,1,0)+IF(J53&gt;'Controls'!$B$19,1,0)+IF(K53&gt;'Controls'!$B$20,1,0)</x:f>
        <x:v>0</x:v>
      </x:c>
    </x:row>
    <x:row r="54" ht="23" customHeight="1">
      <x:c r="A54" s="6" t="n">
        <x:v>47</x:v>
      </x:c>
      <x:c r="B54" s="18" t="n">
        <x:f>INDEX('Calendar'!$C$8:$C$907,277)</x:f>
        <x:v>46650</x:v>
      </x:c>
      <x:c r="C54" s="24" t="n">
        <x:f>SUMPRODUCT(('Activities'!$E$8:$E$816="Earthworks")*'Activities'!$I$8:$I$816,'Weekly Gantt'!AY8:AY816)/6</x:f>
        <x:v>0</x:v>
      </x:c>
      <x:c r="D54" s="24" t="n">
        <x:f>SUMPRODUCT(('Activities'!$E$8:$E$816="Formwork")*'Activities'!$I$8:$I$816,'Weekly Gantt'!AY8:AY816)/6</x:f>
        <x:v>36</x:v>
      </x:c>
      <x:c r="E54" s="24" t="n">
        <x:f>SUMPRODUCT(('Activities'!$E$8:$E$816="Rebar")*'Activities'!$I$8:$I$816,'Weekly Gantt'!AY8:AY816)/6</x:f>
        <x:v>23.333333333333332</x:v>
      </x:c>
      <x:c r="F54" s="24" t="n">
        <x:f>SUMPRODUCT(('Activities'!$E$8:$E$816="Concrete")*'Activities'!$I$8:$I$816,'Weekly Gantt'!AY8:AY816)/6</x:f>
        <x:v>8</x:v>
      </x:c>
      <x:c r="G54" s="24" t="n">
        <x:f>SUMPRODUCT(('Activities'!$E$8:$E$816="Masonry")*'Activities'!$I$8:$I$816,'Weekly Gantt'!AY8:AY816)/6</x:f>
        <x:v>16.666666666666668</x:v>
      </x:c>
      <x:c r="H54" s="24" t="n">
        <x:f>SUMPRODUCT(('Activities'!$E$8:$E$816="Finishes")*'Activities'!$I$8:$I$816,'Weekly Gantt'!AY8:AY816)/6</x:f>
        <x:v>28</x:v>
      </x:c>
      <x:c r="I54" s="24" t="n">
        <x:f>SUMPRODUCT(('Activities'!$E$8:$E$816="Envelope")*'Activities'!$I$8:$I$816,'Weekly Gantt'!AY8:AY816)/6</x:f>
        <x:v>0</x:v>
      </x:c>
      <x:c r="J54" s="24" t="n">
        <x:f>SUMPRODUCT(('Activities'!$E$8:$E$816="External")*'Activities'!$I$8:$I$816,'Weekly Gantt'!AY8:AY816)/6</x:f>
        <x:v>0</x:v>
      </x:c>
      <x:c r="K54" s="24" t="n">
        <x:f>SUMPRODUCT(('Activities'!$E$8:$E$816="Site")*'Activities'!$I$8:$I$816,'Weekly Gantt'!AY8:AY816)/6</x:f>
        <x:v>0</x:v>
      </x:c>
      <x:c r="L54" s="24" t="n">
        <x:f>SUM(C54:K54)</x:f>
        <x:v>112</x:v>
      </x:c>
      <x:c r="M54" s="6" t="n">
        <x:f>IF(C54&gt;'Controls'!$B$12,1,0)+IF(D54&gt;'Controls'!$B$13,1,0)+IF(E54&gt;'Controls'!$B$14,1,0)+IF(F54&gt;'Controls'!$B$15,1,0)+IF(G54&gt;'Controls'!$B$16,1,0)+IF(H54&gt;'Controls'!$B$17,1,0)+IF(I54&gt;'Controls'!$B$18,1,0)+IF(J54&gt;'Controls'!$B$19,1,0)+IF(K54&gt;'Controls'!$B$20,1,0)</x:f>
        <x:v>0</x:v>
      </x:c>
    </x:row>
    <x:row r="55" ht="23" customHeight="1">
      <x:c r="A55" s="1" t="n">
        <x:v>48</x:v>
      </x:c>
      <x:c r="B55" s="19" t="n">
        <x:f>INDEX('Calendar'!$C$8:$C$907,283)</x:f>
        <x:v>46657</x:v>
      </x:c>
      <x:c r="C55" s="25" t="n">
        <x:f>SUMPRODUCT(('Activities'!$E$8:$E$816="Earthworks")*'Activities'!$I$8:$I$816,'Weekly Gantt'!AZ8:AZ816)/6</x:f>
        <x:v>0</x:v>
      </x:c>
      <x:c r="D55" s="25" t="n">
        <x:f>SUMPRODUCT(('Activities'!$E$8:$E$816="Formwork")*'Activities'!$I$8:$I$816,'Weekly Gantt'!AZ8:AZ816)/6</x:f>
        <x:v>36</x:v>
      </x:c>
      <x:c r="E55" s="25" t="n">
        <x:f>SUMPRODUCT(('Activities'!$E$8:$E$816="Rebar")*'Activities'!$I$8:$I$816,'Weekly Gantt'!AZ8:AZ816)/6</x:f>
        <x:v>23.333333333333332</x:v>
      </x:c>
      <x:c r="F55" s="25" t="n">
        <x:f>SUMPRODUCT(('Activities'!$E$8:$E$816="Concrete")*'Activities'!$I$8:$I$816,'Weekly Gantt'!AZ8:AZ816)/6</x:f>
        <x:v>8</x:v>
      </x:c>
      <x:c r="G55" s="25" t="n">
        <x:f>SUMPRODUCT(('Activities'!$E$8:$E$816="Masonry")*'Activities'!$I$8:$I$816,'Weekly Gantt'!AZ8:AZ816)/6</x:f>
        <x:v>16.666666666666668</x:v>
      </x:c>
      <x:c r="H55" s="25" t="n">
        <x:f>SUMPRODUCT(('Activities'!$E$8:$E$816="Finishes")*'Activities'!$I$8:$I$816,'Weekly Gantt'!AZ8:AZ816)/6</x:f>
        <x:v>28</x:v>
      </x:c>
      <x:c r="I55" s="25" t="n">
        <x:f>SUMPRODUCT(('Activities'!$E$8:$E$816="Envelope")*'Activities'!$I$8:$I$816,'Weekly Gantt'!AZ8:AZ816)/6</x:f>
        <x:v>0</x:v>
      </x:c>
      <x:c r="J55" s="25" t="n">
        <x:f>SUMPRODUCT(('Activities'!$E$8:$E$816="External")*'Activities'!$I$8:$I$816,'Weekly Gantt'!AZ8:AZ816)/6</x:f>
        <x:v>0</x:v>
      </x:c>
      <x:c r="K55" s="25" t="n">
        <x:f>SUMPRODUCT(('Activities'!$E$8:$E$816="Site")*'Activities'!$I$8:$I$816,'Weekly Gantt'!AZ8:AZ816)/6</x:f>
        <x:v>0</x:v>
      </x:c>
      <x:c r="L55" s="25" t="n">
        <x:f>SUM(C55:K55)</x:f>
        <x:v>112</x:v>
      </x:c>
      <x:c r="M55" s="1" t="n">
        <x:f>IF(C55&gt;'Controls'!$B$12,1,0)+IF(D55&gt;'Controls'!$B$13,1,0)+IF(E55&gt;'Controls'!$B$14,1,0)+IF(F55&gt;'Controls'!$B$15,1,0)+IF(G55&gt;'Controls'!$B$16,1,0)+IF(H55&gt;'Controls'!$B$17,1,0)+IF(I55&gt;'Controls'!$B$18,1,0)+IF(J55&gt;'Controls'!$B$19,1,0)+IF(K55&gt;'Controls'!$B$20,1,0)</x:f>
        <x:v>0</x:v>
      </x:c>
    </x:row>
    <x:row r="56" ht="23" customHeight="1">
      <x:c r="A56" s="6" t="n">
        <x:v>49</x:v>
      </x:c>
      <x:c r="B56" s="18" t="n">
        <x:f>INDEX('Calendar'!$C$8:$C$907,289)</x:f>
        <x:v>46664</x:v>
      </x:c>
      <x:c r="C56" s="24" t="n">
        <x:f>SUMPRODUCT(('Activities'!$E$8:$E$816="Earthworks")*'Activities'!$I$8:$I$816,'Weekly Gantt'!BA8:BA816)/6</x:f>
        <x:v>0</x:v>
      </x:c>
      <x:c r="D56" s="24" t="n">
        <x:f>SUMPRODUCT(('Activities'!$E$8:$E$816="Formwork")*'Activities'!$I$8:$I$816,'Weekly Gantt'!BA8:BA816)/6</x:f>
        <x:v>36</x:v>
      </x:c>
      <x:c r="E56" s="24" t="n">
        <x:f>SUMPRODUCT(('Activities'!$E$8:$E$816="Rebar")*'Activities'!$I$8:$I$816,'Weekly Gantt'!BA8:BA816)/6</x:f>
        <x:v>23.333333333333332</x:v>
      </x:c>
      <x:c r="F56" s="24" t="n">
        <x:f>SUMPRODUCT(('Activities'!$E$8:$E$816="Concrete")*'Activities'!$I$8:$I$816,'Weekly Gantt'!BA8:BA816)/6</x:f>
        <x:v>8</x:v>
      </x:c>
      <x:c r="G56" s="24" t="n">
        <x:f>SUMPRODUCT(('Activities'!$E$8:$E$816="Masonry")*'Activities'!$I$8:$I$816,'Weekly Gantt'!BA8:BA816)/6</x:f>
        <x:v>16.666666666666668</x:v>
      </x:c>
      <x:c r="H56" s="24" t="n">
        <x:f>SUMPRODUCT(('Activities'!$E$8:$E$816="Finishes")*'Activities'!$I$8:$I$816,'Weekly Gantt'!BA8:BA816)/6</x:f>
        <x:v>28</x:v>
      </x:c>
      <x:c r="I56" s="24" t="n">
        <x:f>SUMPRODUCT(('Activities'!$E$8:$E$816="Envelope")*'Activities'!$I$8:$I$816,'Weekly Gantt'!BA8:BA816)/6</x:f>
        <x:v>0</x:v>
      </x:c>
      <x:c r="J56" s="24" t="n">
        <x:f>SUMPRODUCT(('Activities'!$E$8:$E$816="External")*'Activities'!$I$8:$I$816,'Weekly Gantt'!BA8:BA816)/6</x:f>
        <x:v>0</x:v>
      </x:c>
      <x:c r="K56" s="24" t="n">
        <x:f>SUMPRODUCT(('Activities'!$E$8:$E$816="Site")*'Activities'!$I$8:$I$816,'Weekly Gantt'!BA8:BA816)/6</x:f>
        <x:v>0</x:v>
      </x:c>
      <x:c r="L56" s="24" t="n">
        <x:f>SUM(C56:K56)</x:f>
        <x:v>112</x:v>
      </x:c>
      <x:c r="M56" s="6" t="n">
        <x:f>IF(C56&gt;'Controls'!$B$12,1,0)+IF(D56&gt;'Controls'!$B$13,1,0)+IF(E56&gt;'Controls'!$B$14,1,0)+IF(F56&gt;'Controls'!$B$15,1,0)+IF(G56&gt;'Controls'!$B$16,1,0)+IF(H56&gt;'Controls'!$B$17,1,0)+IF(I56&gt;'Controls'!$B$18,1,0)+IF(J56&gt;'Controls'!$B$19,1,0)+IF(K56&gt;'Controls'!$B$20,1,0)</x:f>
        <x:v>0</x:v>
      </x:c>
    </x:row>
    <x:row r="57" ht="23" customHeight="1">
      <x:c r="A57" s="1" t="n">
        <x:v>50</x:v>
      </x:c>
      <x:c r="B57" s="19" t="n">
        <x:f>INDEX('Calendar'!$C$8:$C$907,295)</x:f>
        <x:v>46671</x:v>
      </x:c>
      <x:c r="C57" s="25" t="n">
        <x:f>SUMPRODUCT(('Activities'!$E$8:$E$816="Earthworks")*'Activities'!$I$8:$I$816,'Weekly Gantt'!BB8:BB816)/6</x:f>
        <x:v>0</x:v>
      </x:c>
      <x:c r="D57" s="25" t="n">
        <x:f>SUMPRODUCT(('Activities'!$E$8:$E$816="Formwork")*'Activities'!$I$8:$I$816,'Weekly Gantt'!BB8:BB816)/6</x:f>
        <x:v>36</x:v>
      </x:c>
      <x:c r="E57" s="25" t="n">
        <x:f>SUMPRODUCT(('Activities'!$E$8:$E$816="Rebar")*'Activities'!$I$8:$I$816,'Weekly Gantt'!BB8:BB816)/6</x:f>
        <x:v>23.333333333333332</x:v>
      </x:c>
      <x:c r="F57" s="25" t="n">
        <x:f>SUMPRODUCT(('Activities'!$E$8:$E$816="Concrete")*'Activities'!$I$8:$I$816,'Weekly Gantt'!BB8:BB816)/6</x:f>
        <x:v>8</x:v>
      </x:c>
      <x:c r="G57" s="25" t="n">
        <x:f>SUMPRODUCT(('Activities'!$E$8:$E$816="Masonry")*'Activities'!$I$8:$I$816,'Weekly Gantt'!BB8:BB816)/6</x:f>
        <x:v>16.666666666666668</x:v>
      </x:c>
      <x:c r="H57" s="25" t="n">
        <x:f>SUMPRODUCT(('Activities'!$E$8:$E$816="Finishes")*'Activities'!$I$8:$I$816,'Weekly Gantt'!BB8:BB816)/6</x:f>
        <x:v>28</x:v>
      </x:c>
      <x:c r="I57" s="25" t="n">
        <x:f>SUMPRODUCT(('Activities'!$E$8:$E$816="Envelope")*'Activities'!$I$8:$I$816,'Weekly Gantt'!BB8:BB816)/6</x:f>
        <x:v>0</x:v>
      </x:c>
      <x:c r="J57" s="25" t="n">
        <x:f>SUMPRODUCT(('Activities'!$E$8:$E$816="External")*'Activities'!$I$8:$I$816,'Weekly Gantt'!BB8:BB816)/6</x:f>
        <x:v>0</x:v>
      </x:c>
      <x:c r="K57" s="25" t="n">
        <x:f>SUMPRODUCT(('Activities'!$E$8:$E$816="Site")*'Activities'!$I$8:$I$816,'Weekly Gantt'!BB8:BB816)/6</x:f>
        <x:v>0</x:v>
      </x:c>
      <x:c r="L57" s="25" t="n">
        <x:f>SUM(C57:K57)</x:f>
        <x:v>112</x:v>
      </x:c>
      <x:c r="M57" s="1" t="n">
        <x:f>IF(C57&gt;'Controls'!$B$12,1,0)+IF(D57&gt;'Controls'!$B$13,1,0)+IF(E57&gt;'Controls'!$B$14,1,0)+IF(F57&gt;'Controls'!$B$15,1,0)+IF(G57&gt;'Controls'!$B$16,1,0)+IF(H57&gt;'Controls'!$B$17,1,0)+IF(I57&gt;'Controls'!$B$18,1,0)+IF(J57&gt;'Controls'!$B$19,1,0)+IF(K57&gt;'Controls'!$B$20,1,0)</x:f>
        <x:v>0</x:v>
      </x:c>
    </x:row>
    <x:row r="58" ht="23" customHeight="1">
      <x:c r="A58" s="6" t="n">
        <x:v>51</x:v>
      </x:c>
      <x:c r="B58" s="18" t="n">
        <x:f>INDEX('Calendar'!$C$8:$C$907,301)</x:f>
        <x:v>46678</x:v>
      </x:c>
      <x:c r="C58" s="24" t="n">
        <x:f>SUMPRODUCT(('Activities'!$E$8:$E$816="Earthworks")*'Activities'!$I$8:$I$816,'Weekly Gantt'!BC8:BC816)/6</x:f>
        <x:v>0</x:v>
      </x:c>
      <x:c r="D58" s="24" t="n">
        <x:f>SUMPRODUCT(('Activities'!$E$8:$E$816="Formwork")*'Activities'!$I$8:$I$816,'Weekly Gantt'!BC8:BC816)/6</x:f>
        <x:v>36</x:v>
      </x:c>
      <x:c r="E58" s="24" t="n">
        <x:f>SUMPRODUCT(('Activities'!$E$8:$E$816="Rebar")*'Activities'!$I$8:$I$816,'Weekly Gantt'!BC8:BC816)/6</x:f>
        <x:v>23.333333333333332</x:v>
      </x:c>
      <x:c r="F58" s="24" t="n">
        <x:f>SUMPRODUCT(('Activities'!$E$8:$E$816="Concrete")*'Activities'!$I$8:$I$816,'Weekly Gantt'!BC8:BC816)/6</x:f>
        <x:v>8</x:v>
      </x:c>
      <x:c r="G58" s="24" t="n">
        <x:f>SUMPRODUCT(('Activities'!$E$8:$E$816="Masonry")*'Activities'!$I$8:$I$816,'Weekly Gantt'!BC8:BC816)/6</x:f>
        <x:v>16.666666666666668</x:v>
      </x:c>
      <x:c r="H58" s="24" t="n">
        <x:f>SUMPRODUCT(('Activities'!$E$8:$E$816="Finishes")*'Activities'!$I$8:$I$816,'Weekly Gantt'!BC8:BC816)/6</x:f>
        <x:v>28</x:v>
      </x:c>
      <x:c r="I58" s="24" t="n">
        <x:f>SUMPRODUCT(('Activities'!$E$8:$E$816="Envelope")*'Activities'!$I$8:$I$816,'Weekly Gantt'!BC8:BC816)/6</x:f>
        <x:v>0</x:v>
      </x:c>
      <x:c r="J58" s="24" t="n">
        <x:f>SUMPRODUCT(('Activities'!$E$8:$E$816="External")*'Activities'!$I$8:$I$816,'Weekly Gantt'!BC8:BC816)/6</x:f>
        <x:v>0</x:v>
      </x:c>
      <x:c r="K58" s="24" t="n">
        <x:f>SUMPRODUCT(('Activities'!$E$8:$E$816="Site")*'Activities'!$I$8:$I$816,'Weekly Gantt'!BC8:BC816)/6</x:f>
        <x:v>0</x:v>
      </x:c>
      <x:c r="L58" s="24" t="n">
        <x:f>SUM(C58:K58)</x:f>
        <x:v>112</x:v>
      </x:c>
      <x:c r="M58" s="6" t="n">
        <x:f>IF(C58&gt;'Controls'!$B$12,1,0)+IF(D58&gt;'Controls'!$B$13,1,0)+IF(E58&gt;'Controls'!$B$14,1,0)+IF(F58&gt;'Controls'!$B$15,1,0)+IF(G58&gt;'Controls'!$B$16,1,0)+IF(H58&gt;'Controls'!$B$17,1,0)+IF(I58&gt;'Controls'!$B$18,1,0)+IF(J58&gt;'Controls'!$B$19,1,0)+IF(K58&gt;'Controls'!$B$20,1,0)</x:f>
        <x:v>0</x:v>
      </x:c>
    </x:row>
    <x:row r="59" ht="23" customHeight="1">
      <x:c r="A59" s="1" t="n">
        <x:v>52</x:v>
      </x:c>
      <x:c r="B59" s="19" t="n">
        <x:f>INDEX('Calendar'!$C$8:$C$907,307)</x:f>
        <x:v>46685</x:v>
      </x:c>
      <x:c r="C59" s="25" t="n">
        <x:f>SUMPRODUCT(('Activities'!$E$8:$E$816="Earthworks")*'Activities'!$I$8:$I$816,'Weekly Gantt'!BD8:BD816)/6</x:f>
        <x:v>0</x:v>
      </x:c>
      <x:c r="D59" s="25" t="n">
        <x:f>SUMPRODUCT(('Activities'!$E$8:$E$816="Formwork")*'Activities'!$I$8:$I$816,'Weekly Gantt'!BD8:BD816)/6</x:f>
        <x:v>36</x:v>
      </x:c>
      <x:c r="E59" s="25" t="n">
        <x:f>SUMPRODUCT(('Activities'!$E$8:$E$816="Rebar")*'Activities'!$I$8:$I$816,'Weekly Gantt'!BD8:BD816)/6</x:f>
        <x:v>23.333333333333332</x:v>
      </x:c>
      <x:c r="F59" s="25" t="n">
        <x:f>SUMPRODUCT(('Activities'!$E$8:$E$816="Concrete")*'Activities'!$I$8:$I$816,'Weekly Gantt'!BD8:BD816)/6</x:f>
        <x:v>8</x:v>
      </x:c>
      <x:c r="G59" s="25" t="n">
        <x:f>SUMPRODUCT(('Activities'!$E$8:$E$816="Masonry")*'Activities'!$I$8:$I$816,'Weekly Gantt'!BD8:BD816)/6</x:f>
        <x:v>16.666666666666668</x:v>
      </x:c>
      <x:c r="H59" s="25" t="n">
        <x:f>SUMPRODUCT(('Activities'!$E$8:$E$816="Finishes")*'Activities'!$I$8:$I$816,'Weekly Gantt'!BD8:BD816)/6</x:f>
        <x:v>28</x:v>
      </x:c>
      <x:c r="I59" s="25" t="n">
        <x:f>SUMPRODUCT(('Activities'!$E$8:$E$816="Envelope")*'Activities'!$I$8:$I$816,'Weekly Gantt'!BD8:BD816)/6</x:f>
        <x:v>16</x:v>
      </x:c>
      <x:c r="J59" s="25" t="n">
        <x:f>SUMPRODUCT(('Activities'!$E$8:$E$816="External")*'Activities'!$I$8:$I$816,'Weekly Gantt'!BD8:BD816)/6</x:f>
        <x:v>0</x:v>
      </x:c>
      <x:c r="K59" s="25" t="n">
        <x:f>SUMPRODUCT(('Activities'!$E$8:$E$816="Site")*'Activities'!$I$8:$I$816,'Weekly Gantt'!BD8:BD816)/6</x:f>
        <x:v>0</x:v>
      </x:c>
      <x:c r="L59" s="25" t="n">
        <x:f>SUM(C59:K59)</x:f>
        <x:v>128</x:v>
      </x:c>
      <x:c r="M59" s="1" t="n">
        <x:f>IF(C59&gt;'Controls'!$B$12,1,0)+IF(D59&gt;'Controls'!$B$13,1,0)+IF(E59&gt;'Controls'!$B$14,1,0)+IF(F59&gt;'Controls'!$B$15,1,0)+IF(G59&gt;'Controls'!$B$16,1,0)+IF(H59&gt;'Controls'!$B$17,1,0)+IF(I59&gt;'Controls'!$B$18,1,0)+IF(J59&gt;'Controls'!$B$19,1,0)+IF(K59&gt;'Controls'!$B$20,1,0)</x:f>
        <x:v>0</x:v>
      </x:c>
    </x:row>
    <x:row r="60" ht="23" customHeight="1">
      <x:c r="A60" s="6" t="n">
        <x:v>53</x:v>
      </x:c>
      <x:c r="B60" s="18" t="n">
        <x:f>INDEX('Calendar'!$C$8:$C$907,313)</x:f>
        <x:v>46692</x:v>
      </x:c>
      <x:c r="C60" s="24" t="n">
        <x:f>SUMPRODUCT(('Activities'!$E$8:$E$816="Earthworks")*'Activities'!$I$8:$I$816,'Weekly Gantt'!BE8:BE816)/6</x:f>
        <x:v>0</x:v>
      </x:c>
      <x:c r="D60" s="24" t="n">
        <x:f>SUMPRODUCT(('Activities'!$E$8:$E$816="Formwork")*'Activities'!$I$8:$I$816,'Weekly Gantt'!BE8:BE816)/6</x:f>
        <x:v>36</x:v>
      </x:c>
      <x:c r="E60" s="24" t="n">
        <x:f>SUMPRODUCT(('Activities'!$E$8:$E$816="Rebar")*'Activities'!$I$8:$I$816,'Weekly Gantt'!BE8:BE816)/6</x:f>
        <x:v>23.333333333333332</x:v>
      </x:c>
      <x:c r="F60" s="24" t="n">
        <x:f>SUMPRODUCT(('Activities'!$E$8:$E$816="Concrete")*'Activities'!$I$8:$I$816,'Weekly Gantt'!BE8:BE816)/6</x:f>
        <x:v>8</x:v>
      </x:c>
      <x:c r="G60" s="24" t="n">
        <x:f>SUMPRODUCT(('Activities'!$E$8:$E$816="Masonry")*'Activities'!$I$8:$I$816,'Weekly Gantt'!BE8:BE816)/6</x:f>
        <x:v>16.666666666666668</x:v>
      </x:c>
      <x:c r="H60" s="24" t="n">
        <x:f>SUMPRODUCT(('Activities'!$E$8:$E$816="Finishes")*'Activities'!$I$8:$I$816,'Weekly Gantt'!BE8:BE816)/6</x:f>
        <x:v>28</x:v>
      </x:c>
      <x:c r="I60" s="24" t="n">
        <x:f>SUMPRODUCT(('Activities'!$E$8:$E$816="Envelope")*'Activities'!$I$8:$I$816,'Weekly Gantt'!BE8:BE816)/6</x:f>
        <x:v>16</x:v>
      </x:c>
      <x:c r="J60" s="24" t="n">
        <x:f>SUMPRODUCT(('Activities'!$E$8:$E$816="External")*'Activities'!$I$8:$I$816,'Weekly Gantt'!BE8:BE816)/6</x:f>
        <x:v>0</x:v>
      </x:c>
      <x:c r="K60" s="24" t="n">
        <x:f>SUMPRODUCT(('Activities'!$E$8:$E$816="Site")*'Activities'!$I$8:$I$816,'Weekly Gantt'!BE8:BE816)/6</x:f>
        <x:v>0</x:v>
      </x:c>
      <x:c r="L60" s="24" t="n">
        <x:f>SUM(C60:K60)</x:f>
        <x:v>128</x:v>
      </x:c>
      <x:c r="M60" s="6" t="n">
        <x:f>IF(C60&gt;'Controls'!$B$12,1,0)+IF(D60&gt;'Controls'!$B$13,1,0)+IF(E60&gt;'Controls'!$B$14,1,0)+IF(F60&gt;'Controls'!$B$15,1,0)+IF(G60&gt;'Controls'!$B$16,1,0)+IF(H60&gt;'Controls'!$B$17,1,0)+IF(I60&gt;'Controls'!$B$18,1,0)+IF(J60&gt;'Controls'!$B$19,1,0)+IF(K60&gt;'Controls'!$B$20,1,0)</x:f>
        <x:v>0</x:v>
      </x:c>
    </x:row>
    <x:row r="61" ht="23" customHeight="1">
      <x:c r="A61" s="1" t="n">
        <x:v>54</x:v>
      </x:c>
      <x:c r="B61" s="19" t="n">
        <x:f>INDEX('Calendar'!$C$8:$C$907,319)</x:f>
        <x:v>46699</x:v>
      </x:c>
      <x:c r="C61" s="25" t="n">
        <x:f>SUMPRODUCT(('Activities'!$E$8:$E$816="Earthworks")*'Activities'!$I$8:$I$816,'Weekly Gantt'!BF8:BF816)/6</x:f>
        <x:v>0</x:v>
      </x:c>
      <x:c r="D61" s="25" t="n">
        <x:f>SUMPRODUCT(('Activities'!$E$8:$E$816="Formwork")*'Activities'!$I$8:$I$816,'Weekly Gantt'!BF8:BF816)/6</x:f>
        <x:v>36</x:v>
      </x:c>
      <x:c r="E61" s="25" t="n">
        <x:f>SUMPRODUCT(('Activities'!$E$8:$E$816="Rebar")*'Activities'!$I$8:$I$816,'Weekly Gantt'!BF8:BF816)/6</x:f>
        <x:v>23.333333333333332</x:v>
      </x:c>
      <x:c r="F61" s="25" t="n">
        <x:f>SUMPRODUCT(('Activities'!$E$8:$E$816="Concrete")*'Activities'!$I$8:$I$816,'Weekly Gantt'!BF8:BF816)/6</x:f>
        <x:v>8</x:v>
      </x:c>
      <x:c r="G61" s="25" t="n">
        <x:f>SUMPRODUCT(('Activities'!$E$8:$E$816="Masonry")*'Activities'!$I$8:$I$816,'Weekly Gantt'!BF8:BF816)/6</x:f>
        <x:v>16.666666666666668</x:v>
      </x:c>
      <x:c r="H61" s="25" t="n">
        <x:f>SUMPRODUCT(('Activities'!$E$8:$E$816="Finishes")*'Activities'!$I$8:$I$816,'Weekly Gantt'!BF8:BF816)/6</x:f>
        <x:v>28</x:v>
      </x:c>
      <x:c r="I61" s="25" t="n">
        <x:f>SUMPRODUCT(('Activities'!$E$8:$E$816="Envelope")*'Activities'!$I$8:$I$816,'Weekly Gantt'!BF8:BF816)/6</x:f>
        <x:v>32</x:v>
      </x:c>
      <x:c r="J61" s="25" t="n">
        <x:f>SUMPRODUCT(('Activities'!$E$8:$E$816="External")*'Activities'!$I$8:$I$816,'Weekly Gantt'!BF8:BF816)/6</x:f>
        <x:v>0</x:v>
      </x:c>
      <x:c r="K61" s="25" t="n">
        <x:f>SUMPRODUCT(('Activities'!$E$8:$E$816="Site")*'Activities'!$I$8:$I$816,'Weekly Gantt'!BF8:BF816)/6</x:f>
        <x:v>0</x:v>
      </x:c>
      <x:c r="L61" s="25" t="n">
        <x:f>SUM(C61:K61)</x:f>
        <x:v>144</x:v>
      </x:c>
      <x:c r="M61" s="1" t="n">
        <x:f>IF(C61&gt;'Controls'!$B$12,1,0)+IF(D61&gt;'Controls'!$B$13,1,0)+IF(E61&gt;'Controls'!$B$14,1,0)+IF(F61&gt;'Controls'!$B$15,1,0)+IF(G61&gt;'Controls'!$B$16,1,0)+IF(H61&gt;'Controls'!$B$17,1,0)+IF(I61&gt;'Controls'!$B$18,1,0)+IF(J61&gt;'Controls'!$B$19,1,0)+IF(K61&gt;'Controls'!$B$20,1,0)</x:f>
        <x:v>0</x:v>
      </x:c>
    </x:row>
    <x:row r="62" ht="23" customHeight="1">
      <x:c r="A62" s="6" t="n">
        <x:v>55</x:v>
      </x:c>
      <x:c r="B62" s="18" t="n">
        <x:f>INDEX('Calendar'!$C$8:$C$907,325)</x:f>
        <x:v>46706</x:v>
      </x:c>
      <x:c r="C62" s="24" t="n">
        <x:f>SUMPRODUCT(('Activities'!$E$8:$E$816="Earthworks")*'Activities'!$I$8:$I$816,'Weekly Gantt'!BG8:BG816)/6</x:f>
        <x:v>0</x:v>
      </x:c>
      <x:c r="D62" s="24" t="n">
        <x:f>SUMPRODUCT(('Activities'!$E$8:$E$816="Formwork")*'Activities'!$I$8:$I$816,'Weekly Gantt'!BG8:BG816)/6</x:f>
        <x:v>36</x:v>
      </x:c>
      <x:c r="E62" s="24" t="n">
        <x:f>SUMPRODUCT(('Activities'!$E$8:$E$816="Rebar")*'Activities'!$I$8:$I$816,'Weekly Gantt'!BG8:BG816)/6</x:f>
        <x:v>23.333333333333332</x:v>
      </x:c>
      <x:c r="F62" s="24" t="n">
        <x:f>SUMPRODUCT(('Activities'!$E$8:$E$816="Concrete")*'Activities'!$I$8:$I$816,'Weekly Gantt'!BG8:BG816)/6</x:f>
        <x:v>8</x:v>
      </x:c>
      <x:c r="G62" s="24" t="n">
        <x:f>SUMPRODUCT(('Activities'!$E$8:$E$816="Masonry")*'Activities'!$I$8:$I$816,'Weekly Gantt'!BG8:BG816)/6</x:f>
        <x:v>16.666666666666668</x:v>
      </x:c>
      <x:c r="H62" s="24" t="n">
        <x:f>SUMPRODUCT(('Activities'!$E$8:$E$816="Finishes")*'Activities'!$I$8:$I$816,'Weekly Gantt'!BG8:BG816)/6</x:f>
        <x:v>28</x:v>
      </x:c>
      <x:c r="I62" s="24" t="n">
        <x:f>SUMPRODUCT(('Activities'!$E$8:$E$816="Envelope")*'Activities'!$I$8:$I$816,'Weekly Gantt'!BG8:BG816)/6</x:f>
        <x:v>26.666666666666668</x:v>
      </x:c>
      <x:c r="J62" s="24" t="n">
        <x:f>SUMPRODUCT(('Activities'!$E$8:$E$816="External")*'Activities'!$I$8:$I$816,'Weekly Gantt'!BG8:BG816)/6</x:f>
        <x:v>0</x:v>
      </x:c>
      <x:c r="K62" s="24" t="n">
        <x:f>SUMPRODUCT(('Activities'!$E$8:$E$816="Site")*'Activities'!$I$8:$I$816,'Weekly Gantt'!BG8:BG816)/6</x:f>
        <x:v>0</x:v>
      </x:c>
      <x:c r="L62" s="24" t="n">
        <x:f>SUM(C62:K62)</x:f>
        <x:v>138.66666666666666</x:v>
      </x:c>
      <x:c r="M62" s="6" t="n">
        <x:f>IF(C62&gt;'Controls'!$B$12,1,0)+IF(D62&gt;'Controls'!$B$13,1,0)+IF(E62&gt;'Controls'!$B$14,1,0)+IF(F62&gt;'Controls'!$B$15,1,0)+IF(G62&gt;'Controls'!$B$16,1,0)+IF(H62&gt;'Controls'!$B$17,1,0)+IF(I62&gt;'Controls'!$B$18,1,0)+IF(J62&gt;'Controls'!$B$19,1,0)+IF(K62&gt;'Controls'!$B$20,1,0)</x:f>
        <x:v>0</x:v>
      </x:c>
    </x:row>
    <x:row r="63" ht="23" customHeight="1">
      <x:c r="A63" s="1" t="n">
        <x:v>56</x:v>
      </x:c>
      <x:c r="B63" s="19" t="n">
        <x:f>INDEX('Calendar'!$C$8:$C$907,331)</x:f>
        <x:v>46713</x:v>
      </x:c>
      <x:c r="C63" s="25" t="n">
        <x:f>SUMPRODUCT(('Activities'!$E$8:$E$816="Earthworks")*'Activities'!$I$8:$I$816,'Weekly Gantt'!BH8:BH816)/6</x:f>
        <x:v>0</x:v>
      </x:c>
      <x:c r="D63" s="25" t="n">
        <x:f>SUMPRODUCT(('Activities'!$E$8:$E$816="Formwork")*'Activities'!$I$8:$I$816,'Weekly Gantt'!BH8:BH816)/6</x:f>
        <x:v>36</x:v>
      </x:c>
      <x:c r="E63" s="25" t="n">
        <x:f>SUMPRODUCT(('Activities'!$E$8:$E$816="Rebar")*'Activities'!$I$8:$I$816,'Weekly Gantt'!BH8:BH816)/6</x:f>
        <x:v>23.333333333333332</x:v>
      </x:c>
      <x:c r="F63" s="25" t="n">
        <x:f>SUMPRODUCT(('Activities'!$E$8:$E$816="Concrete")*'Activities'!$I$8:$I$816,'Weekly Gantt'!BH8:BH816)/6</x:f>
        <x:v>8</x:v>
      </x:c>
      <x:c r="G63" s="25" t="n">
        <x:f>SUMPRODUCT(('Activities'!$E$8:$E$816="Masonry")*'Activities'!$I$8:$I$816,'Weekly Gantt'!BH8:BH816)/6</x:f>
        <x:v>16.666666666666668</x:v>
      </x:c>
      <x:c r="H63" s="25" t="n">
        <x:f>SUMPRODUCT(('Activities'!$E$8:$E$816="Finishes")*'Activities'!$I$8:$I$816,'Weekly Gantt'!BH8:BH816)/6</x:f>
        <x:v>28</x:v>
      </x:c>
      <x:c r="I63" s="25" t="n">
        <x:f>SUMPRODUCT(('Activities'!$E$8:$E$816="Envelope")*'Activities'!$I$8:$I$816,'Weekly Gantt'!BH8:BH816)/6</x:f>
        <x:v>32</x:v>
      </x:c>
      <x:c r="J63" s="25" t="n">
        <x:f>SUMPRODUCT(('Activities'!$E$8:$E$816="External")*'Activities'!$I$8:$I$816,'Weekly Gantt'!BH8:BH816)/6</x:f>
        <x:v>0</x:v>
      </x:c>
      <x:c r="K63" s="25" t="n">
        <x:f>SUMPRODUCT(('Activities'!$E$8:$E$816="Site")*'Activities'!$I$8:$I$816,'Weekly Gantt'!BH8:BH816)/6</x:f>
        <x:v>0</x:v>
      </x:c>
      <x:c r="L63" s="25" t="n">
        <x:f>SUM(C63:K63)</x:f>
        <x:v>144</x:v>
      </x:c>
      <x:c r="M63" s="1" t="n">
        <x:f>IF(C63&gt;'Controls'!$B$12,1,0)+IF(D63&gt;'Controls'!$B$13,1,0)+IF(E63&gt;'Controls'!$B$14,1,0)+IF(F63&gt;'Controls'!$B$15,1,0)+IF(G63&gt;'Controls'!$B$16,1,0)+IF(H63&gt;'Controls'!$B$17,1,0)+IF(I63&gt;'Controls'!$B$18,1,0)+IF(J63&gt;'Controls'!$B$19,1,0)+IF(K63&gt;'Controls'!$B$20,1,0)</x:f>
        <x:v>0</x:v>
      </x:c>
    </x:row>
    <x:row r="64" ht="23" customHeight="1">
      <x:c r="A64" s="6" t="n">
        <x:v>57</x:v>
      </x:c>
      <x:c r="B64" s="18" t="n">
        <x:f>INDEX('Calendar'!$C$8:$C$907,337)</x:f>
        <x:v>46720</x:v>
      </x:c>
      <x:c r="C64" s="24" t="n">
        <x:f>SUMPRODUCT(('Activities'!$E$8:$E$816="Earthworks")*'Activities'!$I$8:$I$816,'Weekly Gantt'!BI8:BI816)/6</x:f>
        <x:v>0</x:v>
      </x:c>
      <x:c r="D64" s="24" t="n">
        <x:f>SUMPRODUCT(('Activities'!$E$8:$E$816="Formwork")*'Activities'!$I$8:$I$816,'Weekly Gantt'!BI8:BI816)/6</x:f>
        <x:v>36</x:v>
      </x:c>
      <x:c r="E64" s="24" t="n">
        <x:f>SUMPRODUCT(('Activities'!$E$8:$E$816="Rebar")*'Activities'!$I$8:$I$816,'Weekly Gantt'!BI8:BI816)/6</x:f>
        <x:v>23.333333333333332</x:v>
      </x:c>
      <x:c r="F64" s="24" t="n">
        <x:f>SUMPRODUCT(('Activities'!$E$8:$E$816="Concrete")*'Activities'!$I$8:$I$816,'Weekly Gantt'!BI8:BI816)/6</x:f>
        <x:v>8</x:v>
      </x:c>
      <x:c r="G64" s="24" t="n">
        <x:f>SUMPRODUCT(('Activities'!$E$8:$E$816="Masonry")*'Activities'!$I$8:$I$816,'Weekly Gantt'!BI8:BI816)/6</x:f>
        <x:v>16.666666666666668</x:v>
      </x:c>
      <x:c r="H64" s="24" t="n">
        <x:f>SUMPRODUCT(('Activities'!$E$8:$E$816="Finishes")*'Activities'!$I$8:$I$816,'Weekly Gantt'!BI8:BI816)/6</x:f>
        <x:v>28</x:v>
      </x:c>
      <x:c r="I64" s="24" t="n">
        <x:f>SUMPRODUCT(('Activities'!$E$8:$E$816="Envelope")*'Activities'!$I$8:$I$816,'Weekly Gantt'!BI8:BI816)/6</x:f>
        <x:v>26.666666666666668</x:v>
      </x:c>
      <x:c r="J64" s="24" t="n">
        <x:f>SUMPRODUCT(('Activities'!$E$8:$E$816="External")*'Activities'!$I$8:$I$816,'Weekly Gantt'!BI8:BI816)/6</x:f>
        <x:v>0</x:v>
      </x:c>
      <x:c r="K64" s="24" t="n">
        <x:f>SUMPRODUCT(('Activities'!$E$8:$E$816="Site")*'Activities'!$I$8:$I$816,'Weekly Gantt'!BI8:BI816)/6</x:f>
        <x:v>0</x:v>
      </x:c>
      <x:c r="L64" s="24" t="n">
        <x:f>SUM(C64:K64)</x:f>
        <x:v>138.66666666666666</x:v>
      </x:c>
      <x:c r="M64" s="6" t="n">
        <x:f>IF(C64&gt;'Controls'!$B$12,1,0)+IF(D64&gt;'Controls'!$B$13,1,0)+IF(E64&gt;'Controls'!$B$14,1,0)+IF(F64&gt;'Controls'!$B$15,1,0)+IF(G64&gt;'Controls'!$B$16,1,0)+IF(H64&gt;'Controls'!$B$17,1,0)+IF(I64&gt;'Controls'!$B$18,1,0)+IF(J64&gt;'Controls'!$B$19,1,0)+IF(K64&gt;'Controls'!$B$20,1,0)</x:f>
        <x:v>0</x:v>
      </x:c>
    </x:row>
    <x:row r="65" ht="23" customHeight="1">
      <x:c r="A65" s="1" t="n">
        <x:v>58</x:v>
      </x:c>
      <x:c r="B65" s="19" t="n">
        <x:f>INDEX('Calendar'!$C$8:$C$907,343)</x:f>
        <x:v>46727</x:v>
      </x:c>
      <x:c r="C65" s="25" t="n">
        <x:f>SUMPRODUCT(('Activities'!$E$8:$E$816="Earthworks")*'Activities'!$I$8:$I$816,'Weekly Gantt'!BJ8:BJ816)/6</x:f>
        <x:v>0</x:v>
      </x:c>
      <x:c r="D65" s="25" t="n">
        <x:f>SUMPRODUCT(('Activities'!$E$8:$E$816="Formwork")*'Activities'!$I$8:$I$816,'Weekly Gantt'!BJ8:BJ816)/6</x:f>
        <x:v>36</x:v>
      </x:c>
      <x:c r="E65" s="25" t="n">
        <x:f>SUMPRODUCT(('Activities'!$E$8:$E$816="Rebar")*'Activities'!$I$8:$I$816,'Weekly Gantt'!BJ8:BJ816)/6</x:f>
        <x:v>23.333333333333332</x:v>
      </x:c>
      <x:c r="F65" s="25" t="n">
        <x:f>SUMPRODUCT(('Activities'!$E$8:$E$816="Concrete")*'Activities'!$I$8:$I$816,'Weekly Gantt'!BJ8:BJ816)/6</x:f>
        <x:v>8</x:v>
      </x:c>
      <x:c r="G65" s="25" t="n">
        <x:f>SUMPRODUCT(('Activities'!$E$8:$E$816="Masonry")*'Activities'!$I$8:$I$816,'Weekly Gantt'!BJ8:BJ816)/6</x:f>
        <x:v>16.666666666666668</x:v>
      </x:c>
      <x:c r="H65" s="25" t="n">
        <x:f>SUMPRODUCT(('Activities'!$E$8:$E$816="Finishes")*'Activities'!$I$8:$I$816,'Weekly Gantt'!BJ8:BJ816)/6</x:f>
        <x:v>28</x:v>
      </x:c>
      <x:c r="I65" s="25" t="n">
        <x:f>SUMPRODUCT(('Activities'!$E$8:$E$816="Envelope")*'Activities'!$I$8:$I$816,'Weekly Gantt'!BJ8:BJ816)/6</x:f>
        <x:v>32</x:v>
      </x:c>
      <x:c r="J65" s="25" t="n">
        <x:f>SUMPRODUCT(('Activities'!$E$8:$E$816="External")*'Activities'!$I$8:$I$816,'Weekly Gantt'!BJ8:BJ816)/6</x:f>
        <x:v>0</x:v>
      </x:c>
      <x:c r="K65" s="25" t="n">
        <x:f>SUMPRODUCT(('Activities'!$E$8:$E$816="Site")*'Activities'!$I$8:$I$816,'Weekly Gantt'!BJ8:BJ816)/6</x:f>
        <x:v>0</x:v>
      </x:c>
      <x:c r="L65" s="25" t="n">
        <x:f>SUM(C65:K65)</x:f>
        <x:v>144</x:v>
      </x:c>
      <x:c r="M65" s="1" t="n">
        <x:f>IF(C65&gt;'Controls'!$B$12,1,0)+IF(D65&gt;'Controls'!$B$13,1,0)+IF(E65&gt;'Controls'!$B$14,1,0)+IF(F65&gt;'Controls'!$B$15,1,0)+IF(G65&gt;'Controls'!$B$16,1,0)+IF(H65&gt;'Controls'!$B$17,1,0)+IF(I65&gt;'Controls'!$B$18,1,0)+IF(J65&gt;'Controls'!$B$19,1,0)+IF(K65&gt;'Controls'!$B$20,1,0)</x:f>
        <x:v>0</x:v>
      </x:c>
    </x:row>
    <x:row r="66" ht="23" customHeight="1">
      <x:c r="A66" s="6" t="n">
        <x:v>59</x:v>
      </x:c>
      <x:c r="B66" s="18" t="n">
        <x:f>INDEX('Calendar'!$C$8:$C$907,349)</x:f>
        <x:v>46734</x:v>
      </x:c>
      <x:c r="C66" s="24" t="n">
        <x:f>SUMPRODUCT(('Activities'!$E$8:$E$816="Earthworks")*'Activities'!$I$8:$I$816,'Weekly Gantt'!BK8:BK816)/6</x:f>
        <x:v>0</x:v>
      </x:c>
      <x:c r="D66" s="24" t="n">
        <x:f>SUMPRODUCT(('Activities'!$E$8:$E$816="Formwork")*'Activities'!$I$8:$I$816,'Weekly Gantt'!BK8:BK816)/6</x:f>
        <x:v>36</x:v>
      </x:c>
      <x:c r="E66" s="24" t="n">
        <x:f>SUMPRODUCT(('Activities'!$E$8:$E$816="Rebar")*'Activities'!$I$8:$I$816,'Weekly Gantt'!BK8:BK816)/6</x:f>
        <x:v>23.333333333333332</x:v>
      </x:c>
      <x:c r="F66" s="24" t="n">
        <x:f>SUMPRODUCT(('Activities'!$E$8:$E$816="Concrete")*'Activities'!$I$8:$I$816,'Weekly Gantt'!BK8:BK816)/6</x:f>
        <x:v>8</x:v>
      </x:c>
      <x:c r="G66" s="24" t="n">
        <x:f>SUMPRODUCT(('Activities'!$E$8:$E$816="Masonry")*'Activities'!$I$8:$I$816,'Weekly Gantt'!BK8:BK816)/6</x:f>
        <x:v>16.666666666666668</x:v>
      </x:c>
      <x:c r="H66" s="24" t="n">
        <x:f>SUMPRODUCT(('Activities'!$E$8:$E$816="Finishes")*'Activities'!$I$8:$I$816,'Weekly Gantt'!BK8:BK816)/6</x:f>
        <x:v>28</x:v>
      </x:c>
      <x:c r="I66" s="24" t="n">
        <x:f>SUMPRODUCT(('Activities'!$E$8:$E$816="Envelope")*'Activities'!$I$8:$I$816,'Weekly Gantt'!BK8:BK816)/6</x:f>
        <x:v>26.666666666666668</x:v>
      </x:c>
      <x:c r="J66" s="24" t="n">
        <x:f>SUMPRODUCT(('Activities'!$E$8:$E$816="External")*'Activities'!$I$8:$I$816,'Weekly Gantt'!BK8:BK816)/6</x:f>
        <x:v>0</x:v>
      </x:c>
      <x:c r="K66" s="24" t="n">
        <x:f>SUMPRODUCT(('Activities'!$E$8:$E$816="Site")*'Activities'!$I$8:$I$816,'Weekly Gantt'!BK8:BK816)/6</x:f>
        <x:v>0</x:v>
      </x:c>
      <x:c r="L66" s="24" t="n">
        <x:f>SUM(C66:K66)</x:f>
        <x:v>138.66666666666666</x:v>
      </x:c>
      <x:c r="M66" s="6" t="n">
        <x:f>IF(C66&gt;'Controls'!$B$12,1,0)+IF(D66&gt;'Controls'!$B$13,1,0)+IF(E66&gt;'Controls'!$B$14,1,0)+IF(F66&gt;'Controls'!$B$15,1,0)+IF(G66&gt;'Controls'!$B$16,1,0)+IF(H66&gt;'Controls'!$B$17,1,0)+IF(I66&gt;'Controls'!$B$18,1,0)+IF(J66&gt;'Controls'!$B$19,1,0)+IF(K66&gt;'Controls'!$B$20,1,0)</x:f>
        <x:v>0</x:v>
      </x:c>
    </x:row>
    <x:row r="67" ht="23" customHeight="1">
      <x:c r="A67" s="1" t="n">
        <x:v>60</x:v>
      </x:c>
      <x:c r="B67" s="19" t="n">
        <x:f>INDEX('Calendar'!$C$8:$C$907,355)</x:f>
        <x:v>46741</x:v>
      </x:c>
      <x:c r="C67" s="25" t="n">
        <x:f>SUMPRODUCT(('Activities'!$E$8:$E$816="Earthworks")*'Activities'!$I$8:$I$816,'Weekly Gantt'!BL8:BL816)/6</x:f>
        <x:v>0</x:v>
      </x:c>
      <x:c r="D67" s="25" t="n">
        <x:f>SUMPRODUCT(('Activities'!$E$8:$E$816="Formwork")*'Activities'!$I$8:$I$816,'Weekly Gantt'!BL8:BL816)/6</x:f>
        <x:v>36</x:v>
      </x:c>
      <x:c r="E67" s="25" t="n">
        <x:f>SUMPRODUCT(('Activities'!$E$8:$E$816="Rebar")*'Activities'!$I$8:$I$816,'Weekly Gantt'!BL8:BL816)/6</x:f>
        <x:v>23.333333333333332</x:v>
      </x:c>
      <x:c r="F67" s="25" t="n">
        <x:f>SUMPRODUCT(('Activities'!$E$8:$E$816="Concrete")*'Activities'!$I$8:$I$816,'Weekly Gantt'!BL8:BL816)/6</x:f>
        <x:v>8</x:v>
      </x:c>
      <x:c r="G67" s="25" t="n">
        <x:f>SUMPRODUCT(('Activities'!$E$8:$E$816="Masonry")*'Activities'!$I$8:$I$816,'Weekly Gantt'!BL8:BL816)/6</x:f>
        <x:v>16.666666666666668</x:v>
      </x:c>
      <x:c r="H67" s="25" t="n">
        <x:f>SUMPRODUCT(('Activities'!$E$8:$E$816="Finishes")*'Activities'!$I$8:$I$816,'Weekly Gantt'!BL8:BL816)/6</x:f>
        <x:v>28</x:v>
      </x:c>
      <x:c r="I67" s="25" t="n">
        <x:f>SUMPRODUCT(('Activities'!$E$8:$E$816="Envelope")*'Activities'!$I$8:$I$816,'Weekly Gantt'!BL8:BL816)/6</x:f>
        <x:v>32</x:v>
      </x:c>
      <x:c r="J67" s="25" t="n">
        <x:f>SUMPRODUCT(('Activities'!$E$8:$E$816="External")*'Activities'!$I$8:$I$816,'Weekly Gantt'!BL8:BL816)/6</x:f>
        <x:v>0</x:v>
      </x:c>
      <x:c r="K67" s="25" t="n">
        <x:f>SUMPRODUCT(('Activities'!$E$8:$E$816="Site")*'Activities'!$I$8:$I$816,'Weekly Gantt'!BL8:BL816)/6</x:f>
        <x:v>0</x:v>
      </x:c>
      <x:c r="L67" s="25" t="n">
        <x:f>SUM(C67:K67)</x:f>
        <x:v>144</x:v>
      </x:c>
      <x:c r="M67" s="1" t="n">
        <x:f>IF(C67&gt;'Controls'!$B$12,1,0)+IF(D67&gt;'Controls'!$B$13,1,0)+IF(E67&gt;'Controls'!$B$14,1,0)+IF(F67&gt;'Controls'!$B$15,1,0)+IF(G67&gt;'Controls'!$B$16,1,0)+IF(H67&gt;'Controls'!$B$17,1,0)+IF(I67&gt;'Controls'!$B$18,1,0)+IF(J67&gt;'Controls'!$B$19,1,0)+IF(K67&gt;'Controls'!$B$20,1,0)</x:f>
        <x:v>0</x:v>
      </x:c>
    </x:row>
    <x:row r="68" ht="23" customHeight="1">
      <x:c r="A68" s="6" t="n">
        <x:v>61</x:v>
      </x:c>
      <x:c r="B68" s="18" t="n">
        <x:f>INDEX('Calendar'!$C$8:$C$907,361)</x:f>
        <x:v>46748</x:v>
      </x:c>
      <x:c r="C68" s="24" t="n">
        <x:f>SUMPRODUCT(('Activities'!$E$8:$E$816="Earthworks")*'Activities'!$I$8:$I$816,'Weekly Gantt'!BM8:BM816)/6</x:f>
        <x:v>0</x:v>
      </x:c>
      <x:c r="D68" s="24" t="n">
        <x:f>SUMPRODUCT(('Activities'!$E$8:$E$816="Formwork")*'Activities'!$I$8:$I$816,'Weekly Gantt'!BM8:BM816)/6</x:f>
        <x:v>36</x:v>
      </x:c>
      <x:c r="E68" s="24" t="n">
        <x:f>SUMPRODUCT(('Activities'!$E$8:$E$816="Rebar")*'Activities'!$I$8:$I$816,'Weekly Gantt'!BM8:BM816)/6</x:f>
        <x:v>23.333333333333332</x:v>
      </x:c>
      <x:c r="F68" s="24" t="n">
        <x:f>SUMPRODUCT(('Activities'!$E$8:$E$816="Concrete")*'Activities'!$I$8:$I$816,'Weekly Gantt'!BM8:BM816)/6</x:f>
        <x:v>8</x:v>
      </x:c>
      <x:c r="G68" s="24" t="n">
        <x:f>SUMPRODUCT(('Activities'!$E$8:$E$816="Masonry")*'Activities'!$I$8:$I$816,'Weekly Gantt'!BM8:BM816)/6</x:f>
        <x:v>16.666666666666668</x:v>
      </x:c>
      <x:c r="H68" s="24" t="n">
        <x:f>SUMPRODUCT(('Activities'!$E$8:$E$816="Finishes")*'Activities'!$I$8:$I$816,'Weekly Gantt'!BM8:BM816)/6</x:f>
        <x:v>28</x:v>
      </x:c>
      <x:c r="I68" s="24" t="n">
        <x:f>SUMPRODUCT(('Activities'!$E$8:$E$816="Envelope")*'Activities'!$I$8:$I$816,'Weekly Gantt'!BM8:BM816)/6</x:f>
        <x:v>26.666666666666668</x:v>
      </x:c>
      <x:c r="J68" s="24" t="n">
        <x:f>SUMPRODUCT(('Activities'!$E$8:$E$816="External")*'Activities'!$I$8:$I$816,'Weekly Gantt'!BM8:BM816)/6</x:f>
        <x:v>0</x:v>
      </x:c>
      <x:c r="K68" s="24" t="n">
        <x:f>SUMPRODUCT(('Activities'!$E$8:$E$816="Site")*'Activities'!$I$8:$I$816,'Weekly Gantt'!BM8:BM816)/6</x:f>
        <x:v>0</x:v>
      </x:c>
      <x:c r="L68" s="24" t="n">
        <x:f>SUM(C68:K68)</x:f>
        <x:v>138.66666666666666</x:v>
      </x:c>
      <x:c r="M68" s="6" t="n">
        <x:f>IF(C68&gt;'Controls'!$B$12,1,0)+IF(D68&gt;'Controls'!$B$13,1,0)+IF(E68&gt;'Controls'!$B$14,1,0)+IF(F68&gt;'Controls'!$B$15,1,0)+IF(G68&gt;'Controls'!$B$16,1,0)+IF(H68&gt;'Controls'!$B$17,1,0)+IF(I68&gt;'Controls'!$B$18,1,0)+IF(J68&gt;'Controls'!$B$19,1,0)+IF(K68&gt;'Controls'!$B$20,1,0)</x:f>
        <x:v>0</x:v>
      </x:c>
    </x:row>
    <x:row r="69" ht="23" customHeight="1">
      <x:c r="A69" s="1" t="n">
        <x:v>62</x:v>
      </x:c>
      <x:c r="B69" s="19" t="n">
        <x:f>INDEX('Calendar'!$C$8:$C$907,367)</x:f>
        <x:v>46755</x:v>
      </x:c>
      <x:c r="C69" s="25" t="n">
        <x:f>SUMPRODUCT(('Activities'!$E$8:$E$816="Earthworks")*'Activities'!$I$8:$I$816,'Weekly Gantt'!BN8:BN816)/6</x:f>
        <x:v>0</x:v>
      </x:c>
      <x:c r="D69" s="25" t="n">
        <x:f>SUMPRODUCT(('Activities'!$E$8:$E$816="Formwork")*'Activities'!$I$8:$I$816,'Weekly Gantt'!BN8:BN816)/6</x:f>
        <x:v>24</x:v>
      </x:c>
      <x:c r="E69" s="25" t="n">
        <x:f>SUMPRODUCT(('Activities'!$E$8:$E$816="Rebar")*'Activities'!$I$8:$I$816,'Weekly Gantt'!BN8:BN816)/6</x:f>
        <x:v>23.333333333333332</x:v>
      </x:c>
      <x:c r="F69" s="25" t="n">
        <x:f>SUMPRODUCT(('Activities'!$E$8:$E$816="Concrete")*'Activities'!$I$8:$I$816,'Weekly Gantt'!BN8:BN816)/6</x:f>
        <x:v>8</x:v>
      </x:c>
      <x:c r="G69" s="25" t="n">
        <x:f>SUMPRODUCT(('Activities'!$E$8:$E$816="Masonry")*'Activities'!$I$8:$I$816,'Weekly Gantt'!BN8:BN816)/6</x:f>
        <x:v>16.666666666666668</x:v>
      </x:c>
      <x:c r="H69" s="25" t="n">
        <x:f>SUMPRODUCT(('Activities'!$E$8:$E$816="Finishes")*'Activities'!$I$8:$I$816,'Weekly Gantt'!BN8:BN816)/6</x:f>
        <x:v>28</x:v>
      </x:c>
      <x:c r="I69" s="25" t="n">
        <x:f>SUMPRODUCT(('Activities'!$E$8:$E$816="Envelope")*'Activities'!$I$8:$I$816,'Weekly Gantt'!BN8:BN816)/6</x:f>
        <x:v>32</x:v>
      </x:c>
      <x:c r="J69" s="25" t="n">
        <x:f>SUMPRODUCT(('Activities'!$E$8:$E$816="External")*'Activities'!$I$8:$I$816,'Weekly Gantt'!BN8:BN816)/6</x:f>
        <x:v>0</x:v>
      </x:c>
      <x:c r="K69" s="25" t="n">
        <x:f>SUMPRODUCT(('Activities'!$E$8:$E$816="Site")*'Activities'!$I$8:$I$816,'Weekly Gantt'!BN8:BN816)/6</x:f>
        <x:v>0</x:v>
      </x:c>
      <x:c r="L69" s="25" t="n">
        <x:f>SUM(C69:K69)</x:f>
        <x:v>132</x:v>
      </x:c>
      <x:c r="M69" s="1" t="n">
        <x:f>IF(C69&gt;'Controls'!$B$12,1,0)+IF(D69&gt;'Controls'!$B$13,1,0)+IF(E69&gt;'Controls'!$B$14,1,0)+IF(F69&gt;'Controls'!$B$15,1,0)+IF(G69&gt;'Controls'!$B$16,1,0)+IF(H69&gt;'Controls'!$B$17,1,0)+IF(I69&gt;'Controls'!$B$18,1,0)+IF(J69&gt;'Controls'!$B$19,1,0)+IF(K69&gt;'Controls'!$B$20,1,0)</x:f>
        <x:v>0</x:v>
      </x:c>
    </x:row>
    <x:row r="70" ht="23" customHeight="1">
      <x:c r="A70" s="6" t="n">
        <x:v>63</x:v>
      </x:c>
      <x:c r="B70" s="18" t="n">
        <x:f>INDEX('Calendar'!$C$8:$C$907,373)</x:f>
        <x:v>46762</x:v>
      </x:c>
      <x:c r="C70" s="24" t="n">
        <x:f>SUMPRODUCT(('Activities'!$E$8:$E$816="Earthworks")*'Activities'!$I$8:$I$816,'Weekly Gantt'!BO8:BO816)/6</x:f>
        <x:v>0</x:v>
      </x:c>
      <x:c r="D70" s="24" t="n">
        <x:f>SUMPRODUCT(('Activities'!$E$8:$E$816="Formwork")*'Activities'!$I$8:$I$816,'Weekly Gantt'!BO8:BO816)/6</x:f>
        <x:v>30</x:v>
      </x:c>
      <x:c r="E70" s="24" t="n">
        <x:f>SUMPRODUCT(('Activities'!$E$8:$E$816="Rebar")*'Activities'!$I$8:$I$816,'Weekly Gantt'!BO8:BO816)/6</x:f>
        <x:v>14</x:v>
      </x:c>
      <x:c r="F70" s="24" t="n">
        <x:f>SUMPRODUCT(('Activities'!$E$8:$E$816="Concrete")*'Activities'!$I$8:$I$816,'Weekly Gantt'!BO8:BO816)/6</x:f>
        <x:v>8</x:v>
      </x:c>
      <x:c r="G70" s="24" t="n">
        <x:f>SUMPRODUCT(('Activities'!$E$8:$E$816="Masonry")*'Activities'!$I$8:$I$816,'Weekly Gantt'!BO8:BO816)/6</x:f>
        <x:v>41.666666666666664</x:v>
      </x:c>
      <x:c r="H70" s="24" t="n">
        <x:f>SUMPRODUCT(('Activities'!$E$8:$E$816="Finishes")*'Activities'!$I$8:$I$816,'Weekly Gantt'!BO8:BO816)/6</x:f>
        <x:v>28</x:v>
      </x:c>
      <x:c r="I70" s="24" t="n">
        <x:f>SUMPRODUCT(('Activities'!$E$8:$E$816="Envelope")*'Activities'!$I$8:$I$816,'Weekly Gantt'!BO8:BO816)/6</x:f>
        <x:v>35</x:v>
      </x:c>
      <x:c r="J70" s="24" t="n">
        <x:f>SUMPRODUCT(('Activities'!$E$8:$E$816="External")*'Activities'!$I$8:$I$816,'Weekly Gantt'!BO8:BO816)/6</x:f>
        <x:v>0</x:v>
      </x:c>
      <x:c r="K70" s="24" t="n">
        <x:f>SUMPRODUCT(('Activities'!$E$8:$E$816="Site")*'Activities'!$I$8:$I$816,'Weekly Gantt'!BO8:BO816)/6</x:f>
        <x:v>0</x:v>
      </x:c>
      <x:c r="L70" s="24" t="n">
        <x:f>SUM(C70:K70)</x:f>
        <x:v>156.66666666666666</x:v>
      </x:c>
      <x:c r="M70" s="6" t="n">
        <x:f>IF(C70&gt;'Controls'!$B$12,1,0)+IF(D70&gt;'Controls'!$B$13,1,0)+IF(E70&gt;'Controls'!$B$14,1,0)+IF(F70&gt;'Controls'!$B$15,1,0)+IF(G70&gt;'Controls'!$B$16,1,0)+IF(H70&gt;'Controls'!$B$17,1,0)+IF(I70&gt;'Controls'!$B$18,1,0)+IF(J70&gt;'Controls'!$B$19,1,0)+IF(K70&gt;'Controls'!$B$20,1,0)</x:f>
        <x:v>0</x:v>
      </x:c>
    </x:row>
    <x:row r="71" ht="23" customHeight="1">
      <x:c r="A71" s="1" t="n">
        <x:v>64</x:v>
      </x:c>
      <x:c r="B71" s="19" t="n">
        <x:f>INDEX('Calendar'!$C$8:$C$907,379)</x:f>
        <x:v>46769</x:v>
      </x:c>
      <x:c r="C71" s="25" t="n">
        <x:f>SUMPRODUCT(('Activities'!$E$8:$E$816="Earthworks")*'Activities'!$I$8:$I$816,'Weekly Gantt'!BP8:BP816)/6</x:f>
        <x:v>0</x:v>
      </x:c>
      <x:c r="D71" s="25" t="n">
        <x:f>SUMPRODUCT(('Activities'!$E$8:$E$816="Formwork")*'Activities'!$I$8:$I$816,'Weekly Gantt'!BP8:BP816)/6</x:f>
        <x:v>24</x:v>
      </x:c>
      <x:c r="E71" s="25" t="n">
        <x:f>SUMPRODUCT(('Activities'!$E$8:$E$816="Rebar")*'Activities'!$I$8:$I$816,'Weekly Gantt'!BP8:BP816)/6</x:f>
        <x:v>21</x:v>
      </x:c>
      <x:c r="F71" s="25" t="n">
        <x:f>SUMPRODUCT(('Activities'!$E$8:$E$816="Concrete")*'Activities'!$I$8:$I$816,'Weekly Gantt'!BP8:BP816)/6</x:f>
        <x:v>4</x:v>
      </x:c>
      <x:c r="G71" s="25" t="n">
        <x:f>SUMPRODUCT(('Activities'!$E$8:$E$816="Masonry")*'Activities'!$I$8:$I$816,'Weekly Gantt'!BP8:BP816)/6</x:f>
        <x:v>16.666666666666668</x:v>
      </x:c>
      <x:c r="H71" s="25" t="n">
        <x:f>SUMPRODUCT(('Activities'!$E$8:$E$816="Finishes")*'Activities'!$I$8:$I$816,'Weekly Gantt'!BP8:BP816)/6</x:f>
        <x:v>43</x:v>
      </x:c>
      <x:c r="I71" s="25" t="n">
        <x:f>SUMPRODUCT(('Activities'!$E$8:$E$816="Envelope")*'Activities'!$I$8:$I$816,'Weekly Gantt'!BP8:BP816)/6</x:f>
        <x:v>26</x:v>
      </x:c>
      <x:c r="J71" s="25" t="n">
        <x:f>SUMPRODUCT(('Activities'!$E$8:$E$816="External")*'Activities'!$I$8:$I$816,'Weekly Gantt'!BP8:BP816)/6</x:f>
        <x:v>0</x:v>
      </x:c>
      <x:c r="K71" s="25" t="n">
        <x:f>SUMPRODUCT(('Activities'!$E$8:$E$816="Site")*'Activities'!$I$8:$I$816,'Weekly Gantt'!BP8:BP816)/6</x:f>
        <x:v>0</x:v>
      </x:c>
      <x:c r="L71" s="25" t="n">
        <x:f>SUM(C71:K71)</x:f>
        <x:v>134.66666666666669</x:v>
      </x:c>
      <x:c r="M71" s="1" t="n">
        <x:f>IF(C71&gt;'Controls'!$B$12,1,0)+IF(D71&gt;'Controls'!$B$13,1,0)+IF(E71&gt;'Controls'!$B$14,1,0)+IF(F71&gt;'Controls'!$B$15,1,0)+IF(G71&gt;'Controls'!$B$16,1,0)+IF(H71&gt;'Controls'!$B$17,1,0)+IF(I71&gt;'Controls'!$B$18,1,0)+IF(J71&gt;'Controls'!$B$19,1,0)+IF(K71&gt;'Controls'!$B$20,1,0)</x:f>
        <x:v>0</x:v>
      </x:c>
    </x:row>
    <x:row r="72" ht="23" customHeight="1">
      <x:c r="A72" s="6" t="n">
        <x:v>65</x:v>
      </x:c>
      <x:c r="B72" s="18" t="n">
        <x:f>INDEX('Calendar'!$C$8:$C$907,385)</x:f>
        <x:v>46776</x:v>
      </x:c>
      <x:c r="C72" s="24" t="n">
        <x:f>SUMPRODUCT(('Activities'!$E$8:$E$816="Earthworks")*'Activities'!$I$8:$I$816,'Weekly Gantt'!BQ8:BQ816)/6</x:f>
        <x:v>0</x:v>
      </x:c>
      <x:c r="D72" s="24" t="n">
        <x:f>SUMPRODUCT(('Activities'!$E$8:$E$816="Formwork")*'Activities'!$I$8:$I$816,'Weekly Gantt'!BQ8:BQ816)/6</x:f>
        <x:v>18</x:v>
      </x:c>
      <x:c r="E72" s="24" t="n">
        <x:f>SUMPRODUCT(('Activities'!$E$8:$E$816="Rebar")*'Activities'!$I$8:$I$816,'Weekly Gantt'!BQ8:BQ816)/6</x:f>
        <x:v>14</x:v>
      </x:c>
      <x:c r="F72" s="24" t="n">
        <x:f>SUMPRODUCT(('Activities'!$E$8:$E$816="Concrete")*'Activities'!$I$8:$I$816,'Weekly Gantt'!BQ8:BQ816)/6</x:f>
        <x:v>8</x:v>
      </x:c>
      <x:c r="G72" s="24" t="n">
        <x:f>SUMPRODUCT(('Activities'!$E$8:$E$816="Masonry")*'Activities'!$I$8:$I$816,'Weekly Gantt'!BQ8:BQ816)/6</x:f>
        <x:v>41.666666666666664</x:v>
      </x:c>
      <x:c r="H72" s="24" t="n">
        <x:f>SUMPRODUCT(('Activities'!$E$8:$E$816="Finishes")*'Activities'!$I$8:$I$816,'Weekly Gantt'!BQ8:BQ816)/6</x:f>
        <x:v>47</x:v>
      </x:c>
      <x:c r="I72" s="24" t="n">
        <x:f>SUMPRODUCT(('Activities'!$E$8:$E$816="Envelope")*'Activities'!$I$8:$I$816,'Weekly Gantt'!BQ8:BQ816)/6</x:f>
        <x:v>30</x:v>
      </x:c>
      <x:c r="J72" s="24" t="n">
        <x:f>SUMPRODUCT(('Activities'!$E$8:$E$816="External")*'Activities'!$I$8:$I$816,'Weekly Gantt'!BQ8:BQ816)/6</x:f>
        <x:v>0</x:v>
      </x:c>
      <x:c r="K72" s="24" t="n">
        <x:f>SUMPRODUCT(('Activities'!$E$8:$E$816="Site")*'Activities'!$I$8:$I$816,'Weekly Gantt'!BQ8:BQ816)/6</x:f>
        <x:v>0</x:v>
      </x:c>
      <x:c r="L72" s="24" t="n">
        <x:f>SUM(C72:K72)</x:f>
        <x:v>158.66666666666666</x:v>
      </x:c>
      <x:c r="M72" s="6" t="n">
        <x:f>IF(C72&gt;'Controls'!$B$12,1,0)+IF(D72&gt;'Controls'!$B$13,1,0)+IF(E72&gt;'Controls'!$B$14,1,0)+IF(F72&gt;'Controls'!$B$15,1,0)+IF(G72&gt;'Controls'!$B$16,1,0)+IF(H72&gt;'Controls'!$B$17,1,0)+IF(I72&gt;'Controls'!$B$18,1,0)+IF(J72&gt;'Controls'!$B$19,1,0)+IF(K72&gt;'Controls'!$B$20,1,0)</x:f>
        <x:v>0</x:v>
      </x:c>
    </x:row>
    <x:row r="73" ht="23" customHeight="1">
      <x:c r="A73" s="1" t="n">
        <x:v>66</x:v>
      </x:c>
      <x:c r="B73" s="19" t="n">
        <x:f>INDEX('Calendar'!$C$8:$C$907,391)</x:f>
        <x:v>46783</x:v>
      </x:c>
      <x:c r="C73" s="25" t="n">
        <x:f>SUMPRODUCT(('Activities'!$E$8:$E$816="Earthworks")*'Activities'!$I$8:$I$816,'Weekly Gantt'!BR8:BR816)/6</x:f>
        <x:v>0</x:v>
      </x:c>
      <x:c r="D73" s="25" t="n">
        <x:f>SUMPRODUCT(('Activities'!$E$8:$E$816="Formwork")*'Activities'!$I$8:$I$816,'Weekly Gantt'!BR8:BR816)/6</x:f>
        <x:v>18</x:v>
      </x:c>
      <x:c r="E73" s="25" t="n">
        <x:f>SUMPRODUCT(('Activities'!$E$8:$E$816="Rebar")*'Activities'!$I$8:$I$816,'Weekly Gantt'!BR8:BR816)/6</x:f>
        <x:v>11.666666666666666</x:v>
      </x:c>
      <x:c r="F73" s="25" t="n">
        <x:f>SUMPRODUCT(('Activities'!$E$8:$E$816="Concrete")*'Activities'!$I$8:$I$816,'Weekly Gantt'!BR8:BR816)/6</x:f>
        <x:v>4</x:v>
      </x:c>
      <x:c r="G73" s="25" t="n">
        <x:f>SUMPRODUCT(('Activities'!$E$8:$E$816="Masonry")*'Activities'!$I$8:$I$816,'Weekly Gantt'!BR8:BR816)/6</x:f>
        <x:v>8.333333333333334</x:v>
      </x:c>
      <x:c r="H73" s="25" t="n">
        <x:f>SUMPRODUCT(('Activities'!$E$8:$E$816="Finishes")*'Activities'!$I$8:$I$816,'Weekly Gantt'!BR8:BR816)/6</x:f>
        <x:v>51</x:v>
      </x:c>
      <x:c r="I73" s="25" t="n">
        <x:f>SUMPRODUCT(('Activities'!$E$8:$E$816="Envelope")*'Activities'!$I$8:$I$816,'Weekly Gantt'!BR8:BR816)/6</x:f>
        <x:v>22</x:v>
      </x:c>
      <x:c r="J73" s="25" t="n">
        <x:f>SUMPRODUCT(('Activities'!$E$8:$E$816="External")*'Activities'!$I$8:$I$816,'Weekly Gantt'!BR8:BR816)/6</x:f>
        <x:v>0</x:v>
      </x:c>
      <x:c r="K73" s="25" t="n">
        <x:f>SUMPRODUCT(('Activities'!$E$8:$E$816="Site")*'Activities'!$I$8:$I$816,'Weekly Gantt'!BR8:BR816)/6</x:f>
        <x:v>0</x:v>
      </x:c>
      <x:c r="L73" s="25" t="n">
        <x:f>SUM(C73:K73)</x:f>
        <x:v>115</x:v>
      </x:c>
      <x:c r="M73" s="1" t="n">
        <x:f>IF(C73&gt;'Controls'!$B$12,1,0)+IF(D73&gt;'Controls'!$B$13,1,0)+IF(E73&gt;'Controls'!$B$14,1,0)+IF(F73&gt;'Controls'!$B$15,1,0)+IF(G73&gt;'Controls'!$B$16,1,0)+IF(H73&gt;'Controls'!$B$17,1,0)+IF(I73&gt;'Controls'!$B$18,1,0)+IF(J73&gt;'Controls'!$B$19,1,0)+IF(K73&gt;'Controls'!$B$20,1,0)</x:f>
        <x:v>0</x:v>
      </x:c>
    </x:row>
    <x:row r="74" ht="23" customHeight="1">
      <x:c r="A74" s="6" t="n">
        <x:v>67</x:v>
      </x:c>
      <x:c r="B74" s="18" t="n">
        <x:f>INDEX('Calendar'!$C$8:$C$907,397)</x:f>
        <x:v>46790</x:v>
      </x:c>
      <x:c r="C74" s="24" t="n">
        <x:f>SUMPRODUCT(('Activities'!$E$8:$E$816="Earthworks")*'Activities'!$I$8:$I$816,'Weekly Gantt'!BS8:BS816)/6</x:f>
        <x:v>0</x:v>
      </x:c>
      <x:c r="D74" s="24" t="n">
        <x:f>SUMPRODUCT(('Activities'!$E$8:$E$816="Formwork")*'Activities'!$I$8:$I$816,'Weekly Gantt'!BS8:BS816)/6</x:f>
        <x:v>18</x:v>
      </x:c>
      <x:c r="E74" s="24" t="n">
        <x:f>SUMPRODUCT(('Activities'!$E$8:$E$816="Rebar")*'Activities'!$I$8:$I$816,'Weekly Gantt'!BS8:BS816)/6</x:f>
        <x:v>11.666666666666666</x:v>
      </x:c>
      <x:c r="F74" s="24" t="n">
        <x:f>SUMPRODUCT(('Activities'!$E$8:$E$816="Concrete")*'Activities'!$I$8:$I$816,'Weekly Gantt'!BS8:BS816)/6</x:f>
        <x:v>4</x:v>
      </x:c>
      <x:c r="G74" s="24" t="n">
        <x:f>SUMPRODUCT(('Activities'!$E$8:$E$816="Masonry")*'Activities'!$I$8:$I$816,'Weekly Gantt'!BS8:BS816)/6</x:f>
        <x:v>41.666666666666664</x:v>
      </x:c>
      <x:c r="H74" s="24" t="n">
        <x:f>SUMPRODUCT(('Activities'!$E$8:$E$816="Finishes")*'Activities'!$I$8:$I$816,'Weekly Gantt'!BS8:BS816)/6</x:f>
        <x:v>54</x:v>
      </x:c>
      <x:c r="I74" s="24" t="n">
        <x:f>SUMPRODUCT(('Activities'!$E$8:$E$816="Envelope")*'Activities'!$I$8:$I$816,'Weekly Gantt'!BS8:BS816)/6</x:f>
        <x:v>29.333333333333332</x:v>
      </x:c>
      <x:c r="J74" s="24" t="n">
        <x:f>SUMPRODUCT(('Activities'!$E$8:$E$816="External")*'Activities'!$I$8:$I$816,'Weekly Gantt'!BS8:BS816)/6</x:f>
        <x:v>0</x:v>
      </x:c>
      <x:c r="K74" s="24" t="n">
        <x:f>SUMPRODUCT(('Activities'!$E$8:$E$816="Site")*'Activities'!$I$8:$I$816,'Weekly Gantt'!BS8:BS816)/6</x:f>
        <x:v>0</x:v>
      </x:c>
      <x:c r="L74" s="24" t="n">
        <x:f>SUM(C74:K74)</x:f>
        <x:v>158.66666666666666</x:v>
      </x:c>
      <x:c r="M74" s="6" t="n">
        <x:f>IF(C74&gt;'Controls'!$B$12,1,0)+IF(D74&gt;'Controls'!$B$13,1,0)+IF(E74&gt;'Controls'!$B$14,1,0)+IF(F74&gt;'Controls'!$B$15,1,0)+IF(G74&gt;'Controls'!$B$16,1,0)+IF(H74&gt;'Controls'!$B$17,1,0)+IF(I74&gt;'Controls'!$B$18,1,0)+IF(J74&gt;'Controls'!$B$19,1,0)+IF(K74&gt;'Controls'!$B$20,1,0)</x:f>
        <x:v>0</x:v>
      </x:c>
    </x:row>
    <x:row r="75" ht="23" customHeight="1">
      <x:c r="A75" s="1" t="n">
        <x:v>68</x:v>
      </x:c>
      <x:c r="B75" s="19" t="n">
        <x:f>INDEX('Calendar'!$C$8:$C$907,403)</x:f>
        <x:v>46797</x:v>
      </x:c>
      <x:c r="C75" s="25" t="n">
        <x:f>SUMPRODUCT(('Activities'!$E$8:$E$816="Earthworks")*'Activities'!$I$8:$I$816,'Weekly Gantt'!BT8:BT816)/6</x:f>
        <x:v>0</x:v>
      </x:c>
      <x:c r="D75" s="25" t="n">
        <x:f>SUMPRODUCT(('Activities'!$E$8:$E$816="Formwork")*'Activities'!$I$8:$I$816,'Weekly Gantt'!BT8:BT816)/6</x:f>
        <x:v>6</x:v>
      </x:c>
      <x:c r="E75" s="25" t="n">
        <x:f>SUMPRODUCT(('Activities'!$E$8:$E$816="Rebar")*'Activities'!$I$8:$I$816,'Weekly Gantt'!BT8:BT816)/6</x:f>
        <x:v>11.666666666666666</x:v>
      </x:c>
      <x:c r="F75" s="25" t="n">
        <x:f>SUMPRODUCT(('Activities'!$E$8:$E$816="Concrete")*'Activities'!$I$8:$I$816,'Weekly Gantt'!BT8:BT816)/6</x:f>
        <x:v>4</x:v>
      </x:c>
      <x:c r="G75" s="25" t="n">
        <x:f>SUMPRODUCT(('Activities'!$E$8:$E$816="Masonry")*'Activities'!$I$8:$I$816,'Weekly Gantt'!BT8:BT816)/6</x:f>
        <x:v>8.333333333333334</x:v>
      </x:c>
      <x:c r="H75" s="25" t="n">
        <x:f>SUMPRODUCT(('Activities'!$E$8:$E$816="Finishes")*'Activities'!$I$8:$I$816,'Weekly Gantt'!BT8:BT816)/6</x:f>
        <x:v>115.33333333333333</x:v>
      </x:c>
      <x:c r="I75" s="25" t="n">
        <x:f>SUMPRODUCT(('Activities'!$E$8:$E$816="Envelope")*'Activities'!$I$8:$I$816,'Weekly Gantt'!BT8:BT816)/6</x:f>
        <x:v>22</x:v>
      </x:c>
      <x:c r="J75" s="25" t="n">
        <x:f>SUMPRODUCT(('Activities'!$E$8:$E$816="External")*'Activities'!$I$8:$I$816,'Weekly Gantt'!BT8:BT816)/6</x:f>
        <x:v>0</x:v>
      </x:c>
      <x:c r="K75" s="25" t="n">
        <x:f>SUMPRODUCT(('Activities'!$E$8:$E$816="Site")*'Activities'!$I$8:$I$816,'Weekly Gantt'!BT8:BT816)/6</x:f>
        <x:v>0</x:v>
      </x:c>
      <x:c r="L75" s="25" t="n">
        <x:f>SUM(C75:K75)</x:f>
        <x:v>167.33333333333331</x:v>
      </x:c>
      <x:c r="M75" s="1" t="n">
        <x:f>IF(C75&gt;'Controls'!$B$12,1,0)+IF(D75&gt;'Controls'!$B$13,1,0)+IF(E75&gt;'Controls'!$B$14,1,0)+IF(F75&gt;'Controls'!$B$15,1,0)+IF(G75&gt;'Controls'!$B$16,1,0)+IF(H75&gt;'Controls'!$B$17,1,0)+IF(I75&gt;'Controls'!$B$18,1,0)+IF(J75&gt;'Controls'!$B$19,1,0)+IF(K75&gt;'Controls'!$B$20,1,0)</x:f>
        <x:v>0</x:v>
      </x:c>
    </x:row>
    <x:row r="76" ht="23" customHeight="1">
      <x:c r="A76" s="6" t="n">
        <x:v>69</x:v>
      </x:c>
      <x:c r="B76" s="18" t="n">
        <x:f>INDEX('Calendar'!$C$8:$C$907,409)</x:f>
        <x:v>46804</x:v>
      </x:c>
      <x:c r="C76" s="24" t="n">
        <x:f>SUMPRODUCT(('Activities'!$E$8:$E$816="Earthworks")*'Activities'!$I$8:$I$816,'Weekly Gantt'!BU8:BU816)/6</x:f>
        <x:v>0</x:v>
      </x:c>
      <x:c r="D76" s="24" t="n">
        <x:f>SUMPRODUCT(('Activities'!$E$8:$E$816="Formwork")*'Activities'!$I$8:$I$816,'Weekly Gantt'!BU8:BU816)/6</x:f>
        <x:v>12</x:v>
      </x:c>
      <x:c r="E76" s="24" t="n">
        <x:f>SUMPRODUCT(('Activities'!$E$8:$E$816="Rebar")*'Activities'!$I$8:$I$816,'Weekly Gantt'!BU8:BU816)/6</x:f>
        <x:v>2.3333333333333335</x:v>
      </x:c>
      <x:c r="F76" s="24" t="n">
        <x:f>SUMPRODUCT(('Activities'!$E$8:$E$816="Concrete")*'Activities'!$I$8:$I$816,'Weekly Gantt'!BU8:BU816)/6</x:f>
        <x:v>4</x:v>
      </x:c>
      <x:c r="G76" s="24" t="n">
        <x:f>SUMPRODUCT(('Activities'!$E$8:$E$816="Masonry")*'Activities'!$I$8:$I$816,'Weekly Gantt'!BU8:BU816)/6</x:f>
        <x:v>33.333333333333336</x:v>
      </x:c>
      <x:c r="H76" s="24" t="n">
        <x:f>SUMPRODUCT(('Activities'!$E$8:$E$816="Finishes")*'Activities'!$I$8:$I$816,'Weekly Gantt'!BU8:BU816)/6</x:f>
        <x:v>132.66666666666666</x:v>
      </x:c>
      <x:c r="I76" s="24" t="n">
        <x:f>SUMPRODUCT(('Activities'!$E$8:$E$816="Envelope")*'Activities'!$I$8:$I$816,'Weekly Gantt'!BU8:BU816)/6</x:f>
        <x:v>29.333333333333332</x:v>
      </x:c>
      <x:c r="J76" s="24" t="n">
        <x:f>SUMPRODUCT(('Activities'!$E$8:$E$816="External")*'Activities'!$I$8:$I$816,'Weekly Gantt'!BU8:BU816)/6</x:f>
        <x:v>0</x:v>
      </x:c>
      <x:c r="K76" s="24" t="n">
        <x:f>SUMPRODUCT(('Activities'!$E$8:$E$816="Site")*'Activities'!$I$8:$I$816,'Weekly Gantt'!BU8:BU816)/6</x:f>
        <x:v>0</x:v>
      </x:c>
      <x:c r="L76" s="24" t="n">
        <x:f>SUM(C76:K76)</x:f>
        <x:v>213.66666666666666</x:v>
      </x:c>
      <x:c r="M76" s="6" t="n">
        <x:f>IF(C76&gt;'Controls'!$B$12,1,0)+IF(D76&gt;'Controls'!$B$13,1,0)+IF(E76&gt;'Controls'!$B$14,1,0)+IF(F76&gt;'Controls'!$B$15,1,0)+IF(G76&gt;'Controls'!$B$16,1,0)+IF(H76&gt;'Controls'!$B$17,1,0)+IF(I76&gt;'Controls'!$B$18,1,0)+IF(J76&gt;'Controls'!$B$19,1,0)+IF(K76&gt;'Controls'!$B$20,1,0)</x:f>
        <x:v>0</x:v>
      </x:c>
    </x:row>
    <x:row r="77" ht="23" customHeight="1">
      <x:c r="A77" s="1" t="n">
        <x:v>70</x:v>
      </x:c>
      <x:c r="B77" s="19" t="n">
        <x:f>INDEX('Calendar'!$C$8:$C$907,415)</x:f>
        <x:v>46811</x:v>
      </x:c>
      <x:c r="C77" s="25" t="n">
        <x:f>SUMPRODUCT(('Activities'!$E$8:$E$816="Earthworks")*'Activities'!$I$8:$I$816,'Weekly Gantt'!BV8:BV816)/6</x:f>
        <x:v>0</x:v>
      </x:c>
      <x:c r="D77" s="25" t="n">
        <x:f>SUMPRODUCT(('Activities'!$E$8:$E$816="Formwork")*'Activities'!$I$8:$I$816,'Weekly Gantt'!BV8:BV816)/6</x:f>
        <x:v>6</x:v>
      </x:c>
      <x:c r="E77" s="25" t="n">
        <x:f>SUMPRODUCT(('Activities'!$E$8:$E$816="Rebar")*'Activities'!$I$8:$I$816,'Weekly Gantt'!BV8:BV816)/6</x:f>
        <x:v>9.333333333333334</x:v>
      </x:c>
      <x:c r="F77" s="25" t="n">
        <x:f>SUMPRODUCT(('Activities'!$E$8:$E$816="Concrete")*'Activities'!$I$8:$I$816,'Weekly Gantt'!BV8:BV816)/6</x:f>
        <x:v>0</x:v>
      </x:c>
      <x:c r="G77" s="25" t="n">
        <x:f>SUMPRODUCT(('Activities'!$E$8:$E$816="Masonry")*'Activities'!$I$8:$I$816,'Weekly Gantt'!BV8:BV816)/6</x:f>
        <x:v>8.333333333333334</x:v>
      </x:c>
      <x:c r="H77" s="25" t="n">
        <x:f>SUMPRODUCT(('Activities'!$E$8:$E$816="Finishes")*'Activities'!$I$8:$I$816,'Weekly Gantt'!BV8:BV816)/6</x:f>
        <x:v>157.66666666666666</x:v>
      </x:c>
      <x:c r="I77" s="25" t="n">
        <x:f>SUMPRODUCT(('Activities'!$E$8:$E$816="Envelope")*'Activities'!$I$8:$I$816,'Weekly Gantt'!BV8:BV816)/6</x:f>
        <x:v>22</x:v>
      </x:c>
      <x:c r="J77" s="25" t="n">
        <x:f>SUMPRODUCT(('Activities'!$E$8:$E$816="External")*'Activities'!$I$8:$I$816,'Weekly Gantt'!BV8:BV816)/6</x:f>
        <x:v>0</x:v>
      </x:c>
      <x:c r="K77" s="25" t="n">
        <x:f>SUMPRODUCT(('Activities'!$E$8:$E$816="Site")*'Activities'!$I$8:$I$816,'Weekly Gantt'!BV8:BV816)/6</x:f>
        <x:v>0</x:v>
      </x:c>
      <x:c r="L77" s="25" t="n">
        <x:f>SUM(C77:K77)</x:f>
        <x:v>203.33333333333331</x:v>
      </x:c>
      <x:c r="M77" s="1" t="n">
        <x:f>IF(C77&gt;'Controls'!$B$12,1,0)+IF(D77&gt;'Controls'!$B$13,1,0)+IF(E77&gt;'Controls'!$B$14,1,0)+IF(F77&gt;'Controls'!$B$15,1,0)+IF(G77&gt;'Controls'!$B$16,1,0)+IF(H77&gt;'Controls'!$B$17,1,0)+IF(I77&gt;'Controls'!$B$18,1,0)+IF(J77&gt;'Controls'!$B$19,1,0)+IF(K77&gt;'Controls'!$B$20,1,0)</x:f>
        <x:v>0</x:v>
      </x:c>
    </x:row>
    <x:row r="78" ht="23" customHeight="1">
      <x:c r="A78" s="6" t="n">
        <x:v>71</x:v>
      </x:c>
      <x:c r="B78" s="18" t="n">
        <x:f>INDEX('Calendar'!$C$8:$C$907,421)</x:f>
        <x:v>46818</x:v>
      </x:c>
      <x:c r="C78" s="24" t="n">
        <x:f>SUMPRODUCT(('Activities'!$E$8:$E$816="Earthworks")*'Activities'!$I$8:$I$816,'Weekly Gantt'!BW8:BW816)/6</x:f>
        <x:v>0</x:v>
      </x:c>
      <x:c r="D78" s="24" t="n">
        <x:f>SUMPRODUCT(('Activities'!$E$8:$E$816="Formwork")*'Activities'!$I$8:$I$816,'Weekly Gantt'!BW8:BW816)/6</x:f>
        <x:v>0</x:v>
      </x:c>
      <x:c r="E78" s="24" t="n">
        <x:f>SUMPRODUCT(('Activities'!$E$8:$E$816="Rebar")*'Activities'!$I$8:$I$816,'Weekly Gantt'!BW8:BW816)/6</x:f>
        <x:v>2.3333333333333335</x:v>
      </x:c>
      <x:c r="F78" s="24" t="n">
        <x:f>SUMPRODUCT(('Activities'!$E$8:$E$816="Concrete")*'Activities'!$I$8:$I$816,'Weekly Gantt'!BW8:BW816)/6</x:f>
        <x:v>4</x:v>
      </x:c>
      <x:c r="G78" s="24" t="n">
        <x:f>SUMPRODUCT(('Activities'!$E$8:$E$816="Masonry")*'Activities'!$I$8:$I$816,'Weekly Gantt'!BW8:BW816)/6</x:f>
        <x:v>33.333333333333336</x:v>
      </x:c>
      <x:c r="H78" s="24" t="n">
        <x:f>SUMPRODUCT(('Activities'!$E$8:$E$816="Finishes")*'Activities'!$I$8:$I$816,'Weekly Gantt'!BW8:BW816)/6</x:f>
        <x:v>131.66666666666666</x:v>
      </x:c>
      <x:c r="I78" s="24" t="n">
        <x:f>SUMPRODUCT(('Activities'!$E$8:$E$816="Envelope")*'Activities'!$I$8:$I$816,'Weekly Gantt'!BW8:BW816)/6</x:f>
        <x:v>29.333333333333332</x:v>
      </x:c>
      <x:c r="J78" s="24" t="n">
        <x:f>SUMPRODUCT(('Activities'!$E$8:$E$816="External")*'Activities'!$I$8:$I$816,'Weekly Gantt'!BW8:BW816)/6</x:f>
        <x:v>0</x:v>
      </x:c>
      <x:c r="K78" s="24" t="n">
        <x:f>SUMPRODUCT(('Activities'!$E$8:$E$816="Site")*'Activities'!$I$8:$I$816,'Weekly Gantt'!BW8:BW816)/6</x:f>
        <x:v>0</x:v>
      </x:c>
      <x:c r="L78" s="24" t="n">
        <x:f>SUM(C78:K78)</x:f>
        <x:v>200.66666666666666</x:v>
      </x:c>
      <x:c r="M78" s="6" t="n">
        <x:f>IF(C78&gt;'Controls'!$B$12,1,0)+IF(D78&gt;'Controls'!$B$13,1,0)+IF(E78&gt;'Controls'!$B$14,1,0)+IF(F78&gt;'Controls'!$B$15,1,0)+IF(G78&gt;'Controls'!$B$16,1,0)+IF(H78&gt;'Controls'!$B$17,1,0)+IF(I78&gt;'Controls'!$B$18,1,0)+IF(J78&gt;'Controls'!$B$19,1,0)+IF(K78&gt;'Controls'!$B$20,1,0)</x:f>
        <x:v>0</x:v>
      </x:c>
    </x:row>
    <x:row r="79" ht="23" customHeight="1">
      <x:c r="A79" s="1" t="n">
        <x:v>72</x:v>
      </x:c>
      <x:c r="B79" s="19" t="n">
        <x:f>INDEX('Calendar'!$C$8:$C$907,427)</x:f>
        <x:v>46825</x:v>
      </x:c>
      <x:c r="C79" s="25" t="n">
        <x:f>SUMPRODUCT(('Activities'!$E$8:$E$816="Earthworks")*'Activities'!$I$8:$I$816,'Weekly Gantt'!BX8:BX816)/6</x:f>
        <x:v>0</x:v>
      </x:c>
      <x:c r="D79" s="25" t="n">
        <x:f>SUMPRODUCT(('Activities'!$E$8:$E$816="Formwork")*'Activities'!$I$8:$I$816,'Weekly Gantt'!BX8:BX816)/6</x:f>
        <x:v>0</x:v>
      </x:c>
      <x:c r="E79" s="25" t="n">
        <x:f>SUMPRODUCT(('Activities'!$E$8:$E$816="Rebar")*'Activities'!$I$8:$I$816,'Weekly Gantt'!BX8:BX816)/6</x:f>
        <x:v>0</x:v>
      </x:c>
      <x:c r="F79" s="25" t="n">
        <x:f>SUMPRODUCT(('Activities'!$E$8:$E$816="Concrete")*'Activities'!$I$8:$I$816,'Weekly Gantt'!BX8:BX816)/6</x:f>
        <x:v>0</x:v>
      </x:c>
      <x:c r="G79" s="25" t="n">
        <x:f>SUMPRODUCT(('Activities'!$E$8:$E$816="Masonry")*'Activities'!$I$8:$I$816,'Weekly Gantt'!BX8:BX816)/6</x:f>
        <x:v>0</x:v>
      </x:c>
      <x:c r="H79" s="25" t="n">
        <x:f>SUMPRODUCT(('Activities'!$E$8:$E$816="Finishes")*'Activities'!$I$8:$I$816,'Weekly Gantt'!BX8:BX816)/6</x:f>
        <x:v>155</x:v>
      </x:c>
      <x:c r="I79" s="25" t="n">
        <x:f>SUMPRODUCT(('Activities'!$E$8:$E$816="Envelope")*'Activities'!$I$8:$I$816,'Weekly Gantt'!BX8:BX816)/6</x:f>
        <x:v>22</x:v>
      </x:c>
      <x:c r="J79" s="25" t="n">
        <x:f>SUMPRODUCT(('Activities'!$E$8:$E$816="External")*'Activities'!$I$8:$I$816,'Weekly Gantt'!BX8:BX816)/6</x:f>
        <x:v>10.666666666666666</x:v>
      </x:c>
      <x:c r="K79" s="25" t="n">
        <x:f>SUMPRODUCT(('Activities'!$E$8:$E$816="Site")*'Activities'!$I$8:$I$816,'Weekly Gantt'!BX8:BX816)/6</x:f>
        <x:v>0</x:v>
      </x:c>
      <x:c r="L79" s="25" t="n">
        <x:f>SUM(C79:K79)</x:f>
        <x:v>187.66666666666666</x:v>
      </x:c>
      <x:c r="M79" s="1" t="n">
        <x:f>IF(C79&gt;'Controls'!$B$12,1,0)+IF(D79&gt;'Controls'!$B$13,1,0)+IF(E79&gt;'Controls'!$B$14,1,0)+IF(F79&gt;'Controls'!$B$15,1,0)+IF(G79&gt;'Controls'!$B$16,1,0)+IF(H79&gt;'Controls'!$B$17,1,0)+IF(I79&gt;'Controls'!$B$18,1,0)+IF(J79&gt;'Controls'!$B$19,1,0)+IF(K79&gt;'Controls'!$B$20,1,0)</x:f>
        <x:v>0</x:v>
      </x:c>
    </x:row>
    <x:row r="80" ht="23" customHeight="1">
      <x:c r="A80" s="6" t="n">
        <x:v>73</x:v>
      </x:c>
      <x:c r="B80" s="18" t="n">
        <x:f>INDEX('Calendar'!$C$8:$C$907,433)</x:f>
        <x:v>46832</x:v>
      </x:c>
      <x:c r="C80" s="24" t="n">
        <x:f>SUMPRODUCT(('Activities'!$E$8:$E$816="Earthworks")*'Activities'!$I$8:$I$816,'Weekly Gantt'!BY8:BY816)/6</x:f>
        <x:v>0</x:v>
      </x:c>
      <x:c r="D80" s="24" t="n">
        <x:f>SUMPRODUCT(('Activities'!$E$8:$E$816="Formwork")*'Activities'!$I$8:$I$816,'Weekly Gantt'!BY8:BY816)/6</x:f>
        <x:v>0</x:v>
      </x:c>
      <x:c r="E80" s="24" t="n">
        <x:f>SUMPRODUCT(('Activities'!$E$8:$E$816="Rebar")*'Activities'!$I$8:$I$816,'Weekly Gantt'!BY8:BY816)/6</x:f>
        <x:v>0</x:v>
      </x:c>
      <x:c r="F80" s="24" t="n">
        <x:f>SUMPRODUCT(('Activities'!$E$8:$E$816="Concrete")*'Activities'!$I$8:$I$816,'Weekly Gantt'!BY8:BY816)/6</x:f>
        <x:v>0</x:v>
      </x:c>
      <x:c r="G80" s="24" t="n">
        <x:f>SUMPRODUCT(('Activities'!$E$8:$E$816="Masonry")*'Activities'!$I$8:$I$816,'Weekly Gantt'!BY8:BY816)/6</x:f>
        <x:v>33.333333333333336</x:v>
      </x:c>
      <x:c r="H80" s="24" t="n">
        <x:f>SUMPRODUCT(('Activities'!$E$8:$E$816="Finishes")*'Activities'!$I$8:$I$816,'Weekly Gantt'!BY8:BY816)/6</x:f>
        <x:v>126.66666666666667</x:v>
      </x:c>
      <x:c r="I80" s="24" t="n">
        <x:f>SUMPRODUCT(('Activities'!$E$8:$E$816="Envelope")*'Activities'!$I$8:$I$816,'Weekly Gantt'!BY8:BY816)/6</x:f>
        <x:v>29.333333333333332</x:v>
      </x:c>
      <x:c r="J80" s="24" t="n">
        <x:f>SUMPRODUCT(('Activities'!$E$8:$E$816="External")*'Activities'!$I$8:$I$816,'Weekly Gantt'!BY8:BY816)/6</x:f>
        <x:v>16</x:v>
      </x:c>
      <x:c r="K80" s="24" t="n">
        <x:f>SUMPRODUCT(('Activities'!$E$8:$E$816="Site")*'Activities'!$I$8:$I$816,'Weekly Gantt'!BY8:BY816)/6</x:f>
        <x:v>0</x:v>
      </x:c>
      <x:c r="L80" s="24" t="n">
        <x:f>SUM(C80:K80)</x:f>
        <x:v>205.33333333333334</x:v>
      </x:c>
      <x:c r="M80" s="6" t="n">
        <x:f>IF(C80&gt;'Controls'!$B$12,1,0)+IF(D80&gt;'Controls'!$B$13,1,0)+IF(E80&gt;'Controls'!$B$14,1,0)+IF(F80&gt;'Controls'!$B$15,1,0)+IF(G80&gt;'Controls'!$B$16,1,0)+IF(H80&gt;'Controls'!$B$17,1,0)+IF(I80&gt;'Controls'!$B$18,1,0)+IF(J80&gt;'Controls'!$B$19,1,0)+IF(K80&gt;'Controls'!$B$20,1,0)</x:f>
        <x:v>0</x:v>
      </x:c>
    </x:row>
    <x:row r="81" ht="23" customHeight="1">
      <x:c r="A81" s="1" t="n">
        <x:v>74</x:v>
      </x:c>
      <x:c r="B81" s="19" t="n">
        <x:f>INDEX('Calendar'!$C$8:$C$907,439)</x:f>
        <x:v>46839</x:v>
      </x:c>
      <x:c r="C81" s="25" t="n">
        <x:f>SUMPRODUCT(('Activities'!$E$8:$E$816="Earthworks")*'Activities'!$I$8:$I$816,'Weekly Gantt'!BZ8:BZ816)/6</x:f>
        <x:v>0</x:v>
      </x:c>
      <x:c r="D81" s="25" t="n">
        <x:f>SUMPRODUCT(('Activities'!$E$8:$E$816="Formwork")*'Activities'!$I$8:$I$816,'Weekly Gantt'!BZ8:BZ816)/6</x:f>
        <x:v>0</x:v>
      </x:c>
      <x:c r="E81" s="25" t="n">
        <x:f>SUMPRODUCT(('Activities'!$E$8:$E$816="Rebar")*'Activities'!$I$8:$I$816,'Weekly Gantt'!BZ8:BZ816)/6</x:f>
        <x:v>0</x:v>
      </x:c>
      <x:c r="F81" s="25" t="n">
        <x:f>SUMPRODUCT(('Activities'!$E$8:$E$816="Concrete")*'Activities'!$I$8:$I$816,'Weekly Gantt'!BZ8:BZ816)/6</x:f>
        <x:v>0</x:v>
      </x:c>
      <x:c r="G81" s="25" t="n">
        <x:f>SUMPRODUCT(('Activities'!$E$8:$E$816="Masonry")*'Activities'!$I$8:$I$816,'Weekly Gantt'!BZ8:BZ816)/6</x:f>
        <x:v>0</x:v>
      </x:c>
      <x:c r="H81" s="25" t="n">
        <x:f>SUMPRODUCT(('Activities'!$E$8:$E$816="Finishes")*'Activities'!$I$8:$I$816,'Weekly Gantt'!BZ8:BZ816)/6</x:f>
        <x:v>148.66666666666666</x:v>
      </x:c>
      <x:c r="I81" s="25" t="n">
        <x:f>SUMPRODUCT(('Activities'!$E$8:$E$816="Envelope")*'Activities'!$I$8:$I$816,'Weekly Gantt'!BZ8:BZ816)/6</x:f>
        <x:v>22</x:v>
      </x:c>
      <x:c r="J81" s="25" t="n">
        <x:f>SUMPRODUCT(('Activities'!$E$8:$E$816="External")*'Activities'!$I$8:$I$816,'Weekly Gantt'!BZ8:BZ816)/6</x:f>
        <x:v>16</x:v>
      </x:c>
      <x:c r="K81" s="25" t="n">
        <x:f>SUMPRODUCT(('Activities'!$E$8:$E$816="Site")*'Activities'!$I$8:$I$816,'Weekly Gantt'!BZ8:BZ816)/6</x:f>
        <x:v>0</x:v>
      </x:c>
      <x:c r="L81" s="25" t="n">
        <x:f>SUM(C81:K81)</x:f>
        <x:v>186.66666666666666</x:v>
      </x:c>
      <x:c r="M81" s="1" t="n">
        <x:f>IF(C81&gt;'Controls'!$B$12,1,0)+IF(D81&gt;'Controls'!$B$13,1,0)+IF(E81&gt;'Controls'!$B$14,1,0)+IF(F81&gt;'Controls'!$B$15,1,0)+IF(G81&gt;'Controls'!$B$16,1,0)+IF(H81&gt;'Controls'!$B$17,1,0)+IF(I81&gt;'Controls'!$B$18,1,0)+IF(J81&gt;'Controls'!$B$19,1,0)+IF(K81&gt;'Controls'!$B$20,1,0)</x:f>
        <x:v>0</x:v>
      </x:c>
    </x:row>
    <x:row r="82" ht="23" customHeight="1">
      <x:c r="A82" s="6" t="n">
        <x:v>75</x:v>
      </x:c>
      <x:c r="B82" s="18" t="n">
        <x:f>INDEX('Calendar'!$C$8:$C$907,445)</x:f>
        <x:v>46846</x:v>
      </x:c>
      <x:c r="C82" s="24" t="n">
        <x:f>SUMPRODUCT(('Activities'!$E$8:$E$816="Earthworks")*'Activities'!$I$8:$I$816,'Weekly Gantt'!CA8:CA816)/6</x:f>
        <x:v>0</x:v>
      </x:c>
      <x:c r="D82" s="24" t="n">
        <x:f>SUMPRODUCT(('Activities'!$E$8:$E$816="Formwork")*'Activities'!$I$8:$I$816,'Weekly Gantt'!CA8:CA816)/6</x:f>
        <x:v>0</x:v>
      </x:c>
      <x:c r="E82" s="24" t="n">
        <x:f>SUMPRODUCT(('Activities'!$E$8:$E$816="Rebar")*'Activities'!$I$8:$I$816,'Weekly Gantt'!CA8:CA816)/6</x:f>
        <x:v>0</x:v>
      </x:c>
      <x:c r="F82" s="24" t="n">
        <x:f>SUMPRODUCT(('Activities'!$E$8:$E$816="Concrete")*'Activities'!$I$8:$I$816,'Weekly Gantt'!CA8:CA816)/6</x:f>
        <x:v>0</x:v>
      </x:c>
      <x:c r="G82" s="24" t="n">
        <x:f>SUMPRODUCT(('Activities'!$E$8:$E$816="Masonry")*'Activities'!$I$8:$I$816,'Weekly Gantt'!CA8:CA816)/6</x:f>
        <x:v>0</x:v>
      </x:c>
      <x:c r="H82" s="24" t="n">
        <x:f>SUMPRODUCT(('Activities'!$E$8:$E$816="Finishes")*'Activities'!$I$8:$I$816,'Weekly Gantt'!CA8:CA816)/6</x:f>
        <x:v>124</x:v>
      </x:c>
      <x:c r="I82" s="24" t="n">
        <x:f>SUMPRODUCT(('Activities'!$E$8:$E$816="Envelope")*'Activities'!$I$8:$I$816,'Weekly Gantt'!CA8:CA816)/6</x:f>
        <x:v>21</x:v>
      </x:c>
      <x:c r="J82" s="24" t="n">
        <x:f>SUMPRODUCT(('Activities'!$E$8:$E$816="External")*'Activities'!$I$8:$I$816,'Weekly Gantt'!CA8:CA816)/6</x:f>
        <x:v>16</x:v>
      </x:c>
      <x:c r="K82" s="24" t="n">
        <x:f>SUMPRODUCT(('Activities'!$E$8:$E$816="Site")*'Activities'!$I$8:$I$816,'Weekly Gantt'!CA8:CA816)/6</x:f>
        <x:v>0</x:v>
      </x:c>
      <x:c r="L82" s="24" t="n">
        <x:f>SUM(C82:K82)</x:f>
        <x:v>161</x:v>
      </x:c>
      <x:c r="M82" s="6" t="n">
        <x:f>IF(C82&gt;'Controls'!$B$12,1,0)+IF(D82&gt;'Controls'!$B$13,1,0)+IF(E82&gt;'Controls'!$B$14,1,0)+IF(F82&gt;'Controls'!$B$15,1,0)+IF(G82&gt;'Controls'!$B$16,1,0)+IF(H82&gt;'Controls'!$B$17,1,0)+IF(I82&gt;'Controls'!$B$18,1,0)+IF(J82&gt;'Controls'!$B$19,1,0)+IF(K82&gt;'Controls'!$B$20,1,0)</x:f>
        <x:v>0</x:v>
      </x:c>
    </x:row>
    <x:row r="83" ht="23" customHeight="1">
      <x:c r="A83" s="1" t="n">
        <x:v>76</x:v>
      </x:c>
      <x:c r="B83" s="19" t="n">
        <x:f>INDEX('Calendar'!$C$8:$C$907,451)</x:f>
        <x:v>46853</x:v>
      </x:c>
      <x:c r="C83" s="25" t="n">
        <x:f>SUMPRODUCT(('Activities'!$E$8:$E$816="Earthworks")*'Activities'!$I$8:$I$816,'Weekly Gantt'!CB8:CB816)/6</x:f>
        <x:v>0</x:v>
      </x:c>
      <x:c r="D83" s="25" t="n">
        <x:f>SUMPRODUCT(('Activities'!$E$8:$E$816="Formwork")*'Activities'!$I$8:$I$816,'Weekly Gantt'!CB8:CB816)/6</x:f>
        <x:v>0</x:v>
      </x:c>
      <x:c r="E83" s="25" t="n">
        <x:f>SUMPRODUCT(('Activities'!$E$8:$E$816="Rebar")*'Activities'!$I$8:$I$816,'Weekly Gantt'!CB8:CB816)/6</x:f>
        <x:v>0</x:v>
      </x:c>
      <x:c r="F83" s="25" t="n">
        <x:f>SUMPRODUCT(('Activities'!$E$8:$E$816="Concrete")*'Activities'!$I$8:$I$816,'Weekly Gantt'!CB8:CB816)/6</x:f>
        <x:v>0</x:v>
      </x:c>
      <x:c r="G83" s="25" t="n">
        <x:f>SUMPRODUCT(('Activities'!$E$8:$E$816="Masonry")*'Activities'!$I$8:$I$816,'Weekly Gantt'!CB8:CB816)/6</x:f>
        <x:v>0</x:v>
      </x:c>
      <x:c r="H83" s="25" t="n">
        <x:f>SUMPRODUCT(('Activities'!$E$8:$E$816="Finishes")*'Activities'!$I$8:$I$816,'Weekly Gantt'!CB8:CB816)/6</x:f>
        <x:v>128.66666666666666</x:v>
      </x:c>
      <x:c r="I83" s="25" t="n">
        <x:f>SUMPRODUCT(('Activities'!$E$8:$E$816="Envelope")*'Activities'!$I$8:$I$816,'Weekly Gantt'!CB8:CB816)/6</x:f>
        <x:v>12</x:v>
      </x:c>
      <x:c r="J83" s="25" t="n">
        <x:f>SUMPRODUCT(('Activities'!$E$8:$E$816="External")*'Activities'!$I$8:$I$816,'Weekly Gantt'!CB8:CB816)/6</x:f>
        <x:v>2.6666666666666665</x:v>
      </x:c>
      <x:c r="K83" s="25" t="n">
        <x:f>SUMPRODUCT(('Activities'!$E$8:$E$816="Site")*'Activities'!$I$8:$I$816,'Weekly Gantt'!CB8:CB816)/6</x:f>
        <x:v>0</x:v>
      </x:c>
      <x:c r="L83" s="25" t="n">
        <x:f>SUM(C83:K83)</x:f>
        <x:v>143.33333333333331</x:v>
      </x:c>
      <x:c r="M83" s="1" t="n">
        <x:f>IF(C83&gt;'Controls'!$B$12,1,0)+IF(D83&gt;'Controls'!$B$13,1,0)+IF(E83&gt;'Controls'!$B$14,1,0)+IF(F83&gt;'Controls'!$B$15,1,0)+IF(G83&gt;'Controls'!$B$16,1,0)+IF(H83&gt;'Controls'!$B$17,1,0)+IF(I83&gt;'Controls'!$B$18,1,0)+IF(J83&gt;'Controls'!$B$19,1,0)+IF(K83&gt;'Controls'!$B$20,1,0)</x:f>
        <x:v>0</x:v>
      </x:c>
    </x:row>
    <x:row r="84" ht="23" customHeight="1">
      <x:c r="A84" s="6" t="n">
        <x:v>77</x:v>
      </x:c>
      <x:c r="B84" s="18" t="n">
        <x:f>INDEX('Calendar'!$C$8:$C$907,457)</x:f>
        <x:v>46860</x:v>
      </x:c>
      <x:c r="C84" s="24" t="n">
        <x:f>SUMPRODUCT(('Activities'!$E$8:$E$816="Earthworks")*'Activities'!$I$8:$I$816,'Weekly Gantt'!CC8:CC816)/6</x:f>
        <x:v>0</x:v>
      </x:c>
      <x:c r="D84" s="24" t="n">
        <x:f>SUMPRODUCT(('Activities'!$E$8:$E$816="Formwork")*'Activities'!$I$8:$I$816,'Weekly Gantt'!CC8:CC816)/6</x:f>
        <x:v>0</x:v>
      </x:c>
      <x:c r="E84" s="24" t="n">
        <x:f>SUMPRODUCT(('Activities'!$E$8:$E$816="Rebar")*'Activities'!$I$8:$I$816,'Weekly Gantt'!CC8:CC816)/6</x:f>
        <x:v>0</x:v>
      </x:c>
      <x:c r="F84" s="24" t="n">
        <x:f>SUMPRODUCT(('Activities'!$E$8:$E$816="Concrete")*'Activities'!$I$8:$I$816,'Weekly Gantt'!CC8:CC816)/6</x:f>
        <x:v>0</x:v>
      </x:c>
      <x:c r="G84" s="24" t="n">
        <x:f>SUMPRODUCT(('Activities'!$E$8:$E$816="Masonry")*'Activities'!$I$8:$I$816,'Weekly Gantt'!CC8:CC816)/6</x:f>
        <x:v>0</x:v>
      </x:c>
      <x:c r="H84" s="24" t="n">
        <x:f>SUMPRODUCT(('Activities'!$E$8:$E$816="Finishes")*'Activities'!$I$8:$I$816,'Weekly Gantt'!CC8:CC816)/6</x:f>
        <x:v>98.66666666666667</x:v>
      </x:c>
      <x:c r="I84" s="24" t="n">
        <x:f>SUMPRODUCT(('Activities'!$E$8:$E$816="Envelope")*'Activities'!$I$8:$I$816,'Weekly Gantt'!CC8:CC816)/6</x:f>
        <x:v>10</x:v>
      </x:c>
      <x:c r="J84" s="24" t="n">
        <x:f>SUMPRODUCT(('Activities'!$E$8:$E$816="External")*'Activities'!$I$8:$I$816,'Weekly Gantt'!CC8:CC816)/6</x:f>
        <x:v>0</x:v>
      </x:c>
      <x:c r="K84" s="24" t="n">
        <x:f>SUMPRODUCT(('Activities'!$E$8:$E$816="Site")*'Activities'!$I$8:$I$816,'Weekly Gantt'!CC8:CC816)/6</x:f>
        <x:v>0</x:v>
      </x:c>
      <x:c r="L84" s="24" t="n">
        <x:f>SUM(C84:K84)</x:f>
        <x:v>108.66666666666667</x:v>
      </x:c>
      <x:c r="M84" s="6" t="n">
        <x:f>IF(C84&gt;'Controls'!$B$12,1,0)+IF(D84&gt;'Controls'!$B$13,1,0)+IF(E84&gt;'Controls'!$B$14,1,0)+IF(F84&gt;'Controls'!$B$15,1,0)+IF(G84&gt;'Controls'!$B$16,1,0)+IF(H84&gt;'Controls'!$B$17,1,0)+IF(I84&gt;'Controls'!$B$18,1,0)+IF(J84&gt;'Controls'!$B$19,1,0)+IF(K84&gt;'Controls'!$B$20,1,0)</x:f>
        <x:v>0</x:v>
      </x:c>
    </x:row>
    <x:row r="85" ht="23" customHeight="1">
      <x:c r="A85" s="1" t="n">
        <x:v>78</x:v>
      </x:c>
      <x:c r="B85" s="19" t="n">
        <x:f>INDEX('Calendar'!$C$8:$C$907,463)</x:f>
        <x:v>46867</x:v>
      </x:c>
      <x:c r="C85" s="25" t="n">
        <x:f>SUMPRODUCT(('Activities'!$E$8:$E$816="Earthworks")*'Activities'!$I$8:$I$816,'Weekly Gantt'!CD8:CD816)/6</x:f>
        <x:v>0</x:v>
      </x:c>
      <x:c r="D85" s="25" t="n">
        <x:f>SUMPRODUCT(('Activities'!$E$8:$E$816="Formwork")*'Activities'!$I$8:$I$816,'Weekly Gantt'!CD8:CD816)/6</x:f>
        <x:v>0</x:v>
      </x:c>
      <x:c r="E85" s="25" t="n">
        <x:f>SUMPRODUCT(('Activities'!$E$8:$E$816="Rebar")*'Activities'!$I$8:$I$816,'Weekly Gantt'!CD8:CD816)/6</x:f>
        <x:v>0</x:v>
      </x:c>
      <x:c r="F85" s="25" t="n">
        <x:f>SUMPRODUCT(('Activities'!$E$8:$E$816="Concrete")*'Activities'!$I$8:$I$816,'Weekly Gantt'!CD8:CD816)/6</x:f>
        <x:v>0</x:v>
      </x:c>
      <x:c r="G85" s="25" t="n">
        <x:f>SUMPRODUCT(('Activities'!$E$8:$E$816="Masonry")*'Activities'!$I$8:$I$816,'Weekly Gantt'!CD8:CD816)/6</x:f>
        <x:v>0</x:v>
      </x:c>
      <x:c r="H85" s="25" t="n">
        <x:f>SUMPRODUCT(('Activities'!$E$8:$E$816="Finishes")*'Activities'!$I$8:$I$816,'Weekly Gantt'!CD8:CD816)/6</x:f>
        <x:v>118</x:v>
      </x:c>
      <x:c r="I85" s="25" t="n">
        <x:f>SUMPRODUCT(('Activities'!$E$8:$E$816="Envelope")*'Activities'!$I$8:$I$816,'Weekly Gantt'!CD8:CD816)/6</x:f>
        <x:v>0</x:v>
      </x:c>
      <x:c r="J85" s="25" t="n">
        <x:f>SUMPRODUCT(('Activities'!$E$8:$E$816="External")*'Activities'!$I$8:$I$816,'Weekly Gantt'!CD8:CD816)/6</x:f>
        <x:v>0</x:v>
      </x:c>
      <x:c r="K85" s="25" t="n">
        <x:f>SUMPRODUCT(('Activities'!$E$8:$E$816="Site")*'Activities'!$I$8:$I$816,'Weekly Gantt'!CD8:CD816)/6</x:f>
        <x:v>0</x:v>
      </x:c>
      <x:c r="L85" s="25" t="n">
        <x:f>SUM(C85:K85)</x:f>
        <x:v>118</x:v>
      </x:c>
      <x:c r="M85" s="1" t="n">
        <x:f>IF(C85&gt;'Controls'!$B$12,1,0)+IF(D85&gt;'Controls'!$B$13,1,0)+IF(E85&gt;'Controls'!$B$14,1,0)+IF(F85&gt;'Controls'!$B$15,1,0)+IF(G85&gt;'Controls'!$B$16,1,0)+IF(H85&gt;'Controls'!$B$17,1,0)+IF(I85&gt;'Controls'!$B$18,1,0)+IF(J85&gt;'Controls'!$B$19,1,0)+IF(K85&gt;'Controls'!$B$20,1,0)</x:f>
        <x:v>0</x:v>
      </x:c>
    </x:row>
    <x:row r="86" ht="23" customHeight="1">
      <x:c r="A86" s="6" t="n">
        <x:v>79</x:v>
      </x:c>
      <x:c r="B86" s="18" t="n">
        <x:f>INDEX('Calendar'!$C$8:$C$907,469)</x:f>
        <x:v>46874</x:v>
      </x:c>
      <x:c r="C86" s="24" t="n">
        <x:f>SUMPRODUCT(('Activities'!$E$8:$E$816="Earthworks")*'Activities'!$I$8:$I$816,'Weekly Gantt'!CE8:CE816)/6</x:f>
        <x:v>0</x:v>
      </x:c>
      <x:c r="D86" s="24" t="n">
        <x:f>SUMPRODUCT(('Activities'!$E$8:$E$816="Formwork")*'Activities'!$I$8:$I$816,'Weekly Gantt'!CE8:CE816)/6</x:f>
        <x:v>0</x:v>
      </x:c>
      <x:c r="E86" s="24" t="n">
        <x:f>SUMPRODUCT(('Activities'!$E$8:$E$816="Rebar")*'Activities'!$I$8:$I$816,'Weekly Gantt'!CE8:CE816)/6</x:f>
        <x:v>0</x:v>
      </x:c>
      <x:c r="F86" s="24" t="n">
        <x:f>SUMPRODUCT(('Activities'!$E$8:$E$816="Concrete")*'Activities'!$I$8:$I$816,'Weekly Gantt'!CE8:CE816)/6</x:f>
        <x:v>0</x:v>
      </x:c>
      <x:c r="G86" s="24" t="n">
        <x:f>SUMPRODUCT(('Activities'!$E$8:$E$816="Masonry")*'Activities'!$I$8:$I$816,'Weekly Gantt'!CE8:CE816)/6</x:f>
        <x:v>0</x:v>
      </x:c>
      <x:c r="H86" s="24" t="n">
        <x:f>SUMPRODUCT(('Activities'!$E$8:$E$816="Finishes")*'Activities'!$I$8:$I$816,'Weekly Gantt'!CE8:CE816)/6</x:f>
        <x:v>86.66666666666667</x:v>
      </x:c>
      <x:c r="I86" s="24" t="n">
        <x:f>SUMPRODUCT(('Activities'!$E$8:$E$816="Envelope")*'Activities'!$I$8:$I$816,'Weekly Gantt'!CE8:CE816)/6</x:f>
        <x:v>0</x:v>
      </x:c>
      <x:c r="J86" s="24" t="n">
        <x:f>SUMPRODUCT(('Activities'!$E$8:$E$816="External")*'Activities'!$I$8:$I$816,'Weekly Gantt'!CE8:CE816)/6</x:f>
        <x:v>0</x:v>
      </x:c>
      <x:c r="K86" s="24" t="n">
        <x:f>SUMPRODUCT(('Activities'!$E$8:$E$816="Site")*'Activities'!$I$8:$I$816,'Weekly Gantt'!CE8:CE816)/6</x:f>
        <x:v>0</x:v>
      </x:c>
      <x:c r="L86" s="24" t="n">
        <x:f>SUM(C86:K86)</x:f>
        <x:v>86.66666666666667</x:v>
      </x:c>
      <x:c r="M86" s="6" t="n">
        <x:f>IF(C86&gt;'Controls'!$B$12,1,0)+IF(D86&gt;'Controls'!$B$13,1,0)+IF(E86&gt;'Controls'!$B$14,1,0)+IF(F86&gt;'Controls'!$B$15,1,0)+IF(G86&gt;'Controls'!$B$16,1,0)+IF(H86&gt;'Controls'!$B$17,1,0)+IF(I86&gt;'Controls'!$B$18,1,0)+IF(J86&gt;'Controls'!$B$19,1,0)+IF(K86&gt;'Controls'!$B$20,1,0)</x:f>
        <x:v>0</x:v>
      </x:c>
    </x:row>
    <x:row r="87" ht="23" customHeight="1">
      <x:c r="A87" s="1" t="n">
        <x:v>80</x:v>
      </x:c>
      <x:c r="B87" s="19" t="n">
        <x:f>INDEX('Calendar'!$C$8:$C$907,475)</x:f>
        <x:v>46881</x:v>
      </x:c>
      <x:c r="C87" s="25" t="n">
        <x:f>SUMPRODUCT(('Activities'!$E$8:$E$816="Earthworks")*'Activities'!$I$8:$I$816,'Weekly Gantt'!CF8:CF816)/6</x:f>
        <x:v>0</x:v>
      </x:c>
      <x:c r="D87" s="25" t="n">
        <x:f>SUMPRODUCT(('Activities'!$E$8:$E$816="Formwork")*'Activities'!$I$8:$I$816,'Weekly Gantt'!CF8:CF816)/6</x:f>
        <x:v>0</x:v>
      </x:c>
      <x:c r="E87" s="25" t="n">
        <x:f>SUMPRODUCT(('Activities'!$E$8:$E$816="Rebar")*'Activities'!$I$8:$I$816,'Weekly Gantt'!CF8:CF816)/6</x:f>
        <x:v>0</x:v>
      </x:c>
      <x:c r="F87" s="25" t="n">
        <x:f>SUMPRODUCT(('Activities'!$E$8:$E$816="Concrete")*'Activities'!$I$8:$I$816,'Weekly Gantt'!CF8:CF816)/6</x:f>
        <x:v>0</x:v>
      </x:c>
      <x:c r="G87" s="25" t="n">
        <x:f>SUMPRODUCT(('Activities'!$E$8:$E$816="Masonry")*'Activities'!$I$8:$I$816,'Weekly Gantt'!CF8:CF816)/6</x:f>
        <x:v>0</x:v>
      </x:c>
      <x:c r="H87" s="25" t="n">
        <x:f>SUMPRODUCT(('Activities'!$E$8:$E$816="Finishes")*'Activities'!$I$8:$I$816,'Weekly Gantt'!CF8:CF816)/6</x:f>
        <x:v>47.333333333333336</x:v>
      </x:c>
      <x:c r="I87" s="25" t="n">
        <x:f>SUMPRODUCT(('Activities'!$E$8:$E$816="Envelope")*'Activities'!$I$8:$I$816,'Weekly Gantt'!CF8:CF816)/6</x:f>
        <x:v>0</x:v>
      </x:c>
      <x:c r="J87" s="25" t="n">
        <x:f>SUMPRODUCT(('Activities'!$E$8:$E$816="External")*'Activities'!$I$8:$I$816,'Weekly Gantt'!CF8:CF816)/6</x:f>
        <x:v>0</x:v>
      </x:c>
      <x:c r="K87" s="25" t="n">
        <x:f>SUMPRODUCT(('Activities'!$E$8:$E$816="Site")*'Activities'!$I$8:$I$816,'Weekly Gantt'!CF8:CF816)/6</x:f>
        <x:v>0</x:v>
      </x:c>
      <x:c r="L87" s="25" t="n">
        <x:f>SUM(C87:K87)</x:f>
        <x:v>47.333333333333336</x:v>
      </x:c>
      <x:c r="M87" s="1" t="n">
        <x:f>IF(C87&gt;'Controls'!$B$12,1,0)+IF(D87&gt;'Controls'!$B$13,1,0)+IF(E87&gt;'Controls'!$B$14,1,0)+IF(F87&gt;'Controls'!$B$15,1,0)+IF(G87&gt;'Controls'!$B$16,1,0)+IF(H87&gt;'Controls'!$B$17,1,0)+IF(I87&gt;'Controls'!$B$18,1,0)+IF(J87&gt;'Controls'!$B$19,1,0)+IF(K87&gt;'Controls'!$B$20,1,0)</x:f>
        <x:v>0</x:v>
      </x:c>
    </x:row>
    <x:row r="88" ht="23" customHeight="1">
      <x:c r="A88" s="6" t="n">
        <x:v>81</x:v>
      </x:c>
      <x:c r="B88" s="18" t="n">
        <x:f>INDEX('Calendar'!$C$8:$C$907,481)</x:f>
        <x:v>46888</x:v>
      </x:c>
      <x:c r="C88" s="24" t="n">
        <x:f>SUMPRODUCT(('Activities'!$E$8:$E$816="Earthworks")*'Activities'!$I$8:$I$816,'Weekly Gantt'!CG8:CG816)/6</x:f>
        <x:v>0</x:v>
      </x:c>
      <x:c r="D88" s="24" t="n">
        <x:f>SUMPRODUCT(('Activities'!$E$8:$E$816="Formwork")*'Activities'!$I$8:$I$816,'Weekly Gantt'!CG8:CG816)/6</x:f>
        <x:v>0</x:v>
      </x:c>
      <x:c r="E88" s="24" t="n">
        <x:f>SUMPRODUCT(('Activities'!$E$8:$E$816="Rebar")*'Activities'!$I$8:$I$816,'Weekly Gantt'!CG8:CG816)/6</x:f>
        <x:v>0</x:v>
      </x:c>
      <x:c r="F88" s="24" t="n">
        <x:f>SUMPRODUCT(('Activities'!$E$8:$E$816="Concrete")*'Activities'!$I$8:$I$816,'Weekly Gantt'!CG8:CG816)/6</x:f>
        <x:v>0</x:v>
      </x:c>
      <x:c r="G88" s="24" t="n">
        <x:f>SUMPRODUCT(('Activities'!$E$8:$E$816="Masonry")*'Activities'!$I$8:$I$816,'Weekly Gantt'!CG8:CG816)/6</x:f>
        <x:v>0</x:v>
      </x:c>
      <x:c r="H88" s="24" t="n">
        <x:f>SUMPRODUCT(('Activities'!$E$8:$E$816="Finishes")*'Activities'!$I$8:$I$816,'Weekly Gantt'!CG8:CG816)/6</x:f>
        <x:v>5.333333333333333</x:v>
      </x:c>
      <x:c r="I88" s="24" t="n">
        <x:f>SUMPRODUCT(('Activities'!$E$8:$E$816="Envelope")*'Activities'!$I$8:$I$816,'Weekly Gantt'!CG8:CG816)/6</x:f>
        <x:v>0</x:v>
      </x:c>
      <x:c r="J88" s="24" t="n">
        <x:f>SUMPRODUCT(('Activities'!$E$8:$E$816="External")*'Activities'!$I$8:$I$816,'Weekly Gantt'!CG8:CG816)/6</x:f>
        <x:v>0</x:v>
      </x:c>
      <x:c r="K88" s="24" t="n">
        <x:f>SUMPRODUCT(('Activities'!$E$8:$E$816="Site")*'Activities'!$I$8:$I$816,'Weekly Gantt'!CG8:CG816)/6</x:f>
        <x:v>16</x:v>
      </x:c>
      <x:c r="L88" s="24" t="n">
        <x:f>SUM(C88:K88)</x:f>
        <x:v>21.333333333333332</x:v>
      </x:c>
      <x:c r="M88" s="6" t="n">
        <x:f>IF(C88&gt;'Controls'!$B$12,1,0)+IF(D88&gt;'Controls'!$B$13,1,0)+IF(E88&gt;'Controls'!$B$14,1,0)+IF(F88&gt;'Controls'!$B$15,1,0)+IF(G88&gt;'Controls'!$B$16,1,0)+IF(H88&gt;'Controls'!$B$17,1,0)+IF(I88&gt;'Controls'!$B$18,1,0)+IF(J88&gt;'Controls'!$B$19,1,0)+IF(K88&gt;'Controls'!$B$20,1,0)</x:f>
        <x:v>0</x:v>
      </x:c>
    </x:row>
    <x:row r="89" ht="23" customHeight="1">
      <x:c r="A89" s="1" t="n">
        <x:v>82</x:v>
      </x:c>
      <x:c r="B89" s="19" t="n">
        <x:f>INDEX('Calendar'!$C$8:$C$907,487)</x:f>
        <x:v>46895</x:v>
      </x:c>
      <x:c r="C89" s="25" t="n">
        <x:f>SUMPRODUCT(('Activities'!$E$8:$E$816="Earthworks")*'Activities'!$I$8:$I$816,'Weekly Gantt'!CH8:CH816)/6</x:f>
        <x:v>0</x:v>
      </x:c>
      <x:c r="D89" s="25" t="n">
        <x:f>SUMPRODUCT(('Activities'!$E$8:$E$816="Formwork")*'Activities'!$I$8:$I$816,'Weekly Gantt'!CH8:CH816)/6</x:f>
        <x:v>0</x:v>
      </x:c>
      <x:c r="E89" s="25" t="n">
        <x:f>SUMPRODUCT(('Activities'!$E$8:$E$816="Rebar")*'Activities'!$I$8:$I$816,'Weekly Gantt'!CH8:CH816)/6</x:f>
        <x:v>0</x:v>
      </x:c>
      <x:c r="F89" s="25" t="n">
        <x:f>SUMPRODUCT(('Activities'!$E$8:$E$816="Concrete")*'Activities'!$I$8:$I$816,'Weekly Gantt'!CH8:CH816)/6</x:f>
        <x:v>0</x:v>
      </x:c>
      <x:c r="G89" s="25" t="n">
        <x:f>SUMPRODUCT(('Activities'!$E$8:$E$816="Masonry")*'Activities'!$I$8:$I$816,'Weekly Gantt'!CH8:CH816)/6</x:f>
        <x:v>0</x:v>
      </x:c>
      <x:c r="H89" s="25" t="n">
        <x:f>SUMPRODUCT(('Activities'!$E$8:$E$816="Finishes")*'Activities'!$I$8:$I$816,'Weekly Gantt'!CH8:CH816)/6</x:f>
        <x:v>0</x:v>
      </x:c>
      <x:c r="I89" s="25" t="n">
        <x:f>SUMPRODUCT(('Activities'!$E$8:$E$816="Envelope")*'Activities'!$I$8:$I$816,'Weekly Gantt'!CH8:CH816)/6</x:f>
        <x:v>0</x:v>
      </x:c>
      <x:c r="J89" s="25" t="n">
        <x:f>SUMPRODUCT(('Activities'!$E$8:$E$816="External")*'Activities'!$I$8:$I$816,'Weekly Gantt'!CH8:CH816)/6</x:f>
        <x:v>0</x:v>
      </x:c>
      <x:c r="K89" s="25" t="n">
        <x:f>SUMPRODUCT(('Activities'!$E$8:$E$816="Site")*'Activities'!$I$8:$I$816,'Weekly Gantt'!CH8:CH816)/6</x:f>
        <x:v>24</x:v>
      </x:c>
      <x:c r="L89" s="25" t="n">
        <x:f>SUM(C89:K89)</x:f>
        <x:v>24</x:v>
      </x:c>
      <x:c r="M89" s="1" t="n">
        <x:f>IF(C89&gt;'Controls'!$B$12,1,0)+IF(D89&gt;'Controls'!$B$13,1,0)+IF(E89&gt;'Controls'!$B$14,1,0)+IF(F89&gt;'Controls'!$B$15,1,0)+IF(G89&gt;'Controls'!$B$16,1,0)+IF(H89&gt;'Controls'!$B$17,1,0)+IF(I89&gt;'Controls'!$B$18,1,0)+IF(J89&gt;'Controls'!$B$19,1,0)+IF(K89&gt;'Controls'!$B$20,1,0)</x:f>
        <x:v>0</x:v>
      </x:c>
    </x:row>
    <x:row r="90" ht="23" customHeight="1">
      <x:c r="A90" s="6" t="n">
        <x:v>83</x:v>
      </x:c>
      <x:c r="B90" s="18" t="n">
        <x:f>INDEX('Calendar'!$C$8:$C$907,493)</x:f>
        <x:v>46902</x:v>
      </x:c>
      <x:c r="C90" s="24" t="n">
        <x:f>SUMPRODUCT(('Activities'!$E$8:$E$816="Earthworks")*'Activities'!$I$8:$I$816,'Weekly Gantt'!CI8:CI816)/6</x:f>
        <x:v>0</x:v>
      </x:c>
      <x:c r="D90" s="24" t="n">
        <x:f>SUMPRODUCT(('Activities'!$E$8:$E$816="Formwork")*'Activities'!$I$8:$I$816,'Weekly Gantt'!CI8:CI816)/6</x:f>
        <x:v>0</x:v>
      </x:c>
      <x:c r="E90" s="24" t="n">
        <x:f>SUMPRODUCT(('Activities'!$E$8:$E$816="Rebar")*'Activities'!$I$8:$I$816,'Weekly Gantt'!CI8:CI816)/6</x:f>
        <x:v>0</x:v>
      </x:c>
      <x:c r="F90" s="24" t="n">
        <x:f>SUMPRODUCT(('Activities'!$E$8:$E$816="Concrete")*'Activities'!$I$8:$I$816,'Weekly Gantt'!CI8:CI816)/6</x:f>
        <x:v>0</x:v>
      </x:c>
      <x:c r="G90" s="24" t="n">
        <x:f>SUMPRODUCT(('Activities'!$E$8:$E$816="Masonry")*'Activities'!$I$8:$I$816,'Weekly Gantt'!CI8:CI816)/6</x:f>
        <x:v>0</x:v>
      </x:c>
      <x:c r="H90" s="24" t="n">
        <x:f>SUMPRODUCT(('Activities'!$E$8:$E$816="Finishes")*'Activities'!$I$8:$I$816,'Weekly Gantt'!CI8:CI816)/6</x:f>
        <x:v>0</x:v>
      </x:c>
      <x:c r="I90" s="24" t="n">
        <x:f>SUMPRODUCT(('Activities'!$E$8:$E$816="Envelope")*'Activities'!$I$8:$I$816,'Weekly Gantt'!CI8:CI816)/6</x:f>
        <x:v>0</x:v>
      </x:c>
      <x:c r="J90" s="24" t="n">
        <x:f>SUMPRODUCT(('Activities'!$E$8:$E$816="External")*'Activities'!$I$8:$I$816,'Weekly Gantt'!CI8:CI816)/6</x:f>
        <x:v>0</x:v>
      </x:c>
      <x:c r="K90" s="24" t="n">
        <x:f>SUMPRODUCT(('Activities'!$E$8:$E$816="Site")*'Activities'!$I$8:$I$816,'Weekly Gantt'!CI8:CI816)/6</x:f>
        <x:v>24</x:v>
      </x:c>
      <x:c r="L90" s="24" t="n">
        <x:f>SUM(C90:K90)</x:f>
        <x:v>24</x:v>
      </x:c>
      <x:c r="M90" s="6" t="n">
        <x:f>IF(C90&gt;'Controls'!$B$12,1,0)+IF(D90&gt;'Controls'!$B$13,1,0)+IF(E90&gt;'Controls'!$B$14,1,0)+IF(F90&gt;'Controls'!$B$15,1,0)+IF(G90&gt;'Controls'!$B$16,1,0)+IF(H90&gt;'Controls'!$B$17,1,0)+IF(I90&gt;'Controls'!$B$18,1,0)+IF(J90&gt;'Controls'!$B$19,1,0)+IF(K90&gt;'Controls'!$B$20,1,0)</x:f>
        <x:v>0</x:v>
      </x:c>
    </x:row>
    <x:row r="91" ht="23" customHeight="1">
      <x:c r="A91" s="1" t="n">
        <x:v>84</x:v>
      </x:c>
      <x:c r="B91" s="19" t="n">
        <x:f>INDEX('Calendar'!$C$8:$C$907,499)</x:f>
        <x:v>46909</x:v>
      </x:c>
      <x:c r="C91" s="25" t="n">
        <x:f>SUMPRODUCT(('Activities'!$E$8:$E$816="Earthworks")*'Activities'!$I$8:$I$816,'Weekly Gantt'!CJ8:CJ816)/6</x:f>
        <x:v>0</x:v>
      </x:c>
      <x:c r="D91" s="25" t="n">
        <x:f>SUMPRODUCT(('Activities'!$E$8:$E$816="Formwork")*'Activities'!$I$8:$I$816,'Weekly Gantt'!CJ8:CJ816)/6</x:f>
        <x:v>0</x:v>
      </x:c>
      <x:c r="E91" s="25" t="n">
        <x:f>SUMPRODUCT(('Activities'!$E$8:$E$816="Rebar")*'Activities'!$I$8:$I$816,'Weekly Gantt'!CJ8:CJ816)/6</x:f>
        <x:v>0</x:v>
      </x:c>
      <x:c r="F91" s="25" t="n">
        <x:f>SUMPRODUCT(('Activities'!$E$8:$E$816="Concrete")*'Activities'!$I$8:$I$816,'Weekly Gantt'!CJ8:CJ816)/6</x:f>
        <x:v>0</x:v>
      </x:c>
      <x:c r="G91" s="25" t="n">
        <x:f>SUMPRODUCT(('Activities'!$E$8:$E$816="Masonry")*'Activities'!$I$8:$I$816,'Weekly Gantt'!CJ8:CJ816)/6</x:f>
        <x:v>0</x:v>
      </x:c>
      <x:c r="H91" s="25" t="n">
        <x:f>SUMPRODUCT(('Activities'!$E$8:$E$816="Finishes")*'Activities'!$I$8:$I$816,'Weekly Gantt'!CJ8:CJ816)/6</x:f>
        <x:v>0</x:v>
      </x:c>
      <x:c r="I91" s="25" t="n">
        <x:f>SUMPRODUCT(('Activities'!$E$8:$E$816="Envelope")*'Activities'!$I$8:$I$816,'Weekly Gantt'!CJ8:CJ816)/6</x:f>
        <x:v>0</x:v>
      </x:c>
      <x:c r="J91" s="25" t="n">
        <x:f>SUMPRODUCT(('Activities'!$E$8:$E$816="External")*'Activities'!$I$8:$I$816,'Weekly Gantt'!CJ8:CJ816)/6</x:f>
        <x:v>0</x:v>
      </x:c>
      <x:c r="K91" s="25" t="n">
        <x:f>SUMPRODUCT(('Activities'!$E$8:$E$816="Site")*'Activities'!$I$8:$I$816,'Weekly Gantt'!CJ8:CJ816)/6</x:f>
        <x:v>16</x:v>
      </x:c>
      <x:c r="L91" s="25" t="n">
        <x:f>SUM(C91:K91)</x:f>
        <x:v>16</x:v>
      </x:c>
      <x:c r="M91" s="1" t="n">
        <x:f>IF(C91&gt;'Controls'!$B$12,1,0)+IF(D91&gt;'Controls'!$B$13,1,0)+IF(E91&gt;'Controls'!$B$14,1,0)+IF(F91&gt;'Controls'!$B$15,1,0)+IF(G91&gt;'Controls'!$B$16,1,0)+IF(H91&gt;'Controls'!$B$17,1,0)+IF(I91&gt;'Controls'!$B$18,1,0)+IF(J91&gt;'Controls'!$B$19,1,0)+IF(K91&gt;'Controls'!$B$20,1,0)</x:f>
        <x:v>0</x:v>
      </x:c>
    </x:row>
    <x:row r="92" ht="23" customHeight="1">
      <x:c r="A92" s="6" t="n">
        <x:v>85</x:v>
      </x:c>
      <x:c r="B92" s="18" t="n">
        <x:f>INDEX('Calendar'!$C$8:$C$907,505)</x:f>
        <x:v>46916</x:v>
      </x:c>
      <x:c r="C92" s="24" t="n">
        <x:f>SUMPRODUCT(('Activities'!$E$8:$E$816="Earthworks")*'Activities'!$I$8:$I$816,'Weekly Gantt'!CK8:CK816)/6</x:f>
        <x:v>0</x:v>
      </x:c>
      <x:c r="D92" s="24" t="n">
        <x:f>SUMPRODUCT(('Activities'!$E$8:$E$816="Formwork")*'Activities'!$I$8:$I$816,'Weekly Gantt'!CK8:CK816)/6</x:f>
        <x:v>0</x:v>
      </x:c>
      <x:c r="E92" s="24" t="n">
        <x:f>SUMPRODUCT(('Activities'!$E$8:$E$816="Rebar")*'Activities'!$I$8:$I$816,'Weekly Gantt'!CK8:CK816)/6</x:f>
        <x:v>0</x:v>
      </x:c>
      <x:c r="F92" s="24" t="n">
        <x:f>SUMPRODUCT(('Activities'!$E$8:$E$816="Concrete")*'Activities'!$I$8:$I$816,'Weekly Gantt'!CK8:CK816)/6</x:f>
        <x:v>0</x:v>
      </x:c>
      <x:c r="G92" s="24" t="n">
        <x:f>SUMPRODUCT(('Activities'!$E$8:$E$816="Masonry")*'Activities'!$I$8:$I$816,'Weekly Gantt'!CK8:CK816)/6</x:f>
        <x:v>0</x:v>
      </x:c>
      <x:c r="H92" s="24" t="n">
        <x:f>SUMPRODUCT(('Activities'!$E$8:$E$816="Finishes")*'Activities'!$I$8:$I$816,'Weekly Gantt'!CK8:CK816)/6</x:f>
        <x:v>0</x:v>
      </x:c>
      <x:c r="I92" s="24" t="n">
        <x:f>SUMPRODUCT(('Activities'!$E$8:$E$816="Envelope")*'Activities'!$I$8:$I$816,'Weekly Gantt'!CK8:CK816)/6</x:f>
        <x:v>0</x:v>
      </x:c>
      <x:c r="J92" s="24" t="n">
        <x:f>SUMPRODUCT(('Activities'!$E$8:$E$816="External")*'Activities'!$I$8:$I$816,'Weekly Gantt'!CK8:CK816)/6</x:f>
        <x:v>0</x:v>
      </x:c>
      <x:c r="K92" s="24" t="n">
        <x:f>SUMPRODUCT(('Activities'!$E$8:$E$816="Site")*'Activities'!$I$8:$I$816,'Weekly Gantt'!CK8:CK816)/6</x:f>
        <x:v>0</x:v>
      </x:c>
      <x:c r="L92" s="24" t="n">
        <x:f>SUM(C92:K92)</x:f>
        <x:v>0</x:v>
      </x:c>
      <x:c r="M92" s="6" t="n">
        <x:f>IF(C92&gt;'Controls'!$B$12,1,0)+IF(D92&gt;'Controls'!$B$13,1,0)+IF(E92&gt;'Controls'!$B$14,1,0)+IF(F92&gt;'Controls'!$B$15,1,0)+IF(G92&gt;'Controls'!$B$16,1,0)+IF(H92&gt;'Controls'!$B$17,1,0)+IF(I92&gt;'Controls'!$B$18,1,0)+IF(J92&gt;'Controls'!$B$19,1,0)+IF(K92&gt;'Controls'!$B$20,1,0)</x:f>
        <x:v>0</x:v>
      </x:c>
    </x:row>
    <x:row r="93" ht="23" customHeight="1">
      <x:c r="A93" s="1" t="n">
        <x:v>86</x:v>
      </x:c>
      <x:c r="B93" s="19" t="n">
        <x:f>INDEX('Calendar'!$C$8:$C$907,511)</x:f>
        <x:v>46923</x:v>
      </x:c>
      <x:c r="C93" s="25" t="n">
        <x:f>SUMPRODUCT(('Activities'!$E$8:$E$816="Earthworks")*'Activities'!$I$8:$I$816,'Weekly Gantt'!CL8:CL816)/6</x:f>
        <x:v>0</x:v>
      </x:c>
      <x:c r="D93" s="25" t="n">
        <x:f>SUMPRODUCT(('Activities'!$E$8:$E$816="Formwork")*'Activities'!$I$8:$I$816,'Weekly Gantt'!CL8:CL816)/6</x:f>
        <x:v>0</x:v>
      </x:c>
      <x:c r="E93" s="25" t="n">
        <x:f>SUMPRODUCT(('Activities'!$E$8:$E$816="Rebar")*'Activities'!$I$8:$I$816,'Weekly Gantt'!CL8:CL816)/6</x:f>
        <x:v>0</x:v>
      </x:c>
      <x:c r="F93" s="25" t="n">
        <x:f>SUMPRODUCT(('Activities'!$E$8:$E$816="Concrete")*'Activities'!$I$8:$I$816,'Weekly Gantt'!CL8:CL816)/6</x:f>
        <x:v>0</x:v>
      </x:c>
      <x:c r="G93" s="25" t="n">
        <x:f>SUMPRODUCT(('Activities'!$E$8:$E$816="Masonry")*'Activities'!$I$8:$I$816,'Weekly Gantt'!CL8:CL816)/6</x:f>
        <x:v>0</x:v>
      </x:c>
      <x:c r="H93" s="25" t="n">
        <x:f>SUMPRODUCT(('Activities'!$E$8:$E$816="Finishes")*'Activities'!$I$8:$I$816,'Weekly Gantt'!CL8:CL816)/6</x:f>
        <x:v>0</x:v>
      </x:c>
      <x:c r="I93" s="25" t="n">
        <x:f>SUMPRODUCT(('Activities'!$E$8:$E$816="Envelope")*'Activities'!$I$8:$I$816,'Weekly Gantt'!CL8:CL816)/6</x:f>
        <x:v>0</x:v>
      </x:c>
      <x:c r="J93" s="25" t="n">
        <x:f>SUMPRODUCT(('Activities'!$E$8:$E$816="External")*'Activities'!$I$8:$I$816,'Weekly Gantt'!CL8:CL816)/6</x:f>
        <x:v>0</x:v>
      </x:c>
      <x:c r="K93" s="25" t="n">
        <x:f>SUMPRODUCT(('Activities'!$E$8:$E$816="Site")*'Activities'!$I$8:$I$816,'Weekly Gantt'!CL8:CL816)/6</x:f>
        <x:v>0</x:v>
      </x:c>
      <x:c r="L93" s="25" t="n">
        <x:f>SUM(C93:K93)</x:f>
        <x:v>0</x:v>
      </x:c>
      <x:c r="M93" s="1" t="n">
        <x:f>IF(C93&gt;'Controls'!$B$12,1,0)+IF(D93&gt;'Controls'!$B$13,1,0)+IF(E93&gt;'Controls'!$B$14,1,0)+IF(F93&gt;'Controls'!$B$15,1,0)+IF(G93&gt;'Controls'!$B$16,1,0)+IF(H93&gt;'Controls'!$B$17,1,0)+IF(I93&gt;'Controls'!$B$18,1,0)+IF(J93&gt;'Controls'!$B$19,1,0)+IF(K93&gt;'Controls'!$B$20,1,0)</x:f>
        <x:v>0</x:v>
      </x:c>
    </x:row>
    <x:row r="94" ht="23" customHeight="1">
      <x:c r="A94" s="6" t="n">
        <x:v>87</x:v>
      </x:c>
      <x:c r="B94" s="18" t="n">
        <x:f>INDEX('Calendar'!$C$8:$C$907,517)</x:f>
        <x:v>46930</x:v>
      </x:c>
      <x:c r="C94" s="24" t="n">
        <x:f>SUMPRODUCT(('Activities'!$E$8:$E$816="Earthworks")*'Activities'!$I$8:$I$816,'Weekly Gantt'!CM8:CM816)/6</x:f>
        <x:v>0</x:v>
      </x:c>
      <x:c r="D94" s="24" t="n">
        <x:f>SUMPRODUCT(('Activities'!$E$8:$E$816="Formwork")*'Activities'!$I$8:$I$816,'Weekly Gantt'!CM8:CM816)/6</x:f>
        <x:v>0</x:v>
      </x:c>
      <x:c r="E94" s="24" t="n">
        <x:f>SUMPRODUCT(('Activities'!$E$8:$E$816="Rebar")*'Activities'!$I$8:$I$816,'Weekly Gantt'!CM8:CM816)/6</x:f>
        <x:v>0</x:v>
      </x:c>
      <x:c r="F94" s="24" t="n">
        <x:f>SUMPRODUCT(('Activities'!$E$8:$E$816="Concrete")*'Activities'!$I$8:$I$816,'Weekly Gantt'!CM8:CM816)/6</x:f>
        <x:v>0</x:v>
      </x:c>
      <x:c r="G94" s="24" t="n">
        <x:f>SUMPRODUCT(('Activities'!$E$8:$E$816="Masonry")*'Activities'!$I$8:$I$816,'Weekly Gantt'!CM8:CM816)/6</x:f>
        <x:v>0</x:v>
      </x:c>
      <x:c r="H94" s="24" t="n">
        <x:f>SUMPRODUCT(('Activities'!$E$8:$E$816="Finishes")*'Activities'!$I$8:$I$816,'Weekly Gantt'!CM8:CM816)/6</x:f>
        <x:v>0</x:v>
      </x:c>
      <x:c r="I94" s="24" t="n">
        <x:f>SUMPRODUCT(('Activities'!$E$8:$E$816="Envelope")*'Activities'!$I$8:$I$816,'Weekly Gantt'!CM8:CM816)/6</x:f>
        <x:v>0</x:v>
      </x:c>
      <x:c r="J94" s="24" t="n">
        <x:f>SUMPRODUCT(('Activities'!$E$8:$E$816="External")*'Activities'!$I$8:$I$816,'Weekly Gantt'!CM8:CM816)/6</x:f>
        <x:v>0</x:v>
      </x:c>
      <x:c r="K94" s="24" t="n">
        <x:f>SUMPRODUCT(('Activities'!$E$8:$E$816="Site")*'Activities'!$I$8:$I$816,'Weekly Gantt'!CM8:CM816)/6</x:f>
        <x:v>0</x:v>
      </x:c>
      <x:c r="L94" s="24" t="n">
        <x:f>SUM(C94:K94)</x:f>
        <x:v>0</x:v>
      </x:c>
      <x:c r="M94" s="6" t="n">
        <x:f>IF(C94&gt;'Controls'!$B$12,1,0)+IF(D94&gt;'Controls'!$B$13,1,0)+IF(E94&gt;'Controls'!$B$14,1,0)+IF(F94&gt;'Controls'!$B$15,1,0)+IF(G94&gt;'Controls'!$B$16,1,0)+IF(H94&gt;'Controls'!$B$17,1,0)+IF(I94&gt;'Controls'!$B$18,1,0)+IF(J94&gt;'Controls'!$B$19,1,0)+IF(K94&gt;'Controls'!$B$20,1,0)</x:f>
        <x:v>0</x:v>
      </x:c>
    </x:row>
    <x:row r="95" ht="23" customHeight="1">
      <x:c r="A95" s="1" t="n">
        <x:v>88</x:v>
      </x:c>
      <x:c r="B95" s="19" t="n">
        <x:f>INDEX('Calendar'!$C$8:$C$907,523)</x:f>
        <x:v>46937</x:v>
      </x:c>
      <x:c r="C95" s="25" t="n">
        <x:f>SUMPRODUCT(('Activities'!$E$8:$E$816="Earthworks")*'Activities'!$I$8:$I$816,'Weekly Gantt'!CN8:CN816)/6</x:f>
        <x:v>0</x:v>
      </x:c>
      <x:c r="D95" s="25" t="n">
        <x:f>SUMPRODUCT(('Activities'!$E$8:$E$816="Formwork")*'Activities'!$I$8:$I$816,'Weekly Gantt'!CN8:CN816)/6</x:f>
        <x:v>0</x:v>
      </x:c>
      <x:c r="E95" s="25" t="n">
        <x:f>SUMPRODUCT(('Activities'!$E$8:$E$816="Rebar")*'Activities'!$I$8:$I$816,'Weekly Gantt'!CN8:CN816)/6</x:f>
        <x:v>0</x:v>
      </x:c>
      <x:c r="F95" s="25" t="n">
        <x:f>SUMPRODUCT(('Activities'!$E$8:$E$816="Concrete")*'Activities'!$I$8:$I$816,'Weekly Gantt'!CN8:CN816)/6</x:f>
        <x:v>0</x:v>
      </x:c>
      <x:c r="G95" s="25" t="n">
        <x:f>SUMPRODUCT(('Activities'!$E$8:$E$816="Masonry")*'Activities'!$I$8:$I$816,'Weekly Gantt'!CN8:CN816)/6</x:f>
        <x:v>0</x:v>
      </x:c>
      <x:c r="H95" s="25" t="n">
        <x:f>SUMPRODUCT(('Activities'!$E$8:$E$816="Finishes")*'Activities'!$I$8:$I$816,'Weekly Gantt'!CN8:CN816)/6</x:f>
        <x:v>0</x:v>
      </x:c>
      <x:c r="I95" s="25" t="n">
        <x:f>SUMPRODUCT(('Activities'!$E$8:$E$816="Envelope")*'Activities'!$I$8:$I$816,'Weekly Gantt'!CN8:CN816)/6</x:f>
        <x:v>0</x:v>
      </x:c>
      <x:c r="J95" s="25" t="n">
        <x:f>SUMPRODUCT(('Activities'!$E$8:$E$816="External")*'Activities'!$I$8:$I$816,'Weekly Gantt'!CN8:CN816)/6</x:f>
        <x:v>0</x:v>
      </x:c>
      <x:c r="K95" s="25" t="n">
        <x:f>SUMPRODUCT(('Activities'!$E$8:$E$816="Site")*'Activities'!$I$8:$I$816,'Weekly Gantt'!CN8:CN816)/6</x:f>
        <x:v>0</x:v>
      </x:c>
      <x:c r="L95" s="25" t="n">
        <x:f>SUM(C95:K95)</x:f>
        <x:v>0</x:v>
      </x:c>
      <x:c r="M95" s="1" t="n">
        <x:f>IF(C95&gt;'Controls'!$B$12,1,0)+IF(D95&gt;'Controls'!$B$13,1,0)+IF(E95&gt;'Controls'!$B$14,1,0)+IF(F95&gt;'Controls'!$B$15,1,0)+IF(G95&gt;'Controls'!$B$16,1,0)+IF(H95&gt;'Controls'!$B$17,1,0)+IF(I95&gt;'Controls'!$B$18,1,0)+IF(J95&gt;'Controls'!$B$19,1,0)+IF(K95&gt;'Controls'!$B$20,1,0)</x:f>
        <x:v>0</x:v>
      </x:c>
    </x:row>
    <x:row r="96" ht="23" customHeight="1">
      <x:c r="A96" s="6" t="n">
        <x:v>89</x:v>
      </x:c>
      <x:c r="B96" s="18" t="n">
        <x:f>INDEX('Calendar'!$C$8:$C$907,529)</x:f>
        <x:v>46944</x:v>
      </x:c>
      <x:c r="C96" s="24" t="n">
        <x:f>SUMPRODUCT(('Activities'!$E$8:$E$816="Earthworks")*'Activities'!$I$8:$I$816,'Weekly Gantt'!CO8:CO816)/6</x:f>
        <x:v>0</x:v>
      </x:c>
      <x:c r="D96" s="24" t="n">
        <x:f>SUMPRODUCT(('Activities'!$E$8:$E$816="Formwork")*'Activities'!$I$8:$I$816,'Weekly Gantt'!CO8:CO816)/6</x:f>
        <x:v>0</x:v>
      </x:c>
      <x:c r="E96" s="24" t="n">
        <x:f>SUMPRODUCT(('Activities'!$E$8:$E$816="Rebar")*'Activities'!$I$8:$I$816,'Weekly Gantt'!CO8:CO816)/6</x:f>
        <x:v>0</x:v>
      </x:c>
      <x:c r="F96" s="24" t="n">
        <x:f>SUMPRODUCT(('Activities'!$E$8:$E$816="Concrete")*'Activities'!$I$8:$I$816,'Weekly Gantt'!CO8:CO816)/6</x:f>
        <x:v>0</x:v>
      </x:c>
      <x:c r="G96" s="24" t="n">
        <x:f>SUMPRODUCT(('Activities'!$E$8:$E$816="Masonry")*'Activities'!$I$8:$I$816,'Weekly Gantt'!CO8:CO816)/6</x:f>
        <x:v>0</x:v>
      </x:c>
      <x:c r="H96" s="24" t="n">
        <x:f>SUMPRODUCT(('Activities'!$E$8:$E$816="Finishes")*'Activities'!$I$8:$I$816,'Weekly Gantt'!CO8:CO816)/6</x:f>
        <x:v>0</x:v>
      </x:c>
      <x:c r="I96" s="24" t="n">
        <x:f>SUMPRODUCT(('Activities'!$E$8:$E$816="Envelope")*'Activities'!$I$8:$I$816,'Weekly Gantt'!CO8:CO816)/6</x:f>
        <x:v>0</x:v>
      </x:c>
      <x:c r="J96" s="24" t="n">
        <x:f>SUMPRODUCT(('Activities'!$E$8:$E$816="External")*'Activities'!$I$8:$I$816,'Weekly Gantt'!CO8:CO816)/6</x:f>
        <x:v>0</x:v>
      </x:c>
      <x:c r="K96" s="24" t="n">
        <x:f>SUMPRODUCT(('Activities'!$E$8:$E$816="Site")*'Activities'!$I$8:$I$816,'Weekly Gantt'!CO8:CO816)/6</x:f>
        <x:v>0</x:v>
      </x:c>
      <x:c r="L96" s="24" t="n">
        <x:f>SUM(C96:K96)</x:f>
        <x:v>0</x:v>
      </x:c>
      <x:c r="M96" s="6" t="n">
        <x:f>IF(C96&gt;'Controls'!$B$12,1,0)+IF(D96&gt;'Controls'!$B$13,1,0)+IF(E96&gt;'Controls'!$B$14,1,0)+IF(F96&gt;'Controls'!$B$15,1,0)+IF(G96&gt;'Controls'!$B$16,1,0)+IF(H96&gt;'Controls'!$B$17,1,0)+IF(I96&gt;'Controls'!$B$18,1,0)+IF(J96&gt;'Controls'!$B$19,1,0)+IF(K96&gt;'Controls'!$B$20,1,0)</x:f>
        <x:v>0</x:v>
      </x:c>
    </x:row>
    <x:row r="97" ht="23" customHeight="1">
      <x:c r="A97" s="1" t="n">
        <x:v>90</x:v>
      </x:c>
      <x:c r="B97" s="19" t="n">
        <x:f>INDEX('Calendar'!$C$8:$C$907,535)</x:f>
        <x:v>46951</x:v>
      </x:c>
      <x:c r="C97" s="25" t="n">
        <x:f>SUMPRODUCT(('Activities'!$E$8:$E$816="Earthworks")*'Activities'!$I$8:$I$816,'Weekly Gantt'!CP8:CP816)/6</x:f>
        <x:v>0</x:v>
      </x:c>
      <x:c r="D97" s="25" t="n">
        <x:f>SUMPRODUCT(('Activities'!$E$8:$E$816="Formwork")*'Activities'!$I$8:$I$816,'Weekly Gantt'!CP8:CP816)/6</x:f>
        <x:v>0</x:v>
      </x:c>
      <x:c r="E97" s="25" t="n">
        <x:f>SUMPRODUCT(('Activities'!$E$8:$E$816="Rebar")*'Activities'!$I$8:$I$816,'Weekly Gantt'!CP8:CP816)/6</x:f>
        <x:v>0</x:v>
      </x:c>
      <x:c r="F97" s="25" t="n">
        <x:f>SUMPRODUCT(('Activities'!$E$8:$E$816="Concrete")*'Activities'!$I$8:$I$816,'Weekly Gantt'!CP8:CP816)/6</x:f>
        <x:v>0</x:v>
      </x:c>
      <x:c r="G97" s="25" t="n">
        <x:f>SUMPRODUCT(('Activities'!$E$8:$E$816="Masonry")*'Activities'!$I$8:$I$816,'Weekly Gantt'!CP8:CP816)/6</x:f>
        <x:v>0</x:v>
      </x:c>
      <x:c r="H97" s="25" t="n">
        <x:f>SUMPRODUCT(('Activities'!$E$8:$E$816="Finishes")*'Activities'!$I$8:$I$816,'Weekly Gantt'!CP8:CP816)/6</x:f>
        <x:v>0</x:v>
      </x:c>
      <x:c r="I97" s="25" t="n">
        <x:f>SUMPRODUCT(('Activities'!$E$8:$E$816="Envelope")*'Activities'!$I$8:$I$816,'Weekly Gantt'!CP8:CP816)/6</x:f>
        <x:v>0</x:v>
      </x:c>
      <x:c r="J97" s="25" t="n">
        <x:f>SUMPRODUCT(('Activities'!$E$8:$E$816="External")*'Activities'!$I$8:$I$816,'Weekly Gantt'!CP8:CP816)/6</x:f>
        <x:v>0</x:v>
      </x:c>
      <x:c r="K97" s="25" t="n">
        <x:f>SUMPRODUCT(('Activities'!$E$8:$E$816="Site")*'Activities'!$I$8:$I$816,'Weekly Gantt'!CP8:CP816)/6</x:f>
        <x:v>0</x:v>
      </x:c>
      <x:c r="L97" s="25" t="n">
        <x:f>SUM(C97:K97)</x:f>
        <x:v>0</x:v>
      </x:c>
      <x:c r="M97" s="1" t="n">
        <x:f>IF(C97&gt;'Controls'!$B$12,1,0)+IF(D97&gt;'Controls'!$B$13,1,0)+IF(E97&gt;'Controls'!$B$14,1,0)+IF(F97&gt;'Controls'!$B$15,1,0)+IF(G97&gt;'Controls'!$B$16,1,0)+IF(H97&gt;'Controls'!$B$17,1,0)+IF(I97&gt;'Controls'!$B$18,1,0)+IF(J97&gt;'Controls'!$B$19,1,0)+IF(K97&gt;'Controls'!$B$20,1,0)</x:f>
        <x:v>0</x:v>
      </x:c>
    </x:row>
    <x:row r="98" ht="23" customHeight="1">
      <x:c r="A98" s="6" t="n">
        <x:v>91</x:v>
      </x:c>
      <x:c r="B98" s="18" t="n">
        <x:f>INDEX('Calendar'!$C$8:$C$907,541)</x:f>
        <x:v>46958</x:v>
      </x:c>
      <x:c r="C98" s="24" t="n">
        <x:f>SUMPRODUCT(('Activities'!$E$8:$E$816="Earthworks")*'Activities'!$I$8:$I$816,'Weekly Gantt'!CQ8:CQ816)/6</x:f>
        <x:v>0</x:v>
      </x:c>
      <x:c r="D98" s="24" t="n">
        <x:f>SUMPRODUCT(('Activities'!$E$8:$E$816="Formwork")*'Activities'!$I$8:$I$816,'Weekly Gantt'!CQ8:CQ816)/6</x:f>
        <x:v>0</x:v>
      </x:c>
      <x:c r="E98" s="24" t="n">
        <x:f>SUMPRODUCT(('Activities'!$E$8:$E$816="Rebar")*'Activities'!$I$8:$I$816,'Weekly Gantt'!CQ8:CQ816)/6</x:f>
        <x:v>0</x:v>
      </x:c>
      <x:c r="F98" s="24" t="n">
        <x:f>SUMPRODUCT(('Activities'!$E$8:$E$816="Concrete")*'Activities'!$I$8:$I$816,'Weekly Gantt'!CQ8:CQ816)/6</x:f>
        <x:v>0</x:v>
      </x:c>
      <x:c r="G98" s="24" t="n">
        <x:f>SUMPRODUCT(('Activities'!$E$8:$E$816="Masonry")*'Activities'!$I$8:$I$816,'Weekly Gantt'!CQ8:CQ816)/6</x:f>
        <x:v>0</x:v>
      </x:c>
      <x:c r="H98" s="24" t="n">
        <x:f>SUMPRODUCT(('Activities'!$E$8:$E$816="Finishes")*'Activities'!$I$8:$I$816,'Weekly Gantt'!CQ8:CQ816)/6</x:f>
        <x:v>0</x:v>
      </x:c>
      <x:c r="I98" s="24" t="n">
        <x:f>SUMPRODUCT(('Activities'!$E$8:$E$816="Envelope")*'Activities'!$I$8:$I$816,'Weekly Gantt'!CQ8:CQ816)/6</x:f>
        <x:v>0</x:v>
      </x:c>
      <x:c r="J98" s="24" t="n">
        <x:f>SUMPRODUCT(('Activities'!$E$8:$E$816="External")*'Activities'!$I$8:$I$816,'Weekly Gantt'!CQ8:CQ816)/6</x:f>
        <x:v>0</x:v>
      </x:c>
      <x:c r="K98" s="24" t="n">
        <x:f>SUMPRODUCT(('Activities'!$E$8:$E$816="Site")*'Activities'!$I$8:$I$816,'Weekly Gantt'!CQ8:CQ816)/6</x:f>
        <x:v>0</x:v>
      </x:c>
      <x:c r="L98" s="24" t="n">
        <x:f>SUM(C98:K98)</x:f>
        <x:v>0</x:v>
      </x:c>
      <x:c r="M98" s="6" t="n">
        <x:f>IF(C98&gt;'Controls'!$B$12,1,0)+IF(D98&gt;'Controls'!$B$13,1,0)+IF(E98&gt;'Controls'!$B$14,1,0)+IF(F98&gt;'Controls'!$B$15,1,0)+IF(G98&gt;'Controls'!$B$16,1,0)+IF(H98&gt;'Controls'!$B$17,1,0)+IF(I98&gt;'Controls'!$B$18,1,0)+IF(J98&gt;'Controls'!$B$19,1,0)+IF(K98&gt;'Controls'!$B$20,1,0)</x:f>
        <x:v>0</x:v>
      </x:c>
    </x:row>
    <x:row r="99" ht="23" customHeight="1">
      <x:c r="A99" s="1" t="n">
        <x:v>92</x:v>
      </x:c>
      <x:c r="B99" s="19" t="n">
        <x:f>INDEX('Calendar'!$C$8:$C$907,547)</x:f>
        <x:v>46965</x:v>
      </x:c>
      <x:c r="C99" s="25" t="n">
        <x:f>SUMPRODUCT(('Activities'!$E$8:$E$816="Earthworks")*'Activities'!$I$8:$I$816,'Weekly Gantt'!CR8:CR816)/6</x:f>
        <x:v>0</x:v>
      </x:c>
      <x:c r="D99" s="25" t="n">
        <x:f>SUMPRODUCT(('Activities'!$E$8:$E$816="Formwork")*'Activities'!$I$8:$I$816,'Weekly Gantt'!CR8:CR816)/6</x:f>
        <x:v>0</x:v>
      </x:c>
      <x:c r="E99" s="25" t="n">
        <x:f>SUMPRODUCT(('Activities'!$E$8:$E$816="Rebar")*'Activities'!$I$8:$I$816,'Weekly Gantt'!CR8:CR816)/6</x:f>
        <x:v>0</x:v>
      </x:c>
      <x:c r="F99" s="25" t="n">
        <x:f>SUMPRODUCT(('Activities'!$E$8:$E$816="Concrete")*'Activities'!$I$8:$I$816,'Weekly Gantt'!CR8:CR816)/6</x:f>
        <x:v>0</x:v>
      </x:c>
      <x:c r="G99" s="25" t="n">
        <x:f>SUMPRODUCT(('Activities'!$E$8:$E$816="Masonry")*'Activities'!$I$8:$I$816,'Weekly Gantt'!CR8:CR816)/6</x:f>
        <x:v>0</x:v>
      </x:c>
      <x:c r="H99" s="25" t="n">
        <x:f>SUMPRODUCT(('Activities'!$E$8:$E$816="Finishes")*'Activities'!$I$8:$I$816,'Weekly Gantt'!CR8:CR816)/6</x:f>
        <x:v>0</x:v>
      </x:c>
      <x:c r="I99" s="25" t="n">
        <x:f>SUMPRODUCT(('Activities'!$E$8:$E$816="Envelope")*'Activities'!$I$8:$I$816,'Weekly Gantt'!CR8:CR816)/6</x:f>
        <x:v>0</x:v>
      </x:c>
      <x:c r="J99" s="25" t="n">
        <x:f>SUMPRODUCT(('Activities'!$E$8:$E$816="External")*'Activities'!$I$8:$I$816,'Weekly Gantt'!CR8:CR816)/6</x:f>
        <x:v>0</x:v>
      </x:c>
      <x:c r="K99" s="25" t="n">
        <x:f>SUMPRODUCT(('Activities'!$E$8:$E$816="Site")*'Activities'!$I$8:$I$816,'Weekly Gantt'!CR8:CR816)/6</x:f>
        <x:v>0</x:v>
      </x:c>
      <x:c r="L99" s="25" t="n">
        <x:f>SUM(C99:K99)</x:f>
        <x:v>0</x:v>
      </x:c>
      <x:c r="M99" s="1" t="n">
        <x:f>IF(C99&gt;'Controls'!$B$12,1,0)+IF(D99&gt;'Controls'!$B$13,1,0)+IF(E99&gt;'Controls'!$B$14,1,0)+IF(F99&gt;'Controls'!$B$15,1,0)+IF(G99&gt;'Controls'!$B$16,1,0)+IF(H99&gt;'Controls'!$B$17,1,0)+IF(I99&gt;'Controls'!$B$18,1,0)+IF(J99&gt;'Controls'!$B$19,1,0)+IF(K99&gt;'Controls'!$B$20,1,0)</x:f>
        <x:v>0</x:v>
      </x:c>
    </x:row>
    <x:row r="100" ht="23" customHeight="1">
      <x:c r="A100" s="6" t="n">
        <x:v>93</x:v>
      </x:c>
      <x:c r="B100" s="18" t="n">
        <x:f>INDEX('Calendar'!$C$8:$C$907,553)</x:f>
        <x:v>46972</x:v>
      </x:c>
      <x:c r="C100" s="24" t="n">
        <x:f>SUMPRODUCT(('Activities'!$E$8:$E$816="Earthworks")*'Activities'!$I$8:$I$816,'Weekly Gantt'!CS8:CS816)/6</x:f>
        <x:v>0</x:v>
      </x:c>
      <x:c r="D100" s="24" t="n">
        <x:f>SUMPRODUCT(('Activities'!$E$8:$E$816="Formwork")*'Activities'!$I$8:$I$816,'Weekly Gantt'!CS8:CS816)/6</x:f>
        <x:v>0</x:v>
      </x:c>
      <x:c r="E100" s="24" t="n">
        <x:f>SUMPRODUCT(('Activities'!$E$8:$E$816="Rebar")*'Activities'!$I$8:$I$816,'Weekly Gantt'!CS8:CS816)/6</x:f>
        <x:v>0</x:v>
      </x:c>
      <x:c r="F100" s="24" t="n">
        <x:f>SUMPRODUCT(('Activities'!$E$8:$E$816="Concrete")*'Activities'!$I$8:$I$816,'Weekly Gantt'!CS8:CS816)/6</x:f>
        <x:v>0</x:v>
      </x:c>
      <x:c r="G100" s="24" t="n">
        <x:f>SUMPRODUCT(('Activities'!$E$8:$E$816="Masonry")*'Activities'!$I$8:$I$816,'Weekly Gantt'!CS8:CS816)/6</x:f>
        <x:v>0</x:v>
      </x:c>
      <x:c r="H100" s="24" t="n">
        <x:f>SUMPRODUCT(('Activities'!$E$8:$E$816="Finishes")*'Activities'!$I$8:$I$816,'Weekly Gantt'!CS8:CS816)/6</x:f>
        <x:v>0</x:v>
      </x:c>
      <x:c r="I100" s="24" t="n">
        <x:f>SUMPRODUCT(('Activities'!$E$8:$E$816="Envelope")*'Activities'!$I$8:$I$816,'Weekly Gantt'!CS8:CS816)/6</x:f>
        <x:v>0</x:v>
      </x:c>
      <x:c r="J100" s="24" t="n">
        <x:f>SUMPRODUCT(('Activities'!$E$8:$E$816="External")*'Activities'!$I$8:$I$816,'Weekly Gantt'!CS8:CS816)/6</x:f>
        <x:v>0</x:v>
      </x:c>
      <x:c r="K100" s="24" t="n">
        <x:f>SUMPRODUCT(('Activities'!$E$8:$E$816="Site")*'Activities'!$I$8:$I$816,'Weekly Gantt'!CS8:CS816)/6</x:f>
        <x:v>0</x:v>
      </x:c>
      <x:c r="L100" s="24" t="n">
        <x:f>SUM(C100:K100)</x:f>
        <x:v>0</x:v>
      </x:c>
      <x:c r="M100" s="6" t="n">
        <x:f>IF(C100&gt;'Controls'!$B$12,1,0)+IF(D100&gt;'Controls'!$B$13,1,0)+IF(E100&gt;'Controls'!$B$14,1,0)+IF(F100&gt;'Controls'!$B$15,1,0)+IF(G100&gt;'Controls'!$B$16,1,0)+IF(H100&gt;'Controls'!$B$17,1,0)+IF(I100&gt;'Controls'!$B$18,1,0)+IF(J100&gt;'Controls'!$B$19,1,0)+IF(K100&gt;'Controls'!$B$20,1,0)</x:f>
        <x:v>0</x:v>
      </x:c>
    </x:row>
    <x:row r="101" ht="23" customHeight="1">
      <x:c r="A101" s="1" t="n">
        <x:v>94</x:v>
      </x:c>
      <x:c r="B101" s="19" t="n">
        <x:f>INDEX('Calendar'!$C$8:$C$907,559)</x:f>
        <x:v>46979</x:v>
      </x:c>
      <x:c r="C101" s="25" t="n">
        <x:f>SUMPRODUCT(('Activities'!$E$8:$E$816="Earthworks")*'Activities'!$I$8:$I$816,'Weekly Gantt'!CT8:CT816)/6</x:f>
        <x:v>0</x:v>
      </x:c>
      <x:c r="D101" s="25" t="n">
        <x:f>SUMPRODUCT(('Activities'!$E$8:$E$816="Formwork")*'Activities'!$I$8:$I$816,'Weekly Gantt'!CT8:CT816)/6</x:f>
        <x:v>0</x:v>
      </x:c>
      <x:c r="E101" s="25" t="n">
        <x:f>SUMPRODUCT(('Activities'!$E$8:$E$816="Rebar")*'Activities'!$I$8:$I$816,'Weekly Gantt'!CT8:CT816)/6</x:f>
        <x:v>0</x:v>
      </x:c>
      <x:c r="F101" s="25" t="n">
        <x:f>SUMPRODUCT(('Activities'!$E$8:$E$816="Concrete")*'Activities'!$I$8:$I$816,'Weekly Gantt'!CT8:CT816)/6</x:f>
        <x:v>0</x:v>
      </x:c>
      <x:c r="G101" s="25" t="n">
        <x:f>SUMPRODUCT(('Activities'!$E$8:$E$816="Masonry")*'Activities'!$I$8:$I$816,'Weekly Gantt'!CT8:CT816)/6</x:f>
        <x:v>0</x:v>
      </x:c>
      <x:c r="H101" s="25" t="n">
        <x:f>SUMPRODUCT(('Activities'!$E$8:$E$816="Finishes")*'Activities'!$I$8:$I$816,'Weekly Gantt'!CT8:CT816)/6</x:f>
        <x:v>0</x:v>
      </x:c>
      <x:c r="I101" s="25" t="n">
        <x:f>SUMPRODUCT(('Activities'!$E$8:$E$816="Envelope")*'Activities'!$I$8:$I$816,'Weekly Gantt'!CT8:CT816)/6</x:f>
        <x:v>0</x:v>
      </x:c>
      <x:c r="J101" s="25" t="n">
        <x:f>SUMPRODUCT(('Activities'!$E$8:$E$816="External")*'Activities'!$I$8:$I$816,'Weekly Gantt'!CT8:CT816)/6</x:f>
        <x:v>0</x:v>
      </x:c>
      <x:c r="K101" s="25" t="n">
        <x:f>SUMPRODUCT(('Activities'!$E$8:$E$816="Site")*'Activities'!$I$8:$I$816,'Weekly Gantt'!CT8:CT816)/6</x:f>
        <x:v>0</x:v>
      </x:c>
      <x:c r="L101" s="25" t="n">
        <x:f>SUM(C101:K101)</x:f>
        <x:v>0</x:v>
      </x:c>
      <x:c r="M101" s="1" t="n">
        <x:f>IF(C101&gt;'Controls'!$B$12,1,0)+IF(D101&gt;'Controls'!$B$13,1,0)+IF(E101&gt;'Controls'!$B$14,1,0)+IF(F101&gt;'Controls'!$B$15,1,0)+IF(G101&gt;'Controls'!$B$16,1,0)+IF(H101&gt;'Controls'!$B$17,1,0)+IF(I101&gt;'Controls'!$B$18,1,0)+IF(J101&gt;'Controls'!$B$19,1,0)+IF(K101&gt;'Controls'!$B$20,1,0)</x:f>
        <x:v>0</x:v>
      </x:c>
    </x:row>
    <x:row r="102" ht="23" customHeight="1">
      <x:c r="A102" s="6" t="n">
        <x:v>95</x:v>
      </x:c>
      <x:c r="B102" s="18" t="n">
        <x:f>INDEX('Calendar'!$C$8:$C$907,565)</x:f>
        <x:v>46986</x:v>
      </x:c>
      <x:c r="C102" s="24" t="n">
        <x:f>SUMPRODUCT(('Activities'!$E$8:$E$816="Earthworks")*'Activities'!$I$8:$I$816,'Weekly Gantt'!CU8:CU816)/6</x:f>
        <x:v>0</x:v>
      </x:c>
      <x:c r="D102" s="24" t="n">
        <x:f>SUMPRODUCT(('Activities'!$E$8:$E$816="Formwork")*'Activities'!$I$8:$I$816,'Weekly Gantt'!CU8:CU816)/6</x:f>
        <x:v>0</x:v>
      </x:c>
      <x:c r="E102" s="24" t="n">
        <x:f>SUMPRODUCT(('Activities'!$E$8:$E$816="Rebar")*'Activities'!$I$8:$I$816,'Weekly Gantt'!CU8:CU816)/6</x:f>
        <x:v>0</x:v>
      </x:c>
      <x:c r="F102" s="24" t="n">
        <x:f>SUMPRODUCT(('Activities'!$E$8:$E$816="Concrete")*'Activities'!$I$8:$I$816,'Weekly Gantt'!CU8:CU816)/6</x:f>
        <x:v>0</x:v>
      </x:c>
      <x:c r="G102" s="24" t="n">
        <x:f>SUMPRODUCT(('Activities'!$E$8:$E$816="Masonry")*'Activities'!$I$8:$I$816,'Weekly Gantt'!CU8:CU816)/6</x:f>
        <x:v>0</x:v>
      </x:c>
      <x:c r="H102" s="24" t="n">
        <x:f>SUMPRODUCT(('Activities'!$E$8:$E$816="Finishes")*'Activities'!$I$8:$I$816,'Weekly Gantt'!CU8:CU816)/6</x:f>
        <x:v>0</x:v>
      </x:c>
      <x:c r="I102" s="24" t="n">
        <x:f>SUMPRODUCT(('Activities'!$E$8:$E$816="Envelope")*'Activities'!$I$8:$I$816,'Weekly Gantt'!CU8:CU816)/6</x:f>
        <x:v>0</x:v>
      </x:c>
      <x:c r="J102" s="24" t="n">
        <x:f>SUMPRODUCT(('Activities'!$E$8:$E$816="External")*'Activities'!$I$8:$I$816,'Weekly Gantt'!CU8:CU816)/6</x:f>
        <x:v>0</x:v>
      </x:c>
      <x:c r="K102" s="24" t="n">
        <x:f>SUMPRODUCT(('Activities'!$E$8:$E$816="Site")*'Activities'!$I$8:$I$816,'Weekly Gantt'!CU8:CU816)/6</x:f>
        <x:v>0</x:v>
      </x:c>
      <x:c r="L102" s="24" t="n">
        <x:f>SUM(C102:K102)</x:f>
        <x:v>0</x:v>
      </x:c>
      <x:c r="M102" s="6" t="n">
        <x:f>IF(C102&gt;'Controls'!$B$12,1,0)+IF(D102&gt;'Controls'!$B$13,1,0)+IF(E102&gt;'Controls'!$B$14,1,0)+IF(F102&gt;'Controls'!$B$15,1,0)+IF(G102&gt;'Controls'!$B$16,1,0)+IF(H102&gt;'Controls'!$B$17,1,0)+IF(I102&gt;'Controls'!$B$18,1,0)+IF(J102&gt;'Controls'!$B$19,1,0)+IF(K102&gt;'Controls'!$B$20,1,0)</x:f>
        <x:v>0</x:v>
      </x:c>
    </x:row>
    <x:row r="103" ht="23" customHeight="1">
      <x:c r="A103" s="1" t="n">
        <x:v>96</x:v>
      </x:c>
      <x:c r="B103" s="19" t="n">
        <x:f>INDEX('Calendar'!$C$8:$C$907,571)</x:f>
        <x:v>46993</x:v>
      </x:c>
      <x:c r="C103" s="25" t="n">
        <x:f>SUMPRODUCT(('Activities'!$E$8:$E$816="Earthworks")*'Activities'!$I$8:$I$816,'Weekly Gantt'!CV8:CV816)/6</x:f>
        <x:v>0</x:v>
      </x:c>
      <x:c r="D103" s="25" t="n">
        <x:f>SUMPRODUCT(('Activities'!$E$8:$E$816="Formwork")*'Activities'!$I$8:$I$816,'Weekly Gantt'!CV8:CV816)/6</x:f>
        <x:v>0</x:v>
      </x:c>
      <x:c r="E103" s="25" t="n">
        <x:f>SUMPRODUCT(('Activities'!$E$8:$E$816="Rebar")*'Activities'!$I$8:$I$816,'Weekly Gantt'!CV8:CV816)/6</x:f>
        <x:v>0</x:v>
      </x:c>
      <x:c r="F103" s="25" t="n">
        <x:f>SUMPRODUCT(('Activities'!$E$8:$E$816="Concrete")*'Activities'!$I$8:$I$816,'Weekly Gantt'!CV8:CV816)/6</x:f>
        <x:v>0</x:v>
      </x:c>
      <x:c r="G103" s="25" t="n">
        <x:f>SUMPRODUCT(('Activities'!$E$8:$E$816="Masonry")*'Activities'!$I$8:$I$816,'Weekly Gantt'!CV8:CV816)/6</x:f>
        <x:v>0</x:v>
      </x:c>
      <x:c r="H103" s="25" t="n">
        <x:f>SUMPRODUCT(('Activities'!$E$8:$E$816="Finishes")*'Activities'!$I$8:$I$816,'Weekly Gantt'!CV8:CV816)/6</x:f>
        <x:v>0</x:v>
      </x:c>
      <x:c r="I103" s="25" t="n">
        <x:f>SUMPRODUCT(('Activities'!$E$8:$E$816="Envelope")*'Activities'!$I$8:$I$816,'Weekly Gantt'!CV8:CV816)/6</x:f>
        <x:v>0</x:v>
      </x:c>
      <x:c r="J103" s="25" t="n">
        <x:f>SUMPRODUCT(('Activities'!$E$8:$E$816="External")*'Activities'!$I$8:$I$816,'Weekly Gantt'!CV8:CV816)/6</x:f>
        <x:v>0</x:v>
      </x:c>
      <x:c r="K103" s="25" t="n">
        <x:f>SUMPRODUCT(('Activities'!$E$8:$E$816="Site")*'Activities'!$I$8:$I$816,'Weekly Gantt'!CV8:CV816)/6</x:f>
        <x:v>0</x:v>
      </x:c>
      <x:c r="L103" s="25" t="n">
        <x:f>SUM(C103:K103)</x:f>
        <x:v>0</x:v>
      </x:c>
      <x:c r="M103" s="1" t="n">
        <x:f>IF(C103&gt;'Controls'!$B$12,1,0)+IF(D103&gt;'Controls'!$B$13,1,0)+IF(E103&gt;'Controls'!$B$14,1,0)+IF(F103&gt;'Controls'!$B$15,1,0)+IF(G103&gt;'Controls'!$B$16,1,0)+IF(H103&gt;'Controls'!$B$17,1,0)+IF(I103&gt;'Controls'!$B$18,1,0)+IF(J103&gt;'Controls'!$B$19,1,0)+IF(K103&gt;'Controls'!$B$20,1,0)</x:f>
        <x:v>0</x:v>
      </x:c>
    </x:row>
    <x:row r="104" ht="23" customHeight="1">
      <x:c r="A104" s="6" t="n">
        <x:v>97</x:v>
      </x:c>
      <x:c r="B104" s="18" t="n">
        <x:f>INDEX('Calendar'!$C$8:$C$907,577)</x:f>
        <x:v>47000</x:v>
      </x:c>
      <x:c r="C104" s="24" t="n">
        <x:f>SUMPRODUCT(('Activities'!$E$8:$E$816="Earthworks")*'Activities'!$I$8:$I$816,'Weekly Gantt'!CW8:CW816)/6</x:f>
        <x:v>0</x:v>
      </x:c>
      <x:c r="D104" s="24" t="n">
        <x:f>SUMPRODUCT(('Activities'!$E$8:$E$816="Formwork")*'Activities'!$I$8:$I$816,'Weekly Gantt'!CW8:CW816)/6</x:f>
        <x:v>0</x:v>
      </x:c>
      <x:c r="E104" s="24" t="n">
        <x:f>SUMPRODUCT(('Activities'!$E$8:$E$816="Rebar")*'Activities'!$I$8:$I$816,'Weekly Gantt'!CW8:CW816)/6</x:f>
        <x:v>0</x:v>
      </x:c>
      <x:c r="F104" s="24" t="n">
        <x:f>SUMPRODUCT(('Activities'!$E$8:$E$816="Concrete")*'Activities'!$I$8:$I$816,'Weekly Gantt'!CW8:CW816)/6</x:f>
        <x:v>0</x:v>
      </x:c>
      <x:c r="G104" s="24" t="n">
        <x:f>SUMPRODUCT(('Activities'!$E$8:$E$816="Masonry")*'Activities'!$I$8:$I$816,'Weekly Gantt'!CW8:CW816)/6</x:f>
        <x:v>0</x:v>
      </x:c>
      <x:c r="H104" s="24" t="n">
        <x:f>SUMPRODUCT(('Activities'!$E$8:$E$816="Finishes")*'Activities'!$I$8:$I$816,'Weekly Gantt'!CW8:CW816)/6</x:f>
        <x:v>0</x:v>
      </x:c>
      <x:c r="I104" s="24" t="n">
        <x:f>SUMPRODUCT(('Activities'!$E$8:$E$816="Envelope")*'Activities'!$I$8:$I$816,'Weekly Gantt'!CW8:CW816)/6</x:f>
        <x:v>0</x:v>
      </x:c>
      <x:c r="J104" s="24" t="n">
        <x:f>SUMPRODUCT(('Activities'!$E$8:$E$816="External")*'Activities'!$I$8:$I$816,'Weekly Gantt'!CW8:CW816)/6</x:f>
        <x:v>0</x:v>
      </x:c>
      <x:c r="K104" s="24" t="n">
        <x:f>SUMPRODUCT(('Activities'!$E$8:$E$816="Site")*'Activities'!$I$8:$I$816,'Weekly Gantt'!CW8:CW816)/6</x:f>
        <x:v>0</x:v>
      </x:c>
      <x:c r="L104" s="24" t="n">
        <x:f>SUM(C104:K104)</x:f>
        <x:v>0</x:v>
      </x:c>
      <x:c r="M104" s="6" t="n">
        <x:f>IF(C104&gt;'Controls'!$B$12,1,0)+IF(D104&gt;'Controls'!$B$13,1,0)+IF(E104&gt;'Controls'!$B$14,1,0)+IF(F104&gt;'Controls'!$B$15,1,0)+IF(G104&gt;'Controls'!$B$16,1,0)+IF(H104&gt;'Controls'!$B$17,1,0)+IF(I104&gt;'Controls'!$B$18,1,0)+IF(J104&gt;'Controls'!$B$19,1,0)+IF(K104&gt;'Controls'!$B$20,1,0)</x:f>
        <x:v>0</x:v>
      </x:c>
    </x:row>
    <x:row r="105" ht="23" customHeight="1">
      <x:c r="A105" s="1" t="n">
        <x:v>98</x:v>
      </x:c>
      <x:c r="B105" s="19" t="n">
        <x:f>INDEX('Calendar'!$C$8:$C$907,583)</x:f>
        <x:v>47007</x:v>
      </x:c>
      <x:c r="C105" s="25" t="n">
        <x:f>SUMPRODUCT(('Activities'!$E$8:$E$816="Earthworks")*'Activities'!$I$8:$I$816,'Weekly Gantt'!CX8:CX816)/6</x:f>
        <x:v>0</x:v>
      </x:c>
      <x:c r="D105" s="25" t="n">
        <x:f>SUMPRODUCT(('Activities'!$E$8:$E$816="Formwork")*'Activities'!$I$8:$I$816,'Weekly Gantt'!CX8:CX816)/6</x:f>
        <x:v>0</x:v>
      </x:c>
      <x:c r="E105" s="25" t="n">
        <x:f>SUMPRODUCT(('Activities'!$E$8:$E$816="Rebar")*'Activities'!$I$8:$I$816,'Weekly Gantt'!CX8:CX816)/6</x:f>
        <x:v>0</x:v>
      </x:c>
      <x:c r="F105" s="25" t="n">
        <x:f>SUMPRODUCT(('Activities'!$E$8:$E$816="Concrete")*'Activities'!$I$8:$I$816,'Weekly Gantt'!CX8:CX816)/6</x:f>
        <x:v>0</x:v>
      </x:c>
      <x:c r="G105" s="25" t="n">
        <x:f>SUMPRODUCT(('Activities'!$E$8:$E$816="Masonry")*'Activities'!$I$8:$I$816,'Weekly Gantt'!CX8:CX816)/6</x:f>
        <x:v>0</x:v>
      </x:c>
      <x:c r="H105" s="25" t="n">
        <x:f>SUMPRODUCT(('Activities'!$E$8:$E$816="Finishes")*'Activities'!$I$8:$I$816,'Weekly Gantt'!CX8:CX816)/6</x:f>
        <x:v>0</x:v>
      </x:c>
      <x:c r="I105" s="25" t="n">
        <x:f>SUMPRODUCT(('Activities'!$E$8:$E$816="Envelope")*'Activities'!$I$8:$I$816,'Weekly Gantt'!CX8:CX816)/6</x:f>
        <x:v>0</x:v>
      </x:c>
      <x:c r="J105" s="25" t="n">
        <x:f>SUMPRODUCT(('Activities'!$E$8:$E$816="External")*'Activities'!$I$8:$I$816,'Weekly Gantt'!CX8:CX816)/6</x:f>
        <x:v>0</x:v>
      </x:c>
      <x:c r="K105" s="25" t="n">
        <x:f>SUMPRODUCT(('Activities'!$E$8:$E$816="Site")*'Activities'!$I$8:$I$816,'Weekly Gantt'!CX8:CX816)/6</x:f>
        <x:v>0</x:v>
      </x:c>
      <x:c r="L105" s="25" t="n">
        <x:f>SUM(C105:K105)</x:f>
        <x:v>0</x:v>
      </x:c>
      <x:c r="M105" s="1" t="n">
        <x:f>IF(C105&gt;'Controls'!$B$12,1,0)+IF(D105&gt;'Controls'!$B$13,1,0)+IF(E105&gt;'Controls'!$B$14,1,0)+IF(F105&gt;'Controls'!$B$15,1,0)+IF(G105&gt;'Controls'!$B$16,1,0)+IF(H105&gt;'Controls'!$B$17,1,0)+IF(I105&gt;'Controls'!$B$18,1,0)+IF(J105&gt;'Controls'!$B$19,1,0)+IF(K105&gt;'Controls'!$B$20,1,0)</x:f>
        <x:v>0</x:v>
      </x:c>
    </x:row>
    <x:row r="106" ht="23" customHeight="1">
      <x:c r="A106" s="6" t="n">
        <x:v>99</x:v>
      </x:c>
      <x:c r="B106" s="18" t="n">
        <x:f>INDEX('Calendar'!$C$8:$C$907,589)</x:f>
        <x:v>47014</x:v>
      </x:c>
      <x:c r="C106" s="24" t="n">
        <x:f>SUMPRODUCT(('Activities'!$E$8:$E$816="Earthworks")*'Activities'!$I$8:$I$816,'Weekly Gantt'!CY8:CY816)/6</x:f>
        <x:v>0</x:v>
      </x:c>
      <x:c r="D106" s="24" t="n">
        <x:f>SUMPRODUCT(('Activities'!$E$8:$E$816="Formwork")*'Activities'!$I$8:$I$816,'Weekly Gantt'!CY8:CY816)/6</x:f>
        <x:v>0</x:v>
      </x:c>
      <x:c r="E106" s="24" t="n">
        <x:f>SUMPRODUCT(('Activities'!$E$8:$E$816="Rebar")*'Activities'!$I$8:$I$816,'Weekly Gantt'!CY8:CY816)/6</x:f>
        <x:v>0</x:v>
      </x:c>
      <x:c r="F106" s="24" t="n">
        <x:f>SUMPRODUCT(('Activities'!$E$8:$E$816="Concrete")*'Activities'!$I$8:$I$816,'Weekly Gantt'!CY8:CY816)/6</x:f>
        <x:v>0</x:v>
      </x:c>
      <x:c r="G106" s="24" t="n">
        <x:f>SUMPRODUCT(('Activities'!$E$8:$E$816="Masonry")*'Activities'!$I$8:$I$816,'Weekly Gantt'!CY8:CY816)/6</x:f>
        <x:v>0</x:v>
      </x:c>
      <x:c r="H106" s="24" t="n">
        <x:f>SUMPRODUCT(('Activities'!$E$8:$E$816="Finishes")*'Activities'!$I$8:$I$816,'Weekly Gantt'!CY8:CY816)/6</x:f>
        <x:v>0</x:v>
      </x:c>
      <x:c r="I106" s="24" t="n">
        <x:f>SUMPRODUCT(('Activities'!$E$8:$E$816="Envelope")*'Activities'!$I$8:$I$816,'Weekly Gantt'!CY8:CY816)/6</x:f>
        <x:v>0</x:v>
      </x:c>
      <x:c r="J106" s="24" t="n">
        <x:f>SUMPRODUCT(('Activities'!$E$8:$E$816="External")*'Activities'!$I$8:$I$816,'Weekly Gantt'!CY8:CY816)/6</x:f>
        <x:v>0</x:v>
      </x:c>
      <x:c r="K106" s="24" t="n">
        <x:f>SUMPRODUCT(('Activities'!$E$8:$E$816="Site")*'Activities'!$I$8:$I$816,'Weekly Gantt'!CY8:CY816)/6</x:f>
        <x:v>0</x:v>
      </x:c>
      <x:c r="L106" s="24" t="n">
        <x:f>SUM(C106:K106)</x:f>
        <x:v>0</x:v>
      </x:c>
      <x:c r="M106" s="6" t="n">
        <x:f>IF(C106&gt;'Controls'!$B$12,1,0)+IF(D106&gt;'Controls'!$B$13,1,0)+IF(E106&gt;'Controls'!$B$14,1,0)+IF(F106&gt;'Controls'!$B$15,1,0)+IF(G106&gt;'Controls'!$B$16,1,0)+IF(H106&gt;'Controls'!$B$17,1,0)+IF(I106&gt;'Controls'!$B$18,1,0)+IF(J106&gt;'Controls'!$B$19,1,0)+IF(K106&gt;'Controls'!$B$20,1,0)</x:f>
        <x:v>0</x:v>
      </x:c>
    </x:row>
    <x:row r="107" ht="23" customHeight="1">
      <x:c r="A107" s="1" t="n">
        <x:v>100</x:v>
      </x:c>
      <x:c r="B107" s="19" t="n">
        <x:f>INDEX('Calendar'!$C$8:$C$907,595)</x:f>
        <x:v>47021</x:v>
      </x:c>
      <x:c r="C107" s="25" t="n">
        <x:f>SUMPRODUCT(('Activities'!$E$8:$E$816="Earthworks")*'Activities'!$I$8:$I$816,'Weekly Gantt'!CZ8:CZ816)/6</x:f>
        <x:v>0</x:v>
      </x:c>
      <x:c r="D107" s="25" t="n">
        <x:f>SUMPRODUCT(('Activities'!$E$8:$E$816="Formwork")*'Activities'!$I$8:$I$816,'Weekly Gantt'!CZ8:CZ816)/6</x:f>
        <x:v>0</x:v>
      </x:c>
      <x:c r="E107" s="25" t="n">
        <x:f>SUMPRODUCT(('Activities'!$E$8:$E$816="Rebar")*'Activities'!$I$8:$I$816,'Weekly Gantt'!CZ8:CZ816)/6</x:f>
        <x:v>0</x:v>
      </x:c>
      <x:c r="F107" s="25" t="n">
        <x:f>SUMPRODUCT(('Activities'!$E$8:$E$816="Concrete")*'Activities'!$I$8:$I$816,'Weekly Gantt'!CZ8:CZ816)/6</x:f>
        <x:v>0</x:v>
      </x:c>
      <x:c r="G107" s="25" t="n">
        <x:f>SUMPRODUCT(('Activities'!$E$8:$E$816="Masonry")*'Activities'!$I$8:$I$816,'Weekly Gantt'!CZ8:CZ816)/6</x:f>
        <x:v>0</x:v>
      </x:c>
      <x:c r="H107" s="25" t="n">
        <x:f>SUMPRODUCT(('Activities'!$E$8:$E$816="Finishes")*'Activities'!$I$8:$I$816,'Weekly Gantt'!CZ8:CZ816)/6</x:f>
        <x:v>0</x:v>
      </x:c>
      <x:c r="I107" s="25" t="n">
        <x:f>SUMPRODUCT(('Activities'!$E$8:$E$816="Envelope")*'Activities'!$I$8:$I$816,'Weekly Gantt'!CZ8:CZ816)/6</x:f>
        <x:v>0</x:v>
      </x:c>
      <x:c r="J107" s="25" t="n">
        <x:f>SUMPRODUCT(('Activities'!$E$8:$E$816="External")*'Activities'!$I$8:$I$816,'Weekly Gantt'!CZ8:CZ816)/6</x:f>
        <x:v>0</x:v>
      </x:c>
      <x:c r="K107" s="25" t="n">
        <x:f>SUMPRODUCT(('Activities'!$E$8:$E$816="Site")*'Activities'!$I$8:$I$816,'Weekly Gantt'!CZ8:CZ816)/6</x:f>
        <x:v>0</x:v>
      </x:c>
      <x:c r="L107" s="25" t="n">
        <x:f>SUM(C107:K107)</x:f>
        <x:v>0</x:v>
      </x:c>
      <x:c r="M107" s="1" t="n">
        <x:f>IF(C107&gt;'Controls'!$B$12,1,0)+IF(D107&gt;'Controls'!$B$13,1,0)+IF(E107&gt;'Controls'!$B$14,1,0)+IF(F107&gt;'Controls'!$B$15,1,0)+IF(G107&gt;'Controls'!$B$16,1,0)+IF(H107&gt;'Controls'!$B$17,1,0)+IF(I107&gt;'Controls'!$B$18,1,0)+IF(J107&gt;'Controls'!$B$19,1,0)+IF(K107&gt;'Controls'!$B$20,1,0)</x:f>
        <x:v>0</x:v>
      </x:c>
    </x:row>
    <x:row r="108" ht="23" customHeight="1">
      <x:c r="A108" s="6" t="n">
        <x:v>101</x:v>
      </x:c>
      <x:c r="B108" s="18" t="n">
        <x:f>INDEX('Calendar'!$C$8:$C$907,601)</x:f>
        <x:v>47028</x:v>
      </x:c>
      <x:c r="C108" s="24" t="n">
        <x:f>SUMPRODUCT(('Activities'!$E$8:$E$816="Earthworks")*'Activities'!$I$8:$I$816,'Weekly Gantt'!DA8:DA816)/6</x:f>
        <x:v>0</x:v>
      </x:c>
      <x:c r="D108" s="24" t="n">
        <x:f>SUMPRODUCT(('Activities'!$E$8:$E$816="Formwork")*'Activities'!$I$8:$I$816,'Weekly Gantt'!DA8:DA816)/6</x:f>
        <x:v>0</x:v>
      </x:c>
      <x:c r="E108" s="24" t="n">
        <x:f>SUMPRODUCT(('Activities'!$E$8:$E$816="Rebar")*'Activities'!$I$8:$I$816,'Weekly Gantt'!DA8:DA816)/6</x:f>
        <x:v>0</x:v>
      </x:c>
      <x:c r="F108" s="24" t="n">
        <x:f>SUMPRODUCT(('Activities'!$E$8:$E$816="Concrete")*'Activities'!$I$8:$I$816,'Weekly Gantt'!DA8:DA816)/6</x:f>
        <x:v>0</x:v>
      </x:c>
      <x:c r="G108" s="24" t="n">
        <x:f>SUMPRODUCT(('Activities'!$E$8:$E$816="Masonry")*'Activities'!$I$8:$I$816,'Weekly Gantt'!DA8:DA816)/6</x:f>
        <x:v>0</x:v>
      </x:c>
      <x:c r="H108" s="24" t="n">
        <x:f>SUMPRODUCT(('Activities'!$E$8:$E$816="Finishes")*'Activities'!$I$8:$I$816,'Weekly Gantt'!DA8:DA816)/6</x:f>
        <x:v>0</x:v>
      </x:c>
      <x:c r="I108" s="24" t="n">
        <x:f>SUMPRODUCT(('Activities'!$E$8:$E$816="Envelope")*'Activities'!$I$8:$I$816,'Weekly Gantt'!DA8:DA816)/6</x:f>
        <x:v>0</x:v>
      </x:c>
      <x:c r="J108" s="24" t="n">
        <x:f>SUMPRODUCT(('Activities'!$E$8:$E$816="External")*'Activities'!$I$8:$I$816,'Weekly Gantt'!DA8:DA816)/6</x:f>
        <x:v>0</x:v>
      </x:c>
      <x:c r="K108" s="24" t="n">
        <x:f>SUMPRODUCT(('Activities'!$E$8:$E$816="Site")*'Activities'!$I$8:$I$816,'Weekly Gantt'!DA8:DA816)/6</x:f>
        <x:v>0</x:v>
      </x:c>
      <x:c r="L108" s="24" t="n">
        <x:f>SUM(C108:K108)</x:f>
        <x:v>0</x:v>
      </x:c>
      <x:c r="M108" s="6" t="n">
        <x:f>IF(C108&gt;'Controls'!$B$12,1,0)+IF(D108&gt;'Controls'!$B$13,1,0)+IF(E108&gt;'Controls'!$B$14,1,0)+IF(F108&gt;'Controls'!$B$15,1,0)+IF(G108&gt;'Controls'!$B$16,1,0)+IF(H108&gt;'Controls'!$B$17,1,0)+IF(I108&gt;'Controls'!$B$18,1,0)+IF(J108&gt;'Controls'!$B$19,1,0)+IF(K108&gt;'Controls'!$B$20,1,0)</x:f>
        <x:v>0</x:v>
      </x:c>
    </x:row>
    <x:row r="109" ht="23" customHeight="1">
      <x:c r="A109" s="1" t="n">
        <x:v>102</x:v>
      </x:c>
      <x:c r="B109" s="19" t="n">
        <x:f>INDEX('Calendar'!$C$8:$C$907,607)</x:f>
        <x:v>47035</x:v>
      </x:c>
      <x:c r="C109" s="25" t="n">
        <x:f>SUMPRODUCT(('Activities'!$E$8:$E$816="Earthworks")*'Activities'!$I$8:$I$816,'Weekly Gantt'!DB8:DB816)/6</x:f>
        <x:v>0</x:v>
      </x:c>
      <x:c r="D109" s="25" t="n">
        <x:f>SUMPRODUCT(('Activities'!$E$8:$E$816="Formwork")*'Activities'!$I$8:$I$816,'Weekly Gantt'!DB8:DB816)/6</x:f>
        <x:v>0</x:v>
      </x:c>
      <x:c r="E109" s="25" t="n">
        <x:f>SUMPRODUCT(('Activities'!$E$8:$E$816="Rebar")*'Activities'!$I$8:$I$816,'Weekly Gantt'!DB8:DB816)/6</x:f>
        <x:v>0</x:v>
      </x:c>
      <x:c r="F109" s="25" t="n">
        <x:f>SUMPRODUCT(('Activities'!$E$8:$E$816="Concrete")*'Activities'!$I$8:$I$816,'Weekly Gantt'!DB8:DB816)/6</x:f>
        <x:v>0</x:v>
      </x:c>
      <x:c r="G109" s="25" t="n">
        <x:f>SUMPRODUCT(('Activities'!$E$8:$E$816="Masonry")*'Activities'!$I$8:$I$816,'Weekly Gantt'!DB8:DB816)/6</x:f>
        <x:v>0</x:v>
      </x:c>
      <x:c r="H109" s="25" t="n">
        <x:f>SUMPRODUCT(('Activities'!$E$8:$E$816="Finishes")*'Activities'!$I$8:$I$816,'Weekly Gantt'!DB8:DB816)/6</x:f>
        <x:v>0</x:v>
      </x:c>
      <x:c r="I109" s="25" t="n">
        <x:f>SUMPRODUCT(('Activities'!$E$8:$E$816="Envelope")*'Activities'!$I$8:$I$816,'Weekly Gantt'!DB8:DB816)/6</x:f>
        <x:v>0</x:v>
      </x:c>
      <x:c r="J109" s="25" t="n">
        <x:f>SUMPRODUCT(('Activities'!$E$8:$E$816="External")*'Activities'!$I$8:$I$816,'Weekly Gantt'!DB8:DB816)/6</x:f>
        <x:v>0</x:v>
      </x:c>
      <x:c r="K109" s="25" t="n">
        <x:f>SUMPRODUCT(('Activities'!$E$8:$E$816="Site")*'Activities'!$I$8:$I$816,'Weekly Gantt'!DB8:DB816)/6</x:f>
        <x:v>0</x:v>
      </x:c>
      <x:c r="L109" s="25" t="n">
        <x:f>SUM(C109:K109)</x:f>
        <x:v>0</x:v>
      </x:c>
      <x:c r="M109" s="1" t="n">
        <x:f>IF(C109&gt;'Controls'!$B$12,1,0)+IF(D109&gt;'Controls'!$B$13,1,0)+IF(E109&gt;'Controls'!$B$14,1,0)+IF(F109&gt;'Controls'!$B$15,1,0)+IF(G109&gt;'Controls'!$B$16,1,0)+IF(H109&gt;'Controls'!$B$17,1,0)+IF(I109&gt;'Controls'!$B$18,1,0)+IF(J109&gt;'Controls'!$B$19,1,0)+IF(K109&gt;'Controls'!$B$20,1,0)</x:f>
        <x:v>0</x:v>
      </x:c>
    </x:row>
    <x:row r="110" ht="23" customHeight="1">
      <x:c r="A110" s="6" t="n">
        <x:v>103</x:v>
      </x:c>
      <x:c r="B110" s="18" t="n">
        <x:f>INDEX('Calendar'!$C$8:$C$907,613)</x:f>
        <x:v>47042</x:v>
      </x:c>
      <x:c r="C110" s="24" t="n">
        <x:f>SUMPRODUCT(('Activities'!$E$8:$E$816="Earthworks")*'Activities'!$I$8:$I$816,'Weekly Gantt'!DC8:DC816)/6</x:f>
        <x:v>0</x:v>
      </x:c>
      <x:c r="D110" s="24" t="n">
        <x:f>SUMPRODUCT(('Activities'!$E$8:$E$816="Formwork")*'Activities'!$I$8:$I$816,'Weekly Gantt'!DC8:DC816)/6</x:f>
        <x:v>0</x:v>
      </x:c>
      <x:c r="E110" s="24" t="n">
        <x:f>SUMPRODUCT(('Activities'!$E$8:$E$816="Rebar")*'Activities'!$I$8:$I$816,'Weekly Gantt'!DC8:DC816)/6</x:f>
        <x:v>0</x:v>
      </x:c>
      <x:c r="F110" s="24" t="n">
        <x:f>SUMPRODUCT(('Activities'!$E$8:$E$816="Concrete")*'Activities'!$I$8:$I$816,'Weekly Gantt'!DC8:DC816)/6</x:f>
        <x:v>0</x:v>
      </x:c>
      <x:c r="G110" s="24" t="n">
        <x:f>SUMPRODUCT(('Activities'!$E$8:$E$816="Masonry")*'Activities'!$I$8:$I$816,'Weekly Gantt'!DC8:DC816)/6</x:f>
        <x:v>0</x:v>
      </x:c>
      <x:c r="H110" s="24" t="n">
        <x:f>SUMPRODUCT(('Activities'!$E$8:$E$816="Finishes")*'Activities'!$I$8:$I$816,'Weekly Gantt'!DC8:DC816)/6</x:f>
        <x:v>0</x:v>
      </x:c>
      <x:c r="I110" s="24" t="n">
        <x:f>SUMPRODUCT(('Activities'!$E$8:$E$816="Envelope")*'Activities'!$I$8:$I$816,'Weekly Gantt'!DC8:DC816)/6</x:f>
        <x:v>0</x:v>
      </x:c>
      <x:c r="J110" s="24" t="n">
        <x:f>SUMPRODUCT(('Activities'!$E$8:$E$816="External")*'Activities'!$I$8:$I$816,'Weekly Gantt'!DC8:DC816)/6</x:f>
        <x:v>0</x:v>
      </x:c>
      <x:c r="K110" s="24" t="n">
        <x:f>SUMPRODUCT(('Activities'!$E$8:$E$816="Site")*'Activities'!$I$8:$I$816,'Weekly Gantt'!DC8:DC816)/6</x:f>
        <x:v>0</x:v>
      </x:c>
      <x:c r="L110" s="24" t="n">
        <x:f>SUM(C110:K110)</x:f>
        <x:v>0</x:v>
      </x:c>
      <x:c r="M110" s="6" t="n">
        <x:f>IF(C110&gt;'Controls'!$B$12,1,0)+IF(D110&gt;'Controls'!$B$13,1,0)+IF(E110&gt;'Controls'!$B$14,1,0)+IF(F110&gt;'Controls'!$B$15,1,0)+IF(G110&gt;'Controls'!$B$16,1,0)+IF(H110&gt;'Controls'!$B$17,1,0)+IF(I110&gt;'Controls'!$B$18,1,0)+IF(J110&gt;'Controls'!$B$19,1,0)+IF(K110&gt;'Controls'!$B$20,1,0)</x:f>
        <x:v>0</x:v>
      </x:c>
    </x:row>
    <x:row r="111" ht="23" customHeight="1">
      <x:c r="A111" s="1" t="n">
        <x:v>104</x:v>
      </x:c>
      <x:c r="B111" s="19" t="n">
        <x:f>INDEX('Calendar'!$C$8:$C$907,619)</x:f>
        <x:v>47049</x:v>
      </x:c>
      <x:c r="C111" s="25" t="n">
        <x:f>SUMPRODUCT(('Activities'!$E$8:$E$816="Earthworks")*'Activities'!$I$8:$I$816,'Weekly Gantt'!DD8:DD816)/6</x:f>
        <x:v>0</x:v>
      </x:c>
      <x:c r="D111" s="25" t="n">
        <x:f>SUMPRODUCT(('Activities'!$E$8:$E$816="Formwork")*'Activities'!$I$8:$I$816,'Weekly Gantt'!DD8:DD816)/6</x:f>
        <x:v>0</x:v>
      </x:c>
      <x:c r="E111" s="25" t="n">
        <x:f>SUMPRODUCT(('Activities'!$E$8:$E$816="Rebar")*'Activities'!$I$8:$I$816,'Weekly Gantt'!DD8:DD816)/6</x:f>
        <x:v>0</x:v>
      </x:c>
      <x:c r="F111" s="25" t="n">
        <x:f>SUMPRODUCT(('Activities'!$E$8:$E$816="Concrete")*'Activities'!$I$8:$I$816,'Weekly Gantt'!DD8:DD816)/6</x:f>
        <x:v>0</x:v>
      </x:c>
      <x:c r="G111" s="25" t="n">
        <x:f>SUMPRODUCT(('Activities'!$E$8:$E$816="Masonry")*'Activities'!$I$8:$I$816,'Weekly Gantt'!DD8:DD816)/6</x:f>
        <x:v>0</x:v>
      </x:c>
      <x:c r="H111" s="25" t="n">
        <x:f>SUMPRODUCT(('Activities'!$E$8:$E$816="Finishes")*'Activities'!$I$8:$I$816,'Weekly Gantt'!DD8:DD816)/6</x:f>
        <x:v>0</x:v>
      </x:c>
      <x:c r="I111" s="25" t="n">
        <x:f>SUMPRODUCT(('Activities'!$E$8:$E$816="Envelope")*'Activities'!$I$8:$I$816,'Weekly Gantt'!DD8:DD816)/6</x:f>
        <x:v>0</x:v>
      </x:c>
      <x:c r="J111" s="25" t="n">
        <x:f>SUMPRODUCT(('Activities'!$E$8:$E$816="External")*'Activities'!$I$8:$I$816,'Weekly Gantt'!DD8:DD816)/6</x:f>
        <x:v>0</x:v>
      </x:c>
      <x:c r="K111" s="25" t="n">
        <x:f>SUMPRODUCT(('Activities'!$E$8:$E$816="Site")*'Activities'!$I$8:$I$816,'Weekly Gantt'!DD8:DD816)/6</x:f>
        <x:v>0</x:v>
      </x:c>
      <x:c r="L111" s="25" t="n">
        <x:f>SUM(C111:K111)</x:f>
        <x:v>0</x:v>
      </x:c>
      <x:c r="M111" s="1" t="n">
        <x:f>IF(C111&gt;'Controls'!$B$12,1,0)+IF(D111&gt;'Controls'!$B$13,1,0)+IF(E111&gt;'Controls'!$B$14,1,0)+IF(F111&gt;'Controls'!$B$15,1,0)+IF(G111&gt;'Controls'!$B$16,1,0)+IF(H111&gt;'Controls'!$B$17,1,0)+IF(I111&gt;'Controls'!$B$18,1,0)+IF(J111&gt;'Controls'!$B$19,1,0)+IF(K111&gt;'Controls'!$B$20,1,0)</x:f>
        <x:v>0</x:v>
      </x:c>
    </x:row>
    <x:row r="112" ht="23" customHeight="1">
      <x:c r="A112" s="6" t="n">
        <x:v>105</x:v>
      </x:c>
      <x:c r="B112" s="18" t="n">
        <x:f>INDEX('Calendar'!$C$8:$C$907,625)</x:f>
        <x:v>47056</x:v>
      </x:c>
      <x:c r="C112" s="24" t="n">
        <x:f>SUMPRODUCT(('Activities'!$E$8:$E$816="Earthworks")*'Activities'!$I$8:$I$816,'Weekly Gantt'!DE8:DE816)/6</x:f>
        <x:v>0</x:v>
      </x:c>
      <x:c r="D112" s="24" t="n">
        <x:f>SUMPRODUCT(('Activities'!$E$8:$E$816="Formwork")*'Activities'!$I$8:$I$816,'Weekly Gantt'!DE8:DE816)/6</x:f>
        <x:v>0</x:v>
      </x:c>
      <x:c r="E112" s="24" t="n">
        <x:f>SUMPRODUCT(('Activities'!$E$8:$E$816="Rebar")*'Activities'!$I$8:$I$816,'Weekly Gantt'!DE8:DE816)/6</x:f>
        <x:v>0</x:v>
      </x:c>
      <x:c r="F112" s="24" t="n">
        <x:f>SUMPRODUCT(('Activities'!$E$8:$E$816="Concrete")*'Activities'!$I$8:$I$816,'Weekly Gantt'!DE8:DE816)/6</x:f>
        <x:v>0</x:v>
      </x:c>
      <x:c r="G112" s="24" t="n">
        <x:f>SUMPRODUCT(('Activities'!$E$8:$E$816="Masonry")*'Activities'!$I$8:$I$816,'Weekly Gantt'!DE8:DE816)/6</x:f>
        <x:v>0</x:v>
      </x:c>
      <x:c r="H112" s="24" t="n">
        <x:f>SUMPRODUCT(('Activities'!$E$8:$E$816="Finishes")*'Activities'!$I$8:$I$816,'Weekly Gantt'!DE8:DE816)/6</x:f>
        <x:v>0</x:v>
      </x:c>
      <x:c r="I112" s="24" t="n">
        <x:f>SUMPRODUCT(('Activities'!$E$8:$E$816="Envelope")*'Activities'!$I$8:$I$816,'Weekly Gantt'!DE8:DE816)/6</x:f>
        <x:v>0</x:v>
      </x:c>
      <x:c r="J112" s="24" t="n">
        <x:f>SUMPRODUCT(('Activities'!$E$8:$E$816="External")*'Activities'!$I$8:$I$816,'Weekly Gantt'!DE8:DE816)/6</x:f>
        <x:v>0</x:v>
      </x:c>
      <x:c r="K112" s="24" t="n">
        <x:f>SUMPRODUCT(('Activities'!$E$8:$E$816="Site")*'Activities'!$I$8:$I$816,'Weekly Gantt'!DE8:DE816)/6</x:f>
        <x:v>0</x:v>
      </x:c>
      <x:c r="L112" s="24" t="n">
        <x:f>SUM(C112:K112)</x:f>
        <x:v>0</x:v>
      </x:c>
      <x:c r="M112" s="6" t="n">
        <x:f>IF(C112&gt;'Controls'!$B$12,1,0)+IF(D112&gt;'Controls'!$B$13,1,0)+IF(E112&gt;'Controls'!$B$14,1,0)+IF(F112&gt;'Controls'!$B$15,1,0)+IF(G112&gt;'Controls'!$B$16,1,0)+IF(H112&gt;'Controls'!$B$17,1,0)+IF(I112&gt;'Controls'!$B$18,1,0)+IF(J112&gt;'Controls'!$B$19,1,0)+IF(K112&gt;'Controls'!$B$20,1,0)</x:f>
        <x:v>0</x:v>
      </x:c>
    </x:row>
    <x:row r="113" ht="23" customHeight="1">
      <x:c r="A113" s="1" t="n">
        <x:v>106</x:v>
      </x:c>
      <x:c r="B113" s="19" t="n">
        <x:f>INDEX('Calendar'!$C$8:$C$907,631)</x:f>
        <x:v>47063</x:v>
      </x:c>
      <x:c r="C113" s="25" t="n">
        <x:f>SUMPRODUCT(('Activities'!$E$8:$E$816="Earthworks")*'Activities'!$I$8:$I$816,'Weekly Gantt'!DF8:DF816)/6</x:f>
        <x:v>0</x:v>
      </x:c>
      <x:c r="D113" s="25" t="n">
        <x:f>SUMPRODUCT(('Activities'!$E$8:$E$816="Formwork")*'Activities'!$I$8:$I$816,'Weekly Gantt'!DF8:DF816)/6</x:f>
        <x:v>0</x:v>
      </x:c>
      <x:c r="E113" s="25" t="n">
        <x:f>SUMPRODUCT(('Activities'!$E$8:$E$816="Rebar")*'Activities'!$I$8:$I$816,'Weekly Gantt'!DF8:DF816)/6</x:f>
        <x:v>0</x:v>
      </x:c>
      <x:c r="F113" s="25" t="n">
        <x:f>SUMPRODUCT(('Activities'!$E$8:$E$816="Concrete")*'Activities'!$I$8:$I$816,'Weekly Gantt'!DF8:DF816)/6</x:f>
        <x:v>0</x:v>
      </x:c>
      <x:c r="G113" s="25" t="n">
        <x:f>SUMPRODUCT(('Activities'!$E$8:$E$816="Masonry")*'Activities'!$I$8:$I$816,'Weekly Gantt'!DF8:DF816)/6</x:f>
        <x:v>0</x:v>
      </x:c>
      <x:c r="H113" s="25" t="n">
        <x:f>SUMPRODUCT(('Activities'!$E$8:$E$816="Finishes")*'Activities'!$I$8:$I$816,'Weekly Gantt'!DF8:DF816)/6</x:f>
        <x:v>0</x:v>
      </x:c>
      <x:c r="I113" s="25" t="n">
        <x:f>SUMPRODUCT(('Activities'!$E$8:$E$816="Envelope")*'Activities'!$I$8:$I$816,'Weekly Gantt'!DF8:DF816)/6</x:f>
        <x:v>0</x:v>
      </x:c>
      <x:c r="J113" s="25" t="n">
        <x:f>SUMPRODUCT(('Activities'!$E$8:$E$816="External")*'Activities'!$I$8:$I$816,'Weekly Gantt'!DF8:DF816)/6</x:f>
        <x:v>0</x:v>
      </x:c>
      <x:c r="K113" s="25" t="n">
        <x:f>SUMPRODUCT(('Activities'!$E$8:$E$816="Site")*'Activities'!$I$8:$I$816,'Weekly Gantt'!DF8:DF816)/6</x:f>
        <x:v>0</x:v>
      </x:c>
      <x:c r="L113" s="25" t="n">
        <x:f>SUM(C113:K113)</x:f>
        <x:v>0</x:v>
      </x:c>
      <x:c r="M113" s="1" t="n">
        <x:f>IF(C113&gt;'Controls'!$B$12,1,0)+IF(D113&gt;'Controls'!$B$13,1,0)+IF(E113&gt;'Controls'!$B$14,1,0)+IF(F113&gt;'Controls'!$B$15,1,0)+IF(G113&gt;'Controls'!$B$16,1,0)+IF(H113&gt;'Controls'!$B$17,1,0)+IF(I113&gt;'Controls'!$B$18,1,0)+IF(J113&gt;'Controls'!$B$19,1,0)+IF(K113&gt;'Controls'!$B$20,1,0)</x:f>
        <x:v>0</x:v>
      </x:c>
    </x:row>
  </x:sheetData>
  <x:conditionalFormatting sqref="M8:M113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9" hidden="0" customWidth="1"/>
    <x:col min="4" max="4" width="29" hidden="0" customWidth="1"/>
    <x:col min="5" max="5" width="22" hidden="0" customWidth="1"/>
    <x:col min="6" max="6" width="23" hidden="0" customWidth="1"/>
  </x:cols>
  <x:sheetData>
    <x:row r="2">
      <x:c r="A2" s="7" t="str">
        <x:v>Baseline cost and labor loading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Direct BOQ budget only. Equal daily earning within each activity; no actual progress represented.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Week</x:v>
      </x:c>
      <x:c r="B7" s="5" t="str">
        <x:v>Week start</x:v>
      </x:c>
      <x:c r="C7" s="5" t="str">
        <x:v>Planned direct value USD</x:v>
      </x:c>
      <x:c r="D7" s="5" t="str">
        <x:v>Cumulative planned USD</x:v>
      </x:c>
      <x:c r="E7" s="5" t="str">
        <x:v>Cumulative %</x:v>
      </x:c>
      <x:c r="F7" s="5" t="str">
        <x:v>Labor hours</x:v>
      </x:c>
    </x:row>
    <x:row r="8" ht="23" customHeight="1">
      <x:c r="A8" s="6" t="n">
        <x:v>1</x:v>
      </x:c>
      <x:c r="B8" s="18" t="n">
        <x:f>'Workforce'!B8</x:f>
        <x:v>46328</x:v>
      </x:c>
      <x:c r="C8" s="26" t="n">
        <x:f>SUMPRODUCT('Weekly Gantt'!E8:E816,'Activities'!$T$8:$T$816)</x:f>
        <x:v>0</x:v>
      </x:c>
      <x:c r="D8" s="26" t="n">
        <x:f>SUM($C$8:C8)</x:f>
        <x:v>0</x:v>
      </x:c>
      <x:c r="E8" s="28" t="n">
        <x:f>D8/SUM('Activities'!R8:R816)</x:f>
        <x:v>0</x:v>
      </x:c>
      <x:c r="F8" s="26" t="n">
        <x:f>'Workforce'!L8*6*8</x:f>
        <x:v>960</x:v>
      </x:c>
    </x:row>
    <x:row r="9" ht="23" customHeight="1">
      <x:c r="A9" s="1" t="n">
        <x:v>2</x:v>
      </x:c>
      <x:c r="B9" s="19" t="n">
        <x:f>'Workforce'!B9</x:f>
        <x:v>46335</x:v>
      </x:c>
      <x:c r="C9" s="27" t="n">
        <x:f>SUMPRODUCT('Weekly Gantt'!F8:F816,'Activities'!$T$8:$T$816)</x:f>
        <x:v>0</x:v>
      </x:c>
      <x:c r="D9" s="27" t="n">
        <x:f>SUM($C$8:C9)</x:f>
        <x:v>0</x:v>
      </x:c>
      <x:c r="E9" s="29" t="n">
        <x:f>D9/SUM('Activities'!R8:R816)</x:f>
        <x:v>0</x:v>
      </x:c>
      <x:c r="F9" s="27" t="n">
        <x:f>'Workforce'!L9*6*8</x:f>
        <x:v>960</x:v>
      </x:c>
    </x:row>
    <x:row r="10" ht="23" customHeight="1">
      <x:c r="A10" s="6" t="n">
        <x:v>3</x:v>
      </x:c>
      <x:c r="B10" s="18" t="n">
        <x:f>'Workforce'!B10</x:f>
        <x:v>46342</x:v>
      </x:c>
      <x:c r="C10" s="26" t="n">
        <x:f>SUMPRODUCT('Weekly Gantt'!G8:G816,'Activities'!$T$8:$T$816)</x:f>
        <x:v>0</x:v>
      </x:c>
      <x:c r="D10" s="26" t="n">
        <x:f>SUM($C$8:C10)</x:f>
        <x:v>0</x:v>
      </x:c>
      <x:c r="E10" s="28" t="n">
        <x:f>D10/SUM('Activities'!R8:R816)</x:f>
        <x:v>0</x:v>
      </x:c>
      <x:c r="F10" s="26" t="n">
        <x:f>'Workforce'!L10*6*8</x:f>
        <x:v>960</x:v>
      </x:c>
    </x:row>
    <x:row r="11" ht="23" customHeight="1">
      <x:c r="A11" s="1" t="n">
        <x:v>4</x:v>
      </x:c>
      <x:c r="B11" s="19" t="n">
        <x:f>'Workforce'!B11</x:f>
        <x:v>46349</x:v>
      </x:c>
      <x:c r="C11" s="27" t="n">
        <x:f>SUMPRODUCT('Weekly Gantt'!H8:H816,'Activities'!$T$8:$T$816)</x:f>
        <x:v>155336.12307692308</x:v>
      </x:c>
      <x:c r="D11" s="27" t="n">
        <x:f>SUM($C$8:C11)</x:f>
        <x:v>155336.12307692308</x:v>
      </x:c>
      <x:c r="E11" s="29" t="n">
        <x:f>D11/SUM('Activities'!R8:R816)</x:f>
        <x:v>0.006868151341506816</x:v>
      </x:c>
      <x:c r="F11" s="27" t="n">
        <x:f>'Workforce'!L11*6*8</x:f>
        <x:v>1152</x:v>
      </x:c>
    </x:row>
    <x:row r="12" ht="23" customHeight="1">
      <x:c r="A12" s="6" t="n">
        <x:v>5</x:v>
      </x:c>
      <x:c r="B12" s="18" t="n">
        <x:f>'Workforce'!B12</x:f>
        <x:v>46356</x:v>
      </x:c>
      <x:c r="C12" s="26" t="n">
        <x:f>SUMPRODUCT('Weekly Gantt'!I8:I816,'Activities'!$T$8:$T$816)</x:f>
        <x:v>155336.12307692308</x:v>
      </x:c>
      <x:c r="D12" s="26" t="n">
        <x:f>SUM($C$8:C12)</x:f>
        <x:v>310672.24615384615</x:v>
      </x:c>
      <x:c r="E12" s="28" t="n">
        <x:f>D12/SUM('Activities'!R8:R816)</x:f>
        <x:v>0.013736302683013632</x:v>
      </x:c>
      <x:c r="F12" s="26" t="n">
        <x:f>'Workforce'!L12*6*8</x:f>
        <x:v>1152</x:v>
      </x:c>
    </x:row>
    <x:row r="13" ht="23" customHeight="1">
      <x:c r="A13" s="1" t="n">
        <x:v>6</x:v>
      </x:c>
      <x:c r="B13" s="19" t="n">
        <x:f>'Workforce'!B13</x:f>
        <x:v>46363</x:v>
      </x:c>
      <x:c r="C13" s="27" t="n">
        <x:f>SUMPRODUCT('Weekly Gantt'!J8:J816,'Activities'!$T$8:$T$816)</x:f>
        <x:v>155336.12307692308</x:v>
      </x:c>
      <x:c r="D13" s="27" t="n">
        <x:f>SUM($C$8:C13)</x:f>
        <x:v>466008.3692307692</x:v>
      </x:c>
      <x:c r="E13" s="29" t="n">
        <x:f>D13/SUM('Activities'!R8:R816)</x:f>
        <x:v>0.02060445402452045</x:v>
      </x:c>
      <x:c r="F13" s="27" t="n">
        <x:f>'Workforce'!L13*6*8</x:f>
        <x:v>1152</x:v>
      </x:c>
    </x:row>
    <x:row r="14" ht="23" customHeight="1">
      <x:c r="A14" s="6" t="n">
        <x:v>7</x:v>
      </x:c>
      <x:c r="B14" s="18" t="n">
        <x:f>'Workforce'!B14</x:f>
        <x:v>46370</x:v>
      </x:c>
      <x:c r="C14" s="26" t="n">
        <x:f>SUMPRODUCT('Weekly Gantt'!K8:K816,'Activities'!$T$8:$T$816)</x:f>
        <x:v>155336.12307692308</x:v>
      </x:c>
      <x:c r="D14" s="26" t="n">
        <x:f>SUM($C$8:C14)</x:f>
        <x:v>621344.4923076923</x:v>
      </x:c>
      <x:c r="E14" s="28" t="n">
        <x:f>D14/SUM('Activities'!R8:R816)</x:f>
        <x:v>0.027472605366027265</x:v>
      </x:c>
      <x:c r="F14" s="26" t="n">
        <x:f>'Workforce'!L14*6*8</x:f>
        <x:v>1152</x:v>
      </x:c>
    </x:row>
    <x:row r="15" ht="23" customHeight="1">
      <x:c r="A15" s="1" t="n">
        <x:v>8</x:v>
      </x:c>
      <x:c r="B15" s="19" t="n">
        <x:f>'Workforce'!B15</x:f>
        <x:v>46377</x:v>
      </x:c>
      <x:c r="C15" s="27" t="n">
        <x:f>SUMPRODUCT('Weekly Gantt'!L8:L816,'Activities'!$T$8:$T$816)</x:f>
        <x:v>155336.12307692308</x:v>
      </x:c>
      <x:c r="D15" s="27" t="n">
        <x:f>SUM($C$8:C15)</x:f>
        <x:v>776680.6153846154</x:v>
      </x:c>
      <x:c r="E15" s="29" t="n">
        <x:f>D15/SUM('Activities'!R8:R816)</x:f>
        <x:v>0.03434075670753408</x:v>
      </x:c>
      <x:c r="F15" s="27" t="n">
        <x:f>'Workforce'!L15*6*8</x:f>
        <x:v>1152</x:v>
      </x:c>
    </x:row>
    <x:row r="16" ht="23" customHeight="1">
      <x:c r="A16" s="6" t="n">
        <x:v>9</x:v>
      </x:c>
      <x:c r="B16" s="18" t="n">
        <x:f>'Workforce'!B16</x:f>
        <x:v>46384</x:v>
      </x:c>
      <x:c r="C16" s="26" t="n">
        <x:f>SUMPRODUCT('Weekly Gantt'!M8:M816,'Activities'!$T$8:$T$816)</x:f>
        <x:v>155336.12307692308</x:v>
      </x:c>
      <x:c r="D16" s="26" t="n">
        <x:f>SUM($C$8:C16)</x:f>
        <x:v>932016.7384615385</x:v>
      </x:c>
      <x:c r="E16" s="28" t="n">
        <x:f>D16/SUM('Activities'!R8:R816)</x:f>
        <x:v>0.0412089080490409</x:v>
      </x:c>
      <x:c r="F16" s="26" t="n">
        <x:f>'Workforce'!L16*6*8</x:f>
        <x:v>1152</x:v>
      </x:c>
    </x:row>
    <x:row r="17" ht="23" customHeight="1">
      <x:c r="A17" s="1" t="n">
        <x:v>10</x:v>
      </x:c>
      <x:c r="B17" s="19" t="n">
        <x:f>'Workforce'!B17</x:f>
        <x:v>46391</x:v>
      </x:c>
      <x:c r="C17" s="27" t="n">
        <x:f>SUMPRODUCT('Weekly Gantt'!N8:N816,'Activities'!$T$8:$T$816)</x:f>
        <x:v>219268.06153846154</x:v>
      </x:c>
      <x:c r="D17" s="27" t="n">
        <x:f>SUM($C$8:C17)</x:f>
        <x:v>1151284.8</x:v>
      </x:c>
      <x:c r="E17" s="29" t="n">
        <x:f>D17/SUM('Activities'!R8:R816)</x:f>
        <x:v>0.050903795504544234</x:v>
      </x:c>
      <x:c r="F17" s="27" t="n">
        <x:f>'Workforce'!L17*6*8</x:f>
        <x:v>1008</x:v>
      </x:c>
    </x:row>
    <x:row r="18" ht="23" customHeight="1">
      <x:c r="A18" s="6" t="n">
        <x:v>11</x:v>
      </x:c>
      <x:c r="B18" s="18" t="n">
        <x:f>'Workforce'!B18</x:f>
        <x:v>46398</x:v>
      </x:c>
      <x:c r="C18" s="26" t="n">
        <x:f>SUMPRODUCT('Weekly Gantt'!O8:O816,'Activities'!$T$8:$T$816)</x:f>
        <x:v>283200</x:v>
      </x:c>
      <x:c r="D18" s="26" t="n">
        <x:f>SUM($C$8:C18)</x:f>
        <x:v>1434484.8</x:v>
      </x:c>
      <x:c r="E18" s="28" t="n">
        <x:f>D18/SUM('Activities'!R8:R816)</x:f>
        <x:v>0.06342541907404409</x:v>
      </x:c>
      <x:c r="F18" s="26" t="n">
        <x:f>'Workforce'!L18*6*8</x:f>
        <x:v>864</x:v>
      </x:c>
    </x:row>
    <x:row r="19" ht="23" customHeight="1">
      <x:c r="A19" s="1" t="n">
        <x:v>12</x:v>
      </x:c>
      <x:c r="B19" s="19" t="n">
        <x:f>'Workforce'!B19</x:f>
        <x:v>46405</x:v>
      </x:c>
      <x:c r="C19" s="27" t="n">
        <x:f>SUMPRODUCT('Weekly Gantt'!P8:P816,'Activities'!$T$8:$T$816)</x:f>
        <x:v>280751.21050075645</x:v>
      </x:c>
      <x:c r="D19" s="27" t="n">
        <x:f>SUM($C$8:C19)</x:f>
        <x:v>1715236.0105007566</x:v>
      </x:c>
      <x:c r="E19" s="29" t="n">
        <x:f>D19/SUM('Activities'!R8:R816)</x:f>
        <x:v>0.07583876997295612</x:v>
      </x:c>
      <x:c r="F19" s="27" t="n">
        <x:f>'Workforce'!L19*6*8</x:f>
        <x:v>2640</x:v>
      </x:c>
    </x:row>
    <x:row r="20" ht="23" customHeight="1">
      <x:c r="A20" s="6" t="n">
        <x:v>13</x:v>
      </x:c>
      <x:c r="B20" s="18" t="n">
        <x:f>'Workforce'!B20</x:f>
        <x:v>46412</x:v>
      </x:c>
      <x:c r="C20" s="26" t="n">
        <x:f>SUMPRODUCT('Weekly Gantt'!Q8:Q816,'Activities'!$T$8:$T$816)</x:f>
        <x:v>280751.21050075645</x:v>
      </x:c>
      <x:c r="D20" s="26" t="n">
        <x:f>SUM($C$8:C20)</x:f>
        <x:v>1995987.221001513</x:v>
      </x:c>
      <x:c r="E20" s="28" t="n">
        <x:f>D20/SUM('Activities'!R8:R816)</x:f>
        <x:v>0.08825212087186816</x:v>
      </x:c>
      <x:c r="F20" s="26" t="n">
        <x:f>'Workforce'!L20*6*8</x:f>
        <x:v>2640</x:v>
      </x:c>
    </x:row>
    <x:row r="21" ht="23" customHeight="1">
      <x:c r="A21" s="1" t="n">
        <x:v>14</x:v>
      </x:c>
      <x:c r="B21" s="19" t="n">
        <x:f>'Workforce'!B21</x:f>
        <x:v>46419</x:v>
      </x:c>
      <x:c r="C21" s="27" t="n">
        <x:f>SUMPRODUCT('Weekly Gantt'!R8:R816,'Activities'!$T$8:$T$816)</x:f>
        <x:v>280751.21050075645</x:v>
      </x:c>
      <x:c r="D21" s="27" t="n">
        <x:f>SUM($C$8:C21)</x:f>
        <x:v>2276738.4315022696</x:v>
      </x:c>
      <x:c r="E21" s="29" t="n">
        <x:f>D21/SUM('Activities'!R8:R816)</x:f>
        <x:v>0.1006654717707802</x:v>
      </x:c>
      <x:c r="F21" s="27" t="n">
        <x:f>'Workforce'!L21*6*8</x:f>
        <x:v>2640</x:v>
      </x:c>
    </x:row>
    <x:row r="22" ht="23" customHeight="1">
      <x:c r="A22" s="6" t="n">
        <x:v>15</x:v>
      </x:c>
      <x:c r="B22" s="18" t="n">
        <x:f>'Workforce'!B22</x:f>
        <x:v>46426</x:v>
      </x:c>
      <x:c r="C22" s="26" t="n">
        <x:f>SUMPRODUCT('Weekly Gantt'!S8:S816,'Activities'!$T$8:$T$816)</x:f>
        <x:v>280751.21050075645</x:v>
      </x:c>
      <x:c r="D22" s="26" t="n">
        <x:f>SUM($C$8:C22)</x:f>
        <x:v>2557489.642003026</x:v>
      </x:c>
      <x:c r="E22" s="28" t="n">
        <x:f>D22/SUM('Activities'!R8:R816)</x:f>
        <x:v>0.11307882266969221</x:v>
      </x:c>
      <x:c r="F22" s="26" t="n">
        <x:f>'Workforce'!L22*6*8</x:f>
        <x:v>2640</x:v>
      </x:c>
    </x:row>
    <x:row r="23" ht="23" customHeight="1">
      <x:c r="A23" s="1" t="n">
        <x:v>16</x:v>
      </x:c>
      <x:c r="B23" s="19" t="n">
        <x:f>'Workforce'!B23</x:f>
        <x:v>46433</x:v>
      </x:c>
      <x:c r="C23" s="27" t="n">
        <x:f>SUMPRODUCT('Weekly Gantt'!T8:T816,'Activities'!$T$8:$T$816)</x:f>
        <x:v>280751.21050075645</x:v>
      </x:c>
      <x:c r="D23" s="27" t="n">
        <x:f>SUM($C$8:C23)</x:f>
        <x:v>2838240.852503782</x:v>
      </x:c>
      <x:c r="E23" s="29" t="n">
        <x:f>D23/SUM('Activities'!R8:R816)</x:f>
        <x:v>0.12549217356860423</x:v>
      </x:c>
      <x:c r="F23" s="27" t="n">
        <x:f>'Workforce'!L23*6*8</x:f>
        <x:v>2640</x:v>
      </x:c>
    </x:row>
    <x:row r="24" ht="23" customHeight="1">
      <x:c r="A24" s="6" t="n">
        <x:v>17</x:v>
      </x:c>
      <x:c r="B24" s="18" t="n">
        <x:f>'Workforce'!B24</x:f>
        <x:v>46440</x:v>
      </x:c>
      <x:c r="C24" s="26" t="n">
        <x:f>SUMPRODUCT('Weekly Gantt'!U8:U816,'Activities'!$T$8:$T$816)</x:f>
        <x:v>280751.21050075645</x:v>
      </x:c>
      <x:c r="D24" s="26" t="n">
        <x:f>SUM($C$8:C24)</x:f>
        <x:v>3118992.0630045384</x:v>
      </x:c>
      <x:c r="E24" s="28" t="n">
        <x:f>D24/SUM('Activities'!R8:R816)</x:f>
        <x:v>0.13790552446751628</x:v>
      </x:c>
      <x:c r="F24" s="26" t="n">
        <x:f>'Workforce'!L24*6*8</x:f>
        <x:v>2640</x:v>
      </x:c>
    </x:row>
    <x:row r="25" ht="23" customHeight="1">
      <x:c r="A25" s="1" t="n">
        <x:v>18</x:v>
      </x:c>
      <x:c r="B25" s="19" t="n">
        <x:f>'Workforce'!B25</x:f>
        <x:v>46447</x:v>
      </x:c>
      <x:c r="C25" s="27" t="n">
        <x:f>SUMPRODUCT('Weekly Gantt'!V8:V816,'Activities'!$T$8:$T$816)</x:f>
        <x:v>280751.21050075645</x:v>
      </x:c>
      <x:c r="D25" s="27" t="n">
        <x:f>SUM($C$8:C25)</x:f>
        <x:v>3399743.2735052947</x:v>
      </x:c>
      <x:c r="E25" s="29" t="n">
        <x:f>D25/SUM('Activities'!R8:R816)</x:f>
        <x:v>0.1503188753664283</x:v>
      </x:c>
      <x:c r="F25" s="27" t="n">
        <x:f>'Workforce'!L25*6*8</x:f>
        <x:v>2640</x:v>
      </x:c>
    </x:row>
    <x:row r="26" ht="23" customHeight="1">
      <x:c r="A26" s="6" t="n">
        <x:v>19</x:v>
      </x:c>
      <x:c r="B26" s="18" t="n">
        <x:f>'Workforce'!B26</x:f>
        <x:v>46454</x:v>
      </x:c>
      <x:c r="C26" s="26" t="n">
        <x:f>SUMPRODUCT('Weekly Gantt'!W8:W816,'Activities'!$T$8:$T$816)</x:f>
        <x:v>509191.8684167927</x:v>
      </x:c>
      <x:c r="D26" s="26" t="n">
        <x:f>SUM($C$8:C26)</x:f>
        <x:v>3908935.1419220874</x:v>
      </x:c>
      <x:c r="E26" s="28" t="n">
        <x:f>D26/SUM('Activities'!R8:R816)</x:f>
        <x:v>0.17283267798283147</x:v>
      </x:c>
      <x:c r="F26" s="26" t="n">
        <x:f>'Workforce'!L26*6*8</x:f>
        <x:v>1560</x:v>
      </x:c>
    </x:row>
    <x:row r="27" ht="23" customHeight="1">
      <x:c r="A27" s="1" t="n">
        <x:v>20</x:v>
      </x:c>
      <x:c r="B27" s="19" t="n">
        <x:f>'Workforce'!B27</x:f>
        <x:v>46461</x:v>
      </x:c>
      <x:c r="C27" s="27" t="n">
        <x:f>SUMPRODUCT('Weekly Gantt'!X8:X816,'Activities'!$T$8:$T$816)</x:f>
        <x:v>554880</x:v>
      </x:c>
      <x:c r="D27" s="27" t="n">
        <x:f>SUM($C$8:C27)</x:f>
        <x:v>4463815.141922087</x:v>
      </x:c>
      <x:c r="E27" s="29" t="n">
        <x:f>D27/SUM('Activities'!R8:R816)</x:f>
        <x:v>0.19736657094273288</x:v>
      </x:c>
      <x:c r="F27" s="27" t="n">
        <x:f>'Workforce'!L27*6*8</x:f>
        <x:v>1344</x:v>
      </x:c>
    </x:row>
    <x:row r="28" ht="23" customHeight="1">
      <x:c r="A28" s="6" t="n">
        <x:v>21</x:v>
      </x:c>
      <x:c r="B28" s="18" t="n">
        <x:f>'Workforce'!B28</x:f>
        <x:v>46468</x:v>
      </x:c>
      <x:c r="C28" s="26" t="n">
        <x:f>SUMPRODUCT('Weekly Gantt'!Y8:Y816,'Activities'!$T$8:$T$816)</x:f>
        <x:v>554880</x:v>
      </x:c>
      <x:c r="D28" s="26" t="n">
        <x:f>SUM($C$8:C28)</x:f>
        <x:v>5018695.141922087</x:v>
      </x:c>
      <x:c r="E28" s="28" t="n">
        <x:f>D28/SUM('Activities'!R8:R816)</x:f>
        <x:v>0.2219004639026343</x:v>
      </x:c>
      <x:c r="F28" s="26" t="n">
        <x:f>'Workforce'!L28*6*8</x:f>
        <x:v>1344</x:v>
      </x:c>
    </x:row>
    <x:row r="29" ht="23" customHeight="1">
      <x:c r="A29" s="1" t="n">
        <x:v>22</x:v>
      </x:c>
      <x:c r="B29" s="19" t="n">
        <x:f>'Workforce'!B29</x:f>
        <x:v>46475</x:v>
      </x:c>
      <x:c r="C29" s="27" t="n">
        <x:f>SUMPRODUCT('Weekly Gantt'!Z8:Z816,'Activities'!$T$8:$T$816)</x:f>
        <x:v>92480</x:v>
      </x:c>
      <x:c r="D29" s="27" t="n">
        <x:f>SUM($C$8:C29)</x:f>
        <x:v>5111175.141922087</x:v>
      </x:c>
      <x:c r="E29" s="29" t="n">
        <x:f>D29/SUM('Activities'!R8:R816)</x:f>
        <x:v>0.22598944606261787</x:v>
      </x:c>
      <x:c r="F29" s="27" t="n">
        <x:f>'Workforce'!L29*6*8</x:f>
        <x:v>224</x:v>
      </x:c>
    </x:row>
    <x:row r="30" ht="23" customHeight="1">
      <x:c r="A30" s="6" t="n">
        <x:v>23</x:v>
      </x:c>
      <x:c r="B30" s="18" t="n">
        <x:f>'Workforce'!B30</x:f>
        <x:v>46482</x:v>
      </x:c>
      <x:c r="C30" s="26" t="n">
        <x:f>SUMPRODUCT('Weekly Gantt'!AA8:AA816,'Activities'!$T$8:$T$816)</x:f>
        <x:v>67272.05948717949</x:v>
      </x:c>
      <x:c r="D30" s="26" t="n">
        <x:f>SUM($C$8:C30)</x:f>
        <x:v>5178447.201409267</x:v>
      </x:c>
      <x:c r="E30" s="28" t="n">
        <x:f>D30/SUM('Activities'!R8:R816)</x:f>
        <x:v>0.22896386486785608</x:v>
      </x:c>
      <x:c r="F30" s="26" t="n">
        <x:f>'Workforce'!L30*6*8</x:f>
        <x:v>1344</x:v>
      </x:c>
    </x:row>
    <x:row r="31" ht="23" customHeight="1">
      <x:c r="A31" s="1" t="n">
        <x:v>24</x:v>
      </x:c>
      <x:c r="B31" s="19" t="n">
        <x:f>'Workforce'!B31</x:f>
        <x:v>46489</x:v>
      </x:c>
      <x:c r="C31" s="27" t="n">
        <x:f>SUMPRODUCT('Weekly Gantt'!AB8:AB816,'Activities'!$T$8:$T$816)</x:f>
        <x:v>101968.28966073936</x:v>
      </x:c>
      <x:c r="D31" s="27" t="n">
        <x:f>SUM($C$8:C31)</x:f>
        <x:v>5280415.491070007</x:v>
      </x:c>
      <x:c r="E31" s="29" t="n">
        <x:f>D31/SUM('Activities'!R8:R816)</x:f>
        <x:v>0.2334723695965196</x:v>
      </x:c>
      <x:c r="F31" s="27" t="n">
        <x:f>'Workforce'!L31*6*8</x:f>
        <x:v>1888</x:v>
      </x:c>
    </x:row>
    <x:row r="32" ht="23" customHeight="1">
      <x:c r="A32" s="6" t="n">
        <x:v>25</x:v>
      </x:c>
      <x:c r="B32" s="18" t="n">
        <x:f>'Workforce'!B32</x:f>
        <x:v>46496</x:v>
      </x:c>
      <x:c r="C32" s="26" t="n">
        <x:f>SUMPRODUCT('Weekly Gantt'!AC8:AC816,'Activities'!$T$8:$T$816)</x:f>
        <x:v>218774.59838954377</x:v>
      </x:c>
      <x:c r="D32" s="26" t="n">
        <x:f>SUM($C$8:C32)</x:f>
        <x:v>5499190.089459551</x:v>
      </x:c>
      <x:c r="E32" s="28" t="n">
        <x:f>D32/SUM('Activities'!R8:R816)</x:f>
        <x:v>0.24314543869116076</x:v>
      </x:c>
      <x:c r="F32" s="26" t="n">
        <x:f>'Workforce'!L32*6*8</x:f>
        <x:v>2176</x:v>
      </x:c>
    </x:row>
    <x:row r="33" ht="23" customHeight="1">
      <x:c r="A33" s="1" t="n">
        <x:v>26</x:v>
      </x:c>
      <x:c r="B33" s="19" t="n">
        <x:f>'Workforce'!B33</x:f>
        <x:v>46503</x:v>
      </x:c>
      <x:c r="C33" s="27" t="n">
        <x:f>SUMPRODUCT('Weekly Gantt'!AD8:AD816,'Activities'!$T$8:$T$816)</x:f>
        <x:v>314413.5337633035</x:v>
      </x:c>
      <x:c r="D33" s="27" t="n">
        <x:f>SUM($C$8:C33)</x:f>
        <x:v>5813603.623222854</x:v>
      </x:c>
      <x:c r="E33" s="29" t="n">
        <x:f>D33/SUM('Activities'!R8:R816)</x:f>
        <x:v>0.25704716155465057</x:v>
      </x:c>
      <x:c r="F33" s="27" t="n">
        <x:f>'Workforce'!L33*6*8</x:f>
        <x:v>3008</x:v>
      </x:c>
    </x:row>
    <x:row r="34" ht="23" customHeight="1">
      <x:c r="A34" s="6" t="n">
        <x:v>27</x:v>
      </x:c>
      <x:c r="B34" s="18" t="n">
        <x:f>'Workforce'!B34</x:f>
        <x:v>46510</x:v>
      </x:c>
      <x:c r="C34" s="26" t="n">
        <x:f>SUMPRODUCT('Weekly Gantt'!AE8:AE816,'Activities'!$T$8:$T$816)</x:f>
        <x:v>341385.6342041293</x:v>
      </x:c>
      <x:c r="D34" s="26" t="n">
        <x:f>SUM($C$8:C34)</x:f>
        <x:v>6154989.257426984</x:v>
      </x:c>
      <x:c r="E34" s="28" t="n">
        <x:f>D34/SUM('Activities'!R8:R816)</x:f>
        <x:v>0.27214144970274057</x:v>
      </x:c>
      <x:c r="F34" s="26" t="n">
        <x:f>'Workforce'!L34*6*8</x:f>
        <x:v>3584</x:v>
      </x:c>
    </x:row>
    <x:row r="35" ht="23" customHeight="1">
      <x:c r="A35" s="1" t="n">
        <x:v>28</x:v>
      </x:c>
      <x:c r="B35" s="19" t="n">
        <x:f>'Workforce'!B35</x:f>
        <x:v>46517</x:v>
      </x:c>
      <x:c r="C35" s="27" t="n">
        <x:f>SUMPRODUCT('Weekly Gantt'!AF8:AF816,'Activities'!$T$8:$T$816)</x:f>
        <x:v>117486.96753746262</x:v>
      </x:c>
      <x:c r="D35" s="27" t="n">
        <x:f>SUM($C$8:C35)</x:f>
        <x:v>6272476.224964446</x:v>
      </x:c>
      <x:c r="E35" s="29" t="n">
        <x:f>D35/SUM('Activities'!R8:R816)</x:f>
        <x:v>0.27733610924308716</x:v>
      </x:c>
      <x:c r="F35" s="27" t="n">
        <x:f>'Workforce'!L35*6*8</x:f>
        <x:v>2224</x:v>
      </x:c>
    </x:row>
    <x:row r="36" ht="23" customHeight="1">
      <x:c r="A36" s="6" t="n">
        <x:v>29</x:v>
      </x:c>
      <x:c r="B36" s="18" t="n">
        <x:f>'Workforce'!B36</x:f>
        <x:v>46524</x:v>
      </x:c>
      <x:c r="C36" s="26" t="n">
        <x:f>SUMPRODUCT('Weekly Gantt'!AG8:AG816,'Activities'!$T$8:$T$816)</x:f>
        <x:v>133863.4475374626</x:v>
      </x:c>
      <x:c r="D36" s="26" t="n">
        <x:f>SUM($C$8:C36)</x:f>
        <x:v>6406339.672501909</x:v>
      </x:c>
      <x:c r="E36" s="28" t="n">
        <x:f>D36/SUM('Activities'!R8:R816)</x:f>
        <x:v>0.28325485112084</x:v>
      </x:c>
      <x:c r="F36" s="26" t="n">
        <x:f>'Workforce'!L36*6*8</x:f>
        <x:v>2768</x:v>
      </x:c>
    </x:row>
    <x:row r="37" ht="23" customHeight="1">
      <x:c r="A37" s="1" t="n">
        <x:v>30</x:v>
      </x:c>
      <x:c r="B37" s="19" t="n">
        <x:f>'Workforce'!B37</x:f>
        <x:v>46531</x:v>
      </x:c>
      <x:c r="C37" s="27" t="n">
        <x:f>SUMPRODUCT('Weekly Gantt'!AH8:AH816,'Activities'!$T$8:$T$816)</x:f>
        <x:v>144711.7546340994</x:v>
      </x:c>
      <x:c r="D37" s="27" t="n">
        <x:f>SUM($C$8:C37)</x:f>
        <x:v>6551051.427136008</x:v>
      </x:c>
      <x:c r="E37" s="29" t="n">
        <x:f>D37/SUM('Activities'!R8:R816)</x:f>
        <x:v>0.2896532484287849</x:v>
      </x:c>
      <x:c r="F37" s="27" t="n">
        <x:f>'Workforce'!L37*6*8</x:f>
        <x:v>2928</x:v>
      </x:c>
    </x:row>
    <x:row r="38" ht="23" customHeight="1">
      <x:c r="A38" s="6" t="n">
        <x:v>31</x:v>
      </x:c>
      <x:c r="B38" s="18" t="n">
        <x:f>'Workforce'!B38</x:f>
        <x:v>46538</x:v>
      </x:c>
      <x:c r="C38" s="26" t="n">
        <x:f>SUMPRODUCT('Weekly Gantt'!AI8:AI816,'Activities'!$T$8:$T$816)</x:f>
        <x:v>151216.6146449551</x:v>
      </x:c>
      <x:c r="D38" s="26" t="n">
        <x:f>SUM($C$8:C38)</x:f>
        <x:v>6702268.041780963</x:v>
      </x:c>
      <x:c r="E38" s="28" t="n">
        <x:f>D38/SUM('Activities'!R8:R816)</x:f>
        <x:v>0.29633925664219685</x:v>
      </x:c>
      <x:c r="F38" s="26" t="n">
        <x:f>'Workforce'!L38*6*8</x:f>
        <x:v>2592</x:v>
      </x:c>
    </x:row>
    <x:row r="39" ht="23" customHeight="1">
      <x:c r="A39" s="1" t="n">
        <x:v>32</x:v>
      </x:c>
      <x:c r="B39" s="19" t="n">
        <x:f>'Workforce'!B39</x:f>
        <x:v>46545</x:v>
      </x:c>
      <x:c r="C39" s="27" t="n">
        <x:f>SUMPRODUCT('Weekly Gantt'!AJ8:AJ816,'Activities'!$T$8:$T$816)</x:f>
        <x:v>138687.96796743275</x:v>
      </x:c>
      <x:c r="D39" s="27" t="n">
        <x:f>SUM($C$8:C39)</x:f>
        <x:v>6840956.0097483955</x:v>
      </x:c>
      <x:c r="E39" s="29" t="n">
        <x:f>D39/SUM('Activities'!R8:R816)</x:f>
        <x:v>0.3024713135931398</x:v>
      </x:c>
      <x:c r="F39" s="27" t="n">
        <x:f>'Workforce'!L39*6*8</x:f>
        <x:v>2928</x:v>
      </x:c>
    </x:row>
    <x:row r="40" ht="23" customHeight="1">
      <x:c r="A40" s="6" t="n">
        <x:v>33</x:v>
      </x:c>
      <x:c r="B40" s="18" t="n">
        <x:f>'Workforce'!B40</x:f>
        <x:v>46552</x:v>
      </x:c>
      <x:c r="C40" s="26" t="n">
        <x:f>SUMPRODUCT('Weekly Gantt'!AK8:AK816,'Activities'!$T$8:$T$816)</x:f>
        <x:v>177374.46840825854</x:v>
      </x:c>
      <x:c r="D40" s="26" t="n">
        <x:f>SUM($C$8:C40)</x:f>
        <x:v>7018330.478156654</x:v>
      </x:c>
      <x:c r="E40" s="28" t="n">
        <x:f>D40/SUM('Activities'!R8:R816)</x:f>
        <x:v>0.3103138853595535</x:v>
      </x:c>
      <x:c r="F40" s="26" t="n">
        <x:f>'Workforce'!L40*6*8</x:f>
        <x:v>3232</x:v>
      </x:c>
    </x:row>
    <x:row r="41" ht="23" customHeight="1">
      <x:c r="A41" s="1" t="n">
        <x:v>34</x:v>
      </x:c>
      <x:c r="B41" s="19" t="n">
        <x:f>'Workforce'!B41</x:f>
        <x:v>46559</x:v>
      </x:c>
      <x:c r="C41" s="27" t="n">
        <x:f>SUMPRODUCT('Weekly Gantt'!AL8:AL816,'Activities'!$T$8:$T$816)</x:f>
        <x:v>177374.46840825854</x:v>
      </x:c>
      <x:c r="D41" s="27" t="n">
        <x:f>SUM($C$8:C41)</x:f>
        <x:v>7195704.946564913</x:v>
      </x:c>
      <x:c r="E41" s="29" t="n">
        <x:f>D41/SUM('Activities'!R8:R816)</x:f>
        <x:v>0.3181564571259672</x:v>
      </x:c>
      <x:c r="F41" s="27" t="n">
        <x:f>'Workforce'!L41*6*8</x:f>
        <x:v>3232</x:v>
      </x:c>
    </x:row>
    <x:row r="42" ht="23" customHeight="1">
      <x:c r="A42" s="6" t="n">
        <x:v>35</x:v>
      </x:c>
      <x:c r="B42" s="18" t="n">
        <x:f>'Workforce'!B42</x:f>
        <x:v>46566</x:v>
      </x:c>
      <x:c r="C42" s="26" t="n">
        <x:f>SUMPRODUCT('Weekly Gantt'!AM8:AM816,'Activities'!$T$8:$T$816)</x:f>
        <x:v>177374.46840825854</x:v>
      </x:c>
      <x:c r="D42" s="26" t="n">
        <x:f>SUM($C$8:C42)</x:f>
        <x:v>7373079.414973171</x:v>
      </x:c>
      <x:c r="E42" s="28" t="n">
        <x:f>D42/SUM('Activities'!R8:R816)</x:f>
        <x:v>0.3259990288923809</x:v>
      </x:c>
      <x:c r="F42" s="26" t="n">
        <x:f>'Workforce'!L42*6*8</x:f>
        <x:v>3232</x:v>
      </x:c>
    </x:row>
    <x:row r="43" ht="23" customHeight="1">
      <x:c r="A43" s="1" t="n">
        <x:v>36</x:v>
      </x:c>
      <x:c r="B43" s="19" t="n">
        <x:f>'Workforce'!B43</x:f>
        <x:v>46573</x:v>
      </x:c>
      <x:c r="C43" s="27" t="n">
        <x:f>SUMPRODUCT('Weekly Gantt'!AN8:AN816,'Activities'!$T$8:$T$816)</x:f>
        <x:v>189578.73840825853</x:v>
      </x:c>
      <x:c r="D43" s="27" t="n">
        <x:f>SUM($C$8:C43)</x:f>
        <x:v>7562658.15338143</x:v>
      </x:c>
      <x:c r="E43" s="29" t="n">
        <x:f>D43/SUM('Activities'!R8:R816)</x:f>
        <x:v>0.3343812096802654</x:v>
      </x:c>
      <x:c r="F43" s="27" t="n">
        <x:f>'Workforce'!L43*6*8</x:f>
        <x:v>3631.9999999999995</x:v>
      </x:c>
    </x:row>
    <x:row r="44" ht="23" customHeight="1">
      <x:c r="A44" s="6" t="n">
        <x:v>37</x:v>
      </x:c>
      <x:c r="B44" s="18" t="n">
        <x:f>'Workforce'!B44</x:f>
        <x:v>46580</x:v>
      </x:c>
      <x:c r="C44" s="26" t="n">
        <x:f>SUMPRODUCT('Weekly Gantt'!AO8:AO816,'Activities'!$T$8:$T$816)</x:f>
        <x:v>184907.96840825854</x:v>
      </x:c>
      <x:c r="D44" s="26" t="n">
        <x:f>SUM($C$8:C44)</x:f>
        <x:v>7747566.121789688</x:v>
      </x:c>
      <x:c r="E44" s="28" t="n">
        <x:f>D44/SUM('Activities'!R8:R816)</x:f>
        <x:v>0.3425568734352413</x:v>
      </x:c>
      <x:c r="F44" s="26" t="n">
        <x:f>'Workforce'!L44*6*8</x:f>
        <x:v>3472</x:v>
      </x:c>
    </x:row>
    <x:row r="45" ht="23" customHeight="1">
      <x:c r="A45" s="1" t="n">
        <x:v>38</x:v>
      </x:c>
      <x:c r="B45" s="19" t="n">
        <x:f>'Workforce'!B45</x:f>
        <x:v>46587</x:v>
      </x:c>
      <x:c r="C45" s="27" t="n">
        <x:f>SUMPRODUCT('Weekly Gantt'!AP8:AP816,'Activities'!$T$8:$T$816)</x:f>
        <x:v>200128.23840825853</x:v>
      </x:c>
      <x:c r="D45" s="27" t="n">
        <x:f>SUM($C$8:C45)</x:f>
        <x:v>7947694.360197946</x:v>
      </x:c>
      <x:c r="E45" s="29" t="n">
        <x:f>D45/SUM('Activities'!R8:R816)</x:f>
        <x:v>0.35140549796552145</x:v>
      </x:c>
      <x:c r="F45" s="27" t="n">
        <x:f>'Workforce'!L45*6*8</x:f>
        <x:v>3935.999999999999</x:v>
      </x:c>
    </x:row>
    <x:row r="46" ht="23" customHeight="1">
      <x:c r="A46" s="6" t="n">
        <x:v>39</x:v>
      </x:c>
      <x:c r="B46" s="18" t="n">
        <x:f>'Workforce'!B46</x:f>
        <x:v>46594</x:v>
      </x:c>
      <x:c r="C46" s="26" t="n">
        <x:f>SUMPRODUCT('Weekly Gantt'!AQ8:AQ816,'Activities'!$T$8:$T$816)</x:f>
        <x:v>203144.23840825853</x:v>
      </x:c>
      <x:c r="D46" s="26" t="n">
        <x:f>SUM($C$8:C46)</x:f>
        <x:v>8150838.598606205</x:v>
      </x:c>
      <x:c r="E46" s="28" t="n">
        <x:f>D46/SUM('Activities'!R8:R816)</x:f>
        <x:v>0.36038747424963496</x:v>
      </x:c>
      <x:c r="F46" s="26" t="n">
        <x:f>'Workforce'!L46*6*8</x:f>
        <x:v>4000</x:v>
      </x:c>
    </x:row>
    <x:row r="47" ht="23" customHeight="1">
      <x:c r="A47" s="1" t="n">
        <x:v>40</x:v>
      </x:c>
      <x:c r="B47" s="19" t="n">
        <x:f>'Workforce'!B47</x:f>
        <x:v>46601</x:v>
      </x:c>
      <x:c r="C47" s="27" t="n">
        <x:f>SUMPRODUCT('Weekly Gantt'!AR8:AR816,'Activities'!$T$8:$T$816)</x:f>
        <x:v>207661.73840825856</x:v>
      </x:c>
      <x:c r="D47" s="27" t="n">
        <x:f>SUM($C$8:C47)</x:f>
        <x:v>8358500.337014463</x:v>
      </x:c>
      <x:c r="E47" s="29" t="n">
        <x:f>D47/SUM('Activities'!R8:R816)</x:f>
        <x:v>0.36956919076847733</x:v>
      </x:c>
      <x:c r="F47" s="27" t="n">
        <x:f>'Workforce'!L47*6*8</x:f>
        <x:v>4175.999999999999</x:v>
      </x:c>
    </x:row>
    <x:row r="48" ht="23" customHeight="1">
      <x:c r="A48" s="6" t="n">
        <x:v>41</x:v>
      </x:c>
      <x:c r="B48" s="18" t="n">
        <x:f>'Workforce'!B48</x:f>
        <x:v>46608</x:v>
      </x:c>
      <x:c r="C48" s="26" t="n">
        <x:f>SUMPRODUCT('Weekly Gantt'!AS8:AS816,'Activities'!$T$8:$T$816)</x:f>
        <x:v>213693.73840825853</x:v>
      </x:c>
      <x:c r="D48" s="26" t="n">
        <x:f>SUM($C$8:C48)</x:f>
        <x:v>8572194.075422721</x:v>
      </x:c>
      <x:c r="E48" s="28" t="n">
        <x:f>D48/SUM('Activities'!R8:R816)</x:f>
        <x:v>0.37901761079498647</x:v>
      </x:c>
      <x:c r="F48" s="26" t="n">
        <x:f>'Workforce'!L48*6*8</x:f>
        <x:v>4304</x:v>
      </x:c>
    </x:row>
    <x:row r="49" ht="23" customHeight="1">
      <x:c r="A49" s="1" t="n">
        <x:v>42</x:v>
      </x:c>
      <x:c r="B49" s="19" t="n">
        <x:f>'Workforce'!B49</x:f>
        <x:v>46615</x:v>
      </x:c>
      <x:c r="C49" s="27" t="n">
        <x:f>SUMPRODUCT('Weekly Gantt'!AT8:AT816,'Activities'!$T$8:$T$816)</x:f>
        <x:v>225898.00840825852</x:v>
      </x:c>
      <x:c r="D49" s="27" t="n">
        <x:f>SUM($C$8:C49)</x:f>
        <x:v>8798092.083830979</x:v>
      </x:c>
      <x:c r="E49" s="29" t="n">
        <x:f>D49/SUM('Activities'!R8:R816)</x:f>
        <x:v>0.3890056398429664</x:v>
      </x:c>
      <x:c r="F49" s="27" t="n">
        <x:f>'Workforce'!L49*6*8</x:f>
        <x:v>4704</x:v>
      </x:c>
    </x:row>
    <x:row r="50" ht="23" customHeight="1">
      <x:c r="A50" s="6" t="n">
        <x:v>43</x:v>
      </x:c>
      <x:c r="B50" s="18" t="n">
        <x:f>'Workforce'!B50</x:f>
        <x:v>46622</x:v>
      </x:c>
      <x:c r="C50" s="26" t="n">
        <x:f>SUMPRODUCT('Weekly Gantt'!AU8:AU816,'Activities'!$T$8:$T$816)</x:f>
        <x:v>221227.23840825856</x:v>
      </x:c>
      <x:c r="D50" s="26" t="n">
        <x:f>SUM($C$8:C50)</x:f>
        <x:v>9019319.322239237</x:v>
      </x:c>
      <x:c r="E50" s="28" t="n">
        <x:f>D50/SUM('Activities'!R8:R816)</x:f>
        <x:v>0.39878715185803776</x:v>
      </x:c>
      <x:c r="F50" s="26" t="n">
        <x:f>'Workforce'!L50*6*8</x:f>
        <x:v>4544</x:v>
      </x:c>
    </x:row>
    <x:row r="51" ht="23" customHeight="1">
      <x:c r="A51" s="1" t="n">
        <x:v>44</x:v>
      </x:c>
      <x:c r="B51" s="19" t="n">
        <x:f>'Workforce'!B51</x:f>
        <x:v>46629</x:v>
      </x:c>
      <x:c r="C51" s="27" t="n">
        <x:f>SUMPRODUCT('Weekly Gantt'!AV8:AV816,'Activities'!$T$8:$T$816)</x:f>
        <x:v>236447.50840825852</x:v>
      </x:c>
      <x:c r="D51" s="27" t="n">
        <x:f>SUM($C$8:C51)</x:f>
        <x:v>9255766.830647495</x:v>
      </x:c>
      <x:c r="E51" s="29" t="n">
        <x:f>D51/SUM('Activities'!R8:R816)</x:f>
        <x:v>0.4092416246484133</x:v>
      </x:c>
      <x:c r="F51" s="27" t="n">
        <x:f>'Workforce'!L51*6*8</x:f>
        <x:v>5008</x:v>
      </x:c>
    </x:row>
    <x:row r="52" ht="23" customHeight="1">
      <x:c r="A52" s="6" t="n">
        <x:v>45</x:v>
      </x:c>
      <x:c r="B52" s="18" t="n">
        <x:f>'Workforce'!B52</x:f>
        <x:v>46636</x:v>
      </x:c>
      <x:c r="C52" s="26" t="n">
        <x:f>SUMPRODUCT('Weekly Gantt'!AW8:AW816,'Activities'!$T$8:$T$816)</x:f>
        <x:v>239463.50840825852</x:v>
      </x:c>
      <x:c r="D52" s="26" t="n">
        <x:f>SUM($C$8:C52)</x:f>
        <x:v>9495230.339055752</x:v>
      </x:c>
      <x:c r="E52" s="28" t="n">
        <x:f>D52/SUM('Activities'!R8:R816)</x:f>
        <x:v>0.4198294491926222</x:v>
      </x:c>
      <x:c r="F52" s="26" t="n">
        <x:f>'Workforce'!L52*6*8</x:f>
        <x:v>5072</x:v>
      </x:c>
    </x:row>
    <x:row r="53" ht="23" customHeight="1">
      <x:c r="A53" s="1" t="n">
        <x:v>46</x:v>
      </x:c>
      <x:c r="B53" s="19" t="n">
        <x:f>'Workforce'!B53</x:f>
        <x:v>46643</x:v>
      </x:c>
      <x:c r="C53" s="27" t="n">
        <x:f>SUMPRODUCT('Weekly Gantt'!AX8:AX816,'Activities'!$T$8:$T$816)</x:f>
        <x:v>243981.00840825855</x:v>
      </x:c>
      <x:c r="D53" s="27" t="n">
        <x:f>SUM($C$8:C53)</x:f>
        <x:v>9739211.34746401</x:v>
      </x:c>
      <x:c r="E53" s="29" t="n">
        <x:f>D53/SUM('Activities'!R8:R816)</x:f>
        <x:v>0.43061701397156</x:v>
      </x:c>
      <x:c r="F53" s="27" t="n">
        <x:f>'Workforce'!L53*6*8</x:f>
        <x:v>5248</x:v>
      </x:c>
    </x:row>
    <x:row r="54" ht="23" customHeight="1">
      <x:c r="A54" s="6" t="n">
        <x:v>47</x:v>
      </x:c>
      <x:c r="B54" s="18" t="n">
        <x:f>'Workforce'!B54</x:f>
        <x:v>46650</x:v>
      </x:c>
      <x:c r="C54" s="26" t="n">
        <x:f>SUMPRODUCT('Weekly Gantt'!AY8:AY816,'Activities'!$T$8:$T$816)</x:f>
        <x:v>250013.00840825852</x:v>
      </x:c>
      <x:c r="D54" s="26" t="n">
        <x:f>SUM($C$8:C54)</x:f>
        <x:v>9989224.355872268</x:v>
      </x:c>
      <x:c r="E54" s="28" t="n">
        <x:f>D54/SUM('Activities'!R8:R816)</x:f>
        <x:v>0.44167128225816454</x:v>
      </x:c>
      <x:c r="F54" s="26" t="n">
        <x:f>'Workforce'!L54*6*8</x:f>
        <x:v>5376</x:v>
      </x:c>
    </x:row>
    <x:row r="55" ht="23" customHeight="1">
      <x:c r="A55" s="1" t="n">
        <x:v>48</x:v>
      </x:c>
      <x:c r="B55" s="19" t="n">
        <x:f>'Workforce'!B55</x:f>
        <x:v>46657</x:v>
      </x:c>
      <x:c r="C55" s="27" t="n">
        <x:f>SUMPRODUCT('Weekly Gantt'!AZ8:AZ816,'Activities'!$T$8:$T$816)</x:f>
        <x:v>250013.00840825852</x:v>
      </x:c>
      <x:c r="D55" s="27" t="n">
        <x:f>SUM($C$8:C55)</x:f>
        <x:v>10239237.364280526</x:v>
      </x:c>
      <x:c r="E55" s="29" t="n">
        <x:f>D55/SUM('Activities'!R8:R816)</x:f>
        <x:v>0.4527255505447691</x:v>
      </x:c>
      <x:c r="F55" s="27" t="n">
        <x:f>'Workforce'!L55*6*8</x:f>
        <x:v>5376</x:v>
      </x:c>
    </x:row>
    <x:row r="56" ht="23" customHeight="1">
      <x:c r="A56" s="6" t="n">
        <x:v>49</x:v>
      </x:c>
      <x:c r="B56" s="18" t="n">
        <x:f>'Workforce'!B56</x:f>
        <x:v>46664</x:v>
      </x:c>
      <x:c r="C56" s="26" t="n">
        <x:f>SUMPRODUCT('Weekly Gantt'!BA8:BA816,'Activities'!$T$8:$T$816)</x:f>
        <x:v>250013.00840825855</x:v>
      </x:c>
      <x:c r="D56" s="26" t="n">
        <x:f>SUM($C$8:C56)</x:f>
        <x:v>10489250.372688783</x:v>
      </x:c>
      <x:c r="E56" s="28" t="n">
        <x:f>D56/SUM('Activities'!R8:R816)</x:f>
        <x:v>0.46377981883137365</x:v>
      </x:c>
      <x:c r="F56" s="26" t="n">
        <x:f>'Workforce'!L56*6*8</x:f>
        <x:v>5376</x:v>
      </x:c>
    </x:row>
    <x:row r="57" ht="23" customHeight="1">
      <x:c r="A57" s="1" t="n">
        <x:v>50</x:v>
      </x:c>
      <x:c r="B57" s="19" t="n">
        <x:f>'Workforce'!B57</x:f>
        <x:v>46671</x:v>
      </x:c>
      <x:c r="C57" s="27" t="n">
        <x:f>SUMPRODUCT('Weekly Gantt'!BB8:BB816,'Activities'!$T$8:$T$816)</x:f>
        <x:v>250013.00840825852</x:v>
      </x:c>
      <x:c r="D57" s="27" t="n">
        <x:f>SUM($C$8:C57)</x:f>
        <x:v>10739263.381097041</x:v>
      </x:c>
      <x:c r="E57" s="29" t="n">
        <x:f>D57/SUM('Activities'!R8:R816)</x:f>
        <x:v>0.47483408711797814</x:v>
      </x:c>
      <x:c r="F57" s="27" t="n">
        <x:f>'Workforce'!L57*6*8</x:f>
        <x:v>5376</x:v>
      </x:c>
    </x:row>
    <x:row r="58" ht="23" customHeight="1">
      <x:c r="A58" s="6" t="n">
        <x:v>51</x:v>
      </x:c>
      <x:c r="B58" s="18" t="n">
        <x:f>'Workforce'!B58</x:f>
        <x:v>46678</x:v>
      </x:c>
      <x:c r="C58" s="26" t="n">
        <x:f>SUMPRODUCT('Weekly Gantt'!BC8:BC816,'Activities'!$T$8:$T$816)</x:f>
        <x:v>250013.00840825852</x:v>
      </x:c>
      <x:c r="D58" s="26" t="n">
        <x:f>SUM($C$8:C58)</x:f>
        <x:v>10989276.389505299</x:v>
      </x:c>
      <x:c r="E58" s="28" t="n">
        <x:f>D58/SUM('Activities'!R8:R816)</x:f>
        <x:v>0.4858883554045827</x:v>
      </x:c>
      <x:c r="F58" s="26" t="n">
        <x:f>'Workforce'!L58*6*8</x:f>
        <x:v>5376</x:v>
      </x:c>
    </x:row>
    <x:row r="59" ht="23" customHeight="1">
      <x:c r="A59" s="1" t="n">
        <x:v>52</x:v>
      </x:c>
      <x:c r="B59" s="19" t="n">
        <x:f>'Workforce'!B59</x:f>
        <x:v>46685</x:v>
      </x:c>
      <x:c r="C59" s="27" t="n">
        <x:f>SUMPRODUCT('Weekly Gantt'!BD8:BD816,'Activities'!$T$8:$T$816)</x:f>
        <x:v>324119.70222644036</x:v>
      </x:c>
      <x:c r="D59" s="27" t="n">
        <x:f>SUM($C$8:C59)</x:f>
        <x:v>11313396.091731738</x:v>
      </x:c>
      <x:c r="E59" s="29" t="n">
        <x:f>D59/SUM('Activities'!R8:R816)</x:f>
        <x:v>0.5002192342984311</x:v>
      </x:c>
      <x:c r="F59" s="27" t="n">
        <x:f>'Workforce'!L59*6*8</x:f>
        <x:v>6144</x:v>
      </x:c>
    </x:row>
    <x:row r="60" ht="23" customHeight="1">
      <x:c r="A60" s="6" t="n">
        <x:v>53</x:v>
      </x:c>
      <x:c r="B60" s="18" t="n">
        <x:f>'Workforce'!B60</x:f>
        <x:v>46692</x:v>
      </x:c>
      <x:c r="C60" s="26" t="n">
        <x:f>SUMPRODUCT('Weekly Gantt'!BE8:BE816,'Activities'!$T$8:$T$816)</x:f>
        <x:v>324119.70222644036</x:v>
      </x:c>
      <x:c r="D60" s="26" t="n">
        <x:f>SUM($C$8:C60)</x:f>
        <x:v>11637515.793958178</x:v>
      </x:c>
      <x:c r="E60" s="28" t="n">
        <x:f>D60/SUM('Activities'!R8:R816)</x:f>
        <x:v>0.5145501131922795</x:v>
      </x:c>
      <x:c r="F60" s="26" t="n">
        <x:f>'Workforce'!L60*6*8</x:f>
        <x:v>6144</x:v>
      </x:c>
    </x:row>
    <x:row r="61" ht="23" customHeight="1">
      <x:c r="A61" s="1" t="n">
        <x:v>54</x:v>
      </x:c>
      <x:c r="B61" s="19" t="n">
        <x:f>'Workforce'!B61</x:f>
        <x:v>46699</x:v>
      </x:c>
      <x:c r="C61" s="27" t="n">
        <x:f>SUMPRODUCT('Weekly Gantt'!BF8:BF816,'Activities'!$T$8:$T$816)</x:f>
        <x:v>398226.3960446222</x:v>
      </x:c>
      <x:c r="D61" s="27" t="n">
        <x:f>SUM($C$8:C61)</x:f>
        <x:v>12035742.190002799</x:v>
      </x:c>
      <x:c r="E61" s="29" t="n">
        <x:f>D61/SUM('Activities'!R8:R816)</x:f>
        <x:v>0.5321576026933716</x:v>
      </x:c>
      <x:c r="F61" s="27" t="n">
        <x:f>'Workforce'!L61*6*8</x:f>
        <x:v>6912</x:v>
      </x:c>
    </x:row>
    <x:row r="62" ht="23" customHeight="1">
      <x:c r="A62" s="6" t="n">
        <x:v>55</x:v>
      </x:c>
      <x:c r="B62" s="18" t="n">
        <x:f>'Workforce'!B62</x:f>
        <x:v>46706</x:v>
      </x:c>
      <x:c r="C62" s="26" t="n">
        <x:f>SUMPRODUCT('Weekly Gantt'!BG8:BG816,'Activities'!$T$8:$T$816)</x:f>
        <x:v>373524.16477189487</x:v>
      </x:c>
      <x:c r="D62" s="26" t="n">
        <x:f>SUM($C$8:C62)</x:f>
        <x:v>12409266.354774693</x:v>
      </x:c>
      <x:c r="E62" s="28" t="n">
        <x:f>D62/SUM('Activities'!R8:R816)</x:f>
        <x:v>0.5486728886587159</x:v>
      </x:c>
      <x:c r="F62" s="26" t="n">
        <x:f>'Workforce'!L62*6*8</x:f>
        <x:v>6656</x:v>
      </x:c>
    </x:row>
    <x:row r="63" ht="23" customHeight="1">
      <x:c r="A63" s="1" t="n">
        <x:v>56</x:v>
      </x:c>
      <x:c r="B63" s="19" t="n">
        <x:f>'Workforce'!B63</x:f>
        <x:v>46713</x:v>
      </x:c>
      <x:c r="C63" s="27" t="n">
        <x:f>SUMPRODUCT('Weekly Gantt'!BH8:BH816,'Activities'!$T$8:$T$816)</x:f>
        <x:v>398226.3960446222</x:v>
      </x:c>
      <x:c r="D63" s="27" t="n">
        <x:f>SUM($C$8:C63)</x:f>
        <x:v>12807492.750819314</x:v>
      </x:c>
      <x:c r="E63" s="29" t="n">
        <x:f>D63/SUM('Activities'!R8:R816)</x:f>
        <x:v>0.5662803781598081</x:v>
      </x:c>
      <x:c r="F63" s="27" t="n">
        <x:f>'Workforce'!L63*6*8</x:f>
        <x:v>6912</x:v>
      </x:c>
    </x:row>
    <x:row r="64" ht="23" customHeight="1">
      <x:c r="A64" s="6" t="n">
        <x:v>57</x:v>
      </x:c>
      <x:c r="B64" s="18" t="n">
        <x:f>'Workforce'!B64</x:f>
        <x:v>46720</x:v>
      </x:c>
      <x:c r="C64" s="26" t="n">
        <x:f>SUMPRODUCT('Weekly Gantt'!BI8:BI816,'Activities'!$T$8:$T$816)</x:f>
        <x:v>373524.16477189487</x:v>
      </x:c>
      <x:c r="D64" s="26" t="n">
        <x:f>SUM($C$8:C64)</x:f>
        <x:v>13181016.915591208</x:v>
      </x:c>
      <x:c r="E64" s="28" t="n">
        <x:f>D64/SUM('Activities'!R8:R816)</x:f>
        <x:v>0.5827956641251524</x:v>
      </x:c>
      <x:c r="F64" s="26" t="n">
        <x:f>'Workforce'!L64*6*8</x:f>
        <x:v>6656</x:v>
      </x:c>
    </x:row>
    <x:row r="65" ht="23" customHeight="1">
      <x:c r="A65" s="1" t="n">
        <x:v>58</x:v>
      </x:c>
      <x:c r="B65" s="19" t="n">
        <x:f>'Workforce'!B65</x:f>
        <x:v>46727</x:v>
      </x:c>
      <x:c r="C65" s="27" t="n">
        <x:f>SUMPRODUCT('Weekly Gantt'!BJ8:BJ816,'Activities'!$T$8:$T$816)</x:f>
        <x:v>398226.3960446222</x:v>
      </x:c>
      <x:c r="D65" s="27" t="n">
        <x:f>SUM($C$8:C65)</x:f>
        <x:v>13579243.31163583</x:v>
      </x:c>
      <x:c r="E65" s="29" t="n">
        <x:f>D65/SUM('Activities'!R8:R816)</x:f>
        <x:v>0.6004031536262446</x:v>
      </x:c>
      <x:c r="F65" s="27" t="n">
        <x:f>'Workforce'!L65*6*8</x:f>
        <x:v>6912</x:v>
      </x:c>
    </x:row>
    <x:row r="66" ht="23" customHeight="1">
      <x:c r="A66" s="6" t="n">
        <x:v>59</x:v>
      </x:c>
      <x:c r="B66" s="18" t="n">
        <x:f>'Workforce'!B66</x:f>
        <x:v>46734</x:v>
      </x:c>
      <x:c r="C66" s="26" t="n">
        <x:f>SUMPRODUCT('Weekly Gantt'!BK8:BK816,'Activities'!$T$8:$T$816)</x:f>
        <x:v>373524.164771895</x:v>
      </x:c>
      <x:c r="D66" s="26" t="n">
        <x:f>SUM($C$8:C66)</x:f>
        <x:v>13952767.476407725</x:v>
      </x:c>
      <x:c r="E66" s="28" t="n">
        <x:f>D66/SUM('Activities'!R8:R816)</x:f>
        <x:v>0.616918439591589</x:v>
      </x:c>
      <x:c r="F66" s="26" t="n">
        <x:f>'Workforce'!L66*6*8</x:f>
        <x:v>6656</x:v>
      </x:c>
    </x:row>
    <x:row r="67" ht="23" customHeight="1">
      <x:c r="A67" s="1" t="n">
        <x:v>60</x:v>
      </x:c>
      <x:c r="B67" s="19" t="n">
        <x:f>'Workforce'!B67</x:f>
        <x:v>46741</x:v>
      </x:c>
      <x:c r="C67" s="27" t="n">
        <x:f>SUMPRODUCT('Weekly Gantt'!BL8:BL816,'Activities'!$T$8:$T$816)</x:f>
        <x:v>398226.3960446221</x:v>
      </x:c>
      <x:c r="D67" s="27" t="n">
        <x:f>SUM($C$8:C67)</x:f>
        <x:v>14350993.872452347</x:v>
      </x:c>
      <x:c r="E67" s="29" t="n">
        <x:f>D67/SUM('Activities'!R8:R816)</x:f>
        <x:v>0.6345259290926811</x:v>
      </x:c>
      <x:c r="F67" s="27" t="n">
        <x:f>'Workforce'!L67*6*8</x:f>
        <x:v>6912</x:v>
      </x:c>
    </x:row>
    <x:row r="68" ht="23" customHeight="1">
      <x:c r="A68" s="6" t="n">
        <x:v>61</x:v>
      </x:c>
      <x:c r="B68" s="18" t="n">
        <x:f>'Workforce'!B68</x:f>
        <x:v>46748</x:v>
      </x:c>
      <x:c r="C68" s="26" t="n">
        <x:f>SUMPRODUCT('Weekly Gantt'!BM8:BM816,'Activities'!$T$8:$T$816)</x:f>
        <x:v>373524.164771895</x:v>
      </x:c>
      <x:c r="D68" s="26" t="n">
        <x:f>SUM($C$8:C68)</x:f>
        <x:v>14724518.037224242</x:v>
      </x:c>
      <x:c r="E68" s="28" t="n">
        <x:f>D68/SUM('Activities'!R8:R816)</x:f>
        <x:v>0.6510412150580255</x:v>
      </x:c>
      <x:c r="F68" s="26" t="n">
        <x:f>'Workforce'!L68*6*8</x:f>
        <x:v>6656</x:v>
      </x:c>
    </x:row>
    <x:row r="69" ht="23" customHeight="1">
      <x:c r="A69" s="1" t="n">
        <x:v>62</x:v>
      </x:c>
      <x:c r="B69" s="19" t="n">
        <x:f>'Workforce'!B69</x:f>
        <x:v>46755</x:v>
      </x:c>
      <x:c r="C69" s="27" t="n">
        <x:f>SUMPRODUCT('Weekly Gantt'!BN8:BN816,'Activities'!$T$8:$T$816)</x:f>
        <x:v>378650.1827112888</x:v>
      </x:c>
      <x:c r="D69" s="27" t="n">
        <x:f>SUM($C$8:C69)</x:f>
        <x:v>15103168.21993553</x:v>
      </x:c>
      <x:c r="E69" s="29" t="n">
        <x:f>D69/SUM('Activities'!R8:R816)</x:f>
        <x:v>0.6677831467403458</x:v>
      </x:c>
      <x:c r="F69" s="27" t="n">
        <x:f>'Workforce'!L69*6*8</x:f>
        <x:v>6336</x:v>
      </x:c>
    </x:row>
    <x:row r="70" ht="23" customHeight="1">
      <x:c r="A70" s="6" t="n">
        <x:v>63</x:v>
      </x:c>
      <x:c r="B70" s="18" t="n">
        <x:f>'Workforce'!B70</x:f>
        <x:v>46762</x:v>
      </x:c>
      <x:c r="C70" s="26" t="n">
        <x:f>SUMPRODUCT('Weekly Gantt'!BO8:BO816,'Activities'!$T$8:$T$816)</x:f>
        <x:v>396855.31148478185</x:v>
      </x:c>
      <x:c r="D70" s="26" t="n">
        <x:f>SUM($C$8:C70)</x:f>
        <x:v>15500023.531420313</x:v>
      </x:c>
      <x:c r="E70" s="28" t="n">
        <x:f>D70/SUM('Activities'!R8:R816)</x:f>
        <x:v>0.6853300140495585</x:v>
      </x:c>
      <x:c r="F70" s="26" t="n">
        <x:f>'Workforce'!L70*6*8</x:f>
        <x:v>7520</x:v>
      </x:c>
    </x:row>
    <x:row r="71" ht="23" customHeight="1">
      <x:c r="A71" s="1" t="n">
        <x:v>64</x:v>
      </x:c>
      <x:c r="B71" s="19" t="n">
        <x:f>'Workforce'!B71</x:f>
        <x:v>46769</x:v>
      </x:c>
      <x:c r="C71" s="27" t="n">
        <x:f>SUMPRODUCT('Weekly Gantt'!BP8:BP816,'Activities'!$T$8:$T$816)</x:f>
        <x:v>309028.9170237098</x:v>
      </x:c>
      <x:c r="D71" s="27" t="n">
        <x:f>SUM($C$8:C71)</x:f>
        <x:v>15809052.448444022</x:v>
      </x:c>
      <x:c r="E71" s="29" t="n">
        <x:f>D71/SUM('Activities'!R8:R816)</x:f>
        <x:v>0.698993657308955</x:v>
      </x:c>
      <x:c r="F71" s="27" t="n">
        <x:f>'Workforce'!L71*6*8</x:f>
        <x:v>6464.000000000001</x:v>
      </x:c>
    </x:row>
    <x:row r="72" ht="23" customHeight="1">
      <x:c r="A72" s="6" t="n">
        <x:v>65</x:v>
      </x:c>
      <x:c r="B72" s="18" t="n">
        <x:f>'Workforce'!B72</x:f>
        <x:v>46776</x:v>
      </x:c>
      <x:c r="C72" s="26" t="n">
        <x:f>SUMPRODUCT('Weekly Gantt'!BQ8:BQ816,'Activities'!$T$8:$T$816)</x:f>
        <x:v>404411.57861898106</x:v>
      </x:c>
      <x:c r="D72" s="26" t="n">
        <x:f>SUM($C$8:C72)</x:f>
        <x:v>16213464.027063003</x:v>
      </x:c>
      <x:c r="E72" s="28" t="n">
        <x:f>D72/SUM('Activities'!R8:R816)</x:f>
        <x:v>0.7168746232503889</x:v>
      </x:c>
      <x:c r="F72" s="26" t="n">
        <x:f>'Workforce'!L72*6*8</x:f>
        <x:v>7616</x:v>
      </x:c>
    </x:row>
    <x:row r="73" ht="23" customHeight="1">
      <x:c r="A73" s="1" t="n">
        <x:v>66</x:v>
      </x:c>
      <x:c r="B73" s="19" t="n">
        <x:f>'Workforce'!B73</x:f>
        <x:v>46783</x:v>
      </x:c>
      <x:c r="C73" s="27" t="n">
        <x:f>SUMPRODUCT('Weekly Gantt'!BR8:BR816,'Activities'!$T$8:$T$816)</x:f>
        <x:v>328999.35277555784</x:v>
      </x:c>
      <x:c r="D73" s="27" t="n">
        <x:f>SUM($C$8:C73)</x:f>
        <x:v>16542463.37983856</x:v>
      </x:c>
      <x:c r="E73" s="29" t="n">
        <x:f>D73/SUM('Activities'!R8:R816)</x:f>
        <x:v>0.7314212547831029</x:v>
      </x:c>
      <x:c r="F73" s="27" t="n">
        <x:f>'Workforce'!L73*6*8</x:f>
        <x:v>5520</x:v>
      </x:c>
    </x:row>
    <x:row r="74" ht="23" customHeight="1">
      <x:c r="A74" s="6" t="n">
        <x:v>67</x:v>
      </x:c>
      <x:c r="B74" s="18" t="n">
        <x:f>'Workforce'!B74</x:f>
        <x:v>46790</x:v>
      </x:c>
      <x:c r="C74" s="26" t="n">
        <x:f>SUMPRODUCT('Weekly Gantt'!BS8:BS816,'Activities'!$T$8:$T$816)</x:f>
        <x:v>443646.7156327009</x:v>
      </x:c>
      <x:c r="D74" s="26" t="n">
        <x:f>SUM($C$8:C74)</x:f>
        <x:v>16986110.09547126</x:v>
      </x:c>
      <x:c r="E74" s="28" t="n">
        <x:f>D74/SUM('Activities'!R8:R816)</x:f>
        <x:v>0.7510369933812583</x:v>
      </x:c>
      <x:c r="F74" s="26" t="n">
        <x:f>'Workforce'!L74*6*8</x:f>
        <x:v>7616</x:v>
      </x:c>
    </x:row>
    <x:row r="75" ht="23" customHeight="1">
      <x:c r="A75" s="1" t="n">
        <x:v>68</x:v>
      </x:c>
      <x:c r="B75" s="19" t="n">
        <x:f>'Workforce'!B75</x:f>
        <x:v>46797</x:v>
      </x:c>
      <x:c r="C75" s="27" t="n">
        <x:f>SUMPRODUCT('Weekly Gantt'!BT8:BT816,'Activities'!$T$8:$T$816)</x:f>
        <x:v>510979.63944222464</x:v>
      </x:c>
      <x:c r="D75" s="27" t="n">
        <x:f>SUM($C$8:C75)</x:f>
        <x:v>17497089.734913483</x:v>
      </x:c>
      <x:c r="E75" s="29" t="n">
        <x:f>D75/SUM('Activities'!R8:R816)</x:f>
        <x:v>0.7736298418868173</x:v>
      </x:c>
      <x:c r="F75" s="27" t="n">
        <x:f>'Workforce'!L75*6*8</x:f>
        <x:v>8031.999999999999</x:v>
      </x:c>
    </x:row>
    <x:row r="76" ht="23" customHeight="1">
      <x:c r="A76" s="6" t="n">
        <x:v>69</x:v>
      </x:c>
      <x:c r="B76" s="18" t="n">
        <x:f>'Workforce'!B76</x:f>
        <x:v>46804</x:v>
      </x:c>
      <x:c r="C76" s="26" t="n">
        <x:f>SUMPRODUCT('Weekly Gantt'!BU8:BU816,'Activities'!$T$8:$T$816)</x:f>
        <x:v>551227.9652027307</x:v>
      </x:c>
      <x:c r="D76" s="26" t="n">
        <x:f>SUM($C$8:C76)</x:f>
        <x:v>18048317.700116213</x:v>
      </x:c>
      <x:c r="E76" s="28" t="n">
        <x:f>D76/SUM('Activities'!R8:R816)</x:f>
        <x:v>0.7980022609590276</x:v>
      </x:c>
      <x:c r="F76" s="26" t="n">
        <x:f>'Workforce'!L76*6*8</x:f>
        <x:v>10256</x:v>
      </x:c>
    </x:row>
    <x:row r="77" ht="23" customHeight="1">
      <x:c r="A77" s="1" t="n">
        <x:v>70</x:v>
      </x:c>
      <x:c r="B77" s="19" t="n">
        <x:f>'Workforce'!B77</x:f>
        <x:v>46811</x:v>
      </x:c>
      <x:c r="C77" s="27" t="n">
        <x:f>SUMPRODUCT('Weekly Gantt'!BV8:BV816,'Activities'!$T$8:$T$816)</x:f>
        <x:v>565633.8790013987</x:v>
      </x:c>
      <x:c r="D77" s="27" t="n">
        <x:f>SUM($C$8:C77)</x:f>
        <x:v>18613951.57911761</x:v>
      </x:c>
      <x:c r="E77" s="29" t="n">
        <x:f>D77/SUM('Activities'!R8:R816)</x:f>
        <x:v>0.8230116342323733</x:v>
      </x:c>
      <x:c r="F77" s="27" t="n">
        <x:f>'Workforce'!L77*6*8</x:f>
        <x:v>9760</x:v>
      </x:c>
    </x:row>
    <x:row r="78" ht="23" customHeight="1">
      <x:c r="A78" s="6" t="n">
        <x:v>71</x:v>
      </x:c>
      <x:c r="B78" s="18" t="n">
        <x:f>'Workforce'!B78</x:f>
        <x:v>46818</x:v>
      </x:c>
      <x:c r="C78" s="26" t="n">
        <x:f>SUMPRODUCT('Weekly Gantt'!BW8:BW816,'Activities'!$T$8:$T$816)</x:f>
        <x:v>536558.2518693974</x:v>
      </x:c>
      <x:c r="D78" s="26" t="n">
        <x:f>SUM($C$8:C78)</x:f>
        <x:v>19150509.83098701</x:v>
      </x:c>
      <x:c r="E78" s="28" t="n">
        <x:f>D78/SUM('Activities'!R8:R816)</x:f>
        <x:v>0.8467354352670396</x:v>
      </x:c>
      <x:c r="F78" s="26" t="n">
        <x:f>'Workforce'!L78*6*8</x:f>
        <x:v>9632</x:v>
      </x:c>
    </x:row>
    <x:row r="79" ht="23" customHeight="1">
      <x:c r="A79" s="1" t="n">
        <x:v>72</x:v>
      </x:c>
      <x:c r="B79" s="19" t="n">
        <x:f>'Workforce'!B79</x:f>
        <x:v>46825</x:v>
      </x:c>
      <x:c r="C79" s="27" t="n">
        <x:f>SUMPRODUCT('Weekly Gantt'!BX8:BX816,'Activities'!$T$8:$T$816)</x:f>
        <x:v>546712.2190062113</x:v>
      </x:c>
      <x:c r="D79" s="27" t="n">
        <x:f>SUM($C$8:C79)</x:f>
        <x:v>19697222.04999322</x:v>
      </x:c>
      <x:c r="E79" s="29" t="n">
        <x:f>D79/SUM('Activities'!R8:R816)</x:f>
        <x:v>0.8709081916485429</x:v>
      </x:c>
      <x:c r="F79" s="27" t="n">
        <x:f>'Workforce'!L79*6*8</x:f>
        <x:v>9008</x:v>
      </x:c>
    </x:row>
    <x:row r="80" ht="23" customHeight="1">
      <x:c r="A80" s="6" t="n">
        <x:v>73</x:v>
      </x:c>
      <x:c r="B80" s="18" t="n">
        <x:f>'Workforce'!B80</x:f>
        <x:v>46832</x:v>
      </x:c>
      <x:c r="C80" s="26" t="n">
        <x:f>SUMPRODUCT('Weekly Gantt'!BY8:BY816,'Activities'!$T$8:$T$816)</x:f>
        <x:v>534946.9470807455</x:v>
      </x:c>
      <x:c r="D80" s="26" t="n">
        <x:f>SUM($C$8:C80)</x:f>
        <x:v>20232168.997073967</x:v>
      </x:c>
      <x:c r="E80" s="28" t="n">
        <x:f>D80/SUM('Activities'!R8:R816)</x:f>
        <x:v>0.8945607492085651</x:v>
      </x:c>
      <x:c r="F80" s="26" t="n">
        <x:f>'Workforce'!L80*6*8</x:f>
        <x:v>9856</x:v>
      </x:c>
    </x:row>
    <x:row r="81" ht="23" customHeight="1">
      <x:c r="A81" s="1" t="n">
        <x:v>74</x:v>
      </x:c>
      <x:c r="B81" s="19" t="n">
        <x:f>'Workforce'!B81</x:f>
        <x:v>46839</x:v>
      </x:c>
      <x:c r="C81" s="27" t="n">
        <x:f>SUMPRODUCT('Weekly Gantt'!BZ8:BZ816,'Activities'!$T$8:$T$816)</x:f>
        <x:v>551032.2842236025</x:v>
      </x:c>
      <x:c r="D81" s="27" t="n">
        <x:f>SUM($C$8:C81)</x:f>
        <x:v>20783201.28129757</x:v>
      </x:c>
      <x:c r="E81" s="29" t="n">
        <x:f>D81/SUM('Activities'!R8:R816)</x:f>
        <x:v>0.9189245162908023</x:v>
      </x:c>
      <x:c r="F81" s="27" t="n">
        <x:f>'Workforce'!L81*6*8</x:f>
        <x:v>8960</x:v>
      </x:c>
    </x:row>
    <x:row r="82" ht="23" customHeight="1">
      <x:c r="A82" s="6" t="n">
        <x:v>75</x:v>
      </x:c>
      <x:c r="B82" s="18" t="n">
        <x:f>'Workforce'!B82</x:f>
        <x:v>46846</x:v>
      </x:c>
      <x:c r="C82" s="26" t="n">
        <x:f>SUMPRODUCT('Weekly Gantt'!CA8:CA816,'Activities'!$T$8:$T$816)</x:f>
        <x:v>462955.0099378882</x:v>
      </x:c>
      <x:c r="D82" s="26" t="n">
        <x:f>SUM($C$8:C82)</x:f>
        <x:v>21246156.291235458</x:v>
      </x:c>
      <x:c r="E82" s="28" t="n">
        <x:f>D82/SUM('Activities'!R8:R816)</x:f>
        <x:v>0.9393939667288543</x:v>
      </x:c>
      <x:c r="F82" s="26" t="n">
        <x:f>'Workforce'!L82*6*8</x:f>
        <x:v>7728</x:v>
      </x:c>
    </x:row>
    <x:row r="83" ht="23" customHeight="1">
      <x:c r="A83" s="1" t="n">
        <x:v>76</x:v>
      </x:c>
      <x:c r="B83" s="19" t="n">
        <x:f>'Workforce'!B83</x:f>
        <x:v>46853</x:v>
      </x:c>
      <x:c r="C83" s="27" t="n">
        <x:f>SUMPRODUCT('Weekly Gantt'!CB8:CB816,'Activities'!$T$8:$T$816)</x:f>
        <x:v>463152.9426086957</x:v>
      </x:c>
      <x:c r="D83" s="27" t="n">
        <x:f>SUM($C$8:C83)</x:f>
        <x:v>21709309.233844154</x:v>
      </x:c>
      <x:c r="E83" s="29" t="n">
        <x:f>D83/SUM('Activities'!R8:R816)</x:f>
        <x:v>0.9598721687149145</x:v>
      </x:c>
      <x:c r="F83" s="27" t="n">
        <x:f>'Workforce'!L83*6*8</x:f>
        <x:v>6879.999999999999</x:v>
      </x:c>
    </x:row>
    <x:row r="84" ht="23" customHeight="1">
      <x:c r="A84" s="6" t="n">
        <x:v>77</x:v>
      </x:c>
      <x:c r="B84" s="18" t="n">
        <x:f>'Workforce'!B84</x:f>
        <x:v>46860</x:v>
      </x:c>
      <x:c r="C84" s="26" t="n">
        <x:f>SUMPRODUCT('Weekly Gantt'!CC8:CC816,'Activities'!$T$8:$T$816)</x:f>
        <x:v>306557.64</x:v>
      </x:c>
      <x:c r="D84" s="26" t="n">
        <x:f>SUM($C$8:C84)</x:f>
        <x:v>22015866.873844154</x:v>
      </x:c>
      <x:c r="E84" s="28" t="n">
        <x:f>D84/SUM('Activities'!R8:R816)</x:f>
        <x:v>0.9734265450229451</x:v>
      </x:c>
      <x:c r="F84" s="26" t="n">
        <x:f>'Workforce'!L84*6*8</x:f>
        <x:v>5216</x:v>
      </x:c>
    </x:row>
    <x:row r="85" ht="23" customHeight="1">
      <x:c r="A85" s="1" t="n">
        <x:v>78</x:v>
      </x:c>
      <x:c r="B85" s="19" t="n">
        <x:f>'Workforce'!B85</x:f>
        <x:v>46867</x:v>
      </x:c>
      <x:c r="C85" s="27" t="n">
        <x:f>SUMPRODUCT('Weekly Gantt'!CD8:CD816,'Activities'!$T$8:$T$816)</x:f>
        <x:v>312980.24</x:v>
      </x:c>
      <x:c r="D85" s="27" t="n">
        <x:f>SUM($C$8:C85)</x:f>
        <x:v>22328847.113844153</x:v>
      </x:c>
      <x:c r="E85" s="29" t="n">
        <x:f>D85/SUM('Activities'!R8:R816)</x:f>
        <x:v>0.9872648951287774</x:v>
      </x:c>
      <x:c r="F85" s="27" t="n">
        <x:f>'Workforce'!L85*6*8</x:f>
        <x:v>5664</x:v>
      </x:c>
    </x:row>
    <x:row r="86" ht="23" customHeight="1">
      <x:c r="A86" s="6" t="n">
        <x:v>79</x:v>
      </x:c>
      <x:c r="B86" s="18" t="n">
        <x:f>'Workforce'!B86</x:f>
        <x:v>46874</x:v>
      </x:c>
      <x:c r="C86" s="26" t="n">
        <x:f>SUMPRODUCT('Weekly Gantt'!CE8:CE816,'Activities'!$T$8:$T$816)</x:f>
        <x:v>171698.04</x:v>
      </x:c>
      <x:c r="D86" s="26" t="n">
        <x:f>SUM($C$8:C86)</x:f>
        <x:v>22500545.15384415</x:v>
      </x:c>
      <x:c r="E86" s="28" t="n">
        <x:f>D86/SUM('Activities'!R8:R816)</x:f>
        <x:v>0.9948564849045575</x:v>
      </x:c>
      <x:c r="F86" s="26" t="n">
        <x:f>'Workforce'!L86*6*8</x:f>
        <x:v>4160</x:v>
      </x:c>
    </x:row>
    <x:row r="87" ht="23" customHeight="1">
      <x:c r="A87" s="1" t="n">
        <x:v>80</x:v>
      </x:c>
      <x:c r="B87" s="19" t="n">
        <x:f>'Workforce'!B87</x:f>
        <x:v>46881</x:v>
      </x:c>
      <x:c r="C87" s="27" t="n">
        <x:f>SUMPRODUCT('Weekly Gantt'!CF8:CF816,'Activities'!$T$8:$T$816)</x:f>
        <x:v>100874.24</x:v>
      </x:c>
      <x:c r="D87" s="27" t="n">
        <x:f>SUM($C$8:C87)</x:f>
        <x:v>22601419.39384415</x:v>
      </x:c>
      <x:c r="E87" s="29" t="n">
        <x:f>D87/SUM('Activities'!R8:R816)</x:f>
        <x:v>0.9993166164763773</x:v>
      </x:c>
      <x:c r="F87" s="27" t="n">
        <x:f>'Workforce'!L87*6*8</x:f>
        <x:v>2272</x:v>
      </x:c>
    </x:row>
    <x:row r="88" ht="23" customHeight="1">
      <x:c r="A88" s="6" t="n">
        <x:v>81</x:v>
      </x:c>
      <x:c r="B88" s="18" t="n">
        <x:f>'Workforce'!B88</x:f>
        <x:v>46888</x:v>
      </x:c>
      <x:c r="C88" s="26" t="n">
        <x:f>SUMPRODUCT('Weekly Gantt'!CG8:CG816,'Activities'!$T$8:$T$816)</x:f>
        <x:v>15456</x:v>
      </x:c>
      <x:c r="D88" s="26" t="n">
        <x:f>SUM($C$8:C88)</x:f>
        <x:v>22616875.39384415</x:v>
      </x:c>
      <x:c r="E88" s="28" t="n">
        <x:f>D88/SUM('Activities'!R8:R816)</x:f>
        <x:v>1.0000000000000009</x:v>
      </x:c>
      <x:c r="F88" s="26" t="n">
        <x:f>'Workforce'!L88*6*8</x:f>
        <x:v>1024</x:v>
      </x:c>
    </x:row>
    <x:row r="89" ht="23" customHeight="1">
      <x:c r="A89" s="1" t="n">
        <x:v>82</x:v>
      </x:c>
      <x:c r="B89" s="19" t="n">
        <x:f>'Workforce'!B89</x:f>
        <x:v>46895</x:v>
      </x:c>
      <x:c r="C89" s="27" t="n">
        <x:f>SUMPRODUCT('Weekly Gantt'!CH8:CH816,'Activities'!$T$8:$T$816)</x:f>
        <x:v>0</x:v>
      </x:c>
      <x:c r="D89" s="27" t="n">
        <x:f>SUM($C$8:C89)</x:f>
        <x:v>22616875.39384415</x:v>
      </x:c>
      <x:c r="E89" s="29" t="n">
        <x:f>D89/SUM('Activities'!R8:R816)</x:f>
        <x:v>1.0000000000000009</x:v>
      </x:c>
      <x:c r="F89" s="27" t="n">
        <x:f>'Workforce'!L89*6*8</x:f>
        <x:v>1152</x:v>
      </x:c>
    </x:row>
    <x:row r="90" ht="23" customHeight="1">
      <x:c r="A90" s="6" t="n">
        <x:v>83</x:v>
      </x:c>
      <x:c r="B90" s="18" t="n">
        <x:f>'Workforce'!B90</x:f>
        <x:v>46902</x:v>
      </x:c>
      <x:c r="C90" s="26" t="n">
        <x:f>SUMPRODUCT('Weekly Gantt'!CI8:CI816,'Activities'!$T$8:$T$816)</x:f>
        <x:v>0</x:v>
      </x:c>
      <x:c r="D90" s="26" t="n">
        <x:f>SUM($C$8:C90)</x:f>
        <x:v>22616875.39384415</x:v>
      </x:c>
      <x:c r="E90" s="28" t="n">
        <x:f>D90/SUM('Activities'!R8:R816)</x:f>
        <x:v>1.0000000000000009</x:v>
      </x:c>
      <x:c r="F90" s="26" t="n">
        <x:f>'Workforce'!L90*6*8</x:f>
        <x:v>1152</x:v>
      </x:c>
    </x:row>
    <x:row r="91" ht="23" customHeight="1">
      <x:c r="A91" s="1" t="n">
        <x:v>84</x:v>
      </x:c>
      <x:c r="B91" s="19" t="n">
        <x:f>'Workforce'!B91</x:f>
        <x:v>46909</x:v>
      </x:c>
      <x:c r="C91" s="27" t="n">
        <x:f>SUMPRODUCT('Weekly Gantt'!CJ8:CJ816,'Activities'!$T$8:$T$816)</x:f>
        <x:v>0</x:v>
      </x:c>
      <x:c r="D91" s="27" t="n">
        <x:f>SUM($C$8:C91)</x:f>
        <x:v>22616875.39384415</x:v>
      </x:c>
      <x:c r="E91" s="29" t="n">
        <x:f>D91/SUM('Activities'!R8:R816)</x:f>
        <x:v>1.0000000000000009</x:v>
      </x:c>
      <x:c r="F91" s="27" t="n">
        <x:f>'Workforce'!L91*6*8</x:f>
        <x:v>768</x:v>
      </x:c>
    </x:row>
    <x:row r="92" ht="23" customHeight="1">
      <x:c r="A92" s="6" t="n">
        <x:v>85</x:v>
      </x:c>
      <x:c r="B92" s="18" t="n">
        <x:f>'Workforce'!B92</x:f>
        <x:v>46916</x:v>
      </x:c>
      <x:c r="C92" s="26" t="n">
        <x:f>SUMPRODUCT('Weekly Gantt'!CK8:CK816,'Activities'!$T$8:$T$816)</x:f>
        <x:v>0</x:v>
      </x:c>
      <x:c r="D92" s="26" t="n">
        <x:f>SUM($C$8:C92)</x:f>
        <x:v>22616875.39384415</x:v>
      </x:c>
      <x:c r="E92" s="28" t="n">
        <x:f>D92/SUM('Activities'!R8:R816)</x:f>
        <x:v>1.0000000000000009</x:v>
      </x:c>
      <x:c r="F92" s="26" t="n">
        <x:f>'Workforce'!L92*6*8</x:f>
        <x:v>0</x:v>
      </x:c>
    </x:row>
    <x:row r="93" ht="23" customHeight="1">
      <x:c r="A93" s="1" t="n">
        <x:v>86</x:v>
      </x:c>
      <x:c r="B93" s="19" t="n">
        <x:f>'Workforce'!B93</x:f>
        <x:v>46923</x:v>
      </x:c>
      <x:c r="C93" s="27" t="n">
        <x:f>SUMPRODUCT('Weekly Gantt'!CL8:CL816,'Activities'!$T$8:$T$816)</x:f>
        <x:v>0</x:v>
      </x:c>
      <x:c r="D93" s="27" t="n">
        <x:f>SUM($C$8:C93)</x:f>
        <x:v>22616875.39384415</x:v>
      </x:c>
      <x:c r="E93" s="29" t="n">
        <x:f>D93/SUM('Activities'!R8:R816)</x:f>
        <x:v>1.0000000000000009</x:v>
      </x:c>
      <x:c r="F93" s="27" t="n">
        <x:f>'Workforce'!L93*6*8</x:f>
        <x:v>0</x:v>
      </x:c>
    </x:row>
    <x:row r="94" ht="23" customHeight="1">
      <x:c r="A94" s="6" t="n">
        <x:v>87</x:v>
      </x:c>
      <x:c r="B94" s="18" t="n">
        <x:f>'Workforce'!B94</x:f>
        <x:v>46930</x:v>
      </x:c>
      <x:c r="C94" s="26" t="n">
        <x:f>SUMPRODUCT('Weekly Gantt'!CM8:CM816,'Activities'!$T$8:$T$816)</x:f>
        <x:v>0</x:v>
      </x:c>
      <x:c r="D94" s="26" t="n">
        <x:f>SUM($C$8:C94)</x:f>
        <x:v>22616875.39384415</x:v>
      </x:c>
      <x:c r="E94" s="28" t="n">
        <x:f>D94/SUM('Activities'!R8:R816)</x:f>
        <x:v>1.0000000000000009</x:v>
      </x:c>
      <x:c r="F94" s="26" t="n">
        <x:f>'Workforce'!L94*6*8</x:f>
        <x:v>0</x:v>
      </x:c>
    </x:row>
    <x:row r="95" ht="23" customHeight="1">
      <x:c r="A95" s="1" t="n">
        <x:v>88</x:v>
      </x:c>
      <x:c r="B95" s="19" t="n">
        <x:f>'Workforce'!B95</x:f>
        <x:v>46937</x:v>
      </x:c>
      <x:c r="C95" s="27" t="n">
        <x:f>SUMPRODUCT('Weekly Gantt'!CN8:CN816,'Activities'!$T$8:$T$816)</x:f>
        <x:v>0</x:v>
      </x:c>
      <x:c r="D95" s="27" t="n">
        <x:f>SUM($C$8:C95)</x:f>
        <x:v>22616875.39384415</x:v>
      </x:c>
      <x:c r="E95" s="29" t="n">
        <x:f>D95/SUM('Activities'!R8:R816)</x:f>
        <x:v>1.0000000000000009</x:v>
      </x:c>
      <x:c r="F95" s="27" t="n">
        <x:f>'Workforce'!L95*6*8</x:f>
        <x:v>0</x:v>
      </x:c>
    </x:row>
    <x:row r="96" ht="23" customHeight="1">
      <x:c r="A96" s="6" t="n">
        <x:v>89</x:v>
      </x:c>
      <x:c r="B96" s="18" t="n">
        <x:f>'Workforce'!B96</x:f>
        <x:v>46944</x:v>
      </x:c>
      <x:c r="C96" s="26" t="n">
        <x:f>SUMPRODUCT('Weekly Gantt'!CO8:CO816,'Activities'!$T$8:$T$816)</x:f>
        <x:v>0</x:v>
      </x:c>
      <x:c r="D96" s="26" t="n">
        <x:f>SUM($C$8:C96)</x:f>
        <x:v>22616875.39384415</x:v>
      </x:c>
      <x:c r="E96" s="28" t="n">
        <x:f>D96/SUM('Activities'!R8:R816)</x:f>
        <x:v>1.0000000000000009</x:v>
      </x:c>
      <x:c r="F96" s="26" t="n">
        <x:f>'Workforce'!L96*6*8</x:f>
        <x:v>0</x:v>
      </x:c>
    </x:row>
    <x:row r="97" ht="23" customHeight="1">
      <x:c r="A97" s="1" t="n">
        <x:v>90</x:v>
      </x:c>
      <x:c r="B97" s="19" t="n">
        <x:f>'Workforce'!B97</x:f>
        <x:v>46951</x:v>
      </x:c>
      <x:c r="C97" s="27" t="n">
        <x:f>SUMPRODUCT('Weekly Gantt'!CP8:CP816,'Activities'!$T$8:$T$816)</x:f>
        <x:v>0</x:v>
      </x:c>
      <x:c r="D97" s="27" t="n">
        <x:f>SUM($C$8:C97)</x:f>
        <x:v>22616875.39384415</x:v>
      </x:c>
      <x:c r="E97" s="29" t="n">
        <x:f>D97/SUM('Activities'!R8:R816)</x:f>
        <x:v>1.0000000000000009</x:v>
      </x:c>
      <x:c r="F97" s="27" t="n">
        <x:f>'Workforce'!L97*6*8</x:f>
        <x:v>0</x:v>
      </x:c>
    </x:row>
    <x:row r="98" ht="23" customHeight="1">
      <x:c r="A98" s="6" t="n">
        <x:v>91</x:v>
      </x:c>
      <x:c r="B98" s="18" t="n">
        <x:f>'Workforce'!B98</x:f>
        <x:v>46958</x:v>
      </x:c>
      <x:c r="C98" s="26" t="n">
        <x:f>SUMPRODUCT('Weekly Gantt'!CQ8:CQ816,'Activities'!$T$8:$T$816)</x:f>
        <x:v>0</x:v>
      </x:c>
      <x:c r="D98" s="26" t="n">
        <x:f>SUM($C$8:C98)</x:f>
        <x:v>22616875.39384415</x:v>
      </x:c>
      <x:c r="E98" s="28" t="n">
        <x:f>D98/SUM('Activities'!R8:R816)</x:f>
        <x:v>1.0000000000000009</x:v>
      </x:c>
      <x:c r="F98" s="26" t="n">
        <x:f>'Workforce'!L98*6*8</x:f>
        <x:v>0</x:v>
      </x:c>
    </x:row>
    <x:row r="99" ht="23" customHeight="1">
      <x:c r="A99" s="1" t="n">
        <x:v>92</x:v>
      </x:c>
      <x:c r="B99" s="19" t="n">
        <x:f>'Workforce'!B99</x:f>
        <x:v>46965</x:v>
      </x:c>
      <x:c r="C99" s="27" t="n">
        <x:f>SUMPRODUCT('Weekly Gantt'!CR8:CR816,'Activities'!$T$8:$T$816)</x:f>
        <x:v>0</x:v>
      </x:c>
      <x:c r="D99" s="27" t="n">
        <x:f>SUM($C$8:C99)</x:f>
        <x:v>22616875.39384415</x:v>
      </x:c>
      <x:c r="E99" s="29" t="n">
        <x:f>D99/SUM('Activities'!R8:R816)</x:f>
        <x:v>1.0000000000000009</x:v>
      </x:c>
      <x:c r="F99" s="27" t="n">
        <x:f>'Workforce'!L99*6*8</x:f>
        <x:v>0</x:v>
      </x:c>
    </x:row>
    <x:row r="100" ht="23" customHeight="1">
      <x:c r="A100" s="6" t="n">
        <x:v>93</x:v>
      </x:c>
      <x:c r="B100" s="18" t="n">
        <x:f>'Workforce'!B100</x:f>
        <x:v>46972</x:v>
      </x:c>
      <x:c r="C100" s="26" t="n">
        <x:f>SUMPRODUCT('Weekly Gantt'!CS8:CS816,'Activities'!$T$8:$T$816)</x:f>
        <x:v>0</x:v>
      </x:c>
      <x:c r="D100" s="26" t="n">
        <x:f>SUM($C$8:C100)</x:f>
        <x:v>22616875.39384415</x:v>
      </x:c>
      <x:c r="E100" s="28" t="n">
        <x:f>D100/SUM('Activities'!R8:R816)</x:f>
        <x:v>1.0000000000000009</x:v>
      </x:c>
      <x:c r="F100" s="26" t="n">
        <x:f>'Workforce'!L100*6*8</x:f>
        <x:v>0</x:v>
      </x:c>
    </x:row>
    <x:row r="101" ht="23" customHeight="1">
      <x:c r="A101" s="1" t="n">
        <x:v>94</x:v>
      </x:c>
      <x:c r="B101" s="19" t="n">
        <x:f>'Workforce'!B101</x:f>
        <x:v>46979</x:v>
      </x:c>
      <x:c r="C101" s="27" t="n">
        <x:f>SUMPRODUCT('Weekly Gantt'!CT8:CT816,'Activities'!$T$8:$T$816)</x:f>
        <x:v>0</x:v>
      </x:c>
      <x:c r="D101" s="27" t="n">
        <x:f>SUM($C$8:C101)</x:f>
        <x:v>22616875.39384415</x:v>
      </x:c>
      <x:c r="E101" s="29" t="n">
        <x:f>D101/SUM('Activities'!R8:R816)</x:f>
        <x:v>1.0000000000000009</x:v>
      </x:c>
      <x:c r="F101" s="27" t="n">
        <x:f>'Workforce'!L101*6*8</x:f>
        <x:v>0</x:v>
      </x:c>
    </x:row>
    <x:row r="102" ht="23" customHeight="1">
      <x:c r="A102" s="6" t="n">
        <x:v>95</x:v>
      </x:c>
      <x:c r="B102" s="18" t="n">
        <x:f>'Workforce'!B102</x:f>
        <x:v>46986</x:v>
      </x:c>
      <x:c r="C102" s="26" t="n">
        <x:f>SUMPRODUCT('Weekly Gantt'!CU8:CU816,'Activities'!$T$8:$T$816)</x:f>
        <x:v>0</x:v>
      </x:c>
      <x:c r="D102" s="26" t="n">
        <x:f>SUM($C$8:C102)</x:f>
        <x:v>22616875.39384415</x:v>
      </x:c>
      <x:c r="E102" s="28" t="n">
        <x:f>D102/SUM('Activities'!R8:R816)</x:f>
        <x:v>1.0000000000000009</x:v>
      </x:c>
      <x:c r="F102" s="26" t="n">
        <x:f>'Workforce'!L102*6*8</x:f>
        <x:v>0</x:v>
      </x:c>
    </x:row>
    <x:row r="103" ht="23" customHeight="1">
      <x:c r="A103" s="1" t="n">
        <x:v>96</x:v>
      </x:c>
      <x:c r="B103" s="19" t="n">
        <x:f>'Workforce'!B103</x:f>
        <x:v>46993</x:v>
      </x:c>
      <x:c r="C103" s="27" t="n">
        <x:f>SUMPRODUCT('Weekly Gantt'!CV8:CV816,'Activities'!$T$8:$T$816)</x:f>
        <x:v>0</x:v>
      </x:c>
      <x:c r="D103" s="27" t="n">
        <x:f>SUM($C$8:C103)</x:f>
        <x:v>22616875.39384415</x:v>
      </x:c>
      <x:c r="E103" s="29" t="n">
        <x:f>D103/SUM('Activities'!R8:R816)</x:f>
        <x:v>1.0000000000000009</x:v>
      </x:c>
      <x:c r="F103" s="27" t="n">
        <x:f>'Workforce'!L103*6*8</x:f>
        <x:v>0</x:v>
      </x:c>
    </x:row>
    <x:row r="104" ht="23" customHeight="1">
      <x:c r="A104" s="6" t="n">
        <x:v>97</x:v>
      </x:c>
      <x:c r="B104" s="18" t="n">
        <x:f>'Workforce'!B104</x:f>
        <x:v>47000</x:v>
      </x:c>
      <x:c r="C104" s="26" t="n">
        <x:f>SUMPRODUCT('Weekly Gantt'!CW8:CW816,'Activities'!$T$8:$T$816)</x:f>
        <x:v>0</x:v>
      </x:c>
      <x:c r="D104" s="26" t="n">
        <x:f>SUM($C$8:C104)</x:f>
        <x:v>22616875.39384415</x:v>
      </x:c>
      <x:c r="E104" s="28" t="n">
        <x:f>D104/SUM('Activities'!R8:R816)</x:f>
        <x:v>1.0000000000000009</x:v>
      </x:c>
      <x:c r="F104" s="26" t="n">
        <x:f>'Workforce'!L104*6*8</x:f>
        <x:v>0</x:v>
      </x:c>
    </x:row>
    <x:row r="105" ht="23" customHeight="1">
      <x:c r="A105" s="1" t="n">
        <x:v>98</x:v>
      </x:c>
      <x:c r="B105" s="19" t="n">
        <x:f>'Workforce'!B105</x:f>
        <x:v>47007</x:v>
      </x:c>
      <x:c r="C105" s="27" t="n">
        <x:f>SUMPRODUCT('Weekly Gantt'!CX8:CX816,'Activities'!$T$8:$T$816)</x:f>
        <x:v>0</x:v>
      </x:c>
      <x:c r="D105" s="27" t="n">
        <x:f>SUM($C$8:C105)</x:f>
        <x:v>22616875.39384415</x:v>
      </x:c>
      <x:c r="E105" s="29" t="n">
        <x:f>D105/SUM('Activities'!R8:R816)</x:f>
        <x:v>1.0000000000000009</x:v>
      </x:c>
      <x:c r="F105" s="27" t="n">
        <x:f>'Workforce'!L105*6*8</x:f>
        <x:v>0</x:v>
      </x:c>
    </x:row>
    <x:row r="106" ht="23" customHeight="1">
      <x:c r="A106" s="6" t="n">
        <x:v>99</x:v>
      </x:c>
      <x:c r="B106" s="18" t="n">
        <x:f>'Workforce'!B106</x:f>
        <x:v>47014</x:v>
      </x:c>
      <x:c r="C106" s="26" t="n">
        <x:f>SUMPRODUCT('Weekly Gantt'!CY8:CY816,'Activities'!$T$8:$T$816)</x:f>
        <x:v>0</x:v>
      </x:c>
      <x:c r="D106" s="26" t="n">
        <x:f>SUM($C$8:C106)</x:f>
        <x:v>22616875.39384415</x:v>
      </x:c>
      <x:c r="E106" s="28" t="n">
        <x:f>D106/SUM('Activities'!R8:R816)</x:f>
        <x:v>1.0000000000000009</x:v>
      </x:c>
      <x:c r="F106" s="26" t="n">
        <x:f>'Workforce'!L106*6*8</x:f>
        <x:v>0</x:v>
      </x:c>
    </x:row>
    <x:row r="107" ht="23" customHeight="1">
      <x:c r="A107" s="1" t="n">
        <x:v>100</x:v>
      </x:c>
      <x:c r="B107" s="19" t="n">
        <x:f>'Workforce'!B107</x:f>
        <x:v>47021</x:v>
      </x:c>
      <x:c r="C107" s="27" t="n">
        <x:f>SUMPRODUCT('Weekly Gantt'!CZ8:CZ816,'Activities'!$T$8:$T$816)</x:f>
        <x:v>0</x:v>
      </x:c>
      <x:c r="D107" s="27" t="n">
        <x:f>SUM($C$8:C107)</x:f>
        <x:v>22616875.39384415</x:v>
      </x:c>
      <x:c r="E107" s="29" t="n">
        <x:f>D107/SUM('Activities'!R8:R816)</x:f>
        <x:v>1.0000000000000009</x:v>
      </x:c>
      <x:c r="F107" s="27" t="n">
        <x:f>'Workforce'!L107*6*8</x:f>
        <x:v>0</x:v>
      </x:c>
    </x:row>
    <x:row r="108" ht="23" customHeight="1">
      <x:c r="A108" s="6" t="n">
        <x:v>101</x:v>
      </x:c>
      <x:c r="B108" s="18" t="n">
        <x:f>'Workforce'!B108</x:f>
        <x:v>47028</x:v>
      </x:c>
      <x:c r="C108" s="26" t="n">
        <x:f>SUMPRODUCT('Weekly Gantt'!DA8:DA816,'Activities'!$T$8:$T$816)</x:f>
        <x:v>0</x:v>
      </x:c>
      <x:c r="D108" s="26" t="n">
        <x:f>SUM($C$8:C108)</x:f>
        <x:v>22616875.39384415</x:v>
      </x:c>
      <x:c r="E108" s="28" t="n">
        <x:f>D108/SUM('Activities'!R8:R816)</x:f>
        <x:v>1.0000000000000009</x:v>
      </x:c>
      <x:c r="F108" s="26" t="n">
        <x:f>'Workforce'!L108*6*8</x:f>
        <x:v>0</x:v>
      </x:c>
    </x:row>
    <x:row r="109" ht="23" customHeight="1">
      <x:c r="A109" s="1" t="n">
        <x:v>102</x:v>
      </x:c>
      <x:c r="B109" s="19" t="n">
        <x:f>'Workforce'!B109</x:f>
        <x:v>47035</x:v>
      </x:c>
      <x:c r="C109" s="27" t="n">
        <x:f>SUMPRODUCT('Weekly Gantt'!DB8:DB816,'Activities'!$T$8:$T$816)</x:f>
        <x:v>0</x:v>
      </x:c>
      <x:c r="D109" s="27" t="n">
        <x:f>SUM($C$8:C109)</x:f>
        <x:v>22616875.39384415</x:v>
      </x:c>
      <x:c r="E109" s="29" t="n">
        <x:f>D109/SUM('Activities'!R8:R816)</x:f>
        <x:v>1.0000000000000009</x:v>
      </x:c>
      <x:c r="F109" s="27" t="n">
        <x:f>'Workforce'!L109*6*8</x:f>
        <x:v>0</x:v>
      </x:c>
    </x:row>
    <x:row r="110" ht="23" customHeight="1">
      <x:c r="A110" s="6" t="n">
        <x:v>103</x:v>
      </x:c>
      <x:c r="B110" s="18" t="n">
        <x:f>'Workforce'!B110</x:f>
        <x:v>47042</x:v>
      </x:c>
      <x:c r="C110" s="26" t="n">
        <x:f>SUMPRODUCT('Weekly Gantt'!DC8:DC816,'Activities'!$T$8:$T$816)</x:f>
        <x:v>0</x:v>
      </x:c>
      <x:c r="D110" s="26" t="n">
        <x:f>SUM($C$8:C110)</x:f>
        <x:v>22616875.39384415</x:v>
      </x:c>
      <x:c r="E110" s="28" t="n">
        <x:f>D110/SUM('Activities'!R8:R816)</x:f>
        <x:v>1.0000000000000009</x:v>
      </x:c>
      <x:c r="F110" s="26" t="n">
        <x:f>'Workforce'!L110*6*8</x:f>
        <x:v>0</x:v>
      </x:c>
    </x:row>
    <x:row r="111" ht="23" customHeight="1">
      <x:c r="A111" s="1" t="n">
        <x:v>104</x:v>
      </x:c>
      <x:c r="B111" s="19" t="n">
        <x:f>'Workforce'!B111</x:f>
        <x:v>47049</x:v>
      </x:c>
      <x:c r="C111" s="27" t="n">
        <x:f>SUMPRODUCT('Weekly Gantt'!DD8:DD816,'Activities'!$T$8:$T$816)</x:f>
        <x:v>0</x:v>
      </x:c>
      <x:c r="D111" s="27" t="n">
        <x:f>SUM($C$8:C111)</x:f>
        <x:v>22616875.39384415</x:v>
      </x:c>
      <x:c r="E111" s="29" t="n">
        <x:f>D111/SUM('Activities'!R8:R816)</x:f>
        <x:v>1.0000000000000009</x:v>
      </x:c>
      <x:c r="F111" s="27" t="n">
        <x:f>'Workforce'!L111*6*8</x:f>
        <x:v>0</x:v>
      </x:c>
    </x:row>
    <x:row r="112" ht="23" customHeight="1">
      <x:c r="A112" s="6" t="n">
        <x:v>105</x:v>
      </x:c>
      <x:c r="B112" s="18" t="n">
        <x:f>'Workforce'!B112</x:f>
        <x:v>47056</x:v>
      </x:c>
      <x:c r="C112" s="26" t="n">
        <x:f>SUMPRODUCT('Weekly Gantt'!DE8:DE816,'Activities'!$T$8:$T$816)</x:f>
        <x:v>0</x:v>
      </x:c>
      <x:c r="D112" s="26" t="n">
        <x:f>SUM($C$8:C112)</x:f>
        <x:v>22616875.39384415</x:v>
      </x:c>
      <x:c r="E112" s="28" t="n">
        <x:f>D112/SUM('Activities'!R8:R816)</x:f>
        <x:v>1.0000000000000009</x:v>
      </x:c>
      <x:c r="F112" s="26" t="n">
        <x:f>'Workforce'!L112*6*8</x:f>
        <x:v>0</x:v>
      </x:c>
    </x:row>
    <x:row r="113" ht="23" customHeight="1">
      <x:c r="A113" s="1" t="n">
        <x:v>106</x:v>
      </x:c>
      <x:c r="B113" s="19" t="n">
        <x:f>'Workforce'!B113</x:f>
        <x:v>47063</x:v>
      </x:c>
      <x:c r="C113" s="27" t="n">
        <x:f>SUMPRODUCT('Weekly Gantt'!DF8:DF816,'Activities'!$T$8:$T$816)</x:f>
        <x:v>0</x:v>
      </x:c>
      <x:c r="D113" s="27" t="n">
        <x:f>SUM($C$8:C113)</x:f>
        <x:v>22616875.39384415</x:v>
      </x:c>
      <x:c r="E113" s="29" t="n">
        <x:f>D113/SUM('Activities'!R8:R816)</x:f>
        <x:v>1.0000000000000009</x:v>
      </x:c>
      <x:c r="F113" s="27" t="n">
        <x:f>'Workforce'!L113*6*8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6" hidden="0" customWidth="1"/>
    <x:col min="2" max="2" width="23" hidden="0" customWidth="1"/>
    <x:col min="3" max="3" width="21" hidden="0" customWidth="1"/>
    <x:col min="4" max="4" width="22" hidden="0" customWidth="1"/>
    <x:col min="5" max="5" width="19" hidden="0" customWidth="1"/>
  </x:cols>
  <x:sheetData>
    <x:row r="2">
      <x:c r="A2" s="7" t="str">
        <x:v>Programme milestones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Finish dates are the last planned working day of the activity.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Milestone</x:v>
      </x:c>
      <x:c r="B7" s="5" t="str">
        <x:v>Activity</x:v>
      </x:c>
      <x:c r="C7" s="5" t="str">
        <x:v>Finish offset</x:v>
      </x:c>
      <x:c r="D7" s="5" t="str">
        <x:v>Finish date</x:v>
      </x:c>
      <x:c r="E7" s="5" t="str">
        <x:v>Float wd</x:v>
      </x:c>
    </x:row>
    <x:row r="8" ht="23" customHeight="1">
      <x:c r="A8" s="6" t="str">
        <x:v>Excavation complete</x:v>
      </x:c>
      <x:c r="B8" s="6" t="str">
        <x:v>P-010</x:v>
      </x:c>
      <x:c r="C8" s="6" t="n">
        <x:f>'Activities'!L9</x:f>
        <x:v>57</x:v>
      </x:c>
      <x:c r="D8" s="18" t="n">
        <x:f>'Activities'!Q9</x:f>
        <x:v>46393</x:v>
      </x:c>
      <x:c r="E8" s="6" t="n">
        <x:f>'Activities'!O9</x:f>
        <x:v>0</x:v>
      </x:c>
    </x:row>
    <x:row r="9" ht="23" customHeight="1">
      <x:c r="A9" s="1" t="str">
        <x:v>Raft complete</x:v>
      </x:c>
      <x:c r="B9" s="1" t="str">
        <x:v>P-040</x:v>
      </x:c>
      <x:c r="C9" s="1" t="n">
        <x:f>'Activities'!L12</x:f>
        <x:v>127</x:v>
      </x:c>
      <x:c r="D9" s="19" t="n">
        <x:f>'Activities'!Q12</x:f>
        <x:v>46475</x:v>
      </x:c>
      <x:c r="E9" s="1" t="n">
        <x:f>'Activities'!O12</x:f>
        <x:v>0</x:v>
      </x:c>
    </x:row>
    <x:row r="10" ht="23" customHeight="1">
      <x:c r="A10" s="6" t="str">
        <x:v>Podium roof complete</x:v>
      </x:c>
      <x:c r="B10" s="6" t="str">
        <x:v>P-060</x:v>
      </x:c>
      <x:c r="C10" s="6" t="n">
        <x:f>'Activities'!L14</x:f>
        <x:v>161</x:v>
      </x:c>
      <x:c r="D10" s="18" t="n">
        <x:f>'Activities'!Q14</x:f>
        <x:v>46514</x:v>
      </x:c>
      <x:c r="E10" s="6" t="n">
        <x:f>'Activities'!O14</x:f>
        <x:v>298</x:v>
      </x:c>
    </x:row>
    <x:row r="11" ht="23" customHeight="1">
      <x:c r="A11" s="1" t="str">
        <x:v>Tower 1 structure complete</x:v>
      </x:c>
      <x:c r="B11" s="1" t="str">
        <x:v>T1-L12-H</x:v>
      </x:c>
      <x:c r="C11" s="1" t="n">
        <x:f>'Activities'!L67</x:f>
        <x:v>368</x:v>
      </x:c>
      <x:c r="D11" s="19" t="n">
        <x:f>'Activities'!Q67</x:f>
        <x:v>46756</x:v>
      </x:c>
      <x:c r="E11" s="1" t="n">
        <x:f>'Activities'!O67</x:f>
        <x:v>60</x:v>
      </x:c>
    </x:row>
    <x:row r="12" ht="23" customHeight="1">
      <x:c r="A12" s="6" t="str">
        <x:v>Tower 2 structure complete</x:v>
      </x:c>
      <x:c r="B12" s="6" t="str">
        <x:v>T2-L12-H</x:v>
      </x:c>
      <x:c r="C12" s="6" t="n">
        <x:f>'Activities'!L200</x:f>
        <x:v>380</x:v>
      </x:c>
      <x:c r="D12" s="18" t="n">
        <x:f>'Activities'!Q200</x:f>
        <x:v>46770</x:v>
      </x:c>
      <x:c r="E12" s="6" t="n">
        <x:f>'Activities'!O200</x:f>
        <x:v>48</x:v>
      </x:c>
    </x:row>
    <x:row r="13" ht="23" customHeight="1">
      <x:c r="A13" s="1" t="str">
        <x:v>Tower 3 structure complete</x:v>
      </x:c>
      <x:c r="B13" s="1" t="str">
        <x:v>T3-L12-H</x:v>
      </x:c>
      <x:c r="C13" s="1" t="n">
        <x:f>'Activities'!L333</x:f>
        <x:v>392</x:v>
      </x:c>
      <x:c r="D13" s="19" t="n">
        <x:f>'Activities'!Q333</x:f>
        <x:v>46784</x:v>
      </x:c>
      <x:c r="E13" s="1" t="n">
        <x:f>'Activities'!O333</x:f>
        <x:v>36</x:v>
      </x:c>
    </x:row>
    <x:row r="14" ht="23" customHeight="1">
      <x:c r="A14" s="6" t="str">
        <x:v>Tower 4 structure complete</x:v>
      </x:c>
      <x:c r="B14" s="6" t="str">
        <x:v>T4-L12-H</x:v>
      </x:c>
      <x:c r="C14" s="6" t="n">
        <x:f>'Activities'!L466</x:f>
        <x:v>404</x:v>
      </x:c>
      <x:c r="D14" s="18" t="n">
        <x:f>'Activities'!Q466</x:f>
        <x:v>46798</x:v>
      </x:c>
      <x:c r="E14" s="6" t="n">
        <x:f>'Activities'!O466</x:f>
        <x:v>24</x:v>
      </x:c>
    </x:row>
    <x:row r="15" ht="23" customHeight="1">
      <x:c r="A15" s="1" t="str">
        <x:v>Tower 5 structure complete</x:v>
      </x:c>
      <x:c r="B15" s="1" t="str">
        <x:v>T5-L12-H</x:v>
      </x:c>
      <x:c r="C15" s="1" t="n">
        <x:f>'Activities'!L599</x:f>
        <x:v>416</x:v>
      </x:c>
      <x:c r="D15" s="19" t="n">
        <x:f>'Activities'!Q599</x:f>
        <x:v>46812</x:v>
      </x:c>
      <x:c r="E15" s="1" t="n">
        <x:f>'Activities'!O599</x:f>
        <x:v>12</x:v>
      </x:c>
    </x:row>
    <x:row r="16" ht="23" customHeight="1">
      <x:c r="A16" s="6" t="str">
        <x:v>Tower 6 structure complete</x:v>
      </x:c>
      <x:c r="B16" s="6" t="str">
        <x:v>T6-L12-H</x:v>
      </x:c>
      <x:c r="C16" s="6" t="n">
        <x:f>'Activities'!L732</x:f>
        <x:v>428</x:v>
      </x:c>
      <x:c r="D16" s="18" t="n">
        <x:f>'Activities'!Q732</x:f>
        <x:v>46826</x:v>
      </x:c>
      <x:c r="E16" s="6" t="n">
        <x:f>'Activities'!O732</x:f>
        <x:v>0</x:v>
      </x:c>
    </x:row>
    <x:row r="17" ht="23" customHeight="1">
      <x:c r="A17" s="1" t="str">
        <x:v>Tower 1 weatherproofing</x:v>
      </x:c>
      <x:c r="B17" s="1" t="str">
        <x:v>T1-RF</x:v>
      </x:c>
      <x:c r="C17" s="1" t="n">
        <x:f>'Activities'!L68</x:f>
        <x:v>387</x:v>
      </x:c>
      <x:c r="D17" s="19" t="n">
        <x:f>'Activities'!Q68</x:f>
        <x:v>46778</x:v>
      </x:c>
      <x:c r="E17" s="1" t="n">
        <x:f>'Activities'!O68</x:f>
        <x:v>65</x:v>
      </x:c>
    </x:row>
    <x:row r="18" ht="23" customHeight="1">
      <x:c r="A18" s="6" t="str">
        <x:v>Tower 2 weatherproofing</x:v>
      </x:c>
      <x:c r="B18" s="6" t="str">
        <x:v>T2-RF</x:v>
      </x:c>
      <x:c r="C18" s="6" t="n">
        <x:f>'Activities'!L201</x:f>
        <x:v>399</x:v>
      </x:c>
      <x:c r="D18" s="18" t="n">
        <x:f>'Activities'!Q201</x:f>
        <x:v>46792</x:v>
      </x:c>
      <x:c r="E18" s="6" t="n">
        <x:f>'Activities'!O201</x:f>
        <x:v>53</x:v>
      </x:c>
    </x:row>
    <x:row r="19" ht="23" customHeight="1">
      <x:c r="A19" s="1" t="str">
        <x:v>Tower 3 weatherproofing</x:v>
      </x:c>
      <x:c r="B19" s="1" t="str">
        <x:v>T3-RF</x:v>
      </x:c>
      <x:c r="C19" s="1" t="n">
        <x:f>'Activities'!L334</x:f>
        <x:v>411</x:v>
      </x:c>
      <x:c r="D19" s="19" t="n">
        <x:f>'Activities'!Q334</x:f>
        <x:v>46806</x:v>
      </x:c>
      <x:c r="E19" s="1" t="n">
        <x:f>'Activities'!O334</x:f>
        <x:v>41</x:v>
      </x:c>
    </x:row>
    <x:row r="20" ht="23" customHeight="1">
      <x:c r="A20" s="6" t="str">
        <x:v>Tower 4 weatherproofing</x:v>
      </x:c>
      <x:c r="B20" s="6" t="str">
        <x:v>T4-RF</x:v>
      </x:c>
      <x:c r="C20" s="6" t="n">
        <x:f>'Activities'!L467</x:f>
        <x:v>423</x:v>
      </x:c>
      <x:c r="D20" s="18" t="n">
        <x:f>'Activities'!Q467</x:f>
        <x:v>46820</x:v>
      </x:c>
      <x:c r="E20" s="6" t="n">
        <x:f>'Activities'!O467</x:f>
        <x:v>29</x:v>
      </x:c>
    </x:row>
    <x:row r="21" ht="23" customHeight="1">
      <x:c r="A21" s="1" t="str">
        <x:v>Tower 5 weatherproofing</x:v>
      </x:c>
      <x:c r="B21" s="1" t="str">
        <x:v>T5-RF</x:v>
      </x:c>
      <x:c r="C21" s="1" t="n">
        <x:f>'Activities'!L600</x:f>
        <x:v>435</x:v>
      </x:c>
      <x:c r="D21" s="19" t="n">
        <x:f>'Activities'!Q600</x:f>
        <x:v>46834</x:v>
      </x:c>
      <x:c r="E21" s="1" t="n">
        <x:f>'Activities'!O600</x:f>
        <x:v>17</x:v>
      </x:c>
    </x:row>
    <x:row r="22" ht="23" customHeight="1">
      <x:c r="A22" s="6" t="str">
        <x:v>Tower 6 weatherproofing</x:v>
      </x:c>
      <x:c r="B22" s="6" t="str">
        <x:v>T6-RF</x:v>
      </x:c>
      <x:c r="C22" s="6" t="n">
        <x:f>'Activities'!L733</x:f>
        <x:v>447</x:v>
      </x:c>
      <x:c r="D22" s="18" t="n">
        <x:f>'Activities'!Q733</x:f>
        <x:v>46848</x:v>
      </x:c>
      <x:c r="E22" s="6" t="n">
        <x:f>'Activities'!O733</x:f>
        <x:v>5</x:v>
      </x:c>
    </x:row>
    <x:row r="23" ht="23" customHeight="1">
      <x:c r="A23" s="1" t="str">
        <x:v>Practical completion</x:v>
      </x:c>
      <x:c r="B23" s="1" t="str">
        <x:v>PC-001</x:v>
      </x:c>
      <x:c r="C23" s="1" t="n">
        <x:f>'Activities'!L816</x:f>
        <x:v>502</x:v>
      </x:c>
      <x:c r="D23" s="19" t="n">
        <x:f>'Activities'!Q816</x:f>
        <x:v>46912</x:v>
      </x:c>
      <x:c r="E23" s="1" t="n">
        <x:f>'Activities'!O816</x:f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68" hidden="0" customWidth="1"/>
    <x:col min="4" max="4" width="27" hidden="0" customWidth="1"/>
    <x:col min="5" max="5" width="83" hidden="0" customWidth="1"/>
    <x:col min="6" max="6" width="16" hidden="0" customWidth="1"/>
  </x:cols>
  <x:sheetData>
    <x:row r="2">
      <x:c r="A2" s="7" t="str">
        <x:v>Programme interfaces and release risks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Planning actions, not reported site incidents.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ID</x:v>
      </x:c>
      <x:c r="B7" s="5" t="str">
        <x:v>Issue</x:v>
      </x:c>
      <x:c r="C7" s="5" t="str">
        <x:v>Effect</x:v>
      </x:c>
      <x:c r="D7" s="5" t="str">
        <x:v>Owner role</x:v>
      </x:c>
      <x:c r="E7" s="5" t="str">
        <x:v>Mitigation / release condition</x:v>
      </x:c>
      <x:c r="F7" s="5" t="str">
        <x:v>Status</x:v>
      </x:c>
    </x:row>
    <x:row r="8" ht="42" customHeight="1">
      <x:c r="A8" s="6" t="str">
        <x:v>R01</x:v>
      </x:c>
      <x:c r="B8" s="6" t="str">
        <x:v>Formwork overlap</x:v>
      </x:c>
      <x:c r="C8" s="30" t="str">
        <x:v>Concurrent floor cycles increase crew demand</x:v>
      </x:c>
      <x:c r="D8" s="30" t="str">
        <x:v>Construction manager</x:v>
      </x:c>
      <x:c r="E8" s="30" t="str">
        <x:v>Review Workforce red thresholds and stagger floor starts</x:v>
      </x:c>
      <x:c r="F8" s="6" t="str">
        <x:v>Open</x:v>
      </x:c>
    </x:row>
    <x:row r="9" ht="42" customHeight="1">
      <x:c r="A9" s="1" t="str">
        <x:v>R02</x:v>
      </x:c>
      <x:c r="B9" s="1" t="str">
        <x:v>Glazing release</x:v>
      </x:c>
      <x:c r="C9" s="31" t="str">
        <x:v>Finishes depend on weather-tightness</x:v>
      </x:c>
      <x:c r="D9" s="31" t="str">
        <x:v>Procurement lead</x:v>
      </x:c>
      <x:c r="E9" s="31" t="str">
        <x:v>Freeze dimensions and approve samples before production</x:v>
      </x:c>
      <x:c r="F9" s="1" t="str">
        <x:v>Open</x:v>
      </x:c>
    </x:row>
    <x:row r="10" ht="42" customHeight="1">
      <x:c r="A10" s="6" t="str">
        <x:v>R03</x:v>
      </x:c>
      <x:c r="B10" s="6" t="str">
        <x:v>Concrete curing</x:v>
      </x:c>
      <x:c r="C10" s="30" t="str">
        <x:v>Five workdays is an explicit release hold, not strength evidence</x:v>
      </x:c>
      <x:c r="D10" s="30" t="str">
        <x:v>Site engineer</x:v>
      </x:c>
      <x:c r="E10" s="30" t="str">
        <x:v>Confirm test results and temporary works release before stripping</x:v>
      </x:c>
      <x:c r="F10" s="6" t="str">
        <x:v>Open</x:v>
      </x:c>
    </x:row>
    <x:row r="11" ht="42" customHeight="1">
      <x:c r="A11" s="1" t="str">
        <x:v>R04</x:v>
      </x:c>
      <x:c r="B11" s="1" t="str">
        <x:v>Screed moisture</x:v>
      </x:c>
      <x:c r="C11" s="31" t="str">
        <x:v>Fourteen-day waiting allowance may not achieve required moisture</x:v>
      </x:c>
      <x:c r="D11" s="31" t="str">
        <x:v>Finishes lead</x:v>
      </x:c>
      <x:c r="E11" s="31" t="str">
        <x:v>Test substrate before installation</x:v>
      </x:c>
      <x:c r="F11" s="1" t="str">
        <x:v>Open</x:v>
      </x:c>
    </x:row>
    <x:row r="12" ht="42" customHeight="1">
      <x:c r="A12" s="6" t="str">
        <x:v>R05</x:v>
      </x:c>
      <x:c r="B12" s="6" t="str">
        <x:v>Public holidays</x:v>
      </x:c>
      <x:c r="C12" s="30" t="str">
        <x:v>Baseline excludes Sundays only</x:v>
      </x:c>
      <x:c r="D12" s="30" t="str">
        <x:v>Planner</x:v>
      </x:c>
      <x:c r="E12" s="30" t="str">
        <x:v>Apply project-specific holiday and weather calendars</x:v>
      </x:c>
      <x:c r="F12" s="6" t="str">
        <x:v>Open</x:v>
      </x:c>
    </x:row>
    <x:row r="13" ht="42" customHeight="1">
      <x:c r="A13" s="1" t="str">
        <x:v>R06</x:v>
      </x:c>
      <x:c r="B13" s="1" t="str">
        <x:v>Podium logistics</x:v>
      </x:c>
      <x:c r="C13" s="31" t="str">
        <x:v>Tower crews and podium works may share crane/access zones</x:v>
      </x:c>
      <x:c r="D13" s="31" t="str">
        <x:v>Construction manager</x:v>
      </x:c>
      <x:c r="E13" s="31" t="str">
        <x:v>Coordinate access, lifting plans and workface allocations</x:v>
      </x:c>
      <x:c r="F13" s="1" t="str">
        <x:v>Open</x:v>
      </x:c>
    </x:row>
    <x:row r="14" ht="42" customHeight="1">
      <x:c r="A14" s="6" t="str">
        <x:v>R07</x:v>
      </x:c>
      <x:c r="B14" s="6" t="str">
        <x:v>MEP interfaces</x:v>
      </x:c>
      <x:c r="C14" s="30" t="str">
        <x:v>MEP is excluded from priced BOQ but affects finishes</x:v>
      </x:c>
      <x:c r="D14" s="30" t="str">
        <x:v>Interface coordinator</x:v>
      </x:c>
      <x:c r="E14" s="30" t="str">
        <x:v>Integrate first-fix and inspection gates before field issue</x:v>
      </x:c>
      <x:c r="F14" s="6" t="str">
        <x:v>Open</x:v>
      </x:c>
    </x:row>
    <x:row r="15" ht="42" customHeight="1">
      <x:c r="A15" s="1" t="str">
        <x:v>R08</x:v>
      </x:c>
      <x:c r="B15" s="1" t="str">
        <x:v>Budget phasing</x:v>
      </x:c>
      <x:c r="C15" s="31" t="str">
        <x:v>Detailed programme redistributes the same BOQ baseline</x:v>
      </x:c>
      <x:c r="D15" s="31" t="str">
        <x:v>Cost controller</x:v>
      </x:c>
      <x:c r="E15" s="31" t="str">
        <x:v>Rebaseline cash forecast before project use</x:v>
      </x:c>
      <x:c r="F15" s="1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24" hidden="0" customWidth="1"/>
    <x:col min="3" max="3" width="26" hidden="0" customWidth="1"/>
    <x:col min="4" max="4" width="23" hidden="0" customWidth="1"/>
    <x:col min="5" max="5" width="17" hidden="0" customWidth="1"/>
    <x:col min="6" max="6" width="17" hidden="0" customWidth="1"/>
    <x:col min="7" max="7" width="13" hidden="0" customWidth="1"/>
  </x:cols>
  <x:sheetData>
    <x:row r="2">
      <x:c r="A2" s="7" t="str">
        <x:v>Programme logic and cost reconciliation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Independent forward/backward passes, package allocation and weekly load totals.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Control</x:v>
      </x:c>
      <x:c r="B7" s="5" t="str">
        <x:v>Model result</x:v>
      </x:c>
      <x:c r="C7" s="5" t="str">
        <x:v>Independent control</x:v>
      </x:c>
      <x:c r="D7" s="5" t="str">
        <x:v>Difference</x:v>
      </x:c>
      <x:c r="E7" s="5" t="str">
        <x:v>Tolerance</x:v>
      </x:c>
      <x:c r="F7" s="5" t="str">
        <x:v>Status</x:v>
      </x:c>
      <x:c r="G7" s="5" t="str">
        <x:v>Unit</x:v>
      </x:c>
    </x:row>
    <x:row r="8" ht="23" customHeight="1">
      <x:c r="A8" s="6" t="str">
        <x:v>BOQ allocation total</x:v>
      </x:c>
      <x:c r="B8" s="14" t="n">
        <x:f>SUM('Activities'!R8:R816)</x:f>
        <x:v>22616875.39384413</x:v>
      </x:c>
      <x:c r="C8" s="14" t="n">
        <x:v>22616875.393844172</x:v>
      </x:c>
      <x:c r="D8" s="14" t="n">
        <x:f>ROUND(B8-C8,6)</x:f>
        <x:v>0</x:v>
      </x:c>
      <x:c r="E8" s="14" t="n">
        <x:v>0.01</x:v>
      </x:c>
      <x:c r="F8" s="6" t="str">
        <x:f>IF(ABS(D8)&lt;=E8,"OK","REVIEW")</x:f>
        <x:v>OK</x:v>
      </x:c>
      <x:c r="G8" s="6" t="str">
        <x:v>USD</x:v>
      </x:c>
    </x:row>
    <x:row r="9" ht="23" customHeight="1">
      <x:c r="A9" s="1" t="str">
        <x:v>Forward pass completion</x:v>
      </x:c>
      <x:c r="B9" s="15" t="n">
        <x:f>'Activities'!L816</x:f>
        <x:v>502</x:v>
      </x:c>
      <x:c r="C9" s="15" t="n">
        <x:v>502</x:v>
      </x:c>
      <x:c r="D9" s="15" t="n">
        <x:f>ROUND(B9-C9,6)</x:f>
        <x:v>0</x:v>
      </x:c>
      <x:c r="E9" s="15" t="n">
        <x:v>0.01</x:v>
      </x:c>
      <x:c r="F9" s="1" t="str">
        <x:f>IF(ABS(D9)&lt;=E9,"OK","REVIEW")</x:f>
        <x:v>OK</x:v>
      </x:c>
      <x:c r="G9" s="1" t="str">
        <x:v>wd</x:v>
      </x:c>
    </x:row>
    <x:row r="10" ht="23" customHeight="1">
      <x:c r="A10" s="6" t="str">
        <x:v>Backward pass minimum float</x:v>
      </x:c>
      <x:c r="B10" s="14" t="n">
        <x:f>MIN('Activities'!O8:O816)</x:f>
        <x:v>0</x:v>
      </x:c>
      <x:c r="C10" s="14" t="n">
        <x:v>0</x:v>
      </x:c>
      <x:c r="D10" s="14" t="n">
        <x:f>ROUND(B10-C10,6)</x:f>
        <x:v>0</x:v>
      </x:c>
      <x:c r="E10" s="14" t="n">
        <x:v>0.01</x:v>
      </x:c>
      <x:c r="F10" s="6" t="str">
        <x:f>IF(ABS(D10)&lt;=E10,"OK","REVIEW")</x:f>
        <x:v>OK</x:v>
      </x:c>
      <x:c r="G10" s="6" t="str">
        <x:v>wd</x:v>
      </x:c>
    </x:row>
    <x:row r="11" ht="23" customHeight="1">
      <x:c r="A11" s="1" t="str">
        <x:v>Negative logic gaps</x:v>
      </x:c>
      <x:c r="B11" s="15" t="n">
        <x:f>COUNTIFS('Logic register'!G8:G979,"&lt;0")</x:f>
        <x:v>0</x:v>
      </x:c>
      <x:c r="C11" s="15" t="n">
        <x:v>0</x:v>
      </x:c>
      <x:c r="D11" s="15" t="n">
        <x:f>ROUND(B11-C11,6)</x:f>
        <x:v>0</x:v>
      </x:c>
      <x:c r="E11" s="15" t="n">
        <x:v>0.01</x:v>
      </x:c>
      <x:c r="F11" s="1" t="str">
        <x:f>IF(ABS(D11)&lt;=E11,"OK","REVIEW")</x:f>
        <x:v>OK</x:v>
      </x:c>
      <x:c r="G11" s="1" t="str">
        <x:v>links</x:v>
      </x:c>
    </x:row>
    <x:row r="12" ht="23" customHeight="1">
      <x:c r="A12" s="6" t="str">
        <x:v>Weekly cost loading</x:v>
      </x:c>
      <x:c r="B12" s="14" t="n">
        <x:f>SUM('Cost curve'!C8:C113)</x:f>
        <x:v>22616875.39384415</x:v>
      </x:c>
      <x:c r="C12" s="14" t="n">
        <x:v>22616875.393844172</x:v>
      </x:c>
      <x:c r="D12" s="14" t="n">
        <x:f>ROUND(B12-C12,6)</x:f>
        <x:v>0</x:v>
      </x:c>
      <x:c r="E12" s="14" t="n">
        <x:v>0.01</x:v>
      </x:c>
      <x:c r="F12" s="6" t="str">
        <x:f>IF(ABS(D12)&lt;=E12,"OK","REVIEW")</x:f>
        <x:v>OK</x:v>
      </x:c>
      <x:c r="G12" s="6" t="str">
        <x:v>USD</x:v>
      </x:c>
    </x:row>
    <x:row r="13" ht="23" customHeight="1">
      <x:c r="A13" s="1" t="str">
        <x:v>Labor loading</x:v>
      </x:c>
      <x:c r="B13" s="15" t="n">
        <x:f>SUM('Cost curve'!F8:F113)</x:f>
        <x:v>353880</x:v>
      </x:c>
      <x:c r="C13" s="15" t="n">
        <x:v>353880</x:v>
      </x:c>
      <x:c r="D13" s="15" t="n">
        <x:f>ROUND(B13-C13,6)</x:f>
        <x:v>0</x:v>
      </x:c>
      <x:c r="E13" s="15" t="n">
        <x:v>0.01</x:v>
      </x:c>
      <x:c r="F13" s="1" t="str">
        <x:f>IF(ABS(D13)&lt;=E13,"OK","REVIEW")</x:f>
        <x:v>OK</x:v>
      </x:c>
      <x:c r="G13" s="1" t="str">
        <x:v>hours</x:v>
      </x:c>
    </x:row>
    <x:row r="14" ht="23" customHeight="1">
      <x:c r="A14" s="6" t="str">
        <x:v>Calendar days available</x:v>
      </x:c>
      <x:c r="B14" s="14" t="n">
        <x:f>COUNT('Calendar'!C8:C907)</x:f>
        <x:v>900</x:v>
      </x:c>
      <x:c r="C14" s="14" t="n">
        <x:v>900</x:v>
      </x:c>
      <x:c r="D14" s="14" t="n">
        <x:f>ROUND(B14-C14,6)</x:f>
        <x:v>0</x:v>
      </x:c>
      <x:c r="E14" s="14" t="n">
        <x:v>0.01</x:v>
      </x:c>
      <x:c r="F14" s="6" t="str">
        <x:f>IF(ABS(D14)&lt;=E14,"OK","REVIEW")</x:f>
        <x:v>OK</x:v>
      </x:c>
      <x:c r="G14" s="6" t="str">
        <x:v>wd</x:v>
      </x:c>
    </x:row>
    <x:row r="15" ht="23" customHeight="1">
      <x:c r="A15" s="1" t="str">
        <x:v>Completion inside calendar</x:v>
      </x:c>
      <x:c r="B15" s="15" t="n">
        <x:f>IF('Activities'!L816&lt;=900,1,0)</x:f>
        <x:v>1</x:v>
      </x:c>
      <x:c r="C15" s="15" t="n">
        <x:v>1</x:v>
      </x:c>
      <x:c r="D15" s="15" t="n">
        <x:f>ROUND(B15-C15,6)</x:f>
        <x:v>0</x:v>
      </x:c>
      <x:c r="E15" s="15" t="n">
        <x:v>0.01</x:v>
      </x:c>
      <x:c r="F15" s="1" t="str">
        <x:f>IF(ABS(D15)&lt;=E15,"OK","REVIEW")</x:f>
        <x:v>OK</x:v>
      </x:c>
      <x:c r="G15" s="1" t="str">
        <x:v>flag</x:v>
      </x:c>
    </x:row>
    <x:row r="19">
      <x:c r="A19" t="str">
        <x:v>BOQ code</x:v>
      </x:c>
      <x:c r="B19" t="str">
        <x:v>Allocated share</x:v>
      </x:c>
      <x:c r="C19" t="str">
        <x:v>Expected</x:v>
      </x:c>
      <x:c r="D19" t="str">
        <x:v>Difference</x:v>
      </x:c>
    </x:row>
    <x:row r="20">
      <x:c r="A20" t="str">
        <x:v>EW01</x:v>
      </x:c>
      <x:c r="B20" t="n">
        <x:v>1</x:v>
      </x:c>
      <x:c r="C20" t="n">
        <x:v>1</x:v>
      </x:c>
      <x:c r="D20" t="n">
        <x:f>B20-C20</x:f>
        <x:v>0</x:v>
      </x:c>
    </x:row>
    <x:row r="21">
      <x:c r="A21" t="str">
        <x:v>EW02</x:v>
      </x:c>
      <x:c r="B21" t="n">
        <x:v>1</x:v>
      </x:c>
      <x:c r="C21" t="n">
        <x:v>1</x:v>
      </x:c>
      <x:c r="D21" t="n">
        <x:f>B21-C21</x:f>
        <x:v>0</x:v>
      </x:c>
    </x:row>
    <x:row r="22">
      <x:c r="A22" t="str">
        <x:v>EW03</x:v>
      </x:c>
      <x:c r="B22" t="n">
        <x:v>1</x:v>
      </x:c>
      <x:c r="C22" t="n">
        <x:v>1</x:v>
      </x:c>
      <x:c r="D22" t="n">
        <x:f>B22-C22</x:f>
        <x:v>0</x:v>
      </x:c>
    </x:row>
    <x:row r="23">
      <x:c r="A23" t="str">
        <x:v>RC01</x:v>
      </x:c>
      <x:c r="B23" t="n">
        <x:v>1</x:v>
      </x:c>
      <x:c r="C23" t="n">
        <x:v>1</x:v>
      </x:c>
      <x:c r="D23" t="n">
        <x:f>B23-C23</x:f>
        <x:v>0</x:v>
      </x:c>
    </x:row>
    <x:row r="24">
      <x:c r="A24" t="str">
        <x:v>RC02</x:v>
      </x:c>
      <x:c r="B24" t="n">
        <x:v>1</x:v>
      </x:c>
      <x:c r="C24" t="n">
        <x:v>1</x:v>
      </x:c>
      <x:c r="D24" t="n">
        <x:f>B24-C24</x:f>
        <x:v>0</x:v>
      </x:c>
    </x:row>
    <x:row r="25">
      <x:c r="A25" t="str">
        <x:v>RC03</x:v>
      </x:c>
      <x:c r="B25" t="n">
        <x:v>0.9999999999999984</x:v>
      </x:c>
      <x:c r="C25" t="n">
        <x:v>1</x:v>
      </x:c>
      <x:c r="D25" t="n">
        <x:f>B25-C25</x:f>
        <x:v>-1.5543122344752192e-15</x:v>
      </x:c>
    </x:row>
    <x:row r="26">
      <x:c r="A26" t="str">
        <x:v>RC04</x:v>
      </x:c>
      <x:c r="B26" t="n">
        <x:v>0.9999999999999984</x:v>
      </x:c>
      <x:c r="C26" t="n">
        <x:v>1</x:v>
      </x:c>
      <x:c r="D26" t="n">
        <x:f>B26-C26</x:f>
        <x:v>-1.5543122344752192e-15</x:v>
      </x:c>
    </x:row>
    <x:row r="27">
      <x:c r="A27" t="str">
        <x:v>RC05</x:v>
      </x:c>
      <x:c r="B27" t="n">
        <x:v>0.9999999999999984</x:v>
      </x:c>
      <x:c r="C27" t="n">
        <x:v>1</x:v>
      </x:c>
      <x:c r="D27" t="n">
        <x:f>B27-C27</x:f>
        <x:v>-1.5543122344752192e-15</x:v>
      </x:c>
    </x:row>
    <x:row r="28">
      <x:c r="A28" t="str">
        <x:v>RC06</x:v>
      </x:c>
      <x:c r="B28" t="n">
        <x:v>0.9999999999999984</x:v>
      </x:c>
      <x:c r="C28" t="n">
        <x:v>1</x:v>
      </x:c>
      <x:c r="D28" t="n">
        <x:f>B28-C28</x:f>
        <x:v>-1.5543122344752192e-15</x:v>
      </x:c>
    </x:row>
    <x:row r="29">
      <x:c r="A29" t="str">
        <x:v>RC07</x:v>
      </x:c>
      <x:c r="B29" t="n">
        <x:v>0.9999999999999984</x:v>
      </x:c>
      <x:c r="C29" t="n">
        <x:v>1</x:v>
      </x:c>
      <x:c r="D29" t="n">
        <x:f>B29-C29</x:f>
        <x:v>-1.5543122344752192e-15</x:v>
      </x:c>
    </x:row>
    <x:row r="30">
      <x:c r="A30" t="str">
        <x:v>RC08</x:v>
      </x:c>
      <x:c r="B30" t="n">
        <x:v>1</x:v>
      </x:c>
      <x:c r="C30" t="n">
        <x:v>1</x:v>
      </x:c>
      <x:c r="D30" t="n">
        <x:f>B30-C30</x:f>
        <x:v>0</x:v>
      </x:c>
    </x:row>
    <x:row r="31">
      <x:c r="A31" t="str">
        <x:v>RC09</x:v>
      </x:c>
      <x:c r="B31" t="n">
        <x:v>1</x:v>
      </x:c>
      <x:c r="C31" t="n">
        <x:v>1</x:v>
      </x:c>
      <x:c r="D31" t="n">
        <x:f>B31-C31</x:f>
        <x:v>0</x:v>
      </x:c>
    </x:row>
    <x:row r="32">
      <x:c r="A32" t="str">
        <x:v>RB01</x:v>
      </x:c>
      <x:c r="B32" t="n">
        <x:v>0.9999999999999982</x:v>
      </x:c>
      <x:c r="C32" t="n">
        <x:v>1</x:v>
      </x:c>
      <x:c r="D32" t="n">
        <x:f>B32-C32</x:f>
        <x:v>-1.7763568394002505e-15</x:v>
      </x:c>
    </x:row>
    <x:row r="33">
      <x:c r="A33" t="str">
        <x:v>FW01</x:v>
      </x:c>
      <x:c r="B33" t="n">
        <x:v>0.9999999999999984</x:v>
      </x:c>
      <x:c r="C33" t="n">
        <x:v>1</x:v>
      </x:c>
      <x:c r="D33" t="n">
        <x:f>B33-C33</x:f>
        <x:v>-1.5543122344752192e-15</x:v>
      </x:c>
    </x:row>
    <x:row r="34">
      <x:c r="A34" t="str">
        <x:v>FW02</x:v>
      </x:c>
      <x:c r="B34" t="n">
        <x:v>0.9999999999999984</x:v>
      </x:c>
      <x:c r="C34" t="n">
        <x:v>1</x:v>
      </x:c>
      <x:c r="D34" t="n">
        <x:f>B34-C34</x:f>
        <x:v>-1.5543122344752192e-15</x:v>
      </x:c>
    </x:row>
    <x:row r="35">
      <x:c r="A35" t="str">
        <x:v>FW03</x:v>
      </x:c>
      <x:c r="B35" t="n">
        <x:v>0.9999999999999984</x:v>
      </x:c>
      <x:c r="C35" t="n">
        <x:v>1</x:v>
      </x:c>
      <x:c r="D35" t="n">
        <x:f>B35-C35</x:f>
        <x:v>-1.5543122344752192e-15</x:v>
      </x:c>
    </x:row>
    <x:row r="36">
      <x:c r="A36" t="str">
        <x:v>FW04</x:v>
      </x:c>
      <x:c r="B36" t="n">
        <x:v>0.9999999999999984</x:v>
      </x:c>
      <x:c r="C36" t="n">
        <x:v>1</x:v>
      </x:c>
      <x:c r="D36" t="n">
        <x:f>B36-C36</x:f>
        <x:v>-1.5543122344752192e-15</x:v>
      </x:c>
    </x:row>
    <x:row r="37">
      <x:c r="A37" t="str">
        <x:v>FW05</x:v>
      </x:c>
      <x:c r="B37" t="n">
        <x:v>1</x:v>
      </x:c>
      <x:c r="C37" t="n">
        <x:v>1</x:v>
      </x:c>
      <x:c r="D37" t="n">
        <x:f>B37-C37</x:f>
        <x:v>0</x:v>
      </x:c>
    </x:row>
    <x:row r="38">
      <x:c r="A38" t="str">
        <x:v>FW06</x:v>
      </x:c>
      <x:c r="B38" t="n">
        <x:v>1</x:v>
      </x:c>
      <x:c r="C38" t="n">
        <x:v>1</x:v>
      </x:c>
      <x:c r="D38" t="n">
        <x:f>B38-C38</x:f>
        <x:v>0</x:v>
      </x:c>
    </x:row>
    <x:row r="39">
      <x:c r="A39" t="str">
        <x:v>EN01</x:v>
      </x:c>
      <x:c r="B39" t="n">
        <x:v>1</x:v>
      </x:c>
      <x:c r="C39" t="n">
        <x:v>1</x:v>
      </x:c>
      <x:c r="D39" t="n">
        <x:f>B39-C39</x:f>
        <x:v>0</x:v>
      </x:c>
    </x:row>
    <x:row r="40">
      <x:c r="A40" t="str">
        <x:v>EN02</x:v>
      </x:c>
      <x:c r="B40" t="n">
        <x:v>0.9999999999999999</x:v>
      </x:c>
      <x:c r="C40" t="n">
        <x:v>1</x:v>
      </x:c>
      <x:c r="D40" t="n">
        <x:f>B40-C40</x:f>
        <x:v>-1.1102230246251565e-16</x:v>
      </x:c>
    </x:row>
    <x:row r="41">
      <x:c r="A41" t="str">
        <x:v>EN03</x:v>
      </x:c>
      <x:c r="B41" t="n">
        <x:v>0.9999999999999999</x:v>
      </x:c>
      <x:c r="C41" t="n">
        <x:v>1</x:v>
      </x:c>
      <x:c r="D41" t="n">
        <x:f>B41-C41</x:f>
        <x:v>-1.1102230246251565e-16</x:v>
      </x:c>
    </x:row>
    <x:row r="42">
      <x:c r="A42" t="str">
        <x:v>EN04</x:v>
      </x:c>
      <x:c r="B42" t="n">
        <x:v>0.9999999999999999</x:v>
      </x:c>
      <x:c r="C42" t="n">
        <x:v>1</x:v>
      </x:c>
      <x:c r="D42" t="n">
        <x:f>B42-C42</x:f>
        <x:v>-1.1102230246251565e-16</x:v>
      </x:c>
    </x:row>
    <x:row r="43">
      <x:c r="A43" t="str">
        <x:v>AR01</x:v>
      </x:c>
      <x:c r="B43" t="n">
        <x:v>0.9999999999999984</x:v>
      </x:c>
      <x:c r="C43" t="n">
        <x:v>1</x:v>
      </x:c>
      <x:c r="D43" t="n">
        <x:f>B43-C43</x:f>
        <x:v>-1.5543122344752192e-15</x:v>
      </x:c>
    </x:row>
    <x:row r="44">
      <x:c r="A44" t="str">
        <x:v>AR02</x:v>
      </x:c>
      <x:c r="B44" t="n">
        <x:v>0.9999999999999984</x:v>
      </x:c>
      <x:c r="C44" t="n">
        <x:v>1</x:v>
      </x:c>
      <x:c r="D44" t="n">
        <x:f>B44-C44</x:f>
        <x:v>-1.5543122344752192e-15</x:v>
      </x:c>
    </x:row>
    <x:row r="45">
      <x:c r="A45" t="str">
        <x:v>AR03</x:v>
      </x:c>
      <x:c r="B45" t="n">
        <x:v>0.9999999999999984</x:v>
      </x:c>
      <x:c r="C45" t="n">
        <x:v>1</x:v>
      </x:c>
      <x:c r="D45" t="n">
        <x:f>B45-C45</x:f>
        <x:v>-1.5543122344752192e-15</x:v>
      </x:c>
    </x:row>
    <x:row r="46">
      <x:c r="A46" t="str">
        <x:v>AR04</x:v>
      </x:c>
      <x:c r="B46" t="n">
        <x:v>0.9999999999999984</x:v>
      </x:c>
      <x:c r="C46" t="n">
        <x:v>1</x:v>
      </x:c>
      <x:c r="D46" t="n">
        <x:f>B46-C46</x:f>
        <x:v>-1.5543122344752192e-15</x:v>
      </x:c>
    </x:row>
    <x:row r="47">
      <x:c r="A47" t="str">
        <x:v>AR05</x:v>
      </x:c>
      <x:c r="B47" t="n">
        <x:v>0.9999999999999984</x:v>
      </x:c>
      <x:c r="C47" t="n">
        <x:v>1</x:v>
      </x:c>
      <x:c r="D47" t="n">
        <x:f>B47-C47</x:f>
        <x:v>-1.5543122344752192e-15</x:v>
      </x:c>
    </x:row>
    <x:row r="48">
      <x:c r="A48" t="str">
        <x:v>AR06</x:v>
      </x:c>
      <x:c r="B48" t="n">
        <x:v>0.9999999999999984</x:v>
      </x:c>
      <x:c r="C48" t="n">
        <x:v>1</x:v>
      </x:c>
      <x:c r="D48" t="n">
        <x:f>B48-C48</x:f>
        <x:v>-1.5543122344752192e-15</x:v>
      </x:c>
    </x:row>
    <x:row r="49">
      <x:c r="A49" t="str">
        <x:v>EX01</x:v>
      </x:c>
      <x:c r="B49" t="n">
        <x:v>1</x:v>
      </x:c>
      <x:c r="C49" t="n">
        <x:v>1</x:v>
      </x:c>
      <x:c r="D49" t="n">
        <x:f>B49-C49</x:f>
        <x:v>0</x:v>
      </x:c>
    </x:row>
    <x:row r="50">
      <x:c r="A50" t="str">
        <x:v>EX02</x:v>
      </x:c>
      <x:c r="B50" t="n">
        <x:v>1</x:v>
      </x:c>
      <x:c r="C50" t="n">
        <x:v>1</x:v>
      </x:c>
      <x:c r="D50" t="n">
        <x:f>B50-C50</x:f>
        <x:v>0</x:v>
      </x:c>
    </x:row>
    <x:row r="51">
      <x:c r="A51" t="str">
        <x:v>EX03</x:v>
      </x:c>
      <x:c r="B51" t="n">
        <x:v>1</x:v>
      </x:c>
      <x:c r="C51" t="n">
        <x:v>1</x:v>
      </x:c>
      <x:c r="D51" t="n">
        <x:f>B51-C51</x:f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3" hidden="0" customWidth="1"/>
    <x:col min="4" max="4" width="18" hidden="0" customWidth="1"/>
  </x:cols>
  <x:sheetData>
    <x:row r="2">
      <x:c r="A2" s="7" t="str">
        <x:v>Six-day working calendar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Sunday excluded. No public holidays assumed.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Working day</x:v>
      </x:c>
      <x:c r="B7" s="5" t="str">
        <x:v>Calendar offset</x:v>
      </x:c>
      <x:c r="C7" s="5" t="str">
        <x:v>Working date</x:v>
      </x:c>
      <x:c r="D7" s="5" t="str">
        <x:v>Weekday</x:v>
      </x:c>
    </x:row>
    <x:row r="8" ht="23" customHeight="1">
      <x:c r="A8" s="6" t="n">
        <x:v>1</x:v>
      </x:c>
      <x:c r="B8" s="6" t="n">
        <x:v>0</x:v>
      </x:c>
      <x:c r="C8" s="20" t="n">
        <x:f>'Controls'!$B$8+B8</x:f>
        <x:v>46328</x:v>
      </x:c>
      <x:c r="D8" s="6" t="str">
        <x:v>Mon</x:v>
      </x:c>
    </x:row>
    <x:row r="9" ht="23" customHeight="1">
      <x:c r="A9" s="1" t="n">
        <x:v>2</x:v>
      </x:c>
      <x:c r="B9" s="1" t="n">
        <x:v>1</x:v>
      </x:c>
      <x:c r="C9" s="21" t="n">
        <x:f>'Controls'!$B$8+B9</x:f>
        <x:v>46329</x:v>
      </x:c>
      <x:c r="D9" s="1" t="str">
        <x:v>Tue</x:v>
      </x:c>
    </x:row>
    <x:row r="10" ht="23" customHeight="1">
      <x:c r="A10" s="6" t="n">
        <x:v>3</x:v>
      </x:c>
      <x:c r="B10" s="6" t="n">
        <x:v>2</x:v>
      </x:c>
      <x:c r="C10" s="20" t="n">
        <x:f>'Controls'!$B$8+B10</x:f>
        <x:v>46330</x:v>
      </x:c>
      <x:c r="D10" s="6" t="str">
        <x:v>Wed</x:v>
      </x:c>
    </x:row>
    <x:row r="11" ht="23" customHeight="1">
      <x:c r="A11" s="1" t="n">
        <x:v>4</x:v>
      </x:c>
      <x:c r="B11" s="1" t="n">
        <x:v>3</x:v>
      </x:c>
      <x:c r="C11" s="21" t="n">
        <x:f>'Controls'!$B$8+B11</x:f>
        <x:v>46331</x:v>
      </x:c>
      <x:c r="D11" s="1" t="str">
        <x:v>Thu</x:v>
      </x:c>
    </x:row>
    <x:row r="12" ht="23" customHeight="1">
      <x:c r="A12" s="6" t="n">
        <x:v>5</x:v>
      </x:c>
      <x:c r="B12" s="6" t="n">
        <x:v>4</x:v>
      </x:c>
      <x:c r="C12" s="20" t="n">
        <x:f>'Controls'!$B$8+B12</x:f>
        <x:v>46332</x:v>
      </x:c>
      <x:c r="D12" s="6" t="str">
        <x:v>Fri</x:v>
      </x:c>
    </x:row>
    <x:row r="13" ht="23" customHeight="1">
      <x:c r="A13" s="1" t="n">
        <x:v>6</x:v>
      </x:c>
      <x:c r="B13" s="1" t="n">
        <x:v>5</x:v>
      </x:c>
      <x:c r="C13" s="21" t="n">
        <x:f>'Controls'!$B$8+B13</x:f>
        <x:v>46333</x:v>
      </x:c>
      <x:c r="D13" s="1" t="str">
        <x:v>Sat</x:v>
      </x:c>
    </x:row>
    <x:row r="14" ht="23" customHeight="1">
      <x:c r="A14" s="6" t="n">
        <x:v>7</x:v>
      </x:c>
      <x:c r="B14" s="6" t="n">
        <x:v>7</x:v>
      </x:c>
      <x:c r="C14" s="20" t="n">
        <x:f>'Controls'!$B$8+B14</x:f>
        <x:v>46335</x:v>
      </x:c>
      <x:c r="D14" s="6" t="str">
        <x:v>Mon</x:v>
      </x:c>
    </x:row>
    <x:row r="15" ht="23" customHeight="1">
      <x:c r="A15" s="1" t="n">
        <x:v>8</x:v>
      </x:c>
      <x:c r="B15" s="1" t="n">
        <x:v>8</x:v>
      </x:c>
      <x:c r="C15" s="21" t="n">
        <x:f>'Controls'!$B$8+B15</x:f>
        <x:v>46336</x:v>
      </x:c>
      <x:c r="D15" s="1" t="str">
        <x:v>Tue</x:v>
      </x:c>
    </x:row>
    <x:row r="16" ht="23" customHeight="1">
      <x:c r="A16" s="6" t="n">
        <x:v>9</x:v>
      </x:c>
      <x:c r="B16" s="6" t="n">
        <x:v>9</x:v>
      </x:c>
      <x:c r="C16" s="20" t="n">
        <x:f>'Controls'!$B$8+B16</x:f>
        <x:v>46337</x:v>
      </x:c>
      <x:c r="D16" s="6" t="str">
        <x:v>Wed</x:v>
      </x:c>
    </x:row>
    <x:row r="17" ht="23" customHeight="1">
      <x:c r="A17" s="1" t="n">
        <x:v>10</x:v>
      </x:c>
      <x:c r="B17" s="1" t="n">
        <x:v>10</x:v>
      </x:c>
      <x:c r="C17" s="21" t="n">
        <x:f>'Controls'!$B$8+B17</x:f>
        <x:v>46338</x:v>
      </x:c>
      <x:c r="D17" s="1" t="str">
        <x:v>Thu</x:v>
      </x:c>
    </x:row>
    <x:row r="18" ht="23" customHeight="1">
      <x:c r="A18" s="6" t="n">
        <x:v>11</x:v>
      </x:c>
      <x:c r="B18" s="6" t="n">
        <x:v>11</x:v>
      </x:c>
      <x:c r="C18" s="20" t="n">
        <x:f>'Controls'!$B$8+B18</x:f>
        <x:v>46339</x:v>
      </x:c>
      <x:c r="D18" s="6" t="str">
        <x:v>Fri</x:v>
      </x:c>
    </x:row>
    <x:row r="19" ht="23" customHeight="1">
      <x:c r="A19" s="1" t="n">
        <x:v>12</x:v>
      </x:c>
      <x:c r="B19" s="1" t="n">
        <x:v>12</x:v>
      </x:c>
      <x:c r="C19" s="21" t="n">
        <x:f>'Controls'!$B$8+B19</x:f>
        <x:v>46340</x:v>
      </x:c>
      <x:c r="D19" s="1" t="str">
        <x:v>Sat</x:v>
      </x:c>
    </x:row>
    <x:row r="20" ht="23" customHeight="1">
      <x:c r="A20" s="6" t="n">
        <x:v>13</x:v>
      </x:c>
      <x:c r="B20" s="6" t="n">
        <x:v>14</x:v>
      </x:c>
      <x:c r="C20" s="20" t="n">
        <x:f>'Controls'!$B$8+B20</x:f>
        <x:v>46342</x:v>
      </x:c>
      <x:c r="D20" s="6" t="str">
        <x:v>Mon</x:v>
      </x:c>
    </x:row>
    <x:row r="21" ht="23" customHeight="1">
      <x:c r="A21" s="1" t="n">
        <x:v>14</x:v>
      </x:c>
      <x:c r="B21" s="1" t="n">
        <x:v>15</x:v>
      </x:c>
      <x:c r="C21" s="21" t="n">
        <x:f>'Controls'!$B$8+B21</x:f>
        <x:v>46343</x:v>
      </x:c>
      <x:c r="D21" s="1" t="str">
        <x:v>Tue</x:v>
      </x:c>
    </x:row>
    <x:row r="22" ht="23" customHeight="1">
      <x:c r="A22" s="6" t="n">
        <x:v>15</x:v>
      </x:c>
      <x:c r="B22" s="6" t="n">
        <x:v>16</x:v>
      </x:c>
      <x:c r="C22" s="20" t="n">
        <x:f>'Controls'!$B$8+B22</x:f>
        <x:v>46344</x:v>
      </x:c>
      <x:c r="D22" s="6" t="str">
        <x:v>Wed</x:v>
      </x:c>
    </x:row>
    <x:row r="23" ht="23" customHeight="1">
      <x:c r="A23" s="1" t="n">
        <x:v>16</x:v>
      </x:c>
      <x:c r="B23" s="1" t="n">
        <x:v>17</x:v>
      </x:c>
      <x:c r="C23" s="21" t="n">
        <x:f>'Controls'!$B$8+B23</x:f>
        <x:v>46345</x:v>
      </x:c>
      <x:c r="D23" s="1" t="str">
        <x:v>Thu</x:v>
      </x:c>
    </x:row>
    <x:row r="24" ht="23" customHeight="1">
      <x:c r="A24" s="6" t="n">
        <x:v>17</x:v>
      </x:c>
      <x:c r="B24" s="6" t="n">
        <x:v>18</x:v>
      </x:c>
      <x:c r="C24" s="20" t="n">
        <x:f>'Controls'!$B$8+B24</x:f>
        <x:v>46346</x:v>
      </x:c>
      <x:c r="D24" s="6" t="str">
        <x:v>Fri</x:v>
      </x:c>
    </x:row>
    <x:row r="25" ht="23" customHeight="1">
      <x:c r="A25" s="1" t="n">
        <x:v>18</x:v>
      </x:c>
      <x:c r="B25" s="1" t="n">
        <x:v>19</x:v>
      </x:c>
      <x:c r="C25" s="21" t="n">
        <x:f>'Controls'!$B$8+B25</x:f>
        <x:v>46347</x:v>
      </x:c>
      <x:c r="D25" s="1" t="str">
        <x:v>Sat</x:v>
      </x:c>
    </x:row>
    <x:row r="26" ht="23" customHeight="1">
      <x:c r="A26" s="6" t="n">
        <x:v>19</x:v>
      </x:c>
      <x:c r="B26" s="6" t="n">
        <x:v>21</x:v>
      </x:c>
      <x:c r="C26" s="20" t="n">
        <x:f>'Controls'!$B$8+B26</x:f>
        <x:v>46349</x:v>
      </x:c>
      <x:c r="D26" s="6" t="str">
        <x:v>Mon</x:v>
      </x:c>
    </x:row>
    <x:row r="27" ht="23" customHeight="1">
      <x:c r="A27" s="1" t="n">
        <x:v>20</x:v>
      </x:c>
      <x:c r="B27" s="1" t="n">
        <x:v>22</x:v>
      </x:c>
      <x:c r="C27" s="21" t="n">
        <x:f>'Controls'!$B$8+B27</x:f>
        <x:v>46350</x:v>
      </x:c>
      <x:c r="D27" s="1" t="str">
        <x:v>Tue</x:v>
      </x:c>
    </x:row>
    <x:row r="28" ht="23" customHeight="1">
      <x:c r="A28" s="6" t="n">
        <x:v>21</x:v>
      </x:c>
      <x:c r="B28" s="6" t="n">
        <x:v>23</x:v>
      </x:c>
      <x:c r="C28" s="20" t="n">
        <x:f>'Controls'!$B$8+B28</x:f>
        <x:v>46351</x:v>
      </x:c>
      <x:c r="D28" s="6" t="str">
        <x:v>Wed</x:v>
      </x:c>
    </x:row>
    <x:row r="29" ht="23" customHeight="1">
      <x:c r="A29" s="1" t="n">
        <x:v>22</x:v>
      </x:c>
      <x:c r="B29" s="1" t="n">
        <x:v>24</x:v>
      </x:c>
      <x:c r="C29" s="21" t="n">
        <x:f>'Controls'!$B$8+B29</x:f>
        <x:v>46352</x:v>
      </x:c>
      <x:c r="D29" s="1" t="str">
        <x:v>Thu</x:v>
      </x:c>
    </x:row>
    <x:row r="30" ht="23" customHeight="1">
      <x:c r="A30" s="6" t="n">
        <x:v>23</x:v>
      </x:c>
      <x:c r="B30" s="6" t="n">
        <x:v>25</x:v>
      </x:c>
      <x:c r="C30" s="20" t="n">
        <x:f>'Controls'!$B$8+B30</x:f>
        <x:v>46353</x:v>
      </x:c>
      <x:c r="D30" s="6" t="str">
        <x:v>Fri</x:v>
      </x:c>
    </x:row>
    <x:row r="31" ht="23" customHeight="1">
      <x:c r="A31" s="1" t="n">
        <x:v>24</x:v>
      </x:c>
      <x:c r="B31" s="1" t="n">
        <x:v>26</x:v>
      </x:c>
      <x:c r="C31" s="21" t="n">
        <x:f>'Controls'!$B$8+B31</x:f>
        <x:v>46354</x:v>
      </x:c>
      <x:c r="D31" s="1" t="str">
        <x:v>Sat</x:v>
      </x:c>
    </x:row>
    <x:row r="32" ht="23" customHeight="1">
      <x:c r="A32" s="6" t="n">
        <x:v>25</x:v>
      </x:c>
      <x:c r="B32" s="6" t="n">
        <x:v>28</x:v>
      </x:c>
      <x:c r="C32" s="20" t="n">
        <x:f>'Controls'!$B$8+B32</x:f>
        <x:v>46356</x:v>
      </x:c>
      <x:c r="D32" s="6" t="str">
        <x:v>Mon</x:v>
      </x:c>
    </x:row>
    <x:row r="33" ht="23" customHeight="1">
      <x:c r="A33" s="1" t="n">
        <x:v>26</x:v>
      </x:c>
      <x:c r="B33" s="1" t="n">
        <x:v>29</x:v>
      </x:c>
      <x:c r="C33" s="21" t="n">
        <x:f>'Controls'!$B$8+B33</x:f>
        <x:v>46357</x:v>
      </x:c>
      <x:c r="D33" s="1" t="str">
        <x:v>Tue</x:v>
      </x:c>
    </x:row>
    <x:row r="34" ht="23" customHeight="1">
      <x:c r="A34" s="6" t="n">
        <x:v>27</x:v>
      </x:c>
      <x:c r="B34" s="6" t="n">
        <x:v>30</x:v>
      </x:c>
      <x:c r="C34" s="20" t="n">
        <x:f>'Controls'!$B$8+B34</x:f>
        <x:v>46358</x:v>
      </x:c>
      <x:c r="D34" s="6" t="str">
        <x:v>Wed</x:v>
      </x:c>
    </x:row>
    <x:row r="35" ht="23" customHeight="1">
      <x:c r="A35" s="1" t="n">
        <x:v>28</x:v>
      </x:c>
      <x:c r="B35" s="1" t="n">
        <x:v>31</x:v>
      </x:c>
      <x:c r="C35" s="21" t="n">
        <x:f>'Controls'!$B$8+B35</x:f>
        <x:v>46359</x:v>
      </x:c>
      <x:c r="D35" s="1" t="str">
        <x:v>Thu</x:v>
      </x:c>
    </x:row>
    <x:row r="36" ht="23" customHeight="1">
      <x:c r="A36" s="6" t="n">
        <x:v>29</x:v>
      </x:c>
      <x:c r="B36" s="6" t="n">
        <x:v>32</x:v>
      </x:c>
      <x:c r="C36" s="20" t="n">
        <x:f>'Controls'!$B$8+B36</x:f>
        <x:v>46360</x:v>
      </x:c>
      <x:c r="D36" s="6" t="str">
        <x:v>Fri</x:v>
      </x:c>
    </x:row>
    <x:row r="37" ht="23" customHeight="1">
      <x:c r="A37" s="1" t="n">
        <x:v>30</x:v>
      </x:c>
      <x:c r="B37" s="1" t="n">
        <x:v>33</x:v>
      </x:c>
      <x:c r="C37" s="21" t="n">
        <x:f>'Controls'!$B$8+B37</x:f>
        <x:v>46361</x:v>
      </x:c>
      <x:c r="D37" s="1" t="str">
        <x:v>Sat</x:v>
      </x:c>
    </x:row>
    <x:row r="38" ht="23" customHeight="1">
      <x:c r="A38" s="6" t="n">
        <x:v>31</x:v>
      </x:c>
      <x:c r="B38" s="6" t="n">
        <x:v>35</x:v>
      </x:c>
      <x:c r="C38" s="20" t="n">
        <x:f>'Controls'!$B$8+B38</x:f>
        <x:v>46363</x:v>
      </x:c>
      <x:c r="D38" s="6" t="str">
        <x:v>Mon</x:v>
      </x:c>
    </x:row>
    <x:row r="39" ht="23" customHeight="1">
      <x:c r="A39" s="1" t="n">
        <x:v>32</x:v>
      </x:c>
      <x:c r="B39" s="1" t="n">
        <x:v>36</x:v>
      </x:c>
      <x:c r="C39" s="21" t="n">
        <x:f>'Controls'!$B$8+B39</x:f>
        <x:v>46364</x:v>
      </x:c>
      <x:c r="D39" s="1" t="str">
        <x:v>Tue</x:v>
      </x:c>
    </x:row>
    <x:row r="40" ht="23" customHeight="1">
      <x:c r="A40" s="6" t="n">
        <x:v>33</x:v>
      </x:c>
      <x:c r="B40" s="6" t="n">
        <x:v>37</x:v>
      </x:c>
      <x:c r="C40" s="20" t="n">
        <x:f>'Controls'!$B$8+B40</x:f>
        <x:v>46365</x:v>
      </x:c>
      <x:c r="D40" s="6" t="str">
        <x:v>Wed</x:v>
      </x:c>
    </x:row>
    <x:row r="41" ht="23" customHeight="1">
      <x:c r="A41" s="1" t="n">
        <x:v>34</x:v>
      </x:c>
      <x:c r="B41" s="1" t="n">
        <x:v>38</x:v>
      </x:c>
      <x:c r="C41" s="21" t="n">
        <x:f>'Controls'!$B$8+B41</x:f>
        <x:v>46366</x:v>
      </x:c>
      <x:c r="D41" s="1" t="str">
        <x:v>Thu</x:v>
      </x:c>
    </x:row>
    <x:row r="42" ht="23" customHeight="1">
      <x:c r="A42" s="6" t="n">
        <x:v>35</x:v>
      </x:c>
      <x:c r="B42" s="6" t="n">
        <x:v>39</x:v>
      </x:c>
      <x:c r="C42" s="20" t="n">
        <x:f>'Controls'!$B$8+B42</x:f>
        <x:v>46367</x:v>
      </x:c>
      <x:c r="D42" s="6" t="str">
        <x:v>Fri</x:v>
      </x:c>
    </x:row>
    <x:row r="43" ht="23" customHeight="1">
      <x:c r="A43" s="1" t="n">
        <x:v>36</x:v>
      </x:c>
      <x:c r="B43" s="1" t="n">
        <x:v>40</x:v>
      </x:c>
      <x:c r="C43" s="21" t="n">
        <x:f>'Controls'!$B$8+B43</x:f>
        <x:v>46368</x:v>
      </x:c>
      <x:c r="D43" s="1" t="str">
        <x:v>Sat</x:v>
      </x:c>
    </x:row>
    <x:row r="44" ht="23" customHeight="1">
      <x:c r="A44" s="6" t="n">
        <x:v>37</x:v>
      </x:c>
      <x:c r="B44" s="6" t="n">
        <x:v>42</x:v>
      </x:c>
      <x:c r="C44" s="20" t="n">
        <x:f>'Controls'!$B$8+B44</x:f>
        <x:v>46370</x:v>
      </x:c>
      <x:c r="D44" s="6" t="str">
        <x:v>Mon</x:v>
      </x:c>
    </x:row>
    <x:row r="45" ht="23" customHeight="1">
      <x:c r="A45" s="1" t="n">
        <x:v>38</x:v>
      </x:c>
      <x:c r="B45" s="1" t="n">
        <x:v>43</x:v>
      </x:c>
      <x:c r="C45" s="21" t="n">
        <x:f>'Controls'!$B$8+B45</x:f>
        <x:v>46371</x:v>
      </x:c>
      <x:c r="D45" s="1" t="str">
        <x:v>Tue</x:v>
      </x:c>
    </x:row>
    <x:row r="46" ht="23" customHeight="1">
      <x:c r="A46" s="6" t="n">
        <x:v>39</x:v>
      </x:c>
      <x:c r="B46" s="6" t="n">
        <x:v>44</x:v>
      </x:c>
      <x:c r="C46" s="20" t="n">
        <x:f>'Controls'!$B$8+B46</x:f>
        <x:v>46372</x:v>
      </x:c>
      <x:c r="D46" s="6" t="str">
        <x:v>Wed</x:v>
      </x:c>
    </x:row>
    <x:row r="47" ht="23" customHeight="1">
      <x:c r="A47" s="1" t="n">
        <x:v>40</x:v>
      </x:c>
      <x:c r="B47" s="1" t="n">
        <x:v>45</x:v>
      </x:c>
      <x:c r="C47" s="21" t="n">
        <x:f>'Controls'!$B$8+B47</x:f>
        <x:v>46373</x:v>
      </x:c>
      <x:c r="D47" s="1" t="str">
        <x:v>Thu</x:v>
      </x:c>
    </x:row>
    <x:row r="48" ht="23" customHeight="1">
      <x:c r="A48" s="6" t="n">
        <x:v>41</x:v>
      </x:c>
      <x:c r="B48" s="6" t="n">
        <x:v>46</x:v>
      </x:c>
      <x:c r="C48" s="20" t="n">
        <x:f>'Controls'!$B$8+B48</x:f>
        <x:v>46374</x:v>
      </x:c>
      <x:c r="D48" s="6" t="str">
        <x:v>Fri</x:v>
      </x:c>
    </x:row>
    <x:row r="49" ht="23" customHeight="1">
      <x:c r="A49" s="1" t="n">
        <x:v>42</x:v>
      </x:c>
      <x:c r="B49" s="1" t="n">
        <x:v>47</x:v>
      </x:c>
      <x:c r="C49" s="21" t="n">
        <x:f>'Controls'!$B$8+B49</x:f>
        <x:v>46375</x:v>
      </x:c>
      <x:c r="D49" s="1" t="str">
        <x:v>Sat</x:v>
      </x:c>
    </x:row>
    <x:row r="50" ht="23" customHeight="1">
      <x:c r="A50" s="6" t="n">
        <x:v>43</x:v>
      </x:c>
      <x:c r="B50" s="6" t="n">
        <x:v>49</x:v>
      </x:c>
      <x:c r="C50" s="20" t="n">
        <x:f>'Controls'!$B$8+B50</x:f>
        <x:v>46377</x:v>
      </x:c>
      <x:c r="D50" s="6" t="str">
        <x:v>Mon</x:v>
      </x:c>
    </x:row>
    <x:row r="51" ht="23" customHeight="1">
      <x:c r="A51" s="1" t="n">
        <x:v>44</x:v>
      </x:c>
      <x:c r="B51" s="1" t="n">
        <x:v>50</x:v>
      </x:c>
      <x:c r="C51" s="21" t="n">
        <x:f>'Controls'!$B$8+B51</x:f>
        <x:v>46378</x:v>
      </x:c>
      <x:c r="D51" s="1" t="str">
        <x:v>Tue</x:v>
      </x:c>
    </x:row>
    <x:row r="52" ht="23" customHeight="1">
      <x:c r="A52" s="6" t="n">
        <x:v>45</x:v>
      </x:c>
      <x:c r="B52" s="6" t="n">
        <x:v>51</x:v>
      </x:c>
      <x:c r="C52" s="20" t="n">
        <x:f>'Controls'!$B$8+B52</x:f>
        <x:v>46379</x:v>
      </x:c>
      <x:c r="D52" s="6" t="str">
        <x:v>Wed</x:v>
      </x:c>
    </x:row>
    <x:row r="53" ht="23" customHeight="1">
      <x:c r="A53" s="1" t="n">
        <x:v>46</x:v>
      </x:c>
      <x:c r="B53" s="1" t="n">
        <x:v>52</x:v>
      </x:c>
      <x:c r="C53" s="21" t="n">
        <x:f>'Controls'!$B$8+B53</x:f>
        <x:v>46380</x:v>
      </x:c>
      <x:c r="D53" s="1" t="str">
        <x:v>Thu</x:v>
      </x:c>
    </x:row>
    <x:row r="54" ht="23" customHeight="1">
      <x:c r="A54" s="6" t="n">
        <x:v>47</x:v>
      </x:c>
      <x:c r="B54" s="6" t="n">
        <x:v>53</x:v>
      </x:c>
      <x:c r="C54" s="20" t="n">
        <x:f>'Controls'!$B$8+B54</x:f>
        <x:v>46381</x:v>
      </x:c>
      <x:c r="D54" s="6" t="str">
        <x:v>Fri</x:v>
      </x:c>
    </x:row>
    <x:row r="55" ht="23" customHeight="1">
      <x:c r="A55" s="1" t="n">
        <x:v>48</x:v>
      </x:c>
      <x:c r="B55" s="1" t="n">
        <x:v>54</x:v>
      </x:c>
      <x:c r="C55" s="21" t="n">
        <x:f>'Controls'!$B$8+B55</x:f>
        <x:v>46382</x:v>
      </x:c>
      <x:c r="D55" s="1" t="str">
        <x:v>Sat</x:v>
      </x:c>
    </x:row>
    <x:row r="56" ht="23" customHeight="1">
      <x:c r="A56" s="6" t="n">
        <x:v>49</x:v>
      </x:c>
      <x:c r="B56" s="6" t="n">
        <x:v>56</x:v>
      </x:c>
      <x:c r="C56" s="20" t="n">
        <x:f>'Controls'!$B$8+B56</x:f>
        <x:v>46384</x:v>
      </x:c>
      <x:c r="D56" s="6" t="str">
        <x:v>Mon</x:v>
      </x:c>
    </x:row>
    <x:row r="57" ht="23" customHeight="1">
      <x:c r="A57" s="1" t="n">
        <x:v>50</x:v>
      </x:c>
      <x:c r="B57" s="1" t="n">
        <x:v>57</x:v>
      </x:c>
      <x:c r="C57" s="21" t="n">
        <x:f>'Controls'!$B$8+B57</x:f>
        <x:v>46385</x:v>
      </x:c>
      <x:c r="D57" s="1" t="str">
        <x:v>Tue</x:v>
      </x:c>
    </x:row>
    <x:row r="58" ht="23" customHeight="1">
      <x:c r="A58" s="6" t="n">
        <x:v>51</x:v>
      </x:c>
      <x:c r="B58" s="6" t="n">
        <x:v>58</x:v>
      </x:c>
      <x:c r="C58" s="20" t="n">
        <x:f>'Controls'!$B$8+B58</x:f>
        <x:v>46386</x:v>
      </x:c>
      <x:c r="D58" s="6" t="str">
        <x:v>Wed</x:v>
      </x:c>
    </x:row>
    <x:row r="59" ht="23" customHeight="1">
      <x:c r="A59" s="1" t="n">
        <x:v>52</x:v>
      </x:c>
      <x:c r="B59" s="1" t="n">
        <x:v>59</x:v>
      </x:c>
      <x:c r="C59" s="21" t="n">
        <x:f>'Controls'!$B$8+B59</x:f>
        <x:v>46387</x:v>
      </x:c>
      <x:c r="D59" s="1" t="str">
        <x:v>Thu</x:v>
      </x:c>
    </x:row>
    <x:row r="60" ht="23" customHeight="1">
      <x:c r="A60" s="6" t="n">
        <x:v>53</x:v>
      </x:c>
      <x:c r="B60" s="6" t="n">
        <x:v>60</x:v>
      </x:c>
      <x:c r="C60" s="20" t="n">
        <x:f>'Controls'!$B$8+B60</x:f>
        <x:v>46388</x:v>
      </x:c>
      <x:c r="D60" s="6" t="str">
        <x:v>Fri</x:v>
      </x:c>
    </x:row>
    <x:row r="61" ht="23" customHeight="1">
      <x:c r="A61" s="1" t="n">
        <x:v>54</x:v>
      </x:c>
      <x:c r="B61" s="1" t="n">
        <x:v>61</x:v>
      </x:c>
      <x:c r="C61" s="21" t="n">
        <x:f>'Controls'!$B$8+B61</x:f>
        <x:v>46389</x:v>
      </x:c>
      <x:c r="D61" s="1" t="str">
        <x:v>Sat</x:v>
      </x:c>
    </x:row>
    <x:row r="62" ht="23" customHeight="1">
      <x:c r="A62" s="6" t="n">
        <x:v>55</x:v>
      </x:c>
      <x:c r="B62" s="6" t="n">
        <x:v>63</x:v>
      </x:c>
      <x:c r="C62" s="20" t="n">
        <x:f>'Controls'!$B$8+B62</x:f>
        <x:v>46391</x:v>
      </x:c>
      <x:c r="D62" s="6" t="str">
        <x:v>Mon</x:v>
      </x:c>
    </x:row>
    <x:row r="63" ht="23" customHeight="1">
      <x:c r="A63" s="1" t="n">
        <x:v>56</x:v>
      </x:c>
      <x:c r="B63" s="1" t="n">
        <x:v>64</x:v>
      </x:c>
      <x:c r="C63" s="21" t="n">
        <x:f>'Controls'!$B$8+B63</x:f>
        <x:v>46392</x:v>
      </x:c>
      <x:c r="D63" s="1" t="str">
        <x:v>Tue</x:v>
      </x:c>
    </x:row>
    <x:row r="64" ht="23" customHeight="1">
      <x:c r="A64" s="6" t="n">
        <x:v>57</x:v>
      </x:c>
      <x:c r="B64" s="6" t="n">
        <x:v>65</x:v>
      </x:c>
      <x:c r="C64" s="20" t="n">
        <x:f>'Controls'!$B$8+B64</x:f>
        <x:v>46393</x:v>
      </x:c>
      <x:c r="D64" s="6" t="str">
        <x:v>Wed</x:v>
      </x:c>
    </x:row>
    <x:row r="65" ht="23" customHeight="1">
      <x:c r="A65" s="1" t="n">
        <x:v>58</x:v>
      </x:c>
      <x:c r="B65" s="1" t="n">
        <x:v>66</x:v>
      </x:c>
      <x:c r="C65" s="21" t="n">
        <x:f>'Controls'!$B$8+B65</x:f>
        <x:v>46394</x:v>
      </x:c>
      <x:c r="D65" s="1" t="str">
        <x:v>Thu</x:v>
      </x:c>
    </x:row>
    <x:row r="66" ht="23" customHeight="1">
      <x:c r="A66" s="6" t="n">
        <x:v>59</x:v>
      </x:c>
      <x:c r="B66" s="6" t="n">
        <x:v>67</x:v>
      </x:c>
      <x:c r="C66" s="20" t="n">
        <x:f>'Controls'!$B$8+B66</x:f>
        <x:v>46395</x:v>
      </x:c>
      <x:c r="D66" s="6" t="str">
        <x:v>Fri</x:v>
      </x:c>
    </x:row>
    <x:row r="67" ht="23" customHeight="1">
      <x:c r="A67" s="1" t="n">
        <x:v>60</x:v>
      </x:c>
      <x:c r="B67" s="1" t="n">
        <x:v>68</x:v>
      </x:c>
      <x:c r="C67" s="21" t="n">
        <x:f>'Controls'!$B$8+B67</x:f>
        <x:v>46396</x:v>
      </x:c>
      <x:c r="D67" s="1" t="str">
        <x:v>Sat</x:v>
      </x:c>
    </x:row>
    <x:row r="68" ht="23" customHeight="1">
      <x:c r="A68" s="6" t="n">
        <x:v>61</x:v>
      </x:c>
      <x:c r="B68" s="6" t="n">
        <x:v>70</x:v>
      </x:c>
      <x:c r="C68" s="20" t="n">
        <x:f>'Controls'!$B$8+B68</x:f>
        <x:v>46398</x:v>
      </x:c>
      <x:c r="D68" s="6" t="str">
        <x:v>Mon</x:v>
      </x:c>
    </x:row>
    <x:row r="69" ht="23" customHeight="1">
      <x:c r="A69" s="1" t="n">
        <x:v>62</x:v>
      </x:c>
      <x:c r="B69" s="1" t="n">
        <x:v>71</x:v>
      </x:c>
      <x:c r="C69" s="21" t="n">
        <x:f>'Controls'!$B$8+B69</x:f>
        <x:v>46399</x:v>
      </x:c>
      <x:c r="D69" s="1" t="str">
        <x:v>Tue</x:v>
      </x:c>
    </x:row>
    <x:row r="70" ht="23" customHeight="1">
      <x:c r="A70" s="6" t="n">
        <x:v>63</x:v>
      </x:c>
      <x:c r="B70" s="6" t="n">
        <x:v>72</x:v>
      </x:c>
      <x:c r="C70" s="20" t="n">
        <x:f>'Controls'!$B$8+B70</x:f>
        <x:v>46400</x:v>
      </x:c>
      <x:c r="D70" s="6" t="str">
        <x:v>Wed</x:v>
      </x:c>
    </x:row>
    <x:row r="71" ht="23" customHeight="1">
      <x:c r="A71" s="1" t="n">
        <x:v>64</x:v>
      </x:c>
      <x:c r="B71" s="1" t="n">
        <x:v>73</x:v>
      </x:c>
      <x:c r="C71" s="21" t="n">
        <x:f>'Controls'!$B$8+B71</x:f>
        <x:v>46401</x:v>
      </x:c>
      <x:c r="D71" s="1" t="str">
        <x:v>Thu</x:v>
      </x:c>
    </x:row>
    <x:row r="72" ht="23" customHeight="1">
      <x:c r="A72" s="6" t="n">
        <x:v>65</x:v>
      </x:c>
      <x:c r="B72" s="6" t="n">
        <x:v>74</x:v>
      </x:c>
      <x:c r="C72" s="20" t="n">
        <x:f>'Controls'!$B$8+B72</x:f>
        <x:v>46402</x:v>
      </x:c>
      <x:c r="D72" s="6" t="str">
        <x:v>Fri</x:v>
      </x:c>
    </x:row>
    <x:row r="73" ht="23" customHeight="1">
      <x:c r="A73" s="1" t="n">
        <x:v>66</x:v>
      </x:c>
      <x:c r="B73" s="1" t="n">
        <x:v>75</x:v>
      </x:c>
      <x:c r="C73" s="21" t="n">
        <x:f>'Controls'!$B$8+B73</x:f>
        <x:v>46403</x:v>
      </x:c>
      <x:c r="D73" s="1" t="str">
        <x:v>Sat</x:v>
      </x:c>
    </x:row>
    <x:row r="74" ht="23" customHeight="1">
      <x:c r="A74" s="6" t="n">
        <x:v>67</x:v>
      </x:c>
      <x:c r="B74" s="6" t="n">
        <x:v>77</x:v>
      </x:c>
      <x:c r="C74" s="20" t="n">
        <x:f>'Controls'!$B$8+B74</x:f>
        <x:v>46405</x:v>
      </x:c>
      <x:c r="D74" s="6" t="str">
        <x:v>Mon</x:v>
      </x:c>
    </x:row>
    <x:row r="75" ht="23" customHeight="1">
      <x:c r="A75" s="1" t="n">
        <x:v>68</x:v>
      </x:c>
      <x:c r="B75" s="1" t="n">
        <x:v>78</x:v>
      </x:c>
      <x:c r="C75" s="21" t="n">
        <x:f>'Controls'!$B$8+B75</x:f>
        <x:v>46406</x:v>
      </x:c>
      <x:c r="D75" s="1" t="str">
        <x:v>Tue</x:v>
      </x:c>
    </x:row>
    <x:row r="76" ht="23" customHeight="1">
      <x:c r="A76" s="6" t="n">
        <x:v>69</x:v>
      </x:c>
      <x:c r="B76" s="6" t="n">
        <x:v>79</x:v>
      </x:c>
      <x:c r="C76" s="20" t="n">
        <x:f>'Controls'!$B$8+B76</x:f>
        <x:v>46407</x:v>
      </x:c>
      <x:c r="D76" s="6" t="str">
        <x:v>Wed</x:v>
      </x:c>
    </x:row>
    <x:row r="77" ht="23" customHeight="1">
      <x:c r="A77" s="1" t="n">
        <x:v>70</x:v>
      </x:c>
      <x:c r="B77" s="1" t="n">
        <x:v>80</x:v>
      </x:c>
      <x:c r="C77" s="21" t="n">
        <x:f>'Controls'!$B$8+B77</x:f>
        <x:v>46408</x:v>
      </x:c>
      <x:c r="D77" s="1" t="str">
        <x:v>Thu</x:v>
      </x:c>
    </x:row>
    <x:row r="78" ht="23" customHeight="1">
      <x:c r="A78" s="6" t="n">
        <x:v>71</x:v>
      </x:c>
      <x:c r="B78" s="6" t="n">
        <x:v>81</x:v>
      </x:c>
      <x:c r="C78" s="20" t="n">
        <x:f>'Controls'!$B$8+B78</x:f>
        <x:v>46409</x:v>
      </x:c>
      <x:c r="D78" s="6" t="str">
        <x:v>Fri</x:v>
      </x:c>
    </x:row>
    <x:row r="79" ht="23" customHeight="1">
      <x:c r="A79" s="1" t="n">
        <x:v>72</x:v>
      </x:c>
      <x:c r="B79" s="1" t="n">
        <x:v>82</x:v>
      </x:c>
      <x:c r="C79" s="21" t="n">
        <x:f>'Controls'!$B$8+B79</x:f>
        <x:v>46410</x:v>
      </x:c>
      <x:c r="D79" s="1" t="str">
        <x:v>Sat</x:v>
      </x:c>
    </x:row>
    <x:row r="80" ht="23" customHeight="1">
      <x:c r="A80" s="6" t="n">
        <x:v>73</x:v>
      </x:c>
      <x:c r="B80" s="6" t="n">
        <x:v>84</x:v>
      </x:c>
      <x:c r="C80" s="20" t="n">
        <x:f>'Controls'!$B$8+B80</x:f>
        <x:v>46412</x:v>
      </x:c>
      <x:c r="D80" s="6" t="str">
        <x:v>Mon</x:v>
      </x:c>
    </x:row>
    <x:row r="81" ht="23" customHeight="1">
      <x:c r="A81" s="1" t="n">
        <x:v>74</x:v>
      </x:c>
      <x:c r="B81" s="1" t="n">
        <x:v>85</x:v>
      </x:c>
      <x:c r="C81" s="21" t="n">
        <x:f>'Controls'!$B$8+B81</x:f>
        <x:v>46413</x:v>
      </x:c>
      <x:c r="D81" s="1" t="str">
        <x:v>Tue</x:v>
      </x:c>
    </x:row>
    <x:row r="82" ht="23" customHeight="1">
      <x:c r="A82" s="6" t="n">
        <x:v>75</x:v>
      </x:c>
      <x:c r="B82" s="6" t="n">
        <x:v>86</x:v>
      </x:c>
      <x:c r="C82" s="20" t="n">
        <x:f>'Controls'!$B$8+B82</x:f>
        <x:v>46414</x:v>
      </x:c>
      <x:c r="D82" s="6" t="str">
        <x:v>Wed</x:v>
      </x:c>
    </x:row>
    <x:row r="83" ht="23" customHeight="1">
      <x:c r="A83" s="1" t="n">
        <x:v>76</x:v>
      </x:c>
      <x:c r="B83" s="1" t="n">
        <x:v>87</x:v>
      </x:c>
      <x:c r="C83" s="21" t="n">
        <x:f>'Controls'!$B$8+B83</x:f>
        <x:v>46415</x:v>
      </x:c>
      <x:c r="D83" s="1" t="str">
        <x:v>Thu</x:v>
      </x:c>
    </x:row>
    <x:row r="84" ht="23" customHeight="1">
      <x:c r="A84" s="6" t="n">
        <x:v>77</x:v>
      </x:c>
      <x:c r="B84" s="6" t="n">
        <x:v>88</x:v>
      </x:c>
      <x:c r="C84" s="20" t="n">
        <x:f>'Controls'!$B$8+B84</x:f>
        <x:v>46416</x:v>
      </x:c>
      <x:c r="D84" s="6" t="str">
        <x:v>Fri</x:v>
      </x:c>
    </x:row>
    <x:row r="85" ht="23" customHeight="1">
      <x:c r="A85" s="1" t="n">
        <x:v>78</x:v>
      </x:c>
      <x:c r="B85" s="1" t="n">
        <x:v>89</x:v>
      </x:c>
      <x:c r="C85" s="21" t="n">
        <x:f>'Controls'!$B$8+B85</x:f>
        <x:v>46417</x:v>
      </x:c>
      <x:c r="D85" s="1" t="str">
        <x:v>Sat</x:v>
      </x:c>
    </x:row>
    <x:row r="86" ht="23" customHeight="1">
      <x:c r="A86" s="6" t="n">
        <x:v>79</x:v>
      </x:c>
      <x:c r="B86" s="6" t="n">
        <x:v>91</x:v>
      </x:c>
      <x:c r="C86" s="20" t="n">
        <x:f>'Controls'!$B$8+B86</x:f>
        <x:v>46419</x:v>
      </x:c>
      <x:c r="D86" s="6" t="str">
        <x:v>Mon</x:v>
      </x:c>
    </x:row>
    <x:row r="87" ht="23" customHeight="1">
      <x:c r="A87" s="1" t="n">
        <x:v>80</x:v>
      </x:c>
      <x:c r="B87" s="1" t="n">
        <x:v>92</x:v>
      </x:c>
      <x:c r="C87" s="21" t="n">
        <x:f>'Controls'!$B$8+B87</x:f>
        <x:v>46420</x:v>
      </x:c>
      <x:c r="D87" s="1" t="str">
        <x:v>Tue</x:v>
      </x:c>
    </x:row>
    <x:row r="88" ht="23" customHeight="1">
      <x:c r="A88" s="6" t="n">
        <x:v>81</x:v>
      </x:c>
      <x:c r="B88" s="6" t="n">
        <x:v>93</x:v>
      </x:c>
      <x:c r="C88" s="20" t="n">
        <x:f>'Controls'!$B$8+B88</x:f>
        <x:v>46421</x:v>
      </x:c>
      <x:c r="D88" s="6" t="str">
        <x:v>Wed</x:v>
      </x:c>
    </x:row>
    <x:row r="89" ht="23" customHeight="1">
      <x:c r="A89" s="1" t="n">
        <x:v>82</x:v>
      </x:c>
      <x:c r="B89" s="1" t="n">
        <x:v>94</x:v>
      </x:c>
      <x:c r="C89" s="21" t="n">
        <x:f>'Controls'!$B$8+B89</x:f>
        <x:v>46422</x:v>
      </x:c>
      <x:c r="D89" s="1" t="str">
        <x:v>Thu</x:v>
      </x:c>
    </x:row>
    <x:row r="90" ht="23" customHeight="1">
      <x:c r="A90" s="6" t="n">
        <x:v>83</x:v>
      </x:c>
      <x:c r="B90" s="6" t="n">
        <x:v>95</x:v>
      </x:c>
      <x:c r="C90" s="20" t="n">
        <x:f>'Controls'!$B$8+B90</x:f>
        <x:v>46423</x:v>
      </x:c>
      <x:c r="D90" s="6" t="str">
        <x:v>Fri</x:v>
      </x:c>
    </x:row>
    <x:row r="91" ht="23" customHeight="1">
      <x:c r="A91" s="1" t="n">
        <x:v>84</x:v>
      </x:c>
      <x:c r="B91" s="1" t="n">
        <x:v>96</x:v>
      </x:c>
      <x:c r="C91" s="21" t="n">
        <x:f>'Controls'!$B$8+B91</x:f>
        <x:v>46424</x:v>
      </x:c>
      <x:c r="D91" s="1" t="str">
        <x:v>Sat</x:v>
      </x:c>
    </x:row>
    <x:row r="92" ht="23" customHeight="1">
      <x:c r="A92" s="6" t="n">
        <x:v>85</x:v>
      </x:c>
      <x:c r="B92" s="6" t="n">
        <x:v>98</x:v>
      </x:c>
      <x:c r="C92" s="20" t="n">
        <x:f>'Controls'!$B$8+B92</x:f>
        <x:v>46426</x:v>
      </x:c>
      <x:c r="D92" s="6" t="str">
        <x:v>Mon</x:v>
      </x:c>
    </x:row>
    <x:row r="93" ht="23" customHeight="1">
      <x:c r="A93" s="1" t="n">
        <x:v>86</x:v>
      </x:c>
      <x:c r="B93" s="1" t="n">
        <x:v>99</x:v>
      </x:c>
      <x:c r="C93" s="21" t="n">
        <x:f>'Controls'!$B$8+B93</x:f>
        <x:v>46427</x:v>
      </x:c>
      <x:c r="D93" s="1" t="str">
        <x:v>Tue</x:v>
      </x:c>
    </x:row>
    <x:row r="94" ht="23" customHeight="1">
      <x:c r="A94" s="6" t="n">
        <x:v>87</x:v>
      </x:c>
      <x:c r="B94" s="6" t="n">
        <x:v>100</x:v>
      </x:c>
      <x:c r="C94" s="20" t="n">
        <x:f>'Controls'!$B$8+B94</x:f>
        <x:v>46428</x:v>
      </x:c>
      <x:c r="D94" s="6" t="str">
        <x:v>Wed</x:v>
      </x:c>
    </x:row>
    <x:row r="95" ht="23" customHeight="1">
      <x:c r="A95" s="1" t="n">
        <x:v>88</x:v>
      </x:c>
      <x:c r="B95" s="1" t="n">
        <x:v>101</x:v>
      </x:c>
      <x:c r="C95" s="21" t="n">
        <x:f>'Controls'!$B$8+B95</x:f>
        <x:v>46429</x:v>
      </x:c>
      <x:c r="D95" s="1" t="str">
        <x:v>Thu</x:v>
      </x:c>
    </x:row>
    <x:row r="96" ht="23" customHeight="1">
      <x:c r="A96" s="6" t="n">
        <x:v>89</x:v>
      </x:c>
      <x:c r="B96" s="6" t="n">
        <x:v>102</x:v>
      </x:c>
      <x:c r="C96" s="20" t="n">
        <x:f>'Controls'!$B$8+B96</x:f>
        <x:v>46430</x:v>
      </x:c>
      <x:c r="D96" s="6" t="str">
        <x:v>Fri</x:v>
      </x:c>
    </x:row>
    <x:row r="97" ht="23" customHeight="1">
      <x:c r="A97" s="1" t="n">
        <x:v>90</x:v>
      </x:c>
      <x:c r="B97" s="1" t="n">
        <x:v>103</x:v>
      </x:c>
      <x:c r="C97" s="21" t="n">
        <x:f>'Controls'!$B$8+B97</x:f>
        <x:v>46431</x:v>
      </x:c>
      <x:c r="D97" s="1" t="str">
        <x:v>Sat</x:v>
      </x:c>
    </x:row>
    <x:row r="98" ht="23" customHeight="1">
      <x:c r="A98" s="6" t="n">
        <x:v>91</x:v>
      </x:c>
      <x:c r="B98" s="6" t="n">
        <x:v>105</x:v>
      </x:c>
      <x:c r="C98" s="20" t="n">
        <x:f>'Controls'!$B$8+B98</x:f>
        <x:v>46433</x:v>
      </x:c>
      <x:c r="D98" s="6" t="str">
        <x:v>Mon</x:v>
      </x:c>
    </x:row>
    <x:row r="99" ht="23" customHeight="1">
      <x:c r="A99" s="1" t="n">
        <x:v>92</x:v>
      </x:c>
      <x:c r="B99" s="1" t="n">
        <x:v>106</x:v>
      </x:c>
      <x:c r="C99" s="21" t="n">
        <x:f>'Controls'!$B$8+B99</x:f>
        <x:v>46434</x:v>
      </x:c>
      <x:c r="D99" s="1" t="str">
        <x:v>Tue</x:v>
      </x:c>
    </x:row>
    <x:row r="100" ht="23" customHeight="1">
      <x:c r="A100" s="6" t="n">
        <x:v>93</x:v>
      </x:c>
      <x:c r="B100" s="6" t="n">
        <x:v>107</x:v>
      </x:c>
      <x:c r="C100" s="20" t="n">
        <x:f>'Controls'!$B$8+B100</x:f>
        <x:v>46435</x:v>
      </x:c>
      <x:c r="D100" s="6" t="str">
        <x:v>Wed</x:v>
      </x:c>
    </x:row>
    <x:row r="101" ht="23" customHeight="1">
      <x:c r="A101" s="1" t="n">
        <x:v>94</x:v>
      </x:c>
      <x:c r="B101" s="1" t="n">
        <x:v>108</x:v>
      </x:c>
      <x:c r="C101" s="21" t="n">
        <x:f>'Controls'!$B$8+B101</x:f>
        <x:v>46436</x:v>
      </x:c>
      <x:c r="D101" s="1" t="str">
        <x:v>Thu</x:v>
      </x:c>
    </x:row>
    <x:row r="102" ht="23" customHeight="1">
      <x:c r="A102" s="6" t="n">
        <x:v>95</x:v>
      </x:c>
      <x:c r="B102" s="6" t="n">
        <x:v>109</x:v>
      </x:c>
      <x:c r="C102" s="20" t="n">
        <x:f>'Controls'!$B$8+B102</x:f>
        <x:v>46437</x:v>
      </x:c>
      <x:c r="D102" s="6" t="str">
        <x:v>Fri</x:v>
      </x:c>
    </x:row>
    <x:row r="103" ht="23" customHeight="1">
      <x:c r="A103" s="1" t="n">
        <x:v>96</x:v>
      </x:c>
      <x:c r="B103" s="1" t="n">
        <x:v>110</x:v>
      </x:c>
      <x:c r="C103" s="21" t="n">
        <x:f>'Controls'!$B$8+B103</x:f>
        <x:v>46438</x:v>
      </x:c>
      <x:c r="D103" s="1" t="str">
        <x:v>Sat</x:v>
      </x:c>
    </x:row>
    <x:row r="104" ht="23" customHeight="1">
      <x:c r="A104" s="6" t="n">
        <x:v>97</x:v>
      </x:c>
      <x:c r="B104" s="6" t="n">
        <x:v>112</x:v>
      </x:c>
      <x:c r="C104" s="20" t="n">
        <x:f>'Controls'!$B$8+B104</x:f>
        <x:v>46440</x:v>
      </x:c>
      <x:c r="D104" s="6" t="str">
        <x:v>Mon</x:v>
      </x:c>
    </x:row>
    <x:row r="105" ht="23" customHeight="1">
      <x:c r="A105" s="1" t="n">
        <x:v>98</x:v>
      </x:c>
      <x:c r="B105" s="1" t="n">
        <x:v>113</x:v>
      </x:c>
      <x:c r="C105" s="21" t="n">
        <x:f>'Controls'!$B$8+B105</x:f>
        <x:v>46441</x:v>
      </x:c>
      <x:c r="D105" s="1" t="str">
        <x:v>Tue</x:v>
      </x:c>
    </x:row>
    <x:row r="106" ht="23" customHeight="1">
      <x:c r="A106" s="6" t="n">
        <x:v>99</x:v>
      </x:c>
      <x:c r="B106" s="6" t="n">
        <x:v>114</x:v>
      </x:c>
      <x:c r="C106" s="20" t="n">
        <x:f>'Controls'!$B$8+B106</x:f>
        <x:v>46442</x:v>
      </x:c>
      <x:c r="D106" s="6" t="str">
        <x:v>Wed</x:v>
      </x:c>
    </x:row>
    <x:row r="107" ht="23" customHeight="1">
      <x:c r="A107" s="1" t="n">
        <x:v>100</x:v>
      </x:c>
      <x:c r="B107" s="1" t="n">
        <x:v>115</x:v>
      </x:c>
      <x:c r="C107" s="21" t="n">
        <x:f>'Controls'!$B$8+B107</x:f>
        <x:v>46443</x:v>
      </x:c>
      <x:c r="D107" s="1" t="str">
        <x:v>Thu</x:v>
      </x:c>
    </x:row>
    <x:row r="108" ht="23" customHeight="1">
      <x:c r="A108" s="6" t="n">
        <x:v>101</x:v>
      </x:c>
      <x:c r="B108" s="6" t="n">
        <x:v>116</x:v>
      </x:c>
      <x:c r="C108" s="20" t="n">
        <x:f>'Controls'!$B$8+B108</x:f>
        <x:v>46444</x:v>
      </x:c>
      <x:c r="D108" s="6" t="str">
        <x:v>Fri</x:v>
      </x:c>
    </x:row>
    <x:row r="109" ht="23" customHeight="1">
      <x:c r="A109" s="1" t="n">
        <x:v>102</x:v>
      </x:c>
      <x:c r="B109" s="1" t="n">
        <x:v>117</x:v>
      </x:c>
      <x:c r="C109" s="21" t="n">
        <x:f>'Controls'!$B$8+B109</x:f>
        <x:v>46445</x:v>
      </x:c>
      <x:c r="D109" s="1" t="str">
        <x:v>Sat</x:v>
      </x:c>
    </x:row>
    <x:row r="110" ht="23" customHeight="1">
      <x:c r="A110" s="6" t="n">
        <x:v>103</x:v>
      </x:c>
      <x:c r="B110" s="6" t="n">
        <x:v>119</x:v>
      </x:c>
      <x:c r="C110" s="20" t="n">
        <x:f>'Controls'!$B$8+B110</x:f>
        <x:v>46447</x:v>
      </x:c>
      <x:c r="D110" s="6" t="str">
        <x:v>Mon</x:v>
      </x:c>
    </x:row>
    <x:row r="111" ht="23" customHeight="1">
      <x:c r="A111" s="1" t="n">
        <x:v>104</x:v>
      </x:c>
      <x:c r="B111" s="1" t="n">
        <x:v>120</x:v>
      </x:c>
      <x:c r="C111" s="21" t="n">
        <x:f>'Controls'!$B$8+B111</x:f>
        <x:v>46448</x:v>
      </x:c>
      <x:c r="D111" s="1" t="str">
        <x:v>Tue</x:v>
      </x:c>
    </x:row>
    <x:row r="112" ht="23" customHeight="1">
      <x:c r="A112" s="6" t="n">
        <x:v>105</x:v>
      </x:c>
      <x:c r="B112" s="6" t="n">
        <x:v>121</x:v>
      </x:c>
      <x:c r="C112" s="20" t="n">
        <x:f>'Controls'!$B$8+B112</x:f>
        <x:v>46449</x:v>
      </x:c>
      <x:c r="D112" s="6" t="str">
        <x:v>Wed</x:v>
      </x:c>
    </x:row>
    <x:row r="113" ht="23" customHeight="1">
      <x:c r="A113" s="1" t="n">
        <x:v>106</x:v>
      </x:c>
      <x:c r="B113" s="1" t="n">
        <x:v>122</x:v>
      </x:c>
      <x:c r="C113" s="21" t="n">
        <x:f>'Controls'!$B$8+B113</x:f>
        <x:v>46450</x:v>
      </x:c>
      <x:c r="D113" s="1" t="str">
        <x:v>Thu</x:v>
      </x:c>
    </x:row>
    <x:row r="114" ht="23" customHeight="1">
      <x:c r="A114" s="6" t="n">
        <x:v>107</x:v>
      </x:c>
      <x:c r="B114" s="6" t="n">
        <x:v>123</x:v>
      </x:c>
      <x:c r="C114" s="20" t="n">
        <x:f>'Controls'!$B$8+B114</x:f>
        <x:v>46451</x:v>
      </x:c>
      <x:c r="D114" s="6" t="str">
        <x:v>Fri</x:v>
      </x:c>
    </x:row>
    <x:row r="115" ht="23" customHeight="1">
      <x:c r="A115" s="1" t="n">
        <x:v>108</x:v>
      </x:c>
      <x:c r="B115" s="1" t="n">
        <x:v>124</x:v>
      </x:c>
      <x:c r="C115" s="21" t="n">
        <x:f>'Controls'!$B$8+B115</x:f>
        <x:v>46452</x:v>
      </x:c>
      <x:c r="D115" s="1" t="str">
        <x:v>Sat</x:v>
      </x:c>
    </x:row>
    <x:row r="116" ht="23" customHeight="1">
      <x:c r="A116" s="6" t="n">
        <x:v>109</x:v>
      </x:c>
      <x:c r="B116" s="6" t="n">
        <x:v>126</x:v>
      </x:c>
      <x:c r="C116" s="20" t="n">
        <x:f>'Controls'!$B$8+B116</x:f>
        <x:v>46454</x:v>
      </x:c>
      <x:c r="D116" s="6" t="str">
        <x:v>Mon</x:v>
      </x:c>
    </x:row>
    <x:row r="117" ht="23" customHeight="1">
      <x:c r="A117" s="1" t="n">
        <x:v>110</x:v>
      </x:c>
      <x:c r="B117" s="1" t="n">
        <x:v>127</x:v>
      </x:c>
      <x:c r="C117" s="21" t="n">
        <x:f>'Controls'!$B$8+B117</x:f>
        <x:v>46455</x:v>
      </x:c>
      <x:c r="D117" s="1" t="str">
        <x:v>Tue</x:v>
      </x:c>
    </x:row>
    <x:row r="118" ht="23" customHeight="1">
      <x:c r="A118" s="6" t="n">
        <x:v>111</x:v>
      </x:c>
      <x:c r="B118" s="6" t="n">
        <x:v>128</x:v>
      </x:c>
      <x:c r="C118" s="20" t="n">
        <x:f>'Controls'!$B$8+B118</x:f>
        <x:v>46456</x:v>
      </x:c>
      <x:c r="D118" s="6" t="str">
        <x:v>Wed</x:v>
      </x:c>
    </x:row>
    <x:row r="119" ht="23" customHeight="1">
      <x:c r="A119" s="1" t="n">
        <x:v>112</x:v>
      </x:c>
      <x:c r="B119" s="1" t="n">
        <x:v>129</x:v>
      </x:c>
      <x:c r="C119" s="21" t="n">
        <x:f>'Controls'!$B$8+B119</x:f>
        <x:v>46457</x:v>
      </x:c>
      <x:c r="D119" s="1" t="str">
        <x:v>Thu</x:v>
      </x:c>
    </x:row>
    <x:row r="120" ht="23" customHeight="1">
      <x:c r="A120" s="6" t="n">
        <x:v>113</x:v>
      </x:c>
      <x:c r="B120" s="6" t="n">
        <x:v>130</x:v>
      </x:c>
      <x:c r="C120" s="20" t="n">
        <x:f>'Controls'!$B$8+B120</x:f>
        <x:v>46458</x:v>
      </x:c>
      <x:c r="D120" s="6" t="str">
        <x:v>Fri</x:v>
      </x:c>
    </x:row>
    <x:row r="121" ht="23" customHeight="1">
      <x:c r="A121" s="1" t="n">
        <x:v>114</x:v>
      </x:c>
      <x:c r="B121" s="1" t="n">
        <x:v>131</x:v>
      </x:c>
      <x:c r="C121" s="21" t="n">
        <x:f>'Controls'!$B$8+B121</x:f>
        <x:v>46459</x:v>
      </x:c>
      <x:c r="D121" s="1" t="str">
        <x:v>Sat</x:v>
      </x:c>
    </x:row>
    <x:row r="122" ht="23" customHeight="1">
      <x:c r="A122" s="6" t="n">
        <x:v>115</x:v>
      </x:c>
      <x:c r="B122" s="6" t="n">
        <x:v>133</x:v>
      </x:c>
      <x:c r="C122" s="20" t="n">
        <x:f>'Controls'!$B$8+B122</x:f>
        <x:v>46461</x:v>
      </x:c>
      <x:c r="D122" s="6" t="str">
        <x:v>Mon</x:v>
      </x:c>
    </x:row>
    <x:row r="123" ht="23" customHeight="1">
      <x:c r="A123" s="1" t="n">
        <x:v>116</x:v>
      </x:c>
      <x:c r="B123" s="1" t="n">
        <x:v>134</x:v>
      </x:c>
      <x:c r="C123" s="21" t="n">
        <x:f>'Controls'!$B$8+B123</x:f>
        <x:v>46462</x:v>
      </x:c>
      <x:c r="D123" s="1" t="str">
        <x:v>Tue</x:v>
      </x:c>
    </x:row>
    <x:row r="124" ht="23" customHeight="1">
      <x:c r="A124" s="6" t="n">
        <x:v>117</x:v>
      </x:c>
      <x:c r="B124" s="6" t="n">
        <x:v>135</x:v>
      </x:c>
      <x:c r="C124" s="20" t="n">
        <x:f>'Controls'!$B$8+B124</x:f>
        <x:v>46463</x:v>
      </x:c>
      <x:c r="D124" s="6" t="str">
        <x:v>Wed</x:v>
      </x:c>
    </x:row>
    <x:row r="125" ht="23" customHeight="1">
      <x:c r="A125" s="1" t="n">
        <x:v>118</x:v>
      </x:c>
      <x:c r="B125" s="1" t="n">
        <x:v>136</x:v>
      </x:c>
      <x:c r="C125" s="21" t="n">
        <x:f>'Controls'!$B$8+B125</x:f>
        <x:v>46464</x:v>
      </x:c>
      <x:c r="D125" s="1" t="str">
        <x:v>Thu</x:v>
      </x:c>
    </x:row>
    <x:row r="126" ht="23" customHeight="1">
      <x:c r="A126" s="6" t="n">
        <x:v>119</x:v>
      </x:c>
      <x:c r="B126" s="6" t="n">
        <x:v>137</x:v>
      </x:c>
      <x:c r="C126" s="20" t="n">
        <x:f>'Controls'!$B$8+B126</x:f>
        <x:v>46465</x:v>
      </x:c>
      <x:c r="D126" s="6" t="str">
        <x:v>Fri</x:v>
      </x:c>
    </x:row>
    <x:row r="127" ht="23" customHeight="1">
      <x:c r="A127" s="1" t="n">
        <x:v>120</x:v>
      </x:c>
      <x:c r="B127" s="1" t="n">
        <x:v>138</x:v>
      </x:c>
      <x:c r="C127" s="21" t="n">
        <x:f>'Controls'!$B$8+B127</x:f>
        <x:v>46466</x:v>
      </x:c>
      <x:c r="D127" s="1" t="str">
        <x:v>Sat</x:v>
      </x:c>
    </x:row>
    <x:row r="128" ht="23" customHeight="1">
      <x:c r="A128" s="6" t="n">
        <x:v>121</x:v>
      </x:c>
      <x:c r="B128" s="6" t="n">
        <x:v>140</x:v>
      </x:c>
      <x:c r="C128" s="20" t="n">
        <x:f>'Controls'!$B$8+B128</x:f>
        <x:v>46468</x:v>
      </x:c>
      <x:c r="D128" s="6" t="str">
        <x:v>Mon</x:v>
      </x:c>
    </x:row>
    <x:row r="129" ht="23" customHeight="1">
      <x:c r="A129" s="1" t="n">
        <x:v>122</x:v>
      </x:c>
      <x:c r="B129" s="1" t="n">
        <x:v>141</x:v>
      </x:c>
      <x:c r="C129" s="21" t="n">
        <x:f>'Controls'!$B$8+B129</x:f>
        <x:v>46469</x:v>
      </x:c>
      <x:c r="D129" s="1" t="str">
        <x:v>Tue</x:v>
      </x:c>
    </x:row>
    <x:row r="130" ht="23" customHeight="1">
      <x:c r="A130" s="6" t="n">
        <x:v>123</x:v>
      </x:c>
      <x:c r="B130" s="6" t="n">
        <x:v>142</x:v>
      </x:c>
      <x:c r="C130" s="20" t="n">
        <x:f>'Controls'!$B$8+B130</x:f>
        <x:v>46470</x:v>
      </x:c>
      <x:c r="D130" s="6" t="str">
        <x:v>Wed</x:v>
      </x:c>
    </x:row>
    <x:row r="131" ht="23" customHeight="1">
      <x:c r="A131" s="1" t="n">
        <x:v>124</x:v>
      </x:c>
      <x:c r="B131" s="1" t="n">
        <x:v>143</x:v>
      </x:c>
      <x:c r="C131" s="21" t="n">
        <x:f>'Controls'!$B$8+B131</x:f>
        <x:v>46471</x:v>
      </x:c>
      <x:c r="D131" s="1" t="str">
        <x:v>Thu</x:v>
      </x:c>
    </x:row>
    <x:row r="132" ht="23" customHeight="1">
      <x:c r="A132" s="6" t="n">
        <x:v>125</x:v>
      </x:c>
      <x:c r="B132" s="6" t="n">
        <x:v>144</x:v>
      </x:c>
      <x:c r="C132" s="20" t="n">
        <x:f>'Controls'!$B$8+B132</x:f>
        <x:v>46472</x:v>
      </x:c>
      <x:c r="D132" s="6" t="str">
        <x:v>Fri</x:v>
      </x:c>
    </x:row>
    <x:row r="133" ht="23" customHeight="1">
      <x:c r="A133" s="1" t="n">
        <x:v>126</x:v>
      </x:c>
      <x:c r="B133" s="1" t="n">
        <x:v>145</x:v>
      </x:c>
      <x:c r="C133" s="21" t="n">
        <x:f>'Controls'!$B$8+B133</x:f>
        <x:v>46473</x:v>
      </x:c>
      <x:c r="D133" s="1" t="str">
        <x:v>Sat</x:v>
      </x:c>
    </x:row>
    <x:row r="134" ht="23" customHeight="1">
      <x:c r="A134" s="6" t="n">
        <x:v>127</x:v>
      </x:c>
      <x:c r="B134" s="6" t="n">
        <x:v>147</x:v>
      </x:c>
      <x:c r="C134" s="20" t="n">
        <x:f>'Controls'!$B$8+B134</x:f>
        <x:v>46475</x:v>
      </x:c>
      <x:c r="D134" s="6" t="str">
        <x:v>Mon</x:v>
      </x:c>
    </x:row>
    <x:row r="135" ht="23" customHeight="1">
      <x:c r="A135" s="1" t="n">
        <x:v>128</x:v>
      </x:c>
      <x:c r="B135" s="1" t="n">
        <x:v>148</x:v>
      </x:c>
      <x:c r="C135" s="21" t="n">
        <x:f>'Controls'!$B$8+B135</x:f>
        <x:v>46476</x:v>
      </x:c>
      <x:c r="D135" s="1" t="str">
        <x:v>Tue</x:v>
      </x:c>
    </x:row>
    <x:row r="136" ht="23" customHeight="1">
      <x:c r="A136" s="6" t="n">
        <x:v>129</x:v>
      </x:c>
      <x:c r="B136" s="6" t="n">
        <x:v>149</x:v>
      </x:c>
      <x:c r="C136" s="20" t="n">
        <x:f>'Controls'!$B$8+B136</x:f>
        <x:v>46477</x:v>
      </x:c>
      <x:c r="D136" s="6" t="str">
        <x:v>Wed</x:v>
      </x:c>
    </x:row>
    <x:row r="137" ht="23" customHeight="1">
      <x:c r="A137" s="1" t="n">
        <x:v>130</x:v>
      </x:c>
      <x:c r="B137" s="1" t="n">
        <x:v>150</x:v>
      </x:c>
      <x:c r="C137" s="21" t="n">
        <x:f>'Controls'!$B$8+B137</x:f>
        <x:v>46478</x:v>
      </x:c>
      <x:c r="D137" s="1" t="str">
        <x:v>Thu</x:v>
      </x:c>
    </x:row>
    <x:row r="138" ht="23" customHeight="1">
      <x:c r="A138" s="6" t="n">
        <x:v>131</x:v>
      </x:c>
      <x:c r="B138" s="6" t="n">
        <x:v>151</x:v>
      </x:c>
      <x:c r="C138" s="20" t="n">
        <x:f>'Controls'!$B$8+B138</x:f>
        <x:v>46479</x:v>
      </x:c>
      <x:c r="D138" s="6" t="str">
        <x:v>Fri</x:v>
      </x:c>
    </x:row>
    <x:row r="139" ht="23" customHeight="1">
      <x:c r="A139" s="1" t="n">
        <x:v>132</x:v>
      </x:c>
      <x:c r="B139" s="1" t="n">
        <x:v>152</x:v>
      </x:c>
      <x:c r="C139" s="21" t="n">
        <x:f>'Controls'!$B$8+B139</x:f>
        <x:v>46480</x:v>
      </x:c>
      <x:c r="D139" s="1" t="str">
        <x:v>Sat</x:v>
      </x:c>
    </x:row>
    <x:row r="140" ht="23" customHeight="1">
      <x:c r="A140" s="6" t="n">
        <x:v>133</x:v>
      </x:c>
      <x:c r="B140" s="6" t="n">
        <x:v>154</x:v>
      </x:c>
      <x:c r="C140" s="20" t="n">
        <x:f>'Controls'!$B$8+B140</x:f>
        <x:v>46482</x:v>
      </x:c>
      <x:c r="D140" s="6" t="str">
        <x:v>Mon</x:v>
      </x:c>
    </x:row>
    <x:row r="141" ht="23" customHeight="1">
      <x:c r="A141" s="1" t="n">
        <x:v>134</x:v>
      </x:c>
      <x:c r="B141" s="1" t="n">
        <x:v>155</x:v>
      </x:c>
      <x:c r="C141" s="21" t="n">
        <x:f>'Controls'!$B$8+B141</x:f>
        <x:v>46483</x:v>
      </x:c>
      <x:c r="D141" s="1" t="str">
        <x:v>Tue</x:v>
      </x:c>
    </x:row>
    <x:row r="142" ht="23" customHeight="1">
      <x:c r="A142" s="6" t="n">
        <x:v>135</x:v>
      </x:c>
      <x:c r="B142" s="6" t="n">
        <x:v>156</x:v>
      </x:c>
      <x:c r="C142" s="20" t="n">
        <x:f>'Controls'!$B$8+B142</x:f>
        <x:v>46484</x:v>
      </x:c>
      <x:c r="D142" s="6" t="str">
        <x:v>Wed</x:v>
      </x:c>
    </x:row>
    <x:row r="143" ht="23" customHeight="1">
      <x:c r="A143" s="1" t="n">
        <x:v>136</x:v>
      </x:c>
      <x:c r="B143" s="1" t="n">
        <x:v>157</x:v>
      </x:c>
      <x:c r="C143" s="21" t="n">
        <x:f>'Controls'!$B$8+B143</x:f>
        <x:v>46485</x:v>
      </x:c>
      <x:c r="D143" s="1" t="str">
        <x:v>Thu</x:v>
      </x:c>
    </x:row>
    <x:row r="144" ht="23" customHeight="1">
      <x:c r="A144" s="6" t="n">
        <x:v>137</x:v>
      </x:c>
      <x:c r="B144" s="6" t="n">
        <x:v>158</x:v>
      </x:c>
      <x:c r="C144" s="20" t="n">
        <x:f>'Controls'!$B$8+B144</x:f>
        <x:v>46486</x:v>
      </x:c>
      <x:c r="D144" s="6" t="str">
        <x:v>Fri</x:v>
      </x:c>
    </x:row>
    <x:row r="145" ht="23" customHeight="1">
      <x:c r="A145" s="1" t="n">
        <x:v>138</x:v>
      </x:c>
      <x:c r="B145" s="1" t="n">
        <x:v>159</x:v>
      </x:c>
      <x:c r="C145" s="21" t="n">
        <x:f>'Controls'!$B$8+B145</x:f>
        <x:v>46487</x:v>
      </x:c>
      <x:c r="D145" s="1" t="str">
        <x:v>Sat</x:v>
      </x:c>
    </x:row>
    <x:row r="146" ht="23" customHeight="1">
      <x:c r="A146" s="6" t="n">
        <x:v>139</x:v>
      </x:c>
      <x:c r="B146" s="6" t="n">
        <x:v>161</x:v>
      </x:c>
      <x:c r="C146" s="20" t="n">
        <x:f>'Controls'!$B$8+B146</x:f>
        <x:v>46489</x:v>
      </x:c>
      <x:c r="D146" s="6" t="str">
        <x:v>Mon</x:v>
      </x:c>
    </x:row>
    <x:row r="147" ht="23" customHeight="1">
      <x:c r="A147" s="1" t="n">
        <x:v>140</x:v>
      </x:c>
      <x:c r="B147" s="1" t="n">
        <x:v>162</x:v>
      </x:c>
      <x:c r="C147" s="21" t="n">
        <x:f>'Controls'!$B$8+B147</x:f>
        <x:v>46490</x:v>
      </x:c>
      <x:c r="D147" s="1" t="str">
        <x:v>Tue</x:v>
      </x:c>
    </x:row>
    <x:row r="148" ht="23" customHeight="1">
      <x:c r="A148" s="6" t="n">
        <x:v>141</x:v>
      </x:c>
      <x:c r="B148" s="6" t="n">
        <x:v>163</x:v>
      </x:c>
      <x:c r="C148" s="20" t="n">
        <x:f>'Controls'!$B$8+B148</x:f>
        <x:v>46491</x:v>
      </x:c>
      <x:c r="D148" s="6" t="str">
        <x:v>Wed</x:v>
      </x:c>
    </x:row>
    <x:row r="149" ht="23" customHeight="1">
      <x:c r="A149" s="1" t="n">
        <x:v>142</x:v>
      </x:c>
      <x:c r="B149" s="1" t="n">
        <x:v>164</x:v>
      </x:c>
      <x:c r="C149" s="21" t="n">
        <x:f>'Controls'!$B$8+B149</x:f>
        <x:v>46492</x:v>
      </x:c>
      <x:c r="D149" s="1" t="str">
        <x:v>Thu</x:v>
      </x:c>
    </x:row>
    <x:row r="150" ht="23" customHeight="1">
      <x:c r="A150" s="6" t="n">
        <x:v>143</x:v>
      </x:c>
      <x:c r="B150" s="6" t="n">
        <x:v>165</x:v>
      </x:c>
      <x:c r="C150" s="20" t="n">
        <x:f>'Controls'!$B$8+B150</x:f>
        <x:v>46493</x:v>
      </x:c>
      <x:c r="D150" s="6" t="str">
        <x:v>Fri</x:v>
      </x:c>
    </x:row>
    <x:row r="151" ht="23" customHeight="1">
      <x:c r="A151" s="1" t="n">
        <x:v>144</x:v>
      </x:c>
      <x:c r="B151" s="1" t="n">
        <x:v>166</x:v>
      </x:c>
      <x:c r="C151" s="21" t="n">
        <x:f>'Controls'!$B$8+B151</x:f>
        <x:v>46494</x:v>
      </x:c>
      <x:c r="D151" s="1" t="str">
        <x:v>Sat</x:v>
      </x:c>
    </x:row>
    <x:row r="152" ht="23" customHeight="1">
      <x:c r="A152" s="6" t="n">
        <x:v>145</x:v>
      </x:c>
      <x:c r="B152" s="6" t="n">
        <x:v>168</x:v>
      </x:c>
      <x:c r="C152" s="20" t="n">
        <x:f>'Controls'!$B$8+B152</x:f>
        <x:v>46496</x:v>
      </x:c>
      <x:c r="D152" s="6" t="str">
        <x:v>Mon</x:v>
      </x:c>
    </x:row>
    <x:row r="153" ht="23" customHeight="1">
      <x:c r="A153" s="1" t="n">
        <x:v>146</x:v>
      </x:c>
      <x:c r="B153" s="1" t="n">
        <x:v>169</x:v>
      </x:c>
      <x:c r="C153" s="21" t="n">
        <x:f>'Controls'!$B$8+B153</x:f>
        <x:v>46497</x:v>
      </x:c>
      <x:c r="D153" s="1" t="str">
        <x:v>Tue</x:v>
      </x:c>
    </x:row>
    <x:row r="154" ht="23" customHeight="1">
      <x:c r="A154" s="6" t="n">
        <x:v>147</x:v>
      </x:c>
      <x:c r="B154" s="6" t="n">
        <x:v>170</x:v>
      </x:c>
      <x:c r="C154" s="20" t="n">
        <x:f>'Controls'!$B$8+B154</x:f>
        <x:v>46498</x:v>
      </x:c>
      <x:c r="D154" s="6" t="str">
        <x:v>Wed</x:v>
      </x:c>
    </x:row>
    <x:row r="155" ht="23" customHeight="1">
      <x:c r="A155" s="1" t="n">
        <x:v>148</x:v>
      </x:c>
      <x:c r="B155" s="1" t="n">
        <x:v>171</x:v>
      </x:c>
      <x:c r="C155" s="21" t="n">
        <x:f>'Controls'!$B$8+B155</x:f>
        <x:v>46499</x:v>
      </x:c>
      <x:c r="D155" s="1" t="str">
        <x:v>Thu</x:v>
      </x:c>
    </x:row>
    <x:row r="156" ht="23" customHeight="1">
      <x:c r="A156" s="6" t="n">
        <x:v>149</x:v>
      </x:c>
      <x:c r="B156" s="6" t="n">
        <x:v>172</x:v>
      </x:c>
      <x:c r="C156" s="20" t="n">
        <x:f>'Controls'!$B$8+B156</x:f>
        <x:v>46500</x:v>
      </x:c>
      <x:c r="D156" s="6" t="str">
        <x:v>Fri</x:v>
      </x:c>
    </x:row>
    <x:row r="157" ht="23" customHeight="1">
      <x:c r="A157" s="1" t="n">
        <x:v>150</x:v>
      </x:c>
      <x:c r="B157" s="1" t="n">
        <x:v>173</x:v>
      </x:c>
      <x:c r="C157" s="21" t="n">
        <x:f>'Controls'!$B$8+B157</x:f>
        <x:v>46501</x:v>
      </x:c>
      <x:c r="D157" s="1" t="str">
        <x:v>Sat</x:v>
      </x:c>
    </x:row>
    <x:row r="158" ht="23" customHeight="1">
      <x:c r="A158" s="6" t="n">
        <x:v>151</x:v>
      </x:c>
      <x:c r="B158" s="6" t="n">
        <x:v>175</x:v>
      </x:c>
      <x:c r="C158" s="20" t="n">
        <x:f>'Controls'!$B$8+B158</x:f>
        <x:v>46503</x:v>
      </x:c>
      <x:c r="D158" s="6" t="str">
        <x:v>Mon</x:v>
      </x:c>
    </x:row>
    <x:row r="159" ht="23" customHeight="1">
      <x:c r="A159" s="1" t="n">
        <x:v>152</x:v>
      </x:c>
      <x:c r="B159" s="1" t="n">
        <x:v>176</x:v>
      </x:c>
      <x:c r="C159" s="21" t="n">
        <x:f>'Controls'!$B$8+B159</x:f>
        <x:v>46504</x:v>
      </x:c>
      <x:c r="D159" s="1" t="str">
        <x:v>Tue</x:v>
      </x:c>
    </x:row>
    <x:row r="160" ht="23" customHeight="1">
      <x:c r="A160" s="6" t="n">
        <x:v>153</x:v>
      </x:c>
      <x:c r="B160" s="6" t="n">
        <x:v>177</x:v>
      </x:c>
      <x:c r="C160" s="20" t="n">
        <x:f>'Controls'!$B$8+B160</x:f>
        <x:v>46505</x:v>
      </x:c>
      <x:c r="D160" s="6" t="str">
        <x:v>Wed</x:v>
      </x:c>
    </x:row>
    <x:row r="161" ht="23" customHeight="1">
      <x:c r="A161" s="1" t="n">
        <x:v>154</x:v>
      </x:c>
      <x:c r="B161" s="1" t="n">
        <x:v>178</x:v>
      </x:c>
      <x:c r="C161" s="21" t="n">
        <x:f>'Controls'!$B$8+B161</x:f>
        <x:v>46506</x:v>
      </x:c>
      <x:c r="D161" s="1" t="str">
        <x:v>Thu</x:v>
      </x:c>
    </x:row>
    <x:row r="162" ht="23" customHeight="1">
      <x:c r="A162" s="6" t="n">
        <x:v>155</x:v>
      </x:c>
      <x:c r="B162" s="6" t="n">
        <x:v>179</x:v>
      </x:c>
      <x:c r="C162" s="20" t="n">
        <x:f>'Controls'!$B$8+B162</x:f>
        <x:v>46507</x:v>
      </x:c>
      <x:c r="D162" s="6" t="str">
        <x:v>Fri</x:v>
      </x:c>
    </x:row>
    <x:row r="163" ht="23" customHeight="1">
      <x:c r="A163" s="1" t="n">
        <x:v>156</x:v>
      </x:c>
      <x:c r="B163" s="1" t="n">
        <x:v>180</x:v>
      </x:c>
      <x:c r="C163" s="21" t="n">
        <x:f>'Controls'!$B$8+B163</x:f>
        <x:v>46508</x:v>
      </x:c>
      <x:c r="D163" s="1" t="str">
        <x:v>Sat</x:v>
      </x:c>
    </x:row>
    <x:row r="164" ht="23" customHeight="1">
      <x:c r="A164" s="6" t="n">
        <x:v>157</x:v>
      </x:c>
      <x:c r="B164" s="6" t="n">
        <x:v>182</x:v>
      </x:c>
      <x:c r="C164" s="20" t="n">
        <x:f>'Controls'!$B$8+B164</x:f>
        <x:v>46510</x:v>
      </x:c>
      <x:c r="D164" s="6" t="str">
        <x:v>Mon</x:v>
      </x:c>
    </x:row>
    <x:row r="165" ht="23" customHeight="1">
      <x:c r="A165" s="1" t="n">
        <x:v>158</x:v>
      </x:c>
      <x:c r="B165" s="1" t="n">
        <x:v>183</x:v>
      </x:c>
      <x:c r="C165" s="21" t="n">
        <x:f>'Controls'!$B$8+B165</x:f>
        <x:v>46511</x:v>
      </x:c>
      <x:c r="D165" s="1" t="str">
        <x:v>Tue</x:v>
      </x:c>
    </x:row>
    <x:row r="166" ht="23" customHeight="1">
      <x:c r="A166" s="6" t="n">
        <x:v>159</x:v>
      </x:c>
      <x:c r="B166" s="6" t="n">
        <x:v>184</x:v>
      </x:c>
      <x:c r="C166" s="20" t="n">
        <x:f>'Controls'!$B$8+B166</x:f>
        <x:v>46512</x:v>
      </x:c>
      <x:c r="D166" s="6" t="str">
        <x:v>Wed</x:v>
      </x:c>
    </x:row>
    <x:row r="167" ht="23" customHeight="1">
      <x:c r="A167" s="1" t="n">
        <x:v>160</x:v>
      </x:c>
      <x:c r="B167" s="1" t="n">
        <x:v>185</x:v>
      </x:c>
      <x:c r="C167" s="21" t="n">
        <x:f>'Controls'!$B$8+B167</x:f>
        <x:v>46513</x:v>
      </x:c>
      <x:c r="D167" s="1" t="str">
        <x:v>Thu</x:v>
      </x:c>
    </x:row>
    <x:row r="168" ht="23" customHeight="1">
      <x:c r="A168" s="6" t="n">
        <x:v>161</x:v>
      </x:c>
      <x:c r="B168" s="6" t="n">
        <x:v>186</x:v>
      </x:c>
      <x:c r="C168" s="20" t="n">
        <x:f>'Controls'!$B$8+B168</x:f>
        <x:v>46514</x:v>
      </x:c>
      <x:c r="D168" s="6" t="str">
        <x:v>Fri</x:v>
      </x:c>
    </x:row>
    <x:row r="169" ht="23" customHeight="1">
      <x:c r="A169" s="1" t="n">
        <x:v>162</x:v>
      </x:c>
      <x:c r="B169" s="1" t="n">
        <x:v>187</x:v>
      </x:c>
      <x:c r="C169" s="21" t="n">
        <x:f>'Controls'!$B$8+B169</x:f>
        <x:v>46515</x:v>
      </x:c>
      <x:c r="D169" s="1" t="str">
        <x:v>Sat</x:v>
      </x:c>
    </x:row>
    <x:row r="170" ht="23" customHeight="1">
      <x:c r="A170" s="6" t="n">
        <x:v>163</x:v>
      </x:c>
      <x:c r="B170" s="6" t="n">
        <x:v>189</x:v>
      </x:c>
      <x:c r="C170" s="20" t="n">
        <x:f>'Controls'!$B$8+B170</x:f>
        <x:v>46517</x:v>
      </x:c>
      <x:c r="D170" s="6" t="str">
        <x:v>Mon</x:v>
      </x:c>
    </x:row>
    <x:row r="171" ht="23" customHeight="1">
      <x:c r="A171" s="1" t="n">
        <x:v>164</x:v>
      </x:c>
      <x:c r="B171" s="1" t="n">
        <x:v>190</x:v>
      </x:c>
      <x:c r="C171" s="21" t="n">
        <x:f>'Controls'!$B$8+B171</x:f>
        <x:v>46518</x:v>
      </x:c>
      <x:c r="D171" s="1" t="str">
        <x:v>Tue</x:v>
      </x:c>
    </x:row>
    <x:row r="172" ht="23" customHeight="1">
      <x:c r="A172" s="6" t="n">
        <x:v>165</x:v>
      </x:c>
      <x:c r="B172" s="6" t="n">
        <x:v>191</x:v>
      </x:c>
      <x:c r="C172" s="20" t="n">
        <x:f>'Controls'!$B$8+B172</x:f>
        <x:v>46519</x:v>
      </x:c>
      <x:c r="D172" s="6" t="str">
        <x:v>Wed</x:v>
      </x:c>
    </x:row>
    <x:row r="173" ht="23" customHeight="1">
      <x:c r="A173" s="1" t="n">
        <x:v>166</x:v>
      </x:c>
      <x:c r="B173" s="1" t="n">
        <x:v>192</x:v>
      </x:c>
      <x:c r="C173" s="21" t="n">
        <x:f>'Controls'!$B$8+B173</x:f>
        <x:v>46520</x:v>
      </x:c>
      <x:c r="D173" s="1" t="str">
        <x:v>Thu</x:v>
      </x:c>
    </x:row>
    <x:row r="174" ht="23" customHeight="1">
      <x:c r="A174" s="6" t="n">
        <x:v>167</x:v>
      </x:c>
      <x:c r="B174" s="6" t="n">
        <x:v>193</x:v>
      </x:c>
      <x:c r="C174" s="20" t="n">
        <x:f>'Controls'!$B$8+B174</x:f>
        <x:v>46521</x:v>
      </x:c>
      <x:c r="D174" s="6" t="str">
        <x:v>Fri</x:v>
      </x:c>
    </x:row>
    <x:row r="175" ht="23" customHeight="1">
      <x:c r="A175" s="1" t="n">
        <x:v>168</x:v>
      </x:c>
      <x:c r="B175" s="1" t="n">
        <x:v>194</x:v>
      </x:c>
      <x:c r="C175" s="21" t="n">
        <x:f>'Controls'!$B$8+B175</x:f>
        <x:v>46522</x:v>
      </x:c>
      <x:c r="D175" s="1" t="str">
        <x:v>Sat</x:v>
      </x:c>
    </x:row>
    <x:row r="176" ht="23" customHeight="1">
      <x:c r="A176" s="6" t="n">
        <x:v>169</x:v>
      </x:c>
      <x:c r="B176" s="6" t="n">
        <x:v>196</x:v>
      </x:c>
      <x:c r="C176" s="20" t="n">
        <x:f>'Controls'!$B$8+B176</x:f>
        <x:v>46524</x:v>
      </x:c>
      <x:c r="D176" s="6" t="str">
        <x:v>Mon</x:v>
      </x:c>
    </x:row>
    <x:row r="177" ht="23" customHeight="1">
      <x:c r="A177" s="1" t="n">
        <x:v>170</x:v>
      </x:c>
      <x:c r="B177" s="1" t="n">
        <x:v>197</x:v>
      </x:c>
      <x:c r="C177" s="21" t="n">
        <x:f>'Controls'!$B$8+B177</x:f>
        <x:v>46525</x:v>
      </x:c>
      <x:c r="D177" s="1" t="str">
        <x:v>Tue</x:v>
      </x:c>
    </x:row>
    <x:row r="178" ht="23" customHeight="1">
      <x:c r="A178" s="6" t="n">
        <x:v>171</x:v>
      </x:c>
      <x:c r="B178" s="6" t="n">
        <x:v>198</x:v>
      </x:c>
      <x:c r="C178" s="20" t="n">
        <x:f>'Controls'!$B$8+B178</x:f>
        <x:v>46526</x:v>
      </x:c>
      <x:c r="D178" s="6" t="str">
        <x:v>Wed</x:v>
      </x:c>
    </x:row>
    <x:row r="179" ht="23" customHeight="1">
      <x:c r="A179" s="1" t="n">
        <x:v>172</x:v>
      </x:c>
      <x:c r="B179" s="1" t="n">
        <x:v>199</x:v>
      </x:c>
      <x:c r="C179" s="21" t="n">
        <x:f>'Controls'!$B$8+B179</x:f>
        <x:v>46527</x:v>
      </x:c>
      <x:c r="D179" s="1" t="str">
        <x:v>Thu</x:v>
      </x:c>
    </x:row>
    <x:row r="180" ht="23" customHeight="1">
      <x:c r="A180" s="6" t="n">
        <x:v>173</x:v>
      </x:c>
      <x:c r="B180" s="6" t="n">
        <x:v>200</x:v>
      </x:c>
      <x:c r="C180" s="20" t="n">
        <x:f>'Controls'!$B$8+B180</x:f>
        <x:v>46528</x:v>
      </x:c>
      <x:c r="D180" s="6" t="str">
        <x:v>Fri</x:v>
      </x:c>
    </x:row>
    <x:row r="181" ht="23" customHeight="1">
      <x:c r="A181" s="1" t="n">
        <x:v>174</x:v>
      </x:c>
      <x:c r="B181" s="1" t="n">
        <x:v>201</x:v>
      </x:c>
      <x:c r="C181" s="21" t="n">
        <x:f>'Controls'!$B$8+B181</x:f>
        <x:v>46529</x:v>
      </x:c>
      <x:c r="D181" s="1" t="str">
        <x:v>Sat</x:v>
      </x:c>
    </x:row>
    <x:row r="182" ht="23" customHeight="1">
      <x:c r="A182" s="6" t="n">
        <x:v>175</x:v>
      </x:c>
      <x:c r="B182" s="6" t="n">
        <x:v>203</x:v>
      </x:c>
      <x:c r="C182" s="20" t="n">
        <x:f>'Controls'!$B$8+B182</x:f>
        <x:v>46531</x:v>
      </x:c>
      <x:c r="D182" s="6" t="str">
        <x:v>Mon</x:v>
      </x:c>
    </x:row>
    <x:row r="183" ht="23" customHeight="1">
      <x:c r="A183" s="1" t="n">
        <x:v>176</x:v>
      </x:c>
      <x:c r="B183" s="1" t="n">
        <x:v>204</x:v>
      </x:c>
      <x:c r="C183" s="21" t="n">
        <x:f>'Controls'!$B$8+B183</x:f>
        <x:v>46532</x:v>
      </x:c>
      <x:c r="D183" s="1" t="str">
        <x:v>Tue</x:v>
      </x:c>
    </x:row>
    <x:row r="184" ht="23" customHeight="1">
      <x:c r="A184" s="6" t="n">
        <x:v>177</x:v>
      </x:c>
      <x:c r="B184" s="6" t="n">
        <x:v>205</x:v>
      </x:c>
      <x:c r="C184" s="20" t="n">
        <x:f>'Controls'!$B$8+B184</x:f>
        <x:v>46533</x:v>
      </x:c>
      <x:c r="D184" s="6" t="str">
        <x:v>Wed</x:v>
      </x:c>
    </x:row>
    <x:row r="185" ht="23" customHeight="1">
      <x:c r="A185" s="1" t="n">
        <x:v>178</x:v>
      </x:c>
      <x:c r="B185" s="1" t="n">
        <x:v>206</x:v>
      </x:c>
      <x:c r="C185" s="21" t="n">
        <x:f>'Controls'!$B$8+B185</x:f>
        <x:v>46534</x:v>
      </x:c>
      <x:c r="D185" s="1" t="str">
        <x:v>Thu</x:v>
      </x:c>
    </x:row>
    <x:row r="186" ht="23" customHeight="1">
      <x:c r="A186" s="6" t="n">
        <x:v>179</x:v>
      </x:c>
      <x:c r="B186" s="6" t="n">
        <x:v>207</x:v>
      </x:c>
      <x:c r="C186" s="20" t="n">
        <x:f>'Controls'!$B$8+B186</x:f>
        <x:v>46535</x:v>
      </x:c>
      <x:c r="D186" s="6" t="str">
        <x:v>Fri</x:v>
      </x:c>
    </x:row>
    <x:row r="187" ht="23" customHeight="1">
      <x:c r="A187" s="1" t="n">
        <x:v>180</x:v>
      </x:c>
      <x:c r="B187" s="1" t="n">
        <x:v>208</x:v>
      </x:c>
      <x:c r="C187" s="21" t="n">
        <x:f>'Controls'!$B$8+B187</x:f>
        <x:v>46536</x:v>
      </x:c>
      <x:c r="D187" s="1" t="str">
        <x:v>Sat</x:v>
      </x:c>
    </x:row>
    <x:row r="188" ht="23" customHeight="1">
      <x:c r="A188" s="6" t="n">
        <x:v>181</x:v>
      </x:c>
      <x:c r="B188" s="6" t="n">
        <x:v>210</x:v>
      </x:c>
      <x:c r="C188" s="20" t="n">
        <x:f>'Controls'!$B$8+B188</x:f>
        <x:v>46538</x:v>
      </x:c>
      <x:c r="D188" s="6" t="str">
        <x:v>Mon</x:v>
      </x:c>
    </x:row>
    <x:row r="189" ht="23" customHeight="1">
      <x:c r="A189" s="1" t="n">
        <x:v>182</x:v>
      </x:c>
      <x:c r="B189" s="1" t="n">
        <x:v>211</x:v>
      </x:c>
      <x:c r="C189" s="21" t="n">
        <x:f>'Controls'!$B$8+B189</x:f>
        <x:v>46539</x:v>
      </x:c>
      <x:c r="D189" s="1" t="str">
        <x:v>Tue</x:v>
      </x:c>
    </x:row>
    <x:row r="190" ht="23" customHeight="1">
      <x:c r="A190" s="6" t="n">
        <x:v>183</x:v>
      </x:c>
      <x:c r="B190" s="6" t="n">
        <x:v>212</x:v>
      </x:c>
      <x:c r="C190" s="20" t="n">
        <x:f>'Controls'!$B$8+B190</x:f>
        <x:v>46540</x:v>
      </x:c>
      <x:c r="D190" s="6" t="str">
        <x:v>Wed</x:v>
      </x:c>
    </x:row>
    <x:row r="191" ht="23" customHeight="1">
      <x:c r="A191" s="1" t="n">
        <x:v>184</x:v>
      </x:c>
      <x:c r="B191" s="1" t="n">
        <x:v>213</x:v>
      </x:c>
      <x:c r="C191" s="21" t="n">
        <x:f>'Controls'!$B$8+B191</x:f>
        <x:v>46541</x:v>
      </x:c>
      <x:c r="D191" s="1" t="str">
        <x:v>Thu</x:v>
      </x:c>
    </x:row>
    <x:row r="192" ht="23" customHeight="1">
      <x:c r="A192" s="6" t="n">
        <x:v>185</x:v>
      </x:c>
      <x:c r="B192" s="6" t="n">
        <x:v>214</x:v>
      </x:c>
      <x:c r="C192" s="20" t="n">
        <x:f>'Controls'!$B$8+B192</x:f>
        <x:v>46542</x:v>
      </x:c>
      <x:c r="D192" s="6" t="str">
        <x:v>Fri</x:v>
      </x:c>
    </x:row>
    <x:row r="193" ht="23" customHeight="1">
      <x:c r="A193" s="1" t="n">
        <x:v>186</x:v>
      </x:c>
      <x:c r="B193" s="1" t="n">
        <x:v>215</x:v>
      </x:c>
      <x:c r="C193" s="21" t="n">
        <x:f>'Controls'!$B$8+B193</x:f>
        <x:v>46543</x:v>
      </x:c>
      <x:c r="D193" s="1" t="str">
        <x:v>Sat</x:v>
      </x:c>
    </x:row>
    <x:row r="194" ht="23" customHeight="1">
      <x:c r="A194" s="6" t="n">
        <x:v>187</x:v>
      </x:c>
      <x:c r="B194" s="6" t="n">
        <x:v>217</x:v>
      </x:c>
      <x:c r="C194" s="20" t="n">
        <x:f>'Controls'!$B$8+B194</x:f>
        <x:v>46545</x:v>
      </x:c>
      <x:c r="D194" s="6" t="str">
        <x:v>Mon</x:v>
      </x:c>
    </x:row>
    <x:row r="195" ht="23" customHeight="1">
      <x:c r="A195" s="1" t="n">
        <x:v>188</x:v>
      </x:c>
      <x:c r="B195" s="1" t="n">
        <x:v>218</x:v>
      </x:c>
      <x:c r="C195" s="21" t="n">
        <x:f>'Controls'!$B$8+B195</x:f>
        <x:v>46546</x:v>
      </x:c>
      <x:c r="D195" s="1" t="str">
        <x:v>Tue</x:v>
      </x:c>
    </x:row>
    <x:row r="196" ht="23" customHeight="1">
      <x:c r="A196" s="6" t="n">
        <x:v>189</x:v>
      </x:c>
      <x:c r="B196" s="6" t="n">
        <x:v>219</x:v>
      </x:c>
      <x:c r="C196" s="20" t="n">
        <x:f>'Controls'!$B$8+B196</x:f>
        <x:v>46547</x:v>
      </x:c>
      <x:c r="D196" s="6" t="str">
        <x:v>Wed</x:v>
      </x:c>
    </x:row>
    <x:row r="197" ht="23" customHeight="1">
      <x:c r="A197" s="1" t="n">
        <x:v>190</x:v>
      </x:c>
      <x:c r="B197" s="1" t="n">
        <x:v>220</x:v>
      </x:c>
      <x:c r="C197" s="21" t="n">
        <x:f>'Controls'!$B$8+B197</x:f>
        <x:v>46548</x:v>
      </x:c>
      <x:c r="D197" s="1" t="str">
        <x:v>Thu</x:v>
      </x:c>
    </x:row>
    <x:row r="198" ht="23" customHeight="1">
      <x:c r="A198" s="6" t="n">
        <x:v>191</x:v>
      </x:c>
      <x:c r="B198" s="6" t="n">
        <x:v>221</x:v>
      </x:c>
      <x:c r="C198" s="20" t="n">
        <x:f>'Controls'!$B$8+B198</x:f>
        <x:v>46549</x:v>
      </x:c>
      <x:c r="D198" s="6" t="str">
        <x:v>Fri</x:v>
      </x:c>
    </x:row>
    <x:row r="199" ht="23" customHeight="1">
      <x:c r="A199" s="1" t="n">
        <x:v>192</x:v>
      </x:c>
      <x:c r="B199" s="1" t="n">
        <x:v>222</x:v>
      </x:c>
      <x:c r="C199" s="21" t="n">
        <x:f>'Controls'!$B$8+B199</x:f>
        <x:v>46550</x:v>
      </x:c>
      <x:c r="D199" s="1" t="str">
        <x:v>Sat</x:v>
      </x:c>
    </x:row>
    <x:row r="200" ht="23" customHeight="1">
      <x:c r="A200" s="6" t="n">
        <x:v>193</x:v>
      </x:c>
      <x:c r="B200" s="6" t="n">
        <x:v>224</x:v>
      </x:c>
      <x:c r="C200" s="20" t="n">
        <x:f>'Controls'!$B$8+B200</x:f>
        <x:v>46552</x:v>
      </x:c>
      <x:c r="D200" s="6" t="str">
        <x:v>Mon</x:v>
      </x:c>
    </x:row>
    <x:row r="201" ht="23" customHeight="1">
      <x:c r="A201" s="1" t="n">
        <x:v>194</x:v>
      </x:c>
      <x:c r="B201" s="1" t="n">
        <x:v>225</x:v>
      </x:c>
      <x:c r="C201" s="21" t="n">
        <x:f>'Controls'!$B$8+B201</x:f>
        <x:v>46553</x:v>
      </x:c>
      <x:c r="D201" s="1" t="str">
        <x:v>Tue</x:v>
      </x:c>
    </x:row>
    <x:row r="202" ht="23" customHeight="1">
      <x:c r="A202" s="6" t="n">
        <x:v>195</x:v>
      </x:c>
      <x:c r="B202" s="6" t="n">
        <x:v>226</x:v>
      </x:c>
      <x:c r="C202" s="20" t="n">
        <x:f>'Controls'!$B$8+B202</x:f>
        <x:v>46554</x:v>
      </x:c>
      <x:c r="D202" s="6" t="str">
        <x:v>Wed</x:v>
      </x:c>
    </x:row>
    <x:row r="203" ht="23" customHeight="1">
      <x:c r="A203" s="1" t="n">
        <x:v>196</x:v>
      </x:c>
      <x:c r="B203" s="1" t="n">
        <x:v>227</x:v>
      </x:c>
      <x:c r="C203" s="21" t="n">
        <x:f>'Controls'!$B$8+B203</x:f>
        <x:v>46555</x:v>
      </x:c>
      <x:c r="D203" s="1" t="str">
        <x:v>Thu</x:v>
      </x:c>
    </x:row>
    <x:row r="204" ht="23" customHeight="1">
      <x:c r="A204" s="6" t="n">
        <x:v>197</x:v>
      </x:c>
      <x:c r="B204" s="6" t="n">
        <x:v>228</x:v>
      </x:c>
      <x:c r="C204" s="20" t="n">
        <x:f>'Controls'!$B$8+B204</x:f>
        <x:v>46556</x:v>
      </x:c>
      <x:c r="D204" s="6" t="str">
        <x:v>Fri</x:v>
      </x:c>
    </x:row>
    <x:row r="205" ht="23" customHeight="1">
      <x:c r="A205" s="1" t="n">
        <x:v>198</x:v>
      </x:c>
      <x:c r="B205" s="1" t="n">
        <x:v>229</x:v>
      </x:c>
      <x:c r="C205" s="21" t="n">
        <x:f>'Controls'!$B$8+B205</x:f>
        <x:v>46557</x:v>
      </x:c>
      <x:c r="D205" s="1" t="str">
        <x:v>Sat</x:v>
      </x:c>
    </x:row>
    <x:row r="206" ht="23" customHeight="1">
      <x:c r="A206" s="6" t="n">
        <x:v>199</x:v>
      </x:c>
      <x:c r="B206" s="6" t="n">
        <x:v>231</x:v>
      </x:c>
      <x:c r="C206" s="20" t="n">
        <x:f>'Controls'!$B$8+B206</x:f>
        <x:v>46559</x:v>
      </x:c>
      <x:c r="D206" s="6" t="str">
        <x:v>Mon</x:v>
      </x:c>
    </x:row>
    <x:row r="207" ht="23" customHeight="1">
      <x:c r="A207" s="1" t="n">
        <x:v>200</x:v>
      </x:c>
      <x:c r="B207" s="1" t="n">
        <x:v>232</x:v>
      </x:c>
      <x:c r="C207" s="21" t="n">
        <x:f>'Controls'!$B$8+B207</x:f>
        <x:v>46560</x:v>
      </x:c>
      <x:c r="D207" s="1" t="str">
        <x:v>Tue</x:v>
      </x:c>
    </x:row>
    <x:row r="208" ht="23" customHeight="1">
      <x:c r="A208" s="6" t="n">
        <x:v>201</x:v>
      </x:c>
      <x:c r="B208" s="6" t="n">
        <x:v>233</x:v>
      </x:c>
      <x:c r="C208" s="20" t="n">
        <x:f>'Controls'!$B$8+B208</x:f>
        <x:v>46561</x:v>
      </x:c>
      <x:c r="D208" s="6" t="str">
        <x:v>Wed</x:v>
      </x:c>
    </x:row>
    <x:row r="209" ht="23" customHeight="1">
      <x:c r="A209" s="1" t="n">
        <x:v>202</x:v>
      </x:c>
      <x:c r="B209" s="1" t="n">
        <x:v>234</x:v>
      </x:c>
      <x:c r="C209" s="21" t="n">
        <x:f>'Controls'!$B$8+B209</x:f>
        <x:v>46562</x:v>
      </x:c>
      <x:c r="D209" s="1" t="str">
        <x:v>Thu</x:v>
      </x:c>
    </x:row>
    <x:row r="210" ht="23" customHeight="1">
      <x:c r="A210" s="6" t="n">
        <x:v>203</x:v>
      </x:c>
      <x:c r="B210" s="6" t="n">
        <x:v>235</x:v>
      </x:c>
      <x:c r="C210" s="20" t="n">
        <x:f>'Controls'!$B$8+B210</x:f>
        <x:v>46563</x:v>
      </x:c>
      <x:c r="D210" s="6" t="str">
        <x:v>Fri</x:v>
      </x:c>
    </x:row>
    <x:row r="211" ht="23" customHeight="1">
      <x:c r="A211" s="1" t="n">
        <x:v>204</x:v>
      </x:c>
      <x:c r="B211" s="1" t="n">
        <x:v>236</x:v>
      </x:c>
      <x:c r="C211" s="21" t="n">
        <x:f>'Controls'!$B$8+B211</x:f>
        <x:v>46564</x:v>
      </x:c>
      <x:c r="D211" s="1" t="str">
        <x:v>Sat</x:v>
      </x:c>
    </x:row>
    <x:row r="212" ht="23" customHeight="1">
      <x:c r="A212" s="6" t="n">
        <x:v>205</x:v>
      </x:c>
      <x:c r="B212" s="6" t="n">
        <x:v>238</x:v>
      </x:c>
      <x:c r="C212" s="20" t="n">
        <x:f>'Controls'!$B$8+B212</x:f>
        <x:v>46566</x:v>
      </x:c>
      <x:c r="D212" s="6" t="str">
        <x:v>Mon</x:v>
      </x:c>
    </x:row>
    <x:row r="213" ht="23" customHeight="1">
      <x:c r="A213" s="1" t="n">
        <x:v>206</x:v>
      </x:c>
      <x:c r="B213" s="1" t="n">
        <x:v>239</x:v>
      </x:c>
      <x:c r="C213" s="21" t="n">
        <x:f>'Controls'!$B$8+B213</x:f>
        <x:v>46567</x:v>
      </x:c>
      <x:c r="D213" s="1" t="str">
        <x:v>Tue</x:v>
      </x:c>
    </x:row>
    <x:row r="214" ht="23" customHeight="1">
      <x:c r="A214" s="6" t="n">
        <x:v>207</x:v>
      </x:c>
      <x:c r="B214" s="6" t="n">
        <x:v>240</x:v>
      </x:c>
      <x:c r="C214" s="20" t="n">
        <x:f>'Controls'!$B$8+B214</x:f>
        <x:v>46568</x:v>
      </x:c>
      <x:c r="D214" s="6" t="str">
        <x:v>Wed</x:v>
      </x:c>
    </x:row>
    <x:row r="215" ht="23" customHeight="1">
      <x:c r="A215" s="1" t="n">
        <x:v>208</x:v>
      </x:c>
      <x:c r="B215" s="1" t="n">
        <x:v>241</x:v>
      </x:c>
      <x:c r="C215" s="21" t="n">
        <x:f>'Controls'!$B$8+B215</x:f>
        <x:v>46569</x:v>
      </x:c>
      <x:c r="D215" s="1" t="str">
        <x:v>Thu</x:v>
      </x:c>
    </x:row>
    <x:row r="216" ht="23" customHeight="1">
      <x:c r="A216" s="6" t="n">
        <x:v>209</x:v>
      </x:c>
      <x:c r="B216" s="6" t="n">
        <x:v>242</x:v>
      </x:c>
      <x:c r="C216" s="20" t="n">
        <x:f>'Controls'!$B$8+B216</x:f>
        <x:v>46570</x:v>
      </x:c>
      <x:c r="D216" s="6" t="str">
        <x:v>Fri</x:v>
      </x:c>
    </x:row>
    <x:row r="217" ht="23" customHeight="1">
      <x:c r="A217" s="1" t="n">
        <x:v>210</x:v>
      </x:c>
      <x:c r="B217" s="1" t="n">
        <x:v>243</x:v>
      </x:c>
      <x:c r="C217" s="21" t="n">
        <x:f>'Controls'!$B$8+B217</x:f>
        <x:v>46571</x:v>
      </x:c>
      <x:c r="D217" s="1" t="str">
        <x:v>Sat</x:v>
      </x:c>
    </x:row>
    <x:row r="218" ht="23" customHeight="1">
      <x:c r="A218" s="6" t="n">
        <x:v>211</x:v>
      </x:c>
      <x:c r="B218" s="6" t="n">
        <x:v>245</x:v>
      </x:c>
      <x:c r="C218" s="20" t="n">
        <x:f>'Controls'!$B$8+B218</x:f>
        <x:v>46573</x:v>
      </x:c>
      <x:c r="D218" s="6" t="str">
        <x:v>Mon</x:v>
      </x:c>
    </x:row>
    <x:row r="219" ht="23" customHeight="1">
      <x:c r="A219" s="1" t="n">
        <x:v>212</x:v>
      </x:c>
      <x:c r="B219" s="1" t="n">
        <x:v>246</x:v>
      </x:c>
      <x:c r="C219" s="21" t="n">
        <x:f>'Controls'!$B$8+B219</x:f>
        <x:v>46574</x:v>
      </x:c>
      <x:c r="D219" s="1" t="str">
        <x:v>Tue</x:v>
      </x:c>
    </x:row>
    <x:row r="220" ht="23" customHeight="1">
      <x:c r="A220" s="6" t="n">
        <x:v>213</x:v>
      </x:c>
      <x:c r="B220" s="6" t="n">
        <x:v>247</x:v>
      </x:c>
      <x:c r="C220" s="20" t="n">
        <x:f>'Controls'!$B$8+B220</x:f>
        <x:v>46575</x:v>
      </x:c>
      <x:c r="D220" s="6" t="str">
        <x:v>Wed</x:v>
      </x:c>
    </x:row>
    <x:row r="221" ht="23" customHeight="1">
      <x:c r="A221" s="1" t="n">
        <x:v>214</x:v>
      </x:c>
      <x:c r="B221" s="1" t="n">
        <x:v>248</x:v>
      </x:c>
      <x:c r="C221" s="21" t="n">
        <x:f>'Controls'!$B$8+B221</x:f>
        <x:v>46576</x:v>
      </x:c>
      <x:c r="D221" s="1" t="str">
        <x:v>Thu</x:v>
      </x:c>
    </x:row>
    <x:row r="222" ht="23" customHeight="1">
      <x:c r="A222" s="6" t="n">
        <x:v>215</x:v>
      </x:c>
      <x:c r="B222" s="6" t="n">
        <x:v>249</x:v>
      </x:c>
      <x:c r="C222" s="20" t="n">
        <x:f>'Controls'!$B$8+B222</x:f>
        <x:v>46577</x:v>
      </x:c>
      <x:c r="D222" s="6" t="str">
        <x:v>Fri</x:v>
      </x:c>
    </x:row>
    <x:row r="223" ht="23" customHeight="1">
      <x:c r="A223" s="1" t="n">
        <x:v>216</x:v>
      </x:c>
      <x:c r="B223" s="1" t="n">
        <x:v>250</x:v>
      </x:c>
      <x:c r="C223" s="21" t="n">
        <x:f>'Controls'!$B$8+B223</x:f>
        <x:v>46578</x:v>
      </x:c>
      <x:c r="D223" s="1" t="str">
        <x:v>Sat</x:v>
      </x:c>
    </x:row>
    <x:row r="224" ht="23" customHeight="1">
      <x:c r="A224" s="6" t="n">
        <x:v>217</x:v>
      </x:c>
      <x:c r="B224" s="6" t="n">
        <x:v>252</x:v>
      </x:c>
      <x:c r="C224" s="20" t="n">
        <x:f>'Controls'!$B$8+B224</x:f>
        <x:v>46580</x:v>
      </x:c>
      <x:c r="D224" s="6" t="str">
        <x:v>Mon</x:v>
      </x:c>
    </x:row>
    <x:row r="225" ht="23" customHeight="1">
      <x:c r="A225" s="1" t="n">
        <x:v>218</x:v>
      </x:c>
      <x:c r="B225" s="1" t="n">
        <x:v>253</x:v>
      </x:c>
      <x:c r="C225" s="21" t="n">
        <x:f>'Controls'!$B$8+B225</x:f>
        <x:v>46581</x:v>
      </x:c>
      <x:c r="D225" s="1" t="str">
        <x:v>Tue</x:v>
      </x:c>
    </x:row>
    <x:row r="226" ht="23" customHeight="1">
      <x:c r="A226" s="6" t="n">
        <x:v>219</x:v>
      </x:c>
      <x:c r="B226" s="6" t="n">
        <x:v>254</x:v>
      </x:c>
      <x:c r="C226" s="20" t="n">
        <x:f>'Controls'!$B$8+B226</x:f>
        <x:v>46582</x:v>
      </x:c>
      <x:c r="D226" s="6" t="str">
        <x:v>Wed</x:v>
      </x:c>
    </x:row>
    <x:row r="227" ht="23" customHeight="1">
      <x:c r="A227" s="1" t="n">
        <x:v>220</x:v>
      </x:c>
      <x:c r="B227" s="1" t="n">
        <x:v>255</x:v>
      </x:c>
      <x:c r="C227" s="21" t="n">
        <x:f>'Controls'!$B$8+B227</x:f>
        <x:v>46583</x:v>
      </x:c>
      <x:c r="D227" s="1" t="str">
        <x:v>Thu</x:v>
      </x:c>
    </x:row>
    <x:row r="228" ht="23" customHeight="1">
      <x:c r="A228" s="6" t="n">
        <x:v>221</x:v>
      </x:c>
      <x:c r="B228" s="6" t="n">
        <x:v>256</x:v>
      </x:c>
      <x:c r="C228" s="20" t="n">
        <x:f>'Controls'!$B$8+B228</x:f>
        <x:v>46584</x:v>
      </x:c>
      <x:c r="D228" s="6" t="str">
        <x:v>Fri</x:v>
      </x:c>
    </x:row>
    <x:row r="229" ht="23" customHeight="1">
      <x:c r="A229" s="1" t="n">
        <x:v>222</x:v>
      </x:c>
      <x:c r="B229" s="1" t="n">
        <x:v>257</x:v>
      </x:c>
      <x:c r="C229" s="21" t="n">
        <x:f>'Controls'!$B$8+B229</x:f>
        <x:v>46585</x:v>
      </x:c>
      <x:c r="D229" s="1" t="str">
        <x:v>Sat</x:v>
      </x:c>
    </x:row>
    <x:row r="230" ht="23" customHeight="1">
      <x:c r="A230" s="6" t="n">
        <x:v>223</x:v>
      </x:c>
      <x:c r="B230" s="6" t="n">
        <x:v>259</x:v>
      </x:c>
      <x:c r="C230" s="20" t="n">
        <x:f>'Controls'!$B$8+B230</x:f>
        <x:v>46587</x:v>
      </x:c>
      <x:c r="D230" s="6" t="str">
        <x:v>Mon</x:v>
      </x:c>
    </x:row>
    <x:row r="231" ht="23" customHeight="1">
      <x:c r="A231" s="1" t="n">
        <x:v>224</x:v>
      </x:c>
      <x:c r="B231" s="1" t="n">
        <x:v>260</x:v>
      </x:c>
      <x:c r="C231" s="21" t="n">
        <x:f>'Controls'!$B$8+B231</x:f>
        <x:v>46588</x:v>
      </x:c>
      <x:c r="D231" s="1" t="str">
        <x:v>Tue</x:v>
      </x:c>
    </x:row>
    <x:row r="232" ht="23" customHeight="1">
      <x:c r="A232" s="6" t="n">
        <x:v>225</x:v>
      </x:c>
      <x:c r="B232" s="6" t="n">
        <x:v>261</x:v>
      </x:c>
      <x:c r="C232" s="20" t="n">
        <x:f>'Controls'!$B$8+B232</x:f>
        <x:v>46589</x:v>
      </x:c>
      <x:c r="D232" s="6" t="str">
        <x:v>Wed</x:v>
      </x:c>
    </x:row>
    <x:row r="233" ht="23" customHeight="1">
      <x:c r="A233" s="1" t="n">
        <x:v>226</x:v>
      </x:c>
      <x:c r="B233" s="1" t="n">
        <x:v>262</x:v>
      </x:c>
      <x:c r="C233" s="21" t="n">
        <x:f>'Controls'!$B$8+B233</x:f>
        <x:v>46590</x:v>
      </x:c>
      <x:c r="D233" s="1" t="str">
        <x:v>Thu</x:v>
      </x:c>
    </x:row>
    <x:row r="234" ht="23" customHeight="1">
      <x:c r="A234" s="6" t="n">
        <x:v>227</x:v>
      </x:c>
      <x:c r="B234" s="6" t="n">
        <x:v>263</x:v>
      </x:c>
      <x:c r="C234" s="20" t="n">
        <x:f>'Controls'!$B$8+B234</x:f>
        <x:v>46591</x:v>
      </x:c>
      <x:c r="D234" s="6" t="str">
        <x:v>Fri</x:v>
      </x:c>
    </x:row>
    <x:row r="235" ht="23" customHeight="1">
      <x:c r="A235" s="1" t="n">
        <x:v>228</x:v>
      </x:c>
      <x:c r="B235" s="1" t="n">
        <x:v>264</x:v>
      </x:c>
      <x:c r="C235" s="21" t="n">
        <x:f>'Controls'!$B$8+B235</x:f>
        <x:v>46592</x:v>
      </x:c>
      <x:c r="D235" s="1" t="str">
        <x:v>Sat</x:v>
      </x:c>
    </x:row>
    <x:row r="236" ht="23" customHeight="1">
      <x:c r="A236" s="6" t="n">
        <x:v>229</x:v>
      </x:c>
      <x:c r="B236" s="6" t="n">
        <x:v>266</x:v>
      </x:c>
      <x:c r="C236" s="20" t="n">
        <x:f>'Controls'!$B$8+B236</x:f>
        <x:v>46594</x:v>
      </x:c>
      <x:c r="D236" s="6" t="str">
        <x:v>Mon</x:v>
      </x:c>
    </x:row>
    <x:row r="237" ht="23" customHeight="1">
      <x:c r="A237" s="1" t="n">
        <x:v>230</x:v>
      </x:c>
      <x:c r="B237" s="1" t="n">
        <x:v>267</x:v>
      </x:c>
      <x:c r="C237" s="21" t="n">
        <x:f>'Controls'!$B$8+B237</x:f>
        <x:v>46595</x:v>
      </x:c>
      <x:c r="D237" s="1" t="str">
        <x:v>Tue</x:v>
      </x:c>
    </x:row>
    <x:row r="238" ht="23" customHeight="1">
      <x:c r="A238" s="6" t="n">
        <x:v>231</x:v>
      </x:c>
      <x:c r="B238" s="6" t="n">
        <x:v>268</x:v>
      </x:c>
      <x:c r="C238" s="20" t="n">
        <x:f>'Controls'!$B$8+B238</x:f>
        <x:v>46596</x:v>
      </x:c>
      <x:c r="D238" s="6" t="str">
        <x:v>Wed</x:v>
      </x:c>
    </x:row>
    <x:row r="239" ht="23" customHeight="1">
      <x:c r="A239" s="1" t="n">
        <x:v>232</x:v>
      </x:c>
      <x:c r="B239" s="1" t="n">
        <x:v>269</x:v>
      </x:c>
      <x:c r="C239" s="21" t="n">
        <x:f>'Controls'!$B$8+B239</x:f>
        <x:v>46597</x:v>
      </x:c>
      <x:c r="D239" s="1" t="str">
        <x:v>Thu</x:v>
      </x:c>
    </x:row>
    <x:row r="240" ht="23" customHeight="1">
      <x:c r="A240" s="6" t="n">
        <x:v>233</x:v>
      </x:c>
      <x:c r="B240" s="6" t="n">
        <x:v>270</x:v>
      </x:c>
      <x:c r="C240" s="20" t="n">
        <x:f>'Controls'!$B$8+B240</x:f>
        <x:v>46598</x:v>
      </x:c>
      <x:c r="D240" s="6" t="str">
        <x:v>Fri</x:v>
      </x:c>
    </x:row>
    <x:row r="241" ht="23" customHeight="1">
      <x:c r="A241" s="1" t="n">
        <x:v>234</x:v>
      </x:c>
      <x:c r="B241" s="1" t="n">
        <x:v>271</x:v>
      </x:c>
      <x:c r="C241" s="21" t="n">
        <x:f>'Controls'!$B$8+B241</x:f>
        <x:v>46599</x:v>
      </x:c>
      <x:c r="D241" s="1" t="str">
        <x:v>Sat</x:v>
      </x:c>
    </x:row>
    <x:row r="242" ht="23" customHeight="1">
      <x:c r="A242" s="6" t="n">
        <x:v>235</x:v>
      </x:c>
      <x:c r="B242" s="6" t="n">
        <x:v>273</x:v>
      </x:c>
      <x:c r="C242" s="20" t="n">
        <x:f>'Controls'!$B$8+B242</x:f>
        <x:v>46601</x:v>
      </x:c>
      <x:c r="D242" s="6" t="str">
        <x:v>Mon</x:v>
      </x:c>
    </x:row>
    <x:row r="243" ht="23" customHeight="1">
      <x:c r="A243" s="1" t="n">
        <x:v>236</x:v>
      </x:c>
      <x:c r="B243" s="1" t="n">
        <x:v>274</x:v>
      </x:c>
      <x:c r="C243" s="21" t="n">
        <x:f>'Controls'!$B$8+B243</x:f>
        <x:v>46602</x:v>
      </x:c>
      <x:c r="D243" s="1" t="str">
        <x:v>Tue</x:v>
      </x:c>
    </x:row>
    <x:row r="244" ht="23" customHeight="1">
      <x:c r="A244" s="6" t="n">
        <x:v>237</x:v>
      </x:c>
      <x:c r="B244" s="6" t="n">
        <x:v>275</x:v>
      </x:c>
      <x:c r="C244" s="20" t="n">
        <x:f>'Controls'!$B$8+B244</x:f>
        <x:v>46603</x:v>
      </x:c>
      <x:c r="D244" s="6" t="str">
        <x:v>Wed</x:v>
      </x:c>
    </x:row>
    <x:row r="245" ht="23" customHeight="1">
      <x:c r="A245" s="1" t="n">
        <x:v>238</x:v>
      </x:c>
      <x:c r="B245" s="1" t="n">
        <x:v>276</x:v>
      </x:c>
      <x:c r="C245" s="21" t="n">
        <x:f>'Controls'!$B$8+B245</x:f>
        <x:v>46604</x:v>
      </x:c>
      <x:c r="D245" s="1" t="str">
        <x:v>Thu</x:v>
      </x:c>
    </x:row>
    <x:row r="246" ht="23" customHeight="1">
      <x:c r="A246" s="6" t="n">
        <x:v>239</x:v>
      </x:c>
      <x:c r="B246" s="6" t="n">
        <x:v>277</x:v>
      </x:c>
      <x:c r="C246" s="20" t="n">
        <x:f>'Controls'!$B$8+B246</x:f>
        <x:v>46605</x:v>
      </x:c>
      <x:c r="D246" s="6" t="str">
        <x:v>Fri</x:v>
      </x:c>
    </x:row>
    <x:row r="247" ht="23" customHeight="1">
      <x:c r="A247" s="1" t="n">
        <x:v>240</x:v>
      </x:c>
      <x:c r="B247" s="1" t="n">
        <x:v>278</x:v>
      </x:c>
      <x:c r="C247" s="21" t="n">
        <x:f>'Controls'!$B$8+B247</x:f>
        <x:v>46606</x:v>
      </x:c>
      <x:c r="D247" s="1" t="str">
        <x:v>Sat</x:v>
      </x:c>
    </x:row>
    <x:row r="248" ht="23" customHeight="1">
      <x:c r="A248" s="6" t="n">
        <x:v>241</x:v>
      </x:c>
      <x:c r="B248" s="6" t="n">
        <x:v>280</x:v>
      </x:c>
      <x:c r="C248" s="20" t="n">
        <x:f>'Controls'!$B$8+B248</x:f>
        <x:v>46608</x:v>
      </x:c>
      <x:c r="D248" s="6" t="str">
        <x:v>Mon</x:v>
      </x:c>
    </x:row>
    <x:row r="249" ht="23" customHeight="1">
      <x:c r="A249" s="1" t="n">
        <x:v>242</x:v>
      </x:c>
      <x:c r="B249" s="1" t="n">
        <x:v>281</x:v>
      </x:c>
      <x:c r="C249" s="21" t="n">
        <x:f>'Controls'!$B$8+B249</x:f>
        <x:v>46609</x:v>
      </x:c>
      <x:c r="D249" s="1" t="str">
        <x:v>Tue</x:v>
      </x:c>
    </x:row>
    <x:row r="250" ht="23" customHeight="1">
      <x:c r="A250" s="6" t="n">
        <x:v>243</x:v>
      </x:c>
      <x:c r="B250" s="6" t="n">
        <x:v>282</x:v>
      </x:c>
      <x:c r="C250" s="20" t="n">
        <x:f>'Controls'!$B$8+B250</x:f>
        <x:v>46610</x:v>
      </x:c>
      <x:c r="D250" s="6" t="str">
        <x:v>Wed</x:v>
      </x:c>
    </x:row>
    <x:row r="251" ht="23" customHeight="1">
      <x:c r="A251" s="1" t="n">
        <x:v>244</x:v>
      </x:c>
      <x:c r="B251" s="1" t="n">
        <x:v>283</x:v>
      </x:c>
      <x:c r="C251" s="21" t="n">
        <x:f>'Controls'!$B$8+B251</x:f>
        <x:v>46611</x:v>
      </x:c>
      <x:c r="D251" s="1" t="str">
        <x:v>Thu</x:v>
      </x:c>
    </x:row>
    <x:row r="252" ht="23" customHeight="1">
      <x:c r="A252" s="6" t="n">
        <x:v>245</x:v>
      </x:c>
      <x:c r="B252" s="6" t="n">
        <x:v>284</x:v>
      </x:c>
      <x:c r="C252" s="20" t="n">
        <x:f>'Controls'!$B$8+B252</x:f>
        <x:v>46612</x:v>
      </x:c>
      <x:c r="D252" s="6" t="str">
        <x:v>Fri</x:v>
      </x:c>
    </x:row>
    <x:row r="253" ht="23" customHeight="1">
      <x:c r="A253" s="1" t="n">
        <x:v>246</x:v>
      </x:c>
      <x:c r="B253" s="1" t="n">
        <x:v>285</x:v>
      </x:c>
      <x:c r="C253" s="21" t="n">
        <x:f>'Controls'!$B$8+B253</x:f>
        <x:v>46613</x:v>
      </x:c>
      <x:c r="D253" s="1" t="str">
        <x:v>Sat</x:v>
      </x:c>
    </x:row>
    <x:row r="254" ht="23" customHeight="1">
      <x:c r="A254" s="6" t="n">
        <x:v>247</x:v>
      </x:c>
      <x:c r="B254" s="6" t="n">
        <x:v>287</x:v>
      </x:c>
      <x:c r="C254" s="20" t="n">
        <x:f>'Controls'!$B$8+B254</x:f>
        <x:v>46615</x:v>
      </x:c>
      <x:c r="D254" s="6" t="str">
        <x:v>Mon</x:v>
      </x:c>
    </x:row>
    <x:row r="255" ht="23" customHeight="1">
      <x:c r="A255" s="1" t="n">
        <x:v>248</x:v>
      </x:c>
      <x:c r="B255" s="1" t="n">
        <x:v>288</x:v>
      </x:c>
      <x:c r="C255" s="21" t="n">
        <x:f>'Controls'!$B$8+B255</x:f>
        <x:v>46616</x:v>
      </x:c>
      <x:c r="D255" s="1" t="str">
        <x:v>Tue</x:v>
      </x:c>
    </x:row>
    <x:row r="256" ht="23" customHeight="1">
      <x:c r="A256" s="6" t="n">
        <x:v>249</x:v>
      </x:c>
      <x:c r="B256" s="6" t="n">
        <x:v>289</x:v>
      </x:c>
      <x:c r="C256" s="20" t="n">
        <x:f>'Controls'!$B$8+B256</x:f>
        <x:v>46617</x:v>
      </x:c>
      <x:c r="D256" s="6" t="str">
        <x:v>Wed</x:v>
      </x:c>
    </x:row>
    <x:row r="257" ht="23" customHeight="1">
      <x:c r="A257" s="1" t="n">
        <x:v>250</x:v>
      </x:c>
      <x:c r="B257" s="1" t="n">
        <x:v>290</x:v>
      </x:c>
      <x:c r="C257" s="21" t="n">
        <x:f>'Controls'!$B$8+B257</x:f>
        <x:v>46618</x:v>
      </x:c>
      <x:c r="D257" s="1" t="str">
        <x:v>Thu</x:v>
      </x:c>
    </x:row>
    <x:row r="258" ht="23" customHeight="1">
      <x:c r="A258" s="6" t="n">
        <x:v>251</x:v>
      </x:c>
      <x:c r="B258" s="6" t="n">
        <x:v>291</x:v>
      </x:c>
      <x:c r="C258" s="20" t="n">
        <x:f>'Controls'!$B$8+B258</x:f>
        <x:v>46619</x:v>
      </x:c>
      <x:c r="D258" s="6" t="str">
        <x:v>Fri</x:v>
      </x:c>
    </x:row>
    <x:row r="259" ht="23" customHeight="1">
      <x:c r="A259" s="1" t="n">
        <x:v>252</x:v>
      </x:c>
      <x:c r="B259" s="1" t="n">
        <x:v>292</x:v>
      </x:c>
      <x:c r="C259" s="21" t="n">
        <x:f>'Controls'!$B$8+B259</x:f>
        <x:v>46620</x:v>
      </x:c>
      <x:c r="D259" s="1" t="str">
        <x:v>Sat</x:v>
      </x:c>
    </x:row>
    <x:row r="260" ht="23" customHeight="1">
      <x:c r="A260" s="6" t="n">
        <x:v>253</x:v>
      </x:c>
      <x:c r="B260" s="6" t="n">
        <x:v>294</x:v>
      </x:c>
      <x:c r="C260" s="20" t="n">
        <x:f>'Controls'!$B$8+B260</x:f>
        <x:v>46622</x:v>
      </x:c>
      <x:c r="D260" s="6" t="str">
        <x:v>Mon</x:v>
      </x:c>
    </x:row>
    <x:row r="261" ht="23" customHeight="1">
      <x:c r="A261" s="1" t="n">
        <x:v>254</x:v>
      </x:c>
      <x:c r="B261" s="1" t="n">
        <x:v>295</x:v>
      </x:c>
      <x:c r="C261" s="21" t="n">
        <x:f>'Controls'!$B$8+B261</x:f>
        <x:v>46623</x:v>
      </x:c>
      <x:c r="D261" s="1" t="str">
        <x:v>Tue</x:v>
      </x:c>
    </x:row>
    <x:row r="262" ht="23" customHeight="1">
      <x:c r="A262" s="6" t="n">
        <x:v>255</x:v>
      </x:c>
      <x:c r="B262" s="6" t="n">
        <x:v>296</x:v>
      </x:c>
      <x:c r="C262" s="20" t="n">
        <x:f>'Controls'!$B$8+B262</x:f>
        <x:v>46624</x:v>
      </x:c>
      <x:c r="D262" s="6" t="str">
        <x:v>Wed</x:v>
      </x:c>
    </x:row>
    <x:row r="263" ht="23" customHeight="1">
      <x:c r="A263" s="1" t="n">
        <x:v>256</x:v>
      </x:c>
      <x:c r="B263" s="1" t="n">
        <x:v>297</x:v>
      </x:c>
      <x:c r="C263" s="21" t="n">
        <x:f>'Controls'!$B$8+B263</x:f>
        <x:v>46625</x:v>
      </x:c>
      <x:c r="D263" s="1" t="str">
        <x:v>Thu</x:v>
      </x:c>
    </x:row>
    <x:row r="264" ht="23" customHeight="1">
      <x:c r="A264" s="6" t="n">
        <x:v>257</x:v>
      </x:c>
      <x:c r="B264" s="6" t="n">
        <x:v>298</x:v>
      </x:c>
      <x:c r="C264" s="20" t="n">
        <x:f>'Controls'!$B$8+B264</x:f>
        <x:v>46626</x:v>
      </x:c>
      <x:c r="D264" s="6" t="str">
        <x:v>Fri</x:v>
      </x:c>
    </x:row>
    <x:row r="265" ht="23" customHeight="1">
      <x:c r="A265" s="1" t="n">
        <x:v>258</x:v>
      </x:c>
      <x:c r="B265" s="1" t="n">
        <x:v>299</x:v>
      </x:c>
      <x:c r="C265" s="21" t="n">
        <x:f>'Controls'!$B$8+B265</x:f>
        <x:v>46627</x:v>
      </x:c>
      <x:c r="D265" s="1" t="str">
        <x:v>Sat</x:v>
      </x:c>
    </x:row>
    <x:row r="266" ht="23" customHeight="1">
      <x:c r="A266" s="6" t="n">
        <x:v>259</x:v>
      </x:c>
      <x:c r="B266" s="6" t="n">
        <x:v>301</x:v>
      </x:c>
      <x:c r="C266" s="20" t="n">
        <x:f>'Controls'!$B$8+B266</x:f>
        <x:v>46629</x:v>
      </x:c>
      <x:c r="D266" s="6" t="str">
        <x:v>Mon</x:v>
      </x:c>
    </x:row>
    <x:row r="267" ht="23" customHeight="1">
      <x:c r="A267" s="1" t="n">
        <x:v>260</x:v>
      </x:c>
      <x:c r="B267" s="1" t="n">
        <x:v>302</x:v>
      </x:c>
      <x:c r="C267" s="21" t="n">
        <x:f>'Controls'!$B$8+B267</x:f>
        <x:v>46630</x:v>
      </x:c>
      <x:c r="D267" s="1" t="str">
        <x:v>Tue</x:v>
      </x:c>
    </x:row>
    <x:row r="268" ht="23" customHeight="1">
      <x:c r="A268" s="6" t="n">
        <x:v>261</x:v>
      </x:c>
      <x:c r="B268" s="6" t="n">
        <x:v>303</x:v>
      </x:c>
      <x:c r="C268" s="20" t="n">
        <x:f>'Controls'!$B$8+B268</x:f>
        <x:v>46631</x:v>
      </x:c>
      <x:c r="D268" s="6" t="str">
        <x:v>Wed</x:v>
      </x:c>
    </x:row>
    <x:row r="269" ht="23" customHeight="1">
      <x:c r="A269" s="1" t="n">
        <x:v>262</x:v>
      </x:c>
      <x:c r="B269" s="1" t="n">
        <x:v>304</x:v>
      </x:c>
      <x:c r="C269" s="21" t="n">
        <x:f>'Controls'!$B$8+B269</x:f>
        <x:v>46632</x:v>
      </x:c>
      <x:c r="D269" s="1" t="str">
        <x:v>Thu</x:v>
      </x:c>
    </x:row>
    <x:row r="270" ht="23" customHeight="1">
      <x:c r="A270" s="6" t="n">
        <x:v>263</x:v>
      </x:c>
      <x:c r="B270" s="6" t="n">
        <x:v>305</x:v>
      </x:c>
      <x:c r="C270" s="20" t="n">
        <x:f>'Controls'!$B$8+B270</x:f>
        <x:v>46633</x:v>
      </x:c>
      <x:c r="D270" s="6" t="str">
        <x:v>Fri</x:v>
      </x:c>
    </x:row>
    <x:row r="271" ht="23" customHeight="1">
      <x:c r="A271" s="1" t="n">
        <x:v>264</x:v>
      </x:c>
      <x:c r="B271" s="1" t="n">
        <x:v>306</x:v>
      </x:c>
      <x:c r="C271" s="21" t="n">
        <x:f>'Controls'!$B$8+B271</x:f>
        <x:v>46634</x:v>
      </x:c>
      <x:c r="D271" s="1" t="str">
        <x:v>Sat</x:v>
      </x:c>
    </x:row>
    <x:row r="272" ht="23" customHeight="1">
      <x:c r="A272" s="6" t="n">
        <x:v>265</x:v>
      </x:c>
      <x:c r="B272" s="6" t="n">
        <x:v>308</x:v>
      </x:c>
      <x:c r="C272" s="20" t="n">
        <x:f>'Controls'!$B$8+B272</x:f>
        <x:v>46636</x:v>
      </x:c>
      <x:c r="D272" s="6" t="str">
        <x:v>Mon</x:v>
      </x:c>
    </x:row>
    <x:row r="273" ht="23" customHeight="1">
      <x:c r="A273" s="1" t="n">
        <x:v>266</x:v>
      </x:c>
      <x:c r="B273" s="1" t="n">
        <x:v>309</x:v>
      </x:c>
      <x:c r="C273" s="21" t="n">
        <x:f>'Controls'!$B$8+B273</x:f>
        <x:v>46637</x:v>
      </x:c>
      <x:c r="D273" s="1" t="str">
        <x:v>Tue</x:v>
      </x:c>
    </x:row>
    <x:row r="274" ht="23" customHeight="1">
      <x:c r="A274" s="6" t="n">
        <x:v>267</x:v>
      </x:c>
      <x:c r="B274" s="6" t="n">
        <x:v>310</x:v>
      </x:c>
      <x:c r="C274" s="20" t="n">
        <x:f>'Controls'!$B$8+B274</x:f>
        <x:v>46638</x:v>
      </x:c>
      <x:c r="D274" s="6" t="str">
        <x:v>Wed</x:v>
      </x:c>
    </x:row>
    <x:row r="275" ht="23" customHeight="1">
      <x:c r="A275" s="1" t="n">
        <x:v>268</x:v>
      </x:c>
      <x:c r="B275" s="1" t="n">
        <x:v>311</x:v>
      </x:c>
      <x:c r="C275" s="21" t="n">
        <x:f>'Controls'!$B$8+B275</x:f>
        <x:v>46639</x:v>
      </x:c>
      <x:c r="D275" s="1" t="str">
        <x:v>Thu</x:v>
      </x:c>
    </x:row>
    <x:row r="276" ht="23" customHeight="1">
      <x:c r="A276" s="6" t="n">
        <x:v>269</x:v>
      </x:c>
      <x:c r="B276" s="6" t="n">
        <x:v>312</x:v>
      </x:c>
      <x:c r="C276" s="20" t="n">
        <x:f>'Controls'!$B$8+B276</x:f>
        <x:v>46640</x:v>
      </x:c>
      <x:c r="D276" s="6" t="str">
        <x:v>Fri</x:v>
      </x:c>
    </x:row>
    <x:row r="277" ht="23" customHeight="1">
      <x:c r="A277" s="1" t="n">
        <x:v>270</x:v>
      </x:c>
      <x:c r="B277" s="1" t="n">
        <x:v>313</x:v>
      </x:c>
      <x:c r="C277" s="21" t="n">
        <x:f>'Controls'!$B$8+B277</x:f>
        <x:v>46641</x:v>
      </x:c>
      <x:c r="D277" s="1" t="str">
        <x:v>Sat</x:v>
      </x:c>
    </x:row>
    <x:row r="278" ht="23" customHeight="1">
      <x:c r="A278" s="6" t="n">
        <x:v>271</x:v>
      </x:c>
      <x:c r="B278" s="6" t="n">
        <x:v>315</x:v>
      </x:c>
      <x:c r="C278" s="20" t="n">
        <x:f>'Controls'!$B$8+B278</x:f>
        <x:v>46643</x:v>
      </x:c>
      <x:c r="D278" s="6" t="str">
        <x:v>Mon</x:v>
      </x:c>
    </x:row>
    <x:row r="279" ht="23" customHeight="1">
      <x:c r="A279" s="1" t="n">
        <x:v>272</x:v>
      </x:c>
      <x:c r="B279" s="1" t="n">
        <x:v>316</x:v>
      </x:c>
      <x:c r="C279" s="21" t="n">
        <x:f>'Controls'!$B$8+B279</x:f>
        <x:v>46644</x:v>
      </x:c>
      <x:c r="D279" s="1" t="str">
        <x:v>Tue</x:v>
      </x:c>
    </x:row>
    <x:row r="280" ht="23" customHeight="1">
      <x:c r="A280" s="6" t="n">
        <x:v>273</x:v>
      </x:c>
      <x:c r="B280" s="6" t="n">
        <x:v>317</x:v>
      </x:c>
      <x:c r="C280" s="20" t="n">
        <x:f>'Controls'!$B$8+B280</x:f>
        <x:v>46645</x:v>
      </x:c>
      <x:c r="D280" s="6" t="str">
        <x:v>Wed</x:v>
      </x:c>
    </x:row>
    <x:row r="281" ht="23" customHeight="1">
      <x:c r="A281" s="1" t="n">
        <x:v>274</x:v>
      </x:c>
      <x:c r="B281" s="1" t="n">
        <x:v>318</x:v>
      </x:c>
      <x:c r="C281" s="21" t="n">
        <x:f>'Controls'!$B$8+B281</x:f>
        <x:v>46646</x:v>
      </x:c>
      <x:c r="D281" s="1" t="str">
        <x:v>Thu</x:v>
      </x:c>
    </x:row>
    <x:row r="282" ht="23" customHeight="1">
      <x:c r="A282" s="6" t="n">
        <x:v>275</x:v>
      </x:c>
      <x:c r="B282" s="6" t="n">
        <x:v>319</x:v>
      </x:c>
      <x:c r="C282" s="20" t="n">
        <x:f>'Controls'!$B$8+B282</x:f>
        <x:v>46647</x:v>
      </x:c>
      <x:c r="D282" s="6" t="str">
        <x:v>Fri</x:v>
      </x:c>
    </x:row>
    <x:row r="283" ht="23" customHeight="1">
      <x:c r="A283" s="1" t="n">
        <x:v>276</x:v>
      </x:c>
      <x:c r="B283" s="1" t="n">
        <x:v>320</x:v>
      </x:c>
      <x:c r="C283" s="21" t="n">
        <x:f>'Controls'!$B$8+B283</x:f>
        <x:v>46648</x:v>
      </x:c>
      <x:c r="D283" s="1" t="str">
        <x:v>Sat</x:v>
      </x:c>
    </x:row>
    <x:row r="284" ht="23" customHeight="1">
      <x:c r="A284" s="6" t="n">
        <x:v>277</x:v>
      </x:c>
      <x:c r="B284" s="6" t="n">
        <x:v>322</x:v>
      </x:c>
      <x:c r="C284" s="20" t="n">
        <x:f>'Controls'!$B$8+B284</x:f>
        <x:v>46650</x:v>
      </x:c>
      <x:c r="D284" s="6" t="str">
        <x:v>Mon</x:v>
      </x:c>
    </x:row>
    <x:row r="285" ht="23" customHeight="1">
      <x:c r="A285" s="1" t="n">
        <x:v>278</x:v>
      </x:c>
      <x:c r="B285" s="1" t="n">
        <x:v>323</x:v>
      </x:c>
      <x:c r="C285" s="21" t="n">
        <x:f>'Controls'!$B$8+B285</x:f>
        <x:v>46651</x:v>
      </x:c>
      <x:c r="D285" s="1" t="str">
        <x:v>Tue</x:v>
      </x:c>
    </x:row>
    <x:row r="286" ht="23" customHeight="1">
      <x:c r="A286" s="6" t="n">
        <x:v>279</x:v>
      </x:c>
      <x:c r="B286" s="6" t="n">
        <x:v>324</x:v>
      </x:c>
      <x:c r="C286" s="20" t="n">
        <x:f>'Controls'!$B$8+B286</x:f>
        <x:v>46652</x:v>
      </x:c>
      <x:c r="D286" s="6" t="str">
        <x:v>Wed</x:v>
      </x:c>
    </x:row>
    <x:row r="287" ht="23" customHeight="1">
      <x:c r="A287" s="1" t="n">
        <x:v>280</x:v>
      </x:c>
      <x:c r="B287" s="1" t="n">
        <x:v>325</x:v>
      </x:c>
      <x:c r="C287" s="21" t="n">
        <x:f>'Controls'!$B$8+B287</x:f>
        <x:v>46653</x:v>
      </x:c>
      <x:c r="D287" s="1" t="str">
        <x:v>Thu</x:v>
      </x:c>
    </x:row>
    <x:row r="288" ht="23" customHeight="1">
      <x:c r="A288" s="6" t="n">
        <x:v>281</x:v>
      </x:c>
      <x:c r="B288" s="6" t="n">
        <x:v>326</x:v>
      </x:c>
      <x:c r="C288" s="20" t="n">
        <x:f>'Controls'!$B$8+B288</x:f>
        <x:v>46654</x:v>
      </x:c>
      <x:c r="D288" s="6" t="str">
        <x:v>Fri</x:v>
      </x:c>
    </x:row>
    <x:row r="289" ht="23" customHeight="1">
      <x:c r="A289" s="1" t="n">
        <x:v>282</x:v>
      </x:c>
      <x:c r="B289" s="1" t="n">
        <x:v>327</x:v>
      </x:c>
      <x:c r="C289" s="21" t="n">
        <x:f>'Controls'!$B$8+B289</x:f>
        <x:v>46655</x:v>
      </x:c>
      <x:c r="D289" s="1" t="str">
        <x:v>Sat</x:v>
      </x:c>
    </x:row>
    <x:row r="290" ht="23" customHeight="1">
      <x:c r="A290" s="6" t="n">
        <x:v>283</x:v>
      </x:c>
      <x:c r="B290" s="6" t="n">
        <x:v>329</x:v>
      </x:c>
      <x:c r="C290" s="20" t="n">
        <x:f>'Controls'!$B$8+B290</x:f>
        <x:v>46657</x:v>
      </x:c>
      <x:c r="D290" s="6" t="str">
        <x:v>Mon</x:v>
      </x:c>
    </x:row>
    <x:row r="291" ht="23" customHeight="1">
      <x:c r="A291" s="1" t="n">
        <x:v>284</x:v>
      </x:c>
      <x:c r="B291" s="1" t="n">
        <x:v>330</x:v>
      </x:c>
      <x:c r="C291" s="21" t="n">
        <x:f>'Controls'!$B$8+B291</x:f>
        <x:v>46658</x:v>
      </x:c>
      <x:c r="D291" s="1" t="str">
        <x:v>Tue</x:v>
      </x:c>
    </x:row>
    <x:row r="292" ht="23" customHeight="1">
      <x:c r="A292" s="6" t="n">
        <x:v>285</x:v>
      </x:c>
      <x:c r="B292" s="6" t="n">
        <x:v>331</x:v>
      </x:c>
      <x:c r="C292" s="20" t="n">
        <x:f>'Controls'!$B$8+B292</x:f>
        <x:v>46659</x:v>
      </x:c>
      <x:c r="D292" s="6" t="str">
        <x:v>Wed</x:v>
      </x:c>
    </x:row>
    <x:row r="293" ht="23" customHeight="1">
      <x:c r="A293" s="1" t="n">
        <x:v>286</x:v>
      </x:c>
      <x:c r="B293" s="1" t="n">
        <x:v>332</x:v>
      </x:c>
      <x:c r="C293" s="21" t="n">
        <x:f>'Controls'!$B$8+B293</x:f>
        <x:v>46660</x:v>
      </x:c>
      <x:c r="D293" s="1" t="str">
        <x:v>Thu</x:v>
      </x:c>
    </x:row>
    <x:row r="294" ht="23" customHeight="1">
      <x:c r="A294" s="6" t="n">
        <x:v>287</x:v>
      </x:c>
      <x:c r="B294" s="6" t="n">
        <x:v>333</x:v>
      </x:c>
      <x:c r="C294" s="20" t="n">
        <x:f>'Controls'!$B$8+B294</x:f>
        <x:v>46661</x:v>
      </x:c>
      <x:c r="D294" s="6" t="str">
        <x:v>Fri</x:v>
      </x:c>
    </x:row>
    <x:row r="295" ht="23" customHeight="1">
      <x:c r="A295" s="1" t="n">
        <x:v>288</x:v>
      </x:c>
      <x:c r="B295" s="1" t="n">
        <x:v>334</x:v>
      </x:c>
      <x:c r="C295" s="21" t="n">
        <x:f>'Controls'!$B$8+B295</x:f>
        <x:v>46662</x:v>
      </x:c>
      <x:c r="D295" s="1" t="str">
        <x:v>Sat</x:v>
      </x:c>
    </x:row>
    <x:row r="296" ht="23" customHeight="1">
      <x:c r="A296" s="6" t="n">
        <x:v>289</x:v>
      </x:c>
      <x:c r="B296" s="6" t="n">
        <x:v>336</x:v>
      </x:c>
      <x:c r="C296" s="20" t="n">
        <x:f>'Controls'!$B$8+B296</x:f>
        <x:v>46664</x:v>
      </x:c>
      <x:c r="D296" s="6" t="str">
        <x:v>Mon</x:v>
      </x:c>
    </x:row>
    <x:row r="297" ht="23" customHeight="1">
      <x:c r="A297" s="1" t="n">
        <x:v>290</x:v>
      </x:c>
      <x:c r="B297" s="1" t="n">
        <x:v>337</x:v>
      </x:c>
      <x:c r="C297" s="21" t="n">
        <x:f>'Controls'!$B$8+B297</x:f>
        <x:v>46665</x:v>
      </x:c>
      <x:c r="D297" s="1" t="str">
        <x:v>Tue</x:v>
      </x:c>
    </x:row>
    <x:row r="298" ht="23" customHeight="1">
      <x:c r="A298" s="6" t="n">
        <x:v>291</x:v>
      </x:c>
      <x:c r="B298" s="6" t="n">
        <x:v>338</x:v>
      </x:c>
      <x:c r="C298" s="20" t="n">
        <x:f>'Controls'!$B$8+B298</x:f>
        <x:v>46666</x:v>
      </x:c>
      <x:c r="D298" s="6" t="str">
        <x:v>Wed</x:v>
      </x:c>
    </x:row>
    <x:row r="299" ht="23" customHeight="1">
      <x:c r="A299" s="1" t="n">
        <x:v>292</x:v>
      </x:c>
      <x:c r="B299" s="1" t="n">
        <x:v>339</x:v>
      </x:c>
      <x:c r="C299" s="21" t="n">
        <x:f>'Controls'!$B$8+B299</x:f>
        <x:v>46667</x:v>
      </x:c>
      <x:c r="D299" s="1" t="str">
        <x:v>Thu</x:v>
      </x:c>
    </x:row>
    <x:row r="300" ht="23" customHeight="1">
      <x:c r="A300" s="6" t="n">
        <x:v>293</x:v>
      </x:c>
      <x:c r="B300" s="6" t="n">
        <x:v>340</x:v>
      </x:c>
      <x:c r="C300" s="20" t="n">
        <x:f>'Controls'!$B$8+B300</x:f>
        <x:v>46668</x:v>
      </x:c>
      <x:c r="D300" s="6" t="str">
        <x:v>Fri</x:v>
      </x:c>
    </x:row>
    <x:row r="301" ht="23" customHeight="1">
      <x:c r="A301" s="1" t="n">
        <x:v>294</x:v>
      </x:c>
      <x:c r="B301" s="1" t="n">
        <x:v>341</x:v>
      </x:c>
      <x:c r="C301" s="21" t="n">
        <x:f>'Controls'!$B$8+B301</x:f>
        <x:v>46669</x:v>
      </x:c>
      <x:c r="D301" s="1" t="str">
        <x:v>Sat</x:v>
      </x:c>
    </x:row>
    <x:row r="302" ht="23" customHeight="1">
      <x:c r="A302" s="6" t="n">
        <x:v>295</x:v>
      </x:c>
      <x:c r="B302" s="6" t="n">
        <x:v>343</x:v>
      </x:c>
      <x:c r="C302" s="20" t="n">
        <x:f>'Controls'!$B$8+B302</x:f>
        <x:v>46671</x:v>
      </x:c>
      <x:c r="D302" s="6" t="str">
        <x:v>Mon</x:v>
      </x:c>
    </x:row>
    <x:row r="303" ht="23" customHeight="1">
      <x:c r="A303" s="1" t="n">
        <x:v>296</x:v>
      </x:c>
      <x:c r="B303" s="1" t="n">
        <x:v>344</x:v>
      </x:c>
      <x:c r="C303" s="21" t="n">
        <x:f>'Controls'!$B$8+B303</x:f>
        <x:v>46672</x:v>
      </x:c>
      <x:c r="D303" s="1" t="str">
        <x:v>Tue</x:v>
      </x:c>
    </x:row>
    <x:row r="304" ht="23" customHeight="1">
      <x:c r="A304" s="6" t="n">
        <x:v>297</x:v>
      </x:c>
      <x:c r="B304" s="6" t="n">
        <x:v>345</x:v>
      </x:c>
      <x:c r="C304" s="20" t="n">
        <x:f>'Controls'!$B$8+B304</x:f>
        <x:v>46673</x:v>
      </x:c>
      <x:c r="D304" s="6" t="str">
        <x:v>Wed</x:v>
      </x:c>
    </x:row>
    <x:row r="305" ht="23" customHeight="1">
      <x:c r="A305" s="1" t="n">
        <x:v>298</x:v>
      </x:c>
      <x:c r="B305" s="1" t="n">
        <x:v>346</x:v>
      </x:c>
      <x:c r="C305" s="21" t="n">
        <x:f>'Controls'!$B$8+B305</x:f>
        <x:v>46674</x:v>
      </x:c>
      <x:c r="D305" s="1" t="str">
        <x:v>Thu</x:v>
      </x:c>
    </x:row>
    <x:row r="306" ht="23" customHeight="1">
      <x:c r="A306" s="6" t="n">
        <x:v>299</x:v>
      </x:c>
      <x:c r="B306" s="6" t="n">
        <x:v>347</x:v>
      </x:c>
      <x:c r="C306" s="20" t="n">
        <x:f>'Controls'!$B$8+B306</x:f>
        <x:v>46675</x:v>
      </x:c>
      <x:c r="D306" s="6" t="str">
        <x:v>Fri</x:v>
      </x:c>
    </x:row>
    <x:row r="307" ht="23" customHeight="1">
      <x:c r="A307" s="1" t="n">
        <x:v>300</x:v>
      </x:c>
      <x:c r="B307" s="1" t="n">
        <x:v>348</x:v>
      </x:c>
      <x:c r="C307" s="21" t="n">
        <x:f>'Controls'!$B$8+B307</x:f>
        <x:v>46676</x:v>
      </x:c>
      <x:c r="D307" s="1" t="str">
        <x:v>Sat</x:v>
      </x:c>
    </x:row>
    <x:row r="308" ht="23" customHeight="1">
      <x:c r="A308" s="6" t="n">
        <x:v>301</x:v>
      </x:c>
      <x:c r="B308" s="6" t="n">
        <x:v>350</x:v>
      </x:c>
      <x:c r="C308" s="20" t="n">
        <x:f>'Controls'!$B$8+B308</x:f>
        <x:v>46678</x:v>
      </x:c>
      <x:c r="D308" s="6" t="str">
        <x:v>Mon</x:v>
      </x:c>
    </x:row>
    <x:row r="309" ht="23" customHeight="1">
      <x:c r="A309" s="1" t="n">
        <x:v>302</x:v>
      </x:c>
      <x:c r="B309" s="1" t="n">
        <x:v>351</x:v>
      </x:c>
      <x:c r="C309" s="21" t="n">
        <x:f>'Controls'!$B$8+B309</x:f>
        <x:v>46679</x:v>
      </x:c>
      <x:c r="D309" s="1" t="str">
        <x:v>Tue</x:v>
      </x:c>
    </x:row>
    <x:row r="310" ht="23" customHeight="1">
      <x:c r="A310" s="6" t="n">
        <x:v>303</x:v>
      </x:c>
      <x:c r="B310" s="6" t="n">
        <x:v>352</x:v>
      </x:c>
      <x:c r="C310" s="20" t="n">
        <x:f>'Controls'!$B$8+B310</x:f>
        <x:v>46680</x:v>
      </x:c>
      <x:c r="D310" s="6" t="str">
        <x:v>Wed</x:v>
      </x:c>
    </x:row>
    <x:row r="311" ht="23" customHeight="1">
      <x:c r="A311" s="1" t="n">
        <x:v>304</x:v>
      </x:c>
      <x:c r="B311" s="1" t="n">
        <x:v>353</x:v>
      </x:c>
      <x:c r="C311" s="21" t="n">
        <x:f>'Controls'!$B$8+B311</x:f>
        <x:v>46681</x:v>
      </x:c>
      <x:c r="D311" s="1" t="str">
        <x:v>Thu</x:v>
      </x:c>
    </x:row>
    <x:row r="312" ht="23" customHeight="1">
      <x:c r="A312" s="6" t="n">
        <x:v>305</x:v>
      </x:c>
      <x:c r="B312" s="6" t="n">
        <x:v>354</x:v>
      </x:c>
      <x:c r="C312" s="20" t="n">
        <x:f>'Controls'!$B$8+B312</x:f>
        <x:v>46682</x:v>
      </x:c>
      <x:c r="D312" s="6" t="str">
        <x:v>Fri</x:v>
      </x:c>
    </x:row>
    <x:row r="313" ht="23" customHeight="1">
      <x:c r="A313" s="1" t="n">
        <x:v>306</x:v>
      </x:c>
      <x:c r="B313" s="1" t="n">
        <x:v>355</x:v>
      </x:c>
      <x:c r="C313" s="21" t="n">
        <x:f>'Controls'!$B$8+B313</x:f>
        <x:v>46683</x:v>
      </x:c>
      <x:c r="D313" s="1" t="str">
        <x:v>Sat</x:v>
      </x:c>
    </x:row>
    <x:row r="314" ht="23" customHeight="1">
      <x:c r="A314" s="6" t="n">
        <x:v>307</x:v>
      </x:c>
      <x:c r="B314" s="6" t="n">
        <x:v>357</x:v>
      </x:c>
      <x:c r="C314" s="20" t="n">
        <x:f>'Controls'!$B$8+B314</x:f>
        <x:v>46685</x:v>
      </x:c>
      <x:c r="D314" s="6" t="str">
        <x:v>Mon</x:v>
      </x:c>
    </x:row>
    <x:row r="315" ht="23" customHeight="1">
      <x:c r="A315" s="1" t="n">
        <x:v>308</x:v>
      </x:c>
      <x:c r="B315" s="1" t="n">
        <x:v>358</x:v>
      </x:c>
      <x:c r="C315" s="21" t="n">
        <x:f>'Controls'!$B$8+B315</x:f>
        <x:v>46686</x:v>
      </x:c>
      <x:c r="D315" s="1" t="str">
        <x:v>Tue</x:v>
      </x:c>
    </x:row>
    <x:row r="316" ht="23" customHeight="1">
      <x:c r="A316" s="6" t="n">
        <x:v>309</x:v>
      </x:c>
      <x:c r="B316" s="6" t="n">
        <x:v>359</x:v>
      </x:c>
      <x:c r="C316" s="20" t="n">
        <x:f>'Controls'!$B$8+B316</x:f>
        <x:v>46687</x:v>
      </x:c>
      <x:c r="D316" s="6" t="str">
        <x:v>Wed</x:v>
      </x:c>
    </x:row>
    <x:row r="317" ht="23" customHeight="1">
      <x:c r="A317" s="1" t="n">
        <x:v>310</x:v>
      </x:c>
      <x:c r="B317" s="1" t="n">
        <x:v>360</x:v>
      </x:c>
      <x:c r="C317" s="21" t="n">
        <x:f>'Controls'!$B$8+B317</x:f>
        <x:v>46688</x:v>
      </x:c>
      <x:c r="D317" s="1" t="str">
        <x:v>Thu</x:v>
      </x:c>
    </x:row>
    <x:row r="318" ht="23" customHeight="1">
      <x:c r="A318" s="6" t="n">
        <x:v>311</x:v>
      </x:c>
      <x:c r="B318" s="6" t="n">
        <x:v>361</x:v>
      </x:c>
      <x:c r="C318" s="20" t="n">
        <x:f>'Controls'!$B$8+B318</x:f>
        <x:v>46689</x:v>
      </x:c>
      <x:c r="D318" s="6" t="str">
        <x:v>Fri</x:v>
      </x:c>
    </x:row>
    <x:row r="319" ht="23" customHeight="1">
      <x:c r="A319" s="1" t="n">
        <x:v>312</x:v>
      </x:c>
      <x:c r="B319" s="1" t="n">
        <x:v>362</x:v>
      </x:c>
      <x:c r="C319" s="21" t="n">
        <x:f>'Controls'!$B$8+B319</x:f>
        <x:v>46690</x:v>
      </x:c>
      <x:c r="D319" s="1" t="str">
        <x:v>Sat</x:v>
      </x:c>
    </x:row>
    <x:row r="320" ht="23" customHeight="1">
      <x:c r="A320" s="6" t="n">
        <x:v>313</x:v>
      </x:c>
      <x:c r="B320" s="6" t="n">
        <x:v>364</x:v>
      </x:c>
      <x:c r="C320" s="20" t="n">
        <x:f>'Controls'!$B$8+B320</x:f>
        <x:v>46692</x:v>
      </x:c>
      <x:c r="D320" s="6" t="str">
        <x:v>Mon</x:v>
      </x:c>
    </x:row>
    <x:row r="321" ht="23" customHeight="1">
      <x:c r="A321" s="1" t="n">
        <x:v>314</x:v>
      </x:c>
      <x:c r="B321" s="1" t="n">
        <x:v>365</x:v>
      </x:c>
      <x:c r="C321" s="21" t="n">
        <x:f>'Controls'!$B$8+B321</x:f>
        <x:v>46693</x:v>
      </x:c>
      <x:c r="D321" s="1" t="str">
        <x:v>Tue</x:v>
      </x:c>
    </x:row>
    <x:row r="322" ht="23" customHeight="1">
      <x:c r="A322" s="6" t="n">
        <x:v>315</x:v>
      </x:c>
      <x:c r="B322" s="6" t="n">
        <x:v>366</x:v>
      </x:c>
      <x:c r="C322" s="20" t="n">
        <x:f>'Controls'!$B$8+B322</x:f>
        <x:v>46694</x:v>
      </x:c>
      <x:c r="D322" s="6" t="str">
        <x:v>Wed</x:v>
      </x:c>
    </x:row>
    <x:row r="323" ht="23" customHeight="1">
      <x:c r="A323" s="1" t="n">
        <x:v>316</x:v>
      </x:c>
      <x:c r="B323" s="1" t="n">
        <x:v>367</x:v>
      </x:c>
      <x:c r="C323" s="21" t="n">
        <x:f>'Controls'!$B$8+B323</x:f>
        <x:v>46695</x:v>
      </x:c>
      <x:c r="D323" s="1" t="str">
        <x:v>Thu</x:v>
      </x:c>
    </x:row>
    <x:row r="324" ht="23" customHeight="1">
      <x:c r="A324" s="6" t="n">
        <x:v>317</x:v>
      </x:c>
      <x:c r="B324" s="6" t="n">
        <x:v>368</x:v>
      </x:c>
      <x:c r="C324" s="20" t="n">
        <x:f>'Controls'!$B$8+B324</x:f>
        <x:v>46696</x:v>
      </x:c>
      <x:c r="D324" s="6" t="str">
        <x:v>Fri</x:v>
      </x:c>
    </x:row>
    <x:row r="325" ht="23" customHeight="1">
      <x:c r="A325" s="1" t="n">
        <x:v>318</x:v>
      </x:c>
      <x:c r="B325" s="1" t="n">
        <x:v>369</x:v>
      </x:c>
      <x:c r="C325" s="21" t="n">
        <x:f>'Controls'!$B$8+B325</x:f>
        <x:v>46697</x:v>
      </x:c>
      <x:c r="D325" s="1" t="str">
        <x:v>Sat</x:v>
      </x:c>
    </x:row>
    <x:row r="326" ht="23" customHeight="1">
      <x:c r="A326" s="6" t="n">
        <x:v>319</x:v>
      </x:c>
      <x:c r="B326" s="6" t="n">
        <x:v>371</x:v>
      </x:c>
      <x:c r="C326" s="20" t="n">
        <x:f>'Controls'!$B$8+B326</x:f>
        <x:v>46699</x:v>
      </x:c>
      <x:c r="D326" s="6" t="str">
        <x:v>Mon</x:v>
      </x:c>
    </x:row>
    <x:row r="327" ht="23" customHeight="1">
      <x:c r="A327" s="1" t="n">
        <x:v>320</x:v>
      </x:c>
      <x:c r="B327" s="1" t="n">
        <x:v>372</x:v>
      </x:c>
      <x:c r="C327" s="21" t="n">
        <x:f>'Controls'!$B$8+B327</x:f>
        <x:v>46700</x:v>
      </x:c>
      <x:c r="D327" s="1" t="str">
        <x:v>Tue</x:v>
      </x:c>
    </x:row>
    <x:row r="328" ht="23" customHeight="1">
      <x:c r="A328" s="6" t="n">
        <x:v>321</x:v>
      </x:c>
      <x:c r="B328" s="6" t="n">
        <x:v>373</x:v>
      </x:c>
      <x:c r="C328" s="20" t="n">
        <x:f>'Controls'!$B$8+B328</x:f>
        <x:v>46701</x:v>
      </x:c>
      <x:c r="D328" s="6" t="str">
        <x:v>Wed</x:v>
      </x:c>
    </x:row>
    <x:row r="329" ht="23" customHeight="1">
      <x:c r="A329" s="1" t="n">
        <x:v>322</x:v>
      </x:c>
      <x:c r="B329" s="1" t="n">
        <x:v>374</x:v>
      </x:c>
      <x:c r="C329" s="21" t="n">
        <x:f>'Controls'!$B$8+B329</x:f>
        <x:v>46702</x:v>
      </x:c>
      <x:c r="D329" s="1" t="str">
        <x:v>Thu</x:v>
      </x:c>
    </x:row>
    <x:row r="330" ht="23" customHeight="1">
      <x:c r="A330" s="6" t="n">
        <x:v>323</x:v>
      </x:c>
      <x:c r="B330" s="6" t="n">
        <x:v>375</x:v>
      </x:c>
      <x:c r="C330" s="20" t="n">
        <x:f>'Controls'!$B$8+B330</x:f>
        <x:v>46703</x:v>
      </x:c>
      <x:c r="D330" s="6" t="str">
        <x:v>Fri</x:v>
      </x:c>
    </x:row>
    <x:row r="331" ht="23" customHeight="1">
      <x:c r="A331" s="1" t="n">
        <x:v>324</x:v>
      </x:c>
      <x:c r="B331" s="1" t="n">
        <x:v>376</x:v>
      </x:c>
      <x:c r="C331" s="21" t="n">
        <x:f>'Controls'!$B$8+B331</x:f>
        <x:v>46704</x:v>
      </x:c>
      <x:c r="D331" s="1" t="str">
        <x:v>Sat</x:v>
      </x:c>
    </x:row>
    <x:row r="332" ht="23" customHeight="1">
      <x:c r="A332" s="6" t="n">
        <x:v>325</x:v>
      </x:c>
      <x:c r="B332" s="6" t="n">
        <x:v>378</x:v>
      </x:c>
      <x:c r="C332" s="20" t="n">
        <x:f>'Controls'!$B$8+B332</x:f>
        <x:v>46706</x:v>
      </x:c>
      <x:c r="D332" s="6" t="str">
        <x:v>Mon</x:v>
      </x:c>
    </x:row>
    <x:row r="333" ht="23" customHeight="1">
      <x:c r="A333" s="1" t="n">
        <x:v>326</x:v>
      </x:c>
      <x:c r="B333" s="1" t="n">
        <x:v>379</x:v>
      </x:c>
      <x:c r="C333" s="21" t="n">
        <x:f>'Controls'!$B$8+B333</x:f>
        <x:v>46707</x:v>
      </x:c>
      <x:c r="D333" s="1" t="str">
        <x:v>Tue</x:v>
      </x:c>
    </x:row>
    <x:row r="334" ht="23" customHeight="1">
      <x:c r="A334" s="6" t="n">
        <x:v>327</x:v>
      </x:c>
      <x:c r="B334" s="6" t="n">
        <x:v>380</x:v>
      </x:c>
      <x:c r="C334" s="20" t="n">
        <x:f>'Controls'!$B$8+B334</x:f>
        <x:v>46708</x:v>
      </x:c>
      <x:c r="D334" s="6" t="str">
        <x:v>Wed</x:v>
      </x:c>
    </x:row>
    <x:row r="335" ht="23" customHeight="1">
      <x:c r="A335" s="1" t="n">
        <x:v>328</x:v>
      </x:c>
      <x:c r="B335" s="1" t="n">
        <x:v>381</x:v>
      </x:c>
      <x:c r="C335" s="21" t="n">
        <x:f>'Controls'!$B$8+B335</x:f>
        <x:v>46709</x:v>
      </x:c>
      <x:c r="D335" s="1" t="str">
        <x:v>Thu</x:v>
      </x:c>
    </x:row>
    <x:row r="336" ht="23" customHeight="1">
      <x:c r="A336" s="6" t="n">
        <x:v>329</x:v>
      </x:c>
      <x:c r="B336" s="6" t="n">
        <x:v>382</x:v>
      </x:c>
      <x:c r="C336" s="20" t="n">
        <x:f>'Controls'!$B$8+B336</x:f>
        <x:v>46710</x:v>
      </x:c>
      <x:c r="D336" s="6" t="str">
        <x:v>Fri</x:v>
      </x:c>
    </x:row>
    <x:row r="337" ht="23" customHeight="1">
      <x:c r="A337" s="1" t="n">
        <x:v>330</x:v>
      </x:c>
      <x:c r="B337" s="1" t="n">
        <x:v>383</x:v>
      </x:c>
      <x:c r="C337" s="21" t="n">
        <x:f>'Controls'!$B$8+B337</x:f>
        <x:v>46711</x:v>
      </x:c>
      <x:c r="D337" s="1" t="str">
        <x:v>Sat</x:v>
      </x:c>
    </x:row>
    <x:row r="338" ht="23" customHeight="1">
      <x:c r="A338" s="6" t="n">
        <x:v>331</x:v>
      </x:c>
      <x:c r="B338" s="6" t="n">
        <x:v>385</x:v>
      </x:c>
      <x:c r="C338" s="20" t="n">
        <x:f>'Controls'!$B$8+B338</x:f>
        <x:v>46713</x:v>
      </x:c>
      <x:c r="D338" s="6" t="str">
        <x:v>Mon</x:v>
      </x:c>
    </x:row>
    <x:row r="339" ht="23" customHeight="1">
      <x:c r="A339" s="1" t="n">
        <x:v>332</x:v>
      </x:c>
      <x:c r="B339" s="1" t="n">
        <x:v>386</x:v>
      </x:c>
      <x:c r="C339" s="21" t="n">
        <x:f>'Controls'!$B$8+B339</x:f>
        <x:v>46714</x:v>
      </x:c>
      <x:c r="D339" s="1" t="str">
        <x:v>Tue</x:v>
      </x:c>
    </x:row>
    <x:row r="340" ht="23" customHeight="1">
      <x:c r="A340" s="6" t="n">
        <x:v>333</x:v>
      </x:c>
      <x:c r="B340" s="6" t="n">
        <x:v>387</x:v>
      </x:c>
      <x:c r="C340" s="20" t="n">
        <x:f>'Controls'!$B$8+B340</x:f>
        <x:v>46715</x:v>
      </x:c>
      <x:c r="D340" s="6" t="str">
        <x:v>Wed</x:v>
      </x:c>
    </x:row>
    <x:row r="341" ht="23" customHeight="1">
      <x:c r="A341" s="1" t="n">
        <x:v>334</x:v>
      </x:c>
      <x:c r="B341" s="1" t="n">
        <x:v>388</x:v>
      </x:c>
      <x:c r="C341" s="21" t="n">
        <x:f>'Controls'!$B$8+B341</x:f>
        <x:v>46716</x:v>
      </x:c>
      <x:c r="D341" s="1" t="str">
        <x:v>Thu</x:v>
      </x:c>
    </x:row>
    <x:row r="342" ht="23" customHeight="1">
      <x:c r="A342" s="6" t="n">
        <x:v>335</x:v>
      </x:c>
      <x:c r="B342" s="6" t="n">
        <x:v>389</x:v>
      </x:c>
      <x:c r="C342" s="20" t="n">
        <x:f>'Controls'!$B$8+B342</x:f>
        <x:v>46717</x:v>
      </x:c>
      <x:c r="D342" s="6" t="str">
        <x:v>Fri</x:v>
      </x:c>
    </x:row>
    <x:row r="343" ht="23" customHeight="1">
      <x:c r="A343" s="1" t="n">
        <x:v>336</x:v>
      </x:c>
      <x:c r="B343" s="1" t="n">
        <x:v>390</x:v>
      </x:c>
      <x:c r="C343" s="21" t="n">
        <x:f>'Controls'!$B$8+B343</x:f>
        <x:v>46718</x:v>
      </x:c>
      <x:c r="D343" s="1" t="str">
        <x:v>Sat</x:v>
      </x:c>
    </x:row>
    <x:row r="344" ht="23" customHeight="1">
      <x:c r="A344" s="6" t="n">
        <x:v>337</x:v>
      </x:c>
      <x:c r="B344" s="6" t="n">
        <x:v>392</x:v>
      </x:c>
      <x:c r="C344" s="20" t="n">
        <x:f>'Controls'!$B$8+B344</x:f>
        <x:v>46720</x:v>
      </x:c>
      <x:c r="D344" s="6" t="str">
        <x:v>Mon</x:v>
      </x:c>
    </x:row>
    <x:row r="345" ht="23" customHeight="1">
      <x:c r="A345" s="1" t="n">
        <x:v>338</x:v>
      </x:c>
      <x:c r="B345" s="1" t="n">
        <x:v>393</x:v>
      </x:c>
      <x:c r="C345" s="21" t="n">
        <x:f>'Controls'!$B$8+B345</x:f>
        <x:v>46721</x:v>
      </x:c>
      <x:c r="D345" s="1" t="str">
        <x:v>Tue</x:v>
      </x:c>
    </x:row>
    <x:row r="346" ht="23" customHeight="1">
      <x:c r="A346" s="6" t="n">
        <x:v>339</x:v>
      </x:c>
      <x:c r="B346" s="6" t="n">
        <x:v>394</x:v>
      </x:c>
      <x:c r="C346" s="20" t="n">
        <x:f>'Controls'!$B$8+B346</x:f>
        <x:v>46722</x:v>
      </x:c>
      <x:c r="D346" s="6" t="str">
        <x:v>Wed</x:v>
      </x:c>
    </x:row>
    <x:row r="347" ht="23" customHeight="1">
      <x:c r="A347" s="1" t="n">
        <x:v>340</x:v>
      </x:c>
      <x:c r="B347" s="1" t="n">
        <x:v>395</x:v>
      </x:c>
      <x:c r="C347" s="21" t="n">
        <x:f>'Controls'!$B$8+B347</x:f>
        <x:v>46723</x:v>
      </x:c>
      <x:c r="D347" s="1" t="str">
        <x:v>Thu</x:v>
      </x:c>
    </x:row>
    <x:row r="348" ht="23" customHeight="1">
      <x:c r="A348" s="6" t="n">
        <x:v>341</x:v>
      </x:c>
      <x:c r="B348" s="6" t="n">
        <x:v>396</x:v>
      </x:c>
      <x:c r="C348" s="20" t="n">
        <x:f>'Controls'!$B$8+B348</x:f>
        <x:v>46724</x:v>
      </x:c>
      <x:c r="D348" s="6" t="str">
        <x:v>Fri</x:v>
      </x:c>
    </x:row>
    <x:row r="349" ht="23" customHeight="1">
      <x:c r="A349" s="1" t="n">
        <x:v>342</x:v>
      </x:c>
      <x:c r="B349" s="1" t="n">
        <x:v>397</x:v>
      </x:c>
      <x:c r="C349" s="21" t="n">
        <x:f>'Controls'!$B$8+B349</x:f>
        <x:v>46725</x:v>
      </x:c>
      <x:c r="D349" s="1" t="str">
        <x:v>Sat</x:v>
      </x:c>
    </x:row>
    <x:row r="350" ht="23" customHeight="1">
      <x:c r="A350" s="6" t="n">
        <x:v>343</x:v>
      </x:c>
      <x:c r="B350" s="6" t="n">
        <x:v>399</x:v>
      </x:c>
      <x:c r="C350" s="20" t="n">
        <x:f>'Controls'!$B$8+B350</x:f>
        <x:v>46727</x:v>
      </x:c>
      <x:c r="D350" s="6" t="str">
        <x:v>Mon</x:v>
      </x:c>
    </x:row>
    <x:row r="351" ht="23" customHeight="1">
      <x:c r="A351" s="1" t="n">
        <x:v>344</x:v>
      </x:c>
      <x:c r="B351" s="1" t="n">
        <x:v>400</x:v>
      </x:c>
      <x:c r="C351" s="21" t="n">
        <x:f>'Controls'!$B$8+B351</x:f>
        <x:v>46728</x:v>
      </x:c>
      <x:c r="D351" s="1" t="str">
        <x:v>Tue</x:v>
      </x:c>
    </x:row>
    <x:row r="352" ht="23" customHeight="1">
      <x:c r="A352" s="6" t="n">
        <x:v>345</x:v>
      </x:c>
      <x:c r="B352" s="6" t="n">
        <x:v>401</x:v>
      </x:c>
      <x:c r="C352" s="20" t="n">
        <x:f>'Controls'!$B$8+B352</x:f>
        <x:v>46729</x:v>
      </x:c>
      <x:c r="D352" s="6" t="str">
        <x:v>Wed</x:v>
      </x:c>
    </x:row>
    <x:row r="353" ht="23" customHeight="1">
      <x:c r="A353" s="1" t="n">
        <x:v>346</x:v>
      </x:c>
      <x:c r="B353" s="1" t="n">
        <x:v>402</x:v>
      </x:c>
      <x:c r="C353" s="21" t="n">
        <x:f>'Controls'!$B$8+B353</x:f>
        <x:v>46730</x:v>
      </x:c>
      <x:c r="D353" s="1" t="str">
        <x:v>Thu</x:v>
      </x:c>
    </x:row>
    <x:row r="354" ht="23" customHeight="1">
      <x:c r="A354" s="6" t="n">
        <x:v>347</x:v>
      </x:c>
      <x:c r="B354" s="6" t="n">
        <x:v>403</x:v>
      </x:c>
      <x:c r="C354" s="20" t="n">
        <x:f>'Controls'!$B$8+B354</x:f>
        <x:v>46731</x:v>
      </x:c>
      <x:c r="D354" s="6" t="str">
        <x:v>Fri</x:v>
      </x:c>
    </x:row>
    <x:row r="355" ht="23" customHeight="1">
      <x:c r="A355" s="1" t="n">
        <x:v>348</x:v>
      </x:c>
      <x:c r="B355" s="1" t="n">
        <x:v>404</x:v>
      </x:c>
      <x:c r="C355" s="21" t="n">
        <x:f>'Controls'!$B$8+B355</x:f>
        <x:v>46732</x:v>
      </x:c>
      <x:c r="D355" s="1" t="str">
        <x:v>Sat</x:v>
      </x:c>
    </x:row>
    <x:row r="356" ht="23" customHeight="1">
      <x:c r="A356" s="6" t="n">
        <x:v>349</x:v>
      </x:c>
      <x:c r="B356" s="6" t="n">
        <x:v>406</x:v>
      </x:c>
      <x:c r="C356" s="20" t="n">
        <x:f>'Controls'!$B$8+B356</x:f>
        <x:v>46734</x:v>
      </x:c>
      <x:c r="D356" s="6" t="str">
        <x:v>Mon</x:v>
      </x:c>
    </x:row>
    <x:row r="357" ht="23" customHeight="1">
      <x:c r="A357" s="1" t="n">
        <x:v>350</x:v>
      </x:c>
      <x:c r="B357" s="1" t="n">
        <x:v>407</x:v>
      </x:c>
      <x:c r="C357" s="21" t="n">
        <x:f>'Controls'!$B$8+B357</x:f>
        <x:v>46735</x:v>
      </x:c>
      <x:c r="D357" s="1" t="str">
        <x:v>Tue</x:v>
      </x:c>
    </x:row>
    <x:row r="358" ht="23" customHeight="1">
      <x:c r="A358" s="6" t="n">
        <x:v>351</x:v>
      </x:c>
      <x:c r="B358" s="6" t="n">
        <x:v>408</x:v>
      </x:c>
      <x:c r="C358" s="20" t="n">
        <x:f>'Controls'!$B$8+B358</x:f>
        <x:v>46736</x:v>
      </x:c>
      <x:c r="D358" s="6" t="str">
        <x:v>Wed</x:v>
      </x:c>
    </x:row>
    <x:row r="359" ht="23" customHeight="1">
      <x:c r="A359" s="1" t="n">
        <x:v>352</x:v>
      </x:c>
      <x:c r="B359" s="1" t="n">
        <x:v>409</x:v>
      </x:c>
      <x:c r="C359" s="21" t="n">
        <x:f>'Controls'!$B$8+B359</x:f>
        <x:v>46737</x:v>
      </x:c>
      <x:c r="D359" s="1" t="str">
        <x:v>Thu</x:v>
      </x:c>
    </x:row>
    <x:row r="360" ht="23" customHeight="1">
      <x:c r="A360" s="6" t="n">
        <x:v>353</x:v>
      </x:c>
      <x:c r="B360" s="6" t="n">
        <x:v>410</x:v>
      </x:c>
      <x:c r="C360" s="20" t="n">
        <x:f>'Controls'!$B$8+B360</x:f>
        <x:v>46738</x:v>
      </x:c>
      <x:c r="D360" s="6" t="str">
        <x:v>Fri</x:v>
      </x:c>
    </x:row>
    <x:row r="361" ht="23" customHeight="1">
      <x:c r="A361" s="1" t="n">
        <x:v>354</x:v>
      </x:c>
      <x:c r="B361" s="1" t="n">
        <x:v>411</x:v>
      </x:c>
      <x:c r="C361" s="21" t="n">
        <x:f>'Controls'!$B$8+B361</x:f>
        <x:v>46739</x:v>
      </x:c>
      <x:c r="D361" s="1" t="str">
        <x:v>Sat</x:v>
      </x:c>
    </x:row>
    <x:row r="362" ht="23" customHeight="1">
      <x:c r="A362" s="6" t="n">
        <x:v>355</x:v>
      </x:c>
      <x:c r="B362" s="6" t="n">
        <x:v>413</x:v>
      </x:c>
      <x:c r="C362" s="20" t="n">
        <x:f>'Controls'!$B$8+B362</x:f>
        <x:v>46741</x:v>
      </x:c>
      <x:c r="D362" s="6" t="str">
        <x:v>Mon</x:v>
      </x:c>
    </x:row>
    <x:row r="363" ht="23" customHeight="1">
      <x:c r="A363" s="1" t="n">
        <x:v>356</x:v>
      </x:c>
      <x:c r="B363" s="1" t="n">
        <x:v>414</x:v>
      </x:c>
      <x:c r="C363" s="21" t="n">
        <x:f>'Controls'!$B$8+B363</x:f>
        <x:v>46742</x:v>
      </x:c>
      <x:c r="D363" s="1" t="str">
        <x:v>Tue</x:v>
      </x:c>
    </x:row>
    <x:row r="364" ht="23" customHeight="1">
      <x:c r="A364" s="6" t="n">
        <x:v>357</x:v>
      </x:c>
      <x:c r="B364" s="6" t="n">
        <x:v>415</x:v>
      </x:c>
      <x:c r="C364" s="20" t="n">
        <x:f>'Controls'!$B$8+B364</x:f>
        <x:v>46743</x:v>
      </x:c>
      <x:c r="D364" s="6" t="str">
        <x:v>Wed</x:v>
      </x:c>
    </x:row>
    <x:row r="365" ht="23" customHeight="1">
      <x:c r="A365" s="1" t="n">
        <x:v>358</x:v>
      </x:c>
      <x:c r="B365" s="1" t="n">
        <x:v>416</x:v>
      </x:c>
      <x:c r="C365" s="21" t="n">
        <x:f>'Controls'!$B$8+B365</x:f>
        <x:v>46744</x:v>
      </x:c>
      <x:c r="D365" s="1" t="str">
        <x:v>Thu</x:v>
      </x:c>
    </x:row>
    <x:row r="366" ht="23" customHeight="1">
      <x:c r="A366" s="6" t="n">
        <x:v>359</x:v>
      </x:c>
      <x:c r="B366" s="6" t="n">
        <x:v>417</x:v>
      </x:c>
      <x:c r="C366" s="20" t="n">
        <x:f>'Controls'!$B$8+B366</x:f>
        <x:v>46745</x:v>
      </x:c>
      <x:c r="D366" s="6" t="str">
        <x:v>Fri</x:v>
      </x:c>
    </x:row>
    <x:row r="367" ht="23" customHeight="1">
      <x:c r="A367" s="1" t="n">
        <x:v>360</x:v>
      </x:c>
      <x:c r="B367" s="1" t="n">
        <x:v>418</x:v>
      </x:c>
      <x:c r="C367" s="21" t="n">
        <x:f>'Controls'!$B$8+B367</x:f>
        <x:v>46746</x:v>
      </x:c>
      <x:c r="D367" s="1" t="str">
        <x:v>Sat</x:v>
      </x:c>
    </x:row>
    <x:row r="368" ht="23" customHeight="1">
      <x:c r="A368" s="6" t="n">
        <x:v>361</x:v>
      </x:c>
      <x:c r="B368" s="6" t="n">
        <x:v>420</x:v>
      </x:c>
      <x:c r="C368" s="20" t="n">
        <x:f>'Controls'!$B$8+B368</x:f>
        <x:v>46748</x:v>
      </x:c>
      <x:c r="D368" s="6" t="str">
        <x:v>Mon</x:v>
      </x:c>
    </x:row>
    <x:row r="369" ht="23" customHeight="1">
      <x:c r="A369" s="1" t="n">
        <x:v>362</x:v>
      </x:c>
      <x:c r="B369" s="1" t="n">
        <x:v>421</x:v>
      </x:c>
      <x:c r="C369" s="21" t="n">
        <x:f>'Controls'!$B$8+B369</x:f>
        <x:v>46749</x:v>
      </x:c>
      <x:c r="D369" s="1" t="str">
        <x:v>Tue</x:v>
      </x:c>
    </x:row>
    <x:row r="370" ht="23" customHeight="1">
      <x:c r="A370" s="6" t="n">
        <x:v>363</x:v>
      </x:c>
      <x:c r="B370" s="6" t="n">
        <x:v>422</x:v>
      </x:c>
      <x:c r="C370" s="20" t="n">
        <x:f>'Controls'!$B$8+B370</x:f>
        <x:v>46750</x:v>
      </x:c>
      <x:c r="D370" s="6" t="str">
        <x:v>Wed</x:v>
      </x:c>
    </x:row>
    <x:row r="371" ht="23" customHeight="1">
      <x:c r="A371" s="1" t="n">
        <x:v>364</x:v>
      </x:c>
      <x:c r="B371" s="1" t="n">
        <x:v>423</x:v>
      </x:c>
      <x:c r="C371" s="21" t="n">
        <x:f>'Controls'!$B$8+B371</x:f>
        <x:v>46751</x:v>
      </x:c>
      <x:c r="D371" s="1" t="str">
        <x:v>Thu</x:v>
      </x:c>
    </x:row>
    <x:row r="372" ht="23" customHeight="1">
      <x:c r="A372" s="6" t="n">
        <x:v>365</x:v>
      </x:c>
      <x:c r="B372" s="6" t="n">
        <x:v>424</x:v>
      </x:c>
      <x:c r="C372" s="20" t="n">
        <x:f>'Controls'!$B$8+B372</x:f>
        <x:v>46752</x:v>
      </x:c>
      <x:c r="D372" s="6" t="str">
        <x:v>Fri</x:v>
      </x:c>
    </x:row>
    <x:row r="373" ht="23" customHeight="1">
      <x:c r="A373" s="1" t="n">
        <x:v>366</x:v>
      </x:c>
      <x:c r="B373" s="1" t="n">
        <x:v>425</x:v>
      </x:c>
      <x:c r="C373" s="21" t="n">
        <x:f>'Controls'!$B$8+B373</x:f>
        <x:v>46753</x:v>
      </x:c>
      <x:c r="D373" s="1" t="str">
        <x:v>Sat</x:v>
      </x:c>
    </x:row>
    <x:row r="374" ht="23" customHeight="1">
      <x:c r="A374" s="6" t="n">
        <x:v>367</x:v>
      </x:c>
      <x:c r="B374" s="6" t="n">
        <x:v>427</x:v>
      </x:c>
      <x:c r="C374" s="20" t="n">
        <x:f>'Controls'!$B$8+B374</x:f>
        <x:v>46755</x:v>
      </x:c>
      <x:c r="D374" s="6" t="str">
        <x:v>Mon</x:v>
      </x:c>
    </x:row>
    <x:row r="375" ht="23" customHeight="1">
      <x:c r="A375" s="1" t="n">
        <x:v>368</x:v>
      </x:c>
      <x:c r="B375" s="1" t="n">
        <x:v>428</x:v>
      </x:c>
      <x:c r="C375" s="21" t="n">
        <x:f>'Controls'!$B$8+B375</x:f>
        <x:v>46756</x:v>
      </x:c>
      <x:c r="D375" s="1" t="str">
        <x:v>Tue</x:v>
      </x:c>
    </x:row>
    <x:row r="376" ht="23" customHeight="1">
      <x:c r="A376" s="6" t="n">
        <x:v>369</x:v>
      </x:c>
      <x:c r="B376" s="6" t="n">
        <x:v>429</x:v>
      </x:c>
      <x:c r="C376" s="20" t="n">
        <x:f>'Controls'!$B$8+B376</x:f>
        <x:v>46757</x:v>
      </x:c>
      <x:c r="D376" s="6" t="str">
        <x:v>Wed</x:v>
      </x:c>
    </x:row>
    <x:row r="377" ht="23" customHeight="1">
      <x:c r="A377" s="1" t="n">
        <x:v>370</x:v>
      </x:c>
      <x:c r="B377" s="1" t="n">
        <x:v>430</x:v>
      </x:c>
      <x:c r="C377" s="21" t="n">
        <x:f>'Controls'!$B$8+B377</x:f>
        <x:v>46758</x:v>
      </x:c>
      <x:c r="D377" s="1" t="str">
        <x:v>Thu</x:v>
      </x:c>
    </x:row>
    <x:row r="378" ht="23" customHeight="1">
      <x:c r="A378" s="6" t="n">
        <x:v>371</x:v>
      </x:c>
      <x:c r="B378" s="6" t="n">
        <x:v>431</x:v>
      </x:c>
      <x:c r="C378" s="20" t="n">
        <x:f>'Controls'!$B$8+B378</x:f>
        <x:v>46759</x:v>
      </x:c>
      <x:c r="D378" s="6" t="str">
        <x:v>Fri</x:v>
      </x:c>
    </x:row>
    <x:row r="379" ht="23" customHeight="1">
      <x:c r="A379" s="1" t="n">
        <x:v>372</x:v>
      </x:c>
      <x:c r="B379" s="1" t="n">
        <x:v>432</x:v>
      </x:c>
      <x:c r="C379" s="21" t="n">
        <x:f>'Controls'!$B$8+B379</x:f>
        <x:v>46760</x:v>
      </x:c>
      <x:c r="D379" s="1" t="str">
        <x:v>Sat</x:v>
      </x:c>
    </x:row>
    <x:row r="380" ht="23" customHeight="1">
      <x:c r="A380" s="6" t="n">
        <x:v>373</x:v>
      </x:c>
      <x:c r="B380" s="6" t="n">
        <x:v>434</x:v>
      </x:c>
      <x:c r="C380" s="20" t="n">
        <x:f>'Controls'!$B$8+B380</x:f>
        <x:v>46762</x:v>
      </x:c>
      <x:c r="D380" s="6" t="str">
        <x:v>Mon</x:v>
      </x:c>
    </x:row>
    <x:row r="381" ht="23" customHeight="1">
      <x:c r="A381" s="1" t="n">
        <x:v>374</x:v>
      </x:c>
      <x:c r="B381" s="1" t="n">
        <x:v>435</x:v>
      </x:c>
      <x:c r="C381" s="21" t="n">
        <x:f>'Controls'!$B$8+B381</x:f>
        <x:v>46763</x:v>
      </x:c>
      <x:c r="D381" s="1" t="str">
        <x:v>Tue</x:v>
      </x:c>
    </x:row>
    <x:row r="382" ht="23" customHeight="1">
      <x:c r="A382" s="6" t="n">
        <x:v>375</x:v>
      </x:c>
      <x:c r="B382" s="6" t="n">
        <x:v>436</x:v>
      </x:c>
      <x:c r="C382" s="20" t="n">
        <x:f>'Controls'!$B$8+B382</x:f>
        <x:v>46764</x:v>
      </x:c>
      <x:c r="D382" s="6" t="str">
        <x:v>Wed</x:v>
      </x:c>
    </x:row>
    <x:row r="383" ht="23" customHeight="1">
      <x:c r="A383" s="1" t="n">
        <x:v>376</x:v>
      </x:c>
      <x:c r="B383" s="1" t="n">
        <x:v>437</x:v>
      </x:c>
      <x:c r="C383" s="21" t="n">
        <x:f>'Controls'!$B$8+B383</x:f>
        <x:v>46765</x:v>
      </x:c>
      <x:c r="D383" s="1" t="str">
        <x:v>Thu</x:v>
      </x:c>
    </x:row>
    <x:row r="384" ht="23" customHeight="1">
      <x:c r="A384" s="6" t="n">
        <x:v>377</x:v>
      </x:c>
      <x:c r="B384" s="6" t="n">
        <x:v>438</x:v>
      </x:c>
      <x:c r="C384" s="20" t="n">
        <x:f>'Controls'!$B$8+B384</x:f>
        <x:v>46766</x:v>
      </x:c>
      <x:c r="D384" s="6" t="str">
        <x:v>Fri</x:v>
      </x:c>
    </x:row>
    <x:row r="385" ht="23" customHeight="1">
      <x:c r="A385" s="1" t="n">
        <x:v>378</x:v>
      </x:c>
      <x:c r="B385" s="1" t="n">
        <x:v>439</x:v>
      </x:c>
      <x:c r="C385" s="21" t="n">
        <x:f>'Controls'!$B$8+B385</x:f>
        <x:v>46767</x:v>
      </x:c>
      <x:c r="D385" s="1" t="str">
        <x:v>Sat</x:v>
      </x:c>
    </x:row>
    <x:row r="386" ht="23" customHeight="1">
      <x:c r="A386" s="6" t="n">
        <x:v>379</x:v>
      </x:c>
      <x:c r="B386" s="6" t="n">
        <x:v>441</x:v>
      </x:c>
      <x:c r="C386" s="20" t="n">
        <x:f>'Controls'!$B$8+B386</x:f>
        <x:v>46769</x:v>
      </x:c>
      <x:c r="D386" s="6" t="str">
        <x:v>Mon</x:v>
      </x:c>
    </x:row>
    <x:row r="387" ht="23" customHeight="1">
      <x:c r="A387" s="1" t="n">
        <x:v>380</x:v>
      </x:c>
      <x:c r="B387" s="1" t="n">
        <x:v>442</x:v>
      </x:c>
      <x:c r="C387" s="21" t="n">
        <x:f>'Controls'!$B$8+B387</x:f>
        <x:v>46770</x:v>
      </x:c>
      <x:c r="D387" s="1" t="str">
        <x:v>Tue</x:v>
      </x:c>
    </x:row>
    <x:row r="388" ht="23" customHeight="1">
      <x:c r="A388" s="6" t="n">
        <x:v>381</x:v>
      </x:c>
      <x:c r="B388" s="6" t="n">
        <x:v>443</x:v>
      </x:c>
      <x:c r="C388" s="20" t="n">
        <x:f>'Controls'!$B$8+B388</x:f>
        <x:v>46771</x:v>
      </x:c>
      <x:c r="D388" s="6" t="str">
        <x:v>Wed</x:v>
      </x:c>
    </x:row>
    <x:row r="389" ht="23" customHeight="1">
      <x:c r="A389" s="1" t="n">
        <x:v>382</x:v>
      </x:c>
      <x:c r="B389" s="1" t="n">
        <x:v>444</x:v>
      </x:c>
      <x:c r="C389" s="21" t="n">
        <x:f>'Controls'!$B$8+B389</x:f>
        <x:v>46772</x:v>
      </x:c>
      <x:c r="D389" s="1" t="str">
        <x:v>Thu</x:v>
      </x:c>
    </x:row>
    <x:row r="390" ht="23" customHeight="1">
      <x:c r="A390" s="6" t="n">
        <x:v>383</x:v>
      </x:c>
      <x:c r="B390" s="6" t="n">
        <x:v>445</x:v>
      </x:c>
      <x:c r="C390" s="20" t="n">
        <x:f>'Controls'!$B$8+B390</x:f>
        <x:v>46773</x:v>
      </x:c>
      <x:c r="D390" s="6" t="str">
        <x:v>Fri</x:v>
      </x:c>
    </x:row>
    <x:row r="391" ht="23" customHeight="1">
      <x:c r="A391" s="1" t="n">
        <x:v>384</x:v>
      </x:c>
      <x:c r="B391" s="1" t="n">
        <x:v>446</x:v>
      </x:c>
      <x:c r="C391" s="21" t="n">
        <x:f>'Controls'!$B$8+B391</x:f>
        <x:v>46774</x:v>
      </x:c>
      <x:c r="D391" s="1" t="str">
        <x:v>Sat</x:v>
      </x:c>
    </x:row>
    <x:row r="392" ht="23" customHeight="1">
      <x:c r="A392" s="6" t="n">
        <x:v>385</x:v>
      </x:c>
      <x:c r="B392" s="6" t="n">
        <x:v>448</x:v>
      </x:c>
      <x:c r="C392" s="20" t="n">
        <x:f>'Controls'!$B$8+B392</x:f>
        <x:v>46776</x:v>
      </x:c>
      <x:c r="D392" s="6" t="str">
        <x:v>Mon</x:v>
      </x:c>
    </x:row>
    <x:row r="393" ht="23" customHeight="1">
      <x:c r="A393" s="1" t="n">
        <x:v>386</x:v>
      </x:c>
      <x:c r="B393" s="1" t="n">
        <x:v>449</x:v>
      </x:c>
      <x:c r="C393" s="21" t="n">
        <x:f>'Controls'!$B$8+B393</x:f>
        <x:v>46777</x:v>
      </x:c>
      <x:c r="D393" s="1" t="str">
        <x:v>Tue</x:v>
      </x:c>
    </x:row>
    <x:row r="394" ht="23" customHeight="1">
      <x:c r="A394" s="6" t="n">
        <x:v>387</x:v>
      </x:c>
      <x:c r="B394" s="6" t="n">
        <x:v>450</x:v>
      </x:c>
      <x:c r="C394" s="20" t="n">
        <x:f>'Controls'!$B$8+B394</x:f>
        <x:v>46778</x:v>
      </x:c>
      <x:c r="D394" s="6" t="str">
        <x:v>Wed</x:v>
      </x:c>
    </x:row>
    <x:row r="395" ht="23" customHeight="1">
      <x:c r="A395" s="1" t="n">
        <x:v>388</x:v>
      </x:c>
      <x:c r="B395" s="1" t="n">
        <x:v>451</x:v>
      </x:c>
      <x:c r="C395" s="21" t="n">
        <x:f>'Controls'!$B$8+B395</x:f>
        <x:v>46779</x:v>
      </x:c>
      <x:c r="D395" s="1" t="str">
        <x:v>Thu</x:v>
      </x:c>
    </x:row>
    <x:row r="396" ht="23" customHeight="1">
      <x:c r="A396" s="6" t="n">
        <x:v>389</x:v>
      </x:c>
      <x:c r="B396" s="6" t="n">
        <x:v>452</x:v>
      </x:c>
      <x:c r="C396" s="20" t="n">
        <x:f>'Controls'!$B$8+B396</x:f>
        <x:v>46780</x:v>
      </x:c>
      <x:c r="D396" s="6" t="str">
        <x:v>Fri</x:v>
      </x:c>
    </x:row>
    <x:row r="397" ht="23" customHeight="1">
      <x:c r="A397" s="1" t="n">
        <x:v>390</x:v>
      </x:c>
      <x:c r="B397" s="1" t="n">
        <x:v>453</x:v>
      </x:c>
      <x:c r="C397" s="21" t="n">
        <x:f>'Controls'!$B$8+B397</x:f>
        <x:v>46781</x:v>
      </x:c>
      <x:c r="D397" s="1" t="str">
        <x:v>Sat</x:v>
      </x:c>
    </x:row>
    <x:row r="398" ht="23" customHeight="1">
      <x:c r="A398" s="6" t="n">
        <x:v>391</x:v>
      </x:c>
      <x:c r="B398" s="6" t="n">
        <x:v>455</x:v>
      </x:c>
      <x:c r="C398" s="20" t="n">
        <x:f>'Controls'!$B$8+B398</x:f>
        <x:v>46783</x:v>
      </x:c>
      <x:c r="D398" s="6" t="str">
        <x:v>Mon</x:v>
      </x:c>
    </x:row>
    <x:row r="399" ht="23" customHeight="1">
      <x:c r="A399" s="1" t="n">
        <x:v>392</x:v>
      </x:c>
      <x:c r="B399" s="1" t="n">
        <x:v>456</x:v>
      </x:c>
      <x:c r="C399" s="21" t="n">
        <x:f>'Controls'!$B$8+B399</x:f>
        <x:v>46784</x:v>
      </x:c>
      <x:c r="D399" s="1" t="str">
        <x:v>Tue</x:v>
      </x:c>
    </x:row>
    <x:row r="400" ht="23" customHeight="1">
      <x:c r="A400" s="6" t="n">
        <x:v>393</x:v>
      </x:c>
      <x:c r="B400" s="6" t="n">
        <x:v>457</x:v>
      </x:c>
      <x:c r="C400" s="20" t="n">
        <x:f>'Controls'!$B$8+B400</x:f>
        <x:v>46785</x:v>
      </x:c>
      <x:c r="D400" s="6" t="str">
        <x:v>Wed</x:v>
      </x:c>
    </x:row>
    <x:row r="401" ht="23" customHeight="1">
      <x:c r="A401" s="1" t="n">
        <x:v>394</x:v>
      </x:c>
      <x:c r="B401" s="1" t="n">
        <x:v>458</x:v>
      </x:c>
      <x:c r="C401" s="21" t="n">
        <x:f>'Controls'!$B$8+B401</x:f>
        <x:v>46786</x:v>
      </x:c>
      <x:c r="D401" s="1" t="str">
        <x:v>Thu</x:v>
      </x:c>
    </x:row>
    <x:row r="402" ht="23" customHeight="1">
      <x:c r="A402" s="6" t="n">
        <x:v>395</x:v>
      </x:c>
      <x:c r="B402" s="6" t="n">
        <x:v>459</x:v>
      </x:c>
      <x:c r="C402" s="20" t="n">
        <x:f>'Controls'!$B$8+B402</x:f>
        <x:v>46787</x:v>
      </x:c>
      <x:c r="D402" s="6" t="str">
        <x:v>Fri</x:v>
      </x:c>
    </x:row>
    <x:row r="403" ht="23" customHeight="1">
      <x:c r="A403" s="1" t="n">
        <x:v>396</x:v>
      </x:c>
      <x:c r="B403" s="1" t="n">
        <x:v>460</x:v>
      </x:c>
      <x:c r="C403" s="21" t="n">
        <x:f>'Controls'!$B$8+B403</x:f>
        <x:v>46788</x:v>
      </x:c>
      <x:c r="D403" s="1" t="str">
        <x:v>Sat</x:v>
      </x:c>
    </x:row>
    <x:row r="404" ht="23" customHeight="1">
      <x:c r="A404" s="6" t="n">
        <x:v>397</x:v>
      </x:c>
      <x:c r="B404" s="6" t="n">
        <x:v>462</x:v>
      </x:c>
      <x:c r="C404" s="20" t="n">
        <x:f>'Controls'!$B$8+B404</x:f>
        <x:v>46790</x:v>
      </x:c>
      <x:c r="D404" s="6" t="str">
        <x:v>Mon</x:v>
      </x:c>
    </x:row>
    <x:row r="405" ht="23" customHeight="1">
      <x:c r="A405" s="1" t="n">
        <x:v>398</x:v>
      </x:c>
      <x:c r="B405" s="1" t="n">
        <x:v>463</x:v>
      </x:c>
      <x:c r="C405" s="21" t="n">
        <x:f>'Controls'!$B$8+B405</x:f>
        <x:v>46791</x:v>
      </x:c>
      <x:c r="D405" s="1" t="str">
        <x:v>Tue</x:v>
      </x:c>
    </x:row>
    <x:row r="406" ht="23" customHeight="1">
      <x:c r="A406" s="6" t="n">
        <x:v>399</x:v>
      </x:c>
      <x:c r="B406" s="6" t="n">
        <x:v>464</x:v>
      </x:c>
      <x:c r="C406" s="20" t="n">
        <x:f>'Controls'!$B$8+B406</x:f>
        <x:v>46792</x:v>
      </x:c>
      <x:c r="D406" s="6" t="str">
        <x:v>Wed</x:v>
      </x:c>
    </x:row>
    <x:row r="407" ht="23" customHeight="1">
      <x:c r="A407" s="1" t="n">
        <x:v>400</x:v>
      </x:c>
      <x:c r="B407" s="1" t="n">
        <x:v>465</x:v>
      </x:c>
      <x:c r="C407" s="21" t="n">
        <x:f>'Controls'!$B$8+B407</x:f>
        <x:v>46793</x:v>
      </x:c>
      <x:c r="D407" s="1" t="str">
        <x:v>Thu</x:v>
      </x:c>
    </x:row>
    <x:row r="408" ht="23" customHeight="1">
      <x:c r="A408" s="6" t="n">
        <x:v>401</x:v>
      </x:c>
      <x:c r="B408" s="6" t="n">
        <x:v>466</x:v>
      </x:c>
      <x:c r="C408" s="20" t="n">
        <x:f>'Controls'!$B$8+B408</x:f>
        <x:v>46794</x:v>
      </x:c>
      <x:c r="D408" s="6" t="str">
        <x:v>Fri</x:v>
      </x:c>
    </x:row>
    <x:row r="409" ht="23" customHeight="1">
      <x:c r="A409" s="1" t="n">
        <x:v>402</x:v>
      </x:c>
      <x:c r="B409" s="1" t="n">
        <x:v>467</x:v>
      </x:c>
      <x:c r="C409" s="21" t="n">
        <x:f>'Controls'!$B$8+B409</x:f>
        <x:v>46795</x:v>
      </x:c>
      <x:c r="D409" s="1" t="str">
        <x:v>Sat</x:v>
      </x:c>
    </x:row>
    <x:row r="410" ht="23" customHeight="1">
      <x:c r="A410" s="6" t="n">
        <x:v>403</x:v>
      </x:c>
      <x:c r="B410" s="6" t="n">
        <x:v>469</x:v>
      </x:c>
      <x:c r="C410" s="20" t="n">
        <x:f>'Controls'!$B$8+B410</x:f>
        <x:v>46797</x:v>
      </x:c>
      <x:c r="D410" s="6" t="str">
        <x:v>Mon</x:v>
      </x:c>
    </x:row>
    <x:row r="411" ht="23" customHeight="1">
      <x:c r="A411" s="1" t="n">
        <x:v>404</x:v>
      </x:c>
      <x:c r="B411" s="1" t="n">
        <x:v>470</x:v>
      </x:c>
      <x:c r="C411" s="21" t="n">
        <x:f>'Controls'!$B$8+B411</x:f>
        <x:v>46798</x:v>
      </x:c>
      <x:c r="D411" s="1" t="str">
        <x:v>Tue</x:v>
      </x:c>
    </x:row>
    <x:row r="412" ht="23" customHeight="1">
      <x:c r="A412" s="6" t="n">
        <x:v>405</x:v>
      </x:c>
      <x:c r="B412" s="6" t="n">
        <x:v>471</x:v>
      </x:c>
      <x:c r="C412" s="20" t="n">
        <x:f>'Controls'!$B$8+B412</x:f>
        <x:v>46799</x:v>
      </x:c>
      <x:c r="D412" s="6" t="str">
        <x:v>Wed</x:v>
      </x:c>
    </x:row>
    <x:row r="413" ht="23" customHeight="1">
      <x:c r="A413" s="1" t="n">
        <x:v>406</x:v>
      </x:c>
      <x:c r="B413" s="1" t="n">
        <x:v>472</x:v>
      </x:c>
      <x:c r="C413" s="21" t="n">
        <x:f>'Controls'!$B$8+B413</x:f>
        <x:v>46800</x:v>
      </x:c>
      <x:c r="D413" s="1" t="str">
        <x:v>Thu</x:v>
      </x:c>
    </x:row>
    <x:row r="414" ht="23" customHeight="1">
      <x:c r="A414" s="6" t="n">
        <x:v>407</x:v>
      </x:c>
      <x:c r="B414" s="6" t="n">
        <x:v>473</x:v>
      </x:c>
      <x:c r="C414" s="20" t="n">
        <x:f>'Controls'!$B$8+B414</x:f>
        <x:v>46801</x:v>
      </x:c>
      <x:c r="D414" s="6" t="str">
        <x:v>Fri</x:v>
      </x:c>
    </x:row>
    <x:row r="415" ht="23" customHeight="1">
      <x:c r="A415" s="1" t="n">
        <x:v>408</x:v>
      </x:c>
      <x:c r="B415" s="1" t="n">
        <x:v>474</x:v>
      </x:c>
      <x:c r="C415" s="21" t="n">
        <x:f>'Controls'!$B$8+B415</x:f>
        <x:v>46802</x:v>
      </x:c>
      <x:c r="D415" s="1" t="str">
        <x:v>Sat</x:v>
      </x:c>
    </x:row>
    <x:row r="416" ht="23" customHeight="1">
      <x:c r="A416" s="6" t="n">
        <x:v>409</x:v>
      </x:c>
      <x:c r="B416" s="6" t="n">
        <x:v>476</x:v>
      </x:c>
      <x:c r="C416" s="20" t="n">
        <x:f>'Controls'!$B$8+B416</x:f>
        <x:v>46804</x:v>
      </x:c>
      <x:c r="D416" s="6" t="str">
        <x:v>Mon</x:v>
      </x:c>
    </x:row>
    <x:row r="417" ht="23" customHeight="1">
      <x:c r="A417" s="1" t="n">
        <x:v>410</x:v>
      </x:c>
      <x:c r="B417" s="1" t="n">
        <x:v>477</x:v>
      </x:c>
      <x:c r="C417" s="21" t="n">
        <x:f>'Controls'!$B$8+B417</x:f>
        <x:v>46805</x:v>
      </x:c>
      <x:c r="D417" s="1" t="str">
        <x:v>Tue</x:v>
      </x:c>
    </x:row>
    <x:row r="418" ht="23" customHeight="1">
      <x:c r="A418" s="6" t="n">
        <x:v>411</x:v>
      </x:c>
      <x:c r="B418" s="6" t="n">
        <x:v>478</x:v>
      </x:c>
      <x:c r="C418" s="20" t="n">
        <x:f>'Controls'!$B$8+B418</x:f>
        <x:v>46806</x:v>
      </x:c>
      <x:c r="D418" s="6" t="str">
        <x:v>Wed</x:v>
      </x:c>
    </x:row>
    <x:row r="419" ht="23" customHeight="1">
      <x:c r="A419" s="1" t="n">
        <x:v>412</x:v>
      </x:c>
      <x:c r="B419" s="1" t="n">
        <x:v>479</x:v>
      </x:c>
      <x:c r="C419" s="21" t="n">
        <x:f>'Controls'!$B$8+B419</x:f>
        <x:v>46807</x:v>
      </x:c>
      <x:c r="D419" s="1" t="str">
        <x:v>Thu</x:v>
      </x:c>
    </x:row>
    <x:row r="420" ht="23" customHeight="1">
      <x:c r="A420" s="6" t="n">
        <x:v>413</x:v>
      </x:c>
      <x:c r="B420" s="6" t="n">
        <x:v>480</x:v>
      </x:c>
      <x:c r="C420" s="20" t="n">
        <x:f>'Controls'!$B$8+B420</x:f>
        <x:v>46808</x:v>
      </x:c>
      <x:c r="D420" s="6" t="str">
        <x:v>Fri</x:v>
      </x:c>
    </x:row>
    <x:row r="421" ht="23" customHeight="1">
      <x:c r="A421" s="1" t="n">
        <x:v>414</x:v>
      </x:c>
      <x:c r="B421" s="1" t="n">
        <x:v>481</x:v>
      </x:c>
      <x:c r="C421" s="21" t="n">
        <x:f>'Controls'!$B$8+B421</x:f>
        <x:v>46809</x:v>
      </x:c>
      <x:c r="D421" s="1" t="str">
        <x:v>Sat</x:v>
      </x:c>
    </x:row>
    <x:row r="422" ht="23" customHeight="1">
      <x:c r="A422" s="6" t="n">
        <x:v>415</x:v>
      </x:c>
      <x:c r="B422" s="6" t="n">
        <x:v>483</x:v>
      </x:c>
      <x:c r="C422" s="20" t="n">
        <x:f>'Controls'!$B$8+B422</x:f>
        <x:v>46811</x:v>
      </x:c>
      <x:c r="D422" s="6" t="str">
        <x:v>Mon</x:v>
      </x:c>
    </x:row>
    <x:row r="423" ht="23" customHeight="1">
      <x:c r="A423" s="1" t="n">
        <x:v>416</x:v>
      </x:c>
      <x:c r="B423" s="1" t="n">
        <x:v>484</x:v>
      </x:c>
      <x:c r="C423" s="21" t="n">
        <x:f>'Controls'!$B$8+B423</x:f>
        <x:v>46812</x:v>
      </x:c>
      <x:c r="D423" s="1" t="str">
        <x:v>Tue</x:v>
      </x:c>
    </x:row>
    <x:row r="424" ht="23" customHeight="1">
      <x:c r="A424" s="6" t="n">
        <x:v>417</x:v>
      </x:c>
      <x:c r="B424" s="6" t="n">
        <x:v>485</x:v>
      </x:c>
      <x:c r="C424" s="20" t="n">
        <x:f>'Controls'!$B$8+B424</x:f>
        <x:v>46813</x:v>
      </x:c>
      <x:c r="D424" s="6" t="str">
        <x:v>Wed</x:v>
      </x:c>
    </x:row>
    <x:row r="425" ht="23" customHeight="1">
      <x:c r="A425" s="1" t="n">
        <x:v>418</x:v>
      </x:c>
      <x:c r="B425" s="1" t="n">
        <x:v>486</x:v>
      </x:c>
      <x:c r="C425" s="21" t="n">
        <x:f>'Controls'!$B$8+B425</x:f>
        <x:v>46814</x:v>
      </x:c>
      <x:c r="D425" s="1" t="str">
        <x:v>Thu</x:v>
      </x:c>
    </x:row>
    <x:row r="426" ht="23" customHeight="1">
      <x:c r="A426" s="6" t="n">
        <x:v>419</x:v>
      </x:c>
      <x:c r="B426" s="6" t="n">
        <x:v>487</x:v>
      </x:c>
      <x:c r="C426" s="20" t="n">
        <x:f>'Controls'!$B$8+B426</x:f>
        <x:v>46815</x:v>
      </x:c>
      <x:c r="D426" s="6" t="str">
        <x:v>Fri</x:v>
      </x:c>
    </x:row>
    <x:row r="427" ht="23" customHeight="1">
      <x:c r="A427" s="1" t="n">
        <x:v>420</x:v>
      </x:c>
      <x:c r="B427" s="1" t="n">
        <x:v>488</x:v>
      </x:c>
      <x:c r="C427" s="21" t="n">
        <x:f>'Controls'!$B$8+B427</x:f>
        <x:v>46816</x:v>
      </x:c>
      <x:c r="D427" s="1" t="str">
        <x:v>Sat</x:v>
      </x:c>
    </x:row>
    <x:row r="428" ht="23" customHeight="1">
      <x:c r="A428" s="6" t="n">
        <x:v>421</x:v>
      </x:c>
      <x:c r="B428" s="6" t="n">
        <x:v>490</x:v>
      </x:c>
      <x:c r="C428" s="20" t="n">
        <x:f>'Controls'!$B$8+B428</x:f>
        <x:v>46818</x:v>
      </x:c>
      <x:c r="D428" s="6" t="str">
        <x:v>Mon</x:v>
      </x:c>
    </x:row>
    <x:row r="429" ht="23" customHeight="1">
      <x:c r="A429" s="1" t="n">
        <x:v>422</x:v>
      </x:c>
      <x:c r="B429" s="1" t="n">
        <x:v>491</x:v>
      </x:c>
      <x:c r="C429" s="21" t="n">
        <x:f>'Controls'!$B$8+B429</x:f>
        <x:v>46819</x:v>
      </x:c>
      <x:c r="D429" s="1" t="str">
        <x:v>Tue</x:v>
      </x:c>
    </x:row>
    <x:row r="430" ht="23" customHeight="1">
      <x:c r="A430" s="6" t="n">
        <x:v>423</x:v>
      </x:c>
      <x:c r="B430" s="6" t="n">
        <x:v>492</x:v>
      </x:c>
      <x:c r="C430" s="20" t="n">
        <x:f>'Controls'!$B$8+B430</x:f>
        <x:v>46820</x:v>
      </x:c>
      <x:c r="D430" s="6" t="str">
        <x:v>Wed</x:v>
      </x:c>
    </x:row>
    <x:row r="431" ht="23" customHeight="1">
      <x:c r="A431" s="1" t="n">
        <x:v>424</x:v>
      </x:c>
      <x:c r="B431" s="1" t="n">
        <x:v>493</x:v>
      </x:c>
      <x:c r="C431" s="21" t="n">
        <x:f>'Controls'!$B$8+B431</x:f>
        <x:v>46821</x:v>
      </x:c>
      <x:c r="D431" s="1" t="str">
        <x:v>Thu</x:v>
      </x:c>
    </x:row>
    <x:row r="432" ht="23" customHeight="1">
      <x:c r="A432" s="6" t="n">
        <x:v>425</x:v>
      </x:c>
      <x:c r="B432" s="6" t="n">
        <x:v>494</x:v>
      </x:c>
      <x:c r="C432" s="20" t="n">
        <x:f>'Controls'!$B$8+B432</x:f>
        <x:v>46822</x:v>
      </x:c>
      <x:c r="D432" s="6" t="str">
        <x:v>Fri</x:v>
      </x:c>
    </x:row>
    <x:row r="433" ht="23" customHeight="1">
      <x:c r="A433" s="1" t="n">
        <x:v>426</x:v>
      </x:c>
      <x:c r="B433" s="1" t="n">
        <x:v>495</x:v>
      </x:c>
      <x:c r="C433" s="21" t="n">
        <x:f>'Controls'!$B$8+B433</x:f>
        <x:v>46823</x:v>
      </x:c>
      <x:c r="D433" s="1" t="str">
        <x:v>Sat</x:v>
      </x:c>
    </x:row>
    <x:row r="434" ht="23" customHeight="1">
      <x:c r="A434" s="6" t="n">
        <x:v>427</x:v>
      </x:c>
      <x:c r="B434" s="6" t="n">
        <x:v>497</x:v>
      </x:c>
      <x:c r="C434" s="20" t="n">
        <x:f>'Controls'!$B$8+B434</x:f>
        <x:v>46825</x:v>
      </x:c>
      <x:c r="D434" s="6" t="str">
        <x:v>Mon</x:v>
      </x:c>
    </x:row>
    <x:row r="435" ht="23" customHeight="1">
      <x:c r="A435" s="1" t="n">
        <x:v>428</x:v>
      </x:c>
      <x:c r="B435" s="1" t="n">
        <x:v>498</x:v>
      </x:c>
      <x:c r="C435" s="21" t="n">
        <x:f>'Controls'!$B$8+B435</x:f>
        <x:v>46826</x:v>
      </x:c>
      <x:c r="D435" s="1" t="str">
        <x:v>Tue</x:v>
      </x:c>
    </x:row>
    <x:row r="436" ht="23" customHeight="1">
      <x:c r="A436" s="6" t="n">
        <x:v>429</x:v>
      </x:c>
      <x:c r="B436" s="6" t="n">
        <x:v>499</x:v>
      </x:c>
      <x:c r="C436" s="20" t="n">
        <x:f>'Controls'!$B$8+B436</x:f>
        <x:v>46827</x:v>
      </x:c>
      <x:c r="D436" s="6" t="str">
        <x:v>Wed</x:v>
      </x:c>
    </x:row>
    <x:row r="437" ht="23" customHeight="1">
      <x:c r="A437" s="1" t="n">
        <x:v>430</x:v>
      </x:c>
      <x:c r="B437" s="1" t="n">
        <x:v>500</x:v>
      </x:c>
      <x:c r="C437" s="21" t="n">
        <x:f>'Controls'!$B$8+B437</x:f>
        <x:v>46828</x:v>
      </x:c>
      <x:c r="D437" s="1" t="str">
        <x:v>Thu</x:v>
      </x:c>
    </x:row>
    <x:row r="438" ht="23" customHeight="1">
      <x:c r="A438" s="6" t="n">
        <x:v>431</x:v>
      </x:c>
      <x:c r="B438" s="6" t="n">
        <x:v>501</x:v>
      </x:c>
      <x:c r="C438" s="20" t="n">
        <x:f>'Controls'!$B$8+B438</x:f>
        <x:v>46829</x:v>
      </x:c>
      <x:c r="D438" s="6" t="str">
        <x:v>Fri</x:v>
      </x:c>
    </x:row>
    <x:row r="439" ht="23" customHeight="1">
      <x:c r="A439" s="1" t="n">
        <x:v>432</x:v>
      </x:c>
      <x:c r="B439" s="1" t="n">
        <x:v>502</x:v>
      </x:c>
      <x:c r="C439" s="21" t="n">
        <x:f>'Controls'!$B$8+B439</x:f>
        <x:v>46830</x:v>
      </x:c>
      <x:c r="D439" s="1" t="str">
        <x:v>Sat</x:v>
      </x:c>
    </x:row>
    <x:row r="440" ht="23" customHeight="1">
      <x:c r="A440" s="6" t="n">
        <x:v>433</x:v>
      </x:c>
      <x:c r="B440" s="6" t="n">
        <x:v>504</x:v>
      </x:c>
      <x:c r="C440" s="20" t="n">
        <x:f>'Controls'!$B$8+B440</x:f>
        <x:v>46832</x:v>
      </x:c>
      <x:c r="D440" s="6" t="str">
        <x:v>Mon</x:v>
      </x:c>
    </x:row>
    <x:row r="441" ht="23" customHeight="1">
      <x:c r="A441" s="1" t="n">
        <x:v>434</x:v>
      </x:c>
      <x:c r="B441" s="1" t="n">
        <x:v>505</x:v>
      </x:c>
      <x:c r="C441" s="21" t="n">
        <x:f>'Controls'!$B$8+B441</x:f>
        <x:v>46833</x:v>
      </x:c>
      <x:c r="D441" s="1" t="str">
        <x:v>Tue</x:v>
      </x:c>
    </x:row>
    <x:row r="442" ht="23" customHeight="1">
      <x:c r="A442" s="6" t="n">
        <x:v>435</x:v>
      </x:c>
      <x:c r="B442" s="6" t="n">
        <x:v>506</x:v>
      </x:c>
      <x:c r="C442" s="20" t="n">
        <x:f>'Controls'!$B$8+B442</x:f>
        <x:v>46834</x:v>
      </x:c>
      <x:c r="D442" s="6" t="str">
        <x:v>Wed</x:v>
      </x:c>
    </x:row>
    <x:row r="443" ht="23" customHeight="1">
      <x:c r="A443" s="1" t="n">
        <x:v>436</x:v>
      </x:c>
      <x:c r="B443" s="1" t="n">
        <x:v>507</x:v>
      </x:c>
      <x:c r="C443" s="21" t="n">
        <x:f>'Controls'!$B$8+B443</x:f>
        <x:v>46835</x:v>
      </x:c>
      <x:c r="D443" s="1" t="str">
        <x:v>Thu</x:v>
      </x:c>
    </x:row>
    <x:row r="444" ht="23" customHeight="1">
      <x:c r="A444" s="6" t="n">
        <x:v>437</x:v>
      </x:c>
      <x:c r="B444" s="6" t="n">
        <x:v>508</x:v>
      </x:c>
      <x:c r="C444" s="20" t="n">
        <x:f>'Controls'!$B$8+B444</x:f>
        <x:v>46836</x:v>
      </x:c>
      <x:c r="D444" s="6" t="str">
        <x:v>Fri</x:v>
      </x:c>
    </x:row>
    <x:row r="445" ht="23" customHeight="1">
      <x:c r="A445" s="1" t="n">
        <x:v>438</x:v>
      </x:c>
      <x:c r="B445" s="1" t="n">
        <x:v>509</x:v>
      </x:c>
      <x:c r="C445" s="21" t="n">
        <x:f>'Controls'!$B$8+B445</x:f>
        <x:v>46837</x:v>
      </x:c>
      <x:c r="D445" s="1" t="str">
        <x:v>Sat</x:v>
      </x:c>
    </x:row>
    <x:row r="446" ht="23" customHeight="1">
      <x:c r="A446" s="6" t="n">
        <x:v>439</x:v>
      </x:c>
      <x:c r="B446" s="6" t="n">
        <x:v>511</x:v>
      </x:c>
      <x:c r="C446" s="20" t="n">
        <x:f>'Controls'!$B$8+B446</x:f>
        <x:v>46839</x:v>
      </x:c>
      <x:c r="D446" s="6" t="str">
        <x:v>Mon</x:v>
      </x:c>
    </x:row>
    <x:row r="447" ht="23" customHeight="1">
      <x:c r="A447" s="1" t="n">
        <x:v>440</x:v>
      </x:c>
      <x:c r="B447" s="1" t="n">
        <x:v>512</x:v>
      </x:c>
      <x:c r="C447" s="21" t="n">
        <x:f>'Controls'!$B$8+B447</x:f>
        <x:v>46840</x:v>
      </x:c>
      <x:c r="D447" s="1" t="str">
        <x:v>Tue</x:v>
      </x:c>
    </x:row>
    <x:row r="448" ht="23" customHeight="1">
      <x:c r="A448" s="6" t="n">
        <x:v>441</x:v>
      </x:c>
      <x:c r="B448" s="6" t="n">
        <x:v>513</x:v>
      </x:c>
      <x:c r="C448" s="20" t="n">
        <x:f>'Controls'!$B$8+B448</x:f>
        <x:v>46841</x:v>
      </x:c>
      <x:c r="D448" s="6" t="str">
        <x:v>Wed</x:v>
      </x:c>
    </x:row>
    <x:row r="449" ht="23" customHeight="1">
      <x:c r="A449" s="1" t="n">
        <x:v>442</x:v>
      </x:c>
      <x:c r="B449" s="1" t="n">
        <x:v>514</x:v>
      </x:c>
      <x:c r="C449" s="21" t="n">
        <x:f>'Controls'!$B$8+B449</x:f>
        <x:v>46842</x:v>
      </x:c>
      <x:c r="D449" s="1" t="str">
        <x:v>Thu</x:v>
      </x:c>
    </x:row>
    <x:row r="450" ht="23" customHeight="1">
      <x:c r="A450" s="6" t="n">
        <x:v>443</x:v>
      </x:c>
      <x:c r="B450" s="6" t="n">
        <x:v>515</x:v>
      </x:c>
      <x:c r="C450" s="20" t="n">
        <x:f>'Controls'!$B$8+B450</x:f>
        <x:v>46843</x:v>
      </x:c>
      <x:c r="D450" s="6" t="str">
        <x:v>Fri</x:v>
      </x:c>
    </x:row>
    <x:row r="451" ht="23" customHeight="1">
      <x:c r="A451" s="1" t="n">
        <x:v>444</x:v>
      </x:c>
      <x:c r="B451" s="1" t="n">
        <x:v>516</x:v>
      </x:c>
      <x:c r="C451" s="21" t="n">
        <x:f>'Controls'!$B$8+B451</x:f>
        <x:v>46844</x:v>
      </x:c>
      <x:c r="D451" s="1" t="str">
        <x:v>Sat</x:v>
      </x:c>
    </x:row>
    <x:row r="452" ht="23" customHeight="1">
      <x:c r="A452" s="6" t="n">
        <x:v>445</x:v>
      </x:c>
      <x:c r="B452" s="6" t="n">
        <x:v>518</x:v>
      </x:c>
      <x:c r="C452" s="20" t="n">
        <x:f>'Controls'!$B$8+B452</x:f>
        <x:v>46846</x:v>
      </x:c>
      <x:c r="D452" s="6" t="str">
        <x:v>Mon</x:v>
      </x:c>
    </x:row>
    <x:row r="453" ht="23" customHeight="1">
      <x:c r="A453" s="1" t="n">
        <x:v>446</x:v>
      </x:c>
      <x:c r="B453" s="1" t="n">
        <x:v>519</x:v>
      </x:c>
      <x:c r="C453" s="21" t="n">
        <x:f>'Controls'!$B$8+B453</x:f>
        <x:v>46847</x:v>
      </x:c>
      <x:c r="D453" s="1" t="str">
        <x:v>Tue</x:v>
      </x:c>
    </x:row>
    <x:row r="454" ht="23" customHeight="1">
      <x:c r="A454" s="6" t="n">
        <x:v>447</x:v>
      </x:c>
      <x:c r="B454" s="6" t="n">
        <x:v>520</x:v>
      </x:c>
      <x:c r="C454" s="20" t="n">
        <x:f>'Controls'!$B$8+B454</x:f>
        <x:v>46848</x:v>
      </x:c>
      <x:c r="D454" s="6" t="str">
        <x:v>Wed</x:v>
      </x:c>
    </x:row>
    <x:row r="455" ht="23" customHeight="1">
      <x:c r="A455" s="1" t="n">
        <x:v>448</x:v>
      </x:c>
      <x:c r="B455" s="1" t="n">
        <x:v>521</x:v>
      </x:c>
      <x:c r="C455" s="21" t="n">
        <x:f>'Controls'!$B$8+B455</x:f>
        <x:v>46849</x:v>
      </x:c>
      <x:c r="D455" s="1" t="str">
        <x:v>Thu</x:v>
      </x:c>
    </x:row>
    <x:row r="456" ht="23" customHeight="1">
      <x:c r="A456" s="6" t="n">
        <x:v>449</x:v>
      </x:c>
      <x:c r="B456" s="6" t="n">
        <x:v>522</x:v>
      </x:c>
      <x:c r="C456" s="20" t="n">
        <x:f>'Controls'!$B$8+B456</x:f>
        <x:v>46850</x:v>
      </x:c>
      <x:c r="D456" s="6" t="str">
        <x:v>Fri</x:v>
      </x:c>
    </x:row>
    <x:row r="457" ht="23" customHeight="1">
      <x:c r="A457" s="1" t="n">
        <x:v>450</x:v>
      </x:c>
      <x:c r="B457" s="1" t="n">
        <x:v>523</x:v>
      </x:c>
      <x:c r="C457" s="21" t="n">
        <x:f>'Controls'!$B$8+B457</x:f>
        <x:v>46851</x:v>
      </x:c>
      <x:c r="D457" s="1" t="str">
        <x:v>Sat</x:v>
      </x:c>
    </x:row>
    <x:row r="458" ht="23" customHeight="1">
      <x:c r="A458" s="6" t="n">
        <x:v>451</x:v>
      </x:c>
      <x:c r="B458" s="6" t="n">
        <x:v>525</x:v>
      </x:c>
      <x:c r="C458" s="20" t="n">
        <x:f>'Controls'!$B$8+B458</x:f>
        <x:v>46853</x:v>
      </x:c>
      <x:c r="D458" s="6" t="str">
        <x:v>Mon</x:v>
      </x:c>
    </x:row>
    <x:row r="459" ht="23" customHeight="1">
      <x:c r="A459" s="1" t="n">
        <x:v>452</x:v>
      </x:c>
      <x:c r="B459" s="1" t="n">
        <x:v>526</x:v>
      </x:c>
      <x:c r="C459" s="21" t="n">
        <x:f>'Controls'!$B$8+B459</x:f>
        <x:v>46854</x:v>
      </x:c>
      <x:c r="D459" s="1" t="str">
        <x:v>Tue</x:v>
      </x:c>
    </x:row>
    <x:row r="460" ht="23" customHeight="1">
      <x:c r="A460" s="6" t="n">
        <x:v>453</x:v>
      </x:c>
      <x:c r="B460" s="6" t="n">
        <x:v>527</x:v>
      </x:c>
      <x:c r="C460" s="20" t="n">
        <x:f>'Controls'!$B$8+B460</x:f>
        <x:v>46855</x:v>
      </x:c>
      <x:c r="D460" s="6" t="str">
        <x:v>Wed</x:v>
      </x:c>
    </x:row>
    <x:row r="461" ht="23" customHeight="1">
      <x:c r="A461" s="1" t="n">
        <x:v>454</x:v>
      </x:c>
      <x:c r="B461" s="1" t="n">
        <x:v>528</x:v>
      </x:c>
      <x:c r="C461" s="21" t="n">
        <x:f>'Controls'!$B$8+B461</x:f>
        <x:v>46856</x:v>
      </x:c>
      <x:c r="D461" s="1" t="str">
        <x:v>Thu</x:v>
      </x:c>
    </x:row>
    <x:row r="462" ht="23" customHeight="1">
      <x:c r="A462" s="6" t="n">
        <x:v>455</x:v>
      </x:c>
      <x:c r="B462" s="6" t="n">
        <x:v>529</x:v>
      </x:c>
      <x:c r="C462" s="20" t="n">
        <x:f>'Controls'!$B$8+B462</x:f>
        <x:v>46857</x:v>
      </x:c>
      <x:c r="D462" s="6" t="str">
        <x:v>Fri</x:v>
      </x:c>
    </x:row>
    <x:row r="463" ht="23" customHeight="1">
      <x:c r="A463" s="1" t="n">
        <x:v>456</x:v>
      </x:c>
      <x:c r="B463" s="1" t="n">
        <x:v>530</x:v>
      </x:c>
      <x:c r="C463" s="21" t="n">
        <x:f>'Controls'!$B$8+B463</x:f>
        <x:v>46858</x:v>
      </x:c>
      <x:c r="D463" s="1" t="str">
        <x:v>Sat</x:v>
      </x:c>
    </x:row>
    <x:row r="464" ht="23" customHeight="1">
      <x:c r="A464" s="6" t="n">
        <x:v>457</x:v>
      </x:c>
      <x:c r="B464" s="6" t="n">
        <x:v>532</x:v>
      </x:c>
      <x:c r="C464" s="20" t="n">
        <x:f>'Controls'!$B$8+B464</x:f>
        <x:v>46860</x:v>
      </x:c>
      <x:c r="D464" s="6" t="str">
        <x:v>Mon</x:v>
      </x:c>
    </x:row>
    <x:row r="465" ht="23" customHeight="1">
      <x:c r="A465" s="1" t="n">
        <x:v>458</x:v>
      </x:c>
      <x:c r="B465" s="1" t="n">
        <x:v>533</x:v>
      </x:c>
      <x:c r="C465" s="21" t="n">
        <x:f>'Controls'!$B$8+B465</x:f>
        <x:v>46861</x:v>
      </x:c>
      <x:c r="D465" s="1" t="str">
        <x:v>Tue</x:v>
      </x:c>
    </x:row>
    <x:row r="466" ht="23" customHeight="1">
      <x:c r="A466" s="6" t="n">
        <x:v>459</x:v>
      </x:c>
      <x:c r="B466" s="6" t="n">
        <x:v>534</x:v>
      </x:c>
      <x:c r="C466" s="20" t="n">
        <x:f>'Controls'!$B$8+B466</x:f>
        <x:v>46862</x:v>
      </x:c>
      <x:c r="D466" s="6" t="str">
        <x:v>Wed</x:v>
      </x:c>
    </x:row>
    <x:row r="467" ht="23" customHeight="1">
      <x:c r="A467" s="1" t="n">
        <x:v>460</x:v>
      </x:c>
      <x:c r="B467" s="1" t="n">
        <x:v>535</x:v>
      </x:c>
      <x:c r="C467" s="21" t="n">
        <x:f>'Controls'!$B$8+B467</x:f>
        <x:v>46863</x:v>
      </x:c>
      <x:c r="D467" s="1" t="str">
        <x:v>Thu</x:v>
      </x:c>
    </x:row>
    <x:row r="468" ht="23" customHeight="1">
      <x:c r="A468" s="6" t="n">
        <x:v>461</x:v>
      </x:c>
      <x:c r="B468" s="6" t="n">
        <x:v>536</x:v>
      </x:c>
      <x:c r="C468" s="20" t="n">
        <x:f>'Controls'!$B$8+B468</x:f>
        <x:v>46864</x:v>
      </x:c>
      <x:c r="D468" s="6" t="str">
        <x:v>Fri</x:v>
      </x:c>
    </x:row>
    <x:row r="469" ht="23" customHeight="1">
      <x:c r="A469" s="1" t="n">
        <x:v>462</x:v>
      </x:c>
      <x:c r="B469" s="1" t="n">
        <x:v>537</x:v>
      </x:c>
      <x:c r="C469" s="21" t="n">
        <x:f>'Controls'!$B$8+B469</x:f>
        <x:v>46865</x:v>
      </x:c>
      <x:c r="D469" s="1" t="str">
        <x:v>Sat</x:v>
      </x:c>
    </x:row>
    <x:row r="470" ht="23" customHeight="1">
      <x:c r="A470" s="6" t="n">
        <x:v>463</x:v>
      </x:c>
      <x:c r="B470" s="6" t="n">
        <x:v>539</x:v>
      </x:c>
      <x:c r="C470" s="20" t="n">
        <x:f>'Controls'!$B$8+B470</x:f>
        <x:v>46867</x:v>
      </x:c>
      <x:c r="D470" s="6" t="str">
        <x:v>Mon</x:v>
      </x:c>
    </x:row>
    <x:row r="471" ht="23" customHeight="1">
      <x:c r="A471" s="1" t="n">
        <x:v>464</x:v>
      </x:c>
      <x:c r="B471" s="1" t="n">
        <x:v>540</x:v>
      </x:c>
      <x:c r="C471" s="21" t="n">
        <x:f>'Controls'!$B$8+B471</x:f>
        <x:v>46868</x:v>
      </x:c>
      <x:c r="D471" s="1" t="str">
        <x:v>Tue</x:v>
      </x:c>
    </x:row>
    <x:row r="472" ht="23" customHeight="1">
      <x:c r="A472" s="6" t="n">
        <x:v>465</x:v>
      </x:c>
      <x:c r="B472" s="6" t="n">
        <x:v>541</x:v>
      </x:c>
      <x:c r="C472" s="20" t="n">
        <x:f>'Controls'!$B$8+B472</x:f>
        <x:v>46869</x:v>
      </x:c>
      <x:c r="D472" s="6" t="str">
        <x:v>Wed</x:v>
      </x:c>
    </x:row>
    <x:row r="473" ht="23" customHeight="1">
      <x:c r="A473" s="1" t="n">
        <x:v>466</x:v>
      </x:c>
      <x:c r="B473" s="1" t="n">
        <x:v>542</x:v>
      </x:c>
      <x:c r="C473" s="21" t="n">
        <x:f>'Controls'!$B$8+B473</x:f>
        <x:v>46870</x:v>
      </x:c>
      <x:c r="D473" s="1" t="str">
        <x:v>Thu</x:v>
      </x:c>
    </x:row>
    <x:row r="474" ht="23" customHeight="1">
      <x:c r="A474" s="6" t="n">
        <x:v>467</x:v>
      </x:c>
      <x:c r="B474" s="6" t="n">
        <x:v>543</x:v>
      </x:c>
      <x:c r="C474" s="20" t="n">
        <x:f>'Controls'!$B$8+B474</x:f>
        <x:v>46871</x:v>
      </x:c>
      <x:c r="D474" s="6" t="str">
        <x:v>Fri</x:v>
      </x:c>
    </x:row>
    <x:row r="475" ht="23" customHeight="1">
      <x:c r="A475" s="1" t="n">
        <x:v>468</x:v>
      </x:c>
      <x:c r="B475" s="1" t="n">
        <x:v>544</x:v>
      </x:c>
      <x:c r="C475" s="21" t="n">
        <x:f>'Controls'!$B$8+B475</x:f>
        <x:v>46872</x:v>
      </x:c>
      <x:c r="D475" s="1" t="str">
        <x:v>Sat</x:v>
      </x:c>
    </x:row>
    <x:row r="476" ht="23" customHeight="1">
      <x:c r="A476" s="6" t="n">
        <x:v>469</x:v>
      </x:c>
      <x:c r="B476" s="6" t="n">
        <x:v>546</x:v>
      </x:c>
      <x:c r="C476" s="20" t="n">
        <x:f>'Controls'!$B$8+B476</x:f>
        <x:v>46874</x:v>
      </x:c>
      <x:c r="D476" s="6" t="str">
        <x:v>Mon</x:v>
      </x:c>
    </x:row>
    <x:row r="477" ht="23" customHeight="1">
      <x:c r="A477" s="1" t="n">
        <x:v>470</x:v>
      </x:c>
      <x:c r="B477" s="1" t="n">
        <x:v>547</x:v>
      </x:c>
      <x:c r="C477" s="21" t="n">
        <x:f>'Controls'!$B$8+B477</x:f>
        <x:v>46875</x:v>
      </x:c>
      <x:c r="D477" s="1" t="str">
        <x:v>Tue</x:v>
      </x:c>
    </x:row>
    <x:row r="478" ht="23" customHeight="1">
      <x:c r="A478" s="6" t="n">
        <x:v>471</x:v>
      </x:c>
      <x:c r="B478" s="6" t="n">
        <x:v>548</x:v>
      </x:c>
      <x:c r="C478" s="20" t="n">
        <x:f>'Controls'!$B$8+B478</x:f>
        <x:v>46876</x:v>
      </x:c>
      <x:c r="D478" s="6" t="str">
        <x:v>Wed</x:v>
      </x:c>
    </x:row>
    <x:row r="479" ht="23" customHeight="1">
      <x:c r="A479" s="1" t="n">
        <x:v>472</x:v>
      </x:c>
      <x:c r="B479" s="1" t="n">
        <x:v>549</x:v>
      </x:c>
      <x:c r="C479" s="21" t="n">
        <x:f>'Controls'!$B$8+B479</x:f>
        <x:v>46877</x:v>
      </x:c>
      <x:c r="D479" s="1" t="str">
        <x:v>Thu</x:v>
      </x:c>
    </x:row>
    <x:row r="480" ht="23" customHeight="1">
      <x:c r="A480" s="6" t="n">
        <x:v>473</x:v>
      </x:c>
      <x:c r="B480" s="6" t="n">
        <x:v>550</x:v>
      </x:c>
      <x:c r="C480" s="20" t="n">
        <x:f>'Controls'!$B$8+B480</x:f>
        <x:v>46878</x:v>
      </x:c>
      <x:c r="D480" s="6" t="str">
        <x:v>Fri</x:v>
      </x:c>
    </x:row>
    <x:row r="481" ht="23" customHeight="1">
      <x:c r="A481" s="1" t="n">
        <x:v>474</x:v>
      </x:c>
      <x:c r="B481" s="1" t="n">
        <x:v>551</x:v>
      </x:c>
      <x:c r="C481" s="21" t="n">
        <x:f>'Controls'!$B$8+B481</x:f>
        <x:v>46879</x:v>
      </x:c>
      <x:c r="D481" s="1" t="str">
        <x:v>Sat</x:v>
      </x:c>
    </x:row>
    <x:row r="482" ht="23" customHeight="1">
      <x:c r="A482" s="6" t="n">
        <x:v>475</x:v>
      </x:c>
      <x:c r="B482" s="6" t="n">
        <x:v>553</x:v>
      </x:c>
      <x:c r="C482" s="20" t="n">
        <x:f>'Controls'!$B$8+B482</x:f>
        <x:v>46881</x:v>
      </x:c>
      <x:c r="D482" s="6" t="str">
        <x:v>Mon</x:v>
      </x:c>
    </x:row>
    <x:row r="483" ht="23" customHeight="1">
      <x:c r="A483" s="1" t="n">
        <x:v>476</x:v>
      </x:c>
      <x:c r="B483" s="1" t="n">
        <x:v>554</x:v>
      </x:c>
      <x:c r="C483" s="21" t="n">
        <x:f>'Controls'!$B$8+B483</x:f>
        <x:v>46882</x:v>
      </x:c>
      <x:c r="D483" s="1" t="str">
        <x:v>Tue</x:v>
      </x:c>
    </x:row>
    <x:row r="484" ht="23" customHeight="1">
      <x:c r="A484" s="6" t="n">
        <x:v>477</x:v>
      </x:c>
      <x:c r="B484" s="6" t="n">
        <x:v>555</x:v>
      </x:c>
      <x:c r="C484" s="20" t="n">
        <x:f>'Controls'!$B$8+B484</x:f>
        <x:v>46883</x:v>
      </x:c>
      <x:c r="D484" s="6" t="str">
        <x:v>Wed</x:v>
      </x:c>
    </x:row>
    <x:row r="485" ht="23" customHeight="1">
      <x:c r="A485" s="1" t="n">
        <x:v>478</x:v>
      </x:c>
      <x:c r="B485" s="1" t="n">
        <x:v>556</x:v>
      </x:c>
      <x:c r="C485" s="21" t="n">
        <x:f>'Controls'!$B$8+B485</x:f>
        <x:v>46884</x:v>
      </x:c>
      <x:c r="D485" s="1" t="str">
        <x:v>Thu</x:v>
      </x:c>
    </x:row>
    <x:row r="486" ht="23" customHeight="1">
      <x:c r="A486" s="6" t="n">
        <x:v>479</x:v>
      </x:c>
      <x:c r="B486" s="6" t="n">
        <x:v>557</x:v>
      </x:c>
      <x:c r="C486" s="20" t="n">
        <x:f>'Controls'!$B$8+B486</x:f>
        <x:v>46885</x:v>
      </x:c>
      <x:c r="D486" s="6" t="str">
        <x:v>Fri</x:v>
      </x:c>
    </x:row>
    <x:row r="487" ht="23" customHeight="1">
      <x:c r="A487" s="1" t="n">
        <x:v>480</x:v>
      </x:c>
      <x:c r="B487" s="1" t="n">
        <x:v>558</x:v>
      </x:c>
      <x:c r="C487" s="21" t="n">
        <x:f>'Controls'!$B$8+B487</x:f>
        <x:v>46886</x:v>
      </x:c>
      <x:c r="D487" s="1" t="str">
        <x:v>Sat</x:v>
      </x:c>
    </x:row>
    <x:row r="488" ht="23" customHeight="1">
      <x:c r="A488" s="6" t="n">
        <x:v>481</x:v>
      </x:c>
      <x:c r="B488" s="6" t="n">
        <x:v>560</x:v>
      </x:c>
      <x:c r="C488" s="20" t="n">
        <x:f>'Controls'!$B$8+B488</x:f>
        <x:v>46888</x:v>
      </x:c>
      <x:c r="D488" s="6" t="str">
        <x:v>Mon</x:v>
      </x:c>
    </x:row>
    <x:row r="489" ht="23" customHeight="1">
      <x:c r="A489" s="1" t="n">
        <x:v>482</x:v>
      </x:c>
      <x:c r="B489" s="1" t="n">
        <x:v>561</x:v>
      </x:c>
      <x:c r="C489" s="21" t="n">
        <x:f>'Controls'!$B$8+B489</x:f>
        <x:v>46889</x:v>
      </x:c>
      <x:c r="D489" s="1" t="str">
        <x:v>Tue</x:v>
      </x:c>
    </x:row>
    <x:row r="490" ht="23" customHeight="1">
      <x:c r="A490" s="6" t="n">
        <x:v>483</x:v>
      </x:c>
      <x:c r="B490" s="6" t="n">
        <x:v>562</x:v>
      </x:c>
      <x:c r="C490" s="20" t="n">
        <x:f>'Controls'!$B$8+B490</x:f>
        <x:v>46890</x:v>
      </x:c>
      <x:c r="D490" s="6" t="str">
        <x:v>Wed</x:v>
      </x:c>
    </x:row>
    <x:row r="491" ht="23" customHeight="1">
      <x:c r="A491" s="1" t="n">
        <x:v>484</x:v>
      </x:c>
      <x:c r="B491" s="1" t="n">
        <x:v>563</x:v>
      </x:c>
      <x:c r="C491" s="21" t="n">
        <x:f>'Controls'!$B$8+B491</x:f>
        <x:v>46891</x:v>
      </x:c>
      <x:c r="D491" s="1" t="str">
        <x:v>Thu</x:v>
      </x:c>
    </x:row>
    <x:row r="492" ht="23" customHeight="1">
      <x:c r="A492" s="6" t="n">
        <x:v>485</x:v>
      </x:c>
      <x:c r="B492" s="6" t="n">
        <x:v>564</x:v>
      </x:c>
      <x:c r="C492" s="20" t="n">
        <x:f>'Controls'!$B$8+B492</x:f>
        <x:v>46892</x:v>
      </x:c>
      <x:c r="D492" s="6" t="str">
        <x:v>Fri</x:v>
      </x:c>
    </x:row>
    <x:row r="493" ht="23" customHeight="1">
      <x:c r="A493" s="1" t="n">
        <x:v>486</x:v>
      </x:c>
      <x:c r="B493" s="1" t="n">
        <x:v>565</x:v>
      </x:c>
      <x:c r="C493" s="21" t="n">
        <x:f>'Controls'!$B$8+B493</x:f>
        <x:v>46893</x:v>
      </x:c>
      <x:c r="D493" s="1" t="str">
        <x:v>Sat</x:v>
      </x:c>
    </x:row>
    <x:row r="494" ht="23" customHeight="1">
      <x:c r="A494" s="6" t="n">
        <x:v>487</x:v>
      </x:c>
      <x:c r="B494" s="6" t="n">
        <x:v>567</x:v>
      </x:c>
      <x:c r="C494" s="20" t="n">
        <x:f>'Controls'!$B$8+B494</x:f>
        <x:v>46895</x:v>
      </x:c>
      <x:c r="D494" s="6" t="str">
        <x:v>Mon</x:v>
      </x:c>
    </x:row>
    <x:row r="495" ht="23" customHeight="1">
      <x:c r="A495" s="1" t="n">
        <x:v>488</x:v>
      </x:c>
      <x:c r="B495" s="1" t="n">
        <x:v>568</x:v>
      </x:c>
      <x:c r="C495" s="21" t="n">
        <x:f>'Controls'!$B$8+B495</x:f>
        <x:v>46896</x:v>
      </x:c>
      <x:c r="D495" s="1" t="str">
        <x:v>Tue</x:v>
      </x:c>
    </x:row>
    <x:row r="496" ht="23" customHeight="1">
      <x:c r="A496" s="6" t="n">
        <x:v>489</x:v>
      </x:c>
      <x:c r="B496" s="6" t="n">
        <x:v>569</x:v>
      </x:c>
      <x:c r="C496" s="20" t="n">
        <x:f>'Controls'!$B$8+B496</x:f>
        <x:v>46897</x:v>
      </x:c>
      <x:c r="D496" s="6" t="str">
        <x:v>Wed</x:v>
      </x:c>
    </x:row>
    <x:row r="497" ht="23" customHeight="1">
      <x:c r="A497" s="1" t="n">
        <x:v>490</x:v>
      </x:c>
      <x:c r="B497" s="1" t="n">
        <x:v>570</x:v>
      </x:c>
      <x:c r="C497" s="21" t="n">
        <x:f>'Controls'!$B$8+B497</x:f>
        <x:v>46898</x:v>
      </x:c>
      <x:c r="D497" s="1" t="str">
        <x:v>Thu</x:v>
      </x:c>
    </x:row>
    <x:row r="498" ht="23" customHeight="1">
      <x:c r="A498" s="6" t="n">
        <x:v>491</x:v>
      </x:c>
      <x:c r="B498" s="6" t="n">
        <x:v>571</x:v>
      </x:c>
      <x:c r="C498" s="20" t="n">
        <x:f>'Controls'!$B$8+B498</x:f>
        <x:v>46899</x:v>
      </x:c>
      <x:c r="D498" s="6" t="str">
        <x:v>Fri</x:v>
      </x:c>
    </x:row>
    <x:row r="499" ht="23" customHeight="1">
      <x:c r="A499" s="1" t="n">
        <x:v>492</x:v>
      </x:c>
      <x:c r="B499" s="1" t="n">
        <x:v>572</x:v>
      </x:c>
      <x:c r="C499" s="21" t="n">
        <x:f>'Controls'!$B$8+B499</x:f>
        <x:v>46900</x:v>
      </x:c>
      <x:c r="D499" s="1" t="str">
        <x:v>Sat</x:v>
      </x:c>
    </x:row>
    <x:row r="500" ht="23" customHeight="1">
      <x:c r="A500" s="6" t="n">
        <x:v>493</x:v>
      </x:c>
      <x:c r="B500" s="6" t="n">
        <x:v>574</x:v>
      </x:c>
      <x:c r="C500" s="20" t="n">
        <x:f>'Controls'!$B$8+B500</x:f>
        <x:v>46902</x:v>
      </x:c>
      <x:c r="D500" s="6" t="str">
        <x:v>Mon</x:v>
      </x:c>
    </x:row>
    <x:row r="501" ht="23" customHeight="1">
      <x:c r="A501" s="1" t="n">
        <x:v>494</x:v>
      </x:c>
      <x:c r="B501" s="1" t="n">
        <x:v>575</x:v>
      </x:c>
      <x:c r="C501" s="21" t="n">
        <x:f>'Controls'!$B$8+B501</x:f>
        <x:v>46903</x:v>
      </x:c>
      <x:c r="D501" s="1" t="str">
        <x:v>Tue</x:v>
      </x:c>
    </x:row>
    <x:row r="502" ht="23" customHeight="1">
      <x:c r="A502" s="6" t="n">
        <x:v>495</x:v>
      </x:c>
      <x:c r="B502" s="6" t="n">
        <x:v>576</x:v>
      </x:c>
      <x:c r="C502" s="20" t="n">
        <x:f>'Controls'!$B$8+B502</x:f>
        <x:v>46904</x:v>
      </x:c>
      <x:c r="D502" s="6" t="str">
        <x:v>Wed</x:v>
      </x:c>
    </x:row>
    <x:row r="503" ht="23" customHeight="1">
      <x:c r="A503" s="1" t="n">
        <x:v>496</x:v>
      </x:c>
      <x:c r="B503" s="1" t="n">
        <x:v>577</x:v>
      </x:c>
      <x:c r="C503" s="21" t="n">
        <x:f>'Controls'!$B$8+B503</x:f>
        <x:v>46905</x:v>
      </x:c>
      <x:c r="D503" s="1" t="str">
        <x:v>Thu</x:v>
      </x:c>
    </x:row>
    <x:row r="504" ht="23" customHeight="1">
      <x:c r="A504" s="6" t="n">
        <x:v>497</x:v>
      </x:c>
      <x:c r="B504" s="6" t="n">
        <x:v>578</x:v>
      </x:c>
      <x:c r="C504" s="20" t="n">
        <x:f>'Controls'!$B$8+B504</x:f>
        <x:v>46906</x:v>
      </x:c>
      <x:c r="D504" s="6" t="str">
        <x:v>Fri</x:v>
      </x:c>
    </x:row>
    <x:row r="505" ht="23" customHeight="1">
      <x:c r="A505" s="1" t="n">
        <x:v>498</x:v>
      </x:c>
      <x:c r="B505" s="1" t="n">
        <x:v>579</x:v>
      </x:c>
      <x:c r="C505" s="21" t="n">
        <x:f>'Controls'!$B$8+B505</x:f>
        <x:v>46907</x:v>
      </x:c>
      <x:c r="D505" s="1" t="str">
        <x:v>Sat</x:v>
      </x:c>
    </x:row>
    <x:row r="506" ht="23" customHeight="1">
      <x:c r="A506" s="6" t="n">
        <x:v>499</x:v>
      </x:c>
      <x:c r="B506" s="6" t="n">
        <x:v>581</x:v>
      </x:c>
      <x:c r="C506" s="20" t="n">
        <x:f>'Controls'!$B$8+B506</x:f>
        <x:v>46909</x:v>
      </x:c>
      <x:c r="D506" s="6" t="str">
        <x:v>Mon</x:v>
      </x:c>
    </x:row>
    <x:row r="507" ht="23" customHeight="1">
      <x:c r="A507" s="1" t="n">
        <x:v>500</x:v>
      </x:c>
      <x:c r="B507" s="1" t="n">
        <x:v>582</x:v>
      </x:c>
      <x:c r="C507" s="21" t="n">
        <x:f>'Controls'!$B$8+B507</x:f>
        <x:v>46910</x:v>
      </x:c>
      <x:c r="D507" s="1" t="str">
        <x:v>Tue</x:v>
      </x:c>
    </x:row>
    <x:row r="508" ht="23" customHeight="1">
      <x:c r="A508" s="6" t="n">
        <x:v>501</x:v>
      </x:c>
      <x:c r="B508" s="6" t="n">
        <x:v>583</x:v>
      </x:c>
      <x:c r="C508" s="20" t="n">
        <x:f>'Controls'!$B$8+B508</x:f>
        <x:v>46911</x:v>
      </x:c>
      <x:c r="D508" s="6" t="str">
        <x:v>Wed</x:v>
      </x:c>
    </x:row>
    <x:row r="509" ht="23" customHeight="1">
      <x:c r="A509" s="1" t="n">
        <x:v>502</x:v>
      </x:c>
      <x:c r="B509" s="1" t="n">
        <x:v>584</x:v>
      </x:c>
      <x:c r="C509" s="21" t="n">
        <x:f>'Controls'!$B$8+B509</x:f>
        <x:v>46912</x:v>
      </x:c>
      <x:c r="D509" s="1" t="str">
        <x:v>Thu</x:v>
      </x:c>
    </x:row>
    <x:row r="510" ht="23" customHeight="1">
      <x:c r="A510" s="6" t="n">
        <x:v>503</x:v>
      </x:c>
      <x:c r="B510" s="6" t="n">
        <x:v>585</x:v>
      </x:c>
      <x:c r="C510" s="20" t="n">
        <x:f>'Controls'!$B$8+B510</x:f>
        <x:v>46913</x:v>
      </x:c>
      <x:c r="D510" s="6" t="str">
        <x:v>Fri</x:v>
      </x:c>
    </x:row>
    <x:row r="511" ht="23" customHeight="1">
      <x:c r="A511" s="1" t="n">
        <x:v>504</x:v>
      </x:c>
      <x:c r="B511" s="1" t="n">
        <x:v>586</x:v>
      </x:c>
      <x:c r="C511" s="21" t="n">
        <x:f>'Controls'!$B$8+B511</x:f>
        <x:v>46914</x:v>
      </x:c>
      <x:c r="D511" s="1" t="str">
        <x:v>Sat</x:v>
      </x:c>
    </x:row>
    <x:row r="512" ht="23" customHeight="1">
      <x:c r="A512" s="6" t="n">
        <x:v>505</x:v>
      </x:c>
      <x:c r="B512" s="6" t="n">
        <x:v>588</x:v>
      </x:c>
      <x:c r="C512" s="20" t="n">
        <x:f>'Controls'!$B$8+B512</x:f>
        <x:v>46916</x:v>
      </x:c>
      <x:c r="D512" s="6" t="str">
        <x:v>Mon</x:v>
      </x:c>
    </x:row>
    <x:row r="513" ht="23" customHeight="1">
      <x:c r="A513" s="1" t="n">
        <x:v>506</x:v>
      </x:c>
      <x:c r="B513" s="1" t="n">
        <x:v>589</x:v>
      </x:c>
      <x:c r="C513" s="21" t="n">
        <x:f>'Controls'!$B$8+B513</x:f>
        <x:v>46917</x:v>
      </x:c>
      <x:c r="D513" s="1" t="str">
        <x:v>Tue</x:v>
      </x:c>
    </x:row>
    <x:row r="514" ht="23" customHeight="1">
      <x:c r="A514" s="6" t="n">
        <x:v>507</x:v>
      </x:c>
      <x:c r="B514" s="6" t="n">
        <x:v>590</x:v>
      </x:c>
      <x:c r="C514" s="20" t="n">
        <x:f>'Controls'!$B$8+B514</x:f>
        <x:v>46918</x:v>
      </x:c>
      <x:c r="D514" s="6" t="str">
        <x:v>Wed</x:v>
      </x:c>
    </x:row>
    <x:row r="515" ht="23" customHeight="1">
      <x:c r="A515" s="1" t="n">
        <x:v>508</x:v>
      </x:c>
      <x:c r="B515" s="1" t="n">
        <x:v>591</x:v>
      </x:c>
      <x:c r="C515" s="21" t="n">
        <x:f>'Controls'!$B$8+B515</x:f>
        <x:v>46919</x:v>
      </x:c>
      <x:c r="D515" s="1" t="str">
        <x:v>Thu</x:v>
      </x:c>
    </x:row>
    <x:row r="516" ht="23" customHeight="1">
      <x:c r="A516" s="6" t="n">
        <x:v>509</x:v>
      </x:c>
      <x:c r="B516" s="6" t="n">
        <x:v>592</x:v>
      </x:c>
      <x:c r="C516" s="20" t="n">
        <x:f>'Controls'!$B$8+B516</x:f>
        <x:v>46920</x:v>
      </x:c>
      <x:c r="D516" s="6" t="str">
        <x:v>Fri</x:v>
      </x:c>
    </x:row>
    <x:row r="517" ht="23" customHeight="1">
      <x:c r="A517" s="1" t="n">
        <x:v>510</x:v>
      </x:c>
      <x:c r="B517" s="1" t="n">
        <x:v>593</x:v>
      </x:c>
      <x:c r="C517" s="21" t="n">
        <x:f>'Controls'!$B$8+B517</x:f>
        <x:v>46921</x:v>
      </x:c>
      <x:c r="D517" s="1" t="str">
        <x:v>Sat</x:v>
      </x:c>
    </x:row>
    <x:row r="518" ht="23" customHeight="1">
      <x:c r="A518" s="6" t="n">
        <x:v>511</x:v>
      </x:c>
      <x:c r="B518" s="6" t="n">
        <x:v>595</x:v>
      </x:c>
      <x:c r="C518" s="20" t="n">
        <x:f>'Controls'!$B$8+B518</x:f>
        <x:v>46923</x:v>
      </x:c>
      <x:c r="D518" s="6" t="str">
        <x:v>Mon</x:v>
      </x:c>
    </x:row>
    <x:row r="519" ht="23" customHeight="1">
      <x:c r="A519" s="1" t="n">
        <x:v>512</x:v>
      </x:c>
      <x:c r="B519" s="1" t="n">
        <x:v>596</x:v>
      </x:c>
      <x:c r="C519" s="21" t="n">
        <x:f>'Controls'!$B$8+B519</x:f>
        <x:v>46924</x:v>
      </x:c>
      <x:c r="D519" s="1" t="str">
        <x:v>Tue</x:v>
      </x:c>
    </x:row>
    <x:row r="520" ht="23" customHeight="1">
      <x:c r="A520" s="6" t="n">
        <x:v>513</x:v>
      </x:c>
      <x:c r="B520" s="6" t="n">
        <x:v>597</x:v>
      </x:c>
      <x:c r="C520" s="20" t="n">
        <x:f>'Controls'!$B$8+B520</x:f>
        <x:v>46925</x:v>
      </x:c>
      <x:c r="D520" s="6" t="str">
        <x:v>Wed</x:v>
      </x:c>
    </x:row>
    <x:row r="521" ht="23" customHeight="1">
      <x:c r="A521" s="1" t="n">
        <x:v>514</x:v>
      </x:c>
      <x:c r="B521" s="1" t="n">
        <x:v>598</x:v>
      </x:c>
      <x:c r="C521" s="21" t="n">
        <x:f>'Controls'!$B$8+B521</x:f>
        <x:v>46926</x:v>
      </x:c>
      <x:c r="D521" s="1" t="str">
        <x:v>Thu</x:v>
      </x:c>
    </x:row>
    <x:row r="522" ht="23" customHeight="1">
      <x:c r="A522" s="6" t="n">
        <x:v>515</x:v>
      </x:c>
      <x:c r="B522" s="6" t="n">
        <x:v>599</x:v>
      </x:c>
      <x:c r="C522" s="20" t="n">
        <x:f>'Controls'!$B$8+B522</x:f>
        <x:v>46927</x:v>
      </x:c>
      <x:c r="D522" s="6" t="str">
        <x:v>Fri</x:v>
      </x:c>
    </x:row>
    <x:row r="523" ht="23" customHeight="1">
      <x:c r="A523" s="1" t="n">
        <x:v>516</x:v>
      </x:c>
      <x:c r="B523" s="1" t="n">
        <x:v>600</x:v>
      </x:c>
      <x:c r="C523" s="21" t="n">
        <x:f>'Controls'!$B$8+B523</x:f>
        <x:v>46928</x:v>
      </x:c>
      <x:c r="D523" s="1" t="str">
        <x:v>Sat</x:v>
      </x:c>
    </x:row>
    <x:row r="524" ht="23" customHeight="1">
      <x:c r="A524" s="6" t="n">
        <x:v>517</x:v>
      </x:c>
      <x:c r="B524" s="6" t="n">
        <x:v>602</x:v>
      </x:c>
      <x:c r="C524" s="20" t="n">
        <x:f>'Controls'!$B$8+B524</x:f>
        <x:v>46930</x:v>
      </x:c>
      <x:c r="D524" s="6" t="str">
        <x:v>Mon</x:v>
      </x:c>
    </x:row>
    <x:row r="525" ht="23" customHeight="1">
      <x:c r="A525" s="1" t="n">
        <x:v>518</x:v>
      </x:c>
      <x:c r="B525" s="1" t="n">
        <x:v>603</x:v>
      </x:c>
      <x:c r="C525" s="21" t="n">
        <x:f>'Controls'!$B$8+B525</x:f>
        <x:v>46931</x:v>
      </x:c>
      <x:c r="D525" s="1" t="str">
        <x:v>Tue</x:v>
      </x:c>
    </x:row>
    <x:row r="526" ht="23" customHeight="1">
      <x:c r="A526" s="6" t="n">
        <x:v>519</x:v>
      </x:c>
      <x:c r="B526" s="6" t="n">
        <x:v>604</x:v>
      </x:c>
      <x:c r="C526" s="20" t="n">
        <x:f>'Controls'!$B$8+B526</x:f>
        <x:v>46932</x:v>
      </x:c>
      <x:c r="D526" s="6" t="str">
        <x:v>Wed</x:v>
      </x:c>
    </x:row>
    <x:row r="527" ht="23" customHeight="1">
      <x:c r="A527" s="1" t="n">
        <x:v>520</x:v>
      </x:c>
      <x:c r="B527" s="1" t="n">
        <x:v>605</x:v>
      </x:c>
      <x:c r="C527" s="21" t="n">
        <x:f>'Controls'!$B$8+B527</x:f>
        <x:v>46933</x:v>
      </x:c>
      <x:c r="D527" s="1" t="str">
        <x:v>Thu</x:v>
      </x:c>
    </x:row>
    <x:row r="528" ht="23" customHeight="1">
      <x:c r="A528" s="6" t="n">
        <x:v>521</x:v>
      </x:c>
      <x:c r="B528" s="6" t="n">
        <x:v>606</x:v>
      </x:c>
      <x:c r="C528" s="20" t="n">
        <x:f>'Controls'!$B$8+B528</x:f>
        <x:v>46934</x:v>
      </x:c>
      <x:c r="D528" s="6" t="str">
        <x:v>Fri</x:v>
      </x:c>
    </x:row>
    <x:row r="529" ht="23" customHeight="1">
      <x:c r="A529" s="1" t="n">
        <x:v>522</x:v>
      </x:c>
      <x:c r="B529" s="1" t="n">
        <x:v>607</x:v>
      </x:c>
      <x:c r="C529" s="21" t="n">
        <x:f>'Controls'!$B$8+B529</x:f>
        <x:v>46935</x:v>
      </x:c>
      <x:c r="D529" s="1" t="str">
        <x:v>Sat</x:v>
      </x:c>
    </x:row>
    <x:row r="530" ht="23" customHeight="1">
      <x:c r="A530" s="6" t="n">
        <x:v>523</x:v>
      </x:c>
      <x:c r="B530" s="6" t="n">
        <x:v>609</x:v>
      </x:c>
      <x:c r="C530" s="20" t="n">
        <x:f>'Controls'!$B$8+B530</x:f>
        <x:v>46937</x:v>
      </x:c>
      <x:c r="D530" s="6" t="str">
        <x:v>Mon</x:v>
      </x:c>
    </x:row>
    <x:row r="531" ht="23" customHeight="1">
      <x:c r="A531" s="1" t="n">
        <x:v>524</x:v>
      </x:c>
      <x:c r="B531" s="1" t="n">
        <x:v>610</x:v>
      </x:c>
      <x:c r="C531" s="21" t="n">
        <x:f>'Controls'!$B$8+B531</x:f>
        <x:v>46938</x:v>
      </x:c>
      <x:c r="D531" s="1" t="str">
        <x:v>Tue</x:v>
      </x:c>
    </x:row>
    <x:row r="532" ht="23" customHeight="1">
      <x:c r="A532" s="6" t="n">
        <x:v>525</x:v>
      </x:c>
      <x:c r="B532" s="6" t="n">
        <x:v>611</x:v>
      </x:c>
      <x:c r="C532" s="20" t="n">
        <x:f>'Controls'!$B$8+B532</x:f>
        <x:v>46939</x:v>
      </x:c>
      <x:c r="D532" s="6" t="str">
        <x:v>Wed</x:v>
      </x:c>
    </x:row>
    <x:row r="533" ht="23" customHeight="1">
      <x:c r="A533" s="1" t="n">
        <x:v>526</x:v>
      </x:c>
      <x:c r="B533" s="1" t="n">
        <x:v>612</x:v>
      </x:c>
      <x:c r="C533" s="21" t="n">
        <x:f>'Controls'!$B$8+B533</x:f>
        <x:v>46940</x:v>
      </x:c>
      <x:c r="D533" s="1" t="str">
        <x:v>Thu</x:v>
      </x:c>
    </x:row>
    <x:row r="534" ht="23" customHeight="1">
      <x:c r="A534" s="6" t="n">
        <x:v>527</x:v>
      </x:c>
      <x:c r="B534" s="6" t="n">
        <x:v>613</x:v>
      </x:c>
      <x:c r="C534" s="20" t="n">
        <x:f>'Controls'!$B$8+B534</x:f>
        <x:v>46941</x:v>
      </x:c>
      <x:c r="D534" s="6" t="str">
        <x:v>Fri</x:v>
      </x:c>
    </x:row>
    <x:row r="535" ht="23" customHeight="1">
      <x:c r="A535" s="1" t="n">
        <x:v>528</x:v>
      </x:c>
      <x:c r="B535" s="1" t="n">
        <x:v>614</x:v>
      </x:c>
      <x:c r="C535" s="21" t="n">
        <x:f>'Controls'!$B$8+B535</x:f>
        <x:v>46942</x:v>
      </x:c>
      <x:c r="D535" s="1" t="str">
        <x:v>Sat</x:v>
      </x:c>
    </x:row>
    <x:row r="536" ht="23" customHeight="1">
      <x:c r="A536" s="6" t="n">
        <x:v>529</x:v>
      </x:c>
      <x:c r="B536" s="6" t="n">
        <x:v>616</x:v>
      </x:c>
      <x:c r="C536" s="20" t="n">
        <x:f>'Controls'!$B$8+B536</x:f>
        <x:v>46944</x:v>
      </x:c>
      <x:c r="D536" s="6" t="str">
        <x:v>Mon</x:v>
      </x:c>
    </x:row>
    <x:row r="537" ht="23" customHeight="1">
      <x:c r="A537" s="1" t="n">
        <x:v>530</x:v>
      </x:c>
      <x:c r="B537" s="1" t="n">
        <x:v>617</x:v>
      </x:c>
      <x:c r="C537" s="21" t="n">
        <x:f>'Controls'!$B$8+B537</x:f>
        <x:v>46945</x:v>
      </x:c>
      <x:c r="D537" s="1" t="str">
        <x:v>Tue</x:v>
      </x:c>
    </x:row>
    <x:row r="538" ht="23" customHeight="1">
      <x:c r="A538" s="6" t="n">
        <x:v>531</x:v>
      </x:c>
      <x:c r="B538" s="6" t="n">
        <x:v>618</x:v>
      </x:c>
      <x:c r="C538" s="20" t="n">
        <x:f>'Controls'!$B$8+B538</x:f>
        <x:v>46946</x:v>
      </x:c>
      <x:c r="D538" s="6" t="str">
        <x:v>Wed</x:v>
      </x:c>
    </x:row>
    <x:row r="539" ht="23" customHeight="1">
      <x:c r="A539" s="1" t="n">
        <x:v>532</x:v>
      </x:c>
      <x:c r="B539" s="1" t="n">
        <x:v>619</x:v>
      </x:c>
      <x:c r="C539" s="21" t="n">
        <x:f>'Controls'!$B$8+B539</x:f>
        <x:v>46947</x:v>
      </x:c>
      <x:c r="D539" s="1" t="str">
        <x:v>Thu</x:v>
      </x:c>
    </x:row>
    <x:row r="540" ht="23" customHeight="1">
      <x:c r="A540" s="6" t="n">
        <x:v>533</x:v>
      </x:c>
      <x:c r="B540" s="6" t="n">
        <x:v>620</x:v>
      </x:c>
      <x:c r="C540" s="20" t="n">
        <x:f>'Controls'!$B$8+B540</x:f>
        <x:v>46948</x:v>
      </x:c>
      <x:c r="D540" s="6" t="str">
        <x:v>Fri</x:v>
      </x:c>
    </x:row>
    <x:row r="541" ht="23" customHeight="1">
      <x:c r="A541" s="1" t="n">
        <x:v>534</x:v>
      </x:c>
      <x:c r="B541" s="1" t="n">
        <x:v>621</x:v>
      </x:c>
      <x:c r="C541" s="21" t="n">
        <x:f>'Controls'!$B$8+B541</x:f>
        <x:v>46949</x:v>
      </x:c>
      <x:c r="D541" s="1" t="str">
        <x:v>Sat</x:v>
      </x:c>
    </x:row>
    <x:row r="542" ht="23" customHeight="1">
      <x:c r="A542" s="6" t="n">
        <x:v>535</x:v>
      </x:c>
      <x:c r="B542" s="6" t="n">
        <x:v>623</x:v>
      </x:c>
      <x:c r="C542" s="20" t="n">
        <x:f>'Controls'!$B$8+B542</x:f>
        <x:v>46951</x:v>
      </x:c>
      <x:c r="D542" s="6" t="str">
        <x:v>Mon</x:v>
      </x:c>
    </x:row>
    <x:row r="543" ht="23" customHeight="1">
      <x:c r="A543" s="1" t="n">
        <x:v>536</x:v>
      </x:c>
      <x:c r="B543" s="1" t="n">
        <x:v>624</x:v>
      </x:c>
      <x:c r="C543" s="21" t="n">
        <x:f>'Controls'!$B$8+B543</x:f>
        <x:v>46952</x:v>
      </x:c>
      <x:c r="D543" s="1" t="str">
        <x:v>Tue</x:v>
      </x:c>
    </x:row>
    <x:row r="544" ht="23" customHeight="1">
      <x:c r="A544" s="6" t="n">
        <x:v>537</x:v>
      </x:c>
      <x:c r="B544" s="6" t="n">
        <x:v>625</x:v>
      </x:c>
      <x:c r="C544" s="20" t="n">
        <x:f>'Controls'!$B$8+B544</x:f>
        <x:v>46953</x:v>
      </x:c>
      <x:c r="D544" s="6" t="str">
        <x:v>Wed</x:v>
      </x:c>
    </x:row>
    <x:row r="545" ht="23" customHeight="1">
      <x:c r="A545" s="1" t="n">
        <x:v>538</x:v>
      </x:c>
      <x:c r="B545" s="1" t="n">
        <x:v>626</x:v>
      </x:c>
      <x:c r="C545" s="21" t="n">
        <x:f>'Controls'!$B$8+B545</x:f>
        <x:v>46954</x:v>
      </x:c>
      <x:c r="D545" s="1" t="str">
        <x:v>Thu</x:v>
      </x:c>
    </x:row>
    <x:row r="546" ht="23" customHeight="1">
      <x:c r="A546" s="6" t="n">
        <x:v>539</x:v>
      </x:c>
      <x:c r="B546" s="6" t="n">
        <x:v>627</x:v>
      </x:c>
      <x:c r="C546" s="20" t="n">
        <x:f>'Controls'!$B$8+B546</x:f>
        <x:v>46955</x:v>
      </x:c>
      <x:c r="D546" s="6" t="str">
        <x:v>Fri</x:v>
      </x:c>
    </x:row>
    <x:row r="547" ht="23" customHeight="1">
      <x:c r="A547" s="1" t="n">
        <x:v>540</x:v>
      </x:c>
      <x:c r="B547" s="1" t="n">
        <x:v>628</x:v>
      </x:c>
      <x:c r="C547" s="21" t="n">
        <x:f>'Controls'!$B$8+B547</x:f>
        <x:v>46956</x:v>
      </x:c>
      <x:c r="D547" s="1" t="str">
        <x:v>Sat</x:v>
      </x:c>
    </x:row>
    <x:row r="548" ht="23" customHeight="1">
      <x:c r="A548" s="6" t="n">
        <x:v>541</x:v>
      </x:c>
      <x:c r="B548" s="6" t="n">
        <x:v>630</x:v>
      </x:c>
      <x:c r="C548" s="20" t="n">
        <x:f>'Controls'!$B$8+B548</x:f>
        <x:v>46958</x:v>
      </x:c>
      <x:c r="D548" s="6" t="str">
        <x:v>Mon</x:v>
      </x:c>
    </x:row>
    <x:row r="549" ht="23" customHeight="1">
      <x:c r="A549" s="1" t="n">
        <x:v>542</x:v>
      </x:c>
      <x:c r="B549" s="1" t="n">
        <x:v>631</x:v>
      </x:c>
      <x:c r="C549" s="21" t="n">
        <x:f>'Controls'!$B$8+B549</x:f>
        <x:v>46959</x:v>
      </x:c>
      <x:c r="D549" s="1" t="str">
        <x:v>Tue</x:v>
      </x:c>
    </x:row>
    <x:row r="550" ht="23" customHeight="1">
      <x:c r="A550" s="6" t="n">
        <x:v>543</x:v>
      </x:c>
      <x:c r="B550" s="6" t="n">
        <x:v>632</x:v>
      </x:c>
      <x:c r="C550" s="20" t="n">
        <x:f>'Controls'!$B$8+B550</x:f>
        <x:v>46960</x:v>
      </x:c>
      <x:c r="D550" s="6" t="str">
        <x:v>Wed</x:v>
      </x:c>
    </x:row>
    <x:row r="551" ht="23" customHeight="1">
      <x:c r="A551" s="1" t="n">
        <x:v>544</x:v>
      </x:c>
      <x:c r="B551" s="1" t="n">
        <x:v>633</x:v>
      </x:c>
      <x:c r="C551" s="21" t="n">
        <x:f>'Controls'!$B$8+B551</x:f>
        <x:v>46961</x:v>
      </x:c>
      <x:c r="D551" s="1" t="str">
        <x:v>Thu</x:v>
      </x:c>
    </x:row>
    <x:row r="552" ht="23" customHeight="1">
      <x:c r="A552" s="6" t="n">
        <x:v>545</x:v>
      </x:c>
      <x:c r="B552" s="6" t="n">
        <x:v>634</x:v>
      </x:c>
      <x:c r="C552" s="20" t="n">
        <x:f>'Controls'!$B$8+B552</x:f>
        <x:v>46962</x:v>
      </x:c>
      <x:c r="D552" s="6" t="str">
        <x:v>Fri</x:v>
      </x:c>
    </x:row>
    <x:row r="553" ht="23" customHeight="1">
      <x:c r="A553" s="1" t="n">
        <x:v>546</x:v>
      </x:c>
      <x:c r="B553" s="1" t="n">
        <x:v>635</x:v>
      </x:c>
      <x:c r="C553" s="21" t="n">
        <x:f>'Controls'!$B$8+B553</x:f>
        <x:v>46963</x:v>
      </x:c>
      <x:c r="D553" s="1" t="str">
        <x:v>Sat</x:v>
      </x:c>
    </x:row>
    <x:row r="554" ht="23" customHeight="1">
      <x:c r="A554" s="6" t="n">
        <x:v>547</x:v>
      </x:c>
      <x:c r="B554" s="6" t="n">
        <x:v>637</x:v>
      </x:c>
      <x:c r="C554" s="20" t="n">
        <x:f>'Controls'!$B$8+B554</x:f>
        <x:v>46965</x:v>
      </x:c>
      <x:c r="D554" s="6" t="str">
        <x:v>Mon</x:v>
      </x:c>
    </x:row>
    <x:row r="555" ht="23" customHeight="1">
      <x:c r="A555" s="1" t="n">
        <x:v>548</x:v>
      </x:c>
      <x:c r="B555" s="1" t="n">
        <x:v>638</x:v>
      </x:c>
      <x:c r="C555" s="21" t="n">
        <x:f>'Controls'!$B$8+B555</x:f>
        <x:v>46966</x:v>
      </x:c>
      <x:c r="D555" s="1" t="str">
        <x:v>Tue</x:v>
      </x:c>
    </x:row>
    <x:row r="556" ht="23" customHeight="1">
      <x:c r="A556" s="6" t="n">
        <x:v>549</x:v>
      </x:c>
      <x:c r="B556" s="6" t="n">
        <x:v>639</x:v>
      </x:c>
      <x:c r="C556" s="20" t="n">
        <x:f>'Controls'!$B$8+B556</x:f>
        <x:v>46967</x:v>
      </x:c>
      <x:c r="D556" s="6" t="str">
        <x:v>Wed</x:v>
      </x:c>
    </x:row>
    <x:row r="557" ht="23" customHeight="1">
      <x:c r="A557" s="1" t="n">
        <x:v>550</x:v>
      </x:c>
      <x:c r="B557" s="1" t="n">
        <x:v>640</x:v>
      </x:c>
      <x:c r="C557" s="21" t="n">
        <x:f>'Controls'!$B$8+B557</x:f>
        <x:v>46968</x:v>
      </x:c>
      <x:c r="D557" s="1" t="str">
        <x:v>Thu</x:v>
      </x:c>
    </x:row>
    <x:row r="558" ht="23" customHeight="1">
      <x:c r="A558" s="6" t="n">
        <x:v>551</x:v>
      </x:c>
      <x:c r="B558" s="6" t="n">
        <x:v>641</x:v>
      </x:c>
      <x:c r="C558" s="20" t="n">
        <x:f>'Controls'!$B$8+B558</x:f>
        <x:v>46969</x:v>
      </x:c>
      <x:c r="D558" s="6" t="str">
        <x:v>Fri</x:v>
      </x:c>
    </x:row>
    <x:row r="559" ht="23" customHeight="1">
      <x:c r="A559" s="1" t="n">
        <x:v>552</x:v>
      </x:c>
      <x:c r="B559" s="1" t="n">
        <x:v>642</x:v>
      </x:c>
      <x:c r="C559" s="21" t="n">
        <x:f>'Controls'!$B$8+B559</x:f>
        <x:v>46970</x:v>
      </x:c>
      <x:c r="D559" s="1" t="str">
        <x:v>Sat</x:v>
      </x:c>
    </x:row>
    <x:row r="560" ht="23" customHeight="1">
      <x:c r="A560" s="6" t="n">
        <x:v>553</x:v>
      </x:c>
      <x:c r="B560" s="6" t="n">
        <x:v>644</x:v>
      </x:c>
      <x:c r="C560" s="20" t="n">
        <x:f>'Controls'!$B$8+B560</x:f>
        <x:v>46972</x:v>
      </x:c>
      <x:c r="D560" s="6" t="str">
        <x:v>Mon</x:v>
      </x:c>
    </x:row>
    <x:row r="561" ht="23" customHeight="1">
      <x:c r="A561" s="1" t="n">
        <x:v>554</x:v>
      </x:c>
      <x:c r="B561" s="1" t="n">
        <x:v>645</x:v>
      </x:c>
      <x:c r="C561" s="21" t="n">
        <x:f>'Controls'!$B$8+B561</x:f>
        <x:v>46973</x:v>
      </x:c>
      <x:c r="D561" s="1" t="str">
        <x:v>Tue</x:v>
      </x:c>
    </x:row>
    <x:row r="562" ht="23" customHeight="1">
      <x:c r="A562" s="6" t="n">
        <x:v>555</x:v>
      </x:c>
      <x:c r="B562" s="6" t="n">
        <x:v>646</x:v>
      </x:c>
      <x:c r="C562" s="20" t="n">
        <x:f>'Controls'!$B$8+B562</x:f>
        <x:v>46974</x:v>
      </x:c>
      <x:c r="D562" s="6" t="str">
        <x:v>Wed</x:v>
      </x:c>
    </x:row>
    <x:row r="563" ht="23" customHeight="1">
      <x:c r="A563" s="1" t="n">
        <x:v>556</x:v>
      </x:c>
      <x:c r="B563" s="1" t="n">
        <x:v>647</x:v>
      </x:c>
      <x:c r="C563" s="21" t="n">
        <x:f>'Controls'!$B$8+B563</x:f>
        <x:v>46975</x:v>
      </x:c>
      <x:c r="D563" s="1" t="str">
        <x:v>Thu</x:v>
      </x:c>
    </x:row>
    <x:row r="564" ht="23" customHeight="1">
      <x:c r="A564" s="6" t="n">
        <x:v>557</x:v>
      </x:c>
      <x:c r="B564" s="6" t="n">
        <x:v>648</x:v>
      </x:c>
      <x:c r="C564" s="20" t="n">
        <x:f>'Controls'!$B$8+B564</x:f>
        <x:v>46976</x:v>
      </x:c>
      <x:c r="D564" s="6" t="str">
        <x:v>Fri</x:v>
      </x:c>
    </x:row>
    <x:row r="565" ht="23" customHeight="1">
      <x:c r="A565" s="1" t="n">
        <x:v>558</x:v>
      </x:c>
      <x:c r="B565" s="1" t="n">
        <x:v>649</x:v>
      </x:c>
      <x:c r="C565" s="21" t="n">
        <x:f>'Controls'!$B$8+B565</x:f>
        <x:v>46977</x:v>
      </x:c>
      <x:c r="D565" s="1" t="str">
        <x:v>Sat</x:v>
      </x:c>
    </x:row>
    <x:row r="566" ht="23" customHeight="1">
      <x:c r="A566" s="6" t="n">
        <x:v>559</x:v>
      </x:c>
      <x:c r="B566" s="6" t="n">
        <x:v>651</x:v>
      </x:c>
      <x:c r="C566" s="20" t="n">
        <x:f>'Controls'!$B$8+B566</x:f>
        <x:v>46979</x:v>
      </x:c>
      <x:c r="D566" s="6" t="str">
        <x:v>Mon</x:v>
      </x:c>
    </x:row>
    <x:row r="567" ht="23" customHeight="1">
      <x:c r="A567" s="1" t="n">
        <x:v>560</x:v>
      </x:c>
      <x:c r="B567" s="1" t="n">
        <x:v>652</x:v>
      </x:c>
      <x:c r="C567" s="21" t="n">
        <x:f>'Controls'!$B$8+B567</x:f>
        <x:v>46980</x:v>
      </x:c>
      <x:c r="D567" s="1" t="str">
        <x:v>Tue</x:v>
      </x:c>
    </x:row>
    <x:row r="568" ht="23" customHeight="1">
      <x:c r="A568" s="6" t="n">
        <x:v>561</x:v>
      </x:c>
      <x:c r="B568" s="6" t="n">
        <x:v>653</x:v>
      </x:c>
      <x:c r="C568" s="20" t="n">
        <x:f>'Controls'!$B$8+B568</x:f>
        <x:v>46981</x:v>
      </x:c>
      <x:c r="D568" s="6" t="str">
        <x:v>Wed</x:v>
      </x:c>
    </x:row>
    <x:row r="569" ht="23" customHeight="1">
      <x:c r="A569" s="1" t="n">
        <x:v>562</x:v>
      </x:c>
      <x:c r="B569" s="1" t="n">
        <x:v>654</x:v>
      </x:c>
      <x:c r="C569" s="21" t="n">
        <x:f>'Controls'!$B$8+B569</x:f>
        <x:v>46982</x:v>
      </x:c>
      <x:c r="D569" s="1" t="str">
        <x:v>Thu</x:v>
      </x:c>
    </x:row>
    <x:row r="570" ht="23" customHeight="1">
      <x:c r="A570" s="6" t="n">
        <x:v>563</x:v>
      </x:c>
      <x:c r="B570" s="6" t="n">
        <x:v>655</x:v>
      </x:c>
      <x:c r="C570" s="20" t="n">
        <x:f>'Controls'!$B$8+B570</x:f>
        <x:v>46983</x:v>
      </x:c>
      <x:c r="D570" s="6" t="str">
        <x:v>Fri</x:v>
      </x:c>
    </x:row>
    <x:row r="571" ht="23" customHeight="1">
      <x:c r="A571" s="1" t="n">
        <x:v>564</x:v>
      </x:c>
      <x:c r="B571" s="1" t="n">
        <x:v>656</x:v>
      </x:c>
      <x:c r="C571" s="21" t="n">
        <x:f>'Controls'!$B$8+B571</x:f>
        <x:v>46984</x:v>
      </x:c>
      <x:c r="D571" s="1" t="str">
        <x:v>Sat</x:v>
      </x:c>
    </x:row>
    <x:row r="572" ht="23" customHeight="1">
      <x:c r="A572" s="6" t="n">
        <x:v>565</x:v>
      </x:c>
      <x:c r="B572" s="6" t="n">
        <x:v>658</x:v>
      </x:c>
      <x:c r="C572" s="20" t="n">
        <x:f>'Controls'!$B$8+B572</x:f>
        <x:v>46986</x:v>
      </x:c>
      <x:c r="D572" s="6" t="str">
        <x:v>Mon</x:v>
      </x:c>
    </x:row>
    <x:row r="573" ht="23" customHeight="1">
      <x:c r="A573" s="1" t="n">
        <x:v>566</x:v>
      </x:c>
      <x:c r="B573" s="1" t="n">
        <x:v>659</x:v>
      </x:c>
      <x:c r="C573" s="21" t="n">
        <x:f>'Controls'!$B$8+B573</x:f>
        <x:v>46987</x:v>
      </x:c>
      <x:c r="D573" s="1" t="str">
        <x:v>Tue</x:v>
      </x:c>
    </x:row>
    <x:row r="574" ht="23" customHeight="1">
      <x:c r="A574" s="6" t="n">
        <x:v>567</x:v>
      </x:c>
      <x:c r="B574" s="6" t="n">
        <x:v>660</x:v>
      </x:c>
      <x:c r="C574" s="20" t="n">
        <x:f>'Controls'!$B$8+B574</x:f>
        <x:v>46988</x:v>
      </x:c>
      <x:c r="D574" s="6" t="str">
        <x:v>Wed</x:v>
      </x:c>
    </x:row>
    <x:row r="575" ht="23" customHeight="1">
      <x:c r="A575" s="1" t="n">
        <x:v>568</x:v>
      </x:c>
      <x:c r="B575" s="1" t="n">
        <x:v>661</x:v>
      </x:c>
      <x:c r="C575" s="21" t="n">
        <x:f>'Controls'!$B$8+B575</x:f>
        <x:v>46989</x:v>
      </x:c>
      <x:c r="D575" s="1" t="str">
        <x:v>Thu</x:v>
      </x:c>
    </x:row>
    <x:row r="576" ht="23" customHeight="1">
      <x:c r="A576" s="6" t="n">
        <x:v>569</x:v>
      </x:c>
      <x:c r="B576" s="6" t="n">
        <x:v>662</x:v>
      </x:c>
      <x:c r="C576" s="20" t="n">
        <x:f>'Controls'!$B$8+B576</x:f>
        <x:v>46990</x:v>
      </x:c>
      <x:c r="D576" s="6" t="str">
        <x:v>Fri</x:v>
      </x:c>
    </x:row>
    <x:row r="577" ht="23" customHeight="1">
      <x:c r="A577" s="1" t="n">
        <x:v>570</x:v>
      </x:c>
      <x:c r="B577" s="1" t="n">
        <x:v>663</x:v>
      </x:c>
      <x:c r="C577" s="21" t="n">
        <x:f>'Controls'!$B$8+B577</x:f>
        <x:v>46991</x:v>
      </x:c>
      <x:c r="D577" s="1" t="str">
        <x:v>Sat</x:v>
      </x:c>
    </x:row>
    <x:row r="578" ht="23" customHeight="1">
      <x:c r="A578" s="6" t="n">
        <x:v>571</x:v>
      </x:c>
      <x:c r="B578" s="6" t="n">
        <x:v>665</x:v>
      </x:c>
      <x:c r="C578" s="20" t="n">
        <x:f>'Controls'!$B$8+B578</x:f>
        <x:v>46993</x:v>
      </x:c>
      <x:c r="D578" s="6" t="str">
        <x:v>Mon</x:v>
      </x:c>
    </x:row>
    <x:row r="579" ht="23" customHeight="1">
      <x:c r="A579" s="1" t="n">
        <x:v>572</x:v>
      </x:c>
      <x:c r="B579" s="1" t="n">
        <x:v>666</x:v>
      </x:c>
      <x:c r="C579" s="21" t="n">
        <x:f>'Controls'!$B$8+B579</x:f>
        <x:v>46994</x:v>
      </x:c>
      <x:c r="D579" s="1" t="str">
        <x:v>Tue</x:v>
      </x:c>
    </x:row>
    <x:row r="580" ht="23" customHeight="1">
      <x:c r="A580" s="6" t="n">
        <x:v>573</x:v>
      </x:c>
      <x:c r="B580" s="6" t="n">
        <x:v>667</x:v>
      </x:c>
      <x:c r="C580" s="20" t="n">
        <x:f>'Controls'!$B$8+B580</x:f>
        <x:v>46995</x:v>
      </x:c>
      <x:c r="D580" s="6" t="str">
        <x:v>Wed</x:v>
      </x:c>
    </x:row>
    <x:row r="581" ht="23" customHeight="1">
      <x:c r="A581" s="1" t="n">
        <x:v>574</x:v>
      </x:c>
      <x:c r="B581" s="1" t="n">
        <x:v>668</x:v>
      </x:c>
      <x:c r="C581" s="21" t="n">
        <x:f>'Controls'!$B$8+B581</x:f>
        <x:v>46996</x:v>
      </x:c>
      <x:c r="D581" s="1" t="str">
        <x:v>Thu</x:v>
      </x:c>
    </x:row>
    <x:row r="582" ht="23" customHeight="1">
      <x:c r="A582" s="6" t="n">
        <x:v>575</x:v>
      </x:c>
      <x:c r="B582" s="6" t="n">
        <x:v>669</x:v>
      </x:c>
      <x:c r="C582" s="20" t="n">
        <x:f>'Controls'!$B$8+B582</x:f>
        <x:v>46997</x:v>
      </x:c>
      <x:c r="D582" s="6" t="str">
        <x:v>Fri</x:v>
      </x:c>
    </x:row>
    <x:row r="583" ht="23" customHeight="1">
      <x:c r="A583" s="1" t="n">
        <x:v>576</x:v>
      </x:c>
      <x:c r="B583" s="1" t="n">
        <x:v>670</x:v>
      </x:c>
      <x:c r="C583" s="21" t="n">
        <x:f>'Controls'!$B$8+B583</x:f>
        <x:v>46998</x:v>
      </x:c>
      <x:c r="D583" s="1" t="str">
        <x:v>Sat</x:v>
      </x:c>
    </x:row>
    <x:row r="584" ht="23" customHeight="1">
      <x:c r="A584" s="6" t="n">
        <x:v>577</x:v>
      </x:c>
      <x:c r="B584" s="6" t="n">
        <x:v>672</x:v>
      </x:c>
      <x:c r="C584" s="20" t="n">
        <x:f>'Controls'!$B$8+B584</x:f>
        <x:v>47000</x:v>
      </x:c>
      <x:c r="D584" s="6" t="str">
        <x:v>Mon</x:v>
      </x:c>
    </x:row>
    <x:row r="585" ht="23" customHeight="1">
      <x:c r="A585" s="1" t="n">
        <x:v>578</x:v>
      </x:c>
      <x:c r="B585" s="1" t="n">
        <x:v>673</x:v>
      </x:c>
      <x:c r="C585" s="21" t="n">
        <x:f>'Controls'!$B$8+B585</x:f>
        <x:v>47001</x:v>
      </x:c>
      <x:c r="D585" s="1" t="str">
        <x:v>Tue</x:v>
      </x:c>
    </x:row>
    <x:row r="586" ht="23" customHeight="1">
      <x:c r="A586" s="6" t="n">
        <x:v>579</x:v>
      </x:c>
      <x:c r="B586" s="6" t="n">
        <x:v>674</x:v>
      </x:c>
      <x:c r="C586" s="20" t="n">
        <x:f>'Controls'!$B$8+B586</x:f>
        <x:v>47002</x:v>
      </x:c>
      <x:c r="D586" s="6" t="str">
        <x:v>Wed</x:v>
      </x:c>
    </x:row>
    <x:row r="587" ht="23" customHeight="1">
      <x:c r="A587" s="1" t="n">
        <x:v>580</x:v>
      </x:c>
      <x:c r="B587" s="1" t="n">
        <x:v>675</x:v>
      </x:c>
      <x:c r="C587" s="21" t="n">
        <x:f>'Controls'!$B$8+B587</x:f>
        <x:v>47003</x:v>
      </x:c>
      <x:c r="D587" s="1" t="str">
        <x:v>Thu</x:v>
      </x:c>
    </x:row>
    <x:row r="588" ht="23" customHeight="1">
      <x:c r="A588" s="6" t="n">
        <x:v>581</x:v>
      </x:c>
      <x:c r="B588" s="6" t="n">
        <x:v>676</x:v>
      </x:c>
      <x:c r="C588" s="20" t="n">
        <x:f>'Controls'!$B$8+B588</x:f>
        <x:v>47004</x:v>
      </x:c>
      <x:c r="D588" s="6" t="str">
        <x:v>Fri</x:v>
      </x:c>
    </x:row>
    <x:row r="589" ht="23" customHeight="1">
      <x:c r="A589" s="1" t="n">
        <x:v>582</x:v>
      </x:c>
      <x:c r="B589" s="1" t="n">
        <x:v>677</x:v>
      </x:c>
      <x:c r="C589" s="21" t="n">
        <x:f>'Controls'!$B$8+B589</x:f>
        <x:v>47005</x:v>
      </x:c>
      <x:c r="D589" s="1" t="str">
        <x:v>Sat</x:v>
      </x:c>
    </x:row>
    <x:row r="590" ht="23" customHeight="1">
      <x:c r="A590" s="6" t="n">
        <x:v>583</x:v>
      </x:c>
      <x:c r="B590" s="6" t="n">
        <x:v>679</x:v>
      </x:c>
      <x:c r="C590" s="20" t="n">
        <x:f>'Controls'!$B$8+B590</x:f>
        <x:v>47007</x:v>
      </x:c>
      <x:c r="D590" s="6" t="str">
        <x:v>Mon</x:v>
      </x:c>
    </x:row>
    <x:row r="591" ht="23" customHeight="1">
      <x:c r="A591" s="1" t="n">
        <x:v>584</x:v>
      </x:c>
      <x:c r="B591" s="1" t="n">
        <x:v>680</x:v>
      </x:c>
      <x:c r="C591" s="21" t="n">
        <x:f>'Controls'!$B$8+B591</x:f>
        <x:v>47008</x:v>
      </x:c>
      <x:c r="D591" s="1" t="str">
        <x:v>Tue</x:v>
      </x:c>
    </x:row>
    <x:row r="592" ht="23" customHeight="1">
      <x:c r="A592" s="6" t="n">
        <x:v>585</x:v>
      </x:c>
      <x:c r="B592" s="6" t="n">
        <x:v>681</x:v>
      </x:c>
      <x:c r="C592" s="20" t="n">
        <x:f>'Controls'!$B$8+B592</x:f>
        <x:v>47009</x:v>
      </x:c>
      <x:c r="D592" s="6" t="str">
        <x:v>Wed</x:v>
      </x:c>
    </x:row>
    <x:row r="593" ht="23" customHeight="1">
      <x:c r="A593" s="1" t="n">
        <x:v>586</x:v>
      </x:c>
      <x:c r="B593" s="1" t="n">
        <x:v>682</x:v>
      </x:c>
      <x:c r="C593" s="21" t="n">
        <x:f>'Controls'!$B$8+B593</x:f>
        <x:v>47010</x:v>
      </x:c>
      <x:c r="D593" s="1" t="str">
        <x:v>Thu</x:v>
      </x:c>
    </x:row>
    <x:row r="594" ht="23" customHeight="1">
      <x:c r="A594" s="6" t="n">
        <x:v>587</x:v>
      </x:c>
      <x:c r="B594" s="6" t="n">
        <x:v>683</x:v>
      </x:c>
      <x:c r="C594" s="20" t="n">
        <x:f>'Controls'!$B$8+B594</x:f>
        <x:v>47011</x:v>
      </x:c>
      <x:c r="D594" s="6" t="str">
        <x:v>Fri</x:v>
      </x:c>
    </x:row>
    <x:row r="595" ht="23" customHeight="1">
      <x:c r="A595" s="1" t="n">
        <x:v>588</x:v>
      </x:c>
      <x:c r="B595" s="1" t="n">
        <x:v>684</x:v>
      </x:c>
      <x:c r="C595" s="21" t="n">
        <x:f>'Controls'!$B$8+B595</x:f>
        <x:v>47012</x:v>
      </x:c>
      <x:c r="D595" s="1" t="str">
        <x:v>Sat</x:v>
      </x:c>
    </x:row>
    <x:row r="596" ht="23" customHeight="1">
      <x:c r="A596" s="6" t="n">
        <x:v>589</x:v>
      </x:c>
      <x:c r="B596" s="6" t="n">
        <x:v>686</x:v>
      </x:c>
      <x:c r="C596" s="20" t="n">
        <x:f>'Controls'!$B$8+B596</x:f>
        <x:v>47014</x:v>
      </x:c>
      <x:c r="D596" s="6" t="str">
        <x:v>Mon</x:v>
      </x:c>
    </x:row>
    <x:row r="597" ht="23" customHeight="1">
      <x:c r="A597" s="1" t="n">
        <x:v>590</x:v>
      </x:c>
      <x:c r="B597" s="1" t="n">
        <x:v>687</x:v>
      </x:c>
      <x:c r="C597" s="21" t="n">
        <x:f>'Controls'!$B$8+B597</x:f>
        <x:v>47015</x:v>
      </x:c>
      <x:c r="D597" s="1" t="str">
        <x:v>Tue</x:v>
      </x:c>
    </x:row>
    <x:row r="598" ht="23" customHeight="1">
      <x:c r="A598" s="6" t="n">
        <x:v>591</x:v>
      </x:c>
      <x:c r="B598" s="6" t="n">
        <x:v>688</x:v>
      </x:c>
      <x:c r="C598" s="20" t="n">
        <x:f>'Controls'!$B$8+B598</x:f>
        <x:v>47016</x:v>
      </x:c>
      <x:c r="D598" s="6" t="str">
        <x:v>Wed</x:v>
      </x:c>
    </x:row>
    <x:row r="599" ht="23" customHeight="1">
      <x:c r="A599" s="1" t="n">
        <x:v>592</x:v>
      </x:c>
      <x:c r="B599" s="1" t="n">
        <x:v>689</x:v>
      </x:c>
      <x:c r="C599" s="21" t="n">
        <x:f>'Controls'!$B$8+B599</x:f>
        <x:v>47017</x:v>
      </x:c>
      <x:c r="D599" s="1" t="str">
        <x:v>Thu</x:v>
      </x:c>
    </x:row>
    <x:row r="600" ht="23" customHeight="1">
      <x:c r="A600" s="6" t="n">
        <x:v>593</x:v>
      </x:c>
      <x:c r="B600" s="6" t="n">
        <x:v>690</x:v>
      </x:c>
      <x:c r="C600" s="20" t="n">
        <x:f>'Controls'!$B$8+B600</x:f>
        <x:v>47018</x:v>
      </x:c>
      <x:c r="D600" s="6" t="str">
        <x:v>Fri</x:v>
      </x:c>
    </x:row>
    <x:row r="601" ht="23" customHeight="1">
      <x:c r="A601" s="1" t="n">
        <x:v>594</x:v>
      </x:c>
      <x:c r="B601" s="1" t="n">
        <x:v>691</x:v>
      </x:c>
      <x:c r="C601" s="21" t="n">
        <x:f>'Controls'!$B$8+B601</x:f>
        <x:v>47019</x:v>
      </x:c>
      <x:c r="D601" s="1" t="str">
        <x:v>Sat</x:v>
      </x:c>
    </x:row>
    <x:row r="602" ht="23" customHeight="1">
      <x:c r="A602" s="6" t="n">
        <x:v>595</x:v>
      </x:c>
      <x:c r="B602" s="6" t="n">
        <x:v>693</x:v>
      </x:c>
      <x:c r="C602" s="20" t="n">
        <x:f>'Controls'!$B$8+B602</x:f>
        <x:v>47021</x:v>
      </x:c>
      <x:c r="D602" s="6" t="str">
        <x:v>Mon</x:v>
      </x:c>
    </x:row>
    <x:row r="603" ht="23" customHeight="1">
      <x:c r="A603" s="1" t="n">
        <x:v>596</x:v>
      </x:c>
      <x:c r="B603" s="1" t="n">
        <x:v>694</x:v>
      </x:c>
      <x:c r="C603" s="21" t="n">
        <x:f>'Controls'!$B$8+B603</x:f>
        <x:v>47022</x:v>
      </x:c>
      <x:c r="D603" s="1" t="str">
        <x:v>Tue</x:v>
      </x:c>
    </x:row>
    <x:row r="604" ht="23" customHeight="1">
      <x:c r="A604" s="6" t="n">
        <x:v>597</x:v>
      </x:c>
      <x:c r="B604" s="6" t="n">
        <x:v>695</x:v>
      </x:c>
      <x:c r="C604" s="20" t="n">
        <x:f>'Controls'!$B$8+B604</x:f>
        <x:v>47023</x:v>
      </x:c>
      <x:c r="D604" s="6" t="str">
        <x:v>Wed</x:v>
      </x:c>
    </x:row>
    <x:row r="605" ht="23" customHeight="1">
      <x:c r="A605" s="1" t="n">
        <x:v>598</x:v>
      </x:c>
      <x:c r="B605" s="1" t="n">
        <x:v>696</x:v>
      </x:c>
      <x:c r="C605" s="21" t="n">
        <x:f>'Controls'!$B$8+B605</x:f>
        <x:v>47024</x:v>
      </x:c>
      <x:c r="D605" s="1" t="str">
        <x:v>Thu</x:v>
      </x:c>
    </x:row>
    <x:row r="606" ht="23" customHeight="1">
      <x:c r="A606" s="6" t="n">
        <x:v>599</x:v>
      </x:c>
      <x:c r="B606" s="6" t="n">
        <x:v>697</x:v>
      </x:c>
      <x:c r="C606" s="20" t="n">
        <x:f>'Controls'!$B$8+B606</x:f>
        <x:v>47025</x:v>
      </x:c>
      <x:c r="D606" s="6" t="str">
        <x:v>Fri</x:v>
      </x:c>
    </x:row>
    <x:row r="607" ht="23" customHeight="1">
      <x:c r="A607" s="1" t="n">
        <x:v>600</x:v>
      </x:c>
      <x:c r="B607" s="1" t="n">
        <x:v>698</x:v>
      </x:c>
      <x:c r="C607" s="21" t="n">
        <x:f>'Controls'!$B$8+B607</x:f>
        <x:v>47026</x:v>
      </x:c>
      <x:c r="D607" s="1" t="str">
        <x:v>Sat</x:v>
      </x:c>
    </x:row>
    <x:row r="608" ht="23" customHeight="1">
      <x:c r="A608" s="6" t="n">
        <x:v>601</x:v>
      </x:c>
      <x:c r="B608" s="6" t="n">
        <x:v>700</x:v>
      </x:c>
      <x:c r="C608" s="20" t="n">
        <x:f>'Controls'!$B$8+B608</x:f>
        <x:v>47028</x:v>
      </x:c>
      <x:c r="D608" s="6" t="str">
        <x:v>Mon</x:v>
      </x:c>
    </x:row>
    <x:row r="609" ht="23" customHeight="1">
      <x:c r="A609" s="1" t="n">
        <x:v>602</x:v>
      </x:c>
      <x:c r="B609" s="1" t="n">
        <x:v>701</x:v>
      </x:c>
      <x:c r="C609" s="21" t="n">
        <x:f>'Controls'!$B$8+B609</x:f>
        <x:v>47029</x:v>
      </x:c>
      <x:c r="D609" s="1" t="str">
        <x:v>Tue</x:v>
      </x:c>
    </x:row>
    <x:row r="610" ht="23" customHeight="1">
      <x:c r="A610" s="6" t="n">
        <x:v>603</x:v>
      </x:c>
      <x:c r="B610" s="6" t="n">
        <x:v>702</x:v>
      </x:c>
      <x:c r="C610" s="20" t="n">
        <x:f>'Controls'!$B$8+B610</x:f>
        <x:v>47030</x:v>
      </x:c>
      <x:c r="D610" s="6" t="str">
        <x:v>Wed</x:v>
      </x:c>
    </x:row>
    <x:row r="611" ht="23" customHeight="1">
      <x:c r="A611" s="1" t="n">
        <x:v>604</x:v>
      </x:c>
      <x:c r="B611" s="1" t="n">
        <x:v>703</x:v>
      </x:c>
      <x:c r="C611" s="21" t="n">
        <x:f>'Controls'!$B$8+B611</x:f>
        <x:v>47031</x:v>
      </x:c>
      <x:c r="D611" s="1" t="str">
        <x:v>Thu</x:v>
      </x:c>
    </x:row>
    <x:row r="612" ht="23" customHeight="1">
      <x:c r="A612" s="6" t="n">
        <x:v>605</x:v>
      </x:c>
      <x:c r="B612" s="6" t="n">
        <x:v>704</x:v>
      </x:c>
      <x:c r="C612" s="20" t="n">
        <x:f>'Controls'!$B$8+B612</x:f>
        <x:v>47032</x:v>
      </x:c>
      <x:c r="D612" s="6" t="str">
        <x:v>Fri</x:v>
      </x:c>
    </x:row>
    <x:row r="613" ht="23" customHeight="1">
      <x:c r="A613" s="1" t="n">
        <x:v>606</x:v>
      </x:c>
      <x:c r="B613" s="1" t="n">
        <x:v>705</x:v>
      </x:c>
      <x:c r="C613" s="21" t="n">
        <x:f>'Controls'!$B$8+B613</x:f>
        <x:v>47033</x:v>
      </x:c>
      <x:c r="D613" s="1" t="str">
        <x:v>Sat</x:v>
      </x:c>
    </x:row>
    <x:row r="614" ht="23" customHeight="1">
      <x:c r="A614" s="6" t="n">
        <x:v>607</x:v>
      </x:c>
      <x:c r="B614" s="6" t="n">
        <x:v>707</x:v>
      </x:c>
      <x:c r="C614" s="20" t="n">
        <x:f>'Controls'!$B$8+B614</x:f>
        <x:v>47035</x:v>
      </x:c>
      <x:c r="D614" s="6" t="str">
        <x:v>Mon</x:v>
      </x:c>
    </x:row>
    <x:row r="615" ht="23" customHeight="1">
      <x:c r="A615" s="1" t="n">
        <x:v>608</x:v>
      </x:c>
      <x:c r="B615" s="1" t="n">
        <x:v>708</x:v>
      </x:c>
      <x:c r="C615" s="21" t="n">
        <x:f>'Controls'!$B$8+B615</x:f>
        <x:v>47036</x:v>
      </x:c>
      <x:c r="D615" s="1" t="str">
        <x:v>Tue</x:v>
      </x:c>
    </x:row>
    <x:row r="616" ht="23" customHeight="1">
      <x:c r="A616" s="6" t="n">
        <x:v>609</x:v>
      </x:c>
      <x:c r="B616" s="6" t="n">
        <x:v>709</x:v>
      </x:c>
      <x:c r="C616" s="20" t="n">
        <x:f>'Controls'!$B$8+B616</x:f>
        <x:v>47037</x:v>
      </x:c>
      <x:c r="D616" s="6" t="str">
        <x:v>Wed</x:v>
      </x:c>
    </x:row>
    <x:row r="617" ht="23" customHeight="1">
      <x:c r="A617" s="1" t="n">
        <x:v>610</x:v>
      </x:c>
      <x:c r="B617" s="1" t="n">
        <x:v>710</x:v>
      </x:c>
      <x:c r="C617" s="21" t="n">
        <x:f>'Controls'!$B$8+B617</x:f>
        <x:v>47038</x:v>
      </x:c>
      <x:c r="D617" s="1" t="str">
        <x:v>Thu</x:v>
      </x:c>
    </x:row>
    <x:row r="618" ht="23" customHeight="1">
      <x:c r="A618" s="6" t="n">
        <x:v>611</x:v>
      </x:c>
      <x:c r="B618" s="6" t="n">
        <x:v>711</x:v>
      </x:c>
      <x:c r="C618" s="20" t="n">
        <x:f>'Controls'!$B$8+B618</x:f>
        <x:v>47039</x:v>
      </x:c>
      <x:c r="D618" s="6" t="str">
        <x:v>Fri</x:v>
      </x:c>
    </x:row>
    <x:row r="619" ht="23" customHeight="1">
      <x:c r="A619" s="1" t="n">
        <x:v>612</x:v>
      </x:c>
      <x:c r="B619" s="1" t="n">
        <x:v>712</x:v>
      </x:c>
      <x:c r="C619" s="21" t="n">
        <x:f>'Controls'!$B$8+B619</x:f>
        <x:v>47040</x:v>
      </x:c>
      <x:c r="D619" s="1" t="str">
        <x:v>Sat</x:v>
      </x:c>
    </x:row>
    <x:row r="620" ht="23" customHeight="1">
      <x:c r="A620" s="6" t="n">
        <x:v>613</x:v>
      </x:c>
      <x:c r="B620" s="6" t="n">
        <x:v>714</x:v>
      </x:c>
      <x:c r="C620" s="20" t="n">
        <x:f>'Controls'!$B$8+B620</x:f>
        <x:v>47042</x:v>
      </x:c>
      <x:c r="D620" s="6" t="str">
        <x:v>Mon</x:v>
      </x:c>
    </x:row>
    <x:row r="621" ht="23" customHeight="1">
      <x:c r="A621" s="1" t="n">
        <x:v>614</x:v>
      </x:c>
      <x:c r="B621" s="1" t="n">
        <x:v>715</x:v>
      </x:c>
      <x:c r="C621" s="21" t="n">
        <x:f>'Controls'!$B$8+B621</x:f>
        <x:v>47043</x:v>
      </x:c>
      <x:c r="D621" s="1" t="str">
        <x:v>Tue</x:v>
      </x:c>
    </x:row>
    <x:row r="622" ht="23" customHeight="1">
      <x:c r="A622" s="6" t="n">
        <x:v>615</x:v>
      </x:c>
      <x:c r="B622" s="6" t="n">
        <x:v>716</x:v>
      </x:c>
      <x:c r="C622" s="20" t="n">
        <x:f>'Controls'!$B$8+B622</x:f>
        <x:v>47044</x:v>
      </x:c>
      <x:c r="D622" s="6" t="str">
        <x:v>Wed</x:v>
      </x:c>
    </x:row>
    <x:row r="623" ht="23" customHeight="1">
      <x:c r="A623" s="1" t="n">
        <x:v>616</x:v>
      </x:c>
      <x:c r="B623" s="1" t="n">
        <x:v>717</x:v>
      </x:c>
      <x:c r="C623" s="21" t="n">
        <x:f>'Controls'!$B$8+B623</x:f>
        <x:v>47045</x:v>
      </x:c>
      <x:c r="D623" s="1" t="str">
        <x:v>Thu</x:v>
      </x:c>
    </x:row>
    <x:row r="624" ht="23" customHeight="1">
      <x:c r="A624" s="6" t="n">
        <x:v>617</x:v>
      </x:c>
      <x:c r="B624" s="6" t="n">
        <x:v>718</x:v>
      </x:c>
      <x:c r="C624" s="20" t="n">
        <x:f>'Controls'!$B$8+B624</x:f>
        <x:v>47046</x:v>
      </x:c>
      <x:c r="D624" s="6" t="str">
        <x:v>Fri</x:v>
      </x:c>
    </x:row>
    <x:row r="625" ht="23" customHeight="1">
      <x:c r="A625" s="1" t="n">
        <x:v>618</x:v>
      </x:c>
      <x:c r="B625" s="1" t="n">
        <x:v>719</x:v>
      </x:c>
      <x:c r="C625" s="21" t="n">
        <x:f>'Controls'!$B$8+B625</x:f>
        <x:v>47047</x:v>
      </x:c>
      <x:c r="D625" s="1" t="str">
        <x:v>Sat</x:v>
      </x:c>
    </x:row>
    <x:row r="626" ht="23" customHeight="1">
      <x:c r="A626" s="6" t="n">
        <x:v>619</x:v>
      </x:c>
      <x:c r="B626" s="6" t="n">
        <x:v>721</x:v>
      </x:c>
      <x:c r="C626" s="20" t="n">
        <x:f>'Controls'!$B$8+B626</x:f>
        <x:v>47049</x:v>
      </x:c>
      <x:c r="D626" s="6" t="str">
        <x:v>Mon</x:v>
      </x:c>
    </x:row>
    <x:row r="627" ht="23" customHeight="1">
      <x:c r="A627" s="1" t="n">
        <x:v>620</x:v>
      </x:c>
      <x:c r="B627" s="1" t="n">
        <x:v>722</x:v>
      </x:c>
      <x:c r="C627" s="21" t="n">
        <x:f>'Controls'!$B$8+B627</x:f>
        <x:v>47050</x:v>
      </x:c>
      <x:c r="D627" s="1" t="str">
        <x:v>Tue</x:v>
      </x:c>
    </x:row>
    <x:row r="628" ht="23" customHeight="1">
      <x:c r="A628" s="6" t="n">
        <x:v>621</x:v>
      </x:c>
      <x:c r="B628" s="6" t="n">
        <x:v>723</x:v>
      </x:c>
      <x:c r="C628" s="20" t="n">
        <x:f>'Controls'!$B$8+B628</x:f>
        <x:v>47051</x:v>
      </x:c>
      <x:c r="D628" s="6" t="str">
        <x:v>Wed</x:v>
      </x:c>
    </x:row>
    <x:row r="629" ht="23" customHeight="1">
      <x:c r="A629" s="1" t="n">
        <x:v>622</x:v>
      </x:c>
      <x:c r="B629" s="1" t="n">
        <x:v>724</x:v>
      </x:c>
      <x:c r="C629" s="21" t="n">
        <x:f>'Controls'!$B$8+B629</x:f>
        <x:v>47052</x:v>
      </x:c>
      <x:c r="D629" s="1" t="str">
        <x:v>Thu</x:v>
      </x:c>
    </x:row>
    <x:row r="630" ht="23" customHeight="1">
      <x:c r="A630" s="6" t="n">
        <x:v>623</x:v>
      </x:c>
      <x:c r="B630" s="6" t="n">
        <x:v>725</x:v>
      </x:c>
      <x:c r="C630" s="20" t="n">
        <x:f>'Controls'!$B$8+B630</x:f>
        <x:v>47053</x:v>
      </x:c>
      <x:c r="D630" s="6" t="str">
        <x:v>Fri</x:v>
      </x:c>
    </x:row>
    <x:row r="631" ht="23" customHeight="1">
      <x:c r="A631" s="1" t="n">
        <x:v>624</x:v>
      </x:c>
      <x:c r="B631" s="1" t="n">
        <x:v>726</x:v>
      </x:c>
      <x:c r="C631" s="21" t="n">
        <x:f>'Controls'!$B$8+B631</x:f>
        <x:v>47054</x:v>
      </x:c>
      <x:c r="D631" s="1" t="str">
        <x:v>Sat</x:v>
      </x:c>
    </x:row>
    <x:row r="632" ht="23" customHeight="1">
      <x:c r="A632" s="6" t="n">
        <x:v>625</x:v>
      </x:c>
      <x:c r="B632" s="6" t="n">
        <x:v>728</x:v>
      </x:c>
      <x:c r="C632" s="20" t="n">
        <x:f>'Controls'!$B$8+B632</x:f>
        <x:v>47056</x:v>
      </x:c>
      <x:c r="D632" s="6" t="str">
        <x:v>Mon</x:v>
      </x:c>
    </x:row>
    <x:row r="633" ht="23" customHeight="1">
      <x:c r="A633" s="1" t="n">
        <x:v>626</x:v>
      </x:c>
      <x:c r="B633" s="1" t="n">
        <x:v>729</x:v>
      </x:c>
      <x:c r="C633" s="21" t="n">
        <x:f>'Controls'!$B$8+B633</x:f>
        <x:v>47057</x:v>
      </x:c>
      <x:c r="D633" s="1" t="str">
        <x:v>Tue</x:v>
      </x:c>
    </x:row>
    <x:row r="634" ht="23" customHeight="1">
      <x:c r="A634" s="6" t="n">
        <x:v>627</x:v>
      </x:c>
      <x:c r="B634" s="6" t="n">
        <x:v>730</x:v>
      </x:c>
      <x:c r="C634" s="20" t="n">
        <x:f>'Controls'!$B$8+B634</x:f>
        <x:v>47058</x:v>
      </x:c>
      <x:c r="D634" s="6" t="str">
        <x:v>Wed</x:v>
      </x:c>
    </x:row>
    <x:row r="635" ht="23" customHeight="1">
      <x:c r="A635" s="1" t="n">
        <x:v>628</x:v>
      </x:c>
      <x:c r="B635" s="1" t="n">
        <x:v>731</x:v>
      </x:c>
      <x:c r="C635" s="21" t="n">
        <x:f>'Controls'!$B$8+B635</x:f>
        <x:v>47059</x:v>
      </x:c>
      <x:c r="D635" s="1" t="str">
        <x:v>Thu</x:v>
      </x:c>
    </x:row>
    <x:row r="636" ht="23" customHeight="1">
      <x:c r="A636" s="6" t="n">
        <x:v>629</x:v>
      </x:c>
      <x:c r="B636" s="6" t="n">
        <x:v>732</x:v>
      </x:c>
      <x:c r="C636" s="20" t="n">
        <x:f>'Controls'!$B$8+B636</x:f>
        <x:v>47060</x:v>
      </x:c>
      <x:c r="D636" s="6" t="str">
        <x:v>Fri</x:v>
      </x:c>
    </x:row>
    <x:row r="637" ht="23" customHeight="1">
      <x:c r="A637" s="1" t="n">
        <x:v>630</x:v>
      </x:c>
      <x:c r="B637" s="1" t="n">
        <x:v>733</x:v>
      </x:c>
      <x:c r="C637" s="21" t="n">
        <x:f>'Controls'!$B$8+B637</x:f>
        <x:v>47061</x:v>
      </x:c>
      <x:c r="D637" s="1" t="str">
        <x:v>Sat</x:v>
      </x:c>
    </x:row>
    <x:row r="638" ht="23" customHeight="1">
      <x:c r="A638" s="6" t="n">
        <x:v>631</x:v>
      </x:c>
      <x:c r="B638" s="6" t="n">
        <x:v>735</x:v>
      </x:c>
      <x:c r="C638" s="20" t="n">
        <x:f>'Controls'!$B$8+B638</x:f>
        <x:v>47063</x:v>
      </x:c>
      <x:c r="D638" s="6" t="str">
        <x:v>Mon</x:v>
      </x:c>
    </x:row>
    <x:row r="639" ht="23" customHeight="1">
      <x:c r="A639" s="1" t="n">
        <x:v>632</x:v>
      </x:c>
      <x:c r="B639" s="1" t="n">
        <x:v>736</x:v>
      </x:c>
      <x:c r="C639" s="21" t="n">
        <x:f>'Controls'!$B$8+B639</x:f>
        <x:v>47064</x:v>
      </x:c>
      <x:c r="D639" s="1" t="str">
        <x:v>Tue</x:v>
      </x:c>
    </x:row>
    <x:row r="640" ht="23" customHeight="1">
      <x:c r="A640" s="6" t="n">
        <x:v>633</x:v>
      </x:c>
      <x:c r="B640" s="6" t="n">
        <x:v>737</x:v>
      </x:c>
      <x:c r="C640" s="20" t="n">
        <x:f>'Controls'!$B$8+B640</x:f>
        <x:v>47065</x:v>
      </x:c>
      <x:c r="D640" s="6" t="str">
        <x:v>Wed</x:v>
      </x:c>
    </x:row>
    <x:row r="641" ht="23" customHeight="1">
      <x:c r="A641" s="1" t="n">
        <x:v>634</x:v>
      </x:c>
      <x:c r="B641" s="1" t="n">
        <x:v>738</x:v>
      </x:c>
      <x:c r="C641" s="21" t="n">
        <x:f>'Controls'!$B$8+B641</x:f>
        <x:v>47066</x:v>
      </x:c>
      <x:c r="D641" s="1" t="str">
        <x:v>Thu</x:v>
      </x:c>
    </x:row>
    <x:row r="642" ht="23" customHeight="1">
      <x:c r="A642" s="6" t="n">
        <x:v>635</x:v>
      </x:c>
      <x:c r="B642" s="6" t="n">
        <x:v>739</x:v>
      </x:c>
      <x:c r="C642" s="20" t="n">
        <x:f>'Controls'!$B$8+B642</x:f>
        <x:v>47067</x:v>
      </x:c>
      <x:c r="D642" s="6" t="str">
        <x:v>Fri</x:v>
      </x:c>
    </x:row>
    <x:row r="643" ht="23" customHeight="1">
      <x:c r="A643" s="1" t="n">
        <x:v>636</x:v>
      </x:c>
      <x:c r="B643" s="1" t="n">
        <x:v>740</x:v>
      </x:c>
      <x:c r="C643" s="21" t="n">
        <x:f>'Controls'!$B$8+B643</x:f>
        <x:v>47068</x:v>
      </x:c>
      <x:c r="D643" s="1" t="str">
        <x:v>Sat</x:v>
      </x:c>
    </x:row>
    <x:row r="644" ht="23" customHeight="1">
      <x:c r="A644" s="6" t="n">
        <x:v>637</x:v>
      </x:c>
      <x:c r="B644" s="6" t="n">
        <x:v>742</x:v>
      </x:c>
      <x:c r="C644" s="20" t="n">
        <x:f>'Controls'!$B$8+B644</x:f>
        <x:v>47070</x:v>
      </x:c>
      <x:c r="D644" s="6" t="str">
        <x:v>Mon</x:v>
      </x:c>
    </x:row>
    <x:row r="645" ht="23" customHeight="1">
      <x:c r="A645" s="1" t="n">
        <x:v>638</x:v>
      </x:c>
      <x:c r="B645" s="1" t="n">
        <x:v>743</x:v>
      </x:c>
      <x:c r="C645" s="21" t="n">
        <x:f>'Controls'!$B$8+B645</x:f>
        <x:v>47071</x:v>
      </x:c>
      <x:c r="D645" s="1" t="str">
        <x:v>Tue</x:v>
      </x:c>
    </x:row>
    <x:row r="646" ht="23" customHeight="1">
      <x:c r="A646" s="6" t="n">
        <x:v>639</x:v>
      </x:c>
      <x:c r="B646" s="6" t="n">
        <x:v>744</x:v>
      </x:c>
      <x:c r="C646" s="20" t="n">
        <x:f>'Controls'!$B$8+B646</x:f>
        <x:v>47072</x:v>
      </x:c>
      <x:c r="D646" s="6" t="str">
        <x:v>Wed</x:v>
      </x:c>
    </x:row>
    <x:row r="647" ht="23" customHeight="1">
      <x:c r="A647" s="1" t="n">
        <x:v>640</x:v>
      </x:c>
      <x:c r="B647" s="1" t="n">
        <x:v>745</x:v>
      </x:c>
      <x:c r="C647" s="21" t="n">
        <x:f>'Controls'!$B$8+B647</x:f>
        <x:v>47073</x:v>
      </x:c>
      <x:c r="D647" s="1" t="str">
        <x:v>Thu</x:v>
      </x:c>
    </x:row>
    <x:row r="648" ht="23" customHeight="1">
      <x:c r="A648" s="6" t="n">
        <x:v>641</x:v>
      </x:c>
      <x:c r="B648" s="6" t="n">
        <x:v>746</x:v>
      </x:c>
      <x:c r="C648" s="20" t="n">
        <x:f>'Controls'!$B$8+B648</x:f>
        <x:v>47074</x:v>
      </x:c>
      <x:c r="D648" s="6" t="str">
        <x:v>Fri</x:v>
      </x:c>
    </x:row>
    <x:row r="649" ht="23" customHeight="1">
      <x:c r="A649" s="1" t="n">
        <x:v>642</x:v>
      </x:c>
      <x:c r="B649" s="1" t="n">
        <x:v>747</x:v>
      </x:c>
      <x:c r="C649" s="21" t="n">
        <x:f>'Controls'!$B$8+B649</x:f>
        <x:v>47075</x:v>
      </x:c>
      <x:c r="D649" s="1" t="str">
        <x:v>Sat</x:v>
      </x:c>
    </x:row>
    <x:row r="650" ht="23" customHeight="1">
      <x:c r="A650" s="6" t="n">
        <x:v>643</x:v>
      </x:c>
      <x:c r="B650" s="6" t="n">
        <x:v>749</x:v>
      </x:c>
      <x:c r="C650" s="20" t="n">
        <x:f>'Controls'!$B$8+B650</x:f>
        <x:v>47077</x:v>
      </x:c>
      <x:c r="D650" s="6" t="str">
        <x:v>Mon</x:v>
      </x:c>
    </x:row>
    <x:row r="651" ht="23" customHeight="1">
      <x:c r="A651" s="1" t="n">
        <x:v>644</x:v>
      </x:c>
      <x:c r="B651" s="1" t="n">
        <x:v>750</x:v>
      </x:c>
      <x:c r="C651" s="21" t="n">
        <x:f>'Controls'!$B$8+B651</x:f>
        <x:v>47078</x:v>
      </x:c>
      <x:c r="D651" s="1" t="str">
        <x:v>Tue</x:v>
      </x:c>
    </x:row>
    <x:row r="652" ht="23" customHeight="1">
      <x:c r="A652" s="6" t="n">
        <x:v>645</x:v>
      </x:c>
      <x:c r="B652" s="6" t="n">
        <x:v>751</x:v>
      </x:c>
      <x:c r="C652" s="20" t="n">
        <x:f>'Controls'!$B$8+B652</x:f>
        <x:v>47079</x:v>
      </x:c>
      <x:c r="D652" s="6" t="str">
        <x:v>Wed</x:v>
      </x:c>
    </x:row>
    <x:row r="653" ht="23" customHeight="1">
      <x:c r="A653" s="1" t="n">
        <x:v>646</x:v>
      </x:c>
      <x:c r="B653" s="1" t="n">
        <x:v>752</x:v>
      </x:c>
      <x:c r="C653" s="21" t="n">
        <x:f>'Controls'!$B$8+B653</x:f>
        <x:v>47080</x:v>
      </x:c>
      <x:c r="D653" s="1" t="str">
        <x:v>Thu</x:v>
      </x:c>
    </x:row>
    <x:row r="654" ht="23" customHeight="1">
      <x:c r="A654" s="6" t="n">
        <x:v>647</x:v>
      </x:c>
      <x:c r="B654" s="6" t="n">
        <x:v>753</x:v>
      </x:c>
      <x:c r="C654" s="20" t="n">
        <x:f>'Controls'!$B$8+B654</x:f>
        <x:v>47081</x:v>
      </x:c>
      <x:c r="D654" s="6" t="str">
        <x:v>Fri</x:v>
      </x:c>
    </x:row>
    <x:row r="655" ht="23" customHeight="1">
      <x:c r="A655" s="1" t="n">
        <x:v>648</x:v>
      </x:c>
      <x:c r="B655" s="1" t="n">
        <x:v>754</x:v>
      </x:c>
      <x:c r="C655" s="21" t="n">
        <x:f>'Controls'!$B$8+B655</x:f>
        <x:v>47082</x:v>
      </x:c>
      <x:c r="D655" s="1" t="str">
        <x:v>Sat</x:v>
      </x:c>
    </x:row>
    <x:row r="656" ht="23" customHeight="1">
      <x:c r="A656" s="6" t="n">
        <x:v>649</x:v>
      </x:c>
      <x:c r="B656" s="6" t="n">
        <x:v>756</x:v>
      </x:c>
      <x:c r="C656" s="20" t="n">
        <x:f>'Controls'!$B$8+B656</x:f>
        <x:v>47084</x:v>
      </x:c>
      <x:c r="D656" s="6" t="str">
        <x:v>Mon</x:v>
      </x:c>
    </x:row>
    <x:row r="657" ht="23" customHeight="1">
      <x:c r="A657" s="1" t="n">
        <x:v>650</x:v>
      </x:c>
      <x:c r="B657" s="1" t="n">
        <x:v>757</x:v>
      </x:c>
      <x:c r="C657" s="21" t="n">
        <x:f>'Controls'!$B$8+B657</x:f>
        <x:v>47085</x:v>
      </x:c>
      <x:c r="D657" s="1" t="str">
        <x:v>Tue</x:v>
      </x:c>
    </x:row>
    <x:row r="658" ht="23" customHeight="1">
      <x:c r="A658" s="6" t="n">
        <x:v>651</x:v>
      </x:c>
      <x:c r="B658" s="6" t="n">
        <x:v>758</x:v>
      </x:c>
      <x:c r="C658" s="20" t="n">
        <x:f>'Controls'!$B$8+B658</x:f>
        <x:v>47086</x:v>
      </x:c>
      <x:c r="D658" s="6" t="str">
        <x:v>Wed</x:v>
      </x:c>
    </x:row>
    <x:row r="659" ht="23" customHeight="1">
      <x:c r="A659" s="1" t="n">
        <x:v>652</x:v>
      </x:c>
      <x:c r="B659" s="1" t="n">
        <x:v>759</x:v>
      </x:c>
      <x:c r="C659" s="21" t="n">
        <x:f>'Controls'!$B$8+B659</x:f>
        <x:v>47087</x:v>
      </x:c>
      <x:c r="D659" s="1" t="str">
        <x:v>Thu</x:v>
      </x:c>
    </x:row>
    <x:row r="660" ht="23" customHeight="1">
      <x:c r="A660" s="6" t="n">
        <x:v>653</x:v>
      </x:c>
      <x:c r="B660" s="6" t="n">
        <x:v>760</x:v>
      </x:c>
      <x:c r="C660" s="20" t="n">
        <x:f>'Controls'!$B$8+B660</x:f>
        <x:v>47088</x:v>
      </x:c>
      <x:c r="D660" s="6" t="str">
        <x:v>Fri</x:v>
      </x:c>
    </x:row>
    <x:row r="661" ht="23" customHeight="1">
      <x:c r="A661" s="1" t="n">
        <x:v>654</x:v>
      </x:c>
      <x:c r="B661" s="1" t="n">
        <x:v>761</x:v>
      </x:c>
      <x:c r="C661" s="21" t="n">
        <x:f>'Controls'!$B$8+B661</x:f>
        <x:v>47089</x:v>
      </x:c>
      <x:c r="D661" s="1" t="str">
        <x:v>Sat</x:v>
      </x:c>
    </x:row>
    <x:row r="662" ht="23" customHeight="1">
      <x:c r="A662" s="6" t="n">
        <x:v>655</x:v>
      </x:c>
      <x:c r="B662" s="6" t="n">
        <x:v>763</x:v>
      </x:c>
      <x:c r="C662" s="20" t="n">
        <x:f>'Controls'!$B$8+B662</x:f>
        <x:v>47091</x:v>
      </x:c>
      <x:c r="D662" s="6" t="str">
        <x:v>Mon</x:v>
      </x:c>
    </x:row>
    <x:row r="663" ht="23" customHeight="1">
      <x:c r="A663" s="1" t="n">
        <x:v>656</x:v>
      </x:c>
      <x:c r="B663" s="1" t="n">
        <x:v>764</x:v>
      </x:c>
      <x:c r="C663" s="21" t="n">
        <x:f>'Controls'!$B$8+B663</x:f>
        <x:v>47092</x:v>
      </x:c>
      <x:c r="D663" s="1" t="str">
        <x:v>Tue</x:v>
      </x:c>
    </x:row>
    <x:row r="664" ht="23" customHeight="1">
      <x:c r="A664" s="6" t="n">
        <x:v>657</x:v>
      </x:c>
      <x:c r="B664" s="6" t="n">
        <x:v>765</x:v>
      </x:c>
      <x:c r="C664" s="20" t="n">
        <x:f>'Controls'!$B$8+B664</x:f>
        <x:v>47093</x:v>
      </x:c>
      <x:c r="D664" s="6" t="str">
        <x:v>Wed</x:v>
      </x:c>
    </x:row>
    <x:row r="665" ht="23" customHeight="1">
      <x:c r="A665" s="1" t="n">
        <x:v>658</x:v>
      </x:c>
      <x:c r="B665" s="1" t="n">
        <x:v>766</x:v>
      </x:c>
      <x:c r="C665" s="21" t="n">
        <x:f>'Controls'!$B$8+B665</x:f>
        <x:v>47094</x:v>
      </x:c>
      <x:c r="D665" s="1" t="str">
        <x:v>Thu</x:v>
      </x:c>
    </x:row>
    <x:row r="666" ht="23" customHeight="1">
      <x:c r="A666" s="6" t="n">
        <x:v>659</x:v>
      </x:c>
      <x:c r="B666" s="6" t="n">
        <x:v>767</x:v>
      </x:c>
      <x:c r="C666" s="20" t="n">
        <x:f>'Controls'!$B$8+B666</x:f>
        <x:v>47095</x:v>
      </x:c>
      <x:c r="D666" s="6" t="str">
        <x:v>Fri</x:v>
      </x:c>
    </x:row>
    <x:row r="667" ht="23" customHeight="1">
      <x:c r="A667" s="1" t="n">
        <x:v>660</x:v>
      </x:c>
      <x:c r="B667" s="1" t="n">
        <x:v>768</x:v>
      </x:c>
      <x:c r="C667" s="21" t="n">
        <x:f>'Controls'!$B$8+B667</x:f>
        <x:v>47096</x:v>
      </x:c>
      <x:c r="D667" s="1" t="str">
        <x:v>Sat</x:v>
      </x:c>
    </x:row>
    <x:row r="668" ht="23" customHeight="1">
      <x:c r="A668" s="6" t="n">
        <x:v>661</x:v>
      </x:c>
      <x:c r="B668" s="6" t="n">
        <x:v>770</x:v>
      </x:c>
      <x:c r="C668" s="20" t="n">
        <x:f>'Controls'!$B$8+B668</x:f>
        <x:v>47098</x:v>
      </x:c>
      <x:c r="D668" s="6" t="str">
        <x:v>Mon</x:v>
      </x:c>
    </x:row>
    <x:row r="669" ht="23" customHeight="1">
      <x:c r="A669" s="1" t="n">
        <x:v>662</x:v>
      </x:c>
      <x:c r="B669" s="1" t="n">
        <x:v>771</x:v>
      </x:c>
      <x:c r="C669" s="21" t="n">
        <x:f>'Controls'!$B$8+B669</x:f>
        <x:v>47099</x:v>
      </x:c>
      <x:c r="D669" s="1" t="str">
        <x:v>Tue</x:v>
      </x:c>
    </x:row>
    <x:row r="670" ht="23" customHeight="1">
      <x:c r="A670" s="6" t="n">
        <x:v>663</x:v>
      </x:c>
      <x:c r="B670" s="6" t="n">
        <x:v>772</x:v>
      </x:c>
      <x:c r="C670" s="20" t="n">
        <x:f>'Controls'!$B$8+B670</x:f>
        <x:v>47100</x:v>
      </x:c>
      <x:c r="D670" s="6" t="str">
        <x:v>Wed</x:v>
      </x:c>
    </x:row>
    <x:row r="671" ht="23" customHeight="1">
      <x:c r="A671" s="1" t="n">
        <x:v>664</x:v>
      </x:c>
      <x:c r="B671" s="1" t="n">
        <x:v>773</x:v>
      </x:c>
      <x:c r="C671" s="21" t="n">
        <x:f>'Controls'!$B$8+B671</x:f>
        <x:v>47101</x:v>
      </x:c>
      <x:c r="D671" s="1" t="str">
        <x:v>Thu</x:v>
      </x:c>
    </x:row>
    <x:row r="672" ht="23" customHeight="1">
      <x:c r="A672" s="6" t="n">
        <x:v>665</x:v>
      </x:c>
      <x:c r="B672" s="6" t="n">
        <x:v>774</x:v>
      </x:c>
      <x:c r="C672" s="20" t="n">
        <x:f>'Controls'!$B$8+B672</x:f>
        <x:v>47102</x:v>
      </x:c>
      <x:c r="D672" s="6" t="str">
        <x:v>Fri</x:v>
      </x:c>
    </x:row>
    <x:row r="673" ht="23" customHeight="1">
      <x:c r="A673" s="1" t="n">
        <x:v>666</x:v>
      </x:c>
      <x:c r="B673" s="1" t="n">
        <x:v>775</x:v>
      </x:c>
      <x:c r="C673" s="21" t="n">
        <x:f>'Controls'!$B$8+B673</x:f>
        <x:v>47103</x:v>
      </x:c>
      <x:c r="D673" s="1" t="str">
        <x:v>Sat</x:v>
      </x:c>
    </x:row>
    <x:row r="674" ht="23" customHeight="1">
      <x:c r="A674" s="6" t="n">
        <x:v>667</x:v>
      </x:c>
      <x:c r="B674" s="6" t="n">
        <x:v>777</x:v>
      </x:c>
      <x:c r="C674" s="20" t="n">
        <x:f>'Controls'!$B$8+B674</x:f>
        <x:v>47105</x:v>
      </x:c>
      <x:c r="D674" s="6" t="str">
        <x:v>Mon</x:v>
      </x:c>
    </x:row>
    <x:row r="675" ht="23" customHeight="1">
      <x:c r="A675" s="1" t="n">
        <x:v>668</x:v>
      </x:c>
      <x:c r="B675" s="1" t="n">
        <x:v>778</x:v>
      </x:c>
      <x:c r="C675" s="21" t="n">
        <x:f>'Controls'!$B$8+B675</x:f>
        <x:v>47106</x:v>
      </x:c>
      <x:c r="D675" s="1" t="str">
        <x:v>Tue</x:v>
      </x:c>
    </x:row>
    <x:row r="676" ht="23" customHeight="1">
      <x:c r="A676" s="6" t="n">
        <x:v>669</x:v>
      </x:c>
      <x:c r="B676" s="6" t="n">
        <x:v>779</x:v>
      </x:c>
      <x:c r="C676" s="20" t="n">
        <x:f>'Controls'!$B$8+B676</x:f>
        <x:v>47107</x:v>
      </x:c>
      <x:c r="D676" s="6" t="str">
        <x:v>Wed</x:v>
      </x:c>
    </x:row>
    <x:row r="677" ht="23" customHeight="1">
      <x:c r="A677" s="1" t="n">
        <x:v>670</x:v>
      </x:c>
      <x:c r="B677" s="1" t="n">
        <x:v>780</x:v>
      </x:c>
      <x:c r="C677" s="21" t="n">
        <x:f>'Controls'!$B$8+B677</x:f>
        <x:v>47108</x:v>
      </x:c>
      <x:c r="D677" s="1" t="str">
        <x:v>Thu</x:v>
      </x:c>
    </x:row>
    <x:row r="678" ht="23" customHeight="1">
      <x:c r="A678" s="6" t="n">
        <x:v>671</x:v>
      </x:c>
      <x:c r="B678" s="6" t="n">
        <x:v>781</x:v>
      </x:c>
      <x:c r="C678" s="20" t="n">
        <x:f>'Controls'!$B$8+B678</x:f>
        <x:v>47109</x:v>
      </x:c>
      <x:c r="D678" s="6" t="str">
        <x:v>Fri</x:v>
      </x:c>
    </x:row>
    <x:row r="679" ht="23" customHeight="1">
      <x:c r="A679" s="1" t="n">
        <x:v>672</x:v>
      </x:c>
      <x:c r="B679" s="1" t="n">
        <x:v>782</x:v>
      </x:c>
      <x:c r="C679" s="21" t="n">
        <x:f>'Controls'!$B$8+B679</x:f>
        <x:v>47110</x:v>
      </x:c>
      <x:c r="D679" s="1" t="str">
        <x:v>Sat</x:v>
      </x:c>
    </x:row>
    <x:row r="680" ht="23" customHeight="1">
      <x:c r="A680" s="6" t="n">
        <x:v>673</x:v>
      </x:c>
      <x:c r="B680" s="6" t="n">
        <x:v>784</x:v>
      </x:c>
      <x:c r="C680" s="20" t="n">
        <x:f>'Controls'!$B$8+B680</x:f>
        <x:v>47112</x:v>
      </x:c>
      <x:c r="D680" s="6" t="str">
        <x:v>Mon</x:v>
      </x:c>
    </x:row>
    <x:row r="681" ht="23" customHeight="1">
      <x:c r="A681" s="1" t="n">
        <x:v>674</x:v>
      </x:c>
      <x:c r="B681" s="1" t="n">
        <x:v>785</x:v>
      </x:c>
      <x:c r="C681" s="21" t="n">
        <x:f>'Controls'!$B$8+B681</x:f>
        <x:v>47113</x:v>
      </x:c>
      <x:c r="D681" s="1" t="str">
        <x:v>Tue</x:v>
      </x:c>
    </x:row>
    <x:row r="682" ht="23" customHeight="1">
      <x:c r="A682" s="6" t="n">
        <x:v>675</x:v>
      </x:c>
      <x:c r="B682" s="6" t="n">
        <x:v>786</x:v>
      </x:c>
      <x:c r="C682" s="20" t="n">
        <x:f>'Controls'!$B$8+B682</x:f>
        <x:v>47114</x:v>
      </x:c>
      <x:c r="D682" s="6" t="str">
        <x:v>Wed</x:v>
      </x:c>
    </x:row>
    <x:row r="683" ht="23" customHeight="1">
      <x:c r="A683" s="1" t="n">
        <x:v>676</x:v>
      </x:c>
      <x:c r="B683" s="1" t="n">
        <x:v>787</x:v>
      </x:c>
      <x:c r="C683" s="21" t="n">
        <x:f>'Controls'!$B$8+B683</x:f>
        <x:v>47115</x:v>
      </x:c>
      <x:c r="D683" s="1" t="str">
        <x:v>Thu</x:v>
      </x:c>
    </x:row>
    <x:row r="684" ht="23" customHeight="1">
      <x:c r="A684" s="6" t="n">
        <x:v>677</x:v>
      </x:c>
      <x:c r="B684" s="6" t="n">
        <x:v>788</x:v>
      </x:c>
      <x:c r="C684" s="20" t="n">
        <x:f>'Controls'!$B$8+B684</x:f>
        <x:v>47116</x:v>
      </x:c>
      <x:c r="D684" s="6" t="str">
        <x:v>Fri</x:v>
      </x:c>
    </x:row>
    <x:row r="685" ht="23" customHeight="1">
      <x:c r="A685" s="1" t="n">
        <x:v>678</x:v>
      </x:c>
      <x:c r="B685" s="1" t="n">
        <x:v>789</x:v>
      </x:c>
      <x:c r="C685" s="21" t="n">
        <x:f>'Controls'!$B$8+B685</x:f>
        <x:v>47117</x:v>
      </x:c>
      <x:c r="D685" s="1" t="str">
        <x:v>Sat</x:v>
      </x:c>
    </x:row>
    <x:row r="686" ht="23" customHeight="1">
      <x:c r="A686" s="6" t="n">
        <x:v>679</x:v>
      </x:c>
      <x:c r="B686" s="6" t="n">
        <x:v>791</x:v>
      </x:c>
      <x:c r="C686" s="20" t="n">
        <x:f>'Controls'!$B$8+B686</x:f>
        <x:v>47119</x:v>
      </x:c>
      <x:c r="D686" s="6" t="str">
        <x:v>Mon</x:v>
      </x:c>
    </x:row>
    <x:row r="687" ht="23" customHeight="1">
      <x:c r="A687" s="1" t="n">
        <x:v>680</x:v>
      </x:c>
      <x:c r="B687" s="1" t="n">
        <x:v>792</x:v>
      </x:c>
      <x:c r="C687" s="21" t="n">
        <x:f>'Controls'!$B$8+B687</x:f>
        <x:v>47120</x:v>
      </x:c>
      <x:c r="D687" s="1" t="str">
        <x:v>Tue</x:v>
      </x:c>
    </x:row>
    <x:row r="688" ht="23" customHeight="1">
      <x:c r="A688" s="6" t="n">
        <x:v>681</x:v>
      </x:c>
      <x:c r="B688" s="6" t="n">
        <x:v>793</x:v>
      </x:c>
      <x:c r="C688" s="20" t="n">
        <x:f>'Controls'!$B$8+B688</x:f>
        <x:v>47121</x:v>
      </x:c>
      <x:c r="D688" s="6" t="str">
        <x:v>Wed</x:v>
      </x:c>
    </x:row>
    <x:row r="689" ht="23" customHeight="1">
      <x:c r="A689" s="1" t="n">
        <x:v>682</x:v>
      </x:c>
      <x:c r="B689" s="1" t="n">
        <x:v>794</x:v>
      </x:c>
      <x:c r="C689" s="21" t="n">
        <x:f>'Controls'!$B$8+B689</x:f>
        <x:v>47122</x:v>
      </x:c>
      <x:c r="D689" s="1" t="str">
        <x:v>Thu</x:v>
      </x:c>
    </x:row>
    <x:row r="690" ht="23" customHeight="1">
      <x:c r="A690" s="6" t="n">
        <x:v>683</x:v>
      </x:c>
      <x:c r="B690" s="6" t="n">
        <x:v>795</x:v>
      </x:c>
      <x:c r="C690" s="20" t="n">
        <x:f>'Controls'!$B$8+B690</x:f>
        <x:v>47123</x:v>
      </x:c>
      <x:c r="D690" s="6" t="str">
        <x:v>Fri</x:v>
      </x:c>
    </x:row>
    <x:row r="691" ht="23" customHeight="1">
      <x:c r="A691" s="1" t="n">
        <x:v>684</x:v>
      </x:c>
      <x:c r="B691" s="1" t="n">
        <x:v>796</x:v>
      </x:c>
      <x:c r="C691" s="21" t="n">
        <x:f>'Controls'!$B$8+B691</x:f>
        <x:v>47124</x:v>
      </x:c>
      <x:c r="D691" s="1" t="str">
        <x:v>Sat</x:v>
      </x:c>
    </x:row>
    <x:row r="692" ht="23" customHeight="1">
      <x:c r="A692" s="6" t="n">
        <x:v>685</x:v>
      </x:c>
      <x:c r="B692" s="6" t="n">
        <x:v>798</x:v>
      </x:c>
      <x:c r="C692" s="20" t="n">
        <x:f>'Controls'!$B$8+B692</x:f>
        <x:v>47126</x:v>
      </x:c>
      <x:c r="D692" s="6" t="str">
        <x:v>Mon</x:v>
      </x:c>
    </x:row>
    <x:row r="693" ht="23" customHeight="1">
      <x:c r="A693" s="1" t="n">
        <x:v>686</x:v>
      </x:c>
      <x:c r="B693" s="1" t="n">
        <x:v>799</x:v>
      </x:c>
      <x:c r="C693" s="21" t="n">
        <x:f>'Controls'!$B$8+B693</x:f>
        <x:v>47127</x:v>
      </x:c>
      <x:c r="D693" s="1" t="str">
        <x:v>Tue</x:v>
      </x:c>
    </x:row>
    <x:row r="694" ht="23" customHeight="1">
      <x:c r="A694" s="6" t="n">
        <x:v>687</x:v>
      </x:c>
      <x:c r="B694" s="6" t="n">
        <x:v>800</x:v>
      </x:c>
      <x:c r="C694" s="20" t="n">
        <x:f>'Controls'!$B$8+B694</x:f>
        <x:v>47128</x:v>
      </x:c>
      <x:c r="D694" s="6" t="str">
        <x:v>Wed</x:v>
      </x:c>
    </x:row>
    <x:row r="695" ht="23" customHeight="1">
      <x:c r="A695" s="1" t="n">
        <x:v>688</x:v>
      </x:c>
      <x:c r="B695" s="1" t="n">
        <x:v>801</x:v>
      </x:c>
      <x:c r="C695" s="21" t="n">
        <x:f>'Controls'!$B$8+B695</x:f>
        <x:v>47129</x:v>
      </x:c>
      <x:c r="D695" s="1" t="str">
        <x:v>Thu</x:v>
      </x:c>
    </x:row>
    <x:row r="696" ht="23" customHeight="1">
      <x:c r="A696" s="6" t="n">
        <x:v>689</x:v>
      </x:c>
      <x:c r="B696" s="6" t="n">
        <x:v>802</x:v>
      </x:c>
      <x:c r="C696" s="20" t="n">
        <x:f>'Controls'!$B$8+B696</x:f>
        <x:v>47130</x:v>
      </x:c>
      <x:c r="D696" s="6" t="str">
        <x:v>Fri</x:v>
      </x:c>
    </x:row>
    <x:row r="697" ht="23" customHeight="1">
      <x:c r="A697" s="1" t="n">
        <x:v>690</x:v>
      </x:c>
      <x:c r="B697" s="1" t="n">
        <x:v>803</x:v>
      </x:c>
      <x:c r="C697" s="21" t="n">
        <x:f>'Controls'!$B$8+B697</x:f>
        <x:v>47131</x:v>
      </x:c>
      <x:c r="D697" s="1" t="str">
        <x:v>Sat</x:v>
      </x:c>
    </x:row>
    <x:row r="698" ht="23" customHeight="1">
      <x:c r="A698" s="6" t="n">
        <x:v>691</x:v>
      </x:c>
      <x:c r="B698" s="6" t="n">
        <x:v>805</x:v>
      </x:c>
      <x:c r="C698" s="20" t="n">
        <x:f>'Controls'!$B$8+B698</x:f>
        <x:v>47133</x:v>
      </x:c>
      <x:c r="D698" s="6" t="str">
        <x:v>Mon</x:v>
      </x:c>
    </x:row>
    <x:row r="699" ht="23" customHeight="1">
      <x:c r="A699" s="1" t="n">
        <x:v>692</x:v>
      </x:c>
      <x:c r="B699" s="1" t="n">
        <x:v>806</x:v>
      </x:c>
      <x:c r="C699" s="21" t="n">
        <x:f>'Controls'!$B$8+B699</x:f>
        <x:v>47134</x:v>
      </x:c>
      <x:c r="D699" s="1" t="str">
        <x:v>Tue</x:v>
      </x:c>
    </x:row>
    <x:row r="700" ht="23" customHeight="1">
      <x:c r="A700" s="6" t="n">
        <x:v>693</x:v>
      </x:c>
      <x:c r="B700" s="6" t="n">
        <x:v>807</x:v>
      </x:c>
      <x:c r="C700" s="20" t="n">
        <x:f>'Controls'!$B$8+B700</x:f>
        <x:v>47135</x:v>
      </x:c>
      <x:c r="D700" s="6" t="str">
        <x:v>Wed</x:v>
      </x:c>
    </x:row>
    <x:row r="701" ht="23" customHeight="1">
      <x:c r="A701" s="1" t="n">
        <x:v>694</x:v>
      </x:c>
      <x:c r="B701" s="1" t="n">
        <x:v>808</x:v>
      </x:c>
      <x:c r="C701" s="21" t="n">
        <x:f>'Controls'!$B$8+B701</x:f>
        <x:v>47136</x:v>
      </x:c>
      <x:c r="D701" s="1" t="str">
        <x:v>Thu</x:v>
      </x:c>
    </x:row>
    <x:row r="702" ht="23" customHeight="1">
      <x:c r="A702" s="6" t="n">
        <x:v>695</x:v>
      </x:c>
      <x:c r="B702" s="6" t="n">
        <x:v>809</x:v>
      </x:c>
      <x:c r="C702" s="20" t="n">
        <x:f>'Controls'!$B$8+B702</x:f>
        <x:v>47137</x:v>
      </x:c>
      <x:c r="D702" s="6" t="str">
        <x:v>Fri</x:v>
      </x:c>
    </x:row>
    <x:row r="703" ht="23" customHeight="1">
      <x:c r="A703" s="1" t="n">
        <x:v>696</x:v>
      </x:c>
      <x:c r="B703" s="1" t="n">
        <x:v>810</x:v>
      </x:c>
      <x:c r="C703" s="21" t="n">
        <x:f>'Controls'!$B$8+B703</x:f>
        <x:v>47138</x:v>
      </x:c>
      <x:c r="D703" s="1" t="str">
        <x:v>Sat</x:v>
      </x:c>
    </x:row>
    <x:row r="704" ht="23" customHeight="1">
      <x:c r="A704" s="6" t="n">
        <x:v>697</x:v>
      </x:c>
      <x:c r="B704" s="6" t="n">
        <x:v>812</x:v>
      </x:c>
      <x:c r="C704" s="20" t="n">
        <x:f>'Controls'!$B$8+B704</x:f>
        <x:v>47140</x:v>
      </x:c>
      <x:c r="D704" s="6" t="str">
        <x:v>Mon</x:v>
      </x:c>
    </x:row>
    <x:row r="705" ht="23" customHeight="1">
      <x:c r="A705" s="1" t="n">
        <x:v>698</x:v>
      </x:c>
      <x:c r="B705" s="1" t="n">
        <x:v>813</x:v>
      </x:c>
      <x:c r="C705" s="21" t="n">
        <x:f>'Controls'!$B$8+B705</x:f>
        <x:v>47141</x:v>
      </x:c>
      <x:c r="D705" s="1" t="str">
        <x:v>Tue</x:v>
      </x:c>
    </x:row>
    <x:row r="706" ht="23" customHeight="1">
      <x:c r="A706" s="6" t="n">
        <x:v>699</x:v>
      </x:c>
      <x:c r="B706" s="6" t="n">
        <x:v>814</x:v>
      </x:c>
      <x:c r="C706" s="20" t="n">
        <x:f>'Controls'!$B$8+B706</x:f>
        <x:v>47142</x:v>
      </x:c>
      <x:c r="D706" s="6" t="str">
        <x:v>Wed</x:v>
      </x:c>
    </x:row>
    <x:row r="707" ht="23" customHeight="1">
      <x:c r="A707" s="1" t="n">
        <x:v>700</x:v>
      </x:c>
      <x:c r="B707" s="1" t="n">
        <x:v>815</x:v>
      </x:c>
      <x:c r="C707" s="21" t="n">
        <x:f>'Controls'!$B$8+B707</x:f>
        <x:v>47143</x:v>
      </x:c>
      <x:c r="D707" s="1" t="str">
        <x:v>Thu</x:v>
      </x:c>
    </x:row>
    <x:row r="708" ht="23" customHeight="1">
      <x:c r="A708" s="6" t="n">
        <x:v>701</x:v>
      </x:c>
      <x:c r="B708" s="6" t="n">
        <x:v>816</x:v>
      </x:c>
      <x:c r="C708" s="20" t="n">
        <x:f>'Controls'!$B$8+B708</x:f>
        <x:v>47144</x:v>
      </x:c>
      <x:c r="D708" s="6" t="str">
        <x:v>Fri</x:v>
      </x:c>
    </x:row>
    <x:row r="709" ht="23" customHeight="1">
      <x:c r="A709" s="1" t="n">
        <x:v>702</x:v>
      </x:c>
      <x:c r="B709" s="1" t="n">
        <x:v>817</x:v>
      </x:c>
      <x:c r="C709" s="21" t="n">
        <x:f>'Controls'!$B$8+B709</x:f>
        <x:v>47145</x:v>
      </x:c>
      <x:c r="D709" s="1" t="str">
        <x:v>Sat</x:v>
      </x:c>
    </x:row>
    <x:row r="710" ht="23" customHeight="1">
      <x:c r="A710" s="6" t="n">
        <x:v>703</x:v>
      </x:c>
      <x:c r="B710" s="6" t="n">
        <x:v>819</x:v>
      </x:c>
      <x:c r="C710" s="20" t="n">
        <x:f>'Controls'!$B$8+B710</x:f>
        <x:v>47147</x:v>
      </x:c>
      <x:c r="D710" s="6" t="str">
        <x:v>Mon</x:v>
      </x:c>
    </x:row>
    <x:row r="711" ht="23" customHeight="1">
      <x:c r="A711" s="1" t="n">
        <x:v>704</x:v>
      </x:c>
      <x:c r="B711" s="1" t="n">
        <x:v>820</x:v>
      </x:c>
      <x:c r="C711" s="21" t="n">
        <x:f>'Controls'!$B$8+B711</x:f>
        <x:v>47148</x:v>
      </x:c>
      <x:c r="D711" s="1" t="str">
        <x:v>Tue</x:v>
      </x:c>
    </x:row>
    <x:row r="712" ht="23" customHeight="1">
      <x:c r="A712" s="6" t="n">
        <x:v>705</x:v>
      </x:c>
      <x:c r="B712" s="6" t="n">
        <x:v>821</x:v>
      </x:c>
      <x:c r="C712" s="20" t="n">
        <x:f>'Controls'!$B$8+B712</x:f>
        <x:v>47149</x:v>
      </x:c>
      <x:c r="D712" s="6" t="str">
        <x:v>Wed</x:v>
      </x:c>
    </x:row>
    <x:row r="713" ht="23" customHeight="1">
      <x:c r="A713" s="1" t="n">
        <x:v>706</x:v>
      </x:c>
      <x:c r="B713" s="1" t="n">
        <x:v>822</x:v>
      </x:c>
      <x:c r="C713" s="21" t="n">
        <x:f>'Controls'!$B$8+B713</x:f>
        <x:v>47150</x:v>
      </x:c>
      <x:c r="D713" s="1" t="str">
        <x:v>Thu</x:v>
      </x:c>
    </x:row>
    <x:row r="714" ht="23" customHeight="1">
      <x:c r="A714" s="6" t="n">
        <x:v>707</x:v>
      </x:c>
      <x:c r="B714" s="6" t="n">
        <x:v>823</x:v>
      </x:c>
      <x:c r="C714" s="20" t="n">
        <x:f>'Controls'!$B$8+B714</x:f>
        <x:v>47151</x:v>
      </x:c>
      <x:c r="D714" s="6" t="str">
        <x:v>Fri</x:v>
      </x:c>
    </x:row>
    <x:row r="715" ht="23" customHeight="1">
      <x:c r="A715" s="1" t="n">
        <x:v>708</x:v>
      </x:c>
      <x:c r="B715" s="1" t="n">
        <x:v>824</x:v>
      </x:c>
      <x:c r="C715" s="21" t="n">
        <x:f>'Controls'!$B$8+B715</x:f>
        <x:v>47152</x:v>
      </x:c>
      <x:c r="D715" s="1" t="str">
        <x:v>Sat</x:v>
      </x:c>
    </x:row>
    <x:row r="716" ht="23" customHeight="1">
      <x:c r="A716" s="6" t="n">
        <x:v>709</x:v>
      </x:c>
      <x:c r="B716" s="6" t="n">
        <x:v>826</x:v>
      </x:c>
      <x:c r="C716" s="20" t="n">
        <x:f>'Controls'!$B$8+B716</x:f>
        <x:v>47154</x:v>
      </x:c>
      <x:c r="D716" s="6" t="str">
        <x:v>Mon</x:v>
      </x:c>
    </x:row>
    <x:row r="717" ht="23" customHeight="1">
      <x:c r="A717" s="1" t="n">
        <x:v>710</x:v>
      </x:c>
      <x:c r="B717" s="1" t="n">
        <x:v>827</x:v>
      </x:c>
      <x:c r="C717" s="21" t="n">
        <x:f>'Controls'!$B$8+B717</x:f>
        <x:v>47155</x:v>
      </x:c>
      <x:c r="D717" s="1" t="str">
        <x:v>Tue</x:v>
      </x:c>
    </x:row>
    <x:row r="718" ht="23" customHeight="1">
      <x:c r="A718" s="6" t="n">
        <x:v>711</x:v>
      </x:c>
      <x:c r="B718" s="6" t="n">
        <x:v>828</x:v>
      </x:c>
      <x:c r="C718" s="20" t="n">
        <x:f>'Controls'!$B$8+B718</x:f>
        <x:v>47156</x:v>
      </x:c>
      <x:c r="D718" s="6" t="str">
        <x:v>Wed</x:v>
      </x:c>
    </x:row>
    <x:row r="719" ht="23" customHeight="1">
      <x:c r="A719" s="1" t="n">
        <x:v>712</x:v>
      </x:c>
      <x:c r="B719" s="1" t="n">
        <x:v>829</x:v>
      </x:c>
      <x:c r="C719" s="21" t="n">
        <x:f>'Controls'!$B$8+B719</x:f>
        <x:v>47157</x:v>
      </x:c>
      <x:c r="D719" s="1" t="str">
        <x:v>Thu</x:v>
      </x:c>
    </x:row>
    <x:row r="720" ht="23" customHeight="1">
      <x:c r="A720" s="6" t="n">
        <x:v>713</x:v>
      </x:c>
      <x:c r="B720" s="6" t="n">
        <x:v>830</x:v>
      </x:c>
      <x:c r="C720" s="20" t="n">
        <x:f>'Controls'!$B$8+B720</x:f>
        <x:v>47158</x:v>
      </x:c>
      <x:c r="D720" s="6" t="str">
        <x:v>Fri</x:v>
      </x:c>
    </x:row>
    <x:row r="721" ht="23" customHeight="1">
      <x:c r="A721" s="1" t="n">
        <x:v>714</x:v>
      </x:c>
      <x:c r="B721" s="1" t="n">
        <x:v>831</x:v>
      </x:c>
      <x:c r="C721" s="21" t="n">
        <x:f>'Controls'!$B$8+B721</x:f>
        <x:v>47159</x:v>
      </x:c>
      <x:c r="D721" s="1" t="str">
        <x:v>Sat</x:v>
      </x:c>
    </x:row>
    <x:row r="722" ht="23" customHeight="1">
      <x:c r="A722" s="6" t="n">
        <x:v>715</x:v>
      </x:c>
      <x:c r="B722" s="6" t="n">
        <x:v>833</x:v>
      </x:c>
      <x:c r="C722" s="20" t="n">
        <x:f>'Controls'!$B$8+B722</x:f>
        <x:v>47161</x:v>
      </x:c>
      <x:c r="D722" s="6" t="str">
        <x:v>Mon</x:v>
      </x:c>
    </x:row>
    <x:row r="723" ht="23" customHeight="1">
      <x:c r="A723" s="1" t="n">
        <x:v>716</x:v>
      </x:c>
      <x:c r="B723" s="1" t="n">
        <x:v>834</x:v>
      </x:c>
      <x:c r="C723" s="21" t="n">
        <x:f>'Controls'!$B$8+B723</x:f>
        <x:v>47162</x:v>
      </x:c>
      <x:c r="D723" s="1" t="str">
        <x:v>Tue</x:v>
      </x:c>
    </x:row>
    <x:row r="724" ht="23" customHeight="1">
      <x:c r="A724" s="6" t="n">
        <x:v>717</x:v>
      </x:c>
      <x:c r="B724" s="6" t="n">
        <x:v>835</x:v>
      </x:c>
      <x:c r="C724" s="20" t="n">
        <x:f>'Controls'!$B$8+B724</x:f>
        <x:v>47163</x:v>
      </x:c>
      <x:c r="D724" s="6" t="str">
        <x:v>Wed</x:v>
      </x:c>
    </x:row>
    <x:row r="725" ht="23" customHeight="1">
      <x:c r="A725" s="1" t="n">
        <x:v>718</x:v>
      </x:c>
      <x:c r="B725" s="1" t="n">
        <x:v>836</x:v>
      </x:c>
      <x:c r="C725" s="21" t="n">
        <x:f>'Controls'!$B$8+B725</x:f>
        <x:v>47164</x:v>
      </x:c>
      <x:c r="D725" s="1" t="str">
        <x:v>Thu</x:v>
      </x:c>
    </x:row>
    <x:row r="726" ht="23" customHeight="1">
      <x:c r="A726" s="6" t="n">
        <x:v>719</x:v>
      </x:c>
      <x:c r="B726" s="6" t="n">
        <x:v>837</x:v>
      </x:c>
      <x:c r="C726" s="20" t="n">
        <x:f>'Controls'!$B$8+B726</x:f>
        <x:v>47165</x:v>
      </x:c>
      <x:c r="D726" s="6" t="str">
        <x:v>Fri</x:v>
      </x:c>
    </x:row>
    <x:row r="727" ht="23" customHeight="1">
      <x:c r="A727" s="1" t="n">
        <x:v>720</x:v>
      </x:c>
      <x:c r="B727" s="1" t="n">
        <x:v>838</x:v>
      </x:c>
      <x:c r="C727" s="21" t="n">
        <x:f>'Controls'!$B$8+B727</x:f>
        <x:v>47166</x:v>
      </x:c>
      <x:c r="D727" s="1" t="str">
        <x:v>Sat</x:v>
      </x:c>
    </x:row>
    <x:row r="728" ht="23" customHeight="1">
      <x:c r="A728" s="6" t="n">
        <x:v>721</x:v>
      </x:c>
      <x:c r="B728" s="6" t="n">
        <x:v>840</x:v>
      </x:c>
      <x:c r="C728" s="20" t="n">
        <x:f>'Controls'!$B$8+B728</x:f>
        <x:v>47168</x:v>
      </x:c>
      <x:c r="D728" s="6" t="str">
        <x:v>Mon</x:v>
      </x:c>
    </x:row>
    <x:row r="729" ht="23" customHeight="1">
      <x:c r="A729" s="1" t="n">
        <x:v>722</x:v>
      </x:c>
      <x:c r="B729" s="1" t="n">
        <x:v>841</x:v>
      </x:c>
      <x:c r="C729" s="21" t="n">
        <x:f>'Controls'!$B$8+B729</x:f>
        <x:v>47169</x:v>
      </x:c>
      <x:c r="D729" s="1" t="str">
        <x:v>Tue</x:v>
      </x:c>
    </x:row>
    <x:row r="730" ht="23" customHeight="1">
      <x:c r="A730" s="6" t="n">
        <x:v>723</x:v>
      </x:c>
      <x:c r="B730" s="6" t="n">
        <x:v>842</x:v>
      </x:c>
      <x:c r="C730" s="20" t="n">
        <x:f>'Controls'!$B$8+B730</x:f>
        <x:v>47170</x:v>
      </x:c>
      <x:c r="D730" s="6" t="str">
        <x:v>Wed</x:v>
      </x:c>
    </x:row>
    <x:row r="731" ht="23" customHeight="1">
      <x:c r="A731" s="1" t="n">
        <x:v>724</x:v>
      </x:c>
      <x:c r="B731" s="1" t="n">
        <x:v>843</x:v>
      </x:c>
      <x:c r="C731" s="21" t="n">
        <x:f>'Controls'!$B$8+B731</x:f>
        <x:v>47171</x:v>
      </x:c>
      <x:c r="D731" s="1" t="str">
        <x:v>Thu</x:v>
      </x:c>
    </x:row>
    <x:row r="732" ht="23" customHeight="1">
      <x:c r="A732" s="6" t="n">
        <x:v>725</x:v>
      </x:c>
      <x:c r="B732" s="6" t="n">
        <x:v>844</x:v>
      </x:c>
      <x:c r="C732" s="20" t="n">
        <x:f>'Controls'!$B$8+B732</x:f>
        <x:v>47172</x:v>
      </x:c>
      <x:c r="D732" s="6" t="str">
        <x:v>Fri</x:v>
      </x:c>
    </x:row>
    <x:row r="733" ht="23" customHeight="1">
      <x:c r="A733" s="1" t="n">
        <x:v>726</x:v>
      </x:c>
      <x:c r="B733" s="1" t="n">
        <x:v>845</x:v>
      </x:c>
      <x:c r="C733" s="21" t="n">
        <x:f>'Controls'!$B$8+B733</x:f>
        <x:v>47173</x:v>
      </x:c>
      <x:c r="D733" s="1" t="str">
        <x:v>Sat</x:v>
      </x:c>
    </x:row>
    <x:row r="734" ht="23" customHeight="1">
      <x:c r="A734" s="6" t="n">
        <x:v>727</x:v>
      </x:c>
      <x:c r="B734" s="6" t="n">
        <x:v>847</x:v>
      </x:c>
      <x:c r="C734" s="20" t="n">
        <x:f>'Controls'!$B$8+B734</x:f>
        <x:v>47175</x:v>
      </x:c>
      <x:c r="D734" s="6" t="str">
        <x:v>Mon</x:v>
      </x:c>
    </x:row>
    <x:row r="735" ht="23" customHeight="1">
      <x:c r="A735" s="1" t="n">
        <x:v>728</x:v>
      </x:c>
      <x:c r="B735" s="1" t="n">
        <x:v>848</x:v>
      </x:c>
      <x:c r="C735" s="21" t="n">
        <x:f>'Controls'!$B$8+B735</x:f>
        <x:v>47176</x:v>
      </x:c>
      <x:c r="D735" s="1" t="str">
        <x:v>Tue</x:v>
      </x:c>
    </x:row>
    <x:row r="736" ht="23" customHeight="1">
      <x:c r="A736" s="6" t="n">
        <x:v>729</x:v>
      </x:c>
      <x:c r="B736" s="6" t="n">
        <x:v>849</x:v>
      </x:c>
      <x:c r="C736" s="20" t="n">
        <x:f>'Controls'!$B$8+B736</x:f>
        <x:v>47177</x:v>
      </x:c>
      <x:c r="D736" s="6" t="str">
        <x:v>Wed</x:v>
      </x:c>
    </x:row>
    <x:row r="737" ht="23" customHeight="1">
      <x:c r="A737" s="1" t="n">
        <x:v>730</x:v>
      </x:c>
      <x:c r="B737" s="1" t="n">
        <x:v>850</x:v>
      </x:c>
      <x:c r="C737" s="21" t="n">
        <x:f>'Controls'!$B$8+B737</x:f>
        <x:v>47178</x:v>
      </x:c>
      <x:c r="D737" s="1" t="str">
        <x:v>Thu</x:v>
      </x:c>
    </x:row>
    <x:row r="738" ht="23" customHeight="1">
      <x:c r="A738" s="6" t="n">
        <x:v>731</x:v>
      </x:c>
      <x:c r="B738" s="6" t="n">
        <x:v>851</x:v>
      </x:c>
      <x:c r="C738" s="20" t="n">
        <x:f>'Controls'!$B$8+B738</x:f>
        <x:v>47179</x:v>
      </x:c>
      <x:c r="D738" s="6" t="str">
        <x:v>Fri</x:v>
      </x:c>
    </x:row>
    <x:row r="739" ht="23" customHeight="1">
      <x:c r="A739" s="1" t="n">
        <x:v>732</x:v>
      </x:c>
      <x:c r="B739" s="1" t="n">
        <x:v>852</x:v>
      </x:c>
      <x:c r="C739" s="21" t="n">
        <x:f>'Controls'!$B$8+B739</x:f>
        <x:v>47180</x:v>
      </x:c>
      <x:c r="D739" s="1" t="str">
        <x:v>Sat</x:v>
      </x:c>
    </x:row>
    <x:row r="740" ht="23" customHeight="1">
      <x:c r="A740" s="6" t="n">
        <x:v>733</x:v>
      </x:c>
      <x:c r="B740" s="6" t="n">
        <x:v>854</x:v>
      </x:c>
      <x:c r="C740" s="20" t="n">
        <x:f>'Controls'!$B$8+B740</x:f>
        <x:v>47182</x:v>
      </x:c>
      <x:c r="D740" s="6" t="str">
        <x:v>Mon</x:v>
      </x:c>
    </x:row>
    <x:row r="741" ht="23" customHeight="1">
      <x:c r="A741" s="1" t="n">
        <x:v>734</x:v>
      </x:c>
      <x:c r="B741" s="1" t="n">
        <x:v>855</x:v>
      </x:c>
      <x:c r="C741" s="21" t="n">
        <x:f>'Controls'!$B$8+B741</x:f>
        <x:v>47183</x:v>
      </x:c>
      <x:c r="D741" s="1" t="str">
        <x:v>Tue</x:v>
      </x:c>
    </x:row>
    <x:row r="742" ht="23" customHeight="1">
      <x:c r="A742" s="6" t="n">
        <x:v>735</x:v>
      </x:c>
      <x:c r="B742" s="6" t="n">
        <x:v>856</x:v>
      </x:c>
      <x:c r="C742" s="20" t="n">
        <x:f>'Controls'!$B$8+B742</x:f>
        <x:v>47184</x:v>
      </x:c>
      <x:c r="D742" s="6" t="str">
        <x:v>Wed</x:v>
      </x:c>
    </x:row>
    <x:row r="743" ht="23" customHeight="1">
      <x:c r="A743" s="1" t="n">
        <x:v>736</x:v>
      </x:c>
      <x:c r="B743" s="1" t="n">
        <x:v>857</x:v>
      </x:c>
      <x:c r="C743" s="21" t="n">
        <x:f>'Controls'!$B$8+B743</x:f>
        <x:v>47185</x:v>
      </x:c>
      <x:c r="D743" s="1" t="str">
        <x:v>Thu</x:v>
      </x:c>
    </x:row>
    <x:row r="744" ht="23" customHeight="1">
      <x:c r="A744" s="6" t="n">
        <x:v>737</x:v>
      </x:c>
      <x:c r="B744" s="6" t="n">
        <x:v>858</x:v>
      </x:c>
      <x:c r="C744" s="20" t="n">
        <x:f>'Controls'!$B$8+B744</x:f>
        <x:v>47186</x:v>
      </x:c>
      <x:c r="D744" s="6" t="str">
        <x:v>Fri</x:v>
      </x:c>
    </x:row>
    <x:row r="745" ht="23" customHeight="1">
      <x:c r="A745" s="1" t="n">
        <x:v>738</x:v>
      </x:c>
      <x:c r="B745" s="1" t="n">
        <x:v>859</x:v>
      </x:c>
      <x:c r="C745" s="21" t="n">
        <x:f>'Controls'!$B$8+B745</x:f>
        <x:v>47187</x:v>
      </x:c>
      <x:c r="D745" s="1" t="str">
        <x:v>Sat</x:v>
      </x:c>
    </x:row>
    <x:row r="746" ht="23" customHeight="1">
      <x:c r="A746" s="6" t="n">
        <x:v>739</x:v>
      </x:c>
      <x:c r="B746" s="6" t="n">
        <x:v>861</x:v>
      </x:c>
      <x:c r="C746" s="20" t="n">
        <x:f>'Controls'!$B$8+B746</x:f>
        <x:v>47189</x:v>
      </x:c>
      <x:c r="D746" s="6" t="str">
        <x:v>Mon</x:v>
      </x:c>
    </x:row>
    <x:row r="747" ht="23" customHeight="1">
      <x:c r="A747" s="1" t="n">
        <x:v>740</x:v>
      </x:c>
      <x:c r="B747" s="1" t="n">
        <x:v>862</x:v>
      </x:c>
      <x:c r="C747" s="21" t="n">
        <x:f>'Controls'!$B$8+B747</x:f>
        <x:v>47190</x:v>
      </x:c>
      <x:c r="D747" s="1" t="str">
        <x:v>Tue</x:v>
      </x:c>
    </x:row>
    <x:row r="748" ht="23" customHeight="1">
      <x:c r="A748" s="6" t="n">
        <x:v>741</x:v>
      </x:c>
      <x:c r="B748" s="6" t="n">
        <x:v>863</x:v>
      </x:c>
      <x:c r="C748" s="20" t="n">
        <x:f>'Controls'!$B$8+B748</x:f>
        <x:v>47191</x:v>
      </x:c>
      <x:c r="D748" s="6" t="str">
        <x:v>Wed</x:v>
      </x:c>
    </x:row>
    <x:row r="749" ht="23" customHeight="1">
      <x:c r="A749" s="1" t="n">
        <x:v>742</x:v>
      </x:c>
      <x:c r="B749" s="1" t="n">
        <x:v>864</x:v>
      </x:c>
      <x:c r="C749" s="21" t="n">
        <x:f>'Controls'!$B$8+B749</x:f>
        <x:v>47192</x:v>
      </x:c>
      <x:c r="D749" s="1" t="str">
        <x:v>Thu</x:v>
      </x:c>
    </x:row>
    <x:row r="750" ht="23" customHeight="1">
      <x:c r="A750" s="6" t="n">
        <x:v>743</x:v>
      </x:c>
      <x:c r="B750" s="6" t="n">
        <x:v>865</x:v>
      </x:c>
      <x:c r="C750" s="20" t="n">
        <x:f>'Controls'!$B$8+B750</x:f>
        <x:v>47193</x:v>
      </x:c>
      <x:c r="D750" s="6" t="str">
        <x:v>Fri</x:v>
      </x:c>
    </x:row>
    <x:row r="751" ht="23" customHeight="1">
      <x:c r="A751" s="1" t="n">
        <x:v>744</x:v>
      </x:c>
      <x:c r="B751" s="1" t="n">
        <x:v>866</x:v>
      </x:c>
      <x:c r="C751" s="21" t="n">
        <x:f>'Controls'!$B$8+B751</x:f>
        <x:v>47194</x:v>
      </x:c>
      <x:c r="D751" s="1" t="str">
        <x:v>Sat</x:v>
      </x:c>
    </x:row>
    <x:row r="752" ht="23" customHeight="1">
      <x:c r="A752" s="6" t="n">
        <x:v>745</x:v>
      </x:c>
      <x:c r="B752" s="6" t="n">
        <x:v>868</x:v>
      </x:c>
      <x:c r="C752" s="20" t="n">
        <x:f>'Controls'!$B$8+B752</x:f>
        <x:v>47196</x:v>
      </x:c>
      <x:c r="D752" s="6" t="str">
        <x:v>Mon</x:v>
      </x:c>
    </x:row>
    <x:row r="753" ht="23" customHeight="1">
      <x:c r="A753" s="1" t="n">
        <x:v>746</x:v>
      </x:c>
      <x:c r="B753" s="1" t="n">
        <x:v>869</x:v>
      </x:c>
      <x:c r="C753" s="21" t="n">
        <x:f>'Controls'!$B$8+B753</x:f>
        <x:v>47197</x:v>
      </x:c>
      <x:c r="D753" s="1" t="str">
        <x:v>Tue</x:v>
      </x:c>
    </x:row>
    <x:row r="754" ht="23" customHeight="1">
      <x:c r="A754" s="6" t="n">
        <x:v>747</x:v>
      </x:c>
      <x:c r="B754" s="6" t="n">
        <x:v>870</x:v>
      </x:c>
      <x:c r="C754" s="20" t="n">
        <x:f>'Controls'!$B$8+B754</x:f>
        <x:v>47198</x:v>
      </x:c>
      <x:c r="D754" s="6" t="str">
        <x:v>Wed</x:v>
      </x:c>
    </x:row>
    <x:row r="755" ht="23" customHeight="1">
      <x:c r="A755" s="1" t="n">
        <x:v>748</x:v>
      </x:c>
      <x:c r="B755" s="1" t="n">
        <x:v>871</x:v>
      </x:c>
      <x:c r="C755" s="21" t="n">
        <x:f>'Controls'!$B$8+B755</x:f>
        <x:v>47199</x:v>
      </x:c>
      <x:c r="D755" s="1" t="str">
        <x:v>Thu</x:v>
      </x:c>
    </x:row>
    <x:row r="756" ht="23" customHeight="1">
      <x:c r="A756" s="6" t="n">
        <x:v>749</x:v>
      </x:c>
      <x:c r="B756" s="6" t="n">
        <x:v>872</x:v>
      </x:c>
      <x:c r="C756" s="20" t="n">
        <x:f>'Controls'!$B$8+B756</x:f>
        <x:v>47200</x:v>
      </x:c>
      <x:c r="D756" s="6" t="str">
        <x:v>Fri</x:v>
      </x:c>
    </x:row>
    <x:row r="757" ht="23" customHeight="1">
      <x:c r="A757" s="1" t="n">
        <x:v>750</x:v>
      </x:c>
      <x:c r="B757" s="1" t="n">
        <x:v>873</x:v>
      </x:c>
      <x:c r="C757" s="21" t="n">
        <x:f>'Controls'!$B$8+B757</x:f>
        <x:v>47201</x:v>
      </x:c>
      <x:c r="D757" s="1" t="str">
        <x:v>Sat</x:v>
      </x:c>
    </x:row>
    <x:row r="758" ht="23" customHeight="1">
      <x:c r="A758" s="6" t="n">
        <x:v>751</x:v>
      </x:c>
      <x:c r="B758" s="6" t="n">
        <x:v>875</x:v>
      </x:c>
      <x:c r="C758" s="20" t="n">
        <x:f>'Controls'!$B$8+B758</x:f>
        <x:v>47203</x:v>
      </x:c>
      <x:c r="D758" s="6" t="str">
        <x:v>Mon</x:v>
      </x:c>
    </x:row>
    <x:row r="759" ht="23" customHeight="1">
      <x:c r="A759" s="1" t="n">
        <x:v>752</x:v>
      </x:c>
      <x:c r="B759" s="1" t="n">
        <x:v>876</x:v>
      </x:c>
      <x:c r="C759" s="21" t="n">
        <x:f>'Controls'!$B$8+B759</x:f>
        <x:v>47204</x:v>
      </x:c>
      <x:c r="D759" s="1" t="str">
        <x:v>Tue</x:v>
      </x:c>
    </x:row>
    <x:row r="760" ht="23" customHeight="1">
      <x:c r="A760" s="6" t="n">
        <x:v>753</x:v>
      </x:c>
      <x:c r="B760" s="6" t="n">
        <x:v>877</x:v>
      </x:c>
      <x:c r="C760" s="20" t="n">
        <x:f>'Controls'!$B$8+B760</x:f>
        <x:v>47205</x:v>
      </x:c>
      <x:c r="D760" s="6" t="str">
        <x:v>Wed</x:v>
      </x:c>
    </x:row>
    <x:row r="761" ht="23" customHeight="1">
      <x:c r="A761" s="1" t="n">
        <x:v>754</x:v>
      </x:c>
      <x:c r="B761" s="1" t="n">
        <x:v>878</x:v>
      </x:c>
      <x:c r="C761" s="21" t="n">
        <x:f>'Controls'!$B$8+B761</x:f>
        <x:v>47206</x:v>
      </x:c>
      <x:c r="D761" s="1" t="str">
        <x:v>Thu</x:v>
      </x:c>
    </x:row>
    <x:row r="762" ht="23" customHeight="1">
      <x:c r="A762" s="6" t="n">
        <x:v>755</x:v>
      </x:c>
      <x:c r="B762" s="6" t="n">
        <x:v>879</x:v>
      </x:c>
      <x:c r="C762" s="20" t="n">
        <x:f>'Controls'!$B$8+B762</x:f>
        <x:v>47207</x:v>
      </x:c>
      <x:c r="D762" s="6" t="str">
        <x:v>Fri</x:v>
      </x:c>
    </x:row>
    <x:row r="763" ht="23" customHeight="1">
      <x:c r="A763" s="1" t="n">
        <x:v>756</x:v>
      </x:c>
      <x:c r="B763" s="1" t="n">
        <x:v>880</x:v>
      </x:c>
      <x:c r="C763" s="21" t="n">
        <x:f>'Controls'!$B$8+B763</x:f>
        <x:v>47208</x:v>
      </x:c>
      <x:c r="D763" s="1" t="str">
        <x:v>Sat</x:v>
      </x:c>
    </x:row>
    <x:row r="764" ht="23" customHeight="1">
      <x:c r="A764" s="6" t="n">
        <x:v>757</x:v>
      </x:c>
      <x:c r="B764" s="6" t="n">
        <x:v>882</x:v>
      </x:c>
      <x:c r="C764" s="20" t="n">
        <x:f>'Controls'!$B$8+B764</x:f>
        <x:v>47210</x:v>
      </x:c>
      <x:c r="D764" s="6" t="str">
        <x:v>Mon</x:v>
      </x:c>
    </x:row>
    <x:row r="765" ht="23" customHeight="1">
      <x:c r="A765" s="1" t="n">
        <x:v>758</x:v>
      </x:c>
      <x:c r="B765" s="1" t="n">
        <x:v>883</x:v>
      </x:c>
      <x:c r="C765" s="21" t="n">
        <x:f>'Controls'!$B$8+B765</x:f>
        <x:v>47211</x:v>
      </x:c>
      <x:c r="D765" s="1" t="str">
        <x:v>Tue</x:v>
      </x:c>
    </x:row>
    <x:row r="766" ht="23" customHeight="1">
      <x:c r="A766" s="6" t="n">
        <x:v>759</x:v>
      </x:c>
      <x:c r="B766" s="6" t="n">
        <x:v>884</x:v>
      </x:c>
      <x:c r="C766" s="20" t="n">
        <x:f>'Controls'!$B$8+B766</x:f>
        <x:v>47212</x:v>
      </x:c>
      <x:c r="D766" s="6" t="str">
        <x:v>Wed</x:v>
      </x:c>
    </x:row>
    <x:row r="767" ht="23" customHeight="1">
      <x:c r="A767" s="1" t="n">
        <x:v>760</x:v>
      </x:c>
      <x:c r="B767" s="1" t="n">
        <x:v>885</x:v>
      </x:c>
      <x:c r="C767" s="21" t="n">
        <x:f>'Controls'!$B$8+B767</x:f>
        <x:v>47213</x:v>
      </x:c>
      <x:c r="D767" s="1" t="str">
        <x:v>Thu</x:v>
      </x:c>
    </x:row>
    <x:row r="768" ht="23" customHeight="1">
      <x:c r="A768" s="6" t="n">
        <x:v>761</x:v>
      </x:c>
      <x:c r="B768" s="6" t="n">
        <x:v>886</x:v>
      </x:c>
      <x:c r="C768" s="20" t="n">
        <x:f>'Controls'!$B$8+B768</x:f>
        <x:v>47214</x:v>
      </x:c>
      <x:c r="D768" s="6" t="str">
        <x:v>Fri</x:v>
      </x:c>
    </x:row>
    <x:row r="769" ht="23" customHeight="1">
      <x:c r="A769" s="1" t="n">
        <x:v>762</x:v>
      </x:c>
      <x:c r="B769" s="1" t="n">
        <x:v>887</x:v>
      </x:c>
      <x:c r="C769" s="21" t="n">
        <x:f>'Controls'!$B$8+B769</x:f>
        <x:v>47215</x:v>
      </x:c>
      <x:c r="D769" s="1" t="str">
        <x:v>Sat</x:v>
      </x:c>
    </x:row>
    <x:row r="770" ht="23" customHeight="1">
      <x:c r="A770" s="6" t="n">
        <x:v>763</x:v>
      </x:c>
      <x:c r="B770" s="6" t="n">
        <x:v>889</x:v>
      </x:c>
      <x:c r="C770" s="20" t="n">
        <x:f>'Controls'!$B$8+B770</x:f>
        <x:v>47217</x:v>
      </x:c>
      <x:c r="D770" s="6" t="str">
        <x:v>Mon</x:v>
      </x:c>
    </x:row>
    <x:row r="771" ht="23" customHeight="1">
      <x:c r="A771" s="1" t="n">
        <x:v>764</x:v>
      </x:c>
      <x:c r="B771" s="1" t="n">
        <x:v>890</x:v>
      </x:c>
      <x:c r="C771" s="21" t="n">
        <x:f>'Controls'!$B$8+B771</x:f>
        <x:v>47218</x:v>
      </x:c>
      <x:c r="D771" s="1" t="str">
        <x:v>Tue</x:v>
      </x:c>
    </x:row>
    <x:row r="772" ht="23" customHeight="1">
      <x:c r="A772" s="6" t="n">
        <x:v>765</x:v>
      </x:c>
      <x:c r="B772" s="6" t="n">
        <x:v>891</x:v>
      </x:c>
      <x:c r="C772" s="20" t="n">
        <x:f>'Controls'!$B$8+B772</x:f>
        <x:v>47219</x:v>
      </x:c>
      <x:c r="D772" s="6" t="str">
        <x:v>Wed</x:v>
      </x:c>
    </x:row>
    <x:row r="773" ht="23" customHeight="1">
      <x:c r="A773" s="1" t="n">
        <x:v>766</x:v>
      </x:c>
      <x:c r="B773" s="1" t="n">
        <x:v>892</x:v>
      </x:c>
      <x:c r="C773" s="21" t="n">
        <x:f>'Controls'!$B$8+B773</x:f>
        <x:v>47220</x:v>
      </x:c>
      <x:c r="D773" s="1" t="str">
        <x:v>Thu</x:v>
      </x:c>
    </x:row>
    <x:row r="774" ht="23" customHeight="1">
      <x:c r="A774" s="6" t="n">
        <x:v>767</x:v>
      </x:c>
      <x:c r="B774" s="6" t="n">
        <x:v>893</x:v>
      </x:c>
      <x:c r="C774" s="20" t="n">
        <x:f>'Controls'!$B$8+B774</x:f>
        <x:v>47221</x:v>
      </x:c>
      <x:c r="D774" s="6" t="str">
        <x:v>Fri</x:v>
      </x:c>
    </x:row>
    <x:row r="775" ht="23" customHeight="1">
      <x:c r="A775" s="1" t="n">
        <x:v>768</x:v>
      </x:c>
      <x:c r="B775" s="1" t="n">
        <x:v>894</x:v>
      </x:c>
      <x:c r="C775" s="21" t="n">
        <x:f>'Controls'!$B$8+B775</x:f>
        <x:v>47222</x:v>
      </x:c>
      <x:c r="D775" s="1" t="str">
        <x:v>Sat</x:v>
      </x:c>
    </x:row>
    <x:row r="776" ht="23" customHeight="1">
      <x:c r="A776" s="6" t="n">
        <x:v>769</x:v>
      </x:c>
      <x:c r="B776" s="6" t="n">
        <x:v>896</x:v>
      </x:c>
      <x:c r="C776" s="20" t="n">
        <x:f>'Controls'!$B$8+B776</x:f>
        <x:v>47224</x:v>
      </x:c>
      <x:c r="D776" s="6" t="str">
        <x:v>Mon</x:v>
      </x:c>
    </x:row>
    <x:row r="777" ht="23" customHeight="1">
      <x:c r="A777" s="1" t="n">
        <x:v>770</x:v>
      </x:c>
      <x:c r="B777" s="1" t="n">
        <x:v>897</x:v>
      </x:c>
      <x:c r="C777" s="21" t="n">
        <x:f>'Controls'!$B$8+B777</x:f>
        <x:v>47225</x:v>
      </x:c>
      <x:c r="D777" s="1" t="str">
        <x:v>Tue</x:v>
      </x:c>
    </x:row>
    <x:row r="778" ht="23" customHeight="1">
      <x:c r="A778" s="6" t="n">
        <x:v>771</x:v>
      </x:c>
      <x:c r="B778" s="6" t="n">
        <x:v>898</x:v>
      </x:c>
      <x:c r="C778" s="20" t="n">
        <x:f>'Controls'!$B$8+B778</x:f>
        <x:v>47226</x:v>
      </x:c>
      <x:c r="D778" s="6" t="str">
        <x:v>Wed</x:v>
      </x:c>
    </x:row>
    <x:row r="779" ht="23" customHeight="1">
      <x:c r="A779" s="1" t="n">
        <x:v>772</x:v>
      </x:c>
      <x:c r="B779" s="1" t="n">
        <x:v>899</x:v>
      </x:c>
      <x:c r="C779" s="21" t="n">
        <x:f>'Controls'!$B$8+B779</x:f>
        <x:v>47227</x:v>
      </x:c>
      <x:c r="D779" s="1" t="str">
        <x:v>Thu</x:v>
      </x:c>
    </x:row>
    <x:row r="780" ht="23" customHeight="1">
      <x:c r="A780" s="6" t="n">
        <x:v>773</x:v>
      </x:c>
      <x:c r="B780" s="6" t="n">
        <x:v>900</x:v>
      </x:c>
      <x:c r="C780" s="20" t="n">
        <x:f>'Controls'!$B$8+B780</x:f>
        <x:v>47228</x:v>
      </x:c>
      <x:c r="D780" s="6" t="str">
        <x:v>Fri</x:v>
      </x:c>
    </x:row>
    <x:row r="781" ht="23" customHeight="1">
      <x:c r="A781" s="1" t="n">
        <x:v>774</x:v>
      </x:c>
      <x:c r="B781" s="1" t="n">
        <x:v>901</x:v>
      </x:c>
      <x:c r="C781" s="21" t="n">
        <x:f>'Controls'!$B$8+B781</x:f>
        <x:v>47229</x:v>
      </x:c>
      <x:c r="D781" s="1" t="str">
        <x:v>Sat</x:v>
      </x:c>
    </x:row>
    <x:row r="782" ht="23" customHeight="1">
      <x:c r="A782" s="6" t="n">
        <x:v>775</x:v>
      </x:c>
      <x:c r="B782" s="6" t="n">
        <x:v>903</x:v>
      </x:c>
      <x:c r="C782" s="20" t="n">
        <x:f>'Controls'!$B$8+B782</x:f>
        <x:v>47231</x:v>
      </x:c>
      <x:c r="D782" s="6" t="str">
        <x:v>Mon</x:v>
      </x:c>
    </x:row>
    <x:row r="783" ht="23" customHeight="1">
      <x:c r="A783" s="1" t="n">
        <x:v>776</x:v>
      </x:c>
      <x:c r="B783" s="1" t="n">
        <x:v>904</x:v>
      </x:c>
      <x:c r="C783" s="21" t="n">
        <x:f>'Controls'!$B$8+B783</x:f>
        <x:v>47232</x:v>
      </x:c>
      <x:c r="D783" s="1" t="str">
        <x:v>Tue</x:v>
      </x:c>
    </x:row>
    <x:row r="784" ht="23" customHeight="1">
      <x:c r="A784" s="6" t="n">
        <x:v>777</x:v>
      </x:c>
      <x:c r="B784" s="6" t="n">
        <x:v>905</x:v>
      </x:c>
      <x:c r="C784" s="20" t="n">
        <x:f>'Controls'!$B$8+B784</x:f>
        <x:v>47233</x:v>
      </x:c>
      <x:c r="D784" s="6" t="str">
        <x:v>Wed</x:v>
      </x:c>
    </x:row>
    <x:row r="785" ht="23" customHeight="1">
      <x:c r="A785" s="1" t="n">
        <x:v>778</x:v>
      </x:c>
      <x:c r="B785" s="1" t="n">
        <x:v>906</x:v>
      </x:c>
      <x:c r="C785" s="21" t="n">
        <x:f>'Controls'!$B$8+B785</x:f>
        <x:v>47234</x:v>
      </x:c>
      <x:c r="D785" s="1" t="str">
        <x:v>Thu</x:v>
      </x:c>
    </x:row>
    <x:row r="786" ht="23" customHeight="1">
      <x:c r="A786" s="6" t="n">
        <x:v>779</x:v>
      </x:c>
      <x:c r="B786" s="6" t="n">
        <x:v>907</x:v>
      </x:c>
      <x:c r="C786" s="20" t="n">
        <x:f>'Controls'!$B$8+B786</x:f>
        <x:v>47235</x:v>
      </x:c>
      <x:c r="D786" s="6" t="str">
        <x:v>Fri</x:v>
      </x:c>
    </x:row>
    <x:row r="787" ht="23" customHeight="1">
      <x:c r="A787" s="1" t="n">
        <x:v>780</x:v>
      </x:c>
      <x:c r="B787" s="1" t="n">
        <x:v>908</x:v>
      </x:c>
      <x:c r="C787" s="21" t="n">
        <x:f>'Controls'!$B$8+B787</x:f>
        <x:v>47236</x:v>
      </x:c>
      <x:c r="D787" s="1" t="str">
        <x:v>Sat</x:v>
      </x:c>
    </x:row>
    <x:row r="788" ht="23" customHeight="1">
      <x:c r="A788" s="6" t="n">
        <x:v>781</x:v>
      </x:c>
      <x:c r="B788" s="6" t="n">
        <x:v>910</x:v>
      </x:c>
      <x:c r="C788" s="20" t="n">
        <x:f>'Controls'!$B$8+B788</x:f>
        <x:v>47238</x:v>
      </x:c>
      <x:c r="D788" s="6" t="str">
        <x:v>Mon</x:v>
      </x:c>
    </x:row>
    <x:row r="789" ht="23" customHeight="1">
      <x:c r="A789" s="1" t="n">
        <x:v>782</x:v>
      </x:c>
      <x:c r="B789" s="1" t="n">
        <x:v>911</x:v>
      </x:c>
      <x:c r="C789" s="21" t="n">
        <x:f>'Controls'!$B$8+B789</x:f>
        <x:v>47239</x:v>
      </x:c>
      <x:c r="D789" s="1" t="str">
        <x:v>Tue</x:v>
      </x:c>
    </x:row>
    <x:row r="790" ht="23" customHeight="1">
      <x:c r="A790" s="6" t="n">
        <x:v>783</x:v>
      </x:c>
      <x:c r="B790" s="6" t="n">
        <x:v>912</x:v>
      </x:c>
      <x:c r="C790" s="20" t="n">
        <x:f>'Controls'!$B$8+B790</x:f>
        <x:v>47240</x:v>
      </x:c>
      <x:c r="D790" s="6" t="str">
        <x:v>Wed</x:v>
      </x:c>
    </x:row>
    <x:row r="791" ht="23" customHeight="1">
      <x:c r="A791" s="1" t="n">
        <x:v>784</x:v>
      </x:c>
      <x:c r="B791" s="1" t="n">
        <x:v>913</x:v>
      </x:c>
      <x:c r="C791" s="21" t="n">
        <x:f>'Controls'!$B$8+B791</x:f>
        <x:v>47241</x:v>
      </x:c>
      <x:c r="D791" s="1" t="str">
        <x:v>Thu</x:v>
      </x:c>
    </x:row>
    <x:row r="792" ht="23" customHeight="1">
      <x:c r="A792" s="6" t="n">
        <x:v>785</x:v>
      </x:c>
      <x:c r="B792" s="6" t="n">
        <x:v>914</x:v>
      </x:c>
      <x:c r="C792" s="20" t="n">
        <x:f>'Controls'!$B$8+B792</x:f>
        <x:v>47242</x:v>
      </x:c>
      <x:c r="D792" s="6" t="str">
        <x:v>Fri</x:v>
      </x:c>
    </x:row>
    <x:row r="793" ht="23" customHeight="1">
      <x:c r="A793" s="1" t="n">
        <x:v>786</x:v>
      </x:c>
      <x:c r="B793" s="1" t="n">
        <x:v>915</x:v>
      </x:c>
      <x:c r="C793" s="21" t="n">
        <x:f>'Controls'!$B$8+B793</x:f>
        <x:v>47243</x:v>
      </x:c>
      <x:c r="D793" s="1" t="str">
        <x:v>Sat</x:v>
      </x:c>
    </x:row>
    <x:row r="794" ht="23" customHeight="1">
      <x:c r="A794" s="6" t="n">
        <x:v>787</x:v>
      </x:c>
      <x:c r="B794" s="6" t="n">
        <x:v>917</x:v>
      </x:c>
      <x:c r="C794" s="20" t="n">
        <x:f>'Controls'!$B$8+B794</x:f>
        <x:v>47245</x:v>
      </x:c>
      <x:c r="D794" s="6" t="str">
        <x:v>Mon</x:v>
      </x:c>
    </x:row>
    <x:row r="795" ht="23" customHeight="1">
      <x:c r="A795" s="1" t="n">
        <x:v>788</x:v>
      </x:c>
      <x:c r="B795" s="1" t="n">
        <x:v>918</x:v>
      </x:c>
      <x:c r="C795" s="21" t="n">
        <x:f>'Controls'!$B$8+B795</x:f>
        <x:v>47246</x:v>
      </x:c>
      <x:c r="D795" s="1" t="str">
        <x:v>Tue</x:v>
      </x:c>
    </x:row>
    <x:row r="796" ht="23" customHeight="1">
      <x:c r="A796" s="6" t="n">
        <x:v>789</x:v>
      </x:c>
      <x:c r="B796" s="6" t="n">
        <x:v>919</x:v>
      </x:c>
      <x:c r="C796" s="20" t="n">
        <x:f>'Controls'!$B$8+B796</x:f>
        <x:v>47247</x:v>
      </x:c>
      <x:c r="D796" s="6" t="str">
        <x:v>Wed</x:v>
      </x:c>
    </x:row>
    <x:row r="797" ht="23" customHeight="1">
      <x:c r="A797" s="1" t="n">
        <x:v>790</x:v>
      </x:c>
      <x:c r="B797" s="1" t="n">
        <x:v>920</x:v>
      </x:c>
      <x:c r="C797" s="21" t="n">
        <x:f>'Controls'!$B$8+B797</x:f>
        <x:v>47248</x:v>
      </x:c>
      <x:c r="D797" s="1" t="str">
        <x:v>Thu</x:v>
      </x:c>
    </x:row>
    <x:row r="798" ht="23" customHeight="1">
      <x:c r="A798" s="6" t="n">
        <x:v>791</x:v>
      </x:c>
      <x:c r="B798" s="6" t="n">
        <x:v>921</x:v>
      </x:c>
      <x:c r="C798" s="20" t="n">
        <x:f>'Controls'!$B$8+B798</x:f>
        <x:v>47249</x:v>
      </x:c>
      <x:c r="D798" s="6" t="str">
        <x:v>Fri</x:v>
      </x:c>
    </x:row>
    <x:row r="799" ht="23" customHeight="1">
      <x:c r="A799" s="1" t="n">
        <x:v>792</x:v>
      </x:c>
      <x:c r="B799" s="1" t="n">
        <x:v>922</x:v>
      </x:c>
      <x:c r="C799" s="21" t="n">
        <x:f>'Controls'!$B$8+B799</x:f>
        <x:v>47250</x:v>
      </x:c>
      <x:c r="D799" s="1" t="str">
        <x:v>Sat</x:v>
      </x:c>
    </x:row>
    <x:row r="800" ht="23" customHeight="1">
      <x:c r="A800" s="6" t="n">
        <x:v>793</x:v>
      </x:c>
      <x:c r="B800" s="6" t="n">
        <x:v>924</x:v>
      </x:c>
      <x:c r="C800" s="20" t="n">
        <x:f>'Controls'!$B$8+B800</x:f>
        <x:v>47252</x:v>
      </x:c>
      <x:c r="D800" s="6" t="str">
        <x:v>Mon</x:v>
      </x:c>
    </x:row>
    <x:row r="801" ht="23" customHeight="1">
      <x:c r="A801" s="1" t="n">
        <x:v>794</x:v>
      </x:c>
      <x:c r="B801" s="1" t="n">
        <x:v>925</x:v>
      </x:c>
      <x:c r="C801" s="21" t="n">
        <x:f>'Controls'!$B$8+B801</x:f>
        <x:v>47253</x:v>
      </x:c>
      <x:c r="D801" s="1" t="str">
        <x:v>Tue</x:v>
      </x:c>
    </x:row>
    <x:row r="802" ht="23" customHeight="1">
      <x:c r="A802" s="6" t="n">
        <x:v>795</x:v>
      </x:c>
      <x:c r="B802" s="6" t="n">
        <x:v>926</x:v>
      </x:c>
      <x:c r="C802" s="20" t="n">
        <x:f>'Controls'!$B$8+B802</x:f>
        <x:v>47254</x:v>
      </x:c>
      <x:c r="D802" s="6" t="str">
        <x:v>Wed</x:v>
      </x:c>
    </x:row>
    <x:row r="803" ht="23" customHeight="1">
      <x:c r="A803" s="1" t="n">
        <x:v>796</x:v>
      </x:c>
      <x:c r="B803" s="1" t="n">
        <x:v>927</x:v>
      </x:c>
      <x:c r="C803" s="21" t="n">
        <x:f>'Controls'!$B$8+B803</x:f>
        <x:v>47255</x:v>
      </x:c>
      <x:c r="D803" s="1" t="str">
        <x:v>Thu</x:v>
      </x:c>
    </x:row>
    <x:row r="804" ht="23" customHeight="1">
      <x:c r="A804" s="6" t="n">
        <x:v>797</x:v>
      </x:c>
      <x:c r="B804" s="6" t="n">
        <x:v>928</x:v>
      </x:c>
      <x:c r="C804" s="20" t="n">
        <x:f>'Controls'!$B$8+B804</x:f>
        <x:v>47256</x:v>
      </x:c>
      <x:c r="D804" s="6" t="str">
        <x:v>Fri</x:v>
      </x:c>
    </x:row>
    <x:row r="805" ht="23" customHeight="1">
      <x:c r="A805" s="1" t="n">
        <x:v>798</x:v>
      </x:c>
      <x:c r="B805" s="1" t="n">
        <x:v>929</x:v>
      </x:c>
      <x:c r="C805" s="21" t="n">
        <x:f>'Controls'!$B$8+B805</x:f>
        <x:v>47257</x:v>
      </x:c>
      <x:c r="D805" s="1" t="str">
        <x:v>Sat</x:v>
      </x:c>
    </x:row>
    <x:row r="806" ht="23" customHeight="1">
      <x:c r="A806" s="6" t="n">
        <x:v>799</x:v>
      </x:c>
      <x:c r="B806" s="6" t="n">
        <x:v>931</x:v>
      </x:c>
      <x:c r="C806" s="20" t="n">
        <x:f>'Controls'!$B$8+B806</x:f>
        <x:v>47259</x:v>
      </x:c>
      <x:c r="D806" s="6" t="str">
        <x:v>Mon</x:v>
      </x:c>
    </x:row>
    <x:row r="807" ht="23" customHeight="1">
      <x:c r="A807" s="1" t="n">
        <x:v>800</x:v>
      </x:c>
      <x:c r="B807" s="1" t="n">
        <x:v>932</x:v>
      </x:c>
      <x:c r="C807" s="21" t="n">
        <x:f>'Controls'!$B$8+B807</x:f>
        <x:v>47260</x:v>
      </x:c>
      <x:c r="D807" s="1" t="str">
        <x:v>Tue</x:v>
      </x:c>
    </x:row>
    <x:row r="808" ht="23" customHeight="1">
      <x:c r="A808" s="6" t="n">
        <x:v>801</x:v>
      </x:c>
      <x:c r="B808" s="6" t="n">
        <x:v>933</x:v>
      </x:c>
      <x:c r="C808" s="20" t="n">
        <x:f>'Controls'!$B$8+B808</x:f>
        <x:v>47261</x:v>
      </x:c>
      <x:c r="D808" s="6" t="str">
        <x:v>Wed</x:v>
      </x:c>
    </x:row>
    <x:row r="809" ht="23" customHeight="1">
      <x:c r="A809" s="1" t="n">
        <x:v>802</x:v>
      </x:c>
      <x:c r="B809" s="1" t="n">
        <x:v>934</x:v>
      </x:c>
      <x:c r="C809" s="21" t="n">
        <x:f>'Controls'!$B$8+B809</x:f>
        <x:v>47262</x:v>
      </x:c>
      <x:c r="D809" s="1" t="str">
        <x:v>Thu</x:v>
      </x:c>
    </x:row>
    <x:row r="810" ht="23" customHeight="1">
      <x:c r="A810" s="6" t="n">
        <x:v>803</x:v>
      </x:c>
      <x:c r="B810" s="6" t="n">
        <x:v>935</x:v>
      </x:c>
      <x:c r="C810" s="20" t="n">
        <x:f>'Controls'!$B$8+B810</x:f>
        <x:v>47263</x:v>
      </x:c>
      <x:c r="D810" s="6" t="str">
        <x:v>Fri</x:v>
      </x:c>
    </x:row>
    <x:row r="811" ht="23" customHeight="1">
      <x:c r="A811" s="1" t="n">
        <x:v>804</x:v>
      </x:c>
      <x:c r="B811" s="1" t="n">
        <x:v>936</x:v>
      </x:c>
      <x:c r="C811" s="21" t="n">
        <x:f>'Controls'!$B$8+B811</x:f>
        <x:v>47264</x:v>
      </x:c>
      <x:c r="D811" s="1" t="str">
        <x:v>Sat</x:v>
      </x:c>
    </x:row>
    <x:row r="812" ht="23" customHeight="1">
      <x:c r="A812" s="6" t="n">
        <x:v>805</x:v>
      </x:c>
      <x:c r="B812" s="6" t="n">
        <x:v>938</x:v>
      </x:c>
      <x:c r="C812" s="20" t="n">
        <x:f>'Controls'!$B$8+B812</x:f>
        <x:v>47266</x:v>
      </x:c>
      <x:c r="D812" s="6" t="str">
        <x:v>Mon</x:v>
      </x:c>
    </x:row>
    <x:row r="813" ht="23" customHeight="1">
      <x:c r="A813" s="1" t="n">
        <x:v>806</x:v>
      </x:c>
      <x:c r="B813" s="1" t="n">
        <x:v>939</x:v>
      </x:c>
      <x:c r="C813" s="21" t="n">
        <x:f>'Controls'!$B$8+B813</x:f>
        <x:v>47267</x:v>
      </x:c>
      <x:c r="D813" s="1" t="str">
        <x:v>Tue</x:v>
      </x:c>
    </x:row>
    <x:row r="814" ht="23" customHeight="1">
      <x:c r="A814" s="6" t="n">
        <x:v>807</x:v>
      </x:c>
      <x:c r="B814" s="6" t="n">
        <x:v>940</x:v>
      </x:c>
      <x:c r="C814" s="20" t="n">
        <x:f>'Controls'!$B$8+B814</x:f>
        <x:v>47268</x:v>
      </x:c>
      <x:c r="D814" s="6" t="str">
        <x:v>Wed</x:v>
      </x:c>
    </x:row>
    <x:row r="815" ht="23" customHeight="1">
      <x:c r="A815" s="1" t="n">
        <x:v>808</x:v>
      </x:c>
      <x:c r="B815" s="1" t="n">
        <x:v>941</x:v>
      </x:c>
      <x:c r="C815" s="21" t="n">
        <x:f>'Controls'!$B$8+B815</x:f>
        <x:v>47269</x:v>
      </x:c>
      <x:c r="D815" s="1" t="str">
        <x:v>Thu</x:v>
      </x:c>
    </x:row>
    <x:row r="816" ht="23" customHeight="1">
      <x:c r="A816" s="6" t="n">
        <x:v>809</x:v>
      </x:c>
      <x:c r="B816" s="6" t="n">
        <x:v>942</x:v>
      </x:c>
      <x:c r="C816" s="20" t="n">
        <x:f>'Controls'!$B$8+B816</x:f>
        <x:v>47270</x:v>
      </x:c>
      <x:c r="D816" s="6" t="str">
        <x:v>Fri</x:v>
      </x:c>
    </x:row>
    <x:row r="817" ht="23" customHeight="1">
      <x:c r="A817" s="1" t="n">
        <x:v>810</x:v>
      </x:c>
      <x:c r="B817" s="1" t="n">
        <x:v>943</x:v>
      </x:c>
      <x:c r="C817" s="21" t="n">
        <x:f>'Controls'!$B$8+B817</x:f>
        <x:v>47271</x:v>
      </x:c>
      <x:c r="D817" s="1" t="str">
        <x:v>Sat</x:v>
      </x:c>
    </x:row>
    <x:row r="818" ht="23" customHeight="1">
      <x:c r="A818" s="6" t="n">
        <x:v>811</x:v>
      </x:c>
      <x:c r="B818" s="6" t="n">
        <x:v>945</x:v>
      </x:c>
      <x:c r="C818" s="20" t="n">
        <x:f>'Controls'!$B$8+B818</x:f>
        <x:v>47273</x:v>
      </x:c>
      <x:c r="D818" s="6" t="str">
        <x:v>Mon</x:v>
      </x:c>
    </x:row>
    <x:row r="819" ht="23" customHeight="1">
      <x:c r="A819" s="1" t="n">
        <x:v>812</x:v>
      </x:c>
      <x:c r="B819" s="1" t="n">
        <x:v>946</x:v>
      </x:c>
      <x:c r="C819" s="21" t="n">
        <x:f>'Controls'!$B$8+B819</x:f>
        <x:v>47274</x:v>
      </x:c>
      <x:c r="D819" s="1" t="str">
        <x:v>Tue</x:v>
      </x:c>
    </x:row>
    <x:row r="820" ht="23" customHeight="1">
      <x:c r="A820" s="6" t="n">
        <x:v>813</x:v>
      </x:c>
      <x:c r="B820" s="6" t="n">
        <x:v>947</x:v>
      </x:c>
      <x:c r="C820" s="20" t="n">
        <x:f>'Controls'!$B$8+B820</x:f>
        <x:v>47275</x:v>
      </x:c>
      <x:c r="D820" s="6" t="str">
        <x:v>Wed</x:v>
      </x:c>
    </x:row>
    <x:row r="821" ht="23" customHeight="1">
      <x:c r="A821" s="1" t="n">
        <x:v>814</x:v>
      </x:c>
      <x:c r="B821" s="1" t="n">
        <x:v>948</x:v>
      </x:c>
      <x:c r="C821" s="21" t="n">
        <x:f>'Controls'!$B$8+B821</x:f>
        <x:v>47276</x:v>
      </x:c>
      <x:c r="D821" s="1" t="str">
        <x:v>Thu</x:v>
      </x:c>
    </x:row>
    <x:row r="822" ht="23" customHeight="1">
      <x:c r="A822" s="6" t="n">
        <x:v>815</x:v>
      </x:c>
      <x:c r="B822" s="6" t="n">
        <x:v>949</x:v>
      </x:c>
      <x:c r="C822" s="20" t="n">
        <x:f>'Controls'!$B$8+B822</x:f>
        <x:v>47277</x:v>
      </x:c>
      <x:c r="D822" s="6" t="str">
        <x:v>Fri</x:v>
      </x:c>
    </x:row>
    <x:row r="823" ht="23" customHeight="1">
      <x:c r="A823" s="1" t="n">
        <x:v>816</x:v>
      </x:c>
      <x:c r="B823" s="1" t="n">
        <x:v>950</x:v>
      </x:c>
      <x:c r="C823" s="21" t="n">
        <x:f>'Controls'!$B$8+B823</x:f>
        <x:v>47278</x:v>
      </x:c>
      <x:c r="D823" s="1" t="str">
        <x:v>Sat</x:v>
      </x:c>
    </x:row>
    <x:row r="824" ht="23" customHeight="1">
      <x:c r="A824" s="6" t="n">
        <x:v>817</x:v>
      </x:c>
      <x:c r="B824" s="6" t="n">
        <x:v>952</x:v>
      </x:c>
      <x:c r="C824" s="20" t="n">
        <x:f>'Controls'!$B$8+B824</x:f>
        <x:v>47280</x:v>
      </x:c>
      <x:c r="D824" s="6" t="str">
        <x:v>Mon</x:v>
      </x:c>
    </x:row>
    <x:row r="825" ht="23" customHeight="1">
      <x:c r="A825" s="1" t="n">
        <x:v>818</x:v>
      </x:c>
      <x:c r="B825" s="1" t="n">
        <x:v>953</x:v>
      </x:c>
      <x:c r="C825" s="21" t="n">
        <x:f>'Controls'!$B$8+B825</x:f>
        <x:v>47281</x:v>
      </x:c>
      <x:c r="D825" s="1" t="str">
        <x:v>Tue</x:v>
      </x:c>
    </x:row>
    <x:row r="826" ht="23" customHeight="1">
      <x:c r="A826" s="6" t="n">
        <x:v>819</x:v>
      </x:c>
      <x:c r="B826" s="6" t="n">
        <x:v>954</x:v>
      </x:c>
      <x:c r="C826" s="20" t="n">
        <x:f>'Controls'!$B$8+B826</x:f>
        <x:v>47282</x:v>
      </x:c>
      <x:c r="D826" s="6" t="str">
        <x:v>Wed</x:v>
      </x:c>
    </x:row>
    <x:row r="827" ht="23" customHeight="1">
      <x:c r="A827" s="1" t="n">
        <x:v>820</x:v>
      </x:c>
      <x:c r="B827" s="1" t="n">
        <x:v>955</x:v>
      </x:c>
      <x:c r="C827" s="21" t="n">
        <x:f>'Controls'!$B$8+B827</x:f>
        <x:v>47283</x:v>
      </x:c>
      <x:c r="D827" s="1" t="str">
        <x:v>Thu</x:v>
      </x:c>
    </x:row>
    <x:row r="828" ht="23" customHeight="1">
      <x:c r="A828" s="6" t="n">
        <x:v>821</x:v>
      </x:c>
      <x:c r="B828" s="6" t="n">
        <x:v>956</x:v>
      </x:c>
      <x:c r="C828" s="20" t="n">
        <x:f>'Controls'!$B$8+B828</x:f>
        <x:v>47284</x:v>
      </x:c>
      <x:c r="D828" s="6" t="str">
        <x:v>Fri</x:v>
      </x:c>
    </x:row>
    <x:row r="829" ht="23" customHeight="1">
      <x:c r="A829" s="1" t="n">
        <x:v>822</x:v>
      </x:c>
      <x:c r="B829" s="1" t="n">
        <x:v>957</x:v>
      </x:c>
      <x:c r="C829" s="21" t="n">
        <x:f>'Controls'!$B$8+B829</x:f>
        <x:v>47285</x:v>
      </x:c>
      <x:c r="D829" s="1" t="str">
        <x:v>Sat</x:v>
      </x:c>
    </x:row>
    <x:row r="830" ht="23" customHeight="1">
      <x:c r="A830" s="6" t="n">
        <x:v>823</x:v>
      </x:c>
      <x:c r="B830" s="6" t="n">
        <x:v>959</x:v>
      </x:c>
      <x:c r="C830" s="20" t="n">
        <x:f>'Controls'!$B$8+B830</x:f>
        <x:v>47287</x:v>
      </x:c>
      <x:c r="D830" s="6" t="str">
        <x:v>Mon</x:v>
      </x:c>
    </x:row>
    <x:row r="831" ht="23" customHeight="1">
      <x:c r="A831" s="1" t="n">
        <x:v>824</x:v>
      </x:c>
      <x:c r="B831" s="1" t="n">
        <x:v>960</x:v>
      </x:c>
      <x:c r="C831" s="21" t="n">
        <x:f>'Controls'!$B$8+B831</x:f>
        <x:v>47288</x:v>
      </x:c>
      <x:c r="D831" s="1" t="str">
        <x:v>Tue</x:v>
      </x:c>
    </x:row>
    <x:row r="832" ht="23" customHeight="1">
      <x:c r="A832" s="6" t="n">
        <x:v>825</x:v>
      </x:c>
      <x:c r="B832" s="6" t="n">
        <x:v>961</x:v>
      </x:c>
      <x:c r="C832" s="20" t="n">
        <x:f>'Controls'!$B$8+B832</x:f>
        <x:v>47289</x:v>
      </x:c>
      <x:c r="D832" s="6" t="str">
        <x:v>Wed</x:v>
      </x:c>
    </x:row>
    <x:row r="833" ht="23" customHeight="1">
      <x:c r="A833" s="1" t="n">
        <x:v>826</x:v>
      </x:c>
      <x:c r="B833" s="1" t="n">
        <x:v>962</x:v>
      </x:c>
      <x:c r="C833" s="21" t="n">
        <x:f>'Controls'!$B$8+B833</x:f>
        <x:v>47290</x:v>
      </x:c>
      <x:c r="D833" s="1" t="str">
        <x:v>Thu</x:v>
      </x:c>
    </x:row>
    <x:row r="834" ht="23" customHeight="1">
      <x:c r="A834" s="6" t="n">
        <x:v>827</x:v>
      </x:c>
      <x:c r="B834" s="6" t="n">
        <x:v>963</x:v>
      </x:c>
      <x:c r="C834" s="20" t="n">
        <x:f>'Controls'!$B$8+B834</x:f>
        <x:v>47291</x:v>
      </x:c>
      <x:c r="D834" s="6" t="str">
        <x:v>Fri</x:v>
      </x:c>
    </x:row>
    <x:row r="835" ht="23" customHeight="1">
      <x:c r="A835" s="1" t="n">
        <x:v>828</x:v>
      </x:c>
      <x:c r="B835" s="1" t="n">
        <x:v>964</x:v>
      </x:c>
      <x:c r="C835" s="21" t="n">
        <x:f>'Controls'!$B$8+B835</x:f>
        <x:v>47292</x:v>
      </x:c>
      <x:c r="D835" s="1" t="str">
        <x:v>Sat</x:v>
      </x:c>
    </x:row>
    <x:row r="836" ht="23" customHeight="1">
      <x:c r="A836" s="6" t="n">
        <x:v>829</x:v>
      </x:c>
      <x:c r="B836" s="6" t="n">
        <x:v>966</x:v>
      </x:c>
      <x:c r="C836" s="20" t="n">
        <x:f>'Controls'!$B$8+B836</x:f>
        <x:v>47294</x:v>
      </x:c>
      <x:c r="D836" s="6" t="str">
        <x:v>Mon</x:v>
      </x:c>
    </x:row>
    <x:row r="837" ht="23" customHeight="1">
      <x:c r="A837" s="1" t="n">
        <x:v>830</x:v>
      </x:c>
      <x:c r="B837" s="1" t="n">
        <x:v>967</x:v>
      </x:c>
      <x:c r="C837" s="21" t="n">
        <x:f>'Controls'!$B$8+B837</x:f>
        <x:v>47295</x:v>
      </x:c>
      <x:c r="D837" s="1" t="str">
        <x:v>Tue</x:v>
      </x:c>
    </x:row>
    <x:row r="838" ht="23" customHeight="1">
      <x:c r="A838" s="6" t="n">
        <x:v>831</x:v>
      </x:c>
      <x:c r="B838" s="6" t="n">
        <x:v>968</x:v>
      </x:c>
      <x:c r="C838" s="20" t="n">
        <x:f>'Controls'!$B$8+B838</x:f>
        <x:v>47296</x:v>
      </x:c>
      <x:c r="D838" s="6" t="str">
        <x:v>Wed</x:v>
      </x:c>
    </x:row>
    <x:row r="839" ht="23" customHeight="1">
      <x:c r="A839" s="1" t="n">
        <x:v>832</x:v>
      </x:c>
      <x:c r="B839" s="1" t="n">
        <x:v>969</x:v>
      </x:c>
      <x:c r="C839" s="21" t="n">
        <x:f>'Controls'!$B$8+B839</x:f>
        <x:v>47297</x:v>
      </x:c>
      <x:c r="D839" s="1" t="str">
        <x:v>Thu</x:v>
      </x:c>
    </x:row>
    <x:row r="840" ht="23" customHeight="1">
      <x:c r="A840" s="6" t="n">
        <x:v>833</x:v>
      </x:c>
      <x:c r="B840" s="6" t="n">
        <x:v>970</x:v>
      </x:c>
      <x:c r="C840" s="20" t="n">
        <x:f>'Controls'!$B$8+B840</x:f>
        <x:v>47298</x:v>
      </x:c>
      <x:c r="D840" s="6" t="str">
        <x:v>Fri</x:v>
      </x:c>
    </x:row>
    <x:row r="841" ht="23" customHeight="1">
      <x:c r="A841" s="1" t="n">
        <x:v>834</x:v>
      </x:c>
      <x:c r="B841" s="1" t="n">
        <x:v>971</x:v>
      </x:c>
      <x:c r="C841" s="21" t="n">
        <x:f>'Controls'!$B$8+B841</x:f>
        <x:v>47299</x:v>
      </x:c>
      <x:c r="D841" s="1" t="str">
        <x:v>Sat</x:v>
      </x:c>
    </x:row>
    <x:row r="842" ht="23" customHeight="1">
      <x:c r="A842" s="6" t="n">
        <x:v>835</x:v>
      </x:c>
      <x:c r="B842" s="6" t="n">
        <x:v>973</x:v>
      </x:c>
      <x:c r="C842" s="20" t="n">
        <x:f>'Controls'!$B$8+B842</x:f>
        <x:v>47301</x:v>
      </x:c>
      <x:c r="D842" s="6" t="str">
        <x:v>Mon</x:v>
      </x:c>
    </x:row>
    <x:row r="843" ht="23" customHeight="1">
      <x:c r="A843" s="1" t="n">
        <x:v>836</x:v>
      </x:c>
      <x:c r="B843" s="1" t="n">
        <x:v>974</x:v>
      </x:c>
      <x:c r="C843" s="21" t="n">
        <x:f>'Controls'!$B$8+B843</x:f>
        <x:v>47302</x:v>
      </x:c>
      <x:c r="D843" s="1" t="str">
        <x:v>Tue</x:v>
      </x:c>
    </x:row>
    <x:row r="844" ht="23" customHeight="1">
      <x:c r="A844" s="6" t="n">
        <x:v>837</x:v>
      </x:c>
      <x:c r="B844" s="6" t="n">
        <x:v>975</x:v>
      </x:c>
      <x:c r="C844" s="20" t="n">
        <x:f>'Controls'!$B$8+B844</x:f>
        <x:v>47303</x:v>
      </x:c>
      <x:c r="D844" s="6" t="str">
        <x:v>Wed</x:v>
      </x:c>
    </x:row>
    <x:row r="845" ht="23" customHeight="1">
      <x:c r="A845" s="1" t="n">
        <x:v>838</x:v>
      </x:c>
      <x:c r="B845" s="1" t="n">
        <x:v>976</x:v>
      </x:c>
      <x:c r="C845" s="21" t="n">
        <x:f>'Controls'!$B$8+B845</x:f>
        <x:v>47304</x:v>
      </x:c>
      <x:c r="D845" s="1" t="str">
        <x:v>Thu</x:v>
      </x:c>
    </x:row>
    <x:row r="846" ht="23" customHeight="1">
      <x:c r="A846" s="6" t="n">
        <x:v>839</x:v>
      </x:c>
      <x:c r="B846" s="6" t="n">
        <x:v>977</x:v>
      </x:c>
      <x:c r="C846" s="20" t="n">
        <x:f>'Controls'!$B$8+B846</x:f>
        <x:v>47305</x:v>
      </x:c>
      <x:c r="D846" s="6" t="str">
        <x:v>Fri</x:v>
      </x:c>
    </x:row>
    <x:row r="847" ht="23" customHeight="1">
      <x:c r="A847" s="1" t="n">
        <x:v>840</x:v>
      </x:c>
      <x:c r="B847" s="1" t="n">
        <x:v>978</x:v>
      </x:c>
      <x:c r="C847" s="21" t="n">
        <x:f>'Controls'!$B$8+B847</x:f>
        <x:v>47306</x:v>
      </x:c>
      <x:c r="D847" s="1" t="str">
        <x:v>Sat</x:v>
      </x:c>
    </x:row>
    <x:row r="848" ht="23" customHeight="1">
      <x:c r="A848" s="6" t="n">
        <x:v>841</x:v>
      </x:c>
      <x:c r="B848" s="6" t="n">
        <x:v>980</x:v>
      </x:c>
      <x:c r="C848" s="20" t="n">
        <x:f>'Controls'!$B$8+B848</x:f>
        <x:v>47308</x:v>
      </x:c>
      <x:c r="D848" s="6" t="str">
        <x:v>Mon</x:v>
      </x:c>
    </x:row>
    <x:row r="849" ht="23" customHeight="1">
      <x:c r="A849" s="1" t="n">
        <x:v>842</x:v>
      </x:c>
      <x:c r="B849" s="1" t="n">
        <x:v>981</x:v>
      </x:c>
      <x:c r="C849" s="21" t="n">
        <x:f>'Controls'!$B$8+B849</x:f>
        <x:v>47309</x:v>
      </x:c>
      <x:c r="D849" s="1" t="str">
        <x:v>Tue</x:v>
      </x:c>
    </x:row>
    <x:row r="850" ht="23" customHeight="1">
      <x:c r="A850" s="6" t="n">
        <x:v>843</x:v>
      </x:c>
      <x:c r="B850" s="6" t="n">
        <x:v>982</x:v>
      </x:c>
      <x:c r="C850" s="20" t="n">
        <x:f>'Controls'!$B$8+B850</x:f>
        <x:v>47310</x:v>
      </x:c>
      <x:c r="D850" s="6" t="str">
        <x:v>Wed</x:v>
      </x:c>
    </x:row>
    <x:row r="851" ht="23" customHeight="1">
      <x:c r="A851" s="1" t="n">
        <x:v>844</x:v>
      </x:c>
      <x:c r="B851" s="1" t="n">
        <x:v>983</x:v>
      </x:c>
      <x:c r="C851" s="21" t="n">
        <x:f>'Controls'!$B$8+B851</x:f>
        <x:v>47311</x:v>
      </x:c>
      <x:c r="D851" s="1" t="str">
        <x:v>Thu</x:v>
      </x:c>
    </x:row>
    <x:row r="852" ht="23" customHeight="1">
      <x:c r="A852" s="6" t="n">
        <x:v>845</x:v>
      </x:c>
      <x:c r="B852" s="6" t="n">
        <x:v>984</x:v>
      </x:c>
      <x:c r="C852" s="20" t="n">
        <x:f>'Controls'!$B$8+B852</x:f>
        <x:v>47312</x:v>
      </x:c>
      <x:c r="D852" s="6" t="str">
        <x:v>Fri</x:v>
      </x:c>
    </x:row>
    <x:row r="853" ht="23" customHeight="1">
      <x:c r="A853" s="1" t="n">
        <x:v>846</x:v>
      </x:c>
      <x:c r="B853" s="1" t="n">
        <x:v>985</x:v>
      </x:c>
      <x:c r="C853" s="21" t="n">
        <x:f>'Controls'!$B$8+B853</x:f>
        <x:v>47313</x:v>
      </x:c>
      <x:c r="D853" s="1" t="str">
        <x:v>Sat</x:v>
      </x:c>
    </x:row>
    <x:row r="854" ht="23" customHeight="1">
      <x:c r="A854" s="6" t="n">
        <x:v>847</x:v>
      </x:c>
      <x:c r="B854" s="6" t="n">
        <x:v>987</x:v>
      </x:c>
      <x:c r="C854" s="20" t="n">
        <x:f>'Controls'!$B$8+B854</x:f>
        <x:v>47315</x:v>
      </x:c>
      <x:c r="D854" s="6" t="str">
        <x:v>Mon</x:v>
      </x:c>
    </x:row>
    <x:row r="855" ht="23" customHeight="1">
      <x:c r="A855" s="1" t="n">
        <x:v>848</x:v>
      </x:c>
      <x:c r="B855" s="1" t="n">
        <x:v>988</x:v>
      </x:c>
      <x:c r="C855" s="21" t="n">
        <x:f>'Controls'!$B$8+B855</x:f>
        <x:v>47316</x:v>
      </x:c>
      <x:c r="D855" s="1" t="str">
        <x:v>Tue</x:v>
      </x:c>
    </x:row>
    <x:row r="856" ht="23" customHeight="1">
      <x:c r="A856" s="6" t="n">
        <x:v>849</x:v>
      </x:c>
      <x:c r="B856" s="6" t="n">
        <x:v>989</x:v>
      </x:c>
      <x:c r="C856" s="20" t="n">
        <x:f>'Controls'!$B$8+B856</x:f>
        <x:v>47317</x:v>
      </x:c>
      <x:c r="D856" s="6" t="str">
        <x:v>Wed</x:v>
      </x:c>
    </x:row>
    <x:row r="857" ht="23" customHeight="1">
      <x:c r="A857" s="1" t="n">
        <x:v>850</x:v>
      </x:c>
      <x:c r="B857" s="1" t="n">
        <x:v>990</x:v>
      </x:c>
      <x:c r="C857" s="21" t="n">
        <x:f>'Controls'!$B$8+B857</x:f>
        <x:v>47318</x:v>
      </x:c>
      <x:c r="D857" s="1" t="str">
        <x:v>Thu</x:v>
      </x:c>
    </x:row>
    <x:row r="858" ht="23" customHeight="1">
      <x:c r="A858" s="6" t="n">
        <x:v>851</x:v>
      </x:c>
      <x:c r="B858" s="6" t="n">
        <x:v>991</x:v>
      </x:c>
      <x:c r="C858" s="20" t="n">
        <x:f>'Controls'!$B$8+B858</x:f>
        <x:v>47319</x:v>
      </x:c>
      <x:c r="D858" s="6" t="str">
        <x:v>Fri</x:v>
      </x:c>
    </x:row>
    <x:row r="859" ht="23" customHeight="1">
      <x:c r="A859" s="1" t="n">
        <x:v>852</x:v>
      </x:c>
      <x:c r="B859" s="1" t="n">
        <x:v>992</x:v>
      </x:c>
      <x:c r="C859" s="21" t="n">
        <x:f>'Controls'!$B$8+B859</x:f>
        <x:v>47320</x:v>
      </x:c>
      <x:c r="D859" s="1" t="str">
        <x:v>Sat</x:v>
      </x:c>
    </x:row>
    <x:row r="860" ht="23" customHeight="1">
      <x:c r="A860" s="6" t="n">
        <x:v>853</x:v>
      </x:c>
      <x:c r="B860" s="6" t="n">
        <x:v>994</x:v>
      </x:c>
      <x:c r="C860" s="20" t="n">
        <x:f>'Controls'!$B$8+B860</x:f>
        <x:v>47322</x:v>
      </x:c>
      <x:c r="D860" s="6" t="str">
        <x:v>Mon</x:v>
      </x:c>
    </x:row>
    <x:row r="861" ht="23" customHeight="1">
      <x:c r="A861" s="1" t="n">
        <x:v>854</x:v>
      </x:c>
      <x:c r="B861" s="1" t="n">
        <x:v>995</x:v>
      </x:c>
      <x:c r="C861" s="21" t="n">
        <x:f>'Controls'!$B$8+B861</x:f>
        <x:v>47323</x:v>
      </x:c>
      <x:c r="D861" s="1" t="str">
        <x:v>Tue</x:v>
      </x:c>
    </x:row>
    <x:row r="862" ht="23" customHeight="1">
      <x:c r="A862" s="6" t="n">
        <x:v>855</x:v>
      </x:c>
      <x:c r="B862" s="6" t="n">
        <x:v>996</x:v>
      </x:c>
      <x:c r="C862" s="20" t="n">
        <x:f>'Controls'!$B$8+B862</x:f>
        <x:v>47324</x:v>
      </x:c>
      <x:c r="D862" s="6" t="str">
        <x:v>Wed</x:v>
      </x:c>
    </x:row>
    <x:row r="863" ht="23" customHeight="1">
      <x:c r="A863" s="1" t="n">
        <x:v>856</x:v>
      </x:c>
      <x:c r="B863" s="1" t="n">
        <x:v>997</x:v>
      </x:c>
      <x:c r="C863" s="21" t="n">
        <x:f>'Controls'!$B$8+B863</x:f>
        <x:v>47325</x:v>
      </x:c>
      <x:c r="D863" s="1" t="str">
        <x:v>Thu</x:v>
      </x:c>
    </x:row>
    <x:row r="864" ht="23" customHeight="1">
      <x:c r="A864" s="6" t="n">
        <x:v>857</x:v>
      </x:c>
      <x:c r="B864" s="6" t="n">
        <x:v>998</x:v>
      </x:c>
      <x:c r="C864" s="20" t="n">
        <x:f>'Controls'!$B$8+B864</x:f>
        <x:v>47326</x:v>
      </x:c>
      <x:c r="D864" s="6" t="str">
        <x:v>Fri</x:v>
      </x:c>
    </x:row>
    <x:row r="865" ht="23" customHeight="1">
      <x:c r="A865" s="1" t="n">
        <x:v>858</x:v>
      </x:c>
      <x:c r="B865" s="1" t="n">
        <x:v>999</x:v>
      </x:c>
      <x:c r="C865" s="21" t="n">
        <x:f>'Controls'!$B$8+B865</x:f>
        <x:v>47327</x:v>
      </x:c>
      <x:c r="D865" s="1" t="str">
        <x:v>Sat</x:v>
      </x:c>
    </x:row>
    <x:row r="866" ht="23" customHeight="1">
      <x:c r="A866" s="6" t="n">
        <x:v>859</x:v>
      </x:c>
      <x:c r="B866" s="6" t="n">
        <x:v>1001</x:v>
      </x:c>
      <x:c r="C866" s="20" t="n">
        <x:f>'Controls'!$B$8+B866</x:f>
        <x:v>47329</x:v>
      </x:c>
      <x:c r="D866" s="6" t="str">
        <x:v>Mon</x:v>
      </x:c>
    </x:row>
    <x:row r="867" ht="23" customHeight="1">
      <x:c r="A867" s="1" t="n">
        <x:v>860</x:v>
      </x:c>
      <x:c r="B867" s="1" t="n">
        <x:v>1002</x:v>
      </x:c>
      <x:c r="C867" s="21" t="n">
        <x:f>'Controls'!$B$8+B867</x:f>
        <x:v>47330</x:v>
      </x:c>
      <x:c r="D867" s="1" t="str">
        <x:v>Tue</x:v>
      </x:c>
    </x:row>
    <x:row r="868" ht="23" customHeight="1">
      <x:c r="A868" s="6" t="n">
        <x:v>861</x:v>
      </x:c>
      <x:c r="B868" s="6" t="n">
        <x:v>1003</x:v>
      </x:c>
      <x:c r="C868" s="20" t="n">
        <x:f>'Controls'!$B$8+B868</x:f>
        <x:v>47331</x:v>
      </x:c>
      <x:c r="D868" s="6" t="str">
        <x:v>Wed</x:v>
      </x:c>
    </x:row>
    <x:row r="869" ht="23" customHeight="1">
      <x:c r="A869" s="1" t="n">
        <x:v>862</x:v>
      </x:c>
      <x:c r="B869" s="1" t="n">
        <x:v>1004</x:v>
      </x:c>
      <x:c r="C869" s="21" t="n">
        <x:f>'Controls'!$B$8+B869</x:f>
        <x:v>47332</x:v>
      </x:c>
      <x:c r="D869" s="1" t="str">
        <x:v>Thu</x:v>
      </x:c>
    </x:row>
    <x:row r="870" ht="23" customHeight="1">
      <x:c r="A870" s="6" t="n">
        <x:v>863</x:v>
      </x:c>
      <x:c r="B870" s="6" t="n">
        <x:v>1005</x:v>
      </x:c>
      <x:c r="C870" s="20" t="n">
        <x:f>'Controls'!$B$8+B870</x:f>
        <x:v>47333</x:v>
      </x:c>
      <x:c r="D870" s="6" t="str">
        <x:v>Fri</x:v>
      </x:c>
    </x:row>
    <x:row r="871" ht="23" customHeight="1">
      <x:c r="A871" s="1" t="n">
        <x:v>864</x:v>
      </x:c>
      <x:c r="B871" s="1" t="n">
        <x:v>1006</x:v>
      </x:c>
      <x:c r="C871" s="21" t="n">
        <x:f>'Controls'!$B$8+B871</x:f>
        <x:v>47334</x:v>
      </x:c>
      <x:c r="D871" s="1" t="str">
        <x:v>Sat</x:v>
      </x:c>
    </x:row>
    <x:row r="872" ht="23" customHeight="1">
      <x:c r="A872" s="6" t="n">
        <x:v>865</x:v>
      </x:c>
      <x:c r="B872" s="6" t="n">
        <x:v>1008</x:v>
      </x:c>
      <x:c r="C872" s="20" t="n">
        <x:f>'Controls'!$B$8+B872</x:f>
        <x:v>47336</x:v>
      </x:c>
      <x:c r="D872" s="6" t="str">
        <x:v>Mon</x:v>
      </x:c>
    </x:row>
    <x:row r="873" ht="23" customHeight="1">
      <x:c r="A873" s="1" t="n">
        <x:v>866</x:v>
      </x:c>
      <x:c r="B873" s="1" t="n">
        <x:v>1009</x:v>
      </x:c>
      <x:c r="C873" s="21" t="n">
        <x:f>'Controls'!$B$8+B873</x:f>
        <x:v>47337</x:v>
      </x:c>
      <x:c r="D873" s="1" t="str">
        <x:v>Tue</x:v>
      </x:c>
    </x:row>
    <x:row r="874" ht="23" customHeight="1">
      <x:c r="A874" s="6" t="n">
        <x:v>867</x:v>
      </x:c>
      <x:c r="B874" s="6" t="n">
        <x:v>1010</x:v>
      </x:c>
      <x:c r="C874" s="20" t="n">
        <x:f>'Controls'!$B$8+B874</x:f>
        <x:v>47338</x:v>
      </x:c>
      <x:c r="D874" s="6" t="str">
        <x:v>Wed</x:v>
      </x:c>
    </x:row>
    <x:row r="875" ht="23" customHeight="1">
      <x:c r="A875" s="1" t="n">
        <x:v>868</x:v>
      </x:c>
      <x:c r="B875" s="1" t="n">
        <x:v>1011</x:v>
      </x:c>
      <x:c r="C875" s="21" t="n">
        <x:f>'Controls'!$B$8+B875</x:f>
        <x:v>47339</x:v>
      </x:c>
      <x:c r="D875" s="1" t="str">
        <x:v>Thu</x:v>
      </x:c>
    </x:row>
    <x:row r="876" ht="23" customHeight="1">
      <x:c r="A876" s="6" t="n">
        <x:v>869</x:v>
      </x:c>
      <x:c r="B876" s="6" t="n">
        <x:v>1012</x:v>
      </x:c>
      <x:c r="C876" s="20" t="n">
        <x:f>'Controls'!$B$8+B876</x:f>
        <x:v>47340</x:v>
      </x:c>
      <x:c r="D876" s="6" t="str">
        <x:v>Fri</x:v>
      </x:c>
    </x:row>
    <x:row r="877" ht="23" customHeight="1">
      <x:c r="A877" s="1" t="n">
        <x:v>870</x:v>
      </x:c>
      <x:c r="B877" s="1" t="n">
        <x:v>1013</x:v>
      </x:c>
      <x:c r="C877" s="21" t="n">
        <x:f>'Controls'!$B$8+B877</x:f>
        <x:v>47341</x:v>
      </x:c>
      <x:c r="D877" s="1" t="str">
        <x:v>Sat</x:v>
      </x:c>
    </x:row>
    <x:row r="878" ht="23" customHeight="1">
      <x:c r="A878" s="6" t="n">
        <x:v>871</x:v>
      </x:c>
      <x:c r="B878" s="6" t="n">
        <x:v>1015</x:v>
      </x:c>
      <x:c r="C878" s="20" t="n">
        <x:f>'Controls'!$B$8+B878</x:f>
        <x:v>47343</x:v>
      </x:c>
      <x:c r="D878" s="6" t="str">
        <x:v>Mon</x:v>
      </x:c>
    </x:row>
    <x:row r="879" ht="23" customHeight="1">
      <x:c r="A879" s="1" t="n">
        <x:v>872</x:v>
      </x:c>
      <x:c r="B879" s="1" t="n">
        <x:v>1016</x:v>
      </x:c>
      <x:c r="C879" s="21" t="n">
        <x:f>'Controls'!$B$8+B879</x:f>
        <x:v>47344</x:v>
      </x:c>
      <x:c r="D879" s="1" t="str">
        <x:v>Tue</x:v>
      </x:c>
    </x:row>
    <x:row r="880" ht="23" customHeight="1">
      <x:c r="A880" s="6" t="n">
        <x:v>873</x:v>
      </x:c>
      <x:c r="B880" s="6" t="n">
        <x:v>1017</x:v>
      </x:c>
      <x:c r="C880" s="20" t="n">
        <x:f>'Controls'!$B$8+B880</x:f>
        <x:v>47345</x:v>
      </x:c>
      <x:c r="D880" s="6" t="str">
        <x:v>Wed</x:v>
      </x:c>
    </x:row>
    <x:row r="881" ht="23" customHeight="1">
      <x:c r="A881" s="1" t="n">
        <x:v>874</x:v>
      </x:c>
      <x:c r="B881" s="1" t="n">
        <x:v>1018</x:v>
      </x:c>
      <x:c r="C881" s="21" t="n">
        <x:f>'Controls'!$B$8+B881</x:f>
        <x:v>47346</x:v>
      </x:c>
      <x:c r="D881" s="1" t="str">
        <x:v>Thu</x:v>
      </x:c>
    </x:row>
    <x:row r="882" ht="23" customHeight="1">
      <x:c r="A882" s="6" t="n">
        <x:v>875</x:v>
      </x:c>
      <x:c r="B882" s="6" t="n">
        <x:v>1019</x:v>
      </x:c>
      <x:c r="C882" s="20" t="n">
        <x:f>'Controls'!$B$8+B882</x:f>
        <x:v>47347</x:v>
      </x:c>
      <x:c r="D882" s="6" t="str">
        <x:v>Fri</x:v>
      </x:c>
    </x:row>
    <x:row r="883" ht="23" customHeight="1">
      <x:c r="A883" s="1" t="n">
        <x:v>876</x:v>
      </x:c>
      <x:c r="B883" s="1" t="n">
        <x:v>1020</x:v>
      </x:c>
      <x:c r="C883" s="21" t="n">
        <x:f>'Controls'!$B$8+B883</x:f>
        <x:v>47348</x:v>
      </x:c>
      <x:c r="D883" s="1" t="str">
        <x:v>Sat</x:v>
      </x:c>
    </x:row>
    <x:row r="884" ht="23" customHeight="1">
      <x:c r="A884" s="6" t="n">
        <x:v>877</x:v>
      </x:c>
      <x:c r="B884" s="6" t="n">
        <x:v>1022</x:v>
      </x:c>
      <x:c r="C884" s="20" t="n">
        <x:f>'Controls'!$B$8+B884</x:f>
        <x:v>47350</x:v>
      </x:c>
      <x:c r="D884" s="6" t="str">
        <x:v>Mon</x:v>
      </x:c>
    </x:row>
    <x:row r="885" ht="23" customHeight="1">
      <x:c r="A885" s="1" t="n">
        <x:v>878</x:v>
      </x:c>
      <x:c r="B885" s="1" t="n">
        <x:v>1023</x:v>
      </x:c>
      <x:c r="C885" s="21" t="n">
        <x:f>'Controls'!$B$8+B885</x:f>
        <x:v>47351</x:v>
      </x:c>
      <x:c r="D885" s="1" t="str">
        <x:v>Tue</x:v>
      </x:c>
    </x:row>
    <x:row r="886" ht="23" customHeight="1">
      <x:c r="A886" s="6" t="n">
        <x:v>879</x:v>
      </x:c>
      <x:c r="B886" s="6" t="n">
        <x:v>1024</x:v>
      </x:c>
      <x:c r="C886" s="20" t="n">
        <x:f>'Controls'!$B$8+B886</x:f>
        <x:v>47352</x:v>
      </x:c>
      <x:c r="D886" s="6" t="str">
        <x:v>Wed</x:v>
      </x:c>
    </x:row>
    <x:row r="887" ht="23" customHeight="1">
      <x:c r="A887" s="1" t="n">
        <x:v>880</x:v>
      </x:c>
      <x:c r="B887" s="1" t="n">
        <x:v>1025</x:v>
      </x:c>
      <x:c r="C887" s="21" t="n">
        <x:f>'Controls'!$B$8+B887</x:f>
        <x:v>47353</x:v>
      </x:c>
      <x:c r="D887" s="1" t="str">
        <x:v>Thu</x:v>
      </x:c>
    </x:row>
    <x:row r="888" ht="23" customHeight="1">
      <x:c r="A888" s="6" t="n">
        <x:v>881</x:v>
      </x:c>
      <x:c r="B888" s="6" t="n">
        <x:v>1026</x:v>
      </x:c>
      <x:c r="C888" s="20" t="n">
        <x:f>'Controls'!$B$8+B888</x:f>
        <x:v>47354</x:v>
      </x:c>
      <x:c r="D888" s="6" t="str">
        <x:v>Fri</x:v>
      </x:c>
    </x:row>
    <x:row r="889" ht="23" customHeight="1">
      <x:c r="A889" s="1" t="n">
        <x:v>882</x:v>
      </x:c>
      <x:c r="B889" s="1" t="n">
        <x:v>1027</x:v>
      </x:c>
      <x:c r="C889" s="21" t="n">
        <x:f>'Controls'!$B$8+B889</x:f>
        <x:v>47355</x:v>
      </x:c>
      <x:c r="D889" s="1" t="str">
        <x:v>Sat</x:v>
      </x:c>
    </x:row>
    <x:row r="890" ht="23" customHeight="1">
      <x:c r="A890" s="6" t="n">
        <x:v>883</x:v>
      </x:c>
      <x:c r="B890" s="6" t="n">
        <x:v>1029</x:v>
      </x:c>
      <x:c r="C890" s="20" t="n">
        <x:f>'Controls'!$B$8+B890</x:f>
        <x:v>47357</x:v>
      </x:c>
      <x:c r="D890" s="6" t="str">
        <x:v>Mon</x:v>
      </x:c>
    </x:row>
    <x:row r="891" ht="23" customHeight="1">
      <x:c r="A891" s="1" t="n">
        <x:v>884</x:v>
      </x:c>
      <x:c r="B891" s="1" t="n">
        <x:v>1030</x:v>
      </x:c>
      <x:c r="C891" s="21" t="n">
        <x:f>'Controls'!$B$8+B891</x:f>
        <x:v>47358</x:v>
      </x:c>
      <x:c r="D891" s="1" t="str">
        <x:v>Tue</x:v>
      </x:c>
    </x:row>
    <x:row r="892" ht="23" customHeight="1">
      <x:c r="A892" s="6" t="n">
        <x:v>885</x:v>
      </x:c>
      <x:c r="B892" s="6" t="n">
        <x:v>1031</x:v>
      </x:c>
      <x:c r="C892" s="20" t="n">
        <x:f>'Controls'!$B$8+B892</x:f>
        <x:v>47359</x:v>
      </x:c>
      <x:c r="D892" s="6" t="str">
        <x:v>Wed</x:v>
      </x:c>
    </x:row>
    <x:row r="893" ht="23" customHeight="1">
      <x:c r="A893" s="1" t="n">
        <x:v>886</x:v>
      </x:c>
      <x:c r="B893" s="1" t="n">
        <x:v>1032</x:v>
      </x:c>
      <x:c r="C893" s="21" t="n">
        <x:f>'Controls'!$B$8+B893</x:f>
        <x:v>47360</x:v>
      </x:c>
      <x:c r="D893" s="1" t="str">
        <x:v>Thu</x:v>
      </x:c>
    </x:row>
    <x:row r="894" ht="23" customHeight="1">
      <x:c r="A894" s="6" t="n">
        <x:v>887</x:v>
      </x:c>
      <x:c r="B894" s="6" t="n">
        <x:v>1033</x:v>
      </x:c>
      <x:c r="C894" s="20" t="n">
        <x:f>'Controls'!$B$8+B894</x:f>
        <x:v>47361</x:v>
      </x:c>
      <x:c r="D894" s="6" t="str">
        <x:v>Fri</x:v>
      </x:c>
    </x:row>
    <x:row r="895" ht="23" customHeight="1">
      <x:c r="A895" s="1" t="n">
        <x:v>888</x:v>
      </x:c>
      <x:c r="B895" s="1" t="n">
        <x:v>1034</x:v>
      </x:c>
      <x:c r="C895" s="21" t="n">
        <x:f>'Controls'!$B$8+B895</x:f>
        <x:v>47362</x:v>
      </x:c>
      <x:c r="D895" s="1" t="str">
        <x:v>Sat</x:v>
      </x:c>
    </x:row>
    <x:row r="896" ht="23" customHeight="1">
      <x:c r="A896" s="6" t="n">
        <x:v>889</x:v>
      </x:c>
      <x:c r="B896" s="6" t="n">
        <x:v>1036</x:v>
      </x:c>
      <x:c r="C896" s="20" t="n">
        <x:f>'Controls'!$B$8+B896</x:f>
        <x:v>47364</x:v>
      </x:c>
      <x:c r="D896" s="6" t="str">
        <x:v>Mon</x:v>
      </x:c>
    </x:row>
    <x:row r="897" ht="23" customHeight="1">
      <x:c r="A897" s="1" t="n">
        <x:v>890</x:v>
      </x:c>
      <x:c r="B897" s="1" t="n">
        <x:v>1037</x:v>
      </x:c>
      <x:c r="C897" s="21" t="n">
        <x:f>'Controls'!$B$8+B897</x:f>
        <x:v>47365</x:v>
      </x:c>
      <x:c r="D897" s="1" t="str">
        <x:v>Tue</x:v>
      </x:c>
    </x:row>
    <x:row r="898" ht="23" customHeight="1">
      <x:c r="A898" s="6" t="n">
        <x:v>891</x:v>
      </x:c>
      <x:c r="B898" s="6" t="n">
        <x:v>1038</x:v>
      </x:c>
      <x:c r="C898" s="20" t="n">
        <x:f>'Controls'!$B$8+B898</x:f>
        <x:v>47366</x:v>
      </x:c>
      <x:c r="D898" s="6" t="str">
        <x:v>Wed</x:v>
      </x:c>
    </x:row>
    <x:row r="899" ht="23" customHeight="1">
      <x:c r="A899" s="1" t="n">
        <x:v>892</x:v>
      </x:c>
      <x:c r="B899" s="1" t="n">
        <x:v>1039</x:v>
      </x:c>
      <x:c r="C899" s="21" t="n">
        <x:f>'Controls'!$B$8+B899</x:f>
        <x:v>47367</x:v>
      </x:c>
      <x:c r="D899" s="1" t="str">
        <x:v>Thu</x:v>
      </x:c>
    </x:row>
    <x:row r="900" ht="23" customHeight="1">
      <x:c r="A900" s="6" t="n">
        <x:v>893</x:v>
      </x:c>
      <x:c r="B900" s="6" t="n">
        <x:v>1040</x:v>
      </x:c>
      <x:c r="C900" s="20" t="n">
        <x:f>'Controls'!$B$8+B900</x:f>
        <x:v>47368</x:v>
      </x:c>
      <x:c r="D900" s="6" t="str">
        <x:v>Fri</x:v>
      </x:c>
    </x:row>
    <x:row r="901" ht="23" customHeight="1">
      <x:c r="A901" s="1" t="n">
        <x:v>894</x:v>
      </x:c>
      <x:c r="B901" s="1" t="n">
        <x:v>1041</x:v>
      </x:c>
      <x:c r="C901" s="21" t="n">
        <x:f>'Controls'!$B$8+B901</x:f>
        <x:v>47369</x:v>
      </x:c>
      <x:c r="D901" s="1" t="str">
        <x:v>Sat</x:v>
      </x:c>
    </x:row>
    <x:row r="902" ht="23" customHeight="1">
      <x:c r="A902" s="6" t="n">
        <x:v>895</x:v>
      </x:c>
      <x:c r="B902" s="6" t="n">
        <x:v>1043</x:v>
      </x:c>
      <x:c r="C902" s="20" t="n">
        <x:f>'Controls'!$B$8+B902</x:f>
        <x:v>47371</x:v>
      </x:c>
      <x:c r="D902" s="6" t="str">
        <x:v>Mon</x:v>
      </x:c>
    </x:row>
    <x:row r="903" ht="23" customHeight="1">
      <x:c r="A903" s="1" t="n">
        <x:v>896</x:v>
      </x:c>
      <x:c r="B903" s="1" t="n">
        <x:v>1044</x:v>
      </x:c>
      <x:c r="C903" s="21" t="n">
        <x:f>'Controls'!$B$8+B903</x:f>
        <x:v>47372</x:v>
      </x:c>
      <x:c r="D903" s="1" t="str">
        <x:v>Tue</x:v>
      </x:c>
    </x:row>
    <x:row r="904" ht="23" customHeight="1">
      <x:c r="A904" s="6" t="n">
        <x:v>897</x:v>
      </x:c>
      <x:c r="B904" s="6" t="n">
        <x:v>1045</x:v>
      </x:c>
      <x:c r="C904" s="20" t="n">
        <x:f>'Controls'!$B$8+B904</x:f>
        <x:v>47373</x:v>
      </x:c>
      <x:c r="D904" s="6" t="str">
        <x:v>Wed</x:v>
      </x:c>
    </x:row>
    <x:row r="905" ht="23" customHeight="1">
      <x:c r="A905" s="1" t="n">
        <x:v>898</x:v>
      </x:c>
      <x:c r="B905" s="1" t="n">
        <x:v>1046</x:v>
      </x:c>
      <x:c r="C905" s="21" t="n">
        <x:f>'Controls'!$B$8+B905</x:f>
        <x:v>47374</x:v>
      </x:c>
      <x:c r="D905" s="1" t="str">
        <x:v>Thu</x:v>
      </x:c>
    </x:row>
    <x:row r="906" ht="23" customHeight="1">
      <x:c r="A906" s="6" t="n">
        <x:v>899</x:v>
      </x:c>
      <x:c r="B906" s="6" t="n">
        <x:v>1047</x:v>
      </x:c>
      <x:c r="C906" s="20" t="n">
        <x:f>'Controls'!$B$8+B906</x:f>
        <x:v>47375</x:v>
      </x:c>
      <x:c r="D906" s="6" t="str">
        <x:v>Fri</x:v>
      </x:c>
    </x:row>
    <x:row r="907" ht="23" customHeight="1">
      <x:c r="A907" s="1" t="n">
        <x:v>900</x:v>
      </x:c>
      <x:c r="B907" s="1" t="n">
        <x:v>1048</x:v>
      </x:c>
      <x:c r="C907" s="21" t="n">
        <x:f>'Controls'!$B$8+B907</x:f>
        <x:v>47376</x:v>
      </x:c>
      <x:c r="D907" s="1" t="str">
        <x:v>Sat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145" hidden="0" customWidth="1"/>
  </x:cols>
  <x:sheetData>
    <x:row r="2">
      <x:c r="A2" s="7" t="str">
        <x:v>Programme methods and assumptions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8" t="str">
        <x:v>CPM conventions, resource assumptions and scope boundaries.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7" ht="36" customHeight="1">
      <x:c r="A7" s="5" t="str">
        <x:v>Topic</x:v>
      </x:c>
      <x:c r="B7" s="5" t="str">
        <x:v>Method and scope</x:v>
      </x:c>
    </x:row>
    <x:row r="8" ht="42" customHeight="1">
      <x:c r="A8" s="6" t="str">
        <x:v>Document</x:v>
      </x:c>
      <x:c r="B8" s="30" t="str">
        <x:v>CE-R01-PC Rev 01. Independent portfolio planning study.</x:v>
      </x:c>
    </x:row>
    <x:row r="9" ht="42" customHeight="1">
      <x:c r="A9" s="1" t="str">
        <x:v>Scope</x:v>
      </x:c>
      <x:c r="B9" s="31" t="str">
        <x:v>Priced civil, structural, envelope and architectural works from CE-R01 BOQ. No client completion record is represented.</x:v>
      </x:c>
    </x:row>
    <x:row r="10" ht="42" customHeight="1">
      <x:c r="A10" s="6" t="str">
        <x:v>Calendar</x:v>
      </x:c>
      <x:c r="B10" s="30" t="str">
        <x:v>Monday to Saturday, eight hours/day. No public holidays or weather allowances. Day zero is the baseline origin.</x:v>
      </x:c>
    </x:row>
    <x:row r="11" ht="42" customHeight="1">
      <x:c r="A11" s="1" t="str">
        <x:v>Forward pass</x:v>
      </x:c>
      <x:c r="B11" s="31" t="str">
        <x:v>ES is maximum predecessor EF plus lag. EF = ES + duration, using exclusive finish offsets.</x:v>
      </x:c>
    </x:row>
    <x:row r="12" ht="42" customHeight="1">
      <x:c r="A12" s="6" t="str">
        <x:v>Backward pass</x:v>
      </x:c>
      <x:c r="B12" s="30" t="str">
        <x:v>LF is minimum successor LS minus lag. Terminal LF is project completion. LS = LF - duration. Float = LS - ES.</x:v>
      </x:c>
    </x:row>
    <x:row r="13" ht="42" customHeight="1">
      <x:c r="A13" s="1" t="str">
        <x:v>Dates</x:v>
      </x:c>
      <x:c r="B13" s="31" t="str">
        <x:v>Start date uses calendar index ES+1. Non-zero finish date uses EF. Zero-duration interface milestones use the next workday at the event boundary.</x:v>
      </x:c>
    </x:row>
    <x:row r="14" ht="42" customHeight="1">
      <x:c r="A14" s="6" t="str">
        <x:v>Productivity</x:v>
      </x:c>
      <x:c r="B14" s="30" t="str">
        <x:v>Durations = rounded-up quantity / daily output. Crews and production rates are explicit planning assumptions, not field observations.</x:v>
      </x:c>
    </x:row>
    <x:row r="15" ht="42" customHeight="1">
      <x:c r="A15" s="1" t="str">
        <x:v>Structural sequencing</x:v>
      </x:c>
      <x:c r="B15" s="31" t="str">
        <x:v>Deck formwork, reinforcement, concrete and curing gate repeat by storey. This is a planning package sequence, not a temporary works method statement.</x:v>
      </x:c>
    </x:row>
    <x:row r="16" ht="42" customHeight="1">
      <x:c r="A16" s="6" t="str">
        <x:v>Reinforcement allocation</x:v>
      </x:c>
      <x:c r="B16" s="30" t="str">
        <x:v>50% of reinforcement BOQ budget/quantity assigned to raft, 50% across 78 tower floors. This scheduling split is provisional and differs from a fabrication breakdown.</x:v>
      </x:c>
    </x:row>
    <x:row r="17" ht="42" customHeight="1">
      <x:c r="A17" s="1" t="str">
        <x:v>Finish releases</x:v>
      </x:c>
      <x:c r="B17" s="31" t="str">
        <x:v>Masonry follows the floor three storeys above where available. Floor finish requires screed waiting period and tower glazing.</x:v>
      </x:c>
    </x:row>
    <x:row r="18" ht="42" customHeight="1">
      <x:c r="A18" s="6" t="str">
        <x:v>Resource logic</x:v>
      </x:c>
      <x:c r="B18" s="30" t="str">
        <x:v>Crews assigned per activity. Weekly average workforce is worker-days divided by six. No automatic resource levelling or intraday peak claim.</x:v>
      </x:c>
    </x:row>
    <x:row r="19" ht="42" customHeight="1">
      <x:c r="A19" s="1" t="str">
        <x:v>Costs</x:v>
      </x:c>
      <x:c r="B19" s="31" t="str">
        <x:v>Direct BOQ costs allocated exactly once across activities. Preliminaries and margin excluded from this direct-value curve.</x:v>
      </x:c>
    </x:row>
    <x:row r="20" ht="42" customHeight="1">
      <x:c r="A20" s="6" t="str">
        <x:v>Cashflow interface</x:v>
      </x:c>
      <x:c r="B20" s="30" t="str">
        <x:v>Detailed baseline differs from earlier aggregate cash model phasing. Use the programme cost curve to rebaseline cash forecast before operational use.</x:v>
      </x:c>
    </x:row>
    <x:row r="21" ht="42" customHeight="1">
      <x:c r="A21" s="1" t="str">
        <x:v>MEP interface</x:v>
      </x:c>
      <x:c r="B21" s="31" t="str">
        <x:v>MEP is excluded from the source BOQ. First-fix, testing and authority releases must be integrated before execution.</x:v>
      </x:c>
    </x:row>
    <x:row r="22" ht="42" customHeight="1">
      <x:c r="A22" s="6" t="str">
        <x:v>Change controls</x:v>
      </x:c>
      <x:c r="B22" s="30" t="str">
        <x:v>Activity durations and costs recalculate in the existing network. Adding/deleting activities requires updating logic and weekly loading ranges.</x:v>
      </x:c>
    </x:row>
    <x:row r="23" ht="42" customHeight="1">
      <x:c r="A23" s="1" t="str">
        <x:v>Horizon</x:v>
      </x:c>
      <x:c r="B23" s="31" t="str">
        <x:v>Calendar is 900 workdays; weekly model covers baseline and target plus two weeks. Calendar/horizon checks expose overrun.</x:v>
      </x:c>
    </x:row>
  </x:sheetData>
  <x:pageMargins left="0.7" right="0.7" top="0.75" bottom="0.75" header="0.3" footer="0.3"/>
</x:worksheet>
</file>